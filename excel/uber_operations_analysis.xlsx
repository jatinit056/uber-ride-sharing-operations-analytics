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activeTab="1"/>
  </bookViews>
  <sheets>
    <sheet name="README" sheetId="1" r:id="rId1"/>
    <sheet name="Summary" sheetId="2" r:id="rId2"/>
    <sheet name="Monthly_Trend" sheetId="3" r:id="rId3"/>
    <sheet name="Time_Patterns" sheetId="4" r:id="rId4"/>
    <sheet name="Daily_Calendar" sheetId="5" r:id="rId5"/>
    <sheet name="Geography" sheetId="6" r:id="rId6"/>
    <sheet name="Bases" sheetId="7" r:id="rId7"/>
    <sheet name="Supply" sheetId="8" r:id="rId8"/>
    <sheet name="Market" sheetId="9" r:id="rId9"/>
    <sheet name="Pivot_Tables" sheetId="10" r:id="rId10"/>
    <sheet name="Hourly" sheetId="11" r:id="rId11"/>
    <sheet name="Daily" sheetId="12" r:id="rId12"/>
    <sheet name="BaseDaily" sheetId="13" r:id="rId13"/>
    <sheet name="ZoneMonthly" sheetId="14" r:id="rId14"/>
    <sheet name="AreaHour" sheetId="15" r:id="rId15"/>
    <sheet name="FOIL" sheetId="16" r:id="rId16"/>
    <sheet name="Market2014" sheetId="17" r:id="rId17"/>
    <sheet name="Lookups" sheetId="18" r:id="rId18"/>
    <sheet name="Raw_Sample" sheetId="19" r:id="rId19"/>
    <sheet name="Data_Dictionary" sheetId="20" r:id="rId20"/>
  </sheets>
  <definedNames>
    <definedName name="BaseTable">Lookups!$A$2:$B$9</definedName>
    <definedName name="HolidayDates">Lookups!$H$2:$H$8</definedName>
    <definedName name="SpecialDates">Lookups!$H$2:$H$10</definedName>
    <definedName name="ZoneTable">Lookups!$D$2:$F$266</definedName>
  </definedNames>
  <calcPr calcId="124519" fullCalcOnLoad="1"/>
  <pivotCaches>
    <pivotCache cacheId="1" r:id="rId1000"/>
    <pivotCache cacheId="2" r:id="rId1001"/>
  </pivotCaches>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<sst xmlns="http://schemas.openxmlformats.org/spreadsheetml/2006/main" count="15058" uniqueCount="1434">
  <si>
    <t>B02512</t>
  </si>
  <si>
    <t>B02598</t>
  </si>
  <si>
    <t>B02617</t>
  </si>
  <si>
    <t>B02682</t>
  </si>
  <si>
    <t>B02764</t>
  </si>
  <si>
    <t>B02765</t>
  </si>
  <si>
    <t>B02835</t>
  </si>
  <si>
    <t>B02836</t>
  </si>
  <si>
    <t>Unter</t>
  </si>
  <si>
    <t>Hinter</t>
  </si>
  <si>
    <t>Weiter</t>
  </si>
  <si>
    <t>Schmecken</t>
  </si>
  <si>
    <t>Danach-NY</t>
  </si>
  <si>
    <t>Grun</t>
  </si>
  <si>
    <t>Dreist</t>
  </si>
  <si>
    <t>Drinnen</t>
  </si>
  <si>
    <t>Base Code</t>
  </si>
  <si>
    <t>Base Name</t>
  </si>
  <si>
    <t>Location ID</t>
  </si>
  <si>
    <t>Borough</t>
  </si>
  <si>
    <t>Zone</t>
  </si>
  <si>
    <t>EWR</t>
  </si>
  <si>
    <t>Newark Airport</t>
  </si>
  <si>
    <t>Queens</t>
  </si>
  <si>
    <t>Jamaica Bay</t>
  </si>
  <si>
    <t>Bronx</t>
  </si>
  <si>
    <t>Allerton/Pelham Gardens</t>
  </si>
  <si>
    <t>Manhattan</t>
  </si>
  <si>
    <t>Alphabet City</t>
  </si>
  <si>
    <t>Staten Island</t>
  </si>
  <si>
    <t>Arden Heights</t>
  </si>
  <si>
    <t>Arrochar/Fort Wadsworth</t>
  </si>
  <si>
    <t>Astoria</t>
  </si>
  <si>
    <t>Astoria Park</t>
  </si>
  <si>
    <t>Auburndale</t>
  </si>
  <si>
    <t>Baisley Park</t>
  </si>
  <si>
    <t>Brooklyn</t>
  </si>
  <si>
    <t>Bath Beach</t>
  </si>
  <si>
    <t>Battery Park</t>
  </si>
  <si>
    <t>Battery Park City</t>
  </si>
  <si>
    <t>Bay Ridge</t>
  </si>
  <si>
    <t>Bay Terrace/Fort Totten</t>
  </si>
  <si>
    <t>Bayside</t>
  </si>
  <si>
    <t>Bedford</t>
  </si>
  <si>
    <t>Bedford Park</t>
  </si>
  <si>
    <t>Bellerose</t>
  </si>
  <si>
    <t>Belmont</t>
  </si>
  <si>
    <t>Bensonhurst East</t>
  </si>
  <si>
    <t>Bensonhurst West</t>
  </si>
  <si>
    <t>Bloomfield/Emerson Hill</t>
  </si>
  <si>
    <t>Bloomingdale</t>
  </si>
  <si>
    <t>Boerum Hill</t>
  </si>
  <si>
    <t>Borough Park</t>
  </si>
  <si>
    <t>Breezy Point/Fort Tilden/Riis Beach</t>
  </si>
  <si>
    <t>Briarwood/Jamaica Hills</t>
  </si>
  <si>
    <t>Brighton Beach</t>
  </si>
  <si>
    <t>Broad Channel</t>
  </si>
  <si>
    <t>Bronx Park</t>
  </si>
  <si>
    <t>Bronxdale</t>
  </si>
  <si>
    <t>Brooklyn Heights</t>
  </si>
  <si>
    <t>Brooklyn Navy Yard</t>
  </si>
  <si>
    <t>Brownsville</t>
  </si>
  <si>
    <t>Bushwick North</t>
  </si>
  <si>
    <t>Bushwick South</t>
  </si>
  <si>
    <t>Cambria Heights</t>
  </si>
  <si>
    <t>Canarsie</t>
  </si>
  <si>
    <t>Carroll Gardens</t>
  </si>
  <si>
    <t>Central Harlem</t>
  </si>
  <si>
    <t>Central Harlem North</t>
  </si>
  <si>
    <t>Central Park</t>
  </si>
  <si>
    <t>Charleston/Tottenville</t>
  </si>
  <si>
    <t>Chinatown</t>
  </si>
  <si>
    <t>City Island</t>
  </si>
  <si>
    <t>Claremont/Bathgate</t>
  </si>
  <si>
    <t>Clinton East</t>
  </si>
  <si>
    <t>Clinton Hill</t>
  </si>
  <si>
    <t>Clinton West</t>
  </si>
  <si>
    <t>Co-Op City</t>
  </si>
  <si>
    <t>Cobble Hill</t>
  </si>
  <si>
    <t>College Point</t>
  </si>
  <si>
    <t>Columbia Street</t>
  </si>
  <si>
    <t>Coney Island</t>
  </si>
  <si>
    <t>Corona</t>
  </si>
  <si>
    <t>Country Club</t>
  </si>
  <si>
    <t>Crotona Park</t>
  </si>
  <si>
    <t>Crotona Park East</t>
  </si>
  <si>
    <t>Crown Heights North</t>
  </si>
  <si>
    <t>Crown Heights South</t>
  </si>
  <si>
    <t>Cypress Hills</t>
  </si>
  <si>
    <t>Douglaston</t>
  </si>
  <si>
    <t>Downtown Brooklyn/MetroTech</t>
  </si>
  <si>
    <t>DUMBO/Vinegar Hill</t>
  </si>
  <si>
    <t>Dyker Heights</t>
  </si>
  <si>
    <t>East Chelsea</t>
  </si>
  <si>
    <t>East Concourse/Concourse Village</t>
  </si>
  <si>
    <t>East Elmhurst</t>
  </si>
  <si>
    <t>East Flatbush/Farragut</t>
  </si>
  <si>
    <t>East Flatbush/Remsen Village</t>
  </si>
  <si>
    <t>East Flushing</t>
  </si>
  <si>
    <t>East Harlem North</t>
  </si>
  <si>
    <t>East Harlem South</t>
  </si>
  <si>
    <t>East New York</t>
  </si>
  <si>
    <t>East New York/Pennsylvania Avenue</t>
  </si>
  <si>
    <t>East Tremont</t>
  </si>
  <si>
    <t>East Village</t>
  </si>
  <si>
    <t>East Williamsburg</t>
  </si>
  <si>
    <t>Eastchester</t>
  </si>
  <si>
    <t>Elmhurst</t>
  </si>
  <si>
    <t>Elmhurst/Maspeth</t>
  </si>
  <si>
    <t>Eltingville/Annadale/Prince's Bay</t>
  </si>
  <si>
    <t>Erasmus</t>
  </si>
  <si>
    <t>Far Rockaway</t>
  </si>
  <si>
    <t>Financial District North</t>
  </si>
  <si>
    <t>Financial District South</t>
  </si>
  <si>
    <t>Flatbush/Ditmas Park</t>
  </si>
  <si>
    <t>Flatiron</t>
  </si>
  <si>
    <t>Flatlands</t>
  </si>
  <si>
    <t>Flushing</t>
  </si>
  <si>
    <t>Flushing Meadows-Corona Park</t>
  </si>
  <si>
    <t>Fordham South</t>
  </si>
  <si>
    <t>Forest Hills</t>
  </si>
  <si>
    <t>Forest Park/Highland Park</t>
  </si>
  <si>
    <t>Fort Greene</t>
  </si>
  <si>
    <t>Fresh Meadows</t>
  </si>
  <si>
    <t>Freshkills Park</t>
  </si>
  <si>
    <t>Garment District</t>
  </si>
  <si>
    <t>Glen Oaks</t>
  </si>
  <si>
    <t>Glendale</t>
  </si>
  <si>
    <t>Governor's Island/Ellis Island/Liberty Island</t>
  </si>
  <si>
    <t>Gowanus</t>
  </si>
  <si>
    <t>Gramercy</t>
  </si>
  <si>
    <t>Gravesend</t>
  </si>
  <si>
    <t>Great Kills</t>
  </si>
  <si>
    <t>Great Kills Park</t>
  </si>
  <si>
    <t>Green-Wood Cemetery</t>
  </si>
  <si>
    <t>Greenpoint</t>
  </si>
  <si>
    <t>Greenwich Village North</t>
  </si>
  <si>
    <t>Greenwich Village South</t>
  </si>
  <si>
    <t>Grymes Hill/Clifton</t>
  </si>
  <si>
    <t>Hamilton Heights</t>
  </si>
  <si>
    <t>Hammels/Arverne</t>
  </si>
  <si>
    <t>Heartland Village/Todt Hill</t>
  </si>
  <si>
    <t>Highbridge</t>
  </si>
  <si>
    <t>Highbridge Park</t>
  </si>
  <si>
    <t>Hillcrest/Pomonok</t>
  </si>
  <si>
    <t>Hollis</t>
  </si>
  <si>
    <t>Homecrest</t>
  </si>
  <si>
    <t>Howard Beach</t>
  </si>
  <si>
    <t>Hudson Sq</t>
  </si>
  <si>
    <t>Hunts Point</t>
  </si>
  <si>
    <t>Inwood</t>
  </si>
  <si>
    <t>Inwood Hill Park</t>
  </si>
  <si>
    <t>Jackson Heights</t>
  </si>
  <si>
    <t>Jamaica</t>
  </si>
  <si>
    <t>Jamaica Estates</t>
  </si>
  <si>
    <t>JFK Airport</t>
  </si>
  <si>
    <t>Kensington</t>
  </si>
  <si>
    <t>Kew Gardens</t>
  </si>
  <si>
    <t>Kew Gardens Hills</t>
  </si>
  <si>
    <t>Kingsbridge Heights</t>
  </si>
  <si>
    <t>Kips Bay</t>
  </si>
  <si>
    <t>LaGuardia Airport</t>
  </si>
  <si>
    <t>Laurelton</t>
  </si>
  <si>
    <t>Lenox Hill East</t>
  </si>
  <si>
    <t>Lenox Hill West</t>
  </si>
  <si>
    <t>Lincoln Square East</t>
  </si>
  <si>
    <t>Lincoln Square West</t>
  </si>
  <si>
    <t>Little Italy/NoLiTa</t>
  </si>
  <si>
    <t>Long Island City/Hunters Point</t>
  </si>
  <si>
    <t>Long Island City/Queens Plaza</t>
  </si>
  <si>
    <t>Longwood</t>
  </si>
  <si>
    <t>Lower East Side</t>
  </si>
  <si>
    <t>Madison</t>
  </si>
  <si>
    <t>Manhattan Beach</t>
  </si>
  <si>
    <t>Manhattan Valley</t>
  </si>
  <si>
    <t>Manhattanville</t>
  </si>
  <si>
    <t>Marble Hill</t>
  </si>
  <si>
    <t>Marine Park/Floyd Bennett Field</t>
  </si>
  <si>
    <t>Marine Park/Mill Basin</t>
  </si>
  <si>
    <t>Mariners Harbor</t>
  </si>
  <si>
    <t>Maspeth</t>
  </si>
  <si>
    <t>Meatpacking/West Village West</t>
  </si>
  <si>
    <t>Melrose South</t>
  </si>
  <si>
    <t>Middle Village</t>
  </si>
  <si>
    <t>Midtown Center</t>
  </si>
  <si>
    <t>Midtown East</t>
  </si>
  <si>
    <t>Midtown North</t>
  </si>
  <si>
    <t>Midtown South</t>
  </si>
  <si>
    <t>Midwood</t>
  </si>
  <si>
    <t>Morningside Heights</t>
  </si>
  <si>
    <t>Morrisania/Melrose</t>
  </si>
  <si>
    <t>Mott Haven/Port Morris</t>
  </si>
  <si>
    <t>Mount Hope</t>
  </si>
  <si>
    <t>Murray Hill</t>
  </si>
  <si>
    <t>Murray Hill-Queens</t>
  </si>
  <si>
    <t>New Dorp/Midland Beach</t>
  </si>
  <si>
    <t>North Corona</t>
  </si>
  <si>
    <t>Norwood</t>
  </si>
  <si>
    <t>Oakland Gardens</t>
  </si>
  <si>
    <t>Oakwood</t>
  </si>
  <si>
    <t>Ocean Hill</t>
  </si>
  <si>
    <t>Ocean Parkway South</t>
  </si>
  <si>
    <t>Old Astoria</t>
  </si>
  <si>
    <t>Ozone Park</t>
  </si>
  <si>
    <t>Park Slope</t>
  </si>
  <si>
    <t>Parkchester</t>
  </si>
  <si>
    <t>Pelham Bay</t>
  </si>
  <si>
    <t>Pelham Bay Park</t>
  </si>
  <si>
    <t>Pelham Parkway</t>
  </si>
  <si>
    <t>Penn Station/Madison Sq West</t>
  </si>
  <si>
    <t>Port Richmond</t>
  </si>
  <si>
    <t>Prospect-Lefferts Gardens</t>
  </si>
  <si>
    <t>Prospect Heights</t>
  </si>
  <si>
    <t>Prospect Park</t>
  </si>
  <si>
    <t>Queens Village</t>
  </si>
  <si>
    <t>Queensboro Hill</t>
  </si>
  <si>
    <t>Queensbridge/Ravenswood</t>
  </si>
  <si>
    <t>Randalls Island</t>
  </si>
  <si>
    <t>Red Hook</t>
  </si>
  <si>
    <t>Rego Park</t>
  </si>
  <si>
    <t>Richmond Hill</t>
  </si>
  <si>
    <t>Ridgewood</t>
  </si>
  <si>
    <t>Rikers Island</t>
  </si>
  <si>
    <t>Riverdale/North Riverdale/Fieldston</t>
  </si>
  <si>
    <t>Rockaway Park</t>
  </si>
  <si>
    <t>Roosevelt Island</t>
  </si>
  <si>
    <t>Rosedale</t>
  </si>
  <si>
    <t>Rossville/Woodrow</t>
  </si>
  <si>
    <t>Saint Albans</t>
  </si>
  <si>
    <t>Saint George/New Brighton</t>
  </si>
  <si>
    <t>Saint Michaels Cemetery/Woodside</t>
  </si>
  <si>
    <t>Schuylerville/Edgewater Park</t>
  </si>
  <si>
    <t>Seaport</t>
  </si>
  <si>
    <t>Sheepshead Bay</t>
  </si>
  <si>
    <t>SoHo</t>
  </si>
  <si>
    <t>Soundview/Bruckner</t>
  </si>
  <si>
    <t>Soundview/Castle Hill</t>
  </si>
  <si>
    <t>South Beach/Dongan Hills</t>
  </si>
  <si>
    <t>South Jamaica</t>
  </si>
  <si>
    <t>South Ozone Park</t>
  </si>
  <si>
    <t>South Williamsburg</t>
  </si>
  <si>
    <t>Springfield Gardens North</t>
  </si>
  <si>
    <t>Springfield Gardens South</t>
  </si>
  <si>
    <t>Spuyten Duyvil/Kingsbridge</t>
  </si>
  <si>
    <t>Stapleton</t>
  </si>
  <si>
    <t>Starrett City</t>
  </si>
  <si>
    <t>Steinway</t>
  </si>
  <si>
    <t>Stuy Town/Peter Cooper Village</t>
  </si>
  <si>
    <t>Stuyvesant Heights</t>
  </si>
  <si>
    <t>Sunnyside</t>
  </si>
  <si>
    <t>Sunset Park East</t>
  </si>
  <si>
    <t>Sunset Park West</t>
  </si>
  <si>
    <t>Sutton Place/Turtle Bay North</t>
  </si>
  <si>
    <t>Times Sq/Theatre District</t>
  </si>
  <si>
    <t>TriBeCa/Civic Center</t>
  </si>
  <si>
    <t>Two Bridges/Seward Park</t>
  </si>
  <si>
    <t>UN/Turtle Bay South</t>
  </si>
  <si>
    <t>Union Sq</t>
  </si>
  <si>
    <t>University Heights/Morris Heights</t>
  </si>
  <si>
    <t>Upper East Side North</t>
  </si>
  <si>
    <t>Upper East Side South</t>
  </si>
  <si>
    <t>Upper West Side North</t>
  </si>
  <si>
    <t>Upper West Side South</t>
  </si>
  <si>
    <t>Van Cortlandt Park</t>
  </si>
  <si>
    <t>Van Cortlandt Village</t>
  </si>
  <si>
    <t>Van Nest/Morris Park</t>
  </si>
  <si>
    <t>Washington Heights North</t>
  </si>
  <si>
    <t>Washington Heights South</t>
  </si>
  <si>
    <t>West Brighton</t>
  </si>
  <si>
    <t>West Chelsea/Hudson Yards</t>
  </si>
  <si>
    <t>West Concourse</t>
  </si>
  <si>
    <t>West Farms/Bronx River</t>
  </si>
  <si>
    <t>West Village</t>
  </si>
  <si>
    <t>Westchester Village/Unionport</t>
  </si>
  <si>
    <t>Westerleigh</t>
  </si>
  <si>
    <t>Whitestone</t>
  </si>
  <si>
    <t>Willets Point</t>
  </si>
  <si>
    <t>Williamsbridge/Olinville</t>
  </si>
  <si>
    <t>Williamsburg (North Side)</t>
  </si>
  <si>
    <t>Williamsburg (South Side)</t>
  </si>
  <si>
    <t>Windsor Terrace</t>
  </si>
  <si>
    <t>Woodhaven</t>
  </si>
  <si>
    <t>Woodlawn/Wakefield</t>
  </si>
  <si>
    <t>Woodside</t>
  </si>
  <si>
    <t>World Trade Center</t>
  </si>
  <si>
    <t>Yorkville East</t>
  </si>
  <si>
    <t>Yorkville West</t>
  </si>
  <si>
    <t>Unknown</t>
  </si>
  <si>
    <t>Special day</t>
  </si>
  <si>
    <t>Name</t>
  </si>
  <si>
    <t>Memorial Day</t>
  </si>
  <si>
    <t>Independence Day</t>
  </si>
  <si>
    <t>Labor Day</t>
  </si>
  <si>
    <t>New Year's Day</t>
  </si>
  <si>
    <t>Birthday of Martin Luther King, Jr.</t>
  </si>
  <si>
    <t>Washington's Birthday</t>
  </si>
  <si>
    <t>Blizzard: travel ban from 11 pm (external event)</t>
  </si>
  <si>
    <t>Blizzard: travel ban until the morning (external event)</t>
  </si>
  <si>
    <t>Notes</t>
  </si>
  <si>
    <t>Bases: Uber's NYC base licence numbers and names (README of the source repository).</t>
  </si>
  <si>
    <t>Zones: NYC TLC taxi-zone lookup (265 ids; 264/265 = Unknown). Airports = ids 1 (Newark), 132 (JFK), 138 (LaGuardia).</t>
  </si>
  <si>
    <t>Special days: US federal holidays inside the data periods + the two January 2015 blizzard days (external event).</t>
  </si>
  <si>
    <t>Named ranges: BaseTable, ZoneTable, SpecialDates.</t>
  </si>
  <si>
    <t>2014 Apr-Sep</t>
  </si>
  <si>
    <t>2015 Jan-Jun</t>
  </si>
  <si>
    <t>Date</t>
  </si>
  <si>
    <t>Hour</t>
  </si>
  <si>
    <t>Trips</t>
  </si>
  <si>
    <t>Period</t>
  </si>
  <si>
    <t>Year</t>
  </si>
  <si>
    <t>Month</t>
  </si>
  <si>
    <t>Weekday</t>
  </si>
  <si>
    <t>Day Type</t>
  </si>
  <si>
    <t>Time Band</t>
  </si>
  <si>
    <t>Holiday</t>
  </si>
  <si>
    <t>Special Day</t>
  </si>
  <si>
    <t>Trips 2015</t>
  </si>
  <si>
    <t>7-day Average</t>
  </si>
  <si>
    <t>Service Area</t>
  </si>
  <si>
    <t>Airports</t>
  </si>
  <si>
    <t>2015 pickups per service area and hour of day (sum of Jan-Jun 2015).</t>
  </si>
  <si>
    <t>Active Vehicles</t>
  </si>
  <si>
    <t>Trips per Vehicle</t>
  </si>
  <si>
    <t>Week Start</t>
  </si>
  <si>
    <t>American</t>
  </si>
  <si>
    <t>Carmel</t>
  </si>
  <si>
    <t>Dial 7</t>
  </si>
  <si>
    <t>Diplo</t>
  </si>
  <si>
    <t>Firstclass</t>
  </si>
  <si>
    <t>Green Taxis</t>
  </si>
  <si>
    <t>Highclass</t>
  </si>
  <si>
    <t>Lyft</t>
  </si>
  <si>
    <t>Prestige</t>
  </si>
  <si>
    <t>Skyline</t>
  </si>
  <si>
    <t>Uber</t>
  </si>
  <si>
    <t>Yellow Taxis</t>
  </si>
  <si>
    <t>Uber vs Yellow</t>
  </si>
  <si>
    <t>First 300 rows of uber-raw-data-apr14.csv (left) and uber-raw-data-janjune-15.csv (right), exactly as published. Full files: data/raw (download with scripts/download_data.py).</t>
  </si>
  <si>
    <t>4/1/2014 0:11:00</t>
  </si>
  <si>
    <t>4/1/2014 0:17:00</t>
  </si>
  <si>
    <t>4/1/2014 0:21:00</t>
  </si>
  <si>
    <t>4/1/2014 0:28:00</t>
  </si>
  <si>
    <t>4/1/2014 0:33:00</t>
  </si>
  <si>
    <t>4/1/2014 0:39:00</t>
  </si>
  <si>
    <t>4/1/2014 0:45:00</t>
  </si>
  <si>
    <t>4/1/2014 0:55:00</t>
  </si>
  <si>
    <t>4/1/2014 1:01:00</t>
  </si>
  <si>
    <t>4/1/2014 1:19:00</t>
  </si>
  <si>
    <t>4/1/2014 1:48:00</t>
  </si>
  <si>
    <t>4/1/2014 1:49:00</t>
  </si>
  <si>
    <t>4/1/2014 2:11:00</t>
  </si>
  <si>
    <t>4/1/2014 2:25:00</t>
  </si>
  <si>
    <t>4/1/2014 2:31:00</t>
  </si>
  <si>
    <t>4/1/2014 2:43:00</t>
  </si>
  <si>
    <t>4/1/2014 3:22:00</t>
  </si>
  <si>
    <t>4/1/2014 3:35:00</t>
  </si>
  <si>
    <t>4/1/2014 3:41:00</t>
  </si>
  <si>
    <t>4/1/2014 4:11:00</t>
  </si>
  <si>
    <t>4/1/2014 4:15:00</t>
  </si>
  <si>
    <t>4/1/2014 4:19:00</t>
  </si>
  <si>
    <t>4/1/2014 4:20:00</t>
  </si>
  <si>
    <t>4/1/2014 4:26:00</t>
  </si>
  <si>
    <t>4/1/2014 4:27:00</t>
  </si>
  <si>
    <t>4/1/2014 4:38:00</t>
  </si>
  <si>
    <t>4/1/2014 4:47:00</t>
  </si>
  <si>
    <t>4/1/2014 4:49:00</t>
  </si>
  <si>
    <t>4/1/2014 5:08:00</t>
  </si>
  <si>
    <t>4/1/2014 5:12:00</t>
  </si>
  <si>
    <t>4/1/2014 5:18:00</t>
  </si>
  <si>
    <t>4/1/2014 5:19:00</t>
  </si>
  <si>
    <t>4/1/2014 5:23:00</t>
  </si>
  <si>
    <t>4/1/2014 5:24:00</t>
  </si>
  <si>
    <t>4/1/2014 5:27:00</t>
  </si>
  <si>
    <t>4/1/2014 5:34:00</t>
  </si>
  <si>
    <t>4/1/2014 5:36:00</t>
  </si>
  <si>
    <t>4/1/2014 5:40:00</t>
  </si>
  <si>
    <t>4/1/2014 5:43:00</t>
  </si>
  <si>
    <t>4/1/2014 5:44:00</t>
  </si>
  <si>
    <t>4/1/2014 5:49:00</t>
  </si>
  <si>
    <t>4/1/2014 5:52:00</t>
  </si>
  <si>
    <t>4/1/2014 5:53:00</t>
  </si>
  <si>
    <t>4/1/2014 5:54:00</t>
  </si>
  <si>
    <t>4/1/2014 5:56:00</t>
  </si>
  <si>
    <t>4/1/2014 5:58:00</t>
  </si>
  <si>
    <t>4/1/2014 6:00:00</t>
  </si>
  <si>
    <t>4/1/2014 6:01:00</t>
  </si>
  <si>
    <t>4/1/2014 6:02:00</t>
  </si>
  <si>
    <t>4/1/2014 6:03:00</t>
  </si>
  <si>
    <t>4/1/2014 6:06:00</t>
  </si>
  <si>
    <t>4/1/2014 6:08:00</t>
  </si>
  <si>
    <t>4/1/2014 6:14:00</t>
  </si>
  <si>
    <t>4/1/2014 6:15:00</t>
  </si>
  <si>
    <t>4/1/2014 6:16:00</t>
  </si>
  <si>
    <t>4/1/2014 6:17:00</t>
  </si>
  <si>
    <t>4/1/2014 6:19:00</t>
  </si>
  <si>
    <t>4/1/2014 6:20:00</t>
  </si>
  <si>
    <t>4/1/2014 6:21:00</t>
  </si>
  <si>
    <t>4/1/2014 6:22:00</t>
  </si>
  <si>
    <t>4/1/2014 6:25:00</t>
  </si>
  <si>
    <t>4/1/2014 6:31:00</t>
  </si>
  <si>
    <t>4/1/2014 6:32:00</t>
  </si>
  <si>
    <t>4/1/2014 6:33:00</t>
  </si>
  <si>
    <t>4/1/2014 6:34:00</t>
  </si>
  <si>
    <t>4/1/2014 6:35:00</t>
  </si>
  <si>
    <t>4/1/2014 6:36:00</t>
  </si>
  <si>
    <t>4/1/2014 6:37:00</t>
  </si>
  <si>
    <t>4/1/2014 6:38:00</t>
  </si>
  <si>
    <t>4/1/2014 6:39:00</t>
  </si>
  <si>
    <t>4/1/2014 6:40:00</t>
  </si>
  <si>
    <t>4/1/2014 6:42:00</t>
  </si>
  <si>
    <t>4/1/2014 6:43:00</t>
  </si>
  <si>
    <t>4/1/2014 6:44:00</t>
  </si>
  <si>
    <t>4/1/2014 6:45:00</t>
  </si>
  <si>
    <t>4/1/2014 6:47:00</t>
  </si>
  <si>
    <t>4/1/2014 6:48:00</t>
  </si>
  <si>
    <t>4/1/2014 6:52:00</t>
  </si>
  <si>
    <t>4/1/2014 6:54:00</t>
  </si>
  <si>
    <t>4/1/2014 6:56:00</t>
  </si>
  <si>
    <t>4/1/2014 6:57:00</t>
  </si>
  <si>
    <t>4/1/2014 6:59:00</t>
  </si>
  <si>
    <t>4/1/2014 7:00:00</t>
  </si>
  <si>
    <t>4/1/2014 7:01:00</t>
  </si>
  <si>
    <t>4/1/2014 7:02:00</t>
  </si>
  <si>
    <t>4/1/2014 7:03:00</t>
  </si>
  <si>
    <t>4/1/2014 7:06:00</t>
  </si>
  <si>
    <t>4/1/2014 7:07:00</t>
  </si>
  <si>
    <t>4/1/2014 7:08:00</t>
  </si>
  <si>
    <t>4/1/2014 7:09:00</t>
  </si>
  <si>
    <t>4/1/2014 7:11:00</t>
  </si>
  <si>
    <t>4/1/2014 7:12:00</t>
  </si>
  <si>
    <t>4/1/2014 7:14:00</t>
  </si>
  <si>
    <t>4/1/2014 7:15:00</t>
  </si>
  <si>
    <t>4/1/2014 7:17:00</t>
  </si>
  <si>
    <t>4/1/2014 7:20:00</t>
  </si>
  <si>
    <t>4/1/2014 7:21:00</t>
  </si>
  <si>
    <t>4/1/2014 7:22:00</t>
  </si>
  <si>
    <t>4/1/2014 7:23:00</t>
  </si>
  <si>
    <t>4/1/2014 7:24:00</t>
  </si>
  <si>
    <t>4/1/2014 7:25:00</t>
  </si>
  <si>
    <t>4/1/2014 7:26:00</t>
  </si>
  <si>
    <t>4/1/2014 7:27:00</t>
  </si>
  <si>
    <t>4/1/2014 7:28:00</t>
  </si>
  <si>
    <t>4/1/2014 7:29:00</t>
  </si>
  <si>
    <t>4/1/2014 7:30:00</t>
  </si>
  <si>
    <t>4/1/2014 7:32:00</t>
  </si>
  <si>
    <t>4/1/2014 7:35:00</t>
  </si>
  <si>
    <t>4/1/2014 7:37:00</t>
  </si>
  <si>
    <t>4/1/2014 7:38:00</t>
  </si>
  <si>
    <t>4/1/2014 7:40:00</t>
  </si>
  <si>
    <t>4/1/2014 7:42:00</t>
  </si>
  <si>
    <t>4/1/2014 7:45:00</t>
  </si>
  <si>
    <t>4/1/2014 7:46:00</t>
  </si>
  <si>
    <t>4/1/2014 7:50:00</t>
  </si>
  <si>
    <t>4/1/2014 7:51:00</t>
  </si>
  <si>
    <t>4/1/2014 7:53:00</t>
  </si>
  <si>
    <t>4/1/2014 7:54:00</t>
  </si>
  <si>
    <t>4/1/2014 7:55:00</t>
  </si>
  <si>
    <t>4/1/2014 7:56:00</t>
  </si>
  <si>
    <t>4/1/2014 7:57:00</t>
  </si>
  <si>
    <t>4/1/2014 7:59:00</t>
  </si>
  <si>
    <t>4/1/2014 8:01:00</t>
  </si>
  <si>
    <t>4/1/2014 8:02:00</t>
  </si>
  <si>
    <t>4/1/2014 8:05:00</t>
  </si>
  <si>
    <t>4/1/2014 8:07:00</t>
  </si>
  <si>
    <t>4/1/2014 8:08:00</t>
  </si>
  <si>
    <t>4/1/2014 8:10:00</t>
  </si>
  <si>
    <t>4/1/2014 8:11:00</t>
  </si>
  <si>
    <t>4/1/2014 8:16:00</t>
  </si>
  <si>
    <t>4/1/2014 8:18:00</t>
  </si>
  <si>
    <t>4/1/2014 8:19:00</t>
  </si>
  <si>
    <t>4/1/2014 8:20:00</t>
  </si>
  <si>
    <t>4/1/2014 8:21:00</t>
  </si>
  <si>
    <t>4/1/2014 8:22:00</t>
  </si>
  <si>
    <t>4/1/2014 8:24:00</t>
  </si>
  <si>
    <t>4/1/2014 8:25:00</t>
  </si>
  <si>
    <t>4/1/2014 8:27:00</t>
  </si>
  <si>
    <t>4/1/2014 8:28:00</t>
  </si>
  <si>
    <t>4/1/2014 8:29:00</t>
  </si>
  <si>
    <t>4/1/2014 8:30:00</t>
  </si>
  <si>
    <t>4/1/2014 8:32:00</t>
  </si>
  <si>
    <t>4/1/2014 8:36:00</t>
  </si>
  <si>
    <t>4/1/2014 8:39:00</t>
  </si>
  <si>
    <t>4/1/2014 8:42:00</t>
  </si>
  <si>
    <t>4/1/2014 8:43:00</t>
  </si>
  <si>
    <t>4/1/2014 8:44:00</t>
  </si>
  <si>
    <t>4/1/2014 8:45:00</t>
  </si>
  <si>
    <t>4/1/2014 8:46:00</t>
  </si>
  <si>
    <t>4/1/2014 8:49:00</t>
  </si>
  <si>
    <t>4/1/2014 8:51:00</t>
  </si>
  <si>
    <t>4/1/2014 8:52:00</t>
  </si>
  <si>
    <t>4/1/2014 8:54:00</t>
  </si>
  <si>
    <t>4/1/2014 8:56:00</t>
  </si>
  <si>
    <t>4/1/2014 8:58:00</t>
  </si>
  <si>
    <t>4/1/2014 9:00:00</t>
  </si>
  <si>
    <t>4/1/2014 9:02:00</t>
  </si>
  <si>
    <t>4/1/2014 9:05:00</t>
  </si>
  <si>
    <t>4/1/2014 9:06:00</t>
  </si>
  <si>
    <t>4/1/2014 9:07:00</t>
  </si>
  <si>
    <t>4/1/2014 9:08:00</t>
  </si>
  <si>
    <t>4/1/2014 9:10:00</t>
  </si>
  <si>
    <t>4/1/2014 9:12:00</t>
  </si>
  <si>
    <t>4/1/2014 9:15:00</t>
  </si>
  <si>
    <t>4/1/2014 9:16:00</t>
  </si>
  <si>
    <t>4/1/2014 9:23:00</t>
  </si>
  <si>
    <t>4/1/2014 9:24:00</t>
  </si>
  <si>
    <t>4/1/2014 9:25:00</t>
  </si>
  <si>
    <t>4/1/2014 9:28:00</t>
  </si>
  <si>
    <t>4/1/2014 9:30:00</t>
  </si>
  <si>
    <t>4/1/2014 9:32:00</t>
  </si>
  <si>
    <t>4/1/2014 9:35:00</t>
  </si>
  <si>
    <t>4/1/2014 9:38:00</t>
  </si>
  <si>
    <t>4/1/2014 9:42:00</t>
  </si>
  <si>
    <t>4/1/2014 9:46:00</t>
  </si>
  <si>
    <t>4/1/2014 9:48:00</t>
  </si>
  <si>
    <t>4/1/2014 9:49:00</t>
  </si>
  <si>
    <t>4/1/2014 9:52:00</t>
  </si>
  <si>
    <t>4/1/2014 9:54:00</t>
  </si>
  <si>
    <t>4/1/2014 9:55:00</t>
  </si>
  <si>
    <t>4/1/2014 9:58:00</t>
  </si>
  <si>
    <t>4/1/2014 10:01:00</t>
  </si>
  <si>
    <t>4/1/2014 10:04:00</t>
  </si>
  <si>
    <t>4/1/2014 10:05:00</t>
  </si>
  <si>
    <t>4/1/2014 10:06:00</t>
  </si>
  <si>
    <t>4/1/2014 10:07:00</t>
  </si>
  <si>
    <t>4/1/2014 10:15:00</t>
  </si>
  <si>
    <t>4/1/2014 10:18:00</t>
  </si>
  <si>
    <t>4/1/2014 10:22:00</t>
  </si>
  <si>
    <t>4/1/2014 10:23:00</t>
  </si>
  <si>
    <t>4/1/2014 10:27:00</t>
  </si>
  <si>
    <t>4/1/2014 10:29:00</t>
  </si>
  <si>
    <t>4/1/2014 10:32:00</t>
  </si>
  <si>
    <t>4/1/2014 10:33:00</t>
  </si>
  <si>
    <t>4/1/2014 10:34:00</t>
  </si>
  <si>
    <t>4/1/2014 10:36:00</t>
  </si>
  <si>
    <t>4/1/2014 10:37:00</t>
  </si>
  <si>
    <t>4/1/2014 10:41:00</t>
  </si>
  <si>
    <t>4/1/2014 10:43:00</t>
  </si>
  <si>
    <t>4/1/2014 10:44:00</t>
  </si>
  <si>
    <t>4/1/2014 10:46:00</t>
  </si>
  <si>
    <t>4/1/2014 10:48:00</t>
  </si>
  <si>
    <t>4/1/2014 10:53:00</t>
  </si>
  <si>
    <t>4/1/2014 10:54:00</t>
  </si>
  <si>
    <t>4/1/2014 10:55:00</t>
  </si>
  <si>
    <t>4/1/2014 10:58:00</t>
  </si>
  <si>
    <t>4/1/2014 10:59:00</t>
  </si>
  <si>
    <t>4/1/2014 11:01:00</t>
  </si>
  <si>
    <t>4/1/2014 11:02:00</t>
  </si>
  <si>
    <t>4/1/2014 11:03:00</t>
  </si>
  <si>
    <t>4/1/2014 11:04:00</t>
  </si>
  <si>
    <t>4/1/2014 11:05:00</t>
  </si>
  <si>
    <t>4/1/2014 11:06:00</t>
  </si>
  <si>
    <t>40.769</t>
  </si>
  <si>
    <t>40.7267</t>
  </si>
  <si>
    <t>40.7316</t>
  </si>
  <si>
    <t>40.7588</t>
  </si>
  <si>
    <t>40.7594</t>
  </si>
  <si>
    <t>40.7383</t>
  </si>
  <si>
    <t>40.7223</t>
  </si>
  <si>
    <t>40.762</t>
  </si>
  <si>
    <t>40.7524</t>
  </si>
  <si>
    <t>40.7575</t>
  </si>
  <si>
    <t>40.7256</t>
  </si>
  <si>
    <t>40.7591</t>
  </si>
  <si>
    <t>40.7271</t>
  </si>
  <si>
    <t>40.6463</t>
  </si>
  <si>
    <t>40.7564</t>
  </si>
  <si>
    <t>40.7666</t>
  </si>
  <si>
    <t>40.758</t>
  </si>
  <si>
    <t>40.7238</t>
  </si>
  <si>
    <t>40.7531</t>
  </si>
  <si>
    <t>40.7389</t>
  </si>
  <si>
    <t>40.7619</t>
  </si>
  <si>
    <t>40.753</t>
  </si>
  <si>
    <t>40.6561</t>
  </si>
  <si>
    <t>40.725</t>
  </si>
  <si>
    <t>40.695</t>
  </si>
  <si>
    <t>40.9859</t>
  </si>
  <si>
    <t>40.6879</t>
  </si>
  <si>
    <t>40.6878</t>
  </si>
  <si>
    <t>40.7234</t>
  </si>
  <si>
    <t>40.7336</t>
  </si>
  <si>
    <t>40.7141</t>
  </si>
  <si>
    <t>40.7893</t>
  </si>
  <si>
    <t>40.7747</t>
  </si>
  <si>
    <t>40.7689</t>
  </si>
  <si>
    <t>40.7744</t>
  </si>
  <si>
    <t>40.7393</t>
  </si>
  <si>
    <t>40.7776</t>
  </si>
  <si>
    <t>40.6483</t>
  </si>
  <si>
    <t>40.6907</t>
  </si>
  <si>
    <t>40.7217</t>
  </si>
  <si>
    <t>40.7651</t>
  </si>
  <si>
    <t>40.7437</t>
  </si>
  <si>
    <t>40.7605</t>
  </si>
  <si>
    <t>40.743</t>
  </si>
  <si>
    <t>40.7423</t>
  </si>
  <si>
    <t>40.7236</t>
  </si>
  <si>
    <t>40.7723</t>
  </si>
  <si>
    <t>40.7574</t>
  </si>
  <si>
    <t>40.7838</t>
  </si>
  <si>
    <t>40.7711</t>
  </si>
  <si>
    <t>40.7571</t>
  </si>
  <si>
    <t>40.7442</t>
  </si>
  <si>
    <t>40.7166</t>
  </si>
  <si>
    <t>40.7507</t>
  </si>
  <si>
    <t>40.7337</t>
  </si>
  <si>
    <t>40.7151</t>
  </si>
  <si>
    <t>40.7701</t>
  </si>
  <si>
    <t>40.86</t>
  </si>
  <si>
    <t>40.7555</t>
  </si>
  <si>
    <t>40.7249</t>
  </si>
  <si>
    <t>40.6193</t>
  </si>
  <si>
    <t>40.7753</t>
  </si>
  <si>
    <t>40.7204</t>
  </si>
  <si>
    <t>40.7772</t>
  </si>
  <si>
    <t>40.74</t>
  </si>
  <si>
    <t>40.7741</t>
  </si>
  <si>
    <t>40.7599</t>
  </si>
  <si>
    <t>40.7791</t>
  </si>
  <si>
    <t>40.7382</t>
  </si>
  <si>
    <t>40.7391</t>
  </si>
  <si>
    <t>40.7806</t>
  </si>
  <si>
    <t>40.7322</t>
  </si>
  <si>
    <t>40.7703</t>
  </si>
  <si>
    <t>40.7221</t>
  </si>
  <si>
    <t>40.7677</t>
  </si>
  <si>
    <t>40.7404</t>
  </si>
  <si>
    <t>40.7679</t>
  </si>
  <si>
    <t>40.7694</t>
  </si>
  <si>
    <t>40.7858</t>
  </si>
  <si>
    <t>40.7742</t>
  </si>
  <si>
    <t>40.7614</t>
  </si>
  <si>
    <t>40.793</t>
  </si>
  <si>
    <t>40.7231</t>
  </si>
  <si>
    <t>40.7874</t>
  </si>
  <si>
    <t>40.7789</t>
  </si>
  <si>
    <t>40.7877</t>
  </si>
  <si>
    <t>40.7255</t>
  </si>
  <si>
    <t>40.7653</t>
  </si>
  <si>
    <t>40.7644</t>
  </si>
  <si>
    <t>40.7726</t>
  </si>
  <si>
    <t>40.7898</t>
  </si>
  <si>
    <t>40.7839</t>
  </si>
  <si>
    <t>40.699</t>
  </si>
  <si>
    <t>40.7581</t>
  </si>
  <si>
    <t>40.768</t>
  </si>
  <si>
    <t>40.771</t>
  </si>
  <si>
    <t>40.7808</t>
  </si>
  <si>
    <t>40.7147</t>
  </si>
  <si>
    <t>40.7732</t>
  </si>
  <si>
    <t>40.7335</t>
  </si>
  <si>
    <t>40.7754</t>
  </si>
  <si>
    <t>40.7752</t>
  </si>
  <si>
    <t>40.7243</t>
  </si>
  <si>
    <t>40.7786</t>
  </si>
  <si>
    <t>40.8674</t>
  </si>
  <si>
    <t>40.7678</t>
  </si>
  <si>
    <t>40.7749</t>
  </si>
  <si>
    <t>40.7209</t>
  </si>
  <si>
    <t>40.756</t>
  </si>
  <si>
    <t>40.7923</t>
  </si>
  <si>
    <t>40.739</t>
  </si>
  <si>
    <t>40.7273</t>
  </si>
  <si>
    <t>40.7751</t>
  </si>
  <si>
    <t>40.7406</t>
  </si>
  <si>
    <t>40.8364</t>
  </si>
  <si>
    <t>40.7452</t>
  </si>
  <si>
    <t>40.7805</t>
  </si>
  <si>
    <t>40.7814</t>
  </si>
  <si>
    <t>40.7864</t>
  </si>
  <si>
    <t>40.783</t>
  </si>
  <si>
    <t>40.7582</t>
  </si>
  <si>
    <t>40.7216</t>
  </si>
  <si>
    <t>40.7298</t>
  </si>
  <si>
    <t>40.7746</t>
  </si>
  <si>
    <t>40.7208</t>
  </si>
  <si>
    <t>40.7669</t>
  </si>
  <si>
    <t>40.7084</t>
  </si>
  <si>
    <t>40.7425</t>
  </si>
  <si>
    <t>40.7424</t>
  </si>
  <si>
    <t>40.7724</t>
  </si>
  <si>
    <t>40.7787</t>
  </si>
  <si>
    <t>40.7368</t>
  </si>
  <si>
    <t>40.7174</t>
  </si>
  <si>
    <t>40.7305</t>
  </si>
  <si>
    <t>40.7229</t>
  </si>
  <si>
    <t>40.7396</t>
  </si>
  <si>
    <t>40.719</t>
  </si>
  <si>
    <t>40.8271</t>
  </si>
  <si>
    <t>40.7793</t>
  </si>
  <si>
    <t>40.7266</t>
  </si>
  <si>
    <t>40.6922</t>
  </si>
  <si>
    <t>40.7418</t>
  </si>
  <si>
    <t>40.7108</t>
  </si>
  <si>
    <t>40.7857</t>
  </si>
  <si>
    <t>40.7757</t>
  </si>
  <si>
    <t>40.7514</t>
  </si>
  <si>
    <t>40.7343</t>
  </si>
  <si>
    <t>40.734</t>
  </si>
  <si>
    <t>40.718</t>
  </si>
  <si>
    <t>40.7287</t>
  </si>
  <si>
    <t>40.692</t>
  </si>
  <si>
    <t>40.778</t>
  </si>
  <si>
    <t>40.7658</t>
  </si>
  <si>
    <t>40.7222</t>
  </si>
  <si>
    <t>40.7329</t>
  </si>
  <si>
    <t>40.7659</t>
  </si>
  <si>
    <t>40.789</t>
  </si>
  <si>
    <t>40.7617</t>
  </si>
  <si>
    <t>40.7214</t>
  </si>
  <si>
    <t>40.7595</t>
  </si>
  <si>
    <t>40.7931</t>
  </si>
  <si>
    <t>40.7371</t>
  </si>
  <si>
    <t>40.7345</t>
  </si>
  <si>
    <t>40.8822</t>
  </si>
  <si>
    <t>40.7326</t>
  </si>
  <si>
    <t>40.7596</t>
  </si>
  <si>
    <t>40.6904</t>
  </si>
  <si>
    <t>40.7408</t>
  </si>
  <si>
    <t>40.6819</t>
  </si>
  <si>
    <t>40.7624</t>
  </si>
  <si>
    <t>40.7889</t>
  </si>
  <si>
    <t>40.7835</t>
  </si>
  <si>
    <t>40.7261</t>
  </si>
  <si>
    <t>40.7303</t>
  </si>
  <si>
    <t>40.8736</t>
  </si>
  <si>
    <t>40.724</t>
  </si>
  <si>
    <t>40.7607</t>
  </si>
  <si>
    <t>40.7625</t>
  </si>
  <si>
    <t>40.7377</t>
  </si>
  <si>
    <t>40.7388</t>
  </si>
  <si>
    <t>40.7691</t>
  </si>
  <si>
    <t>40.7816</t>
  </si>
  <si>
    <t>40.7739</t>
  </si>
  <si>
    <t>40.7841</t>
  </si>
  <si>
    <t>40.7426</t>
  </si>
  <si>
    <t>40.775</t>
  </si>
  <si>
    <t>40.7356</t>
  </si>
  <si>
    <t>40.7118</t>
  </si>
  <si>
    <t>40.7097</t>
  </si>
  <si>
    <t>40.7438</t>
  </si>
  <si>
    <t>40.76</t>
  </si>
  <si>
    <t>40.7788</t>
  </si>
  <si>
    <t>40.8078</t>
  </si>
  <si>
    <t>40.7631</t>
  </si>
  <si>
    <t>40.7714</t>
  </si>
  <si>
    <t>40.733</t>
  </si>
  <si>
    <t>40.7412</t>
  </si>
  <si>
    <t>40.7526</t>
  </si>
  <si>
    <t>40.7602</t>
  </si>
  <si>
    <t>40.773</t>
  </si>
  <si>
    <t>40.7628</t>
  </si>
  <si>
    <t>40.7283</t>
  </si>
  <si>
    <t>40.7195</t>
  </si>
  <si>
    <t>40.7401</t>
  </si>
  <si>
    <t>40.7686</t>
  </si>
  <si>
    <t>40.7795</t>
  </si>
  <si>
    <t>40.7148</t>
  </si>
  <si>
    <t>40.745</t>
  </si>
  <si>
    <t>40.7768</t>
  </si>
  <si>
    <t>40.7367</t>
  </si>
  <si>
    <t>40.8079</t>
  </si>
  <si>
    <t>40.6678</t>
  </si>
  <si>
    <t>40.721</t>
  </si>
  <si>
    <t>40.7764</t>
  </si>
  <si>
    <t>40.7745</t>
  </si>
  <si>
    <t>40.7224</t>
  </si>
  <si>
    <t>40.7736</t>
  </si>
  <si>
    <t>40.7348</t>
  </si>
  <si>
    <t>40.6948</t>
  </si>
  <si>
    <t>40.7573</t>
  </si>
  <si>
    <t>40.6949</t>
  </si>
  <si>
    <t>40.7771</t>
  </si>
  <si>
    <t>40.7584</t>
  </si>
  <si>
    <t>40.755</t>
  </si>
  <si>
    <t>40.7226</t>
  </si>
  <si>
    <t>40.774</t>
  </si>
  <si>
    <t>40.7718</t>
  </si>
  <si>
    <t>40.7748</t>
  </si>
  <si>
    <t>40.7636</t>
  </si>
  <si>
    <t>40.7743</t>
  </si>
  <si>
    <t>40.7688</t>
  </si>
  <si>
    <t>40.7254</t>
  </si>
  <si>
    <t>40.7534</t>
  </si>
  <si>
    <t>40.7773</t>
  </si>
  <si>
    <t>40.7233</t>
  </si>
  <si>
    <t>40.763</t>
  </si>
  <si>
    <t>40.7822</t>
  </si>
  <si>
    <t>40.6916</t>
  </si>
  <si>
    <t>40.7577</t>
  </si>
  <si>
    <t>40.7668</t>
  </si>
  <si>
    <t>40.7072</t>
  </si>
  <si>
    <t>40.7883</t>
  </si>
  <si>
    <t>40.7568</t>
  </si>
  <si>
    <t>40.7457</t>
  </si>
  <si>
    <t>40.7863</t>
  </si>
  <si>
    <t>40.7593</t>
  </si>
  <si>
    <t>40.7398</t>
  </si>
  <si>
    <t>40.8275</t>
  </si>
  <si>
    <t>-73.9549</t>
  </si>
  <si>
    <t>-74.0345</t>
  </si>
  <si>
    <t>-73.9873</t>
  </si>
  <si>
    <t>-73.9776</t>
  </si>
  <si>
    <t>-73.9722</t>
  </si>
  <si>
    <t>-74.0403</t>
  </si>
  <si>
    <t>-73.9887</t>
  </si>
  <si>
    <t>-73.979</t>
  </si>
  <si>
    <t>-73.996</t>
  </si>
  <si>
    <t>-73.9846</t>
  </si>
  <si>
    <t>-73.9869</t>
  </si>
  <si>
    <t>-73.9684</t>
  </si>
  <si>
    <t>-73.9803</t>
  </si>
  <si>
    <t>-73.7896</t>
  </si>
  <si>
    <t>-73.9167</t>
  </si>
  <si>
    <t>-73.9531</t>
  </si>
  <si>
    <t>-73.9761</t>
  </si>
  <si>
    <t>-73.9821</t>
  </si>
  <si>
    <t>-74.0039</t>
  </si>
  <si>
    <t>-74.0393</t>
  </si>
  <si>
    <t>-73.9715</t>
  </si>
  <si>
    <t>-74.0042</t>
  </si>
  <si>
    <t>-73.9844</t>
  </si>
  <si>
    <t>-74.1783</t>
  </si>
  <si>
    <t>-74.1578</t>
  </si>
  <si>
    <t>-74.1814</t>
  </si>
  <si>
    <t>-74.1816</t>
  </si>
  <si>
    <t>-73.9974</t>
  </si>
  <si>
    <t>-73.99</t>
  </si>
  <si>
    <t>-74.0094</t>
  </si>
  <si>
    <t>-73.9709</t>
  </si>
  <si>
    <t>-73.991</t>
  </si>
  <si>
    <t>-73.9876</t>
  </si>
  <si>
    <t>-74.0149</t>
  </si>
  <si>
    <t>-73.9752</t>
  </si>
  <si>
    <t>-73.7829</t>
  </si>
  <si>
    <t>-74.1782</t>
  </si>
  <si>
    <t>-73.9875</t>
  </si>
  <si>
    <t>-73.9632</t>
  </si>
  <si>
    <t>-73.9985</t>
  </si>
  <si>
    <t>-73.978</t>
  </si>
  <si>
    <t>-74.0301</t>
  </si>
  <si>
    <t>-74.0371</t>
  </si>
  <si>
    <t>-74.0037</t>
  </si>
  <si>
    <t>-73.9527</t>
  </si>
  <si>
    <t>-73.9862</t>
  </si>
  <si>
    <t>-73.9504</t>
  </si>
  <si>
    <t>-73.9871</t>
  </si>
  <si>
    <t>-73.9726</t>
  </si>
  <si>
    <t>-73.9854</t>
  </si>
  <si>
    <t>-74.0144</t>
  </si>
  <si>
    <t>-73.9703</t>
  </si>
  <si>
    <t>-73.9979</t>
  </si>
  <si>
    <t>-74.0111</t>
  </si>
  <si>
    <t>-74.0464</t>
  </si>
  <si>
    <t>-73.9588</t>
  </si>
  <si>
    <t>-73.9142</t>
  </si>
  <si>
    <t>-73.9729</t>
  </si>
  <si>
    <t>-74.0355</t>
  </si>
  <si>
    <t>-74.157</t>
  </si>
  <si>
    <t>-73.9545</t>
  </si>
  <si>
    <t>-73.9595</t>
  </si>
  <si>
    <t>-74.082</t>
  </si>
  <si>
    <t>-73.9879</t>
  </si>
  <si>
    <t>-73.9568</t>
  </si>
  <si>
    <t>-73.9944</t>
  </si>
  <si>
    <t>-73.9623</t>
  </si>
  <si>
    <t>-74.0033</t>
  </si>
  <si>
    <t>-73.9989</t>
  </si>
  <si>
    <t>-73.982</t>
  </si>
  <si>
    <t>-73.9863</t>
  </si>
  <si>
    <t>-73.966</t>
  </si>
  <si>
    <t>-74.0018</t>
  </si>
  <si>
    <t>-73.9895</t>
  </si>
  <si>
    <t>-73.9656</t>
  </si>
  <si>
    <t>-74.0076</t>
  </si>
  <si>
    <t>-73.9599</t>
  </si>
  <si>
    <t>-73.9852</t>
  </si>
  <si>
    <t>-73.9546</t>
  </si>
  <si>
    <t>-73.9491</t>
  </si>
  <si>
    <t>-73.95</t>
  </si>
  <si>
    <t>-73.9997</t>
  </si>
  <si>
    <t>-73.9749</t>
  </si>
  <si>
    <t>-73.9442</t>
  </si>
  <si>
    <t>-73.9812</t>
  </si>
  <si>
    <t>-73.9557</t>
  </si>
  <si>
    <t>-74.0054</t>
  </si>
  <si>
    <t>-73.973</t>
  </si>
  <si>
    <t>-74.0092</t>
  </si>
  <si>
    <t>-73.9723</t>
  </si>
  <si>
    <t>-73.9769</t>
  </si>
  <si>
    <t>-73.9532</t>
  </si>
  <si>
    <t>-73.9661</t>
  </si>
  <si>
    <t>-74.0016</t>
  </si>
  <si>
    <t>-73.9951</t>
  </si>
  <si>
    <t>-73.9219</t>
  </si>
  <si>
    <t>-73.9191</t>
  </si>
  <si>
    <t>-73.9897</t>
  </si>
  <si>
    <t>-73.866</t>
  </si>
  <si>
    <t>-73.9487</t>
  </si>
  <si>
    <t>-74.0362</t>
  </si>
  <si>
    <t>-74.0043</t>
  </si>
  <si>
    <t>-73.9782</t>
  </si>
  <si>
    <t>-73.9455</t>
  </si>
  <si>
    <t>-74.0021</t>
  </si>
  <si>
    <t>-73.9512</t>
  </si>
  <si>
    <t>-73.9788</t>
  </si>
  <si>
    <t>-73.8822</t>
  </si>
  <si>
    <t>-73.9704</t>
  </si>
  <si>
    <t>-73.9587</t>
  </si>
  <si>
    <t>-73.9813</t>
  </si>
  <si>
    <t>-73.9676</t>
  </si>
  <si>
    <t>-73.9991</t>
  </si>
  <si>
    <t>-73.9797</t>
  </si>
  <si>
    <t>-73.9475</t>
  </si>
  <si>
    <t>-73.9983</t>
  </si>
  <si>
    <t>-74.1461</t>
  </si>
  <si>
    <t>-73.9481</t>
  </si>
  <si>
    <t>-73.9513</t>
  </si>
  <si>
    <t>-73.9699</t>
  </si>
  <si>
    <t>-73.9559</t>
  </si>
  <si>
    <t>-73.9928</t>
  </si>
  <si>
    <t>-74.0046</t>
  </si>
  <si>
    <t>-73.9988</t>
  </si>
  <si>
    <t>-73.956</t>
  </si>
  <si>
    <t>-73.994</t>
  </si>
  <si>
    <t>-73.9617</t>
  </si>
  <si>
    <t>-74.0064</t>
  </si>
  <si>
    <t>-73.9942</t>
  </si>
  <si>
    <t>-73.9838</t>
  </si>
  <si>
    <t>-73.955</t>
  </si>
  <si>
    <t>-73.9637</t>
  </si>
  <si>
    <t>-74.0044</t>
  </si>
  <si>
    <t>-73.9924</t>
  </si>
  <si>
    <t>-73.9934</t>
  </si>
  <si>
    <t>-73.9613</t>
  </si>
  <si>
    <t>-73.981</t>
  </si>
  <si>
    <t>-73.9994</t>
  </si>
  <si>
    <t>-74.1774</t>
  </si>
  <si>
    <t>-73.9495</t>
  </si>
  <si>
    <t>-73.9801</t>
  </si>
  <si>
    <t>-74.1811</t>
  </si>
  <si>
    <t>-74.0074</t>
  </si>
  <si>
    <t>-73.9845</t>
  </si>
  <si>
    <t>-73.9802</t>
  </si>
  <si>
    <t>-73.9502</t>
  </si>
  <si>
    <t>-73.9936</t>
  </si>
  <si>
    <t>-74.0099</t>
  </si>
  <si>
    <t>-73.9805</t>
  </si>
  <si>
    <t>-73.9707</t>
  </si>
  <si>
    <t>-74.1813</t>
  </si>
  <si>
    <t>-73.9692</t>
  </si>
  <si>
    <t>-74.0104</t>
  </si>
  <si>
    <t>-73.9881</t>
  </si>
  <si>
    <t>-73.9766</t>
  </si>
  <si>
    <t>-73.9618</t>
  </si>
  <si>
    <t>-73.9743</t>
  </si>
  <si>
    <t>-73.9843</t>
  </si>
  <si>
    <t>-73.9913</t>
  </si>
  <si>
    <t>-73.9748</t>
  </si>
  <si>
    <t>-74.0004</t>
  </si>
  <si>
    <t>-73.9912</t>
  </si>
  <si>
    <t>-73.9211</t>
  </si>
  <si>
    <t>-73.9787</t>
  </si>
  <si>
    <t>-74.0038</t>
  </si>
  <si>
    <t>-73.9737</t>
  </si>
  <si>
    <t>-74.1778</t>
  </si>
  <si>
    <t>-73.9914</t>
  </si>
  <si>
    <t>-73.9358</t>
  </si>
  <si>
    <t>-73.9714</t>
  </si>
  <si>
    <t>-73.9548</t>
  </si>
  <si>
    <t>-73.9542</t>
  </si>
  <si>
    <t>-73.9918</t>
  </si>
  <si>
    <t>-73.9937</t>
  </si>
  <si>
    <t>-74.0628</t>
  </si>
  <si>
    <t>-73.9981</t>
  </si>
  <si>
    <t>-73.9578</t>
  </si>
  <si>
    <t>-73.9861</t>
  </si>
  <si>
    <t>-73.9841</t>
  </si>
  <si>
    <t>-73.9724</t>
  </si>
  <si>
    <t>-73.9965</t>
  </si>
  <si>
    <t>-74.0087</t>
  </si>
  <si>
    <t>-73.9652</t>
  </si>
  <si>
    <t>-73.9602</t>
  </si>
  <si>
    <t>-73.8717</t>
  </si>
  <si>
    <t>-73.9963</t>
  </si>
  <si>
    <t>-73.8669</t>
  </si>
  <si>
    <t>-73.9888</t>
  </si>
  <si>
    <t>-74.0029</t>
  </si>
  <si>
    <t>-73.9784</t>
  </si>
  <si>
    <t>-73.9499</t>
  </si>
  <si>
    <t>-74.0153</t>
  </si>
  <si>
    <t>-74.0061</t>
  </si>
  <si>
    <t>-73.9635</t>
  </si>
  <si>
    <t>-73.9639</t>
  </si>
  <si>
    <t>-73.951</t>
  </si>
  <si>
    <t>-73.9594</t>
  </si>
  <si>
    <t>-73.983</t>
  </si>
  <si>
    <t>-73.9901</t>
  </si>
  <si>
    <t>-73.9878</t>
  </si>
  <si>
    <t>-73.975</t>
  </si>
  <si>
    <t>-73.9598</t>
  </si>
  <si>
    <t>-73.9669</t>
  </si>
  <si>
    <t>-73.9948</t>
  </si>
  <si>
    <t>-73.9636</t>
  </si>
  <si>
    <t>-74.0071</t>
  </si>
  <si>
    <t>-74.0367</t>
  </si>
  <si>
    <t>-73.9911</t>
  </si>
  <si>
    <t>-73.992</t>
  </si>
  <si>
    <t>-73.9698</t>
  </si>
  <si>
    <t>-73.9982</t>
  </si>
  <si>
    <t>-73.9837</t>
  </si>
  <si>
    <t>-74.0162</t>
  </si>
  <si>
    <t>-73.9759</t>
  </si>
  <si>
    <t>-73.9773</t>
  </si>
  <si>
    <t>-73.8726</t>
  </si>
  <si>
    <t>-73.9907</t>
  </si>
  <si>
    <t>-73.9847</t>
  </si>
  <si>
    <t>-73.9638</t>
  </si>
  <si>
    <t>-73.7956</t>
  </si>
  <si>
    <t>-73.9581</t>
  </si>
  <si>
    <t>-73.9935</t>
  </si>
  <si>
    <t>-73.9626</t>
  </si>
  <si>
    <t>-73.9929</t>
  </si>
  <si>
    <t>-74.1779</t>
  </si>
  <si>
    <t>-73.9877</t>
  </si>
  <si>
    <t>-74.1781</t>
  </si>
  <si>
    <t>-73.9754</t>
  </si>
  <si>
    <t>-73.989</t>
  </si>
  <si>
    <t>-73.9607</t>
  </si>
  <si>
    <t>-73.9654</t>
  </si>
  <si>
    <t>-73.8627</t>
  </si>
  <si>
    <t>-74.0062</t>
  </si>
  <si>
    <t>-73.9781</t>
  </si>
  <si>
    <t>-73.9677</t>
  </si>
  <si>
    <t>-73.9694</t>
  </si>
  <si>
    <t>-73.9789</t>
  </si>
  <si>
    <t>-73.9629</t>
  </si>
  <si>
    <t>-74.0058</t>
  </si>
  <si>
    <t>-74.0049</t>
  </si>
  <si>
    <t>-73.9964</t>
  </si>
  <si>
    <t>-74.0456</t>
  </si>
  <si>
    <t>-73.9721</t>
  </si>
  <si>
    <t>-73.9728</t>
  </si>
  <si>
    <t>-73.9916</t>
  </si>
  <si>
    <t>-73.9774</t>
  </si>
  <si>
    <t>-74.0468</t>
  </si>
  <si>
    <t>Date/Time</t>
  </si>
  <si>
    <t>Lat</t>
  </si>
  <si>
    <t>Lon</t>
  </si>
  <si>
    <t>Base</t>
  </si>
  <si>
    <t>Dispatching_base_num</t>
  </si>
  <si>
    <t>Pickup_date</t>
  </si>
  <si>
    <t>2015-05-17 09:47:00</t>
  </si>
  <si>
    <t>2015-05-17 09:48:00</t>
  </si>
  <si>
    <t>2015-05-17 09:49:00</t>
  </si>
  <si>
    <t>2015-05-17 09:50:00</t>
  </si>
  <si>
    <t>2015-05-17 09:51:00</t>
  </si>
  <si>
    <t>2015-05-17 09:52:00</t>
  </si>
  <si>
    <t>2015-05-17 09:53:00</t>
  </si>
  <si>
    <t>2015-05-17 09:54:00</t>
  </si>
  <si>
    <t>2015-05-17 09:55:00</t>
  </si>
  <si>
    <t>2015-05-17 09:56:00</t>
  </si>
  <si>
    <t>2015-05-17 09:57:00</t>
  </si>
  <si>
    <t>2015-05-17 09:58:00</t>
  </si>
  <si>
    <t>2015-05-17 09:59:00</t>
  </si>
  <si>
    <t>2015-05-17 10:00:00</t>
  </si>
  <si>
    <t>2015-05-17 10:01:00</t>
  </si>
  <si>
    <t>2015-05-17 10:02:00</t>
  </si>
  <si>
    <t>2015-05-17 10:03:00</t>
  </si>
  <si>
    <t>2015-05-17 10:04:00</t>
  </si>
  <si>
    <t>2015-05-17 10:05:00</t>
  </si>
  <si>
    <t>2015-05-17 10:06:00</t>
  </si>
  <si>
    <t>2015-05-17 10:07:00</t>
  </si>
  <si>
    <t>2015-05-17 10:08:00</t>
  </si>
  <si>
    <t>2015-05-17 10:09:00</t>
  </si>
  <si>
    <t>2015-05-17 10:10:00</t>
  </si>
  <si>
    <t>2015-05-17 10:11:00</t>
  </si>
  <si>
    <t>2015-05-17 10:12:00</t>
  </si>
  <si>
    <t>2015-05-17 10:13:00</t>
  </si>
  <si>
    <t>2015-05-17 10:14:00</t>
  </si>
  <si>
    <t>2015-05-17 10:15:00</t>
  </si>
  <si>
    <t>2015-05-17 10:16:00</t>
  </si>
  <si>
    <t>2015-05-17 10:17:00</t>
  </si>
  <si>
    <t>2015-05-17 10:18:00</t>
  </si>
  <si>
    <t>2015-05-17 10:19:00</t>
  </si>
  <si>
    <t>2015-05-17 10:20:00</t>
  </si>
  <si>
    <t>2015-05-17 10:21:00</t>
  </si>
  <si>
    <t>2015-05-17 10:22:00</t>
  </si>
  <si>
    <t>2015-05-17 10:23:00</t>
  </si>
  <si>
    <t>2015-05-17 10:24:00</t>
  </si>
  <si>
    <t>2015-05-17 10:25:00</t>
  </si>
  <si>
    <t>2015-05-17 10:26:00</t>
  </si>
  <si>
    <t>2015-05-17 10:27:00</t>
  </si>
  <si>
    <t>2015-05-17 10:28:00</t>
  </si>
  <si>
    <t>2015-05-17 10:29:00</t>
  </si>
  <si>
    <t>2015-05-17 10:30:00</t>
  </si>
  <si>
    <t>2015-05-17 10:31:00</t>
  </si>
  <si>
    <t>2015-05-17 10:32:00</t>
  </si>
  <si>
    <t>2015-05-17 10:33:00</t>
  </si>
  <si>
    <t>2015-05-17 10:34:00</t>
  </si>
  <si>
    <t>Affiliated_base_num</t>
  </si>
  <si>
    <t>B02774</t>
  </si>
  <si>
    <t>B00272</t>
  </si>
  <si>
    <t>B02401</t>
  </si>
  <si>
    <t>B01087</t>
  </si>
  <si>
    <t>B01197</t>
  </si>
  <si>
    <t>B02729</t>
  </si>
  <si>
    <t>B00227</t>
  </si>
  <si>
    <t>locationID</t>
  </si>
  <si>
    <t>141</t>
  </si>
  <si>
    <t>65</t>
  </si>
  <si>
    <t>100</t>
  </si>
  <si>
    <t>80</t>
  </si>
  <si>
    <t>90</t>
  </si>
  <si>
    <t>228</t>
  </si>
  <si>
    <t>7</t>
  </si>
  <si>
    <t>74</t>
  </si>
  <si>
    <t>249</t>
  </si>
  <si>
    <t>22</t>
  </si>
  <si>
    <t>263</t>
  </si>
  <si>
    <t>61</t>
  </si>
  <si>
    <t>229</t>
  </si>
  <si>
    <t>164</t>
  </si>
  <si>
    <t>237</t>
  </si>
  <si>
    <t>142</t>
  </si>
  <si>
    <t>188</t>
  </si>
  <si>
    <t>224</t>
  </si>
  <si>
    <t>238</t>
  </si>
  <si>
    <t>242</t>
  </si>
  <si>
    <t>95</t>
  </si>
  <si>
    <t>236</t>
  </si>
  <si>
    <t>233</t>
  </si>
  <si>
    <t>230</t>
  </si>
  <si>
    <t>162</t>
  </si>
  <si>
    <t>234</t>
  </si>
  <si>
    <t>161</t>
  </si>
  <si>
    <t>87</t>
  </si>
  <si>
    <t>246</t>
  </si>
  <si>
    <t>186</t>
  </si>
  <si>
    <t>48</t>
  </si>
  <si>
    <t>158</t>
  </si>
  <si>
    <t>137</t>
  </si>
  <si>
    <t>135</t>
  </si>
  <si>
    <t>145</t>
  </si>
  <si>
    <t>231</t>
  </si>
  <si>
    <t>125</t>
  </si>
  <si>
    <t>132</t>
  </si>
  <si>
    <t>170</t>
  </si>
  <si>
    <t>239</t>
  </si>
  <si>
    <t>41</t>
  </si>
  <si>
    <t>148</t>
  </si>
  <si>
    <t>79</t>
  </si>
  <si>
    <t>113</t>
  </si>
  <si>
    <t>68</t>
  </si>
  <si>
    <t>147</t>
  </si>
  <si>
    <t>255</t>
  </si>
  <si>
    <t>256</t>
  </si>
  <si>
    <t>181</t>
  </si>
  <si>
    <t>138</t>
  </si>
  <si>
    <t>166</t>
  </si>
  <si>
    <t>174</t>
  </si>
  <si>
    <t>62</t>
  </si>
  <si>
    <t>75</t>
  </si>
  <si>
    <t>143</t>
  </si>
  <si>
    <t>37</t>
  </si>
  <si>
    <t>33</t>
  </si>
  <si>
    <t>50</t>
  </si>
  <si>
    <t>17</t>
  </si>
  <si>
    <t>226</t>
  </si>
  <si>
    <t>28</t>
  </si>
  <si>
    <t>70</t>
  </si>
  <si>
    <t>235</t>
  </si>
  <si>
    <t>247</t>
  </si>
  <si>
    <t>244</t>
  </si>
  <si>
    <t>89</t>
  </si>
  <si>
    <t>112</t>
  </si>
  <si>
    <t>140</t>
  </si>
  <si>
    <t>42</t>
  </si>
  <si>
    <t>36</t>
  </si>
  <si>
    <t>94</t>
  </si>
  <si>
    <t>163</t>
  </si>
  <si>
    <t>20</t>
  </si>
  <si>
    <t>88</t>
  </si>
  <si>
    <t>64</t>
  </si>
  <si>
    <t>4</t>
  </si>
  <si>
    <t>153</t>
  </si>
  <si>
    <t>114</t>
  </si>
  <si>
    <t>225</t>
  </si>
  <si>
    <t>209</t>
  </si>
  <si>
    <t>144</t>
  </si>
  <si>
    <t>146</t>
  </si>
  <si>
    <t>69</t>
  </si>
  <si>
    <t>97</t>
  </si>
  <si>
    <t>29</t>
  </si>
  <si>
    <t>129</t>
  </si>
  <si>
    <t>43</t>
  </si>
  <si>
    <t>107</t>
  </si>
  <si>
    <t>85</t>
  </si>
  <si>
    <t>179</t>
  </si>
  <si>
    <t>25</t>
  </si>
  <si>
    <t>14</t>
  </si>
  <si>
    <t>262</t>
  </si>
  <si>
    <t>82</t>
  </si>
  <si>
    <t>106</t>
  </si>
  <si>
    <t>232</t>
  </si>
  <si>
    <t>151</t>
  </si>
  <si>
    <t>261</t>
  </si>
  <si>
    <t>189</t>
  </si>
  <si>
    <t>149</t>
  </si>
  <si>
    <t>Monthly trend — trips, days and average trips per day</t>
  </si>
  <si>
    <t>Trips = SUMIFS over the Daily table between the 1st of the month and EDATE(month, 1). Month-over-month growth only within the same period.</t>
  </si>
  <si>
    <t>Days</t>
  </si>
  <si>
    <t>Avg trips / day</t>
  </si>
  <si>
    <t>MoM growth</t>
  </si>
  <si>
    <t>MoM growth / day</t>
  </si>
  <si>
    <t/>
  </si>
  <si>
    <t>Year over year — same months (XLOOKUP with an INDEX/MATCH fallback for Excel 2019)</t>
  </si>
  <si>
    <t>Trips 2014</t>
  </si>
  <si>
    <t>Growth</t>
  </si>
  <si>
    <t>Multiple</t>
  </si>
  <si>
    <t>Apr-Jun</t>
  </si>
  <si>
    <t>Time patterns, Jan-Jun 2015 — average trips per hour by weekday and hour</t>
  </si>
  <si>
    <t>Each cell = AVERAGEIFS(Trips, Period, 2015, Weekday, row, Hour, column) over the Hourly table. Colour scale: white = low, blue = high.</t>
  </si>
  <si>
    <t>Mon</t>
  </si>
  <si>
    <t>Tue</t>
  </si>
  <si>
    <t>Wed</t>
  </si>
  <si>
    <t>Thu</t>
  </si>
  <si>
    <t>Fri</t>
  </si>
  <si>
    <t>Sat</t>
  </si>
  <si>
    <t>Sun</t>
  </si>
  <si>
    <t>Hour profile (2015)</t>
  </si>
  <si>
    <t>Avg trips</t>
  </si>
  <si>
    <t>Share Mon-Fri</t>
  </si>
  <si>
    <t>Share Sat-Sun</t>
  </si>
  <si>
    <t>Key figures</t>
  </si>
  <si>
    <t>Peak hour (highest average)</t>
  </si>
  <si>
    <t>Quietest hour</t>
  </si>
  <si>
    <t>Peak-to-trough ratio</t>
  </si>
  <si>
    <t>Average trips per day by weekday (2015)</t>
  </si>
  <si>
    <t>Avg trips per day</t>
  </si>
  <si>
    <t>Busiest weekday</t>
  </si>
  <si>
    <t>Quietest weekday</t>
  </si>
  <si>
    <t>Share of trips by time band (2015)</t>
  </si>
  <si>
    <t>Time band</t>
  </si>
  <si>
    <t>Mon-Fri</t>
  </si>
  <si>
    <t>Sat-Sun</t>
  </si>
  <si>
    <t>Night (0-5)</t>
  </si>
  <si>
    <t>Morning peak (6-9)</t>
  </si>
  <si>
    <t>Midday (10-15)</t>
  </si>
  <si>
    <t>Evening peak (16-19)</t>
  </si>
  <si>
    <t>Late evening (20-23)</t>
  </si>
  <si>
    <t>Daily view — busiest and quietest days, planning percentiles, holidays and storms</t>
  </si>
  <si>
    <t>LARGE/SMALL + INDEX/MATCH on the 'Trips 2015' column; PERCENTILE.INC ignores the blank 2014 rows.</t>
  </si>
  <si>
    <t>Top 10 days of 2015</t>
  </si>
  <si>
    <t>Rank</t>
  </si>
  <si>
    <t>Quietest 5 days of 2015</t>
  </si>
  <si>
    <t>Daily volume to plan for (2015)</t>
  </si>
  <si>
    <t>10th percentile</t>
  </si>
  <si>
    <t>Median</t>
  </si>
  <si>
    <t>90th percentile</t>
  </si>
  <si>
    <t>Holidays and storm days vs a normal day (same weekday 1-3 weeks before and after, special days excluded)</t>
  </si>
  <si>
    <t>Normal day</t>
  </si>
  <si>
    <t>Baseline days</t>
  </si>
  <si>
    <t>vs normal</t>
  </si>
  <si>
    <t>Geography, Jan-Jun 2015 — service areas, zones and airports</t>
  </si>
  <si>
    <t>Service area = borough, with JFK, LaGuardia and Newark as 'Airports'. Zone names via VLOOKUP on the Lookups sheet. Zone rank = RANK.EQ + COUNTIF tie-break; cumulative share adds zones from the busiest down.</t>
  </si>
  <si>
    <t>Service area</t>
  </si>
  <si>
    <t>Share</t>
  </si>
  <si>
    <t>Share (known zones)</t>
  </si>
  <si>
    <t>Trips/day Jan</t>
  </si>
  <si>
    <t>Trips/day Jun</t>
  </si>
  <si>
    <t>Growth Jan-Jun</t>
  </si>
  <si>
    <t>Share Jan</t>
  </si>
  <si>
    <t>Share Jun</t>
  </si>
  <si>
    <t>Share of pickups outside Manhattan, Jan</t>
  </si>
  <si>
    <t>Share of pickups outside Manhattan, Jun</t>
  </si>
  <si>
    <t>Zones for 50% of trips</t>
  </si>
  <si>
    <t>Zones for 80% of trips</t>
  </si>
  <si>
    <t>Known zones without any pickup</t>
  </si>
  <si>
    <t>Airport</t>
  </si>
  <si>
    <t>Trips per day</t>
  </si>
  <si>
    <t>Airports' share of pickups by hour</t>
  </si>
  <si>
    <t>Airport share</t>
  </si>
  <si>
    <t>All zones — trips, rank and cumulative share</t>
  </si>
  <si>
    <t>ID</t>
  </si>
  <si>
    <t>Cum. share</t>
  </si>
  <si>
    <t>Top 15 zones</t>
  </si>
  <si>
    <t>Dispatching bases — share of trips 2014 vs 2015</t>
  </si>
  <si>
    <t>Base name via XLOOKUP (falls back to VLOOKUP in Excel 2019). 2014 = Apr-Sep, 2015 = Jan-Jun (dispatching base).</t>
  </si>
  <si>
    <t>Base code</t>
  </si>
  <si>
    <t>Base name</t>
  </si>
  <si>
    <t>Share 2014</t>
  </si>
  <si>
    <t>Share 2015</t>
  </si>
  <si>
    <t>Change (pts)</t>
  </si>
  <si>
    <t>Total</t>
  </si>
  <si>
    <t>Supply (FOIL, Jan-Feb 2015) — active vehicles and trips per active vehicle</t>
  </si>
  <si>
    <t>Trips per active vehicle per day is a productivity proxy, not driver utilization (the data has no driver hours).</t>
  </si>
  <si>
    <t>Avg active vehicles</t>
  </si>
  <si>
    <t>Vehicle-days</t>
  </si>
  <si>
    <t>Trips per vehicle-day</t>
  </si>
  <si>
    <t>Totals</t>
  </si>
  <si>
    <t>Trips per vehicle-day, All days</t>
  </si>
  <si>
    <t>Trips per vehicle-day, Weekends</t>
  </si>
  <si>
    <t>Trips per vehicle-day, Weekdays</t>
  </si>
  <si>
    <t>Avg active vehicles per day (all bases)</t>
  </si>
  <si>
    <t>Correlation: active vehicles vs trips (base-days)</t>
  </si>
  <si>
    <t>Trips per vehicle-day by weekday</t>
  </si>
  <si>
    <t>Trips / vehicle</t>
  </si>
  <si>
    <t>Daily fleet (all bases)</t>
  </si>
  <si>
    <t>Active vehicles</t>
  </si>
  <si>
    <t>Week start</t>
  </si>
  <si>
    <t>Full weeks (Mon-Sun)</t>
  </si>
  <si>
    <t>Growth vs first full week</t>
  </si>
  <si>
    <t>Market context — Uber vs Lyft and yellow taxis (TLC summary, Jul-Sep 2014)</t>
  </si>
  <si>
    <t>Averages per day by month (AVERAGEIFS on the Market2014 table). First Lyft trip with MINIFS.</t>
  </si>
  <si>
    <t>Uber / day</t>
  </si>
  <si>
    <t>Lyft / day</t>
  </si>
  <si>
    <t>Yellow taxi / day</t>
  </si>
  <si>
    <t>Uber vs yellow</t>
  </si>
  <si>
    <t>Uber vs Lyft</t>
  </si>
  <si>
    <t>First day with Lyft trips</t>
  </si>
  <si>
    <t>Why the 2015 base report is NOT used for market share</t>
  </si>
  <si>
    <t>Avg bases reporting / day</t>
  </si>
  <si>
    <t>Trips (all reporting bases)</t>
  </si>
  <si>
    <t>Values from data/cleaned/fhv_other_daily_2015.csv. Coverage jumps from ~59 to ~200 bases a day in April and falls to 5 in August, so totals reflect reporting, not demand.</t>
  </si>
  <si>
    <t>Uber / Ride-Sharing Operations Analytics — New York City, 2014–2015</t>
  </si>
  <si>
    <t>18,804,806 Uber pickups (NYC TLC FOIL data) · every number below is a live formula on the data sheets</t>
  </si>
  <si>
    <t>Trips, Jan-Jun 2015</t>
  </si>
  <si>
    <t>Pickup records</t>
  </si>
  <si>
    <t>Average trips per day, 2015</t>
  </si>
  <si>
    <t>181 days</t>
  </si>
  <si>
    <t>Year-over-year growth</t>
  </si>
  <si>
    <t>Apr-Jun 2015 vs Apr-Jun 2014</t>
  </si>
  <si>
    <t>Peak hour (2015)</t>
  </si>
  <si>
    <t>Highest average trips</t>
  </si>
  <si>
    <t>Manhattan share</t>
  </si>
  <si>
    <t>Of 2015 pickups (known zones)</t>
  </si>
  <si>
    <t>JFK + LaGuardia + Newark</t>
  </si>
  <si>
    <t>Trips per active vehicle / day</t>
  </si>
  <si>
    <t>FOIL Jan-Feb 2015 (proxy)</t>
  </si>
  <si>
    <t>Uber vs yellow taxis</t>
  </si>
  <si>
    <t>Trips per day, Sep 2014</t>
  </si>
  <si>
    <t>Check: Excel formulas vs Python notebook</t>
  </si>
  <si>
    <t>KPI</t>
  </si>
  <si>
    <t>Excel</t>
  </si>
  <si>
    <t>Python</t>
  </si>
  <si>
    <t>Match</t>
  </si>
  <si>
    <t>Avg trips per day 2015</t>
  </si>
  <si>
    <t>YoY growth Apr-Jun</t>
  </si>
  <si>
    <t>Peak hour 2015</t>
  </si>
  <si>
    <t>Uber vs yellow, Sep 2014</t>
  </si>
  <si>
    <t>Python = reports/kpi_summary.json (notebook). Excel = live formulas. ✓ = same value within rounding.</t>
  </si>
  <si>
    <t>Trips by year</t>
  </si>
  <si>
    <t>Avg / day</t>
  </si>
  <si>
    <t>PivotTables (sources: Hourly and ZoneMonthly tables)</t>
  </si>
  <si>
    <t>Native Excel PivotTables. They refresh when the file opens (Data → Refresh All also works).</t>
  </si>
  <si>
    <t>Pivot 1 — trips by hour of day and period</t>
  </si>
  <si>
    <t>Pivot 2 — 2015 trips by service area</t>
  </si>
  <si>
    <t>Uber / Ride-Sharing Operations Analytics — Excel workbook</t>
  </si>
  <si>
    <t>Uber pickups in New York City, Apr-Sep 2014 and Jan-Jun 2015 · prepared by Jatin Gohel</t>
  </si>
  <si>
    <t>Data source</t>
  </si>
  <si>
    <t>NYC Taxi &amp; Limousine Commission data released under a FOIL request and published by FiveThirtyEight (github.com/fivethirtyeight/uber-tlc-foil-response).</t>
  </si>
  <si>
    <t>How it works</t>
  </si>
  <si>
    <t>The trip files (18.8 million rows) are too large for Excel, so the notebook aggregates them into tables (trips per date and hour, per base and day, per zone and month). Every number on the analysis sheets is a live formula on those tables.</t>
  </si>
  <si>
    <t>Formulas used</t>
  </si>
  <si>
    <t>SUMIFS, COUNTIFS, AVERAGEIFS, MINIFS, VLOOKUP, XLOOKUP (with IFERROR fallback), INDEX/MATCH, IF/IFS, CHOOSE, WEEKDAY, DATE, EDATE, YEAR, LARGE/SMALL, RANK.EQ, PERCENTILE.INC, CORREL.</t>
  </si>
  <si>
    <t>Not in the data</t>
  </si>
  <si>
    <t>Fares/revenue, trip distance and duration, drop-offs, cancellations, wait times and driver hours. Trips per active vehicle is a productivity proxy, not driver utilization.</t>
  </si>
  <si>
    <t>Excel version</t>
  </si>
  <si>
    <t>Needs Excel 2019, 2021 or Microsoft 365 (IFS, MINIFS). XLOOKUP cells fall back to INDEX/MATCH or VLOOKUP in Excel 2019.</t>
  </si>
  <si>
    <t>Sheet</t>
  </si>
  <si>
    <t>What it shows</t>
  </si>
  <si>
    <t>Summary</t>
  </si>
  <si>
    <t>KPI cards, trips by year and a ✓/✗ check of every KPI against the Python notebook.</t>
  </si>
  <si>
    <t>Monthly_Trend</t>
  </si>
  <si>
    <t>Trips, days and average trips per day by month; month-over-month and year-over-year growth.</t>
  </si>
  <si>
    <t>Time_Patterns</t>
  </si>
  <si>
    <t>Weekday × hour heat map, hour profile (weekday vs weekend), time bands, peak/quiet hours and weekdays.</t>
  </si>
  <si>
    <t>Daily_Calendar</t>
  </si>
  <si>
    <t>Top and bottom days, planning percentiles, holiday and blizzard effects vs a normal day, 7-day average chart.</t>
  </si>
  <si>
    <t>Geography</t>
  </si>
  <si>
    <t>Service areas (boroughs + airports), growth Jan→Jun, zone ranking, concentration, airport share by hour.</t>
  </si>
  <si>
    <t>Bases</t>
  </si>
  <si>
    <t>Share of trips by dispatching base, 2014 vs 2015.</t>
  </si>
  <si>
    <t>Supply</t>
  </si>
  <si>
    <t>FOIL Jan-Feb 2015: active vehicles, trips per active vehicle by base and weekday, fleet growth, correlation.</t>
  </si>
  <si>
    <t>Market</t>
  </si>
  <si>
    <t>Uber vs Lyft vs yellow taxis (TLC summary, Jul-Sep 2014) and why the 2015 base report is not used for market share.</t>
  </si>
  <si>
    <t>Pivot_Tables</t>
  </si>
  <si>
    <t>Native PivotTables: trips by hour × period; 2015 trips by service area.</t>
  </si>
  <si>
    <t>Hourly … Market2014</t>
  </si>
  <si>
    <t>Data tables (cleaned aggregates) with helper formula columns.</t>
  </si>
  <si>
    <t>Lookups</t>
  </si>
  <si>
    <t>Base names, taxi zones (265), holidays and storm days (named ranges).</t>
  </si>
  <si>
    <t>Raw_Sample</t>
  </si>
  <si>
    <t>First 300 rows of a 2014 and the 2015 raw file, before cleaning.</t>
  </si>
  <si>
    <t>Data_Dictionary</t>
  </si>
  <si>
    <t>Description of every data-table column.</t>
  </si>
  <si>
    <t>Data dictionary — data tables</t>
  </si>
  <si>
    <t>Table</t>
  </si>
  <si>
    <t>Column</t>
  </si>
  <si>
    <t>Description</t>
  </si>
  <si>
    <t>Hourly</t>
  </si>
  <si>
    <t>Date / Hour / Trips</t>
  </si>
  <si>
    <t>Pickups per date and hour (both periods).</t>
  </si>
  <si>
    <t>2014 Apr-Sep or 2015 Jan-Jun.</t>
  </si>
  <si>
    <t>Year / Month</t>
  </si>
  <si>
    <t>Formulas: YEAR(Date); DATE(YEAR, MONTH, 1).</t>
  </si>
  <si>
    <t>Formula: CHOOSE(WEEKDAY(Date,2), Mon…Sun) — language-independent.</t>
  </si>
  <si>
    <t>Formula: Weekend if WEEKDAY(Date,2) &gt; 5.</t>
  </si>
  <si>
    <t>Formula (IFS): Night 0-5, Morning peak 6-9, Midday 10-15, Evening peak 16-19, Late evening 20-23.</t>
  </si>
  <si>
    <t>Daily</t>
  </si>
  <si>
    <t>Formula: SUMIFS of Hourly trips for the date.</t>
  </si>
  <si>
    <t>Holiday / Special Day</t>
  </si>
  <si>
    <t>Formula: date found in the Lookups holiday / special-day list.</t>
  </si>
  <si>
    <t>Trips for 2015 days, blank for 2014 (used by LARGE, SMALL and PERCENTILE.INC).</t>
  </si>
  <si>
    <t>Formula: average of the last 7 days of the same period (blank for the first 6 days).</t>
  </si>
  <si>
    <t>BaseDaily</t>
  </si>
  <si>
    <t>Date / Base Code / Trips</t>
  </si>
  <si>
    <t>Trips per base and day (2014 = base in the file, 2015 = dispatching base); Base Name via VLOOKUP.</t>
  </si>
  <si>
    <t>ZoneMonthly</t>
  </si>
  <si>
    <t>Month / Location ID / Trips</t>
  </si>
  <si>
    <t>2015 pickups per taxi zone and month; Borough and Zone via VLOOKUP; Service Area = Airports for ids 1, 132, 138.</t>
  </si>
  <si>
    <t>AreaHour</t>
  </si>
  <si>
    <t>Hour / Service Area / Trips</t>
  </si>
  <si>
    <t>2015 pickups per service area and hour of day.</t>
  </si>
  <si>
    <t>FOIL</t>
  </si>
  <si>
    <t>Active Vehicles / Trips</t>
  </si>
  <si>
    <t>Uber FOIL file: vehicles that worked for the base that day and their trips (Jan-Feb 2015).</t>
  </si>
  <si>
    <t>Formula: Trips / Active Vehicles (productivity proxy).</t>
  </si>
  <si>
    <t>Market2014</t>
  </si>
  <si>
    <t>Company columns</t>
  </si>
  <si>
    <t>TLC summary: trips per day for 8 car services, Lyft, Uber, yellow taxis and green taxis (Jul-Sep 2014).</t>
  </si>
  <si>
    <t>Formula: Uber trips / yellow-taxi trips for the day.</t>
  </si>
</sst>
</file>

<file path=xl/styles.xml><?xml version="1.0" encoding="utf-8"?>
<styleSheet xmlns="http://schemas.openxmlformats.org/spreadsheetml/2006/main">
  <numFmts count="12">
    <numFmt numFmtId="164" formatCode="#,##0"/>
    <numFmt numFmtId="165" formatCode="0.0%"/>
    <numFmt numFmtId="166" formatCode="0&quot;:00&quot;"/>
    <numFmt numFmtId="167" formatCode="0.0"/>
    <numFmt numFmtId="168" formatCode="#,##0.0"/>
    <numFmt numFmtId="169" formatCode="0.00%"/>
    <numFmt numFmtId="170" formatCode="0.000"/>
    <numFmt numFmtId="171" formatCode="mmm yyyy"/>
    <numFmt numFmtId="172" formatCode="mmm"/>
    <numFmt numFmtId="173" formatCode="#,##0.00"/>
    <numFmt numFmtId="174" formatCode="0.00"/>
    <numFmt numFmtId="175" formatCode="yyyy-mm-dd"/>
  </numFmts>
  <fonts count="9">
    <font>
      <sz val="11"/>
      <color theme="1"/>
      <name val="Calibri"/>
      <family val="2"/>
      <scheme val="minor"/>
    </font>
    <font>
      <b/>
      <sz val="18"/>
      <color rgb="FF0B0B0B"/>
      <name val="Calibri"/>
      <family val="2"/>
      <scheme val="minor"/>
    </font>
    <font>
      <i/>
      <sz val="10"/>
      <color rgb="FF52514E"/>
      <name val="Calibri"/>
      <family val="2"/>
      <scheme val="minor"/>
    </font>
    <font>
      <b/>
      <sz val="10"/>
      <color rgb="FF0B0B0B"/>
      <name val="Calibri"/>
      <family val="2"/>
      <scheme val="minor"/>
    </font>
    <font>
      <sz val="10"/>
      <color rgb="FF0B0B0B"/>
      <name val="Calibri"/>
      <family val="2"/>
      <scheme val="minor"/>
    </font>
    <font>
      <sz val="10"/>
      <color rgb="FF52514E"/>
      <name val="Calibri"/>
      <family val="2"/>
      <scheme val="minor"/>
    </font>
    <font>
      <sz val="9"/>
      <color rgb="FF52514E"/>
      <name val="Calibri"/>
      <family val="2"/>
      <scheme val="minor"/>
    </font>
    <font>
      <b/>
      <sz val="12"/>
      <color rgb="FF0B0B0B"/>
      <name val="Calibri"/>
      <family val="2"/>
      <scheme val="minor"/>
    </font>
    <font>
      <sz val="9"/>
      <color rgb="FF0B0B0B"/>
      <name val="Calibri"/>
      <family val="2"/>
      <scheme val="minor"/>
    </font>
  </fonts>
  <fills count="4">
    <fill>
      <patternFill patternType="none"/>
    </fill>
    <fill>
      <patternFill patternType="gray125"/>
    </fill>
    <fill>
      <patternFill patternType="solid">
        <fgColor rgb="FFE8EEF8"/>
        <bgColor indexed="64"/>
      </patternFill>
    </fill>
    <fill>
      <patternFill patternType="solid">
        <fgColor rgb="FFF3F6FB"/>
        <bgColor indexed="64"/>
      </patternFill>
    </fill>
  </fills>
  <borders count="5">
    <border>
      <left/>
      <right/>
      <top/>
      <bottom/>
      <diagonal/>
    </border>
    <border>
      <left/>
      <right/>
      <top/>
      <bottom style="thin">
        <color rgb="FFC3C2B7"/>
      </bottom>
      <diagonal/>
    </border>
    <border>
      <left/>
      <right/>
      <top style="medium">
        <color rgb="FF2A78D6"/>
      </top>
      <bottom/>
      <diagonal/>
    </border>
    <border>
      <left/>
      <right/>
      <top/>
      <bottom style="thin">
        <color rgb="FFE1E0D9"/>
      </bottom>
      <diagonal/>
    </border>
    <border>
      <left/>
      <right/>
      <top style="thin">
        <color rgb="FF52514E"/>
      </top>
      <bottom/>
      <diagonal/>
    </border>
  </borders>
  <cellStyleXfs count="1">
    <xf numFmtId="0" fontId="0" fillId="0" borderId="0"/>
  </cellStyleXfs>
  <cellXfs count="3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3" fillId="2" borderId="1" xfId="0" applyFont="1" applyFill="1" applyBorder="1" applyAlignment="1">
      <alignment vertical="center" wrapText="1"/>
    </xf>
    <xf numFmtId="0" fontId="5" fillId="3" borderId="2" xfId="0" applyFont="1" applyFill="1" applyBorder="1" applyAlignment="1">
      <alignment horizontal="left" indent="1"/>
    </xf>
    <xf numFmtId="164" fontId="1" fillId="3" borderId="0" xfId="0" applyNumberFormat="1" applyFont="1" applyFill="1" applyAlignment="1">
      <alignment horizontal="left" indent="1"/>
    </xf>
    <xf numFmtId="165" fontId="1" fillId="3" borderId="0" xfId="0" applyNumberFormat="1" applyFont="1" applyFill="1" applyAlignment="1">
      <alignment horizontal="left" indent="1"/>
    </xf>
    <xf numFmtId="166" fontId="1" fillId="3" borderId="0" xfId="0" applyNumberFormat="1" applyFont="1" applyFill="1" applyAlignment="1">
      <alignment horizontal="left" indent="1"/>
    </xf>
    <xf numFmtId="0" fontId="6" fillId="3" borderId="0" xfId="0" applyFont="1" applyFill="1" applyAlignment="1">
      <alignment horizontal="left" indent="1"/>
    </xf>
    <xf numFmtId="167" fontId="1" fillId="3" borderId="0" xfId="0" applyNumberFormat="1" applyFont="1" applyFill="1" applyAlignment="1">
      <alignment horizontal="left" indent="1"/>
    </xf>
    <xf numFmtId="0" fontId="7" fillId="0" borderId="0" xfId="0" applyFont="1"/>
    <xf numFmtId="0" fontId="3" fillId="2" borderId="1" xfId="0" applyFont="1" applyFill="1" applyBorder="1" applyAlignment="1">
      <alignment horizontal="right" vertical="center" wrapText="1"/>
    </xf>
    <xf numFmtId="0" fontId="4" fillId="0" borderId="3" xfId="0" applyFont="1" applyBorder="1"/>
    <xf numFmtId="164" fontId="4" fillId="0" borderId="3" xfId="0" applyNumberFormat="1" applyFont="1" applyBorder="1"/>
    <xf numFmtId="0" fontId="4" fillId="0" borderId="3" xfId="0" applyFont="1" applyBorder="1" applyAlignment="1">
      <alignment horizontal="center"/>
    </xf>
    <xf numFmtId="168" fontId="4" fillId="0" borderId="3" xfId="0" applyNumberFormat="1" applyFont="1" applyBorder="1"/>
    <xf numFmtId="169" fontId="4" fillId="0" borderId="3" xfId="0" applyNumberFormat="1" applyFont="1" applyBorder="1"/>
    <xf numFmtId="170" fontId="4" fillId="0" borderId="3" xfId="0" applyNumberFormat="1" applyFont="1" applyBorder="1"/>
    <xf numFmtId="0" fontId="5" fillId="0" borderId="0" xfId="0" applyFont="1"/>
    <xf numFmtId="171" fontId="4" fillId="0" borderId="3" xfId="0" applyNumberFormat="1" applyFont="1" applyBorder="1"/>
    <xf numFmtId="165" fontId="4" fillId="0" borderId="3" xfId="0" applyNumberFormat="1" applyFont="1" applyBorder="1"/>
    <xf numFmtId="172" fontId="4" fillId="0" borderId="3" xfId="0" applyNumberFormat="1" applyFont="1" applyBorder="1"/>
    <xf numFmtId="173" fontId="4" fillId="0" borderId="3" xfId="0" applyNumberFormat="1" applyFont="1" applyBorder="1"/>
    <xf numFmtId="0" fontId="3" fillId="0" borderId="4" xfId="0" applyFont="1" applyBorder="1"/>
    <xf numFmtId="164" fontId="3" fillId="0" borderId="4" xfId="0" applyNumberFormat="1" applyFont="1" applyBorder="1"/>
    <xf numFmtId="165" fontId="3" fillId="0" borderId="4" xfId="0" applyNumberFormat="1" applyFont="1" applyBorder="1"/>
    <xf numFmtId="174" fontId="3" fillId="0" borderId="4" xfId="0" applyNumberFormat="1" applyFont="1" applyBorder="1"/>
    <xf numFmtId="164" fontId="8" fillId="0" borderId="0" xfId="0" applyNumberFormat="1" applyFont="1"/>
    <xf numFmtId="166" fontId="4" fillId="0" borderId="3" xfId="0" applyNumberFormat="1" applyFont="1" applyBorder="1"/>
    <xf numFmtId="175" fontId="4" fillId="0" borderId="3" xfId="0" applyNumberFormat="1" applyFont="1" applyBorder="1"/>
    <xf numFmtId="175" fontId="4" fillId="0" borderId="0" xfId="0" applyNumberFormat="1" applyFont="1"/>
    <xf numFmtId="171" fontId="4" fillId="0" borderId="0" xfId="0" applyNumberFormat="1" applyFont="1"/>
    <xf numFmtId="173" fontId="4" fillId="0" borderId="0" xfId="0" applyNumberFormat="1" applyFont="1"/>
    <xf numFmtId="174" fontId="4" fillId="0" borderId="0" xfId="0" applyNumberFormat="1" applyFont="1"/>
    <xf numFmtId="169" fontId="4" fillId="0" borderId="0" xfId="0" applyNumberFormat="1" applyFont="1"/>
  </cellXfs>
  <cellStyles count="1">
    <cellStyle name="Normal" xfId="0" builtinId="0"/>
  </cellStyles>
  <dxfs count="2">
    <dxf>
      <font>
        <color rgb="FFB42318"/>
      </font>
    </dxf>
    <dxf>
      <font>
        <color rgb="FF006300"/>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aredStrings" Target="sharedStrings.xml"/><Relationship Id="rId24" Type="http://schemas.openxmlformats.org/officeDocument/2006/relationships/sheetMetadata" Target="metadata.xml"/><Relationship Id="rId1000" Type="http://schemas.openxmlformats.org/officeDocument/2006/relationships/pivotCacheDefinition" Target="pivotCache/pivotCacheDefinition1.xml"/><Relationship Id="rId1001" Type="http://schemas.openxmlformats.org/officeDocument/2006/relationships/pivotCacheDefinition" Target="pivotCache/pivotCacheDefinition2.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B0B0B"/>
                </a:solidFill>
              </a:defRPr>
            </a:pPr>
            <a:r>
              <a:rPr lang="en-US" sz="1100" b="1" baseline="0">
                <a:solidFill>
                  <a:srgbClr val="0B0B0B"/>
                </a:solidFill>
              </a:rPr>
              <a:t>Average trips per day by month</a:t>
            </a:r>
          </a:p>
        </c:rich>
      </c:tx>
      <c:layout/>
    </c:title>
    <c:plotArea>
      <c:layout/>
      <c:barChart>
        <c:barDir val="col"/>
        <c:grouping val="clustered"/>
        <c:ser>
          <c:idx val="0"/>
          <c:order val="0"/>
          <c:tx>
            <c:v>Avg trips per day</c:v>
          </c:tx>
          <c:spPr>
            <a:solidFill>
              <a:srgbClr val="2A78D6"/>
            </a:solidFill>
          </c:spPr>
          <c:cat>
            <c:numRef>
              <c:f>Monthly_Trend!$A$6:$A$17</c:f>
              <c:numCache>
                <c:formatCode>General</c:formatCode>
                <c:ptCount val="12"/>
                <c:pt idx="0">
                  <c:v>41730</c:v>
                </c:pt>
                <c:pt idx="1">
                  <c:v>41760</c:v>
                </c:pt>
                <c:pt idx="2">
                  <c:v>41791</c:v>
                </c:pt>
                <c:pt idx="3">
                  <c:v>41821</c:v>
                </c:pt>
                <c:pt idx="4">
                  <c:v>41852</c:v>
                </c:pt>
                <c:pt idx="5">
                  <c:v>41883</c:v>
                </c:pt>
                <c:pt idx="6">
                  <c:v>42005</c:v>
                </c:pt>
                <c:pt idx="7">
                  <c:v>42036</c:v>
                </c:pt>
                <c:pt idx="8">
                  <c:v>42064</c:v>
                </c:pt>
                <c:pt idx="9">
                  <c:v>42095</c:v>
                </c:pt>
                <c:pt idx="10">
                  <c:v>42125</c:v>
                </c:pt>
                <c:pt idx="11">
                  <c:v>42156</c:v>
                </c:pt>
              </c:numCache>
            </c:numRef>
          </c:cat>
          <c:val>
            <c:numRef>
              <c:f>Monthly_Trend!$E$6:$E$17</c:f>
              <c:numCache>
                <c:formatCode>General</c:formatCode>
                <c:ptCount val="12"/>
                <c:pt idx="0">
                  <c:v>18817.2</c:v>
                </c:pt>
                <c:pt idx="1">
                  <c:v>21046.2903225806</c:v>
                </c:pt>
                <c:pt idx="2">
                  <c:v>22128.1333333333</c:v>
                </c:pt>
                <c:pt idx="3">
                  <c:v>25681.3225806452</c:v>
                </c:pt>
                <c:pt idx="4">
                  <c:v>26750.8064516129</c:v>
                </c:pt>
                <c:pt idx="5">
                  <c:v>34271.2</c:v>
                </c:pt>
                <c:pt idx="6">
                  <c:v>63025.8387096774</c:v>
                </c:pt>
                <c:pt idx="7">
                  <c:v>80843.5714285714</c:v>
                </c:pt>
                <c:pt idx="8">
                  <c:v>72895.9032258065</c:v>
                </c:pt>
                <c:pt idx="9">
                  <c:v>76027.9</c:v>
                </c:pt>
                <c:pt idx="10">
                  <c:v>86953.3225806452</c:v>
                </c:pt>
                <c:pt idx="11">
                  <c:v>93896.5</c:v>
                </c:pt>
              </c:numCache>
            </c:numRef>
          </c:val>
        </c:ser>
        <c:gapWidth val="60"/>
        <c:axId val="50010001"/>
        <c:axId val="50010002"/>
      </c:barChart>
      <c:catAx>
        <c:axId val="50010001"/>
        <c:scaling>
          <c:orientation val="minMax"/>
        </c:scaling>
        <c:axPos val="b"/>
        <c:numFmt formatCode="mmm yy" sourceLinked="0"/>
        <c:majorTickMark val="none"/>
        <c:tickLblPos val="nextTo"/>
        <c:spPr>
          <a:ln>
            <a:solidFill>
              <a:srgbClr val="C3C2B7"/>
            </a:solidFill>
          </a:ln>
        </c:spPr>
        <c:txPr>
          <a:bodyPr/>
          <a:lstStyle/>
          <a:p>
            <a:pPr>
              <a:defRPr sz="800" baseline="0">
                <a:solidFill>
                  <a:srgbClr val="52514E"/>
                </a:solidFill>
              </a:defRPr>
            </a:pPr>
            <a:endParaRPr lang="en-US"/>
          </a:p>
        </c:txPr>
        <c:crossAx val="50010002"/>
        <c:crosses val="autoZero"/>
        <c:lblAlgn val="ctr"/>
        <c:lblOffset val="100"/>
      </c:catAx>
      <c:valAx>
        <c:axId val="50010002"/>
        <c:scaling>
          <c:orientation val="minMax"/>
        </c:scaling>
        <c:axPos val="l"/>
        <c:majorGridlines>
          <c:spPr>
            <a:ln w="9525">
              <a:solidFill>
                <a:srgbClr val="E1E0D9"/>
              </a:solidFill>
            </a:ln>
          </c:spPr>
        </c:majorGridlines>
        <c:numFmt formatCode="#,##0" sourceLinked="0"/>
        <c:tickLblPos val="nextTo"/>
        <c:spPr>
          <a:ln>
            <a:noFill/>
          </a:ln>
        </c:spPr>
        <c:txPr>
          <a:bodyPr/>
          <a:lstStyle/>
          <a:p>
            <a:pPr>
              <a:defRPr sz="900" baseline="0">
                <a:solidFill>
                  <a:srgbClr val="52514E"/>
                </a:solidFill>
              </a:defRPr>
            </a:pPr>
            <a:endParaRPr lang="en-US"/>
          </a:p>
        </c:txPr>
        <c:crossAx val="50010001"/>
        <c:crosses val="autoZero"/>
        <c:crossBetween val="between"/>
      </c:valAx>
      <c:spPr>
        <a:solidFill>
          <a:srgbClr val="FFFFFF"/>
        </a:solid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B0B0B"/>
                </a:solidFill>
              </a:defRPr>
            </a:pPr>
            <a:r>
              <a:rPr lang="en-US" sz="1100" b="1" baseline="0">
                <a:solidFill>
                  <a:srgbClr val="0B0B0B"/>
                </a:solidFill>
              </a:rPr>
              <a:t>Average trips by hour of day (2015)</a:t>
            </a:r>
          </a:p>
        </c:rich>
      </c:tx>
      <c:layout/>
    </c:title>
    <c:plotArea>
      <c:layout/>
      <c:lineChart>
        <c:grouping val="standard"/>
        <c:ser>
          <c:idx val="0"/>
          <c:order val="0"/>
          <c:tx>
            <c:v>Avg trips</c:v>
          </c:tx>
          <c:spPr>
            <a:ln w="25400">
              <a:solidFill>
                <a:srgbClr val="2A78D6"/>
              </a:solidFill>
            </a:ln>
          </c:spPr>
          <c:marker>
            <c:symbol val="none"/>
          </c:marker>
          <c:cat>
            <c:numRef>
              <c:f>Time_Patterns!$A$17:$A$40</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Time_Patterns!$B$17:$B$40</c:f>
              <c:numCache>
                <c:formatCode>General</c:formatCode>
                <c:ptCount val="24"/>
                <c:pt idx="0">
                  <c:v>3345.43333333333</c:v>
                </c:pt>
                <c:pt idx="1">
                  <c:v>2191.72222222222</c:v>
                </c:pt>
                <c:pt idx="2">
                  <c:v>1455.88268156425</c:v>
                </c:pt>
                <c:pt idx="3">
                  <c:v>1020.30555555556</c:v>
                </c:pt>
                <c:pt idx="4">
                  <c:v>961.322222222222</c:v>
                </c:pt>
                <c:pt idx="5">
                  <c:v>1075.12777777778</c:v>
                </c:pt>
                <c:pt idx="6">
                  <c:v>1602.96111111111</c:v>
                </c:pt>
                <c:pt idx="7">
                  <c:v>2464.12777777778</c:v>
                </c:pt>
                <c:pt idx="8">
                  <c:v>3222.91712707182</c:v>
                </c:pt>
                <c:pt idx="9">
                  <c:v>3278.65745856354</c:v>
                </c:pt>
                <c:pt idx="10">
                  <c:v>2873.4364640884</c:v>
                </c:pt>
                <c:pt idx="11">
                  <c:v>2854.78453038674</c:v>
                </c:pt>
                <c:pt idx="12">
                  <c:v>2944.86740331492</c:v>
                </c:pt>
                <c:pt idx="13">
                  <c:v>2971.8729281768</c:v>
                </c:pt>
                <c:pt idx="14">
                  <c:v>3229.0773480663</c:v>
                </c:pt>
                <c:pt idx="15">
                  <c:v>3587.9226519337</c:v>
                </c:pt>
                <c:pt idx="16">
                  <c:v>4072.76243093923</c:v>
                </c:pt>
                <c:pt idx="17">
                  <c:v>4773.42541436464</c:v>
                </c:pt>
                <c:pt idx="18">
                  <c:v>5453.55248618785</c:v>
                </c:pt>
                <c:pt idx="19">
                  <c:v>5566.09944751381</c:v>
                </c:pt>
                <c:pt idx="20">
                  <c:v>5240.74033149171</c:v>
                </c:pt>
                <c:pt idx="21">
                  <c:v>5140.67403314917</c:v>
                </c:pt>
                <c:pt idx="22">
                  <c:v>5099.19337016575</c:v>
                </c:pt>
                <c:pt idx="23">
                  <c:v>4526.60555555556</c:v>
                </c:pt>
              </c:numCache>
            </c:numRef>
          </c:val>
        </c:ser>
        <c:marker val="1"/>
        <c:axId val="50020001"/>
        <c:axId val="50020002"/>
      </c:lineChart>
      <c:catAx>
        <c:axId val="50020001"/>
        <c:scaling>
          <c:orientation val="minMax"/>
        </c:scaling>
        <c:axPos val="b"/>
        <c:numFmt formatCode="General" sourceLinked="1"/>
        <c:majorTickMark val="none"/>
        <c:tickLblPos val="nextTo"/>
        <c:spPr>
          <a:ln>
            <a:solidFill>
              <a:srgbClr val="C3C2B7"/>
            </a:solidFill>
          </a:ln>
        </c:spPr>
        <c:txPr>
          <a:bodyPr/>
          <a:lstStyle/>
          <a:p>
            <a:pPr>
              <a:defRPr sz="900" baseline="0">
                <a:solidFill>
                  <a:srgbClr val="52514E"/>
                </a:solidFill>
              </a:defRPr>
            </a:pPr>
            <a:endParaRPr lang="en-US"/>
          </a:p>
        </c:txPr>
        <c:crossAx val="50020002"/>
        <c:crosses val="autoZero"/>
        <c:auto val="1"/>
        <c:lblAlgn val="ctr"/>
        <c:lblOffset val="100"/>
      </c:catAx>
      <c:valAx>
        <c:axId val="50020002"/>
        <c:scaling>
          <c:orientation val="minMax"/>
        </c:scaling>
        <c:axPos val="l"/>
        <c:majorGridlines>
          <c:spPr>
            <a:ln w="9525">
              <a:solidFill>
                <a:srgbClr val="E1E0D9"/>
              </a:solidFill>
            </a:ln>
          </c:spPr>
        </c:majorGridlines>
        <c:numFmt formatCode="#,##0" sourceLinked="0"/>
        <c:tickLblPos val="nextTo"/>
        <c:spPr>
          <a:ln>
            <a:noFill/>
          </a:ln>
        </c:spPr>
        <c:txPr>
          <a:bodyPr/>
          <a:lstStyle/>
          <a:p>
            <a:pPr>
              <a:defRPr sz="900" baseline="0">
                <a:solidFill>
                  <a:srgbClr val="52514E"/>
                </a:solidFill>
              </a:defRPr>
            </a:pPr>
            <a:endParaRPr lang="en-US"/>
          </a:p>
        </c:txPr>
        <c:crossAx val="50020001"/>
        <c:crosses val="autoZero"/>
        <c:crossBetween val="between"/>
      </c:valAx>
      <c:spPr>
        <a:solidFill>
          <a:srgbClr val="FFFFFF"/>
        </a:solid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B0B0B"/>
                </a:solidFill>
              </a:defRPr>
            </a:pPr>
            <a:r>
              <a:rPr lang="en-US" sz="1100" b="1" baseline="0">
                <a:solidFill>
                  <a:srgbClr val="0B0B0B"/>
                </a:solidFill>
              </a:rPr>
              <a:t>Average trips per day by month</a:t>
            </a:r>
          </a:p>
        </c:rich>
      </c:tx>
      <c:layout/>
    </c:title>
    <c:plotArea>
      <c:layout/>
      <c:barChart>
        <c:barDir val="col"/>
        <c:grouping val="clustered"/>
        <c:ser>
          <c:idx val="0"/>
          <c:order val="0"/>
          <c:tx>
            <c:v>Avg trips per day</c:v>
          </c:tx>
          <c:spPr>
            <a:solidFill>
              <a:srgbClr val="2A78D6"/>
            </a:solidFill>
          </c:spPr>
          <c:cat>
            <c:numRef>
              <c:f>Monthly_Trend!$A$6:$A$17</c:f>
              <c:numCache>
                <c:formatCode>General</c:formatCode>
                <c:ptCount val="12"/>
                <c:pt idx="0">
                  <c:v>41730</c:v>
                </c:pt>
                <c:pt idx="1">
                  <c:v>41760</c:v>
                </c:pt>
                <c:pt idx="2">
                  <c:v>41791</c:v>
                </c:pt>
                <c:pt idx="3">
                  <c:v>41821</c:v>
                </c:pt>
                <c:pt idx="4">
                  <c:v>41852</c:v>
                </c:pt>
                <c:pt idx="5">
                  <c:v>41883</c:v>
                </c:pt>
                <c:pt idx="6">
                  <c:v>42005</c:v>
                </c:pt>
                <c:pt idx="7">
                  <c:v>42036</c:v>
                </c:pt>
                <c:pt idx="8">
                  <c:v>42064</c:v>
                </c:pt>
                <c:pt idx="9">
                  <c:v>42095</c:v>
                </c:pt>
                <c:pt idx="10">
                  <c:v>42125</c:v>
                </c:pt>
                <c:pt idx="11">
                  <c:v>42156</c:v>
                </c:pt>
              </c:numCache>
            </c:numRef>
          </c:cat>
          <c:val>
            <c:numRef>
              <c:f>Monthly_Trend!$E$6:$E$17</c:f>
              <c:numCache>
                <c:formatCode>General</c:formatCode>
                <c:ptCount val="12"/>
                <c:pt idx="0">
                  <c:v>18817.2</c:v>
                </c:pt>
                <c:pt idx="1">
                  <c:v>21046.2903225806</c:v>
                </c:pt>
                <c:pt idx="2">
                  <c:v>22128.1333333333</c:v>
                </c:pt>
                <c:pt idx="3">
                  <c:v>25681.3225806452</c:v>
                </c:pt>
                <c:pt idx="4">
                  <c:v>26750.8064516129</c:v>
                </c:pt>
                <c:pt idx="5">
                  <c:v>34271.2</c:v>
                </c:pt>
                <c:pt idx="6">
                  <c:v>63025.8387096774</c:v>
                </c:pt>
                <c:pt idx="7">
                  <c:v>80843.5714285714</c:v>
                </c:pt>
                <c:pt idx="8">
                  <c:v>72895.9032258065</c:v>
                </c:pt>
                <c:pt idx="9">
                  <c:v>76027.9</c:v>
                </c:pt>
                <c:pt idx="10">
                  <c:v>86953.3225806452</c:v>
                </c:pt>
                <c:pt idx="11">
                  <c:v>93896.5</c:v>
                </c:pt>
              </c:numCache>
            </c:numRef>
          </c:val>
        </c:ser>
        <c:gapWidth val="60"/>
        <c:axId val="50030001"/>
        <c:axId val="50030002"/>
      </c:barChart>
      <c:catAx>
        <c:axId val="50030001"/>
        <c:scaling>
          <c:orientation val="minMax"/>
        </c:scaling>
        <c:axPos val="b"/>
        <c:numFmt formatCode="mmm yy" sourceLinked="0"/>
        <c:majorTickMark val="none"/>
        <c:tickLblPos val="nextTo"/>
        <c:spPr>
          <a:ln>
            <a:solidFill>
              <a:srgbClr val="C3C2B7"/>
            </a:solidFill>
          </a:ln>
        </c:spPr>
        <c:txPr>
          <a:bodyPr/>
          <a:lstStyle/>
          <a:p>
            <a:pPr>
              <a:defRPr sz="800" baseline="0">
                <a:solidFill>
                  <a:srgbClr val="52514E"/>
                </a:solidFill>
              </a:defRPr>
            </a:pPr>
            <a:endParaRPr lang="en-US"/>
          </a:p>
        </c:txPr>
        <c:crossAx val="50030002"/>
        <c:crosses val="autoZero"/>
        <c:lblAlgn val="ctr"/>
        <c:lblOffset val="100"/>
      </c:catAx>
      <c:valAx>
        <c:axId val="50030002"/>
        <c:scaling>
          <c:orientation val="minMax"/>
        </c:scaling>
        <c:axPos val="l"/>
        <c:majorGridlines>
          <c:spPr>
            <a:ln w="9525">
              <a:solidFill>
                <a:srgbClr val="E1E0D9"/>
              </a:solidFill>
            </a:ln>
          </c:spPr>
        </c:majorGridlines>
        <c:numFmt formatCode="#,##0" sourceLinked="0"/>
        <c:tickLblPos val="nextTo"/>
        <c:spPr>
          <a:ln>
            <a:noFill/>
          </a:ln>
        </c:spPr>
        <c:txPr>
          <a:bodyPr/>
          <a:lstStyle/>
          <a:p>
            <a:pPr>
              <a:defRPr sz="900" baseline="0">
                <a:solidFill>
                  <a:srgbClr val="52514E"/>
                </a:solidFill>
              </a:defRPr>
            </a:pPr>
            <a:endParaRPr lang="en-US"/>
          </a:p>
        </c:txPr>
        <c:crossAx val="50030001"/>
        <c:crosses val="autoZero"/>
        <c:crossBetween val="between"/>
      </c:valAx>
      <c:spPr>
        <a:solidFill>
          <a:srgbClr val="FFFFFF"/>
        </a:solidFill>
      </c:spPr>
    </c:plotArea>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B0B0B"/>
                </a:solidFill>
              </a:defRPr>
            </a:pPr>
            <a:r>
              <a:rPr lang="en-US" sz="1100" b="1" baseline="0">
                <a:solidFill>
                  <a:srgbClr val="0B0B0B"/>
                </a:solidFill>
              </a:rPr>
              <a:t>Share of the day's trips by hour (2015)</a:t>
            </a:r>
          </a:p>
        </c:rich>
      </c:tx>
      <c:layout/>
    </c:title>
    <c:plotArea>
      <c:layout/>
      <c:lineChart>
        <c:grouping val="standard"/>
        <c:ser>
          <c:idx val="0"/>
          <c:order val="0"/>
          <c:tx>
            <c:v>Mon-Fri</c:v>
          </c:tx>
          <c:spPr>
            <a:ln w="25400">
              <a:solidFill>
                <a:srgbClr val="2A78D6"/>
              </a:solidFill>
            </a:ln>
          </c:spPr>
          <c:marker>
            <c:symbol val="none"/>
          </c:marker>
          <c:cat>
            <c:numRef>
              <c:f>Time_Patterns!$A$17:$A$40</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Time_Patterns!$E$17:$E$40</c:f>
              <c:numCache>
                <c:formatCode>General</c:formatCode>
                <c:ptCount val="24"/>
                <c:pt idx="0">
                  <c:v>0.0302346711657138</c:v>
                </c:pt>
                <c:pt idx="1">
                  <c:v>0.016687343622736</c:v>
                </c:pt>
                <c:pt idx="2">
                  <c:v>0.0102141402913462</c:v>
                </c:pt>
                <c:pt idx="3">
                  <c:v>0.00727466678730188</c:v>
                </c:pt>
                <c:pt idx="4">
                  <c:v>0.00947386958512326</c:v>
                </c:pt>
                <c:pt idx="5">
                  <c:v>0.014265685993949</c:v>
                </c:pt>
                <c:pt idx="6">
                  <c:v>0.0240397635738343</c:v>
                </c:pt>
                <c:pt idx="7">
                  <c:v>0.0390096710798824</c:v>
                </c:pt>
                <c:pt idx="8">
                  <c:v>0.0509889091675423</c:v>
                </c:pt>
                <c:pt idx="9">
                  <c:v>0.0490632561368957</c:v>
                </c:pt>
                <c:pt idx="10">
                  <c:v>0.038533458196163</c:v>
                </c:pt>
                <c:pt idx="11">
                  <c:v>0.0355684372240141</c:v>
                </c:pt>
                <c:pt idx="12">
                  <c:v>0.0355134041405478</c:v>
                </c:pt>
                <c:pt idx="13">
                  <c:v>0.0351768440172576</c:v>
                </c:pt>
                <c:pt idx="14">
                  <c:v>0.0394029809149306</c:v>
                </c:pt>
                <c:pt idx="15">
                  <c:v>0.044899725682799</c:v>
                </c:pt>
                <c:pt idx="16">
                  <c:v>0.0512732635951407</c:v>
                </c:pt>
                <c:pt idx="17">
                  <c:v>0.0613169527949435</c:v>
                </c:pt>
                <c:pt idx="18">
                  <c:v>0.0725613729956598</c:v>
                </c:pt>
                <c:pt idx="19">
                  <c:v>0.0737973453656186</c:v>
                </c:pt>
                <c:pt idx="20">
                  <c:v>0.0695062795272688</c:v>
                </c:pt>
                <c:pt idx="21">
                  <c:v>0.0684431817240886</c:v>
                </c:pt>
                <c:pt idx="22">
                  <c:v>0.0662622559686661</c:v>
                </c:pt>
                <c:pt idx="23">
                  <c:v>0.0564925204485772</c:v>
                </c:pt>
              </c:numCache>
            </c:numRef>
          </c:val>
        </c:ser>
        <c:ser>
          <c:idx val="1"/>
          <c:order val="1"/>
          <c:tx>
            <c:v>Sat-Sun</c:v>
          </c:tx>
          <c:spPr>
            <a:ln w="25400">
              <a:solidFill>
                <a:srgbClr val="EB6834"/>
              </a:solidFill>
            </a:ln>
          </c:spPr>
          <c:marker>
            <c:symbol val="none"/>
          </c:marker>
          <c:cat>
            <c:numRef>
              <c:f>Time_Patterns!$A$17:$A$40</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Time_Patterns!$H$17:$H$40</c:f>
              <c:numCache>
                <c:formatCode>General</c:formatCode>
                <c:ptCount val="24"/>
                <c:pt idx="0">
                  <c:v>0.0693235821763566</c:v>
                </c:pt>
                <c:pt idx="1">
                  <c:v>0.0524925326485542</c:v>
                </c:pt>
                <c:pt idx="2">
                  <c:v>0.0365098246188474</c:v>
                </c:pt>
                <c:pt idx="3">
                  <c:v>0.0255562590086197</c:v>
                </c:pt>
                <c:pt idx="4">
                  <c:v>0.0181384800147458</c:v>
                </c:pt>
                <c:pt idx="5">
                  <c:v>0.0119633324136289</c:v>
                </c:pt>
                <c:pt idx="6">
                  <c:v>0.0115548462509831</c:v>
                </c:pt>
                <c:pt idx="7">
                  <c:v>0.0131029263774673</c:v>
                </c:pt>
                <c:pt idx="8">
                  <c:v>0.0179509518941142</c:v>
                </c:pt>
                <c:pt idx="9">
                  <c:v>0.0246275483159677</c:v>
                </c:pt>
                <c:pt idx="10">
                  <c:v>0.0317103411798244</c:v>
                </c:pt>
                <c:pt idx="11">
                  <c:v>0.0376606382138347</c:v>
                </c:pt>
                <c:pt idx="12">
                  <c:v>0.0415188174966713</c:v>
                </c:pt>
                <c:pt idx="13">
                  <c:v>0.0434011968369799</c:v>
                </c:pt>
                <c:pt idx="14">
                  <c:v>0.0444778234831459</c:v>
                </c:pt>
                <c:pt idx="15">
                  <c:v>0.0468856937109388</c:v>
                </c:pt>
                <c:pt idx="16">
                  <c:v>0.052527107430258</c:v>
                </c:pt>
                <c:pt idx="17">
                  <c:v>0.0587908672202448</c:v>
                </c:pt>
                <c:pt idx="18">
                  <c:v>0.06148083103121</c:v>
                </c:pt>
                <c:pt idx="19">
                  <c:v>0.0633426028857349</c:v>
                </c:pt>
                <c:pt idx="20">
                  <c:v>0.0595886058921381</c:v>
                </c:pt>
                <c:pt idx="21">
                  <c:v>0.0578520817567653</c:v>
                </c:pt>
                <c:pt idx="22">
                  <c:v>0.0610782981422352</c:v>
                </c:pt>
                <c:pt idx="23">
                  <c:v>0.0584648110007339</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C3C2B7"/>
            </a:solidFill>
          </a:ln>
        </c:spPr>
        <c:txPr>
          <a:bodyPr/>
          <a:lstStyle/>
          <a:p>
            <a:pPr>
              <a:defRPr sz="900" baseline="0">
                <a:solidFill>
                  <a:srgbClr val="52514E"/>
                </a:solidFill>
              </a:defRPr>
            </a:pPr>
            <a:endParaRPr lang="en-US"/>
          </a:p>
        </c:txPr>
        <c:crossAx val="50040002"/>
        <c:crosses val="autoZero"/>
        <c:auto val="1"/>
        <c:lblAlgn val="ctr"/>
        <c:lblOffset val="100"/>
      </c:catAx>
      <c:valAx>
        <c:axId val="50040002"/>
        <c:scaling>
          <c:orientation val="minMax"/>
        </c:scaling>
        <c:axPos val="l"/>
        <c:majorGridlines>
          <c:spPr>
            <a:ln w="9525">
              <a:solidFill>
                <a:srgbClr val="E1E0D9"/>
              </a:solidFill>
            </a:ln>
          </c:spPr>
        </c:majorGridlines>
        <c:numFmt formatCode="0%" sourceLinked="0"/>
        <c:tickLblPos val="nextTo"/>
        <c:spPr>
          <a:ln>
            <a:noFill/>
          </a:ln>
        </c:spPr>
        <c:txPr>
          <a:bodyPr/>
          <a:lstStyle/>
          <a:p>
            <a:pPr>
              <a:defRPr sz="900" baseline="0">
                <a:solidFill>
                  <a:srgbClr val="52514E"/>
                </a:solidFill>
              </a:defRPr>
            </a:pPr>
            <a:endParaRPr lang="en-US"/>
          </a:p>
        </c:txPr>
        <c:crossAx val="50040001"/>
        <c:crosses val="autoZero"/>
        <c:crossBetween val="between"/>
      </c:valAx>
      <c:spPr>
        <a:solidFill>
          <a:srgbClr val="FFFFFF"/>
        </a:solidFill>
      </c:spPr>
    </c:plotArea>
    <c:legend>
      <c:legendPos val="b"/>
      <c:layout/>
      <c:txPr>
        <a:bodyPr/>
        <a:lstStyle/>
        <a:p>
          <a:pPr>
            <a:defRPr sz="900" baseline="0">
              <a:solidFill>
                <a:srgbClr val="52514E"/>
              </a:solidFill>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B0B0B"/>
                </a:solidFill>
              </a:defRPr>
            </a:pPr>
            <a:r>
              <a:rPr lang="en-US" sz="1100" b="1" baseline="0">
                <a:solidFill>
                  <a:srgbClr val="0B0B0B"/>
                </a:solidFill>
              </a:rPr>
              <a:t>2015: trips per day and 7-day average (from 7 Jan, first full 7-day window)</a:t>
            </a:r>
          </a:p>
        </c:rich>
      </c:tx>
      <c:layout/>
    </c:title>
    <c:plotArea>
      <c:layout/>
      <c:lineChart>
        <c:grouping val="standard"/>
        <c:ser>
          <c:idx val="0"/>
          <c:order val="0"/>
          <c:tx>
            <c:v>Trips per day</c:v>
          </c:tx>
          <c:spPr>
            <a:ln w="15875">
              <a:solidFill>
                <a:srgbClr val="C9C7BF"/>
              </a:solidFill>
            </a:ln>
          </c:spPr>
          <c:marker>
            <c:symbol val="none"/>
          </c:marker>
          <c:cat>
            <c:numRef>
              <c:f>Daily!$A$191:$A$365</c:f>
              <c:numCache>
                <c:formatCode>General</c:formatCode>
                <c:ptCount val="175"/>
                <c:pt idx="0">
                  <c:v>42011</c:v>
                </c:pt>
                <c:pt idx="1">
                  <c:v>42012</c:v>
                </c:pt>
                <c:pt idx="2">
                  <c:v>42013</c:v>
                </c:pt>
                <c:pt idx="3">
                  <c:v>42014</c:v>
                </c:pt>
                <c:pt idx="4">
                  <c:v>42015</c:v>
                </c:pt>
                <c:pt idx="5">
                  <c:v>42016</c:v>
                </c:pt>
                <c:pt idx="6">
                  <c:v>42017</c:v>
                </c:pt>
                <c:pt idx="7">
                  <c:v>42018</c:v>
                </c:pt>
                <c:pt idx="8">
                  <c:v>42019</c:v>
                </c:pt>
                <c:pt idx="9">
                  <c:v>42020</c:v>
                </c:pt>
                <c:pt idx="10">
                  <c:v>42021</c:v>
                </c:pt>
                <c:pt idx="11">
                  <c:v>42022</c:v>
                </c:pt>
                <c:pt idx="12">
                  <c:v>42023</c:v>
                </c:pt>
                <c:pt idx="13">
                  <c:v>42024</c:v>
                </c:pt>
                <c:pt idx="14">
                  <c:v>42025</c:v>
                </c:pt>
                <c:pt idx="15">
                  <c:v>42026</c:v>
                </c:pt>
                <c:pt idx="16">
                  <c:v>42027</c:v>
                </c:pt>
                <c:pt idx="17">
                  <c:v>42028</c:v>
                </c:pt>
                <c:pt idx="18">
                  <c:v>42029</c:v>
                </c:pt>
                <c:pt idx="19">
                  <c:v>42030</c:v>
                </c:pt>
                <c:pt idx="20">
                  <c:v>42031</c:v>
                </c:pt>
                <c:pt idx="21">
                  <c:v>42032</c:v>
                </c:pt>
                <c:pt idx="22">
                  <c:v>42033</c:v>
                </c:pt>
                <c:pt idx="23">
                  <c:v>42034</c:v>
                </c:pt>
                <c:pt idx="24">
                  <c:v>42035</c:v>
                </c:pt>
                <c:pt idx="25">
                  <c:v>42036</c:v>
                </c:pt>
                <c:pt idx="26">
                  <c:v>42037</c:v>
                </c:pt>
                <c:pt idx="27">
                  <c:v>42038</c:v>
                </c:pt>
                <c:pt idx="28">
                  <c:v>42039</c:v>
                </c:pt>
                <c:pt idx="29">
                  <c:v>42040</c:v>
                </c:pt>
                <c:pt idx="30">
                  <c:v>42041</c:v>
                </c:pt>
                <c:pt idx="31">
                  <c:v>42042</c:v>
                </c:pt>
                <c:pt idx="32">
                  <c:v>42043</c:v>
                </c:pt>
                <c:pt idx="33">
                  <c:v>42044</c:v>
                </c:pt>
                <c:pt idx="34">
                  <c:v>42045</c:v>
                </c:pt>
                <c:pt idx="35">
                  <c:v>42046</c:v>
                </c:pt>
                <c:pt idx="36">
                  <c:v>42047</c:v>
                </c:pt>
                <c:pt idx="37">
                  <c:v>42048</c:v>
                </c:pt>
                <c:pt idx="38">
                  <c:v>42049</c:v>
                </c:pt>
                <c:pt idx="39">
                  <c:v>42050</c:v>
                </c:pt>
                <c:pt idx="40">
                  <c:v>42051</c:v>
                </c:pt>
                <c:pt idx="41">
                  <c:v>42052</c:v>
                </c:pt>
                <c:pt idx="42">
                  <c:v>42053</c:v>
                </c:pt>
                <c:pt idx="43">
                  <c:v>42054</c:v>
                </c:pt>
                <c:pt idx="44">
                  <c:v>42055</c:v>
                </c:pt>
                <c:pt idx="45">
                  <c:v>42056</c:v>
                </c:pt>
                <c:pt idx="46">
                  <c:v>42057</c:v>
                </c:pt>
                <c:pt idx="47">
                  <c:v>42058</c:v>
                </c:pt>
                <c:pt idx="48">
                  <c:v>42059</c:v>
                </c:pt>
                <c:pt idx="49">
                  <c:v>42060</c:v>
                </c:pt>
                <c:pt idx="50">
                  <c:v>42061</c:v>
                </c:pt>
                <c:pt idx="51">
                  <c:v>42062</c:v>
                </c:pt>
                <c:pt idx="52">
                  <c:v>42063</c:v>
                </c:pt>
                <c:pt idx="53">
                  <c:v>42064</c:v>
                </c:pt>
                <c:pt idx="54">
                  <c:v>42065</c:v>
                </c:pt>
                <c:pt idx="55">
                  <c:v>42066</c:v>
                </c:pt>
                <c:pt idx="56">
                  <c:v>42067</c:v>
                </c:pt>
                <c:pt idx="57">
                  <c:v>42068</c:v>
                </c:pt>
                <c:pt idx="58">
                  <c:v>42069</c:v>
                </c:pt>
                <c:pt idx="59">
                  <c:v>42070</c:v>
                </c:pt>
                <c:pt idx="60">
                  <c:v>42071</c:v>
                </c:pt>
                <c:pt idx="61">
                  <c:v>42072</c:v>
                </c:pt>
                <c:pt idx="62">
                  <c:v>42073</c:v>
                </c:pt>
                <c:pt idx="63">
                  <c:v>42074</c:v>
                </c:pt>
                <c:pt idx="64">
                  <c:v>42075</c:v>
                </c:pt>
                <c:pt idx="65">
                  <c:v>42076</c:v>
                </c:pt>
                <c:pt idx="66">
                  <c:v>42077</c:v>
                </c:pt>
                <c:pt idx="67">
                  <c:v>42078</c:v>
                </c:pt>
                <c:pt idx="68">
                  <c:v>42079</c:v>
                </c:pt>
                <c:pt idx="69">
                  <c:v>42080</c:v>
                </c:pt>
                <c:pt idx="70">
                  <c:v>42081</c:v>
                </c:pt>
                <c:pt idx="71">
                  <c:v>42082</c:v>
                </c:pt>
                <c:pt idx="72">
                  <c:v>42083</c:v>
                </c:pt>
                <c:pt idx="73">
                  <c:v>42084</c:v>
                </c:pt>
                <c:pt idx="74">
                  <c:v>42085</c:v>
                </c:pt>
                <c:pt idx="75">
                  <c:v>42086</c:v>
                </c:pt>
                <c:pt idx="76">
                  <c:v>42087</c:v>
                </c:pt>
                <c:pt idx="77">
                  <c:v>42088</c:v>
                </c:pt>
                <c:pt idx="78">
                  <c:v>42089</c:v>
                </c:pt>
                <c:pt idx="79">
                  <c:v>42090</c:v>
                </c:pt>
                <c:pt idx="80">
                  <c:v>42091</c:v>
                </c:pt>
                <c:pt idx="81">
                  <c:v>42092</c:v>
                </c:pt>
                <c:pt idx="82">
                  <c:v>42093</c:v>
                </c:pt>
                <c:pt idx="83">
                  <c:v>42094</c:v>
                </c:pt>
                <c:pt idx="84">
                  <c:v>42095</c:v>
                </c:pt>
                <c:pt idx="85">
                  <c:v>42096</c:v>
                </c:pt>
                <c:pt idx="86">
                  <c:v>42097</c:v>
                </c:pt>
                <c:pt idx="87">
                  <c:v>42098</c:v>
                </c:pt>
                <c:pt idx="88">
                  <c:v>42099</c:v>
                </c:pt>
                <c:pt idx="89">
                  <c:v>42100</c:v>
                </c:pt>
                <c:pt idx="90">
                  <c:v>42101</c:v>
                </c:pt>
                <c:pt idx="91">
                  <c:v>42102</c:v>
                </c:pt>
                <c:pt idx="92">
                  <c:v>42103</c:v>
                </c:pt>
                <c:pt idx="93">
                  <c:v>42104</c:v>
                </c:pt>
                <c:pt idx="94">
                  <c:v>42105</c:v>
                </c:pt>
                <c:pt idx="95">
                  <c:v>42106</c:v>
                </c:pt>
                <c:pt idx="96">
                  <c:v>42107</c:v>
                </c:pt>
                <c:pt idx="97">
                  <c:v>42108</c:v>
                </c:pt>
                <c:pt idx="98">
                  <c:v>42109</c:v>
                </c:pt>
                <c:pt idx="99">
                  <c:v>42110</c:v>
                </c:pt>
                <c:pt idx="100">
                  <c:v>42111</c:v>
                </c:pt>
                <c:pt idx="101">
                  <c:v>42112</c:v>
                </c:pt>
                <c:pt idx="102">
                  <c:v>42113</c:v>
                </c:pt>
                <c:pt idx="103">
                  <c:v>42114</c:v>
                </c:pt>
                <c:pt idx="104">
                  <c:v>42115</c:v>
                </c:pt>
                <c:pt idx="105">
                  <c:v>42116</c:v>
                </c:pt>
                <c:pt idx="106">
                  <c:v>42117</c:v>
                </c:pt>
                <c:pt idx="107">
                  <c:v>42118</c:v>
                </c:pt>
                <c:pt idx="108">
                  <c:v>42119</c:v>
                </c:pt>
                <c:pt idx="109">
                  <c:v>42120</c:v>
                </c:pt>
                <c:pt idx="110">
                  <c:v>42121</c:v>
                </c:pt>
                <c:pt idx="111">
                  <c:v>42122</c:v>
                </c:pt>
                <c:pt idx="112">
                  <c:v>42123</c:v>
                </c:pt>
                <c:pt idx="113">
                  <c:v>42124</c:v>
                </c:pt>
                <c:pt idx="114">
                  <c:v>42125</c:v>
                </c:pt>
                <c:pt idx="115">
                  <c:v>42126</c:v>
                </c:pt>
                <c:pt idx="116">
                  <c:v>42127</c:v>
                </c:pt>
                <c:pt idx="117">
                  <c:v>42128</c:v>
                </c:pt>
                <c:pt idx="118">
                  <c:v>42129</c:v>
                </c:pt>
                <c:pt idx="119">
                  <c:v>42130</c:v>
                </c:pt>
                <c:pt idx="120">
                  <c:v>42131</c:v>
                </c:pt>
                <c:pt idx="121">
                  <c:v>42132</c:v>
                </c:pt>
                <c:pt idx="122">
                  <c:v>42133</c:v>
                </c:pt>
                <c:pt idx="123">
                  <c:v>42134</c:v>
                </c:pt>
                <c:pt idx="124">
                  <c:v>42135</c:v>
                </c:pt>
                <c:pt idx="125">
                  <c:v>42136</c:v>
                </c:pt>
                <c:pt idx="126">
                  <c:v>42137</c:v>
                </c:pt>
                <c:pt idx="127">
                  <c:v>42138</c:v>
                </c:pt>
                <c:pt idx="128">
                  <c:v>42139</c:v>
                </c:pt>
                <c:pt idx="129">
                  <c:v>42140</c:v>
                </c:pt>
                <c:pt idx="130">
                  <c:v>42141</c:v>
                </c:pt>
                <c:pt idx="131">
                  <c:v>42142</c:v>
                </c:pt>
                <c:pt idx="132">
                  <c:v>42143</c:v>
                </c:pt>
                <c:pt idx="133">
                  <c:v>42144</c:v>
                </c:pt>
                <c:pt idx="134">
                  <c:v>42145</c:v>
                </c:pt>
                <c:pt idx="135">
                  <c:v>42146</c:v>
                </c:pt>
                <c:pt idx="136">
                  <c:v>42147</c:v>
                </c:pt>
                <c:pt idx="137">
                  <c:v>42148</c:v>
                </c:pt>
                <c:pt idx="138">
                  <c:v>42149</c:v>
                </c:pt>
                <c:pt idx="139">
                  <c:v>42150</c:v>
                </c:pt>
                <c:pt idx="140">
                  <c:v>42151</c:v>
                </c:pt>
                <c:pt idx="141">
                  <c:v>42152</c:v>
                </c:pt>
                <c:pt idx="142">
                  <c:v>42153</c:v>
                </c:pt>
                <c:pt idx="143">
                  <c:v>42154</c:v>
                </c:pt>
                <c:pt idx="144">
                  <c:v>42155</c:v>
                </c:pt>
                <c:pt idx="145">
                  <c:v>42156</c:v>
                </c:pt>
                <c:pt idx="146">
                  <c:v>42157</c:v>
                </c:pt>
                <c:pt idx="147">
                  <c:v>42158</c:v>
                </c:pt>
                <c:pt idx="148">
                  <c:v>42159</c:v>
                </c:pt>
                <c:pt idx="149">
                  <c:v>42160</c:v>
                </c:pt>
                <c:pt idx="150">
                  <c:v>42161</c:v>
                </c:pt>
                <c:pt idx="151">
                  <c:v>42162</c:v>
                </c:pt>
                <c:pt idx="152">
                  <c:v>42163</c:v>
                </c:pt>
                <c:pt idx="153">
                  <c:v>42164</c:v>
                </c:pt>
                <c:pt idx="154">
                  <c:v>42165</c:v>
                </c:pt>
                <c:pt idx="155">
                  <c:v>42166</c:v>
                </c:pt>
                <c:pt idx="156">
                  <c:v>42167</c:v>
                </c:pt>
                <c:pt idx="157">
                  <c:v>42168</c:v>
                </c:pt>
                <c:pt idx="158">
                  <c:v>42169</c:v>
                </c:pt>
                <c:pt idx="159">
                  <c:v>42170</c:v>
                </c:pt>
                <c:pt idx="160">
                  <c:v>42171</c:v>
                </c:pt>
                <c:pt idx="161">
                  <c:v>42172</c:v>
                </c:pt>
                <c:pt idx="162">
                  <c:v>42173</c:v>
                </c:pt>
                <c:pt idx="163">
                  <c:v>42174</c:v>
                </c:pt>
                <c:pt idx="164">
                  <c:v>42175</c:v>
                </c:pt>
                <c:pt idx="165">
                  <c:v>42176</c:v>
                </c:pt>
                <c:pt idx="166">
                  <c:v>42177</c:v>
                </c:pt>
                <c:pt idx="167">
                  <c:v>42178</c:v>
                </c:pt>
                <c:pt idx="168">
                  <c:v>42179</c:v>
                </c:pt>
                <c:pt idx="169">
                  <c:v>42180</c:v>
                </c:pt>
                <c:pt idx="170">
                  <c:v>42181</c:v>
                </c:pt>
                <c:pt idx="171">
                  <c:v>42182</c:v>
                </c:pt>
                <c:pt idx="172">
                  <c:v>42183</c:v>
                </c:pt>
                <c:pt idx="173">
                  <c:v>42184</c:v>
                </c:pt>
                <c:pt idx="174">
                  <c:v>42185</c:v>
                </c:pt>
              </c:numCache>
            </c:numRef>
          </c:cat>
          <c:val>
            <c:numRef>
              <c:f>Daily!$C$191:$C$365</c:f>
              <c:numCache>
                <c:formatCode>General</c:formatCode>
                <c:ptCount val="175"/>
                <c:pt idx="0">
                  <c:v>63375</c:v>
                </c:pt>
                <c:pt idx="1">
                  <c:v>73016</c:v>
                </c:pt>
                <c:pt idx="2">
                  <c:v>72124</c:v>
                </c:pt>
                <c:pt idx="3">
                  <c:v>80656</c:v>
                </c:pt>
                <c:pt idx="4">
                  <c:v>58751</c:v>
                </c:pt>
                <c:pt idx="5">
                  <c:v>58991</c:v>
                </c:pt>
                <c:pt idx="6">
                  <c:v>64765</c:v>
                </c:pt>
                <c:pt idx="7">
                  <c:v>64725</c:v>
                </c:pt>
                <c:pt idx="8">
                  <c:v>68211</c:v>
                </c:pt>
                <c:pt idx="9">
                  <c:v>74193</c:v>
                </c:pt>
                <c:pt idx="10">
                  <c:v>75364</c:v>
                </c:pt>
                <c:pt idx="11">
                  <c:v>74523</c:v>
                </c:pt>
                <c:pt idx="12">
                  <c:v>47025</c:v>
                </c:pt>
                <c:pt idx="13">
                  <c:v>55867</c:v>
                </c:pt>
                <c:pt idx="14">
                  <c:v>60383</c:v>
                </c:pt>
                <c:pt idx="15">
                  <c:v>66819</c:v>
                </c:pt>
                <c:pt idx="16">
                  <c:v>73363</c:v>
                </c:pt>
                <c:pt idx="17">
                  <c:v>82588</c:v>
                </c:pt>
                <c:pt idx="18">
                  <c:v>59382</c:v>
                </c:pt>
                <c:pt idx="19">
                  <c:v>44310</c:v>
                </c:pt>
                <c:pt idx="20">
                  <c:v>25954</c:v>
                </c:pt>
                <c:pt idx="21">
                  <c:v>61626</c:v>
                </c:pt>
                <c:pt idx="22">
                  <c:v>70441</c:v>
                </c:pt>
                <c:pt idx="23">
                  <c:v>85565</c:v>
                </c:pt>
                <c:pt idx="24">
                  <c:v>94448</c:v>
                </c:pt>
                <c:pt idx="25">
                  <c:v>78592</c:v>
                </c:pt>
                <c:pt idx="26">
                  <c:v>70193</c:v>
                </c:pt>
                <c:pt idx="27">
                  <c:v>71532</c:v>
                </c:pt>
                <c:pt idx="28">
                  <c:v>68237</c:v>
                </c:pt>
                <c:pt idx="29">
                  <c:v>82336</c:v>
                </c:pt>
                <c:pt idx="30">
                  <c:v>87568</c:v>
                </c:pt>
                <c:pt idx="31">
                  <c:v>82752</c:v>
                </c:pt>
                <c:pt idx="32">
                  <c:v>64327</c:v>
                </c:pt>
                <c:pt idx="33">
                  <c:v>63306</c:v>
                </c:pt>
                <c:pt idx="34">
                  <c:v>66197</c:v>
                </c:pt>
                <c:pt idx="35">
                  <c:v>73742</c:v>
                </c:pt>
                <c:pt idx="36">
                  <c:v>84751</c:v>
                </c:pt>
                <c:pt idx="37">
                  <c:v>99897</c:v>
                </c:pt>
                <c:pt idx="38">
                  <c:v>102347</c:v>
                </c:pt>
                <c:pt idx="39">
                  <c:v>91320</c:v>
                </c:pt>
                <c:pt idx="40">
                  <c:v>73672</c:v>
                </c:pt>
                <c:pt idx="41">
                  <c:v>74221</c:v>
                </c:pt>
                <c:pt idx="42">
                  <c:v>73493</c:v>
                </c:pt>
                <c:pt idx="43">
                  <c:v>90271</c:v>
                </c:pt>
                <c:pt idx="44">
                  <c:v>102762</c:v>
                </c:pt>
                <c:pt idx="45">
                  <c:v>100481</c:v>
                </c:pt>
                <c:pt idx="46">
                  <c:v>67844</c:v>
                </c:pt>
                <c:pt idx="47">
                  <c:v>72494</c:v>
                </c:pt>
                <c:pt idx="48">
                  <c:v>80520</c:v>
                </c:pt>
                <c:pt idx="49">
                  <c:v>75992</c:v>
                </c:pt>
                <c:pt idx="50">
                  <c:v>84840</c:v>
                </c:pt>
                <c:pt idx="51">
                  <c:v>90217</c:v>
                </c:pt>
                <c:pt idx="52">
                  <c:v>89716</c:v>
                </c:pt>
                <c:pt idx="53">
                  <c:v>70839</c:v>
                </c:pt>
                <c:pt idx="54">
                  <c:v>57460</c:v>
                </c:pt>
                <c:pt idx="55">
                  <c:v>75048</c:v>
                </c:pt>
                <c:pt idx="56">
                  <c:v>71931</c:v>
                </c:pt>
                <c:pt idx="57">
                  <c:v>77446</c:v>
                </c:pt>
                <c:pt idx="58">
                  <c:v>83134</c:v>
                </c:pt>
                <c:pt idx="59">
                  <c:v>81468</c:v>
                </c:pt>
                <c:pt idx="60">
                  <c:v>61824</c:v>
                </c:pt>
                <c:pt idx="61">
                  <c:v>53920</c:v>
                </c:pt>
                <c:pt idx="62">
                  <c:v>72185</c:v>
                </c:pt>
                <c:pt idx="63">
                  <c:v>65315</c:v>
                </c:pt>
                <c:pt idx="64">
                  <c:v>74038</c:v>
                </c:pt>
                <c:pt idx="65">
                  <c:v>79272</c:v>
                </c:pt>
                <c:pt idx="66">
                  <c:v>90956</c:v>
                </c:pt>
                <c:pt idx="67">
                  <c:v>63421</c:v>
                </c:pt>
                <c:pt idx="68">
                  <c:v>54824</c:v>
                </c:pt>
                <c:pt idx="69">
                  <c:v>62886</c:v>
                </c:pt>
                <c:pt idx="70">
                  <c:v>70384</c:v>
                </c:pt>
                <c:pt idx="71">
                  <c:v>75839</c:v>
                </c:pt>
                <c:pt idx="72">
                  <c:v>95273</c:v>
                </c:pt>
                <c:pt idx="73">
                  <c:v>80745</c:v>
                </c:pt>
                <c:pt idx="74">
                  <c:v>69337</c:v>
                </c:pt>
                <c:pt idx="75">
                  <c:v>60498</c:v>
                </c:pt>
                <c:pt idx="76">
                  <c:v>64400</c:v>
                </c:pt>
                <c:pt idx="77">
                  <c:v>73953</c:v>
                </c:pt>
                <c:pt idx="78">
                  <c:v>78552</c:v>
                </c:pt>
                <c:pt idx="79">
                  <c:v>84977</c:v>
                </c:pt>
                <c:pt idx="80">
                  <c:v>92527</c:v>
                </c:pt>
                <c:pt idx="81">
                  <c:v>75648</c:v>
                </c:pt>
                <c:pt idx="82">
                  <c:v>62780</c:v>
                </c:pt>
                <c:pt idx="83">
                  <c:v>78893</c:v>
                </c:pt>
                <c:pt idx="84">
                  <c:v>69223</c:v>
                </c:pt>
                <c:pt idx="85">
                  <c:v>74069</c:v>
                </c:pt>
                <c:pt idx="86">
                  <c:v>75983</c:v>
                </c:pt>
                <c:pt idx="87">
                  <c:v>69189</c:v>
                </c:pt>
                <c:pt idx="88">
                  <c:v>58357</c:v>
                </c:pt>
                <c:pt idx="89">
                  <c:v>53565</c:v>
                </c:pt>
                <c:pt idx="90">
                  <c:v>68079</c:v>
                </c:pt>
                <c:pt idx="91">
                  <c:v>72023</c:v>
                </c:pt>
                <c:pt idx="92">
                  <c:v>77520</c:v>
                </c:pt>
                <c:pt idx="93">
                  <c:v>81439</c:v>
                </c:pt>
                <c:pt idx="94">
                  <c:v>82547</c:v>
                </c:pt>
                <c:pt idx="95">
                  <c:v>67726</c:v>
                </c:pt>
                <c:pt idx="96">
                  <c:v>56655</c:v>
                </c:pt>
                <c:pt idx="97">
                  <c:v>63393</c:v>
                </c:pt>
                <c:pt idx="98">
                  <c:v>66534</c:v>
                </c:pt>
                <c:pt idx="99">
                  <c:v>78808</c:v>
                </c:pt>
                <c:pt idx="100">
                  <c:v>83855</c:v>
                </c:pt>
                <c:pt idx="101">
                  <c:v>94196</c:v>
                </c:pt>
                <c:pt idx="102">
                  <c:v>78107</c:v>
                </c:pt>
                <c:pt idx="103">
                  <c:v>78076</c:v>
                </c:pt>
                <c:pt idx="104">
                  <c:v>68712</c:v>
                </c:pt>
                <c:pt idx="105">
                  <c:v>82124</c:v>
                </c:pt>
                <c:pt idx="106">
                  <c:v>92110</c:v>
                </c:pt>
                <c:pt idx="107">
                  <c:v>99688</c:v>
                </c:pt>
                <c:pt idx="108">
                  <c:v>106270</c:v>
                </c:pt>
                <c:pt idx="109">
                  <c:v>88673</c:v>
                </c:pt>
                <c:pt idx="110">
                  <c:v>64783</c:v>
                </c:pt>
                <c:pt idx="111">
                  <c:v>68863</c:v>
                </c:pt>
                <c:pt idx="112">
                  <c:v>75940</c:v>
                </c:pt>
                <c:pt idx="113">
                  <c:v>84330</c:v>
                </c:pt>
                <c:pt idx="114">
                  <c:v>92329</c:v>
                </c:pt>
                <c:pt idx="115">
                  <c:v>104978</c:v>
                </c:pt>
                <c:pt idx="116">
                  <c:v>80300</c:v>
                </c:pt>
                <c:pt idx="117">
                  <c:v>65447</c:v>
                </c:pt>
                <c:pt idx="118">
                  <c:v>76195</c:v>
                </c:pt>
                <c:pt idx="119">
                  <c:v>80447</c:v>
                </c:pt>
                <c:pt idx="120">
                  <c:v>87361</c:v>
                </c:pt>
                <c:pt idx="121">
                  <c:v>90733</c:v>
                </c:pt>
                <c:pt idx="122">
                  <c:v>98359</c:v>
                </c:pt>
                <c:pt idx="123">
                  <c:v>80146</c:v>
                </c:pt>
                <c:pt idx="124">
                  <c:v>70310</c:v>
                </c:pt>
                <c:pt idx="125">
                  <c:v>78437</c:v>
                </c:pt>
                <c:pt idx="126">
                  <c:v>84937</c:v>
                </c:pt>
                <c:pt idx="127">
                  <c:v>93624</c:v>
                </c:pt>
                <c:pt idx="128">
                  <c:v>99756</c:v>
                </c:pt>
                <c:pt idx="129">
                  <c:v>121557</c:v>
                </c:pt>
                <c:pt idx="130">
                  <c:v>94322</c:v>
                </c:pt>
                <c:pt idx="131">
                  <c:v>76414</c:v>
                </c:pt>
                <c:pt idx="132">
                  <c:v>85371</c:v>
                </c:pt>
                <c:pt idx="133">
                  <c:v>91062</c:v>
                </c:pt>
                <c:pt idx="134">
                  <c:v>95146</c:v>
                </c:pt>
                <c:pt idx="135">
                  <c:v>85771</c:v>
                </c:pt>
                <c:pt idx="136">
                  <c:v>78343</c:v>
                </c:pt>
                <c:pt idx="137">
                  <c:v>68328</c:v>
                </c:pt>
                <c:pt idx="138">
                  <c:v>59748</c:v>
                </c:pt>
                <c:pt idx="139">
                  <c:v>72820</c:v>
                </c:pt>
                <c:pt idx="140">
                  <c:v>88662</c:v>
                </c:pt>
                <c:pt idx="141">
                  <c:v>95074</c:v>
                </c:pt>
                <c:pt idx="142">
                  <c:v>98200</c:v>
                </c:pt>
                <c:pt idx="143">
                  <c:v>104429</c:v>
                </c:pt>
                <c:pt idx="144">
                  <c:v>96947</c:v>
                </c:pt>
                <c:pt idx="145">
                  <c:v>93499</c:v>
                </c:pt>
                <c:pt idx="146">
                  <c:v>97592</c:v>
                </c:pt>
                <c:pt idx="147">
                  <c:v>87206</c:v>
                </c:pt>
                <c:pt idx="148">
                  <c:v>95023</c:v>
                </c:pt>
                <c:pt idx="149">
                  <c:v>101922</c:v>
                </c:pt>
                <c:pt idx="150">
                  <c:v>101773</c:v>
                </c:pt>
                <c:pt idx="151">
                  <c:v>88876</c:v>
                </c:pt>
                <c:pt idx="152">
                  <c:v>76899</c:v>
                </c:pt>
                <c:pt idx="153">
                  <c:v>82463</c:v>
                </c:pt>
                <c:pt idx="154">
                  <c:v>87403</c:v>
                </c:pt>
                <c:pt idx="155">
                  <c:v>102013</c:v>
                </c:pt>
                <c:pt idx="156">
                  <c:v>103052</c:v>
                </c:pt>
                <c:pt idx="157">
                  <c:v>101170</c:v>
                </c:pt>
                <c:pt idx="158">
                  <c:v>90856</c:v>
                </c:pt>
                <c:pt idx="159">
                  <c:v>85857</c:v>
                </c:pt>
                <c:pt idx="160">
                  <c:v>89171</c:v>
                </c:pt>
                <c:pt idx="161">
                  <c:v>93706</c:v>
                </c:pt>
                <c:pt idx="162">
                  <c:v>99842</c:v>
                </c:pt>
                <c:pt idx="163">
                  <c:v>101703</c:v>
                </c:pt>
                <c:pt idx="164">
                  <c:v>101667</c:v>
                </c:pt>
                <c:pt idx="165">
                  <c:v>89285</c:v>
                </c:pt>
                <c:pt idx="166">
                  <c:v>75418</c:v>
                </c:pt>
                <c:pt idx="167">
                  <c:v>93172</c:v>
                </c:pt>
                <c:pt idx="168">
                  <c:v>91388</c:v>
                </c:pt>
                <c:pt idx="169">
                  <c:v>100073</c:v>
                </c:pt>
                <c:pt idx="170">
                  <c:v>99508</c:v>
                </c:pt>
                <c:pt idx="171">
                  <c:v>136193</c:v>
                </c:pt>
                <c:pt idx="172">
                  <c:v>93108</c:v>
                </c:pt>
                <c:pt idx="173">
                  <c:v>74430</c:v>
                </c:pt>
                <c:pt idx="174">
                  <c:v>82627</c:v>
                </c:pt>
              </c:numCache>
            </c:numRef>
          </c:val>
        </c:ser>
        <c:ser>
          <c:idx val="1"/>
          <c:order val="1"/>
          <c:tx>
            <c:v>7-day average</c:v>
          </c:tx>
          <c:spPr>
            <a:ln w="28575">
              <a:solidFill>
                <a:srgbClr val="2A78D6"/>
              </a:solidFill>
            </a:ln>
          </c:spPr>
          <c:marker>
            <c:symbol val="none"/>
          </c:marker>
          <c:cat>
            <c:numRef>
              <c:f>Daily!$A$191:$A$365</c:f>
              <c:numCache>
                <c:formatCode>General</c:formatCode>
                <c:ptCount val="175"/>
                <c:pt idx="0">
                  <c:v>42011</c:v>
                </c:pt>
                <c:pt idx="1">
                  <c:v>42012</c:v>
                </c:pt>
                <c:pt idx="2">
                  <c:v>42013</c:v>
                </c:pt>
                <c:pt idx="3">
                  <c:v>42014</c:v>
                </c:pt>
                <c:pt idx="4">
                  <c:v>42015</c:v>
                </c:pt>
                <c:pt idx="5">
                  <c:v>42016</c:v>
                </c:pt>
                <c:pt idx="6">
                  <c:v>42017</c:v>
                </c:pt>
                <c:pt idx="7">
                  <c:v>42018</c:v>
                </c:pt>
                <c:pt idx="8">
                  <c:v>42019</c:v>
                </c:pt>
                <c:pt idx="9">
                  <c:v>42020</c:v>
                </c:pt>
                <c:pt idx="10">
                  <c:v>42021</c:v>
                </c:pt>
                <c:pt idx="11">
                  <c:v>42022</c:v>
                </c:pt>
                <c:pt idx="12">
                  <c:v>42023</c:v>
                </c:pt>
                <c:pt idx="13">
                  <c:v>42024</c:v>
                </c:pt>
                <c:pt idx="14">
                  <c:v>42025</c:v>
                </c:pt>
                <c:pt idx="15">
                  <c:v>42026</c:v>
                </c:pt>
                <c:pt idx="16">
                  <c:v>42027</c:v>
                </c:pt>
                <c:pt idx="17">
                  <c:v>42028</c:v>
                </c:pt>
                <c:pt idx="18">
                  <c:v>42029</c:v>
                </c:pt>
                <c:pt idx="19">
                  <c:v>42030</c:v>
                </c:pt>
                <c:pt idx="20">
                  <c:v>42031</c:v>
                </c:pt>
                <c:pt idx="21">
                  <c:v>42032</c:v>
                </c:pt>
                <c:pt idx="22">
                  <c:v>42033</c:v>
                </c:pt>
                <c:pt idx="23">
                  <c:v>42034</c:v>
                </c:pt>
                <c:pt idx="24">
                  <c:v>42035</c:v>
                </c:pt>
                <c:pt idx="25">
                  <c:v>42036</c:v>
                </c:pt>
                <c:pt idx="26">
                  <c:v>42037</c:v>
                </c:pt>
                <c:pt idx="27">
                  <c:v>42038</c:v>
                </c:pt>
                <c:pt idx="28">
                  <c:v>42039</c:v>
                </c:pt>
                <c:pt idx="29">
                  <c:v>42040</c:v>
                </c:pt>
                <c:pt idx="30">
                  <c:v>42041</c:v>
                </c:pt>
                <c:pt idx="31">
                  <c:v>42042</c:v>
                </c:pt>
                <c:pt idx="32">
                  <c:v>42043</c:v>
                </c:pt>
                <c:pt idx="33">
                  <c:v>42044</c:v>
                </c:pt>
                <c:pt idx="34">
                  <c:v>42045</c:v>
                </c:pt>
                <c:pt idx="35">
                  <c:v>42046</c:v>
                </c:pt>
                <c:pt idx="36">
                  <c:v>42047</c:v>
                </c:pt>
                <c:pt idx="37">
                  <c:v>42048</c:v>
                </c:pt>
                <c:pt idx="38">
                  <c:v>42049</c:v>
                </c:pt>
                <c:pt idx="39">
                  <c:v>42050</c:v>
                </c:pt>
                <c:pt idx="40">
                  <c:v>42051</c:v>
                </c:pt>
                <c:pt idx="41">
                  <c:v>42052</c:v>
                </c:pt>
                <c:pt idx="42">
                  <c:v>42053</c:v>
                </c:pt>
                <c:pt idx="43">
                  <c:v>42054</c:v>
                </c:pt>
                <c:pt idx="44">
                  <c:v>42055</c:v>
                </c:pt>
                <c:pt idx="45">
                  <c:v>42056</c:v>
                </c:pt>
                <c:pt idx="46">
                  <c:v>42057</c:v>
                </c:pt>
                <c:pt idx="47">
                  <c:v>42058</c:v>
                </c:pt>
                <c:pt idx="48">
                  <c:v>42059</c:v>
                </c:pt>
                <c:pt idx="49">
                  <c:v>42060</c:v>
                </c:pt>
                <c:pt idx="50">
                  <c:v>42061</c:v>
                </c:pt>
                <c:pt idx="51">
                  <c:v>42062</c:v>
                </c:pt>
                <c:pt idx="52">
                  <c:v>42063</c:v>
                </c:pt>
                <c:pt idx="53">
                  <c:v>42064</c:v>
                </c:pt>
                <c:pt idx="54">
                  <c:v>42065</c:v>
                </c:pt>
                <c:pt idx="55">
                  <c:v>42066</c:v>
                </c:pt>
                <c:pt idx="56">
                  <c:v>42067</c:v>
                </c:pt>
                <c:pt idx="57">
                  <c:v>42068</c:v>
                </c:pt>
                <c:pt idx="58">
                  <c:v>42069</c:v>
                </c:pt>
                <c:pt idx="59">
                  <c:v>42070</c:v>
                </c:pt>
                <c:pt idx="60">
                  <c:v>42071</c:v>
                </c:pt>
                <c:pt idx="61">
                  <c:v>42072</c:v>
                </c:pt>
                <c:pt idx="62">
                  <c:v>42073</c:v>
                </c:pt>
                <c:pt idx="63">
                  <c:v>42074</c:v>
                </c:pt>
                <c:pt idx="64">
                  <c:v>42075</c:v>
                </c:pt>
                <c:pt idx="65">
                  <c:v>42076</c:v>
                </c:pt>
                <c:pt idx="66">
                  <c:v>42077</c:v>
                </c:pt>
                <c:pt idx="67">
                  <c:v>42078</c:v>
                </c:pt>
                <c:pt idx="68">
                  <c:v>42079</c:v>
                </c:pt>
                <c:pt idx="69">
                  <c:v>42080</c:v>
                </c:pt>
                <c:pt idx="70">
                  <c:v>42081</c:v>
                </c:pt>
                <c:pt idx="71">
                  <c:v>42082</c:v>
                </c:pt>
                <c:pt idx="72">
                  <c:v>42083</c:v>
                </c:pt>
                <c:pt idx="73">
                  <c:v>42084</c:v>
                </c:pt>
                <c:pt idx="74">
                  <c:v>42085</c:v>
                </c:pt>
                <c:pt idx="75">
                  <c:v>42086</c:v>
                </c:pt>
                <c:pt idx="76">
                  <c:v>42087</c:v>
                </c:pt>
                <c:pt idx="77">
                  <c:v>42088</c:v>
                </c:pt>
                <c:pt idx="78">
                  <c:v>42089</c:v>
                </c:pt>
                <c:pt idx="79">
                  <c:v>42090</c:v>
                </c:pt>
                <c:pt idx="80">
                  <c:v>42091</c:v>
                </c:pt>
                <c:pt idx="81">
                  <c:v>42092</c:v>
                </c:pt>
                <c:pt idx="82">
                  <c:v>42093</c:v>
                </c:pt>
                <c:pt idx="83">
                  <c:v>42094</c:v>
                </c:pt>
                <c:pt idx="84">
                  <c:v>42095</c:v>
                </c:pt>
                <c:pt idx="85">
                  <c:v>42096</c:v>
                </c:pt>
                <c:pt idx="86">
                  <c:v>42097</c:v>
                </c:pt>
                <c:pt idx="87">
                  <c:v>42098</c:v>
                </c:pt>
                <c:pt idx="88">
                  <c:v>42099</c:v>
                </c:pt>
                <c:pt idx="89">
                  <c:v>42100</c:v>
                </c:pt>
                <c:pt idx="90">
                  <c:v>42101</c:v>
                </c:pt>
                <c:pt idx="91">
                  <c:v>42102</c:v>
                </c:pt>
                <c:pt idx="92">
                  <c:v>42103</c:v>
                </c:pt>
                <c:pt idx="93">
                  <c:v>42104</c:v>
                </c:pt>
                <c:pt idx="94">
                  <c:v>42105</c:v>
                </c:pt>
                <c:pt idx="95">
                  <c:v>42106</c:v>
                </c:pt>
                <c:pt idx="96">
                  <c:v>42107</c:v>
                </c:pt>
                <c:pt idx="97">
                  <c:v>42108</c:v>
                </c:pt>
                <c:pt idx="98">
                  <c:v>42109</c:v>
                </c:pt>
                <c:pt idx="99">
                  <c:v>42110</c:v>
                </c:pt>
                <c:pt idx="100">
                  <c:v>42111</c:v>
                </c:pt>
                <c:pt idx="101">
                  <c:v>42112</c:v>
                </c:pt>
                <c:pt idx="102">
                  <c:v>42113</c:v>
                </c:pt>
                <c:pt idx="103">
                  <c:v>42114</c:v>
                </c:pt>
                <c:pt idx="104">
                  <c:v>42115</c:v>
                </c:pt>
                <c:pt idx="105">
                  <c:v>42116</c:v>
                </c:pt>
                <c:pt idx="106">
                  <c:v>42117</c:v>
                </c:pt>
                <c:pt idx="107">
                  <c:v>42118</c:v>
                </c:pt>
                <c:pt idx="108">
                  <c:v>42119</c:v>
                </c:pt>
                <c:pt idx="109">
                  <c:v>42120</c:v>
                </c:pt>
                <c:pt idx="110">
                  <c:v>42121</c:v>
                </c:pt>
                <c:pt idx="111">
                  <c:v>42122</c:v>
                </c:pt>
                <c:pt idx="112">
                  <c:v>42123</c:v>
                </c:pt>
                <c:pt idx="113">
                  <c:v>42124</c:v>
                </c:pt>
                <c:pt idx="114">
                  <c:v>42125</c:v>
                </c:pt>
                <c:pt idx="115">
                  <c:v>42126</c:v>
                </c:pt>
                <c:pt idx="116">
                  <c:v>42127</c:v>
                </c:pt>
                <c:pt idx="117">
                  <c:v>42128</c:v>
                </c:pt>
                <c:pt idx="118">
                  <c:v>42129</c:v>
                </c:pt>
                <c:pt idx="119">
                  <c:v>42130</c:v>
                </c:pt>
                <c:pt idx="120">
                  <c:v>42131</c:v>
                </c:pt>
                <c:pt idx="121">
                  <c:v>42132</c:v>
                </c:pt>
                <c:pt idx="122">
                  <c:v>42133</c:v>
                </c:pt>
                <c:pt idx="123">
                  <c:v>42134</c:v>
                </c:pt>
                <c:pt idx="124">
                  <c:v>42135</c:v>
                </c:pt>
                <c:pt idx="125">
                  <c:v>42136</c:v>
                </c:pt>
                <c:pt idx="126">
                  <c:v>42137</c:v>
                </c:pt>
                <c:pt idx="127">
                  <c:v>42138</c:v>
                </c:pt>
                <c:pt idx="128">
                  <c:v>42139</c:v>
                </c:pt>
                <c:pt idx="129">
                  <c:v>42140</c:v>
                </c:pt>
                <c:pt idx="130">
                  <c:v>42141</c:v>
                </c:pt>
                <c:pt idx="131">
                  <c:v>42142</c:v>
                </c:pt>
                <c:pt idx="132">
                  <c:v>42143</c:v>
                </c:pt>
                <c:pt idx="133">
                  <c:v>42144</c:v>
                </c:pt>
                <c:pt idx="134">
                  <c:v>42145</c:v>
                </c:pt>
                <c:pt idx="135">
                  <c:v>42146</c:v>
                </c:pt>
                <c:pt idx="136">
                  <c:v>42147</c:v>
                </c:pt>
                <c:pt idx="137">
                  <c:v>42148</c:v>
                </c:pt>
                <c:pt idx="138">
                  <c:v>42149</c:v>
                </c:pt>
                <c:pt idx="139">
                  <c:v>42150</c:v>
                </c:pt>
                <c:pt idx="140">
                  <c:v>42151</c:v>
                </c:pt>
                <c:pt idx="141">
                  <c:v>42152</c:v>
                </c:pt>
                <c:pt idx="142">
                  <c:v>42153</c:v>
                </c:pt>
                <c:pt idx="143">
                  <c:v>42154</c:v>
                </c:pt>
                <c:pt idx="144">
                  <c:v>42155</c:v>
                </c:pt>
                <c:pt idx="145">
                  <c:v>42156</c:v>
                </c:pt>
                <c:pt idx="146">
                  <c:v>42157</c:v>
                </c:pt>
                <c:pt idx="147">
                  <c:v>42158</c:v>
                </c:pt>
                <c:pt idx="148">
                  <c:v>42159</c:v>
                </c:pt>
                <c:pt idx="149">
                  <c:v>42160</c:v>
                </c:pt>
                <c:pt idx="150">
                  <c:v>42161</c:v>
                </c:pt>
                <c:pt idx="151">
                  <c:v>42162</c:v>
                </c:pt>
                <c:pt idx="152">
                  <c:v>42163</c:v>
                </c:pt>
                <c:pt idx="153">
                  <c:v>42164</c:v>
                </c:pt>
                <c:pt idx="154">
                  <c:v>42165</c:v>
                </c:pt>
                <c:pt idx="155">
                  <c:v>42166</c:v>
                </c:pt>
                <c:pt idx="156">
                  <c:v>42167</c:v>
                </c:pt>
                <c:pt idx="157">
                  <c:v>42168</c:v>
                </c:pt>
                <c:pt idx="158">
                  <c:v>42169</c:v>
                </c:pt>
                <c:pt idx="159">
                  <c:v>42170</c:v>
                </c:pt>
                <c:pt idx="160">
                  <c:v>42171</c:v>
                </c:pt>
                <c:pt idx="161">
                  <c:v>42172</c:v>
                </c:pt>
                <c:pt idx="162">
                  <c:v>42173</c:v>
                </c:pt>
                <c:pt idx="163">
                  <c:v>42174</c:v>
                </c:pt>
                <c:pt idx="164">
                  <c:v>42175</c:v>
                </c:pt>
                <c:pt idx="165">
                  <c:v>42176</c:v>
                </c:pt>
                <c:pt idx="166">
                  <c:v>42177</c:v>
                </c:pt>
                <c:pt idx="167">
                  <c:v>42178</c:v>
                </c:pt>
                <c:pt idx="168">
                  <c:v>42179</c:v>
                </c:pt>
                <c:pt idx="169">
                  <c:v>42180</c:v>
                </c:pt>
                <c:pt idx="170">
                  <c:v>42181</c:v>
                </c:pt>
                <c:pt idx="171">
                  <c:v>42182</c:v>
                </c:pt>
                <c:pt idx="172">
                  <c:v>42183</c:v>
                </c:pt>
                <c:pt idx="173">
                  <c:v>42184</c:v>
                </c:pt>
                <c:pt idx="174">
                  <c:v>42185</c:v>
                </c:pt>
              </c:numCache>
            </c:numRef>
          </c:cat>
          <c:val>
            <c:numRef>
              <c:f>Daily!$J$191:$J$365</c:f>
              <c:numCache>
                <c:formatCode>General</c:formatCode>
                <c:ptCount val="175"/>
                <c:pt idx="0">
                  <c:v>51530.142857142855</c:v>
                </c:pt>
                <c:pt idx="1">
                  <c:v>53668.857142857145</c:v>
                </c:pt>
                <c:pt idx="2">
                  <c:v>58217.0</c:v>
                </c:pt>
                <c:pt idx="3">
                  <c:v>61190.142857142855</c:v>
                </c:pt>
                <c:pt idx="4">
                  <c:v>63591.28571428572</c:v>
                </c:pt>
                <c:pt idx="5">
                  <c:v>65778.85714285714</c:v>
                </c:pt>
                <c:pt idx="6">
                  <c:v>67382.57142857143</c:v>
                </c:pt>
                <c:pt idx="7">
                  <c:v>67575.42857142857</c:v>
                </c:pt>
                <c:pt idx="8">
                  <c:v>66889.0</c:v>
                </c:pt>
                <c:pt idx="9">
                  <c:v>67184.57142857143</c:v>
                </c:pt>
                <c:pt idx="10">
                  <c:v>66428.57142857143</c:v>
                </c:pt>
                <c:pt idx="11">
                  <c:v>68681.71428571429</c:v>
                </c:pt>
                <c:pt idx="12">
                  <c:v>66972.28571428571</c:v>
                </c:pt>
                <c:pt idx="13">
                  <c:v>65701.14285714286</c:v>
                </c:pt>
                <c:pt idx="14">
                  <c:v>65080.857142857145</c:v>
                </c:pt>
                <c:pt idx="15">
                  <c:v>64882.0</c:v>
                </c:pt>
                <c:pt idx="16">
                  <c:v>64763.42857142857</c:v>
                </c:pt>
                <c:pt idx="17">
                  <c:v>65795.42857142857</c:v>
                </c:pt>
                <c:pt idx="18">
                  <c:v>63632.42857142857</c:v>
                </c:pt>
                <c:pt idx="19">
                  <c:v>63244.57142857143</c:v>
                </c:pt>
                <c:pt idx="20">
                  <c:v>58971.28571428572</c:v>
                </c:pt>
                <c:pt idx="21">
                  <c:v>59148.857142857145</c:v>
                </c:pt>
                <c:pt idx="22">
                  <c:v>59666.28571428572</c:v>
                </c:pt>
                <c:pt idx="23">
                  <c:v>61409.42857142857</c:v>
                </c:pt>
                <c:pt idx="24">
                  <c:v>63103.71428571428</c:v>
                </c:pt>
                <c:pt idx="25">
                  <c:v>65848.0</c:v>
                </c:pt>
                <c:pt idx="26">
                  <c:v>69545.57142857143</c:v>
                </c:pt>
                <c:pt idx="27">
                  <c:v>76056.71428571429</c:v>
                </c:pt>
                <c:pt idx="28">
                  <c:v>77001.14285714286</c:v>
                </c:pt>
                <c:pt idx="29">
                  <c:v>78700.42857142857</c:v>
                </c:pt>
                <c:pt idx="30">
                  <c:v>78986.57142857143</c:v>
                </c:pt>
                <c:pt idx="31">
                  <c:v>77315.71428571429</c:v>
                </c:pt>
                <c:pt idx="32">
                  <c:v>75277.85714285714</c:v>
                </c:pt>
                <c:pt idx="33">
                  <c:v>74294.0</c:v>
                </c:pt>
                <c:pt idx="34">
                  <c:v>73531.85714285714</c:v>
                </c:pt>
                <c:pt idx="35">
                  <c:v>74318.28571428571</c:v>
                </c:pt>
                <c:pt idx="36">
                  <c:v>74663.28571428571</c:v>
                </c:pt>
                <c:pt idx="37">
                  <c:v>76424.57142857143</c:v>
                </c:pt>
                <c:pt idx="38">
                  <c:v>79223.85714285714</c:v>
                </c:pt>
                <c:pt idx="39">
                  <c:v>83080.0</c:v>
                </c:pt>
                <c:pt idx="40">
                  <c:v>84560.85714285714</c:v>
                </c:pt>
                <c:pt idx="41">
                  <c:v>85707.14285714286</c:v>
                </c:pt>
                <c:pt idx="42">
                  <c:v>85671.57142857143</c:v>
                </c:pt>
                <c:pt idx="43">
                  <c:v>86460.14285714286</c:v>
                </c:pt>
                <c:pt idx="44">
                  <c:v>86869.42857142857</c:v>
                </c:pt>
                <c:pt idx="45">
                  <c:v>86602.85714285714</c:v>
                </c:pt>
                <c:pt idx="46">
                  <c:v>83249.14285714286</c:v>
                </c:pt>
                <c:pt idx="47">
                  <c:v>83080.85714285714</c:v>
                </c:pt>
                <c:pt idx="48">
                  <c:v>83980.71428571429</c:v>
                </c:pt>
                <c:pt idx="49">
                  <c:v>84337.71428571429</c:v>
                </c:pt>
                <c:pt idx="50">
                  <c:v>83561.85714285714</c:v>
                </c:pt>
                <c:pt idx="51">
                  <c:v>81769.71428571429</c:v>
                </c:pt>
                <c:pt idx="52">
                  <c:v>80231.85714285714</c:v>
                </c:pt>
                <c:pt idx="53">
                  <c:v>80659.71428571429</c:v>
                </c:pt>
                <c:pt idx="54">
                  <c:v>78512.0</c:v>
                </c:pt>
                <c:pt idx="55">
                  <c:v>77730.28571428571</c:v>
                </c:pt>
                <c:pt idx="56">
                  <c:v>77150.14285714286</c:v>
                </c:pt>
                <c:pt idx="57">
                  <c:v>76093.85714285714</c:v>
                </c:pt>
                <c:pt idx="58">
                  <c:v>75082.0</c:v>
                </c:pt>
                <c:pt idx="59">
                  <c:v>73903.71428571429</c:v>
                </c:pt>
                <c:pt idx="60">
                  <c:v>72615.85714285714</c:v>
                </c:pt>
                <c:pt idx="61">
                  <c:v>72110.14285714286</c:v>
                </c:pt>
                <c:pt idx="62">
                  <c:v>71701.14285714286</c:v>
                </c:pt>
                <c:pt idx="63">
                  <c:v>70756.0</c:v>
                </c:pt>
                <c:pt idx="64">
                  <c:v>70269.14285714286</c:v>
                </c:pt>
                <c:pt idx="65">
                  <c:v>69717.42857142857</c:v>
                </c:pt>
                <c:pt idx="66">
                  <c:v>71072.85714285714</c:v>
                </c:pt>
                <c:pt idx="67">
                  <c:v>71301.0</c:v>
                </c:pt>
                <c:pt idx="68">
                  <c:v>71430.14285714286</c:v>
                </c:pt>
                <c:pt idx="69">
                  <c:v>70101.71428571429</c:v>
                </c:pt>
                <c:pt idx="70">
                  <c:v>70825.85714285714</c:v>
                </c:pt>
                <c:pt idx="71">
                  <c:v>71083.14285714286</c:v>
                </c:pt>
                <c:pt idx="72">
                  <c:v>73369.0</c:v>
                </c:pt>
                <c:pt idx="73">
                  <c:v>71910.28571428571</c:v>
                </c:pt>
                <c:pt idx="74">
                  <c:v>72755.42857142857</c:v>
                </c:pt>
                <c:pt idx="75">
                  <c:v>73566.0</c:v>
                </c:pt>
                <c:pt idx="76">
                  <c:v>73782.28571428571</c:v>
                </c:pt>
                <c:pt idx="77">
                  <c:v>74292.14285714286</c:v>
                </c:pt>
                <c:pt idx="78">
                  <c:v>74679.71428571429</c:v>
                </c:pt>
                <c:pt idx="79">
                  <c:v>73208.85714285714</c:v>
                </c:pt>
                <c:pt idx="80">
                  <c:v>74892.0</c:v>
                </c:pt>
                <c:pt idx="81">
                  <c:v>75793.57142857143</c:v>
                </c:pt>
                <c:pt idx="82">
                  <c:v>76119.57142857143</c:v>
                </c:pt>
                <c:pt idx="83">
                  <c:v>78190.0</c:v>
                </c:pt>
                <c:pt idx="84">
                  <c:v>77514.28571428571</c:v>
                </c:pt>
                <c:pt idx="85">
                  <c:v>76873.85714285714</c:v>
                </c:pt>
                <c:pt idx="86">
                  <c:v>75589.0</c:v>
                </c:pt>
                <c:pt idx="87">
                  <c:v>72255.0</c:v>
                </c:pt>
                <c:pt idx="88">
                  <c:v>69784.85714285714</c:v>
                </c:pt>
                <c:pt idx="89">
                  <c:v>68468.42857142857</c:v>
                </c:pt>
                <c:pt idx="90">
                  <c:v>66923.57142857143</c:v>
                </c:pt>
                <c:pt idx="91">
                  <c:v>67323.57142857143</c:v>
                </c:pt>
                <c:pt idx="92">
                  <c:v>67816.57142857143</c:v>
                </c:pt>
                <c:pt idx="93">
                  <c:v>68596.0</c:v>
                </c:pt>
                <c:pt idx="94">
                  <c:v>70504.28571428571</c:v>
                </c:pt>
                <c:pt idx="95">
                  <c:v>71842.71428571429</c:v>
                </c:pt>
                <c:pt idx="96">
                  <c:v>72284.14285714286</c:v>
                </c:pt>
                <c:pt idx="97">
                  <c:v>71614.71428571429</c:v>
                </c:pt>
                <c:pt idx="98">
                  <c:v>70830.57142857143</c:v>
                </c:pt>
                <c:pt idx="99">
                  <c:v>71014.57142857143</c:v>
                </c:pt>
                <c:pt idx="100">
                  <c:v>71359.71428571429</c:v>
                </c:pt>
                <c:pt idx="101">
                  <c:v>73023.85714285714</c:v>
                </c:pt>
                <c:pt idx="102">
                  <c:v>74506.85714285714</c:v>
                </c:pt>
                <c:pt idx="103">
                  <c:v>77567.0</c:v>
                </c:pt>
                <c:pt idx="104">
                  <c:v>78326.85714285714</c:v>
                </c:pt>
                <c:pt idx="105">
                  <c:v>80554.0</c:v>
                </c:pt>
                <c:pt idx="106">
                  <c:v>82454.28571428571</c:v>
                </c:pt>
                <c:pt idx="107">
                  <c:v>84716.14285714286</c:v>
                </c:pt>
                <c:pt idx="108">
                  <c:v>86441.0</c:v>
                </c:pt>
                <c:pt idx="109">
                  <c:v>87950.42857142857</c:v>
                </c:pt>
                <c:pt idx="110">
                  <c:v>86051.42857142857</c:v>
                </c:pt>
                <c:pt idx="111">
                  <c:v>86073.0</c:v>
                </c:pt>
                <c:pt idx="112">
                  <c:v>85189.57142857143</c:v>
                </c:pt>
                <c:pt idx="113">
                  <c:v>84078.14285714286</c:v>
                </c:pt>
                <c:pt idx="114">
                  <c:v>83026.85714285714</c:v>
                </c:pt>
                <c:pt idx="115">
                  <c:v>82842.28571428571</c:v>
                </c:pt>
                <c:pt idx="116">
                  <c:v>81646.14285714286</c:v>
                </c:pt>
                <c:pt idx="117">
                  <c:v>81741.0</c:v>
                </c:pt>
                <c:pt idx="118">
                  <c:v>82788.42857142857</c:v>
                </c:pt>
                <c:pt idx="119">
                  <c:v>83432.28571428571</c:v>
                </c:pt>
                <c:pt idx="120">
                  <c:v>83865.28571428571</c:v>
                </c:pt>
                <c:pt idx="121">
                  <c:v>83637.28571428571</c:v>
                </c:pt>
                <c:pt idx="122">
                  <c:v>82691.71428571429</c:v>
                </c:pt>
                <c:pt idx="123">
                  <c:v>82669.71428571429</c:v>
                </c:pt>
                <c:pt idx="124">
                  <c:v>83364.42857142857</c:v>
                </c:pt>
                <c:pt idx="125">
                  <c:v>83684.71428571429</c:v>
                </c:pt>
                <c:pt idx="126">
                  <c:v>84326.14285714286</c:v>
                </c:pt>
                <c:pt idx="127">
                  <c:v>85220.85714285714</c:v>
                </c:pt>
                <c:pt idx="128">
                  <c:v>86509.85714285714</c:v>
                </c:pt>
                <c:pt idx="129">
                  <c:v>89823.85714285714</c:v>
                </c:pt>
                <c:pt idx="130">
                  <c:v>91849.0</c:v>
                </c:pt>
                <c:pt idx="131">
                  <c:v>92721.0</c:v>
                </c:pt>
                <c:pt idx="132">
                  <c:v>93711.57142857143</c:v>
                </c:pt>
                <c:pt idx="133">
                  <c:v>94586.57142857143</c:v>
                </c:pt>
                <c:pt idx="134">
                  <c:v>94804.0</c:v>
                </c:pt>
                <c:pt idx="135">
                  <c:v>92806.14285714286</c:v>
                </c:pt>
                <c:pt idx="136">
                  <c:v>86632.71428571429</c:v>
                </c:pt>
                <c:pt idx="137">
                  <c:v>82919.28571428571</c:v>
                </c:pt>
                <c:pt idx="138">
                  <c:v>80538.42857142857</c:v>
                </c:pt>
                <c:pt idx="139">
                  <c:v>78745.42857142857</c:v>
                </c:pt>
                <c:pt idx="140">
                  <c:v>78402.57142857143</c:v>
                </c:pt>
                <c:pt idx="141">
                  <c:v>78392.28571428571</c:v>
                </c:pt>
                <c:pt idx="142">
                  <c:v>80167.85714285714</c:v>
                </c:pt>
                <c:pt idx="143">
                  <c:v>83894.42857142857</c:v>
                </c:pt>
                <c:pt idx="144">
                  <c:v>87982.85714285714</c:v>
                </c:pt>
                <c:pt idx="145">
                  <c:v>92804.42857142857</c:v>
                </c:pt>
                <c:pt idx="146">
                  <c:v>96343.28571428571</c:v>
                </c:pt>
                <c:pt idx="147">
                  <c:v>96135.28571428571</c:v>
                </c:pt>
                <c:pt idx="148">
                  <c:v>96128.0</c:v>
                </c:pt>
                <c:pt idx="149">
                  <c:v>96659.71428571429</c:v>
                </c:pt>
                <c:pt idx="150">
                  <c:v>96280.28571428571</c:v>
                </c:pt>
                <c:pt idx="151">
                  <c:v>95127.28571428571</c:v>
                </c:pt>
                <c:pt idx="152">
                  <c:v>92755.85714285714</c:v>
                </c:pt>
                <c:pt idx="153">
                  <c:v>90594.57142857143</c:v>
                </c:pt>
                <c:pt idx="154">
                  <c:v>90622.71428571429</c:v>
                </c:pt>
                <c:pt idx="155">
                  <c:v>91621.28571428571</c:v>
                </c:pt>
                <c:pt idx="156">
                  <c:v>91782.71428571429</c:v>
                </c:pt>
                <c:pt idx="157">
                  <c:v>91696.57142857143</c:v>
                </c:pt>
                <c:pt idx="158">
                  <c:v>91979.42857142857</c:v>
                </c:pt>
                <c:pt idx="159">
                  <c:v>93259.14285714286</c:v>
                </c:pt>
                <c:pt idx="160">
                  <c:v>94217.42857142857</c:v>
                </c:pt>
                <c:pt idx="161">
                  <c:v>95117.85714285714</c:v>
                </c:pt>
                <c:pt idx="162">
                  <c:v>94807.71428571429</c:v>
                </c:pt>
                <c:pt idx="163">
                  <c:v>94615.0</c:v>
                </c:pt>
                <c:pt idx="164">
                  <c:v>94686.0</c:v>
                </c:pt>
                <c:pt idx="165">
                  <c:v>94461.57142857143</c:v>
                </c:pt>
                <c:pt idx="166">
                  <c:v>92970.28571428571</c:v>
                </c:pt>
                <c:pt idx="167">
                  <c:v>93541.85714285714</c:v>
                </c:pt>
                <c:pt idx="168">
                  <c:v>93210.71428571429</c:v>
                </c:pt>
                <c:pt idx="169">
                  <c:v>93243.71428571429</c:v>
                </c:pt>
                <c:pt idx="170">
                  <c:v>92930.14285714286</c:v>
                </c:pt>
                <c:pt idx="171">
                  <c:v>97862.42857142857</c:v>
                </c:pt>
                <c:pt idx="172">
                  <c:v>98408.57142857143</c:v>
                </c:pt>
                <c:pt idx="173">
                  <c:v>98267.42857142857</c:v>
                </c:pt>
                <c:pt idx="174">
                  <c:v>96761.0</c:v>
                </c:pt>
              </c:numCache>
            </c:numRef>
          </c:val>
        </c:ser>
        <c:marker val="1"/>
        <c:axId val="50050001"/>
        <c:axId val="50050002"/>
      </c:lineChart>
      <c:dateAx>
        <c:axId val="50050001"/>
        <c:scaling>
          <c:orientation val="minMax"/>
        </c:scaling>
        <c:axPos val="b"/>
        <c:numFmt formatCode="mmm" sourceLinked="0"/>
        <c:majorTickMark val="none"/>
        <c:tickLblPos val="nextTo"/>
        <c:spPr>
          <a:ln>
            <a:solidFill>
              <a:srgbClr val="C3C2B7"/>
            </a:solidFill>
          </a:ln>
        </c:spPr>
        <c:txPr>
          <a:bodyPr/>
          <a:lstStyle/>
          <a:p>
            <a:pPr>
              <a:defRPr sz="800" baseline="0">
                <a:solidFill>
                  <a:srgbClr val="52514E"/>
                </a:solidFill>
              </a:defRPr>
            </a:pPr>
            <a:endParaRPr lang="en-US"/>
          </a:p>
        </c:txPr>
        <c:crossAx val="50050002"/>
        <c:crosses val="autoZero"/>
        <c:auto val="1"/>
        <c:lblOffset val="100"/>
        <c:majorUnit val="1"/>
        <c:majorTimeUnit val="months"/>
      </c:dateAx>
      <c:valAx>
        <c:axId val="50050002"/>
        <c:scaling>
          <c:orientation val="minMax"/>
        </c:scaling>
        <c:axPos val="l"/>
        <c:majorGridlines>
          <c:spPr>
            <a:ln w="9525">
              <a:solidFill>
                <a:srgbClr val="E1E0D9"/>
              </a:solidFill>
            </a:ln>
          </c:spPr>
        </c:majorGridlines>
        <c:numFmt formatCode="#,##0" sourceLinked="0"/>
        <c:tickLblPos val="nextTo"/>
        <c:spPr>
          <a:ln>
            <a:noFill/>
          </a:ln>
        </c:spPr>
        <c:txPr>
          <a:bodyPr/>
          <a:lstStyle/>
          <a:p>
            <a:pPr>
              <a:defRPr sz="900" baseline="0">
                <a:solidFill>
                  <a:srgbClr val="52514E"/>
                </a:solidFill>
              </a:defRPr>
            </a:pPr>
            <a:endParaRPr lang="en-US"/>
          </a:p>
        </c:txPr>
        <c:crossAx val="50050001"/>
        <c:crosses val="autoZero"/>
        <c:crossBetween val="between"/>
      </c:valAx>
      <c:spPr>
        <a:solidFill>
          <a:srgbClr val="FFFFFF"/>
        </a:solidFill>
      </c:spPr>
    </c:plotArea>
    <c:legend>
      <c:legendPos val="b"/>
      <c:layout/>
      <c:txPr>
        <a:bodyPr/>
        <a:lstStyle/>
        <a:p>
          <a:pPr>
            <a:defRPr sz="900" baseline="0">
              <a:solidFill>
                <a:srgbClr val="52514E"/>
              </a:solidFill>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B0B0B"/>
                </a:solidFill>
              </a:defRPr>
            </a:pPr>
            <a:r>
              <a:rPr lang="en-US" sz="1100" b="1" baseline="0">
                <a:solidFill>
                  <a:srgbClr val="0B0B0B"/>
                </a:solidFill>
              </a:rPr>
              <a:t>Top 15 pickup zones (Jan-Jun 2015)</a:t>
            </a:r>
          </a:p>
        </c:rich>
      </c:tx>
      <c:layout/>
    </c:title>
    <c:plotArea>
      <c:layout/>
      <c:barChart>
        <c:barDir val="bar"/>
        <c:grouping val="clustered"/>
        <c:ser>
          <c:idx val="0"/>
          <c:order val="0"/>
          <c:tx>
            <c:v>Trips</c:v>
          </c:tx>
          <c:spPr>
            <a:solidFill>
              <a:srgbClr val="2A78D6"/>
            </a:solidFill>
          </c:spPr>
          <c:cat>
            <c:strRef>
              <c:f>Geography!$S$6:$S$20</c:f>
              <c:strCache>
                <c:ptCount val="15"/>
                <c:pt idx="0">
                  <c:v>Midtown Center</c:v>
                </c:pt>
                <c:pt idx="1">
                  <c:v>TriBeCa/Civic Center</c:v>
                </c:pt>
                <c:pt idx="2">
                  <c:v>Union Sq</c:v>
                </c:pt>
                <c:pt idx="3">
                  <c:v>East Village</c:v>
                </c:pt>
                <c:pt idx="4">
                  <c:v>West Village</c:v>
                </c:pt>
                <c:pt idx="5">
                  <c:v>Times Sq/Theatre District</c:v>
                </c:pt>
                <c:pt idx="6">
                  <c:v>East Chelsea</c:v>
                </c:pt>
                <c:pt idx="7">
                  <c:v>Midtown North</c:v>
                </c:pt>
                <c:pt idx="8">
                  <c:v>Murray Hill</c:v>
                </c:pt>
                <c:pt idx="9">
                  <c:v>JFK Airport</c:v>
                </c:pt>
                <c:pt idx="10">
                  <c:v>Midtown East</c:v>
                </c:pt>
                <c:pt idx="11">
                  <c:v>Upper East Side South</c:v>
                </c:pt>
                <c:pt idx="12">
                  <c:v>West Chelsea/Hudson Yards</c:v>
                </c:pt>
                <c:pt idx="13">
                  <c:v>Midtown South</c:v>
                </c:pt>
                <c:pt idx="14">
                  <c:v>Meatpacking/West Village West</c:v>
                </c:pt>
              </c:strCache>
            </c:strRef>
          </c:cat>
          <c:val>
            <c:numRef>
              <c:f>Geography!$U$6:$U$20</c:f>
              <c:numCache>
                <c:formatCode>General</c:formatCode>
                <c:ptCount val="15"/>
                <c:pt idx="0">
                  <c:v>460732</c:v>
                </c:pt>
                <c:pt idx="1">
                  <c:v>420356</c:v>
                </c:pt>
                <c:pt idx="2">
                  <c:v>419045</c:v>
                </c:pt>
                <c:pt idx="3">
                  <c:v>407591</c:v>
                </c:pt>
                <c:pt idx="4">
                  <c:v>323989</c:v>
                </c:pt>
                <c:pt idx="5">
                  <c:v>315919</c:v>
                </c:pt>
                <c:pt idx="6">
                  <c:v>299781</c:v>
                </c:pt>
                <c:pt idx="7">
                  <c:v>296734</c:v>
                </c:pt>
                <c:pt idx="8">
                  <c:v>290550</c:v>
                </c:pt>
                <c:pt idx="9">
                  <c:v>289169</c:v>
                </c:pt>
                <c:pt idx="10">
                  <c:v>285518</c:v>
                </c:pt>
                <c:pt idx="11">
                  <c:v>284514</c:v>
                </c:pt>
                <c:pt idx="12">
                  <c:v>279100</c:v>
                </c:pt>
                <c:pt idx="13">
                  <c:v>267871</c:v>
                </c:pt>
                <c:pt idx="14">
                  <c:v>267480</c:v>
                </c:pt>
              </c:numCache>
            </c:numRef>
          </c:val>
        </c:ser>
        <c:gapWidth val="50"/>
        <c:axId val="50060001"/>
        <c:axId val="50060002"/>
      </c:barChart>
      <c:catAx>
        <c:axId val="50060001"/>
        <c:scaling>
          <c:orientation val="maxMin"/>
        </c:scaling>
        <c:axPos val="l"/>
        <c:majorTickMark val="none"/>
        <c:tickLblPos val="nextTo"/>
        <c:spPr>
          <a:ln>
            <a:solidFill>
              <a:srgbClr val="C3C2B7"/>
            </a:solidFill>
          </a:ln>
        </c:spPr>
        <c:txPr>
          <a:bodyPr/>
          <a:lstStyle/>
          <a:p>
            <a:pPr>
              <a:defRPr sz="900" baseline="0">
                <a:solidFill>
                  <a:srgbClr val="52514E"/>
                </a:solidFill>
              </a:defRPr>
            </a:pPr>
            <a:endParaRPr lang="en-US"/>
          </a:p>
        </c:txPr>
        <c:crossAx val="50060002"/>
        <c:crosses val="autoZero"/>
        <c:auto val="1"/>
        <c:lblAlgn val="ctr"/>
        <c:lblOffset val="100"/>
      </c:catAx>
      <c:valAx>
        <c:axId val="50060002"/>
        <c:scaling>
          <c:orientation val="minMax"/>
        </c:scaling>
        <c:axPos val="t"/>
        <c:majorGridlines>
          <c:spPr>
            <a:ln w="9525">
              <a:solidFill>
                <a:srgbClr val="E1E0D9"/>
              </a:solidFill>
            </a:ln>
          </c:spPr>
        </c:majorGridlines>
        <c:numFmt formatCode="#,##0" sourceLinked="0"/>
        <c:tickLblPos val="nextTo"/>
        <c:spPr>
          <a:ln>
            <a:noFill/>
          </a:ln>
        </c:spPr>
        <c:txPr>
          <a:bodyPr/>
          <a:lstStyle/>
          <a:p>
            <a:pPr>
              <a:defRPr sz="900" baseline="0">
                <a:solidFill>
                  <a:srgbClr val="52514E"/>
                </a:solidFill>
              </a:defRPr>
            </a:pPr>
            <a:endParaRPr lang="en-US"/>
          </a:p>
        </c:txPr>
        <c:crossAx val="50060001"/>
        <c:crosses val="autoZero"/>
        <c:crossBetween val="between"/>
      </c:valAx>
      <c:spPr>
        <a:solidFill>
          <a:srgbClr val="FFFFFF"/>
        </a:solidFill>
      </c:spPr>
    </c:plotArea>
    <c:plotVisOnly val="1"/>
  </c:chart>
  <c:spPr>
    <a:solidFill>
      <a:srgbClr val="FFFFFF"/>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B0B0B"/>
                </a:solidFill>
              </a:defRPr>
            </a:pPr>
            <a:r>
              <a:rPr lang="en-US" sz="1100" b="1" baseline="0">
                <a:solidFill>
                  <a:srgbClr val="0B0B0B"/>
                </a:solidFill>
              </a:rPr>
              <a:t>Share of trips by dispatching base</a:t>
            </a:r>
          </a:p>
        </c:rich>
      </c:tx>
      <c:layout/>
    </c:title>
    <c:plotArea>
      <c:layout/>
      <c:barChart>
        <c:barDir val="bar"/>
        <c:grouping val="clustered"/>
        <c:ser>
          <c:idx val="0"/>
          <c:order val="0"/>
          <c:tx>
            <c:v>2014</c:v>
          </c:tx>
          <c:spPr>
            <a:solidFill>
              <a:srgbClr val="C9C7BF"/>
            </a:solidFill>
          </c:spPr>
          <c:cat>
            <c:strRef>
              <c:f>Bases!$B$6:$B$13</c:f>
              <c:strCache>
                <c:ptCount val="8"/>
                <c:pt idx="0">
                  <c:v>Danach-NY</c:v>
                </c:pt>
                <c:pt idx="1">
                  <c:v>Schmecken</c:v>
                </c:pt>
                <c:pt idx="2">
                  <c:v>Weiter</c:v>
                </c:pt>
                <c:pt idx="3">
                  <c:v>Hinter</c:v>
                </c:pt>
                <c:pt idx="4">
                  <c:v>Grun</c:v>
                </c:pt>
                <c:pt idx="5">
                  <c:v>Unter</c:v>
                </c:pt>
                <c:pt idx="6">
                  <c:v>Dreist</c:v>
                </c:pt>
                <c:pt idx="7">
                  <c:v>Drinnen</c:v>
                </c:pt>
              </c:strCache>
            </c:strRef>
          </c:cat>
          <c:val>
            <c:numRef>
              <c:f>Bases!$D$6:$D$13</c:f>
              <c:numCache>
                <c:formatCode>General</c:formatCode>
                <c:ptCount val="8"/>
                <c:pt idx="0">
                  <c:v>0.0582002577229212</c:v>
                </c:pt>
                <c:pt idx="1">
                  <c:v>0.26746835858993</c:v>
                </c:pt>
                <c:pt idx="2">
                  <c:v>0.321735287287397</c:v>
                </c:pt>
                <c:pt idx="3">
                  <c:v>0.307236994596993</c:v>
                </c:pt>
                <c:pt idx="4">
                  <c:v>0</c:v>
                </c:pt>
                <c:pt idx="5">
                  <c:v>0.0453591018027593</c:v>
                </c:pt>
                <c:pt idx="6">
                  <c:v>0</c:v>
                </c:pt>
                <c:pt idx="7">
                  <c:v>0</c:v>
                </c:pt>
              </c:numCache>
            </c:numRef>
          </c:val>
        </c:ser>
        <c:ser>
          <c:idx val="1"/>
          <c:order val="1"/>
          <c:tx>
            <c:v>2015</c:v>
          </c:tx>
          <c:spPr>
            <a:solidFill>
              <a:srgbClr val="2A78D6"/>
            </a:solidFill>
          </c:spPr>
          <c:cat>
            <c:strRef>
              <c:f>Bases!$B$6:$B$13</c:f>
              <c:strCache>
                <c:ptCount val="8"/>
                <c:pt idx="0">
                  <c:v>Danach-NY</c:v>
                </c:pt>
                <c:pt idx="1">
                  <c:v>Schmecken</c:v>
                </c:pt>
                <c:pt idx="2">
                  <c:v>Weiter</c:v>
                </c:pt>
                <c:pt idx="3">
                  <c:v>Hinter</c:v>
                </c:pt>
                <c:pt idx="4">
                  <c:v>Grun</c:v>
                </c:pt>
                <c:pt idx="5">
                  <c:v>Unter</c:v>
                </c:pt>
                <c:pt idx="6">
                  <c:v>Dreist</c:v>
                </c:pt>
                <c:pt idx="7">
                  <c:v>Drinnen</c:v>
                </c:pt>
              </c:strCache>
            </c:strRef>
          </c:cat>
          <c:val>
            <c:numRef>
              <c:f>Bases!$F$6:$F$13</c:f>
              <c:numCache>
                <c:formatCode>General</c:formatCode>
                <c:ptCount val="8"/>
                <c:pt idx="0">
                  <c:v>0.403185695448625</c:v>
                </c:pt>
                <c:pt idx="1">
                  <c:v>0.244177507986943</c:v>
                </c:pt>
                <c:pt idx="2">
                  <c:v>0.144951336251572</c:v>
                </c:pt>
                <c:pt idx="3">
                  <c:v>0.106980291271232</c:v>
                </c:pt>
                <c:pt idx="4">
                  <c:v>0.0807770362858878</c:v>
                </c:pt>
                <c:pt idx="5">
                  <c:v>0.0179231545065866</c:v>
                </c:pt>
                <c:pt idx="6">
                  <c:v>0.00186552953127922</c:v>
                </c:pt>
                <c:pt idx="7">
                  <c:v>0.000139448717874151</c:v>
                </c:pt>
              </c:numCache>
            </c:numRef>
          </c:val>
        </c:ser>
        <c:gapWidth val="60"/>
        <c:axId val="50070001"/>
        <c:axId val="50070002"/>
      </c:barChart>
      <c:catAx>
        <c:axId val="50070001"/>
        <c:scaling>
          <c:orientation val="maxMin"/>
        </c:scaling>
        <c:axPos val="l"/>
        <c:majorTickMark val="none"/>
        <c:tickLblPos val="nextTo"/>
        <c:spPr>
          <a:ln>
            <a:solidFill>
              <a:srgbClr val="C3C2B7"/>
            </a:solidFill>
          </a:ln>
        </c:spPr>
        <c:txPr>
          <a:bodyPr/>
          <a:lstStyle/>
          <a:p>
            <a:pPr>
              <a:defRPr sz="900" baseline="0">
                <a:solidFill>
                  <a:srgbClr val="52514E"/>
                </a:solidFill>
              </a:defRPr>
            </a:pPr>
            <a:endParaRPr lang="en-US"/>
          </a:p>
        </c:txPr>
        <c:crossAx val="50070002"/>
        <c:crosses val="autoZero"/>
        <c:auto val="1"/>
        <c:lblAlgn val="ctr"/>
        <c:lblOffset val="100"/>
      </c:catAx>
      <c:valAx>
        <c:axId val="50070002"/>
        <c:scaling>
          <c:orientation val="minMax"/>
        </c:scaling>
        <c:axPos val="t"/>
        <c:majorGridlines>
          <c:spPr>
            <a:ln w="9525">
              <a:solidFill>
                <a:srgbClr val="E1E0D9"/>
              </a:solidFill>
            </a:ln>
          </c:spPr>
        </c:majorGridlines>
        <c:numFmt formatCode="0%" sourceLinked="0"/>
        <c:tickLblPos val="nextTo"/>
        <c:spPr>
          <a:ln>
            <a:noFill/>
          </a:ln>
        </c:spPr>
        <c:txPr>
          <a:bodyPr/>
          <a:lstStyle/>
          <a:p>
            <a:pPr>
              <a:defRPr sz="900" baseline="0">
                <a:solidFill>
                  <a:srgbClr val="52514E"/>
                </a:solidFill>
              </a:defRPr>
            </a:pPr>
            <a:endParaRPr lang="en-US"/>
          </a:p>
        </c:txPr>
        <c:crossAx val="50070001"/>
        <c:crosses val="autoZero"/>
        <c:crossBetween val="between"/>
      </c:valAx>
      <c:spPr>
        <a:solidFill>
          <a:srgbClr val="FFFFFF"/>
        </a:solidFill>
      </c:spPr>
    </c:plotArea>
    <c:legend>
      <c:legendPos val="b"/>
      <c:layout/>
      <c:txPr>
        <a:bodyPr/>
        <a:lstStyle/>
        <a:p>
          <a:pPr>
            <a:defRPr sz="900" baseline="0">
              <a:solidFill>
                <a:srgbClr val="52514E"/>
              </a:solidFill>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B0B0B"/>
                </a:solidFill>
              </a:defRPr>
            </a:pPr>
            <a:r>
              <a:rPr lang="en-US" sz="1100" b="1" baseline="0">
                <a:solidFill>
                  <a:srgbClr val="0B0B0B"/>
                </a:solidFill>
              </a:rPr>
              <a:t>Trips per active vehicle per day, by base</a:t>
            </a:r>
          </a:p>
        </c:rich>
      </c:tx>
      <c:layout/>
    </c:title>
    <c:plotArea>
      <c:layout/>
      <c:barChart>
        <c:barDir val="col"/>
        <c:grouping val="clustered"/>
        <c:ser>
          <c:idx val="0"/>
          <c:order val="0"/>
          <c:tx>
            <c:v>Trips per vehicle-day</c:v>
          </c:tx>
          <c:spPr>
            <a:solidFill>
              <a:srgbClr val="2A78D6"/>
            </a:solidFill>
          </c:spPr>
          <c:dLbls>
            <c:numFmt formatCode="0.0" sourceLinked="0"/>
            <c:txPr>
              <a:bodyPr/>
              <a:lstStyle/>
              <a:p>
                <a:pPr>
                  <a:defRPr sz="800" baseline="0">
                    <a:solidFill>
                      <a:srgbClr val="52514E"/>
                    </a:solidFill>
                  </a:defRPr>
                </a:pPr>
                <a:endParaRPr lang="en-US"/>
              </a:p>
            </c:txPr>
            <c:showVal val="1"/>
          </c:dLbls>
          <c:cat>
            <c:strRef>
              <c:f>Supply!$B$6:$B$11</c:f>
              <c:strCache>
                <c:ptCount val="6"/>
                <c:pt idx="0">
                  <c:v>Danach-NY</c:v>
                </c:pt>
                <c:pt idx="1">
                  <c:v>Weiter</c:v>
                </c:pt>
                <c:pt idx="2">
                  <c:v>Schmecken</c:v>
                </c:pt>
                <c:pt idx="3">
                  <c:v>Hinter</c:v>
                </c:pt>
                <c:pt idx="4">
                  <c:v>Grun</c:v>
                </c:pt>
                <c:pt idx="5">
                  <c:v>Unter</c:v>
                </c:pt>
              </c:strCache>
            </c:strRef>
          </c:cat>
          <c:val>
            <c:numRef>
              <c:f>Supply!$F$6:$F$11</c:f>
              <c:numCache>
                <c:formatCode>General</c:formatCode>
                <c:ptCount val="6"/>
                <c:pt idx="0">
                  <c:v>8.81057112614478</c:v>
                </c:pt>
                <c:pt idx="1">
                  <c:v>9.09031068983676</c:v>
                </c:pt>
                <c:pt idx="2">
                  <c:v>9.27481065643768</c:v>
                </c:pt>
                <c:pt idx="3">
                  <c:v>9.22017629106781</c:v>
                </c:pt>
                <c:pt idx="4">
                  <c:v>8.57895902547065</c:v>
                </c:pt>
                <c:pt idx="5">
                  <c:v>7.1456</c:v>
                </c:pt>
              </c:numCache>
            </c:numRef>
          </c:val>
        </c:ser>
        <c:gapWidth val="70"/>
        <c:axId val="50080001"/>
        <c:axId val="50080002"/>
      </c:barChart>
      <c:catAx>
        <c:axId val="50080001"/>
        <c:scaling>
          <c:orientation val="minMax"/>
        </c:scaling>
        <c:axPos val="b"/>
        <c:majorTickMark val="none"/>
        <c:tickLblPos val="nextTo"/>
        <c:spPr>
          <a:ln>
            <a:solidFill>
              <a:srgbClr val="C3C2B7"/>
            </a:solidFill>
          </a:ln>
        </c:spPr>
        <c:txPr>
          <a:bodyPr/>
          <a:lstStyle/>
          <a:p>
            <a:pPr>
              <a:defRPr sz="900" baseline="0">
                <a:solidFill>
                  <a:srgbClr val="52514E"/>
                </a:solidFill>
              </a:defRPr>
            </a:pPr>
            <a:endParaRPr lang="en-US"/>
          </a:p>
        </c:txPr>
        <c:crossAx val="50080002"/>
        <c:crosses val="autoZero"/>
        <c:auto val="1"/>
        <c:lblAlgn val="ctr"/>
        <c:lblOffset val="100"/>
      </c:catAx>
      <c:valAx>
        <c:axId val="50080002"/>
        <c:scaling>
          <c:orientation val="minMax"/>
        </c:scaling>
        <c:axPos val="l"/>
        <c:majorGridlines>
          <c:spPr>
            <a:ln w="9525">
              <a:solidFill>
                <a:srgbClr val="E1E0D9"/>
              </a:solidFill>
            </a:ln>
          </c:spPr>
        </c:majorGridlines>
        <c:numFmt formatCode="0" sourceLinked="0"/>
        <c:tickLblPos val="nextTo"/>
        <c:spPr>
          <a:ln>
            <a:noFill/>
          </a:ln>
        </c:spPr>
        <c:txPr>
          <a:bodyPr/>
          <a:lstStyle/>
          <a:p>
            <a:pPr>
              <a:defRPr sz="900" baseline="0">
                <a:solidFill>
                  <a:srgbClr val="52514E"/>
                </a:solidFill>
              </a:defRPr>
            </a:pPr>
            <a:endParaRPr lang="en-US"/>
          </a:p>
        </c:txPr>
        <c:crossAx val="50080001"/>
        <c:crosses val="autoZero"/>
        <c:crossBetween val="between"/>
      </c:valAx>
      <c:spPr>
        <a:solidFill>
          <a:srgbClr val="FFFFFF"/>
        </a:solidFill>
      </c:spPr>
    </c:plotArea>
    <c:plotVisOnly val="1"/>
  </c:chart>
  <c:spPr>
    <a:solidFill>
      <a:srgbClr val="FFFFFF"/>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100" b="1" baseline="0">
                <a:solidFill>
                  <a:srgbClr val="0B0B0B"/>
                </a:solidFill>
              </a:defRPr>
            </a:pPr>
            <a:r>
              <a:rPr lang="en-US" sz="1100" b="1" baseline="0">
                <a:solidFill>
                  <a:srgbClr val="0B0B0B"/>
                </a:solidFill>
              </a:rPr>
              <a:t>Trips per day, Jul-Sep 2014: Uber vs Lyft</a:t>
            </a:r>
          </a:p>
        </c:rich>
      </c:tx>
      <c:layout/>
    </c:title>
    <c:plotArea>
      <c:layout/>
      <c:lineChart>
        <c:grouping val="standard"/>
        <c:ser>
          <c:idx val="0"/>
          <c:order val="0"/>
          <c:tx>
            <c:v>Uber</c:v>
          </c:tx>
          <c:spPr>
            <a:ln w="25400">
              <a:solidFill>
                <a:srgbClr val="2A78D6"/>
              </a:solidFill>
            </a:ln>
          </c:spPr>
          <c:marker>
            <c:symbol val="none"/>
          </c:marker>
          <c:cat>
            <c:numRef>
              <c:f>Market2014!$A$2:$A$93</c:f>
              <c:numCache>
                <c:formatCode>General</c:formatCode>
                <c:ptCount val="92"/>
                <c:pt idx="0">
                  <c:v>41821</c:v>
                </c:pt>
                <c:pt idx="1">
                  <c:v>41822</c:v>
                </c:pt>
                <c:pt idx="2">
                  <c:v>41823</c:v>
                </c:pt>
                <c:pt idx="3">
                  <c:v>41824</c:v>
                </c:pt>
                <c:pt idx="4">
                  <c:v>41825</c:v>
                </c:pt>
                <c:pt idx="5">
                  <c:v>41826</c:v>
                </c:pt>
                <c:pt idx="6">
                  <c:v>41827</c:v>
                </c:pt>
                <c:pt idx="7">
                  <c:v>41828</c:v>
                </c:pt>
                <c:pt idx="8">
                  <c:v>41829</c:v>
                </c:pt>
                <c:pt idx="9">
                  <c:v>41830</c:v>
                </c:pt>
                <c:pt idx="10">
                  <c:v>41831</c:v>
                </c:pt>
                <c:pt idx="11">
                  <c:v>41832</c:v>
                </c:pt>
                <c:pt idx="12">
                  <c:v>41833</c:v>
                </c:pt>
                <c:pt idx="13">
                  <c:v>41834</c:v>
                </c:pt>
                <c:pt idx="14">
                  <c:v>41835</c:v>
                </c:pt>
                <c:pt idx="15">
                  <c:v>41836</c:v>
                </c:pt>
                <c:pt idx="16">
                  <c:v>41837</c:v>
                </c:pt>
                <c:pt idx="17">
                  <c:v>41838</c:v>
                </c:pt>
                <c:pt idx="18">
                  <c:v>41839</c:v>
                </c:pt>
                <c:pt idx="19">
                  <c:v>41840</c:v>
                </c:pt>
                <c:pt idx="20">
                  <c:v>41841</c:v>
                </c:pt>
                <c:pt idx="21">
                  <c:v>41842</c:v>
                </c:pt>
                <c:pt idx="22">
                  <c:v>41843</c:v>
                </c:pt>
                <c:pt idx="23">
                  <c:v>41844</c:v>
                </c:pt>
                <c:pt idx="24">
                  <c:v>41845</c:v>
                </c:pt>
                <c:pt idx="25">
                  <c:v>41846</c:v>
                </c:pt>
                <c:pt idx="26">
                  <c:v>41847</c:v>
                </c:pt>
                <c:pt idx="27">
                  <c:v>41848</c:v>
                </c:pt>
                <c:pt idx="28">
                  <c:v>41849</c:v>
                </c:pt>
                <c:pt idx="29">
                  <c:v>41850</c:v>
                </c:pt>
                <c:pt idx="30">
                  <c:v>41851</c:v>
                </c:pt>
                <c:pt idx="31">
                  <c:v>41852</c:v>
                </c:pt>
                <c:pt idx="32">
                  <c:v>41853</c:v>
                </c:pt>
                <c:pt idx="33">
                  <c:v>41854</c:v>
                </c:pt>
                <c:pt idx="34">
                  <c:v>41855</c:v>
                </c:pt>
                <c:pt idx="35">
                  <c:v>41856</c:v>
                </c:pt>
                <c:pt idx="36">
                  <c:v>41857</c:v>
                </c:pt>
                <c:pt idx="37">
                  <c:v>41858</c:v>
                </c:pt>
                <c:pt idx="38">
                  <c:v>41859</c:v>
                </c:pt>
                <c:pt idx="39">
                  <c:v>41860</c:v>
                </c:pt>
                <c:pt idx="40">
                  <c:v>41861</c:v>
                </c:pt>
                <c:pt idx="41">
                  <c:v>41862</c:v>
                </c:pt>
                <c:pt idx="42">
                  <c:v>41863</c:v>
                </c:pt>
                <c:pt idx="43">
                  <c:v>41864</c:v>
                </c:pt>
                <c:pt idx="44">
                  <c:v>41865</c:v>
                </c:pt>
                <c:pt idx="45">
                  <c:v>41866</c:v>
                </c:pt>
                <c:pt idx="46">
                  <c:v>41867</c:v>
                </c:pt>
                <c:pt idx="47">
                  <c:v>41868</c:v>
                </c:pt>
                <c:pt idx="48">
                  <c:v>41869</c:v>
                </c:pt>
                <c:pt idx="49">
                  <c:v>41870</c:v>
                </c:pt>
                <c:pt idx="50">
                  <c:v>41871</c:v>
                </c:pt>
                <c:pt idx="51">
                  <c:v>41872</c:v>
                </c:pt>
                <c:pt idx="52">
                  <c:v>41873</c:v>
                </c:pt>
                <c:pt idx="53">
                  <c:v>41874</c:v>
                </c:pt>
                <c:pt idx="54">
                  <c:v>41875</c:v>
                </c:pt>
                <c:pt idx="55">
                  <c:v>41876</c:v>
                </c:pt>
                <c:pt idx="56">
                  <c:v>41877</c:v>
                </c:pt>
                <c:pt idx="57">
                  <c:v>41878</c:v>
                </c:pt>
                <c:pt idx="58">
                  <c:v>41879</c:v>
                </c:pt>
                <c:pt idx="59">
                  <c:v>41880</c:v>
                </c:pt>
                <c:pt idx="60">
                  <c:v>41881</c:v>
                </c:pt>
                <c:pt idx="61">
                  <c:v>41882</c:v>
                </c:pt>
                <c:pt idx="62">
                  <c:v>41883</c:v>
                </c:pt>
                <c:pt idx="63">
                  <c:v>41884</c:v>
                </c:pt>
                <c:pt idx="64">
                  <c:v>41885</c:v>
                </c:pt>
                <c:pt idx="65">
                  <c:v>41886</c:v>
                </c:pt>
                <c:pt idx="66">
                  <c:v>41887</c:v>
                </c:pt>
                <c:pt idx="67">
                  <c:v>41888</c:v>
                </c:pt>
                <c:pt idx="68">
                  <c:v>41889</c:v>
                </c:pt>
                <c:pt idx="69">
                  <c:v>41890</c:v>
                </c:pt>
                <c:pt idx="70">
                  <c:v>41891</c:v>
                </c:pt>
                <c:pt idx="71">
                  <c:v>41892</c:v>
                </c:pt>
                <c:pt idx="72">
                  <c:v>41893</c:v>
                </c:pt>
                <c:pt idx="73">
                  <c:v>41894</c:v>
                </c:pt>
                <c:pt idx="74">
                  <c:v>41895</c:v>
                </c:pt>
                <c:pt idx="75">
                  <c:v>41896</c:v>
                </c:pt>
                <c:pt idx="76">
                  <c:v>41897</c:v>
                </c:pt>
                <c:pt idx="77">
                  <c:v>41898</c:v>
                </c:pt>
                <c:pt idx="78">
                  <c:v>41899</c:v>
                </c:pt>
                <c:pt idx="79">
                  <c:v>41900</c:v>
                </c:pt>
                <c:pt idx="80">
                  <c:v>41901</c:v>
                </c:pt>
                <c:pt idx="81">
                  <c:v>41902</c:v>
                </c:pt>
                <c:pt idx="82">
                  <c:v>41903</c:v>
                </c:pt>
                <c:pt idx="83">
                  <c:v>41904</c:v>
                </c:pt>
                <c:pt idx="84">
                  <c:v>41905</c:v>
                </c:pt>
                <c:pt idx="85">
                  <c:v>41906</c:v>
                </c:pt>
                <c:pt idx="86">
                  <c:v>41907</c:v>
                </c:pt>
                <c:pt idx="87">
                  <c:v>41908</c:v>
                </c:pt>
                <c:pt idx="88">
                  <c:v>41909</c:v>
                </c:pt>
                <c:pt idx="89">
                  <c:v>41910</c:v>
                </c:pt>
                <c:pt idx="90">
                  <c:v>41911</c:v>
                </c:pt>
                <c:pt idx="91">
                  <c:v>41912</c:v>
                </c:pt>
              </c:numCache>
            </c:numRef>
          </c:cat>
          <c:val>
            <c:numRef>
              <c:f>Market2014!$L$2:$L$93</c:f>
              <c:numCache>
                <c:formatCode>General</c:formatCode>
                <c:ptCount val="92"/>
                <c:pt idx="0">
                  <c:v>21228</c:v>
                </c:pt>
                <c:pt idx="1">
                  <c:v>26480</c:v>
                </c:pt>
                <c:pt idx="2">
                  <c:v>21597</c:v>
                </c:pt>
                <c:pt idx="3">
                  <c:v>14148</c:v>
                </c:pt>
                <c:pt idx="4">
                  <c:v>10890</c:v>
                </c:pt>
                <c:pt idx="5">
                  <c:v>11443</c:v>
                </c:pt>
                <c:pt idx="6">
                  <c:v>18280</c:v>
                </c:pt>
                <c:pt idx="7">
                  <c:v>25763</c:v>
                </c:pt>
                <c:pt idx="8">
                  <c:v>27817</c:v>
                </c:pt>
                <c:pt idx="9">
                  <c:v>30541</c:v>
                </c:pt>
                <c:pt idx="10">
                  <c:v>28752</c:v>
                </c:pt>
                <c:pt idx="11">
                  <c:v>25936</c:v>
                </c:pt>
                <c:pt idx="12">
                  <c:v>21082</c:v>
                </c:pt>
                <c:pt idx="13">
                  <c:v>27350</c:v>
                </c:pt>
                <c:pt idx="14">
                  <c:v>33845</c:v>
                </c:pt>
                <c:pt idx="15">
                  <c:v>28607</c:v>
                </c:pt>
                <c:pt idx="16">
                  <c:v>30710</c:v>
                </c:pt>
                <c:pt idx="17">
                  <c:v>29860</c:v>
                </c:pt>
                <c:pt idx="18">
                  <c:v>25726</c:v>
                </c:pt>
                <c:pt idx="19">
                  <c:v>21212</c:v>
                </c:pt>
                <c:pt idx="20">
                  <c:v>23578</c:v>
                </c:pt>
                <c:pt idx="21">
                  <c:v>29029</c:v>
                </c:pt>
                <c:pt idx="22">
                  <c:v>34073</c:v>
                </c:pt>
                <c:pt idx="23">
                  <c:v>32050</c:v>
                </c:pt>
                <c:pt idx="24">
                  <c:v>29975</c:v>
                </c:pt>
                <c:pt idx="25">
                  <c:v>27708</c:v>
                </c:pt>
                <c:pt idx="26">
                  <c:v>22590</c:v>
                </c:pt>
                <c:pt idx="27">
                  <c:v>23981</c:v>
                </c:pt>
                <c:pt idx="28">
                  <c:v>27589</c:v>
                </c:pt>
                <c:pt idx="29">
                  <c:v>30740</c:v>
                </c:pt>
                <c:pt idx="30">
                  <c:v>33541</c:v>
                </c:pt>
                <c:pt idx="31">
                  <c:v>32353</c:v>
                </c:pt>
                <c:pt idx="32">
                  <c:v>28678</c:v>
                </c:pt>
                <c:pt idx="33">
                  <c:v>23146</c:v>
                </c:pt>
                <c:pt idx="34">
                  <c:v>24952</c:v>
                </c:pt>
                <c:pt idx="35">
                  <c:v>28094</c:v>
                </c:pt>
                <c:pt idx="36">
                  <c:v>30495</c:v>
                </c:pt>
                <c:pt idx="37">
                  <c:v>32759</c:v>
                </c:pt>
                <c:pt idx="38">
                  <c:v>30411</c:v>
                </c:pt>
                <c:pt idx="39">
                  <c:v>26286</c:v>
                </c:pt>
                <c:pt idx="40">
                  <c:v>20584</c:v>
                </c:pt>
                <c:pt idx="41">
                  <c:v>22632</c:v>
                </c:pt>
                <c:pt idx="42">
                  <c:v>29646</c:v>
                </c:pt>
                <c:pt idx="43">
                  <c:v>29788</c:v>
                </c:pt>
                <c:pt idx="44">
                  <c:v>30457</c:v>
                </c:pt>
                <c:pt idx="45">
                  <c:v>28974</c:v>
                </c:pt>
                <c:pt idx="46">
                  <c:v>26234</c:v>
                </c:pt>
                <c:pt idx="47">
                  <c:v>21209</c:v>
                </c:pt>
                <c:pt idx="48">
                  <c:v>21956</c:v>
                </c:pt>
                <c:pt idx="49">
                  <c:v>24834</c:v>
                </c:pt>
                <c:pt idx="50">
                  <c:v>27955</c:v>
                </c:pt>
                <c:pt idx="51">
                  <c:v>32304</c:v>
                </c:pt>
                <c:pt idx="52">
                  <c:v>29512</c:v>
                </c:pt>
                <c:pt idx="53">
                  <c:v>27097</c:v>
                </c:pt>
                <c:pt idx="54">
                  <c:v>22036</c:v>
                </c:pt>
                <c:pt idx="55">
                  <c:v>22093</c:v>
                </c:pt>
                <c:pt idx="56">
                  <c:v>24550</c:v>
                </c:pt>
                <c:pt idx="57">
                  <c:v>27018</c:v>
                </c:pt>
                <c:pt idx="58">
                  <c:v>28597</c:v>
                </c:pt>
                <c:pt idx="59">
                  <c:v>27424</c:v>
                </c:pt>
                <c:pt idx="60">
                  <c:v>23930</c:v>
                </c:pt>
                <c:pt idx="61">
                  <c:v>23271</c:v>
                </c:pt>
                <c:pt idx="62">
                  <c:v>19961</c:v>
                </c:pt>
                <c:pt idx="63">
                  <c:v>28831</c:v>
                </c:pt>
                <c:pt idx="64">
                  <c:v>32631</c:v>
                </c:pt>
                <c:pt idx="65">
                  <c:v>38360</c:v>
                </c:pt>
                <c:pt idx="66">
                  <c:v>42319</c:v>
                </c:pt>
                <c:pt idx="67">
                  <c:v>40520</c:v>
                </c:pt>
                <c:pt idx="68">
                  <c:v>30134</c:v>
                </c:pt>
                <c:pt idx="69">
                  <c:v>30360</c:v>
                </c:pt>
                <c:pt idx="70">
                  <c:v>34560</c:v>
                </c:pt>
                <c:pt idx="71">
                  <c:v>35910</c:v>
                </c:pt>
                <c:pt idx="72">
                  <c:v>36439</c:v>
                </c:pt>
                <c:pt idx="73">
                  <c:v>39540</c:v>
                </c:pt>
                <c:pt idx="74">
                  <c:v>43205</c:v>
                </c:pt>
                <c:pt idx="75">
                  <c:v>28122</c:v>
                </c:pt>
                <c:pt idx="76">
                  <c:v>29454</c:v>
                </c:pt>
                <c:pt idx="77">
                  <c:v>36092</c:v>
                </c:pt>
                <c:pt idx="78">
                  <c:v>35531</c:v>
                </c:pt>
                <c:pt idx="79">
                  <c:v>40274</c:v>
                </c:pt>
                <c:pt idx="80">
                  <c:v>41017</c:v>
                </c:pt>
                <c:pt idx="81">
                  <c:v>38864</c:v>
                </c:pt>
                <c:pt idx="82">
                  <c:v>28620</c:v>
                </c:pt>
                <c:pt idx="83">
                  <c:v>28312</c:v>
                </c:pt>
                <c:pt idx="84">
                  <c:v>30316</c:v>
                </c:pt>
                <c:pt idx="85">
                  <c:v>31301</c:v>
                </c:pt>
                <c:pt idx="86">
                  <c:v>38203</c:v>
                </c:pt>
                <c:pt idx="87">
                  <c:v>37504</c:v>
                </c:pt>
                <c:pt idx="88">
                  <c:v>39468</c:v>
                </c:pt>
                <c:pt idx="89">
                  <c:v>29656</c:v>
                </c:pt>
                <c:pt idx="90">
                  <c:v>29201</c:v>
                </c:pt>
                <c:pt idx="91">
                  <c:v>33431</c:v>
                </c:pt>
              </c:numCache>
            </c:numRef>
          </c:val>
        </c:ser>
        <c:ser>
          <c:idx val="1"/>
          <c:order val="1"/>
          <c:tx>
            <c:v>Lyft</c:v>
          </c:tx>
          <c:spPr>
            <a:ln w="25400">
              <a:solidFill>
                <a:srgbClr val="EB6834"/>
              </a:solidFill>
            </a:ln>
          </c:spPr>
          <c:marker>
            <c:symbol val="none"/>
          </c:marker>
          <c:cat>
            <c:numRef>
              <c:f>Market2014!$A$2:$A$93</c:f>
              <c:numCache>
                <c:formatCode>General</c:formatCode>
                <c:ptCount val="92"/>
                <c:pt idx="0">
                  <c:v>41821</c:v>
                </c:pt>
                <c:pt idx="1">
                  <c:v>41822</c:v>
                </c:pt>
                <c:pt idx="2">
                  <c:v>41823</c:v>
                </c:pt>
                <c:pt idx="3">
                  <c:v>41824</c:v>
                </c:pt>
                <c:pt idx="4">
                  <c:v>41825</c:v>
                </c:pt>
                <c:pt idx="5">
                  <c:v>41826</c:v>
                </c:pt>
                <c:pt idx="6">
                  <c:v>41827</c:v>
                </c:pt>
                <c:pt idx="7">
                  <c:v>41828</c:v>
                </c:pt>
                <c:pt idx="8">
                  <c:v>41829</c:v>
                </c:pt>
                <c:pt idx="9">
                  <c:v>41830</c:v>
                </c:pt>
                <c:pt idx="10">
                  <c:v>41831</c:v>
                </c:pt>
                <c:pt idx="11">
                  <c:v>41832</c:v>
                </c:pt>
                <c:pt idx="12">
                  <c:v>41833</c:v>
                </c:pt>
                <c:pt idx="13">
                  <c:v>41834</c:v>
                </c:pt>
                <c:pt idx="14">
                  <c:v>41835</c:v>
                </c:pt>
                <c:pt idx="15">
                  <c:v>41836</c:v>
                </c:pt>
                <c:pt idx="16">
                  <c:v>41837</c:v>
                </c:pt>
                <c:pt idx="17">
                  <c:v>41838</c:v>
                </c:pt>
                <c:pt idx="18">
                  <c:v>41839</c:v>
                </c:pt>
                <c:pt idx="19">
                  <c:v>41840</c:v>
                </c:pt>
                <c:pt idx="20">
                  <c:v>41841</c:v>
                </c:pt>
                <c:pt idx="21">
                  <c:v>41842</c:v>
                </c:pt>
                <c:pt idx="22">
                  <c:v>41843</c:v>
                </c:pt>
                <c:pt idx="23">
                  <c:v>41844</c:v>
                </c:pt>
                <c:pt idx="24">
                  <c:v>41845</c:v>
                </c:pt>
                <c:pt idx="25">
                  <c:v>41846</c:v>
                </c:pt>
                <c:pt idx="26">
                  <c:v>41847</c:v>
                </c:pt>
                <c:pt idx="27">
                  <c:v>41848</c:v>
                </c:pt>
                <c:pt idx="28">
                  <c:v>41849</c:v>
                </c:pt>
                <c:pt idx="29">
                  <c:v>41850</c:v>
                </c:pt>
                <c:pt idx="30">
                  <c:v>41851</c:v>
                </c:pt>
                <c:pt idx="31">
                  <c:v>41852</c:v>
                </c:pt>
                <c:pt idx="32">
                  <c:v>41853</c:v>
                </c:pt>
                <c:pt idx="33">
                  <c:v>41854</c:v>
                </c:pt>
                <c:pt idx="34">
                  <c:v>41855</c:v>
                </c:pt>
                <c:pt idx="35">
                  <c:v>41856</c:v>
                </c:pt>
                <c:pt idx="36">
                  <c:v>41857</c:v>
                </c:pt>
                <c:pt idx="37">
                  <c:v>41858</c:v>
                </c:pt>
                <c:pt idx="38">
                  <c:v>41859</c:v>
                </c:pt>
                <c:pt idx="39">
                  <c:v>41860</c:v>
                </c:pt>
                <c:pt idx="40">
                  <c:v>41861</c:v>
                </c:pt>
                <c:pt idx="41">
                  <c:v>41862</c:v>
                </c:pt>
                <c:pt idx="42">
                  <c:v>41863</c:v>
                </c:pt>
                <c:pt idx="43">
                  <c:v>41864</c:v>
                </c:pt>
                <c:pt idx="44">
                  <c:v>41865</c:v>
                </c:pt>
                <c:pt idx="45">
                  <c:v>41866</c:v>
                </c:pt>
                <c:pt idx="46">
                  <c:v>41867</c:v>
                </c:pt>
                <c:pt idx="47">
                  <c:v>41868</c:v>
                </c:pt>
                <c:pt idx="48">
                  <c:v>41869</c:v>
                </c:pt>
                <c:pt idx="49">
                  <c:v>41870</c:v>
                </c:pt>
                <c:pt idx="50">
                  <c:v>41871</c:v>
                </c:pt>
                <c:pt idx="51">
                  <c:v>41872</c:v>
                </c:pt>
                <c:pt idx="52">
                  <c:v>41873</c:v>
                </c:pt>
                <c:pt idx="53">
                  <c:v>41874</c:v>
                </c:pt>
                <c:pt idx="54">
                  <c:v>41875</c:v>
                </c:pt>
                <c:pt idx="55">
                  <c:v>41876</c:v>
                </c:pt>
                <c:pt idx="56">
                  <c:v>41877</c:v>
                </c:pt>
                <c:pt idx="57">
                  <c:v>41878</c:v>
                </c:pt>
                <c:pt idx="58">
                  <c:v>41879</c:v>
                </c:pt>
                <c:pt idx="59">
                  <c:v>41880</c:v>
                </c:pt>
                <c:pt idx="60">
                  <c:v>41881</c:v>
                </c:pt>
                <c:pt idx="61">
                  <c:v>41882</c:v>
                </c:pt>
                <c:pt idx="62">
                  <c:v>41883</c:v>
                </c:pt>
                <c:pt idx="63">
                  <c:v>41884</c:v>
                </c:pt>
                <c:pt idx="64">
                  <c:v>41885</c:v>
                </c:pt>
                <c:pt idx="65">
                  <c:v>41886</c:v>
                </c:pt>
                <c:pt idx="66">
                  <c:v>41887</c:v>
                </c:pt>
                <c:pt idx="67">
                  <c:v>41888</c:v>
                </c:pt>
                <c:pt idx="68">
                  <c:v>41889</c:v>
                </c:pt>
                <c:pt idx="69">
                  <c:v>41890</c:v>
                </c:pt>
                <c:pt idx="70">
                  <c:v>41891</c:v>
                </c:pt>
                <c:pt idx="71">
                  <c:v>41892</c:v>
                </c:pt>
                <c:pt idx="72">
                  <c:v>41893</c:v>
                </c:pt>
                <c:pt idx="73">
                  <c:v>41894</c:v>
                </c:pt>
                <c:pt idx="74">
                  <c:v>41895</c:v>
                </c:pt>
                <c:pt idx="75">
                  <c:v>41896</c:v>
                </c:pt>
                <c:pt idx="76">
                  <c:v>41897</c:v>
                </c:pt>
                <c:pt idx="77">
                  <c:v>41898</c:v>
                </c:pt>
                <c:pt idx="78">
                  <c:v>41899</c:v>
                </c:pt>
                <c:pt idx="79">
                  <c:v>41900</c:v>
                </c:pt>
                <c:pt idx="80">
                  <c:v>41901</c:v>
                </c:pt>
                <c:pt idx="81">
                  <c:v>41902</c:v>
                </c:pt>
                <c:pt idx="82">
                  <c:v>41903</c:v>
                </c:pt>
                <c:pt idx="83">
                  <c:v>41904</c:v>
                </c:pt>
                <c:pt idx="84">
                  <c:v>41905</c:v>
                </c:pt>
                <c:pt idx="85">
                  <c:v>41906</c:v>
                </c:pt>
                <c:pt idx="86">
                  <c:v>41907</c:v>
                </c:pt>
                <c:pt idx="87">
                  <c:v>41908</c:v>
                </c:pt>
                <c:pt idx="88">
                  <c:v>41909</c:v>
                </c:pt>
                <c:pt idx="89">
                  <c:v>41910</c:v>
                </c:pt>
                <c:pt idx="90">
                  <c:v>41911</c:v>
                </c:pt>
                <c:pt idx="91">
                  <c:v>41912</c:v>
                </c:pt>
              </c:numCache>
            </c:numRef>
          </c:cat>
          <c:val>
            <c:numRef>
              <c:f>Market2014!$I$2:$I$93</c:f>
              <c:numCache>
                <c:formatCode>General</c:formatCode>
                <c:ptCount val="9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40</c:v>
                </c:pt>
                <c:pt idx="25">
                  <c:v>468</c:v>
                </c:pt>
                <c:pt idx="26">
                  <c:v>623</c:v>
                </c:pt>
                <c:pt idx="27">
                  <c:v>418</c:v>
                </c:pt>
                <c:pt idx="28">
                  <c:v>671</c:v>
                </c:pt>
                <c:pt idx="29">
                  <c:v>884</c:v>
                </c:pt>
                <c:pt idx="30">
                  <c:v>1150</c:v>
                </c:pt>
                <c:pt idx="31">
                  <c:v>1506</c:v>
                </c:pt>
                <c:pt idx="32">
                  <c:v>2111</c:v>
                </c:pt>
                <c:pt idx="33">
                  <c:v>2023</c:v>
                </c:pt>
                <c:pt idx="34">
                  <c:v>1787</c:v>
                </c:pt>
                <c:pt idx="35">
                  <c:v>2276</c:v>
                </c:pt>
                <c:pt idx="36">
                  <c:v>2363</c:v>
                </c:pt>
                <c:pt idx="37">
                  <c:v>4331</c:v>
                </c:pt>
                <c:pt idx="38">
                  <c:v>6190</c:v>
                </c:pt>
                <c:pt idx="39">
                  <c:v>7740</c:v>
                </c:pt>
                <c:pt idx="40">
                  <c:v>7330</c:v>
                </c:pt>
                <c:pt idx="41">
                  <c:v>4679</c:v>
                </c:pt>
                <c:pt idx="42">
                  <c:v>5202</c:v>
                </c:pt>
                <c:pt idx="43">
                  <c:v>5786</c:v>
                </c:pt>
                <c:pt idx="44">
                  <c:v>5770</c:v>
                </c:pt>
                <c:pt idx="45">
                  <c:v>5888</c:v>
                </c:pt>
                <c:pt idx="46">
                  <c:v>6171</c:v>
                </c:pt>
                <c:pt idx="47">
                  <c:v>5820</c:v>
                </c:pt>
                <c:pt idx="48">
                  <c:v>4464</c:v>
                </c:pt>
                <c:pt idx="49">
                  <c:v>5156</c:v>
                </c:pt>
                <c:pt idx="50">
                  <c:v>5502</c:v>
                </c:pt>
                <c:pt idx="51">
                  <c:v>5579</c:v>
                </c:pt>
                <c:pt idx="52">
                  <c:v>6051</c:v>
                </c:pt>
                <c:pt idx="53">
                  <c:v>5502</c:v>
                </c:pt>
                <c:pt idx="54">
                  <c:v>4531</c:v>
                </c:pt>
                <c:pt idx="55">
                  <c:v>2553</c:v>
                </c:pt>
                <c:pt idx="56">
                  <c:v>2472</c:v>
                </c:pt>
                <c:pt idx="57">
                  <c:v>2726</c:v>
                </c:pt>
                <c:pt idx="58">
                  <c:v>4664</c:v>
                </c:pt>
                <c:pt idx="59">
                  <c:v>6779</c:v>
                </c:pt>
                <c:pt idx="60">
                  <c:v>7683</c:v>
                </c:pt>
                <c:pt idx="61">
                  <c:v>6813</c:v>
                </c:pt>
                <c:pt idx="62">
                  <c:v>5491</c:v>
                </c:pt>
                <c:pt idx="63">
                  <c:v>4467</c:v>
                </c:pt>
                <c:pt idx="64">
                  <c:v>4670</c:v>
                </c:pt>
                <c:pt idx="65">
                  <c:v>4890</c:v>
                </c:pt>
                <c:pt idx="66">
                  <c:v>5748</c:v>
                </c:pt>
                <c:pt idx="67">
                  <c:v>7722</c:v>
                </c:pt>
                <c:pt idx="68">
                  <c:v>6797</c:v>
                </c:pt>
                <c:pt idx="69">
                  <c:v>3849</c:v>
                </c:pt>
                <c:pt idx="70">
                  <c:v>3895</c:v>
                </c:pt>
                <c:pt idx="71">
                  <c:v>4262</c:v>
                </c:pt>
                <c:pt idx="72">
                  <c:v>4872</c:v>
                </c:pt>
                <c:pt idx="73">
                  <c:v>4712</c:v>
                </c:pt>
                <c:pt idx="74">
                  <c:v>5226</c:v>
                </c:pt>
                <c:pt idx="75">
                  <c:v>4116</c:v>
                </c:pt>
                <c:pt idx="76">
                  <c:v>2187</c:v>
                </c:pt>
                <c:pt idx="77">
                  <c:v>2028</c:v>
                </c:pt>
                <c:pt idx="78">
                  <c:v>2149</c:v>
                </c:pt>
                <c:pt idx="79">
                  <c:v>2364</c:v>
                </c:pt>
                <c:pt idx="80">
                  <c:v>2844</c:v>
                </c:pt>
                <c:pt idx="81">
                  <c:v>4026</c:v>
                </c:pt>
                <c:pt idx="82">
                  <c:v>3481</c:v>
                </c:pt>
                <c:pt idx="83">
                  <c:v>1886</c:v>
                </c:pt>
                <c:pt idx="84">
                  <c:v>2028</c:v>
                </c:pt>
                <c:pt idx="85">
                  <c:v>2243</c:v>
                </c:pt>
                <c:pt idx="86">
                  <c:v>2891</c:v>
                </c:pt>
                <c:pt idx="87">
                  <c:v>3089</c:v>
                </c:pt>
                <c:pt idx="88">
                  <c:v>4555</c:v>
                </c:pt>
                <c:pt idx="89">
                  <c:v>4509</c:v>
                </c:pt>
                <c:pt idx="90">
                  <c:v>2631</c:v>
                </c:pt>
                <c:pt idx="91">
                  <c:v>2371</c:v>
                </c:pt>
              </c:numCache>
            </c:numRef>
          </c:val>
        </c:ser>
        <c:marker val="1"/>
        <c:axId val="50090001"/>
        <c:axId val="50090002"/>
      </c:lineChart>
      <c:dateAx>
        <c:axId val="50090001"/>
        <c:scaling>
          <c:orientation val="minMax"/>
        </c:scaling>
        <c:axPos val="b"/>
        <c:numFmt formatCode="dd mmm" sourceLinked="0"/>
        <c:majorTickMark val="none"/>
        <c:tickLblPos val="nextTo"/>
        <c:spPr>
          <a:ln>
            <a:solidFill>
              <a:srgbClr val="C3C2B7"/>
            </a:solidFill>
          </a:ln>
        </c:spPr>
        <c:txPr>
          <a:bodyPr/>
          <a:lstStyle/>
          <a:p>
            <a:pPr>
              <a:defRPr sz="800" baseline="0">
                <a:solidFill>
                  <a:srgbClr val="52514E"/>
                </a:solidFill>
              </a:defRPr>
            </a:pPr>
            <a:endParaRPr lang="en-US"/>
          </a:p>
        </c:txPr>
        <c:crossAx val="50090002"/>
        <c:crosses val="autoZero"/>
        <c:auto val="1"/>
        <c:lblOffset val="100"/>
      </c:dateAx>
      <c:valAx>
        <c:axId val="50090002"/>
        <c:scaling>
          <c:orientation val="minMax"/>
        </c:scaling>
        <c:axPos val="l"/>
        <c:majorGridlines>
          <c:spPr>
            <a:ln w="9525">
              <a:solidFill>
                <a:srgbClr val="E1E0D9"/>
              </a:solidFill>
            </a:ln>
          </c:spPr>
        </c:majorGridlines>
        <c:numFmt formatCode="#,##0" sourceLinked="0"/>
        <c:tickLblPos val="nextTo"/>
        <c:spPr>
          <a:ln>
            <a:noFill/>
          </a:ln>
        </c:spPr>
        <c:txPr>
          <a:bodyPr/>
          <a:lstStyle/>
          <a:p>
            <a:pPr>
              <a:defRPr sz="900" baseline="0">
                <a:solidFill>
                  <a:srgbClr val="52514E"/>
                </a:solidFill>
              </a:defRPr>
            </a:pPr>
            <a:endParaRPr lang="en-US"/>
          </a:p>
        </c:txPr>
        <c:crossAx val="50090001"/>
        <c:crosses val="autoZero"/>
        <c:crossBetween val="between"/>
      </c:valAx>
      <c:spPr>
        <a:solidFill>
          <a:srgbClr val="FFFFFF"/>
        </a:solidFill>
      </c:spPr>
    </c:plotArea>
    <c:legend>
      <c:legendPos val="b"/>
      <c:layout/>
      <c:txPr>
        <a:bodyPr/>
        <a:lstStyle/>
        <a:p>
          <a:pPr>
            <a:defRPr sz="900" baseline="0">
              <a:solidFill>
                <a:srgbClr val="52514E"/>
              </a:solidFill>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0</xdr:rowOff>
    </xdr:from>
    <xdr:to>
      <xdr:col>8</xdr:col>
      <xdr:colOff>733425</xdr:colOff>
      <xdr:row>25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11</xdr:row>
      <xdr:rowOff>0</xdr:rowOff>
    </xdr:from>
    <xdr:to>
      <xdr:col>16</xdr:col>
      <xdr:colOff>114300</xdr:colOff>
      <xdr:row>25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4</xdr:row>
      <xdr:rowOff>0</xdr:rowOff>
    </xdr:from>
    <xdr:to>
      <xdr:col>17</xdr:col>
      <xdr:colOff>419100</xdr:colOff>
      <xdr:row>19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39</xdr:row>
      <xdr:rowOff>0</xdr:rowOff>
    </xdr:from>
    <xdr:to>
      <xdr:col>23</xdr:col>
      <xdr:colOff>419100</xdr:colOff>
      <xdr:row>54</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15</xdr:row>
      <xdr:rowOff>0</xdr:rowOff>
    </xdr:from>
    <xdr:to>
      <xdr:col>10</xdr:col>
      <xdr:colOff>466725</xdr:colOff>
      <xdr:row>29</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17</xdr:col>
      <xdr:colOff>0</xdr:colOff>
      <xdr:row>22</xdr:row>
      <xdr:rowOff>0</xdr:rowOff>
    </xdr:from>
    <xdr:to>
      <xdr:col>22</xdr:col>
      <xdr:colOff>361950</xdr:colOff>
      <xdr:row>42</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4</xdr:row>
      <xdr:rowOff>0</xdr:rowOff>
    </xdr:from>
    <xdr:to>
      <xdr:col>16</xdr:col>
      <xdr:colOff>457200</xdr:colOff>
      <xdr:row>20</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29</xdr:row>
      <xdr:rowOff>0</xdr:rowOff>
    </xdr:from>
    <xdr:to>
      <xdr:col>5</xdr:col>
      <xdr:colOff>714375</xdr:colOff>
      <xdr:row>43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0</xdr:colOff>
      <xdr:row>3</xdr:row>
      <xdr:rowOff>0</xdr:rowOff>
    </xdr:from>
    <xdr:to>
      <xdr:col>16</xdr:col>
      <xdr:colOff>114300</xdr:colOff>
      <xdr:row>17</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Relationships xmlns="http://schemas.openxmlformats.org/package/2006/relationships"><Relationship Id="rId1" Type="http://schemas.openxmlformats.org/officeDocument/2006/relationships/pivotCacheRecords" Target="pivotCacheRecords2.xml"/>
</Relationships>
</file>

<file path=xl/pivotCache/pivotCacheDefinition1.xml><?xml version="1.0" encoding="utf-8"?>
<pivotCacheDefinition xmlns="http://schemas.openxmlformats.org/spreadsheetml/2006/main" xmlns:r="http://schemas.openxmlformats.org/officeDocument/2006/relationships" r:id="rId1" recordCount="8725" createdVersion="3" refreshOnLoad="1">
  <cacheSource type="worksheet">
    <worksheetSource ref="A1:I8726" sheet="Hourly"/>
  </cacheSource>
  <cacheFields count="9">
    <cacheField name="Date" numFmtId="0">
      <sharedItems containsSemiMixedTypes="0" containsNonDate="0" containsDate="1" containsString="0" minDate="2014-04-01T00:00:00" maxDate="2015-06-30T00:00:00" count="364">
        <d v="2014-04-01T00:00:00"/>
        <d v="2014-04-02T00:00:00"/>
        <d v="2014-04-03T00:00:00"/>
        <d v="2014-04-04T00:00:00"/>
        <d v="2014-04-05T00:00:00"/>
        <d v="2014-04-06T00:00:00"/>
        <d v="2014-04-07T00:00:00"/>
        <d v="2014-04-08T00:00:00"/>
        <d v="2014-04-09T00:00:00"/>
        <d v="2014-04-10T00:00:00"/>
        <d v="2014-04-11T00:00:00"/>
        <d v="2014-04-12T00:00:00"/>
        <d v="2014-04-13T00:00:00"/>
        <d v="2014-04-14T00:00:00"/>
        <d v="2014-04-15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1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6T00:00:00"/>
        <d v="2014-05-17T00:00:00"/>
        <d v="2014-05-18T00:00:00"/>
        <d v="2014-05-19T00:00:00"/>
        <d v="2014-05-20T00:00:00"/>
        <d v="2014-05-21T00:00:00"/>
        <d v="2014-05-22T00:00:00"/>
        <d v="2014-05-23T00:00:00"/>
        <d v="2014-05-24T00:00:00"/>
        <d v="2014-05-25T00:00:00"/>
        <d v="2014-05-26T00:00:00"/>
        <d v="2014-05-27T00:00:00"/>
        <d v="2014-05-28T00:00:00"/>
        <d v="2014-05-29T00:00:00"/>
        <d v="2014-05-30T00:00:00"/>
        <d v="2014-05-31T00:00:00"/>
        <d v="2014-06-01T00:00:00"/>
        <d v="2014-06-02T00:00:00"/>
        <d v="2014-06-03T00:00:00"/>
        <d v="2014-06-04T00:00:00"/>
        <d v="2014-06-05T00:00:00"/>
        <d v="2014-06-06T00:00:00"/>
        <d v="2014-06-07T00:00:00"/>
        <d v="2014-06-08T00:00:00"/>
        <d v="2014-06-09T00:00:00"/>
        <d v="2014-06-10T00:00:00"/>
        <d v="2014-06-11T00:00:00"/>
        <d v="2014-06-12T00:00:00"/>
        <d v="2014-06-13T00:00:00"/>
        <d v="2014-06-14T00:00:00"/>
        <d v="2014-06-15T00:00:00"/>
        <d v="2014-06-16T00:00:00"/>
        <d v="2014-06-17T00:00:00"/>
        <d v="2014-06-18T00:00:00"/>
        <d v="2014-06-19T00:00:00"/>
        <d v="2014-06-20T00:00:00"/>
        <d v="2014-06-21T00:00:00"/>
        <d v="2014-06-22T00:00:00"/>
        <d v="2014-06-23T00:00:00"/>
        <d v="2014-06-24T00:00:00"/>
        <d v="2014-06-25T00:00:00"/>
        <d v="2014-06-26T00:00:00"/>
        <d v="2014-06-27T00:00:00"/>
        <d v="2014-06-28T00:00:00"/>
        <d v="2014-06-29T00:00:00"/>
        <d v="2014-06-30T00:00:00"/>
        <d v="2014-07-01T00:00:00"/>
        <d v="2014-07-02T00:00:00"/>
        <d v="2014-07-03T00:00:00"/>
        <d v="2014-07-04T00:00:00"/>
        <d v="2014-07-05T00:00:00"/>
        <d v="2014-07-06T00:00:00"/>
        <d v="2014-07-07T00:00:00"/>
        <d v="2014-07-08T00:00:00"/>
        <d v="2014-07-09T00:00:00"/>
        <d v="2014-07-10T00:00:00"/>
        <d v="2014-07-11T00:00:00"/>
        <d v="2014-07-12T00:00:00"/>
        <d v="2014-07-13T00:00:00"/>
        <d v="2014-07-14T00:00:00"/>
        <d v="2014-07-15T00:00:00"/>
        <d v="2014-07-16T00:00:00"/>
        <d v="2014-07-17T00:00:00"/>
        <d v="2014-07-18T00:00:00"/>
        <d v="2014-07-19T00:00:00"/>
        <d v="2014-07-20T00:00:00"/>
        <d v="2014-07-21T00:00:00"/>
        <d v="2014-07-22T00:00:00"/>
        <d v="2014-07-23T00:00:00"/>
        <d v="2014-07-24T00:00:00"/>
        <d v="2014-07-25T00:00:00"/>
        <d v="2014-07-26T00:00:00"/>
        <d v="2014-07-27T00:00:00"/>
        <d v="2014-07-28T00:00:00"/>
        <d v="2014-07-29T00:00:00"/>
        <d v="2014-07-30T00:00:00"/>
        <d v="2014-07-31T00:00:00"/>
        <d v="2014-08-01T00:00:00"/>
        <d v="2014-08-02T00:00:00"/>
        <d v="2014-08-03T00:00:00"/>
        <d v="2014-08-04T00:00:00"/>
        <d v="2014-08-05T00:00:00"/>
        <d v="2014-08-06T00:00:00"/>
        <d v="2014-08-07T00:00:00"/>
        <d v="2014-08-08T00:00:00"/>
        <d v="2014-08-09T00:00:00"/>
        <d v="2014-08-10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4-08-31T00:00:00"/>
        <d v="2014-09-01T00:00:00"/>
        <d v="2014-09-02T00:00:00"/>
        <d v="2014-09-03T00:00:00"/>
        <d v="2014-09-04T00:00:00"/>
        <d v="2014-09-05T00:00:00"/>
        <d v="2014-09-06T00:00:00"/>
        <d v="2014-09-07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8T00:00:00"/>
        <d v="2014-09-29T00:00:00"/>
        <d v="2014-09-30T00:00:00"/>
        <d v="2015-01-01T00:00:00"/>
        <d v="2015-01-02T00:00:00"/>
        <d v="2015-01-03T00:00:00"/>
        <d v="2015-01-04T00:00:00"/>
        <d v="2015-01-05T00:00:00"/>
        <d v="2015-01-06T00:00:00"/>
        <d v="2015-01-07T00:00:00"/>
        <d v="2015-01-08T00:00:00"/>
        <d v="2015-01-09T00:00:00"/>
        <d v="2015-01-10T00:00:00"/>
        <d v="2015-01-11T00:00:00"/>
        <d v="2015-01-12T00:00:00"/>
        <d v="2015-01-13T00:00:00"/>
        <d v="2015-01-14T00:00:00"/>
        <d v="2015-01-15T00:00:00"/>
        <d v="2015-01-16T00:00:00"/>
        <d v="2015-01-17T00:00:00"/>
        <d v="2015-01-18T00:00:00"/>
        <d v="2015-01-19T00:00:00"/>
        <d v="2015-01-20T00:00:00"/>
        <d v="2015-01-21T00:00:00"/>
        <d v="2015-01-22T00:00:00"/>
        <d v="2015-01-23T00:00:00"/>
        <d v="2015-01-24T00:00:00"/>
        <d v="2015-01-25T00:00:00"/>
        <d v="2015-01-26T00:00:00"/>
        <d v="2015-01-27T00:00:00"/>
        <d v="2015-01-28T00:00:00"/>
        <d v="2015-01-29T00:00:00"/>
        <d v="2015-01-30T00:00:00"/>
        <d v="2015-01-31T00:00:00"/>
        <d v="2015-02-01T00:00:00"/>
        <d v="2015-02-02T00:00:00"/>
        <d v="2015-02-03T00:00:00"/>
        <d v="2015-02-04T00:00:00"/>
        <d v="2015-02-05T00:00:00"/>
        <d v="2015-02-06T00:00:00"/>
        <d v="2015-02-07T00:00:00"/>
        <d v="2015-02-08T00:00:00"/>
        <d v="2015-02-09T00:00:00"/>
        <d v="2015-02-10T00:00:00"/>
        <d v="2015-02-11T00:00:00"/>
        <d v="2015-02-12T00:00:00"/>
        <d v="2015-02-13T00:00:00"/>
        <d v="2015-02-14T00:00:00"/>
        <d v="2015-02-15T00:00:00"/>
        <d v="2015-02-16T00:00:00"/>
        <d v="2015-02-17T00:00:00"/>
        <d v="2015-02-18T00:00:00"/>
        <d v="2015-02-19T00:00:00"/>
        <d v="2015-02-20T00:00:00"/>
        <d v="2015-02-21T00:00:00"/>
        <d v="2015-02-22T00:00:00"/>
        <d v="2015-02-23T00:00:00"/>
        <d v="2015-02-24T00:00:00"/>
        <d v="2015-02-25T00:00:00"/>
        <d v="2015-02-26T00:00:00"/>
        <d v="2015-02-27T00:00:00"/>
        <d v="2015-02-28T00:00:00"/>
        <d v="2015-03-01T00:00:00"/>
        <d v="2015-03-02T00:00:00"/>
        <d v="2015-03-03T00:00:00"/>
        <d v="2015-03-04T00:00:00"/>
        <d v="2015-03-05T00:00:00"/>
        <d v="2015-03-06T00:00:00"/>
        <d v="2015-03-07T00:00:00"/>
        <d v="2015-03-08T00:00:00"/>
        <d v="2015-03-09T00:00:00"/>
        <d v="2015-03-10T00:00:00"/>
        <d v="2015-03-11T00:00:00"/>
        <d v="2015-03-12T00:00:00"/>
        <d v="2015-03-13T00:00:00"/>
        <d v="2015-03-14T00:00:00"/>
        <d v="2015-03-15T00:00:00"/>
        <d v="2015-03-16T00:00:00"/>
        <d v="2015-03-17T00:00:00"/>
        <d v="2015-03-18T00:00:00"/>
        <d v="2015-03-19T00:00:00"/>
        <d v="2015-03-20T00:00:00"/>
        <d v="2015-03-21T00:00:00"/>
        <d v="2015-03-22T00:00:00"/>
        <d v="2015-03-23T00:00:00"/>
        <d v="2015-03-24T00:00:00"/>
        <d v="2015-03-25T00:00:00"/>
        <d v="2015-03-26T00:00:00"/>
        <d v="2015-03-27T00:00:00"/>
        <d v="2015-03-28T00:00:00"/>
        <d v="2015-03-29T00:00:00"/>
        <d v="2015-03-30T00:00:00"/>
        <d v="2015-03-31T00:00:00"/>
        <d v="2015-04-01T00:00:00"/>
        <d v="2015-04-02T00:00:00"/>
        <d v="2015-04-03T00:00:00"/>
        <d v="2015-04-04T00:00:00"/>
        <d v="2015-04-05T00:00:00"/>
        <d v="2015-04-06T00:00:00"/>
        <d v="2015-04-07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8T00:00:00"/>
        <d v="2015-05-19T00:00:00"/>
        <d v="2015-05-20T00:00:00"/>
        <d v="2015-05-21T00:00:00"/>
        <d v="2015-05-22T00:00:00"/>
        <d v="2015-05-23T00:00:00"/>
        <d v="2015-05-24T00:00:00"/>
        <d v="2015-05-25T00:00:00"/>
        <d v="2015-05-26T00:00:00"/>
        <d v="2015-05-27T00:00:00"/>
        <d v="2015-05-28T00:00:00"/>
        <d v="2015-05-29T00:00:00"/>
        <d v="2015-05-30T00:00:00"/>
        <d v="2015-05-31T00:00:00"/>
        <d v="2015-06-01T00:00:00"/>
        <d v="2015-06-02T00:00:00"/>
        <d v="2015-06-03T00:00:00"/>
        <d v="2015-06-04T00:00:00"/>
        <d v="2015-06-05T00:00:00"/>
        <d v="2015-06-06T00:00:00"/>
        <d v="2015-06-07T00:00:00"/>
        <d v="2015-06-08T00:00:00"/>
        <d v="2015-06-09T00:00:00"/>
        <d v="2015-06-10T00:00:00"/>
        <d v="2015-06-11T00:00:00"/>
        <d v="2015-06-12T00:00:00"/>
        <d v="2015-06-13T00:00:00"/>
        <d v="2015-06-14T00:00:00"/>
        <d v="2015-06-15T00:00:00"/>
        <d v="2015-06-16T00:00:00"/>
        <d v="2015-06-17T00:00:00"/>
        <d v="2015-06-18T00:00:00"/>
        <d v="2015-06-19T00:00:00"/>
        <d v="2015-06-20T00:00:00"/>
        <d v="2015-06-21T00:00:00"/>
        <d v="2015-06-22T00:00:00"/>
        <d v="2015-06-23T00:00:00"/>
        <d v="2015-06-24T00:00:00"/>
        <d v="2015-06-25T00:00:00"/>
        <d v="2015-06-26T00:00:00"/>
        <d v="2015-06-27T00:00:00"/>
        <d v="2015-06-28T00:00:00"/>
        <d v="2015-06-29T00:00:00"/>
        <d v="2015-06-30T00:00:00"/>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rips" numFmtId="0">
      <sharedItems containsSemiMixedTypes="0" containsString="0" containsNumber="1" containsInteger="1" minValue="45" maxValue="10647" count="4212">
        <n v="45"/>
        <n v="48"/>
        <n v="52"/>
        <n v="53"/>
        <n v="57"/>
        <n v="58"/>
        <n v="59"/>
        <n v="61"/>
        <n v="62"/>
        <n v="63"/>
        <n v="64"/>
        <n v="66"/>
        <n v="67"/>
        <n v="68"/>
        <n v="71"/>
        <n v="72"/>
        <n v="73"/>
        <n v="75"/>
        <n v="76"/>
        <n v="77"/>
        <n v="78"/>
        <n v="80"/>
        <n v="82"/>
        <n v="83"/>
        <n v="84"/>
        <n v="87"/>
        <n v="88"/>
        <n v="90"/>
        <n v="92"/>
        <n v="93"/>
        <n v="95"/>
        <n v="96"/>
        <n v="97"/>
        <n v="100"/>
        <n v="101"/>
        <n v="102"/>
        <n v="103"/>
        <n v="104"/>
        <n v="105"/>
        <n v="106"/>
        <n v="107"/>
        <n v="108"/>
        <n v="109"/>
        <n v="110"/>
        <n v="111"/>
        <n v="112"/>
        <n v="113"/>
        <n v="114"/>
        <n v="116"/>
        <n v="117"/>
        <n v="118"/>
        <n v="119"/>
        <n v="120"/>
        <n v="122"/>
        <n v="123"/>
        <n v="124"/>
        <n v="125"/>
        <n v="126"/>
        <n v="127"/>
        <n v="128"/>
        <n v="129"/>
        <n v="130"/>
        <n v="131"/>
        <n v="132"/>
        <n v="133"/>
        <n v="134"/>
        <n v="135"/>
        <n v="136"/>
        <n v="137"/>
        <n v="138"/>
        <n v="139"/>
        <n v="140"/>
        <n v="141"/>
        <n v="143"/>
        <n v="144"/>
        <n v="145"/>
        <n v="146"/>
        <n v="147"/>
        <n v="148"/>
        <n v="149"/>
        <n v="150"/>
        <n v="151"/>
        <n v="152"/>
        <n v="153"/>
        <n v="154"/>
        <n v="155"/>
        <n v="156"/>
        <n v="157"/>
        <n v="158"/>
        <n v="159"/>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1"/>
        <n v="262"/>
        <n v="263"/>
        <n v="264"/>
        <n v="265"/>
        <n v="266"/>
        <n v="267"/>
        <n v="268"/>
        <n v="269"/>
        <n v="270"/>
        <n v="271"/>
        <n v="272"/>
        <n v="273"/>
        <n v="274"/>
        <n v="275"/>
        <n v="276"/>
        <n v="277"/>
        <n v="278"/>
        <n v="279"/>
        <n v="280"/>
        <n v="281"/>
        <n v="282"/>
        <n v="283"/>
        <n v="284"/>
        <n v="285"/>
        <n v="286"/>
        <n v="288"/>
        <n v="289"/>
        <n v="290"/>
        <n v="291"/>
        <n v="292"/>
        <n v="293"/>
        <n v="294"/>
        <n v="296"/>
        <n v="297"/>
        <n v="298"/>
        <n v="299"/>
        <n v="300"/>
        <n v="301"/>
        <n v="303"/>
        <n v="304"/>
        <n v="305"/>
        <n v="306"/>
        <n v="307"/>
        <n v="308"/>
        <n v="309"/>
        <n v="310"/>
        <n v="312"/>
        <n v="313"/>
        <n v="314"/>
        <n v="315"/>
        <n v="316"/>
        <n v="317"/>
        <n v="318"/>
        <n v="319"/>
        <n v="320"/>
        <n v="321"/>
        <n v="322"/>
        <n v="323"/>
        <n v="325"/>
        <n v="326"/>
        <n v="327"/>
        <n v="328"/>
        <n v="329"/>
        <n v="330"/>
        <n v="331"/>
        <n v="332"/>
        <n v="333"/>
        <n v="334"/>
        <n v="335"/>
        <n v="336"/>
        <n v="337"/>
        <n v="338"/>
        <n v="339"/>
        <n v="340"/>
        <n v="341"/>
        <n v="342"/>
        <n v="343"/>
        <n v="344"/>
        <n v="345"/>
        <n v="346"/>
        <n v="347"/>
        <n v="348"/>
        <n v="349"/>
        <n v="350"/>
        <n v="351"/>
        <n v="352"/>
        <n v="353"/>
        <n v="354"/>
        <n v="355"/>
        <n v="356"/>
        <n v="357"/>
        <n v="358"/>
        <n v="359"/>
        <n v="360"/>
        <n v="361"/>
        <n v="362"/>
        <n v="363"/>
        <n v="365"/>
        <n v="366"/>
        <n v="367"/>
        <n v="368"/>
        <n v="369"/>
        <n v="370"/>
        <n v="372"/>
        <n v="373"/>
        <n v="374"/>
        <n v="376"/>
        <n v="377"/>
        <n v="378"/>
        <n v="379"/>
        <n v="380"/>
        <n v="381"/>
        <n v="382"/>
        <n v="383"/>
        <n v="384"/>
        <n v="385"/>
        <n v="386"/>
        <n v="387"/>
        <n v="388"/>
        <n v="389"/>
        <n v="390"/>
        <n v="391"/>
        <n v="392"/>
        <n v="393"/>
        <n v="394"/>
        <n v="395"/>
        <n v="396"/>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4"/>
        <n v="475"/>
        <n v="476"/>
        <n v="477"/>
        <n v="478"/>
        <n v="479"/>
        <n v="480"/>
        <n v="481"/>
        <n v="482"/>
        <n v="483"/>
        <n v="484"/>
        <n v="485"/>
        <n v="487"/>
        <n v="488"/>
        <n v="489"/>
        <n v="490"/>
        <n v="491"/>
        <n v="492"/>
        <n v="493"/>
        <n v="494"/>
        <n v="495"/>
        <n v="496"/>
        <n v="497"/>
        <n v="498"/>
        <n v="499"/>
        <n v="500"/>
        <n v="501"/>
        <n v="502"/>
        <n v="503"/>
        <n v="504"/>
        <n v="505"/>
        <n v="506"/>
        <n v="507"/>
        <n v="508"/>
        <n v="509"/>
        <n v="510"/>
        <n v="512"/>
        <n v="513"/>
        <n v="514"/>
        <n v="515"/>
        <n v="516"/>
        <n v="517"/>
        <n v="518"/>
        <n v="519"/>
        <n v="522"/>
        <n v="524"/>
        <n v="526"/>
        <n v="527"/>
        <n v="528"/>
        <n v="529"/>
        <n v="530"/>
        <n v="531"/>
        <n v="532"/>
        <n v="533"/>
        <n v="534"/>
        <n v="535"/>
        <n v="536"/>
        <n v="537"/>
        <n v="538"/>
        <n v="539"/>
        <n v="540"/>
        <n v="542"/>
        <n v="543"/>
        <n v="544"/>
        <n v="545"/>
        <n v="546"/>
        <n v="547"/>
        <n v="548"/>
        <n v="549"/>
        <n v="550"/>
        <n v="551"/>
        <n v="552"/>
        <n v="553"/>
        <n v="554"/>
        <n v="555"/>
        <n v="556"/>
        <n v="557"/>
        <n v="558"/>
        <n v="559"/>
        <n v="560"/>
        <n v="561"/>
        <n v="562"/>
        <n v="563"/>
        <n v="564"/>
        <n v="565"/>
        <n v="566"/>
        <n v="567"/>
        <n v="568"/>
        <n v="569"/>
        <n v="571"/>
        <n v="572"/>
        <n v="573"/>
        <n v="574"/>
        <n v="576"/>
        <n v="577"/>
        <n v="578"/>
        <n v="579"/>
        <n v="580"/>
        <n v="581"/>
        <n v="582"/>
        <n v="583"/>
        <n v="584"/>
        <n v="585"/>
        <n v="586"/>
        <n v="587"/>
        <n v="588"/>
        <n v="589"/>
        <n v="590"/>
        <n v="591"/>
        <n v="592"/>
        <n v="593"/>
        <n v="594"/>
        <n v="595"/>
        <n v="596"/>
        <n v="597"/>
        <n v="598"/>
        <n v="599"/>
        <n v="600"/>
        <n v="601"/>
        <n v="602"/>
        <n v="603"/>
        <n v="604"/>
        <n v="605"/>
        <n v="606"/>
        <n v="607"/>
        <n v="608"/>
        <n v="609"/>
        <n v="611"/>
        <n v="612"/>
        <n v="613"/>
        <n v="614"/>
        <n v="615"/>
        <n v="616"/>
        <n v="617"/>
        <n v="618"/>
        <n v="619"/>
        <n v="620"/>
        <n v="621"/>
        <n v="622"/>
        <n v="623"/>
        <n v="625"/>
        <n v="626"/>
        <n v="627"/>
        <n v="628"/>
        <n v="629"/>
        <n v="630"/>
        <n v="631"/>
        <n v="632"/>
        <n v="633"/>
        <n v="634"/>
        <n v="635"/>
        <n v="636"/>
        <n v="637"/>
        <n v="638"/>
        <n v="639"/>
        <n v="640"/>
        <n v="641"/>
        <n v="642"/>
        <n v="643"/>
        <n v="645"/>
        <n v="646"/>
        <n v="647"/>
        <n v="648"/>
        <n v="649"/>
        <n v="650"/>
        <n v="651"/>
        <n v="652"/>
        <n v="653"/>
        <n v="654"/>
        <n v="656"/>
        <n v="657"/>
        <n v="658"/>
        <n v="659"/>
        <n v="660"/>
        <n v="662"/>
        <n v="663"/>
        <n v="664"/>
        <n v="665"/>
        <n v="666"/>
        <n v="668"/>
        <n v="669"/>
        <n v="670"/>
        <n v="671"/>
        <n v="672"/>
        <n v="673"/>
        <n v="674"/>
        <n v="675"/>
        <n v="677"/>
        <n v="679"/>
        <n v="680"/>
        <n v="681"/>
        <n v="682"/>
        <n v="683"/>
        <n v="684"/>
        <n v="685"/>
        <n v="686"/>
        <n v="687"/>
        <n v="688"/>
        <n v="689"/>
        <n v="690"/>
        <n v="691"/>
        <n v="692"/>
        <n v="694"/>
        <n v="695"/>
        <n v="696"/>
        <n v="697"/>
        <n v="698"/>
        <n v="699"/>
        <n v="700"/>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80"/>
        <n v="781"/>
        <n v="782"/>
        <n v="783"/>
        <n v="784"/>
        <n v="785"/>
        <n v="786"/>
        <n v="787"/>
        <n v="788"/>
        <n v="789"/>
        <n v="790"/>
        <n v="791"/>
        <n v="792"/>
        <n v="793"/>
        <n v="794"/>
        <n v="795"/>
        <n v="796"/>
        <n v="797"/>
        <n v="798"/>
        <n v="799"/>
        <n v="800"/>
        <n v="801"/>
        <n v="802"/>
        <n v="803"/>
        <n v="804"/>
        <n v="806"/>
        <n v="807"/>
        <n v="808"/>
        <n v="809"/>
        <n v="810"/>
        <n v="811"/>
        <n v="812"/>
        <n v="813"/>
        <n v="814"/>
        <n v="815"/>
        <n v="816"/>
        <n v="817"/>
        <n v="818"/>
        <n v="819"/>
        <n v="820"/>
        <n v="821"/>
        <n v="822"/>
        <n v="823"/>
        <n v="825"/>
        <n v="826"/>
        <n v="827"/>
        <n v="828"/>
        <n v="829"/>
        <n v="830"/>
        <n v="831"/>
        <n v="832"/>
        <n v="833"/>
        <n v="834"/>
        <n v="835"/>
        <n v="836"/>
        <n v="837"/>
        <n v="838"/>
        <n v="839"/>
        <n v="840"/>
        <n v="841"/>
        <n v="842"/>
        <n v="843"/>
        <n v="844"/>
        <n v="846"/>
        <n v="847"/>
        <n v="848"/>
        <n v="849"/>
        <n v="850"/>
        <n v="851"/>
        <n v="852"/>
        <n v="853"/>
        <n v="854"/>
        <n v="855"/>
        <n v="856"/>
        <n v="857"/>
        <n v="858"/>
        <n v="859"/>
        <n v="860"/>
        <n v="861"/>
        <n v="862"/>
        <n v="864"/>
        <n v="865"/>
        <n v="866"/>
        <n v="867"/>
        <n v="868"/>
        <n v="869"/>
        <n v="870"/>
        <n v="871"/>
        <n v="872"/>
        <n v="873"/>
        <n v="874"/>
        <n v="875"/>
        <n v="876"/>
        <n v="877"/>
        <n v="878"/>
        <n v="879"/>
        <n v="880"/>
        <n v="881"/>
        <n v="882"/>
        <n v="883"/>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40"/>
        <n v="941"/>
        <n v="942"/>
        <n v="943"/>
        <n v="944"/>
        <n v="945"/>
        <n v="946"/>
        <n v="947"/>
        <n v="948"/>
        <n v="950"/>
        <n v="951"/>
        <n v="952"/>
        <n v="953"/>
        <n v="954"/>
        <n v="955"/>
        <n v="956"/>
        <n v="957"/>
        <n v="958"/>
        <n v="959"/>
        <n v="960"/>
        <n v="961"/>
        <n v="962"/>
        <n v="963"/>
        <n v="964"/>
        <n v="965"/>
        <n v="966"/>
        <n v="967"/>
        <n v="968"/>
        <n v="969"/>
        <n v="970"/>
        <n v="971"/>
        <n v="972"/>
        <n v="973"/>
        <n v="974"/>
        <n v="976"/>
        <n v="977"/>
        <n v="978"/>
        <n v="979"/>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6"/>
        <n v="1047"/>
        <n v="1048"/>
        <n v="1049"/>
        <n v="1050"/>
        <n v="1051"/>
        <n v="1052"/>
        <n v="1053"/>
        <n v="1054"/>
        <n v="1055"/>
        <n v="1056"/>
        <n v="1057"/>
        <n v="1058"/>
        <n v="1059"/>
        <n v="1060"/>
        <n v="1061"/>
        <n v="1062"/>
        <n v="1063"/>
        <n v="1064"/>
        <n v="1065"/>
        <n v="1066"/>
        <n v="1067"/>
        <n v="1068"/>
        <n v="1069"/>
        <n v="1070"/>
        <n v="1072"/>
        <n v="1073"/>
        <n v="1074"/>
        <n v="1075"/>
        <n v="1076"/>
        <n v="1077"/>
        <n v="1078"/>
        <n v="1079"/>
        <n v="1080"/>
        <n v="1081"/>
        <n v="1082"/>
        <n v="1083"/>
        <n v="1084"/>
        <n v="1085"/>
        <n v="1086"/>
        <n v="1087"/>
        <n v="1088"/>
        <n v="1089"/>
        <n v="1090"/>
        <n v="1091"/>
        <n v="1092"/>
        <n v="1093"/>
        <n v="1094"/>
        <n v="1095"/>
        <n v="1096"/>
        <n v="1097"/>
        <n v="1098"/>
        <n v="1099"/>
        <n v="1100"/>
        <n v="1101"/>
        <n v="1102"/>
        <n v="1103"/>
        <n v="1104"/>
        <n v="1105"/>
        <n v="1108"/>
        <n v="1109"/>
        <n v="1110"/>
        <n v="1111"/>
        <n v="1112"/>
        <n v="1113"/>
        <n v="1114"/>
        <n v="1115"/>
        <n v="1116"/>
        <n v="1117"/>
        <n v="1118"/>
        <n v="1119"/>
        <n v="1120"/>
        <n v="1121"/>
        <n v="1122"/>
        <n v="1123"/>
        <n v="1125"/>
        <n v="1126"/>
        <n v="1127"/>
        <n v="1128"/>
        <n v="1130"/>
        <n v="1131"/>
        <n v="1132"/>
        <n v="1133"/>
        <n v="1134"/>
        <n v="1135"/>
        <n v="1136"/>
        <n v="1137"/>
        <n v="1138"/>
        <n v="1139"/>
        <n v="1140"/>
        <n v="1141"/>
        <n v="1142"/>
        <n v="1143"/>
        <n v="1144"/>
        <n v="1145"/>
        <n v="1146"/>
        <n v="1147"/>
        <n v="1148"/>
        <n v="1149"/>
        <n v="1150"/>
        <n v="1151"/>
        <n v="1152"/>
        <n v="1153"/>
        <n v="1154"/>
        <n v="1155"/>
        <n v="1156"/>
        <n v="1157"/>
        <n v="1159"/>
        <n v="1160"/>
        <n v="1161"/>
        <n v="1162"/>
        <n v="1163"/>
        <n v="1164"/>
        <n v="1165"/>
        <n v="1166"/>
        <n v="1167"/>
        <n v="1168"/>
        <n v="1169"/>
        <n v="1170"/>
        <n v="1171"/>
        <n v="1172"/>
        <n v="1173"/>
        <n v="1174"/>
        <n v="1175"/>
        <n v="1176"/>
        <n v="1179"/>
        <n v="1180"/>
        <n v="1181"/>
        <n v="1182"/>
        <n v="1183"/>
        <n v="1184"/>
        <n v="1185"/>
        <n v="1186"/>
        <n v="1187"/>
        <n v="1188"/>
        <n v="1190"/>
        <n v="1192"/>
        <n v="1193"/>
        <n v="1194"/>
        <n v="1195"/>
        <n v="1196"/>
        <n v="1197"/>
        <n v="1198"/>
        <n v="1199"/>
        <n v="1200"/>
        <n v="1201"/>
        <n v="1202"/>
        <n v="1203"/>
        <n v="1204"/>
        <n v="1205"/>
        <n v="1206"/>
        <n v="1207"/>
        <n v="1208"/>
        <n v="1210"/>
        <n v="1211"/>
        <n v="1212"/>
        <n v="1213"/>
        <n v="1214"/>
        <n v="1215"/>
        <n v="1216"/>
        <n v="1217"/>
        <n v="1218"/>
        <n v="1219"/>
        <n v="1220"/>
        <n v="1222"/>
        <n v="1224"/>
        <n v="1225"/>
        <n v="1226"/>
        <n v="1227"/>
        <n v="1229"/>
        <n v="1230"/>
        <n v="1231"/>
        <n v="1232"/>
        <n v="1233"/>
        <n v="1234"/>
        <n v="1235"/>
        <n v="1236"/>
        <n v="1237"/>
        <n v="1238"/>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1"/>
        <n v="1302"/>
        <n v="1303"/>
        <n v="1304"/>
        <n v="1305"/>
        <n v="1306"/>
        <n v="1307"/>
        <n v="1308"/>
        <n v="1309"/>
        <n v="1310"/>
        <n v="1311"/>
        <n v="1312"/>
        <n v="1313"/>
        <n v="1314"/>
        <n v="1316"/>
        <n v="1317"/>
        <n v="1318"/>
        <n v="1319"/>
        <n v="1320"/>
        <n v="1321"/>
        <n v="1322"/>
        <n v="1323"/>
        <n v="1324"/>
        <n v="1325"/>
        <n v="1326"/>
        <n v="1327"/>
        <n v="1328"/>
        <n v="1329"/>
        <n v="1330"/>
        <n v="1331"/>
        <n v="1332"/>
        <n v="1333"/>
        <n v="1334"/>
        <n v="1335"/>
        <n v="1336"/>
        <n v="1337"/>
        <n v="1338"/>
        <n v="1339"/>
        <n v="1340"/>
        <n v="1341"/>
        <n v="1342"/>
        <n v="1344"/>
        <n v="1345"/>
        <n v="1346"/>
        <n v="1347"/>
        <n v="1348"/>
        <n v="1349"/>
        <n v="1350"/>
        <n v="1351"/>
        <n v="1352"/>
        <n v="1353"/>
        <n v="1354"/>
        <n v="1355"/>
        <n v="1356"/>
        <n v="1357"/>
        <n v="1358"/>
        <n v="1359"/>
        <n v="1360"/>
        <n v="1361"/>
        <n v="1362"/>
        <n v="1363"/>
        <n v="1364"/>
        <n v="1365"/>
        <n v="1366"/>
        <n v="1367"/>
        <n v="1368"/>
        <n v="1369"/>
        <n v="1370"/>
        <n v="1372"/>
        <n v="1373"/>
        <n v="1374"/>
        <n v="1375"/>
        <n v="1376"/>
        <n v="1377"/>
        <n v="1378"/>
        <n v="1379"/>
        <n v="1380"/>
        <n v="1382"/>
        <n v="1383"/>
        <n v="1384"/>
        <n v="1385"/>
        <n v="1386"/>
        <n v="1387"/>
        <n v="1388"/>
        <n v="1389"/>
        <n v="1390"/>
        <n v="1391"/>
        <n v="1392"/>
        <n v="1393"/>
        <n v="1394"/>
        <n v="1395"/>
        <n v="1396"/>
        <n v="1397"/>
        <n v="1398"/>
        <n v="1399"/>
        <n v="1400"/>
        <n v="1401"/>
        <n v="1402"/>
        <n v="1403"/>
        <n v="1404"/>
        <n v="1406"/>
        <n v="1407"/>
        <n v="1408"/>
        <n v="1409"/>
        <n v="1410"/>
        <n v="1411"/>
        <n v="1412"/>
        <n v="1413"/>
        <n v="1414"/>
        <n v="1415"/>
        <n v="1417"/>
        <n v="1418"/>
        <n v="1419"/>
        <n v="1420"/>
        <n v="1421"/>
        <n v="1422"/>
        <n v="1423"/>
        <n v="1424"/>
        <n v="1425"/>
        <n v="1426"/>
        <n v="1427"/>
        <n v="1428"/>
        <n v="1429"/>
        <n v="1430"/>
        <n v="1431"/>
        <n v="1432"/>
        <n v="1433"/>
        <n v="1434"/>
        <n v="1435"/>
        <n v="1436"/>
        <n v="1437"/>
        <n v="1438"/>
        <n v="1439"/>
        <n v="1440"/>
        <n v="1442"/>
        <n v="1443"/>
        <n v="1444"/>
        <n v="1445"/>
        <n v="1446"/>
        <n v="1447"/>
        <n v="1448"/>
        <n v="1449"/>
        <n v="1450"/>
        <n v="1451"/>
        <n v="1452"/>
        <n v="1454"/>
        <n v="1455"/>
        <n v="1456"/>
        <n v="1457"/>
        <n v="1458"/>
        <n v="1459"/>
        <n v="1460"/>
        <n v="1461"/>
        <n v="1463"/>
        <n v="1464"/>
        <n v="1466"/>
        <n v="1468"/>
        <n v="1469"/>
        <n v="1470"/>
        <n v="1471"/>
        <n v="1472"/>
        <n v="1473"/>
        <n v="1474"/>
        <n v="1475"/>
        <n v="1476"/>
        <n v="1477"/>
        <n v="1478"/>
        <n v="1479"/>
        <n v="1480"/>
        <n v="1481"/>
        <n v="1482"/>
        <n v="1483"/>
        <n v="1484"/>
        <n v="1485"/>
        <n v="1486"/>
        <n v="1487"/>
        <n v="1488"/>
        <n v="1489"/>
        <n v="1490"/>
        <n v="1492"/>
        <n v="1493"/>
        <n v="1494"/>
        <n v="1495"/>
        <n v="1497"/>
        <n v="1498"/>
        <n v="1499"/>
        <n v="1500"/>
        <n v="1501"/>
        <n v="1503"/>
        <n v="1504"/>
        <n v="1505"/>
        <n v="1506"/>
        <n v="1508"/>
        <n v="1509"/>
        <n v="1510"/>
        <n v="1511"/>
        <n v="1512"/>
        <n v="1513"/>
        <n v="1514"/>
        <n v="1515"/>
        <n v="1516"/>
        <n v="1517"/>
        <n v="1518"/>
        <n v="1520"/>
        <n v="1521"/>
        <n v="1522"/>
        <n v="1523"/>
        <n v="1524"/>
        <n v="1525"/>
        <n v="1526"/>
        <n v="1527"/>
        <n v="1528"/>
        <n v="1529"/>
        <n v="1530"/>
        <n v="1532"/>
        <n v="1533"/>
        <n v="1534"/>
        <n v="1535"/>
        <n v="1536"/>
        <n v="1537"/>
        <n v="1538"/>
        <n v="1540"/>
        <n v="1541"/>
        <n v="1543"/>
        <n v="1544"/>
        <n v="1545"/>
        <n v="1546"/>
        <n v="1547"/>
        <n v="1548"/>
        <n v="1549"/>
        <n v="1550"/>
        <n v="1551"/>
        <n v="1552"/>
        <n v="1553"/>
        <n v="1554"/>
        <n v="1556"/>
        <n v="1557"/>
        <n v="1558"/>
        <n v="1560"/>
        <n v="1561"/>
        <n v="1562"/>
        <n v="1563"/>
        <n v="1565"/>
        <n v="1566"/>
        <n v="1567"/>
        <n v="1568"/>
        <n v="1569"/>
        <n v="1570"/>
        <n v="1571"/>
        <n v="1572"/>
        <n v="1574"/>
        <n v="1575"/>
        <n v="1577"/>
        <n v="1579"/>
        <n v="1580"/>
        <n v="1581"/>
        <n v="1582"/>
        <n v="1583"/>
        <n v="1584"/>
        <n v="1585"/>
        <n v="1586"/>
        <n v="1587"/>
        <n v="1588"/>
        <n v="1589"/>
        <n v="1591"/>
        <n v="1592"/>
        <n v="1593"/>
        <n v="1594"/>
        <n v="1595"/>
        <n v="1596"/>
        <n v="1597"/>
        <n v="1598"/>
        <n v="1599"/>
        <n v="1600"/>
        <n v="1601"/>
        <n v="1602"/>
        <n v="1603"/>
        <n v="1604"/>
        <n v="1605"/>
        <n v="1606"/>
        <n v="1607"/>
        <n v="1609"/>
        <n v="1610"/>
        <n v="1612"/>
        <n v="1614"/>
        <n v="1615"/>
        <n v="1616"/>
        <n v="1617"/>
        <n v="1618"/>
        <n v="1620"/>
        <n v="1621"/>
        <n v="1623"/>
        <n v="1624"/>
        <n v="1625"/>
        <n v="1626"/>
        <n v="1627"/>
        <n v="1628"/>
        <n v="1629"/>
        <n v="1630"/>
        <n v="1633"/>
        <n v="1634"/>
        <n v="1635"/>
        <n v="1636"/>
        <n v="1637"/>
        <n v="1638"/>
        <n v="1639"/>
        <n v="1640"/>
        <n v="1641"/>
        <n v="1642"/>
        <n v="1643"/>
        <n v="1644"/>
        <n v="1645"/>
        <n v="1646"/>
        <n v="1647"/>
        <n v="1648"/>
        <n v="1649"/>
        <n v="1650"/>
        <n v="1651"/>
        <n v="1652"/>
        <n v="1653"/>
        <n v="1654"/>
        <n v="1655"/>
        <n v="1657"/>
        <n v="1658"/>
        <n v="1659"/>
        <n v="1660"/>
        <n v="1661"/>
        <n v="1662"/>
        <n v="1663"/>
        <n v="1664"/>
        <n v="1665"/>
        <n v="1666"/>
        <n v="1667"/>
        <n v="1668"/>
        <n v="1669"/>
        <n v="1670"/>
        <n v="1671"/>
        <n v="1672"/>
        <n v="1673"/>
        <n v="1674"/>
        <n v="1675"/>
        <n v="1676"/>
        <n v="1677"/>
        <n v="1678"/>
        <n v="1680"/>
        <n v="1681"/>
        <n v="1682"/>
        <n v="1683"/>
        <n v="1684"/>
        <n v="1685"/>
        <n v="1686"/>
        <n v="1687"/>
        <n v="1688"/>
        <n v="1690"/>
        <n v="1691"/>
        <n v="1692"/>
        <n v="1693"/>
        <n v="1694"/>
        <n v="1696"/>
        <n v="1697"/>
        <n v="1698"/>
        <n v="1699"/>
        <n v="1700"/>
        <n v="1701"/>
        <n v="1702"/>
        <n v="1703"/>
        <n v="1704"/>
        <n v="1705"/>
        <n v="1706"/>
        <n v="1707"/>
        <n v="1708"/>
        <n v="1709"/>
        <n v="1710"/>
        <n v="1711"/>
        <n v="1712"/>
        <n v="1713"/>
        <n v="1714"/>
        <n v="1715"/>
        <n v="1717"/>
        <n v="1718"/>
        <n v="1719"/>
        <n v="1720"/>
        <n v="1721"/>
        <n v="1722"/>
        <n v="1723"/>
        <n v="1725"/>
        <n v="1726"/>
        <n v="1727"/>
        <n v="1728"/>
        <n v="1729"/>
        <n v="1731"/>
        <n v="1732"/>
        <n v="1733"/>
        <n v="1734"/>
        <n v="1735"/>
        <n v="1736"/>
        <n v="1737"/>
        <n v="1738"/>
        <n v="1740"/>
        <n v="1741"/>
        <n v="1742"/>
        <n v="1743"/>
        <n v="1744"/>
        <n v="1745"/>
        <n v="1746"/>
        <n v="1747"/>
        <n v="1750"/>
        <n v="1751"/>
        <n v="1753"/>
        <n v="1754"/>
        <n v="1755"/>
        <n v="1756"/>
        <n v="1757"/>
        <n v="1758"/>
        <n v="1759"/>
        <n v="1760"/>
        <n v="1761"/>
        <n v="1762"/>
        <n v="1763"/>
        <n v="1764"/>
        <n v="1765"/>
        <n v="1766"/>
        <n v="1767"/>
        <n v="1768"/>
        <n v="1770"/>
        <n v="1771"/>
        <n v="1772"/>
        <n v="1773"/>
        <n v="1774"/>
        <n v="1775"/>
        <n v="1776"/>
        <n v="1777"/>
        <n v="1778"/>
        <n v="1779"/>
        <n v="1781"/>
        <n v="1782"/>
        <n v="1783"/>
        <n v="1784"/>
        <n v="1785"/>
        <n v="1786"/>
        <n v="1787"/>
        <n v="1788"/>
        <n v="1789"/>
        <n v="1790"/>
        <n v="1791"/>
        <n v="1792"/>
        <n v="1793"/>
        <n v="1794"/>
        <n v="1795"/>
        <n v="1796"/>
        <n v="1799"/>
        <n v="1800"/>
        <n v="1801"/>
        <n v="1802"/>
        <n v="1803"/>
        <n v="1804"/>
        <n v="1805"/>
        <n v="1806"/>
        <n v="1808"/>
        <n v="1811"/>
        <n v="1812"/>
        <n v="1813"/>
        <n v="1814"/>
        <n v="1816"/>
        <n v="1817"/>
        <n v="1818"/>
        <n v="1819"/>
        <n v="1820"/>
        <n v="1821"/>
        <n v="1822"/>
        <n v="1823"/>
        <n v="1824"/>
        <n v="1826"/>
        <n v="1827"/>
        <n v="1828"/>
        <n v="1829"/>
        <n v="1830"/>
        <n v="1831"/>
        <n v="1832"/>
        <n v="1833"/>
        <n v="1834"/>
        <n v="1836"/>
        <n v="1837"/>
        <n v="1838"/>
        <n v="1839"/>
        <n v="1840"/>
        <n v="1841"/>
        <n v="1842"/>
        <n v="1843"/>
        <n v="1844"/>
        <n v="1845"/>
        <n v="1846"/>
        <n v="1847"/>
        <n v="1848"/>
        <n v="1850"/>
        <n v="1851"/>
        <n v="1852"/>
        <n v="1853"/>
        <n v="1854"/>
        <n v="1855"/>
        <n v="1856"/>
        <n v="1857"/>
        <n v="1858"/>
        <n v="1859"/>
        <n v="1861"/>
        <n v="1862"/>
        <n v="1863"/>
        <n v="1865"/>
        <n v="1866"/>
        <n v="1867"/>
        <n v="1868"/>
        <n v="1869"/>
        <n v="1870"/>
        <n v="1871"/>
        <n v="1872"/>
        <n v="1873"/>
        <n v="1874"/>
        <n v="1875"/>
        <n v="1876"/>
        <n v="1877"/>
        <n v="1878"/>
        <n v="1879"/>
        <n v="1880"/>
        <n v="1882"/>
        <n v="1883"/>
        <n v="1884"/>
        <n v="1885"/>
        <n v="1887"/>
        <n v="1888"/>
        <n v="1889"/>
        <n v="1890"/>
        <n v="1891"/>
        <n v="1892"/>
        <n v="1893"/>
        <n v="1894"/>
        <n v="1895"/>
        <n v="1896"/>
        <n v="1897"/>
        <n v="1899"/>
        <n v="1903"/>
        <n v="1904"/>
        <n v="1905"/>
        <n v="1906"/>
        <n v="1907"/>
        <n v="1908"/>
        <n v="1909"/>
        <n v="1910"/>
        <n v="1911"/>
        <n v="1912"/>
        <n v="1913"/>
        <n v="1914"/>
        <n v="1916"/>
        <n v="1917"/>
        <n v="1919"/>
        <n v="1920"/>
        <n v="1921"/>
        <n v="1922"/>
        <n v="1923"/>
        <n v="1924"/>
        <n v="1925"/>
        <n v="1926"/>
        <n v="1927"/>
        <n v="1929"/>
        <n v="1933"/>
        <n v="1934"/>
        <n v="1936"/>
        <n v="1937"/>
        <n v="1938"/>
        <n v="1939"/>
        <n v="1940"/>
        <n v="1942"/>
        <n v="1943"/>
        <n v="1947"/>
        <n v="1948"/>
        <n v="1949"/>
        <n v="1952"/>
        <n v="1953"/>
        <n v="1954"/>
        <n v="1955"/>
        <n v="1956"/>
        <n v="1957"/>
        <n v="1958"/>
        <n v="1959"/>
        <n v="1960"/>
        <n v="1961"/>
        <n v="1963"/>
        <n v="1964"/>
        <n v="1965"/>
        <n v="1966"/>
        <n v="1967"/>
        <n v="1969"/>
        <n v="1970"/>
        <n v="1971"/>
        <n v="1972"/>
        <n v="1973"/>
        <n v="1974"/>
        <n v="1975"/>
        <n v="1976"/>
        <n v="1977"/>
        <n v="1978"/>
        <n v="1979"/>
        <n v="1980"/>
        <n v="1981"/>
        <n v="1982"/>
        <n v="1986"/>
        <n v="1988"/>
        <n v="1989"/>
        <n v="1992"/>
        <n v="1993"/>
        <n v="1994"/>
        <n v="2000"/>
        <n v="2001"/>
        <n v="2002"/>
        <n v="2004"/>
        <n v="2005"/>
        <n v="2006"/>
        <n v="2007"/>
        <n v="2008"/>
        <n v="2009"/>
        <n v="2010"/>
        <n v="2012"/>
        <n v="2014"/>
        <n v="2015"/>
        <n v="2020"/>
        <n v="2021"/>
        <n v="2022"/>
        <n v="2025"/>
        <n v="2026"/>
        <n v="2027"/>
        <n v="2028"/>
        <n v="2030"/>
        <n v="2031"/>
        <n v="2035"/>
        <n v="2036"/>
        <n v="2037"/>
        <n v="2038"/>
        <n v="2039"/>
        <n v="2040"/>
        <n v="2041"/>
        <n v="2042"/>
        <n v="2045"/>
        <n v="2046"/>
        <n v="2050"/>
        <n v="2051"/>
        <n v="2052"/>
        <n v="2053"/>
        <n v="2054"/>
        <n v="2055"/>
        <n v="2056"/>
        <n v="2057"/>
        <n v="2058"/>
        <n v="2061"/>
        <n v="2062"/>
        <n v="2065"/>
        <n v="2066"/>
        <n v="2067"/>
        <n v="2068"/>
        <n v="2069"/>
        <n v="2071"/>
        <n v="2072"/>
        <n v="2074"/>
        <n v="2075"/>
        <n v="2076"/>
        <n v="2077"/>
        <n v="2078"/>
        <n v="2080"/>
        <n v="2081"/>
        <n v="2082"/>
        <n v="2084"/>
        <n v="2085"/>
        <n v="2086"/>
        <n v="2087"/>
        <n v="2088"/>
        <n v="2089"/>
        <n v="2090"/>
        <n v="2092"/>
        <n v="2093"/>
        <n v="2095"/>
        <n v="2096"/>
        <n v="2098"/>
        <n v="2099"/>
        <n v="2101"/>
        <n v="2104"/>
        <n v="2107"/>
        <n v="2108"/>
        <n v="2109"/>
        <n v="2112"/>
        <n v="2114"/>
        <n v="2115"/>
        <n v="2118"/>
        <n v="2120"/>
        <n v="2121"/>
        <n v="2122"/>
        <n v="2123"/>
        <n v="2124"/>
        <n v="2126"/>
        <n v="2127"/>
        <n v="2128"/>
        <n v="2129"/>
        <n v="2130"/>
        <n v="2132"/>
        <n v="2133"/>
        <n v="2134"/>
        <n v="2135"/>
        <n v="2136"/>
        <n v="2137"/>
        <n v="2138"/>
        <n v="2139"/>
        <n v="2140"/>
        <n v="2141"/>
        <n v="2142"/>
        <n v="2143"/>
        <n v="2144"/>
        <n v="2146"/>
        <n v="2147"/>
        <n v="2149"/>
        <n v="2152"/>
        <n v="2153"/>
        <n v="2154"/>
        <n v="2155"/>
        <n v="2157"/>
        <n v="2158"/>
        <n v="2159"/>
        <n v="2160"/>
        <n v="2161"/>
        <n v="2163"/>
        <n v="2164"/>
        <n v="2165"/>
        <n v="2166"/>
        <n v="2167"/>
        <n v="2168"/>
        <n v="2170"/>
        <n v="2171"/>
        <n v="2173"/>
        <n v="2174"/>
        <n v="2175"/>
        <n v="2176"/>
        <n v="2177"/>
        <n v="2178"/>
        <n v="2179"/>
        <n v="2181"/>
        <n v="2182"/>
        <n v="2183"/>
        <n v="2184"/>
        <n v="2186"/>
        <n v="2187"/>
        <n v="2189"/>
        <n v="2190"/>
        <n v="2191"/>
        <n v="2195"/>
        <n v="2196"/>
        <n v="2197"/>
        <n v="2198"/>
        <n v="2200"/>
        <n v="2201"/>
        <n v="2203"/>
        <n v="2205"/>
        <n v="2206"/>
        <n v="2207"/>
        <n v="2208"/>
        <n v="2211"/>
        <n v="2212"/>
        <n v="2214"/>
        <n v="2218"/>
        <n v="2220"/>
        <n v="2221"/>
        <n v="2222"/>
        <n v="2223"/>
        <n v="2227"/>
        <n v="2228"/>
        <n v="2229"/>
        <n v="2230"/>
        <n v="2231"/>
        <n v="2232"/>
        <n v="2233"/>
        <n v="2234"/>
        <n v="2237"/>
        <n v="2238"/>
        <n v="2239"/>
        <n v="2240"/>
        <n v="2241"/>
        <n v="2242"/>
        <n v="2245"/>
        <n v="2246"/>
        <n v="2247"/>
        <n v="2248"/>
        <n v="2249"/>
        <n v="2251"/>
        <n v="2252"/>
        <n v="2253"/>
        <n v="2254"/>
        <n v="2255"/>
        <n v="2257"/>
        <n v="2259"/>
        <n v="2262"/>
        <n v="2264"/>
        <n v="2265"/>
        <n v="2266"/>
        <n v="2267"/>
        <n v="2270"/>
        <n v="2271"/>
        <n v="2272"/>
        <n v="2273"/>
        <n v="2274"/>
        <n v="2275"/>
        <n v="2276"/>
        <n v="2277"/>
        <n v="2279"/>
        <n v="2280"/>
        <n v="2281"/>
        <n v="2283"/>
        <n v="2284"/>
        <n v="2285"/>
        <n v="2287"/>
        <n v="2289"/>
        <n v="2290"/>
        <n v="2293"/>
        <n v="2294"/>
        <n v="2295"/>
        <n v="2296"/>
        <n v="2297"/>
        <n v="2299"/>
        <n v="2300"/>
        <n v="2301"/>
        <n v="2302"/>
        <n v="2304"/>
        <n v="2305"/>
        <n v="2306"/>
        <n v="2307"/>
        <n v="2308"/>
        <n v="2313"/>
        <n v="2314"/>
        <n v="2316"/>
        <n v="2317"/>
        <n v="2319"/>
        <n v="2320"/>
        <n v="2321"/>
        <n v="2323"/>
        <n v="2327"/>
        <n v="2328"/>
        <n v="2330"/>
        <n v="2331"/>
        <n v="2332"/>
        <n v="2333"/>
        <n v="2334"/>
        <n v="2335"/>
        <n v="2336"/>
        <n v="2339"/>
        <n v="2341"/>
        <n v="2342"/>
        <n v="2343"/>
        <n v="2344"/>
        <n v="2345"/>
        <n v="2346"/>
        <n v="2348"/>
        <n v="2349"/>
        <n v="2350"/>
        <n v="2352"/>
        <n v="2353"/>
        <n v="2354"/>
        <n v="2355"/>
        <n v="2356"/>
        <n v="2357"/>
        <n v="2359"/>
        <n v="2360"/>
        <n v="2362"/>
        <n v="2364"/>
        <n v="2365"/>
        <n v="2366"/>
        <n v="2368"/>
        <n v="2370"/>
        <n v="2371"/>
        <n v="2372"/>
        <n v="2373"/>
        <n v="2374"/>
        <n v="2376"/>
        <n v="2377"/>
        <n v="2378"/>
        <n v="2379"/>
        <n v="2380"/>
        <n v="2381"/>
        <n v="2384"/>
        <n v="2385"/>
        <n v="2386"/>
        <n v="2387"/>
        <n v="2389"/>
        <n v="2391"/>
        <n v="2393"/>
        <n v="2395"/>
        <n v="2397"/>
        <n v="2399"/>
        <n v="2400"/>
        <n v="2404"/>
        <n v="2405"/>
        <n v="2406"/>
        <n v="2407"/>
        <n v="2408"/>
        <n v="2409"/>
        <n v="2411"/>
        <n v="2413"/>
        <n v="2414"/>
        <n v="2415"/>
        <n v="2416"/>
        <n v="2417"/>
        <n v="2418"/>
        <n v="2419"/>
        <n v="2422"/>
        <n v="2424"/>
        <n v="2429"/>
        <n v="2430"/>
        <n v="2432"/>
        <n v="2433"/>
        <n v="2434"/>
        <n v="2436"/>
        <n v="2437"/>
        <n v="2438"/>
        <n v="2439"/>
        <n v="2440"/>
        <n v="2441"/>
        <n v="2442"/>
        <n v="2443"/>
        <n v="2445"/>
        <n v="2446"/>
        <n v="2447"/>
        <n v="2448"/>
        <n v="2449"/>
        <n v="2452"/>
        <n v="2453"/>
        <n v="2454"/>
        <n v="2455"/>
        <n v="2456"/>
        <n v="2457"/>
        <n v="2458"/>
        <n v="2459"/>
        <n v="2460"/>
        <n v="2461"/>
        <n v="2464"/>
        <n v="2466"/>
        <n v="2467"/>
        <n v="2469"/>
        <n v="2470"/>
        <n v="2471"/>
        <n v="2473"/>
        <n v="2478"/>
        <n v="2479"/>
        <n v="2480"/>
        <n v="2481"/>
        <n v="2483"/>
        <n v="2484"/>
        <n v="2485"/>
        <n v="2487"/>
        <n v="2488"/>
        <n v="2489"/>
        <n v="2490"/>
        <n v="2493"/>
        <n v="2496"/>
        <n v="2497"/>
        <n v="2499"/>
        <n v="2500"/>
        <n v="2501"/>
        <n v="2502"/>
        <n v="2506"/>
        <n v="2507"/>
        <n v="2510"/>
        <n v="2511"/>
        <n v="2512"/>
        <n v="2513"/>
        <n v="2514"/>
        <n v="2516"/>
        <n v="2518"/>
        <n v="2519"/>
        <n v="2520"/>
        <n v="2521"/>
        <n v="2522"/>
        <n v="2523"/>
        <n v="2524"/>
        <n v="2525"/>
        <n v="2531"/>
        <n v="2532"/>
        <n v="2536"/>
        <n v="2537"/>
        <n v="2539"/>
        <n v="2540"/>
        <n v="2541"/>
        <n v="2542"/>
        <n v="2543"/>
        <n v="2544"/>
        <n v="2545"/>
        <n v="2547"/>
        <n v="2548"/>
        <n v="2550"/>
        <n v="2551"/>
        <n v="2552"/>
        <n v="2553"/>
        <n v="2554"/>
        <n v="2555"/>
        <n v="2557"/>
        <n v="2559"/>
        <n v="2560"/>
        <n v="2561"/>
        <n v="2562"/>
        <n v="2565"/>
        <n v="2566"/>
        <n v="2567"/>
        <n v="2569"/>
        <n v="2570"/>
        <n v="2571"/>
        <n v="2572"/>
        <n v="2577"/>
        <n v="2579"/>
        <n v="2581"/>
        <n v="2582"/>
        <n v="2583"/>
        <n v="2584"/>
        <n v="2587"/>
        <n v="2588"/>
        <n v="2589"/>
        <n v="2590"/>
        <n v="2591"/>
        <n v="2593"/>
        <n v="2594"/>
        <n v="2595"/>
        <n v="2596"/>
        <n v="2597"/>
        <n v="2599"/>
        <n v="2600"/>
        <n v="2601"/>
        <n v="2604"/>
        <n v="2607"/>
        <n v="2608"/>
        <n v="2609"/>
        <n v="2611"/>
        <n v="2612"/>
        <n v="2613"/>
        <n v="2615"/>
        <n v="2616"/>
        <n v="2617"/>
        <n v="2620"/>
        <n v="2622"/>
        <n v="2623"/>
        <n v="2625"/>
        <n v="2626"/>
        <n v="2627"/>
        <n v="2629"/>
        <n v="2630"/>
        <n v="2631"/>
        <n v="2634"/>
        <n v="2635"/>
        <n v="2636"/>
        <n v="2637"/>
        <n v="2642"/>
        <n v="2644"/>
        <n v="2645"/>
        <n v="2646"/>
        <n v="2648"/>
        <n v="2649"/>
        <n v="2652"/>
        <n v="2653"/>
        <n v="2655"/>
        <n v="2656"/>
        <n v="2657"/>
        <n v="2658"/>
        <n v="2659"/>
        <n v="2660"/>
        <n v="2662"/>
        <n v="2664"/>
        <n v="2665"/>
        <n v="2666"/>
        <n v="2667"/>
        <n v="2668"/>
        <n v="2669"/>
        <n v="2670"/>
        <n v="2672"/>
        <n v="2675"/>
        <n v="2678"/>
        <n v="2679"/>
        <n v="2680"/>
        <n v="2682"/>
        <n v="2683"/>
        <n v="2684"/>
        <n v="2685"/>
        <n v="2686"/>
        <n v="2687"/>
        <n v="2688"/>
        <n v="2689"/>
        <n v="2690"/>
        <n v="2692"/>
        <n v="2694"/>
        <n v="2695"/>
        <n v="2698"/>
        <n v="2699"/>
        <n v="2701"/>
        <n v="2702"/>
        <n v="2703"/>
        <n v="2704"/>
        <n v="2705"/>
        <n v="2706"/>
        <n v="2707"/>
        <n v="2708"/>
        <n v="2709"/>
        <n v="2710"/>
        <n v="2711"/>
        <n v="2712"/>
        <n v="2713"/>
        <n v="2715"/>
        <n v="2716"/>
        <n v="2717"/>
        <n v="2718"/>
        <n v="2719"/>
        <n v="2721"/>
        <n v="2722"/>
        <n v="2723"/>
        <n v="2724"/>
        <n v="2726"/>
        <n v="2728"/>
        <n v="2729"/>
        <n v="2730"/>
        <n v="2732"/>
        <n v="2733"/>
        <n v="2735"/>
        <n v="2737"/>
        <n v="2738"/>
        <n v="2739"/>
        <n v="2742"/>
        <n v="2744"/>
        <n v="2746"/>
        <n v="2750"/>
        <n v="2751"/>
        <n v="2752"/>
        <n v="2753"/>
        <n v="2754"/>
        <n v="2756"/>
        <n v="2758"/>
        <n v="2759"/>
        <n v="2760"/>
        <n v="2761"/>
        <n v="2762"/>
        <n v="2763"/>
        <n v="2764"/>
        <n v="2766"/>
        <n v="2767"/>
        <n v="2768"/>
        <n v="2771"/>
        <n v="2772"/>
        <n v="2776"/>
        <n v="2777"/>
        <n v="2778"/>
        <n v="2779"/>
        <n v="2780"/>
        <n v="2781"/>
        <n v="2782"/>
        <n v="2784"/>
        <n v="2785"/>
        <n v="2786"/>
        <n v="2787"/>
        <n v="2788"/>
        <n v="2791"/>
        <n v="2793"/>
        <n v="2797"/>
        <n v="2799"/>
        <n v="2800"/>
        <n v="2801"/>
        <n v="2803"/>
        <n v="2804"/>
        <n v="2805"/>
        <n v="2806"/>
        <n v="2808"/>
        <n v="2809"/>
        <n v="2810"/>
        <n v="2811"/>
        <n v="2814"/>
        <n v="2815"/>
        <n v="2816"/>
        <n v="2817"/>
        <n v="2818"/>
        <n v="2819"/>
        <n v="2820"/>
        <n v="2821"/>
        <n v="2826"/>
        <n v="2828"/>
        <n v="2830"/>
        <n v="2831"/>
        <n v="2832"/>
        <n v="2833"/>
        <n v="2834"/>
        <n v="2835"/>
        <n v="2836"/>
        <n v="2837"/>
        <n v="2838"/>
        <n v="2839"/>
        <n v="2840"/>
        <n v="2841"/>
        <n v="2843"/>
        <n v="2847"/>
        <n v="2850"/>
        <n v="2851"/>
        <n v="2852"/>
        <n v="2853"/>
        <n v="2854"/>
        <n v="2855"/>
        <n v="2860"/>
        <n v="2863"/>
        <n v="2868"/>
        <n v="2869"/>
        <n v="2870"/>
        <n v="2876"/>
        <n v="2877"/>
        <n v="2878"/>
        <n v="2879"/>
        <n v="2880"/>
        <n v="2882"/>
        <n v="2883"/>
        <n v="2884"/>
        <n v="2885"/>
        <n v="2887"/>
        <n v="2890"/>
        <n v="2892"/>
        <n v="2895"/>
        <n v="2896"/>
        <n v="2899"/>
        <n v="2900"/>
        <n v="2901"/>
        <n v="2902"/>
        <n v="2903"/>
        <n v="2904"/>
        <n v="2905"/>
        <n v="2907"/>
        <n v="2908"/>
        <n v="2909"/>
        <n v="2910"/>
        <n v="2911"/>
        <n v="2912"/>
        <n v="2913"/>
        <n v="2915"/>
        <n v="2916"/>
        <n v="2918"/>
        <n v="2920"/>
        <n v="2921"/>
        <n v="2922"/>
        <n v="2925"/>
        <n v="2927"/>
        <n v="2930"/>
        <n v="2931"/>
        <n v="2933"/>
        <n v="2934"/>
        <n v="2935"/>
        <n v="2936"/>
        <n v="2938"/>
        <n v="2939"/>
        <n v="2940"/>
        <n v="2942"/>
        <n v="2943"/>
        <n v="2944"/>
        <n v="2945"/>
        <n v="2946"/>
        <n v="2948"/>
        <n v="2949"/>
        <n v="2950"/>
        <n v="2953"/>
        <n v="2954"/>
        <n v="2955"/>
        <n v="2956"/>
        <n v="2957"/>
        <n v="2958"/>
        <n v="2959"/>
        <n v="2960"/>
        <n v="2961"/>
        <n v="2962"/>
        <n v="2964"/>
        <n v="2965"/>
        <n v="2966"/>
        <n v="2967"/>
        <n v="2968"/>
        <n v="2970"/>
        <n v="2971"/>
        <n v="2973"/>
        <n v="2974"/>
        <n v="2975"/>
        <n v="2976"/>
        <n v="2978"/>
        <n v="2979"/>
        <n v="2980"/>
        <n v="2982"/>
        <n v="2983"/>
        <n v="2984"/>
        <n v="2986"/>
        <n v="2990"/>
        <n v="2991"/>
        <n v="2993"/>
        <n v="2995"/>
        <n v="2996"/>
        <n v="2997"/>
        <n v="2998"/>
        <n v="2999"/>
        <n v="3000"/>
        <n v="3001"/>
        <n v="3003"/>
        <n v="3004"/>
        <n v="3005"/>
        <n v="3008"/>
        <n v="3013"/>
        <n v="3014"/>
        <n v="3016"/>
        <n v="3017"/>
        <n v="3018"/>
        <n v="3020"/>
        <n v="3021"/>
        <n v="3022"/>
        <n v="3023"/>
        <n v="3024"/>
        <n v="3027"/>
        <n v="3028"/>
        <n v="3029"/>
        <n v="3030"/>
        <n v="3031"/>
        <n v="3032"/>
        <n v="3034"/>
        <n v="3035"/>
        <n v="3036"/>
        <n v="3037"/>
        <n v="3038"/>
        <n v="3039"/>
        <n v="3041"/>
        <n v="3042"/>
        <n v="3043"/>
        <n v="3044"/>
        <n v="3045"/>
        <n v="3047"/>
        <n v="3050"/>
        <n v="3051"/>
        <n v="3055"/>
        <n v="3056"/>
        <n v="3057"/>
        <n v="3058"/>
        <n v="3060"/>
        <n v="3061"/>
        <n v="3062"/>
        <n v="3066"/>
        <n v="3067"/>
        <n v="3068"/>
        <n v="3073"/>
        <n v="3074"/>
        <n v="3076"/>
        <n v="3077"/>
        <n v="3080"/>
        <n v="3081"/>
        <n v="3082"/>
        <n v="3083"/>
        <n v="3086"/>
        <n v="3087"/>
        <n v="3088"/>
        <n v="3089"/>
        <n v="3090"/>
        <n v="3091"/>
        <n v="3093"/>
        <n v="3094"/>
        <n v="3097"/>
        <n v="3098"/>
        <n v="3100"/>
        <n v="3101"/>
        <n v="3102"/>
        <n v="3103"/>
        <n v="3105"/>
        <n v="3106"/>
        <n v="3107"/>
        <n v="3109"/>
        <n v="3110"/>
        <n v="3112"/>
        <n v="3113"/>
        <n v="3115"/>
        <n v="3116"/>
        <n v="3118"/>
        <n v="3121"/>
        <n v="3122"/>
        <n v="3126"/>
        <n v="3128"/>
        <n v="3131"/>
        <n v="3133"/>
        <n v="3134"/>
        <n v="3135"/>
        <n v="3136"/>
        <n v="3137"/>
        <n v="3139"/>
        <n v="3140"/>
        <n v="3141"/>
        <n v="3142"/>
        <n v="3143"/>
        <n v="3144"/>
        <n v="3145"/>
        <n v="3147"/>
        <n v="3148"/>
        <n v="3149"/>
        <n v="3150"/>
        <n v="3151"/>
        <n v="3153"/>
        <n v="3154"/>
        <n v="3155"/>
        <n v="3156"/>
        <n v="3157"/>
        <n v="3158"/>
        <n v="3159"/>
        <n v="3160"/>
        <n v="3161"/>
        <n v="3162"/>
        <n v="3163"/>
        <n v="3164"/>
        <n v="3165"/>
        <n v="3166"/>
        <n v="3167"/>
        <n v="3168"/>
        <n v="3170"/>
        <n v="3171"/>
        <n v="3173"/>
        <n v="3174"/>
        <n v="3175"/>
        <n v="3177"/>
        <n v="3178"/>
        <n v="3179"/>
        <n v="3180"/>
        <n v="3181"/>
        <n v="3182"/>
        <n v="3183"/>
        <n v="3184"/>
        <n v="3186"/>
        <n v="3187"/>
        <n v="3190"/>
        <n v="3191"/>
        <n v="3195"/>
        <n v="3197"/>
        <n v="3199"/>
        <n v="3200"/>
        <n v="3202"/>
        <n v="3203"/>
        <n v="3204"/>
        <n v="3206"/>
        <n v="3207"/>
        <n v="3210"/>
        <n v="3211"/>
        <n v="3212"/>
        <n v="3213"/>
        <n v="3214"/>
        <n v="3216"/>
        <n v="3218"/>
        <n v="3219"/>
        <n v="3221"/>
        <n v="3223"/>
        <n v="3224"/>
        <n v="3225"/>
        <n v="3226"/>
        <n v="3227"/>
        <n v="3228"/>
        <n v="3229"/>
        <n v="3230"/>
        <n v="3232"/>
        <n v="3233"/>
        <n v="3234"/>
        <n v="3236"/>
        <n v="3237"/>
        <n v="3241"/>
        <n v="3242"/>
        <n v="3243"/>
        <n v="3244"/>
        <n v="3245"/>
        <n v="3247"/>
        <n v="3248"/>
        <n v="3249"/>
        <n v="3252"/>
        <n v="3253"/>
        <n v="3256"/>
        <n v="3258"/>
        <n v="3259"/>
        <n v="3260"/>
        <n v="3263"/>
        <n v="3264"/>
        <n v="3266"/>
        <n v="3268"/>
        <n v="3269"/>
        <n v="3275"/>
        <n v="3276"/>
        <n v="3278"/>
        <n v="3279"/>
        <n v="3280"/>
        <n v="3281"/>
        <n v="3283"/>
        <n v="3286"/>
        <n v="3287"/>
        <n v="3290"/>
        <n v="3294"/>
        <n v="3295"/>
        <n v="3296"/>
        <n v="3297"/>
        <n v="3298"/>
        <n v="3300"/>
        <n v="3301"/>
        <n v="3302"/>
        <n v="3303"/>
        <n v="3304"/>
        <n v="3305"/>
        <n v="3307"/>
        <n v="3308"/>
        <n v="3311"/>
        <n v="3312"/>
        <n v="3315"/>
        <n v="3316"/>
        <n v="3317"/>
        <n v="3319"/>
        <n v="3320"/>
        <n v="3321"/>
        <n v="3322"/>
        <n v="3323"/>
        <n v="3324"/>
        <n v="3326"/>
        <n v="3327"/>
        <n v="3328"/>
        <n v="3329"/>
        <n v="3330"/>
        <n v="3331"/>
        <n v="3332"/>
        <n v="3333"/>
        <n v="3337"/>
        <n v="3338"/>
        <n v="3339"/>
        <n v="3340"/>
        <n v="3343"/>
        <n v="3344"/>
        <n v="3345"/>
        <n v="3346"/>
        <n v="3349"/>
        <n v="3350"/>
        <n v="3351"/>
        <n v="3352"/>
        <n v="3354"/>
        <n v="3355"/>
        <n v="3356"/>
        <n v="3357"/>
        <n v="3359"/>
        <n v="3361"/>
        <n v="3362"/>
        <n v="3363"/>
        <n v="3365"/>
        <n v="3366"/>
        <n v="3367"/>
        <n v="3368"/>
        <n v="3369"/>
        <n v="3371"/>
        <n v="3373"/>
        <n v="3375"/>
        <n v="3378"/>
        <n v="3379"/>
        <n v="3380"/>
        <n v="3381"/>
        <n v="3382"/>
        <n v="3387"/>
        <n v="3388"/>
        <n v="3390"/>
        <n v="3395"/>
        <n v="3396"/>
        <n v="3397"/>
        <n v="3398"/>
        <n v="3403"/>
        <n v="3404"/>
        <n v="3405"/>
        <n v="3406"/>
        <n v="3407"/>
        <n v="3408"/>
        <n v="3410"/>
        <n v="3411"/>
        <n v="3414"/>
        <n v="3415"/>
        <n v="3416"/>
        <n v="3417"/>
        <n v="3420"/>
        <n v="3421"/>
        <n v="3423"/>
        <n v="3424"/>
        <n v="3425"/>
        <n v="3426"/>
        <n v="3428"/>
        <n v="3429"/>
        <n v="3430"/>
        <n v="3431"/>
        <n v="3432"/>
        <n v="3434"/>
        <n v="3436"/>
        <n v="3437"/>
        <n v="3440"/>
        <n v="3441"/>
        <n v="3442"/>
        <n v="3443"/>
        <n v="3444"/>
        <n v="3445"/>
        <n v="3446"/>
        <n v="3449"/>
        <n v="3450"/>
        <n v="3451"/>
        <n v="3452"/>
        <n v="3453"/>
        <n v="3454"/>
        <n v="3457"/>
        <n v="3458"/>
        <n v="3459"/>
        <n v="3460"/>
        <n v="3461"/>
        <n v="3462"/>
        <n v="3464"/>
        <n v="3465"/>
        <n v="3466"/>
        <n v="3467"/>
        <n v="3470"/>
        <n v="3471"/>
        <n v="3472"/>
        <n v="3473"/>
        <n v="3474"/>
        <n v="3477"/>
        <n v="3482"/>
        <n v="3484"/>
        <n v="3488"/>
        <n v="3490"/>
        <n v="3491"/>
        <n v="3492"/>
        <n v="3494"/>
        <n v="3496"/>
        <n v="3498"/>
        <n v="3499"/>
        <n v="3501"/>
        <n v="3502"/>
        <n v="3503"/>
        <n v="3504"/>
        <n v="3506"/>
        <n v="3507"/>
        <n v="3510"/>
        <n v="3511"/>
        <n v="3512"/>
        <n v="3513"/>
        <n v="3514"/>
        <n v="3515"/>
        <n v="3517"/>
        <n v="3518"/>
        <n v="3520"/>
        <n v="3521"/>
        <n v="3522"/>
        <n v="3524"/>
        <n v="3525"/>
        <n v="3526"/>
        <n v="3528"/>
        <n v="3529"/>
        <n v="3531"/>
        <n v="3532"/>
        <n v="3533"/>
        <n v="3534"/>
        <n v="3540"/>
        <n v="3541"/>
        <n v="3542"/>
        <n v="3547"/>
        <n v="3548"/>
        <n v="3549"/>
        <n v="3551"/>
        <n v="3555"/>
        <n v="3557"/>
        <n v="3558"/>
        <n v="3561"/>
        <n v="3563"/>
        <n v="3564"/>
        <n v="3566"/>
        <n v="3568"/>
        <n v="3569"/>
        <n v="3570"/>
        <n v="3571"/>
        <n v="3574"/>
        <n v="3576"/>
        <n v="3579"/>
        <n v="3580"/>
        <n v="3581"/>
        <n v="3582"/>
        <n v="3587"/>
        <n v="3588"/>
        <n v="3590"/>
        <n v="3592"/>
        <n v="3593"/>
        <n v="3594"/>
        <n v="3596"/>
        <n v="3598"/>
        <n v="3599"/>
        <n v="3601"/>
        <n v="3603"/>
        <n v="3604"/>
        <n v="3608"/>
        <n v="3609"/>
        <n v="3610"/>
        <n v="3611"/>
        <n v="3613"/>
        <n v="3617"/>
        <n v="3620"/>
        <n v="3622"/>
        <n v="3623"/>
        <n v="3625"/>
        <n v="3626"/>
        <n v="3627"/>
        <n v="3628"/>
        <n v="3631"/>
        <n v="3632"/>
        <n v="3633"/>
        <n v="3636"/>
        <n v="3637"/>
        <n v="3638"/>
        <n v="3641"/>
        <n v="3643"/>
        <n v="3644"/>
        <n v="3646"/>
        <n v="3647"/>
        <n v="3648"/>
        <n v="3650"/>
        <n v="3654"/>
        <n v="3655"/>
        <n v="3658"/>
        <n v="3659"/>
        <n v="3660"/>
        <n v="3661"/>
        <n v="3663"/>
        <n v="3664"/>
        <n v="3665"/>
        <n v="3667"/>
        <n v="3668"/>
        <n v="3669"/>
        <n v="3670"/>
        <n v="3671"/>
        <n v="3680"/>
        <n v="3681"/>
        <n v="3682"/>
        <n v="3683"/>
        <n v="3684"/>
        <n v="3685"/>
        <n v="3692"/>
        <n v="3693"/>
        <n v="3695"/>
        <n v="3698"/>
        <n v="3699"/>
        <n v="3701"/>
        <n v="3703"/>
        <n v="3704"/>
        <n v="3709"/>
        <n v="3710"/>
        <n v="3711"/>
        <n v="3713"/>
        <n v="3714"/>
        <n v="3715"/>
        <n v="3717"/>
        <n v="3718"/>
        <n v="3719"/>
        <n v="3720"/>
        <n v="3721"/>
        <n v="3724"/>
        <n v="3725"/>
        <n v="3727"/>
        <n v="3728"/>
        <n v="3730"/>
        <n v="3731"/>
        <n v="3732"/>
        <n v="3735"/>
        <n v="3736"/>
        <n v="3740"/>
        <n v="3741"/>
        <n v="3746"/>
        <n v="3748"/>
        <n v="3750"/>
        <n v="3751"/>
        <n v="3756"/>
        <n v="3758"/>
        <n v="3759"/>
        <n v="3760"/>
        <n v="3761"/>
        <n v="3762"/>
        <n v="3767"/>
        <n v="3769"/>
        <n v="3770"/>
        <n v="3772"/>
        <n v="3773"/>
        <n v="3774"/>
        <n v="3778"/>
        <n v="3779"/>
        <n v="3781"/>
        <n v="3783"/>
        <n v="3784"/>
        <n v="3787"/>
        <n v="3789"/>
        <n v="3790"/>
        <n v="3792"/>
        <n v="3795"/>
        <n v="3797"/>
        <n v="3798"/>
        <n v="3799"/>
        <n v="3801"/>
        <n v="3803"/>
        <n v="3804"/>
        <n v="3805"/>
        <n v="3806"/>
        <n v="3807"/>
        <n v="3808"/>
        <n v="3809"/>
        <n v="3810"/>
        <n v="3814"/>
        <n v="3815"/>
        <n v="3818"/>
        <n v="3819"/>
        <n v="3825"/>
        <n v="3827"/>
        <n v="3828"/>
        <n v="3829"/>
        <n v="3830"/>
        <n v="3832"/>
        <n v="3833"/>
        <n v="3834"/>
        <n v="3835"/>
        <n v="3838"/>
        <n v="3839"/>
        <n v="3841"/>
        <n v="3845"/>
        <n v="3846"/>
        <n v="3848"/>
        <n v="3850"/>
        <n v="3853"/>
        <n v="3854"/>
        <n v="3855"/>
        <n v="3857"/>
        <n v="3858"/>
        <n v="3863"/>
        <n v="3864"/>
        <n v="3868"/>
        <n v="3870"/>
        <n v="3874"/>
        <n v="3875"/>
        <n v="3876"/>
        <n v="3878"/>
        <n v="3880"/>
        <n v="3881"/>
        <n v="3882"/>
        <n v="3885"/>
        <n v="3886"/>
        <n v="3887"/>
        <n v="3890"/>
        <n v="3891"/>
        <n v="3892"/>
        <n v="3893"/>
        <n v="3894"/>
        <n v="3895"/>
        <n v="3896"/>
        <n v="3897"/>
        <n v="3898"/>
        <n v="3899"/>
        <n v="3900"/>
        <n v="3903"/>
        <n v="3906"/>
        <n v="3908"/>
        <n v="3909"/>
        <n v="3910"/>
        <n v="3912"/>
        <n v="3913"/>
        <n v="3914"/>
        <n v="3915"/>
        <n v="3919"/>
        <n v="3921"/>
        <n v="3925"/>
        <n v="3927"/>
        <n v="3928"/>
        <n v="3930"/>
        <n v="3932"/>
        <n v="3933"/>
        <n v="3934"/>
        <n v="3936"/>
        <n v="3940"/>
        <n v="3942"/>
        <n v="3943"/>
        <n v="3944"/>
        <n v="3945"/>
        <n v="3946"/>
        <n v="3949"/>
        <n v="3951"/>
        <n v="3952"/>
        <n v="3953"/>
        <n v="3954"/>
        <n v="3955"/>
        <n v="3956"/>
        <n v="3957"/>
        <n v="3958"/>
        <n v="3959"/>
        <n v="3962"/>
        <n v="3963"/>
        <n v="3964"/>
        <n v="3965"/>
        <n v="3967"/>
        <n v="3969"/>
        <n v="3970"/>
        <n v="3971"/>
        <n v="3975"/>
        <n v="3978"/>
        <n v="3986"/>
        <n v="3992"/>
        <n v="3995"/>
        <n v="3996"/>
        <n v="4000"/>
        <n v="4003"/>
        <n v="4008"/>
        <n v="4009"/>
        <n v="4010"/>
        <n v="4014"/>
        <n v="4015"/>
        <n v="4017"/>
        <n v="4019"/>
        <n v="4020"/>
        <n v="4023"/>
        <n v="4024"/>
        <n v="4027"/>
        <n v="4031"/>
        <n v="4033"/>
        <n v="4036"/>
        <n v="4037"/>
        <n v="4038"/>
        <n v="4039"/>
        <n v="4040"/>
        <n v="4041"/>
        <n v="4044"/>
        <n v="4047"/>
        <n v="4049"/>
        <n v="4050"/>
        <n v="4051"/>
        <n v="4053"/>
        <n v="4054"/>
        <n v="4057"/>
        <n v="4061"/>
        <n v="4069"/>
        <n v="4070"/>
        <n v="4071"/>
        <n v="4073"/>
        <n v="4074"/>
        <n v="4076"/>
        <n v="4077"/>
        <n v="4079"/>
        <n v="4080"/>
        <n v="4082"/>
        <n v="4085"/>
        <n v="4088"/>
        <n v="4089"/>
        <n v="4091"/>
        <n v="4094"/>
        <n v="4097"/>
        <n v="4100"/>
        <n v="4101"/>
        <n v="4103"/>
        <n v="4104"/>
        <n v="4108"/>
        <n v="4109"/>
        <n v="4110"/>
        <n v="4111"/>
        <n v="4112"/>
        <n v="4113"/>
        <n v="4114"/>
        <n v="4115"/>
        <n v="4116"/>
        <n v="4119"/>
        <n v="4120"/>
        <n v="4122"/>
        <n v="4126"/>
        <n v="4128"/>
        <n v="4129"/>
        <n v="4130"/>
        <n v="4131"/>
        <n v="4133"/>
        <n v="4134"/>
        <n v="4135"/>
        <n v="4136"/>
        <n v="4137"/>
        <n v="4141"/>
        <n v="4143"/>
        <n v="4144"/>
        <n v="4145"/>
        <n v="4146"/>
        <n v="4147"/>
        <n v="4148"/>
        <n v="4149"/>
        <n v="4150"/>
        <n v="4152"/>
        <n v="4153"/>
        <n v="4154"/>
        <n v="4158"/>
        <n v="4160"/>
        <n v="4162"/>
        <n v="4166"/>
        <n v="4167"/>
        <n v="4168"/>
        <n v="4169"/>
        <n v="4170"/>
        <n v="4171"/>
        <n v="4172"/>
        <n v="4173"/>
        <n v="4174"/>
        <n v="4176"/>
        <n v="4177"/>
        <n v="4181"/>
        <n v="4183"/>
        <n v="4184"/>
        <n v="4185"/>
        <n v="4190"/>
        <n v="4191"/>
        <n v="4192"/>
        <n v="4194"/>
        <n v="4198"/>
        <n v="4201"/>
        <n v="4203"/>
        <n v="4205"/>
        <n v="4206"/>
        <n v="4208"/>
        <n v="4211"/>
        <n v="4212"/>
        <n v="4213"/>
        <n v="4214"/>
        <n v="4217"/>
        <n v="4218"/>
        <n v="4219"/>
        <n v="4220"/>
        <n v="4223"/>
        <n v="4226"/>
        <n v="4227"/>
        <n v="4228"/>
        <n v="4230"/>
        <n v="4232"/>
        <n v="4233"/>
        <n v="4237"/>
        <n v="4238"/>
        <n v="4239"/>
        <n v="4240"/>
        <n v="4241"/>
        <n v="4245"/>
        <n v="4246"/>
        <n v="4249"/>
        <n v="4252"/>
        <n v="4253"/>
        <n v="4254"/>
        <n v="4256"/>
        <n v="4258"/>
        <n v="4260"/>
        <n v="4261"/>
        <n v="4262"/>
        <n v="4263"/>
        <n v="4268"/>
        <n v="4269"/>
        <n v="4270"/>
        <n v="4272"/>
        <n v="4276"/>
        <n v="4278"/>
        <n v="4279"/>
        <n v="4282"/>
        <n v="4283"/>
        <n v="4284"/>
        <n v="4286"/>
        <n v="4287"/>
        <n v="4290"/>
        <n v="4293"/>
        <n v="4295"/>
        <n v="4296"/>
        <n v="4297"/>
        <n v="4299"/>
        <n v="4306"/>
        <n v="4310"/>
        <n v="4311"/>
        <n v="4314"/>
        <n v="4315"/>
        <n v="4320"/>
        <n v="4323"/>
        <n v="4324"/>
        <n v="4325"/>
        <n v="4326"/>
        <n v="4327"/>
        <n v="4329"/>
        <n v="4330"/>
        <n v="4336"/>
        <n v="4338"/>
        <n v="4340"/>
        <n v="4341"/>
        <n v="4344"/>
        <n v="4350"/>
        <n v="4351"/>
        <n v="4352"/>
        <n v="4355"/>
        <n v="4356"/>
        <n v="4359"/>
        <n v="4362"/>
        <n v="4364"/>
        <n v="4365"/>
        <n v="4366"/>
        <n v="4367"/>
        <n v="4369"/>
        <n v="4370"/>
        <n v="4371"/>
        <n v="4372"/>
        <n v="4374"/>
        <n v="4375"/>
        <n v="4377"/>
        <n v="4378"/>
        <n v="4380"/>
        <n v="4381"/>
        <n v="4383"/>
        <n v="4388"/>
        <n v="4391"/>
        <n v="4393"/>
        <n v="4395"/>
        <n v="4396"/>
        <n v="4399"/>
        <n v="4400"/>
        <n v="4402"/>
        <n v="4403"/>
        <n v="4406"/>
        <n v="4409"/>
        <n v="4411"/>
        <n v="4412"/>
        <n v="4413"/>
        <n v="4415"/>
        <n v="4416"/>
        <n v="4417"/>
        <n v="4418"/>
        <n v="4420"/>
        <n v="4422"/>
        <n v="4426"/>
        <n v="4430"/>
        <n v="4440"/>
        <n v="4441"/>
        <n v="4442"/>
        <n v="4446"/>
        <n v="4448"/>
        <n v="4450"/>
        <n v="4456"/>
        <n v="4457"/>
        <n v="4459"/>
        <n v="4460"/>
        <n v="4461"/>
        <n v="4463"/>
        <n v="4464"/>
        <n v="4465"/>
        <n v="4466"/>
        <n v="4468"/>
        <n v="4469"/>
        <n v="4470"/>
        <n v="4472"/>
        <n v="4475"/>
        <n v="4477"/>
        <n v="4478"/>
        <n v="4479"/>
        <n v="4480"/>
        <n v="4481"/>
        <n v="4482"/>
        <n v="4484"/>
        <n v="4487"/>
        <n v="4489"/>
        <n v="4490"/>
        <n v="4491"/>
        <n v="4495"/>
        <n v="4497"/>
        <n v="4498"/>
        <n v="4500"/>
        <n v="4501"/>
        <n v="4503"/>
        <n v="4504"/>
        <n v="4506"/>
        <n v="4508"/>
        <n v="4510"/>
        <n v="4511"/>
        <n v="4512"/>
        <n v="4514"/>
        <n v="4516"/>
        <n v="4518"/>
        <n v="4519"/>
        <n v="4521"/>
        <n v="4523"/>
        <n v="4524"/>
        <n v="4528"/>
        <n v="4531"/>
        <n v="4533"/>
        <n v="4536"/>
        <n v="4540"/>
        <n v="4542"/>
        <n v="4544"/>
        <n v="4545"/>
        <n v="4547"/>
        <n v="4548"/>
        <n v="4549"/>
        <n v="4550"/>
        <n v="4553"/>
        <n v="4554"/>
        <n v="4555"/>
        <n v="4556"/>
        <n v="4560"/>
        <n v="4561"/>
        <n v="4562"/>
        <n v="4567"/>
        <n v="4575"/>
        <n v="4580"/>
        <n v="4581"/>
        <n v="4582"/>
        <n v="4584"/>
        <n v="4586"/>
        <n v="4587"/>
        <n v="4589"/>
        <n v="4590"/>
        <n v="4591"/>
        <n v="4595"/>
        <n v="4596"/>
        <n v="4597"/>
        <n v="4598"/>
        <n v="4600"/>
        <n v="4601"/>
        <n v="4602"/>
        <n v="4605"/>
        <n v="4606"/>
        <n v="4607"/>
        <n v="4610"/>
        <n v="4611"/>
        <n v="4613"/>
        <n v="4614"/>
        <n v="4616"/>
        <n v="4618"/>
        <n v="4619"/>
        <n v="4620"/>
        <n v="4621"/>
        <n v="4626"/>
        <n v="4627"/>
        <n v="4631"/>
        <n v="4634"/>
        <n v="4635"/>
        <n v="4636"/>
        <n v="4639"/>
        <n v="4640"/>
        <n v="4641"/>
        <n v="4643"/>
        <n v="4645"/>
        <n v="4646"/>
        <n v="4648"/>
        <n v="4649"/>
        <n v="4656"/>
        <n v="4658"/>
        <n v="4659"/>
        <n v="4660"/>
        <n v="4661"/>
        <n v="4662"/>
        <n v="4664"/>
        <n v="4667"/>
        <n v="4670"/>
        <n v="4671"/>
        <n v="4676"/>
        <n v="4679"/>
        <n v="4684"/>
        <n v="4686"/>
        <n v="4690"/>
        <n v="4691"/>
        <n v="4692"/>
        <n v="4693"/>
        <n v="4696"/>
        <n v="4697"/>
        <n v="4699"/>
        <n v="4702"/>
        <n v="4705"/>
        <n v="4706"/>
        <n v="4708"/>
        <n v="4709"/>
        <n v="4713"/>
        <n v="4714"/>
        <n v="4716"/>
        <n v="4719"/>
        <n v="4720"/>
        <n v="4721"/>
        <n v="4722"/>
        <n v="4724"/>
        <n v="4730"/>
        <n v="4731"/>
        <n v="4732"/>
        <n v="4733"/>
        <n v="4735"/>
        <n v="4738"/>
        <n v="4740"/>
        <n v="4741"/>
        <n v="4742"/>
        <n v="4743"/>
        <n v="4746"/>
        <n v="4748"/>
        <n v="4751"/>
        <n v="4752"/>
        <n v="4753"/>
        <n v="4755"/>
        <n v="4756"/>
        <n v="4757"/>
        <n v="4758"/>
        <n v="4759"/>
        <n v="4762"/>
        <n v="4765"/>
        <n v="4768"/>
        <n v="4769"/>
        <n v="4770"/>
        <n v="4773"/>
        <n v="4777"/>
        <n v="4778"/>
        <n v="4779"/>
        <n v="4780"/>
        <n v="4783"/>
        <n v="4784"/>
        <n v="4786"/>
        <n v="4787"/>
        <n v="4788"/>
        <n v="4791"/>
        <n v="4792"/>
        <n v="4795"/>
        <n v="4799"/>
        <n v="4804"/>
        <n v="4806"/>
        <n v="4812"/>
        <n v="4815"/>
        <n v="4817"/>
        <n v="4818"/>
        <n v="4821"/>
        <n v="4823"/>
        <n v="4824"/>
        <n v="4826"/>
        <n v="4829"/>
        <n v="4831"/>
        <n v="4833"/>
        <n v="4834"/>
        <n v="4839"/>
        <n v="4840"/>
        <n v="4841"/>
        <n v="4842"/>
        <n v="4843"/>
        <n v="4844"/>
        <n v="4848"/>
        <n v="4850"/>
        <n v="4853"/>
        <n v="4856"/>
        <n v="4858"/>
        <n v="4860"/>
        <n v="4865"/>
        <n v="4866"/>
        <n v="4867"/>
        <n v="4871"/>
        <n v="4875"/>
        <n v="4877"/>
        <n v="4881"/>
        <n v="4887"/>
        <n v="4891"/>
        <n v="4893"/>
        <n v="4894"/>
        <n v="4898"/>
        <n v="4899"/>
        <n v="4900"/>
        <n v="4901"/>
        <n v="4903"/>
        <n v="4905"/>
        <n v="4906"/>
        <n v="4909"/>
        <n v="4918"/>
        <n v="4920"/>
        <n v="4924"/>
        <n v="4925"/>
        <n v="4927"/>
        <n v="4928"/>
        <n v="4929"/>
        <n v="4932"/>
        <n v="4933"/>
        <n v="4934"/>
        <n v="4937"/>
        <n v="4939"/>
        <n v="4941"/>
        <n v="4946"/>
        <n v="4949"/>
        <n v="4953"/>
        <n v="4958"/>
        <n v="4959"/>
        <n v="4960"/>
        <n v="4962"/>
        <n v="4966"/>
        <n v="4969"/>
        <n v="4971"/>
        <n v="4973"/>
        <n v="4976"/>
        <n v="4982"/>
        <n v="4986"/>
        <n v="4987"/>
        <n v="5007"/>
        <n v="5008"/>
        <n v="5009"/>
        <n v="5016"/>
        <n v="5018"/>
        <n v="5023"/>
        <n v="5024"/>
        <n v="5029"/>
        <n v="5032"/>
        <n v="5033"/>
        <n v="5034"/>
        <n v="5035"/>
        <n v="5037"/>
        <n v="5043"/>
        <n v="5047"/>
        <n v="5048"/>
        <n v="5052"/>
        <n v="5053"/>
        <n v="5055"/>
        <n v="5062"/>
        <n v="5067"/>
        <n v="5072"/>
        <n v="5075"/>
        <n v="5076"/>
        <n v="5079"/>
        <n v="5080"/>
        <n v="5081"/>
        <n v="5083"/>
        <n v="5084"/>
        <n v="5087"/>
        <n v="5090"/>
        <n v="5098"/>
        <n v="5099"/>
        <n v="5100"/>
        <n v="5105"/>
        <n v="5106"/>
        <n v="5112"/>
        <n v="5113"/>
        <n v="5115"/>
        <n v="5116"/>
        <n v="5118"/>
        <n v="5121"/>
        <n v="5123"/>
        <n v="5125"/>
        <n v="5131"/>
        <n v="5132"/>
        <n v="5134"/>
        <n v="5135"/>
        <n v="5136"/>
        <n v="5137"/>
        <n v="5142"/>
        <n v="5145"/>
        <n v="5151"/>
        <n v="5156"/>
        <n v="5157"/>
        <n v="5162"/>
        <n v="5164"/>
        <n v="5166"/>
        <n v="5174"/>
        <n v="5175"/>
        <n v="5180"/>
        <n v="5181"/>
        <n v="5186"/>
        <n v="5191"/>
        <n v="5198"/>
        <n v="5199"/>
        <n v="5201"/>
        <n v="5211"/>
        <n v="5216"/>
        <n v="5218"/>
        <n v="5226"/>
        <n v="5229"/>
        <n v="5230"/>
        <n v="5231"/>
        <n v="5234"/>
        <n v="5235"/>
        <n v="5237"/>
        <n v="5242"/>
        <n v="5247"/>
        <n v="5252"/>
        <n v="5253"/>
        <n v="5257"/>
        <n v="5258"/>
        <n v="5265"/>
        <n v="5266"/>
        <n v="5268"/>
        <n v="5269"/>
        <n v="5273"/>
        <n v="5274"/>
        <n v="5276"/>
        <n v="5283"/>
        <n v="5288"/>
        <n v="5289"/>
        <n v="5290"/>
        <n v="5292"/>
        <n v="5293"/>
        <n v="5297"/>
        <n v="5302"/>
        <n v="5307"/>
        <n v="5308"/>
        <n v="5309"/>
        <n v="5310"/>
        <n v="5311"/>
        <n v="5312"/>
        <n v="5315"/>
        <n v="5317"/>
        <n v="5320"/>
        <n v="5323"/>
        <n v="5326"/>
        <n v="5332"/>
        <n v="5334"/>
        <n v="5340"/>
        <n v="5341"/>
        <n v="5347"/>
        <n v="5352"/>
        <n v="5353"/>
        <n v="5356"/>
        <n v="5357"/>
        <n v="5358"/>
        <n v="5361"/>
        <n v="5373"/>
        <n v="5379"/>
        <n v="5380"/>
        <n v="5390"/>
        <n v="5392"/>
        <n v="5393"/>
        <n v="5395"/>
        <n v="5399"/>
        <n v="5404"/>
        <n v="5406"/>
        <n v="5413"/>
        <n v="5414"/>
        <n v="5415"/>
        <n v="5418"/>
        <n v="5420"/>
        <n v="5423"/>
        <n v="5424"/>
        <n v="5425"/>
        <n v="5426"/>
        <n v="5431"/>
        <n v="5437"/>
        <n v="5438"/>
        <n v="5440"/>
        <n v="5441"/>
        <n v="5442"/>
        <n v="5444"/>
        <n v="5451"/>
        <n v="5455"/>
        <n v="5456"/>
        <n v="5457"/>
        <n v="5459"/>
        <n v="5460"/>
        <n v="5467"/>
        <n v="5470"/>
        <n v="5471"/>
        <n v="5478"/>
        <n v="5482"/>
        <n v="5485"/>
        <n v="5486"/>
        <n v="5490"/>
        <n v="5493"/>
        <n v="5494"/>
        <n v="5498"/>
        <n v="5500"/>
        <n v="5504"/>
        <n v="5505"/>
        <n v="5510"/>
        <n v="5518"/>
        <n v="5523"/>
        <n v="5525"/>
        <n v="5528"/>
        <n v="5533"/>
        <n v="5534"/>
        <n v="5535"/>
        <n v="5537"/>
        <n v="5548"/>
        <n v="5549"/>
        <n v="5551"/>
        <n v="5561"/>
        <n v="5562"/>
        <n v="5563"/>
        <n v="5564"/>
        <n v="5570"/>
        <n v="5572"/>
        <n v="5573"/>
        <n v="5579"/>
        <n v="5583"/>
        <n v="5588"/>
        <n v="5592"/>
        <n v="5593"/>
        <n v="5601"/>
        <n v="5604"/>
        <n v="5610"/>
        <n v="5611"/>
        <n v="5615"/>
        <n v="5616"/>
        <n v="5618"/>
        <n v="5619"/>
        <n v="5620"/>
        <n v="5621"/>
        <n v="5623"/>
        <n v="5628"/>
        <n v="5629"/>
        <n v="5631"/>
        <n v="5635"/>
        <n v="5636"/>
        <n v="5641"/>
        <n v="5648"/>
        <n v="5649"/>
        <n v="5654"/>
        <n v="5658"/>
        <n v="5661"/>
        <n v="5662"/>
        <n v="5664"/>
        <n v="5665"/>
        <n v="5668"/>
        <n v="5674"/>
        <n v="5675"/>
        <n v="5677"/>
        <n v="5680"/>
        <n v="5682"/>
        <n v="5685"/>
        <n v="5687"/>
        <n v="5689"/>
        <n v="5690"/>
        <n v="5691"/>
        <n v="5700"/>
        <n v="5702"/>
        <n v="5703"/>
        <n v="5706"/>
        <n v="5710"/>
        <n v="5711"/>
        <n v="5713"/>
        <n v="5714"/>
        <n v="5716"/>
        <n v="5717"/>
        <n v="5722"/>
        <n v="5733"/>
        <n v="5735"/>
        <n v="5736"/>
        <n v="5737"/>
        <n v="5738"/>
        <n v="5741"/>
        <n v="5742"/>
        <n v="5749"/>
        <n v="5754"/>
        <n v="5756"/>
        <n v="5757"/>
        <n v="5758"/>
        <n v="5761"/>
        <n v="5763"/>
        <n v="5765"/>
        <n v="5766"/>
        <n v="5769"/>
        <n v="5774"/>
        <n v="5777"/>
        <n v="5778"/>
        <n v="5781"/>
        <n v="5785"/>
        <n v="5793"/>
        <n v="5794"/>
        <n v="5795"/>
        <n v="5799"/>
        <n v="5803"/>
        <n v="5807"/>
        <n v="5821"/>
        <n v="5823"/>
        <n v="5837"/>
        <n v="5839"/>
        <n v="5844"/>
        <n v="5848"/>
        <n v="5852"/>
        <n v="5855"/>
        <n v="5857"/>
        <n v="5860"/>
        <n v="5865"/>
        <n v="5869"/>
        <n v="5871"/>
        <n v="5873"/>
        <n v="5874"/>
        <n v="5881"/>
        <n v="5885"/>
        <n v="5886"/>
        <n v="5889"/>
        <n v="5891"/>
        <n v="5893"/>
        <n v="5895"/>
        <n v="5899"/>
        <n v="5900"/>
        <n v="5903"/>
        <n v="5907"/>
        <n v="5923"/>
        <n v="5924"/>
        <n v="5932"/>
        <n v="5935"/>
        <n v="5940"/>
        <n v="5941"/>
        <n v="5944"/>
        <n v="5946"/>
        <n v="5952"/>
        <n v="5955"/>
        <n v="5957"/>
        <n v="5960"/>
        <n v="5961"/>
        <n v="5963"/>
        <n v="5964"/>
        <n v="5969"/>
        <n v="5971"/>
        <n v="5973"/>
        <n v="5976"/>
        <n v="5978"/>
        <n v="5983"/>
        <n v="5987"/>
        <n v="5989"/>
        <n v="5991"/>
        <n v="5992"/>
        <n v="6001"/>
        <n v="6003"/>
        <n v="6004"/>
        <n v="6008"/>
        <n v="6010"/>
        <n v="6016"/>
        <n v="6019"/>
        <n v="6024"/>
        <n v="6026"/>
        <n v="6028"/>
        <n v="6032"/>
        <n v="6037"/>
        <n v="6038"/>
        <n v="6044"/>
        <n v="6047"/>
        <n v="6054"/>
        <n v="6057"/>
        <n v="6059"/>
        <n v="6060"/>
        <n v="6063"/>
        <n v="6066"/>
        <n v="6067"/>
        <n v="6068"/>
        <n v="6070"/>
        <n v="6081"/>
        <n v="6083"/>
        <n v="6085"/>
        <n v="6086"/>
        <n v="6100"/>
        <n v="6105"/>
        <n v="6112"/>
        <n v="6114"/>
        <n v="6126"/>
        <n v="6128"/>
        <n v="6137"/>
        <n v="6140"/>
        <n v="6142"/>
        <n v="6143"/>
        <n v="6145"/>
        <n v="6148"/>
        <n v="6163"/>
        <n v="6164"/>
        <n v="6166"/>
        <n v="6168"/>
        <n v="6171"/>
        <n v="6173"/>
        <n v="6174"/>
        <n v="6175"/>
        <n v="6177"/>
        <n v="6179"/>
        <n v="6181"/>
        <n v="6186"/>
        <n v="6187"/>
        <n v="6188"/>
        <n v="6192"/>
        <n v="6197"/>
        <n v="6201"/>
        <n v="6211"/>
        <n v="6212"/>
        <n v="6214"/>
        <n v="6215"/>
        <n v="6219"/>
        <n v="6222"/>
        <n v="6225"/>
        <n v="6227"/>
        <n v="6241"/>
        <n v="6244"/>
        <n v="6246"/>
        <n v="6249"/>
        <n v="6254"/>
        <n v="6256"/>
        <n v="6259"/>
        <n v="6260"/>
        <n v="6269"/>
        <n v="6272"/>
        <n v="6274"/>
        <n v="6276"/>
        <n v="6279"/>
        <n v="6283"/>
        <n v="6284"/>
        <n v="6286"/>
        <n v="6289"/>
        <n v="6293"/>
        <n v="6300"/>
        <n v="6302"/>
        <n v="6320"/>
        <n v="6322"/>
        <n v="6327"/>
        <n v="6328"/>
        <n v="6329"/>
        <n v="6335"/>
        <n v="6338"/>
        <n v="6342"/>
        <n v="6344"/>
        <n v="6348"/>
        <n v="6349"/>
        <n v="6351"/>
        <n v="6353"/>
        <n v="6354"/>
        <n v="6356"/>
        <n v="6357"/>
        <n v="6362"/>
        <n v="6363"/>
        <n v="6367"/>
        <n v="6368"/>
        <n v="6380"/>
        <n v="6387"/>
        <n v="6388"/>
        <n v="6389"/>
        <n v="6390"/>
        <n v="6399"/>
        <n v="6408"/>
        <n v="6410"/>
        <n v="6411"/>
        <n v="6415"/>
        <n v="6419"/>
        <n v="6421"/>
        <n v="6422"/>
        <n v="6428"/>
        <n v="6430"/>
        <n v="6436"/>
        <n v="6437"/>
        <n v="6457"/>
        <n v="6465"/>
        <n v="6475"/>
        <n v="6478"/>
        <n v="6483"/>
        <n v="6487"/>
        <n v="6491"/>
        <n v="6496"/>
        <n v="6497"/>
        <n v="6506"/>
        <n v="6507"/>
        <n v="6515"/>
        <n v="6520"/>
        <n v="6521"/>
        <n v="6523"/>
        <n v="6528"/>
        <n v="6532"/>
        <n v="6536"/>
        <n v="6541"/>
        <n v="6542"/>
        <n v="6548"/>
        <n v="6558"/>
        <n v="6560"/>
        <n v="6565"/>
        <n v="6567"/>
        <n v="6569"/>
        <n v="6574"/>
        <n v="6576"/>
        <n v="6585"/>
        <n v="6590"/>
        <n v="6592"/>
        <n v="6595"/>
        <n v="6598"/>
        <n v="6600"/>
        <n v="6607"/>
        <n v="6624"/>
        <n v="6625"/>
        <n v="6627"/>
        <n v="6631"/>
        <n v="6634"/>
        <n v="6636"/>
        <n v="6637"/>
        <n v="6638"/>
        <n v="6650"/>
        <n v="6660"/>
        <n v="6670"/>
        <n v="6672"/>
        <n v="6675"/>
        <n v="6677"/>
        <n v="6683"/>
        <n v="6694"/>
        <n v="6697"/>
        <n v="6709"/>
        <n v="6710"/>
        <n v="6713"/>
        <n v="6718"/>
        <n v="6719"/>
        <n v="6722"/>
        <n v="6726"/>
        <n v="6731"/>
        <n v="6740"/>
        <n v="6744"/>
        <n v="6767"/>
        <n v="6773"/>
        <n v="6778"/>
        <n v="6783"/>
        <n v="6791"/>
        <n v="6793"/>
        <n v="6798"/>
        <n v="6806"/>
        <n v="6807"/>
        <n v="6808"/>
        <n v="6816"/>
        <n v="6833"/>
        <n v="6835"/>
        <n v="6838"/>
        <n v="6841"/>
        <n v="6845"/>
        <n v="6852"/>
        <n v="6853"/>
        <n v="6858"/>
        <n v="6859"/>
        <n v="6870"/>
        <n v="6871"/>
        <n v="6875"/>
        <n v="6895"/>
        <n v="6897"/>
        <n v="6903"/>
        <n v="6905"/>
        <n v="6914"/>
        <n v="6921"/>
        <n v="6922"/>
        <n v="6925"/>
        <n v="6933"/>
        <n v="6937"/>
        <n v="6938"/>
        <n v="6970"/>
        <n v="6975"/>
        <n v="6979"/>
        <n v="6982"/>
        <n v="6991"/>
        <n v="7000"/>
        <n v="7009"/>
        <n v="7015"/>
        <n v="7018"/>
        <n v="7027"/>
        <n v="7028"/>
        <n v="7029"/>
        <n v="7033"/>
        <n v="7039"/>
        <n v="7040"/>
        <n v="7042"/>
        <n v="7051"/>
        <n v="7058"/>
        <n v="7071"/>
        <n v="7114"/>
        <n v="7116"/>
        <n v="7117"/>
        <n v="7136"/>
        <n v="7149"/>
        <n v="7156"/>
        <n v="7161"/>
        <n v="7167"/>
        <n v="7168"/>
        <n v="7170"/>
        <n v="7171"/>
        <n v="7183"/>
        <n v="7189"/>
        <n v="7202"/>
        <n v="7203"/>
        <n v="7210"/>
        <n v="7215"/>
        <n v="7217"/>
        <n v="7218"/>
        <n v="7225"/>
        <n v="7245"/>
        <n v="7247"/>
        <n v="7252"/>
        <n v="7253"/>
        <n v="7274"/>
        <n v="7275"/>
        <n v="7281"/>
        <n v="7282"/>
        <n v="7288"/>
        <n v="7307"/>
        <n v="7314"/>
        <n v="7318"/>
        <n v="7342"/>
        <n v="7351"/>
        <n v="7360"/>
        <n v="7362"/>
        <n v="7372"/>
        <n v="7379"/>
        <n v="7399"/>
        <n v="7404"/>
        <n v="7412"/>
        <n v="7414"/>
        <n v="7417"/>
        <n v="7418"/>
        <n v="7420"/>
        <n v="7426"/>
        <n v="7438"/>
        <n v="7441"/>
        <n v="7446"/>
        <n v="7496"/>
        <n v="7503"/>
        <n v="7504"/>
        <n v="7510"/>
        <n v="7511"/>
        <n v="7513"/>
        <n v="7523"/>
        <n v="7530"/>
        <n v="7546"/>
        <n v="7556"/>
        <n v="7568"/>
        <n v="7569"/>
        <n v="7576"/>
        <n v="7582"/>
        <n v="7588"/>
        <n v="7595"/>
        <n v="7631"/>
        <n v="7632"/>
        <n v="7654"/>
        <n v="7657"/>
        <n v="7665"/>
        <n v="7671"/>
        <n v="7672"/>
        <n v="7675"/>
        <n v="7684"/>
        <n v="7692"/>
        <n v="7746"/>
        <n v="7798"/>
        <n v="7836"/>
        <n v="7856"/>
        <n v="7908"/>
        <n v="7944"/>
        <n v="7980"/>
        <n v="7986"/>
        <n v="7993"/>
        <n v="8021"/>
        <n v="8075"/>
        <n v="8091"/>
        <n v="8233"/>
        <n v="8260"/>
        <n v="8394"/>
        <n v="8467"/>
        <n v="8501"/>
        <n v="8678"/>
        <n v="8741"/>
        <n v="8980"/>
        <n v="9195"/>
        <n v="9313"/>
        <n v="9380"/>
        <n v="9596"/>
        <n v="9783"/>
        <n v="10088"/>
        <n v="10191"/>
        <n v="10364"/>
        <n v="10575"/>
        <n v="10647"/>
      </sharedItems>
    </cacheField>
    <cacheField name="Period" numFmtId="0">
      <sharedItems count="2">
        <s v="2014 Apr-Sep"/>
        <s v="2015 Jan-Jun"/>
      </sharedItems>
    </cacheField>
    <cacheField name="Year" numFmtId="0">
      <sharedItems containsSemiMixedTypes="0" containsString="0" containsNumber="1" containsInteger="1" minValue="2014" maxValue="2015" count="2">
        <n v="2014"/>
        <n v="2015"/>
      </sharedItems>
    </cacheField>
    <cacheField name="Month" numFmtId="0">
      <sharedItems containsSemiMixedTypes="0" containsNonDate="0" containsDate="1" containsString="0" minDate="2014-04-01T00:00:00" maxDate="2015-06-01T00:00:00" count="12">
        <d v="2014-04-01T00:00:00"/>
        <d v="2014-05-01T00:00:00"/>
        <d v="2014-06-01T00:00:00"/>
        <d v="2014-07-01T00:00:00"/>
        <d v="2014-08-01T00:00:00"/>
        <d v="2014-09-01T00:00:00"/>
        <d v="2015-01-01T00:00:00"/>
        <d v="2015-02-01T00:00:00"/>
        <d v="2015-03-01T00:00:00"/>
        <d v="2015-04-01T00:00:00"/>
        <d v="2015-05-01T00:00:00"/>
        <d v="2015-06-01T00:00:00"/>
      </sharedItems>
    </cacheField>
    <cacheField name="Weekday" numFmtId="0">
      <sharedItems count="7">
        <s v="Fri"/>
        <s v="Mon"/>
        <s v="Sat"/>
        <s v="Sun"/>
        <s v="Thu"/>
        <s v="Tue"/>
        <s v="Wed"/>
      </sharedItems>
    </cacheField>
    <cacheField name="Day Type" numFmtId="0">
      <sharedItems count="2">
        <s v="Weekday"/>
        <s v="Weekend"/>
      </sharedItems>
    </cacheField>
    <cacheField name="Time Band" numFmtId="0">
      <sharedItems count="5">
        <s v="Evening peak (16-19)"/>
        <s v="Late evening (20-23)"/>
        <s v="Midday (10-15)"/>
        <s v="Morning peak (6-9)"/>
        <s v="Night (0-5)"/>
      </sharedItems>
    </cacheField>
  </cacheFields>
</pivotCacheDefinition>
</file>

<file path=xl/pivotCache/pivotCacheDefinition2.xml><?xml version="1.0" encoding="utf-8"?>
<pivotCacheDefinition xmlns="http://schemas.openxmlformats.org/spreadsheetml/2006/main" xmlns:r="http://schemas.openxmlformats.org/officeDocument/2006/relationships" r:id="rId1" recordCount="1562" createdVersion="3" refreshOnLoad="1">
  <cacheSource type="worksheet">
    <worksheetSource ref="A1:F1563" sheet="ZoneMonthly"/>
  </cacheSource>
  <cacheFields count="6">
    <cacheField name="Month" numFmtId="0">
      <sharedItems containsSemiMixedTypes="0" containsNonDate="0" containsDate="1" containsString="0" minDate="2015-01-01T00:00:00" maxDate="2015-06-01T00:00:00" count="6">
        <d v="2015-01-01T00:00:00"/>
        <d v="2015-02-01T00:00:00"/>
        <d v="2015-03-01T00:00:00"/>
        <d v="2015-04-01T00:00:00"/>
        <d v="2015-05-01T00:00:00"/>
        <d v="2015-06-01T00:00:00"/>
      </sharedItems>
    </cacheField>
    <cacheField name="Location ID" numFmtId="0">
      <sharedItems containsSemiMixedTypes="0" containsString="0" containsNumber="1" containsInteger="1" minValue="1" maxValue="265" count="262">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sharedItems>
    </cacheField>
    <cacheField name="Trips" numFmtId="0">
      <sharedItems containsSemiMixedTypes="0" containsString="0" containsNumber="1" containsInteger="1" minValue="1" maxValue="87995" count="1313">
        <n v="1"/>
        <n v="2"/>
        <n v="3"/>
        <n v="4"/>
        <n v="5"/>
        <n v="6"/>
        <n v="7"/>
        <n v="8"/>
        <n v="9"/>
        <n v="10"/>
        <n v="11"/>
        <n v="13"/>
        <n v="14"/>
        <n v="16"/>
        <n v="17"/>
        <n v="18"/>
        <n v="19"/>
        <n v="20"/>
        <n v="21"/>
        <n v="22"/>
        <n v="23"/>
        <n v="24"/>
        <n v="25"/>
        <n v="26"/>
        <n v="27"/>
        <n v="28"/>
        <n v="29"/>
        <n v="31"/>
        <n v="32"/>
        <n v="33"/>
        <n v="36"/>
        <n v="37"/>
        <n v="38"/>
        <n v="39"/>
        <n v="40"/>
        <n v="41"/>
        <n v="42"/>
        <n v="43"/>
        <n v="44"/>
        <n v="45"/>
        <n v="46"/>
        <n v="47"/>
        <n v="48"/>
        <n v="50"/>
        <n v="51"/>
        <n v="52"/>
        <n v="55"/>
        <n v="56"/>
        <n v="57"/>
        <n v="58"/>
        <n v="60"/>
        <n v="61"/>
        <n v="62"/>
        <n v="63"/>
        <n v="64"/>
        <n v="65"/>
        <n v="66"/>
        <n v="67"/>
        <n v="68"/>
        <n v="72"/>
        <n v="73"/>
        <n v="74"/>
        <n v="77"/>
        <n v="78"/>
        <n v="79"/>
        <n v="80"/>
        <n v="82"/>
        <n v="84"/>
        <n v="85"/>
        <n v="86"/>
        <n v="87"/>
        <n v="88"/>
        <n v="89"/>
        <n v="93"/>
        <n v="95"/>
        <n v="96"/>
        <n v="97"/>
        <n v="99"/>
        <n v="101"/>
        <n v="102"/>
        <n v="103"/>
        <n v="104"/>
        <n v="106"/>
        <n v="107"/>
        <n v="108"/>
        <n v="111"/>
        <n v="112"/>
        <n v="113"/>
        <n v="117"/>
        <n v="119"/>
        <n v="122"/>
        <n v="123"/>
        <n v="125"/>
        <n v="128"/>
        <n v="130"/>
        <n v="131"/>
        <n v="133"/>
        <n v="135"/>
        <n v="138"/>
        <n v="140"/>
        <n v="142"/>
        <n v="143"/>
        <n v="145"/>
        <n v="149"/>
        <n v="152"/>
        <n v="153"/>
        <n v="156"/>
        <n v="157"/>
        <n v="161"/>
        <n v="162"/>
        <n v="165"/>
        <n v="174"/>
        <n v="178"/>
        <n v="180"/>
        <n v="185"/>
        <n v="189"/>
        <n v="190"/>
        <n v="195"/>
        <n v="199"/>
        <n v="202"/>
        <n v="208"/>
        <n v="214"/>
        <n v="230"/>
        <n v="236"/>
        <n v="241"/>
        <n v="244"/>
        <n v="247"/>
        <n v="250"/>
        <n v="252"/>
        <n v="253"/>
        <n v="254"/>
        <n v="256"/>
        <n v="263"/>
        <n v="264"/>
        <n v="273"/>
        <n v="274"/>
        <n v="276"/>
        <n v="277"/>
        <n v="284"/>
        <n v="289"/>
        <n v="293"/>
        <n v="300"/>
        <n v="304"/>
        <n v="305"/>
        <n v="306"/>
        <n v="307"/>
        <n v="311"/>
        <n v="317"/>
        <n v="318"/>
        <n v="324"/>
        <n v="329"/>
        <n v="334"/>
        <n v="335"/>
        <n v="340"/>
        <n v="345"/>
        <n v="347"/>
        <n v="354"/>
        <n v="355"/>
        <n v="356"/>
        <n v="359"/>
        <n v="360"/>
        <n v="361"/>
        <n v="366"/>
        <n v="368"/>
        <n v="370"/>
        <n v="374"/>
        <n v="378"/>
        <n v="380"/>
        <n v="384"/>
        <n v="387"/>
        <n v="388"/>
        <n v="389"/>
        <n v="391"/>
        <n v="395"/>
        <n v="396"/>
        <n v="397"/>
        <n v="398"/>
        <n v="405"/>
        <n v="408"/>
        <n v="412"/>
        <n v="416"/>
        <n v="419"/>
        <n v="420"/>
        <n v="421"/>
        <n v="422"/>
        <n v="426"/>
        <n v="427"/>
        <n v="433"/>
        <n v="434"/>
        <n v="435"/>
        <n v="436"/>
        <n v="438"/>
        <n v="441"/>
        <n v="442"/>
        <n v="445"/>
        <n v="446"/>
        <n v="448"/>
        <n v="449"/>
        <n v="451"/>
        <n v="454"/>
        <n v="456"/>
        <n v="458"/>
        <n v="459"/>
        <n v="461"/>
        <n v="468"/>
        <n v="469"/>
        <n v="470"/>
        <n v="473"/>
        <n v="475"/>
        <n v="478"/>
        <n v="482"/>
        <n v="483"/>
        <n v="486"/>
        <n v="487"/>
        <n v="488"/>
        <n v="489"/>
        <n v="491"/>
        <n v="493"/>
        <n v="495"/>
        <n v="497"/>
        <n v="502"/>
        <n v="503"/>
        <n v="504"/>
        <n v="507"/>
        <n v="509"/>
        <n v="510"/>
        <n v="511"/>
        <n v="512"/>
        <n v="516"/>
        <n v="522"/>
        <n v="524"/>
        <n v="525"/>
        <n v="527"/>
        <n v="532"/>
        <n v="535"/>
        <n v="537"/>
        <n v="541"/>
        <n v="542"/>
        <n v="543"/>
        <n v="544"/>
        <n v="545"/>
        <n v="548"/>
        <n v="549"/>
        <n v="551"/>
        <n v="559"/>
        <n v="560"/>
        <n v="561"/>
        <n v="565"/>
        <n v="566"/>
        <n v="567"/>
        <n v="568"/>
        <n v="571"/>
        <n v="573"/>
        <n v="575"/>
        <n v="579"/>
        <n v="582"/>
        <n v="585"/>
        <n v="588"/>
        <n v="590"/>
        <n v="591"/>
        <n v="596"/>
        <n v="602"/>
        <n v="603"/>
        <n v="604"/>
        <n v="605"/>
        <n v="608"/>
        <n v="609"/>
        <n v="612"/>
        <n v="613"/>
        <n v="616"/>
        <n v="619"/>
        <n v="621"/>
        <n v="623"/>
        <n v="625"/>
        <n v="626"/>
        <n v="631"/>
        <n v="634"/>
        <n v="635"/>
        <n v="638"/>
        <n v="639"/>
        <n v="645"/>
        <n v="647"/>
        <n v="649"/>
        <n v="653"/>
        <n v="654"/>
        <n v="657"/>
        <n v="660"/>
        <n v="662"/>
        <n v="665"/>
        <n v="669"/>
        <n v="673"/>
        <n v="676"/>
        <n v="677"/>
        <n v="679"/>
        <n v="683"/>
        <n v="685"/>
        <n v="687"/>
        <n v="692"/>
        <n v="693"/>
        <n v="694"/>
        <n v="700"/>
        <n v="702"/>
        <n v="703"/>
        <n v="706"/>
        <n v="708"/>
        <n v="709"/>
        <n v="710"/>
        <n v="711"/>
        <n v="712"/>
        <n v="713"/>
        <n v="714"/>
        <n v="723"/>
        <n v="734"/>
        <n v="736"/>
        <n v="743"/>
        <n v="744"/>
        <n v="747"/>
        <n v="749"/>
        <n v="753"/>
        <n v="754"/>
        <n v="764"/>
        <n v="767"/>
        <n v="773"/>
        <n v="774"/>
        <n v="780"/>
        <n v="782"/>
        <n v="783"/>
        <n v="786"/>
        <n v="789"/>
        <n v="792"/>
        <n v="793"/>
        <n v="799"/>
        <n v="800"/>
        <n v="802"/>
        <n v="806"/>
        <n v="810"/>
        <n v="814"/>
        <n v="819"/>
        <n v="822"/>
        <n v="823"/>
        <n v="825"/>
        <n v="829"/>
        <n v="834"/>
        <n v="835"/>
        <n v="844"/>
        <n v="847"/>
        <n v="848"/>
        <n v="850"/>
        <n v="852"/>
        <n v="854"/>
        <n v="855"/>
        <n v="856"/>
        <n v="857"/>
        <n v="860"/>
        <n v="864"/>
        <n v="868"/>
        <n v="869"/>
        <n v="871"/>
        <n v="872"/>
        <n v="873"/>
        <n v="876"/>
        <n v="878"/>
        <n v="880"/>
        <n v="883"/>
        <n v="888"/>
        <n v="889"/>
        <n v="890"/>
        <n v="892"/>
        <n v="895"/>
        <n v="900"/>
        <n v="904"/>
        <n v="905"/>
        <n v="907"/>
        <n v="912"/>
        <n v="913"/>
        <n v="916"/>
        <n v="917"/>
        <n v="920"/>
        <n v="928"/>
        <n v="930"/>
        <n v="933"/>
        <n v="936"/>
        <n v="937"/>
        <n v="939"/>
        <n v="948"/>
        <n v="950"/>
        <n v="956"/>
        <n v="957"/>
        <n v="958"/>
        <n v="959"/>
        <n v="963"/>
        <n v="967"/>
        <n v="968"/>
        <n v="970"/>
        <n v="972"/>
        <n v="983"/>
        <n v="986"/>
        <n v="995"/>
        <n v="996"/>
        <n v="998"/>
        <n v="1000"/>
        <n v="1003"/>
        <n v="1006"/>
        <n v="1010"/>
        <n v="1012"/>
        <n v="1013"/>
        <n v="1014"/>
        <n v="1020"/>
        <n v="1022"/>
        <n v="1026"/>
        <n v="1031"/>
        <n v="1037"/>
        <n v="1042"/>
        <n v="1045"/>
        <n v="1048"/>
        <n v="1051"/>
        <n v="1055"/>
        <n v="1058"/>
        <n v="1066"/>
        <n v="1067"/>
        <n v="1068"/>
        <n v="1083"/>
        <n v="1084"/>
        <n v="1085"/>
        <n v="1095"/>
        <n v="1100"/>
        <n v="1109"/>
        <n v="1114"/>
        <n v="1120"/>
        <n v="1126"/>
        <n v="1128"/>
        <n v="1140"/>
        <n v="1145"/>
        <n v="1151"/>
        <n v="1155"/>
        <n v="1159"/>
        <n v="1162"/>
        <n v="1165"/>
        <n v="1166"/>
        <n v="1167"/>
        <n v="1172"/>
        <n v="1177"/>
        <n v="1182"/>
        <n v="1185"/>
        <n v="1187"/>
        <n v="1188"/>
        <n v="1189"/>
        <n v="1192"/>
        <n v="1197"/>
        <n v="1205"/>
        <n v="1209"/>
        <n v="1214"/>
        <n v="1215"/>
        <n v="1216"/>
        <n v="1223"/>
        <n v="1226"/>
        <n v="1229"/>
        <n v="1231"/>
        <n v="1232"/>
        <n v="1233"/>
        <n v="1235"/>
        <n v="1238"/>
        <n v="1241"/>
        <n v="1243"/>
        <n v="1246"/>
        <n v="1257"/>
        <n v="1258"/>
        <n v="1260"/>
        <n v="1269"/>
        <n v="1270"/>
        <n v="1272"/>
        <n v="1274"/>
        <n v="1275"/>
        <n v="1277"/>
        <n v="1284"/>
        <n v="1285"/>
        <n v="1287"/>
        <n v="1290"/>
        <n v="1300"/>
        <n v="1302"/>
        <n v="1310"/>
        <n v="1315"/>
        <n v="1324"/>
        <n v="1333"/>
        <n v="1338"/>
        <n v="1341"/>
        <n v="1355"/>
        <n v="1358"/>
        <n v="1365"/>
        <n v="1370"/>
        <n v="1371"/>
        <n v="1373"/>
        <n v="1374"/>
        <n v="1378"/>
        <n v="1381"/>
        <n v="1387"/>
        <n v="1390"/>
        <n v="1394"/>
        <n v="1400"/>
        <n v="1402"/>
        <n v="1406"/>
        <n v="1413"/>
        <n v="1416"/>
        <n v="1417"/>
        <n v="1426"/>
        <n v="1439"/>
        <n v="1443"/>
        <n v="1449"/>
        <n v="1450"/>
        <n v="1461"/>
        <n v="1464"/>
        <n v="1465"/>
        <n v="1470"/>
        <n v="1476"/>
        <n v="1480"/>
        <n v="1489"/>
        <n v="1501"/>
        <n v="1503"/>
        <n v="1505"/>
        <n v="1507"/>
        <n v="1513"/>
        <n v="1529"/>
        <n v="1538"/>
        <n v="1544"/>
        <n v="1549"/>
        <n v="1553"/>
        <n v="1556"/>
        <n v="1561"/>
        <n v="1563"/>
        <n v="1578"/>
        <n v="1581"/>
        <n v="1582"/>
        <n v="1588"/>
        <n v="1597"/>
        <n v="1598"/>
        <n v="1599"/>
        <n v="1601"/>
        <n v="1606"/>
        <n v="1609"/>
        <n v="1611"/>
        <n v="1614"/>
        <n v="1616"/>
        <n v="1625"/>
        <n v="1636"/>
        <n v="1650"/>
        <n v="1655"/>
        <n v="1659"/>
        <n v="1664"/>
        <n v="1666"/>
        <n v="1682"/>
        <n v="1683"/>
        <n v="1686"/>
        <n v="1692"/>
        <n v="1697"/>
        <n v="1698"/>
        <n v="1705"/>
        <n v="1714"/>
        <n v="1720"/>
        <n v="1722"/>
        <n v="1729"/>
        <n v="1733"/>
        <n v="1740"/>
        <n v="1743"/>
        <n v="1747"/>
        <n v="1757"/>
        <n v="1762"/>
        <n v="1781"/>
        <n v="1786"/>
        <n v="1809"/>
        <n v="1810"/>
        <n v="1818"/>
        <n v="1823"/>
        <n v="1824"/>
        <n v="1828"/>
        <n v="1832"/>
        <n v="1833"/>
        <n v="1837"/>
        <n v="1841"/>
        <n v="1843"/>
        <n v="1845"/>
        <n v="1853"/>
        <n v="1857"/>
        <n v="1864"/>
        <n v="1867"/>
        <n v="1868"/>
        <n v="1869"/>
        <n v="1870"/>
        <n v="1876"/>
        <n v="1906"/>
        <n v="1908"/>
        <n v="1912"/>
        <n v="1917"/>
        <n v="1918"/>
        <n v="1922"/>
        <n v="1926"/>
        <n v="1927"/>
        <n v="1940"/>
        <n v="1947"/>
        <n v="1955"/>
        <n v="1960"/>
        <n v="1964"/>
        <n v="1971"/>
        <n v="1976"/>
        <n v="1982"/>
        <n v="1985"/>
        <n v="1988"/>
        <n v="1994"/>
        <n v="1998"/>
        <n v="2000"/>
        <n v="2004"/>
        <n v="2005"/>
        <n v="2009"/>
        <n v="2014"/>
        <n v="2018"/>
        <n v="2023"/>
        <n v="2040"/>
        <n v="2041"/>
        <n v="2043"/>
        <n v="2053"/>
        <n v="2054"/>
        <n v="2055"/>
        <n v="2056"/>
        <n v="2057"/>
        <n v="2058"/>
        <n v="2060"/>
        <n v="2064"/>
        <n v="2082"/>
        <n v="2083"/>
        <n v="2086"/>
        <n v="2100"/>
        <n v="2123"/>
        <n v="2141"/>
        <n v="2157"/>
        <n v="2207"/>
        <n v="2218"/>
        <n v="2230"/>
        <n v="2233"/>
        <n v="2245"/>
        <n v="2253"/>
        <n v="2256"/>
        <n v="2268"/>
        <n v="2270"/>
        <n v="2308"/>
        <n v="2317"/>
        <n v="2322"/>
        <n v="2334"/>
        <n v="2339"/>
        <n v="2355"/>
        <n v="2367"/>
        <n v="2372"/>
        <n v="2373"/>
        <n v="2381"/>
        <n v="2382"/>
        <n v="2383"/>
        <n v="2395"/>
        <n v="2401"/>
        <n v="2429"/>
        <n v="2436"/>
        <n v="2438"/>
        <n v="2447"/>
        <n v="2451"/>
        <n v="2463"/>
        <n v="2469"/>
        <n v="2470"/>
        <n v="2483"/>
        <n v="2494"/>
        <n v="2508"/>
        <n v="2520"/>
        <n v="2524"/>
        <n v="2525"/>
        <n v="2543"/>
        <n v="2544"/>
        <n v="2565"/>
        <n v="2567"/>
        <n v="2586"/>
        <n v="2597"/>
        <n v="2601"/>
        <n v="2622"/>
        <n v="2635"/>
        <n v="2664"/>
        <n v="2670"/>
        <n v="2691"/>
        <n v="2697"/>
        <n v="2700"/>
        <n v="2711"/>
        <n v="2718"/>
        <n v="2735"/>
        <n v="2747"/>
        <n v="2754"/>
        <n v="2764"/>
        <n v="2788"/>
        <n v="2794"/>
        <n v="2813"/>
        <n v="2816"/>
        <n v="2824"/>
        <n v="2855"/>
        <n v="2868"/>
        <n v="2873"/>
        <n v="2894"/>
        <n v="2895"/>
        <n v="2904"/>
        <n v="2905"/>
        <n v="2940"/>
        <n v="2942"/>
        <n v="2957"/>
        <n v="2961"/>
        <n v="2967"/>
        <n v="2991"/>
        <n v="2999"/>
        <n v="3008"/>
        <n v="3022"/>
        <n v="3029"/>
        <n v="3067"/>
        <n v="3070"/>
        <n v="3105"/>
        <n v="3112"/>
        <n v="3113"/>
        <n v="3189"/>
        <n v="3231"/>
        <n v="3276"/>
        <n v="3283"/>
        <n v="3284"/>
        <n v="3301"/>
        <n v="3302"/>
        <n v="3379"/>
        <n v="3391"/>
        <n v="3393"/>
        <n v="3408"/>
        <n v="3413"/>
        <n v="3418"/>
        <n v="3423"/>
        <n v="3430"/>
        <n v="3434"/>
        <n v="3440"/>
        <n v="3467"/>
        <n v="3494"/>
        <n v="3511"/>
        <n v="3520"/>
        <n v="3525"/>
        <n v="3537"/>
        <n v="3545"/>
        <n v="3567"/>
        <n v="3573"/>
        <n v="3576"/>
        <n v="3593"/>
        <n v="3624"/>
        <n v="3626"/>
        <n v="3627"/>
        <n v="3650"/>
        <n v="3653"/>
        <n v="3663"/>
        <n v="3680"/>
        <n v="3686"/>
        <n v="3700"/>
        <n v="3740"/>
        <n v="3749"/>
        <n v="3847"/>
        <n v="3895"/>
        <n v="3899"/>
        <n v="3925"/>
        <n v="3933"/>
        <n v="3967"/>
        <n v="3977"/>
        <n v="4006"/>
        <n v="4092"/>
        <n v="4104"/>
        <n v="4128"/>
        <n v="4136"/>
        <n v="4195"/>
        <n v="4196"/>
        <n v="4216"/>
        <n v="4225"/>
        <n v="4264"/>
        <n v="4365"/>
        <n v="4393"/>
        <n v="4481"/>
        <n v="4585"/>
        <n v="4627"/>
        <n v="4657"/>
        <n v="4668"/>
        <n v="4733"/>
        <n v="4773"/>
        <n v="4780"/>
        <n v="4862"/>
        <n v="4953"/>
        <n v="4960"/>
        <n v="4984"/>
        <n v="4989"/>
        <n v="5044"/>
        <n v="5051"/>
        <n v="5108"/>
        <n v="5127"/>
        <n v="5186"/>
        <n v="5188"/>
        <n v="5191"/>
        <n v="5205"/>
        <n v="5217"/>
        <n v="5221"/>
        <n v="5320"/>
        <n v="5358"/>
        <n v="5420"/>
        <n v="5423"/>
        <n v="5463"/>
        <n v="5472"/>
        <n v="5489"/>
        <n v="5677"/>
        <n v="5693"/>
        <n v="5701"/>
        <n v="5702"/>
        <n v="5827"/>
        <n v="5870"/>
        <n v="5872"/>
        <n v="5884"/>
        <n v="5909"/>
        <n v="6012"/>
        <n v="6034"/>
        <n v="6066"/>
        <n v="6100"/>
        <n v="6104"/>
        <n v="6119"/>
        <n v="6161"/>
        <n v="6168"/>
        <n v="6310"/>
        <n v="6375"/>
        <n v="6378"/>
        <n v="6432"/>
        <n v="6454"/>
        <n v="6486"/>
        <n v="6491"/>
        <n v="6532"/>
        <n v="6713"/>
        <n v="6714"/>
        <n v="6762"/>
        <n v="6769"/>
        <n v="6905"/>
        <n v="6933"/>
        <n v="6959"/>
        <n v="6989"/>
        <n v="6995"/>
        <n v="7072"/>
        <n v="7089"/>
        <n v="7096"/>
        <n v="7140"/>
        <n v="7159"/>
        <n v="7165"/>
        <n v="7303"/>
        <n v="7383"/>
        <n v="7397"/>
        <n v="7427"/>
        <n v="7466"/>
        <n v="7535"/>
        <n v="7543"/>
        <n v="7562"/>
        <n v="7579"/>
        <n v="7586"/>
        <n v="7644"/>
        <n v="7701"/>
        <n v="7707"/>
        <n v="7710"/>
        <n v="7714"/>
        <n v="7716"/>
        <n v="7727"/>
        <n v="7756"/>
        <n v="7823"/>
        <n v="7847"/>
        <n v="7860"/>
        <n v="7864"/>
        <n v="7950"/>
        <n v="7996"/>
        <n v="7999"/>
        <n v="8010"/>
        <n v="8036"/>
        <n v="8061"/>
        <n v="8094"/>
        <n v="8118"/>
        <n v="8125"/>
        <n v="8148"/>
        <n v="8178"/>
        <n v="8210"/>
        <n v="8235"/>
        <n v="8239"/>
        <n v="8249"/>
        <n v="8255"/>
        <n v="8308"/>
        <n v="8424"/>
        <n v="8475"/>
        <n v="8486"/>
        <n v="8554"/>
        <n v="8626"/>
        <n v="8670"/>
        <n v="8676"/>
        <n v="8704"/>
        <n v="8706"/>
        <n v="8713"/>
        <n v="8806"/>
        <n v="8848"/>
        <n v="8951"/>
        <n v="8968"/>
        <n v="9093"/>
        <n v="9135"/>
        <n v="9175"/>
        <n v="9244"/>
        <n v="9308"/>
        <n v="9336"/>
        <n v="9347"/>
        <n v="9377"/>
        <n v="9378"/>
        <n v="9421"/>
        <n v="9425"/>
        <n v="9430"/>
        <n v="9499"/>
        <n v="9519"/>
        <n v="9599"/>
        <n v="9636"/>
        <n v="9687"/>
        <n v="9695"/>
        <n v="9737"/>
        <n v="9766"/>
        <n v="9794"/>
        <n v="9831"/>
        <n v="9844"/>
        <n v="9858"/>
        <n v="9938"/>
        <n v="9974"/>
        <n v="10083"/>
        <n v="10176"/>
        <n v="10223"/>
        <n v="10240"/>
        <n v="10306"/>
        <n v="10332"/>
        <n v="10342"/>
        <n v="10350"/>
        <n v="10384"/>
        <n v="10403"/>
        <n v="10440"/>
        <n v="10454"/>
        <n v="10520"/>
        <n v="10527"/>
        <n v="10548"/>
        <n v="10551"/>
        <n v="10613"/>
        <n v="10807"/>
        <n v="10837"/>
        <n v="10861"/>
        <n v="10868"/>
        <n v="10889"/>
        <n v="10982"/>
        <n v="11015"/>
        <n v="11125"/>
        <n v="11176"/>
        <n v="11219"/>
        <n v="11244"/>
        <n v="11278"/>
        <n v="11318"/>
        <n v="11370"/>
        <n v="11381"/>
        <n v="11391"/>
        <n v="11409"/>
        <n v="11421"/>
        <n v="11450"/>
        <n v="11451"/>
        <n v="11452"/>
        <n v="11518"/>
        <n v="11522"/>
        <n v="11532"/>
        <n v="11637"/>
        <n v="11686"/>
        <n v="11719"/>
        <n v="11769"/>
        <n v="11824"/>
        <n v="11847"/>
        <n v="11934"/>
        <n v="12173"/>
        <n v="12415"/>
        <n v="12564"/>
        <n v="12587"/>
        <n v="12634"/>
        <n v="12637"/>
        <n v="12675"/>
        <n v="12720"/>
        <n v="12730"/>
        <n v="12943"/>
        <n v="12968"/>
        <n v="13005"/>
        <n v="13007"/>
        <n v="13163"/>
        <n v="13331"/>
        <n v="13366"/>
        <n v="13394"/>
        <n v="13595"/>
        <n v="13639"/>
        <n v="13645"/>
        <n v="13894"/>
        <n v="13933"/>
        <n v="13949"/>
        <n v="13985"/>
        <n v="14147"/>
        <n v="14234"/>
        <n v="14239"/>
        <n v="14272"/>
        <n v="14355"/>
        <n v="14394"/>
        <n v="14543"/>
        <n v="14574"/>
        <n v="14582"/>
        <n v="14755"/>
        <n v="15044"/>
        <n v="15089"/>
        <n v="15411"/>
        <n v="15427"/>
        <n v="15627"/>
        <n v="15651"/>
        <n v="15668"/>
        <n v="15962"/>
        <n v="16084"/>
        <n v="16114"/>
        <n v="16159"/>
        <n v="16327"/>
        <n v="16334"/>
        <n v="16375"/>
        <n v="16384"/>
        <n v="16655"/>
        <n v="16691"/>
        <n v="16821"/>
        <n v="16938"/>
        <n v="17057"/>
        <n v="17058"/>
        <n v="17302"/>
        <n v="17455"/>
        <n v="17478"/>
        <n v="17608"/>
        <n v="17756"/>
        <n v="17777"/>
        <n v="17852"/>
        <n v="18047"/>
        <n v="18097"/>
        <n v="18103"/>
        <n v="18141"/>
        <n v="18384"/>
        <n v="18538"/>
        <n v="18757"/>
        <n v="19121"/>
        <n v="19205"/>
        <n v="19235"/>
        <n v="19554"/>
        <n v="19660"/>
        <n v="19717"/>
        <n v="19925"/>
        <n v="19989"/>
        <n v="20054"/>
        <n v="20078"/>
        <n v="20101"/>
        <n v="20103"/>
        <n v="20121"/>
        <n v="20127"/>
        <n v="20133"/>
        <n v="20252"/>
        <n v="20282"/>
        <n v="20334"/>
        <n v="20391"/>
        <n v="20400"/>
        <n v="20450"/>
        <n v="20471"/>
        <n v="20617"/>
        <n v="20776"/>
        <n v="20780"/>
        <n v="20850"/>
        <n v="20909"/>
        <n v="20924"/>
        <n v="20989"/>
        <n v="21092"/>
        <n v="21111"/>
        <n v="21617"/>
        <n v="21630"/>
        <n v="21675"/>
        <n v="21810"/>
        <n v="22008"/>
        <n v="22073"/>
        <n v="22246"/>
        <n v="22380"/>
        <n v="22417"/>
        <n v="22472"/>
        <n v="22665"/>
        <n v="22775"/>
        <n v="22783"/>
        <n v="22891"/>
        <n v="22966"/>
        <n v="23180"/>
        <n v="23194"/>
        <n v="23267"/>
        <n v="23320"/>
        <n v="23404"/>
        <n v="23451"/>
        <n v="23455"/>
        <n v="23532"/>
        <n v="24020"/>
        <n v="24290"/>
        <n v="24492"/>
        <n v="24614"/>
        <n v="24677"/>
        <n v="24740"/>
        <n v="24758"/>
        <n v="24862"/>
        <n v="24948"/>
        <n v="25057"/>
        <n v="25082"/>
        <n v="25341"/>
        <n v="25489"/>
        <n v="25503"/>
        <n v="25910"/>
        <n v="26076"/>
        <n v="26108"/>
        <n v="26434"/>
        <n v="26643"/>
        <n v="26787"/>
        <n v="27104"/>
        <n v="27164"/>
        <n v="27394"/>
        <n v="27520"/>
        <n v="27573"/>
        <n v="27666"/>
        <n v="27729"/>
        <n v="28118"/>
        <n v="28261"/>
        <n v="28362"/>
        <n v="28400"/>
        <n v="28412"/>
        <n v="28858"/>
        <n v="29335"/>
        <n v="29354"/>
        <n v="29521"/>
        <n v="29524"/>
        <n v="29658"/>
        <n v="29659"/>
        <n v="29931"/>
        <n v="30231"/>
        <n v="30477"/>
        <n v="30534"/>
        <n v="30615"/>
        <n v="30662"/>
        <n v="30669"/>
        <n v="30695"/>
        <n v="30841"/>
        <n v="30989"/>
        <n v="31129"/>
        <n v="31159"/>
        <n v="31197"/>
        <n v="31251"/>
        <n v="31497"/>
        <n v="31708"/>
        <n v="31967"/>
        <n v="32463"/>
        <n v="32939"/>
        <n v="33187"/>
        <n v="33381"/>
        <n v="33476"/>
        <n v="33485"/>
        <n v="34186"/>
        <n v="34252"/>
        <n v="34319"/>
        <n v="34400"/>
        <n v="34602"/>
        <n v="34831"/>
        <n v="35040"/>
        <n v="35297"/>
        <n v="35482"/>
        <n v="35763"/>
        <n v="35885"/>
        <n v="35935"/>
        <n v="36075"/>
        <n v="36112"/>
        <n v="36212"/>
        <n v="36464"/>
        <n v="36518"/>
        <n v="36617"/>
        <n v="36697"/>
        <n v="36778"/>
        <n v="36847"/>
        <n v="37148"/>
        <n v="37241"/>
        <n v="37256"/>
        <n v="37279"/>
        <n v="37503"/>
        <n v="37875"/>
        <n v="37891"/>
        <n v="38392"/>
        <n v="38501"/>
        <n v="38794"/>
        <n v="38822"/>
        <n v="39172"/>
        <n v="39773"/>
        <n v="40006"/>
        <n v="40040"/>
        <n v="40099"/>
        <n v="40122"/>
        <n v="40169"/>
        <n v="40220"/>
        <n v="40301"/>
        <n v="40344"/>
        <n v="40351"/>
        <n v="40383"/>
        <n v="40509"/>
        <n v="40603"/>
        <n v="40637"/>
        <n v="40737"/>
        <n v="41154"/>
        <n v="41172"/>
        <n v="41231"/>
        <n v="41248"/>
        <n v="41376"/>
        <n v="41390"/>
        <n v="41456"/>
        <n v="41476"/>
        <n v="41709"/>
        <n v="41834"/>
        <n v="41919"/>
        <n v="42133"/>
        <n v="42247"/>
        <n v="42274"/>
        <n v="42293"/>
        <n v="42628"/>
        <n v="42881"/>
        <n v="43059"/>
        <n v="43200"/>
        <n v="43355"/>
        <n v="43496"/>
        <n v="43654"/>
        <n v="43703"/>
        <n v="43950"/>
        <n v="44387"/>
        <n v="44948"/>
        <n v="45124"/>
        <n v="45406"/>
        <n v="45478"/>
        <n v="45610"/>
        <n v="45694"/>
        <n v="45725"/>
        <n v="46142"/>
        <n v="46731"/>
        <n v="46971"/>
        <n v="47060"/>
        <n v="47186"/>
        <n v="47247"/>
        <n v="47393"/>
        <n v="47428"/>
        <n v="47535"/>
        <n v="47576"/>
        <n v="47612"/>
        <n v="47749"/>
        <n v="47947"/>
        <n v="48149"/>
        <n v="48230"/>
        <n v="48295"/>
        <n v="48565"/>
        <n v="48604"/>
        <n v="49076"/>
        <n v="49644"/>
        <n v="50012"/>
        <n v="50072"/>
        <n v="50587"/>
        <n v="50650"/>
        <n v="51410"/>
        <n v="51775"/>
        <n v="51878"/>
        <n v="51954"/>
        <n v="51963"/>
        <n v="52027"/>
        <n v="52535"/>
        <n v="52539"/>
        <n v="52679"/>
        <n v="52800"/>
        <n v="53193"/>
        <n v="53597"/>
        <n v="53985"/>
        <n v="54456"/>
        <n v="55372"/>
        <n v="55473"/>
        <n v="55695"/>
        <n v="56379"/>
        <n v="56464"/>
        <n v="56569"/>
        <n v="56765"/>
        <n v="57652"/>
        <n v="57991"/>
        <n v="58465"/>
        <n v="58522"/>
        <n v="58708"/>
        <n v="58727"/>
        <n v="59454"/>
        <n v="59919"/>
        <n v="62310"/>
        <n v="62414"/>
        <n v="64145"/>
        <n v="64532"/>
        <n v="64781"/>
        <n v="65763"/>
        <n v="66412"/>
        <n v="67718"/>
        <n v="68048"/>
        <n v="68911"/>
        <n v="72084"/>
        <n v="72710"/>
        <n v="72734"/>
        <n v="72956"/>
        <n v="75340"/>
        <n v="75598"/>
        <n v="76583"/>
        <n v="76718"/>
        <n v="77462"/>
        <n v="78190"/>
        <n v="79197"/>
        <n v="80102"/>
        <n v="87995"/>
      </sharedItems>
    </cacheField>
    <cacheField name="Borough" numFmtId="0">
      <sharedItems count="7">
        <s v="Bronx"/>
        <s v="Brooklyn"/>
        <s v="EWR"/>
        <s v="Manhattan"/>
        <s v="Queens"/>
        <s v="Staten Island"/>
        <s v="Unknown"/>
      </sharedItems>
    </cacheField>
    <cacheField name="Zone" numFmtId="0">
      <sharedItems count="260">
        <s v="Allerton/Pelham Gardens"/>
        <s v="Alphabet City"/>
        <s v="Arden Heights"/>
        <s v="Arrochar/Fort Wadsworth"/>
        <s v="Astoria"/>
        <s v="Astoria Park"/>
        <s v="Auburndale"/>
        <s v="Baisley Park"/>
        <s v="Bath Beach"/>
        <s v="Battery Park"/>
        <s v="Battery Park City"/>
        <s v="Bay Ridge"/>
        <s v="Bay Terrace/Fort Totten"/>
        <s v="Bayside"/>
        <s v="Bedford"/>
        <s v="Bedford Park"/>
        <s v="Bellerose"/>
        <s v="Belmont"/>
        <s v="Bensonhurst East"/>
        <s v="Bensonhurst West"/>
        <s v="Bloomfield/Emerson Hill"/>
        <s v="Bloomingdale"/>
        <s v="Boerum Hill"/>
        <s v="Borough Park"/>
        <s v="Breezy Point/Fort Tilden/Riis Beach"/>
        <s v="Briarwood/Jamaica Hills"/>
        <s v="Brighton Beach"/>
        <s v="Broad Channel"/>
        <s v="Bronx Park"/>
        <s v="Bronxdale"/>
        <s v="Brooklyn Heights"/>
        <s v="Brooklyn Navy Yard"/>
        <s v="Brownsville"/>
        <s v="Bushwick North"/>
        <s v="Bushwick South"/>
        <s v="Cambria Heights"/>
        <s v="Canarsie"/>
        <s v="Carroll Gardens"/>
        <s v="Central Harlem"/>
        <s v="Central Harlem North"/>
        <s v="Central Park"/>
        <s v="Charleston/Tottenville"/>
        <s v="Chinatown"/>
        <s v="City Island"/>
        <s v="Claremont/Bathgate"/>
        <s v="Clinton East"/>
        <s v="Clinton Hill"/>
        <s v="Clinton West"/>
        <s v="Co-Op City"/>
        <s v="Cobble Hill"/>
        <s v="College Point"/>
        <s v="Columbia Street"/>
        <s v="Coney Island"/>
        <s v="Corona"/>
        <s v="Country Club"/>
        <s v="Crotona Park"/>
        <s v="Crotona Park East"/>
        <s v="Crown Heights North"/>
        <s v="Crown Heights South"/>
        <s v="Cypress Hills"/>
        <s v="Douglaston"/>
        <s v="Downtown Brooklyn/MetroTech"/>
        <s v="DUMBO/Vinegar Hill"/>
        <s v="Dyker Heights"/>
        <s v="East Chelsea"/>
        <s v="East Concourse/Concourse Village"/>
        <s v="East Elmhurst"/>
        <s v="East Flatbush/Farragut"/>
        <s v="East Flatbush/Remsen Village"/>
        <s v="East Flushing"/>
        <s v="East Harlem North"/>
        <s v="East Harlem South"/>
        <s v="East New York"/>
        <s v="East New York/Pennsylvania Avenue"/>
        <s v="East Tremont"/>
        <s v="East Village"/>
        <s v="East Williamsburg"/>
        <s v="Eastchester"/>
        <s v="Elmhurst"/>
        <s v="Elmhurst/Maspeth"/>
        <s v="Eltingville/Annadale/Prince's Bay"/>
        <s v="Erasmus"/>
        <s v="Far Rockaway"/>
        <s v="Financial District North"/>
        <s v="Financial District South"/>
        <s v="Flatbush/Ditmas Park"/>
        <s v="Flatiron"/>
        <s v="Flatlands"/>
        <s v="Flushing"/>
        <s v="Flushing Meadows-Corona Park"/>
        <s v="Fordham South"/>
        <s v="Forest Hills"/>
        <s v="Forest Park/Highland Park"/>
        <s v="Fort Greene"/>
        <s v="Fresh Meadows"/>
        <s v="Freshkills Park"/>
        <s v="Garment District"/>
        <s v="Glen Oaks"/>
        <s v="Glendale"/>
        <s v="Governor's Island/Ellis Island/Liberty Island"/>
        <s v="Gowanus"/>
        <s v="Gramercy"/>
        <s v="Gravesend"/>
        <s v="Great Kills"/>
        <s v="Great Kills Park"/>
        <s v="Green-Wood Cemetery"/>
        <s v="Greenpoint"/>
        <s v="Greenwich Village North"/>
        <s v="Greenwich Village South"/>
        <s v="Grymes Hill/Clifton"/>
        <s v="Hamilton Heights"/>
        <s v="Hammels/Arverne"/>
        <s v="Heartland Village/Todt Hill"/>
        <s v="Highbridge"/>
        <s v="Highbridge Park"/>
        <s v="Hillcrest/Pomonok"/>
        <s v="Hollis"/>
        <s v="Homecrest"/>
        <s v="Howard Beach"/>
        <s v="Hudson Sq"/>
        <s v="Hunts Point"/>
        <s v="Inwood"/>
        <s v="Inwood Hill Park"/>
        <s v="Jackson Heights"/>
        <s v="Jamaica"/>
        <s v="Jamaica Bay"/>
        <s v="Jamaica Estates"/>
        <s v="JFK Airport"/>
        <s v="Kensington"/>
        <s v="Kew Gardens"/>
        <s v="Kew Gardens Hills"/>
        <s v="Kingsbridge Heights"/>
        <s v="Kips Bay"/>
        <s v="LaGuardia Airport"/>
        <s v="Laurelton"/>
        <s v="Lenox Hill East"/>
        <s v="Lenox Hill West"/>
        <s v="Lincoln Square East"/>
        <s v="Lincoln Square West"/>
        <s v="Little Italy/NoLiTa"/>
        <s v="Long Island City/Hunters Point"/>
        <s v="Long Island City/Queens Plaza"/>
        <s v="Longwood"/>
        <s v="Lower East Side"/>
        <s v="Madison"/>
        <s v="Manhattan Beach"/>
        <s v="Manhattan Valley"/>
        <s v="Manhattanville"/>
        <s v="Marble Hill"/>
        <s v="Marine Park/Floyd Bennett Field"/>
        <s v="Marine Park/Mill Basin"/>
        <s v="Mariners Harbor"/>
        <s v="Maspeth"/>
        <s v="Meatpacking/West Village West"/>
        <s v="Melrose South"/>
        <s v="Middle Village"/>
        <s v="Midtown Center"/>
        <s v="Midtown East"/>
        <s v="Midtown North"/>
        <s v="Midtown South"/>
        <s v="Midwood"/>
        <s v="Morningside Heights"/>
        <s v="Morrisania/Melrose"/>
        <s v="Mott Haven/Port Morris"/>
        <s v="Mount Hope"/>
        <s v="Murray Hill"/>
        <s v="Murray Hill-Queens"/>
        <s v="New Dorp/Midland Beach"/>
        <s v="Newark Airport"/>
        <s v="North Corona"/>
        <s v="Norwood"/>
        <s v="Oakland Gardens"/>
        <s v="Oakwood"/>
        <s v="Ocean Hill"/>
        <s v="Ocean Parkway South"/>
        <s v="Old Astoria"/>
        <s v="Ozone Park"/>
        <s v="Park Slope"/>
        <s v="Parkchester"/>
        <s v="Pelham Bay"/>
        <s v="Pelham Bay Park"/>
        <s v="Pelham Parkway"/>
        <s v="Penn Station/Madison Sq West"/>
        <s v="Port Richmond"/>
        <s v="Prospect Heights"/>
        <s v="Prospect Park"/>
        <s v="Prospect-Lefferts Gardens"/>
        <s v="Queens Village"/>
        <s v="Queensboro Hill"/>
        <s v="Queensbridge/Ravenswood"/>
        <s v="Randalls Island"/>
        <s v="Red Hook"/>
        <s v="Rego Park"/>
        <s v="Richmond Hill"/>
        <s v="Ridgewood"/>
        <s v="Riverdale/North Riverdale/Fieldston"/>
        <s v="Rockaway Park"/>
        <s v="Roosevelt Island"/>
        <s v="Rosedale"/>
        <s v="Rossville/Woodrow"/>
        <s v="Saint Albans"/>
        <s v="Saint George/New Brighton"/>
        <s v="Saint Michaels Cemetery/Woodside"/>
        <s v="Schuylerville/Edgewater Park"/>
        <s v="Seaport"/>
        <s v="Sheepshead Bay"/>
        <s v="SoHo"/>
        <s v="Soundview/Bruckner"/>
        <s v="Soundview/Castle Hill"/>
        <s v="South Beach/Dongan Hills"/>
        <s v="South Jamaica"/>
        <s v="South Ozone Park"/>
        <s v="South Williamsburg"/>
        <s v="Springfield Gardens North"/>
        <s v="Springfield Gardens South"/>
        <s v="Spuyten Duyvil/Kingsbridge"/>
        <s v="Stapleton"/>
        <s v="Starrett City"/>
        <s v="Steinway"/>
        <s v="Stuy Town/Peter Cooper Village"/>
        <s v="Stuyvesant Heights"/>
        <s v="Sunnyside"/>
        <s v="Sunset Park East"/>
        <s v="Sunset Park West"/>
        <s v="Sutton Place/Turtle Bay North"/>
        <s v="Times Sq/Theatre District"/>
        <s v="TriBeCa/Civic Center"/>
        <s v="Two Bridges/Seward Park"/>
        <s v="UN/Turtle Bay South"/>
        <s v="Union Sq"/>
        <s v="University Heights/Morris Heights"/>
        <s v="Unknown"/>
        <s v="Upper East Side North"/>
        <s v="Upper East Side South"/>
        <s v="Upper West Side North"/>
        <s v="Upper West Side South"/>
        <s v="Van Cortlandt Park"/>
        <s v="Van Cortlandt Village"/>
        <s v="Van Nest/Morris Park"/>
        <s v="Washington Heights North"/>
        <s v="Washington Heights South"/>
        <s v="West Brighton"/>
        <s v="West Chelsea/Hudson Yards"/>
        <s v="West Concourse"/>
        <s v="West Farms/Bronx River"/>
        <s v="West Village"/>
        <s v="Westchester Village/Unionport"/>
        <s v="Westerleigh"/>
        <s v="Whitestone"/>
        <s v="Willets Point"/>
        <s v="Williamsbridge/Olinville"/>
        <s v="Williamsburg (North Side)"/>
        <s v="Williamsburg (South Side)"/>
        <s v="Windsor Terrace"/>
        <s v="Woodhaven"/>
        <s v="Woodlawn/Wakefield"/>
        <s v="Woodside"/>
        <s v="World Trade Center"/>
        <s v="Yorkville East"/>
        <s v="Yorkville West"/>
      </sharedItems>
    </cacheField>
    <cacheField name="Service Area" numFmtId="0">
      <sharedItems count="7">
        <s v="Airports"/>
        <s v="Bronx"/>
        <s v="Brooklyn"/>
        <s v="Manhattan"/>
        <s v="Queens"/>
        <s v="Staten Island"/>
        <s v="Unknown"/>
      </sharedItems>
    </cacheField>
  </cacheFields>
</pivotCacheDefinition>
</file>

<file path=xl/pivotCache/pivotCacheRecords1.xml><?xml version="1.0" encoding="utf-8"?>
<pivotCacheRecords xmlns="http://schemas.openxmlformats.org/spreadsheetml/2006/main" xmlns:r="http://schemas.openxmlformats.org/officeDocument/2006/relationships" count="8725">
  <r>
    <x v="0"/>
    <x v="0"/>
    <x v="69"/>
    <x v="0"/>
    <x v="0"/>
    <x v="0"/>
    <x v="5"/>
    <x v="0"/>
    <x v="4"/>
  </r>
  <r>
    <x v="0"/>
    <x v="1"/>
    <x v="11"/>
    <x v="0"/>
    <x v="0"/>
    <x v="0"/>
    <x v="5"/>
    <x v="0"/>
    <x v="4"/>
  </r>
  <r>
    <x v="0"/>
    <x v="2"/>
    <x v="3"/>
    <x v="0"/>
    <x v="0"/>
    <x v="0"/>
    <x v="5"/>
    <x v="0"/>
    <x v="4"/>
  </r>
  <r>
    <x v="0"/>
    <x v="3"/>
    <x v="29"/>
    <x v="0"/>
    <x v="0"/>
    <x v="0"/>
    <x v="5"/>
    <x v="0"/>
    <x v="4"/>
  </r>
  <r>
    <x v="0"/>
    <x v="4"/>
    <x v="95"/>
    <x v="0"/>
    <x v="0"/>
    <x v="0"/>
    <x v="5"/>
    <x v="0"/>
    <x v="4"/>
  </r>
  <r>
    <x v="0"/>
    <x v="5"/>
    <x v="255"/>
    <x v="0"/>
    <x v="0"/>
    <x v="0"/>
    <x v="5"/>
    <x v="0"/>
    <x v="4"/>
  </r>
  <r>
    <x v="0"/>
    <x v="6"/>
    <x v="620"/>
    <x v="0"/>
    <x v="0"/>
    <x v="0"/>
    <x v="5"/>
    <x v="0"/>
    <x v="3"/>
  </r>
  <r>
    <x v="0"/>
    <x v="7"/>
    <x v="889"/>
    <x v="0"/>
    <x v="0"/>
    <x v="0"/>
    <x v="5"/>
    <x v="0"/>
    <x v="3"/>
  </r>
  <r>
    <x v="0"/>
    <x v="8"/>
    <x v="677"/>
    <x v="0"/>
    <x v="0"/>
    <x v="0"/>
    <x v="5"/>
    <x v="0"/>
    <x v="3"/>
  </r>
  <r>
    <x v="0"/>
    <x v="9"/>
    <x v="443"/>
    <x v="0"/>
    <x v="0"/>
    <x v="0"/>
    <x v="5"/>
    <x v="0"/>
    <x v="3"/>
  </r>
  <r>
    <x v="0"/>
    <x v="10"/>
    <x v="394"/>
    <x v="0"/>
    <x v="0"/>
    <x v="0"/>
    <x v="5"/>
    <x v="0"/>
    <x v="2"/>
  </r>
  <r>
    <x v="0"/>
    <x v="11"/>
    <x v="457"/>
    <x v="0"/>
    <x v="0"/>
    <x v="0"/>
    <x v="5"/>
    <x v="0"/>
    <x v="2"/>
  </r>
  <r>
    <x v="0"/>
    <x v="12"/>
    <x v="387"/>
    <x v="0"/>
    <x v="0"/>
    <x v="0"/>
    <x v="5"/>
    <x v="0"/>
    <x v="2"/>
  </r>
  <r>
    <x v="0"/>
    <x v="13"/>
    <x v="499"/>
    <x v="0"/>
    <x v="0"/>
    <x v="0"/>
    <x v="5"/>
    <x v="0"/>
    <x v="2"/>
  </r>
  <r>
    <x v="0"/>
    <x v="14"/>
    <x v="634"/>
    <x v="0"/>
    <x v="0"/>
    <x v="0"/>
    <x v="5"/>
    <x v="0"/>
    <x v="2"/>
  </r>
  <r>
    <x v="0"/>
    <x v="15"/>
    <x v="857"/>
    <x v="0"/>
    <x v="0"/>
    <x v="0"/>
    <x v="5"/>
    <x v="0"/>
    <x v="2"/>
  </r>
  <r>
    <x v="0"/>
    <x v="16"/>
    <x v="1034"/>
    <x v="0"/>
    <x v="0"/>
    <x v="0"/>
    <x v="5"/>
    <x v="0"/>
    <x v="0"/>
  </r>
  <r>
    <x v="0"/>
    <x v="17"/>
    <x v="1134"/>
    <x v="0"/>
    <x v="0"/>
    <x v="0"/>
    <x v="5"/>
    <x v="0"/>
    <x v="0"/>
  </r>
  <r>
    <x v="0"/>
    <x v="18"/>
    <x v="1006"/>
    <x v="0"/>
    <x v="0"/>
    <x v="0"/>
    <x v="5"/>
    <x v="0"/>
    <x v="0"/>
  </r>
  <r>
    <x v="0"/>
    <x v="19"/>
    <x v="906"/>
    <x v="0"/>
    <x v="0"/>
    <x v="0"/>
    <x v="5"/>
    <x v="0"/>
    <x v="0"/>
  </r>
  <r>
    <x v="0"/>
    <x v="20"/>
    <x v="505"/>
    <x v="0"/>
    <x v="0"/>
    <x v="0"/>
    <x v="5"/>
    <x v="0"/>
    <x v="1"/>
  </r>
  <r>
    <x v="0"/>
    <x v="21"/>
    <x v="771"/>
    <x v="0"/>
    <x v="0"/>
    <x v="0"/>
    <x v="5"/>
    <x v="0"/>
    <x v="1"/>
  </r>
  <r>
    <x v="0"/>
    <x v="22"/>
    <x v="440"/>
    <x v="0"/>
    <x v="0"/>
    <x v="0"/>
    <x v="5"/>
    <x v="0"/>
    <x v="1"/>
  </r>
  <r>
    <x v="0"/>
    <x v="23"/>
    <x v="240"/>
    <x v="0"/>
    <x v="0"/>
    <x v="0"/>
    <x v="5"/>
    <x v="0"/>
    <x v="1"/>
  </r>
  <r>
    <x v="1"/>
    <x v="0"/>
    <x v="90"/>
    <x v="0"/>
    <x v="0"/>
    <x v="0"/>
    <x v="6"/>
    <x v="0"/>
    <x v="4"/>
  </r>
  <r>
    <x v="1"/>
    <x v="1"/>
    <x v="22"/>
    <x v="0"/>
    <x v="0"/>
    <x v="0"/>
    <x v="6"/>
    <x v="0"/>
    <x v="4"/>
  </r>
  <r>
    <x v="1"/>
    <x v="2"/>
    <x v="6"/>
    <x v="0"/>
    <x v="0"/>
    <x v="0"/>
    <x v="6"/>
    <x v="0"/>
    <x v="4"/>
  </r>
  <r>
    <x v="1"/>
    <x v="3"/>
    <x v="21"/>
    <x v="0"/>
    <x v="0"/>
    <x v="0"/>
    <x v="6"/>
    <x v="0"/>
    <x v="4"/>
  </r>
  <r>
    <x v="1"/>
    <x v="4"/>
    <x v="125"/>
    <x v="0"/>
    <x v="0"/>
    <x v="0"/>
    <x v="6"/>
    <x v="0"/>
    <x v="4"/>
  </r>
  <r>
    <x v="1"/>
    <x v="5"/>
    <x v="266"/>
    <x v="0"/>
    <x v="0"/>
    <x v="0"/>
    <x v="6"/>
    <x v="0"/>
    <x v="4"/>
  </r>
  <r>
    <x v="1"/>
    <x v="6"/>
    <x v="682"/>
    <x v="0"/>
    <x v="0"/>
    <x v="0"/>
    <x v="6"/>
    <x v="0"/>
    <x v="3"/>
  </r>
  <r>
    <x v="1"/>
    <x v="7"/>
    <x v="985"/>
    <x v="0"/>
    <x v="0"/>
    <x v="0"/>
    <x v="6"/>
    <x v="0"/>
    <x v="3"/>
  </r>
  <r>
    <x v="1"/>
    <x v="8"/>
    <x v="819"/>
    <x v="0"/>
    <x v="0"/>
    <x v="0"/>
    <x v="6"/>
    <x v="0"/>
    <x v="3"/>
  </r>
  <r>
    <x v="1"/>
    <x v="9"/>
    <x v="560"/>
    <x v="0"/>
    <x v="0"/>
    <x v="0"/>
    <x v="6"/>
    <x v="0"/>
    <x v="3"/>
  </r>
  <r>
    <x v="1"/>
    <x v="10"/>
    <x v="562"/>
    <x v="0"/>
    <x v="0"/>
    <x v="0"/>
    <x v="6"/>
    <x v="0"/>
    <x v="2"/>
  </r>
  <r>
    <x v="1"/>
    <x v="11"/>
    <x v="604"/>
    <x v="0"/>
    <x v="0"/>
    <x v="0"/>
    <x v="6"/>
    <x v="0"/>
    <x v="2"/>
  </r>
  <r>
    <x v="1"/>
    <x v="12"/>
    <x v="538"/>
    <x v="0"/>
    <x v="0"/>
    <x v="0"/>
    <x v="6"/>
    <x v="0"/>
    <x v="2"/>
  </r>
  <r>
    <x v="1"/>
    <x v="13"/>
    <x v="607"/>
    <x v="0"/>
    <x v="0"/>
    <x v="0"/>
    <x v="6"/>
    <x v="0"/>
    <x v="2"/>
  </r>
  <r>
    <x v="1"/>
    <x v="14"/>
    <x v="761"/>
    <x v="0"/>
    <x v="0"/>
    <x v="0"/>
    <x v="6"/>
    <x v="0"/>
    <x v="2"/>
  </r>
  <r>
    <x v="1"/>
    <x v="15"/>
    <x v="1020"/>
    <x v="0"/>
    <x v="0"/>
    <x v="0"/>
    <x v="6"/>
    <x v="0"/>
    <x v="2"/>
  </r>
  <r>
    <x v="1"/>
    <x v="16"/>
    <x v="1184"/>
    <x v="0"/>
    <x v="0"/>
    <x v="0"/>
    <x v="6"/>
    <x v="0"/>
    <x v="0"/>
  </r>
  <r>
    <x v="1"/>
    <x v="17"/>
    <x v="1445"/>
    <x v="0"/>
    <x v="0"/>
    <x v="0"/>
    <x v="6"/>
    <x v="0"/>
    <x v="0"/>
  </r>
  <r>
    <x v="1"/>
    <x v="18"/>
    <x v="1124"/>
    <x v="0"/>
    <x v="0"/>
    <x v="0"/>
    <x v="6"/>
    <x v="0"/>
    <x v="0"/>
  </r>
  <r>
    <x v="1"/>
    <x v="19"/>
    <x v="972"/>
    <x v="0"/>
    <x v="0"/>
    <x v="0"/>
    <x v="6"/>
    <x v="0"/>
    <x v="0"/>
  </r>
  <r>
    <x v="1"/>
    <x v="20"/>
    <x v="1025"/>
    <x v="0"/>
    <x v="0"/>
    <x v="0"/>
    <x v="6"/>
    <x v="0"/>
    <x v="1"/>
  </r>
  <r>
    <x v="1"/>
    <x v="21"/>
    <x v="882"/>
    <x v="0"/>
    <x v="0"/>
    <x v="0"/>
    <x v="6"/>
    <x v="0"/>
    <x v="1"/>
  </r>
  <r>
    <x v="1"/>
    <x v="22"/>
    <x v="544"/>
    <x v="0"/>
    <x v="0"/>
    <x v="0"/>
    <x v="6"/>
    <x v="0"/>
    <x v="1"/>
  </r>
  <r>
    <x v="1"/>
    <x v="23"/>
    <x v="270"/>
    <x v="0"/>
    <x v="0"/>
    <x v="0"/>
    <x v="6"/>
    <x v="0"/>
    <x v="1"/>
  </r>
  <r>
    <x v="2"/>
    <x v="0"/>
    <x v="123"/>
    <x v="0"/>
    <x v="0"/>
    <x v="0"/>
    <x v="4"/>
    <x v="0"/>
    <x v="4"/>
  </r>
  <r>
    <x v="2"/>
    <x v="1"/>
    <x v="39"/>
    <x v="0"/>
    <x v="0"/>
    <x v="0"/>
    <x v="4"/>
    <x v="0"/>
    <x v="4"/>
  </r>
  <r>
    <x v="2"/>
    <x v="2"/>
    <x v="11"/>
    <x v="0"/>
    <x v="0"/>
    <x v="0"/>
    <x v="4"/>
    <x v="0"/>
    <x v="4"/>
  </r>
  <r>
    <x v="2"/>
    <x v="3"/>
    <x v="61"/>
    <x v="0"/>
    <x v="0"/>
    <x v="0"/>
    <x v="4"/>
    <x v="0"/>
    <x v="4"/>
  </r>
  <r>
    <x v="2"/>
    <x v="4"/>
    <x v="122"/>
    <x v="0"/>
    <x v="0"/>
    <x v="0"/>
    <x v="4"/>
    <x v="0"/>
    <x v="4"/>
  </r>
  <r>
    <x v="2"/>
    <x v="5"/>
    <x v="276"/>
    <x v="0"/>
    <x v="0"/>
    <x v="0"/>
    <x v="4"/>
    <x v="0"/>
    <x v="4"/>
  </r>
  <r>
    <x v="2"/>
    <x v="6"/>
    <x v="648"/>
    <x v="0"/>
    <x v="0"/>
    <x v="0"/>
    <x v="4"/>
    <x v="0"/>
    <x v="3"/>
  </r>
  <r>
    <x v="2"/>
    <x v="7"/>
    <x v="910"/>
    <x v="0"/>
    <x v="0"/>
    <x v="0"/>
    <x v="4"/>
    <x v="0"/>
    <x v="3"/>
  </r>
  <r>
    <x v="2"/>
    <x v="8"/>
    <x v="757"/>
    <x v="0"/>
    <x v="0"/>
    <x v="0"/>
    <x v="4"/>
    <x v="0"/>
    <x v="3"/>
  </r>
  <r>
    <x v="2"/>
    <x v="9"/>
    <x v="499"/>
    <x v="0"/>
    <x v="0"/>
    <x v="0"/>
    <x v="4"/>
    <x v="0"/>
    <x v="3"/>
  </r>
  <r>
    <x v="2"/>
    <x v="10"/>
    <x v="468"/>
    <x v="0"/>
    <x v="0"/>
    <x v="0"/>
    <x v="4"/>
    <x v="0"/>
    <x v="2"/>
  </r>
  <r>
    <x v="2"/>
    <x v="11"/>
    <x v="459"/>
    <x v="0"/>
    <x v="0"/>
    <x v="0"/>
    <x v="4"/>
    <x v="0"/>
    <x v="2"/>
  </r>
  <r>
    <x v="2"/>
    <x v="12"/>
    <x v="526"/>
    <x v="0"/>
    <x v="0"/>
    <x v="0"/>
    <x v="4"/>
    <x v="0"/>
    <x v="2"/>
  </r>
  <r>
    <x v="2"/>
    <x v="13"/>
    <x v="664"/>
    <x v="0"/>
    <x v="0"/>
    <x v="0"/>
    <x v="4"/>
    <x v="0"/>
    <x v="2"/>
  </r>
  <r>
    <x v="2"/>
    <x v="14"/>
    <x v="826"/>
    <x v="0"/>
    <x v="0"/>
    <x v="0"/>
    <x v="4"/>
    <x v="0"/>
    <x v="2"/>
  </r>
  <r>
    <x v="2"/>
    <x v="15"/>
    <x v="1119"/>
    <x v="0"/>
    <x v="0"/>
    <x v="0"/>
    <x v="4"/>
    <x v="0"/>
    <x v="2"/>
  </r>
  <r>
    <x v="2"/>
    <x v="16"/>
    <x v="1303"/>
    <x v="0"/>
    <x v="0"/>
    <x v="0"/>
    <x v="4"/>
    <x v="0"/>
    <x v="0"/>
  </r>
  <r>
    <x v="2"/>
    <x v="17"/>
    <x v="1478"/>
    <x v="0"/>
    <x v="0"/>
    <x v="0"/>
    <x v="4"/>
    <x v="0"/>
    <x v="0"/>
  </r>
  <r>
    <x v="2"/>
    <x v="18"/>
    <x v="1468"/>
    <x v="0"/>
    <x v="0"/>
    <x v="0"/>
    <x v="4"/>
    <x v="0"/>
    <x v="0"/>
  </r>
  <r>
    <x v="2"/>
    <x v="19"/>
    <x v="1242"/>
    <x v="0"/>
    <x v="0"/>
    <x v="0"/>
    <x v="4"/>
    <x v="0"/>
    <x v="0"/>
  </r>
  <r>
    <x v="2"/>
    <x v="20"/>
    <x v="1436"/>
    <x v="0"/>
    <x v="0"/>
    <x v="0"/>
    <x v="4"/>
    <x v="0"/>
    <x v="1"/>
  </r>
  <r>
    <x v="2"/>
    <x v="21"/>
    <x v="1548"/>
    <x v="0"/>
    <x v="0"/>
    <x v="0"/>
    <x v="4"/>
    <x v="0"/>
    <x v="1"/>
  </r>
  <r>
    <x v="2"/>
    <x v="22"/>
    <x v="1426"/>
    <x v="0"/>
    <x v="0"/>
    <x v="0"/>
    <x v="4"/>
    <x v="0"/>
    <x v="1"/>
  </r>
  <r>
    <x v="2"/>
    <x v="23"/>
    <x v="690"/>
    <x v="0"/>
    <x v="0"/>
    <x v="0"/>
    <x v="4"/>
    <x v="0"/>
    <x v="1"/>
  </r>
  <r>
    <x v="3"/>
    <x v="0"/>
    <x v="251"/>
    <x v="0"/>
    <x v="0"/>
    <x v="0"/>
    <x v="0"/>
    <x v="0"/>
    <x v="4"/>
  </r>
  <r>
    <x v="3"/>
    <x v="1"/>
    <x v="113"/>
    <x v="0"/>
    <x v="0"/>
    <x v="0"/>
    <x v="0"/>
    <x v="0"/>
    <x v="4"/>
  </r>
  <r>
    <x v="3"/>
    <x v="2"/>
    <x v="49"/>
    <x v="0"/>
    <x v="0"/>
    <x v="0"/>
    <x v="0"/>
    <x v="0"/>
    <x v="4"/>
  </r>
  <r>
    <x v="3"/>
    <x v="3"/>
    <x v="84"/>
    <x v="0"/>
    <x v="0"/>
    <x v="0"/>
    <x v="0"/>
    <x v="0"/>
    <x v="4"/>
  </r>
  <r>
    <x v="3"/>
    <x v="4"/>
    <x v="166"/>
    <x v="0"/>
    <x v="0"/>
    <x v="0"/>
    <x v="0"/>
    <x v="0"/>
    <x v="4"/>
  </r>
  <r>
    <x v="3"/>
    <x v="5"/>
    <x v="300"/>
    <x v="0"/>
    <x v="0"/>
    <x v="0"/>
    <x v="0"/>
    <x v="0"/>
    <x v="4"/>
  </r>
  <r>
    <x v="3"/>
    <x v="6"/>
    <x v="734"/>
    <x v="0"/>
    <x v="0"/>
    <x v="0"/>
    <x v="0"/>
    <x v="0"/>
    <x v="3"/>
  </r>
  <r>
    <x v="3"/>
    <x v="7"/>
    <x v="1079"/>
    <x v="0"/>
    <x v="0"/>
    <x v="0"/>
    <x v="0"/>
    <x v="0"/>
    <x v="3"/>
  </r>
  <r>
    <x v="3"/>
    <x v="8"/>
    <x v="952"/>
    <x v="0"/>
    <x v="0"/>
    <x v="0"/>
    <x v="0"/>
    <x v="0"/>
    <x v="3"/>
  </r>
  <r>
    <x v="3"/>
    <x v="9"/>
    <x v="667"/>
    <x v="0"/>
    <x v="0"/>
    <x v="0"/>
    <x v="0"/>
    <x v="0"/>
    <x v="3"/>
  </r>
  <r>
    <x v="3"/>
    <x v="10"/>
    <x v="657"/>
    <x v="0"/>
    <x v="0"/>
    <x v="0"/>
    <x v="0"/>
    <x v="0"/>
    <x v="2"/>
  </r>
  <r>
    <x v="3"/>
    <x v="11"/>
    <x v="715"/>
    <x v="0"/>
    <x v="0"/>
    <x v="0"/>
    <x v="0"/>
    <x v="0"/>
    <x v="2"/>
  </r>
  <r>
    <x v="3"/>
    <x v="12"/>
    <x v="722"/>
    <x v="0"/>
    <x v="0"/>
    <x v="0"/>
    <x v="0"/>
    <x v="0"/>
    <x v="2"/>
  </r>
  <r>
    <x v="3"/>
    <x v="13"/>
    <x v="882"/>
    <x v="0"/>
    <x v="0"/>
    <x v="0"/>
    <x v="0"/>
    <x v="0"/>
    <x v="2"/>
  </r>
  <r>
    <x v="3"/>
    <x v="14"/>
    <x v="1068"/>
    <x v="0"/>
    <x v="0"/>
    <x v="0"/>
    <x v="0"/>
    <x v="0"/>
    <x v="2"/>
  </r>
  <r>
    <x v="3"/>
    <x v="15"/>
    <x v="1361"/>
    <x v="0"/>
    <x v="0"/>
    <x v="0"/>
    <x v="0"/>
    <x v="0"/>
    <x v="2"/>
  </r>
  <r>
    <x v="3"/>
    <x v="16"/>
    <x v="1679"/>
    <x v="0"/>
    <x v="0"/>
    <x v="0"/>
    <x v="0"/>
    <x v="0"/>
    <x v="0"/>
  </r>
  <r>
    <x v="3"/>
    <x v="17"/>
    <x v="1980"/>
    <x v="0"/>
    <x v="0"/>
    <x v="0"/>
    <x v="0"/>
    <x v="0"/>
    <x v="0"/>
  </r>
  <r>
    <x v="3"/>
    <x v="18"/>
    <x v="2097"/>
    <x v="0"/>
    <x v="0"/>
    <x v="0"/>
    <x v="0"/>
    <x v="0"/>
    <x v="0"/>
  </r>
  <r>
    <x v="3"/>
    <x v="19"/>
    <x v="1873"/>
    <x v="0"/>
    <x v="0"/>
    <x v="0"/>
    <x v="0"/>
    <x v="0"/>
    <x v="0"/>
  </r>
  <r>
    <x v="3"/>
    <x v="20"/>
    <x v="1349"/>
    <x v="0"/>
    <x v="0"/>
    <x v="0"/>
    <x v="0"/>
    <x v="0"/>
    <x v="1"/>
  </r>
  <r>
    <x v="3"/>
    <x v="21"/>
    <x v="1734"/>
    <x v="0"/>
    <x v="0"/>
    <x v="0"/>
    <x v="0"/>
    <x v="0"/>
    <x v="1"/>
  </r>
  <r>
    <x v="3"/>
    <x v="22"/>
    <x v="1675"/>
    <x v="0"/>
    <x v="0"/>
    <x v="0"/>
    <x v="0"/>
    <x v="0"/>
    <x v="1"/>
  </r>
  <r>
    <x v="3"/>
    <x v="23"/>
    <x v="1209"/>
    <x v="0"/>
    <x v="0"/>
    <x v="0"/>
    <x v="0"/>
    <x v="0"/>
    <x v="1"/>
  </r>
  <r>
    <x v="4"/>
    <x v="0"/>
    <x v="621"/>
    <x v="0"/>
    <x v="0"/>
    <x v="0"/>
    <x v="2"/>
    <x v="1"/>
    <x v="4"/>
  </r>
  <r>
    <x v="4"/>
    <x v="1"/>
    <x v="334"/>
    <x v="0"/>
    <x v="0"/>
    <x v="0"/>
    <x v="2"/>
    <x v="1"/>
    <x v="4"/>
  </r>
  <r>
    <x v="4"/>
    <x v="2"/>
    <x v="143"/>
    <x v="0"/>
    <x v="0"/>
    <x v="0"/>
    <x v="2"/>
    <x v="1"/>
    <x v="4"/>
  </r>
  <r>
    <x v="4"/>
    <x v="3"/>
    <x v="110"/>
    <x v="0"/>
    <x v="0"/>
    <x v="0"/>
    <x v="2"/>
    <x v="1"/>
    <x v="4"/>
  </r>
  <r>
    <x v="4"/>
    <x v="4"/>
    <x v="83"/>
    <x v="0"/>
    <x v="0"/>
    <x v="0"/>
    <x v="2"/>
    <x v="1"/>
    <x v="4"/>
  </r>
  <r>
    <x v="4"/>
    <x v="5"/>
    <x v="106"/>
    <x v="0"/>
    <x v="0"/>
    <x v="0"/>
    <x v="2"/>
    <x v="1"/>
    <x v="4"/>
  </r>
  <r>
    <x v="4"/>
    <x v="6"/>
    <x v="134"/>
    <x v="0"/>
    <x v="0"/>
    <x v="0"/>
    <x v="2"/>
    <x v="1"/>
    <x v="3"/>
  </r>
  <r>
    <x v="4"/>
    <x v="7"/>
    <x v="206"/>
    <x v="0"/>
    <x v="0"/>
    <x v="0"/>
    <x v="2"/>
    <x v="1"/>
    <x v="3"/>
  </r>
  <r>
    <x v="4"/>
    <x v="8"/>
    <x v="262"/>
    <x v="0"/>
    <x v="0"/>
    <x v="0"/>
    <x v="2"/>
    <x v="1"/>
    <x v="3"/>
  </r>
  <r>
    <x v="4"/>
    <x v="9"/>
    <x v="368"/>
    <x v="0"/>
    <x v="0"/>
    <x v="0"/>
    <x v="2"/>
    <x v="1"/>
    <x v="3"/>
  </r>
  <r>
    <x v="4"/>
    <x v="10"/>
    <x v="441"/>
    <x v="0"/>
    <x v="0"/>
    <x v="0"/>
    <x v="2"/>
    <x v="1"/>
    <x v="2"/>
  </r>
  <r>
    <x v="4"/>
    <x v="11"/>
    <x v="452"/>
    <x v="0"/>
    <x v="0"/>
    <x v="0"/>
    <x v="2"/>
    <x v="1"/>
    <x v="2"/>
  </r>
  <r>
    <x v="4"/>
    <x v="12"/>
    <x v="561"/>
    <x v="0"/>
    <x v="0"/>
    <x v="0"/>
    <x v="2"/>
    <x v="1"/>
    <x v="2"/>
  </r>
  <r>
    <x v="4"/>
    <x v="13"/>
    <x v="552"/>
    <x v="0"/>
    <x v="0"/>
    <x v="0"/>
    <x v="2"/>
    <x v="1"/>
    <x v="2"/>
  </r>
  <r>
    <x v="4"/>
    <x v="14"/>
    <x v="602"/>
    <x v="0"/>
    <x v="0"/>
    <x v="0"/>
    <x v="2"/>
    <x v="1"/>
    <x v="2"/>
  </r>
  <r>
    <x v="4"/>
    <x v="15"/>
    <x v="964"/>
    <x v="0"/>
    <x v="0"/>
    <x v="0"/>
    <x v="2"/>
    <x v="1"/>
    <x v="2"/>
  </r>
  <r>
    <x v="4"/>
    <x v="16"/>
    <x v="1184"/>
    <x v="0"/>
    <x v="0"/>
    <x v="0"/>
    <x v="2"/>
    <x v="1"/>
    <x v="0"/>
  </r>
  <r>
    <x v="4"/>
    <x v="17"/>
    <x v="1309"/>
    <x v="0"/>
    <x v="0"/>
    <x v="0"/>
    <x v="2"/>
    <x v="1"/>
    <x v="0"/>
  </r>
  <r>
    <x v="4"/>
    <x v="18"/>
    <x v="1423"/>
    <x v="0"/>
    <x v="0"/>
    <x v="0"/>
    <x v="2"/>
    <x v="1"/>
    <x v="0"/>
  </r>
  <r>
    <x v="4"/>
    <x v="19"/>
    <x v="1305"/>
    <x v="0"/>
    <x v="0"/>
    <x v="0"/>
    <x v="2"/>
    <x v="1"/>
    <x v="0"/>
  </r>
  <r>
    <x v="4"/>
    <x v="20"/>
    <x v="1217"/>
    <x v="0"/>
    <x v="0"/>
    <x v="0"/>
    <x v="2"/>
    <x v="1"/>
    <x v="1"/>
  </r>
  <r>
    <x v="4"/>
    <x v="21"/>
    <x v="1421"/>
    <x v="0"/>
    <x v="0"/>
    <x v="0"/>
    <x v="2"/>
    <x v="1"/>
    <x v="1"/>
  </r>
  <r>
    <x v="4"/>
    <x v="22"/>
    <x v="1648"/>
    <x v="0"/>
    <x v="0"/>
    <x v="0"/>
    <x v="2"/>
    <x v="1"/>
    <x v="1"/>
  </r>
  <r>
    <x v="4"/>
    <x v="23"/>
    <x v="1534"/>
    <x v="0"/>
    <x v="0"/>
    <x v="0"/>
    <x v="2"/>
    <x v="1"/>
    <x v="1"/>
  </r>
  <r>
    <x v="5"/>
    <x v="0"/>
    <x v="1345"/>
    <x v="0"/>
    <x v="0"/>
    <x v="0"/>
    <x v="3"/>
    <x v="1"/>
    <x v="4"/>
  </r>
  <r>
    <x v="5"/>
    <x v="1"/>
    <x v="831"/>
    <x v="0"/>
    <x v="0"/>
    <x v="0"/>
    <x v="3"/>
    <x v="1"/>
    <x v="4"/>
  </r>
  <r>
    <x v="5"/>
    <x v="2"/>
    <x v="417"/>
    <x v="0"/>
    <x v="0"/>
    <x v="0"/>
    <x v="3"/>
    <x v="1"/>
    <x v="4"/>
  </r>
  <r>
    <x v="5"/>
    <x v="3"/>
    <x v="238"/>
    <x v="0"/>
    <x v="0"/>
    <x v="0"/>
    <x v="3"/>
    <x v="1"/>
    <x v="4"/>
  </r>
  <r>
    <x v="5"/>
    <x v="4"/>
    <x v="130"/>
    <x v="0"/>
    <x v="0"/>
    <x v="0"/>
    <x v="3"/>
    <x v="1"/>
    <x v="4"/>
  </r>
  <r>
    <x v="5"/>
    <x v="5"/>
    <x v="106"/>
    <x v="0"/>
    <x v="0"/>
    <x v="0"/>
    <x v="3"/>
    <x v="1"/>
    <x v="4"/>
  </r>
  <r>
    <x v="5"/>
    <x v="6"/>
    <x v="103"/>
    <x v="0"/>
    <x v="0"/>
    <x v="0"/>
    <x v="3"/>
    <x v="1"/>
    <x v="3"/>
  </r>
  <r>
    <x v="5"/>
    <x v="7"/>
    <x v="154"/>
    <x v="0"/>
    <x v="0"/>
    <x v="0"/>
    <x v="3"/>
    <x v="1"/>
    <x v="3"/>
  </r>
  <r>
    <x v="5"/>
    <x v="8"/>
    <x v="236"/>
    <x v="0"/>
    <x v="0"/>
    <x v="0"/>
    <x v="3"/>
    <x v="1"/>
    <x v="3"/>
  </r>
  <r>
    <x v="5"/>
    <x v="9"/>
    <x v="359"/>
    <x v="0"/>
    <x v="0"/>
    <x v="0"/>
    <x v="3"/>
    <x v="1"/>
    <x v="3"/>
  </r>
  <r>
    <x v="5"/>
    <x v="10"/>
    <x v="457"/>
    <x v="0"/>
    <x v="0"/>
    <x v="0"/>
    <x v="3"/>
    <x v="1"/>
    <x v="2"/>
  </r>
  <r>
    <x v="5"/>
    <x v="11"/>
    <x v="473"/>
    <x v="0"/>
    <x v="0"/>
    <x v="0"/>
    <x v="3"/>
    <x v="1"/>
    <x v="2"/>
  </r>
  <r>
    <x v="5"/>
    <x v="12"/>
    <x v="502"/>
    <x v="0"/>
    <x v="0"/>
    <x v="0"/>
    <x v="3"/>
    <x v="1"/>
    <x v="2"/>
  </r>
  <r>
    <x v="5"/>
    <x v="13"/>
    <x v="578"/>
    <x v="0"/>
    <x v="0"/>
    <x v="0"/>
    <x v="3"/>
    <x v="1"/>
    <x v="2"/>
  </r>
  <r>
    <x v="5"/>
    <x v="14"/>
    <x v="597"/>
    <x v="0"/>
    <x v="0"/>
    <x v="0"/>
    <x v="3"/>
    <x v="1"/>
    <x v="2"/>
  </r>
  <r>
    <x v="5"/>
    <x v="15"/>
    <x v="741"/>
    <x v="0"/>
    <x v="0"/>
    <x v="0"/>
    <x v="3"/>
    <x v="1"/>
    <x v="2"/>
  </r>
  <r>
    <x v="5"/>
    <x v="16"/>
    <x v="702"/>
    <x v="0"/>
    <x v="0"/>
    <x v="0"/>
    <x v="3"/>
    <x v="1"/>
    <x v="0"/>
  </r>
  <r>
    <x v="5"/>
    <x v="17"/>
    <x v="696"/>
    <x v="0"/>
    <x v="0"/>
    <x v="0"/>
    <x v="3"/>
    <x v="1"/>
    <x v="0"/>
  </r>
  <r>
    <x v="5"/>
    <x v="18"/>
    <x v="665"/>
    <x v="0"/>
    <x v="0"/>
    <x v="0"/>
    <x v="3"/>
    <x v="1"/>
    <x v="0"/>
  </r>
  <r>
    <x v="5"/>
    <x v="19"/>
    <x v="547"/>
    <x v="0"/>
    <x v="0"/>
    <x v="0"/>
    <x v="3"/>
    <x v="1"/>
    <x v="0"/>
  </r>
  <r>
    <x v="5"/>
    <x v="20"/>
    <x v="431"/>
    <x v="0"/>
    <x v="0"/>
    <x v="0"/>
    <x v="3"/>
    <x v="1"/>
    <x v="1"/>
  </r>
  <r>
    <x v="5"/>
    <x v="21"/>
    <x v="480"/>
    <x v="0"/>
    <x v="0"/>
    <x v="0"/>
    <x v="3"/>
    <x v="1"/>
    <x v="1"/>
  </r>
  <r>
    <x v="5"/>
    <x v="22"/>
    <x v="309"/>
    <x v="0"/>
    <x v="0"/>
    <x v="0"/>
    <x v="3"/>
    <x v="1"/>
    <x v="1"/>
  </r>
  <r>
    <x v="5"/>
    <x v="23"/>
    <x v="184"/>
    <x v="0"/>
    <x v="0"/>
    <x v="0"/>
    <x v="3"/>
    <x v="1"/>
    <x v="1"/>
  </r>
  <r>
    <x v="6"/>
    <x v="0"/>
    <x v="35"/>
    <x v="0"/>
    <x v="0"/>
    <x v="0"/>
    <x v="1"/>
    <x v="0"/>
    <x v="4"/>
  </r>
  <r>
    <x v="6"/>
    <x v="1"/>
    <x v="9"/>
    <x v="0"/>
    <x v="0"/>
    <x v="0"/>
    <x v="1"/>
    <x v="0"/>
    <x v="4"/>
  </r>
  <r>
    <x v="6"/>
    <x v="2"/>
    <x v="4"/>
    <x v="0"/>
    <x v="0"/>
    <x v="0"/>
    <x v="1"/>
    <x v="0"/>
    <x v="4"/>
  </r>
  <r>
    <x v="6"/>
    <x v="3"/>
    <x v="84"/>
    <x v="0"/>
    <x v="0"/>
    <x v="0"/>
    <x v="1"/>
    <x v="0"/>
    <x v="4"/>
  </r>
  <r>
    <x v="6"/>
    <x v="4"/>
    <x v="198"/>
    <x v="0"/>
    <x v="0"/>
    <x v="0"/>
    <x v="1"/>
    <x v="0"/>
    <x v="4"/>
  </r>
  <r>
    <x v="6"/>
    <x v="5"/>
    <x v="307"/>
    <x v="0"/>
    <x v="0"/>
    <x v="0"/>
    <x v="1"/>
    <x v="0"/>
    <x v="4"/>
  </r>
  <r>
    <x v="6"/>
    <x v="6"/>
    <x v="737"/>
    <x v="0"/>
    <x v="0"/>
    <x v="0"/>
    <x v="1"/>
    <x v="0"/>
    <x v="3"/>
  </r>
  <r>
    <x v="6"/>
    <x v="7"/>
    <x v="944"/>
    <x v="0"/>
    <x v="0"/>
    <x v="0"/>
    <x v="1"/>
    <x v="0"/>
    <x v="3"/>
  </r>
  <r>
    <x v="6"/>
    <x v="8"/>
    <x v="731"/>
    <x v="0"/>
    <x v="0"/>
    <x v="0"/>
    <x v="1"/>
    <x v="0"/>
    <x v="3"/>
  </r>
  <r>
    <x v="6"/>
    <x v="9"/>
    <x v="493"/>
    <x v="0"/>
    <x v="0"/>
    <x v="0"/>
    <x v="1"/>
    <x v="0"/>
    <x v="3"/>
  </r>
  <r>
    <x v="6"/>
    <x v="10"/>
    <x v="425"/>
    <x v="0"/>
    <x v="0"/>
    <x v="0"/>
    <x v="1"/>
    <x v="0"/>
    <x v="2"/>
  </r>
  <r>
    <x v="6"/>
    <x v="11"/>
    <x v="402"/>
    <x v="0"/>
    <x v="0"/>
    <x v="0"/>
    <x v="1"/>
    <x v="0"/>
    <x v="2"/>
  </r>
  <r>
    <x v="6"/>
    <x v="12"/>
    <x v="381"/>
    <x v="0"/>
    <x v="0"/>
    <x v="0"/>
    <x v="1"/>
    <x v="0"/>
    <x v="2"/>
  </r>
  <r>
    <x v="6"/>
    <x v="13"/>
    <x v="486"/>
    <x v="0"/>
    <x v="0"/>
    <x v="0"/>
    <x v="1"/>
    <x v="0"/>
    <x v="2"/>
  </r>
  <r>
    <x v="6"/>
    <x v="14"/>
    <x v="755"/>
    <x v="0"/>
    <x v="0"/>
    <x v="0"/>
    <x v="1"/>
    <x v="0"/>
    <x v="2"/>
  </r>
  <r>
    <x v="6"/>
    <x v="15"/>
    <x v="948"/>
    <x v="0"/>
    <x v="0"/>
    <x v="0"/>
    <x v="1"/>
    <x v="0"/>
    <x v="2"/>
  </r>
  <r>
    <x v="6"/>
    <x v="16"/>
    <x v="1583"/>
    <x v="0"/>
    <x v="0"/>
    <x v="0"/>
    <x v="1"/>
    <x v="0"/>
    <x v="0"/>
  </r>
  <r>
    <x v="6"/>
    <x v="17"/>
    <x v="1920"/>
    <x v="0"/>
    <x v="0"/>
    <x v="0"/>
    <x v="1"/>
    <x v="0"/>
    <x v="0"/>
  </r>
  <r>
    <x v="6"/>
    <x v="18"/>
    <x v="1877"/>
    <x v="0"/>
    <x v="0"/>
    <x v="0"/>
    <x v="1"/>
    <x v="0"/>
    <x v="0"/>
  </r>
  <r>
    <x v="6"/>
    <x v="19"/>
    <x v="1804"/>
    <x v="0"/>
    <x v="0"/>
    <x v="0"/>
    <x v="1"/>
    <x v="0"/>
    <x v="0"/>
  </r>
  <r>
    <x v="6"/>
    <x v="20"/>
    <x v="1057"/>
    <x v="0"/>
    <x v="0"/>
    <x v="0"/>
    <x v="1"/>
    <x v="0"/>
    <x v="1"/>
  </r>
  <r>
    <x v="6"/>
    <x v="21"/>
    <x v="946"/>
    <x v="0"/>
    <x v="0"/>
    <x v="0"/>
    <x v="1"/>
    <x v="0"/>
    <x v="1"/>
  </r>
  <r>
    <x v="6"/>
    <x v="22"/>
    <x v="551"/>
    <x v="0"/>
    <x v="0"/>
    <x v="0"/>
    <x v="1"/>
    <x v="0"/>
    <x v="1"/>
  </r>
  <r>
    <x v="6"/>
    <x v="23"/>
    <x v="166"/>
    <x v="0"/>
    <x v="0"/>
    <x v="0"/>
    <x v="1"/>
    <x v="0"/>
    <x v="1"/>
  </r>
  <r>
    <x v="7"/>
    <x v="0"/>
    <x v="116"/>
    <x v="0"/>
    <x v="0"/>
    <x v="0"/>
    <x v="5"/>
    <x v="0"/>
    <x v="4"/>
  </r>
  <r>
    <x v="7"/>
    <x v="1"/>
    <x v="15"/>
    <x v="0"/>
    <x v="0"/>
    <x v="0"/>
    <x v="5"/>
    <x v="0"/>
    <x v="4"/>
  </r>
  <r>
    <x v="7"/>
    <x v="2"/>
    <x v="9"/>
    <x v="0"/>
    <x v="0"/>
    <x v="0"/>
    <x v="5"/>
    <x v="0"/>
    <x v="4"/>
  </r>
  <r>
    <x v="7"/>
    <x v="3"/>
    <x v="51"/>
    <x v="0"/>
    <x v="0"/>
    <x v="0"/>
    <x v="5"/>
    <x v="0"/>
    <x v="4"/>
  </r>
  <r>
    <x v="7"/>
    <x v="4"/>
    <x v="113"/>
    <x v="0"/>
    <x v="0"/>
    <x v="0"/>
    <x v="5"/>
    <x v="0"/>
    <x v="4"/>
  </r>
  <r>
    <x v="7"/>
    <x v="5"/>
    <x v="345"/>
    <x v="0"/>
    <x v="0"/>
    <x v="0"/>
    <x v="5"/>
    <x v="0"/>
    <x v="4"/>
  </r>
  <r>
    <x v="7"/>
    <x v="6"/>
    <x v="781"/>
    <x v="0"/>
    <x v="0"/>
    <x v="0"/>
    <x v="5"/>
    <x v="0"/>
    <x v="3"/>
  </r>
  <r>
    <x v="7"/>
    <x v="7"/>
    <x v="1040"/>
    <x v="0"/>
    <x v="0"/>
    <x v="0"/>
    <x v="5"/>
    <x v="0"/>
    <x v="3"/>
  </r>
  <r>
    <x v="7"/>
    <x v="8"/>
    <x v="956"/>
    <x v="0"/>
    <x v="0"/>
    <x v="0"/>
    <x v="5"/>
    <x v="0"/>
    <x v="3"/>
  </r>
  <r>
    <x v="7"/>
    <x v="9"/>
    <x v="518"/>
    <x v="0"/>
    <x v="0"/>
    <x v="0"/>
    <x v="5"/>
    <x v="0"/>
    <x v="3"/>
  </r>
  <r>
    <x v="7"/>
    <x v="10"/>
    <x v="423"/>
    <x v="0"/>
    <x v="0"/>
    <x v="0"/>
    <x v="5"/>
    <x v="0"/>
    <x v="2"/>
  </r>
  <r>
    <x v="7"/>
    <x v="11"/>
    <x v="458"/>
    <x v="0"/>
    <x v="0"/>
    <x v="0"/>
    <x v="5"/>
    <x v="0"/>
    <x v="2"/>
  </r>
  <r>
    <x v="7"/>
    <x v="12"/>
    <x v="433"/>
    <x v="0"/>
    <x v="0"/>
    <x v="0"/>
    <x v="5"/>
    <x v="0"/>
    <x v="2"/>
  </r>
  <r>
    <x v="7"/>
    <x v="13"/>
    <x v="492"/>
    <x v="0"/>
    <x v="0"/>
    <x v="0"/>
    <x v="5"/>
    <x v="0"/>
    <x v="2"/>
  </r>
  <r>
    <x v="7"/>
    <x v="14"/>
    <x v="614"/>
    <x v="0"/>
    <x v="0"/>
    <x v="0"/>
    <x v="5"/>
    <x v="0"/>
    <x v="2"/>
  </r>
  <r>
    <x v="7"/>
    <x v="15"/>
    <x v="884"/>
    <x v="0"/>
    <x v="0"/>
    <x v="0"/>
    <x v="5"/>
    <x v="0"/>
    <x v="2"/>
  </r>
  <r>
    <x v="7"/>
    <x v="16"/>
    <x v="1083"/>
    <x v="0"/>
    <x v="0"/>
    <x v="0"/>
    <x v="5"/>
    <x v="0"/>
    <x v="0"/>
  </r>
  <r>
    <x v="7"/>
    <x v="17"/>
    <x v="1253"/>
    <x v="0"/>
    <x v="0"/>
    <x v="0"/>
    <x v="5"/>
    <x v="0"/>
    <x v="0"/>
  </r>
  <r>
    <x v="7"/>
    <x v="18"/>
    <x v="949"/>
    <x v="0"/>
    <x v="0"/>
    <x v="0"/>
    <x v="5"/>
    <x v="0"/>
    <x v="0"/>
  </r>
  <r>
    <x v="7"/>
    <x v="19"/>
    <x v="821"/>
    <x v="0"/>
    <x v="0"/>
    <x v="0"/>
    <x v="5"/>
    <x v="0"/>
    <x v="0"/>
  </r>
  <r>
    <x v="7"/>
    <x v="20"/>
    <x v="1010"/>
    <x v="0"/>
    <x v="0"/>
    <x v="0"/>
    <x v="5"/>
    <x v="0"/>
    <x v="1"/>
  </r>
  <r>
    <x v="7"/>
    <x v="21"/>
    <x v="835"/>
    <x v="0"/>
    <x v="0"/>
    <x v="0"/>
    <x v="5"/>
    <x v="0"/>
    <x v="1"/>
  </r>
  <r>
    <x v="7"/>
    <x v="22"/>
    <x v="495"/>
    <x v="0"/>
    <x v="0"/>
    <x v="0"/>
    <x v="5"/>
    <x v="0"/>
    <x v="1"/>
  </r>
  <r>
    <x v="7"/>
    <x v="23"/>
    <x v="223"/>
    <x v="0"/>
    <x v="0"/>
    <x v="0"/>
    <x v="5"/>
    <x v="0"/>
    <x v="1"/>
  </r>
  <r>
    <x v="8"/>
    <x v="0"/>
    <x v="84"/>
    <x v="0"/>
    <x v="0"/>
    <x v="0"/>
    <x v="6"/>
    <x v="0"/>
    <x v="4"/>
  </r>
  <r>
    <x v="8"/>
    <x v="1"/>
    <x v="39"/>
    <x v="0"/>
    <x v="0"/>
    <x v="0"/>
    <x v="6"/>
    <x v="0"/>
    <x v="4"/>
  </r>
  <r>
    <x v="8"/>
    <x v="2"/>
    <x v="18"/>
    <x v="0"/>
    <x v="0"/>
    <x v="0"/>
    <x v="6"/>
    <x v="0"/>
    <x v="4"/>
  </r>
  <r>
    <x v="8"/>
    <x v="3"/>
    <x v="70"/>
    <x v="0"/>
    <x v="0"/>
    <x v="0"/>
    <x v="6"/>
    <x v="0"/>
    <x v="4"/>
  </r>
  <r>
    <x v="8"/>
    <x v="4"/>
    <x v="123"/>
    <x v="0"/>
    <x v="0"/>
    <x v="0"/>
    <x v="6"/>
    <x v="0"/>
    <x v="4"/>
  </r>
  <r>
    <x v="8"/>
    <x v="5"/>
    <x v="275"/>
    <x v="0"/>
    <x v="0"/>
    <x v="0"/>
    <x v="6"/>
    <x v="0"/>
    <x v="4"/>
  </r>
  <r>
    <x v="8"/>
    <x v="6"/>
    <x v="717"/>
    <x v="0"/>
    <x v="0"/>
    <x v="0"/>
    <x v="6"/>
    <x v="0"/>
    <x v="3"/>
  </r>
  <r>
    <x v="8"/>
    <x v="7"/>
    <x v="937"/>
    <x v="0"/>
    <x v="0"/>
    <x v="0"/>
    <x v="6"/>
    <x v="0"/>
    <x v="3"/>
  </r>
  <r>
    <x v="8"/>
    <x v="8"/>
    <x v="752"/>
    <x v="0"/>
    <x v="0"/>
    <x v="0"/>
    <x v="6"/>
    <x v="0"/>
    <x v="3"/>
  </r>
  <r>
    <x v="8"/>
    <x v="9"/>
    <x v="475"/>
    <x v="0"/>
    <x v="0"/>
    <x v="0"/>
    <x v="6"/>
    <x v="0"/>
    <x v="3"/>
  </r>
  <r>
    <x v="8"/>
    <x v="10"/>
    <x v="444"/>
    <x v="0"/>
    <x v="0"/>
    <x v="0"/>
    <x v="6"/>
    <x v="0"/>
    <x v="2"/>
  </r>
  <r>
    <x v="8"/>
    <x v="11"/>
    <x v="462"/>
    <x v="0"/>
    <x v="0"/>
    <x v="0"/>
    <x v="6"/>
    <x v="0"/>
    <x v="2"/>
  </r>
  <r>
    <x v="8"/>
    <x v="12"/>
    <x v="498"/>
    <x v="0"/>
    <x v="0"/>
    <x v="0"/>
    <x v="6"/>
    <x v="0"/>
    <x v="2"/>
  </r>
  <r>
    <x v="8"/>
    <x v="13"/>
    <x v="583"/>
    <x v="0"/>
    <x v="0"/>
    <x v="0"/>
    <x v="6"/>
    <x v="0"/>
    <x v="2"/>
  </r>
  <r>
    <x v="8"/>
    <x v="14"/>
    <x v="743"/>
    <x v="0"/>
    <x v="0"/>
    <x v="0"/>
    <x v="6"/>
    <x v="0"/>
    <x v="2"/>
  </r>
  <r>
    <x v="8"/>
    <x v="15"/>
    <x v="1004"/>
    <x v="0"/>
    <x v="0"/>
    <x v="0"/>
    <x v="6"/>
    <x v="0"/>
    <x v="2"/>
  </r>
  <r>
    <x v="8"/>
    <x v="16"/>
    <x v="1148"/>
    <x v="0"/>
    <x v="0"/>
    <x v="0"/>
    <x v="6"/>
    <x v="0"/>
    <x v="0"/>
  </r>
  <r>
    <x v="8"/>
    <x v="17"/>
    <x v="1351"/>
    <x v="0"/>
    <x v="0"/>
    <x v="0"/>
    <x v="6"/>
    <x v="0"/>
    <x v="0"/>
  </r>
  <r>
    <x v="8"/>
    <x v="18"/>
    <x v="1094"/>
    <x v="0"/>
    <x v="0"/>
    <x v="0"/>
    <x v="6"/>
    <x v="0"/>
    <x v="0"/>
  </r>
  <r>
    <x v="8"/>
    <x v="19"/>
    <x v="1034"/>
    <x v="0"/>
    <x v="0"/>
    <x v="0"/>
    <x v="6"/>
    <x v="0"/>
    <x v="0"/>
  </r>
  <r>
    <x v="8"/>
    <x v="20"/>
    <x v="883"/>
    <x v="0"/>
    <x v="0"/>
    <x v="0"/>
    <x v="6"/>
    <x v="0"/>
    <x v="1"/>
  </r>
  <r>
    <x v="8"/>
    <x v="21"/>
    <x v="876"/>
    <x v="0"/>
    <x v="0"/>
    <x v="0"/>
    <x v="6"/>
    <x v="0"/>
    <x v="1"/>
  </r>
  <r>
    <x v="8"/>
    <x v="22"/>
    <x v="615"/>
    <x v="0"/>
    <x v="0"/>
    <x v="0"/>
    <x v="6"/>
    <x v="0"/>
    <x v="1"/>
  </r>
  <r>
    <x v="8"/>
    <x v="23"/>
    <x v="284"/>
    <x v="0"/>
    <x v="0"/>
    <x v="0"/>
    <x v="6"/>
    <x v="0"/>
    <x v="1"/>
  </r>
  <r>
    <x v="9"/>
    <x v="0"/>
    <x v="105"/>
    <x v="0"/>
    <x v="0"/>
    <x v="0"/>
    <x v="4"/>
    <x v="0"/>
    <x v="4"/>
  </r>
  <r>
    <x v="9"/>
    <x v="1"/>
    <x v="39"/>
    <x v="0"/>
    <x v="0"/>
    <x v="0"/>
    <x v="4"/>
    <x v="0"/>
    <x v="4"/>
  </r>
  <r>
    <x v="9"/>
    <x v="2"/>
    <x v="15"/>
    <x v="0"/>
    <x v="0"/>
    <x v="0"/>
    <x v="4"/>
    <x v="0"/>
    <x v="4"/>
  </r>
  <r>
    <x v="9"/>
    <x v="3"/>
    <x v="84"/>
    <x v="0"/>
    <x v="0"/>
    <x v="0"/>
    <x v="4"/>
    <x v="0"/>
    <x v="4"/>
  </r>
  <r>
    <x v="9"/>
    <x v="4"/>
    <x v="151"/>
    <x v="0"/>
    <x v="0"/>
    <x v="0"/>
    <x v="4"/>
    <x v="0"/>
    <x v="4"/>
  </r>
  <r>
    <x v="9"/>
    <x v="5"/>
    <x v="282"/>
    <x v="0"/>
    <x v="0"/>
    <x v="0"/>
    <x v="4"/>
    <x v="0"/>
    <x v="4"/>
  </r>
  <r>
    <x v="9"/>
    <x v="6"/>
    <x v="728"/>
    <x v="0"/>
    <x v="0"/>
    <x v="0"/>
    <x v="4"/>
    <x v="0"/>
    <x v="3"/>
  </r>
  <r>
    <x v="9"/>
    <x v="7"/>
    <x v="861"/>
    <x v="0"/>
    <x v="0"/>
    <x v="0"/>
    <x v="4"/>
    <x v="0"/>
    <x v="3"/>
  </r>
  <r>
    <x v="9"/>
    <x v="8"/>
    <x v="729"/>
    <x v="0"/>
    <x v="0"/>
    <x v="0"/>
    <x v="4"/>
    <x v="0"/>
    <x v="3"/>
  </r>
  <r>
    <x v="9"/>
    <x v="9"/>
    <x v="559"/>
    <x v="0"/>
    <x v="0"/>
    <x v="0"/>
    <x v="4"/>
    <x v="0"/>
    <x v="3"/>
  </r>
  <r>
    <x v="9"/>
    <x v="10"/>
    <x v="471"/>
    <x v="0"/>
    <x v="0"/>
    <x v="0"/>
    <x v="4"/>
    <x v="0"/>
    <x v="2"/>
  </r>
  <r>
    <x v="9"/>
    <x v="11"/>
    <x v="533"/>
    <x v="0"/>
    <x v="0"/>
    <x v="0"/>
    <x v="4"/>
    <x v="0"/>
    <x v="2"/>
  </r>
  <r>
    <x v="9"/>
    <x v="12"/>
    <x v="530"/>
    <x v="0"/>
    <x v="0"/>
    <x v="0"/>
    <x v="4"/>
    <x v="0"/>
    <x v="2"/>
  </r>
  <r>
    <x v="9"/>
    <x v="13"/>
    <x v="718"/>
    <x v="0"/>
    <x v="0"/>
    <x v="0"/>
    <x v="4"/>
    <x v="0"/>
    <x v="2"/>
  </r>
  <r>
    <x v="9"/>
    <x v="14"/>
    <x v="943"/>
    <x v="0"/>
    <x v="0"/>
    <x v="0"/>
    <x v="4"/>
    <x v="0"/>
    <x v="2"/>
  </r>
  <r>
    <x v="9"/>
    <x v="15"/>
    <x v="1203"/>
    <x v="0"/>
    <x v="0"/>
    <x v="0"/>
    <x v="4"/>
    <x v="0"/>
    <x v="2"/>
  </r>
  <r>
    <x v="9"/>
    <x v="16"/>
    <x v="1405"/>
    <x v="0"/>
    <x v="0"/>
    <x v="0"/>
    <x v="4"/>
    <x v="0"/>
    <x v="0"/>
  </r>
  <r>
    <x v="9"/>
    <x v="17"/>
    <x v="1584"/>
    <x v="0"/>
    <x v="0"/>
    <x v="0"/>
    <x v="4"/>
    <x v="0"/>
    <x v="0"/>
  </r>
  <r>
    <x v="9"/>
    <x v="18"/>
    <x v="1389"/>
    <x v="0"/>
    <x v="0"/>
    <x v="0"/>
    <x v="4"/>
    <x v="0"/>
    <x v="0"/>
  </r>
  <r>
    <x v="9"/>
    <x v="19"/>
    <x v="1183"/>
    <x v="0"/>
    <x v="0"/>
    <x v="0"/>
    <x v="4"/>
    <x v="0"/>
    <x v="0"/>
  </r>
  <r>
    <x v="9"/>
    <x v="20"/>
    <x v="1324"/>
    <x v="0"/>
    <x v="0"/>
    <x v="0"/>
    <x v="4"/>
    <x v="0"/>
    <x v="1"/>
  </r>
  <r>
    <x v="9"/>
    <x v="21"/>
    <x v="1337"/>
    <x v="0"/>
    <x v="0"/>
    <x v="0"/>
    <x v="4"/>
    <x v="0"/>
    <x v="1"/>
  </r>
  <r>
    <x v="9"/>
    <x v="22"/>
    <x v="859"/>
    <x v="0"/>
    <x v="0"/>
    <x v="0"/>
    <x v="4"/>
    <x v="0"/>
    <x v="1"/>
  </r>
  <r>
    <x v="9"/>
    <x v="23"/>
    <x v="481"/>
    <x v="0"/>
    <x v="0"/>
    <x v="0"/>
    <x v="4"/>
    <x v="0"/>
    <x v="1"/>
  </r>
  <r>
    <x v="10"/>
    <x v="0"/>
    <x v="178"/>
    <x v="0"/>
    <x v="0"/>
    <x v="0"/>
    <x v="0"/>
    <x v="0"/>
    <x v="4"/>
  </r>
  <r>
    <x v="10"/>
    <x v="1"/>
    <x v="90"/>
    <x v="0"/>
    <x v="0"/>
    <x v="0"/>
    <x v="0"/>
    <x v="0"/>
    <x v="4"/>
  </r>
  <r>
    <x v="10"/>
    <x v="2"/>
    <x v="42"/>
    <x v="0"/>
    <x v="0"/>
    <x v="0"/>
    <x v="0"/>
    <x v="0"/>
    <x v="4"/>
  </r>
  <r>
    <x v="10"/>
    <x v="3"/>
    <x v="126"/>
    <x v="0"/>
    <x v="0"/>
    <x v="0"/>
    <x v="0"/>
    <x v="0"/>
    <x v="4"/>
  </r>
  <r>
    <x v="10"/>
    <x v="4"/>
    <x v="156"/>
    <x v="0"/>
    <x v="0"/>
    <x v="0"/>
    <x v="0"/>
    <x v="0"/>
    <x v="4"/>
  </r>
  <r>
    <x v="10"/>
    <x v="5"/>
    <x v="259"/>
    <x v="0"/>
    <x v="0"/>
    <x v="0"/>
    <x v="0"/>
    <x v="0"/>
    <x v="4"/>
  </r>
  <r>
    <x v="10"/>
    <x v="6"/>
    <x v="697"/>
    <x v="0"/>
    <x v="0"/>
    <x v="0"/>
    <x v="0"/>
    <x v="0"/>
    <x v="3"/>
  </r>
  <r>
    <x v="10"/>
    <x v="7"/>
    <x v="929"/>
    <x v="0"/>
    <x v="0"/>
    <x v="0"/>
    <x v="0"/>
    <x v="0"/>
    <x v="3"/>
  </r>
  <r>
    <x v="10"/>
    <x v="8"/>
    <x v="818"/>
    <x v="0"/>
    <x v="0"/>
    <x v="0"/>
    <x v="0"/>
    <x v="0"/>
    <x v="3"/>
  </r>
  <r>
    <x v="10"/>
    <x v="9"/>
    <x v="514"/>
    <x v="0"/>
    <x v="0"/>
    <x v="0"/>
    <x v="0"/>
    <x v="0"/>
    <x v="3"/>
  </r>
  <r>
    <x v="10"/>
    <x v="10"/>
    <x v="537"/>
    <x v="0"/>
    <x v="0"/>
    <x v="0"/>
    <x v="0"/>
    <x v="0"/>
    <x v="2"/>
  </r>
  <r>
    <x v="10"/>
    <x v="11"/>
    <x v="567"/>
    <x v="0"/>
    <x v="0"/>
    <x v="0"/>
    <x v="0"/>
    <x v="0"/>
    <x v="2"/>
  </r>
  <r>
    <x v="10"/>
    <x v="12"/>
    <x v="600"/>
    <x v="0"/>
    <x v="0"/>
    <x v="0"/>
    <x v="0"/>
    <x v="0"/>
    <x v="2"/>
  </r>
  <r>
    <x v="10"/>
    <x v="13"/>
    <x v="773"/>
    <x v="0"/>
    <x v="0"/>
    <x v="0"/>
    <x v="0"/>
    <x v="0"/>
    <x v="2"/>
  </r>
  <r>
    <x v="10"/>
    <x v="14"/>
    <x v="785"/>
    <x v="0"/>
    <x v="0"/>
    <x v="0"/>
    <x v="0"/>
    <x v="0"/>
    <x v="2"/>
  </r>
  <r>
    <x v="10"/>
    <x v="15"/>
    <x v="1138"/>
    <x v="0"/>
    <x v="0"/>
    <x v="0"/>
    <x v="0"/>
    <x v="0"/>
    <x v="2"/>
  </r>
  <r>
    <x v="10"/>
    <x v="16"/>
    <x v="1297"/>
    <x v="0"/>
    <x v="0"/>
    <x v="0"/>
    <x v="0"/>
    <x v="0"/>
    <x v="0"/>
  </r>
  <r>
    <x v="10"/>
    <x v="17"/>
    <x v="1436"/>
    <x v="0"/>
    <x v="0"/>
    <x v="0"/>
    <x v="0"/>
    <x v="0"/>
    <x v="0"/>
  </r>
  <r>
    <x v="10"/>
    <x v="18"/>
    <x v="1374"/>
    <x v="0"/>
    <x v="0"/>
    <x v="0"/>
    <x v="0"/>
    <x v="0"/>
    <x v="0"/>
  </r>
  <r>
    <x v="10"/>
    <x v="19"/>
    <x v="1226"/>
    <x v="0"/>
    <x v="0"/>
    <x v="0"/>
    <x v="0"/>
    <x v="0"/>
    <x v="0"/>
  </r>
  <r>
    <x v="10"/>
    <x v="20"/>
    <x v="1037"/>
    <x v="0"/>
    <x v="0"/>
    <x v="0"/>
    <x v="0"/>
    <x v="0"/>
    <x v="1"/>
  </r>
  <r>
    <x v="10"/>
    <x v="21"/>
    <x v="1059"/>
    <x v="0"/>
    <x v="0"/>
    <x v="0"/>
    <x v="0"/>
    <x v="0"/>
    <x v="1"/>
  </r>
  <r>
    <x v="10"/>
    <x v="22"/>
    <x v="1249"/>
    <x v="0"/>
    <x v="0"/>
    <x v="0"/>
    <x v="0"/>
    <x v="0"/>
    <x v="1"/>
  </r>
  <r>
    <x v="10"/>
    <x v="23"/>
    <x v="998"/>
    <x v="0"/>
    <x v="0"/>
    <x v="0"/>
    <x v="0"/>
    <x v="0"/>
    <x v="1"/>
  </r>
  <r>
    <x v="11"/>
    <x v="0"/>
    <x v="569"/>
    <x v="0"/>
    <x v="0"/>
    <x v="0"/>
    <x v="2"/>
    <x v="1"/>
    <x v="4"/>
  </r>
  <r>
    <x v="11"/>
    <x v="1"/>
    <x v="376"/>
    <x v="0"/>
    <x v="0"/>
    <x v="0"/>
    <x v="2"/>
    <x v="1"/>
    <x v="4"/>
  </r>
  <r>
    <x v="11"/>
    <x v="2"/>
    <x v="199"/>
    <x v="0"/>
    <x v="0"/>
    <x v="0"/>
    <x v="2"/>
    <x v="1"/>
    <x v="4"/>
  </r>
  <r>
    <x v="11"/>
    <x v="3"/>
    <x v="107"/>
    <x v="0"/>
    <x v="0"/>
    <x v="0"/>
    <x v="2"/>
    <x v="1"/>
    <x v="4"/>
  </r>
  <r>
    <x v="11"/>
    <x v="4"/>
    <x v="89"/>
    <x v="0"/>
    <x v="0"/>
    <x v="0"/>
    <x v="2"/>
    <x v="1"/>
    <x v="4"/>
  </r>
  <r>
    <x v="11"/>
    <x v="5"/>
    <x v="99"/>
    <x v="0"/>
    <x v="0"/>
    <x v="0"/>
    <x v="2"/>
    <x v="1"/>
    <x v="4"/>
  </r>
  <r>
    <x v="11"/>
    <x v="6"/>
    <x v="129"/>
    <x v="0"/>
    <x v="0"/>
    <x v="0"/>
    <x v="2"/>
    <x v="1"/>
    <x v="3"/>
  </r>
  <r>
    <x v="11"/>
    <x v="7"/>
    <x v="183"/>
    <x v="0"/>
    <x v="0"/>
    <x v="0"/>
    <x v="2"/>
    <x v="1"/>
    <x v="3"/>
  </r>
  <r>
    <x v="11"/>
    <x v="8"/>
    <x v="266"/>
    <x v="0"/>
    <x v="0"/>
    <x v="0"/>
    <x v="2"/>
    <x v="1"/>
    <x v="3"/>
  </r>
  <r>
    <x v="11"/>
    <x v="9"/>
    <x v="327"/>
    <x v="0"/>
    <x v="0"/>
    <x v="0"/>
    <x v="2"/>
    <x v="1"/>
    <x v="3"/>
  </r>
  <r>
    <x v="11"/>
    <x v="10"/>
    <x v="429"/>
    <x v="0"/>
    <x v="0"/>
    <x v="0"/>
    <x v="2"/>
    <x v="1"/>
    <x v="2"/>
  </r>
  <r>
    <x v="11"/>
    <x v="11"/>
    <x v="454"/>
    <x v="0"/>
    <x v="0"/>
    <x v="0"/>
    <x v="2"/>
    <x v="1"/>
    <x v="2"/>
  </r>
  <r>
    <x v="11"/>
    <x v="12"/>
    <x v="518"/>
    <x v="0"/>
    <x v="0"/>
    <x v="0"/>
    <x v="2"/>
    <x v="1"/>
    <x v="2"/>
  </r>
  <r>
    <x v="11"/>
    <x v="13"/>
    <x v="534"/>
    <x v="0"/>
    <x v="0"/>
    <x v="0"/>
    <x v="2"/>
    <x v="1"/>
    <x v="2"/>
  </r>
  <r>
    <x v="11"/>
    <x v="14"/>
    <x v="613"/>
    <x v="0"/>
    <x v="0"/>
    <x v="0"/>
    <x v="2"/>
    <x v="1"/>
    <x v="2"/>
  </r>
  <r>
    <x v="11"/>
    <x v="15"/>
    <x v="969"/>
    <x v="0"/>
    <x v="0"/>
    <x v="0"/>
    <x v="2"/>
    <x v="1"/>
    <x v="2"/>
  </r>
  <r>
    <x v="11"/>
    <x v="16"/>
    <x v="1164"/>
    <x v="0"/>
    <x v="0"/>
    <x v="0"/>
    <x v="2"/>
    <x v="1"/>
    <x v="0"/>
  </r>
  <r>
    <x v="11"/>
    <x v="17"/>
    <x v="1103"/>
    <x v="0"/>
    <x v="0"/>
    <x v="0"/>
    <x v="2"/>
    <x v="1"/>
    <x v="0"/>
  </r>
  <r>
    <x v="11"/>
    <x v="18"/>
    <x v="1459"/>
    <x v="0"/>
    <x v="0"/>
    <x v="0"/>
    <x v="2"/>
    <x v="1"/>
    <x v="0"/>
  </r>
  <r>
    <x v="11"/>
    <x v="19"/>
    <x v="1143"/>
    <x v="0"/>
    <x v="0"/>
    <x v="0"/>
    <x v="2"/>
    <x v="1"/>
    <x v="0"/>
  </r>
  <r>
    <x v="11"/>
    <x v="20"/>
    <x v="950"/>
    <x v="0"/>
    <x v="0"/>
    <x v="0"/>
    <x v="2"/>
    <x v="1"/>
    <x v="1"/>
  </r>
  <r>
    <x v="11"/>
    <x v="21"/>
    <x v="1249"/>
    <x v="0"/>
    <x v="0"/>
    <x v="0"/>
    <x v="2"/>
    <x v="1"/>
    <x v="1"/>
  </r>
  <r>
    <x v="11"/>
    <x v="22"/>
    <x v="1486"/>
    <x v="0"/>
    <x v="0"/>
    <x v="0"/>
    <x v="2"/>
    <x v="1"/>
    <x v="1"/>
  </r>
  <r>
    <x v="11"/>
    <x v="23"/>
    <x v="1324"/>
    <x v="0"/>
    <x v="0"/>
    <x v="0"/>
    <x v="2"/>
    <x v="1"/>
    <x v="1"/>
  </r>
  <r>
    <x v="12"/>
    <x v="0"/>
    <x v="1012"/>
    <x v="0"/>
    <x v="0"/>
    <x v="0"/>
    <x v="3"/>
    <x v="1"/>
    <x v="4"/>
  </r>
  <r>
    <x v="12"/>
    <x v="1"/>
    <x v="572"/>
    <x v="0"/>
    <x v="0"/>
    <x v="0"/>
    <x v="3"/>
    <x v="1"/>
    <x v="4"/>
  </r>
  <r>
    <x v="12"/>
    <x v="2"/>
    <x v="259"/>
    <x v="0"/>
    <x v="0"/>
    <x v="0"/>
    <x v="3"/>
    <x v="1"/>
    <x v="4"/>
  </r>
  <r>
    <x v="12"/>
    <x v="3"/>
    <x v="164"/>
    <x v="0"/>
    <x v="0"/>
    <x v="0"/>
    <x v="3"/>
    <x v="1"/>
    <x v="4"/>
  </r>
  <r>
    <x v="12"/>
    <x v="4"/>
    <x v="85"/>
    <x v="0"/>
    <x v="0"/>
    <x v="0"/>
    <x v="3"/>
    <x v="1"/>
    <x v="4"/>
  </r>
  <r>
    <x v="12"/>
    <x v="5"/>
    <x v="61"/>
    <x v="0"/>
    <x v="0"/>
    <x v="0"/>
    <x v="3"/>
    <x v="1"/>
    <x v="4"/>
  </r>
  <r>
    <x v="12"/>
    <x v="6"/>
    <x v="108"/>
    <x v="0"/>
    <x v="0"/>
    <x v="0"/>
    <x v="3"/>
    <x v="1"/>
    <x v="3"/>
  </r>
  <r>
    <x v="12"/>
    <x v="7"/>
    <x v="145"/>
    <x v="0"/>
    <x v="0"/>
    <x v="0"/>
    <x v="3"/>
    <x v="1"/>
    <x v="3"/>
  </r>
  <r>
    <x v="12"/>
    <x v="8"/>
    <x v="220"/>
    <x v="0"/>
    <x v="0"/>
    <x v="0"/>
    <x v="3"/>
    <x v="1"/>
    <x v="3"/>
  </r>
  <r>
    <x v="12"/>
    <x v="9"/>
    <x v="357"/>
    <x v="0"/>
    <x v="0"/>
    <x v="0"/>
    <x v="3"/>
    <x v="1"/>
    <x v="3"/>
  </r>
  <r>
    <x v="12"/>
    <x v="10"/>
    <x v="405"/>
    <x v="0"/>
    <x v="0"/>
    <x v="0"/>
    <x v="3"/>
    <x v="1"/>
    <x v="2"/>
  </r>
  <r>
    <x v="12"/>
    <x v="11"/>
    <x v="489"/>
    <x v="0"/>
    <x v="0"/>
    <x v="0"/>
    <x v="3"/>
    <x v="1"/>
    <x v="2"/>
  </r>
  <r>
    <x v="12"/>
    <x v="12"/>
    <x v="488"/>
    <x v="0"/>
    <x v="0"/>
    <x v="0"/>
    <x v="3"/>
    <x v="1"/>
    <x v="2"/>
  </r>
  <r>
    <x v="12"/>
    <x v="13"/>
    <x v="557"/>
    <x v="0"/>
    <x v="0"/>
    <x v="0"/>
    <x v="3"/>
    <x v="1"/>
    <x v="2"/>
  </r>
  <r>
    <x v="12"/>
    <x v="14"/>
    <x v="638"/>
    <x v="0"/>
    <x v="0"/>
    <x v="0"/>
    <x v="3"/>
    <x v="1"/>
    <x v="2"/>
  </r>
  <r>
    <x v="12"/>
    <x v="15"/>
    <x v="708"/>
    <x v="0"/>
    <x v="0"/>
    <x v="0"/>
    <x v="3"/>
    <x v="1"/>
    <x v="2"/>
  </r>
  <r>
    <x v="12"/>
    <x v="16"/>
    <x v="771"/>
    <x v="0"/>
    <x v="0"/>
    <x v="0"/>
    <x v="3"/>
    <x v="1"/>
    <x v="0"/>
  </r>
  <r>
    <x v="12"/>
    <x v="17"/>
    <x v="673"/>
    <x v="0"/>
    <x v="0"/>
    <x v="0"/>
    <x v="3"/>
    <x v="1"/>
    <x v="0"/>
  </r>
  <r>
    <x v="12"/>
    <x v="18"/>
    <x v="552"/>
    <x v="0"/>
    <x v="0"/>
    <x v="0"/>
    <x v="3"/>
    <x v="1"/>
    <x v="0"/>
  </r>
  <r>
    <x v="12"/>
    <x v="19"/>
    <x v="464"/>
    <x v="0"/>
    <x v="0"/>
    <x v="0"/>
    <x v="3"/>
    <x v="1"/>
    <x v="0"/>
  </r>
  <r>
    <x v="12"/>
    <x v="20"/>
    <x v="406"/>
    <x v="0"/>
    <x v="0"/>
    <x v="0"/>
    <x v="3"/>
    <x v="1"/>
    <x v="1"/>
  </r>
  <r>
    <x v="12"/>
    <x v="21"/>
    <x v="429"/>
    <x v="0"/>
    <x v="0"/>
    <x v="0"/>
    <x v="3"/>
    <x v="1"/>
    <x v="1"/>
  </r>
  <r>
    <x v="12"/>
    <x v="22"/>
    <x v="304"/>
    <x v="0"/>
    <x v="0"/>
    <x v="0"/>
    <x v="3"/>
    <x v="1"/>
    <x v="1"/>
  </r>
  <r>
    <x v="12"/>
    <x v="23"/>
    <x v="156"/>
    <x v="0"/>
    <x v="0"/>
    <x v="0"/>
    <x v="3"/>
    <x v="1"/>
    <x v="1"/>
  </r>
  <r>
    <x v="13"/>
    <x v="0"/>
    <x v="51"/>
    <x v="0"/>
    <x v="0"/>
    <x v="0"/>
    <x v="1"/>
    <x v="0"/>
    <x v="4"/>
  </r>
  <r>
    <x v="13"/>
    <x v="1"/>
    <x v="1"/>
    <x v="0"/>
    <x v="0"/>
    <x v="0"/>
    <x v="1"/>
    <x v="0"/>
    <x v="4"/>
  </r>
  <r>
    <x v="13"/>
    <x v="2"/>
    <x v="0"/>
    <x v="0"/>
    <x v="0"/>
    <x v="0"/>
    <x v="1"/>
    <x v="0"/>
    <x v="4"/>
  </r>
  <r>
    <x v="13"/>
    <x v="3"/>
    <x v="53"/>
    <x v="0"/>
    <x v="0"/>
    <x v="0"/>
    <x v="1"/>
    <x v="0"/>
    <x v="4"/>
  </r>
  <r>
    <x v="13"/>
    <x v="4"/>
    <x v="136"/>
    <x v="0"/>
    <x v="0"/>
    <x v="0"/>
    <x v="1"/>
    <x v="0"/>
    <x v="4"/>
  </r>
  <r>
    <x v="13"/>
    <x v="5"/>
    <x v="297"/>
    <x v="0"/>
    <x v="0"/>
    <x v="0"/>
    <x v="1"/>
    <x v="0"/>
    <x v="4"/>
  </r>
  <r>
    <x v="13"/>
    <x v="6"/>
    <x v="582"/>
    <x v="0"/>
    <x v="0"/>
    <x v="0"/>
    <x v="1"/>
    <x v="0"/>
    <x v="3"/>
  </r>
  <r>
    <x v="13"/>
    <x v="7"/>
    <x v="803"/>
    <x v="0"/>
    <x v="0"/>
    <x v="0"/>
    <x v="1"/>
    <x v="0"/>
    <x v="3"/>
  </r>
  <r>
    <x v="13"/>
    <x v="8"/>
    <x v="628"/>
    <x v="0"/>
    <x v="0"/>
    <x v="0"/>
    <x v="1"/>
    <x v="0"/>
    <x v="3"/>
  </r>
  <r>
    <x v="13"/>
    <x v="9"/>
    <x v="407"/>
    <x v="0"/>
    <x v="0"/>
    <x v="0"/>
    <x v="1"/>
    <x v="0"/>
    <x v="3"/>
  </r>
  <r>
    <x v="13"/>
    <x v="10"/>
    <x v="361"/>
    <x v="0"/>
    <x v="0"/>
    <x v="0"/>
    <x v="1"/>
    <x v="0"/>
    <x v="2"/>
  </r>
  <r>
    <x v="13"/>
    <x v="11"/>
    <x v="361"/>
    <x v="0"/>
    <x v="0"/>
    <x v="0"/>
    <x v="1"/>
    <x v="0"/>
    <x v="2"/>
  </r>
  <r>
    <x v="13"/>
    <x v="12"/>
    <x v="410"/>
    <x v="0"/>
    <x v="0"/>
    <x v="0"/>
    <x v="1"/>
    <x v="0"/>
    <x v="2"/>
  </r>
  <r>
    <x v="13"/>
    <x v="13"/>
    <x v="449"/>
    <x v="0"/>
    <x v="0"/>
    <x v="0"/>
    <x v="1"/>
    <x v="0"/>
    <x v="2"/>
  </r>
  <r>
    <x v="13"/>
    <x v="14"/>
    <x v="620"/>
    <x v="0"/>
    <x v="0"/>
    <x v="0"/>
    <x v="1"/>
    <x v="0"/>
    <x v="2"/>
  </r>
  <r>
    <x v="13"/>
    <x v="15"/>
    <x v="835"/>
    <x v="0"/>
    <x v="0"/>
    <x v="0"/>
    <x v="1"/>
    <x v="0"/>
    <x v="2"/>
  </r>
  <r>
    <x v="13"/>
    <x v="16"/>
    <x v="918"/>
    <x v="0"/>
    <x v="0"/>
    <x v="0"/>
    <x v="1"/>
    <x v="0"/>
    <x v="0"/>
  </r>
  <r>
    <x v="13"/>
    <x v="17"/>
    <x v="855"/>
    <x v="0"/>
    <x v="0"/>
    <x v="0"/>
    <x v="1"/>
    <x v="0"/>
    <x v="0"/>
  </r>
  <r>
    <x v="13"/>
    <x v="18"/>
    <x v="619"/>
    <x v="0"/>
    <x v="0"/>
    <x v="0"/>
    <x v="1"/>
    <x v="0"/>
    <x v="0"/>
  </r>
  <r>
    <x v="13"/>
    <x v="19"/>
    <x v="549"/>
    <x v="0"/>
    <x v="0"/>
    <x v="0"/>
    <x v="1"/>
    <x v="0"/>
    <x v="0"/>
  </r>
  <r>
    <x v="13"/>
    <x v="20"/>
    <x v="578"/>
    <x v="0"/>
    <x v="0"/>
    <x v="0"/>
    <x v="1"/>
    <x v="0"/>
    <x v="1"/>
  </r>
  <r>
    <x v="13"/>
    <x v="21"/>
    <x v="527"/>
    <x v="0"/>
    <x v="0"/>
    <x v="0"/>
    <x v="1"/>
    <x v="0"/>
    <x v="1"/>
  </r>
  <r>
    <x v="13"/>
    <x v="22"/>
    <x v="361"/>
    <x v="0"/>
    <x v="0"/>
    <x v="0"/>
    <x v="1"/>
    <x v="0"/>
    <x v="1"/>
  </r>
  <r>
    <x v="13"/>
    <x v="23"/>
    <x v="185"/>
    <x v="0"/>
    <x v="0"/>
    <x v="0"/>
    <x v="1"/>
    <x v="0"/>
    <x v="1"/>
  </r>
  <r>
    <x v="14"/>
    <x v="0"/>
    <x v="68"/>
    <x v="0"/>
    <x v="0"/>
    <x v="0"/>
    <x v="5"/>
    <x v="0"/>
    <x v="4"/>
  </r>
  <r>
    <x v="14"/>
    <x v="1"/>
    <x v="14"/>
    <x v="0"/>
    <x v="0"/>
    <x v="0"/>
    <x v="5"/>
    <x v="0"/>
    <x v="4"/>
  </r>
  <r>
    <x v="14"/>
    <x v="2"/>
    <x v="7"/>
    <x v="0"/>
    <x v="0"/>
    <x v="0"/>
    <x v="5"/>
    <x v="0"/>
    <x v="4"/>
  </r>
  <r>
    <x v="14"/>
    <x v="3"/>
    <x v="37"/>
    <x v="0"/>
    <x v="0"/>
    <x v="0"/>
    <x v="5"/>
    <x v="0"/>
    <x v="4"/>
  </r>
  <r>
    <x v="14"/>
    <x v="4"/>
    <x v="72"/>
    <x v="0"/>
    <x v="0"/>
    <x v="0"/>
    <x v="5"/>
    <x v="0"/>
    <x v="4"/>
  </r>
  <r>
    <x v="14"/>
    <x v="5"/>
    <x v="204"/>
    <x v="0"/>
    <x v="0"/>
    <x v="0"/>
    <x v="5"/>
    <x v="0"/>
    <x v="4"/>
  </r>
  <r>
    <x v="14"/>
    <x v="6"/>
    <x v="474"/>
    <x v="0"/>
    <x v="0"/>
    <x v="0"/>
    <x v="5"/>
    <x v="0"/>
    <x v="3"/>
  </r>
  <r>
    <x v="14"/>
    <x v="7"/>
    <x v="880"/>
    <x v="0"/>
    <x v="0"/>
    <x v="0"/>
    <x v="5"/>
    <x v="0"/>
    <x v="3"/>
  </r>
  <r>
    <x v="14"/>
    <x v="8"/>
    <x v="813"/>
    <x v="0"/>
    <x v="0"/>
    <x v="0"/>
    <x v="5"/>
    <x v="0"/>
    <x v="3"/>
  </r>
  <r>
    <x v="14"/>
    <x v="9"/>
    <x v="566"/>
    <x v="0"/>
    <x v="0"/>
    <x v="0"/>
    <x v="5"/>
    <x v="0"/>
    <x v="3"/>
  </r>
  <r>
    <x v="14"/>
    <x v="10"/>
    <x v="625"/>
    <x v="0"/>
    <x v="0"/>
    <x v="0"/>
    <x v="5"/>
    <x v="0"/>
    <x v="2"/>
  </r>
  <r>
    <x v="14"/>
    <x v="11"/>
    <x v="639"/>
    <x v="0"/>
    <x v="0"/>
    <x v="0"/>
    <x v="5"/>
    <x v="0"/>
    <x v="2"/>
  </r>
  <r>
    <x v="14"/>
    <x v="12"/>
    <x v="588"/>
    <x v="0"/>
    <x v="0"/>
    <x v="0"/>
    <x v="5"/>
    <x v="0"/>
    <x v="2"/>
  </r>
  <r>
    <x v="14"/>
    <x v="13"/>
    <x v="695"/>
    <x v="0"/>
    <x v="0"/>
    <x v="0"/>
    <x v="5"/>
    <x v="0"/>
    <x v="2"/>
  </r>
  <r>
    <x v="14"/>
    <x v="14"/>
    <x v="774"/>
    <x v="0"/>
    <x v="0"/>
    <x v="0"/>
    <x v="5"/>
    <x v="0"/>
    <x v="2"/>
  </r>
  <r>
    <x v="14"/>
    <x v="15"/>
    <x v="900"/>
    <x v="0"/>
    <x v="0"/>
    <x v="0"/>
    <x v="5"/>
    <x v="0"/>
    <x v="2"/>
  </r>
  <r>
    <x v="14"/>
    <x v="16"/>
    <x v="1426"/>
    <x v="0"/>
    <x v="0"/>
    <x v="0"/>
    <x v="5"/>
    <x v="0"/>
    <x v="0"/>
  </r>
  <r>
    <x v="14"/>
    <x v="17"/>
    <x v="1594"/>
    <x v="0"/>
    <x v="0"/>
    <x v="0"/>
    <x v="5"/>
    <x v="0"/>
    <x v="0"/>
  </r>
  <r>
    <x v="14"/>
    <x v="18"/>
    <x v="1536"/>
    <x v="0"/>
    <x v="0"/>
    <x v="0"/>
    <x v="5"/>
    <x v="0"/>
    <x v="0"/>
  </r>
  <r>
    <x v="14"/>
    <x v="19"/>
    <x v="1573"/>
    <x v="0"/>
    <x v="0"/>
    <x v="0"/>
    <x v="5"/>
    <x v="0"/>
    <x v="0"/>
  </r>
  <r>
    <x v="14"/>
    <x v="20"/>
    <x v="1625"/>
    <x v="0"/>
    <x v="0"/>
    <x v="0"/>
    <x v="5"/>
    <x v="0"/>
    <x v="1"/>
  </r>
  <r>
    <x v="14"/>
    <x v="21"/>
    <x v="1469"/>
    <x v="0"/>
    <x v="0"/>
    <x v="0"/>
    <x v="5"/>
    <x v="0"/>
    <x v="1"/>
  </r>
  <r>
    <x v="14"/>
    <x v="22"/>
    <x v="962"/>
    <x v="0"/>
    <x v="0"/>
    <x v="0"/>
    <x v="5"/>
    <x v="0"/>
    <x v="1"/>
  </r>
  <r>
    <x v="14"/>
    <x v="23"/>
    <x v="474"/>
    <x v="0"/>
    <x v="0"/>
    <x v="0"/>
    <x v="5"/>
    <x v="0"/>
    <x v="1"/>
  </r>
  <r>
    <x v="15"/>
    <x v="0"/>
    <x v="144"/>
    <x v="0"/>
    <x v="0"/>
    <x v="0"/>
    <x v="6"/>
    <x v="0"/>
    <x v="4"/>
  </r>
  <r>
    <x v="15"/>
    <x v="1"/>
    <x v="32"/>
    <x v="0"/>
    <x v="0"/>
    <x v="0"/>
    <x v="6"/>
    <x v="0"/>
    <x v="4"/>
  </r>
  <r>
    <x v="15"/>
    <x v="2"/>
    <x v="15"/>
    <x v="0"/>
    <x v="0"/>
    <x v="0"/>
    <x v="6"/>
    <x v="0"/>
    <x v="4"/>
  </r>
  <r>
    <x v="15"/>
    <x v="3"/>
    <x v="53"/>
    <x v="0"/>
    <x v="0"/>
    <x v="0"/>
    <x v="6"/>
    <x v="0"/>
    <x v="4"/>
  </r>
  <r>
    <x v="15"/>
    <x v="4"/>
    <x v="97"/>
    <x v="0"/>
    <x v="0"/>
    <x v="0"/>
    <x v="6"/>
    <x v="0"/>
    <x v="4"/>
  </r>
  <r>
    <x v="15"/>
    <x v="5"/>
    <x v="252"/>
    <x v="0"/>
    <x v="0"/>
    <x v="0"/>
    <x v="6"/>
    <x v="0"/>
    <x v="4"/>
  </r>
  <r>
    <x v="15"/>
    <x v="6"/>
    <x v="594"/>
    <x v="0"/>
    <x v="0"/>
    <x v="0"/>
    <x v="6"/>
    <x v="0"/>
    <x v="3"/>
  </r>
  <r>
    <x v="15"/>
    <x v="7"/>
    <x v="830"/>
    <x v="0"/>
    <x v="0"/>
    <x v="0"/>
    <x v="6"/>
    <x v="0"/>
    <x v="3"/>
  </r>
  <r>
    <x v="15"/>
    <x v="8"/>
    <x v="796"/>
    <x v="0"/>
    <x v="0"/>
    <x v="0"/>
    <x v="6"/>
    <x v="0"/>
    <x v="3"/>
  </r>
  <r>
    <x v="15"/>
    <x v="9"/>
    <x v="551"/>
    <x v="0"/>
    <x v="0"/>
    <x v="0"/>
    <x v="6"/>
    <x v="0"/>
    <x v="3"/>
  </r>
  <r>
    <x v="15"/>
    <x v="10"/>
    <x v="467"/>
    <x v="0"/>
    <x v="0"/>
    <x v="0"/>
    <x v="6"/>
    <x v="0"/>
    <x v="2"/>
  </r>
  <r>
    <x v="15"/>
    <x v="11"/>
    <x v="491"/>
    <x v="0"/>
    <x v="0"/>
    <x v="0"/>
    <x v="6"/>
    <x v="0"/>
    <x v="2"/>
  </r>
  <r>
    <x v="15"/>
    <x v="12"/>
    <x v="497"/>
    <x v="0"/>
    <x v="0"/>
    <x v="0"/>
    <x v="6"/>
    <x v="0"/>
    <x v="2"/>
  </r>
  <r>
    <x v="15"/>
    <x v="13"/>
    <x v="577"/>
    <x v="0"/>
    <x v="0"/>
    <x v="0"/>
    <x v="6"/>
    <x v="0"/>
    <x v="2"/>
  </r>
  <r>
    <x v="15"/>
    <x v="14"/>
    <x v="738"/>
    <x v="0"/>
    <x v="0"/>
    <x v="0"/>
    <x v="6"/>
    <x v="0"/>
    <x v="2"/>
  </r>
  <r>
    <x v="15"/>
    <x v="15"/>
    <x v="1010"/>
    <x v="0"/>
    <x v="0"/>
    <x v="0"/>
    <x v="6"/>
    <x v="0"/>
    <x v="2"/>
  </r>
  <r>
    <x v="15"/>
    <x v="16"/>
    <x v="1283"/>
    <x v="0"/>
    <x v="0"/>
    <x v="0"/>
    <x v="6"/>
    <x v="0"/>
    <x v="0"/>
  </r>
  <r>
    <x v="15"/>
    <x v="17"/>
    <x v="1370"/>
    <x v="0"/>
    <x v="0"/>
    <x v="0"/>
    <x v="6"/>
    <x v="0"/>
    <x v="0"/>
  </r>
  <r>
    <x v="15"/>
    <x v="18"/>
    <x v="1181"/>
    <x v="0"/>
    <x v="0"/>
    <x v="0"/>
    <x v="6"/>
    <x v="0"/>
    <x v="0"/>
  </r>
  <r>
    <x v="15"/>
    <x v="19"/>
    <x v="1066"/>
    <x v="0"/>
    <x v="0"/>
    <x v="0"/>
    <x v="6"/>
    <x v="0"/>
    <x v="0"/>
  </r>
  <r>
    <x v="15"/>
    <x v="20"/>
    <x v="1096"/>
    <x v="0"/>
    <x v="0"/>
    <x v="0"/>
    <x v="6"/>
    <x v="0"/>
    <x v="1"/>
  </r>
  <r>
    <x v="15"/>
    <x v="21"/>
    <x v="1111"/>
    <x v="0"/>
    <x v="0"/>
    <x v="0"/>
    <x v="6"/>
    <x v="0"/>
    <x v="1"/>
  </r>
  <r>
    <x v="15"/>
    <x v="22"/>
    <x v="676"/>
    <x v="0"/>
    <x v="0"/>
    <x v="0"/>
    <x v="6"/>
    <x v="0"/>
    <x v="1"/>
  </r>
  <r>
    <x v="15"/>
    <x v="23"/>
    <x v="406"/>
    <x v="0"/>
    <x v="0"/>
    <x v="0"/>
    <x v="6"/>
    <x v="0"/>
    <x v="1"/>
  </r>
  <r>
    <x v="16"/>
    <x v="0"/>
    <x v="155"/>
    <x v="0"/>
    <x v="0"/>
    <x v="0"/>
    <x v="4"/>
    <x v="0"/>
    <x v="4"/>
  </r>
  <r>
    <x v="16"/>
    <x v="1"/>
    <x v="41"/>
    <x v="0"/>
    <x v="0"/>
    <x v="0"/>
    <x v="4"/>
    <x v="0"/>
    <x v="4"/>
  </r>
  <r>
    <x v="16"/>
    <x v="2"/>
    <x v="34"/>
    <x v="0"/>
    <x v="0"/>
    <x v="0"/>
    <x v="4"/>
    <x v="0"/>
    <x v="4"/>
  </r>
  <r>
    <x v="16"/>
    <x v="3"/>
    <x v="62"/>
    <x v="0"/>
    <x v="0"/>
    <x v="0"/>
    <x v="4"/>
    <x v="0"/>
    <x v="4"/>
  </r>
  <r>
    <x v="16"/>
    <x v="4"/>
    <x v="138"/>
    <x v="0"/>
    <x v="0"/>
    <x v="0"/>
    <x v="4"/>
    <x v="0"/>
    <x v="4"/>
  </r>
  <r>
    <x v="16"/>
    <x v="5"/>
    <x v="269"/>
    <x v="0"/>
    <x v="0"/>
    <x v="0"/>
    <x v="4"/>
    <x v="0"/>
    <x v="4"/>
  </r>
  <r>
    <x v="16"/>
    <x v="6"/>
    <x v="664"/>
    <x v="0"/>
    <x v="0"/>
    <x v="0"/>
    <x v="4"/>
    <x v="0"/>
    <x v="3"/>
  </r>
  <r>
    <x v="16"/>
    <x v="7"/>
    <x v="939"/>
    <x v="0"/>
    <x v="0"/>
    <x v="0"/>
    <x v="4"/>
    <x v="0"/>
    <x v="3"/>
  </r>
  <r>
    <x v="16"/>
    <x v="8"/>
    <x v="790"/>
    <x v="0"/>
    <x v="0"/>
    <x v="0"/>
    <x v="4"/>
    <x v="0"/>
    <x v="3"/>
  </r>
  <r>
    <x v="16"/>
    <x v="9"/>
    <x v="560"/>
    <x v="0"/>
    <x v="0"/>
    <x v="0"/>
    <x v="4"/>
    <x v="0"/>
    <x v="3"/>
  </r>
  <r>
    <x v="16"/>
    <x v="10"/>
    <x v="518"/>
    <x v="0"/>
    <x v="0"/>
    <x v="0"/>
    <x v="4"/>
    <x v="0"/>
    <x v="2"/>
  </r>
  <r>
    <x v="16"/>
    <x v="11"/>
    <x v="568"/>
    <x v="0"/>
    <x v="0"/>
    <x v="0"/>
    <x v="4"/>
    <x v="0"/>
    <x v="2"/>
  </r>
  <r>
    <x v="16"/>
    <x v="12"/>
    <x v="604"/>
    <x v="0"/>
    <x v="0"/>
    <x v="0"/>
    <x v="4"/>
    <x v="0"/>
    <x v="2"/>
  </r>
  <r>
    <x v="16"/>
    <x v="13"/>
    <x v="743"/>
    <x v="0"/>
    <x v="0"/>
    <x v="0"/>
    <x v="4"/>
    <x v="0"/>
    <x v="2"/>
  </r>
  <r>
    <x v="16"/>
    <x v="14"/>
    <x v="871"/>
    <x v="0"/>
    <x v="0"/>
    <x v="0"/>
    <x v="4"/>
    <x v="0"/>
    <x v="2"/>
  </r>
  <r>
    <x v="16"/>
    <x v="15"/>
    <x v="1058"/>
    <x v="0"/>
    <x v="0"/>
    <x v="0"/>
    <x v="4"/>
    <x v="0"/>
    <x v="2"/>
  </r>
  <r>
    <x v="16"/>
    <x v="16"/>
    <x v="1338"/>
    <x v="0"/>
    <x v="0"/>
    <x v="0"/>
    <x v="4"/>
    <x v="0"/>
    <x v="0"/>
  </r>
  <r>
    <x v="16"/>
    <x v="17"/>
    <x v="1475"/>
    <x v="0"/>
    <x v="0"/>
    <x v="0"/>
    <x v="4"/>
    <x v="0"/>
    <x v="0"/>
  </r>
  <r>
    <x v="16"/>
    <x v="18"/>
    <x v="1516"/>
    <x v="0"/>
    <x v="0"/>
    <x v="0"/>
    <x v="4"/>
    <x v="0"/>
    <x v="0"/>
  </r>
  <r>
    <x v="16"/>
    <x v="19"/>
    <x v="1394"/>
    <x v="0"/>
    <x v="0"/>
    <x v="0"/>
    <x v="4"/>
    <x v="0"/>
    <x v="0"/>
  </r>
  <r>
    <x v="16"/>
    <x v="20"/>
    <x v="1370"/>
    <x v="0"/>
    <x v="0"/>
    <x v="0"/>
    <x v="4"/>
    <x v="0"/>
    <x v="1"/>
  </r>
  <r>
    <x v="16"/>
    <x v="21"/>
    <x v="1384"/>
    <x v="0"/>
    <x v="0"/>
    <x v="0"/>
    <x v="4"/>
    <x v="0"/>
    <x v="1"/>
  </r>
  <r>
    <x v="16"/>
    <x v="22"/>
    <x v="1201"/>
    <x v="0"/>
    <x v="0"/>
    <x v="0"/>
    <x v="4"/>
    <x v="0"/>
    <x v="1"/>
  </r>
  <r>
    <x v="16"/>
    <x v="23"/>
    <x v="672"/>
    <x v="0"/>
    <x v="0"/>
    <x v="0"/>
    <x v="4"/>
    <x v="0"/>
    <x v="1"/>
  </r>
  <r>
    <x v="17"/>
    <x v="0"/>
    <x v="356"/>
    <x v="0"/>
    <x v="0"/>
    <x v="0"/>
    <x v="0"/>
    <x v="0"/>
    <x v="4"/>
  </r>
  <r>
    <x v="17"/>
    <x v="1"/>
    <x v="150"/>
    <x v="0"/>
    <x v="0"/>
    <x v="0"/>
    <x v="0"/>
    <x v="0"/>
    <x v="4"/>
  </r>
  <r>
    <x v="17"/>
    <x v="2"/>
    <x v="78"/>
    <x v="0"/>
    <x v="0"/>
    <x v="0"/>
    <x v="0"/>
    <x v="0"/>
    <x v="4"/>
  </r>
  <r>
    <x v="17"/>
    <x v="3"/>
    <x v="136"/>
    <x v="0"/>
    <x v="0"/>
    <x v="0"/>
    <x v="0"/>
    <x v="0"/>
    <x v="4"/>
  </r>
  <r>
    <x v="17"/>
    <x v="4"/>
    <x v="156"/>
    <x v="0"/>
    <x v="0"/>
    <x v="0"/>
    <x v="0"/>
    <x v="0"/>
    <x v="4"/>
  </r>
  <r>
    <x v="17"/>
    <x v="5"/>
    <x v="218"/>
    <x v="0"/>
    <x v="0"/>
    <x v="0"/>
    <x v="0"/>
    <x v="0"/>
    <x v="4"/>
  </r>
  <r>
    <x v="17"/>
    <x v="6"/>
    <x v="319"/>
    <x v="0"/>
    <x v="0"/>
    <x v="0"/>
    <x v="0"/>
    <x v="0"/>
    <x v="3"/>
  </r>
  <r>
    <x v="17"/>
    <x v="7"/>
    <x v="551"/>
    <x v="0"/>
    <x v="0"/>
    <x v="0"/>
    <x v="0"/>
    <x v="0"/>
    <x v="3"/>
  </r>
  <r>
    <x v="17"/>
    <x v="8"/>
    <x v="618"/>
    <x v="0"/>
    <x v="0"/>
    <x v="0"/>
    <x v="0"/>
    <x v="0"/>
    <x v="3"/>
  </r>
  <r>
    <x v="17"/>
    <x v="9"/>
    <x v="546"/>
    <x v="0"/>
    <x v="0"/>
    <x v="0"/>
    <x v="0"/>
    <x v="0"/>
    <x v="3"/>
  </r>
  <r>
    <x v="17"/>
    <x v="10"/>
    <x v="468"/>
    <x v="0"/>
    <x v="0"/>
    <x v="0"/>
    <x v="0"/>
    <x v="0"/>
    <x v="2"/>
  </r>
  <r>
    <x v="17"/>
    <x v="11"/>
    <x v="540"/>
    <x v="0"/>
    <x v="0"/>
    <x v="0"/>
    <x v="0"/>
    <x v="0"/>
    <x v="2"/>
  </r>
  <r>
    <x v="17"/>
    <x v="12"/>
    <x v="568"/>
    <x v="0"/>
    <x v="0"/>
    <x v="0"/>
    <x v="0"/>
    <x v="0"/>
    <x v="2"/>
  </r>
  <r>
    <x v="17"/>
    <x v="13"/>
    <x v="668"/>
    <x v="0"/>
    <x v="0"/>
    <x v="0"/>
    <x v="0"/>
    <x v="0"/>
    <x v="2"/>
  </r>
  <r>
    <x v="17"/>
    <x v="14"/>
    <x v="770"/>
    <x v="0"/>
    <x v="0"/>
    <x v="0"/>
    <x v="0"/>
    <x v="0"/>
    <x v="2"/>
  </r>
  <r>
    <x v="17"/>
    <x v="15"/>
    <x v="1021"/>
    <x v="0"/>
    <x v="0"/>
    <x v="0"/>
    <x v="0"/>
    <x v="0"/>
    <x v="2"/>
  </r>
  <r>
    <x v="17"/>
    <x v="16"/>
    <x v="1148"/>
    <x v="0"/>
    <x v="0"/>
    <x v="0"/>
    <x v="0"/>
    <x v="0"/>
    <x v="0"/>
  </r>
  <r>
    <x v="17"/>
    <x v="17"/>
    <x v="1046"/>
    <x v="0"/>
    <x v="0"/>
    <x v="0"/>
    <x v="0"/>
    <x v="0"/>
    <x v="0"/>
  </r>
  <r>
    <x v="17"/>
    <x v="18"/>
    <x v="1213"/>
    <x v="0"/>
    <x v="0"/>
    <x v="0"/>
    <x v="0"/>
    <x v="0"/>
    <x v="0"/>
  </r>
  <r>
    <x v="17"/>
    <x v="19"/>
    <x v="1029"/>
    <x v="0"/>
    <x v="0"/>
    <x v="0"/>
    <x v="0"/>
    <x v="0"/>
    <x v="0"/>
  </r>
  <r>
    <x v="17"/>
    <x v="20"/>
    <x v="942"/>
    <x v="0"/>
    <x v="0"/>
    <x v="0"/>
    <x v="0"/>
    <x v="0"/>
    <x v="1"/>
  </r>
  <r>
    <x v="17"/>
    <x v="21"/>
    <x v="1031"/>
    <x v="0"/>
    <x v="0"/>
    <x v="0"/>
    <x v="0"/>
    <x v="0"/>
    <x v="1"/>
  </r>
  <r>
    <x v="17"/>
    <x v="22"/>
    <x v="1196"/>
    <x v="0"/>
    <x v="0"/>
    <x v="0"/>
    <x v="0"/>
    <x v="0"/>
    <x v="1"/>
  </r>
  <r>
    <x v="17"/>
    <x v="23"/>
    <x v="914"/>
    <x v="0"/>
    <x v="0"/>
    <x v="0"/>
    <x v="0"/>
    <x v="0"/>
    <x v="1"/>
  </r>
  <r>
    <x v="18"/>
    <x v="0"/>
    <x v="541"/>
    <x v="0"/>
    <x v="0"/>
    <x v="0"/>
    <x v="2"/>
    <x v="1"/>
    <x v="4"/>
  </r>
  <r>
    <x v="18"/>
    <x v="1"/>
    <x v="361"/>
    <x v="0"/>
    <x v="0"/>
    <x v="0"/>
    <x v="2"/>
    <x v="1"/>
    <x v="4"/>
  </r>
  <r>
    <x v="18"/>
    <x v="2"/>
    <x v="226"/>
    <x v="0"/>
    <x v="0"/>
    <x v="0"/>
    <x v="2"/>
    <x v="1"/>
    <x v="4"/>
  </r>
  <r>
    <x v="18"/>
    <x v="3"/>
    <x v="151"/>
    <x v="0"/>
    <x v="0"/>
    <x v="0"/>
    <x v="2"/>
    <x v="1"/>
    <x v="4"/>
  </r>
  <r>
    <x v="18"/>
    <x v="4"/>
    <x v="81"/>
    <x v="0"/>
    <x v="0"/>
    <x v="0"/>
    <x v="2"/>
    <x v="1"/>
    <x v="4"/>
  </r>
  <r>
    <x v="18"/>
    <x v="5"/>
    <x v="84"/>
    <x v="0"/>
    <x v="0"/>
    <x v="0"/>
    <x v="2"/>
    <x v="1"/>
    <x v="4"/>
  </r>
  <r>
    <x v="18"/>
    <x v="6"/>
    <x v="105"/>
    <x v="0"/>
    <x v="0"/>
    <x v="0"/>
    <x v="2"/>
    <x v="1"/>
    <x v="3"/>
  </r>
  <r>
    <x v="18"/>
    <x v="7"/>
    <x v="149"/>
    <x v="0"/>
    <x v="0"/>
    <x v="0"/>
    <x v="2"/>
    <x v="1"/>
    <x v="3"/>
  </r>
  <r>
    <x v="18"/>
    <x v="8"/>
    <x v="216"/>
    <x v="0"/>
    <x v="0"/>
    <x v="0"/>
    <x v="2"/>
    <x v="1"/>
    <x v="3"/>
  </r>
  <r>
    <x v="18"/>
    <x v="9"/>
    <x v="305"/>
    <x v="0"/>
    <x v="0"/>
    <x v="0"/>
    <x v="2"/>
    <x v="1"/>
    <x v="3"/>
  </r>
  <r>
    <x v="18"/>
    <x v="10"/>
    <x v="382"/>
    <x v="0"/>
    <x v="0"/>
    <x v="0"/>
    <x v="2"/>
    <x v="1"/>
    <x v="2"/>
  </r>
  <r>
    <x v="18"/>
    <x v="11"/>
    <x v="452"/>
    <x v="0"/>
    <x v="0"/>
    <x v="0"/>
    <x v="2"/>
    <x v="1"/>
    <x v="2"/>
  </r>
  <r>
    <x v="18"/>
    <x v="12"/>
    <x v="511"/>
    <x v="0"/>
    <x v="0"/>
    <x v="0"/>
    <x v="2"/>
    <x v="1"/>
    <x v="2"/>
  </r>
  <r>
    <x v="18"/>
    <x v="13"/>
    <x v="523"/>
    <x v="0"/>
    <x v="0"/>
    <x v="0"/>
    <x v="2"/>
    <x v="1"/>
    <x v="2"/>
  </r>
  <r>
    <x v="18"/>
    <x v="14"/>
    <x v="578"/>
    <x v="0"/>
    <x v="0"/>
    <x v="0"/>
    <x v="2"/>
    <x v="1"/>
    <x v="2"/>
  </r>
  <r>
    <x v="18"/>
    <x v="15"/>
    <x v="804"/>
    <x v="0"/>
    <x v="0"/>
    <x v="0"/>
    <x v="2"/>
    <x v="1"/>
    <x v="2"/>
  </r>
  <r>
    <x v="18"/>
    <x v="16"/>
    <x v="902"/>
    <x v="0"/>
    <x v="0"/>
    <x v="0"/>
    <x v="2"/>
    <x v="1"/>
    <x v="0"/>
  </r>
  <r>
    <x v="18"/>
    <x v="17"/>
    <x v="868"/>
    <x v="0"/>
    <x v="0"/>
    <x v="0"/>
    <x v="2"/>
    <x v="1"/>
    <x v="0"/>
  </r>
  <r>
    <x v="18"/>
    <x v="18"/>
    <x v="924"/>
    <x v="0"/>
    <x v="0"/>
    <x v="0"/>
    <x v="2"/>
    <x v="1"/>
    <x v="0"/>
  </r>
  <r>
    <x v="18"/>
    <x v="19"/>
    <x v="892"/>
    <x v="0"/>
    <x v="0"/>
    <x v="0"/>
    <x v="2"/>
    <x v="1"/>
    <x v="0"/>
  </r>
  <r>
    <x v="18"/>
    <x v="20"/>
    <x v="723"/>
    <x v="0"/>
    <x v="0"/>
    <x v="0"/>
    <x v="2"/>
    <x v="1"/>
    <x v="1"/>
  </r>
  <r>
    <x v="18"/>
    <x v="21"/>
    <x v="880"/>
    <x v="0"/>
    <x v="0"/>
    <x v="0"/>
    <x v="2"/>
    <x v="1"/>
    <x v="1"/>
  </r>
  <r>
    <x v="18"/>
    <x v="22"/>
    <x v="991"/>
    <x v="0"/>
    <x v="0"/>
    <x v="0"/>
    <x v="2"/>
    <x v="1"/>
    <x v="1"/>
  </r>
  <r>
    <x v="18"/>
    <x v="23"/>
    <x v="744"/>
    <x v="0"/>
    <x v="0"/>
    <x v="0"/>
    <x v="2"/>
    <x v="1"/>
    <x v="1"/>
  </r>
  <r>
    <x v="19"/>
    <x v="0"/>
    <x v="454"/>
    <x v="0"/>
    <x v="0"/>
    <x v="0"/>
    <x v="3"/>
    <x v="1"/>
    <x v="4"/>
  </r>
  <r>
    <x v="19"/>
    <x v="1"/>
    <x v="351"/>
    <x v="0"/>
    <x v="0"/>
    <x v="0"/>
    <x v="3"/>
    <x v="1"/>
    <x v="4"/>
  </r>
  <r>
    <x v="19"/>
    <x v="2"/>
    <x v="202"/>
    <x v="0"/>
    <x v="0"/>
    <x v="0"/>
    <x v="3"/>
    <x v="1"/>
    <x v="4"/>
  </r>
  <r>
    <x v="19"/>
    <x v="3"/>
    <x v="137"/>
    <x v="0"/>
    <x v="0"/>
    <x v="0"/>
    <x v="3"/>
    <x v="1"/>
    <x v="4"/>
  </r>
  <r>
    <x v="19"/>
    <x v="4"/>
    <x v="79"/>
    <x v="0"/>
    <x v="0"/>
    <x v="0"/>
    <x v="3"/>
    <x v="1"/>
    <x v="4"/>
  </r>
  <r>
    <x v="19"/>
    <x v="5"/>
    <x v="50"/>
    <x v="0"/>
    <x v="0"/>
    <x v="0"/>
    <x v="3"/>
    <x v="1"/>
    <x v="4"/>
  </r>
  <r>
    <x v="19"/>
    <x v="6"/>
    <x v="57"/>
    <x v="0"/>
    <x v="0"/>
    <x v="0"/>
    <x v="3"/>
    <x v="1"/>
    <x v="3"/>
  </r>
  <r>
    <x v="19"/>
    <x v="7"/>
    <x v="112"/>
    <x v="0"/>
    <x v="0"/>
    <x v="0"/>
    <x v="3"/>
    <x v="1"/>
    <x v="3"/>
  </r>
  <r>
    <x v="19"/>
    <x v="8"/>
    <x v="217"/>
    <x v="0"/>
    <x v="0"/>
    <x v="0"/>
    <x v="3"/>
    <x v="1"/>
    <x v="3"/>
  </r>
  <r>
    <x v="19"/>
    <x v="9"/>
    <x v="349"/>
    <x v="0"/>
    <x v="0"/>
    <x v="0"/>
    <x v="3"/>
    <x v="1"/>
    <x v="3"/>
  </r>
  <r>
    <x v="19"/>
    <x v="10"/>
    <x v="425"/>
    <x v="0"/>
    <x v="0"/>
    <x v="0"/>
    <x v="3"/>
    <x v="1"/>
    <x v="2"/>
  </r>
  <r>
    <x v="19"/>
    <x v="11"/>
    <x v="487"/>
    <x v="0"/>
    <x v="0"/>
    <x v="0"/>
    <x v="3"/>
    <x v="1"/>
    <x v="2"/>
  </r>
  <r>
    <x v="19"/>
    <x v="12"/>
    <x v="526"/>
    <x v="0"/>
    <x v="0"/>
    <x v="0"/>
    <x v="3"/>
    <x v="1"/>
    <x v="2"/>
  </r>
  <r>
    <x v="19"/>
    <x v="13"/>
    <x v="548"/>
    <x v="0"/>
    <x v="0"/>
    <x v="0"/>
    <x v="3"/>
    <x v="1"/>
    <x v="2"/>
  </r>
  <r>
    <x v="19"/>
    <x v="14"/>
    <x v="512"/>
    <x v="0"/>
    <x v="0"/>
    <x v="0"/>
    <x v="3"/>
    <x v="1"/>
    <x v="2"/>
  </r>
  <r>
    <x v="19"/>
    <x v="15"/>
    <x v="625"/>
    <x v="0"/>
    <x v="0"/>
    <x v="0"/>
    <x v="3"/>
    <x v="1"/>
    <x v="2"/>
  </r>
  <r>
    <x v="19"/>
    <x v="16"/>
    <x v="633"/>
    <x v="0"/>
    <x v="0"/>
    <x v="0"/>
    <x v="3"/>
    <x v="1"/>
    <x v="0"/>
  </r>
  <r>
    <x v="19"/>
    <x v="17"/>
    <x v="525"/>
    <x v="0"/>
    <x v="0"/>
    <x v="0"/>
    <x v="3"/>
    <x v="1"/>
    <x v="0"/>
  </r>
  <r>
    <x v="19"/>
    <x v="18"/>
    <x v="567"/>
    <x v="0"/>
    <x v="0"/>
    <x v="0"/>
    <x v="3"/>
    <x v="1"/>
    <x v="0"/>
  </r>
  <r>
    <x v="19"/>
    <x v="19"/>
    <x v="595"/>
    <x v="0"/>
    <x v="0"/>
    <x v="0"/>
    <x v="3"/>
    <x v="1"/>
    <x v="0"/>
  </r>
  <r>
    <x v="19"/>
    <x v="20"/>
    <x v="537"/>
    <x v="0"/>
    <x v="0"/>
    <x v="0"/>
    <x v="3"/>
    <x v="1"/>
    <x v="1"/>
  </r>
  <r>
    <x v="19"/>
    <x v="21"/>
    <x v="504"/>
    <x v="0"/>
    <x v="0"/>
    <x v="0"/>
    <x v="3"/>
    <x v="1"/>
    <x v="1"/>
  </r>
  <r>
    <x v="19"/>
    <x v="22"/>
    <x v="322"/>
    <x v="0"/>
    <x v="0"/>
    <x v="0"/>
    <x v="3"/>
    <x v="1"/>
    <x v="1"/>
  </r>
  <r>
    <x v="19"/>
    <x v="23"/>
    <x v="162"/>
    <x v="0"/>
    <x v="0"/>
    <x v="0"/>
    <x v="3"/>
    <x v="1"/>
    <x v="1"/>
  </r>
  <r>
    <x v="20"/>
    <x v="0"/>
    <x v="46"/>
    <x v="0"/>
    <x v="0"/>
    <x v="0"/>
    <x v="1"/>
    <x v="0"/>
    <x v="4"/>
  </r>
  <r>
    <x v="20"/>
    <x v="1"/>
    <x v="11"/>
    <x v="0"/>
    <x v="0"/>
    <x v="0"/>
    <x v="1"/>
    <x v="0"/>
    <x v="4"/>
  </r>
  <r>
    <x v="20"/>
    <x v="2"/>
    <x v="5"/>
    <x v="0"/>
    <x v="0"/>
    <x v="0"/>
    <x v="1"/>
    <x v="0"/>
    <x v="4"/>
  </r>
  <r>
    <x v="20"/>
    <x v="3"/>
    <x v="62"/>
    <x v="0"/>
    <x v="0"/>
    <x v="0"/>
    <x v="1"/>
    <x v="0"/>
    <x v="4"/>
  </r>
  <r>
    <x v="20"/>
    <x v="4"/>
    <x v="194"/>
    <x v="0"/>
    <x v="0"/>
    <x v="0"/>
    <x v="1"/>
    <x v="0"/>
    <x v="4"/>
  </r>
  <r>
    <x v="20"/>
    <x v="5"/>
    <x v="316"/>
    <x v="0"/>
    <x v="0"/>
    <x v="0"/>
    <x v="1"/>
    <x v="0"/>
    <x v="4"/>
  </r>
  <r>
    <x v="20"/>
    <x v="6"/>
    <x v="576"/>
    <x v="0"/>
    <x v="0"/>
    <x v="0"/>
    <x v="1"/>
    <x v="0"/>
    <x v="3"/>
  </r>
  <r>
    <x v="20"/>
    <x v="7"/>
    <x v="807"/>
    <x v="0"/>
    <x v="0"/>
    <x v="0"/>
    <x v="1"/>
    <x v="0"/>
    <x v="3"/>
  </r>
  <r>
    <x v="20"/>
    <x v="8"/>
    <x v="609"/>
    <x v="0"/>
    <x v="0"/>
    <x v="0"/>
    <x v="1"/>
    <x v="0"/>
    <x v="3"/>
  </r>
  <r>
    <x v="20"/>
    <x v="9"/>
    <x v="435"/>
    <x v="0"/>
    <x v="0"/>
    <x v="0"/>
    <x v="1"/>
    <x v="0"/>
    <x v="3"/>
  </r>
  <r>
    <x v="20"/>
    <x v="10"/>
    <x v="358"/>
    <x v="0"/>
    <x v="0"/>
    <x v="0"/>
    <x v="1"/>
    <x v="0"/>
    <x v="2"/>
  </r>
  <r>
    <x v="20"/>
    <x v="11"/>
    <x v="379"/>
    <x v="0"/>
    <x v="0"/>
    <x v="0"/>
    <x v="1"/>
    <x v="0"/>
    <x v="2"/>
  </r>
  <r>
    <x v="20"/>
    <x v="12"/>
    <x v="361"/>
    <x v="0"/>
    <x v="0"/>
    <x v="0"/>
    <x v="1"/>
    <x v="0"/>
    <x v="2"/>
  </r>
  <r>
    <x v="20"/>
    <x v="13"/>
    <x v="453"/>
    <x v="0"/>
    <x v="0"/>
    <x v="0"/>
    <x v="1"/>
    <x v="0"/>
    <x v="2"/>
  </r>
  <r>
    <x v="20"/>
    <x v="14"/>
    <x v="616"/>
    <x v="0"/>
    <x v="0"/>
    <x v="0"/>
    <x v="1"/>
    <x v="0"/>
    <x v="2"/>
  </r>
  <r>
    <x v="20"/>
    <x v="15"/>
    <x v="731"/>
    <x v="0"/>
    <x v="0"/>
    <x v="0"/>
    <x v="1"/>
    <x v="0"/>
    <x v="2"/>
  </r>
  <r>
    <x v="20"/>
    <x v="16"/>
    <x v="901"/>
    <x v="0"/>
    <x v="0"/>
    <x v="0"/>
    <x v="1"/>
    <x v="0"/>
    <x v="0"/>
  </r>
  <r>
    <x v="20"/>
    <x v="17"/>
    <x v="950"/>
    <x v="0"/>
    <x v="0"/>
    <x v="0"/>
    <x v="1"/>
    <x v="0"/>
    <x v="0"/>
  </r>
  <r>
    <x v="20"/>
    <x v="18"/>
    <x v="764"/>
    <x v="0"/>
    <x v="0"/>
    <x v="0"/>
    <x v="1"/>
    <x v="0"/>
    <x v="0"/>
  </r>
  <r>
    <x v="20"/>
    <x v="19"/>
    <x v="731"/>
    <x v="0"/>
    <x v="0"/>
    <x v="0"/>
    <x v="1"/>
    <x v="0"/>
    <x v="0"/>
  </r>
  <r>
    <x v="20"/>
    <x v="20"/>
    <x v="632"/>
    <x v="0"/>
    <x v="0"/>
    <x v="0"/>
    <x v="1"/>
    <x v="0"/>
    <x v="1"/>
  </r>
  <r>
    <x v="20"/>
    <x v="21"/>
    <x v="522"/>
    <x v="0"/>
    <x v="0"/>
    <x v="0"/>
    <x v="1"/>
    <x v="0"/>
    <x v="1"/>
  </r>
  <r>
    <x v="20"/>
    <x v="22"/>
    <x v="361"/>
    <x v="0"/>
    <x v="0"/>
    <x v="0"/>
    <x v="1"/>
    <x v="0"/>
    <x v="1"/>
  </r>
  <r>
    <x v="20"/>
    <x v="23"/>
    <x v="217"/>
    <x v="0"/>
    <x v="0"/>
    <x v="0"/>
    <x v="1"/>
    <x v="0"/>
    <x v="1"/>
  </r>
  <r>
    <x v="21"/>
    <x v="0"/>
    <x v="80"/>
    <x v="0"/>
    <x v="0"/>
    <x v="0"/>
    <x v="5"/>
    <x v="0"/>
    <x v="4"/>
  </r>
  <r>
    <x v="21"/>
    <x v="1"/>
    <x v="8"/>
    <x v="0"/>
    <x v="0"/>
    <x v="0"/>
    <x v="5"/>
    <x v="0"/>
    <x v="4"/>
  </r>
  <r>
    <x v="21"/>
    <x v="2"/>
    <x v="7"/>
    <x v="0"/>
    <x v="0"/>
    <x v="0"/>
    <x v="5"/>
    <x v="0"/>
    <x v="4"/>
  </r>
  <r>
    <x v="21"/>
    <x v="3"/>
    <x v="26"/>
    <x v="0"/>
    <x v="0"/>
    <x v="0"/>
    <x v="5"/>
    <x v="0"/>
    <x v="4"/>
  </r>
  <r>
    <x v="21"/>
    <x v="4"/>
    <x v="135"/>
    <x v="0"/>
    <x v="0"/>
    <x v="0"/>
    <x v="5"/>
    <x v="0"/>
    <x v="4"/>
  </r>
  <r>
    <x v="21"/>
    <x v="5"/>
    <x v="249"/>
    <x v="0"/>
    <x v="0"/>
    <x v="0"/>
    <x v="5"/>
    <x v="0"/>
    <x v="4"/>
  </r>
  <r>
    <x v="21"/>
    <x v="6"/>
    <x v="617"/>
    <x v="0"/>
    <x v="0"/>
    <x v="0"/>
    <x v="5"/>
    <x v="0"/>
    <x v="3"/>
  </r>
  <r>
    <x v="21"/>
    <x v="7"/>
    <x v="836"/>
    <x v="0"/>
    <x v="0"/>
    <x v="0"/>
    <x v="5"/>
    <x v="0"/>
    <x v="3"/>
  </r>
  <r>
    <x v="21"/>
    <x v="8"/>
    <x v="699"/>
    <x v="0"/>
    <x v="0"/>
    <x v="0"/>
    <x v="5"/>
    <x v="0"/>
    <x v="3"/>
  </r>
  <r>
    <x v="21"/>
    <x v="9"/>
    <x v="422"/>
    <x v="0"/>
    <x v="0"/>
    <x v="0"/>
    <x v="5"/>
    <x v="0"/>
    <x v="3"/>
  </r>
  <r>
    <x v="21"/>
    <x v="10"/>
    <x v="460"/>
    <x v="0"/>
    <x v="0"/>
    <x v="0"/>
    <x v="5"/>
    <x v="0"/>
    <x v="2"/>
  </r>
  <r>
    <x v="21"/>
    <x v="11"/>
    <x v="435"/>
    <x v="0"/>
    <x v="0"/>
    <x v="0"/>
    <x v="5"/>
    <x v="0"/>
    <x v="2"/>
  </r>
  <r>
    <x v="21"/>
    <x v="12"/>
    <x v="421"/>
    <x v="0"/>
    <x v="0"/>
    <x v="0"/>
    <x v="5"/>
    <x v="0"/>
    <x v="2"/>
  </r>
  <r>
    <x v="21"/>
    <x v="13"/>
    <x v="520"/>
    <x v="0"/>
    <x v="0"/>
    <x v="0"/>
    <x v="5"/>
    <x v="0"/>
    <x v="2"/>
  </r>
  <r>
    <x v="21"/>
    <x v="14"/>
    <x v="729"/>
    <x v="0"/>
    <x v="0"/>
    <x v="0"/>
    <x v="5"/>
    <x v="0"/>
    <x v="2"/>
  </r>
  <r>
    <x v="21"/>
    <x v="15"/>
    <x v="1242"/>
    <x v="0"/>
    <x v="0"/>
    <x v="0"/>
    <x v="5"/>
    <x v="0"/>
    <x v="2"/>
  </r>
  <r>
    <x v="21"/>
    <x v="16"/>
    <x v="1469"/>
    <x v="0"/>
    <x v="0"/>
    <x v="0"/>
    <x v="5"/>
    <x v="0"/>
    <x v="0"/>
  </r>
  <r>
    <x v="21"/>
    <x v="17"/>
    <x v="1455"/>
    <x v="0"/>
    <x v="0"/>
    <x v="0"/>
    <x v="5"/>
    <x v="0"/>
    <x v="0"/>
  </r>
  <r>
    <x v="21"/>
    <x v="18"/>
    <x v="1212"/>
    <x v="0"/>
    <x v="0"/>
    <x v="0"/>
    <x v="5"/>
    <x v="0"/>
    <x v="0"/>
  </r>
  <r>
    <x v="21"/>
    <x v="19"/>
    <x v="999"/>
    <x v="0"/>
    <x v="0"/>
    <x v="0"/>
    <x v="5"/>
    <x v="0"/>
    <x v="0"/>
  </r>
  <r>
    <x v="21"/>
    <x v="20"/>
    <x v="1002"/>
    <x v="0"/>
    <x v="0"/>
    <x v="0"/>
    <x v="5"/>
    <x v="0"/>
    <x v="1"/>
  </r>
  <r>
    <x v="21"/>
    <x v="21"/>
    <x v="857"/>
    <x v="0"/>
    <x v="0"/>
    <x v="0"/>
    <x v="5"/>
    <x v="0"/>
    <x v="1"/>
  </r>
  <r>
    <x v="21"/>
    <x v="22"/>
    <x v="521"/>
    <x v="0"/>
    <x v="0"/>
    <x v="0"/>
    <x v="5"/>
    <x v="0"/>
    <x v="1"/>
  </r>
  <r>
    <x v="21"/>
    <x v="23"/>
    <x v="236"/>
    <x v="0"/>
    <x v="0"/>
    <x v="0"/>
    <x v="5"/>
    <x v="0"/>
    <x v="1"/>
  </r>
  <r>
    <x v="22"/>
    <x v="0"/>
    <x v="79"/>
    <x v="0"/>
    <x v="0"/>
    <x v="0"/>
    <x v="6"/>
    <x v="0"/>
    <x v="4"/>
  </r>
  <r>
    <x v="22"/>
    <x v="1"/>
    <x v="28"/>
    <x v="0"/>
    <x v="0"/>
    <x v="0"/>
    <x v="6"/>
    <x v="0"/>
    <x v="4"/>
  </r>
  <r>
    <x v="22"/>
    <x v="2"/>
    <x v="10"/>
    <x v="0"/>
    <x v="0"/>
    <x v="0"/>
    <x v="6"/>
    <x v="0"/>
    <x v="4"/>
  </r>
  <r>
    <x v="22"/>
    <x v="3"/>
    <x v="27"/>
    <x v="0"/>
    <x v="0"/>
    <x v="0"/>
    <x v="6"/>
    <x v="0"/>
    <x v="4"/>
  </r>
  <r>
    <x v="22"/>
    <x v="4"/>
    <x v="140"/>
    <x v="0"/>
    <x v="0"/>
    <x v="0"/>
    <x v="6"/>
    <x v="0"/>
    <x v="4"/>
  </r>
  <r>
    <x v="22"/>
    <x v="5"/>
    <x v="302"/>
    <x v="0"/>
    <x v="0"/>
    <x v="0"/>
    <x v="6"/>
    <x v="0"/>
    <x v="4"/>
  </r>
  <r>
    <x v="22"/>
    <x v="6"/>
    <x v="692"/>
    <x v="0"/>
    <x v="0"/>
    <x v="0"/>
    <x v="6"/>
    <x v="0"/>
    <x v="3"/>
  </r>
  <r>
    <x v="22"/>
    <x v="7"/>
    <x v="974"/>
    <x v="0"/>
    <x v="0"/>
    <x v="0"/>
    <x v="6"/>
    <x v="0"/>
    <x v="3"/>
  </r>
  <r>
    <x v="22"/>
    <x v="8"/>
    <x v="837"/>
    <x v="0"/>
    <x v="0"/>
    <x v="0"/>
    <x v="6"/>
    <x v="0"/>
    <x v="3"/>
  </r>
  <r>
    <x v="22"/>
    <x v="9"/>
    <x v="536"/>
    <x v="0"/>
    <x v="0"/>
    <x v="0"/>
    <x v="6"/>
    <x v="0"/>
    <x v="3"/>
  </r>
  <r>
    <x v="22"/>
    <x v="10"/>
    <x v="593"/>
    <x v="0"/>
    <x v="0"/>
    <x v="0"/>
    <x v="6"/>
    <x v="0"/>
    <x v="2"/>
  </r>
  <r>
    <x v="22"/>
    <x v="11"/>
    <x v="563"/>
    <x v="0"/>
    <x v="0"/>
    <x v="0"/>
    <x v="6"/>
    <x v="0"/>
    <x v="2"/>
  </r>
  <r>
    <x v="22"/>
    <x v="12"/>
    <x v="584"/>
    <x v="0"/>
    <x v="0"/>
    <x v="0"/>
    <x v="6"/>
    <x v="0"/>
    <x v="2"/>
  </r>
  <r>
    <x v="22"/>
    <x v="13"/>
    <x v="679"/>
    <x v="0"/>
    <x v="0"/>
    <x v="0"/>
    <x v="6"/>
    <x v="0"/>
    <x v="2"/>
  </r>
  <r>
    <x v="22"/>
    <x v="14"/>
    <x v="879"/>
    <x v="0"/>
    <x v="0"/>
    <x v="0"/>
    <x v="6"/>
    <x v="0"/>
    <x v="2"/>
  </r>
  <r>
    <x v="22"/>
    <x v="15"/>
    <x v="1152"/>
    <x v="0"/>
    <x v="0"/>
    <x v="0"/>
    <x v="6"/>
    <x v="0"/>
    <x v="2"/>
  </r>
  <r>
    <x v="22"/>
    <x v="16"/>
    <x v="1402"/>
    <x v="0"/>
    <x v="0"/>
    <x v="0"/>
    <x v="6"/>
    <x v="0"/>
    <x v="0"/>
  </r>
  <r>
    <x v="22"/>
    <x v="17"/>
    <x v="1574"/>
    <x v="0"/>
    <x v="0"/>
    <x v="0"/>
    <x v="6"/>
    <x v="0"/>
    <x v="0"/>
  </r>
  <r>
    <x v="22"/>
    <x v="18"/>
    <x v="1372"/>
    <x v="0"/>
    <x v="0"/>
    <x v="0"/>
    <x v="6"/>
    <x v="0"/>
    <x v="0"/>
  </r>
  <r>
    <x v="22"/>
    <x v="19"/>
    <x v="1389"/>
    <x v="0"/>
    <x v="0"/>
    <x v="0"/>
    <x v="6"/>
    <x v="0"/>
    <x v="0"/>
  </r>
  <r>
    <x v="22"/>
    <x v="20"/>
    <x v="1496"/>
    <x v="0"/>
    <x v="0"/>
    <x v="0"/>
    <x v="6"/>
    <x v="0"/>
    <x v="1"/>
  </r>
  <r>
    <x v="22"/>
    <x v="21"/>
    <x v="1260"/>
    <x v="0"/>
    <x v="0"/>
    <x v="0"/>
    <x v="6"/>
    <x v="0"/>
    <x v="1"/>
  </r>
  <r>
    <x v="22"/>
    <x v="22"/>
    <x v="826"/>
    <x v="0"/>
    <x v="0"/>
    <x v="0"/>
    <x v="6"/>
    <x v="0"/>
    <x v="1"/>
  </r>
  <r>
    <x v="22"/>
    <x v="23"/>
    <x v="393"/>
    <x v="0"/>
    <x v="0"/>
    <x v="0"/>
    <x v="6"/>
    <x v="0"/>
    <x v="1"/>
  </r>
  <r>
    <x v="23"/>
    <x v="0"/>
    <x v="124"/>
    <x v="0"/>
    <x v="0"/>
    <x v="0"/>
    <x v="4"/>
    <x v="0"/>
    <x v="4"/>
  </r>
  <r>
    <x v="23"/>
    <x v="1"/>
    <x v="70"/>
    <x v="0"/>
    <x v="0"/>
    <x v="0"/>
    <x v="4"/>
    <x v="0"/>
    <x v="4"/>
  </r>
  <r>
    <x v="23"/>
    <x v="2"/>
    <x v="36"/>
    <x v="0"/>
    <x v="0"/>
    <x v="0"/>
    <x v="4"/>
    <x v="0"/>
    <x v="4"/>
  </r>
  <r>
    <x v="23"/>
    <x v="3"/>
    <x v="82"/>
    <x v="0"/>
    <x v="0"/>
    <x v="0"/>
    <x v="4"/>
    <x v="0"/>
    <x v="4"/>
  </r>
  <r>
    <x v="23"/>
    <x v="4"/>
    <x v="163"/>
    <x v="0"/>
    <x v="0"/>
    <x v="0"/>
    <x v="4"/>
    <x v="0"/>
    <x v="4"/>
  </r>
  <r>
    <x v="23"/>
    <x v="5"/>
    <x v="312"/>
    <x v="0"/>
    <x v="0"/>
    <x v="0"/>
    <x v="4"/>
    <x v="0"/>
    <x v="4"/>
  </r>
  <r>
    <x v="23"/>
    <x v="6"/>
    <x v="725"/>
    <x v="0"/>
    <x v="0"/>
    <x v="0"/>
    <x v="4"/>
    <x v="0"/>
    <x v="3"/>
  </r>
  <r>
    <x v="23"/>
    <x v="7"/>
    <x v="998"/>
    <x v="0"/>
    <x v="0"/>
    <x v="0"/>
    <x v="4"/>
    <x v="0"/>
    <x v="3"/>
  </r>
  <r>
    <x v="23"/>
    <x v="8"/>
    <x v="908"/>
    <x v="0"/>
    <x v="0"/>
    <x v="0"/>
    <x v="4"/>
    <x v="0"/>
    <x v="3"/>
  </r>
  <r>
    <x v="23"/>
    <x v="9"/>
    <x v="651"/>
    <x v="0"/>
    <x v="0"/>
    <x v="0"/>
    <x v="4"/>
    <x v="0"/>
    <x v="3"/>
  </r>
  <r>
    <x v="23"/>
    <x v="10"/>
    <x v="546"/>
    <x v="0"/>
    <x v="0"/>
    <x v="0"/>
    <x v="4"/>
    <x v="0"/>
    <x v="2"/>
  </r>
  <r>
    <x v="23"/>
    <x v="11"/>
    <x v="577"/>
    <x v="0"/>
    <x v="0"/>
    <x v="0"/>
    <x v="4"/>
    <x v="0"/>
    <x v="2"/>
  </r>
  <r>
    <x v="23"/>
    <x v="12"/>
    <x v="607"/>
    <x v="0"/>
    <x v="0"/>
    <x v="0"/>
    <x v="4"/>
    <x v="0"/>
    <x v="2"/>
  </r>
  <r>
    <x v="23"/>
    <x v="13"/>
    <x v="757"/>
    <x v="0"/>
    <x v="0"/>
    <x v="0"/>
    <x v="4"/>
    <x v="0"/>
    <x v="2"/>
  </r>
  <r>
    <x v="23"/>
    <x v="14"/>
    <x v="994"/>
    <x v="0"/>
    <x v="0"/>
    <x v="0"/>
    <x v="4"/>
    <x v="0"/>
    <x v="2"/>
  </r>
  <r>
    <x v="23"/>
    <x v="15"/>
    <x v="1288"/>
    <x v="0"/>
    <x v="0"/>
    <x v="0"/>
    <x v="4"/>
    <x v="0"/>
    <x v="2"/>
  </r>
  <r>
    <x v="23"/>
    <x v="16"/>
    <x v="1516"/>
    <x v="0"/>
    <x v="0"/>
    <x v="0"/>
    <x v="4"/>
    <x v="0"/>
    <x v="0"/>
  </r>
  <r>
    <x v="23"/>
    <x v="17"/>
    <x v="1724"/>
    <x v="0"/>
    <x v="0"/>
    <x v="0"/>
    <x v="4"/>
    <x v="0"/>
    <x v="0"/>
  </r>
  <r>
    <x v="23"/>
    <x v="18"/>
    <x v="1619"/>
    <x v="0"/>
    <x v="0"/>
    <x v="0"/>
    <x v="4"/>
    <x v="0"/>
    <x v="0"/>
  </r>
  <r>
    <x v="23"/>
    <x v="19"/>
    <x v="1536"/>
    <x v="0"/>
    <x v="0"/>
    <x v="0"/>
    <x v="4"/>
    <x v="0"/>
    <x v="0"/>
  </r>
  <r>
    <x v="23"/>
    <x v="20"/>
    <x v="1605"/>
    <x v="0"/>
    <x v="0"/>
    <x v="0"/>
    <x v="4"/>
    <x v="0"/>
    <x v="1"/>
  </r>
  <r>
    <x v="23"/>
    <x v="21"/>
    <x v="1679"/>
    <x v="0"/>
    <x v="0"/>
    <x v="0"/>
    <x v="4"/>
    <x v="0"/>
    <x v="1"/>
  </r>
  <r>
    <x v="23"/>
    <x v="22"/>
    <x v="1350"/>
    <x v="0"/>
    <x v="0"/>
    <x v="0"/>
    <x v="4"/>
    <x v="0"/>
    <x v="1"/>
  </r>
  <r>
    <x v="23"/>
    <x v="23"/>
    <x v="668"/>
    <x v="0"/>
    <x v="0"/>
    <x v="0"/>
    <x v="4"/>
    <x v="0"/>
    <x v="1"/>
  </r>
  <r>
    <x v="24"/>
    <x v="0"/>
    <x v="272"/>
    <x v="0"/>
    <x v="0"/>
    <x v="0"/>
    <x v="0"/>
    <x v="0"/>
    <x v="4"/>
  </r>
  <r>
    <x v="24"/>
    <x v="1"/>
    <x v="122"/>
    <x v="0"/>
    <x v="0"/>
    <x v="0"/>
    <x v="0"/>
    <x v="0"/>
    <x v="4"/>
  </r>
  <r>
    <x v="24"/>
    <x v="2"/>
    <x v="70"/>
    <x v="0"/>
    <x v="0"/>
    <x v="0"/>
    <x v="0"/>
    <x v="0"/>
    <x v="4"/>
  </r>
  <r>
    <x v="24"/>
    <x v="3"/>
    <x v="106"/>
    <x v="0"/>
    <x v="0"/>
    <x v="0"/>
    <x v="0"/>
    <x v="0"/>
    <x v="4"/>
  </r>
  <r>
    <x v="24"/>
    <x v="4"/>
    <x v="166"/>
    <x v="0"/>
    <x v="0"/>
    <x v="0"/>
    <x v="0"/>
    <x v="0"/>
    <x v="4"/>
  </r>
  <r>
    <x v="24"/>
    <x v="5"/>
    <x v="292"/>
    <x v="0"/>
    <x v="0"/>
    <x v="0"/>
    <x v="0"/>
    <x v="0"/>
    <x v="4"/>
  </r>
  <r>
    <x v="24"/>
    <x v="6"/>
    <x v="693"/>
    <x v="0"/>
    <x v="0"/>
    <x v="0"/>
    <x v="0"/>
    <x v="0"/>
    <x v="3"/>
  </r>
  <r>
    <x v="24"/>
    <x v="7"/>
    <x v="941"/>
    <x v="0"/>
    <x v="0"/>
    <x v="0"/>
    <x v="0"/>
    <x v="0"/>
    <x v="3"/>
  </r>
  <r>
    <x v="24"/>
    <x v="8"/>
    <x v="829"/>
    <x v="0"/>
    <x v="0"/>
    <x v="0"/>
    <x v="0"/>
    <x v="0"/>
    <x v="3"/>
  </r>
  <r>
    <x v="24"/>
    <x v="9"/>
    <x v="615"/>
    <x v="0"/>
    <x v="0"/>
    <x v="0"/>
    <x v="0"/>
    <x v="0"/>
    <x v="3"/>
  </r>
  <r>
    <x v="24"/>
    <x v="10"/>
    <x v="556"/>
    <x v="0"/>
    <x v="0"/>
    <x v="0"/>
    <x v="0"/>
    <x v="0"/>
    <x v="2"/>
  </r>
  <r>
    <x v="24"/>
    <x v="11"/>
    <x v="598"/>
    <x v="0"/>
    <x v="0"/>
    <x v="0"/>
    <x v="0"/>
    <x v="0"/>
    <x v="2"/>
  </r>
  <r>
    <x v="24"/>
    <x v="12"/>
    <x v="681"/>
    <x v="0"/>
    <x v="0"/>
    <x v="0"/>
    <x v="0"/>
    <x v="0"/>
    <x v="2"/>
  </r>
  <r>
    <x v="24"/>
    <x v="13"/>
    <x v="783"/>
    <x v="0"/>
    <x v="0"/>
    <x v="0"/>
    <x v="0"/>
    <x v="0"/>
    <x v="2"/>
  </r>
  <r>
    <x v="24"/>
    <x v="14"/>
    <x v="1010"/>
    <x v="0"/>
    <x v="0"/>
    <x v="0"/>
    <x v="0"/>
    <x v="0"/>
    <x v="2"/>
  </r>
  <r>
    <x v="24"/>
    <x v="15"/>
    <x v="1309"/>
    <x v="0"/>
    <x v="0"/>
    <x v="0"/>
    <x v="0"/>
    <x v="0"/>
    <x v="2"/>
  </r>
  <r>
    <x v="24"/>
    <x v="16"/>
    <x v="1522"/>
    <x v="0"/>
    <x v="0"/>
    <x v="0"/>
    <x v="0"/>
    <x v="0"/>
    <x v="0"/>
  </r>
  <r>
    <x v="24"/>
    <x v="17"/>
    <x v="1581"/>
    <x v="0"/>
    <x v="0"/>
    <x v="0"/>
    <x v="0"/>
    <x v="0"/>
    <x v="0"/>
  </r>
  <r>
    <x v="24"/>
    <x v="18"/>
    <x v="1744"/>
    <x v="0"/>
    <x v="0"/>
    <x v="0"/>
    <x v="0"/>
    <x v="0"/>
    <x v="0"/>
  </r>
  <r>
    <x v="24"/>
    <x v="19"/>
    <x v="1454"/>
    <x v="0"/>
    <x v="0"/>
    <x v="0"/>
    <x v="0"/>
    <x v="0"/>
    <x v="0"/>
  </r>
  <r>
    <x v="24"/>
    <x v="20"/>
    <x v="1327"/>
    <x v="0"/>
    <x v="0"/>
    <x v="0"/>
    <x v="0"/>
    <x v="0"/>
    <x v="1"/>
  </r>
  <r>
    <x v="24"/>
    <x v="21"/>
    <x v="1788"/>
    <x v="0"/>
    <x v="0"/>
    <x v="0"/>
    <x v="0"/>
    <x v="0"/>
    <x v="1"/>
  </r>
  <r>
    <x v="24"/>
    <x v="22"/>
    <x v="1881"/>
    <x v="0"/>
    <x v="0"/>
    <x v="0"/>
    <x v="0"/>
    <x v="0"/>
    <x v="1"/>
  </r>
  <r>
    <x v="24"/>
    <x v="23"/>
    <x v="1722"/>
    <x v="0"/>
    <x v="0"/>
    <x v="0"/>
    <x v="0"/>
    <x v="0"/>
    <x v="1"/>
  </r>
  <r>
    <x v="25"/>
    <x v="0"/>
    <x v="891"/>
    <x v="0"/>
    <x v="0"/>
    <x v="0"/>
    <x v="2"/>
    <x v="1"/>
    <x v="4"/>
  </r>
  <r>
    <x v="25"/>
    <x v="1"/>
    <x v="1043"/>
    <x v="0"/>
    <x v="0"/>
    <x v="0"/>
    <x v="2"/>
    <x v="1"/>
    <x v="4"/>
  </r>
  <r>
    <x v="25"/>
    <x v="2"/>
    <x v="686"/>
    <x v="0"/>
    <x v="0"/>
    <x v="0"/>
    <x v="2"/>
    <x v="1"/>
    <x v="4"/>
  </r>
  <r>
    <x v="25"/>
    <x v="3"/>
    <x v="349"/>
    <x v="0"/>
    <x v="0"/>
    <x v="0"/>
    <x v="2"/>
    <x v="1"/>
    <x v="4"/>
  </r>
  <r>
    <x v="25"/>
    <x v="4"/>
    <x v="171"/>
    <x v="0"/>
    <x v="0"/>
    <x v="0"/>
    <x v="2"/>
    <x v="1"/>
    <x v="4"/>
  </r>
  <r>
    <x v="25"/>
    <x v="5"/>
    <x v="131"/>
    <x v="0"/>
    <x v="0"/>
    <x v="0"/>
    <x v="2"/>
    <x v="1"/>
    <x v="4"/>
  </r>
  <r>
    <x v="25"/>
    <x v="6"/>
    <x v="189"/>
    <x v="0"/>
    <x v="0"/>
    <x v="0"/>
    <x v="2"/>
    <x v="1"/>
    <x v="3"/>
  </r>
  <r>
    <x v="25"/>
    <x v="7"/>
    <x v="277"/>
    <x v="0"/>
    <x v="0"/>
    <x v="0"/>
    <x v="2"/>
    <x v="1"/>
    <x v="3"/>
  </r>
  <r>
    <x v="25"/>
    <x v="8"/>
    <x v="316"/>
    <x v="0"/>
    <x v="0"/>
    <x v="0"/>
    <x v="2"/>
    <x v="1"/>
    <x v="3"/>
  </r>
  <r>
    <x v="25"/>
    <x v="9"/>
    <x v="434"/>
    <x v="0"/>
    <x v="0"/>
    <x v="0"/>
    <x v="2"/>
    <x v="1"/>
    <x v="3"/>
  </r>
  <r>
    <x v="25"/>
    <x v="10"/>
    <x v="486"/>
    <x v="0"/>
    <x v="0"/>
    <x v="0"/>
    <x v="2"/>
    <x v="1"/>
    <x v="2"/>
  </r>
  <r>
    <x v="25"/>
    <x v="11"/>
    <x v="587"/>
    <x v="0"/>
    <x v="0"/>
    <x v="0"/>
    <x v="2"/>
    <x v="1"/>
    <x v="2"/>
  </r>
  <r>
    <x v="25"/>
    <x v="12"/>
    <x v="589"/>
    <x v="0"/>
    <x v="0"/>
    <x v="0"/>
    <x v="2"/>
    <x v="1"/>
    <x v="2"/>
  </r>
  <r>
    <x v="25"/>
    <x v="13"/>
    <x v="691"/>
    <x v="0"/>
    <x v="0"/>
    <x v="0"/>
    <x v="2"/>
    <x v="1"/>
    <x v="2"/>
  </r>
  <r>
    <x v="25"/>
    <x v="14"/>
    <x v="837"/>
    <x v="0"/>
    <x v="0"/>
    <x v="0"/>
    <x v="2"/>
    <x v="1"/>
    <x v="2"/>
  </r>
  <r>
    <x v="25"/>
    <x v="15"/>
    <x v="1251"/>
    <x v="0"/>
    <x v="0"/>
    <x v="0"/>
    <x v="2"/>
    <x v="1"/>
    <x v="2"/>
  </r>
  <r>
    <x v="25"/>
    <x v="16"/>
    <x v="1616"/>
    <x v="0"/>
    <x v="0"/>
    <x v="0"/>
    <x v="2"/>
    <x v="1"/>
    <x v="0"/>
  </r>
  <r>
    <x v="25"/>
    <x v="17"/>
    <x v="1712"/>
    <x v="0"/>
    <x v="0"/>
    <x v="0"/>
    <x v="2"/>
    <x v="1"/>
    <x v="0"/>
  </r>
  <r>
    <x v="25"/>
    <x v="18"/>
    <x v="1738"/>
    <x v="0"/>
    <x v="0"/>
    <x v="0"/>
    <x v="2"/>
    <x v="1"/>
    <x v="0"/>
  </r>
  <r>
    <x v="25"/>
    <x v="19"/>
    <x v="1634"/>
    <x v="0"/>
    <x v="0"/>
    <x v="0"/>
    <x v="2"/>
    <x v="1"/>
    <x v="0"/>
  </r>
  <r>
    <x v="25"/>
    <x v="20"/>
    <x v="1405"/>
    <x v="0"/>
    <x v="0"/>
    <x v="0"/>
    <x v="2"/>
    <x v="1"/>
    <x v="1"/>
  </r>
  <r>
    <x v="25"/>
    <x v="21"/>
    <x v="1679"/>
    <x v="0"/>
    <x v="0"/>
    <x v="0"/>
    <x v="2"/>
    <x v="1"/>
    <x v="1"/>
  </r>
  <r>
    <x v="25"/>
    <x v="22"/>
    <x v="1718"/>
    <x v="0"/>
    <x v="0"/>
    <x v="0"/>
    <x v="2"/>
    <x v="1"/>
    <x v="1"/>
  </r>
  <r>
    <x v="25"/>
    <x v="23"/>
    <x v="1542"/>
    <x v="0"/>
    <x v="0"/>
    <x v="0"/>
    <x v="2"/>
    <x v="1"/>
    <x v="1"/>
  </r>
  <r>
    <x v="26"/>
    <x v="0"/>
    <x v="1250"/>
    <x v="0"/>
    <x v="0"/>
    <x v="0"/>
    <x v="3"/>
    <x v="1"/>
    <x v="4"/>
  </r>
  <r>
    <x v="26"/>
    <x v="1"/>
    <x v="785"/>
    <x v="0"/>
    <x v="0"/>
    <x v="0"/>
    <x v="3"/>
    <x v="1"/>
    <x v="4"/>
  </r>
  <r>
    <x v="26"/>
    <x v="2"/>
    <x v="394"/>
    <x v="0"/>
    <x v="0"/>
    <x v="0"/>
    <x v="3"/>
    <x v="1"/>
    <x v="4"/>
  </r>
  <r>
    <x v="26"/>
    <x v="3"/>
    <x v="218"/>
    <x v="0"/>
    <x v="0"/>
    <x v="0"/>
    <x v="3"/>
    <x v="1"/>
    <x v="4"/>
  </r>
  <r>
    <x v="26"/>
    <x v="4"/>
    <x v="109"/>
    <x v="0"/>
    <x v="0"/>
    <x v="0"/>
    <x v="3"/>
    <x v="1"/>
    <x v="4"/>
  </r>
  <r>
    <x v="26"/>
    <x v="5"/>
    <x v="97"/>
    <x v="0"/>
    <x v="0"/>
    <x v="0"/>
    <x v="3"/>
    <x v="1"/>
    <x v="4"/>
  </r>
  <r>
    <x v="26"/>
    <x v="6"/>
    <x v="119"/>
    <x v="0"/>
    <x v="0"/>
    <x v="0"/>
    <x v="3"/>
    <x v="1"/>
    <x v="3"/>
  </r>
  <r>
    <x v="26"/>
    <x v="7"/>
    <x v="175"/>
    <x v="0"/>
    <x v="0"/>
    <x v="0"/>
    <x v="3"/>
    <x v="1"/>
    <x v="3"/>
  </r>
  <r>
    <x v="26"/>
    <x v="8"/>
    <x v="257"/>
    <x v="0"/>
    <x v="0"/>
    <x v="0"/>
    <x v="3"/>
    <x v="1"/>
    <x v="3"/>
  </r>
  <r>
    <x v="26"/>
    <x v="9"/>
    <x v="377"/>
    <x v="0"/>
    <x v="0"/>
    <x v="0"/>
    <x v="3"/>
    <x v="1"/>
    <x v="3"/>
  </r>
  <r>
    <x v="26"/>
    <x v="10"/>
    <x v="478"/>
    <x v="0"/>
    <x v="0"/>
    <x v="0"/>
    <x v="3"/>
    <x v="1"/>
    <x v="2"/>
  </r>
  <r>
    <x v="26"/>
    <x v="11"/>
    <x v="543"/>
    <x v="0"/>
    <x v="0"/>
    <x v="0"/>
    <x v="3"/>
    <x v="1"/>
    <x v="2"/>
  </r>
  <r>
    <x v="26"/>
    <x v="12"/>
    <x v="585"/>
    <x v="0"/>
    <x v="0"/>
    <x v="0"/>
    <x v="3"/>
    <x v="1"/>
    <x v="2"/>
  </r>
  <r>
    <x v="26"/>
    <x v="13"/>
    <x v="689"/>
    <x v="0"/>
    <x v="0"/>
    <x v="0"/>
    <x v="3"/>
    <x v="1"/>
    <x v="2"/>
  </r>
  <r>
    <x v="26"/>
    <x v="14"/>
    <x v="784"/>
    <x v="0"/>
    <x v="0"/>
    <x v="0"/>
    <x v="3"/>
    <x v="1"/>
    <x v="2"/>
  </r>
  <r>
    <x v="26"/>
    <x v="15"/>
    <x v="902"/>
    <x v="0"/>
    <x v="0"/>
    <x v="0"/>
    <x v="3"/>
    <x v="1"/>
    <x v="2"/>
  </r>
  <r>
    <x v="26"/>
    <x v="16"/>
    <x v="957"/>
    <x v="0"/>
    <x v="0"/>
    <x v="0"/>
    <x v="3"/>
    <x v="1"/>
    <x v="0"/>
  </r>
  <r>
    <x v="26"/>
    <x v="17"/>
    <x v="852"/>
    <x v="0"/>
    <x v="0"/>
    <x v="0"/>
    <x v="3"/>
    <x v="1"/>
    <x v="0"/>
  </r>
  <r>
    <x v="26"/>
    <x v="18"/>
    <x v="615"/>
    <x v="0"/>
    <x v="0"/>
    <x v="0"/>
    <x v="3"/>
    <x v="1"/>
    <x v="0"/>
  </r>
  <r>
    <x v="26"/>
    <x v="19"/>
    <x v="588"/>
    <x v="0"/>
    <x v="0"/>
    <x v="0"/>
    <x v="3"/>
    <x v="1"/>
    <x v="0"/>
  </r>
  <r>
    <x v="26"/>
    <x v="20"/>
    <x v="545"/>
    <x v="0"/>
    <x v="0"/>
    <x v="0"/>
    <x v="3"/>
    <x v="1"/>
    <x v="1"/>
  </r>
  <r>
    <x v="26"/>
    <x v="21"/>
    <x v="535"/>
    <x v="0"/>
    <x v="0"/>
    <x v="0"/>
    <x v="3"/>
    <x v="1"/>
    <x v="1"/>
  </r>
  <r>
    <x v="26"/>
    <x v="22"/>
    <x v="378"/>
    <x v="0"/>
    <x v="0"/>
    <x v="0"/>
    <x v="3"/>
    <x v="1"/>
    <x v="1"/>
  </r>
  <r>
    <x v="26"/>
    <x v="23"/>
    <x v="225"/>
    <x v="0"/>
    <x v="0"/>
    <x v="0"/>
    <x v="3"/>
    <x v="1"/>
    <x v="1"/>
  </r>
  <r>
    <x v="27"/>
    <x v="0"/>
    <x v="113"/>
    <x v="0"/>
    <x v="0"/>
    <x v="0"/>
    <x v="1"/>
    <x v="0"/>
    <x v="4"/>
  </r>
  <r>
    <x v="27"/>
    <x v="1"/>
    <x v="24"/>
    <x v="0"/>
    <x v="0"/>
    <x v="0"/>
    <x v="1"/>
    <x v="0"/>
    <x v="4"/>
  </r>
  <r>
    <x v="27"/>
    <x v="2"/>
    <x v="20"/>
    <x v="0"/>
    <x v="0"/>
    <x v="0"/>
    <x v="1"/>
    <x v="0"/>
    <x v="4"/>
  </r>
  <r>
    <x v="27"/>
    <x v="3"/>
    <x v="93"/>
    <x v="0"/>
    <x v="0"/>
    <x v="0"/>
    <x v="1"/>
    <x v="0"/>
    <x v="4"/>
  </r>
  <r>
    <x v="27"/>
    <x v="4"/>
    <x v="202"/>
    <x v="0"/>
    <x v="0"/>
    <x v="0"/>
    <x v="1"/>
    <x v="0"/>
    <x v="4"/>
  </r>
  <r>
    <x v="27"/>
    <x v="5"/>
    <x v="373"/>
    <x v="0"/>
    <x v="0"/>
    <x v="0"/>
    <x v="1"/>
    <x v="0"/>
    <x v="4"/>
  </r>
  <r>
    <x v="27"/>
    <x v="6"/>
    <x v="674"/>
    <x v="0"/>
    <x v="0"/>
    <x v="0"/>
    <x v="1"/>
    <x v="0"/>
    <x v="3"/>
  </r>
  <r>
    <x v="27"/>
    <x v="7"/>
    <x v="893"/>
    <x v="0"/>
    <x v="0"/>
    <x v="0"/>
    <x v="1"/>
    <x v="0"/>
    <x v="3"/>
  </r>
  <r>
    <x v="27"/>
    <x v="8"/>
    <x v="755"/>
    <x v="0"/>
    <x v="0"/>
    <x v="0"/>
    <x v="1"/>
    <x v="0"/>
    <x v="3"/>
  </r>
  <r>
    <x v="27"/>
    <x v="9"/>
    <x v="520"/>
    <x v="0"/>
    <x v="0"/>
    <x v="0"/>
    <x v="1"/>
    <x v="0"/>
    <x v="3"/>
  </r>
  <r>
    <x v="27"/>
    <x v="10"/>
    <x v="471"/>
    <x v="0"/>
    <x v="0"/>
    <x v="0"/>
    <x v="1"/>
    <x v="0"/>
    <x v="2"/>
  </r>
  <r>
    <x v="27"/>
    <x v="11"/>
    <x v="451"/>
    <x v="0"/>
    <x v="0"/>
    <x v="0"/>
    <x v="1"/>
    <x v="0"/>
    <x v="2"/>
  </r>
  <r>
    <x v="27"/>
    <x v="12"/>
    <x v="455"/>
    <x v="0"/>
    <x v="0"/>
    <x v="0"/>
    <x v="1"/>
    <x v="0"/>
    <x v="2"/>
  </r>
  <r>
    <x v="27"/>
    <x v="13"/>
    <x v="541"/>
    <x v="0"/>
    <x v="0"/>
    <x v="0"/>
    <x v="1"/>
    <x v="0"/>
    <x v="2"/>
  </r>
  <r>
    <x v="27"/>
    <x v="14"/>
    <x v="712"/>
    <x v="0"/>
    <x v="0"/>
    <x v="0"/>
    <x v="1"/>
    <x v="0"/>
    <x v="2"/>
  </r>
  <r>
    <x v="27"/>
    <x v="15"/>
    <x v="866"/>
    <x v="0"/>
    <x v="0"/>
    <x v="0"/>
    <x v="1"/>
    <x v="0"/>
    <x v="2"/>
  </r>
  <r>
    <x v="27"/>
    <x v="16"/>
    <x v="1044"/>
    <x v="0"/>
    <x v="0"/>
    <x v="0"/>
    <x v="1"/>
    <x v="0"/>
    <x v="0"/>
  </r>
  <r>
    <x v="27"/>
    <x v="17"/>
    <x v="1224"/>
    <x v="0"/>
    <x v="0"/>
    <x v="0"/>
    <x v="1"/>
    <x v="0"/>
    <x v="0"/>
  </r>
  <r>
    <x v="27"/>
    <x v="18"/>
    <x v="884"/>
    <x v="0"/>
    <x v="0"/>
    <x v="0"/>
    <x v="1"/>
    <x v="0"/>
    <x v="0"/>
  </r>
  <r>
    <x v="27"/>
    <x v="19"/>
    <x v="765"/>
    <x v="0"/>
    <x v="0"/>
    <x v="0"/>
    <x v="1"/>
    <x v="0"/>
    <x v="0"/>
  </r>
  <r>
    <x v="27"/>
    <x v="20"/>
    <x v="874"/>
    <x v="0"/>
    <x v="0"/>
    <x v="0"/>
    <x v="1"/>
    <x v="0"/>
    <x v="1"/>
  </r>
  <r>
    <x v="27"/>
    <x v="21"/>
    <x v="682"/>
    <x v="0"/>
    <x v="0"/>
    <x v="0"/>
    <x v="1"/>
    <x v="0"/>
    <x v="1"/>
  </r>
  <r>
    <x v="27"/>
    <x v="22"/>
    <x v="362"/>
    <x v="0"/>
    <x v="0"/>
    <x v="0"/>
    <x v="1"/>
    <x v="0"/>
    <x v="1"/>
  </r>
  <r>
    <x v="27"/>
    <x v="23"/>
    <x v="229"/>
    <x v="0"/>
    <x v="0"/>
    <x v="0"/>
    <x v="1"/>
    <x v="0"/>
    <x v="1"/>
  </r>
  <r>
    <x v="28"/>
    <x v="0"/>
    <x v="83"/>
    <x v="0"/>
    <x v="0"/>
    <x v="0"/>
    <x v="5"/>
    <x v="0"/>
    <x v="4"/>
  </r>
  <r>
    <x v="28"/>
    <x v="1"/>
    <x v="31"/>
    <x v="0"/>
    <x v="0"/>
    <x v="0"/>
    <x v="5"/>
    <x v="0"/>
    <x v="4"/>
  </r>
  <r>
    <x v="28"/>
    <x v="2"/>
    <x v="11"/>
    <x v="0"/>
    <x v="0"/>
    <x v="0"/>
    <x v="5"/>
    <x v="0"/>
    <x v="4"/>
  </r>
  <r>
    <x v="28"/>
    <x v="3"/>
    <x v="45"/>
    <x v="0"/>
    <x v="0"/>
    <x v="0"/>
    <x v="5"/>
    <x v="0"/>
    <x v="4"/>
  </r>
  <r>
    <x v="28"/>
    <x v="4"/>
    <x v="118"/>
    <x v="0"/>
    <x v="0"/>
    <x v="0"/>
    <x v="5"/>
    <x v="0"/>
    <x v="4"/>
  </r>
  <r>
    <x v="28"/>
    <x v="5"/>
    <x v="291"/>
    <x v="0"/>
    <x v="0"/>
    <x v="0"/>
    <x v="5"/>
    <x v="0"/>
    <x v="4"/>
  </r>
  <r>
    <x v="28"/>
    <x v="6"/>
    <x v="765"/>
    <x v="0"/>
    <x v="0"/>
    <x v="0"/>
    <x v="5"/>
    <x v="0"/>
    <x v="3"/>
  </r>
  <r>
    <x v="28"/>
    <x v="7"/>
    <x v="1084"/>
    <x v="0"/>
    <x v="0"/>
    <x v="0"/>
    <x v="5"/>
    <x v="0"/>
    <x v="3"/>
  </r>
  <r>
    <x v="28"/>
    <x v="8"/>
    <x v="910"/>
    <x v="0"/>
    <x v="0"/>
    <x v="0"/>
    <x v="5"/>
    <x v="0"/>
    <x v="3"/>
  </r>
  <r>
    <x v="28"/>
    <x v="9"/>
    <x v="555"/>
    <x v="0"/>
    <x v="0"/>
    <x v="0"/>
    <x v="5"/>
    <x v="0"/>
    <x v="3"/>
  </r>
  <r>
    <x v="28"/>
    <x v="10"/>
    <x v="545"/>
    <x v="0"/>
    <x v="0"/>
    <x v="0"/>
    <x v="5"/>
    <x v="0"/>
    <x v="2"/>
  </r>
  <r>
    <x v="28"/>
    <x v="11"/>
    <x v="499"/>
    <x v="0"/>
    <x v="0"/>
    <x v="0"/>
    <x v="5"/>
    <x v="0"/>
    <x v="2"/>
  </r>
  <r>
    <x v="28"/>
    <x v="12"/>
    <x v="545"/>
    <x v="0"/>
    <x v="0"/>
    <x v="0"/>
    <x v="5"/>
    <x v="0"/>
    <x v="2"/>
  </r>
  <r>
    <x v="28"/>
    <x v="13"/>
    <x v="860"/>
    <x v="0"/>
    <x v="0"/>
    <x v="0"/>
    <x v="5"/>
    <x v="0"/>
    <x v="2"/>
  </r>
  <r>
    <x v="28"/>
    <x v="14"/>
    <x v="1192"/>
    <x v="0"/>
    <x v="0"/>
    <x v="0"/>
    <x v="5"/>
    <x v="0"/>
    <x v="2"/>
  </r>
  <r>
    <x v="28"/>
    <x v="15"/>
    <x v="1528"/>
    <x v="0"/>
    <x v="0"/>
    <x v="0"/>
    <x v="5"/>
    <x v="0"/>
    <x v="2"/>
  </r>
  <r>
    <x v="28"/>
    <x v="16"/>
    <x v="1749"/>
    <x v="0"/>
    <x v="0"/>
    <x v="0"/>
    <x v="5"/>
    <x v="0"/>
    <x v="0"/>
  </r>
  <r>
    <x v="28"/>
    <x v="17"/>
    <x v="1971"/>
    <x v="0"/>
    <x v="0"/>
    <x v="0"/>
    <x v="5"/>
    <x v="0"/>
    <x v="0"/>
  </r>
  <r>
    <x v="28"/>
    <x v="18"/>
    <x v="1676"/>
    <x v="0"/>
    <x v="0"/>
    <x v="0"/>
    <x v="5"/>
    <x v="0"/>
    <x v="0"/>
  </r>
  <r>
    <x v="28"/>
    <x v="19"/>
    <x v="1492"/>
    <x v="0"/>
    <x v="0"/>
    <x v="0"/>
    <x v="5"/>
    <x v="0"/>
    <x v="0"/>
  </r>
  <r>
    <x v="28"/>
    <x v="20"/>
    <x v="1503"/>
    <x v="0"/>
    <x v="0"/>
    <x v="0"/>
    <x v="5"/>
    <x v="0"/>
    <x v="1"/>
  </r>
  <r>
    <x v="28"/>
    <x v="21"/>
    <x v="1423"/>
    <x v="0"/>
    <x v="0"/>
    <x v="0"/>
    <x v="5"/>
    <x v="0"/>
    <x v="1"/>
  </r>
  <r>
    <x v="28"/>
    <x v="22"/>
    <x v="704"/>
    <x v="0"/>
    <x v="0"/>
    <x v="0"/>
    <x v="5"/>
    <x v="0"/>
    <x v="1"/>
  </r>
  <r>
    <x v="28"/>
    <x v="23"/>
    <x v="374"/>
    <x v="0"/>
    <x v="0"/>
    <x v="0"/>
    <x v="5"/>
    <x v="0"/>
    <x v="1"/>
  </r>
  <r>
    <x v="29"/>
    <x v="0"/>
    <x v="147"/>
    <x v="0"/>
    <x v="0"/>
    <x v="0"/>
    <x v="6"/>
    <x v="0"/>
    <x v="4"/>
  </r>
  <r>
    <x v="29"/>
    <x v="1"/>
    <x v="61"/>
    <x v="0"/>
    <x v="0"/>
    <x v="0"/>
    <x v="6"/>
    <x v="0"/>
    <x v="4"/>
  </r>
  <r>
    <x v="29"/>
    <x v="2"/>
    <x v="33"/>
    <x v="0"/>
    <x v="0"/>
    <x v="0"/>
    <x v="6"/>
    <x v="0"/>
    <x v="4"/>
  </r>
  <r>
    <x v="29"/>
    <x v="3"/>
    <x v="84"/>
    <x v="0"/>
    <x v="0"/>
    <x v="0"/>
    <x v="6"/>
    <x v="0"/>
    <x v="4"/>
  </r>
  <r>
    <x v="29"/>
    <x v="4"/>
    <x v="161"/>
    <x v="0"/>
    <x v="0"/>
    <x v="0"/>
    <x v="6"/>
    <x v="0"/>
    <x v="4"/>
  </r>
  <r>
    <x v="29"/>
    <x v="5"/>
    <x v="488"/>
    <x v="0"/>
    <x v="0"/>
    <x v="0"/>
    <x v="6"/>
    <x v="0"/>
    <x v="4"/>
  </r>
  <r>
    <x v="29"/>
    <x v="6"/>
    <x v="1016"/>
    <x v="0"/>
    <x v="0"/>
    <x v="0"/>
    <x v="6"/>
    <x v="0"/>
    <x v="3"/>
  </r>
  <r>
    <x v="29"/>
    <x v="7"/>
    <x v="1332"/>
    <x v="0"/>
    <x v="0"/>
    <x v="0"/>
    <x v="6"/>
    <x v="0"/>
    <x v="3"/>
  </r>
  <r>
    <x v="29"/>
    <x v="8"/>
    <x v="1452"/>
    <x v="0"/>
    <x v="0"/>
    <x v="0"/>
    <x v="6"/>
    <x v="0"/>
    <x v="3"/>
  </r>
  <r>
    <x v="29"/>
    <x v="9"/>
    <x v="1218"/>
    <x v="0"/>
    <x v="0"/>
    <x v="0"/>
    <x v="6"/>
    <x v="0"/>
    <x v="3"/>
  </r>
  <r>
    <x v="29"/>
    <x v="10"/>
    <x v="1269"/>
    <x v="0"/>
    <x v="0"/>
    <x v="0"/>
    <x v="6"/>
    <x v="0"/>
    <x v="2"/>
  </r>
  <r>
    <x v="29"/>
    <x v="11"/>
    <x v="1256"/>
    <x v="0"/>
    <x v="0"/>
    <x v="0"/>
    <x v="6"/>
    <x v="0"/>
    <x v="2"/>
  </r>
  <r>
    <x v="29"/>
    <x v="12"/>
    <x v="1352"/>
    <x v="0"/>
    <x v="0"/>
    <x v="0"/>
    <x v="6"/>
    <x v="0"/>
    <x v="2"/>
  </r>
  <r>
    <x v="29"/>
    <x v="13"/>
    <x v="1461"/>
    <x v="0"/>
    <x v="0"/>
    <x v="0"/>
    <x v="6"/>
    <x v="0"/>
    <x v="2"/>
  </r>
  <r>
    <x v="29"/>
    <x v="14"/>
    <x v="1699"/>
    <x v="0"/>
    <x v="0"/>
    <x v="0"/>
    <x v="6"/>
    <x v="0"/>
    <x v="2"/>
  </r>
  <r>
    <x v="29"/>
    <x v="15"/>
    <x v="2066"/>
    <x v="0"/>
    <x v="0"/>
    <x v="0"/>
    <x v="6"/>
    <x v="0"/>
    <x v="2"/>
  </r>
  <r>
    <x v="29"/>
    <x v="16"/>
    <x v="2231"/>
    <x v="0"/>
    <x v="0"/>
    <x v="0"/>
    <x v="6"/>
    <x v="0"/>
    <x v="0"/>
  </r>
  <r>
    <x v="29"/>
    <x v="17"/>
    <x v="2333"/>
    <x v="0"/>
    <x v="0"/>
    <x v="0"/>
    <x v="6"/>
    <x v="0"/>
    <x v="0"/>
  </r>
  <r>
    <x v="29"/>
    <x v="18"/>
    <x v="2492"/>
    <x v="0"/>
    <x v="0"/>
    <x v="0"/>
    <x v="6"/>
    <x v="0"/>
    <x v="0"/>
  </r>
  <r>
    <x v="29"/>
    <x v="19"/>
    <x v="2356"/>
    <x v="0"/>
    <x v="0"/>
    <x v="0"/>
    <x v="6"/>
    <x v="0"/>
    <x v="0"/>
  </r>
  <r>
    <x v="29"/>
    <x v="20"/>
    <x v="2311"/>
    <x v="0"/>
    <x v="0"/>
    <x v="0"/>
    <x v="6"/>
    <x v="0"/>
    <x v="1"/>
  </r>
  <r>
    <x v="29"/>
    <x v="21"/>
    <x v="2001"/>
    <x v="0"/>
    <x v="0"/>
    <x v="0"/>
    <x v="6"/>
    <x v="0"/>
    <x v="1"/>
  </r>
  <r>
    <x v="29"/>
    <x v="22"/>
    <x v="1604"/>
    <x v="0"/>
    <x v="0"/>
    <x v="0"/>
    <x v="6"/>
    <x v="0"/>
    <x v="1"/>
  </r>
  <r>
    <x v="29"/>
    <x v="23"/>
    <x v="787"/>
    <x v="0"/>
    <x v="0"/>
    <x v="0"/>
    <x v="6"/>
    <x v="0"/>
    <x v="1"/>
  </r>
  <r>
    <x v="30"/>
    <x v="0"/>
    <x v="270"/>
    <x v="0"/>
    <x v="0"/>
    <x v="1"/>
    <x v="4"/>
    <x v="0"/>
    <x v="4"/>
  </r>
  <r>
    <x v="30"/>
    <x v="1"/>
    <x v="108"/>
    <x v="0"/>
    <x v="0"/>
    <x v="1"/>
    <x v="4"/>
    <x v="0"/>
    <x v="4"/>
  </r>
  <r>
    <x v="30"/>
    <x v="2"/>
    <x v="34"/>
    <x v="0"/>
    <x v="0"/>
    <x v="1"/>
    <x v="4"/>
    <x v="0"/>
    <x v="4"/>
  </r>
  <r>
    <x v="30"/>
    <x v="3"/>
    <x v="101"/>
    <x v="0"/>
    <x v="0"/>
    <x v="1"/>
    <x v="4"/>
    <x v="0"/>
    <x v="4"/>
  </r>
  <r>
    <x v="30"/>
    <x v="4"/>
    <x v="169"/>
    <x v="0"/>
    <x v="0"/>
    <x v="1"/>
    <x v="4"/>
    <x v="0"/>
    <x v="4"/>
  </r>
  <r>
    <x v="30"/>
    <x v="5"/>
    <x v="356"/>
    <x v="0"/>
    <x v="0"/>
    <x v="1"/>
    <x v="4"/>
    <x v="0"/>
    <x v="4"/>
  </r>
  <r>
    <x v="30"/>
    <x v="6"/>
    <x v="718"/>
    <x v="0"/>
    <x v="0"/>
    <x v="1"/>
    <x v="4"/>
    <x v="0"/>
    <x v="3"/>
  </r>
  <r>
    <x v="30"/>
    <x v="7"/>
    <x v="1146"/>
    <x v="0"/>
    <x v="0"/>
    <x v="1"/>
    <x v="4"/>
    <x v="0"/>
    <x v="3"/>
  </r>
  <r>
    <x v="30"/>
    <x v="8"/>
    <x v="1110"/>
    <x v="0"/>
    <x v="0"/>
    <x v="1"/>
    <x v="4"/>
    <x v="0"/>
    <x v="3"/>
  </r>
  <r>
    <x v="30"/>
    <x v="9"/>
    <x v="747"/>
    <x v="0"/>
    <x v="0"/>
    <x v="1"/>
    <x v="4"/>
    <x v="0"/>
    <x v="3"/>
  </r>
  <r>
    <x v="30"/>
    <x v="10"/>
    <x v="669"/>
    <x v="0"/>
    <x v="0"/>
    <x v="1"/>
    <x v="4"/>
    <x v="0"/>
    <x v="2"/>
  </r>
  <r>
    <x v="30"/>
    <x v="11"/>
    <x v="565"/>
    <x v="0"/>
    <x v="0"/>
    <x v="1"/>
    <x v="4"/>
    <x v="0"/>
    <x v="2"/>
  </r>
  <r>
    <x v="30"/>
    <x v="12"/>
    <x v="614"/>
    <x v="0"/>
    <x v="0"/>
    <x v="1"/>
    <x v="4"/>
    <x v="0"/>
    <x v="2"/>
  </r>
  <r>
    <x v="30"/>
    <x v="13"/>
    <x v="716"/>
    <x v="0"/>
    <x v="0"/>
    <x v="1"/>
    <x v="4"/>
    <x v="0"/>
    <x v="2"/>
  </r>
  <r>
    <x v="30"/>
    <x v="14"/>
    <x v="947"/>
    <x v="0"/>
    <x v="0"/>
    <x v="1"/>
    <x v="4"/>
    <x v="0"/>
    <x v="2"/>
  </r>
  <r>
    <x v="30"/>
    <x v="15"/>
    <x v="1217"/>
    <x v="0"/>
    <x v="0"/>
    <x v="1"/>
    <x v="4"/>
    <x v="0"/>
    <x v="2"/>
  </r>
  <r>
    <x v="30"/>
    <x v="16"/>
    <x v="1430"/>
    <x v="0"/>
    <x v="0"/>
    <x v="1"/>
    <x v="4"/>
    <x v="0"/>
    <x v="0"/>
  </r>
  <r>
    <x v="30"/>
    <x v="17"/>
    <x v="1662"/>
    <x v="0"/>
    <x v="0"/>
    <x v="1"/>
    <x v="4"/>
    <x v="0"/>
    <x v="0"/>
  </r>
  <r>
    <x v="30"/>
    <x v="18"/>
    <x v="1544"/>
    <x v="0"/>
    <x v="0"/>
    <x v="1"/>
    <x v="4"/>
    <x v="0"/>
    <x v="0"/>
  </r>
  <r>
    <x v="30"/>
    <x v="19"/>
    <x v="1430"/>
    <x v="0"/>
    <x v="0"/>
    <x v="1"/>
    <x v="4"/>
    <x v="0"/>
    <x v="0"/>
  </r>
  <r>
    <x v="30"/>
    <x v="20"/>
    <x v="1398"/>
    <x v="0"/>
    <x v="0"/>
    <x v="1"/>
    <x v="4"/>
    <x v="0"/>
    <x v="1"/>
  </r>
  <r>
    <x v="30"/>
    <x v="21"/>
    <x v="1694"/>
    <x v="0"/>
    <x v="0"/>
    <x v="1"/>
    <x v="4"/>
    <x v="0"/>
    <x v="1"/>
  </r>
  <r>
    <x v="30"/>
    <x v="22"/>
    <x v="1270"/>
    <x v="0"/>
    <x v="0"/>
    <x v="1"/>
    <x v="4"/>
    <x v="0"/>
    <x v="1"/>
  </r>
  <r>
    <x v="30"/>
    <x v="23"/>
    <x v="678"/>
    <x v="0"/>
    <x v="0"/>
    <x v="1"/>
    <x v="4"/>
    <x v="0"/>
    <x v="1"/>
  </r>
  <r>
    <x v="31"/>
    <x v="0"/>
    <x v="279"/>
    <x v="0"/>
    <x v="0"/>
    <x v="1"/>
    <x v="0"/>
    <x v="0"/>
    <x v="4"/>
  </r>
  <r>
    <x v="31"/>
    <x v="1"/>
    <x v="128"/>
    <x v="0"/>
    <x v="0"/>
    <x v="1"/>
    <x v="0"/>
    <x v="0"/>
    <x v="4"/>
  </r>
  <r>
    <x v="31"/>
    <x v="2"/>
    <x v="70"/>
    <x v="0"/>
    <x v="0"/>
    <x v="1"/>
    <x v="0"/>
    <x v="0"/>
    <x v="4"/>
  </r>
  <r>
    <x v="31"/>
    <x v="3"/>
    <x v="112"/>
    <x v="0"/>
    <x v="0"/>
    <x v="1"/>
    <x v="0"/>
    <x v="0"/>
    <x v="4"/>
  </r>
  <r>
    <x v="31"/>
    <x v="4"/>
    <x v="143"/>
    <x v="0"/>
    <x v="0"/>
    <x v="1"/>
    <x v="0"/>
    <x v="0"/>
    <x v="4"/>
  </r>
  <r>
    <x v="31"/>
    <x v="5"/>
    <x v="281"/>
    <x v="0"/>
    <x v="0"/>
    <x v="1"/>
    <x v="0"/>
    <x v="0"/>
    <x v="4"/>
  </r>
  <r>
    <x v="31"/>
    <x v="6"/>
    <x v="702"/>
    <x v="0"/>
    <x v="0"/>
    <x v="1"/>
    <x v="0"/>
    <x v="0"/>
    <x v="3"/>
  </r>
  <r>
    <x v="31"/>
    <x v="7"/>
    <x v="878"/>
    <x v="0"/>
    <x v="0"/>
    <x v="1"/>
    <x v="0"/>
    <x v="0"/>
    <x v="3"/>
  </r>
  <r>
    <x v="31"/>
    <x v="8"/>
    <x v="804"/>
    <x v="0"/>
    <x v="0"/>
    <x v="1"/>
    <x v="0"/>
    <x v="0"/>
    <x v="3"/>
  </r>
  <r>
    <x v="31"/>
    <x v="9"/>
    <x v="561"/>
    <x v="0"/>
    <x v="0"/>
    <x v="1"/>
    <x v="0"/>
    <x v="0"/>
    <x v="3"/>
  </r>
  <r>
    <x v="31"/>
    <x v="10"/>
    <x v="625"/>
    <x v="0"/>
    <x v="0"/>
    <x v="1"/>
    <x v="0"/>
    <x v="0"/>
    <x v="2"/>
  </r>
  <r>
    <x v="31"/>
    <x v="11"/>
    <x v="654"/>
    <x v="0"/>
    <x v="0"/>
    <x v="1"/>
    <x v="0"/>
    <x v="0"/>
    <x v="2"/>
  </r>
  <r>
    <x v="31"/>
    <x v="12"/>
    <x v="687"/>
    <x v="0"/>
    <x v="0"/>
    <x v="1"/>
    <x v="0"/>
    <x v="0"/>
    <x v="2"/>
  </r>
  <r>
    <x v="31"/>
    <x v="13"/>
    <x v="810"/>
    <x v="0"/>
    <x v="0"/>
    <x v="1"/>
    <x v="0"/>
    <x v="0"/>
    <x v="2"/>
  </r>
  <r>
    <x v="31"/>
    <x v="14"/>
    <x v="1050"/>
    <x v="0"/>
    <x v="0"/>
    <x v="1"/>
    <x v="0"/>
    <x v="0"/>
    <x v="2"/>
  </r>
  <r>
    <x v="31"/>
    <x v="15"/>
    <x v="1329"/>
    <x v="0"/>
    <x v="0"/>
    <x v="1"/>
    <x v="0"/>
    <x v="0"/>
    <x v="2"/>
  </r>
  <r>
    <x v="31"/>
    <x v="16"/>
    <x v="1545"/>
    <x v="0"/>
    <x v="0"/>
    <x v="1"/>
    <x v="0"/>
    <x v="0"/>
    <x v="0"/>
  </r>
  <r>
    <x v="31"/>
    <x v="17"/>
    <x v="1691"/>
    <x v="0"/>
    <x v="0"/>
    <x v="1"/>
    <x v="0"/>
    <x v="0"/>
    <x v="0"/>
  </r>
  <r>
    <x v="31"/>
    <x v="18"/>
    <x v="1881"/>
    <x v="0"/>
    <x v="0"/>
    <x v="1"/>
    <x v="0"/>
    <x v="0"/>
    <x v="0"/>
  </r>
  <r>
    <x v="31"/>
    <x v="19"/>
    <x v="1471"/>
    <x v="0"/>
    <x v="0"/>
    <x v="1"/>
    <x v="0"/>
    <x v="0"/>
    <x v="0"/>
  </r>
  <r>
    <x v="31"/>
    <x v="20"/>
    <x v="1315"/>
    <x v="0"/>
    <x v="0"/>
    <x v="1"/>
    <x v="0"/>
    <x v="0"/>
    <x v="1"/>
  </r>
  <r>
    <x v="31"/>
    <x v="21"/>
    <x v="1459"/>
    <x v="0"/>
    <x v="0"/>
    <x v="1"/>
    <x v="0"/>
    <x v="0"/>
    <x v="1"/>
  </r>
  <r>
    <x v="31"/>
    <x v="22"/>
    <x v="1513"/>
    <x v="0"/>
    <x v="0"/>
    <x v="1"/>
    <x v="0"/>
    <x v="0"/>
    <x v="1"/>
  </r>
  <r>
    <x v="31"/>
    <x v="23"/>
    <x v="1343"/>
    <x v="0"/>
    <x v="0"/>
    <x v="1"/>
    <x v="0"/>
    <x v="0"/>
    <x v="1"/>
  </r>
  <r>
    <x v="32"/>
    <x v="0"/>
    <x v="742"/>
    <x v="0"/>
    <x v="0"/>
    <x v="1"/>
    <x v="2"/>
    <x v="1"/>
    <x v="4"/>
  </r>
  <r>
    <x v="32"/>
    <x v="1"/>
    <x v="440"/>
    <x v="0"/>
    <x v="0"/>
    <x v="1"/>
    <x v="2"/>
    <x v="1"/>
    <x v="4"/>
  </r>
  <r>
    <x v="32"/>
    <x v="2"/>
    <x v="251"/>
    <x v="0"/>
    <x v="0"/>
    <x v="1"/>
    <x v="2"/>
    <x v="1"/>
    <x v="4"/>
  </r>
  <r>
    <x v="32"/>
    <x v="3"/>
    <x v="166"/>
    <x v="0"/>
    <x v="0"/>
    <x v="1"/>
    <x v="2"/>
    <x v="1"/>
    <x v="4"/>
  </r>
  <r>
    <x v="32"/>
    <x v="4"/>
    <x v="141"/>
    <x v="0"/>
    <x v="0"/>
    <x v="1"/>
    <x v="2"/>
    <x v="1"/>
    <x v="4"/>
  </r>
  <r>
    <x v="32"/>
    <x v="5"/>
    <x v="127"/>
    <x v="0"/>
    <x v="0"/>
    <x v="1"/>
    <x v="2"/>
    <x v="1"/>
    <x v="4"/>
  </r>
  <r>
    <x v="32"/>
    <x v="6"/>
    <x v="160"/>
    <x v="0"/>
    <x v="0"/>
    <x v="1"/>
    <x v="2"/>
    <x v="1"/>
    <x v="3"/>
  </r>
  <r>
    <x v="32"/>
    <x v="7"/>
    <x v="231"/>
    <x v="0"/>
    <x v="0"/>
    <x v="1"/>
    <x v="2"/>
    <x v="1"/>
    <x v="3"/>
  </r>
  <r>
    <x v="32"/>
    <x v="8"/>
    <x v="325"/>
    <x v="0"/>
    <x v="0"/>
    <x v="1"/>
    <x v="2"/>
    <x v="1"/>
    <x v="3"/>
  </r>
  <r>
    <x v="32"/>
    <x v="9"/>
    <x v="422"/>
    <x v="0"/>
    <x v="0"/>
    <x v="1"/>
    <x v="2"/>
    <x v="1"/>
    <x v="3"/>
  </r>
  <r>
    <x v="32"/>
    <x v="10"/>
    <x v="488"/>
    <x v="0"/>
    <x v="0"/>
    <x v="1"/>
    <x v="2"/>
    <x v="1"/>
    <x v="2"/>
  </r>
  <r>
    <x v="32"/>
    <x v="11"/>
    <x v="574"/>
    <x v="0"/>
    <x v="0"/>
    <x v="1"/>
    <x v="2"/>
    <x v="1"/>
    <x v="2"/>
  </r>
  <r>
    <x v="32"/>
    <x v="12"/>
    <x v="606"/>
    <x v="0"/>
    <x v="0"/>
    <x v="1"/>
    <x v="2"/>
    <x v="1"/>
    <x v="2"/>
  </r>
  <r>
    <x v="32"/>
    <x v="13"/>
    <x v="721"/>
    <x v="0"/>
    <x v="0"/>
    <x v="1"/>
    <x v="2"/>
    <x v="1"/>
    <x v="2"/>
  </r>
  <r>
    <x v="32"/>
    <x v="14"/>
    <x v="858"/>
    <x v="0"/>
    <x v="0"/>
    <x v="1"/>
    <x v="2"/>
    <x v="1"/>
    <x v="2"/>
  </r>
  <r>
    <x v="32"/>
    <x v="15"/>
    <x v="1319"/>
    <x v="0"/>
    <x v="0"/>
    <x v="1"/>
    <x v="2"/>
    <x v="1"/>
    <x v="2"/>
  </r>
  <r>
    <x v="32"/>
    <x v="16"/>
    <x v="1549"/>
    <x v="0"/>
    <x v="0"/>
    <x v="1"/>
    <x v="2"/>
    <x v="1"/>
    <x v="0"/>
  </r>
  <r>
    <x v="32"/>
    <x v="17"/>
    <x v="1343"/>
    <x v="0"/>
    <x v="0"/>
    <x v="1"/>
    <x v="2"/>
    <x v="1"/>
    <x v="0"/>
  </r>
  <r>
    <x v="32"/>
    <x v="18"/>
    <x v="1958"/>
    <x v="0"/>
    <x v="0"/>
    <x v="1"/>
    <x v="2"/>
    <x v="1"/>
    <x v="0"/>
  </r>
  <r>
    <x v="32"/>
    <x v="19"/>
    <x v="1427"/>
    <x v="0"/>
    <x v="0"/>
    <x v="1"/>
    <x v="2"/>
    <x v="1"/>
    <x v="0"/>
  </r>
  <r>
    <x v="32"/>
    <x v="20"/>
    <x v="1276"/>
    <x v="0"/>
    <x v="0"/>
    <x v="1"/>
    <x v="2"/>
    <x v="1"/>
    <x v="1"/>
  </r>
  <r>
    <x v="32"/>
    <x v="21"/>
    <x v="1579"/>
    <x v="0"/>
    <x v="0"/>
    <x v="1"/>
    <x v="2"/>
    <x v="1"/>
    <x v="1"/>
  </r>
  <r>
    <x v="32"/>
    <x v="22"/>
    <x v="1475"/>
    <x v="0"/>
    <x v="0"/>
    <x v="1"/>
    <x v="2"/>
    <x v="1"/>
    <x v="1"/>
  </r>
  <r>
    <x v="32"/>
    <x v="23"/>
    <x v="1258"/>
    <x v="0"/>
    <x v="0"/>
    <x v="1"/>
    <x v="2"/>
    <x v="1"/>
    <x v="1"/>
  </r>
  <r>
    <x v="33"/>
    <x v="0"/>
    <x v="1034"/>
    <x v="0"/>
    <x v="0"/>
    <x v="1"/>
    <x v="3"/>
    <x v="1"/>
    <x v="4"/>
  </r>
  <r>
    <x v="33"/>
    <x v="1"/>
    <x v="547"/>
    <x v="0"/>
    <x v="0"/>
    <x v="1"/>
    <x v="3"/>
    <x v="1"/>
    <x v="4"/>
  </r>
  <r>
    <x v="33"/>
    <x v="2"/>
    <x v="336"/>
    <x v="0"/>
    <x v="0"/>
    <x v="1"/>
    <x v="3"/>
    <x v="1"/>
    <x v="4"/>
  </r>
  <r>
    <x v="33"/>
    <x v="3"/>
    <x v="238"/>
    <x v="0"/>
    <x v="0"/>
    <x v="1"/>
    <x v="3"/>
    <x v="1"/>
    <x v="4"/>
  </r>
  <r>
    <x v="33"/>
    <x v="4"/>
    <x v="173"/>
    <x v="0"/>
    <x v="0"/>
    <x v="1"/>
    <x v="3"/>
    <x v="1"/>
    <x v="4"/>
  </r>
  <r>
    <x v="33"/>
    <x v="5"/>
    <x v="107"/>
    <x v="0"/>
    <x v="0"/>
    <x v="1"/>
    <x v="3"/>
    <x v="1"/>
    <x v="4"/>
  </r>
  <r>
    <x v="33"/>
    <x v="6"/>
    <x v="92"/>
    <x v="0"/>
    <x v="0"/>
    <x v="1"/>
    <x v="3"/>
    <x v="1"/>
    <x v="3"/>
  </r>
  <r>
    <x v="33"/>
    <x v="7"/>
    <x v="137"/>
    <x v="0"/>
    <x v="0"/>
    <x v="1"/>
    <x v="3"/>
    <x v="1"/>
    <x v="3"/>
  </r>
  <r>
    <x v="33"/>
    <x v="8"/>
    <x v="167"/>
    <x v="0"/>
    <x v="0"/>
    <x v="1"/>
    <x v="3"/>
    <x v="1"/>
    <x v="3"/>
  </r>
  <r>
    <x v="33"/>
    <x v="9"/>
    <x v="252"/>
    <x v="0"/>
    <x v="0"/>
    <x v="1"/>
    <x v="3"/>
    <x v="1"/>
    <x v="3"/>
  </r>
  <r>
    <x v="33"/>
    <x v="10"/>
    <x v="330"/>
    <x v="0"/>
    <x v="0"/>
    <x v="1"/>
    <x v="3"/>
    <x v="1"/>
    <x v="2"/>
  </r>
  <r>
    <x v="33"/>
    <x v="11"/>
    <x v="448"/>
    <x v="0"/>
    <x v="0"/>
    <x v="1"/>
    <x v="3"/>
    <x v="1"/>
    <x v="2"/>
  </r>
  <r>
    <x v="33"/>
    <x v="12"/>
    <x v="528"/>
    <x v="0"/>
    <x v="0"/>
    <x v="1"/>
    <x v="3"/>
    <x v="1"/>
    <x v="2"/>
  </r>
  <r>
    <x v="33"/>
    <x v="13"/>
    <x v="628"/>
    <x v="0"/>
    <x v="0"/>
    <x v="1"/>
    <x v="3"/>
    <x v="1"/>
    <x v="2"/>
  </r>
  <r>
    <x v="33"/>
    <x v="14"/>
    <x v="745"/>
    <x v="0"/>
    <x v="0"/>
    <x v="1"/>
    <x v="3"/>
    <x v="1"/>
    <x v="2"/>
  </r>
  <r>
    <x v="33"/>
    <x v="15"/>
    <x v="917"/>
    <x v="0"/>
    <x v="0"/>
    <x v="1"/>
    <x v="3"/>
    <x v="1"/>
    <x v="2"/>
  </r>
  <r>
    <x v="33"/>
    <x v="16"/>
    <x v="951"/>
    <x v="0"/>
    <x v="0"/>
    <x v="1"/>
    <x v="3"/>
    <x v="1"/>
    <x v="0"/>
  </r>
  <r>
    <x v="33"/>
    <x v="17"/>
    <x v="851"/>
    <x v="0"/>
    <x v="0"/>
    <x v="1"/>
    <x v="3"/>
    <x v="1"/>
    <x v="0"/>
  </r>
  <r>
    <x v="33"/>
    <x v="18"/>
    <x v="763"/>
    <x v="0"/>
    <x v="0"/>
    <x v="1"/>
    <x v="3"/>
    <x v="1"/>
    <x v="0"/>
  </r>
  <r>
    <x v="33"/>
    <x v="19"/>
    <x v="600"/>
    <x v="0"/>
    <x v="0"/>
    <x v="1"/>
    <x v="3"/>
    <x v="1"/>
    <x v="0"/>
  </r>
  <r>
    <x v="33"/>
    <x v="20"/>
    <x v="605"/>
    <x v="0"/>
    <x v="0"/>
    <x v="1"/>
    <x v="3"/>
    <x v="1"/>
    <x v="1"/>
  </r>
  <r>
    <x v="33"/>
    <x v="21"/>
    <x v="603"/>
    <x v="0"/>
    <x v="0"/>
    <x v="1"/>
    <x v="3"/>
    <x v="1"/>
    <x v="1"/>
  </r>
  <r>
    <x v="33"/>
    <x v="22"/>
    <x v="453"/>
    <x v="0"/>
    <x v="0"/>
    <x v="1"/>
    <x v="3"/>
    <x v="1"/>
    <x v="1"/>
  </r>
  <r>
    <x v="33"/>
    <x v="23"/>
    <x v="221"/>
    <x v="0"/>
    <x v="0"/>
    <x v="1"/>
    <x v="3"/>
    <x v="1"/>
    <x v="1"/>
  </r>
  <r>
    <x v="34"/>
    <x v="0"/>
    <x v="70"/>
    <x v="0"/>
    <x v="0"/>
    <x v="1"/>
    <x v="1"/>
    <x v="0"/>
    <x v="4"/>
  </r>
  <r>
    <x v="34"/>
    <x v="1"/>
    <x v="15"/>
    <x v="0"/>
    <x v="0"/>
    <x v="1"/>
    <x v="1"/>
    <x v="0"/>
    <x v="4"/>
  </r>
  <r>
    <x v="34"/>
    <x v="2"/>
    <x v="2"/>
    <x v="0"/>
    <x v="0"/>
    <x v="1"/>
    <x v="1"/>
    <x v="0"/>
    <x v="4"/>
  </r>
  <r>
    <x v="34"/>
    <x v="3"/>
    <x v="104"/>
    <x v="0"/>
    <x v="0"/>
    <x v="1"/>
    <x v="1"/>
    <x v="0"/>
    <x v="4"/>
  </r>
  <r>
    <x v="34"/>
    <x v="4"/>
    <x v="191"/>
    <x v="0"/>
    <x v="0"/>
    <x v="1"/>
    <x v="1"/>
    <x v="0"/>
    <x v="4"/>
  </r>
  <r>
    <x v="34"/>
    <x v="5"/>
    <x v="394"/>
    <x v="0"/>
    <x v="0"/>
    <x v="1"/>
    <x v="1"/>
    <x v="0"/>
    <x v="4"/>
  </r>
  <r>
    <x v="34"/>
    <x v="6"/>
    <x v="727"/>
    <x v="0"/>
    <x v="0"/>
    <x v="1"/>
    <x v="1"/>
    <x v="0"/>
    <x v="3"/>
  </r>
  <r>
    <x v="34"/>
    <x v="7"/>
    <x v="902"/>
    <x v="0"/>
    <x v="0"/>
    <x v="1"/>
    <x v="1"/>
    <x v="0"/>
    <x v="3"/>
  </r>
  <r>
    <x v="34"/>
    <x v="8"/>
    <x v="849"/>
    <x v="0"/>
    <x v="0"/>
    <x v="1"/>
    <x v="1"/>
    <x v="0"/>
    <x v="3"/>
  </r>
  <r>
    <x v="34"/>
    <x v="9"/>
    <x v="539"/>
    <x v="0"/>
    <x v="0"/>
    <x v="1"/>
    <x v="1"/>
    <x v="0"/>
    <x v="3"/>
  </r>
  <r>
    <x v="34"/>
    <x v="10"/>
    <x v="507"/>
    <x v="0"/>
    <x v="0"/>
    <x v="1"/>
    <x v="1"/>
    <x v="0"/>
    <x v="2"/>
  </r>
  <r>
    <x v="34"/>
    <x v="11"/>
    <x v="498"/>
    <x v="0"/>
    <x v="0"/>
    <x v="1"/>
    <x v="1"/>
    <x v="0"/>
    <x v="2"/>
  </r>
  <r>
    <x v="34"/>
    <x v="12"/>
    <x v="530"/>
    <x v="0"/>
    <x v="0"/>
    <x v="1"/>
    <x v="1"/>
    <x v="0"/>
    <x v="2"/>
  </r>
  <r>
    <x v="34"/>
    <x v="13"/>
    <x v="620"/>
    <x v="0"/>
    <x v="0"/>
    <x v="1"/>
    <x v="1"/>
    <x v="0"/>
    <x v="2"/>
  </r>
  <r>
    <x v="34"/>
    <x v="14"/>
    <x v="869"/>
    <x v="0"/>
    <x v="0"/>
    <x v="1"/>
    <x v="1"/>
    <x v="0"/>
    <x v="2"/>
  </r>
  <r>
    <x v="34"/>
    <x v="15"/>
    <x v="1086"/>
    <x v="0"/>
    <x v="0"/>
    <x v="1"/>
    <x v="1"/>
    <x v="0"/>
    <x v="2"/>
  </r>
  <r>
    <x v="34"/>
    <x v="16"/>
    <x v="1295"/>
    <x v="0"/>
    <x v="0"/>
    <x v="1"/>
    <x v="1"/>
    <x v="0"/>
    <x v="0"/>
  </r>
  <r>
    <x v="34"/>
    <x v="17"/>
    <x v="1442"/>
    <x v="0"/>
    <x v="0"/>
    <x v="1"/>
    <x v="1"/>
    <x v="0"/>
    <x v="0"/>
  </r>
  <r>
    <x v="34"/>
    <x v="18"/>
    <x v="1097"/>
    <x v="0"/>
    <x v="0"/>
    <x v="1"/>
    <x v="1"/>
    <x v="0"/>
    <x v="0"/>
  </r>
  <r>
    <x v="34"/>
    <x v="19"/>
    <x v="954"/>
    <x v="0"/>
    <x v="0"/>
    <x v="1"/>
    <x v="1"/>
    <x v="0"/>
    <x v="0"/>
  </r>
  <r>
    <x v="34"/>
    <x v="20"/>
    <x v="962"/>
    <x v="0"/>
    <x v="0"/>
    <x v="1"/>
    <x v="1"/>
    <x v="0"/>
    <x v="1"/>
  </r>
  <r>
    <x v="34"/>
    <x v="21"/>
    <x v="906"/>
    <x v="0"/>
    <x v="0"/>
    <x v="1"/>
    <x v="1"/>
    <x v="0"/>
    <x v="1"/>
  </r>
  <r>
    <x v="34"/>
    <x v="22"/>
    <x v="604"/>
    <x v="0"/>
    <x v="0"/>
    <x v="1"/>
    <x v="1"/>
    <x v="0"/>
    <x v="1"/>
  </r>
  <r>
    <x v="34"/>
    <x v="23"/>
    <x v="319"/>
    <x v="0"/>
    <x v="0"/>
    <x v="1"/>
    <x v="1"/>
    <x v="0"/>
    <x v="1"/>
  </r>
  <r>
    <x v="35"/>
    <x v="0"/>
    <x v="131"/>
    <x v="0"/>
    <x v="0"/>
    <x v="1"/>
    <x v="5"/>
    <x v="0"/>
    <x v="4"/>
  </r>
  <r>
    <x v="35"/>
    <x v="1"/>
    <x v="61"/>
    <x v="0"/>
    <x v="0"/>
    <x v="1"/>
    <x v="5"/>
    <x v="0"/>
    <x v="4"/>
  </r>
  <r>
    <x v="35"/>
    <x v="2"/>
    <x v="32"/>
    <x v="0"/>
    <x v="0"/>
    <x v="1"/>
    <x v="5"/>
    <x v="0"/>
    <x v="4"/>
  </r>
  <r>
    <x v="35"/>
    <x v="3"/>
    <x v="45"/>
    <x v="0"/>
    <x v="0"/>
    <x v="1"/>
    <x v="5"/>
    <x v="0"/>
    <x v="4"/>
  </r>
  <r>
    <x v="35"/>
    <x v="4"/>
    <x v="133"/>
    <x v="0"/>
    <x v="0"/>
    <x v="1"/>
    <x v="5"/>
    <x v="0"/>
    <x v="4"/>
  </r>
  <r>
    <x v="35"/>
    <x v="5"/>
    <x v="324"/>
    <x v="0"/>
    <x v="0"/>
    <x v="1"/>
    <x v="5"/>
    <x v="0"/>
    <x v="4"/>
  </r>
  <r>
    <x v="35"/>
    <x v="6"/>
    <x v="734"/>
    <x v="0"/>
    <x v="0"/>
    <x v="1"/>
    <x v="5"/>
    <x v="0"/>
    <x v="3"/>
  </r>
  <r>
    <x v="35"/>
    <x v="7"/>
    <x v="952"/>
    <x v="0"/>
    <x v="0"/>
    <x v="1"/>
    <x v="5"/>
    <x v="0"/>
    <x v="3"/>
  </r>
  <r>
    <x v="35"/>
    <x v="8"/>
    <x v="848"/>
    <x v="0"/>
    <x v="0"/>
    <x v="1"/>
    <x v="5"/>
    <x v="0"/>
    <x v="3"/>
  </r>
  <r>
    <x v="35"/>
    <x v="9"/>
    <x v="546"/>
    <x v="0"/>
    <x v="0"/>
    <x v="1"/>
    <x v="5"/>
    <x v="0"/>
    <x v="3"/>
  </r>
  <r>
    <x v="35"/>
    <x v="10"/>
    <x v="550"/>
    <x v="0"/>
    <x v="0"/>
    <x v="1"/>
    <x v="5"/>
    <x v="0"/>
    <x v="2"/>
  </r>
  <r>
    <x v="35"/>
    <x v="11"/>
    <x v="511"/>
    <x v="0"/>
    <x v="0"/>
    <x v="1"/>
    <x v="5"/>
    <x v="0"/>
    <x v="2"/>
  </r>
  <r>
    <x v="35"/>
    <x v="12"/>
    <x v="600"/>
    <x v="0"/>
    <x v="0"/>
    <x v="1"/>
    <x v="5"/>
    <x v="0"/>
    <x v="2"/>
  </r>
  <r>
    <x v="35"/>
    <x v="13"/>
    <x v="655"/>
    <x v="0"/>
    <x v="0"/>
    <x v="1"/>
    <x v="5"/>
    <x v="0"/>
    <x v="2"/>
  </r>
  <r>
    <x v="35"/>
    <x v="14"/>
    <x v="904"/>
    <x v="0"/>
    <x v="0"/>
    <x v="1"/>
    <x v="5"/>
    <x v="0"/>
    <x v="2"/>
  </r>
  <r>
    <x v="35"/>
    <x v="15"/>
    <x v="1216"/>
    <x v="0"/>
    <x v="0"/>
    <x v="1"/>
    <x v="5"/>
    <x v="0"/>
    <x v="2"/>
  </r>
  <r>
    <x v="35"/>
    <x v="16"/>
    <x v="1450"/>
    <x v="0"/>
    <x v="0"/>
    <x v="1"/>
    <x v="5"/>
    <x v="0"/>
    <x v="0"/>
  </r>
  <r>
    <x v="35"/>
    <x v="17"/>
    <x v="1576"/>
    <x v="0"/>
    <x v="0"/>
    <x v="1"/>
    <x v="5"/>
    <x v="0"/>
    <x v="0"/>
  </r>
  <r>
    <x v="35"/>
    <x v="18"/>
    <x v="1178"/>
    <x v="0"/>
    <x v="0"/>
    <x v="1"/>
    <x v="5"/>
    <x v="0"/>
    <x v="0"/>
  </r>
  <r>
    <x v="35"/>
    <x v="19"/>
    <x v="1067"/>
    <x v="0"/>
    <x v="0"/>
    <x v="1"/>
    <x v="5"/>
    <x v="0"/>
    <x v="0"/>
  </r>
  <r>
    <x v="35"/>
    <x v="20"/>
    <x v="1163"/>
    <x v="0"/>
    <x v="0"/>
    <x v="1"/>
    <x v="5"/>
    <x v="0"/>
    <x v="1"/>
  </r>
  <r>
    <x v="35"/>
    <x v="21"/>
    <x v="1098"/>
    <x v="0"/>
    <x v="0"/>
    <x v="1"/>
    <x v="5"/>
    <x v="0"/>
    <x v="1"/>
  </r>
  <r>
    <x v="35"/>
    <x v="22"/>
    <x v="654"/>
    <x v="0"/>
    <x v="0"/>
    <x v="1"/>
    <x v="5"/>
    <x v="0"/>
    <x v="1"/>
  </r>
  <r>
    <x v="35"/>
    <x v="23"/>
    <x v="376"/>
    <x v="0"/>
    <x v="0"/>
    <x v="1"/>
    <x v="5"/>
    <x v="0"/>
    <x v="1"/>
  </r>
  <r>
    <x v="36"/>
    <x v="0"/>
    <x v="130"/>
    <x v="0"/>
    <x v="0"/>
    <x v="1"/>
    <x v="6"/>
    <x v="0"/>
    <x v="4"/>
  </r>
  <r>
    <x v="36"/>
    <x v="1"/>
    <x v="42"/>
    <x v="0"/>
    <x v="0"/>
    <x v="1"/>
    <x v="6"/>
    <x v="0"/>
    <x v="4"/>
  </r>
  <r>
    <x v="36"/>
    <x v="2"/>
    <x v="14"/>
    <x v="0"/>
    <x v="0"/>
    <x v="1"/>
    <x v="6"/>
    <x v="0"/>
    <x v="4"/>
  </r>
  <r>
    <x v="36"/>
    <x v="3"/>
    <x v="68"/>
    <x v="0"/>
    <x v="0"/>
    <x v="1"/>
    <x v="6"/>
    <x v="0"/>
    <x v="4"/>
  </r>
  <r>
    <x v="36"/>
    <x v="4"/>
    <x v="133"/>
    <x v="0"/>
    <x v="0"/>
    <x v="1"/>
    <x v="6"/>
    <x v="0"/>
    <x v="4"/>
  </r>
  <r>
    <x v="36"/>
    <x v="5"/>
    <x v="263"/>
    <x v="0"/>
    <x v="0"/>
    <x v="1"/>
    <x v="6"/>
    <x v="0"/>
    <x v="4"/>
  </r>
  <r>
    <x v="36"/>
    <x v="6"/>
    <x v="780"/>
    <x v="0"/>
    <x v="0"/>
    <x v="1"/>
    <x v="6"/>
    <x v="0"/>
    <x v="3"/>
  </r>
  <r>
    <x v="36"/>
    <x v="7"/>
    <x v="1033"/>
    <x v="0"/>
    <x v="0"/>
    <x v="1"/>
    <x v="6"/>
    <x v="0"/>
    <x v="3"/>
  </r>
  <r>
    <x v="36"/>
    <x v="8"/>
    <x v="861"/>
    <x v="0"/>
    <x v="0"/>
    <x v="1"/>
    <x v="6"/>
    <x v="0"/>
    <x v="3"/>
  </r>
  <r>
    <x v="36"/>
    <x v="9"/>
    <x v="594"/>
    <x v="0"/>
    <x v="0"/>
    <x v="1"/>
    <x v="6"/>
    <x v="0"/>
    <x v="3"/>
  </r>
  <r>
    <x v="36"/>
    <x v="10"/>
    <x v="631"/>
    <x v="0"/>
    <x v="0"/>
    <x v="1"/>
    <x v="6"/>
    <x v="0"/>
    <x v="2"/>
  </r>
  <r>
    <x v="36"/>
    <x v="11"/>
    <x v="589"/>
    <x v="0"/>
    <x v="0"/>
    <x v="1"/>
    <x v="6"/>
    <x v="0"/>
    <x v="2"/>
  </r>
  <r>
    <x v="36"/>
    <x v="12"/>
    <x v="624"/>
    <x v="0"/>
    <x v="0"/>
    <x v="1"/>
    <x v="6"/>
    <x v="0"/>
    <x v="2"/>
  </r>
  <r>
    <x v="36"/>
    <x v="13"/>
    <x v="861"/>
    <x v="0"/>
    <x v="0"/>
    <x v="1"/>
    <x v="6"/>
    <x v="0"/>
    <x v="2"/>
  </r>
  <r>
    <x v="36"/>
    <x v="14"/>
    <x v="1065"/>
    <x v="0"/>
    <x v="0"/>
    <x v="1"/>
    <x v="6"/>
    <x v="0"/>
    <x v="2"/>
  </r>
  <r>
    <x v="36"/>
    <x v="15"/>
    <x v="1353"/>
    <x v="0"/>
    <x v="0"/>
    <x v="1"/>
    <x v="6"/>
    <x v="0"/>
    <x v="2"/>
  </r>
  <r>
    <x v="36"/>
    <x v="16"/>
    <x v="1660"/>
    <x v="0"/>
    <x v="0"/>
    <x v="1"/>
    <x v="6"/>
    <x v="0"/>
    <x v="0"/>
  </r>
  <r>
    <x v="36"/>
    <x v="17"/>
    <x v="1692"/>
    <x v="0"/>
    <x v="0"/>
    <x v="1"/>
    <x v="6"/>
    <x v="0"/>
    <x v="0"/>
  </r>
  <r>
    <x v="36"/>
    <x v="18"/>
    <x v="1519"/>
    <x v="0"/>
    <x v="0"/>
    <x v="1"/>
    <x v="6"/>
    <x v="0"/>
    <x v="0"/>
  </r>
  <r>
    <x v="36"/>
    <x v="19"/>
    <x v="1279"/>
    <x v="0"/>
    <x v="0"/>
    <x v="1"/>
    <x v="6"/>
    <x v="0"/>
    <x v="0"/>
  </r>
  <r>
    <x v="36"/>
    <x v="20"/>
    <x v="1342"/>
    <x v="0"/>
    <x v="0"/>
    <x v="1"/>
    <x v="6"/>
    <x v="0"/>
    <x v="1"/>
  </r>
  <r>
    <x v="36"/>
    <x v="21"/>
    <x v="1334"/>
    <x v="0"/>
    <x v="0"/>
    <x v="1"/>
    <x v="6"/>
    <x v="0"/>
    <x v="1"/>
  </r>
  <r>
    <x v="36"/>
    <x v="22"/>
    <x v="898"/>
    <x v="0"/>
    <x v="0"/>
    <x v="1"/>
    <x v="6"/>
    <x v="0"/>
    <x v="1"/>
  </r>
  <r>
    <x v="36"/>
    <x v="23"/>
    <x v="451"/>
    <x v="0"/>
    <x v="0"/>
    <x v="1"/>
    <x v="6"/>
    <x v="0"/>
    <x v="1"/>
  </r>
  <r>
    <x v="37"/>
    <x v="0"/>
    <x v="202"/>
    <x v="0"/>
    <x v="0"/>
    <x v="1"/>
    <x v="4"/>
    <x v="0"/>
    <x v="4"/>
  </r>
  <r>
    <x v="37"/>
    <x v="1"/>
    <x v="103"/>
    <x v="0"/>
    <x v="0"/>
    <x v="1"/>
    <x v="4"/>
    <x v="0"/>
    <x v="4"/>
  </r>
  <r>
    <x v="37"/>
    <x v="2"/>
    <x v="59"/>
    <x v="0"/>
    <x v="0"/>
    <x v="1"/>
    <x v="4"/>
    <x v="0"/>
    <x v="4"/>
  </r>
  <r>
    <x v="37"/>
    <x v="3"/>
    <x v="91"/>
    <x v="0"/>
    <x v="0"/>
    <x v="1"/>
    <x v="4"/>
    <x v="0"/>
    <x v="4"/>
  </r>
  <r>
    <x v="37"/>
    <x v="4"/>
    <x v="213"/>
    <x v="0"/>
    <x v="0"/>
    <x v="1"/>
    <x v="4"/>
    <x v="0"/>
    <x v="4"/>
  </r>
  <r>
    <x v="37"/>
    <x v="5"/>
    <x v="505"/>
    <x v="0"/>
    <x v="0"/>
    <x v="1"/>
    <x v="4"/>
    <x v="0"/>
    <x v="4"/>
  </r>
  <r>
    <x v="37"/>
    <x v="6"/>
    <x v="1157"/>
    <x v="0"/>
    <x v="0"/>
    <x v="1"/>
    <x v="4"/>
    <x v="0"/>
    <x v="3"/>
  </r>
  <r>
    <x v="37"/>
    <x v="7"/>
    <x v="1467"/>
    <x v="0"/>
    <x v="0"/>
    <x v="1"/>
    <x v="4"/>
    <x v="0"/>
    <x v="3"/>
  </r>
  <r>
    <x v="37"/>
    <x v="8"/>
    <x v="1509"/>
    <x v="0"/>
    <x v="0"/>
    <x v="1"/>
    <x v="4"/>
    <x v="0"/>
    <x v="3"/>
  </r>
  <r>
    <x v="37"/>
    <x v="9"/>
    <x v="1163"/>
    <x v="0"/>
    <x v="0"/>
    <x v="1"/>
    <x v="4"/>
    <x v="0"/>
    <x v="3"/>
  </r>
  <r>
    <x v="37"/>
    <x v="10"/>
    <x v="906"/>
    <x v="0"/>
    <x v="0"/>
    <x v="1"/>
    <x v="4"/>
    <x v="0"/>
    <x v="2"/>
  </r>
  <r>
    <x v="37"/>
    <x v="11"/>
    <x v="841"/>
    <x v="0"/>
    <x v="0"/>
    <x v="1"/>
    <x v="4"/>
    <x v="0"/>
    <x v="2"/>
  </r>
  <r>
    <x v="37"/>
    <x v="12"/>
    <x v="794"/>
    <x v="0"/>
    <x v="0"/>
    <x v="1"/>
    <x v="4"/>
    <x v="0"/>
    <x v="2"/>
  </r>
  <r>
    <x v="37"/>
    <x v="13"/>
    <x v="1053"/>
    <x v="0"/>
    <x v="0"/>
    <x v="1"/>
    <x v="4"/>
    <x v="0"/>
    <x v="2"/>
  </r>
  <r>
    <x v="37"/>
    <x v="14"/>
    <x v="1186"/>
    <x v="0"/>
    <x v="0"/>
    <x v="1"/>
    <x v="4"/>
    <x v="0"/>
    <x v="2"/>
  </r>
  <r>
    <x v="37"/>
    <x v="15"/>
    <x v="1512"/>
    <x v="0"/>
    <x v="0"/>
    <x v="1"/>
    <x v="4"/>
    <x v="0"/>
    <x v="2"/>
  </r>
  <r>
    <x v="37"/>
    <x v="16"/>
    <x v="1706"/>
    <x v="0"/>
    <x v="0"/>
    <x v="1"/>
    <x v="4"/>
    <x v="0"/>
    <x v="0"/>
  </r>
  <r>
    <x v="37"/>
    <x v="17"/>
    <x v="1878"/>
    <x v="0"/>
    <x v="0"/>
    <x v="1"/>
    <x v="4"/>
    <x v="0"/>
    <x v="0"/>
  </r>
  <r>
    <x v="37"/>
    <x v="18"/>
    <x v="1677"/>
    <x v="0"/>
    <x v="0"/>
    <x v="1"/>
    <x v="4"/>
    <x v="0"/>
    <x v="0"/>
  </r>
  <r>
    <x v="37"/>
    <x v="19"/>
    <x v="1541"/>
    <x v="0"/>
    <x v="0"/>
    <x v="1"/>
    <x v="4"/>
    <x v="0"/>
    <x v="0"/>
  </r>
  <r>
    <x v="37"/>
    <x v="20"/>
    <x v="1488"/>
    <x v="0"/>
    <x v="0"/>
    <x v="1"/>
    <x v="4"/>
    <x v="0"/>
    <x v="1"/>
  </r>
  <r>
    <x v="37"/>
    <x v="21"/>
    <x v="1535"/>
    <x v="0"/>
    <x v="0"/>
    <x v="1"/>
    <x v="4"/>
    <x v="0"/>
    <x v="1"/>
  </r>
  <r>
    <x v="37"/>
    <x v="22"/>
    <x v="1198"/>
    <x v="0"/>
    <x v="0"/>
    <x v="1"/>
    <x v="4"/>
    <x v="0"/>
    <x v="1"/>
  </r>
  <r>
    <x v="37"/>
    <x v="23"/>
    <x v="600"/>
    <x v="0"/>
    <x v="0"/>
    <x v="1"/>
    <x v="4"/>
    <x v="0"/>
    <x v="1"/>
  </r>
  <r>
    <x v="38"/>
    <x v="0"/>
    <x v="315"/>
    <x v="0"/>
    <x v="0"/>
    <x v="1"/>
    <x v="0"/>
    <x v="0"/>
    <x v="4"/>
  </r>
  <r>
    <x v="38"/>
    <x v="1"/>
    <x v="200"/>
    <x v="0"/>
    <x v="0"/>
    <x v="1"/>
    <x v="0"/>
    <x v="0"/>
    <x v="4"/>
  </r>
  <r>
    <x v="38"/>
    <x v="2"/>
    <x v="105"/>
    <x v="0"/>
    <x v="0"/>
    <x v="1"/>
    <x v="0"/>
    <x v="0"/>
    <x v="4"/>
  </r>
  <r>
    <x v="38"/>
    <x v="3"/>
    <x v="125"/>
    <x v="0"/>
    <x v="0"/>
    <x v="1"/>
    <x v="0"/>
    <x v="0"/>
    <x v="4"/>
  </r>
  <r>
    <x v="38"/>
    <x v="4"/>
    <x v="185"/>
    <x v="0"/>
    <x v="0"/>
    <x v="1"/>
    <x v="0"/>
    <x v="0"/>
    <x v="4"/>
  </r>
  <r>
    <x v="38"/>
    <x v="5"/>
    <x v="323"/>
    <x v="0"/>
    <x v="0"/>
    <x v="1"/>
    <x v="0"/>
    <x v="0"/>
    <x v="4"/>
  </r>
  <r>
    <x v="38"/>
    <x v="6"/>
    <x v="804"/>
    <x v="0"/>
    <x v="0"/>
    <x v="1"/>
    <x v="0"/>
    <x v="0"/>
    <x v="3"/>
  </r>
  <r>
    <x v="38"/>
    <x v="7"/>
    <x v="1107"/>
    <x v="0"/>
    <x v="0"/>
    <x v="1"/>
    <x v="0"/>
    <x v="0"/>
    <x v="3"/>
  </r>
  <r>
    <x v="38"/>
    <x v="8"/>
    <x v="1024"/>
    <x v="0"/>
    <x v="0"/>
    <x v="1"/>
    <x v="0"/>
    <x v="0"/>
    <x v="3"/>
  </r>
  <r>
    <x v="38"/>
    <x v="9"/>
    <x v="731"/>
    <x v="0"/>
    <x v="0"/>
    <x v="1"/>
    <x v="0"/>
    <x v="0"/>
    <x v="3"/>
  </r>
  <r>
    <x v="38"/>
    <x v="10"/>
    <x v="703"/>
    <x v="0"/>
    <x v="0"/>
    <x v="1"/>
    <x v="0"/>
    <x v="0"/>
    <x v="2"/>
  </r>
  <r>
    <x v="38"/>
    <x v="11"/>
    <x v="770"/>
    <x v="0"/>
    <x v="0"/>
    <x v="1"/>
    <x v="0"/>
    <x v="0"/>
    <x v="2"/>
  </r>
  <r>
    <x v="38"/>
    <x v="12"/>
    <x v="762"/>
    <x v="0"/>
    <x v="0"/>
    <x v="1"/>
    <x v="0"/>
    <x v="0"/>
    <x v="2"/>
  </r>
  <r>
    <x v="38"/>
    <x v="13"/>
    <x v="907"/>
    <x v="0"/>
    <x v="0"/>
    <x v="1"/>
    <x v="0"/>
    <x v="0"/>
    <x v="2"/>
  </r>
  <r>
    <x v="38"/>
    <x v="14"/>
    <x v="1275"/>
    <x v="0"/>
    <x v="0"/>
    <x v="1"/>
    <x v="0"/>
    <x v="0"/>
    <x v="2"/>
  </r>
  <r>
    <x v="38"/>
    <x v="15"/>
    <x v="1498"/>
    <x v="0"/>
    <x v="0"/>
    <x v="1"/>
    <x v="0"/>
    <x v="0"/>
    <x v="2"/>
  </r>
  <r>
    <x v="38"/>
    <x v="16"/>
    <x v="1788"/>
    <x v="0"/>
    <x v="0"/>
    <x v="1"/>
    <x v="0"/>
    <x v="0"/>
    <x v="0"/>
  </r>
  <r>
    <x v="38"/>
    <x v="17"/>
    <x v="2053"/>
    <x v="0"/>
    <x v="0"/>
    <x v="1"/>
    <x v="0"/>
    <x v="0"/>
    <x v="0"/>
  </r>
  <r>
    <x v="38"/>
    <x v="18"/>
    <x v="2079"/>
    <x v="0"/>
    <x v="0"/>
    <x v="1"/>
    <x v="0"/>
    <x v="0"/>
    <x v="0"/>
  </r>
  <r>
    <x v="38"/>
    <x v="19"/>
    <x v="1519"/>
    <x v="0"/>
    <x v="0"/>
    <x v="1"/>
    <x v="0"/>
    <x v="0"/>
    <x v="0"/>
  </r>
  <r>
    <x v="38"/>
    <x v="20"/>
    <x v="1170"/>
    <x v="0"/>
    <x v="0"/>
    <x v="1"/>
    <x v="0"/>
    <x v="0"/>
    <x v="1"/>
  </r>
  <r>
    <x v="38"/>
    <x v="21"/>
    <x v="1216"/>
    <x v="0"/>
    <x v="0"/>
    <x v="1"/>
    <x v="0"/>
    <x v="0"/>
    <x v="1"/>
  </r>
  <r>
    <x v="38"/>
    <x v="22"/>
    <x v="1386"/>
    <x v="0"/>
    <x v="0"/>
    <x v="1"/>
    <x v="0"/>
    <x v="0"/>
    <x v="1"/>
  </r>
  <r>
    <x v="38"/>
    <x v="23"/>
    <x v="1113"/>
    <x v="0"/>
    <x v="0"/>
    <x v="1"/>
    <x v="0"/>
    <x v="0"/>
    <x v="1"/>
  </r>
  <r>
    <x v="39"/>
    <x v="0"/>
    <x v="685"/>
    <x v="0"/>
    <x v="0"/>
    <x v="1"/>
    <x v="2"/>
    <x v="1"/>
    <x v="4"/>
  </r>
  <r>
    <x v="39"/>
    <x v="1"/>
    <x v="390"/>
    <x v="0"/>
    <x v="0"/>
    <x v="1"/>
    <x v="2"/>
    <x v="1"/>
    <x v="4"/>
  </r>
  <r>
    <x v="39"/>
    <x v="2"/>
    <x v="242"/>
    <x v="0"/>
    <x v="0"/>
    <x v="1"/>
    <x v="2"/>
    <x v="1"/>
    <x v="4"/>
  </r>
  <r>
    <x v="39"/>
    <x v="3"/>
    <x v="170"/>
    <x v="0"/>
    <x v="0"/>
    <x v="1"/>
    <x v="2"/>
    <x v="1"/>
    <x v="4"/>
  </r>
  <r>
    <x v="39"/>
    <x v="4"/>
    <x v="78"/>
    <x v="0"/>
    <x v="0"/>
    <x v="1"/>
    <x v="2"/>
    <x v="1"/>
    <x v="4"/>
  </r>
  <r>
    <x v="39"/>
    <x v="5"/>
    <x v="132"/>
    <x v="0"/>
    <x v="0"/>
    <x v="1"/>
    <x v="2"/>
    <x v="1"/>
    <x v="4"/>
  </r>
  <r>
    <x v="39"/>
    <x v="6"/>
    <x v="158"/>
    <x v="0"/>
    <x v="0"/>
    <x v="1"/>
    <x v="2"/>
    <x v="1"/>
    <x v="3"/>
  </r>
  <r>
    <x v="39"/>
    <x v="7"/>
    <x v="222"/>
    <x v="0"/>
    <x v="0"/>
    <x v="1"/>
    <x v="2"/>
    <x v="1"/>
    <x v="3"/>
  </r>
  <r>
    <x v="39"/>
    <x v="8"/>
    <x v="351"/>
    <x v="0"/>
    <x v="0"/>
    <x v="1"/>
    <x v="2"/>
    <x v="1"/>
    <x v="3"/>
  </r>
  <r>
    <x v="39"/>
    <x v="9"/>
    <x v="453"/>
    <x v="0"/>
    <x v="0"/>
    <x v="1"/>
    <x v="2"/>
    <x v="1"/>
    <x v="3"/>
  </r>
  <r>
    <x v="39"/>
    <x v="10"/>
    <x v="504"/>
    <x v="0"/>
    <x v="0"/>
    <x v="1"/>
    <x v="2"/>
    <x v="1"/>
    <x v="2"/>
  </r>
  <r>
    <x v="39"/>
    <x v="11"/>
    <x v="583"/>
    <x v="0"/>
    <x v="0"/>
    <x v="1"/>
    <x v="2"/>
    <x v="1"/>
    <x v="2"/>
  </r>
  <r>
    <x v="39"/>
    <x v="12"/>
    <x v="677"/>
    <x v="0"/>
    <x v="0"/>
    <x v="1"/>
    <x v="2"/>
    <x v="1"/>
    <x v="2"/>
  </r>
  <r>
    <x v="39"/>
    <x v="13"/>
    <x v="897"/>
    <x v="0"/>
    <x v="0"/>
    <x v="1"/>
    <x v="2"/>
    <x v="1"/>
    <x v="2"/>
  </r>
  <r>
    <x v="39"/>
    <x v="14"/>
    <x v="960"/>
    <x v="0"/>
    <x v="0"/>
    <x v="1"/>
    <x v="2"/>
    <x v="1"/>
    <x v="2"/>
  </r>
  <r>
    <x v="39"/>
    <x v="15"/>
    <x v="1457"/>
    <x v="0"/>
    <x v="0"/>
    <x v="1"/>
    <x v="2"/>
    <x v="1"/>
    <x v="2"/>
  </r>
  <r>
    <x v="39"/>
    <x v="16"/>
    <x v="1740"/>
    <x v="0"/>
    <x v="0"/>
    <x v="1"/>
    <x v="2"/>
    <x v="1"/>
    <x v="0"/>
  </r>
  <r>
    <x v="39"/>
    <x v="17"/>
    <x v="1702"/>
    <x v="0"/>
    <x v="0"/>
    <x v="1"/>
    <x v="2"/>
    <x v="1"/>
    <x v="0"/>
  </r>
  <r>
    <x v="39"/>
    <x v="18"/>
    <x v="1655"/>
    <x v="0"/>
    <x v="0"/>
    <x v="1"/>
    <x v="2"/>
    <x v="1"/>
    <x v="0"/>
  </r>
  <r>
    <x v="39"/>
    <x v="19"/>
    <x v="1234"/>
    <x v="0"/>
    <x v="0"/>
    <x v="1"/>
    <x v="2"/>
    <x v="1"/>
    <x v="0"/>
  </r>
  <r>
    <x v="39"/>
    <x v="20"/>
    <x v="1019"/>
    <x v="0"/>
    <x v="0"/>
    <x v="1"/>
    <x v="2"/>
    <x v="1"/>
    <x v="1"/>
  </r>
  <r>
    <x v="39"/>
    <x v="21"/>
    <x v="1192"/>
    <x v="0"/>
    <x v="0"/>
    <x v="1"/>
    <x v="2"/>
    <x v="1"/>
    <x v="1"/>
  </r>
  <r>
    <x v="39"/>
    <x v="22"/>
    <x v="1569"/>
    <x v="0"/>
    <x v="0"/>
    <x v="1"/>
    <x v="2"/>
    <x v="1"/>
    <x v="1"/>
  </r>
  <r>
    <x v="39"/>
    <x v="23"/>
    <x v="1700"/>
    <x v="0"/>
    <x v="0"/>
    <x v="1"/>
    <x v="2"/>
    <x v="1"/>
    <x v="1"/>
  </r>
  <r>
    <x v="40"/>
    <x v="0"/>
    <x v="1088"/>
    <x v="0"/>
    <x v="0"/>
    <x v="1"/>
    <x v="3"/>
    <x v="1"/>
    <x v="4"/>
  </r>
  <r>
    <x v="40"/>
    <x v="1"/>
    <x v="501"/>
    <x v="0"/>
    <x v="0"/>
    <x v="1"/>
    <x v="3"/>
    <x v="1"/>
    <x v="4"/>
  </r>
  <r>
    <x v="40"/>
    <x v="2"/>
    <x v="269"/>
    <x v="0"/>
    <x v="0"/>
    <x v="1"/>
    <x v="3"/>
    <x v="1"/>
    <x v="4"/>
  </r>
  <r>
    <x v="40"/>
    <x v="3"/>
    <x v="169"/>
    <x v="0"/>
    <x v="0"/>
    <x v="1"/>
    <x v="3"/>
    <x v="1"/>
    <x v="4"/>
  </r>
  <r>
    <x v="40"/>
    <x v="4"/>
    <x v="85"/>
    <x v="0"/>
    <x v="0"/>
    <x v="1"/>
    <x v="3"/>
    <x v="1"/>
    <x v="4"/>
  </r>
  <r>
    <x v="40"/>
    <x v="5"/>
    <x v="82"/>
    <x v="0"/>
    <x v="0"/>
    <x v="1"/>
    <x v="3"/>
    <x v="1"/>
    <x v="4"/>
  </r>
  <r>
    <x v="40"/>
    <x v="6"/>
    <x v="116"/>
    <x v="0"/>
    <x v="0"/>
    <x v="1"/>
    <x v="3"/>
    <x v="1"/>
    <x v="3"/>
  </r>
  <r>
    <x v="40"/>
    <x v="7"/>
    <x v="186"/>
    <x v="0"/>
    <x v="0"/>
    <x v="1"/>
    <x v="3"/>
    <x v="1"/>
    <x v="3"/>
  </r>
  <r>
    <x v="40"/>
    <x v="8"/>
    <x v="297"/>
    <x v="0"/>
    <x v="0"/>
    <x v="1"/>
    <x v="3"/>
    <x v="1"/>
    <x v="3"/>
  </r>
  <r>
    <x v="40"/>
    <x v="9"/>
    <x v="457"/>
    <x v="0"/>
    <x v="0"/>
    <x v="1"/>
    <x v="3"/>
    <x v="1"/>
    <x v="3"/>
  </r>
  <r>
    <x v="40"/>
    <x v="10"/>
    <x v="506"/>
    <x v="0"/>
    <x v="0"/>
    <x v="1"/>
    <x v="3"/>
    <x v="1"/>
    <x v="2"/>
  </r>
  <r>
    <x v="40"/>
    <x v="11"/>
    <x v="618"/>
    <x v="0"/>
    <x v="0"/>
    <x v="1"/>
    <x v="3"/>
    <x v="1"/>
    <x v="2"/>
  </r>
  <r>
    <x v="40"/>
    <x v="12"/>
    <x v="656"/>
    <x v="0"/>
    <x v="0"/>
    <x v="1"/>
    <x v="3"/>
    <x v="1"/>
    <x v="2"/>
  </r>
  <r>
    <x v="40"/>
    <x v="13"/>
    <x v="698"/>
    <x v="0"/>
    <x v="0"/>
    <x v="1"/>
    <x v="3"/>
    <x v="1"/>
    <x v="2"/>
  </r>
  <r>
    <x v="40"/>
    <x v="14"/>
    <x v="744"/>
    <x v="0"/>
    <x v="0"/>
    <x v="1"/>
    <x v="3"/>
    <x v="1"/>
    <x v="2"/>
  </r>
  <r>
    <x v="40"/>
    <x v="15"/>
    <x v="907"/>
    <x v="0"/>
    <x v="0"/>
    <x v="1"/>
    <x v="3"/>
    <x v="1"/>
    <x v="2"/>
  </r>
  <r>
    <x v="40"/>
    <x v="16"/>
    <x v="1015"/>
    <x v="0"/>
    <x v="0"/>
    <x v="1"/>
    <x v="3"/>
    <x v="1"/>
    <x v="0"/>
  </r>
  <r>
    <x v="40"/>
    <x v="17"/>
    <x v="960"/>
    <x v="0"/>
    <x v="0"/>
    <x v="1"/>
    <x v="3"/>
    <x v="1"/>
    <x v="0"/>
  </r>
  <r>
    <x v="40"/>
    <x v="18"/>
    <x v="769"/>
    <x v="0"/>
    <x v="0"/>
    <x v="1"/>
    <x v="3"/>
    <x v="1"/>
    <x v="0"/>
  </r>
  <r>
    <x v="40"/>
    <x v="19"/>
    <x v="697"/>
    <x v="0"/>
    <x v="0"/>
    <x v="1"/>
    <x v="3"/>
    <x v="1"/>
    <x v="0"/>
  </r>
  <r>
    <x v="40"/>
    <x v="20"/>
    <x v="648"/>
    <x v="0"/>
    <x v="0"/>
    <x v="1"/>
    <x v="3"/>
    <x v="1"/>
    <x v="1"/>
  </r>
  <r>
    <x v="40"/>
    <x v="21"/>
    <x v="613"/>
    <x v="0"/>
    <x v="0"/>
    <x v="1"/>
    <x v="3"/>
    <x v="1"/>
    <x v="1"/>
  </r>
  <r>
    <x v="40"/>
    <x v="22"/>
    <x v="381"/>
    <x v="0"/>
    <x v="0"/>
    <x v="1"/>
    <x v="3"/>
    <x v="1"/>
    <x v="1"/>
  </r>
  <r>
    <x v="40"/>
    <x v="23"/>
    <x v="201"/>
    <x v="0"/>
    <x v="0"/>
    <x v="1"/>
    <x v="3"/>
    <x v="1"/>
    <x v="1"/>
  </r>
  <r>
    <x v="41"/>
    <x v="0"/>
    <x v="47"/>
    <x v="0"/>
    <x v="0"/>
    <x v="1"/>
    <x v="1"/>
    <x v="0"/>
    <x v="4"/>
  </r>
  <r>
    <x v="41"/>
    <x v="1"/>
    <x v="23"/>
    <x v="0"/>
    <x v="0"/>
    <x v="1"/>
    <x v="1"/>
    <x v="0"/>
    <x v="4"/>
  </r>
  <r>
    <x v="41"/>
    <x v="2"/>
    <x v="6"/>
    <x v="0"/>
    <x v="0"/>
    <x v="1"/>
    <x v="1"/>
    <x v="0"/>
    <x v="4"/>
  </r>
  <r>
    <x v="41"/>
    <x v="3"/>
    <x v="73"/>
    <x v="0"/>
    <x v="0"/>
    <x v="1"/>
    <x v="1"/>
    <x v="0"/>
    <x v="4"/>
  </r>
  <r>
    <x v="41"/>
    <x v="4"/>
    <x v="192"/>
    <x v="0"/>
    <x v="0"/>
    <x v="1"/>
    <x v="1"/>
    <x v="0"/>
    <x v="4"/>
  </r>
  <r>
    <x v="41"/>
    <x v="5"/>
    <x v="358"/>
    <x v="0"/>
    <x v="0"/>
    <x v="1"/>
    <x v="1"/>
    <x v="0"/>
    <x v="4"/>
  </r>
  <r>
    <x v="41"/>
    <x v="6"/>
    <x v="699"/>
    <x v="0"/>
    <x v="0"/>
    <x v="1"/>
    <x v="1"/>
    <x v="0"/>
    <x v="3"/>
  </r>
  <r>
    <x v="41"/>
    <x v="7"/>
    <x v="895"/>
    <x v="0"/>
    <x v="0"/>
    <x v="1"/>
    <x v="1"/>
    <x v="0"/>
    <x v="3"/>
  </r>
  <r>
    <x v="41"/>
    <x v="8"/>
    <x v="748"/>
    <x v="0"/>
    <x v="0"/>
    <x v="1"/>
    <x v="1"/>
    <x v="0"/>
    <x v="3"/>
  </r>
  <r>
    <x v="41"/>
    <x v="9"/>
    <x v="578"/>
    <x v="0"/>
    <x v="0"/>
    <x v="1"/>
    <x v="1"/>
    <x v="0"/>
    <x v="3"/>
  </r>
  <r>
    <x v="41"/>
    <x v="10"/>
    <x v="501"/>
    <x v="0"/>
    <x v="0"/>
    <x v="1"/>
    <x v="1"/>
    <x v="0"/>
    <x v="2"/>
  </r>
  <r>
    <x v="41"/>
    <x v="11"/>
    <x v="511"/>
    <x v="0"/>
    <x v="0"/>
    <x v="1"/>
    <x v="1"/>
    <x v="0"/>
    <x v="2"/>
  </r>
  <r>
    <x v="41"/>
    <x v="12"/>
    <x v="580"/>
    <x v="0"/>
    <x v="0"/>
    <x v="1"/>
    <x v="1"/>
    <x v="0"/>
    <x v="2"/>
  </r>
  <r>
    <x v="41"/>
    <x v="13"/>
    <x v="676"/>
    <x v="0"/>
    <x v="0"/>
    <x v="1"/>
    <x v="1"/>
    <x v="0"/>
    <x v="2"/>
  </r>
  <r>
    <x v="41"/>
    <x v="14"/>
    <x v="918"/>
    <x v="0"/>
    <x v="0"/>
    <x v="1"/>
    <x v="1"/>
    <x v="0"/>
    <x v="2"/>
  </r>
  <r>
    <x v="41"/>
    <x v="15"/>
    <x v="1155"/>
    <x v="0"/>
    <x v="0"/>
    <x v="1"/>
    <x v="1"/>
    <x v="0"/>
    <x v="2"/>
  </r>
  <r>
    <x v="41"/>
    <x v="16"/>
    <x v="1357"/>
    <x v="0"/>
    <x v="0"/>
    <x v="1"/>
    <x v="1"/>
    <x v="0"/>
    <x v="0"/>
  </r>
  <r>
    <x v="41"/>
    <x v="17"/>
    <x v="1426"/>
    <x v="0"/>
    <x v="0"/>
    <x v="1"/>
    <x v="1"/>
    <x v="0"/>
    <x v="0"/>
  </r>
  <r>
    <x v="41"/>
    <x v="18"/>
    <x v="1015"/>
    <x v="0"/>
    <x v="0"/>
    <x v="1"/>
    <x v="1"/>
    <x v="0"/>
    <x v="0"/>
  </r>
  <r>
    <x v="41"/>
    <x v="19"/>
    <x v="756"/>
    <x v="0"/>
    <x v="0"/>
    <x v="1"/>
    <x v="1"/>
    <x v="0"/>
    <x v="0"/>
  </r>
  <r>
    <x v="41"/>
    <x v="20"/>
    <x v="818"/>
    <x v="0"/>
    <x v="0"/>
    <x v="1"/>
    <x v="1"/>
    <x v="0"/>
    <x v="1"/>
  </r>
  <r>
    <x v="41"/>
    <x v="21"/>
    <x v="917"/>
    <x v="0"/>
    <x v="0"/>
    <x v="1"/>
    <x v="1"/>
    <x v="0"/>
    <x v="1"/>
  </r>
  <r>
    <x v="41"/>
    <x v="22"/>
    <x v="553"/>
    <x v="0"/>
    <x v="0"/>
    <x v="1"/>
    <x v="1"/>
    <x v="0"/>
    <x v="1"/>
  </r>
  <r>
    <x v="41"/>
    <x v="23"/>
    <x v="301"/>
    <x v="0"/>
    <x v="0"/>
    <x v="1"/>
    <x v="1"/>
    <x v="0"/>
    <x v="1"/>
  </r>
  <r>
    <x v="42"/>
    <x v="0"/>
    <x v="120"/>
    <x v="0"/>
    <x v="0"/>
    <x v="1"/>
    <x v="5"/>
    <x v="0"/>
    <x v="4"/>
  </r>
  <r>
    <x v="42"/>
    <x v="1"/>
    <x v="59"/>
    <x v="0"/>
    <x v="0"/>
    <x v="1"/>
    <x v="5"/>
    <x v="0"/>
    <x v="4"/>
  </r>
  <r>
    <x v="42"/>
    <x v="2"/>
    <x v="16"/>
    <x v="0"/>
    <x v="0"/>
    <x v="1"/>
    <x v="5"/>
    <x v="0"/>
    <x v="4"/>
  </r>
  <r>
    <x v="42"/>
    <x v="3"/>
    <x v="53"/>
    <x v="0"/>
    <x v="0"/>
    <x v="1"/>
    <x v="5"/>
    <x v="0"/>
    <x v="4"/>
  </r>
  <r>
    <x v="42"/>
    <x v="4"/>
    <x v="100"/>
    <x v="0"/>
    <x v="0"/>
    <x v="1"/>
    <x v="5"/>
    <x v="0"/>
    <x v="4"/>
  </r>
  <r>
    <x v="42"/>
    <x v="5"/>
    <x v="295"/>
    <x v="0"/>
    <x v="0"/>
    <x v="1"/>
    <x v="5"/>
    <x v="0"/>
    <x v="4"/>
  </r>
  <r>
    <x v="42"/>
    <x v="6"/>
    <x v="767"/>
    <x v="0"/>
    <x v="0"/>
    <x v="1"/>
    <x v="5"/>
    <x v="0"/>
    <x v="3"/>
  </r>
  <r>
    <x v="42"/>
    <x v="7"/>
    <x v="1018"/>
    <x v="0"/>
    <x v="0"/>
    <x v="1"/>
    <x v="5"/>
    <x v="0"/>
    <x v="3"/>
  </r>
  <r>
    <x v="42"/>
    <x v="8"/>
    <x v="739"/>
    <x v="0"/>
    <x v="0"/>
    <x v="1"/>
    <x v="5"/>
    <x v="0"/>
    <x v="3"/>
  </r>
  <r>
    <x v="42"/>
    <x v="9"/>
    <x v="582"/>
    <x v="0"/>
    <x v="0"/>
    <x v="1"/>
    <x v="5"/>
    <x v="0"/>
    <x v="3"/>
  </r>
  <r>
    <x v="42"/>
    <x v="10"/>
    <x v="559"/>
    <x v="0"/>
    <x v="0"/>
    <x v="1"/>
    <x v="5"/>
    <x v="0"/>
    <x v="2"/>
  </r>
  <r>
    <x v="42"/>
    <x v="11"/>
    <x v="532"/>
    <x v="0"/>
    <x v="0"/>
    <x v="1"/>
    <x v="5"/>
    <x v="0"/>
    <x v="2"/>
  </r>
  <r>
    <x v="42"/>
    <x v="12"/>
    <x v="558"/>
    <x v="0"/>
    <x v="0"/>
    <x v="1"/>
    <x v="5"/>
    <x v="0"/>
    <x v="2"/>
  </r>
  <r>
    <x v="42"/>
    <x v="13"/>
    <x v="742"/>
    <x v="0"/>
    <x v="0"/>
    <x v="1"/>
    <x v="5"/>
    <x v="0"/>
    <x v="2"/>
  </r>
  <r>
    <x v="42"/>
    <x v="14"/>
    <x v="899"/>
    <x v="0"/>
    <x v="0"/>
    <x v="1"/>
    <x v="5"/>
    <x v="0"/>
    <x v="2"/>
  </r>
  <r>
    <x v="42"/>
    <x v="15"/>
    <x v="1206"/>
    <x v="0"/>
    <x v="0"/>
    <x v="1"/>
    <x v="5"/>
    <x v="0"/>
    <x v="2"/>
  </r>
  <r>
    <x v="42"/>
    <x v="16"/>
    <x v="1388"/>
    <x v="0"/>
    <x v="0"/>
    <x v="1"/>
    <x v="5"/>
    <x v="0"/>
    <x v="0"/>
  </r>
  <r>
    <x v="42"/>
    <x v="17"/>
    <x v="1519"/>
    <x v="0"/>
    <x v="0"/>
    <x v="1"/>
    <x v="5"/>
    <x v="0"/>
    <x v="0"/>
  </r>
  <r>
    <x v="42"/>
    <x v="18"/>
    <x v="1202"/>
    <x v="0"/>
    <x v="0"/>
    <x v="1"/>
    <x v="5"/>
    <x v="0"/>
    <x v="0"/>
  </r>
  <r>
    <x v="42"/>
    <x v="19"/>
    <x v="1137"/>
    <x v="0"/>
    <x v="0"/>
    <x v="1"/>
    <x v="5"/>
    <x v="0"/>
    <x v="0"/>
  </r>
  <r>
    <x v="42"/>
    <x v="20"/>
    <x v="1218"/>
    <x v="0"/>
    <x v="0"/>
    <x v="1"/>
    <x v="5"/>
    <x v="0"/>
    <x v="1"/>
  </r>
  <r>
    <x v="42"/>
    <x v="21"/>
    <x v="1110"/>
    <x v="0"/>
    <x v="0"/>
    <x v="1"/>
    <x v="5"/>
    <x v="0"/>
    <x v="1"/>
  </r>
  <r>
    <x v="42"/>
    <x v="22"/>
    <x v="780"/>
    <x v="0"/>
    <x v="0"/>
    <x v="1"/>
    <x v="5"/>
    <x v="0"/>
    <x v="1"/>
  </r>
  <r>
    <x v="42"/>
    <x v="23"/>
    <x v="402"/>
    <x v="0"/>
    <x v="0"/>
    <x v="1"/>
    <x v="5"/>
    <x v="0"/>
    <x v="1"/>
  </r>
  <r>
    <x v="43"/>
    <x v="0"/>
    <x v="164"/>
    <x v="0"/>
    <x v="0"/>
    <x v="1"/>
    <x v="6"/>
    <x v="0"/>
    <x v="4"/>
  </r>
  <r>
    <x v="43"/>
    <x v="1"/>
    <x v="61"/>
    <x v="0"/>
    <x v="0"/>
    <x v="1"/>
    <x v="6"/>
    <x v="0"/>
    <x v="4"/>
  </r>
  <r>
    <x v="43"/>
    <x v="2"/>
    <x v="23"/>
    <x v="0"/>
    <x v="0"/>
    <x v="1"/>
    <x v="6"/>
    <x v="0"/>
    <x v="4"/>
  </r>
  <r>
    <x v="43"/>
    <x v="3"/>
    <x v="65"/>
    <x v="0"/>
    <x v="0"/>
    <x v="1"/>
    <x v="6"/>
    <x v="0"/>
    <x v="4"/>
  </r>
  <r>
    <x v="43"/>
    <x v="4"/>
    <x v="136"/>
    <x v="0"/>
    <x v="0"/>
    <x v="1"/>
    <x v="6"/>
    <x v="0"/>
    <x v="4"/>
  </r>
  <r>
    <x v="43"/>
    <x v="5"/>
    <x v="322"/>
    <x v="0"/>
    <x v="0"/>
    <x v="1"/>
    <x v="6"/>
    <x v="0"/>
    <x v="4"/>
  </r>
  <r>
    <x v="43"/>
    <x v="6"/>
    <x v="812"/>
    <x v="0"/>
    <x v="0"/>
    <x v="1"/>
    <x v="6"/>
    <x v="0"/>
    <x v="3"/>
  </r>
  <r>
    <x v="43"/>
    <x v="7"/>
    <x v="1144"/>
    <x v="0"/>
    <x v="0"/>
    <x v="1"/>
    <x v="6"/>
    <x v="0"/>
    <x v="3"/>
  </r>
  <r>
    <x v="43"/>
    <x v="8"/>
    <x v="932"/>
    <x v="0"/>
    <x v="0"/>
    <x v="1"/>
    <x v="6"/>
    <x v="0"/>
    <x v="3"/>
  </r>
  <r>
    <x v="43"/>
    <x v="9"/>
    <x v="623"/>
    <x v="0"/>
    <x v="0"/>
    <x v="1"/>
    <x v="6"/>
    <x v="0"/>
    <x v="3"/>
  </r>
  <r>
    <x v="43"/>
    <x v="10"/>
    <x v="615"/>
    <x v="0"/>
    <x v="0"/>
    <x v="1"/>
    <x v="6"/>
    <x v="0"/>
    <x v="2"/>
  </r>
  <r>
    <x v="43"/>
    <x v="11"/>
    <x v="617"/>
    <x v="0"/>
    <x v="0"/>
    <x v="1"/>
    <x v="6"/>
    <x v="0"/>
    <x v="2"/>
  </r>
  <r>
    <x v="43"/>
    <x v="12"/>
    <x v="669"/>
    <x v="0"/>
    <x v="0"/>
    <x v="1"/>
    <x v="6"/>
    <x v="0"/>
    <x v="2"/>
  </r>
  <r>
    <x v="43"/>
    <x v="13"/>
    <x v="804"/>
    <x v="0"/>
    <x v="0"/>
    <x v="1"/>
    <x v="6"/>
    <x v="0"/>
    <x v="2"/>
  </r>
  <r>
    <x v="43"/>
    <x v="14"/>
    <x v="1117"/>
    <x v="0"/>
    <x v="0"/>
    <x v="1"/>
    <x v="6"/>
    <x v="0"/>
    <x v="2"/>
  </r>
  <r>
    <x v="43"/>
    <x v="15"/>
    <x v="1323"/>
    <x v="0"/>
    <x v="0"/>
    <x v="1"/>
    <x v="6"/>
    <x v="0"/>
    <x v="2"/>
  </r>
  <r>
    <x v="43"/>
    <x v="16"/>
    <x v="1407"/>
    <x v="0"/>
    <x v="0"/>
    <x v="1"/>
    <x v="6"/>
    <x v="0"/>
    <x v="0"/>
  </r>
  <r>
    <x v="43"/>
    <x v="17"/>
    <x v="1590"/>
    <x v="0"/>
    <x v="0"/>
    <x v="1"/>
    <x v="6"/>
    <x v="0"/>
    <x v="0"/>
  </r>
  <r>
    <x v="43"/>
    <x v="18"/>
    <x v="1707"/>
    <x v="0"/>
    <x v="0"/>
    <x v="1"/>
    <x v="6"/>
    <x v="0"/>
    <x v="0"/>
  </r>
  <r>
    <x v="43"/>
    <x v="19"/>
    <x v="1443"/>
    <x v="0"/>
    <x v="0"/>
    <x v="1"/>
    <x v="6"/>
    <x v="0"/>
    <x v="0"/>
  </r>
  <r>
    <x v="43"/>
    <x v="20"/>
    <x v="1451"/>
    <x v="0"/>
    <x v="0"/>
    <x v="1"/>
    <x v="6"/>
    <x v="0"/>
    <x v="1"/>
  </r>
  <r>
    <x v="43"/>
    <x v="21"/>
    <x v="1287"/>
    <x v="0"/>
    <x v="0"/>
    <x v="1"/>
    <x v="6"/>
    <x v="0"/>
    <x v="1"/>
  </r>
  <r>
    <x v="43"/>
    <x v="22"/>
    <x v="774"/>
    <x v="0"/>
    <x v="0"/>
    <x v="1"/>
    <x v="6"/>
    <x v="0"/>
    <x v="1"/>
  </r>
  <r>
    <x v="43"/>
    <x v="23"/>
    <x v="432"/>
    <x v="0"/>
    <x v="0"/>
    <x v="1"/>
    <x v="6"/>
    <x v="0"/>
    <x v="1"/>
  </r>
  <r>
    <x v="44"/>
    <x v="0"/>
    <x v="229"/>
    <x v="0"/>
    <x v="0"/>
    <x v="1"/>
    <x v="4"/>
    <x v="0"/>
    <x v="4"/>
  </r>
  <r>
    <x v="44"/>
    <x v="1"/>
    <x v="112"/>
    <x v="0"/>
    <x v="0"/>
    <x v="1"/>
    <x v="4"/>
    <x v="0"/>
    <x v="4"/>
  </r>
  <r>
    <x v="44"/>
    <x v="2"/>
    <x v="46"/>
    <x v="0"/>
    <x v="0"/>
    <x v="1"/>
    <x v="4"/>
    <x v="0"/>
    <x v="4"/>
  </r>
  <r>
    <x v="44"/>
    <x v="3"/>
    <x v="81"/>
    <x v="0"/>
    <x v="0"/>
    <x v="1"/>
    <x v="4"/>
    <x v="0"/>
    <x v="4"/>
  </r>
  <r>
    <x v="44"/>
    <x v="4"/>
    <x v="195"/>
    <x v="0"/>
    <x v="0"/>
    <x v="1"/>
    <x v="4"/>
    <x v="0"/>
    <x v="4"/>
  </r>
  <r>
    <x v="44"/>
    <x v="5"/>
    <x v="399"/>
    <x v="0"/>
    <x v="0"/>
    <x v="1"/>
    <x v="4"/>
    <x v="0"/>
    <x v="4"/>
  </r>
  <r>
    <x v="44"/>
    <x v="6"/>
    <x v="926"/>
    <x v="0"/>
    <x v="0"/>
    <x v="1"/>
    <x v="4"/>
    <x v="0"/>
    <x v="3"/>
  </r>
  <r>
    <x v="44"/>
    <x v="7"/>
    <x v="1134"/>
    <x v="0"/>
    <x v="0"/>
    <x v="1"/>
    <x v="4"/>
    <x v="0"/>
    <x v="3"/>
  </r>
  <r>
    <x v="44"/>
    <x v="8"/>
    <x v="1007"/>
    <x v="0"/>
    <x v="0"/>
    <x v="1"/>
    <x v="4"/>
    <x v="0"/>
    <x v="3"/>
  </r>
  <r>
    <x v="44"/>
    <x v="9"/>
    <x v="697"/>
    <x v="0"/>
    <x v="0"/>
    <x v="1"/>
    <x v="4"/>
    <x v="0"/>
    <x v="3"/>
  </r>
  <r>
    <x v="44"/>
    <x v="10"/>
    <x v="877"/>
    <x v="0"/>
    <x v="0"/>
    <x v="1"/>
    <x v="4"/>
    <x v="0"/>
    <x v="2"/>
  </r>
  <r>
    <x v="44"/>
    <x v="11"/>
    <x v="880"/>
    <x v="0"/>
    <x v="0"/>
    <x v="1"/>
    <x v="4"/>
    <x v="0"/>
    <x v="2"/>
  </r>
  <r>
    <x v="44"/>
    <x v="12"/>
    <x v="866"/>
    <x v="0"/>
    <x v="0"/>
    <x v="1"/>
    <x v="4"/>
    <x v="0"/>
    <x v="2"/>
  </r>
  <r>
    <x v="44"/>
    <x v="13"/>
    <x v="1004"/>
    <x v="0"/>
    <x v="0"/>
    <x v="1"/>
    <x v="4"/>
    <x v="0"/>
    <x v="2"/>
  </r>
  <r>
    <x v="44"/>
    <x v="14"/>
    <x v="1253"/>
    <x v="0"/>
    <x v="0"/>
    <x v="1"/>
    <x v="4"/>
    <x v="0"/>
    <x v="2"/>
  </r>
  <r>
    <x v="44"/>
    <x v="15"/>
    <x v="1447"/>
    <x v="0"/>
    <x v="0"/>
    <x v="1"/>
    <x v="4"/>
    <x v="0"/>
    <x v="2"/>
  </r>
  <r>
    <x v="44"/>
    <x v="16"/>
    <x v="1682"/>
    <x v="0"/>
    <x v="0"/>
    <x v="1"/>
    <x v="4"/>
    <x v="0"/>
    <x v="0"/>
  </r>
  <r>
    <x v="44"/>
    <x v="17"/>
    <x v="1926"/>
    <x v="0"/>
    <x v="0"/>
    <x v="1"/>
    <x v="4"/>
    <x v="0"/>
    <x v="0"/>
  </r>
  <r>
    <x v="44"/>
    <x v="18"/>
    <x v="1793"/>
    <x v="0"/>
    <x v="0"/>
    <x v="1"/>
    <x v="4"/>
    <x v="0"/>
    <x v="0"/>
  </r>
  <r>
    <x v="44"/>
    <x v="19"/>
    <x v="1569"/>
    <x v="0"/>
    <x v="0"/>
    <x v="1"/>
    <x v="4"/>
    <x v="0"/>
    <x v="0"/>
  </r>
  <r>
    <x v="44"/>
    <x v="20"/>
    <x v="1613"/>
    <x v="0"/>
    <x v="0"/>
    <x v="1"/>
    <x v="4"/>
    <x v="0"/>
    <x v="1"/>
  </r>
  <r>
    <x v="44"/>
    <x v="21"/>
    <x v="1600"/>
    <x v="0"/>
    <x v="0"/>
    <x v="1"/>
    <x v="4"/>
    <x v="0"/>
    <x v="1"/>
  </r>
  <r>
    <x v="44"/>
    <x v="22"/>
    <x v="1233"/>
    <x v="0"/>
    <x v="0"/>
    <x v="1"/>
    <x v="4"/>
    <x v="0"/>
    <x v="1"/>
  </r>
  <r>
    <x v="44"/>
    <x v="23"/>
    <x v="661"/>
    <x v="0"/>
    <x v="0"/>
    <x v="1"/>
    <x v="4"/>
    <x v="0"/>
    <x v="1"/>
  </r>
  <r>
    <x v="45"/>
    <x v="0"/>
    <x v="334"/>
    <x v="0"/>
    <x v="0"/>
    <x v="1"/>
    <x v="0"/>
    <x v="0"/>
    <x v="4"/>
  </r>
  <r>
    <x v="45"/>
    <x v="1"/>
    <x v="163"/>
    <x v="0"/>
    <x v="0"/>
    <x v="1"/>
    <x v="0"/>
    <x v="0"/>
    <x v="4"/>
  </r>
  <r>
    <x v="45"/>
    <x v="2"/>
    <x v="88"/>
    <x v="0"/>
    <x v="0"/>
    <x v="1"/>
    <x v="0"/>
    <x v="0"/>
    <x v="4"/>
  </r>
  <r>
    <x v="45"/>
    <x v="3"/>
    <x v="135"/>
    <x v="0"/>
    <x v="0"/>
    <x v="1"/>
    <x v="0"/>
    <x v="0"/>
    <x v="4"/>
  </r>
  <r>
    <x v="45"/>
    <x v="4"/>
    <x v="198"/>
    <x v="0"/>
    <x v="0"/>
    <x v="1"/>
    <x v="0"/>
    <x v="0"/>
    <x v="4"/>
  </r>
  <r>
    <x v="45"/>
    <x v="5"/>
    <x v="353"/>
    <x v="0"/>
    <x v="0"/>
    <x v="1"/>
    <x v="0"/>
    <x v="0"/>
    <x v="4"/>
  </r>
  <r>
    <x v="45"/>
    <x v="6"/>
    <x v="851"/>
    <x v="0"/>
    <x v="0"/>
    <x v="1"/>
    <x v="0"/>
    <x v="0"/>
    <x v="3"/>
  </r>
  <r>
    <x v="45"/>
    <x v="7"/>
    <x v="1090"/>
    <x v="0"/>
    <x v="0"/>
    <x v="1"/>
    <x v="0"/>
    <x v="0"/>
    <x v="3"/>
  </r>
  <r>
    <x v="45"/>
    <x v="8"/>
    <x v="972"/>
    <x v="0"/>
    <x v="0"/>
    <x v="1"/>
    <x v="0"/>
    <x v="0"/>
    <x v="3"/>
  </r>
  <r>
    <x v="45"/>
    <x v="9"/>
    <x v="746"/>
    <x v="0"/>
    <x v="0"/>
    <x v="1"/>
    <x v="0"/>
    <x v="0"/>
    <x v="3"/>
  </r>
  <r>
    <x v="45"/>
    <x v="10"/>
    <x v="763"/>
    <x v="0"/>
    <x v="0"/>
    <x v="1"/>
    <x v="0"/>
    <x v="0"/>
    <x v="2"/>
  </r>
  <r>
    <x v="45"/>
    <x v="11"/>
    <x v="871"/>
    <x v="0"/>
    <x v="0"/>
    <x v="1"/>
    <x v="0"/>
    <x v="0"/>
    <x v="2"/>
  </r>
  <r>
    <x v="45"/>
    <x v="12"/>
    <x v="1053"/>
    <x v="0"/>
    <x v="0"/>
    <x v="1"/>
    <x v="0"/>
    <x v="0"/>
    <x v="2"/>
  </r>
  <r>
    <x v="45"/>
    <x v="13"/>
    <x v="1184"/>
    <x v="0"/>
    <x v="0"/>
    <x v="1"/>
    <x v="0"/>
    <x v="0"/>
    <x v="2"/>
  </r>
  <r>
    <x v="45"/>
    <x v="14"/>
    <x v="1473"/>
    <x v="0"/>
    <x v="0"/>
    <x v="1"/>
    <x v="0"/>
    <x v="0"/>
    <x v="2"/>
  </r>
  <r>
    <x v="45"/>
    <x v="15"/>
    <x v="1731"/>
    <x v="0"/>
    <x v="0"/>
    <x v="1"/>
    <x v="0"/>
    <x v="0"/>
    <x v="2"/>
  </r>
  <r>
    <x v="45"/>
    <x v="16"/>
    <x v="1811"/>
    <x v="0"/>
    <x v="0"/>
    <x v="1"/>
    <x v="0"/>
    <x v="0"/>
    <x v="0"/>
  </r>
  <r>
    <x v="45"/>
    <x v="17"/>
    <x v="2093"/>
    <x v="0"/>
    <x v="0"/>
    <x v="1"/>
    <x v="0"/>
    <x v="0"/>
    <x v="0"/>
  </r>
  <r>
    <x v="45"/>
    <x v="18"/>
    <x v="2100"/>
    <x v="0"/>
    <x v="0"/>
    <x v="1"/>
    <x v="0"/>
    <x v="0"/>
    <x v="0"/>
  </r>
  <r>
    <x v="45"/>
    <x v="19"/>
    <x v="2514"/>
    <x v="0"/>
    <x v="0"/>
    <x v="1"/>
    <x v="0"/>
    <x v="0"/>
    <x v="0"/>
  </r>
  <r>
    <x v="45"/>
    <x v="20"/>
    <x v="2017"/>
    <x v="0"/>
    <x v="0"/>
    <x v="1"/>
    <x v="0"/>
    <x v="0"/>
    <x v="1"/>
  </r>
  <r>
    <x v="45"/>
    <x v="21"/>
    <x v="2398"/>
    <x v="0"/>
    <x v="0"/>
    <x v="1"/>
    <x v="0"/>
    <x v="0"/>
    <x v="1"/>
  </r>
  <r>
    <x v="45"/>
    <x v="22"/>
    <x v="1907"/>
    <x v="0"/>
    <x v="0"/>
    <x v="1"/>
    <x v="0"/>
    <x v="0"/>
    <x v="1"/>
  </r>
  <r>
    <x v="45"/>
    <x v="23"/>
    <x v="1196"/>
    <x v="0"/>
    <x v="0"/>
    <x v="1"/>
    <x v="0"/>
    <x v="0"/>
    <x v="1"/>
  </r>
  <r>
    <x v="46"/>
    <x v="0"/>
    <x v="672"/>
    <x v="0"/>
    <x v="0"/>
    <x v="1"/>
    <x v="2"/>
    <x v="1"/>
    <x v="4"/>
  </r>
  <r>
    <x v="46"/>
    <x v="1"/>
    <x v="341"/>
    <x v="0"/>
    <x v="0"/>
    <x v="1"/>
    <x v="2"/>
    <x v="1"/>
    <x v="4"/>
  </r>
  <r>
    <x v="46"/>
    <x v="2"/>
    <x v="221"/>
    <x v="0"/>
    <x v="0"/>
    <x v="1"/>
    <x v="2"/>
    <x v="1"/>
    <x v="4"/>
  </r>
  <r>
    <x v="46"/>
    <x v="3"/>
    <x v="167"/>
    <x v="0"/>
    <x v="0"/>
    <x v="1"/>
    <x v="2"/>
    <x v="1"/>
    <x v="4"/>
  </r>
  <r>
    <x v="46"/>
    <x v="4"/>
    <x v="204"/>
    <x v="0"/>
    <x v="0"/>
    <x v="1"/>
    <x v="2"/>
    <x v="1"/>
    <x v="4"/>
  </r>
  <r>
    <x v="46"/>
    <x v="5"/>
    <x v="169"/>
    <x v="0"/>
    <x v="0"/>
    <x v="1"/>
    <x v="2"/>
    <x v="1"/>
    <x v="4"/>
  </r>
  <r>
    <x v="46"/>
    <x v="6"/>
    <x v="196"/>
    <x v="0"/>
    <x v="0"/>
    <x v="1"/>
    <x v="2"/>
    <x v="1"/>
    <x v="3"/>
  </r>
  <r>
    <x v="46"/>
    <x v="7"/>
    <x v="269"/>
    <x v="0"/>
    <x v="0"/>
    <x v="1"/>
    <x v="2"/>
    <x v="1"/>
    <x v="3"/>
  </r>
  <r>
    <x v="46"/>
    <x v="8"/>
    <x v="352"/>
    <x v="0"/>
    <x v="0"/>
    <x v="1"/>
    <x v="2"/>
    <x v="1"/>
    <x v="3"/>
  </r>
  <r>
    <x v="46"/>
    <x v="9"/>
    <x v="455"/>
    <x v="0"/>
    <x v="0"/>
    <x v="1"/>
    <x v="2"/>
    <x v="1"/>
    <x v="3"/>
  </r>
  <r>
    <x v="46"/>
    <x v="10"/>
    <x v="497"/>
    <x v="0"/>
    <x v="0"/>
    <x v="1"/>
    <x v="2"/>
    <x v="1"/>
    <x v="2"/>
  </r>
  <r>
    <x v="46"/>
    <x v="11"/>
    <x v="557"/>
    <x v="0"/>
    <x v="0"/>
    <x v="1"/>
    <x v="2"/>
    <x v="1"/>
    <x v="2"/>
  </r>
  <r>
    <x v="46"/>
    <x v="12"/>
    <x v="646"/>
    <x v="0"/>
    <x v="0"/>
    <x v="1"/>
    <x v="2"/>
    <x v="1"/>
    <x v="2"/>
  </r>
  <r>
    <x v="46"/>
    <x v="13"/>
    <x v="753"/>
    <x v="0"/>
    <x v="0"/>
    <x v="1"/>
    <x v="2"/>
    <x v="1"/>
    <x v="2"/>
  </r>
  <r>
    <x v="46"/>
    <x v="14"/>
    <x v="903"/>
    <x v="0"/>
    <x v="0"/>
    <x v="1"/>
    <x v="2"/>
    <x v="1"/>
    <x v="2"/>
  </r>
  <r>
    <x v="46"/>
    <x v="15"/>
    <x v="1199"/>
    <x v="0"/>
    <x v="0"/>
    <x v="1"/>
    <x v="2"/>
    <x v="1"/>
    <x v="2"/>
  </r>
  <r>
    <x v="46"/>
    <x v="16"/>
    <x v="1438"/>
    <x v="0"/>
    <x v="0"/>
    <x v="1"/>
    <x v="2"/>
    <x v="1"/>
    <x v="0"/>
  </r>
  <r>
    <x v="46"/>
    <x v="17"/>
    <x v="1481"/>
    <x v="0"/>
    <x v="0"/>
    <x v="1"/>
    <x v="2"/>
    <x v="1"/>
    <x v="0"/>
  </r>
  <r>
    <x v="46"/>
    <x v="18"/>
    <x v="1544"/>
    <x v="0"/>
    <x v="0"/>
    <x v="1"/>
    <x v="2"/>
    <x v="1"/>
    <x v="0"/>
  </r>
  <r>
    <x v="46"/>
    <x v="19"/>
    <x v="1363"/>
    <x v="0"/>
    <x v="0"/>
    <x v="1"/>
    <x v="2"/>
    <x v="1"/>
    <x v="0"/>
  </r>
  <r>
    <x v="46"/>
    <x v="20"/>
    <x v="1303"/>
    <x v="0"/>
    <x v="0"/>
    <x v="1"/>
    <x v="2"/>
    <x v="1"/>
    <x v="1"/>
  </r>
  <r>
    <x v="46"/>
    <x v="21"/>
    <x v="1535"/>
    <x v="0"/>
    <x v="0"/>
    <x v="1"/>
    <x v="2"/>
    <x v="1"/>
    <x v="1"/>
  </r>
  <r>
    <x v="46"/>
    <x v="22"/>
    <x v="1651"/>
    <x v="0"/>
    <x v="0"/>
    <x v="1"/>
    <x v="2"/>
    <x v="1"/>
    <x v="1"/>
  </r>
  <r>
    <x v="46"/>
    <x v="23"/>
    <x v="1651"/>
    <x v="0"/>
    <x v="0"/>
    <x v="1"/>
    <x v="2"/>
    <x v="1"/>
    <x v="1"/>
  </r>
  <r>
    <x v="47"/>
    <x v="0"/>
    <x v="1285"/>
    <x v="0"/>
    <x v="0"/>
    <x v="1"/>
    <x v="3"/>
    <x v="1"/>
    <x v="4"/>
  </r>
  <r>
    <x v="47"/>
    <x v="1"/>
    <x v="880"/>
    <x v="0"/>
    <x v="0"/>
    <x v="1"/>
    <x v="3"/>
    <x v="1"/>
    <x v="4"/>
  </r>
  <r>
    <x v="47"/>
    <x v="2"/>
    <x v="474"/>
    <x v="0"/>
    <x v="0"/>
    <x v="1"/>
    <x v="3"/>
    <x v="1"/>
    <x v="4"/>
  </r>
  <r>
    <x v="47"/>
    <x v="3"/>
    <x v="308"/>
    <x v="0"/>
    <x v="0"/>
    <x v="1"/>
    <x v="3"/>
    <x v="1"/>
    <x v="4"/>
  </r>
  <r>
    <x v="47"/>
    <x v="4"/>
    <x v="140"/>
    <x v="0"/>
    <x v="0"/>
    <x v="1"/>
    <x v="3"/>
    <x v="1"/>
    <x v="4"/>
  </r>
  <r>
    <x v="47"/>
    <x v="5"/>
    <x v="105"/>
    <x v="0"/>
    <x v="0"/>
    <x v="1"/>
    <x v="3"/>
    <x v="1"/>
    <x v="4"/>
  </r>
  <r>
    <x v="47"/>
    <x v="6"/>
    <x v="126"/>
    <x v="0"/>
    <x v="0"/>
    <x v="1"/>
    <x v="3"/>
    <x v="1"/>
    <x v="3"/>
  </r>
  <r>
    <x v="47"/>
    <x v="7"/>
    <x v="193"/>
    <x v="0"/>
    <x v="0"/>
    <x v="1"/>
    <x v="3"/>
    <x v="1"/>
    <x v="3"/>
  </r>
  <r>
    <x v="47"/>
    <x v="8"/>
    <x v="318"/>
    <x v="0"/>
    <x v="0"/>
    <x v="1"/>
    <x v="3"/>
    <x v="1"/>
    <x v="3"/>
  </r>
  <r>
    <x v="47"/>
    <x v="9"/>
    <x v="456"/>
    <x v="0"/>
    <x v="0"/>
    <x v="1"/>
    <x v="3"/>
    <x v="1"/>
    <x v="3"/>
  </r>
  <r>
    <x v="47"/>
    <x v="10"/>
    <x v="572"/>
    <x v="0"/>
    <x v="0"/>
    <x v="1"/>
    <x v="3"/>
    <x v="1"/>
    <x v="2"/>
  </r>
  <r>
    <x v="47"/>
    <x v="11"/>
    <x v="672"/>
    <x v="0"/>
    <x v="0"/>
    <x v="1"/>
    <x v="3"/>
    <x v="1"/>
    <x v="2"/>
  </r>
  <r>
    <x v="47"/>
    <x v="12"/>
    <x v="698"/>
    <x v="0"/>
    <x v="0"/>
    <x v="1"/>
    <x v="3"/>
    <x v="1"/>
    <x v="2"/>
  </r>
  <r>
    <x v="47"/>
    <x v="13"/>
    <x v="765"/>
    <x v="0"/>
    <x v="0"/>
    <x v="1"/>
    <x v="3"/>
    <x v="1"/>
    <x v="2"/>
  </r>
  <r>
    <x v="47"/>
    <x v="14"/>
    <x v="872"/>
    <x v="0"/>
    <x v="0"/>
    <x v="1"/>
    <x v="3"/>
    <x v="1"/>
    <x v="2"/>
  </r>
  <r>
    <x v="47"/>
    <x v="15"/>
    <x v="912"/>
    <x v="0"/>
    <x v="0"/>
    <x v="1"/>
    <x v="3"/>
    <x v="1"/>
    <x v="2"/>
  </r>
  <r>
    <x v="47"/>
    <x v="16"/>
    <x v="1054"/>
    <x v="0"/>
    <x v="0"/>
    <x v="1"/>
    <x v="3"/>
    <x v="1"/>
    <x v="0"/>
  </r>
  <r>
    <x v="47"/>
    <x v="17"/>
    <x v="931"/>
    <x v="0"/>
    <x v="0"/>
    <x v="1"/>
    <x v="3"/>
    <x v="1"/>
    <x v="0"/>
  </r>
  <r>
    <x v="47"/>
    <x v="18"/>
    <x v="749"/>
    <x v="0"/>
    <x v="0"/>
    <x v="1"/>
    <x v="3"/>
    <x v="1"/>
    <x v="0"/>
  </r>
  <r>
    <x v="47"/>
    <x v="19"/>
    <x v="679"/>
    <x v="0"/>
    <x v="0"/>
    <x v="1"/>
    <x v="3"/>
    <x v="1"/>
    <x v="0"/>
  </r>
  <r>
    <x v="47"/>
    <x v="20"/>
    <x v="673"/>
    <x v="0"/>
    <x v="0"/>
    <x v="1"/>
    <x v="3"/>
    <x v="1"/>
    <x v="1"/>
  </r>
  <r>
    <x v="47"/>
    <x v="21"/>
    <x v="652"/>
    <x v="0"/>
    <x v="0"/>
    <x v="1"/>
    <x v="3"/>
    <x v="1"/>
    <x v="1"/>
  </r>
  <r>
    <x v="47"/>
    <x v="22"/>
    <x v="432"/>
    <x v="0"/>
    <x v="0"/>
    <x v="1"/>
    <x v="3"/>
    <x v="1"/>
    <x v="1"/>
  </r>
  <r>
    <x v="47"/>
    <x v="23"/>
    <x v="245"/>
    <x v="0"/>
    <x v="0"/>
    <x v="1"/>
    <x v="3"/>
    <x v="1"/>
    <x v="1"/>
  </r>
  <r>
    <x v="48"/>
    <x v="0"/>
    <x v="75"/>
    <x v="0"/>
    <x v="0"/>
    <x v="1"/>
    <x v="1"/>
    <x v="0"/>
    <x v="4"/>
  </r>
  <r>
    <x v="48"/>
    <x v="1"/>
    <x v="23"/>
    <x v="0"/>
    <x v="0"/>
    <x v="1"/>
    <x v="1"/>
    <x v="0"/>
    <x v="4"/>
  </r>
  <r>
    <x v="48"/>
    <x v="2"/>
    <x v="12"/>
    <x v="0"/>
    <x v="0"/>
    <x v="1"/>
    <x v="1"/>
    <x v="0"/>
    <x v="4"/>
  </r>
  <r>
    <x v="48"/>
    <x v="3"/>
    <x v="86"/>
    <x v="0"/>
    <x v="0"/>
    <x v="1"/>
    <x v="1"/>
    <x v="0"/>
    <x v="4"/>
  </r>
  <r>
    <x v="48"/>
    <x v="4"/>
    <x v="239"/>
    <x v="0"/>
    <x v="0"/>
    <x v="1"/>
    <x v="1"/>
    <x v="0"/>
    <x v="4"/>
  </r>
  <r>
    <x v="48"/>
    <x v="5"/>
    <x v="384"/>
    <x v="0"/>
    <x v="0"/>
    <x v="1"/>
    <x v="1"/>
    <x v="0"/>
    <x v="4"/>
  </r>
  <r>
    <x v="48"/>
    <x v="6"/>
    <x v="798"/>
    <x v="0"/>
    <x v="0"/>
    <x v="1"/>
    <x v="1"/>
    <x v="0"/>
    <x v="3"/>
  </r>
  <r>
    <x v="48"/>
    <x v="7"/>
    <x v="963"/>
    <x v="0"/>
    <x v="0"/>
    <x v="1"/>
    <x v="1"/>
    <x v="0"/>
    <x v="3"/>
  </r>
  <r>
    <x v="48"/>
    <x v="8"/>
    <x v="868"/>
    <x v="0"/>
    <x v="0"/>
    <x v="1"/>
    <x v="1"/>
    <x v="0"/>
    <x v="3"/>
  </r>
  <r>
    <x v="48"/>
    <x v="9"/>
    <x v="577"/>
    <x v="0"/>
    <x v="0"/>
    <x v="1"/>
    <x v="1"/>
    <x v="0"/>
    <x v="3"/>
  </r>
  <r>
    <x v="48"/>
    <x v="10"/>
    <x v="507"/>
    <x v="0"/>
    <x v="0"/>
    <x v="1"/>
    <x v="1"/>
    <x v="0"/>
    <x v="2"/>
  </r>
  <r>
    <x v="48"/>
    <x v="11"/>
    <x v="562"/>
    <x v="0"/>
    <x v="0"/>
    <x v="1"/>
    <x v="1"/>
    <x v="0"/>
    <x v="2"/>
  </r>
  <r>
    <x v="48"/>
    <x v="12"/>
    <x v="576"/>
    <x v="0"/>
    <x v="0"/>
    <x v="1"/>
    <x v="1"/>
    <x v="0"/>
    <x v="2"/>
  </r>
  <r>
    <x v="48"/>
    <x v="13"/>
    <x v="730"/>
    <x v="0"/>
    <x v="0"/>
    <x v="1"/>
    <x v="1"/>
    <x v="0"/>
    <x v="2"/>
  </r>
  <r>
    <x v="48"/>
    <x v="14"/>
    <x v="1006"/>
    <x v="0"/>
    <x v="0"/>
    <x v="1"/>
    <x v="1"/>
    <x v="0"/>
    <x v="2"/>
  </r>
  <r>
    <x v="48"/>
    <x v="15"/>
    <x v="1152"/>
    <x v="0"/>
    <x v="0"/>
    <x v="1"/>
    <x v="1"/>
    <x v="0"/>
    <x v="2"/>
  </r>
  <r>
    <x v="48"/>
    <x v="16"/>
    <x v="1300"/>
    <x v="0"/>
    <x v="0"/>
    <x v="1"/>
    <x v="1"/>
    <x v="0"/>
    <x v="0"/>
  </r>
  <r>
    <x v="48"/>
    <x v="17"/>
    <x v="1409"/>
    <x v="0"/>
    <x v="0"/>
    <x v="1"/>
    <x v="1"/>
    <x v="0"/>
    <x v="0"/>
  </r>
  <r>
    <x v="48"/>
    <x v="18"/>
    <x v="1098"/>
    <x v="0"/>
    <x v="0"/>
    <x v="1"/>
    <x v="1"/>
    <x v="0"/>
    <x v="0"/>
  </r>
  <r>
    <x v="48"/>
    <x v="19"/>
    <x v="911"/>
    <x v="0"/>
    <x v="0"/>
    <x v="1"/>
    <x v="1"/>
    <x v="0"/>
    <x v="0"/>
  </r>
  <r>
    <x v="48"/>
    <x v="20"/>
    <x v="965"/>
    <x v="0"/>
    <x v="0"/>
    <x v="1"/>
    <x v="1"/>
    <x v="0"/>
    <x v="1"/>
  </r>
  <r>
    <x v="48"/>
    <x v="21"/>
    <x v="893"/>
    <x v="0"/>
    <x v="0"/>
    <x v="1"/>
    <x v="1"/>
    <x v="0"/>
    <x v="1"/>
  </r>
  <r>
    <x v="48"/>
    <x v="22"/>
    <x v="513"/>
    <x v="0"/>
    <x v="0"/>
    <x v="1"/>
    <x v="1"/>
    <x v="0"/>
    <x v="1"/>
  </r>
  <r>
    <x v="48"/>
    <x v="23"/>
    <x v="270"/>
    <x v="0"/>
    <x v="0"/>
    <x v="1"/>
    <x v="1"/>
    <x v="0"/>
    <x v="1"/>
  </r>
  <r>
    <x v="49"/>
    <x v="0"/>
    <x v="109"/>
    <x v="0"/>
    <x v="0"/>
    <x v="1"/>
    <x v="5"/>
    <x v="0"/>
    <x v="4"/>
  </r>
  <r>
    <x v="49"/>
    <x v="1"/>
    <x v="31"/>
    <x v="0"/>
    <x v="0"/>
    <x v="1"/>
    <x v="5"/>
    <x v="0"/>
    <x v="4"/>
  </r>
  <r>
    <x v="49"/>
    <x v="2"/>
    <x v="17"/>
    <x v="0"/>
    <x v="0"/>
    <x v="1"/>
    <x v="5"/>
    <x v="0"/>
    <x v="4"/>
  </r>
  <r>
    <x v="49"/>
    <x v="3"/>
    <x v="80"/>
    <x v="0"/>
    <x v="0"/>
    <x v="1"/>
    <x v="5"/>
    <x v="0"/>
    <x v="4"/>
  </r>
  <r>
    <x v="49"/>
    <x v="4"/>
    <x v="149"/>
    <x v="0"/>
    <x v="0"/>
    <x v="1"/>
    <x v="5"/>
    <x v="0"/>
    <x v="4"/>
  </r>
  <r>
    <x v="49"/>
    <x v="5"/>
    <x v="309"/>
    <x v="0"/>
    <x v="0"/>
    <x v="1"/>
    <x v="5"/>
    <x v="0"/>
    <x v="4"/>
  </r>
  <r>
    <x v="49"/>
    <x v="6"/>
    <x v="739"/>
    <x v="0"/>
    <x v="0"/>
    <x v="1"/>
    <x v="5"/>
    <x v="0"/>
    <x v="3"/>
  </r>
  <r>
    <x v="49"/>
    <x v="7"/>
    <x v="1006"/>
    <x v="0"/>
    <x v="0"/>
    <x v="1"/>
    <x v="5"/>
    <x v="0"/>
    <x v="3"/>
  </r>
  <r>
    <x v="49"/>
    <x v="8"/>
    <x v="849"/>
    <x v="0"/>
    <x v="0"/>
    <x v="1"/>
    <x v="5"/>
    <x v="0"/>
    <x v="3"/>
  </r>
  <r>
    <x v="49"/>
    <x v="9"/>
    <x v="626"/>
    <x v="0"/>
    <x v="0"/>
    <x v="1"/>
    <x v="5"/>
    <x v="0"/>
    <x v="3"/>
  </r>
  <r>
    <x v="49"/>
    <x v="10"/>
    <x v="604"/>
    <x v="0"/>
    <x v="0"/>
    <x v="1"/>
    <x v="5"/>
    <x v="0"/>
    <x v="2"/>
  </r>
  <r>
    <x v="49"/>
    <x v="11"/>
    <x v="644"/>
    <x v="0"/>
    <x v="0"/>
    <x v="1"/>
    <x v="5"/>
    <x v="0"/>
    <x v="2"/>
  </r>
  <r>
    <x v="49"/>
    <x v="12"/>
    <x v="678"/>
    <x v="0"/>
    <x v="0"/>
    <x v="1"/>
    <x v="5"/>
    <x v="0"/>
    <x v="2"/>
  </r>
  <r>
    <x v="49"/>
    <x v="13"/>
    <x v="849"/>
    <x v="0"/>
    <x v="0"/>
    <x v="1"/>
    <x v="5"/>
    <x v="0"/>
    <x v="2"/>
  </r>
  <r>
    <x v="49"/>
    <x v="14"/>
    <x v="1071"/>
    <x v="0"/>
    <x v="0"/>
    <x v="1"/>
    <x v="5"/>
    <x v="0"/>
    <x v="2"/>
  </r>
  <r>
    <x v="49"/>
    <x v="15"/>
    <x v="1273"/>
    <x v="0"/>
    <x v="0"/>
    <x v="1"/>
    <x v="5"/>
    <x v="0"/>
    <x v="2"/>
  </r>
  <r>
    <x v="49"/>
    <x v="16"/>
    <x v="1441"/>
    <x v="0"/>
    <x v="0"/>
    <x v="1"/>
    <x v="5"/>
    <x v="0"/>
    <x v="0"/>
  </r>
  <r>
    <x v="49"/>
    <x v="17"/>
    <x v="1628"/>
    <x v="0"/>
    <x v="0"/>
    <x v="1"/>
    <x v="5"/>
    <x v="0"/>
    <x v="0"/>
  </r>
  <r>
    <x v="49"/>
    <x v="18"/>
    <x v="1364"/>
    <x v="0"/>
    <x v="0"/>
    <x v="1"/>
    <x v="5"/>
    <x v="0"/>
    <x v="0"/>
  </r>
  <r>
    <x v="49"/>
    <x v="19"/>
    <x v="1204"/>
    <x v="0"/>
    <x v="0"/>
    <x v="1"/>
    <x v="5"/>
    <x v="0"/>
    <x v="0"/>
  </r>
  <r>
    <x v="49"/>
    <x v="20"/>
    <x v="1286"/>
    <x v="0"/>
    <x v="0"/>
    <x v="1"/>
    <x v="5"/>
    <x v="0"/>
    <x v="1"/>
  </r>
  <r>
    <x v="49"/>
    <x v="21"/>
    <x v="1158"/>
    <x v="0"/>
    <x v="0"/>
    <x v="1"/>
    <x v="5"/>
    <x v="0"/>
    <x v="1"/>
  </r>
  <r>
    <x v="49"/>
    <x v="22"/>
    <x v="786"/>
    <x v="0"/>
    <x v="0"/>
    <x v="1"/>
    <x v="5"/>
    <x v="0"/>
    <x v="1"/>
  </r>
  <r>
    <x v="49"/>
    <x v="23"/>
    <x v="376"/>
    <x v="0"/>
    <x v="0"/>
    <x v="1"/>
    <x v="5"/>
    <x v="0"/>
    <x v="1"/>
  </r>
  <r>
    <x v="50"/>
    <x v="0"/>
    <x v="142"/>
    <x v="0"/>
    <x v="0"/>
    <x v="1"/>
    <x v="6"/>
    <x v="0"/>
    <x v="4"/>
  </r>
  <r>
    <x v="50"/>
    <x v="1"/>
    <x v="65"/>
    <x v="0"/>
    <x v="0"/>
    <x v="1"/>
    <x v="6"/>
    <x v="0"/>
    <x v="4"/>
  </r>
  <r>
    <x v="50"/>
    <x v="2"/>
    <x v="35"/>
    <x v="0"/>
    <x v="0"/>
    <x v="1"/>
    <x v="6"/>
    <x v="0"/>
    <x v="4"/>
  </r>
  <r>
    <x v="50"/>
    <x v="3"/>
    <x v="104"/>
    <x v="0"/>
    <x v="0"/>
    <x v="1"/>
    <x v="6"/>
    <x v="0"/>
    <x v="4"/>
  </r>
  <r>
    <x v="50"/>
    <x v="4"/>
    <x v="165"/>
    <x v="0"/>
    <x v="0"/>
    <x v="1"/>
    <x v="6"/>
    <x v="0"/>
    <x v="4"/>
  </r>
  <r>
    <x v="50"/>
    <x v="5"/>
    <x v="311"/>
    <x v="0"/>
    <x v="0"/>
    <x v="1"/>
    <x v="6"/>
    <x v="0"/>
    <x v="4"/>
  </r>
  <r>
    <x v="50"/>
    <x v="6"/>
    <x v="829"/>
    <x v="0"/>
    <x v="0"/>
    <x v="1"/>
    <x v="6"/>
    <x v="0"/>
    <x v="3"/>
  </r>
  <r>
    <x v="50"/>
    <x v="7"/>
    <x v="1075"/>
    <x v="0"/>
    <x v="0"/>
    <x v="1"/>
    <x v="6"/>
    <x v="0"/>
    <x v="3"/>
  </r>
  <r>
    <x v="50"/>
    <x v="8"/>
    <x v="937"/>
    <x v="0"/>
    <x v="0"/>
    <x v="1"/>
    <x v="6"/>
    <x v="0"/>
    <x v="3"/>
  </r>
  <r>
    <x v="50"/>
    <x v="9"/>
    <x v="634"/>
    <x v="0"/>
    <x v="0"/>
    <x v="1"/>
    <x v="6"/>
    <x v="0"/>
    <x v="3"/>
  </r>
  <r>
    <x v="50"/>
    <x v="10"/>
    <x v="661"/>
    <x v="0"/>
    <x v="0"/>
    <x v="1"/>
    <x v="6"/>
    <x v="0"/>
    <x v="2"/>
  </r>
  <r>
    <x v="50"/>
    <x v="11"/>
    <x v="719"/>
    <x v="0"/>
    <x v="0"/>
    <x v="1"/>
    <x v="6"/>
    <x v="0"/>
    <x v="2"/>
  </r>
  <r>
    <x v="50"/>
    <x v="12"/>
    <x v="846"/>
    <x v="0"/>
    <x v="0"/>
    <x v="1"/>
    <x v="6"/>
    <x v="0"/>
    <x v="2"/>
  </r>
  <r>
    <x v="50"/>
    <x v="13"/>
    <x v="912"/>
    <x v="0"/>
    <x v="0"/>
    <x v="1"/>
    <x v="6"/>
    <x v="0"/>
    <x v="2"/>
  </r>
  <r>
    <x v="50"/>
    <x v="14"/>
    <x v="1281"/>
    <x v="0"/>
    <x v="0"/>
    <x v="1"/>
    <x v="6"/>
    <x v="0"/>
    <x v="2"/>
  </r>
  <r>
    <x v="50"/>
    <x v="15"/>
    <x v="1497"/>
    <x v="0"/>
    <x v="0"/>
    <x v="1"/>
    <x v="6"/>
    <x v="0"/>
    <x v="2"/>
  </r>
  <r>
    <x v="50"/>
    <x v="16"/>
    <x v="1725"/>
    <x v="0"/>
    <x v="0"/>
    <x v="1"/>
    <x v="6"/>
    <x v="0"/>
    <x v="0"/>
  </r>
  <r>
    <x v="50"/>
    <x v="17"/>
    <x v="1880"/>
    <x v="0"/>
    <x v="0"/>
    <x v="1"/>
    <x v="6"/>
    <x v="0"/>
    <x v="0"/>
  </r>
  <r>
    <x v="50"/>
    <x v="18"/>
    <x v="1614"/>
    <x v="0"/>
    <x v="0"/>
    <x v="1"/>
    <x v="6"/>
    <x v="0"/>
    <x v="0"/>
  </r>
  <r>
    <x v="50"/>
    <x v="19"/>
    <x v="1311"/>
    <x v="0"/>
    <x v="0"/>
    <x v="1"/>
    <x v="6"/>
    <x v="0"/>
    <x v="0"/>
  </r>
  <r>
    <x v="50"/>
    <x v="20"/>
    <x v="1305"/>
    <x v="0"/>
    <x v="0"/>
    <x v="1"/>
    <x v="6"/>
    <x v="0"/>
    <x v="1"/>
  </r>
  <r>
    <x v="50"/>
    <x v="21"/>
    <x v="1335"/>
    <x v="0"/>
    <x v="0"/>
    <x v="1"/>
    <x v="6"/>
    <x v="0"/>
    <x v="1"/>
  </r>
  <r>
    <x v="50"/>
    <x v="22"/>
    <x v="881"/>
    <x v="0"/>
    <x v="0"/>
    <x v="1"/>
    <x v="6"/>
    <x v="0"/>
    <x v="1"/>
  </r>
  <r>
    <x v="50"/>
    <x v="23"/>
    <x v="405"/>
    <x v="0"/>
    <x v="0"/>
    <x v="1"/>
    <x v="6"/>
    <x v="0"/>
    <x v="1"/>
  </r>
  <r>
    <x v="51"/>
    <x v="0"/>
    <x v="183"/>
    <x v="0"/>
    <x v="0"/>
    <x v="1"/>
    <x v="4"/>
    <x v="0"/>
    <x v="4"/>
  </r>
  <r>
    <x v="51"/>
    <x v="1"/>
    <x v="94"/>
    <x v="0"/>
    <x v="0"/>
    <x v="1"/>
    <x v="4"/>
    <x v="0"/>
    <x v="4"/>
  </r>
  <r>
    <x v="51"/>
    <x v="2"/>
    <x v="88"/>
    <x v="0"/>
    <x v="0"/>
    <x v="1"/>
    <x v="4"/>
    <x v="0"/>
    <x v="4"/>
  </r>
  <r>
    <x v="51"/>
    <x v="3"/>
    <x v="167"/>
    <x v="0"/>
    <x v="0"/>
    <x v="1"/>
    <x v="4"/>
    <x v="0"/>
    <x v="4"/>
  </r>
  <r>
    <x v="51"/>
    <x v="4"/>
    <x v="211"/>
    <x v="0"/>
    <x v="0"/>
    <x v="1"/>
    <x v="4"/>
    <x v="0"/>
    <x v="4"/>
  </r>
  <r>
    <x v="51"/>
    <x v="5"/>
    <x v="426"/>
    <x v="0"/>
    <x v="0"/>
    <x v="1"/>
    <x v="4"/>
    <x v="0"/>
    <x v="4"/>
  </r>
  <r>
    <x v="51"/>
    <x v="6"/>
    <x v="911"/>
    <x v="0"/>
    <x v="0"/>
    <x v="1"/>
    <x v="4"/>
    <x v="0"/>
    <x v="3"/>
  </r>
  <r>
    <x v="51"/>
    <x v="7"/>
    <x v="1231"/>
    <x v="0"/>
    <x v="0"/>
    <x v="1"/>
    <x v="4"/>
    <x v="0"/>
    <x v="3"/>
  </r>
  <r>
    <x v="51"/>
    <x v="8"/>
    <x v="1174"/>
    <x v="0"/>
    <x v="0"/>
    <x v="1"/>
    <x v="4"/>
    <x v="0"/>
    <x v="3"/>
  </r>
  <r>
    <x v="51"/>
    <x v="9"/>
    <x v="752"/>
    <x v="0"/>
    <x v="0"/>
    <x v="1"/>
    <x v="4"/>
    <x v="0"/>
    <x v="3"/>
  </r>
  <r>
    <x v="51"/>
    <x v="10"/>
    <x v="816"/>
    <x v="0"/>
    <x v="0"/>
    <x v="1"/>
    <x v="4"/>
    <x v="0"/>
    <x v="2"/>
  </r>
  <r>
    <x v="51"/>
    <x v="11"/>
    <x v="821"/>
    <x v="0"/>
    <x v="0"/>
    <x v="1"/>
    <x v="4"/>
    <x v="0"/>
    <x v="2"/>
  </r>
  <r>
    <x v="51"/>
    <x v="12"/>
    <x v="928"/>
    <x v="0"/>
    <x v="0"/>
    <x v="1"/>
    <x v="4"/>
    <x v="0"/>
    <x v="2"/>
  </r>
  <r>
    <x v="51"/>
    <x v="13"/>
    <x v="1063"/>
    <x v="0"/>
    <x v="0"/>
    <x v="1"/>
    <x v="4"/>
    <x v="0"/>
    <x v="2"/>
  </r>
  <r>
    <x v="51"/>
    <x v="14"/>
    <x v="1228"/>
    <x v="0"/>
    <x v="0"/>
    <x v="1"/>
    <x v="4"/>
    <x v="0"/>
    <x v="2"/>
  </r>
  <r>
    <x v="51"/>
    <x v="15"/>
    <x v="1421"/>
    <x v="0"/>
    <x v="0"/>
    <x v="1"/>
    <x v="4"/>
    <x v="0"/>
    <x v="2"/>
  </r>
  <r>
    <x v="51"/>
    <x v="16"/>
    <x v="1650"/>
    <x v="0"/>
    <x v="0"/>
    <x v="1"/>
    <x v="4"/>
    <x v="0"/>
    <x v="0"/>
  </r>
  <r>
    <x v="51"/>
    <x v="17"/>
    <x v="2021"/>
    <x v="0"/>
    <x v="0"/>
    <x v="1"/>
    <x v="4"/>
    <x v="0"/>
    <x v="0"/>
  </r>
  <r>
    <x v="51"/>
    <x v="18"/>
    <x v="1853"/>
    <x v="0"/>
    <x v="0"/>
    <x v="1"/>
    <x v="4"/>
    <x v="0"/>
    <x v="0"/>
  </r>
  <r>
    <x v="51"/>
    <x v="19"/>
    <x v="1483"/>
    <x v="0"/>
    <x v="0"/>
    <x v="1"/>
    <x v="4"/>
    <x v="0"/>
    <x v="0"/>
  </r>
  <r>
    <x v="51"/>
    <x v="20"/>
    <x v="1534"/>
    <x v="0"/>
    <x v="0"/>
    <x v="1"/>
    <x v="4"/>
    <x v="0"/>
    <x v="1"/>
  </r>
  <r>
    <x v="51"/>
    <x v="21"/>
    <x v="1549"/>
    <x v="0"/>
    <x v="0"/>
    <x v="1"/>
    <x v="4"/>
    <x v="0"/>
    <x v="1"/>
  </r>
  <r>
    <x v="51"/>
    <x v="22"/>
    <x v="1284"/>
    <x v="0"/>
    <x v="0"/>
    <x v="1"/>
    <x v="4"/>
    <x v="0"/>
    <x v="1"/>
  </r>
  <r>
    <x v="51"/>
    <x v="23"/>
    <x v="776"/>
    <x v="0"/>
    <x v="0"/>
    <x v="1"/>
    <x v="4"/>
    <x v="0"/>
    <x v="1"/>
  </r>
  <r>
    <x v="52"/>
    <x v="0"/>
    <x v="360"/>
    <x v="0"/>
    <x v="0"/>
    <x v="1"/>
    <x v="0"/>
    <x v="0"/>
    <x v="4"/>
  </r>
  <r>
    <x v="52"/>
    <x v="1"/>
    <x v="176"/>
    <x v="0"/>
    <x v="0"/>
    <x v="1"/>
    <x v="0"/>
    <x v="0"/>
    <x v="4"/>
  </r>
  <r>
    <x v="52"/>
    <x v="2"/>
    <x v="90"/>
    <x v="0"/>
    <x v="0"/>
    <x v="1"/>
    <x v="0"/>
    <x v="0"/>
    <x v="4"/>
  </r>
  <r>
    <x v="52"/>
    <x v="3"/>
    <x v="172"/>
    <x v="0"/>
    <x v="0"/>
    <x v="1"/>
    <x v="0"/>
    <x v="0"/>
    <x v="4"/>
  </r>
  <r>
    <x v="52"/>
    <x v="4"/>
    <x v="227"/>
    <x v="0"/>
    <x v="0"/>
    <x v="1"/>
    <x v="0"/>
    <x v="0"/>
    <x v="4"/>
  </r>
  <r>
    <x v="52"/>
    <x v="5"/>
    <x v="346"/>
    <x v="0"/>
    <x v="0"/>
    <x v="1"/>
    <x v="0"/>
    <x v="0"/>
    <x v="4"/>
  </r>
  <r>
    <x v="52"/>
    <x v="6"/>
    <x v="691"/>
    <x v="0"/>
    <x v="0"/>
    <x v="1"/>
    <x v="0"/>
    <x v="0"/>
    <x v="3"/>
  </r>
  <r>
    <x v="52"/>
    <x v="7"/>
    <x v="943"/>
    <x v="0"/>
    <x v="0"/>
    <x v="1"/>
    <x v="0"/>
    <x v="0"/>
    <x v="3"/>
  </r>
  <r>
    <x v="52"/>
    <x v="8"/>
    <x v="827"/>
    <x v="0"/>
    <x v="0"/>
    <x v="1"/>
    <x v="0"/>
    <x v="0"/>
    <x v="3"/>
  </r>
  <r>
    <x v="52"/>
    <x v="9"/>
    <x v="642"/>
    <x v="0"/>
    <x v="0"/>
    <x v="1"/>
    <x v="0"/>
    <x v="0"/>
    <x v="3"/>
  </r>
  <r>
    <x v="52"/>
    <x v="10"/>
    <x v="578"/>
    <x v="0"/>
    <x v="0"/>
    <x v="1"/>
    <x v="0"/>
    <x v="0"/>
    <x v="2"/>
  </r>
  <r>
    <x v="52"/>
    <x v="11"/>
    <x v="707"/>
    <x v="0"/>
    <x v="0"/>
    <x v="1"/>
    <x v="0"/>
    <x v="0"/>
    <x v="2"/>
  </r>
  <r>
    <x v="52"/>
    <x v="12"/>
    <x v="743"/>
    <x v="0"/>
    <x v="0"/>
    <x v="1"/>
    <x v="0"/>
    <x v="0"/>
    <x v="2"/>
  </r>
  <r>
    <x v="52"/>
    <x v="13"/>
    <x v="844"/>
    <x v="0"/>
    <x v="0"/>
    <x v="1"/>
    <x v="0"/>
    <x v="0"/>
    <x v="2"/>
  </r>
  <r>
    <x v="52"/>
    <x v="14"/>
    <x v="1140"/>
    <x v="0"/>
    <x v="0"/>
    <x v="1"/>
    <x v="0"/>
    <x v="0"/>
    <x v="2"/>
  </r>
  <r>
    <x v="52"/>
    <x v="15"/>
    <x v="1518"/>
    <x v="0"/>
    <x v="0"/>
    <x v="1"/>
    <x v="0"/>
    <x v="0"/>
    <x v="2"/>
  </r>
  <r>
    <x v="52"/>
    <x v="16"/>
    <x v="1306"/>
    <x v="0"/>
    <x v="0"/>
    <x v="1"/>
    <x v="0"/>
    <x v="0"/>
    <x v="0"/>
  </r>
  <r>
    <x v="52"/>
    <x v="17"/>
    <x v="976"/>
    <x v="0"/>
    <x v="0"/>
    <x v="1"/>
    <x v="0"/>
    <x v="0"/>
    <x v="0"/>
  </r>
  <r>
    <x v="52"/>
    <x v="18"/>
    <x v="1636"/>
    <x v="0"/>
    <x v="0"/>
    <x v="1"/>
    <x v="0"/>
    <x v="0"/>
    <x v="0"/>
  </r>
  <r>
    <x v="52"/>
    <x v="19"/>
    <x v="2170"/>
    <x v="0"/>
    <x v="0"/>
    <x v="1"/>
    <x v="0"/>
    <x v="0"/>
    <x v="0"/>
  </r>
  <r>
    <x v="52"/>
    <x v="20"/>
    <x v="2095"/>
    <x v="0"/>
    <x v="0"/>
    <x v="1"/>
    <x v="0"/>
    <x v="0"/>
    <x v="1"/>
  </r>
  <r>
    <x v="52"/>
    <x v="21"/>
    <x v="1799"/>
    <x v="0"/>
    <x v="0"/>
    <x v="1"/>
    <x v="0"/>
    <x v="0"/>
    <x v="1"/>
  </r>
  <r>
    <x v="52"/>
    <x v="22"/>
    <x v="1787"/>
    <x v="0"/>
    <x v="0"/>
    <x v="1"/>
    <x v="0"/>
    <x v="0"/>
    <x v="1"/>
  </r>
  <r>
    <x v="52"/>
    <x v="23"/>
    <x v="1341"/>
    <x v="0"/>
    <x v="0"/>
    <x v="1"/>
    <x v="0"/>
    <x v="0"/>
    <x v="1"/>
  </r>
  <r>
    <x v="53"/>
    <x v="0"/>
    <x v="599"/>
    <x v="0"/>
    <x v="0"/>
    <x v="1"/>
    <x v="2"/>
    <x v="1"/>
    <x v="4"/>
  </r>
  <r>
    <x v="53"/>
    <x v="1"/>
    <x v="285"/>
    <x v="0"/>
    <x v="0"/>
    <x v="1"/>
    <x v="2"/>
    <x v="1"/>
    <x v="4"/>
  </r>
  <r>
    <x v="53"/>
    <x v="2"/>
    <x v="177"/>
    <x v="0"/>
    <x v="0"/>
    <x v="1"/>
    <x v="2"/>
    <x v="1"/>
    <x v="4"/>
  </r>
  <r>
    <x v="53"/>
    <x v="3"/>
    <x v="153"/>
    <x v="0"/>
    <x v="0"/>
    <x v="1"/>
    <x v="2"/>
    <x v="1"/>
    <x v="4"/>
  </r>
  <r>
    <x v="53"/>
    <x v="4"/>
    <x v="104"/>
    <x v="0"/>
    <x v="0"/>
    <x v="1"/>
    <x v="2"/>
    <x v="1"/>
    <x v="4"/>
  </r>
  <r>
    <x v="53"/>
    <x v="5"/>
    <x v="139"/>
    <x v="0"/>
    <x v="0"/>
    <x v="1"/>
    <x v="2"/>
    <x v="1"/>
    <x v="4"/>
  </r>
  <r>
    <x v="53"/>
    <x v="6"/>
    <x v="145"/>
    <x v="0"/>
    <x v="0"/>
    <x v="1"/>
    <x v="2"/>
    <x v="1"/>
    <x v="3"/>
  </r>
  <r>
    <x v="53"/>
    <x v="7"/>
    <x v="199"/>
    <x v="0"/>
    <x v="0"/>
    <x v="1"/>
    <x v="2"/>
    <x v="1"/>
    <x v="3"/>
  </r>
  <r>
    <x v="53"/>
    <x v="8"/>
    <x v="293"/>
    <x v="0"/>
    <x v="0"/>
    <x v="1"/>
    <x v="2"/>
    <x v="1"/>
    <x v="3"/>
  </r>
  <r>
    <x v="53"/>
    <x v="9"/>
    <x v="344"/>
    <x v="0"/>
    <x v="0"/>
    <x v="1"/>
    <x v="2"/>
    <x v="1"/>
    <x v="3"/>
  </r>
  <r>
    <x v="53"/>
    <x v="10"/>
    <x v="389"/>
    <x v="0"/>
    <x v="0"/>
    <x v="1"/>
    <x v="2"/>
    <x v="1"/>
    <x v="2"/>
  </r>
  <r>
    <x v="53"/>
    <x v="11"/>
    <x v="439"/>
    <x v="0"/>
    <x v="0"/>
    <x v="1"/>
    <x v="2"/>
    <x v="1"/>
    <x v="2"/>
  </r>
  <r>
    <x v="53"/>
    <x v="12"/>
    <x v="466"/>
    <x v="0"/>
    <x v="0"/>
    <x v="1"/>
    <x v="2"/>
    <x v="1"/>
    <x v="2"/>
  </r>
  <r>
    <x v="53"/>
    <x v="13"/>
    <x v="486"/>
    <x v="0"/>
    <x v="0"/>
    <x v="1"/>
    <x v="2"/>
    <x v="1"/>
    <x v="2"/>
  </r>
  <r>
    <x v="53"/>
    <x v="14"/>
    <x v="534"/>
    <x v="0"/>
    <x v="0"/>
    <x v="1"/>
    <x v="2"/>
    <x v="1"/>
    <x v="2"/>
  </r>
  <r>
    <x v="53"/>
    <x v="15"/>
    <x v="1004"/>
    <x v="0"/>
    <x v="0"/>
    <x v="1"/>
    <x v="2"/>
    <x v="1"/>
    <x v="2"/>
  </r>
  <r>
    <x v="53"/>
    <x v="16"/>
    <x v="1511"/>
    <x v="0"/>
    <x v="0"/>
    <x v="1"/>
    <x v="2"/>
    <x v="1"/>
    <x v="0"/>
  </r>
  <r>
    <x v="53"/>
    <x v="17"/>
    <x v="1036"/>
    <x v="0"/>
    <x v="0"/>
    <x v="1"/>
    <x v="2"/>
    <x v="1"/>
    <x v="0"/>
  </r>
  <r>
    <x v="53"/>
    <x v="18"/>
    <x v="771"/>
    <x v="0"/>
    <x v="0"/>
    <x v="1"/>
    <x v="2"/>
    <x v="1"/>
    <x v="0"/>
  </r>
  <r>
    <x v="53"/>
    <x v="19"/>
    <x v="646"/>
    <x v="0"/>
    <x v="0"/>
    <x v="1"/>
    <x v="2"/>
    <x v="1"/>
    <x v="0"/>
  </r>
  <r>
    <x v="53"/>
    <x v="20"/>
    <x v="628"/>
    <x v="0"/>
    <x v="0"/>
    <x v="1"/>
    <x v="2"/>
    <x v="1"/>
    <x v="1"/>
  </r>
  <r>
    <x v="53"/>
    <x v="21"/>
    <x v="684"/>
    <x v="0"/>
    <x v="0"/>
    <x v="1"/>
    <x v="2"/>
    <x v="1"/>
    <x v="1"/>
  </r>
  <r>
    <x v="53"/>
    <x v="22"/>
    <x v="792"/>
    <x v="0"/>
    <x v="0"/>
    <x v="1"/>
    <x v="2"/>
    <x v="1"/>
    <x v="1"/>
  </r>
  <r>
    <x v="53"/>
    <x v="23"/>
    <x v="588"/>
    <x v="0"/>
    <x v="0"/>
    <x v="1"/>
    <x v="2"/>
    <x v="1"/>
    <x v="1"/>
  </r>
  <r>
    <x v="54"/>
    <x v="0"/>
    <x v="381"/>
    <x v="0"/>
    <x v="0"/>
    <x v="1"/>
    <x v="3"/>
    <x v="1"/>
    <x v="4"/>
  </r>
  <r>
    <x v="54"/>
    <x v="1"/>
    <x v="272"/>
    <x v="0"/>
    <x v="0"/>
    <x v="1"/>
    <x v="3"/>
    <x v="1"/>
    <x v="4"/>
  </r>
  <r>
    <x v="54"/>
    <x v="2"/>
    <x v="164"/>
    <x v="0"/>
    <x v="0"/>
    <x v="1"/>
    <x v="3"/>
    <x v="1"/>
    <x v="4"/>
  </r>
  <r>
    <x v="54"/>
    <x v="3"/>
    <x v="128"/>
    <x v="0"/>
    <x v="0"/>
    <x v="1"/>
    <x v="3"/>
    <x v="1"/>
    <x v="4"/>
  </r>
  <r>
    <x v="54"/>
    <x v="4"/>
    <x v="44"/>
    <x v="0"/>
    <x v="0"/>
    <x v="1"/>
    <x v="3"/>
    <x v="1"/>
    <x v="4"/>
  </r>
  <r>
    <x v="54"/>
    <x v="5"/>
    <x v="47"/>
    <x v="0"/>
    <x v="0"/>
    <x v="1"/>
    <x v="3"/>
    <x v="1"/>
    <x v="4"/>
  </r>
  <r>
    <x v="54"/>
    <x v="6"/>
    <x v="67"/>
    <x v="0"/>
    <x v="0"/>
    <x v="1"/>
    <x v="3"/>
    <x v="1"/>
    <x v="3"/>
  </r>
  <r>
    <x v="54"/>
    <x v="7"/>
    <x v="107"/>
    <x v="0"/>
    <x v="0"/>
    <x v="1"/>
    <x v="3"/>
    <x v="1"/>
    <x v="3"/>
  </r>
  <r>
    <x v="54"/>
    <x v="8"/>
    <x v="163"/>
    <x v="0"/>
    <x v="0"/>
    <x v="1"/>
    <x v="3"/>
    <x v="1"/>
    <x v="3"/>
  </r>
  <r>
    <x v="54"/>
    <x v="9"/>
    <x v="258"/>
    <x v="0"/>
    <x v="0"/>
    <x v="1"/>
    <x v="3"/>
    <x v="1"/>
    <x v="3"/>
  </r>
  <r>
    <x v="54"/>
    <x v="10"/>
    <x v="313"/>
    <x v="0"/>
    <x v="0"/>
    <x v="1"/>
    <x v="3"/>
    <x v="1"/>
    <x v="2"/>
  </r>
  <r>
    <x v="54"/>
    <x v="11"/>
    <x v="395"/>
    <x v="0"/>
    <x v="0"/>
    <x v="1"/>
    <x v="3"/>
    <x v="1"/>
    <x v="2"/>
  </r>
  <r>
    <x v="54"/>
    <x v="12"/>
    <x v="483"/>
    <x v="0"/>
    <x v="0"/>
    <x v="1"/>
    <x v="3"/>
    <x v="1"/>
    <x v="2"/>
  </r>
  <r>
    <x v="54"/>
    <x v="13"/>
    <x v="510"/>
    <x v="0"/>
    <x v="0"/>
    <x v="1"/>
    <x v="3"/>
    <x v="1"/>
    <x v="2"/>
  </r>
  <r>
    <x v="54"/>
    <x v="14"/>
    <x v="463"/>
    <x v="0"/>
    <x v="0"/>
    <x v="1"/>
    <x v="3"/>
    <x v="1"/>
    <x v="2"/>
  </r>
  <r>
    <x v="54"/>
    <x v="15"/>
    <x v="601"/>
    <x v="0"/>
    <x v="0"/>
    <x v="1"/>
    <x v="3"/>
    <x v="1"/>
    <x v="2"/>
  </r>
  <r>
    <x v="54"/>
    <x v="16"/>
    <x v="616"/>
    <x v="0"/>
    <x v="0"/>
    <x v="1"/>
    <x v="3"/>
    <x v="1"/>
    <x v="0"/>
  </r>
  <r>
    <x v="54"/>
    <x v="17"/>
    <x v="595"/>
    <x v="0"/>
    <x v="0"/>
    <x v="1"/>
    <x v="3"/>
    <x v="1"/>
    <x v="0"/>
  </r>
  <r>
    <x v="54"/>
    <x v="18"/>
    <x v="581"/>
    <x v="0"/>
    <x v="0"/>
    <x v="1"/>
    <x v="3"/>
    <x v="1"/>
    <x v="0"/>
  </r>
  <r>
    <x v="54"/>
    <x v="19"/>
    <x v="505"/>
    <x v="0"/>
    <x v="0"/>
    <x v="1"/>
    <x v="3"/>
    <x v="1"/>
    <x v="0"/>
  </r>
  <r>
    <x v="54"/>
    <x v="20"/>
    <x v="460"/>
    <x v="0"/>
    <x v="0"/>
    <x v="1"/>
    <x v="3"/>
    <x v="1"/>
    <x v="1"/>
  </r>
  <r>
    <x v="54"/>
    <x v="21"/>
    <x v="541"/>
    <x v="0"/>
    <x v="0"/>
    <x v="1"/>
    <x v="3"/>
    <x v="1"/>
    <x v="1"/>
  </r>
  <r>
    <x v="54"/>
    <x v="22"/>
    <x v="605"/>
    <x v="0"/>
    <x v="0"/>
    <x v="1"/>
    <x v="3"/>
    <x v="1"/>
    <x v="1"/>
  </r>
  <r>
    <x v="54"/>
    <x v="23"/>
    <x v="503"/>
    <x v="0"/>
    <x v="0"/>
    <x v="1"/>
    <x v="3"/>
    <x v="1"/>
    <x v="1"/>
  </r>
  <r>
    <x v="55"/>
    <x v="0"/>
    <x v="290"/>
    <x v="0"/>
    <x v="0"/>
    <x v="1"/>
    <x v="1"/>
    <x v="0"/>
    <x v="4"/>
  </r>
  <r>
    <x v="55"/>
    <x v="1"/>
    <x v="156"/>
    <x v="0"/>
    <x v="0"/>
    <x v="1"/>
    <x v="1"/>
    <x v="0"/>
    <x v="4"/>
  </r>
  <r>
    <x v="55"/>
    <x v="2"/>
    <x v="57"/>
    <x v="0"/>
    <x v="0"/>
    <x v="1"/>
    <x v="1"/>
    <x v="0"/>
    <x v="4"/>
  </r>
  <r>
    <x v="55"/>
    <x v="3"/>
    <x v="83"/>
    <x v="0"/>
    <x v="0"/>
    <x v="1"/>
    <x v="1"/>
    <x v="0"/>
    <x v="4"/>
  </r>
  <r>
    <x v="55"/>
    <x v="4"/>
    <x v="63"/>
    <x v="0"/>
    <x v="0"/>
    <x v="1"/>
    <x v="1"/>
    <x v="0"/>
    <x v="4"/>
  </r>
  <r>
    <x v="55"/>
    <x v="5"/>
    <x v="62"/>
    <x v="0"/>
    <x v="0"/>
    <x v="1"/>
    <x v="1"/>
    <x v="0"/>
    <x v="4"/>
  </r>
  <r>
    <x v="55"/>
    <x v="6"/>
    <x v="78"/>
    <x v="0"/>
    <x v="0"/>
    <x v="1"/>
    <x v="1"/>
    <x v="0"/>
    <x v="3"/>
  </r>
  <r>
    <x v="55"/>
    <x v="7"/>
    <x v="118"/>
    <x v="0"/>
    <x v="0"/>
    <x v="1"/>
    <x v="1"/>
    <x v="0"/>
    <x v="3"/>
  </r>
  <r>
    <x v="55"/>
    <x v="8"/>
    <x v="148"/>
    <x v="0"/>
    <x v="0"/>
    <x v="1"/>
    <x v="1"/>
    <x v="0"/>
    <x v="3"/>
  </r>
  <r>
    <x v="55"/>
    <x v="9"/>
    <x v="233"/>
    <x v="0"/>
    <x v="0"/>
    <x v="1"/>
    <x v="1"/>
    <x v="0"/>
    <x v="3"/>
  </r>
  <r>
    <x v="55"/>
    <x v="10"/>
    <x v="332"/>
    <x v="0"/>
    <x v="0"/>
    <x v="1"/>
    <x v="1"/>
    <x v="0"/>
    <x v="2"/>
  </r>
  <r>
    <x v="55"/>
    <x v="11"/>
    <x v="364"/>
    <x v="0"/>
    <x v="0"/>
    <x v="1"/>
    <x v="1"/>
    <x v="0"/>
    <x v="2"/>
  </r>
  <r>
    <x v="55"/>
    <x v="12"/>
    <x v="412"/>
    <x v="0"/>
    <x v="0"/>
    <x v="1"/>
    <x v="1"/>
    <x v="0"/>
    <x v="2"/>
  </r>
  <r>
    <x v="55"/>
    <x v="13"/>
    <x v="501"/>
    <x v="0"/>
    <x v="0"/>
    <x v="1"/>
    <x v="1"/>
    <x v="0"/>
    <x v="2"/>
  </r>
  <r>
    <x v="55"/>
    <x v="14"/>
    <x v="588"/>
    <x v="0"/>
    <x v="0"/>
    <x v="1"/>
    <x v="1"/>
    <x v="0"/>
    <x v="2"/>
  </r>
  <r>
    <x v="55"/>
    <x v="15"/>
    <x v="639"/>
    <x v="0"/>
    <x v="0"/>
    <x v="1"/>
    <x v="1"/>
    <x v="0"/>
    <x v="2"/>
  </r>
  <r>
    <x v="55"/>
    <x v="16"/>
    <x v="591"/>
    <x v="0"/>
    <x v="0"/>
    <x v="1"/>
    <x v="1"/>
    <x v="0"/>
    <x v="0"/>
  </r>
  <r>
    <x v="55"/>
    <x v="17"/>
    <x v="629"/>
    <x v="0"/>
    <x v="0"/>
    <x v="1"/>
    <x v="1"/>
    <x v="0"/>
    <x v="0"/>
  </r>
  <r>
    <x v="55"/>
    <x v="18"/>
    <x v="562"/>
    <x v="0"/>
    <x v="0"/>
    <x v="1"/>
    <x v="1"/>
    <x v="0"/>
    <x v="0"/>
  </r>
  <r>
    <x v="55"/>
    <x v="19"/>
    <x v="600"/>
    <x v="0"/>
    <x v="0"/>
    <x v="1"/>
    <x v="1"/>
    <x v="0"/>
    <x v="0"/>
  </r>
  <r>
    <x v="55"/>
    <x v="20"/>
    <x v="540"/>
    <x v="0"/>
    <x v="0"/>
    <x v="1"/>
    <x v="1"/>
    <x v="0"/>
    <x v="1"/>
  </r>
  <r>
    <x v="55"/>
    <x v="21"/>
    <x v="535"/>
    <x v="0"/>
    <x v="0"/>
    <x v="1"/>
    <x v="1"/>
    <x v="0"/>
    <x v="1"/>
  </r>
  <r>
    <x v="55"/>
    <x v="22"/>
    <x v="393"/>
    <x v="0"/>
    <x v="0"/>
    <x v="1"/>
    <x v="1"/>
    <x v="0"/>
    <x v="1"/>
  </r>
  <r>
    <x v="55"/>
    <x v="23"/>
    <x v="223"/>
    <x v="0"/>
    <x v="0"/>
    <x v="1"/>
    <x v="1"/>
    <x v="0"/>
    <x v="1"/>
  </r>
  <r>
    <x v="56"/>
    <x v="0"/>
    <x v="72"/>
    <x v="0"/>
    <x v="0"/>
    <x v="1"/>
    <x v="5"/>
    <x v="0"/>
    <x v="4"/>
  </r>
  <r>
    <x v="56"/>
    <x v="1"/>
    <x v="19"/>
    <x v="0"/>
    <x v="0"/>
    <x v="1"/>
    <x v="5"/>
    <x v="0"/>
    <x v="4"/>
  </r>
  <r>
    <x v="56"/>
    <x v="2"/>
    <x v="5"/>
    <x v="0"/>
    <x v="0"/>
    <x v="1"/>
    <x v="5"/>
    <x v="0"/>
    <x v="4"/>
  </r>
  <r>
    <x v="56"/>
    <x v="3"/>
    <x v="89"/>
    <x v="0"/>
    <x v="0"/>
    <x v="1"/>
    <x v="5"/>
    <x v="0"/>
    <x v="4"/>
  </r>
  <r>
    <x v="56"/>
    <x v="4"/>
    <x v="194"/>
    <x v="0"/>
    <x v="0"/>
    <x v="1"/>
    <x v="5"/>
    <x v="0"/>
    <x v="4"/>
  </r>
  <r>
    <x v="56"/>
    <x v="5"/>
    <x v="377"/>
    <x v="0"/>
    <x v="0"/>
    <x v="1"/>
    <x v="5"/>
    <x v="0"/>
    <x v="4"/>
  </r>
  <r>
    <x v="56"/>
    <x v="6"/>
    <x v="753"/>
    <x v="0"/>
    <x v="0"/>
    <x v="1"/>
    <x v="5"/>
    <x v="0"/>
    <x v="3"/>
  </r>
  <r>
    <x v="56"/>
    <x v="7"/>
    <x v="964"/>
    <x v="0"/>
    <x v="0"/>
    <x v="1"/>
    <x v="5"/>
    <x v="0"/>
    <x v="3"/>
  </r>
  <r>
    <x v="56"/>
    <x v="8"/>
    <x v="749"/>
    <x v="0"/>
    <x v="0"/>
    <x v="1"/>
    <x v="5"/>
    <x v="0"/>
    <x v="3"/>
  </r>
  <r>
    <x v="56"/>
    <x v="9"/>
    <x v="505"/>
    <x v="0"/>
    <x v="0"/>
    <x v="1"/>
    <x v="5"/>
    <x v="0"/>
    <x v="3"/>
  </r>
  <r>
    <x v="56"/>
    <x v="10"/>
    <x v="484"/>
    <x v="0"/>
    <x v="0"/>
    <x v="1"/>
    <x v="5"/>
    <x v="0"/>
    <x v="2"/>
  </r>
  <r>
    <x v="56"/>
    <x v="11"/>
    <x v="487"/>
    <x v="0"/>
    <x v="0"/>
    <x v="1"/>
    <x v="5"/>
    <x v="0"/>
    <x v="2"/>
  </r>
  <r>
    <x v="56"/>
    <x v="12"/>
    <x v="505"/>
    <x v="0"/>
    <x v="0"/>
    <x v="1"/>
    <x v="5"/>
    <x v="0"/>
    <x v="2"/>
  </r>
  <r>
    <x v="56"/>
    <x v="13"/>
    <x v="787"/>
    <x v="0"/>
    <x v="0"/>
    <x v="1"/>
    <x v="5"/>
    <x v="0"/>
    <x v="2"/>
  </r>
  <r>
    <x v="56"/>
    <x v="14"/>
    <x v="861"/>
    <x v="0"/>
    <x v="0"/>
    <x v="1"/>
    <x v="5"/>
    <x v="0"/>
    <x v="2"/>
  </r>
  <r>
    <x v="56"/>
    <x v="15"/>
    <x v="1039"/>
    <x v="0"/>
    <x v="0"/>
    <x v="1"/>
    <x v="5"/>
    <x v="0"/>
    <x v="2"/>
  </r>
  <r>
    <x v="56"/>
    <x v="16"/>
    <x v="1299"/>
    <x v="0"/>
    <x v="0"/>
    <x v="1"/>
    <x v="5"/>
    <x v="0"/>
    <x v="0"/>
  </r>
  <r>
    <x v="56"/>
    <x v="17"/>
    <x v="1339"/>
    <x v="0"/>
    <x v="0"/>
    <x v="1"/>
    <x v="5"/>
    <x v="0"/>
    <x v="0"/>
  </r>
  <r>
    <x v="56"/>
    <x v="18"/>
    <x v="1074"/>
    <x v="0"/>
    <x v="0"/>
    <x v="1"/>
    <x v="5"/>
    <x v="0"/>
    <x v="0"/>
  </r>
  <r>
    <x v="56"/>
    <x v="19"/>
    <x v="817"/>
    <x v="0"/>
    <x v="0"/>
    <x v="1"/>
    <x v="5"/>
    <x v="0"/>
    <x v="0"/>
  </r>
  <r>
    <x v="56"/>
    <x v="20"/>
    <x v="811"/>
    <x v="0"/>
    <x v="0"/>
    <x v="1"/>
    <x v="5"/>
    <x v="0"/>
    <x v="1"/>
  </r>
  <r>
    <x v="56"/>
    <x v="21"/>
    <x v="654"/>
    <x v="0"/>
    <x v="0"/>
    <x v="1"/>
    <x v="5"/>
    <x v="0"/>
    <x v="1"/>
  </r>
  <r>
    <x v="56"/>
    <x v="22"/>
    <x v="518"/>
    <x v="0"/>
    <x v="0"/>
    <x v="1"/>
    <x v="5"/>
    <x v="0"/>
    <x v="1"/>
  </r>
  <r>
    <x v="56"/>
    <x v="23"/>
    <x v="280"/>
    <x v="0"/>
    <x v="0"/>
    <x v="1"/>
    <x v="5"/>
    <x v="0"/>
    <x v="1"/>
  </r>
  <r>
    <x v="57"/>
    <x v="0"/>
    <x v="116"/>
    <x v="0"/>
    <x v="0"/>
    <x v="1"/>
    <x v="6"/>
    <x v="0"/>
    <x v="4"/>
  </r>
  <r>
    <x v="57"/>
    <x v="1"/>
    <x v="37"/>
    <x v="0"/>
    <x v="0"/>
    <x v="1"/>
    <x v="6"/>
    <x v="0"/>
    <x v="4"/>
  </r>
  <r>
    <x v="57"/>
    <x v="2"/>
    <x v="20"/>
    <x v="0"/>
    <x v="0"/>
    <x v="1"/>
    <x v="6"/>
    <x v="0"/>
    <x v="4"/>
  </r>
  <r>
    <x v="57"/>
    <x v="3"/>
    <x v="58"/>
    <x v="0"/>
    <x v="0"/>
    <x v="1"/>
    <x v="6"/>
    <x v="0"/>
    <x v="4"/>
  </r>
  <r>
    <x v="57"/>
    <x v="4"/>
    <x v="125"/>
    <x v="0"/>
    <x v="0"/>
    <x v="1"/>
    <x v="6"/>
    <x v="0"/>
    <x v="4"/>
  </r>
  <r>
    <x v="57"/>
    <x v="5"/>
    <x v="328"/>
    <x v="0"/>
    <x v="0"/>
    <x v="1"/>
    <x v="6"/>
    <x v="0"/>
    <x v="4"/>
  </r>
  <r>
    <x v="57"/>
    <x v="6"/>
    <x v="766"/>
    <x v="0"/>
    <x v="0"/>
    <x v="1"/>
    <x v="6"/>
    <x v="0"/>
    <x v="3"/>
  </r>
  <r>
    <x v="57"/>
    <x v="7"/>
    <x v="1115"/>
    <x v="0"/>
    <x v="0"/>
    <x v="1"/>
    <x v="6"/>
    <x v="0"/>
    <x v="3"/>
  </r>
  <r>
    <x v="57"/>
    <x v="8"/>
    <x v="869"/>
    <x v="0"/>
    <x v="0"/>
    <x v="1"/>
    <x v="6"/>
    <x v="0"/>
    <x v="3"/>
  </r>
  <r>
    <x v="57"/>
    <x v="9"/>
    <x v="614"/>
    <x v="0"/>
    <x v="0"/>
    <x v="1"/>
    <x v="6"/>
    <x v="0"/>
    <x v="3"/>
  </r>
  <r>
    <x v="57"/>
    <x v="10"/>
    <x v="587"/>
    <x v="0"/>
    <x v="0"/>
    <x v="1"/>
    <x v="6"/>
    <x v="0"/>
    <x v="2"/>
  </r>
  <r>
    <x v="57"/>
    <x v="11"/>
    <x v="628"/>
    <x v="0"/>
    <x v="0"/>
    <x v="1"/>
    <x v="6"/>
    <x v="0"/>
    <x v="2"/>
  </r>
  <r>
    <x v="57"/>
    <x v="12"/>
    <x v="590"/>
    <x v="0"/>
    <x v="0"/>
    <x v="1"/>
    <x v="6"/>
    <x v="0"/>
    <x v="2"/>
  </r>
  <r>
    <x v="57"/>
    <x v="13"/>
    <x v="784"/>
    <x v="0"/>
    <x v="0"/>
    <x v="1"/>
    <x v="6"/>
    <x v="0"/>
    <x v="2"/>
  </r>
  <r>
    <x v="57"/>
    <x v="14"/>
    <x v="1051"/>
    <x v="0"/>
    <x v="0"/>
    <x v="1"/>
    <x v="6"/>
    <x v="0"/>
    <x v="2"/>
  </r>
  <r>
    <x v="57"/>
    <x v="15"/>
    <x v="1442"/>
    <x v="0"/>
    <x v="0"/>
    <x v="1"/>
    <x v="6"/>
    <x v="0"/>
    <x v="2"/>
  </r>
  <r>
    <x v="57"/>
    <x v="16"/>
    <x v="1762"/>
    <x v="0"/>
    <x v="0"/>
    <x v="1"/>
    <x v="6"/>
    <x v="0"/>
    <x v="0"/>
  </r>
  <r>
    <x v="57"/>
    <x v="17"/>
    <x v="1800"/>
    <x v="0"/>
    <x v="0"/>
    <x v="1"/>
    <x v="6"/>
    <x v="0"/>
    <x v="0"/>
  </r>
  <r>
    <x v="57"/>
    <x v="18"/>
    <x v="1597"/>
    <x v="0"/>
    <x v="0"/>
    <x v="1"/>
    <x v="6"/>
    <x v="0"/>
    <x v="0"/>
  </r>
  <r>
    <x v="57"/>
    <x v="19"/>
    <x v="1308"/>
    <x v="0"/>
    <x v="0"/>
    <x v="1"/>
    <x v="6"/>
    <x v="0"/>
    <x v="0"/>
  </r>
  <r>
    <x v="57"/>
    <x v="20"/>
    <x v="1347"/>
    <x v="0"/>
    <x v="0"/>
    <x v="1"/>
    <x v="6"/>
    <x v="0"/>
    <x v="1"/>
  </r>
  <r>
    <x v="57"/>
    <x v="21"/>
    <x v="1277"/>
    <x v="0"/>
    <x v="0"/>
    <x v="1"/>
    <x v="6"/>
    <x v="0"/>
    <x v="1"/>
  </r>
  <r>
    <x v="57"/>
    <x v="22"/>
    <x v="845"/>
    <x v="0"/>
    <x v="0"/>
    <x v="1"/>
    <x v="6"/>
    <x v="0"/>
    <x v="1"/>
  </r>
  <r>
    <x v="57"/>
    <x v="23"/>
    <x v="411"/>
    <x v="0"/>
    <x v="0"/>
    <x v="1"/>
    <x v="6"/>
    <x v="0"/>
    <x v="1"/>
  </r>
  <r>
    <x v="58"/>
    <x v="0"/>
    <x v="171"/>
    <x v="0"/>
    <x v="0"/>
    <x v="1"/>
    <x v="4"/>
    <x v="0"/>
    <x v="4"/>
  </r>
  <r>
    <x v="58"/>
    <x v="1"/>
    <x v="61"/>
    <x v="0"/>
    <x v="0"/>
    <x v="1"/>
    <x v="4"/>
    <x v="0"/>
    <x v="4"/>
  </r>
  <r>
    <x v="58"/>
    <x v="2"/>
    <x v="24"/>
    <x v="0"/>
    <x v="0"/>
    <x v="1"/>
    <x v="4"/>
    <x v="0"/>
    <x v="4"/>
  </r>
  <r>
    <x v="58"/>
    <x v="3"/>
    <x v="56"/>
    <x v="0"/>
    <x v="0"/>
    <x v="1"/>
    <x v="4"/>
    <x v="0"/>
    <x v="4"/>
  </r>
  <r>
    <x v="58"/>
    <x v="4"/>
    <x v="140"/>
    <x v="0"/>
    <x v="0"/>
    <x v="1"/>
    <x v="4"/>
    <x v="0"/>
    <x v="4"/>
  </r>
  <r>
    <x v="58"/>
    <x v="5"/>
    <x v="316"/>
    <x v="0"/>
    <x v="0"/>
    <x v="1"/>
    <x v="4"/>
    <x v="0"/>
    <x v="4"/>
  </r>
  <r>
    <x v="58"/>
    <x v="6"/>
    <x v="804"/>
    <x v="0"/>
    <x v="0"/>
    <x v="1"/>
    <x v="4"/>
    <x v="0"/>
    <x v="3"/>
  </r>
  <r>
    <x v="58"/>
    <x v="7"/>
    <x v="1053"/>
    <x v="0"/>
    <x v="0"/>
    <x v="1"/>
    <x v="4"/>
    <x v="0"/>
    <x v="3"/>
  </r>
  <r>
    <x v="58"/>
    <x v="8"/>
    <x v="871"/>
    <x v="0"/>
    <x v="0"/>
    <x v="1"/>
    <x v="4"/>
    <x v="0"/>
    <x v="3"/>
  </r>
  <r>
    <x v="58"/>
    <x v="9"/>
    <x v="646"/>
    <x v="0"/>
    <x v="0"/>
    <x v="1"/>
    <x v="4"/>
    <x v="0"/>
    <x v="3"/>
  </r>
  <r>
    <x v="58"/>
    <x v="10"/>
    <x v="568"/>
    <x v="0"/>
    <x v="0"/>
    <x v="1"/>
    <x v="4"/>
    <x v="0"/>
    <x v="2"/>
  </r>
  <r>
    <x v="58"/>
    <x v="11"/>
    <x v="600"/>
    <x v="0"/>
    <x v="0"/>
    <x v="1"/>
    <x v="4"/>
    <x v="0"/>
    <x v="2"/>
  </r>
  <r>
    <x v="58"/>
    <x v="12"/>
    <x v="638"/>
    <x v="0"/>
    <x v="0"/>
    <x v="1"/>
    <x v="4"/>
    <x v="0"/>
    <x v="2"/>
  </r>
  <r>
    <x v="58"/>
    <x v="13"/>
    <x v="815"/>
    <x v="0"/>
    <x v="0"/>
    <x v="1"/>
    <x v="4"/>
    <x v="0"/>
    <x v="2"/>
  </r>
  <r>
    <x v="58"/>
    <x v="14"/>
    <x v="1109"/>
    <x v="0"/>
    <x v="0"/>
    <x v="1"/>
    <x v="4"/>
    <x v="0"/>
    <x v="2"/>
  </r>
  <r>
    <x v="58"/>
    <x v="15"/>
    <x v="1493"/>
    <x v="0"/>
    <x v="0"/>
    <x v="1"/>
    <x v="4"/>
    <x v="0"/>
    <x v="2"/>
  </r>
  <r>
    <x v="58"/>
    <x v="16"/>
    <x v="1682"/>
    <x v="0"/>
    <x v="0"/>
    <x v="1"/>
    <x v="4"/>
    <x v="0"/>
    <x v="0"/>
  </r>
  <r>
    <x v="58"/>
    <x v="17"/>
    <x v="1895"/>
    <x v="0"/>
    <x v="0"/>
    <x v="1"/>
    <x v="4"/>
    <x v="0"/>
    <x v="0"/>
  </r>
  <r>
    <x v="58"/>
    <x v="18"/>
    <x v="1815"/>
    <x v="0"/>
    <x v="0"/>
    <x v="1"/>
    <x v="4"/>
    <x v="0"/>
    <x v="0"/>
  </r>
  <r>
    <x v="58"/>
    <x v="19"/>
    <x v="1578"/>
    <x v="0"/>
    <x v="0"/>
    <x v="1"/>
    <x v="4"/>
    <x v="0"/>
    <x v="0"/>
  </r>
  <r>
    <x v="58"/>
    <x v="20"/>
    <x v="1615"/>
    <x v="0"/>
    <x v="0"/>
    <x v="1"/>
    <x v="4"/>
    <x v="0"/>
    <x v="1"/>
  </r>
  <r>
    <x v="58"/>
    <x v="21"/>
    <x v="1748"/>
    <x v="0"/>
    <x v="0"/>
    <x v="1"/>
    <x v="4"/>
    <x v="0"/>
    <x v="1"/>
  </r>
  <r>
    <x v="58"/>
    <x v="22"/>
    <x v="1469"/>
    <x v="0"/>
    <x v="0"/>
    <x v="1"/>
    <x v="4"/>
    <x v="0"/>
    <x v="1"/>
  </r>
  <r>
    <x v="58"/>
    <x v="23"/>
    <x v="698"/>
    <x v="0"/>
    <x v="0"/>
    <x v="1"/>
    <x v="4"/>
    <x v="0"/>
    <x v="1"/>
  </r>
  <r>
    <x v="59"/>
    <x v="0"/>
    <x v="312"/>
    <x v="0"/>
    <x v="0"/>
    <x v="1"/>
    <x v="0"/>
    <x v="0"/>
    <x v="4"/>
  </r>
  <r>
    <x v="59"/>
    <x v="1"/>
    <x v="130"/>
    <x v="0"/>
    <x v="0"/>
    <x v="1"/>
    <x v="0"/>
    <x v="0"/>
    <x v="4"/>
  </r>
  <r>
    <x v="59"/>
    <x v="2"/>
    <x v="55"/>
    <x v="0"/>
    <x v="0"/>
    <x v="1"/>
    <x v="0"/>
    <x v="0"/>
    <x v="4"/>
  </r>
  <r>
    <x v="59"/>
    <x v="3"/>
    <x v="104"/>
    <x v="0"/>
    <x v="0"/>
    <x v="1"/>
    <x v="0"/>
    <x v="0"/>
    <x v="4"/>
  </r>
  <r>
    <x v="59"/>
    <x v="4"/>
    <x v="168"/>
    <x v="0"/>
    <x v="0"/>
    <x v="1"/>
    <x v="0"/>
    <x v="0"/>
    <x v="4"/>
  </r>
  <r>
    <x v="59"/>
    <x v="5"/>
    <x v="316"/>
    <x v="0"/>
    <x v="0"/>
    <x v="1"/>
    <x v="0"/>
    <x v="0"/>
    <x v="4"/>
  </r>
  <r>
    <x v="59"/>
    <x v="6"/>
    <x v="748"/>
    <x v="0"/>
    <x v="0"/>
    <x v="1"/>
    <x v="0"/>
    <x v="0"/>
    <x v="3"/>
  </r>
  <r>
    <x v="59"/>
    <x v="7"/>
    <x v="1052"/>
    <x v="0"/>
    <x v="0"/>
    <x v="1"/>
    <x v="0"/>
    <x v="0"/>
    <x v="3"/>
  </r>
  <r>
    <x v="59"/>
    <x v="8"/>
    <x v="885"/>
    <x v="0"/>
    <x v="0"/>
    <x v="1"/>
    <x v="0"/>
    <x v="0"/>
    <x v="3"/>
  </r>
  <r>
    <x v="59"/>
    <x v="9"/>
    <x v="615"/>
    <x v="0"/>
    <x v="0"/>
    <x v="1"/>
    <x v="0"/>
    <x v="0"/>
    <x v="3"/>
  </r>
  <r>
    <x v="59"/>
    <x v="10"/>
    <x v="629"/>
    <x v="0"/>
    <x v="0"/>
    <x v="1"/>
    <x v="0"/>
    <x v="0"/>
    <x v="2"/>
  </r>
  <r>
    <x v="59"/>
    <x v="11"/>
    <x v="719"/>
    <x v="0"/>
    <x v="0"/>
    <x v="1"/>
    <x v="0"/>
    <x v="0"/>
    <x v="2"/>
  </r>
  <r>
    <x v="59"/>
    <x v="12"/>
    <x v="763"/>
    <x v="0"/>
    <x v="0"/>
    <x v="1"/>
    <x v="0"/>
    <x v="0"/>
    <x v="2"/>
  </r>
  <r>
    <x v="59"/>
    <x v="13"/>
    <x v="885"/>
    <x v="0"/>
    <x v="0"/>
    <x v="1"/>
    <x v="0"/>
    <x v="0"/>
    <x v="2"/>
  </r>
  <r>
    <x v="59"/>
    <x v="14"/>
    <x v="1179"/>
    <x v="0"/>
    <x v="0"/>
    <x v="1"/>
    <x v="0"/>
    <x v="0"/>
    <x v="2"/>
  </r>
  <r>
    <x v="59"/>
    <x v="15"/>
    <x v="1485"/>
    <x v="0"/>
    <x v="0"/>
    <x v="1"/>
    <x v="0"/>
    <x v="0"/>
    <x v="2"/>
  </r>
  <r>
    <x v="59"/>
    <x v="16"/>
    <x v="1630"/>
    <x v="0"/>
    <x v="0"/>
    <x v="1"/>
    <x v="0"/>
    <x v="0"/>
    <x v="0"/>
  </r>
  <r>
    <x v="59"/>
    <x v="17"/>
    <x v="1577"/>
    <x v="0"/>
    <x v="0"/>
    <x v="1"/>
    <x v="0"/>
    <x v="0"/>
    <x v="0"/>
  </r>
  <r>
    <x v="59"/>
    <x v="18"/>
    <x v="1954"/>
    <x v="0"/>
    <x v="0"/>
    <x v="1"/>
    <x v="0"/>
    <x v="0"/>
    <x v="0"/>
  </r>
  <r>
    <x v="59"/>
    <x v="19"/>
    <x v="1307"/>
    <x v="0"/>
    <x v="0"/>
    <x v="1"/>
    <x v="0"/>
    <x v="0"/>
    <x v="0"/>
  </r>
  <r>
    <x v="59"/>
    <x v="20"/>
    <x v="1186"/>
    <x v="0"/>
    <x v="0"/>
    <x v="1"/>
    <x v="0"/>
    <x v="0"/>
    <x v="1"/>
  </r>
  <r>
    <x v="59"/>
    <x v="21"/>
    <x v="1354"/>
    <x v="0"/>
    <x v="0"/>
    <x v="1"/>
    <x v="0"/>
    <x v="0"/>
    <x v="1"/>
  </r>
  <r>
    <x v="59"/>
    <x v="22"/>
    <x v="1330"/>
    <x v="0"/>
    <x v="0"/>
    <x v="1"/>
    <x v="0"/>
    <x v="0"/>
    <x v="1"/>
  </r>
  <r>
    <x v="59"/>
    <x v="23"/>
    <x v="1115"/>
    <x v="0"/>
    <x v="0"/>
    <x v="1"/>
    <x v="0"/>
    <x v="0"/>
    <x v="1"/>
  </r>
  <r>
    <x v="60"/>
    <x v="0"/>
    <x v="666"/>
    <x v="0"/>
    <x v="0"/>
    <x v="1"/>
    <x v="2"/>
    <x v="1"/>
    <x v="4"/>
  </r>
  <r>
    <x v="60"/>
    <x v="1"/>
    <x v="380"/>
    <x v="0"/>
    <x v="0"/>
    <x v="1"/>
    <x v="2"/>
    <x v="1"/>
    <x v="4"/>
  </r>
  <r>
    <x v="60"/>
    <x v="2"/>
    <x v="253"/>
    <x v="0"/>
    <x v="0"/>
    <x v="1"/>
    <x v="2"/>
    <x v="1"/>
    <x v="4"/>
  </r>
  <r>
    <x v="60"/>
    <x v="3"/>
    <x v="188"/>
    <x v="0"/>
    <x v="0"/>
    <x v="1"/>
    <x v="2"/>
    <x v="1"/>
    <x v="4"/>
  </r>
  <r>
    <x v="60"/>
    <x v="4"/>
    <x v="75"/>
    <x v="0"/>
    <x v="0"/>
    <x v="1"/>
    <x v="2"/>
    <x v="1"/>
    <x v="4"/>
  </r>
  <r>
    <x v="60"/>
    <x v="5"/>
    <x v="102"/>
    <x v="0"/>
    <x v="0"/>
    <x v="1"/>
    <x v="2"/>
    <x v="1"/>
    <x v="4"/>
  </r>
  <r>
    <x v="60"/>
    <x v="6"/>
    <x v="183"/>
    <x v="0"/>
    <x v="0"/>
    <x v="1"/>
    <x v="2"/>
    <x v="1"/>
    <x v="3"/>
  </r>
  <r>
    <x v="60"/>
    <x v="7"/>
    <x v="286"/>
    <x v="0"/>
    <x v="0"/>
    <x v="1"/>
    <x v="2"/>
    <x v="1"/>
    <x v="3"/>
  </r>
  <r>
    <x v="60"/>
    <x v="8"/>
    <x v="413"/>
    <x v="0"/>
    <x v="0"/>
    <x v="1"/>
    <x v="2"/>
    <x v="1"/>
    <x v="3"/>
  </r>
  <r>
    <x v="60"/>
    <x v="9"/>
    <x v="469"/>
    <x v="0"/>
    <x v="0"/>
    <x v="1"/>
    <x v="2"/>
    <x v="1"/>
    <x v="3"/>
  </r>
  <r>
    <x v="60"/>
    <x v="10"/>
    <x v="532"/>
    <x v="0"/>
    <x v="0"/>
    <x v="1"/>
    <x v="2"/>
    <x v="1"/>
    <x v="2"/>
  </r>
  <r>
    <x v="60"/>
    <x v="11"/>
    <x v="611"/>
    <x v="0"/>
    <x v="0"/>
    <x v="1"/>
    <x v="2"/>
    <x v="1"/>
    <x v="2"/>
  </r>
  <r>
    <x v="60"/>
    <x v="12"/>
    <x v="673"/>
    <x v="0"/>
    <x v="0"/>
    <x v="1"/>
    <x v="2"/>
    <x v="1"/>
    <x v="2"/>
  </r>
  <r>
    <x v="60"/>
    <x v="13"/>
    <x v="712"/>
    <x v="0"/>
    <x v="0"/>
    <x v="1"/>
    <x v="2"/>
    <x v="1"/>
    <x v="2"/>
  </r>
  <r>
    <x v="60"/>
    <x v="14"/>
    <x v="1137"/>
    <x v="0"/>
    <x v="0"/>
    <x v="1"/>
    <x v="2"/>
    <x v="1"/>
    <x v="2"/>
  </r>
  <r>
    <x v="60"/>
    <x v="15"/>
    <x v="1430"/>
    <x v="0"/>
    <x v="0"/>
    <x v="1"/>
    <x v="2"/>
    <x v="1"/>
    <x v="2"/>
  </r>
  <r>
    <x v="60"/>
    <x v="16"/>
    <x v="1403"/>
    <x v="0"/>
    <x v="0"/>
    <x v="1"/>
    <x v="2"/>
    <x v="1"/>
    <x v="0"/>
  </r>
  <r>
    <x v="60"/>
    <x v="17"/>
    <x v="1217"/>
    <x v="0"/>
    <x v="0"/>
    <x v="1"/>
    <x v="2"/>
    <x v="1"/>
    <x v="0"/>
  </r>
  <r>
    <x v="60"/>
    <x v="18"/>
    <x v="1330"/>
    <x v="0"/>
    <x v="0"/>
    <x v="1"/>
    <x v="2"/>
    <x v="1"/>
    <x v="0"/>
  </r>
  <r>
    <x v="60"/>
    <x v="19"/>
    <x v="1095"/>
    <x v="0"/>
    <x v="0"/>
    <x v="1"/>
    <x v="2"/>
    <x v="1"/>
    <x v="0"/>
  </r>
  <r>
    <x v="60"/>
    <x v="20"/>
    <x v="1080"/>
    <x v="0"/>
    <x v="0"/>
    <x v="1"/>
    <x v="2"/>
    <x v="1"/>
    <x v="1"/>
  </r>
  <r>
    <x v="60"/>
    <x v="21"/>
    <x v="1327"/>
    <x v="0"/>
    <x v="0"/>
    <x v="1"/>
    <x v="2"/>
    <x v="1"/>
    <x v="1"/>
  </r>
  <r>
    <x v="60"/>
    <x v="22"/>
    <x v="1618"/>
    <x v="0"/>
    <x v="0"/>
    <x v="1"/>
    <x v="2"/>
    <x v="1"/>
    <x v="1"/>
  </r>
  <r>
    <x v="60"/>
    <x v="23"/>
    <x v="1458"/>
    <x v="0"/>
    <x v="0"/>
    <x v="1"/>
    <x v="2"/>
    <x v="1"/>
    <x v="1"/>
  </r>
  <r>
    <x v="61"/>
    <x v="0"/>
    <x v="996"/>
    <x v="0"/>
    <x v="0"/>
    <x v="2"/>
    <x v="3"/>
    <x v="1"/>
    <x v="4"/>
  </r>
  <r>
    <x v="61"/>
    <x v="1"/>
    <x v="585"/>
    <x v="0"/>
    <x v="0"/>
    <x v="2"/>
    <x v="3"/>
    <x v="1"/>
    <x v="4"/>
  </r>
  <r>
    <x v="61"/>
    <x v="2"/>
    <x v="315"/>
    <x v="0"/>
    <x v="0"/>
    <x v="2"/>
    <x v="3"/>
    <x v="1"/>
    <x v="4"/>
  </r>
  <r>
    <x v="61"/>
    <x v="3"/>
    <x v="208"/>
    <x v="0"/>
    <x v="0"/>
    <x v="2"/>
    <x v="3"/>
    <x v="1"/>
    <x v="4"/>
  </r>
  <r>
    <x v="61"/>
    <x v="4"/>
    <x v="85"/>
    <x v="0"/>
    <x v="0"/>
    <x v="2"/>
    <x v="3"/>
    <x v="1"/>
    <x v="4"/>
  </r>
  <r>
    <x v="61"/>
    <x v="5"/>
    <x v="94"/>
    <x v="0"/>
    <x v="0"/>
    <x v="2"/>
    <x v="3"/>
    <x v="1"/>
    <x v="4"/>
  </r>
  <r>
    <x v="61"/>
    <x v="6"/>
    <x v="129"/>
    <x v="0"/>
    <x v="0"/>
    <x v="2"/>
    <x v="3"/>
    <x v="1"/>
    <x v="3"/>
  </r>
  <r>
    <x v="61"/>
    <x v="7"/>
    <x v="192"/>
    <x v="0"/>
    <x v="0"/>
    <x v="2"/>
    <x v="3"/>
    <x v="1"/>
    <x v="3"/>
  </r>
  <r>
    <x v="61"/>
    <x v="8"/>
    <x v="305"/>
    <x v="0"/>
    <x v="0"/>
    <x v="2"/>
    <x v="3"/>
    <x v="1"/>
    <x v="3"/>
  </r>
  <r>
    <x v="61"/>
    <x v="9"/>
    <x v="416"/>
    <x v="0"/>
    <x v="0"/>
    <x v="2"/>
    <x v="3"/>
    <x v="1"/>
    <x v="3"/>
  </r>
  <r>
    <x v="61"/>
    <x v="10"/>
    <x v="544"/>
    <x v="0"/>
    <x v="0"/>
    <x v="2"/>
    <x v="3"/>
    <x v="1"/>
    <x v="2"/>
  </r>
  <r>
    <x v="61"/>
    <x v="11"/>
    <x v="638"/>
    <x v="0"/>
    <x v="0"/>
    <x v="2"/>
    <x v="3"/>
    <x v="1"/>
    <x v="2"/>
  </r>
  <r>
    <x v="61"/>
    <x v="12"/>
    <x v="703"/>
    <x v="0"/>
    <x v="0"/>
    <x v="2"/>
    <x v="3"/>
    <x v="1"/>
    <x v="2"/>
  </r>
  <r>
    <x v="61"/>
    <x v="13"/>
    <x v="805"/>
    <x v="0"/>
    <x v="0"/>
    <x v="2"/>
    <x v="3"/>
    <x v="1"/>
    <x v="2"/>
  </r>
  <r>
    <x v="61"/>
    <x v="14"/>
    <x v="885"/>
    <x v="0"/>
    <x v="0"/>
    <x v="2"/>
    <x v="3"/>
    <x v="1"/>
    <x v="2"/>
  </r>
  <r>
    <x v="61"/>
    <x v="15"/>
    <x v="978"/>
    <x v="0"/>
    <x v="0"/>
    <x v="2"/>
    <x v="3"/>
    <x v="1"/>
    <x v="2"/>
  </r>
  <r>
    <x v="61"/>
    <x v="16"/>
    <x v="1050"/>
    <x v="0"/>
    <x v="0"/>
    <x v="2"/>
    <x v="3"/>
    <x v="1"/>
    <x v="0"/>
  </r>
  <r>
    <x v="61"/>
    <x v="17"/>
    <x v="997"/>
    <x v="0"/>
    <x v="0"/>
    <x v="2"/>
    <x v="3"/>
    <x v="1"/>
    <x v="0"/>
  </r>
  <r>
    <x v="61"/>
    <x v="18"/>
    <x v="871"/>
    <x v="0"/>
    <x v="0"/>
    <x v="2"/>
    <x v="3"/>
    <x v="1"/>
    <x v="0"/>
  </r>
  <r>
    <x v="61"/>
    <x v="19"/>
    <x v="710"/>
    <x v="0"/>
    <x v="0"/>
    <x v="2"/>
    <x v="3"/>
    <x v="1"/>
    <x v="0"/>
  </r>
  <r>
    <x v="61"/>
    <x v="20"/>
    <x v="703"/>
    <x v="0"/>
    <x v="0"/>
    <x v="2"/>
    <x v="3"/>
    <x v="1"/>
    <x v="1"/>
  </r>
  <r>
    <x v="61"/>
    <x v="21"/>
    <x v="743"/>
    <x v="0"/>
    <x v="0"/>
    <x v="2"/>
    <x v="3"/>
    <x v="1"/>
    <x v="1"/>
  </r>
  <r>
    <x v="61"/>
    <x v="22"/>
    <x v="510"/>
    <x v="0"/>
    <x v="0"/>
    <x v="2"/>
    <x v="3"/>
    <x v="1"/>
    <x v="1"/>
  </r>
  <r>
    <x v="61"/>
    <x v="23"/>
    <x v="223"/>
    <x v="0"/>
    <x v="0"/>
    <x v="2"/>
    <x v="3"/>
    <x v="1"/>
    <x v="1"/>
  </r>
  <r>
    <x v="62"/>
    <x v="0"/>
    <x v="115"/>
    <x v="0"/>
    <x v="0"/>
    <x v="2"/>
    <x v="1"/>
    <x v="0"/>
    <x v="4"/>
  </r>
  <r>
    <x v="62"/>
    <x v="1"/>
    <x v="15"/>
    <x v="0"/>
    <x v="0"/>
    <x v="2"/>
    <x v="1"/>
    <x v="0"/>
    <x v="4"/>
  </r>
  <r>
    <x v="62"/>
    <x v="2"/>
    <x v="6"/>
    <x v="0"/>
    <x v="0"/>
    <x v="2"/>
    <x v="1"/>
    <x v="0"/>
    <x v="4"/>
  </r>
  <r>
    <x v="62"/>
    <x v="3"/>
    <x v="96"/>
    <x v="0"/>
    <x v="0"/>
    <x v="2"/>
    <x v="1"/>
    <x v="0"/>
    <x v="4"/>
  </r>
  <r>
    <x v="62"/>
    <x v="4"/>
    <x v="229"/>
    <x v="0"/>
    <x v="0"/>
    <x v="2"/>
    <x v="1"/>
    <x v="0"/>
    <x v="4"/>
  </r>
  <r>
    <x v="62"/>
    <x v="5"/>
    <x v="416"/>
    <x v="0"/>
    <x v="0"/>
    <x v="2"/>
    <x v="1"/>
    <x v="0"/>
    <x v="4"/>
  </r>
  <r>
    <x v="62"/>
    <x v="6"/>
    <x v="807"/>
    <x v="0"/>
    <x v="0"/>
    <x v="2"/>
    <x v="1"/>
    <x v="0"/>
    <x v="3"/>
  </r>
  <r>
    <x v="62"/>
    <x v="7"/>
    <x v="989"/>
    <x v="0"/>
    <x v="0"/>
    <x v="2"/>
    <x v="1"/>
    <x v="0"/>
    <x v="3"/>
  </r>
  <r>
    <x v="62"/>
    <x v="8"/>
    <x v="870"/>
    <x v="0"/>
    <x v="0"/>
    <x v="2"/>
    <x v="1"/>
    <x v="0"/>
    <x v="3"/>
  </r>
  <r>
    <x v="62"/>
    <x v="9"/>
    <x v="511"/>
    <x v="0"/>
    <x v="0"/>
    <x v="2"/>
    <x v="1"/>
    <x v="0"/>
    <x v="3"/>
  </r>
  <r>
    <x v="62"/>
    <x v="10"/>
    <x v="534"/>
    <x v="0"/>
    <x v="0"/>
    <x v="2"/>
    <x v="1"/>
    <x v="0"/>
    <x v="2"/>
  </r>
  <r>
    <x v="62"/>
    <x v="11"/>
    <x v="543"/>
    <x v="0"/>
    <x v="0"/>
    <x v="2"/>
    <x v="1"/>
    <x v="0"/>
    <x v="2"/>
  </r>
  <r>
    <x v="62"/>
    <x v="12"/>
    <x v="583"/>
    <x v="0"/>
    <x v="0"/>
    <x v="2"/>
    <x v="1"/>
    <x v="0"/>
    <x v="2"/>
  </r>
  <r>
    <x v="62"/>
    <x v="13"/>
    <x v="611"/>
    <x v="0"/>
    <x v="0"/>
    <x v="2"/>
    <x v="1"/>
    <x v="0"/>
    <x v="2"/>
  </r>
  <r>
    <x v="62"/>
    <x v="14"/>
    <x v="906"/>
    <x v="0"/>
    <x v="0"/>
    <x v="2"/>
    <x v="1"/>
    <x v="0"/>
    <x v="2"/>
  </r>
  <r>
    <x v="62"/>
    <x v="15"/>
    <x v="996"/>
    <x v="0"/>
    <x v="0"/>
    <x v="2"/>
    <x v="1"/>
    <x v="0"/>
    <x v="2"/>
  </r>
  <r>
    <x v="62"/>
    <x v="16"/>
    <x v="1207"/>
    <x v="0"/>
    <x v="0"/>
    <x v="2"/>
    <x v="1"/>
    <x v="0"/>
    <x v="0"/>
  </r>
  <r>
    <x v="62"/>
    <x v="17"/>
    <x v="1307"/>
    <x v="0"/>
    <x v="0"/>
    <x v="2"/>
    <x v="1"/>
    <x v="0"/>
    <x v="0"/>
  </r>
  <r>
    <x v="62"/>
    <x v="18"/>
    <x v="979"/>
    <x v="0"/>
    <x v="0"/>
    <x v="2"/>
    <x v="1"/>
    <x v="0"/>
    <x v="0"/>
  </r>
  <r>
    <x v="62"/>
    <x v="19"/>
    <x v="897"/>
    <x v="0"/>
    <x v="0"/>
    <x v="2"/>
    <x v="1"/>
    <x v="0"/>
    <x v="0"/>
  </r>
  <r>
    <x v="62"/>
    <x v="20"/>
    <x v="925"/>
    <x v="0"/>
    <x v="0"/>
    <x v="2"/>
    <x v="1"/>
    <x v="0"/>
    <x v="1"/>
  </r>
  <r>
    <x v="62"/>
    <x v="21"/>
    <x v="806"/>
    <x v="0"/>
    <x v="0"/>
    <x v="2"/>
    <x v="1"/>
    <x v="0"/>
    <x v="1"/>
  </r>
  <r>
    <x v="62"/>
    <x v="22"/>
    <x v="540"/>
    <x v="0"/>
    <x v="0"/>
    <x v="2"/>
    <x v="1"/>
    <x v="0"/>
    <x v="1"/>
  </r>
  <r>
    <x v="62"/>
    <x v="23"/>
    <x v="275"/>
    <x v="0"/>
    <x v="0"/>
    <x v="2"/>
    <x v="1"/>
    <x v="0"/>
    <x v="1"/>
  </r>
  <r>
    <x v="63"/>
    <x v="0"/>
    <x v="116"/>
    <x v="0"/>
    <x v="0"/>
    <x v="2"/>
    <x v="5"/>
    <x v="0"/>
    <x v="4"/>
  </r>
  <r>
    <x v="63"/>
    <x v="1"/>
    <x v="25"/>
    <x v="0"/>
    <x v="0"/>
    <x v="2"/>
    <x v="5"/>
    <x v="0"/>
    <x v="4"/>
  </r>
  <r>
    <x v="63"/>
    <x v="2"/>
    <x v="6"/>
    <x v="0"/>
    <x v="0"/>
    <x v="2"/>
    <x v="5"/>
    <x v="0"/>
    <x v="4"/>
  </r>
  <r>
    <x v="63"/>
    <x v="3"/>
    <x v="38"/>
    <x v="0"/>
    <x v="0"/>
    <x v="2"/>
    <x v="5"/>
    <x v="0"/>
    <x v="4"/>
  </r>
  <r>
    <x v="63"/>
    <x v="4"/>
    <x v="109"/>
    <x v="0"/>
    <x v="0"/>
    <x v="2"/>
    <x v="5"/>
    <x v="0"/>
    <x v="4"/>
  </r>
  <r>
    <x v="63"/>
    <x v="5"/>
    <x v="292"/>
    <x v="0"/>
    <x v="0"/>
    <x v="2"/>
    <x v="5"/>
    <x v="0"/>
    <x v="4"/>
  </r>
  <r>
    <x v="63"/>
    <x v="6"/>
    <x v="840"/>
    <x v="0"/>
    <x v="0"/>
    <x v="2"/>
    <x v="5"/>
    <x v="0"/>
    <x v="3"/>
  </r>
  <r>
    <x v="63"/>
    <x v="7"/>
    <x v="1076"/>
    <x v="0"/>
    <x v="0"/>
    <x v="2"/>
    <x v="5"/>
    <x v="0"/>
    <x v="3"/>
  </r>
  <r>
    <x v="63"/>
    <x v="8"/>
    <x v="870"/>
    <x v="0"/>
    <x v="0"/>
    <x v="2"/>
    <x v="5"/>
    <x v="0"/>
    <x v="3"/>
  </r>
  <r>
    <x v="63"/>
    <x v="9"/>
    <x v="620"/>
    <x v="0"/>
    <x v="0"/>
    <x v="2"/>
    <x v="5"/>
    <x v="0"/>
    <x v="3"/>
  </r>
  <r>
    <x v="63"/>
    <x v="10"/>
    <x v="644"/>
    <x v="0"/>
    <x v="0"/>
    <x v="2"/>
    <x v="5"/>
    <x v="0"/>
    <x v="2"/>
  </r>
  <r>
    <x v="63"/>
    <x v="11"/>
    <x v="635"/>
    <x v="0"/>
    <x v="0"/>
    <x v="2"/>
    <x v="5"/>
    <x v="0"/>
    <x v="2"/>
  </r>
  <r>
    <x v="63"/>
    <x v="12"/>
    <x v="690"/>
    <x v="0"/>
    <x v="0"/>
    <x v="2"/>
    <x v="5"/>
    <x v="0"/>
    <x v="2"/>
  </r>
  <r>
    <x v="63"/>
    <x v="13"/>
    <x v="852"/>
    <x v="0"/>
    <x v="0"/>
    <x v="2"/>
    <x v="5"/>
    <x v="0"/>
    <x v="2"/>
  </r>
  <r>
    <x v="63"/>
    <x v="14"/>
    <x v="1092"/>
    <x v="0"/>
    <x v="0"/>
    <x v="2"/>
    <x v="5"/>
    <x v="0"/>
    <x v="2"/>
  </r>
  <r>
    <x v="63"/>
    <x v="15"/>
    <x v="1297"/>
    <x v="0"/>
    <x v="0"/>
    <x v="2"/>
    <x v="5"/>
    <x v="0"/>
    <x v="2"/>
  </r>
  <r>
    <x v="63"/>
    <x v="16"/>
    <x v="1882"/>
    <x v="0"/>
    <x v="0"/>
    <x v="2"/>
    <x v="5"/>
    <x v="0"/>
    <x v="0"/>
  </r>
  <r>
    <x v="63"/>
    <x v="17"/>
    <x v="2113"/>
    <x v="0"/>
    <x v="0"/>
    <x v="2"/>
    <x v="5"/>
    <x v="0"/>
    <x v="0"/>
  </r>
  <r>
    <x v="63"/>
    <x v="18"/>
    <x v="1799"/>
    <x v="0"/>
    <x v="0"/>
    <x v="2"/>
    <x v="5"/>
    <x v="0"/>
    <x v="0"/>
  </r>
  <r>
    <x v="63"/>
    <x v="19"/>
    <x v="1238"/>
    <x v="0"/>
    <x v="0"/>
    <x v="2"/>
    <x v="5"/>
    <x v="0"/>
    <x v="0"/>
  </r>
  <r>
    <x v="63"/>
    <x v="20"/>
    <x v="1272"/>
    <x v="0"/>
    <x v="0"/>
    <x v="2"/>
    <x v="5"/>
    <x v="0"/>
    <x v="1"/>
  </r>
  <r>
    <x v="63"/>
    <x v="21"/>
    <x v="1129"/>
    <x v="0"/>
    <x v="0"/>
    <x v="2"/>
    <x v="5"/>
    <x v="0"/>
    <x v="1"/>
  </r>
  <r>
    <x v="63"/>
    <x v="22"/>
    <x v="728"/>
    <x v="0"/>
    <x v="0"/>
    <x v="2"/>
    <x v="5"/>
    <x v="0"/>
    <x v="1"/>
  </r>
  <r>
    <x v="63"/>
    <x v="23"/>
    <x v="359"/>
    <x v="0"/>
    <x v="0"/>
    <x v="2"/>
    <x v="5"/>
    <x v="0"/>
    <x v="1"/>
  </r>
  <r>
    <x v="64"/>
    <x v="0"/>
    <x v="141"/>
    <x v="0"/>
    <x v="0"/>
    <x v="2"/>
    <x v="6"/>
    <x v="0"/>
    <x v="4"/>
  </r>
  <r>
    <x v="64"/>
    <x v="1"/>
    <x v="39"/>
    <x v="0"/>
    <x v="0"/>
    <x v="2"/>
    <x v="6"/>
    <x v="0"/>
    <x v="4"/>
  </r>
  <r>
    <x v="64"/>
    <x v="2"/>
    <x v="27"/>
    <x v="0"/>
    <x v="0"/>
    <x v="2"/>
    <x v="6"/>
    <x v="0"/>
    <x v="4"/>
  </r>
  <r>
    <x v="64"/>
    <x v="3"/>
    <x v="74"/>
    <x v="0"/>
    <x v="0"/>
    <x v="2"/>
    <x v="6"/>
    <x v="0"/>
    <x v="4"/>
  </r>
  <r>
    <x v="64"/>
    <x v="4"/>
    <x v="144"/>
    <x v="0"/>
    <x v="0"/>
    <x v="2"/>
    <x v="6"/>
    <x v="0"/>
    <x v="4"/>
  </r>
  <r>
    <x v="64"/>
    <x v="5"/>
    <x v="286"/>
    <x v="0"/>
    <x v="0"/>
    <x v="2"/>
    <x v="6"/>
    <x v="0"/>
    <x v="4"/>
  </r>
  <r>
    <x v="64"/>
    <x v="6"/>
    <x v="828"/>
    <x v="0"/>
    <x v="0"/>
    <x v="2"/>
    <x v="6"/>
    <x v="0"/>
    <x v="3"/>
  </r>
  <r>
    <x v="64"/>
    <x v="7"/>
    <x v="1167"/>
    <x v="0"/>
    <x v="0"/>
    <x v="2"/>
    <x v="6"/>
    <x v="0"/>
    <x v="3"/>
  </r>
  <r>
    <x v="64"/>
    <x v="8"/>
    <x v="912"/>
    <x v="0"/>
    <x v="0"/>
    <x v="2"/>
    <x v="6"/>
    <x v="0"/>
    <x v="3"/>
  </r>
  <r>
    <x v="64"/>
    <x v="9"/>
    <x v="722"/>
    <x v="0"/>
    <x v="0"/>
    <x v="2"/>
    <x v="6"/>
    <x v="0"/>
    <x v="3"/>
  </r>
  <r>
    <x v="64"/>
    <x v="10"/>
    <x v="662"/>
    <x v="0"/>
    <x v="0"/>
    <x v="2"/>
    <x v="6"/>
    <x v="0"/>
    <x v="2"/>
  </r>
  <r>
    <x v="64"/>
    <x v="11"/>
    <x v="656"/>
    <x v="0"/>
    <x v="0"/>
    <x v="2"/>
    <x v="6"/>
    <x v="0"/>
    <x v="2"/>
  </r>
  <r>
    <x v="64"/>
    <x v="12"/>
    <x v="666"/>
    <x v="0"/>
    <x v="0"/>
    <x v="2"/>
    <x v="6"/>
    <x v="0"/>
    <x v="2"/>
  </r>
  <r>
    <x v="64"/>
    <x v="13"/>
    <x v="814"/>
    <x v="0"/>
    <x v="0"/>
    <x v="2"/>
    <x v="6"/>
    <x v="0"/>
    <x v="2"/>
  </r>
  <r>
    <x v="64"/>
    <x v="14"/>
    <x v="1090"/>
    <x v="0"/>
    <x v="0"/>
    <x v="2"/>
    <x v="6"/>
    <x v="0"/>
    <x v="2"/>
  </r>
  <r>
    <x v="64"/>
    <x v="15"/>
    <x v="1430"/>
    <x v="0"/>
    <x v="0"/>
    <x v="2"/>
    <x v="6"/>
    <x v="0"/>
    <x v="2"/>
  </r>
  <r>
    <x v="64"/>
    <x v="16"/>
    <x v="1722"/>
    <x v="0"/>
    <x v="0"/>
    <x v="2"/>
    <x v="6"/>
    <x v="0"/>
    <x v="0"/>
  </r>
  <r>
    <x v="64"/>
    <x v="17"/>
    <x v="1745"/>
    <x v="0"/>
    <x v="0"/>
    <x v="2"/>
    <x v="6"/>
    <x v="0"/>
    <x v="0"/>
  </r>
  <r>
    <x v="64"/>
    <x v="18"/>
    <x v="1409"/>
    <x v="0"/>
    <x v="0"/>
    <x v="2"/>
    <x v="6"/>
    <x v="0"/>
    <x v="0"/>
  </r>
  <r>
    <x v="64"/>
    <x v="19"/>
    <x v="1252"/>
    <x v="0"/>
    <x v="0"/>
    <x v="2"/>
    <x v="6"/>
    <x v="0"/>
    <x v="0"/>
  </r>
  <r>
    <x v="64"/>
    <x v="20"/>
    <x v="1381"/>
    <x v="0"/>
    <x v="0"/>
    <x v="2"/>
    <x v="6"/>
    <x v="0"/>
    <x v="1"/>
  </r>
  <r>
    <x v="64"/>
    <x v="21"/>
    <x v="1326"/>
    <x v="0"/>
    <x v="0"/>
    <x v="2"/>
    <x v="6"/>
    <x v="0"/>
    <x v="1"/>
  </r>
  <r>
    <x v="64"/>
    <x v="22"/>
    <x v="1173"/>
    <x v="0"/>
    <x v="0"/>
    <x v="2"/>
    <x v="6"/>
    <x v="0"/>
    <x v="1"/>
  </r>
  <r>
    <x v="64"/>
    <x v="23"/>
    <x v="424"/>
    <x v="0"/>
    <x v="0"/>
    <x v="2"/>
    <x v="6"/>
    <x v="0"/>
    <x v="1"/>
  </r>
  <r>
    <x v="65"/>
    <x v="0"/>
    <x v="204"/>
    <x v="0"/>
    <x v="0"/>
    <x v="2"/>
    <x v="4"/>
    <x v="0"/>
    <x v="4"/>
  </r>
  <r>
    <x v="65"/>
    <x v="1"/>
    <x v="77"/>
    <x v="0"/>
    <x v="0"/>
    <x v="2"/>
    <x v="4"/>
    <x v="0"/>
    <x v="4"/>
  </r>
  <r>
    <x v="65"/>
    <x v="2"/>
    <x v="59"/>
    <x v="0"/>
    <x v="0"/>
    <x v="2"/>
    <x v="4"/>
    <x v="0"/>
    <x v="4"/>
  </r>
  <r>
    <x v="65"/>
    <x v="3"/>
    <x v="111"/>
    <x v="0"/>
    <x v="0"/>
    <x v="2"/>
    <x v="4"/>
    <x v="0"/>
    <x v="4"/>
  </r>
  <r>
    <x v="65"/>
    <x v="4"/>
    <x v="208"/>
    <x v="0"/>
    <x v="0"/>
    <x v="2"/>
    <x v="4"/>
    <x v="0"/>
    <x v="4"/>
  </r>
  <r>
    <x v="65"/>
    <x v="5"/>
    <x v="604"/>
    <x v="0"/>
    <x v="0"/>
    <x v="2"/>
    <x v="4"/>
    <x v="0"/>
    <x v="4"/>
  </r>
  <r>
    <x v="65"/>
    <x v="6"/>
    <x v="1286"/>
    <x v="0"/>
    <x v="0"/>
    <x v="2"/>
    <x v="4"/>
    <x v="0"/>
    <x v="3"/>
  </r>
  <r>
    <x v="65"/>
    <x v="7"/>
    <x v="1589"/>
    <x v="0"/>
    <x v="0"/>
    <x v="2"/>
    <x v="4"/>
    <x v="0"/>
    <x v="3"/>
  </r>
  <r>
    <x v="65"/>
    <x v="8"/>
    <x v="1596"/>
    <x v="0"/>
    <x v="0"/>
    <x v="2"/>
    <x v="4"/>
    <x v="0"/>
    <x v="3"/>
  </r>
  <r>
    <x v="65"/>
    <x v="9"/>
    <x v="1313"/>
    <x v="0"/>
    <x v="0"/>
    <x v="2"/>
    <x v="4"/>
    <x v="0"/>
    <x v="3"/>
  </r>
  <r>
    <x v="65"/>
    <x v="10"/>
    <x v="991"/>
    <x v="0"/>
    <x v="0"/>
    <x v="2"/>
    <x v="4"/>
    <x v="0"/>
    <x v="2"/>
  </r>
  <r>
    <x v="65"/>
    <x v="11"/>
    <x v="832"/>
    <x v="0"/>
    <x v="0"/>
    <x v="2"/>
    <x v="4"/>
    <x v="0"/>
    <x v="2"/>
  </r>
  <r>
    <x v="65"/>
    <x v="12"/>
    <x v="756"/>
    <x v="0"/>
    <x v="0"/>
    <x v="2"/>
    <x v="4"/>
    <x v="0"/>
    <x v="2"/>
  </r>
  <r>
    <x v="65"/>
    <x v="13"/>
    <x v="906"/>
    <x v="0"/>
    <x v="0"/>
    <x v="2"/>
    <x v="4"/>
    <x v="0"/>
    <x v="2"/>
  </r>
  <r>
    <x v="65"/>
    <x v="14"/>
    <x v="1134"/>
    <x v="0"/>
    <x v="0"/>
    <x v="2"/>
    <x v="4"/>
    <x v="0"/>
    <x v="2"/>
  </r>
  <r>
    <x v="65"/>
    <x v="15"/>
    <x v="1449"/>
    <x v="0"/>
    <x v="0"/>
    <x v="2"/>
    <x v="4"/>
    <x v="0"/>
    <x v="2"/>
  </r>
  <r>
    <x v="65"/>
    <x v="16"/>
    <x v="1666"/>
    <x v="0"/>
    <x v="0"/>
    <x v="2"/>
    <x v="4"/>
    <x v="0"/>
    <x v="0"/>
  </r>
  <r>
    <x v="65"/>
    <x v="17"/>
    <x v="1821"/>
    <x v="0"/>
    <x v="0"/>
    <x v="2"/>
    <x v="4"/>
    <x v="0"/>
    <x v="0"/>
  </r>
  <r>
    <x v="65"/>
    <x v="18"/>
    <x v="1515"/>
    <x v="0"/>
    <x v="0"/>
    <x v="2"/>
    <x v="4"/>
    <x v="0"/>
    <x v="0"/>
  </r>
  <r>
    <x v="65"/>
    <x v="19"/>
    <x v="1355"/>
    <x v="0"/>
    <x v="0"/>
    <x v="2"/>
    <x v="4"/>
    <x v="0"/>
    <x v="0"/>
  </r>
  <r>
    <x v="65"/>
    <x v="20"/>
    <x v="1580"/>
    <x v="0"/>
    <x v="0"/>
    <x v="2"/>
    <x v="4"/>
    <x v="0"/>
    <x v="1"/>
  </r>
  <r>
    <x v="65"/>
    <x v="21"/>
    <x v="1760"/>
    <x v="0"/>
    <x v="0"/>
    <x v="2"/>
    <x v="4"/>
    <x v="0"/>
    <x v="1"/>
  </r>
  <r>
    <x v="65"/>
    <x v="22"/>
    <x v="1544"/>
    <x v="0"/>
    <x v="0"/>
    <x v="2"/>
    <x v="4"/>
    <x v="0"/>
    <x v="1"/>
  </r>
  <r>
    <x v="65"/>
    <x v="23"/>
    <x v="836"/>
    <x v="0"/>
    <x v="0"/>
    <x v="2"/>
    <x v="4"/>
    <x v="0"/>
    <x v="1"/>
  </r>
  <r>
    <x v="66"/>
    <x v="0"/>
    <x v="358"/>
    <x v="0"/>
    <x v="0"/>
    <x v="2"/>
    <x v="0"/>
    <x v="0"/>
    <x v="4"/>
  </r>
  <r>
    <x v="66"/>
    <x v="1"/>
    <x v="177"/>
    <x v="0"/>
    <x v="0"/>
    <x v="2"/>
    <x v="0"/>
    <x v="0"/>
    <x v="4"/>
  </r>
  <r>
    <x v="66"/>
    <x v="2"/>
    <x v="96"/>
    <x v="0"/>
    <x v="0"/>
    <x v="2"/>
    <x v="0"/>
    <x v="0"/>
    <x v="4"/>
  </r>
  <r>
    <x v="66"/>
    <x v="3"/>
    <x v="119"/>
    <x v="0"/>
    <x v="0"/>
    <x v="2"/>
    <x v="0"/>
    <x v="0"/>
    <x v="4"/>
  </r>
  <r>
    <x v="66"/>
    <x v="4"/>
    <x v="217"/>
    <x v="0"/>
    <x v="0"/>
    <x v="2"/>
    <x v="0"/>
    <x v="0"/>
    <x v="4"/>
  </r>
  <r>
    <x v="66"/>
    <x v="5"/>
    <x v="337"/>
    <x v="0"/>
    <x v="0"/>
    <x v="2"/>
    <x v="0"/>
    <x v="0"/>
    <x v="4"/>
  </r>
  <r>
    <x v="66"/>
    <x v="6"/>
    <x v="768"/>
    <x v="0"/>
    <x v="0"/>
    <x v="2"/>
    <x v="0"/>
    <x v="0"/>
    <x v="3"/>
  </r>
  <r>
    <x v="66"/>
    <x v="7"/>
    <x v="1032"/>
    <x v="0"/>
    <x v="0"/>
    <x v="2"/>
    <x v="0"/>
    <x v="0"/>
    <x v="3"/>
  </r>
  <r>
    <x v="66"/>
    <x v="8"/>
    <x v="961"/>
    <x v="0"/>
    <x v="0"/>
    <x v="2"/>
    <x v="0"/>
    <x v="0"/>
    <x v="3"/>
  </r>
  <r>
    <x v="66"/>
    <x v="9"/>
    <x v="666"/>
    <x v="0"/>
    <x v="0"/>
    <x v="2"/>
    <x v="0"/>
    <x v="0"/>
    <x v="3"/>
  </r>
  <r>
    <x v="66"/>
    <x v="10"/>
    <x v="727"/>
    <x v="0"/>
    <x v="0"/>
    <x v="2"/>
    <x v="0"/>
    <x v="0"/>
    <x v="2"/>
  </r>
  <r>
    <x v="66"/>
    <x v="11"/>
    <x v="809"/>
    <x v="0"/>
    <x v="0"/>
    <x v="2"/>
    <x v="0"/>
    <x v="0"/>
    <x v="2"/>
  </r>
  <r>
    <x v="66"/>
    <x v="12"/>
    <x v="843"/>
    <x v="0"/>
    <x v="0"/>
    <x v="2"/>
    <x v="0"/>
    <x v="0"/>
    <x v="2"/>
  </r>
  <r>
    <x v="66"/>
    <x v="13"/>
    <x v="974"/>
    <x v="0"/>
    <x v="0"/>
    <x v="2"/>
    <x v="0"/>
    <x v="0"/>
    <x v="2"/>
  </r>
  <r>
    <x v="66"/>
    <x v="14"/>
    <x v="1208"/>
    <x v="0"/>
    <x v="0"/>
    <x v="2"/>
    <x v="0"/>
    <x v="0"/>
    <x v="2"/>
  </r>
  <r>
    <x v="66"/>
    <x v="15"/>
    <x v="1441"/>
    <x v="0"/>
    <x v="0"/>
    <x v="2"/>
    <x v="0"/>
    <x v="0"/>
    <x v="2"/>
  </r>
  <r>
    <x v="66"/>
    <x v="16"/>
    <x v="1637"/>
    <x v="0"/>
    <x v="0"/>
    <x v="2"/>
    <x v="0"/>
    <x v="0"/>
    <x v="0"/>
  </r>
  <r>
    <x v="66"/>
    <x v="17"/>
    <x v="1597"/>
    <x v="0"/>
    <x v="0"/>
    <x v="2"/>
    <x v="0"/>
    <x v="0"/>
    <x v="0"/>
  </r>
  <r>
    <x v="66"/>
    <x v="18"/>
    <x v="1447"/>
    <x v="0"/>
    <x v="0"/>
    <x v="2"/>
    <x v="0"/>
    <x v="0"/>
    <x v="0"/>
  </r>
  <r>
    <x v="66"/>
    <x v="19"/>
    <x v="1142"/>
    <x v="0"/>
    <x v="0"/>
    <x v="2"/>
    <x v="0"/>
    <x v="0"/>
    <x v="0"/>
  </r>
  <r>
    <x v="66"/>
    <x v="20"/>
    <x v="1074"/>
    <x v="0"/>
    <x v="0"/>
    <x v="2"/>
    <x v="0"/>
    <x v="0"/>
    <x v="1"/>
  </r>
  <r>
    <x v="66"/>
    <x v="21"/>
    <x v="1337"/>
    <x v="0"/>
    <x v="0"/>
    <x v="2"/>
    <x v="0"/>
    <x v="0"/>
    <x v="1"/>
  </r>
  <r>
    <x v="66"/>
    <x v="22"/>
    <x v="1520"/>
    <x v="0"/>
    <x v="0"/>
    <x v="2"/>
    <x v="0"/>
    <x v="0"/>
    <x v="1"/>
  </r>
  <r>
    <x v="66"/>
    <x v="23"/>
    <x v="1372"/>
    <x v="0"/>
    <x v="0"/>
    <x v="2"/>
    <x v="0"/>
    <x v="0"/>
    <x v="1"/>
  </r>
  <r>
    <x v="67"/>
    <x v="0"/>
    <x v="831"/>
    <x v="0"/>
    <x v="0"/>
    <x v="2"/>
    <x v="2"/>
    <x v="1"/>
    <x v="4"/>
  </r>
  <r>
    <x v="67"/>
    <x v="1"/>
    <x v="461"/>
    <x v="0"/>
    <x v="0"/>
    <x v="2"/>
    <x v="2"/>
    <x v="1"/>
    <x v="4"/>
  </r>
  <r>
    <x v="67"/>
    <x v="2"/>
    <x v="250"/>
    <x v="0"/>
    <x v="0"/>
    <x v="2"/>
    <x v="2"/>
    <x v="1"/>
    <x v="4"/>
  </r>
  <r>
    <x v="67"/>
    <x v="3"/>
    <x v="202"/>
    <x v="0"/>
    <x v="0"/>
    <x v="2"/>
    <x v="2"/>
    <x v="1"/>
    <x v="4"/>
  </r>
  <r>
    <x v="67"/>
    <x v="4"/>
    <x v="115"/>
    <x v="0"/>
    <x v="0"/>
    <x v="2"/>
    <x v="2"/>
    <x v="1"/>
    <x v="4"/>
  </r>
  <r>
    <x v="67"/>
    <x v="5"/>
    <x v="115"/>
    <x v="0"/>
    <x v="0"/>
    <x v="2"/>
    <x v="2"/>
    <x v="1"/>
    <x v="4"/>
  </r>
  <r>
    <x v="67"/>
    <x v="6"/>
    <x v="216"/>
    <x v="0"/>
    <x v="0"/>
    <x v="2"/>
    <x v="2"/>
    <x v="1"/>
    <x v="3"/>
  </r>
  <r>
    <x v="67"/>
    <x v="7"/>
    <x v="276"/>
    <x v="0"/>
    <x v="0"/>
    <x v="2"/>
    <x v="2"/>
    <x v="1"/>
    <x v="3"/>
  </r>
  <r>
    <x v="67"/>
    <x v="8"/>
    <x v="424"/>
    <x v="0"/>
    <x v="0"/>
    <x v="2"/>
    <x v="2"/>
    <x v="1"/>
    <x v="3"/>
  </r>
  <r>
    <x v="67"/>
    <x v="9"/>
    <x v="540"/>
    <x v="0"/>
    <x v="0"/>
    <x v="2"/>
    <x v="2"/>
    <x v="1"/>
    <x v="3"/>
  </r>
  <r>
    <x v="67"/>
    <x v="10"/>
    <x v="642"/>
    <x v="0"/>
    <x v="0"/>
    <x v="2"/>
    <x v="2"/>
    <x v="1"/>
    <x v="2"/>
  </r>
  <r>
    <x v="67"/>
    <x v="11"/>
    <x v="717"/>
    <x v="0"/>
    <x v="0"/>
    <x v="2"/>
    <x v="2"/>
    <x v="1"/>
    <x v="2"/>
  </r>
  <r>
    <x v="67"/>
    <x v="12"/>
    <x v="807"/>
    <x v="0"/>
    <x v="0"/>
    <x v="2"/>
    <x v="2"/>
    <x v="1"/>
    <x v="2"/>
  </r>
  <r>
    <x v="67"/>
    <x v="13"/>
    <x v="878"/>
    <x v="0"/>
    <x v="0"/>
    <x v="2"/>
    <x v="2"/>
    <x v="1"/>
    <x v="2"/>
  </r>
  <r>
    <x v="67"/>
    <x v="14"/>
    <x v="906"/>
    <x v="0"/>
    <x v="0"/>
    <x v="2"/>
    <x v="2"/>
    <x v="1"/>
    <x v="2"/>
  </r>
  <r>
    <x v="67"/>
    <x v="15"/>
    <x v="1054"/>
    <x v="0"/>
    <x v="0"/>
    <x v="2"/>
    <x v="2"/>
    <x v="1"/>
    <x v="2"/>
  </r>
  <r>
    <x v="67"/>
    <x v="16"/>
    <x v="1255"/>
    <x v="0"/>
    <x v="0"/>
    <x v="2"/>
    <x v="2"/>
    <x v="1"/>
    <x v="0"/>
  </r>
  <r>
    <x v="67"/>
    <x v="17"/>
    <x v="1111"/>
    <x v="0"/>
    <x v="0"/>
    <x v="2"/>
    <x v="2"/>
    <x v="1"/>
    <x v="0"/>
  </r>
  <r>
    <x v="67"/>
    <x v="18"/>
    <x v="1205"/>
    <x v="0"/>
    <x v="0"/>
    <x v="2"/>
    <x v="2"/>
    <x v="1"/>
    <x v="0"/>
  </r>
  <r>
    <x v="67"/>
    <x v="19"/>
    <x v="911"/>
    <x v="0"/>
    <x v="0"/>
    <x v="2"/>
    <x v="2"/>
    <x v="1"/>
    <x v="0"/>
  </r>
  <r>
    <x v="67"/>
    <x v="20"/>
    <x v="1042"/>
    <x v="0"/>
    <x v="0"/>
    <x v="2"/>
    <x v="2"/>
    <x v="1"/>
    <x v="1"/>
  </r>
  <r>
    <x v="67"/>
    <x v="21"/>
    <x v="1270"/>
    <x v="0"/>
    <x v="0"/>
    <x v="2"/>
    <x v="2"/>
    <x v="1"/>
    <x v="1"/>
  </r>
  <r>
    <x v="67"/>
    <x v="22"/>
    <x v="1607"/>
    <x v="0"/>
    <x v="0"/>
    <x v="2"/>
    <x v="2"/>
    <x v="1"/>
    <x v="1"/>
  </r>
  <r>
    <x v="67"/>
    <x v="23"/>
    <x v="1484"/>
    <x v="0"/>
    <x v="0"/>
    <x v="2"/>
    <x v="2"/>
    <x v="1"/>
    <x v="1"/>
  </r>
  <r>
    <x v="68"/>
    <x v="0"/>
    <x v="943"/>
    <x v="0"/>
    <x v="0"/>
    <x v="2"/>
    <x v="3"/>
    <x v="1"/>
    <x v="4"/>
  </r>
  <r>
    <x v="68"/>
    <x v="1"/>
    <x v="560"/>
    <x v="0"/>
    <x v="0"/>
    <x v="2"/>
    <x v="3"/>
    <x v="1"/>
    <x v="4"/>
  </r>
  <r>
    <x v="68"/>
    <x v="2"/>
    <x v="327"/>
    <x v="0"/>
    <x v="0"/>
    <x v="2"/>
    <x v="3"/>
    <x v="1"/>
    <x v="4"/>
  </r>
  <r>
    <x v="68"/>
    <x v="3"/>
    <x v="230"/>
    <x v="0"/>
    <x v="0"/>
    <x v="2"/>
    <x v="3"/>
    <x v="1"/>
    <x v="4"/>
  </r>
  <r>
    <x v="68"/>
    <x v="4"/>
    <x v="118"/>
    <x v="0"/>
    <x v="0"/>
    <x v="2"/>
    <x v="3"/>
    <x v="1"/>
    <x v="4"/>
  </r>
  <r>
    <x v="68"/>
    <x v="5"/>
    <x v="102"/>
    <x v="0"/>
    <x v="0"/>
    <x v="2"/>
    <x v="3"/>
    <x v="1"/>
    <x v="4"/>
  </r>
  <r>
    <x v="68"/>
    <x v="6"/>
    <x v="138"/>
    <x v="0"/>
    <x v="0"/>
    <x v="2"/>
    <x v="3"/>
    <x v="1"/>
    <x v="3"/>
  </r>
  <r>
    <x v="68"/>
    <x v="7"/>
    <x v="209"/>
    <x v="0"/>
    <x v="0"/>
    <x v="2"/>
    <x v="3"/>
    <x v="1"/>
    <x v="3"/>
  </r>
  <r>
    <x v="68"/>
    <x v="8"/>
    <x v="262"/>
    <x v="0"/>
    <x v="0"/>
    <x v="2"/>
    <x v="3"/>
    <x v="1"/>
    <x v="3"/>
  </r>
  <r>
    <x v="68"/>
    <x v="9"/>
    <x v="431"/>
    <x v="0"/>
    <x v="0"/>
    <x v="2"/>
    <x v="3"/>
    <x v="1"/>
    <x v="3"/>
  </r>
  <r>
    <x v="68"/>
    <x v="10"/>
    <x v="527"/>
    <x v="0"/>
    <x v="0"/>
    <x v="2"/>
    <x v="3"/>
    <x v="1"/>
    <x v="2"/>
  </r>
  <r>
    <x v="68"/>
    <x v="11"/>
    <x v="609"/>
    <x v="0"/>
    <x v="0"/>
    <x v="2"/>
    <x v="3"/>
    <x v="1"/>
    <x v="2"/>
  </r>
  <r>
    <x v="68"/>
    <x v="12"/>
    <x v="747"/>
    <x v="0"/>
    <x v="0"/>
    <x v="2"/>
    <x v="3"/>
    <x v="1"/>
    <x v="2"/>
  </r>
  <r>
    <x v="68"/>
    <x v="13"/>
    <x v="784"/>
    <x v="0"/>
    <x v="0"/>
    <x v="2"/>
    <x v="3"/>
    <x v="1"/>
    <x v="2"/>
  </r>
  <r>
    <x v="68"/>
    <x v="14"/>
    <x v="899"/>
    <x v="0"/>
    <x v="0"/>
    <x v="2"/>
    <x v="3"/>
    <x v="1"/>
    <x v="2"/>
  </r>
  <r>
    <x v="68"/>
    <x v="15"/>
    <x v="976"/>
    <x v="0"/>
    <x v="0"/>
    <x v="2"/>
    <x v="3"/>
    <x v="1"/>
    <x v="2"/>
  </r>
  <r>
    <x v="68"/>
    <x v="16"/>
    <x v="1028"/>
    <x v="0"/>
    <x v="0"/>
    <x v="2"/>
    <x v="3"/>
    <x v="1"/>
    <x v="0"/>
  </r>
  <r>
    <x v="68"/>
    <x v="17"/>
    <x v="845"/>
    <x v="0"/>
    <x v="0"/>
    <x v="2"/>
    <x v="3"/>
    <x v="1"/>
    <x v="0"/>
  </r>
  <r>
    <x v="68"/>
    <x v="18"/>
    <x v="746"/>
    <x v="0"/>
    <x v="0"/>
    <x v="2"/>
    <x v="3"/>
    <x v="1"/>
    <x v="0"/>
  </r>
  <r>
    <x v="68"/>
    <x v="19"/>
    <x v="645"/>
    <x v="0"/>
    <x v="0"/>
    <x v="2"/>
    <x v="3"/>
    <x v="1"/>
    <x v="0"/>
  </r>
  <r>
    <x v="68"/>
    <x v="20"/>
    <x v="657"/>
    <x v="0"/>
    <x v="0"/>
    <x v="2"/>
    <x v="3"/>
    <x v="1"/>
    <x v="1"/>
  </r>
  <r>
    <x v="68"/>
    <x v="21"/>
    <x v="684"/>
    <x v="0"/>
    <x v="0"/>
    <x v="2"/>
    <x v="3"/>
    <x v="1"/>
    <x v="1"/>
  </r>
  <r>
    <x v="68"/>
    <x v="22"/>
    <x v="648"/>
    <x v="0"/>
    <x v="0"/>
    <x v="2"/>
    <x v="3"/>
    <x v="1"/>
    <x v="1"/>
  </r>
  <r>
    <x v="68"/>
    <x v="23"/>
    <x v="357"/>
    <x v="0"/>
    <x v="0"/>
    <x v="2"/>
    <x v="3"/>
    <x v="1"/>
    <x v="1"/>
  </r>
  <r>
    <x v="69"/>
    <x v="0"/>
    <x v="165"/>
    <x v="0"/>
    <x v="0"/>
    <x v="2"/>
    <x v="1"/>
    <x v="0"/>
    <x v="4"/>
  </r>
  <r>
    <x v="69"/>
    <x v="1"/>
    <x v="47"/>
    <x v="0"/>
    <x v="0"/>
    <x v="2"/>
    <x v="1"/>
    <x v="0"/>
    <x v="4"/>
  </r>
  <r>
    <x v="69"/>
    <x v="2"/>
    <x v="30"/>
    <x v="0"/>
    <x v="0"/>
    <x v="2"/>
    <x v="1"/>
    <x v="0"/>
    <x v="4"/>
  </r>
  <r>
    <x v="69"/>
    <x v="3"/>
    <x v="174"/>
    <x v="0"/>
    <x v="0"/>
    <x v="2"/>
    <x v="1"/>
    <x v="0"/>
    <x v="4"/>
  </r>
  <r>
    <x v="69"/>
    <x v="4"/>
    <x v="332"/>
    <x v="0"/>
    <x v="0"/>
    <x v="2"/>
    <x v="1"/>
    <x v="0"/>
    <x v="4"/>
  </r>
  <r>
    <x v="69"/>
    <x v="5"/>
    <x v="629"/>
    <x v="0"/>
    <x v="0"/>
    <x v="2"/>
    <x v="1"/>
    <x v="0"/>
    <x v="4"/>
  </r>
  <r>
    <x v="69"/>
    <x v="6"/>
    <x v="1236"/>
    <x v="0"/>
    <x v="0"/>
    <x v="2"/>
    <x v="1"/>
    <x v="0"/>
    <x v="3"/>
  </r>
  <r>
    <x v="69"/>
    <x v="7"/>
    <x v="1613"/>
    <x v="0"/>
    <x v="0"/>
    <x v="2"/>
    <x v="1"/>
    <x v="0"/>
    <x v="3"/>
  </r>
  <r>
    <x v="69"/>
    <x v="8"/>
    <x v="1715"/>
    <x v="0"/>
    <x v="0"/>
    <x v="2"/>
    <x v="1"/>
    <x v="0"/>
    <x v="3"/>
  </r>
  <r>
    <x v="69"/>
    <x v="9"/>
    <x v="1382"/>
    <x v="0"/>
    <x v="0"/>
    <x v="2"/>
    <x v="1"/>
    <x v="0"/>
    <x v="3"/>
  </r>
  <r>
    <x v="69"/>
    <x v="10"/>
    <x v="984"/>
    <x v="0"/>
    <x v="0"/>
    <x v="2"/>
    <x v="1"/>
    <x v="0"/>
    <x v="2"/>
  </r>
  <r>
    <x v="69"/>
    <x v="11"/>
    <x v="795"/>
    <x v="0"/>
    <x v="0"/>
    <x v="2"/>
    <x v="1"/>
    <x v="0"/>
    <x v="2"/>
  </r>
  <r>
    <x v="69"/>
    <x v="12"/>
    <x v="679"/>
    <x v="0"/>
    <x v="0"/>
    <x v="2"/>
    <x v="1"/>
    <x v="0"/>
    <x v="2"/>
  </r>
  <r>
    <x v="69"/>
    <x v="13"/>
    <x v="795"/>
    <x v="0"/>
    <x v="0"/>
    <x v="2"/>
    <x v="1"/>
    <x v="0"/>
    <x v="2"/>
  </r>
  <r>
    <x v="69"/>
    <x v="14"/>
    <x v="925"/>
    <x v="0"/>
    <x v="0"/>
    <x v="2"/>
    <x v="1"/>
    <x v="0"/>
    <x v="2"/>
  </r>
  <r>
    <x v="69"/>
    <x v="15"/>
    <x v="1121"/>
    <x v="0"/>
    <x v="0"/>
    <x v="2"/>
    <x v="1"/>
    <x v="0"/>
    <x v="2"/>
  </r>
  <r>
    <x v="69"/>
    <x v="16"/>
    <x v="1331"/>
    <x v="0"/>
    <x v="0"/>
    <x v="2"/>
    <x v="1"/>
    <x v="0"/>
    <x v="0"/>
  </r>
  <r>
    <x v="69"/>
    <x v="17"/>
    <x v="1560"/>
    <x v="0"/>
    <x v="0"/>
    <x v="2"/>
    <x v="1"/>
    <x v="0"/>
    <x v="0"/>
  </r>
  <r>
    <x v="69"/>
    <x v="18"/>
    <x v="1249"/>
    <x v="0"/>
    <x v="0"/>
    <x v="2"/>
    <x v="1"/>
    <x v="0"/>
    <x v="0"/>
  </r>
  <r>
    <x v="69"/>
    <x v="19"/>
    <x v="1008"/>
    <x v="0"/>
    <x v="0"/>
    <x v="2"/>
    <x v="1"/>
    <x v="0"/>
    <x v="0"/>
  </r>
  <r>
    <x v="69"/>
    <x v="20"/>
    <x v="954"/>
    <x v="0"/>
    <x v="0"/>
    <x v="2"/>
    <x v="1"/>
    <x v="0"/>
    <x v="1"/>
  </r>
  <r>
    <x v="69"/>
    <x v="21"/>
    <x v="915"/>
    <x v="0"/>
    <x v="0"/>
    <x v="2"/>
    <x v="1"/>
    <x v="0"/>
    <x v="1"/>
  </r>
  <r>
    <x v="69"/>
    <x v="22"/>
    <x v="549"/>
    <x v="0"/>
    <x v="0"/>
    <x v="2"/>
    <x v="1"/>
    <x v="0"/>
    <x v="1"/>
  </r>
  <r>
    <x v="69"/>
    <x v="23"/>
    <x v="321"/>
    <x v="0"/>
    <x v="0"/>
    <x v="2"/>
    <x v="1"/>
    <x v="0"/>
    <x v="1"/>
  </r>
  <r>
    <x v="70"/>
    <x v="0"/>
    <x v="125"/>
    <x v="0"/>
    <x v="0"/>
    <x v="2"/>
    <x v="5"/>
    <x v="0"/>
    <x v="4"/>
  </r>
  <r>
    <x v="70"/>
    <x v="1"/>
    <x v="44"/>
    <x v="0"/>
    <x v="0"/>
    <x v="2"/>
    <x v="5"/>
    <x v="0"/>
    <x v="4"/>
  </r>
  <r>
    <x v="70"/>
    <x v="2"/>
    <x v="23"/>
    <x v="0"/>
    <x v="0"/>
    <x v="2"/>
    <x v="5"/>
    <x v="0"/>
    <x v="4"/>
  </r>
  <r>
    <x v="70"/>
    <x v="3"/>
    <x v="51"/>
    <x v="0"/>
    <x v="0"/>
    <x v="2"/>
    <x v="5"/>
    <x v="0"/>
    <x v="4"/>
  </r>
  <r>
    <x v="70"/>
    <x v="4"/>
    <x v="175"/>
    <x v="0"/>
    <x v="0"/>
    <x v="2"/>
    <x v="5"/>
    <x v="0"/>
    <x v="4"/>
  </r>
  <r>
    <x v="70"/>
    <x v="5"/>
    <x v="378"/>
    <x v="0"/>
    <x v="0"/>
    <x v="2"/>
    <x v="5"/>
    <x v="0"/>
    <x v="4"/>
  </r>
  <r>
    <x v="70"/>
    <x v="6"/>
    <x v="887"/>
    <x v="0"/>
    <x v="0"/>
    <x v="2"/>
    <x v="5"/>
    <x v="0"/>
    <x v="3"/>
  </r>
  <r>
    <x v="70"/>
    <x v="7"/>
    <x v="1292"/>
    <x v="0"/>
    <x v="0"/>
    <x v="2"/>
    <x v="5"/>
    <x v="0"/>
    <x v="3"/>
  </r>
  <r>
    <x v="70"/>
    <x v="8"/>
    <x v="1118"/>
    <x v="0"/>
    <x v="0"/>
    <x v="2"/>
    <x v="5"/>
    <x v="0"/>
    <x v="3"/>
  </r>
  <r>
    <x v="70"/>
    <x v="9"/>
    <x v="695"/>
    <x v="0"/>
    <x v="0"/>
    <x v="2"/>
    <x v="5"/>
    <x v="0"/>
    <x v="3"/>
  </r>
  <r>
    <x v="70"/>
    <x v="10"/>
    <x v="654"/>
    <x v="0"/>
    <x v="0"/>
    <x v="2"/>
    <x v="5"/>
    <x v="0"/>
    <x v="2"/>
  </r>
  <r>
    <x v="70"/>
    <x v="11"/>
    <x v="742"/>
    <x v="0"/>
    <x v="0"/>
    <x v="2"/>
    <x v="5"/>
    <x v="0"/>
    <x v="2"/>
  </r>
  <r>
    <x v="70"/>
    <x v="12"/>
    <x v="698"/>
    <x v="0"/>
    <x v="0"/>
    <x v="2"/>
    <x v="5"/>
    <x v="0"/>
    <x v="2"/>
  </r>
  <r>
    <x v="70"/>
    <x v="13"/>
    <x v="825"/>
    <x v="0"/>
    <x v="0"/>
    <x v="2"/>
    <x v="5"/>
    <x v="0"/>
    <x v="2"/>
  </r>
  <r>
    <x v="70"/>
    <x v="14"/>
    <x v="1093"/>
    <x v="0"/>
    <x v="0"/>
    <x v="2"/>
    <x v="5"/>
    <x v="0"/>
    <x v="2"/>
  </r>
  <r>
    <x v="70"/>
    <x v="15"/>
    <x v="1397"/>
    <x v="0"/>
    <x v="0"/>
    <x v="2"/>
    <x v="5"/>
    <x v="0"/>
    <x v="2"/>
  </r>
  <r>
    <x v="70"/>
    <x v="16"/>
    <x v="1653"/>
    <x v="0"/>
    <x v="0"/>
    <x v="2"/>
    <x v="5"/>
    <x v="0"/>
    <x v="0"/>
  </r>
  <r>
    <x v="70"/>
    <x v="17"/>
    <x v="1789"/>
    <x v="0"/>
    <x v="0"/>
    <x v="2"/>
    <x v="5"/>
    <x v="0"/>
    <x v="0"/>
  </r>
  <r>
    <x v="70"/>
    <x v="18"/>
    <x v="1389"/>
    <x v="0"/>
    <x v="0"/>
    <x v="2"/>
    <x v="5"/>
    <x v="0"/>
    <x v="0"/>
  </r>
  <r>
    <x v="70"/>
    <x v="19"/>
    <x v="1165"/>
    <x v="0"/>
    <x v="0"/>
    <x v="2"/>
    <x v="5"/>
    <x v="0"/>
    <x v="0"/>
  </r>
  <r>
    <x v="70"/>
    <x v="20"/>
    <x v="1366"/>
    <x v="0"/>
    <x v="0"/>
    <x v="2"/>
    <x v="5"/>
    <x v="0"/>
    <x v="1"/>
  </r>
  <r>
    <x v="70"/>
    <x v="21"/>
    <x v="1321"/>
    <x v="0"/>
    <x v="0"/>
    <x v="2"/>
    <x v="5"/>
    <x v="0"/>
    <x v="1"/>
  </r>
  <r>
    <x v="70"/>
    <x v="22"/>
    <x v="808"/>
    <x v="0"/>
    <x v="0"/>
    <x v="2"/>
    <x v="5"/>
    <x v="0"/>
    <x v="1"/>
  </r>
  <r>
    <x v="70"/>
    <x v="23"/>
    <x v="443"/>
    <x v="0"/>
    <x v="0"/>
    <x v="2"/>
    <x v="5"/>
    <x v="0"/>
    <x v="1"/>
  </r>
  <r>
    <x v="71"/>
    <x v="0"/>
    <x v="186"/>
    <x v="0"/>
    <x v="0"/>
    <x v="2"/>
    <x v="6"/>
    <x v="0"/>
    <x v="4"/>
  </r>
  <r>
    <x v="71"/>
    <x v="1"/>
    <x v="76"/>
    <x v="0"/>
    <x v="0"/>
    <x v="2"/>
    <x v="6"/>
    <x v="0"/>
    <x v="4"/>
  </r>
  <r>
    <x v="71"/>
    <x v="2"/>
    <x v="34"/>
    <x v="0"/>
    <x v="0"/>
    <x v="2"/>
    <x v="6"/>
    <x v="0"/>
    <x v="4"/>
  </r>
  <r>
    <x v="71"/>
    <x v="3"/>
    <x v="83"/>
    <x v="0"/>
    <x v="0"/>
    <x v="2"/>
    <x v="6"/>
    <x v="0"/>
    <x v="4"/>
  </r>
  <r>
    <x v="71"/>
    <x v="4"/>
    <x v="168"/>
    <x v="0"/>
    <x v="0"/>
    <x v="2"/>
    <x v="6"/>
    <x v="0"/>
    <x v="4"/>
  </r>
  <r>
    <x v="71"/>
    <x v="5"/>
    <x v="413"/>
    <x v="0"/>
    <x v="0"/>
    <x v="2"/>
    <x v="6"/>
    <x v="0"/>
    <x v="4"/>
  </r>
  <r>
    <x v="71"/>
    <x v="6"/>
    <x v="1031"/>
    <x v="0"/>
    <x v="0"/>
    <x v="2"/>
    <x v="6"/>
    <x v="0"/>
    <x v="3"/>
  </r>
  <r>
    <x v="71"/>
    <x v="7"/>
    <x v="1415"/>
    <x v="0"/>
    <x v="0"/>
    <x v="2"/>
    <x v="6"/>
    <x v="0"/>
    <x v="3"/>
  </r>
  <r>
    <x v="71"/>
    <x v="8"/>
    <x v="1306"/>
    <x v="0"/>
    <x v="0"/>
    <x v="2"/>
    <x v="6"/>
    <x v="0"/>
    <x v="3"/>
  </r>
  <r>
    <x v="71"/>
    <x v="9"/>
    <x v="876"/>
    <x v="0"/>
    <x v="0"/>
    <x v="2"/>
    <x v="6"/>
    <x v="0"/>
    <x v="3"/>
  </r>
  <r>
    <x v="71"/>
    <x v="10"/>
    <x v="747"/>
    <x v="0"/>
    <x v="0"/>
    <x v="2"/>
    <x v="6"/>
    <x v="0"/>
    <x v="2"/>
  </r>
  <r>
    <x v="71"/>
    <x v="11"/>
    <x v="764"/>
    <x v="0"/>
    <x v="0"/>
    <x v="2"/>
    <x v="6"/>
    <x v="0"/>
    <x v="2"/>
  </r>
  <r>
    <x v="71"/>
    <x v="12"/>
    <x v="770"/>
    <x v="0"/>
    <x v="0"/>
    <x v="2"/>
    <x v="6"/>
    <x v="0"/>
    <x v="2"/>
  </r>
  <r>
    <x v="71"/>
    <x v="13"/>
    <x v="990"/>
    <x v="0"/>
    <x v="0"/>
    <x v="2"/>
    <x v="6"/>
    <x v="0"/>
    <x v="2"/>
  </r>
  <r>
    <x v="71"/>
    <x v="14"/>
    <x v="1257"/>
    <x v="0"/>
    <x v="0"/>
    <x v="2"/>
    <x v="6"/>
    <x v="0"/>
    <x v="2"/>
  </r>
  <r>
    <x v="71"/>
    <x v="15"/>
    <x v="1458"/>
    <x v="0"/>
    <x v="0"/>
    <x v="2"/>
    <x v="6"/>
    <x v="0"/>
    <x v="2"/>
  </r>
  <r>
    <x v="71"/>
    <x v="16"/>
    <x v="1644"/>
    <x v="0"/>
    <x v="0"/>
    <x v="2"/>
    <x v="6"/>
    <x v="0"/>
    <x v="0"/>
  </r>
  <r>
    <x v="71"/>
    <x v="17"/>
    <x v="1774"/>
    <x v="0"/>
    <x v="0"/>
    <x v="2"/>
    <x v="6"/>
    <x v="0"/>
    <x v="0"/>
  </r>
  <r>
    <x v="71"/>
    <x v="18"/>
    <x v="1575"/>
    <x v="0"/>
    <x v="0"/>
    <x v="2"/>
    <x v="6"/>
    <x v="0"/>
    <x v="0"/>
  </r>
  <r>
    <x v="71"/>
    <x v="19"/>
    <x v="1447"/>
    <x v="0"/>
    <x v="0"/>
    <x v="2"/>
    <x v="6"/>
    <x v="0"/>
    <x v="0"/>
  </r>
  <r>
    <x v="71"/>
    <x v="20"/>
    <x v="1480"/>
    <x v="0"/>
    <x v="0"/>
    <x v="2"/>
    <x v="6"/>
    <x v="0"/>
    <x v="1"/>
  </r>
  <r>
    <x v="71"/>
    <x v="21"/>
    <x v="1461"/>
    <x v="0"/>
    <x v="0"/>
    <x v="2"/>
    <x v="6"/>
    <x v="0"/>
    <x v="1"/>
  </r>
  <r>
    <x v="71"/>
    <x v="22"/>
    <x v="1235"/>
    <x v="0"/>
    <x v="0"/>
    <x v="2"/>
    <x v="6"/>
    <x v="0"/>
    <x v="1"/>
  </r>
  <r>
    <x v="71"/>
    <x v="23"/>
    <x v="583"/>
    <x v="0"/>
    <x v="0"/>
    <x v="2"/>
    <x v="6"/>
    <x v="0"/>
    <x v="1"/>
  </r>
  <r>
    <x v="72"/>
    <x v="0"/>
    <x v="228"/>
    <x v="0"/>
    <x v="0"/>
    <x v="2"/>
    <x v="4"/>
    <x v="0"/>
    <x v="4"/>
  </r>
  <r>
    <x v="72"/>
    <x v="1"/>
    <x v="107"/>
    <x v="0"/>
    <x v="0"/>
    <x v="2"/>
    <x v="4"/>
    <x v="0"/>
    <x v="4"/>
  </r>
  <r>
    <x v="72"/>
    <x v="2"/>
    <x v="39"/>
    <x v="0"/>
    <x v="0"/>
    <x v="2"/>
    <x v="4"/>
    <x v="0"/>
    <x v="4"/>
  </r>
  <r>
    <x v="72"/>
    <x v="3"/>
    <x v="116"/>
    <x v="0"/>
    <x v="0"/>
    <x v="2"/>
    <x v="4"/>
    <x v="0"/>
    <x v="4"/>
  </r>
  <r>
    <x v="72"/>
    <x v="4"/>
    <x v="198"/>
    <x v="0"/>
    <x v="0"/>
    <x v="2"/>
    <x v="4"/>
    <x v="0"/>
    <x v="4"/>
  </r>
  <r>
    <x v="72"/>
    <x v="5"/>
    <x v="401"/>
    <x v="0"/>
    <x v="0"/>
    <x v="2"/>
    <x v="4"/>
    <x v="0"/>
    <x v="4"/>
  </r>
  <r>
    <x v="72"/>
    <x v="6"/>
    <x v="948"/>
    <x v="0"/>
    <x v="0"/>
    <x v="2"/>
    <x v="4"/>
    <x v="0"/>
    <x v="3"/>
  </r>
  <r>
    <x v="72"/>
    <x v="7"/>
    <x v="1410"/>
    <x v="0"/>
    <x v="0"/>
    <x v="2"/>
    <x v="4"/>
    <x v="0"/>
    <x v="3"/>
  </r>
  <r>
    <x v="72"/>
    <x v="8"/>
    <x v="1284"/>
    <x v="0"/>
    <x v="0"/>
    <x v="2"/>
    <x v="4"/>
    <x v="0"/>
    <x v="3"/>
  </r>
  <r>
    <x v="72"/>
    <x v="9"/>
    <x v="894"/>
    <x v="0"/>
    <x v="0"/>
    <x v="2"/>
    <x v="4"/>
    <x v="0"/>
    <x v="3"/>
  </r>
  <r>
    <x v="72"/>
    <x v="10"/>
    <x v="810"/>
    <x v="0"/>
    <x v="0"/>
    <x v="2"/>
    <x v="4"/>
    <x v="0"/>
    <x v="2"/>
  </r>
  <r>
    <x v="72"/>
    <x v="11"/>
    <x v="818"/>
    <x v="0"/>
    <x v="0"/>
    <x v="2"/>
    <x v="4"/>
    <x v="0"/>
    <x v="2"/>
  </r>
  <r>
    <x v="72"/>
    <x v="12"/>
    <x v="924"/>
    <x v="0"/>
    <x v="0"/>
    <x v="2"/>
    <x v="4"/>
    <x v="0"/>
    <x v="2"/>
  </r>
  <r>
    <x v="72"/>
    <x v="13"/>
    <x v="1095"/>
    <x v="0"/>
    <x v="0"/>
    <x v="2"/>
    <x v="4"/>
    <x v="0"/>
    <x v="2"/>
  </r>
  <r>
    <x v="72"/>
    <x v="14"/>
    <x v="1346"/>
    <x v="0"/>
    <x v="0"/>
    <x v="2"/>
    <x v="4"/>
    <x v="0"/>
    <x v="2"/>
  </r>
  <r>
    <x v="72"/>
    <x v="15"/>
    <x v="1632"/>
    <x v="0"/>
    <x v="0"/>
    <x v="2"/>
    <x v="4"/>
    <x v="0"/>
    <x v="2"/>
  </r>
  <r>
    <x v="72"/>
    <x v="16"/>
    <x v="1783"/>
    <x v="0"/>
    <x v="0"/>
    <x v="2"/>
    <x v="4"/>
    <x v="0"/>
    <x v="0"/>
  </r>
  <r>
    <x v="72"/>
    <x v="17"/>
    <x v="1988"/>
    <x v="0"/>
    <x v="0"/>
    <x v="2"/>
    <x v="4"/>
    <x v="0"/>
    <x v="0"/>
  </r>
  <r>
    <x v="72"/>
    <x v="18"/>
    <x v="1981"/>
    <x v="0"/>
    <x v="0"/>
    <x v="2"/>
    <x v="4"/>
    <x v="0"/>
    <x v="0"/>
  </r>
  <r>
    <x v="72"/>
    <x v="19"/>
    <x v="1792"/>
    <x v="0"/>
    <x v="0"/>
    <x v="2"/>
    <x v="4"/>
    <x v="0"/>
    <x v="0"/>
  </r>
  <r>
    <x v="72"/>
    <x v="20"/>
    <x v="1833"/>
    <x v="0"/>
    <x v="0"/>
    <x v="2"/>
    <x v="4"/>
    <x v="0"/>
    <x v="1"/>
  </r>
  <r>
    <x v="72"/>
    <x v="21"/>
    <x v="1762"/>
    <x v="0"/>
    <x v="0"/>
    <x v="2"/>
    <x v="4"/>
    <x v="0"/>
    <x v="1"/>
  </r>
  <r>
    <x v="72"/>
    <x v="22"/>
    <x v="1722"/>
    <x v="0"/>
    <x v="0"/>
    <x v="2"/>
    <x v="4"/>
    <x v="0"/>
    <x v="1"/>
  </r>
  <r>
    <x v="72"/>
    <x v="23"/>
    <x v="1196"/>
    <x v="0"/>
    <x v="0"/>
    <x v="2"/>
    <x v="4"/>
    <x v="0"/>
    <x v="1"/>
  </r>
  <r>
    <x v="73"/>
    <x v="0"/>
    <x v="425"/>
    <x v="0"/>
    <x v="0"/>
    <x v="2"/>
    <x v="0"/>
    <x v="0"/>
    <x v="4"/>
  </r>
  <r>
    <x v="73"/>
    <x v="1"/>
    <x v="242"/>
    <x v="0"/>
    <x v="0"/>
    <x v="2"/>
    <x v="0"/>
    <x v="0"/>
    <x v="4"/>
  </r>
  <r>
    <x v="73"/>
    <x v="2"/>
    <x v="131"/>
    <x v="0"/>
    <x v="0"/>
    <x v="2"/>
    <x v="0"/>
    <x v="0"/>
    <x v="4"/>
  </r>
  <r>
    <x v="73"/>
    <x v="3"/>
    <x v="194"/>
    <x v="0"/>
    <x v="0"/>
    <x v="2"/>
    <x v="0"/>
    <x v="0"/>
    <x v="4"/>
  </r>
  <r>
    <x v="73"/>
    <x v="4"/>
    <x v="294"/>
    <x v="0"/>
    <x v="0"/>
    <x v="2"/>
    <x v="0"/>
    <x v="0"/>
    <x v="4"/>
  </r>
  <r>
    <x v="73"/>
    <x v="5"/>
    <x v="439"/>
    <x v="0"/>
    <x v="0"/>
    <x v="2"/>
    <x v="0"/>
    <x v="0"/>
    <x v="4"/>
  </r>
  <r>
    <x v="73"/>
    <x v="6"/>
    <x v="918"/>
    <x v="0"/>
    <x v="0"/>
    <x v="2"/>
    <x v="0"/>
    <x v="0"/>
    <x v="3"/>
  </r>
  <r>
    <x v="73"/>
    <x v="7"/>
    <x v="1477"/>
    <x v="0"/>
    <x v="0"/>
    <x v="2"/>
    <x v="0"/>
    <x v="0"/>
    <x v="3"/>
  </r>
  <r>
    <x v="73"/>
    <x v="8"/>
    <x v="1654"/>
    <x v="0"/>
    <x v="0"/>
    <x v="2"/>
    <x v="0"/>
    <x v="0"/>
    <x v="3"/>
  </r>
  <r>
    <x v="73"/>
    <x v="9"/>
    <x v="1372"/>
    <x v="0"/>
    <x v="0"/>
    <x v="2"/>
    <x v="0"/>
    <x v="0"/>
    <x v="3"/>
  </r>
  <r>
    <x v="73"/>
    <x v="10"/>
    <x v="954"/>
    <x v="0"/>
    <x v="0"/>
    <x v="2"/>
    <x v="0"/>
    <x v="0"/>
    <x v="2"/>
  </r>
  <r>
    <x v="73"/>
    <x v="11"/>
    <x v="903"/>
    <x v="0"/>
    <x v="0"/>
    <x v="2"/>
    <x v="0"/>
    <x v="0"/>
    <x v="2"/>
  </r>
  <r>
    <x v="73"/>
    <x v="12"/>
    <x v="907"/>
    <x v="0"/>
    <x v="0"/>
    <x v="2"/>
    <x v="0"/>
    <x v="0"/>
    <x v="2"/>
  </r>
  <r>
    <x v="73"/>
    <x v="13"/>
    <x v="998"/>
    <x v="0"/>
    <x v="0"/>
    <x v="2"/>
    <x v="0"/>
    <x v="0"/>
    <x v="2"/>
  </r>
  <r>
    <x v="73"/>
    <x v="14"/>
    <x v="1212"/>
    <x v="0"/>
    <x v="0"/>
    <x v="2"/>
    <x v="0"/>
    <x v="0"/>
    <x v="2"/>
  </r>
  <r>
    <x v="73"/>
    <x v="15"/>
    <x v="1477"/>
    <x v="0"/>
    <x v="0"/>
    <x v="2"/>
    <x v="0"/>
    <x v="0"/>
    <x v="2"/>
  </r>
  <r>
    <x v="73"/>
    <x v="16"/>
    <x v="1797"/>
    <x v="0"/>
    <x v="0"/>
    <x v="2"/>
    <x v="0"/>
    <x v="0"/>
    <x v="0"/>
  </r>
  <r>
    <x v="73"/>
    <x v="17"/>
    <x v="2457"/>
    <x v="0"/>
    <x v="0"/>
    <x v="2"/>
    <x v="0"/>
    <x v="0"/>
    <x v="0"/>
  </r>
  <r>
    <x v="73"/>
    <x v="18"/>
    <x v="2569"/>
    <x v="0"/>
    <x v="0"/>
    <x v="2"/>
    <x v="0"/>
    <x v="0"/>
    <x v="0"/>
  </r>
  <r>
    <x v="73"/>
    <x v="19"/>
    <x v="1894"/>
    <x v="0"/>
    <x v="0"/>
    <x v="2"/>
    <x v="0"/>
    <x v="0"/>
    <x v="0"/>
  </r>
  <r>
    <x v="73"/>
    <x v="20"/>
    <x v="1294"/>
    <x v="0"/>
    <x v="0"/>
    <x v="2"/>
    <x v="0"/>
    <x v="0"/>
    <x v="1"/>
  </r>
  <r>
    <x v="73"/>
    <x v="21"/>
    <x v="1301"/>
    <x v="0"/>
    <x v="0"/>
    <x v="2"/>
    <x v="0"/>
    <x v="0"/>
    <x v="1"/>
  </r>
  <r>
    <x v="73"/>
    <x v="22"/>
    <x v="1209"/>
    <x v="0"/>
    <x v="0"/>
    <x v="2"/>
    <x v="0"/>
    <x v="0"/>
    <x v="1"/>
  </r>
  <r>
    <x v="73"/>
    <x v="23"/>
    <x v="1134"/>
    <x v="0"/>
    <x v="0"/>
    <x v="2"/>
    <x v="0"/>
    <x v="0"/>
    <x v="1"/>
  </r>
  <r>
    <x v="74"/>
    <x v="0"/>
    <x v="667"/>
    <x v="0"/>
    <x v="0"/>
    <x v="2"/>
    <x v="2"/>
    <x v="1"/>
    <x v="4"/>
  </r>
  <r>
    <x v="74"/>
    <x v="1"/>
    <x v="420"/>
    <x v="0"/>
    <x v="0"/>
    <x v="2"/>
    <x v="2"/>
    <x v="1"/>
    <x v="4"/>
  </r>
  <r>
    <x v="74"/>
    <x v="2"/>
    <x v="238"/>
    <x v="0"/>
    <x v="0"/>
    <x v="2"/>
    <x v="2"/>
    <x v="1"/>
    <x v="4"/>
  </r>
  <r>
    <x v="74"/>
    <x v="3"/>
    <x v="252"/>
    <x v="0"/>
    <x v="0"/>
    <x v="2"/>
    <x v="2"/>
    <x v="1"/>
    <x v="4"/>
  </r>
  <r>
    <x v="74"/>
    <x v="4"/>
    <x v="125"/>
    <x v="0"/>
    <x v="0"/>
    <x v="2"/>
    <x v="2"/>
    <x v="1"/>
    <x v="4"/>
  </r>
  <r>
    <x v="74"/>
    <x v="5"/>
    <x v="159"/>
    <x v="0"/>
    <x v="0"/>
    <x v="2"/>
    <x v="2"/>
    <x v="1"/>
    <x v="4"/>
  </r>
  <r>
    <x v="74"/>
    <x v="6"/>
    <x v="243"/>
    <x v="0"/>
    <x v="0"/>
    <x v="2"/>
    <x v="2"/>
    <x v="1"/>
    <x v="3"/>
  </r>
  <r>
    <x v="74"/>
    <x v="7"/>
    <x v="290"/>
    <x v="0"/>
    <x v="0"/>
    <x v="2"/>
    <x v="2"/>
    <x v="1"/>
    <x v="3"/>
  </r>
  <r>
    <x v="74"/>
    <x v="8"/>
    <x v="366"/>
    <x v="0"/>
    <x v="0"/>
    <x v="2"/>
    <x v="2"/>
    <x v="1"/>
    <x v="3"/>
  </r>
  <r>
    <x v="74"/>
    <x v="9"/>
    <x v="516"/>
    <x v="0"/>
    <x v="0"/>
    <x v="2"/>
    <x v="2"/>
    <x v="1"/>
    <x v="3"/>
  </r>
  <r>
    <x v="74"/>
    <x v="10"/>
    <x v="579"/>
    <x v="0"/>
    <x v="0"/>
    <x v="2"/>
    <x v="2"/>
    <x v="1"/>
    <x v="2"/>
  </r>
  <r>
    <x v="74"/>
    <x v="11"/>
    <x v="637"/>
    <x v="0"/>
    <x v="0"/>
    <x v="2"/>
    <x v="2"/>
    <x v="1"/>
    <x v="2"/>
  </r>
  <r>
    <x v="74"/>
    <x v="12"/>
    <x v="647"/>
    <x v="0"/>
    <x v="0"/>
    <x v="2"/>
    <x v="2"/>
    <x v="1"/>
    <x v="2"/>
  </r>
  <r>
    <x v="74"/>
    <x v="13"/>
    <x v="702"/>
    <x v="0"/>
    <x v="0"/>
    <x v="2"/>
    <x v="2"/>
    <x v="1"/>
    <x v="2"/>
  </r>
  <r>
    <x v="74"/>
    <x v="14"/>
    <x v="784"/>
    <x v="0"/>
    <x v="0"/>
    <x v="2"/>
    <x v="2"/>
    <x v="1"/>
    <x v="2"/>
  </r>
  <r>
    <x v="74"/>
    <x v="15"/>
    <x v="1046"/>
    <x v="0"/>
    <x v="0"/>
    <x v="2"/>
    <x v="2"/>
    <x v="1"/>
    <x v="2"/>
  </r>
  <r>
    <x v="74"/>
    <x v="16"/>
    <x v="1360"/>
    <x v="0"/>
    <x v="0"/>
    <x v="2"/>
    <x v="2"/>
    <x v="1"/>
    <x v="0"/>
  </r>
  <r>
    <x v="74"/>
    <x v="17"/>
    <x v="1091"/>
    <x v="0"/>
    <x v="0"/>
    <x v="2"/>
    <x v="2"/>
    <x v="1"/>
    <x v="0"/>
  </r>
  <r>
    <x v="74"/>
    <x v="18"/>
    <x v="1029"/>
    <x v="0"/>
    <x v="0"/>
    <x v="2"/>
    <x v="2"/>
    <x v="1"/>
    <x v="0"/>
  </r>
  <r>
    <x v="74"/>
    <x v="19"/>
    <x v="998"/>
    <x v="0"/>
    <x v="0"/>
    <x v="2"/>
    <x v="2"/>
    <x v="1"/>
    <x v="0"/>
  </r>
  <r>
    <x v="74"/>
    <x v="20"/>
    <x v="982"/>
    <x v="0"/>
    <x v="0"/>
    <x v="2"/>
    <x v="2"/>
    <x v="1"/>
    <x v="1"/>
  </r>
  <r>
    <x v="74"/>
    <x v="21"/>
    <x v="1154"/>
    <x v="0"/>
    <x v="0"/>
    <x v="2"/>
    <x v="2"/>
    <x v="1"/>
    <x v="1"/>
  </r>
  <r>
    <x v="74"/>
    <x v="22"/>
    <x v="1369"/>
    <x v="0"/>
    <x v="0"/>
    <x v="2"/>
    <x v="2"/>
    <x v="1"/>
    <x v="1"/>
  </r>
  <r>
    <x v="74"/>
    <x v="23"/>
    <x v="1207"/>
    <x v="0"/>
    <x v="0"/>
    <x v="2"/>
    <x v="2"/>
    <x v="1"/>
    <x v="1"/>
  </r>
  <r>
    <x v="75"/>
    <x v="0"/>
    <x v="757"/>
    <x v="0"/>
    <x v="0"/>
    <x v="2"/>
    <x v="3"/>
    <x v="1"/>
    <x v="4"/>
  </r>
  <r>
    <x v="75"/>
    <x v="1"/>
    <x v="485"/>
    <x v="0"/>
    <x v="0"/>
    <x v="2"/>
    <x v="3"/>
    <x v="1"/>
    <x v="4"/>
  </r>
  <r>
    <x v="75"/>
    <x v="2"/>
    <x v="339"/>
    <x v="0"/>
    <x v="0"/>
    <x v="2"/>
    <x v="3"/>
    <x v="1"/>
    <x v="4"/>
  </r>
  <r>
    <x v="75"/>
    <x v="3"/>
    <x v="210"/>
    <x v="0"/>
    <x v="0"/>
    <x v="2"/>
    <x v="3"/>
    <x v="1"/>
    <x v="4"/>
  </r>
  <r>
    <x v="75"/>
    <x v="4"/>
    <x v="119"/>
    <x v="0"/>
    <x v="0"/>
    <x v="2"/>
    <x v="3"/>
    <x v="1"/>
    <x v="4"/>
  </r>
  <r>
    <x v="75"/>
    <x v="5"/>
    <x v="123"/>
    <x v="0"/>
    <x v="0"/>
    <x v="2"/>
    <x v="3"/>
    <x v="1"/>
    <x v="4"/>
  </r>
  <r>
    <x v="75"/>
    <x v="6"/>
    <x v="127"/>
    <x v="0"/>
    <x v="0"/>
    <x v="2"/>
    <x v="3"/>
    <x v="1"/>
    <x v="3"/>
  </r>
  <r>
    <x v="75"/>
    <x v="7"/>
    <x v="171"/>
    <x v="0"/>
    <x v="0"/>
    <x v="2"/>
    <x v="3"/>
    <x v="1"/>
    <x v="3"/>
  </r>
  <r>
    <x v="75"/>
    <x v="8"/>
    <x v="276"/>
    <x v="0"/>
    <x v="0"/>
    <x v="2"/>
    <x v="3"/>
    <x v="1"/>
    <x v="3"/>
  </r>
  <r>
    <x v="75"/>
    <x v="9"/>
    <x v="413"/>
    <x v="0"/>
    <x v="0"/>
    <x v="2"/>
    <x v="3"/>
    <x v="1"/>
    <x v="3"/>
  </r>
  <r>
    <x v="75"/>
    <x v="10"/>
    <x v="533"/>
    <x v="0"/>
    <x v="0"/>
    <x v="2"/>
    <x v="3"/>
    <x v="1"/>
    <x v="2"/>
  </r>
  <r>
    <x v="75"/>
    <x v="11"/>
    <x v="576"/>
    <x v="0"/>
    <x v="0"/>
    <x v="2"/>
    <x v="3"/>
    <x v="1"/>
    <x v="2"/>
  </r>
  <r>
    <x v="75"/>
    <x v="12"/>
    <x v="670"/>
    <x v="0"/>
    <x v="0"/>
    <x v="2"/>
    <x v="3"/>
    <x v="1"/>
    <x v="2"/>
  </r>
  <r>
    <x v="75"/>
    <x v="13"/>
    <x v="707"/>
    <x v="0"/>
    <x v="0"/>
    <x v="2"/>
    <x v="3"/>
    <x v="1"/>
    <x v="2"/>
  </r>
  <r>
    <x v="75"/>
    <x v="14"/>
    <x v="751"/>
    <x v="0"/>
    <x v="0"/>
    <x v="2"/>
    <x v="3"/>
    <x v="1"/>
    <x v="2"/>
  </r>
  <r>
    <x v="75"/>
    <x v="15"/>
    <x v="808"/>
    <x v="0"/>
    <x v="0"/>
    <x v="2"/>
    <x v="3"/>
    <x v="1"/>
    <x v="2"/>
  </r>
  <r>
    <x v="75"/>
    <x v="16"/>
    <x v="832"/>
    <x v="0"/>
    <x v="0"/>
    <x v="2"/>
    <x v="3"/>
    <x v="1"/>
    <x v="0"/>
  </r>
  <r>
    <x v="75"/>
    <x v="17"/>
    <x v="793"/>
    <x v="0"/>
    <x v="0"/>
    <x v="2"/>
    <x v="3"/>
    <x v="1"/>
    <x v="0"/>
  </r>
  <r>
    <x v="75"/>
    <x v="18"/>
    <x v="724"/>
    <x v="0"/>
    <x v="0"/>
    <x v="2"/>
    <x v="3"/>
    <x v="1"/>
    <x v="0"/>
  </r>
  <r>
    <x v="75"/>
    <x v="19"/>
    <x v="708"/>
    <x v="0"/>
    <x v="0"/>
    <x v="2"/>
    <x v="3"/>
    <x v="1"/>
    <x v="0"/>
  </r>
  <r>
    <x v="75"/>
    <x v="20"/>
    <x v="688"/>
    <x v="0"/>
    <x v="0"/>
    <x v="2"/>
    <x v="3"/>
    <x v="1"/>
    <x v="1"/>
  </r>
  <r>
    <x v="75"/>
    <x v="21"/>
    <x v="720"/>
    <x v="0"/>
    <x v="0"/>
    <x v="2"/>
    <x v="3"/>
    <x v="1"/>
    <x v="1"/>
  </r>
  <r>
    <x v="75"/>
    <x v="22"/>
    <x v="512"/>
    <x v="0"/>
    <x v="0"/>
    <x v="2"/>
    <x v="3"/>
    <x v="1"/>
    <x v="1"/>
  </r>
  <r>
    <x v="75"/>
    <x v="23"/>
    <x v="252"/>
    <x v="0"/>
    <x v="0"/>
    <x v="2"/>
    <x v="3"/>
    <x v="1"/>
    <x v="1"/>
  </r>
  <r>
    <x v="76"/>
    <x v="0"/>
    <x v="53"/>
    <x v="0"/>
    <x v="0"/>
    <x v="2"/>
    <x v="1"/>
    <x v="0"/>
    <x v="4"/>
  </r>
  <r>
    <x v="76"/>
    <x v="1"/>
    <x v="25"/>
    <x v="0"/>
    <x v="0"/>
    <x v="2"/>
    <x v="1"/>
    <x v="0"/>
    <x v="4"/>
  </r>
  <r>
    <x v="76"/>
    <x v="2"/>
    <x v="13"/>
    <x v="0"/>
    <x v="0"/>
    <x v="2"/>
    <x v="1"/>
    <x v="0"/>
    <x v="4"/>
  </r>
  <r>
    <x v="76"/>
    <x v="3"/>
    <x v="117"/>
    <x v="0"/>
    <x v="0"/>
    <x v="2"/>
    <x v="1"/>
    <x v="0"/>
    <x v="4"/>
  </r>
  <r>
    <x v="76"/>
    <x v="4"/>
    <x v="252"/>
    <x v="0"/>
    <x v="0"/>
    <x v="2"/>
    <x v="1"/>
    <x v="0"/>
    <x v="4"/>
  </r>
  <r>
    <x v="76"/>
    <x v="5"/>
    <x v="431"/>
    <x v="0"/>
    <x v="0"/>
    <x v="2"/>
    <x v="1"/>
    <x v="0"/>
    <x v="4"/>
  </r>
  <r>
    <x v="76"/>
    <x v="6"/>
    <x v="699"/>
    <x v="0"/>
    <x v="0"/>
    <x v="2"/>
    <x v="1"/>
    <x v="0"/>
    <x v="3"/>
  </r>
  <r>
    <x v="76"/>
    <x v="7"/>
    <x v="1051"/>
    <x v="0"/>
    <x v="0"/>
    <x v="2"/>
    <x v="1"/>
    <x v="0"/>
    <x v="3"/>
  </r>
  <r>
    <x v="76"/>
    <x v="8"/>
    <x v="859"/>
    <x v="0"/>
    <x v="0"/>
    <x v="2"/>
    <x v="1"/>
    <x v="0"/>
    <x v="3"/>
  </r>
  <r>
    <x v="76"/>
    <x v="9"/>
    <x v="574"/>
    <x v="0"/>
    <x v="0"/>
    <x v="2"/>
    <x v="1"/>
    <x v="0"/>
    <x v="3"/>
  </r>
  <r>
    <x v="76"/>
    <x v="10"/>
    <x v="546"/>
    <x v="0"/>
    <x v="0"/>
    <x v="2"/>
    <x v="1"/>
    <x v="0"/>
    <x v="2"/>
  </r>
  <r>
    <x v="76"/>
    <x v="11"/>
    <x v="592"/>
    <x v="0"/>
    <x v="0"/>
    <x v="2"/>
    <x v="1"/>
    <x v="0"/>
    <x v="2"/>
  </r>
  <r>
    <x v="76"/>
    <x v="12"/>
    <x v="566"/>
    <x v="0"/>
    <x v="0"/>
    <x v="2"/>
    <x v="1"/>
    <x v="0"/>
    <x v="2"/>
  </r>
  <r>
    <x v="76"/>
    <x v="13"/>
    <x v="650"/>
    <x v="0"/>
    <x v="0"/>
    <x v="2"/>
    <x v="1"/>
    <x v="0"/>
    <x v="2"/>
  </r>
  <r>
    <x v="76"/>
    <x v="14"/>
    <x v="825"/>
    <x v="0"/>
    <x v="0"/>
    <x v="2"/>
    <x v="1"/>
    <x v="0"/>
    <x v="2"/>
  </r>
  <r>
    <x v="76"/>
    <x v="15"/>
    <x v="999"/>
    <x v="0"/>
    <x v="0"/>
    <x v="2"/>
    <x v="1"/>
    <x v="0"/>
    <x v="2"/>
  </r>
  <r>
    <x v="76"/>
    <x v="16"/>
    <x v="1356"/>
    <x v="0"/>
    <x v="0"/>
    <x v="2"/>
    <x v="1"/>
    <x v="0"/>
    <x v="0"/>
  </r>
  <r>
    <x v="76"/>
    <x v="17"/>
    <x v="1274"/>
    <x v="0"/>
    <x v="0"/>
    <x v="2"/>
    <x v="1"/>
    <x v="0"/>
    <x v="0"/>
  </r>
  <r>
    <x v="76"/>
    <x v="18"/>
    <x v="855"/>
    <x v="0"/>
    <x v="0"/>
    <x v="2"/>
    <x v="1"/>
    <x v="0"/>
    <x v="0"/>
  </r>
  <r>
    <x v="76"/>
    <x v="19"/>
    <x v="989"/>
    <x v="0"/>
    <x v="0"/>
    <x v="2"/>
    <x v="1"/>
    <x v="0"/>
    <x v="0"/>
  </r>
  <r>
    <x v="76"/>
    <x v="20"/>
    <x v="978"/>
    <x v="0"/>
    <x v="0"/>
    <x v="2"/>
    <x v="1"/>
    <x v="0"/>
    <x v="1"/>
  </r>
  <r>
    <x v="76"/>
    <x v="21"/>
    <x v="865"/>
    <x v="0"/>
    <x v="0"/>
    <x v="2"/>
    <x v="1"/>
    <x v="0"/>
    <x v="1"/>
  </r>
  <r>
    <x v="76"/>
    <x v="22"/>
    <x v="534"/>
    <x v="0"/>
    <x v="0"/>
    <x v="2"/>
    <x v="1"/>
    <x v="0"/>
    <x v="1"/>
  </r>
  <r>
    <x v="76"/>
    <x v="23"/>
    <x v="308"/>
    <x v="0"/>
    <x v="0"/>
    <x v="2"/>
    <x v="1"/>
    <x v="0"/>
    <x v="1"/>
  </r>
  <r>
    <x v="77"/>
    <x v="0"/>
    <x v="99"/>
    <x v="0"/>
    <x v="0"/>
    <x v="2"/>
    <x v="5"/>
    <x v="0"/>
    <x v="4"/>
  </r>
  <r>
    <x v="77"/>
    <x v="1"/>
    <x v="40"/>
    <x v="0"/>
    <x v="0"/>
    <x v="2"/>
    <x v="5"/>
    <x v="0"/>
    <x v="4"/>
  </r>
  <r>
    <x v="77"/>
    <x v="2"/>
    <x v="20"/>
    <x v="0"/>
    <x v="0"/>
    <x v="2"/>
    <x v="5"/>
    <x v="0"/>
    <x v="4"/>
  </r>
  <r>
    <x v="77"/>
    <x v="3"/>
    <x v="67"/>
    <x v="0"/>
    <x v="0"/>
    <x v="2"/>
    <x v="5"/>
    <x v="0"/>
    <x v="4"/>
  </r>
  <r>
    <x v="77"/>
    <x v="4"/>
    <x v="151"/>
    <x v="0"/>
    <x v="0"/>
    <x v="2"/>
    <x v="5"/>
    <x v="0"/>
    <x v="4"/>
  </r>
  <r>
    <x v="77"/>
    <x v="5"/>
    <x v="321"/>
    <x v="0"/>
    <x v="0"/>
    <x v="2"/>
    <x v="5"/>
    <x v="0"/>
    <x v="4"/>
  </r>
  <r>
    <x v="77"/>
    <x v="6"/>
    <x v="702"/>
    <x v="0"/>
    <x v="0"/>
    <x v="2"/>
    <x v="5"/>
    <x v="0"/>
    <x v="3"/>
  </r>
  <r>
    <x v="77"/>
    <x v="7"/>
    <x v="1135"/>
    <x v="0"/>
    <x v="0"/>
    <x v="2"/>
    <x v="5"/>
    <x v="0"/>
    <x v="3"/>
  </r>
  <r>
    <x v="77"/>
    <x v="8"/>
    <x v="953"/>
    <x v="0"/>
    <x v="0"/>
    <x v="2"/>
    <x v="5"/>
    <x v="0"/>
    <x v="3"/>
  </r>
  <r>
    <x v="77"/>
    <x v="9"/>
    <x v="657"/>
    <x v="0"/>
    <x v="0"/>
    <x v="2"/>
    <x v="5"/>
    <x v="0"/>
    <x v="3"/>
  </r>
  <r>
    <x v="77"/>
    <x v="10"/>
    <x v="587"/>
    <x v="0"/>
    <x v="0"/>
    <x v="2"/>
    <x v="5"/>
    <x v="0"/>
    <x v="2"/>
  </r>
  <r>
    <x v="77"/>
    <x v="11"/>
    <x v="652"/>
    <x v="0"/>
    <x v="0"/>
    <x v="2"/>
    <x v="5"/>
    <x v="0"/>
    <x v="2"/>
  </r>
  <r>
    <x v="77"/>
    <x v="12"/>
    <x v="702"/>
    <x v="0"/>
    <x v="0"/>
    <x v="2"/>
    <x v="5"/>
    <x v="0"/>
    <x v="2"/>
  </r>
  <r>
    <x v="77"/>
    <x v="13"/>
    <x v="899"/>
    <x v="0"/>
    <x v="0"/>
    <x v="2"/>
    <x v="5"/>
    <x v="0"/>
    <x v="2"/>
  </r>
  <r>
    <x v="77"/>
    <x v="14"/>
    <x v="1092"/>
    <x v="0"/>
    <x v="0"/>
    <x v="2"/>
    <x v="5"/>
    <x v="0"/>
    <x v="2"/>
  </r>
  <r>
    <x v="77"/>
    <x v="15"/>
    <x v="1339"/>
    <x v="0"/>
    <x v="0"/>
    <x v="2"/>
    <x v="5"/>
    <x v="0"/>
    <x v="2"/>
  </r>
  <r>
    <x v="77"/>
    <x v="16"/>
    <x v="1484"/>
    <x v="0"/>
    <x v="0"/>
    <x v="2"/>
    <x v="5"/>
    <x v="0"/>
    <x v="0"/>
  </r>
  <r>
    <x v="77"/>
    <x v="17"/>
    <x v="1632"/>
    <x v="0"/>
    <x v="0"/>
    <x v="2"/>
    <x v="5"/>
    <x v="0"/>
    <x v="0"/>
  </r>
  <r>
    <x v="77"/>
    <x v="18"/>
    <x v="1465"/>
    <x v="0"/>
    <x v="0"/>
    <x v="2"/>
    <x v="5"/>
    <x v="0"/>
    <x v="0"/>
  </r>
  <r>
    <x v="77"/>
    <x v="19"/>
    <x v="1238"/>
    <x v="0"/>
    <x v="0"/>
    <x v="2"/>
    <x v="5"/>
    <x v="0"/>
    <x v="0"/>
  </r>
  <r>
    <x v="77"/>
    <x v="20"/>
    <x v="1406"/>
    <x v="0"/>
    <x v="0"/>
    <x v="2"/>
    <x v="5"/>
    <x v="0"/>
    <x v="1"/>
  </r>
  <r>
    <x v="77"/>
    <x v="21"/>
    <x v="1275"/>
    <x v="0"/>
    <x v="0"/>
    <x v="2"/>
    <x v="5"/>
    <x v="0"/>
    <x v="1"/>
  </r>
  <r>
    <x v="77"/>
    <x v="22"/>
    <x v="820"/>
    <x v="0"/>
    <x v="0"/>
    <x v="2"/>
    <x v="5"/>
    <x v="0"/>
    <x v="1"/>
  </r>
  <r>
    <x v="77"/>
    <x v="23"/>
    <x v="416"/>
    <x v="0"/>
    <x v="0"/>
    <x v="2"/>
    <x v="5"/>
    <x v="0"/>
    <x v="1"/>
  </r>
  <r>
    <x v="78"/>
    <x v="0"/>
    <x v="177"/>
    <x v="0"/>
    <x v="0"/>
    <x v="2"/>
    <x v="6"/>
    <x v="0"/>
    <x v="4"/>
  </r>
  <r>
    <x v="78"/>
    <x v="1"/>
    <x v="69"/>
    <x v="0"/>
    <x v="0"/>
    <x v="2"/>
    <x v="6"/>
    <x v="0"/>
    <x v="4"/>
  </r>
  <r>
    <x v="78"/>
    <x v="2"/>
    <x v="33"/>
    <x v="0"/>
    <x v="0"/>
    <x v="2"/>
    <x v="6"/>
    <x v="0"/>
    <x v="4"/>
  </r>
  <r>
    <x v="78"/>
    <x v="3"/>
    <x v="97"/>
    <x v="0"/>
    <x v="0"/>
    <x v="2"/>
    <x v="6"/>
    <x v="0"/>
    <x v="4"/>
  </r>
  <r>
    <x v="78"/>
    <x v="4"/>
    <x v="147"/>
    <x v="0"/>
    <x v="0"/>
    <x v="2"/>
    <x v="6"/>
    <x v="0"/>
    <x v="4"/>
  </r>
  <r>
    <x v="78"/>
    <x v="5"/>
    <x v="346"/>
    <x v="0"/>
    <x v="0"/>
    <x v="2"/>
    <x v="6"/>
    <x v="0"/>
    <x v="4"/>
  </r>
  <r>
    <x v="78"/>
    <x v="6"/>
    <x v="753"/>
    <x v="0"/>
    <x v="0"/>
    <x v="2"/>
    <x v="6"/>
    <x v="0"/>
    <x v="3"/>
  </r>
  <r>
    <x v="78"/>
    <x v="7"/>
    <x v="1187"/>
    <x v="0"/>
    <x v="0"/>
    <x v="2"/>
    <x v="6"/>
    <x v="0"/>
    <x v="3"/>
  </r>
  <r>
    <x v="78"/>
    <x v="8"/>
    <x v="1021"/>
    <x v="0"/>
    <x v="0"/>
    <x v="2"/>
    <x v="6"/>
    <x v="0"/>
    <x v="3"/>
  </r>
  <r>
    <x v="78"/>
    <x v="9"/>
    <x v="768"/>
    <x v="0"/>
    <x v="0"/>
    <x v="2"/>
    <x v="6"/>
    <x v="0"/>
    <x v="3"/>
  </r>
  <r>
    <x v="78"/>
    <x v="10"/>
    <x v="804"/>
    <x v="0"/>
    <x v="0"/>
    <x v="2"/>
    <x v="6"/>
    <x v="0"/>
    <x v="2"/>
  </r>
  <r>
    <x v="78"/>
    <x v="11"/>
    <x v="841"/>
    <x v="0"/>
    <x v="0"/>
    <x v="2"/>
    <x v="6"/>
    <x v="0"/>
    <x v="2"/>
  </r>
  <r>
    <x v="78"/>
    <x v="12"/>
    <x v="835"/>
    <x v="0"/>
    <x v="0"/>
    <x v="2"/>
    <x v="6"/>
    <x v="0"/>
    <x v="2"/>
  </r>
  <r>
    <x v="78"/>
    <x v="13"/>
    <x v="996"/>
    <x v="0"/>
    <x v="0"/>
    <x v="2"/>
    <x v="6"/>
    <x v="0"/>
    <x v="2"/>
  </r>
  <r>
    <x v="78"/>
    <x v="14"/>
    <x v="1189"/>
    <x v="0"/>
    <x v="0"/>
    <x v="2"/>
    <x v="6"/>
    <x v="0"/>
    <x v="2"/>
  </r>
  <r>
    <x v="78"/>
    <x v="15"/>
    <x v="1537"/>
    <x v="0"/>
    <x v="0"/>
    <x v="2"/>
    <x v="6"/>
    <x v="0"/>
    <x v="2"/>
  </r>
  <r>
    <x v="78"/>
    <x v="16"/>
    <x v="1719"/>
    <x v="0"/>
    <x v="0"/>
    <x v="2"/>
    <x v="6"/>
    <x v="0"/>
    <x v="0"/>
  </r>
  <r>
    <x v="78"/>
    <x v="17"/>
    <x v="1846"/>
    <x v="0"/>
    <x v="0"/>
    <x v="2"/>
    <x v="6"/>
    <x v="0"/>
    <x v="0"/>
  </r>
  <r>
    <x v="78"/>
    <x v="18"/>
    <x v="1561"/>
    <x v="0"/>
    <x v="0"/>
    <x v="2"/>
    <x v="6"/>
    <x v="0"/>
    <x v="0"/>
  </r>
  <r>
    <x v="78"/>
    <x v="19"/>
    <x v="1220"/>
    <x v="0"/>
    <x v="0"/>
    <x v="2"/>
    <x v="6"/>
    <x v="0"/>
    <x v="0"/>
  </r>
  <r>
    <x v="78"/>
    <x v="20"/>
    <x v="1545"/>
    <x v="0"/>
    <x v="0"/>
    <x v="2"/>
    <x v="6"/>
    <x v="0"/>
    <x v="1"/>
  </r>
  <r>
    <x v="78"/>
    <x v="21"/>
    <x v="1465"/>
    <x v="0"/>
    <x v="0"/>
    <x v="2"/>
    <x v="6"/>
    <x v="0"/>
    <x v="1"/>
  </r>
  <r>
    <x v="78"/>
    <x v="22"/>
    <x v="1065"/>
    <x v="0"/>
    <x v="0"/>
    <x v="2"/>
    <x v="6"/>
    <x v="0"/>
    <x v="1"/>
  </r>
  <r>
    <x v="78"/>
    <x v="23"/>
    <x v="518"/>
    <x v="0"/>
    <x v="0"/>
    <x v="2"/>
    <x v="6"/>
    <x v="0"/>
    <x v="1"/>
  </r>
  <r>
    <x v="79"/>
    <x v="0"/>
    <x v="273"/>
    <x v="0"/>
    <x v="0"/>
    <x v="2"/>
    <x v="4"/>
    <x v="0"/>
    <x v="4"/>
  </r>
  <r>
    <x v="79"/>
    <x v="1"/>
    <x v="81"/>
    <x v="0"/>
    <x v="0"/>
    <x v="2"/>
    <x v="4"/>
    <x v="0"/>
    <x v="4"/>
  </r>
  <r>
    <x v="79"/>
    <x v="2"/>
    <x v="51"/>
    <x v="0"/>
    <x v="0"/>
    <x v="2"/>
    <x v="4"/>
    <x v="0"/>
    <x v="4"/>
  </r>
  <r>
    <x v="79"/>
    <x v="3"/>
    <x v="104"/>
    <x v="0"/>
    <x v="0"/>
    <x v="2"/>
    <x v="4"/>
    <x v="0"/>
    <x v="4"/>
  </r>
  <r>
    <x v="79"/>
    <x v="4"/>
    <x v="199"/>
    <x v="0"/>
    <x v="0"/>
    <x v="2"/>
    <x v="4"/>
    <x v="0"/>
    <x v="4"/>
  </r>
  <r>
    <x v="79"/>
    <x v="5"/>
    <x v="366"/>
    <x v="0"/>
    <x v="0"/>
    <x v="2"/>
    <x v="4"/>
    <x v="0"/>
    <x v="4"/>
  </r>
  <r>
    <x v="79"/>
    <x v="6"/>
    <x v="840"/>
    <x v="0"/>
    <x v="0"/>
    <x v="2"/>
    <x v="4"/>
    <x v="0"/>
    <x v="3"/>
  </r>
  <r>
    <x v="79"/>
    <x v="7"/>
    <x v="1218"/>
    <x v="0"/>
    <x v="0"/>
    <x v="2"/>
    <x v="4"/>
    <x v="0"/>
    <x v="3"/>
  </r>
  <r>
    <x v="79"/>
    <x v="8"/>
    <x v="1099"/>
    <x v="0"/>
    <x v="0"/>
    <x v="2"/>
    <x v="4"/>
    <x v="0"/>
    <x v="3"/>
  </r>
  <r>
    <x v="79"/>
    <x v="9"/>
    <x v="806"/>
    <x v="0"/>
    <x v="0"/>
    <x v="2"/>
    <x v="4"/>
    <x v="0"/>
    <x v="3"/>
  </r>
  <r>
    <x v="79"/>
    <x v="10"/>
    <x v="812"/>
    <x v="0"/>
    <x v="0"/>
    <x v="2"/>
    <x v="4"/>
    <x v="0"/>
    <x v="2"/>
  </r>
  <r>
    <x v="79"/>
    <x v="11"/>
    <x v="787"/>
    <x v="0"/>
    <x v="0"/>
    <x v="2"/>
    <x v="4"/>
    <x v="0"/>
    <x v="2"/>
  </r>
  <r>
    <x v="79"/>
    <x v="12"/>
    <x v="921"/>
    <x v="0"/>
    <x v="0"/>
    <x v="2"/>
    <x v="4"/>
    <x v="0"/>
    <x v="2"/>
  </r>
  <r>
    <x v="79"/>
    <x v="13"/>
    <x v="1237"/>
    <x v="0"/>
    <x v="0"/>
    <x v="2"/>
    <x v="4"/>
    <x v="0"/>
    <x v="2"/>
  </r>
  <r>
    <x v="79"/>
    <x v="14"/>
    <x v="1253"/>
    <x v="0"/>
    <x v="0"/>
    <x v="2"/>
    <x v="4"/>
    <x v="0"/>
    <x v="2"/>
  </r>
  <r>
    <x v="79"/>
    <x v="15"/>
    <x v="1584"/>
    <x v="0"/>
    <x v="0"/>
    <x v="2"/>
    <x v="4"/>
    <x v="0"/>
    <x v="2"/>
  </r>
  <r>
    <x v="79"/>
    <x v="16"/>
    <x v="1726"/>
    <x v="0"/>
    <x v="0"/>
    <x v="2"/>
    <x v="4"/>
    <x v="0"/>
    <x v="0"/>
  </r>
  <r>
    <x v="79"/>
    <x v="17"/>
    <x v="1866"/>
    <x v="0"/>
    <x v="0"/>
    <x v="2"/>
    <x v="4"/>
    <x v="0"/>
    <x v="0"/>
  </r>
  <r>
    <x v="79"/>
    <x v="18"/>
    <x v="1717"/>
    <x v="0"/>
    <x v="0"/>
    <x v="2"/>
    <x v="4"/>
    <x v="0"/>
    <x v="0"/>
  </r>
  <r>
    <x v="79"/>
    <x v="19"/>
    <x v="1710"/>
    <x v="0"/>
    <x v="0"/>
    <x v="2"/>
    <x v="4"/>
    <x v="0"/>
    <x v="0"/>
  </r>
  <r>
    <x v="79"/>
    <x v="20"/>
    <x v="2138"/>
    <x v="0"/>
    <x v="0"/>
    <x v="2"/>
    <x v="4"/>
    <x v="0"/>
    <x v="1"/>
  </r>
  <r>
    <x v="79"/>
    <x v="21"/>
    <x v="1923"/>
    <x v="0"/>
    <x v="0"/>
    <x v="2"/>
    <x v="4"/>
    <x v="0"/>
    <x v="1"/>
  </r>
  <r>
    <x v="79"/>
    <x v="22"/>
    <x v="1599"/>
    <x v="0"/>
    <x v="0"/>
    <x v="2"/>
    <x v="4"/>
    <x v="0"/>
    <x v="1"/>
  </r>
  <r>
    <x v="79"/>
    <x v="23"/>
    <x v="837"/>
    <x v="0"/>
    <x v="0"/>
    <x v="2"/>
    <x v="4"/>
    <x v="0"/>
    <x v="1"/>
  </r>
  <r>
    <x v="80"/>
    <x v="0"/>
    <x v="330"/>
    <x v="0"/>
    <x v="0"/>
    <x v="2"/>
    <x v="0"/>
    <x v="0"/>
    <x v="4"/>
  </r>
  <r>
    <x v="80"/>
    <x v="1"/>
    <x v="191"/>
    <x v="0"/>
    <x v="0"/>
    <x v="2"/>
    <x v="0"/>
    <x v="0"/>
    <x v="4"/>
  </r>
  <r>
    <x v="80"/>
    <x v="2"/>
    <x v="77"/>
    <x v="0"/>
    <x v="0"/>
    <x v="2"/>
    <x v="0"/>
    <x v="0"/>
    <x v="4"/>
  </r>
  <r>
    <x v="80"/>
    <x v="3"/>
    <x v="160"/>
    <x v="0"/>
    <x v="0"/>
    <x v="2"/>
    <x v="0"/>
    <x v="0"/>
    <x v="4"/>
  </r>
  <r>
    <x v="80"/>
    <x v="4"/>
    <x v="204"/>
    <x v="0"/>
    <x v="0"/>
    <x v="2"/>
    <x v="0"/>
    <x v="0"/>
    <x v="4"/>
  </r>
  <r>
    <x v="80"/>
    <x v="5"/>
    <x v="349"/>
    <x v="0"/>
    <x v="0"/>
    <x v="2"/>
    <x v="0"/>
    <x v="0"/>
    <x v="4"/>
  </r>
  <r>
    <x v="80"/>
    <x v="6"/>
    <x v="684"/>
    <x v="0"/>
    <x v="0"/>
    <x v="2"/>
    <x v="0"/>
    <x v="0"/>
    <x v="3"/>
  </r>
  <r>
    <x v="80"/>
    <x v="7"/>
    <x v="977"/>
    <x v="0"/>
    <x v="0"/>
    <x v="2"/>
    <x v="0"/>
    <x v="0"/>
    <x v="3"/>
  </r>
  <r>
    <x v="80"/>
    <x v="8"/>
    <x v="1020"/>
    <x v="0"/>
    <x v="0"/>
    <x v="2"/>
    <x v="0"/>
    <x v="0"/>
    <x v="3"/>
  </r>
  <r>
    <x v="80"/>
    <x v="9"/>
    <x v="675"/>
    <x v="0"/>
    <x v="0"/>
    <x v="2"/>
    <x v="0"/>
    <x v="0"/>
    <x v="3"/>
  </r>
  <r>
    <x v="80"/>
    <x v="10"/>
    <x v="660"/>
    <x v="0"/>
    <x v="0"/>
    <x v="2"/>
    <x v="0"/>
    <x v="0"/>
    <x v="2"/>
  </r>
  <r>
    <x v="80"/>
    <x v="11"/>
    <x v="797"/>
    <x v="0"/>
    <x v="0"/>
    <x v="2"/>
    <x v="0"/>
    <x v="0"/>
    <x v="2"/>
  </r>
  <r>
    <x v="80"/>
    <x v="12"/>
    <x v="777"/>
    <x v="0"/>
    <x v="0"/>
    <x v="2"/>
    <x v="0"/>
    <x v="0"/>
    <x v="2"/>
  </r>
  <r>
    <x v="80"/>
    <x v="13"/>
    <x v="989"/>
    <x v="0"/>
    <x v="0"/>
    <x v="2"/>
    <x v="0"/>
    <x v="0"/>
    <x v="2"/>
  </r>
  <r>
    <x v="80"/>
    <x v="14"/>
    <x v="1126"/>
    <x v="0"/>
    <x v="0"/>
    <x v="2"/>
    <x v="0"/>
    <x v="0"/>
    <x v="2"/>
  </r>
  <r>
    <x v="80"/>
    <x v="15"/>
    <x v="1421"/>
    <x v="0"/>
    <x v="0"/>
    <x v="2"/>
    <x v="0"/>
    <x v="0"/>
    <x v="2"/>
  </r>
  <r>
    <x v="80"/>
    <x v="16"/>
    <x v="1517"/>
    <x v="0"/>
    <x v="0"/>
    <x v="2"/>
    <x v="0"/>
    <x v="0"/>
    <x v="0"/>
  </r>
  <r>
    <x v="80"/>
    <x v="17"/>
    <x v="1528"/>
    <x v="0"/>
    <x v="0"/>
    <x v="2"/>
    <x v="0"/>
    <x v="0"/>
    <x v="0"/>
  </r>
  <r>
    <x v="80"/>
    <x v="18"/>
    <x v="1419"/>
    <x v="0"/>
    <x v="0"/>
    <x v="2"/>
    <x v="0"/>
    <x v="0"/>
    <x v="0"/>
  </r>
  <r>
    <x v="80"/>
    <x v="19"/>
    <x v="1190"/>
    <x v="0"/>
    <x v="0"/>
    <x v="2"/>
    <x v="0"/>
    <x v="0"/>
    <x v="0"/>
  </r>
  <r>
    <x v="80"/>
    <x v="20"/>
    <x v="1177"/>
    <x v="0"/>
    <x v="0"/>
    <x v="2"/>
    <x v="0"/>
    <x v="0"/>
    <x v="1"/>
  </r>
  <r>
    <x v="80"/>
    <x v="21"/>
    <x v="1378"/>
    <x v="0"/>
    <x v="0"/>
    <x v="2"/>
    <x v="0"/>
    <x v="0"/>
    <x v="1"/>
  </r>
  <r>
    <x v="80"/>
    <x v="22"/>
    <x v="1573"/>
    <x v="0"/>
    <x v="0"/>
    <x v="2"/>
    <x v="0"/>
    <x v="0"/>
    <x v="1"/>
  </r>
  <r>
    <x v="80"/>
    <x v="23"/>
    <x v="1265"/>
    <x v="0"/>
    <x v="0"/>
    <x v="2"/>
    <x v="0"/>
    <x v="0"/>
    <x v="1"/>
  </r>
  <r>
    <x v="81"/>
    <x v="0"/>
    <x v="797"/>
    <x v="0"/>
    <x v="0"/>
    <x v="2"/>
    <x v="2"/>
    <x v="1"/>
    <x v="4"/>
  </r>
  <r>
    <x v="81"/>
    <x v="1"/>
    <x v="530"/>
    <x v="0"/>
    <x v="0"/>
    <x v="2"/>
    <x v="2"/>
    <x v="1"/>
    <x v="4"/>
  </r>
  <r>
    <x v="81"/>
    <x v="2"/>
    <x v="319"/>
    <x v="0"/>
    <x v="0"/>
    <x v="2"/>
    <x v="2"/>
    <x v="1"/>
    <x v="4"/>
  </r>
  <r>
    <x v="81"/>
    <x v="3"/>
    <x v="234"/>
    <x v="0"/>
    <x v="0"/>
    <x v="2"/>
    <x v="2"/>
    <x v="1"/>
    <x v="4"/>
  </r>
  <r>
    <x v="81"/>
    <x v="4"/>
    <x v="152"/>
    <x v="0"/>
    <x v="0"/>
    <x v="2"/>
    <x v="2"/>
    <x v="1"/>
    <x v="4"/>
  </r>
  <r>
    <x v="81"/>
    <x v="5"/>
    <x v="139"/>
    <x v="0"/>
    <x v="0"/>
    <x v="2"/>
    <x v="2"/>
    <x v="1"/>
    <x v="4"/>
  </r>
  <r>
    <x v="81"/>
    <x v="6"/>
    <x v="163"/>
    <x v="0"/>
    <x v="0"/>
    <x v="2"/>
    <x v="2"/>
    <x v="1"/>
    <x v="3"/>
  </r>
  <r>
    <x v="81"/>
    <x v="7"/>
    <x v="230"/>
    <x v="0"/>
    <x v="0"/>
    <x v="2"/>
    <x v="2"/>
    <x v="1"/>
    <x v="3"/>
  </r>
  <r>
    <x v="81"/>
    <x v="8"/>
    <x v="387"/>
    <x v="0"/>
    <x v="0"/>
    <x v="2"/>
    <x v="2"/>
    <x v="1"/>
    <x v="3"/>
  </r>
  <r>
    <x v="81"/>
    <x v="9"/>
    <x v="448"/>
    <x v="0"/>
    <x v="0"/>
    <x v="2"/>
    <x v="2"/>
    <x v="1"/>
    <x v="3"/>
  </r>
  <r>
    <x v="81"/>
    <x v="10"/>
    <x v="600"/>
    <x v="0"/>
    <x v="0"/>
    <x v="2"/>
    <x v="2"/>
    <x v="1"/>
    <x v="2"/>
  </r>
  <r>
    <x v="81"/>
    <x v="11"/>
    <x v="638"/>
    <x v="0"/>
    <x v="0"/>
    <x v="2"/>
    <x v="2"/>
    <x v="1"/>
    <x v="2"/>
  </r>
  <r>
    <x v="81"/>
    <x v="12"/>
    <x v="643"/>
    <x v="0"/>
    <x v="0"/>
    <x v="2"/>
    <x v="2"/>
    <x v="1"/>
    <x v="2"/>
  </r>
  <r>
    <x v="81"/>
    <x v="13"/>
    <x v="727"/>
    <x v="0"/>
    <x v="0"/>
    <x v="2"/>
    <x v="2"/>
    <x v="1"/>
    <x v="2"/>
  </r>
  <r>
    <x v="81"/>
    <x v="14"/>
    <x v="806"/>
    <x v="0"/>
    <x v="0"/>
    <x v="2"/>
    <x v="2"/>
    <x v="1"/>
    <x v="2"/>
  </r>
  <r>
    <x v="81"/>
    <x v="15"/>
    <x v="969"/>
    <x v="0"/>
    <x v="0"/>
    <x v="2"/>
    <x v="2"/>
    <x v="1"/>
    <x v="2"/>
  </r>
  <r>
    <x v="81"/>
    <x v="16"/>
    <x v="1310"/>
    <x v="0"/>
    <x v="0"/>
    <x v="2"/>
    <x v="2"/>
    <x v="1"/>
    <x v="0"/>
  </r>
  <r>
    <x v="81"/>
    <x v="17"/>
    <x v="1104"/>
    <x v="0"/>
    <x v="0"/>
    <x v="2"/>
    <x v="2"/>
    <x v="1"/>
    <x v="0"/>
  </r>
  <r>
    <x v="81"/>
    <x v="18"/>
    <x v="1233"/>
    <x v="0"/>
    <x v="0"/>
    <x v="2"/>
    <x v="2"/>
    <x v="1"/>
    <x v="0"/>
  </r>
  <r>
    <x v="81"/>
    <x v="19"/>
    <x v="961"/>
    <x v="0"/>
    <x v="0"/>
    <x v="2"/>
    <x v="2"/>
    <x v="1"/>
    <x v="0"/>
  </r>
  <r>
    <x v="81"/>
    <x v="20"/>
    <x v="1011"/>
    <x v="0"/>
    <x v="0"/>
    <x v="2"/>
    <x v="2"/>
    <x v="1"/>
    <x v="1"/>
  </r>
  <r>
    <x v="81"/>
    <x v="21"/>
    <x v="1286"/>
    <x v="0"/>
    <x v="0"/>
    <x v="2"/>
    <x v="2"/>
    <x v="1"/>
    <x v="1"/>
  </r>
  <r>
    <x v="81"/>
    <x v="22"/>
    <x v="1490"/>
    <x v="0"/>
    <x v="0"/>
    <x v="2"/>
    <x v="2"/>
    <x v="1"/>
    <x v="1"/>
  </r>
  <r>
    <x v="81"/>
    <x v="23"/>
    <x v="1253"/>
    <x v="0"/>
    <x v="0"/>
    <x v="2"/>
    <x v="2"/>
    <x v="1"/>
    <x v="1"/>
  </r>
  <r>
    <x v="82"/>
    <x v="0"/>
    <x v="886"/>
    <x v="0"/>
    <x v="0"/>
    <x v="2"/>
    <x v="3"/>
    <x v="1"/>
    <x v="4"/>
  </r>
  <r>
    <x v="82"/>
    <x v="1"/>
    <x v="587"/>
    <x v="0"/>
    <x v="0"/>
    <x v="2"/>
    <x v="3"/>
    <x v="1"/>
    <x v="4"/>
  </r>
  <r>
    <x v="82"/>
    <x v="2"/>
    <x v="371"/>
    <x v="0"/>
    <x v="0"/>
    <x v="2"/>
    <x v="3"/>
    <x v="1"/>
    <x v="4"/>
  </r>
  <r>
    <x v="82"/>
    <x v="3"/>
    <x v="244"/>
    <x v="0"/>
    <x v="0"/>
    <x v="2"/>
    <x v="3"/>
    <x v="1"/>
    <x v="4"/>
  </r>
  <r>
    <x v="82"/>
    <x v="4"/>
    <x v="113"/>
    <x v="0"/>
    <x v="0"/>
    <x v="2"/>
    <x v="3"/>
    <x v="1"/>
    <x v="4"/>
  </r>
  <r>
    <x v="82"/>
    <x v="5"/>
    <x v="135"/>
    <x v="0"/>
    <x v="0"/>
    <x v="2"/>
    <x v="3"/>
    <x v="1"/>
    <x v="4"/>
  </r>
  <r>
    <x v="82"/>
    <x v="6"/>
    <x v="138"/>
    <x v="0"/>
    <x v="0"/>
    <x v="2"/>
    <x v="3"/>
    <x v="1"/>
    <x v="3"/>
  </r>
  <r>
    <x v="82"/>
    <x v="7"/>
    <x v="167"/>
    <x v="0"/>
    <x v="0"/>
    <x v="2"/>
    <x v="3"/>
    <x v="1"/>
    <x v="3"/>
  </r>
  <r>
    <x v="82"/>
    <x v="8"/>
    <x v="310"/>
    <x v="0"/>
    <x v="0"/>
    <x v="2"/>
    <x v="3"/>
    <x v="1"/>
    <x v="3"/>
  </r>
  <r>
    <x v="82"/>
    <x v="9"/>
    <x v="440"/>
    <x v="0"/>
    <x v="0"/>
    <x v="2"/>
    <x v="3"/>
    <x v="1"/>
    <x v="3"/>
  </r>
  <r>
    <x v="82"/>
    <x v="10"/>
    <x v="541"/>
    <x v="0"/>
    <x v="0"/>
    <x v="2"/>
    <x v="3"/>
    <x v="1"/>
    <x v="2"/>
  </r>
  <r>
    <x v="82"/>
    <x v="11"/>
    <x v="641"/>
    <x v="0"/>
    <x v="0"/>
    <x v="2"/>
    <x v="3"/>
    <x v="1"/>
    <x v="2"/>
  </r>
  <r>
    <x v="82"/>
    <x v="12"/>
    <x v="739"/>
    <x v="0"/>
    <x v="0"/>
    <x v="2"/>
    <x v="3"/>
    <x v="1"/>
    <x v="2"/>
  </r>
  <r>
    <x v="82"/>
    <x v="13"/>
    <x v="756"/>
    <x v="0"/>
    <x v="0"/>
    <x v="2"/>
    <x v="3"/>
    <x v="1"/>
    <x v="2"/>
  </r>
  <r>
    <x v="82"/>
    <x v="14"/>
    <x v="813"/>
    <x v="0"/>
    <x v="0"/>
    <x v="2"/>
    <x v="3"/>
    <x v="1"/>
    <x v="2"/>
  </r>
  <r>
    <x v="82"/>
    <x v="15"/>
    <x v="1028"/>
    <x v="0"/>
    <x v="0"/>
    <x v="2"/>
    <x v="3"/>
    <x v="1"/>
    <x v="2"/>
  </r>
  <r>
    <x v="82"/>
    <x v="16"/>
    <x v="1175"/>
    <x v="0"/>
    <x v="0"/>
    <x v="2"/>
    <x v="3"/>
    <x v="1"/>
    <x v="0"/>
  </r>
  <r>
    <x v="82"/>
    <x v="17"/>
    <x v="896"/>
    <x v="0"/>
    <x v="0"/>
    <x v="2"/>
    <x v="3"/>
    <x v="1"/>
    <x v="0"/>
  </r>
  <r>
    <x v="82"/>
    <x v="18"/>
    <x v="610"/>
    <x v="0"/>
    <x v="0"/>
    <x v="2"/>
    <x v="3"/>
    <x v="1"/>
    <x v="0"/>
  </r>
  <r>
    <x v="82"/>
    <x v="19"/>
    <x v="909"/>
    <x v="0"/>
    <x v="0"/>
    <x v="2"/>
    <x v="3"/>
    <x v="1"/>
    <x v="0"/>
  </r>
  <r>
    <x v="82"/>
    <x v="20"/>
    <x v="760"/>
    <x v="0"/>
    <x v="0"/>
    <x v="2"/>
    <x v="3"/>
    <x v="1"/>
    <x v="1"/>
  </r>
  <r>
    <x v="82"/>
    <x v="21"/>
    <x v="809"/>
    <x v="0"/>
    <x v="0"/>
    <x v="2"/>
    <x v="3"/>
    <x v="1"/>
    <x v="1"/>
  </r>
  <r>
    <x v="82"/>
    <x v="22"/>
    <x v="653"/>
    <x v="0"/>
    <x v="0"/>
    <x v="2"/>
    <x v="3"/>
    <x v="1"/>
    <x v="1"/>
  </r>
  <r>
    <x v="82"/>
    <x v="23"/>
    <x v="289"/>
    <x v="0"/>
    <x v="0"/>
    <x v="2"/>
    <x v="3"/>
    <x v="1"/>
    <x v="1"/>
  </r>
  <r>
    <x v="83"/>
    <x v="0"/>
    <x v="87"/>
    <x v="0"/>
    <x v="0"/>
    <x v="2"/>
    <x v="1"/>
    <x v="0"/>
    <x v="4"/>
  </r>
  <r>
    <x v="83"/>
    <x v="1"/>
    <x v="34"/>
    <x v="0"/>
    <x v="0"/>
    <x v="2"/>
    <x v="1"/>
    <x v="0"/>
    <x v="4"/>
  </r>
  <r>
    <x v="83"/>
    <x v="2"/>
    <x v="21"/>
    <x v="0"/>
    <x v="0"/>
    <x v="2"/>
    <x v="1"/>
    <x v="0"/>
    <x v="4"/>
  </r>
  <r>
    <x v="83"/>
    <x v="3"/>
    <x v="153"/>
    <x v="0"/>
    <x v="0"/>
    <x v="2"/>
    <x v="1"/>
    <x v="0"/>
    <x v="4"/>
  </r>
  <r>
    <x v="83"/>
    <x v="4"/>
    <x v="285"/>
    <x v="0"/>
    <x v="0"/>
    <x v="2"/>
    <x v="1"/>
    <x v="0"/>
    <x v="4"/>
  </r>
  <r>
    <x v="83"/>
    <x v="5"/>
    <x v="465"/>
    <x v="0"/>
    <x v="0"/>
    <x v="2"/>
    <x v="1"/>
    <x v="0"/>
    <x v="4"/>
  </r>
  <r>
    <x v="83"/>
    <x v="6"/>
    <x v="718"/>
    <x v="0"/>
    <x v="0"/>
    <x v="2"/>
    <x v="1"/>
    <x v="0"/>
    <x v="3"/>
  </r>
  <r>
    <x v="83"/>
    <x v="7"/>
    <x v="1006"/>
    <x v="0"/>
    <x v="0"/>
    <x v="2"/>
    <x v="1"/>
    <x v="0"/>
    <x v="3"/>
  </r>
  <r>
    <x v="83"/>
    <x v="8"/>
    <x v="881"/>
    <x v="0"/>
    <x v="0"/>
    <x v="2"/>
    <x v="1"/>
    <x v="0"/>
    <x v="3"/>
  </r>
  <r>
    <x v="83"/>
    <x v="9"/>
    <x v="598"/>
    <x v="0"/>
    <x v="0"/>
    <x v="2"/>
    <x v="1"/>
    <x v="0"/>
    <x v="3"/>
  </r>
  <r>
    <x v="83"/>
    <x v="10"/>
    <x v="538"/>
    <x v="0"/>
    <x v="0"/>
    <x v="2"/>
    <x v="1"/>
    <x v="0"/>
    <x v="2"/>
  </r>
  <r>
    <x v="83"/>
    <x v="11"/>
    <x v="538"/>
    <x v="0"/>
    <x v="0"/>
    <x v="2"/>
    <x v="1"/>
    <x v="0"/>
    <x v="2"/>
  </r>
  <r>
    <x v="83"/>
    <x v="12"/>
    <x v="604"/>
    <x v="0"/>
    <x v="0"/>
    <x v="2"/>
    <x v="1"/>
    <x v="0"/>
    <x v="2"/>
  </r>
  <r>
    <x v="83"/>
    <x v="13"/>
    <x v="686"/>
    <x v="0"/>
    <x v="0"/>
    <x v="2"/>
    <x v="1"/>
    <x v="0"/>
    <x v="2"/>
  </r>
  <r>
    <x v="83"/>
    <x v="14"/>
    <x v="861"/>
    <x v="0"/>
    <x v="0"/>
    <x v="2"/>
    <x v="1"/>
    <x v="0"/>
    <x v="2"/>
  </r>
  <r>
    <x v="83"/>
    <x v="15"/>
    <x v="1046"/>
    <x v="0"/>
    <x v="0"/>
    <x v="2"/>
    <x v="1"/>
    <x v="0"/>
    <x v="2"/>
  </r>
  <r>
    <x v="83"/>
    <x v="16"/>
    <x v="1191"/>
    <x v="0"/>
    <x v="0"/>
    <x v="2"/>
    <x v="1"/>
    <x v="0"/>
    <x v="0"/>
  </r>
  <r>
    <x v="83"/>
    <x v="17"/>
    <x v="1273"/>
    <x v="0"/>
    <x v="0"/>
    <x v="2"/>
    <x v="1"/>
    <x v="0"/>
    <x v="0"/>
  </r>
  <r>
    <x v="83"/>
    <x v="18"/>
    <x v="1032"/>
    <x v="0"/>
    <x v="0"/>
    <x v="2"/>
    <x v="1"/>
    <x v="0"/>
    <x v="0"/>
  </r>
  <r>
    <x v="83"/>
    <x v="19"/>
    <x v="820"/>
    <x v="0"/>
    <x v="0"/>
    <x v="2"/>
    <x v="1"/>
    <x v="0"/>
    <x v="0"/>
  </r>
  <r>
    <x v="83"/>
    <x v="20"/>
    <x v="876"/>
    <x v="0"/>
    <x v="0"/>
    <x v="2"/>
    <x v="1"/>
    <x v="0"/>
    <x v="1"/>
  </r>
  <r>
    <x v="83"/>
    <x v="21"/>
    <x v="793"/>
    <x v="0"/>
    <x v="0"/>
    <x v="2"/>
    <x v="1"/>
    <x v="0"/>
    <x v="1"/>
  </r>
  <r>
    <x v="83"/>
    <x v="22"/>
    <x v="565"/>
    <x v="0"/>
    <x v="0"/>
    <x v="2"/>
    <x v="1"/>
    <x v="0"/>
    <x v="1"/>
  </r>
  <r>
    <x v="83"/>
    <x v="23"/>
    <x v="287"/>
    <x v="0"/>
    <x v="0"/>
    <x v="2"/>
    <x v="1"/>
    <x v="0"/>
    <x v="1"/>
  </r>
  <r>
    <x v="84"/>
    <x v="0"/>
    <x v="98"/>
    <x v="0"/>
    <x v="0"/>
    <x v="2"/>
    <x v="5"/>
    <x v="0"/>
    <x v="4"/>
  </r>
  <r>
    <x v="84"/>
    <x v="1"/>
    <x v="43"/>
    <x v="0"/>
    <x v="0"/>
    <x v="2"/>
    <x v="5"/>
    <x v="0"/>
    <x v="4"/>
  </r>
  <r>
    <x v="84"/>
    <x v="2"/>
    <x v="14"/>
    <x v="0"/>
    <x v="0"/>
    <x v="2"/>
    <x v="5"/>
    <x v="0"/>
    <x v="4"/>
  </r>
  <r>
    <x v="84"/>
    <x v="3"/>
    <x v="77"/>
    <x v="0"/>
    <x v="0"/>
    <x v="2"/>
    <x v="5"/>
    <x v="0"/>
    <x v="4"/>
  </r>
  <r>
    <x v="84"/>
    <x v="4"/>
    <x v="162"/>
    <x v="0"/>
    <x v="0"/>
    <x v="2"/>
    <x v="5"/>
    <x v="0"/>
    <x v="4"/>
  </r>
  <r>
    <x v="84"/>
    <x v="5"/>
    <x v="363"/>
    <x v="0"/>
    <x v="0"/>
    <x v="2"/>
    <x v="5"/>
    <x v="0"/>
    <x v="4"/>
  </r>
  <r>
    <x v="84"/>
    <x v="6"/>
    <x v="654"/>
    <x v="0"/>
    <x v="0"/>
    <x v="2"/>
    <x v="5"/>
    <x v="0"/>
    <x v="3"/>
  </r>
  <r>
    <x v="84"/>
    <x v="7"/>
    <x v="1056"/>
    <x v="0"/>
    <x v="0"/>
    <x v="2"/>
    <x v="5"/>
    <x v="0"/>
    <x v="3"/>
  </r>
  <r>
    <x v="84"/>
    <x v="8"/>
    <x v="932"/>
    <x v="0"/>
    <x v="0"/>
    <x v="2"/>
    <x v="5"/>
    <x v="0"/>
    <x v="3"/>
  </r>
  <r>
    <x v="84"/>
    <x v="9"/>
    <x v="693"/>
    <x v="0"/>
    <x v="0"/>
    <x v="2"/>
    <x v="5"/>
    <x v="0"/>
    <x v="3"/>
  </r>
  <r>
    <x v="84"/>
    <x v="10"/>
    <x v="604"/>
    <x v="0"/>
    <x v="0"/>
    <x v="2"/>
    <x v="5"/>
    <x v="0"/>
    <x v="2"/>
  </r>
  <r>
    <x v="84"/>
    <x v="11"/>
    <x v="632"/>
    <x v="0"/>
    <x v="0"/>
    <x v="2"/>
    <x v="5"/>
    <x v="0"/>
    <x v="2"/>
  </r>
  <r>
    <x v="84"/>
    <x v="12"/>
    <x v="663"/>
    <x v="0"/>
    <x v="0"/>
    <x v="2"/>
    <x v="5"/>
    <x v="0"/>
    <x v="2"/>
  </r>
  <r>
    <x v="84"/>
    <x v="13"/>
    <x v="754"/>
    <x v="0"/>
    <x v="0"/>
    <x v="2"/>
    <x v="5"/>
    <x v="0"/>
    <x v="2"/>
  </r>
  <r>
    <x v="84"/>
    <x v="14"/>
    <x v="976"/>
    <x v="0"/>
    <x v="0"/>
    <x v="2"/>
    <x v="5"/>
    <x v="0"/>
    <x v="2"/>
  </r>
  <r>
    <x v="84"/>
    <x v="15"/>
    <x v="1215"/>
    <x v="0"/>
    <x v="0"/>
    <x v="2"/>
    <x v="5"/>
    <x v="0"/>
    <x v="2"/>
  </r>
  <r>
    <x v="84"/>
    <x v="16"/>
    <x v="1445"/>
    <x v="0"/>
    <x v="0"/>
    <x v="2"/>
    <x v="5"/>
    <x v="0"/>
    <x v="0"/>
  </r>
  <r>
    <x v="84"/>
    <x v="17"/>
    <x v="1640"/>
    <x v="0"/>
    <x v="0"/>
    <x v="2"/>
    <x v="5"/>
    <x v="0"/>
    <x v="0"/>
  </r>
  <r>
    <x v="84"/>
    <x v="18"/>
    <x v="1259"/>
    <x v="0"/>
    <x v="0"/>
    <x v="2"/>
    <x v="5"/>
    <x v="0"/>
    <x v="0"/>
  </r>
  <r>
    <x v="84"/>
    <x v="19"/>
    <x v="1112"/>
    <x v="0"/>
    <x v="0"/>
    <x v="2"/>
    <x v="5"/>
    <x v="0"/>
    <x v="0"/>
  </r>
  <r>
    <x v="84"/>
    <x v="20"/>
    <x v="1314"/>
    <x v="0"/>
    <x v="0"/>
    <x v="2"/>
    <x v="5"/>
    <x v="0"/>
    <x v="1"/>
  </r>
  <r>
    <x v="84"/>
    <x v="21"/>
    <x v="1213"/>
    <x v="0"/>
    <x v="0"/>
    <x v="2"/>
    <x v="5"/>
    <x v="0"/>
    <x v="1"/>
  </r>
  <r>
    <x v="84"/>
    <x v="22"/>
    <x v="866"/>
    <x v="0"/>
    <x v="0"/>
    <x v="2"/>
    <x v="5"/>
    <x v="0"/>
    <x v="1"/>
  </r>
  <r>
    <x v="84"/>
    <x v="23"/>
    <x v="423"/>
    <x v="0"/>
    <x v="0"/>
    <x v="2"/>
    <x v="5"/>
    <x v="0"/>
    <x v="1"/>
  </r>
  <r>
    <x v="85"/>
    <x v="0"/>
    <x v="203"/>
    <x v="0"/>
    <x v="0"/>
    <x v="2"/>
    <x v="6"/>
    <x v="0"/>
    <x v="4"/>
  </r>
  <r>
    <x v="85"/>
    <x v="1"/>
    <x v="63"/>
    <x v="0"/>
    <x v="0"/>
    <x v="2"/>
    <x v="6"/>
    <x v="0"/>
    <x v="4"/>
  </r>
  <r>
    <x v="85"/>
    <x v="2"/>
    <x v="36"/>
    <x v="0"/>
    <x v="0"/>
    <x v="2"/>
    <x v="6"/>
    <x v="0"/>
    <x v="4"/>
  </r>
  <r>
    <x v="85"/>
    <x v="3"/>
    <x v="108"/>
    <x v="0"/>
    <x v="0"/>
    <x v="2"/>
    <x v="6"/>
    <x v="0"/>
    <x v="4"/>
  </r>
  <r>
    <x v="85"/>
    <x v="4"/>
    <x v="189"/>
    <x v="0"/>
    <x v="0"/>
    <x v="2"/>
    <x v="6"/>
    <x v="0"/>
    <x v="4"/>
  </r>
  <r>
    <x v="85"/>
    <x v="5"/>
    <x v="345"/>
    <x v="0"/>
    <x v="0"/>
    <x v="2"/>
    <x v="6"/>
    <x v="0"/>
    <x v="4"/>
  </r>
  <r>
    <x v="85"/>
    <x v="6"/>
    <x v="781"/>
    <x v="0"/>
    <x v="0"/>
    <x v="2"/>
    <x v="6"/>
    <x v="0"/>
    <x v="3"/>
  </r>
  <r>
    <x v="85"/>
    <x v="7"/>
    <x v="1313"/>
    <x v="0"/>
    <x v="0"/>
    <x v="2"/>
    <x v="6"/>
    <x v="0"/>
    <x v="3"/>
  </r>
  <r>
    <x v="85"/>
    <x v="8"/>
    <x v="1067"/>
    <x v="0"/>
    <x v="0"/>
    <x v="2"/>
    <x v="6"/>
    <x v="0"/>
    <x v="3"/>
  </r>
  <r>
    <x v="85"/>
    <x v="9"/>
    <x v="770"/>
    <x v="0"/>
    <x v="0"/>
    <x v="2"/>
    <x v="6"/>
    <x v="0"/>
    <x v="3"/>
  </r>
  <r>
    <x v="85"/>
    <x v="10"/>
    <x v="772"/>
    <x v="0"/>
    <x v="0"/>
    <x v="2"/>
    <x v="6"/>
    <x v="0"/>
    <x v="2"/>
  </r>
  <r>
    <x v="85"/>
    <x v="11"/>
    <x v="765"/>
    <x v="0"/>
    <x v="0"/>
    <x v="2"/>
    <x v="6"/>
    <x v="0"/>
    <x v="2"/>
  </r>
  <r>
    <x v="85"/>
    <x v="12"/>
    <x v="863"/>
    <x v="0"/>
    <x v="0"/>
    <x v="2"/>
    <x v="6"/>
    <x v="0"/>
    <x v="2"/>
  </r>
  <r>
    <x v="85"/>
    <x v="13"/>
    <x v="942"/>
    <x v="0"/>
    <x v="0"/>
    <x v="2"/>
    <x v="6"/>
    <x v="0"/>
    <x v="2"/>
  </r>
  <r>
    <x v="85"/>
    <x v="14"/>
    <x v="1232"/>
    <x v="0"/>
    <x v="0"/>
    <x v="2"/>
    <x v="6"/>
    <x v="0"/>
    <x v="2"/>
  </r>
  <r>
    <x v="85"/>
    <x v="15"/>
    <x v="1495"/>
    <x v="0"/>
    <x v="0"/>
    <x v="2"/>
    <x v="6"/>
    <x v="0"/>
    <x v="2"/>
  </r>
  <r>
    <x v="85"/>
    <x v="16"/>
    <x v="1772"/>
    <x v="0"/>
    <x v="0"/>
    <x v="2"/>
    <x v="6"/>
    <x v="0"/>
    <x v="0"/>
  </r>
  <r>
    <x v="85"/>
    <x v="17"/>
    <x v="1908"/>
    <x v="0"/>
    <x v="0"/>
    <x v="2"/>
    <x v="6"/>
    <x v="0"/>
    <x v="0"/>
  </r>
  <r>
    <x v="85"/>
    <x v="18"/>
    <x v="2017"/>
    <x v="0"/>
    <x v="0"/>
    <x v="2"/>
    <x v="6"/>
    <x v="0"/>
    <x v="0"/>
  </r>
  <r>
    <x v="85"/>
    <x v="19"/>
    <x v="1483"/>
    <x v="0"/>
    <x v="0"/>
    <x v="2"/>
    <x v="6"/>
    <x v="0"/>
    <x v="0"/>
  </r>
  <r>
    <x v="85"/>
    <x v="20"/>
    <x v="1587"/>
    <x v="0"/>
    <x v="0"/>
    <x v="2"/>
    <x v="6"/>
    <x v="0"/>
    <x v="1"/>
  </r>
  <r>
    <x v="85"/>
    <x v="21"/>
    <x v="1635"/>
    <x v="0"/>
    <x v="0"/>
    <x v="2"/>
    <x v="6"/>
    <x v="0"/>
    <x v="1"/>
  </r>
  <r>
    <x v="85"/>
    <x v="22"/>
    <x v="1146"/>
    <x v="0"/>
    <x v="0"/>
    <x v="2"/>
    <x v="6"/>
    <x v="0"/>
    <x v="1"/>
  </r>
  <r>
    <x v="85"/>
    <x v="23"/>
    <x v="785"/>
    <x v="0"/>
    <x v="0"/>
    <x v="2"/>
    <x v="6"/>
    <x v="0"/>
    <x v="1"/>
  </r>
  <r>
    <x v="86"/>
    <x v="0"/>
    <x v="349"/>
    <x v="0"/>
    <x v="0"/>
    <x v="2"/>
    <x v="4"/>
    <x v="0"/>
    <x v="4"/>
  </r>
  <r>
    <x v="86"/>
    <x v="1"/>
    <x v="202"/>
    <x v="0"/>
    <x v="0"/>
    <x v="2"/>
    <x v="4"/>
    <x v="0"/>
    <x v="4"/>
  </r>
  <r>
    <x v="86"/>
    <x v="2"/>
    <x v="57"/>
    <x v="0"/>
    <x v="0"/>
    <x v="2"/>
    <x v="4"/>
    <x v="0"/>
    <x v="4"/>
  </r>
  <r>
    <x v="86"/>
    <x v="3"/>
    <x v="135"/>
    <x v="0"/>
    <x v="0"/>
    <x v="2"/>
    <x v="4"/>
    <x v="0"/>
    <x v="4"/>
  </r>
  <r>
    <x v="86"/>
    <x v="4"/>
    <x v="218"/>
    <x v="0"/>
    <x v="0"/>
    <x v="2"/>
    <x v="4"/>
    <x v="0"/>
    <x v="4"/>
  </r>
  <r>
    <x v="86"/>
    <x v="5"/>
    <x v="388"/>
    <x v="0"/>
    <x v="0"/>
    <x v="2"/>
    <x v="4"/>
    <x v="0"/>
    <x v="4"/>
  </r>
  <r>
    <x v="86"/>
    <x v="6"/>
    <x v="815"/>
    <x v="0"/>
    <x v="0"/>
    <x v="2"/>
    <x v="4"/>
    <x v="0"/>
    <x v="3"/>
  </r>
  <r>
    <x v="86"/>
    <x v="7"/>
    <x v="1192"/>
    <x v="0"/>
    <x v="0"/>
    <x v="2"/>
    <x v="4"/>
    <x v="0"/>
    <x v="3"/>
  </r>
  <r>
    <x v="86"/>
    <x v="8"/>
    <x v="1155"/>
    <x v="0"/>
    <x v="0"/>
    <x v="2"/>
    <x v="4"/>
    <x v="0"/>
    <x v="3"/>
  </r>
  <r>
    <x v="86"/>
    <x v="9"/>
    <x v="876"/>
    <x v="0"/>
    <x v="0"/>
    <x v="2"/>
    <x v="4"/>
    <x v="0"/>
    <x v="3"/>
  </r>
  <r>
    <x v="86"/>
    <x v="10"/>
    <x v="925"/>
    <x v="0"/>
    <x v="0"/>
    <x v="2"/>
    <x v="4"/>
    <x v="0"/>
    <x v="2"/>
  </r>
  <r>
    <x v="86"/>
    <x v="11"/>
    <x v="792"/>
    <x v="0"/>
    <x v="0"/>
    <x v="2"/>
    <x v="4"/>
    <x v="0"/>
    <x v="2"/>
  </r>
  <r>
    <x v="86"/>
    <x v="12"/>
    <x v="832"/>
    <x v="0"/>
    <x v="0"/>
    <x v="2"/>
    <x v="4"/>
    <x v="0"/>
    <x v="2"/>
  </r>
  <r>
    <x v="86"/>
    <x v="13"/>
    <x v="1057"/>
    <x v="0"/>
    <x v="0"/>
    <x v="2"/>
    <x v="4"/>
    <x v="0"/>
    <x v="2"/>
  </r>
  <r>
    <x v="86"/>
    <x v="14"/>
    <x v="1317"/>
    <x v="0"/>
    <x v="0"/>
    <x v="2"/>
    <x v="4"/>
    <x v="0"/>
    <x v="2"/>
  </r>
  <r>
    <x v="86"/>
    <x v="15"/>
    <x v="1585"/>
    <x v="0"/>
    <x v="0"/>
    <x v="2"/>
    <x v="4"/>
    <x v="0"/>
    <x v="2"/>
  </r>
  <r>
    <x v="86"/>
    <x v="16"/>
    <x v="1701"/>
    <x v="0"/>
    <x v="0"/>
    <x v="2"/>
    <x v="4"/>
    <x v="0"/>
    <x v="0"/>
  </r>
  <r>
    <x v="86"/>
    <x v="17"/>
    <x v="1934"/>
    <x v="0"/>
    <x v="0"/>
    <x v="2"/>
    <x v="4"/>
    <x v="0"/>
    <x v="0"/>
  </r>
  <r>
    <x v="86"/>
    <x v="18"/>
    <x v="1836"/>
    <x v="0"/>
    <x v="0"/>
    <x v="2"/>
    <x v="4"/>
    <x v="0"/>
    <x v="0"/>
  </r>
  <r>
    <x v="86"/>
    <x v="19"/>
    <x v="1646"/>
    <x v="0"/>
    <x v="0"/>
    <x v="2"/>
    <x v="4"/>
    <x v="0"/>
    <x v="0"/>
  </r>
  <r>
    <x v="86"/>
    <x v="20"/>
    <x v="1801"/>
    <x v="0"/>
    <x v="0"/>
    <x v="2"/>
    <x v="4"/>
    <x v="0"/>
    <x v="1"/>
  </r>
  <r>
    <x v="86"/>
    <x v="21"/>
    <x v="1842"/>
    <x v="0"/>
    <x v="0"/>
    <x v="2"/>
    <x v="4"/>
    <x v="0"/>
    <x v="1"/>
  </r>
  <r>
    <x v="86"/>
    <x v="22"/>
    <x v="1585"/>
    <x v="0"/>
    <x v="0"/>
    <x v="2"/>
    <x v="4"/>
    <x v="0"/>
    <x v="1"/>
  </r>
  <r>
    <x v="86"/>
    <x v="23"/>
    <x v="939"/>
    <x v="0"/>
    <x v="0"/>
    <x v="2"/>
    <x v="4"/>
    <x v="0"/>
    <x v="1"/>
  </r>
  <r>
    <x v="87"/>
    <x v="0"/>
    <x v="392"/>
    <x v="0"/>
    <x v="0"/>
    <x v="2"/>
    <x v="0"/>
    <x v="0"/>
    <x v="4"/>
  </r>
  <r>
    <x v="87"/>
    <x v="1"/>
    <x v="207"/>
    <x v="0"/>
    <x v="0"/>
    <x v="2"/>
    <x v="0"/>
    <x v="0"/>
    <x v="4"/>
  </r>
  <r>
    <x v="87"/>
    <x v="2"/>
    <x v="99"/>
    <x v="0"/>
    <x v="0"/>
    <x v="2"/>
    <x v="0"/>
    <x v="0"/>
    <x v="4"/>
  </r>
  <r>
    <x v="87"/>
    <x v="3"/>
    <x v="190"/>
    <x v="0"/>
    <x v="0"/>
    <x v="2"/>
    <x v="0"/>
    <x v="0"/>
    <x v="4"/>
  </r>
  <r>
    <x v="87"/>
    <x v="4"/>
    <x v="230"/>
    <x v="0"/>
    <x v="0"/>
    <x v="2"/>
    <x v="0"/>
    <x v="0"/>
    <x v="4"/>
  </r>
  <r>
    <x v="87"/>
    <x v="5"/>
    <x v="378"/>
    <x v="0"/>
    <x v="0"/>
    <x v="2"/>
    <x v="0"/>
    <x v="0"/>
    <x v="4"/>
  </r>
  <r>
    <x v="87"/>
    <x v="6"/>
    <x v="671"/>
    <x v="0"/>
    <x v="0"/>
    <x v="2"/>
    <x v="0"/>
    <x v="0"/>
    <x v="3"/>
  </r>
  <r>
    <x v="87"/>
    <x v="7"/>
    <x v="1114"/>
    <x v="0"/>
    <x v="0"/>
    <x v="2"/>
    <x v="0"/>
    <x v="0"/>
    <x v="3"/>
  </r>
  <r>
    <x v="87"/>
    <x v="8"/>
    <x v="1003"/>
    <x v="0"/>
    <x v="0"/>
    <x v="2"/>
    <x v="0"/>
    <x v="0"/>
    <x v="3"/>
  </r>
  <r>
    <x v="87"/>
    <x v="9"/>
    <x v="766"/>
    <x v="0"/>
    <x v="0"/>
    <x v="2"/>
    <x v="0"/>
    <x v="0"/>
    <x v="3"/>
  </r>
  <r>
    <x v="87"/>
    <x v="10"/>
    <x v="718"/>
    <x v="0"/>
    <x v="0"/>
    <x v="2"/>
    <x v="0"/>
    <x v="0"/>
    <x v="2"/>
  </r>
  <r>
    <x v="87"/>
    <x v="11"/>
    <x v="847"/>
    <x v="0"/>
    <x v="0"/>
    <x v="2"/>
    <x v="0"/>
    <x v="0"/>
    <x v="2"/>
  </r>
  <r>
    <x v="87"/>
    <x v="12"/>
    <x v="851"/>
    <x v="0"/>
    <x v="0"/>
    <x v="2"/>
    <x v="0"/>
    <x v="0"/>
    <x v="2"/>
  </r>
  <r>
    <x v="87"/>
    <x v="13"/>
    <x v="962"/>
    <x v="0"/>
    <x v="0"/>
    <x v="2"/>
    <x v="0"/>
    <x v="0"/>
    <x v="2"/>
  </r>
  <r>
    <x v="87"/>
    <x v="14"/>
    <x v="1182"/>
    <x v="0"/>
    <x v="0"/>
    <x v="2"/>
    <x v="0"/>
    <x v="0"/>
    <x v="2"/>
  </r>
  <r>
    <x v="87"/>
    <x v="15"/>
    <x v="1443"/>
    <x v="0"/>
    <x v="0"/>
    <x v="2"/>
    <x v="0"/>
    <x v="0"/>
    <x v="2"/>
  </r>
  <r>
    <x v="87"/>
    <x v="16"/>
    <x v="1576"/>
    <x v="0"/>
    <x v="0"/>
    <x v="2"/>
    <x v="0"/>
    <x v="0"/>
    <x v="0"/>
  </r>
  <r>
    <x v="87"/>
    <x v="17"/>
    <x v="1526"/>
    <x v="0"/>
    <x v="0"/>
    <x v="2"/>
    <x v="0"/>
    <x v="0"/>
    <x v="0"/>
  </r>
  <r>
    <x v="87"/>
    <x v="18"/>
    <x v="1456"/>
    <x v="0"/>
    <x v="0"/>
    <x v="2"/>
    <x v="0"/>
    <x v="0"/>
    <x v="0"/>
  </r>
  <r>
    <x v="87"/>
    <x v="19"/>
    <x v="1137"/>
    <x v="0"/>
    <x v="0"/>
    <x v="2"/>
    <x v="0"/>
    <x v="0"/>
    <x v="0"/>
  </r>
  <r>
    <x v="87"/>
    <x v="20"/>
    <x v="1106"/>
    <x v="0"/>
    <x v="0"/>
    <x v="2"/>
    <x v="0"/>
    <x v="0"/>
    <x v="1"/>
  </r>
  <r>
    <x v="87"/>
    <x v="21"/>
    <x v="1406"/>
    <x v="0"/>
    <x v="0"/>
    <x v="2"/>
    <x v="0"/>
    <x v="0"/>
    <x v="1"/>
  </r>
  <r>
    <x v="87"/>
    <x v="22"/>
    <x v="1524"/>
    <x v="0"/>
    <x v="0"/>
    <x v="2"/>
    <x v="0"/>
    <x v="0"/>
    <x v="1"/>
  </r>
  <r>
    <x v="87"/>
    <x v="23"/>
    <x v="1283"/>
    <x v="0"/>
    <x v="0"/>
    <x v="2"/>
    <x v="0"/>
    <x v="0"/>
    <x v="1"/>
  </r>
  <r>
    <x v="88"/>
    <x v="0"/>
    <x v="828"/>
    <x v="0"/>
    <x v="0"/>
    <x v="2"/>
    <x v="2"/>
    <x v="1"/>
    <x v="4"/>
  </r>
  <r>
    <x v="88"/>
    <x v="1"/>
    <x v="584"/>
    <x v="0"/>
    <x v="0"/>
    <x v="2"/>
    <x v="2"/>
    <x v="1"/>
    <x v="4"/>
  </r>
  <r>
    <x v="88"/>
    <x v="2"/>
    <x v="349"/>
    <x v="0"/>
    <x v="0"/>
    <x v="2"/>
    <x v="2"/>
    <x v="1"/>
    <x v="4"/>
  </r>
  <r>
    <x v="88"/>
    <x v="3"/>
    <x v="302"/>
    <x v="0"/>
    <x v="0"/>
    <x v="2"/>
    <x v="2"/>
    <x v="1"/>
    <x v="4"/>
  </r>
  <r>
    <x v="88"/>
    <x v="4"/>
    <x v="166"/>
    <x v="0"/>
    <x v="0"/>
    <x v="2"/>
    <x v="2"/>
    <x v="1"/>
    <x v="4"/>
  </r>
  <r>
    <x v="88"/>
    <x v="5"/>
    <x v="210"/>
    <x v="0"/>
    <x v="0"/>
    <x v="2"/>
    <x v="2"/>
    <x v="1"/>
    <x v="4"/>
  </r>
  <r>
    <x v="88"/>
    <x v="6"/>
    <x v="218"/>
    <x v="0"/>
    <x v="0"/>
    <x v="2"/>
    <x v="2"/>
    <x v="1"/>
    <x v="3"/>
  </r>
  <r>
    <x v="88"/>
    <x v="7"/>
    <x v="284"/>
    <x v="0"/>
    <x v="0"/>
    <x v="2"/>
    <x v="2"/>
    <x v="1"/>
    <x v="3"/>
  </r>
  <r>
    <x v="88"/>
    <x v="8"/>
    <x v="394"/>
    <x v="0"/>
    <x v="0"/>
    <x v="2"/>
    <x v="2"/>
    <x v="1"/>
    <x v="3"/>
  </r>
  <r>
    <x v="88"/>
    <x v="9"/>
    <x v="567"/>
    <x v="0"/>
    <x v="0"/>
    <x v="2"/>
    <x v="2"/>
    <x v="1"/>
    <x v="3"/>
  </r>
  <r>
    <x v="88"/>
    <x v="10"/>
    <x v="678"/>
    <x v="0"/>
    <x v="0"/>
    <x v="2"/>
    <x v="2"/>
    <x v="1"/>
    <x v="2"/>
  </r>
  <r>
    <x v="88"/>
    <x v="11"/>
    <x v="645"/>
    <x v="0"/>
    <x v="0"/>
    <x v="2"/>
    <x v="2"/>
    <x v="1"/>
    <x v="2"/>
  </r>
  <r>
    <x v="88"/>
    <x v="12"/>
    <x v="715"/>
    <x v="0"/>
    <x v="0"/>
    <x v="2"/>
    <x v="2"/>
    <x v="1"/>
    <x v="2"/>
  </r>
  <r>
    <x v="88"/>
    <x v="13"/>
    <x v="733"/>
    <x v="0"/>
    <x v="0"/>
    <x v="2"/>
    <x v="2"/>
    <x v="1"/>
    <x v="2"/>
  </r>
  <r>
    <x v="88"/>
    <x v="14"/>
    <x v="989"/>
    <x v="0"/>
    <x v="0"/>
    <x v="2"/>
    <x v="2"/>
    <x v="1"/>
    <x v="2"/>
  </r>
  <r>
    <x v="88"/>
    <x v="15"/>
    <x v="1241"/>
    <x v="0"/>
    <x v="0"/>
    <x v="2"/>
    <x v="2"/>
    <x v="1"/>
    <x v="2"/>
  </r>
  <r>
    <x v="88"/>
    <x v="16"/>
    <x v="1298"/>
    <x v="0"/>
    <x v="0"/>
    <x v="2"/>
    <x v="2"/>
    <x v="1"/>
    <x v="0"/>
  </r>
  <r>
    <x v="88"/>
    <x v="17"/>
    <x v="1161"/>
    <x v="0"/>
    <x v="0"/>
    <x v="2"/>
    <x v="2"/>
    <x v="1"/>
    <x v="0"/>
  </r>
  <r>
    <x v="88"/>
    <x v="18"/>
    <x v="1162"/>
    <x v="0"/>
    <x v="0"/>
    <x v="2"/>
    <x v="2"/>
    <x v="1"/>
    <x v="0"/>
  </r>
  <r>
    <x v="88"/>
    <x v="19"/>
    <x v="967"/>
    <x v="0"/>
    <x v="0"/>
    <x v="2"/>
    <x v="2"/>
    <x v="1"/>
    <x v="0"/>
  </r>
  <r>
    <x v="88"/>
    <x v="20"/>
    <x v="1068"/>
    <x v="0"/>
    <x v="0"/>
    <x v="2"/>
    <x v="2"/>
    <x v="1"/>
    <x v="1"/>
  </r>
  <r>
    <x v="88"/>
    <x v="21"/>
    <x v="1293"/>
    <x v="0"/>
    <x v="0"/>
    <x v="2"/>
    <x v="2"/>
    <x v="1"/>
    <x v="1"/>
  </r>
  <r>
    <x v="88"/>
    <x v="22"/>
    <x v="1439"/>
    <x v="0"/>
    <x v="0"/>
    <x v="2"/>
    <x v="2"/>
    <x v="1"/>
    <x v="1"/>
  </r>
  <r>
    <x v="88"/>
    <x v="23"/>
    <x v="1351"/>
    <x v="0"/>
    <x v="0"/>
    <x v="2"/>
    <x v="2"/>
    <x v="1"/>
    <x v="1"/>
  </r>
  <r>
    <x v="89"/>
    <x v="0"/>
    <x v="991"/>
    <x v="0"/>
    <x v="0"/>
    <x v="2"/>
    <x v="3"/>
    <x v="1"/>
    <x v="4"/>
  </r>
  <r>
    <x v="89"/>
    <x v="1"/>
    <x v="780"/>
    <x v="0"/>
    <x v="0"/>
    <x v="2"/>
    <x v="3"/>
    <x v="1"/>
    <x v="4"/>
  </r>
  <r>
    <x v="89"/>
    <x v="2"/>
    <x v="662"/>
    <x v="0"/>
    <x v="0"/>
    <x v="2"/>
    <x v="3"/>
    <x v="1"/>
    <x v="4"/>
  </r>
  <r>
    <x v="89"/>
    <x v="3"/>
    <x v="455"/>
    <x v="0"/>
    <x v="0"/>
    <x v="2"/>
    <x v="3"/>
    <x v="1"/>
    <x v="4"/>
  </r>
  <r>
    <x v="89"/>
    <x v="4"/>
    <x v="170"/>
    <x v="0"/>
    <x v="0"/>
    <x v="2"/>
    <x v="3"/>
    <x v="1"/>
    <x v="4"/>
  </r>
  <r>
    <x v="89"/>
    <x v="5"/>
    <x v="143"/>
    <x v="0"/>
    <x v="0"/>
    <x v="2"/>
    <x v="3"/>
    <x v="1"/>
    <x v="4"/>
  </r>
  <r>
    <x v="89"/>
    <x v="6"/>
    <x v="165"/>
    <x v="0"/>
    <x v="0"/>
    <x v="2"/>
    <x v="3"/>
    <x v="1"/>
    <x v="3"/>
  </r>
  <r>
    <x v="89"/>
    <x v="7"/>
    <x v="197"/>
    <x v="0"/>
    <x v="0"/>
    <x v="2"/>
    <x v="3"/>
    <x v="1"/>
    <x v="3"/>
  </r>
  <r>
    <x v="89"/>
    <x v="8"/>
    <x v="348"/>
    <x v="0"/>
    <x v="0"/>
    <x v="2"/>
    <x v="3"/>
    <x v="1"/>
    <x v="3"/>
  </r>
  <r>
    <x v="89"/>
    <x v="9"/>
    <x v="523"/>
    <x v="0"/>
    <x v="0"/>
    <x v="2"/>
    <x v="3"/>
    <x v="1"/>
    <x v="3"/>
  </r>
  <r>
    <x v="89"/>
    <x v="10"/>
    <x v="607"/>
    <x v="0"/>
    <x v="0"/>
    <x v="2"/>
    <x v="3"/>
    <x v="1"/>
    <x v="2"/>
  </r>
  <r>
    <x v="89"/>
    <x v="11"/>
    <x v="596"/>
    <x v="0"/>
    <x v="0"/>
    <x v="2"/>
    <x v="3"/>
    <x v="1"/>
    <x v="2"/>
  </r>
  <r>
    <x v="89"/>
    <x v="12"/>
    <x v="631"/>
    <x v="0"/>
    <x v="0"/>
    <x v="2"/>
    <x v="3"/>
    <x v="1"/>
    <x v="2"/>
  </r>
  <r>
    <x v="89"/>
    <x v="13"/>
    <x v="760"/>
    <x v="0"/>
    <x v="0"/>
    <x v="2"/>
    <x v="3"/>
    <x v="1"/>
    <x v="2"/>
  </r>
  <r>
    <x v="89"/>
    <x v="14"/>
    <x v="819"/>
    <x v="0"/>
    <x v="0"/>
    <x v="2"/>
    <x v="3"/>
    <x v="1"/>
    <x v="2"/>
  </r>
  <r>
    <x v="89"/>
    <x v="15"/>
    <x v="977"/>
    <x v="0"/>
    <x v="0"/>
    <x v="2"/>
    <x v="3"/>
    <x v="1"/>
    <x v="2"/>
  </r>
  <r>
    <x v="89"/>
    <x v="16"/>
    <x v="955"/>
    <x v="0"/>
    <x v="0"/>
    <x v="2"/>
    <x v="3"/>
    <x v="1"/>
    <x v="0"/>
  </r>
  <r>
    <x v="89"/>
    <x v="17"/>
    <x v="947"/>
    <x v="0"/>
    <x v="0"/>
    <x v="2"/>
    <x v="3"/>
    <x v="1"/>
    <x v="0"/>
  </r>
  <r>
    <x v="89"/>
    <x v="18"/>
    <x v="819"/>
    <x v="0"/>
    <x v="0"/>
    <x v="2"/>
    <x v="3"/>
    <x v="1"/>
    <x v="0"/>
  </r>
  <r>
    <x v="89"/>
    <x v="19"/>
    <x v="667"/>
    <x v="0"/>
    <x v="0"/>
    <x v="2"/>
    <x v="3"/>
    <x v="1"/>
    <x v="0"/>
  </r>
  <r>
    <x v="89"/>
    <x v="20"/>
    <x v="756"/>
    <x v="0"/>
    <x v="0"/>
    <x v="2"/>
    <x v="3"/>
    <x v="1"/>
    <x v="1"/>
  </r>
  <r>
    <x v="89"/>
    <x v="21"/>
    <x v="799"/>
    <x v="0"/>
    <x v="0"/>
    <x v="2"/>
    <x v="3"/>
    <x v="1"/>
    <x v="1"/>
  </r>
  <r>
    <x v="89"/>
    <x v="22"/>
    <x v="639"/>
    <x v="0"/>
    <x v="0"/>
    <x v="2"/>
    <x v="3"/>
    <x v="1"/>
    <x v="1"/>
  </r>
  <r>
    <x v="89"/>
    <x v="23"/>
    <x v="355"/>
    <x v="0"/>
    <x v="0"/>
    <x v="2"/>
    <x v="3"/>
    <x v="1"/>
    <x v="1"/>
  </r>
  <r>
    <x v="90"/>
    <x v="0"/>
    <x v="138"/>
    <x v="0"/>
    <x v="0"/>
    <x v="2"/>
    <x v="1"/>
    <x v="0"/>
    <x v="4"/>
  </r>
  <r>
    <x v="90"/>
    <x v="1"/>
    <x v="69"/>
    <x v="0"/>
    <x v="0"/>
    <x v="2"/>
    <x v="1"/>
    <x v="0"/>
    <x v="4"/>
  </r>
  <r>
    <x v="90"/>
    <x v="2"/>
    <x v="50"/>
    <x v="0"/>
    <x v="0"/>
    <x v="2"/>
    <x v="1"/>
    <x v="0"/>
    <x v="4"/>
  </r>
  <r>
    <x v="90"/>
    <x v="3"/>
    <x v="151"/>
    <x v="0"/>
    <x v="0"/>
    <x v="2"/>
    <x v="1"/>
    <x v="0"/>
    <x v="4"/>
  </r>
  <r>
    <x v="90"/>
    <x v="4"/>
    <x v="225"/>
    <x v="0"/>
    <x v="0"/>
    <x v="2"/>
    <x v="1"/>
    <x v="0"/>
    <x v="4"/>
  </r>
  <r>
    <x v="90"/>
    <x v="5"/>
    <x v="363"/>
    <x v="0"/>
    <x v="0"/>
    <x v="2"/>
    <x v="1"/>
    <x v="0"/>
    <x v="4"/>
  </r>
  <r>
    <x v="90"/>
    <x v="6"/>
    <x v="666"/>
    <x v="0"/>
    <x v="0"/>
    <x v="2"/>
    <x v="1"/>
    <x v="0"/>
    <x v="3"/>
  </r>
  <r>
    <x v="90"/>
    <x v="7"/>
    <x v="1037"/>
    <x v="0"/>
    <x v="0"/>
    <x v="2"/>
    <x v="1"/>
    <x v="0"/>
    <x v="3"/>
  </r>
  <r>
    <x v="90"/>
    <x v="8"/>
    <x v="1004"/>
    <x v="0"/>
    <x v="0"/>
    <x v="2"/>
    <x v="1"/>
    <x v="0"/>
    <x v="3"/>
  </r>
  <r>
    <x v="90"/>
    <x v="9"/>
    <x v="661"/>
    <x v="0"/>
    <x v="0"/>
    <x v="2"/>
    <x v="1"/>
    <x v="0"/>
    <x v="3"/>
  </r>
  <r>
    <x v="90"/>
    <x v="10"/>
    <x v="585"/>
    <x v="0"/>
    <x v="0"/>
    <x v="2"/>
    <x v="1"/>
    <x v="0"/>
    <x v="2"/>
  </r>
  <r>
    <x v="90"/>
    <x v="11"/>
    <x v="597"/>
    <x v="0"/>
    <x v="0"/>
    <x v="2"/>
    <x v="1"/>
    <x v="0"/>
    <x v="2"/>
  </r>
  <r>
    <x v="90"/>
    <x v="12"/>
    <x v="643"/>
    <x v="0"/>
    <x v="0"/>
    <x v="2"/>
    <x v="1"/>
    <x v="0"/>
    <x v="2"/>
  </r>
  <r>
    <x v="90"/>
    <x v="13"/>
    <x v="742"/>
    <x v="0"/>
    <x v="0"/>
    <x v="2"/>
    <x v="1"/>
    <x v="0"/>
    <x v="2"/>
  </r>
  <r>
    <x v="90"/>
    <x v="14"/>
    <x v="861"/>
    <x v="0"/>
    <x v="0"/>
    <x v="2"/>
    <x v="1"/>
    <x v="0"/>
    <x v="2"/>
  </r>
  <r>
    <x v="90"/>
    <x v="15"/>
    <x v="1001"/>
    <x v="0"/>
    <x v="0"/>
    <x v="2"/>
    <x v="1"/>
    <x v="0"/>
    <x v="2"/>
  </r>
  <r>
    <x v="90"/>
    <x v="16"/>
    <x v="1225"/>
    <x v="0"/>
    <x v="0"/>
    <x v="2"/>
    <x v="1"/>
    <x v="0"/>
    <x v="0"/>
  </r>
  <r>
    <x v="90"/>
    <x v="17"/>
    <x v="1190"/>
    <x v="0"/>
    <x v="0"/>
    <x v="2"/>
    <x v="1"/>
    <x v="0"/>
    <x v="0"/>
  </r>
  <r>
    <x v="90"/>
    <x v="18"/>
    <x v="1033"/>
    <x v="0"/>
    <x v="0"/>
    <x v="2"/>
    <x v="1"/>
    <x v="0"/>
    <x v="0"/>
  </r>
  <r>
    <x v="90"/>
    <x v="19"/>
    <x v="964"/>
    <x v="0"/>
    <x v="0"/>
    <x v="2"/>
    <x v="1"/>
    <x v="0"/>
    <x v="0"/>
  </r>
  <r>
    <x v="90"/>
    <x v="20"/>
    <x v="1051"/>
    <x v="0"/>
    <x v="0"/>
    <x v="2"/>
    <x v="1"/>
    <x v="0"/>
    <x v="1"/>
  </r>
  <r>
    <x v="90"/>
    <x v="21"/>
    <x v="843"/>
    <x v="0"/>
    <x v="0"/>
    <x v="2"/>
    <x v="1"/>
    <x v="0"/>
    <x v="1"/>
  </r>
  <r>
    <x v="90"/>
    <x v="22"/>
    <x v="566"/>
    <x v="0"/>
    <x v="0"/>
    <x v="2"/>
    <x v="1"/>
    <x v="0"/>
    <x v="1"/>
  </r>
  <r>
    <x v="90"/>
    <x v="23"/>
    <x v="318"/>
    <x v="0"/>
    <x v="0"/>
    <x v="2"/>
    <x v="1"/>
    <x v="0"/>
    <x v="1"/>
  </r>
  <r>
    <x v="91"/>
    <x v="0"/>
    <x v="144"/>
    <x v="0"/>
    <x v="0"/>
    <x v="3"/>
    <x v="5"/>
    <x v="0"/>
    <x v="4"/>
  </r>
  <r>
    <x v="91"/>
    <x v="1"/>
    <x v="44"/>
    <x v="0"/>
    <x v="0"/>
    <x v="3"/>
    <x v="5"/>
    <x v="0"/>
    <x v="4"/>
  </r>
  <r>
    <x v="91"/>
    <x v="2"/>
    <x v="22"/>
    <x v="0"/>
    <x v="0"/>
    <x v="3"/>
    <x v="5"/>
    <x v="0"/>
    <x v="4"/>
  </r>
  <r>
    <x v="91"/>
    <x v="3"/>
    <x v="65"/>
    <x v="0"/>
    <x v="0"/>
    <x v="3"/>
    <x v="5"/>
    <x v="0"/>
    <x v="4"/>
  </r>
  <r>
    <x v="91"/>
    <x v="4"/>
    <x v="151"/>
    <x v="0"/>
    <x v="0"/>
    <x v="3"/>
    <x v="5"/>
    <x v="0"/>
    <x v="4"/>
  </r>
  <r>
    <x v="91"/>
    <x v="5"/>
    <x v="270"/>
    <x v="0"/>
    <x v="0"/>
    <x v="3"/>
    <x v="5"/>
    <x v="0"/>
    <x v="4"/>
  </r>
  <r>
    <x v="91"/>
    <x v="6"/>
    <x v="613"/>
    <x v="0"/>
    <x v="0"/>
    <x v="3"/>
    <x v="5"/>
    <x v="0"/>
    <x v="3"/>
  </r>
  <r>
    <x v="91"/>
    <x v="7"/>
    <x v="1073"/>
    <x v="0"/>
    <x v="0"/>
    <x v="3"/>
    <x v="5"/>
    <x v="0"/>
    <x v="3"/>
  </r>
  <r>
    <x v="91"/>
    <x v="8"/>
    <x v="962"/>
    <x v="0"/>
    <x v="0"/>
    <x v="3"/>
    <x v="5"/>
    <x v="0"/>
    <x v="3"/>
  </r>
  <r>
    <x v="91"/>
    <x v="9"/>
    <x v="777"/>
    <x v="0"/>
    <x v="0"/>
    <x v="3"/>
    <x v="5"/>
    <x v="0"/>
    <x v="3"/>
  </r>
  <r>
    <x v="91"/>
    <x v="10"/>
    <x v="707"/>
    <x v="0"/>
    <x v="0"/>
    <x v="3"/>
    <x v="5"/>
    <x v="0"/>
    <x v="2"/>
  </r>
  <r>
    <x v="91"/>
    <x v="11"/>
    <x v="692"/>
    <x v="0"/>
    <x v="0"/>
    <x v="3"/>
    <x v="5"/>
    <x v="0"/>
    <x v="2"/>
  </r>
  <r>
    <x v="91"/>
    <x v="12"/>
    <x v="812"/>
    <x v="0"/>
    <x v="0"/>
    <x v="3"/>
    <x v="5"/>
    <x v="0"/>
    <x v="2"/>
  </r>
  <r>
    <x v="91"/>
    <x v="13"/>
    <x v="928"/>
    <x v="0"/>
    <x v="0"/>
    <x v="3"/>
    <x v="5"/>
    <x v="0"/>
    <x v="2"/>
  </r>
  <r>
    <x v="91"/>
    <x v="14"/>
    <x v="1314"/>
    <x v="0"/>
    <x v="0"/>
    <x v="3"/>
    <x v="5"/>
    <x v="0"/>
    <x v="2"/>
  </r>
  <r>
    <x v="91"/>
    <x v="15"/>
    <x v="1263"/>
    <x v="0"/>
    <x v="0"/>
    <x v="3"/>
    <x v="5"/>
    <x v="0"/>
    <x v="2"/>
  </r>
  <r>
    <x v="91"/>
    <x v="16"/>
    <x v="1132"/>
    <x v="0"/>
    <x v="0"/>
    <x v="3"/>
    <x v="5"/>
    <x v="0"/>
    <x v="0"/>
  </r>
  <r>
    <x v="91"/>
    <x v="17"/>
    <x v="1674"/>
    <x v="0"/>
    <x v="0"/>
    <x v="3"/>
    <x v="5"/>
    <x v="0"/>
    <x v="0"/>
  </r>
  <r>
    <x v="91"/>
    <x v="18"/>
    <x v="1328"/>
    <x v="0"/>
    <x v="0"/>
    <x v="3"/>
    <x v="5"/>
    <x v="0"/>
    <x v="0"/>
  </r>
  <r>
    <x v="91"/>
    <x v="19"/>
    <x v="1228"/>
    <x v="0"/>
    <x v="0"/>
    <x v="3"/>
    <x v="5"/>
    <x v="0"/>
    <x v="0"/>
  </r>
  <r>
    <x v="91"/>
    <x v="20"/>
    <x v="1261"/>
    <x v="0"/>
    <x v="0"/>
    <x v="3"/>
    <x v="5"/>
    <x v="0"/>
    <x v="1"/>
  </r>
  <r>
    <x v="91"/>
    <x v="21"/>
    <x v="1135"/>
    <x v="0"/>
    <x v="0"/>
    <x v="3"/>
    <x v="5"/>
    <x v="0"/>
    <x v="1"/>
  </r>
  <r>
    <x v="91"/>
    <x v="22"/>
    <x v="695"/>
    <x v="0"/>
    <x v="0"/>
    <x v="3"/>
    <x v="5"/>
    <x v="0"/>
    <x v="1"/>
  </r>
  <r>
    <x v="91"/>
    <x v="23"/>
    <x v="348"/>
    <x v="0"/>
    <x v="0"/>
    <x v="3"/>
    <x v="5"/>
    <x v="0"/>
    <x v="1"/>
  </r>
  <r>
    <x v="92"/>
    <x v="0"/>
    <x v="167"/>
    <x v="0"/>
    <x v="0"/>
    <x v="3"/>
    <x v="6"/>
    <x v="0"/>
    <x v="4"/>
  </r>
  <r>
    <x v="92"/>
    <x v="1"/>
    <x v="71"/>
    <x v="0"/>
    <x v="0"/>
    <x v="3"/>
    <x v="6"/>
    <x v="0"/>
    <x v="4"/>
  </r>
  <r>
    <x v="92"/>
    <x v="2"/>
    <x v="54"/>
    <x v="0"/>
    <x v="0"/>
    <x v="3"/>
    <x v="6"/>
    <x v="0"/>
    <x v="4"/>
  </r>
  <r>
    <x v="92"/>
    <x v="3"/>
    <x v="116"/>
    <x v="0"/>
    <x v="0"/>
    <x v="3"/>
    <x v="6"/>
    <x v="0"/>
    <x v="4"/>
  </r>
  <r>
    <x v="92"/>
    <x v="4"/>
    <x v="184"/>
    <x v="0"/>
    <x v="0"/>
    <x v="3"/>
    <x v="6"/>
    <x v="0"/>
    <x v="4"/>
  </r>
  <r>
    <x v="92"/>
    <x v="5"/>
    <x v="302"/>
    <x v="0"/>
    <x v="0"/>
    <x v="3"/>
    <x v="6"/>
    <x v="0"/>
    <x v="4"/>
  </r>
  <r>
    <x v="92"/>
    <x v="6"/>
    <x v="659"/>
    <x v="0"/>
    <x v="0"/>
    <x v="3"/>
    <x v="6"/>
    <x v="0"/>
    <x v="3"/>
  </r>
  <r>
    <x v="92"/>
    <x v="7"/>
    <x v="1176"/>
    <x v="0"/>
    <x v="0"/>
    <x v="3"/>
    <x v="6"/>
    <x v="0"/>
    <x v="3"/>
  </r>
  <r>
    <x v="92"/>
    <x v="8"/>
    <x v="1034"/>
    <x v="0"/>
    <x v="0"/>
    <x v="3"/>
    <x v="6"/>
    <x v="0"/>
    <x v="3"/>
  </r>
  <r>
    <x v="92"/>
    <x v="9"/>
    <x v="721"/>
    <x v="0"/>
    <x v="0"/>
    <x v="3"/>
    <x v="6"/>
    <x v="0"/>
    <x v="3"/>
  </r>
  <r>
    <x v="92"/>
    <x v="10"/>
    <x v="739"/>
    <x v="0"/>
    <x v="0"/>
    <x v="3"/>
    <x v="6"/>
    <x v="0"/>
    <x v="2"/>
  </r>
  <r>
    <x v="92"/>
    <x v="11"/>
    <x v="770"/>
    <x v="0"/>
    <x v="0"/>
    <x v="3"/>
    <x v="6"/>
    <x v="0"/>
    <x v="2"/>
  </r>
  <r>
    <x v="92"/>
    <x v="12"/>
    <x v="824"/>
    <x v="0"/>
    <x v="0"/>
    <x v="3"/>
    <x v="6"/>
    <x v="0"/>
    <x v="2"/>
  </r>
  <r>
    <x v="92"/>
    <x v="13"/>
    <x v="950"/>
    <x v="0"/>
    <x v="0"/>
    <x v="3"/>
    <x v="6"/>
    <x v="0"/>
    <x v="2"/>
  </r>
  <r>
    <x v="92"/>
    <x v="14"/>
    <x v="1080"/>
    <x v="0"/>
    <x v="0"/>
    <x v="3"/>
    <x v="6"/>
    <x v="0"/>
    <x v="2"/>
  </r>
  <r>
    <x v="92"/>
    <x v="15"/>
    <x v="1383"/>
    <x v="0"/>
    <x v="0"/>
    <x v="3"/>
    <x v="6"/>
    <x v="0"/>
    <x v="2"/>
  </r>
  <r>
    <x v="92"/>
    <x v="16"/>
    <x v="1894"/>
    <x v="0"/>
    <x v="0"/>
    <x v="3"/>
    <x v="6"/>
    <x v="0"/>
    <x v="0"/>
  </r>
  <r>
    <x v="92"/>
    <x v="17"/>
    <x v="2116"/>
    <x v="0"/>
    <x v="0"/>
    <x v="3"/>
    <x v="6"/>
    <x v="0"/>
    <x v="0"/>
  </r>
  <r>
    <x v="92"/>
    <x v="18"/>
    <x v="2426"/>
    <x v="0"/>
    <x v="0"/>
    <x v="3"/>
    <x v="6"/>
    <x v="0"/>
    <x v="0"/>
  </r>
  <r>
    <x v="92"/>
    <x v="19"/>
    <x v="2005"/>
    <x v="0"/>
    <x v="0"/>
    <x v="3"/>
    <x v="6"/>
    <x v="0"/>
    <x v="0"/>
  </r>
  <r>
    <x v="92"/>
    <x v="20"/>
    <x v="1535"/>
    <x v="0"/>
    <x v="0"/>
    <x v="3"/>
    <x v="6"/>
    <x v="0"/>
    <x v="1"/>
  </r>
  <r>
    <x v="92"/>
    <x v="21"/>
    <x v="1383"/>
    <x v="0"/>
    <x v="0"/>
    <x v="3"/>
    <x v="6"/>
    <x v="0"/>
    <x v="1"/>
  </r>
  <r>
    <x v="92"/>
    <x v="22"/>
    <x v="836"/>
    <x v="0"/>
    <x v="0"/>
    <x v="3"/>
    <x v="6"/>
    <x v="0"/>
    <x v="1"/>
  </r>
  <r>
    <x v="92"/>
    <x v="23"/>
    <x v="494"/>
    <x v="0"/>
    <x v="0"/>
    <x v="3"/>
    <x v="6"/>
    <x v="0"/>
    <x v="1"/>
  </r>
  <r>
    <x v="93"/>
    <x v="0"/>
    <x v="281"/>
    <x v="0"/>
    <x v="0"/>
    <x v="3"/>
    <x v="4"/>
    <x v="0"/>
    <x v="4"/>
  </r>
  <r>
    <x v="93"/>
    <x v="1"/>
    <x v="123"/>
    <x v="0"/>
    <x v="0"/>
    <x v="3"/>
    <x v="4"/>
    <x v="0"/>
    <x v="4"/>
  </r>
  <r>
    <x v="93"/>
    <x v="2"/>
    <x v="59"/>
    <x v="0"/>
    <x v="0"/>
    <x v="3"/>
    <x v="4"/>
    <x v="0"/>
    <x v="4"/>
  </r>
  <r>
    <x v="93"/>
    <x v="3"/>
    <x v="176"/>
    <x v="0"/>
    <x v="0"/>
    <x v="3"/>
    <x v="4"/>
    <x v="0"/>
    <x v="4"/>
  </r>
  <r>
    <x v="93"/>
    <x v="4"/>
    <x v="244"/>
    <x v="0"/>
    <x v="0"/>
    <x v="3"/>
    <x v="4"/>
    <x v="0"/>
    <x v="4"/>
  </r>
  <r>
    <x v="93"/>
    <x v="5"/>
    <x v="339"/>
    <x v="0"/>
    <x v="0"/>
    <x v="3"/>
    <x v="4"/>
    <x v="0"/>
    <x v="4"/>
  </r>
  <r>
    <x v="93"/>
    <x v="6"/>
    <x v="580"/>
    <x v="0"/>
    <x v="0"/>
    <x v="3"/>
    <x v="4"/>
    <x v="0"/>
    <x v="3"/>
  </r>
  <r>
    <x v="93"/>
    <x v="7"/>
    <x v="989"/>
    <x v="0"/>
    <x v="0"/>
    <x v="3"/>
    <x v="4"/>
    <x v="0"/>
    <x v="3"/>
  </r>
  <r>
    <x v="93"/>
    <x v="8"/>
    <x v="892"/>
    <x v="0"/>
    <x v="0"/>
    <x v="3"/>
    <x v="4"/>
    <x v="0"/>
    <x v="3"/>
  </r>
  <r>
    <x v="93"/>
    <x v="9"/>
    <x v="684"/>
    <x v="0"/>
    <x v="0"/>
    <x v="3"/>
    <x v="4"/>
    <x v="0"/>
    <x v="3"/>
  </r>
  <r>
    <x v="93"/>
    <x v="10"/>
    <x v="644"/>
    <x v="0"/>
    <x v="0"/>
    <x v="3"/>
    <x v="4"/>
    <x v="0"/>
    <x v="2"/>
  </r>
  <r>
    <x v="93"/>
    <x v="11"/>
    <x v="796"/>
    <x v="0"/>
    <x v="0"/>
    <x v="3"/>
    <x v="4"/>
    <x v="0"/>
    <x v="2"/>
  </r>
  <r>
    <x v="93"/>
    <x v="12"/>
    <x v="915"/>
    <x v="0"/>
    <x v="0"/>
    <x v="3"/>
    <x v="4"/>
    <x v="0"/>
    <x v="2"/>
  </r>
  <r>
    <x v="93"/>
    <x v="13"/>
    <x v="999"/>
    <x v="0"/>
    <x v="0"/>
    <x v="3"/>
    <x v="4"/>
    <x v="0"/>
    <x v="2"/>
  </r>
  <r>
    <x v="93"/>
    <x v="14"/>
    <x v="1180"/>
    <x v="0"/>
    <x v="0"/>
    <x v="3"/>
    <x v="4"/>
    <x v="0"/>
    <x v="2"/>
  </r>
  <r>
    <x v="93"/>
    <x v="15"/>
    <x v="1292"/>
    <x v="0"/>
    <x v="0"/>
    <x v="3"/>
    <x v="4"/>
    <x v="0"/>
    <x v="2"/>
  </r>
  <r>
    <x v="93"/>
    <x v="16"/>
    <x v="1139"/>
    <x v="0"/>
    <x v="0"/>
    <x v="3"/>
    <x v="4"/>
    <x v="0"/>
    <x v="0"/>
  </r>
  <r>
    <x v="93"/>
    <x v="17"/>
    <x v="959"/>
    <x v="0"/>
    <x v="0"/>
    <x v="3"/>
    <x v="4"/>
    <x v="0"/>
    <x v="0"/>
  </r>
  <r>
    <x v="93"/>
    <x v="18"/>
    <x v="1666"/>
    <x v="0"/>
    <x v="0"/>
    <x v="3"/>
    <x v="4"/>
    <x v="0"/>
    <x v="0"/>
  </r>
  <r>
    <x v="93"/>
    <x v="19"/>
    <x v="1795"/>
    <x v="0"/>
    <x v="0"/>
    <x v="3"/>
    <x v="4"/>
    <x v="0"/>
    <x v="0"/>
  </r>
  <r>
    <x v="93"/>
    <x v="20"/>
    <x v="1162"/>
    <x v="0"/>
    <x v="0"/>
    <x v="3"/>
    <x v="4"/>
    <x v="0"/>
    <x v="1"/>
  </r>
  <r>
    <x v="93"/>
    <x v="21"/>
    <x v="782"/>
    <x v="0"/>
    <x v="0"/>
    <x v="3"/>
    <x v="4"/>
    <x v="0"/>
    <x v="1"/>
  </r>
  <r>
    <x v="93"/>
    <x v="22"/>
    <x v="673"/>
    <x v="0"/>
    <x v="0"/>
    <x v="3"/>
    <x v="4"/>
    <x v="0"/>
    <x v="1"/>
  </r>
  <r>
    <x v="93"/>
    <x v="23"/>
    <x v="563"/>
    <x v="0"/>
    <x v="0"/>
    <x v="3"/>
    <x v="4"/>
    <x v="0"/>
    <x v="1"/>
  </r>
  <r>
    <x v="94"/>
    <x v="0"/>
    <x v="372"/>
    <x v="0"/>
    <x v="0"/>
    <x v="3"/>
    <x v="0"/>
    <x v="0"/>
    <x v="4"/>
  </r>
  <r>
    <x v="94"/>
    <x v="1"/>
    <x v="278"/>
    <x v="0"/>
    <x v="0"/>
    <x v="3"/>
    <x v="0"/>
    <x v="0"/>
    <x v="4"/>
  </r>
  <r>
    <x v="94"/>
    <x v="2"/>
    <x v="213"/>
    <x v="0"/>
    <x v="0"/>
    <x v="3"/>
    <x v="0"/>
    <x v="0"/>
    <x v="4"/>
  </r>
  <r>
    <x v="94"/>
    <x v="3"/>
    <x v="208"/>
    <x v="0"/>
    <x v="0"/>
    <x v="3"/>
    <x v="0"/>
    <x v="0"/>
    <x v="4"/>
  </r>
  <r>
    <x v="94"/>
    <x v="4"/>
    <x v="157"/>
    <x v="0"/>
    <x v="0"/>
    <x v="3"/>
    <x v="0"/>
    <x v="0"/>
    <x v="4"/>
  </r>
  <r>
    <x v="94"/>
    <x v="5"/>
    <x v="176"/>
    <x v="0"/>
    <x v="0"/>
    <x v="3"/>
    <x v="0"/>
    <x v="0"/>
    <x v="4"/>
  </r>
  <r>
    <x v="94"/>
    <x v="6"/>
    <x v="197"/>
    <x v="0"/>
    <x v="0"/>
    <x v="3"/>
    <x v="0"/>
    <x v="0"/>
    <x v="3"/>
  </r>
  <r>
    <x v="94"/>
    <x v="7"/>
    <x v="194"/>
    <x v="0"/>
    <x v="0"/>
    <x v="3"/>
    <x v="0"/>
    <x v="0"/>
    <x v="3"/>
  </r>
  <r>
    <x v="94"/>
    <x v="8"/>
    <x v="247"/>
    <x v="0"/>
    <x v="0"/>
    <x v="3"/>
    <x v="0"/>
    <x v="0"/>
    <x v="3"/>
  </r>
  <r>
    <x v="94"/>
    <x v="9"/>
    <x v="329"/>
    <x v="0"/>
    <x v="0"/>
    <x v="3"/>
    <x v="0"/>
    <x v="0"/>
    <x v="3"/>
  </r>
  <r>
    <x v="94"/>
    <x v="10"/>
    <x v="411"/>
    <x v="0"/>
    <x v="0"/>
    <x v="3"/>
    <x v="0"/>
    <x v="0"/>
    <x v="2"/>
  </r>
  <r>
    <x v="94"/>
    <x v="11"/>
    <x v="481"/>
    <x v="0"/>
    <x v="0"/>
    <x v="3"/>
    <x v="0"/>
    <x v="0"/>
    <x v="2"/>
  </r>
  <r>
    <x v="94"/>
    <x v="12"/>
    <x v="633"/>
    <x v="0"/>
    <x v="0"/>
    <x v="3"/>
    <x v="0"/>
    <x v="0"/>
    <x v="2"/>
  </r>
  <r>
    <x v="94"/>
    <x v="13"/>
    <x v="862"/>
    <x v="0"/>
    <x v="0"/>
    <x v="3"/>
    <x v="0"/>
    <x v="0"/>
    <x v="2"/>
  </r>
  <r>
    <x v="94"/>
    <x v="14"/>
    <x v="795"/>
    <x v="0"/>
    <x v="0"/>
    <x v="3"/>
    <x v="0"/>
    <x v="0"/>
    <x v="2"/>
  </r>
  <r>
    <x v="94"/>
    <x v="15"/>
    <x v="688"/>
    <x v="0"/>
    <x v="0"/>
    <x v="3"/>
    <x v="0"/>
    <x v="0"/>
    <x v="2"/>
  </r>
  <r>
    <x v="94"/>
    <x v="16"/>
    <x v="527"/>
    <x v="0"/>
    <x v="0"/>
    <x v="3"/>
    <x v="0"/>
    <x v="0"/>
    <x v="0"/>
  </r>
  <r>
    <x v="94"/>
    <x v="17"/>
    <x v="639"/>
    <x v="0"/>
    <x v="0"/>
    <x v="3"/>
    <x v="0"/>
    <x v="0"/>
    <x v="0"/>
  </r>
  <r>
    <x v="94"/>
    <x v="18"/>
    <x v="626"/>
    <x v="0"/>
    <x v="0"/>
    <x v="3"/>
    <x v="0"/>
    <x v="0"/>
    <x v="0"/>
  </r>
  <r>
    <x v="94"/>
    <x v="19"/>
    <x v="595"/>
    <x v="0"/>
    <x v="0"/>
    <x v="3"/>
    <x v="0"/>
    <x v="0"/>
    <x v="0"/>
  </r>
  <r>
    <x v="94"/>
    <x v="20"/>
    <x v="547"/>
    <x v="0"/>
    <x v="0"/>
    <x v="3"/>
    <x v="0"/>
    <x v="0"/>
    <x v="1"/>
  </r>
  <r>
    <x v="94"/>
    <x v="21"/>
    <x v="852"/>
    <x v="0"/>
    <x v="0"/>
    <x v="3"/>
    <x v="0"/>
    <x v="0"/>
    <x v="1"/>
  </r>
  <r>
    <x v="94"/>
    <x v="22"/>
    <x v="1005"/>
    <x v="0"/>
    <x v="0"/>
    <x v="3"/>
    <x v="0"/>
    <x v="0"/>
    <x v="1"/>
  </r>
  <r>
    <x v="94"/>
    <x v="23"/>
    <x v="932"/>
    <x v="0"/>
    <x v="0"/>
    <x v="3"/>
    <x v="0"/>
    <x v="0"/>
    <x v="1"/>
  </r>
  <r>
    <x v="95"/>
    <x v="0"/>
    <x v="586"/>
    <x v="0"/>
    <x v="0"/>
    <x v="3"/>
    <x v="2"/>
    <x v="1"/>
    <x v="4"/>
  </r>
  <r>
    <x v="95"/>
    <x v="1"/>
    <x v="303"/>
    <x v="0"/>
    <x v="0"/>
    <x v="3"/>
    <x v="2"/>
    <x v="1"/>
    <x v="4"/>
  </r>
  <r>
    <x v="95"/>
    <x v="2"/>
    <x v="212"/>
    <x v="0"/>
    <x v="0"/>
    <x v="3"/>
    <x v="2"/>
    <x v="1"/>
    <x v="4"/>
  </r>
  <r>
    <x v="95"/>
    <x v="3"/>
    <x v="149"/>
    <x v="0"/>
    <x v="0"/>
    <x v="3"/>
    <x v="2"/>
    <x v="1"/>
    <x v="4"/>
  </r>
  <r>
    <x v="95"/>
    <x v="4"/>
    <x v="62"/>
    <x v="0"/>
    <x v="0"/>
    <x v="3"/>
    <x v="2"/>
    <x v="1"/>
    <x v="4"/>
  </r>
  <r>
    <x v="95"/>
    <x v="5"/>
    <x v="70"/>
    <x v="0"/>
    <x v="0"/>
    <x v="3"/>
    <x v="2"/>
    <x v="1"/>
    <x v="4"/>
  </r>
  <r>
    <x v="95"/>
    <x v="6"/>
    <x v="52"/>
    <x v="0"/>
    <x v="0"/>
    <x v="3"/>
    <x v="2"/>
    <x v="1"/>
    <x v="3"/>
  </r>
  <r>
    <x v="95"/>
    <x v="7"/>
    <x v="114"/>
    <x v="0"/>
    <x v="0"/>
    <x v="3"/>
    <x v="2"/>
    <x v="1"/>
    <x v="3"/>
  </r>
  <r>
    <x v="95"/>
    <x v="8"/>
    <x v="183"/>
    <x v="0"/>
    <x v="0"/>
    <x v="3"/>
    <x v="2"/>
    <x v="1"/>
    <x v="3"/>
  </r>
  <r>
    <x v="95"/>
    <x v="9"/>
    <x v="287"/>
    <x v="0"/>
    <x v="0"/>
    <x v="3"/>
    <x v="2"/>
    <x v="1"/>
    <x v="3"/>
  </r>
  <r>
    <x v="95"/>
    <x v="10"/>
    <x v="374"/>
    <x v="0"/>
    <x v="0"/>
    <x v="3"/>
    <x v="2"/>
    <x v="1"/>
    <x v="2"/>
  </r>
  <r>
    <x v="95"/>
    <x v="11"/>
    <x v="400"/>
    <x v="0"/>
    <x v="0"/>
    <x v="3"/>
    <x v="2"/>
    <x v="1"/>
    <x v="2"/>
  </r>
  <r>
    <x v="95"/>
    <x v="12"/>
    <x v="390"/>
    <x v="0"/>
    <x v="0"/>
    <x v="3"/>
    <x v="2"/>
    <x v="1"/>
    <x v="2"/>
  </r>
  <r>
    <x v="95"/>
    <x v="13"/>
    <x v="429"/>
    <x v="0"/>
    <x v="0"/>
    <x v="3"/>
    <x v="2"/>
    <x v="1"/>
    <x v="2"/>
  </r>
  <r>
    <x v="95"/>
    <x v="14"/>
    <x v="495"/>
    <x v="0"/>
    <x v="0"/>
    <x v="3"/>
    <x v="2"/>
    <x v="1"/>
    <x v="2"/>
  </r>
  <r>
    <x v="95"/>
    <x v="15"/>
    <x v="471"/>
    <x v="0"/>
    <x v="0"/>
    <x v="3"/>
    <x v="2"/>
    <x v="1"/>
    <x v="2"/>
  </r>
  <r>
    <x v="95"/>
    <x v="16"/>
    <x v="467"/>
    <x v="0"/>
    <x v="0"/>
    <x v="3"/>
    <x v="2"/>
    <x v="1"/>
    <x v="0"/>
  </r>
  <r>
    <x v="95"/>
    <x v="17"/>
    <x v="529"/>
    <x v="0"/>
    <x v="0"/>
    <x v="3"/>
    <x v="2"/>
    <x v="1"/>
    <x v="0"/>
  </r>
  <r>
    <x v="95"/>
    <x v="18"/>
    <x v="570"/>
    <x v="0"/>
    <x v="0"/>
    <x v="3"/>
    <x v="2"/>
    <x v="1"/>
    <x v="0"/>
  </r>
  <r>
    <x v="95"/>
    <x v="19"/>
    <x v="458"/>
    <x v="0"/>
    <x v="0"/>
    <x v="3"/>
    <x v="2"/>
    <x v="1"/>
    <x v="0"/>
  </r>
  <r>
    <x v="95"/>
    <x v="20"/>
    <x v="567"/>
    <x v="0"/>
    <x v="0"/>
    <x v="3"/>
    <x v="2"/>
    <x v="1"/>
    <x v="1"/>
  </r>
  <r>
    <x v="95"/>
    <x v="21"/>
    <x v="592"/>
    <x v="0"/>
    <x v="0"/>
    <x v="3"/>
    <x v="2"/>
    <x v="1"/>
    <x v="1"/>
  </r>
  <r>
    <x v="95"/>
    <x v="22"/>
    <x v="633"/>
    <x v="0"/>
    <x v="0"/>
    <x v="3"/>
    <x v="2"/>
    <x v="1"/>
    <x v="1"/>
  </r>
  <r>
    <x v="95"/>
    <x v="23"/>
    <x v="469"/>
    <x v="0"/>
    <x v="0"/>
    <x v="3"/>
    <x v="2"/>
    <x v="1"/>
    <x v="1"/>
  </r>
  <r>
    <x v="96"/>
    <x v="0"/>
    <x v="318"/>
    <x v="0"/>
    <x v="0"/>
    <x v="3"/>
    <x v="3"/>
    <x v="1"/>
    <x v="4"/>
  </r>
  <r>
    <x v="96"/>
    <x v="1"/>
    <x v="205"/>
    <x v="0"/>
    <x v="0"/>
    <x v="3"/>
    <x v="3"/>
    <x v="1"/>
    <x v="4"/>
  </r>
  <r>
    <x v="96"/>
    <x v="2"/>
    <x v="182"/>
    <x v="0"/>
    <x v="0"/>
    <x v="3"/>
    <x v="3"/>
    <x v="1"/>
    <x v="4"/>
  </r>
  <r>
    <x v="96"/>
    <x v="3"/>
    <x v="164"/>
    <x v="0"/>
    <x v="0"/>
    <x v="3"/>
    <x v="3"/>
    <x v="1"/>
    <x v="4"/>
  </r>
  <r>
    <x v="96"/>
    <x v="4"/>
    <x v="58"/>
    <x v="0"/>
    <x v="0"/>
    <x v="3"/>
    <x v="3"/>
    <x v="1"/>
    <x v="4"/>
  </r>
  <r>
    <x v="96"/>
    <x v="5"/>
    <x v="80"/>
    <x v="0"/>
    <x v="0"/>
    <x v="3"/>
    <x v="3"/>
    <x v="1"/>
    <x v="4"/>
  </r>
  <r>
    <x v="96"/>
    <x v="6"/>
    <x v="90"/>
    <x v="0"/>
    <x v="0"/>
    <x v="3"/>
    <x v="3"/>
    <x v="1"/>
    <x v="3"/>
  </r>
  <r>
    <x v="96"/>
    <x v="7"/>
    <x v="99"/>
    <x v="0"/>
    <x v="0"/>
    <x v="3"/>
    <x v="3"/>
    <x v="1"/>
    <x v="3"/>
  </r>
  <r>
    <x v="96"/>
    <x v="8"/>
    <x v="177"/>
    <x v="0"/>
    <x v="0"/>
    <x v="3"/>
    <x v="3"/>
    <x v="1"/>
    <x v="3"/>
  </r>
  <r>
    <x v="96"/>
    <x v="9"/>
    <x v="283"/>
    <x v="0"/>
    <x v="0"/>
    <x v="3"/>
    <x v="3"/>
    <x v="1"/>
    <x v="3"/>
  </r>
  <r>
    <x v="96"/>
    <x v="10"/>
    <x v="396"/>
    <x v="0"/>
    <x v="0"/>
    <x v="3"/>
    <x v="3"/>
    <x v="1"/>
    <x v="2"/>
  </r>
  <r>
    <x v="96"/>
    <x v="11"/>
    <x v="447"/>
    <x v="0"/>
    <x v="0"/>
    <x v="3"/>
    <x v="3"/>
    <x v="1"/>
    <x v="2"/>
  </r>
  <r>
    <x v="96"/>
    <x v="12"/>
    <x v="448"/>
    <x v="0"/>
    <x v="0"/>
    <x v="3"/>
    <x v="3"/>
    <x v="1"/>
    <x v="2"/>
  </r>
  <r>
    <x v="96"/>
    <x v="13"/>
    <x v="656"/>
    <x v="0"/>
    <x v="0"/>
    <x v="3"/>
    <x v="3"/>
    <x v="1"/>
    <x v="2"/>
  </r>
  <r>
    <x v="96"/>
    <x v="14"/>
    <x v="610"/>
    <x v="0"/>
    <x v="0"/>
    <x v="3"/>
    <x v="3"/>
    <x v="1"/>
    <x v="2"/>
  </r>
  <r>
    <x v="96"/>
    <x v="15"/>
    <x v="675"/>
    <x v="0"/>
    <x v="0"/>
    <x v="3"/>
    <x v="3"/>
    <x v="1"/>
    <x v="2"/>
  </r>
  <r>
    <x v="96"/>
    <x v="16"/>
    <x v="653"/>
    <x v="0"/>
    <x v="0"/>
    <x v="3"/>
    <x v="3"/>
    <x v="1"/>
    <x v="0"/>
  </r>
  <r>
    <x v="96"/>
    <x v="17"/>
    <x v="575"/>
    <x v="0"/>
    <x v="0"/>
    <x v="3"/>
    <x v="3"/>
    <x v="1"/>
    <x v="0"/>
  </r>
  <r>
    <x v="96"/>
    <x v="18"/>
    <x v="641"/>
    <x v="0"/>
    <x v="0"/>
    <x v="3"/>
    <x v="3"/>
    <x v="1"/>
    <x v="0"/>
  </r>
  <r>
    <x v="96"/>
    <x v="19"/>
    <x v="580"/>
    <x v="0"/>
    <x v="0"/>
    <x v="3"/>
    <x v="3"/>
    <x v="1"/>
    <x v="0"/>
  </r>
  <r>
    <x v="96"/>
    <x v="20"/>
    <x v="660"/>
    <x v="0"/>
    <x v="0"/>
    <x v="3"/>
    <x v="3"/>
    <x v="1"/>
    <x v="1"/>
  </r>
  <r>
    <x v="96"/>
    <x v="21"/>
    <x v="641"/>
    <x v="0"/>
    <x v="0"/>
    <x v="3"/>
    <x v="3"/>
    <x v="1"/>
    <x v="1"/>
  </r>
  <r>
    <x v="96"/>
    <x v="22"/>
    <x v="497"/>
    <x v="0"/>
    <x v="0"/>
    <x v="3"/>
    <x v="3"/>
    <x v="1"/>
    <x v="1"/>
  </r>
  <r>
    <x v="96"/>
    <x v="23"/>
    <x v="236"/>
    <x v="0"/>
    <x v="0"/>
    <x v="3"/>
    <x v="3"/>
    <x v="1"/>
    <x v="1"/>
  </r>
  <r>
    <x v="97"/>
    <x v="0"/>
    <x v="95"/>
    <x v="0"/>
    <x v="0"/>
    <x v="3"/>
    <x v="1"/>
    <x v="0"/>
    <x v="4"/>
  </r>
  <r>
    <x v="97"/>
    <x v="1"/>
    <x v="32"/>
    <x v="0"/>
    <x v="0"/>
    <x v="3"/>
    <x v="1"/>
    <x v="0"/>
    <x v="4"/>
  </r>
  <r>
    <x v="97"/>
    <x v="2"/>
    <x v="10"/>
    <x v="0"/>
    <x v="0"/>
    <x v="3"/>
    <x v="1"/>
    <x v="0"/>
    <x v="4"/>
  </r>
  <r>
    <x v="97"/>
    <x v="3"/>
    <x v="126"/>
    <x v="0"/>
    <x v="0"/>
    <x v="3"/>
    <x v="1"/>
    <x v="0"/>
    <x v="4"/>
  </r>
  <r>
    <x v="97"/>
    <x v="4"/>
    <x v="279"/>
    <x v="0"/>
    <x v="0"/>
    <x v="3"/>
    <x v="1"/>
    <x v="0"/>
    <x v="4"/>
  </r>
  <r>
    <x v="97"/>
    <x v="5"/>
    <x v="423"/>
    <x v="0"/>
    <x v="0"/>
    <x v="3"/>
    <x v="1"/>
    <x v="0"/>
    <x v="4"/>
  </r>
  <r>
    <x v="97"/>
    <x v="6"/>
    <x v="608"/>
    <x v="0"/>
    <x v="0"/>
    <x v="3"/>
    <x v="1"/>
    <x v="0"/>
    <x v="3"/>
  </r>
  <r>
    <x v="97"/>
    <x v="7"/>
    <x v="983"/>
    <x v="0"/>
    <x v="0"/>
    <x v="3"/>
    <x v="1"/>
    <x v="0"/>
    <x v="3"/>
  </r>
  <r>
    <x v="97"/>
    <x v="8"/>
    <x v="776"/>
    <x v="0"/>
    <x v="0"/>
    <x v="3"/>
    <x v="1"/>
    <x v="0"/>
    <x v="3"/>
  </r>
  <r>
    <x v="97"/>
    <x v="9"/>
    <x v="519"/>
    <x v="0"/>
    <x v="0"/>
    <x v="3"/>
    <x v="1"/>
    <x v="0"/>
    <x v="3"/>
  </r>
  <r>
    <x v="97"/>
    <x v="10"/>
    <x v="525"/>
    <x v="0"/>
    <x v="0"/>
    <x v="3"/>
    <x v="1"/>
    <x v="0"/>
    <x v="2"/>
  </r>
  <r>
    <x v="97"/>
    <x v="11"/>
    <x v="552"/>
    <x v="0"/>
    <x v="0"/>
    <x v="3"/>
    <x v="1"/>
    <x v="0"/>
    <x v="2"/>
  </r>
  <r>
    <x v="97"/>
    <x v="12"/>
    <x v="607"/>
    <x v="0"/>
    <x v="0"/>
    <x v="3"/>
    <x v="1"/>
    <x v="0"/>
    <x v="2"/>
  </r>
  <r>
    <x v="97"/>
    <x v="13"/>
    <x v="752"/>
    <x v="0"/>
    <x v="0"/>
    <x v="3"/>
    <x v="1"/>
    <x v="0"/>
    <x v="2"/>
  </r>
  <r>
    <x v="97"/>
    <x v="14"/>
    <x v="876"/>
    <x v="0"/>
    <x v="0"/>
    <x v="3"/>
    <x v="1"/>
    <x v="0"/>
    <x v="2"/>
  </r>
  <r>
    <x v="97"/>
    <x v="15"/>
    <x v="967"/>
    <x v="0"/>
    <x v="0"/>
    <x v="3"/>
    <x v="1"/>
    <x v="0"/>
    <x v="2"/>
  </r>
  <r>
    <x v="97"/>
    <x v="16"/>
    <x v="1187"/>
    <x v="0"/>
    <x v="0"/>
    <x v="3"/>
    <x v="1"/>
    <x v="0"/>
    <x v="0"/>
  </r>
  <r>
    <x v="97"/>
    <x v="17"/>
    <x v="1300"/>
    <x v="0"/>
    <x v="0"/>
    <x v="3"/>
    <x v="1"/>
    <x v="0"/>
    <x v="0"/>
  </r>
  <r>
    <x v="97"/>
    <x v="18"/>
    <x v="1146"/>
    <x v="0"/>
    <x v="0"/>
    <x v="3"/>
    <x v="1"/>
    <x v="0"/>
    <x v="0"/>
  </r>
  <r>
    <x v="97"/>
    <x v="19"/>
    <x v="1125"/>
    <x v="0"/>
    <x v="0"/>
    <x v="3"/>
    <x v="1"/>
    <x v="0"/>
    <x v="0"/>
  </r>
  <r>
    <x v="97"/>
    <x v="20"/>
    <x v="1006"/>
    <x v="0"/>
    <x v="0"/>
    <x v="3"/>
    <x v="1"/>
    <x v="0"/>
    <x v="1"/>
  </r>
  <r>
    <x v="97"/>
    <x v="21"/>
    <x v="937"/>
    <x v="0"/>
    <x v="0"/>
    <x v="3"/>
    <x v="1"/>
    <x v="0"/>
    <x v="1"/>
  </r>
  <r>
    <x v="97"/>
    <x v="22"/>
    <x v="633"/>
    <x v="0"/>
    <x v="0"/>
    <x v="3"/>
    <x v="1"/>
    <x v="0"/>
    <x v="1"/>
  </r>
  <r>
    <x v="97"/>
    <x v="23"/>
    <x v="419"/>
    <x v="0"/>
    <x v="0"/>
    <x v="3"/>
    <x v="1"/>
    <x v="0"/>
    <x v="1"/>
  </r>
  <r>
    <x v="98"/>
    <x v="0"/>
    <x v="263"/>
    <x v="0"/>
    <x v="0"/>
    <x v="3"/>
    <x v="5"/>
    <x v="0"/>
    <x v="4"/>
  </r>
  <r>
    <x v="98"/>
    <x v="1"/>
    <x v="94"/>
    <x v="0"/>
    <x v="0"/>
    <x v="3"/>
    <x v="5"/>
    <x v="0"/>
    <x v="4"/>
  </r>
  <r>
    <x v="98"/>
    <x v="2"/>
    <x v="35"/>
    <x v="0"/>
    <x v="0"/>
    <x v="3"/>
    <x v="5"/>
    <x v="0"/>
    <x v="4"/>
  </r>
  <r>
    <x v="98"/>
    <x v="3"/>
    <x v="119"/>
    <x v="0"/>
    <x v="0"/>
    <x v="3"/>
    <x v="5"/>
    <x v="0"/>
    <x v="4"/>
  </r>
  <r>
    <x v="98"/>
    <x v="4"/>
    <x v="207"/>
    <x v="0"/>
    <x v="0"/>
    <x v="3"/>
    <x v="5"/>
    <x v="0"/>
    <x v="4"/>
  </r>
  <r>
    <x v="98"/>
    <x v="5"/>
    <x v="446"/>
    <x v="0"/>
    <x v="0"/>
    <x v="3"/>
    <x v="5"/>
    <x v="0"/>
    <x v="4"/>
  </r>
  <r>
    <x v="98"/>
    <x v="6"/>
    <x v="845"/>
    <x v="0"/>
    <x v="0"/>
    <x v="3"/>
    <x v="5"/>
    <x v="0"/>
    <x v="3"/>
  </r>
  <r>
    <x v="98"/>
    <x v="7"/>
    <x v="1235"/>
    <x v="0"/>
    <x v="0"/>
    <x v="3"/>
    <x v="5"/>
    <x v="0"/>
    <x v="3"/>
  </r>
  <r>
    <x v="98"/>
    <x v="8"/>
    <x v="1182"/>
    <x v="0"/>
    <x v="0"/>
    <x v="3"/>
    <x v="5"/>
    <x v="0"/>
    <x v="3"/>
  </r>
  <r>
    <x v="98"/>
    <x v="9"/>
    <x v="851"/>
    <x v="0"/>
    <x v="0"/>
    <x v="3"/>
    <x v="5"/>
    <x v="0"/>
    <x v="3"/>
  </r>
  <r>
    <x v="98"/>
    <x v="10"/>
    <x v="832"/>
    <x v="0"/>
    <x v="0"/>
    <x v="3"/>
    <x v="5"/>
    <x v="0"/>
    <x v="2"/>
  </r>
  <r>
    <x v="98"/>
    <x v="11"/>
    <x v="824"/>
    <x v="0"/>
    <x v="0"/>
    <x v="3"/>
    <x v="5"/>
    <x v="0"/>
    <x v="2"/>
  </r>
  <r>
    <x v="98"/>
    <x v="12"/>
    <x v="965"/>
    <x v="0"/>
    <x v="0"/>
    <x v="3"/>
    <x v="5"/>
    <x v="0"/>
    <x v="2"/>
  </r>
  <r>
    <x v="98"/>
    <x v="13"/>
    <x v="1049"/>
    <x v="0"/>
    <x v="0"/>
    <x v="3"/>
    <x v="5"/>
    <x v="0"/>
    <x v="2"/>
  </r>
  <r>
    <x v="98"/>
    <x v="14"/>
    <x v="1247"/>
    <x v="0"/>
    <x v="0"/>
    <x v="3"/>
    <x v="5"/>
    <x v="0"/>
    <x v="2"/>
  </r>
  <r>
    <x v="98"/>
    <x v="15"/>
    <x v="1353"/>
    <x v="0"/>
    <x v="0"/>
    <x v="3"/>
    <x v="5"/>
    <x v="0"/>
    <x v="2"/>
  </r>
  <r>
    <x v="98"/>
    <x v="16"/>
    <x v="1620"/>
    <x v="0"/>
    <x v="0"/>
    <x v="3"/>
    <x v="5"/>
    <x v="0"/>
    <x v="0"/>
  </r>
  <r>
    <x v="98"/>
    <x v="17"/>
    <x v="1865"/>
    <x v="0"/>
    <x v="0"/>
    <x v="3"/>
    <x v="5"/>
    <x v="0"/>
    <x v="0"/>
  </r>
  <r>
    <x v="98"/>
    <x v="18"/>
    <x v="1710"/>
    <x v="0"/>
    <x v="0"/>
    <x v="3"/>
    <x v="5"/>
    <x v="0"/>
    <x v="0"/>
  </r>
  <r>
    <x v="98"/>
    <x v="19"/>
    <x v="1460"/>
    <x v="0"/>
    <x v="0"/>
    <x v="3"/>
    <x v="5"/>
    <x v="0"/>
    <x v="0"/>
  </r>
  <r>
    <x v="98"/>
    <x v="20"/>
    <x v="1500"/>
    <x v="0"/>
    <x v="0"/>
    <x v="3"/>
    <x v="5"/>
    <x v="0"/>
    <x v="1"/>
  </r>
  <r>
    <x v="98"/>
    <x v="21"/>
    <x v="1516"/>
    <x v="0"/>
    <x v="0"/>
    <x v="3"/>
    <x v="5"/>
    <x v="0"/>
    <x v="1"/>
  </r>
  <r>
    <x v="98"/>
    <x v="22"/>
    <x v="1016"/>
    <x v="0"/>
    <x v="0"/>
    <x v="3"/>
    <x v="5"/>
    <x v="0"/>
    <x v="1"/>
  </r>
  <r>
    <x v="98"/>
    <x v="23"/>
    <x v="557"/>
    <x v="0"/>
    <x v="0"/>
    <x v="3"/>
    <x v="5"/>
    <x v="0"/>
    <x v="1"/>
  </r>
  <r>
    <x v="99"/>
    <x v="0"/>
    <x v="283"/>
    <x v="0"/>
    <x v="0"/>
    <x v="3"/>
    <x v="6"/>
    <x v="0"/>
    <x v="4"/>
  </r>
  <r>
    <x v="99"/>
    <x v="1"/>
    <x v="142"/>
    <x v="0"/>
    <x v="0"/>
    <x v="3"/>
    <x v="6"/>
    <x v="0"/>
    <x v="4"/>
  </r>
  <r>
    <x v="99"/>
    <x v="2"/>
    <x v="66"/>
    <x v="0"/>
    <x v="0"/>
    <x v="3"/>
    <x v="6"/>
    <x v="0"/>
    <x v="4"/>
  </r>
  <r>
    <x v="99"/>
    <x v="3"/>
    <x v="145"/>
    <x v="0"/>
    <x v="0"/>
    <x v="3"/>
    <x v="6"/>
    <x v="0"/>
    <x v="4"/>
  </r>
  <r>
    <x v="99"/>
    <x v="4"/>
    <x v="230"/>
    <x v="0"/>
    <x v="0"/>
    <x v="3"/>
    <x v="6"/>
    <x v="0"/>
    <x v="4"/>
  </r>
  <r>
    <x v="99"/>
    <x v="5"/>
    <x v="481"/>
    <x v="0"/>
    <x v="0"/>
    <x v="3"/>
    <x v="6"/>
    <x v="0"/>
    <x v="4"/>
  </r>
  <r>
    <x v="99"/>
    <x v="6"/>
    <x v="876"/>
    <x v="0"/>
    <x v="0"/>
    <x v="3"/>
    <x v="6"/>
    <x v="0"/>
    <x v="3"/>
  </r>
  <r>
    <x v="99"/>
    <x v="7"/>
    <x v="1255"/>
    <x v="0"/>
    <x v="0"/>
    <x v="3"/>
    <x v="6"/>
    <x v="0"/>
    <x v="3"/>
  </r>
  <r>
    <x v="99"/>
    <x v="8"/>
    <x v="1261"/>
    <x v="0"/>
    <x v="0"/>
    <x v="3"/>
    <x v="6"/>
    <x v="0"/>
    <x v="3"/>
  </r>
  <r>
    <x v="99"/>
    <x v="9"/>
    <x v="923"/>
    <x v="0"/>
    <x v="0"/>
    <x v="3"/>
    <x v="6"/>
    <x v="0"/>
    <x v="3"/>
  </r>
  <r>
    <x v="99"/>
    <x v="10"/>
    <x v="865"/>
    <x v="0"/>
    <x v="0"/>
    <x v="3"/>
    <x v="6"/>
    <x v="0"/>
    <x v="2"/>
  </r>
  <r>
    <x v="99"/>
    <x v="11"/>
    <x v="930"/>
    <x v="0"/>
    <x v="0"/>
    <x v="3"/>
    <x v="6"/>
    <x v="0"/>
    <x v="2"/>
  </r>
  <r>
    <x v="99"/>
    <x v="12"/>
    <x v="915"/>
    <x v="0"/>
    <x v="0"/>
    <x v="3"/>
    <x v="6"/>
    <x v="0"/>
    <x v="2"/>
  </r>
  <r>
    <x v="99"/>
    <x v="13"/>
    <x v="1070"/>
    <x v="0"/>
    <x v="0"/>
    <x v="3"/>
    <x v="6"/>
    <x v="0"/>
    <x v="2"/>
  </r>
  <r>
    <x v="99"/>
    <x v="14"/>
    <x v="1285"/>
    <x v="0"/>
    <x v="0"/>
    <x v="3"/>
    <x v="6"/>
    <x v="0"/>
    <x v="2"/>
  </r>
  <r>
    <x v="99"/>
    <x v="15"/>
    <x v="1461"/>
    <x v="0"/>
    <x v="0"/>
    <x v="3"/>
    <x v="6"/>
    <x v="0"/>
    <x v="2"/>
  </r>
  <r>
    <x v="99"/>
    <x v="16"/>
    <x v="1656"/>
    <x v="0"/>
    <x v="0"/>
    <x v="3"/>
    <x v="6"/>
    <x v="0"/>
    <x v="0"/>
  </r>
  <r>
    <x v="99"/>
    <x v="17"/>
    <x v="1889"/>
    <x v="0"/>
    <x v="0"/>
    <x v="3"/>
    <x v="6"/>
    <x v="0"/>
    <x v="0"/>
  </r>
  <r>
    <x v="99"/>
    <x v="18"/>
    <x v="1888"/>
    <x v="0"/>
    <x v="0"/>
    <x v="3"/>
    <x v="6"/>
    <x v="0"/>
    <x v="0"/>
  </r>
  <r>
    <x v="99"/>
    <x v="19"/>
    <x v="1787"/>
    <x v="0"/>
    <x v="0"/>
    <x v="3"/>
    <x v="6"/>
    <x v="0"/>
    <x v="0"/>
  </r>
  <r>
    <x v="99"/>
    <x v="20"/>
    <x v="1690"/>
    <x v="0"/>
    <x v="0"/>
    <x v="3"/>
    <x v="6"/>
    <x v="0"/>
    <x v="1"/>
  </r>
  <r>
    <x v="99"/>
    <x v="21"/>
    <x v="1586"/>
    <x v="0"/>
    <x v="0"/>
    <x v="3"/>
    <x v="6"/>
    <x v="0"/>
    <x v="1"/>
  </r>
  <r>
    <x v="99"/>
    <x v="22"/>
    <x v="1230"/>
    <x v="0"/>
    <x v="0"/>
    <x v="3"/>
    <x v="6"/>
    <x v="0"/>
    <x v="1"/>
  </r>
  <r>
    <x v="99"/>
    <x v="23"/>
    <x v="680"/>
    <x v="0"/>
    <x v="0"/>
    <x v="3"/>
    <x v="6"/>
    <x v="0"/>
    <x v="1"/>
  </r>
  <r>
    <x v="100"/>
    <x v="0"/>
    <x v="355"/>
    <x v="0"/>
    <x v="0"/>
    <x v="3"/>
    <x v="4"/>
    <x v="0"/>
    <x v="4"/>
  </r>
  <r>
    <x v="100"/>
    <x v="1"/>
    <x v="140"/>
    <x v="0"/>
    <x v="0"/>
    <x v="3"/>
    <x v="4"/>
    <x v="0"/>
    <x v="4"/>
  </r>
  <r>
    <x v="100"/>
    <x v="2"/>
    <x v="76"/>
    <x v="0"/>
    <x v="0"/>
    <x v="3"/>
    <x v="4"/>
    <x v="0"/>
    <x v="4"/>
  </r>
  <r>
    <x v="100"/>
    <x v="3"/>
    <x v="161"/>
    <x v="0"/>
    <x v="0"/>
    <x v="3"/>
    <x v="4"/>
    <x v="0"/>
    <x v="4"/>
  </r>
  <r>
    <x v="100"/>
    <x v="4"/>
    <x v="227"/>
    <x v="0"/>
    <x v="0"/>
    <x v="3"/>
    <x v="4"/>
    <x v="0"/>
    <x v="4"/>
  </r>
  <r>
    <x v="100"/>
    <x v="5"/>
    <x v="476"/>
    <x v="0"/>
    <x v="0"/>
    <x v="3"/>
    <x v="4"/>
    <x v="0"/>
    <x v="4"/>
  </r>
  <r>
    <x v="100"/>
    <x v="6"/>
    <x v="964"/>
    <x v="0"/>
    <x v="0"/>
    <x v="3"/>
    <x v="4"/>
    <x v="0"/>
    <x v="3"/>
  </r>
  <r>
    <x v="100"/>
    <x v="7"/>
    <x v="1293"/>
    <x v="0"/>
    <x v="0"/>
    <x v="3"/>
    <x v="4"/>
    <x v="0"/>
    <x v="3"/>
  </r>
  <r>
    <x v="100"/>
    <x v="8"/>
    <x v="1333"/>
    <x v="0"/>
    <x v="0"/>
    <x v="3"/>
    <x v="4"/>
    <x v="0"/>
    <x v="3"/>
  </r>
  <r>
    <x v="100"/>
    <x v="9"/>
    <x v="954"/>
    <x v="0"/>
    <x v="0"/>
    <x v="3"/>
    <x v="4"/>
    <x v="0"/>
    <x v="3"/>
  </r>
  <r>
    <x v="100"/>
    <x v="10"/>
    <x v="940"/>
    <x v="0"/>
    <x v="0"/>
    <x v="3"/>
    <x v="4"/>
    <x v="0"/>
    <x v="2"/>
  </r>
  <r>
    <x v="100"/>
    <x v="11"/>
    <x v="944"/>
    <x v="0"/>
    <x v="0"/>
    <x v="3"/>
    <x v="4"/>
    <x v="0"/>
    <x v="2"/>
  </r>
  <r>
    <x v="100"/>
    <x v="12"/>
    <x v="976"/>
    <x v="0"/>
    <x v="0"/>
    <x v="3"/>
    <x v="4"/>
    <x v="0"/>
    <x v="2"/>
  </r>
  <r>
    <x v="100"/>
    <x v="13"/>
    <x v="1118"/>
    <x v="0"/>
    <x v="0"/>
    <x v="3"/>
    <x v="4"/>
    <x v="0"/>
    <x v="2"/>
  </r>
  <r>
    <x v="100"/>
    <x v="14"/>
    <x v="1348"/>
    <x v="0"/>
    <x v="0"/>
    <x v="3"/>
    <x v="4"/>
    <x v="0"/>
    <x v="2"/>
  </r>
  <r>
    <x v="100"/>
    <x v="15"/>
    <x v="1671"/>
    <x v="0"/>
    <x v="0"/>
    <x v="3"/>
    <x v="4"/>
    <x v="0"/>
    <x v="2"/>
  </r>
  <r>
    <x v="100"/>
    <x v="16"/>
    <x v="1885"/>
    <x v="0"/>
    <x v="0"/>
    <x v="3"/>
    <x v="4"/>
    <x v="0"/>
    <x v="0"/>
  </r>
  <r>
    <x v="100"/>
    <x v="17"/>
    <x v="1997"/>
    <x v="0"/>
    <x v="0"/>
    <x v="3"/>
    <x v="4"/>
    <x v="0"/>
    <x v="0"/>
  </r>
  <r>
    <x v="100"/>
    <x v="18"/>
    <x v="1915"/>
    <x v="0"/>
    <x v="0"/>
    <x v="3"/>
    <x v="4"/>
    <x v="0"/>
    <x v="0"/>
  </r>
  <r>
    <x v="100"/>
    <x v="19"/>
    <x v="1799"/>
    <x v="0"/>
    <x v="0"/>
    <x v="3"/>
    <x v="4"/>
    <x v="0"/>
    <x v="0"/>
  </r>
  <r>
    <x v="100"/>
    <x v="20"/>
    <x v="1923"/>
    <x v="0"/>
    <x v="0"/>
    <x v="3"/>
    <x v="4"/>
    <x v="0"/>
    <x v="1"/>
  </r>
  <r>
    <x v="100"/>
    <x v="21"/>
    <x v="1819"/>
    <x v="0"/>
    <x v="0"/>
    <x v="3"/>
    <x v="4"/>
    <x v="0"/>
    <x v="1"/>
  </r>
  <r>
    <x v="100"/>
    <x v="22"/>
    <x v="1584"/>
    <x v="0"/>
    <x v="0"/>
    <x v="3"/>
    <x v="4"/>
    <x v="0"/>
    <x v="1"/>
  </r>
  <r>
    <x v="100"/>
    <x v="23"/>
    <x v="1022"/>
    <x v="0"/>
    <x v="0"/>
    <x v="3"/>
    <x v="4"/>
    <x v="0"/>
    <x v="1"/>
  </r>
  <r>
    <x v="101"/>
    <x v="0"/>
    <x v="513"/>
    <x v="0"/>
    <x v="0"/>
    <x v="3"/>
    <x v="0"/>
    <x v="0"/>
    <x v="4"/>
  </r>
  <r>
    <x v="101"/>
    <x v="1"/>
    <x v="272"/>
    <x v="0"/>
    <x v="0"/>
    <x v="3"/>
    <x v="0"/>
    <x v="0"/>
    <x v="4"/>
  </r>
  <r>
    <x v="101"/>
    <x v="2"/>
    <x v="159"/>
    <x v="0"/>
    <x v="0"/>
    <x v="3"/>
    <x v="0"/>
    <x v="0"/>
    <x v="4"/>
  </r>
  <r>
    <x v="101"/>
    <x v="3"/>
    <x v="217"/>
    <x v="0"/>
    <x v="0"/>
    <x v="3"/>
    <x v="0"/>
    <x v="0"/>
    <x v="4"/>
  </r>
  <r>
    <x v="101"/>
    <x v="4"/>
    <x v="255"/>
    <x v="0"/>
    <x v="0"/>
    <x v="3"/>
    <x v="0"/>
    <x v="0"/>
    <x v="4"/>
  </r>
  <r>
    <x v="101"/>
    <x v="5"/>
    <x v="470"/>
    <x v="0"/>
    <x v="0"/>
    <x v="3"/>
    <x v="0"/>
    <x v="0"/>
    <x v="4"/>
  </r>
  <r>
    <x v="101"/>
    <x v="6"/>
    <x v="776"/>
    <x v="0"/>
    <x v="0"/>
    <x v="3"/>
    <x v="0"/>
    <x v="0"/>
    <x v="3"/>
  </r>
  <r>
    <x v="101"/>
    <x v="7"/>
    <x v="1148"/>
    <x v="0"/>
    <x v="0"/>
    <x v="3"/>
    <x v="0"/>
    <x v="0"/>
    <x v="3"/>
  </r>
  <r>
    <x v="101"/>
    <x v="8"/>
    <x v="1144"/>
    <x v="0"/>
    <x v="0"/>
    <x v="3"/>
    <x v="0"/>
    <x v="0"/>
    <x v="3"/>
  </r>
  <r>
    <x v="101"/>
    <x v="9"/>
    <x v="896"/>
    <x v="0"/>
    <x v="0"/>
    <x v="3"/>
    <x v="0"/>
    <x v="0"/>
    <x v="3"/>
  </r>
  <r>
    <x v="101"/>
    <x v="10"/>
    <x v="905"/>
    <x v="0"/>
    <x v="0"/>
    <x v="3"/>
    <x v="0"/>
    <x v="0"/>
    <x v="2"/>
  </r>
  <r>
    <x v="101"/>
    <x v="11"/>
    <x v="925"/>
    <x v="0"/>
    <x v="0"/>
    <x v="3"/>
    <x v="0"/>
    <x v="0"/>
    <x v="2"/>
  </r>
  <r>
    <x v="101"/>
    <x v="12"/>
    <x v="923"/>
    <x v="0"/>
    <x v="0"/>
    <x v="3"/>
    <x v="0"/>
    <x v="0"/>
    <x v="2"/>
  </r>
  <r>
    <x v="101"/>
    <x v="13"/>
    <x v="1158"/>
    <x v="0"/>
    <x v="0"/>
    <x v="3"/>
    <x v="0"/>
    <x v="0"/>
    <x v="2"/>
  </r>
  <r>
    <x v="101"/>
    <x v="14"/>
    <x v="1374"/>
    <x v="0"/>
    <x v="0"/>
    <x v="3"/>
    <x v="0"/>
    <x v="0"/>
    <x v="2"/>
  </r>
  <r>
    <x v="101"/>
    <x v="15"/>
    <x v="1580"/>
    <x v="0"/>
    <x v="0"/>
    <x v="3"/>
    <x v="0"/>
    <x v="0"/>
    <x v="2"/>
  </r>
  <r>
    <x v="101"/>
    <x v="16"/>
    <x v="1711"/>
    <x v="0"/>
    <x v="0"/>
    <x v="3"/>
    <x v="0"/>
    <x v="0"/>
    <x v="0"/>
  </r>
  <r>
    <x v="101"/>
    <x v="17"/>
    <x v="1766"/>
    <x v="0"/>
    <x v="0"/>
    <x v="3"/>
    <x v="0"/>
    <x v="0"/>
    <x v="0"/>
  </r>
  <r>
    <x v="101"/>
    <x v="18"/>
    <x v="1761"/>
    <x v="0"/>
    <x v="0"/>
    <x v="3"/>
    <x v="0"/>
    <x v="0"/>
    <x v="0"/>
  </r>
  <r>
    <x v="101"/>
    <x v="19"/>
    <x v="1429"/>
    <x v="0"/>
    <x v="0"/>
    <x v="3"/>
    <x v="0"/>
    <x v="0"/>
    <x v="0"/>
  </r>
  <r>
    <x v="101"/>
    <x v="20"/>
    <x v="1358"/>
    <x v="0"/>
    <x v="0"/>
    <x v="3"/>
    <x v="0"/>
    <x v="0"/>
    <x v="1"/>
  </r>
  <r>
    <x v="101"/>
    <x v="21"/>
    <x v="1609"/>
    <x v="0"/>
    <x v="0"/>
    <x v="3"/>
    <x v="0"/>
    <x v="0"/>
    <x v="1"/>
  </r>
  <r>
    <x v="101"/>
    <x v="22"/>
    <x v="1753"/>
    <x v="0"/>
    <x v="0"/>
    <x v="3"/>
    <x v="0"/>
    <x v="0"/>
    <x v="1"/>
  </r>
  <r>
    <x v="101"/>
    <x v="23"/>
    <x v="1469"/>
    <x v="0"/>
    <x v="0"/>
    <x v="3"/>
    <x v="0"/>
    <x v="0"/>
    <x v="1"/>
  </r>
  <r>
    <x v="102"/>
    <x v="0"/>
    <x v="1173"/>
    <x v="0"/>
    <x v="0"/>
    <x v="3"/>
    <x v="2"/>
    <x v="1"/>
    <x v="4"/>
  </r>
  <r>
    <x v="102"/>
    <x v="1"/>
    <x v="785"/>
    <x v="0"/>
    <x v="0"/>
    <x v="3"/>
    <x v="2"/>
    <x v="1"/>
    <x v="4"/>
  </r>
  <r>
    <x v="102"/>
    <x v="2"/>
    <x v="517"/>
    <x v="0"/>
    <x v="0"/>
    <x v="3"/>
    <x v="2"/>
    <x v="1"/>
    <x v="4"/>
  </r>
  <r>
    <x v="102"/>
    <x v="3"/>
    <x v="329"/>
    <x v="0"/>
    <x v="0"/>
    <x v="3"/>
    <x v="2"/>
    <x v="1"/>
    <x v="4"/>
  </r>
  <r>
    <x v="102"/>
    <x v="4"/>
    <x v="188"/>
    <x v="0"/>
    <x v="0"/>
    <x v="3"/>
    <x v="2"/>
    <x v="1"/>
    <x v="4"/>
  </r>
  <r>
    <x v="102"/>
    <x v="5"/>
    <x v="244"/>
    <x v="0"/>
    <x v="0"/>
    <x v="3"/>
    <x v="2"/>
    <x v="1"/>
    <x v="4"/>
  </r>
  <r>
    <x v="102"/>
    <x v="6"/>
    <x v="264"/>
    <x v="0"/>
    <x v="0"/>
    <x v="3"/>
    <x v="2"/>
    <x v="1"/>
    <x v="3"/>
  </r>
  <r>
    <x v="102"/>
    <x v="7"/>
    <x v="368"/>
    <x v="0"/>
    <x v="0"/>
    <x v="3"/>
    <x v="2"/>
    <x v="1"/>
    <x v="3"/>
  </r>
  <r>
    <x v="102"/>
    <x v="8"/>
    <x v="495"/>
    <x v="0"/>
    <x v="0"/>
    <x v="3"/>
    <x v="2"/>
    <x v="1"/>
    <x v="3"/>
  </r>
  <r>
    <x v="102"/>
    <x v="9"/>
    <x v="654"/>
    <x v="0"/>
    <x v="0"/>
    <x v="3"/>
    <x v="2"/>
    <x v="1"/>
    <x v="3"/>
  </r>
  <r>
    <x v="102"/>
    <x v="10"/>
    <x v="802"/>
    <x v="0"/>
    <x v="0"/>
    <x v="3"/>
    <x v="2"/>
    <x v="1"/>
    <x v="2"/>
  </r>
  <r>
    <x v="102"/>
    <x v="11"/>
    <x v="882"/>
    <x v="0"/>
    <x v="0"/>
    <x v="3"/>
    <x v="2"/>
    <x v="1"/>
    <x v="2"/>
  </r>
  <r>
    <x v="102"/>
    <x v="12"/>
    <x v="934"/>
    <x v="0"/>
    <x v="0"/>
    <x v="3"/>
    <x v="2"/>
    <x v="1"/>
    <x v="2"/>
  </r>
  <r>
    <x v="102"/>
    <x v="13"/>
    <x v="1006"/>
    <x v="0"/>
    <x v="0"/>
    <x v="3"/>
    <x v="2"/>
    <x v="1"/>
    <x v="2"/>
  </r>
  <r>
    <x v="102"/>
    <x v="14"/>
    <x v="1211"/>
    <x v="0"/>
    <x v="0"/>
    <x v="3"/>
    <x v="2"/>
    <x v="1"/>
    <x v="2"/>
  </r>
  <r>
    <x v="102"/>
    <x v="15"/>
    <x v="1346"/>
    <x v="0"/>
    <x v="0"/>
    <x v="3"/>
    <x v="2"/>
    <x v="1"/>
    <x v="2"/>
  </r>
  <r>
    <x v="102"/>
    <x v="16"/>
    <x v="1515"/>
    <x v="0"/>
    <x v="0"/>
    <x v="3"/>
    <x v="2"/>
    <x v="1"/>
    <x v="0"/>
  </r>
  <r>
    <x v="102"/>
    <x v="17"/>
    <x v="1527"/>
    <x v="0"/>
    <x v="0"/>
    <x v="3"/>
    <x v="2"/>
    <x v="1"/>
    <x v="0"/>
  </r>
  <r>
    <x v="102"/>
    <x v="18"/>
    <x v="1510"/>
    <x v="0"/>
    <x v="0"/>
    <x v="3"/>
    <x v="2"/>
    <x v="1"/>
    <x v="0"/>
  </r>
  <r>
    <x v="102"/>
    <x v="19"/>
    <x v="1285"/>
    <x v="0"/>
    <x v="0"/>
    <x v="3"/>
    <x v="2"/>
    <x v="1"/>
    <x v="0"/>
  </r>
  <r>
    <x v="102"/>
    <x v="20"/>
    <x v="1316"/>
    <x v="0"/>
    <x v="0"/>
    <x v="3"/>
    <x v="2"/>
    <x v="1"/>
    <x v="1"/>
  </r>
  <r>
    <x v="102"/>
    <x v="21"/>
    <x v="1486"/>
    <x v="0"/>
    <x v="0"/>
    <x v="3"/>
    <x v="2"/>
    <x v="1"/>
    <x v="1"/>
  </r>
  <r>
    <x v="102"/>
    <x v="22"/>
    <x v="1671"/>
    <x v="0"/>
    <x v="0"/>
    <x v="3"/>
    <x v="2"/>
    <x v="1"/>
    <x v="1"/>
  </r>
  <r>
    <x v="102"/>
    <x v="23"/>
    <x v="1522"/>
    <x v="0"/>
    <x v="0"/>
    <x v="3"/>
    <x v="2"/>
    <x v="1"/>
    <x v="1"/>
  </r>
  <r>
    <x v="103"/>
    <x v="0"/>
    <x v="1175"/>
    <x v="0"/>
    <x v="0"/>
    <x v="3"/>
    <x v="3"/>
    <x v="1"/>
    <x v="4"/>
  </r>
  <r>
    <x v="103"/>
    <x v="1"/>
    <x v="849"/>
    <x v="0"/>
    <x v="0"/>
    <x v="3"/>
    <x v="3"/>
    <x v="1"/>
    <x v="4"/>
  </r>
  <r>
    <x v="103"/>
    <x v="2"/>
    <x v="617"/>
    <x v="0"/>
    <x v="0"/>
    <x v="3"/>
    <x v="3"/>
    <x v="1"/>
    <x v="4"/>
  </r>
  <r>
    <x v="103"/>
    <x v="3"/>
    <x v="389"/>
    <x v="0"/>
    <x v="0"/>
    <x v="3"/>
    <x v="3"/>
    <x v="1"/>
    <x v="4"/>
  </r>
  <r>
    <x v="103"/>
    <x v="4"/>
    <x v="192"/>
    <x v="0"/>
    <x v="0"/>
    <x v="3"/>
    <x v="3"/>
    <x v="1"/>
    <x v="4"/>
  </r>
  <r>
    <x v="103"/>
    <x v="5"/>
    <x v="168"/>
    <x v="0"/>
    <x v="0"/>
    <x v="3"/>
    <x v="3"/>
    <x v="1"/>
    <x v="4"/>
  </r>
  <r>
    <x v="103"/>
    <x v="6"/>
    <x v="187"/>
    <x v="0"/>
    <x v="0"/>
    <x v="3"/>
    <x v="3"/>
    <x v="1"/>
    <x v="3"/>
  </r>
  <r>
    <x v="103"/>
    <x v="7"/>
    <x v="275"/>
    <x v="0"/>
    <x v="0"/>
    <x v="3"/>
    <x v="3"/>
    <x v="1"/>
    <x v="3"/>
  </r>
  <r>
    <x v="103"/>
    <x v="8"/>
    <x v="431"/>
    <x v="0"/>
    <x v="0"/>
    <x v="3"/>
    <x v="3"/>
    <x v="1"/>
    <x v="3"/>
  </r>
  <r>
    <x v="103"/>
    <x v="9"/>
    <x v="678"/>
    <x v="0"/>
    <x v="0"/>
    <x v="3"/>
    <x v="3"/>
    <x v="1"/>
    <x v="3"/>
  </r>
  <r>
    <x v="103"/>
    <x v="10"/>
    <x v="790"/>
    <x v="0"/>
    <x v="0"/>
    <x v="3"/>
    <x v="3"/>
    <x v="1"/>
    <x v="2"/>
  </r>
  <r>
    <x v="103"/>
    <x v="11"/>
    <x v="961"/>
    <x v="0"/>
    <x v="0"/>
    <x v="3"/>
    <x v="3"/>
    <x v="1"/>
    <x v="2"/>
  </r>
  <r>
    <x v="103"/>
    <x v="12"/>
    <x v="1024"/>
    <x v="0"/>
    <x v="0"/>
    <x v="3"/>
    <x v="3"/>
    <x v="1"/>
    <x v="2"/>
  </r>
  <r>
    <x v="103"/>
    <x v="13"/>
    <x v="1129"/>
    <x v="0"/>
    <x v="0"/>
    <x v="3"/>
    <x v="3"/>
    <x v="1"/>
    <x v="2"/>
  </r>
  <r>
    <x v="103"/>
    <x v="14"/>
    <x v="1144"/>
    <x v="0"/>
    <x v="0"/>
    <x v="3"/>
    <x v="3"/>
    <x v="1"/>
    <x v="2"/>
  </r>
  <r>
    <x v="103"/>
    <x v="15"/>
    <x v="957"/>
    <x v="0"/>
    <x v="0"/>
    <x v="3"/>
    <x v="3"/>
    <x v="1"/>
    <x v="2"/>
  </r>
  <r>
    <x v="103"/>
    <x v="16"/>
    <x v="1169"/>
    <x v="0"/>
    <x v="0"/>
    <x v="3"/>
    <x v="3"/>
    <x v="1"/>
    <x v="0"/>
  </r>
  <r>
    <x v="103"/>
    <x v="17"/>
    <x v="1293"/>
    <x v="0"/>
    <x v="0"/>
    <x v="3"/>
    <x v="3"/>
    <x v="1"/>
    <x v="0"/>
  </r>
  <r>
    <x v="103"/>
    <x v="18"/>
    <x v="1027"/>
    <x v="0"/>
    <x v="0"/>
    <x v="3"/>
    <x v="3"/>
    <x v="1"/>
    <x v="0"/>
  </r>
  <r>
    <x v="103"/>
    <x v="19"/>
    <x v="862"/>
    <x v="0"/>
    <x v="0"/>
    <x v="3"/>
    <x v="3"/>
    <x v="1"/>
    <x v="0"/>
  </r>
  <r>
    <x v="103"/>
    <x v="20"/>
    <x v="918"/>
    <x v="0"/>
    <x v="0"/>
    <x v="3"/>
    <x v="3"/>
    <x v="1"/>
    <x v="1"/>
  </r>
  <r>
    <x v="103"/>
    <x v="21"/>
    <x v="802"/>
    <x v="0"/>
    <x v="0"/>
    <x v="3"/>
    <x v="3"/>
    <x v="1"/>
    <x v="1"/>
  </r>
  <r>
    <x v="103"/>
    <x v="22"/>
    <x v="826"/>
    <x v="0"/>
    <x v="0"/>
    <x v="3"/>
    <x v="3"/>
    <x v="1"/>
    <x v="1"/>
  </r>
  <r>
    <x v="103"/>
    <x v="23"/>
    <x v="682"/>
    <x v="0"/>
    <x v="0"/>
    <x v="3"/>
    <x v="3"/>
    <x v="1"/>
    <x v="1"/>
  </r>
  <r>
    <x v="104"/>
    <x v="0"/>
    <x v="335"/>
    <x v="0"/>
    <x v="0"/>
    <x v="3"/>
    <x v="1"/>
    <x v="0"/>
    <x v="4"/>
  </r>
  <r>
    <x v="104"/>
    <x v="1"/>
    <x v="121"/>
    <x v="0"/>
    <x v="0"/>
    <x v="3"/>
    <x v="1"/>
    <x v="0"/>
    <x v="4"/>
  </r>
  <r>
    <x v="104"/>
    <x v="2"/>
    <x v="49"/>
    <x v="0"/>
    <x v="0"/>
    <x v="3"/>
    <x v="1"/>
    <x v="0"/>
    <x v="4"/>
  </r>
  <r>
    <x v="104"/>
    <x v="3"/>
    <x v="201"/>
    <x v="0"/>
    <x v="0"/>
    <x v="3"/>
    <x v="1"/>
    <x v="0"/>
    <x v="4"/>
  </r>
  <r>
    <x v="104"/>
    <x v="4"/>
    <x v="326"/>
    <x v="0"/>
    <x v="0"/>
    <x v="3"/>
    <x v="1"/>
    <x v="0"/>
    <x v="4"/>
  </r>
  <r>
    <x v="104"/>
    <x v="5"/>
    <x v="586"/>
    <x v="0"/>
    <x v="0"/>
    <x v="3"/>
    <x v="1"/>
    <x v="0"/>
    <x v="4"/>
  </r>
  <r>
    <x v="104"/>
    <x v="6"/>
    <x v="878"/>
    <x v="0"/>
    <x v="0"/>
    <x v="3"/>
    <x v="1"/>
    <x v="0"/>
    <x v="3"/>
  </r>
  <r>
    <x v="104"/>
    <x v="7"/>
    <x v="1247"/>
    <x v="0"/>
    <x v="0"/>
    <x v="3"/>
    <x v="1"/>
    <x v="0"/>
    <x v="3"/>
  </r>
  <r>
    <x v="104"/>
    <x v="8"/>
    <x v="1149"/>
    <x v="0"/>
    <x v="0"/>
    <x v="3"/>
    <x v="1"/>
    <x v="0"/>
    <x v="3"/>
  </r>
  <r>
    <x v="104"/>
    <x v="9"/>
    <x v="900"/>
    <x v="0"/>
    <x v="0"/>
    <x v="3"/>
    <x v="1"/>
    <x v="0"/>
    <x v="3"/>
  </r>
  <r>
    <x v="104"/>
    <x v="10"/>
    <x v="837"/>
    <x v="0"/>
    <x v="0"/>
    <x v="3"/>
    <x v="1"/>
    <x v="0"/>
    <x v="2"/>
  </r>
  <r>
    <x v="104"/>
    <x v="11"/>
    <x v="805"/>
    <x v="0"/>
    <x v="0"/>
    <x v="3"/>
    <x v="1"/>
    <x v="0"/>
    <x v="2"/>
  </r>
  <r>
    <x v="104"/>
    <x v="12"/>
    <x v="776"/>
    <x v="0"/>
    <x v="0"/>
    <x v="3"/>
    <x v="1"/>
    <x v="0"/>
    <x v="2"/>
  </r>
  <r>
    <x v="104"/>
    <x v="13"/>
    <x v="849"/>
    <x v="0"/>
    <x v="0"/>
    <x v="3"/>
    <x v="1"/>
    <x v="0"/>
    <x v="2"/>
  </r>
  <r>
    <x v="104"/>
    <x v="14"/>
    <x v="1069"/>
    <x v="0"/>
    <x v="0"/>
    <x v="3"/>
    <x v="1"/>
    <x v="0"/>
    <x v="2"/>
  </r>
  <r>
    <x v="104"/>
    <x v="15"/>
    <x v="1204"/>
    <x v="0"/>
    <x v="0"/>
    <x v="3"/>
    <x v="1"/>
    <x v="0"/>
    <x v="2"/>
  </r>
  <r>
    <x v="104"/>
    <x v="16"/>
    <x v="1577"/>
    <x v="0"/>
    <x v="0"/>
    <x v="3"/>
    <x v="1"/>
    <x v="0"/>
    <x v="0"/>
  </r>
  <r>
    <x v="104"/>
    <x v="17"/>
    <x v="1991"/>
    <x v="0"/>
    <x v="0"/>
    <x v="3"/>
    <x v="1"/>
    <x v="0"/>
    <x v="0"/>
  </r>
  <r>
    <x v="104"/>
    <x v="18"/>
    <x v="1770"/>
    <x v="0"/>
    <x v="0"/>
    <x v="3"/>
    <x v="1"/>
    <x v="0"/>
    <x v="0"/>
  </r>
  <r>
    <x v="104"/>
    <x v="19"/>
    <x v="1909"/>
    <x v="0"/>
    <x v="0"/>
    <x v="3"/>
    <x v="1"/>
    <x v="0"/>
    <x v="0"/>
  </r>
  <r>
    <x v="104"/>
    <x v="20"/>
    <x v="1974"/>
    <x v="0"/>
    <x v="0"/>
    <x v="3"/>
    <x v="1"/>
    <x v="0"/>
    <x v="1"/>
  </r>
  <r>
    <x v="104"/>
    <x v="21"/>
    <x v="1818"/>
    <x v="0"/>
    <x v="0"/>
    <x v="3"/>
    <x v="1"/>
    <x v="0"/>
    <x v="1"/>
  </r>
  <r>
    <x v="104"/>
    <x v="22"/>
    <x v="1083"/>
    <x v="0"/>
    <x v="0"/>
    <x v="3"/>
    <x v="1"/>
    <x v="0"/>
    <x v="1"/>
  </r>
  <r>
    <x v="104"/>
    <x v="23"/>
    <x v="547"/>
    <x v="0"/>
    <x v="0"/>
    <x v="3"/>
    <x v="1"/>
    <x v="0"/>
    <x v="1"/>
  </r>
  <r>
    <x v="105"/>
    <x v="0"/>
    <x v="275"/>
    <x v="0"/>
    <x v="0"/>
    <x v="3"/>
    <x v="5"/>
    <x v="0"/>
    <x v="4"/>
  </r>
  <r>
    <x v="105"/>
    <x v="1"/>
    <x v="98"/>
    <x v="0"/>
    <x v="0"/>
    <x v="3"/>
    <x v="5"/>
    <x v="0"/>
    <x v="4"/>
  </r>
  <r>
    <x v="105"/>
    <x v="2"/>
    <x v="40"/>
    <x v="0"/>
    <x v="0"/>
    <x v="3"/>
    <x v="5"/>
    <x v="0"/>
    <x v="4"/>
  </r>
  <r>
    <x v="105"/>
    <x v="3"/>
    <x v="135"/>
    <x v="0"/>
    <x v="0"/>
    <x v="3"/>
    <x v="5"/>
    <x v="0"/>
    <x v="4"/>
  </r>
  <r>
    <x v="105"/>
    <x v="4"/>
    <x v="252"/>
    <x v="0"/>
    <x v="0"/>
    <x v="3"/>
    <x v="5"/>
    <x v="0"/>
    <x v="4"/>
  </r>
  <r>
    <x v="105"/>
    <x v="5"/>
    <x v="515"/>
    <x v="0"/>
    <x v="0"/>
    <x v="3"/>
    <x v="5"/>
    <x v="0"/>
    <x v="4"/>
  </r>
  <r>
    <x v="105"/>
    <x v="6"/>
    <x v="962"/>
    <x v="0"/>
    <x v="0"/>
    <x v="3"/>
    <x v="5"/>
    <x v="0"/>
    <x v="3"/>
  </r>
  <r>
    <x v="105"/>
    <x v="7"/>
    <x v="1295"/>
    <x v="0"/>
    <x v="0"/>
    <x v="3"/>
    <x v="5"/>
    <x v="0"/>
    <x v="3"/>
  </r>
  <r>
    <x v="105"/>
    <x v="8"/>
    <x v="1268"/>
    <x v="0"/>
    <x v="0"/>
    <x v="3"/>
    <x v="5"/>
    <x v="0"/>
    <x v="3"/>
  </r>
  <r>
    <x v="105"/>
    <x v="9"/>
    <x v="924"/>
    <x v="0"/>
    <x v="0"/>
    <x v="3"/>
    <x v="5"/>
    <x v="0"/>
    <x v="3"/>
  </r>
  <r>
    <x v="105"/>
    <x v="10"/>
    <x v="895"/>
    <x v="0"/>
    <x v="0"/>
    <x v="3"/>
    <x v="5"/>
    <x v="0"/>
    <x v="2"/>
  </r>
  <r>
    <x v="105"/>
    <x v="11"/>
    <x v="968"/>
    <x v="0"/>
    <x v="0"/>
    <x v="3"/>
    <x v="5"/>
    <x v="0"/>
    <x v="2"/>
  </r>
  <r>
    <x v="105"/>
    <x v="12"/>
    <x v="936"/>
    <x v="0"/>
    <x v="0"/>
    <x v="3"/>
    <x v="5"/>
    <x v="0"/>
    <x v="2"/>
  </r>
  <r>
    <x v="105"/>
    <x v="13"/>
    <x v="1765"/>
    <x v="0"/>
    <x v="0"/>
    <x v="3"/>
    <x v="5"/>
    <x v="0"/>
    <x v="2"/>
  </r>
  <r>
    <x v="105"/>
    <x v="14"/>
    <x v="1689"/>
    <x v="0"/>
    <x v="0"/>
    <x v="3"/>
    <x v="5"/>
    <x v="0"/>
    <x v="2"/>
  </r>
  <r>
    <x v="105"/>
    <x v="15"/>
    <x v="1554"/>
    <x v="0"/>
    <x v="0"/>
    <x v="3"/>
    <x v="5"/>
    <x v="0"/>
    <x v="2"/>
  </r>
  <r>
    <x v="105"/>
    <x v="16"/>
    <x v="1844"/>
    <x v="0"/>
    <x v="0"/>
    <x v="3"/>
    <x v="5"/>
    <x v="0"/>
    <x v="0"/>
  </r>
  <r>
    <x v="105"/>
    <x v="17"/>
    <x v="2498"/>
    <x v="0"/>
    <x v="0"/>
    <x v="3"/>
    <x v="5"/>
    <x v="0"/>
    <x v="0"/>
  </r>
  <r>
    <x v="105"/>
    <x v="18"/>
    <x v="2666"/>
    <x v="0"/>
    <x v="0"/>
    <x v="3"/>
    <x v="5"/>
    <x v="0"/>
    <x v="0"/>
  </r>
  <r>
    <x v="105"/>
    <x v="19"/>
    <x v="2619"/>
    <x v="0"/>
    <x v="0"/>
    <x v="3"/>
    <x v="5"/>
    <x v="0"/>
    <x v="0"/>
  </r>
  <r>
    <x v="105"/>
    <x v="20"/>
    <x v="2362"/>
    <x v="0"/>
    <x v="0"/>
    <x v="3"/>
    <x v="5"/>
    <x v="0"/>
    <x v="1"/>
  </r>
  <r>
    <x v="105"/>
    <x v="21"/>
    <x v="1685"/>
    <x v="0"/>
    <x v="0"/>
    <x v="3"/>
    <x v="5"/>
    <x v="0"/>
    <x v="1"/>
  </r>
  <r>
    <x v="105"/>
    <x v="22"/>
    <x v="1204"/>
    <x v="0"/>
    <x v="0"/>
    <x v="3"/>
    <x v="5"/>
    <x v="0"/>
    <x v="1"/>
  </r>
  <r>
    <x v="105"/>
    <x v="23"/>
    <x v="616"/>
    <x v="0"/>
    <x v="0"/>
    <x v="3"/>
    <x v="5"/>
    <x v="0"/>
    <x v="1"/>
  </r>
  <r>
    <x v="106"/>
    <x v="0"/>
    <x v="350"/>
    <x v="0"/>
    <x v="0"/>
    <x v="3"/>
    <x v="6"/>
    <x v="0"/>
    <x v="4"/>
  </r>
  <r>
    <x v="106"/>
    <x v="1"/>
    <x v="144"/>
    <x v="0"/>
    <x v="0"/>
    <x v="3"/>
    <x v="6"/>
    <x v="0"/>
    <x v="4"/>
  </r>
  <r>
    <x v="106"/>
    <x v="2"/>
    <x v="98"/>
    <x v="0"/>
    <x v="0"/>
    <x v="3"/>
    <x v="6"/>
    <x v="0"/>
    <x v="4"/>
  </r>
  <r>
    <x v="106"/>
    <x v="3"/>
    <x v="154"/>
    <x v="0"/>
    <x v="0"/>
    <x v="3"/>
    <x v="6"/>
    <x v="0"/>
    <x v="4"/>
  </r>
  <r>
    <x v="106"/>
    <x v="4"/>
    <x v="264"/>
    <x v="0"/>
    <x v="0"/>
    <x v="3"/>
    <x v="6"/>
    <x v="0"/>
    <x v="4"/>
  </r>
  <r>
    <x v="106"/>
    <x v="5"/>
    <x v="534"/>
    <x v="0"/>
    <x v="0"/>
    <x v="3"/>
    <x v="6"/>
    <x v="0"/>
    <x v="4"/>
  </r>
  <r>
    <x v="106"/>
    <x v="6"/>
    <x v="1008"/>
    <x v="0"/>
    <x v="0"/>
    <x v="3"/>
    <x v="6"/>
    <x v="0"/>
    <x v="3"/>
  </r>
  <r>
    <x v="106"/>
    <x v="7"/>
    <x v="1410"/>
    <x v="0"/>
    <x v="0"/>
    <x v="3"/>
    <x v="6"/>
    <x v="0"/>
    <x v="3"/>
  </r>
  <r>
    <x v="106"/>
    <x v="8"/>
    <x v="1401"/>
    <x v="0"/>
    <x v="0"/>
    <x v="3"/>
    <x v="6"/>
    <x v="0"/>
    <x v="3"/>
  </r>
  <r>
    <x v="106"/>
    <x v="9"/>
    <x v="1017"/>
    <x v="0"/>
    <x v="0"/>
    <x v="3"/>
    <x v="6"/>
    <x v="0"/>
    <x v="3"/>
  </r>
  <r>
    <x v="106"/>
    <x v="10"/>
    <x v="917"/>
    <x v="0"/>
    <x v="0"/>
    <x v="3"/>
    <x v="6"/>
    <x v="0"/>
    <x v="2"/>
  </r>
  <r>
    <x v="106"/>
    <x v="11"/>
    <x v="892"/>
    <x v="0"/>
    <x v="0"/>
    <x v="3"/>
    <x v="6"/>
    <x v="0"/>
    <x v="2"/>
  </r>
  <r>
    <x v="106"/>
    <x v="12"/>
    <x v="886"/>
    <x v="0"/>
    <x v="0"/>
    <x v="3"/>
    <x v="6"/>
    <x v="0"/>
    <x v="2"/>
  </r>
  <r>
    <x v="106"/>
    <x v="13"/>
    <x v="986"/>
    <x v="0"/>
    <x v="0"/>
    <x v="3"/>
    <x v="6"/>
    <x v="0"/>
    <x v="2"/>
  </r>
  <r>
    <x v="106"/>
    <x v="14"/>
    <x v="1220"/>
    <x v="0"/>
    <x v="0"/>
    <x v="3"/>
    <x v="6"/>
    <x v="0"/>
    <x v="2"/>
  </r>
  <r>
    <x v="106"/>
    <x v="15"/>
    <x v="1563"/>
    <x v="0"/>
    <x v="0"/>
    <x v="3"/>
    <x v="6"/>
    <x v="0"/>
    <x v="2"/>
  </r>
  <r>
    <x v="106"/>
    <x v="16"/>
    <x v="1723"/>
    <x v="0"/>
    <x v="0"/>
    <x v="3"/>
    <x v="6"/>
    <x v="0"/>
    <x v="0"/>
  </r>
  <r>
    <x v="106"/>
    <x v="17"/>
    <x v="1854"/>
    <x v="0"/>
    <x v="0"/>
    <x v="3"/>
    <x v="6"/>
    <x v="0"/>
    <x v="0"/>
  </r>
  <r>
    <x v="106"/>
    <x v="18"/>
    <x v="1735"/>
    <x v="0"/>
    <x v="0"/>
    <x v="3"/>
    <x v="6"/>
    <x v="0"/>
    <x v="0"/>
  </r>
  <r>
    <x v="106"/>
    <x v="19"/>
    <x v="1657"/>
    <x v="0"/>
    <x v="0"/>
    <x v="3"/>
    <x v="6"/>
    <x v="0"/>
    <x v="0"/>
  </r>
  <r>
    <x v="106"/>
    <x v="20"/>
    <x v="1741"/>
    <x v="0"/>
    <x v="0"/>
    <x v="3"/>
    <x v="6"/>
    <x v="0"/>
    <x v="1"/>
  </r>
  <r>
    <x v="106"/>
    <x v="21"/>
    <x v="1682"/>
    <x v="0"/>
    <x v="0"/>
    <x v="3"/>
    <x v="6"/>
    <x v="0"/>
    <x v="1"/>
  </r>
  <r>
    <x v="106"/>
    <x v="22"/>
    <x v="1375"/>
    <x v="0"/>
    <x v="0"/>
    <x v="3"/>
    <x v="6"/>
    <x v="0"/>
    <x v="1"/>
  </r>
  <r>
    <x v="106"/>
    <x v="23"/>
    <x v="782"/>
    <x v="0"/>
    <x v="0"/>
    <x v="3"/>
    <x v="6"/>
    <x v="0"/>
    <x v="1"/>
  </r>
  <r>
    <x v="107"/>
    <x v="0"/>
    <x v="333"/>
    <x v="0"/>
    <x v="0"/>
    <x v="3"/>
    <x v="4"/>
    <x v="0"/>
    <x v="4"/>
  </r>
  <r>
    <x v="107"/>
    <x v="1"/>
    <x v="177"/>
    <x v="0"/>
    <x v="0"/>
    <x v="3"/>
    <x v="4"/>
    <x v="0"/>
    <x v="4"/>
  </r>
  <r>
    <x v="107"/>
    <x v="2"/>
    <x v="116"/>
    <x v="0"/>
    <x v="0"/>
    <x v="3"/>
    <x v="4"/>
    <x v="0"/>
    <x v="4"/>
  </r>
  <r>
    <x v="107"/>
    <x v="3"/>
    <x v="187"/>
    <x v="0"/>
    <x v="0"/>
    <x v="3"/>
    <x v="4"/>
    <x v="0"/>
    <x v="4"/>
  </r>
  <r>
    <x v="107"/>
    <x v="4"/>
    <x v="341"/>
    <x v="0"/>
    <x v="0"/>
    <x v="3"/>
    <x v="4"/>
    <x v="0"/>
    <x v="4"/>
  </r>
  <r>
    <x v="107"/>
    <x v="5"/>
    <x v="597"/>
    <x v="0"/>
    <x v="0"/>
    <x v="3"/>
    <x v="4"/>
    <x v="0"/>
    <x v="4"/>
  </r>
  <r>
    <x v="107"/>
    <x v="6"/>
    <x v="842"/>
    <x v="0"/>
    <x v="0"/>
    <x v="3"/>
    <x v="4"/>
    <x v="0"/>
    <x v="3"/>
  </r>
  <r>
    <x v="107"/>
    <x v="7"/>
    <x v="1236"/>
    <x v="0"/>
    <x v="0"/>
    <x v="3"/>
    <x v="4"/>
    <x v="0"/>
    <x v="3"/>
  </r>
  <r>
    <x v="107"/>
    <x v="8"/>
    <x v="1220"/>
    <x v="0"/>
    <x v="0"/>
    <x v="3"/>
    <x v="4"/>
    <x v="0"/>
    <x v="3"/>
  </r>
  <r>
    <x v="107"/>
    <x v="9"/>
    <x v="950"/>
    <x v="0"/>
    <x v="0"/>
    <x v="3"/>
    <x v="4"/>
    <x v="0"/>
    <x v="3"/>
  </r>
  <r>
    <x v="107"/>
    <x v="10"/>
    <x v="919"/>
    <x v="0"/>
    <x v="0"/>
    <x v="3"/>
    <x v="4"/>
    <x v="0"/>
    <x v="2"/>
  </r>
  <r>
    <x v="107"/>
    <x v="11"/>
    <x v="976"/>
    <x v="0"/>
    <x v="0"/>
    <x v="3"/>
    <x v="4"/>
    <x v="0"/>
    <x v="2"/>
  </r>
  <r>
    <x v="107"/>
    <x v="12"/>
    <x v="1002"/>
    <x v="0"/>
    <x v="0"/>
    <x v="3"/>
    <x v="4"/>
    <x v="0"/>
    <x v="2"/>
  </r>
  <r>
    <x v="107"/>
    <x v="13"/>
    <x v="1156"/>
    <x v="0"/>
    <x v="0"/>
    <x v="3"/>
    <x v="4"/>
    <x v="0"/>
    <x v="2"/>
  </r>
  <r>
    <x v="107"/>
    <x v="14"/>
    <x v="1367"/>
    <x v="0"/>
    <x v="0"/>
    <x v="3"/>
    <x v="4"/>
    <x v="0"/>
    <x v="2"/>
  </r>
  <r>
    <x v="107"/>
    <x v="15"/>
    <x v="1571"/>
    <x v="0"/>
    <x v="0"/>
    <x v="3"/>
    <x v="4"/>
    <x v="0"/>
    <x v="2"/>
  </r>
  <r>
    <x v="107"/>
    <x v="16"/>
    <x v="1794"/>
    <x v="0"/>
    <x v="0"/>
    <x v="3"/>
    <x v="4"/>
    <x v="0"/>
    <x v="0"/>
  </r>
  <r>
    <x v="107"/>
    <x v="17"/>
    <x v="1964"/>
    <x v="0"/>
    <x v="0"/>
    <x v="3"/>
    <x v="4"/>
    <x v="0"/>
    <x v="0"/>
  </r>
  <r>
    <x v="107"/>
    <x v="18"/>
    <x v="1969"/>
    <x v="0"/>
    <x v="0"/>
    <x v="3"/>
    <x v="4"/>
    <x v="0"/>
    <x v="0"/>
  </r>
  <r>
    <x v="107"/>
    <x v="19"/>
    <x v="1820"/>
    <x v="0"/>
    <x v="0"/>
    <x v="3"/>
    <x v="4"/>
    <x v="0"/>
    <x v="0"/>
  </r>
  <r>
    <x v="107"/>
    <x v="20"/>
    <x v="1748"/>
    <x v="0"/>
    <x v="0"/>
    <x v="3"/>
    <x v="4"/>
    <x v="0"/>
    <x v="1"/>
  </r>
  <r>
    <x v="107"/>
    <x v="21"/>
    <x v="1905"/>
    <x v="0"/>
    <x v="0"/>
    <x v="3"/>
    <x v="4"/>
    <x v="0"/>
    <x v="1"/>
  </r>
  <r>
    <x v="107"/>
    <x v="22"/>
    <x v="1756"/>
    <x v="0"/>
    <x v="0"/>
    <x v="3"/>
    <x v="4"/>
    <x v="0"/>
    <x v="1"/>
  </r>
  <r>
    <x v="107"/>
    <x v="23"/>
    <x v="1162"/>
    <x v="0"/>
    <x v="0"/>
    <x v="3"/>
    <x v="4"/>
    <x v="0"/>
    <x v="1"/>
  </r>
  <r>
    <x v="108"/>
    <x v="0"/>
    <x v="587"/>
    <x v="0"/>
    <x v="0"/>
    <x v="3"/>
    <x v="0"/>
    <x v="0"/>
    <x v="4"/>
  </r>
  <r>
    <x v="108"/>
    <x v="1"/>
    <x v="307"/>
    <x v="0"/>
    <x v="0"/>
    <x v="3"/>
    <x v="0"/>
    <x v="0"/>
    <x v="4"/>
  </r>
  <r>
    <x v="108"/>
    <x v="2"/>
    <x v="180"/>
    <x v="0"/>
    <x v="0"/>
    <x v="3"/>
    <x v="0"/>
    <x v="0"/>
    <x v="4"/>
  </r>
  <r>
    <x v="108"/>
    <x v="3"/>
    <x v="257"/>
    <x v="0"/>
    <x v="0"/>
    <x v="3"/>
    <x v="0"/>
    <x v="0"/>
    <x v="4"/>
  </r>
  <r>
    <x v="108"/>
    <x v="4"/>
    <x v="315"/>
    <x v="0"/>
    <x v="0"/>
    <x v="3"/>
    <x v="0"/>
    <x v="0"/>
    <x v="4"/>
  </r>
  <r>
    <x v="108"/>
    <x v="5"/>
    <x v="494"/>
    <x v="0"/>
    <x v="0"/>
    <x v="3"/>
    <x v="0"/>
    <x v="0"/>
    <x v="4"/>
  </r>
  <r>
    <x v="108"/>
    <x v="6"/>
    <x v="785"/>
    <x v="0"/>
    <x v="0"/>
    <x v="3"/>
    <x v="0"/>
    <x v="0"/>
    <x v="3"/>
  </r>
  <r>
    <x v="108"/>
    <x v="7"/>
    <x v="1120"/>
    <x v="0"/>
    <x v="0"/>
    <x v="3"/>
    <x v="0"/>
    <x v="0"/>
    <x v="3"/>
  </r>
  <r>
    <x v="108"/>
    <x v="8"/>
    <x v="1122"/>
    <x v="0"/>
    <x v="0"/>
    <x v="3"/>
    <x v="0"/>
    <x v="0"/>
    <x v="3"/>
  </r>
  <r>
    <x v="108"/>
    <x v="9"/>
    <x v="986"/>
    <x v="0"/>
    <x v="0"/>
    <x v="3"/>
    <x v="0"/>
    <x v="0"/>
    <x v="3"/>
  </r>
  <r>
    <x v="108"/>
    <x v="10"/>
    <x v="845"/>
    <x v="0"/>
    <x v="0"/>
    <x v="3"/>
    <x v="0"/>
    <x v="0"/>
    <x v="2"/>
  </r>
  <r>
    <x v="108"/>
    <x v="11"/>
    <x v="907"/>
    <x v="0"/>
    <x v="0"/>
    <x v="3"/>
    <x v="0"/>
    <x v="0"/>
    <x v="2"/>
  </r>
  <r>
    <x v="108"/>
    <x v="12"/>
    <x v="896"/>
    <x v="0"/>
    <x v="0"/>
    <x v="3"/>
    <x v="0"/>
    <x v="0"/>
    <x v="2"/>
  </r>
  <r>
    <x v="108"/>
    <x v="13"/>
    <x v="1055"/>
    <x v="0"/>
    <x v="0"/>
    <x v="3"/>
    <x v="0"/>
    <x v="0"/>
    <x v="2"/>
  </r>
  <r>
    <x v="108"/>
    <x v="14"/>
    <x v="1363"/>
    <x v="0"/>
    <x v="0"/>
    <x v="3"/>
    <x v="0"/>
    <x v="0"/>
    <x v="2"/>
  </r>
  <r>
    <x v="108"/>
    <x v="15"/>
    <x v="1637"/>
    <x v="0"/>
    <x v="0"/>
    <x v="3"/>
    <x v="0"/>
    <x v="0"/>
    <x v="2"/>
  </r>
  <r>
    <x v="108"/>
    <x v="16"/>
    <x v="1795"/>
    <x v="0"/>
    <x v="0"/>
    <x v="3"/>
    <x v="0"/>
    <x v="0"/>
    <x v="0"/>
  </r>
  <r>
    <x v="108"/>
    <x v="17"/>
    <x v="1720"/>
    <x v="0"/>
    <x v="0"/>
    <x v="3"/>
    <x v="0"/>
    <x v="0"/>
    <x v="0"/>
  </r>
  <r>
    <x v="108"/>
    <x v="18"/>
    <x v="1772"/>
    <x v="0"/>
    <x v="0"/>
    <x v="3"/>
    <x v="0"/>
    <x v="0"/>
    <x v="0"/>
  </r>
  <r>
    <x v="108"/>
    <x v="19"/>
    <x v="1689"/>
    <x v="0"/>
    <x v="0"/>
    <x v="3"/>
    <x v="0"/>
    <x v="0"/>
    <x v="0"/>
  </r>
  <r>
    <x v="108"/>
    <x v="20"/>
    <x v="1581"/>
    <x v="0"/>
    <x v="0"/>
    <x v="3"/>
    <x v="0"/>
    <x v="0"/>
    <x v="1"/>
  </r>
  <r>
    <x v="108"/>
    <x v="21"/>
    <x v="1767"/>
    <x v="0"/>
    <x v="0"/>
    <x v="3"/>
    <x v="0"/>
    <x v="0"/>
    <x v="1"/>
  </r>
  <r>
    <x v="108"/>
    <x v="22"/>
    <x v="1839"/>
    <x v="0"/>
    <x v="0"/>
    <x v="3"/>
    <x v="0"/>
    <x v="0"/>
    <x v="1"/>
  </r>
  <r>
    <x v="108"/>
    <x v="23"/>
    <x v="1487"/>
    <x v="0"/>
    <x v="0"/>
    <x v="3"/>
    <x v="0"/>
    <x v="0"/>
    <x v="1"/>
  </r>
  <r>
    <x v="109"/>
    <x v="0"/>
    <x v="1085"/>
    <x v="0"/>
    <x v="0"/>
    <x v="3"/>
    <x v="2"/>
    <x v="1"/>
    <x v="4"/>
  </r>
  <r>
    <x v="109"/>
    <x v="1"/>
    <x v="828"/>
    <x v="0"/>
    <x v="0"/>
    <x v="3"/>
    <x v="2"/>
    <x v="1"/>
    <x v="4"/>
  </r>
  <r>
    <x v="109"/>
    <x v="2"/>
    <x v="647"/>
    <x v="0"/>
    <x v="0"/>
    <x v="3"/>
    <x v="2"/>
    <x v="1"/>
    <x v="4"/>
  </r>
  <r>
    <x v="109"/>
    <x v="3"/>
    <x v="473"/>
    <x v="0"/>
    <x v="0"/>
    <x v="3"/>
    <x v="2"/>
    <x v="1"/>
    <x v="4"/>
  </r>
  <r>
    <x v="109"/>
    <x v="4"/>
    <x v="242"/>
    <x v="0"/>
    <x v="0"/>
    <x v="3"/>
    <x v="2"/>
    <x v="1"/>
    <x v="4"/>
  </r>
  <r>
    <x v="109"/>
    <x v="5"/>
    <x v="231"/>
    <x v="0"/>
    <x v="0"/>
    <x v="3"/>
    <x v="2"/>
    <x v="1"/>
    <x v="4"/>
  </r>
  <r>
    <x v="109"/>
    <x v="6"/>
    <x v="303"/>
    <x v="0"/>
    <x v="0"/>
    <x v="3"/>
    <x v="2"/>
    <x v="1"/>
    <x v="3"/>
  </r>
  <r>
    <x v="109"/>
    <x v="7"/>
    <x v="381"/>
    <x v="0"/>
    <x v="0"/>
    <x v="3"/>
    <x v="2"/>
    <x v="1"/>
    <x v="3"/>
  </r>
  <r>
    <x v="109"/>
    <x v="8"/>
    <x v="519"/>
    <x v="0"/>
    <x v="0"/>
    <x v="3"/>
    <x v="2"/>
    <x v="1"/>
    <x v="3"/>
  </r>
  <r>
    <x v="109"/>
    <x v="9"/>
    <x v="640"/>
    <x v="0"/>
    <x v="0"/>
    <x v="3"/>
    <x v="2"/>
    <x v="1"/>
    <x v="3"/>
  </r>
  <r>
    <x v="109"/>
    <x v="10"/>
    <x v="832"/>
    <x v="0"/>
    <x v="0"/>
    <x v="3"/>
    <x v="2"/>
    <x v="1"/>
    <x v="2"/>
  </r>
  <r>
    <x v="109"/>
    <x v="11"/>
    <x v="887"/>
    <x v="0"/>
    <x v="0"/>
    <x v="3"/>
    <x v="2"/>
    <x v="1"/>
    <x v="2"/>
  </r>
  <r>
    <x v="109"/>
    <x v="12"/>
    <x v="933"/>
    <x v="0"/>
    <x v="0"/>
    <x v="3"/>
    <x v="2"/>
    <x v="1"/>
    <x v="2"/>
  </r>
  <r>
    <x v="109"/>
    <x v="13"/>
    <x v="899"/>
    <x v="0"/>
    <x v="0"/>
    <x v="3"/>
    <x v="2"/>
    <x v="1"/>
    <x v="2"/>
  </r>
  <r>
    <x v="109"/>
    <x v="14"/>
    <x v="1065"/>
    <x v="0"/>
    <x v="0"/>
    <x v="3"/>
    <x v="2"/>
    <x v="1"/>
    <x v="2"/>
  </r>
  <r>
    <x v="109"/>
    <x v="15"/>
    <x v="1243"/>
    <x v="0"/>
    <x v="0"/>
    <x v="3"/>
    <x v="2"/>
    <x v="1"/>
    <x v="2"/>
  </r>
  <r>
    <x v="109"/>
    <x v="16"/>
    <x v="1377"/>
    <x v="0"/>
    <x v="0"/>
    <x v="3"/>
    <x v="2"/>
    <x v="1"/>
    <x v="0"/>
  </r>
  <r>
    <x v="109"/>
    <x v="17"/>
    <x v="1382"/>
    <x v="0"/>
    <x v="0"/>
    <x v="3"/>
    <x v="2"/>
    <x v="1"/>
    <x v="0"/>
  </r>
  <r>
    <x v="109"/>
    <x v="18"/>
    <x v="1519"/>
    <x v="0"/>
    <x v="0"/>
    <x v="3"/>
    <x v="2"/>
    <x v="1"/>
    <x v="0"/>
  </r>
  <r>
    <x v="109"/>
    <x v="19"/>
    <x v="1252"/>
    <x v="0"/>
    <x v="0"/>
    <x v="3"/>
    <x v="2"/>
    <x v="1"/>
    <x v="0"/>
  </r>
  <r>
    <x v="109"/>
    <x v="20"/>
    <x v="1380"/>
    <x v="0"/>
    <x v="0"/>
    <x v="3"/>
    <x v="2"/>
    <x v="1"/>
    <x v="1"/>
  </r>
  <r>
    <x v="109"/>
    <x v="21"/>
    <x v="1554"/>
    <x v="0"/>
    <x v="0"/>
    <x v="3"/>
    <x v="2"/>
    <x v="1"/>
    <x v="1"/>
  </r>
  <r>
    <x v="109"/>
    <x v="22"/>
    <x v="1705"/>
    <x v="0"/>
    <x v="0"/>
    <x v="3"/>
    <x v="2"/>
    <x v="1"/>
    <x v="1"/>
  </r>
  <r>
    <x v="109"/>
    <x v="23"/>
    <x v="1469"/>
    <x v="0"/>
    <x v="0"/>
    <x v="3"/>
    <x v="2"/>
    <x v="1"/>
    <x v="1"/>
  </r>
  <r>
    <x v="110"/>
    <x v="0"/>
    <x v="1222"/>
    <x v="0"/>
    <x v="0"/>
    <x v="3"/>
    <x v="3"/>
    <x v="1"/>
    <x v="4"/>
  </r>
  <r>
    <x v="110"/>
    <x v="1"/>
    <x v="952"/>
    <x v="0"/>
    <x v="0"/>
    <x v="3"/>
    <x v="3"/>
    <x v="1"/>
    <x v="4"/>
  </r>
  <r>
    <x v="110"/>
    <x v="2"/>
    <x v="662"/>
    <x v="0"/>
    <x v="0"/>
    <x v="3"/>
    <x v="3"/>
    <x v="1"/>
    <x v="4"/>
  </r>
  <r>
    <x v="110"/>
    <x v="3"/>
    <x v="472"/>
    <x v="0"/>
    <x v="0"/>
    <x v="3"/>
    <x v="3"/>
    <x v="1"/>
    <x v="4"/>
  </r>
  <r>
    <x v="110"/>
    <x v="4"/>
    <x v="195"/>
    <x v="0"/>
    <x v="0"/>
    <x v="3"/>
    <x v="3"/>
    <x v="1"/>
    <x v="4"/>
  </r>
  <r>
    <x v="110"/>
    <x v="5"/>
    <x v="186"/>
    <x v="0"/>
    <x v="0"/>
    <x v="3"/>
    <x v="3"/>
    <x v="1"/>
    <x v="4"/>
  </r>
  <r>
    <x v="110"/>
    <x v="6"/>
    <x v="212"/>
    <x v="0"/>
    <x v="0"/>
    <x v="3"/>
    <x v="3"/>
    <x v="1"/>
    <x v="3"/>
  </r>
  <r>
    <x v="110"/>
    <x v="7"/>
    <x v="309"/>
    <x v="0"/>
    <x v="0"/>
    <x v="3"/>
    <x v="3"/>
    <x v="1"/>
    <x v="3"/>
  </r>
  <r>
    <x v="110"/>
    <x v="8"/>
    <x v="429"/>
    <x v="0"/>
    <x v="0"/>
    <x v="3"/>
    <x v="3"/>
    <x v="1"/>
    <x v="3"/>
  </r>
  <r>
    <x v="110"/>
    <x v="9"/>
    <x v="625"/>
    <x v="0"/>
    <x v="0"/>
    <x v="3"/>
    <x v="3"/>
    <x v="1"/>
    <x v="3"/>
  </r>
  <r>
    <x v="110"/>
    <x v="10"/>
    <x v="761"/>
    <x v="0"/>
    <x v="0"/>
    <x v="3"/>
    <x v="3"/>
    <x v="1"/>
    <x v="2"/>
  </r>
  <r>
    <x v="110"/>
    <x v="11"/>
    <x v="941"/>
    <x v="0"/>
    <x v="0"/>
    <x v="3"/>
    <x v="3"/>
    <x v="1"/>
    <x v="2"/>
  </r>
  <r>
    <x v="110"/>
    <x v="12"/>
    <x v="883"/>
    <x v="0"/>
    <x v="0"/>
    <x v="3"/>
    <x v="3"/>
    <x v="1"/>
    <x v="2"/>
  </r>
  <r>
    <x v="110"/>
    <x v="13"/>
    <x v="1071"/>
    <x v="0"/>
    <x v="0"/>
    <x v="3"/>
    <x v="3"/>
    <x v="1"/>
    <x v="2"/>
  </r>
  <r>
    <x v="110"/>
    <x v="14"/>
    <x v="1146"/>
    <x v="0"/>
    <x v="0"/>
    <x v="3"/>
    <x v="3"/>
    <x v="1"/>
    <x v="2"/>
  </r>
  <r>
    <x v="110"/>
    <x v="15"/>
    <x v="1174"/>
    <x v="0"/>
    <x v="0"/>
    <x v="3"/>
    <x v="3"/>
    <x v="1"/>
    <x v="2"/>
  </r>
  <r>
    <x v="110"/>
    <x v="16"/>
    <x v="1188"/>
    <x v="0"/>
    <x v="0"/>
    <x v="3"/>
    <x v="3"/>
    <x v="1"/>
    <x v="0"/>
  </r>
  <r>
    <x v="110"/>
    <x v="17"/>
    <x v="1260"/>
    <x v="0"/>
    <x v="0"/>
    <x v="3"/>
    <x v="3"/>
    <x v="1"/>
    <x v="0"/>
  </r>
  <r>
    <x v="110"/>
    <x v="18"/>
    <x v="1012"/>
    <x v="0"/>
    <x v="0"/>
    <x v="3"/>
    <x v="3"/>
    <x v="1"/>
    <x v="0"/>
  </r>
  <r>
    <x v="110"/>
    <x v="19"/>
    <x v="847"/>
    <x v="0"/>
    <x v="0"/>
    <x v="3"/>
    <x v="3"/>
    <x v="1"/>
    <x v="0"/>
  </r>
  <r>
    <x v="110"/>
    <x v="20"/>
    <x v="992"/>
    <x v="0"/>
    <x v="0"/>
    <x v="3"/>
    <x v="3"/>
    <x v="1"/>
    <x v="1"/>
  </r>
  <r>
    <x v="110"/>
    <x v="21"/>
    <x v="936"/>
    <x v="0"/>
    <x v="0"/>
    <x v="3"/>
    <x v="3"/>
    <x v="1"/>
    <x v="1"/>
  </r>
  <r>
    <x v="110"/>
    <x v="22"/>
    <x v="781"/>
    <x v="0"/>
    <x v="0"/>
    <x v="3"/>
    <x v="3"/>
    <x v="1"/>
    <x v="1"/>
  </r>
  <r>
    <x v="110"/>
    <x v="23"/>
    <x v="410"/>
    <x v="0"/>
    <x v="0"/>
    <x v="3"/>
    <x v="3"/>
    <x v="1"/>
    <x v="1"/>
  </r>
  <r>
    <x v="111"/>
    <x v="0"/>
    <x v="181"/>
    <x v="0"/>
    <x v="0"/>
    <x v="3"/>
    <x v="1"/>
    <x v="0"/>
    <x v="4"/>
  </r>
  <r>
    <x v="111"/>
    <x v="1"/>
    <x v="60"/>
    <x v="0"/>
    <x v="0"/>
    <x v="3"/>
    <x v="1"/>
    <x v="0"/>
    <x v="4"/>
  </r>
  <r>
    <x v="111"/>
    <x v="2"/>
    <x v="43"/>
    <x v="0"/>
    <x v="0"/>
    <x v="3"/>
    <x v="1"/>
    <x v="0"/>
    <x v="4"/>
  </r>
  <r>
    <x v="111"/>
    <x v="3"/>
    <x v="218"/>
    <x v="0"/>
    <x v="0"/>
    <x v="3"/>
    <x v="1"/>
    <x v="0"/>
    <x v="4"/>
  </r>
  <r>
    <x v="111"/>
    <x v="4"/>
    <x v="350"/>
    <x v="0"/>
    <x v="0"/>
    <x v="3"/>
    <x v="1"/>
    <x v="0"/>
    <x v="4"/>
  </r>
  <r>
    <x v="111"/>
    <x v="5"/>
    <x v="578"/>
    <x v="0"/>
    <x v="0"/>
    <x v="3"/>
    <x v="1"/>
    <x v="0"/>
    <x v="4"/>
  </r>
  <r>
    <x v="111"/>
    <x v="6"/>
    <x v="856"/>
    <x v="0"/>
    <x v="0"/>
    <x v="3"/>
    <x v="1"/>
    <x v="0"/>
    <x v="3"/>
  </r>
  <r>
    <x v="111"/>
    <x v="7"/>
    <x v="1230"/>
    <x v="0"/>
    <x v="0"/>
    <x v="3"/>
    <x v="1"/>
    <x v="0"/>
    <x v="3"/>
  </r>
  <r>
    <x v="111"/>
    <x v="8"/>
    <x v="1135"/>
    <x v="0"/>
    <x v="0"/>
    <x v="3"/>
    <x v="1"/>
    <x v="0"/>
    <x v="3"/>
  </r>
  <r>
    <x v="111"/>
    <x v="9"/>
    <x v="853"/>
    <x v="0"/>
    <x v="0"/>
    <x v="3"/>
    <x v="1"/>
    <x v="0"/>
    <x v="3"/>
  </r>
  <r>
    <x v="111"/>
    <x v="10"/>
    <x v="794"/>
    <x v="0"/>
    <x v="0"/>
    <x v="3"/>
    <x v="1"/>
    <x v="0"/>
    <x v="2"/>
  </r>
  <r>
    <x v="111"/>
    <x v="11"/>
    <x v="809"/>
    <x v="0"/>
    <x v="0"/>
    <x v="3"/>
    <x v="1"/>
    <x v="0"/>
    <x v="2"/>
  </r>
  <r>
    <x v="111"/>
    <x v="12"/>
    <x v="846"/>
    <x v="0"/>
    <x v="0"/>
    <x v="3"/>
    <x v="1"/>
    <x v="0"/>
    <x v="2"/>
  </r>
  <r>
    <x v="111"/>
    <x v="13"/>
    <x v="931"/>
    <x v="0"/>
    <x v="0"/>
    <x v="3"/>
    <x v="1"/>
    <x v="0"/>
    <x v="2"/>
  </r>
  <r>
    <x v="111"/>
    <x v="14"/>
    <x v="1077"/>
    <x v="0"/>
    <x v="0"/>
    <x v="3"/>
    <x v="1"/>
    <x v="0"/>
    <x v="2"/>
  </r>
  <r>
    <x v="111"/>
    <x v="15"/>
    <x v="1251"/>
    <x v="0"/>
    <x v="0"/>
    <x v="3"/>
    <x v="1"/>
    <x v="0"/>
    <x v="2"/>
  </r>
  <r>
    <x v="111"/>
    <x v="16"/>
    <x v="1510"/>
    <x v="0"/>
    <x v="0"/>
    <x v="3"/>
    <x v="1"/>
    <x v="0"/>
    <x v="0"/>
  </r>
  <r>
    <x v="111"/>
    <x v="17"/>
    <x v="1635"/>
    <x v="0"/>
    <x v="0"/>
    <x v="3"/>
    <x v="1"/>
    <x v="0"/>
    <x v="0"/>
  </r>
  <r>
    <x v="111"/>
    <x v="18"/>
    <x v="1474"/>
    <x v="0"/>
    <x v="0"/>
    <x v="3"/>
    <x v="1"/>
    <x v="0"/>
    <x v="0"/>
  </r>
  <r>
    <x v="111"/>
    <x v="19"/>
    <x v="1301"/>
    <x v="0"/>
    <x v="0"/>
    <x v="3"/>
    <x v="1"/>
    <x v="0"/>
    <x v="0"/>
  </r>
  <r>
    <x v="111"/>
    <x v="20"/>
    <x v="1293"/>
    <x v="0"/>
    <x v="0"/>
    <x v="3"/>
    <x v="1"/>
    <x v="0"/>
    <x v="1"/>
  </r>
  <r>
    <x v="111"/>
    <x v="21"/>
    <x v="1137"/>
    <x v="0"/>
    <x v="0"/>
    <x v="3"/>
    <x v="1"/>
    <x v="0"/>
    <x v="1"/>
  </r>
  <r>
    <x v="111"/>
    <x v="22"/>
    <x v="824"/>
    <x v="0"/>
    <x v="0"/>
    <x v="3"/>
    <x v="1"/>
    <x v="0"/>
    <x v="1"/>
  </r>
  <r>
    <x v="111"/>
    <x v="23"/>
    <x v="454"/>
    <x v="0"/>
    <x v="0"/>
    <x v="3"/>
    <x v="1"/>
    <x v="0"/>
    <x v="1"/>
  </r>
  <r>
    <x v="112"/>
    <x v="0"/>
    <x v="217"/>
    <x v="0"/>
    <x v="0"/>
    <x v="3"/>
    <x v="5"/>
    <x v="0"/>
    <x v="4"/>
  </r>
  <r>
    <x v="112"/>
    <x v="1"/>
    <x v="90"/>
    <x v="0"/>
    <x v="0"/>
    <x v="3"/>
    <x v="5"/>
    <x v="0"/>
    <x v="4"/>
  </r>
  <r>
    <x v="112"/>
    <x v="2"/>
    <x v="62"/>
    <x v="0"/>
    <x v="0"/>
    <x v="3"/>
    <x v="5"/>
    <x v="0"/>
    <x v="4"/>
  </r>
  <r>
    <x v="112"/>
    <x v="3"/>
    <x v="129"/>
    <x v="0"/>
    <x v="0"/>
    <x v="3"/>
    <x v="5"/>
    <x v="0"/>
    <x v="4"/>
  </r>
  <r>
    <x v="112"/>
    <x v="4"/>
    <x v="244"/>
    <x v="0"/>
    <x v="0"/>
    <x v="3"/>
    <x v="5"/>
    <x v="0"/>
    <x v="4"/>
  </r>
  <r>
    <x v="112"/>
    <x v="5"/>
    <x v="528"/>
    <x v="0"/>
    <x v="0"/>
    <x v="3"/>
    <x v="5"/>
    <x v="0"/>
    <x v="4"/>
  </r>
  <r>
    <x v="112"/>
    <x v="6"/>
    <x v="943"/>
    <x v="0"/>
    <x v="0"/>
    <x v="3"/>
    <x v="5"/>
    <x v="0"/>
    <x v="3"/>
  </r>
  <r>
    <x v="112"/>
    <x v="7"/>
    <x v="1279"/>
    <x v="0"/>
    <x v="0"/>
    <x v="3"/>
    <x v="5"/>
    <x v="0"/>
    <x v="3"/>
  </r>
  <r>
    <x v="112"/>
    <x v="8"/>
    <x v="1351"/>
    <x v="0"/>
    <x v="0"/>
    <x v="3"/>
    <x v="5"/>
    <x v="0"/>
    <x v="3"/>
  </r>
  <r>
    <x v="112"/>
    <x v="9"/>
    <x v="1028"/>
    <x v="0"/>
    <x v="0"/>
    <x v="3"/>
    <x v="5"/>
    <x v="0"/>
    <x v="3"/>
  </r>
  <r>
    <x v="112"/>
    <x v="10"/>
    <x v="960"/>
    <x v="0"/>
    <x v="0"/>
    <x v="3"/>
    <x v="5"/>
    <x v="0"/>
    <x v="2"/>
  </r>
  <r>
    <x v="112"/>
    <x v="11"/>
    <x v="997"/>
    <x v="0"/>
    <x v="0"/>
    <x v="3"/>
    <x v="5"/>
    <x v="0"/>
    <x v="2"/>
  </r>
  <r>
    <x v="112"/>
    <x v="12"/>
    <x v="1002"/>
    <x v="0"/>
    <x v="0"/>
    <x v="3"/>
    <x v="5"/>
    <x v="0"/>
    <x v="2"/>
  </r>
  <r>
    <x v="112"/>
    <x v="13"/>
    <x v="1185"/>
    <x v="0"/>
    <x v="0"/>
    <x v="3"/>
    <x v="5"/>
    <x v="0"/>
    <x v="2"/>
  </r>
  <r>
    <x v="112"/>
    <x v="14"/>
    <x v="1346"/>
    <x v="0"/>
    <x v="0"/>
    <x v="3"/>
    <x v="5"/>
    <x v="0"/>
    <x v="2"/>
  </r>
  <r>
    <x v="112"/>
    <x v="15"/>
    <x v="1572"/>
    <x v="0"/>
    <x v="0"/>
    <x v="3"/>
    <x v="5"/>
    <x v="0"/>
    <x v="2"/>
  </r>
  <r>
    <x v="112"/>
    <x v="16"/>
    <x v="1930"/>
    <x v="0"/>
    <x v="0"/>
    <x v="3"/>
    <x v="5"/>
    <x v="0"/>
    <x v="0"/>
  </r>
  <r>
    <x v="112"/>
    <x v="17"/>
    <x v="2071"/>
    <x v="0"/>
    <x v="0"/>
    <x v="3"/>
    <x v="5"/>
    <x v="0"/>
    <x v="0"/>
  </r>
  <r>
    <x v="112"/>
    <x v="18"/>
    <x v="1922"/>
    <x v="0"/>
    <x v="0"/>
    <x v="3"/>
    <x v="5"/>
    <x v="0"/>
    <x v="0"/>
  </r>
  <r>
    <x v="112"/>
    <x v="19"/>
    <x v="1658"/>
    <x v="0"/>
    <x v="0"/>
    <x v="3"/>
    <x v="5"/>
    <x v="0"/>
    <x v="0"/>
  </r>
  <r>
    <x v="112"/>
    <x v="20"/>
    <x v="1715"/>
    <x v="0"/>
    <x v="0"/>
    <x v="3"/>
    <x v="5"/>
    <x v="0"/>
    <x v="1"/>
  </r>
  <r>
    <x v="112"/>
    <x v="21"/>
    <x v="1575"/>
    <x v="0"/>
    <x v="0"/>
    <x v="3"/>
    <x v="5"/>
    <x v="0"/>
    <x v="1"/>
  </r>
  <r>
    <x v="112"/>
    <x v="22"/>
    <x v="1177"/>
    <x v="0"/>
    <x v="0"/>
    <x v="3"/>
    <x v="5"/>
    <x v="0"/>
    <x v="1"/>
  </r>
  <r>
    <x v="112"/>
    <x v="23"/>
    <x v="633"/>
    <x v="0"/>
    <x v="0"/>
    <x v="3"/>
    <x v="5"/>
    <x v="0"/>
    <x v="1"/>
  </r>
  <r>
    <x v="113"/>
    <x v="0"/>
    <x v="298"/>
    <x v="0"/>
    <x v="0"/>
    <x v="3"/>
    <x v="6"/>
    <x v="0"/>
    <x v="4"/>
  </r>
  <r>
    <x v="113"/>
    <x v="1"/>
    <x v="139"/>
    <x v="0"/>
    <x v="0"/>
    <x v="3"/>
    <x v="6"/>
    <x v="0"/>
    <x v="4"/>
  </r>
  <r>
    <x v="113"/>
    <x v="2"/>
    <x v="106"/>
    <x v="0"/>
    <x v="0"/>
    <x v="3"/>
    <x v="6"/>
    <x v="0"/>
    <x v="4"/>
  </r>
  <r>
    <x v="113"/>
    <x v="3"/>
    <x v="171"/>
    <x v="0"/>
    <x v="0"/>
    <x v="3"/>
    <x v="6"/>
    <x v="0"/>
    <x v="4"/>
  </r>
  <r>
    <x v="113"/>
    <x v="4"/>
    <x v="291"/>
    <x v="0"/>
    <x v="0"/>
    <x v="3"/>
    <x v="6"/>
    <x v="0"/>
    <x v="4"/>
  </r>
  <r>
    <x v="113"/>
    <x v="5"/>
    <x v="526"/>
    <x v="0"/>
    <x v="0"/>
    <x v="3"/>
    <x v="6"/>
    <x v="0"/>
    <x v="4"/>
  </r>
  <r>
    <x v="113"/>
    <x v="6"/>
    <x v="946"/>
    <x v="0"/>
    <x v="0"/>
    <x v="3"/>
    <x v="6"/>
    <x v="0"/>
    <x v="3"/>
  </r>
  <r>
    <x v="113"/>
    <x v="7"/>
    <x v="1336"/>
    <x v="0"/>
    <x v="0"/>
    <x v="3"/>
    <x v="6"/>
    <x v="0"/>
    <x v="3"/>
  </r>
  <r>
    <x v="113"/>
    <x v="8"/>
    <x v="1384"/>
    <x v="0"/>
    <x v="0"/>
    <x v="3"/>
    <x v="6"/>
    <x v="0"/>
    <x v="3"/>
  </r>
  <r>
    <x v="113"/>
    <x v="9"/>
    <x v="1076"/>
    <x v="0"/>
    <x v="0"/>
    <x v="3"/>
    <x v="6"/>
    <x v="0"/>
    <x v="3"/>
  </r>
  <r>
    <x v="113"/>
    <x v="10"/>
    <x v="1056"/>
    <x v="0"/>
    <x v="0"/>
    <x v="3"/>
    <x v="6"/>
    <x v="0"/>
    <x v="2"/>
  </r>
  <r>
    <x v="113"/>
    <x v="11"/>
    <x v="1103"/>
    <x v="0"/>
    <x v="0"/>
    <x v="3"/>
    <x v="6"/>
    <x v="0"/>
    <x v="2"/>
  </r>
  <r>
    <x v="113"/>
    <x v="12"/>
    <x v="1144"/>
    <x v="0"/>
    <x v="0"/>
    <x v="3"/>
    <x v="6"/>
    <x v="0"/>
    <x v="2"/>
  </r>
  <r>
    <x v="113"/>
    <x v="13"/>
    <x v="1370"/>
    <x v="0"/>
    <x v="0"/>
    <x v="3"/>
    <x v="6"/>
    <x v="0"/>
    <x v="2"/>
  </r>
  <r>
    <x v="113"/>
    <x v="14"/>
    <x v="1585"/>
    <x v="0"/>
    <x v="0"/>
    <x v="3"/>
    <x v="6"/>
    <x v="0"/>
    <x v="2"/>
  </r>
  <r>
    <x v="113"/>
    <x v="15"/>
    <x v="1831"/>
    <x v="0"/>
    <x v="0"/>
    <x v="3"/>
    <x v="6"/>
    <x v="0"/>
    <x v="2"/>
  </r>
  <r>
    <x v="113"/>
    <x v="16"/>
    <x v="2043"/>
    <x v="0"/>
    <x v="0"/>
    <x v="3"/>
    <x v="6"/>
    <x v="0"/>
    <x v="0"/>
  </r>
  <r>
    <x v="113"/>
    <x v="17"/>
    <x v="2142"/>
    <x v="0"/>
    <x v="0"/>
    <x v="3"/>
    <x v="6"/>
    <x v="0"/>
    <x v="0"/>
  </r>
  <r>
    <x v="113"/>
    <x v="18"/>
    <x v="2084"/>
    <x v="0"/>
    <x v="0"/>
    <x v="3"/>
    <x v="6"/>
    <x v="0"/>
    <x v="0"/>
  </r>
  <r>
    <x v="113"/>
    <x v="19"/>
    <x v="2007"/>
    <x v="0"/>
    <x v="0"/>
    <x v="3"/>
    <x v="6"/>
    <x v="0"/>
    <x v="0"/>
  </r>
  <r>
    <x v="113"/>
    <x v="20"/>
    <x v="2328"/>
    <x v="0"/>
    <x v="0"/>
    <x v="3"/>
    <x v="6"/>
    <x v="0"/>
    <x v="1"/>
  </r>
  <r>
    <x v="113"/>
    <x v="21"/>
    <x v="2169"/>
    <x v="0"/>
    <x v="0"/>
    <x v="3"/>
    <x v="6"/>
    <x v="0"/>
    <x v="1"/>
  </r>
  <r>
    <x v="113"/>
    <x v="22"/>
    <x v="1674"/>
    <x v="0"/>
    <x v="0"/>
    <x v="3"/>
    <x v="6"/>
    <x v="0"/>
    <x v="1"/>
  </r>
  <r>
    <x v="113"/>
    <x v="23"/>
    <x v="830"/>
    <x v="0"/>
    <x v="0"/>
    <x v="3"/>
    <x v="6"/>
    <x v="0"/>
    <x v="1"/>
  </r>
  <r>
    <x v="114"/>
    <x v="0"/>
    <x v="364"/>
    <x v="0"/>
    <x v="0"/>
    <x v="3"/>
    <x v="4"/>
    <x v="0"/>
    <x v="4"/>
  </r>
  <r>
    <x v="114"/>
    <x v="1"/>
    <x v="151"/>
    <x v="0"/>
    <x v="0"/>
    <x v="3"/>
    <x v="4"/>
    <x v="0"/>
    <x v="4"/>
  </r>
  <r>
    <x v="114"/>
    <x v="2"/>
    <x v="105"/>
    <x v="0"/>
    <x v="0"/>
    <x v="3"/>
    <x v="4"/>
    <x v="0"/>
    <x v="4"/>
  </r>
  <r>
    <x v="114"/>
    <x v="3"/>
    <x v="180"/>
    <x v="0"/>
    <x v="0"/>
    <x v="3"/>
    <x v="4"/>
    <x v="0"/>
    <x v="4"/>
  </r>
  <r>
    <x v="114"/>
    <x v="4"/>
    <x v="338"/>
    <x v="0"/>
    <x v="0"/>
    <x v="3"/>
    <x v="4"/>
    <x v="0"/>
    <x v="4"/>
  </r>
  <r>
    <x v="114"/>
    <x v="5"/>
    <x v="550"/>
    <x v="0"/>
    <x v="0"/>
    <x v="3"/>
    <x v="4"/>
    <x v="0"/>
    <x v="4"/>
  </r>
  <r>
    <x v="114"/>
    <x v="6"/>
    <x v="890"/>
    <x v="0"/>
    <x v="0"/>
    <x v="3"/>
    <x v="4"/>
    <x v="0"/>
    <x v="3"/>
  </r>
  <r>
    <x v="114"/>
    <x v="7"/>
    <x v="1222"/>
    <x v="0"/>
    <x v="0"/>
    <x v="3"/>
    <x v="4"/>
    <x v="0"/>
    <x v="3"/>
  </r>
  <r>
    <x v="114"/>
    <x v="8"/>
    <x v="1294"/>
    <x v="0"/>
    <x v="0"/>
    <x v="3"/>
    <x v="4"/>
    <x v="0"/>
    <x v="3"/>
  </r>
  <r>
    <x v="114"/>
    <x v="9"/>
    <x v="1103"/>
    <x v="0"/>
    <x v="0"/>
    <x v="3"/>
    <x v="4"/>
    <x v="0"/>
    <x v="3"/>
  </r>
  <r>
    <x v="114"/>
    <x v="10"/>
    <x v="994"/>
    <x v="0"/>
    <x v="0"/>
    <x v="3"/>
    <x v="4"/>
    <x v="0"/>
    <x v="2"/>
  </r>
  <r>
    <x v="114"/>
    <x v="11"/>
    <x v="1094"/>
    <x v="0"/>
    <x v="0"/>
    <x v="3"/>
    <x v="4"/>
    <x v="0"/>
    <x v="2"/>
  </r>
  <r>
    <x v="114"/>
    <x v="12"/>
    <x v="1024"/>
    <x v="0"/>
    <x v="0"/>
    <x v="3"/>
    <x v="4"/>
    <x v="0"/>
    <x v="2"/>
  </r>
  <r>
    <x v="114"/>
    <x v="13"/>
    <x v="1155"/>
    <x v="0"/>
    <x v="0"/>
    <x v="3"/>
    <x v="4"/>
    <x v="0"/>
    <x v="2"/>
  </r>
  <r>
    <x v="114"/>
    <x v="14"/>
    <x v="1389"/>
    <x v="0"/>
    <x v="0"/>
    <x v="3"/>
    <x v="4"/>
    <x v="0"/>
    <x v="2"/>
  </r>
  <r>
    <x v="114"/>
    <x v="15"/>
    <x v="1538"/>
    <x v="0"/>
    <x v="0"/>
    <x v="3"/>
    <x v="4"/>
    <x v="0"/>
    <x v="2"/>
  </r>
  <r>
    <x v="114"/>
    <x v="16"/>
    <x v="1857"/>
    <x v="0"/>
    <x v="0"/>
    <x v="3"/>
    <x v="4"/>
    <x v="0"/>
    <x v="0"/>
  </r>
  <r>
    <x v="114"/>
    <x v="17"/>
    <x v="2054"/>
    <x v="0"/>
    <x v="0"/>
    <x v="3"/>
    <x v="4"/>
    <x v="0"/>
    <x v="0"/>
  </r>
  <r>
    <x v="114"/>
    <x v="18"/>
    <x v="2044"/>
    <x v="0"/>
    <x v="0"/>
    <x v="3"/>
    <x v="4"/>
    <x v="0"/>
    <x v="0"/>
  </r>
  <r>
    <x v="114"/>
    <x v="19"/>
    <x v="2004"/>
    <x v="0"/>
    <x v="0"/>
    <x v="3"/>
    <x v="4"/>
    <x v="0"/>
    <x v="0"/>
  </r>
  <r>
    <x v="114"/>
    <x v="20"/>
    <x v="1978"/>
    <x v="0"/>
    <x v="0"/>
    <x v="3"/>
    <x v="4"/>
    <x v="0"/>
    <x v="1"/>
  </r>
  <r>
    <x v="114"/>
    <x v="21"/>
    <x v="1888"/>
    <x v="0"/>
    <x v="0"/>
    <x v="3"/>
    <x v="4"/>
    <x v="0"/>
    <x v="1"/>
  </r>
  <r>
    <x v="114"/>
    <x v="22"/>
    <x v="1776"/>
    <x v="0"/>
    <x v="0"/>
    <x v="3"/>
    <x v="4"/>
    <x v="0"/>
    <x v="1"/>
  </r>
  <r>
    <x v="114"/>
    <x v="23"/>
    <x v="1157"/>
    <x v="0"/>
    <x v="0"/>
    <x v="3"/>
    <x v="4"/>
    <x v="0"/>
    <x v="1"/>
  </r>
  <r>
    <x v="115"/>
    <x v="0"/>
    <x v="612"/>
    <x v="0"/>
    <x v="0"/>
    <x v="3"/>
    <x v="0"/>
    <x v="0"/>
    <x v="4"/>
  </r>
  <r>
    <x v="115"/>
    <x v="1"/>
    <x v="365"/>
    <x v="0"/>
    <x v="0"/>
    <x v="3"/>
    <x v="0"/>
    <x v="0"/>
    <x v="4"/>
  </r>
  <r>
    <x v="115"/>
    <x v="2"/>
    <x v="216"/>
    <x v="0"/>
    <x v="0"/>
    <x v="3"/>
    <x v="0"/>
    <x v="0"/>
    <x v="4"/>
  </r>
  <r>
    <x v="115"/>
    <x v="3"/>
    <x v="246"/>
    <x v="0"/>
    <x v="0"/>
    <x v="3"/>
    <x v="0"/>
    <x v="0"/>
    <x v="4"/>
  </r>
  <r>
    <x v="115"/>
    <x v="4"/>
    <x v="319"/>
    <x v="0"/>
    <x v="0"/>
    <x v="3"/>
    <x v="0"/>
    <x v="0"/>
    <x v="4"/>
  </r>
  <r>
    <x v="115"/>
    <x v="5"/>
    <x v="503"/>
    <x v="0"/>
    <x v="0"/>
    <x v="3"/>
    <x v="0"/>
    <x v="0"/>
    <x v="4"/>
  </r>
  <r>
    <x v="115"/>
    <x v="6"/>
    <x v="793"/>
    <x v="0"/>
    <x v="0"/>
    <x v="3"/>
    <x v="0"/>
    <x v="0"/>
    <x v="3"/>
  </r>
  <r>
    <x v="115"/>
    <x v="7"/>
    <x v="1113"/>
    <x v="0"/>
    <x v="0"/>
    <x v="3"/>
    <x v="0"/>
    <x v="0"/>
    <x v="3"/>
  </r>
  <r>
    <x v="115"/>
    <x v="8"/>
    <x v="1176"/>
    <x v="0"/>
    <x v="0"/>
    <x v="3"/>
    <x v="0"/>
    <x v="0"/>
    <x v="3"/>
  </r>
  <r>
    <x v="115"/>
    <x v="9"/>
    <x v="996"/>
    <x v="0"/>
    <x v="0"/>
    <x v="3"/>
    <x v="0"/>
    <x v="0"/>
    <x v="3"/>
  </r>
  <r>
    <x v="115"/>
    <x v="10"/>
    <x v="924"/>
    <x v="0"/>
    <x v="0"/>
    <x v="3"/>
    <x v="0"/>
    <x v="0"/>
    <x v="2"/>
  </r>
  <r>
    <x v="115"/>
    <x v="11"/>
    <x v="933"/>
    <x v="0"/>
    <x v="0"/>
    <x v="3"/>
    <x v="0"/>
    <x v="0"/>
    <x v="2"/>
  </r>
  <r>
    <x v="115"/>
    <x v="12"/>
    <x v="902"/>
    <x v="0"/>
    <x v="0"/>
    <x v="3"/>
    <x v="0"/>
    <x v="0"/>
    <x v="2"/>
  </r>
  <r>
    <x v="115"/>
    <x v="13"/>
    <x v="1066"/>
    <x v="0"/>
    <x v="0"/>
    <x v="3"/>
    <x v="0"/>
    <x v="0"/>
    <x v="2"/>
  </r>
  <r>
    <x v="115"/>
    <x v="14"/>
    <x v="1385"/>
    <x v="0"/>
    <x v="0"/>
    <x v="3"/>
    <x v="0"/>
    <x v="0"/>
    <x v="2"/>
  </r>
  <r>
    <x v="115"/>
    <x v="15"/>
    <x v="1506"/>
    <x v="0"/>
    <x v="0"/>
    <x v="3"/>
    <x v="0"/>
    <x v="0"/>
    <x v="2"/>
  </r>
  <r>
    <x v="115"/>
    <x v="16"/>
    <x v="1709"/>
    <x v="0"/>
    <x v="0"/>
    <x v="3"/>
    <x v="0"/>
    <x v="0"/>
    <x v="0"/>
  </r>
  <r>
    <x v="115"/>
    <x v="17"/>
    <x v="1803"/>
    <x v="0"/>
    <x v="0"/>
    <x v="3"/>
    <x v="0"/>
    <x v="0"/>
    <x v="0"/>
  </r>
  <r>
    <x v="115"/>
    <x v="18"/>
    <x v="1789"/>
    <x v="0"/>
    <x v="0"/>
    <x v="3"/>
    <x v="0"/>
    <x v="0"/>
    <x v="0"/>
  </r>
  <r>
    <x v="115"/>
    <x v="19"/>
    <x v="1618"/>
    <x v="0"/>
    <x v="0"/>
    <x v="3"/>
    <x v="0"/>
    <x v="0"/>
    <x v="0"/>
  </r>
  <r>
    <x v="115"/>
    <x v="20"/>
    <x v="1627"/>
    <x v="0"/>
    <x v="0"/>
    <x v="3"/>
    <x v="0"/>
    <x v="0"/>
    <x v="1"/>
  </r>
  <r>
    <x v="115"/>
    <x v="21"/>
    <x v="1736"/>
    <x v="0"/>
    <x v="0"/>
    <x v="3"/>
    <x v="0"/>
    <x v="0"/>
    <x v="1"/>
  </r>
  <r>
    <x v="115"/>
    <x v="22"/>
    <x v="1742"/>
    <x v="0"/>
    <x v="0"/>
    <x v="3"/>
    <x v="0"/>
    <x v="0"/>
    <x v="1"/>
  </r>
  <r>
    <x v="115"/>
    <x v="23"/>
    <x v="1582"/>
    <x v="0"/>
    <x v="0"/>
    <x v="3"/>
    <x v="0"/>
    <x v="0"/>
    <x v="1"/>
  </r>
  <r>
    <x v="116"/>
    <x v="0"/>
    <x v="1117"/>
    <x v="0"/>
    <x v="0"/>
    <x v="3"/>
    <x v="2"/>
    <x v="1"/>
    <x v="4"/>
  </r>
  <r>
    <x v="116"/>
    <x v="1"/>
    <x v="831"/>
    <x v="0"/>
    <x v="0"/>
    <x v="3"/>
    <x v="2"/>
    <x v="1"/>
    <x v="4"/>
  </r>
  <r>
    <x v="116"/>
    <x v="2"/>
    <x v="578"/>
    <x v="0"/>
    <x v="0"/>
    <x v="3"/>
    <x v="2"/>
    <x v="1"/>
    <x v="4"/>
  </r>
  <r>
    <x v="116"/>
    <x v="3"/>
    <x v="425"/>
    <x v="0"/>
    <x v="0"/>
    <x v="3"/>
    <x v="2"/>
    <x v="1"/>
    <x v="4"/>
  </r>
  <r>
    <x v="116"/>
    <x v="4"/>
    <x v="295"/>
    <x v="0"/>
    <x v="0"/>
    <x v="3"/>
    <x v="2"/>
    <x v="1"/>
    <x v="4"/>
  </r>
  <r>
    <x v="116"/>
    <x v="5"/>
    <x v="252"/>
    <x v="0"/>
    <x v="0"/>
    <x v="3"/>
    <x v="2"/>
    <x v="1"/>
    <x v="4"/>
  </r>
  <r>
    <x v="116"/>
    <x v="6"/>
    <x v="289"/>
    <x v="0"/>
    <x v="0"/>
    <x v="3"/>
    <x v="2"/>
    <x v="1"/>
    <x v="3"/>
  </r>
  <r>
    <x v="116"/>
    <x v="7"/>
    <x v="412"/>
    <x v="0"/>
    <x v="0"/>
    <x v="3"/>
    <x v="2"/>
    <x v="1"/>
    <x v="3"/>
  </r>
  <r>
    <x v="116"/>
    <x v="8"/>
    <x v="552"/>
    <x v="0"/>
    <x v="0"/>
    <x v="3"/>
    <x v="2"/>
    <x v="1"/>
    <x v="3"/>
  </r>
  <r>
    <x v="116"/>
    <x v="9"/>
    <x v="701"/>
    <x v="0"/>
    <x v="0"/>
    <x v="3"/>
    <x v="2"/>
    <x v="1"/>
    <x v="3"/>
  </r>
  <r>
    <x v="116"/>
    <x v="10"/>
    <x v="874"/>
    <x v="0"/>
    <x v="0"/>
    <x v="3"/>
    <x v="2"/>
    <x v="1"/>
    <x v="2"/>
  </r>
  <r>
    <x v="116"/>
    <x v="11"/>
    <x v="956"/>
    <x v="0"/>
    <x v="0"/>
    <x v="3"/>
    <x v="2"/>
    <x v="1"/>
    <x v="2"/>
  </r>
  <r>
    <x v="116"/>
    <x v="12"/>
    <x v="1014"/>
    <x v="0"/>
    <x v="0"/>
    <x v="3"/>
    <x v="2"/>
    <x v="1"/>
    <x v="2"/>
  </r>
  <r>
    <x v="116"/>
    <x v="13"/>
    <x v="1058"/>
    <x v="0"/>
    <x v="0"/>
    <x v="3"/>
    <x v="2"/>
    <x v="1"/>
    <x v="2"/>
  </r>
  <r>
    <x v="116"/>
    <x v="14"/>
    <x v="1245"/>
    <x v="0"/>
    <x v="0"/>
    <x v="3"/>
    <x v="2"/>
    <x v="1"/>
    <x v="2"/>
  </r>
  <r>
    <x v="116"/>
    <x v="15"/>
    <x v="1494"/>
    <x v="0"/>
    <x v="0"/>
    <x v="3"/>
    <x v="2"/>
    <x v="1"/>
    <x v="2"/>
  </r>
  <r>
    <x v="116"/>
    <x v="16"/>
    <x v="1557"/>
    <x v="0"/>
    <x v="0"/>
    <x v="3"/>
    <x v="2"/>
    <x v="1"/>
    <x v="0"/>
  </r>
  <r>
    <x v="116"/>
    <x v="17"/>
    <x v="1480"/>
    <x v="0"/>
    <x v="0"/>
    <x v="3"/>
    <x v="2"/>
    <x v="1"/>
    <x v="0"/>
  </r>
  <r>
    <x v="116"/>
    <x v="18"/>
    <x v="1634"/>
    <x v="0"/>
    <x v="0"/>
    <x v="3"/>
    <x v="2"/>
    <x v="1"/>
    <x v="0"/>
  </r>
  <r>
    <x v="116"/>
    <x v="19"/>
    <x v="1410"/>
    <x v="0"/>
    <x v="0"/>
    <x v="3"/>
    <x v="2"/>
    <x v="1"/>
    <x v="0"/>
  </r>
  <r>
    <x v="116"/>
    <x v="20"/>
    <x v="1582"/>
    <x v="0"/>
    <x v="0"/>
    <x v="3"/>
    <x v="2"/>
    <x v="1"/>
    <x v="1"/>
  </r>
  <r>
    <x v="116"/>
    <x v="21"/>
    <x v="1657"/>
    <x v="0"/>
    <x v="0"/>
    <x v="3"/>
    <x v="2"/>
    <x v="1"/>
    <x v="1"/>
  </r>
  <r>
    <x v="116"/>
    <x v="22"/>
    <x v="1670"/>
    <x v="0"/>
    <x v="0"/>
    <x v="3"/>
    <x v="2"/>
    <x v="1"/>
    <x v="1"/>
  </r>
  <r>
    <x v="116"/>
    <x v="23"/>
    <x v="1558"/>
    <x v="0"/>
    <x v="0"/>
    <x v="3"/>
    <x v="2"/>
    <x v="1"/>
    <x v="1"/>
  </r>
  <r>
    <x v="117"/>
    <x v="0"/>
    <x v="1174"/>
    <x v="0"/>
    <x v="0"/>
    <x v="3"/>
    <x v="3"/>
    <x v="1"/>
    <x v="4"/>
  </r>
  <r>
    <x v="117"/>
    <x v="1"/>
    <x v="904"/>
    <x v="0"/>
    <x v="0"/>
    <x v="3"/>
    <x v="3"/>
    <x v="1"/>
    <x v="4"/>
  </r>
  <r>
    <x v="117"/>
    <x v="2"/>
    <x v="712"/>
    <x v="0"/>
    <x v="0"/>
    <x v="3"/>
    <x v="3"/>
    <x v="1"/>
    <x v="4"/>
  </r>
  <r>
    <x v="117"/>
    <x v="3"/>
    <x v="545"/>
    <x v="0"/>
    <x v="0"/>
    <x v="3"/>
    <x v="3"/>
    <x v="1"/>
    <x v="4"/>
  </r>
  <r>
    <x v="117"/>
    <x v="4"/>
    <x v="245"/>
    <x v="0"/>
    <x v="0"/>
    <x v="3"/>
    <x v="3"/>
    <x v="1"/>
    <x v="4"/>
  </r>
  <r>
    <x v="117"/>
    <x v="5"/>
    <x v="204"/>
    <x v="0"/>
    <x v="0"/>
    <x v="3"/>
    <x v="3"/>
    <x v="1"/>
    <x v="4"/>
  </r>
  <r>
    <x v="117"/>
    <x v="6"/>
    <x v="245"/>
    <x v="0"/>
    <x v="0"/>
    <x v="3"/>
    <x v="3"/>
    <x v="1"/>
    <x v="3"/>
  </r>
  <r>
    <x v="117"/>
    <x v="7"/>
    <x v="274"/>
    <x v="0"/>
    <x v="0"/>
    <x v="3"/>
    <x v="3"/>
    <x v="1"/>
    <x v="3"/>
  </r>
  <r>
    <x v="117"/>
    <x v="8"/>
    <x v="496"/>
    <x v="0"/>
    <x v="0"/>
    <x v="3"/>
    <x v="3"/>
    <x v="1"/>
    <x v="3"/>
  </r>
  <r>
    <x v="117"/>
    <x v="9"/>
    <x v="659"/>
    <x v="0"/>
    <x v="0"/>
    <x v="3"/>
    <x v="3"/>
    <x v="1"/>
    <x v="3"/>
  </r>
  <r>
    <x v="117"/>
    <x v="10"/>
    <x v="850"/>
    <x v="0"/>
    <x v="0"/>
    <x v="3"/>
    <x v="3"/>
    <x v="1"/>
    <x v="2"/>
  </r>
  <r>
    <x v="117"/>
    <x v="11"/>
    <x v="1051"/>
    <x v="0"/>
    <x v="0"/>
    <x v="3"/>
    <x v="3"/>
    <x v="1"/>
    <x v="2"/>
  </r>
  <r>
    <x v="117"/>
    <x v="12"/>
    <x v="1018"/>
    <x v="0"/>
    <x v="0"/>
    <x v="3"/>
    <x v="3"/>
    <x v="1"/>
    <x v="2"/>
  </r>
  <r>
    <x v="117"/>
    <x v="13"/>
    <x v="1164"/>
    <x v="0"/>
    <x v="0"/>
    <x v="3"/>
    <x v="3"/>
    <x v="1"/>
    <x v="2"/>
  </r>
  <r>
    <x v="117"/>
    <x v="14"/>
    <x v="1194"/>
    <x v="0"/>
    <x v="0"/>
    <x v="3"/>
    <x v="3"/>
    <x v="1"/>
    <x v="2"/>
  </r>
  <r>
    <x v="117"/>
    <x v="15"/>
    <x v="1278"/>
    <x v="0"/>
    <x v="0"/>
    <x v="3"/>
    <x v="3"/>
    <x v="1"/>
    <x v="2"/>
  </r>
  <r>
    <x v="117"/>
    <x v="16"/>
    <x v="1355"/>
    <x v="0"/>
    <x v="0"/>
    <x v="3"/>
    <x v="3"/>
    <x v="1"/>
    <x v="0"/>
  </r>
  <r>
    <x v="117"/>
    <x v="17"/>
    <x v="1297"/>
    <x v="0"/>
    <x v="0"/>
    <x v="3"/>
    <x v="3"/>
    <x v="1"/>
    <x v="0"/>
  </r>
  <r>
    <x v="117"/>
    <x v="18"/>
    <x v="1117"/>
    <x v="0"/>
    <x v="0"/>
    <x v="3"/>
    <x v="3"/>
    <x v="1"/>
    <x v="0"/>
  </r>
  <r>
    <x v="117"/>
    <x v="19"/>
    <x v="977"/>
    <x v="0"/>
    <x v="0"/>
    <x v="3"/>
    <x v="3"/>
    <x v="1"/>
    <x v="0"/>
  </r>
  <r>
    <x v="117"/>
    <x v="20"/>
    <x v="996"/>
    <x v="0"/>
    <x v="0"/>
    <x v="3"/>
    <x v="3"/>
    <x v="1"/>
    <x v="1"/>
  </r>
  <r>
    <x v="117"/>
    <x v="21"/>
    <x v="926"/>
    <x v="0"/>
    <x v="0"/>
    <x v="3"/>
    <x v="3"/>
    <x v="1"/>
    <x v="1"/>
  </r>
  <r>
    <x v="117"/>
    <x v="22"/>
    <x v="772"/>
    <x v="0"/>
    <x v="0"/>
    <x v="3"/>
    <x v="3"/>
    <x v="1"/>
    <x v="1"/>
  </r>
  <r>
    <x v="117"/>
    <x v="23"/>
    <x v="514"/>
    <x v="0"/>
    <x v="0"/>
    <x v="3"/>
    <x v="3"/>
    <x v="1"/>
    <x v="1"/>
  </r>
  <r>
    <x v="118"/>
    <x v="0"/>
    <x v="342"/>
    <x v="0"/>
    <x v="0"/>
    <x v="3"/>
    <x v="1"/>
    <x v="0"/>
    <x v="4"/>
  </r>
  <r>
    <x v="118"/>
    <x v="1"/>
    <x v="124"/>
    <x v="0"/>
    <x v="0"/>
    <x v="3"/>
    <x v="1"/>
    <x v="0"/>
    <x v="4"/>
  </r>
  <r>
    <x v="118"/>
    <x v="2"/>
    <x v="78"/>
    <x v="0"/>
    <x v="0"/>
    <x v="3"/>
    <x v="1"/>
    <x v="0"/>
    <x v="4"/>
  </r>
  <r>
    <x v="118"/>
    <x v="3"/>
    <x v="184"/>
    <x v="0"/>
    <x v="0"/>
    <x v="3"/>
    <x v="1"/>
    <x v="0"/>
    <x v="4"/>
  </r>
  <r>
    <x v="118"/>
    <x v="4"/>
    <x v="336"/>
    <x v="0"/>
    <x v="0"/>
    <x v="3"/>
    <x v="1"/>
    <x v="0"/>
    <x v="4"/>
  </r>
  <r>
    <x v="118"/>
    <x v="5"/>
    <x v="499"/>
    <x v="0"/>
    <x v="0"/>
    <x v="3"/>
    <x v="1"/>
    <x v="0"/>
    <x v="4"/>
  </r>
  <r>
    <x v="118"/>
    <x v="6"/>
    <x v="867"/>
    <x v="0"/>
    <x v="0"/>
    <x v="3"/>
    <x v="1"/>
    <x v="0"/>
    <x v="3"/>
  </r>
  <r>
    <x v="118"/>
    <x v="7"/>
    <x v="1102"/>
    <x v="0"/>
    <x v="0"/>
    <x v="3"/>
    <x v="1"/>
    <x v="0"/>
    <x v="3"/>
  </r>
  <r>
    <x v="118"/>
    <x v="8"/>
    <x v="1242"/>
    <x v="0"/>
    <x v="0"/>
    <x v="3"/>
    <x v="1"/>
    <x v="0"/>
    <x v="3"/>
  </r>
  <r>
    <x v="118"/>
    <x v="9"/>
    <x v="991"/>
    <x v="0"/>
    <x v="0"/>
    <x v="3"/>
    <x v="1"/>
    <x v="0"/>
    <x v="3"/>
  </r>
  <r>
    <x v="118"/>
    <x v="10"/>
    <x v="847"/>
    <x v="0"/>
    <x v="0"/>
    <x v="3"/>
    <x v="1"/>
    <x v="0"/>
    <x v="2"/>
  </r>
  <r>
    <x v="118"/>
    <x v="11"/>
    <x v="903"/>
    <x v="0"/>
    <x v="0"/>
    <x v="3"/>
    <x v="1"/>
    <x v="0"/>
    <x v="2"/>
  </r>
  <r>
    <x v="118"/>
    <x v="12"/>
    <x v="854"/>
    <x v="0"/>
    <x v="0"/>
    <x v="3"/>
    <x v="1"/>
    <x v="0"/>
    <x v="2"/>
  </r>
  <r>
    <x v="118"/>
    <x v="13"/>
    <x v="945"/>
    <x v="0"/>
    <x v="0"/>
    <x v="3"/>
    <x v="1"/>
    <x v="0"/>
    <x v="2"/>
  </r>
  <r>
    <x v="118"/>
    <x v="14"/>
    <x v="1098"/>
    <x v="0"/>
    <x v="0"/>
    <x v="3"/>
    <x v="1"/>
    <x v="0"/>
    <x v="2"/>
  </r>
  <r>
    <x v="118"/>
    <x v="15"/>
    <x v="1130"/>
    <x v="0"/>
    <x v="0"/>
    <x v="3"/>
    <x v="1"/>
    <x v="0"/>
    <x v="2"/>
  </r>
  <r>
    <x v="118"/>
    <x v="16"/>
    <x v="1398"/>
    <x v="0"/>
    <x v="0"/>
    <x v="3"/>
    <x v="1"/>
    <x v="0"/>
    <x v="0"/>
  </r>
  <r>
    <x v="118"/>
    <x v="17"/>
    <x v="1606"/>
    <x v="0"/>
    <x v="0"/>
    <x v="3"/>
    <x v="1"/>
    <x v="0"/>
    <x v="0"/>
  </r>
  <r>
    <x v="118"/>
    <x v="18"/>
    <x v="1501"/>
    <x v="0"/>
    <x v="0"/>
    <x v="3"/>
    <x v="1"/>
    <x v="0"/>
    <x v="0"/>
  </r>
  <r>
    <x v="118"/>
    <x v="19"/>
    <x v="1368"/>
    <x v="0"/>
    <x v="0"/>
    <x v="3"/>
    <x v="1"/>
    <x v="0"/>
    <x v="0"/>
  </r>
  <r>
    <x v="118"/>
    <x v="20"/>
    <x v="1340"/>
    <x v="0"/>
    <x v="0"/>
    <x v="3"/>
    <x v="1"/>
    <x v="0"/>
    <x v="1"/>
  </r>
  <r>
    <x v="118"/>
    <x v="21"/>
    <x v="1143"/>
    <x v="0"/>
    <x v="0"/>
    <x v="3"/>
    <x v="1"/>
    <x v="0"/>
    <x v="1"/>
  </r>
  <r>
    <x v="118"/>
    <x v="22"/>
    <x v="845"/>
    <x v="0"/>
    <x v="0"/>
    <x v="3"/>
    <x v="1"/>
    <x v="0"/>
    <x v="1"/>
  </r>
  <r>
    <x v="118"/>
    <x v="23"/>
    <x v="486"/>
    <x v="0"/>
    <x v="0"/>
    <x v="3"/>
    <x v="1"/>
    <x v="0"/>
    <x v="1"/>
  </r>
  <r>
    <x v="119"/>
    <x v="0"/>
    <x v="232"/>
    <x v="0"/>
    <x v="0"/>
    <x v="3"/>
    <x v="5"/>
    <x v="0"/>
    <x v="4"/>
  </r>
  <r>
    <x v="119"/>
    <x v="1"/>
    <x v="102"/>
    <x v="0"/>
    <x v="0"/>
    <x v="3"/>
    <x v="5"/>
    <x v="0"/>
    <x v="4"/>
  </r>
  <r>
    <x v="119"/>
    <x v="2"/>
    <x v="65"/>
    <x v="0"/>
    <x v="0"/>
    <x v="3"/>
    <x v="5"/>
    <x v="0"/>
    <x v="4"/>
  </r>
  <r>
    <x v="119"/>
    <x v="3"/>
    <x v="132"/>
    <x v="0"/>
    <x v="0"/>
    <x v="3"/>
    <x v="5"/>
    <x v="0"/>
    <x v="4"/>
  </r>
  <r>
    <x v="119"/>
    <x v="4"/>
    <x v="251"/>
    <x v="0"/>
    <x v="0"/>
    <x v="3"/>
    <x v="5"/>
    <x v="0"/>
    <x v="4"/>
  </r>
  <r>
    <x v="119"/>
    <x v="5"/>
    <x v="526"/>
    <x v="0"/>
    <x v="0"/>
    <x v="3"/>
    <x v="5"/>
    <x v="0"/>
    <x v="4"/>
  </r>
  <r>
    <x v="119"/>
    <x v="6"/>
    <x v="897"/>
    <x v="0"/>
    <x v="0"/>
    <x v="3"/>
    <x v="5"/>
    <x v="0"/>
    <x v="3"/>
  </r>
  <r>
    <x v="119"/>
    <x v="7"/>
    <x v="1214"/>
    <x v="0"/>
    <x v="0"/>
    <x v="3"/>
    <x v="5"/>
    <x v="0"/>
    <x v="3"/>
  </r>
  <r>
    <x v="119"/>
    <x v="8"/>
    <x v="1249"/>
    <x v="0"/>
    <x v="0"/>
    <x v="3"/>
    <x v="5"/>
    <x v="0"/>
    <x v="3"/>
  </r>
  <r>
    <x v="119"/>
    <x v="9"/>
    <x v="921"/>
    <x v="0"/>
    <x v="0"/>
    <x v="3"/>
    <x v="5"/>
    <x v="0"/>
    <x v="3"/>
  </r>
  <r>
    <x v="119"/>
    <x v="10"/>
    <x v="941"/>
    <x v="0"/>
    <x v="0"/>
    <x v="3"/>
    <x v="5"/>
    <x v="0"/>
    <x v="2"/>
  </r>
  <r>
    <x v="119"/>
    <x v="11"/>
    <x v="905"/>
    <x v="0"/>
    <x v="0"/>
    <x v="3"/>
    <x v="5"/>
    <x v="0"/>
    <x v="2"/>
  </r>
  <r>
    <x v="119"/>
    <x v="12"/>
    <x v="876"/>
    <x v="0"/>
    <x v="0"/>
    <x v="3"/>
    <x v="5"/>
    <x v="0"/>
    <x v="2"/>
  </r>
  <r>
    <x v="119"/>
    <x v="13"/>
    <x v="975"/>
    <x v="0"/>
    <x v="0"/>
    <x v="3"/>
    <x v="5"/>
    <x v="0"/>
    <x v="2"/>
  </r>
  <r>
    <x v="119"/>
    <x v="14"/>
    <x v="1230"/>
    <x v="0"/>
    <x v="0"/>
    <x v="3"/>
    <x v="5"/>
    <x v="0"/>
    <x v="2"/>
  </r>
  <r>
    <x v="119"/>
    <x v="15"/>
    <x v="1443"/>
    <x v="0"/>
    <x v="0"/>
    <x v="3"/>
    <x v="5"/>
    <x v="0"/>
    <x v="2"/>
  </r>
  <r>
    <x v="119"/>
    <x v="16"/>
    <x v="1683"/>
    <x v="0"/>
    <x v="0"/>
    <x v="3"/>
    <x v="5"/>
    <x v="0"/>
    <x v="0"/>
  </r>
  <r>
    <x v="119"/>
    <x v="17"/>
    <x v="1974"/>
    <x v="0"/>
    <x v="0"/>
    <x v="3"/>
    <x v="5"/>
    <x v="0"/>
    <x v="0"/>
  </r>
  <r>
    <x v="119"/>
    <x v="18"/>
    <x v="1868"/>
    <x v="0"/>
    <x v="0"/>
    <x v="3"/>
    <x v="5"/>
    <x v="0"/>
    <x v="0"/>
  </r>
  <r>
    <x v="119"/>
    <x v="19"/>
    <x v="1741"/>
    <x v="0"/>
    <x v="0"/>
    <x v="3"/>
    <x v="5"/>
    <x v="0"/>
    <x v="0"/>
  </r>
  <r>
    <x v="119"/>
    <x v="20"/>
    <x v="1770"/>
    <x v="0"/>
    <x v="0"/>
    <x v="3"/>
    <x v="5"/>
    <x v="0"/>
    <x v="1"/>
  </r>
  <r>
    <x v="119"/>
    <x v="21"/>
    <x v="1569"/>
    <x v="0"/>
    <x v="0"/>
    <x v="3"/>
    <x v="5"/>
    <x v="0"/>
    <x v="1"/>
  </r>
  <r>
    <x v="119"/>
    <x v="22"/>
    <x v="1107"/>
    <x v="0"/>
    <x v="0"/>
    <x v="3"/>
    <x v="5"/>
    <x v="0"/>
    <x v="1"/>
  </r>
  <r>
    <x v="119"/>
    <x v="23"/>
    <x v="685"/>
    <x v="0"/>
    <x v="0"/>
    <x v="3"/>
    <x v="5"/>
    <x v="0"/>
    <x v="1"/>
  </r>
  <r>
    <x v="120"/>
    <x v="0"/>
    <x v="284"/>
    <x v="0"/>
    <x v="0"/>
    <x v="3"/>
    <x v="6"/>
    <x v="0"/>
    <x v="4"/>
  </r>
  <r>
    <x v="120"/>
    <x v="1"/>
    <x v="114"/>
    <x v="0"/>
    <x v="0"/>
    <x v="3"/>
    <x v="6"/>
    <x v="0"/>
    <x v="4"/>
  </r>
  <r>
    <x v="120"/>
    <x v="2"/>
    <x v="105"/>
    <x v="0"/>
    <x v="0"/>
    <x v="3"/>
    <x v="6"/>
    <x v="0"/>
    <x v="4"/>
  </r>
  <r>
    <x v="120"/>
    <x v="3"/>
    <x v="175"/>
    <x v="0"/>
    <x v="0"/>
    <x v="3"/>
    <x v="6"/>
    <x v="0"/>
    <x v="4"/>
  </r>
  <r>
    <x v="120"/>
    <x v="4"/>
    <x v="278"/>
    <x v="0"/>
    <x v="0"/>
    <x v="3"/>
    <x v="6"/>
    <x v="0"/>
    <x v="4"/>
  </r>
  <r>
    <x v="120"/>
    <x v="5"/>
    <x v="505"/>
    <x v="0"/>
    <x v="0"/>
    <x v="3"/>
    <x v="6"/>
    <x v="0"/>
    <x v="4"/>
  </r>
  <r>
    <x v="120"/>
    <x v="6"/>
    <x v="970"/>
    <x v="0"/>
    <x v="0"/>
    <x v="3"/>
    <x v="6"/>
    <x v="0"/>
    <x v="3"/>
  </r>
  <r>
    <x v="120"/>
    <x v="7"/>
    <x v="1267"/>
    <x v="0"/>
    <x v="0"/>
    <x v="3"/>
    <x v="6"/>
    <x v="0"/>
    <x v="3"/>
  </r>
  <r>
    <x v="120"/>
    <x v="8"/>
    <x v="1359"/>
    <x v="0"/>
    <x v="0"/>
    <x v="3"/>
    <x v="6"/>
    <x v="0"/>
    <x v="3"/>
  </r>
  <r>
    <x v="120"/>
    <x v="9"/>
    <x v="1098"/>
    <x v="0"/>
    <x v="0"/>
    <x v="3"/>
    <x v="6"/>
    <x v="0"/>
    <x v="3"/>
  </r>
  <r>
    <x v="120"/>
    <x v="10"/>
    <x v="1034"/>
    <x v="0"/>
    <x v="0"/>
    <x v="3"/>
    <x v="6"/>
    <x v="0"/>
    <x v="2"/>
  </r>
  <r>
    <x v="120"/>
    <x v="11"/>
    <x v="996"/>
    <x v="0"/>
    <x v="0"/>
    <x v="3"/>
    <x v="6"/>
    <x v="0"/>
    <x v="2"/>
  </r>
  <r>
    <x v="120"/>
    <x v="12"/>
    <x v="1073"/>
    <x v="0"/>
    <x v="0"/>
    <x v="3"/>
    <x v="6"/>
    <x v="0"/>
    <x v="2"/>
  </r>
  <r>
    <x v="120"/>
    <x v="13"/>
    <x v="1112"/>
    <x v="0"/>
    <x v="0"/>
    <x v="3"/>
    <x v="6"/>
    <x v="0"/>
    <x v="2"/>
  </r>
  <r>
    <x v="120"/>
    <x v="14"/>
    <x v="1355"/>
    <x v="0"/>
    <x v="0"/>
    <x v="3"/>
    <x v="6"/>
    <x v="0"/>
    <x v="2"/>
  </r>
  <r>
    <x v="120"/>
    <x v="15"/>
    <x v="1594"/>
    <x v="0"/>
    <x v="0"/>
    <x v="3"/>
    <x v="6"/>
    <x v="0"/>
    <x v="2"/>
  </r>
  <r>
    <x v="120"/>
    <x v="16"/>
    <x v="1876"/>
    <x v="0"/>
    <x v="0"/>
    <x v="3"/>
    <x v="6"/>
    <x v="0"/>
    <x v="0"/>
  </r>
  <r>
    <x v="120"/>
    <x v="17"/>
    <x v="2072"/>
    <x v="0"/>
    <x v="0"/>
    <x v="3"/>
    <x v="6"/>
    <x v="0"/>
    <x v="0"/>
  </r>
  <r>
    <x v="120"/>
    <x v="18"/>
    <x v="1975"/>
    <x v="0"/>
    <x v="0"/>
    <x v="3"/>
    <x v="6"/>
    <x v="0"/>
    <x v="0"/>
  </r>
  <r>
    <x v="120"/>
    <x v="19"/>
    <x v="1837"/>
    <x v="0"/>
    <x v="0"/>
    <x v="3"/>
    <x v="6"/>
    <x v="0"/>
    <x v="0"/>
  </r>
  <r>
    <x v="120"/>
    <x v="20"/>
    <x v="1914"/>
    <x v="0"/>
    <x v="0"/>
    <x v="3"/>
    <x v="6"/>
    <x v="0"/>
    <x v="1"/>
  </r>
  <r>
    <x v="120"/>
    <x v="21"/>
    <x v="1806"/>
    <x v="0"/>
    <x v="0"/>
    <x v="3"/>
    <x v="6"/>
    <x v="0"/>
    <x v="1"/>
  </r>
  <r>
    <x v="120"/>
    <x v="22"/>
    <x v="1436"/>
    <x v="0"/>
    <x v="0"/>
    <x v="3"/>
    <x v="6"/>
    <x v="0"/>
    <x v="1"/>
  </r>
  <r>
    <x v="120"/>
    <x v="23"/>
    <x v="821"/>
    <x v="0"/>
    <x v="0"/>
    <x v="3"/>
    <x v="6"/>
    <x v="0"/>
    <x v="1"/>
  </r>
  <r>
    <x v="121"/>
    <x v="0"/>
    <x v="409"/>
    <x v="0"/>
    <x v="0"/>
    <x v="3"/>
    <x v="4"/>
    <x v="0"/>
    <x v="4"/>
  </r>
  <r>
    <x v="121"/>
    <x v="1"/>
    <x v="206"/>
    <x v="0"/>
    <x v="0"/>
    <x v="3"/>
    <x v="4"/>
    <x v="0"/>
    <x v="4"/>
  </r>
  <r>
    <x v="121"/>
    <x v="2"/>
    <x v="146"/>
    <x v="0"/>
    <x v="0"/>
    <x v="3"/>
    <x v="4"/>
    <x v="0"/>
    <x v="4"/>
  </r>
  <r>
    <x v="121"/>
    <x v="3"/>
    <x v="217"/>
    <x v="0"/>
    <x v="0"/>
    <x v="3"/>
    <x v="4"/>
    <x v="0"/>
    <x v="4"/>
  </r>
  <r>
    <x v="121"/>
    <x v="4"/>
    <x v="335"/>
    <x v="0"/>
    <x v="0"/>
    <x v="3"/>
    <x v="4"/>
    <x v="0"/>
    <x v="4"/>
  </r>
  <r>
    <x v="121"/>
    <x v="5"/>
    <x v="509"/>
    <x v="0"/>
    <x v="0"/>
    <x v="3"/>
    <x v="4"/>
    <x v="0"/>
    <x v="4"/>
  </r>
  <r>
    <x v="121"/>
    <x v="6"/>
    <x v="970"/>
    <x v="0"/>
    <x v="0"/>
    <x v="3"/>
    <x v="4"/>
    <x v="0"/>
    <x v="3"/>
  </r>
  <r>
    <x v="121"/>
    <x v="7"/>
    <x v="1321"/>
    <x v="0"/>
    <x v="0"/>
    <x v="3"/>
    <x v="4"/>
    <x v="0"/>
    <x v="3"/>
  </r>
  <r>
    <x v="121"/>
    <x v="8"/>
    <x v="1291"/>
    <x v="0"/>
    <x v="0"/>
    <x v="3"/>
    <x v="4"/>
    <x v="0"/>
    <x v="3"/>
  </r>
  <r>
    <x v="121"/>
    <x v="9"/>
    <x v="1111"/>
    <x v="0"/>
    <x v="0"/>
    <x v="3"/>
    <x v="4"/>
    <x v="0"/>
    <x v="3"/>
  </r>
  <r>
    <x v="121"/>
    <x v="10"/>
    <x v="1013"/>
    <x v="0"/>
    <x v="0"/>
    <x v="3"/>
    <x v="4"/>
    <x v="0"/>
    <x v="2"/>
  </r>
  <r>
    <x v="121"/>
    <x v="11"/>
    <x v="987"/>
    <x v="0"/>
    <x v="0"/>
    <x v="3"/>
    <x v="4"/>
    <x v="0"/>
    <x v="2"/>
  </r>
  <r>
    <x v="121"/>
    <x v="12"/>
    <x v="1015"/>
    <x v="0"/>
    <x v="0"/>
    <x v="3"/>
    <x v="4"/>
    <x v="0"/>
    <x v="2"/>
  </r>
  <r>
    <x v="121"/>
    <x v="13"/>
    <x v="1216"/>
    <x v="0"/>
    <x v="0"/>
    <x v="3"/>
    <x v="4"/>
    <x v="0"/>
    <x v="2"/>
  </r>
  <r>
    <x v="121"/>
    <x v="14"/>
    <x v="1445"/>
    <x v="0"/>
    <x v="0"/>
    <x v="3"/>
    <x v="4"/>
    <x v="0"/>
    <x v="2"/>
  </r>
  <r>
    <x v="121"/>
    <x v="15"/>
    <x v="1733"/>
    <x v="0"/>
    <x v="0"/>
    <x v="3"/>
    <x v="4"/>
    <x v="0"/>
    <x v="2"/>
  </r>
  <r>
    <x v="121"/>
    <x v="16"/>
    <x v="1890"/>
    <x v="0"/>
    <x v="0"/>
    <x v="3"/>
    <x v="4"/>
    <x v="0"/>
    <x v="0"/>
  </r>
  <r>
    <x v="121"/>
    <x v="17"/>
    <x v="2109"/>
    <x v="0"/>
    <x v="0"/>
    <x v="3"/>
    <x v="4"/>
    <x v="0"/>
    <x v="0"/>
  </r>
  <r>
    <x v="121"/>
    <x v="18"/>
    <x v="2149"/>
    <x v="0"/>
    <x v="0"/>
    <x v="3"/>
    <x v="4"/>
    <x v="0"/>
    <x v="0"/>
  </r>
  <r>
    <x v="121"/>
    <x v="19"/>
    <x v="2081"/>
    <x v="0"/>
    <x v="0"/>
    <x v="3"/>
    <x v="4"/>
    <x v="0"/>
    <x v="0"/>
  </r>
  <r>
    <x v="121"/>
    <x v="20"/>
    <x v="2106"/>
    <x v="0"/>
    <x v="0"/>
    <x v="3"/>
    <x v="4"/>
    <x v="0"/>
    <x v="1"/>
  </r>
  <r>
    <x v="121"/>
    <x v="21"/>
    <x v="1976"/>
    <x v="0"/>
    <x v="0"/>
    <x v="3"/>
    <x v="4"/>
    <x v="0"/>
    <x v="1"/>
  </r>
  <r>
    <x v="121"/>
    <x v="22"/>
    <x v="1852"/>
    <x v="0"/>
    <x v="0"/>
    <x v="3"/>
    <x v="4"/>
    <x v="0"/>
    <x v="1"/>
  </r>
  <r>
    <x v="121"/>
    <x v="23"/>
    <x v="1249"/>
    <x v="0"/>
    <x v="0"/>
    <x v="3"/>
    <x v="4"/>
    <x v="0"/>
    <x v="1"/>
  </r>
  <r>
    <x v="122"/>
    <x v="0"/>
    <x v="632"/>
    <x v="0"/>
    <x v="0"/>
    <x v="4"/>
    <x v="0"/>
    <x v="0"/>
    <x v="4"/>
  </r>
  <r>
    <x v="122"/>
    <x v="1"/>
    <x v="369"/>
    <x v="0"/>
    <x v="0"/>
    <x v="4"/>
    <x v="0"/>
    <x v="0"/>
    <x v="4"/>
  </r>
  <r>
    <x v="122"/>
    <x v="2"/>
    <x v="215"/>
    <x v="0"/>
    <x v="0"/>
    <x v="4"/>
    <x v="0"/>
    <x v="0"/>
    <x v="4"/>
  </r>
  <r>
    <x v="122"/>
    <x v="3"/>
    <x v="241"/>
    <x v="0"/>
    <x v="0"/>
    <x v="4"/>
    <x v="0"/>
    <x v="0"/>
    <x v="4"/>
  </r>
  <r>
    <x v="122"/>
    <x v="4"/>
    <x v="330"/>
    <x v="0"/>
    <x v="0"/>
    <x v="4"/>
    <x v="0"/>
    <x v="0"/>
    <x v="4"/>
  </r>
  <r>
    <x v="122"/>
    <x v="5"/>
    <x v="512"/>
    <x v="0"/>
    <x v="0"/>
    <x v="4"/>
    <x v="0"/>
    <x v="0"/>
    <x v="4"/>
  </r>
  <r>
    <x v="122"/>
    <x v="6"/>
    <x v="820"/>
    <x v="0"/>
    <x v="0"/>
    <x v="4"/>
    <x v="0"/>
    <x v="0"/>
    <x v="3"/>
  </r>
  <r>
    <x v="122"/>
    <x v="7"/>
    <x v="1178"/>
    <x v="0"/>
    <x v="0"/>
    <x v="4"/>
    <x v="0"/>
    <x v="0"/>
    <x v="3"/>
  </r>
  <r>
    <x v="122"/>
    <x v="8"/>
    <x v="1207"/>
    <x v="0"/>
    <x v="0"/>
    <x v="4"/>
    <x v="0"/>
    <x v="0"/>
    <x v="3"/>
  </r>
  <r>
    <x v="122"/>
    <x v="9"/>
    <x v="1035"/>
    <x v="0"/>
    <x v="0"/>
    <x v="4"/>
    <x v="0"/>
    <x v="0"/>
    <x v="3"/>
  </r>
  <r>
    <x v="122"/>
    <x v="10"/>
    <x v="993"/>
    <x v="0"/>
    <x v="0"/>
    <x v="4"/>
    <x v="0"/>
    <x v="0"/>
    <x v="2"/>
  </r>
  <r>
    <x v="122"/>
    <x v="11"/>
    <x v="965"/>
    <x v="0"/>
    <x v="0"/>
    <x v="4"/>
    <x v="0"/>
    <x v="0"/>
    <x v="2"/>
  </r>
  <r>
    <x v="122"/>
    <x v="12"/>
    <x v="971"/>
    <x v="0"/>
    <x v="0"/>
    <x v="4"/>
    <x v="0"/>
    <x v="0"/>
    <x v="2"/>
  </r>
  <r>
    <x v="122"/>
    <x v="13"/>
    <x v="1265"/>
    <x v="0"/>
    <x v="0"/>
    <x v="4"/>
    <x v="0"/>
    <x v="0"/>
    <x v="2"/>
  </r>
  <r>
    <x v="122"/>
    <x v="14"/>
    <x v="1431"/>
    <x v="0"/>
    <x v="0"/>
    <x v="4"/>
    <x v="0"/>
    <x v="0"/>
    <x v="2"/>
  </r>
  <r>
    <x v="122"/>
    <x v="15"/>
    <x v="1698"/>
    <x v="0"/>
    <x v="0"/>
    <x v="4"/>
    <x v="0"/>
    <x v="0"/>
    <x v="2"/>
  </r>
  <r>
    <x v="122"/>
    <x v="16"/>
    <x v="1864"/>
    <x v="0"/>
    <x v="0"/>
    <x v="4"/>
    <x v="0"/>
    <x v="0"/>
    <x v="0"/>
  </r>
  <r>
    <x v="122"/>
    <x v="17"/>
    <x v="1953"/>
    <x v="0"/>
    <x v="0"/>
    <x v="4"/>
    <x v="0"/>
    <x v="0"/>
    <x v="0"/>
  </r>
  <r>
    <x v="122"/>
    <x v="18"/>
    <x v="1922"/>
    <x v="0"/>
    <x v="0"/>
    <x v="4"/>
    <x v="0"/>
    <x v="0"/>
    <x v="0"/>
  </r>
  <r>
    <x v="122"/>
    <x v="19"/>
    <x v="1862"/>
    <x v="0"/>
    <x v="0"/>
    <x v="4"/>
    <x v="0"/>
    <x v="0"/>
    <x v="0"/>
  </r>
  <r>
    <x v="122"/>
    <x v="20"/>
    <x v="1729"/>
    <x v="0"/>
    <x v="0"/>
    <x v="4"/>
    <x v="0"/>
    <x v="0"/>
    <x v="1"/>
  </r>
  <r>
    <x v="122"/>
    <x v="21"/>
    <x v="1804"/>
    <x v="0"/>
    <x v="0"/>
    <x v="4"/>
    <x v="0"/>
    <x v="0"/>
    <x v="1"/>
  </r>
  <r>
    <x v="122"/>
    <x v="22"/>
    <x v="1956"/>
    <x v="0"/>
    <x v="0"/>
    <x v="4"/>
    <x v="0"/>
    <x v="0"/>
    <x v="1"/>
  </r>
  <r>
    <x v="122"/>
    <x v="23"/>
    <x v="1619"/>
    <x v="0"/>
    <x v="0"/>
    <x v="4"/>
    <x v="0"/>
    <x v="0"/>
    <x v="1"/>
  </r>
  <r>
    <x v="123"/>
    <x v="0"/>
    <x v="1198"/>
    <x v="0"/>
    <x v="0"/>
    <x v="4"/>
    <x v="2"/>
    <x v="1"/>
    <x v="4"/>
  </r>
  <r>
    <x v="123"/>
    <x v="1"/>
    <x v="884"/>
    <x v="0"/>
    <x v="0"/>
    <x v="4"/>
    <x v="2"/>
    <x v="1"/>
    <x v="4"/>
  </r>
  <r>
    <x v="123"/>
    <x v="2"/>
    <x v="550"/>
    <x v="0"/>
    <x v="0"/>
    <x v="4"/>
    <x v="2"/>
    <x v="1"/>
    <x v="4"/>
  </r>
  <r>
    <x v="123"/>
    <x v="3"/>
    <x v="443"/>
    <x v="0"/>
    <x v="0"/>
    <x v="4"/>
    <x v="2"/>
    <x v="1"/>
    <x v="4"/>
  </r>
  <r>
    <x v="123"/>
    <x v="4"/>
    <x v="325"/>
    <x v="0"/>
    <x v="0"/>
    <x v="4"/>
    <x v="2"/>
    <x v="1"/>
    <x v="4"/>
  </r>
  <r>
    <x v="123"/>
    <x v="5"/>
    <x v="335"/>
    <x v="0"/>
    <x v="0"/>
    <x v="4"/>
    <x v="2"/>
    <x v="1"/>
    <x v="4"/>
  </r>
  <r>
    <x v="123"/>
    <x v="6"/>
    <x v="382"/>
    <x v="0"/>
    <x v="0"/>
    <x v="4"/>
    <x v="2"/>
    <x v="1"/>
    <x v="3"/>
  </r>
  <r>
    <x v="123"/>
    <x v="7"/>
    <x v="463"/>
    <x v="0"/>
    <x v="0"/>
    <x v="4"/>
    <x v="2"/>
    <x v="1"/>
    <x v="3"/>
  </r>
  <r>
    <x v="123"/>
    <x v="8"/>
    <x v="617"/>
    <x v="0"/>
    <x v="0"/>
    <x v="4"/>
    <x v="2"/>
    <x v="1"/>
    <x v="3"/>
  </r>
  <r>
    <x v="123"/>
    <x v="9"/>
    <x v="694"/>
    <x v="0"/>
    <x v="0"/>
    <x v="4"/>
    <x v="2"/>
    <x v="1"/>
    <x v="3"/>
  </r>
  <r>
    <x v="123"/>
    <x v="10"/>
    <x v="760"/>
    <x v="0"/>
    <x v="0"/>
    <x v="4"/>
    <x v="2"/>
    <x v="1"/>
    <x v="2"/>
  </r>
  <r>
    <x v="123"/>
    <x v="11"/>
    <x v="843"/>
    <x v="0"/>
    <x v="0"/>
    <x v="4"/>
    <x v="2"/>
    <x v="1"/>
    <x v="2"/>
  </r>
  <r>
    <x v="123"/>
    <x v="12"/>
    <x v="940"/>
    <x v="0"/>
    <x v="0"/>
    <x v="4"/>
    <x v="2"/>
    <x v="1"/>
    <x v="2"/>
  </r>
  <r>
    <x v="123"/>
    <x v="13"/>
    <x v="994"/>
    <x v="0"/>
    <x v="0"/>
    <x v="4"/>
    <x v="2"/>
    <x v="1"/>
    <x v="2"/>
  </r>
  <r>
    <x v="123"/>
    <x v="14"/>
    <x v="1231"/>
    <x v="0"/>
    <x v="0"/>
    <x v="4"/>
    <x v="2"/>
    <x v="1"/>
    <x v="2"/>
  </r>
  <r>
    <x v="123"/>
    <x v="15"/>
    <x v="1457"/>
    <x v="0"/>
    <x v="0"/>
    <x v="4"/>
    <x v="2"/>
    <x v="1"/>
    <x v="2"/>
  </r>
  <r>
    <x v="123"/>
    <x v="16"/>
    <x v="1535"/>
    <x v="0"/>
    <x v="0"/>
    <x v="4"/>
    <x v="2"/>
    <x v="1"/>
    <x v="0"/>
  </r>
  <r>
    <x v="123"/>
    <x v="17"/>
    <x v="1583"/>
    <x v="0"/>
    <x v="0"/>
    <x v="4"/>
    <x v="2"/>
    <x v="1"/>
    <x v="0"/>
  </r>
  <r>
    <x v="123"/>
    <x v="18"/>
    <x v="1736"/>
    <x v="0"/>
    <x v="0"/>
    <x v="4"/>
    <x v="2"/>
    <x v="1"/>
    <x v="0"/>
  </r>
  <r>
    <x v="123"/>
    <x v="19"/>
    <x v="1661"/>
    <x v="0"/>
    <x v="0"/>
    <x v="4"/>
    <x v="2"/>
    <x v="1"/>
    <x v="0"/>
  </r>
  <r>
    <x v="123"/>
    <x v="20"/>
    <x v="1633"/>
    <x v="0"/>
    <x v="0"/>
    <x v="4"/>
    <x v="2"/>
    <x v="1"/>
    <x v="1"/>
  </r>
  <r>
    <x v="123"/>
    <x v="21"/>
    <x v="1739"/>
    <x v="0"/>
    <x v="0"/>
    <x v="4"/>
    <x v="2"/>
    <x v="1"/>
    <x v="1"/>
  </r>
  <r>
    <x v="123"/>
    <x v="22"/>
    <x v="1850"/>
    <x v="0"/>
    <x v="0"/>
    <x v="4"/>
    <x v="2"/>
    <x v="1"/>
    <x v="1"/>
  </r>
  <r>
    <x v="123"/>
    <x v="23"/>
    <x v="1604"/>
    <x v="0"/>
    <x v="0"/>
    <x v="4"/>
    <x v="2"/>
    <x v="1"/>
    <x v="1"/>
  </r>
  <r>
    <x v="124"/>
    <x v="0"/>
    <x v="1395"/>
    <x v="0"/>
    <x v="0"/>
    <x v="4"/>
    <x v="3"/>
    <x v="1"/>
    <x v="4"/>
  </r>
  <r>
    <x v="124"/>
    <x v="1"/>
    <x v="993"/>
    <x v="0"/>
    <x v="0"/>
    <x v="4"/>
    <x v="3"/>
    <x v="1"/>
    <x v="4"/>
  </r>
  <r>
    <x v="124"/>
    <x v="2"/>
    <x v="634"/>
    <x v="0"/>
    <x v="0"/>
    <x v="4"/>
    <x v="3"/>
    <x v="1"/>
    <x v="4"/>
  </r>
  <r>
    <x v="124"/>
    <x v="3"/>
    <x v="474"/>
    <x v="0"/>
    <x v="0"/>
    <x v="4"/>
    <x v="3"/>
    <x v="1"/>
    <x v="4"/>
  </r>
  <r>
    <x v="124"/>
    <x v="4"/>
    <x v="238"/>
    <x v="0"/>
    <x v="0"/>
    <x v="4"/>
    <x v="3"/>
    <x v="1"/>
    <x v="4"/>
  </r>
  <r>
    <x v="124"/>
    <x v="5"/>
    <x v="254"/>
    <x v="0"/>
    <x v="0"/>
    <x v="4"/>
    <x v="3"/>
    <x v="1"/>
    <x v="4"/>
  </r>
  <r>
    <x v="124"/>
    <x v="6"/>
    <x v="246"/>
    <x v="0"/>
    <x v="0"/>
    <x v="4"/>
    <x v="3"/>
    <x v="1"/>
    <x v="3"/>
  </r>
  <r>
    <x v="124"/>
    <x v="7"/>
    <x v="386"/>
    <x v="0"/>
    <x v="0"/>
    <x v="4"/>
    <x v="3"/>
    <x v="1"/>
    <x v="3"/>
  </r>
  <r>
    <x v="124"/>
    <x v="8"/>
    <x v="466"/>
    <x v="0"/>
    <x v="0"/>
    <x v="4"/>
    <x v="3"/>
    <x v="1"/>
    <x v="3"/>
  </r>
  <r>
    <x v="124"/>
    <x v="9"/>
    <x v="630"/>
    <x v="0"/>
    <x v="0"/>
    <x v="4"/>
    <x v="3"/>
    <x v="1"/>
    <x v="3"/>
  </r>
  <r>
    <x v="124"/>
    <x v="10"/>
    <x v="890"/>
    <x v="0"/>
    <x v="0"/>
    <x v="4"/>
    <x v="3"/>
    <x v="1"/>
    <x v="2"/>
  </r>
  <r>
    <x v="124"/>
    <x v="11"/>
    <x v="1002"/>
    <x v="0"/>
    <x v="0"/>
    <x v="4"/>
    <x v="3"/>
    <x v="1"/>
    <x v="2"/>
  </r>
  <r>
    <x v="124"/>
    <x v="12"/>
    <x v="994"/>
    <x v="0"/>
    <x v="0"/>
    <x v="4"/>
    <x v="3"/>
    <x v="1"/>
    <x v="2"/>
  </r>
  <r>
    <x v="124"/>
    <x v="13"/>
    <x v="1026"/>
    <x v="0"/>
    <x v="0"/>
    <x v="4"/>
    <x v="3"/>
    <x v="1"/>
    <x v="2"/>
  </r>
  <r>
    <x v="124"/>
    <x v="14"/>
    <x v="1146"/>
    <x v="0"/>
    <x v="0"/>
    <x v="4"/>
    <x v="3"/>
    <x v="1"/>
    <x v="2"/>
  </r>
  <r>
    <x v="124"/>
    <x v="15"/>
    <x v="1261"/>
    <x v="0"/>
    <x v="0"/>
    <x v="4"/>
    <x v="3"/>
    <x v="1"/>
    <x v="2"/>
  </r>
  <r>
    <x v="124"/>
    <x v="16"/>
    <x v="1422"/>
    <x v="0"/>
    <x v="0"/>
    <x v="4"/>
    <x v="3"/>
    <x v="1"/>
    <x v="0"/>
  </r>
  <r>
    <x v="124"/>
    <x v="17"/>
    <x v="1393"/>
    <x v="0"/>
    <x v="0"/>
    <x v="4"/>
    <x v="3"/>
    <x v="1"/>
    <x v="0"/>
  </r>
  <r>
    <x v="124"/>
    <x v="18"/>
    <x v="1175"/>
    <x v="0"/>
    <x v="0"/>
    <x v="4"/>
    <x v="3"/>
    <x v="1"/>
    <x v="0"/>
  </r>
  <r>
    <x v="124"/>
    <x v="19"/>
    <x v="1105"/>
    <x v="0"/>
    <x v="0"/>
    <x v="4"/>
    <x v="3"/>
    <x v="1"/>
    <x v="0"/>
  </r>
  <r>
    <x v="124"/>
    <x v="20"/>
    <x v="1125"/>
    <x v="0"/>
    <x v="0"/>
    <x v="4"/>
    <x v="3"/>
    <x v="1"/>
    <x v="1"/>
  </r>
  <r>
    <x v="124"/>
    <x v="21"/>
    <x v="1001"/>
    <x v="0"/>
    <x v="0"/>
    <x v="4"/>
    <x v="3"/>
    <x v="1"/>
    <x v="1"/>
  </r>
  <r>
    <x v="124"/>
    <x v="22"/>
    <x v="741"/>
    <x v="0"/>
    <x v="0"/>
    <x v="4"/>
    <x v="3"/>
    <x v="1"/>
    <x v="1"/>
  </r>
  <r>
    <x v="124"/>
    <x v="23"/>
    <x v="469"/>
    <x v="0"/>
    <x v="0"/>
    <x v="4"/>
    <x v="3"/>
    <x v="1"/>
    <x v="1"/>
  </r>
  <r>
    <x v="125"/>
    <x v="0"/>
    <x v="228"/>
    <x v="0"/>
    <x v="0"/>
    <x v="4"/>
    <x v="1"/>
    <x v="0"/>
    <x v="4"/>
  </r>
  <r>
    <x v="125"/>
    <x v="1"/>
    <x v="94"/>
    <x v="0"/>
    <x v="0"/>
    <x v="4"/>
    <x v="1"/>
    <x v="0"/>
    <x v="4"/>
  </r>
  <r>
    <x v="125"/>
    <x v="2"/>
    <x v="57"/>
    <x v="0"/>
    <x v="0"/>
    <x v="4"/>
    <x v="1"/>
    <x v="0"/>
    <x v="4"/>
  </r>
  <r>
    <x v="125"/>
    <x v="3"/>
    <x v="232"/>
    <x v="0"/>
    <x v="0"/>
    <x v="4"/>
    <x v="1"/>
    <x v="0"/>
    <x v="4"/>
  </r>
  <r>
    <x v="125"/>
    <x v="4"/>
    <x v="343"/>
    <x v="0"/>
    <x v="0"/>
    <x v="4"/>
    <x v="1"/>
    <x v="0"/>
    <x v="4"/>
  </r>
  <r>
    <x v="125"/>
    <x v="5"/>
    <x v="591"/>
    <x v="0"/>
    <x v="0"/>
    <x v="4"/>
    <x v="1"/>
    <x v="0"/>
    <x v="4"/>
  </r>
  <r>
    <x v="125"/>
    <x v="6"/>
    <x v="995"/>
    <x v="0"/>
    <x v="0"/>
    <x v="4"/>
    <x v="1"/>
    <x v="0"/>
    <x v="3"/>
  </r>
  <r>
    <x v="125"/>
    <x v="7"/>
    <x v="1285"/>
    <x v="0"/>
    <x v="0"/>
    <x v="4"/>
    <x v="1"/>
    <x v="0"/>
    <x v="3"/>
  </r>
  <r>
    <x v="125"/>
    <x v="8"/>
    <x v="1214"/>
    <x v="0"/>
    <x v="0"/>
    <x v="4"/>
    <x v="1"/>
    <x v="0"/>
    <x v="3"/>
  </r>
  <r>
    <x v="125"/>
    <x v="9"/>
    <x v="910"/>
    <x v="0"/>
    <x v="0"/>
    <x v="4"/>
    <x v="1"/>
    <x v="0"/>
    <x v="3"/>
  </r>
  <r>
    <x v="125"/>
    <x v="10"/>
    <x v="896"/>
    <x v="0"/>
    <x v="0"/>
    <x v="4"/>
    <x v="1"/>
    <x v="0"/>
    <x v="2"/>
  </r>
  <r>
    <x v="125"/>
    <x v="11"/>
    <x v="870"/>
    <x v="0"/>
    <x v="0"/>
    <x v="4"/>
    <x v="1"/>
    <x v="0"/>
    <x v="2"/>
  </r>
  <r>
    <x v="125"/>
    <x v="12"/>
    <x v="808"/>
    <x v="0"/>
    <x v="0"/>
    <x v="4"/>
    <x v="1"/>
    <x v="0"/>
    <x v="2"/>
  </r>
  <r>
    <x v="125"/>
    <x v="13"/>
    <x v="989"/>
    <x v="0"/>
    <x v="0"/>
    <x v="4"/>
    <x v="1"/>
    <x v="0"/>
    <x v="2"/>
  </r>
  <r>
    <x v="125"/>
    <x v="14"/>
    <x v="1147"/>
    <x v="0"/>
    <x v="0"/>
    <x v="4"/>
    <x v="1"/>
    <x v="0"/>
    <x v="2"/>
  </r>
  <r>
    <x v="125"/>
    <x v="15"/>
    <x v="1289"/>
    <x v="0"/>
    <x v="0"/>
    <x v="4"/>
    <x v="1"/>
    <x v="0"/>
    <x v="2"/>
  </r>
  <r>
    <x v="125"/>
    <x v="16"/>
    <x v="1539"/>
    <x v="0"/>
    <x v="0"/>
    <x v="4"/>
    <x v="1"/>
    <x v="0"/>
    <x v="0"/>
  </r>
  <r>
    <x v="125"/>
    <x v="17"/>
    <x v="1698"/>
    <x v="0"/>
    <x v="0"/>
    <x v="4"/>
    <x v="1"/>
    <x v="0"/>
    <x v="0"/>
  </r>
  <r>
    <x v="125"/>
    <x v="18"/>
    <x v="1593"/>
    <x v="0"/>
    <x v="0"/>
    <x v="4"/>
    <x v="1"/>
    <x v="0"/>
    <x v="0"/>
  </r>
  <r>
    <x v="125"/>
    <x v="19"/>
    <x v="1421"/>
    <x v="0"/>
    <x v="0"/>
    <x v="4"/>
    <x v="1"/>
    <x v="0"/>
    <x v="0"/>
  </r>
  <r>
    <x v="125"/>
    <x v="20"/>
    <x v="1383"/>
    <x v="0"/>
    <x v="0"/>
    <x v="4"/>
    <x v="1"/>
    <x v="0"/>
    <x v="1"/>
  </r>
  <r>
    <x v="125"/>
    <x v="21"/>
    <x v="1170"/>
    <x v="0"/>
    <x v="0"/>
    <x v="4"/>
    <x v="1"/>
    <x v="0"/>
    <x v="1"/>
  </r>
  <r>
    <x v="125"/>
    <x v="22"/>
    <x v="843"/>
    <x v="0"/>
    <x v="0"/>
    <x v="4"/>
    <x v="1"/>
    <x v="0"/>
    <x v="1"/>
  </r>
  <r>
    <x v="125"/>
    <x v="23"/>
    <x v="527"/>
    <x v="0"/>
    <x v="0"/>
    <x v="4"/>
    <x v="1"/>
    <x v="0"/>
    <x v="1"/>
  </r>
  <r>
    <x v="126"/>
    <x v="0"/>
    <x v="234"/>
    <x v="0"/>
    <x v="0"/>
    <x v="4"/>
    <x v="5"/>
    <x v="0"/>
    <x v="4"/>
  </r>
  <r>
    <x v="126"/>
    <x v="1"/>
    <x v="115"/>
    <x v="0"/>
    <x v="0"/>
    <x v="4"/>
    <x v="5"/>
    <x v="0"/>
    <x v="4"/>
  </r>
  <r>
    <x v="126"/>
    <x v="2"/>
    <x v="65"/>
    <x v="0"/>
    <x v="0"/>
    <x v="4"/>
    <x v="5"/>
    <x v="0"/>
    <x v="4"/>
  </r>
  <r>
    <x v="126"/>
    <x v="3"/>
    <x v="144"/>
    <x v="0"/>
    <x v="0"/>
    <x v="4"/>
    <x v="5"/>
    <x v="0"/>
    <x v="4"/>
  </r>
  <r>
    <x v="126"/>
    <x v="4"/>
    <x v="273"/>
    <x v="0"/>
    <x v="0"/>
    <x v="4"/>
    <x v="5"/>
    <x v="0"/>
    <x v="4"/>
  </r>
  <r>
    <x v="126"/>
    <x v="5"/>
    <x v="538"/>
    <x v="0"/>
    <x v="0"/>
    <x v="4"/>
    <x v="5"/>
    <x v="0"/>
    <x v="4"/>
  </r>
  <r>
    <x v="126"/>
    <x v="6"/>
    <x v="895"/>
    <x v="0"/>
    <x v="0"/>
    <x v="4"/>
    <x v="5"/>
    <x v="0"/>
    <x v="3"/>
  </r>
  <r>
    <x v="126"/>
    <x v="7"/>
    <x v="1297"/>
    <x v="0"/>
    <x v="0"/>
    <x v="4"/>
    <x v="5"/>
    <x v="0"/>
    <x v="3"/>
  </r>
  <r>
    <x v="126"/>
    <x v="8"/>
    <x v="1264"/>
    <x v="0"/>
    <x v="0"/>
    <x v="4"/>
    <x v="5"/>
    <x v="0"/>
    <x v="3"/>
  </r>
  <r>
    <x v="126"/>
    <x v="9"/>
    <x v="993"/>
    <x v="0"/>
    <x v="0"/>
    <x v="4"/>
    <x v="5"/>
    <x v="0"/>
    <x v="3"/>
  </r>
  <r>
    <x v="126"/>
    <x v="10"/>
    <x v="937"/>
    <x v="0"/>
    <x v="0"/>
    <x v="4"/>
    <x v="5"/>
    <x v="0"/>
    <x v="2"/>
  </r>
  <r>
    <x v="126"/>
    <x v="11"/>
    <x v="993"/>
    <x v="0"/>
    <x v="0"/>
    <x v="4"/>
    <x v="5"/>
    <x v="0"/>
    <x v="2"/>
  </r>
  <r>
    <x v="126"/>
    <x v="12"/>
    <x v="957"/>
    <x v="0"/>
    <x v="0"/>
    <x v="4"/>
    <x v="5"/>
    <x v="0"/>
    <x v="2"/>
  </r>
  <r>
    <x v="126"/>
    <x v="13"/>
    <x v="1047"/>
    <x v="0"/>
    <x v="0"/>
    <x v="4"/>
    <x v="5"/>
    <x v="0"/>
    <x v="2"/>
  </r>
  <r>
    <x v="126"/>
    <x v="14"/>
    <x v="1341"/>
    <x v="0"/>
    <x v="0"/>
    <x v="4"/>
    <x v="5"/>
    <x v="0"/>
    <x v="2"/>
  </r>
  <r>
    <x v="126"/>
    <x v="15"/>
    <x v="1514"/>
    <x v="0"/>
    <x v="0"/>
    <x v="4"/>
    <x v="5"/>
    <x v="0"/>
    <x v="2"/>
  </r>
  <r>
    <x v="126"/>
    <x v="16"/>
    <x v="1759"/>
    <x v="0"/>
    <x v="0"/>
    <x v="4"/>
    <x v="5"/>
    <x v="0"/>
    <x v="0"/>
  </r>
  <r>
    <x v="126"/>
    <x v="17"/>
    <x v="1928"/>
    <x v="0"/>
    <x v="0"/>
    <x v="4"/>
    <x v="5"/>
    <x v="0"/>
    <x v="0"/>
  </r>
  <r>
    <x v="126"/>
    <x v="18"/>
    <x v="1802"/>
    <x v="0"/>
    <x v="0"/>
    <x v="4"/>
    <x v="5"/>
    <x v="0"/>
    <x v="0"/>
  </r>
  <r>
    <x v="126"/>
    <x v="19"/>
    <x v="1687"/>
    <x v="0"/>
    <x v="0"/>
    <x v="4"/>
    <x v="5"/>
    <x v="0"/>
    <x v="0"/>
  </r>
  <r>
    <x v="126"/>
    <x v="20"/>
    <x v="1735"/>
    <x v="0"/>
    <x v="0"/>
    <x v="4"/>
    <x v="5"/>
    <x v="0"/>
    <x v="1"/>
  </r>
  <r>
    <x v="126"/>
    <x v="21"/>
    <x v="1574"/>
    <x v="0"/>
    <x v="0"/>
    <x v="4"/>
    <x v="5"/>
    <x v="0"/>
    <x v="1"/>
  </r>
  <r>
    <x v="126"/>
    <x v="22"/>
    <x v="1148"/>
    <x v="0"/>
    <x v="0"/>
    <x v="4"/>
    <x v="5"/>
    <x v="0"/>
    <x v="1"/>
  </r>
  <r>
    <x v="126"/>
    <x v="23"/>
    <x v="639"/>
    <x v="0"/>
    <x v="0"/>
    <x v="4"/>
    <x v="5"/>
    <x v="0"/>
    <x v="1"/>
  </r>
  <r>
    <x v="127"/>
    <x v="0"/>
    <x v="308"/>
    <x v="0"/>
    <x v="0"/>
    <x v="4"/>
    <x v="6"/>
    <x v="0"/>
    <x v="4"/>
  </r>
  <r>
    <x v="127"/>
    <x v="1"/>
    <x v="141"/>
    <x v="0"/>
    <x v="0"/>
    <x v="4"/>
    <x v="6"/>
    <x v="0"/>
    <x v="4"/>
  </r>
  <r>
    <x v="127"/>
    <x v="2"/>
    <x v="106"/>
    <x v="0"/>
    <x v="0"/>
    <x v="4"/>
    <x v="6"/>
    <x v="0"/>
    <x v="4"/>
  </r>
  <r>
    <x v="127"/>
    <x v="3"/>
    <x v="197"/>
    <x v="0"/>
    <x v="0"/>
    <x v="4"/>
    <x v="6"/>
    <x v="0"/>
    <x v="4"/>
  </r>
  <r>
    <x v="127"/>
    <x v="4"/>
    <x v="330"/>
    <x v="0"/>
    <x v="0"/>
    <x v="4"/>
    <x v="6"/>
    <x v="0"/>
    <x v="4"/>
  </r>
  <r>
    <x v="127"/>
    <x v="5"/>
    <x v="607"/>
    <x v="0"/>
    <x v="0"/>
    <x v="4"/>
    <x v="6"/>
    <x v="0"/>
    <x v="4"/>
  </r>
  <r>
    <x v="127"/>
    <x v="6"/>
    <x v="1012"/>
    <x v="0"/>
    <x v="0"/>
    <x v="4"/>
    <x v="6"/>
    <x v="0"/>
    <x v="3"/>
  </r>
  <r>
    <x v="127"/>
    <x v="7"/>
    <x v="1380"/>
    <x v="0"/>
    <x v="0"/>
    <x v="4"/>
    <x v="6"/>
    <x v="0"/>
    <x v="3"/>
  </r>
  <r>
    <x v="127"/>
    <x v="8"/>
    <x v="1324"/>
    <x v="0"/>
    <x v="0"/>
    <x v="4"/>
    <x v="6"/>
    <x v="0"/>
    <x v="3"/>
  </r>
  <r>
    <x v="127"/>
    <x v="9"/>
    <x v="1066"/>
    <x v="0"/>
    <x v="0"/>
    <x v="4"/>
    <x v="6"/>
    <x v="0"/>
    <x v="3"/>
  </r>
  <r>
    <x v="127"/>
    <x v="10"/>
    <x v="988"/>
    <x v="0"/>
    <x v="0"/>
    <x v="4"/>
    <x v="6"/>
    <x v="0"/>
    <x v="2"/>
  </r>
  <r>
    <x v="127"/>
    <x v="11"/>
    <x v="1051"/>
    <x v="0"/>
    <x v="0"/>
    <x v="4"/>
    <x v="6"/>
    <x v="0"/>
    <x v="2"/>
  </r>
  <r>
    <x v="127"/>
    <x v="12"/>
    <x v="1024"/>
    <x v="0"/>
    <x v="0"/>
    <x v="4"/>
    <x v="6"/>
    <x v="0"/>
    <x v="2"/>
  </r>
  <r>
    <x v="127"/>
    <x v="13"/>
    <x v="1101"/>
    <x v="0"/>
    <x v="0"/>
    <x v="4"/>
    <x v="6"/>
    <x v="0"/>
    <x v="2"/>
  </r>
  <r>
    <x v="127"/>
    <x v="14"/>
    <x v="1319"/>
    <x v="0"/>
    <x v="0"/>
    <x v="4"/>
    <x v="6"/>
    <x v="0"/>
    <x v="2"/>
  </r>
  <r>
    <x v="127"/>
    <x v="15"/>
    <x v="1596"/>
    <x v="0"/>
    <x v="0"/>
    <x v="4"/>
    <x v="6"/>
    <x v="0"/>
    <x v="2"/>
  </r>
  <r>
    <x v="127"/>
    <x v="16"/>
    <x v="1816"/>
    <x v="0"/>
    <x v="0"/>
    <x v="4"/>
    <x v="6"/>
    <x v="0"/>
    <x v="0"/>
  </r>
  <r>
    <x v="127"/>
    <x v="17"/>
    <x v="2039"/>
    <x v="0"/>
    <x v="0"/>
    <x v="4"/>
    <x v="6"/>
    <x v="0"/>
    <x v="0"/>
  </r>
  <r>
    <x v="127"/>
    <x v="18"/>
    <x v="1898"/>
    <x v="0"/>
    <x v="0"/>
    <x v="4"/>
    <x v="6"/>
    <x v="0"/>
    <x v="0"/>
  </r>
  <r>
    <x v="127"/>
    <x v="19"/>
    <x v="1818"/>
    <x v="0"/>
    <x v="0"/>
    <x v="4"/>
    <x v="6"/>
    <x v="0"/>
    <x v="0"/>
  </r>
  <r>
    <x v="127"/>
    <x v="20"/>
    <x v="1851"/>
    <x v="0"/>
    <x v="0"/>
    <x v="4"/>
    <x v="6"/>
    <x v="0"/>
    <x v="1"/>
  </r>
  <r>
    <x v="127"/>
    <x v="21"/>
    <x v="1787"/>
    <x v="0"/>
    <x v="0"/>
    <x v="4"/>
    <x v="6"/>
    <x v="0"/>
    <x v="1"/>
  </r>
  <r>
    <x v="127"/>
    <x v="22"/>
    <x v="1399"/>
    <x v="0"/>
    <x v="0"/>
    <x v="4"/>
    <x v="6"/>
    <x v="0"/>
    <x v="1"/>
  </r>
  <r>
    <x v="127"/>
    <x v="23"/>
    <x v="762"/>
    <x v="0"/>
    <x v="0"/>
    <x v="4"/>
    <x v="6"/>
    <x v="0"/>
    <x v="1"/>
  </r>
  <r>
    <x v="128"/>
    <x v="0"/>
    <x v="393"/>
    <x v="0"/>
    <x v="0"/>
    <x v="4"/>
    <x v="4"/>
    <x v="0"/>
    <x v="4"/>
  </r>
  <r>
    <x v="128"/>
    <x v="1"/>
    <x v="196"/>
    <x v="0"/>
    <x v="0"/>
    <x v="4"/>
    <x v="4"/>
    <x v="0"/>
    <x v="4"/>
  </r>
  <r>
    <x v="128"/>
    <x v="2"/>
    <x v="119"/>
    <x v="0"/>
    <x v="0"/>
    <x v="4"/>
    <x v="4"/>
    <x v="0"/>
    <x v="4"/>
  </r>
  <r>
    <x v="128"/>
    <x v="3"/>
    <x v="219"/>
    <x v="0"/>
    <x v="0"/>
    <x v="4"/>
    <x v="4"/>
    <x v="0"/>
    <x v="4"/>
  </r>
  <r>
    <x v="128"/>
    <x v="4"/>
    <x v="358"/>
    <x v="0"/>
    <x v="0"/>
    <x v="4"/>
    <x v="4"/>
    <x v="0"/>
    <x v="4"/>
  </r>
  <r>
    <x v="128"/>
    <x v="5"/>
    <x v="584"/>
    <x v="0"/>
    <x v="0"/>
    <x v="4"/>
    <x v="4"/>
    <x v="0"/>
    <x v="4"/>
  </r>
  <r>
    <x v="128"/>
    <x v="6"/>
    <x v="942"/>
    <x v="0"/>
    <x v="0"/>
    <x v="4"/>
    <x v="4"/>
    <x v="0"/>
    <x v="3"/>
  </r>
  <r>
    <x v="128"/>
    <x v="7"/>
    <x v="1291"/>
    <x v="0"/>
    <x v="0"/>
    <x v="4"/>
    <x v="4"/>
    <x v="0"/>
    <x v="3"/>
  </r>
  <r>
    <x v="128"/>
    <x v="8"/>
    <x v="1312"/>
    <x v="0"/>
    <x v="0"/>
    <x v="4"/>
    <x v="4"/>
    <x v="0"/>
    <x v="3"/>
  </r>
  <r>
    <x v="128"/>
    <x v="9"/>
    <x v="1038"/>
    <x v="0"/>
    <x v="0"/>
    <x v="4"/>
    <x v="4"/>
    <x v="0"/>
    <x v="3"/>
  </r>
  <r>
    <x v="128"/>
    <x v="10"/>
    <x v="1033"/>
    <x v="0"/>
    <x v="0"/>
    <x v="4"/>
    <x v="4"/>
    <x v="0"/>
    <x v="2"/>
  </r>
  <r>
    <x v="128"/>
    <x v="11"/>
    <x v="1101"/>
    <x v="0"/>
    <x v="0"/>
    <x v="4"/>
    <x v="4"/>
    <x v="0"/>
    <x v="2"/>
  </r>
  <r>
    <x v="128"/>
    <x v="12"/>
    <x v="1039"/>
    <x v="0"/>
    <x v="0"/>
    <x v="4"/>
    <x v="4"/>
    <x v="0"/>
    <x v="2"/>
  </r>
  <r>
    <x v="128"/>
    <x v="13"/>
    <x v="1151"/>
    <x v="0"/>
    <x v="0"/>
    <x v="4"/>
    <x v="4"/>
    <x v="0"/>
    <x v="2"/>
  </r>
  <r>
    <x v="128"/>
    <x v="14"/>
    <x v="1406"/>
    <x v="0"/>
    <x v="0"/>
    <x v="4"/>
    <x v="4"/>
    <x v="0"/>
    <x v="2"/>
  </r>
  <r>
    <x v="128"/>
    <x v="15"/>
    <x v="1645"/>
    <x v="0"/>
    <x v="0"/>
    <x v="4"/>
    <x v="4"/>
    <x v="0"/>
    <x v="2"/>
  </r>
  <r>
    <x v="128"/>
    <x v="16"/>
    <x v="1874"/>
    <x v="0"/>
    <x v="0"/>
    <x v="4"/>
    <x v="4"/>
    <x v="0"/>
    <x v="0"/>
  </r>
  <r>
    <x v="128"/>
    <x v="17"/>
    <x v="2067"/>
    <x v="0"/>
    <x v="0"/>
    <x v="4"/>
    <x v="4"/>
    <x v="0"/>
    <x v="0"/>
  </r>
  <r>
    <x v="128"/>
    <x v="18"/>
    <x v="2080"/>
    <x v="0"/>
    <x v="0"/>
    <x v="4"/>
    <x v="4"/>
    <x v="0"/>
    <x v="0"/>
  </r>
  <r>
    <x v="128"/>
    <x v="19"/>
    <x v="1953"/>
    <x v="0"/>
    <x v="0"/>
    <x v="4"/>
    <x v="4"/>
    <x v="0"/>
    <x v="0"/>
  </r>
  <r>
    <x v="128"/>
    <x v="20"/>
    <x v="1998"/>
    <x v="0"/>
    <x v="0"/>
    <x v="4"/>
    <x v="4"/>
    <x v="0"/>
    <x v="1"/>
  </r>
  <r>
    <x v="128"/>
    <x v="21"/>
    <x v="1966"/>
    <x v="0"/>
    <x v="0"/>
    <x v="4"/>
    <x v="4"/>
    <x v="0"/>
    <x v="1"/>
  </r>
  <r>
    <x v="128"/>
    <x v="22"/>
    <x v="1784"/>
    <x v="0"/>
    <x v="0"/>
    <x v="4"/>
    <x v="4"/>
    <x v="0"/>
    <x v="1"/>
  </r>
  <r>
    <x v="128"/>
    <x v="23"/>
    <x v="1215"/>
    <x v="0"/>
    <x v="0"/>
    <x v="4"/>
    <x v="4"/>
    <x v="0"/>
    <x v="1"/>
  </r>
  <r>
    <x v="129"/>
    <x v="0"/>
    <x v="599"/>
    <x v="0"/>
    <x v="0"/>
    <x v="4"/>
    <x v="0"/>
    <x v="0"/>
    <x v="4"/>
  </r>
  <r>
    <x v="129"/>
    <x v="1"/>
    <x v="322"/>
    <x v="0"/>
    <x v="0"/>
    <x v="4"/>
    <x v="0"/>
    <x v="0"/>
    <x v="4"/>
  </r>
  <r>
    <x v="129"/>
    <x v="2"/>
    <x v="214"/>
    <x v="0"/>
    <x v="0"/>
    <x v="4"/>
    <x v="0"/>
    <x v="0"/>
    <x v="4"/>
  </r>
  <r>
    <x v="129"/>
    <x v="3"/>
    <x v="285"/>
    <x v="0"/>
    <x v="0"/>
    <x v="4"/>
    <x v="0"/>
    <x v="0"/>
    <x v="4"/>
  </r>
  <r>
    <x v="129"/>
    <x v="4"/>
    <x v="385"/>
    <x v="0"/>
    <x v="0"/>
    <x v="4"/>
    <x v="0"/>
    <x v="0"/>
    <x v="4"/>
  </r>
  <r>
    <x v="129"/>
    <x v="5"/>
    <x v="546"/>
    <x v="0"/>
    <x v="0"/>
    <x v="4"/>
    <x v="0"/>
    <x v="0"/>
    <x v="4"/>
  </r>
  <r>
    <x v="129"/>
    <x v="6"/>
    <x v="857"/>
    <x v="0"/>
    <x v="0"/>
    <x v="4"/>
    <x v="0"/>
    <x v="0"/>
    <x v="3"/>
  </r>
  <r>
    <x v="129"/>
    <x v="7"/>
    <x v="1236"/>
    <x v="0"/>
    <x v="0"/>
    <x v="4"/>
    <x v="0"/>
    <x v="0"/>
    <x v="3"/>
  </r>
  <r>
    <x v="129"/>
    <x v="8"/>
    <x v="1224"/>
    <x v="0"/>
    <x v="0"/>
    <x v="4"/>
    <x v="0"/>
    <x v="0"/>
    <x v="3"/>
  </r>
  <r>
    <x v="129"/>
    <x v="9"/>
    <x v="989"/>
    <x v="0"/>
    <x v="0"/>
    <x v="4"/>
    <x v="0"/>
    <x v="0"/>
    <x v="3"/>
  </r>
  <r>
    <x v="129"/>
    <x v="10"/>
    <x v="964"/>
    <x v="0"/>
    <x v="0"/>
    <x v="4"/>
    <x v="0"/>
    <x v="0"/>
    <x v="2"/>
  </r>
  <r>
    <x v="129"/>
    <x v="11"/>
    <x v="966"/>
    <x v="0"/>
    <x v="0"/>
    <x v="4"/>
    <x v="0"/>
    <x v="0"/>
    <x v="2"/>
  </r>
  <r>
    <x v="129"/>
    <x v="12"/>
    <x v="922"/>
    <x v="0"/>
    <x v="0"/>
    <x v="4"/>
    <x v="0"/>
    <x v="0"/>
    <x v="2"/>
  </r>
  <r>
    <x v="129"/>
    <x v="13"/>
    <x v="1135"/>
    <x v="0"/>
    <x v="0"/>
    <x v="4"/>
    <x v="0"/>
    <x v="0"/>
    <x v="2"/>
  </r>
  <r>
    <x v="129"/>
    <x v="14"/>
    <x v="1226"/>
    <x v="0"/>
    <x v="0"/>
    <x v="4"/>
    <x v="0"/>
    <x v="0"/>
    <x v="2"/>
  </r>
  <r>
    <x v="129"/>
    <x v="15"/>
    <x v="1587"/>
    <x v="0"/>
    <x v="0"/>
    <x v="4"/>
    <x v="0"/>
    <x v="0"/>
    <x v="2"/>
  </r>
  <r>
    <x v="129"/>
    <x v="16"/>
    <x v="1688"/>
    <x v="0"/>
    <x v="0"/>
    <x v="4"/>
    <x v="0"/>
    <x v="0"/>
    <x v="0"/>
  </r>
  <r>
    <x v="129"/>
    <x v="17"/>
    <x v="1794"/>
    <x v="0"/>
    <x v="0"/>
    <x v="4"/>
    <x v="0"/>
    <x v="0"/>
    <x v="0"/>
  </r>
  <r>
    <x v="129"/>
    <x v="18"/>
    <x v="1771"/>
    <x v="0"/>
    <x v="0"/>
    <x v="4"/>
    <x v="0"/>
    <x v="0"/>
    <x v="0"/>
  </r>
  <r>
    <x v="129"/>
    <x v="19"/>
    <x v="1779"/>
    <x v="0"/>
    <x v="0"/>
    <x v="4"/>
    <x v="0"/>
    <x v="0"/>
    <x v="0"/>
  </r>
  <r>
    <x v="129"/>
    <x v="20"/>
    <x v="1576"/>
    <x v="0"/>
    <x v="0"/>
    <x v="4"/>
    <x v="0"/>
    <x v="0"/>
    <x v="1"/>
  </r>
  <r>
    <x v="129"/>
    <x v="21"/>
    <x v="1734"/>
    <x v="0"/>
    <x v="0"/>
    <x v="4"/>
    <x v="0"/>
    <x v="0"/>
    <x v="1"/>
  </r>
  <r>
    <x v="129"/>
    <x v="22"/>
    <x v="1783"/>
    <x v="0"/>
    <x v="0"/>
    <x v="4"/>
    <x v="0"/>
    <x v="0"/>
    <x v="1"/>
  </r>
  <r>
    <x v="129"/>
    <x v="23"/>
    <x v="1488"/>
    <x v="0"/>
    <x v="0"/>
    <x v="4"/>
    <x v="0"/>
    <x v="0"/>
    <x v="1"/>
  </r>
  <r>
    <x v="130"/>
    <x v="0"/>
    <x v="1120"/>
    <x v="0"/>
    <x v="0"/>
    <x v="4"/>
    <x v="2"/>
    <x v="1"/>
    <x v="4"/>
  </r>
  <r>
    <x v="130"/>
    <x v="1"/>
    <x v="750"/>
    <x v="0"/>
    <x v="0"/>
    <x v="4"/>
    <x v="2"/>
    <x v="1"/>
    <x v="4"/>
  </r>
  <r>
    <x v="130"/>
    <x v="2"/>
    <x v="525"/>
    <x v="0"/>
    <x v="0"/>
    <x v="4"/>
    <x v="2"/>
    <x v="1"/>
    <x v="4"/>
  </r>
  <r>
    <x v="130"/>
    <x v="3"/>
    <x v="379"/>
    <x v="0"/>
    <x v="0"/>
    <x v="4"/>
    <x v="2"/>
    <x v="1"/>
    <x v="4"/>
  </r>
  <r>
    <x v="130"/>
    <x v="4"/>
    <x v="255"/>
    <x v="0"/>
    <x v="0"/>
    <x v="4"/>
    <x v="2"/>
    <x v="1"/>
    <x v="4"/>
  </r>
  <r>
    <x v="130"/>
    <x v="5"/>
    <x v="262"/>
    <x v="0"/>
    <x v="0"/>
    <x v="4"/>
    <x v="2"/>
    <x v="1"/>
    <x v="4"/>
  </r>
  <r>
    <x v="130"/>
    <x v="6"/>
    <x v="298"/>
    <x v="0"/>
    <x v="0"/>
    <x v="4"/>
    <x v="2"/>
    <x v="1"/>
    <x v="3"/>
  </r>
  <r>
    <x v="130"/>
    <x v="7"/>
    <x v="399"/>
    <x v="0"/>
    <x v="0"/>
    <x v="4"/>
    <x v="2"/>
    <x v="1"/>
    <x v="3"/>
  </r>
  <r>
    <x v="130"/>
    <x v="8"/>
    <x v="465"/>
    <x v="0"/>
    <x v="0"/>
    <x v="4"/>
    <x v="2"/>
    <x v="1"/>
    <x v="3"/>
  </r>
  <r>
    <x v="130"/>
    <x v="9"/>
    <x v="590"/>
    <x v="0"/>
    <x v="0"/>
    <x v="4"/>
    <x v="2"/>
    <x v="1"/>
    <x v="3"/>
  </r>
  <r>
    <x v="130"/>
    <x v="10"/>
    <x v="690"/>
    <x v="0"/>
    <x v="0"/>
    <x v="4"/>
    <x v="2"/>
    <x v="1"/>
    <x v="2"/>
  </r>
  <r>
    <x v="130"/>
    <x v="11"/>
    <x v="767"/>
    <x v="0"/>
    <x v="0"/>
    <x v="4"/>
    <x v="2"/>
    <x v="1"/>
    <x v="2"/>
  </r>
  <r>
    <x v="130"/>
    <x v="12"/>
    <x v="908"/>
    <x v="0"/>
    <x v="0"/>
    <x v="4"/>
    <x v="2"/>
    <x v="1"/>
    <x v="2"/>
  </r>
  <r>
    <x v="130"/>
    <x v="13"/>
    <x v="989"/>
    <x v="0"/>
    <x v="0"/>
    <x v="4"/>
    <x v="2"/>
    <x v="1"/>
    <x v="2"/>
  </r>
  <r>
    <x v="130"/>
    <x v="14"/>
    <x v="1126"/>
    <x v="0"/>
    <x v="0"/>
    <x v="4"/>
    <x v="2"/>
    <x v="1"/>
    <x v="2"/>
  </r>
  <r>
    <x v="130"/>
    <x v="15"/>
    <x v="1336"/>
    <x v="0"/>
    <x v="0"/>
    <x v="4"/>
    <x v="2"/>
    <x v="1"/>
    <x v="2"/>
  </r>
  <r>
    <x v="130"/>
    <x v="16"/>
    <x v="1435"/>
    <x v="0"/>
    <x v="0"/>
    <x v="4"/>
    <x v="2"/>
    <x v="1"/>
    <x v="0"/>
  </r>
  <r>
    <x v="130"/>
    <x v="17"/>
    <x v="1573"/>
    <x v="0"/>
    <x v="0"/>
    <x v="4"/>
    <x v="2"/>
    <x v="1"/>
    <x v="0"/>
  </r>
  <r>
    <x v="130"/>
    <x v="18"/>
    <x v="1638"/>
    <x v="0"/>
    <x v="0"/>
    <x v="4"/>
    <x v="2"/>
    <x v="1"/>
    <x v="0"/>
  </r>
  <r>
    <x v="130"/>
    <x v="19"/>
    <x v="1472"/>
    <x v="0"/>
    <x v="0"/>
    <x v="4"/>
    <x v="2"/>
    <x v="1"/>
    <x v="0"/>
  </r>
  <r>
    <x v="130"/>
    <x v="20"/>
    <x v="1482"/>
    <x v="0"/>
    <x v="0"/>
    <x v="4"/>
    <x v="2"/>
    <x v="1"/>
    <x v="1"/>
  </r>
  <r>
    <x v="130"/>
    <x v="21"/>
    <x v="1603"/>
    <x v="0"/>
    <x v="0"/>
    <x v="4"/>
    <x v="2"/>
    <x v="1"/>
    <x v="1"/>
  </r>
  <r>
    <x v="130"/>
    <x v="22"/>
    <x v="1752"/>
    <x v="0"/>
    <x v="0"/>
    <x v="4"/>
    <x v="2"/>
    <x v="1"/>
    <x v="1"/>
  </r>
  <r>
    <x v="130"/>
    <x v="23"/>
    <x v="1479"/>
    <x v="0"/>
    <x v="0"/>
    <x v="4"/>
    <x v="2"/>
    <x v="1"/>
    <x v="1"/>
  </r>
  <r>
    <x v="131"/>
    <x v="0"/>
    <x v="1195"/>
    <x v="0"/>
    <x v="0"/>
    <x v="4"/>
    <x v="3"/>
    <x v="1"/>
    <x v="4"/>
  </r>
  <r>
    <x v="131"/>
    <x v="1"/>
    <x v="846"/>
    <x v="0"/>
    <x v="0"/>
    <x v="4"/>
    <x v="3"/>
    <x v="1"/>
    <x v="4"/>
  </r>
  <r>
    <x v="131"/>
    <x v="2"/>
    <x v="594"/>
    <x v="0"/>
    <x v="0"/>
    <x v="4"/>
    <x v="3"/>
    <x v="1"/>
    <x v="4"/>
  </r>
  <r>
    <x v="131"/>
    <x v="3"/>
    <x v="397"/>
    <x v="0"/>
    <x v="0"/>
    <x v="4"/>
    <x v="3"/>
    <x v="1"/>
    <x v="4"/>
  </r>
  <r>
    <x v="131"/>
    <x v="4"/>
    <x v="222"/>
    <x v="0"/>
    <x v="0"/>
    <x v="4"/>
    <x v="3"/>
    <x v="1"/>
    <x v="4"/>
  </r>
  <r>
    <x v="131"/>
    <x v="5"/>
    <x v="197"/>
    <x v="0"/>
    <x v="0"/>
    <x v="4"/>
    <x v="3"/>
    <x v="1"/>
    <x v="4"/>
  </r>
  <r>
    <x v="131"/>
    <x v="6"/>
    <x v="191"/>
    <x v="0"/>
    <x v="0"/>
    <x v="4"/>
    <x v="3"/>
    <x v="1"/>
    <x v="3"/>
  </r>
  <r>
    <x v="131"/>
    <x v="7"/>
    <x v="280"/>
    <x v="0"/>
    <x v="0"/>
    <x v="4"/>
    <x v="3"/>
    <x v="1"/>
    <x v="3"/>
  </r>
  <r>
    <x v="131"/>
    <x v="8"/>
    <x v="416"/>
    <x v="0"/>
    <x v="0"/>
    <x v="4"/>
    <x v="3"/>
    <x v="1"/>
    <x v="3"/>
  </r>
  <r>
    <x v="131"/>
    <x v="9"/>
    <x v="571"/>
    <x v="0"/>
    <x v="0"/>
    <x v="4"/>
    <x v="3"/>
    <x v="1"/>
    <x v="3"/>
  </r>
  <r>
    <x v="131"/>
    <x v="10"/>
    <x v="714"/>
    <x v="0"/>
    <x v="0"/>
    <x v="4"/>
    <x v="3"/>
    <x v="1"/>
    <x v="2"/>
  </r>
  <r>
    <x v="131"/>
    <x v="11"/>
    <x v="782"/>
    <x v="0"/>
    <x v="0"/>
    <x v="4"/>
    <x v="3"/>
    <x v="1"/>
    <x v="2"/>
  </r>
  <r>
    <x v="131"/>
    <x v="12"/>
    <x v="841"/>
    <x v="0"/>
    <x v="0"/>
    <x v="4"/>
    <x v="3"/>
    <x v="1"/>
    <x v="2"/>
  </r>
  <r>
    <x v="131"/>
    <x v="13"/>
    <x v="957"/>
    <x v="0"/>
    <x v="0"/>
    <x v="4"/>
    <x v="3"/>
    <x v="1"/>
    <x v="2"/>
  </r>
  <r>
    <x v="131"/>
    <x v="14"/>
    <x v="976"/>
    <x v="0"/>
    <x v="0"/>
    <x v="4"/>
    <x v="3"/>
    <x v="1"/>
    <x v="2"/>
  </r>
  <r>
    <x v="131"/>
    <x v="15"/>
    <x v="1083"/>
    <x v="0"/>
    <x v="0"/>
    <x v="4"/>
    <x v="3"/>
    <x v="1"/>
    <x v="2"/>
  </r>
  <r>
    <x v="131"/>
    <x v="16"/>
    <x v="1184"/>
    <x v="0"/>
    <x v="0"/>
    <x v="4"/>
    <x v="3"/>
    <x v="1"/>
    <x v="0"/>
  </r>
  <r>
    <x v="131"/>
    <x v="17"/>
    <x v="1238"/>
    <x v="0"/>
    <x v="0"/>
    <x v="4"/>
    <x v="3"/>
    <x v="1"/>
    <x v="0"/>
  </r>
  <r>
    <x v="131"/>
    <x v="18"/>
    <x v="1068"/>
    <x v="0"/>
    <x v="0"/>
    <x v="4"/>
    <x v="3"/>
    <x v="1"/>
    <x v="0"/>
  </r>
  <r>
    <x v="131"/>
    <x v="19"/>
    <x v="1110"/>
    <x v="0"/>
    <x v="0"/>
    <x v="4"/>
    <x v="3"/>
    <x v="1"/>
    <x v="0"/>
  </r>
  <r>
    <x v="131"/>
    <x v="20"/>
    <x v="1037"/>
    <x v="0"/>
    <x v="0"/>
    <x v="4"/>
    <x v="3"/>
    <x v="1"/>
    <x v="1"/>
  </r>
  <r>
    <x v="131"/>
    <x v="21"/>
    <x v="929"/>
    <x v="0"/>
    <x v="0"/>
    <x v="4"/>
    <x v="3"/>
    <x v="1"/>
    <x v="1"/>
  </r>
  <r>
    <x v="131"/>
    <x v="22"/>
    <x v="761"/>
    <x v="0"/>
    <x v="0"/>
    <x v="4"/>
    <x v="3"/>
    <x v="1"/>
    <x v="1"/>
  </r>
  <r>
    <x v="131"/>
    <x v="23"/>
    <x v="481"/>
    <x v="0"/>
    <x v="0"/>
    <x v="4"/>
    <x v="3"/>
    <x v="1"/>
    <x v="1"/>
  </r>
  <r>
    <x v="132"/>
    <x v="0"/>
    <x v="214"/>
    <x v="0"/>
    <x v="0"/>
    <x v="4"/>
    <x v="1"/>
    <x v="0"/>
    <x v="4"/>
  </r>
  <r>
    <x v="132"/>
    <x v="1"/>
    <x v="83"/>
    <x v="0"/>
    <x v="0"/>
    <x v="4"/>
    <x v="1"/>
    <x v="0"/>
    <x v="4"/>
  </r>
  <r>
    <x v="132"/>
    <x v="2"/>
    <x v="83"/>
    <x v="0"/>
    <x v="0"/>
    <x v="4"/>
    <x v="1"/>
    <x v="0"/>
    <x v="4"/>
  </r>
  <r>
    <x v="132"/>
    <x v="3"/>
    <x v="215"/>
    <x v="0"/>
    <x v="0"/>
    <x v="4"/>
    <x v="1"/>
    <x v="0"/>
    <x v="4"/>
  </r>
  <r>
    <x v="132"/>
    <x v="4"/>
    <x v="387"/>
    <x v="0"/>
    <x v="0"/>
    <x v="4"/>
    <x v="1"/>
    <x v="0"/>
    <x v="4"/>
  </r>
  <r>
    <x v="132"/>
    <x v="5"/>
    <x v="596"/>
    <x v="0"/>
    <x v="0"/>
    <x v="4"/>
    <x v="1"/>
    <x v="0"/>
    <x v="4"/>
  </r>
  <r>
    <x v="132"/>
    <x v="6"/>
    <x v="873"/>
    <x v="0"/>
    <x v="0"/>
    <x v="4"/>
    <x v="1"/>
    <x v="0"/>
    <x v="3"/>
  </r>
  <r>
    <x v="132"/>
    <x v="7"/>
    <x v="1169"/>
    <x v="0"/>
    <x v="0"/>
    <x v="4"/>
    <x v="1"/>
    <x v="0"/>
    <x v="3"/>
  </r>
  <r>
    <x v="132"/>
    <x v="8"/>
    <x v="1103"/>
    <x v="0"/>
    <x v="0"/>
    <x v="4"/>
    <x v="1"/>
    <x v="0"/>
    <x v="3"/>
  </r>
  <r>
    <x v="132"/>
    <x v="9"/>
    <x v="824"/>
    <x v="0"/>
    <x v="0"/>
    <x v="4"/>
    <x v="1"/>
    <x v="0"/>
    <x v="3"/>
  </r>
  <r>
    <x v="132"/>
    <x v="10"/>
    <x v="853"/>
    <x v="0"/>
    <x v="0"/>
    <x v="4"/>
    <x v="1"/>
    <x v="0"/>
    <x v="2"/>
  </r>
  <r>
    <x v="132"/>
    <x v="11"/>
    <x v="783"/>
    <x v="0"/>
    <x v="0"/>
    <x v="4"/>
    <x v="1"/>
    <x v="0"/>
    <x v="2"/>
  </r>
  <r>
    <x v="132"/>
    <x v="12"/>
    <x v="800"/>
    <x v="0"/>
    <x v="0"/>
    <x v="4"/>
    <x v="1"/>
    <x v="0"/>
    <x v="2"/>
  </r>
  <r>
    <x v="132"/>
    <x v="13"/>
    <x v="861"/>
    <x v="0"/>
    <x v="0"/>
    <x v="4"/>
    <x v="1"/>
    <x v="0"/>
    <x v="2"/>
  </r>
  <r>
    <x v="132"/>
    <x v="14"/>
    <x v="974"/>
    <x v="0"/>
    <x v="0"/>
    <x v="4"/>
    <x v="1"/>
    <x v="0"/>
    <x v="2"/>
  </r>
  <r>
    <x v="132"/>
    <x v="15"/>
    <x v="1115"/>
    <x v="0"/>
    <x v="0"/>
    <x v="4"/>
    <x v="1"/>
    <x v="0"/>
    <x v="2"/>
  </r>
  <r>
    <x v="132"/>
    <x v="16"/>
    <x v="1302"/>
    <x v="0"/>
    <x v="0"/>
    <x v="4"/>
    <x v="1"/>
    <x v="0"/>
    <x v="0"/>
  </r>
  <r>
    <x v="132"/>
    <x v="17"/>
    <x v="1467"/>
    <x v="0"/>
    <x v="0"/>
    <x v="4"/>
    <x v="1"/>
    <x v="0"/>
    <x v="0"/>
  </r>
  <r>
    <x v="132"/>
    <x v="18"/>
    <x v="1396"/>
    <x v="0"/>
    <x v="0"/>
    <x v="4"/>
    <x v="1"/>
    <x v="0"/>
    <x v="0"/>
  </r>
  <r>
    <x v="132"/>
    <x v="19"/>
    <x v="1321"/>
    <x v="0"/>
    <x v="0"/>
    <x v="4"/>
    <x v="1"/>
    <x v="0"/>
    <x v="0"/>
  </r>
  <r>
    <x v="132"/>
    <x v="20"/>
    <x v="1265"/>
    <x v="0"/>
    <x v="0"/>
    <x v="4"/>
    <x v="1"/>
    <x v="0"/>
    <x v="1"/>
  </r>
  <r>
    <x v="132"/>
    <x v="21"/>
    <x v="1038"/>
    <x v="0"/>
    <x v="0"/>
    <x v="4"/>
    <x v="1"/>
    <x v="0"/>
    <x v="1"/>
  </r>
  <r>
    <x v="132"/>
    <x v="22"/>
    <x v="818"/>
    <x v="0"/>
    <x v="0"/>
    <x v="4"/>
    <x v="1"/>
    <x v="0"/>
    <x v="1"/>
  </r>
  <r>
    <x v="132"/>
    <x v="23"/>
    <x v="440"/>
    <x v="0"/>
    <x v="0"/>
    <x v="4"/>
    <x v="1"/>
    <x v="0"/>
    <x v="1"/>
  </r>
  <r>
    <x v="133"/>
    <x v="0"/>
    <x v="216"/>
    <x v="0"/>
    <x v="0"/>
    <x v="4"/>
    <x v="5"/>
    <x v="0"/>
    <x v="4"/>
  </r>
  <r>
    <x v="133"/>
    <x v="1"/>
    <x v="114"/>
    <x v="0"/>
    <x v="0"/>
    <x v="4"/>
    <x v="5"/>
    <x v="0"/>
    <x v="4"/>
  </r>
  <r>
    <x v="133"/>
    <x v="2"/>
    <x v="44"/>
    <x v="0"/>
    <x v="0"/>
    <x v="4"/>
    <x v="5"/>
    <x v="0"/>
    <x v="4"/>
  </r>
  <r>
    <x v="133"/>
    <x v="3"/>
    <x v="68"/>
    <x v="0"/>
    <x v="0"/>
    <x v="4"/>
    <x v="5"/>
    <x v="0"/>
    <x v="4"/>
  </r>
  <r>
    <x v="133"/>
    <x v="4"/>
    <x v="275"/>
    <x v="0"/>
    <x v="0"/>
    <x v="4"/>
    <x v="5"/>
    <x v="0"/>
    <x v="4"/>
  </r>
  <r>
    <x v="133"/>
    <x v="5"/>
    <x v="449"/>
    <x v="0"/>
    <x v="0"/>
    <x v="4"/>
    <x v="5"/>
    <x v="0"/>
    <x v="4"/>
  </r>
  <r>
    <x v="133"/>
    <x v="6"/>
    <x v="875"/>
    <x v="0"/>
    <x v="0"/>
    <x v="4"/>
    <x v="5"/>
    <x v="0"/>
    <x v="3"/>
  </r>
  <r>
    <x v="133"/>
    <x v="7"/>
    <x v="1296"/>
    <x v="0"/>
    <x v="0"/>
    <x v="4"/>
    <x v="5"/>
    <x v="0"/>
    <x v="3"/>
  </r>
  <r>
    <x v="133"/>
    <x v="8"/>
    <x v="1276"/>
    <x v="0"/>
    <x v="0"/>
    <x v="4"/>
    <x v="5"/>
    <x v="0"/>
    <x v="3"/>
  </r>
  <r>
    <x v="133"/>
    <x v="9"/>
    <x v="923"/>
    <x v="0"/>
    <x v="0"/>
    <x v="4"/>
    <x v="5"/>
    <x v="0"/>
    <x v="3"/>
  </r>
  <r>
    <x v="133"/>
    <x v="10"/>
    <x v="845"/>
    <x v="0"/>
    <x v="0"/>
    <x v="4"/>
    <x v="5"/>
    <x v="0"/>
    <x v="2"/>
  </r>
  <r>
    <x v="133"/>
    <x v="11"/>
    <x v="953"/>
    <x v="0"/>
    <x v="0"/>
    <x v="4"/>
    <x v="5"/>
    <x v="0"/>
    <x v="2"/>
  </r>
  <r>
    <x v="133"/>
    <x v="12"/>
    <x v="868"/>
    <x v="0"/>
    <x v="0"/>
    <x v="4"/>
    <x v="5"/>
    <x v="0"/>
    <x v="2"/>
  </r>
  <r>
    <x v="133"/>
    <x v="13"/>
    <x v="1115"/>
    <x v="0"/>
    <x v="0"/>
    <x v="4"/>
    <x v="5"/>
    <x v="0"/>
    <x v="2"/>
  </r>
  <r>
    <x v="133"/>
    <x v="14"/>
    <x v="1425"/>
    <x v="0"/>
    <x v="0"/>
    <x v="4"/>
    <x v="5"/>
    <x v="0"/>
    <x v="2"/>
  </r>
  <r>
    <x v="133"/>
    <x v="15"/>
    <x v="1628"/>
    <x v="0"/>
    <x v="0"/>
    <x v="4"/>
    <x v="5"/>
    <x v="0"/>
    <x v="2"/>
  </r>
  <r>
    <x v="133"/>
    <x v="16"/>
    <x v="1859"/>
    <x v="0"/>
    <x v="0"/>
    <x v="4"/>
    <x v="5"/>
    <x v="0"/>
    <x v="0"/>
  </r>
  <r>
    <x v="133"/>
    <x v="17"/>
    <x v="2082"/>
    <x v="0"/>
    <x v="0"/>
    <x v="4"/>
    <x v="5"/>
    <x v="0"/>
    <x v="0"/>
  </r>
  <r>
    <x v="133"/>
    <x v="18"/>
    <x v="2353"/>
    <x v="0"/>
    <x v="0"/>
    <x v="4"/>
    <x v="5"/>
    <x v="0"/>
    <x v="0"/>
  </r>
  <r>
    <x v="133"/>
    <x v="19"/>
    <x v="1874"/>
    <x v="0"/>
    <x v="0"/>
    <x v="4"/>
    <x v="5"/>
    <x v="0"/>
    <x v="0"/>
  </r>
  <r>
    <x v="133"/>
    <x v="20"/>
    <x v="1850"/>
    <x v="0"/>
    <x v="0"/>
    <x v="4"/>
    <x v="5"/>
    <x v="0"/>
    <x v="1"/>
  </r>
  <r>
    <x v="133"/>
    <x v="21"/>
    <x v="1585"/>
    <x v="0"/>
    <x v="0"/>
    <x v="4"/>
    <x v="5"/>
    <x v="0"/>
    <x v="1"/>
  </r>
  <r>
    <x v="133"/>
    <x v="22"/>
    <x v="1215"/>
    <x v="0"/>
    <x v="0"/>
    <x v="4"/>
    <x v="5"/>
    <x v="0"/>
    <x v="1"/>
  </r>
  <r>
    <x v="133"/>
    <x v="23"/>
    <x v="726"/>
    <x v="0"/>
    <x v="0"/>
    <x v="4"/>
    <x v="5"/>
    <x v="0"/>
    <x v="1"/>
  </r>
  <r>
    <x v="134"/>
    <x v="0"/>
    <x v="477"/>
    <x v="0"/>
    <x v="0"/>
    <x v="4"/>
    <x v="6"/>
    <x v="0"/>
    <x v="4"/>
  </r>
  <r>
    <x v="134"/>
    <x v="1"/>
    <x v="224"/>
    <x v="0"/>
    <x v="0"/>
    <x v="4"/>
    <x v="6"/>
    <x v="0"/>
    <x v="4"/>
  </r>
  <r>
    <x v="134"/>
    <x v="2"/>
    <x v="126"/>
    <x v="0"/>
    <x v="0"/>
    <x v="4"/>
    <x v="6"/>
    <x v="0"/>
    <x v="4"/>
  </r>
  <r>
    <x v="134"/>
    <x v="3"/>
    <x v="170"/>
    <x v="0"/>
    <x v="0"/>
    <x v="4"/>
    <x v="6"/>
    <x v="0"/>
    <x v="4"/>
  </r>
  <r>
    <x v="134"/>
    <x v="4"/>
    <x v="320"/>
    <x v="0"/>
    <x v="0"/>
    <x v="4"/>
    <x v="6"/>
    <x v="0"/>
    <x v="4"/>
  </r>
  <r>
    <x v="134"/>
    <x v="5"/>
    <x v="596"/>
    <x v="0"/>
    <x v="0"/>
    <x v="4"/>
    <x v="6"/>
    <x v="0"/>
    <x v="4"/>
  </r>
  <r>
    <x v="134"/>
    <x v="6"/>
    <x v="1303"/>
    <x v="0"/>
    <x v="0"/>
    <x v="4"/>
    <x v="6"/>
    <x v="0"/>
    <x v="3"/>
  </r>
  <r>
    <x v="134"/>
    <x v="7"/>
    <x v="1590"/>
    <x v="0"/>
    <x v="0"/>
    <x v="4"/>
    <x v="6"/>
    <x v="0"/>
    <x v="3"/>
  </r>
  <r>
    <x v="134"/>
    <x v="8"/>
    <x v="1582"/>
    <x v="0"/>
    <x v="0"/>
    <x v="4"/>
    <x v="6"/>
    <x v="0"/>
    <x v="3"/>
  </r>
  <r>
    <x v="134"/>
    <x v="9"/>
    <x v="1126"/>
    <x v="0"/>
    <x v="0"/>
    <x v="4"/>
    <x v="6"/>
    <x v="0"/>
    <x v="3"/>
  </r>
  <r>
    <x v="134"/>
    <x v="10"/>
    <x v="1009"/>
    <x v="0"/>
    <x v="0"/>
    <x v="4"/>
    <x v="6"/>
    <x v="0"/>
    <x v="2"/>
  </r>
  <r>
    <x v="134"/>
    <x v="11"/>
    <x v="975"/>
    <x v="0"/>
    <x v="0"/>
    <x v="4"/>
    <x v="6"/>
    <x v="0"/>
    <x v="2"/>
  </r>
  <r>
    <x v="134"/>
    <x v="12"/>
    <x v="984"/>
    <x v="0"/>
    <x v="0"/>
    <x v="4"/>
    <x v="6"/>
    <x v="0"/>
    <x v="2"/>
  </r>
  <r>
    <x v="134"/>
    <x v="13"/>
    <x v="1015"/>
    <x v="0"/>
    <x v="0"/>
    <x v="4"/>
    <x v="6"/>
    <x v="0"/>
    <x v="2"/>
  </r>
  <r>
    <x v="134"/>
    <x v="14"/>
    <x v="1128"/>
    <x v="0"/>
    <x v="0"/>
    <x v="4"/>
    <x v="6"/>
    <x v="0"/>
    <x v="2"/>
  </r>
  <r>
    <x v="134"/>
    <x v="15"/>
    <x v="1379"/>
    <x v="0"/>
    <x v="0"/>
    <x v="4"/>
    <x v="6"/>
    <x v="0"/>
    <x v="2"/>
  </r>
  <r>
    <x v="134"/>
    <x v="16"/>
    <x v="1774"/>
    <x v="0"/>
    <x v="0"/>
    <x v="4"/>
    <x v="6"/>
    <x v="0"/>
    <x v="0"/>
  </r>
  <r>
    <x v="134"/>
    <x v="17"/>
    <x v="1898"/>
    <x v="0"/>
    <x v="0"/>
    <x v="4"/>
    <x v="6"/>
    <x v="0"/>
    <x v="0"/>
  </r>
  <r>
    <x v="134"/>
    <x v="18"/>
    <x v="1750"/>
    <x v="0"/>
    <x v="0"/>
    <x v="4"/>
    <x v="6"/>
    <x v="0"/>
    <x v="0"/>
  </r>
  <r>
    <x v="134"/>
    <x v="19"/>
    <x v="1668"/>
    <x v="0"/>
    <x v="0"/>
    <x v="4"/>
    <x v="6"/>
    <x v="0"/>
    <x v="0"/>
  </r>
  <r>
    <x v="134"/>
    <x v="20"/>
    <x v="1751"/>
    <x v="0"/>
    <x v="0"/>
    <x v="4"/>
    <x v="6"/>
    <x v="0"/>
    <x v="1"/>
  </r>
  <r>
    <x v="134"/>
    <x v="21"/>
    <x v="1667"/>
    <x v="0"/>
    <x v="0"/>
    <x v="4"/>
    <x v="6"/>
    <x v="0"/>
    <x v="1"/>
  </r>
  <r>
    <x v="134"/>
    <x v="22"/>
    <x v="1242"/>
    <x v="0"/>
    <x v="0"/>
    <x v="4"/>
    <x v="6"/>
    <x v="0"/>
    <x v="1"/>
  </r>
  <r>
    <x v="134"/>
    <x v="23"/>
    <x v="711"/>
    <x v="0"/>
    <x v="0"/>
    <x v="4"/>
    <x v="6"/>
    <x v="0"/>
    <x v="1"/>
  </r>
  <r>
    <x v="135"/>
    <x v="0"/>
    <x v="383"/>
    <x v="0"/>
    <x v="0"/>
    <x v="4"/>
    <x v="4"/>
    <x v="0"/>
    <x v="4"/>
  </r>
  <r>
    <x v="135"/>
    <x v="1"/>
    <x v="191"/>
    <x v="0"/>
    <x v="0"/>
    <x v="4"/>
    <x v="4"/>
    <x v="0"/>
    <x v="4"/>
  </r>
  <r>
    <x v="135"/>
    <x v="2"/>
    <x v="129"/>
    <x v="0"/>
    <x v="0"/>
    <x v="4"/>
    <x v="4"/>
    <x v="0"/>
    <x v="4"/>
  </r>
  <r>
    <x v="135"/>
    <x v="3"/>
    <x v="206"/>
    <x v="0"/>
    <x v="0"/>
    <x v="4"/>
    <x v="4"/>
    <x v="0"/>
    <x v="4"/>
  </r>
  <r>
    <x v="135"/>
    <x v="4"/>
    <x v="317"/>
    <x v="0"/>
    <x v="0"/>
    <x v="4"/>
    <x v="4"/>
    <x v="0"/>
    <x v="4"/>
  </r>
  <r>
    <x v="135"/>
    <x v="5"/>
    <x v="504"/>
    <x v="0"/>
    <x v="0"/>
    <x v="4"/>
    <x v="4"/>
    <x v="0"/>
    <x v="4"/>
  </r>
  <r>
    <x v="135"/>
    <x v="6"/>
    <x v="882"/>
    <x v="0"/>
    <x v="0"/>
    <x v="4"/>
    <x v="4"/>
    <x v="0"/>
    <x v="3"/>
  </r>
  <r>
    <x v="135"/>
    <x v="7"/>
    <x v="1249"/>
    <x v="0"/>
    <x v="0"/>
    <x v="4"/>
    <x v="4"/>
    <x v="0"/>
    <x v="3"/>
  </r>
  <r>
    <x v="135"/>
    <x v="8"/>
    <x v="1218"/>
    <x v="0"/>
    <x v="0"/>
    <x v="4"/>
    <x v="4"/>
    <x v="0"/>
    <x v="3"/>
  </r>
  <r>
    <x v="135"/>
    <x v="9"/>
    <x v="990"/>
    <x v="0"/>
    <x v="0"/>
    <x v="4"/>
    <x v="4"/>
    <x v="0"/>
    <x v="3"/>
  </r>
  <r>
    <x v="135"/>
    <x v="10"/>
    <x v="976"/>
    <x v="0"/>
    <x v="0"/>
    <x v="4"/>
    <x v="4"/>
    <x v="0"/>
    <x v="2"/>
  </r>
  <r>
    <x v="135"/>
    <x v="11"/>
    <x v="921"/>
    <x v="0"/>
    <x v="0"/>
    <x v="4"/>
    <x v="4"/>
    <x v="0"/>
    <x v="2"/>
  </r>
  <r>
    <x v="135"/>
    <x v="12"/>
    <x v="919"/>
    <x v="0"/>
    <x v="0"/>
    <x v="4"/>
    <x v="4"/>
    <x v="0"/>
    <x v="2"/>
  </r>
  <r>
    <x v="135"/>
    <x v="13"/>
    <x v="1011"/>
    <x v="0"/>
    <x v="0"/>
    <x v="4"/>
    <x v="4"/>
    <x v="0"/>
    <x v="2"/>
  </r>
  <r>
    <x v="135"/>
    <x v="14"/>
    <x v="1309"/>
    <x v="0"/>
    <x v="0"/>
    <x v="4"/>
    <x v="4"/>
    <x v="0"/>
    <x v="2"/>
  </r>
  <r>
    <x v="135"/>
    <x v="15"/>
    <x v="1489"/>
    <x v="0"/>
    <x v="0"/>
    <x v="4"/>
    <x v="4"/>
    <x v="0"/>
    <x v="2"/>
  </r>
  <r>
    <x v="135"/>
    <x v="16"/>
    <x v="1754"/>
    <x v="0"/>
    <x v="0"/>
    <x v="4"/>
    <x v="4"/>
    <x v="0"/>
    <x v="0"/>
  </r>
  <r>
    <x v="135"/>
    <x v="17"/>
    <x v="1917"/>
    <x v="0"/>
    <x v="0"/>
    <x v="4"/>
    <x v="4"/>
    <x v="0"/>
    <x v="0"/>
  </r>
  <r>
    <x v="135"/>
    <x v="18"/>
    <x v="1919"/>
    <x v="0"/>
    <x v="0"/>
    <x v="4"/>
    <x v="4"/>
    <x v="0"/>
    <x v="0"/>
  </r>
  <r>
    <x v="135"/>
    <x v="19"/>
    <x v="1890"/>
    <x v="0"/>
    <x v="0"/>
    <x v="4"/>
    <x v="4"/>
    <x v="0"/>
    <x v="0"/>
  </r>
  <r>
    <x v="135"/>
    <x v="20"/>
    <x v="1909"/>
    <x v="0"/>
    <x v="0"/>
    <x v="4"/>
    <x v="4"/>
    <x v="0"/>
    <x v="1"/>
  </r>
  <r>
    <x v="135"/>
    <x v="21"/>
    <x v="1884"/>
    <x v="0"/>
    <x v="0"/>
    <x v="4"/>
    <x v="4"/>
    <x v="0"/>
    <x v="1"/>
  </r>
  <r>
    <x v="135"/>
    <x v="22"/>
    <x v="1747"/>
    <x v="0"/>
    <x v="0"/>
    <x v="4"/>
    <x v="4"/>
    <x v="0"/>
    <x v="1"/>
  </r>
  <r>
    <x v="135"/>
    <x v="23"/>
    <x v="1156"/>
    <x v="0"/>
    <x v="0"/>
    <x v="4"/>
    <x v="4"/>
    <x v="0"/>
    <x v="1"/>
  </r>
  <r>
    <x v="136"/>
    <x v="0"/>
    <x v="533"/>
    <x v="0"/>
    <x v="0"/>
    <x v="4"/>
    <x v="0"/>
    <x v="0"/>
    <x v="4"/>
  </r>
  <r>
    <x v="136"/>
    <x v="1"/>
    <x v="304"/>
    <x v="0"/>
    <x v="0"/>
    <x v="4"/>
    <x v="0"/>
    <x v="0"/>
    <x v="4"/>
  </r>
  <r>
    <x v="136"/>
    <x v="2"/>
    <x v="183"/>
    <x v="0"/>
    <x v="0"/>
    <x v="4"/>
    <x v="0"/>
    <x v="0"/>
    <x v="4"/>
  </r>
  <r>
    <x v="136"/>
    <x v="3"/>
    <x v="247"/>
    <x v="0"/>
    <x v="0"/>
    <x v="4"/>
    <x v="0"/>
    <x v="0"/>
    <x v="4"/>
  </r>
  <r>
    <x v="136"/>
    <x v="4"/>
    <x v="327"/>
    <x v="0"/>
    <x v="0"/>
    <x v="4"/>
    <x v="0"/>
    <x v="0"/>
    <x v="4"/>
  </r>
  <r>
    <x v="136"/>
    <x v="5"/>
    <x v="512"/>
    <x v="0"/>
    <x v="0"/>
    <x v="4"/>
    <x v="0"/>
    <x v="0"/>
    <x v="4"/>
  </r>
  <r>
    <x v="136"/>
    <x v="6"/>
    <x v="801"/>
    <x v="0"/>
    <x v="0"/>
    <x v="4"/>
    <x v="0"/>
    <x v="0"/>
    <x v="3"/>
  </r>
  <r>
    <x v="136"/>
    <x v="7"/>
    <x v="1206"/>
    <x v="0"/>
    <x v="0"/>
    <x v="4"/>
    <x v="0"/>
    <x v="0"/>
    <x v="3"/>
  </r>
  <r>
    <x v="136"/>
    <x v="8"/>
    <x v="1212"/>
    <x v="0"/>
    <x v="0"/>
    <x v="4"/>
    <x v="0"/>
    <x v="0"/>
    <x v="3"/>
  </r>
  <r>
    <x v="136"/>
    <x v="9"/>
    <x v="929"/>
    <x v="0"/>
    <x v="0"/>
    <x v="4"/>
    <x v="0"/>
    <x v="0"/>
    <x v="3"/>
  </r>
  <r>
    <x v="136"/>
    <x v="10"/>
    <x v="939"/>
    <x v="0"/>
    <x v="0"/>
    <x v="4"/>
    <x v="0"/>
    <x v="0"/>
    <x v="2"/>
  </r>
  <r>
    <x v="136"/>
    <x v="11"/>
    <x v="964"/>
    <x v="0"/>
    <x v="0"/>
    <x v="4"/>
    <x v="0"/>
    <x v="0"/>
    <x v="2"/>
  </r>
  <r>
    <x v="136"/>
    <x v="12"/>
    <x v="955"/>
    <x v="0"/>
    <x v="0"/>
    <x v="4"/>
    <x v="0"/>
    <x v="0"/>
    <x v="2"/>
  </r>
  <r>
    <x v="136"/>
    <x v="13"/>
    <x v="1031"/>
    <x v="0"/>
    <x v="0"/>
    <x v="4"/>
    <x v="0"/>
    <x v="0"/>
    <x v="2"/>
  </r>
  <r>
    <x v="136"/>
    <x v="14"/>
    <x v="1201"/>
    <x v="0"/>
    <x v="0"/>
    <x v="4"/>
    <x v="0"/>
    <x v="0"/>
    <x v="2"/>
  </r>
  <r>
    <x v="136"/>
    <x v="15"/>
    <x v="1470"/>
    <x v="0"/>
    <x v="0"/>
    <x v="4"/>
    <x v="0"/>
    <x v="0"/>
    <x v="2"/>
  </r>
  <r>
    <x v="136"/>
    <x v="16"/>
    <x v="1629"/>
    <x v="0"/>
    <x v="0"/>
    <x v="4"/>
    <x v="0"/>
    <x v="0"/>
    <x v="0"/>
  </r>
  <r>
    <x v="136"/>
    <x v="17"/>
    <x v="1732"/>
    <x v="0"/>
    <x v="0"/>
    <x v="4"/>
    <x v="0"/>
    <x v="0"/>
    <x v="0"/>
  </r>
  <r>
    <x v="136"/>
    <x v="18"/>
    <x v="1740"/>
    <x v="0"/>
    <x v="0"/>
    <x v="4"/>
    <x v="0"/>
    <x v="0"/>
    <x v="0"/>
  </r>
  <r>
    <x v="136"/>
    <x v="19"/>
    <x v="1626"/>
    <x v="0"/>
    <x v="0"/>
    <x v="4"/>
    <x v="0"/>
    <x v="0"/>
    <x v="0"/>
  </r>
  <r>
    <x v="136"/>
    <x v="20"/>
    <x v="1485"/>
    <x v="0"/>
    <x v="0"/>
    <x v="4"/>
    <x v="0"/>
    <x v="0"/>
    <x v="1"/>
  </r>
  <r>
    <x v="136"/>
    <x v="21"/>
    <x v="1624"/>
    <x v="0"/>
    <x v="0"/>
    <x v="4"/>
    <x v="0"/>
    <x v="0"/>
    <x v="1"/>
  </r>
  <r>
    <x v="136"/>
    <x v="22"/>
    <x v="1700"/>
    <x v="0"/>
    <x v="0"/>
    <x v="4"/>
    <x v="0"/>
    <x v="0"/>
    <x v="1"/>
  </r>
  <r>
    <x v="136"/>
    <x v="23"/>
    <x v="1463"/>
    <x v="0"/>
    <x v="0"/>
    <x v="4"/>
    <x v="0"/>
    <x v="0"/>
    <x v="1"/>
  </r>
  <r>
    <x v="137"/>
    <x v="0"/>
    <x v="1023"/>
    <x v="0"/>
    <x v="0"/>
    <x v="4"/>
    <x v="2"/>
    <x v="1"/>
    <x v="4"/>
  </r>
  <r>
    <x v="137"/>
    <x v="1"/>
    <x v="742"/>
    <x v="0"/>
    <x v="0"/>
    <x v="4"/>
    <x v="2"/>
    <x v="1"/>
    <x v="4"/>
  </r>
  <r>
    <x v="137"/>
    <x v="2"/>
    <x v="460"/>
    <x v="0"/>
    <x v="0"/>
    <x v="4"/>
    <x v="2"/>
    <x v="1"/>
    <x v="4"/>
  </r>
  <r>
    <x v="137"/>
    <x v="3"/>
    <x v="384"/>
    <x v="0"/>
    <x v="0"/>
    <x v="4"/>
    <x v="2"/>
    <x v="1"/>
    <x v="4"/>
  </r>
  <r>
    <x v="137"/>
    <x v="4"/>
    <x v="291"/>
    <x v="0"/>
    <x v="0"/>
    <x v="4"/>
    <x v="2"/>
    <x v="1"/>
    <x v="4"/>
  </r>
  <r>
    <x v="137"/>
    <x v="5"/>
    <x v="241"/>
    <x v="0"/>
    <x v="0"/>
    <x v="4"/>
    <x v="2"/>
    <x v="1"/>
    <x v="4"/>
  </r>
  <r>
    <x v="137"/>
    <x v="6"/>
    <x v="320"/>
    <x v="0"/>
    <x v="0"/>
    <x v="4"/>
    <x v="2"/>
    <x v="1"/>
    <x v="3"/>
  </r>
  <r>
    <x v="137"/>
    <x v="7"/>
    <x v="386"/>
    <x v="0"/>
    <x v="0"/>
    <x v="4"/>
    <x v="2"/>
    <x v="1"/>
    <x v="3"/>
  </r>
  <r>
    <x v="137"/>
    <x v="8"/>
    <x v="516"/>
    <x v="0"/>
    <x v="0"/>
    <x v="4"/>
    <x v="2"/>
    <x v="1"/>
    <x v="3"/>
  </r>
  <r>
    <x v="137"/>
    <x v="9"/>
    <x v="635"/>
    <x v="0"/>
    <x v="0"/>
    <x v="4"/>
    <x v="2"/>
    <x v="1"/>
    <x v="3"/>
  </r>
  <r>
    <x v="137"/>
    <x v="10"/>
    <x v="716"/>
    <x v="0"/>
    <x v="0"/>
    <x v="4"/>
    <x v="2"/>
    <x v="1"/>
    <x v="2"/>
  </r>
  <r>
    <x v="137"/>
    <x v="11"/>
    <x v="833"/>
    <x v="0"/>
    <x v="0"/>
    <x v="4"/>
    <x v="2"/>
    <x v="1"/>
    <x v="2"/>
  </r>
  <r>
    <x v="137"/>
    <x v="12"/>
    <x v="826"/>
    <x v="0"/>
    <x v="0"/>
    <x v="4"/>
    <x v="2"/>
    <x v="1"/>
    <x v="2"/>
  </r>
  <r>
    <x v="137"/>
    <x v="13"/>
    <x v="938"/>
    <x v="0"/>
    <x v="0"/>
    <x v="4"/>
    <x v="2"/>
    <x v="1"/>
    <x v="2"/>
  </r>
  <r>
    <x v="137"/>
    <x v="14"/>
    <x v="1088"/>
    <x v="0"/>
    <x v="0"/>
    <x v="4"/>
    <x v="2"/>
    <x v="1"/>
    <x v="2"/>
  </r>
  <r>
    <x v="137"/>
    <x v="15"/>
    <x v="1287"/>
    <x v="0"/>
    <x v="0"/>
    <x v="4"/>
    <x v="2"/>
    <x v="1"/>
    <x v="2"/>
  </r>
  <r>
    <x v="137"/>
    <x v="16"/>
    <x v="1432"/>
    <x v="0"/>
    <x v="0"/>
    <x v="4"/>
    <x v="2"/>
    <x v="1"/>
    <x v="0"/>
  </r>
  <r>
    <x v="137"/>
    <x v="17"/>
    <x v="1608"/>
    <x v="0"/>
    <x v="0"/>
    <x v="4"/>
    <x v="2"/>
    <x v="1"/>
    <x v="0"/>
  </r>
  <r>
    <x v="137"/>
    <x v="18"/>
    <x v="1645"/>
    <x v="0"/>
    <x v="0"/>
    <x v="4"/>
    <x v="2"/>
    <x v="1"/>
    <x v="0"/>
  </r>
  <r>
    <x v="137"/>
    <x v="19"/>
    <x v="1499"/>
    <x v="0"/>
    <x v="0"/>
    <x v="4"/>
    <x v="2"/>
    <x v="1"/>
    <x v="0"/>
  </r>
  <r>
    <x v="137"/>
    <x v="20"/>
    <x v="1465"/>
    <x v="0"/>
    <x v="0"/>
    <x v="4"/>
    <x v="2"/>
    <x v="1"/>
    <x v="1"/>
  </r>
  <r>
    <x v="137"/>
    <x v="21"/>
    <x v="1626"/>
    <x v="0"/>
    <x v="0"/>
    <x v="4"/>
    <x v="2"/>
    <x v="1"/>
    <x v="1"/>
  </r>
  <r>
    <x v="137"/>
    <x v="22"/>
    <x v="1724"/>
    <x v="0"/>
    <x v="0"/>
    <x v="4"/>
    <x v="2"/>
    <x v="1"/>
    <x v="1"/>
  </r>
  <r>
    <x v="137"/>
    <x v="23"/>
    <x v="1572"/>
    <x v="0"/>
    <x v="0"/>
    <x v="4"/>
    <x v="2"/>
    <x v="1"/>
    <x v="1"/>
  </r>
  <r>
    <x v="138"/>
    <x v="0"/>
    <x v="1131"/>
    <x v="0"/>
    <x v="0"/>
    <x v="4"/>
    <x v="3"/>
    <x v="1"/>
    <x v="4"/>
  </r>
  <r>
    <x v="138"/>
    <x v="1"/>
    <x v="881"/>
    <x v="0"/>
    <x v="0"/>
    <x v="4"/>
    <x v="3"/>
    <x v="1"/>
    <x v="4"/>
  </r>
  <r>
    <x v="138"/>
    <x v="2"/>
    <x v="612"/>
    <x v="0"/>
    <x v="0"/>
    <x v="4"/>
    <x v="3"/>
    <x v="1"/>
    <x v="4"/>
  </r>
  <r>
    <x v="138"/>
    <x v="3"/>
    <x v="411"/>
    <x v="0"/>
    <x v="0"/>
    <x v="4"/>
    <x v="3"/>
    <x v="1"/>
    <x v="4"/>
  </r>
  <r>
    <x v="138"/>
    <x v="4"/>
    <x v="276"/>
    <x v="0"/>
    <x v="0"/>
    <x v="4"/>
    <x v="3"/>
    <x v="1"/>
    <x v="4"/>
  </r>
  <r>
    <x v="138"/>
    <x v="5"/>
    <x v="238"/>
    <x v="0"/>
    <x v="0"/>
    <x v="4"/>
    <x v="3"/>
    <x v="1"/>
    <x v="4"/>
  </r>
  <r>
    <x v="138"/>
    <x v="6"/>
    <x v="217"/>
    <x v="0"/>
    <x v="0"/>
    <x v="4"/>
    <x v="3"/>
    <x v="1"/>
    <x v="3"/>
  </r>
  <r>
    <x v="138"/>
    <x v="7"/>
    <x v="358"/>
    <x v="0"/>
    <x v="0"/>
    <x v="4"/>
    <x v="3"/>
    <x v="1"/>
    <x v="3"/>
  </r>
  <r>
    <x v="138"/>
    <x v="8"/>
    <x v="479"/>
    <x v="0"/>
    <x v="0"/>
    <x v="4"/>
    <x v="3"/>
    <x v="1"/>
    <x v="3"/>
  </r>
  <r>
    <x v="138"/>
    <x v="9"/>
    <x v="607"/>
    <x v="0"/>
    <x v="0"/>
    <x v="4"/>
    <x v="3"/>
    <x v="1"/>
    <x v="3"/>
  </r>
  <r>
    <x v="138"/>
    <x v="10"/>
    <x v="828"/>
    <x v="0"/>
    <x v="0"/>
    <x v="4"/>
    <x v="3"/>
    <x v="1"/>
    <x v="2"/>
  </r>
  <r>
    <x v="138"/>
    <x v="11"/>
    <x v="938"/>
    <x v="0"/>
    <x v="0"/>
    <x v="4"/>
    <x v="3"/>
    <x v="1"/>
    <x v="2"/>
  </r>
  <r>
    <x v="138"/>
    <x v="12"/>
    <x v="936"/>
    <x v="0"/>
    <x v="0"/>
    <x v="4"/>
    <x v="3"/>
    <x v="1"/>
    <x v="2"/>
  </r>
  <r>
    <x v="138"/>
    <x v="13"/>
    <x v="940"/>
    <x v="0"/>
    <x v="0"/>
    <x v="4"/>
    <x v="3"/>
    <x v="1"/>
    <x v="2"/>
  </r>
  <r>
    <x v="138"/>
    <x v="14"/>
    <x v="1001"/>
    <x v="0"/>
    <x v="0"/>
    <x v="4"/>
    <x v="3"/>
    <x v="1"/>
    <x v="2"/>
  </r>
  <r>
    <x v="138"/>
    <x v="15"/>
    <x v="1139"/>
    <x v="0"/>
    <x v="0"/>
    <x v="4"/>
    <x v="3"/>
    <x v="1"/>
    <x v="2"/>
  </r>
  <r>
    <x v="138"/>
    <x v="16"/>
    <x v="1126"/>
    <x v="0"/>
    <x v="0"/>
    <x v="4"/>
    <x v="3"/>
    <x v="1"/>
    <x v="0"/>
  </r>
  <r>
    <x v="138"/>
    <x v="17"/>
    <x v="1215"/>
    <x v="0"/>
    <x v="0"/>
    <x v="4"/>
    <x v="3"/>
    <x v="1"/>
    <x v="0"/>
  </r>
  <r>
    <x v="138"/>
    <x v="18"/>
    <x v="1141"/>
    <x v="0"/>
    <x v="0"/>
    <x v="4"/>
    <x v="3"/>
    <x v="1"/>
    <x v="0"/>
  </r>
  <r>
    <x v="138"/>
    <x v="19"/>
    <x v="1012"/>
    <x v="0"/>
    <x v="0"/>
    <x v="4"/>
    <x v="3"/>
    <x v="1"/>
    <x v="0"/>
  </r>
  <r>
    <x v="138"/>
    <x v="20"/>
    <x v="1063"/>
    <x v="0"/>
    <x v="0"/>
    <x v="4"/>
    <x v="3"/>
    <x v="1"/>
    <x v="1"/>
  </r>
  <r>
    <x v="138"/>
    <x v="21"/>
    <x v="901"/>
    <x v="0"/>
    <x v="0"/>
    <x v="4"/>
    <x v="3"/>
    <x v="1"/>
    <x v="1"/>
  </r>
  <r>
    <x v="138"/>
    <x v="22"/>
    <x v="734"/>
    <x v="0"/>
    <x v="0"/>
    <x v="4"/>
    <x v="3"/>
    <x v="1"/>
    <x v="1"/>
  </r>
  <r>
    <x v="138"/>
    <x v="23"/>
    <x v="472"/>
    <x v="0"/>
    <x v="0"/>
    <x v="4"/>
    <x v="3"/>
    <x v="1"/>
    <x v="1"/>
  </r>
  <r>
    <x v="139"/>
    <x v="0"/>
    <x v="173"/>
    <x v="0"/>
    <x v="0"/>
    <x v="4"/>
    <x v="1"/>
    <x v="0"/>
    <x v="4"/>
  </r>
  <r>
    <x v="139"/>
    <x v="1"/>
    <x v="125"/>
    <x v="0"/>
    <x v="0"/>
    <x v="4"/>
    <x v="1"/>
    <x v="0"/>
    <x v="4"/>
  </r>
  <r>
    <x v="139"/>
    <x v="2"/>
    <x v="63"/>
    <x v="0"/>
    <x v="0"/>
    <x v="4"/>
    <x v="1"/>
    <x v="0"/>
    <x v="4"/>
  </r>
  <r>
    <x v="139"/>
    <x v="3"/>
    <x v="211"/>
    <x v="0"/>
    <x v="0"/>
    <x v="4"/>
    <x v="1"/>
    <x v="0"/>
    <x v="4"/>
  </r>
  <r>
    <x v="139"/>
    <x v="4"/>
    <x v="336"/>
    <x v="0"/>
    <x v="0"/>
    <x v="4"/>
    <x v="1"/>
    <x v="0"/>
    <x v="4"/>
  </r>
  <r>
    <x v="139"/>
    <x v="5"/>
    <x v="588"/>
    <x v="0"/>
    <x v="0"/>
    <x v="4"/>
    <x v="1"/>
    <x v="0"/>
    <x v="4"/>
  </r>
  <r>
    <x v="139"/>
    <x v="6"/>
    <x v="884"/>
    <x v="0"/>
    <x v="0"/>
    <x v="4"/>
    <x v="1"/>
    <x v="0"/>
    <x v="3"/>
  </r>
  <r>
    <x v="139"/>
    <x v="7"/>
    <x v="1216"/>
    <x v="0"/>
    <x v="0"/>
    <x v="4"/>
    <x v="1"/>
    <x v="0"/>
    <x v="3"/>
  </r>
  <r>
    <x v="139"/>
    <x v="8"/>
    <x v="1109"/>
    <x v="0"/>
    <x v="0"/>
    <x v="4"/>
    <x v="1"/>
    <x v="0"/>
    <x v="3"/>
  </r>
  <r>
    <x v="139"/>
    <x v="9"/>
    <x v="843"/>
    <x v="0"/>
    <x v="0"/>
    <x v="4"/>
    <x v="1"/>
    <x v="0"/>
    <x v="3"/>
  </r>
  <r>
    <x v="139"/>
    <x v="10"/>
    <x v="756"/>
    <x v="0"/>
    <x v="0"/>
    <x v="4"/>
    <x v="1"/>
    <x v="0"/>
    <x v="2"/>
  </r>
  <r>
    <x v="139"/>
    <x v="11"/>
    <x v="776"/>
    <x v="0"/>
    <x v="0"/>
    <x v="4"/>
    <x v="1"/>
    <x v="0"/>
    <x v="2"/>
  </r>
  <r>
    <x v="139"/>
    <x v="12"/>
    <x v="758"/>
    <x v="0"/>
    <x v="0"/>
    <x v="4"/>
    <x v="1"/>
    <x v="0"/>
    <x v="2"/>
  </r>
  <r>
    <x v="139"/>
    <x v="13"/>
    <x v="855"/>
    <x v="0"/>
    <x v="0"/>
    <x v="4"/>
    <x v="1"/>
    <x v="0"/>
    <x v="2"/>
  </r>
  <r>
    <x v="139"/>
    <x v="14"/>
    <x v="1005"/>
    <x v="0"/>
    <x v="0"/>
    <x v="4"/>
    <x v="1"/>
    <x v="0"/>
    <x v="2"/>
  </r>
  <r>
    <x v="139"/>
    <x v="15"/>
    <x v="1115"/>
    <x v="0"/>
    <x v="0"/>
    <x v="4"/>
    <x v="1"/>
    <x v="0"/>
    <x v="2"/>
  </r>
  <r>
    <x v="139"/>
    <x v="16"/>
    <x v="1285"/>
    <x v="0"/>
    <x v="0"/>
    <x v="4"/>
    <x v="1"/>
    <x v="0"/>
    <x v="0"/>
  </r>
  <r>
    <x v="139"/>
    <x v="17"/>
    <x v="1390"/>
    <x v="0"/>
    <x v="0"/>
    <x v="4"/>
    <x v="1"/>
    <x v="0"/>
    <x v="0"/>
  </r>
  <r>
    <x v="139"/>
    <x v="18"/>
    <x v="1290"/>
    <x v="0"/>
    <x v="0"/>
    <x v="4"/>
    <x v="1"/>
    <x v="0"/>
    <x v="0"/>
  </r>
  <r>
    <x v="139"/>
    <x v="19"/>
    <x v="1263"/>
    <x v="0"/>
    <x v="0"/>
    <x v="4"/>
    <x v="1"/>
    <x v="0"/>
    <x v="0"/>
  </r>
  <r>
    <x v="139"/>
    <x v="20"/>
    <x v="1210"/>
    <x v="0"/>
    <x v="0"/>
    <x v="4"/>
    <x v="1"/>
    <x v="0"/>
    <x v="1"/>
  </r>
  <r>
    <x v="139"/>
    <x v="21"/>
    <x v="1003"/>
    <x v="0"/>
    <x v="0"/>
    <x v="4"/>
    <x v="1"/>
    <x v="0"/>
    <x v="1"/>
  </r>
  <r>
    <x v="139"/>
    <x v="22"/>
    <x v="682"/>
    <x v="0"/>
    <x v="0"/>
    <x v="4"/>
    <x v="1"/>
    <x v="0"/>
    <x v="1"/>
  </r>
  <r>
    <x v="139"/>
    <x v="23"/>
    <x v="417"/>
    <x v="0"/>
    <x v="0"/>
    <x v="4"/>
    <x v="1"/>
    <x v="0"/>
    <x v="1"/>
  </r>
  <r>
    <x v="140"/>
    <x v="0"/>
    <x v="209"/>
    <x v="0"/>
    <x v="0"/>
    <x v="4"/>
    <x v="5"/>
    <x v="0"/>
    <x v="4"/>
  </r>
  <r>
    <x v="140"/>
    <x v="1"/>
    <x v="119"/>
    <x v="0"/>
    <x v="0"/>
    <x v="4"/>
    <x v="5"/>
    <x v="0"/>
    <x v="4"/>
  </r>
  <r>
    <x v="140"/>
    <x v="2"/>
    <x v="64"/>
    <x v="0"/>
    <x v="0"/>
    <x v="4"/>
    <x v="5"/>
    <x v="0"/>
    <x v="4"/>
  </r>
  <r>
    <x v="140"/>
    <x v="3"/>
    <x v="147"/>
    <x v="0"/>
    <x v="0"/>
    <x v="4"/>
    <x v="5"/>
    <x v="0"/>
    <x v="4"/>
  </r>
  <r>
    <x v="140"/>
    <x v="4"/>
    <x v="235"/>
    <x v="0"/>
    <x v="0"/>
    <x v="4"/>
    <x v="5"/>
    <x v="0"/>
    <x v="4"/>
  </r>
  <r>
    <x v="140"/>
    <x v="5"/>
    <x v="440"/>
    <x v="0"/>
    <x v="0"/>
    <x v="4"/>
    <x v="5"/>
    <x v="0"/>
    <x v="4"/>
  </r>
  <r>
    <x v="140"/>
    <x v="6"/>
    <x v="895"/>
    <x v="0"/>
    <x v="0"/>
    <x v="4"/>
    <x v="5"/>
    <x v="0"/>
    <x v="3"/>
  </r>
  <r>
    <x v="140"/>
    <x v="7"/>
    <x v="1225"/>
    <x v="0"/>
    <x v="0"/>
    <x v="4"/>
    <x v="5"/>
    <x v="0"/>
    <x v="3"/>
  </r>
  <r>
    <x v="140"/>
    <x v="8"/>
    <x v="1134"/>
    <x v="0"/>
    <x v="0"/>
    <x v="4"/>
    <x v="5"/>
    <x v="0"/>
    <x v="3"/>
  </r>
  <r>
    <x v="140"/>
    <x v="9"/>
    <x v="879"/>
    <x v="0"/>
    <x v="0"/>
    <x v="4"/>
    <x v="5"/>
    <x v="0"/>
    <x v="3"/>
  </r>
  <r>
    <x v="140"/>
    <x v="10"/>
    <x v="819"/>
    <x v="0"/>
    <x v="0"/>
    <x v="4"/>
    <x v="5"/>
    <x v="0"/>
    <x v="2"/>
  </r>
  <r>
    <x v="140"/>
    <x v="11"/>
    <x v="826"/>
    <x v="0"/>
    <x v="0"/>
    <x v="4"/>
    <x v="5"/>
    <x v="0"/>
    <x v="2"/>
  </r>
  <r>
    <x v="140"/>
    <x v="12"/>
    <x v="863"/>
    <x v="0"/>
    <x v="0"/>
    <x v="4"/>
    <x v="5"/>
    <x v="0"/>
    <x v="2"/>
  </r>
  <r>
    <x v="140"/>
    <x v="13"/>
    <x v="973"/>
    <x v="0"/>
    <x v="0"/>
    <x v="4"/>
    <x v="5"/>
    <x v="0"/>
    <x v="2"/>
  </r>
  <r>
    <x v="140"/>
    <x v="14"/>
    <x v="1099"/>
    <x v="0"/>
    <x v="0"/>
    <x v="4"/>
    <x v="5"/>
    <x v="0"/>
    <x v="2"/>
  </r>
  <r>
    <x v="140"/>
    <x v="15"/>
    <x v="1345"/>
    <x v="0"/>
    <x v="0"/>
    <x v="4"/>
    <x v="5"/>
    <x v="0"/>
    <x v="2"/>
  </r>
  <r>
    <x v="140"/>
    <x v="16"/>
    <x v="1521"/>
    <x v="0"/>
    <x v="0"/>
    <x v="4"/>
    <x v="5"/>
    <x v="0"/>
    <x v="0"/>
  </r>
  <r>
    <x v="140"/>
    <x v="17"/>
    <x v="1695"/>
    <x v="0"/>
    <x v="0"/>
    <x v="4"/>
    <x v="5"/>
    <x v="0"/>
    <x v="0"/>
  </r>
  <r>
    <x v="140"/>
    <x v="18"/>
    <x v="1424"/>
    <x v="0"/>
    <x v="0"/>
    <x v="4"/>
    <x v="5"/>
    <x v="0"/>
    <x v="0"/>
  </r>
  <r>
    <x v="140"/>
    <x v="19"/>
    <x v="1476"/>
    <x v="0"/>
    <x v="0"/>
    <x v="4"/>
    <x v="5"/>
    <x v="0"/>
    <x v="0"/>
  </r>
  <r>
    <x v="140"/>
    <x v="20"/>
    <x v="1509"/>
    <x v="0"/>
    <x v="0"/>
    <x v="4"/>
    <x v="5"/>
    <x v="0"/>
    <x v="1"/>
  </r>
  <r>
    <x v="140"/>
    <x v="21"/>
    <x v="1417"/>
    <x v="0"/>
    <x v="0"/>
    <x v="4"/>
    <x v="5"/>
    <x v="0"/>
    <x v="1"/>
  </r>
  <r>
    <x v="140"/>
    <x v="22"/>
    <x v="1065"/>
    <x v="0"/>
    <x v="0"/>
    <x v="4"/>
    <x v="5"/>
    <x v="0"/>
    <x v="1"/>
  </r>
  <r>
    <x v="140"/>
    <x v="23"/>
    <x v="612"/>
    <x v="0"/>
    <x v="0"/>
    <x v="4"/>
    <x v="5"/>
    <x v="0"/>
    <x v="1"/>
  </r>
  <r>
    <x v="141"/>
    <x v="0"/>
    <x v="296"/>
    <x v="0"/>
    <x v="0"/>
    <x v="4"/>
    <x v="6"/>
    <x v="0"/>
    <x v="4"/>
  </r>
  <r>
    <x v="141"/>
    <x v="1"/>
    <x v="169"/>
    <x v="0"/>
    <x v="0"/>
    <x v="4"/>
    <x v="6"/>
    <x v="0"/>
    <x v="4"/>
  </r>
  <r>
    <x v="141"/>
    <x v="2"/>
    <x v="86"/>
    <x v="0"/>
    <x v="0"/>
    <x v="4"/>
    <x v="6"/>
    <x v="0"/>
    <x v="4"/>
  </r>
  <r>
    <x v="141"/>
    <x v="3"/>
    <x v="165"/>
    <x v="0"/>
    <x v="0"/>
    <x v="4"/>
    <x v="6"/>
    <x v="0"/>
    <x v="4"/>
  </r>
  <r>
    <x v="141"/>
    <x v="4"/>
    <x v="268"/>
    <x v="0"/>
    <x v="0"/>
    <x v="4"/>
    <x v="6"/>
    <x v="0"/>
    <x v="4"/>
  </r>
  <r>
    <x v="141"/>
    <x v="5"/>
    <x v="518"/>
    <x v="0"/>
    <x v="0"/>
    <x v="4"/>
    <x v="6"/>
    <x v="0"/>
    <x v="4"/>
  </r>
  <r>
    <x v="141"/>
    <x v="6"/>
    <x v="931"/>
    <x v="0"/>
    <x v="0"/>
    <x v="4"/>
    <x v="6"/>
    <x v="0"/>
    <x v="3"/>
  </r>
  <r>
    <x v="141"/>
    <x v="7"/>
    <x v="1312"/>
    <x v="0"/>
    <x v="0"/>
    <x v="4"/>
    <x v="6"/>
    <x v="0"/>
    <x v="3"/>
  </r>
  <r>
    <x v="141"/>
    <x v="8"/>
    <x v="1234"/>
    <x v="0"/>
    <x v="0"/>
    <x v="4"/>
    <x v="6"/>
    <x v="0"/>
    <x v="3"/>
  </r>
  <r>
    <x v="141"/>
    <x v="9"/>
    <x v="947"/>
    <x v="0"/>
    <x v="0"/>
    <x v="4"/>
    <x v="6"/>
    <x v="0"/>
    <x v="3"/>
  </r>
  <r>
    <x v="141"/>
    <x v="10"/>
    <x v="998"/>
    <x v="0"/>
    <x v="0"/>
    <x v="4"/>
    <x v="6"/>
    <x v="0"/>
    <x v="2"/>
  </r>
  <r>
    <x v="141"/>
    <x v="11"/>
    <x v="945"/>
    <x v="0"/>
    <x v="0"/>
    <x v="4"/>
    <x v="6"/>
    <x v="0"/>
    <x v="2"/>
  </r>
  <r>
    <x v="141"/>
    <x v="12"/>
    <x v="946"/>
    <x v="0"/>
    <x v="0"/>
    <x v="4"/>
    <x v="6"/>
    <x v="0"/>
    <x v="2"/>
  </r>
  <r>
    <x v="141"/>
    <x v="13"/>
    <x v="1102"/>
    <x v="0"/>
    <x v="0"/>
    <x v="4"/>
    <x v="6"/>
    <x v="0"/>
    <x v="2"/>
  </r>
  <r>
    <x v="141"/>
    <x v="14"/>
    <x v="1203"/>
    <x v="0"/>
    <x v="0"/>
    <x v="4"/>
    <x v="6"/>
    <x v="0"/>
    <x v="2"/>
  </r>
  <r>
    <x v="141"/>
    <x v="15"/>
    <x v="1481"/>
    <x v="0"/>
    <x v="0"/>
    <x v="4"/>
    <x v="6"/>
    <x v="0"/>
    <x v="2"/>
  </r>
  <r>
    <x v="141"/>
    <x v="16"/>
    <x v="1670"/>
    <x v="0"/>
    <x v="0"/>
    <x v="4"/>
    <x v="6"/>
    <x v="0"/>
    <x v="0"/>
  </r>
  <r>
    <x v="141"/>
    <x v="17"/>
    <x v="1841"/>
    <x v="0"/>
    <x v="0"/>
    <x v="4"/>
    <x v="6"/>
    <x v="0"/>
    <x v="0"/>
  </r>
  <r>
    <x v="141"/>
    <x v="18"/>
    <x v="1726"/>
    <x v="0"/>
    <x v="0"/>
    <x v="4"/>
    <x v="6"/>
    <x v="0"/>
    <x v="0"/>
  </r>
  <r>
    <x v="141"/>
    <x v="19"/>
    <x v="1629"/>
    <x v="0"/>
    <x v="0"/>
    <x v="4"/>
    <x v="6"/>
    <x v="0"/>
    <x v="0"/>
  </r>
  <r>
    <x v="141"/>
    <x v="20"/>
    <x v="1688"/>
    <x v="0"/>
    <x v="0"/>
    <x v="4"/>
    <x v="6"/>
    <x v="0"/>
    <x v="1"/>
  </r>
  <r>
    <x v="141"/>
    <x v="21"/>
    <x v="1710"/>
    <x v="0"/>
    <x v="0"/>
    <x v="4"/>
    <x v="6"/>
    <x v="0"/>
    <x v="1"/>
  </r>
  <r>
    <x v="141"/>
    <x v="22"/>
    <x v="1229"/>
    <x v="0"/>
    <x v="0"/>
    <x v="4"/>
    <x v="6"/>
    <x v="0"/>
    <x v="1"/>
  </r>
  <r>
    <x v="141"/>
    <x v="23"/>
    <x v="732"/>
    <x v="0"/>
    <x v="0"/>
    <x v="4"/>
    <x v="6"/>
    <x v="0"/>
    <x v="1"/>
  </r>
  <r>
    <x v="142"/>
    <x v="0"/>
    <x v="371"/>
    <x v="0"/>
    <x v="0"/>
    <x v="4"/>
    <x v="4"/>
    <x v="0"/>
    <x v="4"/>
  </r>
  <r>
    <x v="142"/>
    <x v="1"/>
    <x v="214"/>
    <x v="0"/>
    <x v="0"/>
    <x v="4"/>
    <x v="4"/>
    <x v="0"/>
    <x v="4"/>
  </r>
  <r>
    <x v="142"/>
    <x v="2"/>
    <x v="107"/>
    <x v="0"/>
    <x v="0"/>
    <x v="4"/>
    <x v="4"/>
    <x v="0"/>
    <x v="4"/>
  </r>
  <r>
    <x v="142"/>
    <x v="3"/>
    <x v="197"/>
    <x v="0"/>
    <x v="0"/>
    <x v="4"/>
    <x v="4"/>
    <x v="0"/>
    <x v="4"/>
  </r>
  <r>
    <x v="142"/>
    <x v="4"/>
    <x v="339"/>
    <x v="0"/>
    <x v="0"/>
    <x v="4"/>
    <x v="4"/>
    <x v="0"/>
    <x v="4"/>
  </r>
  <r>
    <x v="142"/>
    <x v="5"/>
    <x v="495"/>
    <x v="0"/>
    <x v="0"/>
    <x v="4"/>
    <x v="4"/>
    <x v="0"/>
    <x v="4"/>
  </r>
  <r>
    <x v="142"/>
    <x v="6"/>
    <x v="904"/>
    <x v="0"/>
    <x v="0"/>
    <x v="4"/>
    <x v="4"/>
    <x v="0"/>
    <x v="3"/>
  </r>
  <r>
    <x v="142"/>
    <x v="7"/>
    <x v="1342"/>
    <x v="0"/>
    <x v="0"/>
    <x v="4"/>
    <x v="4"/>
    <x v="0"/>
    <x v="3"/>
  </r>
  <r>
    <x v="142"/>
    <x v="8"/>
    <x v="1261"/>
    <x v="0"/>
    <x v="0"/>
    <x v="4"/>
    <x v="4"/>
    <x v="0"/>
    <x v="3"/>
  </r>
  <r>
    <x v="142"/>
    <x v="9"/>
    <x v="967"/>
    <x v="0"/>
    <x v="0"/>
    <x v="4"/>
    <x v="4"/>
    <x v="0"/>
    <x v="3"/>
  </r>
  <r>
    <x v="142"/>
    <x v="10"/>
    <x v="950"/>
    <x v="0"/>
    <x v="0"/>
    <x v="4"/>
    <x v="4"/>
    <x v="0"/>
    <x v="2"/>
  </r>
  <r>
    <x v="142"/>
    <x v="11"/>
    <x v="993"/>
    <x v="0"/>
    <x v="0"/>
    <x v="4"/>
    <x v="4"/>
    <x v="0"/>
    <x v="2"/>
  </r>
  <r>
    <x v="142"/>
    <x v="12"/>
    <x v="1005"/>
    <x v="0"/>
    <x v="0"/>
    <x v="4"/>
    <x v="4"/>
    <x v="0"/>
    <x v="2"/>
  </r>
  <r>
    <x v="142"/>
    <x v="13"/>
    <x v="1148"/>
    <x v="0"/>
    <x v="0"/>
    <x v="4"/>
    <x v="4"/>
    <x v="0"/>
    <x v="2"/>
  </r>
  <r>
    <x v="142"/>
    <x v="14"/>
    <x v="1270"/>
    <x v="0"/>
    <x v="0"/>
    <x v="4"/>
    <x v="4"/>
    <x v="0"/>
    <x v="2"/>
  </r>
  <r>
    <x v="142"/>
    <x v="15"/>
    <x v="1569"/>
    <x v="0"/>
    <x v="0"/>
    <x v="4"/>
    <x v="4"/>
    <x v="0"/>
    <x v="2"/>
  </r>
  <r>
    <x v="142"/>
    <x v="16"/>
    <x v="1708"/>
    <x v="0"/>
    <x v="0"/>
    <x v="4"/>
    <x v="4"/>
    <x v="0"/>
    <x v="0"/>
  </r>
  <r>
    <x v="142"/>
    <x v="17"/>
    <x v="1842"/>
    <x v="0"/>
    <x v="0"/>
    <x v="4"/>
    <x v="4"/>
    <x v="0"/>
    <x v="0"/>
  </r>
  <r>
    <x v="142"/>
    <x v="18"/>
    <x v="1883"/>
    <x v="0"/>
    <x v="0"/>
    <x v="4"/>
    <x v="4"/>
    <x v="0"/>
    <x v="0"/>
  </r>
  <r>
    <x v="142"/>
    <x v="19"/>
    <x v="1893"/>
    <x v="0"/>
    <x v="0"/>
    <x v="4"/>
    <x v="4"/>
    <x v="0"/>
    <x v="0"/>
  </r>
  <r>
    <x v="142"/>
    <x v="20"/>
    <x v="1885"/>
    <x v="0"/>
    <x v="0"/>
    <x v="4"/>
    <x v="4"/>
    <x v="0"/>
    <x v="1"/>
  </r>
  <r>
    <x v="142"/>
    <x v="21"/>
    <x v="2067"/>
    <x v="0"/>
    <x v="0"/>
    <x v="4"/>
    <x v="4"/>
    <x v="0"/>
    <x v="1"/>
  </r>
  <r>
    <x v="142"/>
    <x v="22"/>
    <x v="2160"/>
    <x v="0"/>
    <x v="0"/>
    <x v="4"/>
    <x v="4"/>
    <x v="0"/>
    <x v="1"/>
  </r>
  <r>
    <x v="142"/>
    <x v="23"/>
    <x v="1810"/>
    <x v="0"/>
    <x v="0"/>
    <x v="4"/>
    <x v="4"/>
    <x v="0"/>
    <x v="1"/>
  </r>
  <r>
    <x v="143"/>
    <x v="0"/>
    <x v="774"/>
    <x v="0"/>
    <x v="0"/>
    <x v="4"/>
    <x v="0"/>
    <x v="0"/>
    <x v="4"/>
  </r>
  <r>
    <x v="143"/>
    <x v="1"/>
    <x v="340"/>
    <x v="0"/>
    <x v="0"/>
    <x v="4"/>
    <x v="0"/>
    <x v="0"/>
    <x v="4"/>
  </r>
  <r>
    <x v="143"/>
    <x v="2"/>
    <x v="183"/>
    <x v="0"/>
    <x v="0"/>
    <x v="4"/>
    <x v="0"/>
    <x v="0"/>
    <x v="4"/>
  </r>
  <r>
    <x v="143"/>
    <x v="3"/>
    <x v="233"/>
    <x v="0"/>
    <x v="0"/>
    <x v="4"/>
    <x v="0"/>
    <x v="0"/>
    <x v="4"/>
  </r>
  <r>
    <x v="143"/>
    <x v="4"/>
    <x v="356"/>
    <x v="0"/>
    <x v="0"/>
    <x v="4"/>
    <x v="0"/>
    <x v="0"/>
    <x v="4"/>
  </r>
  <r>
    <x v="143"/>
    <x v="5"/>
    <x v="521"/>
    <x v="0"/>
    <x v="0"/>
    <x v="4"/>
    <x v="0"/>
    <x v="0"/>
    <x v="4"/>
  </r>
  <r>
    <x v="143"/>
    <x v="6"/>
    <x v="840"/>
    <x v="0"/>
    <x v="0"/>
    <x v="4"/>
    <x v="0"/>
    <x v="0"/>
    <x v="3"/>
  </r>
  <r>
    <x v="143"/>
    <x v="7"/>
    <x v="1220"/>
    <x v="0"/>
    <x v="0"/>
    <x v="4"/>
    <x v="0"/>
    <x v="0"/>
    <x v="3"/>
  </r>
  <r>
    <x v="143"/>
    <x v="8"/>
    <x v="1268"/>
    <x v="0"/>
    <x v="0"/>
    <x v="4"/>
    <x v="0"/>
    <x v="0"/>
    <x v="3"/>
  </r>
  <r>
    <x v="143"/>
    <x v="9"/>
    <x v="966"/>
    <x v="0"/>
    <x v="0"/>
    <x v="4"/>
    <x v="0"/>
    <x v="0"/>
    <x v="3"/>
  </r>
  <r>
    <x v="143"/>
    <x v="10"/>
    <x v="932"/>
    <x v="0"/>
    <x v="0"/>
    <x v="4"/>
    <x v="0"/>
    <x v="0"/>
    <x v="2"/>
  </r>
  <r>
    <x v="143"/>
    <x v="11"/>
    <x v="962"/>
    <x v="0"/>
    <x v="0"/>
    <x v="4"/>
    <x v="0"/>
    <x v="0"/>
    <x v="2"/>
  </r>
  <r>
    <x v="143"/>
    <x v="12"/>
    <x v="946"/>
    <x v="0"/>
    <x v="0"/>
    <x v="4"/>
    <x v="0"/>
    <x v="0"/>
    <x v="2"/>
  </r>
  <r>
    <x v="143"/>
    <x v="13"/>
    <x v="1156"/>
    <x v="0"/>
    <x v="0"/>
    <x v="4"/>
    <x v="0"/>
    <x v="0"/>
    <x v="2"/>
  </r>
  <r>
    <x v="143"/>
    <x v="14"/>
    <x v="1339"/>
    <x v="0"/>
    <x v="0"/>
    <x v="4"/>
    <x v="0"/>
    <x v="0"/>
    <x v="2"/>
  </r>
  <r>
    <x v="143"/>
    <x v="15"/>
    <x v="1663"/>
    <x v="0"/>
    <x v="0"/>
    <x v="4"/>
    <x v="0"/>
    <x v="0"/>
    <x v="2"/>
  </r>
  <r>
    <x v="143"/>
    <x v="16"/>
    <x v="1731"/>
    <x v="0"/>
    <x v="0"/>
    <x v="4"/>
    <x v="0"/>
    <x v="0"/>
    <x v="0"/>
  </r>
  <r>
    <x v="143"/>
    <x v="17"/>
    <x v="1673"/>
    <x v="0"/>
    <x v="0"/>
    <x v="4"/>
    <x v="0"/>
    <x v="0"/>
    <x v="0"/>
  </r>
  <r>
    <x v="143"/>
    <x v="18"/>
    <x v="1617"/>
    <x v="0"/>
    <x v="0"/>
    <x v="4"/>
    <x v="0"/>
    <x v="0"/>
    <x v="0"/>
  </r>
  <r>
    <x v="143"/>
    <x v="19"/>
    <x v="1571"/>
    <x v="0"/>
    <x v="0"/>
    <x v="4"/>
    <x v="0"/>
    <x v="0"/>
    <x v="0"/>
  </r>
  <r>
    <x v="143"/>
    <x v="20"/>
    <x v="1434"/>
    <x v="0"/>
    <x v="0"/>
    <x v="4"/>
    <x v="0"/>
    <x v="0"/>
    <x v="1"/>
  </r>
  <r>
    <x v="143"/>
    <x v="21"/>
    <x v="1539"/>
    <x v="0"/>
    <x v="0"/>
    <x v="4"/>
    <x v="0"/>
    <x v="0"/>
    <x v="1"/>
  </r>
  <r>
    <x v="143"/>
    <x v="22"/>
    <x v="1575"/>
    <x v="0"/>
    <x v="0"/>
    <x v="4"/>
    <x v="0"/>
    <x v="0"/>
    <x v="1"/>
  </r>
  <r>
    <x v="143"/>
    <x v="23"/>
    <x v="1507"/>
    <x v="0"/>
    <x v="0"/>
    <x v="4"/>
    <x v="0"/>
    <x v="0"/>
    <x v="1"/>
  </r>
  <r>
    <x v="144"/>
    <x v="0"/>
    <x v="1028"/>
    <x v="0"/>
    <x v="0"/>
    <x v="4"/>
    <x v="2"/>
    <x v="1"/>
    <x v="4"/>
  </r>
  <r>
    <x v="144"/>
    <x v="1"/>
    <x v="678"/>
    <x v="0"/>
    <x v="0"/>
    <x v="4"/>
    <x v="2"/>
    <x v="1"/>
    <x v="4"/>
  </r>
  <r>
    <x v="144"/>
    <x v="2"/>
    <x v="466"/>
    <x v="0"/>
    <x v="0"/>
    <x v="4"/>
    <x v="2"/>
    <x v="1"/>
    <x v="4"/>
  </r>
  <r>
    <x v="144"/>
    <x v="3"/>
    <x v="350"/>
    <x v="0"/>
    <x v="0"/>
    <x v="4"/>
    <x v="2"/>
    <x v="1"/>
    <x v="4"/>
  </r>
  <r>
    <x v="144"/>
    <x v="4"/>
    <x v="285"/>
    <x v="0"/>
    <x v="0"/>
    <x v="4"/>
    <x v="2"/>
    <x v="1"/>
    <x v="4"/>
  </r>
  <r>
    <x v="144"/>
    <x v="5"/>
    <x v="271"/>
    <x v="0"/>
    <x v="0"/>
    <x v="4"/>
    <x v="2"/>
    <x v="1"/>
    <x v="4"/>
  </r>
  <r>
    <x v="144"/>
    <x v="6"/>
    <x v="334"/>
    <x v="0"/>
    <x v="0"/>
    <x v="4"/>
    <x v="2"/>
    <x v="1"/>
    <x v="3"/>
  </r>
  <r>
    <x v="144"/>
    <x v="7"/>
    <x v="442"/>
    <x v="0"/>
    <x v="0"/>
    <x v="4"/>
    <x v="2"/>
    <x v="1"/>
    <x v="3"/>
  </r>
  <r>
    <x v="144"/>
    <x v="8"/>
    <x v="578"/>
    <x v="0"/>
    <x v="0"/>
    <x v="4"/>
    <x v="2"/>
    <x v="1"/>
    <x v="3"/>
  </r>
  <r>
    <x v="144"/>
    <x v="9"/>
    <x v="695"/>
    <x v="0"/>
    <x v="0"/>
    <x v="4"/>
    <x v="2"/>
    <x v="1"/>
    <x v="3"/>
  </r>
  <r>
    <x v="144"/>
    <x v="10"/>
    <x v="798"/>
    <x v="0"/>
    <x v="0"/>
    <x v="4"/>
    <x v="2"/>
    <x v="1"/>
    <x v="2"/>
  </r>
  <r>
    <x v="144"/>
    <x v="11"/>
    <x v="915"/>
    <x v="0"/>
    <x v="0"/>
    <x v="4"/>
    <x v="2"/>
    <x v="1"/>
    <x v="2"/>
  </r>
  <r>
    <x v="144"/>
    <x v="12"/>
    <x v="949"/>
    <x v="0"/>
    <x v="0"/>
    <x v="4"/>
    <x v="2"/>
    <x v="1"/>
    <x v="2"/>
  </r>
  <r>
    <x v="144"/>
    <x v="13"/>
    <x v="1000"/>
    <x v="0"/>
    <x v="0"/>
    <x v="4"/>
    <x v="2"/>
    <x v="1"/>
    <x v="2"/>
  </r>
  <r>
    <x v="144"/>
    <x v="14"/>
    <x v="1133"/>
    <x v="0"/>
    <x v="0"/>
    <x v="4"/>
    <x v="2"/>
    <x v="1"/>
    <x v="2"/>
  </r>
  <r>
    <x v="144"/>
    <x v="15"/>
    <x v="1422"/>
    <x v="0"/>
    <x v="0"/>
    <x v="4"/>
    <x v="2"/>
    <x v="1"/>
    <x v="2"/>
  </r>
  <r>
    <x v="144"/>
    <x v="16"/>
    <x v="1414"/>
    <x v="0"/>
    <x v="0"/>
    <x v="4"/>
    <x v="2"/>
    <x v="1"/>
    <x v="0"/>
  </r>
  <r>
    <x v="144"/>
    <x v="17"/>
    <x v="1440"/>
    <x v="0"/>
    <x v="0"/>
    <x v="4"/>
    <x v="2"/>
    <x v="1"/>
    <x v="0"/>
  </r>
  <r>
    <x v="144"/>
    <x v="18"/>
    <x v="1617"/>
    <x v="0"/>
    <x v="0"/>
    <x v="4"/>
    <x v="2"/>
    <x v="1"/>
    <x v="0"/>
  </r>
  <r>
    <x v="144"/>
    <x v="19"/>
    <x v="1764"/>
    <x v="0"/>
    <x v="0"/>
    <x v="4"/>
    <x v="2"/>
    <x v="1"/>
    <x v="0"/>
  </r>
  <r>
    <x v="144"/>
    <x v="20"/>
    <x v="1562"/>
    <x v="0"/>
    <x v="0"/>
    <x v="4"/>
    <x v="2"/>
    <x v="1"/>
    <x v="1"/>
  </r>
  <r>
    <x v="144"/>
    <x v="21"/>
    <x v="1639"/>
    <x v="0"/>
    <x v="0"/>
    <x v="4"/>
    <x v="2"/>
    <x v="1"/>
    <x v="1"/>
  </r>
  <r>
    <x v="144"/>
    <x v="22"/>
    <x v="1747"/>
    <x v="0"/>
    <x v="0"/>
    <x v="4"/>
    <x v="2"/>
    <x v="1"/>
    <x v="1"/>
  </r>
  <r>
    <x v="144"/>
    <x v="23"/>
    <x v="1513"/>
    <x v="0"/>
    <x v="0"/>
    <x v="4"/>
    <x v="2"/>
    <x v="1"/>
    <x v="1"/>
  </r>
  <r>
    <x v="145"/>
    <x v="0"/>
    <x v="1223"/>
    <x v="0"/>
    <x v="0"/>
    <x v="4"/>
    <x v="3"/>
    <x v="1"/>
    <x v="4"/>
  </r>
  <r>
    <x v="145"/>
    <x v="1"/>
    <x v="923"/>
    <x v="0"/>
    <x v="0"/>
    <x v="4"/>
    <x v="3"/>
    <x v="1"/>
    <x v="4"/>
  </r>
  <r>
    <x v="145"/>
    <x v="2"/>
    <x v="634"/>
    <x v="0"/>
    <x v="0"/>
    <x v="4"/>
    <x v="3"/>
    <x v="1"/>
    <x v="4"/>
  </r>
  <r>
    <x v="145"/>
    <x v="3"/>
    <x v="394"/>
    <x v="0"/>
    <x v="0"/>
    <x v="4"/>
    <x v="3"/>
    <x v="1"/>
    <x v="4"/>
  </r>
  <r>
    <x v="145"/>
    <x v="4"/>
    <x v="260"/>
    <x v="0"/>
    <x v="0"/>
    <x v="4"/>
    <x v="3"/>
    <x v="1"/>
    <x v="4"/>
  </r>
  <r>
    <x v="145"/>
    <x v="5"/>
    <x v="228"/>
    <x v="0"/>
    <x v="0"/>
    <x v="4"/>
    <x v="3"/>
    <x v="1"/>
    <x v="4"/>
  </r>
  <r>
    <x v="145"/>
    <x v="6"/>
    <x v="272"/>
    <x v="0"/>
    <x v="0"/>
    <x v="4"/>
    <x v="3"/>
    <x v="1"/>
    <x v="3"/>
  </r>
  <r>
    <x v="145"/>
    <x v="7"/>
    <x v="374"/>
    <x v="0"/>
    <x v="0"/>
    <x v="4"/>
    <x v="3"/>
    <x v="1"/>
    <x v="3"/>
  </r>
  <r>
    <x v="145"/>
    <x v="8"/>
    <x v="529"/>
    <x v="0"/>
    <x v="0"/>
    <x v="4"/>
    <x v="3"/>
    <x v="1"/>
    <x v="3"/>
  </r>
  <r>
    <x v="145"/>
    <x v="9"/>
    <x v="689"/>
    <x v="0"/>
    <x v="0"/>
    <x v="4"/>
    <x v="3"/>
    <x v="1"/>
    <x v="3"/>
  </r>
  <r>
    <x v="145"/>
    <x v="10"/>
    <x v="816"/>
    <x v="0"/>
    <x v="0"/>
    <x v="4"/>
    <x v="3"/>
    <x v="1"/>
    <x v="2"/>
  </r>
  <r>
    <x v="145"/>
    <x v="11"/>
    <x v="899"/>
    <x v="0"/>
    <x v="0"/>
    <x v="4"/>
    <x v="3"/>
    <x v="1"/>
    <x v="2"/>
  </r>
  <r>
    <x v="145"/>
    <x v="12"/>
    <x v="912"/>
    <x v="0"/>
    <x v="0"/>
    <x v="4"/>
    <x v="3"/>
    <x v="1"/>
    <x v="2"/>
  </r>
  <r>
    <x v="145"/>
    <x v="13"/>
    <x v="1026"/>
    <x v="0"/>
    <x v="0"/>
    <x v="4"/>
    <x v="3"/>
    <x v="1"/>
    <x v="2"/>
  </r>
  <r>
    <x v="145"/>
    <x v="14"/>
    <x v="1064"/>
    <x v="0"/>
    <x v="0"/>
    <x v="4"/>
    <x v="3"/>
    <x v="1"/>
    <x v="2"/>
  </r>
  <r>
    <x v="145"/>
    <x v="15"/>
    <x v="1210"/>
    <x v="0"/>
    <x v="0"/>
    <x v="4"/>
    <x v="3"/>
    <x v="1"/>
    <x v="2"/>
  </r>
  <r>
    <x v="145"/>
    <x v="16"/>
    <x v="1245"/>
    <x v="0"/>
    <x v="0"/>
    <x v="4"/>
    <x v="3"/>
    <x v="1"/>
    <x v="0"/>
  </r>
  <r>
    <x v="145"/>
    <x v="17"/>
    <x v="1270"/>
    <x v="0"/>
    <x v="0"/>
    <x v="4"/>
    <x v="3"/>
    <x v="1"/>
    <x v="0"/>
  </r>
  <r>
    <x v="145"/>
    <x v="18"/>
    <x v="1119"/>
    <x v="0"/>
    <x v="0"/>
    <x v="4"/>
    <x v="3"/>
    <x v="1"/>
    <x v="0"/>
  </r>
  <r>
    <x v="145"/>
    <x v="19"/>
    <x v="1116"/>
    <x v="0"/>
    <x v="0"/>
    <x v="4"/>
    <x v="3"/>
    <x v="1"/>
    <x v="0"/>
  </r>
  <r>
    <x v="145"/>
    <x v="20"/>
    <x v="1020"/>
    <x v="0"/>
    <x v="0"/>
    <x v="4"/>
    <x v="3"/>
    <x v="1"/>
    <x v="1"/>
  </r>
  <r>
    <x v="145"/>
    <x v="21"/>
    <x v="945"/>
    <x v="0"/>
    <x v="0"/>
    <x v="4"/>
    <x v="3"/>
    <x v="1"/>
    <x v="1"/>
  </r>
  <r>
    <x v="145"/>
    <x v="22"/>
    <x v="825"/>
    <x v="0"/>
    <x v="0"/>
    <x v="4"/>
    <x v="3"/>
    <x v="1"/>
    <x v="1"/>
  </r>
  <r>
    <x v="145"/>
    <x v="23"/>
    <x v="454"/>
    <x v="0"/>
    <x v="0"/>
    <x v="4"/>
    <x v="3"/>
    <x v="1"/>
    <x v="1"/>
  </r>
  <r>
    <x v="146"/>
    <x v="0"/>
    <x v="185"/>
    <x v="0"/>
    <x v="0"/>
    <x v="4"/>
    <x v="1"/>
    <x v="0"/>
    <x v="4"/>
  </r>
  <r>
    <x v="146"/>
    <x v="1"/>
    <x v="99"/>
    <x v="0"/>
    <x v="0"/>
    <x v="4"/>
    <x v="1"/>
    <x v="0"/>
    <x v="4"/>
  </r>
  <r>
    <x v="146"/>
    <x v="2"/>
    <x v="79"/>
    <x v="0"/>
    <x v="0"/>
    <x v="4"/>
    <x v="1"/>
    <x v="0"/>
    <x v="4"/>
  </r>
  <r>
    <x v="146"/>
    <x v="3"/>
    <x v="229"/>
    <x v="0"/>
    <x v="0"/>
    <x v="4"/>
    <x v="1"/>
    <x v="0"/>
    <x v="4"/>
  </r>
  <r>
    <x v="146"/>
    <x v="4"/>
    <x v="436"/>
    <x v="0"/>
    <x v="0"/>
    <x v="4"/>
    <x v="1"/>
    <x v="0"/>
    <x v="4"/>
  </r>
  <r>
    <x v="146"/>
    <x v="5"/>
    <x v="608"/>
    <x v="0"/>
    <x v="0"/>
    <x v="4"/>
    <x v="1"/>
    <x v="0"/>
    <x v="4"/>
  </r>
  <r>
    <x v="146"/>
    <x v="6"/>
    <x v="894"/>
    <x v="0"/>
    <x v="0"/>
    <x v="4"/>
    <x v="1"/>
    <x v="0"/>
    <x v="3"/>
  </r>
  <r>
    <x v="146"/>
    <x v="7"/>
    <x v="1165"/>
    <x v="0"/>
    <x v="0"/>
    <x v="4"/>
    <x v="1"/>
    <x v="0"/>
    <x v="3"/>
  </r>
  <r>
    <x v="146"/>
    <x v="8"/>
    <x v="1121"/>
    <x v="0"/>
    <x v="0"/>
    <x v="4"/>
    <x v="1"/>
    <x v="0"/>
    <x v="3"/>
  </r>
  <r>
    <x v="146"/>
    <x v="9"/>
    <x v="829"/>
    <x v="0"/>
    <x v="0"/>
    <x v="4"/>
    <x v="1"/>
    <x v="0"/>
    <x v="3"/>
  </r>
  <r>
    <x v="146"/>
    <x v="10"/>
    <x v="728"/>
    <x v="0"/>
    <x v="0"/>
    <x v="4"/>
    <x v="1"/>
    <x v="0"/>
    <x v="2"/>
  </r>
  <r>
    <x v="146"/>
    <x v="11"/>
    <x v="731"/>
    <x v="0"/>
    <x v="0"/>
    <x v="4"/>
    <x v="1"/>
    <x v="0"/>
    <x v="2"/>
  </r>
  <r>
    <x v="146"/>
    <x v="12"/>
    <x v="768"/>
    <x v="0"/>
    <x v="0"/>
    <x v="4"/>
    <x v="1"/>
    <x v="0"/>
    <x v="2"/>
  </r>
  <r>
    <x v="146"/>
    <x v="13"/>
    <x v="846"/>
    <x v="0"/>
    <x v="0"/>
    <x v="4"/>
    <x v="1"/>
    <x v="0"/>
    <x v="2"/>
  </r>
  <r>
    <x v="146"/>
    <x v="14"/>
    <x v="974"/>
    <x v="0"/>
    <x v="0"/>
    <x v="4"/>
    <x v="1"/>
    <x v="0"/>
    <x v="2"/>
  </r>
  <r>
    <x v="146"/>
    <x v="15"/>
    <x v="1211"/>
    <x v="0"/>
    <x v="0"/>
    <x v="4"/>
    <x v="1"/>
    <x v="0"/>
    <x v="2"/>
  </r>
  <r>
    <x v="146"/>
    <x v="16"/>
    <x v="1278"/>
    <x v="0"/>
    <x v="0"/>
    <x v="4"/>
    <x v="1"/>
    <x v="0"/>
    <x v="0"/>
  </r>
  <r>
    <x v="146"/>
    <x v="17"/>
    <x v="1323"/>
    <x v="0"/>
    <x v="0"/>
    <x v="4"/>
    <x v="1"/>
    <x v="0"/>
    <x v="0"/>
  </r>
  <r>
    <x v="146"/>
    <x v="18"/>
    <x v="1267"/>
    <x v="0"/>
    <x v="0"/>
    <x v="4"/>
    <x v="1"/>
    <x v="0"/>
    <x v="0"/>
  </r>
  <r>
    <x v="146"/>
    <x v="19"/>
    <x v="1216"/>
    <x v="0"/>
    <x v="0"/>
    <x v="4"/>
    <x v="1"/>
    <x v="0"/>
    <x v="0"/>
  </r>
  <r>
    <x v="146"/>
    <x v="20"/>
    <x v="1190"/>
    <x v="0"/>
    <x v="0"/>
    <x v="4"/>
    <x v="1"/>
    <x v="0"/>
    <x v="1"/>
  </r>
  <r>
    <x v="146"/>
    <x v="21"/>
    <x v="1079"/>
    <x v="0"/>
    <x v="0"/>
    <x v="4"/>
    <x v="1"/>
    <x v="0"/>
    <x v="1"/>
  </r>
  <r>
    <x v="146"/>
    <x v="22"/>
    <x v="787"/>
    <x v="0"/>
    <x v="0"/>
    <x v="4"/>
    <x v="1"/>
    <x v="0"/>
    <x v="1"/>
  </r>
  <r>
    <x v="146"/>
    <x v="23"/>
    <x v="439"/>
    <x v="0"/>
    <x v="0"/>
    <x v="4"/>
    <x v="1"/>
    <x v="0"/>
    <x v="1"/>
  </r>
  <r>
    <x v="147"/>
    <x v="0"/>
    <x v="161"/>
    <x v="0"/>
    <x v="0"/>
    <x v="4"/>
    <x v="5"/>
    <x v="0"/>
    <x v="4"/>
  </r>
  <r>
    <x v="147"/>
    <x v="1"/>
    <x v="101"/>
    <x v="0"/>
    <x v="0"/>
    <x v="4"/>
    <x v="5"/>
    <x v="0"/>
    <x v="4"/>
  </r>
  <r>
    <x v="147"/>
    <x v="2"/>
    <x v="61"/>
    <x v="0"/>
    <x v="0"/>
    <x v="4"/>
    <x v="5"/>
    <x v="0"/>
    <x v="4"/>
  </r>
  <r>
    <x v="147"/>
    <x v="3"/>
    <x v="129"/>
    <x v="0"/>
    <x v="0"/>
    <x v="4"/>
    <x v="5"/>
    <x v="0"/>
    <x v="4"/>
  </r>
  <r>
    <x v="147"/>
    <x v="4"/>
    <x v="244"/>
    <x v="0"/>
    <x v="0"/>
    <x v="4"/>
    <x v="5"/>
    <x v="0"/>
    <x v="4"/>
  </r>
  <r>
    <x v="147"/>
    <x v="5"/>
    <x v="480"/>
    <x v="0"/>
    <x v="0"/>
    <x v="4"/>
    <x v="5"/>
    <x v="0"/>
    <x v="4"/>
  </r>
  <r>
    <x v="147"/>
    <x v="6"/>
    <x v="864"/>
    <x v="0"/>
    <x v="0"/>
    <x v="4"/>
    <x v="5"/>
    <x v="0"/>
    <x v="3"/>
  </r>
  <r>
    <x v="147"/>
    <x v="7"/>
    <x v="1262"/>
    <x v="0"/>
    <x v="0"/>
    <x v="4"/>
    <x v="5"/>
    <x v="0"/>
    <x v="3"/>
  </r>
  <r>
    <x v="147"/>
    <x v="8"/>
    <x v="1153"/>
    <x v="0"/>
    <x v="0"/>
    <x v="4"/>
    <x v="5"/>
    <x v="0"/>
    <x v="3"/>
  </r>
  <r>
    <x v="147"/>
    <x v="9"/>
    <x v="948"/>
    <x v="0"/>
    <x v="0"/>
    <x v="4"/>
    <x v="5"/>
    <x v="0"/>
    <x v="3"/>
  </r>
  <r>
    <x v="147"/>
    <x v="10"/>
    <x v="854"/>
    <x v="0"/>
    <x v="0"/>
    <x v="4"/>
    <x v="5"/>
    <x v="0"/>
    <x v="2"/>
  </r>
  <r>
    <x v="147"/>
    <x v="11"/>
    <x v="872"/>
    <x v="0"/>
    <x v="0"/>
    <x v="4"/>
    <x v="5"/>
    <x v="0"/>
    <x v="2"/>
  </r>
  <r>
    <x v="147"/>
    <x v="12"/>
    <x v="860"/>
    <x v="0"/>
    <x v="0"/>
    <x v="4"/>
    <x v="5"/>
    <x v="0"/>
    <x v="2"/>
  </r>
  <r>
    <x v="147"/>
    <x v="13"/>
    <x v="1018"/>
    <x v="0"/>
    <x v="0"/>
    <x v="4"/>
    <x v="5"/>
    <x v="0"/>
    <x v="2"/>
  </r>
  <r>
    <x v="147"/>
    <x v="14"/>
    <x v="1092"/>
    <x v="0"/>
    <x v="0"/>
    <x v="4"/>
    <x v="5"/>
    <x v="0"/>
    <x v="2"/>
  </r>
  <r>
    <x v="147"/>
    <x v="15"/>
    <x v="1261"/>
    <x v="0"/>
    <x v="0"/>
    <x v="4"/>
    <x v="5"/>
    <x v="0"/>
    <x v="2"/>
  </r>
  <r>
    <x v="147"/>
    <x v="16"/>
    <x v="1499"/>
    <x v="0"/>
    <x v="0"/>
    <x v="4"/>
    <x v="5"/>
    <x v="0"/>
    <x v="0"/>
  </r>
  <r>
    <x v="147"/>
    <x v="17"/>
    <x v="1604"/>
    <x v="0"/>
    <x v="0"/>
    <x v="4"/>
    <x v="5"/>
    <x v="0"/>
    <x v="0"/>
  </r>
  <r>
    <x v="147"/>
    <x v="18"/>
    <x v="1411"/>
    <x v="0"/>
    <x v="0"/>
    <x v="4"/>
    <x v="5"/>
    <x v="0"/>
    <x v="0"/>
  </r>
  <r>
    <x v="147"/>
    <x v="19"/>
    <x v="1468"/>
    <x v="0"/>
    <x v="0"/>
    <x v="4"/>
    <x v="5"/>
    <x v="0"/>
    <x v="0"/>
  </r>
  <r>
    <x v="147"/>
    <x v="20"/>
    <x v="1444"/>
    <x v="0"/>
    <x v="0"/>
    <x v="4"/>
    <x v="5"/>
    <x v="0"/>
    <x v="1"/>
  </r>
  <r>
    <x v="147"/>
    <x v="21"/>
    <x v="1410"/>
    <x v="0"/>
    <x v="0"/>
    <x v="4"/>
    <x v="5"/>
    <x v="0"/>
    <x v="1"/>
  </r>
  <r>
    <x v="147"/>
    <x v="22"/>
    <x v="1025"/>
    <x v="0"/>
    <x v="0"/>
    <x v="4"/>
    <x v="5"/>
    <x v="0"/>
    <x v="1"/>
  </r>
  <r>
    <x v="147"/>
    <x v="23"/>
    <x v="524"/>
    <x v="0"/>
    <x v="0"/>
    <x v="4"/>
    <x v="5"/>
    <x v="0"/>
    <x v="1"/>
  </r>
  <r>
    <x v="148"/>
    <x v="0"/>
    <x v="239"/>
    <x v="0"/>
    <x v="0"/>
    <x v="4"/>
    <x v="6"/>
    <x v="0"/>
    <x v="4"/>
  </r>
  <r>
    <x v="148"/>
    <x v="1"/>
    <x v="142"/>
    <x v="0"/>
    <x v="0"/>
    <x v="4"/>
    <x v="6"/>
    <x v="0"/>
    <x v="4"/>
  </r>
  <r>
    <x v="148"/>
    <x v="2"/>
    <x v="66"/>
    <x v="0"/>
    <x v="0"/>
    <x v="4"/>
    <x v="6"/>
    <x v="0"/>
    <x v="4"/>
  </r>
  <r>
    <x v="148"/>
    <x v="3"/>
    <x v="146"/>
    <x v="0"/>
    <x v="0"/>
    <x v="4"/>
    <x v="6"/>
    <x v="0"/>
    <x v="4"/>
  </r>
  <r>
    <x v="148"/>
    <x v="4"/>
    <x v="246"/>
    <x v="0"/>
    <x v="0"/>
    <x v="4"/>
    <x v="6"/>
    <x v="0"/>
    <x v="4"/>
  </r>
  <r>
    <x v="148"/>
    <x v="5"/>
    <x v="502"/>
    <x v="0"/>
    <x v="0"/>
    <x v="4"/>
    <x v="6"/>
    <x v="0"/>
    <x v="4"/>
  </r>
  <r>
    <x v="148"/>
    <x v="6"/>
    <x v="827"/>
    <x v="0"/>
    <x v="0"/>
    <x v="4"/>
    <x v="6"/>
    <x v="0"/>
    <x v="3"/>
  </r>
  <r>
    <x v="148"/>
    <x v="7"/>
    <x v="1290"/>
    <x v="0"/>
    <x v="0"/>
    <x v="4"/>
    <x v="6"/>
    <x v="0"/>
    <x v="3"/>
  </r>
  <r>
    <x v="148"/>
    <x v="8"/>
    <x v="1242"/>
    <x v="0"/>
    <x v="0"/>
    <x v="4"/>
    <x v="6"/>
    <x v="0"/>
    <x v="3"/>
  </r>
  <r>
    <x v="148"/>
    <x v="9"/>
    <x v="960"/>
    <x v="0"/>
    <x v="0"/>
    <x v="4"/>
    <x v="6"/>
    <x v="0"/>
    <x v="3"/>
  </r>
  <r>
    <x v="148"/>
    <x v="10"/>
    <x v="983"/>
    <x v="0"/>
    <x v="0"/>
    <x v="4"/>
    <x v="6"/>
    <x v="0"/>
    <x v="2"/>
  </r>
  <r>
    <x v="148"/>
    <x v="11"/>
    <x v="939"/>
    <x v="0"/>
    <x v="0"/>
    <x v="4"/>
    <x v="6"/>
    <x v="0"/>
    <x v="2"/>
  </r>
  <r>
    <x v="148"/>
    <x v="12"/>
    <x v="991"/>
    <x v="0"/>
    <x v="0"/>
    <x v="4"/>
    <x v="6"/>
    <x v="0"/>
    <x v="2"/>
  </r>
  <r>
    <x v="148"/>
    <x v="13"/>
    <x v="1068"/>
    <x v="0"/>
    <x v="0"/>
    <x v="4"/>
    <x v="6"/>
    <x v="0"/>
    <x v="2"/>
  </r>
  <r>
    <x v="148"/>
    <x v="14"/>
    <x v="1139"/>
    <x v="0"/>
    <x v="0"/>
    <x v="4"/>
    <x v="6"/>
    <x v="0"/>
    <x v="2"/>
  </r>
  <r>
    <x v="148"/>
    <x v="15"/>
    <x v="1409"/>
    <x v="0"/>
    <x v="0"/>
    <x v="4"/>
    <x v="6"/>
    <x v="0"/>
    <x v="2"/>
  </r>
  <r>
    <x v="148"/>
    <x v="16"/>
    <x v="1620"/>
    <x v="0"/>
    <x v="0"/>
    <x v="4"/>
    <x v="6"/>
    <x v="0"/>
    <x v="0"/>
  </r>
  <r>
    <x v="148"/>
    <x v="17"/>
    <x v="1714"/>
    <x v="0"/>
    <x v="0"/>
    <x v="4"/>
    <x v="6"/>
    <x v="0"/>
    <x v="0"/>
  </r>
  <r>
    <x v="148"/>
    <x v="18"/>
    <x v="1679"/>
    <x v="0"/>
    <x v="0"/>
    <x v="4"/>
    <x v="6"/>
    <x v="0"/>
    <x v="0"/>
  </r>
  <r>
    <x v="148"/>
    <x v="19"/>
    <x v="1620"/>
    <x v="0"/>
    <x v="0"/>
    <x v="4"/>
    <x v="6"/>
    <x v="0"/>
    <x v="0"/>
  </r>
  <r>
    <x v="148"/>
    <x v="20"/>
    <x v="1630"/>
    <x v="0"/>
    <x v="0"/>
    <x v="4"/>
    <x v="6"/>
    <x v="0"/>
    <x v="1"/>
  </r>
  <r>
    <x v="148"/>
    <x v="21"/>
    <x v="1681"/>
    <x v="0"/>
    <x v="0"/>
    <x v="4"/>
    <x v="6"/>
    <x v="0"/>
    <x v="1"/>
  </r>
  <r>
    <x v="148"/>
    <x v="22"/>
    <x v="1191"/>
    <x v="0"/>
    <x v="0"/>
    <x v="4"/>
    <x v="6"/>
    <x v="0"/>
    <x v="1"/>
  </r>
  <r>
    <x v="148"/>
    <x v="23"/>
    <x v="681"/>
    <x v="0"/>
    <x v="0"/>
    <x v="4"/>
    <x v="6"/>
    <x v="0"/>
    <x v="1"/>
  </r>
  <r>
    <x v="149"/>
    <x v="0"/>
    <x v="324"/>
    <x v="0"/>
    <x v="0"/>
    <x v="4"/>
    <x v="4"/>
    <x v="0"/>
    <x v="4"/>
  </r>
  <r>
    <x v="149"/>
    <x v="1"/>
    <x v="162"/>
    <x v="0"/>
    <x v="0"/>
    <x v="4"/>
    <x v="4"/>
    <x v="0"/>
    <x v="4"/>
  </r>
  <r>
    <x v="149"/>
    <x v="2"/>
    <x v="106"/>
    <x v="0"/>
    <x v="0"/>
    <x v="4"/>
    <x v="4"/>
    <x v="0"/>
    <x v="4"/>
  </r>
  <r>
    <x v="149"/>
    <x v="3"/>
    <x v="185"/>
    <x v="0"/>
    <x v="0"/>
    <x v="4"/>
    <x v="4"/>
    <x v="0"/>
    <x v="4"/>
  </r>
  <r>
    <x v="149"/>
    <x v="4"/>
    <x v="293"/>
    <x v="0"/>
    <x v="0"/>
    <x v="4"/>
    <x v="4"/>
    <x v="0"/>
    <x v="4"/>
  </r>
  <r>
    <x v="149"/>
    <x v="5"/>
    <x v="536"/>
    <x v="0"/>
    <x v="0"/>
    <x v="4"/>
    <x v="4"/>
    <x v="0"/>
    <x v="4"/>
  </r>
  <r>
    <x v="149"/>
    <x v="6"/>
    <x v="892"/>
    <x v="0"/>
    <x v="0"/>
    <x v="4"/>
    <x v="4"/>
    <x v="0"/>
    <x v="3"/>
  </r>
  <r>
    <x v="149"/>
    <x v="7"/>
    <x v="1267"/>
    <x v="0"/>
    <x v="0"/>
    <x v="4"/>
    <x v="4"/>
    <x v="0"/>
    <x v="3"/>
  </r>
  <r>
    <x v="149"/>
    <x v="8"/>
    <x v="1135"/>
    <x v="0"/>
    <x v="0"/>
    <x v="4"/>
    <x v="4"/>
    <x v="0"/>
    <x v="3"/>
  </r>
  <r>
    <x v="149"/>
    <x v="9"/>
    <x v="1072"/>
    <x v="0"/>
    <x v="0"/>
    <x v="4"/>
    <x v="4"/>
    <x v="0"/>
    <x v="3"/>
  </r>
  <r>
    <x v="149"/>
    <x v="10"/>
    <x v="1012"/>
    <x v="0"/>
    <x v="0"/>
    <x v="4"/>
    <x v="4"/>
    <x v="0"/>
    <x v="2"/>
  </r>
  <r>
    <x v="149"/>
    <x v="11"/>
    <x v="976"/>
    <x v="0"/>
    <x v="0"/>
    <x v="4"/>
    <x v="4"/>
    <x v="0"/>
    <x v="2"/>
  </r>
  <r>
    <x v="149"/>
    <x v="12"/>
    <x v="987"/>
    <x v="0"/>
    <x v="0"/>
    <x v="4"/>
    <x v="4"/>
    <x v="0"/>
    <x v="2"/>
  </r>
  <r>
    <x v="149"/>
    <x v="13"/>
    <x v="1089"/>
    <x v="0"/>
    <x v="0"/>
    <x v="4"/>
    <x v="4"/>
    <x v="0"/>
    <x v="2"/>
  </r>
  <r>
    <x v="149"/>
    <x v="14"/>
    <x v="1273"/>
    <x v="0"/>
    <x v="0"/>
    <x v="4"/>
    <x v="4"/>
    <x v="0"/>
    <x v="2"/>
  </r>
  <r>
    <x v="149"/>
    <x v="15"/>
    <x v="1553"/>
    <x v="0"/>
    <x v="0"/>
    <x v="4"/>
    <x v="4"/>
    <x v="0"/>
    <x v="2"/>
  </r>
  <r>
    <x v="149"/>
    <x v="16"/>
    <x v="1647"/>
    <x v="0"/>
    <x v="0"/>
    <x v="4"/>
    <x v="4"/>
    <x v="0"/>
    <x v="0"/>
  </r>
  <r>
    <x v="149"/>
    <x v="17"/>
    <x v="1720"/>
    <x v="0"/>
    <x v="0"/>
    <x v="4"/>
    <x v="4"/>
    <x v="0"/>
    <x v="0"/>
  </r>
  <r>
    <x v="149"/>
    <x v="18"/>
    <x v="1624"/>
    <x v="0"/>
    <x v="0"/>
    <x v="4"/>
    <x v="4"/>
    <x v="0"/>
    <x v="0"/>
  </r>
  <r>
    <x v="149"/>
    <x v="19"/>
    <x v="1753"/>
    <x v="0"/>
    <x v="0"/>
    <x v="4"/>
    <x v="4"/>
    <x v="0"/>
    <x v="0"/>
  </r>
  <r>
    <x v="149"/>
    <x v="20"/>
    <x v="1727"/>
    <x v="0"/>
    <x v="0"/>
    <x v="4"/>
    <x v="4"/>
    <x v="0"/>
    <x v="1"/>
  </r>
  <r>
    <x v="149"/>
    <x v="21"/>
    <x v="1746"/>
    <x v="0"/>
    <x v="0"/>
    <x v="4"/>
    <x v="4"/>
    <x v="0"/>
    <x v="1"/>
  </r>
  <r>
    <x v="149"/>
    <x v="22"/>
    <x v="1412"/>
    <x v="0"/>
    <x v="0"/>
    <x v="4"/>
    <x v="4"/>
    <x v="0"/>
    <x v="1"/>
  </r>
  <r>
    <x v="149"/>
    <x v="23"/>
    <x v="952"/>
    <x v="0"/>
    <x v="0"/>
    <x v="4"/>
    <x v="4"/>
    <x v="0"/>
    <x v="1"/>
  </r>
  <r>
    <x v="150"/>
    <x v="0"/>
    <x v="502"/>
    <x v="0"/>
    <x v="0"/>
    <x v="4"/>
    <x v="0"/>
    <x v="0"/>
    <x v="4"/>
  </r>
  <r>
    <x v="150"/>
    <x v="1"/>
    <x v="320"/>
    <x v="0"/>
    <x v="0"/>
    <x v="4"/>
    <x v="0"/>
    <x v="0"/>
    <x v="4"/>
  </r>
  <r>
    <x v="150"/>
    <x v="2"/>
    <x v="172"/>
    <x v="0"/>
    <x v="0"/>
    <x v="4"/>
    <x v="0"/>
    <x v="0"/>
    <x v="4"/>
  </r>
  <r>
    <x v="150"/>
    <x v="3"/>
    <x v="267"/>
    <x v="0"/>
    <x v="0"/>
    <x v="4"/>
    <x v="0"/>
    <x v="0"/>
    <x v="4"/>
  </r>
  <r>
    <x v="150"/>
    <x v="4"/>
    <x v="354"/>
    <x v="0"/>
    <x v="0"/>
    <x v="4"/>
    <x v="0"/>
    <x v="0"/>
    <x v="4"/>
  </r>
  <r>
    <x v="150"/>
    <x v="5"/>
    <x v="545"/>
    <x v="0"/>
    <x v="0"/>
    <x v="4"/>
    <x v="0"/>
    <x v="0"/>
    <x v="4"/>
  </r>
  <r>
    <x v="150"/>
    <x v="6"/>
    <x v="789"/>
    <x v="0"/>
    <x v="0"/>
    <x v="4"/>
    <x v="0"/>
    <x v="0"/>
    <x v="3"/>
  </r>
  <r>
    <x v="150"/>
    <x v="7"/>
    <x v="1112"/>
    <x v="0"/>
    <x v="0"/>
    <x v="4"/>
    <x v="0"/>
    <x v="0"/>
    <x v="3"/>
  </r>
  <r>
    <x v="150"/>
    <x v="8"/>
    <x v="1188"/>
    <x v="0"/>
    <x v="0"/>
    <x v="4"/>
    <x v="0"/>
    <x v="0"/>
    <x v="3"/>
  </r>
  <r>
    <x v="150"/>
    <x v="9"/>
    <x v="1017"/>
    <x v="0"/>
    <x v="0"/>
    <x v="4"/>
    <x v="0"/>
    <x v="0"/>
    <x v="3"/>
  </r>
  <r>
    <x v="150"/>
    <x v="10"/>
    <x v="1023"/>
    <x v="0"/>
    <x v="0"/>
    <x v="4"/>
    <x v="0"/>
    <x v="0"/>
    <x v="2"/>
  </r>
  <r>
    <x v="150"/>
    <x v="11"/>
    <x v="995"/>
    <x v="0"/>
    <x v="0"/>
    <x v="4"/>
    <x v="0"/>
    <x v="0"/>
    <x v="2"/>
  </r>
  <r>
    <x v="150"/>
    <x v="12"/>
    <x v="1017"/>
    <x v="0"/>
    <x v="0"/>
    <x v="4"/>
    <x v="0"/>
    <x v="0"/>
    <x v="2"/>
  </r>
  <r>
    <x v="150"/>
    <x v="13"/>
    <x v="1145"/>
    <x v="0"/>
    <x v="0"/>
    <x v="4"/>
    <x v="0"/>
    <x v="0"/>
    <x v="2"/>
  </r>
  <r>
    <x v="150"/>
    <x v="14"/>
    <x v="1309"/>
    <x v="0"/>
    <x v="0"/>
    <x v="4"/>
    <x v="0"/>
    <x v="0"/>
    <x v="2"/>
  </r>
  <r>
    <x v="150"/>
    <x v="15"/>
    <x v="1518"/>
    <x v="0"/>
    <x v="0"/>
    <x v="4"/>
    <x v="0"/>
    <x v="0"/>
    <x v="2"/>
  </r>
  <r>
    <x v="150"/>
    <x v="16"/>
    <x v="1511"/>
    <x v="0"/>
    <x v="0"/>
    <x v="4"/>
    <x v="0"/>
    <x v="0"/>
    <x v="0"/>
  </r>
  <r>
    <x v="150"/>
    <x v="17"/>
    <x v="1457"/>
    <x v="0"/>
    <x v="0"/>
    <x v="4"/>
    <x v="0"/>
    <x v="0"/>
    <x v="0"/>
  </r>
  <r>
    <x v="150"/>
    <x v="18"/>
    <x v="1425"/>
    <x v="0"/>
    <x v="0"/>
    <x v="4"/>
    <x v="0"/>
    <x v="0"/>
    <x v="0"/>
  </r>
  <r>
    <x v="150"/>
    <x v="19"/>
    <x v="1420"/>
    <x v="0"/>
    <x v="0"/>
    <x v="4"/>
    <x v="0"/>
    <x v="0"/>
    <x v="0"/>
  </r>
  <r>
    <x v="150"/>
    <x v="20"/>
    <x v="1282"/>
    <x v="0"/>
    <x v="0"/>
    <x v="4"/>
    <x v="0"/>
    <x v="0"/>
    <x v="1"/>
  </r>
  <r>
    <x v="150"/>
    <x v="21"/>
    <x v="1450"/>
    <x v="0"/>
    <x v="0"/>
    <x v="4"/>
    <x v="0"/>
    <x v="0"/>
    <x v="1"/>
  </r>
  <r>
    <x v="150"/>
    <x v="22"/>
    <x v="1452"/>
    <x v="0"/>
    <x v="0"/>
    <x v="4"/>
    <x v="0"/>
    <x v="0"/>
    <x v="1"/>
  </r>
  <r>
    <x v="150"/>
    <x v="23"/>
    <x v="1189"/>
    <x v="0"/>
    <x v="0"/>
    <x v="4"/>
    <x v="0"/>
    <x v="0"/>
    <x v="1"/>
  </r>
  <r>
    <x v="151"/>
    <x v="0"/>
    <x v="855"/>
    <x v="0"/>
    <x v="0"/>
    <x v="4"/>
    <x v="2"/>
    <x v="1"/>
    <x v="4"/>
  </r>
  <r>
    <x v="151"/>
    <x v="1"/>
    <x v="626"/>
    <x v="0"/>
    <x v="0"/>
    <x v="4"/>
    <x v="2"/>
    <x v="1"/>
    <x v="4"/>
  </r>
  <r>
    <x v="151"/>
    <x v="2"/>
    <x v="404"/>
    <x v="0"/>
    <x v="0"/>
    <x v="4"/>
    <x v="2"/>
    <x v="1"/>
    <x v="4"/>
  </r>
  <r>
    <x v="151"/>
    <x v="3"/>
    <x v="320"/>
    <x v="0"/>
    <x v="0"/>
    <x v="4"/>
    <x v="2"/>
    <x v="1"/>
    <x v="4"/>
  </r>
  <r>
    <x v="151"/>
    <x v="4"/>
    <x v="243"/>
    <x v="0"/>
    <x v="0"/>
    <x v="4"/>
    <x v="2"/>
    <x v="1"/>
    <x v="4"/>
  </r>
  <r>
    <x v="151"/>
    <x v="5"/>
    <x v="296"/>
    <x v="0"/>
    <x v="0"/>
    <x v="4"/>
    <x v="2"/>
    <x v="1"/>
    <x v="4"/>
  </r>
  <r>
    <x v="151"/>
    <x v="6"/>
    <x v="346"/>
    <x v="0"/>
    <x v="0"/>
    <x v="4"/>
    <x v="2"/>
    <x v="1"/>
    <x v="3"/>
  </r>
  <r>
    <x v="151"/>
    <x v="7"/>
    <x v="423"/>
    <x v="0"/>
    <x v="0"/>
    <x v="4"/>
    <x v="2"/>
    <x v="1"/>
    <x v="3"/>
  </r>
  <r>
    <x v="151"/>
    <x v="8"/>
    <x v="571"/>
    <x v="0"/>
    <x v="0"/>
    <x v="4"/>
    <x v="2"/>
    <x v="1"/>
    <x v="3"/>
  </r>
  <r>
    <x v="151"/>
    <x v="9"/>
    <x v="736"/>
    <x v="0"/>
    <x v="0"/>
    <x v="4"/>
    <x v="2"/>
    <x v="1"/>
    <x v="3"/>
  </r>
  <r>
    <x v="151"/>
    <x v="10"/>
    <x v="823"/>
    <x v="0"/>
    <x v="0"/>
    <x v="4"/>
    <x v="2"/>
    <x v="1"/>
    <x v="2"/>
  </r>
  <r>
    <x v="151"/>
    <x v="11"/>
    <x v="856"/>
    <x v="0"/>
    <x v="0"/>
    <x v="4"/>
    <x v="2"/>
    <x v="1"/>
    <x v="2"/>
  </r>
  <r>
    <x v="151"/>
    <x v="12"/>
    <x v="950"/>
    <x v="0"/>
    <x v="0"/>
    <x v="4"/>
    <x v="2"/>
    <x v="1"/>
    <x v="2"/>
  </r>
  <r>
    <x v="151"/>
    <x v="13"/>
    <x v="1024"/>
    <x v="0"/>
    <x v="0"/>
    <x v="4"/>
    <x v="2"/>
    <x v="1"/>
    <x v="2"/>
  </r>
  <r>
    <x v="151"/>
    <x v="14"/>
    <x v="1066"/>
    <x v="0"/>
    <x v="0"/>
    <x v="4"/>
    <x v="2"/>
    <x v="1"/>
    <x v="2"/>
  </r>
  <r>
    <x v="151"/>
    <x v="15"/>
    <x v="1258"/>
    <x v="0"/>
    <x v="0"/>
    <x v="4"/>
    <x v="2"/>
    <x v="1"/>
    <x v="2"/>
  </r>
  <r>
    <x v="151"/>
    <x v="16"/>
    <x v="1307"/>
    <x v="0"/>
    <x v="0"/>
    <x v="4"/>
    <x v="2"/>
    <x v="1"/>
    <x v="0"/>
  </r>
  <r>
    <x v="151"/>
    <x v="17"/>
    <x v="1280"/>
    <x v="0"/>
    <x v="0"/>
    <x v="4"/>
    <x v="2"/>
    <x v="1"/>
    <x v="0"/>
  </r>
  <r>
    <x v="151"/>
    <x v="18"/>
    <x v="1334"/>
    <x v="0"/>
    <x v="0"/>
    <x v="4"/>
    <x v="2"/>
    <x v="1"/>
    <x v="0"/>
  </r>
  <r>
    <x v="151"/>
    <x v="19"/>
    <x v="1276"/>
    <x v="0"/>
    <x v="0"/>
    <x v="4"/>
    <x v="2"/>
    <x v="1"/>
    <x v="0"/>
  </r>
  <r>
    <x v="151"/>
    <x v="20"/>
    <x v="1247"/>
    <x v="0"/>
    <x v="0"/>
    <x v="4"/>
    <x v="2"/>
    <x v="1"/>
    <x v="1"/>
  </r>
  <r>
    <x v="151"/>
    <x v="21"/>
    <x v="1351"/>
    <x v="0"/>
    <x v="0"/>
    <x v="4"/>
    <x v="2"/>
    <x v="1"/>
    <x v="1"/>
  </r>
  <r>
    <x v="151"/>
    <x v="22"/>
    <x v="1430"/>
    <x v="0"/>
    <x v="0"/>
    <x v="4"/>
    <x v="2"/>
    <x v="1"/>
    <x v="1"/>
  </r>
  <r>
    <x v="151"/>
    <x v="23"/>
    <x v="1199"/>
    <x v="0"/>
    <x v="0"/>
    <x v="4"/>
    <x v="2"/>
    <x v="1"/>
    <x v="1"/>
  </r>
  <r>
    <x v="152"/>
    <x v="0"/>
    <x v="839"/>
    <x v="0"/>
    <x v="0"/>
    <x v="4"/>
    <x v="3"/>
    <x v="1"/>
    <x v="4"/>
  </r>
  <r>
    <x v="152"/>
    <x v="1"/>
    <x v="569"/>
    <x v="0"/>
    <x v="0"/>
    <x v="4"/>
    <x v="3"/>
    <x v="1"/>
    <x v="4"/>
  </r>
  <r>
    <x v="152"/>
    <x v="2"/>
    <x v="468"/>
    <x v="0"/>
    <x v="0"/>
    <x v="4"/>
    <x v="3"/>
    <x v="1"/>
    <x v="4"/>
  </r>
  <r>
    <x v="152"/>
    <x v="3"/>
    <x v="302"/>
    <x v="0"/>
    <x v="0"/>
    <x v="4"/>
    <x v="3"/>
    <x v="1"/>
    <x v="4"/>
  </r>
  <r>
    <x v="152"/>
    <x v="4"/>
    <x v="154"/>
    <x v="0"/>
    <x v="0"/>
    <x v="4"/>
    <x v="3"/>
    <x v="1"/>
    <x v="4"/>
  </r>
  <r>
    <x v="152"/>
    <x v="5"/>
    <x v="166"/>
    <x v="0"/>
    <x v="0"/>
    <x v="4"/>
    <x v="3"/>
    <x v="1"/>
    <x v="4"/>
  </r>
  <r>
    <x v="152"/>
    <x v="6"/>
    <x v="179"/>
    <x v="0"/>
    <x v="0"/>
    <x v="4"/>
    <x v="3"/>
    <x v="1"/>
    <x v="3"/>
  </r>
  <r>
    <x v="152"/>
    <x v="7"/>
    <x v="297"/>
    <x v="0"/>
    <x v="0"/>
    <x v="4"/>
    <x v="3"/>
    <x v="1"/>
    <x v="3"/>
  </r>
  <r>
    <x v="152"/>
    <x v="8"/>
    <x v="434"/>
    <x v="0"/>
    <x v="0"/>
    <x v="4"/>
    <x v="3"/>
    <x v="1"/>
    <x v="3"/>
  </r>
  <r>
    <x v="152"/>
    <x v="9"/>
    <x v="665"/>
    <x v="0"/>
    <x v="0"/>
    <x v="4"/>
    <x v="3"/>
    <x v="1"/>
    <x v="3"/>
  </r>
  <r>
    <x v="152"/>
    <x v="10"/>
    <x v="744"/>
    <x v="0"/>
    <x v="0"/>
    <x v="4"/>
    <x v="3"/>
    <x v="1"/>
    <x v="2"/>
  </r>
  <r>
    <x v="152"/>
    <x v="11"/>
    <x v="897"/>
    <x v="0"/>
    <x v="0"/>
    <x v="4"/>
    <x v="3"/>
    <x v="1"/>
    <x v="2"/>
  </r>
  <r>
    <x v="152"/>
    <x v="12"/>
    <x v="975"/>
    <x v="0"/>
    <x v="0"/>
    <x v="4"/>
    <x v="3"/>
    <x v="1"/>
    <x v="2"/>
  </r>
  <r>
    <x v="152"/>
    <x v="13"/>
    <x v="1043"/>
    <x v="0"/>
    <x v="0"/>
    <x v="4"/>
    <x v="3"/>
    <x v="1"/>
    <x v="2"/>
  </r>
  <r>
    <x v="152"/>
    <x v="14"/>
    <x v="1182"/>
    <x v="0"/>
    <x v="0"/>
    <x v="4"/>
    <x v="3"/>
    <x v="1"/>
    <x v="2"/>
  </r>
  <r>
    <x v="152"/>
    <x v="15"/>
    <x v="1503"/>
    <x v="0"/>
    <x v="0"/>
    <x v="4"/>
    <x v="3"/>
    <x v="1"/>
    <x v="2"/>
  </r>
  <r>
    <x v="152"/>
    <x v="16"/>
    <x v="1604"/>
    <x v="0"/>
    <x v="0"/>
    <x v="4"/>
    <x v="3"/>
    <x v="1"/>
    <x v="0"/>
  </r>
  <r>
    <x v="152"/>
    <x v="17"/>
    <x v="1446"/>
    <x v="0"/>
    <x v="0"/>
    <x v="4"/>
    <x v="3"/>
    <x v="1"/>
    <x v="0"/>
  </r>
  <r>
    <x v="152"/>
    <x v="18"/>
    <x v="1313"/>
    <x v="0"/>
    <x v="0"/>
    <x v="4"/>
    <x v="3"/>
    <x v="1"/>
    <x v="0"/>
  </r>
  <r>
    <x v="152"/>
    <x v="19"/>
    <x v="1221"/>
    <x v="0"/>
    <x v="0"/>
    <x v="4"/>
    <x v="3"/>
    <x v="1"/>
    <x v="0"/>
  </r>
  <r>
    <x v="152"/>
    <x v="20"/>
    <x v="1132"/>
    <x v="0"/>
    <x v="0"/>
    <x v="4"/>
    <x v="3"/>
    <x v="1"/>
    <x v="1"/>
  </r>
  <r>
    <x v="152"/>
    <x v="21"/>
    <x v="1295"/>
    <x v="0"/>
    <x v="0"/>
    <x v="4"/>
    <x v="3"/>
    <x v="1"/>
    <x v="1"/>
  </r>
  <r>
    <x v="152"/>
    <x v="22"/>
    <x v="1221"/>
    <x v="0"/>
    <x v="0"/>
    <x v="4"/>
    <x v="3"/>
    <x v="1"/>
    <x v="1"/>
  </r>
  <r>
    <x v="152"/>
    <x v="23"/>
    <x v="916"/>
    <x v="0"/>
    <x v="0"/>
    <x v="4"/>
    <x v="3"/>
    <x v="1"/>
    <x v="1"/>
  </r>
  <r>
    <x v="153"/>
    <x v="0"/>
    <x v="598"/>
    <x v="0"/>
    <x v="0"/>
    <x v="5"/>
    <x v="1"/>
    <x v="0"/>
    <x v="4"/>
  </r>
  <r>
    <x v="153"/>
    <x v="1"/>
    <x v="406"/>
    <x v="0"/>
    <x v="0"/>
    <x v="5"/>
    <x v="1"/>
    <x v="0"/>
    <x v="4"/>
  </r>
  <r>
    <x v="153"/>
    <x v="2"/>
    <x v="285"/>
    <x v="0"/>
    <x v="0"/>
    <x v="5"/>
    <x v="1"/>
    <x v="0"/>
    <x v="4"/>
  </r>
  <r>
    <x v="153"/>
    <x v="3"/>
    <x v="255"/>
    <x v="0"/>
    <x v="0"/>
    <x v="5"/>
    <x v="1"/>
    <x v="0"/>
    <x v="4"/>
  </r>
  <r>
    <x v="153"/>
    <x v="4"/>
    <x v="188"/>
    <x v="0"/>
    <x v="0"/>
    <x v="5"/>
    <x v="1"/>
    <x v="0"/>
    <x v="4"/>
  </r>
  <r>
    <x v="153"/>
    <x v="5"/>
    <x v="210"/>
    <x v="0"/>
    <x v="0"/>
    <x v="5"/>
    <x v="1"/>
    <x v="0"/>
    <x v="4"/>
  </r>
  <r>
    <x v="153"/>
    <x v="6"/>
    <x v="252"/>
    <x v="0"/>
    <x v="0"/>
    <x v="5"/>
    <x v="1"/>
    <x v="0"/>
    <x v="3"/>
  </r>
  <r>
    <x v="153"/>
    <x v="7"/>
    <x v="345"/>
    <x v="0"/>
    <x v="0"/>
    <x v="5"/>
    <x v="1"/>
    <x v="0"/>
    <x v="3"/>
  </r>
  <r>
    <x v="153"/>
    <x v="8"/>
    <x v="470"/>
    <x v="0"/>
    <x v="0"/>
    <x v="5"/>
    <x v="1"/>
    <x v="0"/>
    <x v="3"/>
  </r>
  <r>
    <x v="153"/>
    <x v="9"/>
    <x v="663"/>
    <x v="0"/>
    <x v="0"/>
    <x v="5"/>
    <x v="1"/>
    <x v="0"/>
    <x v="3"/>
  </r>
  <r>
    <x v="153"/>
    <x v="10"/>
    <x v="767"/>
    <x v="0"/>
    <x v="0"/>
    <x v="5"/>
    <x v="1"/>
    <x v="0"/>
    <x v="2"/>
  </r>
  <r>
    <x v="153"/>
    <x v="11"/>
    <x v="876"/>
    <x v="0"/>
    <x v="0"/>
    <x v="5"/>
    <x v="1"/>
    <x v="0"/>
    <x v="2"/>
  </r>
  <r>
    <x v="153"/>
    <x v="12"/>
    <x v="909"/>
    <x v="0"/>
    <x v="0"/>
    <x v="5"/>
    <x v="1"/>
    <x v="0"/>
    <x v="2"/>
  </r>
  <r>
    <x v="153"/>
    <x v="13"/>
    <x v="1008"/>
    <x v="0"/>
    <x v="0"/>
    <x v="5"/>
    <x v="1"/>
    <x v="0"/>
    <x v="2"/>
  </r>
  <r>
    <x v="153"/>
    <x v="14"/>
    <x v="1097"/>
    <x v="0"/>
    <x v="0"/>
    <x v="5"/>
    <x v="1"/>
    <x v="0"/>
    <x v="2"/>
  </r>
  <r>
    <x v="153"/>
    <x v="15"/>
    <x v="1214"/>
    <x v="0"/>
    <x v="0"/>
    <x v="5"/>
    <x v="1"/>
    <x v="0"/>
    <x v="2"/>
  </r>
  <r>
    <x v="153"/>
    <x v="16"/>
    <x v="1333"/>
    <x v="0"/>
    <x v="0"/>
    <x v="5"/>
    <x v="1"/>
    <x v="0"/>
    <x v="0"/>
  </r>
  <r>
    <x v="153"/>
    <x v="17"/>
    <x v="1211"/>
    <x v="0"/>
    <x v="0"/>
    <x v="5"/>
    <x v="1"/>
    <x v="0"/>
    <x v="0"/>
  </r>
  <r>
    <x v="153"/>
    <x v="18"/>
    <x v="1120"/>
    <x v="0"/>
    <x v="0"/>
    <x v="5"/>
    <x v="1"/>
    <x v="0"/>
    <x v="0"/>
  </r>
  <r>
    <x v="153"/>
    <x v="19"/>
    <x v="1123"/>
    <x v="0"/>
    <x v="0"/>
    <x v="5"/>
    <x v="1"/>
    <x v="0"/>
    <x v="0"/>
  </r>
  <r>
    <x v="153"/>
    <x v="20"/>
    <x v="1060"/>
    <x v="0"/>
    <x v="0"/>
    <x v="5"/>
    <x v="1"/>
    <x v="0"/>
    <x v="1"/>
  </r>
  <r>
    <x v="153"/>
    <x v="21"/>
    <x v="942"/>
    <x v="0"/>
    <x v="0"/>
    <x v="5"/>
    <x v="1"/>
    <x v="0"/>
    <x v="1"/>
  </r>
  <r>
    <x v="153"/>
    <x v="22"/>
    <x v="714"/>
    <x v="0"/>
    <x v="0"/>
    <x v="5"/>
    <x v="1"/>
    <x v="0"/>
    <x v="1"/>
  </r>
  <r>
    <x v="153"/>
    <x v="23"/>
    <x v="424"/>
    <x v="0"/>
    <x v="0"/>
    <x v="5"/>
    <x v="1"/>
    <x v="0"/>
    <x v="1"/>
  </r>
  <r>
    <x v="154"/>
    <x v="0"/>
    <x v="137"/>
    <x v="0"/>
    <x v="0"/>
    <x v="5"/>
    <x v="5"/>
    <x v="0"/>
    <x v="4"/>
  </r>
  <r>
    <x v="154"/>
    <x v="1"/>
    <x v="44"/>
    <x v="0"/>
    <x v="0"/>
    <x v="5"/>
    <x v="5"/>
    <x v="0"/>
    <x v="4"/>
  </r>
  <r>
    <x v="154"/>
    <x v="2"/>
    <x v="24"/>
    <x v="0"/>
    <x v="0"/>
    <x v="5"/>
    <x v="5"/>
    <x v="0"/>
    <x v="4"/>
  </r>
  <r>
    <x v="154"/>
    <x v="3"/>
    <x v="219"/>
    <x v="0"/>
    <x v="0"/>
    <x v="5"/>
    <x v="5"/>
    <x v="0"/>
    <x v="4"/>
  </r>
  <r>
    <x v="154"/>
    <x v="4"/>
    <x v="433"/>
    <x v="0"/>
    <x v="0"/>
    <x v="5"/>
    <x v="5"/>
    <x v="0"/>
    <x v="4"/>
  </r>
  <r>
    <x v="154"/>
    <x v="5"/>
    <x v="752"/>
    <x v="0"/>
    <x v="0"/>
    <x v="5"/>
    <x v="5"/>
    <x v="0"/>
    <x v="4"/>
  </r>
  <r>
    <x v="154"/>
    <x v="6"/>
    <x v="1143"/>
    <x v="0"/>
    <x v="0"/>
    <x v="5"/>
    <x v="5"/>
    <x v="0"/>
    <x v="3"/>
  </r>
  <r>
    <x v="154"/>
    <x v="7"/>
    <x v="1441"/>
    <x v="0"/>
    <x v="0"/>
    <x v="5"/>
    <x v="5"/>
    <x v="0"/>
    <x v="3"/>
  </r>
  <r>
    <x v="154"/>
    <x v="8"/>
    <x v="1560"/>
    <x v="0"/>
    <x v="0"/>
    <x v="5"/>
    <x v="5"/>
    <x v="0"/>
    <x v="3"/>
  </r>
  <r>
    <x v="154"/>
    <x v="9"/>
    <x v="1128"/>
    <x v="0"/>
    <x v="0"/>
    <x v="5"/>
    <x v="5"/>
    <x v="0"/>
    <x v="3"/>
  </r>
  <r>
    <x v="154"/>
    <x v="10"/>
    <x v="1043"/>
    <x v="0"/>
    <x v="0"/>
    <x v="5"/>
    <x v="5"/>
    <x v="0"/>
    <x v="2"/>
  </r>
  <r>
    <x v="154"/>
    <x v="11"/>
    <x v="1020"/>
    <x v="0"/>
    <x v="0"/>
    <x v="5"/>
    <x v="5"/>
    <x v="0"/>
    <x v="2"/>
  </r>
  <r>
    <x v="154"/>
    <x v="12"/>
    <x v="1067"/>
    <x v="0"/>
    <x v="0"/>
    <x v="5"/>
    <x v="5"/>
    <x v="0"/>
    <x v="2"/>
  </r>
  <r>
    <x v="154"/>
    <x v="13"/>
    <x v="1160"/>
    <x v="0"/>
    <x v="0"/>
    <x v="5"/>
    <x v="5"/>
    <x v="0"/>
    <x v="2"/>
  </r>
  <r>
    <x v="154"/>
    <x v="14"/>
    <x v="1268"/>
    <x v="0"/>
    <x v="0"/>
    <x v="5"/>
    <x v="5"/>
    <x v="0"/>
    <x v="2"/>
  </r>
  <r>
    <x v="154"/>
    <x v="15"/>
    <x v="1552"/>
    <x v="0"/>
    <x v="0"/>
    <x v="5"/>
    <x v="5"/>
    <x v="0"/>
    <x v="2"/>
  </r>
  <r>
    <x v="154"/>
    <x v="16"/>
    <x v="1813"/>
    <x v="0"/>
    <x v="0"/>
    <x v="5"/>
    <x v="5"/>
    <x v="0"/>
    <x v="0"/>
  </r>
  <r>
    <x v="154"/>
    <x v="17"/>
    <x v="1885"/>
    <x v="0"/>
    <x v="0"/>
    <x v="5"/>
    <x v="5"/>
    <x v="0"/>
    <x v="0"/>
  </r>
  <r>
    <x v="154"/>
    <x v="18"/>
    <x v="1755"/>
    <x v="0"/>
    <x v="0"/>
    <x v="5"/>
    <x v="5"/>
    <x v="0"/>
    <x v="0"/>
  </r>
  <r>
    <x v="154"/>
    <x v="19"/>
    <x v="1592"/>
    <x v="0"/>
    <x v="0"/>
    <x v="5"/>
    <x v="5"/>
    <x v="0"/>
    <x v="0"/>
  </r>
  <r>
    <x v="154"/>
    <x v="20"/>
    <x v="1585"/>
    <x v="0"/>
    <x v="0"/>
    <x v="5"/>
    <x v="5"/>
    <x v="0"/>
    <x v="1"/>
  </r>
  <r>
    <x v="154"/>
    <x v="21"/>
    <x v="1371"/>
    <x v="0"/>
    <x v="0"/>
    <x v="5"/>
    <x v="5"/>
    <x v="0"/>
    <x v="1"/>
  </r>
  <r>
    <x v="154"/>
    <x v="22"/>
    <x v="1006"/>
    <x v="0"/>
    <x v="0"/>
    <x v="5"/>
    <x v="5"/>
    <x v="0"/>
    <x v="1"/>
  </r>
  <r>
    <x v="154"/>
    <x v="23"/>
    <x v="598"/>
    <x v="0"/>
    <x v="0"/>
    <x v="5"/>
    <x v="5"/>
    <x v="0"/>
    <x v="1"/>
  </r>
  <r>
    <x v="155"/>
    <x v="0"/>
    <x v="211"/>
    <x v="0"/>
    <x v="0"/>
    <x v="5"/>
    <x v="6"/>
    <x v="0"/>
    <x v="4"/>
  </r>
  <r>
    <x v="155"/>
    <x v="1"/>
    <x v="81"/>
    <x v="0"/>
    <x v="0"/>
    <x v="5"/>
    <x v="6"/>
    <x v="0"/>
    <x v="4"/>
  </r>
  <r>
    <x v="155"/>
    <x v="2"/>
    <x v="48"/>
    <x v="0"/>
    <x v="0"/>
    <x v="5"/>
    <x v="6"/>
    <x v="0"/>
    <x v="4"/>
  </r>
  <r>
    <x v="155"/>
    <x v="3"/>
    <x v="132"/>
    <x v="0"/>
    <x v="0"/>
    <x v="5"/>
    <x v="6"/>
    <x v="0"/>
    <x v="4"/>
  </r>
  <r>
    <x v="155"/>
    <x v="4"/>
    <x v="278"/>
    <x v="0"/>
    <x v="0"/>
    <x v="5"/>
    <x v="6"/>
    <x v="0"/>
    <x v="4"/>
  </r>
  <r>
    <x v="155"/>
    <x v="5"/>
    <x v="658"/>
    <x v="0"/>
    <x v="0"/>
    <x v="5"/>
    <x v="6"/>
    <x v="0"/>
    <x v="4"/>
  </r>
  <r>
    <x v="155"/>
    <x v="6"/>
    <x v="1250"/>
    <x v="0"/>
    <x v="0"/>
    <x v="5"/>
    <x v="6"/>
    <x v="0"/>
    <x v="3"/>
  </r>
  <r>
    <x v="155"/>
    <x v="7"/>
    <x v="1513"/>
    <x v="0"/>
    <x v="0"/>
    <x v="5"/>
    <x v="6"/>
    <x v="0"/>
    <x v="3"/>
  </r>
  <r>
    <x v="155"/>
    <x v="8"/>
    <x v="1506"/>
    <x v="0"/>
    <x v="0"/>
    <x v="5"/>
    <x v="6"/>
    <x v="0"/>
    <x v="3"/>
  </r>
  <r>
    <x v="155"/>
    <x v="9"/>
    <x v="1261"/>
    <x v="0"/>
    <x v="0"/>
    <x v="5"/>
    <x v="6"/>
    <x v="0"/>
    <x v="3"/>
  </r>
  <r>
    <x v="155"/>
    <x v="10"/>
    <x v="1105"/>
    <x v="0"/>
    <x v="0"/>
    <x v="5"/>
    <x v="6"/>
    <x v="0"/>
    <x v="2"/>
  </r>
  <r>
    <x v="155"/>
    <x v="11"/>
    <x v="1061"/>
    <x v="0"/>
    <x v="0"/>
    <x v="5"/>
    <x v="6"/>
    <x v="0"/>
    <x v="2"/>
  </r>
  <r>
    <x v="155"/>
    <x v="12"/>
    <x v="1082"/>
    <x v="0"/>
    <x v="0"/>
    <x v="5"/>
    <x v="6"/>
    <x v="0"/>
    <x v="2"/>
  </r>
  <r>
    <x v="155"/>
    <x v="13"/>
    <x v="1244"/>
    <x v="0"/>
    <x v="0"/>
    <x v="5"/>
    <x v="6"/>
    <x v="0"/>
    <x v="2"/>
  </r>
  <r>
    <x v="155"/>
    <x v="14"/>
    <x v="1466"/>
    <x v="0"/>
    <x v="0"/>
    <x v="5"/>
    <x v="6"/>
    <x v="0"/>
    <x v="2"/>
  </r>
  <r>
    <x v="155"/>
    <x v="15"/>
    <x v="1804"/>
    <x v="0"/>
    <x v="0"/>
    <x v="5"/>
    <x v="6"/>
    <x v="0"/>
    <x v="2"/>
  </r>
  <r>
    <x v="155"/>
    <x v="16"/>
    <x v="2018"/>
    <x v="0"/>
    <x v="0"/>
    <x v="5"/>
    <x v="6"/>
    <x v="0"/>
    <x v="0"/>
  </r>
  <r>
    <x v="155"/>
    <x v="17"/>
    <x v="2104"/>
    <x v="0"/>
    <x v="0"/>
    <x v="5"/>
    <x v="6"/>
    <x v="0"/>
    <x v="0"/>
  </r>
  <r>
    <x v="155"/>
    <x v="18"/>
    <x v="2047"/>
    <x v="0"/>
    <x v="0"/>
    <x v="5"/>
    <x v="6"/>
    <x v="0"/>
    <x v="0"/>
  </r>
  <r>
    <x v="155"/>
    <x v="19"/>
    <x v="1918"/>
    <x v="0"/>
    <x v="0"/>
    <x v="5"/>
    <x v="6"/>
    <x v="0"/>
    <x v="0"/>
  </r>
  <r>
    <x v="155"/>
    <x v="20"/>
    <x v="1931"/>
    <x v="0"/>
    <x v="0"/>
    <x v="5"/>
    <x v="6"/>
    <x v="0"/>
    <x v="1"/>
  </r>
  <r>
    <x v="155"/>
    <x v="21"/>
    <x v="1724"/>
    <x v="0"/>
    <x v="0"/>
    <x v="5"/>
    <x v="6"/>
    <x v="0"/>
    <x v="1"/>
  </r>
  <r>
    <x v="155"/>
    <x v="22"/>
    <x v="1422"/>
    <x v="0"/>
    <x v="0"/>
    <x v="5"/>
    <x v="6"/>
    <x v="0"/>
    <x v="1"/>
  </r>
  <r>
    <x v="155"/>
    <x v="23"/>
    <x v="816"/>
    <x v="0"/>
    <x v="0"/>
    <x v="5"/>
    <x v="6"/>
    <x v="0"/>
    <x v="1"/>
  </r>
  <r>
    <x v="156"/>
    <x v="0"/>
    <x v="408"/>
    <x v="0"/>
    <x v="0"/>
    <x v="5"/>
    <x v="4"/>
    <x v="0"/>
    <x v="4"/>
  </r>
  <r>
    <x v="156"/>
    <x v="1"/>
    <x v="193"/>
    <x v="0"/>
    <x v="0"/>
    <x v="5"/>
    <x v="4"/>
    <x v="0"/>
    <x v="4"/>
  </r>
  <r>
    <x v="156"/>
    <x v="2"/>
    <x v="109"/>
    <x v="0"/>
    <x v="0"/>
    <x v="5"/>
    <x v="4"/>
    <x v="0"/>
    <x v="4"/>
  </r>
  <r>
    <x v="156"/>
    <x v="3"/>
    <x v="175"/>
    <x v="0"/>
    <x v="0"/>
    <x v="5"/>
    <x v="4"/>
    <x v="0"/>
    <x v="4"/>
  </r>
  <r>
    <x v="156"/>
    <x v="4"/>
    <x v="303"/>
    <x v="0"/>
    <x v="0"/>
    <x v="5"/>
    <x v="4"/>
    <x v="0"/>
    <x v="4"/>
  </r>
  <r>
    <x v="156"/>
    <x v="5"/>
    <x v="658"/>
    <x v="0"/>
    <x v="0"/>
    <x v="5"/>
    <x v="4"/>
    <x v="0"/>
    <x v="4"/>
  </r>
  <r>
    <x v="156"/>
    <x v="6"/>
    <x v="1237"/>
    <x v="0"/>
    <x v="0"/>
    <x v="5"/>
    <x v="4"/>
    <x v="0"/>
    <x v="3"/>
  </r>
  <r>
    <x v="156"/>
    <x v="7"/>
    <x v="1580"/>
    <x v="0"/>
    <x v="0"/>
    <x v="5"/>
    <x v="4"/>
    <x v="0"/>
    <x v="3"/>
  </r>
  <r>
    <x v="156"/>
    <x v="8"/>
    <x v="1624"/>
    <x v="0"/>
    <x v="0"/>
    <x v="5"/>
    <x v="4"/>
    <x v="0"/>
    <x v="3"/>
  </r>
  <r>
    <x v="156"/>
    <x v="9"/>
    <x v="1318"/>
    <x v="0"/>
    <x v="0"/>
    <x v="5"/>
    <x v="4"/>
    <x v="0"/>
    <x v="3"/>
  </r>
  <r>
    <x v="156"/>
    <x v="10"/>
    <x v="1251"/>
    <x v="0"/>
    <x v="0"/>
    <x v="5"/>
    <x v="4"/>
    <x v="0"/>
    <x v="2"/>
  </r>
  <r>
    <x v="156"/>
    <x v="11"/>
    <x v="1266"/>
    <x v="0"/>
    <x v="0"/>
    <x v="5"/>
    <x v="4"/>
    <x v="0"/>
    <x v="2"/>
  </r>
  <r>
    <x v="156"/>
    <x v="12"/>
    <x v="1287"/>
    <x v="0"/>
    <x v="0"/>
    <x v="5"/>
    <x v="4"/>
    <x v="0"/>
    <x v="2"/>
  </r>
  <r>
    <x v="156"/>
    <x v="13"/>
    <x v="1404"/>
    <x v="0"/>
    <x v="0"/>
    <x v="5"/>
    <x v="4"/>
    <x v="0"/>
    <x v="2"/>
  </r>
  <r>
    <x v="156"/>
    <x v="14"/>
    <x v="1688"/>
    <x v="0"/>
    <x v="0"/>
    <x v="5"/>
    <x v="4"/>
    <x v="0"/>
    <x v="2"/>
  </r>
  <r>
    <x v="156"/>
    <x v="15"/>
    <x v="2025"/>
    <x v="0"/>
    <x v="0"/>
    <x v="5"/>
    <x v="4"/>
    <x v="0"/>
    <x v="2"/>
  </r>
  <r>
    <x v="156"/>
    <x v="16"/>
    <x v="2126"/>
    <x v="0"/>
    <x v="0"/>
    <x v="5"/>
    <x v="4"/>
    <x v="0"/>
    <x v="0"/>
  </r>
  <r>
    <x v="156"/>
    <x v="17"/>
    <x v="2291"/>
    <x v="0"/>
    <x v="0"/>
    <x v="5"/>
    <x v="4"/>
    <x v="0"/>
    <x v="0"/>
  </r>
  <r>
    <x v="156"/>
    <x v="18"/>
    <x v="2521"/>
    <x v="0"/>
    <x v="0"/>
    <x v="5"/>
    <x v="4"/>
    <x v="0"/>
    <x v="0"/>
  </r>
  <r>
    <x v="156"/>
    <x v="19"/>
    <x v="2338"/>
    <x v="0"/>
    <x v="0"/>
    <x v="5"/>
    <x v="4"/>
    <x v="0"/>
    <x v="0"/>
  </r>
  <r>
    <x v="156"/>
    <x v="20"/>
    <x v="2208"/>
    <x v="0"/>
    <x v="0"/>
    <x v="5"/>
    <x v="4"/>
    <x v="0"/>
    <x v="1"/>
  </r>
  <r>
    <x v="156"/>
    <x v="21"/>
    <x v="2094"/>
    <x v="0"/>
    <x v="0"/>
    <x v="5"/>
    <x v="4"/>
    <x v="0"/>
    <x v="1"/>
  </r>
  <r>
    <x v="156"/>
    <x v="22"/>
    <x v="1832"/>
    <x v="0"/>
    <x v="0"/>
    <x v="5"/>
    <x v="4"/>
    <x v="0"/>
    <x v="1"/>
  </r>
  <r>
    <x v="156"/>
    <x v="23"/>
    <x v="1282"/>
    <x v="0"/>
    <x v="0"/>
    <x v="5"/>
    <x v="4"/>
    <x v="0"/>
    <x v="1"/>
  </r>
  <r>
    <x v="157"/>
    <x v="0"/>
    <x v="556"/>
    <x v="0"/>
    <x v="0"/>
    <x v="5"/>
    <x v="0"/>
    <x v="0"/>
    <x v="4"/>
  </r>
  <r>
    <x v="157"/>
    <x v="1"/>
    <x v="284"/>
    <x v="0"/>
    <x v="0"/>
    <x v="5"/>
    <x v="0"/>
    <x v="0"/>
    <x v="4"/>
  </r>
  <r>
    <x v="157"/>
    <x v="2"/>
    <x v="161"/>
    <x v="0"/>
    <x v="0"/>
    <x v="5"/>
    <x v="0"/>
    <x v="0"/>
    <x v="4"/>
  </r>
  <r>
    <x v="157"/>
    <x v="3"/>
    <x v="227"/>
    <x v="0"/>
    <x v="0"/>
    <x v="5"/>
    <x v="0"/>
    <x v="0"/>
    <x v="4"/>
  </r>
  <r>
    <x v="157"/>
    <x v="4"/>
    <x v="386"/>
    <x v="0"/>
    <x v="0"/>
    <x v="5"/>
    <x v="0"/>
    <x v="0"/>
    <x v="4"/>
  </r>
  <r>
    <x v="157"/>
    <x v="5"/>
    <x v="722"/>
    <x v="0"/>
    <x v="0"/>
    <x v="5"/>
    <x v="0"/>
    <x v="0"/>
    <x v="4"/>
  </r>
  <r>
    <x v="157"/>
    <x v="6"/>
    <x v="1203"/>
    <x v="0"/>
    <x v="0"/>
    <x v="5"/>
    <x v="0"/>
    <x v="0"/>
    <x v="3"/>
  </r>
  <r>
    <x v="157"/>
    <x v="7"/>
    <x v="1541"/>
    <x v="0"/>
    <x v="0"/>
    <x v="5"/>
    <x v="0"/>
    <x v="0"/>
    <x v="3"/>
  </r>
  <r>
    <x v="157"/>
    <x v="8"/>
    <x v="1675"/>
    <x v="0"/>
    <x v="0"/>
    <x v="5"/>
    <x v="0"/>
    <x v="0"/>
    <x v="3"/>
  </r>
  <r>
    <x v="157"/>
    <x v="9"/>
    <x v="1453"/>
    <x v="0"/>
    <x v="0"/>
    <x v="5"/>
    <x v="0"/>
    <x v="0"/>
    <x v="3"/>
  </r>
  <r>
    <x v="157"/>
    <x v="10"/>
    <x v="1345"/>
    <x v="0"/>
    <x v="0"/>
    <x v="5"/>
    <x v="0"/>
    <x v="0"/>
    <x v="2"/>
  </r>
  <r>
    <x v="157"/>
    <x v="11"/>
    <x v="1297"/>
    <x v="0"/>
    <x v="0"/>
    <x v="5"/>
    <x v="0"/>
    <x v="0"/>
    <x v="2"/>
  </r>
  <r>
    <x v="157"/>
    <x v="12"/>
    <x v="1309"/>
    <x v="0"/>
    <x v="0"/>
    <x v="5"/>
    <x v="0"/>
    <x v="0"/>
    <x v="2"/>
  </r>
  <r>
    <x v="157"/>
    <x v="13"/>
    <x v="1547"/>
    <x v="0"/>
    <x v="0"/>
    <x v="5"/>
    <x v="0"/>
    <x v="0"/>
    <x v="2"/>
  </r>
  <r>
    <x v="157"/>
    <x v="14"/>
    <x v="1821"/>
    <x v="0"/>
    <x v="0"/>
    <x v="5"/>
    <x v="0"/>
    <x v="0"/>
    <x v="2"/>
  </r>
  <r>
    <x v="157"/>
    <x v="15"/>
    <x v="2009"/>
    <x v="0"/>
    <x v="0"/>
    <x v="5"/>
    <x v="0"/>
    <x v="0"/>
    <x v="2"/>
  </r>
  <r>
    <x v="157"/>
    <x v="16"/>
    <x v="2230"/>
    <x v="0"/>
    <x v="0"/>
    <x v="5"/>
    <x v="0"/>
    <x v="0"/>
    <x v="0"/>
  </r>
  <r>
    <x v="157"/>
    <x v="17"/>
    <x v="2438"/>
    <x v="0"/>
    <x v="0"/>
    <x v="5"/>
    <x v="0"/>
    <x v="0"/>
    <x v="0"/>
  </r>
  <r>
    <x v="157"/>
    <x v="18"/>
    <x v="2565"/>
    <x v="0"/>
    <x v="0"/>
    <x v="5"/>
    <x v="0"/>
    <x v="0"/>
    <x v="0"/>
  </r>
  <r>
    <x v="157"/>
    <x v="19"/>
    <x v="2570"/>
    <x v="0"/>
    <x v="0"/>
    <x v="5"/>
    <x v="0"/>
    <x v="0"/>
    <x v="0"/>
  </r>
  <r>
    <x v="157"/>
    <x v="20"/>
    <x v="2293"/>
    <x v="0"/>
    <x v="0"/>
    <x v="5"/>
    <x v="0"/>
    <x v="0"/>
    <x v="1"/>
  </r>
  <r>
    <x v="157"/>
    <x v="21"/>
    <x v="2329"/>
    <x v="0"/>
    <x v="0"/>
    <x v="5"/>
    <x v="0"/>
    <x v="0"/>
    <x v="1"/>
  </r>
  <r>
    <x v="157"/>
    <x v="22"/>
    <x v="2309"/>
    <x v="0"/>
    <x v="0"/>
    <x v="5"/>
    <x v="0"/>
    <x v="0"/>
    <x v="1"/>
  </r>
  <r>
    <x v="157"/>
    <x v="23"/>
    <x v="1989"/>
    <x v="0"/>
    <x v="0"/>
    <x v="5"/>
    <x v="0"/>
    <x v="0"/>
    <x v="1"/>
  </r>
  <r>
    <x v="158"/>
    <x v="0"/>
    <x v="1540"/>
    <x v="0"/>
    <x v="0"/>
    <x v="5"/>
    <x v="2"/>
    <x v="1"/>
    <x v="4"/>
  </r>
  <r>
    <x v="158"/>
    <x v="1"/>
    <x v="1006"/>
    <x v="0"/>
    <x v="0"/>
    <x v="5"/>
    <x v="2"/>
    <x v="1"/>
    <x v="4"/>
  </r>
  <r>
    <x v="158"/>
    <x v="2"/>
    <x v="604"/>
    <x v="0"/>
    <x v="0"/>
    <x v="5"/>
    <x v="2"/>
    <x v="1"/>
    <x v="4"/>
  </r>
  <r>
    <x v="158"/>
    <x v="3"/>
    <x v="393"/>
    <x v="0"/>
    <x v="0"/>
    <x v="5"/>
    <x v="2"/>
    <x v="1"/>
    <x v="4"/>
  </r>
  <r>
    <x v="158"/>
    <x v="4"/>
    <x v="270"/>
    <x v="0"/>
    <x v="0"/>
    <x v="5"/>
    <x v="2"/>
    <x v="1"/>
    <x v="4"/>
  </r>
  <r>
    <x v="158"/>
    <x v="5"/>
    <x v="262"/>
    <x v="0"/>
    <x v="0"/>
    <x v="5"/>
    <x v="2"/>
    <x v="1"/>
    <x v="4"/>
  </r>
  <r>
    <x v="158"/>
    <x v="6"/>
    <x v="437"/>
    <x v="0"/>
    <x v="0"/>
    <x v="5"/>
    <x v="2"/>
    <x v="1"/>
    <x v="3"/>
  </r>
  <r>
    <x v="158"/>
    <x v="7"/>
    <x v="608"/>
    <x v="0"/>
    <x v="0"/>
    <x v="5"/>
    <x v="2"/>
    <x v="1"/>
    <x v="3"/>
  </r>
  <r>
    <x v="158"/>
    <x v="8"/>
    <x v="843"/>
    <x v="0"/>
    <x v="0"/>
    <x v="5"/>
    <x v="2"/>
    <x v="1"/>
    <x v="3"/>
  </r>
  <r>
    <x v="158"/>
    <x v="9"/>
    <x v="971"/>
    <x v="0"/>
    <x v="0"/>
    <x v="5"/>
    <x v="2"/>
    <x v="1"/>
    <x v="3"/>
  </r>
  <r>
    <x v="158"/>
    <x v="10"/>
    <x v="1158"/>
    <x v="0"/>
    <x v="0"/>
    <x v="5"/>
    <x v="2"/>
    <x v="1"/>
    <x v="2"/>
  </r>
  <r>
    <x v="158"/>
    <x v="11"/>
    <x v="1335"/>
    <x v="0"/>
    <x v="0"/>
    <x v="5"/>
    <x v="2"/>
    <x v="1"/>
    <x v="2"/>
  </r>
  <r>
    <x v="158"/>
    <x v="12"/>
    <x v="1445"/>
    <x v="0"/>
    <x v="0"/>
    <x v="5"/>
    <x v="2"/>
    <x v="1"/>
    <x v="2"/>
  </r>
  <r>
    <x v="158"/>
    <x v="13"/>
    <x v="1685"/>
    <x v="0"/>
    <x v="0"/>
    <x v="5"/>
    <x v="2"/>
    <x v="1"/>
    <x v="2"/>
  </r>
  <r>
    <x v="158"/>
    <x v="14"/>
    <x v="1873"/>
    <x v="0"/>
    <x v="0"/>
    <x v="5"/>
    <x v="2"/>
    <x v="1"/>
    <x v="2"/>
  </r>
  <r>
    <x v="158"/>
    <x v="15"/>
    <x v="2072"/>
    <x v="0"/>
    <x v="0"/>
    <x v="5"/>
    <x v="2"/>
    <x v="1"/>
    <x v="2"/>
  </r>
  <r>
    <x v="158"/>
    <x v="16"/>
    <x v="2181"/>
    <x v="0"/>
    <x v="0"/>
    <x v="5"/>
    <x v="2"/>
    <x v="1"/>
    <x v="0"/>
  </r>
  <r>
    <x v="158"/>
    <x v="17"/>
    <x v="2316"/>
    <x v="0"/>
    <x v="0"/>
    <x v="5"/>
    <x v="2"/>
    <x v="1"/>
    <x v="0"/>
  </r>
  <r>
    <x v="158"/>
    <x v="18"/>
    <x v="2370"/>
    <x v="0"/>
    <x v="0"/>
    <x v="5"/>
    <x v="2"/>
    <x v="1"/>
    <x v="0"/>
  </r>
  <r>
    <x v="158"/>
    <x v="19"/>
    <x v="2295"/>
    <x v="0"/>
    <x v="0"/>
    <x v="5"/>
    <x v="2"/>
    <x v="1"/>
    <x v="0"/>
  </r>
  <r>
    <x v="158"/>
    <x v="20"/>
    <x v="2078"/>
    <x v="0"/>
    <x v="0"/>
    <x v="5"/>
    <x v="2"/>
    <x v="1"/>
    <x v="1"/>
  </r>
  <r>
    <x v="158"/>
    <x v="21"/>
    <x v="2275"/>
    <x v="0"/>
    <x v="0"/>
    <x v="5"/>
    <x v="2"/>
    <x v="1"/>
    <x v="1"/>
  </r>
  <r>
    <x v="158"/>
    <x v="22"/>
    <x v="2488"/>
    <x v="0"/>
    <x v="0"/>
    <x v="5"/>
    <x v="2"/>
    <x v="1"/>
    <x v="1"/>
  </r>
  <r>
    <x v="158"/>
    <x v="23"/>
    <x v="2227"/>
    <x v="0"/>
    <x v="0"/>
    <x v="5"/>
    <x v="2"/>
    <x v="1"/>
    <x v="1"/>
  </r>
  <r>
    <x v="159"/>
    <x v="0"/>
    <x v="1648"/>
    <x v="0"/>
    <x v="0"/>
    <x v="5"/>
    <x v="3"/>
    <x v="1"/>
    <x v="4"/>
  </r>
  <r>
    <x v="159"/>
    <x v="1"/>
    <x v="1110"/>
    <x v="0"/>
    <x v="0"/>
    <x v="5"/>
    <x v="3"/>
    <x v="1"/>
    <x v="4"/>
  </r>
  <r>
    <x v="159"/>
    <x v="2"/>
    <x v="719"/>
    <x v="0"/>
    <x v="0"/>
    <x v="5"/>
    <x v="3"/>
    <x v="1"/>
    <x v="4"/>
  </r>
  <r>
    <x v="159"/>
    <x v="3"/>
    <x v="476"/>
    <x v="0"/>
    <x v="0"/>
    <x v="5"/>
    <x v="3"/>
    <x v="1"/>
    <x v="4"/>
  </r>
  <r>
    <x v="159"/>
    <x v="4"/>
    <x v="256"/>
    <x v="0"/>
    <x v="0"/>
    <x v="5"/>
    <x v="3"/>
    <x v="1"/>
    <x v="4"/>
  </r>
  <r>
    <x v="159"/>
    <x v="5"/>
    <x v="280"/>
    <x v="0"/>
    <x v="0"/>
    <x v="5"/>
    <x v="3"/>
    <x v="1"/>
    <x v="4"/>
  </r>
  <r>
    <x v="159"/>
    <x v="6"/>
    <x v="306"/>
    <x v="0"/>
    <x v="0"/>
    <x v="5"/>
    <x v="3"/>
    <x v="1"/>
    <x v="3"/>
  </r>
  <r>
    <x v="159"/>
    <x v="7"/>
    <x v="474"/>
    <x v="0"/>
    <x v="0"/>
    <x v="5"/>
    <x v="3"/>
    <x v="1"/>
    <x v="3"/>
  </r>
  <r>
    <x v="159"/>
    <x v="8"/>
    <x v="709"/>
    <x v="0"/>
    <x v="0"/>
    <x v="5"/>
    <x v="3"/>
    <x v="1"/>
    <x v="3"/>
  </r>
  <r>
    <x v="159"/>
    <x v="9"/>
    <x v="912"/>
    <x v="0"/>
    <x v="0"/>
    <x v="5"/>
    <x v="3"/>
    <x v="1"/>
    <x v="3"/>
  </r>
  <r>
    <x v="159"/>
    <x v="10"/>
    <x v="1101"/>
    <x v="0"/>
    <x v="0"/>
    <x v="5"/>
    <x v="3"/>
    <x v="1"/>
    <x v="2"/>
  </r>
  <r>
    <x v="159"/>
    <x v="11"/>
    <x v="1264"/>
    <x v="0"/>
    <x v="0"/>
    <x v="5"/>
    <x v="3"/>
    <x v="1"/>
    <x v="2"/>
  </r>
  <r>
    <x v="159"/>
    <x v="12"/>
    <x v="1345"/>
    <x v="0"/>
    <x v="0"/>
    <x v="5"/>
    <x v="3"/>
    <x v="1"/>
    <x v="2"/>
  </r>
  <r>
    <x v="159"/>
    <x v="13"/>
    <x v="1477"/>
    <x v="0"/>
    <x v="0"/>
    <x v="5"/>
    <x v="3"/>
    <x v="1"/>
    <x v="2"/>
  </r>
  <r>
    <x v="159"/>
    <x v="14"/>
    <x v="1631"/>
    <x v="0"/>
    <x v="0"/>
    <x v="5"/>
    <x v="3"/>
    <x v="1"/>
    <x v="2"/>
  </r>
  <r>
    <x v="159"/>
    <x v="15"/>
    <x v="1777"/>
    <x v="0"/>
    <x v="0"/>
    <x v="5"/>
    <x v="3"/>
    <x v="1"/>
    <x v="2"/>
  </r>
  <r>
    <x v="159"/>
    <x v="16"/>
    <x v="1886"/>
    <x v="0"/>
    <x v="0"/>
    <x v="5"/>
    <x v="3"/>
    <x v="1"/>
    <x v="0"/>
  </r>
  <r>
    <x v="159"/>
    <x v="17"/>
    <x v="1805"/>
    <x v="0"/>
    <x v="0"/>
    <x v="5"/>
    <x v="3"/>
    <x v="1"/>
    <x v="0"/>
  </r>
  <r>
    <x v="159"/>
    <x v="18"/>
    <x v="1717"/>
    <x v="0"/>
    <x v="0"/>
    <x v="5"/>
    <x v="3"/>
    <x v="1"/>
    <x v="0"/>
  </r>
  <r>
    <x v="159"/>
    <x v="19"/>
    <x v="1542"/>
    <x v="0"/>
    <x v="0"/>
    <x v="5"/>
    <x v="3"/>
    <x v="1"/>
    <x v="0"/>
  </r>
  <r>
    <x v="159"/>
    <x v="20"/>
    <x v="1458"/>
    <x v="0"/>
    <x v="0"/>
    <x v="5"/>
    <x v="3"/>
    <x v="1"/>
    <x v="1"/>
  </r>
  <r>
    <x v="159"/>
    <x v="21"/>
    <x v="1308"/>
    <x v="0"/>
    <x v="0"/>
    <x v="5"/>
    <x v="3"/>
    <x v="1"/>
    <x v="1"/>
  </r>
  <r>
    <x v="159"/>
    <x v="22"/>
    <x v="1043"/>
    <x v="0"/>
    <x v="0"/>
    <x v="5"/>
    <x v="3"/>
    <x v="1"/>
    <x v="1"/>
  </r>
  <r>
    <x v="159"/>
    <x v="23"/>
    <x v="535"/>
    <x v="0"/>
    <x v="0"/>
    <x v="5"/>
    <x v="3"/>
    <x v="1"/>
    <x v="1"/>
  </r>
  <r>
    <x v="160"/>
    <x v="0"/>
    <x v="246"/>
    <x v="0"/>
    <x v="0"/>
    <x v="5"/>
    <x v="1"/>
    <x v="0"/>
    <x v="4"/>
  </r>
  <r>
    <x v="160"/>
    <x v="1"/>
    <x v="130"/>
    <x v="0"/>
    <x v="0"/>
    <x v="5"/>
    <x v="1"/>
    <x v="0"/>
    <x v="4"/>
  </r>
  <r>
    <x v="160"/>
    <x v="2"/>
    <x v="87"/>
    <x v="0"/>
    <x v="0"/>
    <x v="5"/>
    <x v="1"/>
    <x v="0"/>
    <x v="4"/>
  </r>
  <r>
    <x v="160"/>
    <x v="3"/>
    <x v="290"/>
    <x v="0"/>
    <x v="0"/>
    <x v="5"/>
    <x v="1"/>
    <x v="0"/>
    <x v="4"/>
  </r>
  <r>
    <x v="160"/>
    <x v="4"/>
    <x v="430"/>
    <x v="0"/>
    <x v="0"/>
    <x v="5"/>
    <x v="1"/>
    <x v="0"/>
    <x v="4"/>
  </r>
  <r>
    <x v="160"/>
    <x v="5"/>
    <x v="802"/>
    <x v="0"/>
    <x v="0"/>
    <x v="5"/>
    <x v="1"/>
    <x v="0"/>
    <x v="4"/>
  </r>
  <r>
    <x v="160"/>
    <x v="6"/>
    <x v="1097"/>
    <x v="0"/>
    <x v="0"/>
    <x v="5"/>
    <x v="1"/>
    <x v="0"/>
    <x v="3"/>
  </r>
  <r>
    <x v="160"/>
    <x v="7"/>
    <x v="1510"/>
    <x v="0"/>
    <x v="0"/>
    <x v="5"/>
    <x v="1"/>
    <x v="0"/>
    <x v="3"/>
  </r>
  <r>
    <x v="160"/>
    <x v="8"/>
    <x v="1557"/>
    <x v="0"/>
    <x v="0"/>
    <x v="5"/>
    <x v="1"/>
    <x v="0"/>
    <x v="3"/>
  </r>
  <r>
    <x v="160"/>
    <x v="9"/>
    <x v="1160"/>
    <x v="0"/>
    <x v="0"/>
    <x v="5"/>
    <x v="1"/>
    <x v="0"/>
    <x v="3"/>
  </r>
  <r>
    <x v="160"/>
    <x v="10"/>
    <x v="1081"/>
    <x v="0"/>
    <x v="0"/>
    <x v="5"/>
    <x v="1"/>
    <x v="0"/>
    <x v="2"/>
  </r>
  <r>
    <x v="160"/>
    <x v="11"/>
    <x v="1087"/>
    <x v="0"/>
    <x v="0"/>
    <x v="5"/>
    <x v="1"/>
    <x v="0"/>
    <x v="2"/>
  </r>
  <r>
    <x v="160"/>
    <x v="12"/>
    <x v="1068"/>
    <x v="0"/>
    <x v="0"/>
    <x v="5"/>
    <x v="1"/>
    <x v="0"/>
    <x v="2"/>
  </r>
  <r>
    <x v="160"/>
    <x v="13"/>
    <x v="1214"/>
    <x v="0"/>
    <x v="0"/>
    <x v="5"/>
    <x v="1"/>
    <x v="0"/>
    <x v="2"/>
  </r>
  <r>
    <x v="160"/>
    <x v="14"/>
    <x v="1424"/>
    <x v="0"/>
    <x v="0"/>
    <x v="5"/>
    <x v="1"/>
    <x v="0"/>
    <x v="2"/>
  </r>
  <r>
    <x v="160"/>
    <x v="15"/>
    <x v="1707"/>
    <x v="0"/>
    <x v="0"/>
    <x v="5"/>
    <x v="1"/>
    <x v="0"/>
    <x v="2"/>
  </r>
  <r>
    <x v="160"/>
    <x v="16"/>
    <x v="1847"/>
    <x v="0"/>
    <x v="0"/>
    <x v="5"/>
    <x v="1"/>
    <x v="0"/>
    <x v="0"/>
  </r>
  <r>
    <x v="160"/>
    <x v="17"/>
    <x v="1962"/>
    <x v="0"/>
    <x v="0"/>
    <x v="5"/>
    <x v="1"/>
    <x v="0"/>
    <x v="0"/>
  </r>
  <r>
    <x v="160"/>
    <x v="18"/>
    <x v="1937"/>
    <x v="0"/>
    <x v="0"/>
    <x v="5"/>
    <x v="1"/>
    <x v="0"/>
    <x v="0"/>
  </r>
  <r>
    <x v="160"/>
    <x v="19"/>
    <x v="1764"/>
    <x v="0"/>
    <x v="0"/>
    <x v="5"/>
    <x v="1"/>
    <x v="0"/>
    <x v="0"/>
  </r>
  <r>
    <x v="160"/>
    <x v="20"/>
    <x v="1642"/>
    <x v="0"/>
    <x v="0"/>
    <x v="5"/>
    <x v="1"/>
    <x v="0"/>
    <x v="1"/>
  </r>
  <r>
    <x v="160"/>
    <x v="21"/>
    <x v="1347"/>
    <x v="0"/>
    <x v="0"/>
    <x v="5"/>
    <x v="1"/>
    <x v="0"/>
    <x v="1"/>
  </r>
  <r>
    <x v="160"/>
    <x v="22"/>
    <x v="1001"/>
    <x v="0"/>
    <x v="0"/>
    <x v="5"/>
    <x v="1"/>
    <x v="0"/>
    <x v="1"/>
  </r>
  <r>
    <x v="160"/>
    <x v="23"/>
    <x v="498"/>
    <x v="0"/>
    <x v="0"/>
    <x v="5"/>
    <x v="1"/>
    <x v="0"/>
    <x v="1"/>
  </r>
  <r>
    <x v="161"/>
    <x v="0"/>
    <x v="235"/>
    <x v="0"/>
    <x v="0"/>
    <x v="5"/>
    <x v="5"/>
    <x v="0"/>
    <x v="4"/>
  </r>
  <r>
    <x v="161"/>
    <x v="1"/>
    <x v="123"/>
    <x v="0"/>
    <x v="0"/>
    <x v="5"/>
    <x v="5"/>
    <x v="0"/>
    <x v="4"/>
  </r>
  <r>
    <x v="161"/>
    <x v="2"/>
    <x v="76"/>
    <x v="0"/>
    <x v="0"/>
    <x v="5"/>
    <x v="5"/>
    <x v="0"/>
    <x v="4"/>
  </r>
  <r>
    <x v="161"/>
    <x v="3"/>
    <x v="170"/>
    <x v="0"/>
    <x v="0"/>
    <x v="5"/>
    <x v="5"/>
    <x v="0"/>
    <x v="4"/>
  </r>
  <r>
    <x v="161"/>
    <x v="4"/>
    <x v="325"/>
    <x v="0"/>
    <x v="0"/>
    <x v="5"/>
    <x v="5"/>
    <x v="0"/>
    <x v="4"/>
  </r>
  <r>
    <x v="161"/>
    <x v="5"/>
    <x v="721"/>
    <x v="0"/>
    <x v="0"/>
    <x v="5"/>
    <x v="5"/>
    <x v="0"/>
    <x v="4"/>
  </r>
  <r>
    <x v="161"/>
    <x v="6"/>
    <x v="1307"/>
    <x v="0"/>
    <x v="0"/>
    <x v="5"/>
    <x v="5"/>
    <x v="0"/>
    <x v="3"/>
  </r>
  <r>
    <x v="161"/>
    <x v="7"/>
    <x v="1604"/>
    <x v="0"/>
    <x v="0"/>
    <x v="5"/>
    <x v="5"/>
    <x v="0"/>
    <x v="3"/>
  </r>
  <r>
    <x v="161"/>
    <x v="8"/>
    <x v="1610"/>
    <x v="0"/>
    <x v="0"/>
    <x v="5"/>
    <x v="5"/>
    <x v="0"/>
    <x v="3"/>
  </r>
  <r>
    <x v="161"/>
    <x v="9"/>
    <x v="1200"/>
    <x v="0"/>
    <x v="0"/>
    <x v="5"/>
    <x v="5"/>
    <x v="0"/>
    <x v="3"/>
  </r>
  <r>
    <x v="161"/>
    <x v="10"/>
    <x v="1165"/>
    <x v="0"/>
    <x v="0"/>
    <x v="5"/>
    <x v="5"/>
    <x v="0"/>
    <x v="2"/>
  </r>
  <r>
    <x v="161"/>
    <x v="11"/>
    <x v="1166"/>
    <x v="0"/>
    <x v="0"/>
    <x v="5"/>
    <x v="5"/>
    <x v="0"/>
    <x v="2"/>
  </r>
  <r>
    <x v="161"/>
    <x v="12"/>
    <x v="1189"/>
    <x v="0"/>
    <x v="0"/>
    <x v="5"/>
    <x v="5"/>
    <x v="0"/>
    <x v="2"/>
  </r>
  <r>
    <x v="161"/>
    <x v="13"/>
    <x v="1477"/>
    <x v="0"/>
    <x v="0"/>
    <x v="5"/>
    <x v="5"/>
    <x v="0"/>
    <x v="2"/>
  </r>
  <r>
    <x v="161"/>
    <x v="14"/>
    <x v="1801"/>
    <x v="0"/>
    <x v="0"/>
    <x v="5"/>
    <x v="5"/>
    <x v="0"/>
    <x v="2"/>
  </r>
  <r>
    <x v="161"/>
    <x v="15"/>
    <x v="1947"/>
    <x v="0"/>
    <x v="0"/>
    <x v="5"/>
    <x v="5"/>
    <x v="0"/>
    <x v="2"/>
  </r>
  <r>
    <x v="161"/>
    <x v="16"/>
    <x v="1948"/>
    <x v="0"/>
    <x v="0"/>
    <x v="5"/>
    <x v="5"/>
    <x v="0"/>
    <x v="0"/>
  </r>
  <r>
    <x v="161"/>
    <x v="17"/>
    <x v="2207"/>
    <x v="0"/>
    <x v="0"/>
    <x v="5"/>
    <x v="5"/>
    <x v="0"/>
    <x v="0"/>
  </r>
  <r>
    <x v="161"/>
    <x v="18"/>
    <x v="2249"/>
    <x v="0"/>
    <x v="0"/>
    <x v="5"/>
    <x v="5"/>
    <x v="0"/>
    <x v="0"/>
  </r>
  <r>
    <x v="161"/>
    <x v="19"/>
    <x v="2050"/>
    <x v="0"/>
    <x v="0"/>
    <x v="5"/>
    <x v="5"/>
    <x v="0"/>
    <x v="0"/>
  </r>
  <r>
    <x v="161"/>
    <x v="20"/>
    <x v="1912"/>
    <x v="0"/>
    <x v="0"/>
    <x v="5"/>
    <x v="5"/>
    <x v="0"/>
    <x v="1"/>
  </r>
  <r>
    <x v="161"/>
    <x v="21"/>
    <x v="1716"/>
    <x v="0"/>
    <x v="0"/>
    <x v="5"/>
    <x v="5"/>
    <x v="0"/>
    <x v="1"/>
  </r>
  <r>
    <x v="161"/>
    <x v="22"/>
    <x v="1292"/>
    <x v="0"/>
    <x v="0"/>
    <x v="5"/>
    <x v="5"/>
    <x v="0"/>
    <x v="1"/>
  </r>
  <r>
    <x v="161"/>
    <x v="23"/>
    <x v="754"/>
    <x v="0"/>
    <x v="0"/>
    <x v="5"/>
    <x v="5"/>
    <x v="0"/>
    <x v="1"/>
  </r>
  <r>
    <x v="162"/>
    <x v="0"/>
    <x v="347"/>
    <x v="0"/>
    <x v="0"/>
    <x v="5"/>
    <x v="6"/>
    <x v="0"/>
    <x v="4"/>
  </r>
  <r>
    <x v="162"/>
    <x v="1"/>
    <x v="234"/>
    <x v="0"/>
    <x v="0"/>
    <x v="5"/>
    <x v="6"/>
    <x v="0"/>
    <x v="4"/>
  </r>
  <r>
    <x v="162"/>
    <x v="2"/>
    <x v="109"/>
    <x v="0"/>
    <x v="0"/>
    <x v="5"/>
    <x v="6"/>
    <x v="0"/>
    <x v="4"/>
  </r>
  <r>
    <x v="162"/>
    <x v="3"/>
    <x v="166"/>
    <x v="0"/>
    <x v="0"/>
    <x v="5"/>
    <x v="6"/>
    <x v="0"/>
    <x v="4"/>
  </r>
  <r>
    <x v="162"/>
    <x v="4"/>
    <x v="315"/>
    <x v="0"/>
    <x v="0"/>
    <x v="5"/>
    <x v="6"/>
    <x v="0"/>
    <x v="4"/>
  </r>
  <r>
    <x v="162"/>
    <x v="5"/>
    <x v="689"/>
    <x v="0"/>
    <x v="0"/>
    <x v="5"/>
    <x v="6"/>
    <x v="0"/>
    <x v="4"/>
  </r>
  <r>
    <x v="162"/>
    <x v="6"/>
    <x v="1222"/>
    <x v="0"/>
    <x v="0"/>
    <x v="5"/>
    <x v="6"/>
    <x v="0"/>
    <x v="3"/>
  </r>
  <r>
    <x v="162"/>
    <x v="7"/>
    <x v="1523"/>
    <x v="0"/>
    <x v="0"/>
    <x v="5"/>
    <x v="6"/>
    <x v="0"/>
    <x v="3"/>
  </r>
  <r>
    <x v="162"/>
    <x v="8"/>
    <x v="1610"/>
    <x v="0"/>
    <x v="0"/>
    <x v="5"/>
    <x v="6"/>
    <x v="0"/>
    <x v="3"/>
  </r>
  <r>
    <x v="162"/>
    <x v="9"/>
    <x v="1299"/>
    <x v="0"/>
    <x v="0"/>
    <x v="5"/>
    <x v="6"/>
    <x v="0"/>
    <x v="3"/>
  </r>
  <r>
    <x v="162"/>
    <x v="10"/>
    <x v="1158"/>
    <x v="0"/>
    <x v="0"/>
    <x v="5"/>
    <x v="6"/>
    <x v="0"/>
    <x v="2"/>
  </r>
  <r>
    <x v="162"/>
    <x v="11"/>
    <x v="1274"/>
    <x v="0"/>
    <x v="0"/>
    <x v="5"/>
    <x v="6"/>
    <x v="0"/>
    <x v="2"/>
  </r>
  <r>
    <x v="162"/>
    <x v="12"/>
    <x v="1240"/>
    <x v="0"/>
    <x v="0"/>
    <x v="5"/>
    <x v="6"/>
    <x v="0"/>
    <x v="2"/>
  </r>
  <r>
    <x v="162"/>
    <x v="13"/>
    <x v="1403"/>
    <x v="0"/>
    <x v="0"/>
    <x v="5"/>
    <x v="6"/>
    <x v="0"/>
    <x v="2"/>
  </r>
  <r>
    <x v="162"/>
    <x v="14"/>
    <x v="1634"/>
    <x v="0"/>
    <x v="0"/>
    <x v="5"/>
    <x v="6"/>
    <x v="0"/>
    <x v="2"/>
  </r>
  <r>
    <x v="162"/>
    <x v="15"/>
    <x v="1935"/>
    <x v="0"/>
    <x v="0"/>
    <x v="5"/>
    <x v="6"/>
    <x v="0"/>
    <x v="2"/>
  </r>
  <r>
    <x v="162"/>
    <x v="16"/>
    <x v="2111"/>
    <x v="0"/>
    <x v="0"/>
    <x v="5"/>
    <x v="6"/>
    <x v="0"/>
    <x v="0"/>
  </r>
  <r>
    <x v="162"/>
    <x v="17"/>
    <x v="2323"/>
    <x v="0"/>
    <x v="0"/>
    <x v="5"/>
    <x v="6"/>
    <x v="0"/>
    <x v="0"/>
  </r>
  <r>
    <x v="162"/>
    <x v="18"/>
    <x v="2361"/>
    <x v="0"/>
    <x v="0"/>
    <x v="5"/>
    <x v="6"/>
    <x v="0"/>
    <x v="0"/>
  </r>
  <r>
    <x v="162"/>
    <x v="19"/>
    <x v="2175"/>
    <x v="0"/>
    <x v="0"/>
    <x v="5"/>
    <x v="6"/>
    <x v="0"/>
    <x v="0"/>
  </r>
  <r>
    <x v="162"/>
    <x v="20"/>
    <x v="2074"/>
    <x v="0"/>
    <x v="0"/>
    <x v="5"/>
    <x v="6"/>
    <x v="0"/>
    <x v="1"/>
  </r>
  <r>
    <x v="162"/>
    <x v="21"/>
    <x v="1814"/>
    <x v="0"/>
    <x v="0"/>
    <x v="5"/>
    <x v="6"/>
    <x v="0"/>
    <x v="1"/>
  </r>
  <r>
    <x v="162"/>
    <x v="22"/>
    <x v="1476"/>
    <x v="0"/>
    <x v="0"/>
    <x v="5"/>
    <x v="6"/>
    <x v="0"/>
    <x v="1"/>
  </r>
  <r>
    <x v="162"/>
    <x v="23"/>
    <x v="786"/>
    <x v="0"/>
    <x v="0"/>
    <x v="5"/>
    <x v="6"/>
    <x v="0"/>
    <x v="1"/>
  </r>
  <r>
    <x v="163"/>
    <x v="0"/>
    <x v="397"/>
    <x v="0"/>
    <x v="0"/>
    <x v="5"/>
    <x v="4"/>
    <x v="0"/>
    <x v="4"/>
  </r>
  <r>
    <x v="163"/>
    <x v="1"/>
    <x v="221"/>
    <x v="0"/>
    <x v="0"/>
    <x v="5"/>
    <x v="4"/>
    <x v="0"/>
    <x v="4"/>
  </r>
  <r>
    <x v="163"/>
    <x v="2"/>
    <x v="114"/>
    <x v="0"/>
    <x v="0"/>
    <x v="5"/>
    <x v="4"/>
    <x v="0"/>
    <x v="4"/>
  </r>
  <r>
    <x v="163"/>
    <x v="3"/>
    <x v="206"/>
    <x v="0"/>
    <x v="0"/>
    <x v="5"/>
    <x v="4"/>
    <x v="0"/>
    <x v="4"/>
  </r>
  <r>
    <x v="163"/>
    <x v="4"/>
    <x v="363"/>
    <x v="0"/>
    <x v="0"/>
    <x v="5"/>
    <x v="4"/>
    <x v="0"/>
    <x v="4"/>
  </r>
  <r>
    <x v="163"/>
    <x v="5"/>
    <x v="248"/>
    <x v="0"/>
    <x v="0"/>
    <x v="5"/>
    <x v="4"/>
    <x v="0"/>
    <x v="4"/>
  </r>
  <r>
    <x v="163"/>
    <x v="6"/>
    <x v="930"/>
    <x v="0"/>
    <x v="0"/>
    <x v="5"/>
    <x v="4"/>
    <x v="0"/>
    <x v="3"/>
  </r>
  <r>
    <x v="163"/>
    <x v="7"/>
    <x v="1413"/>
    <x v="0"/>
    <x v="0"/>
    <x v="5"/>
    <x v="4"/>
    <x v="0"/>
    <x v="3"/>
  </r>
  <r>
    <x v="163"/>
    <x v="8"/>
    <x v="1572"/>
    <x v="0"/>
    <x v="0"/>
    <x v="5"/>
    <x v="4"/>
    <x v="0"/>
    <x v="3"/>
  </r>
  <r>
    <x v="163"/>
    <x v="9"/>
    <x v="1274"/>
    <x v="0"/>
    <x v="0"/>
    <x v="5"/>
    <x v="4"/>
    <x v="0"/>
    <x v="3"/>
  </r>
  <r>
    <x v="163"/>
    <x v="10"/>
    <x v="1123"/>
    <x v="0"/>
    <x v="0"/>
    <x v="5"/>
    <x v="4"/>
    <x v="0"/>
    <x v="2"/>
  </r>
  <r>
    <x v="163"/>
    <x v="11"/>
    <x v="1202"/>
    <x v="0"/>
    <x v="0"/>
    <x v="5"/>
    <x v="4"/>
    <x v="0"/>
    <x v="2"/>
  </r>
  <r>
    <x v="163"/>
    <x v="12"/>
    <x v="1201"/>
    <x v="0"/>
    <x v="0"/>
    <x v="5"/>
    <x v="4"/>
    <x v="0"/>
    <x v="2"/>
  </r>
  <r>
    <x v="163"/>
    <x v="13"/>
    <x v="1424"/>
    <x v="0"/>
    <x v="0"/>
    <x v="5"/>
    <x v="4"/>
    <x v="0"/>
    <x v="2"/>
  </r>
  <r>
    <x v="163"/>
    <x v="14"/>
    <x v="1711"/>
    <x v="0"/>
    <x v="0"/>
    <x v="5"/>
    <x v="4"/>
    <x v="0"/>
    <x v="2"/>
  </r>
  <r>
    <x v="163"/>
    <x v="15"/>
    <x v="1925"/>
    <x v="0"/>
    <x v="0"/>
    <x v="5"/>
    <x v="4"/>
    <x v="0"/>
    <x v="2"/>
  </r>
  <r>
    <x v="163"/>
    <x v="16"/>
    <x v="2194"/>
    <x v="0"/>
    <x v="0"/>
    <x v="5"/>
    <x v="4"/>
    <x v="0"/>
    <x v="0"/>
  </r>
  <r>
    <x v="163"/>
    <x v="17"/>
    <x v="2368"/>
    <x v="0"/>
    <x v="0"/>
    <x v="5"/>
    <x v="4"/>
    <x v="0"/>
    <x v="0"/>
  </r>
  <r>
    <x v="163"/>
    <x v="18"/>
    <x v="2399"/>
    <x v="0"/>
    <x v="0"/>
    <x v="5"/>
    <x v="4"/>
    <x v="0"/>
    <x v="0"/>
  </r>
  <r>
    <x v="163"/>
    <x v="19"/>
    <x v="2284"/>
    <x v="0"/>
    <x v="0"/>
    <x v="5"/>
    <x v="4"/>
    <x v="0"/>
    <x v="0"/>
  </r>
  <r>
    <x v="163"/>
    <x v="20"/>
    <x v="2152"/>
    <x v="0"/>
    <x v="0"/>
    <x v="5"/>
    <x v="4"/>
    <x v="0"/>
    <x v="1"/>
  </r>
  <r>
    <x v="163"/>
    <x v="21"/>
    <x v="2081"/>
    <x v="0"/>
    <x v="0"/>
    <x v="5"/>
    <x v="4"/>
    <x v="0"/>
    <x v="1"/>
  </r>
  <r>
    <x v="163"/>
    <x v="22"/>
    <x v="1632"/>
    <x v="0"/>
    <x v="0"/>
    <x v="5"/>
    <x v="4"/>
    <x v="0"/>
    <x v="1"/>
  </r>
  <r>
    <x v="163"/>
    <x v="23"/>
    <x v="1096"/>
    <x v="0"/>
    <x v="0"/>
    <x v="5"/>
    <x v="4"/>
    <x v="0"/>
    <x v="1"/>
  </r>
  <r>
    <x v="164"/>
    <x v="0"/>
    <x v="508"/>
    <x v="0"/>
    <x v="0"/>
    <x v="5"/>
    <x v="0"/>
    <x v="0"/>
    <x v="4"/>
  </r>
  <r>
    <x v="164"/>
    <x v="1"/>
    <x v="309"/>
    <x v="0"/>
    <x v="0"/>
    <x v="5"/>
    <x v="0"/>
    <x v="0"/>
    <x v="4"/>
  </r>
  <r>
    <x v="164"/>
    <x v="2"/>
    <x v="189"/>
    <x v="0"/>
    <x v="0"/>
    <x v="5"/>
    <x v="0"/>
    <x v="0"/>
    <x v="4"/>
  </r>
  <r>
    <x v="164"/>
    <x v="3"/>
    <x v="252"/>
    <x v="0"/>
    <x v="0"/>
    <x v="5"/>
    <x v="0"/>
    <x v="0"/>
    <x v="4"/>
  </r>
  <r>
    <x v="164"/>
    <x v="4"/>
    <x v="395"/>
    <x v="0"/>
    <x v="0"/>
    <x v="5"/>
    <x v="0"/>
    <x v="0"/>
    <x v="4"/>
  </r>
  <r>
    <x v="164"/>
    <x v="5"/>
    <x v="716"/>
    <x v="0"/>
    <x v="0"/>
    <x v="5"/>
    <x v="0"/>
    <x v="0"/>
    <x v="4"/>
  </r>
  <r>
    <x v="164"/>
    <x v="6"/>
    <x v="1159"/>
    <x v="0"/>
    <x v="0"/>
    <x v="5"/>
    <x v="0"/>
    <x v="0"/>
    <x v="3"/>
  </r>
  <r>
    <x v="164"/>
    <x v="7"/>
    <x v="1504"/>
    <x v="0"/>
    <x v="0"/>
    <x v="5"/>
    <x v="0"/>
    <x v="0"/>
    <x v="3"/>
  </r>
  <r>
    <x v="164"/>
    <x v="8"/>
    <x v="1576"/>
    <x v="0"/>
    <x v="0"/>
    <x v="5"/>
    <x v="0"/>
    <x v="0"/>
    <x v="3"/>
  </r>
  <r>
    <x v="164"/>
    <x v="9"/>
    <x v="1261"/>
    <x v="0"/>
    <x v="0"/>
    <x v="5"/>
    <x v="0"/>
    <x v="0"/>
    <x v="3"/>
  </r>
  <r>
    <x v="164"/>
    <x v="10"/>
    <x v="1227"/>
    <x v="0"/>
    <x v="0"/>
    <x v="5"/>
    <x v="0"/>
    <x v="0"/>
    <x v="2"/>
  </r>
  <r>
    <x v="164"/>
    <x v="11"/>
    <x v="1156"/>
    <x v="0"/>
    <x v="0"/>
    <x v="5"/>
    <x v="0"/>
    <x v="0"/>
    <x v="2"/>
  </r>
  <r>
    <x v="164"/>
    <x v="12"/>
    <x v="1191"/>
    <x v="0"/>
    <x v="0"/>
    <x v="5"/>
    <x v="0"/>
    <x v="0"/>
    <x v="2"/>
  </r>
  <r>
    <x v="164"/>
    <x v="13"/>
    <x v="1397"/>
    <x v="0"/>
    <x v="0"/>
    <x v="5"/>
    <x v="0"/>
    <x v="0"/>
    <x v="2"/>
  </r>
  <r>
    <x v="164"/>
    <x v="14"/>
    <x v="1550"/>
    <x v="0"/>
    <x v="0"/>
    <x v="5"/>
    <x v="0"/>
    <x v="0"/>
    <x v="2"/>
  </r>
  <r>
    <x v="164"/>
    <x v="15"/>
    <x v="1828"/>
    <x v="0"/>
    <x v="0"/>
    <x v="5"/>
    <x v="0"/>
    <x v="0"/>
    <x v="2"/>
  </r>
  <r>
    <x v="164"/>
    <x v="16"/>
    <x v="2011"/>
    <x v="0"/>
    <x v="0"/>
    <x v="5"/>
    <x v="0"/>
    <x v="0"/>
    <x v="0"/>
  </r>
  <r>
    <x v="164"/>
    <x v="17"/>
    <x v="2258"/>
    <x v="0"/>
    <x v="0"/>
    <x v="5"/>
    <x v="0"/>
    <x v="0"/>
    <x v="0"/>
  </r>
  <r>
    <x v="164"/>
    <x v="18"/>
    <x v="2405"/>
    <x v="0"/>
    <x v="0"/>
    <x v="5"/>
    <x v="0"/>
    <x v="0"/>
    <x v="0"/>
  </r>
  <r>
    <x v="164"/>
    <x v="19"/>
    <x v="2387"/>
    <x v="0"/>
    <x v="0"/>
    <x v="5"/>
    <x v="0"/>
    <x v="0"/>
    <x v="0"/>
  </r>
  <r>
    <x v="164"/>
    <x v="20"/>
    <x v="2156"/>
    <x v="0"/>
    <x v="0"/>
    <x v="5"/>
    <x v="0"/>
    <x v="0"/>
    <x v="1"/>
  </r>
  <r>
    <x v="164"/>
    <x v="21"/>
    <x v="2272"/>
    <x v="0"/>
    <x v="0"/>
    <x v="5"/>
    <x v="0"/>
    <x v="0"/>
    <x v="1"/>
  </r>
  <r>
    <x v="164"/>
    <x v="22"/>
    <x v="2318"/>
    <x v="0"/>
    <x v="0"/>
    <x v="5"/>
    <x v="0"/>
    <x v="0"/>
    <x v="1"/>
  </r>
  <r>
    <x v="164"/>
    <x v="23"/>
    <x v="2076"/>
    <x v="0"/>
    <x v="0"/>
    <x v="5"/>
    <x v="0"/>
    <x v="0"/>
    <x v="1"/>
  </r>
  <r>
    <x v="165"/>
    <x v="0"/>
    <x v="1635"/>
    <x v="0"/>
    <x v="0"/>
    <x v="5"/>
    <x v="2"/>
    <x v="1"/>
    <x v="4"/>
  </r>
  <r>
    <x v="165"/>
    <x v="1"/>
    <x v="1095"/>
    <x v="0"/>
    <x v="0"/>
    <x v="5"/>
    <x v="2"/>
    <x v="1"/>
    <x v="4"/>
  </r>
  <r>
    <x v="165"/>
    <x v="2"/>
    <x v="680"/>
    <x v="0"/>
    <x v="0"/>
    <x v="5"/>
    <x v="2"/>
    <x v="1"/>
    <x v="4"/>
  </r>
  <r>
    <x v="165"/>
    <x v="3"/>
    <x v="438"/>
    <x v="0"/>
    <x v="0"/>
    <x v="5"/>
    <x v="2"/>
    <x v="1"/>
    <x v="4"/>
  </r>
  <r>
    <x v="165"/>
    <x v="4"/>
    <x v="285"/>
    <x v="0"/>
    <x v="0"/>
    <x v="5"/>
    <x v="2"/>
    <x v="1"/>
    <x v="4"/>
  </r>
  <r>
    <x v="165"/>
    <x v="5"/>
    <x v="327"/>
    <x v="0"/>
    <x v="0"/>
    <x v="5"/>
    <x v="2"/>
    <x v="1"/>
    <x v="4"/>
  </r>
  <r>
    <x v="165"/>
    <x v="6"/>
    <x v="405"/>
    <x v="0"/>
    <x v="0"/>
    <x v="5"/>
    <x v="2"/>
    <x v="1"/>
    <x v="3"/>
  </r>
  <r>
    <x v="165"/>
    <x v="7"/>
    <x v="564"/>
    <x v="0"/>
    <x v="0"/>
    <x v="5"/>
    <x v="2"/>
    <x v="1"/>
    <x v="3"/>
  </r>
  <r>
    <x v="165"/>
    <x v="8"/>
    <x v="826"/>
    <x v="0"/>
    <x v="0"/>
    <x v="5"/>
    <x v="2"/>
    <x v="1"/>
    <x v="3"/>
  </r>
  <r>
    <x v="165"/>
    <x v="9"/>
    <x v="949"/>
    <x v="0"/>
    <x v="0"/>
    <x v="5"/>
    <x v="2"/>
    <x v="1"/>
    <x v="3"/>
  </r>
  <r>
    <x v="165"/>
    <x v="10"/>
    <x v="1172"/>
    <x v="0"/>
    <x v="0"/>
    <x v="5"/>
    <x v="2"/>
    <x v="1"/>
    <x v="2"/>
  </r>
  <r>
    <x v="165"/>
    <x v="11"/>
    <x v="1321"/>
    <x v="0"/>
    <x v="0"/>
    <x v="5"/>
    <x v="2"/>
    <x v="1"/>
    <x v="2"/>
  </r>
  <r>
    <x v="165"/>
    <x v="12"/>
    <x v="1378"/>
    <x v="0"/>
    <x v="0"/>
    <x v="5"/>
    <x v="2"/>
    <x v="1"/>
    <x v="2"/>
  </r>
  <r>
    <x v="165"/>
    <x v="13"/>
    <x v="1619"/>
    <x v="0"/>
    <x v="0"/>
    <x v="5"/>
    <x v="2"/>
    <x v="1"/>
    <x v="2"/>
  </r>
  <r>
    <x v="165"/>
    <x v="14"/>
    <x v="2290"/>
    <x v="0"/>
    <x v="0"/>
    <x v="5"/>
    <x v="2"/>
    <x v="1"/>
    <x v="2"/>
  </r>
  <r>
    <x v="165"/>
    <x v="15"/>
    <x v="2503"/>
    <x v="0"/>
    <x v="0"/>
    <x v="5"/>
    <x v="2"/>
    <x v="1"/>
    <x v="2"/>
  </r>
  <r>
    <x v="165"/>
    <x v="16"/>
    <x v="2481"/>
    <x v="0"/>
    <x v="0"/>
    <x v="5"/>
    <x v="2"/>
    <x v="1"/>
    <x v="0"/>
  </r>
  <r>
    <x v="165"/>
    <x v="17"/>
    <x v="2480"/>
    <x v="0"/>
    <x v="0"/>
    <x v="5"/>
    <x v="2"/>
    <x v="1"/>
    <x v="0"/>
  </r>
  <r>
    <x v="165"/>
    <x v="18"/>
    <x v="2756"/>
    <x v="0"/>
    <x v="0"/>
    <x v="5"/>
    <x v="2"/>
    <x v="1"/>
    <x v="0"/>
  </r>
  <r>
    <x v="165"/>
    <x v="19"/>
    <x v="2689"/>
    <x v="0"/>
    <x v="0"/>
    <x v="5"/>
    <x v="2"/>
    <x v="1"/>
    <x v="0"/>
  </r>
  <r>
    <x v="165"/>
    <x v="20"/>
    <x v="2198"/>
    <x v="0"/>
    <x v="0"/>
    <x v="5"/>
    <x v="2"/>
    <x v="1"/>
    <x v="1"/>
  </r>
  <r>
    <x v="165"/>
    <x v="21"/>
    <x v="2212"/>
    <x v="0"/>
    <x v="0"/>
    <x v="5"/>
    <x v="2"/>
    <x v="1"/>
    <x v="1"/>
  </r>
  <r>
    <x v="165"/>
    <x v="22"/>
    <x v="2180"/>
    <x v="0"/>
    <x v="0"/>
    <x v="5"/>
    <x v="2"/>
    <x v="1"/>
    <x v="1"/>
  </r>
  <r>
    <x v="165"/>
    <x v="23"/>
    <x v="2105"/>
    <x v="0"/>
    <x v="0"/>
    <x v="5"/>
    <x v="2"/>
    <x v="1"/>
    <x v="1"/>
  </r>
  <r>
    <x v="166"/>
    <x v="0"/>
    <x v="1627"/>
    <x v="0"/>
    <x v="0"/>
    <x v="5"/>
    <x v="3"/>
    <x v="1"/>
    <x v="4"/>
  </r>
  <r>
    <x v="166"/>
    <x v="1"/>
    <x v="1133"/>
    <x v="0"/>
    <x v="0"/>
    <x v="5"/>
    <x v="3"/>
    <x v="1"/>
    <x v="4"/>
  </r>
  <r>
    <x v="166"/>
    <x v="2"/>
    <x v="770"/>
    <x v="0"/>
    <x v="0"/>
    <x v="5"/>
    <x v="3"/>
    <x v="1"/>
    <x v="4"/>
  </r>
  <r>
    <x v="166"/>
    <x v="3"/>
    <x v="460"/>
    <x v="0"/>
    <x v="0"/>
    <x v="5"/>
    <x v="3"/>
    <x v="1"/>
    <x v="4"/>
  </r>
  <r>
    <x v="166"/>
    <x v="4"/>
    <x v="286"/>
    <x v="0"/>
    <x v="0"/>
    <x v="5"/>
    <x v="3"/>
    <x v="1"/>
    <x v="4"/>
  </r>
  <r>
    <x v="166"/>
    <x v="5"/>
    <x v="302"/>
    <x v="0"/>
    <x v="0"/>
    <x v="5"/>
    <x v="3"/>
    <x v="1"/>
    <x v="4"/>
  </r>
  <r>
    <x v="166"/>
    <x v="6"/>
    <x v="337"/>
    <x v="0"/>
    <x v="0"/>
    <x v="5"/>
    <x v="3"/>
    <x v="1"/>
    <x v="3"/>
  </r>
  <r>
    <x v="166"/>
    <x v="7"/>
    <x v="476"/>
    <x v="0"/>
    <x v="0"/>
    <x v="5"/>
    <x v="3"/>
    <x v="1"/>
    <x v="3"/>
  </r>
  <r>
    <x v="166"/>
    <x v="8"/>
    <x v="668"/>
    <x v="0"/>
    <x v="0"/>
    <x v="5"/>
    <x v="3"/>
    <x v="1"/>
    <x v="3"/>
  </r>
  <r>
    <x v="166"/>
    <x v="9"/>
    <x v="859"/>
    <x v="0"/>
    <x v="0"/>
    <x v="5"/>
    <x v="3"/>
    <x v="1"/>
    <x v="3"/>
  </r>
  <r>
    <x v="166"/>
    <x v="10"/>
    <x v="1007"/>
    <x v="0"/>
    <x v="0"/>
    <x v="5"/>
    <x v="3"/>
    <x v="1"/>
    <x v="2"/>
  </r>
  <r>
    <x v="166"/>
    <x v="11"/>
    <x v="1228"/>
    <x v="0"/>
    <x v="0"/>
    <x v="5"/>
    <x v="3"/>
    <x v="1"/>
    <x v="2"/>
  </r>
  <r>
    <x v="166"/>
    <x v="12"/>
    <x v="1193"/>
    <x v="0"/>
    <x v="0"/>
    <x v="5"/>
    <x v="3"/>
    <x v="1"/>
    <x v="2"/>
  </r>
  <r>
    <x v="166"/>
    <x v="13"/>
    <x v="1368"/>
    <x v="0"/>
    <x v="0"/>
    <x v="5"/>
    <x v="3"/>
    <x v="1"/>
    <x v="2"/>
  </r>
  <r>
    <x v="166"/>
    <x v="14"/>
    <x v="1433"/>
    <x v="0"/>
    <x v="0"/>
    <x v="5"/>
    <x v="3"/>
    <x v="1"/>
    <x v="2"/>
  </r>
  <r>
    <x v="166"/>
    <x v="15"/>
    <x v="1611"/>
    <x v="0"/>
    <x v="0"/>
    <x v="5"/>
    <x v="3"/>
    <x v="1"/>
    <x v="2"/>
  </r>
  <r>
    <x v="166"/>
    <x v="16"/>
    <x v="1711"/>
    <x v="0"/>
    <x v="0"/>
    <x v="5"/>
    <x v="3"/>
    <x v="1"/>
    <x v="0"/>
  </r>
  <r>
    <x v="166"/>
    <x v="17"/>
    <x v="1684"/>
    <x v="0"/>
    <x v="0"/>
    <x v="5"/>
    <x v="3"/>
    <x v="1"/>
    <x v="0"/>
  </r>
  <r>
    <x v="166"/>
    <x v="18"/>
    <x v="1621"/>
    <x v="0"/>
    <x v="0"/>
    <x v="5"/>
    <x v="3"/>
    <x v="1"/>
    <x v="0"/>
  </r>
  <r>
    <x v="166"/>
    <x v="19"/>
    <x v="1464"/>
    <x v="0"/>
    <x v="0"/>
    <x v="5"/>
    <x v="3"/>
    <x v="1"/>
    <x v="0"/>
  </r>
  <r>
    <x v="166"/>
    <x v="20"/>
    <x v="1376"/>
    <x v="0"/>
    <x v="0"/>
    <x v="5"/>
    <x v="3"/>
    <x v="1"/>
    <x v="1"/>
  </r>
  <r>
    <x v="166"/>
    <x v="21"/>
    <x v="1110"/>
    <x v="0"/>
    <x v="0"/>
    <x v="5"/>
    <x v="3"/>
    <x v="1"/>
    <x v="1"/>
  </r>
  <r>
    <x v="166"/>
    <x v="22"/>
    <x v="900"/>
    <x v="0"/>
    <x v="0"/>
    <x v="5"/>
    <x v="3"/>
    <x v="1"/>
    <x v="1"/>
  </r>
  <r>
    <x v="166"/>
    <x v="23"/>
    <x v="421"/>
    <x v="0"/>
    <x v="0"/>
    <x v="5"/>
    <x v="3"/>
    <x v="1"/>
    <x v="1"/>
  </r>
  <r>
    <x v="167"/>
    <x v="0"/>
    <x v="185"/>
    <x v="0"/>
    <x v="0"/>
    <x v="5"/>
    <x v="1"/>
    <x v="0"/>
    <x v="4"/>
  </r>
  <r>
    <x v="167"/>
    <x v="1"/>
    <x v="101"/>
    <x v="0"/>
    <x v="0"/>
    <x v="5"/>
    <x v="1"/>
    <x v="0"/>
    <x v="4"/>
  </r>
  <r>
    <x v="167"/>
    <x v="2"/>
    <x v="88"/>
    <x v="0"/>
    <x v="0"/>
    <x v="5"/>
    <x v="1"/>
    <x v="0"/>
    <x v="4"/>
  </r>
  <r>
    <x v="167"/>
    <x v="3"/>
    <x v="268"/>
    <x v="0"/>
    <x v="0"/>
    <x v="5"/>
    <x v="1"/>
    <x v="0"/>
    <x v="4"/>
  </r>
  <r>
    <x v="167"/>
    <x v="4"/>
    <x v="480"/>
    <x v="0"/>
    <x v="0"/>
    <x v="5"/>
    <x v="1"/>
    <x v="0"/>
    <x v="4"/>
  </r>
  <r>
    <x v="167"/>
    <x v="5"/>
    <x v="776"/>
    <x v="0"/>
    <x v="0"/>
    <x v="5"/>
    <x v="1"/>
    <x v="0"/>
    <x v="4"/>
  </r>
  <r>
    <x v="167"/>
    <x v="6"/>
    <x v="1226"/>
    <x v="0"/>
    <x v="0"/>
    <x v="5"/>
    <x v="1"/>
    <x v="0"/>
    <x v="3"/>
  </r>
  <r>
    <x v="167"/>
    <x v="7"/>
    <x v="1529"/>
    <x v="0"/>
    <x v="0"/>
    <x v="5"/>
    <x v="1"/>
    <x v="0"/>
    <x v="3"/>
  </r>
  <r>
    <x v="167"/>
    <x v="8"/>
    <x v="1540"/>
    <x v="0"/>
    <x v="0"/>
    <x v="5"/>
    <x v="1"/>
    <x v="0"/>
    <x v="3"/>
  </r>
  <r>
    <x v="167"/>
    <x v="9"/>
    <x v="1121"/>
    <x v="0"/>
    <x v="0"/>
    <x v="5"/>
    <x v="1"/>
    <x v="0"/>
    <x v="3"/>
  </r>
  <r>
    <x v="167"/>
    <x v="10"/>
    <x v="920"/>
    <x v="0"/>
    <x v="0"/>
    <x v="5"/>
    <x v="1"/>
    <x v="0"/>
    <x v="2"/>
  </r>
  <r>
    <x v="167"/>
    <x v="11"/>
    <x v="942"/>
    <x v="0"/>
    <x v="0"/>
    <x v="5"/>
    <x v="1"/>
    <x v="0"/>
    <x v="2"/>
  </r>
  <r>
    <x v="167"/>
    <x v="12"/>
    <x v="947"/>
    <x v="0"/>
    <x v="0"/>
    <x v="5"/>
    <x v="1"/>
    <x v="0"/>
    <x v="2"/>
  </r>
  <r>
    <x v="167"/>
    <x v="13"/>
    <x v="1149"/>
    <x v="0"/>
    <x v="0"/>
    <x v="5"/>
    <x v="1"/>
    <x v="0"/>
    <x v="2"/>
  </r>
  <r>
    <x v="167"/>
    <x v="14"/>
    <x v="1317"/>
    <x v="0"/>
    <x v="0"/>
    <x v="5"/>
    <x v="1"/>
    <x v="0"/>
    <x v="2"/>
  </r>
  <r>
    <x v="167"/>
    <x v="15"/>
    <x v="1593"/>
    <x v="0"/>
    <x v="0"/>
    <x v="5"/>
    <x v="1"/>
    <x v="0"/>
    <x v="2"/>
  </r>
  <r>
    <x v="167"/>
    <x v="16"/>
    <x v="1916"/>
    <x v="0"/>
    <x v="0"/>
    <x v="5"/>
    <x v="1"/>
    <x v="0"/>
    <x v="0"/>
  </r>
  <r>
    <x v="167"/>
    <x v="17"/>
    <x v="2026"/>
    <x v="0"/>
    <x v="0"/>
    <x v="5"/>
    <x v="1"/>
    <x v="0"/>
    <x v="0"/>
  </r>
  <r>
    <x v="167"/>
    <x v="18"/>
    <x v="1891"/>
    <x v="0"/>
    <x v="0"/>
    <x v="5"/>
    <x v="1"/>
    <x v="0"/>
    <x v="0"/>
  </r>
  <r>
    <x v="167"/>
    <x v="19"/>
    <x v="1718"/>
    <x v="0"/>
    <x v="0"/>
    <x v="5"/>
    <x v="1"/>
    <x v="0"/>
    <x v="0"/>
  </r>
  <r>
    <x v="167"/>
    <x v="20"/>
    <x v="1664"/>
    <x v="0"/>
    <x v="0"/>
    <x v="5"/>
    <x v="1"/>
    <x v="0"/>
    <x v="1"/>
  </r>
  <r>
    <x v="167"/>
    <x v="21"/>
    <x v="1246"/>
    <x v="0"/>
    <x v="0"/>
    <x v="5"/>
    <x v="1"/>
    <x v="0"/>
    <x v="1"/>
  </r>
  <r>
    <x v="167"/>
    <x v="22"/>
    <x v="908"/>
    <x v="0"/>
    <x v="0"/>
    <x v="5"/>
    <x v="1"/>
    <x v="0"/>
    <x v="1"/>
  </r>
  <r>
    <x v="167"/>
    <x v="23"/>
    <x v="482"/>
    <x v="0"/>
    <x v="0"/>
    <x v="5"/>
    <x v="1"/>
    <x v="0"/>
    <x v="1"/>
  </r>
  <r>
    <x v="168"/>
    <x v="0"/>
    <x v="195"/>
    <x v="0"/>
    <x v="0"/>
    <x v="5"/>
    <x v="5"/>
    <x v="0"/>
    <x v="4"/>
  </r>
  <r>
    <x v="168"/>
    <x v="1"/>
    <x v="70"/>
    <x v="0"/>
    <x v="0"/>
    <x v="5"/>
    <x v="5"/>
    <x v="0"/>
    <x v="4"/>
  </r>
  <r>
    <x v="168"/>
    <x v="2"/>
    <x v="56"/>
    <x v="0"/>
    <x v="0"/>
    <x v="5"/>
    <x v="5"/>
    <x v="0"/>
    <x v="4"/>
  </r>
  <r>
    <x v="168"/>
    <x v="3"/>
    <x v="148"/>
    <x v="0"/>
    <x v="0"/>
    <x v="5"/>
    <x v="5"/>
    <x v="0"/>
    <x v="4"/>
  </r>
  <r>
    <x v="168"/>
    <x v="4"/>
    <x v="291"/>
    <x v="0"/>
    <x v="0"/>
    <x v="5"/>
    <x v="5"/>
    <x v="0"/>
    <x v="4"/>
  </r>
  <r>
    <x v="168"/>
    <x v="5"/>
    <x v="694"/>
    <x v="0"/>
    <x v="0"/>
    <x v="5"/>
    <x v="5"/>
    <x v="0"/>
    <x v="4"/>
  </r>
  <r>
    <x v="168"/>
    <x v="6"/>
    <x v="1505"/>
    <x v="0"/>
    <x v="0"/>
    <x v="5"/>
    <x v="5"/>
    <x v="0"/>
    <x v="3"/>
  </r>
  <r>
    <x v="168"/>
    <x v="7"/>
    <x v="2001"/>
    <x v="0"/>
    <x v="0"/>
    <x v="5"/>
    <x v="5"/>
    <x v="0"/>
    <x v="3"/>
  </r>
  <r>
    <x v="168"/>
    <x v="8"/>
    <x v="2136"/>
    <x v="0"/>
    <x v="0"/>
    <x v="5"/>
    <x v="5"/>
    <x v="0"/>
    <x v="3"/>
  </r>
  <r>
    <x v="168"/>
    <x v="9"/>
    <x v="1796"/>
    <x v="0"/>
    <x v="0"/>
    <x v="5"/>
    <x v="5"/>
    <x v="0"/>
    <x v="3"/>
  </r>
  <r>
    <x v="168"/>
    <x v="10"/>
    <x v="1627"/>
    <x v="0"/>
    <x v="0"/>
    <x v="5"/>
    <x v="5"/>
    <x v="0"/>
    <x v="2"/>
  </r>
  <r>
    <x v="168"/>
    <x v="11"/>
    <x v="1229"/>
    <x v="0"/>
    <x v="0"/>
    <x v="5"/>
    <x v="5"/>
    <x v="0"/>
    <x v="2"/>
  </r>
  <r>
    <x v="168"/>
    <x v="12"/>
    <x v="1137"/>
    <x v="0"/>
    <x v="0"/>
    <x v="5"/>
    <x v="5"/>
    <x v="0"/>
    <x v="2"/>
  </r>
  <r>
    <x v="168"/>
    <x v="13"/>
    <x v="1273"/>
    <x v="0"/>
    <x v="0"/>
    <x v="5"/>
    <x v="5"/>
    <x v="0"/>
    <x v="2"/>
  </r>
  <r>
    <x v="168"/>
    <x v="14"/>
    <x v="1584"/>
    <x v="0"/>
    <x v="0"/>
    <x v="5"/>
    <x v="5"/>
    <x v="0"/>
    <x v="2"/>
  </r>
  <r>
    <x v="168"/>
    <x v="15"/>
    <x v="1870"/>
    <x v="0"/>
    <x v="0"/>
    <x v="5"/>
    <x v="5"/>
    <x v="0"/>
    <x v="2"/>
  </r>
  <r>
    <x v="168"/>
    <x v="16"/>
    <x v="2156"/>
    <x v="0"/>
    <x v="0"/>
    <x v="5"/>
    <x v="5"/>
    <x v="0"/>
    <x v="0"/>
  </r>
  <r>
    <x v="168"/>
    <x v="17"/>
    <x v="2296"/>
    <x v="0"/>
    <x v="0"/>
    <x v="5"/>
    <x v="5"/>
    <x v="0"/>
    <x v="0"/>
  </r>
  <r>
    <x v="168"/>
    <x v="18"/>
    <x v="2183"/>
    <x v="0"/>
    <x v="0"/>
    <x v="5"/>
    <x v="5"/>
    <x v="0"/>
    <x v="0"/>
  </r>
  <r>
    <x v="168"/>
    <x v="19"/>
    <x v="1979"/>
    <x v="0"/>
    <x v="0"/>
    <x v="5"/>
    <x v="5"/>
    <x v="0"/>
    <x v="0"/>
  </r>
  <r>
    <x v="168"/>
    <x v="20"/>
    <x v="1865"/>
    <x v="0"/>
    <x v="0"/>
    <x v="5"/>
    <x v="5"/>
    <x v="0"/>
    <x v="1"/>
  </r>
  <r>
    <x v="168"/>
    <x v="21"/>
    <x v="1618"/>
    <x v="0"/>
    <x v="0"/>
    <x v="5"/>
    <x v="5"/>
    <x v="0"/>
    <x v="1"/>
  </r>
  <r>
    <x v="168"/>
    <x v="22"/>
    <x v="1106"/>
    <x v="0"/>
    <x v="0"/>
    <x v="5"/>
    <x v="5"/>
    <x v="0"/>
    <x v="1"/>
  </r>
  <r>
    <x v="168"/>
    <x v="23"/>
    <x v="552"/>
    <x v="0"/>
    <x v="0"/>
    <x v="5"/>
    <x v="5"/>
    <x v="0"/>
    <x v="1"/>
  </r>
  <r>
    <x v="169"/>
    <x v="0"/>
    <x v="285"/>
    <x v="0"/>
    <x v="0"/>
    <x v="5"/>
    <x v="6"/>
    <x v="0"/>
    <x v="4"/>
  </r>
  <r>
    <x v="169"/>
    <x v="1"/>
    <x v="132"/>
    <x v="0"/>
    <x v="0"/>
    <x v="5"/>
    <x v="6"/>
    <x v="0"/>
    <x v="4"/>
  </r>
  <r>
    <x v="169"/>
    <x v="2"/>
    <x v="86"/>
    <x v="0"/>
    <x v="0"/>
    <x v="5"/>
    <x v="6"/>
    <x v="0"/>
    <x v="4"/>
  </r>
  <r>
    <x v="169"/>
    <x v="3"/>
    <x v="185"/>
    <x v="0"/>
    <x v="0"/>
    <x v="5"/>
    <x v="6"/>
    <x v="0"/>
    <x v="4"/>
  </r>
  <r>
    <x v="169"/>
    <x v="4"/>
    <x v="355"/>
    <x v="0"/>
    <x v="0"/>
    <x v="5"/>
    <x v="6"/>
    <x v="0"/>
    <x v="4"/>
  </r>
  <r>
    <x v="169"/>
    <x v="5"/>
    <x v="672"/>
    <x v="0"/>
    <x v="0"/>
    <x v="5"/>
    <x v="6"/>
    <x v="0"/>
    <x v="4"/>
  </r>
  <r>
    <x v="169"/>
    <x v="6"/>
    <x v="1405"/>
    <x v="0"/>
    <x v="0"/>
    <x v="5"/>
    <x v="6"/>
    <x v="0"/>
    <x v="3"/>
  </r>
  <r>
    <x v="169"/>
    <x v="7"/>
    <x v="1757"/>
    <x v="0"/>
    <x v="0"/>
    <x v="5"/>
    <x v="6"/>
    <x v="0"/>
    <x v="3"/>
  </r>
  <r>
    <x v="169"/>
    <x v="8"/>
    <x v="1512"/>
    <x v="0"/>
    <x v="0"/>
    <x v="5"/>
    <x v="6"/>
    <x v="0"/>
    <x v="3"/>
  </r>
  <r>
    <x v="169"/>
    <x v="9"/>
    <x v="1155"/>
    <x v="0"/>
    <x v="0"/>
    <x v="5"/>
    <x v="6"/>
    <x v="0"/>
    <x v="3"/>
  </r>
  <r>
    <x v="169"/>
    <x v="10"/>
    <x v="1108"/>
    <x v="0"/>
    <x v="0"/>
    <x v="5"/>
    <x v="6"/>
    <x v="0"/>
    <x v="2"/>
  </r>
  <r>
    <x v="169"/>
    <x v="11"/>
    <x v="1072"/>
    <x v="0"/>
    <x v="0"/>
    <x v="5"/>
    <x v="6"/>
    <x v="0"/>
    <x v="2"/>
  </r>
  <r>
    <x v="169"/>
    <x v="12"/>
    <x v="1183"/>
    <x v="0"/>
    <x v="0"/>
    <x v="5"/>
    <x v="6"/>
    <x v="0"/>
    <x v="2"/>
  </r>
  <r>
    <x v="169"/>
    <x v="13"/>
    <x v="1408"/>
    <x v="0"/>
    <x v="0"/>
    <x v="5"/>
    <x v="6"/>
    <x v="0"/>
    <x v="2"/>
  </r>
  <r>
    <x v="169"/>
    <x v="14"/>
    <x v="1595"/>
    <x v="0"/>
    <x v="0"/>
    <x v="5"/>
    <x v="6"/>
    <x v="0"/>
    <x v="2"/>
  </r>
  <r>
    <x v="169"/>
    <x v="15"/>
    <x v="1890"/>
    <x v="0"/>
    <x v="0"/>
    <x v="5"/>
    <x v="6"/>
    <x v="0"/>
    <x v="2"/>
  </r>
  <r>
    <x v="169"/>
    <x v="16"/>
    <x v="2142"/>
    <x v="0"/>
    <x v="0"/>
    <x v="5"/>
    <x v="6"/>
    <x v="0"/>
    <x v="0"/>
  </r>
  <r>
    <x v="169"/>
    <x v="17"/>
    <x v="2298"/>
    <x v="0"/>
    <x v="0"/>
    <x v="5"/>
    <x v="6"/>
    <x v="0"/>
    <x v="0"/>
  </r>
  <r>
    <x v="169"/>
    <x v="18"/>
    <x v="2310"/>
    <x v="0"/>
    <x v="0"/>
    <x v="5"/>
    <x v="6"/>
    <x v="0"/>
    <x v="0"/>
  </r>
  <r>
    <x v="169"/>
    <x v="19"/>
    <x v="2136"/>
    <x v="0"/>
    <x v="0"/>
    <x v="5"/>
    <x v="6"/>
    <x v="0"/>
    <x v="0"/>
  </r>
  <r>
    <x v="169"/>
    <x v="20"/>
    <x v="2116"/>
    <x v="0"/>
    <x v="0"/>
    <x v="5"/>
    <x v="6"/>
    <x v="0"/>
    <x v="1"/>
  </r>
  <r>
    <x v="169"/>
    <x v="21"/>
    <x v="1902"/>
    <x v="0"/>
    <x v="0"/>
    <x v="5"/>
    <x v="6"/>
    <x v="0"/>
    <x v="1"/>
  </r>
  <r>
    <x v="169"/>
    <x v="22"/>
    <x v="1459"/>
    <x v="0"/>
    <x v="0"/>
    <x v="5"/>
    <x v="6"/>
    <x v="0"/>
    <x v="1"/>
  </r>
  <r>
    <x v="169"/>
    <x v="23"/>
    <x v="732"/>
    <x v="0"/>
    <x v="0"/>
    <x v="5"/>
    <x v="6"/>
    <x v="0"/>
    <x v="1"/>
  </r>
  <r>
    <x v="170"/>
    <x v="0"/>
    <x v="326"/>
    <x v="0"/>
    <x v="0"/>
    <x v="5"/>
    <x v="4"/>
    <x v="0"/>
    <x v="4"/>
  </r>
  <r>
    <x v="170"/>
    <x v="1"/>
    <x v="170"/>
    <x v="0"/>
    <x v="0"/>
    <x v="5"/>
    <x v="4"/>
    <x v="0"/>
    <x v="4"/>
  </r>
  <r>
    <x v="170"/>
    <x v="2"/>
    <x v="97"/>
    <x v="0"/>
    <x v="0"/>
    <x v="5"/>
    <x v="4"/>
    <x v="0"/>
    <x v="4"/>
  </r>
  <r>
    <x v="170"/>
    <x v="3"/>
    <x v="200"/>
    <x v="0"/>
    <x v="0"/>
    <x v="5"/>
    <x v="4"/>
    <x v="0"/>
    <x v="4"/>
  </r>
  <r>
    <x v="170"/>
    <x v="4"/>
    <x v="373"/>
    <x v="0"/>
    <x v="0"/>
    <x v="5"/>
    <x v="4"/>
    <x v="0"/>
    <x v="4"/>
  </r>
  <r>
    <x v="170"/>
    <x v="5"/>
    <x v="751"/>
    <x v="0"/>
    <x v="0"/>
    <x v="5"/>
    <x v="4"/>
    <x v="0"/>
    <x v="4"/>
  </r>
  <r>
    <x v="170"/>
    <x v="6"/>
    <x v="1304"/>
    <x v="0"/>
    <x v="0"/>
    <x v="5"/>
    <x v="4"/>
    <x v="0"/>
    <x v="3"/>
  </r>
  <r>
    <x v="170"/>
    <x v="7"/>
    <x v="1722"/>
    <x v="0"/>
    <x v="0"/>
    <x v="5"/>
    <x v="4"/>
    <x v="0"/>
    <x v="3"/>
  </r>
  <r>
    <x v="170"/>
    <x v="8"/>
    <x v="1639"/>
    <x v="0"/>
    <x v="0"/>
    <x v="5"/>
    <x v="4"/>
    <x v="0"/>
    <x v="3"/>
  </r>
  <r>
    <x v="170"/>
    <x v="9"/>
    <x v="1218"/>
    <x v="0"/>
    <x v="0"/>
    <x v="5"/>
    <x v="4"/>
    <x v="0"/>
    <x v="3"/>
  </r>
  <r>
    <x v="170"/>
    <x v="10"/>
    <x v="1152"/>
    <x v="0"/>
    <x v="0"/>
    <x v="5"/>
    <x v="4"/>
    <x v="0"/>
    <x v="2"/>
  </r>
  <r>
    <x v="170"/>
    <x v="11"/>
    <x v="1189"/>
    <x v="0"/>
    <x v="0"/>
    <x v="5"/>
    <x v="4"/>
    <x v="0"/>
    <x v="2"/>
  </r>
  <r>
    <x v="170"/>
    <x v="12"/>
    <x v="1174"/>
    <x v="0"/>
    <x v="0"/>
    <x v="5"/>
    <x v="4"/>
    <x v="0"/>
    <x v="2"/>
  </r>
  <r>
    <x v="170"/>
    <x v="13"/>
    <x v="1448"/>
    <x v="0"/>
    <x v="0"/>
    <x v="5"/>
    <x v="4"/>
    <x v="0"/>
    <x v="2"/>
  </r>
  <r>
    <x v="170"/>
    <x v="14"/>
    <x v="1680"/>
    <x v="0"/>
    <x v="0"/>
    <x v="5"/>
    <x v="4"/>
    <x v="0"/>
    <x v="2"/>
  </r>
  <r>
    <x v="170"/>
    <x v="15"/>
    <x v="1973"/>
    <x v="0"/>
    <x v="0"/>
    <x v="5"/>
    <x v="4"/>
    <x v="0"/>
    <x v="2"/>
  </r>
  <r>
    <x v="170"/>
    <x v="16"/>
    <x v="2252"/>
    <x v="0"/>
    <x v="0"/>
    <x v="5"/>
    <x v="4"/>
    <x v="0"/>
    <x v="0"/>
  </r>
  <r>
    <x v="170"/>
    <x v="17"/>
    <x v="2549"/>
    <x v="0"/>
    <x v="0"/>
    <x v="5"/>
    <x v="4"/>
    <x v="0"/>
    <x v="0"/>
  </r>
  <r>
    <x v="170"/>
    <x v="18"/>
    <x v="2619"/>
    <x v="0"/>
    <x v="0"/>
    <x v="5"/>
    <x v="4"/>
    <x v="0"/>
    <x v="0"/>
  </r>
  <r>
    <x v="170"/>
    <x v="19"/>
    <x v="2606"/>
    <x v="0"/>
    <x v="0"/>
    <x v="5"/>
    <x v="4"/>
    <x v="0"/>
    <x v="0"/>
  </r>
  <r>
    <x v="170"/>
    <x v="20"/>
    <x v="2378"/>
    <x v="0"/>
    <x v="0"/>
    <x v="5"/>
    <x v="4"/>
    <x v="0"/>
    <x v="1"/>
  </r>
  <r>
    <x v="170"/>
    <x v="21"/>
    <x v="2358"/>
    <x v="0"/>
    <x v="0"/>
    <x v="5"/>
    <x v="4"/>
    <x v="0"/>
    <x v="1"/>
  </r>
  <r>
    <x v="170"/>
    <x v="22"/>
    <x v="1972"/>
    <x v="0"/>
    <x v="0"/>
    <x v="5"/>
    <x v="4"/>
    <x v="0"/>
    <x v="1"/>
  </r>
  <r>
    <x v="170"/>
    <x v="23"/>
    <x v="1333"/>
    <x v="0"/>
    <x v="0"/>
    <x v="5"/>
    <x v="4"/>
    <x v="0"/>
    <x v="1"/>
  </r>
  <r>
    <x v="171"/>
    <x v="0"/>
    <x v="560"/>
    <x v="0"/>
    <x v="0"/>
    <x v="5"/>
    <x v="0"/>
    <x v="0"/>
    <x v="4"/>
  </r>
  <r>
    <x v="171"/>
    <x v="1"/>
    <x v="350"/>
    <x v="0"/>
    <x v="0"/>
    <x v="5"/>
    <x v="0"/>
    <x v="0"/>
    <x v="4"/>
  </r>
  <r>
    <x v="171"/>
    <x v="2"/>
    <x v="195"/>
    <x v="0"/>
    <x v="0"/>
    <x v="5"/>
    <x v="0"/>
    <x v="0"/>
    <x v="4"/>
  </r>
  <r>
    <x v="171"/>
    <x v="3"/>
    <x v="294"/>
    <x v="0"/>
    <x v="0"/>
    <x v="5"/>
    <x v="0"/>
    <x v="0"/>
    <x v="4"/>
  </r>
  <r>
    <x v="171"/>
    <x v="4"/>
    <x v="385"/>
    <x v="0"/>
    <x v="0"/>
    <x v="5"/>
    <x v="0"/>
    <x v="0"/>
    <x v="4"/>
  </r>
  <r>
    <x v="171"/>
    <x v="5"/>
    <x v="681"/>
    <x v="0"/>
    <x v="0"/>
    <x v="5"/>
    <x v="0"/>
    <x v="0"/>
    <x v="4"/>
  </r>
  <r>
    <x v="171"/>
    <x v="6"/>
    <x v="1270"/>
    <x v="0"/>
    <x v="0"/>
    <x v="5"/>
    <x v="0"/>
    <x v="0"/>
    <x v="3"/>
  </r>
  <r>
    <x v="171"/>
    <x v="7"/>
    <x v="1622"/>
    <x v="0"/>
    <x v="0"/>
    <x v="5"/>
    <x v="0"/>
    <x v="0"/>
    <x v="3"/>
  </r>
  <r>
    <x v="171"/>
    <x v="8"/>
    <x v="1596"/>
    <x v="0"/>
    <x v="0"/>
    <x v="5"/>
    <x v="0"/>
    <x v="0"/>
    <x v="3"/>
  </r>
  <r>
    <x v="171"/>
    <x v="9"/>
    <x v="1248"/>
    <x v="0"/>
    <x v="0"/>
    <x v="5"/>
    <x v="0"/>
    <x v="0"/>
    <x v="3"/>
  </r>
  <r>
    <x v="171"/>
    <x v="10"/>
    <x v="1192"/>
    <x v="0"/>
    <x v="0"/>
    <x v="5"/>
    <x v="0"/>
    <x v="0"/>
    <x v="2"/>
  </r>
  <r>
    <x v="171"/>
    <x v="11"/>
    <x v="1178"/>
    <x v="0"/>
    <x v="0"/>
    <x v="5"/>
    <x v="0"/>
    <x v="0"/>
    <x v="2"/>
  </r>
  <r>
    <x v="171"/>
    <x v="12"/>
    <x v="1225"/>
    <x v="0"/>
    <x v="0"/>
    <x v="5"/>
    <x v="0"/>
    <x v="0"/>
    <x v="2"/>
  </r>
  <r>
    <x v="171"/>
    <x v="13"/>
    <x v="1419"/>
    <x v="0"/>
    <x v="0"/>
    <x v="5"/>
    <x v="0"/>
    <x v="0"/>
    <x v="2"/>
  </r>
  <r>
    <x v="171"/>
    <x v="14"/>
    <x v="1725"/>
    <x v="0"/>
    <x v="0"/>
    <x v="5"/>
    <x v="0"/>
    <x v="0"/>
    <x v="2"/>
  </r>
  <r>
    <x v="171"/>
    <x v="15"/>
    <x v="1970"/>
    <x v="0"/>
    <x v="0"/>
    <x v="5"/>
    <x v="0"/>
    <x v="0"/>
    <x v="2"/>
  </r>
  <r>
    <x v="171"/>
    <x v="16"/>
    <x v="2135"/>
    <x v="0"/>
    <x v="0"/>
    <x v="5"/>
    <x v="0"/>
    <x v="0"/>
    <x v="0"/>
  </r>
  <r>
    <x v="171"/>
    <x v="17"/>
    <x v="2390"/>
    <x v="0"/>
    <x v="0"/>
    <x v="5"/>
    <x v="0"/>
    <x v="0"/>
    <x v="0"/>
  </r>
  <r>
    <x v="171"/>
    <x v="18"/>
    <x v="2608"/>
    <x v="0"/>
    <x v="0"/>
    <x v="5"/>
    <x v="0"/>
    <x v="0"/>
    <x v="0"/>
  </r>
  <r>
    <x v="171"/>
    <x v="19"/>
    <x v="2418"/>
    <x v="0"/>
    <x v="0"/>
    <x v="5"/>
    <x v="0"/>
    <x v="0"/>
    <x v="0"/>
  </r>
  <r>
    <x v="171"/>
    <x v="20"/>
    <x v="2212"/>
    <x v="0"/>
    <x v="0"/>
    <x v="5"/>
    <x v="0"/>
    <x v="0"/>
    <x v="1"/>
  </r>
  <r>
    <x v="171"/>
    <x v="21"/>
    <x v="2304"/>
    <x v="0"/>
    <x v="0"/>
    <x v="5"/>
    <x v="0"/>
    <x v="0"/>
    <x v="1"/>
  </r>
  <r>
    <x v="171"/>
    <x v="22"/>
    <x v="2271"/>
    <x v="0"/>
    <x v="0"/>
    <x v="5"/>
    <x v="0"/>
    <x v="0"/>
    <x v="1"/>
  </r>
  <r>
    <x v="171"/>
    <x v="23"/>
    <x v="1993"/>
    <x v="0"/>
    <x v="0"/>
    <x v="5"/>
    <x v="0"/>
    <x v="0"/>
    <x v="1"/>
  </r>
  <r>
    <x v="172"/>
    <x v="0"/>
    <x v="1535"/>
    <x v="0"/>
    <x v="0"/>
    <x v="5"/>
    <x v="2"/>
    <x v="1"/>
    <x v="4"/>
  </r>
  <r>
    <x v="172"/>
    <x v="1"/>
    <x v="1045"/>
    <x v="0"/>
    <x v="0"/>
    <x v="5"/>
    <x v="2"/>
    <x v="1"/>
    <x v="4"/>
  </r>
  <r>
    <x v="172"/>
    <x v="2"/>
    <x v="615"/>
    <x v="0"/>
    <x v="0"/>
    <x v="5"/>
    <x v="2"/>
    <x v="1"/>
    <x v="4"/>
  </r>
  <r>
    <x v="172"/>
    <x v="3"/>
    <x v="415"/>
    <x v="0"/>
    <x v="0"/>
    <x v="5"/>
    <x v="2"/>
    <x v="1"/>
    <x v="4"/>
  </r>
  <r>
    <x v="172"/>
    <x v="4"/>
    <x v="305"/>
    <x v="0"/>
    <x v="0"/>
    <x v="5"/>
    <x v="2"/>
    <x v="1"/>
    <x v="4"/>
  </r>
  <r>
    <x v="172"/>
    <x v="5"/>
    <x v="293"/>
    <x v="0"/>
    <x v="0"/>
    <x v="5"/>
    <x v="2"/>
    <x v="1"/>
    <x v="4"/>
  </r>
  <r>
    <x v="172"/>
    <x v="6"/>
    <x v="457"/>
    <x v="0"/>
    <x v="0"/>
    <x v="5"/>
    <x v="2"/>
    <x v="1"/>
    <x v="3"/>
  </r>
  <r>
    <x v="172"/>
    <x v="7"/>
    <x v="639"/>
    <x v="0"/>
    <x v="0"/>
    <x v="5"/>
    <x v="2"/>
    <x v="1"/>
    <x v="3"/>
  </r>
  <r>
    <x v="172"/>
    <x v="8"/>
    <x v="798"/>
    <x v="0"/>
    <x v="0"/>
    <x v="5"/>
    <x v="2"/>
    <x v="1"/>
    <x v="3"/>
  </r>
  <r>
    <x v="172"/>
    <x v="9"/>
    <x v="998"/>
    <x v="0"/>
    <x v="0"/>
    <x v="5"/>
    <x v="2"/>
    <x v="1"/>
    <x v="3"/>
  </r>
  <r>
    <x v="172"/>
    <x v="10"/>
    <x v="1141"/>
    <x v="0"/>
    <x v="0"/>
    <x v="5"/>
    <x v="2"/>
    <x v="1"/>
    <x v="2"/>
  </r>
  <r>
    <x v="172"/>
    <x v="11"/>
    <x v="1299"/>
    <x v="0"/>
    <x v="0"/>
    <x v="5"/>
    <x v="2"/>
    <x v="1"/>
    <x v="2"/>
  </r>
  <r>
    <x v="172"/>
    <x v="12"/>
    <x v="1386"/>
    <x v="0"/>
    <x v="0"/>
    <x v="5"/>
    <x v="2"/>
    <x v="1"/>
    <x v="2"/>
  </r>
  <r>
    <x v="172"/>
    <x v="13"/>
    <x v="1509"/>
    <x v="0"/>
    <x v="0"/>
    <x v="5"/>
    <x v="2"/>
    <x v="1"/>
    <x v="2"/>
  </r>
  <r>
    <x v="172"/>
    <x v="14"/>
    <x v="1770"/>
    <x v="0"/>
    <x v="0"/>
    <x v="5"/>
    <x v="2"/>
    <x v="1"/>
    <x v="2"/>
  </r>
  <r>
    <x v="172"/>
    <x v="15"/>
    <x v="1892"/>
    <x v="0"/>
    <x v="0"/>
    <x v="5"/>
    <x v="2"/>
    <x v="1"/>
    <x v="2"/>
  </r>
  <r>
    <x v="172"/>
    <x v="16"/>
    <x v="2099"/>
    <x v="0"/>
    <x v="0"/>
    <x v="5"/>
    <x v="2"/>
    <x v="1"/>
    <x v="0"/>
  </r>
  <r>
    <x v="172"/>
    <x v="17"/>
    <x v="2235"/>
    <x v="0"/>
    <x v="0"/>
    <x v="5"/>
    <x v="2"/>
    <x v="1"/>
    <x v="0"/>
  </r>
  <r>
    <x v="172"/>
    <x v="18"/>
    <x v="2245"/>
    <x v="0"/>
    <x v="0"/>
    <x v="5"/>
    <x v="2"/>
    <x v="1"/>
    <x v="0"/>
  </r>
  <r>
    <x v="172"/>
    <x v="19"/>
    <x v="2239"/>
    <x v="0"/>
    <x v="0"/>
    <x v="5"/>
    <x v="2"/>
    <x v="1"/>
    <x v="0"/>
  </r>
  <r>
    <x v="172"/>
    <x v="20"/>
    <x v="2098"/>
    <x v="0"/>
    <x v="0"/>
    <x v="5"/>
    <x v="2"/>
    <x v="1"/>
    <x v="1"/>
  </r>
  <r>
    <x v="172"/>
    <x v="21"/>
    <x v="2145"/>
    <x v="0"/>
    <x v="0"/>
    <x v="5"/>
    <x v="2"/>
    <x v="1"/>
    <x v="1"/>
  </r>
  <r>
    <x v="172"/>
    <x v="22"/>
    <x v="2229"/>
    <x v="0"/>
    <x v="0"/>
    <x v="5"/>
    <x v="2"/>
    <x v="1"/>
    <x v="1"/>
  </r>
  <r>
    <x v="172"/>
    <x v="23"/>
    <x v="2192"/>
    <x v="0"/>
    <x v="0"/>
    <x v="5"/>
    <x v="2"/>
    <x v="1"/>
    <x v="1"/>
  </r>
  <r>
    <x v="173"/>
    <x v="0"/>
    <x v="2092"/>
    <x v="0"/>
    <x v="0"/>
    <x v="5"/>
    <x v="3"/>
    <x v="1"/>
    <x v="4"/>
  </r>
  <r>
    <x v="173"/>
    <x v="1"/>
    <x v="1798"/>
    <x v="0"/>
    <x v="0"/>
    <x v="5"/>
    <x v="3"/>
    <x v="1"/>
    <x v="4"/>
  </r>
  <r>
    <x v="173"/>
    <x v="2"/>
    <x v="1045"/>
    <x v="0"/>
    <x v="0"/>
    <x v="5"/>
    <x v="3"/>
    <x v="1"/>
    <x v="4"/>
  </r>
  <r>
    <x v="173"/>
    <x v="3"/>
    <x v="491"/>
    <x v="0"/>
    <x v="0"/>
    <x v="5"/>
    <x v="3"/>
    <x v="1"/>
    <x v="4"/>
  </r>
  <r>
    <x v="173"/>
    <x v="4"/>
    <x v="298"/>
    <x v="0"/>
    <x v="0"/>
    <x v="5"/>
    <x v="3"/>
    <x v="1"/>
    <x v="4"/>
  </r>
  <r>
    <x v="173"/>
    <x v="5"/>
    <x v="318"/>
    <x v="0"/>
    <x v="0"/>
    <x v="5"/>
    <x v="3"/>
    <x v="1"/>
    <x v="4"/>
  </r>
  <r>
    <x v="173"/>
    <x v="6"/>
    <x v="350"/>
    <x v="0"/>
    <x v="0"/>
    <x v="5"/>
    <x v="3"/>
    <x v="1"/>
    <x v="3"/>
  </r>
  <r>
    <x v="173"/>
    <x v="7"/>
    <x v="471"/>
    <x v="0"/>
    <x v="0"/>
    <x v="5"/>
    <x v="3"/>
    <x v="1"/>
    <x v="3"/>
  </r>
  <r>
    <x v="173"/>
    <x v="8"/>
    <x v="621"/>
    <x v="0"/>
    <x v="0"/>
    <x v="5"/>
    <x v="3"/>
    <x v="1"/>
    <x v="3"/>
  </r>
  <r>
    <x v="173"/>
    <x v="9"/>
    <x v="824"/>
    <x v="0"/>
    <x v="0"/>
    <x v="5"/>
    <x v="3"/>
    <x v="1"/>
    <x v="3"/>
  </r>
  <r>
    <x v="173"/>
    <x v="10"/>
    <x v="1006"/>
    <x v="0"/>
    <x v="0"/>
    <x v="5"/>
    <x v="3"/>
    <x v="1"/>
    <x v="2"/>
  </r>
  <r>
    <x v="173"/>
    <x v="11"/>
    <x v="1130"/>
    <x v="0"/>
    <x v="0"/>
    <x v="5"/>
    <x v="3"/>
    <x v="1"/>
    <x v="2"/>
  </r>
  <r>
    <x v="173"/>
    <x v="12"/>
    <x v="1217"/>
    <x v="0"/>
    <x v="0"/>
    <x v="5"/>
    <x v="3"/>
    <x v="1"/>
    <x v="2"/>
  </r>
  <r>
    <x v="173"/>
    <x v="13"/>
    <x v="1334"/>
    <x v="0"/>
    <x v="0"/>
    <x v="5"/>
    <x v="3"/>
    <x v="1"/>
    <x v="2"/>
  </r>
  <r>
    <x v="173"/>
    <x v="14"/>
    <x v="1401"/>
    <x v="0"/>
    <x v="0"/>
    <x v="5"/>
    <x v="3"/>
    <x v="1"/>
    <x v="2"/>
  </r>
  <r>
    <x v="173"/>
    <x v="15"/>
    <x v="1414"/>
    <x v="0"/>
    <x v="0"/>
    <x v="5"/>
    <x v="3"/>
    <x v="1"/>
    <x v="2"/>
  </r>
  <r>
    <x v="173"/>
    <x v="16"/>
    <x v="1519"/>
    <x v="0"/>
    <x v="0"/>
    <x v="5"/>
    <x v="3"/>
    <x v="1"/>
    <x v="0"/>
  </r>
  <r>
    <x v="173"/>
    <x v="17"/>
    <x v="1492"/>
    <x v="0"/>
    <x v="0"/>
    <x v="5"/>
    <x v="3"/>
    <x v="1"/>
    <x v="0"/>
  </r>
  <r>
    <x v="173"/>
    <x v="18"/>
    <x v="1520"/>
    <x v="0"/>
    <x v="0"/>
    <x v="5"/>
    <x v="3"/>
    <x v="1"/>
    <x v="0"/>
  </r>
  <r>
    <x v="173"/>
    <x v="19"/>
    <x v="1385"/>
    <x v="0"/>
    <x v="0"/>
    <x v="5"/>
    <x v="3"/>
    <x v="1"/>
    <x v="0"/>
  </r>
  <r>
    <x v="173"/>
    <x v="20"/>
    <x v="1246"/>
    <x v="0"/>
    <x v="0"/>
    <x v="5"/>
    <x v="3"/>
    <x v="1"/>
    <x v="1"/>
  </r>
  <r>
    <x v="173"/>
    <x v="21"/>
    <x v="1103"/>
    <x v="0"/>
    <x v="0"/>
    <x v="5"/>
    <x v="3"/>
    <x v="1"/>
    <x v="1"/>
  </r>
  <r>
    <x v="173"/>
    <x v="22"/>
    <x v="824"/>
    <x v="0"/>
    <x v="0"/>
    <x v="5"/>
    <x v="3"/>
    <x v="1"/>
    <x v="1"/>
  </r>
  <r>
    <x v="173"/>
    <x v="23"/>
    <x v="480"/>
    <x v="0"/>
    <x v="0"/>
    <x v="5"/>
    <x v="3"/>
    <x v="1"/>
    <x v="1"/>
  </r>
  <r>
    <x v="174"/>
    <x v="0"/>
    <x v="204"/>
    <x v="0"/>
    <x v="0"/>
    <x v="5"/>
    <x v="1"/>
    <x v="0"/>
    <x v="4"/>
  </r>
  <r>
    <x v="174"/>
    <x v="1"/>
    <x v="94"/>
    <x v="0"/>
    <x v="0"/>
    <x v="5"/>
    <x v="1"/>
    <x v="0"/>
    <x v="4"/>
  </r>
  <r>
    <x v="174"/>
    <x v="2"/>
    <x v="79"/>
    <x v="0"/>
    <x v="0"/>
    <x v="5"/>
    <x v="1"/>
    <x v="0"/>
    <x v="4"/>
  </r>
  <r>
    <x v="174"/>
    <x v="3"/>
    <x v="268"/>
    <x v="0"/>
    <x v="0"/>
    <x v="5"/>
    <x v="1"/>
    <x v="0"/>
    <x v="4"/>
  </r>
  <r>
    <x v="174"/>
    <x v="4"/>
    <x v="460"/>
    <x v="0"/>
    <x v="0"/>
    <x v="5"/>
    <x v="1"/>
    <x v="0"/>
    <x v="4"/>
  </r>
  <r>
    <x v="174"/>
    <x v="5"/>
    <x v="834"/>
    <x v="0"/>
    <x v="0"/>
    <x v="5"/>
    <x v="1"/>
    <x v="0"/>
    <x v="4"/>
  </r>
  <r>
    <x v="174"/>
    <x v="6"/>
    <x v="1226"/>
    <x v="0"/>
    <x v="0"/>
    <x v="5"/>
    <x v="1"/>
    <x v="0"/>
    <x v="3"/>
  </r>
  <r>
    <x v="174"/>
    <x v="7"/>
    <x v="1508"/>
    <x v="0"/>
    <x v="0"/>
    <x v="5"/>
    <x v="1"/>
    <x v="0"/>
    <x v="3"/>
  </r>
  <r>
    <x v="174"/>
    <x v="8"/>
    <x v="1451"/>
    <x v="0"/>
    <x v="0"/>
    <x v="5"/>
    <x v="1"/>
    <x v="0"/>
    <x v="3"/>
  </r>
  <r>
    <x v="174"/>
    <x v="9"/>
    <x v="1065"/>
    <x v="0"/>
    <x v="0"/>
    <x v="5"/>
    <x v="1"/>
    <x v="0"/>
    <x v="3"/>
  </r>
  <r>
    <x v="174"/>
    <x v="10"/>
    <x v="1017"/>
    <x v="0"/>
    <x v="0"/>
    <x v="5"/>
    <x v="1"/>
    <x v="0"/>
    <x v="2"/>
  </r>
  <r>
    <x v="174"/>
    <x v="11"/>
    <x v="956"/>
    <x v="0"/>
    <x v="0"/>
    <x v="5"/>
    <x v="1"/>
    <x v="0"/>
    <x v="2"/>
  </r>
  <r>
    <x v="174"/>
    <x v="12"/>
    <x v="935"/>
    <x v="0"/>
    <x v="0"/>
    <x v="5"/>
    <x v="1"/>
    <x v="0"/>
    <x v="2"/>
  </r>
  <r>
    <x v="174"/>
    <x v="13"/>
    <x v="1078"/>
    <x v="0"/>
    <x v="0"/>
    <x v="5"/>
    <x v="1"/>
    <x v="0"/>
    <x v="2"/>
  </r>
  <r>
    <x v="174"/>
    <x v="14"/>
    <x v="1258"/>
    <x v="0"/>
    <x v="0"/>
    <x v="5"/>
    <x v="1"/>
    <x v="0"/>
    <x v="2"/>
  </r>
  <r>
    <x v="174"/>
    <x v="15"/>
    <x v="1481"/>
    <x v="0"/>
    <x v="0"/>
    <x v="5"/>
    <x v="1"/>
    <x v="0"/>
    <x v="2"/>
  </r>
  <r>
    <x v="174"/>
    <x v="16"/>
    <x v="1693"/>
    <x v="0"/>
    <x v="0"/>
    <x v="5"/>
    <x v="1"/>
    <x v="0"/>
    <x v="0"/>
  </r>
  <r>
    <x v="174"/>
    <x v="17"/>
    <x v="1743"/>
    <x v="0"/>
    <x v="0"/>
    <x v="5"/>
    <x v="1"/>
    <x v="0"/>
    <x v="0"/>
  </r>
  <r>
    <x v="174"/>
    <x v="18"/>
    <x v="1736"/>
    <x v="0"/>
    <x v="0"/>
    <x v="5"/>
    <x v="1"/>
    <x v="0"/>
    <x v="0"/>
  </r>
  <r>
    <x v="174"/>
    <x v="19"/>
    <x v="1624"/>
    <x v="0"/>
    <x v="0"/>
    <x v="5"/>
    <x v="1"/>
    <x v="0"/>
    <x v="0"/>
  </r>
  <r>
    <x v="174"/>
    <x v="20"/>
    <x v="1570"/>
    <x v="0"/>
    <x v="0"/>
    <x v="5"/>
    <x v="1"/>
    <x v="0"/>
    <x v="1"/>
  </r>
  <r>
    <x v="174"/>
    <x v="21"/>
    <x v="1402"/>
    <x v="0"/>
    <x v="0"/>
    <x v="5"/>
    <x v="1"/>
    <x v="0"/>
    <x v="1"/>
  </r>
  <r>
    <x v="174"/>
    <x v="22"/>
    <x v="958"/>
    <x v="0"/>
    <x v="0"/>
    <x v="5"/>
    <x v="1"/>
    <x v="0"/>
    <x v="1"/>
  </r>
  <r>
    <x v="174"/>
    <x v="23"/>
    <x v="560"/>
    <x v="0"/>
    <x v="0"/>
    <x v="5"/>
    <x v="1"/>
    <x v="0"/>
    <x v="1"/>
  </r>
  <r>
    <x v="175"/>
    <x v="0"/>
    <x v="254"/>
    <x v="0"/>
    <x v="0"/>
    <x v="5"/>
    <x v="5"/>
    <x v="0"/>
    <x v="4"/>
  </r>
  <r>
    <x v="175"/>
    <x v="1"/>
    <x v="104"/>
    <x v="0"/>
    <x v="0"/>
    <x v="5"/>
    <x v="5"/>
    <x v="0"/>
    <x v="4"/>
  </r>
  <r>
    <x v="175"/>
    <x v="2"/>
    <x v="56"/>
    <x v="0"/>
    <x v="0"/>
    <x v="5"/>
    <x v="5"/>
    <x v="0"/>
    <x v="4"/>
  </r>
  <r>
    <x v="175"/>
    <x v="3"/>
    <x v="159"/>
    <x v="0"/>
    <x v="0"/>
    <x v="5"/>
    <x v="5"/>
    <x v="0"/>
    <x v="4"/>
  </r>
  <r>
    <x v="175"/>
    <x v="4"/>
    <x v="302"/>
    <x v="0"/>
    <x v="0"/>
    <x v="5"/>
    <x v="5"/>
    <x v="0"/>
    <x v="4"/>
  </r>
  <r>
    <x v="175"/>
    <x v="5"/>
    <x v="742"/>
    <x v="0"/>
    <x v="0"/>
    <x v="5"/>
    <x v="5"/>
    <x v="0"/>
    <x v="4"/>
  </r>
  <r>
    <x v="175"/>
    <x v="6"/>
    <x v="1294"/>
    <x v="0"/>
    <x v="0"/>
    <x v="5"/>
    <x v="5"/>
    <x v="0"/>
    <x v="3"/>
  </r>
  <r>
    <x v="175"/>
    <x v="7"/>
    <x v="1581"/>
    <x v="0"/>
    <x v="0"/>
    <x v="5"/>
    <x v="5"/>
    <x v="0"/>
    <x v="3"/>
  </r>
  <r>
    <x v="175"/>
    <x v="8"/>
    <x v="1344"/>
    <x v="0"/>
    <x v="0"/>
    <x v="5"/>
    <x v="5"/>
    <x v="0"/>
    <x v="3"/>
  </r>
  <r>
    <x v="175"/>
    <x v="9"/>
    <x v="1078"/>
    <x v="0"/>
    <x v="0"/>
    <x v="5"/>
    <x v="5"/>
    <x v="0"/>
    <x v="3"/>
  </r>
  <r>
    <x v="175"/>
    <x v="10"/>
    <x v="961"/>
    <x v="0"/>
    <x v="0"/>
    <x v="5"/>
    <x v="5"/>
    <x v="0"/>
    <x v="2"/>
  </r>
  <r>
    <x v="175"/>
    <x v="11"/>
    <x v="952"/>
    <x v="0"/>
    <x v="0"/>
    <x v="5"/>
    <x v="5"/>
    <x v="0"/>
    <x v="2"/>
  </r>
  <r>
    <x v="175"/>
    <x v="12"/>
    <x v="927"/>
    <x v="0"/>
    <x v="0"/>
    <x v="5"/>
    <x v="5"/>
    <x v="0"/>
    <x v="2"/>
  </r>
  <r>
    <x v="175"/>
    <x v="13"/>
    <x v="1084"/>
    <x v="0"/>
    <x v="0"/>
    <x v="5"/>
    <x v="5"/>
    <x v="0"/>
    <x v="2"/>
  </r>
  <r>
    <x v="175"/>
    <x v="14"/>
    <x v="1344"/>
    <x v="0"/>
    <x v="0"/>
    <x v="5"/>
    <x v="5"/>
    <x v="0"/>
    <x v="2"/>
  </r>
  <r>
    <x v="175"/>
    <x v="15"/>
    <x v="1557"/>
    <x v="0"/>
    <x v="0"/>
    <x v="5"/>
    <x v="5"/>
    <x v="0"/>
    <x v="2"/>
  </r>
  <r>
    <x v="175"/>
    <x v="16"/>
    <x v="1721"/>
    <x v="0"/>
    <x v="0"/>
    <x v="5"/>
    <x v="5"/>
    <x v="0"/>
    <x v="0"/>
  </r>
  <r>
    <x v="175"/>
    <x v="17"/>
    <x v="1912"/>
    <x v="0"/>
    <x v="0"/>
    <x v="5"/>
    <x v="5"/>
    <x v="0"/>
    <x v="0"/>
  </r>
  <r>
    <x v="175"/>
    <x v="18"/>
    <x v="2017"/>
    <x v="0"/>
    <x v="0"/>
    <x v="5"/>
    <x v="5"/>
    <x v="0"/>
    <x v="0"/>
  </r>
  <r>
    <x v="175"/>
    <x v="19"/>
    <x v="1967"/>
    <x v="0"/>
    <x v="0"/>
    <x v="5"/>
    <x v="5"/>
    <x v="0"/>
    <x v="0"/>
  </r>
  <r>
    <x v="175"/>
    <x v="20"/>
    <x v="1824"/>
    <x v="0"/>
    <x v="0"/>
    <x v="5"/>
    <x v="5"/>
    <x v="0"/>
    <x v="1"/>
  </r>
  <r>
    <x v="175"/>
    <x v="21"/>
    <x v="1662"/>
    <x v="0"/>
    <x v="0"/>
    <x v="5"/>
    <x v="5"/>
    <x v="0"/>
    <x v="1"/>
  </r>
  <r>
    <x v="175"/>
    <x v="22"/>
    <x v="1275"/>
    <x v="0"/>
    <x v="0"/>
    <x v="5"/>
    <x v="5"/>
    <x v="0"/>
    <x v="1"/>
  </r>
  <r>
    <x v="175"/>
    <x v="23"/>
    <x v="648"/>
    <x v="0"/>
    <x v="0"/>
    <x v="5"/>
    <x v="5"/>
    <x v="0"/>
    <x v="1"/>
  </r>
  <r>
    <x v="176"/>
    <x v="0"/>
    <x v="331"/>
    <x v="0"/>
    <x v="0"/>
    <x v="5"/>
    <x v="6"/>
    <x v="0"/>
    <x v="4"/>
  </r>
  <r>
    <x v="176"/>
    <x v="1"/>
    <x v="148"/>
    <x v="0"/>
    <x v="0"/>
    <x v="5"/>
    <x v="6"/>
    <x v="0"/>
    <x v="4"/>
  </r>
  <r>
    <x v="176"/>
    <x v="2"/>
    <x v="75"/>
    <x v="0"/>
    <x v="0"/>
    <x v="5"/>
    <x v="6"/>
    <x v="0"/>
    <x v="4"/>
  </r>
  <r>
    <x v="176"/>
    <x v="3"/>
    <x v="194"/>
    <x v="0"/>
    <x v="0"/>
    <x v="5"/>
    <x v="6"/>
    <x v="0"/>
    <x v="4"/>
  </r>
  <r>
    <x v="176"/>
    <x v="4"/>
    <x v="341"/>
    <x v="0"/>
    <x v="0"/>
    <x v="5"/>
    <x v="6"/>
    <x v="0"/>
    <x v="4"/>
  </r>
  <r>
    <x v="176"/>
    <x v="5"/>
    <x v="701"/>
    <x v="0"/>
    <x v="0"/>
    <x v="5"/>
    <x v="6"/>
    <x v="0"/>
    <x v="4"/>
  </r>
  <r>
    <x v="176"/>
    <x v="6"/>
    <x v="1276"/>
    <x v="0"/>
    <x v="0"/>
    <x v="5"/>
    <x v="6"/>
    <x v="0"/>
    <x v="3"/>
  </r>
  <r>
    <x v="176"/>
    <x v="7"/>
    <x v="1571"/>
    <x v="0"/>
    <x v="0"/>
    <x v="5"/>
    <x v="6"/>
    <x v="0"/>
    <x v="3"/>
  </r>
  <r>
    <x v="176"/>
    <x v="8"/>
    <x v="1390"/>
    <x v="0"/>
    <x v="0"/>
    <x v="5"/>
    <x v="6"/>
    <x v="0"/>
    <x v="3"/>
  </r>
  <r>
    <x v="176"/>
    <x v="9"/>
    <x v="1117"/>
    <x v="0"/>
    <x v="0"/>
    <x v="5"/>
    <x v="6"/>
    <x v="0"/>
    <x v="3"/>
  </r>
  <r>
    <x v="176"/>
    <x v="10"/>
    <x v="1057"/>
    <x v="0"/>
    <x v="0"/>
    <x v="5"/>
    <x v="6"/>
    <x v="0"/>
    <x v="2"/>
  </r>
  <r>
    <x v="176"/>
    <x v="11"/>
    <x v="1114"/>
    <x v="0"/>
    <x v="0"/>
    <x v="5"/>
    <x v="6"/>
    <x v="0"/>
    <x v="2"/>
  </r>
  <r>
    <x v="176"/>
    <x v="12"/>
    <x v="1006"/>
    <x v="0"/>
    <x v="0"/>
    <x v="5"/>
    <x v="6"/>
    <x v="0"/>
    <x v="2"/>
  </r>
  <r>
    <x v="176"/>
    <x v="13"/>
    <x v="1218"/>
    <x v="0"/>
    <x v="0"/>
    <x v="5"/>
    <x v="6"/>
    <x v="0"/>
    <x v="2"/>
  </r>
  <r>
    <x v="176"/>
    <x v="14"/>
    <x v="1496"/>
    <x v="0"/>
    <x v="0"/>
    <x v="5"/>
    <x v="6"/>
    <x v="0"/>
    <x v="2"/>
  </r>
  <r>
    <x v="176"/>
    <x v="15"/>
    <x v="1730"/>
    <x v="0"/>
    <x v="0"/>
    <x v="5"/>
    <x v="6"/>
    <x v="0"/>
    <x v="2"/>
  </r>
  <r>
    <x v="176"/>
    <x v="16"/>
    <x v="1868"/>
    <x v="0"/>
    <x v="0"/>
    <x v="5"/>
    <x v="6"/>
    <x v="0"/>
    <x v="0"/>
  </r>
  <r>
    <x v="176"/>
    <x v="17"/>
    <x v="1996"/>
    <x v="0"/>
    <x v="0"/>
    <x v="5"/>
    <x v="6"/>
    <x v="0"/>
    <x v="0"/>
  </r>
  <r>
    <x v="176"/>
    <x v="18"/>
    <x v="1972"/>
    <x v="0"/>
    <x v="0"/>
    <x v="5"/>
    <x v="6"/>
    <x v="0"/>
    <x v="0"/>
  </r>
  <r>
    <x v="176"/>
    <x v="19"/>
    <x v="1783"/>
    <x v="0"/>
    <x v="0"/>
    <x v="5"/>
    <x v="6"/>
    <x v="0"/>
    <x v="0"/>
  </r>
  <r>
    <x v="176"/>
    <x v="20"/>
    <x v="1786"/>
    <x v="0"/>
    <x v="0"/>
    <x v="5"/>
    <x v="6"/>
    <x v="0"/>
    <x v="1"/>
  </r>
  <r>
    <x v="176"/>
    <x v="21"/>
    <x v="1635"/>
    <x v="0"/>
    <x v="0"/>
    <x v="5"/>
    <x v="6"/>
    <x v="0"/>
    <x v="1"/>
  </r>
  <r>
    <x v="176"/>
    <x v="22"/>
    <x v="1219"/>
    <x v="0"/>
    <x v="0"/>
    <x v="5"/>
    <x v="6"/>
    <x v="0"/>
    <x v="1"/>
  </r>
  <r>
    <x v="176"/>
    <x v="23"/>
    <x v="651"/>
    <x v="0"/>
    <x v="0"/>
    <x v="5"/>
    <x v="6"/>
    <x v="0"/>
    <x v="1"/>
  </r>
  <r>
    <x v="177"/>
    <x v="0"/>
    <x v="301"/>
    <x v="0"/>
    <x v="0"/>
    <x v="5"/>
    <x v="4"/>
    <x v="0"/>
    <x v="4"/>
  </r>
  <r>
    <x v="177"/>
    <x v="1"/>
    <x v="161"/>
    <x v="0"/>
    <x v="0"/>
    <x v="5"/>
    <x v="4"/>
    <x v="0"/>
    <x v="4"/>
  </r>
  <r>
    <x v="177"/>
    <x v="2"/>
    <x v="110"/>
    <x v="0"/>
    <x v="0"/>
    <x v="5"/>
    <x v="4"/>
    <x v="0"/>
    <x v="4"/>
  </r>
  <r>
    <x v="177"/>
    <x v="3"/>
    <x v="215"/>
    <x v="0"/>
    <x v="0"/>
    <x v="5"/>
    <x v="4"/>
    <x v="0"/>
    <x v="4"/>
  </r>
  <r>
    <x v="177"/>
    <x v="4"/>
    <x v="354"/>
    <x v="0"/>
    <x v="0"/>
    <x v="5"/>
    <x v="4"/>
    <x v="0"/>
    <x v="4"/>
  </r>
  <r>
    <x v="177"/>
    <x v="5"/>
    <x v="707"/>
    <x v="0"/>
    <x v="0"/>
    <x v="5"/>
    <x v="4"/>
    <x v="0"/>
    <x v="4"/>
  </r>
  <r>
    <x v="177"/>
    <x v="6"/>
    <x v="1568"/>
    <x v="0"/>
    <x v="0"/>
    <x v="5"/>
    <x v="4"/>
    <x v="0"/>
    <x v="3"/>
  </r>
  <r>
    <x v="177"/>
    <x v="7"/>
    <x v="2170"/>
    <x v="0"/>
    <x v="0"/>
    <x v="5"/>
    <x v="4"/>
    <x v="0"/>
    <x v="3"/>
  </r>
  <r>
    <x v="177"/>
    <x v="8"/>
    <x v="1994"/>
    <x v="0"/>
    <x v="0"/>
    <x v="5"/>
    <x v="4"/>
    <x v="0"/>
    <x v="3"/>
  </r>
  <r>
    <x v="177"/>
    <x v="9"/>
    <x v="1861"/>
    <x v="0"/>
    <x v="0"/>
    <x v="5"/>
    <x v="4"/>
    <x v="0"/>
    <x v="3"/>
  </r>
  <r>
    <x v="177"/>
    <x v="10"/>
    <x v="1570"/>
    <x v="0"/>
    <x v="0"/>
    <x v="5"/>
    <x v="4"/>
    <x v="0"/>
    <x v="2"/>
  </r>
  <r>
    <x v="177"/>
    <x v="11"/>
    <x v="1510"/>
    <x v="0"/>
    <x v="0"/>
    <x v="5"/>
    <x v="4"/>
    <x v="0"/>
    <x v="2"/>
  </r>
  <r>
    <x v="177"/>
    <x v="12"/>
    <x v="1431"/>
    <x v="0"/>
    <x v="0"/>
    <x v="5"/>
    <x v="4"/>
    <x v="0"/>
    <x v="2"/>
  </r>
  <r>
    <x v="177"/>
    <x v="13"/>
    <x v="1474"/>
    <x v="0"/>
    <x v="0"/>
    <x v="5"/>
    <x v="4"/>
    <x v="0"/>
    <x v="2"/>
  </r>
  <r>
    <x v="177"/>
    <x v="14"/>
    <x v="1602"/>
    <x v="0"/>
    <x v="0"/>
    <x v="5"/>
    <x v="4"/>
    <x v="0"/>
    <x v="2"/>
  </r>
  <r>
    <x v="177"/>
    <x v="15"/>
    <x v="1829"/>
    <x v="0"/>
    <x v="0"/>
    <x v="5"/>
    <x v="4"/>
    <x v="0"/>
    <x v="2"/>
  </r>
  <r>
    <x v="177"/>
    <x v="16"/>
    <x v="2078"/>
    <x v="0"/>
    <x v="0"/>
    <x v="5"/>
    <x v="4"/>
    <x v="0"/>
    <x v="0"/>
  </r>
  <r>
    <x v="177"/>
    <x v="17"/>
    <x v="2183"/>
    <x v="0"/>
    <x v="0"/>
    <x v="5"/>
    <x v="4"/>
    <x v="0"/>
    <x v="0"/>
  </r>
  <r>
    <x v="177"/>
    <x v="18"/>
    <x v="2141"/>
    <x v="0"/>
    <x v="0"/>
    <x v="5"/>
    <x v="4"/>
    <x v="0"/>
    <x v="0"/>
  </r>
  <r>
    <x v="177"/>
    <x v="19"/>
    <x v="1936"/>
    <x v="0"/>
    <x v="0"/>
    <x v="5"/>
    <x v="4"/>
    <x v="0"/>
    <x v="0"/>
  </r>
  <r>
    <x v="177"/>
    <x v="20"/>
    <x v="1812"/>
    <x v="0"/>
    <x v="0"/>
    <x v="5"/>
    <x v="4"/>
    <x v="0"/>
    <x v="1"/>
  </r>
  <r>
    <x v="177"/>
    <x v="21"/>
    <x v="1856"/>
    <x v="0"/>
    <x v="0"/>
    <x v="5"/>
    <x v="4"/>
    <x v="0"/>
    <x v="1"/>
  </r>
  <r>
    <x v="177"/>
    <x v="22"/>
    <x v="1560"/>
    <x v="0"/>
    <x v="0"/>
    <x v="5"/>
    <x v="4"/>
    <x v="0"/>
    <x v="1"/>
  </r>
  <r>
    <x v="177"/>
    <x v="23"/>
    <x v="941"/>
    <x v="0"/>
    <x v="0"/>
    <x v="5"/>
    <x v="4"/>
    <x v="0"/>
    <x v="1"/>
  </r>
  <r>
    <x v="178"/>
    <x v="0"/>
    <x v="514"/>
    <x v="0"/>
    <x v="0"/>
    <x v="5"/>
    <x v="0"/>
    <x v="0"/>
    <x v="4"/>
  </r>
  <r>
    <x v="178"/>
    <x v="1"/>
    <x v="268"/>
    <x v="0"/>
    <x v="0"/>
    <x v="5"/>
    <x v="0"/>
    <x v="0"/>
    <x v="4"/>
  </r>
  <r>
    <x v="178"/>
    <x v="2"/>
    <x v="167"/>
    <x v="0"/>
    <x v="0"/>
    <x v="5"/>
    <x v="0"/>
    <x v="0"/>
    <x v="4"/>
  </r>
  <r>
    <x v="178"/>
    <x v="3"/>
    <x v="262"/>
    <x v="0"/>
    <x v="0"/>
    <x v="5"/>
    <x v="0"/>
    <x v="0"/>
    <x v="4"/>
  </r>
  <r>
    <x v="178"/>
    <x v="4"/>
    <x v="324"/>
    <x v="0"/>
    <x v="0"/>
    <x v="5"/>
    <x v="0"/>
    <x v="0"/>
    <x v="4"/>
  </r>
  <r>
    <x v="178"/>
    <x v="5"/>
    <x v="584"/>
    <x v="0"/>
    <x v="0"/>
    <x v="5"/>
    <x v="0"/>
    <x v="0"/>
    <x v="4"/>
  </r>
  <r>
    <x v="178"/>
    <x v="6"/>
    <x v="1044"/>
    <x v="0"/>
    <x v="0"/>
    <x v="5"/>
    <x v="0"/>
    <x v="0"/>
    <x v="3"/>
  </r>
  <r>
    <x v="178"/>
    <x v="7"/>
    <x v="1380"/>
    <x v="0"/>
    <x v="0"/>
    <x v="5"/>
    <x v="0"/>
    <x v="0"/>
    <x v="3"/>
  </r>
  <r>
    <x v="178"/>
    <x v="8"/>
    <x v="1210"/>
    <x v="0"/>
    <x v="0"/>
    <x v="5"/>
    <x v="0"/>
    <x v="0"/>
    <x v="3"/>
  </r>
  <r>
    <x v="178"/>
    <x v="9"/>
    <x v="1105"/>
    <x v="0"/>
    <x v="0"/>
    <x v="5"/>
    <x v="0"/>
    <x v="0"/>
    <x v="3"/>
  </r>
  <r>
    <x v="178"/>
    <x v="10"/>
    <x v="1068"/>
    <x v="0"/>
    <x v="0"/>
    <x v="5"/>
    <x v="0"/>
    <x v="0"/>
    <x v="2"/>
  </r>
  <r>
    <x v="178"/>
    <x v="11"/>
    <x v="1084"/>
    <x v="0"/>
    <x v="0"/>
    <x v="5"/>
    <x v="0"/>
    <x v="0"/>
    <x v="2"/>
  </r>
  <r>
    <x v="178"/>
    <x v="12"/>
    <x v="1138"/>
    <x v="0"/>
    <x v="0"/>
    <x v="5"/>
    <x v="0"/>
    <x v="0"/>
    <x v="2"/>
  </r>
  <r>
    <x v="178"/>
    <x v="13"/>
    <x v="1276"/>
    <x v="0"/>
    <x v="0"/>
    <x v="5"/>
    <x v="0"/>
    <x v="0"/>
    <x v="2"/>
  </r>
  <r>
    <x v="178"/>
    <x v="14"/>
    <x v="1569"/>
    <x v="0"/>
    <x v="0"/>
    <x v="5"/>
    <x v="0"/>
    <x v="0"/>
    <x v="2"/>
  </r>
  <r>
    <x v="178"/>
    <x v="15"/>
    <x v="1807"/>
    <x v="0"/>
    <x v="0"/>
    <x v="5"/>
    <x v="0"/>
    <x v="0"/>
    <x v="2"/>
  </r>
  <r>
    <x v="178"/>
    <x v="16"/>
    <x v="1993"/>
    <x v="0"/>
    <x v="0"/>
    <x v="5"/>
    <x v="0"/>
    <x v="0"/>
    <x v="0"/>
  </r>
  <r>
    <x v="178"/>
    <x v="17"/>
    <x v="2213"/>
    <x v="0"/>
    <x v="0"/>
    <x v="5"/>
    <x v="0"/>
    <x v="0"/>
    <x v="0"/>
  </r>
  <r>
    <x v="178"/>
    <x v="18"/>
    <x v="2493"/>
    <x v="0"/>
    <x v="0"/>
    <x v="5"/>
    <x v="0"/>
    <x v="0"/>
    <x v="0"/>
  </r>
  <r>
    <x v="178"/>
    <x v="19"/>
    <x v="2322"/>
    <x v="0"/>
    <x v="0"/>
    <x v="5"/>
    <x v="0"/>
    <x v="0"/>
    <x v="0"/>
  </r>
  <r>
    <x v="178"/>
    <x v="20"/>
    <x v="2089"/>
    <x v="0"/>
    <x v="0"/>
    <x v="5"/>
    <x v="0"/>
    <x v="0"/>
    <x v="1"/>
  </r>
  <r>
    <x v="178"/>
    <x v="21"/>
    <x v="2253"/>
    <x v="0"/>
    <x v="0"/>
    <x v="5"/>
    <x v="0"/>
    <x v="0"/>
    <x v="1"/>
  </r>
  <r>
    <x v="178"/>
    <x v="22"/>
    <x v="2160"/>
    <x v="0"/>
    <x v="0"/>
    <x v="5"/>
    <x v="0"/>
    <x v="0"/>
    <x v="1"/>
  </r>
  <r>
    <x v="178"/>
    <x v="23"/>
    <x v="2032"/>
    <x v="0"/>
    <x v="0"/>
    <x v="5"/>
    <x v="0"/>
    <x v="0"/>
    <x v="1"/>
  </r>
  <r>
    <x v="179"/>
    <x v="0"/>
    <x v="1522"/>
    <x v="0"/>
    <x v="0"/>
    <x v="5"/>
    <x v="2"/>
    <x v="1"/>
    <x v="4"/>
  </r>
  <r>
    <x v="179"/>
    <x v="1"/>
    <x v="1105"/>
    <x v="0"/>
    <x v="0"/>
    <x v="5"/>
    <x v="2"/>
    <x v="1"/>
    <x v="4"/>
  </r>
  <r>
    <x v="179"/>
    <x v="2"/>
    <x v="649"/>
    <x v="0"/>
    <x v="0"/>
    <x v="5"/>
    <x v="2"/>
    <x v="1"/>
    <x v="4"/>
  </r>
  <r>
    <x v="179"/>
    <x v="3"/>
    <x v="438"/>
    <x v="0"/>
    <x v="0"/>
    <x v="5"/>
    <x v="2"/>
    <x v="1"/>
    <x v="4"/>
  </r>
  <r>
    <x v="179"/>
    <x v="4"/>
    <x v="283"/>
    <x v="0"/>
    <x v="0"/>
    <x v="5"/>
    <x v="2"/>
    <x v="1"/>
    <x v="4"/>
  </r>
  <r>
    <x v="179"/>
    <x v="5"/>
    <x v="340"/>
    <x v="0"/>
    <x v="0"/>
    <x v="5"/>
    <x v="2"/>
    <x v="1"/>
    <x v="4"/>
  </r>
  <r>
    <x v="179"/>
    <x v="6"/>
    <x v="441"/>
    <x v="0"/>
    <x v="0"/>
    <x v="5"/>
    <x v="2"/>
    <x v="1"/>
    <x v="3"/>
  </r>
  <r>
    <x v="179"/>
    <x v="7"/>
    <x v="579"/>
    <x v="0"/>
    <x v="0"/>
    <x v="5"/>
    <x v="2"/>
    <x v="1"/>
    <x v="3"/>
  </r>
  <r>
    <x v="179"/>
    <x v="8"/>
    <x v="764"/>
    <x v="0"/>
    <x v="0"/>
    <x v="5"/>
    <x v="2"/>
    <x v="1"/>
    <x v="3"/>
  </r>
  <r>
    <x v="179"/>
    <x v="9"/>
    <x v="977"/>
    <x v="0"/>
    <x v="0"/>
    <x v="5"/>
    <x v="2"/>
    <x v="1"/>
    <x v="3"/>
  </r>
  <r>
    <x v="179"/>
    <x v="10"/>
    <x v="1148"/>
    <x v="0"/>
    <x v="0"/>
    <x v="5"/>
    <x v="2"/>
    <x v="1"/>
    <x v="2"/>
  </r>
  <r>
    <x v="179"/>
    <x v="11"/>
    <x v="1299"/>
    <x v="0"/>
    <x v="0"/>
    <x v="5"/>
    <x v="2"/>
    <x v="1"/>
    <x v="2"/>
  </r>
  <r>
    <x v="179"/>
    <x v="12"/>
    <x v="1322"/>
    <x v="0"/>
    <x v="0"/>
    <x v="5"/>
    <x v="2"/>
    <x v="1"/>
    <x v="2"/>
  </r>
  <r>
    <x v="179"/>
    <x v="13"/>
    <x v="1546"/>
    <x v="0"/>
    <x v="0"/>
    <x v="5"/>
    <x v="2"/>
    <x v="1"/>
    <x v="2"/>
  </r>
  <r>
    <x v="179"/>
    <x v="14"/>
    <x v="1701"/>
    <x v="0"/>
    <x v="0"/>
    <x v="5"/>
    <x v="2"/>
    <x v="1"/>
    <x v="2"/>
  </r>
  <r>
    <x v="179"/>
    <x v="15"/>
    <x v="1943"/>
    <x v="0"/>
    <x v="0"/>
    <x v="5"/>
    <x v="2"/>
    <x v="1"/>
    <x v="2"/>
  </r>
  <r>
    <x v="179"/>
    <x v="16"/>
    <x v="2087"/>
    <x v="0"/>
    <x v="0"/>
    <x v="5"/>
    <x v="2"/>
    <x v="1"/>
    <x v="0"/>
  </r>
  <r>
    <x v="179"/>
    <x v="17"/>
    <x v="2172"/>
    <x v="0"/>
    <x v="0"/>
    <x v="5"/>
    <x v="2"/>
    <x v="1"/>
    <x v="0"/>
  </r>
  <r>
    <x v="179"/>
    <x v="18"/>
    <x v="2326"/>
    <x v="0"/>
    <x v="0"/>
    <x v="5"/>
    <x v="2"/>
    <x v="1"/>
    <x v="0"/>
  </r>
  <r>
    <x v="179"/>
    <x v="19"/>
    <x v="2250"/>
    <x v="0"/>
    <x v="0"/>
    <x v="5"/>
    <x v="2"/>
    <x v="1"/>
    <x v="0"/>
  </r>
  <r>
    <x v="179"/>
    <x v="20"/>
    <x v="2040"/>
    <x v="0"/>
    <x v="0"/>
    <x v="5"/>
    <x v="2"/>
    <x v="1"/>
    <x v="1"/>
  </r>
  <r>
    <x v="179"/>
    <x v="21"/>
    <x v="2373"/>
    <x v="0"/>
    <x v="0"/>
    <x v="5"/>
    <x v="2"/>
    <x v="1"/>
    <x v="1"/>
  </r>
  <r>
    <x v="179"/>
    <x v="22"/>
    <x v="2400"/>
    <x v="0"/>
    <x v="0"/>
    <x v="5"/>
    <x v="2"/>
    <x v="1"/>
    <x v="1"/>
  </r>
  <r>
    <x v="179"/>
    <x v="23"/>
    <x v="2272"/>
    <x v="0"/>
    <x v="0"/>
    <x v="5"/>
    <x v="2"/>
    <x v="1"/>
    <x v="1"/>
  </r>
  <r>
    <x v="180"/>
    <x v="0"/>
    <x v="1843"/>
    <x v="0"/>
    <x v="0"/>
    <x v="5"/>
    <x v="3"/>
    <x v="1"/>
    <x v="4"/>
  </r>
  <r>
    <x v="180"/>
    <x v="1"/>
    <x v="1276"/>
    <x v="0"/>
    <x v="0"/>
    <x v="5"/>
    <x v="3"/>
    <x v="1"/>
    <x v="4"/>
  </r>
  <r>
    <x v="180"/>
    <x v="2"/>
    <x v="870"/>
    <x v="0"/>
    <x v="0"/>
    <x v="5"/>
    <x v="3"/>
    <x v="1"/>
    <x v="4"/>
  </r>
  <r>
    <x v="180"/>
    <x v="3"/>
    <x v="563"/>
    <x v="0"/>
    <x v="0"/>
    <x v="5"/>
    <x v="3"/>
    <x v="1"/>
    <x v="4"/>
  </r>
  <r>
    <x v="180"/>
    <x v="4"/>
    <x v="334"/>
    <x v="0"/>
    <x v="0"/>
    <x v="5"/>
    <x v="3"/>
    <x v="1"/>
    <x v="4"/>
  </r>
  <r>
    <x v="180"/>
    <x v="5"/>
    <x v="394"/>
    <x v="0"/>
    <x v="0"/>
    <x v="5"/>
    <x v="3"/>
    <x v="1"/>
    <x v="4"/>
  </r>
  <r>
    <x v="180"/>
    <x v="6"/>
    <x v="363"/>
    <x v="0"/>
    <x v="0"/>
    <x v="5"/>
    <x v="3"/>
    <x v="1"/>
    <x v="3"/>
  </r>
  <r>
    <x v="180"/>
    <x v="7"/>
    <x v="497"/>
    <x v="0"/>
    <x v="0"/>
    <x v="5"/>
    <x v="3"/>
    <x v="1"/>
    <x v="3"/>
  </r>
  <r>
    <x v="180"/>
    <x v="8"/>
    <x v="700"/>
    <x v="0"/>
    <x v="0"/>
    <x v="5"/>
    <x v="3"/>
    <x v="1"/>
    <x v="3"/>
  </r>
  <r>
    <x v="180"/>
    <x v="9"/>
    <x v="878"/>
    <x v="0"/>
    <x v="0"/>
    <x v="5"/>
    <x v="3"/>
    <x v="1"/>
    <x v="3"/>
  </r>
  <r>
    <x v="180"/>
    <x v="10"/>
    <x v="1092"/>
    <x v="0"/>
    <x v="0"/>
    <x v="5"/>
    <x v="3"/>
    <x v="1"/>
    <x v="2"/>
  </r>
  <r>
    <x v="180"/>
    <x v="11"/>
    <x v="1353"/>
    <x v="0"/>
    <x v="0"/>
    <x v="5"/>
    <x v="3"/>
    <x v="1"/>
    <x v="2"/>
  </r>
  <r>
    <x v="180"/>
    <x v="12"/>
    <x v="1341"/>
    <x v="0"/>
    <x v="0"/>
    <x v="5"/>
    <x v="3"/>
    <x v="1"/>
    <x v="2"/>
  </r>
  <r>
    <x v="180"/>
    <x v="13"/>
    <x v="1450"/>
    <x v="0"/>
    <x v="0"/>
    <x v="5"/>
    <x v="3"/>
    <x v="1"/>
    <x v="2"/>
  </r>
  <r>
    <x v="180"/>
    <x v="14"/>
    <x v="1587"/>
    <x v="0"/>
    <x v="0"/>
    <x v="5"/>
    <x v="3"/>
    <x v="1"/>
    <x v="2"/>
  </r>
  <r>
    <x v="180"/>
    <x v="15"/>
    <x v="1646"/>
    <x v="0"/>
    <x v="0"/>
    <x v="5"/>
    <x v="3"/>
    <x v="1"/>
    <x v="2"/>
  </r>
  <r>
    <x v="180"/>
    <x v="16"/>
    <x v="1738"/>
    <x v="0"/>
    <x v="0"/>
    <x v="5"/>
    <x v="3"/>
    <x v="1"/>
    <x v="0"/>
  </r>
  <r>
    <x v="180"/>
    <x v="17"/>
    <x v="1631"/>
    <x v="0"/>
    <x v="0"/>
    <x v="5"/>
    <x v="3"/>
    <x v="1"/>
    <x v="0"/>
  </r>
  <r>
    <x v="180"/>
    <x v="18"/>
    <x v="1623"/>
    <x v="0"/>
    <x v="0"/>
    <x v="5"/>
    <x v="3"/>
    <x v="1"/>
    <x v="0"/>
  </r>
  <r>
    <x v="180"/>
    <x v="19"/>
    <x v="1417"/>
    <x v="0"/>
    <x v="0"/>
    <x v="5"/>
    <x v="3"/>
    <x v="1"/>
    <x v="0"/>
  </r>
  <r>
    <x v="180"/>
    <x v="20"/>
    <x v="1281"/>
    <x v="0"/>
    <x v="0"/>
    <x v="5"/>
    <x v="3"/>
    <x v="1"/>
    <x v="1"/>
  </r>
  <r>
    <x v="180"/>
    <x v="21"/>
    <x v="1125"/>
    <x v="0"/>
    <x v="0"/>
    <x v="5"/>
    <x v="3"/>
    <x v="1"/>
    <x v="1"/>
  </r>
  <r>
    <x v="180"/>
    <x v="22"/>
    <x v="897"/>
    <x v="0"/>
    <x v="0"/>
    <x v="5"/>
    <x v="3"/>
    <x v="1"/>
    <x v="1"/>
  </r>
  <r>
    <x v="180"/>
    <x v="23"/>
    <x v="528"/>
    <x v="0"/>
    <x v="0"/>
    <x v="5"/>
    <x v="3"/>
    <x v="1"/>
    <x v="1"/>
  </r>
  <r>
    <x v="181"/>
    <x v="0"/>
    <x v="251"/>
    <x v="0"/>
    <x v="0"/>
    <x v="5"/>
    <x v="1"/>
    <x v="0"/>
    <x v="4"/>
  </r>
  <r>
    <x v="181"/>
    <x v="1"/>
    <x v="102"/>
    <x v="0"/>
    <x v="0"/>
    <x v="5"/>
    <x v="1"/>
    <x v="0"/>
    <x v="4"/>
  </r>
  <r>
    <x v="181"/>
    <x v="2"/>
    <x v="80"/>
    <x v="0"/>
    <x v="0"/>
    <x v="5"/>
    <x v="1"/>
    <x v="0"/>
    <x v="4"/>
  </r>
  <r>
    <x v="181"/>
    <x v="3"/>
    <x v="305"/>
    <x v="0"/>
    <x v="0"/>
    <x v="5"/>
    <x v="1"/>
    <x v="0"/>
    <x v="4"/>
  </r>
  <r>
    <x v="181"/>
    <x v="4"/>
    <x v="490"/>
    <x v="0"/>
    <x v="0"/>
    <x v="5"/>
    <x v="1"/>
    <x v="0"/>
    <x v="4"/>
  </r>
  <r>
    <x v="181"/>
    <x v="5"/>
    <x v="778"/>
    <x v="0"/>
    <x v="0"/>
    <x v="5"/>
    <x v="1"/>
    <x v="0"/>
    <x v="4"/>
  </r>
  <r>
    <x v="181"/>
    <x v="6"/>
    <x v="1269"/>
    <x v="0"/>
    <x v="0"/>
    <x v="5"/>
    <x v="1"/>
    <x v="0"/>
    <x v="3"/>
  </r>
  <r>
    <x v="181"/>
    <x v="7"/>
    <x v="1585"/>
    <x v="0"/>
    <x v="0"/>
    <x v="5"/>
    <x v="1"/>
    <x v="0"/>
    <x v="3"/>
  </r>
  <r>
    <x v="181"/>
    <x v="8"/>
    <x v="1525"/>
    <x v="0"/>
    <x v="0"/>
    <x v="5"/>
    <x v="1"/>
    <x v="0"/>
    <x v="3"/>
  </r>
  <r>
    <x v="181"/>
    <x v="9"/>
    <x v="1271"/>
    <x v="0"/>
    <x v="0"/>
    <x v="5"/>
    <x v="1"/>
    <x v="0"/>
    <x v="3"/>
  </r>
  <r>
    <x v="181"/>
    <x v="10"/>
    <x v="997"/>
    <x v="0"/>
    <x v="0"/>
    <x v="5"/>
    <x v="1"/>
    <x v="0"/>
    <x v="2"/>
  </r>
  <r>
    <x v="181"/>
    <x v="11"/>
    <x v="1020"/>
    <x v="0"/>
    <x v="0"/>
    <x v="5"/>
    <x v="1"/>
    <x v="0"/>
    <x v="2"/>
  </r>
  <r>
    <x v="181"/>
    <x v="12"/>
    <x v="982"/>
    <x v="0"/>
    <x v="0"/>
    <x v="5"/>
    <x v="1"/>
    <x v="0"/>
    <x v="2"/>
  </r>
  <r>
    <x v="181"/>
    <x v="13"/>
    <x v="1169"/>
    <x v="0"/>
    <x v="0"/>
    <x v="5"/>
    <x v="1"/>
    <x v="0"/>
    <x v="2"/>
  </r>
  <r>
    <x v="181"/>
    <x v="14"/>
    <x v="1329"/>
    <x v="0"/>
    <x v="0"/>
    <x v="5"/>
    <x v="1"/>
    <x v="0"/>
    <x v="2"/>
  </r>
  <r>
    <x v="181"/>
    <x v="15"/>
    <x v="1531"/>
    <x v="0"/>
    <x v="0"/>
    <x v="5"/>
    <x v="1"/>
    <x v="0"/>
    <x v="2"/>
  </r>
  <r>
    <x v="181"/>
    <x v="16"/>
    <x v="1696"/>
    <x v="0"/>
    <x v="0"/>
    <x v="5"/>
    <x v="1"/>
    <x v="0"/>
    <x v="0"/>
  </r>
  <r>
    <x v="181"/>
    <x v="17"/>
    <x v="1750"/>
    <x v="0"/>
    <x v="0"/>
    <x v="5"/>
    <x v="1"/>
    <x v="0"/>
    <x v="0"/>
  </r>
  <r>
    <x v="181"/>
    <x v="18"/>
    <x v="1817"/>
    <x v="0"/>
    <x v="0"/>
    <x v="5"/>
    <x v="1"/>
    <x v="0"/>
    <x v="0"/>
  </r>
  <r>
    <x v="181"/>
    <x v="19"/>
    <x v="1617"/>
    <x v="0"/>
    <x v="0"/>
    <x v="5"/>
    <x v="1"/>
    <x v="0"/>
    <x v="0"/>
  </r>
  <r>
    <x v="181"/>
    <x v="20"/>
    <x v="1559"/>
    <x v="0"/>
    <x v="0"/>
    <x v="5"/>
    <x v="1"/>
    <x v="0"/>
    <x v="1"/>
  </r>
  <r>
    <x v="181"/>
    <x v="21"/>
    <x v="1365"/>
    <x v="0"/>
    <x v="0"/>
    <x v="5"/>
    <x v="1"/>
    <x v="0"/>
    <x v="1"/>
  </r>
  <r>
    <x v="181"/>
    <x v="22"/>
    <x v="989"/>
    <x v="0"/>
    <x v="0"/>
    <x v="5"/>
    <x v="1"/>
    <x v="0"/>
    <x v="1"/>
  </r>
  <r>
    <x v="181"/>
    <x v="23"/>
    <x v="517"/>
    <x v="0"/>
    <x v="0"/>
    <x v="5"/>
    <x v="1"/>
    <x v="0"/>
    <x v="1"/>
  </r>
  <r>
    <x v="182"/>
    <x v="0"/>
    <x v="216"/>
    <x v="0"/>
    <x v="0"/>
    <x v="5"/>
    <x v="5"/>
    <x v="0"/>
    <x v="4"/>
  </r>
  <r>
    <x v="182"/>
    <x v="1"/>
    <x v="94"/>
    <x v="0"/>
    <x v="0"/>
    <x v="5"/>
    <x v="5"/>
    <x v="0"/>
    <x v="4"/>
  </r>
  <r>
    <x v="182"/>
    <x v="2"/>
    <x v="60"/>
    <x v="0"/>
    <x v="0"/>
    <x v="5"/>
    <x v="5"/>
    <x v="0"/>
    <x v="4"/>
  </r>
  <r>
    <x v="182"/>
    <x v="3"/>
    <x v="163"/>
    <x v="0"/>
    <x v="0"/>
    <x v="5"/>
    <x v="5"/>
    <x v="0"/>
    <x v="4"/>
  </r>
  <r>
    <x v="182"/>
    <x v="4"/>
    <x v="333"/>
    <x v="0"/>
    <x v="0"/>
    <x v="5"/>
    <x v="5"/>
    <x v="0"/>
    <x v="4"/>
  </r>
  <r>
    <x v="182"/>
    <x v="5"/>
    <x v="760"/>
    <x v="0"/>
    <x v="0"/>
    <x v="5"/>
    <x v="5"/>
    <x v="0"/>
    <x v="4"/>
  </r>
  <r>
    <x v="182"/>
    <x v="6"/>
    <x v="1428"/>
    <x v="0"/>
    <x v="0"/>
    <x v="5"/>
    <x v="5"/>
    <x v="0"/>
    <x v="3"/>
  </r>
  <r>
    <x v="182"/>
    <x v="7"/>
    <x v="1802"/>
    <x v="0"/>
    <x v="0"/>
    <x v="5"/>
    <x v="5"/>
    <x v="0"/>
    <x v="3"/>
  </r>
  <r>
    <x v="182"/>
    <x v="8"/>
    <x v="1680"/>
    <x v="0"/>
    <x v="0"/>
    <x v="5"/>
    <x v="5"/>
    <x v="0"/>
    <x v="3"/>
  </r>
  <r>
    <x v="182"/>
    <x v="9"/>
    <x v="1146"/>
    <x v="0"/>
    <x v="0"/>
    <x v="5"/>
    <x v="5"/>
    <x v="0"/>
    <x v="3"/>
  </r>
  <r>
    <x v="182"/>
    <x v="10"/>
    <x v="1062"/>
    <x v="0"/>
    <x v="0"/>
    <x v="5"/>
    <x v="5"/>
    <x v="0"/>
    <x v="2"/>
  </r>
  <r>
    <x v="182"/>
    <x v="11"/>
    <x v="1090"/>
    <x v="0"/>
    <x v="0"/>
    <x v="5"/>
    <x v="5"/>
    <x v="0"/>
    <x v="2"/>
  </r>
  <r>
    <x v="182"/>
    <x v="12"/>
    <x v="1057"/>
    <x v="0"/>
    <x v="0"/>
    <x v="5"/>
    <x v="5"/>
    <x v="0"/>
    <x v="2"/>
  </r>
  <r>
    <x v="182"/>
    <x v="13"/>
    <x v="1392"/>
    <x v="0"/>
    <x v="0"/>
    <x v="5"/>
    <x v="5"/>
    <x v="0"/>
    <x v="2"/>
  </r>
  <r>
    <x v="182"/>
    <x v="14"/>
    <x v="1538"/>
    <x v="0"/>
    <x v="0"/>
    <x v="5"/>
    <x v="5"/>
    <x v="0"/>
    <x v="2"/>
  </r>
  <r>
    <x v="182"/>
    <x v="15"/>
    <x v="1869"/>
    <x v="0"/>
    <x v="0"/>
    <x v="5"/>
    <x v="5"/>
    <x v="0"/>
    <x v="2"/>
  </r>
  <r>
    <x v="182"/>
    <x v="16"/>
    <x v="2042"/>
    <x v="0"/>
    <x v="0"/>
    <x v="5"/>
    <x v="5"/>
    <x v="0"/>
    <x v="0"/>
  </r>
  <r>
    <x v="182"/>
    <x v="17"/>
    <x v="2249"/>
    <x v="0"/>
    <x v="0"/>
    <x v="5"/>
    <x v="5"/>
    <x v="0"/>
    <x v="0"/>
  </r>
  <r>
    <x v="182"/>
    <x v="18"/>
    <x v="2212"/>
    <x v="0"/>
    <x v="0"/>
    <x v="5"/>
    <x v="5"/>
    <x v="0"/>
    <x v="0"/>
  </r>
  <r>
    <x v="182"/>
    <x v="19"/>
    <x v="2064"/>
    <x v="0"/>
    <x v="0"/>
    <x v="5"/>
    <x v="5"/>
    <x v="0"/>
    <x v="0"/>
  </r>
  <r>
    <x v="182"/>
    <x v="20"/>
    <x v="1955"/>
    <x v="0"/>
    <x v="0"/>
    <x v="5"/>
    <x v="5"/>
    <x v="0"/>
    <x v="1"/>
  </r>
  <r>
    <x v="182"/>
    <x v="21"/>
    <x v="1756"/>
    <x v="0"/>
    <x v="0"/>
    <x v="5"/>
    <x v="5"/>
    <x v="0"/>
    <x v="1"/>
  </r>
  <r>
    <x v="182"/>
    <x v="22"/>
    <x v="1216"/>
    <x v="0"/>
    <x v="0"/>
    <x v="5"/>
    <x v="5"/>
    <x v="0"/>
    <x v="1"/>
  </r>
  <r>
    <x v="183"/>
    <x v="0"/>
    <x v="3993"/>
    <x v="1"/>
    <x v="1"/>
    <x v="6"/>
    <x v="4"/>
    <x v="0"/>
    <x v="4"/>
  </r>
  <r>
    <x v="183"/>
    <x v="1"/>
    <x v="3870"/>
    <x v="1"/>
    <x v="1"/>
    <x v="6"/>
    <x v="4"/>
    <x v="0"/>
    <x v="4"/>
  </r>
  <r>
    <x v="183"/>
    <x v="2"/>
    <x v="4117"/>
    <x v="1"/>
    <x v="1"/>
    <x v="6"/>
    <x v="4"/>
    <x v="0"/>
    <x v="4"/>
  </r>
  <r>
    <x v="183"/>
    <x v="3"/>
    <x v="3833"/>
    <x v="1"/>
    <x v="1"/>
    <x v="6"/>
    <x v="4"/>
    <x v="0"/>
    <x v="4"/>
  </r>
  <r>
    <x v="183"/>
    <x v="4"/>
    <x v="2817"/>
    <x v="1"/>
    <x v="1"/>
    <x v="6"/>
    <x v="4"/>
    <x v="0"/>
    <x v="4"/>
  </r>
  <r>
    <x v="183"/>
    <x v="5"/>
    <x v="1593"/>
    <x v="1"/>
    <x v="1"/>
    <x v="6"/>
    <x v="4"/>
    <x v="0"/>
    <x v="4"/>
  </r>
  <r>
    <x v="183"/>
    <x v="6"/>
    <x v="954"/>
    <x v="1"/>
    <x v="1"/>
    <x v="6"/>
    <x v="4"/>
    <x v="0"/>
    <x v="3"/>
  </r>
  <r>
    <x v="183"/>
    <x v="7"/>
    <x v="548"/>
    <x v="1"/>
    <x v="1"/>
    <x v="6"/>
    <x v="4"/>
    <x v="0"/>
    <x v="3"/>
  </r>
  <r>
    <x v="183"/>
    <x v="8"/>
    <x v="475"/>
    <x v="1"/>
    <x v="1"/>
    <x v="6"/>
    <x v="4"/>
    <x v="0"/>
    <x v="3"/>
  </r>
  <r>
    <x v="183"/>
    <x v="9"/>
    <x v="492"/>
    <x v="1"/>
    <x v="1"/>
    <x v="6"/>
    <x v="4"/>
    <x v="0"/>
    <x v="3"/>
  </r>
  <r>
    <x v="183"/>
    <x v="10"/>
    <x v="673"/>
    <x v="1"/>
    <x v="1"/>
    <x v="6"/>
    <x v="4"/>
    <x v="0"/>
    <x v="2"/>
  </r>
  <r>
    <x v="183"/>
    <x v="11"/>
    <x v="929"/>
    <x v="1"/>
    <x v="1"/>
    <x v="6"/>
    <x v="4"/>
    <x v="0"/>
    <x v="2"/>
  </r>
  <r>
    <x v="183"/>
    <x v="12"/>
    <x v="1102"/>
    <x v="1"/>
    <x v="1"/>
    <x v="6"/>
    <x v="4"/>
    <x v="0"/>
    <x v="2"/>
  </r>
  <r>
    <x v="183"/>
    <x v="13"/>
    <x v="1360"/>
    <x v="1"/>
    <x v="1"/>
    <x v="6"/>
    <x v="4"/>
    <x v="0"/>
    <x v="2"/>
  </r>
  <r>
    <x v="183"/>
    <x v="14"/>
    <x v="1491"/>
    <x v="1"/>
    <x v="1"/>
    <x v="6"/>
    <x v="4"/>
    <x v="0"/>
    <x v="2"/>
  </r>
  <r>
    <x v="183"/>
    <x v="15"/>
    <x v="1692"/>
    <x v="1"/>
    <x v="1"/>
    <x v="6"/>
    <x v="4"/>
    <x v="0"/>
    <x v="2"/>
  </r>
  <r>
    <x v="183"/>
    <x v="16"/>
    <x v="1889"/>
    <x v="1"/>
    <x v="1"/>
    <x v="6"/>
    <x v="4"/>
    <x v="0"/>
    <x v="0"/>
  </r>
  <r>
    <x v="183"/>
    <x v="17"/>
    <x v="2004"/>
    <x v="1"/>
    <x v="1"/>
    <x v="6"/>
    <x v="4"/>
    <x v="0"/>
    <x v="0"/>
  </r>
  <r>
    <x v="183"/>
    <x v="18"/>
    <x v="1955"/>
    <x v="1"/>
    <x v="1"/>
    <x v="6"/>
    <x v="4"/>
    <x v="0"/>
    <x v="0"/>
  </r>
  <r>
    <x v="183"/>
    <x v="19"/>
    <x v="1943"/>
    <x v="1"/>
    <x v="1"/>
    <x v="6"/>
    <x v="4"/>
    <x v="0"/>
    <x v="0"/>
  </r>
  <r>
    <x v="183"/>
    <x v="20"/>
    <x v="1800"/>
    <x v="1"/>
    <x v="1"/>
    <x v="6"/>
    <x v="4"/>
    <x v="0"/>
    <x v="1"/>
  </r>
  <r>
    <x v="183"/>
    <x v="21"/>
    <x v="1736"/>
    <x v="1"/>
    <x v="1"/>
    <x v="6"/>
    <x v="4"/>
    <x v="0"/>
    <x v="1"/>
  </r>
  <r>
    <x v="183"/>
    <x v="22"/>
    <x v="1636"/>
    <x v="1"/>
    <x v="1"/>
    <x v="6"/>
    <x v="4"/>
    <x v="0"/>
    <x v="1"/>
  </r>
  <r>
    <x v="183"/>
    <x v="23"/>
    <x v="1425"/>
    <x v="1"/>
    <x v="1"/>
    <x v="6"/>
    <x v="4"/>
    <x v="0"/>
    <x v="1"/>
  </r>
  <r>
    <x v="184"/>
    <x v="0"/>
    <x v="1156"/>
    <x v="1"/>
    <x v="1"/>
    <x v="6"/>
    <x v="0"/>
    <x v="0"/>
    <x v="4"/>
  </r>
  <r>
    <x v="184"/>
    <x v="1"/>
    <x v="649"/>
    <x v="1"/>
    <x v="1"/>
    <x v="6"/>
    <x v="0"/>
    <x v="0"/>
    <x v="4"/>
  </r>
  <r>
    <x v="184"/>
    <x v="2"/>
    <x v="353"/>
    <x v="1"/>
    <x v="1"/>
    <x v="6"/>
    <x v="0"/>
    <x v="0"/>
    <x v="4"/>
  </r>
  <r>
    <x v="184"/>
    <x v="3"/>
    <x v="287"/>
    <x v="1"/>
    <x v="1"/>
    <x v="6"/>
    <x v="0"/>
    <x v="0"/>
    <x v="4"/>
  </r>
  <r>
    <x v="184"/>
    <x v="4"/>
    <x v="346"/>
    <x v="1"/>
    <x v="1"/>
    <x v="6"/>
    <x v="0"/>
    <x v="0"/>
    <x v="4"/>
  </r>
  <r>
    <x v="184"/>
    <x v="5"/>
    <x v="378"/>
    <x v="1"/>
    <x v="1"/>
    <x v="6"/>
    <x v="0"/>
    <x v="0"/>
    <x v="4"/>
  </r>
  <r>
    <x v="184"/>
    <x v="6"/>
    <x v="513"/>
    <x v="1"/>
    <x v="1"/>
    <x v="6"/>
    <x v="0"/>
    <x v="0"/>
    <x v="3"/>
  </r>
  <r>
    <x v="184"/>
    <x v="7"/>
    <x v="749"/>
    <x v="1"/>
    <x v="1"/>
    <x v="6"/>
    <x v="0"/>
    <x v="0"/>
    <x v="3"/>
  </r>
  <r>
    <x v="184"/>
    <x v="8"/>
    <x v="1038"/>
    <x v="1"/>
    <x v="1"/>
    <x v="6"/>
    <x v="0"/>
    <x v="0"/>
    <x v="3"/>
  </r>
  <r>
    <x v="184"/>
    <x v="9"/>
    <x v="1187"/>
    <x v="1"/>
    <x v="1"/>
    <x v="6"/>
    <x v="0"/>
    <x v="0"/>
    <x v="3"/>
  </r>
  <r>
    <x v="184"/>
    <x v="10"/>
    <x v="1252"/>
    <x v="1"/>
    <x v="1"/>
    <x v="6"/>
    <x v="0"/>
    <x v="0"/>
    <x v="2"/>
  </r>
  <r>
    <x v="184"/>
    <x v="11"/>
    <x v="1480"/>
    <x v="1"/>
    <x v="1"/>
    <x v="6"/>
    <x v="0"/>
    <x v="0"/>
    <x v="2"/>
  </r>
  <r>
    <x v="184"/>
    <x v="12"/>
    <x v="1599"/>
    <x v="1"/>
    <x v="1"/>
    <x v="6"/>
    <x v="0"/>
    <x v="0"/>
    <x v="2"/>
  </r>
  <r>
    <x v="184"/>
    <x v="13"/>
    <x v="1623"/>
    <x v="1"/>
    <x v="1"/>
    <x v="6"/>
    <x v="0"/>
    <x v="0"/>
    <x v="2"/>
  </r>
  <r>
    <x v="184"/>
    <x v="14"/>
    <x v="1662"/>
    <x v="1"/>
    <x v="1"/>
    <x v="6"/>
    <x v="0"/>
    <x v="0"/>
    <x v="2"/>
  </r>
  <r>
    <x v="184"/>
    <x v="15"/>
    <x v="1794"/>
    <x v="1"/>
    <x v="1"/>
    <x v="6"/>
    <x v="0"/>
    <x v="0"/>
    <x v="2"/>
  </r>
  <r>
    <x v="184"/>
    <x v="16"/>
    <x v="2106"/>
    <x v="1"/>
    <x v="1"/>
    <x v="6"/>
    <x v="0"/>
    <x v="0"/>
    <x v="0"/>
  </r>
  <r>
    <x v="184"/>
    <x v="17"/>
    <x v="2274"/>
    <x v="1"/>
    <x v="1"/>
    <x v="6"/>
    <x v="0"/>
    <x v="0"/>
    <x v="0"/>
  </r>
  <r>
    <x v="184"/>
    <x v="18"/>
    <x v="2410"/>
    <x v="1"/>
    <x v="1"/>
    <x v="6"/>
    <x v="0"/>
    <x v="0"/>
    <x v="0"/>
  </r>
  <r>
    <x v="184"/>
    <x v="19"/>
    <x v="2567"/>
    <x v="1"/>
    <x v="1"/>
    <x v="6"/>
    <x v="0"/>
    <x v="0"/>
    <x v="0"/>
  </r>
  <r>
    <x v="184"/>
    <x v="20"/>
    <x v="2289"/>
    <x v="1"/>
    <x v="1"/>
    <x v="6"/>
    <x v="0"/>
    <x v="0"/>
    <x v="1"/>
  </r>
  <r>
    <x v="184"/>
    <x v="21"/>
    <x v="2191"/>
    <x v="1"/>
    <x v="1"/>
    <x v="6"/>
    <x v="0"/>
    <x v="0"/>
    <x v="1"/>
  </r>
  <r>
    <x v="184"/>
    <x v="22"/>
    <x v="2390"/>
    <x v="1"/>
    <x v="1"/>
    <x v="6"/>
    <x v="0"/>
    <x v="0"/>
    <x v="1"/>
  </r>
  <r>
    <x v="184"/>
    <x v="23"/>
    <x v="2263"/>
    <x v="1"/>
    <x v="1"/>
    <x v="6"/>
    <x v="0"/>
    <x v="0"/>
    <x v="1"/>
  </r>
  <r>
    <x v="185"/>
    <x v="0"/>
    <x v="1989"/>
    <x v="1"/>
    <x v="1"/>
    <x v="6"/>
    <x v="2"/>
    <x v="1"/>
    <x v="4"/>
  </r>
  <r>
    <x v="185"/>
    <x v="1"/>
    <x v="1533"/>
    <x v="1"/>
    <x v="1"/>
    <x v="6"/>
    <x v="2"/>
    <x v="1"/>
    <x v="4"/>
  </r>
  <r>
    <x v="185"/>
    <x v="2"/>
    <x v="1133"/>
    <x v="1"/>
    <x v="1"/>
    <x v="6"/>
    <x v="2"/>
    <x v="1"/>
    <x v="4"/>
  </r>
  <r>
    <x v="185"/>
    <x v="3"/>
    <x v="869"/>
    <x v="1"/>
    <x v="1"/>
    <x v="6"/>
    <x v="2"/>
    <x v="1"/>
    <x v="4"/>
  </r>
  <r>
    <x v="185"/>
    <x v="4"/>
    <x v="691"/>
    <x v="1"/>
    <x v="1"/>
    <x v="6"/>
    <x v="2"/>
    <x v="1"/>
    <x v="4"/>
  </r>
  <r>
    <x v="185"/>
    <x v="5"/>
    <x v="458"/>
    <x v="1"/>
    <x v="1"/>
    <x v="6"/>
    <x v="2"/>
    <x v="1"/>
    <x v="4"/>
  </r>
  <r>
    <x v="185"/>
    <x v="6"/>
    <x v="474"/>
    <x v="1"/>
    <x v="1"/>
    <x v="6"/>
    <x v="2"/>
    <x v="1"/>
    <x v="3"/>
  </r>
  <r>
    <x v="185"/>
    <x v="7"/>
    <x v="459"/>
    <x v="1"/>
    <x v="1"/>
    <x v="6"/>
    <x v="2"/>
    <x v="1"/>
    <x v="3"/>
  </r>
  <r>
    <x v="185"/>
    <x v="8"/>
    <x v="582"/>
    <x v="1"/>
    <x v="1"/>
    <x v="6"/>
    <x v="2"/>
    <x v="1"/>
    <x v="3"/>
  </r>
  <r>
    <x v="185"/>
    <x v="9"/>
    <x v="950"/>
    <x v="1"/>
    <x v="1"/>
    <x v="6"/>
    <x v="2"/>
    <x v="1"/>
    <x v="3"/>
  </r>
  <r>
    <x v="185"/>
    <x v="10"/>
    <x v="1204"/>
    <x v="1"/>
    <x v="1"/>
    <x v="6"/>
    <x v="2"/>
    <x v="1"/>
    <x v="2"/>
  </r>
  <r>
    <x v="185"/>
    <x v="11"/>
    <x v="1643"/>
    <x v="1"/>
    <x v="1"/>
    <x v="6"/>
    <x v="2"/>
    <x v="1"/>
    <x v="2"/>
  </r>
  <r>
    <x v="185"/>
    <x v="12"/>
    <x v="1949"/>
    <x v="1"/>
    <x v="1"/>
    <x v="6"/>
    <x v="2"/>
    <x v="1"/>
    <x v="2"/>
  </r>
  <r>
    <x v="185"/>
    <x v="13"/>
    <x v="2302"/>
    <x v="1"/>
    <x v="1"/>
    <x v="6"/>
    <x v="2"/>
    <x v="1"/>
    <x v="2"/>
  </r>
  <r>
    <x v="185"/>
    <x v="14"/>
    <x v="2577"/>
    <x v="1"/>
    <x v="1"/>
    <x v="6"/>
    <x v="2"/>
    <x v="1"/>
    <x v="2"/>
  </r>
  <r>
    <x v="185"/>
    <x v="15"/>
    <x v="2633"/>
    <x v="1"/>
    <x v="1"/>
    <x v="6"/>
    <x v="2"/>
    <x v="1"/>
    <x v="2"/>
  </r>
  <r>
    <x v="185"/>
    <x v="16"/>
    <x v="2985"/>
    <x v="1"/>
    <x v="1"/>
    <x v="6"/>
    <x v="2"/>
    <x v="1"/>
    <x v="0"/>
  </r>
  <r>
    <x v="185"/>
    <x v="17"/>
    <x v="3425"/>
    <x v="1"/>
    <x v="1"/>
    <x v="6"/>
    <x v="2"/>
    <x v="1"/>
    <x v="0"/>
  </r>
  <r>
    <x v="185"/>
    <x v="18"/>
    <x v="3565"/>
    <x v="1"/>
    <x v="1"/>
    <x v="6"/>
    <x v="2"/>
    <x v="1"/>
    <x v="0"/>
  </r>
  <r>
    <x v="185"/>
    <x v="19"/>
    <x v="3699"/>
    <x v="1"/>
    <x v="1"/>
    <x v="6"/>
    <x v="2"/>
    <x v="1"/>
    <x v="0"/>
  </r>
  <r>
    <x v="185"/>
    <x v="20"/>
    <x v="3170"/>
    <x v="1"/>
    <x v="1"/>
    <x v="6"/>
    <x v="2"/>
    <x v="1"/>
    <x v="1"/>
  </r>
  <r>
    <x v="185"/>
    <x v="21"/>
    <x v="2975"/>
    <x v="1"/>
    <x v="1"/>
    <x v="6"/>
    <x v="2"/>
    <x v="1"/>
    <x v="1"/>
  </r>
  <r>
    <x v="185"/>
    <x v="22"/>
    <x v="3023"/>
    <x v="1"/>
    <x v="1"/>
    <x v="6"/>
    <x v="2"/>
    <x v="1"/>
    <x v="1"/>
  </r>
  <r>
    <x v="185"/>
    <x v="23"/>
    <x v="3038"/>
    <x v="1"/>
    <x v="1"/>
    <x v="6"/>
    <x v="2"/>
    <x v="1"/>
    <x v="1"/>
  </r>
  <r>
    <x v="186"/>
    <x v="0"/>
    <x v="2777"/>
    <x v="1"/>
    <x v="1"/>
    <x v="6"/>
    <x v="3"/>
    <x v="1"/>
    <x v="4"/>
  </r>
  <r>
    <x v="186"/>
    <x v="1"/>
    <x v="1977"/>
    <x v="1"/>
    <x v="1"/>
    <x v="6"/>
    <x v="3"/>
    <x v="1"/>
    <x v="4"/>
  </r>
  <r>
    <x v="186"/>
    <x v="2"/>
    <x v="1355"/>
    <x v="1"/>
    <x v="1"/>
    <x v="6"/>
    <x v="3"/>
    <x v="1"/>
    <x v="4"/>
  </r>
  <r>
    <x v="186"/>
    <x v="3"/>
    <x v="994"/>
    <x v="1"/>
    <x v="1"/>
    <x v="6"/>
    <x v="3"/>
    <x v="1"/>
    <x v="4"/>
  </r>
  <r>
    <x v="186"/>
    <x v="4"/>
    <x v="611"/>
    <x v="1"/>
    <x v="1"/>
    <x v="6"/>
    <x v="3"/>
    <x v="1"/>
    <x v="4"/>
  </r>
  <r>
    <x v="186"/>
    <x v="5"/>
    <x v="475"/>
    <x v="1"/>
    <x v="1"/>
    <x v="6"/>
    <x v="3"/>
    <x v="1"/>
    <x v="4"/>
  </r>
  <r>
    <x v="186"/>
    <x v="6"/>
    <x v="531"/>
    <x v="1"/>
    <x v="1"/>
    <x v="6"/>
    <x v="3"/>
    <x v="1"/>
    <x v="3"/>
  </r>
  <r>
    <x v="186"/>
    <x v="7"/>
    <x v="517"/>
    <x v="1"/>
    <x v="1"/>
    <x v="6"/>
    <x v="3"/>
    <x v="1"/>
    <x v="3"/>
  </r>
  <r>
    <x v="186"/>
    <x v="8"/>
    <x v="663"/>
    <x v="1"/>
    <x v="1"/>
    <x v="6"/>
    <x v="3"/>
    <x v="1"/>
    <x v="3"/>
  </r>
  <r>
    <x v="186"/>
    <x v="9"/>
    <x v="978"/>
    <x v="1"/>
    <x v="1"/>
    <x v="6"/>
    <x v="3"/>
    <x v="1"/>
    <x v="3"/>
  </r>
  <r>
    <x v="186"/>
    <x v="10"/>
    <x v="1373"/>
    <x v="1"/>
    <x v="1"/>
    <x v="6"/>
    <x v="3"/>
    <x v="1"/>
    <x v="2"/>
  </r>
  <r>
    <x v="186"/>
    <x v="11"/>
    <x v="1697"/>
    <x v="1"/>
    <x v="1"/>
    <x v="6"/>
    <x v="3"/>
    <x v="1"/>
    <x v="2"/>
  </r>
  <r>
    <x v="186"/>
    <x v="12"/>
    <x v="1786"/>
    <x v="1"/>
    <x v="1"/>
    <x v="6"/>
    <x v="3"/>
    <x v="1"/>
    <x v="2"/>
  </r>
  <r>
    <x v="186"/>
    <x v="13"/>
    <x v="1850"/>
    <x v="1"/>
    <x v="1"/>
    <x v="6"/>
    <x v="3"/>
    <x v="1"/>
    <x v="2"/>
  </r>
  <r>
    <x v="186"/>
    <x v="14"/>
    <x v="1927"/>
    <x v="1"/>
    <x v="1"/>
    <x v="6"/>
    <x v="3"/>
    <x v="1"/>
    <x v="2"/>
  </r>
  <r>
    <x v="186"/>
    <x v="15"/>
    <x v="1866"/>
    <x v="1"/>
    <x v="1"/>
    <x v="6"/>
    <x v="3"/>
    <x v="1"/>
    <x v="2"/>
  </r>
  <r>
    <x v="186"/>
    <x v="16"/>
    <x v="2113"/>
    <x v="1"/>
    <x v="1"/>
    <x v="6"/>
    <x v="3"/>
    <x v="1"/>
    <x v="0"/>
  </r>
  <r>
    <x v="186"/>
    <x v="17"/>
    <x v="2088"/>
    <x v="1"/>
    <x v="1"/>
    <x v="6"/>
    <x v="3"/>
    <x v="1"/>
    <x v="0"/>
  </r>
  <r>
    <x v="186"/>
    <x v="18"/>
    <x v="2105"/>
    <x v="1"/>
    <x v="1"/>
    <x v="6"/>
    <x v="3"/>
    <x v="1"/>
    <x v="0"/>
  </r>
  <r>
    <x v="186"/>
    <x v="19"/>
    <x v="2091"/>
    <x v="1"/>
    <x v="1"/>
    <x v="6"/>
    <x v="3"/>
    <x v="1"/>
    <x v="0"/>
  </r>
  <r>
    <x v="186"/>
    <x v="20"/>
    <x v="2068"/>
    <x v="1"/>
    <x v="1"/>
    <x v="6"/>
    <x v="3"/>
    <x v="1"/>
    <x v="1"/>
  </r>
  <r>
    <x v="186"/>
    <x v="21"/>
    <x v="1745"/>
    <x v="1"/>
    <x v="1"/>
    <x v="6"/>
    <x v="3"/>
    <x v="1"/>
    <x v="1"/>
  </r>
  <r>
    <x v="186"/>
    <x v="22"/>
    <x v="1612"/>
    <x v="1"/>
    <x v="1"/>
    <x v="6"/>
    <x v="3"/>
    <x v="1"/>
    <x v="1"/>
  </r>
  <r>
    <x v="186"/>
    <x v="23"/>
    <x v="1307"/>
    <x v="1"/>
    <x v="1"/>
    <x v="6"/>
    <x v="3"/>
    <x v="1"/>
    <x v="1"/>
  </r>
  <r>
    <x v="187"/>
    <x v="0"/>
    <x v="940"/>
    <x v="1"/>
    <x v="1"/>
    <x v="6"/>
    <x v="1"/>
    <x v="0"/>
    <x v="4"/>
  </r>
  <r>
    <x v="187"/>
    <x v="1"/>
    <x v="553"/>
    <x v="1"/>
    <x v="1"/>
    <x v="6"/>
    <x v="1"/>
    <x v="0"/>
    <x v="4"/>
  </r>
  <r>
    <x v="187"/>
    <x v="2"/>
    <x v="210"/>
    <x v="1"/>
    <x v="1"/>
    <x v="6"/>
    <x v="1"/>
    <x v="0"/>
    <x v="4"/>
  </r>
  <r>
    <x v="187"/>
    <x v="3"/>
    <x v="145"/>
    <x v="1"/>
    <x v="1"/>
    <x v="6"/>
    <x v="1"/>
    <x v="0"/>
    <x v="4"/>
  </r>
  <r>
    <x v="187"/>
    <x v="4"/>
    <x v="416"/>
    <x v="1"/>
    <x v="1"/>
    <x v="6"/>
    <x v="1"/>
    <x v="0"/>
    <x v="4"/>
  </r>
  <r>
    <x v="187"/>
    <x v="5"/>
    <x v="776"/>
    <x v="1"/>
    <x v="1"/>
    <x v="6"/>
    <x v="1"/>
    <x v="0"/>
    <x v="4"/>
  </r>
  <r>
    <x v="187"/>
    <x v="6"/>
    <x v="1352"/>
    <x v="1"/>
    <x v="1"/>
    <x v="6"/>
    <x v="1"/>
    <x v="0"/>
    <x v="3"/>
  </r>
  <r>
    <x v="187"/>
    <x v="7"/>
    <x v="1999"/>
    <x v="1"/>
    <x v="1"/>
    <x v="6"/>
    <x v="1"/>
    <x v="0"/>
    <x v="3"/>
  </r>
  <r>
    <x v="187"/>
    <x v="8"/>
    <x v="2409"/>
    <x v="1"/>
    <x v="1"/>
    <x v="6"/>
    <x v="1"/>
    <x v="0"/>
    <x v="3"/>
  </r>
  <r>
    <x v="187"/>
    <x v="9"/>
    <x v="1910"/>
    <x v="1"/>
    <x v="1"/>
    <x v="6"/>
    <x v="1"/>
    <x v="0"/>
    <x v="3"/>
  </r>
  <r>
    <x v="187"/>
    <x v="10"/>
    <x v="1388"/>
    <x v="1"/>
    <x v="1"/>
    <x v="6"/>
    <x v="1"/>
    <x v="0"/>
    <x v="2"/>
  </r>
  <r>
    <x v="187"/>
    <x v="11"/>
    <x v="1291"/>
    <x v="1"/>
    <x v="1"/>
    <x v="6"/>
    <x v="1"/>
    <x v="0"/>
    <x v="2"/>
  </r>
  <r>
    <x v="187"/>
    <x v="12"/>
    <x v="1396"/>
    <x v="1"/>
    <x v="1"/>
    <x v="6"/>
    <x v="1"/>
    <x v="0"/>
    <x v="2"/>
  </r>
  <r>
    <x v="187"/>
    <x v="13"/>
    <x v="1328"/>
    <x v="1"/>
    <x v="1"/>
    <x v="6"/>
    <x v="1"/>
    <x v="0"/>
    <x v="2"/>
  </r>
  <r>
    <x v="187"/>
    <x v="14"/>
    <x v="1572"/>
    <x v="1"/>
    <x v="1"/>
    <x v="6"/>
    <x v="1"/>
    <x v="0"/>
    <x v="2"/>
  </r>
  <r>
    <x v="187"/>
    <x v="15"/>
    <x v="1739"/>
    <x v="1"/>
    <x v="1"/>
    <x v="6"/>
    <x v="1"/>
    <x v="0"/>
    <x v="2"/>
  </r>
  <r>
    <x v="187"/>
    <x v="16"/>
    <x v="1903"/>
    <x v="1"/>
    <x v="1"/>
    <x v="6"/>
    <x v="1"/>
    <x v="0"/>
    <x v="0"/>
  </r>
  <r>
    <x v="187"/>
    <x v="17"/>
    <x v="2414"/>
    <x v="1"/>
    <x v="1"/>
    <x v="6"/>
    <x v="1"/>
    <x v="0"/>
    <x v="0"/>
  </r>
  <r>
    <x v="187"/>
    <x v="18"/>
    <x v="2901"/>
    <x v="1"/>
    <x v="1"/>
    <x v="6"/>
    <x v="1"/>
    <x v="0"/>
    <x v="0"/>
  </r>
  <r>
    <x v="187"/>
    <x v="19"/>
    <x v="2640"/>
    <x v="1"/>
    <x v="1"/>
    <x v="6"/>
    <x v="1"/>
    <x v="0"/>
    <x v="0"/>
  </r>
  <r>
    <x v="187"/>
    <x v="20"/>
    <x v="2398"/>
    <x v="1"/>
    <x v="1"/>
    <x v="6"/>
    <x v="1"/>
    <x v="0"/>
    <x v="1"/>
  </r>
  <r>
    <x v="187"/>
    <x v="21"/>
    <x v="2203"/>
    <x v="1"/>
    <x v="1"/>
    <x v="6"/>
    <x v="1"/>
    <x v="0"/>
    <x v="1"/>
  </r>
  <r>
    <x v="187"/>
    <x v="22"/>
    <x v="1950"/>
    <x v="1"/>
    <x v="1"/>
    <x v="6"/>
    <x v="1"/>
    <x v="0"/>
    <x v="1"/>
  </r>
  <r>
    <x v="187"/>
    <x v="23"/>
    <x v="1577"/>
    <x v="1"/>
    <x v="1"/>
    <x v="6"/>
    <x v="1"/>
    <x v="0"/>
    <x v="1"/>
  </r>
  <r>
    <x v="188"/>
    <x v="0"/>
    <x v="961"/>
    <x v="1"/>
    <x v="1"/>
    <x v="6"/>
    <x v="5"/>
    <x v="0"/>
    <x v="4"/>
  </r>
  <r>
    <x v="188"/>
    <x v="1"/>
    <x v="458"/>
    <x v="1"/>
    <x v="1"/>
    <x v="6"/>
    <x v="5"/>
    <x v="0"/>
    <x v="4"/>
  </r>
  <r>
    <x v="188"/>
    <x v="2"/>
    <x v="268"/>
    <x v="1"/>
    <x v="1"/>
    <x v="6"/>
    <x v="5"/>
    <x v="0"/>
    <x v="4"/>
  </r>
  <r>
    <x v="188"/>
    <x v="3"/>
    <x v="191"/>
    <x v="1"/>
    <x v="1"/>
    <x v="6"/>
    <x v="5"/>
    <x v="0"/>
    <x v="4"/>
  </r>
  <r>
    <x v="188"/>
    <x v="4"/>
    <x v="327"/>
    <x v="1"/>
    <x v="1"/>
    <x v="6"/>
    <x v="5"/>
    <x v="0"/>
    <x v="4"/>
  </r>
  <r>
    <x v="188"/>
    <x v="5"/>
    <x v="616"/>
    <x v="1"/>
    <x v="1"/>
    <x v="6"/>
    <x v="5"/>
    <x v="0"/>
    <x v="4"/>
  </r>
  <r>
    <x v="188"/>
    <x v="6"/>
    <x v="1176"/>
    <x v="1"/>
    <x v="1"/>
    <x v="6"/>
    <x v="5"/>
    <x v="0"/>
    <x v="3"/>
  </r>
  <r>
    <x v="188"/>
    <x v="7"/>
    <x v="2103"/>
    <x v="1"/>
    <x v="1"/>
    <x v="6"/>
    <x v="5"/>
    <x v="0"/>
    <x v="3"/>
  </r>
  <r>
    <x v="188"/>
    <x v="8"/>
    <x v="2613"/>
    <x v="1"/>
    <x v="1"/>
    <x v="6"/>
    <x v="5"/>
    <x v="0"/>
    <x v="3"/>
  </r>
  <r>
    <x v="188"/>
    <x v="9"/>
    <x v="2514"/>
    <x v="1"/>
    <x v="1"/>
    <x v="6"/>
    <x v="5"/>
    <x v="0"/>
    <x v="3"/>
  </r>
  <r>
    <x v="188"/>
    <x v="10"/>
    <x v="2045"/>
    <x v="1"/>
    <x v="1"/>
    <x v="6"/>
    <x v="5"/>
    <x v="0"/>
    <x v="2"/>
  </r>
  <r>
    <x v="188"/>
    <x v="11"/>
    <x v="1885"/>
    <x v="1"/>
    <x v="1"/>
    <x v="6"/>
    <x v="5"/>
    <x v="0"/>
    <x v="2"/>
  </r>
  <r>
    <x v="188"/>
    <x v="12"/>
    <x v="1834"/>
    <x v="1"/>
    <x v="1"/>
    <x v="6"/>
    <x v="5"/>
    <x v="0"/>
    <x v="2"/>
  </r>
  <r>
    <x v="188"/>
    <x v="13"/>
    <x v="1714"/>
    <x v="1"/>
    <x v="1"/>
    <x v="6"/>
    <x v="5"/>
    <x v="0"/>
    <x v="2"/>
  </r>
  <r>
    <x v="188"/>
    <x v="14"/>
    <x v="1929"/>
    <x v="1"/>
    <x v="1"/>
    <x v="6"/>
    <x v="5"/>
    <x v="0"/>
    <x v="2"/>
  </r>
  <r>
    <x v="188"/>
    <x v="15"/>
    <x v="2052"/>
    <x v="1"/>
    <x v="1"/>
    <x v="6"/>
    <x v="5"/>
    <x v="0"/>
    <x v="2"/>
  </r>
  <r>
    <x v="188"/>
    <x v="16"/>
    <x v="2305"/>
    <x v="1"/>
    <x v="1"/>
    <x v="6"/>
    <x v="5"/>
    <x v="0"/>
    <x v="0"/>
  </r>
  <r>
    <x v="188"/>
    <x v="17"/>
    <x v="2977"/>
    <x v="1"/>
    <x v="1"/>
    <x v="6"/>
    <x v="5"/>
    <x v="0"/>
    <x v="0"/>
  </r>
  <r>
    <x v="188"/>
    <x v="18"/>
    <x v="3370"/>
    <x v="1"/>
    <x v="1"/>
    <x v="6"/>
    <x v="5"/>
    <x v="0"/>
    <x v="0"/>
  </r>
  <r>
    <x v="188"/>
    <x v="19"/>
    <x v="3037"/>
    <x v="1"/>
    <x v="1"/>
    <x v="6"/>
    <x v="5"/>
    <x v="0"/>
    <x v="0"/>
  </r>
  <r>
    <x v="188"/>
    <x v="20"/>
    <x v="2881"/>
    <x v="1"/>
    <x v="1"/>
    <x v="6"/>
    <x v="5"/>
    <x v="0"/>
    <x v="1"/>
  </r>
  <r>
    <x v="188"/>
    <x v="21"/>
    <x v="2759"/>
    <x v="1"/>
    <x v="1"/>
    <x v="6"/>
    <x v="5"/>
    <x v="0"/>
    <x v="1"/>
  </r>
  <r>
    <x v="188"/>
    <x v="22"/>
    <x v="2344"/>
    <x v="1"/>
    <x v="1"/>
    <x v="6"/>
    <x v="5"/>
    <x v="0"/>
    <x v="1"/>
  </r>
  <r>
    <x v="188"/>
    <x v="23"/>
    <x v="1801"/>
    <x v="1"/>
    <x v="1"/>
    <x v="6"/>
    <x v="5"/>
    <x v="0"/>
    <x v="1"/>
  </r>
  <r>
    <x v="189"/>
    <x v="0"/>
    <x v="1100"/>
    <x v="1"/>
    <x v="1"/>
    <x v="6"/>
    <x v="6"/>
    <x v="0"/>
    <x v="4"/>
  </r>
  <r>
    <x v="189"/>
    <x v="1"/>
    <x v="547"/>
    <x v="1"/>
    <x v="1"/>
    <x v="6"/>
    <x v="6"/>
    <x v="0"/>
    <x v="4"/>
  </r>
  <r>
    <x v="189"/>
    <x v="2"/>
    <x v="295"/>
    <x v="1"/>
    <x v="1"/>
    <x v="6"/>
    <x v="6"/>
    <x v="0"/>
    <x v="4"/>
  </r>
  <r>
    <x v="189"/>
    <x v="3"/>
    <x v="200"/>
    <x v="1"/>
    <x v="1"/>
    <x v="6"/>
    <x v="6"/>
    <x v="0"/>
    <x v="4"/>
  </r>
  <r>
    <x v="189"/>
    <x v="4"/>
    <x v="333"/>
    <x v="1"/>
    <x v="1"/>
    <x v="6"/>
    <x v="6"/>
    <x v="0"/>
    <x v="4"/>
  </r>
  <r>
    <x v="189"/>
    <x v="5"/>
    <x v="518"/>
    <x v="1"/>
    <x v="1"/>
    <x v="6"/>
    <x v="6"/>
    <x v="0"/>
    <x v="4"/>
  </r>
  <r>
    <x v="189"/>
    <x v="6"/>
    <x v="1248"/>
    <x v="1"/>
    <x v="1"/>
    <x v="6"/>
    <x v="6"/>
    <x v="0"/>
    <x v="3"/>
  </r>
  <r>
    <x v="189"/>
    <x v="7"/>
    <x v="2105"/>
    <x v="1"/>
    <x v="1"/>
    <x v="6"/>
    <x v="6"/>
    <x v="0"/>
    <x v="3"/>
  </r>
  <r>
    <x v="189"/>
    <x v="8"/>
    <x v="2720"/>
    <x v="1"/>
    <x v="1"/>
    <x v="6"/>
    <x v="6"/>
    <x v="0"/>
    <x v="3"/>
  </r>
  <r>
    <x v="189"/>
    <x v="9"/>
    <x v="2465"/>
    <x v="1"/>
    <x v="1"/>
    <x v="6"/>
    <x v="6"/>
    <x v="0"/>
    <x v="3"/>
  </r>
  <r>
    <x v="189"/>
    <x v="10"/>
    <x v="1893"/>
    <x v="1"/>
    <x v="1"/>
    <x v="6"/>
    <x v="6"/>
    <x v="0"/>
    <x v="2"/>
  </r>
  <r>
    <x v="189"/>
    <x v="11"/>
    <x v="1722"/>
    <x v="1"/>
    <x v="1"/>
    <x v="6"/>
    <x v="6"/>
    <x v="0"/>
    <x v="2"/>
  </r>
  <r>
    <x v="189"/>
    <x v="12"/>
    <x v="1763"/>
    <x v="1"/>
    <x v="1"/>
    <x v="6"/>
    <x v="6"/>
    <x v="0"/>
    <x v="2"/>
  </r>
  <r>
    <x v="189"/>
    <x v="13"/>
    <x v="1794"/>
    <x v="1"/>
    <x v="1"/>
    <x v="6"/>
    <x v="6"/>
    <x v="0"/>
    <x v="2"/>
  </r>
  <r>
    <x v="189"/>
    <x v="14"/>
    <x v="2020"/>
    <x v="1"/>
    <x v="1"/>
    <x v="6"/>
    <x v="6"/>
    <x v="0"/>
    <x v="2"/>
  </r>
  <r>
    <x v="189"/>
    <x v="15"/>
    <x v="2217"/>
    <x v="1"/>
    <x v="1"/>
    <x v="6"/>
    <x v="6"/>
    <x v="0"/>
    <x v="2"/>
  </r>
  <r>
    <x v="189"/>
    <x v="16"/>
    <x v="2667"/>
    <x v="1"/>
    <x v="1"/>
    <x v="6"/>
    <x v="6"/>
    <x v="0"/>
    <x v="0"/>
  </r>
  <r>
    <x v="189"/>
    <x v="17"/>
    <x v="3447"/>
    <x v="1"/>
    <x v="1"/>
    <x v="6"/>
    <x v="6"/>
    <x v="0"/>
    <x v="0"/>
  </r>
  <r>
    <x v="189"/>
    <x v="18"/>
    <x v="3824"/>
    <x v="1"/>
    <x v="1"/>
    <x v="6"/>
    <x v="6"/>
    <x v="0"/>
    <x v="0"/>
  </r>
  <r>
    <x v="189"/>
    <x v="19"/>
    <x v="3786"/>
    <x v="1"/>
    <x v="1"/>
    <x v="6"/>
    <x v="6"/>
    <x v="0"/>
    <x v="0"/>
  </r>
  <r>
    <x v="189"/>
    <x v="20"/>
    <x v="3556"/>
    <x v="1"/>
    <x v="1"/>
    <x v="6"/>
    <x v="6"/>
    <x v="0"/>
    <x v="1"/>
  </r>
  <r>
    <x v="189"/>
    <x v="21"/>
    <x v="3484"/>
    <x v="1"/>
    <x v="1"/>
    <x v="6"/>
    <x v="6"/>
    <x v="0"/>
    <x v="1"/>
  </r>
  <r>
    <x v="189"/>
    <x v="22"/>
    <x v="3180"/>
    <x v="1"/>
    <x v="1"/>
    <x v="6"/>
    <x v="6"/>
    <x v="0"/>
    <x v="1"/>
  </r>
  <r>
    <x v="189"/>
    <x v="23"/>
    <x v="2433"/>
    <x v="1"/>
    <x v="1"/>
    <x v="6"/>
    <x v="6"/>
    <x v="0"/>
    <x v="1"/>
  </r>
  <r>
    <x v="190"/>
    <x v="0"/>
    <x v="1492"/>
    <x v="1"/>
    <x v="1"/>
    <x v="6"/>
    <x v="4"/>
    <x v="0"/>
    <x v="4"/>
  </r>
  <r>
    <x v="190"/>
    <x v="1"/>
    <x v="733"/>
    <x v="1"/>
    <x v="1"/>
    <x v="6"/>
    <x v="4"/>
    <x v="0"/>
    <x v="4"/>
  </r>
  <r>
    <x v="190"/>
    <x v="2"/>
    <x v="399"/>
    <x v="1"/>
    <x v="1"/>
    <x v="6"/>
    <x v="4"/>
    <x v="0"/>
    <x v="4"/>
  </r>
  <r>
    <x v="190"/>
    <x v="3"/>
    <x v="247"/>
    <x v="1"/>
    <x v="1"/>
    <x v="6"/>
    <x v="4"/>
    <x v="0"/>
    <x v="4"/>
  </r>
  <r>
    <x v="190"/>
    <x v="4"/>
    <x v="330"/>
    <x v="1"/>
    <x v="1"/>
    <x v="6"/>
    <x v="4"/>
    <x v="0"/>
    <x v="4"/>
  </r>
  <r>
    <x v="190"/>
    <x v="5"/>
    <x v="647"/>
    <x v="1"/>
    <x v="1"/>
    <x v="6"/>
    <x v="4"/>
    <x v="0"/>
    <x v="4"/>
  </r>
  <r>
    <x v="190"/>
    <x v="6"/>
    <x v="1490"/>
    <x v="1"/>
    <x v="1"/>
    <x v="6"/>
    <x v="4"/>
    <x v="0"/>
    <x v="3"/>
  </r>
  <r>
    <x v="190"/>
    <x v="7"/>
    <x v="2526"/>
    <x v="1"/>
    <x v="1"/>
    <x v="6"/>
    <x v="4"/>
    <x v="0"/>
    <x v="3"/>
  </r>
  <r>
    <x v="190"/>
    <x v="8"/>
    <x v="3132"/>
    <x v="1"/>
    <x v="1"/>
    <x v="6"/>
    <x v="4"/>
    <x v="0"/>
    <x v="3"/>
  </r>
  <r>
    <x v="190"/>
    <x v="9"/>
    <x v="2949"/>
    <x v="1"/>
    <x v="1"/>
    <x v="6"/>
    <x v="4"/>
    <x v="0"/>
    <x v="3"/>
  </r>
  <r>
    <x v="190"/>
    <x v="10"/>
    <x v="2244"/>
    <x v="1"/>
    <x v="1"/>
    <x v="6"/>
    <x v="4"/>
    <x v="0"/>
    <x v="2"/>
  </r>
  <r>
    <x v="190"/>
    <x v="11"/>
    <x v="2096"/>
    <x v="1"/>
    <x v="1"/>
    <x v="6"/>
    <x v="4"/>
    <x v="0"/>
    <x v="2"/>
  </r>
  <r>
    <x v="190"/>
    <x v="12"/>
    <x v="2048"/>
    <x v="1"/>
    <x v="1"/>
    <x v="6"/>
    <x v="4"/>
    <x v="0"/>
    <x v="2"/>
  </r>
  <r>
    <x v="190"/>
    <x v="13"/>
    <x v="2103"/>
    <x v="1"/>
    <x v="1"/>
    <x v="6"/>
    <x v="4"/>
    <x v="0"/>
    <x v="2"/>
  </r>
  <r>
    <x v="190"/>
    <x v="14"/>
    <x v="2285"/>
    <x v="1"/>
    <x v="1"/>
    <x v="6"/>
    <x v="4"/>
    <x v="0"/>
    <x v="2"/>
  </r>
  <r>
    <x v="190"/>
    <x v="15"/>
    <x v="2661"/>
    <x v="1"/>
    <x v="1"/>
    <x v="6"/>
    <x v="4"/>
    <x v="0"/>
    <x v="2"/>
  </r>
  <r>
    <x v="190"/>
    <x v="16"/>
    <x v="2960"/>
    <x v="1"/>
    <x v="1"/>
    <x v="6"/>
    <x v="4"/>
    <x v="0"/>
    <x v="0"/>
  </r>
  <r>
    <x v="190"/>
    <x v="17"/>
    <x v="3582"/>
    <x v="1"/>
    <x v="1"/>
    <x v="6"/>
    <x v="4"/>
    <x v="0"/>
    <x v="0"/>
  </r>
  <r>
    <x v="190"/>
    <x v="18"/>
    <x v="3895"/>
    <x v="1"/>
    <x v="1"/>
    <x v="6"/>
    <x v="4"/>
    <x v="0"/>
    <x v="0"/>
  </r>
  <r>
    <x v="190"/>
    <x v="19"/>
    <x v="3913"/>
    <x v="1"/>
    <x v="1"/>
    <x v="6"/>
    <x v="4"/>
    <x v="0"/>
    <x v="0"/>
  </r>
  <r>
    <x v="190"/>
    <x v="20"/>
    <x v="3697"/>
    <x v="1"/>
    <x v="1"/>
    <x v="6"/>
    <x v="4"/>
    <x v="0"/>
    <x v="1"/>
  </r>
  <r>
    <x v="190"/>
    <x v="21"/>
    <x v="3593"/>
    <x v="1"/>
    <x v="1"/>
    <x v="6"/>
    <x v="4"/>
    <x v="0"/>
    <x v="1"/>
  </r>
  <r>
    <x v="190"/>
    <x v="22"/>
    <x v="3523"/>
    <x v="1"/>
    <x v="1"/>
    <x v="6"/>
    <x v="4"/>
    <x v="0"/>
    <x v="1"/>
  </r>
  <r>
    <x v="190"/>
    <x v="23"/>
    <x v="2697"/>
    <x v="1"/>
    <x v="1"/>
    <x v="6"/>
    <x v="4"/>
    <x v="0"/>
    <x v="1"/>
  </r>
  <r>
    <x v="191"/>
    <x v="0"/>
    <x v="1853"/>
    <x v="1"/>
    <x v="1"/>
    <x v="6"/>
    <x v="0"/>
    <x v="0"/>
    <x v="4"/>
  </r>
  <r>
    <x v="191"/>
    <x v="1"/>
    <x v="993"/>
    <x v="1"/>
    <x v="1"/>
    <x v="6"/>
    <x v="0"/>
    <x v="0"/>
    <x v="4"/>
  </r>
  <r>
    <x v="191"/>
    <x v="2"/>
    <x v="497"/>
    <x v="1"/>
    <x v="1"/>
    <x v="6"/>
    <x v="0"/>
    <x v="0"/>
    <x v="4"/>
  </r>
  <r>
    <x v="191"/>
    <x v="3"/>
    <x v="353"/>
    <x v="1"/>
    <x v="1"/>
    <x v="6"/>
    <x v="0"/>
    <x v="0"/>
    <x v="4"/>
  </r>
  <r>
    <x v="191"/>
    <x v="4"/>
    <x v="369"/>
    <x v="1"/>
    <x v="1"/>
    <x v="6"/>
    <x v="0"/>
    <x v="0"/>
    <x v="4"/>
  </r>
  <r>
    <x v="191"/>
    <x v="5"/>
    <x v="664"/>
    <x v="1"/>
    <x v="1"/>
    <x v="6"/>
    <x v="0"/>
    <x v="0"/>
    <x v="4"/>
  </r>
  <r>
    <x v="191"/>
    <x v="6"/>
    <x v="1391"/>
    <x v="1"/>
    <x v="1"/>
    <x v="6"/>
    <x v="0"/>
    <x v="0"/>
    <x v="3"/>
  </r>
  <r>
    <x v="191"/>
    <x v="7"/>
    <x v="2097"/>
    <x v="1"/>
    <x v="1"/>
    <x v="6"/>
    <x v="0"/>
    <x v="0"/>
    <x v="3"/>
  </r>
  <r>
    <x v="191"/>
    <x v="8"/>
    <x v="2423"/>
    <x v="1"/>
    <x v="1"/>
    <x v="6"/>
    <x v="0"/>
    <x v="0"/>
    <x v="3"/>
  </r>
  <r>
    <x v="191"/>
    <x v="9"/>
    <x v="2676"/>
    <x v="1"/>
    <x v="1"/>
    <x v="6"/>
    <x v="0"/>
    <x v="0"/>
    <x v="3"/>
  </r>
  <r>
    <x v="191"/>
    <x v="10"/>
    <x v="2180"/>
    <x v="1"/>
    <x v="1"/>
    <x v="6"/>
    <x v="0"/>
    <x v="0"/>
    <x v="2"/>
  </r>
  <r>
    <x v="191"/>
    <x v="11"/>
    <x v="2037"/>
    <x v="1"/>
    <x v="1"/>
    <x v="6"/>
    <x v="0"/>
    <x v="0"/>
    <x v="2"/>
  </r>
  <r>
    <x v="191"/>
    <x v="12"/>
    <x v="2061"/>
    <x v="1"/>
    <x v="1"/>
    <x v="6"/>
    <x v="0"/>
    <x v="0"/>
    <x v="2"/>
  </r>
  <r>
    <x v="191"/>
    <x v="13"/>
    <x v="2016"/>
    <x v="1"/>
    <x v="1"/>
    <x v="6"/>
    <x v="0"/>
    <x v="0"/>
    <x v="2"/>
  </r>
  <r>
    <x v="191"/>
    <x v="14"/>
    <x v="2166"/>
    <x v="1"/>
    <x v="1"/>
    <x v="6"/>
    <x v="0"/>
    <x v="0"/>
    <x v="2"/>
  </r>
  <r>
    <x v="191"/>
    <x v="15"/>
    <x v="2340"/>
    <x v="1"/>
    <x v="1"/>
    <x v="6"/>
    <x v="0"/>
    <x v="0"/>
    <x v="2"/>
  </r>
  <r>
    <x v="191"/>
    <x v="16"/>
    <x v="2756"/>
    <x v="1"/>
    <x v="1"/>
    <x v="6"/>
    <x v="0"/>
    <x v="0"/>
    <x v="0"/>
  </r>
  <r>
    <x v="191"/>
    <x v="17"/>
    <x v="3399"/>
    <x v="1"/>
    <x v="1"/>
    <x v="6"/>
    <x v="0"/>
    <x v="0"/>
    <x v="0"/>
  </r>
  <r>
    <x v="191"/>
    <x v="18"/>
    <x v="3806"/>
    <x v="1"/>
    <x v="1"/>
    <x v="6"/>
    <x v="0"/>
    <x v="0"/>
    <x v="0"/>
  </r>
  <r>
    <x v="191"/>
    <x v="19"/>
    <x v="4022"/>
    <x v="1"/>
    <x v="1"/>
    <x v="6"/>
    <x v="0"/>
    <x v="0"/>
    <x v="0"/>
  </r>
  <r>
    <x v="191"/>
    <x v="20"/>
    <x v="3756"/>
    <x v="1"/>
    <x v="1"/>
    <x v="6"/>
    <x v="0"/>
    <x v="0"/>
    <x v="1"/>
  </r>
  <r>
    <x v="191"/>
    <x v="21"/>
    <x v="3526"/>
    <x v="1"/>
    <x v="1"/>
    <x v="6"/>
    <x v="0"/>
    <x v="0"/>
    <x v="1"/>
  </r>
  <r>
    <x v="191"/>
    <x v="22"/>
    <x v="3585"/>
    <x v="1"/>
    <x v="1"/>
    <x v="6"/>
    <x v="0"/>
    <x v="0"/>
    <x v="1"/>
  </r>
  <r>
    <x v="191"/>
    <x v="23"/>
    <x v="3659"/>
    <x v="1"/>
    <x v="1"/>
    <x v="6"/>
    <x v="0"/>
    <x v="0"/>
    <x v="1"/>
  </r>
  <r>
    <x v="192"/>
    <x v="0"/>
    <x v="3220"/>
    <x v="1"/>
    <x v="1"/>
    <x v="6"/>
    <x v="2"/>
    <x v="1"/>
    <x v="4"/>
  </r>
  <r>
    <x v="192"/>
    <x v="1"/>
    <x v="2455"/>
    <x v="1"/>
    <x v="1"/>
    <x v="6"/>
    <x v="2"/>
    <x v="1"/>
    <x v="4"/>
  </r>
  <r>
    <x v="192"/>
    <x v="2"/>
    <x v="1815"/>
    <x v="1"/>
    <x v="1"/>
    <x v="6"/>
    <x v="2"/>
    <x v="1"/>
    <x v="4"/>
  </r>
  <r>
    <x v="192"/>
    <x v="3"/>
    <x v="1173"/>
    <x v="1"/>
    <x v="1"/>
    <x v="6"/>
    <x v="2"/>
    <x v="1"/>
    <x v="4"/>
  </r>
  <r>
    <x v="192"/>
    <x v="4"/>
    <x v="797"/>
    <x v="1"/>
    <x v="1"/>
    <x v="6"/>
    <x v="2"/>
    <x v="1"/>
    <x v="4"/>
  </r>
  <r>
    <x v="192"/>
    <x v="5"/>
    <x v="526"/>
    <x v="1"/>
    <x v="1"/>
    <x v="6"/>
    <x v="2"/>
    <x v="1"/>
    <x v="4"/>
  </r>
  <r>
    <x v="192"/>
    <x v="6"/>
    <x v="644"/>
    <x v="1"/>
    <x v="1"/>
    <x v="6"/>
    <x v="2"/>
    <x v="1"/>
    <x v="3"/>
  </r>
  <r>
    <x v="192"/>
    <x v="7"/>
    <x v="800"/>
    <x v="1"/>
    <x v="1"/>
    <x v="6"/>
    <x v="2"/>
    <x v="1"/>
    <x v="3"/>
  </r>
  <r>
    <x v="192"/>
    <x v="8"/>
    <x v="1103"/>
    <x v="1"/>
    <x v="1"/>
    <x v="6"/>
    <x v="2"/>
    <x v="1"/>
    <x v="3"/>
  </r>
  <r>
    <x v="192"/>
    <x v="9"/>
    <x v="1651"/>
    <x v="1"/>
    <x v="1"/>
    <x v="6"/>
    <x v="2"/>
    <x v="1"/>
    <x v="3"/>
  </r>
  <r>
    <x v="192"/>
    <x v="10"/>
    <x v="1948"/>
    <x v="1"/>
    <x v="1"/>
    <x v="6"/>
    <x v="2"/>
    <x v="1"/>
    <x v="2"/>
  </r>
  <r>
    <x v="192"/>
    <x v="11"/>
    <x v="2224"/>
    <x v="1"/>
    <x v="1"/>
    <x v="6"/>
    <x v="2"/>
    <x v="1"/>
    <x v="2"/>
  </r>
  <r>
    <x v="192"/>
    <x v="12"/>
    <x v="2456"/>
    <x v="1"/>
    <x v="1"/>
    <x v="6"/>
    <x v="2"/>
    <x v="1"/>
    <x v="2"/>
  </r>
  <r>
    <x v="192"/>
    <x v="13"/>
    <x v="2538"/>
    <x v="1"/>
    <x v="1"/>
    <x v="6"/>
    <x v="2"/>
    <x v="1"/>
    <x v="2"/>
  </r>
  <r>
    <x v="192"/>
    <x v="14"/>
    <x v="2528"/>
    <x v="1"/>
    <x v="1"/>
    <x v="6"/>
    <x v="2"/>
    <x v="1"/>
    <x v="2"/>
  </r>
  <r>
    <x v="192"/>
    <x v="15"/>
    <x v="2952"/>
    <x v="1"/>
    <x v="1"/>
    <x v="6"/>
    <x v="2"/>
    <x v="1"/>
    <x v="2"/>
  </r>
  <r>
    <x v="192"/>
    <x v="16"/>
    <x v="3293"/>
    <x v="1"/>
    <x v="1"/>
    <x v="6"/>
    <x v="2"/>
    <x v="1"/>
    <x v="0"/>
  </r>
  <r>
    <x v="192"/>
    <x v="17"/>
    <x v="3633"/>
    <x v="1"/>
    <x v="1"/>
    <x v="6"/>
    <x v="2"/>
    <x v="1"/>
    <x v="0"/>
  </r>
  <r>
    <x v="192"/>
    <x v="18"/>
    <x v="3746"/>
    <x v="1"/>
    <x v="1"/>
    <x v="6"/>
    <x v="2"/>
    <x v="1"/>
    <x v="0"/>
  </r>
  <r>
    <x v="192"/>
    <x v="19"/>
    <x v="3989"/>
    <x v="1"/>
    <x v="1"/>
    <x v="6"/>
    <x v="2"/>
    <x v="1"/>
    <x v="0"/>
  </r>
  <r>
    <x v="192"/>
    <x v="20"/>
    <x v="3964"/>
    <x v="1"/>
    <x v="1"/>
    <x v="6"/>
    <x v="2"/>
    <x v="1"/>
    <x v="1"/>
  </r>
  <r>
    <x v="192"/>
    <x v="21"/>
    <x v="3712"/>
    <x v="1"/>
    <x v="1"/>
    <x v="6"/>
    <x v="2"/>
    <x v="1"/>
    <x v="1"/>
  </r>
  <r>
    <x v="192"/>
    <x v="22"/>
    <x v="3886"/>
    <x v="1"/>
    <x v="1"/>
    <x v="6"/>
    <x v="2"/>
    <x v="1"/>
    <x v="1"/>
  </r>
  <r>
    <x v="192"/>
    <x v="23"/>
    <x v="3961"/>
    <x v="1"/>
    <x v="1"/>
    <x v="6"/>
    <x v="2"/>
    <x v="1"/>
    <x v="1"/>
  </r>
  <r>
    <x v="193"/>
    <x v="0"/>
    <x v="3728"/>
    <x v="1"/>
    <x v="1"/>
    <x v="6"/>
    <x v="3"/>
    <x v="1"/>
    <x v="4"/>
  </r>
  <r>
    <x v="193"/>
    <x v="1"/>
    <x v="3159"/>
    <x v="1"/>
    <x v="1"/>
    <x v="6"/>
    <x v="3"/>
    <x v="1"/>
    <x v="4"/>
  </r>
  <r>
    <x v="193"/>
    <x v="2"/>
    <x v="2411"/>
    <x v="1"/>
    <x v="1"/>
    <x v="6"/>
    <x v="3"/>
    <x v="1"/>
    <x v="4"/>
  </r>
  <r>
    <x v="193"/>
    <x v="3"/>
    <x v="1607"/>
    <x v="1"/>
    <x v="1"/>
    <x v="6"/>
    <x v="3"/>
    <x v="1"/>
    <x v="4"/>
  </r>
  <r>
    <x v="193"/>
    <x v="4"/>
    <x v="928"/>
    <x v="1"/>
    <x v="1"/>
    <x v="6"/>
    <x v="3"/>
    <x v="1"/>
    <x v="4"/>
  </r>
  <r>
    <x v="193"/>
    <x v="5"/>
    <x v="583"/>
    <x v="1"/>
    <x v="1"/>
    <x v="6"/>
    <x v="3"/>
    <x v="1"/>
    <x v="4"/>
  </r>
  <r>
    <x v="193"/>
    <x v="6"/>
    <x v="514"/>
    <x v="1"/>
    <x v="1"/>
    <x v="6"/>
    <x v="3"/>
    <x v="1"/>
    <x v="3"/>
  </r>
  <r>
    <x v="193"/>
    <x v="7"/>
    <x v="609"/>
    <x v="1"/>
    <x v="1"/>
    <x v="6"/>
    <x v="3"/>
    <x v="1"/>
    <x v="3"/>
  </r>
  <r>
    <x v="193"/>
    <x v="8"/>
    <x v="931"/>
    <x v="1"/>
    <x v="1"/>
    <x v="6"/>
    <x v="3"/>
    <x v="1"/>
    <x v="3"/>
  </r>
  <r>
    <x v="193"/>
    <x v="9"/>
    <x v="1325"/>
    <x v="1"/>
    <x v="1"/>
    <x v="6"/>
    <x v="3"/>
    <x v="1"/>
    <x v="3"/>
  </r>
  <r>
    <x v="193"/>
    <x v="10"/>
    <x v="1730"/>
    <x v="1"/>
    <x v="1"/>
    <x v="6"/>
    <x v="3"/>
    <x v="1"/>
    <x v="2"/>
  </r>
  <r>
    <x v="193"/>
    <x v="11"/>
    <x v="2114"/>
    <x v="1"/>
    <x v="1"/>
    <x v="6"/>
    <x v="3"/>
    <x v="1"/>
    <x v="2"/>
  </r>
  <r>
    <x v="193"/>
    <x v="12"/>
    <x v="2262"/>
    <x v="1"/>
    <x v="1"/>
    <x v="6"/>
    <x v="3"/>
    <x v="1"/>
    <x v="2"/>
  </r>
  <r>
    <x v="193"/>
    <x v="13"/>
    <x v="2396"/>
    <x v="1"/>
    <x v="1"/>
    <x v="6"/>
    <x v="3"/>
    <x v="1"/>
    <x v="2"/>
  </r>
  <r>
    <x v="193"/>
    <x v="14"/>
    <x v="2368"/>
    <x v="1"/>
    <x v="1"/>
    <x v="6"/>
    <x v="3"/>
    <x v="1"/>
    <x v="2"/>
  </r>
  <r>
    <x v="193"/>
    <x v="15"/>
    <x v="2427"/>
    <x v="1"/>
    <x v="1"/>
    <x v="6"/>
    <x v="3"/>
    <x v="1"/>
    <x v="2"/>
  </r>
  <r>
    <x v="193"/>
    <x v="16"/>
    <x v="2725"/>
    <x v="1"/>
    <x v="1"/>
    <x v="6"/>
    <x v="3"/>
    <x v="1"/>
    <x v="0"/>
  </r>
  <r>
    <x v="193"/>
    <x v="17"/>
    <x v="2845"/>
    <x v="1"/>
    <x v="1"/>
    <x v="6"/>
    <x v="3"/>
    <x v="1"/>
    <x v="0"/>
  </r>
  <r>
    <x v="193"/>
    <x v="18"/>
    <x v="2800"/>
    <x v="1"/>
    <x v="1"/>
    <x v="6"/>
    <x v="3"/>
    <x v="1"/>
    <x v="0"/>
  </r>
  <r>
    <x v="193"/>
    <x v="19"/>
    <x v="2592"/>
    <x v="1"/>
    <x v="1"/>
    <x v="6"/>
    <x v="3"/>
    <x v="1"/>
    <x v="0"/>
  </r>
  <r>
    <x v="193"/>
    <x v="20"/>
    <x v="2122"/>
    <x v="1"/>
    <x v="1"/>
    <x v="6"/>
    <x v="3"/>
    <x v="1"/>
    <x v="1"/>
  </r>
  <r>
    <x v="193"/>
    <x v="21"/>
    <x v="2152"/>
    <x v="1"/>
    <x v="1"/>
    <x v="6"/>
    <x v="3"/>
    <x v="1"/>
    <x v="1"/>
  </r>
  <r>
    <x v="193"/>
    <x v="22"/>
    <x v="2035"/>
    <x v="1"/>
    <x v="1"/>
    <x v="6"/>
    <x v="3"/>
    <x v="1"/>
    <x v="1"/>
  </r>
  <r>
    <x v="193"/>
    <x v="23"/>
    <x v="1748"/>
    <x v="1"/>
    <x v="1"/>
    <x v="6"/>
    <x v="3"/>
    <x v="1"/>
    <x v="1"/>
  </r>
  <r>
    <x v="194"/>
    <x v="0"/>
    <x v="914"/>
    <x v="1"/>
    <x v="1"/>
    <x v="6"/>
    <x v="1"/>
    <x v="0"/>
    <x v="4"/>
  </r>
  <r>
    <x v="194"/>
    <x v="1"/>
    <x v="436"/>
    <x v="1"/>
    <x v="1"/>
    <x v="6"/>
    <x v="1"/>
    <x v="0"/>
    <x v="4"/>
  </r>
  <r>
    <x v="194"/>
    <x v="2"/>
    <x v="228"/>
    <x v="1"/>
    <x v="1"/>
    <x v="6"/>
    <x v="1"/>
    <x v="0"/>
    <x v="4"/>
  </r>
  <r>
    <x v="194"/>
    <x v="3"/>
    <x v="164"/>
    <x v="1"/>
    <x v="1"/>
    <x v="6"/>
    <x v="1"/>
    <x v="0"/>
    <x v="4"/>
  </r>
  <r>
    <x v="194"/>
    <x v="4"/>
    <x v="433"/>
    <x v="1"/>
    <x v="1"/>
    <x v="6"/>
    <x v="1"/>
    <x v="0"/>
    <x v="4"/>
  </r>
  <r>
    <x v="194"/>
    <x v="5"/>
    <x v="914"/>
    <x v="1"/>
    <x v="1"/>
    <x v="6"/>
    <x v="1"/>
    <x v="0"/>
    <x v="4"/>
  </r>
  <r>
    <x v="194"/>
    <x v="6"/>
    <x v="1462"/>
    <x v="1"/>
    <x v="1"/>
    <x v="6"/>
    <x v="1"/>
    <x v="0"/>
    <x v="3"/>
  </r>
  <r>
    <x v="194"/>
    <x v="7"/>
    <x v="2354"/>
    <x v="1"/>
    <x v="1"/>
    <x v="6"/>
    <x v="1"/>
    <x v="0"/>
    <x v="3"/>
  </r>
  <r>
    <x v="194"/>
    <x v="8"/>
    <x v="3055"/>
    <x v="1"/>
    <x v="1"/>
    <x v="6"/>
    <x v="1"/>
    <x v="0"/>
    <x v="3"/>
  </r>
  <r>
    <x v="194"/>
    <x v="9"/>
    <x v="2887"/>
    <x v="1"/>
    <x v="1"/>
    <x v="6"/>
    <x v="1"/>
    <x v="0"/>
    <x v="3"/>
  </r>
  <r>
    <x v="194"/>
    <x v="10"/>
    <x v="2295"/>
    <x v="1"/>
    <x v="1"/>
    <x v="6"/>
    <x v="1"/>
    <x v="0"/>
    <x v="2"/>
  </r>
  <r>
    <x v="194"/>
    <x v="11"/>
    <x v="2113"/>
    <x v="1"/>
    <x v="1"/>
    <x v="6"/>
    <x v="1"/>
    <x v="0"/>
    <x v="2"/>
  </r>
  <r>
    <x v="194"/>
    <x v="12"/>
    <x v="2190"/>
    <x v="1"/>
    <x v="1"/>
    <x v="6"/>
    <x v="1"/>
    <x v="0"/>
    <x v="2"/>
  </r>
  <r>
    <x v="194"/>
    <x v="13"/>
    <x v="2171"/>
    <x v="1"/>
    <x v="1"/>
    <x v="6"/>
    <x v="1"/>
    <x v="0"/>
    <x v="2"/>
  </r>
  <r>
    <x v="194"/>
    <x v="14"/>
    <x v="2447"/>
    <x v="1"/>
    <x v="1"/>
    <x v="6"/>
    <x v="1"/>
    <x v="0"/>
    <x v="2"/>
  </r>
  <r>
    <x v="194"/>
    <x v="15"/>
    <x v="2576"/>
    <x v="1"/>
    <x v="1"/>
    <x v="6"/>
    <x v="1"/>
    <x v="0"/>
    <x v="2"/>
  </r>
  <r>
    <x v="194"/>
    <x v="16"/>
    <x v="2655"/>
    <x v="1"/>
    <x v="1"/>
    <x v="6"/>
    <x v="1"/>
    <x v="0"/>
    <x v="0"/>
  </r>
  <r>
    <x v="194"/>
    <x v="17"/>
    <x v="3019"/>
    <x v="1"/>
    <x v="1"/>
    <x v="6"/>
    <x v="1"/>
    <x v="0"/>
    <x v="0"/>
  </r>
  <r>
    <x v="194"/>
    <x v="18"/>
    <x v="3276"/>
    <x v="1"/>
    <x v="1"/>
    <x v="6"/>
    <x v="1"/>
    <x v="0"/>
    <x v="0"/>
  </r>
  <r>
    <x v="194"/>
    <x v="19"/>
    <x v="3027"/>
    <x v="1"/>
    <x v="1"/>
    <x v="6"/>
    <x v="1"/>
    <x v="0"/>
    <x v="0"/>
  </r>
  <r>
    <x v="194"/>
    <x v="20"/>
    <x v="2774"/>
    <x v="1"/>
    <x v="1"/>
    <x v="6"/>
    <x v="1"/>
    <x v="0"/>
    <x v="1"/>
  </r>
  <r>
    <x v="194"/>
    <x v="21"/>
    <x v="2619"/>
    <x v="1"/>
    <x v="1"/>
    <x v="6"/>
    <x v="1"/>
    <x v="0"/>
    <x v="1"/>
  </r>
  <r>
    <x v="194"/>
    <x v="22"/>
    <x v="2324"/>
    <x v="1"/>
    <x v="1"/>
    <x v="6"/>
    <x v="1"/>
    <x v="0"/>
    <x v="1"/>
  </r>
  <r>
    <x v="194"/>
    <x v="23"/>
    <x v="1645"/>
    <x v="1"/>
    <x v="1"/>
    <x v="6"/>
    <x v="1"/>
    <x v="0"/>
    <x v="1"/>
  </r>
  <r>
    <x v="195"/>
    <x v="0"/>
    <x v="1350"/>
    <x v="1"/>
    <x v="1"/>
    <x v="6"/>
    <x v="5"/>
    <x v="0"/>
    <x v="4"/>
  </r>
  <r>
    <x v="195"/>
    <x v="1"/>
    <x v="504"/>
    <x v="1"/>
    <x v="1"/>
    <x v="6"/>
    <x v="5"/>
    <x v="0"/>
    <x v="4"/>
  </r>
  <r>
    <x v="195"/>
    <x v="2"/>
    <x v="267"/>
    <x v="1"/>
    <x v="1"/>
    <x v="6"/>
    <x v="5"/>
    <x v="0"/>
    <x v="4"/>
  </r>
  <r>
    <x v="195"/>
    <x v="3"/>
    <x v="169"/>
    <x v="1"/>
    <x v="1"/>
    <x v="6"/>
    <x v="5"/>
    <x v="0"/>
    <x v="4"/>
  </r>
  <r>
    <x v="195"/>
    <x v="4"/>
    <x v="297"/>
    <x v="1"/>
    <x v="1"/>
    <x v="6"/>
    <x v="5"/>
    <x v="0"/>
    <x v="4"/>
  </r>
  <r>
    <x v="195"/>
    <x v="5"/>
    <x v="592"/>
    <x v="1"/>
    <x v="1"/>
    <x v="6"/>
    <x v="5"/>
    <x v="0"/>
    <x v="4"/>
  </r>
  <r>
    <x v="195"/>
    <x v="6"/>
    <x v="1279"/>
    <x v="1"/>
    <x v="1"/>
    <x v="6"/>
    <x v="5"/>
    <x v="0"/>
    <x v="3"/>
  </r>
  <r>
    <x v="195"/>
    <x v="7"/>
    <x v="2193"/>
    <x v="1"/>
    <x v="1"/>
    <x v="6"/>
    <x v="5"/>
    <x v="0"/>
    <x v="3"/>
  </r>
  <r>
    <x v="195"/>
    <x v="8"/>
    <x v="2822"/>
    <x v="1"/>
    <x v="1"/>
    <x v="6"/>
    <x v="5"/>
    <x v="0"/>
    <x v="3"/>
  </r>
  <r>
    <x v="195"/>
    <x v="9"/>
    <x v="2648"/>
    <x v="1"/>
    <x v="1"/>
    <x v="6"/>
    <x v="5"/>
    <x v="0"/>
    <x v="3"/>
  </r>
  <r>
    <x v="195"/>
    <x v="10"/>
    <x v="2014"/>
    <x v="1"/>
    <x v="1"/>
    <x v="6"/>
    <x v="5"/>
    <x v="0"/>
    <x v="2"/>
  </r>
  <r>
    <x v="195"/>
    <x v="11"/>
    <x v="1966"/>
    <x v="1"/>
    <x v="1"/>
    <x v="6"/>
    <x v="5"/>
    <x v="0"/>
    <x v="2"/>
  </r>
  <r>
    <x v="195"/>
    <x v="12"/>
    <x v="1946"/>
    <x v="1"/>
    <x v="1"/>
    <x v="6"/>
    <x v="5"/>
    <x v="0"/>
    <x v="2"/>
  </r>
  <r>
    <x v="195"/>
    <x v="13"/>
    <x v="1970"/>
    <x v="1"/>
    <x v="1"/>
    <x v="6"/>
    <x v="5"/>
    <x v="0"/>
    <x v="2"/>
  </r>
  <r>
    <x v="195"/>
    <x v="14"/>
    <x v="2296"/>
    <x v="1"/>
    <x v="1"/>
    <x v="6"/>
    <x v="5"/>
    <x v="0"/>
    <x v="2"/>
  </r>
  <r>
    <x v="195"/>
    <x v="15"/>
    <x v="2547"/>
    <x v="1"/>
    <x v="1"/>
    <x v="6"/>
    <x v="5"/>
    <x v="0"/>
    <x v="2"/>
  </r>
  <r>
    <x v="195"/>
    <x v="16"/>
    <x v="2845"/>
    <x v="1"/>
    <x v="1"/>
    <x v="6"/>
    <x v="5"/>
    <x v="0"/>
    <x v="0"/>
  </r>
  <r>
    <x v="195"/>
    <x v="17"/>
    <x v="3467"/>
    <x v="1"/>
    <x v="1"/>
    <x v="6"/>
    <x v="5"/>
    <x v="0"/>
    <x v="0"/>
  </r>
  <r>
    <x v="195"/>
    <x v="18"/>
    <x v="3807"/>
    <x v="1"/>
    <x v="1"/>
    <x v="6"/>
    <x v="5"/>
    <x v="0"/>
    <x v="0"/>
  </r>
  <r>
    <x v="195"/>
    <x v="19"/>
    <x v="3628"/>
    <x v="1"/>
    <x v="1"/>
    <x v="6"/>
    <x v="5"/>
    <x v="0"/>
    <x v="0"/>
  </r>
  <r>
    <x v="195"/>
    <x v="20"/>
    <x v="3464"/>
    <x v="1"/>
    <x v="1"/>
    <x v="6"/>
    <x v="5"/>
    <x v="0"/>
    <x v="1"/>
  </r>
  <r>
    <x v="195"/>
    <x v="21"/>
    <x v="3398"/>
    <x v="1"/>
    <x v="1"/>
    <x v="6"/>
    <x v="5"/>
    <x v="0"/>
    <x v="1"/>
  </r>
  <r>
    <x v="195"/>
    <x v="22"/>
    <x v="2993"/>
    <x v="1"/>
    <x v="1"/>
    <x v="6"/>
    <x v="5"/>
    <x v="0"/>
    <x v="1"/>
  </r>
  <r>
    <x v="195"/>
    <x v="23"/>
    <x v="2212"/>
    <x v="1"/>
    <x v="1"/>
    <x v="6"/>
    <x v="5"/>
    <x v="0"/>
    <x v="1"/>
  </r>
  <r>
    <x v="196"/>
    <x v="0"/>
    <x v="1320"/>
    <x v="1"/>
    <x v="1"/>
    <x v="6"/>
    <x v="6"/>
    <x v="0"/>
    <x v="4"/>
  </r>
  <r>
    <x v="196"/>
    <x v="1"/>
    <x v="683"/>
    <x v="1"/>
    <x v="1"/>
    <x v="6"/>
    <x v="6"/>
    <x v="0"/>
    <x v="4"/>
  </r>
  <r>
    <x v="196"/>
    <x v="2"/>
    <x v="384"/>
    <x v="1"/>
    <x v="1"/>
    <x v="6"/>
    <x v="6"/>
    <x v="0"/>
    <x v="4"/>
  </r>
  <r>
    <x v="196"/>
    <x v="3"/>
    <x v="241"/>
    <x v="1"/>
    <x v="1"/>
    <x v="6"/>
    <x v="6"/>
    <x v="0"/>
    <x v="4"/>
  </r>
  <r>
    <x v="196"/>
    <x v="4"/>
    <x v="425"/>
    <x v="1"/>
    <x v="1"/>
    <x v="6"/>
    <x v="6"/>
    <x v="0"/>
    <x v="4"/>
  </r>
  <r>
    <x v="196"/>
    <x v="5"/>
    <x v="715"/>
    <x v="1"/>
    <x v="1"/>
    <x v="6"/>
    <x v="6"/>
    <x v="0"/>
    <x v="4"/>
  </r>
  <r>
    <x v="196"/>
    <x v="6"/>
    <x v="1461"/>
    <x v="1"/>
    <x v="1"/>
    <x v="6"/>
    <x v="6"/>
    <x v="0"/>
    <x v="3"/>
  </r>
  <r>
    <x v="196"/>
    <x v="7"/>
    <x v="2425"/>
    <x v="1"/>
    <x v="1"/>
    <x v="6"/>
    <x v="6"/>
    <x v="0"/>
    <x v="3"/>
  </r>
  <r>
    <x v="196"/>
    <x v="8"/>
    <x v="2990"/>
    <x v="1"/>
    <x v="1"/>
    <x v="6"/>
    <x v="6"/>
    <x v="0"/>
    <x v="3"/>
  </r>
  <r>
    <x v="196"/>
    <x v="9"/>
    <x v="2791"/>
    <x v="1"/>
    <x v="1"/>
    <x v="6"/>
    <x v="6"/>
    <x v="0"/>
    <x v="3"/>
  </r>
  <r>
    <x v="196"/>
    <x v="10"/>
    <x v="2069"/>
    <x v="1"/>
    <x v="1"/>
    <x v="6"/>
    <x v="6"/>
    <x v="0"/>
    <x v="2"/>
  </r>
  <r>
    <x v="196"/>
    <x v="11"/>
    <x v="2051"/>
    <x v="1"/>
    <x v="1"/>
    <x v="6"/>
    <x v="6"/>
    <x v="0"/>
    <x v="2"/>
  </r>
  <r>
    <x v="196"/>
    <x v="12"/>
    <x v="2055"/>
    <x v="1"/>
    <x v="1"/>
    <x v="6"/>
    <x v="6"/>
    <x v="0"/>
    <x v="2"/>
  </r>
  <r>
    <x v="196"/>
    <x v="13"/>
    <x v="1938"/>
    <x v="1"/>
    <x v="1"/>
    <x v="6"/>
    <x v="6"/>
    <x v="0"/>
    <x v="2"/>
  </r>
  <r>
    <x v="196"/>
    <x v="14"/>
    <x v="2240"/>
    <x v="1"/>
    <x v="1"/>
    <x v="6"/>
    <x v="6"/>
    <x v="0"/>
    <x v="2"/>
  </r>
  <r>
    <x v="196"/>
    <x v="15"/>
    <x v="2413"/>
    <x v="1"/>
    <x v="1"/>
    <x v="6"/>
    <x v="6"/>
    <x v="0"/>
    <x v="2"/>
  </r>
  <r>
    <x v="196"/>
    <x v="16"/>
    <x v="2813"/>
    <x v="1"/>
    <x v="1"/>
    <x v="6"/>
    <x v="6"/>
    <x v="0"/>
    <x v="0"/>
  </r>
  <r>
    <x v="196"/>
    <x v="17"/>
    <x v="3306"/>
    <x v="1"/>
    <x v="1"/>
    <x v="6"/>
    <x v="6"/>
    <x v="0"/>
    <x v="0"/>
  </r>
  <r>
    <x v="196"/>
    <x v="18"/>
    <x v="3661"/>
    <x v="1"/>
    <x v="1"/>
    <x v="6"/>
    <x v="6"/>
    <x v="0"/>
    <x v="0"/>
  </r>
  <r>
    <x v="196"/>
    <x v="19"/>
    <x v="3563"/>
    <x v="1"/>
    <x v="1"/>
    <x v="6"/>
    <x v="6"/>
    <x v="0"/>
    <x v="0"/>
  </r>
  <r>
    <x v="196"/>
    <x v="20"/>
    <x v="3242"/>
    <x v="1"/>
    <x v="1"/>
    <x v="6"/>
    <x v="6"/>
    <x v="0"/>
    <x v="1"/>
  </r>
  <r>
    <x v="196"/>
    <x v="21"/>
    <x v="3249"/>
    <x v="1"/>
    <x v="1"/>
    <x v="6"/>
    <x v="6"/>
    <x v="0"/>
    <x v="1"/>
  </r>
  <r>
    <x v="196"/>
    <x v="22"/>
    <x v="2938"/>
    <x v="1"/>
    <x v="1"/>
    <x v="6"/>
    <x v="6"/>
    <x v="0"/>
    <x v="1"/>
  </r>
  <r>
    <x v="196"/>
    <x v="23"/>
    <x v="2267"/>
    <x v="1"/>
    <x v="1"/>
    <x v="6"/>
    <x v="6"/>
    <x v="0"/>
    <x v="1"/>
  </r>
  <r>
    <x v="197"/>
    <x v="0"/>
    <x v="1373"/>
    <x v="1"/>
    <x v="1"/>
    <x v="6"/>
    <x v="4"/>
    <x v="0"/>
    <x v="4"/>
  </r>
  <r>
    <x v="197"/>
    <x v="1"/>
    <x v="744"/>
    <x v="1"/>
    <x v="1"/>
    <x v="6"/>
    <x v="4"/>
    <x v="0"/>
    <x v="4"/>
  </r>
  <r>
    <x v="197"/>
    <x v="2"/>
    <x v="385"/>
    <x v="1"/>
    <x v="1"/>
    <x v="6"/>
    <x v="4"/>
    <x v="0"/>
    <x v="4"/>
  </r>
  <r>
    <x v="197"/>
    <x v="3"/>
    <x v="269"/>
    <x v="1"/>
    <x v="1"/>
    <x v="6"/>
    <x v="4"/>
    <x v="0"/>
    <x v="4"/>
  </r>
  <r>
    <x v="197"/>
    <x v="4"/>
    <x v="408"/>
    <x v="1"/>
    <x v="1"/>
    <x v="6"/>
    <x v="4"/>
    <x v="0"/>
    <x v="4"/>
  </r>
  <r>
    <x v="197"/>
    <x v="5"/>
    <x v="768"/>
    <x v="1"/>
    <x v="1"/>
    <x v="6"/>
    <x v="4"/>
    <x v="0"/>
    <x v="4"/>
  </r>
  <r>
    <x v="197"/>
    <x v="6"/>
    <x v="1461"/>
    <x v="1"/>
    <x v="1"/>
    <x v="6"/>
    <x v="4"/>
    <x v="0"/>
    <x v="3"/>
  </r>
  <r>
    <x v="197"/>
    <x v="7"/>
    <x v="2331"/>
    <x v="1"/>
    <x v="1"/>
    <x v="6"/>
    <x v="4"/>
    <x v="0"/>
    <x v="3"/>
  </r>
  <r>
    <x v="197"/>
    <x v="8"/>
    <x v="2935"/>
    <x v="1"/>
    <x v="1"/>
    <x v="6"/>
    <x v="4"/>
    <x v="0"/>
    <x v="3"/>
  </r>
  <r>
    <x v="197"/>
    <x v="9"/>
    <x v="2692"/>
    <x v="1"/>
    <x v="1"/>
    <x v="6"/>
    <x v="4"/>
    <x v="0"/>
    <x v="3"/>
  </r>
  <r>
    <x v="197"/>
    <x v="10"/>
    <x v="2028"/>
    <x v="1"/>
    <x v="1"/>
    <x v="6"/>
    <x v="4"/>
    <x v="0"/>
    <x v="2"/>
  </r>
  <r>
    <x v="197"/>
    <x v="11"/>
    <x v="1893"/>
    <x v="1"/>
    <x v="1"/>
    <x v="6"/>
    <x v="4"/>
    <x v="0"/>
    <x v="2"/>
  </r>
  <r>
    <x v="197"/>
    <x v="12"/>
    <x v="1968"/>
    <x v="1"/>
    <x v="1"/>
    <x v="6"/>
    <x v="4"/>
    <x v="0"/>
    <x v="2"/>
  </r>
  <r>
    <x v="197"/>
    <x v="13"/>
    <x v="1959"/>
    <x v="1"/>
    <x v="1"/>
    <x v="6"/>
    <x v="4"/>
    <x v="0"/>
    <x v="2"/>
  </r>
  <r>
    <x v="197"/>
    <x v="14"/>
    <x v="2147"/>
    <x v="1"/>
    <x v="1"/>
    <x v="6"/>
    <x v="4"/>
    <x v="0"/>
    <x v="2"/>
  </r>
  <r>
    <x v="197"/>
    <x v="15"/>
    <x v="2499"/>
    <x v="1"/>
    <x v="1"/>
    <x v="6"/>
    <x v="4"/>
    <x v="0"/>
    <x v="2"/>
  </r>
  <r>
    <x v="197"/>
    <x v="16"/>
    <x v="2887"/>
    <x v="1"/>
    <x v="1"/>
    <x v="6"/>
    <x v="4"/>
    <x v="0"/>
    <x v="0"/>
  </r>
  <r>
    <x v="197"/>
    <x v="17"/>
    <x v="3379"/>
    <x v="1"/>
    <x v="1"/>
    <x v="6"/>
    <x v="4"/>
    <x v="0"/>
    <x v="0"/>
  </r>
  <r>
    <x v="197"/>
    <x v="18"/>
    <x v="3739"/>
    <x v="1"/>
    <x v="1"/>
    <x v="6"/>
    <x v="4"/>
    <x v="0"/>
    <x v="0"/>
  </r>
  <r>
    <x v="197"/>
    <x v="19"/>
    <x v="3721"/>
    <x v="1"/>
    <x v="1"/>
    <x v="6"/>
    <x v="4"/>
    <x v="0"/>
    <x v="0"/>
  </r>
  <r>
    <x v="197"/>
    <x v="20"/>
    <x v="3542"/>
    <x v="1"/>
    <x v="1"/>
    <x v="6"/>
    <x v="4"/>
    <x v="0"/>
    <x v="1"/>
  </r>
  <r>
    <x v="197"/>
    <x v="21"/>
    <x v="3577"/>
    <x v="1"/>
    <x v="1"/>
    <x v="6"/>
    <x v="4"/>
    <x v="0"/>
    <x v="1"/>
  </r>
  <r>
    <x v="197"/>
    <x v="22"/>
    <x v="3396"/>
    <x v="1"/>
    <x v="1"/>
    <x v="6"/>
    <x v="4"/>
    <x v="0"/>
    <x v="1"/>
  </r>
  <r>
    <x v="197"/>
    <x v="23"/>
    <x v="2824"/>
    <x v="1"/>
    <x v="1"/>
    <x v="6"/>
    <x v="4"/>
    <x v="0"/>
    <x v="1"/>
  </r>
  <r>
    <x v="198"/>
    <x v="0"/>
    <x v="1867"/>
    <x v="1"/>
    <x v="1"/>
    <x v="6"/>
    <x v="0"/>
    <x v="0"/>
    <x v="4"/>
  </r>
  <r>
    <x v="198"/>
    <x v="1"/>
    <x v="1038"/>
    <x v="1"/>
    <x v="1"/>
    <x v="6"/>
    <x v="0"/>
    <x v="0"/>
    <x v="4"/>
  </r>
  <r>
    <x v="198"/>
    <x v="2"/>
    <x v="610"/>
    <x v="1"/>
    <x v="1"/>
    <x v="6"/>
    <x v="0"/>
    <x v="0"/>
    <x v="4"/>
  </r>
  <r>
    <x v="198"/>
    <x v="3"/>
    <x v="438"/>
    <x v="1"/>
    <x v="1"/>
    <x v="6"/>
    <x v="0"/>
    <x v="0"/>
    <x v="4"/>
  </r>
  <r>
    <x v="198"/>
    <x v="4"/>
    <x v="586"/>
    <x v="1"/>
    <x v="1"/>
    <x v="6"/>
    <x v="0"/>
    <x v="0"/>
    <x v="4"/>
  </r>
  <r>
    <x v="198"/>
    <x v="5"/>
    <x v="883"/>
    <x v="1"/>
    <x v="1"/>
    <x v="6"/>
    <x v="0"/>
    <x v="0"/>
    <x v="4"/>
  </r>
  <r>
    <x v="198"/>
    <x v="6"/>
    <x v="1397"/>
    <x v="1"/>
    <x v="1"/>
    <x v="6"/>
    <x v="0"/>
    <x v="0"/>
    <x v="3"/>
  </r>
  <r>
    <x v="198"/>
    <x v="7"/>
    <x v="2172"/>
    <x v="1"/>
    <x v="1"/>
    <x v="6"/>
    <x v="0"/>
    <x v="0"/>
    <x v="3"/>
  </r>
  <r>
    <x v="198"/>
    <x v="8"/>
    <x v="2746"/>
    <x v="1"/>
    <x v="1"/>
    <x v="6"/>
    <x v="0"/>
    <x v="0"/>
    <x v="3"/>
  </r>
  <r>
    <x v="198"/>
    <x v="9"/>
    <x v="2593"/>
    <x v="1"/>
    <x v="1"/>
    <x v="6"/>
    <x v="0"/>
    <x v="0"/>
    <x v="3"/>
  </r>
  <r>
    <x v="198"/>
    <x v="10"/>
    <x v="2059"/>
    <x v="1"/>
    <x v="1"/>
    <x v="6"/>
    <x v="0"/>
    <x v="0"/>
    <x v="2"/>
  </r>
  <r>
    <x v="198"/>
    <x v="11"/>
    <x v="1901"/>
    <x v="1"/>
    <x v="1"/>
    <x v="6"/>
    <x v="0"/>
    <x v="0"/>
    <x v="2"/>
  </r>
  <r>
    <x v="198"/>
    <x v="12"/>
    <x v="2016"/>
    <x v="1"/>
    <x v="1"/>
    <x v="6"/>
    <x v="0"/>
    <x v="0"/>
    <x v="2"/>
  </r>
  <r>
    <x v="198"/>
    <x v="13"/>
    <x v="1955"/>
    <x v="1"/>
    <x v="1"/>
    <x v="6"/>
    <x v="0"/>
    <x v="0"/>
    <x v="2"/>
  </r>
  <r>
    <x v="198"/>
    <x v="14"/>
    <x v="2233"/>
    <x v="1"/>
    <x v="1"/>
    <x v="6"/>
    <x v="0"/>
    <x v="0"/>
    <x v="2"/>
  </r>
  <r>
    <x v="198"/>
    <x v="15"/>
    <x v="2475"/>
    <x v="1"/>
    <x v="1"/>
    <x v="6"/>
    <x v="0"/>
    <x v="0"/>
    <x v="2"/>
  </r>
  <r>
    <x v="198"/>
    <x v="16"/>
    <x v="2939"/>
    <x v="1"/>
    <x v="1"/>
    <x v="6"/>
    <x v="0"/>
    <x v="0"/>
    <x v="0"/>
  </r>
  <r>
    <x v="198"/>
    <x v="17"/>
    <x v="3497"/>
    <x v="1"/>
    <x v="1"/>
    <x v="6"/>
    <x v="0"/>
    <x v="0"/>
    <x v="0"/>
  </r>
  <r>
    <x v="198"/>
    <x v="18"/>
    <x v="3782"/>
    <x v="1"/>
    <x v="1"/>
    <x v="6"/>
    <x v="0"/>
    <x v="0"/>
    <x v="0"/>
  </r>
  <r>
    <x v="198"/>
    <x v="19"/>
    <x v="3978"/>
    <x v="1"/>
    <x v="1"/>
    <x v="6"/>
    <x v="0"/>
    <x v="0"/>
    <x v="0"/>
  </r>
  <r>
    <x v="198"/>
    <x v="20"/>
    <x v="3778"/>
    <x v="1"/>
    <x v="1"/>
    <x v="6"/>
    <x v="0"/>
    <x v="0"/>
    <x v="1"/>
  </r>
  <r>
    <x v="198"/>
    <x v="21"/>
    <x v="3619"/>
    <x v="1"/>
    <x v="1"/>
    <x v="6"/>
    <x v="0"/>
    <x v="0"/>
    <x v="1"/>
  </r>
  <r>
    <x v="198"/>
    <x v="22"/>
    <x v="3686"/>
    <x v="1"/>
    <x v="1"/>
    <x v="6"/>
    <x v="0"/>
    <x v="0"/>
    <x v="1"/>
  </r>
  <r>
    <x v="198"/>
    <x v="23"/>
    <x v="3706"/>
    <x v="1"/>
    <x v="1"/>
    <x v="6"/>
    <x v="0"/>
    <x v="0"/>
    <x v="1"/>
  </r>
  <r>
    <x v="199"/>
    <x v="0"/>
    <x v="3403"/>
    <x v="1"/>
    <x v="1"/>
    <x v="6"/>
    <x v="2"/>
    <x v="1"/>
    <x v="4"/>
  </r>
  <r>
    <x v="199"/>
    <x v="1"/>
    <x v="2487"/>
    <x v="1"/>
    <x v="1"/>
    <x v="6"/>
    <x v="2"/>
    <x v="1"/>
    <x v="4"/>
  </r>
  <r>
    <x v="199"/>
    <x v="2"/>
    <x v="1884"/>
    <x v="1"/>
    <x v="1"/>
    <x v="6"/>
    <x v="2"/>
    <x v="1"/>
    <x v="4"/>
  </r>
  <r>
    <x v="199"/>
    <x v="3"/>
    <x v="1279"/>
    <x v="1"/>
    <x v="1"/>
    <x v="6"/>
    <x v="2"/>
    <x v="1"/>
    <x v="4"/>
  </r>
  <r>
    <x v="199"/>
    <x v="4"/>
    <x v="959"/>
    <x v="1"/>
    <x v="1"/>
    <x v="6"/>
    <x v="2"/>
    <x v="1"/>
    <x v="4"/>
  </r>
  <r>
    <x v="199"/>
    <x v="5"/>
    <x v="711"/>
    <x v="1"/>
    <x v="1"/>
    <x v="6"/>
    <x v="2"/>
    <x v="1"/>
    <x v="4"/>
  </r>
  <r>
    <x v="199"/>
    <x v="6"/>
    <x v="742"/>
    <x v="1"/>
    <x v="1"/>
    <x v="6"/>
    <x v="2"/>
    <x v="1"/>
    <x v="3"/>
  </r>
  <r>
    <x v="199"/>
    <x v="7"/>
    <x v="824"/>
    <x v="1"/>
    <x v="1"/>
    <x v="6"/>
    <x v="2"/>
    <x v="1"/>
    <x v="3"/>
  </r>
  <r>
    <x v="199"/>
    <x v="8"/>
    <x v="1181"/>
    <x v="1"/>
    <x v="1"/>
    <x v="6"/>
    <x v="2"/>
    <x v="1"/>
    <x v="3"/>
  </r>
  <r>
    <x v="199"/>
    <x v="9"/>
    <x v="1639"/>
    <x v="1"/>
    <x v="1"/>
    <x v="6"/>
    <x v="2"/>
    <x v="1"/>
    <x v="3"/>
  </r>
  <r>
    <x v="199"/>
    <x v="10"/>
    <x v="1945"/>
    <x v="1"/>
    <x v="1"/>
    <x v="6"/>
    <x v="2"/>
    <x v="1"/>
    <x v="2"/>
  </r>
  <r>
    <x v="199"/>
    <x v="11"/>
    <x v="2221"/>
    <x v="1"/>
    <x v="1"/>
    <x v="6"/>
    <x v="2"/>
    <x v="1"/>
    <x v="2"/>
  </r>
  <r>
    <x v="199"/>
    <x v="12"/>
    <x v="2391"/>
    <x v="1"/>
    <x v="1"/>
    <x v="6"/>
    <x v="2"/>
    <x v="1"/>
    <x v="2"/>
  </r>
  <r>
    <x v="199"/>
    <x v="13"/>
    <x v="2434"/>
    <x v="1"/>
    <x v="1"/>
    <x v="6"/>
    <x v="2"/>
    <x v="1"/>
    <x v="2"/>
  </r>
  <r>
    <x v="199"/>
    <x v="14"/>
    <x v="2394"/>
    <x v="1"/>
    <x v="1"/>
    <x v="6"/>
    <x v="2"/>
    <x v="1"/>
    <x v="2"/>
  </r>
  <r>
    <x v="199"/>
    <x v="15"/>
    <x v="2532"/>
    <x v="1"/>
    <x v="1"/>
    <x v="6"/>
    <x v="2"/>
    <x v="1"/>
    <x v="2"/>
  </r>
  <r>
    <x v="199"/>
    <x v="16"/>
    <x v="2961"/>
    <x v="1"/>
    <x v="1"/>
    <x v="6"/>
    <x v="2"/>
    <x v="1"/>
    <x v="0"/>
  </r>
  <r>
    <x v="199"/>
    <x v="17"/>
    <x v="3432"/>
    <x v="1"/>
    <x v="1"/>
    <x v="6"/>
    <x v="2"/>
    <x v="1"/>
    <x v="0"/>
  </r>
  <r>
    <x v="199"/>
    <x v="18"/>
    <x v="3676"/>
    <x v="1"/>
    <x v="1"/>
    <x v="6"/>
    <x v="2"/>
    <x v="1"/>
    <x v="0"/>
  </r>
  <r>
    <x v="199"/>
    <x v="19"/>
    <x v="3855"/>
    <x v="1"/>
    <x v="1"/>
    <x v="6"/>
    <x v="2"/>
    <x v="1"/>
    <x v="0"/>
  </r>
  <r>
    <x v="199"/>
    <x v="20"/>
    <x v="3642"/>
    <x v="1"/>
    <x v="1"/>
    <x v="6"/>
    <x v="2"/>
    <x v="1"/>
    <x v="1"/>
  </r>
  <r>
    <x v="199"/>
    <x v="21"/>
    <x v="3437"/>
    <x v="1"/>
    <x v="1"/>
    <x v="6"/>
    <x v="2"/>
    <x v="1"/>
    <x v="1"/>
  </r>
  <r>
    <x v="199"/>
    <x v="22"/>
    <x v="3655"/>
    <x v="1"/>
    <x v="1"/>
    <x v="6"/>
    <x v="2"/>
    <x v="1"/>
    <x v="1"/>
  </r>
  <r>
    <x v="199"/>
    <x v="23"/>
    <x v="3704"/>
    <x v="1"/>
    <x v="1"/>
    <x v="6"/>
    <x v="2"/>
    <x v="1"/>
    <x v="1"/>
  </r>
  <r>
    <x v="200"/>
    <x v="0"/>
    <x v="3475"/>
    <x v="1"/>
    <x v="1"/>
    <x v="6"/>
    <x v="3"/>
    <x v="1"/>
    <x v="4"/>
  </r>
  <r>
    <x v="200"/>
    <x v="1"/>
    <x v="2806"/>
    <x v="1"/>
    <x v="1"/>
    <x v="6"/>
    <x v="3"/>
    <x v="1"/>
    <x v="4"/>
  </r>
  <r>
    <x v="200"/>
    <x v="2"/>
    <x v="2247"/>
    <x v="1"/>
    <x v="1"/>
    <x v="6"/>
    <x v="3"/>
    <x v="1"/>
    <x v="4"/>
  </r>
  <r>
    <x v="200"/>
    <x v="3"/>
    <x v="1646"/>
    <x v="1"/>
    <x v="1"/>
    <x v="6"/>
    <x v="3"/>
    <x v="1"/>
    <x v="4"/>
  </r>
  <r>
    <x v="200"/>
    <x v="4"/>
    <x v="992"/>
    <x v="1"/>
    <x v="1"/>
    <x v="6"/>
    <x v="3"/>
    <x v="1"/>
    <x v="4"/>
  </r>
  <r>
    <x v="200"/>
    <x v="5"/>
    <x v="596"/>
    <x v="1"/>
    <x v="1"/>
    <x v="6"/>
    <x v="3"/>
    <x v="1"/>
    <x v="4"/>
  </r>
  <r>
    <x v="200"/>
    <x v="6"/>
    <x v="476"/>
    <x v="1"/>
    <x v="1"/>
    <x v="6"/>
    <x v="3"/>
    <x v="1"/>
    <x v="3"/>
  </r>
  <r>
    <x v="200"/>
    <x v="7"/>
    <x v="597"/>
    <x v="1"/>
    <x v="1"/>
    <x v="6"/>
    <x v="3"/>
    <x v="1"/>
    <x v="3"/>
  </r>
  <r>
    <x v="200"/>
    <x v="8"/>
    <x v="899"/>
    <x v="1"/>
    <x v="1"/>
    <x v="6"/>
    <x v="3"/>
    <x v="1"/>
    <x v="3"/>
  </r>
  <r>
    <x v="200"/>
    <x v="9"/>
    <x v="1479"/>
    <x v="1"/>
    <x v="1"/>
    <x v="6"/>
    <x v="3"/>
    <x v="1"/>
    <x v="3"/>
  </r>
  <r>
    <x v="200"/>
    <x v="10"/>
    <x v="2188"/>
    <x v="1"/>
    <x v="1"/>
    <x v="6"/>
    <x v="3"/>
    <x v="1"/>
    <x v="2"/>
  </r>
  <r>
    <x v="200"/>
    <x v="11"/>
    <x v="2851"/>
    <x v="1"/>
    <x v="1"/>
    <x v="6"/>
    <x v="3"/>
    <x v="1"/>
    <x v="2"/>
  </r>
  <r>
    <x v="200"/>
    <x v="12"/>
    <x v="3261"/>
    <x v="1"/>
    <x v="1"/>
    <x v="6"/>
    <x v="3"/>
    <x v="1"/>
    <x v="2"/>
  </r>
  <r>
    <x v="200"/>
    <x v="13"/>
    <x v="3365"/>
    <x v="1"/>
    <x v="1"/>
    <x v="6"/>
    <x v="3"/>
    <x v="1"/>
    <x v="2"/>
  </r>
  <r>
    <x v="200"/>
    <x v="14"/>
    <x v="3616"/>
    <x v="1"/>
    <x v="1"/>
    <x v="6"/>
    <x v="3"/>
    <x v="1"/>
    <x v="2"/>
  </r>
  <r>
    <x v="200"/>
    <x v="15"/>
    <x v="3594"/>
    <x v="1"/>
    <x v="1"/>
    <x v="6"/>
    <x v="3"/>
    <x v="1"/>
    <x v="2"/>
  </r>
  <r>
    <x v="200"/>
    <x v="16"/>
    <x v="3525"/>
    <x v="1"/>
    <x v="1"/>
    <x v="6"/>
    <x v="3"/>
    <x v="1"/>
    <x v="0"/>
  </r>
  <r>
    <x v="200"/>
    <x v="17"/>
    <x v="3495"/>
    <x v="1"/>
    <x v="1"/>
    <x v="6"/>
    <x v="3"/>
    <x v="1"/>
    <x v="0"/>
  </r>
  <r>
    <x v="200"/>
    <x v="18"/>
    <x v="3532"/>
    <x v="1"/>
    <x v="1"/>
    <x v="6"/>
    <x v="3"/>
    <x v="1"/>
    <x v="0"/>
  </r>
  <r>
    <x v="200"/>
    <x v="19"/>
    <x v="3018"/>
    <x v="1"/>
    <x v="1"/>
    <x v="6"/>
    <x v="3"/>
    <x v="1"/>
    <x v="0"/>
  </r>
  <r>
    <x v="200"/>
    <x v="20"/>
    <x v="2610"/>
    <x v="1"/>
    <x v="1"/>
    <x v="6"/>
    <x v="3"/>
    <x v="1"/>
    <x v="1"/>
  </r>
  <r>
    <x v="200"/>
    <x v="21"/>
    <x v="2623"/>
    <x v="1"/>
    <x v="1"/>
    <x v="6"/>
    <x v="3"/>
    <x v="1"/>
    <x v="1"/>
  </r>
  <r>
    <x v="200"/>
    <x v="22"/>
    <x v="2560"/>
    <x v="1"/>
    <x v="1"/>
    <x v="6"/>
    <x v="3"/>
    <x v="1"/>
    <x v="1"/>
  </r>
  <r>
    <x v="200"/>
    <x v="23"/>
    <x v="2065"/>
    <x v="1"/>
    <x v="1"/>
    <x v="6"/>
    <x v="3"/>
    <x v="1"/>
    <x v="1"/>
  </r>
  <r>
    <x v="201"/>
    <x v="0"/>
    <x v="1598"/>
    <x v="1"/>
    <x v="1"/>
    <x v="6"/>
    <x v="1"/>
    <x v="0"/>
    <x v="4"/>
  </r>
  <r>
    <x v="201"/>
    <x v="1"/>
    <x v="1052"/>
    <x v="1"/>
    <x v="1"/>
    <x v="6"/>
    <x v="1"/>
    <x v="0"/>
    <x v="4"/>
  </r>
  <r>
    <x v="201"/>
    <x v="2"/>
    <x v="680"/>
    <x v="1"/>
    <x v="1"/>
    <x v="6"/>
    <x v="1"/>
    <x v="0"/>
    <x v="4"/>
  </r>
  <r>
    <x v="201"/>
    <x v="3"/>
    <x v="450"/>
    <x v="1"/>
    <x v="1"/>
    <x v="6"/>
    <x v="1"/>
    <x v="0"/>
    <x v="4"/>
  </r>
  <r>
    <x v="201"/>
    <x v="4"/>
    <x v="448"/>
    <x v="1"/>
    <x v="1"/>
    <x v="6"/>
    <x v="1"/>
    <x v="0"/>
    <x v="4"/>
  </r>
  <r>
    <x v="201"/>
    <x v="5"/>
    <x v="558"/>
    <x v="1"/>
    <x v="1"/>
    <x v="6"/>
    <x v="1"/>
    <x v="0"/>
    <x v="4"/>
  </r>
  <r>
    <x v="201"/>
    <x v="6"/>
    <x v="755"/>
    <x v="1"/>
    <x v="1"/>
    <x v="6"/>
    <x v="1"/>
    <x v="0"/>
    <x v="3"/>
  </r>
  <r>
    <x v="201"/>
    <x v="7"/>
    <x v="1019"/>
    <x v="1"/>
    <x v="1"/>
    <x v="6"/>
    <x v="1"/>
    <x v="0"/>
    <x v="3"/>
  </r>
  <r>
    <x v="201"/>
    <x v="8"/>
    <x v="1543"/>
    <x v="1"/>
    <x v="1"/>
    <x v="6"/>
    <x v="1"/>
    <x v="0"/>
    <x v="3"/>
  </r>
  <r>
    <x v="201"/>
    <x v="9"/>
    <x v="1741"/>
    <x v="1"/>
    <x v="1"/>
    <x v="6"/>
    <x v="1"/>
    <x v="0"/>
    <x v="3"/>
  </r>
  <r>
    <x v="201"/>
    <x v="10"/>
    <x v="1781"/>
    <x v="1"/>
    <x v="1"/>
    <x v="6"/>
    <x v="1"/>
    <x v="0"/>
    <x v="2"/>
  </r>
  <r>
    <x v="201"/>
    <x v="11"/>
    <x v="1885"/>
    <x v="1"/>
    <x v="1"/>
    <x v="6"/>
    <x v="1"/>
    <x v="0"/>
    <x v="2"/>
  </r>
  <r>
    <x v="201"/>
    <x v="12"/>
    <x v="1948"/>
    <x v="1"/>
    <x v="1"/>
    <x v="6"/>
    <x v="1"/>
    <x v="0"/>
    <x v="2"/>
  </r>
  <r>
    <x v="201"/>
    <x v="13"/>
    <x v="1971"/>
    <x v="1"/>
    <x v="1"/>
    <x v="6"/>
    <x v="1"/>
    <x v="0"/>
    <x v="2"/>
  </r>
  <r>
    <x v="201"/>
    <x v="14"/>
    <x v="2102"/>
    <x v="1"/>
    <x v="1"/>
    <x v="6"/>
    <x v="1"/>
    <x v="0"/>
    <x v="2"/>
  </r>
  <r>
    <x v="201"/>
    <x v="15"/>
    <x v="2247"/>
    <x v="1"/>
    <x v="1"/>
    <x v="6"/>
    <x v="1"/>
    <x v="0"/>
    <x v="2"/>
  </r>
  <r>
    <x v="201"/>
    <x v="16"/>
    <x v="2450"/>
    <x v="1"/>
    <x v="1"/>
    <x v="6"/>
    <x v="1"/>
    <x v="0"/>
    <x v="0"/>
  </r>
  <r>
    <x v="201"/>
    <x v="17"/>
    <x v="2581"/>
    <x v="1"/>
    <x v="1"/>
    <x v="6"/>
    <x v="1"/>
    <x v="0"/>
    <x v="0"/>
  </r>
  <r>
    <x v="201"/>
    <x v="18"/>
    <x v="2753"/>
    <x v="1"/>
    <x v="1"/>
    <x v="6"/>
    <x v="1"/>
    <x v="0"/>
    <x v="0"/>
  </r>
  <r>
    <x v="201"/>
    <x v="19"/>
    <x v="2627"/>
    <x v="1"/>
    <x v="1"/>
    <x v="6"/>
    <x v="1"/>
    <x v="0"/>
    <x v="0"/>
  </r>
  <r>
    <x v="201"/>
    <x v="20"/>
    <x v="2272"/>
    <x v="1"/>
    <x v="1"/>
    <x v="6"/>
    <x v="1"/>
    <x v="0"/>
    <x v="1"/>
  </r>
  <r>
    <x v="201"/>
    <x v="21"/>
    <x v="2170"/>
    <x v="1"/>
    <x v="1"/>
    <x v="6"/>
    <x v="1"/>
    <x v="0"/>
    <x v="1"/>
  </r>
  <r>
    <x v="201"/>
    <x v="22"/>
    <x v="2093"/>
    <x v="1"/>
    <x v="1"/>
    <x v="6"/>
    <x v="1"/>
    <x v="0"/>
    <x v="1"/>
  </r>
  <r>
    <x v="201"/>
    <x v="23"/>
    <x v="1458"/>
    <x v="1"/>
    <x v="1"/>
    <x v="6"/>
    <x v="1"/>
    <x v="0"/>
    <x v="1"/>
  </r>
  <r>
    <x v="202"/>
    <x v="0"/>
    <x v="877"/>
    <x v="1"/>
    <x v="1"/>
    <x v="6"/>
    <x v="5"/>
    <x v="0"/>
    <x v="4"/>
  </r>
  <r>
    <x v="202"/>
    <x v="1"/>
    <x v="416"/>
    <x v="1"/>
    <x v="1"/>
    <x v="6"/>
    <x v="5"/>
    <x v="0"/>
    <x v="4"/>
  </r>
  <r>
    <x v="202"/>
    <x v="2"/>
    <x v="288"/>
    <x v="1"/>
    <x v="1"/>
    <x v="6"/>
    <x v="5"/>
    <x v="0"/>
    <x v="4"/>
  </r>
  <r>
    <x v="202"/>
    <x v="3"/>
    <x v="151"/>
    <x v="1"/>
    <x v="1"/>
    <x v="6"/>
    <x v="5"/>
    <x v="0"/>
    <x v="4"/>
  </r>
  <r>
    <x v="202"/>
    <x v="4"/>
    <x v="419"/>
    <x v="1"/>
    <x v="1"/>
    <x v="6"/>
    <x v="5"/>
    <x v="0"/>
    <x v="4"/>
  </r>
  <r>
    <x v="202"/>
    <x v="5"/>
    <x v="809"/>
    <x v="1"/>
    <x v="1"/>
    <x v="6"/>
    <x v="5"/>
    <x v="0"/>
    <x v="4"/>
  </r>
  <r>
    <x v="202"/>
    <x v="6"/>
    <x v="1476"/>
    <x v="1"/>
    <x v="1"/>
    <x v="6"/>
    <x v="5"/>
    <x v="0"/>
    <x v="3"/>
  </r>
  <r>
    <x v="202"/>
    <x v="7"/>
    <x v="2346"/>
    <x v="1"/>
    <x v="1"/>
    <x v="6"/>
    <x v="5"/>
    <x v="0"/>
    <x v="3"/>
  </r>
  <r>
    <x v="202"/>
    <x v="8"/>
    <x v="2762"/>
    <x v="1"/>
    <x v="1"/>
    <x v="6"/>
    <x v="5"/>
    <x v="0"/>
    <x v="3"/>
  </r>
  <r>
    <x v="202"/>
    <x v="9"/>
    <x v="2491"/>
    <x v="1"/>
    <x v="1"/>
    <x v="6"/>
    <x v="5"/>
    <x v="0"/>
    <x v="3"/>
  </r>
  <r>
    <x v="202"/>
    <x v="10"/>
    <x v="1906"/>
    <x v="1"/>
    <x v="1"/>
    <x v="6"/>
    <x v="5"/>
    <x v="0"/>
    <x v="2"/>
  </r>
  <r>
    <x v="202"/>
    <x v="11"/>
    <x v="1680"/>
    <x v="1"/>
    <x v="1"/>
    <x v="6"/>
    <x v="5"/>
    <x v="0"/>
    <x v="2"/>
  </r>
  <r>
    <x v="202"/>
    <x v="12"/>
    <x v="1727"/>
    <x v="1"/>
    <x v="1"/>
    <x v="6"/>
    <x v="5"/>
    <x v="0"/>
    <x v="2"/>
  </r>
  <r>
    <x v="202"/>
    <x v="13"/>
    <x v="1733"/>
    <x v="1"/>
    <x v="1"/>
    <x v="6"/>
    <x v="5"/>
    <x v="0"/>
    <x v="2"/>
  </r>
  <r>
    <x v="202"/>
    <x v="14"/>
    <x v="1949"/>
    <x v="1"/>
    <x v="1"/>
    <x v="6"/>
    <x v="5"/>
    <x v="0"/>
    <x v="2"/>
  </r>
  <r>
    <x v="202"/>
    <x v="15"/>
    <x v="2150"/>
    <x v="1"/>
    <x v="1"/>
    <x v="6"/>
    <x v="5"/>
    <x v="0"/>
    <x v="2"/>
  </r>
  <r>
    <x v="202"/>
    <x v="16"/>
    <x v="2510"/>
    <x v="1"/>
    <x v="1"/>
    <x v="6"/>
    <x v="5"/>
    <x v="0"/>
    <x v="0"/>
  </r>
  <r>
    <x v="202"/>
    <x v="17"/>
    <x v="2998"/>
    <x v="1"/>
    <x v="1"/>
    <x v="6"/>
    <x v="5"/>
    <x v="0"/>
    <x v="0"/>
  </r>
  <r>
    <x v="202"/>
    <x v="18"/>
    <x v="3434"/>
    <x v="1"/>
    <x v="1"/>
    <x v="6"/>
    <x v="5"/>
    <x v="0"/>
    <x v="0"/>
  </r>
  <r>
    <x v="202"/>
    <x v="19"/>
    <x v="3151"/>
    <x v="1"/>
    <x v="1"/>
    <x v="6"/>
    <x v="5"/>
    <x v="0"/>
    <x v="0"/>
  </r>
  <r>
    <x v="202"/>
    <x v="20"/>
    <x v="2992"/>
    <x v="1"/>
    <x v="1"/>
    <x v="6"/>
    <x v="5"/>
    <x v="0"/>
    <x v="1"/>
  </r>
  <r>
    <x v="202"/>
    <x v="21"/>
    <x v="2907"/>
    <x v="1"/>
    <x v="1"/>
    <x v="6"/>
    <x v="5"/>
    <x v="0"/>
    <x v="1"/>
  </r>
  <r>
    <x v="202"/>
    <x v="22"/>
    <x v="2634"/>
    <x v="1"/>
    <x v="1"/>
    <x v="6"/>
    <x v="5"/>
    <x v="0"/>
    <x v="1"/>
  </r>
  <r>
    <x v="202"/>
    <x v="23"/>
    <x v="1913"/>
    <x v="1"/>
    <x v="1"/>
    <x v="6"/>
    <x v="5"/>
    <x v="0"/>
    <x v="1"/>
  </r>
  <r>
    <x v="203"/>
    <x v="0"/>
    <x v="1163"/>
    <x v="1"/>
    <x v="1"/>
    <x v="6"/>
    <x v="6"/>
    <x v="0"/>
    <x v="4"/>
  </r>
  <r>
    <x v="203"/>
    <x v="1"/>
    <x v="648"/>
    <x v="1"/>
    <x v="1"/>
    <x v="6"/>
    <x v="6"/>
    <x v="0"/>
    <x v="4"/>
  </r>
  <r>
    <x v="203"/>
    <x v="2"/>
    <x v="373"/>
    <x v="1"/>
    <x v="1"/>
    <x v="6"/>
    <x v="6"/>
    <x v="0"/>
    <x v="4"/>
  </r>
  <r>
    <x v="203"/>
    <x v="3"/>
    <x v="184"/>
    <x v="1"/>
    <x v="1"/>
    <x v="6"/>
    <x v="6"/>
    <x v="0"/>
    <x v="4"/>
  </r>
  <r>
    <x v="203"/>
    <x v="4"/>
    <x v="426"/>
    <x v="1"/>
    <x v="1"/>
    <x v="6"/>
    <x v="6"/>
    <x v="0"/>
    <x v="4"/>
  </r>
  <r>
    <x v="203"/>
    <x v="5"/>
    <x v="736"/>
    <x v="1"/>
    <x v="1"/>
    <x v="6"/>
    <x v="6"/>
    <x v="0"/>
    <x v="4"/>
  </r>
  <r>
    <x v="203"/>
    <x v="6"/>
    <x v="1386"/>
    <x v="1"/>
    <x v="1"/>
    <x v="6"/>
    <x v="6"/>
    <x v="0"/>
    <x v="3"/>
  </r>
  <r>
    <x v="203"/>
    <x v="7"/>
    <x v="2317"/>
    <x v="1"/>
    <x v="1"/>
    <x v="6"/>
    <x v="6"/>
    <x v="0"/>
    <x v="3"/>
  </r>
  <r>
    <x v="203"/>
    <x v="8"/>
    <x v="2849"/>
    <x v="1"/>
    <x v="1"/>
    <x v="6"/>
    <x v="6"/>
    <x v="0"/>
    <x v="3"/>
  </r>
  <r>
    <x v="203"/>
    <x v="9"/>
    <x v="2536"/>
    <x v="1"/>
    <x v="1"/>
    <x v="6"/>
    <x v="6"/>
    <x v="0"/>
    <x v="3"/>
  </r>
  <r>
    <x v="203"/>
    <x v="10"/>
    <x v="1982"/>
    <x v="1"/>
    <x v="1"/>
    <x v="6"/>
    <x v="6"/>
    <x v="0"/>
    <x v="2"/>
  </r>
  <r>
    <x v="203"/>
    <x v="11"/>
    <x v="1882"/>
    <x v="1"/>
    <x v="1"/>
    <x v="6"/>
    <x v="6"/>
    <x v="0"/>
    <x v="2"/>
  </r>
  <r>
    <x v="203"/>
    <x v="12"/>
    <x v="1859"/>
    <x v="1"/>
    <x v="1"/>
    <x v="6"/>
    <x v="6"/>
    <x v="0"/>
    <x v="2"/>
  </r>
  <r>
    <x v="203"/>
    <x v="13"/>
    <x v="1802"/>
    <x v="1"/>
    <x v="1"/>
    <x v="6"/>
    <x v="6"/>
    <x v="0"/>
    <x v="2"/>
  </r>
  <r>
    <x v="203"/>
    <x v="14"/>
    <x v="2015"/>
    <x v="1"/>
    <x v="1"/>
    <x v="6"/>
    <x v="6"/>
    <x v="0"/>
    <x v="2"/>
  </r>
  <r>
    <x v="203"/>
    <x v="15"/>
    <x v="2260"/>
    <x v="1"/>
    <x v="1"/>
    <x v="6"/>
    <x v="6"/>
    <x v="0"/>
    <x v="2"/>
  </r>
  <r>
    <x v="203"/>
    <x v="16"/>
    <x v="2610"/>
    <x v="1"/>
    <x v="1"/>
    <x v="6"/>
    <x v="6"/>
    <x v="0"/>
    <x v="0"/>
  </r>
  <r>
    <x v="203"/>
    <x v="17"/>
    <x v="3210"/>
    <x v="1"/>
    <x v="1"/>
    <x v="6"/>
    <x v="6"/>
    <x v="0"/>
    <x v="0"/>
  </r>
  <r>
    <x v="203"/>
    <x v="18"/>
    <x v="3568"/>
    <x v="1"/>
    <x v="1"/>
    <x v="6"/>
    <x v="6"/>
    <x v="0"/>
    <x v="0"/>
  </r>
  <r>
    <x v="203"/>
    <x v="19"/>
    <x v="3378"/>
    <x v="1"/>
    <x v="1"/>
    <x v="6"/>
    <x v="6"/>
    <x v="0"/>
    <x v="0"/>
  </r>
  <r>
    <x v="203"/>
    <x v="20"/>
    <x v="3216"/>
    <x v="1"/>
    <x v="1"/>
    <x v="6"/>
    <x v="6"/>
    <x v="0"/>
    <x v="1"/>
  </r>
  <r>
    <x v="203"/>
    <x v="21"/>
    <x v="3138"/>
    <x v="1"/>
    <x v="1"/>
    <x v="6"/>
    <x v="6"/>
    <x v="0"/>
    <x v="1"/>
  </r>
  <r>
    <x v="203"/>
    <x v="22"/>
    <x v="2886"/>
    <x v="1"/>
    <x v="1"/>
    <x v="6"/>
    <x v="6"/>
    <x v="0"/>
    <x v="1"/>
  </r>
  <r>
    <x v="203"/>
    <x v="23"/>
    <x v="2130"/>
    <x v="1"/>
    <x v="1"/>
    <x v="6"/>
    <x v="6"/>
    <x v="0"/>
    <x v="1"/>
  </r>
  <r>
    <x v="204"/>
    <x v="0"/>
    <x v="1374"/>
    <x v="1"/>
    <x v="1"/>
    <x v="6"/>
    <x v="4"/>
    <x v="0"/>
    <x v="4"/>
  </r>
  <r>
    <x v="204"/>
    <x v="1"/>
    <x v="662"/>
    <x v="1"/>
    <x v="1"/>
    <x v="6"/>
    <x v="4"/>
    <x v="0"/>
    <x v="4"/>
  </r>
  <r>
    <x v="204"/>
    <x v="2"/>
    <x v="351"/>
    <x v="1"/>
    <x v="1"/>
    <x v="6"/>
    <x v="4"/>
    <x v="0"/>
    <x v="4"/>
  </r>
  <r>
    <x v="204"/>
    <x v="3"/>
    <x v="246"/>
    <x v="1"/>
    <x v="1"/>
    <x v="6"/>
    <x v="4"/>
    <x v="0"/>
    <x v="4"/>
  </r>
  <r>
    <x v="204"/>
    <x v="4"/>
    <x v="370"/>
    <x v="1"/>
    <x v="1"/>
    <x v="6"/>
    <x v="4"/>
    <x v="0"/>
    <x v="4"/>
  </r>
  <r>
    <x v="204"/>
    <x v="5"/>
    <x v="711"/>
    <x v="1"/>
    <x v="1"/>
    <x v="6"/>
    <x v="4"/>
    <x v="0"/>
    <x v="4"/>
  </r>
  <r>
    <x v="204"/>
    <x v="6"/>
    <x v="1408"/>
    <x v="1"/>
    <x v="1"/>
    <x v="6"/>
    <x v="4"/>
    <x v="0"/>
    <x v="3"/>
  </r>
  <r>
    <x v="204"/>
    <x v="7"/>
    <x v="2374"/>
    <x v="1"/>
    <x v="1"/>
    <x v="6"/>
    <x v="4"/>
    <x v="0"/>
    <x v="3"/>
  </r>
  <r>
    <x v="204"/>
    <x v="8"/>
    <x v="2861"/>
    <x v="1"/>
    <x v="1"/>
    <x v="6"/>
    <x v="4"/>
    <x v="0"/>
    <x v="3"/>
  </r>
  <r>
    <x v="204"/>
    <x v="9"/>
    <x v="2540"/>
    <x v="1"/>
    <x v="1"/>
    <x v="6"/>
    <x v="4"/>
    <x v="0"/>
    <x v="3"/>
  </r>
  <r>
    <x v="204"/>
    <x v="10"/>
    <x v="1962"/>
    <x v="1"/>
    <x v="1"/>
    <x v="6"/>
    <x v="4"/>
    <x v="0"/>
    <x v="2"/>
  </r>
  <r>
    <x v="204"/>
    <x v="11"/>
    <x v="1874"/>
    <x v="1"/>
    <x v="1"/>
    <x v="6"/>
    <x v="4"/>
    <x v="0"/>
    <x v="2"/>
  </r>
  <r>
    <x v="204"/>
    <x v="12"/>
    <x v="1896"/>
    <x v="1"/>
    <x v="1"/>
    <x v="6"/>
    <x v="4"/>
    <x v="0"/>
    <x v="2"/>
  </r>
  <r>
    <x v="204"/>
    <x v="13"/>
    <x v="1863"/>
    <x v="1"/>
    <x v="1"/>
    <x v="6"/>
    <x v="4"/>
    <x v="0"/>
    <x v="2"/>
  </r>
  <r>
    <x v="204"/>
    <x v="14"/>
    <x v="2112"/>
    <x v="1"/>
    <x v="1"/>
    <x v="6"/>
    <x v="4"/>
    <x v="0"/>
    <x v="2"/>
  </r>
  <r>
    <x v="204"/>
    <x v="15"/>
    <x v="2399"/>
    <x v="1"/>
    <x v="1"/>
    <x v="6"/>
    <x v="4"/>
    <x v="0"/>
    <x v="2"/>
  </r>
  <r>
    <x v="204"/>
    <x v="16"/>
    <x v="2696"/>
    <x v="1"/>
    <x v="1"/>
    <x v="6"/>
    <x v="4"/>
    <x v="0"/>
    <x v="0"/>
  </r>
  <r>
    <x v="204"/>
    <x v="17"/>
    <x v="3349"/>
    <x v="1"/>
    <x v="1"/>
    <x v="6"/>
    <x v="4"/>
    <x v="0"/>
    <x v="0"/>
  </r>
  <r>
    <x v="204"/>
    <x v="18"/>
    <x v="3754"/>
    <x v="1"/>
    <x v="1"/>
    <x v="6"/>
    <x v="4"/>
    <x v="0"/>
    <x v="0"/>
  </r>
  <r>
    <x v="204"/>
    <x v="19"/>
    <x v="3710"/>
    <x v="1"/>
    <x v="1"/>
    <x v="6"/>
    <x v="4"/>
    <x v="0"/>
    <x v="0"/>
  </r>
  <r>
    <x v="204"/>
    <x v="20"/>
    <x v="3474"/>
    <x v="1"/>
    <x v="1"/>
    <x v="6"/>
    <x v="4"/>
    <x v="0"/>
    <x v="1"/>
  </r>
  <r>
    <x v="204"/>
    <x v="21"/>
    <x v="3620"/>
    <x v="1"/>
    <x v="1"/>
    <x v="6"/>
    <x v="4"/>
    <x v="0"/>
    <x v="1"/>
  </r>
  <r>
    <x v="204"/>
    <x v="22"/>
    <x v="3436"/>
    <x v="1"/>
    <x v="1"/>
    <x v="6"/>
    <x v="4"/>
    <x v="0"/>
    <x v="1"/>
  </r>
  <r>
    <x v="204"/>
    <x v="23"/>
    <x v="2867"/>
    <x v="1"/>
    <x v="1"/>
    <x v="6"/>
    <x v="4"/>
    <x v="0"/>
    <x v="1"/>
  </r>
  <r>
    <x v="205"/>
    <x v="0"/>
    <x v="1902"/>
    <x v="1"/>
    <x v="1"/>
    <x v="6"/>
    <x v="0"/>
    <x v="0"/>
    <x v="4"/>
  </r>
  <r>
    <x v="205"/>
    <x v="1"/>
    <x v="1056"/>
    <x v="1"/>
    <x v="1"/>
    <x v="6"/>
    <x v="0"/>
    <x v="0"/>
    <x v="4"/>
  </r>
  <r>
    <x v="205"/>
    <x v="2"/>
    <x v="635"/>
    <x v="1"/>
    <x v="1"/>
    <x v="6"/>
    <x v="0"/>
    <x v="0"/>
    <x v="4"/>
  </r>
  <r>
    <x v="205"/>
    <x v="3"/>
    <x v="412"/>
    <x v="1"/>
    <x v="1"/>
    <x v="6"/>
    <x v="0"/>
    <x v="0"/>
    <x v="4"/>
  </r>
  <r>
    <x v="205"/>
    <x v="4"/>
    <x v="477"/>
    <x v="1"/>
    <x v="1"/>
    <x v="6"/>
    <x v="0"/>
    <x v="0"/>
    <x v="4"/>
  </r>
  <r>
    <x v="205"/>
    <x v="5"/>
    <x v="727"/>
    <x v="1"/>
    <x v="1"/>
    <x v="6"/>
    <x v="0"/>
    <x v="0"/>
    <x v="4"/>
  </r>
  <r>
    <x v="205"/>
    <x v="6"/>
    <x v="1425"/>
    <x v="1"/>
    <x v="1"/>
    <x v="6"/>
    <x v="0"/>
    <x v="0"/>
    <x v="3"/>
  </r>
  <r>
    <x v="205"/>
    <x v="7"/>
    <x v="2289"/>
    <x v="1"/>
    <x v="1"/>
    <x v="6"/>
    <x v="0"/>
    <x v="0"/>
    <x v="3"/>
  </r>
  <r>
    <x v="205"/>
    <x v="8"/>
    <x v="2747"/>
    <x v="1"/>
    <x v="1"/>
    <x v="6"/>
    <x v="0"/>
    <x v="0"/>
    <x v="3"/>
  </r>
  <r>
    <x v="205"/>
    <x v="9"/>
    <x v="2623"/>
    <x v="1"/>
    <x v="1"/>
    <x v="6"/>
    <x v="0"/>
    <x v="0"/>
    <x v="3"/>
  </r>
  <r>
    <x v="205"/>
    <x v="10"/>
    <x v="2024"/>
    <x v="1"/>
    <x v="1"/>
    <x v="6"/>
    <x v="0"/>
    <x v="0"/>
    <x v="2"/>
  </r>
  <r>
    <x v="205"/>
    <x v="11"/>
    <x v="1958"/>
    <x v="1"/>
    <x v="1"/>
    <x v="6"/>
    <x v="0"/>
    <x v="0"/>
    <x v="2"/>
  </r>
  <r>
    <x v="205"/>
    <x v="12"/>
    <x v="2042"/>
    <x v="1"/>
    <x v="1"/>
    <x v="6"/>
    <x v="0"/>
    <x v="0"/>
    <x v="2"/>
  </r>
  <r>
    <x v="205"/>
    <x v="13"/>
    <x v="2048"/>
    <x v="1"/>
    <x v="1"/>
    <x v="6"/>
    <x v="0"/>
    <x v="0"/>
    <x v="2"/>
  </r>
  <r>
    <x v="205"/>
    <x v="14"/>
    <x v="2244"/>
    <x v="1"/>
    <x v="1"/>
    <x v="6"/>
    <x v="0"/>
    <x v="0"/>
    <x v="2"/>
  </r>
  <r>
    <x v="205"/>
    <x v="15"/>
    <x v="2487"/>
    <x v="1"/>
    <x v="1"/>
    <x v="6"/>
    <x v="0"/>
    <x v="0"/>
    <x v="2"/>
  </r>
  <r>
    <x v="205"/>
    <x v="16"/>
    <x v="2938"/>
    <x v="1"/>
    <x v="1"/>
    <x v="6"/>
    <x v="0"/>
    <x v="0"/>
    <x v="0"/>
  </r>
  <r>
    <x v="205"/>
    <x v="17"/>
    <x v="3431"/>
    <x v="1"/>
    <x v="1"/>
    <x v="6"/>
    <x v="0"/>
    <x v="0"/>
    <x v="0"/>
  </r>
  <r>
    <x v="205"/>
    <x v="18"/>
    <x v="3788"/>
    <x v="1"/>
    <x v="1"/>
    <x v="6"/>
    <x v="0"/>
    <x v="0"/>
    <x v="0"/>
  </r>
  <r>
    <x v="205"/>
    <x v="19"/>
    <x v="3979"/>
    <x v="1"/>
    <x v="1"/>
    <x v="6"/>
    <x v="0"/>
    <x v="0"/>
    <x v="0"/>
  </r>
  <r>
    <x v="205"/>
    <x v="20"/>
    <x v="3747"/>
    <x v="1"/>
    <x v="1"/>
    <x v="6"/>
    <x v="0"/>
    <x v="0"/>
    <x v="1"/>
  </r>
  <r>
    <x v="205"/>
    <x v="21"/>
    <x v="3486"/>
    <x v="1"/>
    <x v="1"/>
    <x v="6"/>
    <x v="0"/>
    <x v="0"/>
    <x v="1"/>
  </r>
  <r>
    <x v="205"/>
    <x v="22"/>
    <x v="3590"/>
    <x v="1"/>
    <x v="1"/>
    <x v="6"/>
    <x v="0"/>
    <x v="0"/>
    <x v="1"/>
  </r>
  <r>
    <x v="205"/>
    <x v="23"/>
    <x v="3640"/>
    <x v="1"/>
    <x v="1"/>
    <x v="6"/>
    <x v="0"/>
    <x v="0"/>
    <x v="1"/>
  </r>
  <r>
    <x v="206"/>
    <x v="0"/>
    <x v="3411"/>
    <x v="1"/>
    <x v="1"/>
    <x v="6"/>
    <x v="2"/>
    <x v="1"/>
    <x v="4"/>
  </r>
  <r>
    <x v="206"/>
    <x v="1"/>
    <x v="2934"/>
    <x v="1"/>
    <x v="1"/>
    <x v="6"/>
    <x v="2"/>
    <x v="1"/>
    <x v="4"/>
  </r>
  <r>
    <x v="206"/>
    <x v="2"/>
    <x v="2500"/>
    <x v="1"/>
    <x v="1"/>
    <x v="6"/>
    <x v="2"/>
    <x v="1"/>
    <x v="4"/>
  </r>
  <r>
    <x v="206"/>
    <x v="3"/>
    <x v="2101"/>
    <x v="1"/>
    <x v="1"/>
    <x v="6"/>
    <x v="2"/>
    <x v="1"/>
    <x v="4"/>
  </r>
  <r>
    <x v="206"/>
    <x v="4"/>
    <x v="1418"/>
    <x v="1"/>
    <x v="1"/>
    <x v="6"/>
    <x v="2"/>
    <x v="1"/>
    <x v="4"/>
  </r>
  <r>
    <x v="206"/>
    <x v="5"/>
    <x v="803"/>
    <x v="1"/>
    <x v="1"/>
    <x v="6"/>
    <x v="2"/>
    <x v="1"/>
    <x v="4"/>
  </r>
  <r>
    <x v="206"/>
    <x v="6"/>
    <x v="779"/>
    <x v="1"/>
    <x v="1"/>
    <x v="6"/>
    <x v="2"/>
    <x v="1"/>
    <x v="3"/>
  </r>
  <r>
    <x v="206"/>
    <x v="7"/>
    <x v="921"/>
    <x v="1"/>
    <x v="1"/>
    <x v="6"/>
    <x v="2"/>
    <x v="1"/>
    <x v="3"/>
  </r>
  <r>
    <x v="206"/>
    <x v="8"/>
    <x v="1421"/>
    <x v="1"/>
    <x v="1"/>
    <x v="6"/>
    <x v="2"/>
    <x v="1"/>
    <x v="3"/>
  </r>
  <r>
    <x v="206"/>
    <x v="9"/>
    <x v="1960"/>
    <x v="1"/>
    <x v="1"/>
    <x v="6"/>
    <x v="2"/>
    <x v="1"/>
    <x v="3"/>
  </r>
  <r>
    <x v="206"/>
    <x v="10"/>
    <x v="2342"/>
    <x v="1"/>
    <x v="1"/>
    <x v="6"/>
    <x v="2"/>
    <x v="1"/>
    <x v="2"/>
  </r>
  <r>
    <x v="206"/>
    <x v="11"/>
    <x v="2589"/>
    <x v="1"/>
    <x v="1"/>
    <x v="6"/>
    <x v="2"/>
    <x v="1"/>
    <x v="2"/>
  </r>
  <r>
    <x v="206"/>
    <x v="12"/>
    <x v="2823"/>
    <x v="1"/>
    <x v="1"/>
    <x v="6"/>
    <x v="2"/>
    <x v="1"/>
    <x v="2"/>
  </r>
  <r>
    <x v="206"/>
    <x v="13"/>
    <x v="2821"/>
    <x v="1"/>
    <x v="1"/>
    <x v="6"/>
    <x v="2"/>
    <x v="1"/>
    <x v="2"/>
  </r>
  <r>
    <x v="206"/>
    <x v="14"/>
    <x v="2594"/>
    <x v="1"/>
    <x v="1"/>
    <x v="6"/>
    <x v="2"/>
    <x v="1"/>
    <x v="2"/>
  </r>
  <r>
    <x v="206"/>
    <x v="15"/>
    <x v="2631"/>
    <x v="1"/>
    <x v="1"/>
    <x v="6"/>
    <x v="2"/>
    <x v="1"/>
    <x v="2"/>
  </r>
  <r>
    <x v="206"/>
    <x v="16"/>
    <x v="2957"/>
    <x v="1"/>
    <x v="1"/>
    <x v="6"/>
    <x v="2"/>
    <x v="1"/>
    <x v="0"/>
  </r>
  <r>
    <x v="206"/>
    <x v="17"/>
    <x v="3496"/>
    <x v="1"/>
    <x v="1"/>
    <x v="6"/>
    <x v="2"/>
    <x v="1"/>
    <x v="0"/>
  </r>
  <r>
    <x v="206"/>
    <x v="18"/>
    <x v="3684"/>
    <x v="1"/>
    <x v="1"/>
    <x v="6"/>
    <x v="2"/>
    <x v="1"/>
    <x v="0"/>
  </r>
  <r>
    <x v="206"/>
    <x v="19"/>
    <x v="3946"/>
    <x v="1"/>
    <x v="1"/>
    <x v="6"/>
    <x v="2"/>
    <x v="1"/>
    <x v="0"/>
  </r>
  <r>
    <x v="206"/>
    <x v="20"/>
    <x v="3626"/>
    <x v="1"/>
    <x v="1"/>
    <x v="6"/>
    <x v="2"/>
    <x v="1"/>
    <x v="1"/>
  </r>
  <r>
    <x v="206"/>
    <x v="21"/>
    <x v="3429"/>
    <x v="1"/>
    <x v="1"/>
    <x v="6"/>
    <x v="2"/>
    <x v="1"/>
    <x v="1"/>
  </r>
  <r>
    <x v="206"/>
    <x v="22"/>
    <x v="3592"/>
    <x v="1"/>
    <x v="1"/>
    <x v="6"/>
    <x v="2"/>
    <x v="1"/>
    <x v="1"/>
  </r>
  <r>
    <x v="206"/>
    <x v="23"/>
    <x v="3743"/>
    <x v="1"/>
    <x v="1"/>
    <x v="6"/>
    <x v="2"/>
    <x v="1"/>
    <x v="1"/>
  </r>
  <r>
    <x v="207"/>
    <x v="0"/>
    <x v="3494"/>
    <x v="1"/>
    <x v="1"/>
    <x v="6"/>
    <x v="3"/>
    <x v="1"/>
    <x v="4"/>
  </r>
  <r>
    <x v="207"/>
    <x v="1"/>
    <x v="2874"/>
    <x v="1"/>
    <x v="1"/>
    <x v="6"/>
    <x v="3"/>
    <x v="1"/>
    <x v="4"/>
  </r>
  <r>
    <x v="207"/>
    <x v="2"/>
    <x v="2395"/>
    <x v="1"/>
    <x v="1"/>
    <x v="6"/>
    <x v="3"/>
    <x v="1"/>
    <x v="4"/>
  </r>
  <r>
    <x v="207"/>
    <x v="3"/>
    <x v="1714"/>
    <x v="1"/>
    <x v="1"/>
    <x v="6"/>
    <x v="3"/>
    <x v="1"/>
    <x v="4"/>
  </r>
  <r>
    <x v="207"/>
    <x v="4"/>
    <x v="1048"/>
    <x v="1"/>
    <x v="1"/>
    <x v="6"/>
    <x v="3"/>
    <x v="1"/>
    <x v="4"/>
  </r>
  <r>
    <x v="207"/>
    <x v="5"/>
    <x v="622"/>
    <x v="1"/>
    <x v="1"/>
    <x v="6"/>
    <x v="3"/>
    <x v="1"/>
    <x v="4"/>
  </r>
  <r>
    <x v="207"/>
    <x v="6"/>
    <x v="595"/>
    <x v="1"/>
    <x v="1"/>
    <x v="6"/>
    <x v="3"/>
    <x v="1"/>
    <x v="3"/>
  </r>
  <r>
    <x v="207"/>
    <x v="7"/>
    <x v="641"/>
    <x v="1"/>
    <x v="1"/>
    <x v="6"/>
    <x v="3"/>
    <x v="1"/>
    <x v="3"/>
  </r>
  <r>
    <x v="207"/>
    <x v="8"/>
    <x v="919"/>
    <x v="1"/>
    <x v="1"/>
    <x v="6"/>
    <x v="3"/>
    <x v="1"/>
    <x v="3"/>
  </r>
  <r>
    <x v="207"/>
    <x v="9"/>
    <x v="1407"/>
    <x v="1"/>
    <x v="1"/>
    <x v="6"/>
    <x v="3"/>
    <x v="1"/>
    <x v="3"/>
  </r>
  <r>
    <x v="207"/>
    <x v="10"/>
    <x v="1926"/>
    <x v="1"/>
    <x v="1"/>
    <x v="6"/>
    <x v="3"/>
    <x v="1"/>
    <x v="2"/>
  </r>
  <r>
    <x v="207"/>
    <x v="11"/>
    <x v="2239"/>
    <x v="1"/>
    <x v="1"/>
    <x v="6"/>
    <x v="3"/>
    <x v="1"/>
    <x v="2"/>
  </r>
  <r>
    <x v="207"/>
    <x v="12"/>
    <x v="2345"/>
    <x v="1"/>
    <x v="1"/>
    <x v="6"/>
    <x v="3"/>
    <x v="1"/>
    <x v="2"/>
  </r>
  <r>
    <x v="207"/>
    <x v="13"/>
    <x v="2430"/>
    <x v="1"/>
    <x v="1"/>
    <x v="6"/>
    <x v="3"/>
    <x v="1"/>
    <x v="2"/>
  </r>
  <r>
    <x v="207"/>
    <x v="14"/>
    <x v="2405"/>
    <x v="1"/>
    <x v="1"/>
    <x v="6"/>
    <x v="3"/>
    <x v="1"/>
    <x v="2"/>
  </r>
  <r>
    <x v="207"/>
    <x v="15"/>
    <x v="2522"/>
    <x v="1"/>
    <x v="1"/>
    <x v="6"/>
    <x v="3"/>
    <x v="1"/>
    <x v="2"/>
  </r>
  <r>
    <x v="207"/>
    <x v="16"/>
    <x v="2744"/>
    <x v="1"/>
    <x v="1"/>
    <x v="6"/>
    <x v="3"/>
    <x v="1"/>
    <x v="0"/>
  </r>
  <r>
    <x v="207"/>
    <x v="17"/>
    <x v="2926"/>
    <x v="1"/>
    <x v="1"/>
    <x v="6"/>
    <x v="3"/>
    <x v="1"/>
    <x v="0"/>
  </r>
  <r>
    <x v="207"/>
    <x v="18"/>
    <x v="2925"/>
    <x v="1"/>
    <x v="1"/>
    <x v="6"/>
    <x v="3"/>
    <x v="1"/>
    <x v="0"/>
  </r>
  <r>
    <x v="207"/>
    <x v="19"/>
    <x v="2633"/>
    <x v="1"/>
    <x v="1"/>
    <x v="6"/>
    <x v="3"/>
    <x v="1"/>
    <x v="0"/>
  </r>
  <r>
    <x v="207"/>
    <x v="20"/>
    <x v="2327"/>
    <x v="1"/>
    <x v="1"/>
    <x v="6"/>
    <x v="3"/>
    <x v="1"/>
    <x v="1"/>
  </r>
  <r>
    <x v="207"/>
    <x v="21"/>
    <x v="2159"/>
    <x v="1"/>
    <x v="1"/>
    <x v="6"/>
    <x v="3"/>
    <x v="1"/>
    <x v="1"/>
  </r>
  <r>
    <x v="207"/>
    <x v="22"/>
    <x v="1999"/>
    <x v="1"/>
    <x v="1"/>
    <x v="6"/>
    <x v="3"/>
    <x v="1"/>
    <x v="1"/>
  </r>
  <r>
    <x v="207"/>
    <x v="23"/>
    <x v="1612"/>
    <x v="1"/>
    <x v="1"/>
    <x v="6"/>
    <x v="3"/>
    <x v="1"/>
    <x v="1"/>
  </r>
  <r>
    <x v="208"/>
    <x v="0"/>
    <x v="994"/>
    <x v="1"/>
    <x v="1"/>
    <x v="6"/>
    <x v="1"/>
    <x v="0"/>
    <x v="4"/>
  </r>
  <r>
    <x v="208"/>
    <x v="1"/>
    <x v="454"/>
    <x v="1"/>
    <x v="1"/>
    <x v="6"/>
    <x v="1"/>
    <x v="0"/>
    <x v="4"/>
  </r>
  <r>
    <x v="208"/>
    <x v="2"/>
    <x v="253"/>
    <x v="1"/>
    <x v="1"/>
    <x v="6"/>
    <x v="1"/>
    <x v="0"/>
    <x v="4"/>
  </r>
  <r>
    <x v="208"/>
    <x v="3"/>
    <x v="263"/>
    <x v="1"/>
    <x v="1"/>
    <x v="6"/>
    <x v="1"/>
    <x v="0"/>
    <x v="4"/>
  </r>
  <r>
    <x v="208"/>
    <x v="4"/>
    <x v="576"/>
    <x v="1"/>
    <x v="1"/>
    <x v="6"/>
    <x v="1"/>
    <x v="0"/>
    <x v="4"/>
  </r>
  <r>
    <x v="208"/>
    <x v="5"/>
    <x v="992"/>
    <x v="1"/>
    <x v="1"/>
    <x v="6"/>
    <x v="1"/>
    <x v="0"/>
    <x v="4"/>
  </r>
  <r>
    <x v="208"/>
    <x v="6"/>
    <x v="1675"/>
    <x v="1"/>
    <x v="1"/>
    <x v="6"/>
    <x v="1"/>
    <x v="0"/>
    <x v="3"/>
  </r>
  <r>
    <x v="208"/>
    <x v="7"/>
    <x v="2567"/>
    <x v="1"/>
    <x v="1"/>
    <x v="6"/>
    <x v="1"/>
    <x v="0"/>
    <x v="3"/>
  </r>
  <r>
    <x v="208"/>
    <x v="8"/>
    <x v="3088"/>
    <x v="1"/>
    <x v="1"/>
    <x v="6"/>
    <x v="1"/>
    <x v="0"/>
    <x v="3"/>
  </r>
  <r>
    <x v="208"/>
    <x v="9"/>
    <x v="2752"/>
    <x v="1"/>
    <x v="1"/>
    <x v="6"/>
    <x v="1"/>
    <x v="0"/>
    <x v="3"/>
  </r>
  <r>
    <x v="208"/>
    <x v="10"/>
    <x v="2169"/>
    <x v="1"/>
    <x v="1"/>
    <x v="6"/>
    <x v="1"/>
    <x v="0"/>
    <x v="2"/>
  </r>
  <r>
    <x v="208"/>
    <x v="11"/>
    <x v="2006"/>
    <x v="1"/>
    <x v="1"/>
    <x v="6"/>
    <x v="1"/>
    <x v="0"/>
    <x v="2"/>
  </r>
  <r>
    <x v="208"/>
    <x v="12"/>
    <x v="2050"/>
    <x v="1"/>
    <x v="1"/>
    <x v="6"/>
    <x v="1"/>
    <x v="0"/>
    <x v="2"/>
  </r>
  <r>
    <x v="208"/>
    <x v="13"/>
    <x v="2292"/>
    <x v="1"/>
    <x v="1"/>
    <x v="6"/>
    <x v="1"/>
    <x v="0"/>
    <x v="2"/>
  </r>
  <r>
    <x v="208"/>
    <x v="14"/>
    <x v="2433"/>
    <x v="1"/>
    <x v="1"/>
    <x v="6"/>
    <x v="1"/>
    <x v="0"/>
    <x v="2"/>
  </r>
  <r>
    <x v="208"/>
    <x v="15"/>
    <x v="2451"/>
    <x v="1"/>
    <x v="1"/>
    <x v="6"/>
    <x v="1"/>
    <x v="0"/>
    <x v="2"/>
  </r>
  <r>
    <x v="208"/>
    <x v="16"/>
    <x v="2440"/>
    <x v="1"/>
    <x v="1"/>
    <x v="6"/>
    <x v="1"/>
    <x v="0"/>
    <x v="0"/>
  </r>
  <r>
    <x v="208"/>
    <x v="17"/>
    <x v="2218"/>
    <x v="1"/>
    <x v="1"/>
    <x v="6"/>
    <x v="1"/>
    <x v="0"/>
    <x v="0"/>
  </r>
  <r>
    <x v="208"/>
    <x v="18"/>
    <x v="1868"/>
    <x v="1"/>
    <x v="1"/>
    <x v="6"/>
    <x v="1"/>
    <x v="0"/>
    <x v="0"/>
  </r>
  <r>
    <x v="208"/>
    <x v="19"/>
    <x v="1306"/>
    <x v="1"/>
    <x v="1"/>
    <x v="6"/>
    <x v="1"/>
    <x v="0"/>
    <x v="0"/>
  </r>
  <r>
    <x v="208"/>
    <x v="20"/>
    <x v="1079"/>
    <x v="1"/>
    <x v="1"/>
    <x v="6"/>
    <x v="1"/>
    <x v="0"/>
    <x v="1"/>
  </r>
  <r>
    <x v="208"/>
    <x v="21"/>
    <x v="824"/>
    <x v="1"/>
    <x v="1"/>
    <x v="6"/>
    <x v="1"/>
    <x v="0"/>
    <x v="1"/>
  </r>
  <r>
    <x v="208"/>
    <x v="22"/>
    <x v="407"/>
    <x v="1"/>
    <x v="1"/>
    <x v="6"/>
    <x v="1"/>
    <x v="0"/>
    <x v="1"/>
  </r>
  <r>
    <x v="209"/>
    <x v="8"/>
    <x v="89"/>
    <x v="1"/>
    <x v="1"/>
    <x v="6"/>
    <x v="5"/>
    <x v="0"/>
    <x v="3"/>
  </r>
  <r>
    <x v="209"/>
    <x v="9"/>
    <x v="729"/>
    <x v="1"/>
    <x v="1"/>
    <x v="6"/>
    <x v="5"/>
    <x v="0"/>
    <x v="3"/>
  </r>
  <r>
    <x v="209"/>
    <x v="10"/>
    <x v="1294"/>
    <x v="1"/>
    <x v="1"/>
    <x v="6"/>
    <x v="5"/>
    <x v="0"/>
    <x v="2"/>
  </r>
  <r>
    <x v="209"/>
    <x v="11"/>
    <x v="1280"/>
    <x v="1"/>
    <x v="1"/>
    <x v="6"/>
    <x v="5"/>
    <x v="0"/>
    <x v="2"/>
  </r>
  <r>
    <x v="209"/>
    <x v="12"/>
    <x v="1197"/>
    <x v="1"/>
    <x v="1"/>
    <x v="6"/>
    <x v="5"/>
    <x v="0"/>
    <x v="2"/>
  </r>
  <r>
    <x v="209"/>
    <x v="13"/>
    <x v="1105"/>
    <x v="1"/>
    <x v="1"/>
    <x v="6"/>
    <x v="5"/>
    <x v="0"/>
    <x v="2"/>
  </r>
  <r>
    <x v="209"/>
    <x v="14"/>
    <x v="1030"/>
    <x v="1"/>
    <x v="1"/>
    <x v="6"/>
    <x v="5"/>
    <x v="0"/>
    <x v="2"/>
  </r>
  <r>
    <x v="209"/>
    <x v="15"/>
    <x v="1124"/>
    <x v="1"/>
    <x v="1"/>
    <x v="6"/>
    <x v="5"/>
    <x v="0"/>
    <x v="2"/>
  </r>
  <r>
    <x v="209"/>
    <x v="16"/>
    <x v="1465"/>
    <x v="1"/>
    <x v="1"/>
    <x v="6"/>
    <x v="5"/>
    <x v="0"/>
    <x v="0"/>
  </r>
  <r>
    <x v="209"/>
    <x v="17"/>
    <x v="1880"/>
    <x v="1"/>
    <x v="1"/>
    <x v="6"/>
    <x v="5"/>
    <x v="0"/>
    <x v="0"/>
  </r>
  <r>
    <x v="209"/>
    <x v="18"/>
    <x v="2277"/>
    <x v="1"/>
    <x v="1"/>
    <x v="6"/>
    <x v="5"/>
    <x v="0"/>
    <x v="0"/>
  </r>
  <r>
    <x v="209"/>
    <x v="19"/>
    <x v="2217"/>
    <x v="1"/>
    <x v="1"/>
    <x v="6"/>
    <x v="5"/>
    <x v="0"/>
    <x v="0"/>
  </r>
  <r>
    <x v="209"/>
    <x v="20"/>
    <x v="1986"/>
    <x v="1"/>
    <x v="1"/>
    <x v="6"/>
    <x v="5"/>
    <x v="0"/>
    <x v="1"/>
  </r>
  <r>
    <x v="209"/>
    <x v="21"/>
    <x v="1921"/>
    <x v="1"/>
    <x v="1"/>
    <x v="6"/>
    <x v="5"/>
    <x v="0"/>
    <x v="1"/>
  </r>
  <r>
    <x v="209"/>
    <x v="22"/>
    <x v="1794"/>
    <x v="1"/>
    <x v="1"/>
    <x v="6"/>
    <x v="5"/>
    <x v="0"/>
    <x v="1"/>
  </r>
  <r>
    <x v="209"/>
    <x v="23"/>
    <x v="1400"/>
    <x v="1"/>
    <x v="1"/>
    <x v="6"/>
    <x v="5"/>
    <x v="0"/>
    <x v="1"/>
  </r>
  <r>
    <x v="210"/>
    <x v="0"/>
    <x v="808"/>
    <x v="1"/>
    <x v="1"/>
    <x v="6"/>
    <x v="6"/>
    <x v="0"/>
    <x v="4"/>
  </r>
  <r>
    <x v="210"/>
    <x v="1"/>
    <x v="464"/>
    <x v="1"/>
    <x v="1"/>
    <x v="6"/>
    <x v="6"/>
    <x v="0"/>
    <x v="4"/>
  </r>
  <r>
    <x v="210"/>
    <x v="2"/>
    <x v="257"/>
    <x v="1"/>
    <x v="1"/>
    <x v="6"/>
    <x v="6"/>
    <x v="0"/>
    <x v="4"/>
  </r>
  <r>
    <x v="210"/>
    <x v="3"/>
    <x v="159"/>
    <x v="1"/>
    <x v="1"/>
    <x v="6"/>
    <x v="6"/>
    <x v="0"/>
    <x v="4"/>
  </r>
  <r>
    <x v="210"/>
    <x v="4"/>
    <x v="248"/>
    <x v="1"/>
    <x v="1"/>
    <x v="6"/>
    <x v="6"/>
    <x v="0"/>
    <x v="4"/>
  </r>
  <r>
    <x v="210"/>
    <x v="5"/>
    <x v="613"/>
    <x v="1"/>
    <x v="1"/>
    <x v="6"/>
    <x v="6"/>
    <x v="0"/>
    <x v="4"/>
  </r>
  <r>
    <x v="210"/>
    <x v="6"/>
    <x v="1565"/>
    <x v="1"/>
    <x v="1"/>
    <x v="6"/>
    <x v="6"/>
    <x v="0"/>
    <x v="3"/>
  </r>
  <r>
    <x v="210"/>
    <x v="7"/>
    <x v="2529"/>
    <x v="1"/>
    <x v="1"/>
    <x v="6"/>
    <x v="6"/>
    <x v="0"/>
    <x v="3"/>
  </r>
  <r>
    <x v="210"/>
    <x v="8"/>
    <x v="3085"/>
    <x v="1"/>
    <x v="1"/>
    <x v="6"/>
    <x v="6"/>
    <x v="0"/>
    <x v="3"/>
  </r>
  <r>
    <x v="210"/>
    <x v="9"/>
    <x v="2806"/>
    <x v="1"/>
    <x v="1"/>
    <x v="6"/>
    <x v="6"/>
    <x v="0"/>
    <x v="3"/>
  </r>
  <r>
    <x v="210"/>
    <x v="10"/>
    <x v="2130"/>
    <x v="1"/>
    <x v="1"/>
    <x v="6"/>
    <x v="6"/>
    <x v="0"/>
    <x v="2"/>
  </r>
  <r>
    <x v="210"/>
    <x v="11"/>
    <x v="1941"/>
    <x v="1"/>
    <x v="1"/>
    <x v="6"/>
    <x v="6"/>
    <x v="0"/>
    <x v="2"/>
  </r>
  <r>
    <x v="210"/>
    <x v="12"/>
    <x v="1882"/>
    <x v="1"/>
    <x v="1"/>
    <x v="6"/>
    <x v="6"/>
    <x v="0"/>
    <x v="2"/>
  </r>
  <r>
    <x v="210"/>
    <x v="13"/>
    <x v="1888"/>
    <x v="1"/>
    <x v="1"/>
    <x v="6"/>
    <x v="6"/>
    <x v="0"/>
    <x v="2"/>
  </r>
  <r>
    <x v="210"/>
    <x v="14"/>
    <x v="2025"/>
    <x v="1"/>
    <x v="1"/>
    <x v="6"/>
    <x v="6"/>
    <x v="0"/>
    <x v="2"/>
  </r>
  <r>
    <x v="210"/>
    <x v="15"/>
    <x v="2349"/>
    <x v="1"/>
    <x v="1"/>
    <x v="6"/>
    <x v="6"/>
    <x v="0"/>
    <x v="2"/>
  </r>
  <r>
    <x v="210"/>
    <x v="16"/>
    <x v="2485"/>
    <x v="1"/>
    <x v="1"/>
    <x v="6"/>
    <x v="6"/>
    <x v="0"/>
    <x v="0"/>
  </r>
  <r>
    <x v="210"/>
    <x v="17"/>
    <x v="3109"/>
    <x v="1"/>
    <x v="1"/>
    <x v="6"/>
    <x v="6"/>
    <x v="0"/>
    <x v="0"/>
  </r>
  <r>
    <x v="210"/>
    <x v="18"/>
    <x v="3573"/>
    <x v="1"/>
    <x v="1"/>
    <x v="6"/>
    <x v="6"/>
    <x v="0"/>
    <x v="0"/>
  </r>
  <r>
    <x v="210"/>
    <x v="19"/>
    <x v="3557"/>
    <x v="1"/>
    <x v="1"/>
    <x v="6"/>
    <x v="6"/>
    <x v="0"/>
    <x v="0"/>
  </r>
  <r>
    <x v="210"/>
    <x v="20"/>
    <x v="3282"/>
    <x v="1"/>
    <x v="1"/>
    <x v="6"/>
    <x v="6"/>
    <x v="0"/>
    <x v="1"/>
  </r>
  <r>
    <x v="210"/>
    <x v="21"/>
    <x v="3139"/>
    <x v="1"/>
    <x v="1"/>
    <x v="6"/>
    <x v="6"/>
    <x v="0"/>
    <x v="1"/>
  </r>
  <r>
    <x v="210"/>
    <x v="22"/>
    <x v="2915"/>
    <x v="1"/>
    <x v="1"/>
    <x v="6"/>
    <x v="6"/>
    <x v="0"/>
    <x v="1"/>
  </r>
  <r>
    <x v="210"/>
    <x v="23"/>
    <x v="2154"/>
    <x v="1"/>
    <x v="1"/>
    <x v="6"/>
    <x v="6"/>
    <x v="0"/>
    <x v="1"/>
  </r>
  <r>
    <x v="211"/>
    <x v="0"/>
    <x v="1381"/>
    <x v="1"/>
    <x v="1"/>
    <x v="6"/>
    <x v="4"/>
    <x v="0"/>
    <x v="4"/>
  </r>
  <r>
    <x v="211"/>
    <x v="1"/>
    <x v="669"/>
    <x v="1"/>
    <x v="1"/>
    <x v="6"/>
    <x v="4"/>
    <x v="0"/>
    <x v="4"/>
  </r>
  <r>
    <x v="211"/>
    <x v="2"/>
    <x v="341"/>
    <x v="1"/>
    <x v="1"/>
    <x v="6"/>
    <x v="4"/>
    <x v="0"/>
    <x v="4"/>
  </r>
  <r>
    <x v="211"/>
    <x v="3"/>
    <x v="261"/>
    <x v="1"/>
    <x v="1"/>
    <x v="6"/>
    <x v="4"/>
    <x v="0"/>
    <x v="4"/>
  </r>
  <r>
    <x v="211"/>
    <x v="4"/>
    <x v="427"/>
    <x v="1"/>
    <x v="1"/>
    <x v="6"/>
    <x v="4"/>
    <x v="0"/>
    <x v="4"/>
  </r>
  <r>
    <x v="211"/>
    <x v="5"/>
    <x v="791"/>
    <x v="1"/>
    <x v="1"/>
    <x v="6"/>
    <x v="4"/>
    <x v="0"/>
    <x v="4"/>
  </r>
  <r>
    <x v="211"/>
    <x v="6"/>
    <x v="1487"/>
    <x v="1"/>
    <x v="1"/>
    <x v="6"/>
    <x v="4"/>
    <x v="0"/>
    <x v="3"/>
  </r>
  <r>
    <x v="211"/>
    <x v="7"/>
    <x v="2471"/>
    <x v="1"/>
    <x v="1"/>
    <x v="6"/>
    <x v="4"/>
    <x v="0"/>
    <x v="3"/>
  </r>
  <r>
    <x v="211"/>
    <x v="8"/>
    <x v="2924"/>
    <x v="1"/>
    <x v="1"/>
    <x v="6"/>
    <x v="4"/>
    <x v="0"/>
    <x v="3"/>
  </r>
  <r>
    <x v="211"/>
    <x v="9"/>
    <x v="2773"/>
    <x v="1"/>
    <x v="1"/>
    <x v="6"/>
    <x v="4"/>
    <x v="0"/>
    <x v="3"/>
  </r>
  <r>
    <x v="211"/>
    <x v="10"/>
    <x v="2197"/>
    <x v="1"/>
    <x v="1"/>
    <x v="6"/>
    <x v="4"/>
    <x v="0"/>
    <x v="2"/>
  </r>
  <r>
    <x v="211"/>
    <x v="11"/>
    <x v="1942"/>
    <x v="1"/>
    <x v="1"/>
    <x v="6"/>
    <x v="4"/>
    <x v="0"/>
    <x v="2"/>
  </r>
  <r>
    <x v="211"/>
    <x v="12"/>
    <x v="1961"/>
    <x v="1"/>
    <x v="1"/>
    <x v="6"/>
    <x v="4"/>
    <x v="0"/>
    <x v="2"/>
  </r>
  <r>
    <x v="211"/>
    <x v="13"/>
    <x v="1887"/>
    <x v="1"/>
    <x v="1"/>
    <x v="6"/>
    <x v="4"/>
    <x v="0"/>
    <x v="2"/>
  </r>
  <r>
    <x v="211"/>
    <x v="14"/>
    <x v="2270"/>
    <x v="1"/>
    <x v="1"/>
    <x v="6"/>
    <x v="4"/>
    <x v="0"/>
    <x v="2"/>
  </r>
  <r>
    <x v="211"/>
    <x v="15"/>
    <x v="2577"/>
    <x v="1"/>
    <x v="1"/>
    <x v="6"/>
    <x v="4"/>
    <x v="0"/>
    <x v="2"/>
  </r>
  <r>
    <x v="211"/>
    <x v="16"/>
    <x v="2902"/>
    <x v="1"/>
    <x v="1"/>
    <x v="6"/>
    <x v="4"/>
    <x v="0"/>
    <x v="0"/>
  </r>
  <r>
    <x v="211"/>
    <x v="17"/>
    <x v="3489"/>
    <x v="1"/>
    <x v="1"/>
    <x v="6"/>
    <x v="4"/>
    <x v="0"/>
    <x v="0"/>
  </r>
  <r>
    <x v="211"/>
    <x v="18"/>
    <x v="3769"/>
    <x v="1"/>
    <x v="1"/>
    <x v="6"/>
    <x v="4"/>
    <x v="0"/>
    <x v="0"/>
  </r>
  <r>
    <x v="211"/>
    <x v="19"/>
    <x v="3752"/>
    <x v="1"/>
    <x v="1"/>
    <x v="6"/>
    <x v="4"/>
    <x v="0"/>
    <x v="0"/>
  </r>
  <r>
    <x v="211"/>
    <x v="20"/>
    <x v="3679"/>
    <x v="1"/>
    <x v="1"/>
    <x v="6"/>
    <x v="4"/>
    <x v="0"/>
    <x v="1"/>
  </r>
  <r>
    <x v="211"/>
    <x v="21"/>
    <x v="3614"/>
    <x v="1"/>
    <x v="1"/>
    <x v="6"/>
    <x v="4"/>
    <x v="0"/>
    <x v="1"/>
  </r>
  <r>
    <x v="211"/>
    <x v="22"/>
    <x v="3447"/>
    <x v="1"/>
    <x v="1"/>
    <x v="6"/>
    <x v="4"/>
    <x v="0"/>
    <x v="1"/>
  </r>
  <r>
    <x v="211"/>
    <x v="23"/>
    <x v="3031"/>
    <x v="1"/>
    <x v="1"/>
    <x v="6"/>
    <x v="4"/>
    <x v="0"/>
    <x v="1"/>
  </r>
  <r>
    <x v="212"/>
    <x v="0"/>
    <x v="2163"/>
    <x v="1"/>
    <x v="1"/>
    <x v="6"/>
    <x v="0"/>
    <x v="0"/>
    <x v="4"/>
  </r>
  <r>
    <x v="212"/>
    <x v="1"/>
    <x v="1135"/>
    <x v="1"/>
    <x v="1"/>
    <x v="6"/>
    <x v="0"/>
    <x v="0"/>
    <x v="4"/>
  </r>
  <r>
    <x v="212"/>
    <x v="2"/>
    <x v="697"/>
    <x v="1"/>
    <x v="1"/>
    <x v="6"/>
    <x v="0"/>
    <x v="0"/>
    <x v="4"/>
  </r>
  <r>
    <x v="212"/>
    <x v="3"/>
    <x v="385"/>
    <x v="1"/>
    <x v="1"/>
    <x v="6"/>
    <x v="0"/>
    <x v="0"/>
    <x v="4"/>
  </r>
  <r>
    <x v="212"/>
    <x v="4"/>
    <x v="541"/>
    <x v="1"/>
    <x v="1"/>
    <x v="6"/>
    <x v="0"/>
    <x v="0"/>
    <x v="4"/>
  </r>
  <r>
    <x v="212"/>
    <x v="5"/>
    <x v="835"/>
    <x v="1"/>
    <x v="1"/>
    <x v="6"/>
    <x v="0"/>
    <x v="0"/>
    <x v="4"/>
  </r>
  <r>
    <x v="212"/>
    <x v="6"/>
    <x v="1497"/>
    <x v="1"/>
    <x v="1"/>
    <x v="6"/>
    <x v="0"/>
    <x v="0"/>
    <x v="3"/>
  </r>
  <r>
    <x v="212"/>
    <x v="7"/>
    <x v="2582"/>
    <x v="1"/>
    <x v="1"/>
    <x v="6"/>
    <x v="0"/>
    <x v="0"/>
    <x v="3"/>
  </r>
  <r>
    <x v="212"/>
    <x v="8"/>
    <x v="3146"/>
    <x v="1"/>
    <x v="1"/>
    <x v="6"/>
    <x v="0"/>
    <x v="0"/>
    <x v="3"/>
  </r>
  <r>
    <x v="212"/>
    <x v="9"/>
    <x v="2980"/>
    <x v="1"/>
    <x v="1"/>
    <x v="6"/>
    <x v="0"/>
    <x v="0"/>
    <x v="3"/>
  </r>
  <r>
    <x v="212"/>
    <x v="10"/>
    <x v="2369"/>
    <x v="1"/>
    <x v="1"/>
    <x v="6"/>
    <x v="0"/>
    <x v="0"/>
    <x v="2"/>
  </r>
  <r>
    <x v="212"/>
    <x v="11"/>
    <x v="2189"/>
    <x v="1"/>
    <x v="1"/>
    <x v="6"/>
    <x v="0"/>
    <x v="0"/>
    <x v="2"/>
  </r>
  <r>
    <x v="212"/>
    <x v="12"/>
    <x v="2143"/>
    <x v="1"/>
    <x v="1"/>
    <x v="6"/>
    <x v="0"/>
    <x v="0"/>
    <x v="2"/>
  </r>
  <r>
    <x v="212"/>
    <x v="13"/>
    <x v="2097"/>
    <x v="1"/>
    <x v="1"/>
    <x v="6"/>
    <x v="0"/>
    <x v="0"/>
    <x v="2"/>
  </r>
  <r>
    <x v="212"/>
    <x v="14"/>
    <x v="2374"/>
    <x v="1"/>
    <x v="1"/>
    <x v="6"/>
    <x v="0"/>
    <x v="0"/>
    <x v="2"/>
  </r>
  <r>
    <x v="212"/>
    <x v="15"/>
    <x v="2691"/>
    <x v="1"/>
    <x v="1"/>
    <x v="6"/>
    <x v="0"/>
    <x v="0"/>
    <x v="2"/>
  </r>
  <r>
    <x v="212"/>
    <x v="16"/>
    <x v="3013"/>
    <x v="1"/>
    <x v="1"/>
    <x v="6"/>
    <x v="0"/>
    <x v="0"/>
    <x v="0"/>
  </r>
  <r>
    <x v="212"/>
    <x v="17"/>
    <x v="3542"/>
    <x v="1"/>
    <x v="1"/>
    <x v="6"/>
    <x v="0"/>
    <x v="0"/>
    <x v="0"/>
  </r>
  <r>
    <x v="212"/>
    <x v="18"/>
    <x v="3956"/>
    <x v="1"/>
    <x v="1"/>
    <x v="6"/>
    <x v="0"/>
    <x v="0"/>
    <x v="0"/>
  </r>
  <r>
    <x v="212"/>
    <x v="19"/>
    <x v="4128"/>
    <x v="1"/>
    <x v="1"/>
    <x v="6"/>
    <x v="0"/>
    <x v="0"/>
    <x v="0"/>
  </r>
  <r>
    <x v="212"/>
    <x v="20"/>
    <x v="4109"/>
    <x v="1"/>
    <x v="1"/>
    <x v="6"/>
    <x v="0"/>
    <x v="0"/>
    <x v="1"/>
  </r>
  <r>
    <x v="212"/>
    <x v="21"/>
    <x v="3973"/>
    <x v="1"/>
    <x v="1"/>
    <x v="6"/>
    <x v="0"/>
    <x v="0"/>
    <x v="1"/>
  </r>
  <r>
    <x v="212"/>
    <x v="22"/>
    <x v="4072"/>
    <x v="1"/>
    <x v="1"/>
    <x v="6"/>
    <x v="0"/>
    <x v="0"/>
    <x v="1"/>
  </r>
  <r>
    <x v="212"/>
    <x v="23"/>
    <x v="4049"/>
    <x v="1"/>
    <x v="1"/>
    <x v="6"/>
    <x v="0"/>
    <x v="0"/>
    <x v="1"/>
  </r>
  <r>
    <x v="213"/>
    <x v="0"/>
    <x v="3785"/>
    <x v="1"/>
    <x v="1"/>
    <x v="6"/>
    <x v="2"/>
    <x v="1"/>
    <x v="4"/>
  </r>
  <r>
    <x v="213"/>
    <x v="1"/>
    <x v="3073"/>
    <x v="1"/>
    <x v="1"/>
    <x v="6"/>
    <x v="2"/>
    <x v="1"/>
    <x v="4"/>
  </r>
  <r>
    <x v="213"/>
    <x v="2"/>
    <x v="2206"/>
    <x v="1"/>
    <x v="1"/>
    <x v="6"/>
    <x v="2"/>
    <x v="1"/>
    <x v="4"/>
  </r>
  <r>
    <x v="213"/>
    <x v="3"/>
    <x v="1550"/>
    <x v="1"/>
    <x v="1"/>
    <x v="6"/>
    <x v="2"/>
    <x v="1"/>
    <x v="4"/>
  </r>
  <r>
    <x v="213"/>
    <x v="4"/>
    <x v="1042"/>
    <x v="1"/>
    <x v="1"/>
    <x v="6"/>
    <x v="2"/>
    <x v="1"/>
    <x v="4"/>
  </r>
  <r>
    <x v="213"/>
    <x v="5"/>
    <x v="768"/>
    <x v="1"/>
    <x v="1"/>
    <x v="6"/>
    <x v="2"/>
    <x v="1"/>
    <x v="4"/>
  </r>
  <r>
    <x v="213"/>
    <x v="6"/>
    <x v="757"/>
    <x v="1"/>
    <x v="1"/>
    <x v="6"/>
    <x v="2"/>
    <x v="1"/>
    <x v="3"/>
  </r>
  <r>
    <x v="213"/>
    <x v="7"/>
    <x v="980"/>
    <x v="1"/>
    <x v="1"/>
    <x v="6"/>
    <x v="2"/>
    <x v="1"/>
    <x v="3"/>
  </r>
  <r>
    <x v="213"/>
    <x v="8"/>
    <x v="1457"/>
    <x v="1"/>
    <x v="1"/>
    <x v="6"/>
    <x v="2"/>
    <x v="1"/>
    <x v="3"/>
  </r>
  <r>
    <x v="213"/>
    <x v="9"/>
    <x v="1998"/>
    <x v="1"/>
    <x v="1"/>
    <x v="6"/>
    <x v="2"/>
    <x v="1"/>
    <x v="3"/>
  </r>
  <r>
    <x v="213"/>
    <x v="10"/>
    <x v="2315"/>
    <x v="1"/>
    <x v="1"/>
    <x v="6"/>
    <x v="2"/>
    <x v="1"/>
    <x v="2"/>
  </r>
  <r>
    <x v="213"/>
    <x v="11"/>
    <x v="2643"/>
    <x v="1"/>
    <x v="1"/>
    <x v="6"/>
    <x v="2"/>
    <x v="1"/>
    <x v="2"/>
  </r>
  <r>
    <x v="213"/>
    <x v="12"/>
    <x v="2847"/>
    <x v="1"/>
    <x v="1"/>
    <x v="6"/>
    <x v="2"/>
    <x v="1"/>
    <x v="2"/>
  </r>
  <r>
    <x v="213"/>
    <x v="13"/>
    <x v="2979"/>
    <x v="1"/>
    <x v="1"/>
    <x v="6"/>
    <x v="2"/>
    <x v="1"/>
    <x v="2"/>
  </r>
  <r>
    <x v="213"/>
    <x v="14"/>
    <x v="2936"/>
    <x v="1"/>
    <x v="1"/>
    <x v="6"/>
    <x v="2"/>
    <x v="1"/>
    <x v="2"/>
  </r>
  <r>
    <x v="213"/>
    <x v="15"/>
    <x v="3152"/>
    <x v="1"/>
    <x v="1"/>
    <x v="6"/>
    <x v="2"/>
    <x v="1"/>
    <x v="2"/>
  </r>
  <r>
    <x v="213"/>
    <x v="16"/>
    <x v="3425"/>
    <x v="1"/>
    <x v="1"/>
    <x v="6"/>
    <x v="2"/>
    <x v="1"/>
    <x v="0"/>
  </r>
  <r>
    <x v="213"/>
    <x v="17"/>
    <x v="3773"/>
    <x v="1"/>
    <x v="1"/>
    <x v="6"/>
    <x v="2"/>
    <x v="1"/>
    <x v="0"/>
  </r>
  <r>
    <x v="213"/>
    <x v="18"/>
    <x v="3960"/>
    <x v="1"/>
    <x v="1"/>
    <x v="6"/>
    <x v="2"/>
    <x v="1"/>
    <x v="0"/>
  </r>
  <r>
    <x v="213"/>
    <x v="19"/>
    <x v="4127"/>
    <x v="1"/>
    <x v="1"/>
    <x v="6"/>
    <x v="2"/>
    <x v="1"/>
    <x v="0"/>
  </r>
  <r>
    <x v="213"/>
    <x v="20"/>
    <x v="4067"/>
    <x v="1"/>
    <x v="1"/>
    <x v="6"/>
    <x v="2"/>
    <x v="1"/>
    <x v="1"/>
  </r>
  <r>
    <x v="213"/>
    <x v="21"/>
    <x v="4018"/>
    <x v="1"/>
    <x v="1"/>
    <x v="6"/>
    <x v="2"/>
    <x v="1"/>
    <x v="1"/>
  </r>
  <r>
    <x v="213"/>
    <x v="22"/>
    <x v="4078"/>
    <x v="1"/>
    <x v="1"/>
    <x v="6"/>
    <x v="2"/>
    <x v="1"/>
    <x v="1"/>
  </r>
  <r>
    <x v="213"/>
    <x v="23"/>
    <x v="4074"/>
    <x v="1"/>
    <x v="1"/>
    <x v="6"/>
    <x v="2"/>
    <x v="1"/>
    <x v="1"/>
  </r>
  <r>
    <x v="214"/>
    <x v="0"/>
    <x v="3849"/>
    <x v="1"/>
    <x v="1"/>
    <x v="7"/>
    <x v="3"/>
    <x v="1"/>
    <x v="4"/>
  </r>
  <r>
    <x v="214"/>
    <x v="1"/>
    <x v="3311"/>
    <x v="1"/>
    <x v="1"/>
    <x v="7"/>
    <x v="3"/>
    <x v="1"/>
    <x v="4"/>
  </r>
  <r>
    <x v="214"/>
    <x v="2"/>
    <x v="2652"/>
    <x v="1"/>
    <x v="1"/>
    <x v="7"/>
    <x v="3"/>
    <x v="1"/>
    <x v="4"/>
  </r>
  <r>
    <x v="214"/>
    <x v="3"/>
    <x v="1827"/>
    <x v="1"/>
    <x v="1"/>
    <x v="7"/>
    <x v="3"/>
    <x v="1"/>
    <x v="4"/>
  </r>
  <r>
    <x v="214"/>
    <x v="4"/>
    <x v="1097"/>
    <x v="1"/>
    <x v="1"/>
    <x v="7"/>
    <x v="3"/>
    <x v="1"/>
    <x v="4"/>
  </r>
  <r>
    <x v="214"/>
    <x v="5"/>
    <x v="680"/>
    <x v="1"/>
    <x v="1"/>
    <x v="7"/>
    <x v="3"/>
    <x v="1"/>
    <x v="4"/>
  </r>
  <r>
    <x v="214"/>
    <x v="6"/>
    <x v="627"/>
    <x v="1"/>
    <x v="1"/>
    <x v="7"/>
    <x v="3"/>
    <x v="1"/>
    <x v="3"/>
  </r>
  <r>
    <x v="214"/>
    <x v="7"/>
    <x v="765"/>
    <x v="1"/>
    <x v="1"/>
    <x v="7"/>
    <x v="3"/>
    <x v="1"/>
    <x v="3"/>
  </r>
  <r>
    <x v="214"/>
    <x v="8"/>
    <x v="1182"/>
    <x v="1"/>
    <x v="1"/>
    <x v="7"/>
    <x v="3"/>
    <x v="1"/>
    <x v="3"/>
  </r>
  <r>
    <x v="214"/>
    <x v="9"/>
    <x v="1601"/>
    <x v="1"/>
    <x v="1"/>
    <x v="7"/>
    <x v="3"/>
    <x v="1"/>
    <x v="3"/>
  </r>
  <r>
    <x v="214"/>
    <x v="10"/>
    <x v="2077"/>
    <x v="1"/>
    <x v="1"/>
    <x v="7"/>
    <x v="3"/>
    <x v="1"/>
    <x v="2"/>
  </r>
  <r>
    <x v="214"/>
    <x v="11"/>
    <x v="2387"/>
    <x v="1"/>
    <x v="1"/>
    <x v="7"/>
    <x v="3"/>
    <x v="1"/>
    <x v="2"/>
  </r>
  <r>
    <x v="214"/>
    <x v="12"/>
    <x v="2581"/>
    <x v="1"/>
    <x v="1"/>
    <x v="7"/>
    <x v="3"/>
    <x v="1"/>
    <x v="2"/>
  </r>
  <r>
    <x v="214"/>
    <x v="13"/>
    <x v="2650"/>
    <x v="1"/>
    <x v="1"/>
    <x v="7"/>
    <x v="3"/>
    <x v="1"/>
    <x v="2"/>
  </r>
  <r>
    <x v="214"/>
    <x v="14"/>
    <x v="2620"/>
    <x v="1"/>
    <x v="1"/>
    <x v="7"/>
    <x v="3"/>
    <x v="1"/>
    <x v="2"/>
  </r>
  <r>
    <x v="214"/>
    <x v="15"/>
    <x v="2860"/>
    <x v="1"/>
    <x v="1"/>
    <x v="7"/>
    <x v="3"/>
    <x v="1"/>
    <x v="2"/>
  </r>
  <r>
    <x v="214"/>
    <x v="16"/>
    <x v="3446"/>
    <x v="1"/>
    <x v="1"/>
    <x v="7"/>
    <x v="3"/>
    <x v="1"/>
    <x v="0"/>
  </r>
  <r>
    <x v="214"/>
    <x v="17"/>
    <x v="3907"/>
    <x v="1"/>
    <x v="1"/>
    <x v="7"/>
    <x v="3"/>
    <x v="1"/>
    <x v="0"/>
  </r>
  <r>
    <x v="214"/>
    <x v="18"/>
    <x v="3753"/>
    <x v="1"/>
    <x v="1"/>
    <x v="7"/>
    <x v="3"/>
    <x v="1"/>
    <x v="0"/>
  </r>
  <r>
    <x v="214"/>
    <x v="19"/>
    <x v="2479"/>
    <x v="1"/>
    <x v="1"/>
    <x v="7"/>
    <x v="3"/>
    <x v="1"/>
    <x v="0"/>
  </r>
  <r>
    <x v="214"/>
    <x v="20"/>
    <x v="2539"/>
    <x v="1"/>
    <x v="1"/>
    <x v="7"/>
    <x v="3"/>
    <x v="1"/>
    <x v="1"/>
  </r>
  <r>
    <x v="214"/>
    <x v="21"/>
    <x v="2634"/>
    <x v="1"/>
    <x v="1"/>
    <x v="7"/>
    <x v="3"/>
    <x v="1"/>
    <x v="1"/>
  </r>
  <r>
    <x v="214"/>
    <x v="22"/>
    <x v="4150"/>
    <x v="1"/>
    <x v="1"/>
    <x v="7"/>
    <x v="3"/>
    <x v="1"/>
    <x v="1"/>
  </r>
  <r>
    <x v="214"/>
    <x v="23"/>
    <x v="3211"/>
    <x v="1"/>
    <x v="1"/>
    <x v="7"/>
    <x v="3"/>
    <x v="1"/>
    <x v="1"/>
  </r>
  <r>
    <x v="215"/>
    <x v="0"/>
    <x v="1579"/>
    <x v="1"/>
    <x v="1"/>
    <x v="7"/>
    <x v="1"/>
    <x v="0"/>
    <x v="4"/>
  </r>
  <r>
    <x v="215"/>
    <x v="1"/>
    <x v="796"/>
    <x v="1"/>
    <x v="1"/>
    <x v="7"/>
    <x v="1"/>
    <x v="0"/>
    <x v="4"/>
  </r>
  <r>
    <x v="215"/>
    <x v="2"/>
    <x v="445"/>
    <x v="1"/>
    <x v="1"/>
    <x v="7"/>
    <x v="1"/>
    <x v="0"/>
    <x v="4"/>
  </r>
  <r>
    <x v="215"/>
    <x v="3"/>
    <x v="305"/>
    <x v="1"/>
    <x v="1"/>
    <x v="7"/>
    <x v="1"/>
    <x v="0"/>
    <x v="4"/>
  </r>
  <r>
    <x v="215"/>
    <x v="4"/>
    <x v="425"/>
    <x v="1"/>
    <x v="1"/>
    <x v="7"/>
    <x v="1"/>
    <x v="0"/>
    <x v="4"/>
  </r>
  <r>
    <x v="215"/>
    <x v="5"/>
    <x v="853"/>
    <x v="1"/>
    <x v="1"/>
    <x v="7"/>
    <x v="1"/>
    <x v="0"/>
    <x v="4"/>
  </r>
  <r>
    <x v="215"/>
    <x v="6"/>
    <x v="1768"/>
    <x v="1"/>
    <x v="1"/>
    <x v="7"/>
    <x v="1"/>
    <x v="0"/>
    <x v="3"/>
  </r>
  <r>
    <x v="215"/>
    <x v="7"/>
    <x v="2773"/>
    <x v="1"/>
    <x v="1"/>
    <x v="7"/>
    <x v="1"/>
    <x v="0"/>
    <x v="3"/>
  </r>
  <r>
    <x v="215"/>
    <x v="8"/>
    <x v="3376"/>
    <x v="1"/>
    <x v="1"/>
    <x v="7"/>
    <x v="1"/>
    <x v="0"/>
    <x v="3"/>
  </r>
  <r>
    <x v="215"/>
    <x v="9"/>
    <x v="3339"/>
    <x v="1"/>
    <x v="1"/>
    <x v="7"/>
    <x v="1"/>
    <x v="0"/>
    <x v="3"/>
  </r>
  <r>
    <x v="215"/>
    <x v="10"/>
    <x v="2696"/>
    <x v="1"/>
    <x v="1"/>
    <x v="7"/>
    <x v="1"/>
    <x v="0"/>
    <x v="2"/>
  </r>
  <r>
    <x v="215"/>
    <x v="11"/>
    <x v="2456"/>
    <x v="1"/>
    <x v="1"/>
    <x v="7"/>
    <x v="1"/>
    <x v="0"/>
    <x v="2"/>
  </r>
  <r>
    <x v="215"/>
    <x v="12"/>
    <x v="2371"/>
    <x v="1"/>
    <x v="1"/>
    <x v="7"/>
    <x v="1"/>
    <x v="0"/>
    <x v="2"/>
  </r>
  <r>
    <x v="215"/>
    <x v="13"/>
    <x v="2300"/>
    <x v="1"/>
    <x v="1"/>
    <x v="7"/>
    <x v="1"/>
    <x v="0"/>
    <x v="2"/>
  </r>
  <r>
    <x v="215"/>
    <x v="14"/>
    <x v="2616"/>
    <x v="1"/>
    <x v="1"/>
    <x v="7"/>
    <x v="1"/>
    <x v="0"/>
    <x v="2"/>
  </r>
  <r>
    <x v="215"/>
    <x v="15"/>
    <x v="2738"/>
    <x v="1"/>
    <x v="1"/>
    <x v="7"/>
    <x v="1"/>
    <x v="0"/>
    <x v="2"/>
  </r>
  <r>
    <x v="215"/>
    <x v="16"/>
    <x v="3010"/>
    <x v="1"/>
    <x v="1"/>
    <x v="7"/>
    <x v="1"/>
    <x v="0"/>
    <x v="0"/>
  </r>
  <r>
    <x v="215"/>
    <x v="17"/>
    <x v="3449"/>
    <x v="1"/>
    <x v="1"/>
    <x v="7"/>
    <x v="1"/>
    <x v="0"/>
    <x v="0"/>
  </r>
  <r>
    <x v="215"/>
    <x v="18"/>
    <x v="3688"/>
    <x v="1"/>
    <x v="1"/>
    <x v="7"/>
    <x v="1"/>
    <x v="0"/>
    <x v="0"/>
  </r>
  <r>
    <x v="215"/>
    <x v="19"/>
    <x v="3500"/>
    <x v="1"/>
    <x v="1"/>
    <x v="7"/>
    <x v="1"/>
    <x v="0"/>
    <x v="0"/>
  </r>
  <r>
    <x v="215"/>
    <x v="20"/>
    <x v="3154"/>
    <x v="1"/>
    <x v="1"/>
    <x v="7"/>
    <x v="1"/>
    <x v="0"/>
    <x v="1"/>
  </r>
  <r>
    <x v="215"/>
    <x v="21"/>
    <x v="2922"/>
    <x v="1"/>
    <x v="1"/>
    <x v="7"/>
    <x v="1"/>
    <x v="0"/>
    <x v="1"/>
  </r>
  <r>
    <x v="215"/>
    <x v="22"/>
    <x v="2546"/>
    <x v="1"/>
    <x v="1"/>
    <x v="7"/>
    <x v="1"/>
    <x v="0"/>
    <x v="1"/>
  </r>
  <r>
    <x v="215"/>
    <x v="23"/>
    <x v="1879"/>
    <x v="1"/>
    <x v="1"/>
    <x v="7"/>
    <x v="1"/>
    <x v="0"/>
    <x v="1"/>
  </r>
  <r>
    <x v="216"/>
    <x v="0"/>
    <x v="1224"/>
    <x v="1"/>
    <x v="1"/>
    <x v="7"/>
    <x v="5"/>
    <x v="0"/>
    <x v="4"/>
  </r>
  <r>
    <x v="216"/>
    <x v="1"/>
    <x v="700"/>
    <x v="1"/>
    <x v="1"/>
    <x v="7"/>
    <x v="5"/>
    <x v="0"/>
    <x v="4"/>
  </r>
  <r>
    <x v="216"/>
    <x v="2"/>
    <x v="390"/>
    <x v="1"/>
    <x v="1"/>
    <x v="7"/>
    <x v="5"/>
    <x v="0"/>
    <x v="4"/>
  </r>
  <r>
    <x v="216"/>
    <x v="3"/>
    <x v="265"/>
    <x v="1"/>
    <x v="1"/>
    <x v="7"/>
    <x v="5"/>
    <x v="0"/>
    <x v="4"/>
  </r>
  <r>
    <x v="216"/>
    <x v="4"/>
    <x v="427"/>
    <x v="1"/>
    <x v="1"/>
    <x v="7"/>
    <x v="5"/>
    <x v="0"/>
    <x v="4"/>
  </r>
  <r>
    <x v="216"/>
    <x v="5"/>
    <x v="751"/>
    <x v="1"/>
    <x v="1"/>
    <x v="7"/>
    <x v="5"/>
    <x v="0"/>
    <x v="4"/>
  </r>
  <r>
    <x v="216"/>
    <x v="6"/>
    <x v="1496"/>
    <x v="1"/>
    <x v="1"/>
    <x v="7"/>
    <x v="5"/>
    <x v="0"/>
    <x v="3"/>
  </r>
  <r>
    <x v="216"/>
    <x v="7"/>
    <x v="2415"/>
    <x v="1"/>
    <x v="1"/>
    <x v="7"/>
    <x v="5"/>
    <x v="0"/>
    <x v="3"/>
  </r>
  <r>
    <x v="216"/>
    <x v="8"/>
    <x v="2976"/>
    <x v="1"/>
    <x v="1"/>
    <x v="7"/>
    <x v="5"/>
    <x v="0"/>
    <x v="3"/>
  </r>
  <r>
    <x v="216"/>
    <x v="9"/>
    <x v="3144"/>
    <x v="1"/>
    <x v="1"/>
    <x v="7"/>
    <x v="5"/>
    <x v="0"/>
    <x v="3"/>
  </r>
  <r>
    <x v="216"/>
    <x v="10"/>
    <x v="2810"/>
    <x v="1"/>
    <x v="1"/>
    <x v="7"/>
    <x v="5"/>
    <x v="0"/>
    <x v="2"/>
  </r>
  <r>
    <x v="216"/>
    <x v="11"/>
    <x v="2364"/>
    <x v="1"/>
    <x v="1"/>
    <x v="7"/>
    <x v="5"/>
    <x v="0"/>
    <x v="2"/>
  </r>
  <r>
    <x v="216"/>
    <x v="12"/>
    <x v="2230"/>
    <x v="1"/>
    <x v="1"/>
    <x v="7"/>
    <x v="5"/>
    <x v="0"/>
    <x v="2"/>
  </r>
  <r>
    <x v="216"/>
    <x v="13"/>
    <x v="2115"/>
    <x v="1"/>
    <x v="1"/>
    <x v="7"/>
    <x v="5"/>
    <x v="0"/>
    <x v="2"/>
  </r>
  <r>
    <x v="216"/>
    <x v="14"/>
    <x v="2317"/>
    <x v="1"/>
    <x v="1"/>
    <x v="7"/>
    <x v="5"/>
    <x v="0"/>
    <x v="2"/>
  </r>
  <r>
    <x v="216"/>
    <x v="15"/>
    <x v="2642"/>
    <x v="1"/>
    <x v="1"/>
    <x v="7"/>
    <x v="5"/>
    <x v="0"/>
    <x v="2"/>
  </r>
  <r>
    <x v="216"/>
    <x v="16"/>
    <x v="2990"/>
    <x v="1"/>
    <x v="1"/>
    <x v="7"/>
    <x v="5"/>
    <x v="0"/>
    <x v="0"/>
  </r>
  <r>
    <x v="216"/>
    <x v="17"/>
    <x v="3535"/>
    <x v="1"/>
    <x v="1"/>
    <x v="7"/>
    <x v="5"/>
    <x v="0"/>
    <x v="0"/>
  </r>
  <r>
    <x v="216"/>
    <x v="18"/>
    <x v="3813"/>
    <x v="1"/>
    <x v="1"/>
    <x v="7"/>
    <x v="5"/>
    <x v="0"/>
    <x v="0"/>
  </r>
  <r>
    <x v="216"/>
    <x v="19"/>
    <x v="3791"/>
    <x v="1"/>
    <x v="1"/>
    <x v="7"/>
    <x v="5"/>
    <x v="0"/>
    <x v="0"/>
  </r>
  <r>
    <x v="216"/>
    <x v="20"/>
    <x v="3574"/>
    <x v="1"/>
    <x v="1"/>
    <x v="7"/>
    <x v="5"/>
    <x v="0"/>
    <x v="1"/>
  </r>
  <r>
    <x v="216"/>
    <x v="21"/>
    <x v="3428"/>
    <x v="1"/>
    <x v="1"/>
    <x v="7"/>
    <x v="5"/>
    <x v="0"/>
    <x v="1"/>
  </r>
  <r>
    <x v="216"/>
    <x v="22"/>
    <x v="3135"/>
    <x v="1"/>
    <x v="1"/>
    <x v="7"/>
    <x v="5"/>
    <x v="0"/>
    <x v="1"/>
  </r>
  <r>
    <x v="216"/>
    <x v="23"/>
    <x v="2389"/>
    <x v="1"/>
    <x v="1"/>
    <x v="7"/>
    <x v="5"/>
    <x v="0"/>
    <x v="1"/>
  </r>
  <r>
    <x v="217"/>
    <x v="0"/>
    <x v="1500"/>
    <x v="1"/>
    <x v="1"/>
    <x v="7"/>
    <x v="6"/>
    <x v="0"/>
    <x v="4"/>
  </r>
  <r>
    <x v="217"/>
    <x v="1"/>
    <x v="761"/>
    <x v="1"/>
    <x v="1"/>
    <x v="7"/>
    <x v="6"/>
    <x v="0"/>
    <x v="4"/>
  </r>
  <r>
    <x v="217"/>
    <x v="2"/>
    <x v="393"/>
    <x v="1"/>
    <x v="1"/>
    <x v="7"/>
    <x v="6"/>
    <x v="0"/>
    <x v="4"/>
  </r>
  <r>
    <x v="217"/>
    <x v="3"/>
    <x v="276"/>
    <x v="1"/>
    <x v="1"/>
    <x v="7"/>
    <x v="6"/>
    <x v="0"/>
    <x v="4"/>
  </r>
  <r>
    <x v="217"/>
    <x v="4"/>
    <x v="461"/>
    <x v="1"/>
    <x v="1"/>
    <x v="7"/>
    <x v="6"/>
    <x v="0"/>
    <x v="4"/>
  </r>
  <r>
    <x v="217"/>
    <x v="5"/>
    <x v="861"/>
    <x v="1"/>
    <x v="1"/>
    <x v="7"/>
    <x v="6"/>
    <x v="0"/>
    <x v="4"/>
  </r>
  <r>
    <x v="217"/>
    <x v="6"/>
    <x v="1586"/>
    <x v="1"/>
    <x v="1"/>
    <x v="7"/>
    <x v="6"/>
    <x v="0"/>
    <x v="3"/>
  </r>
  <r>
    <x v="217"/>
    <x v="7"/>
    <x v="2611"/>
    <x v="1"/>
    <x v="1"/>
    <x v="7"/>
    <x v="6"/>
    <x v="0"/>
    <x v="3"/>
  </r>
  <r>
    <x v="217"/>
    <x v="8"/>
    <x v="3068"/>
    <x v="1"/>
    <x v="1"/>
    <x v="7"/>
    <x v="6"/>
    <x v="0"/>
    <x v="3"/>
  </r>
  <r>
    <x v="217"/>
    <x v="9"/>
    <x v="2988"/>
    <x v="1"/>
    <x v="1"/>
    <x v="7"/>
    <x v="6"/>
    <x v="0"/>
    <x v="3"/>
  </r>
  <r>
    <x v="217"/>
    <x v="10"/>
    <x v="2292"/>
    <x v="1"/>
    <x v="1"/>
    <x v="7"/>
    <x v="6"/>
    <x v="0"/>
    <x v="2"/>
  </r>
  <r>
    <x v="217"/>
    <x v="11"/>
    <x v="2165"/>
    <x v="1"/>
    <x v="1"/>
    <x v="7"/>
    <x v="6"/>
    <x v="0"/>
    <x v="2"/>
  </r>
  <r>
    <x v="217"/>
    <x v="12"/>
    <x v="2073"/>
    <x v="1"/>
    <x v="1"/>
    <x v="7"/>
    <x v="6"/>
    <x v="0"/>
    <x v="2"/>
  </r>
  <r>
    <x v="217"/>
    <x v="13"/>
    <x v="2066"/>
    <x v="1"/>
    <x v="1"/>
    <x v="7"/>
    <x v="6"/>
    <x v="0"/>
    <x v="2"/>
  </r>
  <r>
    <x v="217"/>
    <x v="14"/>
    <x v="2281"/>
    <x v="1"/>
    <x v="1"/>
    <x v="7"/>
    <x v="6"/>
    <x v="0"/>
    <x v="2"/>
  </r>
  <r>
    <x v="217"/>
    <x v="15"/>
    <x v="2439"/>
    <x v="1"/>
    <x v="1"/>
    <x v="7"/>
    <x v="6"/>
    <x v="0"/>
    <x v="2"/>
  </r>
  <r>
    <x v="217"/>
    <x v="16"/>
    <x v="2854"/>
    <x v="1"/>
    <x v="1"/>
    <x v="7"/>
    <x v="6"/>
    <x v="0"/>
    <x v="0"/>
  </r>
  <r>
    <x v="217"/>
    <x v="17"/>
    <x v="3268"/>
    <x v="1"/>
    <x v="1"/>
    <x v="7"/>
    <x v="6"/>
    <x v="0"/>
    <x v="0"/>
  </r>
  <r>
    <x v="217"/>
    <x v="18"/>
    <x v="3639"/>
    <x v="1"/>
    <x v="1"/>
    <x v="7"/>
    <x v="6"/>
    <x v="0"/>
    <x v="0"/>
  </r>
  <r>
    <x v="217"/>
    <x v="19"/>
    <x v="3664"/>
    <x v="1"/>
    <x v="1"/>
    <x v="7"/>
    <x v="6"/>
    <x v="0"/>
    <x v="0"/>
  </r>
  <r>
    <x v="217"/>
    <x v="20"/>
    <x v="3461"/>
    <x v="1"/>
    <x v="1"/>
    <x v="7"/>
    <x v="6"/>
    <x v="0"/>
    <x v="1"/>
  </r>
  <r>
    <x v="217"/>
    <x v="21"/>
    <x v="3336"/>
    <x v="1"/>
    <x v="1"/>
    <x v="7"/>
    <x v="6"/>
    <x v="0"/>
    <x v="1"/>
  </r>
  <r>
    <x v="217"/>
    <x v="22"/>
    <x v="3044"/>
    <x v="1"/>
    <x v="1"/>
    <x v="7"/>
    <x v="6"/>
    <x v="0"/>
    <x v="1"/>
  </r>
  <r>
    <x v="217"/>
    <x v="23"/>
    <x v="2436"/>
    <x v="1"/>
    <x v="1"/>
    <x v="7"/>
    <x v="6"/>
    <x v="0"/>
    <x v="1"/>
  </r>
  <r>
    <x v="218"/>
    <x v="0"/>
    <x v="1556"/>
    <x v="1"/>
    <x v="1"/>
    <x v="7"/>
    <x v="4"/>
    <x v="0"/>
    <x v="4"/>
  </r>
  <r>
    <x v="218"/>
    <x v="1"/>
    <x v="758"/>
    <x v="1"/>
    <x v="1"/>
    <x v="7"/>
    <x v="4"/>
    <x v="0"/>
    <x v="4"/>
  </r>
  <r>
    <x v="218"/>
    <x v="2"/>
    <x v="449"/>
    <x v="1"/>
    <x v="1"/>
    <x v="7"/>
    <x v="4"/>
    <x v="0"/>
    <x v="4"/>
  </r>
  <r>
    <x v="218"/>
    <x v="3"/>
    <x v="300"/>
    <x v="1"/>
    <x v="1"/>
    <x v="7"/>
    <x v="4"/>
    <x v="0"/>
    <x v="4"/>
  </r>
  <r>
    <x v="218"/>
    <x v="4"/>
    <x v="478"/>
    <x v="1"/>
    <x v="1"/>
    <x v="7"/>
    <x v="4"/>
    <x v="0"/>
    <x v="4"/>
  </r>
  <r>
    <x v="218"/>
    <x v="5"/>
    <x v="897"/>
    <x v="1"/>
    <x v="1"/>
    <x v="7"/>
    <x v="4"/>
    <x v="0"/>
    <x v="4"/>
  </r>
  <r>
    <x v="218"/>
    <x v="6"/>
    <x v="1586"/>
    <x v="1"/>
    <x v="1"/>
    <x v="7"/>
    <x v="4"/>
    <x v="0"/>
    <x v="3"/>
  </r>
  <r>
    <x v="218"/>
    <x v="7"/>
    <x v="2619"/>
    <x v="1"/>
    <x v="1"/>
    <x v="7"/>
    <x v="4"/>
    <x v="0"/>
    <x v="3"/>
  </r>
  <r>
    <x v="218"/>
    <x v="8"/>
    <x v="3118"/>
    <x v="1"/>
    <x v="1"/>
    <x v="7"/>
    <x v="4"/>
    <x v="0"/>
    <x v="3"/>
  </r>
  <r>
    <x v="218"/>
    <x v="9"/>
    <x v="3007"/>
    <x v="1"/>
    <x v="1"/>
    <x v="7"/>
    <x v="4"/>
    <x v="0"/>
    <x v="3"/>
  </r>
  <r>
    <x v="218"/>
    <x v="10"/>
    <x v="2308"/>
    <x v="1"/>
    <x v="1"/>
    <x v="7"/>
    <x v="4"/>
    <x v="0"/>
    <x v="2"/>
  </r>
  <r>
    <x v="218"/>
    <x v="11"/>
    <x v="2245"/>
    <x v="1"/>
    <x v="1"/>
    <x v="7"/>
    <x v="4"/>
    <x v="0"/>
    <x v="2"/>
  </r>
  <r>
    <x v="218"/>
    <x v="12"/>
    <x v="2177"/>
    <x v="1"/>
    <x v="1"/>
    <x v="7"/>
    <x v="4"/>
    <x v="0"/>
    <x v="2"/>
  </r>
  <r>
    <x v="218"/>
    <x v="13"/>
    <x v="2173"/>
    <x v="1"/>
    <x v="1"/>
    <x v="7"/>
    <x v="4"/>
    <x v="0"/>
    <x v="2"/>
  </r>
  <r>
    <x v="218"/>
    <x v="14"/>
    <x v="2387"/>
    <x v="1"/>
    <x v="1"/>
    <x v="7"/>
    <x v="4"/>
    <x v="0"/>
    <x v="2"/>
  </r>
  <r>
    <x v="218"/>
    <x v="15"/>
    <x v="2751"/>
    <x v="1"/>
    <x v="1"/>
    <x v="7"/>
    <x v="4"/>
    <x v="0"/>
    <x v="2"/>
  </r>
  <r>
    <x v="218"/>
    <x v="16"/>
    <x v="3137"/>
    <x v="1"/>
    <x v="1"/>
    <x v="7"/>
    <x v="4"/>
    <x v="0"/>
    <x v="0"/>
  </r>
  <r>
    <x v="218"/>
    <x v="17"/>
    <x v="3634"/>
    <x v="1"/>
    <x v="1"/>
    <x v="7"/>
    <x v="4"/>
    <x v="0"/>
    <x v="0"/>
  </r>
  <r>
    <x v="218"/>
    <x v="18"/>
    <x v="4035"/>
    <x v="1"/>
    <x v="1"/>
    <x v="7"/>
    <x v="4"/>
    <x v="0"/>
    <x v="0"/>
  </r>
  <r>
    <x v="218"/>
    <x v="19"/>
    <x v="4131"/>
    <x v="1"/>
    <x v="1"/>
    <x v="7"/>
    <x v="4"/>
    <x v="0"/>
    <x v="0"/>
  </r>
  <r>
    <x v="218"/>
    <x v="20"/>
    <x v="4059"/>
    <x v="1"/>
    <x v="1"/>
    <x v="7"/>
    <x v="4"/>
    <x v="0"/>
    <x v="1"/>
  </r>
  <r>
    <x v="218"/>
    <x v="21"/>
    <x v="4033"/>
    <x v="1"/>
    <x v="1"/>
    <x v="7"/>
    <x v="4"/>
    <x v="0"/>
    <x v="1"/>
  </r>
  <r>
    <x v="218"/>
    <x v="22"/>
    <x v="3868"/>
    <x v="1"/>
    <x v="1"/>
    <x v="7"/>
    <x v="4"/>
    <x v="0"/>
    <x v="1"/>
  </r>
  <r>
    <x v="218"/>
    <x v="23"/>
    <x v="3414"/>
    <x v="1"/>
    <x v="1"/>
    <x v="7"/>
    <x v="4"/>
    <x v="0"/>
    <x v="1"/>
  </r>
  <r>
    <x v="219"/>
    <x v="0"/>
    <x v="2281"/>
    <x v="1"/>
    <x v="1"/>
    <x v="7"/>
    <x v="0"/>
    <x v="0"/>
    <x v="4"/>
  </r>
  <r>
    <x v="219"/>
    <x v="1"/>
    <x v="1359"/>
    <x v="1"/>
    <x v="1"/>
    <x v="7"/>
    <x v="0"/>
    <x v="0"/>
    <x v="4"/>
  </r>
  <r>
    <x v="219"/>
    <x v="2"/>
    <x v="787"/>
    <x v="1"/>
    <x v="1"/>
    <x v="7"/>
    <x v="0"/>
    <x v="0"/>
    <x v="4"/>
  </r>
  <r>
    <x v="219"/>
    <x v="3"/>
    <x v="495"/>
    <x v="1"/>
    <x v="1"/>
    <x v="7"/>
    <x v="0"/>
    <x v="0"/>
    <x v="4"/>
  </r>
  <r>
    <x v="219"/>
    <x v="4"/>
    <x v="621"/>
    <x v="1"/>
    <x v="1"/>
    <x v="7"/>
    <x v="0"/>
    <x v="0"/>
    <x v="4"/>
  </r>
  <r>
    <x v="219"/>
    <x v="5"/>
    <x v="945"/>
    <x v="1"/>
    <x v="1"/>
    <x v="7"/>
    <x v="0"/>
    <x v="0"/>
    <x v="4"/>
  </r>
  <r>
    <x v="219"/>
    <x v="6"/>
    <x v="1557"/>
    <x v="1"/>
    <x v="1"/>
    <x v="7"/>
    <x v="0"/>
    <x v="0"/>
    <x v="3"/>
  </r>
  <r>
    <x v="219"/>
    <x v="7"/>
    <x v="2571"/>
    <x v="1"/>
    <x v="1"/>
    <x v="7"/>
    <x v="0"/>
    <x v="0"/>
    <x v="3"/>
  </r>
  <r>
    <x v="219"/>
    <x v="8"/>
    <x v="3035"/>
    <x v="1"/>
    <x v="1"/>
    <x v="7"/>
    <x v="0"/>
    <x v="0"/>
    <x v="3"/>
  </r>
  <r>
    <x v="219"/>
    <x v="9"/>
    <x v="3052"/>
    <x v="1"/>
    <x v="1"/>
    <x v="7"/>
    <x v="0"/>
    <x v="0"/>
    <x v="3"/>
  </r>
  <r>
    <x v="219"/>
    <x v="10"/>
    <x v="2526"/>
    <x v="1"/>
    <x v="1"/>
    <x v="7"/>
    <x v="0"/>
    <x v="0"/>
    <x v="2"/>
  </r>
  <r>
    <x v="219"/>
    <x v="11"/>
    <x v="2417"/>
    <x v="1"/>
    <x v="1"/>
    <x v="7"/>
    <x v="0"/>
    <x v="0"/>
    <x v="2"/>
  </r>
  <r>
    <x v="219"/>
    <x v="12"/>
    <x v="2368"/>
    <x v="1"/>
    <x v="1"/>
    <x v="7"/>
    <x v="0"/>
    <x v="0"/>
    <x v="2"/>
  </r>
  <r>
    <x v="219"/>
    <x v="13"/>
    <x v="2357"/>
    <x v="1"/>
    <x v="1"/>
    <x v="7"/>
    <x v="0"/>
    <x v="0"/>
    <x v="2"/>
  </r>
  <r>
    <x v="219"/>
    <x v="14"/>
    <x v="2620"/>
    <x v="1"/>
    <x v="1"/>
    <x v="7"/>
    <x v="0"/>
    <x v="0"/>
    <x v="2"/>
  </r>
  <r>
    <x v="219"/>
    <x v="15"/>
    <x v="2901"/>
    <x v="1"/>
    <x v="1"/>
    <x v="7"/>
    <x v="0"/>
    <x v="0"/>
    <x v="2"/>
  </r>
  <r>
    <x v="219"/>
    <x v="16"/>
    <x v="3304"/>
    <x v="1"/>
    <x v="1"/>
    <x v="7"/>
    <x v="0"/>
    <x v="0"/>
    <x v="0"/>
  </r>
  <r>
    <x v="219"/>
    <x v="17"/>
    <x v="3718"/>
    <x v="1"/>
    <x v="1"/>
    <x v="7"/>
    <x v="0"/>
    <x v="0"/>
    <x v="0"/>
  </r>
  <r>
    <x v="219"/>
    <x v="18"/>
    <x v="3996"/>
    <x v="1"/>
    <x v="1"/>
    <x v="7"/>
    <x v="0"/>
    <x v="0"/>
    <x v="0"/>
  </r>
  <r>
    <x v="219"/>
    <x v="19"/>
    <x v="4137"/>
    <x v="1"/>
    <x v="1"/>
    <x v="7"/>
    <x v="0"/>
    <x v="0"/>
    <x v="0"/>
  </r>
  <r>
    <x v="219"/>
    <x v="20"/>
    <x v="4057"/>
    <x v="1"/>
    <x v="1"/>
    <x v="7"/>
    <x v="0"/>
    <x v="0"/>
    <x v="1"/>
  </r>
  <r>
    <x v="219"/>
    <x v="21"/>
    <x v="3860"/>
    <x v="1"/>
    <x v="1"/>
    <x v="7"/>
    <x v="0"/>
    <x v="0"/>
    <x v="1"/>
  </r>
  <r>
    <x v="219"/>
    <x v="22"/>
    <x v="3925"/>
    <x v="1"/>
    <x v="1"/>
    <x v="7"/>
    <x v="0"/>
    <x v="0"/>
    <x v="1"/>
  </r>
  <r>
    <x v="219"/>
    <x v="23"/>
    <x v="3865"/>
    <x v="1"/>
    <x v="1"/>
    <x v="7"/>
    <x v="0"/>
    <x v="0"/>
    <x v="1"/>
  </r>
  <r>
    <x v="220"/>
    <x v="0"/>
    <x v="3522"/>
    <x v="1"/>
    <x v="1"/>
    <x v="7"/>
    <x v="2"/>
    <x v="1"/>
    <x v="4"/>
  </r>
  <r>
    <x v="220"/>
    <x v="1"/>
    <x v="2772"/>
    <x v="1"/>
    <x v="1"/>
    <x v="7"/>
    <x v="2"/>
    <x v="1"/>
    <x v="4"/>
  </r>
  <r>
    <x v="220"/>
    <x v="2"/>
    <x v="1992"/>
    <x v="1"/>
    <x v="1"/>
    <x v="7"/>
    <x v="2"/>
    <x v="1"/>
    <x v="4"/>
  </r>
  <r>
    <x v="220"/>
    <x v="3"/>
    <x v="1415"/>
    <x v="1"/>
    <x v="1"/>
    <x v="7"/>
    <x v="2"/>
    <x v="1"/>
    <x v="4"/>
  </r>
  <r>
    <x v="220"/>
    <x v="4"/>
    <x v="948"/>
    <x v="1"/>
    <x v="1"/>
    <x v="7"/>
    <x v="2"/>
    <x v="1"/>
    <x v="4"/>
  </r>
  <r>
    <x v="220"/>
    <x v="5"/>
    <x v="711"/>
    <x v="1"/>
    <x v="1"/>
    <x v="7"/>
    <x v="2"/>
    <x v="1"/>
    <x v="4"/>
  </r>
  <r>
    <x v="220"/>
    <x v="6"/>
    <x v="818"/>
    <x v="1"/>
    <x v="1"/>
    <x v="7"/>
    <x v="2"/>
    <x v="1"/>
    <x v="3"/>
  </r>
  <r>
    <x v="220"/>
    <x v="7"/>
    <x v="1000"/>
    <x v="1"/>
    <x v="1"/>
    <x v="7"/>
    <x v="2"/>
    <x v="1"/>
    <x v="3"/>
  </r>
  <r>
    <x v="220"/>
    <x v="8"/>
    <x v="1360"/>
    <x v="1"/>
    <x v="1"/>
    <x v="7"/>
    <x v="2"/>
    <x v="1"/>
    <x v="3"/>
  </r>
  <r>
    <x v="220"/>
    <x v="9"/>
    <x v="1790"/>
    <x v="1"/>
    <x v="1"/>
    <x v="7"/>
    <x v="2"/>
    <x v="1"/>
    <x v="3"/>
  </r>
  <r>
    <x v="220"/>
    <x v="10"/>
    <x v="2175"/>
    <x v="1"/>
    <x v="1"/>
    <x v="7"/>
    <x v="2"/>
    <x v="1"/>
    <x v="2"/>
  </r>
  <r>
    <x v="220"/>
    <x v="11"/>
    <x v="2488"/>
    <x v="1"/>
    <x v="1"/>
    <x v="7"/>
    <x v="2"/>
    <x v="1"/>
    <x v="2"/>
  </r>
  <r>
    <x v="220"/>
    <x v="12"/>
    <x v="2691"/>
    <x v="1"/>
    <x v="1"/>
    <x v="7"/>
    <x v="2"/>
    <x v="1"/>
    <x v="2"/>
  </r>
  <r>
    <x v="220"/>
    <x v="13"/>
    <x v="2760"/>
    <x v="1"/>
    <x v="1"/>
    <x v="7"/>
    <x v="2"/>
    <x v="1"/>
    <x v="2"/>
  </r>
  <r>
    <x v="220"/>
    <x v="14"/>
    <x v="2681"/>
    <x v="1"/>
    <x v="1"/>
    <x v="7"/>
    <x v="2"/>
    <x v="1"/>
    <x v="2"/>
  </r>
  <r>
    <x v="220"/>
    <x v="15"/>
    <x v="2686"/>
    <x v="1"/>
    <x v="1"/>
    <x v="7"/>
    <x v="2"/>
    <x v="1"/>
    <x v="2"/>
  </r>
  <r>
    <x v="220"/>
    <x v="16"/>
    <x v="3040"/>
    <x v="1"/>
    <x v="1"/>
    <x v="7"/>
    <x v="2"/>
    <x v="1"/>
    <x v="0"/>
  </r>
  <r>
    <x v="220"/>
    <x v="17"/>
    <x v="3427"/>
    <x v="1"/>
    <x v="1"/>
    <x v="7"/>
    <x v="2"/>
    <x v="1"/>
    <x v="0"/>
  </r>
  <r>
    <x v="220"/>
    <x v="18"/>
    <x v="3814"/>
    <x v="1"/>
    <x v="1"/>
    <x v="7"/>
    <x v="2"/>
    <x v="1"/>
    <x v="0"/>
  </r>
  <r>
    <x v="220"/>
    <x v="19"/>
    <x v="3967"/>
    <x v="1"/>
    <x v="1"/>
    <x v="7"/>
    <x v="2"/>
    <x v="1"/>
    <x v="0"/>
  </r>
  <r>
    <x v="220"/>
    <x v="20"/>
    <x v="3845"/>
    <x v="1"/>
    <x v="1"/>
    <x v="7"/>
    <x v="2"/>
    <x v="1"/>
    <x v="1"/>
  </r>
  <r>
    <x v="220"/>
    <x v="21"/>
    <x v="3723"/>
    <x v="1"/>
    <x v="1"/>
    <x v="7"/>
    <x v="2"/>
    <x v="1"/>
    <x v="1"/>
  </r>
  <r>
    <x v="220"/>
    <x v="22"/>
    <x v="3840"/>
    <x v="1"/>
    <x v="1"/>
    <x v="7"/>
    <x v="2"/>
    <x v="1"/>
    <x v="1"/>
  </r>
  <r>
    <x v="220"/>
    <x v="23"/>
    <x v="3850"/>
    <x v="1"/>
    <x v="1"/>
    <x v="7"/>
    <x v="2"/>
    <x v="1"/>
    <x v="1"/>
  </r>
  <r>
    <x v="221"/>
    <x v="0"/>
    <x v="3672"/>
    <x v="1"/>
    <x v="1"/>
    <x v="7"/>
    <x v="3"/>
    <x v="1"/>
    <x v="4"/>
  </r>
  <r>
    <x v="221"/>
    <x v="1"/>
    <x v="3207"/>
    <x v="1"/>
    <x v="1"/>
    <x v="7"/>
    <x v="3"/>
    <x v="1"/>
    <x v="4"/>
  </r>
  <r>
    <x v="221"/>
    <x v="2"/>
    <x v="2594"/>
    <x v="1"/>
    <x v="1"/>
    <x v="7"/>
    <x v="3"/>
    <x v="1"/>
    <x v="4"/>
  </r>
  <r>
    <x v="221"/>
    <x v="3"/>
    <x v="1850"/>
    <x v="1"/>
    <x v="1"/>
    <x v="7"/>
    <x v="3"/>
    <x v="1"/>
    <x v="4"/>
  </r>
  <r>
    <x v="221"/>
    <x v="4"/>
    <x v="1239"/>
    <x v="1"/>
    <x v="1"/>
    <x v="7"/>
    <x v="3"/>
    <x v="1"/>
    <x v="4"/>
  </r>
  <r>
    <x v="221"/>
    <x v="5"/>
    <x v="760"/>
    <x v="1"/>
    <x v="1"/>
    <x v="7"/>
    <x v="3"/>
    <x v="1"/>
    <x v="4"/>
  </r>
  <r>
    <x v="221"/>
    <x v="6"/>
    <x v="669"/>
    <x v="1"/>
    <x v="1"/>
    <x v="7"/>
    <x v="3"/>
    <x v="1"/>
    <x v="3"/>
  </r>
  <r>
    <x v="221"/>
    <x v="7"/>
    <x v="751"/>
    <x v="1"/>
    <x v="1"/>
    <x v="7"/>
    <x v="3"/>
    <x v="1"/>
    <x v="3"/>
  </r>
  <r>
    <x v="221"/>
    <x v="8"/>
    <x v="1110"/>
    <x v="1"/>
    <x v="1"/>
    <x v="7"/>
    <x v="3"/>
    <x v="1"/>
    <x v="3"/>
  </r>
  <r>
    <x v="221"/>
    <x v="9"/>
    <x v="1566"/>
    <x v="1"/>
    <x v="1"/>
    <x v="7"/>
    <x v="3"/>
    <x v="1"/>
    <x v="3"/>
  </r>
  <r>
    <x v="221"/>
    <x v="10"/>
    <x v="1953"/>
    <x v="1"/>
    <x v="1"/>
    <x v="7"/>
    <x v="3"/>
    <x v="1"/>
    <x v="2"/>
  </r>
  <r>
    <x v="221"/>
    <x v="11"/>
    <x v="2308"/>
    <x v="1"/>
    <x v="1"/>
    <x v="7"/>
    <x v="3"/>
    <x v="1"/>
    <x v="2"/>
  </r>
  <r>
    <x v="221"/>
    <x v="12"/>
    <x v="2504"/>
    <x v="1"/>
    <x v="1"/>
    <x v="7"/>
    <x v="3"/>
    <x v="1"/>
    <x v="2"/>
  </r>
  <r>
    <x v="221"/>
    <x v="13"/>
    <x v="2674"/>
    <x v="1"/>
    <x v="1"/>
    <x v="7"/>
    <x v="3"/>
    <x v="1"/>
    <x v="2"/>
  </r>
  <r>
    <x v="221"/>
    <x v="14"/>
    <x v="2661"/>
    <x v="1"/>
    <x v="1"/>
    <x v="7"/>
    <x v="3"/>
    <x v="1"/>
    <x v="2"/>
  </r>
  <r>
    <x v="221"/>
    <x v="15"/>
    <x v="2784"/>
    <x v="1"/>
    <x v="1"/>
    <x v="7"/>
    <x v="3"/>
    <x v="1"/>
    <x v="2"/>
  </r>
  <r>
    <x v="221"/>
    <x v="16"/>
    <x v="2907"/>
    <x v="1"/>
    <x v="1"/>
    <x v="7"/>
    <x v="3"/>
    <x v="1"/>
    <x v="0"/>
  </r>
  <r>
    <x v="221"/>
    <x v="17"/>
    <x v="2929"/>
    <x v="1"/>
    <x v="1"/>
    <x v="7"/>
    <x v="3"/>
    <x v="1"/>
    <x v="0"/>
  </r>
  <r>
    <x v="221"/>
    <x v="18"/>
    <x v="2936"/>
    <x v="1"/>
    <x v="1"/>
    <x v="7"/>
    <x v="3"/>
    <x v="1"/>
    <x v="0"/>
  </r>
  <r>
    <x v="221"/>
    <x v="19"/>
    <x v="2893"/>
    <x v="1"/>
    <x v="1"/>
    <x v="7"/>
    <x v="3"/>
    <x v="1"/>
    <x v="0"/>
  </r>
  <r>
    <x v="221"/>
    <x v="20"/>
    <x v="2314"/>
    <x v="1"/>
    <x v="1"/>
    <x v="7"/>
    <x v="3"/>
    <x v="1"/>
    <x v="1"/>
  </r>
  <r>
    <x v="221"/>
    <x v="21"/>
    <x v="2210"/>
    <x v="1"/>
    <x v="1"/>
    <x v="7"/>
    <x v="3"/>
    <x v="1"/>
    <x v="1"/>
  </r>
  <r>
    <x v="221"/>
    <x v="22"/>
    <x v="2034"/>
    <x v="1"/>
    <x v="1"/>
    <x v="7"/>
    <x v="3"/>
    <x v="1"/>
    <x v="1"/>
  </r>
  <r>
    <x v="221"/>
    <x v="23"/>
    <x v="1672"/>
    <x v="1"/>
    <x v="1"/>
    <x v="7"/>
    <x v="3"/>
    <x v="1"/>
    <x v="1"/>
  </r>
  <r>
    <x v="222"/>
    <x v="0"/>
    <x v="1103"/>
    <x v="1"/>
    <x v="1"/>
    <x v="7"/>
    <x v="1"/>
    <x v="0"/>
    <x v="4"/>
  </r>
  <r>
    <x v="222"/>
    <x v="1"/>
    <x v="464"/>
    <x v="1"/>
    <x v="1"/>
    <x v="7"/>
    <x v="1"/>
    <x v="0"/>
    <x v="4"/>
  </r>
  <r>
    <x v="222"/>
    <x v="2"/>
    <x v="288"/>
    <x v="1"/>
    <x v="1"/>
    <x v="7"/>
    <x v="1"/>
    <x v="0"/>
    <x v="4"/>
  </r>
  <r>
    <x v="222"/>
    <x v="3"/>
    <x v="193"/>
    <x v="1"/>
    <x v="1"/>
    <x v="7"/>
    <x v="1"/>
    <x v="0"/>
    <x v="4"/>
  </r>
  <r>
    <x v="222"/>
    <x v="4"/>
    <x v="398"/>
    <x v="1"/>
    <x v="1"/>
    <x v="7"/>
    <x v="1"/>
    <x v="0"/>
    <x v="4"/>
  </r>
  <r>
    <x v="222"/>
    <x v="5"/>
    <x v="903"/>
    <x v="1"/>
    <x v="1"/>
    <x v="7"/>
    <x v="1"/>
    <x v="0"/>
    <x v="4"/>
  </r>
  <r>
    <x v="222"/>
    <x v="6"/>
    <x v="1840"/>
    <x v="1"/>
    <x v="1"/>
    <x v="7"/>
    <x v="1"/>
    <x v="0"/>
    <x v="3"/>
  </r>
  <r>
    <x v="222"/>
    <x v="7"/>
    <x v="2892"/>
    <x v="1"/>
    <x v="1"/>
    <x v="7"/>
    <x v="1"/>
    <x v="0"/>
    <x v="3"/>
  </r>
  <r>
    <x v="222"/>
    <x v="8"/>
    <x v="3372"/>
    <x v="1"/>
    <x v="1"/>
    <x v="7"/>
    <x v="1"/>
    <x v="0"/>
    <x v="3"/>
  </r>
  <r>
    <x v="222"/>
    <x v="9"/>
    <x v="2971"/>
    <x v="1"/>
    <x v="1"/>
    <x v="7"/>
    <x v="1"/>
    <x v="0"/>
    <x v="3"/>
  </r>
  <r>
    <x v="222"/>
    <x v="10"/>
    <x v="2367"/>
    <x v="1"/>
    <x v="1"/>
    <x v="7"/>
    <x v="1"/>
    <x v="0"/>
    <x v="2"/>
  </r>
  <r>
    <x v="222"/>
    <x v="11"/>
    <x v="2139"/>
    <x v="1"/>
    <x v="1"/>
    <x v="7"/>
    <x v="1"/>
    <x v="0"/>
    <x v="2"/>
  </r>
  <r>
    <x v="222"/>
    <x v="12"/>
    <x v="2056"/>
    <x v="1"/>
    <x v="1"/>
    <x v="7"/>
    <x v="1"/>
    <x v="0"/>
    <x v="2"/>
  </r>
  <r>
    <x v="222"/>
    <x v="13"/>
    <x v="1968"/>
    <x v="1"/>
    <x v="1"/>
    <x v="7"/>
    <x v="1"/>
    <x v="0"/>
    <x v="2"/>
  </r>
  <r>
    <x v="222"/>
    <x v="14"/>
    <x v="2226"/>
    <x v="1"/>
    <x v="1"/>
    <x v="7"/>
    <x v="1"/>
    <x v="0"/>
    <x v="2"/>
  </r>
  <r>
    <x v="222"/>
    <x v="15"/>
    <x v="2413"/>
    <x v="1"/>
    <x v="1"/>
    <x v="7"/>
    <x v="1"/>
    <x v="0"/>
    <x v="2"/>
  </r>
  <r>
    <x v="222"/>
    <x v="16"/>
    <x v="2523"/>
    <x v="1"/>
    <x v="1"/>
    <x v="7"/>
    <x v="1"/>
    <x v="0"/>
    <x v="0"/>
  </r>
  <r>
    <x v="222"/>
    <x v="17"/>
    <x v="3093"/>
    <x v="1"/>
    <x v="1"/>
    <x v="7"/>
    <x v="1"/>
    <x v="0"/>
    <x v="0"/>
  </r>
  <r>
    <x v="222"/>
    <x v="18"/>
    <x v="3439"/>
    <x v="1"/>
    <x v="1"/>
    <x v="7"/>
    <x v="1"/>
    <x v="0"/>
    <x v="0"/>
  </r>
  <r>
    <x v="222"/>
    <x v="19"/>
    <x v="3322"/>
    <x v="1"/>
    <x v="1"/>
    <x v="7"/>
    <x v="1"/>
    <x v="0"/>
    <x v="0"/>
  </r>
  <r>
    <x v="222"/>
    <x v="20"/>
    <x v="3114"/>
    <x v="1"/>
    <x v="1"/>
    <x v="7"/>
    <x v="1"/>
    <x v="0"/>
    <x v="1"/>
  </r>
  <r>
    <x v="222"/>
    <x v="21"/>
    <x v="2930"/>
    <x v="1"/>
    <x v="1"/>
    <x v="7"/>
    <x v="1"/>
    <x v="0"/>
    <x v="1"/>
  </r>
  <r>
    <x v="222"/>
    <x v="22"/>
    <x v="2544"/>
    <x v="1"/>
    <x v="1"/>
    <x v="7"/>
    <x v="1"/>
    <x v="0"/>
    <x v="1"/>
  </r>
  <r>
    <x v="222"/>
    <x v="23"/>
    <x v="2035"/>
    <x v="1"/>
    <x v="1"/>
    <x v="7"/>
    <x v="1"/>
    <x v="0"/>
    <x v="1"/>
  </r>
  <r>
    <x v="223"/>
    <x v="0"/>
    <x v="1197"/>
    <x v="1"/>
    <x v="1"/>
    <x v="7"/>
    <x v="5"/>
    <x v="0"/>
    <x v="4"/>
  </r>
  <r>
    <x v="223"/>
    <x v="1"/>
    <x v="633"/>
    <x v="1"/>
    <x v="1"/>
    <x v="7"/>
    <x v="5"/>
    <x v="0"/>
    <x v="4"/>
  </r>
  <r>
    <x v="223"/>
    <x v="2"/>
    <x v="373"/>
    <x v="1"/>
    <x v="1"/>
    <x v="7"/>
    <x v="5"/>
    <x v="0"/>
    <x v="4"/>
  </r>
  <r>
    <x v="223"/>
    <x v="3"/>
    <x v="207"/>
    <x v="1"/>
    <x v="1"/>
    <x v="7"/>
    <x v="5"/>
    <x v="0"/>
    <x v="4"/>
  </r>
  <r>
    <x v="223"/>
    <x v="4"/>
    <x v="403"/>
    <x v="1"/>
    <x v="1"/>
    <x v="7"/>
    <x v="5"/>
    <x v="0"/>
    <x v="4"/>
  </r>
  <r>
    <x v="223"/>
    <x v="5"/>
    <x v="791"/>
    <x v="1"/>
    <x v="1"/>
    <x v="7"/>
    <x v="5"/>
    <x v="0"/>
    <x v="4"/>
  </r>
  <r>
    <x v="223"/>
    <x v="6"/>
    <x v="1555"/>
    <x v="1"/>
    <x v="1"/>
    <x v="7"/>
    <x v="5"/>
    <x v="0"/>
    <x v="3"/>
  </r>
  <r>
    <x v="223"/>
    <x v="7"/>
    <x v="2503"/>
    <x v="1"/>
    <x v="1"/>
    <x v="7"/>
    <x v="5"/>
    <x v="0"/>
    <x v="3"/>
  </r>
  <r>
    <x v="223"/>
    <x v="8"/>
    <x v="3026"/>
    <x v="1"/>
    <x v="1"/>
    <x v="7"/>
    <x v="5"/>
    <x v="0"/>
    <x v="3"/>
  </r>
  <r>
    <x v="223"/>
    <x v="9"/>
    <x v="2614"/>
    <x v="1"/>
    <x v="1"/>
    <x v="7"/>
    <x v="5"/>
    <x v="0"/>
    <x v="3"/>
  </r>
  <r>
    <x v="223"/>
    <x v="10"/>
    <x v="2086"/>
    <x v="1"/>
    <x v="1"/>
    <x v="7"/>
    <x v="5"/>
    <x v="0"/>
    <x v="2"/>
  </r>
  <r>
    <x v="223"/>
    <x v="11"/>
    <x v="2093"/>
    <x v="1"/>
    <x v="1"/>
    <x v="7"/>
    <x v="5"/>
    <x v="0"/>
    <x v="2"/>
  </r>
  <r>
    <x v="223"/>
    <x v="12"/>
    <x v="2046"/>
    <x v="1"/>
    <x v="1"/>
    <x v="7"/>
    <x v="5"/>
    <x v="0"/>
    <x v="2"/>
  </r>
  <r>
    <x v="223"/>
    <x v="13"/>
    <x v="1992"/>
    <x v="1"/>
    <x v="1"/>
    <x v="7"/>
    <x v="5"/>
    <x v="0"/>
    <x v="2"/>
  </r>
  <r>
    <x v="223"/>
    <x v="14"/>
    <x v="2111"/>
    <x v="1"/>
    <x v="1"/>
    <x v="7"/>
    <x v="5"/>
    <x v="0"/>
    <x v="2"/>
  </r>
  <r>
    <x v="223"/>
    <x v="15"/>
    <x v="2442"/>
    <x v="1"/>
    <x v="1"/>
    <x v="7"/>
    <x v="5"/>
    <x v="0"/>
    <x v="2"/>
  </r>
  <r>
    <x v="223"/>
    <x v="16"/>
    <x v="2686"/>
    <x v="1"/>
    <x v="1"/>
    <x v="7"/>
    <x v="5"/>
    <x v="0"/>
    <x v="0"/>
  </r>
  <r>
    <x v="223"/>
    <x v="17"/>
    <x v="3307"/>
    <x v="1"/>
    <x v="1"/>
    <x v="7"/>
    <x v="5"/>
    <x v="0"/>
    <x v="0"/>
  </r>
  <r>
    <x v="223"/>
    <x v="18"/>
    <x v="3720"/>
    <x v="1"/>
    <x v="1"/>
    <x v="7"/>
    <x v="5"/>
    <x v="0"/>
    <x v="0"/>
  </r>
  <r>
    <x v="223"/>
    <x v="19"/>
    <x v="3662"/>
    <x v="1"/>
    <x v="1"/>
    <x v="7"/>
    <x v="5"/>
    <x v="0"/>
    <x v="0"/>
  </r>
  <r>
    <x v="223"/>
    <x v="20"/>
    <x v="3519"/>
    <x v="1"/>
    <x v="1"/>
    <x v="7"/>
    <x v="5"/>
    <x v="0"/>
    <x v="1"/>
  </r>
  <r>
    <x v="223"/>
    <x v="21"/>
    <x v="3386"/>
    <x v="1"/>
    <x v="1"/>
    <x v="7"/>
    <x v="5"/>
    <x v="0"/>
    <x v="1"/>
  </r>
  <r>
    <x v="223"/>
    <x v="22"/>
    <x v="3103"/>
    <x v="1"/>
    <x v="1"/>
    <x v="7"/>
    <x v="5"/>
    <x v="0"/>
    <x v="1"/>
  </r>
  <r>
    <x v="223"/>
    <x v="23"/>
    <x v="2401"/>
    <x v="1"/>
    <x v="1"/>
    <x v="7"/>
    <x v="5"/>
    <x v="0"/>
    <x v="1"/>
  </r>
  <r>
    <x v="224"/>
    <x v="0"/>
    <x v="1641"/>
    <x v="1"/>
    <x v="1"/>
    <x v="7"/>
    <x v="6"/>
    <x v="0"/>
    <x v="4"/>
  </r>
  <r>
    <x v="224"/>
    <x v="1"/>
    <x v="824"/>
    <x v="1"/>
    <x v="1"/>
    <x v="7"/>
    <x v="6"/>
    <x v="0"/>
    <x v="4"/>
  </r>
  <r>
    <x v="224"/>
    <x v="2"/>
    <x v="438"/>
    <x v="1"/>
    <x v="1"/>
    <x v="7"/>
    <x v="6"/>
    <x v="0"/>
    <x v="4"/>
  </r>
  <r>
    <x v="224"/>
    <x v="3"/>
    <x v="257"/>
    <x v="1"/>
    <x v="1"/>
    <x v="7"/>
    <x v="6"/>
    <x v="0"/>
    <x v="4"/>
  </r>
  <r>
    <x v="224"/>
    <x v="4"/>
    <x v="514"/>
    <x v="1"/>
    <x v="1"/>
    <x v="7"/>
    <x v="6"/>
    <x v="0"/>
    <x v="4"/>
  </r>
  <r>
    <x v="224"/>
    <x v="5"/>
    <x v="834"/>
    <x v="1"/>
    <x v="1"/>
    <x v="7"/>
    <x v="6"/>
    <x v="0"/>
    <x v="4"/>
  </r>
  <r>
    <x v="224"/>
    <x v="6"/>
    <x v="1642"/>
    <x v="1"/>
    <x v="1"/>
    <x v="7"/>
    <x v="6"/>
    <x v="0"/>
    <x v="3"/>
  </r>
  <r>
    <x v="224"/>
    <x v="7"/>
    <x v="2639"/>
    <x v="1"/>
    <x v="1"/>
    <x v="7"/>
    <x v="6"/>
    <x v="0"/>
    <x v="3"/>
  </r>
  <r>
    <x v="224"/>
    <x v="8"/>
    <x v="3106"/>
    <x v="1"/>
    <x v="1"/>
    <x v="7"/>
    <x v="6"/>
    <x v="0"/>
    <x v="3"/>
  </r>
  <r>
    <x v="224"/>
    <x v="9"/>
    <x v="2901"/>
    <x v="1"/>
    <x v="1"/>
    <x v="7"/>
    <x v="6"/>
    <x v="0"/>
    <x v="3"/>
  </r>
  <r>
    <x v="224"/>
    <x v="10"/>
    <x v="2343"/>
    <x v="1"/>
    <x v="1"/>
    <x v="7"/>
    <x v="6"/>
    <x v="0"/>
    <x v="2"/>
  </r>
  <r>
    <x v="224"/>
    <x v="11"/>
    <x v="2232"/>
    <x v="1"/>
    <x v="1"/>
    <x v="7"/>
    <x v="6"/>
    <x v="0"/>
    <x v="2"/>
  </r>
  <r>
    <x v="224"/>
    <x v="12"/>
    <x v="2212"/>
    <x v="1"/>
    <x v="1"/>
    <x v="7"/>
    <x v="6"/>
    <x v="0"/>
    <x v="2"/>
  </r>
  <r>
    <x v="224"/>
    <x v="13"/>
    <x v="2174"/>
    <x v="1"/>
    <x v="1"/>
    <x v="7"/>
    <x v="6"/>
    <x v="0"/>
    <x v="2"/>
  </r>
  <r>
    <x v="224"/>
    <x v="14"/>
    <x v="2382"/>
    <x v="1"/>
    <x v="1"/>
    <x v="7"/>
    <x v="6"/>
    <x v="0"/>
    <x v="2"/>
  </r>
  <r>
    <x v="224"/>
    <x v="15"/>
    <x v="2671"/>
    <x v="1"/>
    <x v="1"/>
    <x v="7"/>
    <x v="6"/>
    <x v="0"/>
    <x v="2"/>
  </r>
  <r>
    <x v="224"/>
    <x v="16"/>
    <x v="3025"/>
    <x v="1"/>
    <x v="1"/>
    <x v="7"/>
    <x v="6"/>
    <x v="0"/>
    <x v="0"/>
  </r>
  <r>
    <x v="224"/>
    <x v="17"/>
    <x v="3405"/>
    <x v="1"/>
    <x v="1"/>
    <x v="7"/>
    <x v="6"/>
    <x v="0"/>
    <x v="0"/>
  </r>
  <r>
    <x v="224"/>
    <x v="18"/>
    <x v="3737"/>
    <x v="1"/>
    <x v="1"/>
    <x v="7"/>
    <x v="6"/>
    <x v="0"/>
    <x v="0"/>
  </r>
  <r>
    <x v="224"/>
    <x v="19"/>
    <x v="3818"/>
    <x v="1"/>
    <x v="1"/>
    <x v="7"/>
    <x v="6"/>
    <x v="0"/>
    <x v="0"/>
  </r>
  <r>
    <x v="224"/>
    <x v="20"/>
    <x v="3732"/>
    <x v="1"/>
    <x v="1"/>
    <x v="7"/>
    <x v="6"/>
    <x v="0"/>
    <x v="1"/>
  </r>
  <r>
    <x v="224"/>
    <x v="21"/>
    <x v="3636"/>
    <x v="1"/>
    <x v="1"/>
    <x v="7"/>
    <x v="6"/>
    <x v="0"/>
    <x v="1"/>
  </r>
  <r>
    <x v="224"/>
    <x v="22"/>
    <x v="3390"/>
    <x v="1"/>
    <x v="1"/>
    <x v="7"/>
    <x v="6"/>
    <x v="0"/>
    <x v="1"/>
  </r>
  <r>
    <x v="224"/>
    <x v="23"/>
    <x v="2809"/>
    <x v="1"/>
    <x v="1"/>
    <x v="7"/>
    <x v="6"/>
    <x v="0"/>
    <x v="1"/>
  </r>
  <r>
    <x v="225"/>
    <x v="0"/>
    <x v="1904"/>
    <x v="1"/>
    <x v="1"/>
    <x v="7"/>
    <x v="4"/>
    <x v="0"/>
    <x v="4"/>
  </r>
  <r>
    <x v="225"/>
    <x v="1"/>
    <x v="980"/>
    <x v="1"/>
    <x v="1"/>
    <x v="7"/>
    <x v="4"/>
    <x v="0"/>
    <x v="4"/>
  </r>
  <r>
    <x v="225"/>
    <x v="2"/>
    <x v="506"/>
    <x v="1"/>
    <x v="1"/>
    <x v="7"/>
    <x v="4"/>
    <x v="0"/>
    <x v="4"/>
  </r>
  <r>
    <x v="225"/>
    <x v="3"/>
    <x v="386"/>
    <x v="1"/>
    <x v="1"/>
    <x v="7"/>
    <x v="4"/>
    <x v="0"/>
    <x v="4"/>
  </r>
  <r>
    <x v="225"/>
    <x v="4"/>
    <x v="581"/>
    <x v="1"/>
    <x v="1"/>
    <x v="7"/>
    <x v="4"/>
    <x v="0"/>
    <x v="4"/>
  </r>
  <r>
    <x v="225"/>
    <x v="5"/>
    <x v="918"/>
    <x v="1"/>
    <x v="1"/>
    <x v="7"/>
    <x v="4"/>
    <x v="0"/>
    <x v="4"/>
  </r>
  <r>
    <x v="225"/>
    <x v="6"/>
    <x v="1734"/>
    <x v="1"/>
    <x v="1"/>
    <x v="7"/>
    <x v="4"/>
    <x v="0"/>
    <x v="3"/>
  </r>
  <r>
    <x v="225"/>
    <x v="7"/>
    <x v="2686"/>
    <x v="1"/>
    <x v="1"/>
    <x v="7"/>
    <x v="4"/>
    <x v="0"/>
    <x v="3"/>
  </r>
  <r>
    <x v="225"/>
    <x v="8"/>
    <x v="3204"/>
    <x v="1"/>
    <x v="1"/>
    <x v="7"/>
    <x v="4"/>
    <x v="0"/>
    <x v="3"/>
  </r>
  <r>
    <x v="225"/>
    <x v="9"/>
    <x v="2997"/>
    <x v="1"/>
    <x v="1"/>
    <x v="7"/>
    <x v="4"/>
    <x v="0"/>
    <x v="3"/>
  </r>
  <r>
    <x v="225"/>
    <x v="10"/>
    <x v="2417"/>
    <x v="1"/>
    <x v="1"/>
    <x v="7"/>
    <x v="4"/>
    <x v="0"/>
    <x v="2"/>
  </r>
  <r>
    <x v="225"/>
    <x v="11"/>
    <x v="2137"/>
    <x v="1"/>
    <x v="1"/>
    <x v="7"/>
    <x v="4"/>
    <x v="0"/>
    <x v="2"/>
  </r>
  <r>
    <x v="225"/>
    <x v="12"/>
    <x v="2218"/>
    <x v="1"/>
    <x v="1"/>
    <x v="7"/>
    <x v="4"/>
    <x v="0"/>
    <x v="2"/>
  </r>
  <r>
    <x v="225"/>
    <x v="13"/>
    <x v="2316"/>
    <x v="1"/>
    <x v="1"/>
    <x v="7"/>
    <x v="4"/>
    <x v="0"/>
    <x v="2"/>
  </r>
  <r>
    <x v="225"/>
    <x v="14"/>
    <x v="2560"/>
    <x v="1"/>
    <x v="1"/>
    <x v="7"/>
    <x v="4"/>
    <x v="0"/>
    <x v="2"/>
  </r>
  <r>
    <x v="225"/>
    <x v="15"/>
    <x v="3092"/>
    <x v="1"/>
    <x v="1"/>
    <x v="7"/>
    <x v="4"/>
    <x v="0"/>
    <x v="2"/>
  </r>
  <r>
    <x v="225"/>
    <x v="16"/>
    <x v="3318"/>
    <x v="1"/>
    <x v="1"/>
    <x v="7"/>
    <x v="4"/>
    <x v="0"/>
    <x v="0"/>
  </r>
  <r>
    <x v="225"/>
    <x v="17"/>
    <x v="3622"/>
    <x v="1"/>
    <x v="1"/>
    <x v="7"/>
    <x v="4"/>
    <x v="0"/>
    <x v="0"/>
  </r>
  <r>
    <x v="225"/>
    <x v="18"/>
    <x v="3901"/>
    <x v="1"/>
    <x v="1"/>
    <x v="7"/>
    <x v="4"/>
    <x v="0"/>
    <x v="0"/>
  </r>
  <r>
    <x v="225"/>
    <x v="19"/>
    <x v="4043"/>
    <x v="1"/>
    <x v="1"/>
    <x v="7"/>
    <x v="4"/>
    <x v="0"/>
    <x v="0"/>
  </r>
  <r>
    <x v="225"/>
    <x v="20"/>
    <x v="3985"/>
    <x v="1"/>
    <x v="1"/>
    <x v="7"/>
    <x v="4"/>
    <x v="0"/>
    <x v="1"/>
  </r>
  <r>
    <x v="225"/>
    <x v="21"/>
    <x v="4003"/>
    <x v="1"/>
    <x v="1"/>
    <x v="7"/>
    <x v="4"/>
    <x v="0"/>
    <x v="1"/>
  </r>
  <r>
    <x v="225"/>
    <x v="22"/>
    <x v="3983"/>
    <x v="1"/>
    <x v="1"/>
    <x v="7"/>
    <x v="4"/>
    <x v="0"/>
    <x v="1"/>
  </r>
  <r>
    <x v="225"/>
    <x v="23"/>
    <x v="3699"/>
    <x v="1"/>
    <x v="1"/>
    <x v="7"/>
    <x v="4"/>
    <x v="0"/>
    <x v="1"/>
  </r>
  <r>
    <x v="226"/>
    <x v="0"/>
    <x v="2836"/>
    <x v="1"/>
    <x v="1"/>
    <x v="7"/>
    <x v="0"/>
    <x v="0"/>
    <x v="4"/>
  </r>
  <r>
    <x v="226"/>
    <x v="1"/>
    <x v="1821"/>
    <x v="1"/>
    <x v="1"/>
    <x v="7"/>
    <x v="0"/>
    <x v="0"/>
    <x v="4"/>
  </r>
  <r>
    <x v="226"/>
    <x v="2"/>
    <x v="1178"/>
    <x v="1"/>
    <x v="1"/>
    <x v="7"/>
    <x v="0"/>
    <x v="0"/>
    <x v="4"/>
  </r>
  <r>
    <x v="226"/>
    <x v="3"/>
    <x v="769"/>
    <x v="1"/>
    <x v="1"/>
    <x v="7"/>
    <x v="0"/>
    <x v="0"/>
    <x v="4"/>
  </r>
  <r>
    <x v="226"/>
    <x v="4"/>
    <x v="891"/>
    <x v="1"/>
    <x v="1"/>
    <x v="7"/>
    <x v="0"/>
    <x v="0"/>
    <x v="4"/>
  </r>
  <r>
    <x v="226"/>
    <x v="5"/>
    <x v="1127"/>
    <x v="1"/>
    <x v="1"/>
    <x v="7"/>
    <x v="0"/>
    <x v="0"/>
    <x v="4"/>
  </r>
  <r>
    <x v="226"/>
    <x v="6"/>
    <x v="1722"/>
    <x v="1"/>
    <x v="1"/>
    <x v="7"/>
    <x v="0"/>
    <x v="0"/>
    <x v="3"/>
  </r>
  <r>
    <x v="226"/>
    <x v="7"/>
    <x v="2676"/>
    <x v="1"/>
    <x v="1"/>
    <x v="7"/>
    <x v="0"/>
    <x v="0"/>
    <x v="3"/>
  </r>
  <r>
    <x v="226"/>
    <x v="8"/>
    <x v="3182"/>
    <x v="1"/>
    <x v="1"/>
    <x v="7"/>
    <x v="0"/>
    <x v="0"/>
    <x v="3"/>
  </r>
  <r>
    <x v="226"/>
    <x v="9"/>
    <x v="3292"/>
    <x v="1"/>
    <x v="1"/>
    <x v="7"/>
    <x v="0"/>
    <x v="0"/>
    <x v="3"/>
  </r>
  <r>
    <x v="226"/>
    <x v="10"/>
    <x v="2933"/>
    <x v="1"/>
    <x v="1"/>
    <x v="7"/>
    <x v="0"/>
    <x v="0"/>
    <x v="2"/>
  </r>
  <r>
    <x v="226"/>
    <x v="11"/>
    <x v="2742"/>
    <x v="1"/>
    <x v="1"/>
    <x v="7"/>
    <x v="0"/>
    <x v="0"/>
    <x v="2"/>
  </r>
  <r>
    <x v="226"/>
    <x v="12"/>
    <x v="2636"/>
    <x v="1"/>
    <x v="1"/>
    <x v="7"/>
    <x v="0"/>
    <x v="0"/>
    <x v="2"/>
  </r>
  <r>
    <x v="226"/>
    <x v="13"/>
    <x v="2664"/>
    <x v="1"/>
    <x v="1"/>
    <x v="7"/>
    <x v="0"/>
    <x v="0"/>
    <x v="2"/>
  </r>
  <r>
    <x v="226"/>
    <x v="14"/>
    <x v="2844"/>
    <x v="1"/>
    <x v="1"/>
    <x v="7"/>
    <x v="0"/>
    <x v="0"/>
    <x v="2"/>
  </r>
  <r>
    <x v="226"/>
    <x v="15"/>
    <x v="3119"/>
    <x v="1"/>
    <x v="1"/>
    <x v="7"/>
    <x v="0"/>
    <x v="0"/>
    <x v="2"/>
  </r>
  <r>
    <x v="226"/>
    <x v="16"/>
    <x v="3506"/>
    <x v="1"/>
    <x v="1"/>
    <x v="7"/>
    <x v="0"/>
    <x v="0"/>
    <x v="0"/>
  </r>
  <r>
    <x v="226"/>
    <x v="17"/>
    <x v="3729"/>
    <x v="1"/>
    <x v="1"/>
    <x v="7"/>
    <x v="0"/>
    <x v="0"/>
    <x v="0"/>
  </r>
  <r>
    <x v="226"/>
    <x v="18"/>
    <x v="3992"/>
    <x v="1"/>
    <x v="1"/>
    <x v="7"/>
    <x v="0"/>
    <x v="0"/>
    <x v="0"/>
  </r>
  <r>
    <x v="226"/>
    <x v="19"/>
    <x v="4172"/>
    <x v="1"/>
    <x v="1"/>
    <x v="7"/>
    <x v="0"/>
    <x v="0"/>
    <x v="0"/>
  </r>
  <r>
    <x v="226"/>
    <x v="20"/>
    <x v="4184"/>
    <x v="1"/>
    <x v="1"/>
    <x v="7"/>
    <x v="0"/>
    <x v="0"/>
    <x v="1"/>
  </r>
  <r>
    <x v="226"/>
    <x v="21"/>
    <x v="4168"/>
    <x v="1"/>
    <x v="1"/>
    <x v="7"/>
    <x v="0"/>
    <x v="0"/>
    <x v="1"/>
  </r>
  <r>
    <x v="226"/>
    <x v="22"/>
    <x v="4162"/>
    <x v="1"/>
    <x v="1"/>
    <x v="7"/>
    <x v="0"/>
    <x v="0"/>
    <x v="1"/>
  </r>
  <r>
    <x v="226"/>
    <x v="23"/>
    <x v="4111"/>
    <x v="1"/>
    <x v="1"/>
    <x v="7"/>
    <x v="0"/>
    <x v="0"/>
    <x v="1"/>
  </r>
  <r>
    <x v="227"/>
    <x v="0"/>
    <x v="3949"/>
    <x v="1"/>
    <x v="1"/>
    <x v="7"/>
    <x v="2"/>
    <x v="1"/>
    <x v="4"/>
  </r>
  <r>
    <x v="227"/>
    <x v="1"/>
    <x v="3352"/>
    <x v="1"/>
    <x v="1"/>
    <x v="7"/>
    <x v="2"/>
    <x v="1"/>
    <x v="4"/>
  </r>
  <r>
    <x v="227"/>
    <x v="2"/>
    <x v="2628"/>
    <x v="1"/>
    <x v="1"/>
    <x v="7"/>
    <x v="2"/>
    <x v="1"/>
    <x v="4"/>
  </r>
  <r>
    <x v="227"/>
    <x v="3"/>
    <x v="2017"/>
    <x v="1"/>
    <x v="1"/>
    <x v="7"/>
    <x v="2"/>
    <x v="1"/>
    <x v="4"/>
  </r>
  <r>
    <x v="227"/>
    <x v="4"/>
    <x v="1427"/>
    <x v="1"/>
    <x v="1"/>
    <x v="7"/>
    <x v="2"/>
    <x v="1"/>
    <x v="4"/>
  </r>
  <r>
    <x v="227"/>
    <x v="5"/>
    <x v="1070"/>
    <x v="1"/>
    <x v="1"/>
    <x v="7"/>
    <x v="2"/>
    <x v="1"/>
    <x v="4"/>
  </r>
  <r>
    <x v="227"/>
    <x v="6"/>
    <x v="981"/>
    <x v="1"/>
    <x v="1"/>
    <x v="7"/>
    <x v="2"/>
    <x v="1"/>
    <x v="3"/>
  </r>
  <r>
    <x v="227"/>
    <x v="7"/>
    <x v="1161"/>
    <x v="1"/>
    <x v="1"/>
    <x v="7"/>
    <x v="2"/>
    <x v="1"/>
    <x v="3"/>
  </r>
  <r>
    <x v="227"/>
    <x v="8"/>
    <x v="1559"/>
    <x v="1"/>
    <x v="1"/>
    <x v="7"/>
    <x v="2"/>
    <x v="1"/>
    <x v="3"/>
  </r>
  <r>
    <x v="227"/>
    <x v="9"/>
    <x v="1965"/>
    <x v="1"/>
    <x v="1"/>
    <x v="7"/>
    <x v="2"/>
    <x v="1"/>
    <x v="3"/>
  </r>
  <r>
    <x v="227"/>
    <x v="10"/>
    <x v="2325"/>
    <x v="1"/>
    <x v="1"/>
    <x v="7"/>
    <x v="2"/>
    <x v="1"/>
    <x v="2"/>
  </r>
  <r>
    <x v="227"/>
    <x v="11"/>
    <x v="2630"/>
    <x v="1"/>
    <x v="1"/>
    <x v="7"/>
    <x v="2"/>
    <x v="1"/>
    <x v="2"/>
  </r>
  <r>
    <x v="227"/>
    <x v="12"/>
    <x v="2691"/>
    <x v="1"/>
    <x v="1"/>
    <x v="7"/>
    <x v="2"/>
    <x v="1"/>
    <x v="2"/>
  </r>
  <r>
    <x v="227"/>
    <x v="13"/>
    <x v="2932"/>
    <x v="1"/>
    <x v="1"/>
    <x v="7"/>
    <x v="2"/>
    <x v="1"/>
    <x v="2"/>
  </r>
  <r>
    <x v="227"/>
    <x v="14"/>
    <x v="3047"/>
    <x v="1"/>
    <x v="1"/>
    <x v="7"/>
    <x v="2"/>
    <x v="1"/>
    <x v="2"/>
  </r>
  <r>
    <x v="227"/>
    <x v="15"/>
    <x v="3478"/>
    <x v="1"/>
    <x v="1"/>
    <x v="7"/>
    <x v="2"/>
    <x v="1"/>
    <x v="2"/>
  </r>
  <r>
    <x v="227"/>
    <x v="16"/>
    <x v="3792"/>
    <x v="1"/>
    <x v="1"/>
    <x v="7"/>
    <x v="2"/>
    <x v="1"/>
    <x v="0"/>
  </r>
  <r>
    <x v="227"/>
    <x v="17"/>
    <x v="3947"/>
    <x v="1"/>
    <x v="1"/>
    <x v="7"/>
    <x v="2"/>
    <x v="1"/>
    <x v="0"/>
  </r>
  <r>
    <x v="227"/>
    <x v="18"/>
    <x v="4091"/>
    <x v="1"/>
    <x v="1"/>
    <x v="7"/>
    <x v="2"/>
    <x v="1"/>
    <x v="0"/>
  </r>
  <r>
    <x v="227"/>
    <x v="19"/>
    <x v="4182"/>
    <x v="1"/>
    <x v="1"/>
    <x v="7"/>
    <x v="2"/>
    <x v="1"/>
    <x v="0"/>
  </r>
  <r>
    <x v="227"/>
    <x v="20"/>
    <x v="4146"/>
    <x v="1"/>
    <x v="1"/>
    <x v="7"/>
    <x v="2"/>
    <x v="1"/>
    <x v="1"/>
  </r>
  <r>
    <x v="227"/>
    <x v="21"/>
    <x v="4064"/>
    <x v="1"/>
    <x v="1"/>
    <x v="7"/>
    <x v="2"/>
    <x v="1"/>
    <x v="1"/>
  </r>
  <r>
    <x v="227"/>
    <x v="22"/>
    <x v="4087"/>
    <x v="1"/>
    <x v="1"/>
    <x v="7"/>
    <x v="2"/>
    <x v="1"/>
    <x v="1"/>
  </r>
  <r>
    <x v="227"/>
    <x v="23"/>
    <x v="4105"/>
    <x v="1"/>
    <x v="1"/>
    <x v="7"/>
    <x v="2"/>
    <x v="1"/>
    <x v="1"/>
  </r>
  <r>
    <x v="228"/>
    <x v="0"/>
    <x v="3942"/>
    <x v="1"/>
    <x v="1"/>
    <x v="7"/>
    <x v="3"/>
    <x v="1"/>
    <x v="4"/>
  </r>
  <r>
    <x v="228"/>
    <x v="1"/>
    <x v="3459"/>
    <x v="1"/>
    <x v="1"/>
    <x v="7"/>
    <x v="3"/>
    <x v="1"/>
    <x v="4"/>
  </r>
  <r>
    <x v="228"/>
    <x v="2"/>
    <x v="2715"/>
    <x v="1"/>
    <x v="1"/>
    <x v="7"/>
    <x v="3"/>
    <x v="1"/>
    <x v="4"/>
  </r>
  <r>
    <x v="228"/>
    <x v="3"/>
    <x v="2230"/>
    <x v="1"/>
    <x v="1"/>
    <x v="7"/>
    <x v="3"/>
    <x v="1"/>
    <x v="4"/>
  </r>
  <r>
    <x v="228"/>
    <x v="4"/>
    <x v="1686"/>
    <x v="1"/>
    <x v="1"/>
    <x v="7"/>
    <x v="3"/>
    <x v="1"/>
    <x v="4"/>
  </r>
  <r>
    <x v="228"/>
    <x v="5"/>
    <x v="886"/>
    <x v="1"/>
    <x v="1"/>
    <x v="7"/>
    <x v="3"/>
    <x v="1"/>
    <x v="4"/>
  </r>
  <r>
    <x v="228"/>
    <x v="6"/>
    <x v="685"/>
    <x v="1"/>
    <x v="1"/>
    <x v="7"/>
    <x v="3"/>
    <x v="1"/>
    <x v="3"/>
  </r>
  <r>
    <x v="228"/>
    <x v="7"/>
    <x v="737"/>
    <x v="1"/>
    <x v="1"/>
    <x v="7"/>
    <x v="3"/>
    <x v="1"/>
    <x v="3"/>
  </r>
  <r>
    <x v="228"/>
    <x v="8"/>
    <x v="1086"/>
    <x v="1"/>
    <x v="1"/>
    <x v="7"/>
    <x v="3"/>
    <x v="1"/>
    <x v="3"/>
  </r>
  <r>
    <x v="228"/>
    <x v="9"/>
    <x v="1551"/>
    <x v="1"/>
    <x v="1"/>
    <x v="7"/>
    <x v="3"/>
    <x v="1"/>
    <x v="3"/>
  </r>
  <r>
    <x v="228"/>
    <x v="10"/>
    <x v="2084"/>
    <x v="1"/>
    <x v="1"/>
    <x v="7"/>
    <x v="3"/>
    <x v="1"/>
    <x v="2"/>
  </r>
  <r>
    <x v="228"/>
    <x v="11"/>
    <x v="2505"/>
    <x v="1"/>
    <x v="1"/>
    <x v="7"/>
    <x v="3"/>
    <x v="1"/>
    <x v="2"/>
  </r>
  <r>
    <x v="228"/>
    <x v="12"/>
    <x v="2764"/>
    <x v="1"/>
    <x v="1"/>
    <x v="7"/>
    <x v="3"/>
    <x v="1"/>
    <x v="2"/>
  </r>
  <r>
    <x v="228"/>
    <x v="13"/>
    <x v="3048"/>
    <x v="1"/>
    <x v="1"/>
    <x v="7"/>
    <x v="3"/>
    <x v="1"/>
    <x v="2"/>
  </r>
  <r>
    <x v="228"/>
    <x v="14"/>
    <x v="3148"/>
    <x v="1"/>
    <x v="1"/>
    <x v="7"/>
    <x v="3"/>
    <x v="1"/>
    <x v="2"/>
  </r>
  <r>
    <x v="228"/>
    <x v="15"/>
    <x v="3267"/>
    <x v="1"/>
    <x v="1"/>
    <x v="7"/>
    <x v="3"/>
    <x v="1"/>
    <x v="2"/>
  </r>
  <r>
    <x v="228"/>
    <x v="16"/>
    <x v="3550"/>
    <x v="1"/>
    <x v="1"/>
    <x v="7"/>
    <x v="3"/>
    <x v="1"/>
    <x v="0"/>
  </r>
  <r>
    <x v="228"/>
    <x v="17"/>
    <x v="3693"/>
    <x v="1"/>
    <x v="1"/>
    <x v="7"/>
    <x v="3"/>
    <x v="1"/>
    <x v="0"/>
  </r>
  <r>
    <x v="228"/>
    <x v="18"/>
    <x v="3944"/>
    <x v="1"/>
    <x v="1"/>
    <x v="7"/>
    <x v="3"/>
    <x v="1"/>
    <x v="0"/>
  </r>
  <r>
    <x v="228"/>
    <x v="19"/>
    <x v="3966"/>
    <x v="1"/>
    <x v="1"/>
    <x v="7"/>
    <x v="3"/>
    <x v="1"/>
    <x v="0"/>
  </r>
  <r>
    <x v="228"/>
    <x v="20"/>
    <x v="3880"/>
    <x v="1"/>
    <x v="1"/>
    <x v="7"/>
    <x v="3"/>
    <x v="1"/>
    <x v="1"/>
  </r>
  <r>
    <x v="228"/>
    <x v="21"/>
    <x v="3815"/>
    <x v="1"/>
    <x v="1"/>
    <x v="7"/>
    <x v="3"/>
    <x v="1"/>
    <x v="1"/>
  </r>
  <r>
    <x v="228"/>
    <x v="22"/>
    <x v="3738"/>
    <x v="1"/>
    <x v="1"/>
    <x v="7"/>
    <x v="3"/>
    <x v="1"/>
    <x v="1"/>
  </r>
  <r>
    <x v="228"/>
    <x v="23"/>
    <x v="3554"/>
    <x v="1"/>
    <x v="1"/>
    <x v="7"/>
    <x v="3"/>
    <x v="1"/>
    <x v="1"/>
  </r>
  <r>
    <x v="229"/>
    <x v="0"/>
    <x v="3006"/>
    <x v="1"/>
    <x v="1"/>
    <x v="7"/>
    <x v="1"/>
    <x v="0"/>
    <x v="4"/>
  </r>
  <r>
    <x v="229"/>
    <x v="1"/>
    <x v="2087"/>
    <x v="1"/>
    <x v="1"/>
    <x v="7"/>
    <x v="1"/>
    <x v="0"/>
    <x v="4"/>
  </r>
  <r>
    <x v="229"/>
    <x v="2"/>
    <x v="1443"/>
    <x v="1"/>
    <x v="1"/>
    <x v="7"/>
    <x v="1"/>
    <x v="0"/>
    <x v="4"/>
  </r>
  <r>
    <x v="229"/>
    <x v="3"/>
    <x v="1074"/>
    <x v="1"/>
    <x v="1"/>
    <x v="7"/>
    <x v="1"/>
    <x v="0"/>
    <x v="4"/>
  </r>
  <r>
    <x v="229"/>
    <x v="4"/>
    <x v="898"/>
    <x v="1"/>
    <x v="1"/>
    <x v="7"/>
    <x v="1"/>
    <x v="0"/>
    <x v="4"/>
  </r>
  <r>
    <x v="229"/>
    <x v="5"/>
    <x v="982"/>
    <x v="1"/>
    <x v="1"/>
    <x v="7"/>
    <x v="1"/>
    <x v="0"/>
    <x v="4"/>
  </r>
  <r>
    <x v="229"/>
    <x v="6"/>
    <x v="1162"/>
    <x v="1"/>
    <x v="1"/>
    <x v="7"/>
    <x v="1"/>
    <x v="0"/>
    <x v="3"/>
  </r>
  <r>
    <x v="229"/>
    <x v="7"/>
    <x v="1575"/>
    <x v="1"/>
    <x v="1"/>
    <x v="7"/>
    <x v="1"/>
    <x v="0"/>
    <x v="3"/>
  </r>
  <r>
    <x v="229"/>
    <x v="8"/>
    <x v="2116"/>
    <x v="1"/>
    <x v="1"/>
    <x v="7"/>
    <x v="1"/>
    <x v="0"/>
    <x v="3"/>
  </r>
  <r>
    <x v="229"/>
    <x v="9"/>
    <x v="2478"/>
    <x v="1"/>
    <x v="1"/>
    <x v="7"/>
    <x v="1"/>
    <x v="0"/>
    <x v="3"/>
  </r>
  <r>
    <x v="229"/>
    <x v="10"/>
    <x v="2572"/>
    <x v="1"/>
    <x v="1"/>
    <x v="7"/>
    <x v="1"/>
    <x v="0"/>
    <x v="2"/>
  </r>
  <r>
    <x v="229"/>
    <x v="11"/>
    <x v="2561"/>
    <x v="1"/>
    <x v="1"/>
    <x v="7"/>
    <x v="1"/>
    <x v="0"/>
    <x v="2"/>
  </r>
  <r>
    <x v="229"/>
    <x v="12"/>
    <x v="2672"/>
    <x v="1"/>
    <x v="1"/>
    <x v="7"/>
    <x v="1"/>
    <x v="0"/>
    <x v="2"/>
  </r>
  <r>
    <x v="229"/>
    <x v="13"/>
    <x v="2656"/>
    <x v="1"/>
    <x v="1"/>
    <x v="7"/>
    <x v="1"/>
    <x v="0"/>
    <x v="2"/>
  </r>
  <r>
    <x v="229"/>
    <x v="14"/>
    <x v="2751"/>
    <x v="1"/>
    <x v="1"/>
    <x v="7"/>
    <x v="1"/>
    <x v="0"/>
    <x v="2"/>
  </r>
  <r>
    <x v="229"/>
    <x v="15"/>
    <x v="2964"/>
    <x v="1"/>
    <x v="1"/>
    <x v="7"/>
    <x v="1"/>
    <x v="0"/>
    <x v="2"/>
  </r>
  <r>
    <x v="229"/>
    <x v="16"/>
    <x v="3102"/>
    <x v="1"/>
    <x v="1"/>
    <x v="7"/>
    <x v="1"/>
    <x v="0"/>
    <x v="0"/>
  </r>
  <r>
    <x v="229"/>
    <x v="17"/>
    <x v="3369"/>
    <x v="1"/>
    <x v="1"/>
    <x v="7"/>
    <x v="1"/>
    <x v="0"/>
    <x v="0"/>
  </r>
  <r>
    <x v="229"/>
    <x v="18"/>
    <x v="3629"/>
    <x v="1"/>
    <x v="1"/>
    <x v="7"/>
    <x v="1"/>
    <x v="0"/>
    <x v="0"/>
  </r>
  <r>
    <x v="229"/>
    <x v="19"/>
    <x v="3570"/>
    <x v="1"/>
    <x v="1"/>
    <x v="7"/>
    <x v="1"/>
    <x v="0"/>
    <x v="0"/>
  </r>
  <r>
    <x v="229"/>
    <x v="20"/>
    <x v="3279"/>
    <x v="1"/>
    <x v="1"/>
    <x v="7"/>
    <x v="1"/>
    <x v="0"/>
    <x v="1"/>
  </r>
  <r>
    <x v="229"/>
    <x v="21"/>
    <x v="3082"/>
    <x v="1"/>
    <x v="1"/>
    <x v="7"/>
    <x v="1"/>
    <x v="0"/>
    <x v="1"/>
  </r>
  <r>
    <x v="229"/>
    <x v="22"/>
    <x v="2871"/>
    <x v="1"/>
    <x v="1"/>
    <x v="7"/>
    <x v="1"/>
    <x v="0"/>
    <x v="1"/>
  </r>
  <r>
    <x v="229"/>
    <x v="23"/>
    <x v="2324"/>
    <x v="1"/>
    <x v="1"/>
    <x v="7"/>
    <x v="1"/>
    <x v="0"/>
    <x v="1"/>
  </r>
  <r>
    <x v="230"/>
    <x v="0"/>
    <x v="1655"/>
    <x v="1"/>
    <x v="1"/>
    <x v="7"/>
    <x v="5"/>
    <x v="0"/>
    <x v="4"/>
  </r>
  <r>
    <x v="230"/>
    <x v="1"/>
    <x v="845"/>
    <x v="1"/>
    <x v="1"/>
    <x v="7"/>
    <x v="5"/>
    <x v="0"/>
    <x v="4"/>
  </r>
  <r>
    <x v="230"/>
    <x v="2"/>
    <x v="484"/>
    <x v="1"/>
    <x v="1"/>
    <x v="7"/>
    <x v="5"/>
    <x v="0"/>
    <x v="4"/>
  </r>
  <r>
    <x v="230"/>
    <x v="3"/>
    <x v="337"/>
    <x v="1"/>
    <x v="1"/>
    <x v="7"/>
    <x v="5"/>
    <x v="0"/>
    <x v="4"/>
  </r>
  <r>
    <x v="230"/>
    <x v="4"/>
    <x v="555"/>
    <x v="1"/>
    <x v="1"/>
    <x v="7"/>
    <x v="5"/>
    <x v="0"/>
    <x v="4"/>
  </r>
  <r>
    <x v="230"/>
    <x v="5"/>
    <x v="954"/>
    <x v="1"/>
    <x v="1"/>
    <x v="7"/>
    <x v="5"/>
    <x v="0"/>
    <x v="4"/>
  </r>
  <r>
    <x v="230"/>
    <x v="6"/>
    <x v="1987"/>
    <x v="1"/>
    <x v="1"/>
    <x v="7"/>
    <x v="5"/>
    <x v="0"/>
    <x v="3"/>
  </r>
  <r>
    <x v="230"/>
    <x v="7"/>
    <x v="2748"/>
    <x v="1"/>
    <x v="1"/>
    <x v="7"/>
    <x v="5"/>
    <x v="0"/>
    <x v="3"/>
  </r>
  <r>
    <x v="230"/>
    <x v="8"/>
    <x v="3319"/>
    <x v="1"/>
    <x v="1"/>
    <x v="7"/>
    <x v="5"/>
    <x v="0"/>
    <x v="3"/>
  </r>
  <r>
    <x v="230"/>
    <x v="9"/>
    <x v="3338"/>
    <x v="1"/>
    <x v="1"/>
    <x v="7"/>
    <x v="5"/>
    <x v="0"/>
    <x v="3"/>
  </r>
  <r>
    <x v="230"/>
    <x v="10"/>
    <x v="2852"/>
    <x v="1"/>
    <x v="1"/>
    <x v="7"/>
    <x v="5"/>
    <x v="0"/>
    <x v="2"/>
  </r>
  <r>
    <x v="230"/>
    <x v="11"/>
    <x v="2473"/>
    <x v="1"/>
    <x v="1"/>
    <x v="7"/>
    <x v="5"/>
    <x v="0"/>
    <x v="2"/>
  </r>
  <r>
    <x v="230"/>
    <x v="12"/>
    <x v="2390"/>
    <x v="1"/>
    <x v="1"/>
    <x v="7"/>
    <x v="5"/>
    <x v="0"/>
    <x v="2"/>
  </r>
  <r>
    <x v="230"/>
    <x v="13"/>
    <x v="2303"/>
    <x v="1"/>
    <x v="1"/>
    <x v="7"/>
    <x v="5"/>
    <x v="0"/>
    <x v="2"/>
  </r>
  <r>
    <x v="230"/>
    <x v="14"/>
    <x v="2454"/>
    <x v="1"/>
    <x v="1"/>
    <x v="7"/>
    <x v="5"/>
    <x v="0"/>
    <x v="2"/>
  </r>
  <r>
    <x v="230"/>
    <x v="15"/>
    <x v="2604"/>
    <x v="1"/>
    <x v="1"/>
    <x v="7"/>
    <x v="5"/>
    <x v="0"/>
    <x v="2"/>
  </r>
  <r>
    <x v="230"/>
    <x v="16"/>
    <x v="2968"/>
    <x v="1"/>
    <x v="1"/>
    <x v="7"/>
    <x v="5"/>
    <x v="0"/>
    <x v="0"/>
  </r>
  <r>
    <x v="230"/>
    <x v="17"/>
    <x v="3328"/>
    <x v="1"/>
    <x v="1"/>
    <x v="7"/>
    <x v="5"/>
    <x v="0"/>
    <x v="0"/>
  </r>
  <r>
    <x v="230"/>
    <x v="18"/>
    <x v="3680"/>
    <x v="1"/>
    <x v="1"/>
    <x v="7"/>
    <x v="5"/>
    <x v="0"/>
    <x v="0"/>
  </r>
  <r>
    <x v="230"/>
    <x v="19"/>
    <x v="3654"/>
    <x v="1"/>
    <x v="1"/>
    <x v="7"/>
    <x v="5"/>
    <x v="0"/>
    <x v="0"/>
  </r>
  <r>
    <x v="230"/>
    <x v="20"/>
    <x v="3524"/>
    <x v="1"/>
    <x v="1"/>
    <x v="7"/>
    <x v="5"/>
    <x v="0"/>
    <x v="1"/>
  </r>
  <r>
    <x v="230"/>
    <x v="21"/>
    <x v="3346"/>
    <x v="1"/>
    <x v="1"/>
    <x v="7"/>
    <x v="5"/>
    <x v="0"/>
    <x v="1"/>
  </r>
  <r>
    <x v="230"/>
    <x v="22"/>
    <x v="3072"/>
    <x v="1"/>
    <x v="1"/>
    <x v="7"/>
    <x v="5"/>
    <x v="0"/>
    <x v="1"/>
  </r>
  <r>
    <x v="230"/>
    <x v="23"/>
    <x v="2537"/>
    <x v="1"/>
    <x v="1"/>
    <x v="7"/>
    <x v="5"/>
    <x v="0"/>
    <x v="1"/>
  </r>
  <r>
    <x v="231"/>
    <x v="0"/>
    <x v="1774"/>
    <x v="1"/>
    <x v="1"/>
    <x v="7"/>
    <x v="6"/>
    <x v="0"/>
    <x v="4"/>
  </r>
  <r>
    <x v="231"/>
    <x v="1"/>
    <x v="947"/>
    <x v="1"/>
    <x v="1"/>
    <x v="7"/>
    <x v="6"/>
    <x v="0"/>
    <x v="4"/>
  </r>
  <r>
    <x v="231"/>
    <x v="2"/>
    <x v="567"/>
    <x v="1"/>
    <x v="1"/>
    <x v="7"/>
    <x v="6"/>
    <x v="0"/>
    <x v="4"/>
  </r>
  <r>
    <x v="231"/>
    <x v="3"/>
    <x v="351"/>
    <x v="1"/>
    <x v="1"/>
    <x v="7"/>
    <x v="6"/>
    <x v="0"/>
    <x v="4"/>
  </r>
  <r>
    <x v="231"/>
    <x v="4"/>
    <x v="520"/>
    <x v="1"/>
    <x v="1"/>
    <x v="7"/>
    <x v="6"/>
    <x v="0"/>
    <x v="4"/>
  </r>
  <r>
    <x v="231"/>
    <x v="5"/>
    <x v="858"/>
    <x v="1"/>
    <x v="1"/>
    <x v="7"/>
    <x v="6"/>
    <x v="0"/>
    <x v="4"/>
  </r>
  <r>
    <x v="231"/>
    <x v="6"/>
    <x v="1652"/>
    <x v="1"/>
    <x v="1"/>
    <x v="7"/>
    <x v="6"/>
    <x v="0"/>
    <x v="3"/>
  </r>
  <r>
    <x v="231"/>
    <x v="7"/>
    <x v="2571"/>
    <x v="1"/>
    <x v="1"/>
    <x v="7"/>
    <x v="6"/>
    <x v="0"/>
    <x v="3"/>
  </r>
  <r>
    <x v="231"/>
    <x v="8"/>
    <x v="3037"/>
    <x v="1"/>
    <x v="1"/>
    <x v="7"/>
    <x v="6"/>
    <x v="0"/>
    <x v="3"/>
  </r>
  <r>
    <x v="231"/>
    <x v="9"/>
    <x v="2927"/>
    <x v="1"/>
    <x v="1"/>
    <x v="7"/>
    <x v="6"/>
    <x v="0"/>
    <x v="3"/>
  </r>
  <r>
    <x v="231"/>
    <x v="10"/>
    <x v="2435"/>
    <x v="1"/>
    <x v="1"/>
    <x v="7"/>
    <x v="6"/>
    <x v="0"/>
    <x v="2"/>
  </r>
  <r>
    <x v="231"/>
    <x v="11"/>
    <x v="2184"/>
    <x v="1"/>
    <x v="1"/>
    <x v="7"/>
    <x v="6"/>
    <x v="0"/>
    <x v="2"/>
  </r>
  <r>
    <x v="231"/>
    <x v="12"/>
    <x v="2202"/>
    <x v="1"/>
    <x v="1"/>
    <x v="7"/>
    <x v="6"/>
    <x v="0"/>
    <x v="2"/>
  </r>
  <r>
    <x v="231"/>
    <x v="13"/>
    <x v="2123"/>
    <x v="1"/>
    <x v="1"/>
    <x v="7"/>
    <x v="6"/>
    <x v="0"/>
    <x v="2"/>
  </r>
  <r>
    <x v="231"/>
    <x v="14"/>
    <x v="2308"/>
    <x v="1"/>
    <x v="1"/>
    <x v="7"/>
    <x v="6"/>
    <x v="0"/>
    <x v="2"/>
  </r>
  <r>
    <x v="231"/>
    <x v="15"/>
    <x v="2550"/>
    <x v="1"/>
    <x v="1"/>
    <x v="7"/>
    <x v="6"/>
    <x v="0"/>
    <x v="2"/>
  </r>
  <r>
    <x v="231"/>
    <x v="16"/>
    <x v="2973"/>
    <x v="1"/>
    <x v="1"/>
    <x v="7"/>
    <x v="6"/>
    <x v="0"/>
    <x v="0"/>
  </r>
  <r>
    <x v="231"/>
    <x v="17"/>
    <x v="3407"/>
    <x v="1"/>
    <x v="1"/>
    <x v="7"/>
    <x v="6"/>
    <x v="0"/>
    <x v="0"/>
  </r>
  <r>
    <x v="231"/>
    <x v="18"/>
    <x v="3793"/>
    <x v="1"/>
    <x v="1"/>
    <x v="7"/>
    <x v="6"/>
    <x v="0"/>
    <x v="0"/>
  </r>
  <r>
    <x v="231"/>
    <x v="19"/>
    <x v="3855"/>
    <x v="1"/>
    <x v="1"/>
    <x v="7"/>
    <x v="6"/>
    <x v="0"/>
    <x v="0"/>
  </r>
  <r>
    <x v="231"/>
    <x v="20"/>
    <x v="3724"/>
    <x v="1"/>
    <x v="1"/>
    <x v="7"/>
    <x v="6"/>
    <x v="0"/>
    <x v="1"/>
  </r>
  <r>
    <x v="231"/>
    <x v="21"/>
    <x v="3553"/>
    <x v="1"/>
    <x v="1"/>
    <x v="7"/>
    <x v="6"/>
    <x v="0"/>
    <x v="1"/>
  </r>
  <r>
    <x v="231"/>
    <x v="22"/>
    <x v="3300"/>
    <x v="1"/>
    <x v="1"/>
    <x v="7"/>
    <x v="6"/>
    <x v="0"/>
    <x v="1"/>
  </r>
  <r>
    <x v="231"/>
    <x v="23"/>
    <x v="2776"/>
    <x v="1"/>
    <x v="1"/>
    <x v="7"/>
    <x v="6"/>
    <x v="0"/>
    <x v="1"/>
  </r>
  <r>
    <x v="232"/>
    <x v="0"/>
    <x v="1832"/>
    <x v="1"/>
    <x v="1"/>
    <x v="7"/>
    <x v="4"/>
    <x v="0"/>
    <x v="4"/>
  </r>
  <r>
    <x v="232"/>
    <x v="1"/>
    <x v="1024"/>
    <x v="1"/>
    <x v="1"/>
    <x v="7"/>
    <x v="4"/>
    <x v="0"/>
    <x v="4"/>
  </r>
  <r>
    <x v="232"/>
    <x v="2"/>
    <x v="598"/>
    <x v="1"/>
    <x v="1"/>
    <x v="7"/>
    <x v="4"/>
    <x v="0"/>
    <x v="4"/>
  </r>
  <r>
    <x v="232"/>
    <x v="3"/>
    <x v="380"/>
    <x v="1"/>
    <x v="1"/>
    <x v="7"/>
    <x v="4"/>
    <x v="0"/>
    <x v="4"/>
  </r>
  <r>
    <x v="232"/>
    <x v="4"/>
    <x v="529"/>
    <x v="1"/>
    <x v="1"/>
    <x v="7"/>
    <x v="4"/>
    <x v="0"/>
    <x v="4"/>
  </r>
  <r>
    <x v="232"/>
    <x v="5"/>
    <x v="931"/>
    <x v="1"/>
    <x v="1"/>
    <x v="7"/>
    <x v="4"/>
    <x v="0"/>
    <x v="4"/>
  </r>
  <r>
    <x v="232"/>
    <x v="6"/>
    <x v="1673"/>
    <x v="1"/>
    <x v="1"/>
    <x v="7"/>
    <x v="4"/>
    <x v="0"/>
    <x v="3"/>
  </r>
  <r>
    <x v="232"/>
    <x v="7"/>
    <x v="2654"/>
    <x v="1"/>
    <x v="1"/>
    <x v="7"/>
    <x v="4"/>
    <x v="0"/>
    <x v="3"/>
  </r>
  <r>
    <x v="232"/>
    <x v="8"/>
    <x v="3194"/>
    <x v="1"/>
    <x v="1"/>
    <x v="7"/>
    <x v="4"/>
    <x v="0"/>
    <x v="3"/>
  </r>
  <r>
    <x v="232"/>
    <x v="9"/>
    <x v="3039"/>
    <x v="1"/>
    <x v="1"/>
    <x v="7"/>
    <x v="4"/>
    <x v="0"/>
    <x v="3"/>
  </r>
  <r>
    <x v="232"/>
    <x v="10"/>
    <x v="2518"/>
    <x v="1"/>
    <x v="1"/>
    <x v="7"/>
    <x v="4"/>
    <x v="0"/>
    <x v="2"/>
  </r>
  <r>
    <x v="232"/>
    <x v="11"/>
    <x v="2403"/>
    <x v="1"/>
    <x v="1"/>
    <x v="7"/>
    <x v="4"/>
    <x v="0"/>
    <x v="2"/>
  </r>
  <r>
    <x v="232"/>
    <x v="12"/>
    <x v="2383"/>
    <x v="1"/>
    <x v="1"/>
    <x v="7"/>
    <x v="4"/>
    <x v="0"/>
    <x v="2"/>
  </r>
  <r>
    <x v="232"/>
    <x v="13"/>
    <x v="2404"/>
    <x v="1"/>
    <x v="1"/>
    <x v="7"/>
    <x v="4"/>
    <x v="0"/>
    <x v="2"/>
  </r>
  <r>
    <x v="232"/>
    <x v="14"/>
    <x v="2583"/>
    <x v="1"/>
    <x v="1"/>
    <x v="7"/>
    <x v="4"/>
    <x v="0"/>
    <x v="2"/>
  </r>
  <r>
    <x v="232"/>
    <x v="15"/>
    <x v="2970"/>
    <x v="1"/>
    <x v="1"/>
    <x v="7"/>
    <x v="4"/>
    <x v="0"/>
    <x v="2"/>
  </r>
  <r>
    <x v="232"/>
    <x v="16"/>
    <x v="3324"/>
    <x v="1"/>
    <x v="1"/>
    <x v="7"/>
    <x v="4"/>
    <x v="0"/>
    <x v="0"/>
  </r>
  <r>
    <x v="232"/>
    <x v="17"/>
    <x v="3797"/>
    <x v="1"/>
    <x v="1"/>
    <x v="7"/>
    <x v="4"/>
    <x v="0"/>
    <x v="0"/>
  </r>
  <r>
    <x v="232"/>
    <x v="18"/>
    <x v="4098"/>
    <x v="1"/>
    <x v="1"/>
    <x v="7"/>
    <x v="4"/>
    <x v="0"/>
    <x v="0"/>
  </r>
  <r>
    <x v="232"/>
    <x v="19"/>
    <x v="4188"/>
    <x v="1"/>
    <x v="1"/>
    <x v="7"/>
    <x v="4"/>
    <x v="0"/>
    <x v="0"/>
  </r>
  <r>
    <x v="232"/>
    <x v="20"/>
    <x v="4152"/>
    <x v="1"/>
    <x v="1"/>
    <x v="7"/>
    <x v="4"/>
    <x v="0"/>
    <x v="1"/>
  </r>
  <r>
    <x v="232"/>
    <x v="21"/>
    <x v="4141"/>
    <x v="1"/>
    <x v="1"/>
    <x v="7"/>
    <x v="4"/>
    <x v="0"/>
    <x v="1"/>
  </r>
  <r>
    <x v="232"/>
    <x v="22"/>
    <x v="4045"/>
    <x v="1"/>
    <x v="1"/>
    <x v="7"/>
    <x v="4"/>
    <x v="0"/>
    <x v="1"/>
  </r>
  <r>
    <x v="232"/>
    <x v="23"/>
    <x v="3689"/>
    <x v="1"/>
    <x v="1"/>
    <x v="7"/>
    <x v="4"/>
    <x v="0"/>
    <x v="1"/>
  </r>
  <r>
    <x v="233"/>
    <x v="0"/>
    <x v="2677"/>
    <x v="1"/>
    <x v="1"/>
    <x v="7"/>
    <x v="0"/>
    <x v="0"/>
    <x v="4"/>
  </r>
  <r>
    <x v="233"/>
    <x v="1"/>
    <x v="1535"/>
    <x v="1"/>
    <x v="1"/>
    <x v="7"/>
    <x v="0"/>
    <x v="0"/>
    <x v="4"/>
  </r>
  <r>
    <x v="233"/>
    <x v="2"/>
    <x v="955"/>
    <x v="1"/>
    <x v="1"/>
    <x v="7"/>
    <x v="0"/>
    <x v="0"/>
    <x v="4"/>
  </r>
  <r>
    <x v="233"/>
    <x v="3"/>
    <x v="635"/>
    <x v="1"/>
    <x v="1"/>
    <x v="7"/>
    <x v="0"/>
    <x v="0"/>
    <x v="4"/>
  </r>
  <r>
    <x v="233"/>
    <x v="4"/>
    <x v="738"/>
    <x v="1"/>
    <x v="1"/>
    <x v="7"/>
    <x v="0"/>
    <x v="0"/>
    <x v="4"/>
  </r>
  <r>
    <x v="233"/>
    <x v="5"/>
    <x v="1020"/>
    <x v="1"/>
    <x v="1"/>
    <x v="7"/>
    <x v="0"/>
    <x v="0"/>
    <x v="4"/>
  </r>
  <r>
    <x v="233"/>
    <x v="6"/>
    <x v="1891"/>
    <x v="1"/>
    <x v="1"/>
    <x v="7"/>
    <x v="0"/>
    <x v="0"/>
    <x v="3"/>
  </r>
  <r>
    <x v="233"/>
    <x v="7"/>
    <x v="3012"/>
    <x v="1"/>
    <x v="1"/>
    <x v="7"/>
    <x v="0"/>
    <x v="0"/>
    <x v="3"/>
  </r>
  <r>
    <x v="233"/>
    <x v="8"/>
    <x v="3501"/>
    <x v="1"/>
    <x v="1"/>
    <x v="7"/>
    <x v="0"/>
    <x v="0"/>
    <x v="3"/>
  </r>
  <r>
    <x v="233"/>
    <x v="9"/>
    <x v="3487"/>
    <x v="1"/>
    <x v="1"/>
    <x v="7"/>
    <x v="0"/>
    <x v="0"/>
    <x v="3"/>
  </r>
  <r>
    <x v="233"/>
    <x v="10"/>
    <x v="2950"/>
    <x v="1"/>
    <x v="1"/>
    <x v="7"/>
    <x v="0"/>
    <x v="0"/>
    <x v="2"/>
  </r>
  <r>
    <x v="233"/>
    <x v="11"/>
    <x v="2726"/>
    <x v="1"/>
    <x v="1"/>
    <x v="7"/>
    <x v="0"/>
    <x v="0"/>
    <x v="2"/>
  </r>
  <r>
    <x v="233"/>
    <x v="12"/>
    <x v="2649"/>
    <x v="1"/>
    <x v="1"/>
    <x v="7"/>
    <x v="0"/>
    <x v="0"/>
    <x v="2"/>
  </r>
  <r>
    <x v="233"/>
    <x v="13"/>
    <x v="2694"/>
    <x v="1"/>
    <x v="1"/>
    <x v="7"/>
    <x v="0"/>
    <x v="0"/>
    <x v="2"/>
  </r>
  <r>
    <x v="233"/>
    <x v="14"/>
    <x v="2958"/>
    <x v="1"/>
    <x v="1"/>
    <x v="7"/>
    <x v="0"/>
    <x v="0"/>
    <x v="2"/>
  </r>
  <r>
    <x v="233"/>
    <x v="15"/>
    <x v="3183"/>
    <x v="1"/>
    <x v="1"/>
    <x v="7"/>
    <x v="0"/>
    <x v="0"/>
    <x v="2"/>
  </r>
  <r>
    <x v="233"/>
    <x v="16"/>
    <x v="3587"/>
    <x v="1"/>
    <x v="1"/>
    <x v="7"/>
    <x v="0"/>
    <x v="0"/>
    <x v="0"/>
  </r>
  <r>
    <x v="233"/>
    <x v="17"/>
    <x v="3939"/>
    <x v="1"/>
    <x v="1"/>
    <x v="7"/>
    <x v="0"/>
    <x v="0"/>
    <x v="0"/>
  </r>
  <r>
    <x v="233"/>
    <x v="18"/>
    <x v="4156"/>
    <x v="1"/>
    <x v="1"/>
    <x v="7"/>
    <x v="0"/>
    <x v="0"/>
    <x v="0"/>
  </r>
  <r>
    <x v="233"/>
    <x v="19"/>
    <x v="4197"/>
    <x v="1"/>
    <x v="1"/>
    <x v="7"/>
    <x v="0"/>
    <x v="0"/>
    <x v="0"/>
  </r>
  <r>
    <x v="233"/>
    <x v="20"/>
    <x v="4184"/>
    <x v="1"/>
    <x v="1"/>
    <x v="7"/>
    <x v="0"/>
    <x v="0"/>
    <x v="1"/>
  </r>
  <r>
    <x v="233"/>
    <x v="21"/>
    <x v="4115"/>
    <x v="1"/>
    <x v="1"/>
    <x v="7"/>
    <x v="0"/>
    <x v="0"/>
    <x v="1"/>
  </r>
  <r>
    <x v="233"/>
    <x v="22"/>
    <x v="4133"/>
    <x v="1"/>
    <x v="1"/>
    <x v="7"/>
    <x v="0"/>
    <x v="0"/>
    <x v="1"/>
  </r>
  <r>
    <x v="233"/>
    <x v="23"/>
    <x v="4071"/>
    <x v="1"/>
    <x v="1"/>
    <x v="7"/>
    <x v="0"/>
    <x v="0"/>
    <x v="1"/>
  </r>
  <r>
    <x v="234"/>
    <x v="0"/>
    <x v="3800"/>
    <x v="1"/>
    <x v="1"/>
    <x v="7"/>
    <x v="2"/>
    <x v="1"/>
    <x v="4"/>
  </r>
  <r>
    <x v="234"/>
    <x v="1"/>
    <x v="3053"/>
    <x v="1"/>
    <x v="1"/>
    <x v="7"/>
    <x v="2"/>
    <x v="1"/>
    <x v="4"/>
  </r>
  <r>
    <x v="234"/>
    <x v="2"/>
    <x v="2182"/>
    <x v="1"/>
    <x v="1"/>
    <x v="7"/>
    <x v="2"/>
    <x v="1"/>
    <x v="4"/>
  </r>
  <r>
    <x v="234"/>
    <x v="3"/>
    <x v="1618"/>
    <x v="1"/>
    <x v="1"/>
    <x v="7"/>
    <x v="2"/>
    <x v="1"/>
    <x v="4"/>
  </r>
  <r>
    <x v="234"/>
    <x v="4"/>
    <x v="1091"/>
    <x v="1"/>
    <x v="1"/>
    <x v="7"/>
    <x v="2"/>
    <x v="1"/>
    <x v="4"/>
  </r>
  <r>
    <x v="234"/>
    <x v="5"/>
    <x v="848"/>
    <x v="1"/>
    <x v="1"/>
    <x v="7"/>
    <x v="2"/>
    <x v="1"/>
    <x v="4"/>
  </r>
  <r>
    <x v="234"/>
    <x v="6"/>
    <x v="858"/>
    <x v="1"/>
    <x v="1"/>
    <x v="7"/>
    <x v="2"/>
    <x v="1"/>
    <x v="3"/>
  </r>
  <r>
    <x v="234"/>
    <x v="7"/>
    <x v="995"/>
    <x v="1"/>
    <x v="1"/>
    <x v="7"/>
    <x v="2"/>
    <x v="1"/>
    <x v="3"/>
  </r>
  <r>
    <x v="234"/>
    <x v="8"/>
    <x v="1476"/>
    <x v="1"/>
    <x v="1"/>
    <x v="7"/>
    <x v="2"/>
    <x v="1"/>
    <x v="3"/>
  </r>
  <r>
    <x v="234"/>
    <x v="9"/>
    <x v="1913"/>
    <x v="1"/>
    <x v="1"/>
    <x v="7"/>
    <x v="2"/>
    <x v="1"/>
    <x v="3"/>
  </r>
  <r>
    <x v="234"/>
    <x v="10"/>
    <x v="2293"/>
    <x v="1"/>
    <x v="1"/>
    <x v="7"/>
    <x v="2"/>
    <x v="1"/>
    <x v="2"/>
  </r>
  <r>
    <x v="234"/>
    <x v="11"/>
    <x v="2497"/>
    <x v="1"/>
    <x v="1"/>
    <x v="7"/>
    <x v="2"/>
    <x v="1"/>
    <x v="2"/>
  </r>
  <r>
    <x v="234"/>
    <x v="12"/>
    <x v="2663"/>
    <x v="1"/>
    <x v="1"/>
    <x v="7"/>
    <x v="2"/>
    <x v="1"/>
    <x v="2"/>
  </r>
  <r>
    <x v="234"/>
    <x v="13"/>
    <x v="2924"/>
    <x v="1"/>
    <x v="1"/>
    <x v="7"/>
    <x v="2"/>
    <x v="1"/>
    <x v="2"/>
  </r>
  <r>
    <x v="234"/>
    <x v="14"/>
    <x v="3241"/>
    <x v="1"/>
    <x v="1"/>
    <x v="7"/>
    <x v="2"/>
    <x v="1"/>
    <x v="2"/>
  </r>
  <r>
    <x v="234"/>
    <x v="15"/>
    <x v="3498"/>
    <x v="1"/>
    <x v="1"/>
    <x v="7"/>
    <x v="2"/>
    <x v="1"/>
    <x v="2"/>
  </r>
  <r>
    <x v="234"/>
    <x v="16"/>
    <x v="3775"/>
    <x v="1"/>
    <x v="1"/>
    <x v="7"/>
    <x v="2"/>
    <x v="1"/>
    <x v="0"/>
  </r>
  <r>
    <x v="234"/>
    <x v="17"/>
    <x v="4015"/>
    <x v="1"/>
    <x v="1"/>
    <x v="7"/>
    <x v="2"/>
    <x v="1"/>
    <x v="0"/>
  </r>
  <r>
    <x v="234"/>
    <x v="18"/>
    <x v="4159"/>
    <x v="1"/>
    <x v="1"/>
    <x v="7"/>
    <x v="2"/>
    <x v="1"/>
    <x v="0"/>
  </r>
  <r>
    <x v="234"/>
    <x v="19"/>
    <x v="4187"/>
    <x v="1"/>
    <x v="1"/>
    <x v="7"/>
    <x v="2"/>
    <x v="1"/>
    <x v="0"/>
  </r>
  <r>
    <x v="234"/>
    <x v="20"/>
    <x v="4125"/>
    <x v="1"/>
    <x v="1"/>
    <x v="7"/>
    <x v="2"/>
    <x v="1"/>
    <x v="1"/>
  </r>
  <r>
    <x v="234"/>
    <x v="21"/>
    <x v="4056"/>
    <x v="1"/>
    <x v="1"/>
    <x v="7"/>
    <x v="2"/>
    <x v="1"/>
    <x v="1"/>
  </r>
  <r>
    <x v="234"/>
    <x v="22"/>
    <x v="4129"/>
    <x v="1"/>
    <x v="1"/>
    <x v="7"/>
    <x v="2"/>
    <x v="1"/>
    <x v="1"/>
  </r>
  <r>
    <x v="234"/>
    <x v="23"/>
    <x v="4145"/>
    <x v="1"/>
    <x v="1"/>
    <x v="7"/>
    <x v="2"/>
    <x v="1"/>
    <x v="1"/>
  </r>
  <r>
    <x v="235"/>
    <x v="0"/>
    <x v="3946"/>
    <x v="1"/>
    <x v="1"/>
    <x v="7"/>
    <x v="3"/>
    <x v="1"/>
    <x v="4"/>
  </r>
  <r>
    <x v="235"/>
    <x v="1"/>
    <x v="3541"/>
    <x v="1"/>
    <x v="1"/>
    <x v="7"/>
    <x v="3"/>
    <x v="1"/>
    <x v="4"/>
  </r>
  <r>
    <x v="235"/>
    <x v="2"/>
    <x v="2803"/>
    <x v="1"/>
    <x v="1"/>
    <x v="7"/>
    <x v="3"/>
    <x v="1"/>
    <x v="4"/>
  </r>
  <r>
    <x v="235"/>
    <x v="3"/>
    <x v="1892"/>
    <x v="1"/>
    <x v="1"/>
    <x v="7"/>
    <x v="3"/>
    <x v="1"/>
    <x v="4"/>
  </r>
  <r>
    <x v="235"/>
    <x v="4"/>
    <x v="1171"/>
    <x v="1"/>
    <x v="1"/>
    <x v="7"/>
    <x v="3"/>
    <x v="1"/>
    <x v="4"/>
  </r>
  <r>
    <x v="235"/>
    <x v="5"/>
    <x v="722"/>
    <x v="1"/>
    <x v="1"/>
    <x v="7"/>
    <x v="3"/>
    <x v="1"/>
    <x v="4"/>
  </r>
  <r>
    <x v="235"/>
    <x v="6"/>
    <x v="655"/>
    <x v="1"/>
    <x v="1"/>
    <x v="7"/>
    <x v="3"/>
    <x v="1"/>
    <x v="3"/>
  </r>
  <r>
    <x v="235"/>
    <x v="7"/>
    <x v="789"/>
    <x v="1"/>
    <x v="1"/>
    <x v="7"/>
    <x v="3"/>
    <x v="1"/>
    <x v="3"/>
  </r>
  <r>
    <x v="235"/>
    <x v="8"/>
    <x v="1079"/>
    <x v="1"/>
    <x v="1"/>
    <x v="7"/>
    <x v="3"/>
    <x v="1"/>
    <x v="3"/>
  </r>
  <r>
    <x v="235"/>
    <x v="9"/>
    <x v="1530"/>
    <x v="1"/>
    <x v="1"/>
    <x v="7"/>
    <x v="3"/>
    <x v="1"/>
    <x v="3"/>
  </r>
  <r>
    <x v="235"/>
    <x v="10"/>
    <x v="1959"/>
    <x v="1"/>
    <x v="1"/>
    <x v="7"/>
    <x v="3"/>
    <x v="1"/>
    <x v="2"/>
  </r>
  <r>
    <x v="235"/>
    <x v="11"/>
    <x v="2256"/>
    <x v="1"/>
    <x v="1"/>
    <x v="7"/>
    <x v="3"/>
    <x v="1"/>
    <x v="2"/>
  </r>
  <r>
    <x v="235"/>
    <x v="12"/>
    <x v="2465"/>
    <x v="1"/>
    <x v="1"/>
    <x v="7"/>
    <x v="3"/>
    <x v="1"/>
    <x v="2"/>
  </r>
  <r>
    <x v="235"/>
    <x v="13"/>
    <x v="2556"/>
    <x v="1"/>
    <x v="1"/>
    <x v="7"/>
    <x v="3"/>
    <x v="1"/>
    <x v="2"/>
  </r>
  <r>
    <x v="235"/>
    <x v="14"/>
    <x v="2605"/>
    <x v="1"/>
    <x v="1"/>
    <x v="7"/>
    <x v="3"/>
    <x v="1"/>
    <x v="2"/>
  </r>
  <r>
    <x v="235"/>
    <x v="15"/>
    <x v="2684"/>
    <x v="1"/>
    <x v="1"/>
    <x v="7"/>
    <x v="3"/>
    <x v="1"/>
    <x v="2"/>
  </r>
  <r>
    <x v="235"/>
    <x v="16"/>
    <x v="2782"/>
    <x v="1"/>
    <x v="1"/>
    <x v="7"/>
    <x v="3"/>
    <x v="1"/>
    <x v="0"/>
  </r>
  <r>
    <x v="235"/>
    <x v="17"/>
    <x v="3033"/>
    <x v="1"/>
    <x v="1"/>
    <x v="7"/>
    <x v="3"/>
    <x v="1"/>
    <x v="0"/>
  </r>
  <r>
    <x v="235"/>
    <x v="18"/>
    <x v="3174"/>
    <x v="1"/>
    <x v="1"/>
    <x v="7"/>
    <x v="3"/>
    <x v="1"/>
    <x v="0"/>
  </r>
  <r>
    <x v="235"/>
    <x v="19"/>
    <x v="3020"/>
    <x v="1"/>
    <x v="1"/>
    <x v="7"/>
    <x v="3"/>
    <x v="1"/>
    <x v="0"/>
  </r>
  <r>
    <x v="235"/>
    <x v="20"/>
    <x v="2513"/>
    <x v="1"/>
    <x v="1"/>
    <x v="7"/>
    <x v="3"/>
    <x v="1"/>
    <x v="1"/>
  </r>
  <r>
    <x v="235"/>
    <x v="21"/>
    <x v="2370"/>
    <x v="1"/>
    <x v="1"/>
    <x v="7"/>
    <x v="3"/>
    <x v="1"/>
    <x v="1"/>
  </r>
  <r>
    <x v="235"/>
    <x v="22"/>
    <x v="2545"/>
    <x v="1"/>
    <x v="1"/>
    <x v="7"/>
    <x v="3"/>
    <x v="1"/>
    <x v="1"/>
  </r>
  <r>
    <x v="235"/>
    <x v="23"/>
    <x v="1863"/>
    <x v="1"/>
    <x v="1"/>
    <x v="7"/>
    <x v="3"/>
    <x v="1"/>
    <x v="1"/>
  </r>
  <r>
    <x v="236"/>
    <x v="0"/>
    <x v="2118"/>
    <x v="1"/>
    <x v="1"/>
    <x v="7"/>
    <x v="1"/>
    <x v="0"/>
    <x v="4"/>
  </r>
  <r>
    <x v="236"/>
    <x v="1"/>
    <x v="848"/>
    <x v="1"/>
    <x v="1"/>
    <x v="7"/>
    <x v="1"/>
    <x v="0"/>
    <x v="4"/>
  </r>
  <r>
    <x v="236"/>
    <x v="2"/>
    <x v="411"/>
    <x v="1"/>
    <x v="1"/>
    <x v="7"/>
    <x v="1"/>
    <x v="0"/>
    <x v="4"/>
  </r>
  <r>
    <x v="236"/>
    <x v="3"/>
    <x v="299"/>
    <x v="1"/>
    <x v="1"/>
    <x v="7"/>
    <x v="1"/>
    <x v="0"/>
    <x v="4"/>
  </r>
  <r>
    <x v="236"/>
    <x v="4"/>
    <x v="528"/>
    <x v="1"/>
    <x v="1"/>
    <x v="7"/>
    <x v="1"/>
    <x v="0"/>
    <x v="4"/>
  </r>
  <r>
    <x v="236"/>
    <x v="5"/>
    <x v="1009"/>
    <x v="1"/>
    <x v="1"/>
    <x v="7"/>
    <x v="1"/>
    <x v="0"/>
    <x v="4"/>
  </r>
  <r>
    <x v="236"/>
    <x v="6"/>
    <x v="1728"/>
    <x v="1"/>
    <x v="1"/>
    <x v="7"/>
    <x v="1"/>
    <x v="0"/>
    <x v="3"/>
  </r>
  <r>
    <x v="236"/>
    <x v="7"/>
    <x v="2536"/>
    <x v="1"/>
    <x v="1"/>
    <x v="7"/>
    <x v="1"/>
    <x v="0"/>
    <x v="3"/>
  </r>
  <r>
    <x v="236"/>
    <x v="8"/>
    <x v="3068"/>
    <x v="1"/>
    <x v="1"/>
    <x v="7"/>
    <x v="1"/>
    <x v="0"/>
    <x v="3"/>
  </r>
  <r>
    <x v="236"/>
    <x v="9"/>
    <x v="2954"/>
    <x v="1"/>
    <x v="1"/>
    <x v="7"/>
    <x v="1"/>
    <x v="0"/>
    <x v="3"/>
  </r>
  <r>
    <x v="236"/>
    <x v="10"/>
    <x v="2399"/>
    <x v="1"/>
    <x v="1"/>
    <x v="7"/>
    <x v="1"/>
    <x v="0"/>
    <x v="2"/>
  </r>
  <r>
    <x v="236"/>
    <x v="11"/>
    <x v="2103"/>
    <x v="1"/>
    <x v="1"/>
    <x v="7"/>
    <x v="1"/>
    <x v="0"/>
    <x v="2"/>
  </r>
  <r>
    <x v="236"/>
    <x v="12"/>
    <x v="2062"/>
    <x v="1"/>
    <x v="1"/>
    <x v="7"/>
    <x v="1"/>
    <x v="0"/>
    <x v="2"/>
  </r>
  <r>
    <x v="236"/>
    <x v="13"/>
    <x v="2030"/>
    <x v="1"/>
    <x v="1"/>
    <x v="7"/>
    <x v="1"/>
    <x v="0"/>
    <x v="2"/>
  </r>
  <r>
    <x v="236"/>
    <x v="14"/>
    <x v="2279"/>
    <x v="1"/>
    <x v="1"/>
    <x v="7"/>
    <x v="1"/>
    <x v="0"/>
    <x v="2"/>
  </r>
  <r>
    <x v="236"/>
    <x v="15"/>
    <x v="2562"/>
    <x v="1"/>
    <x v="1"/>
    <x v="7"/>
    <x v="1"/>
    <x v="0"/>
    <x v="2"/>
  </r>
  <r>
    <x v="236"/>
    <x v="16"/>
    <x v="2923"/>
    <x v="1"/>
    <x v="1"/>
    <x v="7"/>
    <x v="1"/>
    <x v="0"/>
    <x v="0"/>
  </r>
  <r>
    <x v="236"/>
    <x v="17"/>
    <x v="3430"/>
    <x v="1"/>
    <x v="1"/>
    <x v="7"/>
    <x v="1"/>
    <x v="0"/>
    <x v="0"/>
  </r>
  <r>
    <x v="236"/>
    <x v="18"/>
    <x v="3861"/>
    <x v="1"/>
    <x v="1"/>
    <x v="7"/>
    <x v="1"/>
    <x v="0"/>
    <x v="0"/>
  </r>
  <r>
    <x v="236"/>
    <x v="19"/>
    <x v="3838"/>
    <x v="1"/>
    <x v="1"/>
    <x v="7"/>
    <x v="1"/>
    <x v="0"/>
    <x v="0"/>
  </r>
  <r>
    <x v="236"/>
    <x v="20"/>
    <x v="3668"/>
    <x v="1"/>
    <x v="1"/>
    <x v="7"/>
    <x v="1"/>
    <x v="0"/>
    <x v="1"/>
  </r>
  <r>
    <x v="236"/>
    <x v="21"/>
    <x v="3536"/>
    <x v="1"/>
    <x v="1"/>
    <x v="7"/>
    <x v="1"/>
    <x v="0"/>
    <x v="1"/>
  </r>
  <r>
    <x v="236"/>
    <x v="22"/>
    <x v="3185"/>
    <x v="1"/>
    <x v="1"/>
    <x v="7"/>
    <x v="1"/>
    <x v="0"/>
    <x v="1"/>
  </r>
  <r>
    <x v="236"/>
    <x v="23"/>
    <x v="2368"/>
    <x v="1"/>
    <x v="1"/>
    <x v="7"/>
    <x v="1"/>
    <x v="0"/>
    <x v="1"/>
  </r>
  <r>
    <x v="237"/>
    <x v="0"/>
    <x v="1517"/>
    <x v="1"/>
    <x v="1"/>
    <x v="7"/>
    <x v="5"/>
    <x v="0"/>
    <x v="4"/>
  </r>
  <r>
    <x v="237"/>
    <x v="1"/>
    <x v="835"/>
    <x v="1"/>
    <x v="1"/>
    <x v="7"/>
    <x v="5"/>
    <x v="0"/>
    <x v="4"/>
  </r>
  <r>
    <x v="237"/>
    <x v="2"/>
    <x v="449"/>
    <x v="1"/>
    <x v="1"/>
    <x v="7"/>
    <x v="5"/>
    <x v="0"/>
    <x v="4"/>
  </r>
  <r>
    <x v="237"/>
    <x v="3"/>
    <x v="285"/>
    <x v="1"/>
    <x v="1"/>
    <x v="7"/>
    <x v="5"/>
    <x v="0"/>
    <x v="4"/>
  </r>
  <r>
    <x v="237"/>
    <x v="4"/>
    <x v="454"/>
    <x v="1"/>
    <x v="1"/>
    <x v="7"/>
    <x v="5"/>
    <x v="0"/>
    <x v="4"/>
  </r>
  <r>
    <x v="237"/>
    <x v="5"/>
    <x v="926"/>
    <x v="1"/>
    <x v="1"/>
    <x v="7"/>
    <x v="5"/>
    <x v="0"/>
    <x v="4"/>
  </r>
  <r>
    <x v="237"/>
    <x v="6"/>
    <x v="1990"/>
    <x v="1"/>
    <x v="1"/>
    <x v="7"/>
    <x v="5"/>
    <x v="0"/>
    <x v="3"/>
  </r>
  <r>
    <x v="237"/>
    <x v="7"/>
    <x v="3169"/>
    <x v="1"/>
    <x v="1"/>
    <x v="7"/>
    <x v="5"/>
    <x v="0"/>
    <x v="3"/>
  </r>
  <r>
    <x v="237"/>
    <x v="8"/>
    <x v="3597"/>
    <x v="1"/>
    <x v="1"/>
    <x v="7"/>
    <x v="5"/>
    <x v="0"/>
    <x v="3"/>
  </r>
  <r>
    <x v="237"/>
    <x v="9"/>
    <x v="3363"/>
    <x v="1"/>
    <x v="1"/>
    <x v="7"/>
    <x v="5"/>
    <x v="0"/>
    <x v="3"/>
  </r>
  <r>
    <x v="237"/>
    <x v="10"/>
    <x v="2663"/>
    <x v="1"/>
    <x v="1"/>
    <x v="7"/>
    <x v="5"/>
    <x v="0"/>
    <x v="2"/>
  </r>
  <r>
    <x v="237"/>
    <x v="11"/>
    <x v="2449"/>
    <x v="1"/>
    <x v="1"/>
    <x v="7"/>
    <x v="5"/>
    <x v="0"/>
    <x v="2"/>
  </r>
  <r>
    <x v="237"/>
    <x v="12"/>
    <x v="2278"/>
    <x v="1"/>
    <x v="1"/>
    <x v="7"/>
    <x v="5"/>
    <x v="0"/>
    <x v="2"/>
  </r>
  <r>
    <x v="237"/>
    <x v="13"/>
    <x v="2293"/>
    <x v="1"/>
    <x v="1"/>
    <x v="7"/>
    <x v="5"/>
    <x v="0"/>
    <x v="2"/>
  </r>
  <r>
    <x v="237"/>
    <x v="14"/>
    <x v="2518"/>
    <x v="1"/>
    <x v="1"/>
    <x v="7"/>
    <x v="5"/>
    <x v="0"/>
    <x v="2"/>
  </r>
  <r>
    <x v="237"/>
    <x v="15"/>
    <x v="2855"/>
    <x v="1"/>
    <x v="1"/>
    <x v="7"/>
    <x v="5"/>
    <x v="0"/>
    <x v="2"/>
  </r>
  <r>
    <x v="237"/>
    <x v="16"/>
    <x v="3208"/>
    <x v="1"/>
    <x v="1"/>
    <x v="7"/>
    <x v="5"/>
    <x v="0"/>
    <x v="0"/>
  </r>
  <r>
    <x v="237"/>
    <x v="17"/>
    <x v="3653"/>
    <x v="1"/>
    <x v="1"/>
    <x v="7"/>
    <x v="5"/>
    <x v="0"/>
    <x v="0"/>
  </r>
  <r>
    <x v="237"/>
    <x v="18"/>
    <x v="3940"/>
    <x v="1"/>
    <x v="1"/>
    <x v="7"/>
    <x v="5"/>
    <x v="0"/>
    <x v="0"/>
  </r>
  <r>
    <x v="237"/>
    <x v="19"/>
    <x v="3953"/>
    <x v="1"/>
    <x v="1"/>
    <x v="7"/>
    <x v="5"/>
    <x v="0"/>
    <x v="0"/>
  </r>
  <r>
    <x v="237"/>
    <x v="20"/>
    <x v="3770"/>
    <x v="1"/>
    <x v="1"/>
    <x v="7"/>
    <x v="5"/>
    <x v="0"/>
    <x v="1"/>
  </r>
  <r>
    <x v="237"/>
    <x v="21"/>
    <x v="3654"/>
    <x v="1"/>
    <x v="1"/>
    <x v="7"/>
    <x v="5"/>
    <x v="0"/>
    <x v="1"/>
  </r>
  <r>
    <x v="237"/>
    <x v="22"/>
    <x v="3295"/>
    <x v="1"/>
    <x v="1"/>
    <x v="7"/>
    <x v="5"/>
    <x v="0"/>
    <x v="1"/>
  </r>
  <r>
    <x v="237"/>
    <x v="23"/>
    <x v="2662"/>
    <x v="1"/>
    <x v="1"/>
    <x v="7"/>
    <x v="5"/>
    <x v="0"/>
    <x v="1"/>
  </r>
  <r>
    <x v="238"/>
    <x v="0"/>
    <x v="1773"/>
    <x v="1"/>
    <x v="1"/>
    <x v="7"/>
    <x v="6"/>
    <x v="0"/>
    <x v="4"/>
  </r>
  <r>
    <x v="238"/>
    <x v="1"/>
    <x v="874"/>
    <x v="1"/>
    <x v="1"/>
    <x v="7"/>
    <x v="6"/>
    <x v="0"/>
    <x v="4"/>
  </r>
  <r>
    <x v="238"/>
    <x v="2"/>
    <x v="504"/>
    <x v="1"/>
    <x v="1"/>
    <x v="7"/>
    <x v="6"/>
    <x v="0"/>
    <x v="4"/>
  </r>
  <r>
    <x v="238"/>
    <x v="3"/>
    <x v="317"/>
    <x v="1"/>
    <x v="1"/>
    <x v="7"/>
    <x v="6"/>
    <x v="0"/>
    <x v="4"/>
  </r>
  <r>
    <x v="238"/>
    <x v="4"/>
    <x v="479"/>
    <x v="1"/>
    <x v="1"/>
    <x v="7"/>
    <x v="6"/>
    <x v="0"/>
    <x v="4"/>
  </r>
  <r>
    <x v="238"/>
    <x v="5"/>
    <x v="860"/>
    <x v="1"/>
    <x v="1"/>
    <x v="7"/>
    <x v="6"/>
    <x v="0"/>
    <x v="4"/>
  </r>
  <r>
    <x v="238"/>
    <x v="6"/>
    <x v="1692"/>
    <x v="1"/>
    <x v="1"/>
    <x v="7"/>
    <x v="6"/>
    <x v="0"/>
    <x v="3"/>
  </r>
  <r>
    <x v="238"/>
    <x v="7"/>
    <x v="2693"/>
    <x v="1"/>
    <x v="1"/>
    <x v="7"/>
    <x v="6"/>
    <x v="0"/>
    <x v="3"/>
  </r>
  <r>
    <x v="238"/>
    <x v="8"/>
    <x v="3163"/>
    <x v="1"/>
    <x v="1"/>
    <x v="7"/>
    <x v="6"/>
    <x v="0"/>
    <x v="3"/>
  </r>
  <r>
    <x v="238"/>
    <x v="9"/>
    <x v="3017"/>
    <x v="1"/>
    <x v="1"/>
    <x v="7"/>
    <x v="6"/>
    <x v="0"/>
    <x v="3"/>
  </r>
  <r>
    <x v="238"/>
    <x v="10"/>
    <x v="2445"/>
    <x v="1"/>
    <x v="1"/>
    <x v="7"/>
    <x v="6"/>
    <x v="0"/>
    <x v="2"/>
  </r>
  <r>
    <x v="238"/>
    <x v="11"/>
    <x v="2226"/>
    <x v="1"/>
    <x v="1"/>
    <x v="7"/>
    <x v="6"/>
    <x v="0"/>
    <x v="2"/>
  </r>
  <r>
    <x v="238"/>
    <x v="12"/>
    <x v="2199"/>
    <x v="1"/>
    <x v="1"/>
    <x v="7"/>
    <x v="6"/>
    <x v="0"/>
    <x v="2"/>
  </r>
  <r>
    <x v="238"/>
    <x v="13"/>
    <x v="2163"/>
    <x v="1"/>
    <x v="1"/>
    <x v="7"/>
    <x v="6"/>
    <x v="0"/>
    <x v="2"/>
  </r>
  <r>
    <x v="238"/>
    <x v="14"/>
    <x v="2477"/>
    <x v="1"/>
    <x v="1"/>
    <x v="7"/>
    <x v="6"/>
    <x v="0"/>
    <x v="2"/>
  </r>
  <r>
    <x v="238"/>
    <x v="15"/>
    <x v="2743"/>
    <x v="1"/>
    <x v="1"/>
    <x v="7"/>
    <x v="6"/>
    <x v="0"/>
    <x v="2"/>
  </r>
  <r>
    <x v="238"/>
    <x v="16"/>
    <x v="3099"/>
    <x v="1"/>
    <x v="1"/>
    <x v="7"/>
    <x v="6"/>
    <x v="0"/>
    <x v="0"/>
  </r>
  <r>
    <x v="238"/>
    <x v="17"/>
    <x v="3558"/>
    <x v="1"/>
    <x v="1"/>
    <x v="7"/>
    <x v="6"/>
    <x v="0"/>
    <x v="0"/>
  </r>
  <r>
    <x v="238"/>
    <x v="18"/>
    <x v="3889"/>
    <x v="1"/>
    <x v="1"/>
    <x v="7"/>
    <x v="6"/>
    <x v="0"/>
    <x v="0"/>
  </r>
  <r>
    <x v="238"/>
    <x v="19"/>
    <x v="3859"/>
    <x v="1"/>
    <x v="1"/>
    <x v="7"/>
    <x v="6"/>
    <x v="0"/>
    <x v="0"/>
  </r>
  <r>
    <x v="238"/>
    <x v="20"/>
    <x v="3722"/>
    <x v="1"/>
    <x v="1"/>
    <x v="7"/>
    <x v="6"/>
    <x v="0"/>
    <x v="1"/>
  </r>
  <r>
    <x v="238"/>
    <x v="21"/>
    <x v="3602"/>
    <x v="1"/>
    <x v="1"/>
    <x v="7"/>
    <x v="6"/>
    <x v="0"/>
    <x v="1"/>
  </r>
  <r>
    <x v="238"/>
    <x v="22"/>
    <x v="3451"/>
    <x v="1"/>
    <x v="1"/>
    <x v="7"/>
    <x v="6"/>
    <x v="0"/>
    <x v="1"/>
  </r>
  <r>
    <x v="238"/>
    <x v="23"/>
    <x v="2790"/>
    <x v="1"/>
    <x v="1"/>
    <x v="7"/>
    <x v="6"/>
    <x v="0"/>
    <x v="1"/>
  </r>
  <r>
    <x v="239"/>
    <x v="0"/>
    <x v="1825"/>
    <x v="1"/>
    <x v="1"/>
    <x v="7"/>
    <x v="4"/>
    <x v="0"/>
    <x v="4"/>
  </r>
  <r>
    <x v="239"/>
    <x v="1"/>
    <x v="988"/>
    <x v="1"/>
    <x v="1"/>
    <x v="7"/>
    <x v="4"/>
    <x v="0"/>
    <x v="4"/>
  </r>
  <r>
    <x v="239"/>
    <x v="2"/>
    <x v="563"/>
    <x v="1"/>
    <x v="1"/>
    <x v="7"/>
    <x v="4"/>
    <x v="0"/>
    <x v="4"/>
  </r>
  <r>
    <x v="239"/>
    <x v="3"/>
    <x v="391"/>
    <x v="1"/>
    <x v="1"/>
    <x v="7"/>
    <x v="4"/>
    <x v="0"/>
    <x v="4"/>
  </r>
  <r>
    <x v="239"/>
    <x v="4"/>
    <x v="539"/>
    <x v="1"/>
    <x v="1"/>
    <x v="7"/>
    <x v="4"/>
    <x v="0"/>
    <x v="4"/>
  </r>
  <r>
    <x v="239"/>
    <x v="5"/>
    <x v="963"/>
    <x v="1"/>
    <x v="1"/>
    <x v="7"/>
    <x v="4"/>
    <x v="0"/>
    <x v="4"/>
  </r>
  <r>
    <x v="239"/>
    <x v="6"/>
    <x v="1700"/>
    <x v="1"/>
    <x v="1"/>
    <x v="7"/>
    <x v="4"/>
    <x v="0"/>
    <x v="3"/>
  </r>
  <r>
    <x v="239"/>
    <x v="7"/>
    <x v="2796"/>
    <x v="1"/>
    <x v="1"/>
    <x v="7"/>
    <x v="4"/>
    <x v="0"/>
    <x v="3"/>
  </r>
  <r>
    <x v="239"/>
    <x v="8"/>
    <x v="3313"/>
    <x v="1"/>
    <x v="1"/>
    <x v="7"/>
    <x v="4"/>
    <x v="0"/>
    <x v="3"/>
  </r>
  <r>
    <x v="239"/>
    <x v="9"/>
    <x v="3227"/>
    <x v="1"/>
    <x v="1"/>
    <x v="7"/>
    <x v="4"/>
    <x v="0"/>
    <x v="3"/>
  </r>
  <r>
    <x v="239"/>
    <x v="10"/>
    <x v="2512"/>
    <x v="1"/>
    <x v="1"/>
    <x v="7"/>
    <x v="4"/>
    <x v="0"/>
    <x v="2"/>
  </r>
  <r>
    <x v="239"/>
    <x v="11"/>
    <x v="2330"/>
    <x v="1"/>
    <x v="1"/>
    <x v="7"/>
    <x v="4"/>
    <x v="0"/>
    <x v="2"/>
  </r>
  <r>
    <x v="239"/>
    <x v="12"/>
    <x v="2256"/>
    <x v="1"/>
    <x v="1"/>
    <x v="7"/>
    <x v="4"/>
    <x v="0"/>
    <x v="2"/>
  </r>
  <r>
    <x v="239"/>
    <x v="13"/>
    <x v="2391"/>
    <x v="1"/>
    <x v="1"/>
    <x v="7"/>
    <x v="4"/>
    <x v="0"/>
    <x v="2"/>
  </r>
  <r>
    <x v="239"/>
    <x v="14"/>
    <x v="2674"/>
    <x v="1"/>
    <x v="1"/>
    <x v="7"/>
    <x v="4"/>
    <x v="0"/>
    <x v="2"/>
  </r>
  <r>
    <x v="239"/>
    <x v="15"/>
    <x v="2940"/>
    <x v="1"/>
    <x v="1"/>
    <x v="7"/>
    <x v="4"/>
    <x v="0"/>
    <x v="2"/>
  </r>
  <r>
    <x v="239"/>
    <x v="16"/>
    <x v="3275"/>
    <x v="1"/>
    <x v="1"/>
    <x v="7"/>
    <x v="4"/>
    <x v="0"/>
    <x v="0"/>
  </r>
  <r>
    <x v="239"/>
    <x v="17"/>
    <x v="3680"/>
    <x v="1"/>
    <x v="1"/>
    <x v="7"/>
    <x v="4"/>
    <x v="0"/>
    <x v="0"/>
  </r>
  <r>
    <x v="239"/>
    <x v="18"/>
    <x v="4013"/>
    <x v="1"/>
    <x v="1"/>
    <x v="7"/>
    <x v="4"/>
    <x v="0"/>
    <x v="0"/>
  </r>
  <r>
    <x v="239"/>
    <x v="19"/>
    <x v="4028"/>
    <x v="1"/>
    <x v="1"/>
    <x v="7"/>
    <x v="4"/>
    <x v="0"/>
    <x v="0"/>
  </r>
  <r>
    <x v="239"/>
    <x v="20"/>
    <x v="3994"/>
    <x v="1"/>
    <x v="1"/>
    <x v="7"/>
    <x v="4"/>
    <x v="0"/>
    <x v="1"/>
  </r>
  <r>
    <x v="239"/>
    <x v="21"/>
    <x v="3924"/>
    <x v="1"/>
    <x v="1"/>
    <x v="7"/>
    <x v="4"/>
    <x v="0"/>
    <x v="1"/>
  </r>
  <r>
    <x v="239"/>
    <x v="22"/>
    <x v="3832"/>
    <x v="1"/>
    <x v="1"/>
    <x v="7"/>
    <x v="4"/>
    <x v="0"/>
    <x v="1"/>
  </r>
  <r>
    <x v="239"/>
    <x v="23"/>
    <x v="3399"/>
    <x v="1"/>
    <x v="1"/>
    <x v="7"/>
    <x v="4"/>
    <x v="0"/>
    <x v="1"/>
  </r>
  <r>
    <x v="240"/>
    <x v="0"/>
    <x v="2459"/>
    <x v="1"/>
    <x v="1"/>
    <x v="7"/>
    <x v="0"/>
    <x v="0"/>
    <x v="4"/>
  </r>
  <r>
    <x v="240"/>
    <x v="1"/>
    <x v="1388"/>
    <x v="1"/>
    <x v="1"/>
    <x v="7"/>
    <x v="0"/>
    <x v="0"/>
    <x v="4"/>
  </r>
  <r>
    <x v="240"/>
    <x v="2"/>
    <x v="857"/>
    <x v="1"/>
    <x v="1"/>
    <x v="7"/>
    <x v="0"/>
    <x v="0"/>
    <x v="4"/>
  </r>
  <r>
    <x v="240"/>
    <x v="3"/>
    <x v="577"/>
    <x v="1"/>
    <x v="1"/>
    <x v="7"/>
    <x v="0"/>
    <x v="0"/>
    <x v="4"/>
  </r>
  <r>
    <x v="240"/>
    <x v="4"/>
    <x v="763"/>
    <x v="1"/>
    <x v="1"/>
    <x v="7"/>
    <x v="0"/>
    <x v="0"/>
    <x v="4"/>
  </r>
  <r>
    <x v="240"/>
    <x v="5"/>
    <x v="977"/>
    <x v="1"/>
    <x v="1"/>
    <x v="7"/>
    <x v="0"/>
    <x v="0"/>
    <x v="4"/>
  </r>
  <r>
    <x v="240"/>
    <x v="6"/>
    <x v="1671"/>
    <x v="1"/>
    <x v="1"/>
    <x v="7"/>
    <x v="0"/>
    <x v="0"/>
    <x v="3"/>
  </r>
  <r>
    <x v="240"/>
    <x v="7"/>
    <x v="2632"/>
    <x v="1"/>
    <x v="1"/>
    <x v="7"/>
    <x v="0"/>
    <x v="0"/>
    <x v="3"/>
  </r>
  <r>
    <x v="240"/>
    <x v="8"/>
    <x v="3120"/>
    <x v="1"/>
    <x v="1"/>
    <x v="7"/>
    <x v="0"/>
    <x v="0"/>
    <x v="3"/>
  </r>
  <r>
    <x v="240"/>
    <x v="9"/>
    <x v="3063"/>
    <x v="1"/>
    <x v="1"/>
    <x v="7"/>
    <x v="0"/>
    <x v="0"/>
    <x v="3"/>
  </r>
  <r>
    <x v="240"/>
    <x v="10"/>
    <x v="2405"/>
    <x v="1"/>
    <x v="1"/>
    <x v="7"/>
    <x v="0"/>
    <x v="0"/>
    <x v="2"/>
  </r>
  <r>
    <x v="240"/>
    <x v="11"/>
    <x v="2294"/>
    <x v="1"/>
    <x v="1"/>
    <x v="7"/>
    <x v="0"/>
    <x v="0"/>
    <x v="2"/>
  </r>
  <r>
    <x v="240"/>
    <x v="12"/>
    <x v="2280"/>
    <x v="1"/>
    <x v="1"/>
    <x v="7"/>
    <x v="0"/>
    <x v="0"/>
    <x v="2"/>
  </r>
  <r>
    <x v="240"/>
    <x v="13"/>
    <x v="2337"/>
    <x v="1"/>
    <x v="1"/>
    <x v="7"/>
    <x v="0"/>
    <x v="0"/>
    <x v="2"/>
  </r>
  <r>
    <x v="240"/>
    <x v="14"/>
    <x v="2618"/>
    <x v="1"/>
    <x v="1"/>
    <x v="7"/>
    <x v="0"/>
    <x v="0"/>
    <x v="2"/>
  </r>
  <r>
    <x v="240"/>
    <x v="15"/>
    <x v="2910"/>
    <x v="1"/>
    <x v="1"/>
    <x v="7"/>
    <x v="0"/>
    <x v="0"/>
    <x v="2"/>
  </r>
  <r>
    <x v="240"/>
    <x v="16"/>
    <x v="3308"/>
    <x v="1"/>
    <x v="1"/>
    <x v="7"/>
    <x v="0"/>
    <x v="0"/>
    <x v="0"/>
  </r>
  <r>
    <x v="240"/>
    <x v="17"/>
    <x v="3646"/>
    <x v="1"/>
    <x v="1"/>
    <x v="7"/>
    <x v="0"/>
    <x v="0"/>
    <x v="0"/>
  </r>
  <r>
    <x v="240"/>
    <x v="18"/>
    <x v="4008"/>
    <x v="1"/>
    <x v="1"/>
    <x v="7"/>
    <x v="0"/>
    <x v="0"/>
    <x v="0"/>
  </r>
  <r>
    <x v="240"/>
    <x v="19"/>
    <x v="4175"/>
    <x v="1"/>
    <x v="1"/>
    <x v="7"/>
    <x v="0"/>
    <x v="0"/>
    <x v="0"/>
  </r>
  <r>
    <x v="240"/>
    <x v="20"/>
    <x v="4112"/>
    <x v="1"/>
    <x v="1"/>
    <x v="7"/>
    <x v="0"/>
    <x v="0"/>
    <x v="1"/>
  </r>
  <r>
    <x v="240"/>
    <x v="21"/>
    <x v="3971"/>
    <x v="1"/>
    <x v="1"/>
    <x v="7"/>
    <x v="0"/>
    <x v="0"/>
    <x v="1"/>
  </r>
  <r>
    <x v="240"/>
    <x v="22"/>
    <x v="4063"/>
    <x v="1"/>
    <x v="1"/>
    <x v="7"/>
    <x v="0"/>
    <x v="0"/>
    <x v="1"/>
  </r>
  <r>
    <x v="240"/>
    <x v="23"/>
    <x v="4011"/>
    <x v="1"/>
    <x v="1"/>
    <x v="7"/>
    <x v="0"/>
    <x v="0"/>
    <x v="1"/>
  </r>
  <r>
    <x v="241"/>
    <x v="0"/>
    <x v="3667"/>
    <x v="1"/>
    <x v="1"/>
    <x v="7"/>
    <x v="2"/>
    <x v="1"/>
    <x v="4"/>
  </r>
  <r>
    <x v="241"/>
    <x v="1"/>
    <x v="2955"/>
    <x v="1"/>
    <x v="1"/>
    <x v="7"/>
    <x v="2"/>
    <x v="1"/>
    <x v="4"/>
  </r>
  <r>
    <x v="241"/>
    <x v="2"/>
    <x v="2171"/>
    <x v="1"/>
    <x v="1"/>
    <x v="7"/>
    <x v="2"/>
    <x v="1"/>
    <x v="4"/>
  </r>
  <r>
    <x v="241"/>
    <x v="3"/>
    <x v="1578"/>
    <x v="1"/>
    <x v="1"/>
    <x v="7"/>
    <x v="2"/>
    <x v="1"/>
    <x v="4"/>
  </r>
  <r>
    <x v="241"/>
    <x v="4"/>
    <x v="1138"/>
    <x v="1"/>
    <x v="1"/>
    <x v="7"/>
    <x v="2"/>
    <x v="1"/>
    <x v="4"/>
  </r>
  <r>
    <x v="241"/>
    <x v="5"/>
    <x v="870"/>
    <x v="1"/>
    <x v="1"/>
    <x v="7"/>
    <x v="2"/>
    <x v="1"/>
    <x v="4"/>
  </r>
  <r>
    <x v="241"/>
    <x v="6"/>
    <x v="867"/>
    <x v="1"/>
    <x v="1"/>
    <x v="7"/>
    <x v="2"/>
    <x v="1"/>
    <x v="3"/>
  </r>
  <r>
    <x v="241"/>
    <x v="7"/>
    <x v="978"/>
    <x v="1"/>
    <x v="1"/>
    <x v="7"/>
    <x v="2"/>
    <x v="1"/>
    <x v="3"/>
  </r>
  <r>
    <x v="241"/>
    <x v="8"/>
    <x v="1506"/>
    <x v="1"/>
    <x v="1"/>
    <x v="7"/>
    <x v="2"/>
    <x v="1"/>
    <x v="3"/>
  </r>
  <r>
    <x v="241"/>
    <x v="9"/>
    <x v="1944"/>
    <x v="1"/>
    <x v="1"/>
    <x v="7"/>
    <x v="2"/>
    <x v="1"/>
    <x v="3"/>
  </r>
  <r>
    <x v="241"/>
    <x v="10"/>
    <x v="2195"/>
    <x v="1"/>
    <x v="1"/>
    <x v="7"/>
    <x v="2"/>
    <x v="1"/>
    <x v="2"/>
  </r>
  <r>
    <x v="241"/>
    <x v="11"/>
    <x v="2365"/>
    <x v="1"/>
    <x v="1"/>
    <x v="7"/>
    <x v="2"/>
    <x v="1"/>
    <x v="2"/>
  </r>
  <r>
    <x v="241"/>
    <x v="12"/>
    <x v="2499"/>
    <x v="1"/>
    <x v="1"/>
    <x v="7"/>
    <x v="2"/>
    <x v="1"/>
    <x v="2"/>
  </r>
  <r>
    <x v="241"/>
    <x v="13"/>
    <x v="2654"/>
    <x v="1"/>
    <x v="1"/>
    <x v="7"/>
    <x v="2"/>
    <x v="1"/>
    <x v="2"/>
  </r>
  <r>
    <x v="241"/>
    <x v="14"/>
    <x v="2641"/>
    <x v="1"/>
    <x v="1"/>
    <x v="7"/>
    <x v="2"/>
    <x v="1"/>
    <x v="2"/>
  </r>
  <r>
    <x v="241"/>
    <x v="15"/>
    <x v="2875"/>
    <x v="1"/>
    <x v="1"/>
    <x v="7"/>
    <x v="2"/>
    <x v="1"/>
    <x v="2"/>
  </r>
  <r>
    <x v="241"/>
    <x v="16"/>
    <x v="3267"/>
    <x v="1"/>
    <x v="1"/>
    <x v="7"/>
    <x v="2"/>
    <x v="1"/>
    <x v="0"/>
  </r>
  <r>
    <x v="241"/>
    <x v="17"/>
    <x v="3601"/>
    <x v="1"/>
    <x v="1"/>
    <x v="7"/>
    <x v="2"/>
    <x v="1"/>
    <x v="0"/>
  </r>
  <r>
    <x v="241"/>
    <x v="18"/>
    <x v="3862"/>
    <x v="1"/>
    <x v="1"/>
    <x v="7"/>
    <x v="2"/>
    <x v="1"/>
    <x v="0"/>
  </r>
  <r>
    <x v="241"/>
    <x v="19"/>
    <x v="4088"/>
    <x v="1"/>
    <x v="1"/>
    <x v="7"/>
    <x v="2"/>
    <x v="1"/>
    <x v="0"/>
  </r>
  <r>
    <x v="241"/>
    <x v="20"/>
    <x v="3999"/>
    <x v="1"/>
    <x v="1"/>
    <x v="7"/>
    <x v="2"/>
    <x v="1"/>
    <x v="1"/>
  </r>
  <r>
    <x v="241"/>
    <x v="21"/>
    <x v="3938"/>
    <x v="1"/>
    <x v="1"/>
    <x v="7"/>
    <x v="2"/>
    <x v="1"/>
    <x v="1"/>
  </r>
  <r>
    <x v="241"/>
    <x v="22"/>
    <x v="4097"/>
    <x v="1"/>
    <x v="1"/>
    <x v="7"/>
    <x v="2"/>
    <x v="1"/>
    <x v="1"/>
  </r>
  <r>
    <x v="241"/>
    <x v="23"/>
    <x v="4113"/>
    <x v="1"/>
    <x v="1"/>
    <x v="7"/>
    <x v="2"/>
    <x v="1"/>
    <x v="1"/>
  </r>
  <r>
    <x v="242"/>
    <x v="0"/>
    <x v="3621"/>
    <x v="1"/>
    <x v="1"/>
    <x v="8"/>
    <x v="3"/>
    <x v="1"/>
    <x v="4"/>
  </r>
  <r>
    <x v="242"/>
    <x v="1"/>
    <x v="3404"/>
    <x v="1"/>
    <x v="1"/>
    <x v="8"/>
    <x v="3"/>
    <x v="1"/>
    <x v="4"/>
  </r>
  <r>
    <x v="242"/>
    <x v="2"/>
    <x v="2634"/>
    <x v="1"/>
    <x v="1"/>
    <x v="8"/>
    <x v="3"/>
    <x v="1"/>
    <x v="4"/>
  </r>
  <r>
    <x v="242"/>
    <x v="3"/>
    <x v="1840"/>
    <x v="1"/>
    <x v="1"/>
    <x v="8"/>
    <x v="3"/>
    <x v="1"/>
    <x v="4"/>
  </r>
  <r>
    <x v="242"/>
    <x v="4"/>
    <x v="1271"/>
    <x v="1"/>
    <x v="1"/>
    <x v="8"/>
    <x v="3"/>
    <x v="1"/>
    <x v="4"/>
  </r>
  <r>
    <x v="242"/>
    <x v="5"/>
    <x v="745"/>
    <x v="1"/>
    <x v="1"/>
    <x v="8"/>
    <x v="3"/>
    <x v="1"/>
    <x v="4"/>
  </r>
  <r>
    <x v="242"/>
    <x v="6"/>
    <x v="711"/>
    <x v="1"/>
    <x v="1"/>
    <x v="8"/>
    <x v="3"/>
    <x v="1"/>
    <x v="3"/>
  </r>
  <r>
    <x v="242"/>
    <x v="7"/>
    <x v="632"/>
    <x v="1"/>
    <x v="1"/>
    <x v="8"/>
    <x v="3"/>
    <x v="1"/>
    <x v="3"/>
  </r>
  <r>
    <x v="242"/>
    <x v="8"/>
    <x v="951"/>
    <x v="1"/>
    <x v="1"/>
    <x v="8"/>
    <x v="3"/>
    <x v="1"/>
    <x v="3"/>
  </r>
  <r>
    <x v="242"/>
    <x v="9"/>
    <x v="1424"/>
    <x v="1"/>
    <x v="1"/>
    <x v="8"/>
    <x v="3"/>
    <x v="1"/>
    <x v="3"/>
  </r>
  <r>
    <x v="242"/>
    <x v="10"/>
    <x v="1971"/>
    <x v="1"/>
    <x v="1"/>
    <x v="8"/>
    <x v="3"/>
    <x v="1"/>
    <x v="2"/>
  </r>
  <r>
    <x v="242"/>
    <x v="11"/>
    <x v="2387"/>
    <x v="1"/>
    <x v="1"/>
    <x v="8"/>
    <x v="3"/>
    <x v="1"/>
    <x v="2"/>
  </r>
  <r>
    <x v="242"/>
    <x v="12"/>
    <x v="2701"/>
    <x v="1"/>
    <x v="1"/>
    <x v="8"/>
    <x v="3"/>
    <x v="1"/>
    <x v="2"/>
  </r>
  <r>
    <x v="242"/>
    <x v="13"/>
    <x v="3046"/>
    <x v="1"/>
    <x v="1"/>
    <x v="8"/>
    <x v="3"/>
    <x v="1"/>
    <x v="2"/>
  </r>
  <r>
    <x v="242"/>
    <x v="14"/>
    <x v="3100"/>
    <x v="1"/>
    <x v="1"/>
    <x v="8"/>
    <x v="3"/>
    <x v="1"/>
    <x v="2"/>
  </r>
  <r>
    <x v="242"/>
    <x v="15"/>
    <x v="3082"/>
    <x v="1"/>
    <x v="1"/>
    <x v="8"/>
    <x v="3"/>
    <x v="1"/>
    <x v="2"/>
  </r>
  <r>
    <x v="242"/>
    <x v="16"/>
    <x v="3161"/>
    <x v="1"/>
    <x v="1"/>
    <x v="8"/>
    <x v="3"/>
    <x v="1"/>
    <x v="0"/>
  </r>
  <r>
    <x v="242"/>
    <x v="17"/>
    <x v="3228"/>
    <x v="1"/>
    <x v="1"/>
    <x v="8"/>
    <x v="3"/>
    <x v="1"/>
    <x v="0"/>
  </r>
  <r>
    <x v="242"/>
    <x v="18"/>
    <x v="3334"/>
    <x v="1"/>
    <x v="1"/>
    <x v="8"/>
    <x v="3"/>
    <x v="1"/>
    <x v="0"/>
  </r>
  <r>
    <x v="242"/>
    <x v="19"/>
    <x v="3149"/>
    <x v="1"/>
    <x v="1"/>
    <x v="8"/>
    <x v="3"/>
    <x v="1"/>
    <x v="0"/>
  </r>
  <r>
    <x v="242"/>
    <x v="20"/>
    <x v="2883"/>
    <x v="1"/>
    <x v="1"/>
    <x v="8"/>
    <x v="3"/>
    <x v="1"/>
    <x v="1"/>
  </r>
  <r>
    <x v="242"/>
    <x v="21"/>
    <x v="2535"/>
    <x v="1"/>
    <x v="1"/>
    <x v="8"/>
    <x v="3"/>
    <x v="1"/>
    <x v="1"/>
  </r>
  <r>
    <x v="242"/>
    <x v="22"/>
    <x v="2269"/>
    <x v="1"/>
    <x v="1"/>
    <x v="8"/>
    <x v="3"/>
    <x v="1"/>
    <x v="1"/>
  </r>
  <r>
    <x v="242"/>
    <x v="23"/>
    <x v="1842"/>
    <x v="1"/>
    <x v="1"/>
    <x v="8"/>
    <x v="3"/>
    <x v="1"/>
    <x v="1"/>
  </r>
  <r>
    <x v="243"/>
    <x v="0"/>
    <x v="1161"/>
    <x v="1"/>
    <x v="1"/>
    <x v="8"/>
    <x v="1"/>
    <x v="0"/>
    <x v="4"/>
  </r>
  <r>
    <x v="243"/>
    <x v="1"/>
    <x v="772"/>
    <x v="1"/>
    <x v="1"/>
    <x v="8"/>
    <x v="1"/>
    <x v="0"/>
    <x v="4"/>
  </r>
  <r>
    <x v="243"/>
    <x v="2"/>
    <x v="385"/>
    <x v="1"/>
    <x v="1"/>
    <x v="8"/>
    <x v="1"/>
    <x v="0"/>
    <x v="4"/>
  </r>
  <r>
    <x v="243"/>
    <x v="3"/>
    <x v="261"/>
    <x v="1"/>
    <x v="1"/>
    <x v="8"/>
    <x v="1"/>
    <x v="0"/>
    <x v="4"/>
  </r>
  <r>
    <x v="243"/>
    <x v="4"/>
    <x v="426"/>
    <x v="1"/>
    <x v="1"/>
    <x v="8"/>
    <x v="1"/>
    <x v="0"/>
    <x v="4"/>
  </r>
  <r>
    <x v="243"/>
    <x v="5"/>
    <x v="791"/>
    <x v="1"/>
    <x v="1"/>
    <x v="8"/>
    <x v="1"/>
    <x v="0"/>
    <x v="4"/>
  </r>
  <r>
    <x v="243"/>
    <x v="6"/>
    <x v="1418"/>
    <x v="1"/>
    <x v="1"/>
    <x v="8"/>
    <x v="1"/>
    <x v="0"/>
    <x v="3"/>
  </r>
  <r>
    <x v="243"/>
    <x v="7"/>
    <x v="2242"/>
    <x v="1"/>
    <x v="1"/>
    <x v="8"/>
    <x v="1"/>
    <x v="0"/>
    <x v="3"/>
  </r>
  <r>
    <x v="243"/>
    <x v="8"/>
    <x v="2758"/>
    <x v="1"/>
    <x v="1"/>
    <x v="8"/>
    <x v="1"/>
    <x v="0"/>
    <x v="3"/>
  </r>
  <r>
    <x v="243"/>
    <x v="9"/>
    <x v="2829"/>
    <x v="1"/>
    <x v="1"/>
    <x v="8"/>
    <x v="1"/>
    <x v="0"/>
    <x v="3"/>
  </r>
  <r>
    <x v="243"/>
    <x v="10"/>
    <x v="2220"/>
    <x v="1"/>
    <x v="1"/>
    <x v="8"/>
    <x v="1"/>
    <x v="0"/>
    <x v="2"/>
  </r>
  <r>
    <x v="243"/>
    <x v="11"/>
    <x v="2028"/>
    <x v="1"/>
    <x v="1"/>
    <x v="8"/>
    <x v="1"/>
    <x v="0"/>
    <x v="2"/>
  </r>
  <r>
    <x v="243"/>
    <x v="12"/>
    <x v="1974"/>
    <x v="1"/>
    <x v="1"/>
    <x v="8"/>
    <x v="1"/>
    <x v="0"/>
    <x v="2"/>
  </r>
  <r>
    <x v="243"/>
    <x v="13"/>
    <x v="1871"/>
    <x v="1"/>
    <x v="1"/>
    <x v="8"/>
    <x v="1"/>
    <x v="0"/>
    <x v="2"/>
  </r>
  <r>
    <x v="243"/>
    <x v="14"/>
    <x v="1897"/>
    <x v="1"/>
    <x v="1"/>
    <x v="8"/>
    <x v="1"/>
    <x v="0"/>
    <x v="2"/>
  </r>
  <r>
    <x v="243"/>
    <x v="15"/>
    <x v="2189"/>
    <x v="1"/>
    <x v="1"/>
    <x v="8"/>
    <x v="1"/>
    <x v="0"/>
    <x v="2"/>
  </r>
  <r>
    <x v="243"/>
    <x v="16"/>
    <x v="2338"/>
    <x v="1"/>
    <x v="1"/>
    <x v="8"/>
    <x v="1"/>
    <x v="0"/>
    <x v="0"/>
  </r>
  <r>
    <x v="243"/>
    <x v="17"/>
    <x v="2825"/>
    <x v="1"/>
    <x v="1"/>
    <x v="8"/>
    <x v="1"/>
    <x v="0"/>
    <x v="0"/>
  </r>
  <r>
    <x v="243"/>
    <x v="18"/>
    <x v="3244"/>
    <x v="1"/>
    <x v="1"/>
    <x v="8"/>
    <x v="1"/>
    <x v="0"/>
    <x v="0"/>
  </r>
  <r>
    <x v="243"/>
    <x v="19"/>
    <x v="3178"/>
    <x v="1"/>
    <x v="1"/>
    <x v="8"/>
    <x v="1"/>
    <x v="0"/>
    <x v="0"/>
  </r>
  <r>
    <x v="243"/>
    <x v="20"/>
    <x v="3000"/>
    <x v="1"/>
    <x v="1"/>
    <x v="8"/>
    <x v="1"/>
    <x v="0"/>
    <x v="1"/>
  </r>
  <r>
    <x v="243"/>
    <x v="21"/>
    <x v="2808"/>
    <x v="1"/>
    <x v="1"/>
    <x v="8"/>
    <x v="1"/>
    <x v="0"/>
    <x v="1"/>
  </r>
  <r>
    <x v="243"/>
    <x v="22"/>
    <x v="2516"/>
    <x v="1"/>
    <x v="1"/>
    <x v="8"/>
    <x v="1"/>
    <x v="0"/>
    <x v="1"/>
  </r>
  <r>
    <x v="243"/>
    <x v="23"/>
    <x v="2027"/>
    <x v="1"/>
    <x v="1"/>
    <x v="8"/>
    <x v="1"/>
    <x v="0"/>
    <x v="1"/>
  </r>
  <r>
    <x v="244"/>
    <x v="0"/>
    <x v="1364"/>
    <x v="1"/>
    <x v="1"/>
    <x v="8"/>
    <x v="5"/>
    <x v="0"/>
    <x v="4"/>
  </r>
  <r>
    <x v="244"/>
    <x v="1"/>
    <x v="642"/>
    <x v="1"/>
    <x v="1"/>
    <x v="8"/>
    <x v="5"/>
    <x v="0"/>
    <x v="4"/>
  </r>
  <r>
    <x v="244"/>
    <x v="2"/>
    <x v="394"/>
    <x v="1"/>
    <x v="1"/>
    <x v="8"/>
    <x v="5"/>
    <x v="0"/>
    <x v="4"/>
  </r>
  <r>
    <x v="244"/>
    <x v="3"/>
    <x v="237"/>
    <x v="1"/>
    <x v="1"/>
    <x v="8"/>
    <x v="5"/>
    <x v="0"/>
    <x v="4"/>
  </r>
  <r>
    <x v="244"/>
    <x v="4"/>
    <x v="373"/>
    <x v="1"/>
    <x v="1"/>
    <x v="8"/>
    <x v="5"/>
    <x v="0"/>
    <x v="4"/>
  </r>
  <r>
    <x v="244"/>
    <x v="5"/>
    <x v="721"/>
    <x v="1"/>
    <x v="1"/>
    <x v="8"/>
    <x v="5"/>
    <x v="0"/>
    <x v="4"/>
  </r>
  <r>
    <x v="244"/>
    <x v="6"/>
    <x v="1561"/>
    <x v="1"/>
    <x v="1"/>
    <x v="8"/>
    <x v="5"/>
    <x v="0"/>
    <x v="3"/>
  </r>
  <r>
    <x v="244"/>
    <x v="7"/>
    <x v="2564"/>
    <x v="1"/>
    <x v="1"/>
    <x v="8"/>
    <x v="5"/>
    <x v="0"/>
    <x v="3"/>
  </r>
  <r>
    <x v="244"/>
    <x v="8"/>
    <x v="3071"/>
    <x v="1"/>
    <x v="1"/>
    <x v="8"/>
    <x v="5"/>
    <x v="0"/>
    <x v="3"/>
  </r>
  <r>
    <x v="244"/>
    <x v="9"/>
    <x v="2766"/>
    <x v="1"/>
    <x v="1"/>
    <x v="8"/>
    <x v="5"/>
    <x v="0"/>
    <x v="3"/>
  </r>
  <r>
    <x v="244"/>
    <x v="10"/>
    <x v="2141"/>
    <x v="1"/>
    <x v="1"/>
    <x v="8"/>
    <x v="5"/>
    <x v="0"/>
    <x v="2"/>
  </r>
  <r>
    <x v="244"/>
    <x v="11"/>
    <x v="2013"/>
    <x v="1"/>
    <x v="1"/>
    <x v="8"/>
    <x v="5"/>
    <x v="0"/>
    <x v="2"/>
  </r>
  <r>
    <x v="244"/>
    <x v="12"/>
    <x v="2009"/>
    <x v="1"/>
    <x v="1"/>
    <x v="8"/>
    <x v="5"/>
    <x v="0"/>
    <x v="2"/>
  </r>
  <r>
    <x v="244"/>
    <x v="13"/>
    <x v="1926"/>
    <x v="1"/>
    <x v="1"/>
    <x v="8"/>
    <x v="5"/>
    <x v="0"/>
    <x v="2"/>
  </r>
  <r>
    <x v="244"/>
    <x v="14"/>
    <x v="2180"/>
    <x v="1"/>
    <x v="1"/>
    <x v="8"/>
    <x v="5"/>
    <x v="0"/>
    <x v="2"/>
  </r>
  <r>
    <x v="244"/>
    <x v="15"/>
    <x v="2664"/>
    <x v="1"/>
    <x v="1"/>
    <x v="8"/>
    <x v="5"/>
    <x v="0"/>
    <x v="2"/>
  </r>
  <r>
    <x v="244"/>
    <x v="16"/>
    <x v="3161"/>
    <x v="1"/>
    <x v="1"/>
    <x v="8"/>
    <x v="5"/>
    <x v="0"/>
    <x v="0"/>
  </r>
  <r>
    <x v="244"/>
    <x v="17"/>
    <x v="3617"/>
    <x v="1"/>
    <x v="1"/>
    <x v="8"/>
    <x v="5"/>
    <x v="0"/>
    <x v="0"/>
  </r>
  <r>
    <x v="244"/>
    <x v="18"/>
    <x v="3805"/>
    <x v="1"/>
    <x v="1"/>
    <x v="8"/>
    <x v="5"/>
    <x v="0"/>
    <x v="0"/>
  </r>
  <r>
    <x v="244"/>
    <x v="19"/>
    <x v="3987"/>
    <x v="1"/>
    <x v="1"/>
    <x v="8"/>
    <x v="5"/>
    <x v="0"/>
    <x v="0"/>
  </r>
  <r>
    <x v="244"/>
    <x v="20"/>
    <x v="4017"/>
    <x v="1"/>
    <x v="1"/>
    <x v="8"/>
    <x v="5"/>
    <x v="0"/>
    <x v="1"/>
  </r>
  <r>
    <x v="244"/>
    <x v="21"/>
    <x v="3931"/>
    <x v="1"/>
    <x v="1"/>
    <x v="8"/>
    <x v="5"/>
    <x v="0"/>
    <x v="1"/>
  </r>
  <r>
    <x v="244"/>
    <x v="22"/>
    <x v="3655"/>
    <x v="1"/>
    <x v="1"/>
    <x v="8"/>
    <x v="5"/>
    <x v="0"/>
    <x v="1"/>
  </r>
  <r>
    <x v="244"/>
    <x v="23"/>
    <x v="2795"/>
    <x v="1"/>
    <x v="1"/>
    <x v="8"/>
    <x v="5"/>
    <x v="0"/>
    <x v="1"/>
  </r>
  <r>
    <x v="245"/>
    <x v="0"/>
    <x v="1705"/>
    <x v="1"/>
    <x v="1"/>
    <x v="8"/>
    <x v="6"/>
    <x v="0"/>
    <x v="4"/>
  </r>
  <r>
    <x v="245"/>
    <x v="1"/>
    <x v="822"/>
    <x v="1"/>
    <x v="1"/>
    <x v="8"/>
    <x v="6"/>
    <x v="0"/>
    <x v="4"/>
  </r>
  <r>
    <x v="245"/>
    <x v="2"/>
    <x v="405"/>
    <x v="1"/>
    <x v="1"/>
    <x v="8"/>
    <x v="6"/>
    <x v="0"/>
    <x v="4"/>
  </r>
  <r>
    <x v="245"/>
    <x v="3"/>
    <x v="264"/>
    <x v="1"/>
    <x v="1"/>
    <x v="8"/>
    <x v="6"/>
    <x v="0"/>
    <x v="4"/>
  </r>
  <r>
    <x v="245"/>
    <x v="4"/>
    <x v="428"/>
    <x v="1"/>
    <x v="1"/>
    <x v="8"/>
    <x v="6"/>
    <x v="0"/>
    <x v="4"/>
  </r>
  <r>
    <x v="245"/>
    <x v="5"/>
    <x v="768"/>
    <x v="1"/>
    <x v="1"/>
    <x v="8"/>
    <x v="6"/>
    <x v="0"/>
    <x v="4"/>
  </r>
  <r>
    <x v="245"/>
    <x v="6"/>
    <x v="1611"/>
    <x v="1"/>
    <x v="1"/>
    <x v="8"/>
    <x v="6"/>
    <x v="0"/>
    <x v="3"/>
  </r>
  <r>
    <x v="245"/>
    <x v="7"/>
    <x v="2517"/>
    <x v="1"/>
    <x v="1"/>
    <x v="8"/>
    <x v="6"/>
    <x v="0"/>
    <x v="3"/>
  </r>
  <r>
    <x v="245"/>
    <x v="8"/>
    <x v="3116"/>
    <x v="1"/>
    <x v="1"/>
    <x v="8"/>
    <x v="6"/>
    <x v="0"/>
    <x v="3"/>
  </r>
  <r>
    <x v="245"/>
    <x v="9"/>
    <x v="3086"/>
    <x v="1"/>
    <x v="1"/>
    <x v="8"/>
    <x v="6"/>
    <x v="0"/>
    <x v="3"/>
  </r>
  <r>
    <x v="245"/>
    <x v="10"/>
    <x v="2476"/>
    <x v="1"/>
    <x v="1"/>
    <x v="8"/>
    <x v="6"/>
    <x v="0"/>
    <x v="2"/>
  </r>
  <r>
    <x v="245"/>
    <x v="11"/>
    <x v="2168"/>
    <x v="1"/>
    <x v="1"/>
    <x v="8"/>
    <x v="6"/>
    <x v="0"/>
    <x v="2"/>
  </r>
  <r>
    <x v="245"/>
    <x v="12"/>
    <x v="2127"/>
    <x v="1"/>
    <x v="1"/>
    <x v="8"/>
    <x v="6"/>
    <x v="0"/>
    <x v="2"/>
  </r>
  <r>
    <x v="245"/>
    <x v="13"/>
    <x v="1986"/>
    <x v="1"/>
    <x v="1"/>
    <x v="8"/>
    <x v="6"/>
    <x v="0"/>
    <x v="2"/>
  </r>
  <r>
    <x v="245"/>
    <x v="14"/>
    <x v="2251"/>
    <x v="1"/>
    <x v="1"/>
    <x v="8"/>
    <x v="6"/>
    <x v="0"/>
    <x v="2"/>
  </r>
  <r>
    <x v="245"/>
    <x v="15"/>
    <x v="2584"/>
    <x v="1"/>
    <x v="1"/>
    <x v="8"/>
    <x v="6"/>
    <x v="0"/>
    <x v="2"/>
  </r>
  <r>
    <x v="245"/>
    <x v="16"/>
    <x v="2832"/>
    <x v="1"/>
    <x v="1"/>
    <x v="8"/>
    <x v="6"/>
    <x v="0"/>
    <x v="0"/>
  </r>
  <r>
    <x v="245"/>
    <x v="17"/>
    <x v="3235"/>
    <x v="1"/>
    <x v="1"/>
    <x v="8"/>
    <x v="6"/>
    <x v="0"/>
    <x v="0"/>
  </r>
  <r>
    <x v="245"/>
    <x v="18"/>
    <x v="3677"/>
    <x v="1"/>
    <x v="1"/>
    <x v="8"/>
    <x v="6"/>
    <x v="0"/>
    <x v="0"/>
  </r>
  <r>
    <x v="245"/>
    <x v="19"/>
    <x v="3709"/>
    <x v="1"/>
    <x v="1"/>
    <x v="8"/>
    <x v="6"/>
    <x v="0"/>
    <x v="0"/>
  </r>
  <r>
    <x v="245"/>
    <x v="20"/>
    <x v="3583"/>
    <x v="1"/>
    <x v="1"/>
    <x v="8"/>
    <x v="6"/>
    <x v="0"/>
    <x v="1"/>
  </r>
  <r>
    <x v="245"/>
    <x v="21"/>
    <x v="3656"/>
    <x v="1"/>
    <x v="1"/>
    <x v="8"/>
    <x v="6"/>
    <x v="0"/>
    <x v="1"/>
  </r>
  <r>
    <x v="245"/>
    <x v="22"/>
    <x v="3507"/>
    <x v="1"/>
    <x v="1"/>
    <x v="8"/>
    <x v="6"/>
    <x v="0"/>
    <x v="1"/>
  </r>
  <r>
    <x v="245"/>
    <x v="23"/>
    <x v="2895"/>
    <x v="1"/>
    <x v="1"/>
    <x v="8"/>
    <x v="6"/>
    <x v="0"/>
    <x v="1"/>
  </r>
  <r>
    <x v="246"/>
    <x v="0"/>
    <x v="1933"/>
    <x v="1"/>
    <x v="1"/>
    <x v="8"/>
    <x v="4"/>
    <x v="0"/>
    <x v="4"/>
  </r>
  <r>
    <x v="246"/>
    <x v="1"/>
    <x v="1103"/>
    <x v="1"/>
    <x v="1"/>
    <x v="8"/>
    <x v="4"/>
    <x v="0"/>
    <x v="4"/>
  </r>
  <r>
    <x v="246"/>
    <x v="2"/>
    <x v="596"/>
    <x v="1"/>
    <x v="1"/>
    <x v="8"/>
    <x v="4"/>
    <x v="0"/>
    <x v="4"/>
  </r>
  <r>
    <x v="246"/>
    <x v="3"/>
    <x v="362"/>
    <x v="1"/>
    <x v="1"/>
    <x v="8"/>
    <x v="4"/>
    <x v="0"/>
    <x v="4"/>
  </r>
  <r>
    <x v="246"/>
    <x v="4"/>
    <x v="471"/>
    <x v="1"/>
    <x v="1"/>
    <x v="8"/>
    <x v="4"/>
    <x v="0"/>
    <x v="4"/>
  </r>
  <r>
    <x v="246"/>
    <x v="5"/>
    <x v="718"/>
    <x v="1"/>
    <x v="1"/>
    <x v="8"/>
    <x v="4"/>
    <x v="0"/>
    <x v="4"/>
  </r>
  <r>
    <x v="246"/>
    <x v="6"/>
    <x v="1631"/>
    <x v="1"/>
    <x v="1"/>
    <x v="8"/>
    <x v="4"/>
    <x v="0"/>
    <x v="3"/>
  </r>
  <r>
    <x v="246"/>
    <x v="7"/>
    <x v="2875"/>
    <x v="1"/>
    <x v="1"/>
    <x v="8"/>
    <x v="4"/>
    <x v="0"/>
    <x v="3"/>
  </r>
  <r>
    <x v="246"/>
    <x v="8"/>
    <x v="3488"/>
    <x v="1"/>
    <x v="1"/>
    <x v="8"/>
    <x v="4"/>
    <x v="0"/>
    <x v="3"/>
  </r>
  <r>
    <x v="246"/>
    <x v="9"/>
    <x v="3383"/>
    <x v="1"/>
    <x v="1"/>
    <x v="8"/>
    <x v="4"/>
    <x v="0"/>
    <x v="3"/>
  </r>
  <r>
    <x v="246"/>
    <x v="10"/>
    <x v="2851"/>
    <x v="1"/>
    <x v="1"/>
    <x v="8"/>
    <x v="4"/>
    <x v="0"/>
    <x v="2"/>
  </r>
  <r>
    <x v="246"/>
    <x v="11"/>
    <x v="2601"/>
    <x v="1"/>
    <x v="1"/>
    <x v="8"/>
    <x v="4"/>
    <x v="0"/>
    <x v="2"/>
  </r>
  <r>
    <x v="246"/>
    <x v="12"/>
    <x v="2561"/>
    <x v="1"/>
    <x v="1"/>
    <x v="8"/>
    <x v="4"/>
    <x v="0"/>
    <x v="2"/>
  </r>
  <r>
    <x v="246"/>
    <x v="13"/>
    <x v="2470"/>
    <x v="1"/>
    <x v="1"/>
    <x v="8"/>
    <x v="4"/>
    <x v="0"/>
    <x v="2"/>
  </r>
  <r>
    <x v="246"/>
    <x v="14"/>
    <x v="2569"/>
    <x v="1"/>
    <x v="1"/>
    <x v="8"/>
    <x v="4"/>
    <x v="0"/>
    <x v="2"/>
  </r>
  <r>
    <x v="246"/>
    <x v="15"/>
    <x v="1877"/>
    <x v="1"/>
    <x v="1"/>
    <x v="8"/>
    <x v="4"/>
    <x v="0"/>
    <x v="2"/>
  </r>
  <r>
    <x v="246"/>
    <x v="16"/>
    <x v="2855"/>
    <x v="1"/>
    <x v="1"/>
    <x v="8"/>
    <x v="4"/>
    <x v="0"/>
    <x v="0"/>
  </r>
  <r>
    <x v="246"/>
    <x v="17"/>
    <x v="3473"/>
    <x v="1"/>
    <x v="1"/>
    <x v="8"/>
    <x v="4"/>
    <x v="0"/>
    <x v="0"/>
  </r>
  <r>
    <x v="246"/>
    <x v="18"/>
    <x v="3727"/>
    <x v="1"/>
    <x v="1"/>
    <x v="8"/>
    <x v="4"/>
    <x v="0"/>
    <x v="0"/>
  </r>
  <r>
    <x v="246"/>
    <x v="19"/>
    <x v="3826"/>
    <x v="1"/>
    <x v="1"/>
    <x v="8"/>
    <x v="4"/>
    <x v="0"/>
    <x v="0"/>
  </r>
  <r>
    <x v="246"/>
    <x v="20"/>
    <x v="3601"/>
    <x v="1"/>
    <x v="1"/>
    <x v="8"/>
    <x v="4"/>
    <x v="0"/>
    <x v="1"/>
  </r>
  <r>
    <x v="246"/>
    <x v="21"/>
    <x v="3511"/>
    <x v="1"/>
    <x v="1"/>
    <x v="8"/>
    <x v="4"/>
    <x v="0"/>
    <x v="1"/>
  </r>
  <r>
    <x v="246"/>
    <x v="22"/>
    <x v="3387"/>
    <x v="1"/>
    <x v="1"/>
    <x v="8"/>
    <x v="4"/>
    <x v="0"/>
    <x v="1"/>
  </r>
  <r>
    <x v="246"/>
    <x v="23"/>
    <x v="3061"/>
    <x v="1"/>
    <x v="1"/>
    <x v="8"/>
    <x v="4"/>
    <x v="0"/>
    <x v="1"/>
  </r>
  <r>
    <x v="247"/>
    <x v="0"/>
    <x v="2301"/>
    <x v="1"/>
    <x v="1"/>
    <x v="8"/>
    <x v="0"/>
    <x v="0"/>
    <x v="4"/>
  </r>
  <r>
    <x v="247"/>
    <x v="1"/>
    <x v="1431"/>
    <x v="1"/>
    <x v="1"/>
    <x v="8"/>
    <x v="0"/>
    <x v="0"/>
    <x v="4"/>
  </r>
  <r>
    <x v="247"/>
    <x v="2"/>
    <x v="867"/>
    <x v="1"/>
    <x v="1"/>
    <x v="8"/>
    <x v="0"/>
    <x v="0"/>
    <x v="4"/>
  </r>
  <r>
    <x v="247"/>
    <x v="3"/>
    <x v="561"/>
    <x v="1"/>
    <x v="1"/>
    <x v="8"/>
    <x v="0"/>
    <x v="0"/>
    <x v="4"/>
  </r>
  <r>
    <x v="247"/>
    <x v="4"/>
    <x v="571"/>
    <x v="1"/>
    <x v="1"/>
    <x v="8"/>
    <x v="0"/>
    <x v="0"/>
    <x v="4"/>
  </r>
  <r>
    <x v="247"/>
    <x v="5"/>
    <x v="690"/>
    <x v="1"/>
    <x v="1"/>
    <x v="8"/>
    <x v="0"/>
    <x v="0"/>
    <x v="4"/>
  </r>
  <r>
    <x v="247"/>
    <x v="6"/>
    <x v="1469"/>
    <x v="1"/>
    <x v="1"/>
    <x v="8"/>
    <x v="0"/>
    <x v="0"/>
    <x v="3"/>
  </r>
  <r>
    <x v="247"/>
    <x v="7"/>
    <x v="2207"/>
    <x v="1"/>
    <x v="1"/>
    <x v="8"/>
    <x v="0"/>
    <x v="0"/>
    <x v="3"/>
  </r>
  <r>
    <x v="247"/>
    <x v="8"/>
    <x v="2874"/>
    <x v="1"/>
    <x v="1"/>
    <x v="8"/>
    <x v="0"/>
    <x v="0"/>
    <x v="3"/>
  </r>
  <r>
    <x v="247"/>
    <x v="9"/>
    <x v="3012"/>
    <x v="1"/>
    <x v="1"/>
    <x v="8"/>
    <x v="0"/>
    <x v="0"/>
    <x v="3"/>
  </r>
  <r>
    <x v="247"/>
    <x v="10"/>
    <x v="2625"/>
    <x v="1"/>
    <x v="1"/>
    <x v="8"/>
    <x v="0"/>
    <x v="0"/>
    <x v="2"/>
  </r>
  <r>
    <x v="247"/>
    <x v="11"/>
    <x v="2306"/>
    <x v="1"/>
    <x v="1"/>
    <x v="8"/>
    <x v="0"/>
    <x v="0"/>
    <x v="2"/>
  </r>
  <r>
    <x v="247"/>
    <x v="12"/>
    <x v="2214"/>
    <x v="1"/>
    <x v="1"/>
    <x v="8"/>
    <x v="0"/>
    <x v="0"/>
    <x v="2"/>
  </r>
  <r>
    <x v="247"/>
    <x v="13"/>
    <x v="2241"/>
    <x v="1"/>
    <x v="1"/>
    <x v="8"/>
    <x v="0"/>
    <x v="0"/>
    <x v="2"/>
  </r>
  <r>
    <x v="247"/>
    <x v="14"/>
    <x v="2422"/>
    <x v="1"/>
    <x v="1"/>
    <x v="8"/>
    <x v="0"/>
    <x v="0"/>
    <x v="2"/>
  </r>
  <r>
    <x v="247"/>
    <x v="15"/>
    <x v="2602"/>
    <x v="1"/>
    <x v="1"/>
    <x v="8"/>
    <x v="0"/>
    <x v="0"/>
    <x v="2"/>
  </r>
  <r>
    <x v="247"/>
    <x v="16"/>
    <x v="3009"/>
    <x v="1"/>
    <x v="1"/>
    <x v="8"/>
    <x v="0"/>
    <x v="0"/>
    <x v="0"/>
  </r>
  <r>
    <x v="247"/>
    <x v="17"/>
    <x v="3492"/>
    <x v="1"/>
    <x v="1"/>
    <x v="8"/>
    <x v="0"/>
    <x v="0"/>
    <x v="0"/>
  </r>
  <r>
    <x v="247"/>
    <x v="18"/>
    <x v="3857"/>
    <x v="1"/>
    <x v="1"/>
    <x v="8"/>
    <x v="0"/>
    <x v="0"/>
    <x v="0"/>
  </r>
  <r>
    <x v="247"/>
    <x v="19"/>
    <x v="3981"/>
    <x v="1"/>
    <x v="1"/>
    <x v="8"/>
    <x v="0"/>
    <x v="0"/>
    <x v="0"/>
  </r>
  <r>
    <x v="247"/>
    <x v="20"/>
    <x v="4058"/>
    <x v="1"/>
    <x v="1"/>
    <x v="8"/>
    <x v="0"/>
    <x v="0"/>
    <x v="1"/>
  </r>
  <r>
    <x v="247"/>
    <x v="21"/>
    <x v="3912"/>
    <x v="1"/>
    <x v="1"/>
    <x v="8"/>
    <x v="0"/>
    <x v="0"/>
    <x v="1"/>
  </r>
  <r>
    <x v="247"/>
    <x v="22"/>
    <x v="3920"/>
    <x v="1"/>
    <x v="1"/>
    <x v="8"/>
    <x v="0"/>
    <x v="0"/>
    <x v="1"/>
  </r>
  <r>
    <x v="247"/>
    <x v="23"/>
    <x v="3945"/>
    <x v="1"/>
    <x v="1"/>
    <x v="8"/>
    <x v="0"/>
    <x v="0"/>
    <x v="1"/>
  </r>
  <r>
    <x v="248"/>
    <x v="0"/>
    <x v="3717"/>
    <x v="1"/>
    <x v="1"/>
    <x v="8"/>
    <x v="2"/>
    <x v="1"/>
    <x v="4"/>
  </r>
  <r>
    <x v="248"/>
    <x v="1"/>
    <x v="2987"/>
    <x v="1"/>
    <x v="1"/>
    <x v="8"/>
    <x v="2"/>
    <x v="1"/>
    <x v="4"/>
  </r>
  <r>
    <x v="248"/>
    <x v="2"/>
    <x v="2255"/>
    <x v="1"/>
    <x v="1"/>
    <x v="8"/>
    <x v="2"/>
    <x v="1"/>
    <x v="4"/>
  </r>
  <r>
    <x v="248"/>
    <x v="3"/>
    <x v="1578"/>
    <x v="1"/>
    <x v="1"/>
    <x v="8"/>
    <x v="2"/>
    <x v="1"/>
    <x v="4"/>
  </r>
  <r>
    <x v="248"/>
    <x v="4"/>
    <x v="1124"/>
    <x v="1"/>
    <x v="1"/>
    <x v="8"/>
    <x v="2"/>
    <x v="1"/>
    <x v="4"/>
  </r>
  <r>
    <x v="248"/>
    <x v="5"/>
    <x v="775"/>
    <x v="1"/>
    <x v="1"/>
    <x v="8"/>
    <x v="2"/>
    <x v="1"/>
    <x v="4"/>
  </r>
  <r>
    <x v="248"/>
    <x v="6"/>
    <x v="733"/>
    <x v="1"/>
    <x v="1"/>
    <x v="8"/>
    <x v="2"/>
    <x v="1"/>
    <x v="3"/>
  </r>
  <r>
    <x v="248"/>
    <x v="7"/>
    <x v="910"/>
    <x v="1"/>
    <x v="1"/>
    <x v="8"/>
    <x v="2"/>
    <x v="1"/>
    <x v="3"/>
  </r>
  <r>
    <x v="248"/>
    <x v="8"/>
    <x v="1190"/>
    <x v="1"/>
    <x v="1"/>
    <x v="8"/>
    <x v="2"/>
    <x v="1"/>
    <x v="3"/>
  </r>
  <r>
    <x v="248"/>
    <x v="9"/>
    <x v="1693"/>
    <x v="1"/>
    <x v="1"/>
    <x v="8"/>
    <x v="2"/>
    <x v="1"/>
    <x v="3"/>
  </r>
  <r>
    <x v="248"/>
    <x v="10"/>
    <x v="1995"/>
    <x v="1"/>
    <x v="1"/>
    <x v="8"/>
    <x v="2"/>
    <x v="1"/>
    <x v="2"/>
  </r>
  <r>
    <x v="248"/>
    <x v="11"/>
    <x v="2175"/>
    <x v="1"/>
    <x v="1"/>
    <x v="8"/>
    <x v="2"/>
    <x v="1"/>
    <x v="2"/>
  </r>
  <r>
    <x v="248"/>
    <x v="12"/>
    <x v="2393"/>
    <x v="1"/>
    <x v="1"/>
    <x v="8"/>
    <x v="2"/>
    <x v="1"/>
    <x v="2"/>
  </r>
  <r>
    <x v="248"/>
    <x v="13"/>
    <x v="2408"/>
    <x v="1"/>
    <x v="1"/>
    <x v="8"/>
    <x v="2"/>
    <x v="1"/>
    <x v="2"/>
  </r>
  <r>
    <x v="248"/>
    <x v="14"/>
    <x v="2557"/>
    <x v="1"/>
    <x v="1"/>
    <x v="8"/>
    <x v="2"/>
    <x v="1"/>
    <x v="2"/>
  </r>
  <r>
    <x v="248"/>
    <x v="15"/>
    <x v="2799"/>
    <x v="1"/>
    <x v="1"/>
    <x v="8"/>
    <x v="2"/>
    <x v="1"/>
    <x v="2"/>
  </r>
  <r>
    <x v="248"/>
    <x v="16"/>
    <x v="3093"/>
    <x v="1"/>
    <x v="1"/>
    <x v="8"/>
    <x v="2"/>
    <x v="1"/>
    <x v="0"/>
  </r>
  <r>
    <x v="248"/>
    <x v="17"/>
    <x v="3416"/>
    <x v="1"/>
    <x v="1"/>
    <x v="8"/>
    <x v="2"/>
    <x v="1"/>
    <x v="0"/>
  </r>
  <r>
    <x v="248"/>
    <x v="18"/>
    <x v="3658"/>
    <x v="1"/>
    <x v="1"/>
    <x v="8"/>
    <x v="2"/>
    <x v="1"/>
    <x v="0"/>
  </r>
  <r>
    <x v="248"/>
    <x v="19"/>
    <x v="3905"/>
    <x v="1"/>
    <x v="1"/>
    <x v="8"/>
    <x v="2"/>
    <x v="1"/>
    <x v="0"/>
  </r>
  <r>
    <x v="248"/>
    <x v="20"/>
    <x v="3858"/>
    <x v="1"/>
    <x v="1"/>
    <x v="8"/>
    <x v="2"/>
    <x v="1"/>
    <x v="1"/>
  </r>
  <r>
    <x v="248"/>
    <x v="21"/>
    <x v="3648"/>
    <x v="1"/>
    <x v="1"/>
    <x v="8"/>
    <x v="2"/>
    <x v="1"/>
    <x v="1"/>
  </r>
  <r>
    <x v="248"/>
    <x v="22"/>
    <x v="3816"/>
    <x v="1"/>
    <x v="1"/>
    <x v="8"/>
    <x v="2"/>
    <x v="1"/>
    <x v="1"/>
  </r>
  <r>
    <x v="248"/>
    <x v="23"/>
    <x v="3848"/>
    <x v="1"/>
    <x v="1"/>
    <x v="8"/>
    <x v="2"/>
    <x v="1"/>
    <x v="1"/>
  </r>
  <r>
    <x v="249"/>
    <x v="0"/>
    <x v="3726"/>
    <x v="1"/>
    <x v="1"/>
    <x v="8"/>
    <x v="3"/>
    <x v="1"/>
    <x v="4"/>
  </r>
  <r>
    <x v="249"/>
    <x v="1"/>
    <x v="3237"/>
    <x v="1"/>
    <x v="1"/>
    <x v="8"/>
    <x v="3"/>
    <x v="1"/>
    <x v="4"/>
  </r>
  <r>
    <x v="249"/>
    <x v="3"/>
    <x v="2664"/>
    <x v="1"/>
    <x v="1"/>
    <x v="8"/>
    <x v="3"/>
    <x v="1"/>
    <x v="4"/>
  </r>
  <r>
    <x v="249"/>
    <x v="4"/>
    <x v="2143"/>
    <x v="1"/>
    <x v="1"/>
    <x v="8"/>
    <x v="3"/>
    <x v="1"/>
    <x v="4"/>
  </r>
  <r>
    <x v="249"/>
    <x v="5"/>
    <x v="1184"/>
    <x v="1"/>
    <x v="1"/>
    <x v="8"/>
    <x v="3"/>
    <x v="1"/>
    <x v="4"/>
  </r>
  <r>
    <x v="249"/>
    <x v="6"/>
    <x v="781"/>
    <x v="1"/>
    <x v="1"/>
    <x v="8"/>
    <x v="3"/>
    <x v="1"/>
    <x v="3"/>
  </r>
  <r>
    <x v="249"/>
    <x v="7"/>
    <x v="766"/>
    <x v="1"/>
    <x v="1"/>
    <x v="8"/>
    <x v="3"/>
    <x v="1"/>
    <x v="3"/>
  </r>
  <r>
    <x v="249"/>
    <x v="8"/>
    <x v="924"/>
    <x v="1"/>
    <x v="1"/>
    <x v="8"/>
    <x v="3"/>
    <x v="1"/>
    <x v="3"/>
  </r>
  <r>
    <x v="249"/>
    <x v="9"/>
    <x v="1193"/>
    <x v="1"/>
    <x v="1"/>
    <x v="8"/>
    <x v="3"/>
    <x v="1"/>
    <x v="3"/>
  </r>
  <r>
    <x v="249"/>
    <x v="10"/>
    <x v="1621"/>
    <x v="1"/>
    <x v="1"/>
    <x v="8"/>
    <x v="3"/>
    <x v="1"/>
    <x v="2"/>
  </r>
  <r>
    <x v="249"/>
    <x v="11"/>
    <x v="2086"/>
    <x v="1"/>
    <x v="1"/>
    <x v="8"/>
    <x v="3"/>
    <x v="1"/>
    <x v="2"/>
  </r>
  <r>
    <x v="249"/>
    <x v="12"/>
    <x v="2408"/>
    <x v="1"/>
    <x v="1"/>
    <x v="8"/>
    <x v="3"/>
    <x v="1"/>
    <x v="2"/>
  </r>
  <r>
    <x v="249"/>
    <x v="13"/>
    <x v="2445"/>
    <x v="1"/>
    <x v="1"/>
    <x v="8"/>
    <x v="3"/>
    <x v="1"/>
    <x v="2"/>
  </r>
  <r>
    <x v="249"/>
    <x v="14"/>
    <x v="2505"/>
    <x v="1"/>
    <x v="1"/>
    <x v="8"/>
    <x v="3"/>
    <x v="1"/>
    <x v="2"/>
  </r>
  <r>
    <x v="249"/>
    <x v="15"/>
    <x v="2542"/>
    <x v="1"/>
    <x v="1"/>
    <x v="8"/>
    <x v="3"/>
    <x v="1"/>
    <x v="2"/>
  </r>
  <r>
    <x v="249"/>
    <x v="16"/>
    <x v="2663"/>
    <x v="1"/>
    <x v="1"/>
    <x v="8"/>
    <x v="3"/>
    <x v="1"/>
    <x v="0"/>
  </r>
  <r>
    <x v="249"/>
    <x v="17"/>
    <x v="2736"/>
    <x v="1"/>
    <x v="1"/>
    <x v="8"/>
    <x v="3"/>
    <x v="1"/>
    <x v="0"/>
  </r>
  <r>
    <x v="249"/>
    <x v="18"/>
    <x v="2775"/>
    <x v="1"/>
    <x v="1"/>
    <x v="8"/>
    <x v="3"/>
    <x v="1"/>
    <x v="0"/>
  </r>
  <r>
    <x v="249"/>
    <x v="19"/>
    <x v="2756"/>
    <x v="1"/>
    <x v="1"/>
    <x v="8"/>
    <x v="3"/>
    <x v="1"/>
    <x v="0"/>
  </r>
  <r>
    <x v="249"/>
    <x v="20"/>
    <x v="2539"/>
    <x v="1"/>
    <x v="1"/>
    <x v="8"/>
    <x v="3"/>
    <x v="1"/>
    <x v="1"/>
  </r>
  <r>
    <x v="249"/>
    <x v="21"/>
    <x v="2366"/>
    <x v="1"/>
    <x v="1"/>
    <x v="8"/>
    <x v="3"/>
    <x v="1"/>
    <x v="1"/>
  </r>
  <r>
    <x v="249"/>
    <x v="22"/>
    <x v="2307"/>
    <x v="1"/>
    <x v="1"/>
    <x v="8"/>
    <x v="3"/>
    <x v="1"/>
    <x v="1"/>
  </r>
  <r>
    <x v="249"/>
    <x v="23"/>
    <x v="1850"/>
    <x v="1"/>
    <x v="1"/>
    <x v="8"/>
    <x v="3"/>
    <x v="1"/>
    <x v="1"/>
  </r>
  <r>
    <x v="250"/>
    <x v="0"/>
    <x v="1260"/>
    <x v="1"/>
    <x v="1"/>
    <x v="8"/>
    <x v="1"/>
    <x v="0"/>
    <x v="4"/>
  </r>
  <r>
    <x v="250"/>
    <x v="1"/>
    <x v="741"/>
    <x v="1"/>
    <x v="1"/>
    <x v="8"/>
    <x v="1"/>
    <x v="0"/>
    <x v="4"/>
  </r>
  <r>
    <x v="250"/>
    <x v="2"/>
    <x v="358"/>
    <x v="1"/>
    <x v="1"/>
    <x v="8"/>
    <x v="1"/>
    <x v="0"/>
    <x v="4"/>
  </r>
  <r>
    <x v="250"/>
    <x v="3"/>
    <x v="295"/>
    <x v="1"/>
    <x v="1"/>
    <x v="8"/>
    <x v="1"/>
    <x v="0"/>
    <x v="4"/>
  </r>
  <r>
    <x v="250"/>
    <x v="4"/>
    <x v="486"/>
    <x v="1"/>
    <x v="1"/>
    <x v="8"/>
    <x v="1"/>
    <x v="0"/>
    <x v="4"/>
  </r>
  <r>
    <x v="250"/>
    <x v="5"/>
    <x v="810"/>
    <x v="1"/>
    <x v="1"/>
    <x v="8"/>
    <x v="1"/>
    <x v="0"/>
    <x v="4"/>
  </r>
  <r>
    <x v="250"/>
    <x v="6"/>
    <x v="1460"/>
    <x v="1"/>
    <x v="1"/>
    <x v="8"/>
    <x v="1"/>
    <x v="0"/>
    <x v="3"/>
  </r>
  <r>
    <x v="250"/>
    <x v="7"/>
    <x v="2141"/>
    <x v="1"/>
    <x v="1"/>
    <x v="8"/>
    <x v="1"/>
    <x v="0"/>
    <x v="3"/>
  </r>
  <r>
    <x v="250"/>
    <x v="8"/>
    <x v="2788"/>
    <x v="1"/>
    <x v="1"/>
    <x v="8"/>
    <x v="1"/>
    <x v="0"/>
    <x v="3"/>
  </r>
  <r>
    <x v="250"/>
    <x v="9"/>
    <x v="2809"/>
    <x v="1"/>
    <x v="1"/>
    <x v="8"/>
    <x v="1"/>
    <x v="0"/>
    <x v="3"/>
  </r>
  <r>
    <x v="250"/>
    <x v="10"/>
    <x v="2120"/>
    <x v="1"/>
    <x v="1"/>
    <x v="8"/>
    <x v="1"/>
    <x v="0"/>
    <x v="2"/>
  </r>
  <r>
    <x v="250"/>
    <x v="11"/>
    <x v="1777"/>
    <x v="1"/>
    <x v="1"/>
    <x v="8"/>
    <x v="1"/>
    <x v="0"/>
    <x v="2"/>
  </r>
  <r>
    <x v="250"/>
    <x v="12"/>
    <x v="1770"/>
    <x v="1"/>
    <x v="1"/>
    <x v="8"/>
    <x v="1"/>
    <x v="0"/>
    <x v="2"/>
  </r>
  <r>
    <x v="250"/>
    <x v="13"/>
    <x v="1616"/>
    <x v="1"/>
    <x v="1"/>
    <x v="8"/>
    <x v="1"/>
    <x v="0"/>
    <x v="2"/>
  </r>
  <r>
    <x v="250"/>
    <x v="14"/>
    <x v="1809"/>
    <x v="1"/>
    <x v="1"/>
    <x v="8"/>
    <x v="1"/>
    <x v="0"/>
    <x v="2"/>
  </r>
  <r>
    <x v="250"/>
    <x v="15"/>
    <x v="2128"/>
    <x v="1"/>
    <x v="1"/>
    <x v="8"/>
    <x v="1"/>
    <x v="0"/>
    <x v="2"/>
  </r>
  <r>
    <x v="250"/>
    <x v="16"/>
    <x v="2302"/>
    <x v="1"/>
    <x v="1"/>
    <x v="8"/>
    <x v="1"/>
    <x v="0"/>
    <x v="0"/>
  </r>
  <r>
    <x v="250"/>
    <x v="17"/>
    <x v="2561"/>
    <x v="1"/>
    <x v="1"/>
    <x v="8"/>
    <x v="1"/>
    <x v="0"/>
    <x v="0"/>
  </r>
  <r>
    <x v="250"/>
    <x v="18"/>
    <x v="2850"/>
    <x v="1"/>
    <x v="1"/>
    <x v="8"/>
    <x v="1"/>
    <x v="0"/>
    <x v="0"/>
  </r>
  <r>
    <x v="250"/>
    <x v="19"/>
    <x v="2948"/>
    <x v="1"/>
    <x v="1"/>
    <x v="8"/>
    <x v="1"/>
    <x v="0"/>
    <x v="0"/>
  </r>
  <r>
    <x v="250"/>
    <x v="20"/>
    <x v="2793"/>
    <x v="1"/>
    <x v="1"/>
    <x v="8"/>
    <x v="1"/>
    <x v="0"/>
    <x v="1"/>
  </r>
  <r>
    <x v="250"/>
    <x v="21"/>
    <x v="2699"/>
    <x v="1"/>
    <x v="1"/>
    <x v="8"/>
    <x v="1"/>
    <x v="0"/>
    <x v="1"/>
  </r>
  <r>
    <x v="250"/>
    <x v="22"/>
    <x v="2397"/>
    <x v="1"/>
    <x v="1"/>
    <x v="8"/>
    <x v="1"/>
    <x v="0"/>
    <x v="1"/>
  </r>
  <r>
    <x v="250"/>
    <x v="23"/>
    <x v="2082"/>
    <x v="1"/>
    <x v="1"/>
    <x v="8"/>
    <x v="1"/>
    <x v="0"/>
    <x v="1"/>
  </r>
  <r>
    <x v="251"/>
    <x v="0"/>
    <x v="1321"/>
    <x v="1"/>
    <x v="1"/>
    <x v="8"/>
    <x v="5"/>
    <x v="0"/>
    <x v="4"/>
  </r>
  <r>
    <x v="251"/>
    <x v="1"/>
    <x v="733"/>
    <x v="1"/>
    <x v="1"/>
    <x v="8"/>
    <x v="5"/>
    <x v="0"/>
    <x v="4"/>
  </r>
  <r>
    <x v="251"/>
    <x v="2"/>
    <x v="409"/>
    <x v="1"/>
    <x v="1"/>
    <x v="8"/>
    <x v="5"/>
    <x v="0"/>
    <x v="4"/>
  </r>
  <r>
    <x v="251"/>
    <x v="3"/>
    <x v="274"/>
    <x v="1"/>
    <x v="1"/>
    <x v="8"/>
    <x v="5"/>
    <x v="0"/>
    <x v="4"/>
  </r>
  <r>
    <x v="251"/>
    <x v="4"/>
    <x v="351"/>
    <x v="1"/>
    <x v="1"/>
    <x v="8"/>
    <x v="5"/>
    <x v="0"/>
    <x v="4"/>
  </r>
  <r>
    <x v="251"/>
    <x v="5"/>
    <x v="679"/>
    <x v="1"/>
    <x v="1"/>
    <x v="8"/>
    <x v="5"/>
    <x v="0"/>
    <x v="4"/>
  </r>
  <r>
    <x v="251"/>
    <x v="6"/>
    <x v="1321"/>
    <x v="1"/>
    <x v="1"/>
    <x v="8"/>
    <x v="5"/>
    <x v="0"/>
    <x v="3"/>
  </r>
  <r>
    <x v="251"/>
    <x v="7"/>
    <x v="2267"/>
    <x v="1"/>
    <x v="1"/>
    <x v="8"/>
    <x v="5"/>
    <x v="0"/>
    <x v="3"/>
  </r>
  <r>
    <x v="251"/>
    <x v="8"/>
    <x v="2773"/>
    <x v="1"/>
    <x v="1"/>
    <x v="8"/>
    <x v="5"/>
    <x v="0"/>
    <x v="3"/>
  </r>
  <r>
    <x v="251"/>
    <x v="9"/>
    <x v="2595"/>
    <x v="1"/>
    <x v="1"/>
    <x v="8"/>
    <x v="5"/>
    <x v="0"/>
    <x v="3"/>
  </r>
  <r>
    <x v="251"/>
    <x v="10"/>
    <x v="2076"/>
    <x v="1"/>
    <x v="1"/>
    <x v="8"/>
    <x v="5"/>
    <x v="0"/>
    <x v="2"/>
  </r>
  <r>
    <x v="251"/>
    <x v="11"/>
    <x v="1860"/>
    <x v="1"/>
    <x v="1"/>
    <x v="8"/>
    <x v="5"/>
    <x v="0"/>
    <x v="2"/>
  </r>
  <r>
    <x v="251"/>
    <x v="12"/>
    <x v="1861"/>
    <x v="1"/>
    <x v="1"/>
    <x v="8"/>
    <x v="5"/>
    <x v="0"/>
    <x v="2"/>
  </r>
  <r>
    <x v="251"/>
    <x v="13"/>
    <x v="1817"/>
    <x v="1"/>
    <x v="1"/>
    <x v="8"/>
    <x v="5"/>
    <x v="0"/>
    <x v="2"/>
  </r>
  <r>
    <x v="251"/>
    <x v="14"/>
    <x v="2019"/>
    <x v="1"/>
    <x v="1"/>
    <x v="8"/>
    <x v="5"/>
    <x v="0"/>
    <x v="2"/>
  </r>
  <r>
    <x v="251"/>
    <x v="15"/>
    <x v="2355"/>
    <x v="1"/>
    <x v="1"/>
    <x v="8"/>
    <x v="5"/>
    <x v="0"/>
    <x v="2"/>
  </r>
  <r>
    <x v="251"/>
    <x v="16"/>
    <x v="2962"/>
    <x v="1"/>
    <x v="1"/>
    <x v="8"/>
    <x v="5"/>
    <x v="0"/>
    <x v="0"/>
  </r>
  <r>
    <x v="251"/>
    <x v="17"/>
    <x v="3545"/>
    <x v="1"/>
    <x v="1"/>
    <x v="8"/>
    <x v="5"/>
    <x v="0"/>
    <x v="0"/>
  </r>
  <r>
    <x v="251"/>
    <x v="18"/>
    <x v="3891"/>
    <x v="1"/>
    <x v="1"/>
    <x v="8"/>
    <x v="5"/>
    <x v="0"/>
    <x v="0"/>
  </r>
  <r>
    <x v="251"/>
    <x v="19"/>
    <x v="4021"/>
    <x v="1"/>
    <x v="1"/>
    <x v="8"/>
    <x v="5"/>
    <x v="0"/>
    <x v="0"/>
  </r>
  <r>
    <x v="251"/>
    <x v="20"/>
    <x v="3995"/>
    <x v="1"/>
    <x v="1"/>
    <x v="8"/>
    <x v="5"/>
    <x v="0"/>
    <x v="1"/>
  </r>
  <r>
    <x v="251"/>
    <x v="21"/>
    <x v="3902"/>
    <x v="1"/>
    <x v="1"/>
    <x v="8"/>
    <x v="5"/>
    <x v="0"/>
    <x v="1"/>
  </r>
  <r>
    <x v="251"/>
    <x v="22"/>
    <x v="3696"/>
    <x v="1"/>
    <x v="1"/>
    <x v="8"/>
    <x v="5"/>
    <x v="0"/>
    <x v="1"/>
  </r>
  <r>
    <x v="251"/>
    <x v="23"/>
    <x v="2900"/>
    <x v="1"/>
    <x v="1"/>
    <x v="8"/>
    <x v="5"/>
    <x v="0"/>
    <x v="1"/>
  </r>
  <r>
    <x v="252"/>
    <x v="0"/>
    <x v="1704"/>
    <x v="1"/>
    <x v="1"/>
    <x v="8"/>
    <x v="6"/>
    <x v="0"/>
    <x v="4"/>
  </r>
  <r>
    <x v="252"/>
    <x v="1"/>
    <x v="888"/>
    <x v="1"/>
    <x v="1"/>
    <x v="8"/>
    <x v="6"/>
    <x v="0"/>
    <x v="4"/>
  </r>
  <r>
    <x v="252"/>
    <x v="2"/>
    <x v="475"/>
    <x v="1"/>
    <x v="1"/>
    <x v="8"/>
    <x v="6"/>
    <x v="0"/>
    <x v="4"/>
  </r>
  <r>
    <x v="252"/>
    <x v="3"/>
    <x v="275"/>
    <x v="1"/>
    <x v="1"/>
    <x v="8"/>
    <x v="6"/>
    <x v="0"/>
    <x v="4"/>
  </r>
  <r>
    <x v="252"/>
    <x v="4"/>
    <x v="436"/>
    <x v="1"/>
    <x v="1"/>
    <x v="8"/>
    <x v="6"/>
    <x v="0"/>
    <x v="4"/>
  </r>
  <r>
    <x v="252"/>
    <x v="5"/>
    <x v="809"/>
    <x v="1"/>
    <x v="1"/>
    <x v="8"/>
    <x v="6"/>
    <x v="0"/>
    <x v="4"/>
  </r>
  <r>
    <x v="252"/>
    <x v="6"/>
    <x v="1295"/>
    <x v="1"/>
    <x v="1"/>
    <x v="8"/>
    <x v="6"/>
    <x v="0"/>
    <x v="3"/>
  </r>
  <r>
    <x v="252"/>
    <x v="7"/>
    <x v="2204"/>
    <x v="1"/>
    <x v="1"/>
    <x v="8"/>
    <x v="6"/>
    <x v="0"/>
    <x v="3"/>
  </r>
  <r>
    <x v="252"/>
    <x v="8"/>
    <x v="2851"/>
    <x v="1"/>
    <x v="1"/>
    <x v="8"/>
    <x v="6"/>
    <x v="0"/>
    <x v="3"/>
  </r>
  <r>
    <x v="252"/>
    <x v="9"/>
    <x v="2642"/>
    <x v="1"/>
    <x v="1"/>
    <x v="8"/>
    <x v="6"/>
    <x v="0"/>
    <x v="3"/>
  </r>
  <r>
    <x v="252"/>
    <x v="10"/>
    <x v="2111"/>
    <x v="1"/>
    <x v="1"/>
    <x v="8"/>
    <x v="6"/>
    <x v="0"/>
    <x v="2"/>
  </r>
  <r>
    <x v="252"/>
    <x v="11"/>
    <x v="1895"/>
    <x v="1"/>
    <x v="1"/>
    <x v="8"/>
    <x v="6"/>
    <x v="0"/>
    <x v="2"/>
  </r>
  <r>
    <x v="252"/>
    <x v="12"/>
    <x v="1918"/>
    <x v="1"/>
    <x v="1"/>
    <x v="8"/>
    <x v="6"/>
    <x v="0"/>
    <x v="2"/>
  </r>
  <r>
    <x v="252"/>
    <x v="13"/>
    <x v="1889"/>
    <x v="1"/>
    <x v="1"/>
    <x v="8"/>
    <x v="6"/>
    <x v="0"/>
    <x v="2"/>
  </r>
  <r>
    <x v="252"/>
    <x v="14"/>
    <x v="2056"/>
    <x v="1"/>
    <x v="1"/>
    <x v="8"/>
    <x v="6"/>
    <x v="0"/>
    <x v="2"/>
  </r>
  <r>
    <x v="252"/>
    <x v="15"/>
    <x v="2380"/>
    <x v="1"/>
    <x v="1"/>
    <x v="8"/>
    <x v="6"/>
    <x v="0"/>
    <x v="2"/>
  </r>
  <r>
    <x v="252"/>
    <x v="16"/>
    <x v="2813"/>
    <x v="1"/>
    <x v="1"/>
    <x v="8"/>
    <x v="6"/>
    <x v="0"/>
    <x v="0"/>
  </r>
  <r>
    <x v="252"/>
    <x v="17"/>
    <x v="3209"/>
    <x v="1"/>
    <x v="1"/>
    <x v="8"/>
    <x v="6"/>
    <x v="0"/>
    <x v="0"/>
  </r>
  <r>
    <x v="252"/>
    <x v="18"/>
    <x v="3477"/>
    <x v="1"/>
    <x v="1"/>
    <x v="8"/>
    <x v="6"/>
    <x v="0"/>
    <x v="0"/>
  </r>
  <r>
    <x v="252"/>
    <x v="19"/>
    <x v="3599"/>
    <x v="1"/>
    <x v="1"/>
    <x v="8"/>
    <x v="6"/>
    <x v="0"/>
    <x v="0"/>
  </r>
  <r>
    <x v="252"/>
    <x v="20"/>
    <x v="3529"/>
    <x v="1"/>
    <x v="1"/>
    <x v="8"/>
    <x v="6"/>
    <x v="0"/>
    <x v="1"/>
  </r>
  <r>
    <x v="252"/>
    <x v="21"/>
    <x v="3419"/>
    <x v="1"/>
    <x v="1"/>
    <x v="8"/>
    <x v="6"/>
    <x v="0"/>
    <x v="1"/>
  </r>
  <r>
    <x v="252"/>
    <x v="22"/>
    <x v="3221"/>
    <x v="1"/>
    <x v="1"/>
    <x v="8"/>
    <x v="6"/>
    <x v="0"/>
    <x v="1"/>
  </r>
  <r>
    <x v="252"/>
    <x v="23"/>
    <x v="2698"/>
    <x v="1"/>
    <x v="1"/>
    <x v="8"/>
    <x v="6"/>
    <x v="0"/>
    <x v="1"/>
  </r>
  <r>
    <x v="253"/>
    <x v="0"/>
    <x v="1855"/>
    <x v="1"/>
    <x v="1"/>
    <x v="8"/>
    <x v="4"/>
    <x v="0"/>
    <x v="4"/>
  </r>
  <r>
    <x v="253"/>
    <x v="1"/>
    <x v="1011"/>
    <x v="1"/>
    <x v="1"/>
    <x v="8"/>
    <x v="4"/>
    <x v="0"/>
    <x v="4"/>
  </r>
  <r>
    <x v="253"/>
    <x v="2"/>
    <x v="616"/>
    <x v="1"/>
    <x v="1"/>
    <x v="8"/>
    <x v="4"/>
    <x v="0"/>
    <x v="4"/>
  </r>
  <r>
    <x v="253"/>
    <x v="3"/>
    <x v="399"/>
    <x v="1"/>
    <x v="1"/>
    <x v="8"/>
    <x v="4"/>
    <x v="0"/>
    <x v="4"/>
  </r>
  <r>
    <x v="253"/>
    <x v="4"/>
    <x v="572"/>
    <x v="1"/>
    <x v="1"/>
    <x v="8"/>
    <x v="4"/>
    <x v="0"/>
    <x v="4"/>
  </r>
  <r>
    <x v="253"/>
    <x v="5"/>
    <x v="830"/>
    <x v="1"/>
    <x v="1"/>
    <x v="8"/>
    <x v="4"/>
    <x v="0"/>
    <x v="4"/>
  </r>
  <r>
    <x v="253"/>
    <x v="6"/>
    <x v="1449"/>
    <x v="1"/>
    <x v="1"/>
    <x v="8"/>
    <x v="4"/>
    <x v="0"/>
    <x v="3"/>
  </r>
  <r>
    <x v="253"/>
    <x v="7"/>
    <x v="2257"/>
    <x v="1"/>
    <x v="1"/>
    <x v="8"/>
    <x v="4"/>
    <x v="0"/>
    <x v="3"/>
  </r>
  <r>
    <x v="253"/>
    <x v="8"/>
    <x v="2843"/>
    <x v="1"/>
    <x v="1"/>
    <x v="8"/>
    <x v="4"/>
    <x v="0"/>
    <x v="3"/>
  </r>
  <r>
    <x v="253"/>
    <x v="9"/>
    <x v="2768"/>
    <x v="1"/>
    <x v="1"/>
    <x v="8"/>
    <x v="4"/>
    <x v="0"/>
    <x v="3"/>
  </r>
  <r>
    <x v="253"/>
    <x v="10"/>
    <x v="2237"/>
    <x v="1"/>
    <x v="1"/>
    <x v="8"/>
    <x v="4"/>
    <x v="0"/>
    <x v="2"/>
  </r>
  <r>
    <x v="253"/>
    <x v="11"/>
    <x v="2131"/>
    <x v="1"/>
    <x v="1"/>
    <x v="8"/>
    <x v="4"/>
    <x v="0"/>
    <x v="2"/>
  </r>
  <r>
    <x v="253"/>
    <x v="12"/>
    <x v="2128"/>
    <x v="1"/>
    <x v="1"/>
    <x v="8"/>
    <x v="4"/>
    <x v="0"/>
    <x v="2"/>
  </r>
  <r>
    <x v="253"/>
    <x v="13"/>
    <x v="2038"/>
    <x v="1"/>
    <x v="1"/>
    <x v="8"/>
    <x v="4"/>
    <x v="0"/>
    <x v="2"/>
  </r>
  <r>
    <x v="253"/>
    <x v="14"/>
    <x v="2297"/>
    <x v="1"/>
    <x v="1"/>
    <x v="8"/>
    <x v="4"/>
    <x v="0"/>
    <x v="2"/>
  </r>
  <r>
    <x v="253"/>
    <x v="15"/>
    <x v="2615"/>
    <x v="1"/>
    <x v="1"/>
    <x v="8"/>
    <x v="4"/>
    <x v="0"/>
    <x v="2"/>
  </r>
  <r>
    <x v="253"/>
    <x v="16"/>
    <x v="2959"/>
    <x v="1"/>
    <x v="1"/>
    <x v="8"/>
    <x v="4"/>
    <x v="0"/>
    <x v="0"/>
  </r>
  <r>
    <x v="253"/>
    <x v="17"/>
    <x v="3299"/>
    <x v="1"/>
    <x v="1"/>
    <x v="8"/>
    <x v="4"/>
    <x v="0"/>
    <x v="0"/>
  </r>
  <r>
    <x v="253"/>
    <x v="18"/>
    <x v="3673"/>
    <x v="1"/>
    <x v="1"/>
    <x v="8"/>
    <x v="4"/>
    <x v="0"/>
    <x v="0"/>
  </r>
  <r>
    <x v="253"/>
    <x v="19"/>
    <x v="3815"/>
    <x v="1"/>
    <x v="1"/>
    <x v="8"/>
    <x v="4"/>
    <x v="0"/>
    <x v="0"/>
  </r>
  <r>
    <x v="253"/>
    <x v="20"/>
    <x v="3742"/>
    <x v="1"/>
    <x v="1"/>
    <x v="8"/>
    <x v="4"/>
    <x v="0"/>
    <x v="1"/>
  </r>
  <r>
    <x v="253"/>
    <x v="21"/>
    <x v="3760"/>
    <x v="1"/>
    <x v="1"/>
    <x v="8"/>
    <x v="4"/>
    <x v="0"/>
    <x v="1"/>
  </r>
  <r>
    <x v="253"/>
    <x v="22"/>
    <x v="3692"/>
    <x v="1"/>
    <x v="1"/>
    <x v="8"/>
    <x v="4"/>
    <x v="0"/>
    <x v="1"/>
  </r>
  <r>
    <x v="253"/>
    <x v="23"/>
    <x v="3391"/>
    <x v="1"/>
    <x v="1"/>
    <x v="8"/>
    <x v="4"/>
    <x v="0"/>
    <x v="1"/>
  </r>
  <r>
    <x v="254"/>
    <x v="0"/>
    <x v="2410"/>
    <x v="1"/>
    <x v="1"/>
    <x v="8"/>
    <x v="0"/>
    <x v="0"/>
    <x v="4"/>
  </r>
  <r>
    <x v="254"/>
    <x v="1"/>
    <x v="1561"/>
    <x v="1"/>
    <x v="1"/>
    <x v="8"/>
    <x v="0"/>
    <x v="0"/>
    <x v="4"/>
  </r>
  <r>
    <x v="254"/>
    <x v="2"/>
    <x v="906"/>
    <x v="1"/>
    <x v="1"/>
    <x v="8"/>
    <x v="0"/>
    <x v="0"/>
    <x v="4"/>
  </r>
  <r>
    <x v="254"/>
    <x v="3"/>
    <x v="639"/>
    <x v="1"/>
    <x v="1"/>
    <x v="8"/>
    <x v="0"/>
    <x v="0"/>
    <x v="4"/>
  </r>
  <r>
    <x v="254"/>
    <x v="4"/>
    <x v="794"/>
    <x v="1"/>
    <x v="1"/>
    <x v="8"/>
    <x v="0"/>
    <x v="0"/>
    <x v="4"/>
  </r>
  <r>
    <x v="254"/>
    <x v="5"/>
    <x v="889"/>
    <x v="1"/>
    <x v="1"/>
    <x v="8"/>
    <x v="0"/>
    <x v="0"/>
    <x v="4"/>
  </r>
  <r>
    <x v="254"/>
    <x v="6"/>
    <x v="1366"/>
    <x v="1"/>
    <x v="1"/>
    <x v="8"/>
    <x v="0"/>
    <x v="0"/>
    <x v="3"/>
  </r>
  <r>
    <x v="254"/>
    <x v="7"/>
    <x v="2187"/>
    <x v="1"/>
    <x v="1"/>
    <x v="8"/>
    <x v="0"/>
    <x v="0"/>
    <x v="3"/>
  </r>
  <r>
    <x v="254"/>
    <x v="8"/>
    <x v="2790"/>
    <x v="1"/>
    <x v="1"/>
    <x v="8"/>
    <x v="0"/>
    <x v="0"/>
    <x v="3"/>
  </r>
  <r>
    <x v="254"/>
    <x v="9"/>
    <x v="2812"/>
    <x v="1"/>
    <x v="1"/>
    <x v="8"/>
    <x v="0"/>
    <x v="0"/>
    <x v="3"/>
  </r>
  <r>
    <x v="254"/>
    <x v="10"/>
    <x v="2299"/>
    <x v="1"/>
    <x v="1"/>
    <x v="8"/>
    <x v="0"/>
    <x v="0"/>
    <x v="2"/>
  </r>
  <r>
    <x v="254"/>
    <x v="11"/>
    <x v="2150"/>
    <x v="1"/>
    <x v="1"/>
    <x v="8"/>
    <x v="0"/>
    <x v="0"/>
    <x v="2"/>
  </r>
  <r>
    <x v="254"/>
    <x v="12"/>
    <x v="2120"/>
    <x v="1"/>
    <x v="1"/>
    <x v="8"/>
    <x v="0"/>
    <x v="0"/>
    <x v="2"/>
  </r>
  <r>
    <x v="254"/>
    <x v="13"/>
    <x v="2072"/>
    <x v="1"/>
    <x v="1"/>
    <x v="8"/>
    <x v="0"/>
    <x v="0"/>
    <x v="2"/>
  </r>
  <r>
    <x v="254"/>
    <x v="14"/>
    <x v="2332"/>
    <x v="1"/>
    <x v="1"/>
    <x v="8"/>
    <x v="0"/>
    <x v="0"/>
    <x v="2"/>
  </r>
  <r>
    <x v="254"/>
    <x v="15"/>
    <x v="2707"/>
    <x v="1"/>
    <x v="1"/>
    <x v="8"/>
    <x v="0"/>
    <x v="0"/>
    <x v="2"/>
  </r>
  <r>
    <x v="254"/>
    <x v="16"/>
    <x v="3001"/>
    <x v="1"/>
    <x v="1"/>
    <x v="8"/>
    <x v="0"/>
    <x v="0"/>
    <x v="0"/>
  </r>
  <r>
    <x v="254"/>
    <x v="17"/>
    <x v="3384"/>
    <x v="1"/>
    <x v="1"/>
    <x v="8"/>
    <x v="0"/>
    <x v="0"/>
    <x v="0"/>
  </r>
  <r>
    <x v="254"/>
    <x v="18"/>
    <x v="3702"/>
    <x v="1"/>
    <x v="1"/>
    <x v="8"/>
    <x v="0"/>
    <x v="0"/>
    <x v="0"/>
  </r>
  <r>
    <x v="254"/>
    <x v="19"/>
    <x v="3997"/>
    <x v="1"/>
    <x v="1"/>
    <x v="8"/>
    <x v="0"/>
    <x v="0"/>
    <x v="0"/>
  </r>
  <r>
    <x v="254"/>
    <x v="20"/>
    <x v="3899"/>
    <x v="1"/>
    <x v="1"/>
    <x v="8"/>
    <x v="0"/>
    <x v="0"/>
    <x v="1"/>
  </r>
  <r>
    <x v="254"/>
    <x v="21"/>
    <x v="3733"/>
    <x v="1"/>
    <x v="1"/>
    <x v="8"/>
    <x v="0"/>
    <x v="0"/>
    <x v="1"/>
  </r>
  <r>
    <x v="254"/>
    <x v="22"/>
    <x v="3763"/>
    <x v="1"/>
    <x v="1"/>
    <x v="8"/>
    <x v="0"/>
    <x v="0"/>
    <x v="1"/>
  </r>
  <r>
    <x v="254"/>
    <x v="23"/>
    <x v="3804"/>
    <x v="1"/>
    <x v="1"/>
    <x v="8"/>
    <x v="0"/>
    <x v="0"/>
    <x v="1"/>
  </r>
  <r>
    <x v="255"/>
    <x v="0"/>
    <x v="3513"/>
    <x v="1"/>
    <x v="1"/>
    <x v="8"/>
    <x v="2"/>
    <x v="1"/>
    <x v="4"/>
  </r>
  <r>
    <x v="255"/>
    <x v="1"/>
    <x v="2772"/>
    <x v="1"/>
    <x v="1"/>
    <x v="8"/>
    <x v="2"/>
    <x v="1"/>
    <x v="4"/>
  </r>
  <r>
    <x v="255"/>
    <x v="2"/>
    <x v="1995"/>
    <x v="1"/>
    <x v="1"/>
    <x v="8"/>
    <x v="2"/>
    <x v="1"/>
    <x v="4"/>
  </r>
  <r>
    <x v="255"/>
    <x v="3"/>
    <x v="1513"/>
    <x v="1"/>
    <x v="1"/>
    <x v="8"/>
    <x v="2"/>
    <x v="1"/>
    <x v="4"/>
  </r>
  <r>
    <x v="255"/>
    <x v="4"/>
    <x v="1238"/>
    <x v="1"/>
    <x v="1"/>
    <x v="8"/>
    <x v="2"/>
    <x v="1"/>
    <x v="4"/>
  </r>
  <r>
    <x v="255"/>
    <x v="5"/>
    <x v="929"/>
    <x v="1"/>
    <x v="1"/>
    <x v="8"/>
    <x v="2"/>
    <x v="1"/>
    <x v="4"/>
  </r>
  <r>
    <x v="255"/>
    <x v="6"/>
    <x v="867"/>
    <x v="1"/>
    <x v="1"/>
    <x v="8"/>
    <x v="2"/>
    <x v="1"/>
    <x v="3"/>
  </r>
  <r>
    <x v="255"/>
    <x v="7"/>
    <x v="1063"/>
    <x v="1"/>
    <x v="1"/>
    <x v="8"/>
    <x v="2"/>
    <x v="1"/>
    <x v="3"/>
  </r>
  <r>
    <x v="255"/>
    <x v="8"/>
    <x v="1533"/>
    <x v="1"/>
    <x v="1"/>
    <x v="8"/>
    <x v="2"/>
    <x v="1"/>
    <x v="3"/>
  </r>
  <r>
    <x v="255"/>
    <x v="9"/>
    <x v="2193"/>
    <x v="1"/>
    <x v="1"/>
    <x v="8"/>
    <x v="2"/>
    <x v="1"/>
    <x v="3"/>
  </r>
  <r>
    <x v="255"/>
    <x v="10"/>
    <x v="2877"/>
    <x v="1"/>
    <x v="1"/>
    <x v="8"/>
    <x v="2"/>
    <x v="1"/>
    <x v="2"/>
  </r>
  <r>
    <x v="255"/>
    <x v="11"/>
    <x v="3294"/>
    <x v="1"/>
    <x v="1"/>
    <x v="8"/>
    <x v="2"/>
    <x v="1"/>
    <x v="2"/>
  </r>
  <r>
    <x v="255"/>
    <x v="12"/>
    <x v="3530"/>
    <x v="1"/>
    <x v="1"/>
    <x v="8"/>
    <x v="2"/>
    <x v="1"/>
    <x v="2"/>
  </r>
  <r>
    <x v="255"/>
    <x v="13"/>
    <x v="3395"/>
    <x v="1"/>
    <x v="1"/>
    <x v="8"/>
    <x v="2"/>
    <x v="1"/>
    <x v="2"/>
  </r>
  <r>
    <x v="255"/>
    <x v="14"/>
    <x v="3105"/>
    <x v="1"/>
    <x v="1"/>
    <x v="8"/>
    <x v="2"/>
    <x v="1"/>
    <x v="2"/>
  </r>
  <r>
    <x v="255"/>
    <x v="15"/>
    <x v="2974"/>
    <x v="1"/>
    <x v="1"/>
    <x v="8"/>
    <x v="2"/>
    <x v="1"/>
    <x v="2"/>
  </r>
  <r>
    <x v="255"/>
    <x v="16"/>
    <x v="3400"/>
    <x v="1"/>
    <x v="1"/>
    <x v="8"/>
    <x v="2"/>
    <x v="1"/>
    <x v="0"/>
  </r>
  <r>
    <x v="255"/>
    <x v="17"/>
    <x v="3630"/>
    <x v="1"/>
    <x v="1"/>
    <x v="8"/>
    <x v="2"/>
    <x v="1"/>
    <x v="0"/>
  </r>
  <r>
    <x v="255"/>
    <x v="18"/>
    <x v="3611"/>
    <x v="1"/>
    <x v="1"/>
    <x v="8"/>
    <x v="2"/>
    <x v="1"/>
    <x v="0"/>
  </r>
  <r>
    <x v="255"/>
    <x v="19"/>
    <x v="3851"/>
    <x v="1"/>
    <x v="1"/>
    <x v="8"/>
    <x v="2"/>
    <x v="1"/>
    <x v="0"/>
  </r>
  <r>
    <x v="255"/>
    <x v="20"/>
    <x v="3918"/>
    <x v="1"/>
    <x v="1"/>
    <x v="8"/>
    <x v="2"/>
    <x v="1"/>
    <x v="1"/>
  </r>
  <r>
    <x v="255"/>
    <x v="21"/>
    <x v="3863"/>
    <x v="1"/>
    <x v="1"/>
    <x v="8"/>
    <x v="2"/>
    <x v="1"/>
    <x v="1"/>
  </r>
  <r>
    <x v="255"/>
    <x v="22"/>
    <x v="3764"/>
    <x v="1"/>
    <x v="1"/>
    <x v="8"/>
    <x v="2"/>
    <x v="1"/>
    <x v="1"/>
  </r>
  <r>
    <x v="255"/>
    <x v="23"/>
    <x v="3704"/>
    <x v="1"/>
    <x v="1"/>
    <x v="8"/>
    <x v="2"/>
    <x v="1"/>
    <x v="1"/>
  </r>
  <r>
    <x v="256"/>
    <x v="0"/>
    <x v="3503"/>
    <x v="1"/>
    <x v="1"/>
    <x v="8"/>
    <x v="3"/>
    <x v="1"/>
    <x v="4"/>
  </r>
  <r>
    <x v="256"/>
    <x v="1"/>
    <x v="2956"/>
    <x v="1"/>
    <x v="1"/>
    <x v="8"/>
    <x v="3"/>
    <x v="1"/>
    <x v="4"/>
  </r>
  <r>
    <x v="256"/>
    <x v="2"/>
    <x v="2230"/>
    <x v="1"/>
    <x v="1"/>
    <x v="8"/>
    <x v="3"/>
    <x v="1"/>
    <x v="4"/>
  </r>
  <r>
    <x v="256"/>
    <x v="3"/>
    <x v="1665"/>
    <x v="1"/>
    <x v="1"/>
    <x v="8"/>
    <x v="3"/>
    <x v="1"/>
    <x v="4"/>
  </r>
  <r>
    <x v="256"/>
    <x v="4"/>
    <x v="1255"/>
    <x v="1"/>
    <x v="1"/>
    <x v="8"/>
    <x v="3"/>
    <x v="1"/>
    <x v="4"/>
  </r>
  <r>
    <x v="256"/>
    <x v="5"/>
    <x v="837"/>
    <x v="1"/>
    <x v="1"/>
    <x v="8"/>
    <x v="3"/>
    <x v="1"/>
    <x v="4"/>
  </r>
  <r>
    <x v="256"/>
    <x v="6"/>
    <x v="838"/>
    <x v="1"/>
    <x v="1"/>
    <x v="8"/>
    <x v="3"/>
    <x v="1"/>
    <x v="3"/>
  </r>
  <r>
    <x v="256"/>
    <x v="7"/>
    <x v="835"/>
    <x v="1"/>
    <x v="1"/>
    <x v="8"/>
    <x v="3"/>
    <x v="1"/>
    <x v="3"/>
  </r>
  <r>
    <x v="256"/>
    <x v="8"/>
    <x v="910"/>
    <x v="1"/>
    <x v="1"/>
    <x v="8"/>
    <x v="3"/>
    <x v="1"/>
    <x v="3"/>
  </r>
  <r>
    <x v="256"/>
    <x v="9"/>
    <x v="1233"/>
    <x v="1"/>
    <x v="1"/>
    <x v="8"/>
    <x v="3"/>
    <x v="1"/>
    <x v="3"/>
  </r>
  <r>
    <x v="256"/>
    <x v="10"/>
    <x v="1868"/>
    <x v="1"/>
    <x v="1"/>
    <x v="8"/>
    <x v="3"/>
    <x v="1"/>
    <x v="2"/>
  </r>
  <r>
    <x v="256"/>
    <x v="11"/>
    <x v="2377"/>
    <x v="1"/>
    <x v="1"/>
    <x v="8"/>
    <x v="3"/>
    <x v="1"/>
    <x v="2"/>
  </r>
  <r>
    <x v="256"/>
    <x v="12"/>
    <x v="2597"/>
    <x v="1"/>
    <x v="1"/>
    <x v="8"/>
    <x v="3"/>
    <x v="1"/>
    <x v="2"/>
  </r>
  <r>
    <x v="256"/>
    <x v="13"/>
    <x v="2657"/>
    <x v="1"/>
    <x v="1"/>
    <x v="8"/>
    <x v="3"/>
    <x v="1"/>
    <x v="2"/>
  </r>
  <r>
    <x v="256"/>
    <x v="14"/>
    <x v="2671"/>
    <x v="1"/>
    <x v="1"/>
    <x v="8"/>
    <x v="3"/>
    <x v="1"/>
    <x v="2"/>
  </r>
  <r>
    <x v="256"/>
    <x v="15"/>
    <x v="2785"/>
    <x v="1"/>
    <x v="1"/>
    <x v="8"/>
    <x v="3"/>
    <x v="1"/>
    <x v="2"/>
  </r>
  <r>
    <x v="256"/>
    <x v="16"/>
    <x v="2882"/>
    <x v="1"/>
    <x v="1"/>
    <x v="8"/>
    <x v="3"/>
    <x v="1"/>
    <x v="0"/>
  </r>
  <r>
    <x v="256"/>
    <x v="17"/>
    <x v="2946"/>
    <x v="1"/>
    <x v="1"/>
    <x v="8"/>
    <x v="3"/>
    <x v="1"/>
    <x v="0"/>
  </r>
  <r>
    <x v="256"/>
    <x v="18"/>
    <x v="2819"/>
    <x v="1"/>
    <x v="1"/>
    <x v="8"/>
    <x v="3"/>
    <x v="1"/>
    <x v="0"/>
  </r>
  <r>
    <x v="256"/>
    <x v="19"/>
    <x v="2728"/>
    <x v="1"/>
    <x v="1"/>
    <x v="8"/>
    <x v="3"/>
    <x v="1"/>
    <x v="0"/>
  </r>
  <r>
    <x v="256"/>
    <x v="20"/>
    <x v="2670"/>
    <x v="1"/>
    <x v="1"/>
    <x v="8"/>
    <x v="3"/>
    <x v="1"/>
    <x v="1"/>
  </r>
  <r>
    <x v="256"/>
    <x v="21"/>
    <x v="2415"/>
    <x v="1"/>
    <x v="1"/>
    <x v="8"/>
    <x v="3"/>
    <x v="1"/>
    <x v="1"/>
  </r>
  <r>
    <x v="256"/>
    <x v="22"/>
    <x v="2255"/>
    <x v="1"/>
    <x v="1"/>
    <x v="8"/>
    <x v="3"/>
    <x v="1"/>
    <x v="1"/>
  </r>
  <r>
    <x v="256"/>
    <x v="23"/>
    <x v="1867"/>
    <x v="1"/>
    <x v="1"/>
    <x v="8"/>
    <x v="3"/>
    <x v="1"/>
    <x v="1"/>
  </r>
  <r>
    <x v="257"/>
    <x v="0"/>
    <x v="1366"/>
    <x v="1"/>
    <x v="1"/>
    <x v="8"/>
    <x v="1"/>
    <x v="0"/>
    <x v="4"/>
  </r>
  <r>
    <x v="257"/>
    <x v="1"/>
    <x v="755"/>
    <x v="1"/>
    <x v="1"/>
    <x v="8"/>
    <x v="1"/>
    <x v="0"/>
    <x v="4"/>
  </r>
  <r>
    <x v="257"/>
    <x v="2"/>
    <x v="530"/>
    <x v="1"/>
    <x v="1"/>
    <x v="8"/>
    <x v="1"/>
    <x v="0"/>
    <x v="4"/>
  </r>
  <r>
    <x v="257"/>
    <x v="3"/>
    <x v="383"/>
    <x v="1"/>
    <x v="1"/>
    <x v="8"/>
    <x v="1"/>
    <x v="0"/>
    <x v="4"/>
  </r>
  <r>
    <x v="257"/>
    <x v="4"/>
    <x v="577"/>
    <x v="1"/>
    <x v="1"/>
    <x v="8"/>
    <x v="1"/>
    <x v="0"/>
    <x v="4"/>
  </r>
  <r>
    <x v="257"/>
    <x v="5"/>
    <x v="1005"/>
    <x v="1"/>
    <x v="1"/>
    <x v="8"/>
    <x v="1"/>
    <x v="0"/>
    <x v="4"/>
  </r>
  <r>
    <x v="257"/>
    <x v="6"/>
    <x v="1592"/>
    <x v="1"/>
    <x v="1"/>
    <x v="8"/>
    <x v="1"/>
    <x v="0"/>
    <x v="3"/>
  </r>
  <r>
    <x v="257"/>
    <x v="7"/>
    <x v="2249"/>
    <x v="1"/>
    <x v="1"/>
    <x v="8"/>
    <x v="1"/>
    <x v="0"/>
    <x v="3"/>
  </r>
  <r>
    <x v="257"/>
    <x v="8"/>
    <x v="2707"/>
    <x v="1"/>
    <x v="1"/>
    <x v="8"/>
    <x v="1"/>
    <x v="0"/>
    <x v="3"/>
  </r>
  <r>
    <x v="257"/>
    <x v="9"/>
    <x v="2637"/>
    <x v="1"/>
    <x v="1"/>
    <x v="8"/>
    <x v="1"/>
    <x v="0"/>
    <x v="3"/>
  </r>
  <r>
    <x v="257"/>
    <x v="10"/>
    <x v="2134"/>
    <x v="1"/>
    <x v="1"/>
    <x v="8"/>
    <x v="1"/>
    <x v="0"/>
    <x v="2"/>
  </r>
  <r>
    <x v="257"/>
    <x v="11"/>
    <x v="1864"/>
    <x v="1"/>
    <x v="1"/>
    <x v="8"/>
    <x v="1"/>
    <x v="0"/>
    <x v="2"/>
  </r>
  <r>
    <x v="257"/>
    <x v="12"/>
    <x v="1769"/>
    <x v="1"/>
    <x v="1"/>
    <x v="8"/>
    <x v="1"/>
    <x v="0"/>
    <x v="2"/>
  </r>
  <r>
    <x v="257"/>
    <x v="13"/>
    <x v="1806"/>
    <x v="1"/>
    <x v="1"/>
    <x v="8"/>
    <x v="1"/>
    <x v="0"/>
    <x v="2"/>
  </r>
  <r>
    <x v="257"/>
    <x v="14"/>
    <x v="1897"/>
    <x v="1"/>
    <x v="1"/>
    <x v="8"/>
    <x v="1"/>
    <x v="0"/>
    <x v="2"/>
  </r>
  <r>
    <x v="257"/>
    <x v="15"/>
    <x v="2041"/>
    <x v="1"/>
    <x v="1"/>
    <x v="8"/>
    <x v="1"/>
    <x v="0"/>
    <x v="2"/>
  </r>
  <r>
    <x v="257"/>
    <x v="16"/>
    <x v="2248"/>
    <x v="1"/>
    <x v="1"/>
    <x v="8"/>
    <x v="1"/>
    <x v="0"/>
    <x v="0"/>
  </r>
  <r>
    <x v="257"/>
    <x v="17"/>
    <x v="2448"/>
    <x v="1"/>
    <x v="1"/>
    <x v="8"/>
    <x v="1"/>
    <x v="0"/>
    <x v="0"/>
  </r>
  <r>
    <x v="257"/>
    <x v="18"/>
    <x v="2798"/>
    <x v="1"/>
    <x v="1"/>
    <x v="8"/>
    <x v="1"/>
    <x v="0"/>
    <x v="0"/>
  </r>
  <r>
    <x v="257"/>
    <x v="19"/>
    <x v="2885"/>
    <x v="1"/>
    <x v="1"/>
    <x v="8"/>
    <x v="1"/>
    <x v="0"/>
    <x v="0"/>
  </r>
  <r>
    <x v="257"/>
    <x v="20"/>
    <x v="2877"/>
    <x v="1"/>
    <x v="1"/>
    <x v="8"/>
    <x v="1"/>
    <x v="0"/>
    <x v="1"/>
  </r>
  <r>
    <x v="257"/>
    <x v="21"/>
    <x v="2831"/>
    <x v="1"/>
    <x v="1"/>
    <x v="8"/>
    <x v="1"/>
    <x v="0"/>
    <x v="1"/>
  </r>
  <r>
    <x v="257"/>
    <x v="22"/>
    <x v="2490"/>
    <x v="1"/>
    <x v="1"/>
    <x v="8"/>
    <x v="1"/>
    <x v="0"/>
    <x v="1"/>
  </r>
  <r>
    <x v="257"/>
    <x v="23"/>
    <x v="1989"/>
    <x v="1"/>
    <x v="1"/>
    <x v="8"/>
    <x v="1"/>
    <x v="0"/>
    <x v="1"/>
  </r>
  <r>
    <x v="258"/>
    <x v="0"/>
    <x v="1247"/>
    <x v="1"/>
    <x v="1"/>
    <x v="8"/>
    <x v="5"/>
    <x v="0"/>
    <x v="4"/>
  </r>
  <r>
    <x v="258"/>
    <x v="1"/>
    <x v="732"/>
    <x v="1"/>
    <x v="1"/>
    <x v="8"/>
    <x v="5"/>
    <x v="0"/>
    <x v="4"/>
  </r>
  <r>
    <x v="258"/>
    <x v="2"/>
    <x v="388"/>
    <x v="1"/>
    <x v="1"/>
    <x v="8"/>
    <x v="5"/>
    <x v="0"/>
    <x v="4"/>
  </r>
  <r>
    <x v="258"/>
    <x v="3"/>
    <x v="232"/>
    <x v="1"/>
    <x v="1"/>
    <x v="8"/>
    <x v="5"/>
    <x v="0"/>
    <x v="4"/>
  </r>
  <r>
    <x v="258"/>
    <x v="4"/>
    <x v="405"/>
    <x v="1"/>
    <x v="1"/>
    <x v="8"/>
    <x v="5"/>
    <x v="0"/>
    <x v="4"/>
  </r>
  <r>
    <x v="258"/>
    <x v="5"/>
    <x v="769"/>
    <x v="1"/>
    <x v="1"/>
    <x v="8"/>
    <x v="5"/>
    <x v="0"/>
    <x v="4"/>
  </r>
  <r>
    <x v="258"/>
    <x v="6"/>
    <x v="1368"/>
    <x v="1"/>
    <x v="1"/>
    <x v="8"/>
    <x v="5"/>
    <x v="0"/>
    <x v="3"/>
  </r>
  <r>
    <x v="258"/>
    <x v="7"/>
    <x v="2211"/>
    <x v="1"/>
    <x v="1"/>
    <x v="8"/>
    <x v="5"/>
    <x v="0"/>
    <x v="3"/>
  </r>
  <r>
    <x v="258"/>
    <x v="8"/>
    <x v="2872"/>
    <x v="1"/>
    <x v="1"/>
    <x v="8"/>
    <x v="5"/>
    <x v="0"/>
    <x v="3"/>
  </r>
  <r>
    <x v="258"/>
    <x v="9"/>
    <x v="2842"/>
    <x v="1"/>
    <x v="1"/>
    <x v="8"/>
    <x v="5"/>
    <x v="0"/>
    <x v="3"/>
  </r>
  <r>
    <x v="258"/>
    <x v="10"/>
    <x v="2119"/>
    <x v="1"/>
    <x v="1"/>
    <x v="8"/>
    <x v="5"/>
    <x v="0"/>
    <x v="2"/>
  </r>
  <r>
    <x v="258"/>
    <x v="11"/>
    <x v="1721"/>
    <x v="1"/>
    <x v="1"/>
    <x v="8"/>
    <x v="5"/>
    <x v="0"/>
    <x v="2"/>
  </r>
  <r>
    <x v="258"/>
    <x v="12"/>
    <x v="1749"/>
    <x v="1"/>
    <x v="1"/>
    <x v="8"/>
    <x v="5"/>
    <x v="0"/>
    <x v="2"/>
  </r>
  <r>
    <x v="258"/>
    <x v="13"/>
    <x v="1713"/>
    <x v="1"/>
    <x v="1"/>
    <x v="8"/>
    <x v="5"/>
    <x v="0"/>
    <x v="2"/>
  </r>
  <r>
    <x v="258"/>
    <x v="14"/>
    <x v="1863"/>
    <x v="1"/>
    <x v="1"/>
    <x v="8"/>
    <x v="5"/>
    <x v="0"/>
    <x v="2"/>
  </r>
  <r>
    <x v="258"/>
    <x v="15"/>
    <x v="2146"/>
    <x v="1"/>
    <x v="1"/>
    <x v="8"/>
    <x v="5"/>
    <x v="0"/>
    <x v="2"/>
  </r>
  <r>
    <x v="258"/>
    <x v="16"/>
    <x v="2294"/>
    <x v="1"/>
    <x v="1"/>
    <x v="8"/>
    <x v="5"/>
    <x v="0"/>
    <x v="0"/>
  </r>
  <r>
    <x v="258"/>
    <x v="17"/>
    <x v="2766"/>
    <x v="1"/>
    <x v="1"/>
    <x v="8"/>
    <x v="5"/>
    <x v="0"/>
    <x v="0"/>
  </r>
  <r>
    <x v="258"/>
    <x v="18"/>
    <x v="3304"/>
    <x v="1"/>
    <x v="1"/>
    <x v="8"/>
    <x v="5"/>
    <x v="0"/>
    <x v="0"/>
  </r>
  <r>
    <x v="258"/>
    <x v="19"/>
    <x v="3539"/>
    <x v="1"/>
    <x v="1"/>
    <x v="8"/>
    <x v="5"/>
    <x v="0"/>
    <x v="0"/>
  </r>
  <r>
    <x v="258"/>
    <x v="20"/>
    <x v="3557"/>
    <x v="1"/>
    <x v="1"/>
    <x v="8"/>
    <x v="5"/>
    <x v="0"/>
    <x v="1"/>
  </r>
  <r>
    <x v="258"/>
    <x v="21"/>
    <x v="3586"/>
    <x v="1"/>
    <x v="1"/>
    <x v="8"/>
    <x v="5"/>
    <x v="0"/>
    <x v="1"/>
  </r>
  <r>
    <x v="258"/>
    <x v="22"/>
    <x v="3504"/>
    <x v="1"/>
    <x v="1"/>
    <x v="8"/>
    <x v="5"/>
    <x v="0"/>
    <x v="1"/>
  </r>
  <r>
    <x v="258"/>
    <x v="23"/>
    <x v="2917"/>
    <x v="1"/>
    <x v="1"/>
    <x v="8"/>
    <x v="5"/>
    <x v="0"/>
    <x v="1"/>
  </r>
  <r>
    <x v="259"/>
    <x v="0"/>
    <x v="1998"/>
    <x v="1"/>
    <x v="1"/>
    <x v="8"/>
    <x v="6"/>
    <x v="0"/>
    <x v="4"/>
  </r>
  <r>
    <x v="259"/>
    <x v="1"/>
    <x v="1141"/>
    <x v="1"/>
    <x v="1"/>
    <x v="8"/>
    <x v="6"/>
    <x v="0"/>
    <x v="4"/>
  </r>
  <r>
    <x v="259"/>
    <x v="2"/>
    <x v="683"/>
    <x v="1"/>
    <x v="1"/>
    <x v="8"/>
    <x v="6"/>
    <x v="0"/>
    <x v="4"/>
  </r>
  <r>
    <x v="259"/>
    <x v="3"/>
    <x v="418"/>
    <x v="1"/>
    <x v="1"/>
    <x v="8"/>
    <x v="6"/>
    <x v="0"/>
    <x v="4"/>
  </r>
  <r>
    <x v="259"/>
    <x v="4"/>
    <x v="544"/>
    <x v="1"/>
    <x v="1"/>
    <x v="8"/>
    <x v="6"/>
    <x v="0"/>
    <x v="4"/>
  </r>
  <r>
    <x v="259"/>
    <x v="5"/>
    <x v="826"/>
    <x v="1"/>
    <x v="1"/>
    <x v="8"/>
    <x v="6"/>
    <x v="0"/>
    <x v="4"/>
  </r>
  <r>
    <x v="259"/>
    <x v="6"/>
    <x v="1532"/>
    <x v="1"/>
    <x v="1"/>
    <x v="8"/>
    <x v="6"/>
    <x v="0"/>
    <x v="3"/>
  </r>
  <r>
    <x v="259"/>
    <x v="7"/>
    <x v="2270"/>
    <x v="1"/>
    <x v="1"/>
    <x v="8"/>
    <x v="6"/>
    <x v="0"/>
    <x v="3"/>
  </r>
  <r>
    <x v="259"/>
    <x v="8"/>
    <x v="2909"/>
    <x v="1"/>
    <x v="1"/>
    <x v="8"/>
    <x v="6"/>
    <x v="0"/>
    <x v="3"/>
  </r>
  <r>
    <x v="259"/>
    <x v="9"/>
    <x v="2852"/>
    <x v="1"/>
    <x v="1"/>
    <x v="8"/>
    <x v="6"/>
    <x v="0"/>
    <x v="3"/>
  </r>
  <r>
    <x v="259"/>
    <x v="10"/>
    <x v="2262"/>
    <x v="1"/>
    <x v="1"/>
    <x v="8"/>
    <x v="6"/>
    <x v="0"/>
    <x v="2"/>
  </r>
  <r>
    <x v="259"/>
    <x v="11"/>
    <x v="2110"/>
    <x v="1"/>
    <x v="1"/>
    <x v="8"/>
    <x v="6"/>
    <x v="0"/>
    <x v="2"/>
  </r>
  <r>
    <x v="259"/>
    <x v="12"/>
    <x v="2108"/>
    <x v="1"/>
    <x v="1"/>
    <x v="8"/>
    <x v="6"/>
    <x v="0"/>
    <x v="2"/>
  </r>
  <r>
    <x v="259"/>
    <x v="13"/>
    <x v="2119"/>
    <x v="1"/>
    <x v="1"/>
    <x v="8"/>
    <x v="6"/>
    <x v="0"/>
    <x v="2"/>
  </r>
  <r>
    <x v="259"/>
    <x v="14"/>
    <x v="2216"/>
    <x v="1"/>
    <x v="1"/>
    <x v="8"/>
    <x v="6"/>
    <x v="0"/>
    <x v="2"/>
  </r>
  <r>
    <x v="259"/>
    <x v="15"/>
    <x v="2444"/>
    <x v="1"/>
    <x v="1"/>
    <x v="8"/>
    <x v="6"/>
    <x v="0"/>
    <x v="2"/>
  </r>
  <r>
    <x v="259"/>
    <x v="16"/>
    <x v="2788"/>
    <x v="1"/>
    <x v="1"/>
    <x v="8"/>
    <x v="6"/>
    <x v="0"/>
    <x v="0"/>
  </r>
  <r>
    <x v="259"/>
    <x v="17"/>
    <x v="3172"/>
    <x v="1"/>
    <x v="1"/>
    <x v="8"/>
    <x v="6"/>
    <x v="0"/>
    <x v="0"/>
  </r>
  <r>
    <x v="259"/>
    <x v="18"/>
    <x v="3510"/>
    <x v="1"/>
    <x v="1"/>
    <x v="8"/>
    <x v="6"/>
    <x v="0"/>
    <x v="0"/>
  </r>
  <r>
    <x v="259"/>
    <x v="19"/>
    <x v="3721"/>
    <x v="1"/>
    <x v="1"/>
    <x v="8"/>
    <x v="6"/>
    <x v="0"/>
    <x v="0"/>
  </r>
  <r>
    <x v="259"/>
    <x v="20"/>
    <x v="3645"/>
    <x v="1"/>
    <x v="1"/>
    <x v="8"/>
    <x v="6"/>
    <x v="0"/>
    <x v="1"/>
  </r>
  <r>
    <x v="259"/>
    <x v="21"/>
    <x v="3559"/>
    <x v="1"/>
    <x v="1"/>
    <x v="8"/>
    <x v="6"/>
    <x v="0"/>
    <x v="1"/>
  </r>
  <r>
    <x v="259"/>
    <x v="22"/>
    <x v="3371"/>
    <x v="1"/>
    <x v="1"/>
    <x v="8"/>
    <x v="6"/>
    <x v="0"/>
    <x v="1"/>
  </r>
  <r>
    <x v="259"/>
    <x v="23"/>
    <x v="2841"/>
    <x v="1"/>
    <x v="1"/>
    <x v="8"/>
    <x v="6"/>
    <x v="0"/>
    <x v="1"/>
  </r>
  <r>
    <x v="260"/>
    <x v="0"/>
    <x v="2029"/>
    <x v="1"/>
    <x v="1"/>
    <x v="8"/>
    <x v="4"/>
    <x v="0"/>
    <x v="4"/>
  </r>
  <r>
    <x v="260"/>
    <x v="1"/>
    <x v="1127"/>
    <x v="1"/>
    <x v="1"/>
    <x v="8"/>
    <x v="4"/>
    <x v="0"/>
    <x v="4"/>
  </r>
  <r>
    <x v="260"/>
    <x v="2"/>
    <x v="578"/>
    <x v="1"/>
    <x v="1"/>
    <x v="8"/>
    <x v="4"/>
    <x v="0"/>
    <x v="4"/>
  </r>
  <r>
    <x v="260"/>
    <x v="3"/>
    <x v="393"/>
    <x v="1"/>
    <x v="1"/>
    <x v="8"/>
    <x v="4"/>
    <x v="0"/>
    <x v="4"/>
  </r>
  <r>
    <x v="260"/>
    <x v="4"/>
    <x v="578"/>
    <x v="1"/>
    <x v="1"/>
    <x v="8"/>
    <x v="4"/>
    <x v="0"/>
    <x v="4"/>
  </r>
  <r>
    <x v="260"/>
    <x v="5"/>
    <x v="880"/>
    <x v="1"/>
    <x v="1"/>
    <x v="8"/>
    <x v="4"/>
    <x v="0"/>
    <x v="4"/>
  </r>
  <r>
    <x v="260"/>
    <x v="6"/>
    <x v="1608"/>
    <x v="1"/>
    <x v="1"/>
    <x v="8"/>
    <x v="4"/>
    <x v="0"/>
    <x v="3"/>
  </r>
  <r>
    <x v="260"/>
    <x v="7"/>
    <x v="2318"/>
    <x v="1"/>
    <x v="1"/>
    <x v="8"/>
    <x v="4"/>
    <x v="0"/>
    <x v="3"/>
  </r>
  <r>
    <x v="260"/>
    <x v="8"/>
    <x v="2933"/>
    <x v="1"/>
    <x v="1"/>
    <x v="8"/>
    <x v="4"/>
    <x v="0"/>
    <x v="3"/>
  </r>
  <r>
    <x v="260"/>
    <x v="9"/>
    <x v="2864"/>
    <x v="1"/>
    <x v="1"/>
    <x v="8"/>
    <x v="4"/>
    <x v="0"/>
    <x v="3"/>
  </r>
  <r>
    <x v="260"/>
    <x v="10"/>
    <x v="2416"/>
    <x v="1"/>
    <x v="1"/>
    <x v="8"/>
    <x v="4"/>
    <x v="0"/>
    <x v="2"/>
  </r>
  <r>
    <x v="260"/>
    <x v="11"/>
    <x v="2222"/>
    <x v="1"/>
    <x v="1"/>
    <x v="8"/>
    <x v="4"/>
    <x v="0"/>
    <x v="2"/>
  </r>
  <r>
    <x v="260"/>
    <x v="12"/>
    <x v="2200"/>
    <x v="1"/>
    <x v="1"/>
    <x v="8"/>
    <x v="4"/>
    <x v="0"/>
    <x v="2"/>
  </r>
  <r>
    <x v="260"/>
    <x v="13"/>
    <x v="2205"/>
    <x v="1"/>
    <x v="1"/>
    <x v="8"/>
    <x v="4"/>
    <x v="0"/>
    <x v="2"/>
  </r>
  <r>
    <x v="260"/>
    <x v="14"/>
    <x v="2280"/>
    <x v="1"/>
    <x v="1"/>
    <x v="8"/>
    <x v="4"/>
    <x v="0"/>
    <x v="2"/>
  </r>
  <r>
    <x v="260"/>
    <x v="15"/>
    <x v="2692"/>
    <x v="1"/>
    <x v="1"/>
    <x v="8"/>
    <x v="4"/>
    <x v="0"/>
    <x v="2"/>
  </r>
  <r>
    <x v="260"/>
    <x v="16"/>
    <x v="2937"/>
    <x v="1"/>
    <x v="1"/>
    <x v="8"/>
    <x v="4"/>
    <x v="0"/>
    <x v="0"/>
  </r>
  <r>
    <x v="260"/>
    <x v="17"/>
    <x v="3357"/>
    <x v="1"/>
    <x v="1"/>
    <x v="8"/>
    <x v="4"/>
    <x v="0"/>
    <x v="0"/>
  </r>
  <r>
    <x v="260"/>
    <x v="18"/>
    <x v="3670"/>
    <x v="1"/>
    <x v="1"/>
    <x v="8"/>
    <x v="4"/>
    <x v="0"/>
    <x v="0"/>
  </r>
  <r>
    <x v="260"/>
    <x v="19"/>
    <x v="3779"/>
    <x v="1"/>
    <x v="1"/>
    <x v="8"/>
    <x v="4"/>
    <x v="0"/>
    <x v="0"/>
  </r>
  <r>
    <x v="260"/>
    <x v="20"/>
    <x v="3720"/>
    <x v="1"/>
    <x v="1"/>
    <x v="8"/>
    <x v="4"/>
    <x v="0"/>
    <x v="1"/>
  </r>
  <r>
    <x v="260"/>
    <x v="21"/>
    <x v="3812"/>
    <x v="1"/>
    <x v="1"/>
    <x v="8"/>
    <x v="4"/>
    <x v="0"/>
    <x v="1"/>
  </r>
  <r>
    <x v="260"/>
    <x v="22"/>
    <x v="3681"/>
    <x v="1"/>
    <x v="1"/>
    <x v="8"/>
    <x v="4"/>
    <x v="0"/>
    <x v="1"/>
  </r>
  <r>
    <x v="260"/>
    <x v="23"/>
    <x v="3373"/>
    <x v="1"/>
    <x v="1"/>
    <x v="8"/>
    <x v="4"/>
    <x v="0"/>
    <x v="1"/>
  </r>
  <r>
    <x v="261"/>
    <x v="0"/>
    <x v="2296"/>
    <x v="1"/>
    <x v="1"/>
    <x v="8"/>
    <x v="0"/>
    <x v="0"/>
    <x v="4"/>
  </r>
  <r>
    <x v="261"/>
    <x v="1"/>
    <x v="1423"/>
    <x v="1"/>
    <x v="1"/>
    <x v="8"/>
    <x v="0"/>
    <x v="0"/>
    <x v="4"/>
  </r>
  <r>
    <x v="261"/>
    <x v="2"/>
    <x v="860"/>
    <x v="1"/>
    <x v="1"/>
    <x v="8"/>
    <x v="0"/>
    <x v="0"/>
    <x v="4"/>
  </r>
  <r>
    <x v="261"/>
    <x v="3"/>
    <x v="549"/>
    <x v="1"/>
    <x v="1"/>
    <x v="8"/>
    <x v="0"/>
    <x v="0"/>
    <x v="4"/>
  </r>
  <r>
    <x v="261"/>
    <x v="4"/>
    <x v="742"/>
    <x v="1"/>
    <x v="1"/>
    <x v="8"/>
    <x v="0"/>
    <x v="0"/>
    <x v="4"/>
  </r>
  <r>
    <x v="261"/>
    <x v="5"/>
    <x v="907"/>
    <x v="1"/>
    <x v="1"/>
    <x v="8"/>
    <x v="0"/>
    <x v="0"/>
    <x v="4"/>
  </r>
  <r>
    <x v="261"/>
    <x v="6"/>
    <x v="1551"/>
    <x v="1"/>
    <x v="1"/>
    <x v="8"/>
    <x v="0"/>
    <x v="0"/>
    <x v="3"/>
  </r>
  <r>
    <x v="261"/>
    <x v="7"/>
    <x v="2297"/>
    <x v="1"/>
    <x v="1"/>
    <x v="8"/>
    <x v="0"/>
    <x v="0"/>
    <x v="3"/>
  </r>
  <r>
    <x v="261"/>
    <x v="8"/>
    <x v="2931"/>
    <x v="1"/>
    <x v="1"/>
    <x v="8"/>
    <x v="0"/>
    <x v="0"/>
    <x v="3"/>
  </r>
  <r>
    <x v="261"/>
    <x v="9"/>
    <x v="2986"/>
    <x v="1"/>
    <x v="1"/>
    <x v="8"/>
    <x v="0"/>
    <x v="0"/>
    <x v="3"/>
  </r>
  <r>
    <x v="261"/>
    <x v="10"/>
    <x v="2433"/>
    <x v="1"/>
    <x v="1"/>
    <x v="8"/>
    <x v="0"/>
    <x v="0"/>
    <x v="2"/>
  </r>
  <r>
    <x v="261"/>
    <x v="11"/>
    <x v="2345"/>
    <x v="1"/>
    <x v="1"/>
    <x v="8"/>
    <x v="0"/>
    <x v="0"/>
    <x v="2"/>
  </r>
  <r>
    <x v="261"/>
    <x v="12"/>
    <x v="2489"/>
    <x v="1"/>
    <x v="1"/>
    <x v="8"/>
    <x v="0"/>
    <x v="0"/>
    <x v="2"/>
  </r>
  <r>
    <x v="261"/>
    <x v="13"/>
    <x v="2808"/>
    <x v="1"/>
    <x v="1"/>
    <x v="8"/>
    <x v="0"/>
    <x v="0"/>
    <x v="2"/>
  </r>
  <r>
    <x v="261"/>
    <x v="14"/>
    <x v="3168"/>
    <x v="1"/>
    <x v="1"/>
    <x v="8"/>
    <x v="0"/>
    <x v="0"/>
    <x v="2"/>
  </r>
  <r>
    <x v="261"/>
    <x v="15"/>
    <x v="3452"/>
    <x v="1"/>
    <x v="1"/>
    <x v="8"/>
    <x v="0"/>
    <x v="0"/>
    <x v="2"/>
  </r>
  <r>
    <x v="261"/>
    <x v="16"/>
    <x v="3657"/>
    <x v="1"/>
    <x v="1"/>
    <x v="8"/>
    <x v="0"/>
    <x v="0"/>
    <x v="0"/>
  </r>
  <r>
    <x v="261"/>
    <x v="17"/>
    <x v="3988"/>
    <x v="1"/>
    <x v="1"/>
    <x v="8"/>
    <x v="0"/>
    <x v="0"/>
    <x v="0"/>
  </r>
  <r>
    <x v="261"/>
    <x v="18"/>
    <x v="4178"/>
    <x v="1"/>
    <x v="1"/>
    <x v="8"/>
    <x v="0"/>
    <x v="0"/>
    <x v="0"/>
  </r>
  <r>
    <x v="261"/>
    <x v="19"/>
    <x v="4191"/>
    <x v="1"/>
    <x v="1"/>
    <x v="8"/>
    <x v="0"/>
    <x v="0"/>
    <x v="0"/>
  </r>
  <r>
    <x v="261"/>
    <x v="20"/>
    <x v="4165"/>
    <x v="1"/>
    <x v="1"/>
    <x v="8"/>
    <x v="0"/>
    <x v="0"/>
    <x v="1"/>
  </r>
  <r>
    <x v="261"/>
    <x v="21"/>
    <x v="4001"/>
    <x v="1"/>
    <x v="1"/>
    <x v="8"/>
    <x v="0"/>
    <x v="0"/>
    <x v="1"/>
  </r>
  <r>
    <x v="261"/>
    <x v="22"/>
    <x v="3998"/>
    <x v="1"/>
    <x v="1"/>
    <x v="8"/>
    <x v="0"/>
    <x v="0"/>
    <x v="1"/>
  </r>
  <r>
    <x v="261"/>
    <x v="23"/>
    <x v="3926"/>
    <x v="1"/>
    <x v="1"/>
    <x v="8"/>
    <x v="0"/>
    <x v="0"/>
    <x v="1"/>
  </r>
  <r>
    <x v="262"/>
    <x v="0"/>
    <x v="3576"/>
    <x v="1"/>
    <x v="1"/>
    <x v="8"/>
    <x v="2"/>
    <x v="1"/>
    <x v="4"/>
  </r>
  <r>
    <x v="262"/>
    <x v="1"/>
    <x v="2849"/>
    <x v="1"/>
    <x v="1"/>
    <x v="8"/>
    <x v="2"/>
    <x v="1"/>
    <x v="4"/>
  </r>
  <r>
    <x v="262"/>
    <x v="2"/>
    <x v="1996"/>
    <x v="1"/>
    <x v="1"/>
    <x v="8"/>
    <x v="2"/>
    <x v="1"/>
    <x v="4"/>
  </r>
  <r>
    <x v="262"/>
    <x v="3"/>
    <x v="1437"/>
    <x v="1"/>
    <x v="1"/>
    <x v="8"/>
    <x v="2"/>
    <x v="1"/>
    <x v="4"/>
  </r>
  <r>
    <x v="262"/>
    <x v="4"/>
    <x v="1065"/>
    <x v="1"/>
    <x v="1"/>
    <x v="8"/>
    <x v="2"/>
    <x v="1"/>
    <x v="4"/>
  </r>
  <r>
    <x v="262"/>
    <x v="5"/>
    <x v="826"/>
    <x v="1"/>
    <x v="1"/>
    <x v="8"/>
    <x v="2"/>
    <x v="1"/>
    <x v="4"/>
  </r>
  <r>
    <x v="262"/>
    <x v="6"/>
    <x v="810"/>
    <x v="1"/>
    <x v="1"/>
    <x v="8"/>
    <x v="2"/>
    <x v="1"/>
    <x v="3"/>
  </r>
  <r>
    <x v="262"/>
    <x v="7"/>
    <x v="1047"/>
    <x v="1"/>
    <x v="1"/>
    <x v="8"/>
    <x v="2"/>
    <x v="1"/>
    <x v="3"/>
  </r>
  <r>
    <x v="262"/>
    <x v="8"/>
    <x v="1363"/>
    <x v="1"/>
    <x v="1"/>
    <x v="8"/>
    <x v="2"/>
    <x v="1"/>
    <x v="3"/>
  </r>
  <r>
    <x v="262"/>
    <x v="9"/>
    <x v="1814"/>
    <x v="1"/>
    <x v="1"/>
    <x v="8"/>
    <x v="2"/>
    <x v="1"/>
    <x v="3"/>
  </r>
  <r>
    <x v="262"/>
    <x v="10"/>
    <x v="2118"/>
    <x v="1"/>
    <x v="1"/>
    <x v="8"/>
    <x v="2"/>
    <x v="1"/>
    <x v="2"/>
  </r>
  <r>
    <x v="262"/>
    <x v="11"/>
    <x v="2319"/>
    <x v="1"/>
    <x v="1"/>
    <x v="8"/>
    <x v="2"/>
    <x v="1"/>
    <x v="2"/>
  </r>
  <r>
    <x v="262"/>
    <x v="12"/>
    <x v="2552"/>
    <x v="1"/>
    <x v="1"/>
    <x v="8"/>
    <x v="2"/>
    <x v="1"/>
    <x v="2"/>
  </r>
  <r>
    <x v="262"/>
    <x v="13"/>
    <x v="2566"/>
    <x v="1"/>
    <x v="1"/>
    <x v="8"/>
    <x v="2"/>
    <x v="1"/>
    <x v="2"/>
  </r>
  <r>
    <x v="262"/>
    <x v="14"/>
    <x v="2558"/>
    <x v="1"/>
    <x v="1"/>
    <x v="8"/>
    <x v="2"/>
    <x v="1"/>
    <x v="2"/>
  </r>
  <r>
    <x v="262"/>
    <x v="15"/>
    <x v="2756"/>
    <x v="1"/>
    <x v="1"/>
    <x v="8"/>
    <x v="2"/>
    <x v="1"/>
    <x v="2"/>
  </r>
  <r>
    <x v="262"/>
    <x v="16"/>
    <x v="2989"/>
    <x v="1"/>
    <x v="1"/>
    <x v="8"/>
    <x v="2"/>
    <x v="1"/>
    <x v="0"/>
  </r>
  <r>
    <x v="262"/>
    <x v="17"/>
    <x v="3296"/>
    <x v="1"/>
    <x v="1"/>
    <x v="8"/>
    <x v="2"/>
    <x v="1"/>
    <x v="0"/>
  </r>
  <r>
    <x v="262"/>
    <x v="18"/>
    <x v="3543"/>
    <x v="1"/>
    <x v="1"/>
    <x v="8"/>
    <x v="2"/>
    <x v="1"/>
    <x v="0"/>
  </r>
  <r>
    <x v="262"/>
    <x v="19"/>
    <x v="3837"/>
    <x v="1"/>
    <x v="1"/>
    <x v="8"/>
    <x v="2"/>
    <x v="1"/>
    <x v="0"/>
  </r>
  <r>
    <x v="262"/>
    <x v="20"/>
    <x v="3839"/>
    <x v="1"/>
    <x v="1"/>
    <x v="8"/>
    <x v="2"/>
    <x v="1"/>
    <x v="1"/>
  </r>
  <r>
    <x v="262"/>
    <x v="21"/>
    <x v="3635"/>
    <x v="1"/>
    <x v="1"/>
    <x v="8"/>
    <x v="2"/>
    <x v="1"/>
    <x v="1"/>
  </r>
  <r>
    <x v="262"/>
    <x v="22"/>
    <x v="3803"/>
    <x v="1"/>
    <x v="1"/>
    <x v="8"/>
    <x v="2"/>
    <x v="1"/>
    <x v="1"/>
  </r>
  <r>
    <x v="262"/>
    <x v="23"/>
    <x v="3938"/>
    <x v="1"/>
    <x v="1"/>
    <x v="8"/>
    <x v="2"/>
    <x v="1"/>
    <x v="1"/>
  </r>
  <r>
    <x v="263"/>
    <x v="0"/>
    <x v="3852"/>
    <x v="1"/>
    <x v="1"/>
    <x v="8"/>
    <x v="3"/>
    <x v="1"/>
    <x v="4"/>
  </r>
  <r>
    <x v="263"/>
    <x v="1"/>
    <x v="3518"/>
    <x v="1"/>
    <x v="1"/>
    <x v="8"/>
    <x v="3"/>
    <x v="1"/>
    <x v="4"/>
  </r>
  <r>
    <x v="263"/>
    <x v="2"/>
    <x v="2892"/>
    <x v="1"/>
    <x v="1"/>
    <x v="8"/>
    <x v="3"/>
    <x v="1"/>
    <x v="4"/>
  </r>
  <r>
    <x v="263"/>
    <x v="3"/>
    <x v="2116"/>
    <x v="1"/>
    <x v="1"/>
    <x v="8"/>
    <x v="3"/>
    <x v="1"/>
    <x v="4"/>
  </r>
  <r>
    <x v="263"/>
    <x v="4"/>
    <x v="1443"/>
    <x v="1"/>
    <x v="1"/>
    <x v="8"/>
    <x v="3"/>
    <x v="1"/>
    <x v="4"/>
  </r>
  <r>
    <x v="263"/>
    <x v="5"/>
    <x v="916"/>
    <x v="1"/>
    <x v="1"/>
    <x v="8"/>
    <x v="3"/>
    <x v="1"/>
    <x v="4"/>
  </r>
  <r>
    <x v="263"/>
    <x v="6"/>
    <x v="902"/>
    <x v="1"/>
    <x v="1"/>
    <x v="8"/>
    <x v="3"/>
    <x v="1"/>
    <x v="3"/>
  </r>
  <r>
    <x v="263"/>
    <x v="7"/>
    <x v="789"/>
    <x v="1"/>
    <x v="1"/>
    <x v="8"/>
    <x v="3"/>
    <x v="1"/>
    <x v="3"/>
  </r>
  <r>
    <x v="263"/>
    <x v="8"/>
    <x v="991"/>
    <x v="1"/>
    <x v="1"/>
    <x v="8"/>
    <x v="3"/>
    <x v="1"/>
    <x v="3"/>
  </r>
  <r>
    <x v="263"/>
    <x v="9"/>
    <x v="1467"/>
    <x v="1"/>
    <x v="1"/>
    <x v="8"/>
    <x v="3"/>
    <x v="1"/>
    <x v="3"/>
  </r>
  <r>
    <x v="263"/>
    <x v="10"/>
    <x v="1965"/>
    <x v="1"/>
    <x v="1"/>
    <x v="8"/>
    <x v="3"/>
    <x v="1"/>
    <x v="2"/>
  </r>
  <r>
    <x v="263"/>
    <x v="11"/>
    <x v="2315"/>
    <x v="1"/>
    <x v="1"/>
    <x v="8"/>
    <x v="3"/>
    <x v="1"/>
    <x v="2"/>
  </r>
  <r>
    <x v="263"/>
    <x v="12"/>
    <x v="2501"/>
    <x v="1"/>
    <x v="1"/>
    <x v="8"/>
    <x v="3"/>
    <x v="1"/>
    <x v="2"/>
  </r>
  <r>
    <x v="263"/>
    <x v="13"/>
    <x v="2591"/>
    <x v="1"/>
    <x v="1"/>
    <x v="8"/>
    <x v="3"/>
    <x v="1"/>
    <x v="2"/>
  </r>
  <r>
    <x v="263"/>
    <x v="14"/>
    <x v="2637"/>
    <x v="1"/>
    <x v="1"/>
    <x v="8"/>
    <x v="3"/>
    <x v="1"/>
    <x v="2"/>
  </r>
  <r>
    <x v="263"/>
    <x v="15"/>
    <x v="2629"/>
    <x v="1"/>
    <x v="1"/>
    <x v="8"/>
    <x v="3"/>
    <x v="1"/>
    <x v="2"/>
  </r>
  <r>
    <x v="263"/>
    <x v="16"/>
    <x v="2708"/>
    <x v="1"/>
    <x v="1"/>
    <x v="8"/>
    <x v="3"/>
    <x v="1"/>
    <x v="0"/>
  </r>
  <r>
    <x v="263"/>
    <x v="17"/>
    <x v="2931"/>
    <x v="1"/>
    <x v="1"/>
    <x v="8"/>
    <x v="3"/>
    <x v="1"/>
    <x v="0"/>
  </r>
  <r>
    <x v="263"/>
    <x v="18"/>
    <x v="2977"/>
    <x v="1"/>
    <x v="1"/>
    <x v="8"/>
    <x v="3"/>
    <x v="1"/>
    <x v="0"/>
  </r>
  <r>
    <x v="263"/>
    <x v="19"/>
    <x v="2904"/>
    <x v="1"/>
    <x v="1"/>
    <x v="8"/>
    <x v="3"/>
    <x v="1"/>
    <x v="0"/>
  </r>
  <r>
    <x v="263"/>
    <x v="20"/>
    <x v="2833"/>
    <x v="1"/>
    <x v="1"/>
    <x v="8"/>
    <x v="3"/>
    <x v="1"/>
    <x v="1"/>
  </r>
  <r>
    <x v="263"/>
    <x v="21"/>
    <x v="2679"/>
    <x v="1"/>
    <x v="1"/>
    <x v="8"/>
    <x v="3"/>
    <x v="1"/>
    <x v="1"/>
  </r>
  <r>
    <x v="263"/>
    <x v="22"/>
    <x v="2652"/>
    <x v="1"/>
    <x v="1"/>
    <x v="8"/>
    <x v="3"/>
    <x v="1"/>
    <x v="1"/>
  </r>
  <r>
    <x v="263"/>
    <x v="23"/>
    <x v="2164"/>
    <x v="1"/>
    <x v="1"/>
    <x v="8"/>
    <x v="3"/>
    <x v="1"/>
    <x v="1"/>
  </r>
  <r>
    <x v="264"/>
    <x v="0"/>
    <x v="1502"/>
    <x v="1"/>
    <x v="1"/>
    <x v="8"/>
    <x v="1"/>
    <x v="0"/>
    <x v="4"/>
  </r>
  <r>
    <x v="264"/>
    <x v="1"/>
    <x v="733"/>
    <x v="1"/>
    <x v="1"/>
    <x v="8"/>
    <x v="1"/>
    <x v="0"/>
    <x v="4"/>
  </r>
  <r>
    <x v="264"/>
    <x v="2"/>
    <x v="380"/>
    <x v="1"/>
    <x v="1"/>
    <x v="8"/>
    <x v="1"/>
    <x v="0"/>
    <x v="4"/>
  </r>
  <r>
    <x v="264"/>
    <x v="3"/>
    <x v="241"/>
    <x v="1"/>
    <x v="1"/>
    <x v="8"/>
    <x v="1"/>
    <x v="0"/>
    <x v="4"/>
  </r>
  <r>
    <x v="264"/>
    <x v="4"/>
    <x v="605"/>
    <x v="1"/>
    <x v="1"/>
    <x v="8"/>
    <x v="1"/>
    <x v="0"/>
    <x v="4"/>
  </r>
  <r>
    <x v="264"/>
    <x v="5"/>
    <x v="1111"/>
    <x v="1"/>
    <x v="1"/>
    <x v="8"/>
    <x v="1"/>
    <x v="0"/>
    <x v="4"/>
  </r>
  <r>
    <x v="264"/>
    <x v="6"/>
    <x v="1785"/>
    <x v="1"/>
    <x v="1"/>
    <x v="8"/>
    <x v="1"/>
    <x v="0"/>
    <x v="3"/>
  </r>
  <r>
    <x v="264"/>
    <x v="7"/>
    <x v="2337"/>
    <x v="1"/>
    <x v="1"/>
    <x v="8"/>
    <x v="1"/>
    <x v="0"/>
    <x v="3"/>
  </r>
  <r>
    <x v="264"/>
    <x v="8"/>
    <x v="2919"/>
    <x v="1"/>
    <x v="1"/>
    <x v="8"/>
    <x v="1"/>
    <x v="0"/>
    <x v="3"/>
  </r>
  <r>
    <x v="264"/>
    <x v="9"/>
    <x v="2771"/>
    <x v="1"/>
    <x v="1"/>
    <x v="8"/>
    <x v="1"/>
    <x v="0"/>
    <x v="3"/>
  </r>
  <r>
    <x v="264"/>
    <x v="10"/>
    <x v="2260"/>
    <x v="1"/>
    <x v="1"/>
    <x v="8"/>
    <x v="1"/>
    <x v="0"/>
    <x v="2"/>
  </r>
  <r>
    <x v="264"/>
    <x v="11"/>
    <x v="2001"/>
    <x v="1"/>
    <x v="1"/>
    <x v="8"/>
    <x v="1"/>
    <x v="0"/>
    <x v="2"/>
  </r>
  <r>
    <x v="264"/>
    <x v="12"/>
    <x v="1965"/>
    <x v="1"/>
    <x v="1"/>
    <x v="8"/>
    <x v="1"/>
    <x v="0"/>
    <x v="2"/>
  </r>
  <r>
    <x v="264"/>
    <x v="13"/>
    <x v="1934"/>
    <x v="1"/>
    <x v="1"/>
    <x v="8"/>
    <x v="1"/>
    <x v="0"/>
    <x v="2"/>
  </r>
  <r>
    <x v="264"/>
    <x v="14"/>
    <x v="1987"/>
    <x v="1"/>
    <x v="1"/>
    <x v="8"/>
    <x v="1"/>
    <x v="0"/>
    <x v="2"/>
  </r>
  <r>
    <x v="264"/>
    <x v="15"/>
    <x v="2178"/>
    <x v="1"/>
    <x v="1"/>
    <x v="8"/>
    <x v="1"/>
    <x v="0"/>
    <x v="2"/>
  </r>
  <r>
    <x v="264"/>
    <x v="16"/>
    <x v="2375"/>
    <x v="1"/>
    <x v="1"/>
    <x v="8"/>
    <x v="1"/>
    <x v="0"/>
    <x v="0"/>
  </r>
  <r>
    <x v="264"/>
    <x v="17"/>
    <x v="2733"/>
    <x v="1"/>
    <x v="1"/>
    <x v="8"/>
    <x v="1"/>
    <x v="0"/>
    <x v="0"/>
  </r>
  <r>
    <x v="264"/>
    <x v="18"/>
    <x v="3089"/>
    <x v="1"/>
    <x v="1"/>
    <x v="8"/>
    <x v="1"/>
    <x v="0"/>
    <x v="0"/>
  </r>
  <r>
    <x v="264"/>
    <x v="19"/>
    <x v="3161"/>
    <x v="1"/>
    <x v="1"/>
    <x v="8"/>
    <x v="1"/>
    <x v="0"/>
    <x v="0"/>
  </r>
  <r>
    <x v="264"/>
    <x v="20"/>
    <x v="3126"/>
    <x v="1"/>
    <x v="1"/>
    <x v="8"/>
    <x v="1"/>
    <x v="0"/>
    <x v="1"/>
  </r>
  <r>
    <x v="264"/>
    <x v="21"/>
    <x v="3067"/>
    <x v="1"/>
    <x v="1"/>
    <x v="8"/>
    <x v="1"/>
    <x v="0"/>
    <x v="1"/>
  </r>
  <r>
    <x v="264"/>
    <x v="22"/>
    <x v="2875"/>
    <x v="1"/>
    <x v="1"/>
    <x v="8"/>
    <x v="1"/>
    <x v="0"/>
    <x v="1"/>
  </r>
  <r>
    <x v="264"/>
    <x v="23"/>
    <x v="2287"/>
    <x v="1"/>
    <x v="1"/>
    <x v="8"/>
    <x v="1"/>
    <x v="0"/>
    <x v="1"/>
  </r>
  <r>
    <x v="265"/>
    <x v="0"/>
    <x v="1556"/>
    <x v="1"/>
    <x v="1"/>
    <x v="8"/>
    <x v="5"/>
    <x v="0"/>
    <x v="4"/>
  </r>
  <r>
    <x v="265"/>
    <x v="1"/>
    <x v="781"/>
    <x v="1"/>
    <x v="1"/>
    <x v="8"/>
    <x v="5"/>
    <x v="0"/>
    <x v="4"/>
  </r>
  <r>
    <x v="265"/>
    <x v="2"/>
    <x v="403"/>
    <x v="1"/>
    <x v="1"/>
    <x v="8"/>
    <x v="5"/>
    <x v="0"/>
    <x v="4"/>
  </r>
  <r>
    <x v="265"/>
    <x v="3"/>
    <x v="261"/>
    <x v="1"/>
    <x v="1"/>
    <x v="8"/>
    <x v="5"/>
    <x v="0"/>
    <x v="4"/>
  </r>
  <r>
    <x v="265"/>
    <x v="4"/>
    <x v="436"/>
    <x v="1"/>
    <x v="1"/>
    <x v="8"/>
    <x v="5"/>
    <x v="0"/>
    <x v="4"/>
  </r>
  <r>
    <x v="265"/>
    <x v="5"/>
    <x v="819"/>
    <x v="1"/>
    <x v="1"/>
    <x v="8"/>
    <x v="5"/>
    <x v="0"/>
    <x v="4"/>
  </r>
  <r>
    <x v="265"/>
    <x v="6"/>
    <x v="1611"/>
    <x v="1"/>
    <x v="1"/>
    <x v="8"/>
    <x v="5"/>
    <x v="0"/>
    <x v="3"/>
  </r>
  <r>
    <x v="265"/>
    <x v="7"/>
    <x v="2361"/>
    <x v="1"/>
    <x v="1"/>
    <x v="8"/>
    <x v="5"/>
    <x v="0"/>
    <x v="3"/>
  </r>
  <r>
    <x v="265"/>
    <x v="8"/>
    <x v="2931"/>
    <x v="1"/>
    <x v="1"/>
    <x v="8"/>
    <x v="5"/>
    <x v="0"/>
    <x v="3"/>
  </r>
  <r>
    <x v="265"/>
    <x v="9"/>
    <x v="2857"/>
    <x v="1"/>
    <x v="1"/>
    <x v="8"/>
    <x v="5"/>
    <x v="0"/>
    <x v="3"/>
  </r>
  <r>
    <x v="265"/>
    <x v="10"/>
    <x v="2216"/>
    <x v="1"/>
    <x v="1"/>
    <x v="8"/>
    <x v="5"/>
    <x v="0"/>
    <x v="2"/>
  </r>
  <r>
    <x v="265"/>
    <x v="11"/>
    <x v="2055"/>
    <x v="1"/>
    <x v="1"/>
    <x v="8"/>
    <x v="5"/>
    <x v="0"/>
    <x v="2"/>
  </r>
  <r>
    <x v="265"/>
    <x v="12"/>
    <x v="2012"/>
    <x v="1"/>
    <x v="1"/>
    <x v="8"/>
    <x v="5"/>
    <x v="0"/>
    <x v="2"/>
  </r>
  <r>
    <x v="265"/>
    <x v="13"/>
    <x v="2022"/>
    <x v="1"/>
    <x v="1"/>
    <x v="8"/>
    <x v="5"/>
    <x v="0"/>
    <x v="2"/>
  </r>
  <r>
    <x v="265"/>
    <x v="14"/>
    <x v="2113"/>
    <x v="1"/>
    <x v="1"/>
    <x v="8"/>
    <x v="5"/>
    <x v="0"/>
    <x v="2"/>
  </r>
  <r>
    <x v="265"/>
    <x v="15"/>
    <x v="2259"/>
    <x v="1"/>
    <x v="1"/>
    <x v="8"/>
    <x v="5"/>
    <x v="0"/>
    <x v="2"/>
  </r>
  <r>
    <x v="265"/>
    <x v="16"/>
    <x v="2617"/>
    <x v="1"/>
    <x v="1"/>
    <x v="8"/>
    <x v="5"/>
    <x v="0"/>
    <x v="0"/>
  </r>
  <r>
    <x v="265"/>
    <x v="17"/>
    <x v="2992"/>
    <x v="1"/>
    <x v="1"/>
    <x v="8"/>
    <x v="5"/>
    <x v="0"/>
    <x v="0"/>
  </r>
  <r>
    <x v="265"/>
    <x v="18"/>
    <x v="3368"/>
    <x v="1"/>
    <x v="1"/>
    <x v="8"/>
    <x v="5"/>
    <x v="0"/>
    <x v="0"/>
  </r>
  <r>
    <x v="265"/>
    <x v="19"/>
    <x v="3375"/>
    <x v="1"/>
    <x v="1"/>
    <x v="8"/>
    <x v="5"/>
    <x v="0"/>
    <x v="0"/>
  </r>
  <r>
    <x v="265"/>
    <x v="20"/>
    <x v="3401"/>
    <x v="1"/>
    <x v="1"/>
    <x v="8"/>
    <x v="5"/>
    <x v="0"/>
    <x v="1"/>
  </r>
  <r>
    <x v="265"/>
    <x v="21"/>
    <x v="3351"/>
    <x v="1"/>
    <x v="1"/>
    <x v="8"/>
    <x v="5"/>
    <x v="0"/>
    <x v="1"/>
  </r>
  <r>
    <x v="265"/>
    <x v="22"/>
    <x v="3111"/>
    <x v="1"/>
    <x v="1"/>
    <x v="8"/>
    <x v="5"/>
    <x v="0"/>
    <x v="1"/>
  </r>
  <r>
    <x v="265"/>
    <x v="23"/>
    <x v="2582"/>
    <x v="1"/>
    <x v="1"/>
    <x v="8"/>
    <x v="5"/>
    <x v="0"/>
    <x v="1"/>
  </r>
  <r>
    <x v="266"/>
    <x v="0"/>
    <x v="1700"/>
    <x v="1"/>
    <x v="1"/>
    <x v="8"/>
    <x v="6"/>
    <x v="0"/>
    <x v="4"/>
  </r>
  <r>
    <x v="266"/>
    <x v="1"/>
    <x v="965"/>
    <x v="1"/>
    <x v="1"/>
    <x v="8"/>
    <x v="6"/>
    <x v="0"/>
    <x v="4"/>
  </r>
  <r>
    <x v="266"/>
    <x v="2"/>
    <x v="522"/>
    <x v="1"/>
    <x v="1"/>
    <x v="8"/>
    <x v="6"/>
    <x v="0"/>
    <x v="4"/>
  </r>
  <r>
    <x v="266"/>
    <x v="3"/>
    <x v="338"/>
    <x v="1"/>
    <x v="1"/>
    <x v="8"/>
    <x v="6"/>
    <x v="0"/>
    <x v="4"/>
  </r>
  <r>
    <x v="266"/>
    <x v="4"/>
    <x v="487"/>
    <x v="1"/>
    <x v="1"/>
    <x v="8"/>
    <x v="6"/>
    <x v="0"/>
    <x v="4"/>
  </r>
  <r>
    <x v="266"/>
    <x v="5"/>
    <x v="831"/>
    <x v="1"/>
    <x v="1"/>
    <x v="8"/>
    <x v="6"/>
    <x v="0"/>
    <x v="4"/>
  </r>
  <r>
    <x v="266"/>
    <x v="6"/>
    <x v="1569"/>
    <x v="1"/>
    <x v="1"/>
    <x v="8"/>
    <x v="6"/>
    <x v="0"/>
    <x v="3"/>
  </r>
  <r>
    <x v="266"/>
    <x v="7"/>
    <x v="2296"/>
    <x v="1"/>
    <x v="1"/>
    <x v="8"/>
    <x v="6"/>
    <x v="0"/>
    <x v="3"/>
  </r>
  <r>
    <x v="266"/>
    <x v="8"/>
    <x v="2863"/>
    <x v="1"/>
    <x v="1"/>
    <x v="8"/>
    <x v="6"/>
    <x v="0"/>
    <x v="3"/>
  </r>
  <r>
    <x v="266"/>
    <x v="9"/>
    <x v="2755"/>
    <x v="1"/>
    <x v="1"/>
    <x v="8"/>
    <x v="6"/>
    <x v="0"/>
    <x v="3"/>
  </r>
  <r>
    <x v="266"/>
    <x v="10"/>
    <x v="2186"/>
    <x v="1"/>
    <x v="1"/>
    <x v="8"/>
    <x v="6"/>
    <x v="0"/>
    <x v="2"/>
  </r>
  <r>
    <x v="266"/>
    <x v="11"/>
    <x v="1972"/>
    <x v="1"/>
    <x v="1"/>
    <x v="8"/>
    <x v="6"/>
    <x v="0"/>
    <x v="2"/>
  </r>
  <r>
    <x v="266"/>
    <x v="12"/>
    <x v="2059"/>
    <x v="1"/>
    <x v="1"/>
    <x v="8"/>
    <x v="6"/>
    <x v="0"/>
    <x v="2"/>
  </r>
  <r>
    <x v="266"/>
    <x v="13"/>
    <x v="2055"/>
    <x v="1"/>
    <x v="1"/>
    <x v="8"/>
    <x v="6"/>
    <x v="0"/>
    <x v="2"/>
  </r>
  <r>
    <x v="266"/>
    <x v="14"/>
    <x v="2273"/>
    <x v="1"/>
    <x v="1"/>
    <x v="8"/>
    <x v="6"/>
    <x v="0"/>
    <x v="2"/>
  </r>
  <r>
    <x v="266"/>
    <x v="15"/>
    <x v="2985"/>
    <x v="1"/>
    <x v="1"/>
    <x v="8"/>
    <x v="6"/>
    <x v="0"/>
    <x v="2"/>
  </r>
  <r>
    <x v="266"/>
    <x v="16"/>
    <x v="3416"/>
    <x v="1"/>
    <x v="1"/>
    <x v="8"/>
    <x v="6"/>
    <x v="0"/>
    <x v="0"/>
  </r>
  <r>
    <x v="266"/>
    <x v="17"/>
    <x v="3532"/>
    <x v="1"/>
    <x v="1"/>
    <x v="8"/>
    <x v="6"/>
    <x v="0"/>
    <x v="0"/>
  </r>
  <r>
    <x v="266"/>
    <x v="18"/>
    <x v="3694"/>
    <x v="1"/>
    <x v="1"/>
    <x v="8"/>
    <x v="6"/>
    <x v="0"/>
    <x v="0"/>
  </r>
  <r>
    <x v="266"/>
    <x v="19"/>
    <x v="3861"/>
    <x v="1"/>
    <x v="1"/>
    <x v="8"/>
    <x v="6"/>
    <x v="0"/>
    <x v="0"/>
  </r>
  <r>
    <x v="266"/>
    <x v="20"/>
    <x v="3831"/>
    <x v="1"/>
    <x v="1"/>
    <x v="8"/>
    <x v="6"/>
    <x v="0"/>
    <x v="1"/>
  </r>
  <r>
    <x v="266"/>
    <x v="21"/>
    <x v="3671"/>
    <x v="1"/>
    <x v="1"/>
    <x v="8"/>
    <x v="6"/>
    <x v="0"/>
    <x v="1"/>
  </r>
  <r>
    <x v="266"/>
    <x v="22"/>
    <x v="3499"/>
    <x v="1"/>
    <x v="1"/>
    <x v="8"/>
    <x v="6"/>
    <x v="0"/>
    <x v="1"/>
  </r>
  <r>
    <x v="266"/>
    <x v="23"/>
    <x v="2873"/>
    <x v="1"/>
    <x v="1"/>
    <x v="8"/>
    <x v="6"/>
    <x v="0"/>
    <x v="1"/>
  </r>
  <r>
    <x v="267"/>
    <x v="0"/>
    <x v="1900"/>
    <x v="1"/>
    <x v="1"/>
    <x v="8"/>
    <x v="4"/>
    <x v="0"/>
    <x v="4"/>
  </r>
  <r>
    <x v="267"/>
    <x v="1"/>
    <x v="1098"/>
    <x v="1"/>
    <x v="1"/>
    <x v="8"/>
    <x v="4"/>
    <x v="0"/>
    <x v="4"/>
  </r>
  <r>
    <x v="267"/>
    <x v="2"/>
    <x v="592"/>
    <x v="1"/>
    <x v="1"/>
    <x v="8"/>
    <x v="4"/>
    <x v="0"/>
    <x v="4"/>
  </r>
  <r>
    <x v="267"/>
    <x v="3"/>
    <x v="416"/>
    <x v="1"/>
    <x v="1"/>
    <x v="8"/>
    <x v="4"/>
    <x v="0"/>
    <x v="4"/>
  </r>
  <r>
    <x v="267"/>
    <x v="4"/>
    <x v="506"/>
    <x v="1"/>
    <x v="1"/>
    <x v="8"/>
    <x v="4"/>
    <x v="0"/>
    <x v="4"/>
  </r>
  <r>
    <x v="267"/>
    <x v="5"/>
    <x v="907"/>
    <x v="1"/>
    <x v="1"/>
    <x v="8"/>
    <x v="4"/>
    <x v="0"/>
    <x v="4"/>
  </r>
  <r>
    <x v="267"/>
    <x v="6"/>
    <x v="1703"/>
    <x v="1"/>
    <x v="1"/>
    <x v="8"/>
    <x v="4"/>
    <x v="0"/>
    <x v="3"/>
  </r>
  <r>
    <x v="267"/>
    <x v="7"/>
    <x v="2494"/>
    <x v="1"/>
    <x v="1"/>
    <x v="8"/>
    <x v="4"/>
    <x v="0"/>
    <x v="3"/>
  </r>
  <r>
    <x v="267"/>
    <x v="8"/>
    <x v="3054"/>
    <x v="1"/>
    <x v="1"/>
    <x v="8"/>
    <x v="4"/>
    <x v="0"/>
    <x v="3"/>
  </r>
  <r>
    <x v="267"/>
    <x v="9"/>
    <x v="3008"/>
    <x v="1"/>
    <x v="1"/>
    <x v="8"/>
    <x v="4"/>
    <x v="0"/>
    <x v="3"/>
  </r>
  <r>
    <x v="267"/>
    <x v="10"/>
    <x v="2494"/>
    <x v="1"/>
    <x v="1"/>
    <x v="8"/>
    <x v="4"/>
    <x v="0"/>
    <x v="2"/>
  </r>
  <r>
    <x v="267"/>
    <x v="11"/>
    <x v="2250"/>
    <x v="1"/>
    <x v="1"/>
    <x v="8"/>
    <x v="4"/>
    <x v="0"/>
    <x v="2"/>
  </r>
  <r>
    <x v="267"/>
    <x v="12"/>
    <x v="2520"/>
    <x v="1"/>
    <x v="1"/>
    <x v="8"/>
    <x v="4"/>
    <x v="0"/>
    <x v="2"/>
  </r>
  <r>
    <x v="267"/>
    <x v="13"/>
    <x v="2321"/>
    <x v="1"/>
    <x v="1"/>
    <x v="8"/>
    <x v="4"/>
    <x v="0"/>
    <x v="2"/>
  </r>
  <r>
    <x v="267"/>
    <x v="14"/>
    <x v="2575"/>
    <x v="1"/>
    <x v="1"/>
    <x v="8"/>
    <x v="4"/>
    <x v="0"/>
    <x v="2"/>
  </r>
  <r>
    <x v="267"/>
    <x v="15"/>
    <x v="2622"/>
    <x v="1"/>
    <x v="1"/>
    <x v="8"/>
    <x v="4"/>
    <x v="0"/>
    <x v="2"/>
  </r>
  <r>
    <x v="267"/>
    <x v="16"/>
    <x v="2968"/>
    <x v="1"/>
    <x v="1"/>
    <x v="8"/>
    <x v="4"/>
    <x v="0"/>
    <x v="0"/>
  </r>
  <r>
    <x v="267"/>
    <x v="17"/>
    <x v="3335"/>
    <x v="1"/>
    <x v="1"/>
    <x v="8"/>
    <x v="4"/>
    <x v="0"/>
    <x v="0"/>
  </r>
  <r>
    <x v="267"/>
    <x v="18"/>
    <x v="3631"/>
    <x v="1"/>
    <x v="1"/>
    <x v="8"/>
    <x v="4"/>
    <x v="0"/>
    <x v="0"/>
  </r>
  <r>
    <x v="267"/>
    <x v="19"/>
    <x v="3682"/>
    <x v="1"/>
    <x v="1"/>
    <x v="8"/>
    <x v="4"/>
    <x v="0"/>
    <x v="0"/>
  </r>
  <r>
    <x v="267"/>
    <x v="20"/>
    <x v="3649"/>
    <x v="1"/>
    <x v="1"/>
    <x v="8"/>
    <x v="4"/>
    <x v="0"/>
    <x v="1"/>
  </r>
  <r>
    <x v="267"/>
    <x v="21"/>
    <x v="3642"/>
    <x v="1"/>
    <x v="1"/>
    <x v="8"/>
    <x v="4"/>
    <x v="0"/>
    <x v="1"/>
  </r>
  <r>
    <x v="267"/>
    <x v="22"/>
    <x v="3948"/>
    <x v="1"/>
    <x v="1"/>
    <x v="8"/>
    <x v="4"/>
    <x v="0"/>
    <x v="1"/>
  </r>
  <r>
    <x v="267"/>
    <x v="23"/>
    <x v="3812"/>
    <x v="1"/>
    <x v="1"/>
    <x v="8"/>
    <x v="4"/>
    <x v="0"/>
    <x v="1"/>
  </r>
  <r>
    <x v="268"/>
    <x v="0"/>
    <x v="2930"/>
    <x v="1"/>
    <x v="1"/>
    <x v="8"/>
    <x v="0"/>
    <x v="0"/>
    <x v="4"/>
  </r>
  <r>
    <x v="268"/>
    <x v="1"/>
    <x v="1846"/>
    <x v="1"/>
    <x v="1"/>
    <x v="8"/>
    <x v="0"/>
    <x v="0"/>
    <x v="4"/>
  </r>
  <r>
    <x v="268"/>
    <x v="2"/>
    <x v="952"/>
    <x v="1"/>
    <x v="1"/>
    <x v="8"/>
    <x v="0"/>
    <x v="0"/>
    <x v="4"/>
  </r>
  <r>
    <x v="268"/>
    <x v="3"/>
    <x v="645"/>
    <x v="1"/>
    <x v="1"/>
    <x v="8"/>
    <x v="0"/>
    <x v="0"/>
    <x v="4"/>
  </r>
  <r>
    <x v="268"/>
    <x v="4"/>
    <x v="760"/>
    <x v="1"/>
    <x v="1"/>
    <x v="8"/>
    <x v="0"/>
    <x v="0"/>
    <x v="4"/>
  </r>
  <r>
    <x v="268"/>
    <x v="5"/>
    <x v="1000"/>
    <x v="1"/>
    <x v="1"/>
    <x v="8"/>
    <x v="0"/>
    <x v="0"/>
    <x v="4"/>
  </r>
  <r>
    <x v="268"/>
    <x v="6"/>
    <x v="1785"/>
    <x v="1"/>
    <x v="1"/>
    <x v="8"/>
    <x v="0"/>
    <x v="0"/>
    <x v="3"/>
  </r>
  <r>
    <x v="268"/>
    <x v="7"/>
    <x v="2535"/>
    <x v="1"/>
    <x v="1"/>
    <x v="8"/>
    <x v="0"/>
    <x v="0"/>
    <x v="3"/>
  </r>
  <r>
    <x v="268"/>
    <x v="8"/>
    <x v="3027"/>
    <x v="1"/>
    <x v="1"/>
    <x v="8"/>
    <x v="0"/>
    <x v="0"/>
    <x v="3"/>
  </r>
  <r>
    <x v="268"/>
    <x v="9"/>
    <x v="2976"/>
    <x v="1"/>
    <x v="1"/>
    <x v="8"/>
    <x v="0"/>
    <x v="0"/>
    <x v="3"/>
  </r>
  <r>
    <x v="268"/>
    <x v="10"/>
    <x v="2472"/>
    <x v="1"/>
    <x v="1"/>
    <x v="8"/>
    <x v="0"/>
    <x v="0"/>
    <x v="2"/>
  </r>
  <r>
    <x v="268"/>
    <x v="11"/>
    <x v="2288"/>
    <x v="1"/>
    <x v="1"/>
    <x v="8"/>
    <x v="0"/>
    <x v="0"/>
    <x v="2"/>
  </r>
  <r>
    <x v="268"/>
    <x v="12"/>
    <x v="2246"/>
    <x v="1"/>
    <x v="1"/>
    <x v="8"/>
    <x v="0"/>
    <x v="0"/>
    <x v="2"/>
  </r>
  <r>
    <x v="268"/>
    <x v="13"/>
    <x v="2246"/>
    <x v="1"/>
    <x v="1"/>
    <x v="8"/>
    <x v="0"/>
    <x v="0"/>
    <x v="2"/>
  </r>
  <r>
    <x v="268"/>
    <x v="14"/>
    <x v="2422"/>
    <x v="1"/>
    <x v="1"/>
    <x v="8"/>
    <x v="0"/>
    <x v="0"/>
    <x v="2"/>
  </r>
  <r>
    <x v="268"/>
    <x v="15"/>
    <x v="2714"/>
    <x v="1"/>
    <x v="1"/>
    <x v="8"/>
    <x v="0"/>
    <x v="0"/>
    <x v="2"/>
  </r>
  <r>
    <x v="268"/>
    <x v="16"/>
    <x v="2996"/>
    <x v="1"/>
    <x v="1"/>
    <x v="8"/>
    <x v="0"/>
    <x v="0"/>
    <x v="0"/>
  </r>
  <r>
    <x v="268"/>
    <x v="17"/>
    <x v="3384"/>
    <x v="1"/>
    <x v="1"/>
    <x v="8"/>
    <x v="0"/>
    <x v="0"/>
    <x v="0"/>
  </r>
  <r>
    <x v="268"/>
    <x v="18"/>
    <x v="3766"/>
    <x v="1"/>
    <x v="1"/>
    <x v="8"/>
    <x v="0"/>
    <x v="0"/>
    <x v="0"/>
  </r>
  <r>
    <x v="268"/>
    <x v="19"/>
    <x v="3983"/>
    <x v="1"/>
    <x v="1"/>
    <x v="8"/>
    <x v="0"/>
    <x v="0"/>
    <x v="0"/>
  </r>
  <r>
    <x v="268"/>
    <x v="20"/>
    <x v="3942"/>
    <x v="1"/>
    <x v="1"/>
    <x v="8"/>
    <x v="0"/>
    <x v="0"/>
    <x v="1"/>
  </r>
  <r>
    <x v="268"/>
    <x v="21"/>
    <x v="3790"/>
    <x v="1"/>
    <x v="1"/>
    <x v="8"/>
    <x v="0"/>
    <x v="0"/>
    <x v="1"/>
  </r>
  <r>
    <x v="268"/>
    <x v="22"/>
    <x v="3914"/>
    <x v="1"/>
    <x v="1"/>
    <x v="8"/>
    <x v="0"/>
    <x v="0"/>
    <x v="1"/>
  </r>
  <r>
    <x v="268"/>
    <x v="23"/>
    <x v="3982"/>
    <x v="1"/>
    <x v="1"/>
    <x v="8"/>
    <x v="0"/>
    <x v="0"/>
    <x v="1"/>
  </r>
  <r>
    <x v="269"/>
    <x v="0"/>
    <x v="3774"/>
    <x v="1"/>
    <x v="1"/>
    <x v="8"/>
    <x v="2"/>
    <x v="1"/>
    <x v="4"/>
  </r>
  <r>
    <x v="269"/>
    <x v="1"/>
    <x v="3125"/>
    <x v="1"/>
    <x v="1"/>
    <x v="8"/>
    <x v="2"/>
    <x v="1"/>
    <x v="4"/>
  </r>
  <r>
    <x v="269"/>
    <x v="2"/>
    <x v="2398"/>
    <x v="1"/>
    <x v="1"/>
    <x v="8"/>
    <x v="2"/>
    <x v="1"/>
    <x v="4"/>
  </r>
  <r>
    <x v="269"/>
    <x v="3"/>
    <x v="1667"/>
    <x v="1"/>
    <x v="1"/>
    <x v="8"/>
    <x v="2"/>
    <x v="1"/>
    <x v="4"/>
  </r>
  <r>
    <x v="269"/>
    <x v="4"/>
    <x v="1328"/>
    <x v="1"/>
    <x v="1"/>
    <x v="8"/>
    <x v="2"/>
    <x v="1"/>
    <x v="4"/>
  </r>
  <r>
    <x v="269"/>
    <x v="5"/>
    <x v="825"/>
    <x v="1"/>
    <x v="1"/>
    <x v="8"/>
    <x v="2"/>
    <x v="1"/>
    <x v="4"/>
  </r>
  <r>
    <x v="269"/>
    <x v="6"/>
    <x v="865"/>
    <x v="1"/>
    <x v="1"/>
    <x v="8"/>
    <x v="2"/>
    <x v="1"/>
    <x v="3"/>
  </r>
  <r>
    <x v="269"/>
    <x v="7"/>
    <x v="1038"/>
    <x v="1"/>
    <x v="1"/>
    <x v="8"/>
    <x v="2"/>
    <x v="1"/>
    <x v="3"/>
  </r>
  <r>
    <x v="269"/>
    <x v="8"/>
    <x v="1375"/>
    <x v="1"/>
    <x v="1"/>
    <x v="8"/>
    <x v="2"/>
    <x v="1"/>
    <x v="3"/>
  </r>
  <r>
    <x v="269"/>
    <x v="9"/>
    <x v="1811"/>
    <x v="1"/>
    <x v="1"/>
    <x v="8"/>
    <x v="2"/>
    <x v="1"/>
    <x v="3"/>
  </r>
  <r>
    <x v="269"/>
    <x v="10"/>
    <x v="2155"/>
    <x v="1"/>
    <x v="1"/>
    <x v="8"/>
    <x v="2"/>
    <x v="1"/>
    <x v="2"/>
  </r>
  <r>
    <x v="269"/>
    <x v="11"/>
    <x v="2531"/>
    <x v="1"/>
    <x v="1"/>
    <x v="8"/>
    <x v="2"/>
    <x v="1"/>
    <x v="2"/>
  </r>
  <r>
    <x v="269"/>
    <x v="12"/>
    <x v="2822"/>
    <x v="1"/>
    <x v="1"/>
    <x v="8"/>
    <x v="2"/>
    <x v="1"/>
    <x v="2"/>
  </r>
  <r>
    <x v="269"/>
    <x v="13"/>
    <x v="2866"/>
    <x v="1"/>
    <x v="1"/>
    <x v="8"/>
    <x v="2"/>
    <x v="1"/>
    <x v="2"/>
  </r>
  <r>
    <x v="269"/>
    <x v="14"/>
    <x v="2879"/>
    <x v="1"/>
    <x v="1"/>
    <x v="8"/>
    <x v="2"/>
    <x v="1"/>
    <x v="2"/>
  </r>
  <r>
    <x v="269"/>
    <x v="15"/>
    <x v="2967"/>
    <x v="1"/>
    <x v="1"/>
    <x v="8"/>
    <x v="2"/>
    <x v="1"/>
    <x v="2"/>
  </r>
  <r>
    <x v="269"/>
    <x v="16"/>
    <x v="3260"/>
    <x v="1"/>
    <x v="1"/>
    <x v="8"/>
    <x v="2"/>
    <x v="1"/>
    <x v="0"/>
  </r>
  <r>
    <x v="269"/>
    <x v="17"/>
    <x v="3602"/>
    <x v="1"/>
    <x v="1"/>
    <x v="8"/>
    <x v="2"/>
    <x v="1"/>
    <x v="0"/>
  </r>
  <r>
    <x v="269"/>
    <x v="18"/>
    <x v="3768"/>
    <x v="1"/>
    <x v="1"/>
    <x v="8"/>
    <x v="2"/>
    <x v="1"/>
    <x v="0"/>
  </r>
  <r>
    <x v="269"/>
    <x v="19"/>
    <x v="4020"/>
    <x v="1"/>
    <x v="1"/>
    <x v="8"/>
    <x v="2"/>
    <x v="1"/>
    <x v="0"/>
  </r>
  <r>
    <x v="269"/>
    <x v="20"/>
    <x v="4084"/>
    <x v="1"/>
    <x v="1"/>
    <x v="8"/>
    <x v="2"/>
    <x v="1"/>
    <x v="1"/>
  </r>
  <r>
    <x v="269"/>
    <x v="21"/>
    <x v="4002"/>
    <x v="1"/>
    <x v="1"/>
    <x v="8"/>
    <x v="2"/>
    <x v="1"/>
    <x v="1"/>
  </r>
  <r>
    <x v="269"/>
    <x v="22"/>
    <x v="4077"/>
    <x v="1"/>
    <x v="1"/>
    <x v="8"/>
    <x v="2"/>
    <x v="1"/>
    <x v="1"/>
  </r>
  <r>
    <x v="269"/>
    <x v="23"/>
    <x v="4164"/>
    <x v="1"/>
    <x v="1"/>
    <x v="8"/>
    <x v="2"/>
    <x v="1"/>
    <x v="1"/>
  </r>
  <r>
    <x v="270"/>
    <x v="0"/>
    <x v="4084"/>
    <x v="1"/>
    <x v="1"/>
    <x v="8"/>
    <x v="3"/>
    <x v="1"/>
    <x v="4"/>
  </r>
  <r>
    <x v="270"/>
    <x v="1"/>
    <x v="3821"/>
    <x v="1"/>
    <x v="1"/>
    <x v="8"/>
    <x v="3"/>
    <x v="1"/>
    <x v="4"/>
  </r>
  <r>
    <x v="270"/>
    <x v="2"/>
    <x v="3289"/>
    <x v="1"/>
    <x v="1"/>
    <x v="8"/>
    <x v="3"/>
    <x v="1"/>
    <x v="4"/>
  </r>
  <r>
    <x v="270"/>
    <x v="3"/>
    <x v="2265"/>
    <x v="1"/>
    <x v="1"/>
    <x v="8"/>
    <x v="3"/>
    <x v="1"/>
    <x v="4"/>
  </r>
  <r>
    <x v="270"/>
    <x v="4"/>
    <x v="1659"/>
    <x v="1"/>
    <x v="1"/>
    <x v="8"/>
    <x v="3"/>
    <x v="1"/>
    <x v="4"/>
  </r>
  <r>
    <x v="270"/>
    <x v="5"/>
    <x v="990"/>
    <x v="1"/>
    <x v="1"/>
    <x v="8"/>
    <x v="3"/>
    <x v="1"/>
    <x v="4"/>
  </r>
  <r>
    <x v="270"/>
    <x v="6"/>
    <x v="790"/>
    <x v="1"/>
    <x v="1"/>
    <x v="8"/>
    <x v="3"/>
    <x v="1"/>
    <x v="3"/>
  </r>
  <r>
    <x v="270"/>
    <x v="7"/>
    <x v="817"/>
    <x v="1"/>
    <x v="1"/>
    <x v="8"/>
    <x v="3"/>
    <x v="1"/>
    <x v="3"/>
  </r>
  <r>
    <x v="270"/>
    <x v="8"/>
    <x v="1111"/>
    <x v="1"/>
    <x v="1"/>
    <x v="8"/>
    <x v="3"/>
    <x v="1"/>
    <x v="3"/>
  </r>
  <r>
    <x v="270"/>
    <x v="9"/>
    <x v="1579"/>
    <x v="1"/>
    <x v="1"/>
    <x v="8"/>
    <x v="3"/>
    <x v="1"/>
    <x v="3"/>
  </r>
  <r>
    <x v="270"/>
    <x v="10"/>
    <x v="1999"/>
    <x v="1"/>
    <x v="1"/>
    <x v="8"/>
    <x v="3"/>
    <x v="1"/>
    <x v="2"/>
  </r>
  <r>
    <x v="270"/>
    <x v="11"/>
    <x v="2474"/>
    <x v="1"/>
    <x v="1"/>
    <x v="8"/>
    <x v="3"/>
    <x v="1"/>
    <x v="2"/>
  </r>
  <r>
    <x v="270"/>
    <x v="12"/>
    <x v="2644"/>
    <x v="1"/>
    <x v="1"/>
    <x v="8"/>
    <x v="3"/>
    <x v="1"/>
    <x v="2"/>
  </r>
  <r>
    <x v="270"/>
    <x v="13"/>
    <x v="2677"/>
    <x v="1"/>
    <x v="1"/>
    <x v="8"/>
    <x v="3"/>
    <x v="1"/>
    <x v="2"/>
  </r>
  <r>
    <x v="270"/>
    <x v="14"/>
    <x v="2778"/>
    <x v="1"/>
    <x v="1"/>
    <x v="8"/>
    <x v="3"/>
    <x v="1"/>
    <x v="2"/>
  </r>
  <r>
    <x v="270"/>
    <x v="15"/>
    <x v="2891"/>
    <x v="1"/>
    <x v="1"/>
    <x v="8"/>
    <x v="3"/>
    <x v="1"/>
    <x v="2"/>
  </r>
  <r>
    <x v="270"/>
    <x v="16"/>
    <x v="2999"/>
    <x v="1"/>
    <x v="1"/>
    <x v="8"/>
    <x v="3"/>
    <x v="1"/>
    <x v="0"/>
  </r>
  <r>
    <x v="270"/>
    <x v="17"/>
    <x v="3164"/>
    <x v="1"/>
    <x v="1"/>
    <x v="8"/>
    <x v="3"/>
    <x v="1"/>
    <x v="0"/>
  </r>
  <r>
    <x v="270"/>
    <x v="18"/>
    <x v="3046"/>
    <x v="1"/>
    <x v="1"/>
    <x v="8"/>
    <x v="3"/>
    <x v="1"/>
    <x v="0"/>
  </r>
  <r>
    <x v="270"/>
    <x v="19"/>
    <x v="3015"/>
    <x v="1"/>
    <x v="1"/>
    <x v="8"/>
    <x v="3"/>
    <x v="1"/>
    <x v="0"/>
  </r>
  <r>
    <x v="270"/>
    <x v="20"/>
    <x v="2860"/>
    <x v="1"/>
    <x v="1"/>
    <x v="8"/>
    <x v="3"/>
    <x v="1"/>
    <x v="1"/>
  </r>
  <r>
    <x v="270"/>
    <x v="21"/>
    <x v="2744"/>
    <x v="1"/>
    <x v="1"/>
    <x v="8"/>
    <x v="3"/>
    <x v="1"/>
    <x v="1"/>
  </r>
  <r>
    <x v="270"/>
    <x v="22"/>
    <x v="2705"/>
    <x v="1"/>
    <x v="1"/>
    <x v="8"/>
    <x v="3"/>
    <x v="1"/>
    <x v="1"/>
  </r>
  <r>
    <x v="270"/>
    <x v="23"/>
    <x v="2269"/>
    <x v="1"/>
    <x v="1"/>
    <x v="8"/>
    <x v="3"/>
    <x v="1"/>
    <x v="1"/>
  </r>
  <r>
    <x v="271"/>
    <x v="0"/>
    <x v="1454"/>
    <x v="1"/>
    <x v="1"/>
    <x v="8"/>
    <x v="1"/>
    <x v="0"/>
    <x v="4"/>
  </r>
  <r>
    <x v="271"/>
    <x v="1"/>
    <x v="720"/>
    <x v="1"/>
    <x v="1"/>
    <x v="8"/>
    <x v="1"/>
    <x v="0"/>
    <x v="4"/>
  </r>
  <r>
    <x v="271"/>
    <x v="2"/>
    <x v="375"/>
    <x v="1"/>
    <x v="1"/>
    <x v="8"/>
    <x v="1"/>
    <x v="0"/>
    <x v="4"/>
  </r>
  <r>
    <x v="271"/>
    <x v="3"/>
    <x v="298"/>
    <x v="1"/>
    <x v="1"/>
    <x v="8"/>
    <x v="1"/>
    <x v="0"/>
    <x v="4"/>
  </r>
  <r>
    <x v="271"/>
    <x v="4"/>
    <x v="573"/>
    <x v="1"/>
    <x v="1"/>
    <x v="8"/>
    <x v="1"/>
    <x v="0"/>
    <x v="4"/>
  </r>
  <r>
    <x v="271"/>
    <x v="5"/>
    <x v="1142"/>
    <x v="1"/>
    <x v="1"/>
    <x v="8"/>
    <x v="1"/>
    <x v="0"/>
    <x v="4"/>
  </r>
  <r>
    <x v="271"/>
    <x v="6"/>
    <x v="1796"/>
    <x v="1"/>
    <x v="1"/>
    <x v="8"/>
    <x v="1"/>
    <x v="0"/>
    <x v="3"/>
  </r>
  <r>
    <x v="271"/>
    <x v="7"/>
    <x v="2599"/>
    <x v="1"/>
    <x v="1"/>
    <x v="8"/>
    <x v="1"/>
    <x v="0"/>
    <x v="3"/>
  </r>
  <r>
    <x v="271"/>
    <x v="8"/>
    <x v="3075"/>
    <x v="1"/>
    <x v="1"/>
    <x v="8"/>
    <x v="1"/>
    <x v="0"/>
    <x v="3"/>
  </r>
  <r>
    <x v="271"/>
    <x v="9"/>
    <x v="2911"/>
    <x v="1"/>
    <x v="1"/>
    <x v="8"/>
    <x v="1"/>
    <x v="0"/>
    <x v="3"/>
  </r>
  <r>
    <x v="271"/>
    <x v="10"/>
    <x v="2283"/>
    <x v="1"/>
    <x v="1"/>
    <x v="8"/>
    <x v="1"/>
    <x v="0"/>
    <x v="2"/>
  </r>
  <r>
    <x v="271"/>
    <x v="11"/>
    <x v="2075"/>
    <x v="1"/>
    <x v="1"/>
    <x v="8"/>
    <x v="1"/>
    <x v="0"/>
    <x v="2"/>
  </r>
  <r>
    <x v="271"/>
    <x v="12"/>
    <x v="2058"/>
    <x v="1"/>
    <x v="1"/>
    <x v="8"/>
    <x v="1"/>
    <x v="0"/>
    <x v="2"/>
  </r>
  <r>
    <x v="271"/>
    <x v="13"/>
    <x v="1957"/>
    <x v="1"/>
    <x v="1"/>
    <x v="8"/>
    <x v="1"/>
    <x v="0"/>
    <x v="2"/>
  </r>
  <r>
    <x v="271"/>
    <x v="14"/>
    <x v="2167"/>
    <x v="1"/>
    <x v="1"/>
    <x v="8"/>
    <x v="1"/>
    <x v="0"/>
    <x v="2"/>
  </r>
  <r>
    <x v="271"/>
    <x v="15"/>
    <x v="2398"/>
    <x v="1"/>
    <x v="1"/>
    <x v="8"/>
    <x v="1"/>
    <x v="0"/>
    <x v="2"/>
  </r>
  <r>
    <x v="271"/>
    <x v="16"/>
    <x v="2598"/>
    <x v="1"/>
    <x v="1"/>
    <x v="8"/>
    <x v="1"/>
    <x v="0"/>
    <x v="0"/>
  </r>
  <r>
    <x v="271"/>
    <x v="17"/>
    <x v="2876"/>
    <x v="1"/>
    <x v="1"/>
    <x v="8"/>
    <x v="1"/>
    <x v="0"/>
    <x v="0"/>
  </r>
  <r>
    <x v="271"/>
    <x v="18"/>
    <x v="3323"/>
    <x v="1"/>
    <x v="1"/>
    <x v="8"/>
    <x v="1"/>
    <x v="0"/>
    <x v="0"/>
  </r>
  <r>
    <x v="271"/>
    <x v="19"/>
    <x v="3097"/>
    <x v="1"/>
    <x v="1"/>
    <x v="8"/>
    <x v="1"/>
    <x v="0"/>
    <x v="0"/>
  </r>
  <r>
    <x v="271"/>
    <x v="20"/>
    <x v="3171"/>
    <x v="1"/>
    <x v="1"/>
    <x v="8"/>
    <x v="1"/>
    <x v="0"/>
    <x v="1"/>
  </r>
  <r>
    <x v="271"/>
    <x v="21"/>
    <x v="2973"/>
    <x v="1"/>
    <x v="1"/>
    <x v="8"/>
    <x v="1"/>
    <x v="0"/>
    <x v="1"/>
  </r>
  <r>
    <x v="271"/>
    <x v="22"/>
    <x v="2714"/>
    <x v="1"/>
    <x v="1"/>
    <x v="8"/>
    <x v="1"/>
    <x v="0"/>
    <x v="1"/>
  </r>
  <r>
    <x v="271"/>
    <x v="23"/>
    <x v="2234"/>
    <x v="1"/>
    <x v="1"/>
    <x v="8"/>
    <x v="1"/>
    <x v="0"/>
    <x v="1"/>
  </r>
  <r>
    <x v="272"/>
    <x v="0"/>
    <x v="1576"/>
    <x v="1"/>
    <x v="1"/>
    <x v="8"/>
    <x v="5"/>
    <x v="0"/>
    <x v="4"/>
  </r>
  <r>
    <x v="272"/>
    <x v="1"/>
    <x v="871"/>
    <x v="1"/>
    <x v="1"/>
    <x v="8"/>
    <x v="5"/>
    <x v="0"/>
    <x v="4"/>
  </r>
  <r>
    <x v="272"/>
    <x v="2"/>
    <x v="487"/>
    <x v="1"/>
    <x v="1"/>
    <x v="8"/>
    <x v="5"/>
    <x v="0"/>
    <x v="4"/>
  </r>
  <r>
    <x v="272"/>
    <x v="3"/>
    <x v="287"/>
    <x v="1"/>
    <x v="1"/>
    <x v="8"/>
    <x v="5"/>
    <x v="0"/>
    <x v="4"/>
  </r>
  <r>
    <x v="272"/>
    <x v="4"/>
    <x v="419"/>
    <x v="1"/>
    <x v="1"/>
    <x v="8"/>
    <x v="5"/>
    <x v="0"/>
    <x v="4"/>
  </r>
  <r>
    <x v="272"/>
    <x v="5"/>
    <x v="816"/>
    <x v="1"/>
    <x v="1"/>
    <x v="8"/>
    <x v="5"/>
    <x v="0"/>
    <x v="4"/>
  </r>
  <r>
    <x v="272"/>
    <x v="6"/>
    <x v="1610"/>
    <x v="1"/>
    <x v="1"/>
    <x v="8"/>
    <x v="5"/>
    <x v="0"/>
    <x v="3"/>
  </r>
  <r>
    <x v="272"/>
    <x v="7"/>
    <x v="2416"/>
    <x v="1"/>
    <x v="1"/>
    <x v="8"/>
    <x v="5"/>
    <x v="0"/>
    <x v="3"/>
  </r>
  <r>
    <x v="272"/>
    <x v="8"/>
    <x v="2999"/>
    <x v="1"/>
    <x v="1"/>
    <x v="8"/>
    <x v="5"/>
    <x v="0"/>
    <x v="3"/>
  </r>
  <r>
    <x v="272"/>
    <x v="9"/>
    <x v="2815"/>
    <x v="1"/>
    <x v="1"/>
    <x v="8"/>
    <x v="5"/>
    <x v="0"/>
    <x v="3"/>
  </r>
  <r>
    <x v="272"/>
    <x v="10"/>
    <x v="2233"/>
    <x v="1"/>
    <x v="1"/>
    <x v="8"/>
    <x v="5"/>
    <x v="0"/>
    <x v="2"/>
  </r>
  <r>
    <x v="272"/>
    <x v="11"/>
    <x v="2036"/>
    <x v="1"/>
    <x v="1"/>
    <x v="8"/>
    <x v="5"/>
    <x v="0"/>
    <x v="2"/>
  </r>
  <r>
    <x v="272"/>
    <x v="12"/>
    <x v="2070"/>
    <x v="1"/>
    <x v="1"/>
    <x v="8"/>
    <x v="5"/>
    <x v="0"/>
    <x v="2"/>
  </r>
  <r>
    <x v="272"/>
    <x v="13"/>
    <x v="2183"/>
    <x v="1"/>
    <x v="1"/>
    <x v="8"/>
    <x v="5"/>
    <x v="0"/>
    <x v="2"/>
  </r>
  <r>
    <x v="272"/>
    <x v="14"/>
    <x v="2687"/>
    <x v="1"/>
    <x v="1"/>
    <x v="8"/>
    <x v="5"/>
    <x v="0"/>
    <x v="2"/>
  </r>
  <r>
    <x v="272"/>
    <x v="15"/>
    <x v="3297"/>
    <x v="1"/>
    <x v="1"/>
    <x v="8"/>
    <x v="5"/>
    <x v="0"/>
    <x v="2"/>
  </r>
  <r>
    <x v="272"/>
    <x v="16"/>
    <x v="3325"/>
    <x v="1"/>
    <x v="1"/>
    <x v="8"/>
    <x v="5"/>
    <x v="0"/>
    <x v="0"/>
  </r>
  <r>
    <x v="272"/>
    <x v="17"/>
    <x v="3548"/>
    <x v="1"/>
    <x v="1"/>
    <x v="8"/>
    <x v="5"/>
    <x v="0"/>
    <x v="0"/>
  </r>
  <r>
    <x v="272"/>
    <x v="18"/>
    <x v="3912"/>
    <x v="1"/>
    <x v="1"/>
    <x v="8"/>
    <x v="5"/>
    <x v="0"/>
    <x v="0"/>
  </r>
  <r>
    <x v="272"/>
    <x v="19"/>
    <x v="4044"/>
    <x v="1"/>
    <x v="1"/>
    <x v="8"/>
    <x v="5"/>
    <x v="0"/>
    <x v="0"/>
  </r>
  <r>
    <x v="272"/>
    <x v="20"/>
    <x v="4089"/>
    <x v="1"/>
    <x v="1"/>
    <x v="8"/>
    <x v="5"/>
    <x v="0"/>
    <x v="1"/>
  </r>
  <r>
    <x v="272"/>
    <x v="21"/>
    <x v="3852"/>
    <x v="1"/>
    <x v="1"/>
    <x v="8"/>
    <x v="5"/>
    <x v="0"/>
    <x v="1"/>
  </r>
  <r>
    <x v="272"/>
    <x v="22"/>
    <x v="3561"/>
    <x v="1"/>
    <x v="1"/>
    <x v="8"/>
    <x v="5"/>
    <x v="0"/>
    <x v="1"/>
  </r>
  <r>
    <x v="272"/>
    <x v="23"/>
    <x v="2859"/>
    <x v="1"/>
    <x v="1"/>
    <x v="8"/>
    <x v="5"/>
    <x v="0"/>
    <x v="1"/>
  </r>
  <r>
    <x v="273"/>
    <x v="0"/>
    <x v="1678"/>
    <x v="1"/>
    <x v="1"/>
    <x v="9"/>
    <x v="6"/>
    <x v="0"/>
    <x v="4"/>
  </r>
  <r>
    <x v="273"/>
    <x v="1"/>
    <x v="973"/>
    <x v="1"/>
    <x v="1"/>
    <x v="9"/>
    <x v="6"/>
    <x v="0"/>
    <x v="4"/>
  </r>
  <r>
    <x v="273"/>
    <x v="2"/>
    <x v="538"/>
    <x v="1"/>
    <x v="1"/>
    <x v="9"/>
    <x v="6"/>
    <x v="0"/>
    <x v="4"/>
  </r>
  <r>
    <x v="273"/>
    <x v="3"/>
    <x v="348"/>
    <x v="1"/>
    <x v="1"/>
    <x v="9"/>
    <x v="6"/>
    <x v="0"/>
    <x v="4"/>
  </r>
  <r>
    <x v="273"/>
    <x v="4"/>
    <x v="500"/>
    <x v="1"/>
    <x v="1"/>
    <x v="9"/>
    <x v="6"/>
    <x v="0"/>
    <x v="4"/>
  </r>
  <r>
    <x v="273"/>
    <x v="5"/>
    <x v="907"/>
    <x v="1"/>
    <x v="1"/>
    <x v="9"/>
    <x v="6"/>
    <x v="0"/>
    <x v="4"/>
  </r>
  <r>
    <x v="273"/>
    <x v="6"/>
    <x v="1567"/>
    <x v="1"/>
    <x v="1"/>
    <x v="9"/>
    <x v="6"/>
    <x v="0"/>
    <x v="3"/>
  </r>
  <r>
    <x v="273"/>
    <x v="7"/>
    <x v="2313"/>
    <x v="1"/>
    <x v="1"/>
    <x v="9"/>
    <x v="6"/>
    <x v="0"/>
    <x v="3"/>
  </r>
  <r>
    <x v="273"/>
    <x v="8"/>
    <x v="2865"/>
    <x v="1"/>
    <x v="1"/>
    <x v="9"/>
    <x v="6"/>
    <x v="0"/>
    <x v="3"/>
  </r>
  <r>
    <x v="273"/>
    <x v="9"/>
    <x v="2778"/>
    <x v="1"/>
    <x v="1"/>
    <x v="9"/>
    <x v="6"/>
    <x v="0"/>
    <x v="3"/>
  </r>
  <r>
    <x v="273"/>
    <x v="10"/>
    <x v="2264"/>
    <x v="1"/>
    <x v="1"/>
    <x v="9"/>
    <x v="6"/>
    <x v="0"/>
    <x v="2"/>
  </r>
  <r>
    <x v="273"/>
    <x v="11"/>
    <x v="2089"/>
    <x v="1"/>
    <x v="1"/>
    <x v="9"/>
    <x v="6"/>
    <x v="0"/>
    <x v="2"/>
  </r>
  <r>
    <x v="273"/>
    <x v="12"/>
    <x v="2153"/>
    <x v="1"/>
    <x v="1"/>
    <x v="9"/>
    <x v="6"/>
    <x v="0"/>
    <x v="2"/>
  </r>
  <r>
    <x v="273"/>
    <x v="13"/>
    <x v="2108"/>
    <x v="1"/>
    <x v="1"/>
    <x v="9"/>
    <x v="6"/>
    <x v="0"/>
    <x v="2"/>
  </r>
  <r>
    <x v="273"/>
    <x v="14"/>
    <x v="2225"/>
    <x v="1"/>
    <x v="1"/>
    <x v="9"/>
    <x v="6"/>
    <x v="0"/>
    <x v="2"/>
  </r>
  <r>
    <x v="273"/>
    <x v="15"/>
    <x v="2486"/>
    <x v="1"/>
    <x v="1"/>
    <x v="9"/>
    <x v="6"/>
    <x v="0"/>
    <x v="2"/>
  </r>
  <r>
    <x v="273"/>
    <x v="16"/>
    <x v="2786"/>
    <x v="1"/>
    <x v="1"/>
    <x v="9"/>
    <x v="6"/>
    <x v="0"/>
    <x v="0"/>
  </r>
  <r>
    <x v="273"/>
    <x v="17"/>
    <x v="3153"/>
    <x v="1"/>
    <x v="1"/>
    <x v="9"/>
    <x v="6"/>
    <x v="0"/>
    <x v="0"/>
  </r>
  <r>
    <x v="273"/>
    <x v="18"/>
    <x v="3481"/>
    <x v="1"/>
    <x v="1"/>
    <x v="9"/>
    <x v="6"/>
    <x v="0"/>
    <x v="0"/>
  </r>
  <r>
    <x v="273"/>
    <x v="19"/>
    <x v="3644"/>
    <x v="1"/>
    <x v="1"/>
    <x v="9"/>
    <x v="6"/>
    <x v="0"/>
    <x v="0"/>
  </r>
  <r>
    <x v="273"/>
    <x v="20"/>
    <x v="3604"/>
    <x v="1"/>
    <x v="1"/>
    <x v="9"/>
    <x v="6"/>
    <x v="0"/>
    <x v="1"/>
  </r>
  <r>
    <x v="273"/>
    <x v="21"/>
    <x v="3540"/>
    <x v="1"/>
    <x v="1"/>
    <x v="9"/>
    <x v="6"/>
    <x v="0"/>
    <x v="1"/>
  </r>
  <r>
    <x v="273"/>
    <x v="22"/>
    <x v="3410"/>
    <x v="1"/>
    <x v="1"/>
    <x v="9"/>
    <x v="6"/>
    <x v="0"/>
    <x v="1"/>
  </r>
  <r>
    <x v="273"/>
    <x v="23"/>
    <x v="2916"/>
    <x v="1"/>
    <x v="1"/>
    <x v="9"/>
    <x v="6"/>
    <x v="0"/>
    <x v="1"/>
  </r>
  <r>
    <x v="274"/>
    <x v="0"/>
    <x v="1999"/>
    <x v="1"/>
    <x v="1"/>
    <x v="9"/>
    <x v="4"/>
    <x v="0"/>
    <x v="4"/>
  </r>
  <r>
    <x v="274"/>
    <x v="1"/>
    <x v="1152"/>
    <x v="1"/>
    <x v="1"/>
    <x v="9"/>
    <x v="4"/>
    <x v="0"/>
    <x v="4"/>
  </r>
  <r>
    <x v="274"/>
    <x v="2"/>
    <x v="641"/>
    <x v="1"/>
    <x v="1"/>
    <x v="9"/>
    <x v="4"/>
    <x v="0"/>
    <x v="4"/>
  </r>
  <r>
    <x v="274"/>
    <x v="3"/>
    <x v="382"/>
    <x v="1"/>
    <x v="1"/>
    <x v="9"/>
    <x v="4"/>
    <x v="0"/>
    <x v="4"/>
  </r>
  <r>
    <x v="274"/>
    <x v="4"/>
    <x v="559"/>
    <x v="1"/>
    <x v="1"/>
    <x v="9"/>
    <x v="4"/>
    <x v="0"/>
    <x v="4"/>
  </r>
  <r>
    <x v="274"/>
    <x v="5"/>
    <x v="959"/>
    <x v="1"/>
    <x v="1"/>
    <x v="9"/>
    <x v="4"/>
    <x v="0"/>
    <x v="4"/>
  </r>
  <r>
    <x v="274"/>
    <x v="6"/>
    <x v="1576"/>
    <x v="1"/>
    <x v="1"/>
    <x v="9"/>
    <x v="4"/>
    <x v="0"/>
    <x v="3"/>
  </r>
  <r>
    <x v="274"/>
    <x v="7"/>
    <x v="2336"/>
    <x v="1"/>
    <x v="1"/>
    <x v="9"/>
    <x v="4"/>
    <x v="0"/>
    <x v="3"/>
  </r>
  <r>
    <x v="274"/>
    <x v="8"/>
    <x v="2883"/>
    <x v="1"/>
    <x v="1"/>
    <x v="9"/>
    <x v="4"/>
    <x v="0"/>
    <x v="3"/>
  </r>
  <r>
    <x v="274"/>
    <x v="9"/>
    <x v="2769"/>
    <x v="1"/>
    <x v="1"/>
    <x v="9"/>
    <x v="4"/>
    <x v="0"/>
    <x v="3"/>
  </r>
  <r>
    <x v="274"/>
    <x v="10"/>
    <x v="2269"/>
    <x v="1"/>
    <x v="1"/>
    <x v="9"/>
    <x v="4"/>
    <x v="0"/>
    <x v="2"/>
  </r>
  <r>
    <x v="274"/>
    <x v="11"/>
    <x v="2075"/>
    <x v="1"/>
    <x v="1"/>
    <x v="9"/>
    <x v="4"/>
    <x v="0"/>
    <x v="2"/>
  </r>
  <r>
    <x v="274"/>
    <x v="12"/>
    <x v="2061"/>
    <x v="1"/>
    <x v="1"/>
    <x v="9"/>
    <x v="4"/>
    <x v="0"/>
    <x v="2"/>
  </r>
  <r>
    <x v="274"/>
    <x v="13"/>
    <x v="2099"/>
    <x v="1"/>
    <x v="1"/>
    <x v="9"/>
    <x v="4"/>
    <x v="0"/>
    <x v="2"/>
  </r>
  <r>
    <x v="274"/>
    <x v="14"/>
    <x v="2228"/>
    <x v="1"/>
    <x v="1"/>
    <x v="9"/>
    <x v="4"/>
    <x v="0"/>
    <x v="2"/>
  </r>
  <r>
    <x v="274"/>
    <x v="15"/>
    <x v="2554"/>
    <x v="1"/>
    <x v="1"/>
    <x v="9"/>
    <x v="4"/>
    <x v="0"/>
    <x v="2"/>
  </r>
  <r>
    <x v="274"/>
    <x v="16"/>
    <x v="2838"/>
    <x v="1"/>
    <x v="1"/>
    <x v="9"/>
    <x v="4"/>
    <x v="0"/>
    <x v="0"/>
  </r>
  <r>
    <x v="274"/>
    <x v="17"/>
    <x v="3257"/>
    <x v="1"/>
    <x v="1"/>
    <x v="9"/>
    <x v="4"/>
    <x v="0"/>
    <x v="0"/>
  </r>
  <r>
    <x v="274"/>
    <x v="18"/>
    <x v="3669"/>
    <x v="1"/>
    <x v="1"/>
    <x v="9"/>
    <x v="4"/>
    <x v="0"/>
    <x v="0"/>
  </r>
  <r>
    <x v="274"/>
    <x v="19"/>
    <x v="3745"/>
    <x v="1"/>
    <x v="1"/>
    <x v="9"/>
    <x v="4"/>
    <x v="0"/>
    <x v="0"/>
  </r>
  <r>
    <x v="274"/>
    <x v="20"/>
    <x v="3791"/>
    <x v="1"/>
    <x v="1"/>
    <x v="9"/>
    <x v="4"/>
    <x v="0"/>
    <x v="1"/>
  </r>
  <r>
    <x v="274"/>
    <x v="21"/>
    <x v="3683"/>
    <x v="1"/>
    <x v="1"/>
    <x v="9"/>
    <x v="4"/>
    <x v="0"/>
    <x v="1"/>
  </r>
  <r>
    <x v="274"/>
    <x v="22"/>
    <x v="3615"/>
    <x v="1"/>
    <x v="1"/>
    <x v="9"/>
    <x v="4"/>
    <x v="0"/>
    <x v="1"/>
  </r>
  <r>
    <x v="274"/>
    <x v="23"/>
    <x v="3527"/>
    <x v="1"/>
    <x v="1"/>
    <x v="9"/>
    <x v="4"/>
    <x v="0"/>
    <x v="1"/>
  </r>
  <r>
    <x v="275"/>
    <x v="0"/>
    <x v="2984"/>
    <x v="1"/>
    <x v="1"/>
    <x v="9"/>
    <x v="0"/>
    <x v="0"/>
    <x v="4"/>
  </r>
  <r>
    <x v="275"/>
    <x v="1"/>
    <x v="1830"/>
    <x v="1"/>
    <x v="1"/>
    <x v="9"/>
    <x v="0"/>
    <x v="0"/>
    <x v="4"/>
  </r>
  <r>
    <x v="275"/>
    <x v="2"/>
    <x v="1103"/>
    <x v="1"/>
    <x v="1"/>
    <x v="9"/>
    <x v="0"/>
    <x v="0"/>
    <x v="4"/>
  </r>
  <r>
    <x v="275"/>
    <x v="3"/>
    <x v="774"/>
    <x v="1"/>
    <x v="1"/>
    <x v="9"/>
    <x v="0"/>
    <x v="0"/>
    <x v="4"/>
  </r>
  <r>
    <x v="275"/>
    <x v="4"/>
    <x v="939"/>
    <x v="1"/>
    <x v="1"/>
    <x v="9"/>
    <x v="0"/>
    <x v="0"/>
    <x v="4"/>
  </r>
  <r>
    <x v="275"/>
    <x v="5"/>
    <x v="1059"/>
    <x v="1"/>
    <x v="1"/>
    <x v="9"/>
    <x v="0"/>
    <x v="0"/>
    <x v="4"/>
  </r>
  <r>
    <x v="275"/>
    <x v="6"/>
    <x v="1370"/>
    <x v="1"/>
    <x v="1"/>
    <x v="9"/>
    <x v="0"/>
    <x v="0"/>
    <x v="3"/>
  </r>
  <r>
    <x v="275"/>
    <x v="7"/>
    <x v="1780"/>
    <x v="1"/>
    <x v="1"/>
    <x v="9"/>
    <x v="0"/>
    <x v="0"/>
    <x v="3"/>
  </r>
  <r>
    <x v="275"/>
    <x v="8"/>
    <x v="2428"/>
    <x v="1"/>
    <x v="1"/>
    <x v="9"/>
    <x v="0"/>
    <x v="0"/>
    <x v="3"/>
  </r>
  <r>
    <x v="275"/>
    <x v="9"/>
    <x v="2598"/>
    <x v="1"/>
    <x v="1"/>
    <x v="9"/>
    <x v="0"/>
    <x v="0"/>
    <x v="3"/>
  </r>
  <r>
    <x v="275"/>
    <x v="10"/>
    <x v="2501"/>
    <x v="1"/>
    <x v="1"/>
    <x v="9"/>
    <x v="0"/>
    <x v="0"/>
    <x v="2"/>
  </r>
  <r>
    <x v="275"/>
    <x v="11"/>
    <x v="2463"/>
    <x v="1"/>
    <x v="1"/>
    <x v="9"/>
    <x v="0"/>
    <x v="0"/>
    <x v="2"/>
  </r>
  <r>
    <x v="275"/>
    <x v="12"/>
    <x v="2547"/>
    <x v="1"/>
    <x v="1"/>
    <x v="9"/>
    <x v="0"/>
    <x v="0"/>
    <x v="2"/>
  </r>
  <r>
    <x v="275"/>
    <x v="13"/>
    <x v="2749"/>
    <x v="1"/>
    <x v="1"/>
    <x v="9"/>
    <x v="0"/>
    <x v="0"/>
    <x v="2"/>
  </r>
  <r>
    <x v="275"/>
    <x v="14"/>
    <x v="2764"/>
    <x v="1"/>
    <x v="1"/>
    <x v="9"/>
    <x v="0"/>
    <x v="0"/>
    <x v="2"/>
  </r>
  <r>
    <x v="275"/>
    <x v="15"/>
    <x v="2950"/>
    <x v="1"/>
    <x v="1"/>
    <x v="9"/>
    <x v="0"/>
    <x v="0"/>
    <x v="2"/>
  </r>
  <r>
    <x v="275"/>
    <x v="16"/>
    <x v="3155"/>
    <x v="1"/>
    <x v="1"/>
    <x v="9"/>
    <x v="0"/>
    <x v="0"/>
    <x v="0"/>
  </r>
  <r>
    <x v="275"/>
    <x v="17"/>
    <x v="3468"/>
    <x v="1"/>
    <x v="1"/>
    <x v="9"/>
    <x v="0"/>
    <x v="0"/>
    <x v="0"/>
  </r>
  <r>
    <x v="275"/>
    <x v="18"/>
    <x v="3477"/>
    <x v="1"/>
    <x v="1"/>
    <x v="9"/>
    <x v="0"/>
    <x v="0"/>
    <x v="0"/>
  </r>
  <r>
    <x v="275"/>
    <x v="19"/>
    <x v="3454"/>
    <x v="1"/>
    <x v="1"/>
    <x v="9"/>
    <x v="0"/>
    <x v="0"/>
    <x v="0"/>
  </r>
  <r>
    <x v="275"/>
    <x v="20"/>
    <x v="3281"/>
    <x v="1"/>
    <x v="1"/>
    <x v="9"/>
    <x v="0"/>
    <x v="0"/>
    <x v="1"/>
  </r>
  <r>
    <x v="275"/>
    <x v="21"/>
    <x v="3172"/>
    <x v="1"/>
    <x v="1"/>
    <x v="9"/>
    <x v="0"/>
    <x v="0"/>
    <x v="1"/>
  </r>
  <r>
    <x v="275"/>
    <x v="22"/>
    <x v="3356"/>
    <x v="1"/>
    <x v="1"/>
    <x v="9"/>
    <x v="0"/>
    <x v="0"/>
    <x v="1"/>
  </r>
  <r>
    <x v="275"/>
    <x v="23"/>
    <x v="3402"/>
    <x v="1"/>
    <x v="1"/>
    <x v="9"/>
    <x v="0"/>
    <x v="0"/>
    <x v="1"/>
  </r>
  <r>
    <x v="276"/>
    <x v="0"/>
    <x v="3009"/>
    <x v="1"/>
    <x v="1"/>
    <x v="9"/>
    <x v="2"/>
    <x v="1"/>
    <x v="4"/>
  </r>
  <r>
    <x v="276"/>
    <x v="1"/>
    <x v="2286"/>
    <x v="1"/>
    <x v="1"/>
    <x v="9"/>
    <x v="2"/>
    <x v="1"/>
    <x v="4"/>
  </r>
  <r>
    <x v="276"/>
    <x v="2"/>
    <x v="1767"/>
    <x v="1"/>
    <x v="1"/>
    <x v="9"/>
    <x v="2"/>
    <x v="1"/>
    <x v="4"/>
  </r>
  <r>
    <x v="276"/>
    <x v="3"/>
    <x v="1316"/>
    <x v="1"/>
    <x v="1"/>
    <x v="9"/>
    <x v="2"/>
    <x v="1"/>
    <x v="4"/>
  </r>
  <r>
    <x v="276"/>
    <x v="4"/>
    <x v="1093"/>
    <x v="1"/>
    <x v="1"/>
    <x v="9"/>
    <x v="2"/>
    <x v="1"/>
    <x v="4"/>
  </r>
  <r>
    <x v="276"/>
    <x v="5"/>
    <x v="699"/>
    <x v="1"/>
    <x v="1"/>
    <x v="9"/>
    <x v="2"/>
    <x v="1"/>
    <x v="4"/>
  </r>
  <r>
    <x v="276"/>
    <x v="6"/>
    <x v="735"/>
    <x v="1"/>
    <x v="1"/>
    <x v="9"/>
    <x v="2"/>
    <x v="1"/>
    <x v="3"/>
  </r>
  <r>
    <x v="276"/>
    <x v="7"/>
    <x v="781"/>
    <x v="1"/>
    <x v="1"/>
    <x v="9"/>
    <x v="2"/>
    <x v="1"/>
    <x v="3"/>
  </r>
  <r>
    <x v="276"/>
    <x v="8"/>
    <x v="1073"/>
    <x v="1"/>
    <x v="1"/>
    <x v="9"/>
    <x v="2"/>
    <x v="1"/>
    <x v="3"/>
  </r>
  <r>
    <x v="276"/>
    <x v="9"/>
    <x v="1595"/>
    <x v="1"/>
    <x v="1"/>
    <x v="9"/>
    <x v="2"/>
    <x v="1"/>
    <x v="3"/>
  </r>
  <r>
    <x v="276"/>
    <x v="10"/>
    <x v="1905"/>
    <x v="1"/>
    <x v="1"/>
    <x v="9"/>
    <x v="2"/>
    <x v="1"/>
    <x v="2"/>
  </r>
  <r>
    <x v="276"/>
    <x v="11"/>
    <x v="2176"/>
    <x v="1"/>
    <x v="1"/>
    <x v="9"/>
    <x v="2"/>
    <x v="1"/>
    <x v="2"/>
  </r>
  <r>
    <x v="276"/>
    <x v="12"/>
    <x v="2402"/>
    <x v="1"/>
    <x v="1"/>
    <x v="9"/>
    <x v="2"/>
    <x v="1"/>
    <x v="2"/>
  </r>
  <r>
    <x v="276"/>
    <x v="13"/>
    <x v="2423"/>
    <x v="1"/>
    <x v="1"/>
    <x v="9"/>
    <x v="2"/>
    <x v="1"/>
    <x v="2"/>
  </r>
  <r>
    <x v="276"/>
    <x v="14"/>
    <x v="2402"/>
    <x v="1"/>
    <x v="1"/>
    <x v="9"/>
    <x v="2"/>
    <x v="1"/>
    <x v="2"/>
  </r>
  <r>
    <x v="276"/>
    <x v="15"/>
    <x v="2443"/>
    <x v="1"/>
    <x v="1"/>
    <x v="9"/>
    <x v="2"/>
    <x v="1"/>
    <x v="2"/>
  </r>
  <r>
    <x v="276"/>
    <x v="16"/>
    <x v="2870"/>
    <x v="1"/>
    <x v="1"/>
    <x v="9"/>
    <x v="2"/>
    <x v="1"/>
    <x v="0"/>
  </r>
  <r>
    <x v="276"/>
    <x v="17"/>
    <x v="3353"/>
    <x v="1"/>
    <x v="1"/>
    <x v="9"/>
    <x v="2"/>
    <x v="1"/>
    <x v="0"/>
  </r>
  <r>
    <x v="276"/>
    <x v="18"/>
    <x v="3243"/>
    <x v="1"/>
    <x v="1"/>
    <x v="9"/>
    <x v="2"/>
    <x v="1"/>
    <x v="0"/>
  </r>
  <r>
    <x v="276"/>
    <x v="19"/>
    <x v="3466"/>
    <x v="1"/>
    <x v="1"/>
    <x v="9"/>
    <x v="2"/>
    <x v="1"/>
    <x v="0"/>
  </r>
  <r>
    <x v="276"/>
    <x v="20"/>
    <x v="3369"/>
    <x v="1"/>
    <x v="1"/>
    <x v="9"/>
    <x v="2"/>
    <x v="1"/>
    <x v="1"/>
  </r>
  <r>
    <x v="276"/>
    <x v="21"/>
    <x v="3298"/>
    <x v="1"/>
    <x v="1"/>
    <x v="9"/>
    <x v="2"/>
    <x v="1"/>
    <x v="1"/>
  </r>
  <r>
    <x v="276"/>
    <x v="22"/>
    <x v="3395"/>
    <x v="1"/>
    <x v="1"/>
    <x v="9"/>
    <x v="2"/>
    <x v="1"/>
    <x v="1"/>
  </r>
  <r>
    <x v="276"/>
    <x v="23"/>
    <x v="3564"/>
    <x v="1"/>
    <x v="1"/>
    <x v="9"/>
    <x v="2"/>
    <x v="1"/>
    <x v="1"/>
  </r>
  <r>
    <x v="277"/>
    <x v="0"/>
    <x v="3202"/>
    <x v="1"/>
    <x v="1"/>
    <x v="9"/>
    <x v="3"/>
    <x v="1"/>
    <x v="4"/>
  </r>
  <r>
    <x v="277"/>
    <x v="1"/>
    <x v="2534"/>
    <x v="1"/>
    <x v="1"/>
    <x v="9"/>
    <x v="3"/>
    <x v="1"/>
    <x v="4"/>
  </r>
  <r>
    <x v="277"/>
    <x v="2"/>
    <x v="1926"/>
    <x v="1"/>
    <x v="1"/>
    <x v="9"/>
    <x v="3"/>
    <x v="1"/>
    <x v="4"/>
  </r>
  <r>
    <x v="277"/>
    <x v="3"/>
    <x v="1461"/>
    <x v="1"/>
    <x v="1"/>
    <x v="9"/>
    <x v="3"/>
    <x v="1"/>
    <x v="4"/>
  </r>
  <r>
    <x v="277"/>
    <x v="4"/>
    <x v="1099"/>
    <x v="1"/>
    <x v="1"/>
    <x v="9"/>
    <x v="3"/>
    <x v="1"/>
    <x v="4"/>
  </r>
  <r>
    <x v="277"/>
    <x v="5"/>
    <x v="639"/>
    <x v="1"/>
    <x v="1"/>
    <x v="9"/>
    <x v="3"/>
    <x v="1"/>
    <x v="4"/>
  </r>
  <r>
    <x v="277"/>
    <x v="6"/>
    <x v="626"/>
    <x v="1"/>
    <x v="1"/>
    <x v="9"/>
    <x v="3"/>
    <x v="1"/>
    <x v="3"/>
  </r>
  <r>
    <x v="277"/>
    <x v="7"/>
    <x v="638"/>
    <x v="1"/>
    <x v="1"/>
    <x v="9"/>
    <x v="3"/>
    <x v="1"/>
    <x v="3"/>
  </r>
  <r>
    <x v="277"/>
    <x v="8"/>
    <x v="966"/>
    <x v="1"/>
    <x v="1"/>
    <x v="9"/>
    <x v="3"/>
    <x v="1"/>
    <x v="3"/>
  </r>
  <r>
    <x v="277"/>
    <x v="9"/>
    <x v="1441"/>
    <x v="1"/>
    <x v="1"/>
    <x v="9"/>
    <x v="3"/>
    <x v="1"/>
    <x v="3"/>
  </r>
  <r>
    <x v="277"/>
    <x v="10"/>
    <x v="1932"/>
    <x v="1"/>
    <x v="1"/>
    <x v="9"/>
    <x v="3"/>
    <x v="1"/>
    <x v="2"/>
  </r>
  <r>
    <x v="277"/>
    <x v="11"/>
    <x v="2229"/>
    <x v="1"/>
    <x v="1"/>
    <x v="9"/>
    <x v="3"/>
    <x v="1"/>
    <x v="2"/>
  </r>
  <r>
    <x v="277"/>
    <x v="12"/>
    <x v="2410"/>
    <x v="1"/>
    <x v="1"/>
    <x v="9"/>
    <x v="3"/>
    <x v="1"/>
    <x v="2"/>
  </r>
  <r>
    <x v="277"/>
    <x v="13"/>
    <x v="2486"/>
    <x v="1"/>
    <x v="1"/>
    <x v="9"/>
    <x v="3"/>
    <x v="1"/>
    <x v="2"/>
  </r>
  <r>
    <x v="277"/>
    <x v="14"/>
    <x v="2552"/>
    <x v="1"/>
    <x v="1"/>
    <x v="9"/>
    <x v="3"/>
    <x v="1"/>
    <x v="2"/>
  </r>
  <r>
    <x v="277"/>
    <x v="15"/>
    <x v="2526"/>
    <x v="1"/>
    <x v="1"/>
    <x v="9"/>
    <x v="3"/>
    <x v="1"/>
    <x v="2"/>
  </r>
  <r>
    <x v="277"/>
    <x v="16"/>
    <x v="2603"/>
    <x v="1"/>
    <x v="1"/>
    <x v="9"/>
    <x v="3"/>
    <x v="1"/>
    <x v="0"/>
  </r>
  <r>
    <x v="277"/>
    <x v="17"/>
    <x v="2630"/>
    <x v="1"/>
    <x v="1"/>
    <x v="9"/>
    <x v="3"/>
    <x v="1"/>
    <x v="0"/>
  </r>
  <r>
    <x v="277"/>
    <x v="18"/>
    <x v="2625"/>
    <x v="1"/>
    <x v="1"/>
    <x v="9"/>
    <x v="3"/>
    <x v="1"/>
    <x v="0"/>
  </r>
  <r>
    <x v="277"/>
    <x v="19"/>
    <x v="2518"/>
    <x v="1"/>
    <x v="1"/>
    <x v="9"/>
    <x v="3"/>
    <x v="1"/>
    <x v="0"/>
  </r>
  <r>
    <x v="277"/>
    <x v="20"/>
    <x v="2544"/>
    <x v="1"/>
    <x v="1"/>
    <x v="9"/>
    <x v="3"/>
    <x v="1"/>
    <x v="1"/>
  </r>
  <r>
    <x v="277"/>
    <x v="21"/>
    <x v="2517"/>
    <x v="1"/>
    <x v="1"/>
    <x v="9"/>
    <x v="3"/>
    <x v="1"/>
    <x v="1"/>
  </r>
  <r>
    <x v="277"/>
    <x v="22"/>
    <x v="2359"/>
    <x v="1"/>
    <x v="1"/>
    <x v="9"/>
    <x v="3"/>
    <x v="1"/>
    <x v="1"/>
  </r>
  <r>
    <x v="277"/>
    <x v="23"/>
    <x v="1949"/>
    <x v="1"/>
    <x v="1"/>
    <x v="9"/>
    <x v="3"/>
    <x v="1"/>
    <x v="1"/>
  </r>
  <r>
    <x v="278"/>
    <x v="0"/>
    <x v="1166"/>
    <x v="1"/>
    <x v="1"/>
    <x v="9"/>
    <x v="1"/>
    <x v="0"/>
    <x v="4"/>
  </r>
  <r>
    <x v="278"/>
    <x v="1"/>
    <x v="618"/>
    <x v="1"/>
    <x v="1"/>
    <x v="9"/>
    <x v="1"/>
    <x v="0"/>
    <x v="4"/>
  </r>
  <r>
    <x v="278"/>
    <x v="2"/>
    <x v="325"/>
    <x v="1"/>
    <x v="1"/>
    <x v="9"/>
    <x v="1"/>
    <x v="0"/>
    <x v="4"/>
  </r>
  <r>
    <x v="278"/>
    <x v="3"/>
    <x v="257"/>
    <x v="1"/>
    <x v="1"/>
    <x v="9"/>
    <x v="1"/>
    <x v="0"/>
    <x v="4"/>
  </r>
  <r>
    <x v="278"/>
    <x v="4"/>
    <x v="528"/>
    <x v="1"/>
    <x v="1"/>
    <x v="9"/>
    <x v="1"/>
    <x v="0"/>
    <x v="4"/>
  </r>
  <r>
    <x v="278"/>
    <x v="5"/>
    <x v="961"/>
    <x v="1"/>
    <x v="1"/>
    <x v="9"/>
    <x v="1"/>
    <x v="0"/>
    <x v="4"/>
  </r>
  <r>
    <x v="278"/>
    <x v="6"/>
    <x v="1586"/>
    <x v="1"/>
    <x v="1"/>
    <x v="9"/>
    <x v="1"/>
    <x v="0"/>
    <x v="3"/>
  </r>
  <r>
    <x v="278"/>
    <x v="7"/>
    <x v="2161"/>
    <x v="1"/>
    <x v="1"/>
    <x v="9"/>
    <x v="1"/>
    <x v="0"/>
    <x v="3"/>
  </r>
  <r>
    <x v="278"/>
    <x v="8"/>
    <x v="2566"/>
    <x v="1"/>
    <x v="1"/>
    <x v="9"/>
    <x v="1"/>
    <x v="0"/>
    <x v="3"/>
  </r>
  <r>
    <x v="278"/>
    <x v="9"/>
    <x v="2437"/>
    <x v="1"/>
    <x v="1"/>
    <x v="9"/>
    <x v="1"/>
    <x v="0"/>
    <x v="3"/>
  </r>
  <r>
    <x v="278"/>
    <x v="10"/>
    <x v="2038"/>
    <x v="1"/>
    <x v="1"/>
    <x v="9"/>
    <x v="1"/>
    <x v="0"/>
    <x v="2"/>
  </r>
  <r>
    <x v="278"/>
    <x v="11"/>
    <x v="1842"/>
    <x v="1"/>
    <x v="1"/>
    <x v="9"/>
    <x v="1"/>
    <x v="0"/>
    <x v="2"/>
  </r>
  <r>
    <x v="278"/>
    <x v="12"/>
    <x v="1768"/>
    <x v="1"/>
    <x v="1"/>
    <x v="9"/>
    <x v="1"/>
    <x v="0"/>
    <x v="2"/>
  </r>
  <r>
    <x v="278"/>
    <x v="13"/>
    <x v="1782"/>
    <x v="1"/>
    <x v="1"/>
    <x v="9"/>
    <x v="1"/>
    <x v="0"/>
    <x v="2"/>
  </r>
  <r>
    <x v="278"/>
    <x v="14"/>
    <x v="1847"/>
    <x v="1"/>
    <x v="1"/>
    <x v="9"/>
    <x v="1"/>
    <x v="0"/>
    <x v="2"/>
  </r>
  <r>
    <x v="278"/>
    <x v="15"/>
    <x v="2096"/>
    <x v="1"/>
    <x v="1"/>
    <x v="9"/>
    <x v="1"/>
    <x v="0"/>
    <x v="2"/>
  </r>
  <r>
    <x v="278"/>
    <x v="16"/>
    <x v="2282"/>
    <x v="1"/>
    <x v="1"/>
    <x v="9"/>
    <x v="1"/>
    <x v="0"/>
    <x v="0"/>
  </r>
  <r>
    <x v="278"/>
    <x v="17"/>
    <x v="2531"/>
    <x v="1"/>
    <x v="1"/>
    <x v="9"/>
    <x v="1"/>
    <x v="0"/>
    <x v="0"/>
  </r>
  <r>
    <x v="278"/>
    <x v="18"/>
    <x v="2895"/>
    <x v="1"/>
    <x v="1"/>
    <x v="9"/>
    <x v="1"/>
    <x v="0"/>
    <x v="0"/>
  </r>
  <r>
    <x v="278"/>
    <x v="19"/>
    <x v="2787"/>
    <x v="1"/>
    <x v="1"/>
    <x v="9"/>
    <x v="1"/>
    <x v="0"/>
    <x v="0"/>
  </r>
  <r>
    <x v="278"/>
    <x v="20"/>
    <x v="2880"/>
    <x v="1"/>
    <x v="1"/>
    <x v="9"/>
    <x v="1"/>
    <x v="0"/>
    <x v="1"/>
  </r>
  <r>
    <x v="278"/>
    <x v="21"/>
    <x v="2764"/>
    <x v="1"/>
    <x v="1"/>
    <x v="9"/>
    <x v="1"/>
    <x v="0"/>
    <x v="1"/>
  </r>
  <r>
    <x v="278"/>
    <x v="22"/>
    <x v="2461"/>
    <x v="1"/>
    <x v="1"/>
    <x v="9"/>
    <x v="1"/>
    <x v="0"/>
    <x v="1"/>
  </r>
  <r>
    <x v="278"/>
    <x v="23"/>
    <x v="2236"/>
    <x v="1"/>
    <x v="1"/>
    <x v="9"/>
    <x v="1"/>
    <x v="0"/>
    <x v="1"/>
  </r>
  <r>
    <x v="279"/>
    <x v="0"/>
    <x v="1430"/>
    <x v="1"/>
    <x v="1"/>
    <x v="9"/>
    <x v="5"/>
    <x v="0"/>
    <x v="4"/>
  </r>
  <r>
    <x v="279"/>
    <x v="1"/>
    <x v="727"/>
    <x v="1"/>
    <x v="1"/>
    <x v="9"/>
    <x v="5"/>
    <x v="0"/>
    <x v="4"/>
  </r>
  <r>
    <x v="279"/>
    <x v="2"/>
    <x v="360"/>
    <x v="1"/>
    <x v="1"/>
    <x v="9"/>
    <x v="5"/>
    <x v="0"/>
    <x v="4"/>
  </r>
  <r>
    <x v="279"/>
    <x v="3"/>
    <x v="267"/>
    <x v="1"/>
    <x v="1"/>
    <x v="9"/>
    <x v="5"/>
    <x v="0"/>
    <x v="4"/>
  </r>
  <r>
    <x v="279"/>
    <x v="4"/>
    <x v="445"/>
    <x v="1"/>
    <x v="1"/>
    <x v="9"/>
    <x v="5"/>
    <x v="0"/>
    <x v="4"/>
  </r>
  <r>
    <x v="279"/>
    <x v="5"/>
    <x v="755"/>
    <x v="1"/>
    <x v="1"/>
    <x v="9"/>
    <x v="5"/>
    <x v="0"/>
    <x v="4"/>
  </r>
  <r>
    <x v="279"/>
    <x v="6"/>
    <x v="1404"/>
    <x v="1"/>
    <x v="1"/>
    <x v="9"/>
    <x v="5"/>
    <x v="0"/>
    <x v="3"/>
  </r>
  <r>
    <x v="279"/>
    <x v="7"/>
    <x v="2246"/>
    <x v="1"/>
    <x v="1"/>
    <x v="9"/>
    <x v="5"/>
    <x v="0"/>
    <x v="3"/>
  </r>
  <r>
    <x v="279"/>
    <x v="8"/>
    <x v="2908"/>
    <x v="1"/>
    <x v="1"/>
    <x v="9"/>
    <x v="5"/>
    <x v="0"/>
    <x v="3"/>
  </r>
  <r>
    <x v="279"/>
    <x v="9"/>
    <x v="2693"/>
    <x v="1"/>
    <x v="1"/>
    <x v="9"/>
    <x v="5"/>
    <x v="0"/>
    <x v="3"/>
  </r>
  <r>
    <x v="279"/>
    <x v="10"/>
    <x v="2100"/>
    <x v="1"/>
    <x v="1"/>
    <x v="9"/>
    <x v="5"/>
    <x v="0"/>
    <x v="2"/>
  </r>
  <r>
    <x v="279"/>
    <x v="11"/>
    <x v="1937"/>
    <x v="1"/>
    <x v="1"/>
    <x v="9"/>
    <x v="5"/>
    <x v="0"/>
    <x v="2"/>
  </r>
  <r>
    <x v="279"/>
    <x v="12"/>
    <x v="1973"/>
    <x v="1"/>
    <x v="1"/>
    <x v="9"/>
    <x v="5"/>
    <x v="0"/>
    <x v="2"/>
  </r>
  <r>
    <x v="279"/>
    <x v="13"/>
    <x v="1943"/>
    <x v="1"/>
    <x v="1"/>
    <x v="9"/>
    <x v="5"/>
    <x v="0"/>
    <x v="2"/>
  </r>
  <r>
    <x v="279"/>
    <x v="14"/>
    <x v="2127"/>
    <x v="1"/>
    <x v="1"/>
    <x v="9"/>
    <x v="5"/>
    <x v="0"/>
    <x v="2"/>
  </r>
  <r>
    <x v="279"/>
    <x v="15"/>
    <x v="2366"/>
    <x v="1"/>
    <x v="1"/>
    <x v="9"/>
    <x v="5"/>
    <x v="0"/>
    <x v="2"/>
  </r>
  <r>
    <x v="279"/>
    <x v="16"/>
    <x v="2645"/>
    <x v="1"/>
    <x v="1"/>
    <x v="9"/>
    <x v="5"/>
    <x v="0"/>
    <x v="0"/>
  </r>
  <r>
    <x v="279"/>
    <x v="17"/>
    <x v="3129"/>
    <x v="1"/>
    <x v="1"/>
    <x v="9"/>
    <x v="5"/>
    <x v="0"/>
    <x v="0"/>
  </r>
  <r>
    <x v="279"/>
    <x v="18"/>
    <x v="3651"/>
    <x v="1"/>
    <x v="1"/>
    <x v="9"/>
    <x v="5"/>
    <x v="0"/>
    <x v="0"/>
  </r>
  <r>
    <x v="279"/>
    <x v="19"/>
    <x v="4046"/>
    <x v="1"/>
    <x v="1"/>
    <x v="9"/>
    <x v="5"/>
    <x v="0"/>
    <x v="0"/>
  </r>
  <r>
    <x v="279"/>
    <x v="20"/>
    <x v="3784"/>
    <x v="1"/>
    <x v="1"/>
    <x v="9"/>
    <x v="5"/>
    <x v="0"/>
    <x v="1"/>
  </r>
  <r>
    <x v="279"/>
    <x v="21"/>
    <x v="3504"/>
    <x v="1"/>
    <x v="1"/>
    <x v="9"/>
    <x v="5"/>
    <x v="0"/>
    <x v="1"/>
  </r>
  <r>
    <x v="279"/>
    <x v="22"/>
    <x v="3285"/>
    <x v="1"/>
    <x v="1"/>
    <x v="9"/>
    <x v="5"/>
    <x v="0"/>
    <x v="1"/>
  </r>
  <r>
    <x v="279"/>
    <x v="23"/>
    <x v="2676"/>
    <x v="1"/>
    <x v="1"/>
    <x v="9"/>
    <x v="5"/>
    <x v="0"/>
    <x v="1"/>
  </r>
  <r>
    <x v="280"/>
    <x v="0"/>
    <x v="1805"/>
    <x v="1"/>
    <x v="1"/>
    <x v="9"/>
    <x v="6"/>
    <x v="0"/>
    <x v="4"/>
  </r>
  <r>
    <x v="280"/>
    <x v="1"/>
    <x v="857"/>
    <x v="1"/>
    <x v="1"/>
    <x v="9"/>
    <x v="6"/>
    <x v="0"/>
    <x v="4"/>
  </r>
  <r>
    <x v="280"/>
    <x v="2"/>
    <x v="520"/>
    <x v="1"/>
    <x v="1"/>
    <x v="9"/>
    <x v="6"/>
    <x v="0"/>
    <x v="4"/>
  </r>
  <r>
    <x v="280"/>
    <x v="3"/>
    <x v="355"/>
    <x v="1"/>
    <x v="1"/>
    <x v="9"/>
    <x v="6"/>
    <x v="0"/>
    <x v="4"/>
  </r>
  <r>
    <x v="280"/>
    <x v="4"/>
    <x v="510"/>
    <x v="1"/>
    <x v="1"/>
    <x v="9"/>
    <x v="6"/>
    <x v="0"/>
    <x v="4"/>
  </r>
  <r>
    <x v="280"/>
    <x v="5"/>
    <x v="829"/>
    <x v="1"/>
    <x v="1"/>
    <x v="9"/>
    <x v="6"/>
    <x v="0"/>
    <x v="4"/>
  </r>
  <r>
    <x v="280"/>
    <x v="6"/>
    <x v="1505"/>
    <x v="1"/>
    <x v="1"/>
    <x v="9"/>
    <x v="6"/>
    <x v="0"/>
    <x v="3"/>
  </r>
  <r>
    <x v="280"/>
    <x v="7"/>
    <x v="2304"/>
    <x v="1"/>
    <x v="1"/>
    <x v="9"/>
    <x v="6"/>
    <x v="0"/>
    <x v="3"/>
  </r>
  <r>
    <x v="280"/>
    <x v="8"/>
    <x v="2864"/>
    <x v="1"/>
    <x v="1"/>
    <x v="9"/>
    <x v="6"/>
    <x v="0"/>
    <x v="3"/>
  </r>
  <r>
    <x v="280"/>
    <x v="9"/>
    <x v="2786"/>
    <x v="1"/>
    <x v="1"/>
    <x v="9"/>
    <x v="6"/>
    <x v="0"/>
    <x v="3"/>
  </r>
  <r>
    <x v="280"/>
    <x v="10"/>
    <x v="2154"/>
    <x v="1"/>
    <x v="1"/>
    <x v="9"/>
    <x v="6"/>
    <x v="0"/>
    <x v="2"/>
  </r>
  <r>
    <x v="280"/>
    <x v="11"/>
    <x v="2146"/>
    <x v="1"/>
    <x v="1"/>
    <x v="9"/>
    <x v="6"/>
    <x v="0"/>
    <x v="2"/>
  </r>
  <r>
    <x v="280"/>
    <x v="12"/>
    <x v="2124"/>
    <x v="1"/>
    <x v="1"/>
    <x v="9"/>
    <x v="6"/>
    <x v="0"/>
    <x v="2"/>
  </r>
  <r>
    <x v="280"/>
    <x v="13"/>
    <x v="2107"/>
    <x v="1"/>
    <x v="1"/>
    <x v="9"/>
    <x v="6"/>
    <x v="0"/>
    <x v="2"/>
  </r>
  <r>
    <x v="280"/>
    <x v="14"/>
    <x v="2296"/>
    <x v="1"/>
    <x v="1"/>
    <x v="9"/>
    <x v="6"/>
    <x v="0"/>
    <x v="2"/>
  </r>
  <r>
    <x v="280"/>
    <x v="15"/>
    <x v="2564"/>
    <x v="1"/>
    <x v="1"/>
    <x v="9"/>
    <x v="6"/>
    <x v="0"/>
    <x v="2"/>
  </r>
  <r>
    <x v="280"/>
    <x v="16"/>
    <x v="2797"/>
    <x v="1"/>
    <x v="1"/>
    <x v="9"/>
    <x v="6"/>
    <x v="0"/>
    <x v="0"/>
  </r>
  <r>
    <x v="280"/>
    <x v="17"/>
    <x v="3201"/>
    <x v="1"/>
    <x v="1"/>
    <x v="9"/>
    <x v="6"/>
    <x v="0"/>
    <x v="0"/>
  </r>
  <r>
    <x v="280"/>
    <x v="18"/>
    <x v="3585"/>
    <x v="1"/>
    <x v="1"/>
    <x v="9"/>
    <x v="6"/>
    <x v="0"/>
    <x v="0"/>
  </r>
  <r>
    <x v="280"/>
    <x v="19"/>
    <x v="3721"/>
    <x v="1"/>
    <x v="1"/>
    <x v="9"/>
    <x v="6"/>
    <x v="0"/>
    <x v="0"/>
  </r>
  <r>
    <x v="280"/>
    <x v="20"/>
    <x v="3776"/>
    <x v="1"/>
    <x v="1"/>
    <x v="9"/>
    <x v="6"/>
    <x v="0"/>
    <x v="1"/>
  </r>
  <r>
    <x v="280"/>
    <x v="21"/>
    <x v="3714"/>
    <x v="1"/>
    <x v="1"/>
    <x v="9"/>
    <x v="6"/>
    <x v="0"/>
    <x v="1"/>
  </r>
  <r>
    <x v="280"/>
    <x v="22"/>
    <x v="3616"/>
    <x v="1"/>
    <x v="1"/>
    <x v="9"/>
    <x v="6"/>
    <x v="0"/>
    <x v="1"/>
  </r>
  <r>
    <x v="280"/>
    <x v="23"/>
    <x v="3218"/>
    <x v="1"/>
    <x v="1"/>
    <x v="9"/>
    <x v="6"/>
    <x v="0"/>
    <x v="1"/>
  </r>
  <r>
    <x v="281"/>
    <x v="0"/>
    <x v="2016"/>
    <x v="1"/>
    <x v="1"/>
    <x v="9"/>
    <x v="4"/>
    <x v="0"/>
    <x v="4"/>
  </r>
  <r>
    <x v="281"/>
    <x v="1"/>
    <x v="1089"/>
    <x v="1"/>
    <x v="1"/>
    <x v="9"/>
    <x v="4"/>
    <x v="0"/>
    <x v="4"/>
  </r>
  <r>
    <x v="281"/>
    <x v="2"/>
    <x v="563"/>
    <x v="1"/>
    <x v="1"/>
    <x v="9"/>
    <x v="4"/>
    <x v="0"/>
    <x v="4"/>
  </r>
  <r>
    <x v="281"/>
    <x v="3"/>
    <x v="425"/>
    <x v="1"/>
    <x v="1"/>
    <x v="9"/>
    <x v="4"/>
    <x v="0"/>
    <x v="4"/>
  </r>
  <r>
    <x v="281"/>
    <x v="4"/>
    <x v="632"/>
    <x v="1"/>
    <x v="1"/>
    <x v="9"/>
    <x v="4"/>
    <x v="0"/>
    <x v="4"/>
  </r>
  <r>
    <x v="281"/>
    <x v="5"/>
    <x v="941"/>
    <x v="1"/>
    <x v="1"/>
    <x v="9"/>
    <x v="4"/>
    <x v="0"/>
    <x v="4"/>
  </r>
  <r>
    <x v="281"/>
    <x v="6"/>
    <x v="1538"/>
    <x v="1"/>
    <x v="1"/>
    <x v="9"/>
    <x v="4"/>
    <x v="0"/>
    <x v="3"/>
  </r>
  <r>
    <x v="281"/>
    <x v="7"/>
    <x v="2346"/>
    <x v="1"/>
    <x v="1"/>
    <x v="9"/>
    <x v="4"/>
    <x v="0"/>
    <x v="3"/>
  </r>
  <r>
    <x v="281"/>
    <x v="8"/>
    <x v="2943"/>
    <x v="1"/>
    <x v="1"/>
    <x v="9"/>
    <x v="4"/>
    <x v="0"/>
    <x v="3"/>
  </r>
  <r>
    <x v="281"/>
    <x v="9"/>
    <x v="2942"/>
    <x v="1"/>
    <x v="1"/>
    <x v="9"/>
    <x v="4"/>
    <x v="0"/>
    <x v="3"/>
  </r>
  <r>
    <x v="281"/>
    <x v="10"/>
    <x v="2431"/>
    <x v="1"/>
    <x v="1"/>
    <x v="9"/>
    <x v="4"/>
    <x v="0"/>
    <x v="2"/>
  </r>
  <r>
    <x v="281"/>
    <x v="11"/>
    <x v="2189"/>
    <x v="1"/>
    <x v="1"/>
    <x v="9"/>
    <x v="4"/>
    <x v="0"/>
    <x v="2"/>
  </r>
  <r>
    <x v="281"/>
    <x v="12"/>
    <x v="2326"/>
    <x v="1"/>
    <x v="1"/>
    <x v="9"/>
    <x v="4"/>
    <x v="0"/>
    <x v="2"/>
  </r>
  <r>
    <x v="281"/>
    <x v="13"/>
    <x v="2238"/>
    <x v="1"/>
    <x v="1"/>
    <x v="9"/>
    <x v="4"/>
    <x v="0"/>
    <x v="2"/>
  </r>
  <r>
    <x v="281"/>
    <x v="14"/>
    <x v="2498"/>
    <x v="1"/>
    <x v="1"/>
    <x v="9"/>
    <x v="4"/>
    <x v="0"/>
    <x v="2"/>
  </r>
  <r>
    <x v="281"/>
    <x v="15"/>
    <x v="2750"/>
    <x v="1"/>
    <x v="1"/>
    <x v="9"/>
    <x v="4"/>
    <x v="0"/>
    <x v="2"/>
  </r>
  <r>
    <x v="281"/>
    <x v="16"/>
    <x v="3052"/>
    <x v="1"/>
    <x v="1"/>
    <x v="9"/>
    <x v="4"/>
    <x v="0"/>
    <x v="0"/>
  </r>
  <r>
    <x v="281"/>
    <x v="17"/>
    <x v="3426"/>
    <x v="1"/>
    <x v="1"/>
    <x v="9"/>
    <x v="4"/>
    <x v="0"/>
    <x v="0"/>
  </r>
  <r>
    <x v="281"/>
    <x v="18"/>
    <x v="3761"/>
    <x v="1"/>
    <x v="1"/>
    <x v="9"/>
    <x v="4"/>
    <x v="0"/>
    <x v="0"/>
  </r>
  <r>
    <x v="281"/>
    <x v="19"/>
    <x v="3822"/>
    <x v="1"/>
    <x v="1"/>
    <x v="9"/>
    <x v="4"/>
    <x v="0"/>
    <x v="0"/>
  </r>
  <r>
    <x v="281"/>
    <x v="20"/>
    <x v="3725"/>
    <x v="1"/>
    <x v="1"/>
    <x v="9"/>
    <x v="4"/>
    <x v="0"/>
    <x v="1"/>
  </r>
  <r>
    <x v="281"/>
    <x v="21"/>
    <x v="3764"/>
    <x v="1"/>
    <x v="1"/>
    <x v="9"/>
    <x v="4"/>
    <x v="0"/>
    <x v="1"/>
  </r>
  <r>
    <x v="281"/>
    <x v="22"/>
    <x v="3724"/>
    <x v="1"/>
    <x v="1"/>
    <x v="9"/>
    <x v="4"/>
    <x v="0"/>
    <x v="1"/>
  </r>
  <r>
    <x v="281"/>
    <x v="23"/>
    <x v="3404"/>
    <x v="1"/>
    <x v="1"/>
    <x v="9"/>
    <x v="4"/>
    <x v="0"/>
    <x v="1"/>
  </r>
  <r>
    <x v="282"/>
    <x v="0"/>
    <x v="2594"/>
    <x v="1"/>
    <x v="1"/>
    <x v="9"/>
    <x v="0"/>
    <x v="0"/>
    <x v="4"/>
  </r>
  <r>
    <x v="282"/>
    <x v="1"/>
    <x v="1591"/>
    <x v="1"/>
    <x v="1"/>
    <x v="9"/>
    <x v="0"/>
    <x v="0"/>
    <x v="4"/>
  </r>
  <r>
    <x v="282"/>
    <x v="2"/>
    <x v="876"/>
    <x v="1"/>
    <x v="1"/>
    <x v="9"/>
    <x v="0"/>
    <x v="0"/>
    <x v="4"/>
  </r>
  <r>
    <x v="282"/>
    <x v="3"/>
    <x v="624"/>
    <x v="1"/>
    <x v="1"/>
    <x v="9"/>
    <x v="0"/>
    <x v="0"/>
    <x v="4"/>
  </r>
  <r>
    <x v="282"/>
    <x v="4"/>
    <x v="789"/>
    <x v="1"/>
    <x v="1"/>
    <x v="9"/>
    <x v="0"/>
    <x v="0"/>
    <x v="4"/>
  </r>
  <r>
    <x v="282"/>
    <x v="5"/>
    <x v="1054"/>
    <x v="1"/>
    <x v="1"/>
    <x v="9"/>
    <x v="0"/>
    <x v="0"/>
    <x v="4"/>
  </r>
  <r>
    <x v="282"/>
    <x v="6"/>
    <x v="1782"/>
    <x v="1"/>
    <x v="1"/>
    <x v="9"/>
    <x v="0"/>
    <x v="0"/>
    <x v="3"/>
  </r>
  <r>
    <x v="282"/>
    <x v="7"/>
    <x v="2350"/>
    <x v="1"/>
    <x v="1"/>
    <x v="9"/>
    <x v="0"/>
    <x v="0"/>
    <x v="3"/>
  </r>
  <r>
    <x v="282"/>
    <x v="8"/>
    <x v="2898"/>
    <x v="1"/>
    <x v="1"/>
    <x v="9"/>
    <x v="0"/>
    <x v="0"/>
    <x v="3"/>
  </r>
  <r>
    <x v="282"/>
    <x v="9"/>
    <x v="2982"/>
    <x v="1"/>
    <x v="1"/>
    <x v="9"/>
    <x v="0"/>
    <x v="0"/>
    <x v="3"/>
  </r>
  <r>
    <x v="282"/>
    <x v="10"/>
    <x v="2507"/>
    <x v="1"/>
    <x v="1"/>
    <x v="9"/>
    <x v="0"/>
    <x v="0"/>
    <x v="2"/>
  </r>
  <r>
    <x v="282"/>
    <x v="11"/>
    <x v="2223"/>
    <x v="1"/>
    <x v="1"/>
    <x v="9"/>
    <x v="0"/>
    <x v="0"/>
    <x v="2"/>
  </r>
  <r>
    <x v="282"/>
    <x v="12"/>
    <x v="2323"/>
    <x v="1"/>
    <x v="1"/>
    <x v="9"/>
    <x v="0"/>
    <x v="0"/>
    <x v="2"/>
  </r>
  <r>
    <x v="282"/>
    <x v="13"/>
    <x v="2288"/>
    <x v="1"/>
    <x v="1"/>
    <x v="9"/>
    <x v="0"/>
    <x v="0"/>
    <x v="2"/>
  </r>
  <r>
    <x v="282"/>
    <x v="14"/>
    <x v="2476"/>
    <x v="1"/>
    <x v="1"/>
    <x v="9"/>
    <x v="0"/>
    <x v="0"/>
    <x v="2"/>
  </r>
  <r>
    <x v="282"/>
    <x v="15"/>
    <x v="2753"/>
    <x v="1"/>
    <x v="1"/>
    <x v="9"/>
    <x v="0"/>
    <x v="0"/>
    <x v="2"/>
  </r>
  <r>
    <x v="282"/>
    <x v="16"/>
    <x v="3049"/>
    <x v="1"/>
    <x v="1"/>
    <x v="9"/>
    <x v="0"/>
    <x v="0"/>
    <x v="0"/>
  </r>
  <r>
    <x v="282"/>
    <x v="17"/>
    <x v="3470"/>
    <x v="1"/>
    <x v="1"/>
    <x v="9"/>
    <x v="0"/>
    <x v="0"/>
    <x v="0"/>
  </r>
  <r>
    <x v="282"/>
    <x v="18"/>
    <x v="3711"/>
    <x v="1"/>
    <x v="1"/>
    <x v="9"/>
    <x v="0"/>
    <x v="0"/>
    <x v="0"/>
  </r>
  <r>
    <x v="282"/>
    <x v="19"/>
    <x v="3861"/>
    <x v="1"/>
    <x v="1"/>
    <x v="9"/>
    <x v="0"/>
    <x v="0"/>
    <x v="0"/>
  </r>
  <r>
    <x v="282"/>
    <x v="20"/>
    <x v="3799"/>
    <x v="1"/>
    <x v="1"/>
    <x v="9"/>
    <x v="0"/>
    <x v="0"/>
    <x v="1"/>
  </r>
  <r>
    <x v="282"/>
    <x v="21"/>
    <x v="3645"/>
    <x v="1"/>
    <x v="1"/>
    <x v="9"/>
    <x v="0"/>
    <x v="0"/>
    <x v="1"/>
  </r>
  <r>
    <x v="282"/>
    <x v="22"/>
    <x v="3736"/>
    <x v="1"/>
    <x v="1"/>
    <x v="9"/>
    <x v="0"/>
    <x v="0"/>
    <x v="1"/>
  </r>
  <r>
    <x v="282"/>
    <x v="23"/>
    <x v="3842"/>
    <x v="1"/>
    <x v="1"/>
    <x v="9"/>
    <x v="0"/>
    <x v="0"/>
    <x v="1"/>
  </r>
  <r>
    <x v="283"/>
    <x v="0"/>
    <x v="3577"/>
    <x v="1"/>
    <x v="1"/>
    <x v="9"/>
    <x v="2"/>
    <x v="1"/>
    <x v="4"/>
  </r>
  <r>
    <x v="283"/>
    <x v="1"/>
    <x v="2834"/>
    <x v="1"/>
    <x v="1"/>
    <x v="9"/>
    <x v="2"/>
    <x v="1"/>
    <x v="4"/>
  </r>
  <r>
    <x v="283"/>
    <x v="2"/>
    <x v="2233"/>
    <x v="1"/>
    <x v="1"/>
    <x v="9"/>
    <x v="2"/>
    <x v="1"/>
    <x v="4"/>
  </r>
  <r>
    <x v="283"/>
    <x v="3"/>
    <x v="1564"/>
    <x v="1"/>
    <x v="1"/>
    <x v="9"/>
    <x v="2"/>
    <x v="1"/>
    <x v="4"/>
  </r>
  <r>
    <x v="283"/>
    <x v="4"/>
    <x v="1166"/>
    <x v="1"/>
    <x v="1"/>
    <x v="9"/>
    <x v="2"/>
    <x v="1"/>
    <x v="4"/>
  </r>
  <r>
    <x v="283"/>
    <x v="5"/>
    <x v="754"/>
    <x v="1"/>
    <x v="1"/>
    <x v="9"/>
    <x v="2"/>
    <x v="1"/>
    <x v="4"/>
  </r>
  <r>
    <x v="283"/>
    <x v="6"/>
    <x v="851"/>
    <x v="1"/>
    <x v="1"/>
    <x v="9"/>
    <x v="2"/>
    <x v="1"/>
    <x v="3"/>
  </r>
  <r>
    <x v="283"/>
    <x v="7"/>
    <x v="967"/>
    <x v="1"/>
    <x v="1"/>
    <x v="9"/>
    <x v="2"/>
    <x v="1"/>
    <x v="3"/>
  </r>
  <r>
    <x v="283"/>
    <x v="8"/>
    <x v="1362"/>
    <x v="1"/>
    <x v="1"/>
    <x v="9"/>
    <x v="2"/>
    <x v="1"/>
    <x v="3"/>
  </r>
  <r>
    <x v="283"/>
    <x v="9"/>
    <x v="1785"/>
    <x v="1"/>
    <x v="1"/>
    <x v="9"/>
    <x v="2"/>
    <x v="1"/>
    <x v="3"/>
  </r>
  <r>
    <x v="283"/>
    <x v="10"/>
    <x v="2057"/>
    <x v="1"/>
    <x v="1"/>
    <x v="9"/>
    <x v="2"/>
    <x v="1"/>
    <x v="2"/>
  </r>
  <r>
    <x v="283"/>
    <x v="11"/>
    <x v="2313"/>
    <x v="1"/>
    <x v="1"/>
    <x v="9"/>
    <x v="2"/>
    <x v="1"/>
    <x v="2"/>
  </r>
  <r>
    <x v="283"/>
    <x v="12"/>
    <x v="2490"/>
    <x v="1"/>
    <x v="1"/>
    <x v="9"/>
    <x v="2"/>
    <x v="1"/>
    <x v="2"/>
  </r>
  <r>
    <x v="283"/>
    <x v="13"/>
    <x v="2387"/>
    <x v="1"/>
    <x v="1"/>
    <x v="9"/>
    <x v="2"/>
    <x v="1"/>
    <x v="2"/>
  </r>
  <r>
    <x v="283"/>
    <x v="14"/>
    <x v="2548"/>
    <x v="1"/>
    <x v="1"/>
    <x v="9"/>
    <x v="2"/>
    <x v="1"/>
    <x v="2"/>
  </r>
  <r>
    <x v="283"/>
    <x v="15"/>
    <x v="2704"/>
    <x v="1"/>
    <x v="1"/>
    <x v="9"/>
    <x v="2"/>
    <x v="1"/>
    <x v="2"/>
  </r>
  <r>
    <x v="283"/>
    <x v="16"/>
    <x v="3066"/>
    <x v="1"/>
    <x v="1"/>
    <x v="9"/>
    <x v="2"/>
    <x v="1"/>
    <x v="0"/>
  </r>
  <r>
    <x v="283"/>
    <x v="17"/>
    <x v="3394"/>
    <x v="1"/>
    <x v="1"/>
    <x v="9"/>
    <x v="2"/>
    <x v="1"/>
    <x v="0"/>
  </r>
  <r>
    <x v="283"/>
    <x v="18"/>
    <x v="3625"/>
    <x v="1"/>
    <x v="1"/>
    <x v="9"/>
    <x v="2"/>
    <x v="1"/>
    <x v="0"/>
  </r>
  <r>
    <x v="283"/>
    <x v="19"/>
    <x v="3796"/>
    <x v="1"/>
    <x v="1"/>
    <x v="9"/>
    <x v="2"/>
    <x v="1"/>
    <x v="0"/>
  </r>
  <r>
    <x v="283"/>
    <x v="20"/>
    <x v="3885"/>
    <x v="1"/>
    <x v="1"/>
    <x v="9"/>
    <x v="2"/>
    <x v="1"/>
    <x v="1"/>
  </r>
  <r>
    <x v="283"/>
    <x v="21"/>
    <x v="3787"/>
    <x v="1"/>
    <x v="1"/>
    <x v="9"/>
    <x v="2"/>
    <x v="1"/>
    <x v="1"/>
  </r>
  <r>
    <x v="283"/>
    <x v="22"/>
    <x v="3952"/>
    <x v="1"/>
    <x v="1"/>
    <x v="9"/>
    <x v="2"/>
    <x v="1"/>
    <x v="1"/>
  </r>
  <r>
    <x v="283"/>
    <x v="23"/>
    <x v="4026"/>
    <x v="1"/>
    <x v="1"/>
    <x v="9"/>
    <x v="2"/>
    <x v="1"/>
    <x v="1"/>
  </r>
  <r>
    <x v="284"/>
    <x v="0"/>
    <x v="3897"/>
    <x v="1"/>
    <x v="1"/>
    <x v="9"/>
    <x v="3"/>
    <x v="1"/>
    <x v="4"/>
  </r>
  <r>
    <x v="284"/>
    <x v="1"/>
    <x v="3549"/>
    <x v="1"/>
    <x v="1"/>
    <x v="9"/>
    <x v="3"/>
    <x v="1"/>
    <x v="4"/>
  </r>
  <r>
    <x v="284"/>
    <x v="2"/>
    <x v="2889"/>
    <x v="1"/>
    <x v="1"/>
    <x v="9"/>
    <x v="3"/>
    <x v="1"/>
    <x v="4"/>
  </r>
  <r>
    <x v="284"/>
    <x v="3"/>
    <x v="2054"/>
    <x v="1"/>
    <x v="1"/>
    <x v="9"/>
    <x v="3"/>
    <x v="1"/>
    <x v="4"/>
  </r>
  <r>
    <x v="284"/>
    <x v="4"/>
    <x v="1436"/>
    <x v="1"/>
    <x v="1"/>
    <x v="9"/>
    <x v="3"/>
    <x v="1"/>
    <x v="4"/>
  </r>
  <r>
    <x v="284"/>
    <x v="5"/>
    <x v="915"/>
    <x v="1"/>
    <x v="1"/>
    <x v="9"/>
    <x v="3"/>
    <x v="1"/>
    <x v="4"/>
  </r>
  <r>
    <x v="284"/>
    <x v="6"/>
    <x v="856"/>
    <x v="1"/>
    <x v="1"/>
    <x v="9"/>
    <x v="3"/>
    <x v="1"/>
    <x v="3"/>
  </r>
  <r>
    <x v="284"/>
    <x v="7"/>
    <x v="916"/>
    <x v="1"/>
    <x v="1"/>
    <x v="9"/>
    <x v="3"/>
    <x v="1"/>
    <x v="3"/>
  </r>
  <r>
    <x v="284"/>
    <x v="8"/>
    <x v="1151"/>
    <x v="1"/>
    <x v="1"/>
    <x v="9"/>
    <x v="3"/>
    <x v="1"/>
    <x v="3"/>
  </r>
  <r>
    <x v="284"/>
    <x v="9"/>
    <x v="1518"/>
    <x v="1"/>
    <x v="1"/>
    <x v="9"/>
    <x v="3"/>
    <x v="1"/>
    <x v="3"/>
  </r>
  <r>
    <x v="284"/>
    <x v="10"/>
    <x v="1973"/>
    <x v="1"/>
    <x v="1"/>
    <x v="9"/>
    <x v="3"/>
    <x v="1"/>
    <x v="2"/>
  </r>
  <r>
    <x v="284"/>
    <x v="11"/>
    <x v="2215"/>
    <x v="1"/>
    <x v="1"/>
    <x v="9"/>
    <x v="3"/>
    <x v="1"/>
    <x v="2"/>
  </r>
  <r>
    <x v="284"/>
    <x v="12"/>
    <x v="2379"/>
    <x v="1"/>
    <x v="1"/>
    <x v="9"/>
    <x v="3"/>
    <x v="1"/>
    <x v="2"/>
  </r>
  <r>
    <x v="284"/>
    <x v="13"/>
    <x v="2486"/>
    <x v="1"/>
    <x v="1"/>
    <x v="9"/>
    <x v="3"/>
    <x v="1"/>
    <x v="2"/>
  </r>
  <r>
    <x v="284"/>
    <x v="14"/>
    <x v="2518"/>
    <x v="1"/>
    <x v="1"/>
    <x v="9"/>
    <x v="3"/>
    <x v="1"/>
    <x v="2"/>
  </r>
  <r>
    <x v="284"/>
    <x v="15"/>
    <x v="2558"/>
    <x v="1"/>
    <x v="1"/>
    <x v="9"/>
    <x v="3"/>
    <x v="1"/>
    <x v="2"/>
  </r>
  <r>
    <x v="284"/>
    <x v="16"/>
    <x v="2731"/>
    <x v="1"/>
    <x v="1"/>
    <x v="9"/>
    <x v="3"/>
    <x v="1"/>
    <x v="0"/>
  </r>
  <r>
    <x v="284"/>
    <x v="17"/>
    <x v="2823"/>
    <x v="1"/>
    <x v="1"/>
    <x v="9"/>
    <x v="3"/>
    <x v="1"/>
    <x v="0"/>
  </r>
  <r>
    <x v="284"/>
    <x v="18"/>
    <x v="2841"/>
    <x v="1"/>
    <x v="1"/>
    <x v="9"/>
    <x v="3"/>
    <x v="1"/>
    <x v="0"/>
  </r>
  <r>
    <x v="284"/>
    <x v="19"/>
    <x v="2835"/>
    <x v="1"/>
    <x v="1"/>
    <x v="9"/>
    <x v="3"/>
    <x v="1"/>
    <x v="0"/>
  </r>
  <r>
    <x v="284"/>
    <x v="20"/>
    <x v="2749"/>
    <x v="1"/>
    <x v="1"/>
    <x v="9"/>
    <x v="3"/>
    <x v="1"/>
    <x v="1"/>
  </r>
  <r>
    <x v="284"/>
    <x v="21"/>
    <x v="2386"/>
    <x v="1"/>
    <x v="1"/>
    <x v="9"/>
    <x v="3"/>
    <x v="1"/>
    <x v="1"/>
  </r>
  <r>
    <x v="284"/>
    <x v="22"/>
    <x v="2522"/>
    <x v="1"/>
    <x v="1"/>
    <x v="9"/>
    <x v="3"/>
    <x v="1"/>
    <x v="1"/>
  </r>
  <r>
    <x v="284"/>
    <x v="23"/>
    <x v="2147"/>
    <x v="1"/>
    <x v="1"/>
    <x v="9"/>
    <x v="3"/>
    <x v="1"/>
    <x v="1"/>
  </r>
  <r>
    <x v="285"/>
    <x v="0"/>
    <x v="1445"/>
    <x v="1"/>
    <x v="1"/>
    <x v="9"/>
    <x v="1"/>
    <x v="0"/>
    <x v="4"/>
  </r>
  <r>
    <x v="285"/>
    <x v="1"/>
    <x v="751"/>
    <x v="1"/>
    <x v="1"/>
    <x v="9"/>
    <x v="1"/>
    <x v="0"/>
    <x v="4"/>
  </r>
  <r>
    <x v="285"/>
    <x v="2"/>
    <x v="372"/>
    <x v="1"/>
    <x v="1"/>
    <x v="9"/>
    <x v="1"/>
    <x v="0"/>
    <x v="4"/>
  </r>
  <r>
    <x v="285"/>
    <x v="3"/>
    <x v="276"/>
    <x v="1"/>
    <x v="1"/>
    <x v="9"/>
    <x v="1"/>
    <x v="0"/>
    <x v="4"/>
  </r>
  <r>
    <x v="285"/>
    <x v="4"/>
    <x v="584"/>
    <x v="1"/>
    <x v="1"/>
    <x v="9"/>
    <x v="1"/>
    <x v="0"/>
    <x v="4"/>
  </r>
  <r>
    <x v="285"/>
    <x v="5"/>
    <x v="1071"/>
    <x v="1"/>
    <x v="1"/>
    <x v="9"/>
    <x v="1"/>
    <x v="0"/>
    <x v="4"/>
  </r>
  <r>
    <x v="285"/>
    <x v="6"/>
    <x v="1812"/>
    <x v="1"/>
    <x v="1"/>
    <x v="9"/>
    <x v="1"/>
    <x v="0"/>
    <x v="3"/>
  </r>
  <r>
    <x v="285"/>
    <x v="7"/>
    <x v="2483"/>
    <x v="1"/>
    <x v="1"/>
    <x v="9"/>
    <x v="1"/>
    <x v="0"/>
    <x v="3"/>
  </r>
  <r>
    <x v="285"/>
    <x v="8"/>
    <x v="2874"/>
    <x v="1"/>
    <x v="1"/>
    <x v="9"/>
    <x v="1"/>
    <x v="0"/>
    <x v="3"/>
  </r>
  <r>
    <x v="285"/>
    <x v="9"/>
    <x v="2638"/>
    <x v="1"/>
    <x v="1"/>
    <x v="9"/>
    <x v="1"/>
    <x v="0"/>
    <x v="3"/>
  </r>
  <r>
    <x v="285"/>
    <x v="10"/>
    <x v="2033"/>
    <x v="1"/>
    <x v="1"/>
    <x v="9"/>
    <x v="1"/>
    <x v="0"/>
    <x v="2"/>
  </r>
  <r>
    <x v="285"/>
    <x v="11"/>
    <x v="1824"/>
    <x v="1"/>
    <x v="1"/>
    <x v="9"/>
    <x v="1"/>
    <x v="0"/>
    <x v="2"/>
  </r>
  <r>
    <x v="285"/>
    <x v="12"/>
    <x v="1819"/>
    <x v="1"/>
    <x v="1"/>
    <x v="9"/>
    <x v="1"/>
    <x v="0"/>
    <x v="2"/>
  </r>
  <r>
    <x v="285"/>
    <x v="13"/>
    <x v="1750"/>
    <x v="1"/>
    <x v="1"/>
    <x v="9"/>
    <x v="1"/>
    <x v="0"/>
    <x v="2"/>
  </r>
  <r>
    <x v="285"/>
    <x v="14"/>
    <x v="1951"/>
    <x v="1"/>
    <x v="1"/>
    <x v="9"/>
    <x v="1"/>
    <x v="0"/>
    <x v="2"/>
  </r>
  <r>
    <x v="285"/>
    <x v="15"/>
    <x v="2134"/>
    <x v="1"/>
    <x v="1"/>
    <x v="9"/>
    <x v="1"/>
    <x v="0"/>
    <x v="2"/>
  </r>
  <r>
    <x v="285"/>
    <x v="16"/>
    <x v="2310"/>
    <x v="1"/>
    <x v="1"/>
    <x v="9"/>
    <x v="1"/>
    <x v="0"/>
    <x v="0"/>
  </r>
  <r>
    <x v="285"/>
    <x v="17"/>
    <x v="2774"/>
    <x v="1"/>
    <x v="1"/>
    <x v="9"/>
    <x v="1"/>
    <x v="0"/>
    <x v="0"/>
  </r>
  <r>
    <x v="285"/>
    <x v="18"/>
    <x v="3032"/>
    <x v="1"/>
    <x v="1"/>
    <x v="9"/>
    <x v="1"/>
    <x v="0"/>
    <x v="0"/>
  </r>
  <r>
    <x v="285"/>
    <x v="19"/>
    <x v="2837"/>
    <x v="1"/>
    <x v="1"/>
    <x v="9"/>
    <x v="1"/>
    <x v="0"/>
    <x v="0"/>
  </r>
  <r>
    <x v="285"/>
    <x v="20"/>
    <x v="2838"/>
    <x v="1"/>
    <x v="1"/>
    <x v="9"/>
    <x v="1"/>
    <x v="0"/>
    <x v="1"/>
  </r>
  <r>
    <x v="285"/>
    <x v="21"/>
    <x v="2853"/>
    <x v="1"/>
    <x v="1"/>
    <x v="9"/>
    <x v="1"/>
    <x v="0"/>
    <x v="1"/>
  </r>
  <r>
    <x v="285"/>
    <x v="22"/>
    <x v="2541"/>
    <x v="1"/>
    <x v="1"/>
    <x v="9"/>
    <x v="1"/>
    <x v="0"/>
    <x v="1"/>
  </r>
  <r>
    <x v="285"/>
    <x v="23"/>
    <x v="2049"/>
    <x v="1"/>
    <x v="1"/>
    <x v="9"/>
    <x v="1"/>
    <x v="0"/>
    <x v="1"/>
  </r>
  <r>
    <x v="286"/>
    <x v="0"/>
    <x v="1409"/>
    <x v="1"/>
    <x v="1"/>
    <x v="9"/>
    <x v="5"/>
    <x v="0"/>
    <x v="4"/>
  </r>
  <r>
    <x v="286"/>
    <x v="1"/>
    <x v="759"/>
    <x v="1"/>
    <x v="1"/>
    <x v="9"/>
    <x v="5"/>
    <x v="0"/>
    <x v="4"/>
  </r>
  <r>
    <x v="286"/>
    <x v="2"/>
    <x v="367"/>
    <x v="1"/>
    <x v="1"/>
    <x v="9"/>
    <x v="5"/>
    <x v="0"/>
    <x v="4"/>
  </r>
  <r>
    <x v="286"/>
    <x v="3"/>
    <x v="233"/>
    <x v="1"/>
    <x v="1"/>
    <x v="9"/>
    <x v="5"/>
    <x v="0"/>
    <x v="4"/>
  </r>
  <r>
    <x v="286"/>
    <x v="4"/>
    <x v="398"/>
    <x v="1"/>
    <x v="1"/>
    <x v="9"/>
    <x v="5"/>
    <x v="0"/>
    <x v="4"/>
  </r>
  <r>
    <x v="286"/>
    <x v="5"/>
    <x v="809"/>
    <x v="1"/>
    <x v="1"/>
    <x v="9"/>
    <x v="5"/>
    <x v="0"/>
    <x v="4"/>
  </r>
  <r>
    <x v="286"/>
    <x v="6"/>
    <x v="1641"/>
    <x v="1"/>
    <x v="1"/>
    <x v="9"/>
    <x v="5"/>
    <x v="0"/>
    <x v="3"/>
  </r>
  <r>
    <x v="286"/>
    <x v="7"/>
    <x v="2518"/>
    <x v="1"/>
    <x v="1"/>
    <x v="9"/>
    <x v="5"/>
    <x v="0"/>
    <x v="3"/>
  </r>
  <r>
    <x v="286"/>
    <x v="8"/>
    <x v="3115"/>
    <x v="1"/>
    <x v="1"/>
    <x v="9"/>
    <x v="5"/>
    <x v="0"/>
    <x v="3"/>
  </r>
  <r>
    <x v="286"/>
    <x v="9"/>
    <x v="2830"/>
    <x v="1"/>
    <x v="1"/>
    <x v="9"/>
    <x v="5"/>
    <x v="0"/>
    <x v="3"/>
  </r>
  <r>
    <x v="286"/>
    <x v="10"/>
    <x v="2190"/>
    <x v="1"/>
    <x v="1"/>
    <x v="9"/>
    <x v="5"/>
    <x v="0"/>
    <x v="2"/>
  </r>
  <r>
    <x v="286"/>
    <x v="11"/>
    <x v="1970"/>
    <x v="1"/>
    <x v="1"/>
    <x v="9"/>
    <x v="5"/>
    <x v="0"/>
    <x v="2"/>
  </r>
  <r>
    <x v="286"/>
    <x v="12"/>
    <x v="1924"/>
    <x v="1"/>
    <x v="1"/>
    <x v="9"/>
    <x v="5"/>
    <x v="0"/>
    <x v="2"/>
  </r>
  <r>
    <x v="286"/>
    <x v="13"/>
    <x v="1899"/>
    <x v="1"/>
    <x v="1"/>
    <x v="9"/>
    <x v="5"/>
    <x v="0"/>
    <x v="2"/>
  </r>
  <r>
    <x v="286"/>
    <x v="14"/>
    <x v="2119"/>
    <x v="1"/>
    <x v="1"/>
    <x v="9"/>
    <x v="5"/>
    <x v="0"/>
    <x v="2"/>
  </r>
  <r>
    <x v="286"/>
    <x v="15"/>
    <x v="2351"/>
    <x v="1"/>
    <x v="1"/>
    <x v="9"/>
    <x v="5"/>
    <x v="0"/>
    <x v="2"/>
  </r>
  <r>
    <x v="286"/>
    <x v="16"/>
    <x v="2553"/>
    <x v="1"/>
    <x v="1"/>
    <x v="9"/>
    <x v="5"/>
    <x v="0"/>
    <x v="0"/>
  </r>
  <r>
    <x v="286"/>
    <x v="17"/>
    <x v="3045"/>
    <x v="1"/>
    <x v="1"/>
    <x v="9"/>
    <x v="5"/>
    <x v="0"/>
    <x v="0"/>
  </r>
  <r>
    <x v="286"/>
    <x v="18"/>
    <x v="3472"/>
    <x v="1"/>
    <x v="1"/>
    <x v="9"/>
    <x v="5"/>
    <x v="0"/>
    <x v="0"/>
  </r>
  <r>
    <x v="286"/>
    <x v="19"/>
    <x v="3342"/>
    <x v="1"/>
    <x v="1"/>
    <x v="9"/>
    <x v="5"/>
    <x v="0"/>
    <x v="0"/>
  </r>
  <r>
    <x v="286"/>
    <x v="20"/>
    <x v="3217"/>
    <x v="1"/>
    <x v="1"/>
    <x v="9"/>
    <x v="5"/>
    <x v="0"/>
    <x v="1"/>
  </r>
  <r>
    <x v="286"/>
    <x v="21"/>
    <x v="3238"/>
    <x v="1"/>
    <x v="1"/>
    <x v="9"/>
    <x v="5"/>
    <x v="0"/>
    <x v="1"/>
  </r>
  <r>
    <x v="286"/>
    <x v="22"/>
    <x v="3011"/>
    <x v="1"/>
    <x v="1"/>
    <x v="9"/>
    <x v="5"/>
    <x v="0"/>
    <x v="1"/>
  </r>
  <r>
    <x v="286"/>
    <x v="23"/>
    <x v="2372"/>
    <x v="1"/>
    <x v="1"/>
    <x v="9"/>
    <x v="5"/>
    <x v="0"/>
    <x v="1"/>
  </r>
  <r>
    <x v="287"/>
    <x v="0"/>
    <x v="1588"/>
    <x v="1"/>
    <x v="1"/>
    <x v="9"/>
    <x v="6"/>
    <x v="0"/>
    <x v="4"/>
  </r>
  <r>
    <x v="287"/>
    <x v="1"/>
    <x v="936"/>
    <x v="1"/>
    <x v="1"/>
    <x v="9"/>
    <x v="6"/>
    <x v="0"/>
    <x v="4"/>
  </r>
  <r>
    <x v="287"/>
    <x v="2"/>
    <x v="481"/>
    <x v="1"/>
    <x v="1"/>
    <x v="9"/>
    <x v="6"/>
    <x v="0"/>
    <x v="4"/>
  </r>
  <r>
    <x v="287"/>
    <x v="3"/>
    <x v="305"/>
    <x v="1"/>
    <x v="1"/>
    <x v="9"/>
    <x v="6"/>
    <x v="0"/>
    <x v="4"/>
  </r>
  <r>
    <x v="287"/>
    <x v="4"/>
    <x v="470"/>
    <x v="1"/>
    <x v="1"/>
    <x v="9"/>
    <x v="6"/>
    <x v="0"/>
    <x v="4"/>
  </r>
  <r>
    <x v="287"/>
    <x v="5"/>
    <x v="916"/>
    <x v="1"/>
    <x v="1"/>
    <x v="9"/>
    <x v="6"/>
    <x v="0"/>
    <x v="4"/>
  </r>
  <r>
    <x v="287"/>
    <x v="6"/>
    <x v="1672"/>
    <x v="1"/>
    <x v="1"/>
    <x v="9"/>
    <x v="6"/>
    <x v="0"/>
    <x v="3"/>
  </r>
  <r>
    <x v="287"/>
    <x v="7"/>
    <x v="2421"/>
    <x v="1"/>
    <x v="1"/>
    <x v="9"/>
    <x v="6"/>
    <x v="0"/>
    <x v="3"/>
  </r>
  <r>
    <x v="287"/>
    <x v="8"/>
    <x v="2897"/>
    <x v="1"/>
    <x v="1"/>
    <x v="9"/>
    <x v="6"/>
    <x v="0"/>
    <x v="3"/>
  </r>
  <r>
    <x v="287"/>
    <x v="9"/>
    <x v="2777"/>
    <x v="1"/>
    <x v="1"/>
    <x v="9"/>
    <x v="6"/>
    <x v="0"/>
    <x v="3"/>
  </r>
  <r>
    <x v="287"/>
    <x v="10"/>
    <x v="2140"/>
    <x v="1"/>
    <x v="1"/>
    <x v="9"/>
    <x v="6"/>
    <x v="0"/>
    <x v="2"/>
  </r>
  <r>
    <x v="287"/>
    <x v="11"/>
    <x v="1975"/>
    <x v="1"/>
    <x v="1"/>
    <x v="9"/>
    <x v="6"/>
    <x v="0"/>
    <x v="2"/>
  </r>
  <r>
    <x v="287"/>
    <x v="12"/>
    <x v="2069"/>
    <x v="1"/>
    <x v="1"/>
    <x v="9"/>
    <x v="6"/>
    <x v="0"/>
    <x v="2"/>
  </r>
  <r>
    <x v="287"/>
    <x v="13"/>
    <x v="1991"/>
    <x v="1"/>
    <x v="1"/>
    <x v="9"/>
    <x v="6"/>
    <x v="0"/>
    <x v="2"/>
  </r>
  <r>
    <x v="287"/>
    <x v="14"/>
    <x v="2196"/>
    <x v="1"/>
    <x v="1"/>
    <x v="9"/>
    <x v="6"/>
    <x v="0"/>
    <x v="2"/>
  </r>
  <r>
    <x v="287"/>
    <x v="15"/>
    <x v="2462"/>
    <x v="1"/>
    <x v="1"/>
    <x v="9"/>
    <x v="6"/>
    <x v="0"/>
    <x v="2"/>
  </r>
  <r>
    <x v="287"/>
    <x v="16"/>
    <x v="2763"/>
    <x v="1"/>
    <x v="1"/>
    <x v="9"/>
    <x v="6"/>
    <x v="0"/>
    <x v="0"/>
  </r>
  <r>
    <x v="287"/>
    <x v="17"/>
    <x v="3133"/>
    <x v="1"/>
    <x v="1"/>
    <x v="9"/>
    <x v="6"/>
    <x v="0"/>
    <x v="0"/>
  </r>
  <r>
    <x v="287"/>
    <x v="18"/>
    <x v="3517"/>
    <x v="1"/>
    <x v="1"/>
    <x v="9"/>
    <x v="6"/>
    <x v="0"/>
    <x v="0"/>
  </r>
  <r>
    <x v="287"/>
    <x v="19"/>
    <x v="3515"/>
    <x v="1"/>
    <x v="1"/>
    <x v="9"/>
    <x v="6"/>
    <x v="0"/>
    <x v="0"/>
  </r>
  <r>
    <x v="287"/>
    <x v="20"/>
    <x v="3359"/>
    <x v="1"/>
    <x v="1"/>
    <x v="9"/>
    <x v="6"/>
    <x v="0"/>
    <x v="1"/>
  </r>
  <r>
    <x v="287"/>
    <x v="21"/>
    <x v="2828"/>
    <x v="1"/>
    <x v="1"/>
    <x v="9"/>
    <x v="6"/>
    <x v="0"/>
    <x v="1"/>
  </r>
  <r>
    <x v="287"/>
    <x v="22"/>
    <x v="3587"/>
    <x v="1"/>
    <x v="1"/>
    <x v="9"/>
    <x v="6"/>
    <x v="0"/>
    <x v="1"/>
  </r>
  <r>
    <x v="287"/>
    <x v="23"/>
    <x v="2850"/>
    <x v="1"/>
    <x v="1"/>
    <x v="9"/>
    <x v="6"/>
    <x v="0"/>
    <x v="1"/>
  </r>
  <r>
    <x v="288"/>
    <x v="0"/>
    <x v="1952"/>
    <x v="1"/>
    <x v="1"/>
    <x v="9"/>
    <x v="4"/>
    <x v="0"/>
    <x v="4"/>
  </r>
  <r>
    <x v="288"/>
    <x v="1"/>
    <x v="1168"/>
    <x v="1"/>
    <x v="1"/>
    <x v="9"/>
    <x v="4"/>
    <x v="0"/>
    <x v="4"/>
  </r>
  <r>
    <x v="288"/>
    <x v="2"/>
    <x v="596"/>
    <x v="1"/>
    <x v="1"/>
    <x v="9"/>
    <x v="4"/>
    <x v="0"/>
    <x v="4"/>
  </r>
  <r>
    <x v="288"/>
    <x v="3"/>
    <x v="404"/>
    <x v="1"/>
    <x v="1"/>
    <x v="9"/>
    <x v="4"/>
    <x v="0"/>
    <x v="4"/>
  </r>
  <r>
    <x v="288"/>
    <x v="4"/>
    <x v="613"/>
    <x v="1"/>
    <x v="1"/>
    <x v="9"/>
    <x v="4"/>
    <x v="0"/>
    <x v="4"/>
  </r>
  <r>
    <x v="288"/>
    <x v="5"/>
    <x v="1021"/>
    <x v="1"/>
    <x v="1"/>
    <x v="9"/>
    <x v="4"/>
    <x v="0"/>
    <x v="4"/>
  </r>
  <r>
    <x v="288"/>
    <x v="6"/>
    <x v="1747"/>
    <x v="1"/>
    <x v="1"/>
    <x v="9"/>
    <x v="4"/>
    <x v="0"/>
    <x v="3"/>
  </r>
  <r>
    <x v="288"/>
    <x v="7"/>
    <x v="2469"/>
    <x v="1"/>
    <x v="1"/>
    <x v="9"/>
    <x v="4"/>
    <x v="0"/>
    <x v="3"/>
  </r>
  <r>
    <x v="288"/>
    <x v="8"/>
    <x v="2969"/>
    <x v="1"/>
    <x v="1"/>
    <x v="9"/>
    <x v="4"/>
    <x v="0"/>
    <x v="3"/>
  </r>
  <r>
    <x v="288"/>
    <x v="9"/>
    <x v="2903"/>
    <x v="1"/>
    <x v="1"/>
    <x v="9"/>
    <x v="4"/>
    <x v="0"/>
    <x v="3"/>
  </r>
  <r>
    <x v="288"/>
    <x v="10"/>
    <x v="2290"/>
    <x v="1"/>
    <x v="1"/>
    <x v="9"/>
    <x v="4"/>
    <x v="0"/>
    <x v="2"/>
  </r>
  <r>
    <x v="288"/>
    <x v="11"/>
    <x v="2134"/>
    <x v="1"/>
    <x v="1"/>
    <x v="9"/>
    <x v="4"/>
    <x v="0"/>
    <x v="2"/>
  </r>
  <r>
    <x v="288"/>
    <x v="12"/>
    <x v="2211"/>
    <x v="1"/>
    <x v="1"/>
    <x v="9"/>
    <x v="4"/>
    <x v="0"/>
    <x v="2"/>
  </r>
  <r>
    <x v="288"/>
    <x v="13"/>
    <x v="2157"/>
    <x v="1"/>
    <x v="1"/>
    <x v="9"/>
    <x v="4"/>
    <x v="0"/>
    <x v="2"/>
  </r>
  <r>
    <x v="288"/>
    <x v="14"/>
    <x v="2407"/>
    <x v="1"/>
    <x v="1"/>
    <x v="9"/>
    <x v="4"/>
    <x v="0"/>
    <x v="2"/>
  </r>
  <r>
    <x v="288"/>
    <x v="15"/>
    <x v="2717"/>
    <x v="1"/>
    <x v="1"/>
    <x v="9"/>
    <x v="4"/>
    <x v="0"/>
    <x v="2"/>
  </r>
  <r>
    <x v="288"/>
    <x v="16"/>
    <x v="3069"/>
    <x v="1"/>
    <x v="1"/>
    <x v="9"/>
    <x v="4"/>
    <x v="0"/>
    <x v="0"/>
  </r>
  <r>
    <x v="288"/>
    <x v="17"/>
    <x v="3524"/>
    <x v="1"/>
    <x v="1"/>
    <x v="9"/>
    <x v="4"/>
    <x v="0"/>
    <x v="0"/>
  </r>
  <r>
    <x v="288"/>
    <x v="18"/>
    <x v="3828"/>
    <x v="1"/>
    <x v="1"/>
    <x v="9"/>
    <x v="4"/>
    <x v="0"/>
    <x v="0"/>
  </r>
  <r>
    <x v="288"/>
    <x v="19"/>
    <x v="3854"/>
    <x v="1"/>
    <x v="1"/>
    <x v="9"/>
    <x v="4"/>
    <x v="0"/>
    <x v="0"/>
  </r>
  <r>
    <x v="288"/>
    <x v="20"/>
    <x v="3820"/>
    <x v="1"/>
    <x v="1"/>
    <x v="9"/>
    <x v="4"/>
    <x v="0"/>
    <x v="1"/>
  </r>
  <r>
    <x v="288"/>
    <x v="21"/>
    <x v="3856"/>
    <x v="1"/>
    <x v="1"/>
    <x v="9"/>
    <x v="4"/>
    <x v="0"/>
    <x v="1"/>
  </r>
  <r>
    <x v="288"/>
    <x v="22"/>
    <x v="3799"/>
    <x v="1"/>
    <x v="1"/>
    <x v="9"/>
    <x v="4"/>
    <x v="0"/>
    <x v="1"/>
  </r>
  <r>
    <x v="288"/>
    <x v="23"/>
    <x v="3493"/>
    <x v="1"/>
    <x v="1"/>
    <x v="9"/>
    <x v="4"/>
    <x v="0"/>
    <x v="1"/>
  </r>
  <r>
    <x v="289"/>
    <x v="0"/>
    <x v="2512"/>
    <x v="1"/>
    <x v="1"/>
    <x v="9"/>
    <x v="0"/>
    <x v="0"/>
    <x v="4"/>
  </r>
  <r>
    <x v="289"/>
    <x v="1"/>
    <x v="1493"/>
    <x v="1"/>
    <x v="1"/>
    <x v="9"/>
    <x v="0"/>
    <x v="0"/>
    <x v="4"/>
  </r>
  <r>
    <x v="289"/>
    <x v="2"/>
    <x v="908"/>
    <x v="1"/>
    <x v="1"/>
    <x v="9"/>
    <x v="0"/>
    <x v="0"/>
    <x v="4"/>
  </r>
  <r>
    <x v="289"/>
    <x v="3"/>
    <x v="613"/>
    <x v="1"/>
    <x v="1"/>
    <x v="9"/>
    <x v="0"/>
    <x v="0"/>
    <x v="4"/>
  </r>
  <r>
    <x v="289"/>
    <x v="4"/>
    <x v="797"/>
    <x v="1"/>
    <x v="1"/>
    <x v="9"/>
    <x v="0"/>
    <x v="0"/>
    <x v="4"/>
  </r>
  <r>
    <x v="289"/>
    <x v="5"/>
    <x v="1107"/>
    <x v="1"/>
    <x v="1"/>
    <x v="9"/>
    <x v="0"/>
    <x v="0"/>
    <x v="4"/>
  </r>
  <r>
    <x v="289"/>
    <x v="6"/>
    <x v="1836"/>
    <x v="1"/>
    <x v="1"/>
    <x v="9"/>
    <x v="0"/>
    <x v="0"/>
    <x v="3"/>
  </r>
  <r>
    <x v="289"/>
    <x v="7"/>
    <x v="2603"/>
    <x v="1"/>
    <x v="1"/>
    <x v="9"/>
    <x v="0"/>
    <x v="0"/>
    <x v="3"/>
  </r>
  <r>
    <x v="289"/>
    <x v="8"/>
    <x v="3101"/>
    <x v="1"/>
    <x v="1"/>
    <x v="9"/>
    <x v="0"/>
    <x v="0"/>
    <x v="3"/>
  </r>
  <r>
    <x v="289"/>
    <x v="9"/>
    <x v="3124"/>
    <x v="1"/>
    <x v="1"/>
    <x v="9"/>
    <x v="0"/>
    <x v="0"/>
    <x v="3"/>
  </r>
  <r>
    <x v="289"/>
    <x v="10"/>
    <x v="2600"/>
    <x v="1"/>
    <x v="1"/>
    <x v="9"/>
    <x v="0"/>
    <x v="0"/>
    <x v="2"/>
  </r>
  <r>
    <x v="289"/>
    <x v="11"/>
    <x v="2406"/>
    <x v="1"/>
    <x v="1"/>
    <x v="9"/>
    <x v="0"/>
    <x v="0"/>
    <x v="2"/>
  </r>
  <r>
    <x v="289"/>
    <x v="12"/>
    <x v="2437"/>
    <x v="1"/>
    <x v="1"/>
    <x v="9"/>
    <x v="0"/>
    <x v="0"/>
    <x v="2"/>
  </r>
  <r>
    <x v="289"/>
    <x v="13"/>
    <x v="2312"/>
    <x v="1"/>
    <x v="1"/>
    <x v="9"/>
    <x v="0"/>
    <x v="0"/>
    <x v="2"/>
  </r>
  <r>
    <x v="289"/>
    <x v="14"/>
    <x v="2511"/>
    <x v="1"/>
    <x v="1"/>
    <x v="9"/>
    <x v="0"/>
    <x v="0"/>
    <x v="2"/>
  </r>
  <r>
    <x v="289"/>
    <x v="15"/>
    <x v="2811"/>
    <x v="1"/>
    <x v="1"/>
    <x v="9"/>
    <x v="0"/>
    <x v="0"/>
    <x v="2"/>
  </r>
  <r>
    <x v="289"/>
    <x v="16"/>
    <x v="3051"/>
    <x v="1"/>
    <x v="1"/>
    <x v="9"/>
    <x v="0"/>
    <x v="0"/>
    <x v="0"/>
  </r>
  <r>
    <x v="289"/>
    <x v="17"/>
    <x v="3414"/>
    <x v="1"/>
    <x v="1"/>
    <x v="9"/>
    <x v="0"/>
    <x v="0"/>
    <x v="0"/>
  </r>
  <r>
    <x v="289"/>
    <x v="18"/>
    <x v="3703"/>
    <x v="1"/>
    <x v="1"/>
    <x v="9"/>
    <x v="0"/>
    <x v="0"/>
    <x v="0"/>
  </r>
  <r>
    <x v="289"/>
    <x v="19"/>
    <x v="3906"/>
    <x v="1"/>
    <x v="1"/>
    <x v="9"/>
    <x v="0"/>
    <x v="0"/>
    <x v="0"/>
  </r>
  <r>
    <x v="289"/>
    <x v="20"/>
    <x v="3873"/>
    <x v="1"/>
    <x v="1"/>
    <x v="9"/>
    <x v="0"/>
    <x v="0"/>
    <x v="1"/>
  </r>
  <r>
    <x v="289"/>
    <x v="21"/>
    <x v="3693"/>
    <x v="1"/>
    <x v="1"/>
    <x v="9"/>
    <x v="0"/>
    <x v="0"/>
    <x v="1"/>
  </r>
  <r>
    <x v="289"/>
    <x v="22"/>
    <x v="3734"/>
    <x v="1"/>
    <x v="1"/>
    <x v="9"/>
    <x v="0"/>
    <x v="0"/>
    <x v="1"/>
  </r>
  <r>
    <x v="289"/>
    <x v="23"/>
    <x v="3908"/>
    <x v="1"/>
    <x v="1"/>
    <x v="9"/>
    <x v="0"/>
    <x v="0"/>
    <x v="1"/>
  </r>
  <r>
    <x v="290"/>
    <x v="0"/>
    <x v="3777"/>
    <x v="1"/>
    <x v="1"/>
    <x v="9"/>
    <x v="2"/>
    <x v="1"/>
    <x v="4"/>
  </r>
  <r>
    <x v="290"/>
    <x v="1"/>
    <x v="3190"/>
    <x v="1"/>
    <x v="1"/>
    <x v="9"/>
    <x v="2"/>
    <x v="1"/>
    <x v="4"/>
  </r>
  <r>
    <x v="290"/>
    <x v="2"/>
    <x v="2334"/>
    <x v="1"/>
    <x v="1"/>
    <x v="9"/>
    <x v="2"/>
    <x v="1"/>
    <x v="4"/>
  </r>
  <r>
    <x v="290"/>
    <x v="3"/>
    <x v="1633"/>
    <x v="1"/>
    <x v="1"/>
    <x v="9"/>
    <x v="2"/>
    <x v="1"/>
    <x v="4"/>
  </r>
  <r>
    <x v="290"/>
    <x v="4"/>
    <x v="1216"/>
    <x v="1"/>
    <x v="1"/>
    <x v="9"/>
    <x v="2"/>
    <x v="1"/>
    <x v="4"/>
  </r>
  <r>
    <x v="290"/>
    <x v="5"/>
    <x v="858"/>
    <x v="1"/>
    <x v="1"/>
    <x v="9"/>
    <x v="2"/>
    <x v="1"/>
    <x v="4"/>
  </r>
  <r>
    <x v="290"/>
    <x v="6"/>
    <x v="951"/>
    <x v="1"/>
    <x v="1"/>
    <x v="9"/>
    <x v="2"/>
    <x v="1"/>
    <x v="3"/>
  </r>
  <r>
    <x v="290"/>
    <x v="7"/>
    <x v="1136"/>
    <x v="1"/>
    <x v="1"/>
    <x v="9"/>
    <x v="2"/>
    <x v="1"/>
    <x v="3"/>
  </r>
  <r>
    <x v="290"/>
    <x v="8"/>
    <x v="1564"/>
    <x v="1"/>
    <x v="1"/>
    <x v="9"/>
    <x v="2"/>
    <x v="1"/>
    <x v="3"/>
  </r>
  <r>
    <x v="290"/>
    <x v="9"/>
    <x v="1995"/>
    <x v="1"/>
    <x v="1"/>
    <x v="9"/>
    <x v="2"/>
    <x v="1"/>
    <x v="3"/>
  </r>
  <r>
    <x v="290"/>
    <x v="10"/>
    <x v="2324"/>
    <x v="1"/>
    <x v="1"/>
    <x v="9"/>
    <x v="2"/>
    <x v="1"/>
    <x v="2"/>
  </r>
  <r>
    <x v="290"/>
    <x v="11"/>
    <x v="2570"/>
    <x v="1"/>
    <x v="1"/>
    <x v="9"/>
    <x v="2"/>
    <x v="1"/>
    <x v="2"/>
  </r>
  <r>
    <x v="290"/>
    <x v="12"/>
    <x v="2729"/>
    <x v="1"/>
    <x v="1"/>
    <x v="9"/>
    <x v="2"/>
    <x v="1"/>
    <x v="2"/>
  </r>
  <r>
    <x v="290"/>
    <x v="13"/>
    <x v="2852"/>
    <x v="1"/>
    <x v="1"/>
    <x v="9"/>
    <x v="2"/>
    <x v="1"/>
    <x v="2"/>
  </r>
  <r>
    <x v="290"/>
    <x v="14"/>
    <x v="2953"/>
    <x v="1"/>
    <x v="1"/>
    <x v="9"/>
    <x v="2"/>
    <x v="1"/>
    <x v="2"/>
  </r>
  <r>
    <x v="290"/>
    <x v="15"/>
    <x v="3176"/>
    <x v="1"/>
    <x v="1"/>
    <x v="9"/>
    <x v="2"/>
    <x v="1"/>
    <x v="2"/>
  </r>
  <r>
    <x v="290"/>
    <x v="16"/>
    <x v="3483"/>
    <x v="1"/>
    <x v="1"/>
    <x v="9"/>
    <x v="2"/>
    <x v="1"/>
    <x v="0"/>
  </r>
  <r>
    <x v="290"/>
    <x v="17"/>
    <x v="3788"/>
    <x v="1"/>
    <x v="1"/>
    <x v="9"/>
    <x v="2"/>
    <x v="1"/>
    <x v="0"/>
  </r>
  <r>
    <x v="290"/>
    <x v="18"/>
    <x v="3904"/>
    <x v="1"/>
    <x v="1"/>
    <x v="9"/>
    <x v="2"/>
    <x v="1"/>
    <x v="0"/>
  </r>
  <r>
    <x v="290"/>
    <x v="19"/>
    <x v="3986"/>
    <x v="1"/>
    <x v="1"/>
    <x v="9"/>
    <x v="2"/>
    <x v="1"/>
    <x v="0"/>
  </r>
  <r>
    <x v="290"/>
    <x v="20"/>
    <x v="4042"/>
    <x v="1"/>
    <x v="1"/>
    <x v="9"/>
    <x v="2"/>
    <x v="1"/>
    <x v="1"/>
  </r>
  <r>
    <x v="290"/>
    <x v="21"/>
    <x v="3909"/>
    <x v="1"/>
    <x v="1"/>
    <x v="9"/>
    <x v="2"/>
    <x v="1"/>
    <x v="1"/>
  </r>
  <r>
    <x v="290"/>
    <x v="22"/>
    <x v="4052"/>
    <x v="1"/>
    <x v="1"/>
    <x v="9"/>
    <x v="2"/>
    <x v="1"/>
    <x v="1"/>
  </r>
  <r>
    <x v="290"/>
    <x v="23"/>
    <x v="4148"/>
    <x v="1"/>
    <x v="1"/>
    <x v="9"/>
    <x v="2"/>
    <x v="1"/>
    <x v="1"/>
  </r>
  <r>
    <x v="291"/>
    <x v="0"/>
    <x v="4070"/>
    <x v="1"/>
    <x v="1"/>
    <x v="9"/>
    <x v="3"/>
    <x v="1"/>
    <x v="4"/>
  </r>
  <r>
    <x v="291"/>
    <x v="1"/>
    <x v="3825"/>
    <x v="1"/>
    <x v="1"/>
    <x v="9"/>
    <x v="3"/>
    <x v="1"/>
    <x v="4"/>
  </r>
  <r>
    <x v="291"/>
    <x v="2"/>
    <x v="3121"/>
    <x v="1"/>
    <x v="1"/>
    <x v="9"/>
    <x v="3"/>
    <x v="1"/>
    <x v="4"/>
  </r>
  <r>
    <x v="291"/>
    <x v="3"/>
    <x v="2208"/>
    <x v="1"/>
    <x v="1"/>
    <x v="9"/>
    <x v="3"/>
    <x v="1"/>
    <x v="4"/>
  </r>
  <r>
    <x v="291"/>
    <x v="4"/>
    <x v="1535"/>
    <x v="1"/>
    <x v="1"/>
    <x v="9"/>
    <x v="3"/>
    <x v="1"/>
    <x v="4"/>
  </r>
  <r>
    <x v="291"/>
    <x v="5"/>
    <x v="951"/>
    <x v="1"/>
    <x v="1"/>
    <x v="9"/>
    <x v="3"/>
    <x v="1"/>
    <x v="4"/>
  </r>
  <r>
    <x v="291"/>
    <x v="6"/>
    <x v="913"/>
    <x v="1"/>
    <x v="1"/>
    <x v="9"/>
    <x v="3"/>
    <x v="1"/>
    <x v="3"/>
  </r>
  <r>
    <x v="291"/>
    <x v="7"/>
    <x v="982"/>
    <x v="1"/>
    <x v="1"/>
    <x v="9"/>
    <x v="3"/>
    <x v="1"/>
    <x v="3"/>
  </r>
  <r>
    <x v="291"/>
    <x v="8"/>
    <x v="1283"/>
    <x v="1"/>
    <x v="1"/>
    <x v="9"/>
    <x v="3"/>
    <x v="1"/>
    <x v="3"/>
  </r>
  <r>
    <x v="291"/>
    <x v="9"/>
    <x v="1767"/>
    <x v="1"/>
    <x v="1"/>
    <x v="9"/>
    <x v="3"/>
    <x v="1"/>
    <x v="3"/>
  </r>
  <r>
    <x v="291"/>
    <x v="10"/>
    <x v="2144"/>
    <x v="1"/>
    <x v="1"/>
    <x v="9"/>
    <x v="3"/>
    <x v="1"/>
    <x v="2"/>
  </r>
  <r>
    <x v="291"/>
    <x v="11"/>
    <x v="2429"/>
    <x v="1"/>
    <x v="1"/>
    <x v="9"/>
    <x v="3"/>
    <x v="1"/>
    <x v="2"/>
  </r>
  <r>
    <x v="291"/>
    <x v="12"/>
    <x v="2578"/>
    <x v="1"/>
    <x v="1"/>
    <x v="9"/>
    <x v="3"/>
    <x v="1"/>
    <x v="2"/>
  </r>
  <r>
    <x v="291"/>
    <x v="13"/>
    <x v="2733"/>
    <x v="1"/>
    <x v="1"/>
    <x v="9"/>
    <x v="3"/>
    <x v="1"/>
    <x v="2"/>
  </r>
  <r>
    <x v="291"/>
    <x v="14"/>
    <x v="2928"/>
    <x v="1"/>
    <x v="1"/>
    <x v="9"/>
    <x v="3"/>
    <x v="1"/>
    <x v="2"/>
  </r>
  <r>
    <x v="291"/>
    <x v="15"/>
    <x v="2929"/>
    <x v="1"/>
    <x v="1"/>
    <x v="9"/>
    <x v="3"/>
    <x v="1"/>
    <x v="2"/>
  </r>
  <r>
    <x v="291"/>
    <x v="16"/>
    <x v="3035"/>
    <x v="1"/>
    <x v="1"/>
    <x v="9"/>
    <x v="3"/>
    <x v="1"/>
    <x v="0"/>
  </r>
  <r>
    <x v="291"/>
    <x v="17"/>
    <x v="3231"/>
    <x v="1"/>
    <x v="1"/>
    <x v="9"/>
    <x v="3"/>
    <x v="1"/>
    <x v="0"/>
  </r>
  <r>
    <x v="291"/>
    <x v="18"/>
    <x v="3258"/>
    <x v="1"/>
    <x v="1"/>
    <x v="9"/>
    <x v="3"/>
    <x v="1"/>
    <x v="0"/>
  </r>
  <r>
    <x v="291"/>
    <x v="19"/>
    <x v="3081"/>
    <x v="1"/>
    <x v="1"/>
    <x v="9"/>
    <x v="3"/>
    <x v="1"/>
    <x v="0"/>
  </r>
  <r>
    <x v="291"/>
    <x v="20"/>
    <x v="3150"/>
    <x v="1"/>
    <x v="1"/>
    <x v="9"/>
    <x v="3"/>
    <x v="1"/>
    <x v="1"/>
  </r>
  <r>
    <x v="291"/>
    <x v="21"/>
    <x v="2976"/>
    <x v="1"/>
    <x v="1"/>
    <x v="9"/>
    <x v="3"/>
    <x v="1"/>
    <x v="1"/>
  </r>
  <r>
    <x v="291"/>
    <x v="22"/>
    <x v="2796"/>
    <x v="1"/>
    <x v="1"/>
    <x v="9"/>
    <x v="3"/>
    <x v="1"/>
    <x v="1"/>
  </r>
  <r>
    <x v="291"/>
    <x v="23"/>
    <x v="2339"/>
    <x v="1"/>
    <x v="1"/>
    <x v="9"/>
    <x v="3"/>
    <x v="1"/>
    <x v="1"/>
  </r>
  <r>
    <x v="292"/>
    <x v="0"/>
    <x v="1537"/>
    <x v="1"/>
    <x v="1"/>
    <x v="9"/>
    <x v="1"/>
    <x v="0"/>
    <x v="4"/>
  </r>
  <r>
    <x v="292"/>
    <x v="1"/>
    <x v="812"/>
    <x v="1"/>
    <x v="1"/>
    <x v="9"/>
    <x v="1"/>
    <x v="0"/>
    <x v="4"/>
  </r>
  <r>
    <x v="292"/>
    <x v="2"/>
    <x v="430"/>
    <x v="1"/>
    <x v="1"/>
    <x v="9"/>
    <x v="1"/>
    <x v="0"/>
    <x v="4"/>
  </r>
  <r>
    <x v="292"/>
    <x v="3"/>
    <x v="314"/>
    <x v="1"/>
    <x v="1"/>
    <x v="9"/>
    <x v="1"/>
    <x v="0"/>
    <x v="4"/>
  </r>
  <r>
    <x v="292"/>
    <x v="4"/>
    <x v="590"/>
    <x v="1"/>
    <x v="1"/>
    <x v="9"/>
    <x v="1"/>
    <x v="0"/>
    <x v="4"/>
  </r>
  <r>
    <x v="292"/>
    <x v="5"/>
    <x v="1119"/>
    <x v="1"/>
    <x v="1"/>
    <x v="9"/>
    <x v="1"/>
    <x v="0"/>
    <x v="4"/>
  </r>
  <r>
    <x v="292"/>
    <x v="6"/>
    <x v="1940"/>
    <x v="1"/>
    <x v="1"/>
    <x v="9"/>
    <x v="1"/>
    <x v="0"/>
    <x v="3"/>
  </r>
  <r>
    <x v="292"/>
    <x v="7"/>
    <x v="2802"/>
    <x v="1"/>
    <x v="1"/>
    <x v="9"/>
    <x v="1"/>
    <x v="0"/>
    <x v="3"/>
  </r>
  <r>
    <x v="292"/>
    <x v="8"/>
    <x v="3505"/>
    <x v="1"/>
    <x v="1"/>
    <x v="9"/>
    <x v="1"/>
    <x v="0"/>
    <x v="3"/>
  </r>
  <r>
    <x v="292"/>
    <x v="9"/>
    <x v="3769"/>
    <x v="1"/>
    <x v="1"/>
    <x v="9"/>
    <x v="1"/>
    <x v="0"/>
    <x v="3"/>
  </r>
  <r>
    <x v="292"/>
    <x v="10"/>
    <x v="3707"/>
    <x v="1"/>
    <x v="1"/>
    <x v="9"/>
    <x v="1"/>
    <x v="0"/>
    <x v="2"/>
  </r>
  <r>
    <x v="292"/>
    <x v="11"/>
    <x v="3429"/>
    <x v="1"/>
    <x v="1"/>
    <x v="9"/>
    <x v="1"/>
    <x v="0"/>
    <x v="2"/>
  </r>
  <r>
    <x v="292"/>
    <x v="12"/>
    <x v="3316"/>
    <x v="1"/>
    <x v="1"/>
    <x v="9"/>
    <x v="1"/>
    <x v="0"/>
    <x v="2"/>
  </r>
  <r>
    <x v="292"/>
    <x v="13"/>
    <x v="2892"/>
    <x v="1"/>
    <x v="1"/>
    <x v="9"/>
    <x v="1"/>
    <x v="0"/>
    <x v="2"/>
  </r>
  <r>
    <x v="292"/>
    <x v="14"/>
    <x v="2735"/>
    <x v="1"/>
    <x v="1"/>
    <x v="9"/>
    <x v="1"/>
    <x v="0"/>
    <x v="2"/>
  </r>
  <r>
    <x v="292"/>
    <x v="15"/>
    <x v="2818"/>
    <x v="1"/>
    <x v="1"/>
    <x v="9"/>
    <x v="1"/>
    <x v="0"/>
    <x v="2"/>
  </r>
  <r>
    <x v="292"/>
    <x v="16"/>
    <x v="2779"/>
    <x v="1"/>
    <x v="1"/>
    <x v="9"/>
    <x v="1"/>
    <x v="0"/>
    <x v="0"/>
  </r>
  <r>
    <x v="292"/>
    <x v="17"/>
    <x v="3056"/>
    <x v="1"/>
    <x v="1"/>
    <x v="9"/>
    <x v="1"/>
    <x v="0"/>
    <x v="0"/>
  </r>
  <r>
    <x v="292"/>
    <x v="18"/>
    <x v="3521"/>
    <x v="1"/>
    <x v="1"/>
    <x v="9"/>
    <x v="1"/>
    <x v="0"/>
    <x v="0"/>
  </r>
  <r>
    <x v="292"/>
    <x v="19"/>
    <x v="3240"/>
    <x v="1"/>
    <x v="1"/>
    <x v="9"/>
    <x v="1"/>
    <x v="0"/>
    <x v="0"/>
  </r>
  <r>
    <x v="292"/>
    <x v="20"/>
    <x v="3198"/>
    <x v="1"/>
    <x v="1"/>
    <x v="9"/>
    <x v="1"/>
    <x v="0"/>
    <x v="1"/>
  </r>
  <r>
    <x v="292"/>
    <x v="21"/>
    <x v="3045"/>
    <x v="1"/>
    <x v="1"/>
    <x v="9"/>
    <x v="1"/>
    <x v="0"/>
    <x v="1"/>
  </r>
  <r>
    <x v="292"/>
    <x v="22"/>
    <x v="2810"/>
    <x v="1"/>
    <x v="1"/>
    <x v="9"/>
    <x v="1"/>
    <x v="0"/>
    <x v="1"/>
  </r>
  <r>
    <x v="292"/>
    <x v="23"/>
    <x v="2292"/>
    <x v="1"/>
    <x v="1"/>
    <x v="9"/>
    <x v="1"/>
    <x v="0"/>
    <x v="1"/>
  </r>
  <r>
    <x v="293"/>
    <x v="0"/>
    <x v="1748"/>
    <x v="1"/>
    <x v="1"/>
    <x v="9"/>
    <x v="5"/>
    <x v="0"/>
    <x v="4"/>
  </r>
  <r>
    <x v="293"/>
    <x v="1"/>
    <x v="1131"/>
    <x v="1"/>
    <x v="1"/>
    <x v="9"/>
    <x v="5"/>
    <x v="0"/>
    <x v="4"/>
  </r>
  <r>
    <x v="293"/>
    <x v="2"/>
    <x v="760"/>
    <x v="1"/>
    <x v="1"/>
    <x v="9"/>
    <x v="5"/>
    <x v="0"/>
    <x v="4"/>
  </r>
  <r>
    <x v="293"/>
    <x v="3"/>
    <x v="422"/>
    <x v="1"/>
    <x v="1"/>
    <x v="9"/>
    <x v="5"/>
    <x v="0"/>
    <x v="4"/>
  </r>
  <r>
    <x v="293"/>
    <x v="4"/>
    <x v="483"/>
    <x v="1"/>
    <x v="1"/>
    <x v="9"/>
    <x v="5"/>
    <x v="0"/>
    <x v="4"/>
  </r>
  <r>
    <x v="293"/>
    <x v="5"/>
    <x v="983"/>
    <x v="1"/>
    <x v="1"/>
    <x v="9"/>
    <x v="5"/>
    <x v="0"/>
    <x v="4"/>
  </r>
  <r>
    <x v="293"/>
    <x v="6"/>
    <x v="1751"/>
    <x v="1"/>
    <x v="1"/>
    <x v="9"/>
    <x v="5"/>
    <x v="0"/>
    <x v="3"/>
  </r>
  <r>
    <x v="293"/>
    <x v="7"/>
    <x v="2498"/>
    <x v="1"/>
    <x v="1"/>
    <x v="9"/>
    <x v="5"/>
    <x v="0"/>
    <x v="3"/>
  </r>
  <r>
    <x v="293"/>
    <x v="8"/>
    <x v="3041"/>
    <x v="1"/>
    <x v="1"/>
    <x v="9"/>
    <x v="5"/>
    <x v="0"/>
    <x v="3"/>
  </r>
  <r>
    <x v="293"/>
    <x v="9"/>
    <x v="3192"/>
    <x v="1"/>
    <x v="1"/>
    <x v="9"/>
    <x v="5"/>
    <x v="0"/>
    <x v="3"/>
  </r>
  <r>
    <x v="293"/>
    <x v="10"/>
    <x v="2345"/>
    <x v="1"/>
    <x v="1"/>
    <x v="9"/>
    <x v="5"/>
    <x v="0"/>
    <x v="2"/>
  </r>
  <r>
    <x v="293"/>
    <x v="11"/>
    <x v="2117"/>
    <x v="1"/>
    <x v="1"/>
    <x v="9"/>
    <x v="5"/>
    <x v="0"/>
    <x v="2"/>
  </r>
  <r>
    <x v="293"/>
    <x v="12"/>
    <x v="2096"/>
    <x v="1"/>
    <x v="1"/>
    <x v="9"/>
    <x v="5"/>
    <x v="0"/>
    <x v="2"/>
  </r>
  <r>
    <x v="293"/>
    <x v="13"/>
    <x v="1988"/>
    <x v="1"/>
    <x v="1"/>
    <x v="9"/>
    <x v="5"/>
    <x v="0"/>
    <x v="2"/>
  </r>
  <r>
    <x v="293"/>
    <x v="14"/>
    <x v="2185"/>
    <x v="1"/>
    <x v="1"/>
    <x v="9"/>
    <x v="5"/>
    <x v="0"/>
    <x v="2"/>
  </r>
  <r>
    <x v="293"/>
    <x v="15"/>
    <x v="2482"/>
    <x v="1"/>
    <x v="1"/>
    <x v="9"/>
    <x v="5"/>
    <x v="0"/>
    <x v="2"/>
  </r>
  <r>
    <x v="293"/>
    <x v="16"/>
    <x v="2778"/>
    <x v="1"/>
    <x v="1"/>
    <x v="9"/>
    <x v="5"/>
    <x v="0"/>
    <x v="0"/>
  </r>
  <r>
    <x v="293"/>
    <x v="17"/>
    <x v="3193"/>
    <x v="1"/>
    <x v="1"/>
    <x v="9"/>
    <x v="5"/>
    <x v="0"/>
    <x v="0"/>
  </r>
  <r>
    <x v="293"/>
    <x v="18"/>
    <x v="3512"/>
    <x v="1"/>
    <x v="1"/>
    <x v="9"/>
    <x v="5"/>
    <x v="0"/>
    <x v="0"/>
  </r>
  <r>
    <x v="293"/>
    <x v="19"/>
    <x v="3277"/>
    <x v="1"/>
    <x v="1"/>
    <x v="9"/>
    <x v="5"/>
    <x v="0"/>
    <x v="0"/>
  </r>
  <r>
    <x v="293"/>
    <x v="20"/>
    <x v="3374"/>
    <x v="1"/>
    <x v="1"/>
    <x v="9"/>
    <x v="5"/>
    <x v="0"/>
    <x v="1"/>
  </r>
  <r>
    <x v="293"/>
    <x v="21"/>
    <x v="3391"/>
    <x v="1"/>
    <x v="1"/>
    <x v="9"/>
    <x v="5"/>
    <x v="0"/>
    <x v="1"/>
  </r>
  <r>
    <x v="293"/>
    <x v="22"/>
    <x v="3161"/>
    <x v="1"/>
    <x v="1"/>
    <x v="9"/>
    <x v="5"/>
    <x v="0"/>
    <x v="1"/>
  </r>
  <r>
    <x v="293"/>
    <x v="23"/>
    <x v="2660"/>
    <x v="1"/>
    <x v="1"/>
    <x v="9"/>
    <x v="5"/>
    <x v="0"/>
    <x v="1"/>
  </r>
  <r>
    <x v="294"/>
    <x v="0"/>
    <x v="1730"/>
    <x v="1"/>
    <x v="1"/>
    <x v="9"/>
    <x v="6"/>
    <x v="0"/>
    <x v="4"/>
  </r>
  <r>
    <x v="294"/>
    <x v="1"/>
    <x v="1005"/>
    <x v="1"/>
    <x v="1"/>
    <x v="9"/>
    <x v="6"/>
    <x v="0"/>
    <x v="4"/>
  </r>
  <r>
    <x v="294"/>
    <x v="2"/>
    <x v="541"/>
    <x v="1"/>
    <x v="1"/>
    <x v="9"/>
    <x v="6"/>
    <x v="0"/>
    <x v="4"/>
  </r>
  <r>
    <x v="294"/>
    <x v="3"/>
    <x v="362"/>
    <x v="1"/>
    <x v="1"/>
    <x v="9"/>
    <x v="6"/>
    <x v="0"/>
    <x v="4"/>
  </r>
  <r>
    <x v="294"/>
    <x v="4"/>
    <x v="542"/>
    <x v="1"/>
    <x v="1"/>
    <x v="9"/>
    <x v="6"/>
    <x v="0"/>
    <x v="4"/>
  </r>
  <r>
    <x v="294"/>
    <x v="5"/>
    <x v="951"/>
    <x v="1"/>
    <x v="1"/>
    <x v="9"/>
    <x v="6"/>
    <x v="0"/>
    <x v="4"/>
  </r>
  <r>
    <x v="294"/>
    <x v="6"/>
    <x v="1778"/>
    <x v="1"/>
    <x v="1"/>
    <x v="9"/>
    <x v="6"/>
    <x v="0"/>
    <x v="3"/>
  </r>
  <r>
    <x v="294"/>
    <x v="7"/>
    <x v="2551"/>
    <x v="1"/>
    <x v="1"/>
    <x v="9"/>
    <x v="6"/>
    <x v="0"/>
    <x v="3"/>
  </r>
  <r>
    <x v="294"/>
    <x v="8"/>
    <x v="3050"/>
    <x v="1"/>
    <x v="1"/>
    <x v="9"/>
    <x v="6"/>
    <x v="0"/>
    <x v="3"/>
  </r>
  <r>
    <x v="294"/>
    <x v="9"/>
    <x v="2803"/>
    <x v="1"/>
    <x v="1"/>
    <x v="9"/>
    <x v="6"/>
    <x v="0"/>
    <x v="3"/>
  </r>
  <r>
    <x v="294"/>
    <x v="10"/>
    <x v="2268"/>
    <x v="1"/>
    <x v="1"/>
    <x v="9"/>
    <x v="6"/>
    <x v="0"/>
    <x v="2"/>
  </r>
  <r>
    <x v="294"/>
    <x v="11"/>
    <x v="2129"/>
    <x v="1"/>
    <x v="1"/>
    <x v="9"/>
    <x v="6"/>
    <x v="0"/>
    <x v="2"/>
  </r>
  <r>
    <x v="294"/>
    <x v="12"/>
    <x v="2151"/>
    <x v="1"/>
    <x v="1"/>
    <x v="9"/>
    <x v="6"/>
    <x v="0"/>
    <x v="2"/>
  </r>
  <r>
    <x v="294"/>
    <x v="13"/>
    <x v="2121"/>
    <x v="1"/>
    <x v="1"/>
    <x v="9"/>
    <x v="6"/>
    <x v="0"/>
    <x v="2"/>
  </r>
  <r>
    <x v="294"/>
    <x v="14"/>
    <x v="2392"/>
    <x v="1"/>
    <x v="1"/>
    <x v="9"/>
    <x v="6"/>
    <x v="0"/>
    <x v="2"/>
  </r>
  <r>
    <x v="294"/>
    <x v="15"/>
    <x v="3321"/>
    <x v="1"/>
    <x v="1"/>
    <x v="9"/>
    <x v="6"/>
    <x v="0"/>
    <x v="2"/>
  </r>
  <r>
    <x v="294"/>
    <x v="16"/>
    <x v="3783"/>
    <x v="1"/>
    <x v="1"/>
    <x v="9"/>
    <x v="6"/>
    <x v="0"/>
    <x v="0"/>
  </r>
  <r>
    <x v="294"/>
    <x v="17"/>
    <x v="3847"/>
    <x v="1"/>
    <x v="1"/>
    <x v="9"/>
    <x v="6"/>
    <x v="0"/>
    <x v="0"/>
  </r>
  <r>
    <x v="294"/>
    <x v="18"/>
    <x v="4118"/>
    <x v="1"/>
    <x v="1"/>
    <x v="9"/>
    <x v="6"/>
    <x v="0"/>
    <x v="0"/>
  </r>
  <r>
    <x v="294"/>
    <x v="19"/>
    <x v="3903"/>
    <x v="1"/>
    <x v="1"/>
    <x v="9"/>
    <x v="6"/>
    <x v="0"/>
    <x v="0"/>
  </r>
  <r>
    <x v="294"/>
    <x v="20"/>
    <x v="3780"/>
    <x v="1"/>
    <x v="1"/>
    <x v="9"/>
    <x v="6"/>
    <x v="0"/>
    <x v="1"/>
  </r>
  <r>
    <x v="294"/>
    <x v="21"/>
    <x v="3795"/>
    <x v="1"/>
    <x v="1"/>
    <x v="9"/>
    <x v="6"/>
    <x v="0"/>
    <x v="1"/>
  </r>
  <r>
    <x v="294"/>
    <x v="22"/>
    <x v="3748"/>
    <x v="1"/>
    <x v="1"/>
    <x v="9"/>
    <x v="6"/>
    <x v="0"/>
    <x v="1"/>
  </r>
  <r>
    <x v="294"/>
    <x v="23"/>
    <x v="3117"/>
    <x v="1"/>
    <x v="1"/>
    <x v="9"/>
    <x v="6"/>
    <x v="0"/>
    <x v="1"/>
  </r>
  <r>
    <x v="295"/>
    <x v="0"/>
    <x v="2027"/>
    <x v="1"/>
    <x v="1"/>
    <x v="9"/>
    <x v="4"/>
    <x v="0"/>
    <x v="4"/>
  </r>
  <r>
    <x v="295"/>
    <x v="1"/>
    <x v="1174"/>
    <x v="1"/>
    <x v="1"/>
    <x v="9"/>
    <x v="4"/>
    <x v="0"/>
    <x v="4"/>
  </r>
  <r>
    <x v="295"/>
    <x v="2"/>
    <x v="656"/>
    <x v="1"/>
    <x v="1"/>
    <x v="9"/>
    <x v="4"/>
    <x v="0"/>
    <x v="4"/>
  </r>
  <r>
    <x v="295"/>
    <x v="3"/>
    <x v="442"/>
    <x v="1"/>
    <x v="1"/>
    <x v="9"/>
    <x v="4"/>
    <x v="0"/>
    <x v="4"/>
  </r>
  <r>
    <x v="295"/>
    <x v="4"/>
    <x v="606"/>
    <x v="1"/>
    <x v="1"/>
    <x v="9"/>
    <x v="4"/>
    <x v="0"/>
    <x v="4"/>
  </r>
  <r>
    <x v="295"/>
    <x v="5"/>
    <x v="1134"/>
    <x v="1"/>
    <x v="1"/>
    <x v="9"/>
    <x v="4"/>
    <x v="0"/>
    <x v="4"/>
  </r>
  <r>
    <x v="295"/>
    <x v="6"/>
    <x v="1852"/>
    <x v="1"/>
    <x v="1"/>
    <x v="9"/>
    <x v="4"/>
    <x v="0"/>
    <x v="3"/>
  </r>
  <r>
    <x v="295"/>
    <x v="7"/>
    <x v="2579"/>
    <x v="1"/>
    <x v="1"/>
    <x v="9"/>
    <x v="4"/>
    <x v="0"/>
    <x v="3"/>
  </r>
  <r>
    <x v="295"/>
    <x v="8"/>
    <x v="3187"/>
    <x v="1"/>
    <x v="1"/>
    <x v="9"/>
    <x v="4"/>
    <x v="0"/>
    <x v="3"/>
  </r>
  <r>
    <x v="295"/>
    <x v="9"/>
    <x v="3061"/>
    <x v="1"/>
    <x v="1"/>
    <x v="9"/>
    <x v="4"/>
    <x v="0"/>
    <x v="3"/>
  </r>
  <r>
    <x v="295"/>
    <x v="10"/>
    <x v="2585"/>
    <x v="1"/>
    <x v="1"/>
    <x v="9"/>
    <x v="4"/>
    <x v="0"/>
    <x v="2"/>
  </r>
  <r>
    <x v="295"/>
    <x v="11"/>
    <x v="2449"/>
    <x v="1"/>
    <x v="1"/>
    <x v="9"/>
    <x v="4"/>
    <x v="0"/>
    <x v="2"/>
  </r>
  <r>
    <x v="295"/>
    <x v="12"/>
    <x v="2458"/>
    <x v="1"/>
    <x v="1"/>
    <x v="9"/>
    <x v="4"/>
    <x v="0"/>
    <x v="2"/>
  </r>
  <r>
    <x v="295"/>
    <x v="13"/>
    <x v="2439"/>
    <x v="1"/>
    <x v="1"/>
    <x v="9"/>
    <x v="4"/>
    <x v="0"/>
    <x v="2"/>
  </r>
  <r>
    <x v="295"/>
    <x v="14"/>
    <x v="2757"/>
    <x v="1"/>
    <x v="1"/>
    <x v="9"/>
    <x v="4"/>
    <x v="0"/>
    <x v="2"/>
  </r>
  <r>
    <x v="295"/>
    <x v="15"/>
    <x v="3095"/>
    <x v="1"/>
    <x v="1"/>
    <x v="9"/>
    <x v="4"/>
    <x v="0"/>
    <x v="2"/>
  </r>
  <r>
    <x v="295"/>
    <x v="16"/>
    <x v="3423"/>
    <x v="1"/>
    <x v="1"/>
    <x v="9"/>
    <x v="4"/>
    <x v="0"/>
    <x v="0"/>
  </r>
  <r>
    <x v="295"/>
    <x v="17"/>
    <x v="3749"/>
    <x v="1"/>
    <x v="1"/>
    <x v="9"/>
    <x v="4"/>
    <x v="0"/>
    <x v="0"/>
  </r>
  <r>
    <x v="295"/>
    <x v="18"/>
    <x v="4094"/>
    <x v="1"/>
    <x v="1"/>
    <x v="9"/>
    <x v="4"/>
    <x v="0"/>
    <x v="0"/>
  </r>
  <r>
    <x v="295"/>
    <x v="19"/>
    <x v="4104"/>
    <x v="1"/>
    <x v="1"/>
    <x v="9"/>
    <x v="4"/>
    <x v="0"/>
    <x v="0"/>
  </r>
  <r>
    <x v="295"/>
    <x v="20"/>
    <x v="4009"/>
    <x v="1"/>
    <x v="1"/>
    <x v="9"/>
    <x v="4"/>
    <x v="0"/>
    <x v="1"/>
  </r>
  <r>
    <x v="295"/>
    <x v="21"/>
    <x v="4160"/>
    <x v="1"/>
    <x v="1"/>
    <x v="9"/>
    <x v="4"/>
    <x v="0"/>
    <x v="1"/>
  </r>
  <r>
    <x v="295"/>
    <x v="22"/>
    <x v="4158"/>
    <x v="1"/>
    <x v="1"/>
    <x v="9"/>
    <x v="4"/>
    <x v="0"/>
    <x v="1"/>
  </r>
  <r>
    <x v="295"/>
    <x v="23"/>
    <x v="3935"/>
    <x v="1"/>
    <x v="1"/>
    <x v="9"/>
    <x v="4"/>
    <x v="0"/>
    <x v="1"/>
  </r>
  <r>
    <x v="296"/>
    <x v="0"/>
    <x v="2895"/>
    <x v="1"/>
    <x v="1"/>
    <x v="9"/>
    <x v="0"/>
    <x v="0"/>
    <x v="4"/>
  </r>
  <r>
    <x v="296"/>
    <x v="1"/>
    <x v="1716"/>
    <x v="1"/>
    <x v="1"/>
    <x v="9"/>
    <x v="0"/>
    <x v="0"/>
    <x v="4"/>
  </r>
  <r>
    <x v="296"/>
    <x v="2"/>
    <x v="1088"/>
    <x v="1"/>
    <x v="1"/>
    <x v="9"/>
    <x v="0"/>
    <x v="0"/>
    <x v="4"/>
  </r>
  <r>
    <x v="296"/>
    <x v="3"/>
    <x v="682"/>
    <x v="1"/>
    <x v="1"/>
    <x v="9"/>
    <x v="0"/>
    <x v="0"/>
    <x v="4"/>
  </r>
  <r>
    <x v="296"/>
    <x v="4"/>
    <x v="844"/>
    <x v="1"/>
    <x v="1"/>
    <x v="9"/>
    <x v="0"/>
    <x v="0"/>
    <x v="4"/>
  </r>
  <r>
    <x v="296"/>
    <x v="5"/>
    <x v="1159"/>
    <x v="1"/>
    <x v="1"/>
    <x v="9"/>
    <x v="0"/>
    <x v="0"/>
    <x v="4"/>
  </r>
  <r>
    <x v="296"/>
    <x v="6"/>
    <x v="1790"/>
    <x v="1"/>
    <x v="1"/>
    <x v="9"/>
    <x v="0"/>
    <x v="0"/>
    <x v="3"/>
  </r>
  <r>
    <x v="296"/>
    <x v="7"/>
    <x v="2553"/>
    <x v="1"/>
    <x v="1"/>
    <x v="9"/>
    <x v="0"/>
    <x v="0"/>
    <x v="3"/>
  </r>
  <r>
    <x v="296"/>
    <x v="8"/>
    <x v="3181"/>
    <x v="1"/>
    <x v="1"/>
    <x v="9"/>
    <x v="0"/>
    <x v="0"/>
    <x v="3"/>
  </r>
  <r>
    <x v="296"/>
    <x v="9"/>
    <x v="3177"/>
    <x v="1"/>
    <x v="1"/>
    <x v="9"/>
    <x v="0"/>
    <x v="0"/>
    <x v="3"/>
  </r>
  <r>
    <x v="296"/>
    <x v="10"/>
    <x v="2740"/>
    <x v="1"/>
    <x v="1"/>
    <x v="9"/>
    <x v="0"/>
    <x v="0"/>
    <x v="2"/>
  </r>
  <r>
    <x v="296"/>
    <x v="11"/>
    <x v="2634"/>
    <x v="1"/>
    <x v="1"/>
    <x v="9"/>
    <x v="0"/>
    <x v="0"/>
    <x v="2"/>
  </r>
  <r>
    <x v="296"/>
    <x v="12"/>
    <x v="2552"/>
    <x v="1"/>
    <x v="1"/>
    <x v="9"/>
    <x v="0"/>
    <x v="0"/>
    <x v="2"/>
  </r>
  <r>
    <x v="296"/>
    <x v="13"/>
    <x v="2526"/>
    <x v="1"/>
    <x v="1"/>
    <x v="9"/>
    <x v="0"/>
    <x v="0"/>
    <x v="2"/>
  </r>
  <r>
    <x v="296"/>
    <x v="14"/>
    <x v="2840"/>
    <x v="1"/>
    <x v="1"/>
    <x v="9"/>
    <x v="0"/>
    <x v="0"/>
    <x v="2"/>
  </r>
  <r>
    <x v="296"/>
    <x v="15"/>
    <x v="3108"/>
    <x v="1"/>
    <x v="1"/>
    <x v="9"/>
    <x v="0"/>
    <x v="0"/>
    <x v="2"/>
  </r>
  <r>
    <x v="296"/>
    <x v="16"/>
    <x v="3369"/>
    <x v="1"/>
    <x v="1"/>
    <x v="9"/>
    <x v="0"/>
    <x v="0"/>
    <x v="0"/>
  </r>
  <r>
    <x v="296"/>
    <x v="17"/>
    <x v="3637"/>
    <x v="1"/>
    <x v="1"/>
    <x v="9"/>
    <x v="0"/>
    <x v="0"/>
    <x v="0"/>
  </r>
  <r>
    <x v="296"/>
    <x v="18"/>
    <x v="3991"/>
    <x v="1"/>
    <x v="1"/>
    <x v="9"/>
    <x v="0"/>
    <x v="0"/>
    <x v="0"/>
  </r>
  <r>
    <x v="296"/>
    <x v="19"/>
    <x v="4154"/>
    <x v="1"/>
    <x v="1"/>
    <x v="9"/>
    <x v="0"/>
    <x v="0"/>
    <x v="0"/>
  </r>
  <r>
    <x v="296"/>
    <x v="20"/>
    <x v="4181"/>
    <x v="1"/>
    <x v="1"/>
    <x v="9"/>
    <x v="0"/>
    <x v="0"/>
    <x v="1"/>
  </r>
  <r>
    <x v="296"/>
    <x v="21"/>
    <x v="4163"/>
    <x v="1"/>
    <x v="1"/>
    <x v="9"/>
    <x v="0"/>
    <x v="0"/>
    <x v="1"/>
  </r>
  <r>
    <x v="296"/>
    <x v="22"/>
    <x v="4193"/>
    <x v="1"/>
    <x v="1"/>
    <x v="9"/>
    <x v="0"/>
    <x v="0"/>
    <x v="1"/>
  </r>
  <r>
    <x v="296"/>
    <x v="23"/>
    <x v="4200"/>
    <x v="1"/>
    <x v="1"/>
    <x v="9"/>
    <x v="0"/>
    <x v="0"/>
    <x v="1"/>
  </r>
  <r>
    <x v="297"/>
    <x v="0"/>
    <x v="4135"/>
    <x v="1"/>
    <x v="1"/>
    <x v="9"/>
    <x v="2"/>
    <x v="1"/>
    <x v="4"/>
  </r>
  <r>
    <x v="297"/>
    <x v="1"/>
    <x v="3543"/>
    <x v="1"/>
    <x v="1"/>
    <x v="9"/>
    <x v="2"/>
    <x v="1"/>
    <x v="4"/>
  </r>
  <r>
    <x v="297"/>
    <x v="2"/>
    <x v="2561"/>
    <x v="1"/>
    <x v="1"/>
    <x v="9"/>
    <x v="2"/>
    <x v="1"/>
    <x v="4"/>
  </r>
  <r>
    <x v="297"/>
    <x v="3"/>
    <x v="1822"/>
    <x v="1"/>
    <x v="1"/>
    <x v="9"/>
    <x v="2"/>
    <x v="1"/>
    <x v="4"/>
  </r>
  <r>
    <x v="297"/>
    <x v="4"/>
    <x v="1387"/>
    <x v="1"/>
    <x v="1"/>
    <x v="9"/>
    <x v="2"/>
    <x v="1"/>
    <x v="4"/>
  </r>
  <r>
    <x v="297"/>
    <x v="5"/>
    <x v="1009"/>
    <x v="1"/>
    <x v="1"/>
    <x v="9"/>
    <x v="2"/>
    <x v="1"/>
    <x v="4"/>
  </r>
  <r>
    <x v="297"/>
    <x v="6"/>
    <x v="1016"/>
    <x v="1"/>
    <x v="1"/>
    <x v="9"/>
    <x v="2"/>
    <x v="1"/>
    <x v="3"/>
  </r>
  <r>
    <x v="297"/>
    <x v="7"/>
    <x v="1206"/>
    <x v="1"/>
    <x v="1"/>
    <x v="9"/>
    <x v="2"/>
    <x v="1"/>
    <x v="3"/>
  </r>
  <r>
    <x v="297"/>
    <x v="8"/>
    <x v="1740"/>
    <x v="1"/>
    <x v="1"/>
    <x v="9"/>
    <x v="2"/>
    <x v="1"/>
    <x v="3"/>
  </r>
  <r>
    <x v="297"/>
    <x v="9"/>
    <x v="2128"/>
    <x v="1"/>
    <x v="1"/>
    <x v="9"/>
    <x v="2"/>
    <x v="1"/>
    <x v="3"/>
  </r>
  <r>
    <x v="297"/>
    <x v="10"/>
    <x v="2464"/>
    <x v="1"/>
    <x v="1"/>
    <x v="9"/>
    <x v="2"/>
    <x v="1"/>
    <x v="2"/>
  </r>
  <r>
    <x v="297"/>
    <x v="11"/>
    <x v="2649"/>
    <x v="1"/>
    <x v="1"/>
    <x v="9"/>
    <x v="2"/>
    <x v="1"/>
    <x v="2"/>
  </r>
  <r>
    <x v="297"/>
    <x v="12"/>
    <x v="2931"/>
    <x v="1"/>
    <x v="1"/>
    <x v="9"/>
    <x v="2"/>
    <x v="1"/>
    <x v="2"/>
  </r>
  <r>
    <x v="297"/>
    <x v="13"/>
    <x v="3195"/>
    <x v="1"/>
    <x v="1"/>
    <x v="9"/>
    <x v="2"/>
    <x v="1"/>
    <x v="2"/>
  </r>
  <r>
    <x v="297"/>
    <x v="14"/>
    <x v="3321"/>
    <x v="1"/>
    <x v="1"/>
    <x v="9"/>
    <x v="2"/>
    <x v="1"/>
    <x v="2"/>
  </r>
  <r>
    <x v="297"/>
    <x v="15"/>
    <x v="3424"/>
    <x v="1"/>
    <x v="1"/>
    <x v="9"/>
    <x v="2"/>
    <x v="1"/>
    <x v="2"/>
  </r>
  <r>
    <x v="297"/>
    <x v="16"/>
    <x v="3674"/>
    <x v="1"/>
    <x v="1"/>
    <x v="9"/>
    <x v="2"/>
    <x v="1"/>
    <x v="0"/>
  </r>
  <r>
    <x v="297"/>
    <x v="17"/>
    <x v="3910"/>
    <x v="1"/>
    <x v="1"/>
    <x v="9"/>
    <x v="2"/>
    <x v="1"/>
    <x v="0"/>
  </r>
  <r>
    <x v="297"/>
    <x v="18"/>
    <x v="4060"/>
    <x v="1"/>
    <x v="1"/>
    <x v="9"/>
    <x v="2"/>
    <x v="1"/>
    <x v="0"/>
  </r>
  <r>
    <x v="297"/>
    <x v="19"/>
    <x v="4138"/>
    <x v="1"/>
    <x v="1"/>
    <x v="9"/>
    <x v="2"/>
    <x v="1"/>
    <x v="0"/>
  </r>
  <r>
    <x v="297"/>
    <x v="20"/>
    <x v="4124"/>
    <x v="1"/>
    <x v="1"/>
    <x v="9"/>
    <x v="2"/>
    <x v="1"/>
    <x v="1"/>
  </r>
  <r>
    <x v="297"/>
    <x v="21"/>
    <x v="4107"/>
    <x v="1"/>
    <x v="1"/>
    <x v="9"/>
    <x v="2"/>
    <x v="1"/>
    <x v="1"/>
  </r>
  <r>
    <x v="297"/>
    <x v="22"/>
    <x v="4171"/>
    <x v="1"/>
    <x v="1"/>
    <x v="9"/>
    <x v="2"/>
    <x v="1"/>
    <x v="1"/>
  </r>
  <r>
    <x v="297"/>
    <x v="23"/>
    <x v="4195"/>
    <x v="1"/>
    <x v="1"/>
    <x v="9"/>
    <x v="2"/>
    <x v="1"/>
    <x v="1"/>
  </r>
  <r>
    <x v="298"/>
    <x v="0"/>
    <x v="4186"/>
    <x v="1"/>
    <x v="1"/>
    <x v="9"/>
    <x v="3"/>
    <x v="1"/>
    <x v="4"/>
  </r>
  <r>
    <x v="298"/>
    <x v="1"/>
    <x v="3965"/>
    <x v="1"/>
    <x v="1"/>
    <x v="9"/>
    <x v="3"/>
    <x v="1"/>
    <x v="4"/>
  </r>
  <r>
    <x v="298"/>
    <x v="2"/>
    <x v="3344"/>
    <x v="1"/>
    <x v="1"/>
    <x v="9"/>
    <x v="3"/>
    <x v="1"/>
    <x v="4"/>
  </r>
  <r>
    <x v="298"/>
    <x v="3"/>
    <x v="2423"/>
    <x v="1"/>
    <x v="1"/>
    <x v="9"/>
    <x v="3"/>
    <x v="1"/>
    <x v="4"/>
  </r>
  <r>
    <x v="298"/>
    <x v="4"/>
    <x v="1737"/>
    <x v="1"/>
    <x v="1"/>
    <x v="9"/>
    <x v="3"/>
    <x v="1"/>
    <x v="4"/>
  </r>
  <r>
    <x v="298"/>
    <x v="5"/>
    <x v="1091"/>
    <x v="1"/>
    <x v="1"/>
    <x v="9"/>
    <x v="3"/>
    <x v="1"/>
    <x v="4"/>
  </r>
  <r>
    <x v="298"/>
    <x v="6"/>
    <x v="964"/>
    <x v="1"/>
    <x v="1"/>
    <x v="9"/>
    <x v="3"/>
    <x v="1"/>
    <x v="3"/>
  </r>
  <r>
    <x v="298"/>
    <x v="7"/>
    <x v="1092"/>
    <x v="1"/>
    <x v="1"/>
    <x v="9"/>
    <x v="3"/>
    <x v="1"/>
    <x v="3"/>
  </r>
  <r>
    <x v="298"/>
    <x v="8"/>
    <x v="1414"/>
    <x v="1"/>
    <x v="1"/>
    <x v="9"/>
    <x v="3"/>
    <x v="1"/>
    <x v="3"/>
  </r>
  <r>
    <x v="298"/>
    <x v="9"/>
    <x v="1886"/>
    <x v="1"/>
    <x v="1"/>
    <x v="9"/>
    <x v="3"/>
    <x v="1"/>
    <x v="3"/>
  </r>
  <r>
    <x v="298"/>
    <x v="10"/>
    <x v="2603"/>
    <x v="1"/>
    <x v="1"/>
    <x v="9"/>
    <x v="3"/>
    <x v="1"/>
    <x v="2"/>
  </r>
  <r>
    <x v="298"/>
    <x v="11"/>
    <x v="2898"/>
    <x v="1"/>
    <x v="1"/>
    <x v="9"/>
    <x v="3"/>
    <x v="1"/>
    <x v="2"/>
  </r>
  <r>
    <x v="298"/>
    <x v="12"/>
    <x v="3161"/>
    <x v="1"/>
    <x v="1"/>
    <x v="9"/>
    <x v="3"/>
    <x v="1"/>
    <x v="2"/>
  </r>
  <r>
    <x v="298"/>
    <x v="13"/>
    <x v="3224"/>
    <x v="1"/>
    <x v="1"/>
    <x v="9"/>
    <x v="3"/>
    <x v="1"/>
    <x v="2"/>
  </r>
  <r>
    <x v="298"/>
    <x v="14"/>
    <x v="3199"/>
    <x v="1"/>
    <x v="1"/>
    <x v="9"/>
    <x v="3"/>
    <x v="1"/>
    <x v="2"/>
  </r>
  <r>
    <x v="298"/>
    <x v="15"/>
    <x v="3264"/>
    <x v="1"/>
    <x v="1"/>
    <x v="9"/>
    <x v="3"/>
    <x v="1"/>
    <x v="2"/>
  </r>
  <r>
    <x v="298"/>
    <x v="16"/>
    <x v="3381"/>
    <x v="1"/>
    <x v="1"/>
    <x v="9"/>
    <x v="3"/>
    <x v="1"/>
    <x v="0"/>
  </r>
  <r>
    <x v="298"/>
    <x v="17"/>
    <x v="3442"/>
    <x v="1"/>
    <x v="1"/>
    <x v="9"/>
    <x v="3"/>
    <x v="1"/>
    <x v="0"/>
  </r>
  <r>
    <x v="298"/>
    <x v="18"/>
    <x v="3383"/>
    <x v="1"/>
    <x v="1"/>
    <x v="9"/>
    <x v="3"/>
    <x v="1"/>
    <x v="0"/>
  </r>
  <r>
    <x v="298"/>
    <x v="19"/>
    <x v="3339"/>
    <x v="1"/>
    <x v="1"/>
    <x v="9"/>
    <x v="3"/>
    <x v="1"/>
    <x v="0"/>
  </r>
  <r>
    <x v="298"/>
    <x v="20"/>
    <x v="3232"/>
    <x v="1"/>
    <x v="1"/>
    <x v="9"/>
    <x v="3"/>
    <x v="1"/>
    <x v="1"/>
  </r>
  <r>
    <x v="298"/>
    <x v="21"/>
    <x v="3120"/>
    <x v="1"/>
    <x v="1"/>
    <x v="9"/>
    <x v="3"/>
    <x v="1"/>
    <x v="1"/>
  </r>
  <r>
    <x v="298"/>
    <x v="22"/>
    <x v="2991"/>
    <x v="1"/>
    <x v="1"/>
    <x v="9"/>
    <x v="3"/>
    <x v="1"/>
    <x v="1"/>
  </r>
  <r>
    <x v="298"/>
    <x v="23"/>
    <x v="2556"/>
    <x v="1"/>
    <x v="1"/>
    <x v="9"/>
    <x v="3"/>
    <x v="1"/>
    <x v="1"/>
  </r>
  <r>
    <x v="299"/>
    <x v="0"/>
    <x v="1496"/>
    <x v="1"/>
    <x v="1"/>
    <x v="9"/>
    <x v="1"/>
    <x v="0"/>
    <x v="4"/>
  </r>
  <r>
    <x v="299"/>
    <x v="1"/>
    <x v="884"/>
    <x v="1"/>
    <x v="1"/>
    <x v="9"/>
    <x v="1"/>
    <x v="0"/>
    <x v="4"/>
  </r>
  <r>
    <x v="299"/>
    <x v="2"/>
    <x v="421"/>
    <x v="1"/>
    <x v="1"/>
    <x v="9"/>
    <x v="1"/>
    <x v="0"/>
    <x v="4"/>
  </r>
  <r>
    <x v="299"/>
    <x v="3"/>
    <x v="345"/>
    <x v="1"/>
    <x v="1"/>
    <x v="9"/>
    <x v="1"/>
    <x v="0"/>
    <x v="4"/>
  </r>
  <r>
    <x v="299"/>
    <x v="4"/>
    <x v="653"/>
    <x v="1"/>
    <x v="1"/>
    <x v="9"/>
    <x v="1"/>
    <x v="0"/>
    <x v="4"/>
  </r>
  <r>
    <x v="299"/>
    <x v="5"/>
    <x v="1163"/>
    <x v="1"/>
    <x v="1"/>
    <x v="9"/>
    <x v="1"/>
    <x v="0"/>
    <x v="4"/>
  </r>
  <r>
    <x v="299"/>
    <x v="6"/>
    <x v="1845"/>
    <x v="1"/>
    <x v="1"/>
    <x v="9"/>
    <x v="1"/>
    <x v="0"/>
    <x v="3"/>
  </r>
  <r>
    <x v="299"/>
    <x v="7"/>
    <x v="2518"/>
    <x v="1"/>
    <x v="1"/>
    <x v="9"/>
    <x v="1"/>
    <x v="0"/>
    <x v="3"/>
  </r>
  <r>
    <x v="299"/>
    <x v="8"/>
    <x v="3014"/>
    <x v="1"/>
    <x v="1"/>
    <x v="9"/>
    <x v="1"/>
    <x v="0"/>
    <x v="3"/>
  </r>
  <r>
    <x v="299"/>
    <x v="9"/>
    <x v="2859"/>
    <x v="1"/>
    <x v="1"/>
    <x v="9"/>
    <x v="1"/>
    <x v="0"/>
    <x v="3"/>
  </r>
  <r>
    <x v="299"/>
    <x v="10"/>
    <x v="2313"/>
    <x v="1"/>
    <x v="1"/>
    <x v="9"/>
    <x v="1"/>
    <x v="0"/>
    <x v="2"/>
  </r>
  <r>
    <x v="299"/>
    <x v="11"/>
    <x v="2070"/>
    <x v="1"/>
    <x v="1"/>
    <x v="9"/>
    <x v="1"/>
    <x v="0"/>
    <x v="2"/>
  </r>
  <r>
    <x v="299"/>
    <x v="12"/>
    <x v="2085"/>
    <x v="1"/>
    <x v="1"/>
    <x v="9"/>
    <x v="1"/>
    <x v="0"/>
    <x v="2"/>
  </r>
  <r>
    <x v="299"/>
    <x v="13"/>
    <x v="2060"/>
    <x v="1"/>
    <x v="1"/>
    <x v="9"/>
    <x v="1"/>
    <x v="0"/>
    <x v="2"/>
  </r>
  <r>
    <x v="299"/>
    <x v="14"/>
    <x v="2266"/>
    <x v="1"/>
    <x v="1"/>
    <x v="9"/>
    <x v="1"/>
    <x v="0"/>
    <x v="2"/>
  </r>
  <r>
    <x v="299"/>
    <x v="15"/>
    <x v="2473"/>
    <x v="1"/>
    <x v="1"/>
    <x v="9"/>
    <x v="1"/>
    <x v="0"/>
    <x v="2"/>
  </r>
  <r>
    <x v="299"/>
    <x v="16"/>
    <x v="2598"/>
    <x v="1"/>
    <x v="1"/>
    <x v="9"/>
    <x v="1"/>
    <x v="0"/>
    <x v="0"/>
  </r>
  <r>
    <x v="299"/>
    <x v="17"/>
    <x v="2964"/>
    <x v="1"/>
    <x v="1"/>
    <x v="9"/>
    <x v="1"/>
    <x v="0"/>
    <x v="0"/>
  </r>
  <r>
    <x v="299"/>
    <x v="18"/>
    <x v="3271"/>
    <x v="1"/>
    <x v="1"/>
    <x v="9"/>
    <x v="1"/>
    <x v="0"/>
    <x v="0"/>
  </r>
  <r>
    <x v="299"/>
    <x v="19"/>
    <x v="3136"/>
    <x v="1"/>
    <x v="1"/>
    <x v="9"/>
    <x v="1"/>
    <x v="0"/>
    <x v="0"/>
  </r>
  <r>
    <x v="299"/>
    <x v="20"/>
    <x v="3193"/>
    <x v="1"/>
    <x v="1"/>
    <x v="9"/>
    <x v="1"/>
    <x v="0"/>
    <x v="1"/>
  </r>
  <r>
    <x v="299"/>
    <x v="21"/>
    <x v="3200"/>
    <x v="1"/>
    <x v="1"/>
    <x v="9"/>
    <x v="1"/>
    <x v="0"/>
    <x v="1"/>
  </r>
  <r>
    <x v="299"/>
    <x v="22"/>
    <x v="3015"/>
    <x v="1"/>
    <x v="1"/>
    <x v="9"/>
    <x v="1"/>
    <x v="0"/>
    <x v="1"/>
  </r>
  <r>
    <x v="299"/>
    <x v="23"/>
    <x v="2384"/>
    <x v="1"/>
    <x v="1"/>
    <x v="9"/>
    <x v="1"/>
    <x v="0"/>
    <x v="1"/>
  </r>
  <r>
    <x v="300"/>
    <x v="0"/>
    <x v="1669"/>
    <x v="1"/>
    <x v="1"/>
    <x v="9"/>
    <x v="5"/>
    <x v="0"/>
    <x v="4"/>
  </r>
  <r>
    <x v="300"/>
    <x v="1"/>
    <x v="919"/>
    <x v="1"/>
    <x v="1"/>
    <x v="9"/>
    <x v="5"/>
    <x v="0"/>
    <x v="4"/>
  </r>
  <r>
    <x v="300"/>
    <x v="2"/>
    <x v="488"/>
    <x v="1"/>
    <x v="1"/>
    <x v="9"/>
    <x v="5"/>
    <x v="0"/>
    <x v="4"/>
  </r>
  <r>
    <x v="300"/>
    <x v="3"/>
    <x v="290"/>
    <x v="1"/>
    <x v="1"/>
    <x v="9"/>
    <x v="5"/>
    <x v="0"/>
    <x v="4"/>
  </r>
  <r>
    <x v="300"/>
    <x v="4"/>
    <x v="449"/>
    <x v="1"/>
    <x v="1"/>
    <x v="9"/>
    <x v="5"/>
    <x v="0"/>
    <x v="4"/>
  </r>
  <r>
    <x v="300"/>
    <x v="5"/>
    <x v="967"/>
    <x v="1"/>
    <x v="1"/>
    <x v="9"/>
    <x v="5"/>
    <x v="0"/>
    <x v="4"/>
  </r>
  <r>
    <x v="300"/>
    <x v="6"/>
    <x v="1687"/>
    <x v="1"/>
    <x v="1"/>
    <x v="9"/>
    <x v="5"/>
    <x v="0"/>
    <x v="3"/>
  </r>
  <r>
    <x v="300"/>
    <x v="7"/>
    <x v="2516"/>
    <x v="1"/>
    <x v="1"/>
    <x v="9"/>
    <x v="5"/>
    <x v="0"/>
    <x v="3"/>
  </r>
  <r>
    <x v="300"/>
    <x v="8"/>
    <x v="3022"/>
    <x v="1"/>
    <x v="1"/>
    <x v="9"/>
    <x v="5"/>
    <x v="0"/>
    <x v="3"/>
  </r>
  <r>
    <x v="300"/>
    <x v="9"/>
    <x v="2827"/>
    <x v="1"/>
    <x v="1"/>
    <x v="9"/>
    <x v="5"/>
    <x v="0"/>
    <x v="3"/>
  </r>
  <r>
    <x v="300"/>
    <x v="10"/>
    <x v="2363"/>
    <x v="1"/>
    <x v="1"/>
    <x v="9"/>
    <x v="5"/>
    <x v="0"/>
    <x v="2"/>
  </r>
  <r>
    <x v="300"/>
    <x v="11"/>
    <x v="2037"/>
    <x v="1"/>
    <x v="1"/>
    <x v="9"/>
    <x v="5"/>
    <x v="0"/>
    <x v="2"/>
  </r>
  <r>
    <x v="300"/>
    <x v="12"/>
    <x v="2095"/>
    <x v="1"/>
    <x v="1"/>
    <x v="9"/>
    <x v="5"/>
    <x v="0"/>
    <x v="2"/>
  </r>
  <r>
    <x v="300"/>
    <x v="13"/>
    <x v="2050"/>
    <x v="1"/>
    <x v="1"/>
    <x v="9"/>
    <x v="5"/>
    <x v="0"/>
    <x v="2"/>
  </r>
  <r>
    <x v="300"/>
    <x v="14"/>
    <x v="2271"/>
    <x v="1"/>
    <x v="1"/>
    <x v="9"/>
    <x v="5"/>
    <x v="0"/>
    <x v="2"/>
  </r>
  <r>
    <x v="300"/>
    <x v="15"/>
    <x v="2530"/>
    <x v="1"/>
    <x v="1"/>
    <x v="9"/>
    <x v="5"/>
    <x v="0"/>
    <x v="2"/>
  </r>
  <r>
    <x v="300"/>
    <x v="16"/>
    <x v="2864"/>
    <x v="1"/>
    <x v="1"/>
    <x v="9"/>
    <x v="5"/>
    <x v="0"/>
    <x v="0"/>
  </r>
  <r>
    <x v="300"/>
    <x v="17"/>
    <x v="3251"/>
    <x v="1"/>
    <x v="1"/>
    <x v="9"/>
    <x v="5"/>
    <x v="0"/>
    <x v="0"/>
  </r>
  <r>
    <x v="300"/>
    <x v="18"/>
    <x v="3605"/>
    <x v="1"/>
    <x v="1"/>
    <x v="9"/>
    <x v="5"/>
    <x v="0"/>
    <x v="0"/>
  </r>
  <r>
    <x v="300"/>
    <x v="19"/>
    <x v="3418"/>
    <x v="1"/>
    <x v="1"/>
    <x v="9"/>
    <x v="5"/>
    <x v="0"/>
    <x v="0"/>
  </r>
  <r>
    <x v="300"/>
    <x v="20"/>
    <x v="3367"/>
    <x v="1"/>
    <x v="1"/>
    <x v="9"/>
    <x v="5"/>
    <x v="0"/>
    <x v="1"/>
  </r>
  <r>
    <x v="300"/>
    <x v="21"/>
    <x v="3516"/>
    <x v="1"/>
    <x v="1"/>
    <x v="9"/>
    <x v="5"/>
    <x v="0"/>
    <x v="1"/>
  </r>
  <r>
    <x v="300"/>
    <x v="22"/>
    <x v="3343"/>
    <x v="1"/>
    <x v="1"/>
    <x v="9"/>
    <x v="5"/>
    <x v="0"/>
    <x v="1"/>
  </r>
  <r>
    <x v="300"/>
    <x v="23"/>
    <x v="2721"/>
    <x v="1"/>
    <x v="1"/>
    <x v="9"/>
    <x v="5"/>
    <x v="0"/>
    <x v="1"/>
  </r>
  <r>
    <x v="301"/>
    <x v="0"/>
    <x v="1900"/>
    <x v="1"/>
    <x v="1"/>
    <x v="9"/>
    <x v="6"/>
    <x v="0"/>
    <x v="4"/>
  </r>
  <r>
    <x v="301"/>
    <x v="1"/>
    <x v="1114"/>
    <x v="1"/>
    <x v="1"/>
    <x v="9"/>
    <x v="6"/>
    <x v="0"/>
    <x v="4"/>
  </r>
  <r>
    <x v="301"/>
    <x v="2"/>
    <x v="644"/>
    <x v="1"/>
    <x v="1"/>
    <x v="9"/>
    <x v="6"/>
    <x v="0"/>
    <x v="4"/>
  </r>
  <r>
    <x v="301"/>
    <x v="3"/>
    <x v="426"/>
    <x v="1"/>
    <x v="1"/>
    <x v="9"/>
    <x v="6"/>
    <x v="0"/>
    <x v="4"/>
  </r>
  <r>
    <x v="301"/>
    <x v="4"/>
    <x v="554"/>
    <x v="1"/>
    <x v="1"/>
    <x v="9"/>
    <x v="6"/>
    <x v="0"/>
    <x v="4"/>
  </r>
  <r>
    <x v="301"/>
    <x v="5"/>
    <x v="976"/>
    <x v="1"/>
    <x v="1"/>
    <x v="9"/>
    <x v="6"/>
    <x v="0"/>
    <x v="4"/>
  </r>
  <r>
    <x v="301"/>
    <x v="6"/>
    <x v="1733"/>
    <x v="1"/>
    <x v="1"/>
    <x v="9"/>
    <x v="6"/>
    <x v="0"/>
    <x v="3"/>
  </r>
  <r>
    <x v="301"/>
    <x v="7"/>
    <x v="2492"/>
    <x v="1"/>
    <x v="1"/>
    <x v="9"/>
    <x v="6"/>
    <x v="0"/>
    <x v="3"/>
  </r>
  <r>
    <x v="301"/>
    <x v="8"/>
    <x v="3003"/>
    <x v="1"/>
    <x v="1"/>
    <x v="9"/>
    <x v="6"/>
    <x v="0"/>
    <x v="3"/>
  </r>
  <r>
    <x v="301"/>
    <x v="9"/>
    <x v="2878"/>
    <x v="1"/>
    <x v="1"/>
    <x v="9"/>
    <x v="6"/>
    <x v="0"/>
    <x v="3"/>
  </r>
  <r>
    <x v="301"/>
    <x v="10"/>
    <x v="2276"/>
    <x v="1"/>
    <x v="1"/>
    <x v="9"/>
    <x v="6"/>
    <x v="0"/>
    <x v="2"/>
  </r>
  <r>
    <x v="301"/>
    <x v="11"/>
    <x v="2219"/>
    <x v="1"/>
    <x v="1"/>
    <x v="9"/>
    <x v="6"/>
    <x v="0"/>
    <x v="2"/>
  </r>
  <r>
    <x v="301"/>
    <x v="12"/>
    <x v="2215"/>
    <x v="1"/>
    <x v="1"/>
    <x v="9"/>
    <x v="6"/>
    <x v="0"/>
    <x v="2"/>
  </r>
  <r>
    <x v="301"/>
    <x v="13"/>
    <x v="2184"/>
    <x v="1"/>
    <x v="1"/>
    <x v="9"/>
    <x v="6"/>
    <x v="0"/>
    <x v="2"/>
  </r>
  <r>
    <x v="301"/>
    <x v="14"/>
    <x v="2391"/>
    <x v="1"/>
    <x v="1"/>
    <x v="9"/>
    <x v="6"/>
    <x v="0"/>
    <x v="2"/>
  </r>
  <r>
    <x v="301"/>
    <x v="15"/>
    <x v="2659"/>
    <x v="1"/>
    <x v="1"/>
    <x v="9"/>
    <x v="6"/>
    <x v="0"/>
    <x v="2"/>
  </r>
  <r>
    <x v="301"/>
    <x v="16"/>
    <x v="2921"/>
    <x v="1"/>
    <x v="1"/>
    <x v="9"/>
    <x v="6"/>
    <x v="0"/>
    <x v="0"/>
  </r>
  <r>
    <x v="301"/>
    <x v="17"/>
    <x v="3260"/>
    <x v="1"/>
    <x v="1"/>
    <x v="9"/>
    <x v="6"/>
    <x v="0"/>
    <x v="0"/>
  </r>
  <r>
    <x v="301"/>
    <x v="18"/>
    <x v="3609"/>
    <x v="1"/>
    <x v="1"/>
    <x v="9"/>
    <x v="6"/>
    <x v="0"/>
    <x v="0"/>
  </r>
  <r>
    <x v="301"/>
    <x v="19"/>
    <x v="3651"/>
    <x v="1"/>
    <x v="1"/>
    <x v="9"/>
    <x v="6"/>
    <x v="0"/>
    <x v="0"/>
  </r>
  <r>
    <x v="301"/>
    <x v="20"/>
    <x v="3755"/>
    <x v="1"/>
    <x v="1"/>
    <x v="9"/>
    <x v="6"/>
    <x v="0"/>
    <x v="1"/>
  </r>
  <r>
    <x v="301"/>
    <x v="21"/>
    <x v="3841"/>
    <x v="1"/>
    <x v="1"/>
    <x v="9"/>
    <x v="6"/>
    <x v="0"/>
    <x v="1"/>
  </r>
  <r>
    <x v="301"/>
    <x v="22"/>
    <x v="3817"/>
    <x v="1"/>
    <x v="1"/>
    <x v="9"/>
    <x v="6"/>
    <x v="0"/>
    <x v="1"/>
  </r>
  <r>
    <x v="301"/>
    <x v="23"/>
    <x v="3290"/>
    <x v="1"/>
    <x v="1"/>
    <x v="9"/>
    <x v="6"/>
    <x v="0"/>
    <x v="1"/>
  </r>
  <r>
    <x v="302"/>
    <x v="0"/>
    <x v="2261"/>
    <x v="1"/>
    <x v="1"/>
    <x v="9"/>
    <x v="4"/>
    <x v="0"/>
    <x v="4"/>
  </r>
  <r>
    <x v="302"/>
    <x v="1"/>
    <x v="1282"/>
    <x v="1"/>
    <x v="1"/>
    <x v="9"/>
    <x v="4"/>
    <x v="0"/>
    <x v="4"/>
  </r>
  <r>
    <x v="302"/>
    <x v="2"/>
    <x v="684"/>
    <x v="1"/>
    <x v="1"/>
    <x v="9"/>
    <x v="4"/>
    <x v="0"/>
    <x v="4"/>
  </r>
  <r>
    <x v="302"/>
    <x v="3"/>
    <x v="486"/>
    <x v="1"/>
    <x v="1"/>
    <x v="9"/>
    <x v="4"/>
    <x v="0"/>
    <x v="4"/>
  </r>
  <r>
    <x v="302"/>
    <x v="4"/>
    <x v="675"/>
    <x v="1"/>
    <x v="1"/>
    <x v="9"/>
    <x v="4"/>
    <x v="0"/>
    <x v="4"/>
  </r>
  <r>
    <x v="302"/>
    <x v="5"/>
    <x v="1100"/>
    <x v="1"/>
    <x v="1"/>
    <x v="9"/>
    <x v="4"/>
    <x v="0"/>
    <x v="4"/>
  </r>
  <r>
    <x v="302"/>
    <x v="6"/>
    <x v="1789"/>
    <x v="1"/>
    <x v="1"/>
    <x v="9"/>
    <x v="4"/>
    <x v="0"/>
    <x v="3"/>
  </r>
  <r>
    <x v="302"/>
    <x v="7"/>
    <x v="2491"/>
    <x v="1"/>
    <x v="1"/>
    <x v="9"/>
    <x v="4"/>
    <x v="0"/>
    <x v="3"/>
  </r>
  <r>
    <x v="302"/>
    <x v="8"/>
    <x v="2941"/>
    <x v="1"/>
    <x v="1"/>
    <x v="9"/>
    <x v="4"/>
    <x v="0"/>
    <x v="3"/>
  </r>
  <r>
    <x v="302"/>
    <x v="9"/>
    <x v="2898"/>
    <x v="1"/>
    <x v="1"/>
    <x v="9"/>
    <x v="4"/>
    <x v="0"/>
    <x v="3"/>
  </r>
  <r>
    <x v="302"/>
    <x v="10"/>
    <x v="2441"/>
    <x v="1"/>
    <x v="1"/>
    <x v="9"/>
    <x v="4"/>
    <x v="0"/>
    <x v="2"/>
  </r>
  <r>
    <x v="302"/>
    <x v="11"/>
    <x v="2320"/>
    <x v="1"/>
    <x v="1"/>
    <x v="9"/>
    <x v="4"/>
    <x v="0"/>
    <x v="2"/>
  </r>
  <r>
    <x v="302"/>
    <x v="12"/>
    <x v="2347"/>
    <x v="1"/>
    <x v="1"/>
    <x v="9"/>
    <x v="4"/>
    <x v="0"/>
    <x v="2"/>
  </r>
  <r>
    <x v="302"/>
    <x v="13"/>
    <x v="2303"/>
    <x v="1"/>
    <x v="1"/>
    <x v="9"/>
    <x v="4"/>
    <x v="0"/>
    <x v="2"/>
  </r>
  <r>
    <x v="302"/>
    <x v="14"/>
    <x v="2489"/>
    <x v="1"/>
    <x v="1"/>
    <x v="9"/>
    <x v="4"/>
    <x v="0"/>
    <x v="2"/>
  </r>
  <r>
    <x v="302"/>
    <x v="15"/>
    <x v="2843"/>
    <x v="1"/>
    <x v="1"/>
    <x v="9"/>
    <x v="4"/>
    <x v="0"/>
    <x v="2"/>
  </r>
  <r>
    <x v="302"/>
    <x v="16"/>
    <x v="3162"/>
    <x v="1"/>
    <x v="1"/>
    <x v="9"/>
    <x v="4"/>
    <x v="0"/>
    <x v="0"/>
  </r>
  <r>
    <x v="302"/>
    <x v="17"/>
    <x v="3569"/>
    <x v="1"/>
    <x v="1"/>
    <x v="9"/>
    <x v="4"/>
    <x v="0"/>
    <x v="0"/>
  </r>
  <r>
    <x v="302"/>
    <x v="18"/>
    <x v="3873"/>
    <x v="1"/>
    <x v="1"/>
    <x v="9"/>
    <x v="4"/>
    <x v="0"/>
    <x v="0"/>
  </r>
  <r>
    <x v="302"/>
    <x v="19"/>
    <x v="3881"/>
    <x v="1"/>
    <x v="1"/>
    <x v="9"/>
    <x v="4"/>
    <x v="0"/>
    <x v="0"/>
  </r>
  <r>
    <x v="302"/>
    <x v="20"/>
    <x v="3894"/>
    <x v="1"/>
    <x v="1"/>
    <x v="9"/>
    <x v="4"/>
    <x v="0"/>
    <x v="1"/>
  </r>
  <r>
    <x v="302"/>
    <x v="21"/>
    <x v="4012"/>
    <x v="1"/>
    <x v="1"/>
    <x v="9"/>
    <x v="4"/>
    <x v="0"/>
    <x v="1"/>
  </r>
  <r>
    <x v="302"/>
    <x v="22"/>
    <x v="4066"/>
    <x v="1"/>
    <x v="1"/>
    <x v="9"/>
    <x v="4"/>
    <x v="0"/>
    <x v="1"/>
  </r>
  <r>
    <x v="302"/>
    <x v="23"/>
    <x v="3780"/>
    <x v="1"/>
    <x v="1"/>
    <x v="9"/>
    <x v="4"/>
    <x v="0"/>
    <x v="1"/>
  </r>
  <r>
    <x v="303"/>
    <x v="0"/>
    <x v="2457"/>
    <x v="1"/>
    <x v="1"/>
    <x v="10"/>
    <x v="0"/>
    <x v="0"/>
    <x v="4"/>
  </r>
  <r>
    <x v="303"/>
    <x v="1"/>
    <x v="1707"/>
    <x v="1"/>
    <x v="1"/>
    <x v="10"/>
    <x v="0"/>
    <x v="0"/>
    <x v="4"/>
  </r>
  <r>
    <x v="303"/>
    <x v="2"/>
    <x v="1047"/>
    <x v="1"/>
    <x v="1"/>
    <x v="10"/>
    <x v="0"/>
    <x v="0"/>
    <x v="4"/>
  </r>
  <r>
    <x v="303"/>
    <x v="3"/>
    <x v="650"/>
    <x v="1"/>
    <x v="1"/>
    <x v="10"/>
    <x v="0"/>
    <x v="0"/>
    <x v="4"/>
  </r>
  <r>
    <x v="303"/>
    <x v="4"/>
    <x v="945"/>
    <x v="1"/>
    <x v="1"/>
    <x v="10"/>
    <x v="0"/>
    <x v="0"/>
    <x v="4"/>
  </r>
  <r>
    <x v="303"/>
    <x v="5"/>
    <x v="1166"/>
    <x v="1"/>
    <x v="1"/>
    <x v="10"/>
    <x v="0"/>
    <x v="0"/>
    <x v="4"/>
  </r>
  <r>
    <x v="303"/>
    <x v="6"/>
    <x v="1816"/>
    <x v="1"/>
    <x v="1"/>
    <x v="10"/>
    <x v="0"/>
    <x v="0"/>
    <x v="3"/>
  </r>
  <r>
    <x v="303"/>
    <x v="7"/>
    <x v="2476"/>
    <x v="1"/>
    <x v="1"/>
    <x v="10"/>
    <x v="0"/>
    <x v="0"/>
    <x v="3"/>
  </r>
  <r>
    <x v="303"/>
    <x v="8"/>
    <x v="3070"/>
    <x v="1"/>
    <x v="1"/>
    <x v="10"/>
    <x v="0"/>
    <x v="0"/>
    <x v="3"/>
  </r>
  <r>
    <x v="303"/>
    <x v="9"/>
    <x v="3057"/>
    <x v="1"/>
    <x v="1"/>
    <x v="10"/>
    <x v="0"/>
    <x v="0"/>
    <x v="3"/>
  </r>
  <r>
    <x v="303"/>
    <x v="10"/>
    <x v="2619"/>
    <x v="1"/>
    <x v="1"/>
    <x v="10"/>
    <x v="0"/>
    <x v="0"/>
    <x v="2"/>
  </r>
  <r>
    <x v="303"/>
    <x v="11"/>
    <x v="2574"/>
    <x v="1"/>
    <x v="1"/>
    <x v="10"/>
    <x v="0"/>
    <x v="0"/>
    <x v="2"/>
  </r>
  <r>
    <x v="303"/>
    <x v="12"/>
    <x v="2509"/>
    <x v="1"/>
    <x v="1"/>
    <x v="10"/>
    <x v="0"/>
    <x v="0"/>
    <x v="2"/>
  </r>
  <r>
    <x v="303"/>
    <x v="13"/>
    <x v="2433"/>
    <x v="1"/>
    <x v="1"/>
    <x v="10"/>
    <x v="0"/>
    <x v="0"/>
    <x v="2"/>
  </r>
  <r>
    <x v="303"/>
    <x v="14"/>
    <x v="2723"/>
    <x v="1"/>
    <x v="1"/>
    <x v="10"/>
    <x v="0"/>
    <x v="0"/>
    <x v="2"/>
  </r>
  <r>
    <x v="303"/>
    <x v="15"/>
    <x v="3034"/>
    <x v="1"/>
    <x v="1"/>
    <x v="10"/>
    <x v="0"/>
    <x v="0"/>
    <x v="2"/>
  </r>
  <r>
    <x v="303"/>
    <x v="16"/>
    <x v="3284"/>
    <x v="1"/>
    <x v="1"/>
    <x v="10"/>
    <x v="0"/>
    <x v="0"/>
    <x v="0"/>
  </r>
  <r>
    <x v="303"/>
    <x v="17"/>
    <x v="3560"/>
    <x v="1"/>
    <x v="1"/>
    <x v="10"/>
    <x v="0"/>
    <x v="0"/>
    <x v="0"/>
  </r>
  <r>
    <x v="303"/>
    <x v="18"/>
    <x v="3955"/>
    <x v="1"/>
    <x v="1"/>
    <x v="10"/>
    <x v="0"/>
    <x v="0"/>
    <x v="0"/>
  </r>
  <r>
    <x v="303"/>
    <x v="19"/>
    <x v="4142"/>
    <x v="1"/>
    <x v="1"/>
    <x v="10"/>
    <x v="0"/>
    <x v="0"/>
    <x v="0"/>
  </r>
  <r>
    <x v="303"/>
    <x v="20"/>
    <x v="4027"/>
    <x v="1"/>
    <x v="1"/>
    <x v="10"/>
    <x v="0"/>
    <x v="0"/>
    <x v="1"/>
  </r>
  <r>
    <x v="303"/>
    <x v="21"/>
    <x v="3928"/>
    <x v="1"/>
    <x v="1"/>
    <x v="10"/>
    <x v="0"/>
    <x v="0"/>
    <x v="1"/>
  </r>
  <r>
    <x v="303"/>
    <x v="22"/>
    <x v="4103"/>
    <x v="1"/>
    <x v="1"/>
    <x v="10"/>
    <x v="0"/>
    <x v="0"/>
    <x v="1"/>
  </r>
  <r>
    <x v="303"/>
    <x v="23"/>
    <x v="4153"/>
    <x v="1"/>
    <x v="1"/>
    <x v="10"/>
    <x v="0"/>
    <x v="0"/>
    <x v="1"/>
  </r>
  <r>
    <x v="304"/>
    <x v="0"/>
    <x v="3957"/>
    <x v="1"/>
    <x v="1"/>
    <x v="10"/>
    <x v="2"/>
    <x v="1"/>
    <x v="4"/>
  </r>
  <r>
    <x v="304"/>
    <x v="1"/>
    <x v="3186"/>
    <x v="1"/>
    <x v="1"/>
    <x v="10"/>
    <x v="2"/>
    <x v="1"/>
    <x v="4"/>
  </r>
  <r>
    <x v="304"/>
    <x v="2"/>
    <x v="2336"/>
    <x v="1"/>
    <x v="1"/>
    <x v="10"/>
    <x v="2"/>
    <x v="1"/>
    <x v="4"/>
  </r>
  <r>
    <x v="304"/>
    <x v="3"/>
    <x v="1731"/>
    <x v="1"/>
    <x v="1"/>
    <x v="10"/>
    <x v="2"/>
    <x v="1"/>
    <x v="4"/>
  </r>
  <r>
    <x v="304"/>
    <x v="4"/>
    <x v="1322"/>
    <x v="1"/>
    <x v="1"/>
    <x v="10"/>
    <x v="2"/>
    <x v="1"/>
    <x v="4"/>
  </r>
  <r>
    <x v="304"/>
    <x v="5"/>
    <x v="914"/>
    <x v="1"/>
    <x v="1"/>
    <x v="10"/>
    <x v="2"/>
    <x v="1"/>
    <x v="4"/>
  </r>
  <r>
    <x v="304"/>
    <x v="6"/>
    <x v="1026"/>
    <x v="1"/>
    <x v="1"/>
    <x v="10"/>
    <x v="2"/>
    <x v="1"/>
    <x v="3"/>
  </r>
  <r>
    <x v="304"/>
    <x v="7"/>
    <x v="1273"/>
    <x v="1"/>
    <x v="1"/>
    <x v="10"/>
    <x v="2"/>
    <x v="1"/>
    <x v="3"/>
  </r>
  <r>
    <x v="304"/>
    <x v="8"/>
    <x v="1807"/>
    <x v="1"/>
    <x v="1"/>
    <x v="10"/>
    <x v="2"/>
    <x v="1"/>
    <x v="3"/>
  </r>
  <r>
    <x v="304"/>
    <x v="9"/>
    <x v="2209"/>
    <x v="1"/>
    <x v="1"/>
    <x v="10"/>
    <x v="2"/>
    <x v="1"/>
    <x v="3"/>
  </r>
  <r>
    <x v="304"/>
    <x v="10"/>
    <x v="2558"/>
    <x v="1"/>
    <x v="1"/>
    <x v="10"/>
    <x v="2"/>
    <x v="1"/>
    <x v="2"/>
  </r>
  <r>
    <x v="304"/>
    <x v="11"/>
    <x v="2889"/>
    <x v="1"/>
    <x v="1"/>
    <x v="10"/>
    <x v="2"/>
    <x v="1"/>
    <x v="2"/>
  </r>
  <r>
    <x v="304"/>
    <x v="12"/>
    <x v="3004"/>
    <x v="1"/>
    <x v="1"/>
    <x v="10"/>
    <x v="2"/>
    <x v="1"/>
    <x v="2"/>
  </r>
  <r>
    <x v="304"/>
    <x v="13"/>
    <x v="3104"/>
    <x v="1"/>
    <x v="1"/>
    <x v="10"/>
    <x v="2"/>
    <x v="1"/>
    <x v="2"/>
  </r>
  <r>
    <x v="304"/>
    <x v="14"/>
    <x v="3158"/>
    <x v="1"/>
    <x v="1"/>
    <x v="10"/>
    <x v="2"/>
    <x v="1"/>
    <x v="2"/>
  </r>
  <r>
    <x v="304"/>
    <x v="15"/>
    <x v="3409"/>
    <x v="1"/>
    <x v="1"/>
    <x v="10"/>
    <x v="2"/>
    <x v="1"/>
    <x v="2"/>
  </r>
  <r>
    <x v="304"/>
    <x v="16"/>
    <x v="3750"/>
    <x v="1"/>
    <x v="1"/>
    <x v="10"/>
    <x v="2"/>
    <x v="1"/>
    <x v="0"/>
  </r>
  <r>
    <x v="304"/>
    <x v="17"/>
    <x v="3990"/>
    <x v="1"/>
    <x v="1"/>
    <x v="10"/>
    <x v="2"/>
    <x v="1"/>
    <x v="0"/>
  </r>
  <r>
    <x v="304"/>
    <x v="18"/>
    <x v="4002"/>
    <x v="1"/>
    <x v="1"/>
    <x v="10"/>
    <x v="2"/>
    <x v="1"/>
    <x v="0"/>
  </r>
  <r>
    <x v="304"/>
    <x v="19"/>
    <x v="4155"/>
    <x v="1"/>
    <x v="1"/>
    <x v="10"/>
    <x v="2"/>
    <x v="1"/>
    <x v="0"/>
  </r>
  <r>
    <x v="304"/>
    <x v="20"/>
    <x v="4166"/>
    <x v="1"/>
    <x v="1"/>
    <x v="10"/>
    <x v="2"/>
    <x v="1"/>
    <x v="1"/>
  </r>
  <r>
    <x v="304"/>
    <x v="21"/>
    <x v="4177"/>
    <x v="1"/>
    <x v="1"/>
    <x v="10"/>
    <x v="2"/>
    <x v="1"/>
    <x v="1"/>
  </r>
  <r>
    <x v="304"/>
    <x v="22"/>
    <x v="4189"/>
    <x v="1"/>
    <x v="1"/>
    <x v="10"/>
    <x v="2"/>
    <x v="1"/>
    <x v="1"/>
  </r>
  <r>
    <x v="304"/>
    <x v="23"/>
    <x v="4120"/>
    <x v="1"/>
    <x v="1"/>
    <x v="10"/>
    <x v="2"/>
    <x v="1"/>
    <x v="1"/>
  </r>
  <r>
    <x v="305"/>
    <x v="0"/>
    <x v="3762"/>
    <x v="1"/>
    <x v="1"/>
    <x v="10"/>
    <x v="3"/>
    <x v="1"/>
    <x v="4"/>
  </r>
  <r>
    <x v="305"/>
    <x v="1"/>
    <x v="4139"/>
    <x v="1"/>
    <x v="1"/>
    <x v="10"/>
    <x v="3"/>
    <x v="1"/>
    <x v="4"/>
  </r>
  <r>
    <x v="305"/>
    <x v="2"/>
    <x v="3591"/>
    <x v="1"/>
    <x v="1"/>
    <x v="10"/>
    <x v="3"/>
    <x v="1"/>
    <x v="4"/>
  </r>
  <r>
    <x v="305"/>
    <x v="3"/>
    <x v="2316"/>
    <x v="1"/>
    <x v="1"/>
    <x v="10"/>
    <x v="3"/>
    <x v="1"/>
    <x v="4"/>
  </r>
  <r>
    <x v="305"/>
    <x v="4"/>
    <x v="1517"/>
    <x v="1"/>
    <x v="1"/>
    <x v="10"/>
    <x v="3"/>
    <x v="1"/>
    <x v="4"/>
  </r>
  <r>
    <x v="305"/>
    <x v="5"/>
    <x v="986"/>
    <x v="1"/>
    <x v="1"/>
    <x v="10"/>
    <x v="3"/>
    <x v="1"/>
    <x v="4"/>
  </r>
  <r>
    <x v="305"/>
    <x v="6"/>
    <x v="859"/>
    <x v="1"/>
    <x v="1"/>
    <x v="10"/>
    <x v="3"/>
    <x v="1"/>
    <x v="3"/>
  </r>
  <r>
    <x v="305"/>
    <x v="7"/>
    <x v="938"/>
    <x v="1"/>
    <x v="1"/>
    <x v="10"/>
    <x v="3"/>
    <x v="1"/>
    <x v="3"/>
  </r>
  <r>
    <x v="305"/>
    <x v="8"/>
    <x v="1106"/>
    <x v="1"/>
    <x v="1"/>
    <x v="10"/>
    <x v="3"/>
    <x v="1"/>
    <x v="3"/>
  </r>
  <r>
    <x v="305"/>
    <x v="9"/>
    <x v="1440"/>
    <x v="1"/>
    <x v="1"/>
    <x v="10"/>
    <x v="3"/>
    <x v="1"/>
    <x v="3"/>
  </r>
  <r>
    <x v="305"/>
    <x v="10"/>
    <x v="1862"/>
    <x v="1"/>
    <x v="1"/>
    <x v="10"/>
    <x v="3"/>
    <x v="1"/>
    <x v="2"/>
  </r>
  <r>
    <x v="305"/>
    <x v="11"/>
    <x v="2352"/>
    <x v="1"/>
    <x v="1"/>
    <x v="10"/>
    <x v="3"/>
    <x v="1"/>
    <x v="2"/>
  </r>
  <r>
    <x v="305"/>
    <x v="12"/>
    <x v="2680"/>
    <x v="1"/>
    <x v="1"/>
    <x v="10"/>
    <x v="3"/>
    <x v="1"/>
    <x v="2"/>
  </r>
  <r>
    <x v="305"/>
    <x v="13"/>
    <x v="2890"/>
    <x v="1"/>
    <x v="1"/>
    <x v="10"/>
    <x v="3"/>
    <x v="1"/>
    <x v="2"/>
  </r>
  <r>
    <x v="305"/>
    <x v="14"/>
    <x v="2996"/>
    <x v="1"/>
    <x v="1"/>
    <x v="10"/>
    <x v="3"/>
    <x v="1"/>
    <x v="2"/>
  </r>
  <r>
    <x v="305"/>
    <x v="15"/>
    <x v="3068"/>
    <x v="1"/>
    <x v="1"/>
    <x v="10"/>
    <x v="3"/>
    <x v="1"/>
    <x v="2"/>
  </r>
  <r>
    <x v="305"/>
    <x v="16"/>
    <x v="3167"/>
    <x v="1"/>
    <x v="1"/>
    <x v="10"/>
    <x v="3"/>
    <x v="1"/>
    <x v="0"/>
  </r>
  <r>
    <x v="305"/>
    <x v="17"/>
    <x v="3219"/>
    <x v="1"/>
    <x v="1"/>
    <x v="10"/>
    <x v="3"/>
    <x v="1"/>
    <x v="0"/>
  </r>
  <r>
    <x v="305"/>
    <x v="18"/>
    <x v="3321"/>
    <x v="1"/>
    <x v="1"/>
    <x v="10"/>
    <x v="3"/>
    <x v="1"/>
    <x v="0"/>
  </r>
  <r>
    <x v="305"/>
    <x v="19"/>
    <x v="3232"/>
    <x v="1"/>
    <x v="1"/>
    <x v="10"/>
    <x v="3"/>
    <x v="1"/>
    <x v="0"/>
  </r>
  <r>
    <x v="305"/>
    <x v="20"/>
    <x v="3090"/>
    <x v="1"/>
    <x v="1"/>
    <x v="10"/>
    <x v="3"/>
    <x v="1"/>
    <x v="1"/>
  </r>
  <r>
    <x v="305"/>
    <x v="21"/>
    <x v="3036"/>
    <x v="1"/>
    <x v="1"/>
    <x v="10"/>
    <x v="3"/>
    <x v="1"/>
    <x v="1"/>
  </r>
  <r>
    <x v="305"/>
    <x v="22"/>
    <x v="2963"/>
    <x v="1"/>
    <x v="1"/>
    <x v="10"/>
    <x v="3"/>
    <x v="1"/>
    <x v="1"/>
  </r>
  <r>
    <x v="305"/>
    <x v="23"/>
    <x v="2466"/>
    <x v="1"/>
    <x v="1"/>
    <x v="10"/>
    <x v="3"/>
    <x v="1"/>
    <x v="1"/>
  </r>
  <r>
    <x v="306"/>
    <x v="0"/>
    <x v="1570"/>
    <x v="1"/>
    <x v="1"/>
    <x v="10"/>
    <x v="1"/>
    <x v="0"/>
    <x v="4"/>
  </r>
  <r>
    <x v="306"/>
    <x v="1"/>
    <x v="844"/>
    <x v="1"/>
    <x v="1"/>
    <x v="10"/>
    <x v="1"/>
    <x v="0"/>
    <x v="4"/>
  </r>
  <r>
    <x v="306"/>
    <x v="2"/>
    <x v="515"/>
    <x v="1"/>
    <x v="1"/>
    <x v="10"/>
    <x v="1"/>
    <x v="0"/>
    <x v="4"/>
  </r>
  <r>
    <x v="306"/>
    <x v="3"/>
    <x v="340"/>
    <x v="1"/>
    <x v="1"/>
    <x v="10"/>
    <x v="1"/>
    <x v="0"/>
    <x v="4"/>
  </r>
  <r>
    <x v="306"/>
    <x v="4"/>
    <x v="631"/>
    <x v="1"/>
    <x v="1"/>
    <x v="10"/>
    <x v="1"/>
    <x v="0"/>
    <x v="4"/>
  </r>
  <r>
    <x v="306"/>
    <x v="5"/>
    <x v="1142"/>
    <x v="1"/>
    <x v="1"/>
    <x v="10"/>
    <x v="1"/>
    <x v="0"/>
    <x v="4"/>
  </r>
  <r>
    <x v="306"/>
    <x v="6"/>
    <x v="1875"/>
    <x v="1"/>
    <x v="1"/>
    <x v="10"/>
    <x v="1"/>
    <x v="0"/>
    <x v="3"/>
  </r>
  <r>
    <x v="306"/>
    <x v="7"/>
    <x v="2506"/>
    <x v="1"/>
    <x v="1"/>
    <x v="10"/>
    <x v="1"/>
    <x v="0"/>
    <x v="3"/>
  </r>
  <r>
    <x v="306"/>
    <x v="8"/>
    <x v="3042"/>
    <x v="1"/>
    <x v="1"/>
    <x v="10"/>
    <x v="1"/>
    <x v="0"/>
    <x v="3"/>
  </r>
  <r>
    <x v="306"/>
    <x v="9"/>
    <x v="2887"/>
    <x v="1"/>
    <x v="1"/>
    <x v="10"/>
    <x v="1"/>
    <x v="0"/>
    <x v="3"/>
  </r>
  <r>
    <x v="306"/>
    <x v="10"/>
    <x v="2291"/>
    <x v="1"/>
    <x v="1"/>
    <x v="10"/>
    <x v="1"/>
    <x v="0"/>
    <x v="2"/>
  </r>
  <r>
    <x v="306"/>
    <x v="11"/>
    <x v="2148"/>
    <x v="1"/>
    <x v="1"/>
    <x v="10"/>
    <x v="1"/>
    <x v="0"/>
    <x v="2"/>
  </r>
  <r>
    <x v="306"/>
    <x v="12"/>
    <x v="2089"/>
    <x v="1"/>
    <x v="1"/>
    <x v="10"/>
    <x v="1"/>
    <x v="0"/>
    <x v="2"/>
  </r>
  <r>
    <x v="306"/>
    <x v="13"/>
    <x v="2132"/>
    <x v="1"/>
    <x v="1"/>
    <x v="10"/>
    <x v="1"/>
    <x v="0"/>
    <x v="2"/>
  </r>
  <r>
    <x v="306"/>
    <x v="14"/>
    <x v="2324"/>
    <x v="1"/>
    <x v="1"/>
    <x v="10"/>
    <x v="1"/>
    <x v="0"/>
    <x v="2"/>
  </r>
  <r>
    <x v="306"/>
    <x v="15"/>
    <x v="2522"/>
    <x v="1"/>
    <x v="1"/>
    <x v="10"/>
    <x v="1"/>
    <x v="0"/>
    <x v="2"/>
  </r>
  <r>
    <x v="306"/>
    <x v="16"/>
    <x v="2713"/>
    <x v="1"/>
    <x v="1"/>
    <x v="10"/>
    <x v="1"/>
    <x v="0"/>
    <x v="0"/>
  </r>
  <r>
    <x v="306"/>
    <x v="17"/>
    <x v="2965"/>
    <x v="1"/>
    <x v="1"/>
    <x v="10"/>
    <x v="1"/>
    <x v="0"/>
    <x v="0"/>
  </r>
  <r>
    <x v="306"/>
    <x v="18"/>
    <x v="3341"/>
    <x v="1"/>
    <x v="1"/>
    <x v="10"/>
    <x v="1"/>
    <x v="0"/>
    <x v="0"/>
  </r>
  <r>
    <x v="306"/>
    <x v="19"/>
    <x v="3213"/>
    <x v="1"/>
    <x v="1"/>
    <x v="10"/>
    <x v="1"/>
    <x v="0"/>
    <x v="0"/>
  </r>
  <r>
    <x v="306"/>
    <x v="20"/>
    <x v="3064"/>
    <x v="1"/>
    <x v="1"/>
    <x v="10"/>
    <x v="1"/>
    <x v="0"/>
    <x v="1"/>
  </r>
  <r>
    <x v="306"/>
    <x v="21"/>
    <x v="3125"/>
    <x v="1"/>
    <x v="1"/>
    <x v="10"/>
    <x v="1"/>
    <x v="0"/>
    <x v="1"/>
  </r>
  <r>
    <x v="306"/>
    <x v="22"/>
    <x v="2993"/>
    <x v="1"/>
    <x v="1"/>
    <x v="10"/>
    <x v="1"/>
    <x v="0"/>
    <x v="1"/>
  </r>
  <r>
    <x v="306"/>
    <x v="23"/>
    <x v="2438"/>
    <x v="1"/>
    <x v="1"/>
    <x v="10"/>
    <x v="1"/>
    <x v="0"/>
    <x v="1"/>
  </r>
  <r>
    <x v="307"/>
    <x v="0"/>
    <x v="1649"/>
    <x v="1"/>
    <x v="1"/>
    <x v="10"/>
    <x v="5"/>
    <x v="0"/>
    <x v="4"/>
  </r>
  <r>
    <x v="307"/>
    <x v="1"/>
    <x v="976"/>
    <x v="1"/>
    <x v="1"/>
    <x v="10"/>
    <x v="5"/>
    <x v="0"/>
    <x v="4"/>
  </r>
  <r>
    <x v="307"/>
    <x v="2"/>
    <x v="564"/>
    <x v="1"/>
    <x v="1"/>
    <x v="10"/>
    <x v="5"/>
    <x v="0"/>
    <x v="4"/>
  </r>
  <r>
    <x v="307"/>
    <x v="3"/>
    <x v="365"/>
    <x v="1"/>
    <x v="1"/>
    <x v="10"/>
    <x v="5"/>
    <x v="0"/>
    <x v="4"/>
  </r>
  <r>
    <x v="307"/>
    <x v="4"/>
    <x v="471"/>
    <x v="1"/>
    <x v="1"/>
    <x v="10"/>
    <x v="5"/>
    <x v="0"/>
    <x v="4"/>
  </r>
  <r>
    <x v="307"/>
    <x v="5"/>
    <x v="972"/>
    <x v="1"/>
    <x v="1"/>
    <x v="10"/>
    <x v="5"/>
    <x v="0"/>
    <x v="4"/>
  </r>
  <r>
    <x v="307"/>
    <x v="6"/>
    <x v="1693"/>
    <x v="1"/>
    <x v="1"/>
    <x v="10"/>
    <x v="5"/>
    <x v="0"/>
    <x v="3"/>
  </r>
  <r>
    <x v="307"/>
    <x v="7"/>
    <x v="2550"/>
    <x v="1"/>
    <x v="1"/>
    <x v="10"/>
    <x v="5"/>
    <x v="0"/>
    <x v="3"/>
  </r>
  <r>
    <x v="307"/>
    <x v="8"/>
    <x v="3045"/>
    <x v="1"/>
    <x v="1"/>
    <x v="10"/>
    <x v="5"/>
    <x v="0"/>
    <x v="3"/>
  </r>
  <r>
    <x v="307"/>
    <x v="9"/>
    <x v="2900"/>
    <x v="1"/>
    <x v="1"/>
    <x v="10"/>
    <x v="5"/>
    <x v="0"/>
    <x v="3"/>
  </r>
  <r>
    <x v="307"/>
    <x v="10"/>
    <x v="2407"/>
    <x v="1"/>
    <x v="1"/>
    <x v="10"/>
    <x v="5"/>
    <x v="0"/>
    <x v="2"/>
  </r>
  <r>
    <x v="307"/>
    <x v="11"/>
    <x v="2244"/>
    <x v="1"/>
    <x v="1"/>
    <x v="10"/>
    <x v="5"/>
    <x v="0"/>
    <x v="2"/>
  </r>
  <r>
    <x v="307"/>
    <x v="12"/>
    <x v="2180"/>
    <x v="1"/>
    <x v="1"/>
    <x v="10"/>
    <x v="5"/>
    <x v="0"/>
    <x v="2"/>
  </r>
  <r>
    <x v="307"/>
    <x v="13"/>
    <x v="2243"/>
    <x v="1"/>
    <x v="1"/>
    <x v="10"/>
    <x v="5"/>
    <x v="0"/>
    <x v="2"/>
  </r>
  <r>
    <x v="307"/>
    <x v="14"/>
    <x v="2528"/>
    <x v="1"/>
    <x v="1"/>
    <x v="10"/>
    <x v="5"/>
    <x v="0"/>
    <x v="2"/>
  </r>
  <r>
    <x v="307"/>
    <x v="15"/>
    <x v="2816"/>
    <x v="1"/>
    <x v="1"/>
    <x v="10"/>
    <x v="5"/>
    <x v="0"/>
    <x v="2"/>
  </r>
  <r>
    <x v="307"/>
    <x v="16"/>
    <x v="3096"/>
    <x v="1"/>
    <x v="1"/>
    <x v="10"/>
    <x v="5"/>
    <x v="0"/>
    <x v="0"/>
  </r>
  <r>
    <x v="307"/>
    <x v="17"/>
    <x v="3460"/>
    <x v="1"/>
    <x v="1"/>
    <x v="10"/>
    <x v="5"/>
    <x v="0"/>
    <x v="0"/>
  </r>
  <r>
    <x v="307"/>
    <x v="18"/>
    <x v="3849"/>
    <x v="1"/>
    <x v="1"/>
    <x v="10"/>
    <x v="5"/>
    <x v="0"/>
    <x v="0"/>
  </r>
  <r>
    <x v="307"/>
    <x v="19"/>
    <x v="3713"/>
    <x v="1"/>
    <x v="1"/>
    <x v="10"/>
    <x v="5"/>
    <x v="0"/>
    <x v="0"/>
  </r>
  <r>
    <x v="307"/>
    <x v="20"/>
    <x v="3624"/>
    <x v="1"/>
    <x v="1"/>
    <x v="10"/>
    <x v="5"/>
    <x v="0"/>
    <x v="1"/>
  </r>
  <r>
    <x v="307"/>
    <x v="21"/>
    <x v="3687"/>
    <x v="1"/>
    <x v="1"/>
    <x v="10"/>
    <x v="5"/>
    <x v="0"/>
    <x v="1"/>
  </r>
  <r>
    <x v="307"/>
    <x v="22"/>
    <x v="3654"/>
    <x v="1"/>
    <x v="1"/>
    <x v="10"/>
    <x v="5"/>
    <x v="0"/>
    <x v="1"/>
  </r>
  <r>
    <x v="307"/>
    <x v="23"/>
    <x v="3192"/>
    <x v="1"/>
    <x v="1"/>
    <x v="10"/>
    <x v="5"/>
    <x v="0"/>
    <x v="1"/>
  </r>
  <r>
    <x v="308"/>
    <x v="0"/>
    <x v="2298"/>
    <x v="1"/>
    <x v="1"/>
    <x v="10"/>
    <x v="6"/>
    <x v="0"/>
    <x v="4"/>
  </r>
  <r>
    <x v="308"/>
    <x v="1"/>
    <x v="1382"/>
    <x v="1"/>
    <x v="1"/>
    <x v="10"/>
    <x v="6"/>
    <x v="0"/>
    <x v="4"/>
  </r>
  <r>
    <x v="308"/>
    <x v="2"/>
    <x v="675"/>
    <x v="1"/>
    <x v="1"/>
    <x v="10"/>
    <x v="6"/>
    <x v="0"/>
    <x v="4"/>
  </r>
  <r>
    <x v="308"/>
    <x v="3"/>
    <x v="479"/>
    <x v="1"/>
    <x v="1"/>
    <x v="10"/>
    <x v="6"/>
    <x v="0"/>
    <x v="4"/>
  </r>
  <r>
    <x v="308"/>
    <x v="4"/>
    <x v="614"/>
    <x v="1"/>
    <x v="1"/>
    <x v="10"/>
    <x v="6"/>
    <x v="0"/>
    <x v="4"/>
  </r>
  <r>
    <x v="308"/>
    <x v="5"/>
    <x v="1011"/>
    <x v="1"/>
    <x v="1"/>
    <x v="10"/>
    <x v="6"/>
    <x v="0"/>
    <x v="4"/>
  </r>
  <r>
    <x v="308"/>
    <x v="6"/>
    <x v="1793"/>
    <x v="1"/>
    <x v="1"/>
    <x v="10"/>
    <x v="6"/>
    <x v="0"/>
    <x v="3"/>
  </r>
  <r>
    <x v="308"/>
    <x v="7"/>
    <x v="2841"/>
    <x v="1"/>
    <x v="1"/>
    <x v="10"/>
    <x v="6"/>
    <x v="0"/>
    <x v="3"/>
  </r>
  <r>
    <x v="308"/>
    <x v="8"/>
    <x v="3286"/>
    <x v="1"/>
    <x v="1"/>
    <x v="10"/>
    <x v="6"/>
    <x v="0"/>
    <x v="3"/>
  </r>
  <r>
    <x v="308"/>
    <x v="9"/>
    <x v="3262"/>
    <x v="1"/>
    <x v="1"/>
    <x v="10"/>
    <x v="6"/>
    <x v="0"/>
    <x v="3"/>
  </r>
  <r>
    <x v="308"/>
    <x v="10"/>
    <x v="2690"/>
    <x v="1"/>
    <x v="1"/>
    <x v="10"/>
    <x v="6"/>
    <x v="0"/>
    <x v="2"/>
  </r>
  <r>
    <x v="308"/>
    <x v="11"/>
    <x v="2527"/>
    <x v="1"/>
    <x v="1"/>
    <x v="10"/>
    <x v="6"/>
    <x v="0"/>
    <x v="2"/>
  </r>
  <r>
    <x v="308"/>
    <x v="12"/>
    <x v="2376"/>
    <x v="1"/>
    <x v="1"/>
    <x v="10"/>
    <x v="6"/>
    <x v="0"/>
    <x v="2"/>
  </r>
  <r>
    <x v="308"/>
    <x v="13"/>
    <x v="2348"/>
    <x v="1"/>
    <x v="1"/>
    <x v="10"/>
    <x v="6"/>
    <x v="0"/>
    <x v="2"/>
  </r>
  <r>
    <x v="308"/>
    <x v="14"/>
    <x v="2668"/>
    <x v="1"/>
    <x v="1"/>
    <x v="10"/>
    <x v="6"/>
    <x v="0"/>
    <x v="2"/>
  </r>
  <r>
    <x v="308"/>
    <x v="15"/>
    <x v="2858"/>
    <x v="1"/>
    <x v="1"/>
    <x v="10"/>
    <x v="6"/>
    <x v="0"/>
    <x v="2"/>
  </r>
  <r>
    <x v="308"/>
    <x v="16"/>
    <x v="3107"/>
    <x v="1"/>
    <x v="1"/>
    <x v="10"/>
    <x v="6"/>
    <x v="0"/>
    <x v="0"/>
  </r>
  <r>
    <x v="308"/>
    <x v="17"/>
    <x v="3471"/>
    <x v="1"/>
    <x v="1"/>
    <x v="10"/>
    <x v="6"/>
    <x v="0"/>
    <x v="0"/>
  </r>
  <r>
    <x v="308"/>
    <x v="18"/>
    <x v="3740"/>
    <x v="1"/>
    <x v="1"/>
    <x v="10"/>
    <x v="6"/>
    <x v="0"/>
    <x v="0"/>
  </r>
  <r>
    <x v="308"/>
    <x v="19"/>
    <x v="3613"/>
    <x v="1"/>
    <x v="1"/>
    <x v="10"/>
    <x v="6"/>
    <x v="0"/>
    <x v="0"/>
  </r>
  <r>
    <x v="308"/>
    <x v="20"/>
    <x v="3600"/>
    <x v="1"/>
    <x v="1"/>
    <x v="10"/>
    <x v="6"/>
    <x v="0"/>
    <x v="1"/>
  </r>
  <r>
    <x v="308"/>
    <x v="21"/>
    <x v="3715"/>
    <x v="1"/>
    <x v="1"/>
    <x v="10"/>
    <x v="6"/>
    <x v="0"/>
    <x v="1"/>
  </r>
  <r>
    <x v="308"/>
    <x v="22"/>
    <x v="3638"/>
    <x v="1"/>
    <x v="1"/>
    <x v="10"/>
    <x v="6"/>
    <x v="0"/>
    <x v="1"/>
  </r>
  <r>
    <x v="308"/>
    <x v="23"/>
    <x v="3102"/>
    <x v="1"/>
    <x v="1"/>
    <x v="10"/>
    <x v="6"/>
    <x v="0"/>
    <x v="1"/>
  </r>
  <r>
    <x v="309"/>
    <x v="0"/>
    <x v="2162"/>
    <x v="1"/>
    <x v="1"/>
    <x v="10"/>
    <x v="4"/>
    <x v="0"/>
    <x v="4"/>
  </r>
  <r>
    <x v="309"/>
    <x v="1"/>
    <x v="1172"/>
    <x v="1"/>
    <x v="1"/>
    <x v="10"/>
    <x v="4"/>
    <x v="0"/>
    <x v="4"/>
  </r>
  <r>
    <x v="309"/>
    <x v="2"/>
    <x v="662"/>
    <x v="1"/>
    <x v="1"/>
    <x v="10"/>
    <x v="4"/>
    <x v="0"/>
    <x v="4"/>
  </r>
  <r>
    <x v="309"/>
    <x v="3"/>
    <x v="446"/>
    <x v="1"/>
    <x v="1"/>
    <x v="10"/>
    <x v="4"/>
    <x v="0"/>
    <x v="4"/>
  </r>
  <r>
    <x v="309"/>
    <x v="4"/>
    <x v="692"/>
    <x v="1"/>
    <x v="1"/>
    <x v="10"/>
    <x v="4"/>
    <x v="0"/>
    <x v="4"/>
  </r>
  <r>
    <x v="309"/>
    <x v="5"/>
    <x v="1069"/>
    <x v="1"/>
    <x v="1"/>
    <x v="10"/>
    <x v="4"/>
    <x v="0"/>
    <x v="4"/>
  </r>
  <r>
    <x v="309"/>
    <x v="6"/>
    <x v="1826"/>
    <x v="1"/>
    <x v="1"/>
    <x v="10"/>
    <x v="4"/>
    <x v="0"/>
    <x v="3"/>
  </r>
  <r>
    <x v="309"/>
    <x v="7"/>
    <x v="2628"/>
    <x v="1"/>
    <x v="1"/>
    <x v="10"/>
    <x v="4"/>
    <x v="0"/>
    <x v="3"/>
  </r>
  <r>
    <x v="309"/>
    <x v="8"/>
    <x v="3154"/>
    <x v="1"/>
    <x v="1"/>
    <x v="10"/>
    <x v="4"/>
    <x v="0"/>
    <x v="3"/>
  </r>
  <r>
    <x v="309"/>
    <x v="9"/>
    <x v="3027"/>
    <x v="1"/>
    <x v="1"/>
    <x v="10"/>
    <x v="4"/>
    <x v="0"/>
    <x v="3"/>
  </r>
  <r>
    <x v="309"/>
    <x v="10"/>
    <x v="2642"/>
    <x v="1"/>
    <x v="1"/>
    <x v="10"/>
    <x v="4"/>
    <x v="0"/>
    <x v="2"/>
  </r>
  <r>
    <x v="309"/>
    <x v="11"/>
    <x v="2402"/>
    <x v="1"/>
    <x v="1"/>
    <x v="10"/>
    <x v="4"/>
    <x v="0"/>
    <x v="2"/>
  </r>
  <r>
    <x v="309"/>
    <x v="12"/>
    <x v="2432"/>
    <x v="1"/>
    <x v="1"/>
    <x v="10"/>
    <x v="4"/>
    <x v="0"/>
    <x v="2"/>
  </r>
  <r>
    <x v="309"/>
    <x v="13"/>
    <x v="2378"/>
    <x v="1"/>
    <x v="1"/>
    <x v="10"/>
    <x v="4"/>
    <x v="0"/>
    <x v="2"/>
  </r>
  <r>
    <x v="309"/>
    <x v="14"/>
    <x v="2688"/>
    <x v="1"/>
    <x v="1"/>
    <x v="10"/>
    <x v="4"/>
    <x v="0"/>
    <x v="2"/>
  </r>
  <r>
    <x v="309"/>
    <x v="15"/>
    <x v="2974"/>
    <x v="1"/>
    <x v="1"/>
    <x v="10"/>
    <x v="4"/>
    <x v="0"/>
    <x v="2"/>
  </r>
  <r>
    <x v="309"/>
    <x v="16"/>
    <x v="3357"/>
    <x v="1"/>
    <x v="1"/>
    <x v="10"/>
    <x v="4"/>
    <x v="0"/>
    <x v="0"/>
  </r>
  <r>
    <x v="309"/>
    <x v="17"/>
    <x v="3643"/>
    <x v="1"/>
    <x v="1"/>
    <x v="10"/>
    <x v="4"/>
    <x v="0"/>
    <x v="0"/>
  </r>
  <r>
    <x v="309"/>
    <x v="18"/>
    <x v="4000"/>
    <x v="1"/>
    <x v="1"/>
    <x v="10"/>
    <x v="4"/>
    <x v="0"/>
    <x v="0"/>
  </r>
  <r>
    <x v="309"/>
    <x v="19"/>
    <x v="3917"/>
    <x v="1"/>
    <x v="1"/>
    <x v="10"/>
    <x v="4"/>
    <x v="0"/>
    <x v="0"/>
  </r>
  <r>
    <x v="309"/>
    <x v="20"/>
    <x v="3864"/>
    <x v="1"/>
    <x v="1"/>
    <x v="10"/>
    <x v="4"/>
    <x v="0"/>
    <x v="1"/>
  </r>
  <r>
    <x v="309"/>
    <x v="21"/>
    <x v="4039"/>
    <x v="1"/>
    <x v="1"/>
    <x v="10"/>
    <x v="4"/>
    <x v="0"/>
    <x v="1"/>
  </r>
  <r>
    <x v="309"/>
    <x v="22"/>
    <x v="4053"/>
    <x v="1"/>
    <x v="1"/>
    <x v="10"/>
    <x v="4"/>
    <x v="0"/>
    <x v="1"/>
  </r>
  <r>
    <x v="309"/>
    <x v="23"/>
    <x v="3818"/>
    <x v="1"/>
    <x v="1"/>
    <x v="10"/>
    <x v="4"/>
    <x v="0"/>
    <x v="1"/>
  </r>
  <r>
    <x v="310"/>
    <x v="0"/>
    <x v="2804"/>
    <x v="1"/>
    <x v="1"/>
    <x v="10"/>
    <x v="0"/>
    <x v="0"/>
    <x v="4"/>
  </r>
  <r>
    <x v="310"/>
    <x v="1"/>
    <x v="1636"/>
    <x v="1"/>
    <x v="1"/>
    <x v="10"/>
    <x v="0"/>
    <x v="0"/>
    <x v="4"/>
  </r>
  <r>
    <x v="310"/>
    <x v="2"/>
    <x v="1065"/>
    <x v="1"/>
    <x v="1"/>
    <x v="10"/>
    <x v="0"/>
    <x v="0"/>
    <x v="4"/>
  </r>
  <r>
    <x v="310"/>
    <x v="3"/>
    <x v="691"/>
    <x v="1"/>
    <x v="1"/>
    <x v="10"/>
    <x v="0"/>
    <x v="0"/>
    <x v="4"/>
  </r>
  <r>
    <x v="310"/>
    <x v="4"/>
    <x v="850"/>
    <x v="1"/>
    <x v="1"/>
    <x v="10"/>
    <x v="0"/>
    <x v="0"/>
    <x v="4"/>
  </r>
  <r>
    <x v="310"/>
    <x v="5"/>
    <x v="1188"/>
    <x v="1"/>
    <x v="1"/>
    <x v="10"/>
    <x v="0"/>
    <x v="0"/>
    <x v="4"/>
  </r>
  <r>
    <x v="310"/>
    <x v="6"/>
    <x v="1804"/>
    <x v="1"/>
    <x v="1"/>
    <x v="10"/>
    <x v="0"/>
    <x v="0"/>
    <x v="3"/>
  </r>
  <r>
    <x v="310"/>
    <x v="7"/>
    <x v="2588"/>
    <x v="1"/>
    <x v="1"/>
    <x v="10"/>
    <x v="0"/>
    <x v="0"/>
    <x v="3"/>
  </r>
  <r>
    <x v="310"/>
    <x v="8"/>
    <x v="3152"/>
    <x v="1"/>
    <x v="1"/>
    <x v="10"/>
    <x v="0"/>
    <x v="0"/>
    <x v="3"/>
  </r>
  <r>
    <x v="310"/>
    <x v="9"/>
    <x v="3002"/>
    <x v="1"/>
    <x v="1"/>
    <x v="10"/>
    <x v="0"/>
    <x v="0"/>
    <x v="3"/>
  </r>
  <r>
    <x v="310"/>
    <x v="10"/>
    <x v="2665"/>
    <x v="1"/>
    <x v="1"/>
    <x v="10"/>
    <x v="0"/>
    <x v="0"/>
    <x v="2"/>
  </r>
  <r>
    <x v="310"/>
    <x v="11"/>
    <x v="2524"/>
    <x v="1"/>
    <x v="1"/>
    <x v="10"/>
    <x v="0"/>
    <x v="0"/>
    <x v="2"/>
  </r>
  <r>
    <x v="310"/>
    <x v="12"/>
    <x v="2506"/>
    <x v="1"/>
    <x v="1"/>
    <x v="10"/>
    <x v="0"/>
    <x v="0"/>
    <x v="2"/>
  </r>
  <r>
    <x v="310"/>
    <x v="13"/>
    <x v="2530"/>
    <x v="1"/>
    <x v="1"/>
    <x v="10"/>
    <x v="0"/>
    <x v="0"/>
    <x v="2"/>
  </r>
  <r>
    <x v="310"/>
    <x v="14"/>
    <x v="2846"/>
    <x v="1"/>
    <x v="1"/>
    <x v="10"/>
    <x v="0"/>
    <x v="0"/>
    <x v="2"/>
  </r>
  <r>
    <x v="310"/>
    <x v="15"/>
    <x v="3034"/>
    <x v="1"/>
    <x v="1"/>
    <x v="10"/>
    <x v="0"/>
    <x v="0"/>
    <x v="2"/>
  </r>
  <r>
    <x v="310"/>
    <x v="16"/>
    <x v="3329"/>
    <x v="1"/>
    <x v="1"/>
    <x v="10"/>
    <x v="0"/>
    <x v="0"/>
    <x v="0"/>
  </r>
  <r>
    <x v="310"/>
    <x v="17"/>
    <x v="3666"/>
    <x v="1"/>
    <x v="1"/>
    <x v="10"/>
    <x v="0"/>
    <x v="0"/>
    <x v="0"/>
  </r>
  <r>
    <x v="310"/>
    <x v="18"/>
    <x v="3934"/>
    <x v="1"/>
    <x v="1"/>
    <x v="10"/>
    <x v="0"/>
    <x v="0"/>
    <x v="0"/>
  </r>
  <r>
    <x v="310"/>
    <x v="19"/>
    <x v="3984"/>
    <x v="1"/>
    <x v="1"/>
    <x v="10"/>
    <x v="0"/>
    <x v="0"/>
    <x v="0"/>
  </r>
  <r>
    <x v="310"/>
    <x v="20"/>
    <x v="3827"/>
    <x v="1"/>
    <x v="1"/>
    <x v="10"/>
    <x v="0"/>
    <x v="0"/>
    <x v="1"/>
  </r>
  <r>
    <x v="310"/>
    <x v="21"/>
    <x v="3787"/>
    <x v="1"/>
    <x v="1"/>
    <x v="10"/>
    <x v="0"/>
    <x v="0"/>
    <x v="1"/>
  </r>
  <r>
    <x v="310"/>
    <x v="22"/>
    <x v="4037"/>
    <x v="1"/>
    <x v="1"/>
    <x v="10"/>
    <x v="0"/>
    <x v="0"/>
    <x v="1"/>
  </r>
  <r>
    <x v="310"/>
    <x v="23"/>
    <x v="4109"/>
    <x v="1"/>
    <x v="1"/>
    <x v="10"/>
    <x v="0"/>
    <x v="0"/>
    <x v="1"/>
  </r>
  <r>
    <x v="311"/>
    <x v="0"/>
    <x v="3950"/>
    <x v="1"/>
    <x v="1"/>
    <x v="10"/>
    <x v="2"/>
    <x v="1"/>
    <x v="4"/>
  </r>
  <r>
    <x v="311"/>
    <x v="1"/>
    <x v="3259"/>
    <x v="1"/>
    <x v="1"/>
    <x v="10"/>
    <x v="2"/>
    <x v="1"/>
    <x v="4"/>
  </r>
  <r>
    <x v="311"/>
    <x v="2"/>
    <x v="2374"/>
    <x v="1"/>
    <x v="1"/>
    <x v="10"/>
    <x v="2"/>
    <x v="1"/>
    <x v="4"/>
  </r>
  <r>
    <x v="311"/>
    <x v="3"/>
    <x v="1667"/>
    <x v="1"/>
    <x v="1"/>
    <x v="10"/>
    <x v="2"/>
    <x v="1"/>
    <x v="4"/>
  </r>
  <r>
    <x v="311"/>
    <x v="4"/>
    <x v="1286"/>
    <x v="1"/>
    <x v="1"/>
    <x v="10"/>
    <x v="2"/>
    <x v="1"/>
    <x v="4"/>
  </r>
  <r>
    <x v="311"/>
    <x v="5"/>
    <x v="947"/>
    <x v="1"/>
    <x v="1"/>
    <x v="10"/>
    <x v="2"/>
    <x v="1"/>
    <x v="4"/>
  </r>
  <r>
    <x v="311"/>
    <x v="6"/>
    <x v="1021"/>
    <x v="1"/>
    <x v="1"/>
    <x v="10"/>
    <x v="2"/>
    <x v="1"/>
    <x v="3"/>
  </r>
  <r>
    <x v="311"/>
    <x v="7"/>
    <x v="1238"/>
    <x v="1"/>
    <x v="1"/>
    <x v="10"/>
    <x v="2"/>
    <x v="1"/>
    <x v="3"/>
  </r>
  <r>
    <x v="311"/>
    <x v="8"/>
    <x v="1846"/>
    <x v="1"/>
    <x v="1"/>
    <x v="10"/>
    <x v="2"/>
    <x v="1"/>
    <x v="3"/>
  </r>
  <r>
    <x v="311"/>
    <x v="9"/>
    <x v="2299"/>
    <x v="1"/>
    <x v="1"/>
    <x v="10"/>
    <x v="2"/>
    <x v="1"/>
    <x v="3"/>
  </r>
  <r>
    <x v="311"/>
    <x v="10"/>
    <x v="2730"/>
    <x v="1"/>
    <x v="1"/>
    <x v="10"/>
    <x v="2"/>
    <x v="1"/>
    <x v="2"/>
  </r>
  <r>
    <x v="311"/>
    <x v="11"/>
    <x v="2921"/>
    <x v="1"/>
    <x v="1"/>
    <x v="10"/>
    <x v="2"/>
    <x v="1"/>
    <x v="2"/>
  </r>
  <r>
    <x v="311"/>
    <x v="12"/>
    <x v="3179"/>
    <x v="1"/>
    <x v="1"/>
    <x v="10"/>
    <x v="2"/>
    <x v="1"/>
    <x v="2"/>
  </r>
  <r>
    <x v="311"/>
    <x v="13"/>
    <x v="3221"/>
    <x v="1"/>
    <x v="1"/>
    <x v="10"/>
    <x v="2"/>
    <x v="1"/>
    <x v="2"/>
  </r>
  <r>
    <x v="311"/>
    <x v="14"/>
    <x v="3217"/>
    <x v="1"/>
    <x v="1"/>
    <x v="10"/>
    <x v="2"/>
    <x v="1"/>
    <x v="2"/>
  </r>
  <r>
    <x v="311"/>
    <x v="15"/>
    <x v="3326"/>
    <x v="1"/>
    <x v="1"/>
    <x v="10"/>
    <x v="2"/>
    <x v="1"/>
    <x v="2"/>
  </r>
  <r>
    <x v="311"/>
    <x v="16"/>
    <x v="3600"/>
    <x v="1"/>
    <x v="1"/>
    <x v="10"/>
    <x v="2"/>
    <x v="1"/>
    <x v="0"/>
  </r>
  <r>
    <x v="311"/>
    <x v="17"/>
    <x v="3853"/>
    <x v="1"/>
    <x v="1"/>
    <x v="10"/>
    <x v="2"/>
    <x v="1"/>
    <x v="0"/>
  </r>
  <r>
    <x v="311"/>
    <x v="18"/>
    <x v="3869"/>
    <x v="1"/>
    <x v="1"/>
    <x v="10"/>
    <x v="2"/>
    <x v="1"/>
    <x v="0"/>
  </r>
  <r>
    <x v="311"/>
    <x v="19"/>
    <x v="4040"/>
    <x v="1"/>
    <x v="1"/>
    <x v="10"/>
    <x v="2"/>
    <x v="1"/>
    <x v="0"/>
  </r>
  <r>
    <x v="311"/>
    <x v="20"/>
    <x v="3882"/>
    <x v="1"/>
    <x v="1"/>
    <x v="10"/>
    <x v="2"/>
    <x v="1"/>
    <x v="1"/>
  </r>
  <r>
    <x v="311"/>
    <x v="21"/>
    <x v="3808"/>
    <x v="1"/>
    <x v="1"/>
    <x v="10"/>
    <x v="2"/>
    <x v="1"/>
    <x v="1"/>
  </r>
  <r>
    <x v="311"/>
    <x v="22"/>
    <x v="3951"/>
    <x v="1"/>
    <x v="1"/>
    <x v="10"/>
    <x v="2"/>
    <x v="1"/>
    <x v="1"/>
  </r>
  <r>
    <x v="311"/>
    <x v="23"/>
    <x v="4087"/>
    <x v="1"/>
    <x v="1"/>
    <x v="10"/>
    <x v="2"/>
    <x v="1"/>
    <x v="1"/>
  </r>
  <r>
    <x v="312"/>
    <x v="0"/>
    <x v="3924"/>
    <x v="1"/>
    <x v="1"/>
    <x v="10"/>
    <x v="3"/>
    <x v="1"/>
    <x v="4"/>
  </r>
  <r>
    <x v="312"/>
    <x v="1"/>
    <x v="3348"/>
    <x v="1"/>
    <x v="1"/>
    <x v="10"/>
    <x v="3"/>
    <x v="1"/>
    <x v="4"/>
  </r>
  <r>
    <x v="312"/>
    <x v="2"/>
    <x v="2596"/>
    <x v="1"/>
    <x v="1"/>
    <x v="10"/>
    <x v="3"/>
    <x v="1"/>
    <x v="4"/>
  </r>
  <r>
    <x v="312"/>
    <x v="3"/>
    <x v="1858"/>
    <x v="1"/>
    <x v="1"/>
    <x v="10"/>
    <x v="3"/>
    <x v="1"/>
    <x v="4"/>
  </r>
  <r>
    <x v="312"/>
    <x v="4"/>
    <x v="1342"/>
    <x v="1"/>
    <x v="1"/>
    <x v="10"/>
    <x v="3"/>
    <x v="1"/>
    <x v="4"/>
  </r>
  <r>
    <x v="312"/>
    <x v="5"/>
    <x v="815"/>
    <x v="1"/>
    <x v="1"/>
    <x v="10"/>
    <x v="3"/>
    <x v="1"/>
    <x v="4"/>
  </r>
  <r>
    <x v="312"/>
    <x v="6"/>
    <x v="854"/>
    <x v="1"/>
    <x v="1"/>
    <x v="10"/>
    <x v="3"/>
    <x v="1"/>
    <x v="3"/>
  </r>
  <r>
    <x v="312"/>
    <x v="7"/>
    <x v="946"/>
    <x v="1"/>
    <x v="1"/>
    <x v="10"/>
    <x v="3"/>
    <x v="1"/>
    <x v="3"/>
  </r>
  <r>
    <x v="312"/>
    <x v="8"/>
    <x v="1438"/>
    <x v="1"/>
    <x v="1"/>
    <x v="10"/>
    <x v="3"/>
    <x v="1"/>
    <x v="3"/>
  </r>
  <r>
    <x v="312"/>
    <x v="9"/>
    <x v="1911"/>
    <x v="1"/>
    <x v="1"/>
    <x v="10"/>
    <x v="3"/>
    <x v="1"/>
    <x v="3"/>
  </r>
  <r>
    <x v="312"/>
    <x v="10"/>
    <x v="2527"/>
    <x v="1"/>
    <x v="1"/>
    <x v="10"/>
    <x v="3"/>
    <x v="1"/>
    <x v="2"/>
  </r>
  <r>
    <x v="312"/>
    <x v="11"/>
    <x v="2926"/>
    <x v="1"/>
    <x v="1"/>
    <x v="10"/>
    <x v="3"/>
    <x v="1"/>
    <x v="2"/>
  </r>
  <r>
    <x v="312"/>
    <x v="12"/>
    <x v="3084"/>
    <x v="1"/>
    <x v="1"/>
    <x v="10"/>
    <x v="3"/>
    <x v="1"/>
    <x v="2"/>
  </r>
  <r>
    <x v="312"/>
    <x v="13"/>
    <x v="3127"/>
    <x v="1"/>
    <x v="1"/>
    <x v="10"/>
    <x v="3"/>
    <x v="1"/>
    <x v="2"/>
  </r>
  <r>
    <x v="312"/>
    <x v="14"/>
    <x v="3165"/>
    <x v="1"/>
    <x v="1"/>
    <x v="10"/>
    <x v="3"/>
    <x v="1"/>
    <x v="2"/>
  </r>
  <r>
    <x v="312"/>
    <x v="15"/>
    <x v="3127"/>
    <x v="1"/>
    <x v="1"/>
    <x v="10"/>
    <x v="3"/>
    <x v="1"/>
    <x v="2"/>
  </r>
  <r>
    <x v="312"/>
    <x v="16"/>
    <x v="3222"/>
    <x v="1"/>
    <x v="1"/>
    <x v="10"/>
    <x v="3"/>
    <x v="1"/>
    <x v="0"/>
  </r>
  <r>
    <x v="312"/>
    <x v="17"/>
    <x v="3329"/>
    <x v="1"/>
    <x v="1"/>
    <x v="10"/>
    <x v="3"/>
    <x v="1"/>
    <x v="0"/>
  </r>
  <r>
    <x v="312"/>
    <x v="18"/>
    <x v="3354"/>
    <x v="1"/>
    <x v="1"/>
    <x v="10"/>
    <x v="3"/>
    <x v="1"/>
    <x v="0"/>
  </r>
  <r>
    <x v="312"/>
    <x v="19"/>
    <x v="3175"/>
    <x v="1"/>
    <x v="1"/>
    <x v="10"/>
    <x v="3"/>
    <x v="1"/>
    <x v="0"/>
  </r>
  <r>
    <x v="312"/>
    <x v="20"/>
    <x v="3167"/>
    <x v="1"/>
    <x v="1"/>
    <x v="10"/>
    <x v="3"/>
    <x v="1"/>
    <x v="1"/>
  </r>
  <r>
    <x v="312"/>
    <x v="21"/>
    <x v="3101"/>
    <x v="1"/>
    <x v="1"/>
    <x v="10"/>
    <x v="3"/>
    <x v="1"/>
    <x v="1"/>
  </r>
  <r>
    <x v="312"/>
    <x v="22"/>
    <x v="3000"/>
    <x v="1"/>
    <x v="1"/>
    <x v="10"/>
    <x v="3"/>
    <x v="1"/>
    <x v="1"/>
  </r>
  <r>
    <x v="312"/>
    <x v="23"/>
    <x v="2483"/>
    <x v="1"/>
    <x v="1"/>
    <x v="10"/>
    <x v="3"/>
    <x v="1"/>
    <x v="1"/>
  </r>
  <r>
    <x v="313"/>
    <x v="0"/>
    <x v="1737"/>
    <x v="1"/>
    <x v="1"/>
    <x v="10"/>
    <x v="1"/>
    <x v="0"/>
    <x v="4"/>
  </r>
  <r>
    <x v="313"/>
    <x v="1"/>
    <x v="807"/>
    <x v="1"/>
    <x v="1"/>
    <x v="10"/>
    <x v="1"/>
    <x v="0"/>
    <x v="4"/>
  </r>
  <r>
    <x v="313"/>
    <x v="2"/>
    <x v="465"/>
    <x v="1"/>
    <x v="1"/>
    <x v="10"/>
    <x v="1"/>
    <x v="0"/>
    <x v="4"/>
  </r>
  <r>
    <x v="313"/>
    <x v="3"/>
    <x v="384"/>
    <x v="1"/>
    <x v="1"/>
    <x v="10"/>
    <x v="1"/>
    <x v="0"/>
    <x v="4"/>
  </r>
  <r>
    <x v="313"/>
    <x v="4"/>
    <x v="637"/>
    <x v="1"/>
    <x v="1"/>
    <x v="10"/>
    <x v="1"/>
    <x v="0"/>
    <x v="4"/>
  </r>
  <r>
    <x v="313"/>
    <x v="5"/>
    <x v="1106"/>
    <x v="1"/>
    <x v="1"/>
    <x v="10"/>
    <x v="1"/>
    <x v="0"/>
    <x v="4"/>
  </r>
  <r>
    <x v="313"/>
    <x v="6"/>
    <x v="1831"/>
    <x v="1"/>
    <x v="1"/>
    <x v="10"/>
    <x v="1"/>
    <x v="0"/>
    <x v="3"/>
  </r>
  <r>
    <x v="313"/>
    <x v="7"/>
    <x v="2346"/>
    <x v="1"/>
    <x v="1"/>
    <x v="10"/>
    <x v="1"/>
    <x v="0"/>
    <x v="3"/>
  </r>
  <r>
    <x v="313"/>
    <x v="8"/>
    <x v="3060"/>
    <x v="1"/>
    <x v="1"/>
    <x v="10"/>
    <x v="1"/>
    <x v="0"/>
    <x v="3"/>
  </r>
  <r>
    <x v="313"/>
    <x v="9"/>
    <x v="2959"/>
    <x v="1"/>
    <x v="1"/>
    <x v="10"/>
    <x v="1"/>
    <x v="0"/>
    <x v="3"/>
  </r>
  <r>
    <x v="313"/>
    <x v="10"/>
    <x v="2420"/>
    <x v="1"/>
    <x v="1"/>
    <x v="10"/>
    <x v="1"/>
    <x v="0"/>
    <x v="2"/>
  </r>
  <r>
    <x v="313"/>
    <x v="11"/>
    <x v="2327"/>
    <x v="1"/>
    <x v="1"/>
    <x v="10"/>
    <x v="1"/>
    <x v="0"/>
    <x v="2"/>
  </r>
  <r>
    <x v="313"/>
    <x v="12"/>
    <x v="2341"/>
    <x v="1"/>
    <x v="1"/>
    <x v="10"/>
    <x v="1"/>
    <x v="0"/>
    <x v="2"/>
  </r>
  <r>
    <x v="313"/>
    <x v="13"/>
    <x v="2321"/>
    <x v="1"/>
    <x v="1"/>
    <x v="10"/>
    <x v="1"/>
    <x v="0"/>
    <x v="2"/>
  </r>
  <r>
    <x v="313"/>
    <x v="14"/>
    <x v="2522"/>
    <x v="1"/>
    <x v="1"/>
    <x v="10"/>
    <x v="1"/>
    <x v="0"/>
    <x v="2"/>
  </r>
  <r>
    <x v="313"/>
    <x v="15"/>
    <x v="2934"/>
    <x v="1"/>
    <x v="1"/>
    <x v="10"/>
    <x v="1"/>
    <x v="0"/>
    <x v="2"/>
  </r>
  <r>
    <x v="313"/>
    <x v="16"/>
    <x v="3007"/>
    <x v="1"/>
    <x v="1"/>
    <x v="10"/>
    <x v="1"/>
    <x v="0"/>
    <x v="0"/>
  </r>
  <r>
    <x v="313"/>
    <x v="17"/>
    <x v="3246"/>
    <x v="1"/>
    <x v="1"/>
    <x v="10"/>
    <x v="1"/>
    <x v="0"/>
    <x v="0"/>
  </r>
  <r>
    <x v="313"/>
    <x v="18"/>
    <x v="3546"/>
    <x v="1"/>
    <x v="1"/>
    <x v="10"/>
    <x v="1"/>
    <x v="0"/>
    <x v="0"/>
  </r>
  <r>
    <x v="313"/>
    <x v="19"/>
    <x v="3347"/>
    <x v="1"/>
    <x v="1"/>
    <x v="10"/>
    <x v="1"/>
    <x v="0"/>
    <x v="0"/>
  </r>
  <r>
    <x v="313"/>
    <x v="20"/>
    <x v="3269"/>
    <x v="1"/>
    <x v="1"/>
    <x v="10"/>
    <x v="1"/>
    <x v="0"/>
    <x v="1"/>
  </r>
  <r>
    <x v="313"/>
    <x v="21"/>
    <x v="3273"/>
    <x v="1"/>
    <x v="1"/>
    <x v="10"/>
    <x v="1"/>
    <x v="0"/>
    <x v="1"/>
  </r>
  <r>
    <x v="313"/>
    <x v="22"/>
    <x v="3110"/>
    <x v="1"/>
    <x v="1"/>
    <x v="10"/>
    <x v="1"/>
    <x v="0"/>
    <x v="1"/>
  </r>
  <r>
    <x v="313"/>
    <x v="23"/>
    <x v="2529"/>
    <x v="1"/>
    <x v="1"/>
    <x v="10"/>
    <x v="1"/>
    <x v="0"/>
    <x v="1"/>
  </r>
  <r>
    <x v="314"/>
    <x v="0"/>
    <x v="1896"/>
    <x v="1"/>
    <x v="1"/>
    <x v="10"/>
    <x v="5"/>
    <x v="0"/>
    <x v="4"/>
  </r>
  <r>
    <x v="314"/>
    <x v="1"/>
    <x v="1187"/>
    <x v="1"/>
    <x v="1"/>
    <x v="10"/>
    <x v="5"/>
    <x v="0"/>
    <x v="4"/>
  </r>
  <r>
    <x v="314"/>
    <x v="2"/>
    <x v="577"/>
    <x v="1"/>
    <x v="1"/>
    <x v="10"/>
    <x v="5"/>
    <x v="0"/>
    <x v="4"/>
  </r>
  <r>
    <x v="314"/>
    <x v="3"/>
    <x v="402"/>
    <x v="1"/>
    <x v="1"/>
    <x v="10"/>
    <x v="5"/>
    <x v="0"/>
    <x v="4"/>
  </r>
  <r>
    <x v="314"/>
    <x v="4"/>
    <x v="528"/>
    <x v="1"/>
    <x v="1"/>
    <x v="10"/>
    <x v="5"/>
    <x v="0"/>
    <x v="4"/>
  </r>
  <r>
    <x v="314"/>
    <x v="5"/>
    <x v="958"/>
    <x v="1"/>
    <x v="1"/>
    <x v="10"/>
    <x v="5"/>
    <x v="0"/>
    <x v="4"/>
  </r>
  <r>
    <x v="314"/>
    <x v="6"/>
    <x v="1643"/>
    <x v="1"/>
    <x v="1"/>
    <x v="10"/>
    <x v="5"/>
    <x v="0"/>
    <x v="3"/>
  </r>
  <r>
    <x v="314"/>
    <x v="7"/>
    <x v="2412"/>
    <x v="1"/>
    <x v="1"/>
    <x v="10"/>
    <x v="5"/>
    <x v="0"/>
    <x v="3"/>
  </r>
  <r>
    <x v="314"/>
    <x v="8"/>
    <x v="3062"/>
    <x v="1"/>
    <x v="1"/>
    <x v="10"/>
    <x v="5"/>
    <x v="0"/>
    <x v="3"/>
  </r>
  <r>
    <x v="314"/>
    <x v="9"/>
    <x v="3016"/>
    <x v="1"/>
    <x v="1"/>
    <x v="10"/>
    <x v="5"/>
    <x v="0"/>
    <x v="3"/>
  </r>
  <r>
    <x v="314"/>
    <x v="10"/>
    <x v="2588"/>
    <x v="1"/>
    <x v="1"/>
    <x v="10"/>
    <x v="5"/>
    <x v="0"/>
    <x v="2"/>
  </r>
  <r>
    <x v="314"/>
    <x v="11"/>
    <x v="2446"/>
    <x v="1"/>
    <x v="1"/>
    <x v="10"/>
    <x v="5"/>
    <x v="0"/>
    <x v="2"/>
  </r>
  <r>
    <x v="314"/>
    <x v="12"/>
    <x v="2400"/>
    <x v="1"/>
    <x v="1"/>
    <x v="10"/>
    <x v="5"/>
    <x v="0"/>
    <x v="2"/>
  </r>
  <r>
    <x v="314"/>
    <x v="13"/>
    <x v="2323"/>
    <x v="1"/>
    <x v="1"/>
    <x v="10"/>
    <x v="5"/>
    <x v="0"/>
    <x v="2"/>
  </r>
  <r>
    <x v="314"/>
    <x v="14"/>
    <x v="2649"/>
    <x v="1"/>
    <x v="1"/>
    <x v="10"/>
    <x v="5"/>
    <x v="0"/>
    <x v="2"/>
  </r>
  <r>
    <x v="314"/>
    <x v="15"/>
    <x v="2972"/>
    <x v="1"/>
    <x v="1"/>
    <x v="10"/>
    <x v="5"/>
    <x v="0"/>
    <x v="2"/>
  </r>
  <r>
    <x v="314"/>
    <x v="16"/>
    <x v="3188"/>
    <x v="1"/>
    <x v="1"/>
    <x v="10"/>
    <x v="5"/>
    <x v="0"/>
    <x v="0"/>
  </r>
  <r>
    <x v="314"/>
    <x v="17"/>
    <x v="3575"/>
    <x v="1"/>
    <x v="1"/>
    <x v="10"/>
    <x v="5"/>
    <x v="0"/>
    <x v="0"/>
  </r>
  <r>
    <x v="314"/>
    <x v="18"/>
    <x v="3809"/>
    <x v="1"/>
    <x v="1"/>
    <x v="10"/>
    <x v="5"/>
    <x v="0"/>
    <x v="0"/>
  </r>
  <r>
    <x v="314"/>
    <x v="19"/>
    <x v="3670"/>
    <x v="1"/>
    <x v="1"/>
    <x v="10"/>
    <x v="5"/>
    <x v="0"/>
    <x v="0"/>
  </r>
  <r>
    <x v="314"/>
    <x v="20"/>
    <x v="3577"/>
    <x v="1"/>
    <x v="1"/>
    <x v="10"/>
    <x v="5"/>
    <x v="0"/>
    <x v="1"/>
  </r>
  <r>
    <x v="314"/>
    <x v="21"/>
    <x v="3705"/>
    <x v="1"/>
    <x v="1"/>
    <x v="10"/>
    <x v="5"/>
    <x v="0"/>
    <x v="1"/>
  </r>
  <r>
    <x v="314"/>
    <x v="22"/>
    <x v="3658"/>
    <x v="1"/>
    <x v="1"/>
    <x v="10"/>
    <x v="5"/>
    <x v="0"/>
    <x v="1"/>
  </r>
  <r>
    <x v="314"/>
    <x v="23"/>
    <x v="3225"/>
    <x v="1"/>
    <x v="1"/>
    <x v="10"/>
    <x v="5"/>
    <x v="0"/>
    <x v="1"/>
  </r>
  <r>
    <x v="315"/>
    <x v="0"/>
    <x v="2106"/>
    <x v="1"/>
    <x v="1"/>
    <x v="10"/>
    <x v="6"/>
    <x v="0"/>
    <x v="4"/>
  </r>
  <r>
    <x v="315"/>
    <x v="1"/>
    <x v="1151"/>
    <x v="1"/>
    <x v="1"/>
    <x v="10"/>
    <x v="6"/>
    <x v="0"/>
    <x v="4"/>
  </r>
  <r>
    <x v="315"/>
    <x v="2"/>
    <x v="679"/>
    <x v="1"/>
    <x v="1"/>
    <x v="10"/>
    <x v="6"/>
    <x v="0"/>
    <x v="4"/>
  </r>
  <r>
    <x v="315"/>
    <x v="3"/>
    <x v="402"/>
    <x v="1"/>
    <x v="1"/>
    <x v="10"/>
    <x v="6"/>
    <x v="0"/>
    <x v="4"/>
  </r>
  <r>
    <x v="315"/>
    <x v="4"/>
    <x v="581"/>
    <x v="1"/>
    <x v="1"/>
    <x v="10"/>
    <x v="6"/>
    <x v="0"/>
    <x v="4"/>
  </r>
  <r>
    <x v="315"/>
    <x v="5"/>
    <x v="1019"/>
    <x v="1"/>
    <x v="1"/>
    <x v="10"/>
    <x v="6"/>
    <x v="0"/>
    <x v="4"/>
  </r>
  <r>
    <x v="315"/>
    <x v="6"/>
    <x v="1729"/>
    <x v="1"/>
    <x v="1"/>
    <x v="10"/>
    <x v="6"/>
    <x v="0"/>
    <x v="3"/>
  </r>
  <r>
    <x v="315"/>
    <x v="7"/>
    <x v="2612"/>
    <x v="1"/>
    <x v="1"/>
    <x v="10"/>
    <x v="6"/>
    <x v="0"/>
    <x v="3"/>
  </r>
  <r>
    <x v="315"/>
    <x v="8"/>
    <x v="3136"/>
    <x v="1"/>
    <x v="1"/>
    <x v="10"/>
    <x v="6"/>
    <x v="0"/>
    <x v="3"/>
  </r>
  <r>
    <x v="315"/>
    <x v="9"/>
    <x v="3046"/>
    <x v="1"/>
    <x v="1"/>
    <x v="10"/>
    <x v="6"/>
    <x v="0"/>
    <x v="3"/>
  </r>
  <r>
    <x v="315"/>
    <x v="10"/>
    <x v="2598"/>
    <x v="1"/>
    <x v="1"/>
    <x v="10"/>
    <x v="6"/>
    <x v="0"/>
    <x v="2"/>
  </r>
  <r>
    <x v="315"/>
    <x v="11"/>
    <x v="2460"/>
    <x v="1"/>
    <x v="1"/>
    <x v="10"/>
    <x v="6"/>
    <x v="0"/>
    <x v="2"/>
  </r>
  <r>
    <x v="315"/>
    <x v="12"/>
    <x v="2411"/>
    <x v="1"/>
    <x v="1"/>
    <x v="10"/>
    <x v="6"/>
    <x v="0"/>
    <x v="2"/>
  </r>
  <r>
    <x v="315"/>
    <x v="13"/>
    <x v="2424"/>
    <x v="1"/>
    <x v="1"/>
    <x v="10"/>
    <x v="6"/>
    <x v="0"/>
    <x v="2"/>
  </r>
  <r>
    <x v="315"/>
    <x v="14"/>
    <x v="2552"/>
    <x v="1"/>
    <x v="1"/>
    <x v="10"/>
    <x v="6"/>
    <x v="0"/>
    <x v="2"/>
  </r>
  <r>
    <x v="315"/>
    <x v="15"/>
    <x v="2944"/>
    <x v="1"/>
    <x v="1"/>
    <x v="10"/>
    <x v="6"/>
    <x v="0"/>
    <x v="2"/>
  </r>
  <r>
    <x v="315"/>
    <x v="16"/>
    <x v="3231"/>
    <x v="1"/>
    <x v="1"/>
    <x v="10"/>
    <x v="6"/>
    <x v="0"/>
    <x v="0"/>
  </r>
  <r>
    <x v="315"/>
    <x v="17"/>
    <x v="3588"/>
    <x v="1"/>
    <x v="1"/>
    <x v="10"/>
    <x v="6"/>
    <x v="0"/>
    <x v="0"/>
  </r>
  <r>
    <x v="315"/>
    <x v="18"/>
    <x v="3913"/>
    <x v="1"/>
    <x v="1"/>
    <x v="10"/>
    <x v="6"/>
    <x v="0"/>
    <x v="0"/>
  </r>
  <r>
    <x v="315"/>
    <x v="19"/>
    <x v="3966"/>
    <x v="1"/>
    <x v="1"/>
    <x v="10"/>
    <x v="6"/>
    <x v="0"/>
    <x v="0"/>
  </r>
  <r>
    <x v="315"/>
    <x v="20"/>
    <x v="3892"/>
    <x v="1"/>
    <x v="1"/>
    <x v="10"/>
    <x v="6"/>
    <x v="0"/>
    <x v="1"/>
  </r>
  <r>
    <x v="315"/>
    <x v="21"/>
    <x v="3885"/>
    <x v="1"/>
    <x v="1"/>
    <x v="10"/>
    <x v="6"/>
    <x v="0"/>
    <x v="1"/>
  </r>
  <r>
    <x v="315"/>
    <x v="22"/>
    <x v="3927"/>
    <x v="1"/>
    <x v="1"/>
    <x v="10"/>
    <x v="6"/>
    <x v="0"/>
    <x v="1"/>
  </r>
  <r>
    <x v="315"/>
    <x v="23"/>
    <x v="3778"/>
    <x v="1"/>
    <x v="1"/>
    <x v="10"/>
    <x v="6"/>
    <x v="0"/>
    <x v="1"/>
  </r>
  <r>
    <x v="316"/>
    <x v="0"/>
    <x v="2626"/>
    <x v="1"/>
    <x v="1"/>
    <x v="10"/>
    <x v="4"/>
    <x v="0"/>
    <x v="4"/>
  </r>
  <r>
    <x v="316"/>
    <x v="1"/>
    <x v="1403"/>
    <x v="1"/>
    <x v="1"/>
    <x v="10"/>
    <x v="4"/>
    <x v="0"/>
    <x v="4"/>
  </r>
  <r>
    <x v="316"/>
    <x v="2"/>
    <x v="823"/>
    <x v="1"/>
    <x v="1"/>
    <x v="10"/>
    <x v="4"/>
    <x v="0"/>
    <x v="4"/>
  </r>
  <r>
    <x v="316"/>
    <x v="3"/>
    <x v="570"/>
    <x v="1"/>
    <x v="1"/>
    <x v="10"/>
    <x v="4"/>
    <x v="0"/>
    <x v="4"/>
  </r>
  <r>
    <x v="316"/>
    <x v="4"/>
    <x v="749"/>
    <x v="1"/>
    <x v="1"/>
    <x v="10"/>
    <x v="4"/>
    <x v="0"/>
    <x v="4"/>
  </r>
  <r>
    <x v="316"/>
    <x v="5"/>
    <x v="1204"/>
    <x v="1"/>
    <x v="1"/>
    <x v="10"/>
    <x v="4"/>
    <x v="0"/>
    <x v="4"/>
  </r>
  <r>
    <x v="316"/>
    <x v="6"/>
    <x v="1802"/>
    <x v="1"/>
    <x v="1"/>
    <x v="10"/>
    <x v="4"/>
    <x v="0"/>
    <x v="3"/>
  </r>
  <r>
    <x v="316"/>
    <x v="7"/>
    <x v="2647"/>
    <x v="1"/>
    <x v="1"/>
    <x v="10"/>
    <x v="4"/>
    <x v="0"/>
    <x v="3"/>
  </r>
  <r>
    <x v="316"/>
    <x v="8"/>
    <x v="3186"/>
    <x v="1"/>
    <x v="1"/>
    <x v="10"/>
    <x v="4"/>
    <x v="0"/>
    <x v="3"/>
  </r>
  <r>
    <x v="316"/>
    <x v="9"/>
    <x v="3152"/>
    <x v="1"/>
    <x v="1"/>
    <x v="10"/>
    <x v="4"/>
    <x v="0"/>
    <x v="3"/>
  </r>
  <r>
    <x v="316"/>
    <x v="10"/>
    <x v="2732"/>
    <x v="1"/>
    <x v="1"/>
    <x v="10"/>
    <x v="4"/>
    <x v="0"/>
    <x v="2"/>
  </r>
  <r>
    <x v="316"/>
    <x v="11"/>
    <x v="2562"/>
    <x v="1"/>
    <x v="1"/>
    <x v="10"/>
    <x v="4"/>
    <x v="0"/>
    <x v="2"/>
  </r>
  <r>
    <x v="316"/>
    <x v="12"/>
    <x v="2582"/>
    <x v="1"/>
    <x v="1"/>
    <x v="10"/>
    <x v="4"/>
    <x v="0"/>
    <x v="2"/>
  </r>
  <r>
    <x v="316"/>
    <x v="13"/>
    <x v="2508"/>
    <x v="1"/>
    <x v="1"/>
    <x v="10"/>
    <x v="4"/>
    <x v="0"/>
    <x v="2"/>
  </r>
  <r>
    <x v="316"/>
    <x v="14"/>
    <x v="2842"/>
    <x v="1"/>
    <x v="1"/>
    <x v="10"/>
    <x v="4"/>
    <x v="0"/>
    <x v="2"/>
  </r>
  <r>
    <x v="316"/>
    <x v="15"/>
    <x v="3113"/>
    <x v="1"/>
    <x v="1"/>
    <x v="10"/>
    <x v="4"/>
    <x v="0"/>
    <x v="2"/>
  </r>
  <r>
    <x v="316"/>
    <x v="16"/>
    <x v="3357"/>
    <x v="1"/>
    <x v="1"/>
    <x v="10"/>
    <x v="4"/>
    <x v="0"/>
    <x v="0"/>
  </r>
  <r>
    <x v="316"/>
    <x v="17"/>
    <x v="3647"/>
    <x v="1"/>
    <x v="1"/>
    <x v="10"/>
    <x v="4"/>
    <x v="0"/>
    <x v="0"/>
  </r>
  <r>
    <x v="316"/>
    <x v="18"/>
    <x v="3998"/>
    <x v="1"/>
    <x v="1"/>
    <x v="10"/>
    <x v="4"/>
    <x v="0"/>
    <x v="0"/>
  </r>
  <r>
    <x v="316"/>
    <x v="19"/>
    <x v="4051"/>
    <x v="1"/>
    <x v="1"/>
    <x v="10"/>
    <x v="4"/>
    <x v="0"/>
    <x v="0"/>
  </r>
  <r>
    <x v="316"/>
    <x v="20"/>
    <x v="4073"/>
    <x v="1"/>
    <x v="1"/>
    <x v="10"/>
    <x v="4"/>
    <x v="0"/>
    <x v="1"/>
  </r>
  <r>
    <x v="316"/>
    <x v="21"/>
    <x v="4134"/>
    <x v="1"/>
    <x v="1"/>
    <x v="10"/>
    <x v="4"/>
    <x v="0"/>
    <x v="1"/>
  </r>
  <r>
    <x v="316"/>
    <x v="22"/>
    <x v="4122"/>
    <x v="1"/>
    <x v="1"/>
    <x v="10"/>
    <x v="4"/>
    <x v="0"/>
    <x v="1"/>
  </r>
  <r>
    <x v="316"/>
    <x v="23"/>
    <x v="4004"/>
    <x v="1"/>
    <x v="1"/>
    <x v="10"/>
    <x v="4"/>
    <x v="0"/>
    <x v="1"/>
  </r>
  <r>
    <x v="317"/>
    <x v="0"/>
    <x v="3305"/>
    <x v="1"/>
    <x v="1"/>
    <x v="10"/>
    <x v="0"/>
    <x v="0"/>
    <x v="4"/>
  </r>
  <r>
    <x v="317"/>
    <x v="1"/>
    <x v="1853"/>
    <x v="1"/>
    <x v="1"/>
    <x v="10"/>
    <x v="0"/>
    <x v="0"/>
    <x v="4"/>
  </r>
  <r>
    <x v="317"/>
    <x v="2"/>
    <x v="1103"/>
    <x v="1"/>
    <x v="1"/>
    <x v="10"/>
    <x v="0"/>
    <x v="0"/>
    <x v="4"/>
  </r>
  <r>
    <x v="317"/>
    <x v="3"/>
    <x v="797"/>
    <x v="1"/>
    <x v="1"/>
    <x v="10"/>
    <x v="0"/>
    <x v="0"/>
    <x v="4"/>
  </r>
  <r>
    <x v="317"/>
    <x v="4"/>
    <x v="1018"/>
    <x v="1"/>
    <x v="1"/>
    <x v="10"/>
    <x v="0"/>
    <x v="0"/>
    <x v="4"/>
  </r>
  <r>
    <x v="317"/>
    <x v="5"/>
    <x v="1215"/>
    <x v="1"/>
    <x v="1"/>
    <x v="10"/>
    <x v="0"/>
    <x v="0"/>
    <x v="4"/>
  </r>
  <r>
    <x v="317"/>
    <x v="6"/>
    <x v="1784"/>
    <x v="1"/>
    <x v="1"/>
    <x v="10"/>
    <x v="0"/>
    <x v="0"/>
    <x v="3"/>
  </r>
  <r>
    <x v="317"/>
    <x v="7"/>
    <x v="2500"/>
    <x v="1"/>
    <x v="1"/>
    <x v="10"/>
    <x v="0"/>
    <x v="0"/>
    <x v="3"/>
  </r>
  <r>
    <x v="317"/>
    <x v="8"/>
    <x v="3102"/>
    <x v="1"/>
    <x v="1"/>
    <x v="10"/>
    <x v="0"/>
    <x v="0"/>
    <x v="3"/>
  </r>
  <r>
    <x v="317"/>
    <x v="9"/>
    <x v="3117"/>
    <x v="1"/>
    <x v="1"/>
    <x v="10"/>
    <x v="0"/>
    <x v="0"/>
    <x v="3"/>
  </r>
  <r>
    <x v="317"/>
    <x v="10"/>
    <x v="2857"/>
    <x v="1"/>
    <x v="1"/>
    <x v="10"/>
    <x v="0"/>
    <x v="0"/>
    <x v="2"/>
  </r>
  <r>
    <x v="317"/>
    <x v="11"/>
    <x v="2675"/>
    <x v="1"/>
    <x v="1"/>
    <x v="10"/>
    <x v="0"/>
    <x v="0"/>
    <x v="2"/>
  </r>
  <r>
    <x v="317"/>
    <x v="12"/>
    <x v="2552"/>
    <x v="1"/>
    <x v="1"/>
    <x v="10"/>
    <x v="0"/>
    <x v="0"/>
    <x v="2"/>
  </r>
  <r>
    <x v="317"/>
    <x v="13"/>
    <x v="2653"/>
    <x v="1"/>
    <x v="1"/>
    <x v="10"/>
    <x v="0"/>
    <x v="0"/>
    <x v="2"/>
  </r>
  <r>
    <x v="317"/>
    <x v="14"/>
    <x v="2920"/>
    <x v="1"/>
    <x v="1"/>
    <x v="10"/>
    <x v="0"/>
    <x v="0"/>
    <x v="2"/>
  </r>
  <r>
    <x v="317"/>
    <x v="15"/>
    <x v="3252"/>
    <x v="1"/>
    <x v="1"/>
    <x v="10"/>
    <x v="0"/>
    <x v="0"/>
    <x v="2"/>
  </r>
  <r>
    <x v="317"/>
    <x v="16"/>
    <x v="3432"/>
    <x v="1"/>
    <x v="1"/>
    <x v="10"/>
    <x v="0"/>
    <x v="0"/>
    <x v="0"/>
  </r>
  <r>
    <x v="317"/>
    <x v="17"/>
    <x v="3731"/>
    <x v="1"/>
    <x v="1"/>
    <x v="10"/>
    <x v="0"/>
    <x v="0"/>
    <x v="0"/>
  </r>
  <r>
    <x v="317"/>
    <x v="18"/>
    <x v="4053"/>
    <x v="1"/>
    <x v="1"/>
    <x v="10"/>
    <x v="0"/>
    <x v="0"/>
    <x v="0"/>
  </r>
  <r>
    <x v="317"/>
    <x v="19"/>
    <x v="4136"/>
    <x v="1"/>
    <x v="1"/>
    <x v="10"/>
    <x v="0"/>
    <x v="0"/>
    <x v="0"/>
  </r>
  <r>
    <x v="317"/>
    <x v="20"/>
    <x v="4134"/>
    <x v="1"/>
    <x v="1"/>
    <x v="10"/>
    <x v="0"/>
    <x v="0"/>
    <x v="1"/>
  </r>
  <r>
    <x v="317"/>
    <x v="21"/>
    <x v="4106"/>
    <x v="1"/>
    <x v="1"/>
    <x v="10"/>
    <x v="0"/>
    <x v="0"/>
    <x v="1"/>
  </r>
  <r>
    <x v="317"/>
    <x v="22"/>
    <x v="4174"/>
    <x v="1"/>
    <x v="1"/>
    <x v="10"/>
    <x v="0"/>
    <x v="0"/>
    <x v="1"/>
  </r>
  <r>
    <x v="317"/>
    <x v="23"/>
    <x v="4173"/>
    <x v="1"/>
    <x v="1"/>
    <x v="10"/>
    <x v="0"/>
    <x v="0"/>
    <x v="1"/>
  </r>
  <r>
    <x v="318"/>
    <x v="0"/>
    <x v="4081"/>
    <x v="1"/>
    <x v="1"/>
    <x v="10"/>
    <x v="2"/>
    <x v="1"/>
    <x v="4"/>
  </r>
  <r>
    <x v="318"/>
    <x v="1"/>
    <x v="3589"/>
    <x v="1"/>
    <x v="1"/>
    <x v="10"/>
    <x v="2"/>
    <x v="1"/>
    <x v="4"/>
  </r>
  <r>
    <x v="318"/>
    <x v="2"/>
    <x v="2853"/>
    <x v="1"/>
    <x v="1"/>
    <x v="10"/>
    <x v="2"/>
    <x v="1"/>
    <x v="4"/>
  </r>
  <r>
    <x v="318"/>
    <x v="3"/>
    <x v="1981"/>
    <x v="1"/>
    <x v="1"/>
    <x v="10"/>
    <x v="2"/>
    <x v="1"/>
    <x v="4"/>
  </r>
  <r>
    <x v="318"/>
    <x v="4"/>
    <x v="1572"/>
    <x v="1"/>
    <x v="1"/>
    <x v="10"/>
    <x v="2"/>
    <x v="1"/>
    <x v="4"/>
  </r>
  <r>
    <x v="318"/>
    <x v="5"/>
    <x v="1364"/>
    <x v="1"/>
    <x v="1"/>
    <x v="10"/>
    <x v="2"/>
    <x v="1"/>
    <x v="4"/>
  </r>
  <r>
    <x v="318"/>
    <x v="6"/>
    <x v="1473"/>
    <x v="1"/>
    <x v="1"/>
    <x v="10"/>
    <x v="2"/>
    <x v="1"/>
    <x v="3"/>
  </r>
  <r>
    <x v="318"/>
    <x v="7"/>
    <x v="1449"/>
    <x v="1"/>
    <x v="1"/>
    <x v="10"/>
    <x v="2"/>
    <x v="1"/>
    <x v="3"/>
  </r>
  <r>
    <x v="318"/>
    <x v="8"/>
    <x v="2054"/>
    <x v="1"/>
    <x v="1"/>
    <x v="10"/>
    <x v="2"/>
    <x v="1"/>
    <x v="3"/>
  </r>
  <r>
    <x v="318"/>
    <x v="9"/>
    <x v="2538"/>
    <x v="1"/>
    <x v="1"/>
    <x v="10"/>
    <x v="2"/>
    <x v="1"/>
    <x v="3"/>
  </r>
  <r>
    <x v="318"/>
    <x v="10"/>
    <x v="2778"/>
    <x v="1"/>
    <x v="1"/>
    <x v="10"/>
    <x v="2"/>
    <x v="1"/>
    <x v="2"/>
  </r>
  <r>
    <x v="318"/>
    <x v="11"/>
    <x v="3083"/>
    <x v="1"/>
    <x v="1"/>
    <x v="10"/>
    <x v="2"/>
    <x v="1"/>
    <x v="2"/>
  </r>
  <r>
    <x v="318"/>
    <x v="12"/>
    <x v="3213"/>
    <x v="1"/>
    <x v="1"/>
    <x v="10"/>
    <x v="2"/>
    <x v="1"/>
    <x v="2"/>
  </r>
  <r>
    <x v="318"/>
    <x v="13"/>
    <x v="3393"/>
    <x v="1"/>
    <x v="1"/>
    <x v="10"/>
    <x v="2"/>
    <x v="1"/>
    <x v="2"/>
  </r>
  <r>
    <x v="318"/>
    <x v="14"/>
    <x v="3485"/>
    <x v="1"/>
    <x v="1"/>
    <x v="10"/>
    <x v="2"/>
    <x v="1"/>
    <x v="2"/>
  </r>
  <r>
    <x v="318"/>
    <x v="15"/>
    <x v="3552"/>
    <x v="1"/>
    <x v="1"/>
    <x v="10"/>
    <x v="2"/>
    <x v="1"/>
    <x v="2"/>
  </r>
  <r>
    <x v="318"/>
    <x v="16"/>
    <x v="3844"/>
    <x v="1"/>
    <x v="1"/>
    <x v="10"/>
    <x v="2"/>
    <x v="1"/>
    <x v="0"/>
  </r>
  <r>
    <x v="318"/>
    <x v="17"/>
    <x v="4006"/>
    <x v="1"/>
    <x v="1"/>
    <x v="10"/>
    <x v="2"/>
    <x v="1"/>
    <x v="0"/>
  </r>
  <r>
    <x v="318"/>
    <x v="18"/>
    <x v="4080"/>
    <x v="1"/>
    <x v="1"/>
    <x v="10"/>
    <x v="2"/>
    <x v="1"/>
    <x v="0"/>
  </r>
  <r>
    <x v="318"/>
    <x v="19"/>
    <x v="4183"/>
    <x v="1"/>
    <x v="1"/>
    <x v="10"/>
    <x v="2"/>
    <x v="1"/>
    <x v="0"/>
  </r>
  <r>
    <x v="318"/>
    <x v="20"/>
    <x v="4202"/>
    <x v="1"/>
    <x v="1"/>
    <x v="10"/>
    <x v="2"/>
    <x v="1"/>
    <x v="1"/>
  </r>
  <r>
    <x v="318"/>
    <x v="21"/>
    <x v="4205"/>
    <x v="1"/>
    <x v="1"/>
    <x v="10"/>
    <x v="2"/>
    <x v="1"/>
    <x v="1"/>
  </r>
  <r>
    <x v="318"/>
    <x v="22"/>
    <x v="4208"/>
    <x v="1"/>
    <x v="1"/>
    <x v="10"/>
    <x v="2"/>
    <x v="1"/>
    <x v="1"/>
  </r>
  <r>
    <x v="318"/>
    <x v="23"/>
    <x v="4204"/>
    <x v="1"/>
    <x v="1"/>
    <x v="10"/>
    <x v="2"/>
    <x v="1"/>
    <x v="1"/>
  </r>
  <r>
    <x v="319"/>
    <x v="0"/>
    <x v="4198"/>
    <x v="1"/>
    <x v="1"/>
    <x v="10"/>
    <x v="3"/>
    <x v="1"/>
    <x v="4"/>
  </r>
  <r>
    <x v="319"/>
    <x v="1"/>
    <x v="3940"/>
    <x v="1"/>
    <x v="1"/>
    <x v="10"/>
    <x v="3"/>
    <x v="1"/>
    <x v="4"/>
  </r>
  <r>
    <x v="319"/>
    <x v="2"/>
    <x v="3028"/>
    <x v="1"/>
    <x v="1"/>
    <x v="10"/>
    <x v="3"/>
    <x v="1"/>
    <x v="4"/>
  </r>
  <r>
    <x v="319"/>
    <x v="3"/>
    <x v="2133"/>
    <x v="1"/>
    <x v="1"/>
    <x v="10"/>
    <x v="3"/>
    <x v="1"/>
    <x v="4"/>
  </r>
  <r>
    <x v="319"/>
    <x v="4"/>
    <x v="1567"/>
    <x v="1"/>
    <x v="1"/>
    <x v="10"/>
    <x v="3"/>
    <x v="1"/>
    <x v="4"/>
  </r>
  <r>
    <x v="319"/>
    <x v="5"/>
    <x v="1089"/>
    <x v="1"/>
    <x v="1"/>
    <x v="10"/>
    <x v="3"/>
    <x v="1"/>
    <x v="4"/>
  </r>
  <r>
    <x v="319"/>
    <x v="6"/>
    <x v="1017"/>
    <x v="1"/>
    <x v="1"/>
    <x v="10"/>
    <x v="3"/>
    <x v="1"/>
    <x v="3"/>
  </r>
  <r>
    <x v="319"/>
    <x v="7"/>
    <x v="1246"/>
    <x v="1"/>
    <x v="1"/>
    <x v="10"/>
    <x v="3"/>
    <x v="1"/>
    <x v="3"/>
  </r>
  <r>
    <x v="319"/>
    <x v="8"/>
    <x v="1687"/>
    <x v="1"/>
    <x v="1"/>
    <x v="10"/>
    <x v="3"/>
    <x v="1"/>
    <x v="3"/>
  </r>
  <r>
    <x v="319"/>
    <x v="9"/>
    <x v="2182"/>
    <x v="1"/>
    <x v="1"/>
    <x v="10"/>
    <x v="3"/>
    <x v="1"/>
    <x v="3"/>
  </r>
  <r>
    <x v="319"/>
    <x v="10"/>
    <x v="2609"/>
    <x v="1"/>
    <x v="1"/>
    <x v="10"/>
    <x v="3"/>
    <x v="1"/>
    <x v="2"/>
  </r>
  <r>
    <x v="319"/>
    <x v="11"/>
    <x v="3024"/>
    <x v="1"/>
    <x v="1"/>
    <x v="10"/>
    <x v="3"/>
    <x v="1"/>
    <x v="2"/>
  </r>
  <r>
    <x v="319"/>
    <x v="12"/>
    <x v="3123"/>
    <x v="1"/>
    <x v="1"/>
    <x v="10"/>
    <x v="3"/>
    <x v="1"/>
    <x v="2"/>
  </r>
  <r>
    <x v="319"/>
    <x v="13"/>
    <x v="3291"/>
    <x v="1"/>
    <x v="1"/>
    <x v="10"/>
    <x v="3"/>
    <x v="1"/>
    <x v="2"/>
  </r>
  <r>
    <x v="319"/>
    <x v="14"/>
    <x v="3452"/>
    <x v="1"/>
    <x v="1"/>
    <x v="10"/>
    <x v="3"/>
    <x v="1"/>
    <x v="2"/>
  </r>
  <r>
    <x v="319"/>
    <x v="15"/>
    <x v="3533"/>
    <x v="1"/>
    <x v="1"/>
    <x v="10"/>
    <x v="3"/>
    <x v="1"/>
    <x v="2"/>
  </r>
  <r>
    <x v="319"/>
    <x v="16"/>
    <x v="3584"/>
    <x v="1"/>
    <x v="1"/>
    <x v="10"/>
    <x v="3"/>
    <x v="1"/>
    <x v="0"/>
  </r>
  <r>
    <x v="319"/>
    <x v="17"/>
    <x v="3598"/>
    <x v="1"/>
    <x v="1"/>
    <x v="10"/>
    <x v="3"/>
    <x v="1"/>
    <x v="0"/>
  </r>
  <r>
    <x v="319"/>
    <x v="18"/>
    <x v="3612"/>
    <x v="1"/>
    <x v="1"/>
    <x v="10"/>
    <x v="3"/>
    <x v="1"/>
    <x v="0"/>
  </r>
  <r>
    <x v="319"/>
    <x v="19"/>
    <x v="3551"/>
    <x v="1"/>
    <x v="1"/>
    <x v="10"/>
    <x v="3"/>
    <x v="1"/>
    <x v="0"/>
  </r>
  <r>
    <x v="319"/>
    <x v="20"/>
    <x v="3453"/>
    <x v="1"/>
    <x v="1"/>
    <x v="10"/>
    <x v="3"/>
    <x v="1"/>
    <x v="1"/>
  </r>
  <r>
    <x v="319"/>
    <x v="21"/>
    <x v="3349"/>
    <x v="1"/>
    <x v="1"/>
    <x v="10"/>
    <x v="3"/>
    <x v="1"/>
    <x v="1"/>
  </r>
  <r>
    <x v="319"/>
    <x v="22"/>
    <x v="3279"/>
    <x v="1"/>
    <x v="1"/>
    <x v="10"/>
    <x v="3"/>
    <x v="1"/>
    <x v="1"/>
  </r>
  <r>
    <x v="319"/>
    <x v="23"/>
    <x v="2985"/>
    <x v="1"/>
    <x v="1"/>
    <x v="10"/>
    <x v="3"/>
    <x v="1"/>
    <x v="1"/>
  </r>
  <r>
    <x v="320"/>
    <x v="0"/>
    <x v="2031"/>
    <x v="1"/>
    <x v="1"/>
    <x v="10"/>
    <x v="1"/>
    <x v="0"/>
    <x v="4"/>
  </r>
  <r>
    <x v="320"/>
    <x v="1"/>
    <x v="1036"/>
    <x v="1"/>
    <x v="1"/>
    <x v="10"/>
    <x v="1"/>
    <x v="0"/>
    <x v="4"/>
  </r>
  <r>
    <x v="320"/>
    <x v="2"/>
    <x v="686"/>
    <x v="1"/>
    <x v="1"/>
    <x v="10"/>
    <x v="1"/>
    <x v="0"/>
    <x v="4"/>
  </r>
  <r>
    <x v="320"/>
    <x v="3"/>
    <x v="447"/>
    <x v="1"/>
    <x v="1"/>
    <x v="10"/>
    <x v="1"/>
    <x v="0"/>
    <x v="4"/>
  </r>
  <r>
    <x v="320"/>
    <x v="4"/>
    <x v="763"/>
    <x v="1"/>
    <x v="1"/>
    <x v="10"/>
    <x v="1"/>
    <x v="0"/>
    <x v="4"/>
  </r>
  <r>
    <x v="320"/>
    <x v="5"/>
    <x v="1239"/>
    <x v="1"/>
    <x v="1"/>
    <x v="10"/>
    <x v="1"/>
    <x v="0"/>
    <x v="4"/>
  </r>
  <r>
    <x v="320"/>
    <x v="6"/>
    <x v="1837"/>
    <x v="1"/>
    <x v="1"/>
    <x v="10"/>
    <x v="1"/>
    <x v="0"/>
    <x v="3"/>
  </r>
  <r>
    <x v="320"/>
    <x v="7"/>
    <x v="2492"/>
    <x v="1"/>
    <x v="1"/>
    <x v="10"/>
    <x v="1"/>
    <x v="0"/>
    <x v="3"/>
  </r>
  <r>
    <x v="320"/>
    <x v="8"/>
    <x v="3126"/>
    <x v="1"/>
    <x v="1"/>
    <x v="10"/>
    <x v="1"/>
    <x v="0"/>
    <x v="3"/>
  </r>
  <r>
    <x v="320"/>
    <x v="9"/>
    <x v="3085"/>
    <x v="1"/>
    <x v="1"/>
    <x v="10"/>
    <x v="1"/>
    <x v="0"/>
    <x v="3"/>
  </r>
  <r>
    <x v="320"/>
    <x v="10"/>
    <x v="2621"/>
    <x v="1"/>
    <x v="1"/>
    <x v="10"/>
    <x v="1"/>
    <x v="0"/>
    <x v="2"/>
  </r>
  <r>
    <x v="320"/>
    <x v="11"/>
    <x v="2452"/>
    <x v="1"/>
    <x v="1"/>
    <x v="10"/>
    <x v="1"/>
    <x v="0"/>
    <x v="2"/>
  </r>
  <r>
    <x v="320"/>
    <x v="12"/>
    <x v="2428"/>
    <x v="1"/>
    <x v="1"/>
    <x v="10"/>
    <x v="1"/>
    <x v="0"/>
    <x v="2"/>
  </r>
  <r>
    <x v="320"/>
    <x v="13"/>
    <x v="2360"/>
    <x v="1"/>
    <x v="1"/>
    <x v="10"/>
    <x v="1"/>
    <x v="0"/>
    <x v="2"/>
  </r>
  <r>
    <x v="320"/>
    <x v="14"/>
    <x v="2543"/>
    <x v="1"/>
    <x v="1"/>
    <x v="10"/>
    <x v="1"/>
    <x v="0"/>
    <x v="2"/>
  </r>
  <r>
    <x v="320"/>
    <x v="15"/>
    <x v="2928"/>
    <x v="1"/>
    <x v="1"/>
    <x v="10"/>
    <x v="1"/>
    <x v="0"/>
    <x v="2"/>
  </r>
  <r>
    <x v="320"/>
    <x v="16"/>
    <x v="3131"/>
    <x v="1"/>
    <x v="1"/>
    <x v="10"/>
    <x v="1"/>
    <x v="0"/>
    <x v="0"/>
  </r>
  <r>
    <x v="320"/>
    <x v="17"/>
    <x v="3361"/>
    <x v="1"/>
    <x v="1"/>
    <x v="10"/>
    <x v="1"/>
    <x v="0"/>
    <x v="0"/>
  </r>
  <r>
    <x v="320"/>
    <x v="18"/>
    <x v="3711"/>
    <x v="1"/>
    <x v="1"/>
    <x v="10"/>
    <x v="1"/>
    <x v="0"/>
    <x v="0"/>
  </r>
  <r>
    <x v="320"/>
    <x v="19"/>
    <x v="3636"/>
    <x v="1"/>
    <x v="1"/>
    <x v="10"/>
    <x v="1"/>
    <x v="0"/>
    <x v="0"/>
  </r>
  <r>
    <x v="320"/>
    <x v="20"/>
    <x v="3435"/>
    <x v="1"/>
    <x v="1"/>
    <x v="10"/>
    <x v="1"/>
    <x v="0"/>
    <x v="1"/>
  </r>
  <r>
    <x v="320"/>
    <x v="21"/>
    <x v="3423"/>
    <x v="1"/>
    <x v="1"/>
    <x v="10"/>
    <x v="1"/>
    <x v="0"/>
    <x v="1"/>
  </r>
  <r>
    <x v="320"/>
    <x v="22"/>
    <x v="3432"/>
    <x v="1"/>
    <x v="1"/>
    <x v="10"/>
    <x v="1"/>
    <x v="0"/>
    <x v="1"/>
  </r>
  <r>
    <x v="320"/>
    <x v="23"/>
    <x v="2908"/>
    <x v="1"/>
    <x v="1"/>
    <x v="10"/>
    <x v="1"/>
    <x v="0"/>
    <x v="1"/>
  </r>
  <r>
    <x v="321"/>
    <x v="0"/>
    <x v="2090"/>
    <x v="1"/>
    <x v="1"/>
    <x v="10"/>
    <x v="5"/>
    <x v="0"/>
    <x v="4"/>
  </r>
  <r>
    <x v="321"/>
    <x v="1"/>
    <x v="1330"/>
    <x v="1"/>
    <x v="1"/>
    <x v="10"/>
    <x v="5"/>
    <x v="0"/>
    <x v="4"/>
  </r>
  <r>
    <x v="321"/>
    <x v="2"/>
    <x v="840"/>
    <x v="1"/>
    <x v="1"/>
    <x v="10"/>
    <x v="5"/>
    <x v="0"/>
    <x v="4"/>
  </r>
  <r>
    <x v="321"/>
    <x v="3"/>
    <x v="454"/>
    <x v="1"/>
    <x v="1"/>
    <x v="10"/>
    <x v="5"/>
    <x v="0"/>
    <x v="4"/>
  </r>
  <r>
    <x v="321"/>
    <x v="4"/>
    <x v="726"/>
    <x v="1"/>
    <x v="1"/>
    <x v="10"/>
    <x v="5"/>
    <x v="0"/>
    <x v="4"/>
  </r>
  <r>
    <x v="321"/>
    <x v="5"/>
    <x v="1131"/>
    <x v="1"/>
    <x v="1"/>
    <x v="10"/>
    <x v="5"/>
    <x v="0"/>
    <x v="4"/>
  </r>
  <r>
    <x v="321"/>
    <x v="6"/>
    <x v="1849"/>
    <x v="1"/>
    <x v="1"/>
    <x v="10"/>
    <x v="5"/>
    <x v="0"/>
    <x v="3"/>
  </r>
  <r>
    <x v="321"/>
    <x v="7"/>
    <x v="2752"/>
    <x v="1"/>
    <x v="1"/>
    <x v="10"/>
    <x v="5"/>
    <x v="0"/>
    <x v="3"/>
  </r>
  <r>
    <x v="321"/>
    <x v="8"/>
    <x v="3440"/>
    <x v="1"/>
    <x v="1"/>
    <x v="10"/>
    <x v="5"/>
    <x v="0"/>
    <x v="3"/>
  </r>
  <r>
    <x v="321"/>
    <x v="9"/>
    <x v="3296"/>
    <x v="1"/>
    <x v="1"/>
    <x v="10"/>
    <x v="5"/>
    <x v="0"/>
    <x v="3"/>
  </r>
  <r>
    <x v="321"/>
    <x v="10"/>
    <x v="2710"/>
    <x v="1"/>
    <x v="1"/>
    <x v="10"/>
    <x v="5"/>
    <x v="0"/>
    <x v="2"/>
  </r>
  <r>
    <x v="321"/>
    <x v="11"/>
    <x v="2563"/>
    <x v="1"/>
    <x v="1"/>
    <x v="10"/>
    <x v="5"/>
    <x v="0"/>
    <x v="2"/>
  </r>
  <r>
    <x v="321"/>
    <x v="12"/>
    <x v="2712"/>
    <x v="1"/>
    <x v="1"/>
    <x v="10"/>
    <x v="5"/>
    <x v="0"/>
    <x v="2"/>
  </r>
  <r>
    <x v="321"/>
    <x v="13"/>
    <x v="2623"/>
    <x v="1"/>
    <x v="1"/>
    <x v="10"/>
    <x v="5"/>
    <x v="0"/>
    <x v="2"/>
  </r>
  <r>
    <x v="321"/>
    <x v="14"/>
    <x v="2741"/>
    <x v="1"/>
    <x v="1"/>
    <x v="10"/>
    <x v="5"/>
    <x v="0"/>
    <x v="2"/>
  </r>
  <r>
    <x v="321"/>
    <x v="15"/>
    <x v="3016"/>
    <x v="1"/>
    <x v="1"/>
    <x v="10"/>
    <x v="5"/>
    <x v="0"/>
    <x v="2"/>
  </r>
  <r>
    <x v="321"/>
    <x v="16"/>
    <x v="3315"/>
    <x v="1"/>
    <x v="1"/>
    <x v="10"/>
    <x v="5"/>
    <x v="0"/>
    <x v="0"/>
  </r>
  <r>
    <x v="321"/>
    <x v="17"/>
    <x v="3608"/>
    <x v="1"/>
    <x v="1"/>
    <x v="10"/>
    <x v="5"/>
    <x v="0"/>
    <x v="0"/>
  </r>
  <r>
    <x v="321"/>
    <x v="18"/>
    <x v="3869"/>
    <x v="1"/>
    <x v="1"/>
    <x v="10"/>
    <x v="5"/>
    <x v="0"/>
    <x v="0"/>
  </r>
  <r>
    <x v="321"/>
    <x v="19"/>
    <x v="3810"/>
    <x v="1"/>
    <x v="1"/>
    <x v="10"/>
    <x v="5"/>
    <x v="0"/>
    <x v="0"/>
  </r>
  <r>
    <x v="321"/>
    <x v="20"/>
    <x v="3710"/>
    <x v="1"/>
    <x v="1"/>
    <x v="10"/>
    <x v="5"/>
    <x v="0"/>
    <x v="1"/>
  </r>
  <r>
    <x v="321"/>
    <x v="21"/>
    <x v="3752"/>
    <x v="1"/>
    <x v="1"/>
    <x v="10"/>
    <x v="5"/>
    <x v="0"/>
    <x v="1"/>
  </r>
  <r>
    <x v="321"/>
    <x v="22"/>
    <x v="3762"/>
    <x v="1"/>
    <x v="1"/>
    <x v="10"/>
    <x v="5"/>
    <x v="0"/>
    <x v="1"/>
  </r>
  <r>
    <x v="321"/>
    <x v="23"/>
    <x v="3388"/>
    <x v="1"/>
    <x v="1"/>
    <x v="10"/>
    <x v="5"/>
    <x v="0"/>
    <x v="1"/>
  </r>
  <r>
    <x v="322"/>
    <x v="0"/>
    <x v="2381"/>
    <x v="1"/>
    <x v="1"/>
    <x v="10"/>
    <x v="6"/>
    <x v="0"/>
    <x v="4"/>
  </r>
  <r>
    <x v="322"/>
    <x v="1"/>
    <x v="1438"/>
    <x v="1"/>
    <x v="1"/>
    <x v="10"/>
    <x v="6"/>
    <x v="0"/>
    <x v="4"/>
  </r>
  <r>
    <x v="322"/>
    <x v="2"/>
    <x v="825"/>
    <x v="1"/>
    <x v="1"/>
    <x v="10"/>
    <x v="6"/>
    <x v="0"/>
    <x v="4"/>
  </r>
  <r>
    <x v="322"/>
    <x v="3"/>
    <x v="582"/>
    <x v="1"/>
    <x v="1"/>
    <x v="10"/>
    <x v="6"/>
    <x v="0"/>
    <x v="4"/>
  </r>
  <r>
    <x v="322"/>
    <x v="4"/>
    <x v="780"/>
    <x v="1"/>
    <x v="1"/>
    <x v="10"/>
    <x v="6"/>
    <x v="0"/>
    <x v="4"/>
  </r>
  <r>
    <x v="322"/>
    <x v="5"/>
    <x v="1233"/>
    <x v="1"/>
    <x v="1"/>
    <x v="10"/>
    <x v="6"/>
    <x v="0"/>
    <x v="4"/>
  </r>
  <r>
    <x v="322"/>
    <x v="6"/>
    <x v="1775"/>
    <x v="1"/>
    <x v="1"/>
    <x v="10"/>
    <x v="6"/>
    <x v="0"/>
    <x v="3"/>
  </r>
  <r>
    <x v="322"/>
    <x v="7"/>
    <x v="2633"/>
    <x v="1"/>
    <x v="1"/>
    <x v="10"/>
    <x v="6"/>
    <x v="0"/>
    <x v="3"/>
  </r>
  <r>
    <x v="322"/>
    <x v="8"/>
    <x v="3242"/>
    <x v="1"/>
    <x v="1"/>
    <x v="10"/>
    <x v="6"/>
    <x v="0"/>
    <x v="3"/>
  </r>
  <r>
    <x v="322"/>
    <x v="9"/>
    <x v="3245"/>
    <x v="1"/>
    <x v="1"/>
    <x v="10"/>
    <x v="6"/>
    <x v="0"/>
    <x v="3"/>
  </r>
  <r>
    <x v="322"/>
    <x v="10"/>
    <x v="2703"/>
    <x v="1"/>
    <x v="1"/>
    <x v="10"/>
    <x v="6"/>
    <x v="0"/>
    <x v="2"/>
  </r>
  <r>
    <x v="322"/>
    <x v="11"/>
    <x v="2573"/>
    <x v="1"/>
    <x v="1"/>
    <x v="10"/>
    <x v="6"/>
    <x v="0"/>
    <x v="2"/>
  </r>
  <r>
    <x v="322"/>
    <x v="12"/>
    <x v="2632"/>
    <x v="1"/>
    <x v="1"/>
    <x v="10"/>
    <x v="6"/>
    <x v="0"/>
    <x v="2"/>
  </r>
  <r>
    <x v="322"/>
    <x v="13"/>
    <x v="2648"/>
    <x v="1"/>
    <x v="1"/>
    <x v="10"/>
    <x v="6"/>
    <x v="0"/>
    <x v="2"/>
  </r>
  <r>
    <x v="322"/>
    <x v="14"/>
    <x v="2848"/>
    <x v="1"/>
    <x v="1"/>
    <x v="10"/>
    <x v="6"/>
    <x v="0"/>
    <x v="2"/>
  </r>
  <r>
    <x v="322"/>
    <x v="15"/>
    <x v="3173"/>
    <x v="1"/>
    <x v="1"/>
    <x v="10"/>
    <x v="6"/>
    <x v="0"/>
    <x v="2"/>
  </r>
  <r>
    <x v="322"/>
    <x v="16"/>
    <x v="3490"/>
    <x v="1"/>
    <x v="1"/>
    <x v="10"/>
    <x v="6"/>
    <x v="0"/>
    <x v="0"/>
  </r>
  <r>
    <x v="322"/>
    <x v="17"/>
    <x v="3700"/>
    <x v="1"/>
    <x v="1"/>
    <x v="10"/>
    <x v="6"/>
    <x v="0"/>
    <x v="0"/>
  </r>
  <r>
    <x v="322"/>
    <x v="18"/>
    <x v="4013"/>
    <x v="1"/>
    <x v="1"/>
    <x v="10"/>
    <x v="6"/>
    <x v="0"/>
    <x v="0"/>
  </r>
  <r>
    <x v="322"/>
    <x v="19"/>
    <x v="4023"/>
    <x v="1"/>
    <x v="1"/>
    <x v="10"/>
    <x v="6"/>
    <x v="0"/>
    <x v="0"/>
  </r>
  <r>
    <x v="322"/>
    <x v="20"/>
    <x v="3954"/>
    <x v="1"/>
    <x v="1"/>
    <x v="10"/>
    <x v="6"/>
    <x v="0"/>
    <x v="1"/>
  </r>
  <r>
    <x v="322"/>
    <x v="21"/>
    <x v="4007"/>
    <x v="1"/>
    <x v="1"/>
    <x v="10"/>
    <x v="6"/>
    <x v="0"/>
    <x v="1"/>
  </r>
  <r>
    <x v="322"/>
    <x v="22"/>
    <x v="3933"/>
    <x v="1"/>
    <x v="1"/>
    <x v="10"/>
    <x v="6"/>
    <x v="0"/>
    <x v="1"/>
  </r>
  <r>
    <x v="322"/>
    <x v="23"/>
    <x v="3730"/>
    <x v="1"/>
    <x v="1"/>
    <x v="10"/>
    <x v="6"/>
    <x v="0"/>
    <x v="1"/>
  </r>
  <r>
    <x v="323"/>
    <x v="0"/>
    <x v="2614"/>
    <x v="1"/>
    <x v="1"/>
    <x v="10"/>
    <x v="4"/>
    <x v="0"/>
    <x v="4"/>
  </r>
  <r>
    <x v="323"/>
    <x v="1"/>
    <x v="1628"/>
    <x v="1"/>
    <x v="1"/>
    <x v="10"/>
    <x v="4"/>
    <x v="0"/>
    <x v="4"/>
  </r>
  <r>
    <x v="323"/>
    <x v="2"/>
    <x v="907"/>
    <x v="1"/>
    <x v="1"/>
    <x v="10"/>
    <x v="4"/>
    <x v="0"/>
    <x v="4"/>
  </r>
  <r>
    <x v="323"/>
    <x v="3"/>
    <x v="613"/>
    <x v="1"/>
    <x v="1"/>
    <x v="10"/>
    <x v="4"/>
    <x v="0"/>
    <x v="4"/>
  </r>
  <r>
    <x v="323"/>
    <x v="4"/>
    <x v="878"/>
    <x v="1"/>
    <x v="1"/>
    <x v="10"/>
    <x v="4"/>
    <x v="0"/>
    <x v="4"/>
  </r>
  <r>
    <x v="323"/>
    <x v="5"/>
    <x v="1288"/>
    <x v="1"/>
    <x v="1"/>
    <x v="10"/>
    <x v="4"/>
    <x v="0"/>
    <x v="4"/>
  </r>
  <r>
    <x v="323"/>
    <x v="6"/>
    <x v="1914"/>
    <x v="1"/>
    <x v="1"/>
    <x v="10"/>
    <x v="4"/>
    <x v="0"/>
    <x v="3"/>
  </r>
  <r>
    <x v="323"/>
    <x v="7"/>
    <x v="2716"/>
    <x v="1"/>
    <x v="1"/>
    <x v="10"/>
    <x v="4"/>
    <x v="0"/>
    <x v="3"/>
  </r>
  <r>
    <x v="323"/>
    <x v="8"/>
    <x v="3283"/>
    <x v="1"/>
    <x v="1"/>
    <x v="10"/>
    <x v="4"/>
    <x v="0"/>
    <x v="3"/>
  </r>
  <r>
    <x v="323"/>
    <x v="9"/>
    <x v="3244"/>
    <x v="1"/>
    <x v="1"/>
    <x v="10"/>
    <x v="4"/>
    <x v="0"/>
    <x v="3"/>
  </r>
  <r>
    <x v="323"/>
    <x v="10"/>
    <x v="2758"/>
    <x v="1"/>
    <x v="1"/>
    <x v="10"/>
    <x v="4"/>
    <x v="0"/>
    <x v="2"/>
  </r>
  <r>
    <x v="323"/>
    <x v="11"/>
    <x v="2684"/>
    <x v="1"/>
    <x v="1"/>
    <x v="10"/>
    <x v="4"/>
    <x v="0"/>
    <x v="2"/>
  </r>
  <r>
    <x v="323"/>
    <x v="12"/>
    <x v="2684"/>
    <x v="1"/>
    <x v="1"/>
    <x v="10"/>
    <x v="4"/>
    <x v="0"/>
    <x v="2"/>
  </r>
  <r>
    <x v="323"/>
    <x v="13"/>
    <x v="2858"/>
    <x v="1"/>
    <x v="1"/>
    <x v="10"/>
    <x v="4"/>
    <x v="0"/>
    <x v="2"/>
  </r>
  <r>
    <x v="323"/>
    <x v="14"/>
    <x v="2978"/>
    <x v="1"/>
    <x v="1"/>
    <x v="10"/>
    <x v="4"/>
    <x v="0"/>
    <x v="2"/>
  </r>
  <r>
    <x v="323"/>
    <x v="15"/>
    <x v="3312"/>
    <x v="1"/>
    <x v="1"/>
    <x v="10"/>
    <x v="4"/>
    <x v="0"/>
    <x v="2"/>
  </r>
  <r>
    <x v="323"/>
    <x v="16"/>
    <x v="3543"/>
    <x v="1"/>
    <x v="1"/>
    <x v="10"/>
    <x v="4"/>
    <x v="0"/>
    <x v="0"/>
  </r>
  <r>
    <x v="323"/>
    <x v="17"/>
    <x v="3758"/>
    <x v="1"/>
    <x v="1"/>
    <x v="10"/>
    <x v="4"/>
    <x v="0"/>
    <x v="0"/>
  </r>
  <r>
    <x v="323"/>
    <x v="18"/>
    <x v="4029"/>
    <x v="1"/>
    <x v="1"/>
    <x v="10"/>
    <x v="4"/>
    <x v="0"/>
    <x v="0"/>
  </r>
  <r>
    <x v="323"/>
    <x v="19"/>
    <x v="4041"/>
    <x v="1"/>
    <x v="1"/>
    <x v="10"/>
    <x v="4"/>
    <x v="0"/>
    <x v="0"/>
  </r>
  <r>
    <x v="323"/>
    <x v="20"/>
    <x v="4005"/>
    <x v="1"/>
    <x v="1"/>
    <x v="10"/>
    <x v="4"/>
    <x v="0"/>
    <x v="1"/>
  </r>
  <r>
    <x v="323"/>
    <x v="21"/>
    <x v="4068"/>
    <x v="1"/>
    <x v="1"/>
    <x v="10"/>
    <x v="4"/>
    <x v="0"/>
    <x v="1"/>
  </r>
  <r>
    <x v="323"/>
    <x v="22"/>
    <x v="4036"/>
    <x v="1"/>
    <x v="1"/>
    <x v="10"/>
    <x v="4"/>
    <x v="0"/>
    <x v="1"/>
  </r>
  <r>
    <x v="323"/>
    <x v="23"/>
    <x v="3801"/>
    <x v="1"/>
    <x v="1"/>
    <x v="10"/>
    <x v="4"/>
    <x v="0"/>
    <x v="1"/>
  </r>
  <r>
    <x v="324"/>
    <x v="0"/>
    <x v="3022"/>
    <x v="1"/>
    <x v="1"/>
    <x v="10"/>
    <x v="0"/>
    <x v="0"/>
    <x v="4"/>
  </r>
  <r>
    <x v="324"/>
    <x v="1"/>
    <x v="1963"/>
    <x v="1"/>
    <x v="1"/>
    <x v="10"/>
    <x v="0"/>
    <x v="0"/>
    <x v="4"/>
  </r>
  <r>
    <x v="324"/>
    <x v="2"/>
    <x v="1320"/>
    <x v="1"/>
    <x v="1"/>
    <x v="10"/>
    <x v="0"/>
    <x v="0"/>
    <x v="4"/>
  </r>
  <r>
    <x v="324"/>
    <x v="3"/>
    <x v="944"/>
    <x v="1"/>
    <x v="1"/>
    <x v="10"/>
    <x v="0"/>
    <x v="0"/>
    <x v="4"/>
  </r>
  <r>
    <x v="324"/>
    <x v="4"/>
    <x v="1181"/>
    <x v="1"/>
    <x v="1"/>
    <x v="10"/>
    <x v="0"/>
    <x v="0"/>
    <x v="4"/>
  </r>
  <r>
    <x v="324"/>
    <x v="5"/>
    <x v="1476"/>
    <x v="1"/>
    <x v="1"/>
    <x v="10"/>
    <x v="0"/>
    <x v="0"/>
    <x v="4"/>
  </r>
  <r>
    <x v="324"/>
    <x v="6"/>
    <x v="1889"/>
    <x v="1"/>
    <x v="1"/>
    <x v="10"/>
    <x v="0"/>
    <x v="0"/>
    <x v="3"/>
  </r>
  <r>
    <x v="324"/>
    <x v="7"/>
    <x v="2495"/>
    <x v="1"/>
    <x v="1"/>
    <x v="10"/>
    <x v="0"/>
    <x v="0"/>
    <x v="3"/>
  </r>
  <r>
    <x v="324"/>
    <x v="8"/>
    <x v="3043"/>
    <x v="1"/>
    <x v="1"/>
    <x v="10"/>
    <x v="0"/>
    <x v="0"/>
    <x v="3"/>
  </r>
  <r>
    <x v="324"/>
    <x v="9"/>
    <x v="3124"/>
    <x v="1"/>
    <x v="1"/>
    <x v="10"/>
    <x v="0"/>
    <x v="0"/>
    <x v="3"/>
  </r>
  <r>
    <x v="324"/>
    <x v="10"/>
    <x v="2724"/>
    <x v="1"/>
    <x v="1"/>
    <x v="10"/>
    <x v="0"/>
    <x v="0"/>
    <x v="2"/>
  </r>
  <r>
    <x v="324"/>
    <x v="11"/>
    <x v="2635"/>
    <x v="1"/>
    <x v="1"/>
    <x v="10"/>
    <x v="0"/>
    <x v="0"/>
    <x v="2"/>
  </r>
  <r>
    <x v="324"/>
    <x v="12"/>
    <x v="2602"/>
    <x v="1"/>
    <x v="1"/>
    <x v="10"/>
    <x v="0"/>
    <x v="0"/>
    <x v="2"/>
  </r>
  <r>
    <x v="324"/>
    <x v="13"/>
    <x v="2734"/>
    <x v="1"/>
    <x v="1"/>
    <x v="10"/>
    <x v="0"/>
    <x v="0"/>
    <x v="2"/>
  </r>
  <r>
    <x v="324"/>
    <x v="14"/>
    <x v="2919"/>
    <x v="1"/>
    <x v="1"/>
    <x v="10"/>
    <x v="0"/>
    <x v="0"/>
    <x v="2"/>
  </r>
  <r>
    <x v="324"/>
    <x v="15"/>
    <x v="3259"/>
    <x v="1"/>
    <x v="1"/>
    <x v="10"/>
    <x v="0"/>
    <x v="0"/>
    <x v="2"/>
  </r>
  <r>
    <x v="324"/>
    <x v="16"/>
    <x v="3469"/>
    <x v="1"/>
    <x v="1"/>
    <x v="10"/>
    <x v="0"/>
    <x v="0"/>
    <x v="0"/>
  </r>
  <r>
    <x v="324"/>
    <x v="17"/>
    <x v="3538"/>
    <x v="1"/>
    <x v="1"/>
    <x v="10"/>
    <x v="0"/>
    <x v="0"/>
    <x v="0"/>
  </r>
  <r>
    <x v="324"/>
    <x v="18"/>
    <x v="3491"/>
    <x v="1"/>
    <x v="1"/>
    <x v="10"/>
    <x v="0"/>
    <x v="0"/>
    <x v="0"/>
  </r>
  <r>
    <x v="324"/>
    <x v="19"/>
    <x v="3531"/>
    <x v="1"/>
    <x v="1"/>
    <x v="10"/>
    <x v="0"/>
    <x v="0"/>
    <x v="0"/>
  </r>
  <r>
    <x v="324"/>
    <x v="20"/>
    <x v="3463"/>
    <x v="1"/>
    <x v="1"/>
    <x v="10"/>
    <x v="0"/>
    <x v="0"/>
    <x v="1"/>
  </r>
  <r>
    <x v="324"/>
    <x v="21"/>
    <x v="3459"/>
    <x v="1"/>
    <x v="1"/>
    <x v="10"/>
    <x v="0"/>
    <x v="0"/>
    <x v="1"/>
  </r>
  <r>
    <x v="324"/>
    <x v="22"/>
    <x v="3577"/>
    <x v="1"/>
    <x v="1"/>
    <x v="10"/>
    <x v="0"/>
    <x v="0"/>
    <x v="1"/>
  </r>
  <r>
    <x v="324"/>
    <x v="23"/>
    <x v="3719"/>
    <x v="1"/>
    <x v="1"/>
    <x v="10"/>
    <x v="0"/>
    <x v="0"/>
    <x v="1"/>
  </r>
  <r>
    <x v="325"/>
    <x v="0"/>
    <x v="3332"/>
    <x v="1"/>
    <x v="1"/>
    <x v="10"/>
    <x v="2"/>
    <x v="1"/>
    <x v="4"/>
  </r>
  <r>
    <x v="325"/>
    <x v="1"/>
    <x v="2673"/>
    <x v="1"/>
    <x v="1"/>
    <x v="10"/>
    <x v="2"/>
    <x v="1"/>
    <x v="4"/>
  </r>
  <r>
    <x v="325"/>
    <x v="2"/>
    <x v="2088"/>
    <x v="1"/>
    <x v="1"/>
    <x v="10"/>
    <x v="2"/>
    <x v="1"/>
    <x v="4"/>
  </r>
  <r>
    <x v="325"/>
    <x v="3"/>
    <x v="1581"/>
    <x v="1"/>
    <x v="1"/>
    <x v="10"/>
    <x v="2"/>
    <x v="1"/>
    <x v="4"/>
  </r>
  <r>
    <x v="325"/>
    <x v="4"/>
    <x v="1377"/>
    <x v="1"/>
    <x v="1"/>
    <x v="10"/>
    <x v="2"/>
    <x v="1"/>
    <x v="4"/>
  </r>
  <r>
    <x v="325"/>
    <x v="5"/>
    <x v="1150"/>
    <x v="1"/>
    <x v="1"/>
    <x v="10"/>
    <x v="2"/>
    <x v="1"/>
    <x v="4"/>
  </r>
  <r>
    <x v="325"/>
    <x v="6"/>
    <x v="1134"/>
    <x v="1"/>
    <x v="1"/>
    <x v="10"/>
    <x v="2"/>
    <x v="1"/>
    <x v="3"/>
  </r>
  <r>
    <x v="325"/>
    <x v="7"/>
    <x v="1247"/>
    <x v="1"/>
    <x v="1"/>
    <x v="10"/>
    <x v="2"/>
    <x v="1"/>
    <x v="3"/>
  </r>
  <r>
    <x v="325"/>
    <x v="8"/>
    <x v="1627"/>
    <x v="1"/>
    <x v="1"/>
    <x v="10"/>
    <x v="2"/>
    <x v="1"/>
    <x v="3"/>
  </r>
  <r>
    <x v="325"/>
    <x v="9"/>
    <x v="2063"/>
    <x v="1"/>
    <x v="1"/>
    <x v="10"/>
    <x v="2"/>
    <x v="1"/>
    <x v="3"/>
  </r>
  <r>
    <x v="325"/>
    <x v="10"/>
    <x v="2320"/>
    <x v="1"/>
    <x v="1"/>
    <x v="10"/>
    <x v="2"/>
    <x v="1"/>
    <x v="2"/>
  </r>
  <r>
    <x v="325"/>
    <x v="11"/>
    <x v="2572"/>
    <x v="1"/>
    <x v="1"/>
    <x v="10"/>
    <x v="2"/>
    <x v="1"/>
    <x v="2"/>
  </r>
  <r>
    <x v="325"/>
    <x v="12"/>
    <x v="2727"/>
    <x v="1"/>
    <x v="1"/>
    <x v="10"/>
    <x v="2"/>
    <x v="1"/>
    <x v="2"/>
  </r>
  <r>
    <x v="325"/>
    <x v="13"/>
    <x v="2692"/>
    <x v="1"/>
    <x v="1"/>
    <x v="10"/>
    <x v="2"/>
    <x v="1"/>
    <x v="2"/>
  </r>
  <r>
    <x v="325"/>
    <x v="14"/>
    <x v="2694"/>
    <x v="1"/>
    <x v="1"/>
    <x v="10"/>
    <x v="2"/>
    <x v="1"/>
    <x v="2"/>
  </r>
  <r>
    <x v="325"/>
    <x v="15"/>
    <x v="2791"/>
    <x v="1"/>
    <x v="1"/>
    <x v="10"/>
    <x v="2"/>
    <x v="1"/>
    <x v="2"/>
  </r>
  <r>
    <x v="325"/>
    <x v="16"/>
    <x v="3092"/>
    <x v="1"/>
    <x v="1"/>
    <x v="10"/>
    <x v="2"/>
    <x v="1"/>
    <x v="0"/>
  </r>
  <r>
    <x v="325"/>
    <x v="17"/>
    <x v="3480"/>
    <x v="1"/>
    <x v="1"/>
    <x v="10"/>
    <x v="2"/>
    <x v="1"/>
    <x v="0"/>
  </r>
  <r>
    <x v="325"/>
    <x v="18"/>
    <x v="3345"/>
    <x v="1"/>
    <x v="1"/>
    <x v="10"/>
    <x v="2"/>
    <x v="1"/>
    <x v="0"/>
  </r>
  <r>
    <x v="325"/>
    <x v="19"/>
    <x v="3455"/>
    <x v="1"/>
    <x v="1"/>
    <x v="10"/>
    <x v="2"/>
    <x v="1"/>
    <x v="0"/>
  </r>
  <r>
    <x v="325"/>
    <x v="20"/>
    <x v="3270"/>
    <x v="1"/>
    <x v="1"/>
    <x v="10"/>
    <x v="2"/>
    <x v="1"/>
    <x v="1"/>
  </r>
  <r>
    <x v="325"/>
    <x v="21"/>
    <x v="3381"/>
    <x v="1"/>
    <x v="1"/>
    <x v="10"/>
    <x v="2"/>
    <x v="1"/>
    <x v="1"/>
  </r>
  <r>
    <x v="325"/>
    <x v="22"/>
    <x v="3566"/>
    <x v="1"/>
    <x v="1"/>
    <x v="10"/>
    <x v="2"/>
    <x v="1"/>
    <x v="1"/>
  </r>
  <r>
    <x v="325"/>
    <x v="23"/>
    <x v="3567"/>
    <x v="1"/>
    <x v="1"/>
    <x v="10"/>
    <x v="2"/>
    <x v="1"/>
    <x v="1"/>
  </r>
  <r>
    <x v="326"/>
    <x v="0"/>
    <x v="3455"/>
    <x v="1"/>
    <x v="1"/>
    <x v="10"/>
    <x v="3"/>
    <x v="1"/>
    <x v="4"/>
  </r>
  <r>
    <x v="326"/>
    <x v="1"/>
    <x v="2708"/>
    <x v="1"/>
    <x v="1"/>
    <x v="10"/>
    <x v="3"/>
    <x v="1"/>
    <x v="4"/>
  </r>
  <r>
    <x v="326"/>
    <x v="2"/>
    <x v="2076"/>
    <x v="1"/>
    <x v="1"/>
    <x v="10"/>
    <x v="3"/>
    <x v="1"/>
    <x v="4"/>
  </r>
  <r>
    <x v="326"/>
    <x v="3"/>
    <x v="1681"/>
    <x v="1"/>
    <x v="1"/>
    <x v="10"/>
    <x v="3"/>
    <x v="1"/>
    <x v="4"/>
  </r>
  <r>
    <x v="326"/>
    <x v="4"/>
    <x v="1258"/>
    <x v="1"/>
    <x v="1"/>
    <x v="10"/>
    <x v="3"/>
    <x v="1"/>
    <x v="4"/>
  </r>
  <r>
    <x v="326"/>
    <x v="5"/>
    <x v="783"/>
    <x v="1"/>
    <x v="1"/>
    <x v="10"/>
    <x v="3"/>
    <x v="1"/>
    <x v="4"/>
  </r>
  <r>
    <x v="326"/>
    <x v="6"/>
    <x v="718"/>
    <x v="1"/>
    <x v="1"/>
    <x v="10"/>
    <x v="3"/>
    <x v="1"/>
    <x v="3"/>
  </r>
  <r>
    <x v="326"/>
    <x v="7"/>
    <x v="833"/>
    <x v="1"/>
    <x v="1"/>
    <x v="10"/>
    <x v="3"/>
    <x v="1"/>
    <x v="3"/>
  </r>
  <r>
    <x v="326"/>
    <x v="8"/>
    <x v="1087"/>
    <x v="1"/>
    <x v="1"/>
    <x v="10"/>
    <x v="3"/>
    <x v="1"/>
    <x v="3"/>
  </r>
  <r>
    <x v="326"/>
    <x v="9"/>
    <x v="1566"/>
    <x v="1"/>
    <x v="1"/>
    <x v="10"/>
    <x v="3"/>
    <x v="1"/>
    <x v="3"/>
  </r>
  <r>
    <x v="326"/>
    <x v="10"/>
    <x v="2057"/>
    <x v="1"/>
    <x v="1"/>
    <x v="10"/>
    <x v="3"/>
    <x v="1"/>
    <x v="2"/>
  </r>
  <r>
    <x v="326"/>
    <x v="11"/>
    <x v="2375"/>
    <x v="1"/>
    <x v="1"/>
    <x v="10"/>
    <x v="3"/>
    <x v="1"/>
    <x v="2"/>
  </r>
  <r>
    <x v="326"/>
    <x v="12"/>
    <x v="2468"/>
    <x v="1"/>
    <x v="1"/>
    <x v="10"/>
    <x v="3"/>
    <x v="1"/>
    <x v="2"/>
  </r>
  <r>
    <x v="326"/>
    <x v="13"/>
    <x v="2624"/>
    <x v="1"/>
    <x v="1"/>
    <x v="10"/>
    <x v="3"/>
    <x v="1"/>
    <x v="2"/>
  </r>
  <r>
    <x v="326"/>
    <x v="14"/>
    <x v="2783"/>
    <x v="1"/>
    <x v="1"/>
    <x v="10"/>
    <x v="3"/>
    <x v="1"/>
    <x v="2"/>
  </r>
  <r>
    <x v="326"/>
    <x v="15"/>
    <x v="2787"/>
    <x v="1"/>
    <x v="1"/>
    <x v="10"/>
    <x v="3"/>
    <x v="1"/>
    <x v="2"/>
  </r>
  <r>
    <x v="326"/>
    <x v="16"/>
    <x v="2868"/>
    <x v="1"/>
    <x v="1"/>
    <x v="10"/>
    <x v="3"/>
    <x v="1"/>
    <x v="0"/>
  </r>
  <r>
    <x v="326"/>
    <x v="17"/>
    <x v="2995"/>
    <x v="1"/>
    <x v="1"/>
    <x v="10"/>
    <x v="3"/>
    <x v="1"/>
    <x v="0"/>
  </r>
  <r>
    <x v="326"/>
    <x v="18"/>
    <x v="2981"/>
    <x v="1"/>
    <x v="1"/>
    <x v="10"/>
    <x v="3"/>
    <x v="1"/>
    <x v="0"/>
  </r>
  <r>
    <x v="326"/>
    <x v="19"/>
    <x v="3007"/>
    <x v="1"/>
    <x v="1"/>
    <x v="10"/>
    <x v="3"/>
    <x v="1"/>
    <x v="0"/>
  </r>
  <r>
    <x v="326"/>
    <x v="20"/>
    <x v="2879"/>
    <x v="1"/>
    <x v="1"/>
    <x v="10"/>
    <x v="3"/>
    <x v="1"/>
    <x v="1"/>
  </r>
  <r>
    <x v="326"/>
    <x v="21"/>
    <x v="2888"/>
    <x v="1"/>
    <x v="1"/>
    <x v="10"/>
    <x v="3"/>
    <x v="1"/>
    <x v="1"/>
  </r>
  <r>
    <x v="326"/>
    <x v="22"/>
    <x v="3026"/>
    <x v="1"/>
    <x v="1"/>
    <x v="10"/>
    <x v="3"/>
    <x v="1"/>
    <x v="1"/>
  </r>
  <r>
    <x v="326"/>
    <x v="23"/>
    <x v="3108"/>
    <x v="1"/>
    <x v="1"/>
    <x v="10"/>
    <x v="3"/>
    <x v="1"/>
    <x v="1"/>
  </r>
  <r>
    <x v="327"/>
    <x v="0"/>
    <x v="2754"/>
    <x v="1"/>
    <x v="1"/>
    <x v="10"/>
    <x v="1"/>
    <x v="0"/>
    <x v="4"/>
  </r>
  <r>
    <x v="327"/>
    <x v="1"/>
    <x v="2083"/>
    <x v="1"/>
    <x v="1"/>
    <x v="10"/>
    <x v="1"/>
    <x v="0"/>
    <x v="4"/>
  </r>
  <r>
    <x v="327"/>
    <x v="2"/>
    <x v="1468"/>
    <x v="1"/>
    <x v="1"/>
    <x v="10"/>
    <x v="1"/>
    <x v="0"/>
    <x v="4"/>
  </r>
  <r>
    <x v="327"/>
    <x v="3"/>
    <x v="1041"/>
    <x v="1"/>
    <x v="1"/>
    <x v="10"/>
    <x v="1"/>
    <x v="0"/>
    <x v="4"/>
  </r>
  <r>
    <x v="327"/>
    <x v="4"/>
    <x v="854"/>
    <x v="1"/>
    <x v="1"/>
    <x v="10"/>
    <x v="1"/>
    <x v="0"/>
    <x v="4"/>
  </r>
  <r>
    <x v="327"/>
    <x v="5"/>
    <x v="705"/>
    <x v="1"/>
    <x v="1"/>
    <x v="10"/>
    <x v="1"/>
    <x v="0"/>
    <x v="4"/>
  </r>
  <r>
    <x v="327"/>
    <x v="6"/>
    <x v="795"/>
    <x v="1"/>
    <x v="1"/>
    <x v="10"/>
    <x v="1"/>
    <x v="0"/>
    <x v="3"/>
  </r>
  <r>
    <x v="327"/>
    <x v="7"/>
    <x v="788"/>
    <x v="1"/>
    <x v="1"/>
    <x v="10"/>
    <x v="1"/>
    <x v="0"/>
    <x v="3"/>
  </r>
  <r>
    <x v="327"/>
    <x v="8"/>
    <x v="1020"/>
    <x v="1"/>
    <x v="1"/>
    <x v="10"/>
    <x v="1"/>
    <x v="0"/>
    <x v="3"/>
  </r>
  <r>
    <x v="327"/>
    <x v="9"/>
    <x v="1414"/>
    <x v="1"/>
    <x v="1"/>
    <x v="10"/>
    <x v="1"/>
    <x v="0"/>
    <x v="3"/>
  </r>
  <r>
    <x v="327"/>
    <x v="10"/>
    <x v="1758"/>
    <x v="1"/>
    <x v="1"/>
    <x v="10"/>
    <x v="1"/>
    <x v="0"/>
    <x v="2"/>
  </r>
  <r>
    <x v="327"/>
    <x v="11"/>
    <x v="2008"/>
    <x v="1"/>
    <x v="1"/>
    <x v="10"/>
    <x v="1"/>
    <x v="0"/>
    <x v="2"/>
  </r>
  <r>
    <x v="327"/>
    <x v="12"/>
    <x v="2158"/>
    <x v="1"/>
    <x v="1"/>
    <x v="10"/>
    <x v="1"/>
    <x v="0"/>
    <x v="2"/>
  </r>
  <r>
    <x v="327"/>
    <x v="13"/>
    <x v="2341"/>
    <x v="1"/>
    <x v="1"/>
    <x v="10"/>
    <x v="1"/>
    <x v="0"/>
    <x v="2"/>
  </r>
  <r>
    <x v="327"/>
    <x v="14"/>
    <x v="2496"/>
    <x v="1"/>
    <x v="1"/>
    <x v="10"/>
    <x v="1"/>
    <x v="0"/>
    <x v="2"/>
  </r>
  <r>
    <x v="327"/>
    <x v="15"/>
    <x v="2683"/>
    <x v="1"/>
    <x v="1"/>
    <x v="10"/>
    <x v="1"/>
    <x v="0"/>
    <x v="2"/>
  </r>
  <r>
    <x v="327"/>
    <x v="16"/>
    <x v="2830"/>
    <x v="1"/>
    <x v="1"/>
    <x v="10"/>
    <x v="1"/>
    <x v="0"/>
    <x v="0"/>
  </r>
  <r>
    <x v="327"/>
    <x v="17"/>
    <x v="2914"/>
    <x v="1"/>
    <x v="1"/>
    <x v="10"/>
    <x v="1"/>
    <x v="0"/>
    <x v="0"/>
  </r>
  <r>
    <x v="327"/>
    <x v="18"/>
    <x v="3016"/>
    <x v="1"/>
    <x v="1"/>
    <x v="10"/>
    <x v="1"/>
    <x v="0"/>
    <x v="0"/>
  </r>
  <r>
    <x v="327"/>
    <x v="19"/>
    <x v="2979"/>
    <x v="1"/>
    <x v="1"/>
    <x v="10"/>
    <x v="1"/>
    <x v="0"/>
    <x v="0"/>
  </r>
  <r>
    <x v="327"/>
    <x v="20"/>
    <x v="2849"/>
    <x v="1"/>
    <x v="1"/>
    <x v="10"/>
    <x v="1"/>
    <x v="0"/>
    <x v="1"/>
  </r>
  <r>
    <x v="327"/>
    <x v="21"/>
    <x v="2899"/>
    <x v="1"/>
    <x v="1"/>
    <x v="10"/>
    <x v="1"/>
    <x v="0"/>
    <x v="1"/>
  </r>
  <r>
    <x v="327"/>
    <x v="22"/>
    <x v="2807"/>
    <x v="1"/>
    <x v="1"/>
    <x v="10"/>
    <x v="1"/>
    <x v="0"/>
    <x v="1"/>
  </r>
  <r>
    <x v="327"/>
    <x v="23"/>
    <x v="2484"/>
    <x v="1"/>
    <x v="1"/>
    <x v="10"/>
    <x v="1"/>
    <x v="0"/>
    <x v="1"/>
  </r>
  <r>
    <x v="328"/>
    <x v="0"/>
    <x v="1783"/>
    <x v="1"/>
    <x v="1"/>
    <x v="10"/>
    <x v="5"/>
    <x v="0"/>
    <x v="4"/>
  </r>
  <r>
    <x v="328"/>
    <x v="1"/>
    <x v="847"/>
    <x v="1"/>
    <x v="1"/>
    <x v="10"/>
    <x v="5"/>
    <x v="0"/>
    <x v="4"/>
  </r>
  <r>
    <x v="328"/>
    <x v="2"/>
    <x v="511"/>
    <x v="1"/>
    <x v="1"/>
    <x v="10"/>
    <x v="5"/>
    <x v="0"/>
    <x v="4"/>
  </r>
  <r>
    <x v="328"/>
    <x v="3"/>
    <x v="353"/>
    <x v="1"/>
    <x v="1"/>
    <x v="10"/>
    <x v="5"/>
    <x v="0"/>
    <x v="4"/>
  </r>
  <r>
    <x v="328"/>
    <x v="4"/>
    <x v="758"/>
    <x v="1"/>
    <x v="1"/>
    <x v="10"/>
    <x v="5"/>
    <x v="0"/>
    <x v="4"/>
  </r>
  <r>
    <x v="328"/>
    <x v="5"/>
    <x v="1276"/>
    <x v="1"/>
    <x v="1"/>
    <x v="10"/>
    <x v="5"/>
    <x v="0"/>
    <x v="4"/>
  </r>
  <r>
    <x v="328"/>
    <x v="6"/>
    <x v="1872"/>
    <x v="1"/>
    <x v="1"/>
    <x v="10"/>
    <x v="5"/>
    <x v="0"/>
    <x v="3"/>
  </r>
  <r>
    <x v="328"/>
    <x v="7"/>
    <x v="2566"/>
    <x v="1"/>
    <x v="1"/>
    <x v="10"/>
    <x v="5"/>
    <x v="0"/>
    <x v="3"/>
  </r>
  <r>
    <x v="328"/>
    <x v="8"/>
    <x v="3028"/>
    <x v="1"/>
    <x v="1"/>
    <x v="10"/>
    <x v="5"/>
    <x v="0"/>
    <x v="3"/>
  </r>
  <r>
    <x v="328"/>
    <x v="9"/>
    <x v="2906"/>
    <x v="1"/>
    <x v="1"/>
    <x v="10"/>
    <x v="5"/>
    <x v="0"/>
    <x v="3"/>
  </r>
  <r>
    <x v="328"/>
    <x v="10"/>
    <x v="2459"/>
    <x v="1"/>
    <x v="1"/>
    <x v="10"/>
    <x v="5"/>
    <x v="0"/>
    <x v="2"/>
  </r>
  <r>
    <x v="328"/>
    <x v="11"/>
    <x v="2258"/>
    <x v="1"/>
    <x v="1"/>
    <x v="10"/>
    <x v="5"/>
    <x v="0"/>
    <x v="2"/>
  </r>
  <r>
    <x v="328"/>
    <x v="12"/>
    <x v="2267"/>
    <x v="1"/>
    <x v="1"/>
    <x v="10"/>
    <x v="5"/>
    <x v="0"/>
    <x v="2"/>
  </r>
  <r>
    <x v="328"/>
    <x v="13"/>
    <x v="2349"/>
    <x v="1"/>
    <x v="1"/>
    <x v="10"/>
    <x v="5"/>
    <x v="0"/>
    <x v="2"/>
  </r>
  <r>
    <x v="328"/>
    <x v="14"/>
    <x v="2607"/>
    <x v="1"/>
    <x v="1"/>
    <x v="10"/>
    <x v="5"/>
    <x v="0"/>
    <x v="2"/>
  </r>
  <r>
    <x v="328"/>
    <x v="15"/>
    <x v="2867"/>
    <x v="1"/>
    <x v="1"/>
    <x v="10"/>
    <x v="5"/>
    <x v="0"/>
    <x v="2"/>
  </r>
  <r>
    <x v="328"/>
    <x v="16"/>
    <x v="3076"/>
    <x v="1"/>
    <x v="1"/>
    <x v="10"/>
    <x v="5"/>
    <x v="0"/>
    <x v="0"/>
  </r>
  <r>
    <x v="328"/>
    <x v="17"/>
    <x v="3444"/>
    <x v="1"/>
    <x v="1"/>
    <x v="10"/>
    <x v="5"/>
    <x v="0"/>
    <x v="0"/>
  </r>
  <r>
    <x v="328"/>
    <x v="18"/>
    <x v="3618"/>
    <x v="1"/>
    <x v="1"/>
    <x v="10"/>
    <x v="5"/>
    <x v="0"/>
    <x v="0"/>
  </r>
  <r>
    <x v="328"/>
    <x v="19"/>
    <x v="3420"/>
    <x v="1"/>
    <x v="1"/>
    <x v="10"/>
    <x v="5"/>
    <x v="0"/>
    <x v="0"/>
  </r>
  <r>
    <x v="328"/>
    <x v="20"/>
    <x v="3338"/>
    <x v="1"/>
    <x v="1"/>
    <x v="10"/>
    <x v="5"/>
    <x v="0"/>
    <x v="1"/>
  </r>
  <r>
    <x v="328"/>
    <x v="21"/>
    <x v="3414"/>
    <x v="1"/>
    <x v="1"/>
    <x v="10"/>
    <x v="5"/>
    <x v="0"/>
    <x v="1"/>
  </r>
  <r>
    <x v="328"/>
    <x v="22"/>
    <x v="3224"/>
    <x v="1"/>
    <x v="1"/>
    <x v="10"/>
    <x v="5"/>
    <x v="0"/>
    <x v="1"/>
  </r>
  <r>
    <x v="328"/>
    <x v="23"/>
    <x v="2814"/>
    <x v="1"/>
    <x v="1"/>
    <x v="10"/>
    <x v="5"/>
    <x v="0"/>
    <x v="1"/>
  </r>
  <r>
    <x v="329"/>
    <x v="0"/>
    <x v="1883"/>
    <x v="1"/>
    <x v="1"/>
    <x v="10"/>
    <x v="6"/>
    <x v="0"/>
    <x v="4"/>
  </r>
  <r>
    <x v="329"/>
    <x v="1"/>
    <x v="1094"/>
    <x v="1"/>
    <x v="1"/>
    <x v="10"/>
    <x v="6"/>
    <x v="0"/>
    <x v="4"/>
  </r>
  <r>
    <x v="329"/>
    <x v="2"/>
    <x v="612"/>
    <x v="1"/>
    <x v="1"/>
    <x v="10"/>
    <x v="6"/>
    <x v="0"/>
    <x v="4"/>
  </r>
  <r>
    <x v="329"/>
    <x v="3"/>
    <x v="412"/>
    <x v="1"/>
    <x v="1"/>
    <x v="10"/>
    <x v="6"/>
    <x v="0"/>
    <x v="4"/>
  </r>
  <r>
    <x v="329"/>
    <x v="4"/>
    <x v="606"/>
    <x v="1"/>
    <x v="1"/>
    <x v="10"/>
    <x v="6"/>
    <x v="0"/>
    <x v="4"/>
  </r>
  <r>
    <x v="329"/>
    <x v="5"/>
    <x v="1086"/>
    <x v="1"/>
    <x v="1"/>
    <x v="10"/>
    <x v="6"/>
    <x v="0"/>
    <x v="4"/>
  </r>
  <r>
    <x v="329"/>
    <x v="6"/>
    <x v="1829"/>
    <x v="1"/>
    <x v="1"/>
    <x v="10"/>
    <x v="6"/>
    <x v="0"/>
    <x v="3"/>
  </r>
  <r>
    <x v="329"/>
    <x v="7"/>
    <x v="2761"/>
    <x v="1"/>
    <x v="1"/>
    <x v="10"/>
    <x v="6"/>
    <x v="0"/>
    <x v="3"/>
  </r>
  <r>
    <x v="329"/>
    <x v="8"/>
    <x v="3322"/>
    <x v="1"/>
    <x v="1"/>
    <x v="10"/>
    <x v="6"/>
    <x v="0"/>
    <x v="3"/>
  </r>
  <r>
    <x v="329"/>
    <x v="9"/>
    <x v="3156"/>
    <x v="1"/>
    <x v="1"/>
    <x v="10"/>
    <x v="6"/>
    <x v="0"/>
    <x v="3"/>
  </r>
  <r>
    <x v="329"/>
    <x v="10"/>
    <x v="2571"/>
    <x v="1"/>
    <x v="1"/>
    <x v="10"/>
    <x v="6"/>
    <x v="0"/>
    <x v="2"/>
  </r>
  <r>
    <x v="329"/>
    <x v="11"/>
    <x v="2442"/>
    <x v="1"/>
    <x v="1"/>
    <x v="10"/>
    <x v="6"/>
    <x v="0"/>
    <x v="2"/>
  </r>
  <r>
    <x v="329"/>
    <x v="12"/>
    <x v="2562"/>
    <x v="1"/>
    <x v="1"/>
    <x v="10"/>
    <x v="6"/>
    <x v="0"/>
    <x v="2"/>
  </r>
  <r>
    <x v="329"/>
    <x v="13"/>
    <x v="2492"/>
    <x v="1"/>
    <x v="1"/>
    <x v="10"/>
    <x v="6"/>
    <x v="0"/>
    <x v="2"/>
  </r>
  <r>
    <x v="329"/>
    <x v="14"/>
    <x v="2715"/>
    <x v="1"/>
    <x v="1"/>
    <x v="10"/>
    <x v="6"/>
    <x v="0"/>
    <x v="2"/>
  </r>
  <r>
    <x v="329"/>
    <x v="15"/>
    <x v="3058"/>
    <x v="1"/>
    <x v="1"/>
    <x v="10"/>
    <x v="6"/>
    <x v="0"/>
    <x v="2"/>
  </r>
  <r>
    <x v="329"/>
    <x v="16"/>
    <x v="3314"/>
    <x v="1"/>
    <x v="1"/>
    <x v="10"/>
    <x v="6"/>
    <x v="0"/>
    <x v="0"/>
  </r>
  <r>
    <x v="329"/>
    <x v="17"/>
    <x v="3607"/>
    <x v="1"/>
    <x v="1"/>
    <x v="10"/>
    <x v="6"/>
    <x v="0"/>
    <x v="0"/>
  </r>
  <r>
    <x v="329"/>
    <x v="18"/>
    <x v="3900"/>
    <x v="1"/>
    <x v="1"/>
    <x v="10"/>
    <x v="6"/>
    <x v="0"/>
    <x v="0"/>
  </r>
  <r>
    <x v="329"/>
    <x v="19"/>
    <x v="4130"/>
    <x v="1"/>
    <x v="1"/>
    <x v="10"/>
    <x v="6"/>
    <x v="0"/>
    <x v="0"/>
  </r>
  <r>
    <x v="329"/>
    <x v="20"/>
    <x v="4192"/>
    <x v="1"/>
    <x v="1"/>
    <x v="10"/>
    <x v="6"/>
    <x v="0"/>
    <x v="1"/>
  </r>
  <r>
    <x v="329"/>
    <x v="21"/>
    <x v="4095"/>
    <x v="1"/>
    <x v="1"/>
    <x v="10"/>
    <x v="6"/>
    <x v="0"/>
    <x v="1"/>
  </r>
  <r>
    <x v="329"/>
    <x v="22"/>
    <x v="3877"/>
    <x v="1"/>
    <x v="1"/>
    <x v="10"/>
    <x v="6"/>
    <x v="0"/>
    <x v="1"/>
  </r>
  <r>
    <x v="329"/>
    <x v="23"/>
    <x v="3212"/>
    <x v="1"/>
    <x v="1"/>
    <x v="10"/>
    <x v="6"/>
    <x v="0"/>
    <x v="1"/>
  </r>
  <r>
    <x v="330"/>
    <x v="0"/>
    <x v="2366"/>
    <x v="1"/>
    <x v="1"/>
    <x v="10"/>
    <x v="4"/>
    <x v="0"/>
    <x v="4"/>
  </r>
  <r>
    <x v="330"/>
    <x v="1"/>
    <x v="1383"/>
    <x v="1"/>
    <x v="1"/>
    <x v="10"/>
    <x v="4"/>
    <x v="0"/>
    <x v="4"/>
  </r>
  <r>
    <x v="330"/>
    <x v="2"/>
    <x v="752"/>
    <x v="1"/>
    <x v="1"/>
    <x v="10"/>
    <x v="4"/>
    <x v="0"/>
    <x v="4"/>
  </r>
  <r>
    <x v="330"/>
    <x v="3"/>
    <x v="528"/>
    <x v="1"/>
    <x v="1"/>
    <x v="10"/>
    <x v="4"/>
    <x v="0"/>
    <x v="4"/>
  </r>
  <r>
    <x v="330"/>
    <x v="4"/>
    <x v="741"/>
    <x v="1"/>
    <x v="1"/>
    <x v="10"/>
    <x v="4"/>
    <x v="0"/>
    <x v="4"/>
  </r>
  <r>
    <x v="330"/>
    <x v="5"/>
    <x v="1140"/>
    <x v="1"/>
    <x v="1"/>
    <x v="10"/>
    <x v="4"/>
    <x v="0"/>
    <x v="4"/>
  </r>
  <r>
    <x v="330"/>
    <x v="6"/>
    <x v="1842"/>
    <x v="1"/>
    <x v="1"/>
    <x v="10"/>
    <x v="4"/>
    <x v="0"/>
    <x v="3"/>
  </r>
  <r>
    <x v="330"/>
    <x v="7"/>
    <x v="2874"/>
    <x v="1"/>
    <x v="1"/>
    <x v="10"/>
    <x v="4"/>
    <x v="0"/>
    <x v="3"/>
  </r>
  <r>
    <x v="330"/>
    <x v="8"/>
    <x v="3380"/>
    <x v="1"/>
    <x v="1"/>
    <x v="10"/>
    <x v="4"/>
    <x v="0"/>
    <x v="3"/>
  </r>
  <r>
    <x v="330"/>
    <x v="9"/>
    <x v="3274"/>
    <x v="1"/>
    <x v="1"/>
    <x v="10"/>
    <x v="4"/>
    <x v="0"/>
    <x v="3"/>
  </r>
  <r>
    <x v="330"/>
    <x v="10"/>
    <x v="2820"/>
    <x v="1"/>
    <x v="1"/>
    <x v="10"/>
    <x v="4"/>
    <x v="0"/>
    <x v="2"/>
  </r>
  <r>
    <x v="330"/>
    <x v="11"/>
    <x v="2652"/>
    <x v="1"/>
    <x v="1"/>
    <x v="10"/>
    <x v="4"/>
    <x v="0"/>
    <x v="2"/>
  </r>
  <r>
    <x v="330"/>
    <x v="12"/>
    <x v="2666"/>
    <x v="1"/>
    <x v="1"/>
    <x v="10"/>
    <x v="4"/>
    <x v="0"/>
    <x v="2"/>
  </r>
  <r>
    <x v="330"/>
    <x v="13"/>
    <x v="2659"/>
    <x v="1"/>
    <x v="1"/>
    <x v="10"/>
    <x v="4"/>
    <x v="0"/>
    <x v="2"/>
  </r>
  <r>
    <x v="330"/>
    <x v="14"/>
    <x v="2985"/>
    <x v="1"/>
    <x v="1"/>
    <x v="10"/>
    <x v="4"/>
    <x v="0"/>
    <x v="2"/>
  </r>
  <r>
    <x v="330"/>
    <x v="15"/>
    <x v="3241"/>
    <x v="1"/>
    <x v="1"/>
    <x v="10"/>
    <x v="4"/>
    <x v="0"/>
    <x v="2"/>
  </r>
  <r>
    <x v="330"/>
    <x v="16"/>
    <x v="3562"/>
    <x v="1"/>
    <x v="1"/>
    <x v="10"/>
    <x v="4"/>
    <x v="0"/>
    <x v="0"/>
  </r>
  <r>
    <x v="330"/>
    <x v="17"/>
    <x v="3866"/>
    <x v="1"/>
    <x v="1"/>
    <x v="10"/>
    <x v="4"/>
    <x v="0"/>
    <x v="0"/>
  </r>
  <r>
    <x v="330"/>
    <x v="18"/>
    <x v="4099"/>
    <x v="1"/>
    <x v="1"/>
    <x v="10"/>
    <x v="4"/>
    <x v="0"/>
    <x v="0"/>
  </r>
  <r>
    <x v="330"/>
    <x v="19"/>
    <x v="4030"/>
    <x v="1"/>
    <x v="1"/>
    <x v="10"/>
    <x v="4"/>
    <x v="0"/>
    <x v="0"/>
  </r>
  <r>
    <x v="330"/>
    <x v="20"/>
    <x v="3929"/>
    <x v="1"/>
    <x v="1"/>
    <x v="10"/>
    <x v="4"/>
    <x v="0"/>
    <x v="1"/>
  </r>
  <r>
    <x v="330"/>
    <x v="21"/>
    <x v="4061"/>
    <x v="1"/>
    <x v="1"/>
    <x v="10"/>
    <x v="4"/>
    <x v="0"/>
    <x v="1"/>
  </r>
  <r>
    <x v="330"/>
    <x v="22"/>
    <x v="4100"/>
    <x v="1"/>
    <x v="1"/>
    <x v="10"/>
    <x v="4"/>
    <x v="0"/>
    <x v="1"/>
  </r>
  <r>
    <x v="330"/>
    <x v="23"/>
    <x v="3896"/>
    <x v="1"/>
    <x v="1"/>
    <x v="10"/>
    <x v="4"/>
    <x v="0"/>
    <x v="1"/>
  </r>
  <r>
    <x v="331"/>
    <x v="0"/>
    <x v="3076"/>
    <x v="1"/>
    <x v="1"/>
    <x v="10"/>
    <x v="0"/>
    <x v="0"/>
    <x v="4"/>
  </r>
  <r>
    <x v="331"/>
    <x v="1"/>
    <x v="1835"/>
    <x v="1"/>
    <x v="1"/>
    <x v="10"/>
    <x v="0"/>
    <x v="0"/>
    <x v="4"/>
  </r>
  <r>
    <x v="331"/>
    <x v="2"/>
    <x v="1159"/>
    <x v="1"/>
    <x v="1"/>
    <x v="10"/>
    <x v="0"/>
    <x v="0"/>
    <x v="4"/>
  </r>
  <r>
    <x v="331"/>
    <x v="3"/>
    <x v="740"/>
    <x v="1"/>
    <x v="1"/>
    <x v="10"/>
    <x v="0"/>
    <x v="0"/>
    <x v="4"/>
  </r>
  <r>
    <x v="331"/>
    <x v="4"/>
    <x v="974"/>
    <x v="1"/>
    <x v="1"/>
    <x v="10"/>
    <x v="0"/>
    <x v="0"/>
    <x v="4"/>
  </r>
  <r>
    <x v="331"/>
    <x v="5"/>
    <x v="1288"/>
    <x v="1"/>
    <x v="1"/>
    <x v="10"/>
    <x v="0"/>
    <x v="0"/>
    <x v="4"/>
  </r>
  <r>
    <x v="331"/>
    <x v="6"/>
    <x v="1867"/>
    <x v="1"/>
    <x v="1"/>
    <x v="10"/>
    <x v="0"/>
    <x v="0"/>
    <x v="3"/>
  </r>
  <r>
    <x v="331"/>
    <x v="7"/>
    <x v="2702"/>
    <x v="1"/>
    <x v="1"/>
    <x v="10"/>
    <x v="0"/>
    <x v="0"/>
    <x v="3"/>
  </r>
  <r>
    <x v="331"/>
    <x v="8"/>
    <x v="3236"/>
    <x v="1"/>
    <x v="1"/>
    <x v="10"/>
    <x v="0"/>
    <x v="0"/>
    <x v="3"/>
  </r>
  <r>
    <x v="331"/>
    <x v="9"/>
    <x v="3185"/>
    <x v="1"/>
    <x v="1"/>
    <x v="10"/>
    <x v="0"/>
    <x v="0"/>
    <x v="3"/>
  </r>
  <r>
    <x v="331"/>
    <x v="10"/>
    <x v="2859"/>
    <x v="1"/>
    <x v="1"/>
    <x v="10"/>
    <x v="0"/>
    <x v="0"/>
    <x v="2"/>
  </r>
  <r>
    <x v="331"/>
    <x v="11"/>
    <x v="2642"/>
    <x v="1"/>
    <x v="1"/>
    <x v="10"/>
    <x v="0"/>
    <x v="0"/>
    <x v="2"/>
  </r>
  <r>
    <x v="331"/>
    <x v="12"/>
    <x v="2690"/>
    <x v="1"/>
    <x v="1"/>
    <x v="10"/>
    <x v="0"/>
    <x v="0"/>
    <x v="2"/>
  </r>
  <r>
    <x v="331"/>
    <x v="13"/>
    <x v="2762"/>
    <x v="1"/>
    <x v="1"/>
    <x v="10"/>
    <x v="0"/>
    <x v="0"/>
    <x v="2"/>
  </r>
  <r>
    <x v="331"/>
    <x v="14"/>
    <x v="3053"/>
    <x v="1"/>
    <x v="1"/>
    <x v="10"/>
    <x v="0"/>
    <x v="0"/>
    <x v="2"/>
  </r>
  <r>
    <x v="331"/>
    <x v="15"/>
    <x v="3322"/>
    <x v="1"/>
    <x v="1"/>
    <x v="10"/>
    <x v="0"/>
    <x v="0"/>
    <x v="2"/>
  </r>
  <r>
    <x v="331"/>
    <x v="16"/>
    <x v="3595"/>
    <x v="1"/>
    <x v="1"/>
    <x v="10"/>
    <x v="0"/>
    <x v="0"/>
    <x v="0"/>
  </r>
  <r>
    <x v="331"/>
    <x v="17"/>
    <x v="3823"/>
    <x v="1"/>
    <x v="1"/>
    <x v="10"/>
    <x v="0"/>
    <x v="0"/>
    <x v="0"/>
  </r>
  <r>
    <x v="331"/>
    <x v="18"/>
    <x v="4014"/>
    <x v="1"/>
    <x v="1"/>
    <x v="10"/>
    <x v="0"/>
    <x v="0"/>
    <x v="0"/>
  </r>
  <r>
    <x v="331"/>
    <x v="19"/>
    <x v="4108"/>
    <x v="1"/>
    <x v="1"/>
    <x v="10"/>
    <x v="0"/>
    <x v="0"/>
    <x v="0"/>
  </r>
  <r>
    <x v="331"/>
    <x v="20"/>
    <x v="3937"/>
    <x v="1"/>
    <x v="1"/>
    <x v="10"/>
    <x v="0"/>
    <x v="0"/>
    <x v="1"/>
  </r>
  <r>
    <x v="331"/>
    <x v="21"/>
    <x v="3846"/>
    <x v="1"/>
    <x v="1"/>
    <x v="10"/>
    <x v="0"/>
    <x v="0"/>
    <x v="1"/>
  </r>
  <r>
    <x v="331"/>
    <x v="22"/>
    <x v="4016"/>
    <x v="1"/>
    <x v="1"/>
    <x v="10"/>
    <x v="0"/>
    <x v="0"/>
    <x v="1"/>
  </r>
  <r>
    <x v="331"/>
    <x v="23"/>
    <x v="4190"/>
    <x v="1"/>
    <x v="1"/>
    <x v="10"/>
    <x v="0"/>
    <x v="0"/>
    <x v="1"/>
  </r>
  <r>
    <x v="332"/>
    <x v="0"/>
    <x v="4093"/>
    <x v="1"/>
    <x v="1"/>
    <x v="10"/>
    <x v="2"/>
    <x v="1"/>
    <x v="4"/>
  </r>
  <r>
    <x v="332"/>
    <x v="1"/>
    <x v="3441"/>
    <x v="1"/>
    <x v="1"/>
    <x v="10"/>
    <x v="2"/>
    <x v="1"/>
    <x v="4"/>
  </r>
  <r>
    <x v="332"/>
    <x v="2"/>
    <x v="2566"/>
    <x v="1"/>
    <x v="1"/>
    <x v="10"/>
    <x v="2"/>
    <x v="1"/>
    <x v="4"/>
  </r>
  <r>
    <x v="332"/>
    <x v="3"/>
    <x v="1848"/>
    <x v="1"/>
    <x v="1"/>
    <x v="10"/>
    <x v="2"/>
    <x v="1"/>
    <x v="4"/>
  </r>
  <r>
    <x v="332"/>
    <x v="4"/>
    <x v="1482"/>
    <x v="1"/>
    <x v="1"/>
    <x v="10"/>
    <x v="2"/>
    <x v="1"/>
    <x v="4"/>
  </r>
  <r>
    <x v="332"/>
    <x v="5"/>
    <x v="992"/>
    <x v="1"/>
    <x v="1"/>
    <x v="10"/>
    <x v="2"/>
    <x v="1"/>
    <x v="4"/>
  </r>
  <r>
    <x v="332"/>
    <x v="6"/>
    <x v="1036"/>
    <x v="1"/>
    <x v="1"/>
    <x v="10"/>
    <x v="2"/>
    <x v="1"/>
    <x v="3"/>
  </r>
  <r>
    <x v="332"/>
    <x v="7"/>
    <x v="1339"/>
    <x v="1"/>
    <x v="1"/>
    <x v="10"/>
    <x v="2"/>
    <x v="1"/>
    <x v="3"/>
  </r>
  <r>
    <x v="332"/>
    <x v="8"/>
    <x v="1873"/>
    <x v="1"/>
    <x v="1"/>
    <x v="10"/>
    <x v="2"/>
    <x v="1"/>
    <x v="3"/>
  </r>
  <r>
    <x v="332"/>
    <x v="9"/>
    <x v="2359"/>
    <x v="1"/>
    <x v="1"/>
    <x v="10"/>
    <x v="2"/>
    <x v="1"/>
    <x v="3"/>
  </r>
  <r>
    <x v="332"/>
    <x v="10"/>
    <x v="2765"/>
    <x v="1"/>
    <x v="1"/>
    <x v="10"/>
    <x v="2"/>
    <x v="1"/>
    <x v="2"/>
  </r>
  <r>
    <x v="332"/>
    <x v="11"/>
    <x v="2970"/>
    <x v="1"/>
    <x v="1"/>
    <x v="10"/>
    <x v="2"/>
    <x v="1"/>
    <x v="2"/>
  </r>
  <r>
    <x v="332"/>
    <x v="12"/>
    <x v="3079"/>
    <x v="1"/>
    <x v="1"/>
    <x v="10"/>
    <x v="2"/>
    <x v="1"/>
    <x v="2"/>
  </r>
  <r>
    <x v="332"/>
    <x v="13"/>
    <x v="3254"/>
    <x v="1"/>
    <x v="1"/>
    <x v="10"/>
    <x v="2"/>
    <x v="1"/>
    <x v="2"/>
  </r>
  <r>
    <x v="332"/>
    <x v="14"/>
    <x v="3343"/>
    <x v="1"/>
    <x v="1"/>
    <x v="10"/>
    <x v="2"/>
    <x v="1"/>
    <x v="2"/>
  </r>
  <r>
    <x v="332"/>
    <x v="15"/>
    <x v="3516"/>
    <x v="1"/>
    <x v="1"/>
    <x v="10"/>
    <x v="2"/>
    <x v="1"/>
    <x v="2"/>
  </r>
  <r>
    <x v="332"/>
    <x v="16"/>
    <x v="3733"/>
    <x v="1"/>
    <x v="1"/>
    <x v="10"/>
    <x v="2"/>
    <x v="1"/>
    <x v="0"/>
  </r>
  <r>
    <x v="332"/>
    <x v="17"/>
    <x v="3974"/>
    <x v="1"/>
    <x v="1"/>
    <x v="10"/>
    <x v="2"/>
    <x v="1"/>
    <x v="0"/>
  </r>
  <r>
    <x v="332"/>
    <x v="18"/>
    <x v="4032"/>
    <x v="1"/>
    <x v="1"/>
    <x v="10"/>
    <x v="2"/>
    <x v="1"/>
    <x v="0"/>
  </r>
  <r>
    <x v="332"/>
    <x v="19"/>
    <x v="4076"/>
    <x v="1"/>
    <x v="1"/>
    <x v="10"/>
    <x v="2"/>
    <x v="1"/>
    <x v="0"/>
  </r>
  <r>
    <x v="332"/>
    <x v="20"/>
    <x v="3883"/>
    <x v="1"/>
    <x v="1"/>
    <x v="10"/>
    <x v="2"/>
    <x v="1"/>
    <x v="1"/>
  </r>
  <r>
    <x v="332"/>
    <x v="21"/>
    <x v="3911"/>
    <x v="1"/>
    <x v="1"/>
    <x v="10"/>
    <x v="2"/>
    <x v="1"/>
    <x v="1"/>
  </r>
  <r>
    <x v="332"/>
    <x v="22"/>
    <x v="4079"/>
    <x v="1"/>
    <x v="1"/>
    <x v="10"/>
    <x v="2"/>
    <x v="1"/>
    <x v="1"/>
  </r>
  <r>
    <x v="332"/>
    <x v="23"/>
    <x v="4157"/>
    <x v="1"/>
    <x v="1"/>
    <x v="10"/>
    <x v="2"/>
    <x v="1"/>
    <x v="1"/>
  </r>
  <r>
    <x v="333"/>
    <x v="0"/>
    <x v="4065"/>
    <x v="1"/>
    <x v="1"/>
    <x v="10"/>
    <x v="3"/>
    <x v="1"/>
    <x v="4"/>
  </r>
  <r>
    <x v="333"/>
    <x v="1"/>
    <x v="3675"/>
    <x v="1"/>
    <x v="1"/>
    <x v="10"/>
    <x v="3"/>
    <x v="1"/>
    <x v="4"/>
  </r>
  <r>
    <x v="333"/>
    <x v="2"/>
    <x v="2990"/>
    <x v="1"/>
    <x v="1"/>
    <x v="10"/>
    <x v="3"/>
    <x v="1"/>
    <x v="4"/>
  </r>
  <r>
    <x v="333"/>
    <x v="3"/>
    <x v="2254"/>
    <x v="1"/>
    <x v="1"/>
    <x v="10"/>
    <x v="3"/>
    <x v="1"/>
    <x v="4"/>
  </r>
  <r>
    <x v="333"/>
    <x v="4"/>
    <x v="1684"/>
    <x v="1"/>
    <x v="1"/>
    <x v="10"/>
    <x v="3"/>
    <x v="1"/>
    <x v="4"/>
  </r>
  <r>
    <x v="333"/>
    <x v="5"/>
    <x v="1109"/>
    <x v="1"/>
    <x v="1"/>
    <x v="10"/>
    <x v="3"/>
    <x v="1"/>
    <x v="4"/>
  </r>
  <r>
    <x v="333"/>
    <x v="6"/>
    <x v="949"/>
    <x v="1"/>
    <x v="1"/>
    <x v="10"/>
    <x v="3"/>
    <x v="1"/>
    <x v="3"/>
  </r>
  <r>
    <x v="333"/>
    <x v="7"/>
    <x v="1096"/>
    <x v="1"/>
    <x v="1"/>
    <x v="10"/>
    <x v="3"/>
    <x v="1"/>
    <x v="3"/>
  </r>
  <r>
    <x v="333"/>
    <x v="8"/>
    <x v="1538"/>
    <x v="1"/>
    <x v="1"/>
    <x v="10"/>
    <x v="3"/>
    <x v="1"/>
    <x v="3"/>
  </r>
  <r>
    <x v="333"/>
    <x v="9"/>
    <x v="2074"/>
    <x v="1"/>
    <x v="1"/>
    <x v="10"/>
    <x v="3"/>
    <x v="1"/>
    <x v="3"/>
  </r>
  <r>
    <x v="333"/>
    <x v="10"/>
    <x v="2558"/>
    <x v="1"/>
    <x v="1"/>
    <x v="10"/>
    <x v="3"/>
    <x v="1"/>
    <x v="2"/>
  </r>
  <r>
    <x v="333"/>
    <x v="11"/>
    <x v="2884"/>
    <x v="1"/>
    <x v="1"/>
    <x v="10"/>
    <x v="3"/>
    <x v="1"/>
    <x v="2"/>
  </r>
  <r>
    <x v="333"/>
    <x v="12"/>
    <x v="3094"/>
    <x v="1"/>
    <x v="1"/>
    <x v="10"/>
    <x v="3"/>
    <x v="1"/>
    <x v="2"/>
  </r>
  <r>
    <x v="333"/>
    <x v="13"/>
    <x v="3160"/>
    <x v="1"/>
    <x v="1"/>
    <x v="10"/>
    <x v="3"/>
    <x v="1"/>
    <x v="2"/>
  </r>
  <r>
    <x v="333"/>
    <x v="14"/>
    <x v="3335"/>
    <x v="1"/>
    <x v="1"/>
    <x v="10"/>
    <x v="3"/>
    <x v="1"/>
    <x v="2"/>
  </r>
  <r>
    <x v="333"/>
    <x v="15"/>
    <x v="3457"/>
    <x v="1"/>
    <x v="1"/>
    <x v="10"/>
    <x v="3"/>
    <x v="1"/>
    <x v="2"/>
  </r>
  <r>
    <x v="333"/>
    <x v="16"/>
    <x v="3706"/>
    <x v="1"/>
    <x v="1"/>
    <x v="10"/>
    <x v="3"/>
    <x v="1"/>
    <x v="0"/>
  </r>
  <r>
    <x v="333"/>
    <x v="17"/>
    <x v="4020"/>
    <x v="1"/>
    <x v="1"/>
    <x v="10"/>
    <x v="3"/>
    <x v="1"/>
    <x v="0"/>
  </r>
  <r>
    <x v="333"/>
    <x v="18"/>
    <x v="4119"/>
    <x v="1"/>
    <x v="1"/>
    <x v="10"/>
    <x v="3"/>
    <x v="1"/>
    <x v="0"/>
  </r>
  <r>
    <x v="333"/>
    <x v="19"/>
    <x v="4010"/>
    <x v="1"/>
    <x v="1"/>
    <x v="10"/>
    <x v="3"/>
    <x v="1"/>
    <x v="0"/>
  </r>
  <r>
    <x v="333"/>
    <x v="20"/>
    <x v="3786"/>
    <x v="1"/>
    <x v="1"/>
    <x v="10"/>
    <x v="3"/>
    <x v="1"/>
    <x v="1"/>
  </r>
  <r>
    <x v="333"/>
    <x v="21"/>
    <x v="3561"/>
    <x v="1"/>
    <x v="1"/>
    <x v="10"/>
    <x v="3"/>
    <x v="1"/>
    <x v="1"/>
  </r>
  <r>
    <x v="333"/>
    <x v="22"/>
    <x v="3189"/>
    <x v="1"/>
    <x v="1"/>
    <x v="10"/>
    <x v="3"/>
    <x v="1"/>
    <x v="1"/>
  </r>
  <r>
    <x v="333"/>
    <x v="23"/>
    <x v="2896"/>
    <x v="1"/>
    <x v="1"/>
    <x v="10"/>
    <x v="3"/>
    <x v="1"/>
    <x v="1"/>
  </r>
  <r>
    <x v="334"/>
    <x v="0"/>
    <x v="1698"/>
    <x v="1"/>
    <x v="1"/>
    <x v="11"/>
    <x v="1"/>
    <x v="0"/>
    <x v="4"/>
  </r>
  <r>
    <x v="334"/>
    <x v="1"/>
    <x v="1348"/>
    <x v="1"/>
    <x v="1"/>
    <x v="11"/>
    <x v="1"/>
    <x v="0"/>
    <x v="4"/>
  </r>
  <r>
    <x v="334"/>
    <x v="2"/>
    <x v="889"/>
    <x v="1"/>
    <x v="1"/>
    <x v="11"/>
    <x v="1"/>
    <x v="0"/>
    <x v="4"/>
  </r>
  <r>
    <x v="334"/>
    <x v="3"/>
    <x v="544"/>
    <x v="1"/>
    <x v="1"/>
    <x v="11"/>
    <x v="1"/>
    <x v="0"/>
    <x v="4"/>
  </r>
  <r>
    <x v="334"/>
    <x v="4"/>
    <x v="914"/>
    <x v="1"/>
    <x v="1"/>
    <x v="11"/>
    <x v="1"/>
    <x v="0"/>
    <x v="4"/>
  </r>
  <r>
    <x v="334"/>
    <x v="5"/>
    <x v="1389"/>
    <x v="1"/>
    <x v="1"/>
    <x v="11"/>
    <x v="1"/>
    <x v="0"/>
    <x v="4"/>
  </r>
  <r>
    <x v="334"/>
    <x v="6"/>
    <x v="2010"/>
    <x v="1"/>
    <x v="1"/>
    <x v="11"/>
    <x v="1"/>
    <x v="0"/>
    <x v="3"/>
  </r>
  <r>
    <x v="334"/>
    <x v="7"/>
    <x v="2862"/>
    <x v="1"/>
    <x v="1"/>
    <x v="11"/>
    <x v="1"/>
    <x v="0"/>
    <x v="3"/>
  </r>
  <r>
    <x v="334"/>
    <x v="8"/>
    <x v="3547"/>
    <x v="1"/>
    <x v="1"/>
    <x v="11"/>
    <x v="1"/>
    <x v="0"/>
    <x v="3"/>
  </r>
  <r>
    <x v="334"/>
    <x v="9"/>
    <x v="3537"/>
    <x v="1"/>
    <x v="1"/>
    <x v="11"/>
    <x v="1"/>
    <x v="0"/>
    <x v="3"/>
  </r>
  <r>
    <x v="334"/>
    <x v="10"/>
    <x v="3247"/>
    <x v="1"/>
    <x v="1"/>
    <x v="11"/>
    <x v="1"/>
    <x v="0"/>
    <x v="2"/>
  </r>
  <r>
    <x v="334"/>
    <x v="11"/>
    <x v="3572"/>
    <x v="1"/>
    <x v="1"/>
    <x v="11"/>
    <x v="1"/>
    <x v="0"/>
    <x v="2"/>
  </r>
  <r>
    <x v="334"/>
    <x v="12"/>
    <x v="3350"/>
    <x v="1"/>
    <x v="1"/>
    <x v="11"/>
    <x v="1"/>
    <x v="0"/>
    <x v="2"/>
  </r>
  <r>
    <x v="334"/>
    <x v="13"/>
    <x v="2840"/>
    <x v="1"/>
    <x v="1"/>
    <x v="11"/>
    <x v="1"/>
    <x v="0"/>
    <x v="2"/>
  </r>
  <r>
    <x v="334"/>
    <x v="14"/>
    <x v="2947"/>
    <x v="1"/>
    <x v="1"/>
    <x v="11"/>
    <x v="1"/>
    <x v="0"/>
    <x v="2"/>
  </r>
  <r>
    <x v="334"/>
    <x v="15"/>
    <x v="3142"/>
    <x v="1"/>
    <x v="1"/>
    <x v="11"/>
    <x v="1"/>
    <x v="0"/>
    <x v="2"/>
  </r>
  <r>
    <x v="334"/>
    <x v="16"/>
    <x v="3253"/>
    <x v="1"/>
    <x v="1"/>
    <x v="11"/>
    <x v="1"/>
    <x v="0"/>
    <x v="0"/>
  </r>
  <r>
    <x v="334"/>
    <x v="17"/>
    <x v="3652"/>
    <x v="1"/>
    <x v="1"/>
    <x v="11"/>
    <x v="1"/>
    <x v="0"/>
    <x v="0"/>
  </r>
  <r>
    <x v="334"/>
    <x v="18"/>
    <x v="3968"/>
    <x v="1"/>
    <x v="1"/>
    <x v="11"/>
    <x v="1"/>
    <x v="0"/>
    <x v="0"/>
  </r>
  <r>
    <x v="334"/>
    <x v="19"/>
    <x v="4063"/>
    <x v="1"/>
    <x v="1"/>
    <x v="11"/>
    <x v="1"/>
    <x v="0"/>
    <x v="0"/>
  </r>
  <r>
    <x v="334"/>
    <x v="20"/>
    <x v="3879"/>
    <x v="1"/>
    <x v="1"/>
    <x v="11"/>
    <x v="1"/>
    <x v="0"/>
    <x v="1"/>
  </r>
  <r>
    <x v="334"/>
    <x v="21"/>
    <x v="3915"/>
    <x v="1"/>
    <x v="1"/>
    <x v="11"/>
    <x v="1"/>
    <x v="0"/>
    <x v="1"/>
  </r>
  <r>
    <x v="334"/>
    <x v="22"/>
    <x v="3735"/>
    <x v="1"/>
    <x v="1"/>
    <x v="11"/>
    <x v="1"/>
    <x v="0"/>
    <x v="1"/>
  </r>
  <r>
    <x v="334"/>
    <x v="23"/>
    <x v="3105"/>
    <x v="1"/>
    <x v="1"/>
    <x v="11"/>
    <x v="1"/>
    <x v="0"/>
    <x v="1"/>
  </r>
  <r>
    <x v="335"/>
    <x v="0"/>
    <x v="2107"/>
    <x v="1"/>
    <x v="1"/>
    <x v="11"/>
    <x v="5"/>
    <x v="0"/>
    <x v="4"/>
  </r>
  <r>
    <x v="335"/>
    <x v="1"/>
    <x v="1355"/>
    <x v="1"/>
    <x v="1"/>
    <x v="11"/>
    <x v="5"/>
    <x v="0"/>
    <x v="4"/>
  </r>
  <r>
    <x v="335"/>
    <x v="2"/>
    <x v="728"/>
    <x v="1"/>
    <x v="1"/>
    <x v="11"/>
    <x v="5"/>
    <x v="0"/>
    <x v="4"/>
  </r>
  <r>
    <x v="335"/>
    <x v="3"/>
    <x v="430"/>
    <x v="1"/>
    <x v="1"/>
    <x v="11"/>
    <x v="5"/>
    <x v="0"/>
    <x v="4"/>
  </r>
  <r>
    <x v="335"/>
    <x v="4"/>
    <x v="661"/>
    <x v="1"/>
    <x v="1"/>
    <x v="11"/>
    <x v="5"/>
    <x v="0"/>
    <x v="4"/>
  </r>
  <r>
    <x v="335"/>
    <x v="5"/>
    <x v="1111"/>
    <x v="1"/>
    <x v="1"/>
    <x v="11"/>
    <x v="5"/>
    <x v="0"/>
    <x v="4"/>
  </r>
  <r>
    <x v="335"/>
    <x v="6"/>
    <x v="1873"/>
    <x v="1"/>
    <x v="1"/>
    <x v="11"/>
    <x v="5"/>
    <x v="0"/>
    <x v="3"/>
  </r>
  <r>
    <x v="335"/>
    <x v="7"/>
    <x v="2945"/>
    <x v="1"/>
    <x v="1"/>
    <x v="11"/>
    <x v="5"/>
    <x v="0"/>
    <x v="3"/>
  </r>
  <r>
    <x v="335"/>
    <x v="8"/>
    <x v="3624"/>
    <x v="1"/>
    <x v="1"/>
    <x v="11"/>
    <x v="5"/>
    <x v="0"/>
    <x v="3"/>
  </r>
  <r>
    <x v="335"/>
    <x v="9"/>
    <x v="3571"/>
    <x v="1"/>
    <x v="1"/>
    <x v="11"/>
    <x v="5"/>
    <x v="0"/>
    <x v="3"/>
  </r>
  <r>
    <x v="335"/>
    <x v="10"/>
    <x v="3021"/>
    <x v="1"/>
    <x v="1"/>
    <x v="11"/>
    <x v="5"/>
    <x v="0"/>
    <x v="2"/>
  </r>
  <r>
    <x v="335"/>
    <x v="11"/>
    <x v="2685"/>
    <x v="1"/>
    <x v="1"/>
    <x v="11"/>
    <x v="5"/>
    <x v="0"/>
    <x v="2"/>
  </r>
  <r>
    <x v="335"/>
    <x v="12"/>
    <x v="2625"/>
    <x v="1"/>
    <x v="1"/>
    <x v="11"/>
    <x v="5"/>
    <x v="0"/>
    <x v="2"/>
  </r>
  <r>
    <x v="335"/>
    <x v="13"/>
    <x v="2767"/>
    <x v="1"/>
    <x v="1"/>
    <x v="11"/>
    <x v="5"/>
    <x v="0"/>
    <x v="2"/>
  </r>
  <r>
    <x v="335"/>
    <x v="14"/>
    <x v="3030"/>
    <x v="1"/>
    <x v="1"/>
    <x v="11"/>
    <x v="5"/>
    <x v="0"/>
    <x v="2"/>
  </r>
  <r>
    <x v="335"/>
    <x v="15"/>
    <x v="3581"/>
    <x v="1"/>
    <x v="1"/>
    <x v="11"/>
    <x v="5"/>
    <x v="0"/>
    <x v="2"/>
  </r>
  <r>
    <x v="335"/>
    <x v="16"/>
    <x v="3642"/>
    <x v="1"/>
    <x v="1"/>
    <x v="11"/>
    <x v="5"/>
    <x v="0"/>
    <x v="0"/>
  </r>
  <r>
    <x v="335"/>
    <x v="17"/>
    <x v="3921"/>
    <x v="1"/>
    <x v="1"/>
    <x v="11"/>
    <x v="5"/>
    <x v="0"/>
    <x v="0"/>
  </r>
  <r>
    <x v="335"/>
    <x v="18"/>
    <x v="4140"/>
    <x v="1"/>
    <x v="1"/>
    <x v="11"/>
    <x v="5"/>
    <x v="0"/>
    <x v="0"/>
  </r>
  <r>
    <x v="335"/>
    <x v="19"/>
    <x v="4165"/>
    <x v="1"/>
    <x v="1"/>
    <x v="11"/>
    <x v="5"/>
    <x v="0"/>
    <x v="0"/>
  </r>
  <r>
    <x v="335"/>
    <x v="20"/>
    <x v="4075"/>
    <x v="1"/>
    <x v="1"/>
    <x v="11"/>
    <x v="5"/>
    <x v="0"/>
    <x v="1"/>
  </r>
  <r>
    <x v="335"/>
    <x v="21"/>
    <x v="4102"/>
    <x v="1"/>
    <x v="1"/>
    <x v="11"/>
    <x v="5"/>
    <x v="0"/>
    <x v="1"/>
  </r>
  <r>
    <x v="335"/>
    <x v="22"/>
    <x v="3972"/>
    <x v="1"/>
    <x v="1"/>
    <x v="11"/>
    <x v="5"/>
    <x v="0"/>
    <x v="1"/>
  </r>
  <r>
    <x v="335"/>
    <x v="23"/>
    <x v="3357"/>
    <x v="1"/>
    <x v="1"/>
    <x v="11"/>
    <x v="5"/>
    <x v="0"/>
    <x v="1"/>
  </r>
  <r>
    <x v="336"/>
    <x v="0"/>
    <x v="2255"/>
    <x v="1"/>
    <x v="1"/>
    <x v="11"/>
    <x v="6"/>
    <x v="0"/>
    <x v="4"/>
  </r>
  <r>
    <x v="336"/>
    <x v="1"/>
    <x v="1237"/>
    <x v="1"/>
    <x v="1"/>
    <x v="11"/>
    <x v="6"/>
    <x v="0"/>
    <x v="4"/>
  </r>
  <r>
    <x v="336"/>
    <x v="2"/>
    <x v="692"/>
    <x v="1"/>
    <x v="1"/>
    <x v="11"/>
    <x v="6"/>
    <x v="0"/>
    <x v="4"/>
  </r>
  <r>
    <x v="336"/>
    <x v="3"/>
    <x v="441"/>
    <x v="1"/>
    <x v="1"/>
    <x v="11"/>
    <x v="6"/>
    <x v="0"/>
    <x v="4"/>
  </r>
  <r>
    <x v="336"/>
    <x v="4"/>
    <x v="633"/>
    <x v="1"/>
    <x v="1"/>
    <x v="11"/>
    <x v="6"/>
    <x v="0"/>
    <x v="4"/>
  </r>
  <r>
    <x v="336"/>
    <x v="5"/>
    <x v="1107"/>
    <x v="1"/>
    <x v="1"/>
    <x v="11"/>
    <x v="6"/>
    <x v="0"/>
    <x v="4"/>
  </r>
  <r>
    <x v="336"/>
    <x v="6"/>
    <x v="1810"/>
    <x v="1"/>
    <x v="1"/>
    <x v="11"/>
    <x v="6"/>
    <x v="0"/>
    <x v="3"/>
  </r>
  <r>
    <x v="336"/>
    <x v="7"/>
    <x v="2709"/>
    <x v="1"/>
    <x v="1"/>
    <x v="11"/>
    <x v="6"/>
    <x v="0"/>
    <x v="3"/>
  </r>
  <r>
    <x v="336"/>
    <x v="8"/>
    <x v="3323"/>
    <x v="1"/>
    <x v="1"/>
    <x v="11"/>
    <x v="6"/>
    <x v="0"/>
    <x v="3"/>
  </r>
  <r>
    <x v="336"/>
    <x v="9"/>
    <x v="3112"/>
    <x v="1"/>
    <x v="1"/>
    <x v="11"/>
    <x v="6"/>
    <x v="0"/>
    <x v="3"/>
  </r>
  <r>
    <x v="336"/>
    <x v="10"/>
    <x v="2675"/>
    <x v="1"/>
    <x v="1"/>
    <x v="11"/>
    <x v="6"/>
    <x v="0"/>
    <x v="2"/>
  </r>
  <r>
    <x v="336"/>
    <x v="11"/>
    <x v="2515"/>
    <x v="1"/>
    <x v="1"/>
    <x v="11"/>
    <x v="6"/>
    <x v="0"/>
    <x v="2"/>
  </r>
  <r>
    <x v="336"/>
    <x v="12"/>
    <x v="2419"/>
    <x v="1"/>
    <x v="1"/>
    <x v="11"/>
    <x v="6"/>
    <x v="0"/>
    <x v="2"/>
  </r>
  <r>
    <x v="336"/>
    <x v="13"/>
    <x v="2453"/>
    <x v="1"/>
    <x v="1"/>
    <x v="11"/>
    <x v="6"/>
    <x v="0"/>
    <x v="2"/>
  </r>
  <r>
    <x v="336"/>
    <x v="14"/>
    <x v="2730"/>
    <x v="1"/>
    <x v="1"/>
    <x v="11"/>
    <x v="6"/>
    <x v="0"/>
    <x v="2"/>
  </r>
  <r>
    <x v="336"/>
    <x v="15"/>
    <x v="2913"/>
    <x v="1"/>
    <x v="1"/>
    <x v="11"/>
    <x v="6"/>
    <x v="0"/>
    <x v="2"/>
  </r>
  <r>
    <x v="336"/>
    <x v="16"/>
    <x v="3250"/>
    <x v="1"/>
    <x v="1"/>
    <x v="11"/>
    <x v="6"/>
    <x v="0"/>
    <x v="0"/>
  </r>
  <r>
    <x v="336"/>
    <x v="17"/>
    <x v="3603"/>
    <x v="1"/>
    <x v="1"/>
    <x v="11"/>
    <x v="6"/>
    <x v="0"/>
    <x v="0"/>
  </r>
  <r>
    <x v="336"/>
    <x v="18"/>
    <x v="3915"/>
    <x v="1"/>
    <x v="1"/>
    <x v="11"/>
    <x v="6"/>
    <x v="0"/>
    <x v="0"/>
  </r>
  <r>
    <x v="336"/>
    <x v="19"/>
    <x v="3958"/>
    <x v="1"/>
    <x v="1"/>
    <x v="11"/>
    <x v="6"/>
    <x v="0"/>
    <x v="0"/>
  </r>
  <r>
    <x v="336"/>
    <x v="20"/>
    <x v="3843"/>
    <x v="1"/>
    <x v="1"/>
    <x v="11"/>
    <x v="6"/>
    <x v="0"/>
    <x v="1"/>
  </r>
  <r>
    <x v="336"/>
    <x v="21"/>
    <x v="4050"/>
    <x v="1"/>
    <x v="1"/>
    <x v="11"/>
    <x v="6"/>
    <x v="0"/>
    <x v="1"/>
  </r>
  <r>
    <x v="336"/>
    <x v="22"/>
    <x v="3981"/>
    <x v="1"/>
    <x v="1"/>
    <x v="11"/>
    <x v="6"/>
    <x v="0"/>
    <x v="1"/>
  </r>
  <r>
    <x v="336"/>
    <x v="23"/>
    <x v="3695"/>
    <x v="1"/>
    <x v="1"/>
    <x v="11"/>
    <x v="6"/>
    <x v="0"/>
    <x v="1"/>
  </r>
  <r>
    <x v="337"/>
    <x v="0"/>
    <x v="2761"/>
    <x v="1"/>
    <x v="1"/>
    <x v="11"/>
    <x v="4"/>
    <x v="0"/>
    <x v="4"/>
  </r>
  <r>
    <x v="337"/>
    <x v="1"/>
    <x v="1571"/>
    <x v="1"/>
    <x v="1"/>
    <x v="11"/>
    <x v="4"/>
    <x v="0"/>
    <x v="4"/>
  </r>
  <r>
    <x v="337"/>
    <x v="2"/>
    <x v="846"/>
    <x v="1"/>
    <x v="1"/>
    <x v="11"/>
    <x v="4"/>
    <x v="0"/>
    <x v="4"/>
  </r>
  <r>
    <x v="337"/>
    <x v="3"/>
    <x v="621"/>
    <x v="1"/>
    <x v="1"/>
    <x v="11"/>
    <x v="4"/>
    <x v="0"/>
    <x v="4"/>
  </r>
  <r>
    <x v="337"/>
    <x v="4"/>
    <x v="713"/>
    <x v="1"/>
    <x v="1"/>
    <x v="11"/>
    <x v="4"/>
    <x v="0"/>
    <x v="4"/>
  </r>
  <r>
    <x v="337"/>
    <x v="5"/>
    <x v="1185"/>
    <x v="1"/>
    <x v="1"/>
    <x v="11"/>
    <x v="4"/>
    <x v="0"/>
    <x v="4"/>
  </r>
  <r>
    <x v="337"/>
    <x v="6"/>
    <x v="1846"/>
    <x v="1"/>
    <x v="1"/>
    <x v="11"/>
    <x v="4"/>
    <x v="0"/>
    <x v="3"/>
  </r>
  <r>
    <x v="337"/>
    <x v="7"/>
    <x v="2770"/>
    <x v="1"/>
    <x v="1"/>
    <x v="11"/>
    <x v="4"/>
    <x v="0"/>
    <x v="3"/>
  </r>
  <r>
    <x v="337"/>
    <x v="8"/>
    <x v="3086"/>
    <x v="1"/>
    <x v="1"/>
    <x v="11"/>
    <x v="4"/>
    <x v="0"/>
    <x v="3"/>
  </r>
  <r>
    <x v="337"/>
    <x v="9"/>
    <x v="2966"/>
    <x v="1"/>
    <x v="1"/>
    <x v="11"/>
    <x v="4"/>
    <x v="0"/>
    <x v="3"/>
  </r>
  <r>
    <x v="337"/>
    <x v="10"/>
    <x v="2649"/>
    <x v="1"/>
    <x v="1"/>
    <x v="11"/>
    <x v="4"/>
    <x v="0"/>
    <x v="2"/>
  </r>
  <r>
    <x v="337"/>
    <x v="11"/>
    <x v="2605"/>
    <x v="1"/>
    <x v="1"/>
    <x v="11"/>
    <x v="4"/>
    <x v="0"/>
    <x v="2"/>
  </r>
  <r>
    <x v="337"/>
    <x v="12"/>
    <x v="2659"/>
    <x v="1"/>
    <x v="1"/>
    <x v="11"/>
    <x v="4"/>
    <x v="0"/>
    <x v="2"/>
  </r>
  <r>
    <x v="337"/>
    <x v="13"/>
    <x v="2593"/>
    <x v="1"/>
    <x v="1"/>
    <x v="11"/>
    <x v="4"/>
    <x v="0"/>
    <x v="2"/>
  </r>
  <r>
    <x v="337"/>
    <x v="14"/>
    <x v="2867"/>
    <x v="1"/>
    <x v="1"/>
    <x v="11"/>
    <x v="4"/>
    <x v="0"/>
    <x v="2"/>
  </r>
  <r>
    <x v="337"/>
    <x v="15"/>
    <x v="3166"/>
    <x v="1"/>
    <x v="1"/>
    <x v="11"/>
    <x v="4"/>
    <x v="0"/>
    <x v="2"/>
  </r>
  <r>
    <x v="337"/>
    <x v="16"/>
    <x v="3534"/>
    <x v="1"/>
    <x v="1"/>
    <x v="11"/>
    <x v="4"/>
    <x v="0"/>
    <x v="0"/>
  </r>
  <r>
    <x v="337"/>
    <x v="17"/>
    <x v="3767"/>
    <x v="1"/>
    <x v="1"/>
    <x v="11"/>
    <x v="4"/>
    <x v="0"/>
    <x v="0"/>
  </r>
  <r>
    <x v="337"/>
    <x v="18"/>
    <x v="4086"/>
    <x v="1"/>
    <x v="1"/>
    <x v="11"/>
    <x v="4"/>
    <x v="0"/>
    <x v="0"/>
  </r>
  <r>
    <x v="337"/>
    <x v="19"/>
    <x v="4092"/>
    <x v="1"/>
    <x v="1"/>
    <x v="11"/>
    <x v="4"/>
    <x v="0"/>
    <x v="0"/>
  </r>
  <r>
    <x v="337"/>
    <x v="20"/>
    <x v="4025"/>
    <x v="1"/>
    <x v="1"/>
    <x v="11"/>
    <x v="4"/>
    <x v="0"/>
    <x v="1"/>
  </r>
  <r>
    <x v="337"/>
    <x v="21"/>
    <x v="4123"/>
    <x v="1"/>
    <x v="1"/>
    <x v="11"/>
    <x v="4"/>
    <x v="0"/>
    <x v="1"/>
  </r>
  <r>
    <x v="337"/>
    <x v="22"/>
    <x v="4121"/>
    <x v="1"/>
    <x v="1"/>
    <x v="11"/>
    <x v="4"/>
    <x v="0"/>
    <x v="1"/>
  </r>
  <r>
    <x v="337"/>
    <x v="23"/>
    <x v="3962"/>
    <x v="1"/>
    <x v="1"/>
    <x v="11"/>
    <x v="4"/>
    <x v="0"/>
    <x v="1"/>
  </r>
  <r>
    <x v="338"/>
    <x v="0"/>
    <x v="3415"/>
    <x v="1"/>
    <x v="1"/>
    <x v="11"/>
    <x v="0"/>
    <x v="0"/>
    <x v="4"/>
  </r>
  <r>
    <x v="338"/>
    <x v="1"/>
    <x v="2023"/>
    <x v="1"/>
    <x v="1"/>
    <x v="11"/>
    <x v="0"/>
    <x v="0"/>
    <x v="4"/>
  </r>
  <r>
    <x v="338"/>
    <x v="2"/>
    <x v="1295"/>
    <x v="1"/>
    <x v="1"/>
    <x v="11"/>
    <x v="0"/>
    <x v="0"/>
    <x v="4"/>
  </r>
  <r>
    <x v="338"/>
    <x v="3"/>
    <x v="887"/>
    <x v="1"/>
    <x v="1"/>
    <x v="11"/>
    <x v="0"/>
    <x v="0"/>
    <x v="4"/>
  </r>
  <r>
    <x v="338"/>
    <x v="4"/>
    <x v="1006"/>
    <x v="1"/>
    <x v="1"/>
    <x v="11"/>
    <x v="0"/>
    <x v="0"/>
    <x v="4"/>
  </r>
  <r>
    <x v="338"/>
    <x v="5"/>
    <x v="1174"/>
    <x v="1"/>
    <x v="1"/>
    <x v="11"/>
    <x v="0"/>
    <x v="0"/>
    <x v="4"/>
  </r>
  <r>
    <x v="338"/>
    <x v="6"/>
    <x v="1866"/>
    <x v="1"/>
    <x v="1"/>
    <x v="11"/>
    <x v="0"/>
    <x v="0"/>
    <x v="3"/>
  </r>
  <r>
    <x v="338"/>
    <x v="7"/>
    <x v="2665"/>
    <x v="1"/>
    <x v="1"/>
    <x v="11"/>
    <x v="0"/>
    <x v="0"/>
    <x v="3"/>
  </r>
  <r>
    <x v="338"/>
    <x v="8"/>
    <x v="3324"/>
    <x v="1"/>
    <x v="1"/>
    <x v="11"/>
    <x v="0"/>
    <x v="0"/>
    <x v="3"/>
  </r>
  <r>
    <x v="338"/>
    <x v="9"/>
    <x v="3314"/>
    <x v="1"/>
    <x v="1"/>
    <x v="11"/>
    <x v="0"/>
    <x v="0"/>
    <x v="3"/>
  </r>
  <r>
    <x v="338"/>
    <x v="10"/>
    <x v="3234"/>
    <x v="1"/>
    <x v="1"/>
    <x v="11"/>
    <x v="0"/>
    <x v="0"/>
    <x v="2"/>
  </r>
  <r>
    <x v="338"/>
    <x v="11"/>
    <x v="3340"/>
    <x v="1"/>
    <x v="1"/>
    <x v="11"/>
    <x v="0"/>
    <x v="0"/>
    <x v="2"/>
  </r>
  <r>
    <x v="338"/>
    <x v="12"/>
    <x v="3327"/>
    <x v="1"/>
    <x v="1"/>
    <x v="11"/>
    <x v="0"/>
    <x v="0"/>
    <x v="2"/>
  </r>
  <r>
    <x v="338"/>
    <x v="13"/>
    <x v="3225"/>
    <x v="1"/>
    <x v="1"/>
    <x v="11"/>
    <x v="0"/>
    <x v="0"/>
    <x v="2"/>
  </r>
  <r>
    <x v="338"/>
    <x v="14"/>
    <x v="3317"/>
    <x v="1"/>
    <x v="1"/>
    <x v="11"/>
    <x v="0"/>
    <x v="0"/>
    <x v="2"/>
  </r>
  <r>
    <x v="338"/>
    <x v="15"/>
    <x v="3378"/>
    <x v="1"/>
    <x v="1"/>
    <x v="11"/>
    <x v="0"/>
    <x v="0"/>
    <x v="2"/>
  </r>
  <r>
    <x v="338"/>
    <x v="16"/>
    <x v="3550"/>
    <x v="1"/>
    <x v="1"/>
    <x v="11"/>
    <x v="0"/>
    <x v="0"/>
    <x v="0"/>
  </r>
  <r>
    <x v="338"/>
    <x v="17"/>
    <x v="3742"/>
    <x v="1"/>
    <x v="1"/>
    <x v="11"/>
    <x v="0"/>
    <x v="0"/>
    <x v="0"/>
  </r>
  <r>
    <x v="338"/>
    <x v="18"/>
    <x v="3932"/>
    <x v="1"/>
    <x v="1"/>
    <x v="11"/>
    <x v="0"/>
    <x v="0"/>
    <x v="0"/>
  </r>
  <r>
    <x v="338"/>
    <x v="19"/>
    <x v="3980"/>
    <x v="1"/>
    <x v="1"/>
    <x v="11"/>
    <x v="0"/>
    <x v="0"/>
    <x v="0"/>
  </r>
  <r>
    <x v="338"/>
    <x v="20"/>
    <x v="3826"/>
    <x v="1"/>
    <x v="1"/>
    <x v="11"/>
    <x v="0"/>
    <x v="0"/>
    <x v="1"/>
  </r>
  <r>
    <x v="338"/>
    <x v="21"/>
    <x v="3834"/>
    <x v="1"/>
    <x v="1"/>
    <x v="11"/>
    <x v="0"/>
    <x v="0"/>
    <x v="1"/>
  </r>
  <r>
    <x v="338"/>
    <x v="22"/>
    <x v="4031"/>
    <x v="1"/>
    <x v="1"/>
    <x v="11"/>
    <x v="0"/>
    <x v="0"/>
    <x v="1"/>
  </r>
  <r>
    <x v="338"/>
    <x v="23"/>
    <x v="4151"/>
    <x v="1"/>
    <x v="1"/>
    <x v="11"/>
    <x v="0"/>
    <x v="0"/>
    <x v="1"/>
  </r>
  <r>
    <x v="339"/>
    <x v="0"/>
    <x v="4083"/>
    <x v="1"/>
    <x v="1"/>
    <x v="11"/>
    <x v="2"/>
    <x v="1"/>
    <x v="4"/>
  </r>
  <r>
    <x v="339"/>
    <x v="1"/>
    <x v="3438"/>
    <x v="1"/>
    <x v="1"/>
    <x v="11"/>
    <x v="2"/>
    <x v="1"/>
    <x v="4"/>
  </r>
  <r>
    <x v="339"/>
    <x v="2"/>
    <x v="2584"/>
    <x v="1"/>
    <x v="1"/>
    <x v="11"/>
    <x v="2"/>
    <x v="1"/>
    <x v="4"/>
  </r>
  <r>
    <x v="339"/>
    <x v="3"/>
    <x v="1952"/>
    <x v="1"/>
    <x v="1"/>
    <x v="11"/>
    <x v="2"/>
    <x v="1"/>
    <x v="4"/>
  </r>
  <r>
    <x v="339"/>
    <x v="4"/>
    <x v="1537"/>
    <x v="1"/>
    <x v="1"/>
    <x v="11"/>
    <x v="2"/>
    <x v="1"/>
    <x v="4"/>
  </r>
  <r>
    <x v="339"/>
    <x v="5"/>
    <x v="1361"/>
    <x v="1"/>
    <x v="1"/>
    <x v="11"/>
    <x v="2"/>
    <x v="1"/>
    <x v="4"/>
  </r>
  <r>
    <x v="339"/>
    <x v="6"/>
    <x v="1246"/>
    <x v="1"/>
    <x v="1"/>
    <x v="11"/>
    <x v="2"/>
    <x v="1"/>
    <x v="3"/>
  </r>
  <r>
    <x v="339"/>
    <x v="7"/>
    <x v="1644"/>
    <x v="1"/>
    <x v="1"/>
    <x v="11"/>
    <x v="2"/>
    <x v="1"/>
    <x v="3"/>
  </r>
  <r>
    <x v="339"/>
    <x v="8"/>
    <x v="1934"/>
    <x v="1"/>
    <x v="1"/>
    <x v="11"/>
    <x v="2"/>
    <x v="1"/>
    <x v="3"/>
  </r>
  <r>
    <x v="339"/>
    <x v="9"/>
    <x v="2422"/>
    <x v="1"/>
    <x v="1"/>
    <x v="11"/>
    <x v="2"/>
    <x v="1"/>
    <x v="3"/>
  </r>
  <r>
    <x v="339"/>
    <x v="10"/>
    <x v="2873"/>
    <x v="1"/>
    <x v="1"/>
    <x v="11"/>
    <x v="2"/>
    <x v="1"/>
    <x v="2"/>
  </r>
  <r>
    <x v="339"/>
    <x v="11"/>
    <x v="3078"/>
    <x v="1"/>
    <x v="1"/>
    <x v="11"/>
    <x v="2"/>
    <x v="1"/>
    <x v="2"/>
  </r>
  <r>
    <x v="339"/>
    <x v="12"/>
    <x v="3196"/>
    <x v="1"/>
    <x v="1"/>
    <x v="11"/>
    <x v="2"/>
    <x v="1"/>
    <x v="2"/>
  </r>
  <r>
    <x v="339"/>
    <x v="13"/>
    <x v="3285"/>
    <x v="1"/>
    <x v="1"/>
    <x v="11"/>
    <x v="2"/>
    <x v="1"/>
    <x v="2"/>
  </r>
  <r>
    <x v="339"/>
    <x v="14"/>
    <x v="3337"/>
    <x v="1"/>
    <x v="1"/>
    <x v="11"/>
    <x v="2"/>
    <x v="1"/>
    <x v="2"/>
  </r>
  <r>
    <x v="339"/>
    <x v="15"/>
    <x v="3309"/>
    <x v="1"/>
    <x v="1"/>
    <x v="11"/>
    <x v="2"/>
    <x v="1"/>
    <x v="2"/>
  </r>
  <r>
    <x v="339"/>
    <x v="16"/>
    <x v="3465"/>
    <x v="1"/>
    <x v="1"/>
    <x v="11"/>
    <x v="2"/>
    <x v="1"/>
    <x v="0"/>
  </r>
  <r>
    <x v="339"/>
    <x v="17"/>
    <x v="3763"/>
    <x v="1"/>
    <x v="1"/>
    <x v="11"/>
    <x v="2"/>
    <x v="1"/>
    <x v="0"/>
  </r>
  <r>
    <x v="339"/>
    <x v="18"/>
    <x v="3751"/>
    <x v="1"/>
    <x v="1"/>
    <x v="11"/>
    <x v="2"/>
    <x v="1"/>
    <x v="0"/>
  </r>
  <r>
    <x v="339"/>
    <x v="19"/>
    <x v="3922"/>
    <x v="1"/>
    <x v="1"/>
    <x v="11"/>
    <x v="2"/>
    <x v="1"/>
    <x v="0"/>
  </r>
  <r>
    <x v="339"/>
    <x v="20"/>
    <x v="3652"/>
    <x v="1"/>
    <x v="1"/>
    <x v="11"/>
    <x v="2"/>
    <x v="1"/>
    <x v="1"/>
  </r>
  <r>
    <x v="339"/>
    <x v="21"/>
    <x v="3836"/>
    <x v="1"/>
    <x v="1"/>
    <x v="11"/>
    <x v="2"/>
    <x v="1"/>
    <x v="1"/>
  </r>
  <r>
    <x v="339"/>
    <x v="22"/>
    <x v="4101"/>
    <x v="1"/>
    <x v="1"/>
    <x v="11"/>
    <x v="2"/>
    <x v="1"/>
    <x v="1"/>
  </r>
  <r>
    <x v="339"/>
    <x v="23"/>
    <x v="4149"/>
    <x v="1"/>
    <x v="1"/>
    <x v="11"/>
    <x v="2"/>
    <x v="1"/>
    <x v="1"/>
  </r>
  <r>
    <x v="340"/>
    <x v="0"/>
    <x v="4131"/>
    <x v="1"/>
    <x v="1"/>
    <x v="11"/>
    <x v="3"/>
    <x v="1"/>
    <x v="4"/>
  </r>
  <r>
    <x v="340"/>
    <x v="1"/>
    <x v="3771"/>
    <x v="1"/>
    <x v="1"/>
    <x v="11"/>
    <x v="3"/>
    <x v="1"/>
    <x v="4"/>
  </r>
  <r>
    <x v="340"/>
    <x v="2"/>
    <x v="3077"/>
    <x v="1"/>
    <x v="1"/>
    <x v="11"/>
    <x v="3"/>
    <x v="1"/>
    <x v="4"/>
  </r>
  <r>
    <x v="340"/>
    <x v="3"/>
    <x v="2335"/>
    <x v="1"/>
    <x v="1"/>
    <x v="11"/>
    <x v="3"/>
    <x v="1"/>
    <x v="4"/>
  </r>
  <r>
    <x v="340"/>
    <x v="4"/>
    <x v="1808"/>
    <x v="1"/>
    <x v="1"/>
    <x v="11"/>
    <x v="3"/>
    <x v="1"/>
    <x v="4"/>
  </r>
  <r>
    <x v="340"/>
    <x v="5"/>
    <x v="1084"/>
    <x v="1"/>
    <x v="1"/>
    <x v="11"/>
    <x v="3"/>
    <x v="1"/>
    <x v="4"/>
  </r>
  <r>
    <x v="340"/>
    <x v="6"/>
    <x v="984"/>
    <x v="1"/>
    <x v="1"/>
    <x v="11"/>
    <x v="3"/>
    <x v="1"/>
    <x v="3"/>
  </r>
  <r>
    <x v="340"/>
    <x v="7"/>
    <x v="1153"/>
    <x v="1"/>
    <x v="1"/>
    <x v="11"/>
    <x v="3"/>
    <x v="1"/>
    <x v="3"/>
  </r>
  <r>
    <x v="340"/>
    <x v="8"/>
    <x v="1470"/>
    <x v="1"/>
    <x v="1"/>
    <x v="11"/>
    <x v="3"/>
    <x v="1"/>
    <x v="3"/>
  </r>
  <r>
    <x v="340"/>
    <x v="9"/>
    <x v="1954"/>
    <x v="1"/>
    <x v="1"/>
    <x v="11"/>
    <x v="3"/>
    <x v="1"/>
    <x v="3"/>
  </r>
  <r>
    <x v="340"/>
    <x v="10"/>
    <x v="2492"/>
    <x v="1"/>
    <x v="1"/>
    <x v="11"/>
    <x v="3"/>
    <x v="1"/>
    <x v="2"/>
  </r>
  <r>
    <x v="340"/>
    <x v="11"/>
    <x v="2878"/>
    <x v="1"/>
    <x v="1"/>
    <x v="11"/>
    <x v="3"/>
    <x v="1"/>
    <x v="2"/>
  </r>
  <r>
    <x v="340"/>
    <x v="12"/>
    <x v="3113"/>
    <x v="1"/>
    <x v="1"/>
    <x v="11"/>
    <x v="3"/>
    <x v="1"/>
    <x v="2"/>
  </r>
  <r>
    <x v="340"/>
    <x v="13"/>
    <x v="3182"/>
    <x v="1"/>
    <x v="1"/>
    <x v="11"/>
    <x v="3"/>
    <x v="1"/>
    <x v="2"/>
  </r>
  <r>
    <x v="340"/>
    <x v="14"/>
    <x v="3239"/>
    <x v="1"/>
    <x v="1"/>
    <x v="11"/>
    <x v="3"/>
    <x v="1"/>
    <x v="2"/>
  </r>
  <r>
    <x v="340"/>
    <x v="15"/>
    <x v="3331"/>
    <x v="1"/>
    <x v="1"/>
    <x v="11"/>
    <x v="3"/>
    <x v="1"/>
    <x v="2"/>
  </r>
  <r>
    <x v="340"/>
    <x v="16"/>
    <x v="3362"/>
    <x v="1"/>
    <x v="1"/>
    <x v="11"/>
    <x v="3"/>
    <x v="1"/>
    <x v="0"/>
  </r>
  <r>
    <x v="340"/>
    <x v="17"/>
    <x v="3468"/>
    <x v="1"/>
    <x v="1"/>
    <x v="11"/>
    <x v="3"/>
    <x v="1"/>
    <x v="0"/>
  </r>
  <r>
    <x v="340"/>
    <x v="18"/>
    <x v="3458"/>
    <x v="1"/>
    <x v="1"/>
    <x v="11"/>
    <x v="3"/>
    <x v="1"/>
    <x v="0"/>
  </r>
  <r>
    <x v="340"/>
    <x v="19"/>
    <x v="3400"/>
    <x v="1"/>
    <x v="1"/>
    <x v="11"/>
    <x v="3"/>
    <x v="1"/>
    <x v="0"/>
  </r>
  <r>
    <x v="340"/>
    <x v="20"/>
    <x v="3145"/>
    <x v="1"/>
    <x v="1"/>
    <x v="11"/>
    <x v="3"/>
    <x v="1"/>
    <x v="1"/>
  </r>
  <r>
    <x v="340"/>
    <x v="21"/>
    <x v="3229"/>
    <x v="1"/>
    <x v="1"/>
    <x v="11"/>
    <x v="3"/>
    <x v="1"/>
    <x v="1"/>
  </r>
  <r>
    <x v="340"/>
    <x v="22"/>
    <x v="3230"/>
    <x v="1"/>
    <x v="1"/>
    <x v="11"/>
    <x v="3"/>
    <x v="1"/>
    <x v="1"/>
  </r>
  <r>
    <x v="340"/>
    <x v="23"/>
    <x v="3246"/>
    <x v="1"/>
    <x v="1"/>
    <x v="11"/>
    <x v="3"/>
    <x v="1"/>
    <x v="1"/>
  </r>
  <r>
    <x v="341"/>
    <x v="0"/>
    <x v="2224"/>
    <x v="1"/>
    <x v="1"/>
    <x v="11"/>
    <x v="1"/>
    <x v="0"/>
    <x v="4"/>
  </r>
  <r>
    <x v="341"/>
    <x v="1"/>
    <x v="1151"/>
    <x v="1"/>
    <x v="1"/>
    <x v="11"/>
    <x v="1"/>
    <x v="0"/>
    <x v="4"/>
  </r>
  <r>
    <x v="341"/>
    <x v="2"/>
    <x v="684"/>
    <x v="1"/>
    <x v="1"/>
    <x v="11"/>
    <x v="1"/>
    <x v="0"/>
    <x v="4"/>
  </r>
  <r>
    <x v="341"/>
    <x v="3"/>
    <x v="549"/>
    <x v="1"/>
    <x v="1"/>
    <x v="11"/>
    <x v="1"/>
    <x v="0"/>
    <x v="4"/>
  </r>
  <r>
    <x v="341"/>
    <x v="4"/>
    <x v="801"/>
    <x v="1"/>
    <x v="1"/>
    <x v="11"/>
    <x v="1"/>
    <x v="0"/>
    <x v="4"/>
  </r>
  <r>
    <x v="341"/>
    <x v="5"/>
    <x v="1368"/>
    <x v="1"/>
    <x v="1"/>
    <x v="11"/>
    <x v="1"/>
    <x v="0"/>
    <x v="4"/>
  </r>
  <r>
    <x v="341"/>
    <x v="6"/>
    <x v="1942"/>
    <x v="1"/>
    <x v="1"/>
    <x v="11"/>
    <x v="1"/>
    <x v="0"/>
    <x v="3"/>
  </r>
  <r>
    <x v="341"/>
    <x v="7"/>
    <x v="2700"/>
    <x v="1"/>
    <x v="1"/>
    <x v="11"/>
    <x v="1"/>
    <x v="0"/>
    <x v="3"/>
  </r>
  <r>
    <x v="341"/>
    <x v="8"/>
    <x v="3197"/>
    <x v="1"/>
    <x v="1"/>
    <x v="11"/>
    <x v="1"/>
    <x v="0"/>
    <x v="3"/>
  </r>
  <r>
    <x v="341"/>
    <x v="9"/>
    <x v="3154"/>
    <x v="1"/>
    <x v="1"/>
    <x v="11"/>
    <x v="1"/>
    <x v="0"/>
    <x v="3"/>
  </r>
  <r>
    <x v="341"/>
    <x v="10"/>
    <x v="2782"/>
    <x v="1"/>
    <x v="1"/>
    <x v="11"/>
    <x v="1"/>
    <x v="0"/>
    <x v="2"/>
  </r>
  <r>
    <x v="341"/>
    <x v="11"/>
    <x v="2525"/>
    <x v="1"/>
    <x v="1"/>
    <x v="11"/>
    <x v="1"/>
    <x v="0"/>
    <x v="2"/>
  </r>
  <r>
    <x v="341"/>
    <x v="12"/>
    <x v="2438"/>
    <x v="1"/>
    <x v="1"/>
    <x v="11"/>
    <x v="1"/>
    <x v="0"/>
    <x v="2"/>
  </r>
  <r>
    <x v="341"/>
    <x v="13"/>
    <x v="2371"/>
    <x v="1"/>
    <x v="1"/>
    <x v="11"/>
    <x v="1"/>
    <x v="0"/>
    <x v="2"/>
  </r>
  <r>
    <x v="341"/>
    <x v="14"/>
    <x v="2646"/>
    <x v="1"/>
    <x v="1"/>
    <x v="11"/>
    <x v="1"/>
    <x v="0"/>
    <x v="2"/>
  </r>
  <r>
    <x v="341"/>
    <x v="15"/>
    <x v="2745"/>
    <x v="1"/>
    <x v="1"/>
    <x v="11"/>
    <x v="1"/>
    <x v="0"/>
    <x v="2"/>
  </r>
  <r>
    <x v="341"/>
    <x v="16"/>
    <x v="2918"/>
    <x v="1"/>
    <x v="1"/>
    <x v="11"/>
    <x v="1"/>
    <x v="0"/>
    <x v="0"/>
  </r>
  <r>
    <x v="341"/>
    <x v="17"/>
    <x v="3215"/>
    <x v="1"/>
    <x v="1"/>
    <x v="11"/>
    <x v="1"/>
    <x v="0"/>
    <x v="0"/>
  </r>
  <r>
    <x v="341"/>
    <x v="18"/>
    <x v="3555"/>
    <x v="1"/>
    <x v="1"/>
    <x v="11"/>
    <x v="1"/>
    <x v="0"/>
    <x v="0"/>
  </r>
  <r>
    <x v="341"/>
    <x v="19"/>
    <x v="3422"/>
    <x v="1"/>
    <x v="1"/>
    <x v="11"/>
    <x v="1"/>
    <x v="0"/>
    <x v="0"/>
  </r>
  <r>
    <x v="341"/>
    <x v="20"/>
    <x v="3244"/>
    <x v="1"/>
    <x v="1"/>
    <x v="11"/>
    <x v="1"/>
    <x v="0"/>
    <x v="1"/>
  </r>
  <r>
    <x v="341"/>
    <x v="21"/>
    <x v="3650"/>
    <x v="1"/>
    <x v="1"/>
    <x v="11"/>
    <x v="1"/>
    <x v="0"/>
    <x v="1"/>
  </r>
  <r>
    <x v="341"/>
    <x v="22"/>
    <x v="3509"/>
    <x v="1"/>
    <x v="1"/>
    <x v="11"/>
    <x v="1"/>
    <x v="0"/>
    <x v="1"/>
  </r>
  <r>
    <x v="341"/>
    <x v="23"/>
    <x v="3029"/>
    <x v="1"/>
    <x v="1"/>
    <x v="11"/>
    <x v="1"/>
    <x v="0"/>
    <x v="1"/>
  </r>
  <r>
    <x v="342"/>
    <x v="0"/>
    <x v="2058"/>
    <x v="1"/>
    <x v="1"/>
    <x v="11"/>
    <x v="5"/>
    <x v="0"/>
    <x v="4"/>
  </r>
  <r>
    <x v="342"/>
    <x v="1"/>
    <x v="1090"/>
    <x v="1"/>
    <x v="1"/>
    <x v="11"/>
    <x v="5"/>
    <x v="0"/>
    <x v="4"/>
  </r>
  <r>
    <x v="342"/>
    <x v="2"/>
    <x v="529"/>
    <x v="1"/>
    <x v="1"/>
    <x v="11"/>
    <x v="5"/>
    <x v="0"/>
    <x v="4"/>
  </r>
  <r>
    <x v="342"/>
    <x v="3"/>
    <x v="421"/>
    <x v="1"/>
    <x v="1"/>
    <x v="11"/>
    <x v="5"/>
    <x v="0"/>
    <x v="4"/>
  </r>
  <r>
    <x v="342"/>
    <x v="4"/>
    <x v="624"/>
    <x v="1"/>
    <x v="1"/>
    <x v="11"/>
    <x v="5"/>
    <x v="0"/>
    <x v="4"/>
  </r>
  <r>
    <x v="342"/>
    <x v="5"/>
    <x v="1062"/>
    <x v="1"/>
    <x v="1"/>
    <x v="11"/>
    <x v="5"/>
    <x v="0"/>
    <x v="4"/>
  </r>
  <r>
    <x v="342"/>
    <x v="6"/>
    <x v="1791"/>
    <x v="1"/>
    <x v="1"/>
    <x v="11"/>
    <x v="5"/>
    <x v="0"/>
    <x v="3"/>
  </r>
  <r>
    <x v="342"/>
    <x v="7"/>
    <x v="2797"/>
    <x v="1"/>
    <x v="1"/>
    <x v="11"/>
    <x v="5"/>
    <x v="0"/>
    <x v="3"/>
  </r>
  <r>
    <x v="342"/>
    <x v="8"/>
    <x v="3469"/>
    <x v="1"/>
    <x v="1"/>
    <x v="11"/>
    <x v="5"/>
    <x v="0"/>
    <x v="3"/>
  </r>
  <r>
    <x v="342"/>
    <x v="9"/>
    <x v="3331"/>
    <x v="1"/>
    <x v="1"/>
    <x v="11"/>
    <x v="5"/>
    <x v="0"/>
    <x v="3"/>
  </r>
  <r>
    <x v="342"/>
    <x v="10"/>
    <x v="2732"/>
    <x v="1"/>
    <x v="1"/>
    <x v="11"/>
    <x v="5"/>
    <x v="0"/>
    <x v="2"/>
  </r>
  <r>
    <x v="342"/>
    <x v="11"/>
    <x v="2590"/>
    <x v="1"/>
    <x v="1"/>
    <x v="11"/>
    <x v="5"/>
    <x v="0"/>
    <x v="2"/>
  </r>
  <r>
    <x v="342"/>
    <x v="12"/>
    <x v="2580"/>
    <x v="1"/>
    <x v="1"/>
    <x v="11"/>
    <x v="5"/>
    <x v="0"/>
    <x v="2"/>
  </r>
  <r>
    <x v="342"/>
    <x v="13"/>
    <x v="2562"/>
    <x v="1"/>
    <x v="1"/>
    <x v="11"/>
    <x v="5"/>
    <x v="0"/>
    <x v="2"/>
  </r>
  <r>
    <x v="342"/>
    <x v="14"/>
    <x v="2721"/>
    <x v="1"/>
    <x v="1"/>
    <x v="11"/>
    <x v="5"/>
    <x v="0"/>
    <x v="2"/>
  </r>
  <r>
    <x v="342"/>
    <x v="15"/>
    <x v="2994"/>
    <x v="1"/>
    <x v="1"/>
    <x v="11"/>
    <x v="5"/>
    <x v="0"/>
    <x v="2"/>
  </r>
  <r>
    <x v="342"/>
    <x v="16"/>
    <x v="3242"/>
    <x v="1"/>
    <x v="1"/>
    <x v="11"/>
    <x v="5"/>
    <x v="0"/>
    <x v="0"/>
  </r>
  <r>
    <x v="342"/>
    <x v="17"/>
    <x v="3561"/>
    <x v="1"/>
    <x v="1"/>
    <x v="11"/>
    <x v="5"/>
    <x v="0"/>
    <x v="0"/>
  </r>
  <r>
    <x v="342"/>
    <x v="18"/>
    <x v="3830"/>
    <x v="1"/>
    <x v="1"/>
    <x v="11"/>
    <x v="5"/>
    <x v="0"/>
    <x v="0"/>
  </r>
  <r>
    <x v="342"/>
    <x v="19"/>
    <x v="3690"/>
    <x v="1"/>
    <x v="1"/>
    <x v="11"/>
    <x v="5"/>
    <x v="0"/>
    <x v="0"/>
  </r>
  <r>
    <x v="342"/>
    <x v="20"/>
    <x v="3579"/>
    <x v="1"/>
    <x v="1"/>
    <x v="11"/>
    <x v="5"/>
    <x v="0"/>
    <x v="1"/>
  </r>
  <r>
    <x v="342"/>
    <x v="21"/>
    <x v="3802"/>
    <x v="1"/>
    <x v="1"/>
    <x v="11"/>
    <x v="5"/>
    <x v="0"/>
    <x v="1"/>
  </r>
  <r>
    <x v="342"/>
    <x v="22"/>
    <x v="3641"/>
    <x v="1"/>
    <x v="1"/>
    <x v="11"/>
    <x v="5"/>
    <x v="0"/>
    <x v="1"/>
  </r>
  <r>
    <x v="342"/>
    <x v="23"/>
    <x v="3141"/>
    <x v="1"/>
    <x v="1"/>
    <x v="11"/>
    <x v="5"/>
    <x v="0"/>
    <x v="1"/>
  </r>
  <r>
    <x v="343"/>
    <x v="0"/>
    <x v="2389"/>
    <x v="1"/>
    <x v="1"/>
    <x v="11"/>
    <x v="6"/>
    <x v="0"/>
    <x v="4"/>
  </r>
  <r>
    <x v="343"/>
    <x v="1"/>
    <x v="1208"/>
    <x v="1"/>
    <x v="1"/>
    <x v="11"/>
    <x v="6"/>
    <x v="0"/>
    <x v="4"/>
  </r>
  <r>
    <x v="343"/>
    <x v="2"/>
    <x v="696"/>
    <x v="1"/>
    <x v="1"/>
    <x v="11"/>
    <x v="6"/>
    <x v="0"/>
    <x v="4"/>
  </r>
  <r>
    <x v="343"/>
    <x v="3"/>
    <x v="501"/>
    <x v="1"/>
    <x v="1"/>
    <x v="11"/>
    <x v="6"/>
    <x v="0"/>
    <x v="4"/>
  </r>
  <r>
    <x v="343"/>
    <x v="4"/>
    <x v="674"/>
    <x v="1"/>
    <x v="1"/>
    <x v="11"/>
    <x v="6"/>
    <x v="0"/>
    <x v="4"/>
  </r>
  <r>
    <x v="343"/>
    <x v="5"/>
    <x v="1111"/>
    <x v="1"/>
    <x v="1"/>
    <x v="11"/>
    <x v="6"/>
    <x v="0"/>
    <x v="4"/>
  </r>
  <r>
    <x v="343"/>
    <x v="6"/>
    <x v="1829"/>
    <x v="1"/>
    <x v="1"/>
    <x v="11"/>
    <x v="6"/>
    <x v="0"/>
    <x v="3"/>
  </r>
  <r>
    <x v="343"/>
    <x v="7"/>
    <x v="2739"/>
    <x v="1"/>
    <x v="1"/>
    <x v="11"/>
    <x v="6"/>
    <x v="0"/>
    <x v="3"/>
  </r>
  <r>
    <x v="343"/>
    <x v="8"/>
    <x v="3288"/>
    <x v="1"/>
    <x v="1"/>
    <x v="11"/>
    <x v="6"/>
    <x v="0"/>
    <x v="3"/>
  </r>
  <r>
    <x v="343"/>
    <x v="9"/>
    <x v="3252"/>
    <x v="1"/>
    <x v="1"/>
    <x v="11"/>
    <x v="6"/>
    <x v="0"/>
    <x v="3"/>
  </r>
  <r>
    <x v="343"/>
    <x v="10"/>
    <x v="2755"/>
    <x v="1"/>
    <x v="1"/>
    <x v="11"/>
    <x v="6"/>
    <x v="0"/>
    <x v="2"/>
  </r>
  <r>
    <x v="343"/>
    <x v="11"/>
    <x v="2616"/>
    <x v="1"/>
    <x v="1"/>
    <x v="11"/>
    <x v="6"/>
    <x v="0"/>
    <x v="2"/>
  </r>
  <r>
    <x v="343"/>
    <x v="12"/>
    <x v="2567"/>
    <x v="1"/>
    <x v="1"/>
    <x v="11"/>
    <x v="6"/>
    <x v="0"/>
    <x v="2"/>
  </r>
  <r>
    <x v="343"/>
    <x v="13"/>
    <x v="2682"/>
    <x v="1"/>
    <x v="1"/>
    <x v="11"/>
    <x v="6"/>
    <x v="0"/>
    <x v="2"/>
  </r>
  <r>
    <x v="343"/>
    <x v="14"/>
    <x v="2845"/>
    <x v="1"/>
    <x v="1"/>
    <x v="11"/>
    <x v="6"/>
    <x v="0"/>
    <x v="2"/>
  </r>
  <r>
    <x v="343"/>
    <x v="15"/>
    <x v="3162"/>
    <x v="1"/>
    <x v="1"/>
    <x v="11"/>
    <x v="6"/>
    <x v="0"/>
    <x v="2"/>
  </r>
  <r>
    <x v="343"/>
    <x v="16"/>
    <x v="3320"/>
    <x v="1"/>
    <x v="1"/>
    <x v="11"/>
    <x v="6"/>
    <x v="0"/>
    <x v="0"/>
  </r>
  <r>
    <x v="343"/>
    <x v="17"/>
    <x v="3660"/>
    <x v="1"/>
    <x v="1"/>
    <x v="11"/>
    <x v="6"/>
    <x v="0"/>
    <x v="0"/>
  </r>
  <r>
    <x v="343"/>
    <x v="18"/>
    <x v="3916"/>
    <x v="1"/>
    <x v="1"/>
    <x v="11"/>
    <x v="6"/>
    <x v="0"/>
    <x v="0"/>
  </r>
  <r>
    <x v="343"/>
    <x v="19"/>
    <x v="3890"/>
    <x v="1"/>
    <x v="1"/>
    <x v="11"/>
    <x v="6"/>
    <x v="0"/>
    <x v="0"/>
  </r>
  <r>
    <x v="343"/>
    <x v="20"/>
    <x v="3701"/>
    <x v="1"/>
    <x v="1"/>
    <x v="11"/>
    <x v="6"/>
    <x v="0"/>
    <x v="1"/>
  </r>
  <r>
    <x v="343"/>
    <x v="21"/>
    <x v="3920"/>
    <x v="1"/>
    <x v="1"/>
    <x v="11"/>
    <x v="6"/>
    <x v="0"/>
    <x v="1"/>
  </r>
  <r>
    <x v="343"/>
    <x v="22"/>
    <x v="3867"/>
    <x v="1"/>
    <x v="1"/>
    <x v="11"/>
    <x v="6"/>
    <x v="0"/>
    <x v="1"/>
  </r>
  <r>
    <x v="343"/>
    <x v="23"/>
    <x v="3544"/>
    <x v="1"/>
    <x v="1"/>
    <x v="11"/>
    <x v="6"/>
    <x v="0"/>
    <x v="1"/>
  </r>
  <r>
    <x v="344"/>
    <x v="0"/>
    <x v="2388"/>
    <x v="1"/>
    <x v="1"/>
    <x v="11"/>
    <x v="4"/>
    <x v="0"/>
    <x v="4"/>
  </r>
  <r>
    <x v="344"/>
    <x v="1"/>
    <x v="1482"/>
    <x v="1"/>
    <x v="1"/>
    <x v="11"/>
    <x v="4"/>
    <x v="0"/>
    <x v="4"/>
  </r>
  <r>
    <x v="344"/>
    <x v="2"/>
    <x v="827"/>
    <x v="1"/>
    <x v="1"/>
    <x v="11"/>
    <x v="4"/>
    <x v="0"/>
    <x v="4"/>
  </r>
  <r>
    <x v="344"/>
    <x v="3"/>
    <x v="529"/>
    <x v="1"/>
    <x v="1"/>
    <x v="11"/>
    <x v="4"/>
    <x v="0"/>
    <x v="4"/>
  </r>
  <r>
    <x v="344"/>
    <x v="4"/>
    <x v="682"/>
    <x v="1"/>
    <x v="1"/>
    <x v="11"/>
    <x v="4"/>
    <x v="0"/>
    <x v="4"/>
  </r>
  <r>
    <x v="344"/>
    <x v="5"/>
    <x v="1170"/>
    <x v="1"/>
    <x v="1"/>
    <x v="11"/>
    <x v="4"/>
    <x v="0"/>
    <x v="4"/>
  </r>
  <r>
    <x v="344"/>
    <x v="6"/>
    <x v="1936"/>
    <x v="1"/>
    <x v="1"/>
    <x v="11"/>
    <x v="4"/>
    <x v="0"/>
    <x v="3"/>
  </r>
  <r>
    <x v="344"/>
    <x v="7"/>
    <x v="2792"/>
    <x v="1"/>
    <x v="1"/>
    <x v="11"/>
    <x v="4"/>
    <x v="0"/>
    <x v="3"/>
  </r>
  <r>
    <x v="344"/>
    <x v="8"/>
    <x v="3353"/>
    <x v="1"/>
    <x v="1"/>
    <x v="11"/>
    <x v="4"/>
    <x v="0"/>
    <x v="3"/>
  </r>
  <r>
    <x v="344"/>
    <x v="9"/>
    <x v="3421"/>
    <x v="1"/>
    <x v="1"/>
    <x v="11"/>
    <x v="4"/>
    <x v="0"/>
    <x v="3"/>
  </r>
  <r>
    <x v="344"/>
    <x v="10"/>
    <x v="2896"/>
    <x v="1"/>
    <x v="1"/>
    <x v="11"/>
    <x v="4"/>
    <x v="0"/>
    <x v="2"/>
  </r>
  <r>
    <x v="344"/>
    <x v="11"/>
    <x v="2864"/>
    <x v="1"/>
    <x v="1"/>
    <x v="11"/>
    <x v="4"/>
    <x v="0"/>
    <x v="2"/>
  </r>
  <r>
    <x v="344"/>
    <x v="12"/>
    <x v="2890"/>
    <x v="1"/>
    <x v="1"/>
    <x v="11"/>
    <x v="4"/>
    <x v="0"/>
    <x v="2"/>
  </r>
  <r>
    <x v="344"/>
    <x v="13"/>
    <x v="2963"/>
    <x v="1"/>
    <x v="1"/>
    <x v="11"/>
    <x v="4"/>
    <x v="0"/>
    <x v="2"/>
  </r>
  <r>
    <x v="344"/>
    <x v="14"/>
    <x v="3148"/>
    <x v="1"/>
    <x v="1"/>
    <x v="11"/>
    <x v="4"/>
    <x v="0"/>
    <x v="2"/>
  </r>
  <r>
    <x v="344"/>
    <x v="15"/>
    <x v="3441"/>
    <x v="1"/>
    <x v="1"/>
    <x v="11"/>
    <x v="4"/>
    <x v="0"/>
    <x v="2"/>
  </r>
  <r>
    <x v="344"/>
    <x v="16"/>
    <x v="3665"/>
    <x v="1"/>
    <x v="1"/>
    <x v="11"/>
    <x v="4"/>
    <x v="0"/>
    <x v="0"/>
  </r>
  <r>
    <x v="344"/>
    <x v="17"/>
    <x v="3887"/>
    <x v="1"/>
    <x v="1"/>
    <x v="11"/>
    <x v="4"/>
    <x v="0"/>
    <x v="0"/>
  </r>
  <r>
    <x v="344"/>
    <x v="18"/>
    <x v="4144"/>
    <x v="1"/>
    <x v="1"/>
    <x v="11"/>
    <x v="4"/>
    <x v="0"/>
    <x v="0"/>
  </r>
  <r>
    <x v="344"/>
    <x v="19"/>
    <x v="4161"/>
    <x v="1"/>
    <x v="1"/>
    <x v="11"/>
    <x v="4"/>
    <x v="0"/>
    <x v="0"/>
  </r>
  <r>
    <x v="344"/>
    <x v="20"/>
    <x v="4072"/>
    <x v="1"/>
    <x v="1"/>
    <x v="11"/>
    <x v="4"/>
    <x v="0"/>
    <x v="1"/>
  </r>
  <r>
    <x v="344"/>
    <x v="21"/>
    <x v="4176"/>
    <x v="1"/>
    <x v="1"/>
    <x v="11"/>
    <x v="4"/>
    <x v="0"/>
    <x v="1"/>
  </r>
  <r>
    <x v="344"/>
    <x v="22"/>
    <x v="4180"/>
    <x v="1"/>
    <x v="1"/>
    <x v="11"/>
    <x v="4"/>
    <x v="0"/>
    <x v="1"/>
  </r>
  <r>
    <x v="344"/>
    <x v="23"/>
    <x v="4054"/>
    <x v="1"/>
    <x v="1"/>
    <x v="11"/>
    <x v="4"/>
    <x v="0"/>
    <x v="1"/>
  </r>
  <r>
    <x v="345"/>
    <x v="0"/>
    <x v="3502"/>
    <x v="1"/>
    <x v="1"/>
    <x v="11"/>
    <x v="0"/>
    <x v="0"/>
    <x v="4"/>
  </r>
  <r>
    <x v="345"/>
    <x v="1"/>
    <x v="2035"/>
    <x v="1"/>
    <x v="1"/>
    <x v="11"/>
    <x v="0"/>
    <x v="0"/>
    <x v="4"/>
  </r>
  <r>
    <x v="345"/>
    <x v="2"/>
    <x v="1292"/>
    <x v="1"/>
    <x v="1"/>
    <x v="11"/>
    <x v="0"/>
    <x v="0"/>
    <x v="4"/>
  </r>
  <r>
    <x v="345"/>
    <x v="3"/>
    <x v="838"/>
    <x v="1"/>
    <x v="1"/>
    <x v="11"/>
    <x v="0"/>
    <x v="0"/>
    <x v="4"/>
  </r>
  <r>
    <x v="345"/>
    <x v="4"/>
    <x v="1099"/>
    <x v="1"/>
    <x v="1"/>
    <x v="11"/>
    <x v="0"/>
    <x v="0"/>
    <x v="4"/>
  </r>
  <r>
    <x v="345"/>
    <x v="5"/>
    <x v="1416"/>
    <x v="1"/>
    <x v="1"/>
    <x v="11"/>
    <x v="0"/>
    <x v="0"/>
    <x v="4"/>
  </r>
  <r>
    <x v="345"/>
    <x v="6"/>
    <x v="1939"/>
    <x v="1"/>
    <x v="1"/>
    <x v="11"/>
    <x v="0"/>
    <x v="0"/>
    <x v="3"/>
  </r>
  <r>
    <x v="345"/>
    <x v="7"/>
    <x v="2719"/>
    <x v="1"/>
    <x v="1"/>
    <x v="11"/>
    <x v="0"/>
    <x v="0"/>
    <x v="3"/>
  </r>
  <r>
    <x v="345"/>
    <x v="8"/>
    <x v="3360"/>
    <x v="1"/>
    <x v="1"/>
    <x v="11"/>
    <x v="0"/>
    <x v="0"/>
    <x v="3"/>
  </r>
  <r>
    <x v="345"/>
    <x v="9"/>
    <x v="3303"/>
    <x v="1"/>
    <x v="1"/>
    <x v="11"/>
    <x v="0"/>
    <x v="0"/>
    <x v="3"/>
  </r>
  <r>
    <x v="345"/>
    <x v="10"/>
    <x v="3001"/>
    <x v="1"/>
    <x v="1"/>
    <x v="11"/>
    <x v="0"/>
    <x v="0"/>
    <x v="2"/>
  </r>
  <r>
    <x v="345"/>
    <x v="11"/>
    <x v="2850"/>
    <x v="1"/>
    <x v="1"/>
    <x v="11"/>
    <x v="0"/>
    <x v="0"/>
    <x v="2"/>
  </r>
  <r>
    <x v="345"/>
    <x v="12"/>
    <x v="2894"/>
    <x v="1"/>
    <x v="1"/>
    <x v="11"/>
    <x v="0"/>
    <x v="0"/>
    <x v="2"/>
  </r>
  <r>
    <x v="345"/>
    <x v="13"/>
    <x v="2948"/>
    <x v="1"/>
    <x v="1"/>
    <x v="11"/>
    <x v="0"/>
    <x v="0"/>
    <x v="2"/>
  </r>
  <r>
    <x v="345"/>
    <x v="14"/>
    <x v="3163"/>
    <x v="1"/>
    <x v="1"/>
    <x v="11"/>
    <x v="0"/>
    <x v="0"/>
    <x v="2"/>
  </r>
  <r>
    <x v="345"/>
    <x v="15"/>
    <x v="3382"/>
    <x v="1"/>
    <x v="1"/>
    <x v="11"/>
    <x v="0"/>
    <x v="0"/>
    <x v="2"/>
  </r>
  <r>
    <x v="345"/>
    <x v="16"/>
    <x v="3663"/>
    <x v="1"/>
    <x v="1"/>
    <x v="11"/>
    <x v="0"/>
    <x v="0"/>
    <x v="0"/>
  </r>
  <r>
    <x v="345"/>
    <x v="17"/>
    <x v="3874"/>
    <x v="1"/>
    <x v="1"/>
    <x v="11"/>
    <x v="0"/>
    <x v="0"/>
    <x v="0"/>
  </r>
  <r>
    <x v="345"/>
    <x v="18"/>
    <x v="4055"/>
    <x v="1"/>
    <x v="1"/>
    <x v="11"/>
    <x v="0"/>
    <x v="0"/>
    <x v="0"/>
  </r>
  <r>
    <x v="345"/>
    <x v="19"/>
    <x v="4090"/>
    <x v="1"/>
    <x v="1"/>
    <x v="11"/>
    <x v="0"/>
    <x v="0"/>
    <x v="0"/>
  </r>
  <r>
    <x v="345"/>
    <x v="20"/>
    <x v="3970"/>
    <x v="1"/>
    <x v="1"/>
    <x v="11"/>
    <x v="0"/>
    <x v="0"/>
    <x v="1"/>
  </r>
  <r>
    <x v="345"/>
    <x v="21"/>
    <x v="3963"/>
    <x v="1"/>
    <x v="1"/>
    <x v="11"/>
    <x v="0"/>
    <x v="0"/>
    <x v="1"/>
  </r>
  <r>
    <x v="345"/>
    <x v="22"/>
    <x v="4116"/>
    <x v="1"/>
    <x v="1"/>
    <x v="11"/>
    <x v="0"/>
    <x v="0"/>
    <x v="1"/>
  </r>
  <r>
    <x v="345"/>
    <x v="23"/>
    <x v="4147"/>
    <x v="1"/>
    <x v="1"/>
    <x v="11"/>
    <x v="0"/>
    <x v="0"/>
    <x v="1"/>
  </r>
  <r>
    <x v="346"/>
    <x v="0"/>
    <x v="4024"/>
    <x v="1"/>
    <x v="1"/>
    <x v="11"/>
    <x v="2"/>
    <x v="1"/>
    <x v="4"/>
  </r>
  <r>
    <x v="346"/>
    <x v="1"/>
    <x v="3422"/>
    <x v="1"/>
    <x v="1"/>
    <x v="11"/>
    <x v="2"/>
    <x v="1"/>
    <x v="4"/>
  </r>
  <r>
    <x v="346"/>
    <x v="2"/>
    <x v="2669"/>
    <x v="1"/>
    <x v="1"/>
    <x v="11"/>
    <x v="2"/>
    <x v="1"/>
    <x v="4"/>
  </r>
  <r>
    <x v="346"/>
    <x v="3"/>
    <x v="2012"/>
    <x v="1"/>
    <x v="1"/>
    <x v="11"/>
    <x v="2"/>
    <x v="1"/>
    <x v="4"/>
  </r>
  <r>
    <x v="346"/>
    <x v="4"/>
    <x v="1593"/>
    <x v="1"/>
    <x v="1"/>
    <x v="11"/>
    <x v="2"/>
    <x v="1"/>
    <x v="4"/>
  </r>
  <r>
    <x v="346"/>
    <x v="5"/>
    <x v="1016"/>
    <x v="1"/>
    <x v="1"/>
    <x v="11"/>
    <x v="2"/>
    <x v="1"/>
    <x v="4"/>
  </r>
  <r>
    <x v="346"/>
    <x v="6"/>
    <x v="1164"/>
    <x v="1"/>
    <x v="1"/>
    <x v="11"/>
    <x v="2"/>
    <x v="1"/>
    <x v="3"/>
  </r>
  <r>
    <x v="346"/>
    <x v="7"/>
    <x v="1440"/>
    <x v="1"/>
    <x v="1"/>
    <x v="11"/>
    <x v="2"/>
    <x v="1"/>
    <x v="3"/>
  </r>
  <r>
    <x v="346"/>
    <x v="8"/>
    <x v="1892"/>
    <x v="1"/>
    <x v="1"/>
    <x v="11"/>
    <x v="2"/>
    <x v="1"/>
    <x v="3"/>
  </r>
  <r>
    <x v="346"/>
    <x v="9"/>
    <x v="2260"/>
    <x v="1"/>
    <x v="1"/>
    <x v="11"/>
    <x v="2"/>
    <x v="1"/>
    <x v="3"/>
  </r>
  <r>
    <x v="346"/>
    <x v="10"/>
    <x v="2693"/>
    <x v="1"/>
    <x v="1"/>
    <x v="11"/>
    <x v="2"/>
    <x v="1"/>
    <x v="2"/>
  </r>
  <r>
    <x v="346"/>
    <x v="11"/>
    <x v="2993"/>
    <x v="1"/>
    <x v="1"/>
    <x v="11"/>
    <x v="2"/>
    <x v="1"/>
    <x v="2"/>
  </r>
  <r>
    <x v="346"/>
    <x v="12"/>
    <x v="3128"/>
    <x v="1"/>
    <x v="1"/>
    <x v="11"/>
    <x v="2"/>
    <x v="1"/>
    <x v="2"/>
  </r>
  <r>
    <x v="346"/>
    <x v="13"/>
    <x v="3287"/>
    <x v="1"/>
    <x v="1"/>
    <x v="11"/>
    <x v="2"/>
    <x v="1"/>
    <x v="2"/>
  </r>
  <r>
    <x v="346"/>
    <x v="14"/>
    <x v="3328"/>
    <x v="1"/>
    <x v="1"/>
    <x v="11"/>
    <x v="2"/>
    <x v="1"/>
    <x v="2"/>
  </r>
  <r>
    <x v="346"/>
    <x v="15"/>
    <x v="3392"/>
    <x v="1"/>
    <x v="1"/>
    <x v="11"/>
    <x v="2"/>
    <x v="1"/>
    <x v="2"/>
  </r>
  <r>
    <x v="346"/>
    <x v="16"/>
    <x v="3646"/>
    <x v="1"/>
    <x v="1"/>
    <x v="11"/>
    <x v="2"/>
    <x v="1"/>
    <x v="0"/>
  </r>
  <r>
    <x v="346"/>
    <x v="17"/>
    <x v="3829"/>
    <x v="1"/>
    <x v="1"/>
    <x v="11"/>
    <x v="2"/>
    <x v="1"/>
    <x v="0"/>
  </r>
  <r>
    <x v="346"/>
    <x v="18"/>
    <x v="3835"/>
    <x v="1"/>
    <x v="1"/>
    <x v="11"/>
    <x v="2"/>
    <x v="1"/>
    <x v="0"/>
  </r>
  <r>
    <x v="346"/>
    <x v="19"/>
    <x v="3959"/>
    <x v="1"/>
    <x v="1"/>
    <x v="11"/>
    <x v="2"/>
    <x v="1"/>
    <x v="0"/>
  </r>
  <r>
    <x v="346"/>
    <x v="20"/>
    <x v="3741"/>
    <x v="1"/>
    <x v="1"/>
    <x v="11"/>
    <x v="2"/>
    <x v="1"/>
    <x v="1"/>
  </r>
  <r>
    <x v="346"/>
    <x v="21"/>
    <x v="3882"/>
    <x v="1"/>
    <x v="1"/>
    <x v="11"/>
    <x v="2"/>
    <x v="1"/>
    <x v="1"/>
  </r>
  <r>
    <x v="346"/>
    <x v="22"/>
    <x v="4012"/>
    <x v="1"/>
    <x v="1"/>
    <x v="11"/>
    <x v="2"/>
    <x v="1"/>
    <x v="1"/>
  </r>
  <r>
    <x v="346"/>
    <x v="23"/>
    <x v="4126"/>
    <x v="1"/>
    <x v="1"/>
    <x v="11"/>
    <x v="2"/>
    <x v="1"/>
    <x v="1"/>
  </r>
  <r>
    <x v="347"/>
    <x v="0"/>
    <x v="4019"/>
    <x v="1"/>
    <x v="1"/>
    <x v="11"/>
    <x v="3"/>
    <x v="1"/>
    <x v="4"/>
  </r>
  <r>
    <x v="347"/>
    <x v="1"/>
    <x v="3610"/>
    <x v="1"/>
    <x v="1"/>
    <x v="11"/>
    <x v="3"/>
    <x v="1"/>
    <x v="4"/>
  </r>
  <r>
    <x v="347"/>
    <x v="2"/>
    <x v="3005"/>
    <x v="1"/>
    <x v="1"/>
    <x v="11"/>
    <x v="3"/>
    <x v="1"/>
    <x v="4"/>
  </r>
  <r>
    <x v="347"/>
    <x v="3"/>
    <x v="2232"/>
    <x v="1"/>
    <x v="1"/>
    <x v="11"/>
    <x v="3"/>
    <x v="1"/>
    <x v="4"/>
  </r>
  <r>
    <x v="347"/>
    <x v="4"/>
    <x v="1823"/>
    <x v="1"/>
    <x v="1"/>
    <x v="11"/>
    <x v="3"/>
    <x v="1"/>
    <x v="4"/>
  </r>
  <r>
    <x v="347"/>
    <x v="5"/>
    <x v="1065"/>
    <x v="1"/>
    <x v="1"/>
    <x v="11"/>
    <x v="3"/>
    <x v="1"/>
    <x v="4"/>
  </r>
  <r>
    <x v="347"/>
    <x v="6"/>
    <x v="1007"/>
    <x v="1"/>
    <x v="1"/>
    <x v="11"/>
    <x v="3"/>
    <x v="1"/>
    <x v="3"/>
  </r>
  <r>
    <x v="347"/>
    <x v="7"/>
    <x v="1056"/>
    <x v="1"/>
    <x v="1"/>
    <x v="11"/>
    <x v="3"/>
    <x v="1"/>
    <x v="3"/>
  </r>
  <r>
    <x v="347"/>
    <x v="8"/>
    <x v="1524"/>
    <x v="1"/>
    <x v="1"/>
    <x v="11"/>
    <x v="3"/>
    <x v="1"/>
    <x v="3"/>
  </r>
  <r>
    <x v="347"/>
    <x v="9"/>
    <x v="2002"/>
    <x v="1"/>
    <x v="1"/>
    <x v="11"/>
    <x v="3"/>
    <x v="1"/>
    <x v="3"/>
  </r>
  <r>
    <x v="347"/>
    <x v="10"/>
    <x v="2502"/>
    <x v="1"/>
    <x v="1"/>
    <x v="11"/>
    <x v="3"/>
    <x v="1"/>
    <x v="2"/>
  </r>
  <r>
    <x v="347"/>
    <x v="11"/>
    <x v="2808"/>
    <x v="1"/>
    <x v="1"/>
    <x v="11"/>
    <x v="3"/>
    <x v="1"/>
    <x v="2"/>
  </r>
  <r>
    <x v="347"/>
    <x v="12"/>
    <x v="3044"/>
    <x v="1"/>
    <x v="1"/>
    <x v="11"/>
    <x v="3"/>
    <x v="1"/>
    <x v="2"/>
  </r>
  <r>
    <x v="347"/>
    <x v="13"/>
    <x v="2997"/>
    <x v="1"/>
    <x v="1"/>
    <x v="11"/>
    <x v="3"/>
    <x v="1"/>
    <x v="2"/>
  </r>
  <r>
    <x v="347"/>
    <x v="14"/>
    <x v="3139"/>
    <x v="1"/>
    <x v="1"/>
    <x v="11"/>
    <x v="3"/>
    <x v="1"/>
    <x v="2"/>
  </r>
  <r>
    <x v="347"/>
    <x v="15"/>
    <x v="3310"/>
    <x v="1"/>
    <x v="1"/>
    <x v="11"/>
    <x v="3"/>
    <x v="1"/>
    <x v="2"/>
  </r>
  <r>
    <x v="347"/>
    <x v="16"/>
    <x v="3298"/>
    <x v="1"/>
    <x v="1"/>
    <x v="11"/>
    <x v="3"/>
    <x v="1"/>
    <x v="0"/>
  </r>
  <r>
    <x v="347"/>
    <x v="17"/>
    <x v="3374"/>
    <x v="1"/>
    <x v="1"/>
    <x v="11"/>
    <x v="3"/>
    <x v="1"/>
    <x v="0"/>
  </r>
  <r>
    <x v="347"/>
    <x v="18"/>
    <x v="3397"/>
    <x v="1"/>
    <x v="1"/>
    <x v="11"/>
    <x v="3"/>
    <x v="1"/>
    <x v="0"/>
  </r>
  <r>
    <x v="347"/>
    <x v="19"/>
    <x v="3364"/>
    <x v="1"/>
    <x v="1"/>
    <x v="11"/>
    <x v="3"/>
    <x v="1"/>
    <x v="0"/>
  </r>
  <r>
    <x v="347"/>
    <x v="20"/>
    <x v="3140"/>
    <x v="1"/>
    <x v="1"/>
    <x v="11"/>
    <x v="3"/>
    <x v="1"/>
    <x v="1"/>
  </r>
  <r>
    <x v="347"/>
    <x v="21"/>
    <x v="3580"/>
    <x v="1"/>
    <x v="1"/>
    <x v="11"/>
    <x v="3"/>
    <x v="1"/>
    <x v="1"/>
  </r>
  <r>
    <x v="347"/>
    <x v="22"/>
    <x v="3982"/>
    <x v="1"/>
    <x v="1"/>
    <x v="11"/>
    <x v="3"/>
    <x v="1"/>
    <x v="1"/>
  </r>
  <r>
    <x v="347"/>
    <x v="23"/>
    <x v="3923"/>
    <x v="1"/>
    <x v="1"/>
    <x v="11"/>
    <x v="3"/>
    <x v="1"/>
    <x v="1"/>
  </r>
  <r>
    <x v="348"/>
    <x v="0"/>
    <x v="2559"/>
    <x v="1"/>
    <x v="1"/>
    <x v="11"/>
    <x v="1"/>
    <x v="0"/>
    <x v="4"/>
  </r>
  <r>
    <x v="348"/>
    <x v="1"/>
    <x v="1399"/>
    <x v="1"/>
    <x v="1"/>
    <x v="11"/>
    <x v="1"/>
    <x v="0"/>
    <x v="4"/>
  </r>
  <r>
    <x v="348"/>
    <x v="2"/>
    <x v="721"/>
    <x v="1"/>
    <x v="1"/>
    <x v="11"/>
    <x v="1"/>
    <x v="0"/>
    <x v="4"/>
  </r>
  <r>
    <x v="348"/>
    <x v="3"/>
    <x v="501"/>
    <x v="1"/>
    <x v="1"/>
    <x v="11"/>
    <x v="1"/>
    <x v="0"/>
    <x v="4"/>
  </r>
  <r>
    <x v="348"/>
    <x v="4"/>
    <x v="946"/>
    <x v="1"/>
    <x v="1"/>
    <x v="11"/>
    <x v="1"/>
    <x v="0"/>
    <x v="4"/>
  </r>
  <r>
    <x v="348"/>
    <x v="5"/>
    <x v="1489"/>
    <x v="1"/>
    <x v="1"/>
    <x v="11"/>
    <x v="1"/>
    <x v="0"/>
    <x v="4"/>
  </r>
  <r>
    <x v="348"/>
    <x v="6"/>
    <x v="2179"/>
    <x v="1"/>
    <x v="1"/>
    <x v="11"/>
    <x v="1"/>
    <x v="0"/>
    <x v="3"/>
  </r>
  <r>
    <x v="348"/>
    <x v="7"/>
    <x v="2960"/>
    <x v="1"/>
    <x v="1"/>
    <x v="11"/>
    <x v="1"/>
    <x v="0"/>
    <x v="3"/>
  </r>
  <r>
    <x v="348"/>
    <x v="8"/>
    <x v="3561"/>
    <x v="1"/>
    <x v="1"/>
    <x v="11"/>
    <x v="1"/>
    <x v="0"/>
    <x v="3"/>
  </r>
  <r>
    <x v="348"/>
    <x v="9"/>
    <x v="3413"/>
    <x v="1"/>
    <x v="1"/>
    <x v="11"/>
    <x v="1"/>
    <x v="0"/>
    <x v="3"/>
  </r>
  <r>
    <x v="348"/>
    <x v="10"/>
    <x v="2787"/>
    <x v="1"/>
    <x v="1"/>
    <x v="11"/>
    <x v="1"/>
    <x v="0"/>
    <x v="2"/>
  </r>
  <r>
    <x v="348"/>
    <x v="11"/>
    <x v="2625"/>
    <x v="1"/>
    <x v="1"/>
    <x v="11"/>
    <x v="1"/>
    <x v="0"/>
    <x v="2"/>
  </r>
  <r>
    <x v="348"/>
    <x v="12"/>
    <x v="2568"/>
    <x v="1"/>
    <x v="1"/>
    <x v="11"/>
    <x v="1"/>
    <x v="0"/>
    <x v="2"/>
  </r>
  <r>
    <x v="348"/>
    <x v="13"/>
    <x v="2519"/>
    <x v="1"/>
    <x v="1"/>
    <x v="11"/>
    <x v="1"/>
    <x v="0"/>
    <x v="2"/>
  </r>
  <r>
    <x v="348"/>
    <x v="14"/>
    <x v="3122"/>
    <x v="1"/>
    <x v="1"/>
    <x v="11"/>
    <x v="1"/>
    <x v="0"/>
    <x v="2"/>
  </r>
  <r>
    <x v="348"/>
    <x v="15"/>
    <x v="3433"/>
    <x v="1"/>
    <x v="1"/>
    <x v="11"/>
    <x v="1"/>
    <x v="0"/>
    <x v="2"/>
  </r>
  <r>
    <x v="348"/>
    <x v="16"/>
    <x v="3596"/>
    <x v="1"/>
    <x v="1"/>
    <x v="11"/>
    <x v="1"/>
    <x v="0"/>
    <x v="0"/>
  </r>
  <r>
    <x v="348"/>
    <x v="17"/>
    <x v="3716"/>
    <x v="1"/>
    <x v="1"/>
    <x v="11"/>
    <x v="1"/>
    <x v="0"/>
    <x v="0"/>
  </r>
  <r>
    <x v="348"/>
    <x v="18"/>
    <x v="3811"/>
    <x v="1"/>
    <x v="1"/>
    <x v="11"/>
    <x v="1"/>
    <x v="0"/>
    <x v="0"/>
  </r>
  <r>
    <x v="348"/>
    <x v="19"/>
    <x v="3642"/>
    <x v="1"/>
    <x v="1"/>
    <x v="11"/>
    <x v="1"/>
    <x v="0"/>
    <x v="0"/>
  </r>
  <r>
    <x v="348"/>
    <x v="20"/>
    <x v="3479"/>
    <x v="1"/>
    <x v="1"/>
    <x v="11"/>
    <x v="1"/>
    <x v="0"/>
    <x v="1"/>
  </r>
  <r>
    <x v="348"/>
    <x v="21"/>
    <x v="3514"/>
    <x v="1"/>
    <x v="1"/>
    <x v="11"/>
    <x v="1"/>
    <x v="0"/>
    <x v="1"/>
  </r>
  <r>
    <x v="348"/>
    <x v="22"/>
    <x v="3250"/>
    <x v="1"/>
    <x v="1"/>
    <x v="11"/>
    <x v="1"/>
    <x v="0"/>
    <x v="1"/>
  </r>
  <r>
    <x v="348"/>
    <x v="23"/>
    <x v="2798"/>
    <x v="1"/>
    <x v="1"/>
    <x v="11"/>
    <x v="1"/>
    <x v="0"/>
    <x v="1"/>
  </r>
  <r>
    <x v="349"/>
    <x v="0"/>
    <x v="1953"/>
    <x v="1"/>
    <x v="1"/>
    <x v="11"/>
    <x v="5"/>
    <x v="0"/>
    <x v="4"/>
  </r>
  <r>
    <x v="349"/>
    <x v="1"/>
    <x v="1162"/>
    <x v="1"/>
    <x v="1"/>
    <x v="11"/>
    <x v="5"/>
    <x v="0"/>
    <x v="4"/>
  </r>
  <r>
    <x v="349"/>
    <x v="2"/>
    <x v="612"/>
    <x v="1"/>
    <x v="1"/>
    <x v="11"/>
    <x v="5"/>
    <x v="0"/>
    <x v="4"/>
  </r>
  <r>
    <x v="349"/>
    <x v="3"/>
    <x v="414"/>
    <x v="1"/>
    <x v="1"/>
    <x v="11"/>
    <x v="5"/>
    <x v="0"/>
    <x v="4"/>
  </r>
  <r>
    <x v="349"/>
    <x v="4"/>
    <x v="621"/>
    <x v="1"/>
    <x v="1"/>
    <x v="11"/>
    <x v="5"/>
    <x v="0"/>
    <x v="4"/>
  </r>
  <r>
    <x v="349"/>
    <x v="5"/>
    <x v="1127"/>
    <x v="1"/>
    <x v="1"/>
    <x v="11"/>
    <x v="5"/>
    <x v="0"/>
    <x v="4"/>
  </r>
  <r>
    <x v="349"/>
    <x v="6"/>
    <x v="1921"/>
    <x v="1"/>
    <x v="1"/>
    <x v="11"/>
    <x v="5"/>
    <x v="0"/>
    <x v="3"/>
  </r>
  <r>
    <x v="349"/>
    <x v="7"/>
    <x v="2718"/>
    <x v="1"/>
    <x v="1"/>
    <x v="11"/>
    <x v="5"/>
    <x v="0"/>
    <x v="3"/>
  </r>
  <r>
    <x v="349"/>
    <x v="8"/>
    <x v="3445"/>
    <x v="1"/>
    <x v="1"/>
    <x v="11"/>
    <x v="5"/>
    <x v="0"/>
    <x v="3"/>
  </r>
  <r>
    <x v="349"/>
    <x v="9"/>
    <x v="3266"/>
    <x v="1"/>
    <x v="1"/>
    <x v="11"/>
    <x v="5"/>
    <x v="0"/>
    <x v="3"/>
  </r>
  <r>
    <x v="349"/>
    <x v="10"/>
    <x v="2748"/>
    <x v="1"/>
    <x v="1"/>
    <x v="11"/>
    <x v="5"/>
    <x v="0"/>
    <x v="2"/>
  </r>
  <r>
    <x v="349"/>
    <x v="11"/>
    <x v="2587"/>
    <x v="1"/>
    <x v="1"/>
    <x v="11"/>
    <x v="5"/>
    <x v="0"/>
    <x v="2"/>
  </r>
  <r>
    <x v="349"/>
    <x v="12"/>
    <x v="2678"/>
    <x v="1"/>
    <x v="1"/>
    <x v="11"/>
    <x v="5"/>
    <x v="0"/>
    <x v="2"/>
  </r>
  <r>
    <x v="349"/>
    <x v="13"/>
    <x v="2695"/>
    <x v="1"/>
    <x v="1"/>
    <x v="11"/>
    <x v="5"/>
    <x v="0"/>
    <x v="2"/>
  </r>
  <r>
    <x v="349"/>
    <x v="14"/>
    <x v="3130"/>
    <x v="1"/>
    <x v="1"/>
    <x v="11"/>
    <x v="5"/>
    <x v="0"/>
    <x v="2"/>
  </r>
  <r>
    <x v="349"/>
    <x v="15"/>
    <x v="3044"/>
    <x v="1"/>
    <x v="1"/>
    <x v="11"/>
    <x v="5"/>
    <x v="0"/>
    <x v="2"/>
  </r>
  <r>
    <x v="349"/>
    <x v="16"/>
    <x v="3224"/>
    <x v="1"/>
    <x v="1"/>
    <x v="11"/>
    <x v="5"/>
    <x v="0"/>
    <x v="0"/>
  </r>
  <r>
    <x v="349"/>
    <x v="17"/>
    <x v="4082"/>
    <x v="1"/>
    <x v="1"/>
    <x v="11"/>
    <x v="5"/>
    <x v="0"/>
    <x v="0"/>
  </r>
  <r>
    <x v="349"/>
    <x v="18"/>
    <x v="4143"/>
    <x v="1"/>
    <x v="1"/>
    <x v="11"/>
    <x v="5"/>
    <x v="0"/>
    <x v="0"/>
  </r>
  <r>
    <x v="349"/>
    <x v="19"/>
    <x v="3871"/>
    <x v="1"/>
    <x v="1"/>
    <x v="11"/>
    <x v="5"/>
    <x v="0"/>
    <x v="0"/>
  </r>
  <r>
    <x v="349"/>
    <x v="20"/>
    <x v="3759"/>
    <x v="1"/>
    <x v="1"/>
    <x v="11"/>
    <x v="5"/>
    <x v="0"/>
    <x v="1"/>
  </r>
  <r>
    <x v="349"/>
    <x v="21"/>
    <x v="3888"/>
    <x v="1"/>
    <x v="1"/>
    <x v="11"/>
    <x v="5"/>
    <x v="0"/>
    <x v="1"/>
  </r>
  <r>
    <x v="349"/>
    <x v="22"/>
    <x v="3785"/>
    <x v="1"/>
    <x v="1"/>
    <x v="11"/>
    <x v="5"/>
    <x v="0"/>
    <x v="1"/>
  </r>
  <r>
    <x v="349"/>
    <x v="23"/>
    <x v="3301"/>
    <x v="1"/>
    <x v="1"/>
    <x v="11"/>
    <x v="5"/>
    <x v="0"/>
    <x v="1"/>
  </r>
  <r>
    <x v="350"/>
    <x v="0"/>
    <x v="2944"/>
    <x v="1"/>
    <x v="1"/>
    <x v="11"/>
    <x v="6"/>
    <x v="0"/>
    <x v="4"/>
  </r>
  <r>
    <x v="350"/>
    <x v="1"/>
    <x v="1444"/>
    <x v="1"/>
    <x v="1"/>
    <x v="11"/>
    <x v="6"/>
    <x v="0"/>
    <x v="4"/>
  </r>
  <r>
    <x v="350"/>
    <x v="2"/>
    <x v="795"/>
    <x v="1"/>
    <x v="1"/>
    <x v="11"/>
    <x v="6"/>
    <x v="0"/>
    <x v="4"/>
  </r>
  <r>
    <x v="350"/>
    <x v="3"/>
    <x v="509"/>
    <x v="1"/>
    <x v="1"/>
    <x v="11"/>
    <x v="6"/>
    <x v="0"/>
    <x v="4"/>
  </r>
  <r>
    <x v="350"/>
    <x v="4"/>
    <x v="706"/>
    <x v="1"/>
    <x v="1"/>
    <x v="11"/>
    <x v="6"/>
    <x v="0"/>
    <x v="4"/>
  </r>
  <r>
    <x v="350"/>
    <x v="5"/>
    <x v="1107"/>
    <x v="1"/>
    <x v="1"/>
    <x v="11"/>
    <x v="6"/>
    <x v="0"/>
    <x v="4"/>
  </r>
  <r>
    <x v="350"/>
    <x v="6"/>
    <x v="1871"/>
    <x v="1"/>
    <x v="1"/>
    <x v="11"/>
    <x v="6"/>
    <x v="0"/>
    <x v="3"/>
  </r>
  <r>
    <x v="350"/>
    <x v="7"/>
    <x v="2824"/>
    <x v="1"/>
    <x v="1"/>
    <x v="11"/>
    <x v="6"/>
    <x v="0"/>
    <x v="3"/>
  </r>
  <r>
    <x v="350"/>
    <x v="8"/>
    <x v="3387"/>
    <x v="1"/>
    <x v="1"/>
    <x v="11"/>
    <x v="6"/>
    <x v="0"/>
    <x v="3"/>
  </r>
  <r>
    <x v="350"/>
    <x v="9"/>
    <x v="3320"/>
    <x v="1"/>
    <x v="1"/>
    <x v="11"/>
    <x v="6"/>
    <x v="0"/>
    <x v="3"/>
  </r>
  <r>
    <x v="350"/>
    <x v="10"/>
    <x v="2833"/>
    <x v="1"/>
    <x v="1"/>
    <x v="11"/>
    <x v="6"/>
    <x v="0"/>
    <x v="2"/>
  </r>
  <r>
    <x v="350"/>
    <x v="11"/>
    <x v="2677"/>
    <x v="1"/>
    <x v="1"/>
    <x v="11"/>
    <x v="6"/>
    <x v="0"/>
    <x v="2"/>
  </r>
  <r>
    <x v="350"/>
    <x v="12"/>
    <x v="2711"/>
    <x v="1"/>
    <x v="1"/>
    <x v="11"/>
    <x v="6"/>
    <x v="0"/>
    <x v="2"/>
  </r>
  <r>
    <x v="350"/>
    <x v="13"/>
    <x v="2750"/>
    <x v="1"/>
    <x v="1"/>
    <x v="11"/>
    <x v="6"/>
    <x v="0"/>
    <x v="2"/>
  </r>
  <r>
    <x v="350"/>
    <x v="14"/>
    <x v="2909"/>
    <x v="1"/>
    <x v="1"/>
    <x v="11"/>
    <x v="6"/>
    <x v="0"/>
    <x v="2"/>
  </r>
  <r>
    <x v="350"/>
    <x v="15"/>
    <x v="3167"/>
    <x v="1"/>
    <x v="1"/>
    <x v="11"/>
    <x v="6"/>
    <x v="0"/>
    <x v="2"/>
  </r>
  <r>
    <x v="350"/>
    <x v="16"/>
    <x v="3476"/>
    <x v="1"/>
    <x v="1"/>
    <x v="11"/>
    <x v="6"/>
    <x v="0"/>
    <x v="0"/>
  </r>
  <r>
    <x v="350"/>
    <x v="17"/>
    <x v="3765"/>
    <x v="1"/>
    <x v="1"/>
    <x v="11"/>
    <x v="6"/>
    <x v="0"/>
    <x v="0"/>
  </r>
  <r>
    <x v="350"/>
    <x v="18"/>
    <x v="4069"/>
    <x v="1"/>
    <x v="1"/>
    <x v="11"/>
    <x v="6"/>
    <x v="0"/>
    <x v="0"/>
  </r>
  <r>
    <x v="350"/>
    <x v="19"/>
    <x v="4106"/>
    <x v="1"/>
    <x v="1"/>
    <x v="11"/>
    <x v="6"/>
    <x v="0"/>
    <x v="0"/>
  </r>
  <r>
    <x v="350"/>
    <x v="20"/>
    <x v="3898"/>
    <x v="1"/>
    <x v="1"/>
    <x v="11"/>
    <x v="6"/>
    <x v="0"/>
    <x v="1"/>
  </r>
  <r>
    <x v="350"/>
    <x v="21"/>
    <x v="3952"/>
    <x v="1"/>
    <x v="1"/>
    <x v="11"/>
    <x v="6"/>
    <x v="0"/>
    <x v="1"/>
  </r>
  <r>
    <x v="350"/>
    <x v="22"/>
    <x v="3977"/>
    <x v="1"/>
    <x v="1"/>
    <x v="11"/>
    <x v="6"/>
    <x v="0"/>
    <x v="1"/>
  </r>
  <r>
    <x v="350"/>
    <x v="23"/>
    <x v="3662"/>
    <x v="1"/>
    <x v="1"/>
    <x v="11"/>
    <x v="6"/>
    <x v="0"/>
    <x v="1"/>
  </r>
  <r>
    <x v="351"/>
    <x v="0"/>
    <x v="2586"/>
    <x v="1"/>
    <x v="1"/>
    <x v="11"/>
    <x v="4"/>
    <x v="0"/>
    <x v="4"/>
  </r>
  <r>
    <x v="351"/>
    <x v="1"/>
    <x v="1532"/>
    <x v="1"/>
    <x v="1"/>
    <x v="11"/>
    <x v="4"/>
    <x v="0"/>
    <x v="4"/>
  </r>
  <r>
    <x v="351"/>
    <x v="2"/>
    <x v="903"/>
    <x v="1"/>
    <x v="1"/>
    <x v="11"/>
    <x v="4"/>
    <x v="0"/>
    <x v="4"/>
  </r>
  <r>
    <x v="351"/>
    <x v="3"/>
    <x v="636"/>
    <x v="1"/>
    <x v="1"/>
    <x v="11"/>
    <x v="4"/>
    <x v="0"/>
    <x v="4"/>
  </r>
  <r>
    <x v="351"/>
    <x v="4"/>
    <x v="841"/>
    <x v="1"/>
    <x v="1"/>
    <x v="11"/>
    <x v="4"/>
    <x v="0"/>
    <x v="4"/>
  </r>
  <r>
    <x v="351"/>
    <x v="5"/>
    <x v="1254"/>
    <x v="1"/>
    <x v="1"/>
    <x v="11"/>
    <x v="4"/>
    <x v="0"/>
    <x v="4"/>
  </r>
  <r>
    <x v="351"/>
    <x v="6"/>
    <x v="2003"/>
    <x v="1"/>
    <x v="1"/>
    <x v="11"/>
    <x v="4"/>
    <x v="0"/>
    <x v="3"/>
  </r>
  <r>
    <x v="351"/>
    <x v="7"/>
    <x v="2912"/>
    <x v="1"/>
    <x v="1"/>
    <x v="11"/>
    <x v="4"/>
    <x v="0"/>
    <x v="3"/>
  </r>
  <r>
    <x v="351"/>
    <x v="8"/>
    <x v="3578"/>
    <x v="1"/>
    <x v="1"/>
    <x v="11"/>
    <x v="4"/>
    <x v="0"/>
    <x v="3"/>
  </r>
  <r>
    <x v="351"/>
    <x v="9"/>
    <x v="3573"/>
    <x v="1"/>
    <x v="1"/>
    <x v="11"/>
    <x v="4"/>
    <x v="0"/>
    <x v="3"/>
  </r>
  <r>
    <x v="351"/>
    <x v="10"/>
    <x v="3031"/>
    <x v="1"/>
    <x v="1"/>
    <x v="11"/>
    <x v="4"/>
    <x v="0"/>
    <x v="2"/>
  </r>
  <r>
    <x v="351"/>
    <x v="11"/>
    <x v="2924"/>
    <x v="1"/>
    <x v="1"/>
    <x v="11"/>
    <x v="4"/>
    <x v="0"/>
    <x v="2"/>
  </r>
  <r>
    <x v="351"/>
    <x v="12"/>
    <x v="2822"/>
    <x v="1"/>
    <x v="1"/>
    <x v="11"/>
    <x v="4"/>
    <x v="0"/>
    <x v="2"/>
  </r>
  <r>
    <x v="351"/>
    <x v="13"/>
    <x v="2863"/>
    <x v="1"/>
    <x v="1"/>
    <x v="11"/>
    <x v="4"/>
    <x v="0"/>
    <x v="2"/>
  </r>
  <r>
    <x v="351"/>
    <x v="14"/>
    <x v="3059"/>
    <x v="1"/>
    <x v="1"/>
    <x v="11"/>
    <x v="4"/>
    <x v="0"/>
    <x v="2"/>
  </r>
  <r>
    <x v="351"/>
    <x v="15"/>
    <x v="3462"/>
    <x v="1"/>
    <x v="1"/>
    <x v="11"/>
    <x v="4"/>
    <x v="0"/>
    <x v="2"/>
  </r>
  <r>
    <x v="351"/>
    <x v="16"/>
    <x v="3623"/>
    <x v="1"/>
    <x v="1"/>
    <x v="11"/>
    <x v="4"/>
    <x v="0"/>
    <x v="0"/>
  </r>
  <r>
    <x v="351"/>
    <x v="17"/>
    <x v="3876"/>
    <x v="1"/>
    <x v="1"/>
    <x v="11"/>
    <x v="4"/>
    <x v="0"/>
    <x v="0"/>
  </r>
  <r>
    <x v="351"/>
    <x v="18"/>
    <x v="4110"/>
    <x v="1"/>
    <x v="1"/>
    <x v="11"/>
    <x v="4"/>
    <x v="0"/>
    <x v="0"/>
  </r>
  <r>
    <x v="351"/>
    <x v="19"/>
    <x v="4047"/>
    <x v="1"/>
    <x v="1"/>
    <x v="11"/>
    <x v="4"/>
    <x v="0"/>
    <x v="0"/>
  </r>
  <r>
    <x v="351"/>
    <x v="20"/>
    <x v="3946"/>
    <x v="1"/>
    <x v="1"/>
    <x v="11"/>
    <x v="4"/>
    <x v="0"/>
    <x v="1"/>
  </r>
  <r>
    <x v="351"/>
    <x v="21"/>
    <x v="4054"/>
    <x v="1"/>
    <x v="1"/>
    <x v="11"/>
    <x v="4"/>
    <x v="0"/>
    <x v="1"/>
  </r>
  <r>
    <x v="351"/>
    <x v="22"/>
    <x v="4070"/>
    <x v="1"/>
    <x v="1"/>
    <x v="11"/>
    <x v="4"/>
    <x v="0"/>
    <x v="1"/>
  </r>
  <r>
    <x v="351"/>
    <x v="23"/>
    <x v="3926"/>
    <x v="1"/>
    <x v="1"/>
    <x v="11"/>
    <x v="4"/>
    <x v="0"/>
    <x v="1"/>
  </r>
  <r>
    <x v="352"/>
    <x v="0"/>
    <x v="3205"/>
    <x v="1"/>
    <x v="1"/>
    <x v="11"/>
    <x v="0"/>
    <x v="0"/>
    <x v="4"/>
  </r>
  <r>
    <x v="352"/>
    <x v="1"/>
    <x v="2152"/>
    <x v="1"/>
    <x v="1"/>
    <x v="11"/>
    <x v="0"/>
    <x v="0"/>
    <x v="4"/>
  </r>
  <r>
    <x v="352"/>
    <x v="2"/>
    <x v="1252"/>
    <x v="1"/>
    <x v="1"/>
    <x v="11"/>
    <x v="0"/>
    <x v="0"/>
    <x v="4"/>
  </r>
  <r>
    <x v="352"/>
    <x v="3"/>
    <x v="895"/>
    <x v="1"/>
    <x v="1"/>
    <x v="11"/>
    <x v="0"/>
    <x v="0"/>
    <x v="4"/>
  </r>
  <r>
    <x v="352"/>
    <x v="4"/>
    <x v="1068"/>
    <x v="1"/>
    <x v="1"/>
    <x v="11"/>
    <x v="0"/>
    <x v="0"/>
    <x v="4"/>
  </r>
  <r>
    <x v="352"/>
    <x v="5"/>
    <x v="1334"/>
    <x v="1"/>
    <x v="1"/>
    <x v="11"/>
    <x v="0"/>
    <x v="0"/>
    <x v="4"/>
  </r>
  <r>
    <x v="352"/>
    <x v="6"/>
    <x v="1983"/>
    <x v="1"/>
    <x v="1"/>
    <x v="11"/>
    <x v="0"/>
    <x v="0"/>
    <x v="3"/>
  </r>
  <r>
    <x v="352"/>
    <x v="7"/>
    <x v="2702"/>
    <x v="1"/>
    <x v="1"/>
    <x v="11"/>
    <x v="0"/>
    <x v="0"/>
    <x v="3"/>
  </r>
  <r>
    <x v="352"/>
    <x v="8"/>
    <x v="3377"/>
    <x v="1"/>
    <x v="1"/>
    <x v="11"/>
    <x v="0"/>
    <x v="0"/>
    <x v="3"/>
  </r>
  <r>
    <x v="352"/>
    <x v="9"/>
    <x v="3417"/>
    <x v="1"/>
    <x v="1"/>
    <x v="11"/>
    <x v="0"/>
    <x v="0"/>
    <x v="3"/>
  </r>
  <r>
    <x v="352"/>
    <x v="10"/>
    <x v="2954"/>
    <x v="1"/>
    <x v="1"/>
    <x v="11"/>
    <x v="0"/>
    <x v="0"/>
    <x v="2"/>
  </r>
  <r>
    <x v="352"/>
    <x v="11"/>
    <x v="2826"/>
    <x v="1"/>
    <x v="1"/>
    <x v="11"/>
    <x v="0"/>
    <x v="0"/>
    <x v="2"/>
  </r>
  <r>
    <x v="352"/>
    <x v="12"/>
    <x v="2921"/>
    <x v="1"/>
    <x v="1"/>
    <x v="11"/>
    <x v="0"/>
    <x v="0"/>
    <x v="2"/>
  </r>
  <r>
    <x v="352"/>
    <x v="13"/>
    <x v="2957"/>
    <x v="1"/>
    <x v="1"/>
    <x v="11"/>
    <x v="0"/>
    <x v="0"/>
    <x v="2"/>
  </r>
  <r>
    <x v="352"/>
    <x v="14"/>
    <x v="3251"/>
    <x v="1"/>
    <x v="1"/>
    <x v="11"/>
    <x v="0"/>
    <x v="0"/>
    <x v="2"/>
  </r>
  <r>
    <x v="352"/>
    <x v="15"/>
    <x v="3501"/>
    <x v="1"/>
    <x v="1"/>
    <x v="11"/>
    <x v="0"/>
    <x v="0"/>
    <x v="2"/>
  </r>
  <r>
    <x v="352"/>
    <x v="16"/>
    <x v="3632"/>
    <x v="1"/>
    <x v="1"/>
    <x v="11"/>
    <x v="0"/>
    <x v="0"/>
    <x v="0"/>
  </r>
  <r>
    <x v="352"/>
    <x v="17"/>
    <x v="3840"/>
    <x v="1"/>
    <x v="1"/>
    <x v="11"/>
    <x v="0"/>
    <x v="0"/>
    <x v="0"/>
  </r>
  <r>
    <x v="352"/>
    <x v="18"/>
    <x v="3974"/>
    <x v="1"/>
    <x v="1"/>
    <x v="11"/>
    <x v="0"/>
    <x v="0"/>
    <x v="0"/>
  </r>
  <r>
    <x v="352"/>
    <x v="19"/>
    <x v="3975"/>
    <x v="1"/>
    <x v="1"/>
    <x v="11"/>
    <x v="0"/>
    <x v="0"/>
    <x v="0"/>
  </r>
  <r>
    <x v="352"/>
    <x v="20"/>
    <x v="3884"/>
    <x v="1"/>
    <x v="1"/>
    <x v="11"/>
    <x v="0"/>
    <x v="0"/>
    <x v="1"/>
  </r>
  <r>
    <x v="352"/>
    <x v="21"/>
    <x v="3936"/>
    <x v="1"/>
    <x v="1"/>
    <x v="11"/>
    <x v="0"/>
    <x v="0"/>
    <x v="1"/>
  </r>
  <r>
    <x v="352"/>
    <x v="22"/>
    <x v="4114"/>
    <x v="1"/>
    <x v="1"/>
    <x v="11"/>
    <x v="0"/>
    <x v="0"/>
    <x v="1"/>
  </r>
  <r>
    <x v="352"/>
    <x v="23"/>
    <x v="4167"/>
    <x v="1"/>
    <x v="1"/>
    <x v="11"/>
    <x v="0"/>
    <x v="0"/>
    <x v="1"/>
  </r>
  <r>
    <x v="353"/>
    <x v="0"/>
    <x v="4048"/>
    <x v="1"/>
    <x v="1"/>
    <x v="11"/>
    <x v="2"/>
    <x v="1"/>
    <x v="4"/>
  </r>
  <r>
    <x v="353"/>
    <x v="1"/>
    <x v="3606"/>
    <x v="1"/>
    <x v="1"/>
    <x v="11"/>
    <x v="2"/>
    <x v="1"/>
    <x v="4"/>
  </r>
  <r>
    <x v="353"/>
    <x v="2"/>
    <x v="2955"/>
    <x v="1"/>
    <x v="1"/>
    <x v="11"/>
    <x v="2"/>
    <x v="1"/>
    <x v="4"/>
  </r>
  <r>
    <x v="353"/>
    <x v="3"/>
    <x v="2353"/>
    <x v="1"/>
    <x v="1"/>
    <x v="11"/>
    <x v="2"/>
    <x v="1"/>
    <x v="4"/>
  </r>
  <r>
    <x v="353"/>
    <x v="4"/>
    <x v="1838"/>
    <x v="1"/>
    <x v="1"/>
    <x v="11"/>
    <x v="2"/>
    <x v="1"/>
    <x v="4"/>
  </r>
  <r>
    <x v="353"/>
    <x v="5"/>
    <x v="1094"/>
    <x v="1"/>
    <x v="1"/>
    <x v="11"/>
    <x v="2"/>
    <x v="1"/>
    <x v="4"/>
  </r>
  <r>
    <x v="353"/>
    <x v="6"/>
    <x v="1115"/>
    <x v="1"/>
    <x v="1"/>
    <x v="11"/>
    <x v="2"/>
    <x v="1"/>
    <x v="3"/>
  </r>
  <r>
    <x v="353"/>
    <x v="7"/>
    <x v="1404"/>
    <x v="1"/>
    <x v="1"/>
    <x v="11"/>
    <x v="2"/>
    <x v="1"/>
    <x v="3"/>
  </r>
  <r>
    <x v="353"/>
    <x v="8"/>
    <x v="1858"/>
    <x v="1"/>
    <x v="1"/>
    <x v="11"/>
    <x v="2"/>
    <x v="1"/>
    <x v="3"/>
  </r>
  <r>
    <x v="353"/>
    <x v="9"/>
    <x v="2315"/>
    <x v="1"/>
    <x v="1"/>
    <x v="11"/>
    <x v="2"/>
    <x v="1"/>
    <x v="3"/>
  </r>
  <r>
    <x v="353"/>
    <x v="10"/>
    <x v="2750"/>
    <x v="1"/>
    <x v="1"/>
    <x v="11"/>
    <x v="2"/>
    <x v="1"/>
    <x v="2"/>
  </r>
  <r>
    <x v="353"/>
    <x v="11"/>
    <x v="3098"/>
    <x v="1"/>
    <x v="1"/>
    <x v="11"/>
    <x v="2"/>
    <x v="1"/>
    <x v="2"/>
  </r>
  <r>
    <x v="353"/>
    <x v="12"/>
    <x v="3330"/>
    <x v="1"/>
    <x v="1"/>
    <x v="11"/>
    <x v="2"/>
    <x v="1"/>
    <x v="2"/>
  </r>
  <r>
    <x v="353"/>
    <x v="13"/>
    <x v="3350"/>
    <x v="1"/>
    <x v="1"/>
    <x v="11"/>
    <x v="2"/>
    <x v="1"/>
    <x v="2"/>
  </r>
  <r>
    <x v="353"/>
    <x v="14"/>
    <x v="3188"/>
    <x v="1"/>
    <x v="1"/>
    <x v="11"/>
    <x v="2"/>
    <x v="1"/>
    <x v="2"/>
  </r>
  <r>
    <x v="353"/>
    <x v="15"/>
    <x v="3275"/>
    <x v="1"/>
    <x v="1"/>
    <x v="11"/>
    <x v="2"/>
    <x v="1"/>
    <x v="2"/>
  </r>
  <r>
    <x v="353"/>
    <x v="16"/>
    <x v="3698"/>
    <x v="1"/>
    <x v="1"/>
    <x v="11"/>
    <x v="2"/>
    <x v="1"/>
    <x v="0"/>
  </r>
  <r>
    <x v="353"/>
    <x v="17"/>
    <x v="3872"/>
    <x v="1"/>
    <x v="1"/>
    <x v="11"/>
    <x v="2"/>
    <x v="1"/>
    <x v="0"/>
  </r>
  <r>
    <x v="353"/>
    <x v="18"/>
    <x v="3794"/>
    <x v="1"/>
    <x v="1"/>
    <x v="11"/>
    <x v="2"/>
    <x v="1"/>
    <x v="0"/>
  </r>
  <r>
    <x v="353"/>
    <x v="19"/>
    <x v="3930"/>
    <x v="1"/>
    <x v="1"/>
    <x v="11"/>
    <x v="2"/>
    <x v="1"/>
    <x v="0"/>
  </r>
  <r>
    <x v="353"/>
    <x v="20"/>
    <x v="3662"/>
    <x v="1"/>
    <x v="1"/>
    <x v="11"/>
    <x v="2"/>
    <x v="1"/>
    <x v="1"/>
  </r>
  <r>
    <x v="353"/>
    <x v="21"/>
    <x v="3708"/>
    <x v="1"/>
    <x v="1"/>
    <x v="11"/>
    <x v="2"/>
    <x v="1"/>
    <x v="1"/>
  </r>
  <r>
    <x v="353"/>
    <x v="22"/>
    <x v="3875"/>
    <x v="1"/>
    <x v="1"/>
    <x v="11"/>
    <x v="2"/>
    <x v="1"/>
    <x v="1"/>
  </r>
  <r>
    <x v="353"/>
    <x v="23"/>
    <x v="4071"/>
    <x v="1"/>
    <x v="1"/>
    <x v="11"/>
    <x v="2"/>
    <x v="1"/>
    <x v="1"/>
  </r>
  <r>
    <x v="354"/>
    <x v="0"/>
    <x v="3919"/>
    <x v="1"/>
    <x v="1"/>
    <x v="11"/>
    <x v="3"/>
    <x v="1"/>
    <x v="4"/>
  </r>
  <r>
    <x v="354"/>
    <x v="1"/>
    <x v="3691"/>
    <x v="1"/>
    <x v="1"/>
    <x v="11"/>
    <x v="3"/>
    <x v="1"/>
    <x v="4"/>
  </r>
  <r>
    <x v="354"/>
    <x v="2"/>
    <x v="3406"/>
    <x v="1"/>
    <x v="1"/>
    <x v="11"/>
    <x v="3"/>
    <x v="1"/>
    <x v="4"/>
  </r>
  <r>
    <x v="354"/>
    <x v="3"/>
    <x v="2600"/>
    <x v="1"/>
    <x v="1"/>
    <x v="11"/>
    <x v="3"/>
    <x v="1"/>
    <x v="4"/>
  </r>
  <r>
    <x v="354"/>
    <x v="4"/>
    <x v="2125"/>
    <x v="1"/>
    <x v="1"/>
    <x v="11"/>
    <x v="3"/>
    <x v="1"/>
    <x v="4"/>
  </r>
  <r>
    <x v="354"/>
    <x v="5"/>
    <x v="1221"/>
    <x v="1"/>
    <x v="1"/>
    <x v="11"/>
    <x v="3"/>
    <x v="1"/>
    <x v="4"/>
  </r>
  <r>
    <x v="354"/>
    <x v="6"/>
    <x v="972"/>
    <x v="1"/>
    <x v="1"/>
    <x v="11"/>
    <x v="3"/>
    <x v="1"/>
    <x v="3"/>
  </r>
  <r>
    <x v="354"/>
    <x v="7"/>
    <x v="1103"/>
    <x v="1"/>
    <x v="1"/>
    <x v="11"/>
    <x v="3"/>
    <x v="1"/>
    <x v="3"/>
  </r>
  <r>
    <x v="354"/>
    <x v="8"/>
    <x v="1539"/>
    <x v="1"/>
    <x v="1"/>
    <x v="11"/>
    <x v="3"/>
    <x v="1"/>
    <x v="3"/>
  </r>
  <r>
    <x v="354"/>
    <x v="9"/>
    <x v="2087"/>
    <x v="1"/>
    <x v="1"/>
    <x v="11"/>
    <x v="3"/>
    <x v="1"/>
    <x v="3"/>
  </r>
  <r>
    <x v="354"/>
    <x v="10"/>
    <x v="2590"/>
    <x v="1"/>
    <x v="1"/>
    <x v="11"/>
    <x v="3"/>
    <x v="1"/>
    <x v="2"/>
  </r>
  <r>
    <x v="354"/>
    <x v="11"/>
    <x v="3067"/>
    <x v="1"/>
    <x v="1"/>
    <x v="11"/>
    <x v="3"/>
    <x v="1"/>
    <x v="2"/>
  </r>
  <r>
    <x v="354"/>
    <x v="12"/>
    <x v="3157"/>
    <x v="1"/>
    <x v="1"/>
    <x v="11"/>
    <x v="3"/>
    <x v="1"/>
    <x v="2"/>
  </r>
  <r>
    <x v="354"/>
    <x v="13"/>
    <x v="3143"/>
    <x v="1"/>
    <x v="1"/>
    <x v="11"/>
    <x v="3"/>
    <x v="1"/>
    <x v="2"/>
  </r>
  <r>
    <x v="354"/>
    <x v="14"/>
    <x v="3253"/>
    <x v="1"/>
    <x v="1"/>
    <x v="11"/>
    <x v="3"/>
    <x v="1"/>
    <x v="2"/>
  </r>
  <r>
    <x v="354"/>
    <x v="15"/>
    <x v="3279"/>
    <x v="1"/>
    <x v="1"/>
    <x v="11"/>
    <x v="3"/>
    <x v="1"/>
    <x v="2"/>
  </r>
  <r>
    <x v="354"/>
    <x v="16"/>
    <x v="3341"/>
    <x v="1"/>
    <x v="1"/>
    <x v="11"/>
    <x v="3"/>
    <x v="1"/>
    <x v="0"/>
  </r>
  <r>
    <x v="354"/>
    <x v="17"/>
    <x v="3508"/>
    <x v="1"/>
    <x v="1"/>
    <x v="11"/>
    <x v="3"/>
    <x v="1"/>
    <x v="0"/>
  </r>
  <r>
    <x v="354"/>
    <x v="18"/>
    <x v="3627"/>
    <x v="1"/>
    <x v="1"/>
    <x v="11"/>
    <x v="3"/>
    <x v="1"/>
    <x v="0"/>
  </r>
  <r>
    <x v="354"/>
    <x v="19"/>
    <x v="3206"/>
    <x v="1"/>
    <x v="1"/>
    <x v="11"/>
    <x v="3"/>
    <x v="1"/>
    <x v="0"/>
  </r>
  <r>
    <x v="354"/>
    <x v="20"/>
    <x v="2983"/>
    <x v="1"/>
    <x v="1"/>
    <x v="11"/>
    <x v="3"/>
    <x v="1"/>
    <x v="1"/>
  </r>
  <r>
    <x v="354"/>
    <x v="21"/>
    <x v="3263"/>
    <x v="1"/>
    <x v="1"/>
    <x v="11"/>
    <x v="3"/>
    <x v="1"/>
    <x v="1"/>
  </r>
  <r>
    <x v="354"/>
    <x v="22"/>
    <x v="3355"/>
    <x v="1"/>
    <x v="1"/>
    <x v="11"/>
    <x v="3"/>
    <x v="1"/>
    <x v="1"/>
  </r>
  <r>
    <x v="354"/>
    <x v="23"/>
    <x v="2905"/>
    <x v="1"/>
    <x v="1"/>
    <x v="11"/>
    <x v="3"/>
    <x v="1"/>
    <x v="1"/>
  </r>
  <r>
    <x v="355"/>
    <x v="0"/>
    <x v="1985"/>
    <x v="1"/>
    <x v="1"/>
    <x v="11"/>
    <x v="1"/>
    <x v="0"/>
    <x v="4"/>
  </r>
  <r>
    <x v="355"/>
    <x v="1"/>
    <x v="1249"/>
    <x v="1"/>
    <x v="1"/>
    <x v="11"/>
    <x v="1"/>
    <x v="0"/>
    <x v="4"/>
  </r>
  <r>
    <x v="355"/>
    <x v="2"/>
    <x v="571"/>
    <x v="1"/>
    <x v="1"/>
    <x v="11"/>
    <x v="1"/>
    <x v="0"/>
    <x v="4"/>
  </r>
  <r>
    <x v="355"/>
    <x v="3"/>
    <x v="477"/>
    <x v="1"/>
    <x v="1"/>
    <x v="11"/>
    <x v="1"/>
    <x v="0"/>
    <x v="4"/>
  </r>
  <r>
    <x v="355"/>
    <x v="4"/>
    <x v="863"/>
    <x v="1"/>
    <x v="1"/>
    <x v="11"/>
    <x v="1"/>
    <x v="0"/>
    <x v="4"/>
  </r>
  <r>
    <x v="355"/>
    <x v="5"/>
    <x v="1442"/>
    <x v="1"/>
    <x v="1"/>
    <x v="11"/>
    <x v="1"/>
    <x v="0"/>
    <x v="4"/>
  </r>
  <r>
    <x v="355"/>
    <x v="6"/>
    <x v="1987"/>
    <x v="1"/>
    <x v="1"/>
    <x v="11"/>
    <x v="1"/>
    <x v="0"/>
    <x v="3"/>
  </r>
  <r>
    <x v="355"/>
    <x v="7"/>
    <x v="2706"/>
    <x v="1"/>
    <x v="1"/>
    <x v="11"/>
    <x v="1"/>
    <x v="0"/>
    <x v="3"/>
  </r>
  <r>
    <x v="355"/>
    <x v="8"/>
    <x v="3221"/>
    <x v="1"/>
    <x v="1"/>
    <x v="11"/>
    <x v="1"/>
    <x v="0"/>
    <x v="3"/>
  </r>
  <r>
    <x v="355"/>
    <x v="9"/>
    <x v="3080"/>
    <x v="1"/>
    <x v="1"/>
    <x v="11"/>
    <x v="1"/>
    <x v="0"/>
    <x v="3"/>
  </r>
  <r>
    <x v="355"/>
    <x v="10"/>
    <x v="2567"/>
    <x v="1"/>
    <x v="1"/>
    <x v="11"/>
    <x v="1"/>
    <x v="0"/>
    <x v="2"/>
  </r>
  <r>
    <x v="355"/>
    <x v="11"/>
    <x v="2475"/>
    <x v="1"/>
    <x v="1"/>
    <x v="11"/>
    <x v="1"/>
    <x v="0"/>
    <x v="2"/>
  </r>
  <r>
    <x v="355"/>
    <x v="12"/>
    <x v="2411"/>
    <x v="1"/>
    <x v="1"/>
    <x v="11"/>
    <x v="1"/>
    <x v="0"/>
    <x v="2"/>
  </r>
  <r>
    <x v="355"/>
    <x v="13"/>
    <x v="2467"/>
    <x v="1"/>
    <x v="1"/>
    <x v="11"/>
    <x v="1"/>
    <x v="0"/>
    <x v="2"/>
  </r>
  <r>
    <x v="355"/>
    <x v="14"/>
    <x v="2651"/>
    <x v="1"/>
    <x v="1"/>
    <x v="11"/>
    <x v="1"/>
    <x v="0"/>
    <x v="2"/>
  </r>
  <r>
    <x v="355"/>
    <x v="15"/>
    <x v="2856"/>
    <x v="1"/>
    <x v="1"/>
    <x v="11"/>
    <x v="1"/>
    <x v="0"/>
    <x v="2"/>
  </r>
  <r>
    <x v="355"/>
    <x v="16"/>
    <x v="3001"/>
    <x v="1"/>
    <x v="1"/>
    <x v="11"/>
    <x v="1"/>
    <x v="0"/>
    <x v="0"/>
  </r>
  <r>
    <x v="355"/>
    <x v="17"/>
    <x v="3248"/>
    <x v="1"/>
    <x v="1"/>
    <x v="11"/>
    <x v="1"/>
    <x v="0"/>
    <x v="0"/>
  </r>
  <r>
    <x v="355"/>
    <x v="18"/>
    <x v="3520"/>
    <x v="1"/>
    <x v="1"/>
    <x v="11"/>
    <x v="1"/>
    <x v="0"/>
    <x v="0"/>
  </r>
  <r>
    <x v="355"/>
    <x v="19"/>
    <x v="3445"/>
    <x v="1"/>
    <x v="1"/>
    <x v="11"/>
    <x v="1"/>
    <x v="0"/>
    <x v="0"/>
  </r>
  <r>
    <x v="355"/>
    <x v="20"/>
    <x v="3256"/>
    <x v="1"/>
    <x v="1"/>
    <x v="11"/>
    <x v="1"/>
    <x v="0"/>
    <x v="1"/>
  </r>
  <r>
    <x v="355"/>
    <x v="21"/>
    <x v="3389"/>
    <x v="1"/>
    <x v="1"/>
    <x v="11"/>
    <x v="1"/>
    <x v="0"/>
    <x v="1"/>
  </r>
  <r>
    <x v="355"/>
    <x v="22"/>
    <x v="3385"/>
    <x v="1"/>
    <x v="1"/>
    <x v="11"/>
    <x v="1"/>
    <x v="0"/>
    <x v="1"/>
  </r>
  <r>
    <x v="355"/>
    <x v="23"/>
    <x v="2846"/>
    <x v="1"/>
    <x v="1"/>
    <x v="11"/>
    <x v="1"/>
    <x v="0"/>
    <x v="1"/>
  </r>
  <r>
    <x v="356"/>
    <x v="0"/>
    <x v="1979"/>
    <x v="1"/>
    <x v="1"/>
    <x v="11"/>
    <x v="5"/>
    <x v="0"/>
    <x v="4"/>
  </r>
  <r>
    <x v="356"/>
    <x v="1"/>
    <x v="1148"/>
    <x v="1"/>
    <x v="1"/>
    <x v="11"/>
    <x v="5"/>
    <x v="0"/>
    <x v="4"/>
  </r>
  <r>
    <x v="356"/>
    <x v="2"/>
    <x v="648"/>
    <x v="1"/>
    <x v="1"/>
    <x v="11"/>
    <x v="5"/>
    <x v="0"/>
    <x v="4"/>
  </r>
  <r>
    <x v="356"/>
    <x v="3"/>
    <x v="473"/>
    <x v="1"/>
    <x v="1"/>
    <x v="11"/>
    <x v="5"/>
    <x v="0"/>
    <x v="4"/>
  </r>
  <r>
    <x v="356"/>
    <x v="4"/>
    <x v="634"/>
    <x v="1"/>
    <x v="1"/>
    <x v="11"/>
    <x v="5"/>
    <x v="0"/>
    <x v="4"/>
  </r>
  <r>
    <x v="356"/>
    <x v="5"/>
    <x v="1153"/>
    <x v="1"/>
    <x v="1"/>
    <x v="11"/>
    <x v="5"/>
    <x v="0"/>
    <x v="4"/>
  </r>
  <r>
    <x v="356"/>
    <x v="6"/>
    <x v="1843"/>
    <x v="1"/>
    <x v="1"/>
    <x v="11"/>
    <x v="5"/>
    <x v="0"/>
    <x v="3"/>
  </r>
  <r>
    <x v="356"/>
    <x v="7"/>
    <x v="2737"/>
    <x v="1"/>
    <x v="1"/>
    <x v="11"/>
    <x v="5"/>
    <x v="0"/>
    <x v="3"/>
  </r>
  <r>
    <x v="356"/>
    <x v="8"/>
    <x v="3444"/>
    <x v="1"/>
    <x v="1"/>
    <x v="11"/>
    <x v="5"/>
    <x v="0"/>
    <x v="3"/>
  </r>
  <r>
    <x v="356"/>
    <x v="9"/>
    <x v="3450"/>
    <x v="1"/>
    <x v="1"/>
    <x v="11"/>
    <x v="5"/>
    <x v="0"/>
    <x v="3"/>
  </r>
  <r>
    <x v="356"/>
    <x v="10"/>
    <x v="2924"/>
    <x v="1"/>
    <x v="1"/>
    <x v="11"/>
    <x v="5"/>
    <x v="0"/>
    <x v="2"/>
  </r>
  <r>
    <x v="356"/>
    <x v="11"/>
    <x v="2801"/>
    <x v="1"/>
    <x v="1"/>
    <x v="11"/>
    <x v="5"/>
    <x v="0"/>
    <x v="2"/>
  </r>
  <r>
    <x v="356"/>
    <x v="12"/>
    <x v="2805"/>
    <x v="1"/>
    <x v="1"/>
    <x v="11"/>
    <x v="5"/>
    <x v="0"/>
    <x v="2"/>
  </r>
  <r>
    <x v="356"/>
    <x v="13"/>
    <x v="2789"/>
    <x v="1"/>
    <x v="1"/>
    <x v="11"/>
    <x v="5"/>
    <x v="0"/>
    <x v="2"/>
  </r>
  <r>
    <x v="356"/>
    <x v="14"/>
    <x v="3026"/>
    <x v="1"/>
    <x v="1"/>
    <x v="11"/>
    <x v="5"/>
    <x v="0"/>
    <x v="2"/>
  </r>
  <r>
    <x v="356"/>
    <x v="15"/>
    <x v="3089"/>
    <x v="1"/>
    <x v="1"/>
    <x v="11"/>
    <x v="5"/>
    <x v="0"/>
    <x v="2"/>
  </r>
  <r>
    <x v="356"/>
    <x v="16"/>
    <x v="3358"/>
    <x v="1"/>
    <x v="1"/>
    <x v="11"/>
    <x v="5"/>
    <x v="0"/>
    <x v="0"/>
  </r>
  <r>
    <x v="356"/>
    <x v="17"/>
    <x v="3757"/>
    <x v="1"/>
    <x v="1"/>
    <x v="11"/>
    <x v="5"/>
    <x v="0"/>
    <x v="0"/>
  </r>
  <r>
    <x v="356"/>
    <x v="18"/>
    <x v="4194"/>
    <x v="1"/>
    <x v="1"/>
    <x v="11"/>
    <x v="5"/>
    <x v="0"/>
    <x v="0"/>
  </r>
  <r>
    <x v="356"/>
    <x v="19"/>
    <x v="4196"/>
    <x v="1"/>
    <x v="1"/>
    <x v="11"/>
    <x v="5"/>
    <x v="0"/>
    <x v="0"/>
  </r>
  <r>
    <x v="356"/>
    <x v="20"/>
    <x v="3938"/>
    <x v="1"/>
    <x v="1"/>
    <x v="11"/>
    <x v="5"/>
    <x v="0"/>
    <x v="1"/>
  </r>
  <r>
    <x v="356"/>
    <x v="21"/>
    <x v="3893"/>
    <x v="1"/>
    <x v="1"/>
    <x v="11"/>
    <x v="5"/>
    <x v="0"/>
    <x v="1"/>
  </r>
  <r>
    <x v="356"/>
    <x v="22"/>
    <x v="3744"/>
    <x v="1"/>
    <x v="1"/>
    <x v="11"/>
    <x v="5"/>
    <x v="0"/>
    <x v="1"/>
  </r>
  <r>
    <x v="356"/>
    <x v="23"/>
    <x v="3279"/>
    <x v="1"/>
    <x v="1"/>
    <x v="11"/>
    <x v="5"/>
    <x v="0"/>
    <x v="1"/>
  </r>
  <r>
    <x v="357"/>
    <x v="0"/>
    <x v="2353"/>
    <x v="1"/>
    <x v="1"/>
    <x v="11"/>
    <x v="6"/>
    <x v="0"/>
    <x v="4"/>
  </r>
  <r>
    <x v="357"/>
    <x v="1"/>
    <x v="1478"/>
    <x v="1"/>
    <x v="1"/>
    <x v="11"/>
    <x v="6"/>
    <x v="0"/>
    <x v="4"/>
  </r>
  <r>
    <x v="357"/>
    <x v="2"/>
    <x v="802"/>
    <x v="1"/>
    <x v="1"/>
    <x v="11"/>
    <x v="6"/>
    <x v="0"/>
    <x v="4"/>
  </r>
  <r>
    <x v="357"/>
    <x v="3"/>
    <x v="564"/>
    <x v="1"/>
    <x v="1"/>
    <x v="11"/>
    <x v="6"/>
    <x v="0"/>
    <x v="4"/>
  </r>
  <r>
    <x v="357"/>
    <x v="4"/>
    <x v="732"/>
    <x v="1"/>
    <x v="1"/>
    <x v="11"/>
    <x v="6"/>
    <x v="0"/>
    <x v="4"/>
  </r>
  <r>
    <x v="357"/>
    <x v="5"/>
    <x v="1152"/>
    <x v="1"/>
    <x v="1"/>
    <x v="11"/>
    <x v="6"/>
    <x v="0"/>
    <x v="4"/>
  </r>
  <r>
    <x v="357"/>
    <x v="6"/>
    <x v="1879"/>
    <x v="1"/>
    <x v="1"/>
    <x v="11"/>
    <x v="6"/>
    <x v="0"/>
    <x v="3"/>
  </r>
  <r>
    <x v="357"/>
    <x v="7"/>
    <x v="2742"/>
    <x v="1"/>
    <x v="1"/>
    <x v="11"/>
    <x v="6"/>
    <x v="0"/>
    <x v="3"/>
  </r>
  <r>
    <x v="357"/>
    <x v="8"/>
    <x v="3412"/>
    <x v="1"/>
    <x v="1"/>
    <x v="11"/>
    <x v="6"/>
    <x v="0"/>
    <x v="3"/>
  </r>
  <r>
    <x v="357"/>
    <x v="9"/>
    <x v="3302"/>
    <x v="1"/>
    <x v="1"/>
    <x v="11"/>
    <x v="6"/>
    <x v="0"/>
    <x v="3"/>
  </r>
  <r>
    <x v="357"/>
    <x v="10"/>
    <x v="2806"/>
    <x v="1"/>
    <x v="1"/>
    <x v="11"/>
    <x v="6"/>
    <x v="0"/>
    <x v="2"/>
  </r>
  <r>
    <x v="357"/>
    <x v="11"/>
    <x v="2690"/>
    <x v="1"/>
    <x v="1"/>
    <x v="11"/>
    <x v="6"/>
    <x v="0"/>
    <x v="2"/>
  </r>
  <r>
    <x v="357"/>
    <x v="12"/>
    <x v="2698"/>
    <x v="1"/>
    <x v="1"/>
    <x v="11"/>
    <x v="6"/>
    <x v="0"/>
    <x v="2"/>
  </r>
  <r>
    <x v="357"/>
    <x v="13"/>
    <x v="2722"/>
    <x v="1"/>
    <x v="1"/>
    <x v="11"/>
    <x v="6"/>
    <x v="0"/>
    <x v="2"/>
  </r>
  <r>
    <x v="357"/>
    <x v="14"/>
    <x v="2951"/>
    <x v="1"/>
    <x v="1"/>
    <x v="11"/>
    <x v="6"/>
    <x v="0"/>
    <x v="2"/>
  </r>
  <r>
    <x v="357"/>
    <x v="15"/>
    <x v="3139"/>
    <x v="1"/>
    <x v="1"/>
    <x v="11"/>
    <x v="6"/>
    <x v="0"/>
    <x v="2"/>
  </r>
  <r>
    <x v="357"/>
    <x v="16"/>
    <x v="3420"/>
    <x v="1"/>
    <x v="1"/>
    <x v="11"/>
    <x v="6"/>
    <x v="0"/>
    <x v="0"/>
  </r>
  <r>
    <x v="357"/>
    <x v="17"/>
    <x v="3685"/>
    <x v="1"/>
    <x v="1"/>
    <x v="11"/>
    <x v="6"/>
    <x v="0"/>
    <x v="0"/>
  </r>
  <r>
    <x v="357"/>
    <x v="18"/>
    <x v="3975"/>
    <x v="1"/>
    <x v="1"/>
    <x v="11"/>
    <x v="6"/>
    <x v="0"/>
    <x v="0"/>
  </r>
  <r>
    <x v="357"/>
    <x v="19"/>
    <x v="3943"/>
    <x v="1"/>
    <x v="1"/>
    <x v="11"/>
    <x v="6"/>
    <x v="0"/>
    <x v="0"/>
  </r>
  <r>
    <x v="357"/>
    <x v="20"/>
    <x v="3781"/>
    <x v="1"/>
    <x v="1"/>
    <x v="11"/>
    <x v="6"/>
    <x v="0"/>
    <x v="1"/>
  </r>
  <r>
    <x v="357"/>
    <x v="21"/>
    <x v="3976"/>
    <x v="1"/>
    <x v="1"/>
    <x v="11"/>
    <x v="6"/>
    <x v="0"/>
    <x v="1"/>
  </r>
  <r>
    <x v="357"/>
    <x v="22"/>
    <x v="3998"/>
    <x v="1"/>
    <x v="1"/>
    <x v="11"/>
    <x v="6"/>
    <x v="0"/>
    <x v="1"/>
  </r>
  <r>
    <x v="357"/>
    <x v="23"/>
    <x v="3797"/>
    <x v="1"/>
    <x v="1"/>
    <x v="11"/>
    <x v="6"/>
    <x v="0"/>
    <x v="1"/>
  </r>
  <r>
    <x v="358"/>
    <x v="0"/>
    <x v="2780"/>
    <x v="1"/>
    <x v="1"/>
    <x v="11"/>
    <x v="4"/>
    <x v="0"/>
    <x v="4"/>
  </r>
  <r>
    <x v="358"/>
    <x v="1"/>
    <x v="1616"/>
    <x v="1"/>
    <x v="1"/>
    <x v="11"/>
    <x v="4"/>
    <x v="0"/>
    <x v="4"/>
  </r>
  <r>
    <x v="358"/>
    <x v="2"/>
    <x v="1007"/>
    <x v="1"/>
    <x v="1"/>
    <x v="11"/>
    <x v="4"/>
    <x v="0"/>
    <x v="4"/>
  </r>
  <r>
    <x v="358"/>
    <x v="3"/>
    <x v="687"/>
    <x v="1"/>
    <x v="1"/>
    <x v="11"/>
    <x v="4"/>
    <x v="0"/>
    <x v="4"/>
  </r>
  <r>
    <x v="358"/>
    <x v="4"/>
    <x v="780"/>
    <x v="1"/>
    <x v="1"/>
    <x v="11"/>
    <x v="4"/>
    <x v="0"/>
    <x v="4"/>
  </r>
  <r>
    <x v="358"/>
    <x v="5"/>
    <x v="1244"/>
    <x v="1"/>
    <x v="1"/>
    <x v="11"/>
    <x v="4"/>
    <x v="0"/>
    <x v="4"/>
  </r>
  <r>
    <x v="358"/>
    <x v="6"/>
    <x v="1970"/>
    <x v="1"/>
    <x v="1"/>
    <x v="11"/>
    <x v="4"/>
    <x v="0"/>
    <x v="3"/>
  </r>
  <r>
    <x v="358"/>
    <x v="7"/>
    <x v="2831"/>
    <x v="1"/>
    <x v="1"/>
    <x v="11"/>
    <x v="4"/>
    <x v="0"/>
    <x v="3"/>
  </r>
  <r>
    <x v="358"/>
    <x v="8"/>
    <x v="3479"/>
    <x v="1"/>
    <x v="1"/>
    <x v="11"/>
    <x v="4"/>
    <x v="0"/>
    <x v="3"/>
  </r>
  <r>
    <x v="358"/>
    <x v="9"/>
    <x v="3369"/>
    <x v="1"/>
    <x v="1"/>
    <x v="11"/>
    <x v="4"/>
    <x v="0"/>
    <x v="3"/>
  </r>
  <r>
    <x v="358"/>
    <x v="10"/>
    <x v="2834"/>
    <x v="1"/>
    <x v="1"/>
    <x v="11"/>
    <x v="4"/>
    <x v="0"/>
    <x v="2"/>
  </r>
  <r>
    <x v="358"/>
    <x v="11"/>
    <x v="2781"/>
    <x v="1"/>
    <x v="1"/>
    <x v="11"/>
    <x v="4"/>
    <x v="0"/>
    <x v="2"/>
  </r>
  <r>
    <x v="358"/>
    <x v="12"/>
    <x v="2785"/>
    <x v="1"/>
    <x v="1"/>
    <x v="11"/>
    <x v="4"/>
    <x v="0"/>
    <x v="2"/>
  </r>
  <r>
    <x v="358"/>
    <x v="13"/>
    <x v="2806"/>
    <x v="1"/>
    <x v="1"/>
    <x v="11"/>
    <x v="4"/>
    <x v="0"/>
    <x v="2"/>
  </r>
  <r>
    <x v="358"/>
    <x v="14"/>
    <x v="2996"/>
    <x v="1"/>
    <x v="1"/>
    <x v="11"/>
    <x v="4"/>
    <x v="0"/>
    <x v="2"/>
  </r>
  <r>
    <x v="358"/>
    <x v="15"/>
    <x v="3273"/>
    <x v="1"/>
    <x v="1"/>
    <x v="11"/>
    <x v="4"/>
    <x v="0"/>
    <x v="2"/>
  </r>
  <r>
    <x v="358"/>
    <x v="16"/>
    <x v="3528"/>
    <x v="1"/>
    <x v="1"/>
    <x v="11"/>
    <x v="4"/>
    <x v="0"/>
    <x v="0"/>
  </r>
  <r>
    <x v="358"/>
    <x v="17"/>
    <x v="3772"/>
    <x v="1"/>
    <x v="1"/>
    <x v="11"/>
    <x v="4"/>
    <x v="0"/>
    <x v="0"/>
  </r>
  <r>
    <x v="358"/>
    <x v="18"/>
    <x v="4038"/>
    <x v="1"/>
    <x v="1"/>
    <x v="11"/>
    <x v="4"/>
    <x v="0"/>
    <x v="0"/>
  </r>
  <r>
    <x v="358"/>
    <x v="19"/>
    <x v="4096"/>
    <x v="1"/>
    <x v="1"/>
    <x v="11"/>
    <x v="4"/>
    <x v="0"/>
    <x v="0"/>
  </r>
  <r>
    <x v="358"/>
    <x v="20"/>
    <x v="4062"/>
    <x v="1"/>
    <x v="1"/>
    <x v="11"/>
    <x v="4"/>
    <x v="0"/>
    <x v="1"/>
  </r>
  <r>
    <x v="358"/>
    <x v="21"/>
    <x v="4169"/>
    <x v="1"/>
    <x v="1"/>
    <x v="11"/>
    <x v="4"/>
    <x v="0"/>
    <x v="1"/>
  </r>
  <r>
    <x v="358"/>
    <x v="22"/>
    <x v="4164"/>
    <x v="1"/>
    <x v="1"/>
    <x v="11"/>
    <x v="4"/>
    <x v="0"/>
    <x v="1"/>
  </r>
  <r>
    <x v="358"/>
    <x v="23"/>
    <x v="4085"/>
    <x v="1"/>
    <x v="1"/>
    <x v="11"/>
    <x v="4"/>
    <x v="0"/>
    <x v="1"/>
  </r>
  <r>
    <x v="359"/>
    <x v="0"/>
    <x v="3357"/>
    <x v="1"/>
    <x v="1"/>
    <x v="11"/>
    <x v="0"/>
    <x v="0"/>
    <x v="4"/>
  </r>
  <r>
    <x v="359"/>
    <x v="1"/>
    <x v="2200"/>
    <x v="1"/>
    <x v="1"/>
    <x v="11"/>
    <x v="0"/>
    <x v="0"/>
    <x v="4"/>
  </r>
  <r>
    <x v="359"/>
    <x v="2"/>
    <x v="1395"/>
    <x v="1"/>
    <x v="1"/>
    <x v="11"/>
    <x v="0"/>
    <x v="0"/>
    <x v="4"/>
  </r>
  <r>
    <x v="359"/>
    <x v="3"/>
    <x v="1032"/>
    <x v="1"/>
    <x v="1"/>
    <x v="11"/>
    <x v="0"/>
    <x v="0"/>
    <x v="4"/>
  </r>
  <r>
    <x v="359"/>
    <x v="4"/>
    <x v="1065"/>
    <x v="1"/>
    <x v="1"/>
    <x v="11"/>
    <x v="0"/>
    <x v="0"/>
    <x v="4"/>
  </r>
  <r>
    <x v="359"/>
    <x v="5"/>
    <x v="1371"/>
    <x v="1"/>
    <x v="1"/>
    <x v="11"/>
    <x v="0"/>
    <x v="0"/>
    <x v="4"/>
  </r>
  <r>
    <x v="359"/>
    <x v="6"/>
    <x v="1931"/>
    <x v="1"/>
    <x v="1"/>
    <x v="11"/>
    <x v="0"/>
    <x v="0"/>
    <x v="3"/>
  </r>
  <r>
    <x v="359"/>
    <x v="7"/>
    <x v="2688"/>
    <x v="1"/>
    <x v="1"/>
    <x v="11"/>
    <x v="0"/>
    <x v="0"/>
    <x v="3"/>
  </r>
  <r>
    <x v="359"/>
    <x v="8"/>
    <x v="3356"/>
    <x v="1"/>
    <x v="1"/>
    <x v="11"/>
    <x v="0"/>
    <x v="0"/>
    <x v="3"/>
  </r>
  <r>
    <x v="359"/>
    <x v="9"/>
    <x v="3278"/>
    <x v="1"/>
    <x v="1"/>
    <x v="11"/>
    <x v="0"/>
    <x v="0"/>
    <x v="3"/>
  </r>
  <r>
    <x v="359"/>
    <x v="10"/>
    <x v="2819"/>
    <x v="1"/>
    <x v="1"/>
    <x v="11"/>
    <x v="0"/>
    <x v="0"/>
    <x v="2"/>
  </r>
  <r>
    <x v="359"/>
    <x v="11"/>
    <x v="2772"/>
    <x v="1"/>
    <x v="1"/>
    <x v="11"/>
    <x v="0"/>
    <x v="0"/>
    <x v="2"/>
  </r>
  <r>
    <x v="359"/>
    <x v="12"/>
    <x v="2869"/>
    <x v="1"/>
    <x v="1"/>
    <x v="11"/>
    <x v="0"/>
    <x v="0"/>
    <x v="2"/>
  </r>
  <r>
    <x v="359"/>
    <x v="13"/>
    <x v="2835"/>
    <x v="1"/>
    <x v="1"/>
    <x v="11"/>
    <x v="0"/>
    <x v="0"/>
    <x v="2"/>
  </r>
  <r>
    <x v="359"/>
    <x v="14"/>
    <x v="3074"/>
    <x v="1"/>
    <x v="1"/>
    <x v="11"/>
    <x v="0"/>
    <x v="0"/>
    <x v="2"/>
  </r>
  <r>
    <x v="359"/>
    <x v="15"/>
    <x v="3265"/>
    <x v="1"/>
    <x v="1"/>
    <x v="11"/>
    <x v="0"/>
    <x v="0"/>
    <x v="2"/>
  </r>
  <r>
    <x v="359"/>
    <x v="16"/>
    <x v="3482"/>
    <x v="1"/>
    <x v="1"/>
    <x v="11"/>
    <x v="0"/>
    <x v="0"/>
    <x v="0"/>
  </r>
  <r>
    <x v="359"/>
    <x v="17"/>
    <x v="3655"/>
    <x v="1"/>
    <x v="1"/>
    <x v="11"/>
    <x v="0"/>
    <x v="0"/>
    <x v="0"/>
  </r>
  <r>
    <x v="359"/>
    <x v="18"/>
    <x v="3896"/>
    <x v="1"/>
    <x v="1"/>
    <x v="11"/>
    <x v="0"/>
    <x v="0"/>
    <x v="0"/>
  </r>
  <r>
    <x v="359"/>
    <x v="19"/>
    <x v="3969"/>
    <x v="1"/>
    <x v="1"/>
    <x v="11"/>
    <x v="0"/>
    <x v="0"/>
    <x v="0"/>
  </r>
  <r>
    <x v="359"/>
    <x v="20"/>
    <x v="3878"/>
    <x v="1"/>
    <x v="1"/>
    <x v="11"/>
    <x v="0"/>
    <x v="0"/>
    <x v="1"/>
  </r>
  <r>
    <x v="359"/>
    <x v="21"/>
    <x v="3922"/>
    <x v="1"/>
    <x v="1"/>
    <x v="11"/>
    <x v="0"/>
    <x v="0"/>
    <x v="1"/>
  </r>
  <r>
    <x v="359"/>
    <x v="22"/>
    <x v="4132"/>
    <x v="1"/>
    <x v="1"/>
    <x v="11"/>
    <x v="0"/>
    <x v="0"/>
    <x v="1"/>
  </r>
  <r>
    <x v="359"/>
    <x v="23"/>
    <x v="4185"/>
    <x v="1"/>
    <x v="1"/>
    <x v="11"/>
    <x v="0"/>
    <x v="0"/>
    <x v="1"/>
  </r>
  <r>
    <x v="360"/>
    <x v="0"/>
    <x v="4170"/>
    <x v="1"/>
    <x v="1"/>
    <x v="11"/>
    <x v="2"/>
    <x v="1"/>
    <x v="4"/>
  </r>
  <r>
    <x v="360"/>
    <x v="1"/>
    <x v="3789"/>
    <x v="1"/>
    <x v="1"/>
    <x v="11"/>
    <x v="2"/>
    <x v="1"/>
    <x v="4"/>
  </r>
  <r>
    <x v="360"/>
    <x v="2"/>
    <x v="3204"/>
    <x v="1"/>
    <x v="1"/>
    <x v="11"/>
    <x v="2"/>
    <x v="1"/>
    <x v="4"/>
  </r>
  <r>
    <x v="360"/>
    <x v="3"/>
    <x v="2700"/>
    <x v="1"/>
    <x v="1"/>
    <x v="11"/>
    <x v="2"/>
    <x v="1"/>
    <x v="4"/>
  </r>
  <r>
    <x v="360"/>
    <x v="4"/>
    <x v="2168"/>
    <x v="1"/>
    <x v="1"/>
    <x v="11"/>
    <x v="2"/>
    <x v="1"/>
    <x v="4"/>
  </r>
  <r>
    <x v="360"/>
    <x v="5"/>
    <x v="1225"/>
    <x v="1"/>
    <x v="1"/>
    <x v="11"/>
    <x v="2"/>
    <x v="1"/>
    <x v="4"/>
  </r>
  <r>
    <x v="360"/>
    <x v="6"/>
    <x v="1222"/>
    <x v="1"/>
    <x v="1"/>
    <x v="11"/>
    <x v="2"/>
    <x v="1"/>
    <x v="3"/>
  </r>
  <r>
    <x v="360"/>
    <x v="7"/>
    <x v="1357"/>
    <x v="1"/>
    <x v="1"/>
    <x v="11"/>
    <x v="2"/>
    <x v="1"/>
    <x v="3"/>
  </r>
  <r>
    <x v="360"/>
    <x v="8"/>
    <x v="1820"/>
    <x v="1"/>
    <x v="1"/>
    <x v="11"/>
    <x v="2"/>
    <x v="1"/>
    <x v="3"/>
  </r>
  <r>
    <x v="360"/>
    <x v="9"/>
    <x v="2236"/>
    <x v="1"/>
    <x v="1"/>
    <x v="11"/>
    <x v="2"/>
    <x v="1"/>
    <x v="3"/>
  </r>
  <r>
    <x v="360"/>
    <x v="10"/>
    <x v="2658"/>
    <x v="1"/>
    <x v="1"/>
    <x v="11"/>
    <x v="2"/>
    <x v="1"/>
    <x v="2"/>
  </r>
  <r>
    <x v="360"/>
    <x v="11"/>
    <x v="2957"/>
    <x v="1"/>
    <x v="1"/>
    <x v="11"/>
    <x v="2"/>
    <x v="1"/>
    <x v="2"/>
  </r>
  <r>
    <x v="360"/>
    <x v="12"/>
    <x v="3272"/>
    <x v="1"/>
    <x v="1"/>
    <x v="11"/>
    <x v="2"/>
    <x v="1"/>
    <x v="2"/>
  </r>
  <r>
    <x v="360"/>
    <x v="13"/>
    <x v="3296"/>
    <x v="1"/>
    <x v="1"/>
    <x v="11"/>
    <x v="2"/>
    <x v="1"/>
    <x v="2"/>
  </r>
  <r>
    <x v="360"/>
    <x v="14"/>
    <x v="3343"/>
    <x v="1"/>
    <x v="1"/>
    <x v="11"/>
    <x v="2"/>
    <x v="1"/>
    <x v="2"/>
  </r>
  <r>
    <x v="360"/>
    <x v="15"/>
    <x v="3941"/>
    <x v="1"/>
    <x v="1"/>
    <x v="11"/>
    <x v="2"/>
    <x v="1"/>
    <x v="2"/>
  </r>
  <r>
    <x v="360"/>
    <x v="16"/>
    <x v="4179"/>
    <x v="1"/>
    <x v="1"/>
    <x v="11"/>
    <x v="2"/>
    <x v="1"/>
    <x v="0"/>
  </r>
  <r>
    <x v="360"/>
    <x v="17"/>
    <x v="4199"/>
    <x v="1"/>
    <x v="1"/>
    <x v="11"/>
    <x v="2"/>
    <x v="1"/>
    <x v="0"/>
  </r>
  <r>
    <x v="360"/>
    <x v="18"/>
    <x v="4203"/>
    <x v="1"/>
    <x v="1"/>
    <x v="11"/>
    <x v="2"/>
    <x v="1"/>
    <x v="0"/>
  </r>
  <r>
    <x v="360"/>
    <x v="19"/>
    <x v="4207"/>
    <x v="1"/>
    <x v="1"/>
    <x v="11"/>
    <x v="2"/>
    <x v="1"/>
    <x v="0"/>
  </r>
  <r>
    <x v="360"/>
    <x v="20"/>
    <x v="4206"/>
    <x v="1"/>
    <x v="1"/>
    <x v="11"/>
    <x v="2"/>
    <x v="1"/>
    <x v="1"/>
  </r>
  <r>
    <x v="360"/>
    <x v="21"/>
    <x v="4210"/>
    <x v="1"/>
    <x v="1"/>
    <x v="11"/>
    <x v="2"/>
    <x v="1"/>
    <x v="1"/>
  </r>
  <r>
    <x v="360"/>
    <x v="22"/>
    <x v="4211"/>
    <x v="1"/>
    <x v="1"/>
    <x v="11"/>
    <x v="2"/>
    <x v="1"/>
    <x v="1"/>
  </r>
  <r>
    <x v="360"/>
    <x v="23"/>
    <x v="4209"/>
    <x v="1"/>
    <x v="1"/>
    <x v="11"/>
    <x v="2"/>
    <x v="1"/>
    <x v="1"/>
  </r>
  <r>
    <x v="361"/>
    <x v="0"/>
    <x v="4201"/>
    <x v="1"/>
    <x v="1"/>
    <x v="11"/>
    <x v="3"/>
    <x v="1"/>
    <x v="4"/>
  </r>
  <r>
    <x v="361"/>
    <x v="1"/>
    <x v="4034"/>
    <x v="1"/>
    <x v="1"/>
    <x v="11"/>
    <x v="3"/>
    <x v="1"/>
    <x v="4"/>
  </r>
  <r>
    <x v="361"/>
    <x v="2"/>
    <x v="3408"/>
    <x v="1"/>
    <x v="1"/>
    <x v="11"/>
    <x v="3"/>
    <x v="1"/>
    <x v="4"/>
  </r>
  <r>
    <x v="361"/>
    <x v="3"/>
    <x v="2821"/>
    <x v="1"/>
    <x v="1"/>
    <x v="11"/>
    <x v="3"/>
    <x v="1"/>
    <x v="4"/>
  </r>
  <r>
    <x v="361"/>
    <x v="4"/>
    <x v="1984"/>
    <x v="1"/>
    <x v="1"/>
    <x v="11"/>
    <x v="3"/>
    <x v="1"/>
    <x v="4"/>
  </r>
  <r>
    <x v="361"/>
    <x v="5"/>
    <x v="1125"/>
    <x v="1"/>
    <x v="1"/>
    <x v="11"/>
    <x v="3"/>
    <x v="1"/>
    <x v="4"/>
  </r>
  <r>
    <x v="361"/>
    <x v="6"/>
    <x v="1006"/>
    <x v="1"/>
    <x v="1"/>
    <x v="11"/>
    <x v="3"/>
    <x v="1"/>
    <x v="3"/>
  </r>
  <r>
    <x v="361"/>
    <x v="7"/>
    <x v="1147"/>
    <x v="1"/>
    <x v="1"/>
    <x v="11"/>
    <x v="3"/>
    <x v="1"/>
    <x v="3"/>
  </r>
  <r>
    <x v="361"/>
    <x v="8"/>
    <x v="1616"/>
    <x v="1"/>
    <x v="1"/>
    <x v="11"/>
    <x v="3"/>
    <x v="1"/>
    <x v="3"/>
  </r>
  <r>
    <x v="361"/>
    <x v="9"/>
    <x v="2105"/>
    <x v="1"/>
    <x v="1"/>
    <x v="11"/>
    <x v="3"/>
    <x v="1"/>
    <x v="3"/>
  </r>
  <r>
    <x v="361"/>
    <x v="10"/>
    <x v="2733"/>
    <x v="1"/>
    <x v="1"/>
    <x v="11"/>
    <x v="3"/>
    <x v="1"/>
    <x v="2"/>
  </r>
  <r>
    <x v="361"/>
    <x v="11"/>
    <x v="3065"/>
    <x v="1"/>
    <x v="1"/>
    <x v="11"/>
    <x v="3"/>
    <x v="1"/>
    <x v="2"/>
  </r>
  <r>
    <x v="361"/>
    <x v="12"/>
    <x v="3233"/>
    <x v="1"/>
    <x v="1"/>
    <x v="11"/>
    <x v="3"/>
    <x v="1"/>
    <x v="2"/>
  </r>
  <r>
    <x v="361"/>
    <x v="13"/>
    <x v="3203"/>
    <x v="1"/>
    <x v="1"/>
    <x v="11"/>
    <x v="3"/>
    <x v="1"/>
    <x v="2"/>
  </r>
  <r>
    <x v="361"/>
    <x v="14"/>
    <x v="3175"/>
    <x v="1"/>
    <x v="1"/>
    <x v="11"/>
    <x v="3"/>
    <x v="1"/>
    <x v="2"/>
  </r>
  <r>
    <x v="361"/>
    <x v="15"/>
    <x v="3091"/>
    <x v="1"/>
    <x v="1"/>
    <x v="11"/>
    <x v="3"/>
    <x v="1"/>
    <x v="2"/>
  </r>
  <r>
    <x v="361"/>
    <x v="16"/>
    <x v="3223"/>
    <x v="1"/>
    <x v="1"/>
    <x v="11"/>
    <x v="3"/>
    <x v="1"/>
    <x v="0"/>
  </r>
  <r>
    <x v="361"/>
    <x v="17"/>
    <x v="3333"/>
    <x v="1"/>
    <x v="1"/>
    <x v="11"/>
    <x v="3"/>
    <x v="1"/>
    <x v="0"/>
  </r>
  <r>
    <x v="361"/>
    <x v="18"/>
    <x v="3280"/>
    <x v="1"/>
    <x v="1"/>
    <x v="11"/>
    <x v="3"/>
    <x v="1"/>
    <x v="0"/>
  </r>
  <r>
    <x v="361"/>
    <x v="19"/>
    <x v="3226"/>
    <x v="1"/>
    <x v="1"/>
    <x v="11"/>
    <x v="3"/>
    <x v="1"/>
    <x v="0"/>
  </r>
  <r>
    <x v="361"/>
    <x v="20"/>
    <x v="3087"/>
    <x v="1"/>
    <x v="1"/>
    <x v="11"/>
    <x v="3"/>
    <x v="1"/>
    <x v="1"/>
  </r>
  <r>
    <x v="361"/>
    <x v="21"/>
    <x v="3321"/>
    <x v="1"/>
    <x v="1"/>
    <x v="11"/>
    <x v="3"/>
    <x v="1"/>
    <x v="1"/>
  </r>
  <r>
    <x v="361"/>
    <x v="22"/>
    <x v="3448"/>
    <x v="1"/>
    <x v="1"/>
    <x v="11"/>
    <x v="3"/>
    <x v="1"/>
    <x v="1"/>
  </r>
  <r>
    <x v="361"/>
    <x v="23"/>
    <x v="3184"/>
    <x v="1"/>
    <x v="1"/>
    <x v="11"/>
    <x v="3"/>
    <x v="1"/>
    <x v="1"/>
  </r>
  <r>
    <x v="362"/>
    <x v="0"/>
    <x v="2201"/>
    <x v="1"/>
    <x v="1"/>
    <x v="11"/>
    <x v="1"/>
    <x v="0"/>
    <x v="4"/>
  </r>
  <r>
    <x v="362"/>
    <x v="1"/>
    <x v="1360"/>
    <x v="1"/>
    <x v="1"/>
    <x v="11"/>
    <x v="1"/>
    <x v="0"/>
    <x v="4"/>
  </r>
  <r>
    <x v="362"/>
    <x v="2"/>
    <x v="857"/>
    <x v="1"/>
    <x v="1"/>
    <x v="11"/>
    <x v="1"/>
    <x v="0"/>
    <x v="4"/>
  </r>
  <r>
    <x v="362"/>
    <x v="3"/>
    <x v="621"/>
    <x v="1"/>
    <x v="1"/>
    <x v="11"/>
    <x v="1"/>
    <x v="0"/>
    <x v="4"/>
  </r>
  <r>
    <x v="362"/>
    <x v="4"/>
    <x v="996"/>
    <x v="1"/>
    <x v="1"/>
    <x v="11"/>
    <x v="1"/>
    <x v="0"/>
    <x v="4"/>
  </r>
  <r>
    <x v="362"/>
    <x v="5"/>
    <x v="1485"/>
    <x v="1"/>
    <x v="1"/>
    <x v="11"/>
    <x v="1"/>
    <x v="0"/>
    <x v="4"/>
  </r>
  <r>
    <x v="362"/>
    <x v="6"/>
    <x v="2020"/>
    <x v="1"/>
    <x v="1"/>
    <x v="11"/>
    <x v="1"/>
    <x v="0"/>
    <x v="3"/>
  </r>
  <r>
    <x v="362"/>
    <x v="7"/>
    <x v="2555"/>
    <x v="1"/>
    <x v="1"/>
    <x v="11"/>
    <x v="1"/>
    <x v="0"/>
    <x v="3"/>
  </r>
  <r>
    <x v="362"/>
    <x v="8"/>
    <x v="3134"/>
    <x v="1"/>
    <x v="1"/>
    <x v="11"/>
    <x v="1"/>
    <x v="0"/>
    <x v="3"/>
  </r>
  <r>
    <x v="362"/>
    <x v="9"/>
    <x v="3137"/>
    <x v="1"/>
    <x v="1"/>
    <x v="11"/>
    <x v="1"/>
    <x v="0"/>
    <x v="3"/>
  </r>
  <r>
    <x v="362"/>
    <x v="10"/>
    <x v="2583"/>
    <x v="1"/>
    <x v="1"/>
    <x v="11"/>
    <x v="1"/>
    <x v="0"/>
    <x v="2"/>
  </r>
  <r>
    <x v="362"/>
    <x v="11"/>
    <x v="2394"/>
    <x v="1"/>
    <x v="1"/>
    <x v="11"/>
    <x v="1"/>
    <x v="0"/>
    <x v="2"/>
  </r>
  <r>
    <x v="362"/>
    <x v="12"/>
    <x v="2385"/>
    <x v="1"/>
    <x v="1"/>
    <x v="11"/>
    <x v="1"/>
    <x v="0"/>
    <x v="2"/>
  </r>
  <r>
    <x v="362"/>
    <x v="13"/>
    <x v="2280"/>
    <x v="1"/>
    <x v="1"/>
    <x v="11"/>
    <x v="1"/>
    <x v="0"/>
    <x v="2"/>
  </r>
  <r>
    <x v="362"/>
    <x v="14"/>
    <x v="2465"/>
    <x v="1"/>
    <x v="1"/>
    <x v="11"/>
    <x v="1"/>
    <x v="0"/>
    <x v="2"/>
  </r>
  <r>
    <x v="362"/>
    <x v="15"/>
    <x v="2634"/>
    <x v="1"/>
    <x v="1"/>
    <x v="11"/>
    <x v="1"/>
    <x v="0"/>
    <x v="2"/>
  </r>
  <r>
    <x v="362"/>
    <x v="16"/>
    <x v="2794"/>
    <x v="1"/>
    <x v="1"/>
    <x v="11"/>
    <x v="1"/>
    <x v="0"/>
    <x v="0"/>
  </r>
  <r>
    <x v="362"/>
    <x v="17"/>
    <x v="3214"/>
    <x v="1"/>
    <x v="1"/>
    <x v="11"/>
    <x v="1"/>
    <x v="0"/>
    <x v="0"/>
  </r>
  <r>
    <x v="362"/>
    <x v="18"/>
    <x v="3456"/>
    <x v="1"/>
    <x v="1"/>
    <x v="11"/>
    <x v="1"/>
    <x v="0"/>
    <x v="0"/>
  </r>
  <r>
    <x v="362"/>
    <x v="19"/>
    <x v="3348"/>
    <x v="1"/>
    <x v="1"/>
    <x v="11"/>
    <x v="1"/>
    <x v="0"/>
    <x v="0"/>
  </r>
  <r>
    <x v="362"/>
    <x v="20"/>
    <x v="3255"/>
    <x v="1"/>
    <x v="1"/>
    <x v="11"/>
    <x v="1"/>
    <x v="0"/>
    <x v="1"/>
  </r>
  <r>
    <x v="362"/>
    <x v="21"/>
    <x v="3366"/>
    <x v="1"/>
    <x v="1"/>
    <x v="11"/>
    <x v="1"/>
    <x v="0"/>
    <x v="1"/>
  </r>
  <r>
    <x v="362"/>
    <x v="22"/>
    <x v="3346"/>
    <x v="1"/>
    <x v="1"/>
    <x v="11"/>
    <x v="1"/>
    <x v="0"/>
    <x v="1"/>
  </r>
  <r>
    <x v="362"/>
    <x v="23"/>
    <x v="2904"/>
    <x v="1"/>
    <x v="1"/>
    <x v="11"/>
    <x v="1"/>
    <x v="0"/>
    <x v="1"/>
  </r>
  <r>
    <x v="363"/>
    <x v="0"/>
    <x v="2000"/>
    <x v="1"/>
    <x v="1"/>
    <x v="11"/>
    <x v="5"/>
    <x v="0"/>
    <x v="4"/>
  </r>
  <r>
    <x v="363"/>
    <x v="1"/>
    <x v="1186"/>
    <x v="1"/>
    <x v="1"/>
    <x v="11"/>
    <x v="5"/>
    <x v="0"/>
    <x v="4"/>
  </r>
  <r>
    <x v="363"/>
    <x v="2"/>
    <x v="683"/>
    <x v="1"/>
    <x v="1"/>
    <x v="11"/>
    <x v="5"/>
    <x v="0"/>
    <x v="4"/>
  </r>
  <r>
    <x v="363"/>
    <x v="3"/>
    <x v="485"/>
    <x v="1"/>
    <x v="1"/>
    <x v="11"/>
    <x v="5"/>
    <x v="0"/>
    <x v="4"/>
  </r>
  <r>
    <x v="363"/>
    <x v="4"/>
    <x v="710"/>
    <x v="1"/>
    <x v="1"/>
    <x v="11"/>
    <x v="5"/>
    <x v="0"/>
    <x v="4"/>
  </r>
  <r>
    <x v="363"/>
    <x v="5"/>
    <x v="1075"/>
    <x v="1"/>
    <x v="1"/>
    <x v="11"/>
    <x v="5"/>
    <x v="0"/>
    <x v="4"/>
  </r>
  <r>
    <x v="363"/>
    <x v="6"/>
    <x v="1738"/>
    <x v="1"/>
    <x v="1"/>
    <x v="11"/>
    <x v="5"/>
    <x v="0"/>
    <x v="3"/>
  </r>
  <r>
    <x v="363"/>
    <x v="7"/>
    <x v="2615"/>
    <x v="1"/>
    <x v="1"/>
    <x v="11"/>
    <x v="5"/>
    <x v="0"/>
    <x v="3"/>
  </r>
  <r>
    <x v="363"/>
    <x v="8"/>
    <x v="3315"/>
    <x v="1"/>
    <x v="1"/>
    <x v="11"/>
    <x v="5"/>
    <x v="0"/>
    <x v="3"/>
  </r>
  <r>
    <x v="363"/>
    <x v="9"/>
    <x v="3191"/>
    <x v="1"/>
    <x v="1"/>
    <x v="11"/>
    <x v="5"/>
    <x v="0"/>
    <x v="3"/>
  </r>
  <r>
    <x v="363"/>
    <x v="10"/>
    <x v="2596"/>
    <x v="1"/>
    <x v="1"/>
    <x v="11"/>
    <x v="5"/>
    <x v="0"/>
    <x v="2"/>
  </r>
  <r>
    <x v="363"/>
    <x v="11"/>
    <x v="2494"/>
    <x v="1"/>
    <x v="1"/>
    <x v="11"/>
    <x v="5"/>
    <x v="0"/>
    <x v="2"/>
  </r>
  <r>
    <x v="363"/>
    <x v="12"/>
    <x v="2533"/>
    <x v="1"/>
    <x v="1"/>
    <x v="11"/>
    <x v="5"/>
    <x v="0"/>
    <x v="2"/>
  </r>
  <r>
    <x v="363"/>
    <x v="13"/>
    <x v="2500"/>
    <x v="1"/>
    <x v="1"/>
    <x v="11"/>
    <x v="5"/>
    <x v="0"/>
    <x v="2"/>
  </r>
  <r>
    <x v="363"/>
    <x v="14"/>
    <x v="2697"/>
    <x v="1"/>
    <x v="1"/>
    <x v="11"/>
    <x v="5"/>
    <x v="0"/>
    <x v="2"/>
  </r>
  <r>
    <x v="363"/>
    <x v="15"/>
    <x v="2839"/>
    <x v="1"/>
    <x v="1"/>
    <x v="11"/>
    <x v="5"/>
    <x v="0"/>
    <x v="2"/>
  </r>
  <r>
    <x v="363"/>
    <x v="16"/>
    <x v="3147"/>
    <x v="1"/>
    <x v="1"/>
    <x v="11"/>
    <x v="5"/>
    <x v="0"/>
    <x v="0"/>
  </r>
  <r>
    <x v="363"/>
    <x v="17"/>
    <x v="3511"/>
    <x v="1"/>
    <x v="1"/>
    <x v="11"/>
    <x v="5"/>
    <x v="0"/>
    <x v="0"/>
  </r>
  <r>
    <x v="363"/>
    <x v="18"/>
    <x v="3819"/>
    <x v="1"/>
    <x v="1"/>
    <x v="11"/>
    <x v="5"/>
    <x v="0"/>
    <x v="0"/>
  </r>
  <r>
    <x v="363"/>
    <x v="19"/>
    <x v="3818"/>
    <x v="1"/>
    <x v="1"/>
    <x v="11"/>
    <x v="5"/>
    <x v="0"/>
    <x v="0"/>
  </r>
  <r>
    <x v="363"/>
    <x v="20"/>
    <x v="3678"/>
    <x v="1"/>
    <x v="1"/>
    <x v="11"/>
    <x v="5"/>
    <x v="0"/>
    <x v="1"/>
  </r>
  <r>
    <x v="363"/>
    <x v="21"/>
    <x v="3854"/>
    <x v="1"/>
    <x v="1"/>
    <x v="11"/>
    <x v="5"/>
    <x v="0"/>
    <x v="1"/>
  </r>
  <r>
    <x v="363"/>
    <x v="22"/>
    <x v="3798"/>
    <x v="1"/>
    <x v="1"/>
    <x v="11"/>
    <x v="5"/>
    <x v="0"/>
    <x v="1"/>
  </r>
  <r>
    <x v="363"/>
    <x v="23"/>
    <x v="3443"/>
    <x v="1"/>
    <x v="1"/>
    <x v="11"/>
    <x v="5"/>
    <x v="0"/>
    <x v="1"/>
  </r>
</pivotCacheRecords>
</file>

<file path=xl/pivotCache/pivotCacheRecords2.xml><?xml version="1.0" encoding="utf-8"?>
<pivotCacheRecords xmlns="http://schemas.openxmlformats.org/spreadsheetml/2006/main" xmlns:r="http://schemas.openxmlformats.org/officeDocument/2006/relationships" count="1562">
  <r>
    <x v="0"/>
    <x v="0"/>
    <x v="10"/>
    <x v="2"/>
    <x v="168"/>
    <x v="0"/>
  </r>
  <r>
    <x v="0"/>
    <x v="2"/>
    <x v="159"/>
    <x v="0"/>
    <x v="0"/>
    <x v="1"/>
  </r>
  <r>
    <x v="0"/>
    <x v="3"/>
    <x v="982"/>
    <x v="3"/>
    <x v="1"/>
    <x v="3"/>
  </r>
  <r>
    <x v="0"/>
    <x v="4"/>
    <x v="2"/>
    <x v="5"/>
    <x v="2"/>
    <x v="5"/>
  </r>
  <r>
    <x v="0"/>
    <x v="5"/>
    <x v="75"/>
    <x v="5"/>
    <x v="3"/>
    <x v="5"/>
  </r>
  <r>
    <x v="0"/>
    <x v="6"/>
    <x v="969"/>
    <x v="4"/>
    <x v="4"/>
    <x v="4"/>
  </r>
  <r>
    <x v="0"/>
    <x v="7"/>
    <x v="33"/>
    <x v="4"/>
    <x v="5"/>
    <x v="4"/>
  </r>
  <r>
    <x v="0"/>
    <x v="8"/>
    <x v="147"/>
    <x v="4"/>
    <x v="6"/>
    <x v="4"/>
  </r>
  <r>
    <x v="0"/>
    <x v="9"/>
    <x v="247"/>
    <x v="4"/>
    <x v="7"/>
    <x v="4"/>
  </r>
  <r>
    <x v="0"/>
    <x v="10"/>
    <x v="177"/>
    <x v="1"/>
    <x v="8"/>
    <x v="2"/>
  </r>
  <r>
    <x v="0"/>
    <x v="11"/>
    <x v="145"/>
    <x v="3"/>
    <x v="9"/>
    <x v="3"/>
  </r>
  <r>
    <x v="0"/>
    <x v="12"/>
    <x v="1044"/>
    <x v="3"/>
    <x v="10"/>
    <x v="3"/>
  </r>
  <r>
    <x v="0"/>
    <x v="13"/>
    <x v="772"/>
    <x v="1"/>
    <x v="11"/>
    <x v="2"/>
  </r>
  <r>
    <x v="0"/>
    <x v="14"/>
    <x v="170"/>
    <x v="4"/>
    <x v="12"/>
    <x v="4"/>
  </r>
  <r>
    <x v="0"/>
    <x v="15"/>
    <x v="386"/>
    <x v="4"/>
    <x v="13"/>
    <x v="4"/>
  </r>
  <r>
    <x v="0"/>
    <x v="16"/>
    <x v="950"/>
    <x v="1"/>
    <x v="14"/>
    <x v="2"/>
  </r>
  <r>
    <x v="0"/>
    <x v="17"/>
    <x v="266"/>
    <x v="0"/>
    <x v="15"/>
    <x v="1"/>
  </r>
  <r>
    <x v="0"/>
    <x v="18"/>
    <x v="140"/>
    <x v="4"/>
    <x v="16"/>
    <x v="4"/>
  </r>
  <r>
    <x v="0"/>
    <x v="19"/>
    <x v="382"/>
    <x v="0"/>
    <x v="17"/>
    <x v="1"/>
  </r>
  <r>
    <x v="0"/>
    <x v="20"/>
    <x v="380"/>
    <x v="1"/>
    <x v="18"/>
    <x v="2"/>
  </r>
  <r>
    <x v="0"/>
    <x v="21"/>
    <x v="448"/>
    <x v="1"/>
    <x v="19"/>
    <x v="2"/>
  </r>
  <r>
    <x v="0"/>
    <x v="22"/>
    <x v="66"/>
    <x v="5"/>
    <x v="20"/>
    <x v="5"/>
  </r>
  <r>
    <x v="0"/>
    <x v="23"/>
    <x v="706"/>
    <x v="3"/>
    <x v="21"/>
    <x v="3"/>
  </r>
  <r>
    <x v="0"/>
    <x v="24"/>
    <x v="917"/>
    <x v="1"/>
    <x v="22"/>
    <x v="2"/>
  </r>
  <r>
    <x v="0"/>
    <x v="25"/>
    <x v="562"/>
    <x v="1"/>
    <x v="23"/>
    <x v="2"/>
  </r>
  <r>
    <x v="0"/>
    <x v="26"/>
    <x v="7"/>
    <x v="4"/>
    <x v="24"/>
    <x v="4"/>
  </r>
  <r>
    <x v="0"/>
    <x v="27"/>
    <x v="449"/>
    <x v="4"/>
    <x v="25"/>
    <x v="4"/>
  </r>
  <r>
    <x v="0"/>
    <x v="28"/>
    <x v="252"/>
    <x v="1"/>
    <x v="26"/>
    <x v="2"/>
  </r>
  <r>
    <x v="0"/>
    <x v="29"/>
    <x v="8"/>
    <x v="4"/>
    <x v="27"/>
    <x v="4"/>
  </r>
  <r>
    <x v="0"/>
    <x v="30"/>
    <x v="112"/>
    <x v="0"/>
    <x v="28"/>
    <x v="1"/>
  </r>
  <r>
    <x v="0"/>
    <x v="31"/>
    <x v="169"/>
    <x v="0"/>
    <x v="29"/>
    <x v="1"/>
  </r>
  <r>
    <x v="0"/>
    <x v="32"/>
    <x v="954"/>
    <x v="1"/>
    <x v="30"/>
    <x v="2"/>
  </r>
  <r>
    <x v="0"/>
    <x v="33"/>
    <x v="479"/>
    <x v="1"/>
    <x v="31"/>
    <x v="2"/>
  </r>
  <r>
    <x v="0"/>
    <x v="34"/>
    <x v="399"/>
    <x v="1"/>
    <x v="32"/>
    <x v="2"/>
  </r>
  <r>
    <x v="0"/>
    <x v="35"/>
    <x v="929"/>
    <x v="1"/>
    <x v="33"/>
    <x v="2"/>
  </r>
  <r>
    <x v="0"/>
    <x v="36"/>
    <x v="996"/>
    <x v="1"/>
    <x v="34"/>
    <x v="2"/>
  </r>
  <r>
    <x v="0"/>
    <x v="37"/>
    <x v="120"/>
    <x v="4"/>
    <x v="35"/>
    <x v="4"/>
  </r>
  <r>
    <x v="0"/>
    <x v="38"/>
    <x v="508"/>
    <x v="1"/>
    <x v="36"/>
    <x v="2"/>
  </r>
  <r>
    <x v="0"/>
    <x v="39"/>
    <x v="823"/>
    <x v="1"/>
    <x v="37"/>
    <x v="2"/>
  </r>
  <r>
    <x v="0"/>
    <x v="40"/>
    <x v="885"/>
    <x v="3"/>
    <x v="38"/>
    <x v="3"/>
  </r>
  <r>
    <x v="0"/>
    <x v="41"/>
    <x v="884"/>
    <x v="3"/>
    <x v="39"/>
    <x v="3"/>
  </r>
  <r>
    <x v="0"/>
    <x v="42"/>
    <x v="811"/>
    <x v="3"/>
    <x v="40"/>
    <x v="3"/>
  </r>
  <r>
    <x v="0"/>
    <x v="43"/>
    <x v="2"/>
    <x v="5"/>
    <x v="41"/>
    <x v="5"/>
  </r>
  <r>
    <x v="0"/>
    <x v="44"/>
    <x v="822"/>
    <x v="3"/>
    <x v="42"/>
    <x v="3"/>
  </r>
  <r>
    <x v="0"/>
    <x v="45"/>
    <x v="19"/>
    <x v="0"/>
    <x v="43"/>
    <x v="1"/>
  </r>
  <r>
    <x v="0"/>
    <x v="46"/>
    <x v="184"/>
    <x v="0"/>
    <x v="44"/>
    <x v="1"/>
  </r>
  <r>
    <x v="0"/>
    <x v="47"/>
    <x v="1168"/>
    <x v="3"/>
    <x v="45"/>
    <x v="3"/>
  </r>
  <r>
    <x v="0"/>
    <x v="48"/>
    <x v="973"/>
    <x v="1"/>
    <x v="46"/>
    <x v="2"/>
  </r>
  <r>
    <x v="0"/>
    <x v="49"/>
    <x v="1071"/>
    <x v="3"/>
    <x v="47"/>
    <x v="3"/>
  </r>
  <r>
    <x v="0"/>
    <x v="50"/>
    <x v="189"/>
    <x v="0"/>
    <x v="48"/>
    <x v="1"/>
  </r>
  <r>
    <x v="0"/>
    <x v="51"/>
    <x v="759"/>
    <x v="1"/>
    <x v="49"/>
    <x v="2"/>
  </r>
  <r>
    <x v="0"/>
    <x v="52"/>
    <x v="177"/>
    <x v="4"/>
    <x v="50"/>
    <x v="4"/>
  </r>
  <r>
    <x v="0"/>
    <x v="53"/>
    <x v="583"/>
    <x v="1"/>
    <x v="51"/>
    <x v="2"/>
  </r>
  <r>
    <x v="0"/>
    <x v="54"/>
    <x v="195"/>
    <x v="1"/>
    <x v="52"/>
    <x v="2"/>
  </r>
  <r>
    <x v="0"/>
    <x v="55"/>
    <x v="355"/>
    <x v="4"/>
    <x v="53"/>
    <x v="4"/>
  </r>
  <r>
    <x v="0"/>
    <x v="56"/>
    <x v="53"/>
    <x v="4"/>
    <x v="53"/>
    <x v="4"/>
  </r>
  <r>
    <x v="0"/>
    <x v="57"/>
    <x v="61"/>
    <x v="0"/>
    <x v="54"/>
    <x v="1"/>
  </r>
  <r>
    <x v="0"/>
    <x v="58"/>
    <x v="9"/>
    <x v="0"/>
    <x v="55"/>
    <x v="1"/>
  </r>
  <r>
    <x v="0"/>
    <x v="59"/>
    <x v="133"/>
    <x v="0"/>
    <x v="56"/>
    <x v="1"/>
  </r>
  <r>
    <x v="0"/>
    <x v="60"/>
    <x v="997"/>
    <x v="1"/>
    <x v="57"/>
    <x v="2"/>
  </r>
  <r>
    <x v="0"/>
    <x v="61"/>
    <x v="712"/>
    <x v="1"/>
    <x v="58"/>
    <x v="2"/>
  </r>
  <r>
    <x v="0"/>
    <x v="62"/>
    <x v="256"/>
    <x v="1"/>
    <x v="59"/>
    <x v="2"/>
  </r>
  <r>
    <x v="0"/>
    <x v="63"/>
    <x v="139"/>
    <x v="4"/>
    <x v="60"/>
    <x v="4"/>
  </r>
  <r>
    <x v="0"/>
    <x v="64"/>
    <x v="838"/>
    <x v="1"/>
    <x v="61"/>
    <x v="2"/>
  </r>
  <r>
    <x v="0"/>
    <x v="65"/>
    <x v="863"/>
    <x v="1"/>
    <x v="62"/>
    <x v="2"/>
  </r>
  <r>
    <x v="0"/>
    <x v="66"/>
    <x v="420"/>
    <x v="1"/>
    <x v="63"/>
    <x v="2"/>
  </r>
  <r>
    <x v="0"/>
    <x v="67"/>
    <x v="1191"/>
    <x v="3"/>
    <x v="64"/>
    <x v="3"/>
  </r>
  <r>
    <x v="0"/>
    <x v="68"/>
    <x v="366"/>
    <x v="0"/>
    <x v="65"/>
    <x v="1"/>
  </r>
  <r>
    <x v="0"/>
    <x v="69"/>
    <x v="397"/>
    <x v="4"/>
    <x v="66"/>
    <x v="4"/>
  </r>
  <r>
    <x v="0"/>
    <x v="70"/>
    <x v="503"/>
    <x v="1"/>
    <x v="67"/>
    <x v="2"/>
  </r>
  <r>
    <x v="0"/>
    <x v="71"/>
    <x v="497"/>
    <x v="1"/>
    <x v="68"/>
    <x v="2"/>
  </r>
  <r>
    <x v="0"/>
    <x v="72"/>
    <x v="187"/>
    <x v="4"/>
    <x v="69"/>
    <x v="4"/>
  </r>
  <r>
    <x v="0"/>
    <x v="73"/>
    <x v="820"/>
    <x v="3"/>
    <x v="70"/>
    <x v="3"/>
  </r>
  <r>
    <x v="0"/>
    <x v="74"/>
    <x v="834"/>
    <x v="3"/>
    <x v="71"/>
    <x v="3"/>
  </r>
  <r>
    <x v="0"/>
    <x v="75"/>
    <x v="507"/>
    <x v="1"/>
    <x v="72"/>
    <x v="2"/>
  </r>
  <r>
    <x v="0"/>
    <x v="76"/>
    <x v="190"/>
    <x v="1"/>
    <x v="73"/>
    <x v="2"/>
  </r>
  <r>
    <x v="0"/>
    <x v="77"/>
    <x v="224"/>
    <x v="0"/>
    <x v="74"/>
    <x v="1"/>
  </r>
  <r>
    <x v="0"/>
    <x v="78"/>
    <x v="1287"/>
    <x v="3"/>
    <x v="75"/>
    <x v="3"/>
  </r>
  <r>
    <x v="0"/>
    <x v="79"/>
    <x v="1013"/>
    <x v="1"/>
    <x v="76"/>
    <x v="2"/>
  </r>
  <r>
    <x v="0"/>
    <x v="80"/>
    <x v="145"/>
    <x v="0"/>
    <x v="77"/>
    <x v="1"/>
  </r>
  <r>
    <x v="0"/>
    <x v="81"/>
    <x v="659"/>
    <x v="4"/>
    <x v="78"/>
    <x v="4"/>
  </r>
  <r>
    <x v="0"/>
    <x v="82"/>
    <x v="391"/>
    <x v="4"/>
    <x v="79"/>
    <x v="4"/>
  </r>
  <r>
    <x v="0"/>
    <x v="83"/>
    <x v="3"/>
    <x v="5"/>
    <x v="80"/>
    <x v="5"/>
  </r>
  <r>
    <x v="0"/>
    <x v="84"/>
    <x v="415"/>
    <x v="1"/>
    <x v="81"/>
    <x v="2"/>
  </r>
  <r>
    <x v="0"/>
    <x v="85"/>
    <x v="57"/>
    <x v="4"/>
    <x v="82"/>
    <x v="4"/>
  </r>
  <r>
    <x v="0"/>
    <x v="86"/>
    <x v="1070"/>
    <x v="3"/>
    <x v="83"/>
    <x v="3"/>
  </r>
  <r>
    <x v="0"/>
    <x v="87"/>
    <x v="860"/>
    <x v="3"/>
    <x v="84"/>
    <x v="3"/>
  </r>
  <r>
    <x v="0"/>
    <x v="88"/>
    <x v="798"/>
    <x v="1"/>
    <x v="85"/>
    <x v="2"/>
  </r>
  <r>
    <x v="0"/>
    <x v="89"/>
    <x v="1145"/>
    <x v="3"/>
    <x v="86"/>
    <x v="3"/>
  </r>
  <r>
    <x v="0"/>
    <x v="90"/>
    <x v="531"/>
    <x v="1"/>
    <x v="87"/>
    <x v="2"/>
  </r>
  <r>
    <x v="0"/>
    <x v="91"/>
    <x v="606"/>
    <x v="4"/>
    <x v="88"/>
    <x v="4"/>
  </r>
  <r>
    <x v="0"/>
    <x v="92"/>
    <x v="134"/>
    <x v="4"/>
    <x v="89"/>
    <x v="4"/>
  </r>
  <r>
    <x v="0"/>
    <x v="93"/>
    <x v="131"/>
    <x v="0"/>
    <x v="90"/>
    <x v="1"/>
  </r>
  <r>
    <x v="0"/>
    <x v="94"/>
    <x v="779"/>
    <x v="4"/>
    <x v="91"/>
    <x v="4"/>
  </r>
  <r>
    <x v="0"/>
    <x v="95"/>
    <x v="34"/>
    <x v="4"/>
    <x v="92"/>
    <x v="4"/>
  </r>
  <r>
    <x v="0"/>
    <x v="96"/>
    <x v="936"/>
    <x v="1"/>
    <x v="93"/>
    <x v="2"/>
  </r>
  <r>
    <x v="0"/>
    <x v="97"/>
    <x v="160"/>
    <x v="4"/>
    <x v="94"/>
    <x v="4"/>
  </r>
  <r>
    <x v="0"/>
    <x v="98"/>
    <x v="2"/>
    <x v="5"/>
    <x v="95"/>
    <x v="5"/>
  </r>
  <r>
    <x v="0"/>
    <x v="99"/>
    <x v="1068"/>
    <x v="3"/>
    <x v="96"/>
    <x v="3"/>
  </r>
  <r>
    <x v="0"/>
    <x v="100"/>
    <x v="110"/>
    <x v="4"/>
    <x v="97"/>
    <x v="4"/>
  </r>
  <r>
    <x v="0"/>
    <x v="101"/>
    <x v="378"/>
    <x v="4"/>
    <x v="98"/>
    <x v="4"/>
  </r>
  <r>
    <x v="0"/>
    <x v="102"/>
    <x v="2"/>
    <x v="3"/>
    <x v="99"/>
    <x v="3"/>
  </r>
  <r>
    <x v="0"/>
    <x v="103"/>
    <x v="800"/>
    <x v="1"/>
    <x v="100"/>
    <x v="2"/>
  </r>
  <r>
    <x v="0"/>
    <x v="104"/>
    <x v="1163"/>
    <x v="3"/>
    <x v="101"/>
    <x v="3"/>
  </r>
  <r>
    <x v="0"/>
    <x v="105"/>
    <x v="162"/>
    <x v="1"/>
    <x v="102"/>
    <x v="2"/>
  </r>
  <r>
    <x v="0"/>
    <x v="106"/>
    <x v="18"/>
    <x v="5"/>
    <x v="103"/>
    <x v="5"/>
  </r>
  <r>
    <x v="0"/>
    <x v="107"/>
    <x v="0"/>
    <x v="5"/>
    <x v="104"/>
    <x v="5"/>
  </r>
  <r>
    <x v="0"/>
    <x v="108"/>
    <x v="24"/>
    <x v="1"/>
    <x v="105"/>
    <x v="2"/>
  </r>
  <r>
    <x v="0"/>
    <x v="109"/>
    <x v="1046"/>
    <x v="1"/>
    <x v="106"/>
    <x v="2"/>
  </r>
  <r>
    <x v="0"/>
    <x v="110"/>
    <x v="1160"/>
    <x v="3"/>
    <x v="107"/>
    <x v="3"/>
  </r>
  <r>
    <x v="0"/>
    <x v="111"/>
    <x v="1133"/>
    <x v="3"/>
    <x v="108"/>
    <x v="3"/>
  </r>
  <r>
    <x v="0"/>
    <x v="112"/>
    <x v="55"/>
    <x v="5"/>
    <x v="109"/>
    <x v="5"/>
  </r>
  <r>
    <x v="0"/>
    <x v="113"/>
    <x v="768"/>
    <x v="3"/>
    <x v="110"/>
    <x v="3"/>
  </r>
  <r>
    <x v="0"/>
    <x v="114"/>
    <x v="45"/>
    <x v="4"/>
    <x v="111"/>
    <x v="4"/>
  </r>
  <r>
    <x v="0"/>
    <x v="115"/>
    <x v="62"/>
    <x v="5"/>
    <x v="112"/>
    <x v="5"/>
  </r>
  <r>
    <x v="0"/>
    <x v="116"/>
    <x v="243"/>
    <x v="0"/>
    <x v="113"/>
    <x v="1"/>
  </r>
  <r>
    <x v="0"/>
    <x v="117"/>
    <x v="35"/>
    <x v="3"/>
    <x v="114"/>
    <x v="3"/>
  </r>
  <r>
    <x v="0"/>
    <x v="118"/>
    <x v="484"/>
    <x v="4"/>
    <x v="115"/>
    <x v="4"/>
  </r>
  <r>
    <x v="0"/>
    <x v="119"/>
    <x v="101"/>
    <x v="4"/>
    <x v="116"/>
    <x v="4"/>
  </r>
  <r>
    <x v="0"/>
    <x v="120"/>
    <x v="577"/>
    <x v="1"/>
    <x v="117"/>
    <x v="2"/>
  </r>
  <r>
    <x v="0"/>
    <x v="121"/>
    <x v="220"/>
    <x v="4"/>
    <x v="118"/>
    <x v="4"/>
  </r>
  <r>
    <x v="0"/>
    <x v="122"/>
    <x v="1036"/>
    <x v="3"/>
    <x v="119"/>
    <x v="3"/>
  </r>
  <r>
    <x v="0"/>
    <x v="123"/>
    <x v="152"/>
    <x v="0"/>
    <x v="120"/>
    <x v="1"/>
  </r>
  <r>
    <x v="0"/>
    <x v="124"/>
    <x v="533"/>
    <x v="3"/>
    <x v="121"/>
    <x v="3"/>
  </r>
  <r>
    <x v="0"/>
    <x v="125"/>
    <x v="93"/>
    <x v="3"/>
    <x v="122"/>
    <x v="3"/>
  </r>
  <r>
    <x v="0"/>
    <x v="126"/>
    <x v="763"/>
    <x v="4"/>
    <x v="123"/>
    <x v="4"/>
  </r>
  <r>
    <x v="0"/>
    <x v="127"/>
    <x v="538"/>
    <x v="4"/>
    <x v="124"/>
    <x v="4"/>
  </r>
  <r>
    <x v="0"/>
    <x v="128"/>
    <x v="281"/>
    <x v="4"/>
    <x v="126"/>
    <x v="4"/>
  </r>
  <r>
    <x v="0"/>
    <x v="129"/>
    <x v="1186"/>
    <x v="4"/>
    <x v="127"/>
    <x v="0"/>
  </r>
  <r>
    <x v="0"/>
    <x v="130"/>
    <x v="542"/>
    <x v="1"/>
    <x v="128"/>
    <x v="2"/>
  </r>
  <r>
    <x v="0"/>
    <x v="131"/>
    <x v="469"/>
    <x v="4"/>
    <x v="129"/>
    <x v="4"/>
  </r>
  <r>
    <x v="0"/>
    <x v="132"/>
    <x v="419"/>
    <x v="4"/>
    <x v="130"/>
    <x v="4"/>
  </r>
  <r>
    <x v="0"/>
    <x v="133"/>
    <x v="181"/>
    <x v="0"/>
    <x v="131"/>
    <x v="1"/>
  </r>
  <r>
    <x v="0"/>
    <x v="134"/>
    <x v="1034"/>
    <x v="3"/>
    <x v="132"/>
    <x v="3"/>
  </r>
  <r>
    <x v="0"/>
    <x v="135"/>
    <x v="1136"/>
    <x v="4"/>
    <x v="133"/>
    <x v="0"/>
  </r>
  <r>
    <x v="0"/>
    <x v="136"/>
    <x v="133"/>
    <x v="4"/>
    <x v="134"/>
    <x v="4"/>
  </r>
  <r>
    <x v="0"/>
    <x v="137"/>
    <x v="1042"/>
    <x v="3"/>
    <x v="135"/>
    <x v="3"/>
  </r>
  <r>
    <x v="0"/>
    <x v="138"/>
    <x v="1137"/>
    <x v="3"/>
    <x v="136"/>
    <x v="3"/>
  </r>
  <r>
    <x v="0"/>
    <x v="139"/>
    <x v="1124"/>
    <x v="3"/>
    <x v="137"/>
    <x v="3"/>
  </r>
  <r>
    <x v="0"/>
    <x v="140"/>
    <x v="1026"/>
    <x v="3"/>
    <x v="138"/>
    <x v="3"/>
  </r>
  <r>
    <x v="0"/>
    <x v="141"/>
    <x v="1176"/>
    <x v="3"/>
    <x v="139"/>
    <x v="3"/>
  </r>
  <r>
    <x v="0"/>
    <x v="142"/>
    <x v="946"/>
    <x v="4"/>
    <x v="140"/>
    <x v="4"/>
  </r>
  <r>
    <x v="0"/>
    <x v="143"/>
    <x v="654"/>
    <x v="4"/>
    <x v="141"/>
    <x v="4"/>
  </r>
  <r>
    <x v="0"/>
    <x v="144"/>
    <x v="129"/>
    <x v="0"/>
    <x v="142"/>
    <x v="1"/>
  </r>
  <r>
    <x v="0"/>
    <x v="145"/>
    <x v="1170"/>
    <x v="3"/>
    <x v="143"/>
    <x v="3"/>
  </r>
  <r>
    <x v="0"/>
    <x v="146"/>
    <x v="381"/>
    <x v="1"/>
    <x v="144"/>
    <x v="2"/>
  </r>
  <r>
    <x v="0"/>
    <x v="147"/>
    <x v="218"/>
    <x v="1"/>
    <x v="145"/>
    <x v="2"/>
  </r>
  <r>
    <x v="0"/>
    <x v="148"/>
    <x v="866"/>
    <x v="3"/>
    <x v="146"/>
    <x v="3"/>
  </r>
  <r>
    <x v="0"/>
    <x v="149"/>
    <x v="648"/>
    <x v="3"/>
    <x v="147"/>
    <x v="3"/>
  </r>
  <r>
    <x v="0"/>
    <x v="150"/>
    <x v="137"/>
    <x v="3"/>
    <x v="148"/>
    <x v="3"/>
  </r>
  <r>
    <x v="0"/>
    <x v="151"/>
    <x v="37"/>
    <x v="1"/>
    <x v="149"/>
    <x v="2"/>
  </r>
  <r>
    <x v="0"/>
    <x v="152"/>
    <x v="387"/>
    <x v="1"/>
    <x v="150"/>
    <x v="2"/>
  </r>
  <r>
    <x v="0"/>
    <x v="153"/>
    <x v="52"/>
    <x v="5"/>
    <x v="151"/>
    <x v="5"/>
  </r>
  <r>
    <x v="0"/>
    <x v="154"/>
    <x v="520"/>
    <x v="4"/>
    <x v="152"/>
    <x v="4"/>
  </r>
  <r>
    <x v="0"/>
    <x v="155"/>
    <x v="1172"/>
    <x v="3"/>
    <x v="153"/>
    <x v="3"/>
  </r>
  <r>
    <x v="0"/>
    <x v="156"/>
    <x v="254"/>
    <x v="0"/>
    <x v="154"/>
    <x v="1"/>
  </r>
  <r>
    <x v="0"/>
    <x v="157"/>
    <x v="442"/>
    <x v="4"/>
    <x v="155"/>
    <x v="4"/>
  </r>
  <r>
    <x v="0"/>
    <x v="158"/>
    <x v="1292"/>
    <x v="3"/>
    <x v="156"/>
    <x v="3"/>
  </r>
  <r>
    <x v="0"/>
    <x v="159"/>
    <x v="1187"/>
    <x v="3"/>
    <x v="157"/>
    <x v="3"/>
  </r>
  <r>
    <x v="0"/>
    <x v="160"/>
    <x v="1194"/>
    <x v="3"/>
    <x v="158"/>
    <x v="3"/>
  </r>
  <r>
    <x v="0"/>
    <x v="161"/>
    <x v="1177"/>
    <x v="3"/>
    <x v="159"/>
    <x v="3"/>
  </r>
  <r>
    <x v="0"/>
    <x v="162"/>
    <x v="580"/>
    <x v="1"/>
    <x v="160"/>
    <x v="2"/>
  </r>
  <r>
    <x v="0"/>
    <x v="163"/>
    <x v="821"/>
    <x v="3"/>
    <x v="161"/>
    <x v="3"/>
  </r>
  <r>
    <x v="0"/>
    <x v="164"/>
    <x v="227"/>
    <x v="0"/>
    <x v="162"/>
    <x v="1"/>
  </r>
  <r>
    <x v="0"/>
    <x v="165"/>
    <x v="459"/>
    <x v="0"/>
    <x v="163"/>
    <x v="1"/>
  </r>
  <r>
    <x v="0"/>
    <x v="166"/>
    <x v="241"/>
    <x v="0"/>
    <x v="164"/>
    <x v="1"/>
  </r>
  <r>
    <x v="0"/>
    <x v="167"/>
    <x v="1205"/>
    <x v="3"/>
    <x v="165"/>
    <x v="3"/>
  </r>
  <r>
    <x v="0"/>
    <x v="168"/>
    <x v="332"/>
    <x v="4"/>
    <x v="166"/>
    <x v="4"/>
  </r>
  <r>
    <x v="0"/>
    <x v="169"/>
    <x v="20"/>
    <x v="5"/>
    <x v="167"/>
    <x v="5"/>
  </r>
  <r>
    <x v="0"/>
    <x v="170"/>
    <x v="194"/>
    <x v="4"/>
    <x v="169"/>
    <x v="4"/>
  </r>
  <r>
    <x v="0"/>
    <x v="171"/>
    <x v="331"/>
    <x v="0"/>
    <x v="170"/>
    <x v="1"/>
  </r>
  <r>
    <x v="0"/>
    <x v="172"/>
    <x v="170"/>
    <x v="4"/>
    <x v="171"/>
    <x v="4"/>
  </r>
  <r>
    <x v="0"/>
    <x v="173"/>
    <x v="23"/>
    <x v="5"/>
    <x v="172"/>
    <x v="5"/>
  </r>
  <r>
    <x v="0"/>
    <x v="174"/>
    <x v="495"/>
    <x v="1"/>
    <x v="173"/>
    <x v="2"/>
  </r>
  <r>
    <x v="0"/>
    <x v="175"/>
    <x v="357"/>
    <x v="1"/>
    <x v="174"/>
    <x v="2"/>
  </r>
  <r>
    <x v="0"/>
    <x v="176"/>
    <x v="744"/>
    <x v="4"/>
    <x v="175"/>
    <x v="4"/>
  </r>
  <r>
    <x v="0"/>
    <x v="177"/>
    <x v="216"/>
    <x v="4"/>
    <x v="176"/>
    <x v="4"/>
  </r>
  <r>
    <x v="0"/>
    <x v="178"/>
    <x v="1087"/>
    <x v="1"/>
    <x v="177"/>
    <x v="2"/>
  </r>
  <r>
    <x v="0"/>
    <x v="179"/>
    <x v="182"/>
    <x v="0"/>
    <x v="178"/>
    <x v="1"/>
  </r>
  <r>
    <x v="0"/>
    <x v="180"/>
    <x v="132"/>
    <x v="0"/>
    <x v="179"/>
    <x v="1"/>
  </r>
  <r>
    <x v="0"/>
    <x v="181"/>
    <x v="17"/>
    <x v="0"/>
    <x v="180"/>
    <x v="1"/>
  </r>
  <r>
    <x v="0"/>
    <x v="182"/>
    <x v="320"/>
    <x v="0"/>
    <x v="181"/>
    <x v="1"/>
  </r>
  <r>
    <x v="0"/>
    <x v="183"/>
    <x v="1112"/>
    <x v="3"/>
    <x v="182"/>
    <x v="3"/>
  </r>
  <r>
    <x v="0"/>
    <x v="184"/>
    <x v="16"/>
    <x v="5"/>
    <x v="183"/>
    <x v="5"/>
  </r>
  <r>
    <x v="0"/>
    <x v="185"/>
    <x v="790"/>
    <x v="1"/>
    <x v="186"/>
    <x v="2"/>
  </r>
  <r>
    <x v="0"/>
    <x v="186"/>
    <x v="880"/>
    <x v="1"/>
    <x v="184"/>
    <x v="2"/>
  </r>
  <r>
    <x v="0"/>
    <x v="187"/>
    <x v="315"/>
    <x v="1"/>
    <x v="185"/>
    <x v="2"/>
  </r>
  <r>
    <x v="0"/>
    <x v="188"/>
    <x v="223"/>
    <x v="4"/>
    <x v="187"/>
    <x v="4"/>
  </r>
  <r>
    <x v="0"/>
    <x v="189"/>
    <x v="260"/>
    <x v="4"/>
    <x v="188"/>
    <x v="4"/>
  </r>
  <r>
    <x v="0"/>
    <x v="190"/>
    <x v="312"/>
    <x v="4"/>
    <x v="189"/>
    <x v="4"/>
  </r>
  <r>
    <x v="0"/>
    <x v="191"/>
    <x v="84"/>
    <x v="3"/>
    <x v="190"/>
    <x v="3"/>
  </r>
  <r>
    <x v="0"/>
    <x v="192"/>
    <x v="710"/>
    <x v="1"/>
    <x v="191"/>
    <x v="2"/>
  </r>
  <r>
    <x v="0"/>
    <x v="193"/>
    <x v="494"/>
    <x v="4"/>
    <x v="192"/>
    <x v="4"/>
  </r>
  <r>
    <x v="0"/>
    <x v="194"/>
    <x v="417"/>
    <x v="4"/>
    <x v="193"/>
    <x v="4"/>
  </r>
  <r>
    <x v="0"/>
    <x v="195"/>
    <x v="702"/>
    <x v="4"/>
    <x v="194"/>
    <x v="4"/>
  </r>
  <r>
    <x v="0"/>
    <x v="196"/>
    <x v="590"/>
    <x v="0"/>
    <x v="195"/>
    <x v="1"/>
  </r>
  <r>
    <x v="0"/>
    <x v="197"/>
    <x v="32"/>
    <x v="4"/>
    <x v="196"/>
    <x v="4"/>
  </r>
  <r>
    <x v="0"/>
    <x v="198"/>
    <x v="215"/>
    <x v="3"/>
    <x v="197"/>
    <x v="3"/>
  </r>
  <r>
    <x v="0"/>
    <x v="199"/>
    <x v="129"/>
    <x v="4"/>
    <x v="198"/>
    <x v="4"/>
  </r>
  <r>
    <x v="0"/>
    <x v="200"/>
    <x v="1"/>
    <x v="5"/>
    <x v="199"/>
    <x v="5"/>
  </r>
  <r>
    <x v="0"/>
    <x v="201"/>
    <x v="198"/>
    <x v="4"/>
    <x v="200"/>
    <x v="4"/>
  </r>
  <r>
    <x v="0"/>
    <x v="202"/>
    <x v="46"/>
    <x v="5"/>
    <x v="201"/>
    <x v="5"/>
  </r>
  <r>
    <x v="0"/>
    <x v="203"/>
    <x v="49"/>
    <x v="4"/>
    <x v="202"/>
    <x v="4"/>
  </r>
  <r>
    <x v="0"/>
    <x v="204"/>
    <x v="226"/>
    <x v="0"/>
    <x v="203"/>
    <x v="1"/>
  </r>
  <r>
    <x v="0"/>
    <x v="205"/>
    <x v="849"/>
    <x v="3"/>
    <x v="204"/>
    <x v="3"/>
  </r>
  <r>
    <x v="0"/>
    <x v="206"/>
    <x v="332"/>
    <x v="1"/>
    <x v="205"/>
    <x v="2"/>
  </r>
  <r>
    <x v="0"/>
    <x v="207"/>
    <x v="1156"/>
    <x v="3"/>
    <x v="206"/>
    <x v="3"/>
  </r>
  <r>
    <x v="0"/>
    <x v="208"/>
    <x v="161"/>
    <x v="0"/>
    <x v="207"/>
    <x v="1"/>
  </r>
  <r>
    <x v="0"/>
    <x v="209"/>
    <x v="249"/>
    <x v="0"/>
    <x v="208"/>
    <x v="1"/>
  </r>
  <r>
    <x v="0"/>
    <x v="210"/>
    <x v="69"/>
    <x v="5"/>
    <x v="209"/>
    <x v="5"/>
  </r>
  <r>
    <x v="0"/>
    <x v="211"/>
    <x v="158"/>
    <x v="4"/>
    <x v="210"/>
    <x v="4"/>
  </r>
  <r>
    <x v="0"/>
    <x v="212"/>
    <x v="410"/>
    <x v="4"/>
    <x v="211"/>
    <x v="4"/>
  </r>
  <r>
    <x v="0"/>
    <x v="213"/>
    <x v="353"/>
    <x v="1"/>
    <x v="212"/>
    <x v="2"/>
  </r>
  <r>
    <x v="0"/>
    <x v="214"/>
    <x v="142"/>
    <x v="4"/>
    <x v="213"/>
    <x v="4"/>
  </r>
  <r>
    <x v="0"/>
    <x v="215"/>
    <x v="166"/>
    <x v="4"/>
    <x v="214"/>
    <x v="4"/>
  </r>
  <r>
    <x v="0"/>
    <x v="216"/>
    <x v="545"/>
    <x v="0"/>
    <x v="215"/>
    <x v="1"/>
  </r>
  <r>
    <x v="0"/>
    <x v="217"/>
    <x v="61"/>
    <x v="5"/>
    <x v="216"/>
    <x v="5"/>
  </r>
  <r>
    <x v="0"/>
    <x v="218"/>
    <x v="126"/>
    <x v="1"/>
    <x v="217"/>
    <x v="2"/>
  </r>
  <r>
    <x v="0"/>
    <x v="219"/>
    <x v="817"/>
    <x v="4"/>
    <x v="218"/>
    <x v="4"/>
  </r>
  <r>
    <x v="0"/>
    <x v="220"/>
    <x v="940"/>
    <x v="3"/>
    <x v="219"/>
    <x v="3"/>
  </r>
  <r>
    <x v="0"/>
    <x v="221"/>
    <x v="868"/>
    <x v="1"/>
    <x v="220"/>
    <x v="2"/>
  </r>
  <r>
    <x v="0"/>
    <x v="222"/>
    <x v="837"/>
    <x v="4"/>
    <x v="221"/>
    <x v="4"/>
  </r>
  <r>
    <x v="0"/>
    <x v="223"/>
    <x v="436"/>
    <x v="1"/>
    <x v="222"/>
    <x v="2"/>
  </r>
  <r>
    <x v="0"/>
    <x v="224"/>
    <x v="761"/>
    <x v="1"/>
    <x v="223"/>
    <x v="2"/>
  </r>
  <r>
    <x v="0"/>
    <x v="225"/>
    <x v="1097"/>
    <x v="3"/>
    <x v="224"/>
    <x v="3"/>
  </r>
  <r>
    <x v="0"/>
    <x v="226"/>
    <x v="1217"/>
    <x v="3"/>
    <x v="225"/>
    <x v="3"/>
  </r>
  <r>
    <x v="0"/>
    <x v="227"/>
    <x v="1290"/>
    <x v="3"/>
    <x v="226"/>
    <x v="3"/>
  </r>
  <r>
    <x v="0"/>
    <x v="228"/>
    <x v="944"/>
    <x v="3"/>
    <x v="227"/>
    <x v="3"/>
  </r>
  <r>
    <x v="0"/>
    <x v="229"/>
    <x v="1058"/>
    <x v="3"/>
    <x v="228"/>
    <x v="3"/>
  </r>
  <r>
    <x v="0"/>
    <x v="230"/>
    <x v="1286"/>
    <x v="3"/>
    <x v="229"/>
    <x v="3"/>
  </r>
  <r>
    <x v="0"/>
    <x v="231"/>
    <x v="261"/>
    <x v="0"/>
    <x v="230"/>
    <x v="1"/>
  </r>
  <r>
    <x v="0"/>
    <x v="232"/>
    <x v="1166"/>
    <x v="3"/>
    <x v="232"/>
    <x v="3"/>
  </r>
  <r>
    <x v="0"/>
    <x v="233"/>
    <x v="1207"/>
    <x v="3"/>
    <x v="233"/>
    <x v="3"/>
  </r>
  <r>
    <x v="0"/>
    <x v="234"/>
    <x v="1051"/>
    <x v="3"/>
    <x v="234"/>
    <x v="3"/>
  </r>
  <r>
    <x v="0"/>
    <x v="235"/>
    <x v="1121"/>
    <x v="3"/>
    <x v="235"/>
    <x v="3"/>
  </r>
  <r>
    <x v="0"/>
    <x v="236"/>
    <x v="81"/>
    <x v="0"/>
    <x v="236"/>
    <x v="1"/>
  </r>
  <r>
    <x v="0"/>
    <x v="237"/>
    <x v="374"/>
    <x v="0"/>
    <x v="237"/>
    <x v="1"/>
  </r>
  <r>
    <x v="0"/>
    <x v="238"/>
    <x v="341"/>
    <x v="0"/>
    <x v="238"/>
    <x v="1"/>
  </r>
  <r>
    <x v="0"/>
    <x v="239"/>
    <x v="756"/>
    <x v="3"/>
    <x v="239"/>
    <x v="3"/>
  </r>
  <r>
    <x v="0"/>
    <x v="240"/>
    <x v="810"/>
    <x v="3"/>
    <x v="240"/>
    <x v="3"/>
  </r>
  <r>
    <x v="0"/>
    <x v="241"/>
    <x v="41"/>
    <x v="5"/>
    <x v="241"/>
    <x v="5"/>
  </r>
  <r>
    <x v="0"/>
    <x v="242"/>
    <x v="1184"/>
    <x v="3"/>
    <x v="242"/>
    <x v="3"/>
  </r>
  <r>
    <x v="0"/>
    <x v="243"/>
    <x v="412"/>
    <x v="0"/>
    <x v="243"/>
    <x v="1"/>
  </r>
  <r>
    <x v="0"/>
    <x v="244"/>
    <x v="151"/>
    <x v="0"/>
    <x v="244"/>
    <x v="1"/>
  </r>
  <r>
    <x v="0"/>
    <x v="245"/>
    <x v="1238"/>
    <x v="3"/>
    <x v="245"/>
    <x v="3"/>
  </r>
  <r>
    <x v="0"/>
    <x v="246"/>
    <x v="206"/>
    <x v="0"/>
    <x v="246"/>
    <x v="1"/>
  </r>
  <r>
    <x v="0"/>
    <x v="247"/>
    <x v="61"/>
    <x v="5"/>
    <x v="247"/>
    <x v="5"/>
  </r>
  <r>
    <x v="0"/>
    <x v="248"/>
    <x v="260"/>
    <x v="4"/>
    <x v="248"/>
    <x v="4"/>
  </r>
  <r>
    <x v="0"/>
    <x v="249"/>
    <x v="13"/>
    <x v="4"/>
    <x v="249"/>
    <x v="4"/>
  </r>
  <r>
    <x v="0"/>
    <x v="250"/>
    <x v="217"/>
    <x v="0"/>
    <x v="250"/>
    <x v="1"/>
  </r>
  <r>
    <x v="0"/>
    <x v="251"/>
    <x v="1127"/>
    <x v="1"/>
    <x v="251"/>
    <x v="2"/>
  </r>
  <r>
    <x v="0"/>
    <x v="252"/>
    <x v="1048"/>
    <x v="1"/>
    <x v="252"/>
    <x v="2"/>
  </r>
  <r>
    <x v="0"/>
    <x v="253"/>
    <x v="698"/>
    <x v="1"/>
    <x v="253"/>
    <x v="2"/>
  </r>
  <r>
    <x v="0"/>
    <x v="254"/>
    <x v="415"/>
    <x v="4"/>
    <x v="254"/>
    <x v="4"/>
  </r>
  <r>
    <x v="0"/>
    <x v="255"/>
    <x v="179"/>
    <x v="0"/>
    <x v="255"/>
    <x v="1"/>
  </r>
  <r>
    <x v="0"/>
    <x v="256"/>
    <x v="641"/>
    <x v="4"/>
    <x v="256"/>
    <x v="4"/>
  </r>
  <r>
    <x v="0"/>
    <x v="257"/>
    <x v="888"/>
    <x v="3"/>
    <x v="257"/>
    <x v="3"/>
  </r>
  <r>
    <x v="0"/>
    <x v="258"/>
    <x v="1018"/>
    <x v="3"/>
    <x v="258"/>
    <x v="3"/>
  </r>
  <r>
    <x v="0"/>
    <x v="259"/>
    <x v="1053"/>
    <x v="3"/>
    <x v="259"/>
    <x v="3"/>
  </r>
  <r>
    <x v="0"/>
    <x v="260"/>
    <x v="2"/>
    <x v="6"/>
    <x v="231"/>
    <x v="6"/>
  </r>
  <r>
    <x v="0"/>
    <x v="261"/>
    <x v="317"/>
    <x v="6"/>
    <x v="231"/>
    <x v="6"/>
  </r>
  <r>
    <x v="1"/>
    <x v="0"/>
    <x v="12"/>
    <x v="2"/>
    <x v="168"/>
    <x v="0"/>
  </r>
  <r>
    <x v="1"/>
    <x v="1"/>
    <x v="0"/>
    <x v="4"/>
    <x v="125"/>
    <x v="4"/>
  </r>
  <r>
    <x v="1"/>
    <x v="2"/>
    <x v="212"/>
    <x v="0"/>
    <x v="0"/>
    <x v="1"/>
  </r>
  <r>
    <x v="1"/>
    <x v="3"/>
    <x v="989"/>
    <x v="3"/>
    <x v="1"/>
    <x v="3"/>
  </r>
  <r>
    <x v="1"/>
    <x v="5"/>
    <x v="67"/>
    <x v="5"/>
    <x v="3"/>
    <x v="5"/>
  </r>
  <r>
    <x v="1"/>
    <x v="6"/>
    <x v="999"/>
    <x v="4"/>
    <x v="4"/>
    <x v="4"/>
  </r>
  <r>
    <x v="1"/>
    <x v="7"/>
    <x v="28"/>
    <x v="4"/>
    <x v="5"/>
    <x v="4"/>
  </r>
  <r>
    <x v="1"/>
    <x v="8"/>
    <x v="182"/>
    <x v="4"/>
    <x v="6"/>
    <x v="4"/>
  </r>
  <r>
    <x v="1"/>
    <x v="9"/>
    <x v="324"/>
    <x v="4"/>
    <x v="7"/>
    <x v="4"/>
  </r>
  <r>
    <x v="1"/>
    <x v="10"/>
    <x v="238"/>
    <x v="1"/>
    <x v="8"/>
    <x v="2"/>
  </r>
  <r>
    <x v="1"/>
    <x v="11"/>
    <x v="125"/>
    <x v="3"/>
    <x v="9"/>
    <x v="3"/>
  </r>
  <r>
    <x v="1"/>
    <x v="12"/>
    <x v="1072"/>
    <x v="3"/>
    <x v="10"/>
    <x v="3"/>
  </r>
  <r>
    <x v="1"/>
    <x v="13"/>
    <x v="785"/>
    <x v="1"/>
    <x v="11"/>
    <x v="2"/>
  </r>
  <r>
    <x v="1"/>
    <x v="14"/>
    <x v="189"/>
    <x v="4"/>
    <x v="12"/>
    <x v="4"/>
  </r>
  <r>
    <x v="1"/>
    <x v="15"/>
    <x v="436"/>
    <x v="4"/>
    <x v="13"/>
    <x v="4"/>
  </r>
  <r>
    <x v="1"/>
    <x v="16"/>
    <x v="958"/>
    <x v="1"/>
    <x v="14"/>
    <x v="2"/>
  </r>
  <r>
    <x v="1"/>
    <x v="17"/>
    <x v="390"/>
    <x v="0"/>
    <x v="15"/>
    <x v="1"/>
  </r>
  <r>
    <x v="1"/>
    <x v="18"/>
    <x v="165"/>
    <x v="4"/>
    <x v="16"/>
    <x v="4"/>
  </r>
  <r>
    <x v="1"/>
    <x v="19"/>
    <x v="437"/>
    <x v="0"/>
    <x v="17"/>
    <x v="1"/>
  </r>
  <r>
    <x v="1"/>
    <x v="20"/>
    <x v="456"/>
    <x v="1"/>
    <x v="18"/>
    <x v="2"/>
  </r>
  <r>
    <x v="1"/>
    <x v="21"/>
    <x v="516"/>
    <x v="1"/>
    <x v="19"/>
    <x v="2"/>
  </r>
  <r>
    <x v="1"/>
    <x v="22"/>
    <x v="91"/>
    <x v="5"/>
    <x v="20"/>
    <x v="5"/>
  </r>
  <r>
    <x v="1"/>
    <x v="23"/>
    <x v="750"/>
    <x v="3"/>
    <x v="21"/>
    <x v="3"/>
  </r>
  <r>
    <x v="1"/>
    <x v="24"/>
    <x v="930"/>
    <x v="1"/>
    <x v="22"/>
    <x v="2"/>
  </r>
  <r>
    <x v="1"/>
    <x v="25"/>
    <x v="650"/>
    <x v="1"/>
    <x v="23"/>
    <x v="2"/>
  </r>
  <r>
    <x v="1"/>
    <x v="26"/>
    <x v="1"/>
    <x v="4"/>
    <x v="24"/>
    <x v="4"/>
  </r>
  <r>
    <x v="1"/>
    <x v="27"/>
    <x v="565"/>
    <x v="4"/>
    <x v="25"/>
    <x v="4"/>
  </r>
  <r>
    <x v="1"/>
    <x v="28"/>
    <x v="260"/>
    <x v="1"/>
    <x v="26"/>
    <x v="2"/>
  </r>
  <r>
    <x v="1"/>
    <x v="29"/>
    <x v="9"/>
    <x v="4"/>
    <x v="27"/>
    <x v="4"/>
  </r>
  <r>
    <x v="1"/>
    <x v="30"/>
    <x v="56"/>
    <x v="0"/>
    <x v="28"/>
    <x v="1"/>
  </r>
  <r>
    <x v="1"/>
    <x v="31"/>
    <x v="229"/>
    <x v="0"/>
    <x v="29"/>
    <x v="1"/>
  </r>
  <r>
    <x v="1"/>
    <x v="32"/>
    <x v="947"/>
    <x v="1"/>
    <x v="30"/>
    <x v="2"/>
  </r>
  <r>
    <x v="1"/>
    <x v="33"/>
    <x v="526"/>
    <x v="1"/>
    <x v="31"/>
    <x v="2"/>
  </r>
  <r>
    <x v="1"/>
    <x v="34"/>
    <x v="481"/>
    <x v="1"/>
    <x v="32"/>
    <x v="2"/>
  </r>
  <r>
    <x v="1"/>
    <x v="35"/>
    <x v="926"/>
    <x v="1"/>
    <x v="33"/>
    <x v="2"/>
  </r>
  <r>
    <x v="1"/>
    <x v="36"/>
    <x v="1003"/>
    <x v="1"/>
    <x v="34"/>
    <x v="2"/>
  </r>
  <r>
    <x v="1"/>
    <x v="37"/>
    <x v="144"/>
    <x v="4"/>
    <x v="35"/>
    <x v="4"/>
  </r>
  <r>
    <x v="1"/>
    <x v="38"/>
    <x v="605"/>
    <x v="1"/>
    <x v="36"/>
    <x v="2"/>
  </r>
  <r>
    <x v="1"/>
    <x v="39"/>
    <x v="827"/>
    <x v="1"/>
    <x v="37"/>
    <x v="2"/>
  </r>
  <r>
    <x v="1"/>
    <x v="40"/>
    <x v="913"/>
    <x v="3"/>
    <x v="38"/>
    <x v="3"/>
  </r>
  <r>
    <x v="1"/>
    <x v="41"/>
    <x v="910"/>
    <x v="3"/>
    <x v="39"/>
    <x v="3"/>
  </r>
  <r>
    <x v="1"/>
    <x v="42"/>
    <x v="824"/>
    <x v="3"/>
    <x v="40"/>
    <x v="3"/>
  </r>
  <r>
    <x v="1"/>
    <x v="43"/>
    <x v="2"/>
    <x v="5"/>
    <x v="41"/>
    <x v="5"/>
  </r>
  <r>
    <x v="1"/>
    <x v="44"/>
    <x v="832"/>
    <x v="3"/>
    <x v="42"/>
    <x v="3"/>
  </r>
  <r>
    <x v="1"/>
    <x v="45"/>
    <x v="30"/>
    <x v="0"/>
    <x v="43"/>
    <x v="1"/>
  </r>
  <r>
    <x v="1"/>
    <x v="46"/>
    <x v="258"/>
    <x v="0"/>
    <x v="44"/>
    <x v="1"/>
  </r>
  <r>
    <x v="1"/>
    <x v="47"/>
    <x v="1200"/>
    <x v="3"/>
    <x v="45"/>
    <x v="3"/>
  </r>
  <r>
    <x v="1"/>
    <x v="48"/>
    <x v="986"/>
    <x v="1"/>
    <x v="46"/>
    <x v="2"/>
  </r>
  <r>
    <x v="1"/>
    <x v="49"/>
    <x v="1077"/>
    <x v="3"/>
    <x v="47"/>
    <x v="3"/>
  </r>
  <r>
    <x v="1"/>
    <x v="50"/>
    <x v="252"/>
    <x v="0"/>
    <x v="48"/>
    <x v="1"/>
  </r>
  <r>
    <x v="1"/>
    <x v="51"/>
    <x v="762"/>
    <x v="1"/>
    <x v="49"/>
    <x v="2"/>
  </r>
  <r>
    <x v="1"/>
    <x v="52"/>
    <x v="210"/>
    <x v="4"/>
    <x v="50"/>
    <x v="4"/>
  </r>
  <r>
    <x v="1"/>
    <x v="53"/>
    <x v="570"/>
    <x v="1"/>
    <x v="51"/>
    <x v="2"/>
  </r>
  <r>
    <x v="1"/>
    <x v="54"/>
    <x v="208"/>
    <x v="1"/>
    <x v="52"/>
    <x v="2"/>
  </r>
  <r>
    <x v="1"/>
    <x v="55"/>
    <x v="438"/>
    <x v="4"/>
    <x v="53"/>
    <x v="4"/>
  </r>
  <r>
    <x v="1"/>
    <x v="56"/>
    <x v="72"/>
    <x v="4"/>
    <x v="53"/>
    <x v="4"/>
  </r>
  <r>
    <x v="1"/>
    <x v="57"/>
    <x v="69"/>
    <x v="0"/>
    <x v="54"/>
    <x v="1"/>
  </r>
  <r>
    <x v="1"/>
    <x v="58"/>
    <x v="15"/>
    <x v="0"/>
    <x v="55"/>
    <x v="1"/>
  </r>
  <r>
    <x v="1"/>
    <x v="59"/>
    <x v="157"/>
    <x v="0"/>
    <x v="56"/>
    <x v="1"/>
  </r>
  <r>
    <x v="1"/>
    <x v="60"/>
    <x v="1004"/>
    <x v="1"/>
    <x v="57"/>
    <x v="2"/>
  </r>
  <r>
    <x v="1"/>
    <x v="61"/>
    <x v="732"/>
    <x v="1"/>
    <x v="58"/>
    <x v="2"/>
  </r>
  <r>
    <x v="1"/>
    <x v="62"/>
    <x v="320"/>
    <x v="1"/>
    <x v="59"/>
    <x v="2"/>
  </r>
  <r>
    <x v="1"/>
    <x v="63"/>
    <x v="154"/>
    <x v="4"/>
    <x v="60"/>
    <x v="4"/>
  </r>
  <r>
    <x v="1"/>
    <x v="64"/>
    <x v="851"/>
    <x v="1"/>
    <x v="61"/>
    <x v="2"/>
  </r>
  <r>
    <x v="1"/>
    <x v="65"/>
    <x v="857"/>
    <x v="1"/>
    <x v="62"/>
    <x v="2"/>
  </r>
  <r>
    <x v="1"/>
    <x v="66"/>
    <x v="452"/>
    <x v="1"/>
    <x v="63"/>
    <x v="2"/>
  </r>
  <r>
    <x v="1"/>
    <x v="67"/>
    <x v="1259"/>
    <x v="3"/>
    <x v="64"/>
    <x v="3"/>
  </r>
  <r>
    <x v="1"/>
    <x v="68"/>
    <x v="403"/>
    <x v="0"/>
    <x v="65"/>
    <x v="1"/>
  </r>
  <r>
    <x v="1"/>
    <x v="69"/>
    <x v="509"/>
    <x v="4"/>
    <x v="66"/>
    <x v="4"/>
  </r>
  <r>
    <x v="1"/>
    <x v="70"/>
    <x v="548"/>
    <x v="1"/>
    <x v="67"/>
    <x v="2"/>
  </r>
  <r>
    <x v="1"/>
    <x v="71"/>
    <x v="560"/>
    <x v="1"/>
    <x v="68"/>
    <x v="2"/>
  </r>
  <r>
    <x v="1"/>
    <x v="72"/>
    <x v="252"/>
    <x v="4"/>
    <x v="69"/>
    <x v="4"/>
  </r>
  <r>
    <x v="1"/>
    <x v="73"/>
    <x v="835"/>
    <x v="3"/>
    <x v="70"/>
    <x v="3"/>
  </r>
  <r>
    <x v="1"/>
    <x v="74"/>
    <x v="862"/>
    <x v="3"/>
    <x v="71"/>
    <x v="3"/>
  </r>
  <r>
    <x v="1"/>
    <x v="75"/>
    <x v="629"/>
    <x v="1"/>
    <x v="72"/>
    <x v="2"/>
  </r>
  <r>
    <x v="1"/>
    <x v="76"/>
    <x v="277"/>
    <x v="1"/>
    <x v="73"/>
    <x v="2"/>
  </r>
  <r>
    <x v="1"/>
    <x v="77"/>
    <x v="307"/>
    <x v="0"/>
    <x v="74"/>
    <x v="1"/>
  </r>
  <r>
    <x v="1"/>
    <x v="78"/>
    <x v="1295"/>
    <x v="3"/>
    <x v="75"/>
    <x v="3"/>
  </r>
  <r>
    <x v="1"/>
    <x v="79"/>
    <x v="1017"/>
    <x v="1"/>
    <x v="76"/>
    <x v="2"/>
  </r>
  <r>
    <x v="1"/>
    <x v="80"/>
    <x v="202"/>
    <x v="0"/>
    <x v="77"/>
    <x v="1"/>
  </r>
  <r>
    <x v="1"/>
    <x v="81"/>
    <x v="730"/>
    <x v="4"/>
    <x v="78"/>
    <x v="4"/>
  </r>
  <r>
    <x v="1"/>
    <x v="82"/>
    <x v="461"/>
    <x v="4"/>
    <x v="79"/>
    <x v="4"/>
  </r>
  <r>
    <x v="1"/>
    <x v="83"/>
    <x v="0"/>
    <x v="5"/>
    <x v="80"/>
    <x v="5"/>
  </r>
  <r>
    <x v="1"/>
    <x v="84"/>
    <x v="483"/>
    <x v="1"/>
    <x v="81"/>
    <x v="2"/>
  </r>
  <r>
    <x v="1"/>
    <x v="85"/>
    <x v="65"/>
    <x v="4"/>
    <x v="82"/>
    <x v="4"/>
  </r>
  <r>
    <x v="1"/>
    <x v="86"/>
    <x v="1098"/>
    <x v="3"/>
    <x v="83"/>
    <x v="3"/>
  </r>
  <r>
    <x v="1"/>
    <x v="87"/>
    <x v="900"/>
    <x v="3"/>
    <x v="84"/>
    <x v="3"/>
  </r>
  <r>
    <x v="1"/>
    <x v="88"/>
    <x v="828"/>
    <x v="1"/>
    <x v="85"/>
    <x v="2"/>
  </r>
  <r>
    <x v="1"/>
    <x v="89"/>
    <x v="1183"/>
    <x v="3"/>
    <x v="86"/>
    <x v="3"/>
  </r>
  <r>
    <x v="1"/>
    <x v="90"/>
    <x v="609"/>
    <x v="1"/>
    <x v="87"/>
    <x v="2"/>
  </r>
  <r>
    <x v="1"/>
    <x v="91"/>
    <x v="675"/>
    <x v="4"/>
    <x v="88"/>
    <x v="4"/>
  </r>
  <r>
    <x v="1"/>
    <x v="92"/>
    <x v="143"/>
    <x v="4"/>
    <x v="89"/>
    <x v="4"/>
  </r>
  <r>
    <x v="1"/>
    <x v="93"/>
    <x v="148"/>
    <x v="0"/>
    <x v="90"/>
    <x v="1"/>
  </r>
  <r>
    <x v="1"/>
    <x v="94"/>
    <x v="812"/>
    <x v="4"/>
    <x v="91"/>
    <x v="4"/>
  </r>
  <r>
    <x v="1"/>
    <x v="95"/>
    <x v="35"/>
    <x v="4"/>
    <x v="92"/>
    <x v="4"/>
  </r>
  <r>
    <x v="1"/>
    <x v="96"/>
    <x v="942"/>
    <x v="1"/>
    <x v="93"/>
    <x v="2"/>
  </r>
  <r>
    <x v="1"/>
    <x v="97"/>
    <x v="235"/>
    <x v="4"/>
    <x v="94"/>
    <x v="4"/>
  </r>
  <r>
    <x v="1"/>
    <x v="99"/>
    <x v="1115"/>
    <x v="3"/>
    <x v="96"/>
    <x v="3"/>
  </r>
  <r>
    <x v="1"/>
    <x v="100"/>
    <x v="133"/>
    <x v="4"/>
    <x v="97"/>
    <x v="4"/>
  </r>
  <r>
    <x v="1"/>
    <x v="101"/>
    <x v="487"/>
    <x v="4"/>
    <x v="98"/>
    <x v="4"/>
  </r>
  <r>
    <x v="1"/>
    <x v="102"/>
    <x v="3"/>
    <x v="3"/>
    <x v="99"/>
    <x v="3"/>
  </r>
  <r>
    <x v="1"/>
    <x v="103"/>
    <x v="808"/>
    <x v="1"/>
    <x v="100"/>
    <x v="2"/>
  </r>
  <r>
    <x v="1"/>
    <x v="104"/>
    <x v="1210"/>
    <x v="3"/>
    <x v="101"/>
    <x v="3"/>
  </r>
  <r>
    <x v="1"/>
    <x v="105"/>
    <x v="217"/>
    <x v="1"/>
    <x v="102"/>
    <x v="2"/>
  </r>
  <r>
    <x v="1"/>
    <x v="106"/>
    <x v="25"/>
    <x v="5"/>
    <x v="103"/>
    <x v="5"/>
  </r>
  <r>
    <x v="1"/>
    <x v="108"/>
    <x v="17"/>
    <x v="1"/>
    <x v="105"/>
    <x v="2"/>
  </r>
  <r>
    <x v="1"/>
    <x v="109"/>
    <x v="1047"/>
    <x v="1"/>
    <x v="106"/>
    <x v="2"/>
  </r>
  <r>
    <x v="1"/>
    <x v="110"/>
    <x v="1227"/>
    <x v="3"/>
    <x v="107"/>
    <x v="3"/>
  </r>
  <r>
    <x v="1"/>
    <x v="111"/>
    <x v="1165"/>
    <x v="3"/>
    <x v="108"/>
    <x v="3"/>
  </r>
  <r>
    <x v="1"/>
    <x v="112"/>
    <x v="69"/>
    <x v="5"/>
    <x v="109"/>
    <x v="5"/>
  </r>
  <r>
    <x v="1"/>
    <x v="113"/>
    <x v="786"/>
    <x v="3"/>
    <x v="110"/>
    <x v="3"/>
  </r>
  <r>
    <x v="1"/>
    <x v="114"/>
    <x v="77"/>
    <x v="4"/>
    <x v="111"/>
    <x v="4"/>
  </r>
  <r>
    <x v="1"/>
    <x v="115"/>
    <x v="66"/>
    <x v="5"/>
    <x v="112"/>
    <x v="5"/>
  </r>
  <r>
    <x v="1"/>
    <x v="116"/>
    <x v="279"/>
    <x v="0"/>
    <x v="113"/>
    <x v="1"/>
  </r>
  <r>
    <x v="1"/>
    <x v="117"/>
    <x v="46"/>
    <x v="3"/>
    <x v="114"/>
    <x v="3"/>
  </r>
  <r>
    <x v="1"/>
    <x v="118"/>
    <x v="652"/>
    <x v="4"/>
    <x v="115"/>
    <x v="4"/>
  </r>
  <r>
    <x v="1"/>
    <x v="119"/>
    <x v="123"/>
    <x v="4"/>
    <x v="116"/>
    <x v="4"/>
  </r>
  <r>
    <x v="1"/>
    <x v="120"/>
    <x v="701"/>
    <x v="1"/>
    <x v="117"/>
    <x v="2"/>
  </r>
  <r>
    <x v="1"/>
    <x v="121"/>
    <x v="303"/>
    <x v="4"/>
    <x v="118"/>
    <x v="4"/>
  </r>
  <r>
    <x v="1"/>
    <x v="122"/>
    <x v="1091"/>
    <x v="3"/>
    <x v="119"/>
    <x v="3"/>
  </r>
  <r>
    <x v="1"/>
    <x v="123"/>
    <x v="186"/>
    <x v="0"/>
    <x v="120"/>
    <x v="1"/>
  </r>
  <r>
    <x v="1"/>
    <x v="124"/>
    <x v="627"/>
    <x v="3"/>
    <x v="121"/>
    <x v="3"/>
  </r>
  <r>
    <x v="1"/>
    <x v="125"/>
    <x v="91"/>
    <x v="3"/>
    <x v="122"/>
    <x v="3"/>
  </r>
  <r>
    <x v="1"/>
    <x v="126"/>
    <x v="793"/>
    <x v="4"/>
    <x v="123"/>
    <x v="4"/>
  </r>
  <r>
    <x v="1"/>
    <x v="127"/>
    <x v="588"/>
    <x v="4"/>
    <x v="124"/>
    <x v="4"/>
  </r>
  <r>
    <x v="1"/>
    <x v="128"/>
    <x v="398"/>
    <x v="4"/>
    <x v="126"/>
    <x v="4"/>
  </r>
  <r>
    <x v="1"/>
    <x v="129"/>
    <x v="1185"/>
    <x v="4"/>
    <x v="127"/>
    <x v="0"/>
  </r>
  <r>
    <x v="1"/>
    <x v="130"/>
    <x v="579"/>
    <x v="1"/>
    <x v="128"/>
    <x v="2"/>
  </r>
  <r>
    <x v="1"/>
    <x v="131"/>
    <x v="530"/>
    <x v="4"/>
    <x v="129"/>
    <x v="4"/>
  </r>
  <r>
    <x v="1"/>
    <x v="132"/>
    <x v="564"/>
    <x v="4"/>
    <x v="130"/>
    <x v="4"/>
  </r>
  <r>
    <x v="1"/>
    <x v="133"/>
    <x v="273"/>
    <x v="0"/>
    <x v="131"/>
    <x v="1"/>
  </r>
  <r>
    <x v="1"/>
    <x v="134"/>
    <x v="1041"/>
    <x v="3"/>
    <x v="132"/>
    <x v="3"/>
  </r>
  <r>
    <x v="1"/>
    <x v="135"/>
    <x v="1157"/>
    <x v="4"/>
    <x v="133"/>
    <x v="0"/>
  </r>
  <r>
    <x v="1"/>
    <x v="136"/>
    <x v="156"/>
    <x v="4"/>
    <x v="134"/>
    <x v="4"/>
  </r>
  <r>
    <x v="1"/>
    <x v="137"/>
    <x v="1052"/>
    <x v="3"/>
    <x v="135"/>
    <x v="3"/>
  </r>
  <r>
    <x v="1"/>
    <x v="138"/>
    <x v="1153"/>
    <x v="3"/>
    <x v="136"/>
    <x v="3"/>
  </r>
  <r>
    <x v="1"/>
    <x v="139"/>
    <x v="1155"/>
    <x v="3"/>
    <x v="137"/>
    <x v="3"/>
  </r>
  <r>
    <x v="1"/>
    <x v="140"/>
    <x v="1039"/>
    <x v="3"/>
    <x v="138"/>
    <x v="3"/>
  </r>
  <r>
    <x v="1"/>
    <x v="141"/>
    <x v="1229"/>
    <x v="3"/>
    <x v="139"/>
    <x v="3"/>
  </r>
  <r>
    <x v="1"/>
    <x v="142"/>
    <x v="970"/>
    <x v="4"/>
    <x v="140"/>
    <x v="4"/>
  </r>
  <r>
    <x v="1"/>
    <x v="143"/>
    <x v="690"/>
    <x v="4"/>
    <x v="141"/>
    <x v="4"/>
  </r>
  <r>
    <x v="1"/>
    <x v="144"/>
    <x v="163"/>
    <x v="0"/>
    <x v="142"/>
    <x v="1"/>
  </r>
  <r>
    <x v="1"/>
    <x v="145"/>
    <x v="1201"/>
    <x v="3"/>
    <x v="143"/>
    <x v="3"/>
  </r>
  <r>
    <x v="1"/>
    <x v="146"/>
    <x v="464"/>
    <x v="1"/>
    <x v="144"/>
    <x v="2"/>
  </r>
  <r>
    <x v="1"/>
    <x v="147"/>
    <x v="235"/>
    <x v="1"/>
    <x v="145"/>
    <x v="2"/>
  </r>
  <r>
    <x v="1"/>
    <x v="148"/>
    <x v="902"/>
    <x v="3"/>
    <x v="146"/>
    <x v="3"/>
  </r>
  <r>
    <x v="1"/>
    <x v="149"/>
    <x v="674"/>
    <x v="3"/>
    <x v="147"/>
    <x v="3"/>
  </r>
  <r>
    <x v="1"/>
    <x v="150"/>
    <x v="191"/>
    <x v="3"/>
    <x v="148"/>
    <x v="3"/>
  </r>
  <r>
    <x v="1"/>
    <x v="151"/>
    <x v="33"/>
    <x v="1"/>
    <x v="149"/>
    <x v="2"/>
  </r>
  <r>
    <x v="1"/>
    <x v="152"/>
    <x v="432"/>
    <x v="1"/>
    <x v="150"/>
    <x v="2"/>
  </r>
  <r>
    <x v="1"/>
    <x v="153"/>
    <x v="66"/>
    <x v="5"/>
    <x v="151"/>
    <x v="5"/>
  </r>
  <r>
    <x v="1"/>
    <x v="154"/>
    <x v="625"/>
    <x v="4"/>
    <x v="152"/>
    <x v="4"/>
  </r>
  <r>
    <x v="1"/>
    <x v="155"/>
    <x v="1226"/>
    <x v="3"/>
    <x v="153"/>
    <x v="3"/>
  </r>
  <r>
    <x v="1"/>
    <x v="156"/>
    <x v="323"/>
    <x v="0"/>
    <x v="154"/>
    <x v="1"/>
  </r>
  <r>
    <x v="1"/>
    <x v="157"/>
    <x v="557"/>
    <x v="4"/>
    <x v="155"/>
    <x v="4"/>
  </r>
  <r>
    <x v="1"/>
    <x v="158"/>
    <x v="1311"/>
    <x v="3"/>
    <x v="156"/>
    <x v="3"/>
  </r>
  <r>
    <x v="1"/>
    <x v="159"/>
    <x v="1249"/>
    <x v="3"/>
    <x v="157"/>
    <x v="3"/>
  </r>
  <r>
    <x v="1"/>
    <x v="160"/>
    <x v="1258"/>
    <x v="3"/>
    <x v="158"/>
    <x v="3"/>
  </r>
  <r>
    <x v="1"/>
    <x v="161"/>
    <x v="1228"/>
    <x v="3"/>
    <x v="159"/>
    <x v="3"/>
  </r>
  <r>
    <x v="1"/>
    <x v="162"/>
    <x v="690"/>
    <x v="1"/>
    <x v="160"/>
    <x v="2"/>
  </r>
  <r>
    <x v="1"/>
    <x v="163"/>
    <x v="889"/>
    <x v="3"/>
    <x v="161"/>
    <x v="3"/>
  </r>
  <r>
    <x v="1"/>
    <x v="164"/>
    <x v="317"/>
    <x v="0"/>
    <x v="162"/>
    <x v="1"/>
  </r>
  <r>
    <x v="1"/>
    <x v="165"/>
    <x v="532"/>
    <x v="0"/>
    <x v="163"/>
    <x v="1"/>
  </r>
  <r>
    <x v="1"/>
    <x v="166"/>
    <x v="300"/>
    <x v="0"/>
    <x v="164"/>
    <x v="1"/>
  </r>
  <r>
    <x v="1"/>
    <x v="167"/>
    <x v="1245"/>
    <x v="3"/>
    <x v="165"/>
    <x v="3"/>
  </r>
  <r>
    <x v="1"/>
    <x v="168"/>
    <x v="361"/>
    <x v="4"/>
    <x v="166"/>
    <x v="4"/>
  </r>
  <r>
    <x v="1"/>
    <x v="169"/>
    <x v="27"/>
    <x v="5"/>
    <x v="167"/>
    <x v="5"/>
  </r>
  <r>
    <x v="1"/>
    <x v="170"/>
    <x v="241"/>
    <x v="4"/>
    <x v="169"/>
    <x v="4"/>
  </r>
  <r>
    <x v="1"/>
    <x v="171"/>
    <x v="372"/>
    <x v="0"/>
    <x v="170"/>
    <x v="1"/>
  </r>
  <r>
    <x v="1"/>
    <x v="172"/>
    <x v="230"/>
    <x v="4"/>
    <x v="171"/>
    <x v="4"/>
  </r>
  <r>
    <x v="1"/>
    <x v="173"/>
    <x v="18"/>
    <x v="5"/>
    <x v="172"/>
    <x v="5"/>
  </r>
  <r>
    <x v="1"/>
    <x v="174"/>
    <x v="578"/>
    <x v="1"/>
    <x v="173"/>
    <x v="2"/>
  </r>
  <r>
    <x v="1"/>
    <x v="175"/>
    <x v="454"/>
    <x v="1"/>
    <x v="174"/>
    <x v="2"/>
  </r>
  <r>
    <x v="1"/>
    <x v="176"/>
    <x v="770"/>
    <x v="4"/>
    <x v="175"/>
    <x v="4"/>
  </r>
  <r>
    <x v="1"/>
    <x v="177"/>
    <x v="283"/>
    <x v="4"/>
    <x v="176"/>
    <x v="4"/>
  </r>
  <r>
    <x v="1"/>
    <x v="178"/>
    <x v="1094"/>
    <x v="1"/>
    <x v="177"/>
    <x v="2"/>
  </r>
  <r>
    <x v="1"/>
    <x v="179"/>
    <x v="204"/>
    <x v="0"/>
    <x v="178"/>
    <x v="1"/>
  </r>
  <r>
    <x v="1"/>
    <x v="180"/>
    <x v="149"/>
    <x v="0"/>
    <x v="179"/>
    <x v="1"/>
  </r>
  <r>
    <x v="1"/>
    <x v="181"/>
    <x v="14"/>
    <x v="0"/>
    <x v="180"/>
    <x v="1"/>
  </r>
  <r>
    <x v="1"/>
    <x v="182"/>
    <x v="395"/>
    <x v="0"/>
    <x v="181"/>
    <x v="1"/>
  </r>
  <r>
    <x v="1"/>
    <x v="183"/>
    <x v="1149"/>
    <x v="3"/>
    <x v="182"/>
    <x v="3"/>
  </r>
  <r>
    <x v="1"/>
    <x v="184"/>
    <x v="22"/>
    <x v="5"/>
    <x v="183"/>
    <x v="5"/>
  </r>
  <r>
    <x v="1"/>
    <x v="185"/>
    <x v="792"/>
    <x v="1"/>
    <x v="186"/>
    <x v="2"/>
  </r>
  <r>
    <x v="1"/>
    <x v="186"/>
    <x v="867"/>
    <x v="1"/>
    <x v="184"/>
    <x v="2"/>
  </r>
  <r>
    <x v="1"/>
    <x v="187"/>
    <x v="366"/>
    <x v="1"/>
    <x v="185"/>
    <x v="2"/>
  </r>
  <r>
    <x v="1"/>
    <x v="188"/>
    <x v="290"/>
    <x v="4"/>
    <x v="187"/>
    <x v="4"/>
  </r>
  <r>
    <x v="1"/>
    <x v="189"/>
    <x v="318"/>
    <x v="4"/>
    <x v="188"/>
    <x v="4"/>
  </r>
  <r>
    <x v="1"/>
    <x v="190"/>
    <x v="321"/>
    <x v="4"/>
    <x v="189"/>
    <x v="4"/>
  </r>
  <r>
    <x v="1"/>
    <x v="191"/>
    <x v="83"/>
    <x v="3"/>
    <x v="190"/>
    <x v="3"/>
  </r>
  <r>
    <x v="1"/>
    <x v="192"/>
    <x v="662"/>
    <x v="1"/>
    <x v="191"/>
    <x v="2"/>
  </r>
  <r>
    <x v="1"/>
    <x v="193"/>
    <x v="598"/>
    <x v="4"/>
    <x v="192"/>
    <x v="4"/>
  </r>
  <r>
    <x v="1"/>
    <x v="194"/>
    <x v="496"/>
    <x v="4"/>
    <x v="193"/>
    <x v="4"/>
  </r>
  <r>
    <x v="1"/>
    <x v="195"/>
    <x v="735"/>
    <x v="4"/>
    <x v="194"/>
    <x v="4"/>
  </r>
  <r>
    <x v="1"/>
    <x v="196"/>
    <x v="645"/>
    <x v="0"/>
    <x v="195"/>
    <x v="1"/>
  </r>
  <r>
    <x v="1"/>
    <x v="197"/>
    <x v="32"/>
    <x v="4"/>
    <x v="196"/>
    <x v="4"/>
  </r>
  <r>
    <x v="1"/>
    <x v="198"/>
    <x v="159"/>
    <x v="3"/>
    <x v="197"/>
    <x v="3"/>
  </r>
  <r>
    <x v="1"/>
    <x v="199"/>
    <x v="146"/>
    <x v="4"/>
    <x v="198"/>
    <x v="4"/>
  </r>
  <r>
    <x v="1"/>
    <x v="200"/>
    <x v="0"/>
    <x v="5"/>
    <x v="199"/>
    <x v="5"/>
  </r>
  <r>
    <x v="1"/>
    <x v="201"/>
    <x v="305"/>
    <x v="4"/>
    <x v="200"/>
    <x v="4"/>
  </r>
  <r>
    <x v="1"/>
    <x v="202"/>
    <x v="31"/>
    <x v="5"/>
    <x v="201"/>
    <x v="5"/>
  </r>
  <r>
    <x v="1"/>
    <x v="203"/>
    <x v="37"/>
    <x v="4"/>
    <x v="202"/>
    <x v="4"/>
  </r>
  <r>
    <x v="1"/>
    <x v="204"/>
    <x v="260"/>
    <x v="0"/>
    <x v="203"/>
    <x v="1"/>
  </r>
  <r>
    <x v="1"/>
    <x v="205"/>
    <x v="882"/>
    <x v="3"/>
    <x v="204"/>
    <x v="3"/>
  </r>
  <r>
    <x v="1"/>
    <x v="206"/>
    <x v="390"/>
    <x v="1"/>
    <x v="205"/>
    <x v="2"/>
  </r>
  <r>
    <x v="1"/>
    <x v="207"/>
    <x v="1211"/>
    <x v="3"/>
    <x v="206"/>
    <x v="3"/>
  </r>
  <r>
    <x v="1"/>
    <x v="208"/>
    <x v="191"/>
    <x v="0"/>
    <x v="207"/>
    <x v="1"/>
  </r>
  <r>
    <x v="1"/>
    <x v="209"/>
    <x v="296"/>
    <x v="0"/>
    <x v="208"/>
    <x v="1"/>
  </r>
  <r>
    <x v="1"/>
    <x v="210"/>
    <x v="76"/>
    <x v="5"/>
    <x v="209"/>
    <x v="5"/>
  </r>
  <r>
    <x v="1"/>
    <x v="211"/>
    <x v="199"/>
    <x v="4"/>
    <x v="210"/>
    <x v="4"/>
  </r>
  <r>
    <x v="1"/>
    <x v="212"/>
    <x v="460"/>
    <x v="4"/>
    <x v="211"/>
    <x v="4"/>
  </r>
  <r>
    <x v="1"/>
    <x v="213"/>
    <x v="424"/>
    <x v="1"/>
    <x v="212"/>
    <x v="2"/>
  </r>
  <r>
    <x v="1"/>
    <x v="214"/>
    <x v="212"/>
    <x v="4"/>
    <x v="213"/>
    <x v="4"/>
  </r>
  <r>
    <x v="1"/>
    <x v="215"/>
    <x v="209"/>
    <x v="4"/>
    <x v="214"/>
    <x v="4"/>
  </r>
  <r>
    <x v="1"/>
    <x v="216"/>
    <x v="632"/>
    <x v="0"/>
    <x v="215"/>
    <x v="1"/>
  </r>
  <r>
    <x v="1"/>
    <x v="217"/>
    <x v="62"/>
    <x v="5"/>
    <x v="216"/>
    <x v="5"/>
  </r>
  <r>
    <x v="1"/>
    <x v="218"/>
    <x v="150"/>
    <x v="1"/>
    <x v="217"/>
    <x v="2"/>
  </r>
  <r>
    <x v="1"/>
    <x v="219"/>
    <x v="840"/>
    <x v="4"/>
    <x v="218"/>
    <x v="4"/>
  </r>
  <r>
    <x v="1"/>
    <x v="220"/>
    <x v="961"/>
    <x v="3"/>
    <x v="219"/>
    <x v="3"/>
  </r>
  <r>
    <x v="1"/>
    <x v="221"/>
    <x v="883"/>
    <x v="1"/>
    <x v="220"/>
    <x v="2"/>
  </r>
  <r>
    <x v="1"/>
    <x v="222"/>
    <x v="877"/>
    <x v="4"/>
    <x v="221"/>
    <x v="4"/>
  </r>
  <r>
    <x v="1"/>
    <x v="223"/>
    <x v="501"/>
    <x v="1"/>
    <x v="222"/>
    <x v="2"/>
  </r>
  <r>
    <x v="1"/>
    <x v="224"/>
    <x v="777"/>
    <x v="1"/>
    <x v="223"/>
    <x v="2"/>
  </r>
  <r>
    <x v="1"/>
    <x v="225"/>
    <x v="1122"/>
    <x v="3"/>
    <x v="224"/>
    <x v="3"/>
  </r>
  <r>
    <x v="1"/>
    <x v="226"/>
    <x v="1271"/>
    <x v="3"/>
    <x v="225"/>
    <x v="3"/>
  </r>
  <r>
    <x v="1"/>
    <x v="227"/>
    <x v="1302"/>
    <x v="3"/>
    <x v="226"/>
    <x v="3"/>
  </r>
  <r>
    <x v="1"/>
    <x v="228"/>
    <x v="945"/>
    <x v="3"/>
    <x v="227"/>
    <x v="3"/>
  </r>
  <r>
    <x v="1"/>
    <x v="229"/>
    <x v="1080"/>
    <x v="3"/>
    <x v="228"/>
    <x v="3"/>
  </r>
  <r>
    <x v="1"/>
    <x v="230"/>
    <x v="1303"/>
    <x v="3"/>
    <x v="229"/>
    <x v="3"/>
  </r>
  <r>
    <x v="1"/>
    <x v="231"/>
    <x v="366"/>
    <x v="0"/>
    <x v="230"/>
    <x v="1"/>
  </r>
  <r>
    <x v="1"/>
    <x v="232"/>
    <x v="1189"/>
    <x v="3"/>
    <x v="232"/>
    <x v="3"/>
  </r>
  <r>
    <x v="1"/>
    <x v="233"/>
    <x v="1252"/>
    <x v="3"/>
    <x v="233"/>
    <x v="3"/>
  </r>
  <r>
    <x v="1"/>
    <x v="234"/>
    <x v="1076"/>
    <x v="3"/>
    <x v="234"/>
    <x v="3"/>
  </r>
  <r>
    <x v="1"/>
    <x v="235"/>
    <x v="1134"/>
    <x v="3"/>
    <x v="235"/>
    <x v="3"/>
  </r>
  <r>
    <x v="1"/>
    <x v="236"/>
    <x v="98"/>
    <x v="0"/>
    <x v="236"/>
    <x v="1"/>
  </r>
  <r>
    <x v="1"/>
    <x v="237"/>
    <x v="471"/>
    <x v="0"/>
    <x v="237"/>
    <x v="1"/>
  </r>
  <r>
    <x v="1"/>
    <x v="238"/>
    <x v="373"/>
    <x v="0"/>
    <x v="238"/>
    <x v="1"/>
  </r>
  <r>
    <x v="1"/>
    <x v="239"/>
    <x v="789"/>
    <x v="3"/>
    <x v="239"/>
    <x v="3"/>
  </r>
  <r>
    <x v="1"/>
    <x v="240"/>
    <x v="843"/>
    <x v="3"/>
    <x v="240"/>
    <x v="3"/>
  </r>
  <r>
    <x v="1"/>
    <x v="241"/>
    <x v="44"/>
    <x v="5"/>
    <x v="241"/>
    <x v="5"/>
  </r>
  <r>
    <x v="1"/>
    <x v="242"/>
    <x v="1256"/>
    <x v="3"/>
    <x v="242"/>
    <x v="3"/>
  </r>
  <r>
    <x v="1"/>
    <x v="243"/>
    <x v="429"/>
    <x v="0"/>
    <x v="243"/>
    <x v="1"/>
  </r>
  <r>
    <x v="1"/>
    <x v="244"/>
    <x v="213"/>
    <x v="0"/>
    <x v="244"/>
    <x v="1"/>
  </r>
  <r>
    <x v="1"/>
    <x v="245"/>
    <x v="1277"/>
    <x v="3"/>
    <x v="245"/>
    <x v="3"/>
  </r>
  <r>
    <x v="1"/>
    <x v="246"/>
    <x v="257"/>
    <x v="0"/>
    <x v="246"/>
    <x v="1"/>
  </r>
  <r>
    <x v="1"/>
    <x v="247"/>
    <x v="60"/>
    <x v="5"/>
    <x v="247"/>
    <x v="5"/>
  </r>
  <r>
    <x v="1"/>
    <x v="248"/>
    <x v="310"/>
    <x v="4"/>
    <x v="248"/>
    <x v="4"/>
  </r>
  <r>
    <x v="1"/>
    <x v="249"/>
    <x v="16"/>
    <x v="4"/>
    <x v="249"/>
    <x v="4"/>
  </r>
  <r>
    <x v="1"/>
    <x v="250"/>
    <x v="283"/>
    <x v="0"/>
    <x v="250"/>
    <x v="1"/>
  </r>
  <r>
    <x v="1"/>
    <x v="251"/>
    <x v="1146"/>
    <x v="1"/>
    <x v="251"/>
    <x v="2"/>
  </r>
  <r>
    <x v="1"/>
    <x v="252"/>
    <x v="1050"/>
    <x v="1"/>
    <x v="252"/>
    <x v="2"/>
  </r>
  <r>
    <x v="1"/>
    <x v="253"/>
    <x v="688"/>
    <x v="1"/>
    <x v="253"/>
    <x v="2"/>
  </r>
  <r>
    <x v="1"/>
    <x v="254"/>
    <x v="524"/>
    <x v="4"/>
    <x v="254"/>
    <x v="4"/>
  </r>
  <r>
    <x v="1"/>
    <x v="255"/>
    <x v="214"/>
    <x v="0"/>
    <x v="255"/>
    <x v="1"/>
  </r>
  <r>
    <x v="1"/>
    <x v="256"/>
    <x v="708"/>
    <x v="4"/>
    <x v="256"/>
    <x v="4"/>
  </r>
  <r>
    <x v="1"/>
    <x v="257"/>
    <x v="933"/>
    <x v="3"/>
    <x v="257"/>
    <x v="3"/>
  </r>
  <r>
    <x v="1"/>
    <x v="258"/>
    <x v="1029"/>
    <x v="3"/>
    <x v="258"/>
    <x v="3"/>
  </r>
  <r>
    <x v="1"/>
    <x v="259"/>
    <x v="1075"/>
    <x v="3"/>
    <x v="259"/>
    <x v="3"/>
  </r>
  <r>
    <x v="1"/>
    <x v="260"/>
    <x v="0"/>
    <x v="6"/>
    <x v="231"/>
    <x v="6"/>
  </r>
  <r>
    <x v="1"/>
    <x v="261"/>
    <x v="369"/>
    <x v="6"/>
    <x v="231"/>
    <x v="6"/>
  </r>
  <r>
    <x v="2"/>
    <x v="0"/>
    <x v="12"/>
    <x v="2"/>
    <x v="168"/>
    <x v="0"/>
  </r>
  <r>
    <x v="2"/>
    <x v="1"/>
    <x v="0"/>
    <x v="4"/>
    <x v="125"/>
    <x v="4"/>
  </r>
  <r>
    <x v="2"/>
    <x v="2"/>
    <x v="251"/>
    <x v="0"/>
    <x v="0"/>
    <x v="1"/>
  </r>
  <r>
    <x v="2"/>
    <x v="3"/>
    <x v="993"/>
    <x v="3"/>
    <x v="1"/>
    <x v="3"/>
  </r>
  <r>
    <x v="2"/>
    <x v="4"/>
    <x v="1"/>
    <x v="5"/>
    <x v="2"/>
    <x v="5"/>
  </r>
  <r>
    <x v="2"/>
    <x v="5"/>
    <x v="74"/>
    <x v="5"/>
    <x v="3"/>
    <x v="5"/>
  </r>
  <r>
    <x v="2"/>
    <x v="6"/>
    <x v="992"/>
    <x v="4"/>
    <x v="4"/>
    <x v="4"/>
  </r>
  <r>
    <x v="2"/>
    <x v="7"/>
    <x v="33"/>
    <x v="4"/>
    <x v="5"/>
    <x v="4"/>
  </r>
  <r>
    <x v="2"/>
    <x v="8"/>
    <x v="231"/>
    <x v="4"/>
    <x v="6"/>
    <x v="4"/>
  </r>
  <r>
    <x v="2"/>
    <x v="9"/>
    <x v="401"/>
    <x v="4"/>
    <x v="7"/>
    <x v="4"/>
  </r>
  <r>
    <x v="2"/>
    <x v="10"/>
    <x v="259"/>
    <x v="1"/>
    <x v="8"/>
    <x v="2"/>
  </r>
  <r>
    <x v="2"/>
    <x v="11"/>
    <x v="147"/>
    <x v="3"/>
    <x v="9"/>
    <x v="3"/>
  </r>
  <r>
    <x v="2"/>
    <x v="12"/>
    <x v="1073"/>
    <x v="3"/>
    <x v="10"/>
    <x v="3"/>
  </r>
  <r>
    <x v="2"/>
    <x v="13"/>
    <x v="804"/>
    <x v="1"/>
    <x v="11"/>
    <x v="2"/>
  </r>
  <r>
    <x v="2"/>
    <x v="14"/>
    <x v="222"/>
    <x v="4"/>
    <x v="12"/>
    <x v="4"/>
  </r>
  <r>
    <x v="2"/>
    <x v="15"/>
    <x v="485"/>
    <x v="4"/>
    <x v="13"/>
    <x v="4"/>
  </r>
  <r>
    <x v="2"/>
    <x v="16"/>
    <x v="952"/>
    <x v="1"/>
    <x v="14"/>
    <x v="2"/>
  </r>
  <r>
    <x v="2"/>
    <x v="17"/>
    <x v="405"/>
    <x v="0"/>
    <x v="15"/>
    <x v="1"/>
  </r>
  <r>
    <x v="2"/>
    <x v="18"/>
    <x v="197"/>
    <x v="4"/>
    <x v="16"/>
    <x v="4"/>
  </r>
  <r>
    <x v="2"/>
    <x v="19"/>
    <x v="489"/>
    <x v="0"/>
    <x v="17"/>
    <x v="1"/>
  </r>
  <r>
    <x v="2"/>
    <x v="20"/>
    <x v="503"/>
    <x v="1"/>
    <x v="18"/>
    <x v="2"/>
  </r>
  <r>
    <x v="2"/>
    <x v="21"/>
    <x v="544"/>
    <x v="1"/>
    <x v="19"/>
    <x v="2"/>
  </r>
  <r>
    <x v="2"/>
    <x v="22"/>
    <x v="103"/>
    <x v="5"/>
    <x v="20"/>
    <x v="5"/>
  </r>
  <r>
    <x v="2"/>
    <x v="23"/>
    <x v="748"/>
    <x v="3"/>
    <x v="21"/>
    <x v="3"/>
  </r>
  <r>
    <x v="2"/>
    <x v="24"/>
    <x v="927"/>
    <x v="1"/>
    <x v="22"/>
    <x v="2"/>
  </r>
  <r>
    <x v="2"/>
    <x v="25"/>
    <x v="686"/>
    <x v="1"/>
    <x v="23"/>
    <x v="2"/>
  </r>
  <r>
    <x v="2"/>
    <x v="26"/>
    <x v="7"/>
    <x v="4"/>
    <x v="24"/>
    <x v="4"/>
  </r>
  <r>
    <x v="2"/>
    <x v="27"/>
    <x v="622"/>
    <x v="4"/>
    <x v="25"/>
    <x v="4"/>
  </r>
  <r>
    <x v="2"/>
    <x v="28"/>
    <x v="293"/>
    <x v="1"/>
    <x v="26"/>
    <x v="2"/>
  </r>
  <r>
    <x v="2"/>
    <x v="29"/>
    <x v="5"/>
    <x v="4"/>
    <x v="27"/>
    <x v="4"/>
  </r>
  <r>
    <x v="2"/>
    <x v="30"/>
    <x v="127"/>
    <x v="0"/>
    <x v="28"/>
    <x v="1"/>
  </r>
  <r>
    <x v="2"/>
    <x v="31"/>
    <x v="246"/>
    <x v="0"/>
    <x v="29"/>
    <x v="1"/>
  </r>
  <r>
    <x v="2"/>
    <x v="32"/>
    <x v="959"/>
    <x v="1"/>
    <x v="30"/>
    <x v="2"/>
  </r>
  <r>
    <x v="2"/>
    <x v="33"/>
    <x v="525"/>
    <x v="1"/>
    <x v="31"/>
    <x v="2"/>
  </r>
  <r>
    <x v="2"/>
    <x v="34"/>
    <x v="555"/>
    <x v="1"/>
    <x v="32"/>
    <x v="2"/>
  </r>
  <r>
    <x v="2"/>
    <x v="35"/>
    <x v="953"/>
    <x v="1"/>
    <x v="33"/>
    <x v="2"/>
  </r>
  <r>
    <x v="2"/>
    <x v="36"/>
    <x v="1008"/>
    <x v="1"/>
    <x v="34"/>
    <x v="2"/>
  </r>
  <r>
    <x v="2"/>
    <x v="37"/>
    <x v="182"/>
    <x v="4"/>
    <x v="35"/>
    <x v="4"/>
  </r>
  <r>
    <x v="2"/>
    <x v="38"/>
    <x v="658"/>
    <x v="1"/>
    <x v="36"/>
    <x v="2"/>
  </r>
  <r>
    <x v="2"/>
    <x v="39"/>
    <x v="826"/>
    <x v="1"/>
    <x v="37"/>
    <x v="2"/>
  </r>
  <r>
    <x v="2"/>
    <x v="40"/>
    <x v="914"/>
    <x v="3"/>
    <x v="38"/>
    <x v="3"/>
  </r>
  <r>
    <x v="2"/>
    <x v="41"/>
    <x v="920"/>
    <x v="3"/>
    <x v="39"/>
    <x v="3"/>
  </r>
  <r>
    <x v="2"/>
    <x v="42"/>
    <x v="829"/>
    <x v="3"/>
    <x v="40"/>
    <x v="3"/>
  </r>
  <r>
    <x v="2"/>
    <x v="43"/>
    <x v="8"/>
    <x v="5"/>
    <x v="41"/>
    <x v="5"/>
  </r>
  <r>
    <x v="2"/>
    <x v="44"/>
    <x v="833"/>
    <x v="3"/>
    <x v="42"/>
    <x v="3"/>
  </r>
  <r>
    <x v="2"/>
    <x v="45"/>
    <x v="29"/>
    <x v="0"/>
    <x v="43"/>
    <x v="1"/>
  </r>
  <r>
    <x v="2"/>
    <x v="46"/>
    <x v="275"/>
    <x v="0"/>
    <x v="44"/>
    <x v="1"/>
  </r>
  <r>
    <x v="2"/>
    <x v="47"/>
    <x v="1203"/>
    <x v="3"/>
    <x v="45"/>
    <x v="3"/>
  </r>
  <r>
    <x v="2"/>
    <x v="48"/>
    <x v="988"/>
    <x v="1"/>
    <x v="46"/>
    <x v="2"/>
  </r>
  <r>
    <x v="2"/>
    <x v="49"/>
    <x v="1099"/>
    <x v="3"/>
    <x v="47"/>
    <x v="3"/>
  </r>
  <r>
    <x v="2"/>
    <x v="50"/>
    <x v="268"/>
    <x v="0"/>
    <x v="48"/>
    <x v="1"/>
  </r>
  <r>
    <x v="2"/>
    <x v="51"/>
    <x v="757"/>
    <x v="1"/>
    <x v="49"/>
    <x v="2"/>
  </r>
  <r>
    <x v="2"/>
    <x v="52"/>
    <x v="232"/>
    <x v="4"/>
    <x v="50"/>
    <x v="4"/>
  </r>
  <r>
    <x v="2"/>
    <x v="53"/>
    <x v="584"/>
    <x v="1"/>
    <x v="51"/>
    <x v="2"/>
  </r>
  <r>
    <x v="2"/>
    <x v="54"/>
    <x v="275"/>
    <x v="1"/>
    <x v="52"/>
    <x v="2"/>
  </r>
  <r>
    <x v="2"/>
    <x v="55"/>
    <x v="476"/>
    <x v="4"/>
    <x v="53"/>
    <x v="4"/>
  </r>
  <r>
    <x v="2"/>
    <x v="56"/>
    <x v="71"/>
    <x v="4"/>
    <x v="53"/>
    <x v="4"/>
  </r>
  <r>
    <x v="2"/>
    <x v="57"/>
    <x v="93"/>
    <x v="0"/>
    <x v="54"/>
    <x v="1"/>
  </r>
  <r>
    <x v="2"/>
    <x v="58"/>
    <x v="19"/>
    <x v="0"/>
    <x v="55"/>
    <x v="1"/>
  </r>
  <r>
    <x v="2"/>
    <x v="59"/>
    <x v="196"/>
    <x v="0"/>
    <x v="56"/>
    <x v="1"/>
  </r>
  <r>
    <x v="2"/>
    <x v="60"/>
    <x v="1015"/>
    <x v="1"/>
    <x v="57"/>
    <x v="2"/>
  </r>
  <r>
    <x v="2"/>
    <x v="61"/>
    <x v="754"/>
    <x v="1"/>
    <x v="58"/>
    <x v="2"/>
  </r>
  <r>
    <x v="2"/>
    <x v="62"/>
    <x v="376"/>
    <x v="1"/>
    <x v="59"/>
    <x v="2"/>
  </r>
  <r>
    <x v="2"/>
    <x v="63"/>
    <x v="175"/>
    <x v="4"/>
    <x v="60"/>
    <x v="4"/>
  </r>
  <r>
    <x v="2"/>
    <x v="64"/>
    <x v="886"/>
    <x v="1"/>
    <x v="61"/>
    <x v="2"/>
  </r>
  <r>
    <x v="2"/>
    <x v="65"/>
    <x v="870"/>
    <x v="1"/>
    <x v="62"/>
    <x v="2"/>
  </r>
  <r>
    <x v="2"/>
    <x v="66"/>
    <x v="477"/>
    <x v="1"/>
    <x v="63"/>
    <x v="2"/>
  </r>
  <r>
    <x v="2"/>
    <x v="67"/>
    <x v="1235"/>
    <x v="3"/>
    <x v="64"/>
    <x v="3"/>
  </r>
  <r>
    <x v="2"/>
    <x v="68"/>
    <x v="451"/>
    <x v="0"/>
    <x v="65"/>
    <x v="1"/>
  </r>
  <r>
    <x v="2"/>
    <x v="69"/>
    <x v="573"/>
    <x v="4"/>
    <x v="66"/>
    <x v="4"/>
  </r>
  <r>
    <x v="2"/>
    <x v="70"/>
    <x v="594"/>
    <x v="1"/>
    <x v="67"/>
    <x v="2"/>
  </r>
  <r>
    <x v="2"/>
    <x v="71"/>
    <x v="645"/>
    <x v="1"/>
    <x v="68"/>
    <x v="2"/>
  </r>
  <r>
    <x v="2"/>
    <x v="72"/>
    <x v="216"/>
    <x v="4"/>
    <x v="69"/>
    <x v="4"/>
  </r>
  <r>
    <x v="2"/>
    <x v="73"/>
    <x v="853"/>
    <x v="3"/>
    <x v="70"/>
    <x v="3"/>
  </r>
  <r>
    <x v="2"/>
    <x v="74"/>
    <x v="876"/>
    <x v="3"/>
    <x v="71"/>
    <x v="3"/>
  </r>
  <r>
    <x v="2"/>
    <x v="75"/>
    <x v="681"/>
    <x v="1"/>
    <x v="72"/>
    <x v="2"/>
  </r>
  <r>
    <x v="2"/>
    <x v="76"/>
    <x v="318"/>
    <x v="1"/>
    <x v="73"/>
    <x v="2"/>
  </r>
  <r>
    <x v="2"/>
    <x v="77"/>
    <x v="331"/>
    <x v="0"/>
    <x v="74"/>
    <x v="1"/>
  </r>
  <r>
    <x v="2"/>
    <x v="78"/>
    <x v="1293"/>
    <x v="3"/>
    <x v="75"/>
    <x v="3"/>
  </r>
  <r>
    <x v="2"/>
    <x v="79"/>
    <x v="1016"/>
    <x v="1"/>
    <x v="76"/>
    <x v="2"/>
  </r>
  <r>
    <x v="2"/>
    <x v="80"/>
    <x v="217"/>
    <x v="0"/>
    <x v="77"/>
    <x v="1"/>
  </r>
  <r>
    <x v="2"/>
    <x v="81"/>
    <x v="742"/>
    <x v="4"/>
    <x v="78"/>
    <x v="4"/>
  </r>
  <r>
    <x v="2"/>
    <x v="82"/>
    <x v="490"/>
    <x v="4"/>
    <x v="79"/>
    <x v="4"/>
  </r>
  <r>
    <x v="2"/>
    <x v="83"/>
    <x v="7"/>
    <x v="5"/>
    <x v="80"/>
    <x v="5"/>
  </r>
  <r>
    <x v="2"/>
    <x v="84"/>
    <x v="551"/>
    <x v="1"/>
    <x v="81"/>
    <x v="2"/>
  </r>
  <r>
    <x v="2"/>
    <x v="85"/>
    <x v="75"/>
    <x v="4"/>
    <x v="82"/>
    <x v="4"/>
  </r>
  <r>
    <x v="2"/>
    <x v="86"/>
    <x v="1102"/>
    <x v="3"/>
    <x v="83"/>
    <x v="3"/>
  </r>
  <r>
    <x v="2"/>
    <x v="87"/>
    <x v="907"/>
    <x v="3"/>
    <x v="84"/>
    <x v="3"/>
  </r>
  <r>
    <x v="2"/>
    <x v="88"/>
    <x v="845"/>
    <x v="1"/>
    <x v="85"/>
    <x v="2"/>
  </r>
  <r>
    <x v="2"/>
    <x v="89"/>
    <x v="1171"/>
    <x v="3"/>
    <x v="86"/>
    <x v="3"/>
  </r>
  <r>
    <x v="2"/>
    <x v="90"/>
    <x v="657"/>
    <x v="1"/>
    <x v="87"/>
    <x v="2"/>
  </r>
  <r>
    <x v="2"/>
    <x v="91"/>
    <x v="707"/>
    <x v="4"/>
    <x v="88"/>
    <x v="4"/>
  </r>
  <r>
    <x v="2"/>
    <x v="92"/>
    <x v="167"/>
    <x v="4"/>
    <x v="89"/>
    <x v="4"/>
  </r>
  <r>
    <x v="2"/>
    <x v="93"/>
    <x v="164"/>
    <x v="0"/>
    <x v="90"/>
    <x v="1"/>
  </r>
  <r>
    <x v="2"/>
    <x v="94"/>
    <x v="825"/>
    <x v="4"/>
    <x v="91"/>
    <x v="4"/>
  </r>
  <r>
    <x v="2"/>
    <x v="95"/>
    <x v="49"/>
    <x v="4"/>
    <x v="92"/>
    <x v="4"/>
  </r>
  <r>
    <x v="2"/>
    <x v="96"/>
    <x v="956"/>
    <x v="1"/>
    <x v="93"/>
    <x v="2"/>
  </r>
  <r>
    <x v="2"/>
    <x v="97"/>
    <x v="288"/>
    <x v="4"/>
    <x v="94"/>
    <x v="4"/>
  </r>
  <r>
    <x v="2"/>
    <x v="98"/>
    <x v="1"/>
    <x v="5"/>
    <x v="95"/>
    <x v="5"/>
  </r>
  <r>
    <x v="2"/>
    <x v="99"/>
    <x v="1118"/>
    <x v="3"/>
    <x v="96"/>
    <x v="3"/>
  </r>
  <r>
    <x v="2"/>
    <x v="100"/>
    <x v="140"/>
    <x v="4"/>
    <x v="97"/>
    <x v="4"/>
  </r>
  <r>
    <x v="2"/>
    <x v="101"/>
    <x v="502"/>
    <x v="4"/>
    <x v="98"/>
    <x v="4"/>
  </r>
  <r>
    <x v="2"/>
    <x v="102"/>
    <x v="0"/>
    <x v="3"/>
    <x v="99"/>
    <x v="3"/>
  </r>
  <r>
    <x v="2"/>
    <x v="103"/>
    <x v="814"/>
    <x v="1"/>
    <x v="100"/>
    <x v="2"/>
  </r>
  <r>
    <x v="2"/>
    <x v="104"/>
    <x v="1204"/>
    <x v="3"/>
    <x v="101"/>
    <x v="3"/>
  </r>
  <r>
    <x v="2"/>
    <x v="105"/>
    <x v="260"/>
    <x v="1"/>
    <x v="102"/>
    <x v="2"/>
  </r>
  <r>
    <x v="2"/>
    <x v="106"/>
    <x v="23"/>
    <x v="5"/>
    <x v="103"/>
    <x v="5"/>
  </r>
  <r>
    <x v="2"/>
    <x v="108"/>
    <x v="29"/>
    <x v="1"/>
    <x v="105"/>
    <x v="2"/>
  </r>
  <r>
    <x v="2"/>
    <x v="109"/>
    <x v="1054"/>
    <x v="1"/>
    <x v="106"/>
    <x v="2"/>
  </r>
  <r>
    <x v="2"/>
    <x v="110"/>
    <x v="1192"/>
    <x v="3"/>
    <x v="107"/>
    <x v="3"/>
  </r>
  <r>
    <x v="2"/>
    <x v="111"/>
    <x v="1159"/>
    <x v="3"/>
    <x v="108"/>
    <x v="3"/>
  </r>
  <r>
    <x v="2"/>
    <x v="112"/>
    <x v="58"/>
    <x v="5"/>
    <x v="109"/>
    <x v="5"/>
  </r>
  <r>
    <x v="2"/>
    <x v="113"/>
    <x v="794"/>
    <x v="3"/>
    <x v="110"/>
    <x v="3"/>
  </r>
  <r>
    <x v="2"/>
    <x v="114"/>
    <x v="80"/>
    <x v="4"/>
    <x v="111"/>
    <x v="4"/>
  </r>
  <r>
    <x v="2"/>
    <x v="115"/>
    <x v="74"/>
    <x v="5"/>
    <x v="112"/>
    <x v="5"/>
  </r>
  <r>
    <x v="2"/>
    <x v="116"/>
    <x v="334"/>
    <x v="0"/>
    <x v="113"/>
    <x v="1"/>
  </r>
  <r>
    <x v="2"/>
    <x v="117"/>
    <x v="62"/>
    <x v="3"/>
    <x v="114"/>
    <x v="3"/>
  </r>
  <r>
    <x v="2"/>
    <x v="118"/>
    <x v="689"/>
    <x v="4"/>
    <x v="115"/>
    <x v="4"/>
  </r>
  <r>
    <x v="2"/>
    <x v="119"/>
    <x v="153"/>
    <x v="4"/>
    <x v="116"/>
    <x v="4"/>
  </r>
  <r>
    <x v="2"/>
    <x v="120"/>
    <x v="734"/>
    <x v="1"/>
    <x v="117"/>
    <x v="2"/>
  </r>
  <r>
    <x v="2"/>
    <x v="121"/>
    <x v="344"/>
    <x v="4"/>
    <x v="118"/>
    <x v="4"/>
  </r>
  <r>
    <x v="2"/>
    <x v="122"/>
    <x v="1060"/>
    <x v="3"/>
    <x v="119"/>
    <x v="3"/>
  </r>
  <r>
    <x v="2"/>
    <x v="123"/>
    <x v="205"/>
    <x v="0"/>
    <x v="120"/>
    <x v="1"/>
  </r>
  <r>
    <x v="2"/>
    <x v="124"/>
    <x v="633"/>
    <x v="3"/>
    <x v="121"/>
    <x v="3"/>
  </r>
  <r>
    <x v="2"/>
    <x v="125"/>
    <x v="108"/>
    <x v="3"/>
    <x v="122"/>
    <x v="3"/>
  </r>
  <r>
    <x v="2"/>
    <x v="126"/>
    <x v="807"/>
    <x v="4"/>
    <x v="123"/>
    <x v="4"/>
  </r>
  <r>
    <x v="2"/>
    <x v="127"/>
    <x v="663"/>
    <x v="4"/>
    <x v="124"/>
    <x v="4"/>
  </r>
  <r>
    <x v="2"/>
    <x v="128"/>
    <x v="441"/>
    <x v="4"/>
    <x v="126"/>
    <x v="4"/>
  </r>
  <r>
    <x v="2"/>
    <x v="129"/>
    <x v="1270"/>
    <x v="4"/>
    <x v="127"/>
    <x v="0"/>
  </r>
  <r>
    <x v="2"/>
    <x v="130"/>
    <x v="596"/>
    <x v="1"/>
    <x v="128"/>
    <x v="2"/>
  </r>
  <r>
    <x v="2"/>
    <x v="131"/>
    <x v="594"/>
    <x v="4"/>
    <x v="129"/>
    <x v="4"/>
  </r>
  <r>
    <x v="2"/>
    <x v="132"/>
    <x v="608"/>
    <x v="4"/>
    <x v="130"/>
    <x v="4"/>
  </r>
  <r>
    <x v="2"/>
    <x v="133"/>
    <x v="316"/>
    <x v="0"/>
    <x v="131"/>
    <x v="1"/>
  </r>
  <r>
    <x v="2"/>
    <x v="134"/>
    <x v="1043"/>
    <x v="3"/>
    <x v="132"/>
    <x v="3"/>
  </r>
  <r>
    <x v="2"/>
    <x v="135"/>
    <x v="1222"/>
    <x v="4"/>
    <x v="133"/>
    <x v="0"/>
  </r>
  <r>
    <x v="2"/>
    <x v="136"/>
    <x v="206"/>
    <x v="4"/>
    <x v="134"/>
    <x v="4"/>
  </r>
  <r>
    <x v="2"/>
    <x v="137"/>
    <x v="1056"/>
    <x v="3"/>
    <x v="135"/>
    <x v="3"/>
  </r>
  <r>
    <x v="2"/>
    <x v="138"/>
    <x v="1150"/>
    <x v="3"/>
    <x v="136"/>
    <x v="3"/>
  </r>
  <r>
    <x v="2"/>
    <x v="139"/>
    <x v="1131"/>
    <x v="3"/>
    <x v="137"/>
    <x v="3"/>
  </r>
  <r>
    <x v="2"/>
    <x v="140"/>
    <x v="1035"/>
    <x v="3"/>
    <x v="138"/>
    <x v="3"/>
  </r>
  <r>
    <x v="2"/>
    <x v="141"/>
    <x v="1209"/>
    <x v="3"/>
    <x v="139"/>
    <x v="3"/>
  </r>
  <r>
    <x v="2"/>
    <x v="142"/>
    <x v="976"/>
    <x v="4"/>
    <x v="140"/>
    <x v="4"/>
  </r>
  <r>
    <x v="2"/>
    <x v="143"/>
    <x v="711"/>
    <x v="4"/>
    <x v="141"/>
    <x v="4"/>
  </r>
  <r>
    <x v="2"/>
    <x v="144"/>
    <x v="190"/>
    <x v="0"/>
    <x v="142"/>
    <x v="1"/>
  </r>
  <r>
    <x v="2"/>
    <x v="145"/>
    <x v="1202"/>
    <x v="3"/>
    <x v="143"/>
    <x v="3"/>
  </r>
  <r>
    <x v="2"/>
    <x v="146"/>
    <x v="511"/>
    <x v="1"/>
    <x v="144"/>
    <x v="2"/>
  </r>
  <r>
    <x v="2"/>
    <x v="147"/>
    <x v="301"/>
    <x v="1"/>
    <x v="145"/>
    <x v="2"/>
  </r>
  <r>
    <x v="2"/>
    <x v="148"/>
    <x v="899"/>
    <x v="3"/>
    <x v="146"/>
    <x v="3"/>
  </r>
  <r>
    <x v="2"/>
    <x v="149"/>
    <x v="691"/>
    <x v="3"/>
    <x v="147"/>
    <x v="3"/>
  </r>
  <r>
    <x v="2"/>
    <x v="150"/>
    <x v="211"/>
    <x v="3"/>
    <x v="148"/>
    <x v="3"/>
  </r>
  <r>
    <x v="2"/>
    <x v="151"/>
    <x v="37"/>
    <x v="1"/>
    <x v="149"/>
    <x v="2"/>
  </r>
  <r>
    <x v="2"/>
    <x v="152"/>
    <x v="492"/>
    <x v="1"/>
    <x v="150"/>
    <x v="2"/>
  </r>
  <r>
    <x v="2"/>
    <x v="153"/>
    <x v="48"/>
    <x v="5"/>
    <x v="151"/>
    <x v="5"/>
  </r>
  <r>
    <x v="2"/>
    <x v="154"/>
    <x v="636"/>
    <x v="4"/>
    <x v="152"/>
    <x v="4"/>
  </r>
  <r>
    <x v="2"/>
    <x v="155"/>
    <x v="1193"/>
    <x v="3"/>
    <x v="153"/>
    <x v="3"/>
  </r>
  <r>
    <x v="2"/>
    <x v="156"/>
    <x v="368"/>
    <x v="0"/>
    <x v="154"/>
    <x v="1"/>
  </r>
  <r>
    <x v="2"/>
    <x v="157"/>
    <x v="583"/>
    <x v="4"/>
    <x v="155"/>
    <x v="4"/>
  </r>
  <r>
    <x v="2"/>
    <x v="158"/>
    <x v="1310"/>
    <x v="3"/>
    <x v="156"/>
    <x v="3"/>
  </r>
  <r>
    <x v="2"/>
    <x v="159"/>
    <x v="1254"/>
    <x v="3"/>
    <x v="157"/>
    <x v="3"/>
  </r>
  <r>
    <x v="2"/>
    <x v="160"/>
    <x v="1250"/>
    <x v="3"/>
    <x v="158"/>
    <x v="3"/>
  </r>
  <r>
    <x v="2"/>
    <x v="161"/>
    <x v="1224"/>
    <x v="3"/>
    <x v="159"/>
    <x v="3"/>
  </r>
  <r>
    <x v="2"/>
    <x v="162"/>
    <x v="726"/>
    <x v="1"/>
    <x v="160"/>
    <x v="2"/>
  </r>
  <r>
    <x v="2"/>
    <x v="163"/>
    <x v="898"/>
    <x v="3"/>
    <x v="161"/>
    <x v="3"/>
  </r>
  <r>
    <x v="2"/>
    <x v="164"/>
    <x v="337"/>
    <x v="0"/>
    <x v="162"/>
    <x v="1"/>
  </r>
  <r>
    <x v="2"/>
    <x v="165"/>
    <x v="563"/>
    <x v="0"/>
    <x v="163"/>
    <x v="1"/>
  </r>
  <r>
    <x v="2"/>
    <x v="166"/>
    <x v="348"/>
    <x v="0"/>
    <x v="164"/>
    <x v="1"/>
  </r>
  <r>
    <x v="2"/>
    <x v="167"/>
    <x v="1243"/>
    <x v="3"/>
    <x v="165"/>
    <x v="3"/>
  </r>
  <r>
    <x v="2"/>
    <x v="168"/>
    <x v="394"/>
    <x v="4"/>
    <x v="166"/>
    <x v="4"/>
  </r>
  <r>
    <x v="2"/>
    <x v="169"/>
    <x v="26"/>
    <x v="5"/>
    <x v="167"/>
    <x v="5"/>
  </r>
  <r>
    <x v="2"/>
    <x v="170"/>
    <x v="274"/>
    <x v="4"/>
    <x v="169"/>
    <x v="4"/>
  </r>
  <r>
    <x v="2"/>
    <x v="171"/>
    <x v="406"/>
    <x v="0"/>
    <x v="170"/>
    <x v="1"/>
  </r>
  <r>
    <x v="2"/>
    <x v="172"/>
    <x v="307"/>
    <x v="4"/>
    <x v="171"/>
    <x v="4"/>
  </r>
  <r>
    <x v="2"/>
    <x v="173"/>
    <x v="20"/>
    <x v="5"/>
    <x v="172"/>
    <x v="5"/>
  </r>
  <r>
    <x v="2"/>
    <x v="174"/>
    <x v="620"/>
    <x v="1"/>
    <x v="173"/>
    <x v="2"/>
  </r>
  <r>
    <x v="2"/>
    <x v="175"/>
    <x v="498"/>
    <x v="1"/>
    <x v="174"/>
    <x v="2"/>
  </r>
  <r>
    <x v="2"/>
    <x v="176"/>
    <x v="764"/>
    <x v="4"/>
    <x v="175"/>
    <x v="4"/>
  </r>
  <r>
    <x v="2"/>
    <x v="177"/>
    <x v="339"/>
    <x v="4"/>
    <x v="176"/>
    <x v="4"/>
  </r>
  <r>
    <x v="2"/>
    <x v="178"/>
    <x v="1101"/>
    <x v="1"/>
    <x v="177"/>
    <x v="2"/>
  </r>
  <r>
    <x v="2"/>
    <x v="179"/>
    <x v="282"/>
    <x v="0"/>
    <x v="178"/>
    <x v="1"/>
  </r>
  <r>
    <x v="2"/>
    <x v="180"/>
    <x v="157"/>
    <x v="0"/>
    <x v="179"/>
    <x v="1"/>
  </r>
  <r>
    <x v="2"/>
    <x v="181"/>
    <x v="18"/>
    <x v="0"/>
    <x v="180"/>
    <x v="1"/>
  </r>
  <r>
    <x v="2"/>
    <x v="182"/>
    <x v="404"/>
    <x v="0"/>
    <x v="181"/>
    <x v="1"/>
  </r>
  <r>
    <x v="2"/>
    <x v="183"/>
    <x v="1148"/>
    <x v="3"/>
    <x v="182"/>
    <x v="3"/>
  </r>
  <r>
    <x v="2"/>
    <x v="184"/>
    <x v="19"/>
    <x v="5"/>
    <x v="183"/>
    <x v="5"/>
  </r>
  <r>
    <x v="2"/>
    <x v="185"/>
    <x v="819"/>
    <x v="1"/>
    <x v="186"/>
    <x v="2"/>
  </r>
  <r>
    <x v="2"/>
    <x v="186"/>
    <x v="873"/>
    <x v="1"/>
    <x v="184"/>
    <x v="2"/>
  </r>
  <r>
    <x v="2"/>
    <x v="187"/>
    <x v="360"/>
    <x v="1"/>
    <x v="185"/>
    <x v="2"/>
  </r>
  <r>
    <x v="2"/>
    <x v="188"/>
    <x v="371"/>
    <x v="4"/>
    <x v="187"/>
    <x v="4"/>
  </r>
  <r>
    <x v="2"/>
    <x v="189"/>
    <x v="325"/>
    <x v="4"/>
    <x v="188"/>
    <x v="4"/>
  </r>
  <r>
    <x v="2"/>
    <x v="190"/>
    <x v="343"/>
    <x v="4"/>
    <x v="189"/>
    <x v="4"/>
  </r>
  <r>
    <x v="2"/>
    <x v="191"/>
    <x v="100"/>
    <x v="3"/>
    <x v="190"/>
    <x v="3"/>
  </r>
  <r>
    <x v="2"/>
    <x v="192"/>
    <x v="709"/>
    <x v="1"/>
    <x v="191"/>
    <x v="2"/>
  </r>
  <r>
    <x v="2"/>
    <x v="193"/>
    <x v="587"/>
    <x v="4"/>
    <x v="192"/>
    <x v="4"/>
  </r>
  <r>
    <x v="2"/>
    <x v="194"/>
    <x v="574"/>
    <x v="4"/>
    <x v="193"/>
    <x v="4"/>
  </r>
  <r>
    <x v="2"/>
    <x v="195"/>
    <x v="755"/>
    <x v="4"/>
    <x v="194"/>
    <x v="4"/>
  </r>
  <r>
    <x v="2"/>
    <x v="196"/>
    <x v="615"/>
    <x v="0"/>
    <x v="195"/>
    <x v="1"/>
  </r>
  <r>
    <x v="2"/>
    <x v="197"/>
    <x v="38"/>
    <x v="4"/>
    <x v="196"/>
    <x v="4"/>
  </r>
  <r>
    <x v="2"/>
    <x v="198"/>
    <x v="172"/>
    <x v="3"/>
    <x v="197"/>
    <x v="3"/>
  </r>
  <r>
    <x v="2"/>
    <x v="199"/>
    <x v="185"/>
    <x v="4"/>
    <x v="198"/>
    <x v="4"/>
  </r>
  <r>
    <x v="2"/>
    <x v="200"/>
    <x v="4"/>
    <x v="5"/>
    <x v="199"/>
    <x v="5"/>
  </r>
  <r>
    <x v="2"/>
    <x v="201"/>
    <x v="346"/>
    <x v="4"/>
    <x v="200"/>
    <x v="4"/>
  </r>
  <r>
    <x v="2"/>
    <x v="202"/>
    <x v="42"/>
    <x v="5"/>
    <x v="201"/>
    <x v="5"/>
  </r>
  <r>
    <x v="2"/>
    <x v="203"/>
    <x v="54"/>
    <x v="4"/>
    <x v="202"/>
    <x v="4"/>
  </r>
  <r>
    <x v="2"/>
    <x v="204"/>
    <x v="270"/>
    <x v="0"/>
    <x v="203"/>
    <x v="1"/>
  </r>
  <r>
    <x v="2"/>
    <x v="205"/>
    <x v="872"/>
    <x v="3"/>
    <x v="204"/>
    <x v="3"/>
  </r>
  <r>
    <x v="2"/>
    <x v="206"/>
    <x v="442"/>
    <x v="1"/>
    <x v="205"/>
    <x v="2"/>
  </r>
  <r>
    <x v="2"/>
    <x v="207"/>
    <x v="1180"/>
    <x v="3"/>
    <x v="206"/>
    <x v="3"/>
  </r>
  <r>
    <x v="2"/>
    <x v="208"/>
    <x v="217"/>
    <x v="0"/>
    <x v="207"/>
    <x v="1"/>
  </r>
  <r>
    <x v="2"/>
    <x v="209"/>
    <x v="342"/>
    <x v="0"/>
    <x v="208"/>
    <x v="1"/>
  </r>
  <r>
    <x v="2"/>
    <x v="210"/>
    <x v="82"/>
    <x v="5"/>
    <x v="209"/>
    <x v="5"/>
  </r>
  <r>
    <x v="2"/>
    <x v="211"/>
    <x v="274"/>
    <x v="4"/>
    <x v="210"/>
    <x v="4"/>
  </r>
  <r>
    <x v="2"/>
    <x v="212"/>
    <x v="569"/>
    <x v="4"/>
    <x v="211"/>
    <x v="4"/>
  </r>
  <r>
    <x v="2"/>
    <x v="213"/>
    <x v="462"/>
    <x v="1"/>
    <x v="212"/>
    <x v="2"/>
  </r>
  <r>
    <x v="2"/>
    <x v="214"/>
    <x v="237"/>
    <x v="4"/>
    <x v="213"/>
    <x v="4"/>
  </r>
  <r>
    <x v="2"/>
    <x v="215"/>
    <x v="278"/>
    <x v="4"/>
    <x v="214"/>
    <x v="4"/>
  </r>
  <r>
    <x v="2"/>
    <x v="216"/>
    <x v="643"/>
    <x v="0"/>
    <x v="215"/>
    <x v="1"/>
  </r>
  <r>
    <x v="2"/>
    <x v="217"/>
    <x v="66"/>
    <x v="5"/>
    <x v="216"/>
    <x v="5"/>
  </r>
  <r>
    <x v="2"/>
    <x v="218"/>
    <x v="173"/>
    <x v="1"/>
    <x v="217"/>
    <x v="2"/>
  </r>
  <r>
    <x v="2"/>
    <x v="219"/>
    <x v="839"/>
    <x v="4"/>
    <x v="218"/>
    <x v="4"/>
  </r>
  <r>
    <x v="2"/>
    <x v="220"/>
    <x v="964"/>
    <x v="3"/>
    <x v="219"/>
    <x v="3"/>
  </r>
  <r>
    <x v="2"/>
    <x v="221"/>
    <x v="888"/>
    <x v="1"/>
    <x v="220"/>
    <x v="2"/>
  </r>
  <r>
    <x v="2"/>
    <x v="222"/>
    <x v="894"/>
    <x v="4"/>
    <x v="221"/>
    <x v="4"/>
  </r>
  <r>
    <x v="2"/>
    <x v="223"/>
    <x v="515"/>
    <x v="1"/>
    <x v="222"/>
    <x v="2"/>
  </r>
  <r>
    <x v="2"/>
    <x v="224"/>
    <x v="781"/>
    <x v="1"/>
    <x v="223"/>
    <x v="2"/>
  </r>
  <r>
    <x v="2"/>
    <x v="225"/>
    <x v="1120"/>
    <x v="3"/>
    <x v="224"/>
    <x v="3"/>
  </r>
  <r>
    <x v="2"/>
    <x v="226"/>
    <x v="1274"/>
    <x v="3"/>
    <x v="225"/>
    <x v="3"/>
  </r>
  <r>
    <x v="2"/>
    <x v="227"/>
    <x v="1297"/>
    <x v="3"/>
    <x v="226"/>
    <x v="3"/>
  </r>
  <r>
    <x v="2"/>
    <x v="228"/>
    <x v="951"/>
    <x v="3"/>
    <x v="227"/>
    <x v="3"/>
  </r>
  <r>
    <x v="2"/>
    <x v="229"/>
    <x v="1093"/>
    <x v="3"/>
    <x v="228"/>
    <x v="3"/>
  </r>
  <r>
    <x v="2"/>
    <x v="230"/>
    <x v="1299"/>
    <x v="3"/>
    <x v="229"/>
    <x v="3"/>
  </r>
  <r>
    <x v="2"/>
    <x v="231"/>
    <x v="395"/>
    <x v="0"/>
    <x v="230"/>
    <x v="1"/>
  </r>
  <r>
    <x v="2"/>
    <x v="232"/>
    <x v="1162"/>
    <x v="3"/>
    <x v="232"/>
    <x v="3"/>
  </r>
  <r>
    <x v="2"/>
    <x v="233"/>
    <x v="1230"/>
    <x v="3"/>
    <x v="233"/>
    <x v="3"/>
  </r>
  <r>
    <x v="2"/>
    <x v="234"/>
    <x v="1062"/>
    <x v="3"/>
    <x v="234"/>
    <x v="3"/>
  </r>
  <r>
    <x v="2"/>
    <x v="235"/>
    <x v="1125"/>
    <x v="3"/>
    <x v="235"/>
    <x v="3"/>
  </r>
  <r>
    <x v="2"/>
    <x v="236"/>
    <x v="97"/>
    <x v="0"/>
    <x v="236"/>
    <x v="1"/>
  </r>
  <r>
    <x v="2"/>
    <x v="237"/>
    <x v="490"/>
    <x v="0"/>
    <x v="237"/>
    <x v="1"/>
  </r>
  <r>
    <x v="2"/>
    <x v="238"/>
    <x v="418"/>
    <x v="0"/>
    <x v="238"/>
    <x v="1"/>
  </r>
  <r>
    <x v="2"/>
    <x v="239"/>
    <x v="805"/>
    <x v="3"/>
    <x v="239"/>
    <x v="3"/>
  </r>
  <r>
    <x v="2"/>
    <x v="240"/>
    <x v="859"/>
    <x v="3"/>
    <x v="240"/>
    <x v="3"/>
  </r>
  <r>
    <x v="2"/>
    <x v="241"/>
    <x v="54"/>
    <x v="5"/>
    <x v="241"/>
    <x v="5"/>
  </r>
  <r>
    <x v="2"/>
    <x v="242"/>
    <x v="1208"/>
    <x v="3"/>
    <x v="242"/>
    <x v="3"/>
  </r>
  <r>
    <x v="2"/>
    <x v="243"/>
    <x v="526"/>
    <x v="0"/>
    <x v="243"/>
    <x v="1"/>
  </r>
  <r>
    <x v="2"/>
    <x v="244"/>
    <x v="238"/>
    <x v="0"/>
    <x v="244"/>
    <x v="1"/>
  </r>
  <r>
    <x v="2"/>
    <x v="245"/>
    <x v="1262"/>
    <x v="3"/>
    <x v="245"/>
    <x v="3"/>
  </r>
  <r>
    <x v="2"/>
    <x v="246"/>
    <x v="289"/>
    <x v="0"/>
    <x v="246"/>
    <x v="1"/>
  </r>
  <r>
    <x v="2"/>
    <x v="247"/>
    <x v="68"/>
    <x v="5"/>
    <x v="247"/>
    <x v="5"/>
  </r>
  <r>
    <x v="2"/>
    <x v="248"/>
    <x v="340"/>
    <x v="4"/>
    <x v="248"/>
    <x v="4"/>
  </r>
  <r>
    <x v="2"/>
    <x v="249"/>
    <x v="18"/>
    <x v="4"/>
    <x v="249"/>
    <x v="4"/>
  </r>
  <r>
    <x v="2"/>
    <x v="250"/>
    <x v="316"/>
    <x v="0"/>
    <x v="250"/>
    <x v="1"/>
  </r>
  <r>
    <x v="2"/>
    <x v="251"/>
    <x v="1135"/>
    <x v="1"/>
    <x v="251"/>
    <x v="2"/>
  </r>
  <r>
    <x v="2"/>
    <x v="252"/>
    <x v="1059"/>
    <x v="1"/>
    <x v="252"/>
    <x v="2"/>
  </r>
  <r>
    <x v="2"/>
    <x v="253"/>
    <x v="717"/>
    <x v="1"/>
    <x v="253"/>
    <x v="2"/>
  </r>
  <r>
    <x v="2"/>
    <x v="254"/>
    <x v="566"/>
    <x v="4"/>
    <x v="254"/>
    <x v="4"/>
  </r>
  <r>
    <x v="2"/>
    <x v="255"/>
    <x v="225"/>
    <x v="0"/>
    <x v="255"/>
    <x v="1"/>
  </r>
  <r>
    <x v="2"/>
    <x v="256"/>
    <x v="718"/>
    <x v="4"/>
    <x v="256"/>
    <x v="4"/>
  </r>
  <r>
    <x v="2"/>
    <x v="257"/>
    <x v="938"/>
    <x v="3"/>
    <x v="257"/>
    <x v="3"/>
  </r>
  <r>
    <x v="2"/>
    <x v="258"/>
    <x v="1021"/>
    <x v="3"/>
    <x v="258"/>
    <x v="3"/>
  </r>
  <r>
    <x v="2"/>
    <x v="259"/>
    <x v="1069"/>
    <x v="3"/>
    <x v="259"/>
    <x v="3"/>
  </r>
  <r>
    <x v="2"/>
    <x v="260"/>
    <x v="0"/>
    <x v="6"/>
    <x v="231"/>
    <x v="6"/>
  </r>
  <r>
    <x v="2"/>
    <x v="261"/>
    <x v="383"/>
    <x v="6"/>
    <x v="231"/>
    <x v="6"/>
  </r>
  <r>
    <x v="3"/>
    <x v="0"/>
    <x v="9"/>
    <x v="2"/>
    <x v="168"/>
    <x v="0"/>
  </r>
  <r>
    <x v="3"/>
    <x v="1"/>
    <x v="2"/>
    <x v="4"/>
    <x v="125"/>
    <x v="4"/>
  </r>
  <r>
    <x v="3"/>
    <x v="2"/>
    <x v="239"/>
    <x v="0"/>
    <x v="0"/>
    <x v="1"/>
  </r>
  <r>
    <x v="3"/>
    <x v="3"/>
    <x v="1001"/>
    <x v="3"/>
    <x v="1"/>
    <x v="3"/>
  </r>
  <r>
    <x v="3"/>
    <x v="4"/>
    <x v="4"/>
    <x v="5"/>
    <x v="2"/>
    <x v="5"/>
  </r>
  <r>
    <x v="3"/>
    <x v="5"/>
    <x v="86"/>
    <x v="5"/>
    <x v="3"/>
    <x v="5"/>
  </r>
  <r>
    <x v="3"/>
    <x v="6"/>
    <x v="1000"/>
    <x v="4"/>
    <x v="4"/>
    <x v="4"/>
  </r>
  <r>
    <x v="3"/>
    <x v="7"/>
    <x v="50"/>
    <x v="4"/>
    <x v="5"/>
    <x v="4"/>
  </r>
  <r>
    <x v="3"/>
    <x v="8"/>
    <x v="219"/>
    <x v="4"/>
    <x v="6"/>
    <x v="4"/>
  </r>
  <r>
    <x v="3"/>
    <x v="9"/>
    <x v="423"/>
    <x v="4"/>
    <x v="7"/>
    <x v="4"/>
  </r>
  <r>
    <x v="3"/>
    <x v="10"/>
    <x v="270"/>
    <x v="1"/>
    <x v="8"/>
    <x v="2"/>
  </r>
  <r>
    <x v="3"/>
    <x v="11"/>
    <x v="180"/>
    <x v="3"/>
    <x v="9"/>
    <x v="3"/>
  </r>
  <r>
    <x v="3"/>
    <x v="12"/>
    <x v="1083"/>
    <x v="3"/>
    <x v="10"/>
    <x v="3"/>
  </r>
  <r>
    <x v="3"/>
    <x v="13"/>
    <x v="816"/>
    <x v="1"/>
    <x v="11"/>
    <x v="2"/>
  </r>
  <r>
    <x v="3"/>
    <x v="14"/>
    <x v="221"/>
    <x v="4"/>
    <x v="12"/>
    <x v="4"/>
  </r>
  <r>
    <x v="3"/>
    <x v="15"/>
    <x v="505"/>
    <x v="4"/>
    <x v="13"/>
    <x v="4"/>
  </r>
  <r>
    <x v="3"/>
    <x v="16"/>
    <x v="974"/>
    <x v="1"/>
    <x v="14"/>
    <x v="2"/>
  </r>
  <r>
    <x v="3"/>
    <x v="17"/>
    <x v="391"/>
    <x v="0"/>
    <x v="15"/>
    <x v="1"/>
  </r>
  <r>
    <x v="3"/>
    <x v="18"/>
    <x v="215"/>
    <x v="4"/>
    <x v="16"/>
    <x v="4"/>
  </r>
  <r>
    <x v="3"/>
    <x v="19"/>
    <x v="522"/>
    <x v="0"/>
    <x v="17"/>
    <x v="1"/>
  </r>
  <r>
    <x v="3"/>
    <x v="20"/>
    <x v="480"/>
    <x v="1"/>
    <x v="18"/>
    <x v="2"/>
  </r>
  <r>
    <x v="3"/>
    <x v="21"/>
    <x v="561"/>
    <x v="1"/>
    <x v="19"/>
    <x v="2"/>
  </r>
  <r>
    <x v="3"/>
    <x v="22"/>
    <x v="111"/>
    <x v="5"/>
    <x v="20"/>
    <x v="5"/>
  </r>
  <r>
    <x v="3"/>
    <x v="23"/>
    <x v="758"/>
    <x v="3"/>
    <x v="21"/>
    <x v="3"/>
  </r>
  <r>
    <x v="3"/>
    <x v="24"/>
    <x v="949"/>
    <x v="1"/>
    <x v="22"/>
    <x v="2"/>
  </r>
  <r>
    <x v="3"/>
    <x v="25"/>
    <x v="653"/>
    <x v="1"/>
    <x v="23"/>
    <x v="2"/>
  </r>
  <r>
    <x v="3"/>
    <x v="26"/>
    <x v="8"/>
    <x v="4"/>
    <x v="24"/>
    <x v="4"/>
  </r>
  <r>
    <x v="3"/>
    <x v="27"/>
    <x v="612"/>
    <x v="4"/>
    <x v="25"/>
    <x v="4"/>
  </r>
  <r>
    <x v="3"/>
    <x v="28"/>
    <x v="290"/>
    <x v="1"/>
    <x v="26"/>
    <x v="2"/>
  </r>
  <r>
    <x v="3"/>
    <x v="29"/>
    <x v="6"/>
    <x v="4"/>
    <x v="27"/>
    <x v="4"/>
  </r>
  <r>
    <x v="3"/>
    <x v="30"/>
    <x v="193"/>
    <x v="0"/>
    <x v="28"/>
    <x v="1"/>
  </r>
  <r>
    <x v="3"/>
    <x v="31"/>
    <x v="277"/>
    <x v="0"/>
    <x v="29"/>
    <x v="1"/>
  </r>
  <r>
    <x v="3"/>
    <x v="32"/>
    <x v="978"/>
    <x v="1"/>
    <x v="30"/>
    <x v="2"/>
  </r>
  <r>
    <x v="3"/>
    <x v="33"/>
    <x v="563"/>
    <x v="1"/>
    <x v="31"/>
    <x v="2"/>
  </r>
  <r>
    <x v="3"/>
    <x v="34"/>
    <x v="556"/>
    <x v="1"/>
    <x v="32"/>
    <x v="2"/>
  </r>
  <r>
    <x v="3"/>
    <x v="35"/>
    <x v="975"/>
    <x v="1"/>
    <x v="33"/>
    <x v="2"/>
  </r>
  <r>
    <x v="3"/>
    <x v="36"/>
    <x v="1025"/>
    <x v="1"/>
    <x v="34"/>
    <x v="2"/>
  </r>
  <r>
    <x v="3"/>
    <x v="37"/>
    <x v="146"/>
    <x v="4"/>
    <x v="35"/>
    <x v="4"/>
  </r>
  <r>
    <x v="3"/>
    <x v="38"/>
    <x v="669"/>
    <x v="1"/>
    <x v="36"/>
    <x v="2"/>
  </r>
  <r>
    <x v="3"/>
    <x v="39"/>
    <x v="830"/>
    <x v="1"/>
    <x v="37"/>
    <x v="2"/>
  </r>
  <r>
    <x v="3"/>
    <x v="40"/>
    <x v="934"/>
    <x v="3"/>
    <x v="38"/>
    <x v="3"/>
  </r>
  <r>
    <x v="3"/>
    <x v="41"/>
    <x v="918"/>
    <x v="3"/>
    <x v="39"/>
    <x v="3"/>
  </r>
  <r>
    <x v="3"/>
    <x v="42"/>
    <x v="855"/>
    <x v="3"/>
    <x v="40"/>
    <x v="3"/>
  </r>
  <r>
    <x v="3"/>
    <x v="43"/>
    <x v="7"/>
    <x v="5"/>
    <x v="41"/>
    <x v="5"/>
  </r>
  <r>
    <x v="3"/>
    <x v="44"/>
    <x v="836"/>
    <x v="3"/>
    <x v="42"/>
    <x v="3"/>
  </r>
  <r>
    <x v="3"/>
    <x v="45"/>
    <x v="36"/>
    <x v="0"/>
    <x v="43"/>
    <x v="1"/>
  </r>
  <r>
    <x v="3"/>
    <x v="46"/>
    <x v="294"/>
    <x v="0"/>
    <x v="44"/>
    <x v="1"/>
  </r>
  <r>
    <x v="3"/>
    <x v="47"/>
    <x v="1195"/>
    <x v="3"/>
    <x v="45"/>
    <x v="3"/>
  </r>
  <r>
    <x v="3"/>
    <x v="48"/>
    <x v="1007"/>
    <x v="1"/>
    <x v="46"/>
    <x v="2"/>
  </r>
  <r>
    <x v="3"/>
    <x v="49"/>
    <x v="1092"/>
    <x v="3"/>
    <x v="47"/>
    <x v="3"/>
  </r>
  <r>
    <x v="3"/>
    <x v="50"/>
    <x v="250"/>
    <x v="0"/>
    <x v="48"/>
    <x v="1"/>
  </r>
  <r>
    <x v="3"/>
    <x v="51"/>
    <x v="767"/>
    <x v="1"/>
    <x v="49"/>
    <x v="2"/>
  </r>
  <r>
    <x v="3"/>
    <x v="52"/>
    <x v="282"/>
    <x v="4"/>
    <x v="50"/>
    <x v="4"/>
  </r>
  <r>
    <x v="3"/>
    <x v="53"/>
    <x v="597"/>
    <x v="1"/>
    <x v="51"/>
    <x v="2"/>
  </r>
  <r>
    <x v="3"/>
    <x v="54"/>
    <x v="298"/>
    <x v="1"/>
    <x v="52"/>
    <x v="2"/>
  </r>
  <r>
    <x v="3"/>
    <x v="55"/>
    <x v="500"/>
    <x v="4"/>
    <x v="53"/>
    <x v="4"/>
  </r>
  <r>
    <x v="3"/>
    <x v="56"/>
    <x v="88"/>
    <x v="4"/>
    <x v="53"/>
    <x v="4"/>
  </r>
  <r>
    <x v="3"/>
    <x v="57"/>
    <x v="92"/>
    <x v="0"/>
    <x v="54"/>
    <x v="1"/>
  </r>
  <r>
    <x v="3"/>
    <x v="58"/>
    <x v="17"/>
    <x v="0"/>
    <x v="55"/>
    <x v="1"/>
  </r>
  <r>
    <x v="3"/>
    <x v="59"/>
    <x v="183"/>
    <x v="0"/>
    <x v="56"/>
    <x v="1"/>
  </r>
  <r>
    <x v="3"/>
    <x v="60"/>
    <x v="1022"/>
    <x v="1"/>
    <x v="57"/>
    <x v="2"/>
  </r>
  <r>
    <x v="3"/>
    <x v="61"/>
    <x v="760"/>
    <x v="1"/>
    <x v="58"/>
    <x v="2"/>
  </r>
  <r>
    <x v="3"/>
    <x v="62"/>
    <x v="370"/>
    <x v="1"/>
    <x v="59"/>
    <x v="2"/>
  </r>
  <r>
    <x v="3"/>
    <x v="63"/>
    <x v="200"/>
    <x v="4"/>
    <x v="60"/>
    <x v="4"/>
  </r>
  <r>
    <x v="3"/>
    <x v="64"/>
    <x v="904"/>
    <x v="1"/>
    <x v="61"/>
    <x v="2"/>
  </r>
  <r>
    <x v="3"/>
    <x v="65"/>
    <x v="890"/>
    <x v="1"/>
    <x v="62"/>
    <x v="2"/>
  </r>
  <r>
    <x v="3"/>
    <x v="66"/>
    <x v="537"/>
    <x v="1"/>
    <x v="63"/>
    <x v="2"/>
  </r>
  <r>
    <x v="3"/>
    <x v="67"/>
    <x v="1246"/>
    <x v="3"/>
    <x v="64"/>
    <x v="3"/>
  </r>
  <r>
    <x v="3"/>
    <x v="68"/>
    <x v="450"/>
    <x v="0"/>
    <x v="65"/>
    <x v="1"/>
  </r>
  <r>
    <x v="3"/>
    <x v="69"/>
    <x v="617"/>
    <x v="4"/>
    <x v="66"/>
    <x v="4"/>
  </r>
  <r>
    <x v="3"/>
    <x v="70"/>
    <x v="589"/>
    <x v="1"/>
    <x v="67"/>
    <x v="2"/>
  </r>
  <r>
    <x v="3"/>
    <x v="71"/>
    <x v="652"/>
    <x v="1"/>
    <x v="68"/>
    <x v="2"/>
  </r>
  <r>
    <x v="3"/>
    <x v="72"/>
    <x v="233"/>
    <x v="4"/>
    <x v="69"/>
    <x v="4"/>
  </r>
  <r>
    <x v="3"/>
    <x v="73"/>
    <x v="856"/>
    <x v="3"/>
    <x v="70"/>
    <x v="3"/>
  </r>
  <r>
    <x v="3"/>
    <x v="74"/>
    <x v="878"/>
    <x v="3"/>
    <x v="71"/>
    <x v="3"/>
  </r>
  <r>
    <x v="3"/>
    <x v="75"/>
    <x v="692"/>
    <x v="1"/>
    <x v="72"/>
    <x v="2"/>
  </r>
  <r>
    <x v="3"/>
    <x v="76"/>
    <x v="322"/>
    <x v="1"/>
    <x v="73"/>
    <x v="2"/>
  </r>
  <r>
    <x v="3"/>
    <x v="77"/>
    <x v="333"/>
    <x v="0"/>
    <x v="74"/>
    <x v="1"/>
  </r>
  <r>
    <x v="3"/>
    <x v="78"/>
    <x v="1294"/>
    <x v="3"/>
    <x v="75"/>
    <x v="3"/>
  </r>
  <r>
    <x v="3"/>
    <x v="79"/>
    <x v="1057"/>
    <x v="1"/>
    <x v="76"/>
    <x v="2"/>
  </r>
  <r>
    <x v="3"/>
    <x v="80"/>
    <x v="207"/>
    <x v="0"/>
    <x v="77"/>
    <x v="1"/>
  </r>
  <r>
    <x v="3"/>
    <x v="81"/>
    <x v="737"/>
    <x v="4"/>
    <x v="78"/>
    <x v="4"/>
  </r>
  <r>
    <x v="3"/>
    <x v="82"/>
    <x v="506"/>
    <x v="4"/>
    <x v="79"/>
    <x v="4"/>
  </r>
  <r>
    <x v="3"/>
    <x v="83"/>
    <x v="6"/>
    <x v="5"/>
    <x v="80"/>
    <x v="5"/>
  </r>
  <r>
    <x v="3"/>
    <x v="84"/>
    <x v="555"/>
    <x v="1"/>
    <x v="81"/>
    <x v="2"/>
  </r>
  <r>
    <x v="3"/>
    <x v="85"/>
    <x v="65"/>
    <x v="4"/>
    <x v="82"/>
    <x v="4"/>
  </r>
  <r>
    <x v="3"/>
    <x v="86"/>
    <x v="1108"/>
    <x v="3"/>
    <x v="83"/>
    <x v="3"/>
  </r>
  <r>
    <x v="3"/>
    <x v="87"/>
    <x v="911"/>
    <x v="3"/>
    <x v="84"/>
    <x v="3"/>
  </r>
  <r>
    <x v="3"/>
    <x v="88"/>
    <x v="850"/>
    <x v="1"/>
    <x v="85"/>
    <x v="2"/>
  </r>
  <r>
    <x v="3"/>
    <x v="89"/>
    <x v="1167"/>
    <x v="3"/>
    <x v="86"/>
    <x v="3"/>
  </r>
  <r>
    <x v="3"/>
    <x v="90"/>
    <x v="666"/>
    <x v="1"/>
    <x v="87"/>
    <x v="2"/>
  </r>
  <r>
    <x v="3"/>
    <x v="91"/>
    <x v="705"/>
    <x v="4"/>
    <x v="88"/>
    <x v="4"/>
  </r>
  <r>
    <x v="3"/>
    <x v="92"/>
    <x v="434"/>
    <x v="4"/>
    <x v="89"/>
    <x v="4"/>
  </r>
  <r>
    <x v="3"/>
    <x v="93"/>
    <x v="153"/>
    <x v="0"/>
    <x v="90"/>
    <x v="1"/>
  </r>
  <r>
    <x v="3"/>
    <x v="94"/>
    <x v="831"/>
    <x v="4"/>
    <x v="91"/>
    <x v="4"/>
  </r>
  <r>
    <x v="3"/>
    <x v="95"/>
    <x v="78"/>
    <x v="4"/>
    <x v="92"/>
    <x v="4"/>
  </r>
  <r>
    <x v="3"/>
    <x v="96"/>
    <x v="967"/>
    <x v="1"/>
    <x v="93"/>
    <x v="2"/>
  </r>
  <r>
    <x v="3"/>
    <x v="97"/>
    <x v="279"/>
    <x v="4"/>
    <x v="94"/>
    <x v="4"/>
  </r>
  <r>
    <x v="3"/>
    <x v="98"/>
    <x v="1"/>
    <x v="5"/>
    <x v="95"/>
    <x v="5"/>
  </r>
  <r>
    <x v="3"/>
    <x v="99"/>
    <x v="1103"/>
    <x v="3"/>
    <x v="96"/>
    <x v="3"/>
  </r>
  <r>
    <x v="3"/>
    <x v="100"/>
    <x v="155"/>
    <x v="4"/>
    <x v="97"/>
    <x v="4"/>
  </r>
  <r>
    <x v="3"/>
    <x v="101"/>
    <x v="517"/>
    <x v="4"/>
    <x v="98"/>
    <x v="4"/>
  </r>
  <r>
    <x v="3"/>
    <x v="103"/>
    <x v="815"/>
    <x v="1"/>
    <x v="100"/>
    <x v="2"/>
  </r>
  <r>
    <x v="3"/>
    <x v="104"/>
    <x v="1197"/>
    <x v="3"/>
    <x v="101"/>
    <x v="3"/>
  </r>
  <r>
    <x v="3"/>
    <x v="105"/>
    <x v="286"/>
    <x v="1"/>
    <x v="102"/>
    <x v="2"/>
  </r>
  <r>
    <x v="3"/>
    <x v="106"/>
    <x v="11"/>
    <x v="5"/>
    <x v="103"/>
    <x v="5"/>
  </r>
  <r>
    <x v="3"/>
    <x v="107"/>
    <x v="0"/>
    <x v="5"/>
    <x v="104"/>
    <x v="5"/>
  </r>
  <r>
    <x v="3"/>
    <x v="108"/>
    <x v="40"/>
    <x v="1"/>
    <x v="105"/>
    <x v="2"/>
  </r>
  <r>
    <x v="3"/>
    <x v="109"/>
    <x v="1084"/>
    <x v="1"/>
    <x v="106"/>
    <x v="2"/>
  </r>
  <r>
    <x v="3"/>
    <x v="110"/>
    <x v="1198"/>
    <x v="3"/>
    <x v="107"/>
    <x v="3"/>
  </r>
  <r>
    <x v="3"/>
    <x v="111"/>
    <x v="1152"/>
    <x v="3"/>
    <x v="108"/>
    <x v="3"/>
  </r>
  <r>
    <x v="3"/>
    <x v="112"/>
    <x v="63"/>
    <x v="5"/>
    <x v="109"/>
    <x v="5"/>
  </r>
  <r>
    <x v="3"/>
    <x v="113"/>
    <x v="799"/>
    <x v="3"/>
    <x v="110"/>
    <x v="3"/>
  </r>
  <r>
    <x v="3"/>
    <x v="114"/>
    <x v="77"/>
    <x v="4"/>
    <x v="111"/>
    <x v="4"/>
  </r>
  <r>
    <x v="3"/>
    <x v="115"/>
    <x v="95"/>
    <x v="5"/>
    <x v="112"/>
    <x v="5"/>
  </r>
  <r>
    <x v="3"/>
    <x v="116"/>
    <x v="458"/>
    <x v="0"/>
    <x v="113"/>
    <x v="1"/>
  </r>
  <r>
    <x v="3"/>
    <x v="117"/>
    <x v="59"/>
    <x v="3"/>
    <x v="114"/>
    <x v="3"/>
  </r>
  <r>
    <x v="3"/>
    <x v="118"/>
    <x v="670"/>
    <x v="4"/>
    <x v="115"/>
    <x v="4"/>
  </r>
  <r>
    <x v="3"/>
    <x v="119"/>
    <x v="141"/>
    <x v="4"/>
    <x v="116"/>
    <x v="4"/>
  </r>
  <r>
    <x v="3"/>
    <x v="120"/>
    <x v="672"/>
    <x v="1"/>
    <x v="117"/>
    <x v="2"/>
  </r>
  <r>
    <x v="3"/>
    <x v="121"/>
    <x v="351"/>
    <x v="4"/>
    <x v="118"/>
    <x v="4"/>
  </r>
  <r>
    <x v="3"/>
    <x v="122"/>
    <x v="1049"/>
    <x v="3"/>
    <x v="119"/>
    <x v="3"/>
  </r>
  <r>
    <x v="3"/>
    <x v="123"/>
    <x v="192"/>
    <x v="0"/>
    <x v="120"/>
    <x v="1"/>
  </r>
  <r>
    <x v="3"/>
    <x v="124"/>
    <x v="644"/>
    <x v="3"/>
    <x v="121"/>
    <x v="3"/>
  </r>
  <r>
    <x v="3"/>
    <x v="125"/>
    <x v="122"/>
    <x v="3"/>
    <x v="122"/>
    <x v="3"/>
  </r>
  <r>
    <x v="3"/>
    <x v="126"/>
    <x v="813"/>
    <x v="4"/>
    <x v="123"/>
    <x v="4"/>
  </r>
  <r>
    <x v="3"/>
    <x v="127"/>
    <x v="667"/>
    <x v="4"/>
    <x v="124"/>
    <x v="4"/>
  </r>
  <r>
    <x v="3"/>
    <x v="128"/>
    <x v="421"/>
    <x v="4"/>
    <x v="126"/>
    <x v="4"/>
  </r>
  <r>
    <x v="3"/>
    <x v="129"/>
    <x v="1237"/>
    <x v="4"/>
    <x v="127"/>
    <x v="0"/>
  </r>
  <r>
    <x v="3"/>
    <x v="130"/>
    <x v="590"/>
    <x v="1"/>
    <x v="128"/>
    <x v="2"/>
  </r>
  <r>
    <x v="3"/>
    <x v="131"/>
    <x v="596"/>
    <x v="4"/>
    <x v="129"/>
    <x v="4"/>
  </r>
  <r>
    <x v="3"/>
    <x v="132"/>
    <x v="585"/>
    <x v="4"/>
    <x v="130"/>
    <x v="4"/>
  </r>
  <r>
    <x v="3"/>
    <x v="133"/>
    <x v="264"/>
    <x v="0"/>
    <x v="131"/>
    <x v="1"/>
  </r>
  <r>
    <x v="3"/>
    <x v="134"/>
    <x v="1040"/>
    <x v="3"/>
    <x v="132"/>
    <x v="3"/>
  </r>
  <r>
    <x v="3"/>
    <x v="135"/>
    <x v="1225"/>
    <x v="4"/>
    <x v="133"/>
    <x v="0"/>
  </r>
  <r>
    <x v="3"/>
    <x v="136"/>
    <x v="205"/>
    <x v="4"/>
    <x v="134"/>
    <x v="4"/>
  </r>
  <r>
    <x v="3"/>
    <x v="137"/>
    <x v="1055"/>
    <x v="3"/>
    <x v="135"/>
    <x v="3"/>
  </r>
  <r>
    <x v="3"/>
    <x v="138"/>
    <x v="1141"/>
    <x v="3"/>
    <x v="136"/>
    <x v="3"/>
  </r>
  <r>
    <x v="3"/>
    <x v="139"/>
    <x v="1147"/>
    <x v="3"/>
    <x v="137"/>
    <x v="3"/>
  </r>
  <r>
    <x v="3"/>
    <x v="140"/>
    <x v="1033"/>
    <x v="3"/>
    <x v="138"/>
    <x v="3"/>
  </r>
  <r>
    <x v="3"/>
    <x v="141"/>
    <x v="1199"/>
    <x v="3"/>
    <x v="139"/>
    <x v="3"/>
  </r>
  <r>
    <x v="3"/>
    <x v="142"/>
    <x v="983"/>
    <x v="4"/>
    <x v="140"/>
    <x v="4"/>
  </r>
  <r>
    <x v="3"/>
    <x v="143"/>
    <x v="715"/>
    <x v="4"/>
    <x v="141"/>
    <x v="4"/>
  </r>
  <r>
    <x v="3"/>
    <x v="144"/>
    <x v="178"/>
    <x v="0"/>
    <x v="142"/>
    <x v="1"/>
  </r>
  <r>
    <x v="3"/>
    <x v="145"/>
    <x v="1196"/>
    <x v="3"/>
    <x v="143"/>
    <x v="3"/>
  </r>
  <r>
    <x v="3"/>
    <x v="146"/>
    <x v="470"/>
    <x v="1"/>
    <x v="144"/>
    <x v="2"/>
  </r>
  <r>
    <x v="3"/>
    <x v="147"/>
    <x v="288"/>
    <x v="1"/>
    <x v="145"/>
    <x v="2"/>
  </r>
  <r>
    <x v="3"/>
    <x v="148"/>
    <x v="905"/>
    <x v="3"/>
    <x v="146"/>
    <x v="3"/>
  </r>
  <r>
    <x v="3"/>
    <x v="149"/>
    <x v="694"/>
    <x v="3"/>
    <x v="147"/>
    <x v="3"/>
  </r>
  <r>
    <x v="3"/>
    <x v="150"/>
    <x v="192"/>
    <x v="3"/>
    <x v="148"/>
    <x v="3"/>
  </r>
  <r>
    <x v="3"/>
    <x v="151"/>
    <x v="90"/>
    <x v="1"/>
    <x v="149"/>
    <x v="2"/>
  </r>
  <r>
    <x v="3"/>
    <x v="152"/>
    <x v="514"/>
    <x v="1"/>
    <x v="150"/>
    <x v="2"/>
  </r>
  <r>
    <x v="3"/>
    <x v="153"/>
    <x v="57"/>
    <x v="5"/>
    <x v="151"/>
    <x v="5"/>
  </r>
  <r>
    <x v="3"/>
    <x v="154"/>
    <x v="653"/>
    <x v="4"/>
    <x v="152"/>
    <x v="4"/>
  </r>
  <r>
    <x v="3"/>
    <x v="155"/>
    <x v="1220"/>
    <x v="3"/>
    <x v="153"/>
    <x v="3"/>
  </r>
  <r>
    <x v="3"/>
    <x v="156"/>
    <x v="352"/>
    <x v="0"/>
    <x v="154"/>
    <x v="1"/>
  </r>
  <r>
    <x v="3"/>
    <x v="157"/>
    <x v="591"/>
    <x v="4"/>
    <x v="155"/>
    <x v="4"/>
  </r>
  <r>
    <x v="3"/>
    <x v="158"/>
    <x v="1301"/>
    <x v="3"/>
    <x v="156"/>
    <x v="3"/>
  </r>
  <r>
    <x v="3"/>
    <x v="159"/>
    <x v="1236"/>
    <x v="3"/>
    <x v="157"/>
    <x v="3"/>
  </r>
  <r>
    <x v="3"/>
    <x v="160"/>
    <x v="1242"/>
    <x v="3"/>
    <x v="158"/>
    <x v="3"/>
  </r>
  <r>
    <x v="3"/>
    <x v="161"/>
    <x v="1223"/>
    <x v="3"/>
    <x v="159"/>
    <x v="3"/>
  </r>
  <r>
    <x v="3"/>
    <x v="162"/>
    <x v="693"/>
    <x v="1"/>
    <x v="160"/>
    <x v="2"/>
  </r>
  <r>
    <x v="3"/>
    <x v="163"/>
    <x v="925"/>
    <x v="3"/>
    <x v="161"/>
    <x v="3"/>
  </r>
  <r>
    <x v="3"/>
    <x v="164"/>
    <x v="336"/>
    <x v="0"/>
    <x v="162"/>
    <x v="1"/>
  </r>
  <r>
    <x v="3"/>
    <x v="165"/>
    <x v="559"/>
    <x v="0"/>
    <x v="163"/>
    <x v="1"/>
  </r>
  <r>
    <x v="3"/>
    <x v="166"/>
    <x v="350"/>
    <x v="0"/>
    <x v="164"/>
    <x v="1"/>
  </r>
  <r>
    <x v="3"/>
    <x v="167"/>
    <x v="1232"/>
    <x v="3"/>
    <x v="165"/>
    <x v="3"/>
  </r>
  <r>
    <x v="3"/>
    <x v="168"/>
    <x v="386"/>
    <x v="4"/>
    <x v="166"/>
    <x v="4"/>
  </r>
  <r>
    <x v="3"/>
    <x v="169"/>
    <x v="22"/>
    <x v="5"/>
    <x v="167"/>
    <x v="5"/>
  </r>
  <r>
    <x v="3"/>
    <x v="170"/>
    <x v="308"/>
    <x v="4"/>
    <x v="169"/>
    <x v="4"/>
  </r>
  <r>
    <x v="3"/>
    <x v="171"/>
    <x v="409"/>
    <x v="0"/>
    <x v="170"/>
    <x v="1"/>
  </r>
  <r>
    <x v="3"/>
    <x v="172"/>
    <x v="248"/>
    <x v="4"/>
    <x v="171"/>
    <x v="4"/>
  </r>
  <r>
    <x v="3"/>
    <x v="173"/>
    <x v="16"/>
    <x v="5"/>
    <x v="172"/>
    <x v="5"/>
  </r>
  <r>
    <x v="3"/>
    <x v="174"/>
    <x v="634"/>
    <x v="1"/>
    <x v="173"/>
    <x v="2"/>
  </r>
  <r>
    <x v="3"/>
    <x v="175"/>
    <x v="435"/>
    <x v="1"/>
    <x v="174"/>
    <x v="2"/>
  </r>
  <r>
    <x v="3"/>
    <x v="176"/>
    <x v="769"/>
    <x v="4"/>
    <x v="175"/>
    <x v="4"/>
  </r>
  <r>
    <x v="3"/>
    <x v="177"/>
    <x v="341"/>
    <x v="4"/>
    <x v="176"/>
    <x v="4"/>
  </r>
  <r>
    <x v="3"/>
    <x v="178"/>
    <x v="1107"/>
    <x v="1"/>
    <x v="177"/>
    <x v="2"/>
  </r>
  <r>
    <x v="3"/>
    <x v="179"/>
    <x v="262"/>
    <x v="0"/>
    <x v="178"/>
    <x v="1"/>
  </r>
  <r>
    <x v="3"/>
    <x v="180"/>
    <x v="159"/>
    <x v="0"/>
    <x v="179"/>
    <x v="1"/>
  </r>
  <r>
    <x v="3"/>
    <x v="181"/>
    <x v="67"/>
    <x v="0"/>
    <x v="180"/>
    <x v="1"/>
  </r>
  <r>
    <x v="3"/>
    <x v="182"/>
    <x v="433"/>
    <x v="0"/>
    <x v="181"/>
    <x v="1"/>
  </r>
  <r>
    <x v="3"/>
    <x v="183"/>
    <x v="1143"/>
    <x v="3"/>
    <x v="182"/>
    <x v="3"/>
  </r>
  <r>
    <x v="3"/>
    <x v="184"/>
    <x v="21"/>
    <x v="5"/>
    <x v="183"/>
    <x v="5"/>
  </r>
  <r>
    <x v="3"/>
    <x v="185"/>
    <x v="818"/>
    <x v="1"/>
    <x v="186"/>
    <x v="2"/>
  </r>
  <r>
    <x v="3"/>
    <x v="186"/>
    <x v="893"/>
    <x v="1"/>
    <x v="184"/>
    <x v="2"/>
  </r>
  <r>
    <x v="3"/>
    <x v="187"/>
    <x v="534"/>
    <x v="1"/>
    <x v="185"/>
    <x v="2"/>
  </r>
  <r>
    <x v="3"/>
    <x v="188"/>
    <x v="370"/>
    <x v="4"/>
    <x v="187"/>
    <x v="4"/>
  </r>
  <r>
    <x v="3"/>
    <x v="189"/>
    <x v="359"/>
    <x v="4"/>
    <x v="188"/>
    <x v="4"/>
  </r>
  <r>
    <x v="3"/>
    <x v="190"/>
    <x v="328"/>
    <x v="4"/>
    <x v="189"/>
    <x v="4"/>
  </r>
  <r>
    <x v="3"/>
    <x v="191"/>
    <x v="174"/>
    <x v="3"/>
    <x v="190"/>
    <x v="3"/>
  </r>
  <r>
    <x v="3"/>
    <x v="192"/>
    <x v="747"/>
    <x v="1"/>
    <x v="191"/>
    <x v="2"/>
  </r>
  <r>
    <x v="3"/>
    <x v="193"/>
    <x v="610"/>
    <x v="4"/>
    <x v="192"/>
    <x v="4"/>
  </r>
  <r>
    <x v="3"/>
    <x v="194"/>
    <x v="593"/>
    <x v="4"/>
    <x v="193"/>
    <x v="4"/>
  </r>
  <r>
    <x v="3"/>
    <x v="195"/>
    <x v="761"/>
    <x v="4"/>
    <x v="194"/>
    <x v="4"/>
  </r>
  <r>
    <x v="3"/>
    <x v="196"/>
    <x v="695"/>
    <x v="0"/>
    <x v="195"/>
    <x v="1"/>
  </r>
  <r>
    <x v="3"/>
    <x v="197"/>
    <x v="33"/>
    <x v="4"/>
    <x v="196"/>
    <x v="4"/>
  </r>
  <r>
    <x v="3"/>
    <x v="198"/>
    <x v="203"/>
    <x v="3"/>
    <x v="197"/>
    <x v="3"/>
  </r>
  <r>
    <x v="3"/>
    <x v="199"/>
    <x v="250"/>
    <x v="4"/>
    <x v="198"/>
    <x v="4"/>
  </r>
  <r>
    <x v="3"/>
    <x v="200"/>
    <x v="1"/>
    <x v="5"/>
    <x v="199"/>
    <x v="5"/>
  </r>
  <r>
    <x v="3"/>
    <x v="201"/>
    <x v="331"/>
    <x v="4"/>
    <x v="200"/>
    <x v="4"/>
  </r>
  <r>
    <x v="3"/>
    <x v="202"/>
    <x v="39"/>
    <x v="5"/>
    <x v="201"/>
    <x v="5"/>
  </r>
  <r>
    <x v="3"/>
    <x v="203"/>
    <x v="48"/>
    <x v="4"/>
    <x v="202"/>
    <x v="4"/>
  </r>
  <r>
    <x v="3"/>
    <x v="204"/>
    <x v="265"/>
    <x v="0"/>
    <x v="203"/>
    <x v="1"/>
  </r>
  <r>
    <x v="3"/>
    <x v="205"/>
    <x v="869"/>
    <x v="3"/>
    <x v="204"/>
    <x v="3"/>
  </r>
  <r>
    <x v="3"/>
    <x v="206"/>
    <x v="465"/>
    <x v="1"/>
    <x v="205"/>
    <x v="2"/>
  </r>
  <r>
    <x v="3"/>
    <x v="207"/>
    <x v="1181"/>
    <x v="3"/>
    <x v="206"/>
    <x v="3"/>
  </r>
  <r>
    <x v="3"/>
    <x v="208"/>
    <x v="240"/>
    <x v="0"/>
    <x v="207"/>
    <x v="1"/>
  </r>
  <r>
    <x v="3"/>
    <x v="209"/>
    <x v="327"/>
    <x v="0"/>
    <x v="208"/>
    <x v="1"/>
  </r>
  <r>
    <x v="3"/>
    <x v="210"/>
    <x v="82"/>
    <x v="5"/>
    <x v="209"/>
    <x v="5"/>
  </r>
  <r>
    <x v="3"/>
    <x v="211"/>
    <x v="271"/>
    <x v="4"/>
    <x v="210"/>
    <x v="4"/>
  </r>
  <r>
    <x v="3"/>
    <x v="212"/>
    <x v="575"/>
    <x v="4"/>
    <x v="211"/>
    <x v="4"/>
  </r>
  <r>
    <x v="3"/>
    <x v="213"/>
    <x v="475"/>
    <x v="1"/>
    <x v="212"/>
    <x v="2"/>
  </r>
  <r>
    <x v="3"/>
    <x v="214"/>
    <x v="220"/>
    <x v="4"/>
    <x v="213"/>
    <x v="4"/>
  </r>
  <r>
    <x v="3"/>
    <x v="215"/>
    <x v="267"/>
    <x v="4"/>
    <x v="214"/>
    <x v="4"/>
  </r>
  <r>
    <x v="3"/>
    <x v="216"/>
    <x v="647"/>
    <x v="0"/>
    <x v="215"/>
    <x v="1"/>
  </r>
  <r>
    <x v="3"/>
    <x v="217"/>
    <x v="73"/>
    <x v="5"/>
    <x v="216"/>
    <x v="5"/>
  </r>
  <r>
    <x v="3"/>
    <x v="218"/>
    <x v="168"/>
    <x v="1"/>
    <x v="217"/>
    <x v="2"/>
  </r>
  <r>
    <x v="3"/>
    <x v="219"/>
    <x v="842"/>
    <x v="4"/>
    <x v="218"/>
    <x v="4"/>
  </r>
  <r>
    <x v="3"/>
    <x v="220"/>
    <x v="971"/>
    <x v="3"/>
    <x v="219"/>
    <x v="3"/>
  </r>
  <r>
    <x v="3"/>
    <x v="221"/>
    <x v="909"/>
    <x v="1"/>
    <x v="220"/>
    <x v="2"/>
  </r>
  <r>
    <x v="3"/>
    <x v="222"/>
    <x v="896"/>
    <x v="4"/>
    <x v="221"/>
    <x v="4"/>
  </r>
  <r>
    <x v="3"/>
    <x v="223"/>
    <x v="523"/>
    <x v="1"/>
    <x v="222"/>
    <x v="2"/>
  </r>
  <r>
    <x v="3"/>
    <x v="224"/>
    <x v="796"/>
    <x v="1"/>
    <x v="223"/>
    <x v="2"/>
  </r>
  <r>
    <x v="3"/>
    <x v="225"/>
    <x v="1116"/>
    <x v="3"/>
    <x v="224"/>
    <x v="3"/>
  </r>
  <r>
    <x v="3"/>
    <x v="226"/>
    <x v="1257"/>
    <x v="3"/>
    <x v="225"/>
    <x v="3"/>
  </r>
  <r>
    <x v="3"/>
    <x v="227"/>
    <x v="1298"/>
    <x v="3"/>
    <x v="226"/>
    <x v="3"/>
  </r>
  <r>
    <x v="3"/>
    <x v="228"/>
    <x v="966"/>
    <x v="3"/>
    <x v="227"/>
    <x v="3"/>
  </r>
  <r>
    <x v="3"/>
    <x v="229"/>
    <x v="1078"/>
    <x v="3"/>
    <x v="228"/>
    <x v="3"/>
  </r>
  <r>
    <x v="3"/>
    <x v="230"/>
    <x v="1296"/>
    <x v="3"/>
    <x v="229"/>
    <x v="3"/>
  </r>
  <r>
    <x v="3"/>
    <x v="231"/>
    <x v="358"/>
    <x v="0"/>
    <x v="230"/>
    <x v="1"/>
  </r>
  <r>
    <x v="3"/>
    <x v="232"/>
    <x v="1175"/>
    <x v="3"/>
    <x v="232"/>
    <x v="3"/>
  </r>
  <r>
    <x v="3"/>
    <x v="233"/>
    <x v="1233"/>
    <x v="3"/>
    <x v="233"/>
    <x v="3"/>
  </r>
  <r>
    <x v="3"/>
    <x v="234"/>
    <x v="1066"/>
    <x v="3"/>
    <x v="234"/>
    <x v="3"/>
  </r>
  <r>
    <x v="3"/>
    <x v="235"/>
    <x v="1129"/>
    <x v="3"/>
    <x v="235"/>
    <x v="3"/>
  </r>
  <r>
    <x v="3"/>
    <x v="236"/>
    <x v="130"/>
    <x v="0"/>
    <x v="236"/>
    <x v="1"/>
  </r>
  <r>
    <x v="3"/>
    <x v="237"/>
    <x v="443"/>
    <x v="0"/>
    <x v="237"/>
    <x v="1"/>
  </r>
  <r>
    <x v="3"/>
    <x v="238"/>
    <x v="428"/>
    <x v="0"/>
    <x v="238"/>
    <x v="1"/>
  </r>
  <r>
    <x v="3"/>
    <x v="239"/>
    <x v="801"/>
    <x v="3"/>
    <x v="239"/>
    <x v="3"/>
  </r>
  <r>
    <x v="3"/>
    <x v="240"/>
    <x v="861"/>
    <x v="3"/>
    <x v="240"/>
    <x v="3"/>
  </r>
  <r>
    <x v="3"/>
    <x v="241"/>
    <x v="47"/>
    <x v="5"/>
    <x v="241"/>
    <x v="5"/>
  </r>
  <r>
    <x v="3"/>
    <x v="242"/>
    <x v="1221"/>
    <x v="3"/>
    <x v="242"/>
    <x v="3"/>
  </r>
  <r>
    <x v="3"/>
    <x v="243"/>
    <x v="671"/>
    <x v="0"/>
    <x v="243"/>
    <x v="1"/>
  </r>
  <r>
    <x v="3"/>
    <x v="244"/>
    <x v="245"/>
    <x v="0"/>
    <x v="244"/>
    <x v="1"/>
  </r>
  <r>
    <x v="3"/>
    <x v="245"/>
    <x v="1263"/>
    <x v="3"/>
    <x v="245"/>
    <x v="3"/>
  </r>
  <r>
    <x v="3"/>
    <x v="246"/>
    <x v="293"/>
    <x v="0"/>
    <x v="246"/>
    <x v="1"/>
  </r>
  <r>
    <x v="3"/>
    <x v="247"/>
    <x v="79"/>
    <x v="5"/>
    <x v="247"/>
    <x v="5"/>
  </r>
  <r>
    <x v="3"/>
    <x v="248"/>
    <x v="357"/>
    <x v="4"/>
    <x v="248"/>
    <x v="4"/>
  </r>
  <r>
    <x v="3"/>
    <x v="249"/>
    <x v="118"/>
    <x v="4"/>
    <x v="249"/>
    <x v="4"/>
  </r>
  <r>
    <x v="3"/>
    <x v="250"/>
    <x v="302"/>
    <x v="0"/>
    <x v="250"/>
    <x v="1"/>
  </r>
  <r>
    <x v="3"/>
    <x v="251"/>
    <x v="1178"/>
    <x v="1"/>
    <x v="251"/>
    <x v="2"/>
  </r>
  <r>
    <x v="3"/>
    <x v="252"/>
    <x v="1086"/>
    <x v="1"/>
    <x v="252"/>
    <x v="2"/>
  </r>
  <r>
    <x v="3"/>
    <x v="253"/>
    <x v="738"/>
    <x v="1"/>
    <x v="253"/>
    <x v="2"/>
  </r>
  <r>
    <x v="3"/>
    <x v="254"/>
    <x v="539"/>
    <x v="4"/>
    <x v="254"/>
    <x v="4"/>
  </r>
  <r>
    <x v="3"/>
    <x v="255"/>
    <x v="253"/>
    <x v="0"/>
    <x v="255"/>
    <x v="1"/>
  </r>
  <r>
    <x v="3"/>
    <x v="256"/>
    <x v="721"/>
    <x v="4"/>
    <x v="256"/>
    <x v="4"/>
  </r>
  <r>
    <x v="3"/>
    <x v="257"/>
    <x v="960"/>
    <x v="3"/>
    <x v="257"/>
    <x v="3"/>
  </r>
  <r>
    <x v="3"/>
    <x v="258"/>
    <x v="1027"/>
    <x v="3"/>
    <x v="258"/>
    <x v="3"/>
  </r>
  <r>
    <x v="3"/>
    <x v="259"/>
    <x v="1065"/>
    <x v="3"/>
    <x v="259"/>
    <x v="3"/>
  </r>
  <r>
    <x v="3"/>
    <x v="260"/>
    <x v="0"/>
    <x v="6"/>
    <x v="231"/>
    <x v="6"/>
  </r>
  <r>
    <x v="3"/>
    <x v="261"/>
    <x v="375"/>
    <x v="6"/>
    <x v="231"/>
    <x v="6"/>
  </r>
  <r>
    <x v="4"/>
    <x v="0"/>
    <x v="24"/>
    <x v="2"/>
    <x v="168"/>
    <x v="0"/>
  </r>
  <r>
    <x v="4"/>
    <x v="1"/>
    <x v="1"/>
    <x v="4"/>
    <x v="125"/>
    <x v="4"/>
  </r>
  <r>
    <x v="4"/>
    <x v="2"/>
    <x v="354"/>
    <x v="0"/>
    <x v="0"/>
    <x v="1"/>
  </r>
  <r>
    <x v="4"/>
    <x v="3"/>
    <x v="1023"/>
    <x v="3"/>
    <x v="1"/>
    <x v="3"/>
  </r>
  <r>
    <x v="4"/>
    <x v="4"/>
    <x v="5"/>
    <x v="5"/>
    <x v="2"/>
    <x v="5"/>
  </r>
  <r>
    <x v="4"/>
    <x v="5"/>
    <x v="94"/>
    <x v="5"/>
    <x v="3"/>
    <x v="5"/>
  </r>
  <r>
    <x v="4"/>
    <x v="6"/>
    <x v="1037"/>
    <x v="4"/>
    <x v="4"/>
    <x v="4"/>
  </r>
  <r>
    <x v="4"/>
    <x v="7"/>
    <x v="79"/>
    <x v="4"/>
    <x v="5"/>
    <x v="4"/>
  </r>
  <r>
    <x v="4"/>
    <x v="8"/>
    <x v="276"/>
    <x v="4"/>
    <x v="6"/>
    <x v="4"/>
  </r>
  <r>
    <x v="4"/>
    <x v="9"/>
    <x v="549"/>
    <x v="4"/>
    <x v="7"/>
    <x v="4"/>
  </r>
  <r>
    <x v="4"/>
    <x v="10"/>
    <x v="297"/>
    <x v="1"/>
    <x v="8"/>
    <x v="2"/>
  </r>
  <r>
    <x v="4"/>
    <x v="11"/>
    <x v="256"/>
    <x v="3"/>
    <x v="9"/>
    <x v="3"/>
  </r>
  <r>
    <x v="4"/>
    <x v="12"/>
    <x v="1105"/>
    <x v="3"/>
    <x v="10"/>
    <x v="3"/>
  </r>
  <r>
    <x v="4"/>
    <x v="13"/>
    <x v="852"/>
    <x v="1"/>
    <x v="11"/>
    <x v="2"/>
  </r>
  <r>
    <x v="4"/>
    <x v="14"/>
    <x v="310"/>
    <x v="4"/>
    <x v="12"/>
    <x v="4"/>
  </r>
  <r>
    <x v="4"/>
    <x v="15"/>
    <x v="613"/>
    <x v="4"/>
    <x v="13"/>
    <x v="4"/>
  </r>
  <r>
    <x v="4"/>
    <x v="16"/>
    <x v="1019"/>
    <x v="1"/>
    <x v="14"/>
    <x v="2"/>
  </r>
  <r>
    <x v="4"/>
    <x v="17"/>
    <x v="529"/>
    <x v="0"/>
    <x v="15"/>
    <x v="1"/>
  </r>
  <r>
    <x v="4"/>
    <x v="18"/>
    <x v="304"/>
    <x v="4"/>
    <x v="16"/>
    <x v="4"/>
  </r>
  <r>
    <x v="4"/>
    <x v="19"/>
    <x v="660"/>
    <x v="0"/>
    <x v="17"/>
    <x v="1"/>
  </r>
  <r>
    <x v="4"/>
    <x v="20"/>
    <x v="544"/>
    <x v="1"/>
    <x v="18"/>
    <x v="2"/>
  </r>
  <r>
    <x v="4"/>
    <x v="21"/>
    <x v="630"/>
    <x v="1"/>
    <x v="19"/>
    <x v="2"/>
  </r>
  <r>
    <x v="4"/>
    <x v="22"/>
    <x v="119"/>
    <x v="5"/>
    <x v="20"/>
    <x v="5"/>
  </r>
  <r>
    <x v="4"/>
    <x v="23"/>
    <x v="784"/>
    <x v="3"/>
    <x v="21"/>
    <x v="3"/>
  </r>
  <r>
    <x v="4"/>
    <x v="24"/>
    <x v="991"/>
    <x v="1"/>
    <x v="22"/>
    <x v="2"/>
  </r>
  <r>
    <x v="4"/>
    <x v="25"/>
    <x v="697"/>
    <x v="1"/>
    <x v="23"/>
    <x v="2"/>
  </r>
  <r>
    <x v="4"/>
    <x v="26"/>
    <x v="39"/>
    <x v="4"/>
    <x v="24"/>
    <x v="4"/>
  </r>
  <r>
    <x v="4"/>
    <x v="27"/>
    <x v="668"/>
    <x v="4"/>
    <x v="25"/>
    <x v="4"/>
  </r>
  <r>
    <x v="4"/>
    <x v="28"/>
    <x v="374"/>
    <x v="1"/>
    <x v="26"/>
    <x v="2"/>
  </r>
  <r>
    <x v="4"/>
    <x v="29"/>
    <x v="16"/>
    <x v="4"/>
    <x v="27"/>
    <x v="4"/>
  </r>
  <r>
    <x v="4"/>
    <x v="30"/>
    <x v="296"/>
    <x v="0"/>
    <x v="28"/>
    <x v="1"/>
  </r>
  <r>
    <x v="4"/>
    <x v="31"/>
    <x v="402"/>
    <x v="0"/>
    <x v="29"/>
    <x v="1"/>
  </r>
  <r>
    <x v="4"/>
    <x v="32"/>
    <x v="1011"/>
    <x v="1"/>
    <x v="30"/>
    <x v="2"/>
  </r>
  <r>
    <x v="4"/>
    <x v="33"/>
    <x v="626"/>
    <x v="1"/>
    <x v="31"/>
    <x v="2"/>
  </r>
  <r>
    <x v="4"/>
    <x v="34"/>
    <x v="595"/>
    <x v="1"/>
    <x v="32"/>
    <x v="2"/>
  </r>
  <r>
    <x v="4"/>
    <x v="35"/>
    <x v="1014"/>
    <x v="1"/>
    <x v="33"/>
    <x v="2"/>
  </r>
  <r>
    <x v="4"/>
    <x v="36"/>
    <x v="1082"/>
    <x v="1"/>
    <x v="34"/>
    <x v="2"/>
  </r>
  <r>
    <x v="4"/>
    <x v="37"/>
    <x v="196"/>
    <x v="4"/>
    <x v="35"/>
    <x v="4"/>
  </r>
  <r>
    <x v="4"/>
    <x v="38"/>
    <x v="722"/>
    <x v="1"/>
    <x v="36"/>
    <x v="2"/>
  </r>
  <r>
    <x v="4"/>
    <x v="39"/>
    <x v="881"/>
    <x v="1"/>
    <x v="37"/>
    <x v="2"/>
  </r>
  <r>
    <x v="4"/>
    <x v="40"/>
    <x v="985"/>
    <x v="3"/>
    <x v="38"/>
    <x v="3"/>
  </r>
  <r>
    <x v="4"/>
    <x v="41"/>
    <x v="979"/>
    <x v="3"/>
    <x v="39"/>
    <x v="3"/>
  </r>
  <r>
    <x v="4"/>
    <x v="42"/>
    <x v="912"/>
    <x v="3"/>
    <x v="40"/>
    <x v="3"/>
  </r>
  <r>
    <x v="4"/>
    <x v="43"/>
    <x v="5"/>
    <x v="5"/>
    <x v="41"/>
    <x v="5"/>
  </r>
  <r>
    <x v="4"/>
    <x v="44"/>
    <x v="874"/>
    <x v="3"/>
    <x v="42"/>
    <x v="3"/>
  </r>
  <r>
    <x v="4"/>
    <x v="45"/>
    <x v="80"/>
    <x v="0"/>
    <x v="43"/>
    <x v="1"/>
  </r>
  <r>
    <x v="4"/>
    <x v="46"/>
    <x v="414"/>
    <x v="0"/>
    <x v="44"/>
    <x v="1"/>
  </r>
  <r>
    <x v="4"/>
    <x v="47"/>
    <x v="1244"/>
    <x v="3"/>
    <x v="45"/>
    <x v="3"/>
  </r>
  <r>
    <x v="4"/>
    <x v="48"/>
    <x v="1032"/>
    <x v="1"/>
    <x v="46"/>
    <x v="2"/>
  </r>
  <r>
    <x v="4"/>
    <x v="49"/>
    <x v="1114"/>
    <x v="3"/>
    <x v="47"/>
    <x v="3"/>
  </r>
  <r>
    <x v="4"/>
    <x v="50"/>
    <x v="389"/>
    <x v="0"/>
    <x v="48"/>
    <x v="1"/>
  </r>
  <r>
    <x v="4"/>
    <x v="51"/>
    <x v="782"/>
    <x v="1"/>
    <x v="49"/>
    <x v="2"/>
  </r>
  <r>
    <x v="4"/>
    <x v="52"/>
    <x v="313"/>
    <x v="4"/>
    <x v="50"/>
    <x v="4"/>
  </r>
  <r>
    <x v="4"/>
    <x v="53"/>
    <x v="655"/>
    <x v="1"/>
    <x v="51"/>
    <x v="2"/>
  </r>
  <r>
    <x v="4"/>
    <x v="54"/>
    <x v="467"/>
    <x v="1"/>
    <x v="52"/>
    <x v="2"/>
  </r>
  <r>
    <x v="4"/>
    <x v="55"/>
    <x v="558"/>
    <x v="4"/>
    <x v="53"/>
    <x v="4"/>
  </r>
  <r>
    <x v="4"/>
    <x v="56"/>
    <x v="98"/>
    <x v="4"/>
    <x v="53"/>
    <x v="4"/>
  </r>
  <r>
    <x v="4"/>
    <x v="57"/>
    <x v="104"/>
    <x v="0"/>
    <x v="54"/>
    <x v="1"/>
  </r>
  <r>
    <x v="4"/>
    <x v="58"/>
    <x v="30"/>
    <x v="0"/>
    <x v="55"/>
    <x v="1"/>
  </r>
  <r>
    <x v="4"/>
    <x v="59"/>
    <x v="255"/>
    <x v="0"/>
    <x v="56"/>
    <x v="1"/>
  </r>
  <r>
    <x v="4"/>
    <x v="60"/>
    <x v="1064"/>
    <x v="1"/>
    <x v="57"/>
    <x v="2"/>
  </r>
  <r>
    <x v="4"/>
    <x v="61"/>
    <x v="788"/>
    <x v="1"/>
    <x v="58"/>
    <x v="2"/>
  </r>
  <r>
    <x v="4"/>
    <x v="62"/>
    <x v="466"/>
    <x v="1"/>
    <x v="59"/>
    <x v="2"/>
  </r>
  <r>
    <x v="4"/>
    <x v="63"/>
    <x v="284"/>
    <x v="4"/>
    <x v="60"/>
    <x v="4"/>
  </r>
  <r>
    <x v="4"/>
    <x v="64"/>
    <x v="943"/>
    <x v="1"/>
    <x v="61"/>
    <x v="2"/>
  </r>
  <r>
    <x v="4"/>
    <x v="65"/>
    <x v="924"/>
    <x v="1"/>
    <x v="62"/>
    <x v="2"/>
  </r>
  <r>
    <x v="4"/>
    <x v="66"/>
    <x v="628"/>
    <x v="1"/>
    <x v="63"/>
    <x v="2"/>
  </r>
  <r>
    <x v="4"/>
    <x v="67"/>
    <x v="1279"/>
    <x v="3"/>
    <x v="64"/>
    <x v="3"/>
  </r>
  <r>
    <x v="4"/>
    <x v="68"/>
    <x v="616"/>
    <x v="0"/>
    <x v="65"/>
    <x v="1"/>
  </r>
  <r>
    <x v="4"/>
    <x v="69"/>
    <x v="696"/>
    <x v="4"/>
    <x v="66"/>
    <x v="4"/>
  </r>
  <r>
    <x v="4"/>
    <x v="70"/>
    <x v="687"/>
    <x v="1"/>
    <x v="67"/>
    <x v="2"/>
  </r>
  <r>
    <x v="4"/>
    <x v="71"/>
    <x v="704"/>
    <x v="1"/>
    <x v="68"/>
    <x v="2"/>
  </r>
  <r>
    <x v="4"/>
    <x v="72"/>
    <x v="329"/>
    <x v="4"/>
    <x v="69"/>
    <x v="4"/>
  </r>
  <r>
    <x v="4"/>
    <x v="73"/>
    <x v="916"/>
    <x v="3"/>
    <x v="70"/>
    <x v="3"/>
  </r>
  <r>
    <x v="4"/>
    <x v="74"/>
    <x v="923"/>
    <x v="3"/>
    <x v="71"/>
    <x v="3"/>
  </r>
  <r>
    <x v="4"/>
    <x v="75"/>
    <x v="720"/>
    <x v="1"/>
    <x v="72"/>
    <x v="2"/>
  </r>
  <r>
    <x v="4"/>
    <x v="76"/>
    <x v="411"/>
    <x v="1"/>
    <x v="73"/>
    <x v="2"/>
  </r>
  <r>
    <x v="4"/>
    <x v="77"/>
    <x v="481"/>
    <x v="0"/>
    <x v="74"/>
    <x v="1"/>
  </r>
  <r>
    <x v="4"/>
    <x v="78"/>
    <x v="1309"/>
    <x v="3"/>
    <x v="75"/>
    <x v="3"/>
  </r>
  <r>
    <x v="4"/>
    <x v="79"/>
    <x v="1113"/>
    <x v="1"/>
    <x v="76"/>
    <x v="2"/>
  </r>
  <r>
    <x v="4"/>
    <x v="80"/>
    <x v="287"/>
    <x v="0"/>
    <x v="77"/>
    <x v="1"/>
  </r>
  <r>
    <x v="4"/>
    <x v="81"/>
    <x v="778"/>
    <x v="4"/>
    <x v="78"/>
    <x v="4"/>
  </r>
  <r>
    <x v="4"/>
    <x v="82"/>
    <x v="576"/>
    <x v="4"/>
    <x v="79"/>
    <x v="4"/>
  </r>
  <r>
    <x v="4"/>
    <x v="83"/>
    <x v="7"/>
    <x v="5"/>
    <x v="80"/>
    <x v="5"/>
  </r>
  <r>
    <x v="4"/>
    <x v="84"/>
    <x v="642"/>
    <x v="1"/>
    <x v="81"/>
    <x v="2"/>
  </r>
  <r>
    <x v="4"/>
    <x v="85"/>
    <x v="74"/>
    <x v="4"/>
    <x v="82"/>
    <x v="4"/>
  </r>
  <r>
    <x v="4"/>
    <x v="86"/>
    <x v="1123"/>
    <x v="3"/>
    <x v="83"/>
    <x v="3"/>
  </r>
  <r>
    <x v="4"/>
    <x v="87"/>
    <x v="935"/>
    <x v="3"/>
    <x v="84"/>
    <x v="3"/>
  </r>
  <r>
    <x v="4"/>
    <x v="88"/>
    <x v="922"/>
    <x v="1"/>
    <x v="85"/>
    <x v="2"/>
  </r>
  <r>
    <x v="4"/>
    <x v="89"/>
    <x v="1214"/>
    <x v="3"/>
    <x v="86"/>
    <x v="3"/>
  </r>
  <r>
    <x v="4"/>
    <x v="90"/>
    <x v="719"/>
    <x v="1"/>
    <x v="87"/>
    <x v="2"/>
  </r>
  <r>
    <x v="4"/>
    <x v="91"/>
    <x v="766"/>
    <x v="4"/>
    <x v="88"/>
    <x v="4"/>
  </r>
  <r>
    <x v="4"/>
    <x v="92"/>
    <x v="521"/>
    <x v="4"/>
    <x v="89"/>
    <x v="4"/>
  </r>
  <r>
    <x v="4"/>
    <x v="93"/>
    <x v="263"/>
    <x v="0"/>
    <x v="90"/>
    <x v="1"/>
  </r>
  <r>
    <x v="4"/>
    <x v="94"/>
    <x v="891"/>
    <x v="4"/>
    <x v="91"/>
    <x v="4"/>
  </r>
  <r>
    <x v="4"/>
    <x v="95"/>
    <x v="107"/>
    <x v="4"/>
    <x v="92"/>
    <x v="4"/>
  </r>
  <r>
    <x v="4"/>
    <x v="96"/>
    <x v="1005"/>
    <x v="1"/>
    <x v="93"/>
    <x v="2"/>
  </r>
  <r>
    <x v="4"/>
    <x v="97"/>
    <x v="359"/>
    <x v="4"/>
    <x v="94"/>
    <x v="4"/>
  </r>
  <r>
    <x v="4"/>
    <x v="98"/>
    <x v="1"/>
    <x v="5"/>
    <x v="95"/>
    <x v="5"/>
  </r>
  <r>
    <x v="4"/>
    <x v="99"/>
    <x v="1110"/>
    <x v="3"/>
    <x v="96"/>
    <x v="3"/>
  </r>
  <r>
    <x v="4"/>
    <x v="100"/>
    <x v="201"/>
    <x v="4"/>
    <x v="97"/>
    <x v="4"/>
  </r>
  <r>
    <x v="4"/>
    <x v="101"/>
    <x v="568"/>
    <x v="4"/>
    <x v="98"/>
    <x v="4"/>
  </r>
  <r>
    <x v="4"/>
    <x v="102"/>
    <x v="2"/>
    <x v="3"/>
    <x v="99"/>
    <x v="3"/>
  </r>
  <r>
    <x v="4"/>
    <x v="103"/>
    <x v="841"/>
    <x v="1"/>
    <x v="100"/>
    <x v="2"/>
  </r>
  <r>
    <x v="4"/>
    <x v="104"/>
    <x v="1239"/>
    <x v="3"/>
    <x v="101"/>
    <x v="3"/>
  </r>
  <r>
    <x v="4"/>
    <x v="105"/>
    <x v="347"/>
    <x v="1"/>
    <x v="102"/>
    <x v="2"/>
  </r>
  <r>
    <x v="4"/>
    <x v="106"/>
    <x v="26"/>
    <x v="5"/>
    <x v="103"/>
    <x v="5"/>
  </r>
  <r>
    <x v="4"/>
    <x v="108"/>
    <x v="63"/>
    <x v="1"/>
    <x v="105"/>
    <x v="2"/>
  </r>
  <r>
    <x v="4"/>
    <x v="109"/>
    <x v="1117"/>
    <x v="1"/>
    <x v="106"/>
    <x v="2"/>
  </r>
  <r>
    <x v="4"/>
    <x v="110"/>
    <x v="1234"/>
    <x v="3"/>
    <x v="107"/>
    <x v="3"/>
  </r>
  <r>
    <x v="4"/>
    <x v="111"/>
    <x v="1182"/>
    <x v="3"/>
    <x v="108"/>
    <x v="3"/>
  </r>
  <r>
    <x v="4"/>
    <x v="112"/>
    <x v="78"/>
    <x v="5"/>
    <x v="109"/>
    <x v="5"/>
  </r>
  <r>
    <x v="4"/>
    <x v="113"/>
    <x v="847"/>
    <x v="3"/>
    <x v="110"/>
    <x v="3"/>
  </r>
  <r>
    <x v="4"/>
    <x v="114"/>
    <x v="121"/>
    <x v="4"/>
    <x v="111"/>
    <x v="4"/>
  </r>
  <r>
    <x v="4"/>
    <x v="115"/>
    <x v="116"/>
    <x v="5"/>
    <x v="112"/>
    <x v="5"/>
  </r>
  <r>
    <x v="4"/>
    <x v="116"/>
    <x v="512"/>
    <x v="0"/>
    <x v="113"/>
    <x v="1"/>
  </r>
  <r>
    <x v="4"/>
    <x v="117"/>
    <x v="90"/>
    <x v="3"/>
    <x v="114"/>
    <x v="3"/>
  </r>
  <r>
    <x v="4"/>
    <x v="118"/>
    <x v="679"/>
    <x v="4"/>
    <x v="115"/>
    <x v="4"/>
  </r>
  <r>
    <x v="4"/>
    <x v="119"/>
    <x v="171"/>
    <x v="4"/>
    <x v="116"/>
    <x v="4"/>
  </r>
  <r>
    <x v="4"/>
    <x v="120"/>
    <x v="723"/>
    <x v="1"/>
    <x v="117"/>
    <x v="2"/>
  </r>
  <r>
    <x v="4"/>
    <x v="121"/>
    <x v="416"/>
    <x v="4"/>
    <x v="118"/>
    <x v="4"/>
  </r>
  <r>
    <x v="4"/>
    <x v="122"/>
    <x v="1063"/>
    <x v="3"/>
    <x v="119"/>
    <x v="3"/>
  </r>
  <r>
    <x v="4"/>
    <x v="123"/>
    <x v="289"/>
    <x v="0"/>
    <x v="120"/>
    <x v="1"/>
  </r>
  <r>
    <x v="4"/>
    <x v="124"/>
    <x v="736"/>
    <x v="3"/>
    <x v="121"/>
    <x v="3"/>
  </r>
  <r>
    <x v="4"/>
    <x v="125"/>
    <x v="138"/>
    <x v="3"/>
    <x v="122"/>
    <x v="3"/>
  </r>
  <r>
    <x v="4"/>
    <x v="126"/>
    <x v="858"/>
    <x v="4"/>
    <x v="123"/>
    <x v="4"/>
  </r>
  <r>
    <x v="4"/>
    <x v="127"/>
    <x v="727"/>
    <x v="4"/>
    <x v="124"/>
    <x v="4"/>
  </r>
  <r>
    <x v="4"/>
    <x v="128"/>
    <x v="488"/>
    <x v="4"/>
    <x v="126"/>
    <x v="4"/>
  </r>
  <r>
    <x v="4"/>
    <x v="129"/>
    <x v="1280"/>
    <x v="4"/>
    <x v="127"/>
    <x v="0"/>
  </r>
  <r>
    <x v="4"/>
    <x v="130"/>
    <x v="655"/>
    <x v="1"/>
    <x v="128"/>
    <x v="2"/>
  </r>
  <r>
    <x v="4"/>
    <x v="131"/>
    <x v="651"/>
    <x v="4"/>
    <x v="129"/>
    <x v="4"/>
  </r>
  <r>
    <x v="4"/>
    <x v="132"/>
    <x v="640"/>
    <x v="4"/>
    <x v="130"/>
    <x v="4"/>
  </r>
  <r>
    <x v="4"/>
    <x v="133"/>
    <x v="385"/>
    <x v="0"/>
    <x v="131"/>
    <x v="1"/>
  </r>
  <r>
    <x v="4"/>
    <x v="134"/>
    <x v="1090"/>
    <x v="3"/>
    <x v="132"/>
    <x v="3"/>
  </r>
  <r>
    <x v="4"/>
    <x v="135"/>
    <x v="1278"/>
    <x v="4"/>
    <x v="133"/>
    <x v="0"/>
  </r>
  <r>
    <x v="4"/>
    <x v="136"/>
    <x v="283"/>
    <x v="4"/>
    <x v="134"/>
    <x v="4"/>
  </r>
  <r>
    <x v="4"/>
    <x v="137"/>
    <x v="1081"/>
    <x v="3"/>
    <x v="135"/>
    <x v="3"/>
  </r>
  <r>
    <x v="4"/>
    <x v="138"/>
    <x v="1161"/>
    <x v="3"/>
    <x v="136"/>
    <x v="3"/>
  </r>
  <r>
    <x v="4"/>
    <x v="139"/>
    <x v="1174"/>
    <x v="3"/>
    <x v="137"/>
    <x v="3"/>
  </r>
  <r>
    <x v="4"/>
    <x v="140"/>
    <x v="1061"/>
    <x v="3"/>
    <x v="138"/>
    <x v="3"/>
  </r>
  <r>
    <x v="4"/>
    <x v="141"/>
    <x v="1231"/>
    <x v="3"/>
    <x v="139"/>
    <x v="3"/>
  </r>
  <r>
    <x v="4"/>
    <x v="142"/>
    <x v="1012"/>
    <x v="4"/>
    <x v="140"/>
    <x v="4"/>
  </r>
  <r>
    <x v="4"/>
    <x v="143"/>
    <x v="774"/>
    <x v="4"/>
    <x v="141"/>
    <x v="4"/>
  </r>
  <r>
    <x v="4"/>
    <x v="144"/>
    <x v="310"/>
    <x v="0"/>
    <x v="142"/>
    <x v="1"/>
  </r>
  <r>
    <x v="4"/>
    <x v="145"/>
    <x v="1247"/>
    <x v="3"/>
    <x v="143"/>
    <x v="3"/>
  </r>
  <r>
    <x v="4"/>
    <x v="146"/>
    <x v="535"/>
    <x v="1"/>
    <x v="144"/>
    <x v="2"/>
  </r>
  <r>
    <x v="4"/>
    <x v="147"/>
    <x v="408"/>
    <x v="1"/>
    <x v="145"/>
    <x v="2"/>
  </r>
  <r>
    <x v="4"/>
    <x v="148"/>
    <x v="957"/>
    <x v="3"/>
    <x v="146"/>
    <x v="3"/>
  </r>
  <r>
    <x v="4"/>
    <x v="149"/>
    <x v="752"/>
    <x v="3"/>
    <x v="147"/>
    <x v="3"/>
  </r>
  <r>
    <x v="4"/>
    <x v="150"/>
    <x v="292"/>
    <x v="3"/>
    <x v="148"/>
    <x v="3"/>
  </r>
  <r>
    <x v="4"/>
    <x v="151"/>
    <x v="128"/>
    <x v="1"/>
    <x v="149"/>
    <x v="2"/>
  </r>
  <r>
    <x v="4"/>
    <x v="152"/>
    <x v="581"/>
    <x v="1"/>
    <x v="150"/>
    <x v="2"/>
  </r>
  <r>
    <x v="4"/>
    <x v="153"/>
    <x v="73"/>
    <x v="5"/>
    <x v="151"/>
    <x v="5"/>
  </r>
  <r>
    <x v="4"/>
    <x v="154"/>
    <x v="699"/>
    <x v="4"/>
    <x v="152"/>
    <x v="4"/>
  </r>
  <r>
    <x v="4"/>
    <x v="155"/>
    <x v="1260"/>
    <x v="3"/>
    <x v="153"/>
    <x v="3"/>
  </r>
  <r>
    <x v="4"/>
    <x v="156"/>
    <x v="499"/>
    <x v="0"/>
    <x v="154"/>
    <x v="1"/>
  </r>
  <r>
    <x v="4"/>
    <x v="157"/>
    <x v="639"/>
    <x v="4"/>
    <x v="155"/>
    <x v="4"/>
  </r>
  <r>
    <x v="4"/>
    <x v="158"/>
    <x v="1306"/>
    <x v="3"/>
    <x v="156"/>
    <x v="3"/>
  </r>
  <r>
    <x v="4"/>
    <x v="159"/>
    <x v="1255"/>
    <x v="3"/>
    <x v="157"/>
    <x v="3"/>
  </r>
  <r>
    <x v="4"/>
    <x v="160"/>
    <x v="1269"/>
    <x v="3"/>
    <x v="158"/>
    <x v="3"/>
  </r>
  <r>
    <x v="4"/>
    <x v="161"/>
    <x v="1253"/>
    <x v="3"/>
    <x v="159"/>
    <x v="3"/>
  </r>
  <r>
    <x v="4"/>
    <x v="162"/>
    <x v="731"/>
    <x v="1"/>
    <x v="160"/>
    <x v="2"/>
  </r>
  <r>
    <x v="4"/>
    <x v="163"/>
    <x v="981"/>
    <x v="3"/>
    <x v="161"/>
    <x v="3"/>
  </r>
  <r>
    <x v="4"/>
    <x v="164"/>
    <x v="482"/>
    <x v="0"/>
    <x v="162"/>
    <x v="1"/>
  </r>
  <r>
    <x v="4"/>
    <x v="165"/>
    <x v="685"/>
    <x v="0"/>
    <x v="163"/>
    <x v="1"/>
  </r>
  <r>
    <x v="4"/>
    <x v="166"/>
    <x v="504"/>
    <x v="0"/>
    <x v="164"/>
    <x v="1"/>
  </r>
  <r>
    <x v="4"/>
    <x v="167"/>
    <x v="1261"/>
    <x v="3"/>
    <x v="165"/>
    <x v="3"/>
  </r>
  <r>
    <x v="4"/>
    <x v="168"/>
    <x v="477"/>
    <x v="4"/>
    <x v="166"/>
    <x v="4"/>
  </r>
  <r>
    <x v="4"/>
    <x v="169"/>
    <x v="43"/>
    <x v="5"/>
    <x v="167"/>
    <x v="5"/>
  </r>
  <r>
    <x v="4"/>
    <x v="170"/>
    <x v="366"/>
    <x v="4"/>
    <x v="169"/>
    <x v="4"/>
  </r>
  <r>
    <x v="4"/>
    <x v="171"/>
    <x v="528"/>
    <x v="0"/>
    <x v="170"/>
    <x v="1"/>
  </r>
  <r>
    <x v="4"/>
    <x v="172"/>
    <x v="314"/>
    <x v="4"/>
    <x v="171"/>
    <x v="4"/>
  </r>
  <r>
    <x v="4"/>
    <x v="173"/>
    <x v="30"/>
    <x v="5"/>
    <x v="172"/>
    <x v="5"/>
  </r>
  <r>
    <x v="4"/>
    <x v="174"/>
    <x v="682"/>
    <x v="1"/>
    <x v="173"/>
    <x v="2"/>
  </r>
  <r>
    <x v="4"/>
    <x v="175"/>
    <x v="513"/>
    <x v="1"/>
    <x v="174"/>
    <x v="2"/>
  </r>
  <r>
    <x v="4"/>
    <x v="176"/>
    <x v="802"/>
    <x v="4"/>
    <x v="175"/>
    <x v="4"/>
  </r>
  <r>
    <x v="4"/>
    <x v="177"/>
    <x v="440"/>
    <x v="4"/>
    <x v="176"/>
    <x v="4"/>
  </r>
  <r>
    <x v="4"/>
    <x v="178"/>
    <x v="1138"/>
    <x v="1"/>
    <x v="177"/>
    <x v="2"/>
  </r>
  <r>
    <x v="4"/>
    <x v="179"/>
    <x v="393"/>
    <x v="0"/>
    <x v="178"/>
    <x v="1"/>
  </r>
  <r>
    <x v="4"/>
    <x v="180"/>
    <x v="236"/>
    <x v="0"/>
    <x v="179"/>
    <x v="1"/>
  </r>
  <r>
    <x v="4"/>
    <x v="181"/>
    <x v="111"/>
    <x v="0"/>
    <x v="180"/>
    <x v="1"/>
  </r>
  <r>
    <x v="4"/>
    <x v="182"/>
    <x v="550"/>
    <x v="0"/>
    <x v="181"/>
    <x v="1"/>
  </r>
  <r>
    <x v="4"/>
    <x v="183"/>
    <x v="1164"/>
    <x v="3"/>
    <x v="182"/>
    <x v="3"/>
  </r>
  <r>
    <x v="4"/>
    <x v="184"/>
    <x v="35"/>
    <x v="5"/>
    <x v="183"/>
    <x v="5"/>
  </r>
  <r>
    <x v="4"/>
    <x v="185"/>
    <x v="875"/>
    <x v="1"/>
    <x v="186"/>
    <x v="2"/>
  </r>
  <r>
    <x v="4"/>
    <x v="186"/>
    <x v="941"/>
    <x v="1"/>
    <x v="184"/>
    <x v="2"/>
  </r>
  <r>
    <x v="4"/>
    <x v="187"/>
    <x v="601"/>
    <x v="1"/>
    <x v="185"/>
    <x v="2"/>
  </r>
  <r>
    <x v="4"/>
    <x v="188"/>
    <x v="439"/>
    <x v="4"/>
    <x v="187"/>
    <x v="4"/>
  </r>
  <r>
    <x v="4"/>
    <x v="189"/>
    <x v="446"/>
    <x v="4"/>
    <x v="188"/>
    <x v="4"/>
  </r>
  <r>
    <x v="4"/>
    <x v="190"/>
    <x v="412"/>
    <x v="4"/>
    <x v="189"/>
    <x v="4"/>
  </r>
  <r>
    <x v="4"/>
    <x v="191"/>
    <x v="269"/>
    <x v="3"/>
    <x v="190"/>
    <x v="3"/>
  </r>
  <r>
    <x v="4"/>
    <x v="192"/>
    <x v="795"/>
    <x v="1"/>
    <x v="191"/>
    <x v="2"/>
  </r>
  <r>
    <x v="4"/>
    <x v="193"/>
    <x v="664"/>
    <x v="4"/>
    <x v="192"/>
    <x v="4"/>
  </r>
  <r>
    <x v="4"/>
    <x v="194"/>
    <x v="656"/>
    <x v="4"/>
    <x v="193"/>
    <x v="4"/>
  </r>
  <r>
    <x v="4"/>
    <x v="195"/>
    <x v="797"/>
    <x v="4"/>
    <x v="194"/>
    <x v="4"/>
  </r>
  <r>
    <x v="4"/>
    <x v="196"/>
    <x v="746"/>
    <x v="0"/>
    <x v="195"/>
    <x v="1"/>
  </r>
  <r>
    <x v="4"/>
    <x v="197"/>
    <x v="96"/>
    <x v="4"/>
    <x v="196"/>
    <x v="4"/>
  </r>
  <r>
    <x v="4"/>
    <x v="198"/>
    <x v="290"/>
    <x v="3"/>
    <x v="197"/>
    <x v="3"/>
  </r>
  <r>
    <x v="4"/>
    <x v="199"/>
    <x v="311"/>
    <x v="4"/>
    <x v="198"/>
    <x v="4"/>
  </r>
  <r>
    <x v="4"/>
    <x v="200"/>
    <x v="8"/>
    <x v="5"/>
    <x v="199"/>
    <x v="5"/>
  </r>
  <r>
    <x v="4"/>
    <x v="201"/>
    <x v="457"/>
    <x v="4"/>
    <x v="200"/>
    <x v="4"/>
  </r>
  <r>
    <x v="4"/>
    <x v="202"/>
    <x v="70"/>
    <x v="5"/>
    <x v="201"/>
    <x v="5"/>
  </r>
  <r>
    <x v="4"/>
    <x v="203"/>
    <x v="64"/>
    <x v="4"/>
    <x v="202"/>
    <x v="4"/>
  </r>
  <r>
    <x v="4"/>
    <x v="204"/>
    <x v="425"/>
    <x v="0"/>
    <x v="203"/>
    <x v="1"/>
  </r>
  <r>
    <x v="4"/>
    <x v="205"/>
    <x v="903"/>
    <x v="3"/>
    <x v="204"/>
    <x v="3"/>
  </r>
  <r>
    <x v="4"/>
    <x v="206"/>
    <x v="509"/>
    <x v="1"/>
    <x v="205"/>
    <x v="2"/>
  </r>
  <r>
    <x v="4"/>
    <x v="207"/>
    <x v="1215"/>
    <x v="3"/>
    <x v="206"/>
    <x v="3"/>
  </r>
  <r>
    <x v="4"/>
    <x v="208"/>
    <x v="362"/>
    <x v="0"/>
    <x v="207"/>
    <x v="1"/>
  </r>
  <r>
    <x v="4"/>
    <x v="209"/>
    <x v="447"/>
    <x v="0"/>
    <x v="208"/>
    <x v="1"/>
  </r>
  <r>
    <x v="4"/>
    <x v="210"/>
    <x v="99"/>
    <x v="5"/>
    <x v="209"/>
    <x v="5"/>
  </r>
  <r>
    <x v="4"/>
    <x v="211"/>
    <x v="384"/>
    <x v="4"/>
    <x v="210"/>
    <x v="4"/>
  </r>
  <r>
    <x v="4"/>
    <x v="212"/>
    <x v="665"/>
    <x v="4"/>
    <x v="211"/>
    <x v="4"/>
  </r>
  <r>
    <x v="4"/>
    <x v="213"/>
    <x v="536"/>
    <x v="1"/>
    <x v="212"/>
    <x v="2"/>
  </r>
  <r>
    <x v="4"/>
    <x v="214"/>
    <x v="319"/>
    <x v="4"/>
    <x v="213"/>
    <x v="4"/>
  </r>
  <r>
    <x v="4"/>
    <x v="215"/>
    <x v="349"/>
    <x v="4"/>
    <x v="214"/>
    <x v="4"/>
  </r>
  <r>
    <x v="4"/>
    <x v="216"/>
    <x v="733"/>
    <x v="0"/>
    <x v="215"/>
    <x v="1"/>
  </r>
  <r>
    <x v="4"/>
    <x v="217"/>
    <x v="95"/>
    <x v="5"/>
    <x v="216"/>
    <x v="5"/>
  </r>
  <r>
    <x v="4"/>
    <x v="218"/>
    <x v="188"/>
    <x v="1"/>
    <x v="217"/>
    <x v="2"/>
  </r>
  <r>
    <x v="4"/>
    <x v="219"/>
    <x v="906"/>
    <x v="4"/>
    <x v="218"/>
    <x v="4"/>
  </r>
  <r>
    <x v="4"/>
    <x v="220"/>
    <x v="990"/>
    <x v="3"/>
    <x v="219"/>
    <x v="3"/>
  </r>
  <r>
    <x v="4"/>
    <x v="221"/>
    <x v="968"/>
    <x v="1"/>
    <x v="220"/>
    <x v="2"/>
  </r>
  <r>
    <x v="4"/>
    <x v="222"/>
    <x v="932"/>
    <x v="4"/>
    <x v="221"/>
    <x v="4"/>
  </r>
  <r>
    <x v="4"/>
    <x v="223"/>
    <x v="599"/>
    <x v="1"/>
    <x v="222"/>
    <x v="2"/>
  </r>
  <r>
    <x v="4"/>
    <x v="224"/>
    <x v="848"/>
    <x v="1"/>
    <x v="223"/>
    <x v="2"/>
  </r>
  <r>
    <x v="4"/>
    <x v="225"/>
    <x v="1142"/>
    <x v="3"/>
    <x v="224"/>
    <x v="3"/>
  </r>
  <r>
    <x v="4"/>
    <x v="226"/>
    <x v="1272"/>
    <x v="3"/>
    <x v="225"/>
    <x v="3"/>
  </r>
  <r>
    <x v="4"/>
    <x v="227"/>
    <x v="1300"/>
    <x v="3"/>
    <x v="226"/>
    <x v="3"/>
  </r>
  <r>
    <x v="4"/>
    <x v="228"/>
    <x v="1002"/>
    <x v="3"/>
    <x v="227"/>
    <x v="3"/>
  </r>
  <r>
    <x v="4"/>
    <x v="229"/>
    <x v="1106"/>
    <x v="3"/>
    <x v="228"/>
    <x v="3"/>
  </r>
  <r>
    <x v="4"/>
    <x v="230"/>
    <x v="1304"/>
    <x v="3"/>
    <x v="229"/>
    <x v="3"/>
  </r>
  <r>
    <x v="4"/>
    <x v="231"/>
    <x v="519"/>
    <x v="0"/>
    <x v="230"/>
    <x v="1"/>
  </r>
  <r>
    <x v="4"/>
    <x v="232"/>
    <x v="1206"/>
    <x v="3"/>
    <x v="232"/>
    <x v="3"/>
  </r>
  <r>
    <x v="4"/>
    <x v="233"/>
    <x v="1266"/>
    <x v="3"/>
    <x v="233"/>
    <x v="3"/>
  </r>
  <r>
    <x v="4"/>
    <x v="234"/>
    <x v="1096"/>
    <x v="3"/>
    <x v="234"/>
    <x v="3"/>
  </r>
  <r>
    <x v="4"/>
    <x v="235"/>
    <x v="1158"/>
    <x v="3"/>
    <x v="235"/>
    <x v="3"/>
  </r>
  <r>
    <x v="4"/>
    <x v="236"/>
    <x v="177"/>
    <x v="0"/>
    <x v="236"/>
    <x v="1"/>
  </r>
  <r>
    <x v="4"/>
    <x v="237"/>
    <x v="614"/>
    <x v="0"/>
    <x v="237"/>
    <x v="1"/>
  </r>
  <r>
    <x v="4"/>
    <x v="238"/>
    <x v="554"/>
    <x v="0"/>
    <x v="238"/>
    <x v="1"/>
  </r>
  <r>
    <x v="4"/>
    <x v="239"/>
    <x v="871"/>
    <x v="3"/>
    <x v="239"/>
    <x v="3"/>
  </r>
  <r>
    <x v="4"/>
    <x v="240"/>
    <x v="928"/>
    <x v="3"/>
    <x v="240"/>
    <x v="3"/>
  </r>
  <r>
    <x v="4"/>
    <x v="241"/>
    <x v="85"/>
    <x v="5"/>
    <x v="241"/>
    <x v="5"/>
  </r>
  <r>
    <x v="4"/>
    <x v="242"/>
    <x v="1265"/>
    <x v="3"/>
    <x v="242"/>
    <x v="3"/>
  </r>
  <r>
    <x v="4"/>
    <x v="243"/>
    <x v="743"/>
    <x v="0"/>
    <x v="243"/>
    <x v="1"/>
  </r>
  <r>
    <x v="4"/>
    <x v="244"/>
    <x v="367"/>
    <x v="0"/>
    <x v="244"/>
    <x v="1"/>
  </r>
  <r>
    <x v="4"/>
    <x v="245"/>
    <x v="1289"/>
    <x v="3"/>
    <x v="245"/>
    <x v="3"/>
  </r>
  <r>
    <x v="4"/>
    <x v="246"/>
    <x v="396"/>
    <x v="0"/>
    <x v="246"/>
    <x v="1"/>
  </r>
  <r>
    <x v="4"/>
    <x v="247"/>
    <x v="101"/>
    <x v="5"/>
    <x v="247"/>
    <x v="5"/>
  </r>
  <r>
    <x v="4"/>
    <x v="248"/>
    <x v="426"/>
    <x v="4"/>
    <x v="248"/>
    <x v="4"/>
  </r>
  <r>
    <x v="4"/>
    <x v="249"/>
    <x v="136"/>
    <x v="4"/>
    <x v="249"/>
    <x v="4"/>
  </r>
  <r>
    <x v="4"/>
    <x v="250"/>
    <x v="463"/>
    <x v="0"/>
    <x v="250"/>
    <x v="1"/>
  </r>
  <r>
    <x v="4"/>
    <x v="251"/>
    <x v="1251"/>
    <x v="1"/>
    <x v="251"/>
    <x v="2"/>
  </r>
  <r>
    <x v="4"/>
    <x v="252"/>
    <x v="1130"/>
    <x v="1"/>
    <x v="252"/>
    <x v="2"/>
  </r>
  <r>
    <x v="4"/>
    <x v="253"/>
    <x v="773"/>
    <x v="1"/>
    <x v="253"/>
    <x v="2"/>
  </r>
  <r>
    <x v="4"/>
    <x v="254"/>
    <x v="611"/>
    <x v="4"/>
    <x v="254"/>
    <x v="4"/>
  </r>
  <r>
    <x v="4"/>
    <x v="255"/>
    <x v="330"/>
    <x v="0"/>
    <x v="255"/>
    <x v="1"/>
  </r>
  <r>
    <x v="4"/>
    <x v="256"/>
    <x v="765"/>
    <x v="4"/>
    <x v="256"/>
    <x v="4"/>
  </r>
  <r>
    <x v="4"/>
    <x v="257"/>
    <x v="977"/>
    <x v="3"/>
    <x v="257"/>
    <x v="3"/>
  </r>
  <r>
    <x v="4"/>
    <x v="258"/>
    <x v="1045"/>
    <x v="3"/>
    <x v="258"/>
    <x v="3"/>
  </r>
  <r>
    <x v="4"/>
    <x v="259"/>
    <x v="1095"/>
    <x v="3"/>
    <x v="259"/>
    <x v="3"/>
  </r>
  <r>
    <x v="4"/>
    <x v="260"/>
    <x v="0"/>
    <x v="6"/>
    <x v="231"/>
    <x v="6"/>
  </r>
  <r>
    <x v="4"/>
    <x v="261"/>
    <x v="473"/>
    <x v="6"/>
    <x v="231"/>
    <x v="6"/>
  </r>
  <r>
    <x v="5"/>
    <x v="0"/>
    <x v="26"/>
    <x v="2"/>
    <x v="168"/>
    <x v="0"/>
  </r>
  <r>
    <x v="5"/>
    <x v="1"/>
    <x v="0"/>
    <x v="4"/>
    <x v="125"/>
    <x v="4"/>
  </r>
  <r>
    <x v="5"/>
    <x v="2"/>
    <x v="353"/>
    <x v="0"/>
    <x v="0"/>
    <x v="1"/>
  </r>
  <r>
    <x v="5"/>
    <x v="3"/>
    <x v="1030"/>
    <x v="3"/>
    <x v="1"/>
    <x v="3"/>
  </r>
  <r>
    <x v="5"/>
    <x v="4"/>
    <x v="9"/>
    <x v="5"/>
    <x v="2"/>
    <x v="5"/>
  </r>
  <r>
    <x v="5"/>
    <x v="5"/>
    <x v="102"/>
    <x v="5"/>
    <x v="3"/>
    <x v="5"/>
  </r>
  <r>
    <x v="5"/>
    <x v="6"/>
    <x v="1038"/>
    <x v="4"/>
    <x v="4"/>
    <x v="4"/>
  </r>
  <r>
    <x v="5"/>
    <x v="7"/>
    <x v="76"/>
    <x v="4"/>
    <x v="5"/>
    <x v="4"/>
  </r>
  <r>
    <x v="5"/>
    <x v="8"/>
    <x v="281"/>
    <x v="4"/>
    <x v="6"/>
    <x v="4"/>
  </r>
  <r>
    <x v="5"/>
    <x v="9"/>
    <x v="553"/>
    <x v="4"/>
    <x v="7"/>
    <x v="4"/>
  </r>
  <r>
    <x v="5"/>
    <x v="10"/>
    <x v="305"/>
    <x v="1"/>
    <x v="8"/>
    <x v="2"/>
  </r>
  <r>
    <x v="5"/>
    <x v="11"/>
    <x v="306"/>
    <x v="3"/>
    <x v="9"/>
    <x v="3"/>
  </r>
  <r>
    <x v="5"/>
    <x v="12"/>
    <x v="1128"/>
    <x v="3"/>
    <x v="10"/>
    <x v="3"/>
  </r>
  <r>
    <x v="5"/>
    <x v="13"/>
    <x v="854"/>
    <x v="1"/>
    <x v="11"/>
    <x v="2"/>
  </r>
  <r>
    <x v="5"/>
    <x v="14"/>
    <x v="295"/>
    <x v="4"/>
    <x v="12"/>
    <x v="4"/>
  </r>
  <r>
    <x v="5"/>
    <x v="15"/>
    <x v="600"/>
    <x v="4"/>
    <x v="13"/>
    <x v="4"/>
  </r>
  <r>
    <x v="5"/>
    <x v="16"/>
    <x v="1028"/>
    <x v="1"/>
    <x v="14"/>
    <x v="2"/>
  </r>
  <r>
    <x v="5"/>
    <x v="17"/>
    <x v="507"/>
    <x v="0"/>
    <x v="15"/>
    <x v="1"/>
  </r>
  <r>
    <x v="5"/>
    <x v="18"/>
    <x v="309"/>
    <x v="4"/>
    <x v="16"/>
    <x v="4"/>
  </r>
  <r>
    <x v="5"/>
    <x v="19"/>
    <x v="552"/>
    <x v="0"/>
    <x v="17"/>
    <x v="1"/>
  </r>
  <r>
    <x v="5"/>
    <x v="20"/>
    <x v="586"/>
    <x v="1"/>
    <x v="18"/>
    <x v="2"/>
  </r>
  <r>
    <x v="5"/>
    <x v="21"/>
    <x v="637"/>
    <x v="1"/>
    <x v="19"/>
    <x v="2"/>
  </r>
  <r>
    <x v="5"/>
    <x v="22"/>
    <x v="117"/>
    <x v="5"/>
    <x v="20"/>
    <x v="5"/>
  </r>
  <r>
    <x v="5"/>
    <x v="23"/>
    <x v="776"/>
    <x v="3"/>
    <x v="21"/>
    <x v="3"/>
  </r>
  <r>
    <x v="5"/>
    <x v="24"/>
    <x v="995"/>
    <x v="1"/>
    <x v="22"/>
    <x v="2"/>
  </r>
  <r>
    <x v="5"/>
    <x v="25"/>
    <x v="749"/>
    <x v="1"/>
    <x v="23"/>
    <x v="2"/>
  </r>
  <r>
    <x v="5"/>
    <x v="26"/>
    <x v="36"/>
    <x v="4"/>
    <x v="24"/>
    <x v="4"/>
  </r>
  <r>
    <x v="5"/>
    <x v="27"/>
    <x v="646"/>
    <x v="4"/>
    <x v="25"/>
    <x v="4"/>
  </r>
  <r>
    <x v="5"/>
    <x v="28"/>
    <x v="400"/>
    <x v="1"/>
    <x v="26"/>
    <x v="2"/>
  </r>
  <r>
    <x v="5"/>
    <x v="29"/>
    <x v="11"/>
    <x v="4"/>
    <x v="27"/>
    <x v="4"/>
  </r>
  <r>
    <x v="5"/>
    <x v="30"/>
    <x v="291"/>
    <x v="0"/>
    <x v="28"/>
    <x v="1"/>
  </r>
  <r>
    <x v="5"/>
    <x v="31"/>
    <x v="377"/>
    <x v="0"/>
    <x v="29"/>
    <x v="1"/>
  </r>
  <r>
    <x v="5"/>
    <x v="32"/>
    <x v="1010"/>
    <x v="1"/>
    <x v="30"/>
    <x v="2"/>
  </r>
  <r>
    <x v="5"/>
    <x v="33"/>
    <x v="619"/>
    <x v="1"/>
    <x v="31"/>
    <x v="2"/>
  </r>
  <r>
    <x v="5"/>
    <x v="34"/>
    <x v="635"/>
    <x v="1"/>
    <x v="32"/>
    <x v="2"/>
  </r>
  <r>
    <x v="5"/>
    <x v="35"/>
    <x v="1024"/>
    <x v="1"/>
    <x v="33"/>
    <x v="2"/>
  </r>
  <r>
    <x v="5"/>
    <x v="36"/>
    <x v="1079"/>
    <x v="1"/>
    <x v="34"/>
    <x v="2"/>
  </r>
  <r>
    <x v="5"/>
    <x v="37"/>
    <x v="228"/>
    <x v="4"/>
    <x v="35"/>
    <x v="4"/>
  </r>
  <r>
    <x v="5"/>
    <x v="38"/>
    <x v="751"/>
    <x v="1"/>
    <x v="36"/>
    <x v="2"/>
  </r>
  <r>
    <x v="5"/>
    <x v="39"/>
    <x v="887"/>
    <x v="1"/>
    <x v="37"/>
    <x v="2"/>
  </r>
  <r>
    <x v="5"/>
    <x v="40"/>
    <x v="987"/>
    <x v="3"/>
    <x v="38"/>
    <x v="3"/>
  </r>
  <r>
    <x v="5"/>
    <x v="41"/>
    <x v="980"/>
    <x v="3"/>
    <x v="39"/>
    <x v="3"/>
  </r>
  <r>
    <x v="5"/>
    <x v="42"/>
    <x v="915"/>
    <x v="3"/>
    <x v="40"/>
    <x v="3"/>
  </r>
  <r>
    <x v="5"/>
    <x v="43"/>
    <x v="7"/>
    <x v="5"/>
    <x v="41"/>
    <x v="5"/>
  </r>
  <r>
    <x v="5"/>
    <x v="44"/>
    <x v="892"/>
    <x v="3"/>
    <x v="42"/>
    <x v="3"/>
  </r>
  <r>
    <x v="5"/>
    <x v="45"/>
    <x v="68"/>
    <x v="0"/>
    <x v="43"/>
    <x v="1"/>
  </r>
  <r>
    <x v="5"/>
    <x v="46"/>
    <x v="377"/>
    <x v="0"/>
    <x v="44"/>
    <x v="1"/>
  </r>
  <r>
    <x v="5"/>
    <x v="47"/>
    <x v="1268"/>
    <x v="3"/>
    <x v="45"/>
    <x v="3"/>
  </r>
  <r>
    <x v="5"/>
    <x v="48"/>
    <x v="1031"/>
    <x v="1"/>
    <x v="46"/>
    <x v="2"/>
  </r>
  <r>
    <x v="5"/>
    <x v="49"/>
    <x v="1144"/>
    <x v="3"/>
    <x v="47"/>
    <x v="3"/>
  </r>
  <r>
    <x v="5"/>
    <x v="50"/>
    <x v="379"/>
    <x v="0"/>
    <x v="48"/>
    <x v="1"/>
  </r>
  <r>
    <x v="5"/>
    <x v="51"/>
    <x v="787"/>
    <x v="1"/>
    <x v="49"/>
    <x v="2"/>
  </r>
  <r>
    <x v="5"/>
    <x v="52"/>
    <x v="331"/>
    <x v="4"/>
    <x v="50"/>
    <x v="4"/>
  </r>
  <r>
    <x v="5"/>
    <x v="53"/>
    <x v="661"/>
    <x v="1"/>
    <x v="51"/>
    <x v="2"/>
  </r>
  <r>
    <x v="5"/>
    <x v="54"/>
    <x v="546"/>
    <x v="1"/>
    <x v="52"/>
    <x v="2"/>
  </r>
  <r>
    <x v="5"/>
    <x v="55"/>
    <x v="592"/>
    <x v="4"/>
    <x v="53"/>
    <x v="4"/>
  </r>
  <r>
    <x v="5"/>
    <x v="56"/>
    <x v="113"/>
    <x v="4"/>
    <x v="53"/>
    <x v="4"/>
  </r>
  <r>
    <x v="5"/>
    <x v="57"/>
    <x v="89"/>
    <x v="0"/>
    <x v="54"/>
    <x v="1"/>
  </r>
  <r>
    <x v="5"/>
    <x v="58"/>
    <x v="43"/>
    <x v="0"/>
    <x v="55"/>
    <x v="1"/>
  </r>
  <r>
    <x v="5"/>
    <x v="59"/>
    <x v="242"/>
    <x v="0"/>
    <x v="56"/>
    <x v="1"/>
  </r>
  <r>
    <x v="5"/>
    <x v="60"/>
    <x v="1088"/>
    <x v="1"/>
    <x v="57"/>
    <x v="2"/>
  </r>
  <r>
    <x v="5"/>
    <x v="61"/>
    <x v="803"/>
    <x v="1"/>
    <x v="58"/>
    <x v="2"/>
  </r>
  <r>
    <x v="5"/>
    <x v="62"/>
    <x v="491"/>
    <x v="1"/>
    <x v="59"/>
    <x v="2"/>
  </r>
  <r>
    <x v="5"/>
    <x v="63"/>
    <x v="280"/>
    <x v="4"/>
    <x v="60"/>
    <x v="4"/>
  </r>
  <r>
    <x v="5"/>
    <x v="64"/>
    <x v="955"/>
    <x v="1"/>
    <x v="61"/>
    <x v="2"/>
  </r>
  <r>
    <x v="5"/>
    <x v="65"/>
    <x v="931"/>
    <x v="1"/>
    <x v="62"/>
    <x v="2"/>
  </r>
  <r>
    <x v="5"/>
    <x v="66"/>
    <x v="624"/>
    <x v="1"/>
    <x v="63"/>
    <x v="2"/>
  </r>
  <r>
    <x v="5"/>
    <x v="67"/>
    <x v="1288"/>
    <x v="3"/>
    <x v="64"/>
    <x v="3"/>
  </r>
  <r>
    <x v="5"/>
    <x v="68"/>
    <x v="582"/>
    <x v="0"/>
    <x v="65"/>
    <x v="1"/>
  </r>
  <r>
    <x v="5"/>
    <x v="69"/>
    <x v="703"/>
    <x v="4"/>
    <x v="66"/>
    <x v="4"/>
  </r>
  <r>
    <x v="5"/>
    <x v="70"/>
    <x v="684"/>
    <x v="1"/>
    <x v="67"/>
    <x v="2"/>
  </r>
  <r>
    <x v="5"/>
    <x v="71"/>
    <x v="714"/>
    <x v="1"/>
    <x v="68"/>
    <x v="2"/>
  </r>
  <r>
    <x v="5"/>
    <x v="72"/>
    <x v="345"/>
    <x v="4"/>
    <x v="69"/>
    <x v="4"/>
  </r>
  <r>
    <x v="5"/>
    <x v="73"/>
    <x v="972"/>
    <x v="3"/>
    <x v="70"/>
    <x v="3"/>
  </r>
  <r>
    <x v="5"/>
    <x v="74"/>
    <x v="939"/>
    <x v="3"/>
    <x v="71"/>
    <x v="3"/>
  </r>
  <r>
    <x v="5"/>
    <x v="75"/>
    <x v="725"/>
    <x v="1"/>
    <x v="72"/>
    <x v="2"/>
  </r>
  <r>
    <x v="5"/>
    <x v="76"/>
    <x v="427"/>
    <x v="1"/>
    <x v="73"/>
    <x v="2"/>
  </r>
  <r>
    <x v="5"/>
    <x v="77"/>
    <x v="434"/>
    <x v="0"/>
    <x v="74"/>
    <x v="1"/>
  </r>
  <r>
    <x v="5"/>
    <x v="78"/>
    <x v="1305"/>
    <x v="3"/>
    <x v="75"/>
    <x v="3"/>
  </r>
  <r>
    <x v="5"/>
    <x v="79"/>
    <x v="1089"/>
    <x v="1"/>
    <x v="76"/>
    <x v="2"/>
  </r>
  <r>
    <x v="5"/>
    <x v="80"/>
    <x v="292"/>
    <x v="0"/>
    <x v="77"/>
    <x v="1"/>
  </r>
  <r>
    <x v="5"/>
    <x v="81"/>
    <x v="789"/>
    <x v="4"/>
    <x v="78"/>
    <x v="4"/>
  </r>
  <r>
    <x v="5"/>
    <x v="82"/>
    <x v="604"/>
    <x v="4"/>
    <x v="79"/>
    <x v="4"/>
  </r>
  <r>
    <x v="5"/>
    <x v="83"/>
    <x v="10"/>
    <x v="5"/>
    <x v="80"/>
    <x v="5"/>
  </r>
  <r>
    <x v="5"/>
    <x v="84"/>
    <x v="638"/>
    <x v="1"/>
    <x v="81"/>
    <x v="2"/>
  </r>
  <r>
    <x v="5"/>
    <x v="85"/>
    <x v="94"/>
    <x v="4"/>
    <x v="82"/>
    <x v="4"/>
  </r>
  <r>
    <x v="5"/>
    <x v="86"/>
    <x v="1139"/>
    <x v="3"/>
    <x v="83"/>
    <x v="3"/>
  </r>
  <r>
    <x v="5"/>
    <x v="87"/>
    <x v="962"/>
    <x v="3"/>
    <x v="84"/>
    <x v="3"/>
  </r>
  <r>
    <x v="5"/>
    <x v="88"/>
    <x v="921"/>
    <x v="1"/>
    <x v="85"/>
    <x v="2"/>
  </r>
  <r>
    <x v="5"/>
    <x v="89"/>
    <x v="1216"/>
    <x v="3"/>
    <x v="86"/>
    <x v="3"/>
  </r>
  <r>
    <x v="5"/>
    <x v="90"/>
    <x v="741"/>
    <x v="1"/>
    <x v="87"/>
    <x v="2"/>
  </r>
  <r>
    <x v="5"/>
    <x v="91"/>
    <x v="771"/>
    <x v="4"/>
    <x v="88"/>
    <x v="4"/>
  </r>
  <r>
    <x v="5"/>
    <x v="92"/>
    <x v="571"/>
    <x v="4"/>
    <x v="89"/>
    <x v="4"/>
  </r>
  <r>
    <x v="5"/>
    <x v="93"/>
    <x v="273"/>
    <x v="0"/>
    <x v="90"/>
    <x v="1"/>
  </r>
  <r>
    <x v="5"/>
    <x v="94"/>
    <x v="897"/>
    <x v="4"/>
    <x v="91"/>
    <x v="4"/>
  </r>
  <r>
    <x v="5"/>
    <x v="95"/>
    <x v="105"/>
    <x v="4"/>
    <x v="92"/>
    <x v="4"/>
  </r>
  <r>
    <x v="5"/>
    <x v="96"/>
    <x v="1009"/>
    <x v="1"/>
    <x v="93"/>
    <x v="2"/>
  </r>
  <r>
    <x v="5"/>
    <x v="97"/>
    <x v="375"/>
    <x v="4"/>
    <x v="94"/>
    <x v="4"/>
  </r>
  <r>
    <x v="5"/>
    <x v="99"/>
    <x v="1140"/>
    <x v="3"/>
    <x v="96"/>
    <x v="3"/>
  </r>
  <r>
    <x v="5"/>
    <x v="100"/>
    <x v="185"/>
    <x v="4"/>
    <x v="97"/>
    <x v="4"/>
  </r>
  <r>
    <x v="5"/>
    <x v="101"/>
    <x v="603"/>
    <x v="4"/>
    <x v="98"/>
    <x v="4"/>
  </r>
  <r>
    <x v="5"/>
    <x v="102"/>
    <x v="0"/>
    <x v="3"/>
    <x v="99"/>
    <x v="3"/>
  </r>
  <r>
    <x v="5"/>
    <x v="103"/>
    <x v="865"/>
    <x v="1"/>
    <x v="100"/>
    <x v="2"/>
  </r>
  <r>
    <x v="5"/>
    <x v="104"/>
    <x v="1240"/>
    <x v="3"/>
    <x v="101"/>
    <x v="3"/>
  </r>
  <r>
    <x v="5"/>
    <x v="105"/>
    <x v="363"/>
    <x v="1"/>
    <x v="102"/>
    <x v="2"/>
  </r>
  <r>
    <x v="5"/>
    <x v="106"/>
    <x v="23"/>
    <x v="5"/>
    <x v="103"/>
    <x v="5"/>
  </r>
  <r>
    <x v="5"/>
    <x v="108"/>
    <x v="69"/>
    <x v="1"/>
    <x v="105"/>
    <x v="2"/>
  </r>
  <r>
    <x v="5"/>
    <x v="109"/>
    <x v="1119"/>
    <x v="1"/>
    <x v="106"/>
    <x v="2"/>
  </r>
  <r>
    <x v="5"/>
    <x v="110"/>
    <x v="1219"/>
    <x v="3"/>
    <x v="107"/>
    <x v="3"/>
  </r>
  <r>
    <x v="5"/>
    <x v="111"/>
    <x v="1173"/>
    <x v="3"/>
    <x v="108"/>
    <x v="3"/>
  </r>
  <r>
    <x v="5"/>
    <x v="112"/>
    <x v="87"/>
    <x v="5"/>
    <x v="109"/>
    <x v="5"/>
  </r>
  <r>
    <x v="5"/>
    <x v="113"/>
    <x v="844"/>
    <x v="3"/>
    <x v="110"/>
    <x v="3"/>
  </r>
  <r>
    <x v="5"/>
    <x v="114"/>
    <x v="124"/>
    <x v="4"/>
    <x v="111"/>
    <x v="4"/>
  </r>
  <r>
    <x v="5"/>
    <x v="115"/>
    <x v="115"/>
    <x v="5"/>
    <x v="112"/>
    <x v="5"/>
  </r>
  <r>
    <x v="5"/>
    <x v="116"/>
    <x v="518"/>
    <x v="0"/>
    <x v="113"/>
    <x v="1"/>
  </r>
  <r>
    <x v="5"/>
    <x v="117"/>
    <x v="69"/>
    <x v="3"/>
    <x v="114"/>
    <x v="3"/>
  </r>
  <r>
    <x v="5"/>
    <x v="118"/>
    <x v="602"/>
    <x v="4"/>
    <x v="115"/>
    <x v="4"/>
  </r>
  <r>
    <x v="5"/>
    <x v="119"/>
    <x v="176"/>
    <x v="4"/>
    <x v="116"/>
    <x v="4"/>
  </r>
  <r>
    <x v="5"/>
    <x v="120"/>
    <x v="728"/>
    <x v="1"/>
    <x v="117"/>
    <x v="2"/>
  </r>
  <r>
    <x v="5"/>
    <x v="121"/>
    <x v="455"/>
    <x v="4"/>
    <x v="118"/>
    <x v="4"/>
  </r>
  <r>
    <x v="5"/>
    <x v="122"/>
    <x v="1085"/>
    <x v="3"/>
    <x v="119"/>
    <x v="3"/>
  </r>
  <r>
    <x v="5"/>
    <x v="123"/>
    <x v="306"/>
    <x v="0"/>
    <x v="120"/>
    <x v="1"/>
  </r>
  <r>
    <x v="5"/>
    <x v="124"/>
    <x v="729"/>
    <x v="3"/>
    <x v="121"/>
    <x v="3"/>
  </r>
  <r>
    <x v="5"/>
    <x v="125"/>
    <x v="135"/>
    <x v="3"/>
    <x v="122"/>
    <x v="3"/>
  </r>
  <r>
    <x v="5"/>
    <x v="126"/>
    <x v="879"/>
    <x v="4"/>
    <x v="123"/>
    <x v="4"/>
  </r>
  <r>
    <x v="5"/>
    <x v="127"/>
    <x v="745"/>
    <x v="4"/>
    <x v="124"/>
    <x v="4"/>
  </r>
  <r>
    <x v="5"/>
    <x v="128"/>
    <x v="474"/>
    <x v="4"/>
    <x v="126"/>
    <x v="4"/>
  </r>
  <r>
    <x v="5"/>
    <x v="129"/>
    <x v="1281"/>
    <x v="4"/>
    <x v="127"/>
    <x v="0"/>
  </r>
  <r>
    <x v="5"/>
    <x v="130"/>
    <x v="678"/>
    <x v="1"/>
    <x v="128"/>
    <x v="2"/>
  </r>
  <r>
    <x v="5"/>
    <x v="131"/>
    <x v="683"/>
    <x v="4"/>
    <x v="129"/>
    <x v="4"/>
  </r>
  <r>
    <x v="5"/>
    <x v="132"/>
    <x v="618"/>
    <x v="4"/>
    <x v="130"/>
    <x v="4"/>
  </r>
  <r>
    <x v="5"/>
    <x v="133"/>
    <x v="356"/>
    <x v="0"/>
    <x v="131"/>
    <x v="1"/>
  </r>
  <r>
    <x v="5"/>
    <x v="134"/>
    <x v="1104"/>
    <x v="3"/>
    <x v="132"/>
    <x v="3"/>
  </r>
  <r>
    <x v="5"/>
    <x v="135"/>
    <x v="1285"/>
    <x v="4"/>
    <x v="133"/>
    <x v="0"/>
  </r>
  <r>
    <x v="5"/>
    <x v="136"/>
    <x v="285"/>
    <x v="4"/>
    <x v="134"/>
    <x v="4"/>
  </r>
  <r>
    <x v="5"/>
    <x v="137"/>
    <x v="1100"/>
    <x v="3"/>
    <x v="135"/>
    <x v="3"/>
  </r>
  <r>
    <x v="5"/>
    <x v="138"/>
    <x v="1179"/>
    <x v="3"/>
    <x v="136"/>
    <x v="3"/>
  </r>
  <r>
    <x v="5"/>
    <x v="139"/>
    <x v="1188"/>
    <x v="3"/>
    <x v="137"/>
    <x v="3"/>
  </r>
  <r>
    <x v="5"/>
    <x v="140"/>
    <x v="1074"/>
    <x v="3"/>
    <x v="138"/>
    <x v="3"/>
  </r>
  <r>
    <x v="5"/>
    <x v="141"/>
    <x v="1241"/>
    <x v="3"/>
    <x v="139"/>
    <x v="3"/>
  </r>
  <r>
    <x v="5"/>
    <x v="142"/>
    <x v="1020"/>
    <x v="4"/>
    <x v="140"/>
    <x v="4"/>
  </r>
  <r>
    <x v="5"/>
    <x v="143"/>
    <x v="783"/>
    <x v="4"/>
    <x v="141"/>
    <x v="4"/>
  </r>
  <r>
    <x v="5"/>
    <x v="144"/>
    <x v="272"/>
    <x v="0"/>
    <x v="142"/>
    <x v="1"/>
  </r>
  <r>
    <x v="5"/>
    <x v="145"/>
    <x v="1248"/>
    <x v="3"/>
    <x v="143"/>
    <x v="3"/>
  </r>
  <r>
    <x v="5"/>
    <x v="146"/>
    <x v="572"/>
    <x v="1"/>
    <x v="144"/>
    <x v="2"/>
  </r>
  <r>
    <x v="5"/>
    <x v="147"/>
    <x v="430"/>
    <x v="1"/>
    <x v="145"/>
    <x v="2"/>
  </r>
  <r>
    <x v="5"/>
    <x v="148"/>
    <x v="965"/>
    <x v="3"/>
    <x v="146"/>
    <x v="3"/>
  </r>
  <r>
    <x v="5"/>
    <x v="149"/>
    <x v="740"/>
    <x v="3"/>
    <x v="147"/>
    <x v="3"/>
  </r>
  <r>
    <x v="5"/>
    <x v="150"/>
    <x v="262"/>
    <x v="3"/>
    <x v="148"/>
    <x v="3"/>
  </r>
  <r>
    <x v="5"/>
    <x v="151"/>
    <x v="114"/>
    <x v="1"/>
    <x v="149"/>
    <x v="2"/>
  </r>
  <r>
    <x v="5"/>
    <x v="152"/>
    <x v="631"/>
    <x v="1"/>
    <x v="150"/>
    <x v="2"/>
  </r>
  <r>
    <x v="5"/>
    <x v="153"/>
    <x v="72"/>
    <x v="5"/>
    <x v="151"/>
    <x v="5"/>
  </r>
  <r>
    <x v="5"/>
    <x v="154"/>
    <x v="716"/>
    <x v="4"/>
    <x v="152"/>
    <x v="4"/>
  </r>
  <r>
    <x v="5"/>
    <x v="155"/>
    <x v="1273"/>
    <x v="3"/>
    <x v="153"/>
    <x v="3"/>
  </r>
  <r>
    <x v="5"/>
    <x v="156"/>
    <x v="497"/>
    <x v="0"/>
    <x v="154"/>
    <x v="1"/>
  </r>
  <r>
    <x v="5"/>
    <x v="157"/>
    <x v="649"/>
    <x v="4"/>
    <x v="155"/>
    <x v="4"/>
  </r>
  <r>
    <x v="5"/>
    <x v="158"/>
    <x v="1312"/>
    <x v="3"/>
    <x v="156"/>
    <x v="3"/>
  </r>
  <r>
    <x v="5"/>
    <x v="159"/>
    <x v="1275"/>
    <x v="3"/>
    <x v="157"/>
    <x v="3"/>
  </r>
  <r>
    <x v="5"/>
    <x v="160"/>
    <x v="1284"/>
    <x v="3"/>
    <x v="158"/>
    <x v="3"/>
  </r>
  <r>
    <x v="5"/>
    <x v="161"/>
    <x v="1264"/>
    <x v="3"/>
    <x v="159"/>
    <x v="3"/>
  </r>
  <r>
    <x v="5"/>
    <x v="162"/>
    <x v="753"/>
    <x v="1"/>
    <x v="160"/>
    <x v="2"/>
  </r>
  <r>
    <x v="5"/>
    <x v="163"/>
    <x v="908"/>
    <x v="3"/>
    <x v="161"/>
    <x v="3"/>
  </r>
  <r>
    <x v="5"/>
    <x v="164"/>
    <x v="468"/>
    <x v="0"/>
    <x v="162"/>
    <x v="1"/>
  </r>
  <r>
    <x v="5"/>
    <x v="165"/>
    <x v="673"/>
    <x v="0"/>
    <x v="163"/>
    <x v="1"/>
  </r>
  <r>
    <x v="5"/>
    <x v="166"/>
    <x v="478"/>
    <x v="0"/>
    <x v="164"/>
    <x v="1"/>
  </r>
  <r>
    <x v="5"/>
    <x v="167"/>
    <x v="1282"/>
    <x v="3"/>
    <x v="165"/>
    <x v="3"/>
  </r>
  <r>
    <x v="5"/>
    <x v="168"/>
    <x v="486"/>
    <x v="4"/>
    <x v="166"/>
    <x v="4"/>
  </r>
  <r>
    <x v="5"/>
    <x v="169"/>
    <x v="51"/>
    <x v="5"/>
    <x v="167"/>
    <x v="5"/>
  </r>
  <r>
    <x v="5"/>
    <x v="170"/>
    <x v="388"/>
    <x v="4"/>
    <x v="169"/>
    <x v="4"/>
  </r>
  <r>
    <x v="5"/>
    <x v="171"/>
    <x v="527"/>
    <x v="0"/>
    <x v="170"/>
    <x v="1"/>
  </r>
  <r>
    <x v="5"/>
    <x v="172"/>
    <x v="326"/>
    <x v="4"/>
    <x v="171"/>
    <x v="4"/>
  </r>
  <r>
    <x v="5"/>
    <x v="173"/>
    <x v="39"/>
    <x v="5"/>
    <x v="172"/>
    <x v="5"/>
  </r>
  <r>
    <x v="5"/>
    <x v="174"/>
    <x v="700"/>
    <x v="1"/>
    <x v="173"/>
    <x v="2"/>
  </r>
  <r>
    <x v="5"/>
    <x v="175"/>
    <x v="510"/>
    <x v="1"/>
    <x v="174"/>
    <x v="2"/>
  </r>
  <r>
    <x v="5"/>
    <x v="176"/>
    <x v="806"/>
    <x v="4"/>
    <x v="175"/>
    <x v="4"/>
  </r>
  <r>
    <x v="5"/>
    <x v="177"/>
    <x v="453"/>
    <x v="4"/>
    <x v="176"/>
    <x v="4"/>
  </r>
  <r>
    <x v="5"/>
    <x v="178"/>
    <x v="1151"/>
    <x v="1"/>
    <x v="177"/>
    <x v="2"/>
  </r>
  <r>
    <x v="5"/>
    <x v="179"/>
    <x v="365"/>
    <x v="0"/>
    <x v="178"/>
    <x v="1"/>
  </r>
  <r>
    <x v="5"/>
    <x v="180"/>
    <x v="234"/>
    <x v="0"/>
    <x v="179"/>
    <x v="1"/>
  </r>
  <r>
    <x v="5"/>
    <x v="181"/>
    <x v="109"/>
    <x v="0"/>
    <x v="180"/>
    <x v="1"/>
  </r>
  <r>
    <x v="5"/>
    <x v="182"/>
    <x v="541"/>
    <x v="0"/>
    <x v="181"/>
    <x v="1"/>
  </r>
  <r>
    <x v="5"/>
    <x v="183"/>
    <x v="1190"/>
    <x v="3"/>
    <x v="182"/>
    <x v="3"/>
  </r>
  <r>
    <x v="5"/>
    <x v="184"/>
    <x v="49"/>
    <x v="5"/>
    <x v="183"/>
    <x v="5"/>
  </r>
  <r>
    <x v="5"/>
    <x v="185"/>
    <x v="895"/>
    <x v="1"/>
    <x v="186"/>
    <x v="2"/>
  </r>
  <r>
    <x v="5"/>
    <x v="186"/>
    <x v="948"/>
    <x v="1"/>
    <x v="184"/>
    <x v="2"/>
  </r>
  <r>
    <x v="5"/>
    <x v="187"/>
    <x v="567"/>
    <x v="1"/>
    <x v="185"/>
    <x v="2"/>
  </r>
  <r>
    <x v="5"/>
    <x v="188"/>
    <x v="472"/>
    <x v="4"/>
    <x v="187"/>
    <x v="4"/>
  </r>
  <r>
    <x v="5"/>
    <x v="189"/>
    <x v="493"/>
    <x v="4"/>
    <x v="188"/>
    <x v="4"/>
  </r>
  <r>
    <x v="5"/>
    <x v="190"/>
    <x v="445"/>
    <x v="4"/>
    <x v="189"/>
    <x v="4"/>
  </r>
  <r>
    <x v="5"/>
    <x v="191"/>
    <x v="364"/>
    <x v="3"/>
    <x v="190"/>
    <x v="3"/>
  </r>
  <r>
    <x v="5"/>
    <x v="192"/>
    <x v="791"/>
    <x v="1"/>
    <x v="191"/>
    <x v="2"/>
  </r>
  <r>
    <x v="5"/>
    <x v="193"/>
    <x v="680"/>
    <x v="4"/>
    <x v="192"/>
    <x v="4"/>
  </r>
  <r>
    <x v="5"/>
    <x v="194"/>
    <x v="676"/>
    <x v="4"/>
    <x v="193"/>
    <x v="4"/>
  </r>
  <r>
    <x v="5"/>
    <x v="195"/>
    <x v="809"/>
    <x v="4"/>
    <x v="194"/>
    <x v="4"/>
  </r>
  <r>
    <x v="5"/>
    <x v="196"/>
    <x v="713"/>
    <x v="0"/>
    <x v="195"/>
    <x v="1"/>
  </r>
  <r>
    <x v="5"/>
    <x v="197"/>
    <x v="106"/>
    <x v="4"/>
    <x v="196"/>
    <x v="4"/>
  </r>
  <r>
    <x v="5"/>
    <x v="198"/>
    <x v="278"/>
    <x v="3"/>
    <x v="197"/>
    <x v="3"/>
  </r>
  <r>
    <x v="5"/>
    <x v="199"/>
    <x v="338"/>
    <x v="4"/>
    <x v="198"/>
    <x v="4"/>
  </r>
  <r>
    <x v="5"/>
    <x v="200"/>
    <x v="4"/>
    <x v="5"/>
    <x v="199"/>
    <x v="5"/>
  </r>
  <r>
    <x v="5"/>
    <x v="201"/>
    <x v="444"/>
    <x v="4"/>
    <x v="200"/>
    <x v="4"/>
  </r>
  <r>
    <x v="5"/>
    <x v="202"/>
    <x v="100"/>
    <x v="5"/>
    <x v="201"/>
    <x v="5"/>
  </r>
  <r>
    <x v="5"/>
    <x v="203"/>
    <x v="69"/>
    <x v="4"/>
    <x v="202"/>
    <x v="4"/>
  </r>
  <r>
    <x v="5"/>
    <x v="204"/>
    <x v="407"/>
    <x v="0"/>
    <x v="203"/>
    <x v="1"/>
  </r>
  <r>
    <x v="5"/>
    <x v="205"/>
    <x v="901"/>
    <x v="3"/>
    <x v="204"/>
    <x v="3"/>
  </r>
  <r>
    <x v="5"/>
    <x v="206"/>
    <x v="540"/>
    <x v="1"/>
    <x v="205"/>
    <x v="2"/>
  </r>
  <r>
    <x v="5"/>
    <x v="207"/>
    <x v="1212"/>
    <x v="3"/>
    <x v="206"/>
    <x v="3"/>
  </r>
  <r>
    <x v="5"/>
    <x v="208"/>
    <x v="299"/>
    <x v="0"/>
    <x v="207"/>
    <x v="1"/>
  </r>
  <r>
    <x v="5"/>
    <x v="209"/>
    <x v="413"/>
    <x v="0"/>
    <x v="208"/>
    <x v="1"/>
  </r>
  <r>
    <x v="5"/>
    <x v="210"/>
    <x v="107"/>
    <x v="5"/>
    <x v="209"/>
    <x v="5"/>
  </r>
  <r>
    <x v="5"/>
    <x v="211"/>
    <x v="376"/>
    <x v="4"/>
    <x v="210"/>
    <x v="4"/>
  </r>
  <r>
    <x v="5"/>
    <x v="212"/>
    <x v="677"/>
    <x v="4"/>
    <x v="211"/>
    <x v="4"/>
  </r>
  <r>
    <x v="5"/>
    <x v="213"/>
    <x v="607"/>
    <x v="1"/>
    <x v="212"/>
    <x v="2"/>
  </r>
  <r>
    <x v="5"/>
    <x v="214"/>
    <x v="315"/>
    <x v="4"/>
    <x v="213"/>
    <x v="4"/>
  </r>
  <r>
    <x v="5"/>
    <x v="215"/>
    <x v="400"/>
    <x v="4"/>
    <x v="214"/>
    <x v="4"/>
  </r>
  <r>
    <x v="5"/>
    <x v="216"/>
    <x v="724"/>
    <x v="0"/>
    <x v="215"/>
    <x v="1"/>
  </r>
  <r>
    <x v="5"/>
    <x v="217"/>
    <x v="107"/>
    <x v="5"/>
    <x v="216"/>
    <x v="5"/>
  </r>
  <r>
    <x v="5"/>
    <x v="218"/>
    <x v="244"/>
    <x v="1"/>
    <x v="217"/>
    <x v="2"/>
  </r>
  <r>
    <x v="5"/>
    <x v="219"/>
    <x v="919"/>
    <x v="4"/>
    <x v="218"/>
    <x v="4"/>
  </r>
  <r>
    <x v="5"/>
    <x v="220"/>
    <x v="994"/>
    <x v="3"/>
    <x v="219"/>
    <x v="3"/>
  </r>
  <r>
    <x v="5"/>
    <x v="221"/>
    <x v="984"/>
    <x v="1"/>
    <x v="220"/>
    <x v="2"/>
  </r>
  <r>
    <x v="5"/>
    <x v="222"/>
    <x v="963"/>
    <x v="4"/>
    <x v="221"/>
    <x v="4"/>
  </r>
  <r>
    <x v="5"/>
    <x v="223"/>
    <x v="621"/>
    <x v="1"/>
    <x v="222"/>
    <x v="2"/>
  </r>
  <r>
    <x v="5"/>
    <x v="224"/>
    <x v="846"/>
    <x v="1"/>
    <x v="223"/>
    <x v="2"/>
  </r>
  <r>
    <x v="5"/>
    <x v="225"/>
    <x v="1154"/>
    <x v="3"/>
    <x v="224"/>
    <x v="3"/>
  </r>
  <r>
    <x v="5"/>
    <x v="226"/>
    <x v="1291"/>
    <x v="3"/>
    <x v="225"/>
    <x v="3"/>
  </r>
  <r>
    <x v="5"/>
    <x v="227"/>
    <x v="1308"/>
    <x v="3"/>
    <x v="226"/>
    <x v="3"/>
  </r>
  <r>
    <x v="5"/>
    <x v="228"/>
    <x v="1006"/>
    <x v="3"/>
    <x v="227"/>
    <x v="3"/>
  </r>
  <r>
    <x v="5"/>
    <x v="229"/>
    <x v="1132"/>
    <x v="3"/>
    <x v="228"/>
    <x v="3"/>
  </r>
  <r>
    <x v="5"/>
    <x v="230"/>
    <x v="1307"/>
    <x v="3"/>
    <x v="229"/>
    <x v="3"/>
  </r>
  <r>
    <x v="5"/>
    <x v="231"/>
    <x v="478"/>
    <x v="0"/>
    <x v="230"/>
    <x v="1"/>
  </r>
  <r>
    <x v="5"/>
    <x v="232"/>
    <x v="1213"/>
    <x v="3"/>
    <x v="232"/>
    <x v="3"/>
  </r>
  <r>
    <x v="5"/>
    <x v="233"/>
    <x v="1267"/>
    <x v="3"/>
    <x v="233"/>
    <x v="3"/>
  </r>
  <r>
    <x v="5"/>
    <x v="234"/>
    <x v="1111"/>
    <x v="3"/>
    <x v="234"/>
    <x v="3"/>
  </r>
  <r>
    <x v="5"/>
    <x v="235"/>
    <x v="1169"/>
    <x v="3"/>
    <x v="235"/>
    <x v="3"/>
  </r>
  <r>
    <x v="5"/>
    <x v="236"/>
    <x v="167"/>
    <x v="0"/>
    <x v="236"/>
    <x v="1"/>
  </r>
  <r>
    <x v="5"/>
    <x v="237"/>
    <x v="547"/>
    <x v="0"/>
    <x v="237"/>
    <x v="1"/>
  </r>
  <r>
    <x v="5"/>
    <x v="238"/>
    <x v="543"/>
    <x v="0"/>
    <x v="238"/>
    <x v="1"/>
  </r>
  <r>
    <x v="5"/>
    <x v="239"/>
    <x v="864"/>
    <x v="3"/>
    <x v="239"/>
    <x v="3"/>
  </r>
  <r>
    <x v="5"/>
    <x v="240"/>
    <x v="937"/>
    <x v="3"/>
    <x v="240"/>
    <x v="3"/>
  </r>
  <r>
    <x v="5"/>
    <x v="241"/>
    <x v="82"/>
    <x v="5"/>
    <x v="241"/>
    <x v="5"/>
  </r>
  <r>
    <x v="5"/>
    <x v="242"/>
    <x v="1276"/>
    <x v="3"/>
    <x v="242"/>
    <x v="3"/>
  </r>
  <r>
    <x v="5"/>
    <x v="243"/>
    <x v="739"/>
    <x v="0"/>
    <x v="243"/>
    <x v="1"/>
  </r>
  <r>
    <x v="5"/>
    <x v="244"/>
    <x v="328"/>
    <x v="0"/>
    <x v="244"/>
    <x v="1"/>
  </r>
  <r>
    <x v="5"/>
    <x v="245"/>
    <x v="1283"/>
    <x v="3"/>
    <x v="245"/>
    <x v="3"/>
  </r>
  <r>
    <x v="5"/>
    <x v="246"/>
    <x v="392"/>
    <x v="0"/>
    <x v="246"/>
    <x v="1"/>
  </r>
  <r>
    <x v="5"/>
    <x v="247"/>
    <x v="107"/>
    <x v="5"/>
    <x v="247"/>
    <x v="5"/>
  </r>
  <r>
    <x v="5"/>
    <x v="248"/>
    <x v="422"/>
    <x v="4"/>
    <x v="248"/>
    <x v="4"/>
  </r>
  <r>
    <x v="5"/>
    <x v="249"/>
    <x v="138"/>
    <x v="4"/>
    <x v="249"/>
    <x v="4"/>
  </r>
  <r>
    <x v="5"/>
    <x v="250"/>
    <x v="431"/>
    <x v="0"/>
    <x v="250"/>
    <x v="1"/>
  </r>
  <r>
    <x v="5"/>
    <x v="251"/>
    <x v="1218"/>
    <x v="1"/>
    <x v="251"/>
    <x v="2"/>
  </r>
  <r>
    <x v="5"/>
    <x v="252"/>
    <x v="1126"/>
    <x v="1"/>
    <x v="252"/>
    <x v="2"/>
  </r>
  <r>
    <x v="5"/>
    <x v="253"/>
    <x v="780"/>
    <x v="1"/>
    <x v="253"/>
    <x v="2"/>
  </r>
  <r>
    <x v="5"/>
    <x v="254"/>
    <x v="623"/>
    <x v="4"/>
    <x v="254"/>
    <x v="4"/>
  </r>
  <r>
    <x v="5"/>
    <x v="255"/>
    <x v="335"/>
    <x v="0"/>
    <x v="255"/>
    <x v="1"/>
  </r>
  <r>
    <x v="5"/>
    <x v="256"/>
    <x v="775"/>
    <x v="4"/>
    <x v="256"/>
    <x v="4"/>
  </r>
  <r>
    <x v="5"/>
    <x v="257"/>
    <x v="998"/>
    <x v="3"/>
    <x v="257"/>
    <x v="3"/>
  </r>
  <r>
    <x v="5"/>
    <x v="258"/>
    <x v="1067"/>
    <x v="3"/>
    <x v="258"/>
    <x v="3"/>
  </r>
  <r>
    <x v="5"/>
    <x v="259"/>
    <x v="1109"/>
    <x v="3"/>
    <x v="259"/>
    <x v="3"/>
  </r>
  <r>
    <x v="5"/>
    <x v="261"/>
    <x v="513"/>
    <x v="6"/>
    <x v="231"/>
    <x v="6"/>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Relationships xmlns="http://schemas.openxmlformats.org/package/2006/relationships"><Relationship Id="rId1" Type="http://schemas.openxmlformats.org/officeDocument/2006/relationships/pivotCacheDefinition" Target="../pivotCache/pivotCacheDefinition2.xml"/>
</Relationships>
</file>

<file path=xl/pivotTables/pivotTable1.xml><?xml version="1.0" encoding="utf-8"?>
<pivotTableDefinition xmlns="http://schemas.openxmlformats.org/spreadsheetml/2006/main" name="PivotHourPeriod" cacheId="1" applyNumberFormats="0" applyBorderFormats="0" applyFontFormats="0" applyPatternFormats="0" applyAlignmentFormats="0" applyWidthHeightFormats="0" dataCaption="Values" showDrill="0" useAutoFormatting="0" itemPrintTitles="1" indent="0" outline="1" outlineData="1" compact="1" compactData="1">
  <location ref="A6:D32" firstHeaderRow="1" firstDataRow="2" firstDataCol="1"/>
  <pivotFields count="9">
    <pivotField compact="0" showAll="0"/>
    <pivotField axis="axisRow" compact="0" showAll="0" defaultSubtotal="0">
      <items count="24">
        <item x="0"/>
        <item x="1"/>
        <item x="2"/>
        <item x="3"/>
        <item x="4"/>
        <item x="5"/>
        <item x="6"/>
        <item x="7"/>
        <item x="8"/>
        <item x="9"/>
        <item x="10"/>
        <item x="11"/>
        <item x="12"/>
        <item x="13"/>
        <item x="14"/>
        <item x="15"/>
        <item x="16"/>
        <item x="17"/>
        <item x="18"/>
        <item x="19"/>
        <item x="20"/>
        <item x="21"/>
        <item x="22"/>
        <item x="23"/>
      </items>
    </pivotField>
    <pivotField dataField="1" compact="0" showAll="0"/>
    <pivotField axis="axisCol" compact="0" showAll="0" defaultSubtotal="0">
      <items count="2">
        <item x="0"/>
        <item x="1"/>
      </items>
    </pivotField>
    <pivotField compact="0" showAll="0"/>
    <pivotField compact="0" showAll="0"/>
    <pivotField compact="0" showAll="0"/>
    <pivotField compact="0" showAll="0"/>
    <pivotField compact="0" showAll="0"/>
  </pivotFields>
  <rowFields count="1">
    <field x="1"/>
  </rowFields>
  <colFields count="1">
    <field x="3"/>
  </colFields>
  <dataFields count="1">
    <dataField name="Sum - Trips" fld="2" subtotal="sum" numFmtId="3"/>
  </dataFields>
  <pivotTableStyleInfo name="PivotStyleLight16" showRowHeaders="1" showColHeaders="1" showRowStripes="0" showColStripes="0" showLastColumn="1"/>
</pivotTableDefinition>
</file>

<file path=xl/pivotTables/pivotTable2.xml><?xml version="1.0" encoding="utf-8"?>
<pivotTableDefinition xmlns="http://schemas.openxmlformats.org/spreadsheetml/2006/main" name="PivotServiceArea" cacheId="2" applyNumberFormats="0" applyBorderFormats="0" applyFontFormats="0" applyPatternFormats="0" applyAlignmentFormats="0" applyWidthHeightFormats="0" dataCaption="Values" showDrill="0" useAutoFormatting="0" itemPrintTitles="1" indent="0" outline="1" outlineData="1" compact="1" compactData="1">
  <location ref="G6:H14" firstHeaderRow="1" firstDataRow="1" firstDataCol="1"/>
  <pivotFields count="6">
    <pivotField compact="0" showAll="0"/>
    <pivotField compact="0" showAll="0"/>
    <pivotField dataField="1" compact="0" showAll="0"/>
    <pivotField compact="0" showAll="0"/>
    <pivotField compact="0" showAll="0"/>
    <pivotField axis="axisRow" compact="0" showAll="0" defaultSubtotal="0">
      <items count="7">
        <item x="0"/>
        <item x="1"/>
        <item x="2"/>
        <item x="3"/>
        <item x="4"/>
        <item x="5"/>
        <item x="6"/>
      </items>
    </pivotField>
  </pivotFields>
  <rowFields count="1">
    <field x="5"/>
  </rowFields>
  <dataFields count="1">
    <dataField name="Sum - Trips" fld="2" subtotal="sum" numFmtId="3"/>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blHourly" displayName="tblHourly" ref="A1:I8726" totalsRowShown="0">
  <autoFilter ref="A1:I8726"/>
  <tableColumns count="9">
    <tableColumn id="1" name="Date"/>
    <tableColumn id="2" name="Hour"/>
    <tableColumn id="3" name="Trips"/>
    <tableColumn id="4" name="Period"/>
    <tableColumn id="5" name="Year"/>
    <tableColumn id="6" name="Month"/>
    <tableColumn id="7" name="Weekday"/>
    <tableColumn id="8" name="Day Type"/>
    <tableColumn id="9" name="Time Band"/>
  </tableColumns>
  <tableStyleInfo name="TableStyleLight9" showFirstColumn="0" showLastColumn="0" showRowStripes="1" showColumnStripes="0"/>
</table>
</file>

<file path=xl/tables/table2.xml><?xml version="1.0" encoding="utf-8"?>
<table xmlns="http://schemas.openxmlformats.org/spreadsheetml/2006/main" id="2" name="tblDaily" displayName="tblDaily" ref="A1:J365" totalsRowShown="0">
  <autoFilter ref="A1:J365"/>
  <tableColumns count="10">
    <tableColumn id="1" name="Date"/>
    <tableColumn id="2" name="Period"/>
    <tableColumn id="3" name="Trips"/>
    <tableColumn id="4" name="Weekday"/>
    <tableColumn id="5" name="Day Type"/>
    <tableColumn id="6" name="Month"/>
    <tableColumn id="7" name="Holiday"/>
    <tableColumn id="8" name="Special Day"/>
    <tableColumn id="9" name="Trips 2015"/>
    <tableColumn id="10" name="7-day Average"/>
  </tableColumns>
  <tableStyleInfo name="TableStyleLight9" showFirstColumn="0" showLastColumn="0" showRowStripes="1" showColumnStripes="0"/>
</table>
</file>

<file path=xl/tables/table3.xml><?xml version="1.0" encoding="utf-8"?>
<table xmlns="http://schemas.openxmlformats.org/spreadsheetml/2006/main" id="3" name="tblBaseDaily" displayName="tblBaseDaily" ref="A1:E2062" totalsRowShown="0">
  <autoFilter ref="A1:E2062"/>
  <tableColumns count="5">
    <tableColumn id="1" name="Date"/>
    <tableColumn id="2" name="Base Code"/>
    <tableColumn id="3" name="Trips"/>
    <tableColumn id="4" name="Base Name"/>
    <tableColumn id="5" name="Year"/>
  </tableColumns>
  <tableStyleInfo name="TableStyleLight9" showFirstColumn="0" showLastColumn="0" showRowStripes="1" showColumnStripes="0"/>
</table>
</file>

<file path=xl/tables/table4.xml><?xml version="1.0" encoding="utf-8"?>
<table xmlns="http://schemas.openxmlformats.org/spreadsheetml/2006/main" id="4" name="tblZoneMonthly" displayName="tblZoneMonthly" ref="A1:F1563" totalsRowShown="0">
  <autoFilter ref="A1:F1563"/>
  <tableColumns count="6">
    <tableColumn id="1" name="Month"/>
    <tableColumn id="2" name="Location ID"/>
    <tableColumn id="3" name="Trips"/>
    <tableColumn id="4" name="Borough"/>
    <tableColumn id="5" name="Zone"/>
    <tableColumn id="6" name="Service Area"/>
  </tableColumns>
  <tableStyleInfo name="TableStyleLight9" showFirstColumn="0" showLastColumn="0" showRowStripes="1" showColumnStripes="0"/>
</table>
</file>

<file path=xl/tables/table5.xml><?xml version="1.0" encoding="utf-8"?>
<table xmlns="http://schemas.openxmlformats.org/spreadsheetml/2006/main" id="5" name="tblAreaHour" displayName="tblAreaHour" ref="A1:C169" totalsRowShown="0">
  <autoFilter ref="A1:C169"/>
  <tableColumns count="3">
    <tableColumn id="1" name="Hour"/>
    <tableColumn id="2" name="Service Area"/>
    <tableColumn id="3" name="Trips"/>
  </tableColumns>
  <tableStyleInfo name="TableStyleLight9" showFirstColumn="0" showLastColumn="0" showRowStripes="1" showColumnStripes="0"/>
</table>
</file>

<file path=xl/tables/table6.xml><?xml version="1.0" encoding="utf-8"?>
<table xmlns="http://schemas.openxmlformats.org/spreadsheetml/2006/main" id="6" name="tblFOIL" displayName="tblFOIL" ref="A1:I355" totalsRowShown="0">
  <autoFilter ref="A1:I355"/>
  <tableColumns count="9">
    <tableColumn id="1" name="Date"/>
    <tableColumn id="2" name="Base Code"/>
    <tableColumn id="3" name="Active Vehicles"/>
    <tableColumn id="4" name="Trips"/>
    <tableColumn id="5" name="Base Name"/>
    <tableColumn id="6" name="Trips per Vehicle"/>
    <tableColumn id="7" name="Day Type"/>
    <tableColumn id="8" name="Week Start"/>
    <tableColumn id="9" name="Weekday"/>
  </tableColumns>
  <tableStyleInfo name="TableStyleLight9" showFirstColumn="0" showLastColumn="0" showRowStripes="1" showColumnStripes="0"/>
</table>
</file>

<file path=xl/tables/table7.xml><?xml version="1.0" encoding="utf-8"?>
<table xmlns="http://schemas.openxmlformats.org/spreadsheetml/2006/main" id="7" name="tblMarket" displayName="tblMarket" ref="A1:O93" totalsRowShown="0">
  <autoFilter ref="A1:O93"/>
  <tableColumns count="15">
    <tableColumn id="1" name="Date"/>
    <tableColumn id="2" name="American"/>
    <tableColumn id="3" name="Carmel"/>
    <tableColumn id="4" name="Dial 7"/>
    <tableColumn id="5" name="Diplo"/>
    <tableColumn id="6" name="Firstclass"/>
    <tableColumn id="7" name="Green Taxis"/>
    <tableColumn id="8" name="Highclass"/>
    <tableColumn id="9" name="Lyft"/>
    <tableColumn id="10" name="Prestige"/>
    <tableColumn id="11" name="Skyline"/>
    <tableColumn id="12" name="Uber"/>
    <tableColumn id="13" name="Yellow Taxis"/>
    <tableColumn id="14" name="Month"/>
    <tableColumn id="15" name="Uber vs Yellow"/>
  </tableColumns>
  <tableStyleInfo name="TableStyleLight9" showFirstColumn="0" showLastColumn="0" showRowStripes="1" showColumnStripes="0"/>
</table>
</file>

<file path=xl/tables/table8.xml><?xml version="1.0" encoding="utf-8"?>
<table xmlns="http://schemas.openxmlformats.org/spreadsheetml/2006/main" id="8" name="tblBases" displayName="tblBases" ref="A1:B9" totalsRowShown="0">
  <autoFilter ref="A1:B9"/>
  <tableColumns count="2">
    <tableColumn id="1" name="Base Code"/>
    <tableColumn id="2" name="Base Name"/>
  </tableColumns>
  <tableStyleInfo name="TableStyleLight1" showFirstColumn="0" showLastColumn="0" showRowStripes="1" showColumnStripes="0"/>
</table>
</file>

<file path=xl/tables/table9.xml><?xml version="1.0" encoding="utf-8"?>
<table xmlns="http://schemas.openxmlformats.org/spreadsheetml/2006/main" id="9" name="tblRaw2014" displayName="tblRaw2014" ref="A2:D302" totalsRowShown="0">
  <autoFilter ref="A2:D302"/>
  <tableColumns count="4">
    <tableColumn id="1" name="Date/Time"/>
    <tableColumn id="2" name="Lat"/>
    <tableColumn id="3" name="Lon"/>
    <tableColumn id="4" name="Base"/>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900" Type="http://schemas.openxmlformats.org/officeDocument/2006/relationships/pivotTable" Target="../pivotTables/pivotTable1.xml"/><Relationship Id="rId90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sheetPr>
    <tabColor rgb="FF2A78D6"/>
  </sheetPr>
  <dimension ref="B1:C23"/>
  <sheetViews>
    <sheetView showGridLines="0" zoomScale="90" zoomScaleNormal="90" workbookViewId="0"/>
  </sheetViews>
  <sheetFormatPr defaultRowHeight="15"/>
  <cols>
    <col min="1" max="1" width="2.7109375" customWidth="1"/>
    <col min="2" max="2" width="22.7109375" customWidth="1"/>
    <col min="3" max="3" width="115.7109375" customWidth="1"/>
  </cols>
  <sheetData>
    <row r="1" spans="2:3" ht="27" customHeight="1">
      <c r="B1" s="1" t="s">
        <v>1358</v>
      </c>
    </row>
    <row r="2" spans="2:3">
      <c r="B2" s="2" t="s">
        <v>1359</v>
      </c>
    </row>
    <row r="4" spans="2:3">
      <c r="B4" s="3" t="s">
        <v>1360</v>
      </c>
      <c r="C4" s="4" t="s">
        <v>1361</v>
      </c>
    </row>
    <row r="5" spans="2:3">
      <c r="B5" s="3" t="s">
        <v>1362</v>
      </c>
      <c r="C5" s="4" t="s">
        <v>1363</v>
      </c>
    </row>
    <row r="6" spans="2:3">
      <c r="B6" s="3" t="s">
        <v>1364</v>
      </c>
      <c r="C6" s="4" t="s">
        <v>1365</v>
      </c>
    </row>
    <row r="7" spans="2:3">
      <c r="B7" s="3" t="s">
        <v>1366</v>
      </c>
      <c r="C7" s="4" t="s">
        <v>1367</v>
      </c>
    </row>
    <row r="8" spans="2:3">
      <c r="B8" s="3" t="s">
        <v>1368</v>
      </c>
      <c r="C8" s="4" t="s">
        <v>1369</v>
      </c>
    </row>
    <row r="10" spans="2:3">
      <c r="B10" s="5" t="s">
        <v>1370</v>
      </c>
      <c r="C10" s="5" t="s">
        <v>1371</v>
      </c>
    </row>
    <row r="11" spans="2:3">
      <c r="B11" s="3" t="s">
        <v>1372</v>
      </c>
      <c r="C11" s="4" t="s">
        <v>1373</v>
      </c>
    </row>
    <row r="12" spans="2:3">
      <c r="B12" s="3" t="s">
        <v>1374</v>
      </c>
      <c r="C12" s="4" t="s">
        <v>1375</v>
      </c>
    </row>
    <row r="13" spans="2:3">
      <c r="B13" s="3" t="s">
        <v>1376</v>
      </c>
      <c r="C13" s="4" t="s">
        <v>1377</v>
      </c>
    </row>
    <row r="14" spans="2:3">
      <c r="B14" s="3" t="s">
        <v>1378</v>
      </c>
      <c r="C14" s="4" t="s">
        <v>1379</v>
      </c>
    </row>
    <row r="15" spans="2:3">
      <c r="B15" s="3" t="s">
        <v>1380</v>
      </c>
      <c r="C15" s="4" t="s">
        <v>1381</v>
      </c>
    </row>
    <row r="16" spans="2:3">
      <c r="B16" s="3" t="s">
        <v>1382</v>
      </c>
      <c r="C16" s="4" t="s">
        <v>1383</v>
      </c>
    </row>
    <row r="17" spans="2:3">
      <c r="B17" s="3" t="s">
        <v>1384</v>
      </c>
      <c r="C17" s="4" t="s">
        <v>1385</v>
      </c>
    </row>
    <row r="18" spans="2:3">
      <c r="B18" s="3" t="s">
        <v>1386</v>
      </c>
      <c r="C18" s="4" t="s">
        <v>1387</v>
      </c>
    </row>
    <row r="19" spans="2:3">
      <c r="B19" s="3" t="s">
        <v>1388</v>
      </c>
      <c r="C19" s="4" t="s">
        <v>1389</v>
      </c>
    </row>
    <row r="20" spans="2:3">
      <c r="B20" s="3" t="s">
        <v>1390</v>
      </c>
      <c r="C20" s="4" t="s">
        <v>1391</v>
      </c>
    </row>
    <row r="21" spans="2:3">
      <c r="B21" s="3" t="s">
        <v>1392</v>
      </c>
      <c r="C21" s="4" t="s">
        <v>1393</v>
      </c>
    </row>
    <row r="22" spans="2:3">
      <c r="B22" s="3" t="s">
        <v>1394</v>
      </c>
      <c r="C22" s="4" t="s">
        <v>1395</v>
      </c>
    </row>
    <row r="23" spans="2:3">
      <c r="B23" s="3" t="s">
        <v>1396</v>
      </c>
      <c r="C23" s="4" t="s">
        <v>1397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2A78D6"/>
  </sheetPr>
  <dimension ref="B1:N39"/>
  <sheetViews>
    <sheetView showGridLines="0" tabSelected="1" zoomScale="90" zoomScaleNormal="90" workbookViewId="0"/>
  </sheetViews>
  <sheetFormatPr defaultRowHeight="15"/>
  <cols>
    <col min="1" max="1" width="2.7109375" customWidth="1"/>
    <col min="2" max="3" width="12.7109375" customWidth="1"/>
    <col min="4" max="4" width="2.7109375" customWidth="1"/>
    <col min="5" max="6" width="12.7109375" customWidth="1"/>
    <col min="7" max="7" width="2.7109375" customWidth="1"/>
    <col min="8" max="9" width="12.7109375" customWidth="1"/>
    <col min="10" max="10" width="2.7109375" customWidth="1"/>
    <col min="11" max="12" width="12.7109375" customWidth="1"/>
    <col min="13" max="13" width="2.7109375" customWidth="1"/>
    <col min="14" max="15" width="12.7109375" customWidth="1"/>
  </cols>
  <sheetData>
    <row r="1" spans="2:12" ht="27" customHeight="1">
      <c r="B1" s="1" t="s">
        <v>1325</v>
      </c>
    </row>
    <row r="2" spans="2:12">
      <c r="B2" s="2" t="s">
        <v>1326</v>
      </c>
    </row>
    <row r="4" spans="2:12">
      <c r="B4" s="6" t="s">
        <v>1327</v>
      </c>
      <c r="C4" s="6"/>
      <c r="E4" s="6" t="s">
        <v>1329</v>
      </c>
      <c r="F4" s="6"/>
      <c r="H4" s="6" t="s">
        <v>1331</v>
      </c>
      <c r="I4" s="6"/>
      <c r="K4" s="6" t="s">
        <v>1333</v>
      </c>
      <c r="L4" s="6"/>
    </row>
    <row r="5" spans="2:12" ht="27" customHeight="1">
      <c r="B5" s="7">
        <f>SUMIFS(tblDaily[Trips],tblDaily[Period],"2015 Jan-Jun")</f>
        <v>14270479</v>
      </c>
      <c r="C5" s="7"/>
      <c r="E5" s="7">
        <f>AVERAGEIFS(tblDaily[Trips],tblDaily[Period],"2015 Jan-Jun")</f>
        <v>78842.4254143646</v>
      </c>
      <c r="F5" s="7"/>
      <c r="H5" s="8">
        <f>Monthly_Trend!$E$25</f>
        <v>3.14361214273751</v>
      </c>
      <c r="I5" s="8"/>
      <c r="K5" s="9">
        <f>Time_Patterns!$Q$16</f>
        <v>19</v>
      </c>
      <c r="L5" s="9"/>
    </row>
    <row r="6" spans="2:12">
      <c r="B6" s="10" t="s">
        <v>1328</v>
      </c>
      <c r="C6" s="10"/>
      <c r="E6" s="10" t="s">
        <v>1330</v>
      </c>
      <c r="F6" s="10"/>
      <c r="H6" s="10" t="s">
        <v>1332</v>
      </c>
      <c r="I6" s="10"/>
      <c r="K6" s="10" t="s">
        <v>1334</v>
      </c>
      <c r="L6" s="10"/>
    </row>
    <row r="8" spans="2:12">
      <c r="B8" s="6" t="s">
        <v>1335</v>
      </c>
      <c r="C8" s="6"/>
      <c r="E8" s="6" t="s">
        <v>1282</v>
      </c>
      <c r="F8" s="6"/>
      <c r="H8" s="6" t="s">
        <v>1338</v>
      </c>
      <c r="I8" s="6"/>
      <c r="K8" s="6" t="s">
        <v>1340</v>
      </c>
      <c r="L8" s="6"/>
    </row>
    <row r="9" spans="2:12" ht="27" customHeight="1">
      <c r="B9" s="8">
        <f>Geography!$D$6</f>
        <v>0.727068401590974</v>
      </c>
      <c r="C9" s="8"/>
      <c r="E9" s="8">
        <f>Geography!$D$9</f>
        <v>0.0389361068940702</v>
      </c>
      <c r="F9" s="8"/>
      <c r="H9" s="11">
        <f>Supply!$E$14</f>
        <v>8.92382117053272</v>
      </c>
      <c r="I9" s="11"/>
      <c r="K9" s="8">
        <f>Market!$E$8</f>
        <v>0.0776584922528528</v>
      </c>
      <c r="L9" s="8"/>
    </row>
    <row r="10" spans="2:12">
      <c r="B10" s="10" t="s">
        <v>1336</v>
      </c>
      <c r="C10" s="10"/>
      <c r="E10" s="10" t="s">
        <v>1337</v>
      </c>
      <c r="F10" s="10"/>
      <c r="H10" s="10" t="s">
        <v>1339</v>
      </c>
      <c r="I10" s="10"/>
      <c r="K10" s="10" t="s">
        <v>1341</v>
      </c>
      <c r="L10" s="10"/>
    </row>
    <row r="28" spans="2:14" ht="18" customHeight="1">
      <c r="B28" s="12" t="s">
        <v>1352</v>
      </c>
      <c r="H28" s="12" t="s">
        <v>1342</v>
      </c>
    </row>
    <row r="29" spans="2:14">
      <c r="B29" s="5" t="s">
        <v>308</v>
      </c>
      <c r="C29" s="5"/>
      <c r="E29" s="13" t="s">
        <v>307</v>
      </c>
      <c r="F29" s="13" t="s">
        <v>1353</v>
      </c>
      <c r="H29" s="5" t="s">
        <v>1343</v>
      </c>
      <c r="I29" s="5"/>
      <c r="K29" s="13" t="s">
        <v>1344</v>
      </c>
      <c r="L29" s="13" t="s">
        <v>1345</v>
      </c>
      <c r="N29" s="13" t="s">
        <v>1346</v>
      </c>
    </row>
    <row r="30" spans="2:14">
      <c r="B30" s="14" t="s">
        <v>303</v>
      </c>
      <c r="C30" s="14"/>
      <c r="E30" s="15">
        <f>SUMIFS(tblDaily[Trips],tblDaily[Period],B30)</f>
        <v>4534327</v>
      </c>
      <c r="F30" s="15">
        <f>AVERAGEIFS(tblDaily[Trips],tblDaily[Period],B30)</f>
        <v>24777.7431693989</v>
      </c>
      <c r="H30" s="14" t="s">
        <v>316</v>
      </c>
      <c r="I30" s="14"/>
      <c r="K30" s="15">
        <f>B5</f>
        <v>14270479</v>
      </c>
      <c r="L30" s="15">
        <v>14270479</v>
      </c>
      <c r="N30" s="16" t="str">
        <f>IF(ABS(K30-L30)&lt;=0.5,"✓","✗")</f>
        <v>✓</v>
      </c>
    </row>
    <row r="31" spans="2:14">
      <c r="B31" s="14" t="s">
        <v>304</v>
      </c>
      <c r="C31" s="14"/>
      <c r="E31" s="15">
        <f>SUMIFS(tblDaily[Trips],tblDaily[Period],B31)</f>
        <v>14270479</v>
      </c>
      <c r="F31" s="15">
        <f>AVERAGEIFS(tblDaily[Trips],tblDaily[Period],B31)</f>
        <v>78842.4254143646</v>
      </c>
      <c r="H31" s="14" t="s">
        <v>1347</v>
      </c>
      <c r="I31" s="14"/>
      <c r="K31" s="17">
        <f>E5</f>
        <v>78842.4254143646</v>
      </c>
      <c r="L31" s="17">
        <v>78842.425414</v>
      </c>
      <c r="N31" s="16" t="str">
        <f>IF(ABS(K31-L31)&lt;=0.01,"✓","✗")</f>
        <v>✓</v>
      </c>
    </row>
    <row r="32" spans="2:14">
      <c r="H32" s="14" t="s">
        <v>1348</v>
      </c>
      <c r="I32" s="14"/>
      <c r="K32" s="18">
        <f>H5</f>
        <v>3.14361214273751</v>
      </c>
      <c r="L32" s="18">
        <v>3.14361214</v>
      </c>
      <c r="N32" s="16" t="str">
        <f>IF(ABS(K32-L32)&lt;=5e-05,"✓","✗")</f>
        <v>✓</v>
      </c>
    </row>
    <row r="33" spans="8:14">
      <c r="H33" s="14" t="s">
        <v>1349</v>
      </c>
      <c r="I33" s="14"/>
      <c r="K33" s="15">
        <f>K5</f>
        <v>19</v>
      </c>
      <c r="L33" s="15">
        <v>19</v>
      </c>
      <c r="N33" s="16" t="str">
        <f>IF(ABS(K33-L33)&lt;=0,"✓","✗")</f>
        <v>✓</v>
      </c>
    </row>
    <row r="34" spans="8:14">
      <c r="H34" s="14" t="s">
        <v>1335</v>
      </c>
      <c r="I34" s="14"/>
      <c r="K34" s="18">
        <f>B9</f>
        <v>0.727068401590974</v>
      </c>
      <c r="L34" s="18">
        <v>0.727068</v>
      </c>
      <c r="N34" s="16" t="str">
        <f>IF(ABS(K34-L34)&lt;=5e-05,"✓","✗")</f>
        <v>✓</v>
      </c>
    </row>
    <row r="35" spans="8:14">
      <c r="H35" s="14" t="s">
        <v>1282</v>
      </c>
      <c r="I35" s="14"/>
      <c r="K35" s="18">
        <f>E9</f>
        <v>0.0389361068940702</v>
      </c>
      <c r="L35" s="18">
        <v>0.038936</v>
      </c>
      <c r="N35" s="16" t="str">
        <f>IF(ABS(K35-L35)&lt;=5e-05,"✓","✗")</f>
        <v>✓</v>
      </c>
    </row>
    <row r="36" spans="8:14">
      <c r="H36" s="14" t="s">
        <v>1299</v>
      </c>
      <c r="I36" s="14"/>
      <c r="K36" s="19">
        <f>H9</f>
        <v>8.92382117053272</v>
      </c>
      <c r="L36" s="19">
        <v>8.923821</v>
      </c>
      <c r="N36" s="16" t="str">
        <f>IF(ABS(K36-L36)&lt;=0.0005,"✓","✗")</f>
        <v>✓</v>
      </c>
    </row>
    <row r="37" spans="8:14">
      <c r="H37" s="14" t="s">
        <v>1350</v>
      </c>
      <c r="I37" s="14"/>
      <c r="K37" s="18">
        <f>K9</f>
        <v>0.0776584922528528</v>
      </c>
      <c r="L37" s="18">
        <v>0.077658</v>
      </c>
      <c r="N37" s="16" t="str">
        <f>IF(ABS(K37-L37)&lt;=5e-05,"✓","✗")</f>
        <v>✓</v>
      </c>
    </row>
    <row r="39" spans="8:14">
      <c r="H39" s="20" t="s">
        <v>1351</v>
      </c>
    </row>
  </sheetData>
  <mergeCells count="36">
    <mergeCell ref="B4:C4"/>
    <mergeCell ref="B5:C5"/>
    <mergeCell ref="B6:C6"/>
    <mergeCell ref="E4:F4"/>
    <mergeCell ref="E5:F5"/>
    <mergeCell ref="E6:F6"/>
    <mergeCell ref="H4:I4"/>
    <mergeCell ref="H5:I5"/>
    <mergeCell ref="H6:I6"/>
    <mergeCell ref="K4:L4"/>
    <mergeCell ref="K5:L5"/>
    <mergeCell ref="K6:L6"/>
    <mergeCell ref="B8:C8"/>
    <mergeCell ref="B9:C9"/>
    <mergeCell ref="B10:C10"/>
    <mergeCell ref="E8:F8"/>
    <mergeCell ref="E9:F9"/>
    <mergeCell ref="E10:F10"/>
    <mergeCell ref="H8:I8"/>
    <mergeCell ref="H9:I9"/>
    <mergeCell ref="H10:I10"/>
    <mergeCell ref="K8:L8"/>
    <mergeCell ref="K9:L9"/>
    <mergeCell ref="K10:L10"/>
    <mergeCell ref="H29:I29"/>
    <mergeCell ref="H30:I30"/>
    <mergeCell ref="H31:I31"/>
    <mergeCell ref="H32:I32"/>
    <mergeCell ref="H33:I33"/>
    <mergeCell ref="H34:I34"/>
    <mergeCell ref="H35:I35"/>
    <mergeCell ref="H36:I36"/>
    <mergeCell ref="H37:I37"/>
    <mergeCell ref="B29:C29"/>
    <mergeCell ref="B30:C30"/>
    <mergeCell ref="B31:C31"/>
  </mergeCells>
  <conditionalFormatting sqref="N30:N37">
    <cfRule type="cellIs" dxfId="1" priority="1" operator="equal">
      <formula>"✓"</formula>
    </cfRule>
    <cfRule type="cellIs" dxfId="0" priority="2" operator="equal">
      <formula>"✗"</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A78D6"/>
  </sheetPr>
  <dimension ref="A1:G25"/>
  <sheetViews>
    <sheetView showGridLines="0" zoomScale="90" zoomScaleNormal="90" workbookViewId="0"/>
  </sheetViews>
  <sheetFormatPr defaultRowHeight="15" x14ac:dyDescent="0.25"/>
  <cols>
    <col min="1" max="1" width="11.7109375" customWidth="1"/>
    <col min="2" max="2" width="14.7109375" customWidth="1"/>
    <col min="3" max="8" width="13.7109375" customWidth="1"/>
  </cols>
  <sheetData>
    <row r="1" spans="1:7" ht="27" customHeight="1" x14ac:dyDescent="0.25">
      <c r="A1" s="1" t="s">
        <v>1209</v>
      </c>
    </row>
    <row r="2" spans="1:7" x14ac:dyDescent="0.25">
      <c r="A2" s="20" t="s">
        <v>1210</v>
      </c>
    </row>
    <row r="5" spans="1:7" x14ac:dyDescent="0.25">
      <c r="A5" s="5" t="s">
        <v>310</v>
      </c>
      <c r="B5" s="5" t="s">
        <v>308</v>
      </c>
      <c r="C5" s="13" t="s">
        <v>307</v>
      </c>
      <c r="D5" s="13" t="s">
        <v>1211</v>
      </c>
      <c r="E5" s="13" t="s">
        <v>1212</v>
      </c>
      <c r="F5" s="13" t="s">
        <v>1213</v>
      </c>
      <c r="G5" s="13" t="s">
        <v>1214</v>
      </c>
    </row>
    <row r="6" spans="1:7" x14ac:dyDescent="0.25">
      <c r="A6" s="21">
        <v>41730</v>
      </c>
      <c r="B6" s="14" t="s">
        <v>303</v>
      </c>
      <c r="C6" s="15">
        <f>SUMIFS(tblDaily[Trips],tblDaily[Date],"&gt;="&amp;A6,tblDaily[Date],"&lt;"&amp;EDATE(A6,1))</f>
        <v>564516</v>
      </c>
      <c r="D6" s="15">
        <f>COUNTIFS(tblDaily[Date],"&gt;="&amp;A6,tblDaily[Date],"&lt;"&amp;EDATE(A6,1))</f>
        <v>30</v>
      </c>
      <c r="E6" s="17">
        <f>C6/D6</f>
        <v>18817.2</v>
      </c>
      <c r="F6" s="22" t="s">
        <v>1215</v>
      </c>
      <c r="G6" s="22" t="s">
        <v>1215</v>
      </c>
    </row>
    <row r="7" spans="1:7" x14ac:dyDescent="0.25">
      <c r="A7" s="21">
        <v>41760</v>
      </c>
      <c r="B7" s="14" t="s">
        <v>303</v>
      </c>
      <c r="C7" s="15">
        <f>SUMIFS(tblDaily[Trips],tblDaily[Date],"&gt;="&amp;A7,tblDaily[Date],"&lt;"&amp;EDATE(A7,1))</f>
        <v>652435</v>
      </c>
      <c r="D7" s="15">
        <f>COUNTIFS(tblDaily[Date],"&gt;="&amp;A7,tblDaily[Date],"&lt;"&amp;EDATE(A7,1))</f>
        <v>31</v>
      </c>
      <c r="E7" s="17">
        <f>C7/D7</f>
        <v>21046.2903225806</v>
      </c>
      <c r="F7" s="22">
        <f>IF(B7=B6,C7/C6-1,"")</f>
        <v>0.15574226416966</v>
      </c>
      <c r="G7" s="22">
        <f>IF(B7=B6,E7/E6-1,"")</f>
        <v>0.118460255648058</v>
      </c>
    </row>
    <row r="8" spans="1:7" x14ac:dyDescent="0.25">
      <c r="A8" s="21">
        <v>41791</v>
      </c>
      <c r="B8" s="14" t="s">
        <v>303</v>
      </c>
      <c r="C8" s="15">
        <f>SUMIFS(tblDaily[Trips],tblDaily[Date],"&gt;="&amp;A8,tblDaily[Date],"&lt;"&amp;EDATE(A8,1))</f>
        <v>663844</v>
      </c>
      <c r="D8" s="15">
        <f>COUNTIFS(tblDaily[Date],"&gt;="&amp;A8,tblDaily[Date],"&lt;"&amp;EDATE(A8,1))</f>
        <v>30</v>
      </c>
      <c r="E8" s="17">
        <f>C8/D8</f>
        <v>22128.1333333333</v>
      </c>
      <c r="F8" s="22">
        <f>IF(B8=B7,C8/C7-1,"")</f>
        <v>0.0174867994512864</v>
      </c>
      <c r="G8" s="22">
        <f>IF(B8=B7,E8/E7-1,"")</f>
        <v>0.0514030260996627</v>
      </c>
    </row>
    <row r="9" spans="1:7" x14ac:dyDescent="0.25">
      <c r="A9" s="21">
        <v>41821</v>
      </c>
      <c r="B9" s="14" t="s">
        <v>303</v>
      </c>
      <c r="C9" s="15">
        <f>SUMIFS(tblDaily[Trips],tblDaily[Date],"&gt;="&amp;A9,tblDaily[Date],"&lt;"&amp;EDATE(A9,1))</f>
        <v>796121</v>
      </c>
      <c r="D9" s="15">
        <f>COUNTIFS(tblDaily[Date],"&gt;="&amp;A9,tblDaily[Date],"&lt;"&amp;EDATE(A9,1))</f>
        <v>31</v>
      </c>
      <c r="E9" s="17">
        <f>C9/D9</f>
        <v>25681.3225806452</v>
      </c>
      <c r="F9" s="22">
        <f>IF(B9=B8,C9/C8-1,"")</f>
        <v>0.199259163297401</v>
      </c>
      <c r="G9" s="22">
        <f>IF(B9=B8,E9/E8-1,"")</f>
        <v>0.160573383836195</v>
      </c>
    </row>
    <row r="10" spans="1:7" x14ac:dyDescent="0.25">
      <c r="A10" s="21">
        <v>41852</v>
      </c>
      <c r="B10" s="14" t="s">
        <v>303</v>
      </c>
      <c r="C10" s="15">
        <f>SUMIFS(tblDaily[Trips],tblDaily[Date],"&gt;="&amp;A10,tblDaily[Date],"&lt;"&amp;EDATE(A10,1))</f>
        <v>829275</v>
      </c>
      <c r="D10" s="15">
        <f>COUNTIFS(tblDaily[Date],"&gt;="&amp;A10,tblDaily[Date],"&lt;"&amp;EDATE(A10,1))</f>
        <v>31</v>
      </c>
      <c r="E10" s="17">
        <f>C10/D10</f>
        <v>26750.8064516129</v>
      </c>
      <c r="F10" s="22">
        <f>IF(B10=B9,C10/C9-1,"")</f>
        <v>0.0416444233979507</v>
      </c>
      <c r="G10" s="22">
        <f>IF(B10=B9,E10/E9-1,"")</f>
        <v>0.0416444233979507</v>
      </c>
    </row>
    <row r="11" spans="1:7" x14ac:dyDescent="0.25">
      <c r="A11" s="21">
        <v>41883</v>
      </c>
      <c r="B11" s="14" t="s">
        <v>303</v>
      </c>
      <c r="C11" s="15">
        <f>SUMIFS(tblDaily[Trips],tblDaily[Date],"&gt;="&amp;A11,tblDaily[Date],"&lt;"&amp;EDATE(A11,1))</f>
        <v>1028136</v>
      </c>
      <c r="D11" s="15">
        <f>COUNTIFS(tblDaily[Date],"&gt;="&amp;A11,tblDaily[Date],"&lt;"&amp;EDATE(A11,1))</f>
        <v>30</v>
      </c>
      <c r="E11" s="17">
        <f>C11/D11</f>
        <v>34271.2</v>
      </c>
      <c r="F11" s="22">
        <f>IF(B11=B10,C11/C10-1,"")</f>
        <v>0.239801031021073</v>
      </c>
      <c r="G11" s="22">
        <f>IF(B11=B10,E11/E10-1,"")</f>
        <v>0.281127732055108</v>
      </c>
    </row>
    <row r="12" spans="1:7" x14ac:dyDescent="0.25">
      <c r="A12" s="21">
        <v>42005</v>
      </c>
      <c r="B12" s="14" t="s">
        <v>304</v>
      </c>
      <c r="C12" s="15">
        <f>SUMIFS(tblDaily[Trips],tblDaily[Date],"&gt;="&amp;A12,tblDaily[Date],"&lt;"&amp;EDATE(A12,1))</f>
        <v>1953801</v>
      </c>
      <c r="D12" s="15">
        <f>COUNTIFS(tblDaily[Date],"&gt;="&amp;A12,tblDaily[Date],"&lt;"&amp;EDATE(A12,1))</f>
        <v>31</v>
      </c>
      <c r="E12" s="17">
        <f>C12/D12</f>
        <v>63025.8387096774</v>
      </c>
      <c r="F12" s="22">
        <f>IF(B12=B11,C12/C11-1,"")</f>
        <v/>
      </c>
      <c r="G12" s="22">
        <f>IF(B12=B11,E12/E11-1,"")</f>
        <v/>
      </c>
    </row>
    <row r="13" spans="1:7" x14ac:dyDescent="0.25">
      <c r="A13" s="21">
        <v>42036</v>
      </c>
      <c r="B13" s="14" t="s">
        <v>304</v>
      </c>
      <c r="C13" s="15">
        <f>SUMIFS(tblDaily[Trips],tblDaily[Date],"&gt;="&amp;A13,tblDaily[Date],"&lt;"&amp;EDATE(A13,1))</f>
        <v>2263620</v>
      </c>
      <c r="D13" s="15">
        <f>COUNTIFS(tblDaily[Date],"&gt;="&amp;A13,tblDaily[Date],"&lt;"&amp;EDATE(A13,1))</f>
        <v>28</v>
      </c>
      <c r="E13" s="17">
        <f>C13/D13</f>
        <v>80843.5714285714</v>
      </c>
      <c r="F13" s="22">
        <f>IF(B13=B12,C13/C12-1,"")</f>
        <v>0.158572444174202</v>
      </c>
      <c r="G13" s="22">
        <f>IF(B13=B12,E13/E12-1,"")</f>
        <v>0.28270520605001</v>
      </c>
    </row>
    <row r="14" spans="1:7" x14ac:dyDescent="0.25">
      <c r="A14" s="21">
        <v>42064</v>
      </c>
      <c r="B14" s="14" t="s">
        <v>304</v>
      </c>
      <c r="C14" s="15">
        <f>SUMIFS(tblDaily[Trips],tblDaily[Date],"&gt;="&amp;A14,tblDaily[Date],"&lt;"&amp;EDATE(A14,1))</f>
        <v>2259773</v>
      </c>
      <c r="D14" s="15">
        <f>COUNTIFS(tblDaily[Date],"&gt;="&amp;A14,tblDaily[Date],"&lt;"&amp;EDATE(A14,1))</f>
        <v>31</v>
      </c>
      <c r="E14" s="17">
        <f>C14/D14</f>
        <v>72895.9032258065</v>
      </c>
      <c r="F14" s="22">
        <f>IF(B14=B13,C14/C13-1,"")</f>
        <v>-0.0016994901971179</v>
      </c>
      <c r="G14" s="22">
        <f>IF(B14=B13,E14/E13-1,"")</f>
        <v>-0.0983092169522356</v>
      </c>
    </row>
    <row r="15" spans="1:7" x14ac:dyDescent="0.25">
      <c r="A15" s="21">
        <v>42095</v>
      </c>
      <c r="B15" s="14" t="s">
        <v>304</v>
      </c>
      <c r="C15" s="15">
        <f>SUMIFS(tblDaily[Trips],tblDaily[Date],"&gt;="&amp;A15,tblDaily[Date],"&lt;"&amp;EDATE(A15,1))</f>
        <v>2280837</v>
      </c>
      <c r="D15" s="15">
        <f>COUNTIFS(tblDaily[Date],"&gt;="&amp;A15,tblDaily[Date],"&lt;"&amp;EDATE(A15,1))</f>
        <v>30</v>
      </c>
      <c r="E15" s="17">
        <f>C15/D15</f>
        <v>76027.9</v>
      </c>
      <c r="F15" s="22">
        <f>IF(B15=B14,C15/C14-1,"")</f>
        <v>0.00932129023578909</v>
      </c>
      <c r="G15" s="22">
        <f>IF(B15=B14,E15/E14-1,"")</f>
        <v>0.0429653332436486</v>
      </c>
    </row>
    <row r="16" spans="1:7" x14ac:dyDescent="0.25">
      <c r="A16" s="21">
        <v>42125</v>
      </c>
      <c r="B16" s="14" t="s">
        <v>304</v>
      </c>
      <c r="C16" s="15">
        <f>SUMIFS(tblDaily[Trips],tblDaily[Date],"&gt;="&amp;A16,tblDaily[Date],"&lt;"&amp;EDATE(A16,1))</f>
        <v>2695553</v>
      </c>
      <c r="D16" s="15">
        <f>COUNTIFS(tblDaily[Date],"&gt;="&amp;A16,tblDaily[Date],"&lt;"&amp;EDATE(A16,1))</f>
        <v>31</v>
      </c>
      <c r="E16" s="17">
        <f>C16/D16</f>
        <v>86953.3225806452</v>
      </c>
      <c r="F16" s="22">
        <f>IF(B16=B15,C16/C15-1,"")</f>
        <v>0.181826233088993</v>
      </c>
      <c r="G16" s="22">
        <f>IF(B16=B15,E16/E15-1,"")</f>
        <v>0.143702806215155</v>
      </c>
    </row>
    <row r="17" spans="1:7" x14ac:dyDescent="0.25">
      <c r="A17" s="21">
        <v>42156</v>
      </c>
      <c r="B17" s="14" t="s">
        <v>304</v>
      </c>
      <c r="C17" s="15">
        <f>SUMIFS(tblDaily[Trips],tblDaily[Date],"&gt;="&amp;A17,tblDaily[Date],"&lt;"&amp;EDATE(A17,1))</f>
        <v>2816895</v>
      </c>
      <c r="D17" s="15">
        <f>COUNTIFS(tblDaily[Date],"&gt;="&amp;A17,tblDaily[Date],"&lt;"&amp;EDATE(A17,1))</f>
        <v>30</v>
      </c>
      <c r="E17" s="17">
        <f>C17/D17</f>
        <v>93896.5</v>
      </c>
      <c r="F17" s="22">
        <f>IF(B17=B16,C17/C16-1,"")</f>
        <v>0.0450156238812594</v>
      </c>
      <c r="G17" s="22">
        <f>IF(B17=B16,E17/E16-1,"")</f>
        <v>0.0798494780106345</v>
      </c>
    </row>
    <row r="20" spans="1:7" ht="18" customHeight="1" x14ac:dyDescent="0.25">
      <c r="A20" s="12" t="s">
        <v>1216</v>
      </c>
    </row>
    <row r="21" spans="1:7" x14ac:dyDescent="0.25">
      <c r="A21" s="5" t="s">
        <v>310</v>
      </c>
      <c r="C21" s="13" t="s">
        <v>1217</v>
      </c>
      <c r="D21" s="13" t="s">
        <v>316</v>
      </c>
      <c r="E21" s="13" t="s">
        <v>1218</v>
      </c>
      <c r="F21" s="13" t="s">
        <v>1219</v>
      </c>
    </row>
    <row r="22" spans="1:7" x14ac:dyDescent="0.25">
      <c r="A22" s="23">
        <v>42095</v>
      </c>
      <c r="C22" s="15">
        <f>INDEX($C$6:$C$17,MATCH(DATE(2014,MONTH(A22),1),$A$6:$A$17,0))</f>
        <v>564516</v>
      </c>
      <c r="D22" s="15" cm="1">
        <f t="array" ref="D22">IFERROR(_xlfn.XLOOKUP(A22,$A$6:$A$17,$C$6:$C$17),INDEX($C$6:$C$17,MATCH(A22,$A$6:$A$17,0)))</f>
        <v>2280837</v>
      </c>
      <c r="E22" s="22">
        <f>D22/C22-1</f>
        <v>3.04034075207789</v>
      </c>
      <c r="F22" s="24">
        <f>D22/C22</f>
        <v>4.04034075207789</v>
      </c>
    </row>
    <row r="23" spans="1:7" x14ac:dyDescent="0.25">
      <c r="A23" s="23">
        <v>42125</v>
      </c>
      <c r="C23" s="15">
        <f>INDEX($C$6:$C$17,MATCH(DATE(2014,MONTH(A23),1),$A$6:$A$17,0))</f>
        <v>652435</v>
      </c>
      <c r="D23" s="15" cm="1">
        <f t="array" ref="D23">IFERROR(_xlfn.XLOOKUP(A23,$A$6:$A$17,$C$6:$C$17),INDEX($C$6:$C$17,MATCH(A23,$A$6:$A$17,0)))</f>
        <v>2695553</v>
      </c>
      <c r="E23" s="22">
        <f>D23/C23-1</f>
        <v>3.13152727857948</v>
      </c>
      <c r="F23" s="24">
        <f>D23/C23</f>
        <v>4.13152727857948</v>
      </c>
    </row>
    <row r="24" spans="1:7" x14ac:dyDescent="0.25">
      <c r="A24" s="23">
        <v>42156</v>
      </c>
      <c r="C24" s="15">
        <f>INDEX($C$6:$C$17,MATCH(DATE(2014,MONTH(A24),1),$A$6:$A$17,0))</f>
        <v>663844</v>
      </c>
      <c r="D24" s="15" cm="1">
        <f t="array" ref="D24">IFERROR(_xlfn.XLOOKUP(A24,$A$6:$A$17,$C$6:$C$17),INDEX($C$6:$C$17,MATCH(A24,$A$6:$A$17,0)))</f>
        <v>2816895</v>
      </c>
      <c r="E24" s="22">
        <f>D24/C24-1</f>
        <v>3.24330866890414</v>
      </c>
      <c r="F24" s="24">
        <f>D24/C24</f>
        <v>4.24330866890414</v>
      </c>
    </row>
    <row r="25" spans="1:7" x14ac:dyDescent="0.25">
      <c r="A25" s="25" t="s">
        <v>1220</v>
      </c>
      <c r="C25" s="26">
        <f>SUM(C22:C24)</f>
        <v>1880795</v>
      </c>
      <c r="D25" s="26">
        <f>SUM(D22:D24)</f>
        <v>7793285</v>
      </c>
      <c r="E25" s="27">
        <f>D25/C25-1</f>
        <v>3.14361214273751</v>
      </c>
      <c r="F25" s="28">
        <f>D25/C25</f>
        <v>4.14361214273751</v>
      </c>
    </row>
  </sheetData>
  <conditionalFormatting sqref="E6:E17">
    <cfRule type="dataBar" priority="1">
      <dataBar>
        <cfvo type="min"/>
        <cfvo type="max"/>
        <color rgb="FF9EC5F4"/>
      </dataBar>
      <extLst>
        <ext xmlns:x14="http://schemas.microsoft.com/office/spreadsheetml/2009/9/main" uri="{B025F937-C7B1-47D3-B67F-A62EFF666E3E}">
          <x14:id>{DA7ABA51-AAAA-BBBB-0003-000000000001}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A7ABA51-AAAA-BBBB-0003-000000000001}">
            <x14:dataBar minLength="0" maxLength="100" border="1" gradient="0" negativeBarBorderColorSameAsPositive="0">
              <x14:cfvo type="autoMin"/>
              <x14:cfvo type="autoMax"/>
              <x14:borderColor rgb="FF9EC5F4"/>
              <x14:negativeFillColor rgb="FFFF0000"/>
              <x14:negativeBorderColor rgb="FFFF0000"/>
              <x14:axisColor rgb="FF000000"/>
            </x14:dataBar>
          </x14:cfRule>
          <xm:sqref>E6:E17</xm:sqref>
        </x14:conditionalFormatting>
      </x14:conditionalFormattings>
    </ext>
  </extLst>
</worksheet>
</file>

<file path=xl/worksheets/sheet4.xml><?xml version="1.0" encoding="utf-8"?>
<worksheet xmlns="http://schemas.openxmlformats.org/spreadsheetml/2006/main" xmlns:r="http://schemas.openxmlformats.org/officeDocument/2006/relationships">
  <sheetPr>
    <tabColor rgb="FF2A78D6"/>
  </sheetPr>
  <dimension ref="A1:Y40"/>
  <sheetViews>
    <sheetView showGridLines="0" zoomScale="90" zoomScaleNormal="90" workbookViewId="0"/>
  </sheetViews>
  <sheetFormatPr defaultRowHeight="15"/>
  <cols>
    <col min="1" max="1" width="9.7109375" customWidth="1"/>
    <col min="2" max="25" width="6.85546875" customWidth="1"/>
  </cols>
  <sheetData>
    <row r="1" spans="1:25" ht="27" customHeight="1">
      <c r="A1" s="1" t="s">
        <v>1221</v>
      </c>
    </row>
    <row r="2" spans="1:25">
      <c r="A2" s="20" t="s">
        <v>1222</v>
      </c>
    </row>
    <row r="5" spans="1:25">
      <c r="A5" s="5" t="s">
        <v>311</v>
      </c>
      <c r="B5" s="13">
        <v>0</v>
      </c>
      <c r="C5" s="13">
        <v>1</v>
      </c>
      <c r="D5" s="13">
        <v>2</v>
      </c>
      <c r="E5" s="13">
        <v>3</v>
      </c>
      <c r="F5" s="13">
        <v>4</v>
      </c>
      <c r="G5" s="13">
        <v>5</v>
      </c>
      <c r="H5" s="13">
        <v>6</v>
      </c>
      <c r="I5" s="13">
        <v>7</v>
      </c>
      <c r="J5" s="13">
        <v>8</v>
      </c>
      <c r="K5" s="13">
        <v>9</v>
      </c>
      <c r="L5" s="13">
        <v>10</v>
      </c>
      <c r="M5" s="13">
        <v>11</v>
      </c>
      <c r="N5" s="13">
        <v>12</v>
      </c>
      <c r="O5" s="13">
        <v>13</v>
      </c>
      <c r="P5" s="13">
        <v>14</v>
      </c>
      <c r="Q5" s="13">
        <v>15</v>
      </c>
      <c r="R5" s="13">
        <v>16</v>
      </c>
      <c r="S5" s="13">
        <v>17</v>
      </c>
      <c r="T5" s="13">
        <v>18</v>
      </c>
      <c r="U5" s="13">
        <v>19</v>
      </c>
      <c r="V5" s="13">
        <v>20</v>
      </c>
      <c r="W5" s="13">
        <v>21</v>
      </c>
      <c r="X5" s="13">
        <v>22</v>
      </c>
      <c r="Y5" s="13">
        <v>23</v>
      </c>
    </row>
    <row r="6" spans="1:25">
      <c r="A6" s="14" t="s">
        <v>1223</v>
      </c>
      <c r="B6" s="29">
        <f>AVERAGEIFS(tblHourly[Trips],tblHourly[Period],"2015 Jan-Jun",tblHourly[Weekday],$A6,tblHourly[Hour],B$5)</f>
        <v>1925.38461538462</v>
      </c>
      <c r="C6" s="29">
        <f>AVERAGEIFS(tblHourly[Trips],tblHourly[Period],"2015 Jan-Jun",tblHourly[Weekday],$A6,tblHourly[Hour],C$5)</f>
        <v>1082.26923076923</v>
      </c>
      <c r="D6" s="29">
        <f>AVERAGEIFS(tblHourly[Trips],tblHourly[Period],"2015 Jan-Jun",tblHourly[Weekday],$A6,tblHourly[Hour],D$5)</f>
        <v>648.230769230769</v>
      </c>
      <c r="E6" s="29">
        <f>AVERAGEIFS(tblHourly[Trips],tblHourly[Period],"2015 Jan-Jun",tblHourly[Weekday],$A6,tblHourly[Hour],E$5)</f>
        <v>488.384615384615</v>
      </c>
      <c r="F6" s="29">
        <f>AVERAGEIFS(tblHourly[Trips],tblHourly[Period],"2015 Jan-Jun",tblHourly[Weekday],$A6,tblHourly[Hour],F$5)</f>
        <v>735.615384615385</v>
      </c>
      <c r="G6" s="29">
        <f>AVERAGEIFS(tblHourly[Trips],tblHourly[Period],"2015 Jan-Jun",tblHourly[Weekday],$A6,tblHourly[Hour],G$5)</f>
        <v>1182.57692307692</v>
      </c>
      <c r="H6" s="29">
        <f>AVERAGEIFS(tblHourly[Trips],tblHourly[Period],"2015 Jan-Jun",tblHourly[Weekday],$A6,tblHourly[Hour],H$5)</f>
        <v>1890.42307692308</v>
      </c>
      <c r="I6" s="29">
        <f>AVERAGEIFS(tblHourly[Trips],tblHourly[Period],"2015 Jan-Jun",tblHourly[Weekday],$A6,tblHourly[Hour],I$5)</f>
        <v>2865.88461538462</v>
      </c>
      <c r="J6" s="29">
        <f>AVERAGEIFS(tblHourly[Trips],tblHourly[Period],"2015 Jan-Jun",tblHourly[Weekday],$A6,tblHourly[Hour],J$5)</f>
        <v>3755.15384615385</v>
      </c>
      <c r="K6" s="29">
        <f>AVERAGEIFS(tblHourly[Trips],tblHourly[Period],"2015 Jan-Jun",tblHourly[Weekday],$A6,tblHourly[Hour],K$5)</f>
        <v>3625.76923076923</v>
      </c>
      <c r="L6" s="29">
        <f>AVERAGEIFS(tblHourly[Trips],tblHourly[Period],"2015 Jan-Jun",tblHourly[Weekday],$A6,tblHourly[Hour],L$5)</f>
        <v>2906.84615384615</v>
      </c>
      <c r="M6" s="29">
        <f>AVERAGEIFS(tblHourly[Trips],tblHourly[Period],"2015 Jan-Jun",tblHourly[Weekday],$A6,tblHourly[Hour],M$5)</f>
        <v>2685.38461538462</v>
      </c>
      <c r="N6" s="29">
        <f>AVERAGEIFS(tblHourly[Trips],tblHourly[Period],"2015 Jan-Jun",tblHourly[Weekday],$A6,tblHourly[Hour],N$5)</f>
        <v>2643.65384615385</v>
      </c>
      <c r="O6" s="29">
        <f>AVERAGEIFS(tblHourly[Trips],tblHourly[Period],"2015 Jan-Jun",tblHourly[Weekday],$A6,tblHourly[Hour],O$5)</f>
        <v>2549.65384615385</v>
      </c>
      <c r="P6" s="29">
        <f>AVERAGEIFS(tblHourly[Trips],tblHourly[Period],"2015 Jan-Jun",tblHourly[Weekday],$A6,tblHourly[Hour],P$5)</f>
        <v>2817.53846153846</v>
      </c>
      <c r="Q6" s="29">
        <f>AVERAGEIFS(tblHourly[Trips],tblHourly[Period],"2015 Jan-Jun",tblHourly[Weekday],$A6,tblHourly[Hour],Q$5)</f>
        <v>3134.26923076923</v>
      </c>
      <c r="R6" s="29">
        <f>AVERAGEIFS(tblHourly[Trips],tblHourly[Period],"2015 Jan-Jun",tblHourly[Weekday],$A6,tblHourly[Hour],R$5)</f>
        <v>3388.42307692308</v>
      </c>
      <c r="S6" s="29">
        <f>AVERAGEIFS(tblHourly[Trips],tblHourly[Period],"2015 Jan-Jun",tblHourly[Weekday],$A6,tblHourly[Hour],S$5)</f>
        <v>3916.53846153846</v>
      </c>
      <c r="T6" s="29">
        <f>AVERAGEIFS(tblHourly[Trips],tblHourly[Period],"2015 Jan-Jun",tblHourly[Weekday],$A6,tblHourly[Hour],T$5)</f>
        <v>4518.07692307692</v>
      </c>
      <c r="U6" s="29">
        <f>AVERAGEIFS(tblHourly[Trips],tblHourly[Period],"2015 Jan-Jun",tblHourly[Weekday],$A6,tblHourly[Hour],U$5)</f>
        <v>4284.57692307692</v>
      </c>
      <c r="V6" s="29">
        <f>AVERAGEIFS(tblHourly[Trips],tblHourly[Period],"2015 Jan-Jun",tblHourly[Weekday],$A6,tblHourly[Hour],V$5)</f>
        <v>3991.65384615385</v>
      </c>
      <c r="W6" s="29">
        <f>AVERAGEIFS(tblHourly[Trips],tblHourly[Period],"2015 Jan-Jun",tblHourly[Weekday],$A6,tblHourly[Hour],W$5)</f>
        <v>3908.69230769231</v>
      </c>
      <c r="X6" s="29">
        <f>AVERAGEIFS(tblHourly[Trips],tblHourly[Period],"2015 Jan-Jun",tblHourly[Weekday],$A6,tblHourly[Hour],X$5)</f>
        <v>3526</v>
      </c>
      <c r="Y6" s="29">
        <f>AVERAGEIFS(tblHourly[Trips],tblHourly[Period],"2015 Jan-Jun",tblHourly[Weekday],$A6,tblHourly[Hour],Y$5)</f>
        <v>2800.24</v>
      </c>
    </row>
    <row r="7" spans="1:25">
      <c r="A7" s="14" t="s">
        <v>1224</v>
      </c>
      <c r="B7" s="29">
        <f>AVERAGEIFS(tblHourly[Trips],tblHourly[Period],"2015 Jan-Jun",tblHourly[Weekday],$A7,tblHourly[Hour],B$5)</f>
        <v>1785.24</v>
      </c>
      <c r="C7" s="29">
        <f>AVERAGEIFS(tblHourly[Trips],tblHourly[Period],"2015 Jan-Jun",tblHourly[Weekday],$A7,tblHourly[Hour],C$5)</f>
        <v>991.48</v>
      </c>
      <c r="D7" s="29">
        <f>AVERAGEIFS(tblHourly[Trips],tblHourly[Period],"2015 Jan-Jun",tblHourly[Weekday],$A7,tblHourly[Hour],D$5)</f>
        <v>581.44</v>
      </c>
      <c r="E7" s="29">
        <f>AVERAGEIFS(tblHourly[Trips],tblHourly[Period],"2015 Jan-Jun",tblHourly[Weekday],$A7,tblHourly[Hour],E$5)</f>
        <v>396.4</v>
      </c>
      <c r="F7" s="29">
        <f>AVERAGEIFS(tblHourly[Trips],tblHourly[Period],"2015 Jan-Jun",tblHourly[Weekday],$A7,tblHourly[Hour],F$5)</f>
        <v>586.16</v>
      </c>
      <c r="G7" s="29">
        <f>AVERAGEIFS(tblHourly[Trips],tblHourly[Period],"2015 Jan-Jun",tblHourly[Weekday],$A7,tblHourly[Hour],G$5)</f>
        <v>1018.44</v>
      </c>
      <c r="H7" s="29">
        <f>AVERAGEIFS(tblHourly[Trips],tblHourly[Period],"2015 Jan-Jun",tblHourly[Weekday],$A7,tblHourly[Hour],H$5)</f>
        <v>1843.48</v>
      </c>
      <c r="I7" s="29">
        <f>AVERAGEIFS(tblHourly[Trips],tblHourly[Period],"2015 Jan-Jun",tblHourly[Weekday],$A7,tblHourly[Hour],I$5)</f>
        <v>3100.88</v>
      </c>
      <c r="J7" s="29">
        <f>AVERAGEIFS(tblHourly[Trips],tblHourly[Period],"2015 Jan-Jun",tblHourly[Weekday],$A7,tblHourly[Hour],J$5)</f>
        <v>3943.38461538462</v>
      </c>
      <c r="K7" s="29">
        <f>AVERAGEIFS(tblHourly[Trips],tblHourly[Period],"2015 Jan-Jun",tblHourly[Weekday],$A7,tblHourly[Hour],K$5)</f>
        <v>3741.46153846154</v>
      </c>
      <c r="L7" s="29">
        <f>AVERAGEIFS(tblHourly[Trips],tblHourly[Period],"2015 Jan-Jun",tblHourly[Weekday],$A7,tblHourly[Hour],L$5)</f>
        <v>2871.57692307692</v>
      </c>
      <c r="M7" s="29">
        <f>AVERAGEIFS(tblHourly[Trips],tblHourly[Period],"2015 Jan-Jun",tblHourly[Weekday],$A7,tblHourly[Hour],M$5)</f>
        <v>2581.42307692308</v>
      </c>
      <c r="N7" s="29">
        <f>AVERAGEIFS(tblHourly[Trips],tblHourly[Period],"2015 Jan-Jun",tblHourly[Weekday],$A7,tblHourly[Hour],N$5)</f>
        <v>2561.23076923077</v>
      </c>
      <c r="O7" s="29">
        <f>AVERAGEIFS(tblHourly[Trips],tblHourly[Period],"2015 Jan-Jun",tblHourly[Weekday],$A7,tblHourly[Hour],O$5)</f>
        <v>2528.42307692308</v>
      </c>
      <c r="P7" s="29">
        <f>AVERAGEIFS(tblHourly[Trips],tblHourly[Period],"2015 Jan-Jun",tblHourly[Weekday],$A7,tblHourly[Hour],P$5)</f>
        <v>2862.30769230769</v>
      </c>
      <c r="Q7" s="29">
        <f>AVERAGEIFS(tblHourly[Trips],tblHourly[Period],"2015 Jan-Jun",tblHourly[Weekday],$A7,tblHourly[Hour],Q$5)</f>
        <v>3279.73076923077</v>
      </c>
      <c r="R7" s="29">
        <f>AVERAGEIFS(tblHourly[Trips],tblHourly[Period],"2015 Jan-Jun",tblHourly[Weekday],$A7,tblHourly[Hour],R$5)</f>
        <v>3750.88461538462</v>
      </c>
      <c r="S7" s="29">
        <f>AVERAGEIFS(tblHourly[Trips],tblHourly[Period],"2015 Jan-Jun",tblHourly[Weekday],$A7,tblHourly[Hour],S$5)</f>
        <v>4662.88461538462</v>
      </c>
      <c r="T7" s="29">
        <f>AVERAGEIFS(tblHourly[Trips],tblHourly[Period],"2015 Jan-Jun",tblHourly[Weekday],$A7,tblHourly[Hour],T$5)</f>
        <v>5593.76923076923</v>
      </c>
      <c r="U7" s="29">
        <f>AVERAGEIFS(tblHourly[Trips],tblHourly[Period],"2015 Jan-Jun",tblHourly[Weekday],$A7,tblHourly[Hour],U$5)</f>
        <v>5487.5</v>
      </c>
      <c r="V7" s="29">
        <f>AVERAGEIFS(tblHourly[Trips],tblHourly[Period],"2015 Jan-Jun",tblHourly[Weekday],$A7,tblHourly[Hour],V$5)</f>
        <v>5133.03846153846</v>
      </c>
      <c r="W7" s="29">
        <f>AVERAGEIFS(tblHourly[Trips],tblHourly[Period],"2015 Jan-Jun",tblHourly[Weekday],$A7,tblHourly[Hour],W$5)</f>
        <v>5068.73076923077</v>
      </c>
      <c r="X7" s="29">
        <f>AVERAGEIFS(tblHourly[Trips],tblHourly[Period],"2015 Jan-Jun",tblHourly[Weekday],$A7,tblHourly[Hour],X$5)</f>
        <v>4597.73076923077</v>
      </c>
      <c r="Y7" s="29">
        <f>AVERAGEIFS(tblHourly[Trips],tblHourly[Period],"2015 Jan-Jun",tblHourly[Weekday],$A7,tblHourly[Hour],Y$5)</f>
        <v>3463.38461538462</v>
      </c>
    </row>
    <row r="8" spans="1:25">
      <c r="A8" s="14" t="s">
        <v>1225</v>
      </c>
      <c r="B8" s="29">
        <f>AVERAGEIFS(tblHourly[Trips],tblHourly[Period],"2015 Jan-Jun",tblHourly[Weekday],$A8,tblHourly[Hour],B$5)</f>
        <v>2099.12</v>
      </c>
      <c r="C8" s="29">
        <f>AVERAGEIFS(tblHourly[Trips],tblHourly[Period],"2015 Jan-Jun",tblHourly[Weekday],$A8,tblHourly[Hour],C$5)</f>
        <v>1115.32</v>
      </c>
      <c r="D8" s="29">
        <f>AVERAGEIFS(tblHourly[Trips],tblHourly[Period],"2015 Jan-Jun",tblHourly[Weekday],$A8,tblHourly[Hour],D$5)</f>
        <v>646.44</v>
      </c>
      <c r="E8" s="29">
        <f>AVERAGEIFS(tblHourly[Trips],tblHourly[Period],"2015 Jan-Jun",tblHourly[Weekday],$A8,tblHourly[Hour],E$5)</f>
        <v>441.56</v>
      </c>
      <c r="F8" s="29">
        <f>AVERAGEIFS(tblHourly[Trips],tblHourly[Period],"2015 Jan-Jun",tblHourly[Weekday],$A8,tblHourly[Hour],F$5)</f>
        <v>621.72</v>
      </c>
      <c r="G8" s="29">
        <f>AVERAGEIFS(tblHourly[Trips],tblHourly[Period],"2015 Jan-Jun",tblHourly[Weekday],$A8,tblHourly[Hour],G$5)</f>
        <v>1018.68</v>
      </c>
      <c r="H8" s="29">
        <f>AVERAGEIFS(tblHourly[Trips],tblHourly[Period],"2015 Jan-Jun",tblHourly[Weekday],$A8,tblHourly[Hour],H$5)</f>
        <v>1830.2</v>
      </c>
      <c r="I8" s="29">
        <f>AVERAGEIFS(tblHourly[Trips],tblHourly[Period],"2015 Jan-Jun",tblHourly[Weekday],$A8,tblHourly[Hour],I$5)</f>
        <v>3089.56</v>
      </c>
      <c r="J8" s="29">
        <f>AVERAGEIFS(tblHourly[Trips],tblHourly[Period],"2015 Jan-Jun",tblHourly[Weekday],$A8,tblHourly[Hour],J$5)</f>
        <v>4012.36</v>
      </c>
      <c r="K8" s="29">
        <f>AVERAGEIFS(tblHourly[Trips],tblHourly[Period],"2015 Jan-Jun",tblHourly[Weekday],$A8,tblHourly[Hour],K$5)</f>
        <v>3773.72</v>
      </c>
      <c r="L8" s="29">
        <f>AVERAGEIFS(tblHourly[Trips],tblHourly[Period],"2015 Jan-Jun",tblHourly[Weekday],$A8,tblHourly[Hour],L$5)</f>
        <v>2865.88</v>
      </c>
      <c r="M8" s="29">
        <f>AVERAGEIFS(tblHourly[Trips],tblHourly[Period],"2015 Jan-Jun",tblHourly[Weekday],$A8,tblHourly[Hour],M$5)</f>
        <v>2643.76</v>
      </c>
      <c r="N8" s="29">
        <f>AVERAGEIFS(tblHourly[Trips],tblHourly[Period],"2015 Jan-Jun",tblHourly[Weekday],$A8,tblHourly[Hour],N$5)</f>
        <v>2639.92</v>
      </c>
      <c r="O8" s="29">
        <f>AVERAGEIFS(tblHourly[Trips],tblHourly[Period],"2015 Jan-Jun",tblHourly[Weekday],$A8,tblHourly[Hour],O$5)</f>
        <v>2608.6</v>
      </c>
      <c r="P8" s="29">
        <f>AVERAGEIFS(tblHourly[Trips],tblHourly[Period],"2015 Jan-Jun",tblHourly[Weekday],$A8,tblHourly[Hour],P$5)</f>
        <v>2925.24</v>
      </c>
      <c r="Q8" s="29">
        <f>AVERAGEIFS(tblHourly[Trips],tblHourly[Period],"2015 Jan-Jun",tblHourly[Weekday],$A8,tblHourly[Hour],Q$5)</f>
        <v>3417.28</v>
      </c>
      <c r="R8" s="29">
        <f>AVERAGEIFS(tblHourly[Trips],tblHourly[Period],"2015 Jan-Jun",tblHourly[Weekday],$A8,tblHourly[Hour],R$5)</f>
        <v>3980.84</v>
      </c>
      <c r="S8" s="29">
        <f>AVERAGEIFS(tblHourly[Trips],tblHourly[Period],"2015 Jan-Jun",tblHourly[Weekday],$A8,tblHourly[Hour],S$5)</f>
        <v>4750.04</v>
      </c>
      <c r="T8" s="29">
        <f>AVERAGEIFS(tblHourly[Trips],tblHourly[Period],"2015 Jan-Jun",tblHourly[Weekday],$A8,tblHourly[Hour],T$5)</f>
        <v>5661.68</v>
      </c>
      <c r="U8" s="29">
        <f>AVERAGEIFS(tblHourly[Trips],tblHourly[Period],"2015 Jan-Jun",tblHourly[Weekday],$A8,tblHourly[Hour],U$5)</f>
        <v>5750.04</v>
      </c>
      <c r="V8" s="29">
        <f>AVERAGEIFS(tblHourly[Trips],tblHourly[Period],"2015 Jan-Jun",tblHourly[Weekday],$A8,tblHourly[Hour],V$5)</f>
        <v>5440.12</v>
      </c>
      <c r="W8" s="29">
        <f>AVERAGEIFS(tblHourly[Trips],tblHourly[Period],"2015 Jan-Jun",tblHourly[Weekday],$A8,tblHourly[Hour],W$5)</f>
        <v>5359.72</v>
      </c>
      <c r="X8" s="29">
        <f>AVERAGEIFS(tblHourly[Trips],tblHourly[Period],"2015 Jan-Jun",tblHourly[Weekday],$A8,tblHourly[Hour],X$5)</f>
        <v>5081.04</v>
      </c>
      <c r="Y8" s="29">
        <f>AVERAGEIFS(tblHourly[Trips],tblHourly[Period],"2015 Jan-Jun",tblHourly[Weekday],$A8,tblHourly[Hour],Y$5)</f>
        <v>3979.6</v>
      </c>
    </row>
    <row r="9" spans="1:25">
      <c r="A9" s="14" t="s">
        <v>1226</v>
      </c>
      <c r="B9" s="29">
        <f>AVERAGEIFS(tblHourly[Trips],tblHourly[Period],"2015 Jan-Jun",tblHourly[Weekday],$A9,tblHourly[Hour],B$5)</f>
        <v>2550.38461538462</v>
      </c>
      <c r="C9" s="29">
        <f>AVERAGEIFS(tblHourly[Trips],tblHourly[Period],"2015 Jan-Jun",tblHourly[Weekday],$A9,tblHourly[Hour],C$5)</f>
        <v>1455.07692307692</v>
      </c>
      <c r="D9" s="29">
        <f>AVERAGEIFS(tblHourly[Trips],tblHourly[Period],"2015 Jan-Jun",tblHourly[Weekday],$A9,tblHourly[Hour],D$5)</f>
        <v>980.730769230769</v>
      </c>
      <c r="E9" s="29">
        <f>AVERAGEIFS(tblHourly[Trips],tblHourly[Period],"2015 Jan-Jun",tblHourly[Weekday],$A9,tblHourly[Hour],E$5)</f>
        <v>726.038461538462</v>
      </c>
      <c r="F9" s="29">
        <f>AVERAGEIFS(tblHourly[Trips],tblHourly[Period],"2015 Jan-Jun",tblHourly[Weekday],$A9,tblHourly[Hour],F$5)</f>
        <v>804.730769230769</v>
      </c>
      <c r="G9" s="29">
        <f>AVERAGEIFS(tblHourly[Trips],tblHourly[Period],"2015 Jan-Jun",tblHourly[Weekday],$A9,tblHourly[Hour],G$5)</f>
        <v>1130</v>
      </c>
      <c r="H9" s="29">
        <f>AVERAGEIFS(tblHourly[Trips],tblHourly[Period],"2015 Jan-Jun",tblHourly[Weekday],$A9,tblHourly[Hour],H$5)</f>
        <v>1878.15384615385</v>
      </c>
      <c r="I9" s="29">
        <f>AVERAGEIFS(tblHourly[Trips],tblHourly[Period],"2015 Jan-Jun",tblHourly[Weekday],$A9,tblHourly[Hour],I$5)</f>
        <v>3094.26923076923</v>
      </c>
      <c r="J9" s="29">
        <f>AVERAGEIFS(tblHourly[Trips],tblHourly[Period],"2015 Jan-Jun",tblHourly[Weekday],$A9,tblHourly[Hour],J$5)</f>
        <v>3998.11538461538</v>
      </c>
      <c r="K9" s="29">
        <f>AVERAGEIFS(tblHourly[Trips],tblHourly[Period],"2015 Jan-Jun",tblHourly[Weekday],$A9,tblHourly[Hour],K$5)</f>
        <v>3818.07692307692</v>
      </c>
      <c r="L9" s="29">
        <f>AVERAGEIFS(tblHourly[Trips],tblHourly[Period],"2015 Jan-Jun",tblHourly[Weekday],$A9,tblHourly[Hour],L$5)</f>
        <v>2974.38461538462</v>
      </c>
      <c r="M9" s="29">
        <f>AVERAGEIFS(tblHourly[Trips],tblHourly[Period],"2015 Jan-Jun",tblHourly[Weekday],$A9,tblHourly[Hour],M$5)</f>
        <v>2764.80769230769</v>
      </c>
      <c r="N9" s="29">
        <f>AVERAGEIFS(tblHourly[Trips],tblHourly[Period],"2015 Jan-Jun",tblHourly[Weekday],$A9,tblHourly[Hour],N$5)</f>
        <v>2797.76923076923</v>
      </c>
      <c r="O9" s="29">
        <f>AVERAGEIFS(tblHourly[Trips],tblHourly[Period],"2015 Jan-Jun",tblHourly[Weekday],$A9,tblHourly[Hour],O$5)</f>
        <v>2797.38461538462</v>
      </c>
      <c r="P9" s="29">
        <f>AVERAGEIFS(tblHourly[Trips],tblHourly[Period],"2015 Jan-Jun",tblHourly[Weekday],$A9,tblHourly[Hour],P$5)</f>
        <v>3140.19230769231</v>
      </c>
      <c r="Q9" s="29">
        <f>AVERAGEIFS(tblHourly[Trips],tblHourly[Period],"2015 Jan-Jun",tblHourly[Weekday],$A9,tblHourly[Hour],Q$5)</f>
        <v>3599.15384615385</v>
      </c>
      <c r="R9" s="29">
        <f>AVERAGEIFS(tblHourly[Trips],tblHourly[Period],"2015 Jan-Jun",tblHourly[Weekday],$A9,tblHourly[Hour],R$5)</f>
        <v>4191.46153846154</v>
      </c>
      <c r="S9" s="29">
        <f>AVERAGEIFS(tblHourly[Trips],tblHourly[Period],"2015 Jan-Jun",tblHourly[Weekday],$A9,tblHourly[Hour],S$5)</f>
        <v>5057.69230769231</v>
      </c>
      <c r="T9" s="29">
        <f>AVERAGEIFS(tblHourly[Trips],tblHourly[Period],"2015 Jan-Jun",tblHourly[Weekday],$A9,tblHourly[Hour],T$5)</f>
        <v>6064.96153846154</v>
      </c>
      <c r="U9" s="29">
        <f>AVERAGEIFS(tblHourly[Trips],tblHourly[Period],"2015 Jan-Jun",tblHourly[Weekday],$A9,tblHourly[Hour],U$5)</f>
        <v>6203.26923076923</v>
      </c>
      <c r="V9" s="29">
        <f>AVERAGEIFS(tblHourly[Trips],tblHourly[Period],"2015 Jan-Jun",tblHourly[Weekday],$A9,tblHourly[Hour],V$5)</f>
        <v>5887.19230769231</v>
      </c>
      <c r="W9" s="29">
        <f>AVERAGEIFS(tblHourly[Trips],tblHourly[Period],"2015 Jan-Jun",tblHourly[Weekday],$A9,tblHourly[Hour],W$5)</f>
        <v>6103.92307692308</v>
      </c>
      <c r="X9" s="29">
        <f>AVERAGEIFS(tblHourly[Trips],tblHourly[Period],"2015 Jan-Jun",tblHourly[Weekday],$A9,tblHourly[Hour],X$5)</f>
        <v>5971.03846153846</v>
      </c>
      <c r="Y9" s="29">
        <f>AVERAGEIFS(tblHourly[Trips],tblHourly[Period],"2015 Jan-Jun",tblHourly[Weekday],$A9,tblHourly[Hour],Y$5)</f>
        <v>5072.65384615385</v>
      </c>
    </row>
    <row r="10" spans="1:25">
      <c r="A10" s="14" t="s">
        <v>1227</v>
      </c>
      <c r="B10" s="29">
        <f>AVERAGEIFS(tblHourly[Trips],tblHourly[Period],"2015 Jan-Jun",tblHourly[Weekday],$A10,tblHourly[Hour],B$5)</f>
        <v>3305.34615384615</v>
      </c>
      <c r="C10" s="29">
        <f>AVERAGEIFS(tblHourly[Trips],tblHourly[Period],"2015 Jan-Jun",tblHourly[Weekday],$A10,tblHourly[Hour],C$5)</f>
        <v>1792.92307692308</v>
      </c>
      <c r="D10" s="29">
        <f>AVERAGEIFS(tblHourly[Trips],tblHourly[Period],"2015 Jan-Jun",tblHourly[Weekday],$A10,tblHourly[Hour],D$5)</f>
        <v>1080.84615384615</v>
      </c>
      <c r="E10" s="29">
        <f>AVERAGEIFS(tblHourly[Trips],tblHourly[Period],"2015 Jan-Jun",tblHourly[Weekday],$A10,tblHourly[Hour],E$5)</f>
        <v>750.692307692308</v>
      </c>
      <c r="F10" s="29">
        <f>AVERAGEIFS(tblHourly[Trips],tblHourly[Period],"2015 Jan-Jun",tblHourly[Weekday],$A10,tblHourly[Hour],F$5)</f>
        <v>906.730769230769</v>
      </c>
      <c r="G10" s="29">
        <f>AVERAGEIFS(tblHourly[Trips],tblHourly[Period],"2015 Jan-Jun",tblHourly[Weekday],$A10,tblHourly[Hour],G$5)</f>
        <v>1162.30769230769</v>
      </c>
      <c r="H10" s="29">
        <f>AVERAGEIFS(tblHourly[Trips],tblHourly[Period],"2015 Jan-Jun",tblHourly[Weekday],$A10,tblHourly[Hour],H$5)</f>
        <v>1855.53846153846</v>
      </c>
      <c r="I10" s="29">
        <f>AVERAGEIFS(tblHourly[Trips],tblHourly[Period],"2015 Jan-Jun",tblHourly[Weekday],$A10,tblHourly[Hour],I$5)</f>
        <v>2945.88461538462</v>
      </c>
      <c r="J10" s="29">
        <f>AVERAGEIFS(tblHourly[Trips],tblHourly[Period],"2015 Jan-Jun",tblHourly[Weekday],$A10,tblHourly[Hour],J$5)</f>
        <v>3866.46153846154</v>
      </c>
      <c r="K10" s="29">
        <f>AVERAGEIFS(tblHourly[Trips],tblHourly[Period],"2015 Jan-Jun",tblHourly[Weekday],$A10,tblHourly[Hour],K$5)</f>
        <v>3873.80769230769</v>
      </c>
      <c r="L10" s="29">
        <f>AVERAGEIFS(tblHourly[Trips],tblHourly[Period],"2015 Jan-Jun",tblHourly[Weekday],$A10,tblHourly[Hour],L$5)</f>
        <v>3168.53846153846</v>
      </c>
      <c r="M10" s="29">
        <f>AVERAGEIFS(tblHourly[Trips],tblHourly[Period],"2015 Jan-Jun",tblHourly[Weekday],$A10,tblHourly[Hour],M$5)</f>
        <v>2973.96153846154</v>
      </c>
      <c r="N10" s="29">
        <f>AVERAGEIFS(tblHourly[Trips],tblHourly[Period],"2015 Jan-Jun",tblHourly[Weekday],$A10,tblHourly[Hour],N$5)</f>
        <v>2985.65384615385</v>
      </c>
      <c r="O10" s="29">
        <f>AVERAGEIFS(tblHourly[Trips],tblHourly[Period],"2015 Jan-Jun",tblHourly[Weekday],$A10,tblHourly[Hour],O$5)</f>
        <v>3014.76923076923</v>
      </c>
      <c r="P10" s="29">
        <f>AVERAGEIFS(tblHourly[Trips],tblHourly[Period],"2015 Jan-Jun",tblHourly[Weekday],$A10,tblHourly[Hour],P$5)</f>
        <v>3375.42307692308</v>
      </c>
      <c r="Q10" s="29">
        <f>AVERAGEIFS(tblHourly[Trips],tblHourly[Period],"2015 Jan-Jun",tblHourly[Weekday],$A10,tblHourly[Hour],Q$5)</f>
        <v>3802.84615384615</v>
      </c>
      <c r="R10" s="29">
        <f>AVERAGEIFS(tblHourly[Trips],tblHourly[Period],"2015 Jan-Jun",tblHourly[Weekday],$A10,tblHourly[Hour],R$5)</f>
        <v>4370.96153846154</v>
      </c>
      <c r="S10" s="29">
        <f>AVERAGEIFS(tblHourly[Trips],tblHourly[Period],"2015 Jan-Jun",tblHourly[Weekday],$A10,tblHourly[Hour],S$5)</f>
        <v>5150.53846153846</v>
      </c>
      <c r="T10" s="29">
        <f>AVERAGEIFS(tblHourly[Trips],tblHourly[Period],"2015 Jan-Jun",tblHourly[Weekday],$A10,tblHourly[Hour],T$5)</f>
        <v>6017.15384615385</v>
      </c>
      <c r="U10" s="29">
        <f>AVERAGEIFS(tblHourly[Trips],tblHourly[Period],"2015 Jan-Jun",tblHourly[Weekday],$A10,tblHourly[Hour],U$5)</f>
        <v>6604.42307692308</v>
      </c>
      <c r="V10" s="29">
        <f>AVERAGEIFS(tblHourly[Trips],tblHourly[Period],"2015 Jan-Jun",tblHourly[Weekday],$A10,tblHourly[Hour],V$5)</f>
        <v>6231.46153846154</v>
      </c>
      <c r="W10" s="29">
        <f>AVERAGEIFS(tblHourly[Trips],tblHourly[Period],"2015 Jan-Jun",tblHourly[Weekday],$A10,tblHourly[Hour],W$5)</f>
        <v>5834.38461538462</v>
      </c>
      <c r="X10" s="29">
        <f>AVERAGEIFS(tblHourly[Trips],tblHourly[Period],"2015 Jan-Jun",tblHourly[Weekday],$A10,tblHourly[Hour],X$5)</f>
        <v>6258.23076923077</v>
      </c>
      <c r="Y10" s="29">
        <f>AVERAGEIFS(tblHourly[Trips],tblHourly[Period],"2015 Jan-Jun",tblHourly[Weekday],$A10,tblHourly[Hour],Y$5)</f>
        <v>6462.30769230769</v>
      </c>
    </row>
    <row r="11" spans="1:25">
      <c r="A11" s="14" t="s">
        <v>1228</v>
      </c>
      <c r="B11" s="29">
        <f>AVERAGEIFS(tblHourly[Trips],tblHourly[Period],"2015 Jan-Jun",tblHourly[Weekday],$A11,tblHourly[Hour],B$5)</f>
        <v>5608.11538461539</v>
      </c>
      <c r="C11" s="29">
        <f>AVERAGEIFS(tblHourly[Trips],tblHourly[Period],"2015 Jan-Jun",tblHourly[Weekday],$A11,tblHourly[Hour],C$5)</f>
        <v>3988.03846153846</v>
      </c>
      <c r="D11" s="29">
        <f>AVERAGEIFS(tblHourly[Trips],tblHourly[Period],"2015 Jan-Jun",tblHourly[Weekday],$A11,tblHourly[Hour],D$5)</f>
        <v>2767.30769230769</v>
      </c>
      <c r="E11" s="29">
        <f>AVERAGEIFS(tblHourly[Trips],tblHourly[Period],"2015 Jan-Jun",tblHourly[Weekday],$A11,tblHourly[Hour],E$5)</f>
        <v>1918.96153846154</v>
      </c>
      <c r="F11" s="29">
        <f>AVERAGEIFS(tblHourly[Trips],tblHourly[Period],"2015 Jan-Jun",tblHourly[Weekday],$A11,tblHourly[Hour],F$5)</f>
        <v>1430.23076923077</v>
      </c>
      <c r="G11" s="29">
        <f>AVERAGEIFS(tblHourly[Trips],tblHourly[Period],"2015 Jan-Jun",tblHourly[Weekday],$A11,tblHourly[Hour],G$5)</f>
        <v>1017.46153846154</v>
      </c>
      <c r="H11" s="29">
        <f>AVERAGEIFS(tblHourly[Trips],tblHourly[Period],"2015 Jan-Jun",tblHourly[Weekday],$A11,tblHourly[Hour],H$5)</f>
        <v>1045.57692307692</v>
      </c>
      <c r="I11" s="29">
        <f>AVERAGEIFS(tblHourly[Trips],tblHourly[Period],"2015 Jan-Jun",tblHourly[Weekday],$A11,tblHourly[Hour],I$5)</f>
        <v>1228.15384615385</v>
      </c>
      <c r="J11" s="29">
        <f>AVERAGEIFS(tblHourly[Trips],tblHourly[Period],"2015 Jan-Jun",tblHourly[Weekday],$A11,tblHourly[Hour],J$5)</f>
        <v>1705.88461538462</v>
      </c>
      <c r="K11" s="29">
        <f>AVERAGEIFS(tblHourly[Trips],tblHourly[Period],"2015 Jan-Jun",tblHourly[Weekday],$A11,tblHourly[Hour],K$5)</f>
        <v>2303.03846153846</v>
      </c>
      <c r="L11" s="29">
        <f>AVERAGEIFS(tblHourly[Trips],tblHourly[Period],"2015 Jan-Jun",tblHourly[Weekday],$A11,tblHourly[Hour],L$5)</f>
        <v>2819.76923076923</v>
      </c>
      <c r="M11" s="29">
        <f>AVERAGEIFS(tblHourly[Trips],tblHourly[Period],"2015 Jan-Jun",tblHourly[Weekday],$A11,tblHourly[Hour],M$5)</f>
        <v>3248</v>
      </c>
      <c r="N11" s="29">
        <f>AVERAGEIFS(tblHourly[Trips],tblHourly[Period],"2015 Jan-Jun",tblHourly[Weekday],$A11,tblHourly[Hour],N$5)</f>
        <v>3570.80769230769</v>
      </c>
      <c r="O11" s="29">
        <f>AVERAGEIFS(tblHourly[Trips],tblHourly[Period],"2015 Jan-Jun",tblHourly[Weekday],$A11,tblHourly[Hour],O$5)</f>
        <v>3724.26923076923</v>
      </c>
      <c r="P11" s="29">
        <f>AVERAGEIFS(tblHourly[Trips],tblHourly[Period],"2015 Jan-Jun",tblHourly[Weekday],$A11,tblHourly[Hour],P$5)</f>
        <v>3774.26923076923</v>
      </c>
      <c r="Q11" s="29">
        <f>AVERAGEIFS(tblHourly[Trips],tblHourly[Period],"2015 Jan-Jun",tblHourly[Weekday],$A11,tblHourly[Hour],Q$5)</f>
        <v>4082.92307692308</v>
      </c>
      <c r="R11" s="29">
        <f>AVERAGEIFS(tblHourly[Trips],tblHourly[Period],"2015 Jan-Jun",tblHourly[Weekday],$A11,tblHourly[Hour],R$5)</f>
        <v>4784.80769230769</v>
      </c>
      <c r="S11" s="29">
        <f>AVERAGEIFS(tblHourly[Trips],tblHourly[Period],"2015 Jan-Jun",tblHourly[Weekday],$A11,tblHourly[Hour],S$5)</f>
        <v>5564</v>
      </c>
      <c r="T11" s="29">
        <f>AVERAGEIFS(tblHourly[Trips],tblHourly[Period],"2015 Jan-Jun",tblHourly[Weekday],$A11,tblHourly[Hour],T$5)</f>
        <v>5951.92307692308</v>
      </c>
      <c r="U11" s="29">
        <f>AVERAGEIFS(tblHourly[Trips],tblHourly[Period],"2015 Jan-Jun",tblHourly[Weekday],$A11,tblHourly[Hour],U$5)</f>
        <v>6597.69230769231</v>
      </c>
      <c r="V11" s="29">
        <f>AVERAGEIFS(tblHourly[Trips],tblHourly[Period],"2015 Jan-Jun",tblHourly[Weekday],$A11,tblHourly[Hour],V$5)</f>
        <v>6294.23076923077</v>
      </c>
      <c r="W11" s="29">
        <f>AVERAGEIFS(tblHourly[Trips],tblHourly[Period],"2015 Jan-Jun",tblHourly[Weekday],$A11,tblHourly[Hour],W$5)</f>
        <v>6111.5</v>
      </c>
      <c r="X11" s="29">
        <f>AVERAGEIFS(tblHourly[Trips],tblHourly[Period],"2015 Jan-Jun",tblHourly[Weekday],$A11,tblHourly[Hour],X$5)</f>
        <v>6554.65384615385</v>
      </c>
      <c r="Y11" s="29">
        <f>AVERAGEIFS(tblHourly[Trips],tblHourly[Period],"2015 Jan-Jun",tblHourly[Weekday],$A11,tblHourly[Hour],Y$5)</f>
        <v>6776.19230769231</v>
      </c>
    </row>
    <row r="12" spans="1:25">
      <c r="A12" s="14" t="s">
        <v>1229</v>
      </c>
      <c r="B12" s="29">
        <f>AVERAGEIFS(tblHourly[Trips],tblHourly[Period],"2015 Jan-Jun",tblHourly[Weekday],$A12,tblHourly[Hour],B$5)</f>
        <v>6036.5</v>
      </c>
      <c r="C12" s="29">
        <f>AVERAGEIFS(tblHourly[Trips],tblHourly[Period],"2015 Jan-Jun",tblHourly[Weekday],$A12,tblHourly[Hour],C$5)</f>
        <v>4829.38461538462</v>
      </c>
      <c r="D12" s="29">
        <f>AVERAGEIFS(tblHourly[Trips],tblHourly[Period],"2015 Jan-Jun",tblHourly[Weekday],$A12,tblHourly[Hour],D$5)</f>
        <v>3500.04</v>
      </c>
      <c r="E12" s="29">
        <f>AVERAGEIFS(tblHourly[Trips],tblHourly[Period],"2015 Jan-Jun",tblHourly[Weekday],$A12,tblHourly[Hour],E$5)</f>
        <v>2373.84615384615</v>
      </c>
      <c r="F12" s="29">
        <f>AVERAGEIFS(tblHourly[Trips],tblHourly[Period],"2015 Jan-Jun",tblHourly[Weekday],$A12,tblHourly[Hour],F$5)</f>
        <v>1616.57692307692</v>
      </c>
      <c r="G12" s="29">
        <f>AVERAGEIFS(tblHourly[Trips],tblHourly[Period],"2015 Jan-Jun",tblHourly[Weekday],$A12,tblHourly[Hour],G$5)</f>
        <v>992.076923076923</v>
      </c>
      <c r="H12" s="29">
        <f>AVERAGEIFS(tblHourly[Trips],tblHourly[Period],"2015 Jan-Jun",tblHourly[Weekday],$A12,tblHourly[Hour],H$5)</f>
        <v>895.346153846154</v>
      </c>
      <c r="I12" s="29">
        <f>AVERAGEIFS(tblHourly[Trips],tblHourly[Period],"2015 Jan-Jun",tblHourly[Weekday],$A12,tblHourly[Hour],I$5)</f>
        <v>972.807692307692</v>
      </c>
      <c r="J12" s="29">
        <f>AVERAGEIFS(tblHourly[Trips],tblHourly[Period],"2015 Jan-Jun",tblHourly[Weekday],$A12,tblHourly[Hour],J$5)</f>
        <v>1309.42307692308</v>
      </c>
      <c r="K12" s="29">
        <f>AVERAGEIFS(tblHourly[Trips],tblHourly[Period],"2015 Jan-Jun",tblHourly[Weekday],$A12,tblHourly[Hour],K$5)</f>
        <v>1833.76923076923</v>
      </c>
      <c r="L12" s="29">
        <f>AVERAGEIFS(tblHourly[Trips],tblHourly[Period],"2015 Jan-Jun",tblHourly[Weekday],$A12,tblHourly[Hour],L$5)</f>
        <v>2506.76923076923</v>
      </c>
      <c r="M12" s="29">
        <f>AVERAGEIFS(tblHourly[Trips],tblHourly[Period],"2015 Jan-Jun",tblHourly[Weekday],$A12,tblHourly[Hour],M$5)</f>
        <v>3078.03846153846</v>
      </c>
      <c r="N12" s="29">
        <f>AVERAGEIFS(tblHourly[Trips],tblHourly[Period],"2015 Jan-Jun",tblHourly[Weekday],$A12,tblHourly[Hour],N$5)</f>
        <v>3403.30769230769</v>
      </c>
      <c r="O12" s="29">
        <f>AVERAGEIFS(tblHourly[Trips],tblHourly[Period],"2015 Jan-Jun",tblHourly[Weekday],$A12,tblHourly[Hour],O$5)</f>
        <v>3566.03846153846</v>
      </c>
      <c r="P12" s="29">
        <f>AVERAGEIFS(tblHourly[Trips],tblHourly[Period],"2015 Jan-Jun",tblHourly[Weekday],$A12,tblHourly[Hour],P$5)</f>
        <v>3696.88461538462</v>
      </c>
      <c r="Q12" s="29">
        <f>AVERAGEIFS(tblHourly[Trips],tblHourly[Period],"2015 Jan-Jun",tblHourly[Weekday],$A12,tblHourly[Hour],Q$5)</f>
        <v>3792.69230769231</v>
      </c>
      <c r="R12" s="29">
        <f>AVERAGEIFS(tblHourly[Trips],tblHourly[Period],"2015 Jan-Jun",tblHourly[Weekday],$A12,tblHourly[Hour],R$5)</f>
        <v>4038.42307692308</v>
      </c>
      <c r="S12" s="29">
        <f>AVERAGEIFS(tblHourly[Trips],tblHourly[Period],"2015 Jan-Jun",tblHourly[Weekday],$A12,tblHourly[Hour],S$5)</f>
        <v>4311.38461538462</v>
      </c>
      <c r="T12" s="29">
        <f>AVERAGEIFS(tblHourly[Trips],tblHourly[Period],"2015 Jan-Jun",tblHourly[Weekday],$A12,tblHourly[Hour],T$5)</f>
        <v>4375.30769230769</v>
      </c>
      <c r="U12" s="29">
        <f>AVERAGEIFS(tblHourly[Trips],tblHourly[Period],"2015 Jan-Jun",tblHourly[Weekday],$A12,tblHourly[Hour],U$5)</f>
        <v>4042.26923076923</v>
      </c>
      <c r="V12" s="29">
        <f>AVERAGEIFS(tblHourly[Trips],tblHourly[Period],"2015 Jan-Jun",tblHourly[Weekday],$A12,tblHourly[Hour],V$5)</f>
        <v>3715.15384615385</v>
      </c>
      <c r="W12" s="29">
        <f>AVERAGEIFS(tblHourly[Trips],tblHourly[Period],"2015 Jan-Jun",tblHourly[Weekday],$A12,tblHourly[Hour],W$5)</f>
        <v>3606.19230769231</v>
      </c>
      <c r="X12" s="29">
        <f>AVERAGEIFS(tblHourly[Trips],tblHourly[Period],"2015 Jan-Jun",tblHourly[Weekday],$A12,tblHourly[Hour],X$5)</f>
        <v>3704.96153846154</v>
      </c>
      <c r="Y12" s="29">
        <f>AVERAGEIFS(tblHourly[Trips],tblHourly[Period],"2015 Jan-Jun",tblHourly[Weekday],$A12,tblHourly[Hour],Y$5)</f>
        <v>3044.42307692308</v>
      </c>
    </row>
    <row r="15" spans="1:25" ht="18" customHeight="1">
      <c r="A15" s="12" t="s">
        <v>1230</v>
      </c>
      <c r="L15" s="12" t="s">
        <v>1234</v>
      </c>
    </row>
    <row r="16" spans="1:25">
      <c r="A16" s="5" t="s">
        <v>306</v>
      </c>
      <c r="B16" s="13" t="s">
        <v>1231</v>
      </c>
      <c r="C16" s="13"/>
      <c r="D16" s="13"/>
      <c r="E16" s="13" t="s">
        <v>1232</v>
      </c>
      <c r="F16" s="13"/>
      <c r="G16" s="13"/>
      <c r="H16" s="13" t="s">
        <v>1233</v>
      </c>
      <c r="I16" s="13"/>
      <c r="J16" s="13"/>
      <c r="L16" s="14" t="s">
        <v>1235</v>
      </c>
      <c r="M16" s="14"/>
      <c r="N16" s="14"/>
      <c r="O16" s="14"/>
      <c r="P16" s="14"/>
      <c r="Q16" s="30">
        <f>INDEX($A$17:$A$40,MATCH(MAX($B$17:$B$40),$B$17:$B$40,0))</f>
        <v>19</v>
      </c>
    </row>
    <row r="17" spans="1:18">
      <c r="A17" s="30">
        <v>0</v>
      </c>
      <c r="B17" s="15">
        <f>AVERAGEIFS(tblHourly[Trips],tblHourly[Period],"2015 Jan-Jun",tblHourly[Hour],A17)</f>
        <v>3345.43333333333</v>
      </c>
      <c r="E17" s="22">
        <f>SUMIFS(tblHourly[Trips],tblHourly[Period],"2015 Jan-Jun",tblHourly[Hour],A17,tblHourly[Day Type],"Weekday")/SUMIFS(tblHourly[Trips],tblHourly[Period],"2015 Jan-Jun",tblHourly[Day Type],"Weekday")</f>
        <v>0.0302346711657138</v>
      </c>
      <c r="H17" s="22">
        <f>SUMIFS(tblHourly[Trips],tblHourly[Period],"2015 Jan-Jun",tblHourly[Hour],A17,tblHourly[Day Type],"Weekend")/SUMIFS(tblHourly[Trips],tblHourly[Period],"2015 Jan-Jun",tblHourly[Day Type],"Weekend")</f>
        <v>0.0693235821763566</v>
      </c>
      <c r="L17" s="14" t="s">
        <v>1236</v>
      </c>
      <c r="M17" s="14"/>
      <c r="N17" s="14"/>
      <c r="O17" s="14"/>
      <c r="P17" s="14"/>
      <c r="Q17" s="30">
        <f>INDEX($A$17:$A$40,MATCH(MIN($B$17:$B$40),$B$17:$B$40,0))</f>
        <v>4</v>
      </c>
    </row>
    <row r="18" spans="1:18">
      <c r="A18" s="30">
        <v>1</v>
      </c>
      <c r="B18" s="15">
        <f>AVERAGEIFS(tblHourly[Trips],tblHourly[Period],"2015 Jan-Jun",tblHourly[Hour],A18)</f>
        <v>2191.72222222222</v>
      </c>
      <c r="E18" s="22">
        <f>SUMIFS(tblHourly[Trips],tblHourly[Period],"2015 Jan-Jun",tblHourly[Hour],A18,tblHourly[Day Type],"Weekday")/SUMIFS(tblHourly[Trips],tblHourly[Period],"2015 Jan-Jun",tblHourly[Day Type],"Weekday")</f>
        <v>0.016687343622736</v>
      </c>
      <c r="H18" s="22">
        <f>SUMIFS(tblHourly[Trips],tblHourly[Period],"2015 Jan-Jun",tblHourly[Hour],A18,tblHourly[Day Type],"Weekend")/SUMIFS(tblHourly[Trips],tblHourly[Period],"2015 Jan-Jun",tblHourly[Day Type],"Weekend")</f>
        <v>0.0524925326485542</v>
      </c>
      <c r="L18" s="14" t="s">
        <v>1237</v>
      </c>
      <c r="M18" s="14"/>
      <c r="N18" s="14"/>
      <c r="O18" s="14"/>
      <c r="P18" s="14"/>
      <c r="Q18" s="24">
        <f>MAX($B$17:$B$40)/MIN($B$17:$B$40)</f>
        <v>5.79004554232299</v>
      </c>
    </row>
    <row r="19" spans="1:18">
      <c r="A19" s="30">
        <v>2</v>
      </c>
      <c r="B19" s="15">
        <f>AVERAGEIFS(tblHourly[Trips],tblHourly[Period],"2015 Jan-Jun",tblHourly[Hour],A19)</f>
        <v>1455.88268156425</v>
      </c>
      <c r="E19" s="22">
        <f>SUMIFS(tblHourly[Trips],tblHourly[Period],"2015 Jan-Jun",tblHourly[Hour],A19,tblHourly[Day Type],"Weekday")/SUMIFS(tblHourly[Trips],tblHourly[Period],"2015 Jan-Jun",tblHourly[Day Type],"Weekday")</f>
        <v>0.0102141402913462</v>
      </c>
      <c r="H19" s="22">
        <f>SUMIFS(tblHourly[Trips],tblHourly[Period],"2015 Jan-Jun",tblHourly[Hour],A19,tblHourly[Day Type],"Weekend")/SUMIFS(tblHourly[Trips],tblHourly[Period],"2015 Jan-Jun",tblHourly[Day Type],"Weekend")</f>
        <v>0.0365098246188474</v>
      </c>
      <c r="L19" s="14" t="s">
        <v>1240</v>
      </c>
      <c r="M19" s="14"/>
      <c r="N19" s="14"/>
      <c r="O19" s="14"/>
      <c r="P19" s="14"/>
      <c r="Q19" s="14" t="str">
        <f>INDEX($L$24:$L$30,MATCH(MAX($O$24:$O$30),$O$24:$O$30,0))</f>
        <v>Sat</v>
      </c>
    </row>
    <row r="20" spans="1:18">
      <c r="A20" s="30">
        <v>3</v>
      </c>
      <c r="B20" s="15">
        <f>AVERAGEIFS(tblHourly[Trips],tblHourly[Period],"2015 Jan-Jun",tblHourly[Hour],A20)</f>
        <v>1020.30555555556</v>
      </c>
      <c r="E20" s="22">
        <f>SUMIFS(tblHourly[Trips],tblHourly[Period],"2015 Jan-Jun",tblHourly[Hour],A20,tblHourly[Day Type],"Weekday")/SUMIFS(tblHourly[Trips],tblHourly[Period],"2015 Jan-Jun",tblHourly[Day Type],"Weekday")</f>
        <v>0.00727466678730188</v>
      </c>
      <c r="H20" s="22">
        <f>SUMIFS(tblHourly[Trips],tblHourly[Period],"2015 Jan-Jun",tblHourly[Hour],A20,tblHourly[Day Type],"Weekend")/SUMIFS(tblHourly[Trips],tblHourly[Period],"2015 Jan-Jun",tblHourly[Day Type],"Weekend")</f>
        <v>0.0255562590086197</v>
      </c>
      <c r="L20" s="14" t="s">
        <v>1241</v>
      </c>
      <c r="M20" s="14"/>
      <c r="N20" s="14"/>
      <c r="O20" s="14"/>
      <c r="P20" s="14"/>
      <c r="Q20" s="14" t="str">
        <f>INDEX($L$24:$L$30,MATCH(MIN($O$24:$O$30),$O$24:$O$30,0))</f>
        <v>Mon</v>
      </c>
    </row>
    <row r="21" spans="1:18">
      <c r="A21" s="30">
        <v>4</v>
      </c>
      <c r="B21" s="15">
        <f>AVERAGEIFS(tblHourly[Trips],tblHourly[Period],"2015 Jan-Jun",tblHourly[Hour],A21)</f>
        <v>961.322222222222</v>
      </c>
      <c r="E21" s="22">
        <f>SUMIFS(tblHourly[Trips],tblHourly[Period],"2015 Jan-Jun",tblHourly[Hour],A21,tblHourly[Day Type],"Weekday")/SUMIFS(tblHourly[Trips],tblHourly[Period],"2015 Jan-Jun",tblHourly[Day Type],"Weekday")</f>
        <v>0.00947386958512326</v>
      </c>
      <c r="H21" s="22">
        <f>SUMIFS(tblHourly[Trips],tblHourly[Period],"2015 Jan-Jun",tblHourly[Hour],A21,tblHourly[Day Type],"Weekend")/SUMIFS(tblHourly[Trips],tblHourly[Period],"2015 Jan-Jun",tblHourly[Day Type],"Weekend")</f>
        <v>0.0181384800147458</v>
      </c>
    </row>
    <row r="22" spans="1:18" ht="18" customHeight="1">
      <c r="A22" s="30">
        <v>5</v>
      </c>
      <c r="B22" s="15">
        <f>AVERAGEIFS(tblHourly[Trips],tblHourly[Period],"2015 Jan-Jun",tblHourly[Hour],A22)</f>
        <v>1075.12777777778</v>
      </c>
      <c r="E22" s="22">
        <f>SUMIFS(tblHourly[Trips],tblHourly[Period],"2015 Jan-Jun",tblHourly[Hour],A22,tblHourly[Day Type],"Weekday")/SUMIFS(tblHourly[Trips],tblHourly[Period],"2015 Jan-Jun",tblHourly[Day Type],"Weekday")</f>
        <v>0.014265685993949</v>
      </c>
      <c r="H22" s="22">
        <f>SUMIFS(tblHourly[Trips],tblHourly[Period],"2015 Jan-Jun",tblHourly[Hour],A22,tblHourly[Day Type],"Weekend")/SUMIFS(tblHourly[Trips],tblHourly[Period],"2015 Jan-Jun",tblHourly[Day Type],"Weekend")</f>
        <v>0.0119633324136289</v>
      </c>
      <c r="L22" s="12" t="s">
        <v>1238</v>
      </c>
    </row>
    <row r="23" spans="1:18">
      <c r="A23" s="30">
        <v>6</v>
      </c>
      <c r="B23" s="15">
        <f>AVERAGEIFS(tblHourly[Trips],tblHourly[Period],"2015 Jan-Jun",tblHourly[Hour],A23)</f>
        <v>1602.96111111111</v>
      </c>
      <c r="E23" s="22">
        <f>SUMIFS(tblHourly[Trips],tblHourly[Period],"2015 Jan-Jun",tblHourly[Hour],A23,tblHourly[Day Type],"Weekday")/SUMIFS(tblHourly[Trips],tblHourly[Period],"2015 Jan-Jun",tblHourly[Day Type],"Weekday")</f>
        <v>0.0240397635738343</v>
      </c>
      <c r="H23" s="22">
        <f>SUMIFS(tblHourly[Trips],tblHourly[Period],"2015 Jan-Jun",tblHourly[Hour],A23,tblHourly[Day Type],"Weekend")/SUMIFS(tblHourly[Trips],tblHourly[Period],"2015 Jan-Jun",tblHourly[Day Type],"Weekend")</f>
        <v>0.0115548462509831</v>
      </c>
      <c r="L23" s="5" t="s">
        <v>311</v>
      </c>
      <c r="M23" s="5"/>
      <c r="N23" s="5"/>
      <c r="O23" s="13" t="s">
        <v>1239</v>
      </c>
      <c r="P23" s="13"/>
      <c r="Q23" s="13"/>
      <c r="R23" s="13"/>
    </row>
    <row r="24" spans="1:18">
      <c r="A24" s="30">
        <v>7</v>
      </c>
      <c r="B24" s="15">
        <f>AVERAGEIFS(tblHourly[Trips],tblHourly[Period],"2015 Jan-Jun",tblHourly[Hour],A24)</f>
        <v>2464.12777777778</v>
      </c>
      <c r="E24" s="22">
        <f>SUMIFS(tblHourly[Trips],tblHourly[Period],"2015 Jan-Jun",tblHourly[Hour],A24,tblHourly[Day Type],"Weekday")/SUMIFS(tblHourly[Trips],tblHourly[Period],"2015 Jan-Jun",tblHourly[Day Type],"Weekday")</f>
        <v>0.0390096710798824</v>
      </c>
      <c r="H24" s="22">
        <f>SUMIFS(tblHourly[Trips],tblHourly[Period],"2015 Jan-Jun",tblHourly[Hour],A24,tblHourly[Day Type],"Weekend")/SUMIFS(tblHourly[Trips],tblHourly[Period],"2015 Jan-Jun",tblHourly[Day Type],"Weekend")</f>
        <v>0.0131029263774673</v>
      </c>
      <c r="L24" s="14" t="s">
        <v>1223</v>
      </c>
      <c r="M24" s="14"/>
      <c r="N24" s="14"/>
      <c r="O24" s="15">
        <f>AVERAGEIFS(tblDaily[Trips],tblDaily[Period],"2015 Jan-Jun",tblDaily[Weekday],L24)</f>
        <v>65163.5384615385</v>
      </c>
    </row>
    <row r="25" spans="1:18">
      <c r="A25" s="30">
        <v>8</v>
      </c>
      <c r="B25" s="15">
        <f>AVERAGEIFS(tblHourly[Trips],tblHourly[Period],"2015 Jan-Jun",tblHourly[Hour],A25)</f>
        <v>3222.91712707182</v>
      </c>
      <c r="E25" s="22">
        <f>SUMIFS(tblHourly[Trips],tblHourly[Period],"2015 Jan-Jun",tblHourly[Hour],A25,tblHourly[Day Type],"Weekday")/SUMIFS(tblHourly[Trips],tblHourly[Period],"2015 Jan-Jun",tblHourly[Day Type],"Weekday")</f>
        <v>0.0509889091675423</v>
      </c>
      <c r="H25" s="22">
        <f>SUMIFS(tblHourly[Trips],tblHourly[Period],"2015 Jan-Jun",tblHourly[Hour],A25,tblHourly[Day Type],"Weekend")/SUMIFS(tblHourly[Trips],tblHourly[Period],"2015 Jan-Jun",tblHourly[Day Type],"Weekend")</f>
        <v>0.0179509518941142</v>
      </c>
      <c r="L25" s="14" t="s">
        <v>1224</v>
      </c>
      <c r="M25" s="14"/>
      <c r="N25" s="14"/>
      <c r="O25" s="15">
        <f>AVERAGEIFS(tblDaily[Trips],tblDaily[Period],"2015 Jan-Jun",tblDaily[Weekday],L25)</f>
        <v>72034.6923076923</v>
      </c>
    </row>
    <row r="26" spans="1:18">
      <c r="A26" s="30">
        <v>9</v>
      </c>
      <c r="B26" s="15">
        <f>AVERAGEIFS(tblHourly[Trips],tblHourly[Period],"2015 Jan-Jun",tblHourly[Hour],A26)</f>
        <v>3278.65745856354</v>
      </c>
      <c r="E26" s="22">
        <f>SUMIFS(tblHourly[Trips],tblHourly[Period],"2015 Jan-Jun",tblHourly[Hour],A26,tblHourly[Day Type],"Weekday")/SUMIFS(tblHourly[Trips],tblHourly[Period],"2015 Jan-Jun",tblHourly[Day Type],"Weekday")</f>
        <v>0.0490632561368957</v>
      </c>
      <c r="H26" s="22">
        <f>SUMIFS(tblHourly[Trips],tblHourly[Period],"2015 Jan-Jun",tblHourly[Hour],A26,tblHourly[Day Type],"Weekend")/SUMIFS(tblHourly[Trips],tblHourly[Period],"2015 Jan-Jun",tblHourly[Day Type],"Weekend")</f>
        <v>0.0246275483159677</v>
      </c>
      <c r="L26" s="14" t="s">
        <v>1225</v>
      </c>
      <c r="M26" s="14"/>
      <c r="N26" s="14"/>
      <c r="O26" s="15">
        <f>AVERAGEIFS(tblDaily[Trips],tblDaily[Period],"2015 Jan-Jun",tblDaily[Weekday],L26)</f>
        <v>75752.44</v>
      </c>
    </row>
    <row r="27" spans="1:18">
      <c r="A27" s="30">
        <v>10</v>
      </c>
      <c r="B27" s="15">
        <f>AVERAGEIFS(tblHourly[Trips],tblHourly[Period],"2015 Jan-Jun",tblHourly[Hour],A27)</f>
        <v>2873.4364640884</v>
      </c>
      <c r="E27" s="22">
        <f>SUMIFS(tblHourly[Trips],tblHourly[Period],"2015 Jan-Jun",tblHourly[Hour],A27,tblHourly[Day Type],"Weekday")/SUMIFS(tblHourly[Trips],tblHourly[Period],"2015 Jan-Jun",tblHourly[Day Type],"Weekday")</f>
        <v>0.038533458196163</v>
      </c>
      <c r="H27" s="22">
        <f>SUMIFS(tblHourly[Trips],tblHourly[Period],"2015 Jan-Jun",tblHourly[Hour],A27,tblHourly[Day Type],"Weekend")/SUMIFS(tblHourly[Trips],tblHourly[Period],"2015 Jan-Jun",tblHourly[Day Type],"Weekend")</f>
        <v>0.0317103411798244</v>
      </c>
      <c r="L27" s="14" t="s">
        <v>1226</v>
      </c>
      <c r="M27" s="14"/>
      <c r="N27" s="14"/>
      <c r="O27" s="15">
        <f>AVERAGEIFS(tblDaily[Trips],tblDaily[Period],"2015 Jan-Jun",tblDaily[Weekday],L27)</f>
        <v>83061.4615384615</v>
      </c>
    </row>
    <row r="28" spans="1:18">
      <c r="A28" s="30">
        <v>11</v>
      </c>
      <c r="B28" s="15">
        <f>AVERAGEIFS(tblHourly[Trips],tblHourly[Period],"2015 Jan-Jun",tblHourly[Hour],A28)</f>
        <v>2854.78453038674</v>
      </c>
      <c r="E28" s="22">
        <f>SUMIFS(tblHourly[Trips],tblHourly[Period],"2015 Jan-Jun",tblHourly[Hour],A28,tblHourly[Day Type],"Weekday")/SUMIFS(tblHourly[Trips],tblHourly[Period],"2015 Jan-Jun",tblHourly[Day Type],"Weekday")</f>
        <v>0.0355684372240141</v>
      </c>
      <c r="H28" s="22">
        <f>SUMIFS(tblHourly[Trips],tblHourly[Period],"2015 Jan-Jun",tblHourly[Hour],A28,tblHourly[Day Type],"Weekend")/SUMIFS(tblHourly[Trips],tblHourly[Period],"2015 Jan-Jun",tblHourly[Day Type],"Weekend")</f>
        <v>0.0376606382138347</v>
      </c>
      <c r="L28" s="14" t="s">
        <v>1227</v>
      </c>
      <c r="M28" s="14"/>
      <c r="N28" s="14"/>
      <c r="O28" s="15">
        <f>AVERAGEIFS(tblDaily[Trips],tblDaily[Period],"2015 Jan-Jun",tblDaily[Weekday],L28)</f>
        <v>87791.1923076923</v>
      </c>
    </row>
    <row r="29" spans="1:18">
      <c r="A29" s="30">
        <v>12</v>
      </c>
      <c r="B29" s="15">
        <f>AVERAGEIFS(tblHourly[Trips],tblHourly[Period],"2015 Jan-Jun",tblHourly[Hour],A29)</f>
        <v>2944.86740331492</v>
      </c>
      <c r="E29" s="22">
        <f>SUMIFS(tblHourly[Trips],tblHourly[Period],"2015 Jan-Jun",tblHourly[Hour],A29,tblHourly[Day Type],"Weekday")/SUMIFS(tblHourly[Trips],tblHourly[Period],"2015 Jan-Jun",tblHourly[Day Type],"Weekday")</f>
        <v>0.0355134041405478</v>
      </c>
      <c r="H29" s="22">
        <f>SUMIFS(tblHourly[Trips],tblHourly[Period],"2015 Jan-Jun",tblHourly[Hour],A29,tblHourly[Day Type],"Weekend")/SUMIFS(tblHourly[Trips],tblHourly[Period],"2015 Jan-Jun",tblHourly[Day Type],"Weekend")</f>
        <v>0.0415188174966713</v>
      </c>
      <c r="L29" s="14" t="s">
        <v>1228</v>
      </c>
      <c r="M29" s="14"/>
      <c r="N29" s="14"/>
      <c r="O29" s="15">
        <f>AVERAGEIFS(tblDaily[Trips],tblDaily[Period],"2015 Jan-Jun",tblDaily[Weekday],L29)</f>
        <v>92867.8076923077</v>
      </c>
    </row>
    <row r="30" spans="1:18">
      <c r="A30" s="30">
        <v>13</v>
      </c>
      <c r="B30" s="15">
        <f>AVERAGEIFS(tblHourly[Trips],tblHourly[Period],"2015 Jan-Jun",tblHourly[Hour],A30)</f>
        <v>2971.8729281768</v>
      </c>
      <c r="E30" s="22">
        <f>SUMIFS(tblHourly[Trips],tblHourly[Period],"2015 Jan-Jun",tblHourly[Hour],A30,tblHourly[Day Type],"Weekday")/SUMIFS(tblHourly[Trips],tblHourly[Period],"2015 Jan-Jun",tblHourly[Day Type],"Weekday")</f>
        <v>0.0351768440172576</v>
      </c>
      <c r="H30" s="22">
        <f>SUMIFS(tblHourly[Trips],tblHourly[Period],"2015 Jan-Jun",tblHourly[Hour],A30,tblHourly[Day Type],"Weekend")/SUMIFS(tblHourly[Trips],tblHourly[Period],"2015 Jan-Jun",tblHourly[Day Type],"Weekend")</f>
        <v>0.0434011968369799</v>
      </c>
      <c r="L30" s="14" t="s">
        <v>1229</v>
      </c>
      <c r="M30" s="14"/>
      <c r="N30" s="14"/>
      <c r="O30" s="15">
        <f>AVERAGEIFS(tblDaily[Trips],tblDaily[Period],"2015 Jan-Jun",tblDaily[Weekday],L30)</f>
        <v>75107</v>
      </c>
    </row>
    <row r="31" spans="1:18">
      <c r="A31" s="30">
        <v>14</v>
      </c>
      <c r="B31" s="15">
        <f>AVERAGEIFS(tblHourly[Trips],tblHourly[Period],"2015 Jan-Jun",tblHourly[Hour],A31)</f>
        <v>3229.0773480663</v>
      </c>
      <c r="E31" s="22">
        <f>SUMIFS(tblHourly[Trips],tblHourly[Period],"2015 Jan-Jun",tblHourly[Hour],A31,tblHourly[Day Type],"Weekday")/SUMIFS(tblHourly[Trips],tblHourly[Period],"2015 Jan-Jun",tblHourly[Day Type],"Weekday")</f>
        <v>0.0394029809149306</v>
      </c>
      <c r="H31" s="22">
        <f>SUMIFS(tblHourly[Trips],tblHourly[Period],"2015 Jan-Jun",tblHourly[Hour],A31,tblHourly[Day Type],"Weekend")/SUMIFS(tblHourly[Trips],tblHourly[Period],"2015 Jan-Jun",tblHourly[Day Type],"Weekend")</f>
        <v>0.0444778234831459</v>
      </c>
    </row>
    <row r="32" spans="1:18" ht="18" customHeight="1">
      <c r="A32" s="30">
        <v>15</v>
      </c>
      <c r="B32" s="15">
        <f>AVERAGEIFS(tblHourly[Trips],tblHourly[Period],"2015 Jan-Jun",tblHourly[Hour],A32)</f>
        <v>3587.9226519337</v>
      </c>
      <c r="E32" s="22">
        <f>SUMIFS(tblHourly[Trips],tblHourly[Period],"2015 Jan-Jun",tblHourly[Hour],A32,tblHourly[Day Type],"Weekday")/SUMIFS(tblHourly[Trips],tblHourly[Period],"2015 Jan-Jun",tblHourly[Day Type],"Weekday")</f>
        <v>0.044899725682799</v>
      </c>
      <c r="H32" s="22">
        <f>SUMIFS(tblHourly[Trips],tblHourly[Period],"2015 Jan-Jun",tblHourly[Hour],A32,tblHourly[Day Type],"Weekend")/SUMIFS(tblHourly[Trips],tblHourly[Period],"2015 Jan-Jun",tblHourly[Day Type],"Weekend")</f>
        <v>0.0468856937109388</v>
      </c>
      <c r="L32" s="12" t="s">
        <v>1242</v>
      </c>
    </row>
    <row r="33" spans="1:19">
      <c r="A33" s="30">
        <v>16</v>
      </c>
      <c r="B33" s="15">
        <f>AVERAGEIFS(tblHourly[Trips],tblHourly[Period],"2015 Jan-Jun",tblHourly[Hour],A33)</f>
        <v>4072.76243093923</v>
      </c>
      <c r="E33" s="22">
        <f>SUMIFS(tblHourly[Trips],tblHourly[Period],"2015 Jan-Jun",tblHourly[Hour],A33,tblHourly[Day Type],"Weekday")/SUMIFS(tblHourly[Trips],tblHourly[Period],"2015 Jan-Jun",tblHourly[Day Type],"Weekday")</f>
        <v>0.0512732635951407</v>
      </c>
      <c r="H33" s="22">
        <f>SUMIFS(tblHourly[Trips],tblHourly[Period],"2015 Jan-Jun",tblHourly[Hour],A33,tblHourly[Day Type],"Weekend")/SUMIFS(tblHourly[Trips],tblHourly[Period],"2015 Jan-Jun",tblHourly[Day Type],"Weekend")</f>
        <v>0.052527107430258</v>
      </c>
      <c r="L33" s="5" t="s">
        <v>1243</v>
      </c>
      <c r="M33" s="5"/>
      <c r="N33" s="5"/>
      <c r="O33" s="5"/>
      <c r="P33" s="13" t="s">
        <v>1244</v>
      </c>
      <c r="Q33" s="13"/>
      <c r="R33" s="13" t="s">
        <v>1245</v>
      </c>
      <c r="S33" s="13"/>
    </row>
    <row r="34" spans="1:19">
      <c r="A34" s="30">
        <v>17</v>
      </c>
      <c r="B34" s="15">
        <f>AVERAGEIFS(tblHourly[Trips],tblHourly[Period],"2015 Jan-Jun",tblHourly[Hour],A34)</f>
        <v>4773.42541436464</v>
      </c>
      <c r="E34" s="22">
        <f>SUMIFS(tblHourly[Trips],tblHourly[Period],"2015 Jan-Jun",tblHourly[Hour],A34,tblHourly[Day Type],"Weekday")/SUMIFS(tblHourly[Trips],tblHourly[Period],"2015 Jan-Jun",tblHourly[Day Type],"Weekday")</f>
        <v>0.0613169527949435</v>
      </c>
      <c r="H34" s="22">
        <f>SUMIFS(tblHourly[Trips],tblHourly[Period],"2015 Jan-Jun",tblHourly[Hour],A34,tblHourly[Day Type],"Weekend")/SUMIFS(tblHourly[Trips],tblHourly[Period],"2015 Jan-Jun",tblHourly[Day Type],"Weekend")</f>
        <v>0.0587908672202448</v>
      </c>
      <c r="L34" s="14" t="s">
        <v>1246</v>
      </c>
      <c r="M34" s="14"/>
      <c r="N34" s="14"/>
      <c r="O34" s="14"/>
      <c r="P34" s="22">
        <f>SUMIFS(tblHourly[Trips],tblHourly[Period],"2015 Jan-Jun",tblHourly[Time Band],L34,tblHourly[Day Type],"Weekday")/SUMIFS(tblHourly[Trips],tblHourly[Period],"2015 Jan-Jun",tblHourly[Day Type],"Weekday")</f>
        <v>0.0881503774461701</v>
      </c>
      <c r="R34" s="22">
        <f>SUMIFS(tblHourly[Trips],tblHourly[Period],"2015 Jan-Jun",tblHourly[Time Band],L34,tblHourly[Day Type],"Weekend")/SUMIFS(tblHourly[Trips],tblHourly[Period],"2015 Jan-Jun",tblHourly[Day Type],"Weekend")</f>
        <v>0.213984010880753</v>
      </c>
    </row>
    <row r="35" spans="1:19">
      <c r="A35" s="30">
        <v>18</v>
      </c>
      <c r="B35" s="15">
        <f>AVERAGEIFS(tblHourly[Trips],tblHourly[Period],"2015 Jan-Jun",tblHourly[Hour],A35)</f>
        <v>5453.55248618785</v>
      </c>
      <c r="E35" s="22">
        <f>SUMIFS(tblHourly[Trips],tblHourly[Period],"2015 Jan-Jun",tblHourly[Hour],A35,tblHourly[Day Type],"Weekday")/SUMIFS(tblHourly[Trips],tblHourly[Period],"2015 Jan-Jun",tblHourly[Day Type],"Weekday")</f>
        <v>0.0725613729956598</v>
      </c>
      <c r="H35" s="22">
        <f>SUMIFS(tblHourly[Trips],tblHourly[Period],"2015 Jan-Jun",tblHourly[Hour],A35,tblHourly[Day Type],"Weekend")/SUMIFS(tblHourly[Trips],tblHourly[Period],"2015 Jan-Jun",tblHourly[Day Type],"Weekend")</f>
        <v>0.06148083103121</v>
      </c>
      <c r="L35" s="14" t="s">
        <v>1247</v>
      </c>
      <c r="M35" s="14"/>
      <c r="N35" s="14"/>
      <c r="O35" s="14"/>
      <c r="P35" s="22">
        <f>SUMIFS(tblHourly[Trips],tblHourly[Period],"2015 Jan-Jun",tblHourly[Time Band],L35,tblHourly[Day Type],"Weekday")/SUMIFS(tblHourly[Trips],tblHourly[Period],"2015 Jan-Jun",tblHourly[Day Type],"Weekday")</f>
        <v>0.163101599958155</v>
      </c>
      <c r="R35" s="22">
        <f>SUMIFS(tblHourly[Trips],tblHourly[Period],"2015 Jan-Jun",tblHourly[Time Band],L35,tblHourly[Day Type],"Weekend")/SUMIFS(tblHourly[Trips],tblHourly[Period],"2015 Jan-Jun",tblHourly[Day Type],"Weekend")</f>
        <v>0.0672362728385323</v>
      </c>
    </row>
    <row r="36" spans="1:19">
      <c r="A36" s="30">
        <v>19</v>
      </c>
      <c r="B36" s="15">
        <f>AVERAGEIFS(tblHourly[Trips],tblHourly[Period],"2015 Jan-Jun",tblHourly[Hour],A36)</f>
        <v>5566.09944751381</v>
      </c>
      <c r="E36" s="22">
        <f>SUMIFS(tblHourly[Trips],tblHourly[Period],"2015 Jan-Jun",tblHourly[Hour],A36,tblHourly[Day Type],"Weekday")/SUMIFS(tblHourly[Trips],tblHourly[Period],"2015 Jan-Jun",tblHourly[Day Type],"Weekday")</f>
        <v>0.0737973453656186</v>
      </c>
      <c r="H36" s="22">
        <f>SUMIFS(tblHourly[Trips],tblHourly[Period],"2015 Jan-Jun",tblHourly[Hour],A36,tblHourly[Day Type],"Weekend")/SUMIFS(tblHourly[Trips],tblHourly[Period],"2015 Jan-Jun",tblHourly[Day Type],"Weekend")</f>
        <v>0.0633426028857349</v>
      </c>
      <c r="L36" s="14" t="s">
        <v>1248</v>
      </c>
      <c r="M36" s="14"/>
      <c r="N36" s="14"/>
      <c r="O36" s="14"/>
      <c r="P36" s="22">
        <f>SUMIFS(tblHourly[Trips],tblHourly[Period],"2015 Jan-Jun",tblHourly[Time Band],L36,tblHourly[Day Type],"Weekday")/SUMIFS(tblHourly[Trips],tblHourly[Period],"2015 Jan-Jun",tblHourly[Day Type],"Weekday")</f>
        <v>0.229094850175712</v>
      </c>
      <c r="R36" s="22">
        <f>SUMIFS(tblHourly[Trips],tblHourly[Period],"2015 Jan-Jun",tblHourly[Time Band],L36,tblHourly[Day Type],"Weekend")/SUMIFS(tblHourly[Trips],tblHourly[Period],"2015 Jan-Jun",tblHourly[Day Type],"Weekend")</f>
        <v>0.245654510921395</v>
      </c>
    </row>
    <row r="37" spans="1:19">
      <c r="A37" s="30">
        <v>20</v>
      </c>
      <c r="B37" s="15">
        <f>AVERAGEIFS(tblHourly[Trips],tblHourly[Period],"2015 Jan-Jun",tblHourly[Hour],A37)</f>
        <v>5240.74033149171</v>
      </c>
      <c r="E37" s="22">
        <f>SUMIFS(tblHourly[Trips],tblHourly[Period],"2015 Jan-Jun",tblHourly[Hour],A37,tblHourly[Day Type],"Weekday")/SUMIFS(tblHourly[Trips],tblHourly[Period],"2015 Jan-Jun",tblHourly[Day Type],"Weekday")</f>
        <v>0.0695062795272688</v>
      </c>
      <c r="H37" s="22">
        <f>SUMIFS(tblHourly[Trips],tblHourly[Period],"2015 Jan-Jun",tblHourly[Hour],A37,tblHourly[Day Type],"Weekend")/SUMIFS(tblHourly[Trips],tblHourly[Period],"2015 Jan-Jun",tblHourly[Day Type],"Weekend")</f>
        <v>0.0595886058921381</v>
      </c>
      <c r="L37" s="14" t="s">
        <v>1249</v>
      </c>
      <c r="M37" s="14"/>
      <c r="N37" s="14"/>
      <c r="O37" s="14"/>
      <c r="P37" s="22">
        <f>SUMIFS(tblHourly[Trips],tblHourly[Period],"2015 Jan-Jun",tblHourly[Time Band],L37,tblHourly[Day Type],"Weekday")/SUMIFS(tblHourly[Trips],tblHourly[Period],"2015 Jan-Jun",tblHourly[Day Type],"Weekday")</f>
        <v>0.258948934751363</v>
      </c>
      <c r="R37" s="22">
        <f>SUMIFS(tblHourly[Trips],tblHourly[Period],"2015 Jan-Jun",tblHourly[Time Band],L37,tblHourly[Day Type],"Weekend")/SUMIFS(tblHourly[Trips],tblHourly[Period],"2015 Jan-Jun",tblHourly[Day Type],"Weekend")</f>
        <v>0.236141408567448</v>
      </c>
    </row>
    <row r="38" spans="1:19">
      <c r="A38" s="30">
        <v>21</v>
      </c>
      <c r="B38" s="15">
        <f>AVERAGEIFS(tblHourly[Trips],tblHourly[Period],"2015 Jan-Jun",tblHourly[Hour],A38)</f>
        <v>5140.67403314917</v>
      </c>
      <c r="E38" s="22">
        <f>SUMIFS(tblHourly[Trips],tblHourly[Period],"2015 Jan-Jun",tblHourly[Hour],A38,tblHourly[Day Type],"Weekday")/SUMIFS(tblHourly[Trips],tblHourly[Period],"2015 Jan-Jun",tblHourly[Day Type],"Weekday")</f>
        <v>0.0684431817240886</v>
      </c>
      <c r="H38" s="22">
        <f>SUMIFS(tblHourly[Trips],tblHourly[Period],"2015 Jan-Jun",tblHourly[Hour],A38,tblHourly[Day Type],"Weekend")/SUMIFS(tblHourly[Trips],tblHourly[Period],"2015 Jan-Jun",tblHourly[Day Type],"Weekend")</f>
        <v>0.0578520817567653</v>
      </c>
      <c r="L38" s="14" t="s">
        <v>1250</v>
      </c>
      <c r="M38" s="14"/>
      <c r="N38" s="14"/>
      <c r="O38" s="14"/>
      <c r="P38" s="22">
        <f>SUMIFS(tblHourly[Trips],tblHourly[Period],"2015 Jan-Jun",tblHourly[Time Band],L38,tblHourly[Day Type],"Weekday")/SUMIFS(tblHourly[Trips],tblHourly[Period],"2015 Jan-Jun",tblHourly[Day Type],"Weekday")</f>
        <v>0.260704237668601</v>
      </c>
      <c r="R38" s="22">
        <f>SUMIFS(tblHourly[Trips],tblHourly[Period],"2015 Jan-Jun",tblHourly[Time Band],L38,tblHourly[Day Type],"Weekend")/SUMIFS(tblHourly[Trips],tblHourly[Period],"2015 Jan-Jun",tblHourly[Day Type],"Weekend")</f>
        <v>0.236983796791872</v>
      </c>
    </row>
    <row r="39" spans="1:19">
      <c r="A39" s="30">
        <v>22</v>
      </c>
      <c r="B39" s="15">
        <f>AVERAGEIFS(tblHourly[Trips],tblHourly[Period],"2015 Jan-Jun",tblHourly[Hour],A39)</f>
        <v>5099.19337016575</v>
      </c>
      <c r="E39" s="22">
        <f>SUMIFS(tblHourly[Trips],tblHourly[Period],"2015 Jan-Jun",tblHourly[Hour],A39,tblHourly[Day Type],"Weekday")/SUMIFS(tblHourly[Trips],tblHourly[Period],"2015 Jan-Jun",tblHourly[Day Type],"Weekday")</f>
        <v>0.0662622559686661</v>
      </c>
      <c r="H39" s="22">
        <f>SUMIFS(tblHourly[Trips],tblHourly[Period],"2015 Jan-Jun",tblHourly[Hour],A39,tblHourly[Day Type],"Weekend")/SUMIFS(tblHourly[Trips],tblHourly[Period],"2015 Jan-Jun",tblHourly[Day Type],"Weekend")</f>
        <v>0.0610782981422352</v>
      </c>
    </row>
    <row r="40" spans="1:19">
      <c r="A40" s="30">
        <v>23</v>
      </c>
      <c r="B40" s="15">
        <f>AVERAGEIFS(tblHourly[Trips],tblHourly[Period],"2015 Jan-Jun",tblHourly[Hour],A40)</f>
        <v>4526.60555555556</v>
      </c>
      <c r="E40" s="22">
        <f>SUMIFS(tblHourly[Trips],tblHourly[Period],"2015 Jan-Jun",tblHourly[Hour],A40,tblHourly[Day Type],"Weekday")/SUMIFS(tblHourly[Trips],tblHourly[Period],"2015 Jan-Jun",tblHourly[Day Type],"Weekday")</f>
        <v>0.0564925204485772</v>
      </c>
      <c r="H40" s="22">
        <f>SUMIFS(tblHourly[Trips],tblHourly[Period],"2015 Jan-Jun",tblHourly[Hour],A40,tblHourly[Day Type],"Weekend")/SUMIFS(tblHourly[Trips],tblHourly[Period],"2015 Jan-Jun",tblHourly[Day Type],"Weekend")</f>
        <v>0.0584648110007339</v>
      </c>
    </row>
  </sheetData>
  <mergeCells count="119">
    <mergeCell ref="B16:D16"/>
    <mergeCell ref="E16:G16"/>
    <mergeCell ref="H16:J16"/>
    <mergeCell ref="B17:D17"/>
    <mergeCell ref="E17:G17"/>
    <mergeCell ref="H17:J17"/>
    <mergeCell ref="B18:D18"/>
    <mergeCell ref="E18:G18"/>
    <mergeCell ref="H18:J18"/>
    <mergeCell ref="B19:D19"/>
    <mergeCell ref="E19:G19"/>
    <mergeCell ref="H19:J19"/>
    <mergeCell ref="B20:D20"/>
    <mergeCell ref="E20:G20"/>
    <mergeCell ref="H20:J20"/>
    <mergeCell ref="B21:D21"/>
    <mergeCell ref="E21:G21"/>
    <mergeCell ref="H21:J21"/>
    <mergeCell ref="B22:D22"/>
    <mergeCell ref="E22:G22"/>
    <mergeCell ref="H22:J22"/>
    <mergeCell ref="B23:D23"/>
    <mergeCell ref="E23:G23"/>
    <mergeCell ref="H23:J23"/>
    <mergeCell ref="B24:D24"/>
    <mergeCell ref="E24:G24"/>
    <mergeCell ref="H24:J24"/>
    <mergeCell ref="B25:D25"/>
    <mergeCell ref="E25:G25"/>
    <mergeCell ref="H25:J25"/>
    <mergeCell ref="B26:D26"/>
    <mergeCell ref="E26:G26"/>
    <mergeCell ref="H26:J26"/>
    <mergeCell ref="B27:D27"/>
    <mergeCell ref="E27:G27"/>
    <mergeCell ref="H27:J27"/>
    <mergeCell ref="B28:D28"/>
    <mergeCell ref="E28:G28"/>
    <mergeCell ref="H28:J28"/>
    <mergeCell ref="B29:D29"/>
    <mergeCell ref="E29:G29"/>
    <mergeCell ref="H29:J29"/>
    <mergeCell ref="B30:D30"/>
    <mergeCell ref="E30:G30"/>
    <mergeCell ref="H30:J30"/>
    <mergeCell ref="B31:D31"/>
    <mergeCell ref="E31:G31"/>
    <mergeCell ref="H31:J31"/>
    <mergeCell ref="B32:D32"/>
    <mergeCell ref="E32:G32"/>
    <mergeCell ref="H32:J32"/>
    <mergeCell ref="B33:D33"/>
    <mergeCell ref="E33:G33"/>
    <mergeCell ref="H33:J33"/>
    <mergeCell ref="B34:D34"/>
    <mergeCell ref="E34:G34"/>
    <mergeCell ref="H34:J34"/>
    <mergeCell ref="B35:D35"/>
    <mergeCell ref="E35:G35"/>
    <mergeCell ref="H35:J35"/>
    <mergeCell ref="B36:D36"/>
    <mergeCell ref="E36:G36"/>
    <mergeCell ref="H36:J36"/>
    <mergeCell ref="B37:D37"/>
    <mergeCell ref="E37:G37"/>
    <mergeCell ref="H37:J37"/>
    <mergeCell ref="B38:D38"/>
    <mergeCell ref="E38:G38"/>
    <mergeCell ref="H38:J38"/>
    <mergeCell ref="B39:D39"/>
    <mergeCell ref="E39:G39"/>
    <mergeCell ref="H39:J39"/>
    <mergeCell ref="B40:D40"/>
    <mergeCell ref="E40:G40"/>
    <mergeCell ref="H40:J40"/>
    <mergeCell ref="L16:P16"/>
    <mergeCell ref="Q16:R16"/>
    <mergeCell ref="L17:P17"/>
    <mergeCell ref="Q17:R17"/>
    <mergeCell ref="L18:P18"/>
    <mergeCell ref="Q18:R18"/>
    <mergeCell ref="L23:N23"/>
    <mergeCell ref="O23:R23"/>
    <mergeCell ref="L24:N24"/>
    <mergeCell ref="O24:R24"/>
    <mergeCell ref="L25:N25"/>
    <mergeCell ref="O25:R25"/>
    <mergeCell ref="L26:N26"/>
    <mergeCell ref="O26:R26"/>
    <mergeCell ref="L27:N27"/>
    <mergeCell ref="O27:R27"/>
    <mergeCell ref="L28:N28"/>
    <mergeCell ref="O28:R28"/>
    <mergeCell ref="L29:N29"/>
    <mergeCell ref="O29:R29"/>
    <mergeCell ref="L30:N30"/>
    <mergeCell ref="O30:R30"/>
    <mergeCell ref="L19:P19"/>
    <mergeCell ref="Q19:R19"/>
    <mergeCell ref="L20:P20"/>
    <mergeCell ref="Q20:R20"/>
    <mergeCell ref="L33:O33"/>
    <mergeCell ref="P33:Q33"/>
    <mergeCell ref="R33:S33"/>
    <mergeCell ref="L34:O34"/>
    <mergeCell ref="P34:Q34"/>
    <mergeCell ref="R34:S34"/>
    <mergeCell ref="L35:O35"/>
    <mergeCell ref="P35:Q35"/>
    <mergeCell ref="R35:S35"/>
    <mergeCell ref="L36:O36"/>
    <mergeCell ref="P36:Q36"/>
    <mergeCell ref="R36:S36"/>
    <mergeCell ref="L37:O37"/>
    <mergeCell ref="P37:Q37"/>
    <mergeCell ref="R37:S37"/>
    <mergeCell ref="L38:O38"/>
    <mergeCell ref="P38:Q38"/>
    <mergeCell ref="R38:S38"/>
  </mergeCells>
  <conditionalFormatting sqref="B6:Y12">
    <cfRule type="colorScale" priority="1">
      <colorScale>
        <cfvo type="min" val="0"/>
        <cfvo type="max" val="0"/>
        <color rgb="FFFFFFFF"/>
        <color rgb="FF2A78D6"/>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sheetPr>
    <tabColor rgb="FF2A78D6"/>
  </sheetPr>
  <dimension ref="A1:K28"/>
  <sheetViews>
    <sheetView showGridLines="0" zoomScale="90" zoomScaleNormal="90" workbookViewId="0"/>
  </sheetViews>
  <sheetFormatPr defaultRowHeight="15"/>
  <cols>
    <col min="1" max="1" width="8.7109375" customWidth="1"/>
    <col min="2" max="2" width="12.7109375" customWidth="1"/>
    <col min="3" max="4" width="11.7109375" customWidth="1"/>
    <col min="6" max="6" width="12.7109375" customWidth="1"/>
    <col min="7" max="7" width="50.7109375" customWidth="1"/>
    <col min="8" max="11" width="12.7109375" customWidth="1"/>
  </cols>
  <sheetData>
    <row r="1" spans="1:11" ht="27" customHeight="1">
      <c r="A1" s="1" t="s">
        <v>1251</v>
      </c>
    </row>
    <row r="2" spans="1:11">
      <c r="A2" s="20" t="s">
        <v>1252</v>
      </c>
    </row>
    <row r="4" spans="1:11" ht="18" customHeight="1">
      <c r="A4" s="12" t="s">
        <v>1253</v>
      </c>
      <c r="F4" s="12" t="s">
        <v>1260</v>
      </c>
    </row>
    <row r="5" spans="1:11">
      <c r="A5" s="5" t="s">
        <v>1254</v>
      </c>
      <c r="B5" s="5" t="s">
        <v>305</v>
      </c>
      <c r="C5" s="5" t="s">
        <v>311</v>
      </c>
      <c r="D5" s="13" t="s">
        <v>307</v>
      </c>
      <c r="F5" s="5" t="s">
        <v>305</v>
      </c>
      <c r="G5" s="5" t="s">
        <v>288</v>
      </c>
      <c r="H5" s="13" t="s">
        <v>307</v>
      </c>
      <c r="I5" s="13" t="s">
        <v>1261</v>
      </c>
      <c r="J5" s="13" t="s">
        <v>1262</v>
      </c>
      <c r="K5" s="13" t="s">
        <v>1263</v>
      </c>
    </row>
    <row r="6" spans="1:11">
      <c r="A6" s="14">
        <v>1</v>
      </c>
      <c r="B6" s="31">
        <f>INDEX(tblDaily[Date],MATCH(D6,tblDaily[Trips 2015],0))</f>
        <v>42182.0</v>
      </c>
      <c r="C6" s="14" t="str">
        <f>CHOOSE(WEEKDAY(B6,2),"Mon","Tue","Wed","Thu","Fri","Sat","Sun")</f>
        <v>Sat</v>
      </c>
      <c r="D6" s="15">
        <f>LARGE(tblDaily[Trips 2015],A6)</f>
        <v>136193</v>
      </c>
      <c r="F6" s="31">
        <f>Lookups!H2</f>
        <v>41785.0</v>
      </c>
      <c r="G6" s="14" t="str">
        <f>Lookups!I2</f>
        <v>Memorial Day</v>
      </c>
      <c r="H6" s="15">
        <f>SUMIFS(tblDaily[Trips],tblDaily[Date],F6)</f>
        <v>10202</v>
      </c>
      <c r="I6" s="15">
        <f>(SUMIFS(tblDaily[Trips],tblDaily[Date],F6-21,tblDaily[Special Day],"No")+SUMIFS(tblDaily[Trips],tblDaily[Date],F6-14,tblDaily[Special Day],"No")+SUMIFS(tblDaily[Trips],tblDaily[Date],F6-7,tblDaily[Special Day],"No")+SUMIFS(tblDaily[Trips],tblDaily[Date],F6+7,tblDaily[Special Day],"No")+SUMIFS(tblDaily[Trips],tblDaily[Date],F6+14,tblDaily[Special Day],"No")+SUMIFS(tblDaily[Trips],tblDaily[Date],F6+21,tblDaily[Special Day],"No"))/(COUNTIFS(tblDaily[Date],F6-21,tblDaily[Special Day],"No")+COUNTIFS(tblDaily[Date],F6-14,tblDaily[Special Day],"No")+COUNTIFS(tblDaily[Date],F6-7,tblDaily[Special Day],"No")+COUNTIFS(tblDaily[Date],F6+7,tblDaily[Special Day],"No")+COUNTIFS(tblDaily[Date],F6+14,tblDaily[Special Day],"No")+COUNTIFS(tblDaily[Date],F6+21,tblDaily[Special Day],"No"))</f>
        <v>18694.8333333333</v>
      </c>
      <c r="J6" s="15">
        <f>COUNTIFS(tblDaily[Date],F6-21,tblDaily[Special Day],"No")+COUNTIFS(tblDaily[Date],F6-14,tblDaily[Special Day],"No")+COUNTIFS(tblDaily[Date],F6-7,tblDaily[Special Day],"No")+COUNTIFS(tblDaily[Date],F6+7,tblDaily[Special Day],"No")+COUNTIFS(tblDaily[Date],F6+14,tblDaily[Special Day],"No")+COUNTIFS(tblDaily[Date],F6+21,tblDaily[Special Day],"No")</f>
        <v>6</v>
      </c>
      <c r="K6" s="22">
        <f>H6/I6-1</f>
        <v>-0.454287726555465</v>
      </c>
    </row>
    <row r="7" spans="1:11">
      <c r="A7" s="14">
        <v>2</v>
      </c>
      <c r="B7" s="31">
        <f>INDEX(tblDaily[Date],MATCH(D7,tblDaily[Trips 2015],0))</f>
        <v>42140.0</v>
      </c>
      <c r="C7" s="14" t="str">
        <f>CHOOSE(WEEKDAY(B7,2),"Mon","Tue","Wed","Thu","Fri","Sat","Sun")</f>
        <v>Sat</v>
      </c>
      <c r="D7" s="15">
        <f>LARGE(tblDaily[Trips 2015],A7)</f>
        <v>121557</v>
      </c>
      <c r="F7" s="31">
        <f>Lookups!H3</f>
        <v>41824.0</v>
      </c>
      <c r="G7" s="14" t="str">
        <f>Lookups!I3</f>
        <v>Independence Day</v>
      </c>
      <c r="H7" s="15">
        <f>SUMIFS(tblDaily[Trips],tblDaily[Date],F7)</f>
        <v>14148</v>
      </c>
      <c r="I7" s="15">
        <f>(SUMIFS(tblDaily[Trips],tblDaily[Date],F7-21,tblDaily[Special Day],"No")+SUMIFS(tblDaily[Trips],tblDaily[Date],F7-14,tblDaily[Special Day],"No")+SUMIFS(tblDaily[Trips],tblDaily[Date],F7-7,tblDaily[Special Day],"No")+SUMIFS(tblDaily[Trips],tblDaily[Date],F7+7,tblDaily[Special Day],"No")+SUMIFS(tblDaily[Trips],tblDaily[Date],F7+14,tblDaily[Special Day],"No")+SUMIFS(tblDaily[Trips],tblDaily[Date],F7+21,tblDaily[Special Day],"No"))/(COUNTIFS(tblDaily[Date],F7-21,tblDaily[Special Day],"No")+COUNTIFS(tblDaily[Date],F7-14,tblDaily[Special Day],"No")+COUNTIFS(tblDaily[Date],F7-7,tblDaily[Special Day],"No")+COUNTIFS(tblDaily[Date],F7+7,tblDaily[Special Day],"No")+COUNTIFS(tblDaily[Date],F7+14,tblDaily[Special Day],"No")+COUNTIFS(tblDaily[Date],F7+21,tblDaily[Special Day],"No"))</f>
        <v>28160</v>
      </c>
      <c r="J7" s="15">
        <f>COUNTIFS(tblDaily[Date],F7-21,tblDaily[Special Day],"No")+COUNTIFS(tblDaily[Date],F7-14,tblDaily[Special Day],"No")+COUNTIFS(tblDaily[Date],F7-7,tblDaily[Special Day],"No")+COUNTIFS(tblDaily[Date],F7+7,tblDaily[Special Day],"No")+COUNTIFS(tblDaily[Date],F7+14,tblDaily[Special Day],"No")+COUNTIFS(tblDaily[Date],F7+21,tblDaily[Special Day],"No")</f>
        <v>6</v>
      </c>
      <c r="K7" s="22">
        <f>H7/I7-1</f>
        <v>-0.497585227272727</v>
      </c>
    </row>
    <row r="8" spans="1:11">
      <c r="A8" s="14">
        <v>3</v>
      </c>
      <c r="B8" s="31">
        <f>INDEX(tblDaily[Date],MATCH(D8,tblDaily[Trips 2015],0))</f>
        <v>42119.0</v>
      </c>
      <c r="C8" s="14" t="str">
        <f>CHOOSE(WEEKDAY(B8,2),"Mon","Tue","Wed","Thu","Fri","Sat","Sun")</f>
        <v>Sat</v>
      </c>
      <c r="D8" s="15">
        <f>LARGE(tblDaily[Trips 2015],A8)</f>
        <v>106270</v>
      </c>
      <c r="F8" s="31">
        <f>Lookups!H4</f>
        <v>41883.0</v>
      </c>
      <c r="G8" s="14" t="str">
        <f>Lookups!I4</f>
        <v>Labor Day</v>
      </c>
      <c r="H8" s="15">
        <f>SUMIFS(tblDaily[Trips],tblDaily[Date],F8)</f>
        <v>19961</v>
      </c>
      <c r="I8" s="15">
        <f>(SUMIFS(tblDaily[Trips],tblDaily[Date],F8-21,tblDaily[Special Day],"No")+SUMIFS(tblDaily[Trips],tblDaily[Date],F8-14,tblDaily[Special Day],"No")+SUMIFS(tblDaily[Trips],tblDaily[Date],F8-7,tblDaily[Special Day],"No")+SUMIFS(tblDaily[Trips],tblDaily[Date],F8+7,tblDaily[Special Day],"No")+SUMIFS(tblDaily[Trips],tblDaily[Date],F8+14,tblDaily[Special Day],"No")+SUMIFS(tblDaily[Trips],tblDaily[Date],F8+21,tblDaily[Special Day],"No"))/(COUNTIFS(tblDaily[Date],F8-21,tblDaily[Special Day],"No")+COUNTIFS(tblDaily[Date],F8-14,tblDaily[Special Day],"No")+COUNTIFS(tblDaily[Date],F8-7,tblDaily[Special Day],"No")+COUNTIFS(tblDaily[Date],F8+7,tblDaily[Special Day],"No")+COUNTIFS(tblDaily[Date],F8+14,tblDaily[Special Day],"No")+COUNTIFS(tblDaily[Date],F8+21,tblDaily[Special Day],"No"))</f>
        <v>25801.1666666667</v>
      </c>
      <c r="J8" s="15">
        <f>COUNTIFS(tblDaily[Date],F8-21,tblDaily[Special Day],"No")+COUNTIFS(tblDaily[Date],F8-14,tblDaily[Special Day],"No")+COUNTIFS(tblDaily[Date],F8-7,tblDaily[Special Day],"No")+COUNTIFS(tblDaily[Date],F8+7,tblDaily[Special Day],"No")+COUNTIFS(tblDaily[Date],F8+14,tblDaily[Special Day],"No")+COUNTIFS(tblDaily[Date],F8+21,tblDaily[Special Day],"No")</f>
        <v>6</v>
      </c>
      <c r="K8" s="22">
        <f>H8/I8-1</f>
        <v>-0.226352813503265</v>
      </c>
    </row>
    <row r="9" spans="1:11">
      <c r="A9" s="14">
        <v>4</v>
      </c>
      <c r="B9" s="31">
        <f>INDEX(tblDaily[Date],MATCH(D9,tblDaily[Trips 2015],0))</f>
        <v>42126.0</v>
      </c>
      <c r="C9" s="14" t="str">
        <f>CHOOSE(WEEKDAY(B9,2),"Mon","Tue","Wed","Thu","Fri","Sat","Sun")</f>
        <v>Sat</v>
      </c>
      <c r="D9" s="15">
        <f>LARGE(tblDaily[Trips 2015],A9)</f>
        <v>104978</v>
      </c>
      <c r="F9" s="31">
        <f>Lookups!H5</f>
        <v>42005.0</v>
      </c>
      <c r="G9" s="14" t="str">
        <f>Lookups!I5</f>
        <v>New Year's Day</v>
      </c>
      <c r="H9" s="15">
        <f>SUMIFS(tblDaily[Trips],tblDaily[Date],F9)</f>
        <v>58045</v>
      </c>
      <c r="I9" s="15">
        <f>(SUMIFS(tblDaily[Trips],tblDaily[Date],F9-21,tblDaily[Special Day],"No")+SUMIFS(tblDaily[Trips],tblDaily[Date],F9-14,tblDaily[Special Day],"No")+SUMIFS(tblDaily[Trips],tblDaily[Date],F9-7,tblDaily[Special Day],"No")+SUMIFS(tblDaily[Trips],tblDaily[Date],F9+7,tblDaily[Special Day],"No")+SUMIFS(tblDaily[Trips],tblDaily[Date],F9+14,tblDaily[Special Day],"No")+SUMIFS(tblDaily[Trips],tblDaily[Date],F9+21,tblDaily[Special Day],"No"))/(COUNTIFS(tblDaily[Date],F9-21,tblDaily[Special Day],"No")+COUNTIFS(tblDaily[Date],F9-14,tblDaily[Special Day],"No")+COUNTIFS(tblDaily[Date],F9-7,tblDaily[Special Day],"No")+COUNTIFS(tblDaily[Date],F9+7,tblDaily[Special Day],"No")+COUNTIFS(tblDaily[Date],F9+14,tblDaily[Special Day],"No")+COUNTIFS(tblDaily[Date],F9+21,tblDaily[Special Day],"No"))</f>
        <v>69348.6666666667</v>
      </c>
      <c r="J9" s="15">
        <f>COUNTIFS(tblDaily[Date],F9-21,tblDaily[Special Day],"No")+COUNTIFS(tblDaily[Date],F9-14,tblDaily[Special Day],"No")+COUNTIFS(tblDaily[Date],F9-7,tblDaily[Special Day],"No")+COUNTIFS(tblDaily[Date],F9+7,tblDaily[Special Day],"No")+COUNTIFS(tblDaily[Date],F9+14,tblDaily[Special Day],"No")+COUNTIFS(tblDaily[Date],F9+21,tblDaily[Special Day],"No")</f>
        <v>3</v>
      </c>
      <c r="K9" s="22">
        <f>H9/I9-1</f>
        <v>-0.162997606298607</v>
      </c>
    </row>
    <row r="10" spans="1:11">
      <c r="A10" s="14">
        <v>5</v>
      </c>
      <c r="B10" s="31">
        <f>INDEX(tblDaily[Date],MATCH(D10,tblDaily[Trips 2015],0))</f>
        <v>42154.0</v>
      </c>
      <c r="C10" s="14" t="str">
        <f>CHOOSE(WEEKDAY(B10,2),"Mon","Tue","Wed","Thu","Fri","Sat","Sun")</f>
        <v>Sat</v>
      </c>
      <c r="D10" s="15">
        <f>LARGE(tblDaily[Trips 2015],A10)</f>
        <v>104429</v>
      </c>
      <c r="F10" s="31">
        <f>Lookups!H6</f>
        <v>42023.0</v>
      </c>
      <c r="G10" s="14" t="str">
        <f>Lookups!I6</f>
        <v>Birthday of Martin Luther King, Jr.</v>
      </c>
      <c r="H10" s="15">
        <f>SUMIFS(tblDaily[Trips],tblDaily[Date],F10)</f>
        <v>47025</v>
      </c>
      <c r="I10" s="15">
        <f>(SUMIFS(tblDaily[Trips],tblDaily[Date],F10-21,tblDaily[Special Day],"No")+SUMIFS(tblDaily[Trips],tblDaily[Date],F10-14,tblDaily[Special Day],"No")+SUMIFS(tblDaily[Trips],tblDaily[Date],F10-7,tblDaily[Special Day],"No")+SUMIFS(tblDaily[Trips],tblDaily[Date],F10+7,tblDaily[Special Day],"No")+SUMIFS(tblDaily[Trips],tblDaily[Date],F10+14,tblDaily[Special Day],"No")+SUMIFS(tblDaily[Trips],tblDaily[Date],F10+21,tblDaily[Special Day],"No"))/(COUNTIFS(tblDaily[Date],F10-21,tblDaily[Special Day],"No")+COUNTIFS(tblDaily[Date],F10-14,tblDaily[Special Day],"No")+COUNTIFS(tblDaily[Date],F10-7,tblDaily[Special Day],"No")+COUNTIFS(tblDaily[Date],F10+7,tblDaily[Special Day],"No")+COUNTIFS(tblDaily[Date],F10+14,tblDaily[Special Day],"No")+COUNTIFS(tblDaily[Date],F10+21,tblDaily[Special Day],"No"))</f>
        <v>59042</v>
      </c>
      <c r="J10" s="15">
        <f>COUNTIFS(tblDaily[Date],F10-21,tblDaily[Special Day],"No")+COUNTIFS(tblDaily[Date],F10-14,tblDaily[Special Day],"No")+COUNTIFS(tblDaily[Date],F10-7,tblDaily[Special Day],"No")+COUNTIFS(tblDaily[Date],F10+7,tblDaily[Special Day],"No")+COUNTIFS(tblDaily[Date],F10+14,tblDaily[Special Day],"No")+COUNTIFS(tblDaily[Date],F10+21,tblDaily[Special Day],"No")</f>
        <v>4</v>
      </c>
      <c r="K10" s="22">
        <f>H10/I10-1</f>
        <v>-0.203533078147759</v>
      </c>
    </row>
    <row r="11" spans="1:11">
      <c r="A11" s="14">
        <v>6</v>
      </c>
      <c r="B11" s="31">
        <f>INDEX(tblDaily[Date],MATCH(D11,tblDaily[Trips 2015],0))</f>
        <v>42167.0</v>
      </c>
      <c r="C11" s="14" t="str">
        <f>CHOOSE(WEEKDAY(B11,2),"Mon","Tue","Wed","Thu","Fri","Sat","Sun")</f>
        <v>Fri</v>
      </c>
      <c r="D11" s="15">
        <f>LARGE(tblDaily[Trips 2015],A11)</f>
        <v>103052</v>
      </c>
      <c r="F11" s="31">
        <f>Lookups!H7</f>
        <v>42051.0</v>
      </c>
      <c r="G11" s="14" t="str">
        <f>Lookups!I7</f>
        <v>Washington's Birthday</v>
      </c>
      <c r="H11" s="15">
        <f>SUMIFS(tblDaily[Trips],tblDaily[Date],F11)</f>
        <v>73672</v>
      </c>
      <c r="I11" s="15">
        <f>(SUMIFS(tblDaily[Trips],tblDaily[Date],F11-21,tblDaily[Special Day],"No")+SUMIFS(tblDaily[Trips],tblDaily[Date],F11-14,tblDaily[Special Day],"No")+SUMIFS(tblDaily[Trips],tblDaily[Date],F11-7,tblDaily[Special Day],"No")+SUMIFS(tblDaily[Trips],tblDaily[Date],F11+7,tblDaily[Special Day],"No")+SUMIFS(tblDaily[Trips],tblDaily[Date],F11+14,tblDaily[Special Day],"No")+SUMIFS(tblDaily[Trips],tblDaily[Date],F11+21,tblDaily[Special Day],"No"))/(COUNTIFS(tblDaily[Date],F11-21,tblDaily[Special Day],"No")+COUNTIFS(tblDaily[Date],F11-14,tblDaily[Special Day],"No")+COUNTIFS(tblDaily[Date],F11-7,tblDaily[Special Day],"No")+COUNTIFS(tblDaily[Date],F11+7,tblDaily[Special Day],"No")+COUNTIFS(tblDaily[Date],F11+14,tblDaily[Special Day],"No")+COUNTIFS(tblDaily[Date],F11+21,tblDaily[Special Day],"No"))</f>
        <v>63474.6</v>
      </c>
      <c r="J11" s="15">
        <f>COUNTIFS(tblDaily[Date],F11-21,tblDaily[Special Day],"No")+COUNTIFS(tblDaily[Date],F11-14,tblDaily[Special Day],"No")+COUNTIFS(tblDaily[Date],F11-7,tblDaily[Special Day],"No")+COUNTIFS(tblDaily[Date],F11+7,tblDaily[Special Day],"No")+COUNTIFS(tblDaily[Date],F11+14,tblDaily[Special Day],"No")+COUNTIFS(tblDaily[Date],F11+21,tblDaily[Special Day],"No")</f>
        <v>5</v>
      </c>
      <c r="K11" s="22">
        <f>H11/I11-1</f>
        <v>0.160653237673022</v>
      </c>
    </row>
    <row r="12" spans="1:11">
      <c r="A12" s="14">
        <v>7</v>
      </c>
      <c r="B12" s="31">
        <f>INDEX(tblDaily[Date],MATCH(D12,tblDaily[Trips 2015],0))</f>
        <v>42055.0</v>
      </c>
      <c r="C12" s="14" t="str">
        <f>CHOOSE(WEEKDAY(B12,2),"Mon","Tue","Wed","Thu","Fri","Sat","Sun")</f>
        <v>Fri</v>
      </c>
      <c r="D12" s="15">
        <f>LARGE(tblDaily[Trips 2015],A12)</f>
        <v>102762</v>
      </c>
      <c r="F12" s="31">
        <f>Lookups!H8</f>
        <v>42149.0</v>
      </c>
      <c r="G12" s="14" t="str">
        <f>Lookups!I8</f>
        <v>Memorial Day</v>
      </c>
      <c r="H12" s="15">
        <f>SUMIFS(tblDaily[Trips],tblDaily[Date],F12)</f>
        <v>59748</v>
      </c>
      <c r="I12" s="15">
        <f>(SUMIFS(tblDaily[Trips],tblDaily[Date],F12-21,tblDaily[Special Day],"No")+SUMIFS(tblDaily[Trips],tblDaily[Date],F12-14,tblDaily[Special Day],"No")+SUMIFS(tblDaily[Trips],tblDaily[Date],F12-7,tblDaily[Special Day],"No")+SUMIFS(tblDaily[Trips],tblDaily[Date],F12+7,tblDaily[Special Day],"No")+SUMIFS(tblDaily[Trips],tblDaily[Date],F12+14,tblDaily[Special Day],"No")+SUMIFS(tblDaily[Trips],tblDaily[Date],F12+21,tblDaily[Special Day],"No"))/(COUNTIFS(tblDaily[Date],F12-21,tblDaily[Special Day],"No")+COUNTIFS(tblDaily[Date],F12-14,tblDaily[Special Day],"No")+COUNTIFS(tblDaily[Date],F12-7,tblDaily[Special Day],"No")+COUNTIFS(tblDaily[Date],F12+7,tblDaily[Special Day],"No")+COUNTIFS(tblDaily[Date],F12+14,tblDaily[Special Day],"No")+COUNTIFS(tblDaily[Date],F12+21,tblDaily[Special Day],"No"))</f>
        <v>78071</v>
      </c>
      <c r="J12" s="15">
        <f>COUNTIFS(tblDaily[Date],F12-21,tblDaily[Special Day],"No")+COUNTIFS(tblDaily[Date],F12-14,tblDaily[Special Day],"No")+COUNTIFS(tblDaily[Date],F12-7,tblDaily[Special Day],"No")+COUNTIFS(tblDaily[Date],F12+7,tblDaily[Special Day],"No")+COUNTIFS(tblDaily[Date],F12+14,tblDaily[Special Day],"No")+COUNTIFS(tblDaily[Date],F12+21,tblDaily[Special Day],"No")</f>
        <v>6</v>
      </c>
      <c r="K12" s="22">
        <f>H12/I12-1</f>
        <v>-0.234696622305338</v>
      </c>
    </row>
    <row r="13" spans="1:11">
      <c r="A13" s="14">
        <v>8</v>
      </c>
      <c r="B13" s="31">
        <f>INDEX(tblDaily[Date],MATCH(D13,tblDaily[Trips 2015],0))</f>
        <v>42049.0</v>
      </c>
      <c r="C13" s="14" t="str">
        <f>CHOOSE(WEEKDAY(B13,2),"Mon","Tue","Wed","Thu","Fri","Sat","Sun")</f>
        <v>Sat</v>
      </c>
      <c r="D13" s="15">
        <f>LARGE(tblDaily[Trips 2015],A13)</f>
        <v>102347</v>
      </c>
      <c r="F13" s="31">
        <f>Lookups!H9</f>
        <v>42030.0</v>
      </c>
      <c r="G13" s="14" t="str">
        <f>Lookups!I9</f>
        <v>Blizzard: travel ban from 11 pm (external event)</v>
      </c>
      <c r="H13" s="15">
        <f>SUMIFS(tblDaily[Trips],tblDaily[Date],F13)</f>
        <v>44310</v>
      </c>
      <c r="I13" s="15">
        <f>(SUMIFS(tblDaily[Trips],tblDaily[Date],F13-21,tblDaily[Special Day],"No")+SUMIFS(tblDaily[Trips],tblDaily[Date],F13-14,tblDaily[Special Day],"No")+SUMIFS(tblDaily[Trips],tblDaily[Date],F13-7,tblDaily[Special Day],"No")+SUMIFS(tblDaily[Trips],tblDaily[Date],F13+7,tblDaily[Special Day],"No")+SUMIFS(tblDaily[Trips],tblDaily[Date],F13+14,tblDaily[Special Day],"No")+SUMIFS(tblDaily[Trips],tblDaily[Date],F13+21,tblDaily[Special Day],"No"))/(COUNTIFS(tblDaily[Date],F13-21,tblDaily[Special Day],"No")+COUNTIFS(tblDaily[Date],F13-14,tblDaily[Special Day],"No")+COUNTIFS(tblDaily[Date],F13-7,tblDaily[Special Day],"No")+COUNTIFS(tblDaily[Date],F13+7,tblDaily[Special Day],"No")+COUNTIFS(tblDaily[Date],F13+14,tblDaily[Special Day],"No")+COUNTIFS(tblDaily[Date],F13+21,tblDaily[Special Day],"No"))</f>
        <v>59042</v>
      </c>
      <c r="J13" s="15">
        <f>COUNTIFS(tblDaily[Date],F13-21,tblDaily[Special Day],"No")+COUNTIFS(tblDaily[Date],F13-14,tblDaily[Special Day],"No")+COUNTIFS(tblDaily[Date],F13-7,tblDaily[Special Day],"No")+COUNTIFS(tblDaily[Date],F13+7,tblDaily[Special Day],"No")+COUNTIFS(tblDaily[Date],F13+14,tblDaily[Special Day],"No")+COUNTIFS(tblDaily[Date],F13+21,tblDaily[Special Day],"No")</f>
        <v>4</v>
      </c>
      <c r="K13" s="22">
        <f>H13/I13-1</f>
        <v>-0.249517292774635</v>
      </c>
    </row>
    <row r="14" spans="1:11">
      <c r="A14" s="14">
        <v>9</v>
      </c>
      <c r="B14" s="31">
        <f>INDEX(tblDaily[Date],MATCH(D14,tblDaily[Trips 2015],0))</f>
        <v>42166.0</v>
      </c>
      <c r="C14" s="14" t="str">
        <f>CHOOSE(WEEKDAY(B14,2),"Mon","Tue","Wed","Thu","Fri","Sat","Sun")</f>
        <v>Thu</v>
      </c>
      <c r="D14" s="15">
        <f>LARGE(tblDaily[Trips 2015],A14)</f>
        <v>102013</v>
      </c>
      <c r="F14" s="31">
        <f>Lookups!H10</f>
        <v>42031.0</v>
      </c>
      <c r="G14" s="14" t="str">
        <f>Lookups!I10</f>
        <v>Blizzard: travel ban until the morning (external event)</v>
      </c>
      <c r="H14" s="15">
        <f>SUMIFS(tblDaily[Trips],tblDaily[Date],F14)</f>
        <v>25954</v>
      </c>
      <c r="I14" s="15">
        <f>(SUMIFS(tblDaily[Trips],tblDaily[Date],F14-21,tblDaily[Special Day],"No")+SUMIFS(tblDaily[Trips],tblDaily[Date],F14-14,tblDaily[Special Day],"No")+SUMIFS(tblDaily[Trips],tblDaily[Date],F14-7,tblDaily[Special Day],"No")+SUMIFS(tblDaily[Trips],tblDaily[Date],F14+7,tblDaily[Special Day],"No")+SUMIFS(tblDaily[Trips],tblDaily[Date],F14+14,tblDaily[Special Day],"No")+SUMIFS(tblDaily[Trips],tblDaily[Date],F14+21,tblDaily[Special Day],"No"))/(COUNTIFS(tblDaily[Date],F14-21,tblDaily[Special Day],"No")+COUNTIFS(tblDaily[Date],F14-14,tblDaily[Special Day],"No")+COUNTIFS(tblDaily[Date],F14-7,tblDaily[Special Day],"No")+COUNTIFS(tblDaily[Date],F14+7,tblDaily[Special Day],"No")+COUNTIFS(tblDaily[Date],F14+14,tblDaily[Special Day],"No")+COUNTIFS(tblDaily[Date],F14+21,tblDaily[Special Day],"No"))</f>
        <v>64353.5</v>
      </c>
      <c r="J14" s="15">
        <f>COUNTIFS(tblDaily[Date],F14-21,tblDaily[Special Day],"No")+COUNTIFS(tblDaily[Date],F14-14,tblDaily[Special Day],"No")+COUNTIFS(tblDaily[Date],F14-7,tblDaily[Special Day],"No")+COUNTIFS(tblDaily[Date],F14+7,tblDaily[Special Day],"No")+COUNTIFS(tblDaily[Date],F14+14,tblDaily[Special Day],"No")+COUNTIFS(tblDaily[Date],F14+21,tblDaily[Special Day],"No")</f>
        <v>6</v>
      </c>
      <c r="K14" s="22">
        <f>H14/I14-1</f>
        <v>-0.596696372380679</v>
      </c>
    </row>
    <row r="15" spans="1:11">
      <c r="A15" s="14">
        <v>10</v>
      </c>
      <c r="B15" s="31">
        <f>INDEX(tblDaily[Date],MATCH(D15,tblDaily[Trips 2015],0))</f>
        <v>42160.0</v>
      </c>
      <c r="C15" s="14" t="str">
        <f>CHOOSE(WEEKDAY(B15,2),"Mon","Tue","Wed","Thu","Fri","Sat","Sun")</f>
        <v>Fri</v>
      </c>
      <c r="D15" s="15">
        <f>LARGE(tblDaily[Trips 2015],A15)</f>
        <v>101922</v>
      </c>
    </row>
    <row r="17" spans="1:4" ht="18" customHeight="1">
      <c r="A17" s="12" t="s">
        <v>1255</v>
      </c>
    </row>
    <row r="18" spans="1:4">
      <c r="A18" s="5" t="s">
        <v>1254</v>
      </c>
      <c r="B18" s="5" t="s">
        <v>305</v>
      </c>
      <c r="C18" s="5" t="s">
        <v>311</v>
      </c>
      <c r="D18" s="13" t="s">
        <v>307</v>
      </c>
    </row>
    <row r="19" spans="1:4">
      <c r="A19" s="14">
        <v>1</v>
      </c>
      <c r="B19" s="31">
        <f>INDEX(tblDaily[Date],MATCH(D19,tblDaily[Trips 2015],0))</f>
        <v>42031.0</v>
      </c>
      <c r="C19" s="14" t="str">
        <f>CHOOSE(WEEKDAY(B19,2),"Mon","Tue","Wed","Thu","Fri","Sat","Sun")</f>
        <v>Tue</v>
      </c>
      <c r="D19" s="15">
        <f>SMALL(tblDaily[Trips 2015],A19)</f>
        <v>25954</v>
      </c>
    </row>
    <row r="20" spans="1:4">
      <c r="A20" s="14">
        <v>2</v>
      </c>
      <c r="B20" s="31">
        <f>INDEX(tblDaily[Date],MATCH(D20,tblDaily[Trips 2015],0))</f>
        <v>42006.0</v>
      </c>
      <c r="C20" s="14" t="str">
        <f>CHOOSE(WEEKDAY(B20,2),"Mon","Tue","Wed","Thu","Fri","Sat","Sun")</f>
        <v>Fri</v>
      </c>
      <c r="D20" s="15">
        <f>SMALL(tblDaily[Trips 2015],A20)</f>
        <v>40287</v>
      </c>
    </row>
    <row r="21" spans="1:4">
      <c r="A21" s="14">
        <v>3</v>
      </c>
      <c r="B21" s="31">
        <f>INDEX(tblDaily[Date],MATCH(D21,tblDaily[Trips 2015],0))</f>
        <v>42008.0</v>
      </c>
      <c r="C21" s="14" t="str">
        <f>CHOOSE(WEEKDAY(B21,2),"Mon","Tue","Wed","Thu","Fri","Sat","Sun")</f>
        <v>Sun</v>
      </c>
      <c r="D21" s="15">
        <f>SMALL(tblDaily[Trips 2015],A21)</f>
        <v>41943</v>
      </c>
    </row>
    <row r="22" spans="1:4">
      <c r="A22" s="14">
        <v>4</v>
      </c>
      <c r="B22" s="31">
        <f>INDEX(tblDaily[Date],MATCH(D22,tblDaily[Trips 2015],0))</f>
        <v>42009.0</v>
      </c>
      <c r="C22" s="14" t="str">
        <f>CHOOSE(WEEKDAY(B22,2),"Mon","Tue","Wed","Thu","Fri","Sat","Sun")</f>
        <v>Mon</v>
      </c>
      <c r="D22" s="15">
        <f>SMALL(tblDaily[Trips 2015],A22)</f>
        <v>43678</v>
      </c>
    </row>
    <row r="23" spans="1:4">
      <c r="A23" s="14">
        <v>5</v>
      </c>
      <c r="B23" s="31">
        <f>INDEX(tblDaily[Date],MATCH(D23,tblDaily[Trips 2015],0))</f>
        <v>42030.0</v>
      </c>
      <c r="C23" s="14" t="str">
        <f>CHOOSE(WEEKDAY(B23,2),"Mon","Tue","Wed","Thu","Fri","Sat","Sun")</f>
        <v>Mon</v>
      </c>
      <c r="D23" s="15">
        <f>SMALL(tblDaily[Trips 2015],A23)</f>
        <v>44310</v>
      </c>
    </row>
    <row r="25" spans="1:4" ht="18" customHeight="1">
      <c r="A25" s="12" t="s">
        <v>1256</v>
      </c>
    </row>
    <row r="26" spans="1:4">
      <c r="A26" s="14" t="s">
        <v>1257</v>
      </c>
      <c r="B26" s="14"/>
      <c r="C26" s="14"/>
      <c r="D26" s="15">
        <f>_xlfn.PERCENTILE.INC(tblDaily[Trips 2015],0.1)</f>
        <v>59748</v>
      </c>
    </row>
    <row r="27" spans="1:4">
      <c r="A27" s="14" t="s">
        <v>1258</v>
      </c>
      <c r="B27" s="14"/>
      <c r="C27" s="14"/>
      <c r="D27" s="15">
        <f>_xlfn.PERCENTILE.INC(tblDaily[Trips 2015],0.5)</f>
        <v>78343</v>
      </c>
    </row>
    <row r="28" spans="1:4">
      <c r="A28" s="14" t="s">
        <v>1259</v>
      </c>
      <c r="B28" s="14"/>
      <c r="C28" s="14"/>
      <c r="D28" s="15">
        <f>_xlfn.PERCENTILE.INC(tblDaily[Trips 2015],0.9)</f>
        <v>99756</v>
      </c>
    </row>
  </sheetData>
  <mergeCells count="3">
    <mergeCell ref="A26:C26"/>
    <mergeCell ref="A27:C27"/>
    <mergeCell ref="A28:C28"/>
  </mergeCells>
  <conditionalFormatting sqref="K6:K14">
    <cfRule type="cellIs" dxfId="0" priority="1" operator="lessThan">
      <formula>0</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A78D6"/>
  </sheetPr>
  <dimension ref="A1:V270"/>
  <sheetViews>
    <sheetView showGridLines="0" zoomScale="90" zoomScaleNormal="90" workbookViewId="0"/>
  </sheetViews>
  <sheetFormatPr defaultRowHeight="15" x14ac:dyDescent="0.25"/>
  <cols>
    <col min="1" max="1" width="15.7109375" customWidth="1"/>
    <col min="2" max="9" width="12.7109375" customWidth="1"/>
    <col min="10" max="10" width="2.7109375" customWidth="1"/>
    <col min="11" max="11" width="6.7109375" customWidth="1"/>
    <col min="12" max="12" width="38.7109375" customWidth="1"/>
    <col min="13" max="16" width="11.7109375" customWidth="1"/>
    <col min="17" max="17" width="2.7109375" customWidth="1"/>
    <col min="18" max="18" width="6.7109375" customWidth="1"/>
    <col min="19" max="19" width="32.7109375" customWidth="1"/>
    <col min="20" max="22" width="11.7109375" customWidth="1"/>
  </cols>
  <sheetData>
    <row r="1" spans="1:22" ht="27" customHeight="1" x14ac:dyDescent="0.25">
      <c r="A1" s="1" t="s">
        <v>1264</v>
      </c>
    </row>
    <row r="2" spans="1:22" x14ac:dyDescent="0.25">
      <c r="A2" s="20" t="s">
        <v>1265</v>
      </c>
    </row>
    <row r="4" spans="1:22" ht="18" customHeight="1" x14ac:dyDescent="0.25">
      <c r="K4" s="12" t="s">
        <v>1283</v>
      </c>
      <c r="R4" s="12" t="s">
        <v>1286</v>
      </c>
    </row>
    <row r="5" spans="1:22" x14ac:dyDescent="0.25">
      <c r="A5" s="5" t="s">
        <v>1266</v>
      </c>
      <c r="B5" s="13" t="s">
        <v>307</v>
      </c>
      <c r="C5" s="13" t="s">
        <v>1267</v>
      </c>
      <c r="D5" s="13" t="s">
        <v>1268</v>
      </c>
      <c r="E5" s="13" t="s">
        <v>1269</v>
      </c>
      <c r="F5" s="13" t="s">
        <v>1270</v>
      </c>
      <c r="G5" s="13" t="s">
        <v>1271</v>
      </c>
      <c r="H5" s="13" t="s">
        <v>1272</v>
      </c>
      <c r="I5" s="13" t="s">
        <v>1273</v>
      </c>
      <c r="K5" s="5" t="s">
        <v>1284</v>
      </c>
      <c r="L5" s="5" t="s">
        <v>20</v>
      </c>
      <c r="M5" s="5" t="s">
        <v>19</v>
      </c>
      <c r="N5" s="13" t="s">
        <v>307</v>
      </c>
      <c r="O5" s="13" t="s">
        <v>1254</v>
      </c>
      <c r="P5" s="13" t="s">
        <v>1285</v>
      </c>
      <c r="R5" s="5" t="s">
        <v>1254</v>
      </c>
      <c r="S5" s="5" t="s">
        <v>20</v>
      </c>
      <c r="T5" s="5" t="s">
        <v>19</v>
      </c>
      <c r="U5" s="13" t="s">
        <v>307</v>
      </c>
      <c r="V5" s="13" t="s">
        <v>1267</v>
      </c>
    </row>
    <row r="6" spans="1:22" x14ac:dyDescent="0.25">
      <c r="A6" s="14" t="s">
        <v>27</v>
      </c>
      <c r="B6" s="15">
        <f>SUMIFS(tblZoneMonthly[Trips],tblZoneMonthly[Service Area],A6)</f>
        <v>10371060</v>
      </c>
      <c r="C6" s="18">
        <f>B6/SUM($B$6:$B$12)</f>
        <v>0.726749256279344</v>
      </c>
      <c r="D6" s="18">
        <f>IF(A6="Unknown","",B6/(SUM($B$6:$B$12)-$B$12))</f>
        <v>0.727068401590974</v>
      </c>
      <c r="E6" s="17">
        <f>SUMIFS(tblZoneMonthly[Trips],tblZoneMonthly[Service Area],A6,tblZoneMonthly[Month],DATE(2015,1,1))/COUNTIFS(tblDaily[Date],"&gt;="&amp;DATE(2015,1,1),tblDaily[Date],"&lt;"&amp;EDATE(DATE(2015,1,1),1))</f>
        <v>47092.7419354839</v>
      </c>
      <c r="F6" s="17">
        <f>SUMIFS(tblZoneMonthly[Trips],tblZoneMonthly[Service Area],A6,tblZoneMonthly[Month],DATE(2015,6,1))/COUNTIFS(tblDaily[Date],"&gt;="&amp;DATE(2015,6,1),tblDaily[Date],"&lt;"&amp;EDATE(DATE(2015,6,1),1))</f>
        <v>66531.2666666667</v>
      </c>
      <c r="G6" s="22">
        <f>F6/E6-1</f>
        <v>0.412771139081542</v>
      </c>
      <c r="H6" s="22">
        <f>IF(A6="Unknown","",SUMIFS(tblZoneMonthly[Trips],tblZoneMonthly[Service Area],A6,tblZoneMonthly[Month],DATE(2015,1,1))/(SUMIFS(tblZoneMonthly[Trips],tblZoneMonthly[Month],DATE(2015,1,1))-SUMIFS(tblZoneMonthly[Trips],tblZoneMonthly[Service Area],"Unknown",tblZoneMonthly[Month],DATE(2015,1,1))))</f>
        <v>0.747485086139672</v>
      </c>
      <c r="I6" s="22">
        <f>IF(A6="Unknown","",SUMIFS(tblZoneMonthly[Trips],tblZoneMonthly[Service Area],A6,tblZoneMonthly[Month],DATE(2015,6,1))/(SUMIFS(tblZoneMonthly[Trips],tblZoneMonthly[Month],DATE(2015,6,1))-SUMIFS(tblZoneMonthly[Trips],tblZoneMonthly[Service Area],"Unknown",tblZoneMonthly[Month],DATE(2015,6,1))))</f>
        <v>0.708931068519464</v>
      </c>
      <c r="K6" s="14">
        <v>1</v>
      </c>
      <c r="L6" s="14" t="str">
        <f>VLOOKUP(K6,ZoneTable,3,FALSE)</f>
        <v>Newark Airport</v>
      </c>
      <c r="M6" s="14" t="str">
        <f>VLOOKUP(K6,ZoneTable,2,FALSE)</f>
        <v>EWR</v>
      </c>
      <c r="N6" s="15">
        <f>SUMIFS(tblZoneMonthly[Trips],tblZoneMonthly[Location ID],K6)</f>
        <v>105</v>
      </c>
      <c r="O6" s="15">
        <f>_xlfn.RANK.EQ(N6,$N$6:$N$270,0)</f>
        <v>252</v>
      </c>
      <c r="P6" s="22">
        <f>SUMIFS($N$6:$N$270,$O$6:$O$270,"&lt;="&amp;1)/SUM($N$6:$N$270)</f>
        <v>0.0322856717002982</v>
      </c>
      <c r="R6" s="14">
        <v>1</v>
      </c>
      <c r="S6" s="14" t="str">
        <f>INDEX($L$6:$L$270,MATCH(R6,$O$6:$O$270,0))</f>
        <v>Midtown Center</v>
      </c>
      <c r="T6" s="14" t="str">
        <f>INDEX($M$6:$M$270,MATCH(R6,$O$6:$O$270,0))</f>
        <v>Manhattan</v>
      </c>
      <c r="U6" s="15">
        <f>INDEX($N$6:$N$270,MATCH(R6,$O$6:$O$270,0))</f>
        <v>460732</v>
      </c>
      <c r="V6" s="22">
        <f>U6/SUM($N$6:$N$270)</f>
        <v>0.0322856717002982</v>
      </c>
    </row>
    <row r="7" spans="1:22" x14ac:dyDescent="0.25">
      <c r="A7" s="14" t="s">
        <v>36</v>
      </c>
      <c r="B7" s="15">
        <f>SUMIFS(tblZoneMonthly[Trips],tblZoneMonthly[Service Area],A7)</f>
        <v>2322000</v>
      </c>
      <c r="C7" s="18">
        <f>B7/SUM($B$6:$B$12)</f>
        <v>0.162713529097377</v>
      </c>
      <c r="D7" s="18">
        <f>IF(A7="Unknown","",B7/(SUM($B$6:$B$12)-$B$12))</f>
        <v>0.162784983260558</v>
      </c>
      <c r="E7" s="17">
        <f>SUMIFS(tblZoneMonthly[Trips],tblZoneMonthly[Service Area],A7,tblZoneMonthly[Month],DATE(2015,1,1))/COUNTIFS(tblDaily[Date],"&gt;="&amp;DATE(2015,1,1),tblDaily[Date],"&lt;"&amp;EDATE(DATE(2015,1,1),1))</f>
        <v>10007.5483870968</v>
      </c>
      <c r="F7" s="17">
        <f>SUMIFS(tblZoneMonthly[Trips],tblZoneMonthly[Service Area],A7,tblZoneMonthly[Month],DATE(2015,6,1))/COUNTIFS(tblDaily[Date],"&gt;="&amp;DATE(2015,6,1),tblDaily[Date],"&lt;"&amp;EDATE(DATE(2015,6,1),1))</f>
        <v>16084.5666666667</v>
      </c>
      <c r="G7" s="22">
        <f>F7/E7-1</f>
        <v>0.60724345708938</v>
      </c>
      <c r="H7" s="22">
        <f>IF(A7="Unknown","",SUMIFS(tblZoneMonthly[Trips],tblZoneMonthly[Service Area],A7,tblZoneMonthly[Month],DATE(2015,1,1))/(SUMIFS(tblZoneMonthly[Trips],tblZoneMonthly[Month],DATE(2015,1,1))-SUMIFS(tblZoneMonthly[Trips],tblZoneMonthly[Service Area],"Unknown",tblZoneMonthly[Month],DATE(2015,1,1))))</f>
        <v>0.158845989015125</v>
      </c>
      <c r="I7" s="22">
        <f>IF(A7="Unknown","",SUMIFS(tblZoneMonthly[Trips],tblZoneMonthly[Service Area],A7,tblZoneMonthly[Month],DATE(2015,6,1))/(SUMIFS(tblZoneMonthly[Trips],tblZoneMonthly[Month],DATE(2015,6,1))-SUMIFS(tblZoneMonthly[Trips],tblZoneMonthly[Service Area],"Unknown",tblZoneMonthly[Month],DATE(2015,6,1))))</f>
        <v>0.17139083028139</v>
      </c>
      <c r="K7" s="14">
        <v>2</v>
      </c>
      <c r="L7" s="14" t="str">
        <f>VLOOKUP(K7,ZoneTable,3,FALSE)</f>
        <v>Jamaica Bay</v>
      </c>
      <c r="M7" s="14" t="str">
        <f>VLOOKUP(K7,ZoneTable,2,FALSE)</f>
        <v>Queens</v>
      </c>
      <c r="N7" s="15">
        <f>SUMIFS(tblZoneMonthly[Trips],tblZoneMonthly[Location ID],K7)</f>
        <v>8</v>
      </c>
      <c r="O7" s="15">
        <f>_xlfn.RANK.EQ(N7,$N$6:$N$270,0)+COUNTIF($N$6:N6,N7)</f>
        <v>260</v>
      </c>
      <c r="P7" s="22">
        <f>SUMIFS($N$6:$N$270,$O$6:$O$270,"&lt;="&amp;2)/SUM($N$6:$N$270)</f>
        <v>0.0617420059971358</v>
      </c>
      <c r="R7" s="14">
        <v>2</v>
      </c>
      <c r="S7" s="14" t="str">
        <f>INDEX($L$6:$L$270,MATCH(R7,$O$6:$O$270,0))</f>
        <v>TriBeCa/Civic Center</v>
      </c>
      <c r="T7" s="14" t="str">
        <f>INDEX($M$6:$M$270,MATCH(R7,$O$6:$O$270,0))</f>
        <v>Manhattan</v>
      </c>
      <c r="U7" s="15">
        <f>INDEX($N$6:$N$270,MATCH(R7,$O$6:$O$270,0))</f>
        <v>420356</v>
      </c>
      <c r="V7" s="22">
        <f>U7/SUM($N$6:$N$270)</f>
        <v>0.0294563342968376</v>
      </c>
    </row>
    <row r="8" spans="1:22" x14ac:dyDescent="0.25">
      <c r="A8" s="14" t="s">
        <v>23</v>
      </c>
      <c r="B8" s="15">
        <f>SUMIFS(tblZoneMonthly[Trips],tblZoneMonthly[Service Area],A8)</f>
        <v>788657</v>
      </c>
      <c r="C8" s="18">
        <f>B8/SUM($B$6:$B$12)</f>
        <v>0.0552649283881781</v>
      </c>
      <c r="D8" s="18">
        <f>IF(A8="Unknown","",B8/(SUM($B$6:$B$12)-$B$12))</f>
        <v>0.0552891974777441</v>
      </c>
      <c r="E8" s="17">
        <f>SUMIFS(tblZoneMonthly[Trips],tblZoneMonthly[Service Area],A8,tblZoneMonthly[Month],DATE(2015,1,1))/COUNTIFS(tblDaily[Date],"&gt;="&amp;DATE(2015,1,1),tblDaily[Date],"&lt;"&amp;EDATE(DATE(2015,1,1),1))</f>
        <v>2921.54838709677</v>
      </c>
      <c r="F8" s="17">
        <f>SUMIFS(tblZoneMonthly[Trips],tblZoneMonthly[Service Area],A8,tblZoneMonthly[Month],DATE(2015,6,1))/COUNTIFS(tblDaily[Date],"&gt;="&amp;DATE(2015,6,1),tblDaily[Date],"&lt;"&amp;EDATE(DATE(2015,6,1),1))</f>
        <v>5698.36666666667</v>
      </c>
      <c r="G8" s="22">
        <f>F8/E8-1</f>
        <v>0.950461163619233</v>
      </c>
      <c r="H8" s="22">
        <f>IF(A8="Unknown","",SUMIFS(tblZoneMonthly[Trips],tblZoneMonthly[Service Area],A8,tblZoneMonthly[Month],DATE(2015,1,1))/(SUMIFS(tblZoneMonthly[Trips],tblZoneMonthly[Month],DATE(2015,1,1))-SUMIFS(tblZoneMonthly[Trips],tblZoneMonthly[Service Area],"Unknown",tblZoneMonthly[Month],DATE(2015,1,1))))</f>
        <v>0.046372620451407</v>
      </c>
      <c r="I8" s="22">
        <f>IF(A8="Unknown","",SUMIFS(tblZoneMonthly[Trips],tblZoneMonthly[Service Area],A8,tblZoneMonthly[Month],DATE(2015,6,1))/(SUMIFS(tblZoneMonthly[Trips],tblZoneMonthly[Month],DATE(2015,6,1))-SUMIFS(tblZoneMonthly[Trips],tblZoneMonthly[Service Area],"Unknown",tblZoneMonthly[Month],DATE(2015,6,1))))</f>
        <v>0.0607195589715066</v>
      </c>
      <c r="K8" s="14">
        <v>3</v>
      </c>
      <c r="L8" s="14" t="str">
        <f>VLOOKUP(K8,ZoneTable,3,FALSE)</f>
        <v>Allerton/Pelham Gardens</v>
      </c>
      <c r="M8" s="14" t="str">
        <f>VLOOKUP(K8,ZoneTable,2,FALSE)</f>
        <v>Bronx</v>
      </c>
      <c r="N8" s="15">
        <f>SUMIFS(tblZoneMonthly[Trips],tblZoneMonthly[Location ID],K8)</f>
        <v>3684</v>
      </c>
      <c r="O8" s="15">
        <f>_xlfn.RANK.EQ(N8,$N$6:$N$270,0)+COUNTIF($N$6:N7,N8)</f>
        <v>191</v>
      </c>
      <c r="P8" s="22">
        <f>SUMIFS($N$6:$N$270,$O$6:$O$270,"&lt;="&amp;3)/SUM($N$6:$N$270)</f>
        <v>0.0911064723195346</v>
      </c>
      <c r="R8" s="14">
        <v>3</v>
      </c>
      <c r="S8" s="14" t="str">
        <f>INDEX($L$6:$L$270,MATCH(R8,$O$6:$O$270,0))</f>
        <v>Union Sq</v>
      </c>
      <c r="T8" s="14" t="str">
        <f>INDEX($M$6:$M$270,MATCH(R8,$O$6:$O$270,0))</f>
        <v>Manhattan</v>
      </c>
      <c r="U8" s="15">
        <f>INDEX($N$6:$N$270,MATCH(R8,$O$6:$O$270,0))</f>
        <v>419045</v>
      </c>
      <c r="V8" s="22">
        <f>U8/SUM($N$6:$N$270)</f>
        <v>0.0293644663223989</v>
      </c>
    </row>
    <row r="9" spans="1:22" x14ac:dyDescent="0.25">
      <c r="A9" s="14" t="s">
        <v>319</v>
      </c>
      <c r="B9" s="15">
        <f>SUMIFS(tblZoneMonthly[Trips],tblZoneMonthly[Service Area],A9)</f>
        <v>555393</v>
      </c>
      <c r="C9" s="18">
        <f>B9/SUM($B$6:$B$12)</f>
        <v>0.038919015962954</v>
      </c>
      <c r="D9" s="18">
        <f>IF(A9="Unknown","",B9/(SUM($B$6:$B$12)-$B$12))</f>
        <v>0.0389361068940702</v>
      </c>
      <c r="E9" s="17">
        <f>SUMIFS(tblZoneMonthly[Trips],tblZoneMonthly[Service Area],A9,tblZoneMonthly[Month],DATE(2015,1,1))/COUNTIFS(tblDaily[Date],"&gt;="&amp;DATE(2015,1,1),tblDaily[Date],"&lt;"&amp;EDATE(DATE(2015,1,1),1))</f>
        <v>2225.45161290323</v>
      </c>
      <c r="F9" s="17">
        <f>SUMIFS(tblZoneMonthly[Trips],tblZoneMonthly[Service Area],A9,tblZoneMonthly[Month],DATE(2015,6,1))/COUNTIFS(tblDaily[Date],"&gt;="&amp;DATE(2015,6,1),tblDaily[Date],"&lt;"&amp;EDATE(DATE(2015,6,1),1))</f>
        <v>3843.86666666667</v>
      </c>
      <c r="G9" s="22">
        <f>F9/E9-1</f>
        <v>0.727229944870438</v>
      </c>
      <c r="H9" s="22">
        <f>IF(A9="Unknown","",SUMIFS(tblZoneMonthly[Trips],tblZoneMonthly[Service Area],A9,tblZoneMonthly[Month],DATE(2015,1,1))/(SUMIFS(tblZoneMonthly[Trips],tblZoneMonthly[Month],DATE(2015,1,1))-SUMIFS(tblZoneMonthly[Trips],tblZoneMonthly[Service Area],"Unknown",tblZoneMonthly[Month],DATE(2015,1,1))))</f>
        <v>0.0353237425174688</v>
      </c>
      <c r="I9" s="22">
        <f>IF(A9="Unknown","",SUMIFS(tblZoneMonthly[Trips],tblZoneMonthly[Service Area],A9,tblZoneMonthly[Month],DATE(2015,6,1))/(SUMIFS(tblZoneMonthly[Trips],tblZoneMonthly[Month],DATE(2015,6,1))-SUMIFS(tblZoneMonthly[Trips],tblZoneMonthly[Service Area],"Unknown",tblZoneMonthly[Month],DATE(2015,6,1))))</f>
        <v>0.04095873473895</v>
      </c>
      <c r="K9" s="14">
        <v>4</v>
      </c>
      <c r="L9" s="14" t="str">
        <f>VLOOKUP(K9,ZoneTable,3,FALSE)</f>
        <v>Alphabet City</v>
      </c>
      <c r="M9" s="14" t="str">
        <f>VLOOKUP(K9,ZoneTable,2,FALSE)</f>
        <v>Manhattan</v>
      </c>
      <c r="N9" s="15">
        <f>SUMIFS(tblZoneMonthly[Trips],tblZoneMonthly[Location ID],K9)</f>
        <v>89319</v>
      </c>
      <c r="O9" s="15">
        <f>_xlfn.RANK.EQ(N9,$N$6:$N$270,0)+COUNTIF($N$6:N8,N9)</f>
        <v>52</v>
      </c>
      <c r="P9" s="22">
        <f>SUMIFS($N$6:$N$270,$O$6:$O$270,"&lt;="&amp;4)/SUM($N$6:$N$270)</f>
        <v>0.119668302654732</v>
      </c>
      <c r="R9" s="14">
        <v>4</v>
      </c>
      <c r="S9" s="14" t="str">
        <f>INDEX($L$6:$L$270,MATCH(R9,$O$6:$O$270,0))</f>
        <v>East Village</v>
      </c>
      <c r="T9" s="14" t="str">
        <f>INDEX($M$6:$M$270,MATCH(R9,$O$6:$O$270,0))</f>
        <v>Manhattan</v>
      </c>
      <c r="U9" s="15">
        <f>INDEX($N$6:$N$270,MATCH(R9,$O$6:$O$270,0))</f>
        <v>407591</v>
      </c>
      <c r="V9" s="22">
        <f>U9/SUM($N$6:$N$270)</f>
        <v>0.0285618303351976</v>
      </c>
    </row>
    <row r="10" spans="1:22" x14ac:dyDescent="0.25">
      <c r="A10" s="14" t="s">
        <v>25</v>
      </c>
      <c r="B10" s="15">
        <f>SUMIFS(tblZoneMonthly[Trips],tblZoneMonthly[Service Area],A10)</f>
        <v>220146</v>
      </c>
      <c r="C10" s="18">
        <f>B10/SUM($B$6:$B$12)</f>
        <v>0.0154266720829763</v>
      </c>
      <c r="D10" s="18">
        <f>IF(A10="Unknown","",B10/(SUM($B$6:$B$12)-$B$12))</f>
        <v>0.0154334465654086</v>
      </c>
      <c r="E10" s="17">
        <f>SUMIFS(tblZoneMonthly[Trips],tblZoneMonthly[Service Area],A10,tblZoneMonthly[Month],DATE(2015,1,1))/COUNTIFS(tblDaily[Date],"&gt;="&amp;DATE(2015,1,1),tblDaily[Date],"&lt;"&amp;EDATE(DATE(2015,1,1),1))</f>
        <v>727.741935483871</v>
      </c>
      <c r="F10" s="17">
        <f>SUMIFS(tblZoneMonthly[Trips],tblZoneMonthly[Service Area],A10,tblZoneMonthly[Month],DATE(2015,6,1))/COUNTIFS(tblDaily[Date],"&gt;="&amp;DATE(2015,6,1),tblDaily[Date],"&lt;"&amp;EDATE(DATE(2015,6,1),1))</f>
        <v>1633.43333333333</v>
      </c>
      <c r="G10" s="22">
        <f>F10/E10-1</f>
        <v>1.24452275413712</v>
      </c>
      <c r="H10" s="22">
        <f>IF(A10="Unknown","",SUMIFS(tblZoneMonthly[Trips],tblZoneMonthly[Service Area],A10,tblZoneMonthly[Month],DATE(2015,1,1))/(SUMIFS(tblZoneMonthly[Trips],tblZoneMonthly[Month],DATE(2015,1,1))-SUMIFS(tblZoneMonthly[Trips],tblZoneMonthly[Service Area],"Unknown",tblZoneMonthly[Month],DATE(2015,1,1))))</f>
        <v>0.0115511694791068</v>
      </c>
      <c r="I10" s="22">
        <f>IF(A10="Unknown","",SUMIFS(tblZoneMonthly[Trips],tblZoneMonthly[Service Area],A10,tblZoneMonthly[Month],DATE(2015,6,1))/(SUMIFS(tblZoneMonthly[Trips],tblZoneMonthly[Month],DATE(2015,6,1))-SUMIFS(tblZoneMonthly[Trips],tblZoneMonthly[Service Area],"Unknown",tblZoneMonthly[Month],DATE(2015,6,1))))</f>
        <v>0.0174052245864648</v>
      </c>
      <c r="K10" s="14">
        <v>5</v>
      </c>
      <c r="L10" s="14" t="str">
        <f>VLOOKUP(K10,ZoneTable,3,FALSE)</f>
        <v>Arden Heights</v>
      </c>
      <c r="M10" s="14" t="str">
        <f>VLOOKUP(K10,ZoneTable,2,FALSE)</f>
        <v>Staten Island</v>
      </c>
      <c r="N10" s="15">
        <f>SUMIFS(tblZoneMonthly[Trips],tblZoneMonthly[Location ID],K10)</f>
        <v>26</v>
      </c>
      <c r="O10" s="15">
        <f>_xlfn.RANK.EQ(N10,$N$6:$N$270,0)+COUNTIF($N$6:N9,N10)</f>
        <v>256</v>
      </c>
      <c r="P10" s="22">
        <f>SUMIFS($N$6:$N$270,$O$6:$O$270,"&lt;="&amp;5)/SUM($N$6:$N$270)</f>
        <v>0.142371745195098</v>
      </c>
      <c r="R10" s="14">
        <v>5</v>
      </c>
      <c r="S10" s="14" t="str">
        <f>INDEX($L$6:$L$270,MATCH(R10,$O$6:$O$270,0))</f>
        <v>West Village</v>
      </c>
      <c r="T10" s="14" t="str">
        <f>INDEX($M$6:$M$270,MATCH(R10,$O$6:$O$270,0))</f>
        <v>Manhattan</v>
      </c>
      <c r="U10" s="15">
        <f>INDEX($N$6:$N$270,MATCH(R10,$O$6:$O$270,0))</f>
        <v>323989</v>
      </c>
      <c r="V10" s="22">
        <f>U10/SUM($N$6:$N$270)</f>
        <v>0.022703442540366</v>
      </c>
    </row>
    <row r="11" spans="1:22" x14ac:dyDescent="0.25">
      <c r="A11" s="14" t="s">
        <v>29</v>
      </c>
      <c r="B11" s="15">
        <f>SUMIFS(tblZoneMonthly[Trips],tblZoneMonthly[Service Area],A11)</f>
        <v>6959</v>
      </c>
      <c r="C11" s="18">
        <f>B11/SUM($B$6:$B$12)</f>
        <v>0.000487650064163929</v>
      </c>
      <c r="D11" s="18">
        <f>IF(A11="Unknown","",B11/(SUM($B$6:$B$12)-$B$12))</f>
        <v>0.000487864211244713</v>
      </c>
      <c r="E11" s="17">
        <f>SUMIFS(tblZoneMonthly[Trips],tblZoneMonthly[Service Area],A11,tblZoneMonthly[Month],DATE(2015,1,1))/COUNTIFS(tblDaily[Date],"&gt;="&amp;DATE(2015,1,1),tblDaily[Date],"&lt;"&amp;EDATE(DATE(2015,1,1),1))</f>
        <v>26.5483870967742</v>
      </c>
      <c r="F11" s="17">
        <f>SUMIFS(tblZoneMonthly[Trips],tblZoneMonthly[Service Area],A11,tblZoneMonthly[Month],DATE(2015,6,1))/COUNTIFS(tblDaily[Date],"&gt;="&amp;DATE(2015,6,1),tblDaily[Date],"&lt;"&amp;EDATE(DATE(2015,6,1),1))</f>
        <v>55.8</v>
      </c>
      <c r="G11" s="22">
        <f>F11/E11-1</f>
        <v>1.10182260024301</v>
      </c>
      <c r="H11" s="22">
        <f>IF(A11="Unknown","",SUMIFS(tblZoneMonthly[Trips],tblZoneMonthly[Service Area],A11,tblZoneMonthly[Month],DATE(2015,1,1))/(SUMIFS(tblZoneMonthly[Trips],tblZoneMonthly[Month],DATE(2015,1,1))-SUMIFS(tblZoneMonthly[Trips],tblZoneMonthly[Service Area],"Unknown",tblZoneMonthly[Month],DATE(2015,1,1))))</f>
        <v>0.000421392397220961</v>
      </c>
      <c r="I11" s="22">
        <f>IF(A11="Unknown","",SUMIFS(tblZoneMonthly[Trips],tblZoneMonthly[Service Area],A11,tblZoneMonthly[Month],DATE(2015,6,1))/(SUMIFS(tblZoneMonthly[Trips],tblZoneMonthly[Month],DATE(2015,6,1))-SUMIFS(tblZoneMonthly[Trips],tblZoneMonthly[Service Area],"Unknown",tblZoneMonthly[Month],DATE(2015,6,1))))</f>
        <v>0.000594582902225211</v>
      </c>
      <c r="K11" s="14">
        <v>6</v>
      </c>
      <c r="L11" s="14" t="str">
        <f>VLOOKUP(K11,ZoneTable,3,FALSE)</f>
        <v>Arrochar/Fort Wadsworth</v>
      </c>
      <c r="M11" s="14" t="str">
        <f>VLOOKUP(K11,ZoneTable,2,FALSE)</f>
        <v>Staten Island</v>
      </c>
      <c r="N11" s="15">
        <f>SUMIFS(tblZoneMonthly[Trips],tblZoneMonthly[Location ID],K11)</f>
        <v>662</v>
      </c>
      <c r="O11" s="15">
        <f>_xlfn.RANK.EQ(N11,$N$6:$N$270,0)+COUNTIF($N$6:N10,N11)</f>
        <v>230</v>
      </c>
      <c r="P11" s="22">
        <f>SUMIFS($N$6:$N$270,$O$6:$O$270,"&lt;="&amp;6)/SUM($N$6:$N$270)</f>
        <v>0.164509684643382</v>
      </c>
      <c r="R11" s="14">
        <v>6</v>
      </c>
      <c r="S11" s="14" t="str">
        <f>INDEX($L$6:$L$270,MATCH(R11,$O$6:$O$270,0))</f>
        <v>Times Sq/Theatre District</v>
      </c>
      <c r="T11" s="14" t="str">
        <f>INDEX($M$6:$M$270,MATCH(R11,$O$6:$O$270,0))</f>
        <v>Manhattan</v>
      </c>
      <c r="U11" s="15">
        <f>INDEX($N$6:$N$270,MATCH(R11,$O$6:$O$270,0))</f>
        <v>315919</v>
      </c>
      <c r="V11" s="22">
        <f>U11/SUM($N$6:$N$270)</f>
        <v>0.0221379394482834</v>
      </c>
    </row>
    <row r="12" spans="1:22" x14ac:dyDescent="0.25">
      <c r="A12" s="14" t="s">
        <v>287</v>
      </c>
      <c r="B12" s="15">
        <f>SUMIFS(tblZoneMonthly[Trips],tblZoneMonthly[Service Area],A12)</f>
        <v>6264</v>
      </c>
      <c r="C12" s="18">
        <f>B12/SUM($B$6:$B$12)</f>
        <v>0.000438948125006876</v>
      </c>
      <c r="D12" s="18">
        <f>IF(A12="Unknown","",B12/(SUM($B$6:$B$12)-$B$12))</f>
        <v/>
      </c>
      <c r="E12" s="17">
        <f>SUMIFS(tblZoneMonthly[Trips],tblZoneMonthly[Service Area],A12,tblZoneMonthly[Month],DATE(2015,1,1))/COUNTIFS(tblDaily[Date],"&gt;="&amp;DATE(2015,1,1),tblDaily[Date],"&lt;"&amp;EDATE(DATE(2015,1,1),1))</f>
        <v>24.258064516129</v>
      </c>
      <c r="F12" s="17">
        <f>SUMIFS(tblZoneMonthly[Trips],tblZoneMonthly[Service Area],A12,tblZoneMonthly[Month],DATE(2015,6,1))/COUNTIFS(tblDaily[Date],"&gt;="&amp;DATE(2015,6,1),tblDaily[Date],"&lt;"&amp;EDATE(DATE(2015,6,1),1))</f>
        <v>49.2</v>
      </c>
      <c r="G12" s="22">
        <f>F12/E12-1</f>
        <v>1.0281914893617</v>
      </c>
      <c r="H12" s="22">
        <f>IF(A12="Unknown","",SUMIFS(tblZoneMonthly[Trips],tblZoneMonthly[Service Area],A12,tblZoneMonthly[Month],DATE(2015,1,1))/(SUMIFS(tblZoneMonthly[Trips],tblZoneMonthly[Month],DATE(2015,1,1))-SUMIFS(tblZoneMonthly[Trips],tblZoneMonthly[Service Area],"Unknown",tblZoneMonthly[Month],DATE(2015,1,1))))</f>
        <v/>
      </c>
      <c r="I12" s="22">
        <f>IF(A12="Unknown","",SUMIFS(tblZoneMonthly[Trips],tblZoneMonthly[Service Area],A12,tblZoneMonthly[Month],DATE(2015,6,1))/(SUMIFS(tblZoneMonthly[Trips],tblZoneMonthly[Month],DATE(2015,6,1))-SUMIFS(tblZoneMonthly[Trips],tblZoneMonthly[Service Area],"Unknown",tblZoneMonthly[Month],DATE(2015,6,1))))</f>
        <v/>
      </c>
      <c r="K12" s="14">
        <v>7</v>
      </c>
      <c r="L12" s="14" t="str">
        <f>VLOOKUP(K12,ZoneTable,3,FALSE)</f>
        <v>Astoria</v>
      </c>
      <c r="M12" s="14" t="str">
        <f>VLOOKUP(K12,ZoneTable,2,FALSE)</f>
        <v>Queens</v>
      </c>
      <c r="N12" s="15">
        <f>SUMIFS(tblZoneMonthly[Trips],tblZoneMonthly[Location ID],K12)</f>
        <v>90870</v>
      </c>
      <c r="O12" s="15">
        <f>_xlfn.RANK.EQ(N12,$N$6:$N$270,0)+COUNTIF($N$6:N11,N12)</f>
        <v>50</v>
      </c>
      <c r="P12" s="22">
        <f>SUMIFS($N$6:$N$270,$O$6:$O$270,"&lt;="&amp;7)/SUM($N$6:$N$270)</f>
        <v>0.185516758056965</v>
      </c>
      <c r="R12" s="14">
        <v>7</v>
      </c>
      <c r="S12" s="14" t="str">
        <f>INDEX($L$6:$L$270,MATCH(R12,$O$6:$O$270,0))</f>
        <v>East Chelsea</v>
      </c>
      <c r="T12" s="14" t="str">
        <f>INDEX($M$6:$M$270,MATCH(R12,$O$6:$O$270,0))</f>
        <v>Manhattan</v>
      </c>
      <c r="U12" s="15">
        <f>INDEX($N$6:$N$270,MATCH(R12,$O$6:$O$270,0))</f>
        <v>299781</v>
      </c>
      <c r="V12" s="22">
        <f>U12/SUM($N$6:$N$270)</f>
        <v>0.0210070734135834</v>
      </c>
    </row>
    <row r="13" spans="1:22" x14ac:dyDescent="0.25">
      <c r="K13" s="14">
        <v>8</v>
      </c>
      <c r="L13" s="14" t="str">
        <f>VLOOKUP(K13,ZoneTable,3,FALSE)</f>
        <v>Astoria Park</v>
      </c>
      <c r="M13" s="14" t="str">
        <f>VLOOKUP(K13,ZoneTable,2,FALSE)</f>
        <v>Queens</v>
      </c>
      <c r="N13" s="15">
        <f>SUMIFS(tblZoneMonthly[Trips],tblZoneMonthly[Location ID],K13)</f>
        <v>369</v>
      </c>
      <c r="O13" s="15">
        <f>_xlfn.RANK.EQ(N13,$N$6:$N$270,0)+COUNTIF($N$6:N12,N13)</f>
        <v>243</v>
      </c>
      <c r="P13" s="22">
        <f>SUMIFS($N$6:$N$270,$O$6:$O$270,"&lt;="&amp;8)/SUM($N$6:$N$270)</f>
        <v>0.206310313760316</v>
      </c>
      <c r="R13" s="14">
        <v>8</v>
      </c>
      <c r="S13" s="14" t="str">
        <f>INDEX($L$6:$L$270,MATCH(R13,$O$6:$O$270,0))</f>
        <v>Midtown North</v>
      </c>
      <c r="T13" s="14" t="str">
        <f>INDEX($M$6:$M$270,MATCH(R13,$O$6:$O$270,0))</f>
        <v>Manhattan</v>
      </c>
      <c r="U13" s="15">
        <f>INDEX($N$6:$N$270,MATCH(R13,$O$6:$O$270,0))</f>
        <v>296734</v>
      </c>
      <c r="V13" s="22">
        <f>U13/SUM($N$6:$N$270)</f>
        <v>0.020793555703351</v>
      </c>
    </row>
    <row r="14" spans="1:22" x14ac:dyDescent="0.25">
      <c r="K14" s="14">
        <v>9</v>
      </c>
      <c r="L14" s="14" t="str">
        <f>VLOOKUP(K14,ZoneTable,3,FALSE)</f>
        <v>Auburndale</v>
      </c>
      <c r="M14" s="14" t="str">
        <f>VLOOKUP(K14,ZoneTable,2,FALSE)</f>
        <v>Queens</v>
      </c>
      <c r="N14" s="15">
        <f>SUMIFS(tblZoneMonthly[Trips],tblZoneMonthly[Location ID],K14)</f>
        <v>3040</v>
      </c>
      <c r="O14" s="15">
        <f>_xlfn.RANK.EQ(N14,$N$6:$N$270,0)+COUNTIF($N$6:N13,N14)</f>
        <v>203</v>
      </c>
      <c r="P14" s="22">
        <f>SUMIFS($N$6:$N$270,$O$6:$O$270,"&lt;="&amp;9)/SUM($N$6:$N$270)</f>
        <v>0.226670527317268</v>
      </c>
      <c r="R14" s="14">
        <v>9</v>
      </c>
      <c r="S14" s="14" t="str">
        <f>INDEX($L$6:$L$270,MATCH(R14,$O$6:$O$270,0))</f>
        <v>Murray Hill</v>
      </c>
      <c r="T14" s="14" t="str">
        <f>INDEX($M$6:$M$270,MATCH(R14,$O$6:$O$270,0))</f>
        <v>Manhattan</v>
      </c>
      <c r="U14" s="15">
        <f>INDEX($N$6:$N$270,MATCH(R14,$O$6:$O$270,0))</f>
        <v>290550</v>
      </c>
      <c r="V14" s="22">
        <f>U14/SUM($N$6:$N$270)</f>
        <v>0.0203602135569521</v>
      </c>
    </row>
    <row r="15" spans="1:22" ht="18" customHeight="1" x14ac:dyDescent="0.25">
      <c r="A15" s="12" t="s">
        <v>1234</v>
      </c>
      <c r="K15" s="14">
        <v>10</v>
      </c>
      <c r="L15" s="14" t="str">
        <f>VLOOKUP(K15,ZoneTable,3,FALSE)</f>
        <v>Baisley Park</v>
      </c>
      <c r="M15" s="14" t="str">
        <f>VLOOKUP(K15,ZoneTable,2,FALSE)</f>
        <v>Queens</v>
      </c>
      <c r="N15" s="15">
        <f>SUMIFS(tblZoneMonthly[Trips],tblZoneMonthly[Location ID],K15)</f>
        <v>6812</v>
      </c>
      <c r="O15" s="15">
        <f>_xlfn.RANK.EQ(N15,$N$6:$N$270,0)+COUNTIF($N$6:N14,N15)</f>
        <v>152</v>
      </c>
      <c r="P15" s="22">
        <f>SUMIFS($N$6:$N$270,$O$6:$O$270,"&lt;="&amp;10)/SUM($N$6:$N$270)</f>
        <v>0.246933967668499</v>
      </c>
      <c r="R15" s="14">
        <v>10</v>
      </c>
      <c r="S15" s="14" t="str">
        <f>INDEX($L$6:$L$270,MATCH(R15,$O$6:$O$270,0))</f>
        <v>JFK Airport</v>
      </c>
      <c r="T15" s="14" t="str">
        <f>INDEX($M$6:$M$270,MATCH(R15,$O$6:$O$270,0))</f>
        <v>Queens</v>
      </c>
      <c r="U15" s="15">
        <f>INDEX($N$6:$N$270,MATCH(R15,$O$6:$O$270,0))</f>
        <v>289169</v>
      </c>
      <c r="V15" s="22">
        <f>U15/SUM($N$6:$N$270)</f>
        <v>0.0202634403512314</v>
      </c>
    </row>
    <row r="16" spans="1:22" x14ac:dyDescent="0.25">
      <c r="A16" s="14" t="s">
        <v>1274</v>
      </c>
      <c r="B16" s="14"/>
      <c r="C16" s="14"/>
      <c r="D16" s="14"/>
      <c r="E16" s="22">
        <f>1-H6</f>
        <v>0.252514913860328</v>
      </c>
      <c r="K16" s="14">
        <v>11</v>
      </c>
      <c r="L16" s="14" t="str">
        <f>VLOOKUP(K16,ZoneTable,3,FALSE)</f>
        <v>Bath Beach</v>
      </c>
      <c r="M16" s="14" t="str">
        <f>VLOOKUP(K16,ZoneTable,2,FALSE)</f>
        <v>Brooklyn</v>
      </c>
      <c r="N16" s="15">
        <f>SUMIFS(tblZoneMonthly[Trips],tblZoneMonthly[Location ID],K16)</f>
        <v>3559</v>
      </c>
      <c r="O16" s="15">
        <f>_xlfn.RANK.EQ(N16,$N$6:$N$270,0)+COUNTIF($N$6:N15,N16)</f>
        <v>196</v>
      </c>
      <c r="P16" s="22">
        <f>SUMIFS($N$6:$N$270,$O$6:$O$270,"&lt;="&amp;11)/SUM($N$6:$N$270)</f>
        <v>0.266941565171008</v>
      </c>
      <c r="R16" s="14">
        <v>11</v>
      </c>
      <c r="S16" s="14" t="str">
        <f>INDEX($L$6:$L$270,MATCH(R16,$O$6:$O$270,0))</f>
        <v>Midtown East</v>
      </c>
      <c r="T16" s="14" t="str">
        <f>INDEX($M$6:$M$270,MATCH(R16,$O$6:$O$270,0))</f>
        <v>Manhattan</v>
      </c>
      <c r="U16" s="15">
        <f>INDEX($N$6:$N$270,MATCH(R16,$O$6:$O$270,0))</f>
        <v>285518</v>
      </c>
      <c r="V16" s="22">
        <f>U16/SUM($N$6:$N$270)</f>
        <v>0.0200075975025085</v>
      </c>
    </row>
    <row r="17" spans="1:22" x14ac:dyDescent="0.25">
      <c r="A17" s="14" t="s">
        <v>1275</v>
      </c>
      <c r="B17" s="14"/>
      <c r="C17" s="14"/>
      <c r="D17" s="14"/>
      <c r="E17" s="22">
        <f>1-I6</f>
        <v>0.291068931480536</v>
      </c>
      <c r="K17" s="14">
        <v>12</v>
      </c>
      <c r="L17" s="14" t="str">
        <f>VLOOKUP(K17,ZoneTable,3,FALSE)</f>
        <v>Battery Park</v>
      </c>
      <c r="M17" s="14" t="str">
        <f>VLOOKUP(K17,ZoneTable,2,FALSE)</f>
        <v>Manhattan</v>
      </c>
      <c r="N17" s="15">
        <f>SUMIFS(tblZoneMonthly[Trips],tblZoneMonthly[Location ID],K17)</f>
        <v>2579</v>
      </c>
      <c r="O17" s="15">
        <f>_xlfn.RANK.EQ(N17,$N$6:$N$270,0)+COUNTIF($N$6:N16,N17)</f>
        <v>211</v>
      </c>
      <c r="P17" s="22">
        <f>SUMIFS($N$6:$N$270,$O$6:$O$270,"&lt;="&amp;12)/SUM($N$6:$N$270)</f>
        <v>0.286878807641986</v>
      </c>
      <c r="R17" s="14">
        <v>12</v>
      </c>
      <c r="S17" s="14" t="str">
        <f>INDEX($L$6:$L$270,MATCH(R17,$O$6:$O$270,0))</f>
        <v>Upper East Side South</v>
      </c>
      <c r="T17" s="14" t="str">
        <f>INDEX($M$6:$M$270,MATCH(R17,$O$6:$O$270,0))</f>
        <v>Manhattan</v>
      </c>
      <c r="U17" s="15">
        <f>INDEX($N$6:$N$270,MATCH(R17,$O$6:$O$270,0))</f>
        <v>284514</v>
      </c>
      <c r="V17" s="22">
        <f>U17/SUM($N$6:$N$270)</f>
        <v>0.019937242470978</v>
      </c>
    </row>
    <row r="18" spans="1:22" x14ac:dyDescent="0.25">
      <c r="A18" s="14" t="s">
        <v>1276</v>
      </c>
      <c r="B18" s="14"/>
      <c r="C18" s="14"/>
      <c r="D18" s="14"/>
      <c r="E18" s="15">
        <f>COUNTIF($P$6:$P$270,"&lt;0.5")+1</f>
        <v>25</v>
      </c>
      <c r="K18" s="14">
        <v>13</v>
      </c>
      <c r="L18" s="14" t="str">
        <f>VLOOKUP(K18,ZoneTable,3,FALSE)</f>
        <v>Battery Park City</v>
      </c>
      <c r="M18" s="14" t="str">
        <f>VLOOKUP(K18,ZoneTable,2,FALSE)</f>
        <v>Manhattan</v>
      </c>
      <c r="N18" s="15">
        <f>SUMIFS(tblZoneMonthly[Trips],tblZoneMonthly[Location ID],K18)</f>
        <v>139993</v>
      </c>
      <c r="O18" s="15">
        <f>_xlfn.RANK.EQ(N18,$N$6:$N$270,0)+COUNTIF($N$6:N17,N18)</f>
        <v>38</v>
      </c>
      <c r="P18" s="22">
        <f>SUMIFS($N$6:$N$270,$O$6:$O$270,"&lt;="&amp;13)/SUM($N$6:$N$270)</f>
        <v>0.306436665510667</v>
      </c>
      <c r="R18" s="14">
        <v>13</v>
      </c>
      <c r="S18" s="14" t="str">
        <f>INDEX($L$6:$L$270,MATCH(R18,$O$6:$O$270,0))</f>
        <v>West Chelsea/Hudson Yards</v>
      </c>
      <c r="T18" s="14" t="str">
        <f>INDEX($M$6:$M$270,MATCH(R18,$O$6:$O$270,0))</f>
        <v>Manhattan</v>
      </c>
      <c r="U18" s="15">
        <f>INDEX($N$6:$N$270,MATCH(R18,$O$6:$O$270,0))</f>
        <v>279100</v>
      </c>
      <c r="V18" s="22">
        <f>U18/SUM($N$6:$N$270)</f>
        <v>0.0195578578686812</v>
      </c>
    </row>
    <row r="19" spans="1:22" x14ac:dyDescent="0.25">
      <c r="A19" s="14" t="s">
        <v>1277</v>
      </c>
      <c r="B19" s="14"/>
      <c r="C19" s="14"/>
      <c r="D19" s="14"/>
      <c r="E19" s="15">
        <f>COUNTIF($P$6:$P$270,"&lt;0.8")+1</f>
        <v>56</v>
      </c>
      <c r="K19" s="14">
        <v>14</v>
      </c>
      <c r="L19" s="14" t="str">
        <f>VLOOKUP(K19,ZoneTable,3,FALSE)</f>
        <v>Bay Ridge</v>
      </c>
      <c r="M19" s="14" t="str">
        <f>VLOOKUP(K19,ZoneTable,2,FALSE)</f>
        <v>Brooklyn</v>
      </c>
      <c r="N19" s="15">
        <f>SUMIFS(tblZoneMonthly[Trips],tblZoneMonthly[Location ID],K19)</f>
        <v>35927</v>
      </c>
      <c r="O19" s="15">
        <f>_xlfn.RANK.EQ(N19,$N$6:$N$270,0)+COUNTIF($N$6:N18,N19)</f>
        <v>85</v>
      </c>
      <c r="P19" s="22">
        <f>SUMIFS($N$6:$N$270,$O$6:$O$270,"&lt;="&amp;14)/SUM($N$6:$N$270)</f>
        <v>0.325207654206982</v>
      </c>
      <c r="R19" s="14">
        <v>14</v>
      </c>
      <c r="S19" s="14" t="str">
        <f>INDEX($L$6:$L$270,MATCH(R19,$O$6:$O$270,0))</f>
        <v>Midtown South</v>
      </c>
      <c r="T19" s="14" t="str">
        <f>INDEX($M$6:$M$270,MATCH(R19,$O$6:$O$270,0))</f>
        <v>Manhattan</v>
      </c>
      <c r="U19" s="15">
        <f>INDEX($N$6:$N$270,MATCH(R19,$O$6:$O$270,0))</f>
        <v>267871</v>
      </c>
      <c r="V19" s="22">
        <f>U19/SUM($N$6:$N$270)</f>
        <v>0.018770988696315</v>
      </c>
    </row>
    <row r="20" spans="1:22" x14ac:dyDescent="0.25">
      <c r="A20" s="14" t="s">
        <v>1278</v>
      </c>
      <c r="B20" s="14"/>
      <c r="C20" s="14"/>
      <c r="D20" s="14"/>
      <c r="E20" s="15">
        <f>COUNTIFS($N$6:$N$268,0)</f>
        <v>3</v>
      </c>
      <c r="K20" s="14">
        <v>15</v>
      </c>
      <c r="L20" s="14" t="str">
        <f>VLOOKUP(K20,ZoneTable,3,FALSE)</f>
        <v>Bay Terrace/Fort Totten</v>
      </c>
      <c r="M20" s="14" t="str">
        <f>VLOOKUP(K20,ZoneTable,2,FALSE)</f>
        <v>Queens</v>
      </c>
      <c r="N20" s="15">
        <f>SUMIFS(tblZoneMonthly[Trips],tblZoneMonthly[Location ID],K20)</f>
        <v>3229</v>
      </c>
      <c r="O20" s="15">
        <f>_xlfn.RANK.EQ(N20,$N$6:$N$270,0)+COUNTIF($N$6:N19,N20)</f>
        <v>199</v>
      </c>
      <c r="P20" s="22">
        <f>SUMIFS($N$6:$N$270,$O$6:$O$270,"&lt;="&amp;15)/SUM($N$6:$N$270)</f>
        <v>0.34395124368285</v>
      </c>
      <c r="R20" s="14">
        <v>15</v>
      </c>
      <c r="S20" s="14" t="str">
        <f>INDEX($L$6:$L$270,MATCH(R20,$O$6:$O$270,0))</f>
        <v>Meatpacking/West Village West</v>
      </c>
      <c r="T20" s="14" t="str">
        <f>INDEX($M$6:$M$270,MATCH(R20,$O$6:$O$270,0))</f>
        <v>Manhattan</v>
      </c>
      <c r="U20" s="15">
        <f>INDEX($N$6:$N$270,MATCH(R20,$O$6:$O$270,0))</f>
        <v>267480</v>
      </c>
      <c r="V20" s="22">
        <f>U20/SUM($N$6:$N$270)</f>
        <v>0.0187435894758683</v>
      </c>
    </row>
    <row r="21" spans="1:22" x14ac:dyDescent="0.25">
      <c r="K21" s="14">
        <v>16</v>
      </c>
      <c r="L21" s="14" t="str">
        <f>VLOOKUP(K21,ZoneTable,3,FALSE)</f>
        <v>Bayside</v>
      </c>
      <c r="M21" s="14" t="str">
        <f>VLOOKUP(K21,ZoneTable,2,FALSE)</f>
        <v>Queens</v>
      </c>
      <c r="N21" s="15">
        <f>SUMIFS(tblZoneMonthly[Trips],tblZoneMonthly[Location ID],K21)</f>
        <v>8880</v>
      </c>
      <c r="O21" s="15">
        <f>_xlfn.RANK.EQ(N21,$N$6:$N$270,0)+COUNTIF($N$6:N20,N21)</f>
        <v>138</v>
      </c>
      <c r="P21" s="22">
        <f>SUMIFS($N$6:$N$270,$O$6:$O$270,"&lt;="&amp;16)/SUM($N$6:$N$270)</f>
        <v>0.36259946144765</v>
      </c>
    </row>
    <row r="22" spans="1:22" ht="18" customHeight="1" x14ac:dyDescent="0.25">
      <c r="A22" s="12" t="s">
        <v>319</v>
      </c>
      <c r="K22" s="14">
        <v>17</v>
      </c>
      <c r="L22" s="14" t="str">
        <f>VLOOKUP(K22,ZoneTable,3,FALSE)</f>
        <v>Bedford</v>
      </c>
      <c r="M22" s="14" t="str">
        <f>VLOOKUP(K22,ZoneTable,2,FALSE)</f>
        <v>Brooklyn</v>
      </c>
      <c r="N22" s="15">
        <f>SUMIFS(tblZoneMonthly[Trips],tblZoneMonthly[Location ID],K22)</f>
        <v>80312</v>
      </c>
      <c r="O22" s="15">
        <f>_xlfn.RANK.EQ(N22,$N$6:$N$270,0)+COUNTIF($N$6:N21,N22)</f>
        <v>54</v>
      </c>
      <c r="P22" s="22">
        <f>SUMIFS($N$6:$N$270,$O$6:$O$270,"&lt;="&amp;17)/SUM($N$6:$N$270)</f>
        <v>0.380615044526536</v>
      </c>
    </row>
    <row r="23" spans="1:22" x14ac:dyDescent="0.25">
      <c r="A23" s="5" t="s">
        <v>1279</v>
      </c>
      <c r="B23" s="13" t="s">
        <v>18</v>
      </c>
      <c r="C23" s="13" t="s">
        <v>307</v>
      </c>
      <c r="D23" s="13" t="s">
        <v>1280</v>
      </c>
      <c r="K23" s="14">
        <v>18</v>
      </c>
      <c r="L23" s="14" t="str">
        <f>VLOOKUP(K23,ZoneTable,3,FALSE)</f>
        <v>Bedford Park</v>
      </c>
      <c r="M23" s="14" t="str">
        <f>VLOOKUP(K23,ZoneTable,2,FALSE)</f>
        <v>Bronx</v>
      </c>
      <c r="N23" s="15">
        <f>SUMIFS(tblZoneMonthly[Trips],tblZoneMonthly[Location ID],K23)</f>
        <v>6579</v>
      </c>
      <c r="O23" s="15">
        <f>_xlfn.RANK.EQ(N23,$N$6:$N$270,0)+COUNTIF($N$6:N22,N23)</f>
        <v>153</v>
      </c>
      <c r="P23" s="22">
        <f>SUMIFS($N$6:$N$270,$O$6:$O$270,"&lt;="&amp;18)/SUM($N$6:$N$270)</f>
        <v>0.398498256435541</v>
      </c>
    </row>
    <row r="24" spans="1:22" x14ac:dyDescent="0.25">
      <c r="A24" s="14" t="s">
        <v>155</v>
      </c>
      <c r="B24" s="14">
        <v>132</v>
      </c>
      <c r="C24" s="15">
        <f>SUMIFS(tblZoneMonthly[Trips],tblZoneMonthly[Location ID],B24)</f>
        <v>289169</v>
      </c>
      <c r="D24" s="17">
        <f>C24/COUNTIFS(tblDaily[Period],"2015 Jan-Jun")</f>
        <v>1597.61878453039</v>
      </c>
      <c r="K24" s="14">
        <v>19</v>
      </c>
      <c r="L24" s="14" t="str">
        <f>VLOOKUP(K24,ZoneTable,3,FALSE)</f>
        <v>Bellerose</v>
      </c>
      <c r="M24" s="14" t="str">
        <f>VLOOKUP(K24,ZoneTable,2,FALSE)</f>
        <v>Queens</v>
      </c>
      <c r="N24" s="15">
        <f>SUMIFS(tblZoneMonthly[Trips],tblZoneMonthly[Location ID],K24)</f>
        <v>3026</v>
      </c>
      <c r="O24" s="15">
        <f>_xlfn.RANK.EQ(N24,$N$6:$N$270,0)+COUNTIF($N$6:N23,N24)</f>
        <v>204</v>
      </c>
      <c r="P24" s="22">
        <f>SUMIFS($N$6:$N$270,$O$6:$O$270,"&lt;="&amp;19)/SUM($N$6:$N$270)</f>
        <v>0.416213499210503</v>
      </c>
    </row>
    <row r="25" spans="1:22" x14ac:dyDescent="0.25">
      <c r="A25" s="14" t="s">
        <v>161</v>
      </c>
      <c r="B25" s="14">
        <v>138</v>
      </c>
      <c r="C25" s="15">
        <f>SUMIFS(tblZoneMonthly[Trips],tblZoneMonthly[Location ID],B25)</f>
        <v>266119</v>
      </c>
      <c r="D25" s="17">
        <f>C25/COUNTIFS(tblDaily[Period],"2015 Jan-Jun")</f>
        <v>1470.27071823204</v>
      </c>
      <c r="K25" s="14">
        <v>20</v>
      </c>
      <c r="L25" s="14" t="str">
        <f>VLOOKUP(K25,ZoneTable,3,FALSE)</f>
        <v>Belmont</v>
      </c>
      <c r="M25" s="14" t="str">
        <f>VLOOKUP(K25,ZoneTable,2,FALSE)</f>
        <v>Bronx</v>
      </c>
      <c r="N25" s="15">
        <f>SUMIFS(tblZoneMonthly[Trips],tblZoneMonthly[Location ID],K25)</f>
        <v>9153</v>
      </c>
      <c r="O25" s="15">
        <f>_xlfn.RANK.EQ(N25,$N$6:$N$270,0)+COUNTIF($N$6:N24,N25)</f>
        <v>135</v>
      </c>
      <c r="P25" s="22">
        <f>SUMIFS($N$6:$N$270,$O$6:$O$270,"&lt;="&amp;20)/SUM($N$6:$N$270)</f>
        <v>0.43383722438469</v>
      </c>
    </row>
    <row r="26" spans="1:22" x14ac:dyDescent="0.25">
      <c r="A26" s="14" t="s">
        <v>22</v>
      </c>
      <c r="B26" s="14">
        <v>1</v>
      </c>
      <c r="C26" s="15">
        <f>SUMIFS(tblZoneMonthly[Trips],tblZoneMonthly[Location ID],B26)</f>
        <v>105</v>
      </c>
      <c r="D26" s="17">
        <f>C26/COUNTIFS(tblDaily[Period],"2015 Jan-Jun")</f>
        <v>0.580110497237569</v>
      </c>
      <c r="K26" s="14">
        <v>21</v>
      </c>
      <c r="L26" s="14" t="str">
        <f>VLOOKUP(K26,ZoneTable,3,FALSE)</f>
        <v>Bensonhurst East</v>
      </c>
      <c r="M26" s="14" t="str">
        <f>VLOOKUP(K26,ZoneTable,2,FALSE)</f>
        <v>Brooklyn</v>
      </c>
      <c r="N26" s="15">
        <f>SUMIFS(tblZoneMonthly[Trips],tblZoneMonthly[Location ID],K26)</f>
        <v>8409</v>
      </c>
      <c r="O26" s="15">
        <f>_xlfn.RANK.EQ(N26,$N$6:$N$270,0)+COUNTIF($N$6:N25,N26)</f>
        <v>141</v>
      </c>
      <c r="P26" s="22">
        <f>SUMIFS($N$6:$N$270,$O$6:$O$270,"&lt;="&amp;21)/SUM($N$6:$N$270)</f>
        <v>0.451102937750022</v>
      </c>
    </row>
    <row r="27" spans="1:22" x14ac:dyDescent="0.25">
      <c r="K27" s="14">
        <v>22</v>
      </c>
      <c r="L27" s="14" t="str">
        <f>VLOOKUP(K27,ZoneTable,3,FALSE)</f>
        <v>Bensonhurst West</v>
      </c>
      <c r="M27" s="14" t="str">
        <f>VLOOKUP(K27,ZoneTable,2,FALSE)</f>
        <v>Brooklyn</v>
      </c>
      <c r="N27" s="15">
        <f>SUMIFS(tblZoneMonthly[Trips],tblZoneMonthly[Location ID],K27)</f>
        <v>10456</v>
      </c>
      <c r="O27" s="15">
        <f>_xlfn.RANK.EQ(N27,$N$6:$N$270,0)+COUNTIF($N$6:N26,N27)</f>
        <v>128</v>
      </c>
      <c r="P27" s="22">
        <f>SUMIFS($N$6:$N$270,$O$6:$O$270,"&lt;="&amp;22)/SUM($N$6:$N$270)</f>
        <v>0.467421310805335</v>
      </c>
    </row>
    <row r="28" spans="1:22" ht="18" customHeight="1" x14ac:dyDescent="0.25">
      <c r="A28" s="12" t="s">
        <v>1281</v>
      </c>
      <c r="K28" s="14">
        <v>23</v>
      </c>
      <c r="L28" s="14" t="str">
        <f>VLOOKUP(K28,ZoneTable,3,FALSE)</f>
        <v>Bloomfield/Emerson Hill</v>
      </c>
      <c r="M28" s="14" t="str">
        <f>VLOOKUP(K28,ZoneTable,2,FALSE)</f>
        <v>Staten Island</v>
      </c>
      <c r="N28" s="15">
        <f>SUMIFS(tblZoneMonthly[Trips],tblZoneMonthly[Location ID],K28)</f>
        <v>925</v>
      </c>
      <c r="O28" s="15">
        <f>_xlfn.RANK.EQ(N28,$N$6:$N$270,0)+COUNTIF($N$6:N27,N28)</f>
        <v>222</v>
      </c>
      <c r="P28" s="22">
        <f>SUMIFS($N$6:$N$270,$O$6:$O$270,"&lt;="&amp;23)/SUM($N$6:$N$270)</f>
        <v>0.483492530278766</v>
      </c>
    </row>
    <row r="29" spans="1:22" x14ac:dyDescent="0.25">
      <c r="A29" s="5" t="s">
        <v>306</v>
      </c>
      <c r="B29" s="13" t="s">
        <v>1282</v>
      </c>
      <c r="K29" s="14">
        <v>24</v>
      </c>
      <c r="L29" s="14" t="str">
        <f>VLOOKUP(K29,ZoneTable,3,FALSE)</f>
        <v>Bloomingdale</v>
      </c>
      <c r="M29" s="14" t="str">
        <f>VLOOKUP(K29,ZoneTable,2,FALSE)</f>
        <v>Manhattan</v>
      </c>
      <c r="N29" s="15">
        <f>SUMIFS(tblZoneMonthly[Trips],tblZoneMonthly[Location ID],K29)</f>
        <v>23717</v>
      </c>
      <c r="O29" s="15">
        <f>_xlfn.RANK.EQ(N29,$N$6:$N$270,0)+COUNTIF($N$6:N28,N29)</f>
        <v>93</v>
      </c>
      <c r="P29" s="22">
        <f>SUMIFS($N$6:$N$270,$O$6:$O$270,"&lt;="&amp;24)/SUM($N$6:$N$270)</f>
        <v>0.499266212437578</v>
      </c>
    </row>
    <row r="30" spans="1:22" x14ac:dyDescent="0.25">
      <c r="A30" s="30">
        <v>0</v>
      </c>
      <c r="B30" s="22">
        <f>SUMIFS(tblAreaHour[Trips],tblAreaHour[Hour],A30,tblAreaHour[Service Area],"Airports")/SUMIFS(tblAreaHour[Trips],tblAreaHour[Hour],A30)</f>
        <v>0.0477234306135395</v>
      </c>
      <c r="K30" s="14">
        <v>25</v>
      </c>
      <c r="L30" s="14" t="str">
        <f>VLOOKUP(K30,ZoneTable,3,FALSE)</f>
        <v>Boerum Hill</v>
      </c>
      <c r="M30" s="14" t="str">
        <f>VLOOKUP(K30,ZoneTable,2,FALSE)</f>
        <v>Brooklyn</v>
      </c>
      <c r="N30" s="15">
        <f>SUMIFS(tblZoneMonthly[Trips],tblZoneMonthly[Location ID],K30)</f>
        <v>69154</v>
      </c>
      <c r="O30" s="15">
        <f>_xlfn.RANK.EQ(N30,$N$6:$N$270,0)+COUNTIF($N$6:N29,N30)</f>
        <v>60</v>
      </c>
      <c r="P30" s="22">
        <f>SUMIFS($N$6:$N$270,$O$6:$O$270,"&lt;="&amp;25)/SUM($N$6:$N$270)</f>
        <v>0.514538159510974</v>
      </c>
    </row>
    <row r="31" spans="1:22" x14ac:dyDescent="0.25">
      <c r="A31" s="30">
        <v>1</v>
      </c>
      <c r="B31" s="22">
        <f>SUMIFS(tblAreaHour[Trips],tblAreaHour[Hour],A31,tblAreaHour[Service Area],"Airports")/SUMIFS(tblAreaHour[Trips],tblAreaHour[Hour],A31)</f>
        <v>0.0288712580162734</v>
      </c>
      <c r="K31" s="14">
        <v>26</v>
      </c>
      <c r="L31" s="14" t="str">
        <f>VLOOKUP(K31,ZoneTable,3,FALSE)</f>
        <v>Borough Park</v>
      </c>
      <c r="M31" s="14" t="str">
        <f>VLOOKUP(K31,ZoneTable,2,FALSE)</f>
        <v>Brooklyn</v>
      </c>
      <c r="N31" s="15">
        <f>SUMIFS(tblZoneMonthly[Trips],tblZoneMonthly[Location ID],K31)</f>
        <v>15760</v>
      </c>
      <c r="O31" s="15">
        <f>_xlfn.RANK.EQ(N31,$N$6:$N$270,0)+COUNTIF($N$6:N30,N31)</f>
        <v>104</v>
      </c>
      <c r="P31" s="22">
        <f>SUMIFS($N$6:$N$270,$O$6:$O$270,"&lt;="&amp;26)/SUM($N$6:$N$270)</f>
        <v>0.529002985814281</v>
      </c>
    </row>
    <row r="32" spans="1:22" x14ac:dyDescent="0.25">
      <c r="A32" s="30">
        <v>2</v>
      </c>
      <c r="B32" s="22">
        <f>SUMIFS(tblAreaHour[Trips],tblAreaHour[Hour],A32,tblAreaHour[Service Area],"Airports")/SUMIFS(tblAreaHour[Trips],tblAreaHour[Hour],A32)</f>
        <v>0.0116959513129166</v>
      </c>
      <c r="K32" s="14">
        <v>27</v>
      </c>
      <c r="L32" s="14" t="str">
        <f>VLOOKUP(K32,ZoneTable,3,FALSE)</f>
        <v>Breezy Point/Fort Tilden/Riis Beach</v>
      </c>
      <c r="M32" s="14" t="str">
        <f>VLOOKUP(K32,ZoneTable,2,FALSE)</f>
        <v>Queens</v>
      </c>
      <c r="N32" s="15">
        <f>SUMIFS(tblZoneMonthly[Trips],tblZoneMonthly[Location ID],K32)</f>
        <v>114</v>
      </c>
      <c r="O32" s="15">
        <f>_xlfn.RANK.EQ(N32,$N$6:$N$270,0)+COUNTIF($N$6:N31,N32)</f>
        <v>251</v>
      </c>
      <c r="P32" s="22">
        <f>SUMIFS($N$6:$N$270,$O$6:$O$270,"&lt;="&amp;27)/SUM($N$6:$N$270)</f>
        <v>0.542893619758664</v>
      </c>
    </row>
    <row r="33" spans="1:16" x14ac:dyDescent="0.25">
      <c r="A33" s="30">
        <v>3</v>
      </c>
      <c r="B33" s="22">
        <f>SUMIFS(tblAreaHour[Trips],tblAreaHour[Hour],A33,tblAreaHour[Service Area],"Airports")/SUMIFS(tblAreaHour[Trips],tblAreaHour[Hour],A33)</f>
        <v>0.00554300182407231</v>
      </c>
      <c r="K33" s="14">
        <v>28</v>
      </c>
      <c r="L33" s="14" t="str">
        <f>VLOOKUP(K33,ZoneTable,3,FALSE)</f>
        <v>Briarwood/Jamaica Hills</v>
      </c>
      <c r="M33" s="14" t="str">
        <f>VLOOKUP(K33,ZoneTable,2,FALSE)</f>
        <v>Queens</v>
      </c>
      <c r="N33" s="15">
        <f>SUMIFS(tblZoneMonthly[Trips],tblZoneMonthly[Location ID],K33)</f>
        <v>11901</v>
      </c>
      <c r="O33" s="15">
        <f>_xlfn.RANK.EQ(N33,$N$6:$N$270,0)+COUNTIF($N$6:N32,N33)</f>
        <v>121</v>
      </c>
      <c r="P33" s="22">
        <f>SUMIFS($N$6:$N$270,$O$6:$O$270,"&lt;="&amp;28)/SUM($N$6:$N$270)</f>
        <v>0.556772060699574</v>
      </c>
    </row>
    <row r="34" spans="1:16" x14ac:dyDescent="0.25">
      <c r="A34" s="30">
        <v>4</v>
      </c>
      <c r="B34" s="22">
        <f>SUMIFS(tblAreaHour[Trips],tblAreaHour[Hour],A34,tblAreaHour[Service Area],"Airports")/SUMIFS(tblAreaHour[Trips],tblAreaHour[Hour],A34)</f>
        <v>0.00513759983356257</v>
      </c>
      <c r="K34" s="14">
        <v>29</v>
      </c>
      <c r="L34" s="14" t="str">
        <f>VLOOKUP(K34,ZoneTable,3,FALSE)</f>
        <v>Brighton Beach</v>
      </c>
      <c r="M34" s="14" t="str">
        <f>VLOOKUP(K34,ZoneTable,2,FALSE)</f>
        <v>Brooklyn</v>
      </c>
      <c r="N34" s="15">
        <f>SUMIFS(tblZoneMonthly[Trips],tblZoneMonthly[Location ID],K34)</f>
        <v>4434</v>
      </c>
      <c r="O34" s="15">
        <f>_xlfn.RANK.EQ(N34,$N$6:$N$270,0)+COUNTIF($N$6:N33,N34)</f>
        <v>178</v>
      </c>
      <c r="P34" s="22">
        <f>SUMIFS($N$6:$N$270,$O$6:$O$270,"&lt;="&amp;29)/SUM($N$6:$N$270)</f>
        <v>0.570485545719944</v>
      </c>
    </row>
    <row r="35" spans="1:16" x14ac:dyDescent="0.25">
      <c r="A35" s="30">
        <v>5</v>
      </c>
      <c r="B35" s="22">
        <f>SUMIFS(tblAreaHour[Trips],tblAreaHour[Hour],A35,tblAreaHour[Service Area],"Airports")/SUMIFS(tblAreaHour[Trips],tblAreaHour[Hour],A35)</f>
        <v>0.0413387556001096</v>
      </c>
      <c r="K35" s="14">
        <v>30</v>
      </c>
      <c r="L35" s="14" t="str">
        <f>VLOOKUP(K35,ZoneTable,3,FALSE)</f>
        <v>Broad Channel</v>
      </c>
      <c r="M35" s="14" t="str">
        <f>VLOOKUP(K35,ZoneTable,2,FALSE)</f>
        <v>Queens</v>
      </c>
      <c r="N35" s="15">
        <f>SUMIFS(tblZoneMonthly[Trips],tblZoneMonthly[Location ID],K35)</f>
        <v>64</v>
      </c>
      <c r="O35" s="15">
        <f>_xlfn.RANK.EQ(N35,$N$6:$N$270,0)+COUNTIF($N$6:N34,N35)</f>
        <v>253</v>
      </c>
      <c r="P35" s="22">
        <f>SUMIFS($N$6:$N$270,$O$6:$O$270,"&lt;="&amp;30)/SUM($N$6:$N$270)</f>
        <v>0.583501296627815</v>
      </c>
    </row>
    <row r="36" spans="1:16" x14ac:dyDescent="0.25">
      <c r="A36" s="30">
        <v>6</v>
      </c>
      <c r="B36" s="22">
        <f>SUMIFS(tblAreaHour[Trips],tblAreaHour[Hour],A36,tblAreaHour[Service Area],"Airports")/SUMIFS(tblAreaHour[Trips],tblAreaHour[Hour],A36)</f>
        <v>0.0487119324306059</v>
      </c>
      <c r="K36" s="14">
        <v>31</v>
      </c>
      <c r="L36" s="14" t="str">
        <f>VLOOKUP(K36,ZoneTable,3,FALSE)</f>
        <v>Bronx Park</v>
      </c>
      <c r="M36" s="14" t="str">
        <f>VLOOKUP(K36,ZoneTable,2,FALSE)</f>
        <v>Bronx</v>
      </c>
      <c r="N36" s="15">
        <f>SUMIFS(tblZoneMonthly[Trips],tblZoneMonthly[Location ID],K36)</f>
        <v>2299</v>
      </c>
      <c r="O36" s="15">
        <f>_xlfn.RANK.EQ(N36,$N$6:$N$270,0)+COUNTIF($N$6:N35,N36)</f>
        <v>215</v>
      </c>
      <c r="P36" s="22">
        <f>SUMIFS($N$6:$N$270,$O$6:$O$270,"&lt;="&amp;31)/SUM($N$6:$N$270)</f>
        <v>0.595530465375409</v>
      </c>
    </row>
    <row r="37" spans="1:16" x14ac:dyDescent="0.25">
      <c r="A37" s="30">
        <v>7</v>
      </c>
      <c r="B37" s="22">
        <f>SUMIFS(tblAreaHour[Trips],tblAreaHour[Hour],A37,tblAreaHour[Service Area],"Airports")/SUMIFS(tblAreaHour[Trips],tblAreaHour[Hour],A37)</f>
        <v>0.032767961618152</v>
      </c>
      <c r="K37" s="14">
        <v>32</v>
      </c>
      <c r="L37" s="14" t="str">
        <f>VLOOKUP(K37,ZoneTable,3,FALSE)</f>
        <v>Bronxdale</v>
      </c>
      <c r="M37" s="14" t="str">
        <f>VLOOKUP(K37,ZoneTable,2,FALSE)</f>
        <v>Bronx</v>
      </c>
      <c r="N37" s="15">
        <f>SUMIFS(tblZoneMonthly[Trips],tblZoneMonthly[Location ID],K37)</f>
        <v>4031</v>
      </c>
      <c r="O37" s="15">
        <f>_xlfn.RANK.EQ(N37,$N$6:$N$270,0)+COUNTIF($N$6:N36,N37)</f>
        <v>184</v>
      </c>
      <c r="P37" s="22">
        <f>SUMIFS($N$6:$N$270,$O$6:$O$270,"&lt;="&amp;32)/SUM($N$6:$N$270)</f>
        <v>0.606745015356527</v>
      </c>
    </row>
    <row r="38" spans="1:16" x14ac:dyDescent="0.25">
      <c r="A38" s="30">
        <v>8</v>
      </c>
      <c r="B38" s="22">
        <f>SUMIFS(tblAreaHour[Trips],tblAreaHour[Hour],A38,tblAreaHour[Service Area],"Airports")/SUMIFS(tblAreaHour[Trips],tblAreaHour[Hour],A38)</f>
        <v>0.0263033386589137</v>
      </c>
      <c r="K38" s="14">
        <v>33</v>
      </c>
      <c r="L38" s="14" t="str">
        <f>VLOOKUP(K38,ZoneTable,3,FALSE)</f>
        <v>Brooklyn Heights</v>
      </c>
      <c r="M38" s="14" t="str">
        <f>VLOOKUP(K38,ZoneTable,2,FALSE)</f>
        <v>Brooklyn</v>
      </c>
      <c r="N38" s="15">
        <f>SUMIFS(tblZoneMonthly[Trips],tblZoneMonthly[Location ID],K38)</f>
        <v>77788</v>
      </c>
      <c r="O38" s="15">
        <f>_xlfn.RANK.EQ(N38,$N$6:$N$270,0)+COUNTIF($N$6:N37,N38)</f>
        <v>55</v>
      </c>
      <c r="P38" s="22">
        <f>SUMIFS($N$6:$N$270,$O$6:$O$270,"&lt;="&amp;33)/SUM($N$6:$N$270)</f>
        <v>0.617763636385296</v>
      </c>
    </row>
    <row r="39" spans="1:16" x14ac:dyDescent="0.25">
      <c r="A39" s="30">
        <v>9</v>
      </c>
      <c r="B39" s="22">
        <f>SUMIFS(tblAreaHour[Trips],tblAreaHour[Hour],A39,tblAreaHour[Service Area],"Airports")/SUMIFS(tblAreaHour[Trips],tblAreaHour[Hour],A39)</f>
        <v>0.0269312496524484</v>
      </c>
      <c r="K39" s="14">
        <v>34</v>
      </c>
      <c r="L39" s="14" t="str">
        <f>VLOOKUP(K39,ZoneTable,3,FALSE)</f>
        <v>Brooklyn Navy Yard</v>
      </c>
      <c r="M39" s="14" t="str">
        <f>VLOOKUP(K39,ZoneTable,2,FALSE)</f>
        <v>Brooklyn</v>
      </c>
      <c r="N39" s="15">
        <f>SUMIFS(tblZoneMonthly[Trips],tblZoneMonthly[Location ID],K39)</f>
        <v>10294</v>
      </c>
      <c r="O39" s="15">
        <f>_xlfn.RANK.EQ(N39,$N$6:$N$270,0)+COUNTIF($N$6:N38,N39)</f>
        <v>130</v>
      </c>
      <c r="P39" s="22">
        <f>SUMIFS($N$6:$N$270,$O$6:$O$270,"&lt;="&amp;34)/SUM($N$6:$N$270)</f>
        <v>0.628624799489912</v>
      </c>
    </row>
    <row r="40" spans="1:16" x14ac:dyDescent="0.25">
      <c r="A40" s="30">
        <v>10</v>
      </c>
      <c r="B40" s="22">
        <f>SUMIFS(tblAreaHour[Trips],tblAreaHour[Hour],A40,tblAreaHour[Service Area],"Airports")/SUMIFS(tblAreaHour[Trips],tblAreaHour[Hour],A40)</f>
        <v>0.0367857994354845</v>
      </c>
      <c r="K40" s="14">
        <v>35</v>
      </c>
      <c r="L40" s="14" t="str">
        <f>VLOOKUP(K40,ZoneTable,3,FALSE)</f>
        <v>Brownsville</v>
      </c>
      <c r="M40" s="14" t="str">
        <f>VLOOKUP(K40,ZoneTable,2,FALSE)</f>
        <v>Brooklyn</v>
      </c>
      <c r="N40" s="15">
        <f>SUMIFS(tblZoneMonthly[Trips],tblZoneMonthly[Location ID],K40)</f>
        <v>9889</v>
      </c>
      <c r="O40" s="15">
        <f>_xlfn.RANK.EQ(N40,$N$6:$N$270,0)+COUNTIF($N$6:N39,N40)</f>
        <v>132</v>
      </c>
      <c r="P40" s="22">
        <f>SUMIFS($N$6:$N$270,$O$6:$O$270,"&lt;="&amp;35)/SUM($N$6:$N$270)</f>
        <v>0.639081911686356</v>
      </c>
    </row>
    <row r="41" spans="1:16" x14ac:dyDescent="0.25">
      <c r="A41" s="30">
        <v>11</v>
      </c>
      <c r="B41" s="22">
        <f>SUMIFS(tblAreaHour[Trips],tblAreaHour[Hour],A41,tblAreaHour[Service Area],"Airports")/SUMIFS(tblAreaHour[Trips],tblAreaHour[Hour],A41)</f>
        <v>0.0342954350165275</v>
      </c>
      <c r="K41" s="14">
        <v>36</v>
      </c>
      <c r="L41" s="14" t="str">
        <f>VLOOKUP(K41,ZoneTable,3,FALSE)</f>
        <v>Bushwick North</v>
      </c>
      <c r="M41" s="14" t="str">
        <f>VLOOKUP(K41,ZoneTable,2,FALSE)</f>
        <v>Brooklyn</v>
      </c>
      <c r="N41" s="15">
        <f>SUMIFS(tblZoneMonthly[Trips],tblZoneMonthly[Location ID],K41)</f>
        <v>77482</v>
      </c>
      <c r="O41" s="15">
        <f>_xlfn.RANK.EQ(N41,$N$6:$N$270,0)+COUNTIF($N$6:N40,N41)</f>
        <v>56</v>
      </c>
      <c r="P41" s="22">
        <f>SUMIFS($N$6:$N$270,$O$6:$O$270,"&lt;="&amp;36)/SUM($N$6:$N$270)</f>
        <v>0.64913420215257</v>
      </c>
    </row>
    <row r="42" spans="1:16" x14ac:dyDescent="0.25">
      <c r="A42" s="30">
        <v>12</v>
      </c>
      <c r="B42" s="22">
        <f>SUMIFS(tblAreaHour[Trips],tblAreaHour[Hour],A42,tblAreaHour[Service Area],"Airports")/SUMIFS(tblAreaHour[Trips],tblAreaHour[Hour],A42)</f>
        <v>0.0330831243046709</v>
      </c>
      <c r="K42" s="14">
        <v>37</v>
      </c>
      <c r="L42" s="14" t="str">
        <f>VLOOKUP(K42,ZoneTable,3,FALSE)</f>
        <v>Bushwick South</v>
      </c>
      <c r="M42" s="14" t="str">
        <f>VLOOKUP(K42,ZoneTable,2,FALSE)</f>
        <v>Brooklyn</v>
      </c>
      <c r="N42" s="15">
        <f>SUMIFS(tblZoneMonthly[Trips],tblZoneMonthly[Location ID],K42)</f>
        <v>106234</v>
      </c>
      <c r="O42" s="15">
        <f>_xlfn.RANK.EQ(N42,$N$6:$N$270,0)+COUNTIF($N$6:N41,N42)</f>
        <v>48</v>
      </c>
      <c r="P42" s="22">
        <f>SUMIFS($N$6:$N$270,$O$6:$O$270,"&lt;="&amp;37)/SUM($N$6:$N$270)</f>
        <v>0.659039756128719</v>
      </c>
    </row>
    <row r="43" spans="1:16" x14ac:dyDescent="0.25">
      <c r="A43" s="30">
        <v>13</v>
      </c>
      <c r="B43" s="22">
        <f>SUMIFS(tblAreaHour[Trips],tblAreaHour[Hour],A43,tblAreaHour[Service Area],"Airports")/SUMIFS(tblAreaHour[Trips],tblAreaHour[Hour],A43)</f>
        <v>0.0363462964925294</v>
      </c>
      <c r="K43" s="14">
        <v>38</v>
      </c>
      <c r="L43" s="14" t="str">
        <f>VLOOKUP(K43,ZoneTable,3,FALSE)</f>
        <v>Cambria Heights</v>
      </c>
      <c r="M43" s="14" t="str">
        <f>VLOOKUP(K43,ZoneTable,2,FALSE)</f>
        <v>Queens</v>
      </c>
      <c r="N43" s="15">
        <f>SUMIFS(tblZoneMonthly[Trips],tblZoneMonthly[Location ID],K43)</f>
        <v>2209</v>
      </c>
      <c r="O43" s="15">
        <f>_xlfn.RANK.EQ(N43,$N$6:$N$270,0)+COUNTIF($N$6:N42,N43)</f>
        <v>217</v>
      </c>
      <c r="P43" s="22">
        <f>SUMIFS($N$6:$N$270,$O$6:$O$270,"&lt;="&amp;38)/SUM($N$6:$N$270)</f>
        <v>0.668849728169601</v>
      </c>
    </row>
    <row r="44" spans="1:16" x14ac:dyDescent="0.25">
      <c r="A44" s="30">
        <v>14</v>
      </c>
      <c r="B44" s="22">
        <f>SUMIFS(tblAreaHour[Trips],tblAreaHour[Hour],A44,tblAreaHour[Service Area],"Airports")/SUMIFS(tblAreaHour[Trips],tblAreaHour[Hour],A44)</f>
        <v>0.0441636168585522</v>
      </c>
      <c r="K44" s="14">
        <v>39</v>
      </c>
      <c r="L44" s="14" t="str">
        <f>VLOOKUP(K44,ZoneTable,3,FALSE)</f>
        <v>Canarsie</v>
      </c>
      <c r="M44" s="14" t="str">
        <f>VLOOKUP(K44,ZoneTable,2,FALSE)</f>
        <v>Brooklyn</v>
      </c>
      <c r="N44" s="15">
        <f>SUMIFS(tblZoneMonthly[Trips],tblZoneMonthly[Location ID],K44)</f>
        <v>15382</v>
      </c>
      <c r="O44" s="15">
        <f>_xlfn.RANK.EQ(N44,$N$6:$N$270,0)+COUNTIF($N$6:N43,N44)</f>
        <v>107</v>
      </c>
      <c r="P44" s="22">
        <f>SUMIFS($N$6:$N$270,$O$6:$O$270,"&lt;="&amp;39)/SUM($N$6:$N$270)</f>
        <v>0.678486335322031</v>
      </c>
    </row>
    <row r="45" spans="1:16" x14ac:dyDescent="0.25">
      <c r="A45" s="30">
        <v>15</v>
      </c>
      <c r="B45" s="22">
        <f>SUMIFS(tblAreaHour[Trips],tblAreaHour[Hour],A45,tblAreaHour[Service Area],"Airports")/SUMIFS(tblAreaHour[Trips],tblAreaHour[Hour],A45)</f>
        <v>0.0567865799012648</v>
      </c>
      <c r="K45" s="14">
        <v>40</v>
      </c>
      <c r="L45" s="14" t="str">
        <f>VLOOKUP(K45,ZoneTable,3,FALSE)</f>
        <v>Carroll Gardens</v>
      </c>
      <c r="M45" s="14" t="str">
        <f>VLOOKUP(K45,ZoneTable,2,FALSE)</f>
        <v>Brooklyn</v>
      </c>
      <c r="N45" s="15">
        <f>SUMIFS(tblZoneMonthly[Trips],tblZoneMonthly[Location ID],K45)</f>
        <v>42831</v>
      </c>
      <c r="O45" s="15">
        <f>_xlfn.RANK.EQ(N45,$N$6:$N$270,0)+COUNTIF($N$6:N44,N45)</f>
        <v>80</v>
      </c>
      <c r="P45" s="22">
        <f>SUMIFS($N$6:$N$270,$O$6:$O$270,"&lt;="&amp;40)/SUM($N$6:$N$270)</f>
        <v>0.687864296636434</v>
      </c>
    </row>
    <row r="46" spans="1:16" x14ac:dyDescent="0.25">
      <c r="A46" s="30">
        <v>16</v>
      </c>
      <c r="B46" s="22">
        <f>SUMIFS(tblAreaHour[Trips],tblAreaHour[Hour],A46,tblAreaHour[Service Area],"Airports")/SUMIFS(tblAreaHour[Trips],tblAreaHour[Hour],A46)</f>
        <v>0.0462986828004395</v>
      </c>
      <c r="K46" s="14">
        <v>41</v>
      </c>
      <c r="L46" s="14" t="str">
        <f>VLOOKUP(K46,ZoneTable,3,FALSE)</f>
        <v>Central Harlem</v>
      </c>
      <c r="M46" s="14" t="str">
        <f>VLOOKUP(K46,ZoneTable,2,FALSE)</f>
        <v>Manhattan</v>
      </c>
      <c r="N46" s="15">
        <f>SUMIFS(tblZoneMonthly[Trips],tblZoneMonthly[Location ID],K46)</f>
        <v>64767</v>
      </c>
      <c r="O46" s="15">
        <f>_xlfn.RANK.EQ(N46,$N$6:$N$270,0)+COUNTIF($N$6:N45,N46)</f>
        <v>62</v>
      </c>
      <c r="P46" s="22">
        <f>SUMIFS($N$6:$N$270,$O$6:$O$270,"&lt;="&amp;41)/SUM($N$6:$N$270)</f>
        <v>0.697228383153782</v>
      </c>
    </row>
    <row r="47" spans="1:16" x14ac:dyDescent="0.25">
      <c r="A47" s="30">
        <v>17</v>
      </c>
      <c r="B47" s="22">
        <f>SUMIFS(tblAreaHour[Trips],tblAreaHour[Hour],A47,tblAreaHour[Service Area],"Airports")/SUMIFS(tblAreaHour[Trips],tblAreaHour[Hour],A47)</f>
        <v>0.0402087987129481</v>
      </c>
      <c r="K47" s="14">
        <v>42</v>
      </c>
      <c r="L47" s="14" t="str">
        <f>VLOOKUP(K47,ZoneTable,3,FALSE)</f>
        <v>Central Harlem North</v>
      </c>
      <c r="M47" s="14" t="str">
        <f>VLOOKUP(K47,ZoneTable,2,FALSE)</f>
        <v>Manhattan</v>
      </c>
      <c r="N47" s="15">
        <f>SUMIFS(tblZoneMonthly[Trips],tblZoneMonthly[Location ID],K47)</f>
        <v>63011</v>
      </c>
      <c r="O47" s="15">
        <f>_xlfn.RANK.EQ(N47,$N$6:$N$270,0)+COUNTIF($N$6:N46,N47)</f>
        <v>63</v>
      </c>
      <c r="P47" s="22">
        <f>SUMIFS($N$6:$N$270,$O$6:$O$270,"&lt;="&amp;42)/SUM($N$6:$N$270)</f>
        <v>0.706121217094395</v>
      </c>
    </row>
    <row r="48" spans="1:16" x14ac:dyDescent="0.25">
      <c r="A48" s="30">
        <v>18</v>
      </c>
      <c r="B48" s="22">
        <f>SUMIFS(tblAreaHour[Trips],tblAreaHour[Hour],A48,tblAreaHour[Service Area],"Airports")/SUMIFS(tblAreaHour[Trips],tblAreaHour[Hour],A48)</f>
        <v>0.0346765704953839</v>
      </c>
      <c r="K48" s="14">
        <v>43</v>
      </c>
      <c r="L48" s="14" t="str">
        <f>VLOOKUP(K48,ZoneTable,3,FALSE)</f>
        <v>Central Park</v>
      </c>
      <c r="M48" s="14" t="str">
        <f>VLOOKUP(K48,ZoneTable,2,FALSE)</f>
        <v>Manhattan</v>
      </c>
      <c r="N48" s="15">
        <f>SUMIFS(tblZoneMonthly[Trips],tblZoneMonthly[Location ID],K48)</f>
        <v>45720</v>
      </c>
      <c r="O48" s="15">
        <f>_xlfn.RANK.EQ(N48,$N$6:$N$270,0)+COUNTIF($N$6:N47,N48)</f>
        <v>78</v>
      </c>
      <c r="P48" s="22">
        <f>SUMIFS($N$6:$N$270,$O$6:$O$270,"&lt;="&amp;43)/SUM($N$6:$N$270)</f>
        <v>0.714913423718994</v>
      </c>
    </row>
    <row r="49" spans="1:16" x14ac:dyDescent="0.25">
      <c r="A49" s="30">
        <v>19</v>
      </c>
      <c r="B49" s="22">
        <f>SUMIFS(tblAreaHour[Trips],tblAreaHour[Hour],A49,tblAreaHour[Service Area],"Airports")/SUMIFS(tblAreaHour[Trips],tblAreaHour[Hour],A49)</f>
        <v>0.0373909142162896</v>
      </c>
      <c r="K49" s="14">
        <v>44</v>
      </c>
      <c r="L49" s="14" t="str">
        <f>VLOOKUP(K49,ZoneTable,3,FALSE)</f>
        <v>Charleston/Tottenville</v>
      </c>
      <c r="M49" s="14" t="str">
        <f>VLOOKUP(K49,ZoneTable,2,FALSE)</f>
        <v>Staten Island</v>
      </c>
      <c r="N49" s="15">
        <f>SUMIFS(tblZoneMonthly[Trips],tblZoneMonthly[Location ID],K49)</f>
        <v>37</v>
      </c>
      <c r="O49" s="15">
        <f>_xlfn.RANK.EQ(N49,$N$6:$N$270,0)+COUNTIF($N$6:N48,N49)</f>
        <v>255</v>
      </c>
      <c r="P49" s="22">
        <f>SUMIFS($N$6:$N$270,$O$6:$O$270,"&lt;="&amp;44)/SUM($N$6:$N$270)</f>
        <v>0.723570245960209</v>
      </c>
    </row>
    <row r="50" spans="1:16" x14ac:dyDescent="0.25">
      <c r="A50" s="30">
        <v>20</v>
      </c>
      <c r="B50" s="22">
        <f>SUMIFS(tblAreaHour[Trips],tblAreaHour[Hour],A50,tblAreaHour[Service Area],"Airports")/SUMIFS(tblAreaHour[Trips],tblAreaHour[Hour],A50)</f>
        <v>0.0413125386105881</v>
      </c>
      <c r="K50" s="14">
        <v>45</v>
      </c>
      <c r="L50" s="14" t="str">
        <f>VLOOKUP(K50,ZoneTable,3,FALSE)</f>
        <v>Chinatown</v>
      </c>
      <c r="M50" s="14" t="str">
        <f>VLOOKUP(K50,ZoneTable,2,FALSE)</f>
        <v>Manhattan</v>
      </c>
      <c r="N50" s="15">
        <f>SUMIFS(tblZoneMonthly[Trips],tblZoneMonthly[Location ID],K50)</f>
        <v>43624</v>
      </c>
      <c r="O50" s="15">
        <f>_xlfn.RANK.EQ(N50,$N$6:$N$270,0)+COUNTIF($N$6:N49,N50)</f>
        <v>79</v>
      </c>
      <c r="P50" s="22">
        <f>SUMIFS($N$6:$N$270,$O$6:$O$270,"&lt;="&amp;45)/SUM($N$6:$N$270)</f>
        <v>0.731883912235882</v>
      </c>
    </row>
    <row r="51" spans="1:16" x14ac:dyDescent="0.25">
      <c r="A51" s="30">
        <v>21</v>
      </c>
      <c r="B51" s="22">
        <f>SUMIFS(tblAreaHour[Trips],tblAreaHour[Hour],A51,tblAreaHour[Service Area],"Airports")/SUMIFS(tblAreaHour[Trips],tblAreaHour[Hour],A51)</f>
        <v>0.0453452156025716</v>
      </c>
      <c r="K51" s="14">
        <v>46</v>
      </c>
      <c r="L51" s="14" t="str">
        <f>VLOOKUP(K51,ZoneTable,3,FALSE)</f>
        <v>City Island</v>
      </c>
      <c r="M51" s="14" t="str">
        <f>VLOOKUP(K51,ZoneTable,2,FALSE)</f>
        <v>Bronx</v>
      </c>
      <c r="N51" s="15">
        <f>SUMIFS(tblZoneMonthly[Trips],tblZoneMonthly[Location ID],K51)</f>
        <v>321</v>
      </c>
      <c r="O51" s="15">
        <f>_xlfn.RANK.EQ(N51,$N$6:$N$270,0)+COUNTIF($N$6:N50,N51)</f>
        <v>244</v>
      </c>
      <c r="P51" s="22">
        <f>SUMIFS($N$6:$N$270,$O$6:$O$270,"&lt;="&amp;46)/SUM($N$6:$N$270)</f>
        <v>0.739849307090533</v>
      </c>
    </row>
    <row r="52" spans="1:16" x14ac:dyDescent="0.25">
      <c r="A52" s="30">
        <v>22</v>
      </c>
      <c r="B52" s="22">
        <f>SUMIFS(tblAreaHour[Trips],tblAreaHour[Hour],A52,tblAreaHour[Service Area],"Airports")/SUMIFS(tblAreaHour[Trips],tblAreaHour[Hour],A52)</f>
        <v>0.0466838000593746</v>
      </c>
      <c r="K52" s="14">
        <v>47</v>
      </c>
      <c r="L52" s="14" t="str">
        <f>VLOOKUP(K52,ZoneTable,3,FALSE)</f>
        <v>Claremont/Bathgate</v>
      </c>
      <c r="M52" s="14" t="str">
        <f>VLOOKUP(K52,ZoneTable,2,FALSE)</f>
        <v>Bronx</v>
      </c>
      <c r="N52" s="15">
        <f>SUMIFS(tblZoneMonthly[Trips],tblZoneMonthly[Location ID],K52)</f>
        <v>4294</v>
      </c>
      <c r="O52" s="15">
        <f>_xlfn.RANK.EQ(N52,$N$6:$N$270,0)+COUNTIF($N$6:N51,N52)</f>
        <v>180</v>
      </c>
      <c r="P52" s="22">
        <f>SUMIFS($N$6:$N$270,$O$6:$O$270,"&lt;="&amp;47)/SUM($N$6:$N$270)</f>
        <v>0.74744106347096</v>
      </c>
    </row>
    <row r="53" spans="1:16" x14ac:dyDescent="0.25">
      <c r="A53" s="30">
        <v>23</v>
      </c>
      <c r="B53" s="22">
        <f>SUMIFS(tblAreaHour[Trips],tblAreaHour[Hour],A53,tblAreaHour[Service Area],"Airports")/SUMIFS(tblAreaHour[Trips],tblAreaHour[Hour],A53)</f>
        <v>0.0496214357336685</v>
      </c>
      <c r="K53" s="14">
        <v>48</v>
      </c>
      <c r="L53" s="14" t="str">
        <f>VLOOKUP(K53,ZoneTable,3,FALSE)</f>
        <v>Clinton East</v>
      </c>
      <c r="M53" s="14" t="str">
        <f>VLOOKUP(K53,ZoneTable,2,FALSE)</f>
        <v>Manhattan</v>
      </c>
      <c r="N53" s="15">
        <f>SUMIFS(tblZoneMonthly[Trips],tblZoneMonthly[Location ID],K53)</f>
        <v>257091</v>
      </c>
      <c r="O53" s="15">
        <f>_xlfn.RANK.EQ(N53,$N$6:$N$270,0)+COUNTIF($N$6:N52,N53)</f>
        <v>17</v>
      </c>
      <c r="P53" s="22">
        <f>SUMIFS($N$6:$N$270,$O$6:$O$270,"&lt;="&amp;48)/SUM($N$6:$N$270)</f>
        <v>0.754885382613996</v>
      </c>
    </row>
    <row r="54" spans="1:16" x14ac:dyDescent="0.25">
      <c r="K54" s="14">
        <v>49</v>
      </c>
      <c r="L54" s="14" t="str">
        <f>VLOOKUP(K54,ZoneTable,3,FALSE)</f>
        <v>Clinton Hill</v>
      </c>
      <c r="M54" s="14" t="str">
        <f>VLOOKUP(K54,ZoneTable,2,FALSE)</f>
        <v>Brooklyn</v>
      </c>
      <c r="N54" s="15">
        <f>SUMIFS(tblZoneMonthly[Trips],tblZoneMonthly[Location ID],K54)</f>
        <v>89762</v>
      </c>
      <c r="O54" s="15">
        <f>_xlfn.RANK.EQ(N54,$N$6:$N$270,0)+COUNTIF($N$6:N53,N54)</f>
        <v>51</v>
      </c>
      <c r="P54" s="22">
        <f>SUMIFS($N$6:$N$270,$O$6:$O$270,"&lt;="&amp;49)/SUM($N$6:$N$270)</f>
        <v>0.762284643703971</v>
      </c>
    </row>
    <row r="55" spans="1:16" x14ac:dyDescent="0.25">
      <c r="K55" s="14">
        <v>50</v>
      </c>
      <c r="L55" s="14" t="str">
        <f>VLOOKUP(K55,ZoneTable,3,FALSE)</f>
        <v>Clinton West</v>
      </c>
      <c r="M55" s="14" t="str">
        <f>VLOOKUP(K55,ZoneTable,2,FALSE)</f>
        <v>Manhattan</v>
      </c>
      <c r="N55" s="15">
        <f>SUMIFS(tblZoneMonthly[Trips],tblZoneMonthly[Location ID],K55)</f>
        <v>149228</v>
      </c>
      <c r="O55" s="15">
        <f>_xlfn.RANK.EQ(N55,$N$6:$N$270,0)+COUNTIF($N$6:N54,N55)</f>
        <v>35</v>
      </c>
      <c r="P55" s="22">
        <f>SUMIFS($N$6:$N$270,$O$6:$O$270,"&lt;="&amp;50)/SUM($N$6:$N$270)</f>
        <v>0.76865233465534</v>
      </c>
    </row>
    <row r="56" spans="1:16" x14ac:dyDescent="0.25">
      <c r="K56" s="14">
        <v>51</v>
      </c>
      <c r="L56" s="14" t="str">
        <f>VLOOKUP(K56,ZoneTable,3,FALSE)</f>
        <v>Co-Op City</v>
      </c>
      <c r="M56" s="14" t="str">
        <f>VLOOKUP(K56,ZoneTable,2,FALSE)</f>
        <v>Bronx</v>
      </c>
      <c r="N56" s="15">
        <f>SUMIFS(tblZoneMonthly[Trips],tblZoneMonthly[Location ID],K56)</f>
        <v>4078</v>
      </c>
      <c r="O56" s="15">
        <f>_xlfn.RANK.EQ(N56,$N$6:$N$270,0)+COUNTIF($N$6:N55,N56)</f>
        <v>183</v>
      </c>
      <c r="P56" s="22">
        <f>SUMIFS($N$6:$N$270,$O$6:$O$270,"&lt;="&amp;51)/SUM($N$6:$N$270)</f>
        <v>0.774942382802988</v>
      </c>
    </row>
    <row r="57" spans="1:16" x14ac:dyDescent="0.25">
      <c r="K57" s="14">
        <v>52</v>
      </c>
      <c r="L57" s="14" t="str">
        <f>VLOOKUP(K57,ZoneTable,3,FALSE)</f>
        <v>Cobble Hill</v>
      </c>
      <c r="M57" s="14" t="str">
        <f>VLOOKUP(K57,ZoneTable,2,FALSE)</f>
        <v>Brooklyn</v>
      </c>
      <c r="N57" s="15">
        <f>SUMIFS(tblZoneMonthly[Trips],tblZoneMonthly[Location ID],K57)</f>
        <v>25702</v>
      </c>
      <c r="O57" s="15">
        <f>_xlfn.RANK.EQ(N57,$N$6:$N$270,0)+COUNTIF($N$6:N56,N57)</f>
        <v>90</v>
      </c>
      <c r="P57" s="22">
        <f>SUMIFS($N$6:$N$270,$O$6:$O$270,"&lt;="&amp;52)/SUM($N$6:$N$270)</f>
        <v>0.781201387844094</v>
      </c>
    </row>
    <row r="58" spans="1:16" x14ac:dyDescent="0.25">
      <c r="K58" s="14">
        <v>53</v>
      </c>
      <c r="L58" s="14" t="str">
        <f>VLOOKUP(K58,ZoneTable,3,FALSE)</f>
        <v>College Point</v>
      </c>
      <c r="M58" s="14" t="str">
        <f>VLOOKUP(K58,ZoneTable,2,FALSE)</f>
        <v>Queens</v>
      </c>
      <c r="N58" s="15">
        <f>SUMIFS(tblZoneMonthly[Trips],tblZoneMonthly[Location ID],K58)</f>
        <v>3598</v>
      </c>
      <c r="O58" s="15">
        <f>_xlfn.RANK.EQ(N58,$N$6:$N$270,0)+COUNTIF($N$6:N57,N58)</f>
        <v>194</v>
      </c>
      <c r="P58" s="22">
        <f>SUMIFS($N$6:$N$270,$O$6:$O$270,"&lt;="&amp;53)/SUM($N$6:$N$270)</f>
        <v>0.786843805313052</v>
      </c>
    </row>
    <row r="59" spans="1:16" x14ac:dyDescent="0.25">
      <c r="K59" s="14">
        <v>54</v>
      </c>
      <c r="L59" s="14" t="str">
        <f>VLOOKUP(K59,ZoneTable,3,FALSE)</f>
        <v>Columbia Street</v>
      </c>
      <c r="M59" s="14" t="str">
        <f>VLOOKUP(K59,ZoneTable,2,FALSE)</f>
        <v>Brooklyn</v>
      </c>
      <c r="N59" s="15">
        <f>SUMIFS(tblZoneMonthly[Trips],tblZoneMonthly[Location ID],K59)</f>
        <v>12364</v>
      </c>
      <c r="O59" s="15">
        <f>_xlfn.RANK.EQ(N59,$N$6:$N$270,0)+COUNTIF($N$6:N58,N59)</f>
        <v>118</v>
      </c>
      <c r="P59" s="22">
        <f>SUMIFS($N$6:$N$270,$O$6:$O$270,"&lt;="&amp;54)/SUM($N$6:$N$270)</f>
        <v>0.79247164723763</v>
      </c>
    </row>
    <row r="60" spans="1:16" x14ac:dyDescent="0.25">
      <c r="K60" s="14">
        <v>55</v>
      </c>
      <c r="L60" s="14" t="str">
        <f>VLOOKUP(K60,ZoneTable,3,FALSE)</f>
        <v>Coney Island</v>
      </c>
      <c r="M60" s="14" t="str">
        <f>VLOOKUP(K60,ZoneTable,2,FALSE)</f>
        <v>Brooklyn</v>
      </c>
      <c r="N60" s="15">
        <f>SUMIFS(tblZoneMonthly[Trips],tblZoneMonthly[Location ID],K60)</f>
        <v>5164</v>
      </c>
      <c r="O60" s="15">
        <f>_xlfn.RANK.EQ(N60,$N$6:$N$270,0)+COUNTIF($N$6:N59,N60)</f>
        <v>172</v>
      </c>
      <c r="P60" s="22">
        <f>SUMIFS($N$6:$N$270,$O$6:$O$270,"&lt;="&amp;55)/SUM($N$6:$N$270)</f>
        <v>0.797922620537124</v>
      </c>
    </row>
    <row r="61" spans="1:16" x14ac:dyDescent="0.25">
      <c r="K61" s="14">
        <v>56</v>
      </c>
      <c r="L61" s="14" t="str">
        <f>VLOOKUP(K61,ZoneTable,3,FALSE)</f>
        <v>Corona</v>
      </c>
      <c r="M61" s="14" t="str">
        <f>VLOOKUP(K61,ZoneTable,2,FALSE)</f>
        <v>Queens</v>
      </c>
      <c r="N61" s="15">
        <f>SUMIFS(tblZoneMonthly[Trips],tblZoneMonthly[Location ID],K61)</f>
        <v>8367</v>
      </c>
      <c r="O61" s="15">
        <f>_xlfn.RANK.EQ(N61,$N$6:$N$270,0)+COUNTIF($N$6:N60,N61)</f>
        <v>142</v>
      </c>
      <c r="P61" s="22">
        <f>SUMIFS($N$6:$N$270,$O$6:$O$270,"&lt;="&amp;56)/SUM($N$6:$N$270)</f>
        <v>0.803352150968443</v>
      </c>
    </row>
    <row r="62" spans="1:16" x14ac:dyDescent="0.25">
      <c r="K62" s="14">
        <v>57</v>
      </c>
      <c r="L62" s="14" t="str">
        <f>VLOOKUP(K62,ZoneTable,3,FALSE)</f>
        <v>Corona</v>
      </c>
      <c r="M62" s="14" t="str">
        <f>VLOOKUP(K62,ZoneTable,2,FALSE)</f>
        <v>Queens</v>
      </c>
      <c r="N62" s="15">
        <f>SUMIFS(tblZoneMonthly[Trips],tblZoneMonthly[Location ID],K62)</f>
        <v>675</v>
      </c>
      <c r="O62" s="15">
        <f>_xlfn.RANK.EQ(N62,$N$6:$N$270,0)+COUNTIF($N$6:N61,N62)</f>
        <v>229</v>
      </c>
      <c r="P62" s="22">
        <f>SUMIFS($N$6:$N$270,$O$6:$O$270,"&lt;="&amp;57)/SUM($N$6:$N$270)</f>
        <v>0.808583159682306</v>
      </c>
    </row>
    <row r="63" spans="1:16" x14ac:dyDescent="0.25">
      <c r="K63" s="14">
        <v>58</v>
      </c>
      <c r="L63" s="14" t="str">
        <f>VLOOKUP(K63,ZoneTable,3,FALSE)</f>
        <v>Country Club</v>
      </c>
      <c r="M63" s="14" t="str">
        <f>VLOOKUP(K63,ZoneTable,2,FALSE)</f>
        <v>Bronx</v>
      </c>
      <c r="N63" s="15">
        <f>SUMIFS(tblZoneMonthly[Trips],tblZoneMonthly[Location ID],K63)</f>
        <v>684</v>
      </c>
      <c r="O63" s="15">
        <f>_xlfn.RANK.EQ(N63,$N$6:$N$270,0)+COUNTIF($N$6:N62,N63)</f>
        <v>227</v>
      </c>
      <c r="P63" s="22">
        <f>SUMIFS($N$6:$N$270,$O$6:$O$270,"&lt;="&amp;58)/SUM($N$6:$N$270)</f>
        <v>0.813787890371444</v>
      </c>
    </row>
    <row r="64" spans="1:16" x14ac:dyDescent="0.25">
      <c r="K64" s="14">
        <v>59</v>
      </c>
      <c r="L64" s="14" t="str">
        <f>VLOOKUP(K64,ZoneTable,3,FALSE)</f>
        <v>Crotona Park</v>
      </c>
      <c r="M64" s="14" t="str">
        <f>VLOOKUP(K64,ZoneTable,2,FALSE)</f>
        <v>Bronx</v>
      </c>
      <c r="N64" s="15">
        <f>SUMIFS(tblZoneMonthly[Trips],tblZoneMonthly[Location ID],K64)</f>
        <v>156</v>
      </c>
      <c r="O64" s="15">
        <f>_xlfn.RANK.EQ(N64,$N$6:$N$270,0)+COUNTIF($N$6:N63,N64)</f>
        <v>249</v>
      </c>
      <c r="P64" s="22">
        <f>SUMIFS($N$6:$N$270,$O$6:$O$270,"&lt;="&amp;59)/SUM($N$6:$N$270)</f>
        <v>0.818911684744429</v>
      </c>
    </row>
    <row r="65" spans="11:16" x14ac:dyDescent="0.25">
      <c r="K65" s="14">
        <v>60</v>
      </c>
      <c r="L65" s="14" t="str">
        <f>VLOOKUP(K65,ZoneTable,3,FALSE)</f>
        <v>Crotona Park East</v>
      </c>
      <c r="M65" s="14" t="str">
        <f>VLOOKUP(K65,ZoneTable,2,FALSE)</f>
        <v>Bronx</v>
      </c>
      <c r="N65" s="15">
        <f>SUMIFS(tblZoneMonthly[Trips],tblZoneMonthly[Location ID],K65)</f>
        <v>2619</v>
      </c>
      <c r="O65" s="15">
        <f>_xlfn.RANK.EQ(N65,$N$6:$N$270,0)+COUNTIF($N$6:N64,N65)</f>
        <v>210</v>
      </c>
      <c r="P65" s="22">
        <f>SUMIFS($N$6:$N$270,$O$6:$O$270,"&lt;="&amp;60)/SUM($N$6:$N$270)</f>
        <v>0.823757632802655</v>
      </c>
    </row>
    <row r="66" spans="11:16" x14ac:dyDescent="0.25">
      <c r="K66" s="14">
        <v>61</v>
      </c>
      <c r="L66" s="14" t="str">
        <f>VLOOKUP(K66,ZoneTable,3,FALSE)</f>
        <v>Crown Heights North</v>
      </c>
      <c r="M66" s="14" t="str">
        <f>VLOOKUP(K66,ZoneTable,2,FALSE)</f>
        <v>Brooklyn</v>
      </c>
      <c r="N66" s="15">
        <f>SUMIFS(tblZoneMonthly[Trips],tblZoneMonthly[Location ID],K66)</f>
        <v>105591</v>
      </c>
      <c r="O66" s="15">
        <f>_xlfn.RANK.EQ(N66,$N$6:$N$270,0)+COUNTIF($N$6:N65,N66)</f>
        <v>49</v>
      </c>
      <c r="P66" s="22">
        <f>SUMIFS($N$6:$N$270,$O$6:$O$270,"&lt;="&amp;61)/SUM($N$6:$N$270)</f>
        <v>0.828515987445131</v>
      </c>
    </row>
    <row r="67" spans="11:16" x14ac:dyDescent="0.25">
      <c r="K67" s="14">
        <v>62</v>
      </c>
      <c r="L67" s="14" t="str">
        <f>VLOOKUP(K67,ZoneTable,3,FALSE)</f>
        <v>Crown Heights South</v>
      </c>
      <c r="M67" s="14" t="str">
        <f>VLOOKUP(K67,ZoneTable,2,FALSE)</f>
        <v>Brooklyn</v>
      </c>
      <c r="N67" s="15">
        <f>SUMIFS(tblZoneMonthly[Trips],tblZoneMonthly[Location ID],K67)</f>
        <v>24690</v>
      </c>
      <c r="O67" s="15">
        <f>_xlfn.RANK.EQ(N67,$N$6:$N$270,0)+COUNTIF($N$6:N66,N67)</f>
        <v>92</v>
      </c>
      <c r="P67" s="22">
        <f>SUMIFS($N$6:$N$270,$O$6:$O$270,"&lt;="&amp;62)/SUM($N$6:$N$270)</f>
        <v>0.83305451765144</v>
      </c>
    </row>
    <row r="68" spans="11:16" x14ac:dyDescent="0.25">
      <c r="K68" s="14">
        <v>63</v>
      </c>
      <c r="L68" s="14" t="str">
        <f>VLOOKUP(K68,ZoneTable,3,FALSE)</f>
        <v>Cypress Hills</v>
      </c>
      <c r="M68" s="14" t="str">
        <f>VLOOKUP(K68,ZoneTable,2,FALSE)</f>
        <v>Brooklyn</v>
      </c>
      <c r="N68" s="15">
        <f>SUMIFS(tblZoneMonthly[Trips],tblZoneMonthly[Location ID],K68)</f>
        <v>5801</v>
      </c>
      <c r="O68" s="15">
        <f>_xlfn.RANK.EQ(N68,$N$6:$N$270,0)+COUNTIF($N$6:N67,N68)</f>
        <v>160</v>
      </c>
      <c r="P68" s="22">
        <f>SUMIFS($N$6:$N$270,$O$6:$O$270,"&lt;="&amp;63)/SUM($N$6:$N$270)</f>
        <v>0.837469996627303</v>
      </c>
    </row>
    <row r="69" spans="11:16" x14ac:dyDescent="0.25">
      <c r="K69" s="14">
        <v>64</v>
      </c>
      <c r="L69" s="14" t="str">
        <f>VLOOKUP(K69,ZoneTable,3,FALSE)</f>
        <v>Douglaston</v>
      </c>
      <c r="M69" s="14" t="str">
        <f>VLOOKUP(K69,ZoneTable,2,FALSE)</f>
        <v>Queens</v>
      </c>
      <c r="N69" s="15">
        <f>SUMIFS(tblZoneMonthly[Trips],tblZoneMonthly[Location ID],K69)</f>
        <v>2786</v>
      </c>
      <c r="O69" s="15">
        <f>_xlfn.RANK.EQ(N69,$N$6:$N$270,0)+COUNTIF($N$6:N68,N69)</f>
        <v>209</v>
      </c>
      <c r="P69" s="22">
        <f>SUMIFS($N$6:$N$270,$O$6:$O$270,"&lt;="&amp;64)/SUM($N$6:$N$270)</f>
        <v>0.841613936014341</v>
      </c>
    </row>
    <row r="70" spans="11:16" x14ac:dyDescent="0.25">
      <c r="K70" s="14">
        <v>65</v>
      </c>
      <c r="L70" s="14" t="str">
        <f>VLOOKUP(K70,ZoneTable,3,FALSE)</f>
        <v>Downtown Brooklyn/MetroTech</v>
      </c>
      <c r="M70" s="14" t="str">
        <f>VLOOKUP(K70,ZoneTable,2,FALSE)</f>
        <v>Brooklyn</v>
      </c>
      <c r="N70" s="15">
        <f>SUMIFS(tblZoneMonthly[Trips],tblZoneMonthly[Location ID],K70)</f>
        <v>54613</v>
      </c>
      <c r="O70" s="15">
        <f>_xlfn.RANK.EQ(N70,$N$6:$N$270,0)+COUNTIF($N$6:N69,N70)</f>
        <v>70</v>
      </c>
      <c r="P70" s="22">
        <f>SUMIFS($N$6:$N$270,$O$6:$O$270,"&lt;="&amp;65)/SUM($N$6:$N$270)</f>
        <v>0.845729425059944</v>
      </c>
    </row>
    <row r="71" spans="11:16" x14ac:dyDescent="0.25">
      <c r="K71" s="14">
        <v>66</v>
      </c>
      <c r="L71" s="14" t="str">
        <f>VLOOKUP(K71,ZoneTable,3,FALSE)</f>
        <v>DUMBO/Vinegar Hill</v>
      </c>
      <c r="M71" s="14" t="str">
        <f>VLOOKUP(K71,ZoneTable,2,FALSE)</f>
        <v>Brooklyn</v>
      </c>
      <c r="N71" s="15">
        <f>SUMIFS(tblZoneMonthly[Trips],tblZoneMonthly[Location ID],K71)</f>
        <v>52649</v>
      </c>
      <c r="O71" s="15">
        <f>_xlfn.RANK.EQ(N71,$N$6:$N$270,0)+COUNTIF($N$6:N70,N71)</f>
        <v>71</v>
      </c>
      <c r="P71" s="22">
        <f>SUMIFS($N$6:$N$270,$O$6:$O$270,"&lt;="&amp;66)/SUM($N$6:$N$270)</f>
        <v>0.849779954828426</v>
      </c>
    </row>
    <row r="72" spans="11:16" x14ac:dyDescent="0.25">
      <c r="K72" s="14">
        <v>67</v>
      </c>
      <c r="L72" s="14" t="str">
        <f>VLOOKUP(K72,ZoneTable,3,FALSE)</f>
        <v>Dyker Heights</v>
      </c>
      <c r="M72" s="14" t="str">
        <f>VLOOKUP(K72,ZoneTable,2,FALSE)</f>
        <v>Brooklyn</v>
      </c>
      <c r="N72" s="15">
        <f>SUMIFS(tblZoneMonthly[Trips],tblZoneMonthly[Location ID],K72)</f>
        <v>9325</v>
      </c>
      <c r="O72" s="15">
        <f>_xlfn.RANK.EQ(N72,$N$6:$N$270,0)+COUNTIF($N$6:N71,N72)</f>
        <v>134</v>
      </c>
      <c r="P72" s="22">
        <f>SUMIFS($N$6:$N$270,$O$6:$O$270,"&lt;="&amp;67)/SUM($N$6:$N$270)</f>
        <v>0.853737425352015</v>
      </c>
    </row>
    <row r="73" spans="11:16" x14ac:dyDescent="0.25">
      <c r="K73" s="14">
        <v>68</v>
      </c>
      <c r="L73" s="14" t="str">
        <f>VLOOKUP(K73,ZoneTable,3,FALSE)</f>
        <v>East Chelsea</v>
      </c>
      <c r="M73" s="14" t="str">
        <f>VLOOKUP(K73,ZoneTable,2,FALSE)</f>
        <v>Manhattan</v>
      </c>
      <c r="N73" s="15">
        <f>SUMIFS(tblZoneMonthly[Trips],tblZoneMonthly[Location ID],K73)</f>
        <v>299781</v>
      </c>
      <c r="O73" s="15">
        <f>_xlfn.RANK.EQ(N73,$N$6:$N$270,0)+COUNTIF($N$6:N72,N73)</f>
        <v>7</v>
      </c>
      <c r="P73" s="22">
        <f>SUMIFS($N$6:$N$270,$O$6:$O$270,"&lt;="&amp;68)/SUM($N$6:$N$270)</f>
        <v>0.857586490264272</v>
      </c>
    </row>
    <row r="74" spans="11:16" x14ac:dyDescent="0.25">
      <c r="K74" s="14">
        <v>69</v>
      </c>
      <c r="L74" s="14" t="str">
        <f>VLOOKUP(K74,ZoneTable,3,FALSE)</f>
        <v>East Concourse/Concourse Village</v>
      </c>
      <c r="M74" s="14" t="str">
        <f>VLOOKUP(K74,ZoneTable,2,FALSE)</f>
        <v>Bronx</v>
      </c>
      <c r="N74" s="15">
        <f>SUMIFS(tblZoneMonthly[Trips],tblZoneMonthly[Location ID],K74)</f>
        <v>8228</v>
      </c>
      <c r="O74" s="15">
        <f>_xlfn.RANK.EQ(N74,$N$6:$N$270,0)+COUNTIF($N$6:N73,N74)</f>
        <v>144</v>
      </c>
      <c r="P74" s="22">
        <f>SUMIFS($N$6:$N$270,$O$6:$O$270,"&lt;="&amp;69)/SUM($N$6:$N$270)</f>
        <v>0.861428687852734</v>
      </c>
    </row>
    <row r="75" spans="11:16" x14ac:dyDescent="0.25">
      <c r="K75" s="14">
        <v>70</v>
      </c>
      <c r="L75" s="14" t="str">
        <f>VLOOKUP(K75,ZoneTable,3,FALSE)</f>
        <v>East Elmhurst</v>
      </c>
      <c r="M75" s="14" t="str">
        <f>VLOOKUP(K75,ZoneTable,2,FALSE)</f>
        <v>Queens</v>
      </c>
      <c r="N75" s="15">
        <f>SUMIFS(tblZoneMonthly[Trips],tblZoneMonthly[Location ID],K75)</f>
        <v>12137</v>
      </c>
      <c r="O75" s="15">
        <f>_xlfn.RANK.EQ(N75,$N$6:$N$270,0)+COUNTIF($N$6:N74,N75)</f>
        <v>120</v>
      </c>
      <c r="P75" s="22">
        <f>SUMIFS($N$6:$N$270,$O$6:$O$270,"&lt;="&amp;70)/SUM($N$6:$N$270)</f>
        <v>0.865255679224222</v>
      </c>
    </row>
    <row r="76" spans="11:16" x14ac:dyDescent="0.25">
      <c r="K76" s="14">
        <v>71</v>
      </c>
      <c r="L76" s="14" t="str">
        <f>VLOOKUP(K76,ZoneTable,3,FALSE)</f>
        <v>East Flatbush/Farragut</v>
      </c>
      <c r="M76" s="14" t="str">
        <f>VLOOKUP(K76,ZoneTable,2,FALSE)</f>
        <v>Brooklyn</v>
      </c>
      <c r="N76" s="15">
        <f>SUMIFS(tblZoneMonthly[Trips],tblZoneMonthly[Location ID],K76)</f>
        <v>12375</v>
      </c>
      <c r="O76" s="15">
        <f>_xlfn.RANK.EQ(N76,$N$6:$N$270,0)+COUNTIF($N$6:N75,N76)</f>
        <v>116</v>
      </c>
      <c r="P76" s="22">
        <f>SUMIFS($N$6:$N$270,$O$6:$O$270,"&lt;="&amp;71)/SUM($N$6:$N$270)</f>
        <v>0.868945043820884</v>
      </c>
    </row>
    <row r="77" spans="11:16" x14ac:dyDescent="0.25">
      <c r="K77" s="14">
        <v>72</v>
      </c>
      <c r="L77" s="14" t="str">
        <f>VLOOKUP(K77,ZoneTable,3,FALSE)</f>
        <v>East Flatbush/Remsen Village</v>
      </c>
      <c r="M77" s="14" t="str">
        <f>VLOOKUP(K77,ZoneTable,2,FALSE)</f>
        <v>Brooklyn</v>
      </c>
      <c r="N77" s="15">
        <f>SUMIFS(tblZoneMonthly[Trips],tblZoneMonthly[Location ID],K77)</f>
        <v>13905</v>
      </c>
      <c r="O77" s="15">
        <f>_xlfn.RANK.EQ(N77,$N$6:$N$270,0)+COUNTIF($N$6:N76,N77)</f>
        <v>112</v>
      </c>
      <c r="P77" s="22">
        <f>SUMIFS($N$6:$N$270,$O$6:$O$270,"&lt;="&amp;72)/SUM($N$6:$N$270)</f>
        <v>0.872556975838022</v>
      </c>
    </row>
    <row r="78" spans="11:16" x14ac:dyDescent="0.25">
      <c r="K78" s="14">
        <v>73</v>
      </c>
      <c r="L78" s="14" t="str">
        <f>VLOOKUP(K78,ZoneTable,3,FALSE)</f>
        <v>East Flushing</v>
      </c>
      <c r="M78" s="14" t="str">
        <f>VLOOKUP(K78,ZoneTable,2,FALSE)</f>
        <v>Queens</v>
      </c>
      <c r="N78" s="15">
        <f>SUMIFS(tblZoneMonthly[Trips],tblZoneMonthly[Location ID],K78)</f>
        <v>3668</v>
      </c>
      <c r="O78" s="15">
        <f>_xlfn.RANK.EQ(N78,$N$6:$N$270,0)+COUNTIF($N$6:N77,N78)</f>
        <v>192</v>
      </c>
      <c r="P78" s="22">
        <f>SUMIFS($N$6:$N$270,$O$6:$O$270,"&lt;="&amp;73)/SUM($N$6:$N$270)</f>
        <v>0.876086009446494</v>
      </c>
    </row>
    <row r="79" spans="11:16" x14ac:dyDescent="0.25">
      <c r="K79" s="14">
        <v>74</v>
      </c>
      <c r="L79" s="14" t="str">
        <f>VLOOKUP(K79,ZoneTable,3,FALSE)</f>
        <v>East Harlem North</v>
      </c>
      <c r="M79" s="14" t="str">
        <f>VLOOKUP(K79,ZoneTable,2,FALSE)</f>
        <v>Manhattan</v>
      </c>
      <c r="N79" s="15">
        <f>SUMIFS(tblZoneMonthly[Trips],tblZoneMonthly[Location ID],K79)</f>
        <v>50284</v>
      </c>
      <c r="O79" s="15">
        <f>_xlfn.RANK.EQ(N79,$N$6:$N$270,0)+COUNTIF($N$6:N78,N79)</f>
        <v>74</v>
      </c>
      <c r="P79" s="22">
        <f>SUMIFS($N$6:$N$270,$O$6:$O$270,"&lt;="&amp;74)/SUM($N$6:$N$270)</f>
        <v>0.879609647300557</v>
      </c>
    </row>
    <row r="80" spans="11:16" x14ac:dyDescent="0.25">
      <c r="K80" s="14">
        <v>75</v>
      </c>
      <c r="L80" s="14" t="str">
        <f>VLOOKUP(K80,ZoneTable,3,FALSE)</f>
        <v>East Harlem South</v>
      </c>
      <c r="M80" s="14" t="str">
        <f>VLOOKUP(K80,ZoneTable,2,FALSE)</f>
        <v>Manhattan</v>
      </c>
      <c r="N80" s="15">
        <f>SUMIFS(tblZoneMonthly[Trips],tblZoneMonthly[Location ID],K80)</f>
        <v>51544</v>
      </c>
      <c r="O80" s="15">
        <f>_xlfn.RANK.EQ(N80,$N$6:$N$270,0)+COUNTIF($N$6:N79,N80)</f>
        <v>72</v>
      </c>
      <c r="P80" s="22">
        <f>SUMIFS($N$6:$N$270,$O$6:$O$270,"&lt;="&amp;75)/SUM($N$6:$N$270)</f>
        <v>0.883064541841938</v>
      </c>
    </row>
    <row r="81" spans="11:16" x14ac:dyDescent="0.25">
      <c r="K81" s="14">
        <v>76</v>
      </c>
      <c r="L81" s="14" t="str">
        <f>VLOOKUP(K81,ZoneTable,3,FALSE)</f>
        <v>East New York</v>
      </c>
      <c r="M81" s="14" t="str">
        <f>VLOOKUP(K81,ZoneTable,2,FALSE)</f>
        <v>Brooklyn</v>
      </c>
      <c r="N81" s="15">
        <f>SUMIFS(tblZoneMonthly[Trips],tblZoneMonthly[Location ID],K81)</f>
        <v>15727</v>
      </c>
      <c r="O81" s="15">
        <f>_xlfn.RANK.EQ(N81,$N$6:$N$270,0)+COUNTIF($N$6:N80,N81)</f>
        <v>105</v>
      </c>
      <c r="P81" s="22">
        <f>SUMIFS($N$6:$N$270,$O$6:$O$270,"&lt;="&amp;76)/SUM($N$6:$N$270)</f>
        <v>0.886330725128428</v>
      </c>
    </row>
    <row r="82" spans="11:16" x14ac:dyDescent="0.25">
      <c r="K82" s="14">
        <v>77</v>
      </c>
      <c r="L82" s="14" t="str">
        <f>VLOOKUP(K82,ZoneTable,3,FALSE)</f>
        <v>East New York/Pennsylvania Avenue</v>
      </c>
      <c r="M82" s="14" t="str">
        <f>VLOOKUP(K82,ZoneTable,2,FALSE)</f>
        <v>Brooklyn</v>
      </c>
      <c r="N82" s="15">
        <f>SUMIFS(tblZoneMonthly[Trips],tblZoneMonthly[Location ID],K82)</f>
        <v>4748</v>
      </c>
      <c r="O82" s="15">
        <f>_xlfn.RANK.EQ(N82,$N$6:$N$270,0)+COUNTIF($N$6:N81,N82)</f>
        <v>175</v>
      </c>
      <c r="P82" s="22">
        <f>SUMIFS($N$6:$N$270,$O$6:$O$270,"&lt;="&amp;77)/SUM($N$6:$N$270)</f>
        <v>0.889585346084038</v>
      </c>
    </row>
    <row r="83" spans="11:16" x14ac:dyDescent="0.25">
      <c r="K83" s="14">
        <v>78</v>
      </c>
      <c r="L83" s="14" t="str">
        <f>VLOOKUP(K83,ZoneTable,3,FALSE)</f>
        <v>East Tremont</v>
      </c>
      <c r="M83" s="14" t="str">
        <f>VLOOKUP(K83,ZoneTable,2,FALSE)</f>
        <v>Bronx</v>
      </c>
      <c r="N83" s="15">
        <f>SUMIFS(tblZoneMonthly[Trips],tblZoneMonthly[Location ID],K83)</f>
        <v>5291</v>
      </c>
      <c r="O83" s="15">
        <f>_xlfn.RANK.EQ(N83,$N$6:$N$270,0)+COUNTIF($N$6:N82,N83)</f>
        <v>167</v>
      </c>
      <c r="P83" s="22">
        <f>SUMIFS($N$6:$N$270,$O$6:$O$270,"&lt;="&amp;78)/SUM($N$6:$N$270)</f>
        <v>0.892789162858514</v>
      </c>
    </row>
    <row r="84" spans="11:16" x14ac:dyDescent="0.25">
      <c r="K84" s="14">
        <v>79</v>
      </c>
      <c r="L84" s="14" t="str">
        <f>VLOOKUP(K84,ZoneTable,3,FALSE)</f>
        <v>East Village</v>
      </c>
      <c r="M84" s="14" t="str">
        <f>VLOOKUP(K84,ZoneTable,2,FALSE)</f>
        <v>Manhattan</v>
      </c>
      <c r="N84" s="15">
        <f>SUMIFS(tblZoneMonthly[Trips],tblZoneMonthly[Location ID],K84)</f>
        <v>407591</v>
      </c>
      <c r="O84" s="15">
        <f>_xlfn.RANK.EQ(N84,$N$6:$N$270,0)+COUNTIF($N$6:N83,N84)</f>
        <v>4</v>
      </c>
      <c r="P84" s="22">
        <f>SUMIFS($N$6:$N$270,$O$6:$O$270,"&lt;="&amp;79)/SUM($N$6:$N$270)</f>
        <v>0.89584610299346</v>
      </c>
    </row>
    <row r="85" spans="11:16" x14ac:dyDescent="0.25">
      <c r="K85" s="14">
        <v>80</v>
      </c>
      <c r="L85" s="14" t="str">
        <f>VLOOKUP(K85,ZoneTable,3,FALSE)</f>
        <v>East Williamsburg</v>
      </c>
      <c r="M85" s="14" t="str">
        <f>VLOOKUP(K85,ZoneTable,2,FALSE)</f>
        <v>Brooklyn</v>
      </c>
      <c r="N85" s="15">
        <f>SUMIFS(tblZoneMonthly[Trips],tblZoneMonthly[Location ID],K85)</f>
        <v>118640</v>
      </c>
      <c r="O85" s="15">
        <f>_xlfn.RANK.EQ(N85,$N$6:$N$270,0)+COUNTIF($N$6:N84,N85)</f>
        <v>45</v>
      </c>
      <c r="P85" s="22">
        <f>SUMIFS($N$6:$N$270,$O$6:$O$270,"&lt;="&amp;80)/SUM($N$6:$N$270)</f>
        <v>0.898847473865453</v>
      </c>
    </row>
    <row r="86" spans="11:16" x14ac:dyDescent="0.25">
      <c r="K86" s="14">
        <v>81</v>
      </c>
      <c r="L86" s="14" t="str">
        <f>VLOOKUP(K86,ZoneTable,3,FALSE)</f>
        <v>Eastchester</v>
      </c>
      <c r="M86" s="14" t="str">
        <f>VLOOKUP(K86,ZoneTable,2,FALSE)</f>
        <v>Bronx</v>
      </c>
      <c r="N86" s="15">
        <f>SUMIFS(tblZoneMonthly[Trips],tblZoneMonthly[Location ID],K86)</f>
        <v>3071</v>
      </c>
      <c r="O86" s="15">
        <f>_xlfn.RANK.EQ(N86,$N$6:$N$270,0)+COUNTIF($N$6:N85,N86)</f>
        <v>201</v>
      </c>
      <c r="P86" s="22">
        <f>SUMIFS($N$6:$N$270,$O$6:$O$270,"&lt;="&amp;81)/SUM($N$6:$N$270)</f>
        <v>0.901746465553118</v>
      </c>
    </row>
    <row r="87" spans="11:16" x14ac:dyDescent="0.25">
      <c r="K87" s="14">
        <v>82</v>
      </c>
      <c r="L87" s="14" t="str">
        <f>VLOOKUP(K87,ZoneTable,3,FALSE)</f>
        <v>Elmhurst</v>
      </c>
      <c r="M87" s="14" t="str">
        <f>VLOOKUP(K87,ZoneTable,2,FALSE)</f>
        <v>Queens</v>
      </c>
      <c r="N87" s="15">
        <f>SUMIFS(tblZoneMonthly[Trips],tblZoneMonthly[Location ID],K87)</f>
        <v>22671</v>
      </c>
      <c r="O87" s="15">
        <f>_xlfn.RANK.EQ(N87,$N$6:$N$270,0)+COUNTIF($N$6:N86,N87)</f>
        <v>94</v>
      </c>
      <c r="P87" s="22">
        <f>SUMIFS($N$6:$N$270,$O$6:$O$270,"&lt;="&amp;82)/SUM($N$6:$N$270)</f>
        <v>0.904513716743496</v>
      </c>
    </row>
    <row r="88" spans="11:16" x14ac:dyDescent="0.25">
      <c r="K88" s="14">
        <v>83</v>
      </c>
      <c r="L88" s="14" t="str">
        <f>VLOOKUP(K88,ZoneTable,3,FALSE)</f>
        <v>Elmhurst/Maspeth</v>
      </c>
      <c r="M88" s="14" t="str">
        <f>VLOOKUP(K88,ZoneTable,2,FALSE)</f>
        <v>Queens</v>
      </c>
      <c r="N88" s="15">
        <f>SUMIFS(tblZoneMonthly[Trips],tblZoneMonthly[Location ID],K88)</f>
        <v>8841</v>
      </c>
      <c r="O88" s="15">
        <f>_xlfn.RANK.EQ(N88,$N$6:$N$270,0)+COUNTIF($N$6:N87,N88)</f>
        <v>139</v>
      </c>
      <c r="P88" s="22">
        <f>SUMIFS($N$6:$N$270,$O$6:$O$270,"&lt;="&amp;83)/SUM($N$6:$N$270)</f>
        <v>0.907185245849141</v>
      </c>
    </row>
    <row r="89" spans="11:16" x14ac:dyDescent="0.25">
      <c r="K89" s="14">
        <v>84</v>
      </c>
      <c r="L89" s="14" t="str">
        <f>VLOOKUP(K89,ZoneTable,3,FALSE)</f>
        <v>Eltingville/Annadale/Prince's Bay</v>
      </c>
      <c r="M89" s="14" t="str">
        <f>VLOOKUP(K89,ZoneTable,2,FALSE)</f>
        <v>Staten Island</v>
      </c>
      <c r="N89" s="15">
        <f>SUMIFS(tblZoneMonthly[Trips],tblZoneMonthly[Location ID],K89)</f>
        <v>39</v>
      </c>
      <c r="O89" s="15">
        <f>_xlfn.RANK.EQ(N89,$N$6:$N$270,0)+COUNTIF($N$6:N88,N89)</f>
        <v>254</v>
      </c>
      <c r="P89" s="22">
        <f>SUMIFS($N$6:$N$270,$O$6:$O$270,"&lt;="&amp;84)/SUM($N$6:$N$270)</f>
        <v>0.909760422197461</v>
      </c>
    </row>
    <row r="90" spans="11:16" x14ac:dyDescent="0.25">
      <c r="K90" s="14">
        <v>85</v>
      </c>
      <c r="L90" s="14" t="str">
        <f>VLOOKUP(K90,ZoneTable,3,FALSE)</f>
        <v>Erasmus</v>
      </c>
      <c r="M90" s="14" t="str">
        <f>VLOOKUP(K90,ZoneTable,2,FALSE)</f>
        <v>Brooklyn</v>
      </c>
      <c r="N90" s="15">
        <f>SUMIFS(tblZoneMonthly[Trips],tblZoneMonthly[Location ID],K90)</f>
        <v>10336</v>
      </c>
      <c r="O90" s="15">
        <f>_xlfn.RANK.EQ(N90,$N$6:$N$270,0)+COUNTIF($N$6:N89,N90)</f>
        <v>129</v>
      </c>
      <c r="P90" s="22">
        <f>SUMIFS($N$6:$N$270,$O$6:$O$270,"&lt;="&amp;85)/SUM($N$6:$N$270)</f>
        <v>0.912277997115584</v>
      </c>
    </row>
    <row r="91" spans="11:16" x14ac:dyDescent="0.25">
      <c r="K91" s="14">
        <v>86</v>
      </c>
      <c r="L91" s="14" t="str">
        <f>VLOOKUP(K91,ZoneTable,3,FALSE)</f>
        <v>Far Rockaway</v>
      </c>
      <c r="M91" s="14" t="str">
        <f>VLOOKUP(K91,ZoneTable,2,FALSE)</f>
        <v>Queens</v>
      </c>
      <c r="N91" s="15">
        <f>SUMIFS(tblZoneMonthly[Trips],tblZoneMonthly[Location ID],K91)</f>
        <v>548</v>
      </c>
      <c r="O91" s="15">
        <f>_xlfn.RANK.EQ(N91,$N$6:$N$270,0)+COUNTIF($N$6:N90,N91)</f>
        <v>234</v>
      </c>
      <c r="P91" s="22">
        <f>SUMIFS($N$6:$N$270,$O$6:$O$270,"&lt;="&amp;86)/SUM($N$6:$N$270)</f>
        <v>0.914792348596007</v>
      </c>
    </row>
    <row r="92" spans="11:16" x14ac:dyDescent="0.25">
      <c r="K92" s="14">
        <v>87</v>
      </c>
      <c r="L92" s="14" t="str">
        <f>VLOOKUP(K92,ZoneTable,3,FALSE)</f>
        <v>Financial District North</v>
      </c>
      <c r="M92" s="14" t="str">
        <f>VLOOKUP(K92,ZoneTable,2,FALSE)</f>
        <v>Manhattan</v>
      </c>
      <c r="N92" s="15">
        <f>SUMIFS(tblZoneMonthly[Trips],tblZoneMonthly[Location ID],K92)</f>
        <v>154994</v>
      </c>
      <c r="O92" s="15">
        <f>_xlfn.RANK.EQ(N92,$N$6:$N$270,0)+COUNTIF($N$6:N91,N92)</f>
        <v>34</v>
      </c>
      <c r="P92" s="22">
        <f>SUMIFS($N$6:$N$270,$O$6:$O$270,"&lt;="&amp;87)/SUM($N$6:$N$270)</f>
        <v>0.917195211176864</v>
      </c>
    </row>
    <row r="93" spans="11:16" x14ac:dyDescent="0.25">
      <c r="K93" s="14">
        <v>88</v>
      </c>
      <c r="L93" s="14" t="str">
        <f>VLOOKUP(K93,ZoneTable,3,FALSE)</f>
        <v>Financial District South</v>
      </c>
      <c r="M93" s="14" t="str">
        <f>VLOOKUP(K93,ZoneTable,2,FALSE)</f>
        <v>Manhattan</v>
      </c>
      <c r="N93" s="15">
        <f>SUMIFS(tblZoneMonthly[Trips],tblZoneMonthly[Location ID],K93)</f>
        <v>57803</v>
      </c>
      <c r="O93" s="15">
        <f>_xlfn.RANK.EQ(N93,$N$6:$N$270,0)+COUNTIF($N$6:N92,N93)</f>
        <v>66</v>
      </c>
      <c r="P93" s="22">
        <f>SUMIFS($N$6:$N$270,$O$6:$O$270,"&lt;="&amp;88)/SUM($N$6:$N$270)</f>
        <v>0.919535286797311</v>
      </c>
    </row>
    <row r="94" spans="11:16" x14ac:dyDescent="0.25">
      <c r="K94" s="14">
        <v>89</v>
      </c>
      <c r="L94" s="14" t="str">
        <f>VLOOKUP(K94,ZoneTable,3,FALSE)</f>
        <v>Flatbush/Ditmas Park</v>
      </c>
      <c r="M94" s="14" t="str">
        <f>VLOOKUP(K94,ZoneTable,2,FALSE)</f>
        <v>Brooklyn</v>
      </c>
      <c r="N94" s="15">
        <f>SUMIFS(tblZoneMonthly[Trips],tblZoneMonthly[Location ID],K94)</f>
        <v>46445</v>
      </c>
      <c r="O94" s="15">
        <f>_xlfn.RANK.EQ(N94,$N$6:$N$270,0)+COUNTIF($N$6:N93,N94)</f>
        <v>77</v>
      </c>
      <c r="P94" s="22">
        <f>SUMIFS($N$6:$N$270,$O$6:$O$270,"&lt;="&amp;89)/SUM($N$6:$N$270)</f>
        <v>0.921445033484861</v>
      </c>
    </row>
    <row r="95" spans="11:16" x14ac:dyDescent="0.25">
      <c r="K95" s="14">
        <v>90</v>
      </c>
      <c r="L95" s="14" t="str">
        <f>VLOOKUP(K95,ZoneTable,3,FALSE)</f>
        <v>Flatiron</v>
      </c>
      <c r="M95" s="14" t="str">
        <f>VLOOKUP(K95,ZoneTable,2,FALSE)</f>
        <v>Manhattan</v>
      </c>
      <c r="N95" s="15">
        <f>SUMIFS(tblZoneMonthly[Trips],tblZoneMonthly[Location ID],K95)</f>
        <v>225098</v>
      </c>
      <c r="O95" s="15">
        <f>_xlfn.RANK.EQ(N95,$N$6:$N$270,0)+COUNTIF($N$6:N94,N95)</f>
        <v>24</v>
      </c>
      <c r="P95" s="22">
        <f>SUMIFS($N$6:$N$270,$O$6:$O$270,"&lt;="&amp;90)/SUM($N$6:$N$270)</f>
        <v>0.923246094262148</v>
      </c>
    </row>
    <row r="96" spans="11:16" x14ac:dyDescent="0.25">
      <c r="K96" s="14">
        <v>91</v>
      </c>
      <c r="L96" s="14" t="str">
        <f>VLOOKUP(K96,ZoneTable,3,FALSE)</f>
        <v>Flatlands</v>
      </c>
      <c r="M96" s="14" t="str">
        <f>VLOOKUP(K96,ZoneTable,2,FALSE)</f>
        <v>Brooklyn</v>
      </c>
      <c r="N96" s="15">
        <f>SUMIFS(tblZoneMonthly[Trips],tblZoneMonthly[Location ID],K96)</f>
        <v>15373</v>
      </c>
      <c r="O96" s="15">
        <f>_xlfn.RANK.EQ(N96,$N$6:$N$270,0)+COUNTIF($N$6:N95,N96)</f>
        <v>108</v>
      </c>
      <c r="P96" s="22">
        <f>SUMIFS($N$6:$N$270,$O$6:$O$270,"&lt;="&amp;91)/SUM($N$6:$N$270)</f>
        <v>0.925011837374204</v>
      </c>
    </row>
    <row r="97" spans="11:16" x14ac:dyDescent="0.25">
      <c r="K97" s="14">
        <v>92</v>
      </c>
      <c r="L97" s="14" t="str">
        <f>VLOOKUP(K97,ZoneTable,3,FALSE)</f>
        <v>Flushing</v>
      </c>
      <c r="M97" s="14" t="str">
        <f>VLOOKUP(K97,ZoneTable,2,FALSE)</f>
        <v>Queens</v>
      </c>
      <c r="N97" s="15">
        <f>SUMIFS(tblZoneMonthly[Trips],tblZoneMonthly[Location ID],K97)</f>
        <v>18896</v>
      </c>
      <c r="O97" s="15">
        <f>_xlfn.RANK.EQ(N97,$N$6:$N$270,0)+COUNTIF($N$6:N96,N97)</f>
        <v>99</v>
      </c>
      <c r="P97" s="22">
        <f>SUMIFS($N$6:$N$270,$O$6:$O$270,"&lt;="&amp;92)/SUM($N$6:$N$270)</f>
        <v>0.9267419825221</v>
      </c>
    </row>
    <row r="98" spans="11:16" x14ac:dyDescent="0.25">
      <c r="K98" s="14">
        <v>93</v>
      </c>
      <c r="L98" s="14" t="str">
        <f>VLOOKUP(K98,ZoneTable,3,FALSE)</f>
        <v>Flushing Meadows-Corona Park</v>
      </c>
      <c r="M98" s="14" t="str">
        <f>VLOOKUP(K98,ZoneTable,2,FALSE)</f>
        <v>Queens</v>
      </c>
      <c r="N98" s="15">
        <f>SUMIFS(tblZoneMonthly[Trips],tblZoneMonthly[Location ID],K98)</f>
        <v>5465</v>
      </c>
      <c r="O98" s="15">
        <f>_xlfn.RANK.EQ(N98,$N$6:$N$270,0)+COUNTIF($N$6:N97,N98)</f>
        <v>164</v>
      </c>
      <c r="P98" s="22">
        <f>SUMIFS($N$6:$N$270,$O$6:$O$270,"&lt;="&amp;93)/SUM($N$6:$N$270)</f>
        <v>0.928403944955176</v>
      </c>
    </row>
    <row r="99" spans="11:16" x14ac:dyDescent="0.25">
      <c r="K99" s="14">
        <v>94</v>
      </c>
      <c r="L99" s="14" t="str">
        <f>VLOOKUP(K99,ZoneTable,3,FALSE)</f>
        <v>Fordham South</v>
      </c>
      <c r="M99" s="14" t="str">
        <f>VLOOKUP(K99,ZoneTable,2,FALSE)</f>
        <v>Bronx</v>
      </c>
      <c r="N99" s="15">
        <f>SUMIFS(tblZoneMonthly[Trips],tblZoneMonthly[Location ID],K99)</f>
        <v>2513</v>
      </c>
      <c r="O99" s="15">
        <f>_xlfn.RANK.EQ(N99,$N$6:$N$270,0)+COUNTIF($N$6:N98,N99)</f>
        <v>212</v>
      </c>
      <c r="P99" s="22">
        <f>SUMIFS($N$6:$N$270,$O$6:$O$270,"&lt;="&amp;94)/SUM($N$6:$N$270)</f>
        <v>0.929992609217953</v>
      </c>
    </row>
    <row r="100" spans="11:16" x14ac:dyDescent="0.25">
      <c r="K100" s="14">
        <v>95</v>
      </c>
      <c r="L100" s="14" t="str">
        <f>VLOOKUP(K100,ZoneTable,3,FALSE)</f>
        <v>Forest Hills</v>
      </c>
      <c r="M100" s="14" t="str">
        <f>VLOOKUP(K100,ZoneTable,2,FALSE)</f>
        <v>Queens</v>
      </c>
      <c r="N100" s="15">
        <f>SUMIFS(tblZoneMonthly[Trips],tblZoneMonthly[Location ID],K100)</f>
        <v>41370</v>
      </c>
      <c r="O100" s="15">
        <f>_xlfn.RANK.EQ(N100,$N$6:$N$270,0)+COUNTIF($N$6:N99,N100)</f>
        <v>81</v>
      </c>
      <c r="P100" s="22">
        <f>SUMIFS($N$6:$N$270,$O$6:$O$270,"&lt;="&amp;95)/SUM($N$6:$N$270)</f>
        <v>0.931566347562685</v>
      </c>
    </row>
    <row r="101" spans="11:16" x14ac:dyDescent="0.25">
      <c r="K101" s="14">
        <v>96</v>
      </c>
      <c r="L101" s="14" t="str">
        <f>VLOOKUP(K101,ZoneTable,3,FALSE)</f>
        <v>Forest Park/Highland Park</v>
      </c>
      <c r="M101" s="14" t="str">
        <f>VLOOKUP(K101,ZoneTable,2,FALSE)</f>
        <v>Queens</v>
      </c>
      <c r="N101" s="15">
        <f>SUMIFS(tblZoneMonthly[Trips],tblZoneMonthly[Location ID],K101)</f>
        <v>550</v>
      </c>
      <c r="O101" s="15">
        <f>_xlfn.RANK.EQ(N101,$N$6:$N$270,0)+COUNTIF($N$6:N100,N101)</f>
        <v>233</v>
      </c>
      <c r="P101" s="22">
        <f>SUMIFS($N$6:$N$270,$O$6:$O$270,"&lt;="&amp;96)/SUM($N$6:$N$270)</f>
        <v>0.933070151324283</v>
      </c>
    </row>
    <row r="102" spans="11:16" x14ac:dyDescent="0.25">
      <c r="K102" s="14">
        <v>97</v>
      </c>
      <c r="L102" s="14" t="str">
        <f>VLOOKUP(K102,ZoneTable,3,FALSE)</f>
        <v>Fort Greene</v>
      </c>
      <c r="M102" s="14" t="str">
        <f>VLOOKUP(K102,ZoneTable,2,FALSE)</f>
        <v>Brooklyn</v>
      </c>
      <c r="N102" s="15">
        <f>SUMIFS(tblZoneMonthly[Trips],tblZoneMonthly[Location ID],K102)</f>
        <v>74649</v>
      </c>
      <c r="O102" s="15">
        <f>_xlfn.RANK.EQ(N102,$N$6:$N$270,0)+COUNTIF($N$6:N101,N102)</f>
        <v>57</v>
      </c>
      <c r="P102" s="22">
        <f>SUMIFS($N$6:$N$270,$O$6:$O$270,"&lt;="&amp;97)/SUM($N$6:$N$270)</f>
        <v>0.93451221924646</v>
      </c>
    </row>
    <row r="103" spans="11:16" x14ac:dyDescent="0.25">
      <c r="K103" s="14">
        <v>98</v>
      </c>
      <c r="L103" s="14" t="str">
        <f>VLOOKUP(K103,ZoneTable,3,FALSE)</f>
        <v>Fresh Meadows</v>
      </c>
      <c r="M103" s="14" t="str">
        <f>VLOOKUP(K103,ZoneTable,2,FALSE)</f>
        <v>Queens</v>
      </c>
      <c r="N103" s="15">
        <f>SUMIFS(tblZoneMonthly[Trips],tblZoneMonthly[Location ID],K103)</f>
        <v>3990</v>
      </c>
      <c r="O103" s="15">
        <f>_xlfn.RANK.EQ(N103,$N$6:$N$270,0)+COUNTIF($N$6:N102,N103)</f>
        <v>186</v>
      </c>
      <c r="P103" s="22">
        <f>SUMIFS($N$6:$N$270,$O$6:$O$270,"&lt;="&amp;98)/SUM($N$6:$N$270)</f>
        <v>0.935939571474791</v>
      </c>
    </row>
    <row r="104" spans="11:16" x14ac:dyDescent="0.25">
      <c r="K104" s="14">
        <v>99</v>
      </c>
      <c r="L104" s="14" t="str">
        <f>VLOOKUP(K104,ZoneTable,3,FALSE)</f>
        <v>Freshkills Park</v>
      </c>
      <c r="M104" s="14" t="str">
        <f>VLOOKUP(K104,ZoneTable,2,FALSE)</f>
        <v>Staten Island</v>
      </c>
      <c r="N104" s="15">
        <f>SUMIFS(tblZoneMonthly[Trips],tblZoneMonthly[Location ID],K104)</f>
        <v>9</v>
      </c>
      <c r="O104" s="15">
        <f>_xlfn.RANK.EQ(N104,$N$6:$N$270,0)+COUNTIF($N$6:N103,N104)</f>
        <v>259</v>
      </c>
      <c r="P104" s="22">
        <f>SUMIFS($N$6:$N$270,$O$6:$O$270,"&lt;="&amp;99)/SUM($N$6:$N$270)</f>
        <v>0.937263703622002</v>
      </c>
    </row>
    <row r="105" spans="11:16" x14ac:dyDescent="0.25">
      <c r="K105" s="14">
        <v>100</v>
      </c>
      <c r="L105" s="14" t="str">
        <f>VLOOKUP(K105,ZoneTable,3,FALSE)</f>
        <v>Garment District</v>
      </c>
      <c r="M105" s="14" t="str">
        <f>VLOOKUP(K105,ZoneTable,2,FALSE)</f>
        <v>Manhattan</v>
      </c>
      <c r="N105" s="15">
        <f>SUMIFS(tblZoneMonthly[Trips],tblZoneMonthly[Location ID],K105)</f>
        <v>157241</v>
      </c>
      <c r="O105" s="15">
        <f>_xlfn.RANK.EQ(N105,$N$6:$N$270,0)+COUNTIF($N$6:N104,N105)</f>
        <v>33</v>
      </c>
      <c r="P105" s="22">
        <f>SUMIFS($N$6:$N$270,$O$6:$O$270,"&lt;="&amp;100)/SUM($N$6:$N$270)</f>
        <v>0.938523647314151</v>
      </c>
    </row>
    <row r="106" spans="11:16" x14ac:dyDescent="0.25">
      <c r="K106" s="14">
        <v>101</v>
      </c>
      <c r="L106" s="14" t="str">
        <f>VLOOKUP(K106,ZoneTable,3,FALSE)</f>
        <v>Glen Oaks</v>
      </c>
      <c r="M106" s="14" t="str">
        <f>VLOOKUP(K106,ZoneTable,2,FALSE)</f>
        <v>Queens</v>
      </c>
      <c r="N106" s="15">
        <f>SUMIFS(tblZoneMonthly[Trips],tblZoneMonthly[Location ID],K106)</f>
        <v>1953</v>
      </c>
      <c r="O106" s="15">
        <f>_xlfn.RANK.EQ(N106,$N$6:$N$270,0)+COUNTIF($N$6:N105,N106)</f>
        <v>218</v>
      </c>
      <c r="P106" s="22">
        <f>SUMIFS($N$6:$N$270,$O$6:$O$270,"&lt;="&amp;101)/SUM($N$6:$N$270)</f>
        <v>0.939771117703898</v>
      </c>
    </row>
    <row r="107" spans="11:16" x14ac:dyDescent="0.25">
      <c r="K107" s="14">
        <v>102</v>
      </c>
      <c r="L107" s="14" t="str">
        <f>VLOOKUP(K107,ZoneTable,3,FALSE)</f>
        <v>Glendale</v>
      </c>
      <c r="M107" s="14" t="str">
        <f>VLOOKUP(K107,ZoneTable,2,FALSE)</f>
        <v>Queens</v>
      </c>
      <c r="N107" s="15">
        <f>SUMIFS(tblZoneMonthly[Trips],tblZoneMonthly[Location ID],K107)</f>
        <v>8996</v>
      </c>
      <c r="O107" s="15">
        <f>_xlfn.RANK.EQ(N107,$N$6:$N$270,0)+COUNTIF($N$6:N106,N107)</f>
        <v>136</v>
      </c>
      <c r="P107" s="22">
        <f>SUMIFS($N$6:$N$270,$O$6:$O$270,"&lt;="&amp;102)/SUM($N$6:$N$270)</f>
        <v>0.940996935001271</v>
      </c>
    </row>
    <row r="108" spans="11:16" x14ac:dyDescent="0.25">
      <c r="K108" s="14">
        <v>103</v>
      </c>
      <c r="L108" s="14" t="str">
        <f>VLOOKUP(K108,ZoneTable,3,FALSE)</f>
        <v>Governor's Island/Ellis Island/Liberty Island</v>
      </c>
      <c r="M108" s="14" t="str">
        <f>VLOOKUP(K108,ZoneTable,2,FALSE)</f>
        <v>Manhattan</v>
      </c>
      <c r="N108" s="15">
        <f>SUMIFS(tblZoneMonthly[Trips],tblZoneMonthly[Location ID],K108)</f>
        <v>0</v>
      </c>
      <c r="O108" s="15">
        <f>_xlfn.RANK.EQ(N108,$N$6:$N$270,0)+COUNTIF($N$6:N107,N108)</f>
        <v>263</v>
      </c>
      <c r="P108" s="22">
        <f>SUMIFS($N$6:$N$270,$O$6:$O$270,"&lt;="&amp;103)/SUM($N$6:$N$270)</f>
        <v>0.942106708541458</v>
      </c>
    </row>
    <row r="109" spans="11:16" x14ac:dyDescent="0.25">
      <c r="K109" s="14">
        <v>104</v>
      </c>
      <c r="L109" s="14" t="str">
        <f>VLOOKUP(K109,ZoneTable,3,FALSE)</f>
        <v>Governor's Island/Ellis Island/Liberty Island</v>
      </c>
      <c r="M109" s="14" t="str">
        <f>VLOOKUP(K109,ZoneTable,2,FALSE)</f>
        <v>Manhattan</v>
      </c>
      <c r="N109" s="15">
        <f>SUMIFS(tblZoneMonthly[Trips],tblZoneMonthly[Location ID],K109)</f>
        <v>0</v>
      </c>
      <c r="O109" s="15">
        <f>_xlfn.RANK.EQ(N109,$N$6:$N$270,0)+COUNTIF($N$6:N108,N109)</f>
        <v>264</v>
      </c>
      <c r="P109" s="22">
        <f>SUMIFS($N$6:$N$270,$O$6:$O$270,"&lt;="&amp;104)/SUM($N$6:$N$270)</f>
        <v>0.943211086327235</v>
      </c>
    </row>
    <row r="110" spans="11:16" x14ac:dyDescent="0.25">
      <c r="K110" s="14">
        <v>105</v>
      </c>
      <c r="L110" s="14" t="str">
        <f>VLOOKUP(K110,ZoneTable,3,FALSE)</f>
        <v>Governor's Island/Ellis Island/Liberty Island</v>
      </c>
      <c r="M110" s="14" t="str">
        <f>VLOOKUP(K110,ZoneTable,2,FALSE)</f>
        <v>Manhattan</v>
      </c>
      <c r="N110" s="15">
        <f>SUMIFS(tblZoneMonthly[Trips],tblZoneMonthly[Location ID],K110)</f>
        <v>12</v>
      </c>
      <c r="O110" s="15">
        <f>_xlfn.RANK.EQ(N110,$N$6:$N$270,0)+COUNTIF($N$6:N109,N110)</f>
        <v>258</v>
      </c>
      <c r="P110" s="22">
        <f>SUMIFS($N$6:$N$270,$O$6:$O$270,"&lt;="&amp;105)/SUM($N$6:$N$270)</f>
        <v>0.944313151646837</v>
      </c>
    </row>
    <row r="111" spans="11:16" x14ac:dyDescent="0.25">
      <c r="K111" s="14">
        <v>106</v>
      </c>
      <c r="L111" s="14" t="str">
        <f>VLOOKUP(K111,ZoneTable,3,FALSE)</f>
        <v>Gowanus</v>
      </c>
      <c r="M111" s="14" t="str">
        <f>VLOOKUP(K111,ZoneTable,2,FALSE)</f>
        <v>Brooklyn</v>
      </c>
      <c r="N111" s="15">
        <f>SUMIFS(tblZoneMonthly[Trips],tblZoneMonthly[Location ID],K111)</f>
        <v>38124</v>
      </c>
      <c r="O111" s="15">
        <f>_xlfn.RANK.EQ(N111,$N$6:$N$270,0)+COUNTIF($N$6:N110,N111)</f>
        <v>83</v>
      </c>
      <c r="P111" s="22">
        <f>SUMIFS($N$6:$N$270,$O$6:$O$270,"&lt;="&amp;106)/SUM($N$6:$N$270)</f>
        <v>0.945401902767244</v>
      </c>
    </row>
    <row r="112" spans="11:16" x14ac:dyDescent="0.25">
      <c r="K112" s="14">
        <v>107</v>
      </c>
      <c r="L112" s="14" t="str">
        <f>VLOOKUP(K112,ZoneTable,3,FALSE)</f>
        <v>Gramercy</v>
      </c>
      <c r="M112" s="14" t="str">
        <f>VLOOKUP(K112,ZoneTable,2,FALSE)</f>
        <v>Manhattan</v>
      </c>
      <c r="N112" s="15">
        <f>SUMIFS(tblZoneMonthly[Trips],tblZoneMonthly[Location ID],K112)</f>
        <v>251499</v>
      </c>
      <c r="O112" s="15">
        <f>_xlfn.RANK.EQ(N112,$N$6:$N$270,0)+COUNTIF($N$6:N111,N112)</f>
        <v>20</v>
      </c>
      <c r="P112" s="22">
        <f>SUMIFS($N$6:$N$270,$O$6:$O$270,"&lt;="&amp;107)/SUM($N$6:$N$270)</f>
        <v>0.946479792304099</v>
      </c>
    </row>
    <row r="113" spans="11:16" x14ac:dyDescent="0.25">
      <c r="K113" s="14">
        <v>108</v>
      </c>
      <c r="L113" s="14" t="str">
        <f>VLOOKUP(K113,ZoneTable,3,FALSE)</f>
        <v>Gravesend</v>
      </c>
      <c r="M113" s="14" t="str">
        <f>VLOOKUP(K113,ZoneTable,2,FALSE)</f>
        <v>Brooklyn</v>
      </c>
      <c r="N113" s="15">
        <f>SUMIFS(tblZoneMonthly[Trips],tblZoneMonthly[Location ID],K113)</f>
        <v>3848</v>
      </c>
      <c r="O113" s="15">
        <f>_xlfn.RANK.EQ(N113,$N$6:$N$270,0)+COUNTIF($N$6:N112,N113)</f>
        <v>189</v>
      </c>
      <c r="P113" s="22">
        <f>SUMIFS($N$6:$N$270,$O$6:$O$270,"&lt;="&amp;108)/SUM($N$6:$N$270)</f>
        <v>0.94755705116836</v>
      </c>
    </row>
    <row r="114" spans="11:16" x14ac:dyDescent="0.25">
      <c r="K114" s="14">
        <v>109</v>
      </c>
      <c r="L114" s="14" t="str">
        <f>VLOOKUP(K114,ZoneTable,3,FALSE)</f>
        <v>Great Kills</v>
      </c>
      <c r="M114" s="14" t="str">
        <f>VLOOKUP(K114,ZoneTable,2,FALSE)</f>
        <v>Staten Island</v>
      </c>
      <c r="N114" s="15">
        <f>SUMIFS(tblZoneMonthly[Trips],tblZoneMonthly[Location ID],K114)</f>
        <v>143</v>
      </c>
      <c r="O114" s="15">
        <f>_xlfn.RANK.EQ(N114,$N$6:$N$270,0)+COUNTIF($N$6:N113,N114)</f>
        <v>250</v>
      </c>
      <c r="P114" s="22">
        <f>SUMIFS($N$6:$N$270,$O$6:$O$270,"&lt;="&amp;109)/SUM($N$6:$N$270)</f>
        <v>0.948629404801339</v>
      </c>
    </row>
    <row r="115" spans="11:16" x14ac:dyDescent="0.25">
      <c r="K115" s="14">
        <v>110</v>
      </c>
      <c r="L115" s="14" t="str">
        <f>VLOOKUP(K115,ZoneTable,3,FALSE)</f>
        <v>Great Kills Park</v>
      </c>
      <c r="M115" s="14" t="str">
        <f>VLOOKUP(K115,ZoneTable,2,FALSE)</f>
        <v>Staten Island</v>
      </c>
      <c r="N115" s="15">
        <f>SUMIFS(tblZoneMonthly[Trips],tblZoneMonthly[Location ID],K115)</f>
        <v>2</v>
      </c>
      <c r="O115" s="15">
        <f>_xlfn.RANK.EQ(N115,$N$6:$N$270,0)+COUNTIF($N$6:N114,N115)</f>
        <v>262</v>
      </c>
      <c r="P115" s="22">
        <f>SUMIFS($N$6:$N$270,$O$6:$O$270,"&lt;="&amp;110)/SUM($N$6:$N$270)</f>
        <v>0.949690196103438</v>
      </c>
    </row>
    <row r="116" spans="11:16" x14ac:dyDescent="0.25">
      <c r="K116" s="14">
        <v>111</v>
      </c>
      <c r="L116" s="14" t="str">
        <f>VLOOKUP(K116,ZoneTable,3,FALSE)</f>
        <v>Green-Wood Cemetery</v>
      </c>
      <c r="M116" s="14" t="str">
        <f>VLOOKUP(K116,ZoneTable,2,FALSE)</f>
        <v>Brooklyn</v>
      </c>
      <c r="N116" s="15">
        <f>SUMIFS(tblZoneMonthly[Trips],tblZoneMonthly[Location ID],K116)</f>
        <v>290</v>
      </c>
      <c r="O116" s="15">
        <f>_xlfn.RANK.EQ(N116,$N$6:$N$270,0)+COUNTIF($N$6:N115,N116)</f>
        <v>245</v>
      </c>
      <c r="P116" s="22">
        <f>SUMIFS($N$6:$N$270,$O$6:$O$270,"&lt;="&amp;111)/SUM($N$6:$N$270)</f>
        <v>0.950685327381092</v>
      </c>
    </row>
    <row r="117" spans="11:16" x14ac:dyDescent="0.25">
      <c r="K117" s="14">
        <v>112</v>
      </c>
      <c r="L117" s="14" t="str">
        <f>VLOOKUP(K117,ZoneTable,3,FALSE)</f>
        <v>Greenpoint</v>
      </c>
      <c r="M117" s="14" t="str">
        <f>VLOOKUP(K117,ZoneTable,2,FALSE)</f>
        <v>Brooklyn</v>
      </c>
      <c r="N117" s="15">
        <f>SUMIFS(tblZoneMonthly[Trips],tblZoneMonthly[Location ID],K117)</f>
        <v>137519</v>
      </c>
      <c r="O117" s="15">
        <f>_xlfn.RANK.EQ(N117,$N$6:$N$270,0)+COUNTIF($N$6:N116,N117)</f>
        <v>39</v>
      </c>
      <c r="P117" s="22">
        <f>SUMIFS($N$6:$N$270,$O$6:$O$270,"&lt;="&amp;112)/SUM($N$6:$N$270)</f>
        <v>0.951659716537896</v>
      </c>
    </row>
    <row r="118" spans="11:16" x14ac:dyDescent="0.25">
      <c r="K118" s="14">
        <v>113</v>
      </c>
      <c r="L118" s="14" t="str">
        <f>VLOOKUP(K118,ZoneTable,3,FALSE)</f>
        <v>Greenwich Village North</v>
      </c>
      <c r="M118" s="14" t="str">
        <f>VLOOKUP(K118,ZoneTable,2,FALSE)</f>
        <v>Manhattan</v>
      </c>
      <c r="N118" s="15">
        <f>SUMIFS(tblZoneMonthly[Trips],tblZoneMonthly[Location ID],K118)</f>
        <v>246390</v>
      </c>
      <c r="O118" s="15">
        <f>_xlfn.RANK.EQ(N118,$N$6:$N$270,0)+COUNTIF($N$6:N117,N118)</f>
        <v>21</v>
      </c>
      <c r="P118" s="22">
        <f>SUMIFS($N$6:$N$270,$O$6:$O$270,"&lt;="&amp;113)/SUM($N$6:$N$270)</f>
        <v>0.952617427908341</v>
      </c>
    </row>
    <row r="119" spans="11:16" x14ac:dyDescent="0.25">
      <c r="K119" s="14">
        <v>114</v>
      </c>
      <c r="L119" s="14" t="str">
        <f>VLOOKUP(K119,ZoneTable,3,FALSE)</f>
        <v>Greenwich Village South</v>
      </c>
      <c r="M119" s="14" t="str">
        <f>VLOOKUP(K119,ZoneTable,2,FALSE)</f>
        <v>Manhattan</v>
      </c>
      <c r="N119" s="15">
        <f>SUMIFS(tblZoneMonthly[Trips],tblZoneMonthly[Location ID],K119)</f>
        <v>206420</v>
      </c>
      <c r="O119" s="15">
        <f>_xlfn.RANK.EQ(N119,$N$6:$N$270,0)+COUNTIF($N$6:N118,N119)</f>
        <v>26</v>
      </c>
      <c r="P119" s="22">
        <f>SUMIFS($N$6:$N$270,$O$6:$O$270,"&lt;="&amp;114)/SUM($N$6:$N$270)</f>
        <v>0.953555097905263</v>
      </c>
    </row>
    <row r="120" spans="11:16" x14ac:dyDescent="0.25">
      <c r="K120" s="14">
        <v>115</v>
      </c>
      <c r="L120" s="14" t="str">
        <f>VLOOKUP(K120,ZoneTable,3,FALSE)</f>
        <v>Grymes Hill/Clifton</v>
      </c>
      <c r="M120" s="14" t="str">
        <f>VLOOKUP(K120,ZoneTable,2,FALSE)</f>
        <v>Staten Island</v>
      </c>
      <c r="N120" s="15">
        <f>SUMIFS(tblZoneMonthly[Trips],tblZoneMonthly[Location ID],K120)</f>
        <v>511</v>
      </c>
      <c r="O120" s="15">
        <f>_xlfn.RANK.EQ(N120,$N$6:$N$270,0)+COUNTIF($N$6:N119,N120)</f>
        <v>235</v>
      </c>
      <c r="P120" s="22">
        <f>SUMIFS($N$6:$N$270,$O$6:$O$270,"&lt;="&amp;115)/SUM($N$6:$N$270)</f>
        <v>0.954473357201254</v>
      </c>
    </row>
    <row r="121" spans="11:16" x14ac:dyDescent="0.25">
      <c r="K121" s="14">
        <v>116</v>
      </c>
      <c r="L121" s="14" t="str">
        <f>VLOOKUP(K121,ZoneTable,3,FALSE)</f>
        <v>Hamilton Heights</v>
      </c>
      <c r="M121" s="14" t="str">
        <f>VLOOKUP(K121,ZoneTable,2,FALSE)</f>
        <v>Manhattan</v>
      </c>
      <c r="N121" s="15">
        <f>SUMIFS(tblZoneMonthly[Trips],tblZoneMonthly[Location ID],K121)</f>
        <v>34290</v>
      </c>
      <c r="O121" s="15">
        <f>_xlfn.RANK.EQ(N121,$N$6:$N$270,0)+COUNTIF($N$6:N120,N121)</f>
        <v>87</v>
      </c>
      <c r="P121" s="22">
        <f>SUMIFS($N$6:$N$270,$O$6:$O$270,"&lt;="&amp;116)/SUM($N$6:$N$270)</f>
        <v>0.95534053201718</v>
      </c>
    </row>
    <row r="122" spans="11:16" x14ac:dyDescent="0.25">
      <c r="K122" s="14">
        <v>117</v>
      </c>
      <c r="L122" s="14" t="str">
        <f>VLOOKUP(K122,ZoneTable,3,FALSE)</f>
        <v>Hammels/Arverne</v>
      </c>
      <c r="M122" s="14" t="str">
        <f>VLOOKUP(K122,ZoneTable,2,FALSE)</f>
        <v>Queens</v>
      </c>
      <c r="N122" s="15">
        <f>SUMIFS(tblZoneMonthly[Trips],tblZoneMonthly[Location ID],K122)</f>
        <v>808</v>
      </c>
      <c r="O122" s="15">
        <f>_xlfn.RANK.EQ(N122,$N$6:$N$270,0)+COUNTIF($N$6:N121,N122)</f>
        <v>224</v>
      </c>
      <c r="P122" s="22">
        <f>SUMIFS($N$6:$N$270,$O$6:$O$270,"&lt;="&amp;117)/SUM($N$6:$N$270)</f>
        <v>0.956207356459443</v>
      </c>
    </row>
    <row r="123" spans="11:16" x14ac:dyDescent="0.25">
      <c r="K123" s="14">
        <v>118</v>
      </c>
      <c r="L123" s="14" t="str">
        <f>VLOOKUP(K123,ZoneTable,3,FALSE)</f>
        <v>Heartland Village/Todt Hill</v>
      </c>
      <c r="M123" s="14" t="str">
        <f>VLOOKUP(K123,ZoneTable,2,FALSE)</f>
        <v>Staten Island</v>
      </c>
      <c r="N123" s="15">
        <f>SUMIFS(tblZoneMonthly[Trips],tblZoneMonthly[Location ID],K123)</f>
        <v>764</v>
      </c>
      <c r="O123" s="15">
        <f>_xlfn.RANK.EQ(N123,$N$6:$N$270,0)+COUNTIF($N$6:N122,N123)</f>
        <v>225</v>
      </c>
      <c r="P123" s="22">
        <f>SUMIFS($N$6:$N$270,$O$6:$O$270,"&lt;="&amp;118)/SUM($N$6:$N$270)</f>
        <v>0.957073760453311</v>
      </c>
    </row>
    <row r="124" spans="11:16" x14ac:dyDescent="0.25">
      <c r="K124" s="14">
        <v>119</v>
      </c>
      <c r="L124" s="14" t="str">
        <f>VLOOKUP(K124,ZoneTable,3,FALSE)</f>
        <v>Highbridge</v>
      </c>
      <c r="M124" s="14" t="str">
        <f>VLOOKUP(K124,ZoneTable,2,FALSE)</f>
        <v>Bronx</v>
      </c>
      <c r="N124" s="15">
        <f>SUMIFS(tblZoneMonthly[Trips],tblZoneMonthly[Location ID],K124)</f>
        <v>6203</v>
      </c>
      <c r="O124" s="15">
        <f>_xlfn.RANK.EQ(N124,$N$6:$N$270,0)+COUNTIF($N$6:N123,N124)</f>
        <v>157</v>
      </c>
      <c r="P124" s="22">
        <f>SUMIFS($N$6:$N$270,$O$6:$O$270,"&lt;="&amp;119)/SUM($N$6:$N$270)</f>
        <v>0.957939743998782</v>
      </c>
    </row>
    <row r="125" spans="11:16" x14ac:dyDescent="0.25">
      <c r="K125" s="14">
        <v>120</v>
      </c>
      <c r="L125" s="14" t="str">
        <f>VLOOKUP(K125,ZoneTable,3,FALSE)</f>
        <v>Highbridge Park</v>
      </c>
      <c r="M125" s="14" t="str">
        <f>VLOOKUP(K125,ZoneTable,2,FALSE)</f>
        <v>Manhattan</v>
      </c>
      <c r="N125" s="15">
        <f>SUMIFS(tblZoneMonthly[Trips],tblZoneMonthly[Location ID],K125)</f>
        <v>453</v>
      </c>
      <c r="O125" s="15">
        <f>_xlfn.RANK.EQ(N125,$N$6:$N$270,0)+COUNTIF($N$6:N124,N125)</f>
        <v>237</v>
      </c>
      <c r="P125" s="22">
        <f>SUMIFS($N$6:$N$270,$O$6:$O$270,"&lt;="&amp;120)/SUM($N$6:$N$270)</f>
        <v>0.95879024102835</v>
      </c>
    </row>
    <row r="126" spans="11:16" x14ac:dyDescent="0.25">
      <c r="K126" s="14">
        <v>121</v>
      </c>
      <c r="L126" s="14" t="str">
        <f>VLOOKUP(K126,ZoneTable,3,FALSE)</f>
        <v>Hillcrest/Pomonok</v>
      </c>
      <c r="M126" s="14" t="str">
        <f>VLOOKUP(K126,ZoneTable,2,FALSE)</f>
        <v>Queens</v>
      </c>
      <c r="N126" s="15">
        <f>SUMIFS(tblZoneMonthly[Trips],tblZoneMonthly[Location ID],K126)</f>
        <v>13667</v>
      </c>
      <c r="O126" s="15">
        <f>_xlfn.RANK.EQ(N126,$N$6:$N$270,0)+COUNTIF($N$6:N125,N126)</f>
        <v>113</v>
      </c>
      <c r="P126" s="22">
        <f>SUMIFS($N$6:$N$270,$O$6:$O$270,"&lt;="&amp;121)/SUM($N$6:$N$270)</f>
        <v>0.959624200421023</v>
      </c>
    </row>
    <row r="127" spans="11:16" x14ac:dyDescent="0.25">
      <c r="K127" s="14">
        <v>122</v>
      </c>
      <c r="L127" s="14" t="str">
        <f>VLOOKUP(K127,ZoneTable,3,FALSE)</f>
        <v>Hollis</v>
      </c>
      <c r="M127" s="14" t="str">
        <f>VLOOKUP(K127,ZoneTable,2,FALSE)</f>
        <v>Queens</v>
      </c>
      <c r="N127" s="15">
        <f>SUMIFS(tblZoneMonthly[Trips],tblZoneMonthly[Location ID],K127)</f>
        <v>1806</v>
      </c>
      <c r="O127" s="15">
        <f>_xlfn.RANK.EQ(N127,$N$6:$N$270,0)+COUNTIF($N$6:N126,N127)</f>
        <v>219</v>
      </c>
      <c r="P127" s="22">
        <f>SUMIFS($N$6:$N$270,$O$6:$O$270,"&lt;="&amp;122)/SUM($N$6:$N$270)</f>
        <v>0.960450942116239</v>
      </c>
    </row>
    <row r="128" spans="11:16" x14ac:dyDescent="0.25">
      <c r="K128" s="14">
        <v>123</v>
      </c>
      <c r="L128" s="14" t="str">
        <f>VLOOKUP(K128,ZoneTable,3,FALSE)</f>
        <v>Homecrest</v>
      </c>
      <c r="M128" s="14" t="str">
        <f>VLOOKUP(K128,ZoneTable,2,FALSE)</f>
        <v>Brooklyn</v>
      </c>
      <c r="N128" s="15">
        <f>SUMIFS(tblZoneMonthly[Trips],tblZoneMonthly[Location ID],K128)</f>
        <v>17493</v>
      </c>
      <c r="O128" s="15">
        <f>_xlfn.RANK.EQ(N128,$N$6:$N$270,0)+COUNTIF($N$6:N127,N128)</f>
        <v>102</v>
      </c>
      <c r="P128" s="22">
        <f>SUMIFS($N$6:$N$270,$O$6:$O$270,"&lt;="&amp;123)/SUM($N$6:$N$270)</f>
        <v>0.961262547669213</v>
      </c>
    </row>
    <row r="129" spans="11:16" x14ac:dyDescent="0.25">
      <c r="K129" s="14">
        <v>124</v>
      </c>
      <c r="L129" s="14" t="str">
        <f>VLOOKUP(K129,ZoneTable,3,FALSE)</f>
        <v>Howard Beach</v>
      </c>
      <c r="M129" s="14" t="str">
        <f>VLOOKUP(K129,ZoneTable,2,FALSE)</f>
        <v>Queens</v>
      </c>
      <c r="N129" s="15">
        <f>SUMIFS(tblZoneMonthly[Trips],tblZoneMonthly[Location ID],K129)</f>
        <v>5189</v>
      </c>
      <c r="O129" s="15">
        <f>_xlfn.RANK.EQ(N129,$N$6:$N$270,0)+COUNTIF($N$6:N128,N129)</f>
        <v>170</v>
      </c>
      <c r="P129" s="22">
        <f>SUMIFS($N$6:$N$270,$O$6:$O$270,"&lt;="&amp;124)/SUM($N$6:$N$270)</f>
        <v>0.96205537319385</v>
      </c>
    </row>
    <row r="130" spans="11:16" x14ac:dyDescent="0.25">
      <c r="K130" s="14">
        <v>125</v>
      </c>
      <c r="L130" s="14" t="str">
        <f>VLOOKUP(K130,ZoneTable,3,FALSE)</f>
        <v>Hudson Sq</v>
      </c>
      <c r="M130" s="14" t="str">
        <f>VLOOKUP(K130,ZoneTable,2,FALSE)</f>
        <v>Manhattan</v>
      </c>
      <c r="N130" s="15">
        <f>SUMIFS(tblZoneMonthly[Trips],tblZoneMonthly[Location ID],K130)</f>
        <v>125469</v>
      </c>
      <c r="O130" s="15">
        <f>_xlfn.RANK.EQ(N130,$N$6:$N$270,0)+COUNTIF($N$6:N129,N130)</f>
        <v>43</v>
      </c>
      <c r="P130" s="22">
        <f>SUMIFS($N$6:$N$270,$O$6:$O$270,"&lt;="&amp;125)/SUM($N$6:$N$270)</f>
        <v>0.962842452590414</v>
      </c>
    </row>
    <row r="131" spans="11:16" x14ac:dyDescent="0.25">
      <c r="K131" s="14">
        <v>126</v>
      </c>
      <c r="L131" s="14" t="str">
        <f>VLOOKUP(K131,ZoneTable,3,FALSE)</f>
        <v>Hunts Point</v>
      </c>
      <c r="M131" s="14" t="str">
        <f>VLOOKUP(K131,ZoneTable,2,FALSE)</f>
        <v>Bronx</v>
      </c>
      <c r="N131" s="15">
        <f>SUMIFS(tblZoneMonthly[Trips],tblZoneMonthly[Location ID],K131)</f>
        <v>3051</v>
      </c>
      <c r="O131" s="15">
        <f>_xlfn.RANK.EQ(N131,$N$6:$N$270,0)+COUNTIF($N$6:N130,N131)</f>
        <v>202</v>
      </c>
      <c r="P131" s="22">
        <f>SUMIFS($N$6:$N$270,$O$6:$O$270,"&lt;="&amp;126)/SUM($N$6:$N$270)</f>
        <v>0.96361502651733</v>
      </c>
    </row>
    <row r="132" spans="11:16" x14ac:dyDescent="0.25">
      <c r="K132" s="14">
        <v>127</v>
      </c>
      <c r="L132" s="14" t="str">
        <f>VLOOKUP(K132,ZoneTable,3,FALSE)</f>
        <v>Inwood</v>
      </c>
      <c r="M132" s="14" t="str">
        <f>VLOOKUP(K132,ZoneTable,2,FALSE)</f>
        <v>Manhattan</v>
      </c>
      <c r="N132" s="15">
        <f>SUMIFS(tblZoneMonthly[Trips],tblZoneMonthly[Location ID],K132)</f>
        <v>15138</v>
      </c>
      <c r="O132" s="15">
        <f>_xlfn.RANK.EQ(N132,$N$6:$N$270,0)+COUNTIF($N$6:N131,N132)</f>
        <v>110</v>
      </c>
      <c r="P132" s="22">
        <f>SUMIFS($N$6:$N$270,$O$6:$O$270,"&lt;="&amp;127)/SUM($N$6:$N$270)</f>
        <v>0.964386829622187</v>
      </c>
    </row>
    <row r="133" spans="11:16" x14ac:dyDescent="0.25">
      <c r="K133" s="14">
        <v>128</v>
      </c>
      <c r="L133" s="14" t="str">
        <f>VLOOKUP(K133,ZoneTable,3,FALSE)</f>
        <v>Inwood Hill Park</v>
      </c>
      <c r="M133" s="14" t="str">
        <f>VLOOKUP(K133,ZoneTable,2,FALSE)</f>
        <v>Manhattan</v>
      </c>
      <c r="N133" s="15">
        <f>SUMIFS(tblZoneMonthly[Trips],tblZoneMonthly[Location ID],K133)</f>
        <v>1200</v>
      </c>
      <c r="O133" s="15">
        <f>_xlfn.RANK.EQ(N133,$N$6:$N$270,0)+COUNTIF($N$6:N132,N133)</f>
        <v>221</v>
      </c>
      <c r="P133" s="22">
        <f>SUMIFS($N$6:$N$270,$O$6:$O$270,"&lt;="&amp;128)/SUM($N$6:$N$270)</f>
        <v>0.965119531026254</v>
      </c>
    </row>
    <row r="134" spans="11:16" x14ac:dyDescent="0.25">
      <c r="K134" s="14">
        <v>129</v>
      </c>
      <c r="L134" s="14" t="str">
        <f>VLOOKUP(K134,ZoneTable,3,FALSE)</f>
        <v>Jackson Heights</v>
      </c>
      <c r="M134" s="14" t="str">
        <f>VLOOKUP(K134,ZoneTable,2,FALSE)</f>
        <v>Queens</v>
      </c>
      <c r="N134" s="15">
        <f>SUMIFS(tblZoneMonthly[Trips],tblZoneMonthly[Location ID],K134)</f>
        <v>36749</v>
      </c>
      <c r="O134" s="15">
        <f>_xlfn.RANK.EQ(N134,$N$6:$N$270,0)+COUNTIF($N$6:N133,N134)</f>
        <v>84</v>
      </c>
      <c r="P134" s="22">
        <f>SUMIFS($N$6:$N$270,$O$6:$O$270,"&lt;="&amp;129)/SUM($N$6:$N$270)</f>
        <v>0.965843823462408</v>
      </c>
    </row>
    <row r="135" spans="11:16" x14ac:dyDescent="0.25">
      <c r="K135" s="14">
        <v>130</v>
      </c>
      <c r="L135" s="14" t="str">
        <f>VLOOKUP(K135,ZoneTable,3,FALSE)</f>
        <v>Jamaica</v>
      </c>
      <c r="M135" s="14" t="str">
        <f>VLOOKUP(K135,ZoneTable,2,FALSE)</f>
        <v>Queens</v>
      </c>
      <c r="N135" s="15">
        <f>SUMIFS(tblZoneMonthly[Trips],tblZoneMonthly[Location ID],K135)</f>
        <v>15537</v>
      </c>
      <c r="O135" s="15">
        <f>_xlfn.RANK.EQ(N135,$N$6:$N$270,0)+COUNTIF($N$6:N134,N135)</f>
        <v>106</v>
      </c>
      <c r="P135" s="22">
        <f>SUMIFS($N$6:$N$270,$O$6:$O$270,"&lt;="&amp;130)/SUM($N$6:$N$270)</f>
        <v>0.966565172759793</v>
      </c>
    </row>
    <row r="136" spans="11:16" x14ac:dyDescent="0.25">
      <c r="K136" s="14">
        <v>131</v>
      </c>
      <c r="L136" s="14" t="str">
        <f>VLOOKUP(K136,ZoneTable,3,FALSE)</f>
        <v>Jamaica Estates</v>
      </c>
      <c r="M136" s="14" t="str">
        <f>VLOOKUP(K136,ZoneTable,2,FALSE)</f>
        <v>Queens</v>
      </c>
      <c r="N136" s="15">
        <f>SUMIFS(tblZoneMonthly[Trips],tblZoneMonthly[Location ID],K136)</f>
        <v>6552</v>
      </c>
      <c r="O136" s="15">
        <f>_xlfn.RANK.EQ(N136,$N$6:$N$270,0)+COUNTIF($N$6:N135,N136)</f>
        <v>154</v>
      </c>
      <c r="P136" s="22">
        <f>SUMIFS($N$6:$N$270,$O$6:$O$270,"&lt;="&amp;131)/SUM($N$6:$N$270)</f>
        <v>0.967270054495017</v>
      </c>
    </row>
    <row r="137" spans="11:16" x14ac:dyDescent="0.25">
      <c r="K137" s="14">
        <v>132</v>
      </c>
      <c r="L137" s="14" t="str">
        <f>VLOOKUP(K137,ZoneTable,3,FALSE)</f>
        <v>JFK Airport</v>
      </c>
      <c r="M137" s="14" t="str">
        <f>VLOOKUP(K137,ZoneTable,2,FALSE)</f>
        <v>Queens</v>
      </c>
      <c r="N137" s="15">
        <f>SUMIFS(tblZoneMonthly[Trips],tblZoneMonthly[Location ID],K137)</f>
        <v>289169</v>
      </c>
      <c r="O137" s="15">
        <f>_xlfn.RANK.EQ(N137,$N$6:$N$270,0)+COUNTIF($N$6:N136,N137)</f>
        <v>10</v>
      </c>
      <c r="P137" s="22">
        <f>SUMIFS($N$6:$N$270,$O$6:$O$270,"&lt;="&amp;132)/SUM($N$6:$N$270)</f>
        <v>0.967963023525699</v>
      </c>
    </row>
    <row r="138" spans="11:16" x14ac:dyDescent="0.25">
      <c r="K138" s="14">
        <v>133</v>
      </c>
      <c r="L138" s="14" t="str">
        <f>VLOOKUP(K138,ZoneTable,3,FALSE)</f>
        <v>Kensington</v>
      </c>
      <c r="M138" s="14" t="str">
        <f>VLOOKUP(K138,ZoneTable,2,FALSE)</f>
        <v>Brooklyn</v>
      </c>
      <c r="N138" s="15">
        <f>SUMIFS(tblZoneMonthly[Trips],tblZoneMonthly[Location ID],K138)</f>
        <v>12358</v>
      </c>
      <c r="O138" s="15">
        <f>_xlfn.RANK.EQ(N138,$N$6:$N$270,0)+COUNTIF($N$6:N137,N138)</f>
        <v>119</v>
      </c>
      <c r="P138" s="22">
        <f>SUMIFS($N$6:$N$270,$O$6:$O$270,"&lt;="&amp;133)/SUM($N$6:$N$270)</f>
        <v>0.968637422752243</v>
      </c>
    </row>
    <row r="139" spans="11:16" x14ac:dyDescent="0.25">
      <c r="K139" s="14">
        <v>134</v>
      </c>
      <c r="L139" s="14" t="str">
        <f>VLOOKUP(K139,ZoneTable,3,FALSE)</f>
        <v>Kew Gardens</v>
      </c>
      <c r="M139" s="14" t="str">
        <f>VLOOKUP(K139,ZoneTable,2,FALSE)</f>
        <v>Queens</v>
      </c>
      <c r="N139" s="15">
        <f>SUMIFS(tblZoneMonthly[Trips],tblZoneMonthly[Location ID],K139)</f>
        <v>11798</v>
      </c>
      <c r="O139" s="15">
        <f>_xlfn.RANK.EQ(N139,$N$6:$N$270,0)+COUNTIF($N$6:N138,N139)</f>
        <v>122</v>
      </c>
      <c r="P139" s="22">
        <f>SUMIFS($N$6:$N$270,$O$6:$O$270,"&lt;="&amp;134)/SUM($N$6:$N$270)</f>
        <v>0.969290869633738</v>
      </c>
    </row>
    <row r="140" spans="11:16" x14ac:dyDescent="0.25">
      <c r="K140" s="14">
        <v>135</v>
      </c>
      <c r="L140" s="14" t="str">
        <f>VLOOKUP(K140,ZoneTable,3,FALSE)</f>
        <v>Kew Gardens Hills</v>
      </c>
      <c r="M140" s="14" t="str">
        <f>VLOOKUP(K140,ZoneTable,2,FALSE)</f>
        <v>Queens</v>
      </c>
      <c r="N140" s="15">
        <f>SUMIFS(tblZoneMonthly[Trips],tblZoneMonthly[Location ID],K140)</f>
        <v>11014</v>
      </c>
      <c r="O140" s="15">
        <f>_xlfn.RANK.EQ(N140,$N$6:$N$270,0)+COUNTIF($N$6:N139,N140)</f>
        <v>127</v>
      </c>
      <c r="P140" s="22">
        <f>SUMIFS($N$6:$N$270,$O$6:$O$270,"&lt;="&amp;135)/SUM($N$6:$N$270)</f>
        <v>0.969932263661227</v>
      </c>
    </row>
    <row r="141" spans="11:16" x14ac:dyDescent="0.25">
      <c r="K141" s="14">
        <v>136</v>
      </c>
      <c r="L141" s="14" t="str">
        <f>VLOOKUP(K141,ZoneTable,3,FALSE)</f>
        <v>Kingsbridge Heights</v>
      </c>
      <c r="M141" s="14" t="str">
        <f>VLOOKUP(K141,ZoneTable,2,FALSE)</f>
        <v>Bronx</v>
      </c>
      <c r="N141" s="15">
        <f>SUMIFS(tblZoneMonthly[Trips],tblZoneMonthly[Location ID],K141)</f>
        <v>4215</v>
      </c>
      <c r="O141" s="15">
        <f>_xlfn.RANK.EQ(N141,$N$6:$N$270,0)+COUNTIF($N$6:N140,N141)</f>
        <v>181</v>
      </c>
      <c r="P141" s="22">
        <f>SUMIFS($N$6:$N$270,$O$6:$O$270,"&lt;="&amp;136)/SUM($N$6:$N$270)</f>
        <v>0.970562655955697</v>
      </c>
    </row>
    <row r="142" spans="11:16" x14ac:dyDescent="0.25">
      <c r="K142" s="14">
        <v>137</v>
      </c>
      <c r="L142" s="14" t="str">
        <f>VLOOKUP(K142,ZoneTable,3,FALSE)</f>
        <v>Kips Bay</v>
      </c>
      <c r="M142" s="14" t="str">
        <f>VLOOKUP(K142,ZoneTable,2,FALSE)</f>
        <v>Manhattan</v>
      </c>
      <c r="N142" s="15">
        <f>SUMIFS(tblZoneMonthly[Trips],tblZoneMonthly[Location ID],K142)</f>
        <v>123537</v>
      </c>
      <c r="O142" s="15">
        <f>_xlfn.RANK.EQ(N142,$N$6:$N$270,0)+COUNTIF($N$6:N141,N142)</f>
        <v>44</v>
      </c>
      <c r="P142" s="22">
        <f>SUMIFS($N$6:$N$270,$O$6:$O$270,"&lt;="&amp;137)/SUM($N$6:$N$270)</f>
        <v>0.971190105111398</v>
      </c>
    </row>
    <row r="143" spans="11:16" x14ac:dyDescent="0.25">
      <c r="K143" s="14">
        <v>138</v>
      </c>
      <c r="L143" s="14" t="str">
        <f>VLOOKUP(K143,ZoneTable,3,FALSE)</f>
        <v>LaGuardia Airport</v>
      </c>
      <c r="M143" s="14" t="str">
        <f>VLOOKUP(K143,ZoneTable,2,FALSE)</f>
        <v>Queens</v>
      </c>
      <c r="N143" s="15">
        <f>SUMIFS(tblZoneMonthly[Trips],tblZoneMonthly[Location ID],K143)</f>
        <v>266119</v>
      </c>
      <c r="O143" s="15">
        <f>_xlfn.RANK.EQ(N143,$N$6:$N$270,0)+COUNTIF($N$6:N142,N143)</f>
        <v>16</v>
      </c>
      <c r="P143" s="22">
        <f>SUMIFS($N$6:$N$270,$O$6:$O$270,"&lt;="&amp;138)/SUM($N$6:$N$270)</f>
        <v>0.971812368736887</v>
      </c>
    </row>
    <row r="144" spans="11:16" x14ac:dyDescent="0.25">
      <c r="K144" s="14">
        <v>139</v>
      </c>
      <c r="L144" s="14" t="str">
        <f>VLOOKUP(K144,ZoneTable,3,FALSE)</f>
        <v>Laurelton</v>
      </c>
      <c r="M144" s="14" t="str">
        <f>VLOOKUP(K144,ZoneTable,2,FALSE)</f>
        <v>Queens</v>
      </c>
      <c r="N144" s="15">
        <f>SUMIFS(tblZoneMonthly[Trips],tblZoneMonthly[Location ID],K144)</f>
        <v>2867</v>
      </c>
      <c r="O144" s="15">
        <f>_xlfn.RANK.EQ(N144,$N$6:$N$270,0)+COUNTIF($N$6:N143,N144)</f>
        <v>207</v>
      </c>
      <c r="P144" s="22">
        <f>SUMIFS($N$6:$N$270,$O$6:$O$270,"&lt;="&amp;139)/SUM($N$6:$N$270)</f>
        <v>0.972431899447804</v>
      </c>
    </row>
    <row r="145" spans="11:16" x14ac:dyDescent="0.25">
      <c r="K145" s="14">
        <v>140</v>
      </c>
      <c r="L145" s="14" t="str">
        <f>VLOOKUP(K145,ZoneTable,3,FALSE)</f>
        <v>Lenox Hill East</v>
      </c>
      <c r="M145" s="14" t="str">
        <f>VLOOKUP(K145,ZoneTable,2,FALSE)</f>
        <v>Manhattan</v>
      </c>
      <c r="N145" s="15">
        <f>SUMIFS(tblZoneMonthly[Trips],tblZoneMonthly[Location ID],K145)</f>
        <v>126905</v>
      </c>
      <c r="O145" s="15">
        <f>_xlfn.RANK.EQ(N145,$N$6:$N$270,0)+COUNTIF($N$6:N144,N145)</f>
        <v>42</v>
      </c>
      <c r="P145" s="22">
        <f>SUMIFS($N$6:$N$270,$O$6:$O$270,"&lt;="&amp;140)/SUM($N$6:$N$270)</f>
        <v>0.973022629443623</v>
      </c>
    </row>
    <row r="146" spans="11:16" x14ac:dyDescent="0.25">
      <c r="K146" s="14">
        <v>141</v>
      </c>
      <c r="L146" s="14" t="str">
        <f>VLOOKUP(K146,ZoneTable,3,FALSE)</f>
        <v>Lenox Hill West</v>
      </c>
      <c r="M146" s="14" t="str">
        <f>VLOOKUP(K146,ZoneTable,2,FALSE)</f>
        <v>Manhattan</v>
      </c>
      <c r="N146" s="15">
        <f>SUMIFS(tblZoneMonthly[Trips],tblZoneMonthly[Location ID],K146)</f>
        <v>198226</v>
      </c>
      <c r="O146" s="15">
        <f>_xlfn.RANK.EQ(N146,$N$6:$N$270,0)+COUNTIF($N$6:N145,N146)</f>
        <v>27</v>
      </c>
      <c r="P146" s="22">
        <f>SUMIFS($N$6:$N$270,$O$6:$O$270,"&lt;="&amp;141)/SUM($N$6:$N$270)</f>
        <v>0.973611887870057</v>
      </c>
    </row>
    <row r="147" spans="11:16" x14ac:dyDescent="0.25">
      <c r="K147" s="14">
        <v>142</v>
      </c>
      <c r="L147" s="14" t="str">
        <f>VLOOKUP(K147,ZoneTable,3,FALSE)</f>
        <v>Lincoln Square East</v>
      </c>
      <c r="M147" s="14" t="str">
        <f>VLOOKUP(K147,ZoneTable,2,FALSE)</f>
        <v>Manhattan</v>
      </c>
      <c r="N147" s="15">
        <f>SUMIFS(tblZoneMonthly[Trips],tblZoneMonthly[Location ID],K147)</f>
        <v>198052</v>
      </c>
      <c r="O147" s="15">
        <f>_xlfn.RANK.EQ(N147,$N$6:$N$270,0)+COUNTIF($N$6:N146,N147)</f>
        <v>28</v>
      </c>
      <c r="P147" s="22">
        <f>SUMIFS($N$6:$N$270,$O$6:$O$270,"&lt;="&amp;142)/SUM($N$6:$N$270)</f>
        <v>0.974198203157722</v>
      </c>
    </row>
    <row r="148" spans="11:16" x14ac:dyDescent="0.25">
      <c r="K148" s="14">
        <v>143</v>
      </c>
      <c r="L148" s="14" t="str">
        <f>VLOOKUP(K148,ZoneTable,3,FALSE)</f>
        <v>Lincoln Square West</v>
      </c>
      <c r="M148" s="14" t="str">
        <f>VLOOKUP(K148,ZoneTable,2,FALSE)</f>
        <v>Manhattan</v>
      </c>
      <c r="N148" s="15">
        <f>SUMIFS(tblZoneMonthly[Trips],tblZoneMonthly[Location ID],K148)</f>
        <v>113670</v>
      </c>
      <c r="O148" s="15">
        <f>_xlfn.RANK.EQ(N148,$N$6:$N$270,0)+COUNTIF($N$6:N147,N148)</f>
        <v>46</v>
      </c>
      <c r="P148" s="22">
        <f>SUMIFS($N$6:$N$270,$O$6:$O$270,"&lt;="&amp;143)/SUM($N$6:$N$270)</f>
        <v>0.974782766577071</v>
      </c>
    </row>
    <row r="149" spans="11:16" x14ac:dyDescent="0.25">
      <c r="K149" s="14">
        <v>144</v>
      </c>
      <c r="L149" s="14" t="str">
        <f>VLOOKUP(K149,ZoneTable,3,FALSE)</f>
        <v>Little Italy/NoLiTa</v>
      </c>
      <c r="M149" s="14" t="str">
        <f>VLOOKUP(K149,ZoneTable,2,FALSE)</f>
        <v>Manhattan</v>
      </c>
      <c r="N149" s="15">
        <f>SUMIFS(tblZoneMonthly[Trips],tblZoneMonthly[Location ID],K149)</f>
        <v>255202</v>
      </c>
      <c r="O149" s="15">
        <f>_xlfn.RANK.EQ(N149,$N$6:$N$270,0)+COUNTIF($N$6:N148,N149)</f>
        <v>18</v>
      </c>
      <c r="P149" s="22">
        <f>SUMIFS($N$6:$N$270,$O$6:$O$270,"&lt;="&amp;144)/SUM($N$6:$N$270)</f>
        <v>0.975359341476905</v>
      </c>
    </row>
    <row r="150" spans="11:16" x14ac:dyDescent="0.25">
      <c r="K150" s="14">
        <v>145</v>
      </c>
      <c r="L150" s="14" t="str">
        <f>VLOOKUP(K150,ZoneTable,3,FALSE)</f>
        <v>Long Island City/Hunters Point</v>
      </c>
      <c r="M150" s="14" t="str">
        <f>VLOOKUP(K150,ZoneTable,2,FALSE)</f>
        <v>Queens</v>
      </c>
      <c r="N150" s="15">
        <f>SUMIFS(tblZoneMonthly[Trips],tblZoneMonthly[Location ID],K150)</f>
        <v>80520</v>
      </c>
      <c r="O150" s="15">
        <f>_xlfn.RANK.EQ(N150,$N$6:$N$270,0)+COUNTIF($N$6:N149,N150)</f>
        <v>53</v>
      </c>
      <c r="P150" s="22">
        <f>SUMIFS($N$6:$N$270,$O$6:$O$270,"&lt;="&amp;145)/SUM($N$6:$N$270)</f>
        <v>0.975925545316314</v>
      </c>
    </row>
    <row r="151" spans="11:16" x14ac:dyDescent="0.25">
      <c r="K151" s="14">
        <v>146</v>
      </c>
      <c r="L151" s="14" t="str">
        <f>VLOOKUP(K151,ZoneTable,3,FALSE)</f>
        <v>Long Island City/Queens Plaza</v>
      </c>
      <c r="M151" s="14" t="str">
        <f>VLOOKUP(K151,ZoneTable,2,FALSE)</f>
        <v>Queens</v>
      </c>
      <c r="N151" s="15">
        <f>SUMIFS(tblZoneMonthly[Trips],tblZoneMonthly[Location ID],K151)</f>
        <v>20579</v>
      </c>
      <c r="O151" s="15">
        <f>_xlfn.RANK.EQ(N151,$N$6:$N$270,0)+COUNTIF($N$6:N150,N151)</f>
        <v>97</v>
      </c>
      <c r="P151" s="22">
        <f>SUMIFS($N$6:$N$270,$O$6:$O$270,"&lt;="&amp;146)/SUM($N$6:$N$270)</f>
        <v>0.976476683088213</v>
      </c>
    </row>
    <row r="152" spans="11:16" x14ac:dyDescent="0.25">
      <c r="K152" s="14">
        <v>147</v>
      </c>
      <c r="L152" s="14" t="str">
        <f>VLOOKUP(K152,ZoneTable,3,FALSE)</f>
        <v>Longwood</v>
      </c>
      <c r="M152" s="14" t="str">
        <f>VLOOKUP(K152,ZoneTable,2,FALSE)</f>
        <v>Bronx</v>
      </c>
      <c r="N152" s="15">
        <f>SUMIFS(tblZoneMonthly[Trips],tblZoneMonthly[Location ID],K152)</f>
        <v>2802</v>
      </c>
      <c r="O152" s="15">
        <f>_xlfn.RANK.EQ(N152,$N$6:$N$270,0)+COUNTIF($N$6:N151,N152)</f>
        <v>208</v>
      </c>
      <c r="P152" s="22">
        <f>SUMIFS($N$6:$N$270,$O$6:$O$270,"&lt;="&amp;147)/SUM($N$6:$N$270)</f>
        <v>0.977008760532846</v>
      </c>
    </row>
    <row r="153" spans="11:16" x14ac:dyDescent="0.25">
      <c r="K153" s="14">
        <v>148</v>
      </c>
      <c r="L153" s="14" t="str">
        <f>VLOOKUP(K153,ZoneTable,3,FALSE)</f>
        <v>Lower East Side</v>
      </c>
      <c r="M153" s="14" t="str">
        <f>VLOOKUP(K153,ZoneTable,2,FALSE)</f>
        <v>Manhattan</v>
      </c>
      <c r="N153" s="15">
        <f>SUMIFS(tblZoneMonthly[Trips],tblZoneMonthly[Location ID],K153)</f>
        <v>252805</v>
      </c>
      <c r="O153" s="15">
        <f>_xlfn.RANK.EQ(N153,$N$6:$N$270,0)+COUNTIF($N$6:N152,N153)</f>
        <v>19</v>
      </c>
      <c r="P153" s="22">
        <f>SUMIFS($N$6:$N$270,$O$6:$O$270,"&lt;="&amp;148)/SUM($N$6:$N$270)</f>
        <v>0.977518694361976</v>
      </c>
    </row>
    <row r="154" spans="11:16" x14ac:dyDescent="0.25">
      <c r="K154" s="14">
        <v>149</v>
      </c>
      <c r="L154" s="14" t="str">
        <f>VLOOKUP(K154,ZoneTable,3,FALSE)</f>
        <v>Madison</v>
      </c>
      <c r="M154" s="14" t="str">
        <f>VLOOKUP(K154,ZoneTable,2,FALSE)</f>
        <v>Brooklyn</v>
      </c>
      <c r="N154" s="15">
        <f>SUMIFS(tblZoneMonthly[Trips],tblZoneMonthly[Location ID],K154)</f>
        <v>8342</v>
      </c>
      <c r="O154" s="15">
        <f>_xlfn.RANK.EQ(N154,$N$6:$N$270,0)+COUNTIF($N$6:N153,N154)</f>
        <v>143</v>
      </c>
      <c r="P154" s="22">
        <f>SUMIFS($N$6:$N$270,$O$6:$O$270,"&lt;="&amp;149)/SUM($N$6:$N$270)</f>
        <v>0.978027506995385</v>
      </c>
    </row>
    <row r="155" spans="11:16" x14ac:dyDescent="0.25">
      <c r="K155" s="14">
        <v>150</v>
      </c>
      <c r="L155" s="14" t="str">
        <f>VLOOKUP(K155,ZoneTable,3,FALSE)</f>
        <v>Manhattan Beach</v>
      </c>
      <c r="M155" s="14" t="str">
        <f>VLOOKUP(K155,ZoneTable,2,FALSE)</f>
        <v>Brooklyn</v>
      </c>
      <c r="N155" s="15">
        <f>SUMIFS(tblZoneMonthly[Trips],tblZoneMonthly[Location ID],K155)</f>
        <v>4549</v>
      </c>
      <c r="O155" s="15">
        <f>_xlfn.RANK.EQ(N155,$N$6:$N$270,0)+COUNTIF($N$6:N154,N155)</f>
        <v>176</v>
      </c>
      <c r="P155" s="22">
        <f>SUMIFS($N$6:$N$270,$O$6:$O$270,"&lt;="&amp;150)/SUM($N$6:$N$270)</f>
        <v>0.978532675742699</v>
      </c>
    </row>
    <row r="156" spans="11:16" x14ac:dyDescent="0.25">
      <c r="K156" s="14">
        <v>151</v>
      </c>
      <c r="L156" s="14" t="str">
        <f>VLOOKUP(K156,ZoneTable,3,FALSE)</f>
        <v>Manhattan Valley</v>
      </c>
      <c r="M156" s="14" t="str">
        <f>VLOOKUP(K156,ZoneTable,2,FALSE)</f>
        <v>Manhattan</v>
      </c>
      <c r="N156" s="15">
        <f>SUMIFS(tblZoneMonthly[Trips],tblZoneMonthly[Location ID],K156)</f>
        <v>58730</v>
      </c>
      <c r="O156" s="15">
        <f>_xlfn.RANK.EQ(N156,$N$6:$N$270,0)+COUNTIF($N$6:N155,N156)</f>
        <v>65</v>
      </c>
      <c r="P156" s="22">
        <f>SUMIFS($N$6:$N$270,$O$6:$O$270,"&lt;="&amp;151)/SUM($N$6:$N$270)</f>
        <v>0.979014089155662</v>
      </c>
    </row>
    <row r="157" spans="11:16" x14ac:dyDescent="0.25">
      <c r="K157" s="14">
        <v>152</v>
      </c>
      <c r="L157" s="14" t="str">
        <f>VLOOKUP(K157,ZoneTable,3,FALSE)</f>
        <v>Manhattanville</v>
      </c>
      <c r="M157" s="14" t="str">
        <f>VLOOKUP(K157,ZoneTable,2,FALSE)</f>
        <v>Manhattan</v>
      </c>
      <c r="N157" s="15">
        <f>SUMIFS(tblZoneMonthly[Trips],tblZoneMonthly[Location ID],K157)</f>
        <v>17802</v>
      </c>
      <c r="O157" s="15">
        <f>_xlfn.RANK.EQ(N157,$N$6:$N$270,0)+COUNTIF($N$6:N156,N157)</f>
        <v>101</v>
      </c>
      <c r="P157" s="22">
        <f>SUMIFS($N$6:$N$270,$O$6:$O$270,"&lt;="&amp;152)/SUM($N$6:$N$270)</f>
        <v>0.979491438234134</v>
      </c>
    </row>
    <row r="158" spans="11:16" x14ac:dyDescent="0.25">
      <c r="K158" s="14">
        <v>153</v>
      </c>
      <c r="L158" s="14" t="str">
        <f>VLOOKUP(K158,ZoneTable,3,FALSE)</f>
        <v>Marble Hill</v>
      </c>
      <c r="M158" s="14" t="str">
        <f>VLOOKUP(K158,ZoneTable,2,FALSE)</f>
        <v>Manhattan</v>
      </c>
      <c r="N158" s="15">
        <f>SUMIFS(tblZoneMonthly[Trips],tblZoneMonthly[Location ID],K158)</f>
        <v>2919</v>
      </c>
      <c r="O158" s="15">
        <f>_xlfn.RANK.EQ(N158,$N$6:$N$270,0)+COUNTIF($N$6:N157,N158)</f>
        <v>206</v>
      </c>
      <c r="P158" s="22">
        <f>SUMIFS($N$6:$N$270,$O$6:$O$270,"&lt;="&amp;153)/SUM($N$6:$N$270)</f>
        <v>0.979952459899909</v>
      </c>
    </row>
    <row r="159" spans="11:16" x14ac:dyDescent="0.25">
      <c r="K159" s="14">
        <v>154</v>
      </c>
      <c r="L159" s="14" t="str">
        <f>VLOOKUP(K159,ZoneTable,3,FALSE)</f>
        <v>Marine Park/Floyd Bennett Field</v>
      </c>
      <c r="M159" s="14" t="str">
        <f>VLOOKUP(K159,ZoneTable,2,FALSE)</f>
        <v>Brooklyn</v>
      </c>
      <c r="N159" s="15">
        <f>SUMIFS(tblZoneMonthly[Trips],tblZoneMonthly[Location ID],K159)</f>
        <v>684</v>
      </c>
      <c r="O159" s="15">
        <f>_xlfn.RANK.EQ(N159,$N$6:$N$270,0)+COUNTIF($N$6:N158,N159)</f>
        <v>228</v>
      </c>
      <c r="P159" s="22">
        <f>SUMIFS($N$6:$N$270,$O$6:$O$270,"&lt;="&amp;154)/SUM($N$6:$N$270)</f>
        <v>0.980411589547905</v>
      </c>
    </row>
    <row r="160" spans="11:16" x14ac:dyDescent="0.25">
      <c r="K160" s="14">
        <v>155</v>
      </c>
      <c r="L160" s="14" t="str">
        <f>VLOOKUP(K160,ZoneTable,3,FALSE)</f>
        <v>Marine Park/Mill Basin</v>
      </c>
      <c r="M160" s="14" t="str">
        <f>VLOOKUP(K160,ZoneTable,2,FALSE)</f>
        <v>Brooklyn</v>
      </c>
      <c r="N160" s="15">
        <f>SUMIFS(tblZoneMonthly[Trips],tblZoneMonthly[Location ID],K160)</f>
        <v>8954</v>
      </c>
      <c r="O160" s="15">
        <f>_xlfn.RANK.EQ(N160,$N$6:$N$270,0)+COUNTIF($N$6:N159,N160)</f>
        <v>137</v>
      </c>
      <c r="P160" s="22">
        <f>SUMIFS($N$6:$N$270,$O$6:$O$270,"&lt;="&amp;155)/SUM($N$6:$N$270)</f>
        <v>0.980850047149784</v>
      </c>
    </row>
    <row r="161" spans="11:16" x14ac:dyDescent="0.25">
      <c r="K161" s="14">
        <v>156</v>
      </c>
      <c r="L161" s="14" t="str">
        <f>VLOOKUP(K161,ZoneTable,3,FALSE)</f>
        <v>Mariners Harbor</v>
      </c>
      <c r="M161" s="14" t="str">
        <f>VLOOKUP(K161,ZoneTable,2,FALSE)</f>
        <v>Staten Island</v>
      </c>
      <c r="N161" s="15">
        <f>SUMIFS(tblZoneMonthly[Trips],tblZoneMonthly[Location ID],K161)</f>
        <v>450</v>
      </c>
      <c r="O161" s="15">
        <f>_xlfn.RANK.EQ(N161,$N$6:$N$270,0)+COUNTIF($N$6:N160,N161)</f>
        <v>238</v>
      </c>
      <c r="P161" s="22">
        <f>SUMIFS($N$6:$N$270,$O$6:$O$270,"&lt;="&amp;156)/SUM($N$6:$N$270)</f>
        <v>0.981288084303267</v>
      </c>
    </row>
    <row r="162" spans="11:16" x14ac:dyDescent="0.25">
      <c r="K162" s="14">
        <v>157</v>
      </c>
      <c r="L162" s="14" t="str">
        <f>VLOOKUP(K162,ZoneTable,3,FALSE)</f>
        <v>Maspeth</v>
      </c>
      <c r="M162" s="14" t="str">
        <f>VLOOKUP(K162,ZoneTable,2,FALSE)</f>
        <v>Queens</v>
      </c>
      <c r="N162" s="15">
        <f>SUMIFS(tblZoneMonthly[Trips],tblZoneMonthly[Location ID],K162)</f>
        <v>14201</v>
      </c>
      <c r="O162" s="15">
        <f>_xlfn.RANK.EQ(N162,$N$6:$N$270,0)+COUNTIF($N$6:N161,N162)</f>
        <v>111</v>
      </c>
      <c r="P162" s="22">
        <f>SUMIFS($N$6:$N$270,$O$6:$O$270,"&lt;="&amp;157)/SUM($N$6:$N$270)</f>
        <v>0.981722757869585</v>
      </c>
    </row>
    <row r="163" spans="11:16" x14ac:dyDescent="0.25">
      <c r="K163" s="14">
        <v>158</v>
      </c>
      <c r="L163" s="14" t="str">
        <f>VLOOKUP(K163,ZoneTable,3,FALSE)</f>
        <v>Meatpacking/West Village West</v>
      </c>
      <c r="M163" s="14" t="str">
        <f>VLOOKUP(K163,ZoneTable,2,FALSE)</f>
        <v>Manhattan</v>
      </c>
      <c r="N163" s="15">
        <f>SUMIFS(tblZoneMonthly[Trips],tblZoneMonthly[Location ID],K163)</f>
        <v>267480</v>
      </c>
      <c r="O163" s="15">
        <f>_xlfn.RANK.EQ(N163,$N$6:$N$270,0)+COUNTIF($N$6:N162,N163)</f>
        <v>15</v>
      </c>
      <c r="P163" s="22">
        <f>SUMIFS($N$6:$N$270,$O$6:$O$270,"&lt;="&amp;158)/SUM($N$6:$N$270)</f>
        <v>0.982153997774006</v>
      </c>
    </row>
    <row r="164" spans="11:16" x14ac:dyDescent="0.25">
      <c r="K164" s="14">
        <v>159</v>
      </c>
      <c r="L164" s="14" t="str">
        <f>VLOOKUP(K164,ZoneTable,3,FALSE)</f>
        <v>Melrose South</v>
      </c>
      <c r="M164" s="14" t="str">
        <f>VLOOKUP(K164,ZoneTable,2,FALSE)</f>
        <v>Bronx</v>
      </c>
      <c r="N164" s="15">
        <f>SUMIFS(tblZoneMonthly[Trips],tblZoneMonthly[Location ID],K164)</f>
        <v>5901</v>
      </c>
      <c r="O164" s="15">
        <f>_xlfn.RANK.EQ(N164,$N$6:$N$270,0)+COUNTIF($N$6:N163,N164)</f>
        <v>159</v>
      </c>
      <c r="P164" s="22">
        <f>SUMIFS($N$6:$N$270,$O$6:$O$270,"&lt;="&amp;159)/SUM($N$6:$N$270)</f>
        <v>0.982567508771079</v>
      </c>
    </row>
    <row r="165" spans="11:16" x14ac:dyDescent="0.25">
      <c r="K165" s="14">
        <v>160</v>
      </c>
      <c r="L165" s="14" t="str">
        <f>VLOOKUP(K165,ZoneTable,3,FALSE)</f>
        <v>Middle Village</v>
      </c>
      <c r="M165" s="14" t="str">
        <f>VLOOKUP(K165,ZoneTable,2,FALSE)</f>
        <v>Queens</v>
      </c>
      <c r="N165" s="15">
        <f>SUMIFS(tblZoneMonthly[Trips],tblZoneMonthly[Location ID],K165)</f>
        <v>11314</v>
      </c>
      <c r="O165" s="15">
        <f>_xlfn.RANK.EQ(N165,$N$6:$N$270,0)+COUNTIF($N$6:N164,N165)</f>
        <v>124</v>
      </c>
      <c r="P165" s="22">
        <f>SUMIFS($N$6:$N$270,$O$6:$O$270,"&lt;="&amp;160)/SUM($N$6:$N$270)</f>
        <v>0.982974012294892</v>
      </c>
    </row>
    <row r="166" spans="11:16" x14ac:dyDescent="0.25">
      <c r="K166" s="14">
        <v>161</v>
      </c>
      <c r="L166" s="14" t="str">
        <f>VLOOKUP(K166,ZoneTable,3,FALSE)</f>
        <v>Midtown Center</v>
      </c>
      <c r="M166" s="14" t="str">
        <f>VLOOKUP(K166,ZoneTable,2,FALSE)</f>
        <v>Manhattan</v>
      </c>
      <c r="N166" s="15">
        <f>SUMIFS(tblZoneMonthly[Trips],tblZoneMonthly[Location ID],K166)</f>
        <v>460732</v>
      </c>
      <c r="O166" s="15">
        <f>_xlfn.RANK.EQ(N166,$N$6:$N$270,0)+COUNTIF($N$6:N165,N166)</f>
        <v>1</v>
      </c>
      <c r="P166" s="22">
        <f>SUMIFS($N$6:$N$270,$O$6:$O$270,"&lt;="&amp;161)/SUM($N$6:$N$270)</f>
        <v>0.983372106850793</v>
      </c>
    </row>
    <row r="167" spans="11:16" x14ac:dyDescent="0.25">
      <c r="K167" s="14">
        <v>162</v>
      </c>
      <c r="L167" s="14" t="str">
        <f>VLOOKUP(K167,ZoneTable,3,FALSE)</f>
        <v>Midtown East</v>
      </c>
      <c r="M167" s="14" t="str">
        <f>VLOOKUP(K167,ZoneTable,2,FALSE)</f>
        <v>Manhattan</v>
      </c>
      <c r="N167" s="15">
        <f>SUMIFS(tblZoneMonthly[Trips],tblZoneMonthly[Location ID],K167)</f>
        <v>285518</v>
      </c>
      <c r="O167" s="15">
        <f>_xlfn.RANK.EQ(N167,$N$6:$N$270,0)+COUNTIF($N$6:N166,N167)</f>
        <v>11</v>
      </c>
      <c r="P167" s="22">
        <f>SUMIFS($N$6:$N$270,$O$6:$O$270,"&lt;="&amp;162)/SUM($N$6:$N$270)</f>
        <v>0.983762493186108</v>
      </c>
    </row>
    <row r="168" spans="11:16" x14ac:dyDescent="0.25">
      <c r="K168" s="14">
        <v>163</v>
      </c>
      <c r="L168" s="14" t="str">
        <f>VLOOKUP(K168,ZoneTable,3,FALSE)</f>
        <v>Midtown North</v>
      </c>
      <c r="M168" s="14" t="str">
        <f>VLOOKUP(K168,ZoneTable,2,FALSE)</f>
        <v>Manhattan</v>
      </c>
      <c r="N168" s="15">
        <f>SUMIFS(tblZoneMonthly[Trips],tblZoneMonthly[Location ID],K168)</f>
        <v>296734</v>
      </c>
      <c r="O168" s="15">
        <f>_xlfn.RANK.EQ(N168,$N$6:$N$270,0)+COUNTIF($N$6:N167,N168)</f>
        <v>8</v>
      </c>
      <c r="P168" s="22">
        <f>SUMIFS($N$6:$N$270,$O$6:$O$270,"&lt;="&amp;163)/SUM($N$6:$N$270)</f>
        <v>0.984146993243885</v>
      </c>
    </row>
    <row r="169" spans="11:16" x14ac:dyDescent="0.25">
      <c r="K169" s="14">
        <v>164</v>
      </c>
      <c r="L169" s="14" t="str">
        <f>VLOOKUP(K169,ZoneTable,3,FALSE)</f>
        <v>Midtown South</v>
      </c>
      <c r="M169" s="14" t="str">
        <f>VLOOKUP(K169,ZoneTable,2,FALSE)</f>
        <v>Manhattan</v>
      </c>
      <c r="N169" s="15">
        <f>SUMIFS(tblZoneMonthly[Trips],tblZoneMonthly[Location ID],K169)</f>
        <v>267871</v>
      </c>
      <c r="O169" s="15">
        <f>_xlfn.RANK.EQ(N169,$N$6:$N$270,0)+COUNTIF($N$6:N168,N169)</f>
        <v>14</v>
      </c>
      <c r="P169" s="22">
        <f>SUMIFS($N$6:$N$270,$O$6:$O$270,"&lt;="&amp;164)/SUM($N$6:$N$270)</f>
        <v>0.984529951657544</v>
      </c>
    </row>
    <row r="170" spans="11:16" x14ac:dyDescent="0.25">
      <c r="K170" s="14">
        <v>165</v>
      </c>
      <c r="L170" s="14" t="str">
        <f>VLOOKUP(K170,ZoneTable,3,FALSE)</f>
        <v>Midwood</v>
      </c>
      <c r="M170" s="14" t="str">
        <f>VLOOKUP(K170,ZoneTable,2,FALSE)</f>
        <v>Brooklyn</v>
      </c>
      <c r="N170" s="15">
        <f>SUMIFS(tblZoneMonthly[Trips],tblZoneMonthly[Location ID],K170)</f>
        <v>17980</v>
      </c>
      <c r="O170" s="15">
        <f>_xlfn.RANK.EQ(N170,$N$6:$N$270,0)+COUNTIF($N$6:N169,N170)</f>
        <v>100</v>
      </c>
      <c r="P170" s="22">
        <f>SUMIFS($N$6:$N$270,$O$6:$O$270,"&lt;="&amp;165)/SUM($N$6:$N$270)</f>
        <v>0.984910527530295</v>
      </c>
    </row>
    <row r="171" spans="11:16" x14ac:dyDescent="0.25">
      <c r="K171" s="14">
        <v>166</v>
      </c>
      <c r="L171" s="14" t="str">
        <f>VLOOKUP(K171,ZoneTable,3,FALSE)</f>
        <v>Morningside Heights</v>
      </c>
      <c r="M171" s="14" t="str">
        <f>VLOOKUP(K171,ZoneTable,2,FALSE)</f>
        <v>Manhattan</v>
      </c>
      <c r="N171" s="15">
        <f>SUMIFS(tblZoneMonthly[Trips],tblZoneMonthly[Location ID],K171)</f>
        <v>56475</v>
      </c>
      <c r="O171" s="15">
        <f>_xlfn.RANK.EQ(N171,$N$6:$N$270,0)+COUNTIF($N$6:N170,N171)</f>
        <v>67</v>
      </c>
      <c r="P171" s="22">
        <f>SUMIFS($N$6:$N$270,$O$6:$O$270,"&lt;="&amp;166)/SUM($N$6:$N$270)</f>
        <v>0.985285777723369</v>
      </c>
    </row>
    <row r="172" spans="11:16" x14ac:dyDescent="0.25">
      <c r="K172" s="14">
        <v>167</v>
      </c>
      <c r="L172" s="14" t="str">
        <f>VLOOKUP(K172,ZoneTable,3,FALSE)</f>
        <v>Morrisania/Melrose</v>
      </c>
      <c r="M172" s="14" t="str">
        <f>VLOOKUP(K172,ZoneTable,2,FALSE)</f>
        <v>Bronx</v>
      </c>
      <c r="N172" s="15">
        <f>SUMIFS(tblZoneMonthly[Trips],tblZoneMonthly[Location ID],K172)</f>
        <v>5487</v>
      </c>
      <c r="O172" s="15">
        <f>_xlfn.RANK.EQ(N172,$N$6:$N$270,0)+COUNTIF($N$6:N171,N172)</f>
        <v>163</v>
      </c>
      <c r="P172" s="22">
        <f>SUMIFS($N$6:$N$270,$O$6:$O$270,"&lt;="&amp;167)/SUM($N$6:$N$270)</f>
        <v>0.985656543133556</v>
      </c>
    </row>
    <row r="173" spans="11:16" x14ac:dyDescent="0.25">
      <c r="K173" s="14">
        <v>168</v>
      </c>
      <c r="L173" s="14" t="str">
        <f>VLOOKUP(K173,ZoneTable,3,FALSE)</f>
        <v>Mott Haven/Port Morris</v>
      </c>
      <c r="M173" s="14" t="str">
        <f>VLOOKUP(K173,ZoneTable,2,FALSE)</f>
        <v>Bronx</v>
      </c>
      <c r="N173" s="15">
        <f>SUMIFS(tblZoneMonthly[Trips],tblZoneMonthly[Location ID],K173)</f>
        <v>11582</v>
      </c>
      <c r="O173" s="15">
        <f>_xlfn.RANK.EQ(N173,$N$6:$N$270,0)+COUNTIF($N$6:N172,N173)</f>
        <v>123</v>
      </c>
      <c r="P173" s="22">
        <f>SUMIFS($N$6:$N$270,$O$6:$O$270,"&lt;="&amp;168)/SUM($N$6:$N$270)</f>
        <v>0.986022683611391</v>
      </c>
    </row>
    <row r="174" spans="11:16" x14ac:dyDescent="0.25">
      <c r="K174" s="14">
        <v>169</v>
      </c>
      <c r="L174" s="14" t="str">
        <f>VLOOKUP(K174,ZoneTable,3,FALSE)</f>
        <v>Mount Hope</v>
      </c>
      <c r="M174" s="14" t="str">
        <f>VLOOKUP(K174,ZoneTable,2,FALSE)</f>
        <v>Bronx</v>
      </c>
      <c r="N174" s="15">
        <f>SUMIFS(tblZoneMonthly[Trips],tblZoneMonthly[Location ID],K174)</f>
        <v>5681</v>
      </c>
      <c r="O174" s="15">
        <f>_xlfn.RANK.EQ(N174,$N$6:$N$270,0)+COUNTIF($N$6:N173,N174)</f>
        <v>161</v>
      </c>
      <c r="P174" s="22">
        <f>SUMIFS($N$6:$N$270,$O$6:$O$270,"&lt;="&amp;169)/SUM($N$6:$N$270)</f>
        <v>0.986387002146179</v>
      </c>
    </row>
    <row r="175" spans="11:16" x14ac:dyDescent="0.25">
      <c r="K175" s="14">
        <v>170</v>
      </c>
      <c r="L175" s="14" t="str">
        <f>VLOOKUP(K175,ZoneTable,3,FALSE)</f>
        <v>Murray Hill</v>
      </c>
      <c r="M175" s="14" t="str">
        <f>VLOOKUP(K175,ZoneTable,2,FALSE)</f>
        <v>Manhattan</v>
      </c>
      <c r="N175" s="15">
        <f>SUMIFS(tblZoneMonthly[Trips],tblZoneMonthly[Location ID],K175)</f>
        <v>290550</v>
      </c>
      <c r="O175" s="15">
        <f>_xlfn.RANK.EQ(N175,$N$6:$N$270,0)+COUNTIF($N$6:N174,N175)</f>
        <v>9</v>
      </c>
      <c r="P175" s="22">
        <f>SUMIFS($N$6:$N$270,$O$6:$O$270,"&lt;="&amp;170)/SUM($N$6:$N$270)</f>
        <v>0.986750619933641</v>
      </c>
    </row>
    <row r="176" spans="11:16" x14ac:dyDescent="0.25">
      <c r="K176" s="14">
        <v>171</v>
      </c>
      <c r="L176" s="14" t="str">
        <f>VLOOKUP(K176,ZoneTable,3,FALSE)</f>
        <v>Murray Hill-Queens</v>
      </c>
      <c r="M176" s="14" t="str">
        <f>VLOOKUP(K176,ZoneTable,2,FALSE)</f>
        <v>Queens</v>
      </c>
      <c r="N176" s="15">
        <f>SUMIFS(tblZoneMonthly[Trips],tblZoneMonthly[Location ID],K176)</f>
        <v>6251</v>
      </c>
      <c r="O176" s="15">
        <f>_xlfn.RANK.EQ(N176,$N$6:$N$270,0)+COUNTIF($N$6:N175,N176)</f>
        <v>156</v>
      </c>
      <c r="P176" s="22">
        <f>SUMIFS($N$6:$N$270,$O$6:$O$270,"&lt;="&amp;171)/SUM($N$6:$N$270)</f>
        <v>0.987113887347439</v>
      </c>
    </row>
    <row r="177" spans="11:16" x14ac:dyDescent="0.25">
      <c r="K177" s="14">
        <v>172</v>
      </c>
      <c r="L177" s="14" t="str">
        <f>VLOOKUP(K177,ZoneTable,3,FALSE)</f>
        <v>New Dorp/Midland Beach</v>
      </c>
      <c r="M177" s="14" t="str">
        <f>VLOOKUP(K177,ZoneTable,2,FALSE)</f>
        <v>Staten Island</v>
      </c>
      <c r="N177" s="15">
        <f>SUMIFS(tblZoneMonthly[Trips],tblZoneMonthly[Location ID],K177)</f>
        <v>219</v>
      </c>
      <c r="O177" s="15">
        <f>_xlfn.RANK.EQ(N177,$N$6:$N$270,0)+COUNTIF($N$6:N176,N177)</f>
        <v>246</v>
      </c>
      <c r="P177" s="22">
        <f>SUMIFS($N$6:$N$270,$O$6:$O$270,"&lt;="&amp;172)/SUM($N$6:$N$270)</f>
        <v>0.987475753266586</v>
      </c>
    </row>
    <row r="178" spans="11:16" x14ac:dyDescent="0.25">
      <c r="K178" s="14">
        <v>173</v>
      </c>
      <c r="L178" s="14" t="str">
        <f>VLOOKUP(K178,ZoneTable,3,FALSE)</f>
        <v>North Corona</v>
      </c>
      <c r="M178" s="14" t="str">
        <f>VLOOKUP(K178,ZoneTable,2,FALSE)</f>
        <v>Queens</v>
      </c>
      <c r="N178" s="15">
        <f>SUMIFS(tblZoneMonthly[Trips],tblZoneMonthly[Location ID],K178)</f>
        <v>4179</v>
      </c>
      <c r="O178" s="15">
        <f>_xlfn.RANK.EQ(N178,$N$6:$N$270,0)+COUNTIF($N$6:N177,N178)</f>
        <v>182</v>
      </c>
      <c r="P178" s="22">
        <f>SUMIFS($N$6:$N$270,$O$6:$O$270,"&lt;="&amp;173)/SUM($N$6:$N$270)</f>
        <v>0.987833905224905</v>
      </c>
    </row>
    <row r="179" spans="11:16" x14ac:dyDescent="0.25">
      <c r="K179" s="14">
        <v>174</v>
      </c>
      <c r="L179" s="14" t="str">
        <f>VLOOKUP(K179,ZoneTable,3,FALSE)</f>
        <v>Norwood</v>
      </c>
      <c r="M179" s="14" t="str">
        <f>VLOOKUP(K179,ZoneTable,2,FALSE)</f>
        <v>Bronx</v>
      </c>
      <c r="N179" s="15">
        <f>SUMIFS(tblZoneMonthly[Trips],tblZoneMonthly[Location ID],K179)</f>
        <v>6870</v>
      </c>
      <c r="O179" s="15">
        <f>_xlfn.RANK.EQ(N179,$N$6:$N$270,0)+COUNTIF($N$6:N178,N179)</f>
        <v>151</v>
      </c>
      <c r="P179" s="22">
        <f>SUMIFS($N$6:$N$270,$O$6:$O$270,"&lt;="&amp;174)/SUM($N$6:$N$270)</f>
        <v>0.988182807318521</v>
      </c>
    </row>
    <row r="180" spans="11:16" x14ac:dyDescent="0.25">
      <c r="K180" s="14">
        <v>175</v>
      </c>
      <c r="L180" s="14" t="str">
        <f>VLOOKUP(K180,ZoneTable,3,FALSE)</f>
        <v>Oakland Gardens</v>
      </c>
      <c r="M180" s="14" t="str">
        <f>VLOOKUP(K180,ZoneTable,2,FALSE)</f>
        <v>Queens</v>
      </c>
      <c r="N180" s="15">
        <f>SUMIFS(tblZoneMonthly[Trips],tblZoneMonthly[Location ID],K180)</f>
        <v>3715</v>
      </c>
      <c r="O180" s="15">
        <f>_xlfn.RANK.EQ(N180,$N$6:$N$270,0)+COUNTIF($N$6:N179,N180)</f>
        <v>190</v>
      </c>
      <c r="P180" s="22">
        <f>SUMIFS($N$6:$N$270,$O$6:$O$270,"&lt;="&amp;175)/SUM($N$6:$N$270)</f>
        <v>0.988515522148906</v>
      </c>
    </row>
    <row r="181" spans="11:16" x14ac:dyDescent="0.25">
      <c r="K181" s="14">
        <v>176</v>
      </c>
      <c r="L181" s="14" t="str">
        <f>VLOOKUP(K181,ZoneTable,3,FALSE)</f>
        <v>Oakwood</v>
      </c>
      <c r="M181" s="14" t="str">
        <f>VLOOKUP(K181,ZoneTable,2,FALSE)</f>
        <v>Staten Island</v>
      </c>
      <c r="N181" s="15">
        <f>SUMIFS(tblZoneMonthly[Trips],tblZoneMonthly[Location ID],K181)</f>
        <v>170</v>
      </c>
      <c r="O181" s="15">
        <f>_xlfn.RANK.EQ(N181,$N$6:$N$270,0)+COUNTIF($N$6:N180,N181)</f>
        <v>248</v>
      </c>
      <c r="P181" s="22">
        <f>SUMIFS($N$6:$N$270,$O$6:$O$270,"&lt;="&amp;176)/SUM($N$6:$N$270)</f>
        <v>0.988834292107504</v>
      </c>
    </row>
    <row r="182" spans="11:16" x14ac:dyDescent="0.25">
      <c r="K182" s="14">
        <v>177</v>
      </c>
      <c r="L182" s="14" t="str">
        <f>VLOOKUP(K182,ZoneTable,3,FALSE)</f>
        <v>Ocean Hill</v>
      </c>
      <c r="M182" s="14" t="str">
        <f>VLOOKUP(K182,ZoneTable,2,FALSE)</f>
        <v>Brooklyn</v>
      </c>
      <c r="N182" s="15">
        <f>SUMIFS(tblZoneMonthly[Trips],tblZoneMonthly[Location ID],K182)</f>
        <v>13104</v>
      </c>
      <c r="O182" s="15">
        <f>_xlfn.RANK.EQ(N182,$N$6:$N$270,0)+COUNTIF($N$6:N181,N182)</f>
        <v>115</v>
      </c>
      <c r="P182" s="22">
        <f>SUMIFS($N$6:$N$270,$O$6:$O$270,"&lt;="&amp;177)/SUM($N$6:$N$270)</f>
        <v>0.989146404966505</v>
      </c>
    </row>
    <row r="183" spans="11:16" x14ac:dyDescent="0.25">
      <c r="K183" s="14">
        <v>178</v>
      </c>
      <c r="L183" s="14" t="str">
        <f>VLOOKUP(K183,ZoneTable,3,FALSE)</f>
        <v>Ocean Parkway South</v>
      </c>
      <c r="M183" s="14" t="str">
        <f>VLOOKUP(K183,ZoneTable,2,FALSE)</f>
        <v>Brooklyn</v>
      </c>
      <c r="N183" s="15">
        <f>SUMIFS(tblZoneMonthly[Trips],tblZoneMonthly[Location ID],K183)</f>
        <v>7593</v>
      </c>
      <c r="O183" s="15">
        <f>_xlfn.RANK.EQ(N183,$N$6:$N$270,0)+COUNTIF($N$6:N182,N183)</f>
        <v>147</v>
      </c>
      <c r="P183" s="22">
        <f>SUMIFS($N$6:$N$270,$O$6:$O$270,"&lt;="&amp;178)/SUM($N$6:$N$270)</f>
        <v>0.989457116330853</v>
      </c>
    </row>
    <row r="184" spans="11:16" x14ac:dyDescent="0.25">
      <c r="K184" s="14">
        <v>179</v>
      </c>
      <c r="L184" s="14" t="str">
        <f>VLOOKUP(K184,ZoneTable,3,FALSE)</f>
        <v>Old Astoria</v>
      </c>
      <c r="M184" s="14" t="str">
        <f>VLOOKUP(K184,ZoneTable,2,FALSE)</f>
        <v>Queens</v>
      </c>
      <c r="N184" s="15">
        <f>SUMIFS(tblZoneMonthly[Trips],tblZoneMonthly[Location ID],K184)</f>
        <v>27253</v>
      </c>
      <c r="O184" s="15">
        <f>_xlfn.RANK.EQ(N184,$N$6:$N$270,0)+COUNTIF($N$6:N183,N184)</f>
        <v>89</v>
      </c>
      <c r="P184" s="22">
        <f>SUMIFS($N$6:$N$270,$O$6:$O$270,"&lt;="&amp;179)/SUM($N$6:$N$270)</f>
        <v>0.98976264216499</v>
      </c>
    </row>
    <row r="185" spans="11:16" x14ac:dyDescent="0.25">
      <c r="K185" s="14">
        <v>180</v>
      </c>
      <c r="L185" s="14" t="str">
        <f>VLOOKUP(K185,ZoneTable,3,FALSE)</f>
        <v>Ozone Park</v>
      </c>
      <c r="M185" s="14" t="str">
        <f>VLOOKUP(K185,ZoneTable,2,FALSE)</f>
        <v>Queens</v>
      </c>
      <c r="N185" s="15">
        <f>SUMIFS(tblZoneMonthly[Trips],tblZoneMonthly[Location ID],K185)</f>
        <v>5184</v>
      </c>
      <c r="O185" s="15">
        <f>_xlfn.RANK.EQ(N185,$N$6:$N$270,0)+COUNTIF($N$6:N184,N185)</f>
        <v>171</v>
      </c>
      <c r="P185" s="22">
        <f>SUMIFS($N$6:$N$270,$O$6:$O$270,"&lt;="&amp;180)/SUM($N$6:$N$270)</f>
        <v>0.990063543066775</v>
      </c>
    </row>
    <row r="186" spans="11:16" x14ac:dyDescent="0.25">
      <c r="K186" s="14">
        <v>181</v>
      </c>
      <c r="L186" s="14" t="str">
        <f>VLOOKUP(K186,ZoneTable,3,FALSE)</f>
        <v>Park Slope</v>
      </c>
      <c r="M186" s="14" t="str">
        <f>VLOOKUP(K186,ZoneTable,2,FALSE)</f>
        <v>Brooklyn</v>
      </c>
      <c r="N186" s="15">
        <f>SUMIFS(tblZoneMonthly[Trips],tblZoneMonthly[Location ID],K186)</f>
        <v>160037</v>
      </c>
      <c r="O186" s="15">
        <f>_xlfn.RANK.EQ(N186,$N$6:$N$270,0)+COUNTIF($N$6:N185,N186)</f>
        <v>32</v>
      </c>
      <c r="P186" s="22">
        <f>SUMIFS($N$6:$N$270,$O$6:$O$270,"&lt;="&amp;181)/SUM($N$6:$N$270)</f>
        <v>0.990358908064684</v>
      </c>
    </row>
    <row r="187" spans="11:16" x14ac:dyDescent="0.25">
      <c r="K187" s="14">
        <v>182</v>
      </c>
      <c r="L187" s="14" t="str">
        <f>VLOOKUP(K187,ZoneTable,3,FALSE)</f>
        <v>Parkchester</v>
      </c>
      <c r="M187" s="14" t="str">
        <f>VLOOKUP(K187,ZoneTable,2,FALSE)</f>
        <v>Bronx</v>
      </c>
      <c r="N187" s="15">
        <f>SUMIFS(tblZoneMonthly[Trips],tblZoneMonthly[Location ID],K187)</f>
        <v>3999</v>
      </c>
      <c r="O187" s="15">
        <f>_xlfn.RANK.EQ(N187,$N$6:$N$270,0)+COUNTIF($N$6:N186,N187)</f>
        <v>185</v>
      </c>
      <c r="P187" s="22">
        <f>SUMIFS($N$6:$N$270,$O$6:$O$270,"&lt;="&amp;182)/SUM($N$6:$N$270)</f>
        <v>0.990651750372219</v>
      </c>
    </row>
    <row r="188" spans="11:16" x14ac:dyDescent="0.25">
      <c r="K188" s="14">
        <v>183</v>
      </c>
      <c r="L188" s="14" t="str">
        <f>VLOOKUP(K188,ZoneTable,3,FALSE)</f>
        <v>Pelham Bay</v>
      </c>
      <c r="M188" s="14" t="str">
        <f>VLOOKUP(K188,ZoneTable,2,FALSE)</f>
        <v>Bronx</v>
      </c>
      <c r="N188" s="15">
        <f>SUMIFS(tblZoneMonthly[Trips],tblZoneMonthly[Location ID],K188)</f>
        <v>2377</v>
      </c>
      <c r="O188" s="15">
        <f>_xlfn.RANK.EQ(N188,$N$6:$N$270,0)+COUNTIF($N$6:N187,N188)</f>
        <v>213</v>
      </c>
      <c r="P188" s="22">
        <f>SUMIFS($N$6:$N$270,$O$6:$O$270,"&lt;="&amp;183)/SUM($N$6:$N$270)</f>
        <v>0.990937515131763</v>
      </c>
    </row>
    <row r="189" spans="11:16" x14ac:dyDescent="0.25">
      <c r="K189" s="14">
        <v>184</v>
      </c>
      <c r="L189" s="14" t="str">
        <f>VLOOKUP(K189,ZoneTable,3,FALSE)</f>
        <v>Pelham Bay Park</v>
      </c>
      <c r="M189" s="14" t="str">
        <f>VLOOKUP(K189,ZoneTable,2,FALSE)</f>
        <v>Bronx</v>
      </c>
      <c r="N189" s="15">
        <f>SUMIFS(tblZoneMonthly[Trips],tblZoneMonthly[Location ID],K189)</f>
        <v>478</v>
      </c>
      <c r="O189" s="15">
        <f>_xlfn.RANK.EQ(N189,$N$6:$N$270,0)+COUNTIF($N$6:N188,N189)</f>
        <v>236</v>
      </c>
      <c r="P189" s="22">
        <f>SUMIFS($N$6:$N$270,$O$6:$O$270,"&lt;="&amp;184)/SUM($N$6:$N$270)</f>
        <v>0.991219986378873</v>
      </c>
    </row>
    <row r="190" spans="11:16" x14ac:dyDescent="0.25">
      <c r="K190" s="14">
        <v>185</v>
      </c>
      <c r="L190" s="14" t="str">
        <f>VLOOKUP(K190,ZoneTable,3,FALSE)</f>
        <v>Pelham Parkway</v>
      </c>
      <c r="M190" s="14" t="str">
        <f>VLOOKUP(K190,ZoneTable,2,FALSE)</f>
        <v>Bronx</v>
      </c>
      <c r="N190" s="15">
        <f>SUMIFS(tblZoneMonthly[Trips],tblZoneMonthly[Location ID],K190)</f>
        <v>7209</v>
      </c>
      <c r="O190" s="15">
        <f>_xlfn.RANK.EQ(N190,$N$6:$N$270,0)+COUNTIF($N$6:N189,N190)</f>
        <v>150</v>
      </c>
      <c r="P190" s="22">
        <f>SUMIFS($N$6:$N$270,$O$6:$O$270,"&lt;="&amp;185)/SUM($N$6:$N$270)</f>
        <v>0.991500215234541</v>
      </c>
    </row>
    <row r="191" spans="11:16" x14ac:dyDescent="0.25">
      <c r="K191" s="14">
        <v>186</v>
      </c>
      <c r="L191" s="14" t="str">
        <f>VLOOKUP(K191,ZoneTable,3,FALSE)</f>
        <v>Penn Station/Madison Sq West</v>
      </c>
      <c r="M191" s="14" t="str">
        <f>VLOOKUP(K191,ZoneTable,2,FALSE)</f>
        <v>Manhattan</v>
      </c>
      <c r="N191" s="15">
        <f>SUMIFS(tblZoneMonthly[Trips],tblZoneMonthly[Location ID],K191)</f>
        <v>195698</v>
      </c>
      <c r="O191" s="15">
        <f>_xlfn.RANK.EQ(N191,$N$6:$N$270,0)+COUNTIF($N$6:N190,N191)</f>
        <v>29</v>
      </c>
      <c r="P191" s="22">
        <f>SUMIFS($N$6:$N$270,$O$6:$O$270,"&lt;="&amp;186)/SUM($N$6:$N$270)</f>
        <v>0.991779813417616</v>
      </c>
    </row>
    <row r="192" spans="11:16" x14ac:dyDescent="0.25">
      <c r="K192" s="14">
        <v>187</v>
      </c>
      <c r="L192" s="14" t="str">
        <f>VLOOKUP(K192,ZoneTable,3,FALSE)</f>
        <v>Port Richmond</v>
      </c>
      <c r="M192" s="14" t="str">
        <f>VLOOKUP(K192,ZoneTable,2,FALSE)</f>
        <v>Staten Island</v>
      </c>
      <c r="N192" s="15">
        <f>SUMIFS(tblZoneMonthly[Trips],tblZoneMonthly[Location ID],K192)</f>
        <v>189</v>
      </c>
      <c r="O192" s="15">
        <f>_xlfn.RANK.EQ(N192,$N$6:$N$270,0)+COUNTIF($N$6:N191,N192)</f>
        <v>247</v>
      </c>
      <c r="P192" s="22">
        <f>SUMIFS($N$6:$N$270,$O$6:$O$270,"&lt;="&amp;187)/SUM($N$6:$N$270)</f>
        <v>0.992057309358712</v>
      </c>
    </row>
    <row r="193" spans="11:16" x14ac:dyDescent="0.25">
      <c r="K193" s="14">
        <v>188</v>
      </c>
      <c r="L193" s="14" t="str">
        <f>VLOOKUP(K193,ZoneTable,3,FALSE)</f>
        <v>Prospect-Lefferts Gardens</v>
      </c>
      <c r="M193" s="14" t="str">
        <f>VLOOKUP(K193,ZoneTable,2,FALSE)</f>
        <v>Brooklyn</v>
      </c>
      <c r="N193" s="15">
        <f>SUMIFS(tblZoneMonthly[Trips],tblZoneMonthly[Location ID],K193)</f>
        <v>39490</v>
      </c>
      <c r="O193" s="15">
        <f>_xlfn.RANK.EQ(N193,$N$6:$N$270,0)+COUNTIF($N$6:N192,N193)</f>
        <v>82</v>
      </c>
      <c r="P193" s="22">
        <f>SUMIFS($N$6:$N$270,$O$6:$O$270,"&lt;="&amp;188)/SUM($N$6:$N$270)</f>
        <v>0.992332142459969</v>
      </c>
    </row>
    <row r="194" spans="11:16" x14ac:dyDescent="0.25">
      <c r="K194" s="14">
        <v>189</v>
      </c>
      <c r="L194" s="14" t="str">
        <f>VLOOKUP(K194,ZoneTable,3,FALSE)</f>
        <v>Prospect Heights</v>
      </c>
      <c r="M194" s="14" t="str">
        <f>VLOOKUP(K194,ZoneTable,2,FALSE)</f>
        <v>Brooklyn</v>
      </c>
      <c r="N194" s="15">
        <f>SUMIFS(tblZoneMonthly[Trips],tblZoneMonthly[Location ID],K194)</f>
        <v>54928</v>
      </c>
      <c r="O194" s="15">
        <f>_xlfn.RANK.EQ(N194,$N$6:$N$270,0)+COUNTIF($N$6:N193,N194)</f>
        <v>68</v>
      </c>
      <c r="P194" s="22">
        <f>SUMIFS($N$6:$N$270,$O$6:$O$270,"&lt;="&amp;189)/SUM($N$6:$N$270)</f>
        <v>0.992601790031014</v>
      </c>
    </row>
    <row r="195" spans="11:16" x14ac:dyDescent="0.25">
      <c r="K195" s="14">
        <v>190</v>
      </c>
      <c r="L195" s="14" t="str">
        <f>VLOOKUP(K195,ZoneTable,3,FALSE)</f>
        <v>Prospect Park</v>
      </c>
      <c r="M195" s="14" t="str">
        <f>VLOOKUP(K195,ZoneTable,2,FALSE)</f>
        <v>Brooklyn</v>
      </c>
      <c r="N195" s="15">
        <f>SUMIFS(tblZoneMonthly[Trips],tblZoneMonthly[Location ID],K195)</f>
        <v>7865</v>
      </c>
      <c r="O195" s="15">
        <f>_xlfn.RANK.EQ(N195,$N$6:$N$270,0)+COUNTIF($N$6:N194,N195)</f>
        <v>146</v>
      </c>
      <c r="P195" s="22">
        <f>SUMIFS($N$6:$N$270,$O$6:$O$270,"&lt;="&amp;190)/SUM($N$6:$N$270)</f>
        <v>0.992862117662624</v>
      </c>
    </row>
    <row r="196" spans="11:16" x14ac:dyDescent="0.25">
      <c r="K196" s="14">
        <v>191</v>
      </c>
      <c r="L196" s="14" t="str">
        <f>VLOOKUP(K196,ZoneTable,3,FALSE)</f>
        <v>Queens Village</v>
      </c>
      <c r="M196" s="14" t="str">
        <f>VLOOKUP(K196,ZoneTable,2,FALSE)</f>
        <v>Queens</v>
      </c>
      <c r="N196" s="15">
        <f>SUMIFS(tblZoneMonthly[Trips],tblZoneMonthly[Location ID],K196)</f>
        <v>5431</v>
      </c>
      <c r="O196" s="15">
        <f>_xlfn.RANK.EQ(N196,$N$6:$N$270,0)+COUNTIF($N$6:N195,N196)</f>
        <v>165</v>
      </c>
      <c r="P196" s="22">
        <f>SUMIFS($N$6:$N$270,$O$6:$O$270,"&lt;="&amp;191)/SUM($N$6:$N$270)</f>
        <v>0.993120272977522</v>
      </c>
    </row>
    <row r="197" spans="11:16" x14ac:dyDescent="0.25">
      <c r="K197" s="14">
        <v>192</v>
      </c>
      <c r="L197" s="14" t="str">
        <f>VLOOKUP(K197,ZoneTable,3,FALSE)</f>
        <v>Queensboro Hill</v>
      </c>
      <c r="M197" s="14" t="str">
        <f>VLOOKUP(K197,ZoneTable,2,FALSE)</f>
        <v>Queens</v>
      </c>
      <c r="N197" s="15">
        <f>SUMIFS(tblZoneMonthly[Trips],tblZoneMonthly[Location ID],K197)</f>
        <v>5571</v>
      </c>
      <c r="O197" s="15">
        <f>_xlfn.RANK.EQ(N197,$N$6:$N$270,0)+COUNTIF($N$6:N196,N197)</f>
        <v>162</v>
      </c>
      <c r="P197" s="22">
        <f>SUMIFS($N$6:$N$270,$O$6:$O$270,"&lt;="&amp;192)/SUM($N$6:$N$270)</f>
        <v>0.9933773070967</v>
      </c>
    </row>
    <row r="198" spans="11:16" x14ac:dyDescent="0.25">
      <c r="K198" s="14">
        <v>193</v>
      </c>
      <c r="L198" s="14" t="str">
        <f>VLOOKUP(K198,ZoneTable,3,FALSE)</f>
        <v>Queensbridge/Ravenswood</v>
      </c>
      <c r="M198" s="14" t="str">
        <f>VLOOKUP(K198,ZoneTable,2,FALSE)</f>
        <v>Queens</v>
      </c>
      <c r="N198" s="15">
        <f>SUMIFS(tblZoneMonthly[Trips],tblZoneMonthly[Location ID],K198)</f>
        <v>5355</v>
      </c>
      <c r="O198" s="15">
        <f>_xlfn.RANK.EQ(N198,$N$6:$N$270,0)+COUNTIF($N$6:N197,N198)</f>
        <v>166</v>
      </c>
      <c r="P198" s="22">
        <f>SUMIFS($N$6:$N$270,$O$6:$O$270,"&lt;="&amp;193)/SUM($N$6:$N$270)</f>
        <v>0.993629926507723</v>
      </c>
    </row>
    <row r="199" spans="11:16" x14ac:dyDescent="0.25">
      <c r="K199" s="14">
        <v>194</v>
      </c>
      <c r="L199" s="14" t="str">
        <f>VLOOKUP(K199,ZoneTable,3,FALSE)</f>
        <v>Randalls Island</v>
      </c>
      <c r="M199" s="14" t="str">
        <f>VLOOKUP(K199,ZoneTable,2,FALSE)</f>
        <v>Manhattan</v>
      </c>
      <c r="N199" s="15">
        <f>SUMIFS(tblZoneMonthly[Trips],tblZoneMonthly[Location ID],K199)</f>
        <v>2257</v>
      </c>
      <c r="O199" s="15">
        <f>_xlfn.RANK.EQ(N199,$N$6:$N$270,0)+COUNTIF($N$6:N198,N199)</f>
        <v>216</v>
      </c>
      <c r="P199" s="22">
        <f>SUMIFS($N$6:$N$270,$O$6:$O$270,"&lt;="&amp;194)/SUM($N$6:$N$270)</f>
        <v>0.993882055395618</v>
      </c>
    </row>
    <row r="200" spans="11:16" x14ac:dyDescent="0.25">
      <c r="K200" s="14">
        <v>195</v>
      </c>
      <c r="L200" s="14" t="str">
        <f>VLOOKUP(K200,ZoneTable,3,FALSE)</f>
        <v>Red Hook</v>
      </c>
      <c r="M200" s="14" t="str">
        <f>VLOOKUP(K200,ZoneTable,2,FALSE)</f>
        <v>Brooklyn</v>
      </c>
      <c r="N200" s="15">
        <f>SUMIFS(tblZoneMonthly[Trips],tblZoneMonthly[Location ID],K200)</f>
        <v>22458</v>
      </c>
      <c r="O200" s="15">
        <f>_xlfn.RANK.EQ(N200,$N$6:$N$270,0)+COUNTIF($N$6:N199,N200)</f>
        <v>95</v>
      </c>
      <c r="P200" s="22">
        <f>SUMIFS($N$6:$N$270,$O$6:$O$270,"&lt;="&amp;195)/SUM($N$6:$N$270)</f>
        <v>0.994133483536187</v>
      </c>
    </row>
    <row r="201" spans="11:16" x14ac:dyDescent="0.25">
      <c r="K201" s="14">
        <v>196</v>
      </c>
      <c r="L201" s="14" t="str">
        <f>VLOOKUP(K201,ZoneTable,3,FALSE)</f>
        <v>Rego Park</v>
      </c>
      <c r="M201" s="14" t="str">
        <f>VLOOKUP(K201,ZoneTable,2,FALSE)</f>
        <v>Queens</v>
      </c>
      <c r="N201" s="15">
        <f>SUMIFS(tblZoneMonthly[Trips],tblZoneMonthly[Location ID],K201)</f>
        <v>12370</v>
      </c>
      <c r="O201" s="15">
        <f>_xlfn.RANK.EQ(N201,$N$6:$N$270,0)+COUNTIF($N$6:N200,N201)</f>
        <v>117</v>
      </c>
      <c r="P201" s="22">
        <f>SUMIFS($N$6:$N$270,$O$6:$O$270,"&lt;="&amp;196)/SUM($N$6:$N$270)</f>
        <v>0.994382879509511</v>
      </c>
    </row>
    <row r="202" spans="11:16" x14ac:dyDescent="0.25">
      <c r="K202" s="14">
        <v>197</v>
      </c>
      <c r="L202" s="14" t="str">
        <f>VLOOKUP(K202,ZoneTable,3,FALSE)</f>
        <v>Richmond Hill</v>
      </c>
      <c r="M202" s="14" t="str">
        <f>VLOOKUP(K202,ZoneTable,2,FALSE)</f>
        <v>Queens</v>
      </c>
      <c r="N202" s="15">
        <f>SUMIFS(tblZoneMonthly[Trips],tblZoneMonthly[Location ID],K202)</f>
        <v>11232</v>
      </c>
      <c r="O202" s="15">
        <f>_xlfn.RANK.EQ(N202,$N$6:$N$270,0)+COUNTIF($N$6:N201,N202)</f>
        <v>125</v>
      </c>
      <c r="P202" s="22">
        <f>SUMIFS($N$6:$N$270,$O$6:$O$270,"&lt;="&amp;197)/SUM($N$6:$N$270)</f>
        <v>0.994621904422409</v>
      </c>
    </row>
    <row r="203" spans="11:16" x14ac:dyDescent="0.25">
      <c r="K203" s="14">
        <v>198</v>
      </c>
      <c r="L203" s="14" t="str">
        <f>VLOOKUP(K203,ZoneTable,3,FALSE)</f>
        <v>Ridgewood</v>
      </c>
      <c r="M203" s="14" t="str">
        <f>VLOOKUP(K203,ZoneTable,2,FALSE)</f>
        <v>Queens</v>
      </c>
      <c r="N203" s="15">
        <f>SUMIFS(tblZoneMonthly[Trips],tblZoneMonthly[Location ID],K203)</f>
        <v>25198</v>
      </c>
      <c r="O203" s="15">
        <f>_xlfn.RANK.EQ(N203,$N$6:$N$270,0)+COUNTIF($N$6:N202,N203)</f>
        <v>91</v>
      </c>
      <c r="P203" s="22">
        <f>SUMIFS($N$6:$N$270,$O$6:$O$270,"&lt;="&amp;198)/SUM($N$6:$N$270)</f>
        <v>0.994855393431433</v>
      </c>
    </row>
    <row r="204" spans="11:16" x14ac:dyDescent="0.25">
      <c r="K204" s="14">
        <v>199</v>
      </c>
      <c r="L204" s="14" t="str">
        <f>VLOOKUP(K204,ZoneTable,3,FALSE)</f>
        <v>Rikers Island</v>
      </c>
      <c r="M204" s="14" t="str">
        <f>VLOOKUP(K204,ZoneTable,2,FALSE)</f>
        <v>Bronx</v>
      </c>
      <c r="N204" s="15">
        <f>SUMIFS(tblZoneMonthly[Trips],tblZoneMonthly[Location ID],K204)</f>
        <v>0</v>
      </c>
      <c r="O204" s="15">
        <f>_xlfn.RANK.EQ(N204,$N$6:$N$270,0)+COUNTIF($N$6:N203,N204)</f>
        <v>265</v>
      </c>
      <c r="P204" s="22">
        <f>SUMIFS($N$6:$N$270,$O$6:$O$270,"&lt;="&amp;199)/SUM($N$6:$N$270)</f>
        <v>0.995081664742998</v>
      </c>
    </row>
    <row r="205" spans="11:16" x14ac:dyDescent="0.25">
      <c r="K205" s="14">
        <v>200</v>
      </c>
      <c r="L205" s="14" t="str">
        <f>VLOOKUP(K205,ZoneTable,3,FALSE)</f>
        <v>Riverdale/North Riverdale/Fieldston</v>
      </c>
      <c r="M205" s="14" t="str">
        <f>VLOOKUP(K205,ZoneTable,2,FALSE)</f>
        <v>Bronx</v>
      </c>
      <c r="N205" s="15">
        <f>SUMIFS(tblZoneMonthly[Trips],tblZoneMonthly[Location ID],K205)</f>
        <v>15837</v>
      </c>
      <c r="O205" s="15">
        <f>_xlfn.RANK.EQ(N205,$N$6:$N$270,0)+COUNTIF($N$6:N204,N205)</f>
        <v>103</v>
      </c>
      <c r="P205" s="22">
        <f>SUMIFS($N$6:$N$270,$O$6:$O$270,"&lt;="&amp;200)/SUM($N$6:$N$270)</f>
        <v>0.995299106638257</v>
      </c>
    </row>
    <row r="206" spans="11:16" x14ac:dyDescent="0.25">
      <c r="K206" s="14">
        <v>201</v>
      </c>
      <c r="L206" s="14" t="str">
        <f>VLOOKUP(K206,ZoneTable,3,FALSE)</f>
        <v>Rockaway Park</v>
      </c>
      <c r="M206" s="14" t="str">
        <f>VLOOKUP(K206,ZoneTable,2,FALSE)</f>
        <v>Queens</v>
      </c>
      <c r="N206" s="15">
        <f>SUMIFS(tblZoneMonthly[Trips],tblZoneMonthly[Location ID],K206)</f>
        <v>448</v>
      </c>
      <c r="O206" s="15">
        <f>_xlfn.RANK.EQ(N206,$N$6:$N$270,0)+COUNTIF($N$6:N205,N206)</f>
        <v>239</v>
      </c>
      <c r="P206" s="22">
        <f>SUMIFS($N$6:$N$270,$O$6:$O$270,"&lt;="&amp;201)/SUM($N$6:$N$270)</f>
        <v>0.995514306142071</v>
      </c>
    </row>
    <row r="207" spans="11:16" x14ac:dyDescent="0.25">
      <c r="K207" s="14">
        <v>202</v>
      </c>
      <c r="L207" s="14" t="str">
        <f>VLOOKUP(K207,ZoneTable,3,FALSE)</f>
        <v>Roosevelt Island</v>
      </c>
      <c r="M207" s="14" t="str">
        <f>VLOOKUP(K207,ZoneTable,2,FALSE)</f>
        <v>Manhattan</v>
      </c>
      <c r="N207" s="15">
        <f>SUMIFS(tblZoneMonthly[Trips],tblZoneMonthly[Location ID],K207)</f>
        <v>3011</v>
      </c>
      <c r="O207" s="15">
        <f>_xlfn.RANK.EQ(N207,$N$6:$N$270,0)+COUNTIF($N$6:N206,N207)</f>
        <v>205</v>
      </c>
      <c r="P207" s="22">
        <f>SUMIFS($N$6:$N$270,$O$6:$O$270,"&lt;="&amp;202)/SUM($N$6:$N$270)</f>
        <v>0.995728104151234</v>
      </c>
    </row>
    <row r="208" spans="11:16" x14ac:dyDescent="0.25">
      <c r="K208" s="14">
        <v>203</v>
      </c>
      <c r="L208" s="14" t="str">
        <f>VLOOKUP(K208,ZoneTable,3,FALSE)</f>
        <v>Rosedale</v>
      </c>
      <c r="M208" s="14" t="str">
        <f>VLOOKUP(K208,ZoneTable,2,FALSE)</f>
        <v>Queens</v>
      </c>
      <c r="N208" s="15">
        <f>SUMIFS(tblZoneMonthly[Trips],tblZoneMonthly[Location ID],K208)</f>
        <v>3103</v>
      </c>
      <c r="O208" s="15">
        <f>_xlfn.RANK.EQ(N208,$N$6:$N$270,0)+COUNTIF($N$6:N207,N208)</f>
        <v>200</v>
      </c>
      <c r="P208" s="22">
        <f>SUMIFS($N$6:$N$270,$O$6:$O$270,"&lt;="&amp;203)/SUM($N$6:$N$270)</f>
        <v>0.995941131338338</v>
      </c>
    </row>
    <row r="209" spans="11:16" x14ac:dyDescent="0.25">
      <c r="K209" s="14">
        <v>204</v>
      </c>
      <c r="L209" s="14" t="str">
        <f>VLOOKUP(K209,ZoneTable,3,FALSE)</f>
        <v>Rossville/Woodrow</v>
      </c>
      <c r="M209" s="14" t="str">
        <f>VLOOKUP(K209,ZoneTable,2,FALSE)</f>
        <v>Staten Island</v>
      </c>
      <c r="N209" s="15">
        <f>SUMIFS(tblZoneMonthly[Trips],tblZoneMonthly[Location ID],K209)</f>
        <v>24</v>
      </c>
      <c r="O209" s="15">
        <f>_xlfn.RANK.EQ(N209,$N$6:$N$270,0)+COUNTIF($N$6:N208,N209)</f>
        <v>257</v>
      </c>
      <c r="P209" s="22">
        <f>SUMIFS($N$6:$N$270,$O$6:$O$270,"&lt;="&amp;204)/SUM($N$6:$N$270)</f>
        <v>0.996153177479186</v>
      </c>
    </row>
    <row r="210" spans="11:16" x14ac:dyDescent="0.25">
      <c r="K210" s="14">
        <v>205</v>
      </c>
      <c r="L210" s="14" t="str">
        <f>VLOOKUP(K210,ZoneTable,3,FALSE)</f>
        <v>Saint Albans</v>
      </c>
      <c r="M210" s="14" t="str">
        <f>VLOOKUP(K210,ZoneTable,2,FALSE)</f>
        <v>Queens</v>
      </c>
      <c r="N210" s="15">
        <f>SUMIFS(tblZoneMonthly[Trips],tblZoneMonthly[Location ID],K210)</f>
        <v>5225</v>
      </c>
      <c r="O210" s="15">
        <f>_xlfn.RANK.EQ(N210,$N$6:$N$270,0)+COUNTIF($N$6:N209,N210)</f>
        <v>168</v>
      </c>
      <c r="P210" s="22">
        <f>SUMIFS($N$6:$N$270,$O$6:$O$270,"&lt;="&amp;205)/SUM($N$6:$N$270)</f>
        <v>0.996364172499045</v>
      </c>
    </row>
    <row r="211" spans="11:16" x14ac:dyDescent="0.25">
      <c r="K211" s="14">
        <v>206</v>
      </c>
      <c r="L211" s="14" t="str">
        <f>VLOOKUP(K211,ZoneTable,3,FALSE)</f>
        <v>Saint George/New Brighton</v>
      </c>
      <c r="M211" s="14" t="str">
        <f>VLOOKUP(K211,ZoneTable,2,FALSE)</f>
        <v>Staten Island</v>
      </c>
      <c r="N211" s="15">
        <f>SUMIFS(tblZoneMonthly[Trips],tblZoneMonthly[Location ID],K211)</f>
        <v>414</v>
      </c>
      <c r="O211" s="15">
        <f>_xlfn.RANK.EQ(N211,$N$6:$N$270,0)+COUNTIF($N$6:N210,N211)</f>
        <v>241</v>
      </c>
      <c r="P211" s="22">
        <f>SUMIFS($N$6:$N$270,$O$6:$O$270,"&lt;="&amp;206)/SUM($N$6:$N$270)</f>
        <v>0.996568720643505</v>
      </c>
    </row>
    <row r="212" spans="11:16" x14ac:dyDescent="0.25">
      <c r="K212" s="14">
        <v>207</v>
      </c>
      <c r="L212" s="14" t="str">
        <f>VLOOKUP(K212,ZoneTable,3,FALSE)</f>
        <v>Saint Michaels Cemetery/Woodside</v>
      </c>
      <c r="M212" s="14" t="str">
        <f>VLOOKUP(K212,ZoneTable,2,FALSE)</f>
        <v>Queens</v>
      </c>
      <c r="N212" s="15">
        <f>SUMIFS(tblZoneMonthly[Trips],tblZoneMonthly[Location ID],K212)</f>
        <v>387</v>
      </c>
      <c r="O212" s="15">
        <f>_xlfn.RANK.EQ(N212,$N$6:$N$270,0)+COUNTIF($N$6:N211,N212)</f>
        <v>242</v>
      </c>
      <c r="P212" s="22">
        <f>SUMIFS($N$6:$N$270,$O$6:$O$270,"&lt;="&amp;207)/SUM($N$6:$N$270)</f>
        <v>0.996769624901869</v>
      </c>
    </row>
    <row r="213" spans="11:16" x14ac:dyDescent="0.25">
      <c r="K213" s="14">
        <v>208</v>
      </c>
      <c r="L213" s="14" t="str">
        <f>VLOOKUP(K213,ZoneTable,3,FALSE)</f>
        <v>Schuylerville/Edgewater Park</v>
      </c>
      <c r="M213" s="14" t="str">
        <f>VLOOKUP(K213,ZoneTable,2,FALSE)</f>
        <v>Bronx</v>
      </c>
      <c r="N213" s="15">
        <f>SUMIFS(tblZoneMonthly[Trips],tblZoneMonthly[Location ID],K213)</f>
        <v>4454</v>
      </c>
      <c r="O213" s="15">
        <f>_xlfn.RANK.EQ(N213,$N$6:$N$270,0)+COUNTIF($N$6:N212,N213)</f>
        <v>177</v>
      </c>
      <c r="P213" s="22">
        <f>SUMIFS($N$6:$N$270,$O$6:$O$270,"&lt;="&amp;208)/SUM($N$6:$N$270)</f>
        <v>0.996965974302615</v>
      </c>
    </row>
    <row r="214" spans="11:16" x14ac:dyDescent="0.25">
      <c r="K214" s="14">
        <v>209</v>
      </c>
      <c r="L214" s="14" t="str">
        <f>VLOOKUP(K214,ZoneTable,3,FALSE)</f>
        <v>Seaport</v>
      </c>
      <c r="M214" s="14" t="str">
        <f>VLOOKUP(K214,ZoneTable,2,FALSE)</f>
        <v>Manhattan</v>
      </c>
      <c r="N214" s="15">
        <f>SUMIFS(tblZoneMonthly[Trips],tblZoneMonthly[Location ID],K214)</f>
        <v>50361</v>
      </c>
      <c r="O214" s="15">
        <f>_xlfn.RANK.EQ(N214,$N$6:$N$270,0)+COUNTIF($N$6:N213,N214)</f>
        <v>73</v>
      </c>
      <c r="P214" s="22">
        <f>SUMIFS($N$6:$N$270,$O$6:$O$270,"&lt;="&amp;209)/SUM($N$6:$N$270)</f>
        <v>0.997161202507638</v>
      </c>
    </row>
    <row r="215" spans="11:16" x14ac:dyDescent="0.25">
      <c r="K215" s="14">
        <v>210</v>
      </c>
      <c r="L215" s="14" t="str">
        <f>VLOOKUP(K215,ZoneTable,3,FALSE)</f>
        <v>Sheepshead Bay</v>
      </c>
      <c r="M215" s="14" t="str">
        <f>VLOOKUP(K215,ZoneTable,2,FALSE)</f>
        <v>Brooklyn</v>
      </c>
      <c r="N215" s="15">
        <f>SUMIFS(tblZoneMonthly[Trips],tblZoneMonthly[Location ID],K215)</f>
        <v>7277</v>
      </c>
      <c r="O215" s="15">
        <f>_xlfn.RANK.EQ(N215,$N$6:$N$270,0)+COUNTIF($N$6:N214,N215)</f>
        <v>148</v>
      </c>
      <c r="P215" s="22">
        <f>SUMIFS($N$6:$N$270,$O$6:$O$270,"&lt;="&amp;210)/SUM($N$6:$N$270)</f>
        <v>0.997344728232318</v>
      </c>
    </row>
    <row r="216" spans="11:16" x14ac:dyDescent="0.25">
      <c r="K216" s="14">
        <v>211</v>
      </c>
      <c r="L216" s="14" t="str">
        <f>VLOOKUP(K216,ZoneTable,3,FALSE)</f>
        <v>SoHo</v>
      </c>
      <c r="M216" s="14" t="str">
        <f>VLOOKUP(K216,ZoneTable,2,FALSE)</f>
        <v>Manhattan</v>
      </c>
      <c r="N216" s="15">
        <f>SUMIFS(tblZoneMonthly[Trips],tblZoneMonthly[Location ID],K216)</f>
        <v>232871</v>
      </c>
      <c r="O216" s="15">
        <f>_xlfn.RANK.EQ(N216,$N$6:$N$270,0)+COUNTIF($N$6:N215,N216)</f>
        <v>22</v>
      </c>
      <c r="P216" s="22">
        <f>SUMIFS($N$6:$N$270,$O$6:$O$270,"&lt;="&amp;211)/SUM($N$6:$N$270)</f>
        <v>0.997525450967694</v>
      </c>
    </row>
    <row r="217" spans="11:16" x14ac:dyDescent="0.25">
      <c r="K217" s="14">
        <v>212</v>
      </c>
      <c r="L217" s="14" t="str">
        <f>VLOOKUP(K217,ZoneTable,3,FALSE)</f>
        <v>Soundview/Bruckner</v>
      </c>
      <c r="M217" s="14" t="str">
        <f>VLOOKUP(K217,ZoneTable,2,FALSE)</f>
        <v>Bronx</v>
      </c>
      <c r="N217" s="15">
        <f>SUMIFS(tblZoneMonthly[Trips],tblZoneMonthly[Location ID],K217)</f>
        <v>3411</v>
      </c>
      <c r="O217" s="15">
        <f>_xlfn.RANK.EQ(N217,$N$6:$N$270,0)+COUNTIF($N$6:N216,N217)</f>
        <v>197</v>
      </c>
      <c r="P217" s="22">
        <f>SUMIFS($N$6:$N$270,$O$6:$O$270,"&lt;="&amp;212)/SUM($N$6:$N$270)</f>
        <v>0.997701548770718</v>
      </c>
    </row>
    <row r="218" spans="11:16" x14ac:dyDescent="0.25">
      <c r="K218" s="14">
        <v>213</v>
      </c>
      <c r="L218" s="14" t="str">
        <f>VLOOKUP(K218,ZoneTable,3,FALSE)</f>
        <v>Soundview/Castle Hill</v>
      </c>
      <c r="M218" s="14" t="str">
        <f>VLOOKUP(K218,ZoneTable,2,FALSE)</f>
        <v>Bronx</v>
      </c>
      <c r="N218" s="15">
        <f>SUMIFS(tblZoneMonthly[Trips],tblZoneMonthly[Location ID],K218)</f>
        <v>5111</v>
      </c>
      <c r="O218" s="15">
        <f>_xlfn.RANK.EQ(N218,$N$6:$N$270,0)+COUNTIF($N$6:N217,N218)</f>
        <v>173</v>
      </c>
      <c r="P218" s="22">
        <f>SUMIFS($N$6:$N$270,$O$6:$O$270,"&lt;="&amp;213)/SUM($N$6:$N$270)</f>
        <v>0.997868116410108</v>
      </c>
    </row>
    <row r="219" spans="11:16" x14ac:dyDescent="0.25">
      <c r="K219" s="14">
        <v>214</v>
      </c>
      <c r="L219" s="14" t="str">
        <f>VLOOKUP(K219,ZoneTable,3,FALSE)</f>
        <v>South Beach/Dongan Hills</v>
      </c>
      <c r="M219" s="14" t="str">
        <f>VLOOKUP(K219,ZoneTable,2,FALSE)</f>
        <v>Staten Island</v>
      </c>
      <c r="N219" s="15">
        <f>SUMIFS(tblZoneMonthly[Trips],tblZoneMonthly[Location ID],K219)</f>
        <v>692</v>
      </c>
      <c r="O219" s="15">
        <f>_xlfn.RANK.EQ(N219,$N$6:$N$270,0)+COUNTIF($N$6:N218,N219)</f>
        <v>226</v>
      </c>
      <c r="P219" s="22">
        <f>SUMIFS($N$6:$N$270,$O$6:$O$270,"&lt;="&amp;214)/SUM($N$6:$N$270)</f>
        <v>0.998032651882253</v>
      </c>
    </row>
    <row r="220" spans="11:16" x14ac:dyDescent="0.25">
      <c r="K220" s="14">
        <v>215</v>
      </c>
      <c r="L220" s="14" t="str">
        <f>VLOOKUP(K220,ZoneTable,3,FALSE)</f>
        <v>South Jamaica</v>
      </c>
      <c r="M220" s="14" t="str">
        <f>VLOOKUP(K220,ZoneTable,2,FALSE)</f>
        <v>Queens</v>
      </c>
      <c r="N220" s="15">
        <f>SUMIFS(tblZoneMonthly[Trips],tblZoneMonthly[Location ID],K220)</f>
        <v>3922</v>
      </c>
      <c r="O220" s="15">
        <f>_xlfn.RANK.EQ(N220,$N$6:$N$270,0)+COUNTIF($N$6:N219,N220)</f>
        <v>188</v>
      </c>
      <c r="P220" s="22">
        <f>SUMIFS($N$6:$N$270,$O$6:$O$270,"&lt;="&amp;215)/SUM($N$6:$N$270)</f>
        <v>0.9981937536925</v>
      </c>
    </row>
    <row r="221" spans="11:16" x14ac:dyDescent="0.25">
      <c r="K221" s="14">
        <v>216</v>
      </c>
      <c r="L221" s="14" t="str">
        <f>VLOOKUP(K221,ZoneTable,3,FALSE)</f>
        <v>South Ozone Park</v>
      </c>
      <c r="M221" s="14" t="str">
        <f>VLOOKUP(K221,ZoneTable,2,FALSE)</f>
        <v>Queens</v>
      </c>
      <c r="N221" s="15">
        <f>SUMIFS(tblZoneMonthly[Trips],tblZoneMonthly[Location ID],K221)</f>
        <v>11025</v>
      </c>
      <c r="O221" s="15">
        <f>_xlfn.RANK.EQ(N221,$N$6:$N$270,0)+COUNTIF($N$6:N220,N221)</f>
        <v>126</v>
      </c>
      <c r="P221" s="22">
        <f>SUMIFS($N$6:$N$270,$O$6:$O$270,"&lt;="&amp;216)/SUM($N$6:$N$270)</f>
        <v>0.998351912363979</v>
      </c>
    </row>
    <row r="222" spans="11:16" x14ac:dyDescent="0.25">
      <c r="K222" s="14">
        <v>217</v>
      </c>
      <c r="L222" s="14" t="str">
        <f>VLOOKUP(K222,ZoneTable,3,FALSE)</f>
        <v>South Williamsburg</v>
      </c>
      <c r="M222" s="14" t="str">
        <f>VLOOKUP(K222,ZoneTable,2,FALSE)</f>
        <v>Brooklyn</v>
      </c>
      <c r="N222" s="15">
        <f>SUMIFS(tblZoneMonthly[Trips],tblZoneMonthly[Location ID],K222)</f>
        <v>8080</v>
      </c>
      <c r="O222" s="15">
        <f>_xlfn.RANK.EQ(N222,$N$6:$N$270,0)+COUNTIF($N$6:N221,N222)</f>
        <v>145</v>
      </c>
      <c r="P222" s="22">
        <f>SUMIFS($N$6:$N$270,$O$6:$O$270,"&lt;="&amp;217)/SUM($N$6:$N$270)</f>
        <v>0.998506707448292</v>
      </c>
    </row>
    <row r="223" spans="11:16" x14ac:dyDescent="0.25">
      <c r="K223" s="14">
        <v>218</v>
      </c>
      <c r="L223" s="14" t="str">
        <f>VLOOKUP(K223,ZoneTable,3,FALSE)</f>
        <v>Springfield Gardens North</v>
      </c>
      <c r="M223" s="14" t="str">
        <f>VLOOKUP(K223,ZoneTable,2,FALSE)</f>
        <v>Queens</v>
      </c>
      <c r="N223" s="15">
        <f>SUMIFS(tblZoneMonthly[Trips],tblZoneMonthly[Location ID],K223)</f>
        <v>3332</v>
      </c>
      <c r="O223" s="15">
        <f>_xlfn.RANK.EQ(N223,$N$6:$N$270,0)+COUNTIF($N$6:N222,N223)</f>
        <v>198</v>
      </c>
      <c r="P223" s="22">
        <f>SUMIFS($N$6:$N$270,$O$6:$O$270,"&lt;="&amp;218)/SUM($N$6:$N$270)</f>
        <v>0.99864356340106</v>
      </c>
    </row>
    <row r="224" spans="11:16" x14ac:dyDescent="0.25">
      <c r="K224" s="14">
        <v>219</v>
      </c>
      <c r="L224" s="14" t="str">
        <f>VLOOKUP(K224,ZoneTable,3,FALSE)</f>
        <v>Springfield Gardens South</v>
      </c>
      <c r="M224" s="14" t="str">
        <f>VLOOKUP(K224,ZoneTable,2,FALSE)</f>
        <v>Queens</v>
      </c>
      <c r="N224" s="15">
        <f>SUMIFS(tblZoneMonthly[Trips],tblZoneMonthly[Location ID],K224)</f>
        <v>3960</v>
      </c>
      <c r="O224" s="15">
        <f>_xlfn.RANK.EQ(N224,$N$6:$N$270,0)+COUNTIF($N$6:N223,N224)</f>
        <v>187</v>
      </c>
      <c r="P224" s="22">
        <f>SUMIFS($N$6:$N$270,$O$6:$O$270,"&lt;="&amp;219)/SUM($N$6:$N$270)</f>
        <v>0.998770118368136</v>
      </c>
    </row>
    <row r="225" spans="11:16" x14ac:dyDescent="0.25">
      <c r="K225" s="14">
        <v>220</v>
      </c>
      <c r="L225" s="14" t="str">
        <f>VLOOKUP(K225,ZoneTable,3,FALSE)</f>
        <v>Spuyten Duyvil/Kingsbridge</v>
      </c>
      <c r="M225" s="14" t="str">
        <f>VLOOKUP(K225,ZoneTable,2,FALSE)</f>
        <v>Bronx</v>
      </c>
      <c r="N225" s="15">
        <f>SUMIFS(tblZoneMonthly[Trips],tblZoneMonthly[Location ID],K225)</f>
        <v>15303</v>
      </c>
      <c r="O225" s="15">
        <f>_xlfn.RANK.EQ(N225,$N$6:$N$270,0)+COUNTIF($N$6:N224,N225)</f>
        <v>109</v>
      </c>
      <c r="P225" s="22">
        <f>SUMIFS($N$6:$N$270,$O$6:$O$270,"&lt;="&amp;220)/SUM($N$6:$N$270)</f>
        <v>0.998869344189498</v>
      </c>
    </row>
    <row r="226" spans="11:16" x14ac:dyDescent="0.25">
      <c r="K226" s="14">
        <v>221</v>
      </c>
      <c r="L226" s="14" t="str">
        <f>VLOOKUP(K226,ZoneTable,3,FALSE)</f>
        <v>Stapleton</v>
      </c>
      <c r="M226" s="14" t="str">
        <f>VLOOKUP(K226,ZoneTable,2,FALSE)</f>
        <v>Staten Island</v>
      </c>
      <c r="N226" s="15">
        <f>SUMIFS(tblZoneMonthly[Trips],tblZoneMonthly[Location ID],K226)</f>
        <v>614</v>
      </c>
      <c r="O226" s="15">
        <f>_xlfn.RANK.EQ(N226,$N$6:$N$270,0)+COUNTIF($N$6:N225,N226)</f>
        <v>232</v>
      </c>
      <c r="P226" s="22">
        <f>SUMIFS($N$6:$N$270,$O$6:$O$270,"&lt;="&amp;221)/SUM($N$6:$N$270)</f>
        <v>0.998953433868618</v>
      </c>
    </row>
    <row r="227" spans="11:16" x14ac:dyDescent="0.25">
      <c r="K227" s="14">
        <v>222</v>
      </c>
      <c r="L227" s="14" t="str">
        <f>VLOOKUP(K227,ZoneTable,3,FALSE)</f>
        <v>Starrett City</v>
      </c>
      <c r="M227" s="14" t="str">
        <f>VLOOKUP(K227,ZoneTable,2,FALSE)</f>
        <v>Brooklyn</v>
      </c>
      <c r="N227" s="15">
        <f>SUMIFS(tblZoneMonthly[Trips],tblZoneMonthly[Location ID],K227)</f>
        <v>2348</v>
      </c>
      <c r="O227" s="15">
        <f>_xlfn.RANK.EQ(N227,$N$6:$N$270,0)+COUNTIF($N$6:N226,N227)</f>
        <v>214</v>
      </c>
      <c r="P227" s="22">
        <f>SUMIFS($N$6:$N$270,$O$6:$O$270,"&lt;="&amp;222)/SUM($N$6:$N$270)</f>
        <v>0.999018252996273</v>
      </c>
    </row>
    <row r="228" spans="11:16" x14ac:dyDescent="0.25">
      <c r="K228" s="14">
        <v>223</v>
      </c>
      <c r="L228" s="14" t="str">
        <f>VLOOKUP(K228,ZoneTable,3,FALSE)</f>
        <v>Steinway</v>
      </c>
      <c r="M228" s="14" t="str">
        <f>VLOOKUP(K228,ZoneTable,2,FALSE)</f>
        <v>Queens</v>
      </c>
      <c r="N228" s="15">
        <f>SUMIFS(tblZoneMonthly[Trips],tblZoneMonthly[Location ID],K228)</f>
        <v>46610</v>
      </c>
      <c r="O228" s="15">
        <f>_xlfn.RANK.EQ(N228,$N$6:$N$270,0)+COUNTIF($N$6:N227,N228)</f>
        <v>76</v>
      </c>
      <c r="P228" s="22">
        <f>SUMIFS($N$6:$N$270,$O$6:$O$270,"&lt;="&amp;223)/SUM($N$6:$N$270)</f>
        <v>0.999075363903342</v>
      </c>
    </row>
    <row r="229" spans="11:16" x14ac:dyDescent="0.25">
      <c r="K229" s="14">
        <v>224</v>
      </c>
      <c r="L229" s="14" t="str">
        <f>VLOOKUP(K229,ZoneTable,3,FALSE)</f>
        <v>Stuy Town/Peter Cooper Village</v>
      </c>
      <c r="M229" s="14" t="str">
        <f>VLOOKUP(K229,ZoneTable,2,FALSE)</f>
        <v>Manhattan</v>
      </c>
      <c r="N229" s="15">
        <f>SUMIFS(tblZoneMonthly[Trips],tblZoneMonthly[Location ID],K229)</f>
        <v>73119</v>
      </c>
      <c r="O229" s="15">
        <f>_xlfn.RANK.EQ(N229,$N$6:$N$270,0)+COUNTIF($N$6:N228,N229)</f>
        <v>59</v>
      </c>
      <c r="P229" s="22">
        <f>SUMIFS($N$6:$N$270,$O$6:$O$270,"&lt;="&amp;224)/SUM($N$6:$N$270)</f>
        <v>0.999131984287283</v>
      </c>
    </row>
    <row r="230" spans="11:16" x14ac:dyDescent="0.25">
      <c r="K230" s="14">
        <v>225</v>
      </c>
      <c r="L230" s="14" t="str">
        <f>VLOOKUP(K230,ZoneTable,3,FALSE)</f>
        <v>Stuyvesant Heights</v>
      </c>
      <c r="M230" s="14" t="str">
        <f>VLOOKUP(K230,ZoneTable,2,FALSE)</f>
        <v>Brooklyn</v>
      </c>
      <c r="N230" s="15">
        <f>SUMIFS(tblZoneMonthly[Trips],tblZoneMonthly[Location ID],K230)</f>
        <v>59136</v>
      </c>
      <c r="O230" s="15">
        <f>_xlfn.RANK.EQ(N230,$N$6:$N$270,0)+COUNTIF($N$6:N229,N230)</f>
        <v>64</v>
      </c>
      <c r="P230" s="22">
        <f>SUMIFS($N$6:$N$270,$O$6:$O$270,"&lt;="&amp;225)/SUM($N$6:$N$270)</f>
        <v>0.999185521382989</v>
      </c>
    </row>
    <row r="231" spans="11:16" x14ac:dyDescent="0.25">
      <c r="K231" s="14">
        <v>226</v>
      </c>
      <c r="L231" s="14" t="str">
        <f>VLOOKUP(K231,ZoneTable,3,FALSE)</f>
        <v>Sunnyside</v>
      </c>
      <c r="M231" s="14" t="str">
        <f>VLOOKUP(K231,ZoneTable,2,FALSE)</f>
        <v>Queens</v>
      </c>
      <c r="N231" s="15">
        <f>SUMIFS(tblZoneMonthly[Trips],tblZoneMonthly[Location ID],K231)</f>
        <v>54830</v>
      </c>
      <c r="O231" s="15">
        <f>_xlfn.RANK.EQ(N231,$N$6:$N$270,0)+COUNTIF($N$6:N230,N231)</f>
        <v>69</v>
      </c>
      <c r="P231" s="22">
        <f>SUMIFS($N$6:$N$270,$O$6:$O$270,"&lt;="&amp;226)/SUM($N$6:$N$270)</f>
        <v>0.999234013097949</v>
      </c>
    </row>
    <row r="232" spans="11:16" x14ac:dyDescent="0.25">
      <c r="K232" s="14">
        <v>227</v>
      </c>
      <c r="L232" s="14" t="str">
        <f>VLOOKUP(K232,ZoneTable,3,FALSE)</f>
        <v>Sunset Park East</v>
      </c>
      <c r="M232" s="14" t="str">
        <f>VLOOKUP(K232,ZoneTable,2,FALSE)</f>
        <v>Brooklyn</v>
      </c>
      <c r="N232" s="15">
        <f>SUMIFS(tblZoneMonthly[Trips],tblZoneMonthly[Location ID],K232)</f>
        <v>9624</v>
      </c>
      <c r="O232" s="15">
        <f>_xlfn.RANK.EQ(N232,$N$6:$N$270,0)+COUNTIF($N$6:N231,N232)</f>
        <v>133</v>
      </c>
      <c r="P232" s="22">
        <f>SUMIFS($N$6:$N$270,$O$6:$O$270,"&lt;="&amp;227)/SUM($N$6:$N$270)</f>
        <v>0.999281944215047</v>
      </c>
    </row>
    <row r="233" spans="11:16" x14ac:dyDescent="0.25">
      <c r="K233" s="14">
        <v>228</v>
      </c>
      <c r="L233" s="14" t="str">
        <f>VLOOKUP(K233,ZoneTable,3,FALSE)</f>
        <v>Sunset Park West</v>
      </c>
      <c r="M233" s="14" t="str">
        <f>VLOOKUP(K233,ZoneTable,2,FALSE)</f>
        <v>Brooklyn</v>
      </c>
      <c r="N233" s="15">
        <f>SUMIFS(tblZoneMonthly[Trips],tblZoneMonthly[Location ID],K233)</f>
        <v>33394</v>
      </c>
      <c r="O233" s="15">
        <f>_xlfn.RANK.EQ(N233,$N$6:$N$270,0)+COUNTIF($N$6:N232,N233)</f>
        <v>88</v>
      </c>
      <c r="P233" s="22">
        <f>SUMIFS($N$6:$N$270,$O$6:$O$270,"&lt;="&amp;228)/SUM($N$6:$N$270)</f>
        <v>0.999329875332146</v>
      </c>
    </row>
    <row r="234" spans="11:16" x14ac:dyDescent="0.25">
      <c r="K234" s="14">
        <v>229</v>
      </c>
      <c r="L234" s="14" t="str">
        <f>VLOOKUP(K234,ZoneTable,3,FALSE)</f>
        <v>Sutton Place/Turtle Bay North</v>
      </c>
      <c r="M234" s="14" t="str">
        <f>VLOOKUP(K234,ZoneTable,2,FALSE)</f>
        <v>Manhattan</v>
      </c>
      <c r="N234" s="15">
        <f>SUMIFS(tblZoneMonthly[Trips],tblZoneMonthly[Location ID],K234)</f>
        <v>171662</v>
      </c>
      <c r="O234" s="15">
        <f>_xlfn.RANK.EQ(N234,$N$6:$N$270,0)+COUNTIF($N$6:N233,N234)</f>
        <v>31</v>
      </c>
      <c r="P234" s="22">
        <f>SUMIFS($N$6:$N$270,$O$6:$O$270,"&lt;="&amp;229)/SUM($N$6:$N$270)</f>
        <v>0.999377175776651</v>
      </c>
    </row>
    <row r="235" spans="11:16" x14ac:dyDescent="0.25">
      <c r="K235" s="14">
        <v>230</v>
      </c>
      <c r="L235" s="14" t="str">
        <f>VLOOKUP(K235,ZoneTable,3,FALSE)</f>
        <v>Times Sq/Theatre District</v>
      </c>
      <c r="M235" s="14" t="str">
        <f>VLOOKUP(K235,ZoneTable,2,FALSE)</f>
        <v>Manhattan</v>
      </c>
      <c r="N235" s="15">
        <f>SUMIFS(tblZoneMonthly[Trips],tblZoneMonthly[Location ID],K235)</f>
        <v>315919</v>
      </c>
      <c r="O235" s="15">
        <f>_xlfn.RANK.EQ(N235,$N$6:$N$270,0)+COUNTIF($N$6:N234,N235)</f>
        <v>6</v>
      </c>
      <c r="P235" s="22">
        <f>SUMIFS($N$6:$N$270,$O$6:$O$270,"&lt;="&amp;230)/SUM($N$6:$N$270)</f>
        <v>0.999423565249632</v>
      </c>
    </row>
    <row r="236" spans="11:16" x14ac:dyDescent="0.25">
      <c r="K236" s="14">
        <v>231</v>
      </c>
      <c r="L236" s="14" t="str">
        <f>VLOOKUP(K236,ZoneTable,3,FALSE)</f>
        <v>TriBeCa/Civic Center</v>
      </c>
      <c r="M236" s="14" t="str">
        <f>VLOOKUP(K236,ZoneTable,2,FALSE)</f>
        <v>Manhattan</v>
      </c>
      <c r="N236" s="15">
        <f>SUMIFS(tblZoneMonthly[Trips],tblZoneMonthly[Location ID],K236)</f>
        <v>420356</v>
      </c>
      <c r="O236" s="15">
        <f>_xlfn.RANK.EQ(N236,$N$6:$N$270,0)+COUNTIF($N$6:N235,N236)</f>
        <v>2</v>
      </c>
      <c r="P236" s="22">
        <f>SUMIFS($N$6:$N$270,$O$6:$O$270,"&lt;="&amp;231)/SUM($N$6:$N$270)</f>
        <v>0.9994679926301</v>
      </c>
    </row>
    <row r="237" spans="11:16" x14ac:dyDescent="0.25">
      <c r="K237" s="14">
        <v>232</v>
      </c>
      <c r="L237" s="14" t="str">
        <f>VLOOKUP(K237,ZoneTable,3,FALSE)</f>
        <v>Two Bridges/Seward Park</v>
      </c>
      <c r="M237" s="14" t="str">
        <f>VLOOKUP(K237,ZoneTable,2,FALSE)</f>
        <v>Manhattan</v>
      </c>
      <c r="N237" s="15">
        <f>SUMIFS(tblZoneMonthly[Trips],tblZoneMonthly[Location ID],K237)</f>
        <v>74274</v>
      </c>
      <c r="O237" s="15">
        <f>_xlfn.RANK.EQ(N237,$N$6:$N$270,0)+COUNTIF($N$6:N236,N237)</f>
        <v>58</v>
      </c>
      <c r="P237" s="22">
        <f>SUMIFS($N$6:$N$270,$O$6:$O$270,"&lt;="&amp;232)/SUM($N$6:$N$270)</f>
        <v>0.999511018515917</v>
      </c>
    </row>
    <row r="238" spans="11:16" x14ac:dyDescent="0.25">
      <c r="K238" s="14">
        <v>233</v>
      </c>
      <c r="L238" s="14" t="str">
        <f>VLOOKUP(K238,ZoneTable,3,FALSE)</f>
        <v>UN/Turtle Bay South</v>
      </c>
      <c r="M238" s="14" t="str">
        <f>VLOOKUP(K238,ZoneTable,2,FALSE)</f>
        <v>Manhattan</v>
      </c>
      <c r="N238" s="15">
        <f>SUMIFS(tblZoneMonthly[Trips],tblZoneMonthly[Location ID],K238)</f>
        <v>143451</v>
      </c>
      <c r="O238" s="15">
        <f>_xlfn.RANK.EQ(N238,$N$6:$N$270,0)+COUNTIF($N$6:N237,N238)</f>
        <v>36</v>
      </c>
      <c r="P238" s="22">
        <f>SUMIFS($N$6:$N$270,$O$6:$O$270,"&lt;="&amp;233)/SUM($N$6:$N$270)</f>
        <v>0.999549559618847</v>
      </c>
    </row>
    <row r="239" spans="11:16" x14ac:dyDescent="0.25">
      <c r="K239" s="14">
        <v>234</v>
      </c>
      <c r="L239" s="14" t="str">
        <f>VLOOKUP(K239,ZoneTable,3,FALSE)</f>
        <v>Union Sq</v>
      </c>
      <c r="M239" s="14" t="str">
        <f>VLOOKUP(K239,ZoneTable,2,FALSE)</f>
        <v>Manhattan</v>
      </c>
      <c r="N239" s="15">
        <f>SUMIFS(tblZoneMonthly[Trips],tblZoneMonthly[Location ID],K239)</f>
        <v>419045</v>
      </c>
      <c r="O239" s="15">
        <f>_xlfn.RANK.EQ(N239,$N$6:$N$270,0)+COUNTIF($N$6:N238,N239)</f>
        <v>3</v>
      </c>
      <c r="P239" s="22">
        <f>SUMIFS($N$6:$N$270,$O$6:$O$270,"&lt;="&amp;234)/SUM($N$6:$N$270)</f>
        <v>0.999587960572312</v>
      </c>
    </row>
    <row r="240" spans="11:16" x14ac:dyDescent="0.25">
      <c r="K240" s="14">
        <v>235</v>
      </c>
      <c r="L240" s="14" t="str">
        <f>VLOOKUP(K240,ZoneTable,3,FALSE)</f>
        <v>University Heights/Morris Heights</v>
      </c>
      <c r="M240" s="14" t="str">
        <f>VLOOKUP(K240,ZoneTable,2,FALSE)</f>
        <v>Bronx</v>
      </c>
      <c r="N240" s="15">
        <f>SUMIFS(tblZoneMonthly[Trips],tblZoneMonthly[Location ID],K240)</f>
        <v>6154</v>
      </c>
      <c r="O240" s="15">
        <f>_xlfn.RANK.EQ(N240,$N$6:$N$270,0)+COUNTIF($N$6:N239,N240)</f>
        <v>158</v>
      </c>
      <c r="P240" s="22">
        <f>SUMIFS($N$6:$N$270,$O$6:$O$270,"&lt;="&amp;235)/SUM($N$6:$N$270)</f>
        <v>0.99962376876067</v>
      </c>
    </row>
    <row r="241" spans="11:16" x14ac:dyDescent="0.25">
      <c r="K241" s="14">
        <v>236</v>
      </c>
      <c r="L241" s="14" t="str">
        <f>VLOOKUP(K241,ZoneTable,3,FALSE)</f>
        <v>Upper East Side North</v>
      </c>
      <c r="M241" s="14" t="str">
        <f>VLOOKUP(K241,ZoneTable,2,FALSE)</f>
        <v>Manhattan</v>
      </c>
      <c r="N241" s="15">
        <f>SUMIFS(tblZoneMonthly[Trips],tblZoneMonthly[Location ID],K241)</f>
        <v>229344</v>
      </c>
      <c r="O241" s="15">
        <f>_xlfn.RANK.EQ(N241,$N$6:$N$270,0)+COUNTIF($N$6:N240,N241)</f>
        <v>23</v>
      </c>
      <c r="P241" s="22">
        <f>SUMIFS($N$6:$N$270,$O$6:$O$270,"&lt;="&amp;236)/SUM($N$6:$N$270)</f>
        <v>0.999657264482853</v>
      </c>
    </row>
    <row r="242" spans="11:16" x14ac:dyDescent="0.25">
      <c r="K242" s="14">
        <v>237</v>
      </c>
      <c r="L242" s="14" t="str">
        <f>VLOOKUP(K242,ZoneTable,3,FALSE)</f>
        <v>Upper East Side South</v>
      </c>
      <c r="M242" s="14" t="str">
        <f>VLOOKUP(K242,ZoneTable,2,FALSE)</f>
        <v>Manhattan</v>
      </c>
      <c r="N242" s="15">
        <f>SUMIFS(tblZoneMonthly[Trips],tblZoneMonthly[Location ID],K242)</f>
        <v>284514</v>
      </c>
      <c r="O242" s="15">
        <f>_xlfn.RANK.EQ(N242,$N$6:$N$270,0)+COUNTIF($N$6:N241,N242)</f>
        <v>12</v>
      </c>
      <c r="P242" s="22">
        <f>SUMIFS($N$6:$N$270,$O$6:$O$270,"&lt;="&amp;237)/SUM($N$6:$N$270)</f>
        <v>0.999689008336721</v>
      </c>
    </row>
    <row r="243" spans="11:16" x14ac:dyDescent="0.25">
      <c r="K243" s="14">
        <v>238</v>
      </c>
      <c r="L243" s="14" t="str">
        <f>VLOOKUP(K243,ZoneTable,3,FALSE)</f>
        <v>Upper West Side North</v>
      </c>
      <c r="M243" s="14" t="str">
        <f>VLOOKUP(K243,ZoneTable,2,FALSE)</f>
        <v>Manhattan</v>
      </c>
      <c r="N243" s="15">
        <f>SUMIFS(tblZoneMonthly[Trips],tblZoneMonthly[Location ID],K243)</f>
        <v>133828</v>
      </c>
      <c r="O243" s="15">
        <f>_xlfn.RANK.EQ(N243,$N$6:$N$270,0)+COUNTIF($N$6:N242,N243)</f>
        <v>40</v>
      </c>
      <c r="P243" s="22">
        <f>SUMIFS($N$6:$N$270,$O$6:$O$270,"&lt;="&amp;238)/SUM($N$6:$N$270)</f>
        <v>0.999720541966391</v>
      </c>
    </row>
    <row r="244" spans="11:16" x14ac:dyDescent="0.25">
      <c r="K244" s="14">
        <v>239</v>
      </c>
      <c r="L244" s="14" t="str">
        <f>VLOOKUP(K244,ZoneTable,3,FALSE)</f>
        <v>Upper West Side South</v>
      </c>
      <c r="M244" s="14" t="str">
        <f>VLOOKUP(K244,ZoneTable,2,FALSE)</f>
        <v>Manhattan</v>
      </c>
      <c r="N244" s="15">
        <f>SUMIFS(tblZoneMonthly[Trips],tblZoneMonthly[Location ID],K244)</f>
        <v>185741</v>
      </c>
      <c r="O244" s="15">
        <f>_xlfn.RANK.EQ(N244,$N$6:$N$270,0)+COUNTIF($N$6:N243,N244)</f>
        <v>30</v>
      </c>
      <c r="P244" s="22">
        <f>SUMIFS($N$6:$N$270,$O$6:$O$270,"&lt;="&amp;239)/SUM($N$6:$N$270)</f>
        <v>0.999751935446596</v>
      </c>
    </row>
    <row r="245" spans="11:16" x14ac:dyDescent="0.25">
      <c r="K245" s="14">
        <v>240</v>
      </c>
      <c r="L245" s="14" t="str">
        <f>VLOOKUP(K245,ZoneTable,3,FALSE)</f>
        <v>Van Cortlandt Park</v>
      </c>
      <c r="M245" s="14" t="str">
        <f>VLOOKUP(K245,ZoneTable,2,FALSE)</f>
        <v>Bronx</v>
      </c>
      <c r="N245" s="15">
        <f>SUMIFS(tblZoneMonthly[Trips],tblZoneMonthly[Location ID],K245)</f>
        <v>1416</v>
      </c>
      <c r="O245" s="15">
        <f>_xlfn.RANK.EQ(N245,$N$6:$N$270,0)+COUNTIF($N$6:N244,N245)</f>
        <v>220</v>
      </c>
      <c r="P245" s="22">
        <f>SUMIFS($N$6:$N$270,$O$6:$O$270,"&lt;="&amp;240)/SUM($N$6:$N$270)</f>
        <v>0.999782417955277</v>
      </c>
    </row>
    <row r="246" spans="11:16" x14ac:dyDescent="0.25">
      <c r="K246" s="14">
        <v>241</v>
      </c>
      <c r="L246" s="14" t="str">
        <f>VLOOKUP(K246,ZoneTable,3,FALSE)</f>
        <v>Van Cortlandt Village</v>
      </c>
      <c r="M246" s="14" t="str">
        <f>VLOOKUP(K246,ZoneTable,2,FALSE)</f>
        <v>Bronx</v>
      </c>
      <c r="N246" s="15">
        <f>SUMIFS(tblZoneMonthly[Trips],tblZoneMonthly[Location ID],K246)</f>
        <v>8430</v>
      </c>
      <c r="O246" s="15">
        <f>_xlfn.RANK.EQ(N246,$N$6:$N$270,0)+COUNTIF($N$6:N245,N246)</f>
        <v>140</v>
      </c>
      <c r="P246" s="22">
        <f>SUMIFS($N$6:$N$270,$O$6:$O$270,"&lt;="&amp;241)/SUM($N$6:$N$270)</f>
        <v>0.999811428894573</v>
      </c>
    </row>
    <row r="247" spans="11:16" x14ac:dyDescent="0.25">
      <c r="K247" s="14">
        <v>242</v>
      </c>
      <c r="L247" s="14" t="str">
        <f>VLOOKUP(K247,ZoneTable,3,FALSE)</f>
        <v>Van Nest/Morris Park</v>
      </c>
      <c r="M247" s="14" t="str">
        <f>VLOOKUP(K247,ZoneTable,2,FALSE)</f>
        <v>Bronx</v>
      </c>
      <c r="N247" s="15">
        <f>SUMIFS(tblZoneMonthly[Trips],tblZoneMonthly[Location ID],K247)</f>
        <v>7261</v>
      </c>
      <c r="O247" s="15">
        <f>_xlfn.RANK.EQ(N247,$N$6:$N$270,0)+COUNTIF($N$6:N246,N247)</f>
        <v>149</v>
      </c>
      <c r="P247" s="22">
        <f>SUMIFS($N$6:$N$270,$O$6:$O$270,"&lt;="&amp;242)/SUM($N$6:$N$270)</f>
        <v>0.999838547816089</v>
      </c>
    </row>
    <row r="248" spans="11:16" x14ac:dyDescent="0.25">
      <c r="K248" s="14">
        <v>243</v>
      </c>
      <c r="L248" s="14" t="str">
        <f>VLOOKUP(K248,ZoneTable,3,FALSE)</f>
        <v>Washington Heights North</v>
      </c>
      <c r="M248" s="14" t="str">
        <f>VLOOKUP(K248,ZoneTable,2,FALSE)</f>
        <v>Manhattan</v>
      </c>
      <c r="N248" s="15">
        <f>SUMIFS(tblZoneMonthly[Trips],tblZoneMonthly[Location ID],K248)</f>
        <v>35881</v>
      </c>
      <c r="O248" s="15">
        <f>_xlfn.RANK.EQ(N248,$N$6:$N$270,0)+COUNTIF($N$6:N247,N248)</f>
        <v>86</v>
      </c>
      <c r="P248" s="22">
        <f>SUMIFS($N$6:$N$270,$O$6:$O$270,"&lt;="&amp;243)/SUM($N$6:$N$270)</f>
        <v>0.999864405392419</v>
      </c>
    </row>
    <row r="249" spans="11:16" x14ac:dyDescent="0.25">
      <c r="K249" s="14">
        <v>244</v>
      </c>
      <c r="L249" s="14" t="str">
        <f>VLOOKUP(K249,ZoneTable,3,FALSE)</f>
        <v>Washington Heights South</v>
      </c>
      <c r="M249" s="14" t="str">
        <f>VLOOKUP(K249,ZoneTable,2,FALSE)</f>
        <v>Manhattan</v>
      </c>
      <c r="N249" s="15">
        <f>SUMIFS(tblZoneMonthly[Trips],tblZoneMonthly[Location ID],K249)</f>
        <v>49303</v>
      </c>
      <c r="O249" s="15">
        <f>_xlfn.RANK.EQ(N249,$N$6:$N$270,0)+COUNTIF($N$6:N248,N249)</f>
        <v>75</v>
      </c>
      <c r="P249" s="22">
        <f>SUMIFS($N$6:$N$270,$O$6:$O$270,"&lt;="&amp;244)/SUM($N$6:$N$270)</f>
        <v>0.999886899381584</v>
      </c>
    </row>
    <row r="250" spans="11:16" x14ac:dyDescent="0.25">
      <c r="K250" s="14">
        <v>245</v>
      </c>
      <c r="L250" s="14" t="str">
        <f>VLOOKUP(K250,ZoneTable,3,FALSE)</f>
        <v>West Brighton</v>
      </c>
      <c r="M250" s="14" t="str">
        <f>VLOOKUP(K250,ZoneTable,2,FALSE)</f>
        <v>Staten Island</v>
      </c>
      <c r="N250" s="15">
        <f>SUMIFS(tblZoneMonthly[Trips],tblZoneMonthly[Location ID],K250)</f>
        <v>435</v>
      </c>
      <c r="O250" s="15">
        <f>_xlfn.RANK.EQ(N250,$N$6:$N$270,0)+COUNTIF($N$6:N249,N250)</f>
        <v>240</v>
      </c>
      <c r="P250" s="22">
        <f>SUMIFS($N$6:$N$270,$O$6:$O$270,"&lt;="&amp;245)/SUM($N$6:$N$270)</f>
        <v>0.999907221054038</v>
      </c>
    </row>
    <row r="251" spans="11:16" x14ac:dyDescent="0.25">
      <c r="K251" s="14">
        <v>246</v>
      </c>
      <c r="L251" s="14" t="str">
        <f>VLOOKUP(K251,ZoneTable,3,FALSE)</f>
        <v>West Chelsea/Hudson Yards</v>
      </c>
      <c r="M251" s="14" t="str">
        <f>VLOOKUP(K251,ZoneTable,2,FALSE)</f>
        <v>Manhattan</v>
      </c>
      <c r="N251" s="15">
        <f>SUMIFS(tblZoneMonthly[Trips],tblZoneMonthly[Location ID],K251)</f>
        <v>279100</v>
      </c>
      <c r="O251" s="15">
        <f>_xlfn.RANK.EQ(N251,$N$6:$N$270,0)+COUNTIF($N$6:N250,N251)</f>
        <v>13</v>
      </c>
      <c r="P251" s="22">
        <f>SUMIFS($N$6:$N$270,$O$6:$O$270,"&lt;="&amp;246)/SUM($N$6:$N$270)</f>
        <v>0.999922567420477</v>
      </c>
    </row>
    <row r="252" spans="11:16" x14ac:dyDescent="0.25">
      <c r="K252" s="14">
        <v>247</v>
      </c>
      <c r="L252" s="14" t="str">
        <f>VLOOKUP(K252,ZoneTable,3,FALSE)</f>
        <v>West Concourse</v>
      </c>
      <c r="M252" s="14" t="str">
        <f>VLOOKUP(K252,ZoneTable,2,FALSE)</f>
        <v>Bronx</v>
      </c>
      <c r="N252" s="15">
        <f>SUMIFS(tblZoneMonthly[Trips],tblZoneMonthly[Location ID],K252)</f>
        <v>13381</v>
      </c>
      <c r="O252" s="15">
        <f>_xlfn.RANK.EQ(N252,$N$6:$N$270,0)+COUNTIF($N$6:N251,N252)</f>
        <v>114</v>
      </c>
      <c r="P252" s="22">
        <f>SUMIFS($N$6:$N$270,$O$6:$O$270,"&lt;="&amp;247)/SUM($N$6:$N$270)</f>
        <v>0.999935811544938</v>
      </c>
    </row>
    <row r="253" spans="11:16" x14ac:dyDescent="0.25">
      <c r="K253" s="14">
        <v>248</v>
      </c>
      <c r="L253" s="14" t="str">
        <f>VLOOKUP(K253,ZoneTable,3,FALSE)</f>
        <v>West Farms/Bronx River</v>
      </c>
      <c r="M253" s="14" t="str">
        <f>VLOOKUP(K253,ZoneTable,2,FALSE)</f>
        <v>Bronx</v>
      </c>
      <c r="N253" s="15">
        <f>SUMIFS(tblZoneMonthly[Trips],tblZoneMonthly[Location ID],K253)</f>
        <v>3605</v>
      </c>
      <c r="O253" s="15">
        <f>_xlfn.RANK.EQ(N253,$N$6:$N$270,0)+COUNTIF($N$6:N252,N253)</f>
        <v>193</v>
      </c>
      <c r="P253" s="22">
        <f>SUMIFS($N$6:$N$270,$O$6:$O$270,"&lt;="&amp;248)/SUM($N$6:$N$270)</f>
        <v>0.99994772424948</v>
      </c>
    </row>
    <row r="254" spans="11:16" x14ac:dyDescent="0.25">
      <c r="K254" s="14">
        <v>249</v>
      </c>
      <c r="L254" s="14" t="str">
        <f>VLOOKUP(K254,ZoneTable,3,FALSE)</f>
        <v>West Village</v>
      </c>
      <c r="M254" s="14" t="str">
        <f>VLOOKUP(K254,ZoneTable,2,FALSE)</f>
        <v>Manhattan</v>
      </c>
      <c r="N254" s="15">
        <f>SUMIFS(tblZoneMonthly[Trips],tblZoneMonthly[Location ID],K254)</f>
        <v>323989</v>
      </c>
      <c r="O254" s="15">
        <f>_xlfn.RANK.EQ(N254,$N$6:$N$270,0)+COUNTIF($N$6:N253,N254)</f>
        <v>5</v>
      </c>
      <c r="P254" s="22">
        <f>SUMIFS($N$6:$N$270,$O$6:$O$270,"&lt;="&amp;249)/SUM($N$6:$N$270)</f>
        <v>0.999958655907766</v>
      </c>
    </row>
    <row r="255" spans="11:16" x14ac:dyDescent="0.25">
      <c r="K255" s="14">
        <v>250</v>
      </c>
      <c r="L255" s="14" t="str">
        <f>VLOOKUP(K255,ZoneTable,3,FALSE)</f>
        <v>Westchester Village/Unionport</v>
      </c>
      <c r="M255" s="14" t="str">
        <f>VLOOKUP(K255,ZoneTable,2,FALSE)</f>
        <v>Bronx</v>
      </c>
      <c r="N255" s="15">
        <f>SUMIFS(tblZoneMonthly[Trips],tblZoneMonthly[Location ID],K255)</f>
        <v>4360</v>
      </c>
      <c r="O255" s="15">
        <f>_xlfn.RANK.EQ(N255,$N$6:$N$270,0)+COUNTIF($N$6:N254,N255)</f>
        <v>179</v>
      </c>
      <c r="P255" s="22">
        <f>SUMIFS($N$6:$N$270,$O$6:$O$270,"&lt;="&amp;250)/SUM($N$6:$N$270)</f>
        <v>0.999968676594528</v>
      </c>
    </row>
    <row r="256" spans="11:16" x14ac:dyDescent="0.25">
      <c r="K256" s="14">
        <v>251</v>
      </c>
      <c r="L256" s="14" t="str">
        <f>VLOOKUP(K256,ZoneTable,3,FALSE)</f>
        <v>Westerleigh</v>
      </c>
      <c r="M256" s="14" t="str">
        <f>VLOOKUP(K256,ZoneTable,2,FALSE)</f>
        <v>Staten Island</v>
      </c>
      <c r="N256" s="15">
        <f>SUMIFS(tblZoneMonthly[Trips],tblZoneMonthly[Location ID],K256)</f>
        <v>634</v>
      </c>
      <c r="O256" s="15">
        <f>_xlfn.RANK.EQ(N256,$N$6:$N$270,0)+COUNTIF($N$6:N255,N256)</f>
        <v>231</v>
      </c>
      <c r="P256" s="22">
        <f>SUMIFS($N$6:$N$270,$O$6:$O$270,"&lt;="&amp;251)/SUM($N$6:$N$270)</f>
        <v>0.999976665114044</v>
      </c>
    </row>
    <row r="257" spans="11:16" x14ac:dyDescent="0.25">
      <c r="K257" s="14">
        <v>252</v>
      </c>
      <c r="L257" s="14" t="str">
        <f>VLOOKUP(K257,ZoneTable,3,FALSE)</f>
        <v>Whitestone</v>
      </c>
      <c r="M257" s="14" t="str">
        <f>VLOOKUP(K257,ZoneTable,2,FALSE)</f>
        <v>Queens</v>
      </c>
      <c r="N257" s="15">
        <f>SUMIFS(tblZoneMonthly[Trips],tblZoneMonthly[Location ID],K257)</f>
        <v>5199</v>
      </c>
      <c r="O257" s="15">
        <f>_xlfn.RANK.EQ(N257,$N$6:$N$270,0)+COUNTIF($N$6:N256,N257)</f>
        <v>169</v>
      </c>
      <c r="P257" s="22">
        <f>SUMIFS($N$6:$N$270,$O$6:$O$270,"&lt;="&amp;252)/SUM($N$6:$N$270)</f>
        <v>0.999984022960967</v>
      </c>
    </row>
    <row r="258" spans="11:16" x14ac:dyDescent="0.25">
      <c r="K258" s="14">
        <v>253</v>
      </c>
      <c r="L258" s="14" t="str">
        <f>VLOOKUP(K258,ZoneTable,3,FALSE)</f>
        <v>Willets Point</v>
      </c>
      <c r="M258" s="14" t="str">
        <f>VLOOKUP(K258,ZoneTable,2,FALSE)</f>
        <v>Queens</v>
      </c>
      <c r="N258" s="15">
        <f>SUMIFS(tblZoneMonthly[Trips],tblZoneMonthly[Location ID],K258)</f>
        <v>815</v>
      </c>
      <c r="O258" s="15">
        <f>_xlfn.RANK.EQ(N258,$N$6:$N$270,0)+COUNTIF($N$6:N257,N258)</f>
        <v>223</v>
      </c>
      <c r="P258" s="22">
        <f>SUMIFS($N$6:$N$270,$O$6:$O$270,"&lt;="&amp;253)/SUM($N$6:$N$270)</f>
        <v>0.999988507743854</v>
      </c>
    </row>
    <row r="259" spans="11:16" x14ac:dyDescent="0.25">
      <c r="K259" s="14">
        <v>254</v>
      </c>
      <c r="L259" s="14" t="str">
        <f>VLOOKUP(K259,ZoneTable,3,FALSE)</f>
        <v>Williamsbridge/Olinville</v>
      </c>
      <c r="M259" s="14" t="str">
        <f>VLOOKUP(K259,ZoneTable,2,FALSE)</f>
        <v>Bronx</v>
      </c>
      <c r="N259" s="15">
        <f>SUMIFS(tblZoneMonthly[Trips],tblZoneMonthly[Location ID],K259)</f>
        <v>4979</v>
      </c>
      <c r="O259" s="15">
        <f>_xlfn.RANK.EQ(N259,$N$6:$N$270,0)+COUNTIF($N$6:N258,N259)</f>
        <v>174</v>
      </c>
      <c r="P259" s="22">
        <f>SUMIFS($N$6:$N$270,$O$6:$O$270,"&lt;="&amp;254)/SUM($N$6:$N$270)</f>
        <v>0.999991240658425</v>
      </c>
    </row>
    <row r="260" spans="11:16" x14ac:dyDescent="0.25">
      <c r="K260" s="14">
        <v>255</v>
      </c>
      <c r="L260" s="14" t="str">
        <f>VLOOKUP(K260,ZoneTable,3,FALSE)</f>
        <v>Williamsburg (North Side)</v>
      </c>
      <c r="M260" s="14" t="str">
        <f>VLOOKUP(K260,ZoneTable,2,FALSE)</f>
        <v>Brooklyn</v>
      </c>
      <c r="N260" s="15">
        <f>SUMIFS(tblZoneMonthly[Trips],tblZoneMonthly[Location ID],K260)</f>
        <v>217938</v>
      </c>
      <c r="O260" s="15">
        <f>_xlfn.RANK.EQ(N260,$N$6:$N$270,0)+COUNTIF($N$6:N259,N260)</f>
        <v>25</v>
      </c>
      <c r="P260" s="22">
        <f>SUMIFS($N$6:$N$270,$O$6:$O$270,"&lt;="&amp;255)/SUM($N$6:$N$270)</f>
        <v>0.999993833423531</v>
      </c>
    </row>
    <row r="261" spans="11:16" x14ac:dyDescent="0.25">
      <c r="K261" s="14">
        <v>256</v>
      </c>
      <c r="L261" s="14" t="str">
        <f>VLOOKUP(K261,ZoneTable,3,FALSE)</f>
        <v>Williamsburg (South Side)</v>
      </c>
      <c r="M261" s="14" t="str">
        <f>VLOOKUP(K261,ZoneTable,2,FALSE)</f>
        <v>Brooklyn</v>
      </c>
      <c r="N261" s="15">
        <f>SUMIFS(tblZoneMonthly[Trips],tblZoneMonthly[Location ID],K261)</f>
        <v>141357</v>
      </c>
      <c r="O261" s="15">
        <f>_xlfn.RANK.EQ(N261,$N$6:$N$270,0)+COUNTIF($N$6:N260,N261)</f>
        <v>37</v>
      </c>
      <c r="P261" s="22">
        <f>SUMIFS($N$6:$N$270,$O$6:$O$270,"&lt;="&amp;256)/SUM($N$6:$N$270)</f>
        <v>0.999995655366579</v>
      </c>
    </row>
    <row r="262" spans="11:16" x14ac:dyDescent="0.25">
      <c r="K262" s="14">
        <v>257</v>
      </c>
      <c r="L262" s="14" t="str">
        <f>VLOOKUP(K262,ZoneTable,3,FALSE)</f>
        <v>Windsor Terrace</v>
      </c>
      <c r="M262" s="14" t="str">
        <f>VLOOKUP(K262,ZoneTable,2,FALSE)</f>
        <v>Brooklyn</v>
      </c>
      <c r="N262" s="15">
        <f>SUMIFS(tblZoneMonthly[Trips],tblZoneMonthly[Location ID],K262)</f>
        <v>21460</v>
      </c>
      <c r="O262" s="15">
        <f>_xlfn.RANK.EQ(N262,$N$6:$N$270,0)+COUNTIF($N$6:N261,N262)</f>
        <v>96</v>
      </c>
      <c r="P262" s="22">
        <f>SUMIFS($N$6:$N$270,$O$6:$O$270,"&lt;="&amp;257)/SUM($N$6:$N$270)</f>
        <v>0.999997337160161</v>
      </c>
    </row>
    <row r="263" spans="11:16" x14ac:dyDescent="0.25">
      <c r="K263" s="14">
        <v>258</v>
      </c>
      <c r="L263" s="14" t="str">
        <f>VLOOKUP(K263,ZoneTable,3,FALSE)</f>
        <v>Woodhaven</v>
      </c>
      <c r="M263" s="14" t="str">
        <f>VLOOKUP(K263,ZoneTable,2,FALSE)</f>
        <v>Queens</v>
      </c>
      <c r="N263" s="15">
        <f>SUMIFS(tblZoneMonthly[Trips],tblZoneMonthly[Location ID],K263)</f>
        <v>10059</v>
      </c>
      <c r="O263" s="15">
        <f>_xlfn.RANK.EQ(N263,$N$6:$N$270,0)+COUNTIF($N$6:N262,N263)</f>
        <v>131</v>
      </c>
      <c r="P263" s="22">
        <f>SUMIFS($N$6:$N$270,$O$6:$O$270,"&lt;="&amp;258)/SUM($N$6:$N$270)</f>
        <v>0.999998178056952</v>
      </c>
    </row>
    <row r="264" spans="11:16" x14ac:dyDescent="0.25">
      <c r="K264" s="14">
        <v>259</v>
      </c>
      <c r="L264" s="14" t="str">
        <f>VLOOKUP(K264,ZoneTable,3,FALSE)</f>
        <v>Woodlawn/Wakefield</v>
      </c>
      <c r="M264" s="14" t="str">
        <f>VLOOKUP(K264,ZoneTable,2,FALSE)</f>
        <v>Bronx</v>
      </c>
      <c r="N264" s="15">
        <f>SUMIFS(tblZoneMonthly[Trips],tblZoneMonthly[Location ID],K264)</f>
        <v>3588</v>
      </c>
      <c r="O264" s="15">
        <f>_xlfn.RANK.EQ(N264,$N$6:$N$270,0)+COUNTIF($N$6:N263,N264)</f>
        <v>195</v>
      </c>
      <c r="P264" s="22">
        <f>SUMIFS($N$6:$N$270,$O$6:$O$270,"&lt;="&amp;259)/SUM($N$6:$N$270)</f>
        <v>0.999998808729546</v>
      </c>
    </row>
    <row r="265" spans="11:16" x14ac:dyDescent="0.25">
      <c r="K265" s="14">
        <v>260</v>
      </c>
      <c r="L265" s="14" t="str">
        <f>VLOOKUP(K265,ZoneTable,3,FALSE)</f>
        <v>Woodside</v>
      </c>
      <c r="M265" s="14" t="str">
        <f>VLOOKUP(K265,ZoneTable,2,FALSE)</f>
        <v>Queens</v>
      </c>
      <c r="N265" s="15">
        <f>SUMIFS(tblZoneMonthly[Trips],tblZoneMonthly[Location ID],K265)</f>
        <v>20369</v>
      </c>
      <c r="O265" s="15">
        <f>_xlfn.RANK.EQ(N265,$N$6:$N$270,0)+COUNTIF($N$6:N264,N265)</f>
        <v>98</v>
      </c>
      <c r="P265" s="22">
        <f>SUMIFS($N$6:$N$270,$O$6:$O$270,"&lt;="&amp;260)/SUM($N$6:$N$270)</f>
        <v>0.999999369327407</v>
      </c>
    </row>
    <row r="266" spans="11:16" x14ac:dyDescent="0.25">
      <c r="K266" s="14">
        <v>261</v>
      </c>
      <c r="L266" s="14" t="str">
        <f>VLOOKUP(K266,ZoneTable,3,FALSE)</f>
        <v>World Trade Center</v>
      </c>
      <c r="M266" s="14" t="str">
        <f>VLOOKUP(K266,ZoneTable,2,FALSE)</f>
        <v>Manhattan</v>
      </c>
      <c r="N266" s="15">
        <f>SUMIFS(tblZoneMonthly[Trips],tblZoneMonthly[Location ID],K266)</f>
        <v>67904</v>
      </c>
      <c r="O266" s="15">
        <f>_xlfn.RANK.EQ(N266,$N$6:$N$270,0)+COUNTIF($N$6:N265,N266)</f>
        <v>61</v>
      </c>
      <c r="P266" s="22">
        <f>SUMIFS($N$6:$N$270,$O$6:$O$270,"&lt;="&amp;261)/SUM($N$6:$N$270)</f>
        <v>0.999999859850535</v>
      </c>
    </row>
    <row r="267" spans="11:16" x14ac:dyDescent="0.25">
      <c r="K267" s="14">
        <v>262</v>
      </c>
      <c r="L267" s="14" t="str">
        <f>VLOOKUP(K267,ZoneTable,3,FALSE)</f>
        <v>Yorkville East</v>
      </c>
      <c r="M267" s="14" t="str">
        <f>VLOOKUP(K267,ZoneTable,2,FALSE)</f>
        <v>Manhattan</v>
      </c>
      <c r="N267" s="15">
        <f>SUMIFS(tblZoneMonthly[Trips],tblZoneMonthly[Location ID],K267)</f>
        <v>108338</v>
      </c>
      <c r="O267" s="15">
        <f>_xlfn.RANK.EQ(N267,$N$6:$N$270,0)+COUNTIF($N$6:N266,N267)</f>
        <v>47</v>
      </c>
      <c r="P267" s="22">
        <f>SUMIFS($N$6:$N$270,$O$6:$O$270,"&lt;="&amp;262)/SUM($N$6:$N$270)</f>
        <v>1</v>
      </c>
    </row>
    <row r="268" spans="11:16" x14ac:dyDescent="0.25">
      <c r="K268" s="14">
        <v>263</v>
      </c>
      <c r="L268" s="14" t="str">
        <f>VLOOKUP(K268,ZoneTable,3,FALSE)</f>
        <v>Yorkville West</v>
      </c>
      <c r="M268" s="14" t="str">
        <f>VLOOKUP(K268,ZoneTable,2,FALSE)</f>
        <v>Manhattan</v>
      </c>
      <c r="N268" s="15">
        <f>SUMIFS(tblZoneMonthly[Trips],tblZoneMonthly[Location ID],K268)</f>
        <v>133630</v>
      </c>
      <c r="O268" s="15">
        <f>_xlfn.RANK.EQ(N268,$N$6:$N$270,0)+COUNTIF($N$6:N267,N268)</f>
        <v>41</v>
      </c>
      <c r="P268" s="22">
        <f>SUMIFS($N$6:$N$270,$O$6:$O$270,"&lt;="&amp;263)/SUM($N$6:$N$270)</f>
        <v>1</v>
      </c>
    </row>
    <row r="269" spans="11:16" x14ac:dyDescent="0.25">
      <c r="K269" s="14">
        <v>264</v>
      </c>
      <c r="L269" s="14" t="str">
        <f>VLOOKUP(K269,ZoneTable,3,FALSE)</f>
        <v>Unknown</v>
      </c>
      <c r="M269" s="14" t="str">
        <f>VLOOKUP(K269,ZoneTable,2,FALSE)</f>
        <v>Unknown</v>
      </c>
      <c r="N269" s="15">
        <f>SUMIFS(tblZoneMonthly[Trips],tblZoneMonthly[Location ID],K269)</f>
        <v>7</v>
      </c>
      <c r="O269" s="15">
        <f>_xlfn.RANK.EQ(N269,$N$6:$N$270,0)+COUNTIF($N$6:N268,N269)</f>
        <v>261</v>
      </c>
      <c r="P269" s="22">
        <f>SUMIFS($N$6:$N$270,$O$6:$O$270,"&lt;="&amp;264)/SUM($N$6:$N$270)</f>
        <v>1</v>
      </c>
    </row>
    <row r="270" spans="11:16" x14ac:dyDescent="0.25">
      <c r="K270" s="14">
        <v>265</v>
      </c>
      <c r="L270" s="14" t="str">
        <f>VLOOKUP(K270,ZoneTable,3,FALSE)</f>
        <v>Unknown</v>
      </c>
      <c r="M270" s="14" t="str">
        <f>VLOOKUP(K270,ZoneTable,2,FALSE)</f>
        <v>Unknown</v>
      </c>
      <c r="N270" s="15">
        <f>SUMIFS(tblZoneMonthly[Trips],tblZoneMonthly[Location ID],K270)</f>
        <v>6257</v>
      </c>
      <c r="O270" s="15">
        <f>_xlfn.RANK.EQ(N270,$N$6:$N$270,0)+COUNTIF($N$6:N269,N270)</f>
        <v>155</v>
      </c>
      <c r="P270" s="22">
        <f>SUMIFS($N$6:$N$270,$O$6:$O$270,"&lt;="&amp;265)/SUM($N$6:$N$270)</f>
        <v>1</v>
      </c>
    </row>
  </sheetData>
  <mergeCells count="5">
    <mergeCell ref="A16:D16"/>
    <mergeCell ref="A17:D17"/>
    <mergeCell ref="A18:D18"/>
    <mergeCell ref="A19:D19"/>
    <mergeCell ref="A20:D20"/>
  </mergeCells>
  <conditionalFormatting sqref="B30:B53">
    <cfRule type="colorScale" priority="2">
      <colorScale>
        <cfvo type="min" val="0"/>
        <cfvo type="max" val="0"/>
        <color rgb="FFFFFFFF"/>
        <color rgb="FF9EC5F4"/>
      </colorScale>
    </cfRule>
  </conditionalFormatting>
  <conditionalFormatting sqref="G6:G11">
    <cfRule type="dataBar" priority="1">
      <dataBar>
        <cfvo type="min"/>
        <cfvo type="max"/>
        <color rgb="FF9EC5F4"/>
      </dataBar>
      <extLst>
        <ext xmlns:x14="http://schemas.microsoft.com/office/spreadsheetml/2009/9/main" uri="{B025F937-C7B1-47D3-B67F-A62EFF666E3E}">
          <x14:id>{DA7ABA51-AAAA-BBBB-0006-000000000001}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autoMin"/>
              <x14:cfvo type="autoMax"/>
              <x14:borderColor rgb="FF9EC5F4"/>
              <x14:negativeFillColor rgb="FFFF0000"/>
              <x14:negativeBorderColor rgb="FFFF0000"/>
              <x14:axisColor rgb="FF000000"/>
            </x14:dataBar>
          </x14:cfRule>
          <xm:sqref>G6:G11</xm:sqref>
        </x14:conditionalFormatting>
      </x14:conditionalFormattings>
    </ext>
  </extLst>
</worksheet>
</file>

<file path=xl/worksheets/sheet7.xml><?xml version="1.0" encoding="utf-8"?>
<worksheet xmlns="http://schemas.openxmlformats.org/spreadsheetml/2006/main" xmlns:r="http://schemas.openxmlformats.org/officeDocument/2006/relationships">
  <sheetPr>
    <tabColor rgb="FF2A78D6"/>
  </sheetPr>
  <dimension ref="A1:G14"/>
  <sheetViews>
    <sheetView showGridLines="0" zoomScale="90" zoomScaleNormal="90" workbookViewId="0"/>
  </sheetViews>
  <sheetFormatPr defaultRowHeight="15"/>
  <cols>
    <col min="1" max="1" width="11.7109375" customWidth="1"/>
    <col min="2" max="2" width="13.7109375" customWidth="1"/>
    <col min="3" max="8" width="12.7109375" customWidth="1"/>
  </cols>
  <sheetData>
    <row r="1" spans="1:7" ht="27" customHeight="1">
      <c r="A1" s="1" t="s">
        <v>1287</v>
      </c>
    </row>
    <row r="2" spans="1:7">
      <c r="A2" s="20" t="s">
        <v>1288</v>
      </c>
    </row>
    <row r="5" spans="1:7">
      <c r="A5" s="5" t="s">
        <v>1289</v>
      </c>
      <c r="B5" s="5" t="s">
        <v>1290</v>
      </c>
      <c r="C5" s="13" t="s">
        <v>1217</v>
      </c>
      <c r="D5" s="13" t="s">
        <v>1291</v>
      </c>
      <c r="E5" s="13" t="s">
        <v>316</v>
      </c>
      <c r="F5" s="13" t="s">
        <v>1292</v>
      </c>
      <c r="G5" s="13" t="s">
        <v>1293</v>
      </c>
    </row>
    <row r="6" spans="1:7">
      <c r="A6" s="14" t="s">
        <v>4</v>
      </c>
      <c r="B6" s="14" cm="1" t="str">
        <f t="array" ref="B6">IFERROR(_xlfn.XLOOKUP(A6,tblBases[Base Code],tblBases[Base Name]),VLOOKUP(A6,BaseTable,2,FALSE))</f>
        <v>Danach-NY</v>
      </c>
      <c r="C6" s="15">
        <f>SUMIFS(tblBaseDaily[Trips],tblBaseDaily[Base Code],A6,tblBaseDaily[Year],2014)</f>
        <v>263899</v>
      </c>
      <c r="D6" s="22">
        <f>C6/SUM($C$6:$C$13)</f>
        <v>0.0582002577229212</v>
      </c>
      <c r="E6" s="15">
        <f>SUMIFS(tblBaseDaily[Trips],tblBaseDaily[Base Code],A6,tblBaseDaily[Year],2015)</f>
        <v>5753653</v>
      </c>
      <c r="F6" s="22">
        <f>E6/SUM($E$6:$E$13)</f>
        <v>0.403185695448625</v>
      </c>
      <c r="G6" s="17">
        <f>(F6-D6)*100</f>
        <v>34.4985437725704</v>
      </c>
    </row>
    <row r="7" spans="1:7">
      <c r="A7" s="14" t="s">
        <v>3</v>
      </c>
      <c r="B7" s="14" cm="1" t="str">
        <f t="array" ref="B7">IFERROR(_xlfn.XLOOKUP(A7,tblBases[Base Code],tblBases[Base Name]),VLOOKUP(A7,BaseTable,2,FALSE))</f>
        <v>Schmecken</v>
      </c>
      <c r="C7" s="15">
        <f>SUMIFS(tblBaseDaily[Trips],tblBaseDaily[Base Code],A7,tblBaseDaily[Year],2014)</f>
        <v>1212789</v>
      </c>
      <c r="D7" s="22">
        <f>C7/SUM($C$6:$C$13)</f>
        <v>0.26746835858993</v>
      </c>
      <c r="E7" s="15">
        <f>SUMIFS(tblBaseDaily[Trips],tblBaseDaily[Base Code],A7,tblBaseDaily[Year],2015)</f>
        <v>3484530</v>
      </c>
      <c r="F7" s="22">
        <f>E7/SUM($E$6:$E$13)</f>
        <v>0.244177507986943</v>
      </c>
      <c r="G7" s="17">
        <f>(F7-D7)*100</f>
        <v>-2.32908506029869</v>
      </c>
    </row>
    <row r="8" spans="1:7">
      <c r="A8" s="14" t="s">
        <v>2</v>
      </c>
      <c r="B8" s="14" cm="1" t="str">
        <f t="array" ref="B8">IFERROR(_xlfn.XLOOKUP(A8,tblBases[Base Code],tblBases[Base Name]),VLOOKUP(A8,BaseTable,2,FALSE))</f>
        <v>Weiter</v>
      </c>
      <c r="C8" s="15">
        <f>SUMIFS(tblBaseDaily[Trips],tblBaseDaily[Base Code],A8,tblBaseDaily[Year],2014)</f>
        <v>1458853</v>
      </c>
      <c r="D8" s="22">
        <f>C8/SUM($C$6:$C$13)</f>
        <v>0.321735287287397</v>
      </c>
      <c r="E8" s="15">
        <f>SUMIFS(tblBaseDaily[Trips],tblBaseDaily[Base Code],A8,tblBaseDaily[Year],2015)</f>
        <v>2068525</v>
      </c>
      <c r="F8" s="22">
        <f>E8/SUM($E$6:$E$13)</f>
        <v>0.144951336251572</v>
      </c>
      <c r="G8" s="17">
        <f>(F8-D8)*100</f>
        <v>-17.6783951035825</v>
      </c>
    </row>
    <row r="9" spans="1:7">
      <c r="A9" s="14" t="s">
        <v>1</v>
      </c>
      <c r="B9" s="14" cm="1" t="str">
        <f t="array" ref="B9">IFERROR(_xlfn.XLOOKUP(A9,tblBases[Base Code],tblBases[Base Name]),VLOOKUP(A9,BaseTable,2,FALSE))</f>
        <v>Hinter</v>
      </c>
      <c r="C9" s="15">
        <f>SUMIFS(tblBaseDaily[Trips],tblBaseDaily[Base Code],A9,tblBaseDaily[Year],2014)</f>
        <v>1393113</v>
      </c>
      <c r="D9" s="22">
        <f>C9/SUM($C$6:$C$13)</f>
        <v>0.307236994596993</v>
      </c>
      <c r="E9" s="15">
        <f>SUMIFS(tblBaseDaily[Trips],tblBaseDaily[Base Code],A9,tblBaseDaily[Year],2015)</f>
        <v>1526660</v>
      </c>
      <c r="F9" s="22">
        <f>E9/SUM($E$6:$E$13)</f>
        <v>0.106980291271232</v>
      </c>
      <c r="G9" s="17">
        <f>(F9-D9)*100</f>
        <v>-20.0256703325761</v>
      </c>
    </row>
    <row r="10" spans="1:7">
      <c r="A10" s="14" t="s">
        <v>5</v>
      </c>
      <c r="B10" s="14" cm="1" t="str">
        <f t="array" ref="B10">IFERROR(_xlfn.XLOOKUP(A10,tblBases[Base Code],tblBases[Base Name]),VLOOKUP(A10,BaseTable,2,FALSE))</f>
        <v>Grun</v>
      </c>
      <c r="C10" s="15">
        <f>SUMIFS(tblBaseDaily[Trips],tblBaseDaily[Base Code],A10,tblBaseDaily[Year],2014)</f>
        <v>0</v>
      </c>
      <c r="D10" s="22">
        <f>C10/SUM($C$6:$C$13)</f>
        <v>0</v>
      </c>
      <c r="E10" s="15">
        <f>SUMIFS(tblBaseDaily[Trips],tblBaseDaily[Base Code],A10,tblBaseDaily[Year],2015)</f>
        <v>1152727</v>
      </c>
      <c r="F10" s="22">
        <f>E10/SUM($E$6:$E$13)</f>
        <v>0.0807770362858878</v>
      </c>
      <c r="G10" s="17">
        <f>(F10-D10)*100</f>
        <v>8.07770362858878</v>
      </c>
    </row>
    <row r="11" spans="1:7">
      <c r="A11" s="14" t="s">
        <v>0</v>
      </c>
      <c r="B11" s="14" cm="1" t="str">
        <f t="array" ref="B11">IFERROR(_xlfn.XLOOKUP(A11,tblBases[Base Code],tblBases[Base Name]),VLOOKUP(A11,BaseTable,2,FALSE))</f>
        <v>Unter</v>
      </c>
      <c r="C11" s="15">
        <f>SUMIFS(tblBaseDaily[Trips],tblBaseDaily[Base Code],A11,tblBaseDaily[Year],2014)</f>
        <v>205673</v>
      </c>
      <c r="D11" s="22">
        <f>C11/SUM($C$6:$C$13)</f>
        <v>0.0453591018027593</v>
      </c>
      <c r="E11" s="15">
        <f>SUMIFS(tblBaseDaily[Trips],tblBaseDaily[Base Code],A11,tblBaseDaily[Year],2015)</f>
        <v>255772</v>
      </c>
      <c r="F11" s="22">
        <f>E11/SUM($E$6:$E$13)</f>
        <v>0.0179231545065866</v>
      </c>
      <c r="G11" s="17">
        <f>(F11-D11)*100</f>
        <v>-2.74359472961726</v>
      </c>
    </row>
    <row r="12" spans="1:7">
      <c r="A12" s="14" t="s">
        <v>6</v>
      </c>
      <c r="B12" s="14" cm="1" t="str">
        <f t="array" ref="B12">IFERROR(_xlfn.XLOOKUP(A12,tblBases[Base Code],tblBases[Base Name]),VLOOKUP(A12,BaseTable,2,FALSE))</f>
        <v>Dreist</v>
      </c>
      <c r="C12" s="15">
        <f>SUMIFS(tblBaseDaily[Trips],tblBaseDaily[Base Code],A12,tblBaseDaily[Year],2014)</f>
        <v>0</v>
      </c>
      <c r="D12" s="22">
        <f>C12/SUM($C$6:$C$13)</f>
        <v>0</v>
      </c>
      <c r="E12" s="15">
        <f>SUMIFS(tblBaseDaily[Trips],tblBaseDaily[Base Code],A12,tblBaseDaily[Year],2015)</f>
        <v>26622</v>
      </c>
      <c r="F12" s="22">
        <f>E12/SUM($E$6:$E$13)</f>
        <v>0.00186552953127922</v>
      </c>
      <c r="G12" s="17">
        <f>(F12-D12)*100</f>
        <v>0.186552953127922</v>
      </c>
    </row>
    <row r="13" spans="1:7">
      <c r="A13" s="14" t="s">
        <v>7</v>
      </c>
      <c r="B13" s="14" cm="1" t="str">
        <f t="array" ref="B13">IFERROR(_xlfn.XLOOKUP(A13,tblBases[Base Code],tblBases[Base Name]),VLOOKUP(A13,BaseTable,2,FALSE))</f>
        <v>Drinnen</v>
      </c>
      <c r="C13" s="15">
        <f>SUMIFS(tblBaseDaily[Trips],tblBaseDaily[Base Code],A13,tblBaseDaily[Year],2014)</f>
        <v>0</v>
      </c>
      <c r="D13" s="22">
        <f>C13/SUM($C$6:$C$13)</f>
        <v>0</v>
      </c>
      <c r="E13" s="15">
        <f>SUMIFS(tblBaseDaily[Trips],tblBaseDaily[Base Code],A13,tblBaseDaily[Year],2015)</f>
        <v>1990</v>
      </c>
      <c r="F13" s="22">
        <f>E13/SUM($E$6:$E$13)</f>
        <v>0.000139448717874151</v>
      </c>
      <c r="G13" s="17">
        <f>(F13-D13)*100</f>
        <v>0.0139448717874151</v>
      </c>
    </row>
    <row r="14" spans="1:7">
      <c r="A14" s="25" t="s">
        <v>1294</v>
      </c>
      <c r="B14" s="25"/>
      <c r="C14" s="26">
        <f>SUM(C6:C13)</f>
        <v>4534327</v>
      </c>
      <c r="E14" s="26">
        <f>SUM(E6:E13)</f>
        <v>14270479</v>
      </c>
    </row>
  </sheetData>
  <conditionalFormatting sqref="G6:G13">
    <cfRule type="cellIs" dxfId="1" priority="1" operator="greaterThan">
      <formula>0</formula>
    </cfRule>
    <cfRule type="cellIs" dxfId="0" priority="2" operator="lessThan">
      <formula>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A78D6"/>
  </sheetPr>
  <dimension ref="A1:Q64"/>
  <sheetViews>
    <sheetView showGridLines="0" zoomScale="90" zoomScaleNormal="90" workbookViewId="0"/>
  </sheetViews>
  <sheetFormatPr defaultRowHeight="15" x14ac:dyDescent="0.25"/>
  <cols>
    <col min="1" max="8" width="12.7109375" customWidth="1"/>
    <col min="9" max="9" width="11.7109375" customWidth="1"/>
    <col min="10" max="12" width="13.7109375" customWidth="1"/>
    <col min="14" max="17" width="14.7109375" customWidth="1"/>
  </cols>
  <sheetData>
    <row r="1" spans="1:17" ht="27" customHeight="1" x14ac:dyDescent="0.25">
      <c r="A1" s="1" t="s">
        <v>1295</v>
      </c>
    </row>
    <row r="2" spans="1:17" x14ac:dyDescent="0.25">
      <c r="A2" s="20" t="s">
        <v>1296</v>
      </c>
    </row>
    <row r="4" spans="1:17" ht="18" customHeight="1" x14ac:dyDescent="0.25">
      <c r="I4" s="12" t="s">
        <v>1308</v>
      </c>
      <c r="N4" s="12" t="s">
        <v>1311</v>
      </c>
    </row>
    <row r="5" spans="1:17" x14ac:dyDescent="0.25">
      <c r="A5" s="5" t="s">
        <v>1289</v>
      </c>
      <c r="B5" s="5" t="s">
        <v>1290</v>
      </c>
      <c r="C5" s="13" t="s">
        <v>1297</v>
      </c>
      <c r="D5" s="13" t="s">
        <v>307</v>
      </c>
      <c r="E5" s="13" t="s">
        <v>1298</v>
      </c>
      <c r="F5" s="13" t="s">
        <v>1299</v>
      </c>
      <c r="G5" s="13" t="s">
        <v>1254</v>
      </c>
      <c r="I5" s="5" t="s">
        <v>305</v>
      </c>
      <c r="J5" s="13" t="s">
        <v>1309</v>
      </c>
      <c r="K5" s="13" t="s">
        <v>307</v>
      </c>
      <c r="L5" s="13" t="s">
        <v>1310</v>
      </c>
      <c r="N5" s="5" t="s">
        <v>1310</v>
      </c>
      <c r="O5" s="13" t="s">
        <v>1211</v>
      </c>
      <c r="P5" s="13" t="s">
        <v>1297</v>
      </c>
      <c r="Q5" s="13" t="s">
        <v>1312</v>
      </c>
    </row>
    <row r="6" spans="1:17" x14ac:dyDescent="0.25">
      <c r="A6" s="14" t="s">
        <v>4</v>
      </c>
      <c r="B6" s="14" t="str">
        <f>VLOOKUP(A6,BaseTable,2,FALSE)</f>
        <v>Danach-NY</v>
      </c>
      <c r="C6" s="17">
        <f>AVERAGEIFS(tblFOIL[Active Vehicles],tblFOIL[Base Code],A6)</f>
        <v>3682.8813559322</v>
      </c>
      <c r="D6" s="15">
        <f>SUMIFS(tblFOIL[Trips],tblFOIL[Base Code],A6)</f>
        <v>1914449</v>
      </c>
      <c r="E6" s="15">
        <f>SUMIFS(tblFOIL[Active Vehicles],tblFOIL[Base Code],A6)</f>
        <v>217290</v>
      </c>
      <c r="F6" s="19">
        <f>D6/E6</f>
        <v>8.81057112614478</v>
      </c>
      <c r="G6" s="15">
        <f>_xlfn.RANK.EQ(F6,$F$6:$F$11,0)</f>
        <v>4</v>
      </c>
      <c r="I6" s="31">
        <v>42005</v>
      </c>
      <c r="J6" s="15">
        <f>SUMIFS(tblFOIL[Active Vehicles],tblFOIL[Date],I6)</f>
        <v>6885</v>
      </c>
      <c r="K6" s="15">
        <f>SUMIFS(tblFOIL[Trips],tblFOIL[Date],I6)</f>
        <v>56437</v>
      </c>
      <c r="L6" s="31">
        <f>I6-WEEKDAY(I6,2)+1</f>
        <v>42002.0</v>
      </c>
      <c r="N6" s="31">
        <v>42009</v>
      </c>
      <c r="O6" s="15">
        <f>COUNTIFS($L$6:$L$64,N6)</f>
        <v>7</v>
      </c>
      <c r="P6" s="17">
        <f>AVERAGEIFS($J$6:$J$64,$L$6:$L$64,N6)</f>
        <v>7349.85714285714</v>
      </c>
      <c r="Q6" s="22">
        <f>P6/$P$6-1</f>
        <v>0</v>
      </c>
    </row>
    <row r="7" spans="1:17" x14ac:dyDescent="0.25">
      <c r="A7" s="14" t="s">
        <v>2</v>
      </c>
      <c r="B7" s="14" t="str">
        <f>VLOOKUP(A7,BaseTable,2,FALSE)</f>
        <v>Weiter</v>
      </c>
      <c r="C7" s="17">
        <f>AVERAGEIFS(tblFOIL[Active Vehicles],tblFOIL[Base Code],A7)</f>
        <v>1351.83050847458</v>
      </c>
      <c r="D7" s="15">
        <f>SUMIFS(tblFOIL[Trips],tblFOIL[Base Code],A7)</f>
        <v>725025</v>
      </c>
      <c r="E7" s="15">
        <f>SUMIFS(tblFOIL[Active Vehicles],tblFOIL[Base Code],A7)</f>
        <v>79758</v>
      </c>
      <c r="F7" s="19">
        <f>D7/E7</f>
        <v>9.09031068983676</v>
      </c>
      <c r="G7" s="15">
        <f>_xlfn.RANK.EQ(F7,$F$6:$F$11,0)</f>
        <v>3</v>
      </c>
      <c r="I7" s="31">
        <v>42006</v>
      </c>
      <c r="J7" s="15">
        <f>SUMIFS(tblFOIL[Active Vehicles],tblFOIL[Date],I7)</f>
        <v>6330</v>
      </c>
      <c r="K7" s="15">
        <f>SUMIFS(tblFOIL[Trips],tblFOIL[Date],I7)</f>
        <v>39189</v>
      </c>
      <c r="L7" s="31">
        <f>I7-WEEKDAY(I7,2)+1</f>
        <v>42002.0</v>
      </c>
      <c r="N7" s="31">
        <v>42016</v>
      </c>
      <c r="O7" s="15">
        <f>COUNTIFS($L$6:$L$64,N7)</f>
        <v>7</v>
      </c>
      <c r="P7" s="17">
        <f>AVERAGEIFS($J$6:$J$64,$L$6:$L$64,N7)</f>
        <v>7645</v>
      </c>
      <c r="Q7" s="22">
        <f>P7/$P$6-1</f>
        <v>0.0401562712589165</v>
      </c>
    </row>
    <row r="8" spans="1:17" x14ac:dyDescent="0.25">
      <c r="A8" s="14" t="s">
        <v>3</v>
      </c>
      <c r="B8" s="14" t="str">
        <f>VLOOKUP(A8,BaseTable,2,FALSE)</f>
        <v>Schmecken</v>
      </c>
      <c r="C8" s="17">
        <f>AVERAGEIFS(tblFOIL[Active Vehicles],tblFOIL[Base Code],A8)</f>
        <v>1210.69491525424</v>
      </c>
      <c r="D8" s="15">
        <f>SUMIFS(tblFOIL[Trips],tblFOIL[Base Code],A8)</f>
        <v>662509</v>
      </c>
      <c r="E8" s="15">
        <f>SUMIFS(tblFOIL[Active Vehicles],tblFOIL[Base Code],A8)</f>
        <v>71431</v>
      </c>
      <c r="F8" s="19">
        <f>D8/E8</f>
        <v>9.27481065643768</v>
      </c>
      <c r="G8" s="15">
        <f>_xlfn.RANK.EQ(F8,$F$6:$F$11,0)</f>
        <v>1</v>
      </c>
      <c r="I8" s="31">
        <v>42007</v>
      </c>
      <c r="J8" s="15">
        <f>SUMIFS(tblFOIL[Active Vehicles],tblFOIL[Date],I8)</f>
        <v>6510</v>
      </c>
      <c r="K8" s="15">
        <f>SUMIFS(tblFOIL[Trips],tblFOIL[Date],I8)</f>
        <v>58449</v>
      </c>
      <c r="L8" s="31">
        <f>I8-WEEKDAY(I8,2)+1</f>
        <v>42002.0</v>
      </c>
      <c r="N8" s="31">
        <v>42023</v>
      </c>
      <c r="O8" s="15">
        <f>COUNTIFS($L$6:$L$64,N8)</f>
        <v>7</v>
      </c>
      <c r="P8" s="17">
        <f>AVERAGEIFS($J$6:$J$64,$L$6:$L$64,N8)</f>
        <v>7524.57142857143</v>
      </c>
      <c r="Q8" s="22">
        <f>P8/$P$6-1</f>
        <v>0.0237711131411689</v>
      </c>
    </row>
    <row r="9" spans="1:17" x14ac:dyDescent="0.25">
      <c r="A9" s="14" t="s">
        <v>1</v>
      </c>
      <c r="B9" s="14" t="str">
        <f>VLOOKUP(A9,BaseTable,2,FALSE)</f>
        <v>Hinter</v>
      </c>
      <c r="C9" s="17">
        <f>AVERAGEIFS(tblFOIL[Active Vehicles],tblFOIL[Base Code],A9)</f>
        <v>994.118644067797</v>
      </c>
      <c r="D9" s="15">
        <f>SUMIFS(tblFOIL[Trips],tblFOIL[Base Code],A9)</f>
        <v>540791</v>
      </c>
      <c r="E9" s="15">
        <f>SUMIFS(tblFOIL[Active Vehicles],tblFOIL[Base Code],A9)</f>
        <v>58653</v>
      </c>
      <c r="F9" s="19">
        <f>D9/E9</f>
        <v>9.22017629106781</v>
      </c>
      <c r="G9" s="15">
        <f>_xlfn.RANK.EQ(F9,$F$6:$F$11,0)</f>
        <v>2</v>
      </c>
      <c r="I9" s="31">
        <v>42008</v>
      </c>
      <c r="J9" s="15">
        <f>SUMIFS(tblFOIL[Active Vehicles],tblFOIL[Date],I9)</f>
        <v>5838</v>
      </c>
      <c r="K9" s="15">
        <f>SUMIFS(tblFOIL[Trips],tblFOIL[Date],I9)</f>
        <v>40798</v>
      </c>
      <c r="L9" s="31">
        <f>I9-WEEKDAY(I9,2)+1</f>
        <v>42002.0</v>
      </c>
      <c r="N9" s="31">
        <v>42030</v>
      </c>
      <c r="O9" s="15">
        <f>COUNTIFS($L$6:$L$64,N9)</f>
        <v>7</v>
      </c>
      <c r="P9" s="17">
        <f>AVERAGEIFS($J$6:$J$64,$L$6:$L$64,N9)</f>
        <v>7269.71428571429</v>
      </c>
      <c r="Q9" s="22">
        <f>P9/$P$6-1</f>
        <v>-0.0109040020214194</v>
      </c>
    </row>
    <row r="10" spans="1:17" x14ac:dyDescent="0.25">
      <c r="A10" s="14" t="s">
        <v>5</v>
      </c>
      <c r="B10" s="14" t="str">
        <f>VLOOKUP(A10,BaseTable,2,FALSE)</f>
        <v>Grun</v>
      </c>
      <c r="C10" s="17">
        <f>AVERAGEIFS(tblFOIL[Active Vehicles],tblFOIL[Base Code],A10)</f>
        <v>382.627118644068</v>
      </c>
      <c r="D10" s="15">
        <f>SUMIFS(tblFOIL[Trips],tblFOIL[Base Code],A10)</f>
        <v>193670</v>
      </c>
      <c r="E10" s="15">
        <f>SUMIFS(tblFOIL[Active Vehicles],tblFOIL[Base Code],A10)</f>
        <v>22575</v>
      </c>
      <c r="F10" s="19">
        <f>D10/E10</f>
        <v>8.57895902547065</v>
      </c>
      <c r="G10" s="15">
        <f>_xlfn.RANK.EQ(F10,$F$6:$F$11,0)</f>
        <v>5</v>
      </c>
      <c r="I10" s="31">
        <v>42009</v>
      </c>
      <c r="J10" s="15">
        <f>SUMIFS(tblFOIL[Active Vehicles],tblFOIL[Date],I10)</f>
        <v>6884</v>
      </c>
      <c r="K10" s="15">
        <f>SUMIFS(tblFOIL[Trips],tblFOIL[Date],I10)</f>
        <v>42752</v>
      </c>
      <c r="L10" s="31">
        <f>I10-WEEKDAY(I10,2)+1</f>
        <v>42009.0</v>
      </c>
      <c r="N10" s="31">
        <v>42037</v>
      </c>
      <c r="O10" s="15">
        <f>COUNTIFS($L$6:$L$64,N10)</f>
        <v>7</v>
      </c>
      <c r="P10" s="17">
        <f>AVERAGEIFS($J$6:$J$64,$L$6:$L$64,N10)</f>
        <v>8031.42857142857</v>
      </c>
      <c r="Q10" s="22">
        <f>P10/$P$6-1</f>
        <v>0.0927326089914284</v>
      </c>
    </row>
    <row r="11" spans="1:17" x14ac:dyDescent="0.25">
      <c r="A11" s="14" t="s">
        <v>0</v>
      </c>
      <c r="B11" s="14" t="str">
        <f>VLOOKUP(A11,BaseTable,2,FALSE)</f>
        <v>Unter</v>
      </c>
      <c r="C11" s="17">
        <f>AVERAGEIFS(tblFOIL[Active Vehicles],tblFOIL[Base Code],A11)</f>
        <v>222.457627118644</v>
      </c>
      <c r="D11" s="15">
        <f>SUMIFS(tblFOIL[Trips],tblFOIL[Base Code],A11)</f>
        <v>93786</v>
      </c>
      <c r="E11" s="15">
        <f>SUMIFS(tblFOIL[Active Vehicles],tblFOIL[Base Code],A11)</f>
        <v>13125</v>
      </c>
      <c r="F11" s="19">
        <f>D11/E11</f>
        <v>7.1456</v>
      </c>
      <c r="G11" s="15">
        <f>_xlfn.RANK.EQ(F11,$F$6:$F$11,0)</f>
        <v>6</v>
      </c>
      <c r="I11" s="31">
        <v>42010</v>
      </c>
      <c r="J11" s="15">
        <f>SUMIFS(tblFOIL[Active Vehicles],tblFOIL[Date],I11)</f>
        <v>7216</v>
      </c>
      <c r="K11" s="15">
        <f>SUMIFS(tblFOIL[Trips],tblFOIL[Date],I11)</f>
        <v>52426</v>
      </c>
      <c r="L11" s="31">
        <f>I11-WEEKDAY(I11,2)+1</f>
        <v>42009.0</v>
      </c>
      <c r="N11" s="31">
        <v>42044</v>
      </c>
      <c r="O11" s="15">
        <f>COUNTIFS($L$6:$L$64,N11)</f>
        <v>7</v>
      </c>
      <c r="P11" s="17">
        <f>AVERAGEIFS($J$6:$J$64,$L$6:$L$64,N11)</f>
        <v>8553</v>
      </c>
      <c r="Q11" s="22">
        <f>P11/$P$6-1</f>
        <v>0.16369608738751</v>
      </c>
    </row>
    <row r="12" spans="1:17" x14ac:dyDescent="0.25">
      <c r="I12" s="31">
        <v>42011</v>
      </c>
      <c r="J12" s="15">
        <f>SUMIFS(tblFOIL[Active Vehicles],tblFOIL[Date],I12)</f>
        <v>7444</v>
      </c>
      <c r="K12" s="15">
        <f>SUMIFS(tblFOIL[Trips],tblFOIL[Date],I12)</f>
        <v>62102</v>
      </c>
      <c r="L12" s="31">
        <f>I12-WEEKDAY(I12,2)+1</f>
        <v>42009.0</v>
      </c>
      <c r="N12" s="31">
        <v>42051</v>
      </c>
      <c r="O12" s="15">
        <f>COUNTIFS($L$6:$L$64,N12)</f>
        <v>7</v>
      </c>
      <c r="P12" s="17">
        <f>AVERAGEIFS($J$6:$J$64,$L$6:$L$64,N12)</f>
        <v>8494.28571428571</v>
      </c>
      <c r="Q12" s="22">
        <f>P12/$P$6-1</f>
        <v>0.155707593927967</v>
      </c>
    </row>
    <row r="13" spans="1:17" ht="18" customHeight="1" x14ac:dyDescent="0.25">
      <c r="A13" s="12" t="s">
        <v>1300</v>
      </c>
      <c r="I13" s="31">
        <v>42012</v>
      </c>
      <c r="J13" s="15">
        <f>SUMIFS(tblFOIL[Active Vehicles],tblFOIL[Date],I13)</f>
        <v>7999</v>
      </c>
      <c r="K13" s="15">
        <f>SUMIFS(tblFOIL[Trips],tblFOIL[Date],I13)</f>
        <v>71413</v>
      </c>
      <c r="L13" s="31">
        <f>I13-WEEKDAY(I13,2)+1</f>
        <v>42009.0</v>
      </c>
    </row>
    <row r="14" spans="1:17" x14ac:dyDescent="0.25">
      <c r="A14" s="14" t="s">
        <v>1301</v>
      </c>
      <c r="B14" s="14"/>
      <c r="C14" s="14"/>
      <c r="D14" s="14"/>
      <c r="E14" s="19">
        <f>SUM(tblFOIL[Trips])/SUM(tblFOIL[Active Vehicles])</f>
        <v>8.92382117053272</v>
      </c>
      <c r="I14" s="31">
        <v>42013</v>
      </c>
      <c r="J14" s="15">
        <f>SUMIFS(tblFOIL[Active Vehicles],tblFOIL[Date],I14)</f>
        <v>7989</v>
      </c>
      <c r="K14" s="15">
        <f>SUMIFS(tblFOIL[Trips],tblFOIL[Date],I14)</f>
        <v>70296</v>
      </c>
      <c r="L14" s="31">
        <f>I14-WEEKDAY(I14,2)+1</f>
        <v>42009.0</v>
      </c>
    </row>
    <row r="15" spans="1:17" x14ac:dyDescent="0.25">
      <c r="A15" s="14" t="s">
        <v>1302</v>
      </c>
      <c r="B15" s="14"/>
      <c r="C15" s="14"/>
      <c r="D15" s="14"/>
      <c r="E15" s="19">
        <f>SUMIFS(tblFOIL[Trips],tblFOIL[Day Type],"Weekend")/SUMIFS(tblFOIL[Active Vehicles],tblFOIL[Day Type],"Weekend")</f>
        <v>9.93330892719441</v>
      </c>
      <c r="I15" s="31">
        <v>42014</v>
      </c>
      <c r="J15" s="15">
        <f>SUMIFS(tblFOIL[Active Vehicles],tblFOIL[Date],I15)</f>
        <v>7346</v>
      </c>
      <c r="K15" s="15">
        <f>SUMIFS(tblFOIL[Trips],tblFOIL[Date],I15)</f>
        <v>78484</v>
      </c>
      <c r="L15" s="31">
        <f>I15-WEEKDAY(I15,2)+1</f>
        <v>42009.0</v>
      </c>
    </row>
    <row r="16" spans="1:17" x14ac:dyDescent="0.25">
      <c r="A16" s="14" t="s">
        <v>1303</v>
      </c>
      <c r="B16" s="14"/>
      <c r="C16" s="14"/>
      <c r="D16" s="14"/>
      <c r="E16" s="19">
        <f>SUMIFS(tblFOIL[Trips],tblFOIL[Day Type],"Weekday")/SUMIFS(tblFOIL[Active Vehicles],tblFOIL[Day Type],"Weekday")</f>
        <v>8.53631495384947</v>
      </c>
      <c r="I16" s="31">
        <v>42015</v>
      </c>
      <c r="J16" s="15">
        <f>SUMIFS(tblFOIL[Active Vehicles],tblFOIL[Date],I16)</f>
        <v>6571</v>
      </c>
      <c r="K16" s="15">
        <f>SUMIFS(tblFOIL[Trips],tblFOIL[Date],I16)</f>
        <v>57026</v>
      </c>
      <c r="L16" s="31">
        <f>I16-WEEKDAY(I16,2)+1</f>
        <v>42009.0</v>
      </c>
    </row>
    <row r="17" spans="1:12" x14ac:dyDescent="0.25">
      <c r="A17" s="14" t="s">
        <v>1304</v>
      </c>
      <c r="B17" s="14"/>
      <c r="C17" s="14"/>
      <c r="D17" s="14"/>
      <c r="E17" s="17">
        <f>AVERAGE($J$6:$J$64)</f>
        <v>7844.61016949153</v>
      </c>
      <c r="I17" s="31">
        <v>42016</v>
      </c>
      <c r="J17" s="15">
        <f>SUMIFS(tblFOIL[Active Vehicles],tblFOIL[Date],I17)</f>
        <v>7364</v>
      </c>
      <c r="K17" s="15">
        <f>SUMIFS(tblFOIL[Trips],tblFOIL[Date],I17)</f>
        <v>57646</v>
      </c>
      <c r="L17" s="31">
        <f>I17-WEEKDAY(I17,2)+1</f>
        <v>42016.0</v>
      </c>
    </row>
    <row r="18" spans="1:12" x14ac:dyDescent="0.25">
      <c r="A18" s="14" t="s">
        <v>1305</v>
      </c>
      <c r="B18" s="14"/>
      <c r="C18" s="14"/>
      <c r="D18" s="14"/>
      <c r="E18" s="19">
        <f>CORREL(tblFOIL[Active Vehicles],tblFOIL[Trips])</f>
        <v>0.980492539724657</v>
      </c>
      <c r="I18" s="31">
        <v>42017</v>
      </c>
      <c r="J18" s="15">
        <f>SUMIFS(tblFOIL[Active Vehicles],tblFOIL[Date],I18)</f>
        <v>7559</v>
      </c>
      <c r="K18" s="15">
        <f>SUMIFS(tblFOIL[Trips],tblFOIL[Date],I18)</f>
        <v>63499</v>
      </c>
      <c r="L18" s="31">
        <f>I18-WEEKDAY(I18,2)+1</f>
        <v>42016.0</v>
      </c>
    </row>
    <row r="19" spans="1:12" x14ac:dyDescent="0.25">
      <c r="I19" s="31">
        <v>42018</v>
      </c>
      <c r="J19" s="15">
        <f>SUMIFS(tblFOIL[Active Vehicles],tblFOIL[Date],I19)</f>
        <v>7849</v>
      </c>
      <c r="K19" s="15">
        <f>SUMIFS(tblFOIL[Trips],tblFOIL[Date],I19)</f>
        <v>63329</v>
      </c>
      <c r="L19" s="31">
        <f>I19-WEEKDAY(I19,2)+1</f>
        <v>42016.0</v>
      </c>
    </row>
    <row r="20" spans="1:12" ht="18" customHeight="1" x14ac:dyDescent="0.25">
      <c r="A20" s="12" t="s">
        <v>1306</v>
      </c>
      <c r="I20" s="31">
        <v>42019</v>
      </c>
      <c r="J20" s="15">
        <f>SUMIFS(tblFOIL[Active Vehicles],tblFOIL[Date],I20)</f>
        <v>8080</v>
      </c>
      <c r="K20" s="15">
        <f>SUMIFS(tblFOIL[Trips],tblFOIL[Date],I20)</f>
        <v>66729</v>
      </c>
      <c r="L20" s="31">
        <f>I20-WEEKDAY(I20,2)+1</f>
        <v>42016.0</v>
      </c>
    </row>
    <row r="21" spans="1:12" x14ac:dyDescent="0.25">
      <c r="A21" s="5" t="s">
        <v>311</v>
      </c>
      <c r="B21" s="13" t="s">
        <v>1307</v>
      </c>
      <c r="I21" s="31">
        <v>42020</v>
      </c>
      <c r="J21" s="15">
        <f>SUMIFS(tblFOIL[Active Vehicles],tblFOIL[Date],I21)</f>
        <v>8273</v>
      </c>
      <c r="K21" s="15">
        <f>SUMIFS(tblFOIL[Trips],tblFOIL[Date],I21)</f>
        <v>72480</v>
      </c>
      <c r="L21" s="31">
        <f>I21-WEEKDAY(I21,2)+1</f>
        <v>42016.0</v>
      </c>
    </row>
    <row r="22" spans="1:12" x14ac:dyDescent="0.25">
      <c r="A22" s="14" t="s">
        <v>1223</v>
      </c>
      <c r="B22" s="19">
        <f>SUMIFS(tblFOIL[Trips],tblFOIL[Weekday],A22)/SUMIFS(tblFOIL[Active Vehicles],tblFOIL[Weekday],A22)</f>
        <v>8.10242479298417</v>
      </c>
      <c r="I22" s="31">
        <v>42021</v>
      </c>
      <c r="J22" s="15">
        <f>SUMIFS(tblFOIL[Active Vehicles],tblFOIL[Date],I22)</f>
        <v>7527</v>
      </c>
      <c r="K22" s="15">
        <f>SUMIFS(tblFOIL[Trips],tblFOIL[Date],I22)</f>
        <v>73363</v>
      </c>
      <c r="L22" s="31">
        <f>I22-WEEKDAY(I22,2)+1</f>
        <v>42016.0</v>
      </c>
    </row>
    <row r="23" spans="1:12" x14ac:dyDescent="0.25">
      <c r="A23" s="14" t="s">
        <v>1224</v>
      </c>
      <c r="B23" s="19">
        <f>SUMIFS(tblFOIL[Trips],tblFOIL[Weekday],A23)/SUMIFS(tblFOIL[Active Vehicles],tblFOIL[Weekday],A23)</f>
        <v>8.20026142459428</v>
      </c>
      <c r="I23" s="31">
        <v>42022</v>
      </c>
      <c r="J23" s="15">
        <f>SUMIFS(tblFOIL[Active Vehicles],tblFOIL[Date],I23)</f>
        <v>6863</v>
      </c>
      <c r="K23" s="15">
        <f>SUMIFS(tblFOIL[Trips],tblFOIL[Date],I23)</f>
        <v>72473</v>
      </c>
      <c r="L23" s="31">
        <f>I23-WEEKDAY(I23,2)+1</f>
        <v>42016.0</v>
      </c>
    </row>
    <row r="24" spans="1:12" x14ac:dyDescent="0.25">
      <c r="A24" s="14" t="s">
        <v>1225</v>
      </c>
      <c r="B24" s="19">
        <f>SUMIFS(tblFOIL[Trips],tblFOIL[Weekday],A24)/SUMIFS(tblFOIL[Active Vehicles],tblFOIL[Weekday],A24)</f>
        <v>8.16975764286154</v>
      </c>
      <c r="I24" s="31">
        <v>42023</v>
      </c>
      <c r="J24" s="15">
        <f>SUMIFS(tblFOIL[Active Vehicles],tblFOIL[Date],I24)</f>
        <v>5945</v>
      </c>
      <c r="K24" s="15">
        <f>SUMIFS(tblFOIL[Trips],tblFOIL[Date],I24)</f>
        <v>45755</v>
      </c>
      <c r="L24" s="31">
        <f>I24-WEEKDAY(I24,2)+1</f>
        <v>42023.0</v>
      </c>
    </row>
    <row r="25" spans="1:12" x14ac:dyDescent="0.25">
      <c r="A25" s="14" t="s">
        <v>1226</v>
      </c>
      <c r="B25" s="19">
        <f>SUMIFS(tblFOIL[Trips],tblFOIL[Weekday],A25)/SUMIFS(tblFOIL[Active Vehicles],tblFOIL[Weekday],A25)</f>
        <v>8.77930625164864</v>
      </c>
      <c r="I25" s="31">
        <v>42024</v>
      </c>
      <c r="J25" s="15">
        <f>SUMIFS(tblFOIL[Active Vehicles],tblFOIL[Date],I25)</f>
        <v>7592</v>
      </c>
      <c r="K25" s="15">
        <f>SUMIFS(tblFOIL[Trips],tblFOIL[Date],I25)</f>
        <v>54772</v>
      </c>
      <c r="L25" s="31">
        <f>I25-WEEKDAY(I25,2)+1</f>
        <v>42023.0</v>
      </c>
    </row>
    <row r="26" spans="1:12" x14ac:dyDescent="0.25">
      <c r="A26" s="14" t="s">
        <v>1227</v>
      </c>
      <c r="B26" s="19">
        <f>SUMIFS(tblFOIL[Trips],tblFOIL[Weekday],A26)/SUMIFS(tblFOIL[Active Vehicles],tblFOIL[Weekday],A26)</f>
        <v>9.18247666266414</v>
      </c>
      <c r="I26" s="31">
        <v>42025</v>
      </c>
      <c r="J26" s="15">
        <f>SUMIFS(tblFOIL[Active Vehicles],tblFOIL[Date],I26)</f>
        <v>7948</v>
      </c>
      <c r="K26" s="15">
        <f>SUMIFS(tblFOIL[Trips],tblFOIL[Date],I26)</f>
        <v>59147</v>
      </c>
      <c r="L26" s="31">
        <f>I26-WEEKDAY(I26,2)+1</f>
        <v>42023.0</v>
      </c>
    </row>
    <row r="27" spans="1:12" x14ac:dyDescent="0.25">
      <c r="A27" s="14" t="s">
        <v>1228</v>
      </c>
      <c r="B27" s="19">
        <f>SUMIFS(tblFOIL[Trips],tblFOIL[Weekday],A27)/SUMIFS(tblFOIL[Active Vehicles],tblFOIL[Weekday],A27)</f>
        <v>10.466031454163</v>
      </c>
      <c r="I27" s="31">
        <v>42026</v>
      </c>
      <c r="J27" s="15">
        <f>SUMIFS(tblFOIL[Active Vehicles],tblFOIL[Date],I27)</f>
        <v>8267</v>
      </c>
      <c r="K27" s="15">
        <f>SUMIFS(tblFOIL[Trips],tblFOIL[Date],I27)</f>
        <v>65602</v>
      </c>
      <c r="L27" s="31">
        <f>I27-WEEKDAY(I27,2)+1</f>
        <v>42023.0</v>
      </c>
    </row>
    <row r="28" spans="1:12" x14ac:dyDescent="0.25">
      <c r="A28" s="14" t="s">
        <v>1229</v>
      </c>
      <c r="B28" s="19">
        <f>SUMIFS(tblFOIL[Trips],tblFOIL[Weekday],A28)/SUMIFS(tblFOIL[Active Vehicles],tblFOIL[Weekday],A28)</f>
        <v>9.25759771008552</v>
      </c>
      <c r="I28" s="31">
        <v>42027</v>
      </c>
      <c r="J28" s="15">
        <f>SUMIFS(tblFOIL[Active Vehicles],tblFOIL[Date],I28)</f>
        <v>8490</v>
      </c>
      <c r="K28" s="15">
        <f>SUMIFS(tblFOIL[Trips],tblFOIL[Date],I28)</f>
        <v>71819</v>
      </c>
      <c r="L28" s="31">
        <f>I28-WEEKDAY(I28,2)+1</f>
        <v>42023.0</v>
      </c>
    </row>
    <row r="29" spans="1:12" x14ac:dyDescent="0.25">
      <c r="I29" s="31">
        <v>42028</v>
      </c>
      <c r="J29" s="15">
        <f>SUMIFS(tblFOIL[Active Vehicles],tblFOIL[Date],I29)</f>
        <v>7643</v>
      </c>
      <c r="K29" s="15">
        <f>SUMIFS(tblFOIL[Trips],tblFOIL[Date],I29)</f>
        <v>80709</v>
      </c>
      <c r="L29" s="31">
        <f>I29-WEEKDAY(I29,2)+1</f>
        <v>42023.0</v>
      </c>
    </row>
    <row r="30" spans="1:12" x14ac:dyDescent="0.25">
      <c r="I30" s="31">
        <v>42029</v>
      </c>
      <c r="J30" s="15">
        <f>SUMIFS(tblFOIL[Active Vehicles],tblFOIL[Date],I30)</f>
        <v>6787</v>
      </c>
      <c r="K30" s="15">
        <f>SUMIFS(tblFOIL[Trips],tblFOIL[Date],I30)</f>
        <v>57895</v>
      </c>
      <c r="L30" s="31">
        <f>I30-WEEKDAY(I30,2)+1</f>
        <v>42023.0</v>
      </c>
    </row>
    <row r="31" spans="1:12" x14ac:dyDescent="0.25">
      <c r="I31" s="31">
        <v>42030</v>
      </c>
      <c r="J31" s="15">
        <f>SUMIFS(tblFOIL[Active Vehicles],tblFOIL[Date],I31)</f>
        <v>6533</v>
      </c>
      <c r="K31" s="15">
        <f>SUMIFS(tblFOIL[Trips],tblFOIL[Date],I31)</f>
        <v>43395</v>
      </c>
      <c r="L31" s="31">
        <f>I31-WEEKDAY(I31,2)+1</f>
        <v>42030.0</v>
      </c>
    </row>
    <row r="32" spans="1:12" x14ac:dyDescent="0.25">
      <c r="I32" s="31">
        <v>42031</v>
      </c>
      <c r="J32" s="15">
        <f>SUMIFS(tblFOIL[Active Vehicles],tblFOIL[Date],I32)</f>
        <v>3496</v>
      </c>
      <c r="K32" s="15">
        <f>SUMIFS(tblFOIL[Trips],tblFOIL[Date],I32)</f>
        <v>25244</v>
      </c>
      <c r="L32" s="31">
        <f>I32-WEEKDAY(I32,2)+1</f>
        <v>42030.0</v>
      </c>
    </row>
    <row r="33" spans="9:12" x14ac:dyDescent="0.25">
      <c r="I33" s="31">
        <v>42032</v>
      </c>
      <c r="J33" s="15">
        <f>SUMIFS(tblFOIL[Active Vehicles],tblFOIL[Date],I33)</f>
        <v>7815</v>
      </c>
      <c r="K33" s="15">
        <f>SUMIFS(tblFOIL[Trips],tblFOIL[Date],I33)</f>
        <v>60446</v>
      </c>
      <c r="L33" s="31">
        <f>I33-WEEKDAY(I33,2)+1</f>
        <v>42030.0</v>
      </c>
    </row>
    <row r="34" spans="9:12" x14ac:dyDescent="0.25">
      <c r="I34" s="31">
        <v>42033</v>
      </c>
      <c r="J34" s="15">
        <f>SUMIFS(tblFOIL[Active Vehicles],tblFOIL[Date],I34)</f>
        <v>8376</v>
      </c>
      <c r="K34" s="15">
        <f>SUMIFS(tblFOIL[Trips],tblFOIL[Date],I34)</f>
        <v>68994</v>
      </c>
      <c r="L34" s="31">
        <f>I34-WEEKDAY(I34,2)+1</f>
        <v>42030.0</v>
      </c>
    </row>
    <row r="35" spans="9:12" x14ac:dyDescent="0.25">
      <c r="I35" s="31">
        <v>42034</v>
      </c>
      <c r="J35" s="15">
        <f>SUMIFS(tblFOIL[Active Vehicles],tblFOIL[Date],I35)</f>
        <v>8693</v>
      </c>
      <c r="K35" s="15">
        <f>SUMIFS(tblFOIL[Trips],tblFOIL[Date],I35)</f>
        <v>83723</v>
      </c>
      <c r="L35" s="31">
        <f>I35-WEEKDAY(I35,2)+1</f>
        <v>42030.0</v>
      </c>
    </row>
    <row r="36" spans="9:12" x14ac:dyDescent="0.25">
      <c r="I36" s="31">
        <v>42035</v>
      </c>
      <c r="J36" s="15">
        <f>SUMIFS(tblFOIL[Active Vehicles],tblFOIL[Date],I36)</f>
        <v>8223</v>
      </c>
      <c r="K36" s="15">
        <f>SUMIFS(tblFOIL[Trips],tblFOIL[Date],I36)</f>
        <v>92257</v>
      </c>
      <c r="L36" s="31">
        <f>I36-WEEKDAY(I36,2)+1</f>
        <v>42030.0</v>
      </c>
    </row>
    <row r="37" spans="9:12" x14ac:dyDescent="0.25">
      <c r="I37" s="31">
        <v>42036</v>
      </c>
      <c r="J37" s="15">
        <f>SUMIFS(tblFOIL[Active Vehicles],tblFOIL[Date],I37)</f>
        <v>7752</v>
      </c>
      <c r="K37" s="15">
        <f>SUMIFS(tblFOIL[Trips],tblFOIL[Date],I37)</f>
        <v>76910</v>
      </c>
      <c r="L37" s="31">
        <f>I37-WEEKDAY(I37,2)+1</f>
        <v>42030.0</v>
      </c>
    </row>
    <row r="38" spans="9:12" x14ac:dyDescent="0.25">
      <c r="I38" s="31">
        <v>42037</v>
      </c>
      <c r="J38" s="15">
        <f>SUMIFS(tblFOIL[Active Vehicles],tblFOIL[Date],I38)</f>
        <v>7080</v>
      </c>
      <c r="K38" s="15">
        <f>SUMIFS(tblFOIL[Trips],tblFOIL[Date],I38)</f>
        <v>68980</v>
      </c>
      <c r="L38" s="31">
        <f>I38-WEEKDAY(I38,2)+1</f>
        <v>42037.0</v>
      </c>
    </row>
    <row r="39" spans="9:12" x14ac:dyDescent="0.25">
      <c r="I39" s="31">
        <v>42038</v>
      </c>
      <c r="J39" s="15">
        <f>SUMIFS(tblFOIL[Active Vehicles],tblFOIL[Date],I39)</f>
        <v>7840</v>
      </c>
      <c r="K39" s="15">
        <f>SUMIFS(tblFOIL[Trips],tblFOIL[Date],I39)</f>
        <v>70188</v>
      </c>
      <c r="L39" s="31">
        <f>I39-WEEKDAY(I39,2)+1</f>
        <v>42037.0</v>
      </c>
    </row>
    <row r="40" spans="9:12" x14ac:dyDescent="0.25">
      <c r="I40" s="31">
        <v>42039</v>
      </c>
      <c r="J40" s="15">
        <f>SUMIFS(tblFOIL[Active Vehicles],tblFOIL[Date],I40)</f>
        <v>8185</v>
      </c>
      <c r="K40" s="15">
        <f>SUMIFS(tblFOIL[Trips],tblFOIL[Date],I40)</f>
        <v>66835</v>
      </c>
      <c r="L40" s="31">
        <f>I40-WEEKDAY(I40,2)+1</f>
        <v>42037.0</v>
      </c>
    </row>
    <row r="41" spans="9:12" x14ac:dyDescent="0.25">
      <c r="I41" s="31">
        <v>42040</v>
      </c>
      <c r="J41" s="15">
        <f>SUMIFS(tblFOIL[Active Vehicles],tblFOIL[Date],I41)</f>
        <v>8833</v>
      </c>
      <c r="K41" s="15">
        <f>SUMIFS(tblFOIL[Trips],tblFOIL[Date],I41)</f>
        <v>80913</v>
      </c>
      <c r="L41" s="31">
        <f>I41-WEEKDAY(I41,2)+1</f>
        <v>42037.0</v>
      </c>
    </row>
    <row r="42" spans="9:12" x14ac:dyDescent="0.25">
      <c r="I42" s="31">
        <v>42041</v>
      </c>
      <c r="J42" s="15">
        <f>SUMIFS(tblFOIL[Active Vehicles],tblFOIL[Date],I42)</f>
        <v>8937</v>
      </c>
      <c r="K42" s="15">
        <f>SUMIFS(tblFOIL[Trips],tblFOIL[Date],I42)</f>
        <v>85940</v>
      </c>
      <c r="L42" s="31">
        <f>I42-WEEKDAY(I42,2)+1</f>
        <v>42037.0</v>
      </c>
    </row>
    <row r="43" spans="9:12" x14ac:dyDescent="0.25">
      <c r="I43" s="31">
        <v>42042</v>
      </c>
      <c r="J43" s="15">
        <f>SUMIFS(tblFOIL[Active Vehicles],tblFOIL[Date],I43)</f>
        <v>8119</v>
      </c>
      <c r="K43" s="15">
        <f>SUMIFS(tblFOIL[Trips],tblFOIL[Date],I43)</f>
        <v>81157</v>
      </c>
      <c r="L43" s="31">
        <f>I43-WEEKDAY(I43,2)+1</f>
        <v>42037.0</v>
      </c>
    </row>
    <row r="44" spans="9:12" x14ac:dyDescent="0.25">
      <c r="I44" s="31">
        <v>42043</v>
      </c>
      <c r="J44" s="15">
        <f>SUMIFS(tblFOIL[Active Vehicles],tblFOIL[Date],I44)</f>
        <v>7226</v>
      </c>
      <c r="K44" s="15">
        <f>SUMIFS(tblFOIL[Trips],tblFOIL[Date],I44)</f>
        <v>63000</v>
      </c>
      <c r="L44" s="31">
        <f>I44-WEEKDAY(I44,2)+1</f>
        <v>42037.0</v>
      </c>
    </row>
    <row r="45" spans="9:12" x14ac:dyDescent="0.25">
      <c r="I45" s="31">
        <v>42044</v>
      </c>
      <c r="J45" s="15">
        <f>SUMIFS(tblFOIL[Active Vehicles],tblFOIL[Date],I45)</f>
        <v>7688</v>
      </c>
      <c r="K45" s="15">
        <f>SUMIFS(tblFOIL[Trips],tblFOIL[Date],I45)</f>
        <v>61956</v>
      </c>
      <c r="L45" s="31">
        <f>I45-WEEKDAY(I45,2)+1</f>
        <v>42044.0</v>
      </c>
    </row>
    <row r="46" spans="9:12" x14ac:dyDescent="0.25">
      <c r="I46" s="31">
        <v>42045</v>
      </c>
      <c r="J46" s="15">
        <f>SUMIFS(tblFOIL[Active Vehicles],tblFOIL[Date],I46)</f>
        <v>8029</v>
      </c>
      <c r="K46" s="15">
        <f>SUMIFS(tblFOIL[Trips],tblFOIL[Date],I46)</f>
        <v>64766</v>
      </c>
      <c r="L46" s="31">
        <f>I46-WEEKDAY(I46,2)+1</f>
        <v>42044.0</v>
      </c>
    </row>
    <row r="47" spans="9:12" x14ac:dyDescent="0.25">
      <c r="I47" s="31">
        <v>42046</v>
      </c>
      <c r="J47" s="15">
        <f>SUMIFS(tblFOIL[Active Vehicles],tblFOIL[Date],I47)</f>
        <v>8515</v>
      </c>
      <c r="K47" s="15">
        <f>SUMIFS(tblFOIL[Trips],tblFOIL[Date],I47)</f>
        <v>72470</v>
      </c>
      <c r="L47" s="31">
        <f>I47-WEEKDAY(I47,2)+1</f>
        <v>42044.0</v>
      </c>
    </row>
    <row r="48" spans="9:12" x14ac:dyDescent="0.25">
      <c r="I48" s="31">
        <v>42047</v>
      </c>
      <c r="J48" s="15">
        <f>SUMIFS(tblFOIL[Active Vehicles],tblFOIL[Date],I48)</f>
        <v>9123</v>
      </c>
      <c r="K48" s="15">
        <f>SUMIFS(tblFOIL[Trips],tblFOIL[Date],I48)</f>
        <v>83234</v>
      </c>
      <c r="L48" s="31">
        <f>I48-WEEKDAY(I48,2)+1</f>
        <v>42044.0</v>
      </c>
    </row>
    <row r="49" spans="9:12" x14ac:dyDescent="0.25">
      <c r="I49" s="31">
        <v>42048</v>
      </c>
      <c r="J49" s="15">
        <f>SUMIFS(tblFOIL[Active Vehicles],tblFOIL[Date],I49)</f>
        <v>9604</v>
      </c>
      <c r="K49" s="15">
        <f>SUMIFS(tblFOIL[Trips],tblFOIL[Date],I49)</f>
        <v>98024</v>
      </c>
      <c r="L49" s="31">
        <f>I49-WEEKDAY(I49,2)+1</f>
        <v>42044.0</v>
      </c>
    </row>
    <row r="50" spans="9:12" x14ac:dyDescent="0.25">
      <c r="I50" s="31">
        <v>42049</v>
      </c>
      <c r="J50" s="15">
        <f>SUMIFS(tblFOIL[Active Vehicles],tblFOIL[Date],I50)</f>
        <v>8973</v>
      </c>
      <c r="K50" s="15">
        <f>SUMIFS(tblFOIL[Trips],tblFOIL[Date],I50)</f>
        <v>100345</v>
      </c>
      <c r="L50" s="31">
        <f>I50-WEEKDAY(I50,2)+1</f>
        <v>42044.0</v>
      </c>
    </row>
    <row r="51" spans="9:12" x14ac:dyDescent="0.25">
      <c r="I51" s="31">
        <v>42050</v>
      </c>
      <c r="J51" s="15">
        <f>SUMIFS(tblFOIL[Active Vehicles],tblFOIL[Date],I51)</f>
        <v>7939</v>
      </c>
      <c r="K51" s="15">
        <f>SUMIFS(tblFOIL[Trips],tblFOIL[Date],I51)</f>
        <v>89401</v>
      </c>
      <c r="L51" s="31">
        <f>I51-WEEKDAY(I51,2)+1</f>
        <v>42044.0</v>
      </c>
    </row>
    <row r="52" spans="9:12" x14ac:dyDescent="0.25">
      <c r="I52" s="31">
        <v>42051</v>
      </c>
      <c r="J52" s="15">
        <f>SUMIFS(tblFOIL[Active Vehicles],tblFOIL[Date],I52)</f>
        <v>7551</v>
      </c>
      <c r="K52" s="15">
        <f>SUMIFS(tblFOIL[Trips],tblFOIL[Date],I52)</f>
        <v>72098</v>
      </c>
      <c r="L52" s="31">
        <f>I52-WEEKDAY(I52,2)+1</f>
        <v>42051.0</v>
      </c>
    </row>
    <row r="53" spans="9:12" x14ac:dyDescent="0.25">
      <c r="I53" s="31">
        <v>42052</v>
      </c>
      <c r="J53" s="15">
        <f>SUMIFS(tblFOIL[Active Vehicles],tblFOIL[Date],I53)</f>
        <v>8403</v>
      </c>
      <c r="K53" s="15">
        <f>SUMIFS(tblFOIL[Trips],tblFOIL[Date],I53)</f>
        <v>73051</v>
      </c>
      <c r="L53" s="31">
        <f>I53-WEEKDAY(I53,2)+1</f>
        <v>42051.0</v>
      </c>
    </row>
    <row r="54" spans="9:12" x14ac:dyDescent="0.25">
      <c r="I54" s="31">
        <v>42053</v>
      </c>
      <c r="J54" s="15">
        <f>SUMIFS(tblFOIL[Active Vehicles],tblFOIL[Date],I54)</f>
        <v>8442</v>
      </c>
      <c r="K54" s="15">
        <f>SUMIFS(tblFOIL[Trips],tblFOIL[Date],I54)</f>
        <v>72243</v>
      </c>
      <c r="L54" s="31">
        <f>I54-WEEKDAY(I54,2)+1</f>
        <v>42051.0</v>
      </c>
    </row>
    <row r="55" spans="9:12" x14ac:dyDescent="0.25">
      <c r="I55" s="31">
        <v>42054</v>
      </c>
      <c r="J55" s="15">
        <f>SUMIFS(tblFOIL[Active Vehicles],tblFOIL[Date],I55)</f>
        <v>9030</v>
      </c>
      <c r="K55" s="15">
        <f>SUMIFS(tblFOIL[Trips],tblFOIL[Date],I55)</f>
        <v>88757</v>
      </c>
      <c r="L55" s="31">
        <f>I55-WEEKDAY(I55,2)+1</f>
        <v>42051.0</v>
      </c>
    </row>
    <row r="56" spans="9:12" x14ac:dyDescent="0.25">
      <c r="I56" s="31">
        <v>42055</v>
      </c>
      <c r="J56" s="15">
        <f>SUMIFS(tblFOIL[Active Vehicles],tblFOIL[Date],I56)</f>
        <v>9649</v>
      </c>
      <c r="K56" s="15">
        <f>SUMIFS(tblFOIL[Trips],tblFOIL[Date],I56)</f>
        <v>100915</v>
      </c>
      <c r="L56" s="31">
        <f>I56-WEEKDAY(I56,2)+1</f>
        <v>42051.0</v>
      </c>
    </row>
    <row r="57" spans="9:12" x14ac:dyDescent="0.25">
      <c r="I57" s="31">
        <v>42056</v>
      </c>
      <c r="J57" s="15">
        <f>SUMIFS(tblFOIL[Active Vehicles],tblFOIL[Date],I57)</f>
        <v>8765</v>
      </c>
      <c r="K57" s="15">
        <f>SUMIFS(tblFOIL[Trips],tblFOIL[Date],I57)</f>
        <v>98380</v>
      </c>
      <c r="L57" s="31">
        <f>I57-WEEKDAY(I57,2)+1</f>
        <v>42051.0</v>
      </c>
    </row>
    <row r="58" spans="9:12" x14ac:dyDescent="0.25">
      <c r="I58" s="31">
        <v>42057</v>
      </c>
      <c r="J58" s="15">
        <f>SUMIFS(tblFOIL[Active Vehicles],tblFOIL[Date],I58)</f>
        <v>7620</v>
      </c>
      <c r="K58" s="15">
        <f>SUMIFS(tblFOIL[Trips],tblFOIL[Date],I58)</f>
        <v>66440</v>
      </c>
      <c r="L58" s="31">
        <f>I58-WEEKDAY(I58,2)+1</f>
        <v>42051.0</v>
      </c>
    </row>
    <row r="59" spans="9:12" x14ac:dyDescent="0.25">
      <c r="I59" s="31">
        <v>42058</v>
      </c>
      <c r="J59" s="15">
        <f>SUMIFS(tblFOIL[Active Vehicles],tblFOIL[Date],I59)</f>
        <v>8197</v>
      </c>
      <c r="K59" s="15">
        <f>SUMIFS(tblFOIL[Trips],tblFOIL[Date],I59)</f>
        <v>71217</v>
      </c>
      <c r="L59" s="31">
        <f>I59-WEEKDAY(I59,2)+1</f>
        <v>42058.0</v>
      </c>
    </row>
    <row r="60" spans="9:12" x14ac:dyDescent="0.25">
      <c r="I60" s="31">
        <v>42059</v>
      </c>
      <c r="J60" s="15">
        <f>SUMIFS(tblFOIL[Active Vehicles],tblFOIL[Date],I60)</f>
        <v>8773</v>
      </c>
      <c r="K60" s="15">
        <f>SUMIFS(tblFOIL[Trips],tblFOIL[Date],I60)</f>
        <v>79115</v>
      </c>
      <c r="L60" s="31">
        <f>I60-WEEKDAY(I60,2)+1</f>
        <v>42058.0</v>
      </c>
    </row>
    <row r="61" spans="9:12" x14ac:dyDescent="0.25">
      <c r="I61" s="31">
        <v>42060</v>
      </c>
      <c r="J61" s="15">
        <f>SUMIFS(tblFOIL[Active Vehicles],tblFOIL[Date],I61)</f>
        <v>8830</v>
      </c>
      <c r="K61" s="15">
        <f>SUMIFS(tblFOIL[Trips],tblFOIL[Date],I61)</f>
        <v>74691</v>
      </c>
      <c r="L61" s="31">
        <f>I61-WEEKDAY(I61,2)+1</f>
        <v>42058.0</v>
      </c>
    </row>
    <row r="62" spans="9:12" x14ac:dyDescent="0.25">
      <c r="I62" s="31">
        <v>42061</v>
      </c>
      <c r="J62" s="15">
        <f>SUMIFS(tblFOIL[Active Vehicles],tblFOIL[Date],I62)</f>
        <v>9227</v>
      </c>
      <c r="K62" s="15">
        <f>SUMIFS(tblFOIL[Trips],tblFOIL[Date],I62)</f>
        <v>83568</v>
      </c>
      <c r="L62" s="31">
        <f>I62-WEEKDAY(I62,2)+1</f>
        <v>42058.0</v>
      </c>
    </row>
    <row r="63" spans="9:12" x14ac:dyDescent="0.25">
      <c r="I63" s="31">
        <v>42062</v>
      </c>
      <c r="J63" s="15">
        <f>SUMIFS(tblFOIL[Active Vehicles],tblFOIL[Date],I63)</f>
        <v>9486</v>
      </c>
      <c r="K63" s="15">
        <f>SUMIFS(tblFOIL[Trips],tblFOIL[Date],I63)</f>
        <v>88806</v>
      </c>
      <c r="L63" s="31">
        <f>I63-WEEKDAY(I63,2)+1</f>
        <v>42058.0</v>
      </c>
    </row>
    <row r="64" spans="9:12" x14ac:dyDescent="0.25">
      <c r="I64" s="31">
        <v>42063</v>
      </c>
      <c r="J64" s="15">
        <f>SUMIFS(tblFOIL[Active Vehicles],tblFOIL[Date],I64)</f>
        <v>8681</v>
      </c>
      <c r="K64" s="15">
        <f>SUMIFS(tblFOIL[Trips],tblFOIL[Date],I64)</f>
        <v>88181</v>
      </c>
      <c r="L64" s="31">
        <f>I64-WEEKDAY(I64,2)+1</f>
        <v>42058.0</v>
      </c>
    </row>
  </sheetData>
  <mergeCells count="5">
    <mergeCell ref="A14:D14"/>
    <mergeCell ref="A15:D15"/>
    <mergeCell ref="A16:D16"/>
    <mergeCell ref="A17:D17"/>
    <mergeCell ref="A18:D18"/>
  </mergeCells>
  <conditionalFormatting sqref="F6:F11">
    <cfRule type="dataBar" priority="1">
      <dataBar>
        <cfvo type="min"/>
        <cfvo type="max"/>
        <color rgb="FF9EC5F4"/>
      </dataBar>
      <extLst>
        <ext xmlns:x14="http://schemas.microsoft.com/office/spreadsheetml/2009/9/main" uri="{B025F937-C7B1-47D3-B67F-A62EFF666E3E}">
          <x14:id>{DA7ABA51-AAAA-BBBB-0008-000000000001}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autoMin"/>
              <x14:cfvo type="autoMax"/>
              <x14:borderColor rgb="FF9EC5F4"/>
              <x14:negativeFillColor rgb="FFFF0000"/>
              <x14:negativeBorderColor rgb="FFFF0000"/>
              <x14:axisColor rgb="FF000000"/>
            </x14:dataBar>
          </x14:cfRule>
          <xm:sqref>F6:F11</xm:sqref>
        </x14:conditionalFormatting>
      </x14:conditionalFormattings>
    </ext>
  </extLst>
</worksheet>
</file>

<file path=xl/worksheets/sheet9.xml><?xml version="1.0" encoding="utf-8"?>
<worksheet xmlns="http://schemas.openxmlformats.org/spreadsheetml/2006/main" xmlns:r="http://schemas.openxmlformats.org/officeDocument/2006/relationships">
  <sheetPr>
    <tabColor rgb="FF2A78D6"/>
  </sheetPr>
  <dimension ref="A1:F23"/>
  <sheetViews>
    <sheetView showGridLines="0" zoomScale="90" zoomScaleNormal="90" workbookViewId="0"/>
  </sheetViews>
  <sheetFormatPr defaultRowHeight="15"/>
  <cols>
    <col min="1" max="1" width="12.7109375" customWidth="1"/>
    <col min="2" max="8" width="13.7109375" customWidth="1"/>
  </cols>
  <sheetData>
    <row r="1" spans="1:6" ht="27" customHeight="1">
      <c r="A1" s="1" t="s">
        <v>1313</v>
      </c>
    </row>
    <row r="2" spans="1:6">
      <c r="A2" s="20" t="s">
        <v>1314</v>
      </c>
    </row>
    <row r="5" spans="1:6">
      <c r="A5" s="5" t="s">
        <v>310</v>
      </c>
      <c r="B5" s="13" t="s">
        <v>1315</v>
      </c>
      <c r="C5" s="13" t="s">
        <v>1316</v>
      </c>
      <c r="D5" s="13" t="s">
        <v>1317</v>
      </c>
      <c r="E5" s="13" t="s">
        <v>1318</v>
      </c>
      <c r="F5" s="13" t="s">
        <v>1319</v>
      </c>
    </row>
    <row r="6" spans="1:6">
      <c r="A6" s="21">
        <v>41821</v>
      </c>
      <c r="B6" s="15">
        <f>AVERAGEIFS(tblMarket[Uber],tblMarket[Month],A6)</f>
        <v>25681.3225806452</v>
      </c>
      <c r="C6" s="15">
        <f>AVERAGEIFS(tblMarket[Lyft],tblMarket[Month],A6)</f>
        <v>137.225806451613</v>
      </c>
      <c r="D6" s="15">
        <f>AVERAGEIFS(tblMarket[Yellow Taxis],tblMarket[Month],A6)</f>
        <v>418388.193548387</v>
      </c>
      <c r="E6" s="18">
        <f>B6/D6</f>
        <v>0.0613815661547225</v>
      </c>
      <c r="F6" s="17">
        <f>IF(C6&gt;0,B6/C6,"")</f>
        <v>187.146450399624</v>
      </c>
    </row>
    <row r="7" spans="1:6">
      <c r="A7" s="21">
        <v>41852</v>
      </c>
      <c r="B7" s="15">
        <f>AVERAGEIFS(tblMarket[Uber],tblMarket[Month],A7)</f>
        <v>26750.8064516129</v>
      </c>
      <c r="C7" s="15">
        <f>AVERAGEIFS(tblMarket[Lyft],tblMarket[Month],A7)</f>
        <v>4756.38709677419</v>
      </c>
      <c r="D7" s="15">
        <f>AVERAGEIFS(tblMarket[Yellow Taxis],tblMarket[Month],A7)</f>
        <v>405144.258064516</v>
      </c>
      <c r="E7" s="18">
        <f>B7/D7</f>
        <v>0.066027855311115</v>
      </c>
      <c r="F7" s="17">
        <f>IF(C7&gt;0,B7/C7,"")</f>
        <v>5.62418615376268</v>
      </c>
    </row>
    <row r="8" spans="1:6">
      <c r="A8" s="21">
        <v>41883</v>
      </c>
      <c r="B8" s="15">
        <f>AVERAGEIFS(tblMarket[Uber],tblMarket[Month],A8)</f>
        <v>34271.2</v>
      </c>
      <c r="C8" s="15">
        <f>AVERAGEIFS(tblMarket[Lyft],tblMarket[Month],A8)</f>
        <v>3866.63333333333</v>
      </c>
      <c r="D8" s="15">
        <f>AVERAGEIFS(tblMarket[Yellow Taxis],tblMarket[Month],A8)</f>
        <v>441306.533333333</v>
      </c>
      <c r="E8" s="18">
        <f>B8/D8</f>
        <v>0.0776584922528528</v>
      </c>
      <c r="F8" s="17">
        <f>IF(C8&gt;0,B8/C8,"")</f>
        <v>8.8633177872223</v>
      </c>
    </row>
    <row r="10" spans="1:6">
      <c r="A10" s="14" t="s">
        <v>1320</v>
      </c>
      <c r="B10" s="14"/>
      <c r="C10" s="14"/>
      <c r="D10" s="31">
        <f>_xlfn.MINIFS(tblMarket[Date],tblMarket[Lyft],"&gt;0")</f>
        <v>41845.0</v>
      </c>
    </row>
    <row r="13" spans="1:6" ht="18" customHeight="1">
      <c r="A13" s="12" t="s">
        <v>1321</v>
      </c>
    </row>
    <row r="14" spans="1:6">
      <c r="A14" s="5" t="s">
        <v>310</v>
      </c>
      <c r="B14" s="13" t="s">
        <v>1211</v>
      </c>
      <c r="C14" s="13" t="s">
        <v>1322</v>
      </c>
      <c r="D14" s="13" t="s">
        <v>1323</v>
      </c>
    </row>
    <row r="15" spans="1:6">
      <c r="A15" s="21">
        <v>42005</v>
      </c>
      <c r="B15" s="15">
        <v>31</v>
      </c>
      <c r="C15" s="17">
        <v>59.2</v>
      </c>
      <c r="D15" s="15">
        <v>977191</v>
      </c>
    </row>
    <row r="16" spans="1:6">
      <c r="A16" s="21">
        <v>42036</v>
      </c>
      <c r="B16" s="15">
        <v>28</v>
      </c>
      <c r="C16" s="17">
        <v>58.4</v>
      </c>
      <c r="D16" s="15">
        <v>957125</v>
      </c>
    </row>
    <row r="17" spans="1:4">
      <c r="A17" s="21">
        <v>42064</v>
      </c>
      <c r="B17" s="15">
        <v>31</v>
      </c>
      <c r="C17" s="17">
        <v>54.7</v>
      </c>
      <c r="D17" s="15">
        <v>823005</v>
      </c>
    </row>
    <row r="18" spans="1:4">
      <c r="A18" s="21">
        <v>42095</v>
      </c>
      <c r="B18" s="15">
        <v>30</v>
      </c>
      <c r="C18" s="17">
        <v>195</v>
      </c>
      <c r="D18" s="15">
        <v>1199269</v>
      </c>
    </row>
    <row r="19" spans="1:4">
      <c r="A19" s="21">
        <v>42125</v>
      </c>
      <c r="B19" s="15">
        <v>31</v>
      </c>
      <c r="C19" s="17">
        <v>202.2</v>
      </c>
      <c r="D19" s="15">
        <v>1149425</v>
      </c>
    </row>
    <row r="20" spans="1:4">
      <c r="A20" s="21">
        <v>42156</v>
      </c>
      <c r="B20" s="15">
        <v>30</v>
      </c>
      <c r="C20" s="17">
        <v>164.9</v>
      </c>
      <c r="D20" s="15">
        <v>941975</v>
      </c>
    </row>
    <row r="21" spans="1:4">
      <c r="A21" s="21">
        <v>42186</v>
      </c>
      <c r="B21" s="15">
        <v>31</v>
      </c>
      <c r="C21" s="17">
        <v>122.4</v>
      </c>
      <c r="D21" s="15">
        <v>474131</v>
      </c>
    </row>
    <row r="22" spans="1:4">
      <c r="A22" s="21">
        <v>42217</v>
      </c>
      <c r="B22" s="15">
        <v>31</v>
      </c>
      <c r="C22" s="17">
        <v>5</v>
      </c>
      <c r="D22" s="15">
        <v>28715</v>
      </c>
    </row>
    <row r="23" spans="1:4">
      <c r="A23" s="20" t="s">
        <v>1324</v>
      </c>
    </row>
  </sheetData>
  <mergeCells count="1">
    <mergeCell ref="A10:C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sheetPr>
    <tabColor rgb="FF2A78D6"/>
  </sheetPr>
  <dimension ref="A1:H32"/>
  <sheetViews>
    <sheetView showGridLines="0" zoomScale="90" zoomScaleNormal="90" workbookViewId="0"/>
  </sheetViews>
  <sheetFormatPr defaultRowHeight="15"/>
  <cols>
    <col min="1" max="5" width="14.7109375" customWidth="1"/>
    <col min="6" max="6" width="3.7109375" customWidth="1"/>
    <col min="7" max="7" width="16.7109375" customWidth="1"/>
    <col min="8" max="9" width="14.7109375" customWidth="1"/>
  </cols>
  <sheetData>
    <row r="1" ht="27" customHeight="1">
      <c r="A1" s="1" t="s">
        <v>1354</v>
      </c>
    </row>
    <row r="2">
      <c r="A2" s="20" t="s">
        <v>1355</v>
      </c>
    </row>
    <row r="4" ht="18" customHeight="1">
      <c r="A4" s="12" t="s">
        <v>1356</v>
      </c>
      <c r="G4" s="12" t="s">
        <v>1357</v>
      </c>
    </row>
    <row r="6">
      <c r="A6" t="inlineStr">
        <is>
          <t>Sum - Trips</t>
        </is>
      </c>
      <c r="B6" t="inlineStr">
        <is>
          <t>Period</t>
        </is>
      </c>
      <c r="G6" t="inlineStr">
        <is>
          <t>Service Area</t>
        </is>
      </c>
      <c r="H6" t="inlineStr">
        <is>
          <t>Sum - Trips</t>
        </is>
      </c>
    </row>
    <row r="7">
      <c r="A7" t="inlineStr">
        <is>
          <t>Hour</t>
        </is>
      </c>
      <c r="B7" t="inlineStr">
        <is>
          <t>2014 Apr-Sep</t>
        </is>
      </c>
      <c r="C7" t="inlineStr">
        <is>
          <t>2015 Jan-Jun</t>
        </is>
      </c>
      <c r="D7" t="inlineStr">
        <is>
          <t>Total Result</t>
        </is>
      </c>
      <c r="G7" t="inlineStr">
        <is>
          <t>Airports</t>
        </is>
      </c>
      <c r="H7">
        <v>555393</v>
      </c>
    </row>
    <row r="8">
      <c r="A8">
        <v>0</v>
      </c>
      <c r="B8">
        <v>103836</v>
      </c>
      <c r="C8">
        <v>602178</v>
      </c>
      <c r="D8">
        <v>706014</v>
      </c>
      <c r="G8" t="inlineStr">
        <is>
          <t>Bronx</t>
        </is>
      </c>
      <c r="H8">
        <v>220146</v>
      </c>
    </row>
    <row r="9">
      <c r="A9">
        <v>1</v>
      </c>
      <c r="B9">
        <v>67227</v>
      </c>
      <c r="C9">
        <v>394510</v>
      </c>
      <c r="D9">
        <v>461737</v>
      </c>
      <c r="G9" t="inlineStr">
        <is>
          <t>Brooklyn</t>
        </is>
      </c>
      <c r="H9">
        <v>2322000</v>
      </c>
    </row>
    <row r="10">
      <c r="A10">
        <v>2</v>
      </c>
      <c r="B10">
        <v>45865</v>
      </c>
      <c r="C10">
        <v>260603</v>
      </c>
      <c r="D10">
        <v>306468</v>
      </c>
      <c r="G10" t="inlineStr">
        <is>
          <t>Manhattan</t>
        </is>
      </c>
      <c r="H10">
        <v>10371060</v>
      </c>
    </row>
    <row r="11">
      <c r="A11">
        <v>3</v>
      </c>
      <c r="B11">
        <v>48287</v>
      </c>
      <c r="C11">
        <v>183655</v>
      </c>
      <c r="D11">
        <v>231942</v>
      </c>
      <c r="G11" t="inlineStr">
        <is>
          <t>Queens</t>
        </is>
      </c>
      <c r="H11">
        <v>788657</v>
      </c>
    </row>
    <row r="12">
      <c r="A12">
        <v>4</v>
      </c>
      <c r="B12">
        <v>55230</v>
      </c>
      <c r="C12">
        <v>173038</v>
      </c>
      <c r="D12">
        <v>228268</v>
      </c>
      <c r="G12" t="inlineStr">
        <is>
          <t>Staten Island</t>
        </is>
      </c>
      <c r="H12">
        <v>6959</v>
      </c>
    </row>
    <row r="13">
      <c r="A13">
        <v>5</v>
      </c>
      <c r="B13">
        <v>83939</v>
      </c>
      <c r="C13">
        <v>193523</v>
      </c>
      <c r="D13">
        <v>277462</v>
      </c>
      <c r="G13" t="inlineStr">
        <is>
          <t>Unknown</t>
        </is>
      </c>
      <c r="H13">
        <v>6264</v>
      </c>
    </row>
    <row r="14">
      <c r="A14">
        <v>6</v>
      </c>
      <c r="B14">
        <v>143213</v>
      </c>
      <c r="C14">
        <v>288533</v>
      </c>
      <c r="D14">
        <v>431746</v>
      </c>
      <c r="G14" t="inlineStr">
        <is>
          <t>Total Result</t>
        </is>
      </c>
      <c r="H14">
        <v>14270479</v>
      </c>
    </row>
    <row r="15">
      <c r="A15">
        <v>7</v>
      </c>
      <c r="B15">
        <v>193094</v>
      </c>
      <c r="C15">
        <v>443543</v>
      </c>
      <c r="D15">
        <v>636637</v>
      </c>
    </row>
    <row r="16">
      <c r="A16">
        <v>8</v>
      </c>
      <c r="B16">
        <v>190504</v>
      </c>
      <c r="C16">
        <v>583348</v>
      </c>
      <c r="D16">
        <v>773852</v>
      </c>
    </row>
    <row r="17">
      <c r="A17">
        <v>9</v>
      </c>
      <c r="B17">
        <v>159967</v>
      </c>
      <c r="C17">
        <v>593437</v>
      </c>
      <c r="D17">
        <v>753404</v>
      </c>
    </row>
    <row r="18">
      <c r="A18">
        <v>10</v>
      </c>
      <c r="B18">
        <v>159148</v>
      </c>
      <c r="C18">
        <v>520092</v>
      </c>
      <c r="D18">
        <v>679240</v>
      </c>
    </row>
    <row r="19">
      <c r="A19">
        <v>11</v>
      </c>
      <c r="B19">
        <v>165703</v>
      </c>
      <c r="C19">
        <v>516716</v>
      </c>
      <c r="D19">
        <v>682419</v>
      </c>
    </row>
    <row r="20">
      <c r="A20">
        <v>12</v>
      </c>
      <c r="B20">
        <v>170452</v>
      </c>
      <c r="C20">
        <v>533021</v>
      </c>
      <c r="D20">
        <v>703473</v>
      </c>
    </row>
    <row r="21">
      <c r="A21">
        <v>13</v>
      </c>
      <c r="B21">
        <v>195877</v>
      </c>
      <c r="C21">
        <v>537909</v>
      </c>
      <c r="D21">
        <v>733786</v>
      </c>
    </row>
    <row r="22">
      <c r="A22">
        <v>14</v>
      </c>
      <c r="B22">
        <v>230625</v>
      </c>
      <c r="C22">
        <v>584463</v>
      </c>
      <c r="D22">
        <v>815088</v>
      </c>
    </row>
    <row r="23">
      <c r="A23">
        <v>15</v>
      </c>
      <c r="B23">
        <v>275466</v>
      </c>
      <c r="C23">
        <v>649414</v>
      </c>
      <c r="D23">
        <v>924880</v>
      </c>
    </row>
    <row r="24">
      <c r="A24">
        <v>16</v>
      </c>
      <c r="B24">
        <v>313400</v>
      </c>
      <c r="C24">
        <v>737170</v>
      </c>
      <c r="D24">
        <v>1050570</v>
      </c>
    </row>
    <row r="25">
      <c r="A25">
        <v>17</v>
      </c>
      <c r="B25">
        <v>336190</v>
      </c>
      <c r="C25">
        <v>863990</v>
      </c>
      <c r="D25">
        <v>1200180</v>
      </c>
    </row>
    <row r="26">
      <c r="A26">
        <v>18</v>
      </c>
      <c r="B26">
        <v>324679</v>
      </c>
      <c r="C26">
        <v>987093</v>
      </c>
      <c r="D26">
        <v>1311772</v>
      </c>
    </row>
    <row r="27">
      <c r="A27">
        <v>19</v>
      </c>
      <c r="B27">
        <v>294513</v>
      </c>
      <c r="C27">
        <v>1007464</v>
      </c>
      <c r="D27">
        <v>1301977</v>
      </c>
    </row>
    <row r="28">
      <c r="A28">
        <v>20</v>
      </c>
      <c r="B28">
        <v>284604</v>
      </c>
      <c r="C28">
        <v>948574</v>
      </c>
      <c r="D28">
        <v>1233178</v>
      </c>
    </row>
    <row r="29">
      <c r="A29">
        <v>21</v>
      </c>
      <c r="B29">
        <v>281460</v>
      </c>
      <c r="C29">
        <v>930462</v>
      </c>
      <c r="D29">
        <v>1211922</v>
      </c>
    </row>
    <row r="30">
      <c r="A30">
        <v>22</v>
      </c>
      <c r="B30">
        <v>241858</v>
      </c>
      <c r="C30">
        <v>922954</v>
      </c>
      <c r="D30">
        <v>1164812</v>
      </c>
    </row>
    <row r="31">
      <c r="A31">
        <v>23</v>
      </c>
      <c r="B31">
        <v>169190</v>
      </c>
      <c r="C31">
        <v>814789</v>
      </c>
      <c r="D31">
        <v>983979</v>
      </c>
    </row>
    <row r="32">
      <c r="A32" t="inlineStr">
        <is>
          <t>Total Result</t>
        </is>
      </c>
      <c r="B32">
        <v>4534327</v>
      </c>
      <c r="C32">
        <v>14270479</v>
      </c>
      <c r="D32">
        <v>18804806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8726"/>
  <sheetViews>
    <sheetView showGridLines="0" zoomScale="90" zoomScaleNormal="90" workbookViewId="0">
      <pane ySplit="1" topLeftCell="A2" activePane="bottomLeft" state="frozen"/>
      <selection pane="bottomLeft"/>
    </sheetView>
  </sheetViews>
  <sheetFormatPr defaultRowHeight="15"/>
  <cols>
    <col min="1" max="1" width="11.7109375" customWidth="1"/>
    <col min="2" max="2" width="6.7109375" customWidth="1"/>
    <col min="3" max="3" width="8.7109375" customWidth="1"/>
    <col min="4" max="4" width="13.7109375" customWidth="1"/>
    <col min="5" max="5" width="6.7109375" customWidth="1"/>
    <col min="6" max="6" width="10.7109375" customWidth="1"/>
    <col min="7" max="7" width="9.7109375" customWidth="1"/>
    <col min="8" max="8" width="10.7109375" customWidth="1"/>
    <col min="9" max="9" width="20.7109375" customWidth="1"/>
  </cols>
  <sheetData>
    <row r="1" spans="1:9">
      <c r="A1" t="s">
        <v>305</v>
      </c>
      <c r="B1" t="s">
        <v>306</v>
      </c>
      <c r="C1" t="s">
        <v>307</v>
      </c>
      <c r="D1" t="s">
        <v>308</v>
      </c>
      <c r="E1" t="s">
        <v>309</v>
      </c>
      <c r="F1" t="s">
        <v>310</v>
      </c>
      <c r="G1" t="s">
        <v>311</v>
      </c>
      <c r="H1" t="s">
        <v>312</v>
      </c>
      <c r="I1" t="s">
        <v>313</v>
      </c>
    </row>
    <row r="2" spans="1:9">
      <c r="A2" s="32">
        <v>41730</v>
      </c>
      <c r="B2">
        <v>0</v>
      </c>
      <c r="C2">
        <v>138</v>
      </c>
      <c r="D2" t="s">
        <v>303</v>
      </c>
      <c r="E2">
        <f>YEAR(A2)</f>
        <v>2014</v>
      </c>
      <c r="F2" s="33">
        <f>DATE(YEAR(A2),MONTH(A2),1)</f>
        <v>41730.0</v>
      </c>
      <c r="G2" t="str">
        <f>CHOOSE(WEEKDAY(A2,2),"Mon","Tue","Wed","Thu","Fri","Sat","Sun")</f>
        <v>Tue</v>
      </c>
      <c r="H2" t="str">
        <f>IF(WEEKDAY(A2,2)&gt;5,"Weekend","Weekday")</f>
        <v>Weekday</v>
      </c>
      <c r="I2" t="str">
        <f>_xlfn.IFS(B2&lt;=5,"Night (0-5)",B2&lt;=9,"Morning peak (6-9)",B2&lt;=15,"Midday (10-15)",B2&lt;=19,"Evening peak (16-19)",TRUE,"Late evening (20-23)")</f>
        <v>Night (0-5)</v>
      </c>
    </row>
    <row r="3" spans="1:9">
      <c r="A3" s="32">
        <v>41730</v>
      </c>
      <c r="B3">
        <v>1</v>
      </c>
      <c r="C3">
        <v>66</v>
      </c>
      <c r="D3" t="s">
        <v>303</v>
      </c>
      <c r="E3">
        <f>YEAR(A3)</f>
        <v>2014</v>
      </c>
      <c r="F3" s="33">
        <f>DATE(YEAR(A3),MONTH(A3),1)</f>
        <v>41730.0</v>
      </c>
      <c r="G3" t="str">
        <f>CHOOSE(WEEKDAY(A3,2),"Mon","Tue","Wed","Thu","Fri","Sat","Sun")</f>
        <v>Tue</v>
      </c>
      <c r="H3" t="str">
        <f>IF(WEEKDAY(A3,2)&gt;5,"Weekend","Weekday")</f>
        <v>Weekday</v>
      </c>
      <c r="I3" t="str">
        <f>_xlfn.IFS(B3&lt;=5,"Night (0-5)",B3&lt;=9,"Morning peak (6-9)",B3&lt;=15,"Midday (10-15)",B3&lt;=19,"Evening peak (16-19)",TRUE,"Late evening (20-23)")</f>
        <v>Night (0-5)</v>
      </c>
    </row>
    <row r="4" spans="1:9">
      <c r="A4" s="32">
        <v>41730</v>
      </c>
      <c r="B4">
        <v>2</v>
      </c>
      <c r="C4">
        <v>53</v>
      </c>
      <c r="D4" t="s">
        <v>303</v>
      </c>
      <c r="E4">
        <f>YEAR(A4)</f>
        <v>2014</v>
      </c>
      <c r="F4" s="33">
        <f>DATE(YEAR(A4),MONTH(A4),1)</f>
        <v>41730.0</v>
      </c>
      <c r="G4" t="str">
        <f>CHOOSE(WEEKDAY(A4,2),"Mon","Tue","Wed","Thu","Fri","Sat","Sun")</f>
        <v>Tue</v>
      </c>
      <c r="H4" t="str">
        <f>IF(WEEKDAY(A4,2)&gt;5,"Weekend","Weekday")</f>
        <v>Weekday</v>
      </c>
      <c r="I4" t="str">
        <f>_xlfn.IFS(B4&lt;=5,"Night (0-5)",B4&lt;=9,"Morning peak (6-9)",B4&lt;=15,"Midday (10-15)",B4&lt;=19,"Evening peak (16-19)",TRUE,"Late evening (20-23)")</f>
        <v>Night (0-5)</v>
      </c>
    </row>
    <row r="5" spans="1:9">
      <c r="A5" s="32">
        <v>41730</v>
      </c>
      <c r="B5">
        <v>3</v>
      </c>
      <c r="C5">
        <v>93</v>
      </c>
      <c r="D5" t="s">
        <v>303</v>
      </c>
      <c r="E5">
        <f>YEAR(A5)</f>
        <v>2014</v>
      </c>
      <c r="F5" s="33">
        <f>DATE(YEAR(A5),MONTH(A5),1)</f>
        <v>41730.0</v>
      </c>
      <c r="G5" t="str">
        <f>CHOOSE(WEEKDAY(A5,2),"Mon","Tue","Wed","Thu","Fri","Sat","Sun")</f>
        <v>Tue</v>
      </c>
      <c r="H5" t="str">
        <f>IF(WEEKDAY(A5,2)&gt;5,"Weekend","Weekday")</f>
        <v>Weekday</v>
      </c>
      <c r="I5" t="str">
        <f>_xlfn.IFS(B5&lt;=5,"Night (0-5)",B5&lt;=9,"Morning peak (6-9)",B5&lt;=15,"Midday (10-15)",B5&lt;=19,"Evening peak (16-19)",TRUE,"Late evening (20-23)")</f>
        <v>Night (0-5)</v>
      </c>
    </row>
    <row r="6" spans="1:9">
      <c r="A6" s="32">
        <v>41730</v>
      </c>
      <c r="B6">
        <v>4</v>
      </c>
      <c r="C6">
        <v>166</v>
      </c>
      <c r="D6" t="s">
        <v>303</v>
      </c>
      <c r="E6">
        <f>YEAR(A6)</f>
        <v>2014</v>
      </c>
      <c r="F6" s="33">
        <f>DATE(YEAR(A6),MONTH(A6),1)</f>
        <v>41730.0</v>
      </c>
      <c r="G6" t="str">
        <f>CHOOSE(WEEKDAY(A6,2),"Mon","Tue","Wed","Thu","Fri","Sat","Sun")</f>
        <v>Tue</v>
      </c>
      <c r="H6" t="str">
        <f>IF(WEEKDAY(A6,2)&gt;5,"Weekend","Weekday")</f>
        <v>Weekday</v>
      </c>
      <c r="I6" t="str">
        <f>_xlfn.IFS(B6&lt;=5,"Night (0-5)",B6&lt;=9,"Morning peak (6-9)",B6&lt;=15,"Midday (10-15)",B6&lt;=19,"Evening peak (16-19)",TRUE,"Late evening (20-23)")</f>
        <v>Night (0-5)</v>
      </c>
    </row>
    <row r="7" spans="1:9">
      <c r="A7" s="32">
        <v>41730</v>
      </c>
      <c r="B7">
        <v>5</v>
      </c>
      <c r="C7">
        <v>333</v>
      </c>
      <c r="D7" t="s">
        <v>303</v>
      </c>
      <c r="E7">
        <f>YEAR(A7)</f>
        <v>2014</v>
      </c>
      <c r="F7" s="33">
        <f>DATE(YEAR(A7),MONTH(A7),1)</f>
        <v>41730.0</v>
      </c>
      <c r="G7" t="str">
        <f>CHOOSE(WEEKDAY(A7,2),"Mon","Tue","Wed","Thu","Fri","Sat","Sun")</f>
        <v>Tue</v>
      </c>
      <c r="H7" t="str">
        <f>IF(WEEKDAY(A7,2)&gt;5,"Weekend","Weekday")</f>
        <v>Weekday</v>
      </c>
      <c r="I7" t="str">
        <f>_xlfn.IFS(B7&lt;=5,"Night (0-5)",B7&lt;=9,"Morning peak (6-9)",B7&lt;=15,"Midday (10-15)",B7&lt;=19,"Evening peak (16-19)",TRUE,"Late evening (20-23)")</f>
        <v>Night (0-5)</v>
      </c>
    </row>
    <row r="8" spans="1:9">
      <c r="A8" s="32">
        <v>41730</v>
      </c>
      <c r="B8">
        <v>6</v>
      </c>
      <c r="C8">
        <v>722</v>
      </c>
      <c r="D8" t="s">
        <v>303</v>
      </c>
      <c r="E8">
        <f>YEAR(A8)</f>
        <v>2014</v>
      </c>
      <c r="F8" s="33">
        <f>DATE(YEAR(A8),MONTH(A8),1)</f>
        <v>41730.0</v>
      </c>
      <c r="G8" t="str">
        <f>CHOOSE(WEEKDAY(A8,2),"Mon","Tue","Wed","Thu","Fri","Sat","Sun")</f>
        <v>Tue</v>
      </c>
      <c r="H8" t="str">
        <f>IF(WEEKDAY(A8,2)&gt;5,"Weekend","Weekday")</f>
        <v>Weekday</v>
      </c>
      <c r="I8" t="str">
        <f>_xlfn.IFS(B8&lt;=5,"Night (0-5)",B8&lt;=9,"Morning peak (6-9)",B8&lt;=15,"Midday (10-15)",B8&lt;=19,"Evening peak (16-19)",TRUE,"Late evening (20-23)")</f>
        <v>Morning peak (6-9)</v>
      </c>
    </row>
    <row r="9" spans="1:9">
      <c r="A9" s="32">
        <v>41730</v>
      </c>
      <c r="B9">
        <v>7</v>
      </c>
      <c r="C9">
        <v>1001</v>
      </c>
      <c r="D9" t="s">
        <v>303</v>
      </c>
      <c r="E9">
        <f>YEAR(A9)</f>
        <v>2014</v>
      </c>
      <c r="F9" s="33">
        <f>DATE(YEAR(A9),MONTH(A9),1)</f>
        <v>41730.0</v>
      </c>
      <c r="G9" t="str">
        <f>CHOOSE(WEEKDAY(A9,2),"Mon","Tue","Wed","Thu","Fri","Sat","Sun")</f>
        <v>Tue</v>
      </c>
      <c r="H9" t="str">
        <f>IF(WEEKDAY(A9,2)&gt;5,"Weekend","Weekday")</f>
        <v>Weekday</v>
      </c>
      <c r="I9" t="str">
        <f>_xlfn.IFS(B9&lt;=5,"Night (0-5)",B9&lt;=9,"Morning peak (6-9)",B9&lt;=15,"Midday (10-15)",B9&lt;=19,"Evening peak (16-19)",TRUE,"Late evening (20-23)")</f>
        <v>Morning peak (6-9)</v>
      </c>
    </row>
    <row r="10" spans="1:9">
      <c r="A10" s="32">
        <v>41730</v>
      </c>
      <c r="B10">
        <v>8</v>
      </c>
      <c r="C10">
        <v>780</v>
      </c>
      <c r="D10" t="s">
        <v>303</v>
      </c>
      <c r="E10">
        <f>YEAR(A10)</f>
        <v>2014</v>
      </c>
      <c r="F10" s="33">
        <f>DATE(YEAR(A10),MONTH(A10),1)</f>
        <v>41730.0</v>
      </c>
      <c r="G10" t="str">
        <f>CHOOSE(WEEKDAY(A10,2),"Mon","Tue","Wed","Thu","Fri","Sat","Sun")</f>
        <v>Tue</v>
      </c>
      <c r="H10" t="str">
        <f>IF(WEEKDAY(A10,2)&gt;5,"Weekend","Weekday")</f>
        <v>Weekday</v>
      </c>
      <c r="I10" t="str">
        <f>_xlfn.IFS(B10&lt;=5,"Night (0-5)",B10&lt;=9,"Morning peak (6-9)",B10&lt;=15,"Midday (10-15)",B10&lt;=19,"Evening peak (16-19)",TRUE,"Late evening (20-23)")</f>
        <v>Morning peak (6-9)</v>
      </c>
    </row>
    <row r="11" spans="1:9">
      <c r="A11" s="32">
        <v>41730</v>
      </c>
      <c r="B11">
        <v>9</v>
      </c>
      <c r="C11">
        <v>532</v>
      </c>
      <c r="D11" t="s">
        <v>303</v>
      </c>
      <c r="E11">
        <f>YEAR(A11)</f>
        <v>2014</v>
      </c>
      <c r="F11" s="33">
        <f>DATE(YEAR(A11),MONTH(A11),1)</f>
        <v>41730.0</v>
      </c>
      <c r="G11" t="str">
        <f>CHOOSE(WEEKDAY(A11,2),"Mon","Tue","Wed","Thu","Fri","Sat","Sun")</f>
        <v>Tue</v>
      </c>
      <c r="H11" t="str">
        <f>IF(WEEKDAY(A11,2)&gt;5,"Weekend","Weekday")</f>
        <v>Weekday</v>
      </c>
      <c r="I11" t="str">
        <f>_xlfn.IFS(B11&lt;=5,"Night (0-5)",B11&lt;=9,"Morning peak (6-9)",B11&lt;=15,"Midday (10-15)",B11&lt;=19,"Evening peak (16-19)",TRUE,"Late evening (20-23)")</f>
        <v>Morning peak (6-9)</v>
      </c>
    </row>
    <row r="12" spans="1:9">
      <c r="A12" s="32">
        <v>41730</v>
      </c>
      <c r="B12">
        <v>10</v>
      </c>
      <c r="C12">
        <v>477</v>
      </c>
      <c r="D12" t="s">
        <v>303</v>
      </c>
      <c r="E12">
        <f>YEAR(A12)</f>
        <v>2014</v>
      </c>
      <c r="F12" s="33">
        <f>DATE(YEAR(A12),MONTH(A12),1)</f>
        <v>41730.0</v>
      </c>
      <c r="G12" t="str">
        <f>CHOOSE(WEEKDAY(A12,2),"Mon","Tue","Wed","Thu","Fri","Sat","Sun")</f>
        <v>Tue</v>
      </c>
      <c r="H12" t="str">
        <f>IF(WEEKDAY(A12,2)&gt;5,"Weekend","Weekday")</f>
        <v>Weekday</v>
      </c>
      <c r="I12" t="str">
        <f>_xlfn.IFS(B12&lt;=5,"Night (0-5)",B12&lt;=9,"Morning peak (6-9)",B12&lt;=15,"Midday (10-15)",B12&lt;=19,"Evening peak (16-19)",TRUE,"Late evening (20-23)")</f>
        <v>Midday (10-15)</v>
      </c>
    </row>
    <row r="13" spans="1:9">
      <c r="A13" s="32">
        <v>41730</v>
      </c>
      <c r="B13">
        <v>11</v>
      </c>
      <c r="C13">
        <v>547</v>
      </c>
      <c r="D13" t="s">
        <v>303</v>
      </c>
      <c r="E13">
        <f>YEAR(A13)</f>
        <v>2014</v>
      </c>
      <c r="F13" s="33">
        <f>DATE(YEAR(A13),MONTH(A13),1)</f>
        <v>41730.0</v>
      </c>
      <c r="G13" t="str">
        <f>CHOOSE(WEEKDAY(A13,2),"Mon","Tue","Wed","Thu","Fri","Sat","Sun")</f>
        <v>Tue</v>
      </c>
      <c r="H13" t="str">
        <f>IF(WEEKDAY(A13,2)&gt;5,"Weekend","Weekday")</f>
        <v>Weekday</v>
      </c>
      <c r="I13" t="str">
        <f>_xlfn.IFS(B13&lt;=5,"Night (0-5)",B13&lt;=9,"Morning peak (6-9)",B13&lt;=15,"Midday (10-15)",B13&lt;=19,"Evening peak (16-19)",TRUE,"Late evening (20-23)")</f>
        <v>Midday (10-15)</v>
      </c>
    </row>
    <row r="14" spans="1:9">
      <c r="A14" s="32">
        <v>41730</v>
      </c>
      <c r="B14">
        <v>12</v>
      </c>
      <c r="C14">
        <v>469</v>
      </c>
      <c r="D14" t="s">
        <v>303</v>
      </c>
      <c r="E14">
        <f>YEAR(A14)</f>
        <v>2014</v>
      </c>
      <c r="F14" s="33">
        <f>DATE(YEAR(A14),MONTH(A14),1)</f>
        <v>41730.0</v>
      </c>
      <c r="G14" t="str">
        <f>CHOOSE(WEEKDAY(A14,2),"Mon","Tue","Wed","Thu","Fri","Sat","Sun")</f>
        <v>Tue</v>
      </c>
      <c r="H14" t="str">
        <f>IF(WEEKDAY(A14,2)&gt;5,"Weekend","Weekday")</f>
        <v>Weekday</v>
      </c>
      <c r="I14" t="str">
        <f>_xlfn.IFS(B14&lt;=5,"Night (0-5)",B14&lt;=9,"Morning peak (6-9)",B14&lt;=15,"Midday (10-15)",B14&lt;=19,"Evening peak (16-19)",TRUE,"Late evening (20-23)")</f>
        <v>Midday (10-15)</v>
      </c>
    </row>
    <row r="15" spans="1:9">
      <c r="A15" s="32">
        <v>41730</v>
      </c>
      <c r="B15">
        <v>13</v>
      </c>
      <c r="C15">
        <v>591</v>
      </c>
      <c r="D15" t="s">
        <v>303</v>
      </c>
      <c r="E15">
        <f>YEAR(A15)</f>
        <v>2014</v>
      </c>
      <c r="F15" s="33">
        <f>DATE(YEAR(A15),MONTH(A15),1)</f>
        <v>41730.0</v>
      </c>
      <c r="G15" t="str">
        <f>CHOOSE(WEEKDAY(A15,2),"Mon","Tue","Wed","Thu","Fri","Sat","Sun")</f>
        <v>Tue</v>
      </c>
      <c r="H15" t="str">
        <f>IF(WEEKDAY(A15,2)&gt;5,"Weekend","Weekday")</f>
        <v>Weekday</v>
      </c>
      <c r="I15" t="str">
        <f>_xlfn.IFS(B15&lt;=5,"Night (0-5)",B15&lt;=9,"Morning peak (6-9)",B15&lt;=15,"Midday (10-15)",B15&lt;=19,"Evening peak (16-19)",TRUE,"Late evening (20-23)")</f>
        <v>Midday (10-15)</v>
      </c>
    </row>
    <row r="16" spans="1:9">
      <c r="A16" s="32">
        <v>41730</v>
      </c>
      <c r="B16">
        <v>14</v>
      </c>
      <c r="C16">
        <v>736</v>
      </c>
      <c r="D16" t="s">
        <v>303</v>
      </c>
      <c r="E16">
        <f>YEAR(A16)</f>
        <v>2014</v>
      </c>
      <c r="F16" s="33">
        <f>DATE(YEAR(A16),MONTH(A16),1)</f>
        <v>41730.0</v>
      </c>
      <c r="G16" t="str">
        <f>CHOOSE(WEEKDAY(A16,2),"Mon","Tue","Wed","Thu","Fri","Sat","Sun")</f>
        <v>Tue</v>
      </c>
      <c r="H16" t="str">
        <f>IF(WEEKDAY(A16,2)&gt;5,"Weekend","Weekday")</f>
        <v>Weekday</v>
      </c>
      <c r="I16" t="str">
        <f>_xlfn.IFS(B16&lt;=5,"Night (0-5)",B16&lt;=9,"Morning peak (6-9)",B16&lt;=15,"Midday (10-15)",B16&lt;=19,"Evening peak (16-19)",TRUE,"Late evening (20-23)")</f>
        <v>Midday (10-15)</v>
      </c>
    </row>
    <row r="17" spans="1:9">
      <c r="A17" s="32">
        <v>41730</v>
      </c>
      <c r="B17">
        <v>15</v>
      </c>
      <c r="C17">
        <v>967</v>
      </c>
      <c r="D17" t="s">
        <v>303</v>
      </c>
      <c r="E17">
        <f>YEAR(A17)</f>
        <v>2014</v>
      </c>
      <c r="F17" s="33">
        <f>DATE(YEAR(A17),MONTH(A17),1)</f>
        <v>41730.0</v>
      </c>
      <c r="G17" t="str">
        <f>CHOOSE(WEEKDAY(A17,2),"Mon","Tue","Wed","Thu","Fri","Sat","Sun")</f>
        <v>Tue</v>
      </c>
      <c r="H17" t="str">
        <f>IF(WEEKDAY(A17,2)&gt;5,"Weekend","Weekday")</f>
        <v>Weekday</v>
      </c>
      <c r="I17" t="str">
        <f>_xlfn.IFS(B17&lt;=5,"Night (0-5)",B17&lt;=9,"Morning peak (6-9)",B17&lt;=15,"Midday (10-15)",B17&lt;=19,"Evening peak (16-19)",TRUE,"Late evening (20-23)")</f>
        <v>Midday (10-15)</v>
      </c>
    </row>
    <row r="18" spans="1:9">
      <c r="A18" s="32">
        <v>41730</v>
      </c>
      <c r="B18">
        <v>16</v>
      </c>
      <c r="C18">
        <v>1152</v>
      </c>
      <c r="D18" t="s">
        <v>303</v>
      </c>
      <c r="E18">
        <f>YEAR(A18)</f>
        <v>2014</v>
      </c>
      <c r="F18" s="33">
        <f>DATE(YEAR(A18),MONTH(A18),1)</f>
        <v>41730.0</v>
      </c>
      <c r="G18" t="str">
        <f>CHOOSE(WEEKDAY(A18,2),"Mon","Tue","Wed","Thu","Fri","Sat","Sun")</f>
        <v>Tue</v>
      </c>
      <c r="H18" t="str">
        <f>IF(WEEKDAY(A18,2)&gt;5,"Weekend","Weekday")</f>
        <v>Weekday</v>
      </c>
      <c r="I18" t="str">
        <f>_xlfn.IFS(B18&lt;=5,"Night (0-5)",B18&lt;=9,"Morning peak (6-9)",B18&lt;=15,"Midday (10-15)",B18&lt;=19,"Evening peak (16-19)",TRUE,"Late evening (20-23)")</f>
        <v>Evening peak (16-19)</v>
      </c>
    </row>
    <row r="19" spans="1:9">
      <c r="A19" s="32">
        <v>41730</v>
      </c>
      <c r="B19">
        <v>17</v>
      </c>
      <c r="C19">
        <v>1262</v>
      </c>
      <c r="D19" t="s">
        <v>303</v>
      </c>
      <c r="E19">
        <f>YEAR(A19)</f>
        <v>2014</v>
      </c>
      <c r="F19" s="33">
        <f>DATE(YEAR(A19),MONTH(A19),1)</f>
        <v>41730.0</v>
      </c>
      <c r="G19" t="str">
        <f>CHOOSE(WEEKDAY(A19,2),"Mon","Tue","Wed","Thu","Fri","Sat","Sun")</f>
        <v>Tue</v>
      </c>
      <c r="H19" t="str">
        <f>IF(WEEKDAY(A19,2)&gt;5,"Weekend","Weekday")</f>
        <v>Weekday</v>
      </c>
      <c r="I19" t="str">
        <f>_xlfn.IFS(B19&lt;=5,"Night (0-5)",B19&lt;=9,"Morning peak (6-9)",B19&lt;=15,"Midday (10-15)",B19&lt;=19,"Evening peak (16-19)",TRUE,"Late evening (20-23)")</f>
        <v>Evening peak (16-19)</v>
      </c>
    </row>
    <row r="20" spans="1:9">
      <c r="A20" s="32">
        <v>41730</v>
      </c>
      <c r="B20">
        <v>18</v>
      </c>
      <c r="C20">
        <v>1122</v>
      </c>
      <c r="D20" t="s">
        <v>303</v>
      </c>
      <c r="E20">
        <f>YEAR(A20)</f>
        <v>2014</v>
      </c>
      <c r="F20" s="33">
        <f>DATE(YEAR(A20),MONTH(A20),1)</f>
        <v>41730.0</v>
      </c>
      <c r="G20" t="str">
        <f>CHOOSE(WEEKDAY(A20,2),"Mon","Tue","Wed","Thu","Fri","Sat","Sun")</f>
        <v>Tue</v>
      </c>
      <c r="H20" t="str">
        <f>IF(WEEKDAY(A20,2)&gt;5,"Weekend","Weekday")</f>
        <v>Weekday</v>
      </c>
      <c r="I20" t="str">
        <f>_xlfn.IFS(B20&lt;=5,"Night (0-5)",B20&lt;=9,"Morning peak (6-9)",B20&lt;=15,"Midday (10-15)",B20&lt;=19,"Evening peak (16-19)",TRUE,"Late evening (20-23)")</f>
        <v>Evening peak (16-19)</v>
      </c>
    </row>
    <row r="21" spans="1:9">
      <c r="A21" s="32">
        <v>41730</v>
      </c>
      <c r="B21">
        <v>19</v>
      </c>
      <c r="C21">
        <v>1018</v>
      </c>
      <c r="D21" t="s">
        <v>303</v>
      </c>
      <c r="E21">
        <f>YEAR(A21)</f>
        <v>2014</v>
      </c>
      <c r="F21" s="33">
        <f>DATE(YEAR(A21),MONTH(A21),1)</f>
        <v>41730.0</v>
      </c>
      <c r="G21" t="str">
        <f>CHOOSE(WEEKDAY(A21,2),"Mon","Tue","Wed","Thu","Fri","Sat","Sun")</f>
        <v>Tue</v>
      </c>
      <c r="H21" t="str">
        <f>IF(WEEKDAY(A21,2)&gt;5,"Weekend","Weekday")</f>
        <v>Weekday</v>
      </c>
      <c r="I21" t="str">
        <f>_xlfn.IFS(B21&lt;=5,"Night (0-5)",B21&lt;=9,"Morning peak (6-9)",B21&lt;=15,"Midday (10-15)",B21&lt;=19,"Evening peak (16-19)",TRUE,"Late evening (20-23)")</f>
        <v>Evening peak (16-19)</v>
      </c>
    </row>
    <row r="22" spans="1:9">
      <c r="A22" s="32">
        <v>41730</v>
      </c>
      <c r="B22">
        <v>20</v>
      </c>
      <c r="C22">
        <v>597</v>
      </c>
      <c r="D22" t="s">
        <v>303</v>
      </c>
      <c r="E22">
        <f>YEAR(A22)</f>
        <v>2014</v>
      </c>
      <c r="F22" s="33">
        <f>DATE(YEAR(A22),MONTH(A22),1)</f>
        <v>41730.0</v>
      </c>
      <c r="G22" t="str">
        <f>CHOOSE(WEEKDAY(A22,2),"Mon","Tue","Wed","Thu","Fri","Sat","Sun")</f>
        <v>Tue</v>
      </c>
      <c r="H22" t="str">
        <f>IF(WEEKDAY(A22,2)&gt;5,"Weekend","Weekday")</f>
        <v>Weekday</v>
      </c>
      <c r="I22" t="str">
        <f>_xlfn.IFS(B22&lt;=5,"Night (0-5)",B22&lt;=9,"Morning peak (6-9)",B22&lt;=15,"Midday (10-15)",B22&lt;=19,"Evening peak (16-19)",TRUE,"Late evening (20-23)")</f>
        <v>Late evening (20-23)</v>
      </c>
    </row>
    <row r="23" spans="1:9">
      <c r="A23" s="32">
        <v>41730</v>
      </c>
      <c r="B23">
        <v>21</v>
      </c>
      <c r="C23">
        <v>878</v>
      </c>
      <c r="D23" t="s">
        <v>303</v>
      </c>
      <c r="E23">
        <f>YEAR(A23)</f>
        <v>2014</v>
      </c>
      <c r="F23" s="33">
        <f>DATE(YEAR(A23),MONTH(A23),1)</f>
        <v>41730.0</v>
      </c>
      <c r="G23" t="str">
        <f>CHOOSE(WEEKDAY(A23,2),"Mon","Tue","Wed","Thu","Fri","Sat","Sun")</f>
        <v>Tue</v>
      </c>
      <c r="H23" t="str">
        <f>IF(WEEKDAY(A23,2)&gt;5,"Weekend","Weekday")</f>
        <v>Weekday</v>
      </c>
      <c r="I23" t="str">
        <f>_xlfn.IFS(B23&lt;=5,"Night (0-5)",B23&lt;=9,"Morning peak (6-9)",B23&lt;=15,"Midday (10-15)",B23&lt;=19,"Evening peak (16-19)",TRUE,"Late evening (20-23)")</f>
        <v>Late evening (20-23)</v>
      </c>
    </row>
    <row r="24" spans="1:9">
      <c r="A24" s="32">
        <v>41730</v>
      </c>
      <c r="B24">
        <v>22</v>
      </c>
      <c r="C24">
        <v>529</v>
      </c>
      <c r="D24" t="s">
        <v>303</v>
      </c>
      <c r="E24">
        <f>YEAR(A24)</f>
        <v>2014</v>
      </c>
      <c r="F24" s="33">
        <f>DATE(YEAR(A24),MONTH(A24),1)</f>
        <v>41730.0</v>
      </c>
      <c r="G24" t="str">
        <f>CHOOSE(WEEKDAY(A24,2),"Mon","Tue","Wed","Thu","Fri","Sat","Sun")</f>
        <v>Tue</v>
      </c>
      <c r="H24" t="str">
        <f>IF(WEEKDAY(A24,2)&gt;5,"Weekend","Weekday")</f>
        <v>Weekday</v>
      </c>
      <c r="I24" t="str">
        <f>_xlfn.IFS(B24&lt;=5,"Night (0-5)",B24&lt;=9,"Morning peak (6-9)",B24&lt;=15,"Midday (10-15)",B24&lt;=19,"Evening peak (16-19)",TRUE,"Late evening (20-23)")</f>
        <v>Late evening (20-23)</v>
      </c>
    </row>
    <row r="25" spans="1:9">
      <c r="A25" s="32">
        <v>41730</v>
      </c>
      <c r="B25">
        <v>23</v>
      </c>
      <c r="C25">
        <v>317</v>
      </c>
      <c r="D25" t="s">
        <v>303</v>
      </c>
      <c r="E25">
        <f>YEAR(A25)</f>
        <v>2014</v>
      </c>
      <c r="F25" s="33">
        <f>DATE(YEAR(A25),MONTH(A25),1)</f>
        <v>41730.0</v>
      </c>
      <c r="G25" t="str">
        <f>CHOOSE(WEEKDAY(A25,2),"Mon","Tue","Wed","Thu","Fri","Sat","Sun")</f>
        <v>Tue</v>
      </c>
      <c r="H25" t="str">
        <f>IF(WEEKDAY(A25,2)&gt;5,"Weekend","Weekday")</f>
        <v>Weekday</v>
      </c>
      <c r="I25" t="str">
        <f>_xlfn.IFS(B25&lt;=5,"Night (0-5)",B25&lt;=9,"Morning peak (6-9)",B25&lt;=15,"Midday (10-15)",B25&lt;=19,"Evening peak (16-19)",TRUE,"Late evening (20-23)")</f>
        <v>Late evening (20-23)</v>
      </c>
    </row>
    <row r="26" spans="1:9">
      <c r="A26" s="32">
        <v>41731</v>
      </c>
      <c r="B26">
        <v>0</v>
      </c>
      <c r="C26">
        <v>161</v>
      </c>
      <c r="D26" t="s">
        <v>303</v>
      </c>
      <c r="E26">
        <f>YEAR(A26)</f>
        <v>2014</v>
      </c>
      <c r="F26" s="33">
        <f>DATE(YEAR(A26),MONTH(A26),1)</f>
        <v>41730.0</v>
      </c>
      <c r="G26" t="str">
        <f>CHOOSE(WEEKDAY(A26,2),"Mon","Tue","Wed","Thu","Fri","Sat","Sun")</f>
        <v>Wed</v>
      </c>
      <c r="H26" t="str">
        <f>IF(WEEKDAY(A26,2)&gt;5,"Weekend","Weekday")</f>
        <v>Weekday</v>
      </c>
      <c r="I26" t="str">
        <f>_xlfn.IFS(B26&lt;=5,"Night (0-5)",B26&lt;=9,"Morning peak (6-9)",B26&lt;=15,"Midday (10-15)",B26&lt;=19,"Evening peak (16-19)",TRUE,"Late evening (20-23)")</f>
        <v>Night (0-5)</v>
      </c>
    </row>
    <row r="27" spans="1:9">
      <c r="A27" s="32">
        <v>41731</v>
      </c>
      <c r="B27">
        <v>1</v>
      </c>
      <c r="C27">
        <v>82</v>
      </c>
      <c r="D27" t="s">
        <v>303</v>
      </c>
      <c r="E27">
        <f>YEAR(A27)</f>
        <v>2014</v>
      </c>
      <c r="F27" s="33">
        <f>DATE(YEAR(A27),MONTH(A27),1)</f>
        <v>41730.0</v>
      </c>
      <c r="G27" t="str">
        <f>CHOOSE(WEEKDAY(A27,2),"Mon","Tue","Wed","Thu","Fri","Sat","Sun")</f>
        <v>Wed</v>
      </c>
      <c r="H27" t="str">
        <f>IF(WEEKDAY(A27,2)&gt;5,"Weekend","Weekday")</f>
        <v>Weekday</v>
      </c>
      <c r="I27" t="str">
        <f>_xlfn.IFS(B27&lt;=5,"Night (0-5)",B27&lt;=9,"Morning peak (6-9)",B27&lt;=15,"Midday (10-15)",B27&lt;=19,"Evening peak (16-19)",TRUE,"Late evening (20-23)")</f>
        <v>Night (0-5)</v>
      </c>
    </row>
    <row r="28" spans="1:9">
      <c r="A28" s="32">
        <v>41731</v>
      </c>
      <c r="B28">
        <v>2</v>
      </c>
      <c r="C28">
        <v>59</v>
      </c>
      <c r="D28" t="s">
        <v>303</v>
      </c>
      <c r="E28">
        <f>YEAR(A28)</f>
        <v>2014</v>
      </c>
      <c r="F28" s="33">
        <f>DATE(YEAR(A28),MONTH(A28),1)</f>
        <v>41730.0</v>
      </c>
      <c r="G28" t="str">
        <f>CHOOSE(WEEKDAY(A28,2),"Mon","Tue","Wed","Thu","Fri","Sat","Sun")</f>
        <v>Wed</v>
      </c>
      <c r="H28" t="str">
        <f>IF(WEEKDAY(A28,2)&gt;5,"Weekend","Weekday")</f>
        <v>Weekday</v>
      </c>
      <c r="I28" t="str">
        <f>_xlfn.IFS(B28&lt;=5,"Night (0-5)",B28&lt;=9,"Morning peak (6-9)",B28&lt;=15,"Midday (10-15)",B28&lt;=19,"Evening peak (16-19)",TRUE,"Late evening (20-23)")</f>
        <v>Night (0-5)</v>
      </c>
    </row>
    <row r="29" spans="1:9">
      <c r="A29" s="32">
        <v>41731</v>
      </c>
      <c r="B29">
        <v>3</v>
      </c>
      <c r="C29">
        <v>80</v>
      </c>
      <c r="D29" t="s">
        <v>303</v>
      </c>
      <c r="E29">
        <f>YEAR(A29)</f>
        <v>2014</v>
      </c>
      <c r="F29" s="33">
        <f>DATE(YEAR(A29),MONTH(A29),1)</f>
        <v>41730.0</v>
      </c>
      <c r="G29" t="str">
        <f>CHOOSE(WEEKDAY(A29,2),"Mon","Tue","Wed","Thu","Fri","Sat","Sun")</f>
        <v>Wed</v>
      </c>
      <c r="H29" t="str">
        <f>IF(WEEKDAY(A29,2)&gt;5,"Weekend","Weekday")</f>
        <v>Weekday</v>
      </c>
      <c r="I29" t="str">
        <f>_xlfn.IFS(B29&lt;=5,"Night (0-5)",B29&lt;=9,"Morning peak (6-9)",B29&lt;=15,"Midday (10-15)",B29&lt;=19,"Evening peak (16-19)",TRUE,"Late evening (20-23)")</f>
        <v>Night (0-5)</v>
      </c>
    </row>
    <row r="30" spans="1:9">
      <c r="A30" s="32">
        <v>41731</v>
      </c>
      <c r="B30">
        <v>4</v>
      </c>
      <c r="C30">
        <v>196</v>
      </c>
      <c r="D30" t="s">
        <v>303</v>
      </c>
      <c r="E30">
        <f>YEAR(A30)</f>
        <v>2014</v>
      </c>
      <c r="F30" s="33">
        <f>DATE(YEAR(A30),MONTH(A30),1)</f>
        <v>41730.0</v>
      </c>
      <c r="G30" t="str">
        <f>CHOOSE(WEEKDAY(A30,2),"Mon","Tue","Wed","Thu","Fri","Sat","Sun")</f>
        <v>Wed</v>
      </c>
      <c r="H30" t="str">
        <f>IF(WEEKDAY(A30,2)&gt;5,"Weekend","Weekday")</f>
        <v>Weekday</v>
      </c>
      <c r="I30" t="str">
        <f>_xlfn.IFS(B30&lt;=5,"Night (0-5)",B30&lt;=9,"Morning peak (6-9)",B30&lt;=15,"Midday (10-15)",B30&lt;=19,"Evening peak (16-19)",TRUE,"Late evening (20-23)")</f>
        <v>Night (0-5)</v>
      </c>
    </row>
    <row r="31" spans="1:9">
      <c r="A31" s="32">
        <v>41731</v>
      </c>
      <c r="B31">
        <v>5</v>
      </c>
      <c r="C31">
        <v>344</v>
      </c>
      <c r="D31" t="s">
        <v>303</v>
      </c>
      <c r="E31">
        <f>YEAR(A31)</f>
        <v>2014</v>
      </c>
      <c r="F31" s="33">
        <f>DATE(YEAR(A31),MONTH(A31),1)</f>
        <v>41730.0</v>
      </c>
      <c r="G31" t="str">
        <f>CHOOSE(WEEKDAY(A31,2),"Mon","Tue","Wed","Thu","Fri","Sat","Sun")</f>
        <v>Wed</v>
      </c>
      <c r="H31" t="str">
        <f>IF(WEEKDAY(A31,2)&gt;5,"Weekend","Weekday")</f>
        <v>Weekday</v>
      </c>
      <c r="I31" t="str">
        <f>_xlfn.IFS(B31&lt;=5,"Night (0-5)",B31&lt;=9,"Morning peak (6-9)",B31&lt;=15,"Midday (10-15)",B31&lt;=19,"Evening peak (16-19)",TRUE,"Late evening (20-23)")</f>
        <v>Night (0-5)</v>
      </c>
    </row>
    <row r="32" spans="1:9">
      <c r="A32" s="32">
        <v>41731</v>
      </c>
      <c r="B32">
        <v>6</v>
      </c>
      <c r="C32">
        <v>785</v>
      </c>
      <c r="D32" t="s">
        <v>303</v>
      </c>
      <c r="E32">
        <f>YEAR(A32)</f>
        <v>2014</v>
      </c>
      <c r="F32" s="33">
        <f>DATE(YEAR(A32),MONTH(A32),1)</f>
        <v>41730.0</v>
      </c>
      <c r="G32" t="str">
        <f>CHOOSE(WEEKDAY(A32,2),"Mon","Tue","Wed","Thu","Fri","Sat","Sun")</f>
        <v>Wed</v>
      </c>
      <c r="H32" t="str">
        <f>IF(WEEKDAY(A32,2)&gt;5,"Weekend","Weekday")</f>
        <v>Weekday</v>
      </c>
      <c r="I32" t="str">
        <f>_xlfn.IFS(B32&lt;=5,"Night (0-5)",B32&lt;=9,"Morning peak (6-9)",B32&lt;=15,"Midday (10-15)",B32&lt;=19,"Evening peak (16-19)",TRUE,"Late evening (20-23)")</f>
        <v>Morning peak (6-9)</v>
      </c>
    </row>
    <row r="33" spans="1:9">
      <c r="A33" s="32">
        <v>41731</v>
      </c>
      <c r="B33">
        <v>7</v>
      </c>
      <c r="C33">
        <v>1099</v>
      </c>
      <c r="D33" t="s">
        <v>303</v>
      </c>
      <c r="E33">
        <f>YEAR(A33)</f>
        <v>2014</v>
      </c>
      <c r="F33" s="33">
        <f>DATE(YEAR(A33),MONTH(A33),1)</f>
        <v>41730.0</v>
      </c>
      <c r="G33" t="str">
        <f>CHOOSE(WEEKDAY(A33,2),"Mon","Tue","Wed","Thu","Fri","Sat","Sun")</f>
        <v>Wed</v>
      </c>
      <c r="H33" t="str">
        <f>IF(WEEKDAY(A33,2)&gt;5,"Weekend","Weekday")</f>
        <v>Weekday</v>
      </c>
      <c r="I33" t="str">
        <f>_xlfn.IFS(B33&lt;=5,"Night (0-5)",B33&lt;=9,"Morning peak (6-9)",B33&lt;=15,"Midday (10-15)",B33&lt;=19,"Evening peak (16-19)",TRUE,"Late evening (20-23)")</f>
        <v>Morning peak (6-9)</v>
      </c>
    </row>
    <row r="34" spans="1:9">
      <c r="A34" s="32">
        <v>41731</v>
      </c>
      <c r="B34">
        <v>8</v>
      </c>
      <c r="C34">
        <v>927</v>
      </c>
      <c r="D34" t="s">
        <v>303</v>
      </c>
      <c r="E34">
        <f>YEAR(A34)</f>
        <v>2014</v>
      </c>
      <c r="F34" s="33">
        <f>DATE(YEAR(A34),MONTH(A34),1)</f>
        <v>41730.0</v>
      </c>
      <c r="G34" t="str">
        <f>CHOOSE(WEEKDAY(A34,2),"Mon","Tue","Wed","Thu","Fri","Sat","Sun")</f>
        <v>Wed</v>
      </c>
      <c r="H34" t="str">
        <f>IF(WEEKDAY(A34,2)&gt;5,"Weekend","Weekday")</f>
        <v>Weekday</v>
      </c>
      <c r="I34" t="str">
        <f>_xlfn.IFS(B34&lt;=5,"Night (0-5)",B34&lt;=9,"Morning peak (6-9)",B34&lt;=15,"Midday (10-15)",B34&lt;=19,"Evening peak (16-19)",TRUE,"Late evening (20-23)")</f>
        <v>Morning peak (6-9)</v>
      </c>
    </row>
    <row r="35" spans="1:9">
      <c r="A35" s="32">
        <v>41731</v>
      </c>
      <c r="B35">
        <v>9</v>
      </c>
      <c r="C35">
        <v>656</v>
      </c>
      <c r="D35" t="s">
        <v>303</v>
      </c>
      <c r="E35">
        <f>YEAR(A35)</f>
        <v>2014</v>
      </c>
      <c r="F35" s="33">
        <f>DATE(YEAR(A35),MONTH(A35),1)</f>
        <v>41730.0</v>
      </c>
      <c r="G35" t="str">
        <f>CHOOSE(WEEKDAY(A35,2),"Mon","Tue","Wed","Thu","Fri","Sat","Sun")</f>
        <v>Wed</v>
      </c>
      <c r="H35" t="str">
        <f>IF(WEEKDAY(A35,2)&gt;5,"Weekend","Weekday")</f>
        <v>Weekday</v>
      </c>
      <c r="I35" t="str">
        <f>_xlfn.IFS(B35&lt;=5,"Night (0-5)",B35&lt;=9,"Morning peak (6-9)",B35&lt;=15,"Midday (10-15)",B35&lt;=19,"Evening peak (16-19)",TRUE,"Late evening (20-23)")</f>
        <v>Morning peak (6-9)</v>
      </c>
    </row>
    <row r="36" spans="1:9">
      <c r="A36" s="32">
        <v>41731</v>
      </c>
      <c r="B36">
        <v>10</v>
      </c>
      <c r="C36">
        <v>658</v>
      </c>
      <c r="D36" t="s">
        <v>303</v>
      </c>
      <c r="E36">
        <f>YEAR(A36)</f>
        <v>2014</v>
      </c>
      <c r="F36" s="33">
        <f>DATE(YEAR(A36),MONTH(A36),1)</f>
        <v>41730.0</v>
      </c>
      <c r="G36" t="str">
        <f>CHOOSE(WEEKDAY(A36,2),"Mon","Tue","Wed","Thu","Fri","Sat","Sun")</f>
        <v>Wed</v>
      </c>
      <c r="H36" t="str">
        <f>IF(WEEKDAY(A36,2)&gt;5,"Weekend","Weekday")</f>
        <v>Weekday</v>
      </c>
      <c r="I36" t="str">
        <f>_xlfn.IFS(B36&lt;=5,"Night (0-5)",B36&lt;=9,"Morning peak (6-9)",B36&lt;=15,"Midday (10-15)",B36&lt;=19,"Evening peak (16-19)",TRUE,"Late evening (20-23)")</f>
        <v>Midday (10-15)</v>
      </c>
    </row>
    <row r="37" spans="1:9">
      <c r="A37" s="32">
        <v>41731</v>
      </c>
      <c r="B37">
        <v>11</v>
      </c>
      <c r="C37">
        <v>706</v>
      </c>
      <c r="D37" t="s">
        <v>303</v>
      </c>
      <c r="E37">
        <f>YEAR(A37)</f>
        <v>2014</v>
      </c>
      <c r="F37" s="33">
        <f>DATE(YEAR(A37),MONTH(A37),1)</f>
        <v>41730.0</v>
      </c>
      <c r="G37" t="str">
        <f>CHOOSE(WEEKDAY(A37,2),"Mon","Tue","Wed","Thu","Fri","Sat","Sun")</f>
        <v>Wed</v>
      </c>
      <c r="H37" t="str">
        <f>IF(WEEKDAY(A37,2)&gt;5,"Weekend","Weekday")</f>
        <v>Weekday</v>
      </c>
      <c r="I37" t="str">
        <f>_xlfn.IFS(B37&lt;=5,"Night (0-5)",B37&lt;=9,"Morning peak (6-9)",B37&lt;=15,"Midday (10-15)",B37&lt;=19,"Evening peak (16-19)",TRUE,"Late evening (20-23)")</f>
        <v>Midday (10-15)</v>
      </c>
    </row>
    <row r="38" spans="1:9">
      <c r="A38" s="32">
        <v>41731</v>
      </c>
      <c r="B38">
        <v>12</v>
      </c>
      <c r="C38">
        <v>632</v>
      </c>
      <c r="D38" t="s">
        <v>303</v>
      </c>
      <c r="E38">
        <f>YEAR(A38)</f>
        <v>2014</v>
      </c>
      <c r="F38" s="33">
        <f>DATE(YEAR(A38),MONTH(A38),1)</f>
        <v>41730.0</v>
      </c>
      <c r="G38" t="str">
        <f>CHOOSE(WEEKDAY(A38,2),"Mon","Tue","Wed","Thu","Fri","Sat","Sun")</f>
        <v>Wed</v>
      </c>
      <c r="H38" t="str">
        <f>IF(WEEKDAY(A38,2)&gt;5,"Weekend","Weekday")</f>
        <v>Weekday</v>
      </c>
      <c r="I38" t="str">
        <f>_xlfn.IFS(B38&lt;=5,"Night (0-5)",B38&lt;=9,"Morning peak (6-9)",B38&lt;=15,"Midday (10-15)",B38&lt;=19,"Evening peak (16-19)",TRUE,"Late evening (20-23)")</f>
        <v>Midday (10-15)</v>
      </c>
    </row>
    <row r="39" spans="1:9">
      <c r="A39" s="32">
        <v>41731</v>
      </c>
      <c r="B39">
        <v>13</v>
      </c>
      <c r="C39">
        <v>709</v>
      </c>
      <c r="D39" t="s">
        <v>303</v>
      </c>
      <c r="E39">
        <f>YEAR(A39)</f>
        <v>2014</v>
      </c>
      <c r="F39" s="33">
        <f>DATE(YEAR(A39),MONTH(A39),1)</f>
        <v>41730.0</v>
      </c>
      <c r="G39" t="str">
        <f>CHOOSE(WEEKDAY(A39,2),"Mon","Tue","Wed","Thu","Fri","Sat","Sun")</f>
        <v>Wed</v>
      </c>
      <c r="H39" t="str">
        <f>IF(WEEKDAY(A39,2)&gt;5,"Weekend","Weekday")</f>
        <v>Weekday</v>
      </c>
      <c r="I39" t="str">
        <f>_xlfn.IFS(B39&lt;=5,"Night (0-5)",B39&lt;=9,"Morning peak (6-9)",B39&lt;=15,"Midday (10-15)",B39&lt;=19,"Evening peak (16-19)",TRUE,"Late evening (20-23)")</f>
        <v>Midday (10-15)</v>
      </c>
    </row>
    <row r="40" spans="1:9">
      <c r="A40" s="32">
        <v>41731</v>
      </c>
      <c r="B40">
        <v>14</v>
      </c>
      <c r="C40">
        <v>868</v>
      </c>
      <c r="D40" t="s">
        <v>303</v>
      </c>
      <c r="E40">
        <f>YEAR(A40)</f>
        <v>2014</v>
      </c>
      <c r="F40" s="33">
        <f>DATE(YEAR(A40),MONTH(A40),1)</f>
        <v>41730.0</v>
      </c>
      <c r="G40" t="str">
        <f>CHOOSE(WEEKDAY(A40,2),"Mon","Tue","Wed","Thu","Fri","Sat","Sun")</f>
        <v>Wed</v>
      </c>
      <c r="H40" t="str">
        <f>IF(WEEKDAY(A40,2)&gt;5,"Weekend","Weekday")</f>
        <v>Weekday</v>
      </c>
      <c r="I40" t="str">
        <f>_xlfn.IFS(B40&lt;=5,"Night (0-5)",B40&lt;=9,"Morning peak (6-9)",B40&lt;=15,"Midday (10-15)",B40&lt;=19,"Evening peak (16-19)",TRUE,"Late evening (20-23)")</f>
        <v>Midday (10-15)</v>
      </c>
    </row>
    <row r="41" spans="1:9">
      <c r="A41" s="32">
        <v>41731</v>
      </c>
      <c r="B41">
        <v>15</v>
      </c>
      <c r="C41">
        <v>1138</v>
      </c>
      <c r="D41" t="s">
        <v>303</v>
      </c>
      <c r="E41">
        <f>YEAR(A41)</f>
        <v>2014</v>
      </c>
      <c r="F41" s="33">
        <f>DATE(YEAR(A41),MONTH(A41),1)</f>
        <v>41730.0</v>
      </c>
      <c r="G41" t="str">
        <f>CHOOSE(WEEKDAY(A41,2),"Mon","Tue","Wed","Thu","Fri","Sat","Sun")</f>
        <v>Wed</v>
      </c>
      <c r="H41" t="str">
        <f>IF(WEEKDAY(A41,2)&gt;5,"Weekend","Weekday")</f>
        <v>Weekday</v>
      </c>
      <c r="I41" t="str">
        <f>_xlfn.IFS(B41&lt;=5,"Night (0-5)",B41&lt;=9,"Morning peak (6-9)",B41&lt;=15,"Midday (10-15)",B41&lt;=19,"Evening peak (16-19)",TRUE,"Late evening (20-23)")</f>
        <v>Midday (10-15)</v>
      </c>
    </row>
    <row r="42" spans="1:9">
      <c r="A42" s="32">
        <v>41731</v>
      </c>
      <c r="B42">
        <v>16</v>
      </c>
      <c r="C42">
        <v>1313</v>
      </c>
      <c r="D42" t="s">
        <v>303</v>
      </c>
      <c r="E42">
        <f>YEAR(A42)</f>
        <v>2014</v>
      </c>
      <c r="F42" s="33">
        <f>DATE(YEAR(A42),MONTH(A42),1)</f>
        <v>41730.0</v>
      </c>
      <c r="G42" t="str">
        <f>CHOOSE(WEEKDAY(A42,2),"Mon","Tue","Wed","Thu","Fri","Sat","Sun")</f>
        <v>Wed</v>
      </c>
      <c r="H42" t="str">
        <f>IF(WEEKDAY(A42,2)&gt;5,"Weekend","Weekday")</f>
        <v>Weekday</v>
      </c>
      <c r="I42" t="str">
        <f>_xlfn.IFS(B42&lt;=5,"Night (0-5)",B42&lt;=9,"Morning peak (6-9)",B42&lt;=15,"Midday (10-15)",B42&lt;=19,"Evening peak (16-19)",TRUE,"Late evening (20-23)")</f>
        <v>Evening peak (16-19)</v>
      </c>
    </row>
    <row r="43" spans="1:9">
      <c r="A43" s="32">
        <v>41731</v>
      </c>
      <c r="B43">
        <v>17</v>
      </c>
      <c r="C43">
        <v>1600</v>
      </c>
      <c r="D43" t="s">
        <v>303</v>
      </c>
      <c r="E43">
        <f>YEAR(A43)</f>
        <v>2014</v>
      </c>
      <c r="F43" s="33">
        <f>DATE(YEAR(A43),MONTH(A43),1)</f>
        <v>41730.0</v>
      </c>
      <c r="G43" t="str">
        <f>CHOOSE(WEEKDAY(A43,2),"Mon","Tue","Wed","Thu","Fri","Sat","Sun")</f>
        <v>Wed</v>
      </c>
      <c r="H43" t="str">
        <f>IF(WEEKDAY(A43,2)&gt;5,"Weekend","Weekday")</f>
        <v>Weekday</v>
      </c>
      <c r="I43" t="str">
        <f>_xlfn.IFS(B43&lt;=5,"Night (0-5)",B43&lt;=9,"Morning peak (6-9)",B43&lt;=15,"Midday (10-15)",B43&lt;=19,"Evening peak (16-19)",TRUE,"Late evening (20-23)")</f>
        <v>Evening peak (16-19)</v>
      </c>
    </row>
    <row r="44" spans="1:9">
      <c r="A44" s="32">
        <v>41731</v>
      </c>
      <c r="B44">
        <v>18</v>
      </c>
      <c r="C44">
        <v>1252</v>
      </c>
      <c r="D44" t="s">
        <v>303</v>
      </c>
      <c r="E44">
        <f>YEAR(A44)</f>
        <v>2014</v>
      </c>
      <c r="F44" s="33">
        <f>DATE(YEAR(A44),MONTH(A44),1)</f>
        <v>41730.0</v>
      </c>
      <c r="G44" t="str">
        <f>CHOOSE(WEEKDAY(A44,2),"Mon","Tue","Wed","Thu","Fri","Sat","Sun")</f>
        <v>Wed</v>
      </c>
      <c r="H44" t="str">
        <f>IF(WEEKDAY(A44,2)&gt;5,"Weekend","Weekday")</f>
        <v>Weekday</v>
      </c>
      <c r="I44" t="str">
        <f>_xlfn.IFS(B44&lt;=5,"Night (0-5)",B44&lt;=9,"Morning peak (6-9)",B44&lt;=15,"Midday (10-15)",B44&lt;=19,"Evening peak (16-19)",TRUE,"Late evening (20-23)")</f>
        <v>Evening peak (16-19)</v>
      </c>
    </row>
    <row r="45" spans="1:9">
      <c r="A45" s="32">
        <v>41731</v>
      </c>
      <c r="B45">
        <v>19</v>
      </c>
      <c r="C45">
        <v>1086</v>
      </c>
      <c r="D45" t="s">
        <v>303</v>
      </c>
      <c r="E45">
        <f>YEAR(A45)</f>
        <v>2014</v>
      </c>
      <c r="F45" s="33">
        <f>DATE(YEAR(A45),MONTH(A45),1)</f>
        <v>41730.0</v>
      </c>
      <c r="G45" t="str">
        <f>CHOOSE(WEEKDAY(A45,2),"Mon","Tue","Wed","Thu","Fri","Sat","Sun")</f>
        <v>Wed</v>
      </c>
      <c r="H45" t="str">
        <f>IF(WEEKDAY(A45,2)&gt;5,"Weekend","Weekday")</f>
        <v>Weekday</v>
      </c>
      <c r="I45" t="str">
        <f>_xlfn.IFS(B45&lt;=5,"Night (0-5)",B45&lt;=9,"Morning peak (6-9)",B45&lt;=15,"Midday (10-15)",B45&lt;=19,"Evening peak (16-19)",TRUE,"Late evening (20-23)")</f>
        <v>Evening peak (16-19)</v>
      </c>
    </row>
    <row r="46" spans="1:9">
      <c r="A46" s="32">
        <v>41731</v>
      </c>
      <c r="B46">
        <v>20</v>
      </c>
      <c r="C46">
        <v>1143</v>
      </c>
      <c r="D46" t="s">
        <v>303</v>
      </c>
      <c r="E46">
        <f>YEAR(A46)</f>
        <v>2014</v>
      </c>
      <c r="F46" s="33">
        <f>DATE(YEAR(A46),MONTH(A46),1)</f>
        <v>41730.0</v>
      </c>
      <c r="G46" t="str">
        <f>CHOOSE(WEEKDAY(A46,2),"Mon","Tue","Wed","Thu","Fri","Sat","Sun")</f>
        <v>Wed</v>
      </c>
      <c r="H46" t="str">
        <f>IF(WEEKDAY(A46,2)&gt;5,"Weekend","Weekday")</f>
        <v>Weekday</v>
      </c>
      <c r="I46" t="str">
        <f>_xlfn.IFS(B46&lt;=5,"Night (0-5)",B46&lt;=9,"Morning peak (6-9)",B46&lt;=15,"Midday (10-15)",B46&lt;=19,"Evening peak (16-19)",TRUE,"Late evening (20-23)")</f>
        <v>Late evening (20-23)</v>
      </c>
    </row>
    <row r="47" spans="1:9">
      <c r="A47" s="32">
        <v>41731</v>
      </c>
      <c r="B47">
        <v>21</v>
      </c>
      <c r="C47">
        <v>994</v>
      </c>
      <c r="D47" t="s">
        <v>303</v>
      </c>
      <c r="E47">
        <f>YEAR(A47)</f>
        <v>2014</v>
      </c>
      <c r="F47" s="33">
        <f>DATE(YEAR(A47),MONTH(A47),1)</f>
        <v>41730.0</v>
      </c>
      <c r="G47" t="str">
        <f>CHOOSE(WEEKDAY(A47,2),"Mon","Tue","Wed","Thu","Fri","Sat","Sun")</f>
        <v>Wed</v>
      </c>
      <c r="H47" t="str">
        <f>IF(WEEKDAY(A47,2)&gt;5,"Weekend","Weekday")</f>
        <v>Weekday</v>
      </c>
      <c r="I47" t="str">
        <f>_xlfn.IFS(B47&lt;=5,"Night (0-5)",B47&lt;=9,"Morning peak (6-9)",B47&lt;=15,"Midday (10-15)",B47&lt;=19,"Evening peak (16-19)",TRUE,"Late evening (20-23)")</f>
        <v>Late evening (20-23)</v>
      </c>
    </row>
    <row r="48" spans="1:9">
      <c r="A48" s="32">
        <v>41731</v>
      </c>
      <c r="B48">
        <v>22</v>
      </c>
      <c r="C48">
        <v>638</v>
      </c>
      <c r="D48" t="s">
        <v>303</v>
      </c>
      <c r="E48">
        <f>YEAR(A48)</f>
        <v>2014</v>
      </c>
      <c r="F48" s="33">
        <f>DATE(YEAR(A48),MONTH(A48),1)</f>
        <v>41730.0</v>
      </c>
      <c r="G48" t="str">
        <f>CHOOSE(WEEKDAY(A48,2),"Mon","Tue","Wed","Thu","Fri","Sat","Sun")</f>
        <v>Wed</v>
      </c>
      <c r="H48" t="str">
        <f>IF(WEEKDAY(A48,2)&gt;5,"Weekend","Weekday")</f>
        <v>Weekday</v>
      </c>
      <c r="I48" t="str">
        <f>_xlfn.IFS(B48&lt;=5,"Night (0-5)",B48&lt;=9,"Morning peak (6-9)",B48&lt;=15,"Midday (10-15)",B48&lt;=19,"Evening peak (16-19)",TRUE,"Late evening (20-23)")</f>
        <v>Late evening (20-23)</v>
      </c>
    </row>
    <row r="49" spans="1:9">
      <c r="A49" s="32">
        <v>41731</v>
      </c>
      <c r="B49">
        <v>23</v>
      </c>
      <c r="C49">
        <v>348</v>
      </c>
      <c r="D49" t="s">
        <v>303</v>
      </c>
      <c r="E49">
        <f>YEAR(A49)</f>
        <v>2014</v>
      </c>
      <c r="F49" s="33">
        <f>DATE(YEAR(A49),MONTH(A49),1)</f>
        <v>41730.0</v>
      </c>
      <c r="G49" t="str">
        <f>CHOOSE(WEEKDAY(A49,2),"Mon","Tue","Wed","Thu","Fri","Sat","Sun")</f>
        <v>Wed</v>
      </c>
      <c r="H49" t="str">
        <f>IF(WEEKDAY(A49,2)&gt;5,"Weekend","Weekday")</f>
        <v>Weekday</v>
      </c>
      <c r="I49" t="str">
        <f>_xlfn.IFS(B49&lt;=5,"Night (0-5)",B49&lt;=9,"Morning peak (6-9)",B49&lt;=15,"Midday (10-15)",B49&lt;=19,"Evening peak (16-19)",TRUE,"Late evening (20-23)")</f>
        <v>Late evening (20-23)</v>
      </c>
    </row>
    <row r="50" spans="1:9">
      <c r="A50" s="32">
        <v>41732</v>
      </c>
      <c r="B50">
        <v>0</v>
      </c>
      <c r="C50">
        <v>194</v>
      </c>
      <c r="D50" t="s">
        <v>303</v>
      </c>
      <c r="E50">
        <f>YEAR(A50)</f>
        <v>2014</v>
      </c>
      <c r="F50" s="33">
        <f>DATE(YEAR(A50),MONTH(A50),1)</f>
        <v>41730.0</v>
      </c>
      <c r="G50" t="str">
        <f>CHOOSE(WEEKDAY(A50,2),"Mon","Tue","Wed","Thu","Fri","Sat","Sun")</f>
        <v>Thu</v>
      </c>
      <c r="H50" t="str">
        <f>IF(WEEKDAY(A50,2)&gt;5,"Weekend","Weekday")</f>
        <v>Weekday</v>
      </c>
      <c r="I50" t="str">
        <f>_xlfn.IFS(B50&lt;=5,"Night (0-5)",B50&lt;=9,"Morning peak (6-9)",B50&lt;=15,"Midday (10-15)",B50&lt;=19,"Evening peak (16-19)",TRUE,"Late evening (20-23)")</f>
        <v>Night (0-5)</v>
      </c>
    </row>
    <row r="51" spans="1:9">
      <c r="A51" s="32">
        <v>41732</v>
      </c>
      <c r="B51">
        <v>1</v>
      </c>
      <c r="C51">
        <v>106</v>
      </c>
      <c r="D51" t="s">
        <v>303</v>
      </c>
      <c r="E51">
        <f>YEAR(A51)</f>
        <v>2014</v>
      </c>
      <c r="F51" s="33">
        <f>DATE(YEAR(A51),MONTH(A51),1)</f>
        <v>41730.0</v>
      </c>
      <c r="G51" t="str">
        <f>CHOOSE(WEEKDAY(A51,2),"Mon","Tue","Wed","Thu","Fri","Sat","Sun")</f>
        <v>Thu</v>
      </c>
      <c r="H51" t="str">
        <f>IF(WEEKDAY(A51,2)&gt;5,"Weekend","Weekday")</f>
        <v>Weekday</v>
      </c>
      <c r="I51" t="str">
        <f>_xlfn.IFS(B51&lt;=5,"Night (0-5)",B51&lt;=9,"Morning peak (6-9)",B51&lt;=15,"Midday (10-15)",B51&lt;=19,"Evening peak (16-19)",TRUE,"Late evening (20-23)")</f>
        <v>Night (0-5)</v>
      </c>
    </row>
    <row r="52" spans="1:9">
      <c r="A52" s="32">
        <v>41732</v>
      </c>
      <c r="B52">
        <v>2</v>
      </c>
      <c r="C52">
        <v>66</v>
      </c>
      <c r="D52" t="s">
        <v>303</v>
      </c>
      <c r="E52">
        <f>YEAR(A52)</f>
        <v>2014</v>
      </c>
      <c r="F52" s="33">
        <f>DATE(YEAR(A52),MONTH(A52),1)</f>
        <v>41730.0</v>
      </c>
      <c r="G52" t="str">
        <f>CHOOSE(WEEKDAY(A52,2),"Mon","Tue","Wed","Thu","Fri","Sat","Sun")</f>
        <v>Thu</v>
      </c>
      <c r="H52" t="str">
        <f>IF(WEEKDAY(A52,2)&gt;5,"Weekend","Weekday")</f>
        <v>Weekday</v>
      </c>
      <c r="I52" t="str">
        <f>_xlfn.IFS(B52&lt;=5,"Night (0-5)",B52&lt;=9,"Morning peak (6-9)",B52&lt;=15,"Midday (10-15)",B52&lt;=19,"Evening peak (16-19)",TRUE,"Late evening (20-23)")</f>
        <v>Night (0-5)</v>
      </c>
    </row>
    <row r="53" spans="1:9">
      <c r="A53" s="32">
        <v>41732</v>
      </c>
      <c r="B53">
        <v>3</v>
      </c>
      <c r="C53">
        <v>130</v>
      </c>
      <c r="D53" t="s">
        <v>303</v>
      </c>
      <c r="E53">
        <f>YEAR(A53)</f>
        <v>2014</v>
      </c>
      <c r="F53" s="33">
        <f>DATE(YEAR(A53),MONTH(A53),1)</f>
        <v>41730.0</v>
      </c>
      <c r="G53" t="str">
        <f>CHOOSE(WEEKDAY(A53,2),"Mon","Tue","Wed","Thu","Fri","Sat","Sun")</f>
        <v>Thu</v>
      </c>
      <c r="H53" t="str">
        <f>IF(WEEKDAY(A53,2)&gt;5,"Weekend","Weekday")</f>
        <v>Weekday</v>
      </c>
      <c r="I53" t="str">
        <f>_xlfn.IFS(B53&lt;=5,"Night (0-5)",B53&lt;=9,"Morning peak (6-9)",B53&lt;=15,"Midday (10-15)",B53&lt;=19,"Evening peak (16-19)",TRUE,"Late evening (20-23)")</f>
        <v>Night (0-5)</v>
      </c>
    </row>
    <row r="54" spans="1:9">
      <c r="A54" s="32">
        <v>41732</v>
      </c>
      <c r="B54">
        <v>4</v>
      </c>
      <c r="C54">
        <v>193</v>
      </c>
      <c r="D54" t="s">
        <v>303</v>
      </c>
      <c r="E54">
        <f>YEAR(A54)</f>
        <v>2014</v>
      </c>
      <c r="F54" s="33">
        <f>DATE(YEAR(A54),MONTH(A54),1)</f>
        <v>41730.0</v>
      </c>
      <c r="G54" t="str">
        <f>CHOOSE(WEEKDAY(A54,2),"Mon","Tue","Wed","Thu","Fri","Sat","Sun")</f>
        <v>Thu</v>
      </c>
      <c r="H54" t="str">
        <f>IF(WEEKDAY(A54,2)&gt;5,"Weekend","Weekday")</f>
        <v>Weekday</v>
      </c>
      <c r="I54" t="str">
        <f>_xlfn.IFS(B54&lt;=5,"Night (0-5)",B54&lt;=9,"Morning peak (6-9)",B54&lt;=15,"Midday (10-15)",B54&lt;=19,"Evening peak (16-19)",TRUE,"Late evening (20-23)")</f>
        <v>Night (0-5)</v>
      </c>
    </row>
    <row r="55" spans="1:9">
      <c r="A55" s="32">
        <v>41732</v>
      </c>
      <c r="B55">
        <v>5</v>
      </c>
      <c r="C55">
        <v>354</v>
      </c>
      <c r="D55" t="s">
        <v>303</v>
      </c>
      <c r="E55">
        <f>YEAR(A55)</f>
        <v>2014</v>
      </c>
      <c r="F55" s="33">
        <f>DATE(YEAR(A55),MONTH(A55),1)</f>
        <v>41730.0</v>
      </c>
      <c r="G55" t="str">
        <f>CHOOSE(WEEKDAY(A55,2),"Mon","Tue","Wed","Thu","Fri","Sat","Sun")</f>
        <v>Thu</v>
      </c>
      <c r="H55" t="str">
        <f>IF(WEEKDAY(A55,2)&gt;5,"Weekend","Weekday")</f>
        <v>Weekday</v>
      </c>
      <c r="I55" t="str">
        <f>_xlfn.IFS(B55&lt;=5,"Night (0-5)",B55&lt;=9,"Morning peak (6-9)",B55&lt;=15,"Midday (10-15)",B55&lt;=19,"Evening peak (16-19)",TRUE,"Late evening (20-23)")</f>
        <v>Night (0-5)</v>
      </c>
    </row>
    <row r="56" spans="1:9">
      <c r="A56" s="32">
        <v>41732</v>
      </c>
      <c r="B56">
        <v>6</v>
      </c>
      <c r="C56">
        <v>750</v>
      </c>
      <c r="D56" t="s">
        <v>303</v>
      </c>
      <c r="E56">
        <f>YEAR(A56)</f>
        <v>2014</v>
      </c>
      <c r="F56" s="33">
        <f>DATE(YEAR(A56),MONTH(A56),1)</f>
        <v>41730.0</v>
      </c>
      <c r="G56" t="str">
        <f>CHOOSE(WEEKDAY(A56,2),"Mon","Tue","Wed","Thu","Fri","Sat","Sun")</f>
        <v>Thu</v>
      </c>
      <c r="H56" t="str">
        <f>IF(WEEKDAY(A56,2)&gt;5,"Weekend","Weekday")</f>
        <v>Weekday</v>
      </c>
      <c r="I56" t="str">
        <f>_xlfn.IFS(B56&lt;=5,"Night (0-5)",B56&lt;=9,"Morning peak (6-9)",B56&lt;=15,"Midday (10-15)",B56&lt;=19,"Evening peak (16-19)",TRUE,"Late evening (20-23)")</f>
        <v>Morning peak (6-9)</v>
      </c>
    </row>
    <row r="57" spans="1:9">
      <c r="A57" s="32">
        <v>41732</v>
      </c>
      <c r="B57">
        <v>7</v>
      </c>
      <c r="C57">
        <v>1022</v>
      </c>
      <c r="D57" t="s">
        <v>303</v>
      </c>
      <c r="E57">
        <f>YEAR(A57)</f>
        <v>2014</v>
      </c>
      <c r="F57" s="33">
        <f>DATE(YEAR(A57),MONTH(A57),1)</f>
        <v>41730.0</v>
      </c>
      <c r="G57" t="str">
        <f>CHOOSE(WEEKDAY(A57,2),"Mon","Tue","Wed","Thu","Fri","Sat","Sun")</f>
        <v>Thu</v>
      </c>
      <c r="H57" t="str">
        <f>IF(WEEKDAY(A57,2)&gt;5,"Weekend","Weekday")</f>
        <v>Weekday</v>
      </c>
      <c r="I57" t="str">
        <f>_xlfn.IFS(B57&lt;=5,"Night (0-5)",B57&lt;=9,"Morning peak (6-9)",B57&lt;=15,"Midday (10-15)",B57&lt;=19,"Evening peak (16-19)",TRUE,"Late evening (20-23)")</f>
        <v>Morning peak (6-9)</v>
      </c>
    </row>
    <row r="58" spans="1:9">
      <c r="A58" s="32">
        <v>41732</v>
      </c>
      <c r="B58">
        <v>8</v>
      </c>
      <c r="C58">
        <v>864</v>
      </c>
      <c r="D58" t="s">
        <v>303</v>
      </c>
      <c r="E58">
        <f>YEAR(A58)</f>
        <v>2014</v>
      </c>
      <c r="F58" s="33">
        <f>DATE(YEAR(A58),MONTH(A58),1)</f>
        <v>41730.0</v>
      </c>
      <c r="G58" t="str">
        <f>CHOOSE(WEEKDAY(A58,2),"Mon","Tue","Wed","Thu","Fri","Sat","Sun")</f>
        <v>Thu</v>
      </c>
      <c r="H58" t="str">
        <f>IF(WEEKDAY(A58,2)&gt;5,"Weekend","Weekday")</f>
        <v>Weekday</v>
      </c>
      <c r="I58" t="str">
        <f>_xlfn.IFS(B58&lt;=5,"Night (0-5)",B58&lt;=9,"Morning peak (6-9)",B58&lt;=15,"Midday (10-15)",B58&lt;=19,"Evening peak (16-19)",TRUE,"Late evening (20-23)")</f>
        <v>Morning peak (6-9)</v>
      </c>
    </row>
    <row r="59" spans="1:9">
      <c r="A59" s="32">
        <v>41732</v>
      </c>
      <c r="B59">
        <v>9</v>
      </c>
      <c r="C59">
        <v>591</v>
      </c>
      <c r="D59" t="s">
        <v>303</v>
      </c>
      <c r="E59">
        <f>YEAR(A59)</f>
        <v>2014</v>
      </c>
      <c r="F59" s="33">
        <f>DATE(YEAR(A59),MONTH(A59),1)</f>
        <v>41730.0</v>
      </c>
      <c r="G59" t="str">
        <f>CHOOSE(WEEKDAY(A59,2),"Mon","Tue","Wed","Thu","Fri","Sat","Sun")</f>
        <v>Thu</v>
      </c>
      <c r="H59" t="str">
        <f>IF(WEEKDAY(A59,2)&gt;5,"Weekend","Weekday")</f>
        <v>Weekday</v>
      </c>
      <c r="I59" t="str">
        <f>_xlfn.IFS(B59&lt;=5,"Night (0-5)",B59&lt;=9,"Morning peak (6-9)",B59&lt;=15,"Midday (10-15)",B59&lt;=19,"Evening peak (16-19)",TRUE,"Late evening (20-23)")</f>
        <v>Morning peak (6-9)</v>
      </c>
    </row>
    <row r="60" spans="1:9">
      <c r="A60" s="32">
        <v>41732</v>
      </c>
      <c r="B60">
        <v>10</v>
      </c>
      <c r="C60">
        <v>558</v>
      </c>
      <c r="D60" t="s">
        <v>303</v>
      </c>
      <c r="E60">
        <f>YEAR(A60)</f>
        <v>2014</v>
      </c>
      <c r="F60" s="33">
        <f>DATE(YEAR(A60),MONTH(A60),1)</f>
        <v>41730.0</v>
      </c>
      <c r="G60" t="str">
        <f>CHOOSE(WEEKDAY(A60,2),"Mon","Tue","Wed","Thu","Fri","Sat","Sun")</f>
        <v>Thu</v>
      </c>
      <c r="H60" t="str">
        <f>IF(WEEKDAY(A60,2)&gt;5,"Weekend","Weekday")</f>
        <v>Weekday</v>
      </c>
      <c r="I60" t="str">
        <f>_xlfn.IFS(B60&lt;=5,"Night (0-5)",B60&lt;=9,"Morning peak (6-9)",B60&lt;=15,"Midday (10-15)",B60&lt;=19,"Evening peak (16-19)",TRUE,"Late evening (20-23)")</f>
        <v>Midday (10-15)</v>
      </c>
    </row>
    <row r="61" spans="1:9">
      <c r="A61" s="32">
        <v>41732</v>
      </c>
      <c r="B61">
        <v>11</v>
      </c>
      <c r="C61">
        <v>549</v>
      </c>
      <c r="D61" t="s">
        <v>303</v>
      </c>
      <c r="E61">
        <f>YEAR(A61)</f>
        <v>2014</v>
      </c>
      <c r="F61" s="33">
        <f>DATE(YEAR(A61),MONTH(A61),1)</f>
        <v>41730.0</v>
      </c>
      <c r="G61" t="str">
        <f>CHOOSE(WEEKDAY(A61,2),"Mon","Tue","Wed","Thu","Fri","Sat","Sun")</f>
        <v>Thu</v>
      </c>
      <c r="H61" t="str">
        <f>IF(WEEKDAY(A61,2)&gt;5,"Weekend","Weekday")</f>
        <v>Weekday</v>
      </c>
      <c r="I61" t="str">
        <f>_xlfn.IFS(B61&lt;=5,"Night (0-5)",B61&lt;=9,"Morning peak (6-9)",B61&lt;=15,"Midday (10-15)",B61&lt;=19,"Evening peak (16-19)",TRUE,"Late evening (20-23)")</f>
        <v>Midday (10-15)</v>
      </c>
    </row>
    <row r="62" spans="1:9">
      <c r="A62" s="32">
        <v>41732</v>
      </c>
      <c r="B62">
        <v>12</v>
      </c>
      <c r="C62">
        <v>619</v>
      </c>
      <c r="D62" t="s">
        <v>303</v>
      </c>
      <c r="E62">
        <f>YEAR(A62)</f>
        <v>2014</v>
      </c>
      <c r="F62" s="33">
        <f>DATE(YEAR(A62),MONTH(A62),1)</f>
        <v>41730.0</v>
      </c>
      <c r="G62" t="str">
        <f>CHOOSE(WEEKDAY(A62,2),"Mon","Tue","Wed","Thu","Fri","Sat","Sun")</f>
        <v>Thu</v>
      </c>
      <c r="H62" t="str">
        <f>IF(WEEKDAY(A62,2)&gt;5,"Weekend","Weekday")</f>
        <v>Weekday</v>
      </c>
      <c r="I62" t="str">
        <f>_xlfn.IFS(B62&lt;=5,"Night (0-5)",B62&lt;=9,"Morning peak (6-9)",B62&lt;=15,"Midday (10-15)",B62&lt;=19,"Evening peak (16-19)",TRUE,"Late evening (20-23)")</f>
        <v>Midday (10-15)</v>
      </c>
    </row>
    <row r="63" spans="1:9">
      <c r="A63" s="32">
        <v>41732</v>
      </c>
      <c r="B63">
        <v>13</v>
      </c>
      <c r="C63">
        <v>766</v>
      </c>
      <c r="D63" t="s">
        <v>303</v>
      </c>
      <c r="E63">
        <f>YEAR(A63)</f>
        <v>2014</v>
      </c>
      <c r="F63" s="33">
        <f>DATE(YEAR(A63),MONTH(A63),1)</f>
        <v>41730.0</v>
      </c>
      <c r="G63" t="str">
        <f>CHOOSE(WEEKDAY(A63,2),"Mon","Tue","Wed","Thu","Fri","Sat","Sun")</f>
        <v>Thu</v>
      </c>
      <c r="H63" t="str">
        <f>IF(WEEKDAY(A63,2)&gt;5,"Weekend","Weekday")</f>
        <v>Weekday</v>
      </c>
      <c r="I63" t="str">
        <f>_xlfn.IFS(B63&lt;=5,"Night (0-5)",B63&lt;=9,"Morning peak (6-9)",B63&lt;=15,"Midday (10-15)",B63&lt;=19,"Evening peak (16-19)",TRUE,"Late evening (20-23)")</f>
        <v>Midday (10-15)</v>
      </c>
    </row>
    <row r="64" spans="1:9">
      <c r="A64" s="32">
        <v>41732</v>
      </c>
      <c r="B64">
        <v>14</v>
      </c>
      <c r="C64">
        <v>934</v>
      </c>
      <c r="D64" t="s">
        <v>303</v>
      </c>
      <c r="E64">
        <f>YEAR(A64)</f>
        <v>2014</v>
      </c>
      <c r="F64" s="33">
        <f>DATE(YEAR(A64),MONTH(A64),1)</f>
        <v>41730.0</v>
      </c>
      <c r="G64" t="str">
        <f>CHOOSE(WEEKDAY(A64,2),"Mon","Tue","Wed","Thu","Fri","Sat","Sun")</f>
        <v>Thu</v>
      </c>
      <c r="H64" t="str">
        <f>IF(WEEKDAY(A64,2)&gt;5,"Weekend","Weekday")</f>
        <v>Weekday</v>
      </c>
      <c r="I64" t="str">
        <f>_xlfn.IFS(B64&lt;=5,"Night (0-5)",B64&lt;=9,"Morning peak (6-9)",B64&lt;=15,"Midday (10-15)",B64&lt;=19,"Evening peak (16-19)",TRUE,"Late evening (20-23)")</f>
        <v>Midday (10-15)</v>
      </c>
    </row>
    <row r="65" spans="1:9">
      <c r="A65" s="32">
        <v>41732</v>
      </c>
      <c r="B65">
        <v>15</v>
      </c>
      <c r="C65">
        <v>1247</v>
      </c>
      <c r="D65" t="s">
        <v>303</v>
      </c>
      <c r="E65">
        <f>YEAR(A65)</f>
        <v>2014</v>
      </c>
      <c r="F65" s="33">
        <f>DATE(YEAR(A65),MONTH(A65),1)</f>
        <v>41730.0</v>
      </c>
      <c r="G65" t="str">
        <f>CHOOSE(WEEKDAY(A65,2),"Mon","Tue","Wed","Thu","Fri","Sat","Sun")</f>
        <v>Thu</v>
      </c>
      <c r="H65" t="str">
        <f>IF(WEEKDAY(A65,2)&gt;5,"Weekend","Weekday")</f>
        <v>Weekday</v>
      </c>
      <c r="I65" t="str">
        <f>_xlfn.IFS(B65&lt;=5,"Night (0-5)",B65&lt;=9,"Morning peak (6-9)",B65&lt;=15,"Midday (10-15)",B65&lt;=19,"Evening peak (16-19)",TRUE,"Late evening (20-23)")</f>
        <v>Midday (10-15)</v>
      </c>
    </row>
    <row r="66" spans="1:9">
      <c r="A66" s="32">
        <v>41732</v>
      </c>
      <c r="B66">
        <v>16</v>
      </c>
      <c r="C66">
        <v>1438</v>
      </c>
      <c r="D66" t="s">
        <v>303</v>
      </c>
      <c r="E66">
        <f>YEAR(A66)</f>
        <v>2014</v>
      </c>
      <c r="F66" s="33">
        <f>DATE(YEAR(A66),MONTH(A66),1)</f>
        <v>41730.0</v>
      </c>
      <c r="G66" t="str">
        <f>CHOOSE(WEEKDAY(A66,2),"Mon","Tue","Wed","Thu","Fri","Sat","Sun")</f>
        <v>Thu</v>
      </c>
      <c r="H66" t="str">
        <f>IF(WEEKDAY(A66,2)&gt;5,"Weekend","Weekday")</f>
        <v>Weekday</v>
      </c>
      <c r="I66" t="str">
        <f>_xlfn.IFS(B66&lt;=5,"Night (0-5)",B66&lt;=9,"Morning peak (6-9)",B66&lt;=15,"Midday (10-15)",B66&lt;=19,"Evening peak (16-19)",TRUE,"Late evening (20-23)")</f>
        <v>Evening peak (16-19)</v>
      </c>
    </row>
    <row r="67" spans="1:9">
      <c r="A67" s="32">
        <v>41732</v>
      </c>
      <c r="B67">
        <v>17</v>
      </c>
      <c r="C67">
        <v>1640</v>
      </c>
      <c r="D67" t="s">
        <v>303</v>
      </c>
      <c r="E67">
        <f>YEAR(A67)</f>
        <v>2014</v>
      </c>
      <c r="F67" s="33">
        <f>DATE(YEAR(A67),MONTH(A67),1)</f>
        <v>41730.0</v>
      </c>
      <c r="G67" t="str">
        <f>CHOOSE(WEEKDAY(A67,2),"Mon","Tue","Wed","Thu","Fri","Sat","Sun")</f>
        <v>Thu</v>
      </c>
      <c r="H67" t="str">
        <f>IF(WEEKDAY(A67,2)&gt;5,"Weekend","Weekday")</f>
        <v>Weekday</v>
      </c>
      <c r="I67" t="str">
        <f>_xlfn.IFS(B67&lt;=5,"Night (0-5)",B67&lt;=9,"Morning peak (6-9)",B67&lt;=15,"Midday (10-15)",B67&lt;=19,"Evening peak (16-19)",TRUE,"Late evening (20-23)")</f>
        <v>Evening peak (16-19)</v>
      </c>
    </row>
    <row r="68" spans="1:9">
      <c r="A68" s="32">
        <v>41732</v>
      </c>
      <c r="B68">
        <v>18</v>
      </c>
      <c r="C68">
        <v>1628</v>
      </c>
      <c r="D68" t="s">
        <v>303</v>
      </c>
      <c r="E68">
        <f>YEAR(A68)</f>
        <v>2014</v>
      </c>
      <c r="F68" s="33">
        <f>DATE(YEAR(A68),MONTH(A68),1)</f>
        <v>41730.0</v>
      </c>
      <c r="G68" t="str">
        <f>CHOOSE(WEEKDAY(A68,2),"Mon","Tue","Wed","Thu","Fri","Sat","Sun")</f>
        <v>Thu</v>
      </c>
      <c r="H68" t="str">
        <f>IF(WEEKDAY(A68,2)&gt;5,"Weekend","Weekday")</f>
        <v>Weekday</v>
      </c>
      <c r="I68" t="str">
        <f>_xlfn.IFS(B68&lt;=5,"Night (0-5)",B68&lt;=9,"Morning peak (6-9)",B68&lt;=15,"Midday (10-15)",B68&lt;=19,"Evening peak (16-19)",TRUE,"Late evening (20-23)")</f>
        <v>Evening peak (16-19)</v>
      </c>
    </row>
    <row r="69" spans="1:9">
      <c r="A69" s="32">
        <v>41732</v>
      </c>
      <c r="B69">
        <v>19</v>
      </c>
      <c r="C69">
        <v>1374</v>
      </c>
      <c r="D69" t="s">
        <v>303</v>
      </c>
      <c r="E69">
        <f>YEAR(A69)</f>
        <v>2014</v>
      </c>
      <c r="F69" s="33">
        <f>DATE(YEAR(A69),MONTH(A69),1)</f>
        <v>41730.0</v>
      </c>
      <c r="G69" t="str">
        <f>CHOOSE(WEEKDAY(A69,2),"Mon","Tue","Wed","Thu","Fri","Sat","Sun")</f>
        <v>Thu</v>
      </c>
      <c r="H69" t="str">
        <f>IF(WEEKDAY(A69,2)&gt;5,"Weekend","Weekday")</f>
        <v>Weekday</v>
      </c>
      <c r="I69" t="str">
        <f>_xlfn.IFS(B69&lt;=5,"Night (0-5)",B69&lt;=9,"Morning peak (6-9)",B69&lt;=15,"Midday (10-15)",B69&lt;=19,"Evening peak (16-19)",TRUE,"Late evening (20-23)")</f>
        <v>Evening peak (16-19)</v>
      </c>
    </row>
    <row r="70" spans="1:9">
      <c r="A70" s="32">
        <v>41732</v>
      </c>
      <c r="B70">
        <v>20</v>
      </c>
      <c r="C70">
        <v>1591</v>
      </c>
      <c r="D70" t="s">
        <v>303</v>
      </c>
      <c r="E70">
        <f>YEAR(A70)</f>
        <v>2014</v>
      </c>
      <c r="F70" s="33">
        <f>DATE(YEAR(A70),MONTH(A70),1)</f>
        <v>41730.0</v>
      </c>
      <c r="G70" t="str">
        <f>CHOOSE(WEEKDAY(A70,2),"Mon","Tue","Wed","Thu","Fri","Sat","Sun")</f>
        <v>Thu</v>
      </c>
      <c r="H70" t="str">
        <f>IF(WEEKDAY(A70,2)&gt;5,"Weekend","Weekday")</f>
        <v>Weekday</v>
      </c>
      <c r="I70" t="str">
        <f>_xlfn.IFS(B70&lt;=5,"Night (0-5)",B70&lt;=9,"Morning peak (6-9)",B70&lt;=15,"Midday (10-15)",B70&lt;=19,"Evening peak (16-19)",TRUE,"Late evening (20-23)")</f>
        <v>Late evening (20-23)</v>
      </c>
    </row>
    <row r="71" spans="1:9">
      <c r="A71" s="32">
        <v>41732</v>
      </c>
      <c r="B71">
        <v>21</v>
      </c>
      <c r="C71">
        <v>1714</v>
      </c>
      <c r="D71" t="s">
        <v>303</v>
      </c>
      <c r="E71">
        <f>YEAR(A71)</f>
        <v>2014</v>
      </c>
      <c r="F71" s="33">
        <f>DATE(YEAR(A71),MONTH(A71),1)</f>
        <v>41730.0</v>
      </c>
      <c r="G71" t="str">
        <f>CHOOSE(WEEKDAY(A71,2),"Mon","Tue","Wed","Thu","Fri","Sat","Sun")</f>
        <v>Thu</v>
      </c>
      <c r="H71" t="str">
        <f>IF(WEEKDAY(A71,2)&gt;5,"Weekend","Weekday")</f>
        <v>Weekday</v>
      </c>
      <c r="I71" t="str">
        <f>_xlfn.IFS(B71&lt;=5,"Night (0-5)",B71&lt;=9,"Morning peak (6-9)",B71&lt;=15,"Midday (10-15)",B71&lt;=19,"Evening peak (16-19)",TRUE,"Late evening (20-23)")</f>
        <v>Late evening (20-23)</v>
      </c>
    </row>
    <row r="72" spans="1:9">
      <c r="A72" s="32">
        <v>41732</v>
      </c>
      <c r="B72">
        <v>22</v>
      </c>
      <c r="C72">
        <v>1580</v>
      </c>
      <c r="D72" t="s">
        <v>303</v>
      </c>
      <c r="E72">
        <f>YEAR(A72)</f>
        <v>2014</v>
      </c>
      <c r="F72" s="33">
        <f>DATE(YEAR(A72),MONTH(A72),1)</f>
        <v>41730.0</v>
      </c>
      <c r="G72" t="str">
        <f>CHOOSE(WEEKDAY(A72,2),"Mon","Tue","Wed","Thu","Fri","Sat","Sun")</f>
        <v>Thu</v>
      </c>
      <c r="H72" t="str">
        <f>IF(WEEKDAY(A72,2)&gt;5,"Weekend","Weekday")</f>
        <v>Weekday</v>
      </c>
      <c r="I72" t="str">
        <f>_xlfn.IFS(B72&lt;=5,"Night (0-5)",B72&lt;=9,"Morning peak (6-9)",B72&lt;=15,"Midday (10-15)",B72&lt;=19,"Evening peak (16-19)",TRUE,"Late evening (20-23)")</f>
        <v>Late evening (20-23)</v>
      </c>
    </row>
    <row r="73" spans="1:9">
      <c r="A73" s="32">
        <v>41732</v>
      </c>
      <c r="B73">
        <v>23</v>
      </c>
      <c r="C73">
        <v>793</v>
      </c>
      <c r="D73" t="s">
        <v>303</v>
      </c>
      <c r="E73">
        <f>YEAR(A73)</f>
        <v>2014</v>
      </c>
      <c r="F73" s="33">
        <f>DATE(YEAR(A73),MONTH(A73),1)</f>
        <v>41730.0</v>
      </c>
      <c r="G73" t="str">
        <f>CHOOSE(WEEKDAY(A73,2),"Mon","Tue","Wed","Thu","Fri","Sat","Sun")</f>
        <v>Thu</v>
      </c>
      <c r="H73" t="str">
        <f>IF(WEEKDAY(A73,2)&gt;5,"Weekend","Weekday")</f>
        <v>Weekday</v>
      </c>
      <c r="I73" t="str">
        <f>_xlfn.IFS(B73&lt;=5,"Night (0-5)",B73&lt;=9,"Morning peak (6-9)",B73&lt;=15,"Midday (10-15)",B73&lt;=19,"Evening peak (16-19)",TRUE,"Late evening (20-23)")</f>
        <v>Late evening (20-23)</v>
      </c>
    </row>
    <row r="74" spans="1:9">
      <c r="A74" s="32">
        <v>41733</v>
      </c>
      <c r="B74">
        <v>0</v>
      </c>
      <c r="C74">
        <v>329</v>
      </c>
      <c r="D74" t="s">
        <v>303</v>
      </c>
      <c r="E74">
        <f>YEAR(A74)</f>
        <v>2014</v>
      </c>
      <c r="F74" s="33">
        <f>DATE(YEAR(A74),MONTH(A74),1)</f>
        <v>41730.0</v>
      </c>
      <c r="G74" t="str">
        <f>CHOOSE(WEEKDAY(A74,2),"Mon","Tue","Wed","Thu","Fri","Sat","Sun")</f>
        <v>Fri</v>
      </c>
      <c r="H74" t="str">
        <f>IF(WEEKDAY(A74,2)&gt;5,"Weekend","Weekday")</f>
        <v>Weekday</v>
      </c>
      <c r="I74" t="str">
        <f>_xlfn.IFS(B74&lt;=5,"Night (0-5)",B74&lt;=9,"Morning peak (6-9)",B74&lt;=15,"Midday (10-15)",B74&lt;=19,"Evening peak (16-19)",TRUE,"Late evening (20-23)")</f>
        <v>Night (0-5)</v>
      </c>
    </row>
    <row r="75" spans="1:9">
      <c r="A75" s="32">
        <v>41733</v>
      </c>
      <c r="B75">
        <v>1</v>
      </c>
      <c r="C75">
        <v>184</v>
      </c>
      <c r="D75" t="s">
        <v>303</v>
      </c>
      <c r="E75">
        <f>YEAR(A75)</f>
        <v>2014</v>
      </c>
      <c r="F75" s="33">
        <f>DATE(YEAR(A75),MONTH(A75),1)</f>
        <v>41730.0</v>
      </c>
      <c r="G75" t="str">
        <f>CHOOSE(WEEKDAY(A75,2),"Mon","Tue","Wed","Thu","Fri","Sat","Sun")</f>
        <v>Fri</v>
      </c>
      <c r="H75" t="str">
        <f>IF(WEEKDAY(A75,2)&gt;5,"Weekend","Weekday")</f>
        <v>Weekday</v>
      </c>
      <c r="I75" t="str">
        <f>_xlfn.IFS(B75&lt;=5,"Night (0-5)",B75&lt;=9,"Morning peak (6-9)",B75&lt;=15,"Midday (10-15)",B75&lt;=19,"Evening peak (16-19)",TRUE,"Late evening (20-23)")</f>
        <v>Night (0-5)</v>
      </c>
    </row>
    <row r="76" spans="1:9">
      <c r="A76" s="32">
        <v>41733</v>
      </c>
      <c r="B76">
        <v>2</v>
      </c>
      <c r="C76">
        <v>117</v>
      </c>
      <c r="D76" t="s">
        <v>303</v>
      </c>
      <c r="E76">
        <f>YEAR(A76)</f>
        <v>2014</v>
      </c>
      <c r="F76" s="33">
        <f>DATE(YEAR(A76),MONTH(A76),1)</f>
        <v>41730.0</v>
      </c>
      <c r="G76" t="str">
        <f>CHOOSE(WEEKDAY(A76,2),"Mon","Tue","Wed","Thu","Fri","Sat","Sun")</f>
        <v>Fri</v>
      </c>
      <c r="H76" t="str">
        <f>IF(WEEKDAY(A76,2)&gt;5,"Weekend","Weekday")</f>
        <v>Weekday</v>
      </c>
      <c r="I76" t="str">
        <f>_xlfn.IFS(B76&lt;=5,"Night (0-5)",B76&lt;=9,"Morning peak (6-9)",B76&lt;=15,"Midday (10-15)",B76&lt;=19,"Evening peak (16-19)",TRUE,"Late evening (20-23)")</f>
        <v>Night (0-5)</v>
      </c>
    </row>
    <row r="77" spans="1:9">
      <c r="A77" s="32">
        <v>41733</v>
      </c>
      <c r="B77">
        <v>3</v>
      </c>
      <c r="C77">
        <v>154</v>
      </c>
      <c r="D77" t="s">
        <v>303</v>
      </c>
      <c r="E77">
        <f>YEAR(A77)</f>
        <v>2014</v>
      </c>
      <c r="F77" s="33">
        <f>DATE(YEAR(A77),MONTH(A77),1)</f>
        <v>41730.0</v>
      </c>
      <c r="G77" t="str">
        <f>CHOOSE(WEEKDAY(A77,2),"Mon","Tue","Wed","Thu","Fri","Sat","Sun")</f>
        <v>Fri</v>
      </c>
      <c r="H77" t="str">
        <f>IF(WEEKDAY(A77,2)&gt;5,"Weekend","Weekday")</f>
        <v>Weekday</v>
      </c>
      <c r="I77" t="str">
        <f>_xlfn.IFS(B77&lt;=5,"Night (0-5)",B77&lt;=9,"Morning peak (6-9)",B77&lt;=15,"Midday (10-15)",B77&lt;=19,"Evening peak (16-19)",TRUE,"Late evening (20-23)")</f>
        <v>Night (0-5)</v>
      </c>
    </row>
    <row r="78" spans="1:9">
      <c r="A78" s="32">
        <v>41733</v>
      </c>
      <c r="B78">
        <v>4</v>
      </c>
      <c r="C78">
        <v>238</v>
      </c>
      <c r="D78" t="s">
        <v>303</v>
      </c>
      <c r="E78">
        <f>YEAR(A78)</f>
        <v>2014</v>
      </c>
      <c r="F78" s="33">
        <f>DATE(YEAR(A78),MONTH(A78),1)</f>
        <v>41730.0</v>
      </c>
      <c r="G78" t="str">
        <f>CHOOSE(WEEKDAY(A78,2),"Mon","Tue","Wed","Thu","Fri","Sat","Sun")</f>
        <v>Fri</v>
      </c>
      <c r="H78" t="str">
        <f>IF(WEEKDAY(A78,2)&gt;5,"Weekend","Weekday")</f>
        <v>Weekday</v>
      </c>
      <c r="I78" t="str">
        <f>_xlfn.IFS(B78&lt;=5,"Night (0-5)",B78&lt;=9,"Morning peak (6-9)",B78&lt;=15,"Midday (10-15)",B78&lt;=19,"Evening peak (16-19)",TRUE,"Late evening (20-23)")</f>
        <v>Night (0-5)</v>
      </c>
    </row>
    <row r="79" spans="1:9">
      <c r="A79" s="32">
        <v>41733</v>
      </c>
      <c r="B79">
        <v>5</v>
      </c>
      <c r="C79">
        <v>381</v>
      </c>
      <c r="D79" t="s">
        <v>303</v>
      </c>
      <c r="E79">
        <f>YEAR(A79)</f>
        <v>2014</v>
      </c>
      <c r="F79" s="33">
        <f>DATE(YEAR(A79),MONTH(A79),1)</f>
        <v>41730.0</v>
      </c>
      <c r="G79" t="str">
        <f>CHOOSE(WEEKDAY(A79,2),"Mon","Tue","Wed","Thu","Fri","Sat","Sun")</f>
        <v>Fri</v>
      </c>
      <c r="H79" t="str">
        <f>IF(WEEKDAY(A79,2)&gt;5,"Weekend","Weekday")</f>
        <v>Weekday</v>
      </c>
      <c r="I79" t="str">
        <f>_xlfn.IFS(B79&lt;=5,"Night (0-5)",B79&lt;=9,"Morning peak (6-9)",B79&lt;=15,"Midday (10-15)",B79&lt;=19,"Evening peak (16-19)",TRUE,"Late evening (20-23)")</f>
        <v>Night (0-5)</v>
      </c>
    </row>
    <row r="80" spans="1:9">
      <c r="A80" s="32">
        <v>41733</v>
      </c>
      <c r="B80">
        <v>6</v>
      </c>
      <c r="C80">
        <v>839</v>
      </c>
      <c r="D80" t="s">
        <v>303</v>
      </c>
      <c r="E80">
        <f>YEAR(A80)</f>
        <v>2014</v>
      </c>
      <c r="F80" s="33">
        <f>DATE(YEAR(A80),MONTH(A80),1)</f>
        <v>41730.0</v>
      </c>
      <c r="G80" t="str">
        <f>CHOOSE(WEEKDAY(A80,2),"Mon","Tue","Wed","Thu","Fri","Sat","Sun")</f>
        <v>Fri</v>
      </c>
      <c r="H80" t="str">
        <f>IF(WEEKDAY(A80,2)&gt;5,"Weekend","Weekday")</f>
        <v>Weekday</v>
      </c>
      <c r="I80" t="str">
        <f>_xlfn.IFS(B80&lt;=5,"Night (0-5)",B80&lt;=9,"Morning peak (6-9)",B80&lt;=15,"Midday (10-15)",B80&lt;=19,"Evening peak (16-19)",TRUE,"Late evening (20-23)")</f>
        <v>Morning peak (6-9)</v>
      </c>
    </row>
    <row r="81" spans="1:9">
      <c r="A81" s="32">
        <v>41733</v>
      </c>
      <c r="B81">
        <v>7</v>
      </c>
      <c r="C81">
        <v>1202</v>
      </c>
      <c r="D81" t="s">
        <v>303</v>
      </c>
      <c r="E81">
        <f>YEAR(A81)</f>
        <v>2014</v>
      </c>
      <c r="F81" s="33">
        <f>DATE(YEAR(A81),MONTH(A81),1)</f>
        <v>41730.0</v>
      </c>
      <c r="G81" t="str">
        <f>CHOOSE(WEEKDAY(A81,2),"Mon","Tue","Wed","Thu","Fri","Sat","Sun")</f>
        <v>Fri</v>
      </c>
      <c r="H81" t="str">
        <f>IF(WEEKDAY(A81,2)&gt;5,"Weekend","Weekday")</f>
        <v>Weekday</v>
      </c>
      <c r="I81" t="str">
        <f>_xlfn.IFS(B81&lt;=5,"Night (0-5)",B81&lt;=9,"Morning peak (6-9)",B81&lt;=15,"Midday (10-15)",B81&lt;=19,"Evening peak (16-19)",TRUE,"Late evening (20-23)")</f>
        <v>Morning peak (6-9)</v>
      </c>
    </row>
    <row r="82" spans="1:9">
      <c r="A82" s="32">
        <v>41733</v>
      </c>
      <c r="B82">
        <v>8</v>
      </c>
      <c r="C82">
        <v>1065</v>
      </c>
      <c r="D82" t="s">
        <v>303</v>
      </c>
      <c r="E82">
        <f>YEAR(A82)</f>
        <v>2014</v>
      </c>
      <c r="F82" s="33">
        <f>DATE(YEAR(A82),MONTH(A82),1)</f>
        <v>41730.0</v>
      </c>
      <c r="G82" t="str">
        <f>CHOOSE(WEEKDAY(A82,2),"Mon","Tue","Wed","Thu","Fri","Sat","Sun")</f>
        <v>Fri</v>
      </c>
      <c r="H82" t="str">
        <f>IF(WEEKDAY(A82,2)&gt;5,"Weekend","Weekday")</f>
        <v>Weekday</v>
      </c>
      <c r="I82" t="str">
        <f>_xlfn.IFS(B82&lt;=5,"Night (0-5)",B82&lt;=9,"Morning peak (6-9)",B82&lt;=15,"Midday (10-15)",B82&lt;=19,"Evening peak (16-19)",TRUE,"Late evening (20-23)")</f>
        <v>Morning peak (6-9)</v>
      </c>
    </row>
    <row r="83" spans="1:9">
      <c r="A83" s="32">
        <v>41733</v>
      </c>
      <c r="B83">
        <v>9</v>
      </c>
      <c r="C83">
        <v>769</v>
      </c>
      <c r="D83" t="s">
        <v>303</v>
      </c>
      <c r="E83">
        <f>YEAR(A83)</f>
        <v>2014</v>
      </c>
      <c r="F83" s="33">
        <f>DATE(YEAR(A83),MONTH(A83),1)</f>
        <v>41730.0</v>
      </c>
      <c r="G83" t="str">
        <f>CHOOSE(WEEKDAY(A83,2),"Mon","Tue","Wed","Thu","Fri","Sat","Sun")</f>
        <v>Fri</v>
      </c>
      <c r="H83" t="str">
        <f>IF(WEEKDAY(A83,2)&gt;5,"Weekend","Weekday")</f>
        <v>Weekday</v>
      </c>
      <c r="I83" t="str">
        <f>_xlfn.IFS(B83&lt;=5,"Night (0-5)",B83&lt;=9,"Morning peak (6-9)",B83&lt;=15,"Midday (10-15)",B83&lt;=19,"Evening peak (16-19)",TRUE,"Late evening (20-23)")</f>
        <v>Morning peak (6-9)</v>
      </c>
    </row>
    <row r="84" spans="1:9">
      <c r="A84" s="32">
        <v>41733</v>
      </c>
      <c r="B84">
        <v>10</v>
      </c>
      <c r="C84">
        <v>759</v>
      </c>
      <c r="D84" t="s">
        <v>303</v>
      </c>
      <c r="E84">
        <f>YEAR(A84)</f>
        <v>2014</v>
      </c>
      <c r="F84" s="33">
        <f>DATE(YEAR(A84),MONTH(A84),1)</f>
        <v>41730.0</v>
      </c>
      <c r="G84" t="str">
        <f>CHOOSE(WEEKDAY(A84,2),"Mon","Tue","Wed","Thu","Fri","Sat","Sun")</f>
        <v>Fri</v>
      </c>
      <c r="H84" t="str">
        <f>IF(WEEKDAY(A84,2)&gt;5,"Weekend","Weekday")</f>
        <v>Weekday</v>
      </c>
      <c r="I84" t="str">
        <f>_xlfn.IFS(B84&lt;=5,"Night (0-5)",B84&lt;=9,"Morning peak (6-9)",B84&lt;=15,"Midday (10-15)",B84&lt;=19,"Evening peak (16-19)",TRUE,"Late evening (20-23)")</f>
        <v>Midday (10-15)</v>
      </c>
    </row>
    <row r="85" spans="1:9">
      <c r="A85" s="32">
        <v>41733</v>
      </c>
      <c r="B85">
        <v>11</v>
      </c>
      <c r="C85">
        <v>819</v>
      </c>
      <c r="D85" t="s">
        <v>303</v>
      </c>
      <c r="E85">
        <f>YEAR(A85)</f>
        <v>2014</v>
      </c>
      <c r="F85" s="33">
        <f>DATE(YEAR(A85),MONTH(A85),1)</f>
        <v>41730.0</v>
      </c>
      <c r="G85" t="str">
        <f>CHOOSE(WEEKDAY(A85,2),"Mon","Tue","Wed","Thu","Fri","Sat","Sun")</f>
        <v>Fri</v>
      </c>
      <c r="H85" t="str">
        <f>IF(WEEKDAY(A85,2)&gt;5,"Weekend","Weekday")</f>
        <v>Weekday</v>
      </c>
      <c r="I85" t="str">
        <f>_xlfn.IFS(B85&lt;=5,"Night (0-5)",B85&lt;=9,"Morning peak (6-9)",B85&lt;=15,"Midday (10-15)",B85&lt;=19,"Evening peak (16-19)",TRUE,"Late evening (20-23)")</f>
        <v>Midday (10-15)</v>
      </c>
    </row>
    <row r="86" spans="1:9">
      <c r="A86" s="32">
        <v>41733</v>
      </c>
      <c r="B86">
        <v>12</v>
      </c>
      <c r="C86">
        <v>827</v>
      </c>
      <c r="D86" t="s">
        <v>303</v>
      </c>
      <c r="E86">
        <f>YEAR(A86)</f>
        <v>2014</v>
      </c>
      <c r="F86" s="33">
        <f>DATE(YEAR(A86),MONTH(A86),1)</f>
        <v>41730.0</v>
      </c>
      <c r="G86" t="str">
        <f>CHOOSE(WEEKDAY(A86,2),"Mon","Tue","Wed","Thu","Fri","Sat","Sun")</f>
        <v>Fri</v>
      </c>
      <c r="H86" t="str">
        <f>IF(WEEKDAY(A86,2)&gt;5,"Weekend","Weekday")</f>
        <v>Weekday</v>
      </c>
      <c r="I86" t="str">
        <f>_xlfn.IFS(B86&lt;=5,"Night (0-5)",B86&lt;=9,"Morning peak (6-9)",B86&lt;=15,"Midday (10-15)",B86&lt;=19,"Evening peak (16-19)",TRUE,"Late evening (20-23)")</f>
        <v>Midday (10-15)</v>
      </c>
    </row>
    <row r="87" spans="1:9">
      <c r="A87" s="32">
        <v>41733</v>
      </c>
      <c r="B87">
        <v>13</v>
      </c>
      <c r="C87">
        <v>994</v>
      </c>
      <c r="D87" t="s">
        <v>303</v>
      </c>
      <c r="E87">
        <f>YEAR(A87)</f>
        <v>2014</v>
      </c>
      <c r="F87" s="33">
        <f>DATE(YEAR(A87),MONTH(A87),1)</f>
        <v>41730.0</v>
      </c>
      <c r="G87" t="str">
        <f>CHOOSE(WEEKDAY(A87,2),"Mon","Tue","Wed","Thu","Fri","Sat","Sun")</f>
        <v>Fri</v>
      </c>
      <c r="H87" t="str">
        <f>IF(WEEKDAY(A87,2)&gt;5,"Weekend","Weekday")</f>
        <v>Weekday</v>
      </c>
      <c r="I87" t="str">
        <f>_xlfn.IFS(B87&lt;=5,"Night (0-5)",B87&lt;=9,"Morning peak (6-9)",B87&lt;=15,"Midday (10-15)",B87&lt;=19,"Evening peak (16-19)",TRUE,"Late evening (20-23)")</f>
        <v>Midday (10-15)</v>
      </c>
    </row>
    <row r="88" spans="1:9">
      <c r="A88" s="32">
        <v>41733</v>
      </c>
      <c r="B88">
        <v>14</v>
      </c>
      <c r="C88">
        <v>1190</v>
      </c>
      <c r="D88" t="s">
        <v>303</v>
      </c>
      <c r="E88">
        <f>YEAR(A88)</f>
        <v>2014</v>
      </c>
      <c r="F88" s="33">
        <f>DATE(YEAR(A88),MONTH(A88),1)</f>
        <v>41730.0</v>
      </c>
      <c r="G88" t="str">
        <f>CHOOSE(WEEKDAY(A88,2),"Mon","Tue","Wed","Thu","Fri","Sat","Sun")</f>
        <v>Fri</v>
      </c>
      <c r="H88" t="str">
        <f>IF(WEEKDAY(A88,2)&gt;5,"Weekend","Weekday")</f>
        <v>Weekday</v>
      </c>
      <c r="I88" t="str">
        <f>_xlfn.IFS(B88&lt;=5,"Night (0-5)",B88&lt;=9,"Morning peak (6-9)",B88&lt;=15,"Midday (10-15)",B88&lt;=19,"Evening peak (16-19)",TRUE,"Late evening (20-23)")</f>
        <v>Midday (10-15)</v>
      </c>
    </row>
    <row r="89" spans="1:9">
      <c r="A89" s="32">
        <v>41733</v>
      </c>
      <c r="B89">
        <v>15</v>
      </c>
      <c r="C89">
        <v>1504</v>
      </c>
      <c r="D89" t="s">
        <v>303</v>
      </c>
      <c r="E89">
        <f>YEAR(A89)</f>
        <v>2014</v>
      </c>
      <c r="F89" s="33">
        <f>DATE(YEAR(A89),MONTH(A89),1)</f>
        <v>41730.0</v>
      </c>
      <c r="G89" t="str">
        <f>CHOOSE(WEEKDAY(A89,2),"Mon","Tue","Wed","Thu","Fri","Sat","Sun")</f>
        <v>Fri</v>
      </c>
      <c r="H89" t="str">
        <f>IF(WEEKDAY(A89,2)&gt;5,"Weekend","Weekday")</f>
        <v>Weekday</v>
      </c>
      <c r="I89" t="str">
        <f>_xlfn.IFS(B89&lt;=5,"Night (0-5)",B89&lt;=9,"Morning peak (6-9)",B89&lt;=15,"Midday (10-15)",B89&lt;=19,"Evening peak (16-19)",TRUE,"Late evening (20-23)")</f>
        <v>Midday (10-15)</v>
      </c>
    </row>
    <row r="90" spans="1:9">
      <c r="A90" s="32">
        <v>41733</v>
      </c>
      <c r="B90">
        <v>16</v>
      </c>
      <c r="C90">
        <v>1865</v>
      </c>
      <c r="D90" t="s">
        <v>303</v>
      </c>
      <c r="E90">
        <f>YEAR(A90)</f>
        <v>2014</v>
      </c>
      <c r="F90" s="33">
        <f>DATE(YEAR(A90),MONTH(A90),1)</f>
        <v>41730.0</v>
      </c>
      <c r="G90" t="str">
        <f>CHOOSE(WEEKDAY(A90,2),"Mon","Tue","Wed","Thu","Fri","Sat","Sun")</f>
        <v>Fri</v>
      </c>
      <c r="H90" t="str">
        <f>IF(WEEKDAY(A90,2)&gt;5,"Weekend","Weekday")</f>
        <v>Weekday</v>
      </c>
      <c r="I90" t="str">
        <f>_xlfn.IFS(B90&lt;=5,"Night (0-5)",B90&lt;=9,"Morning peak (6-9)",B90&lt;=15,"Midday (10-15)",B90&lt;=19,"Evening peak (16-19)",TRUE,"Late evening (20-23)")</f>
        <v>Evening peak (16-19)</v>
      </c>
    </row>
    <row r="91" spans="1:9">
      <c r="A91" s="32">
        <v>41733</v>
      </c>
      <c r="B91">
        <v>17</v>
      </c>
      <c r="C91">
        <v>2280</v>
      </c>
      <c r="D91" t="s">
        <v>303</v>
      </c>
      <c r="E91">
        <f>YEAR(A91)</f>
        <v>2014</v>
      </c>
      <c r="F91" s="33">
        <f>DATE(YEAR(A91),MONTH(A91),1)</f>
        <v>41730.0</v>
      </c>
      <c r="G91" t="str">
        <f>CHOOSE(WEEKDAY(A91,2),"Mon","Tue","Wed","Thu","Fri","Sat","Sun")</f>
        <v>Fri</v>
      </c>
      <c r="H91" t="str">
        <f>IF(WEEKDAY(A91,2)&gt;5,"Weekend","Weekday")</f>
        <v>Weekday</v>
      </c>
      <c r="I91" t="str">
        <f>_xlfn.IFS(B91&lt;=5,"Night (0-5)",B91&lt;=9,"Morning peak (6-9)",B91&lt;=15,"Midday (10-15)",B91&lt;=19,"Evening peak (16-19)",TRUE,"Late evening (20-23)")</f>
        <v>Evening peak (16-19)</v>
      </c>
    </row>
    <row r="92" spans="1:9">
      <c r="A92" s="32">
        <v>41733</v>
      </c>
      <c r="B92">
        <v>18</v>
      </c>
      <c r="C92">
        <v>2449</v>
      </c>
      <c r="D92" t="s">
        <v>303</v>
      </c>
      <c r="E92">
        <f>YEAR(A92)</f>
        <v>2014</v>
      </c>
      <c r="F92" s="33">
        <f>DATE(YEAR(A92),MONTH(A92),1)</f>
        <v>41730.0</v>
      </c>
      <c r="G92" t="str">
        <f>CHOOSE(WEEKDAY(A92,2),"Mon","Tue","Wed","Thu","Fri","Sat","Sun")</f>
        <v>Fri</v>
      </c>
      <c r="H92" t="str">
        <f>IF(WEEKDAY(A92,2)&gt;5,"Weekend","Weekday")</f>
        <v>Weekday</v>
      </c>
      <c r="I92" t="str">
        <f>_xlfn.IFS(B92&lt;=5,"Night (0-5)",B92&lt;=9,"Morning peak (6-9)",B92&lt;=15,"Midday (10-15)",B92&lt;=19,"Evening peak (16-19)",TRUE,"Late evening (20-23)")</f>
        <v>Evening peak (16-19)</v>
      </c>
    </row>
    <row r="93" spans="1:9">
      <c r="A93" s="32">
        <v>41733</v>
      </c>
      <c r="B93">
        <v>19</v>
      </c>
      <c r="C93">
        <v>2133</v>
      </c>
      <c r="D93" t="s">
        <v>303</v>
      </c>
      <c r="E93">
        <f>YEAR(A93)</f>
        <v>2014</v>
      </c>
      <c r="F93" s="33">
        <f>DATE(YEAR(A93),MONTH(A93),1)</f>
        <v>41730.0</v>
      </c>
      <c r="G93" t="str">
        <f>CHOOSE(WEEKDAY(A93,2),"Mon","Tue","Wed","Thu","Fri","Sat","Sun")</f>
        <v>Fri</v>
      </c>
      <c r="H93" t="str">
        <f>IF(WEEKDAY(A93,2)&gt;5,"Weekend","Weekday")</f>
        <v>Weekday</v>
      </c>
      <c r="I93" t="str">
        <f>_xlfn.IFS(B93&lt;=5,"Night (0-5)",B93&lt;=9,"Morning peak (6-9)",B93&lt;=15,"Midday (10-15)",B93&lt;=19,"Evening peak (16-19)",TRUE,"Late evening (20-23)")</f>
        <v>Evening peak (16-19)</v>
      </c>
    </row>
    <row r="94" spans="1:9">
      <c r="A94" s="32">
        <v>41733</v>
      </c>
      <c r="B94">
        <v>20</v>
      </c>
      <c r="C94">
        <v>1489</v>
      </c>
      <c r="D94" t="s">
        <v>303</v>
      </c>
      <c r="E94">
        <f>YEAR(A94)</f>
        <v>2014</v>
      </c>
      <c r="F94" s="33">
        <f>DATE(YEAR(A94),MONTH(A94),1)</f>
        <v>41730.0</v>
      </c>
      <c r="G94" t="str">
        <f>CHOOSE(WEEKDAY(A94,2),"Mon","Tue","Wed","Thu","Fri","Sat","Sun")</f>
        <v>Fri</v>
      </c>
      <c r="H94" t="str">
        <f>IF(WEEKDAY(A94,2)&gt;5,"Weekend","Weekday")</f>
        <v>Weekday</v>
      </c>
      <c r="I94" t="str">
        <f>_xlfn.IFS(B94&lt;=5,"Night (0-5)",B94&lt;=9,"Morning peak (6-9)",B94&lt;=15,"Midday (10-15)",B94&lt;=19,"Evening peak (16-19)",TRUE,"Late evening (20-23)")</f>
        <v>Late evening (20-23)</v>
      </c>
    </row>
    <row r="95" spans="1:9">
      <c r="A95" s="32">
        <v>41733</v>
      </c>
      <c r="B95">
        <v>21</v>
      </c>
      <c r="C95">
        <v>1929</v>
      </c>
      <c r="D95" t="s">
        <v>303</v>
      </c>
      <c r="E95">
        <f>YEAR(A95)</f>
        <v>2014</v>
      </c>
      <c r="F95" s="33">
        <f>DATE(YEAR(A95),MONTH(A95),1)</f>
        <v>41730.0</v>
      </c>
      <c r="G95" t="str">
        <f>CHOOSE(WEEKDAY(A95,2),"Mon","Tue","Wed","Thu","Fri","Sat","Sun")</f>
        <v>Fri</v>
      </c>
      <c r="H95" t="str">
        <f>IF(WEEKDAY(A95,2)&gt;5,"Weekend","Weekday")</f>
        <v>Weekday</v>
      </c>
      <c r="I95" t="str">
        <f>_xlfn.IFS(B95&lt;=5,"Night (0-5)",B95&lt;=9,"Morning peak (6-9)",B95&lt;=15,"Midday (10-15)",B95&lt;=19,"Evening peak (16-19)",TRUE,"Late evening (20-23)")</f>
        <v>Late evening (20-23)</v>
      </c>
    </row>
    <row r="96" spans="1:9">
      <c r="A96" s="32">
        <v>41733</v>
      </c>
      <c r="B96">
        <v>22</v>
      </c>
      <c r="C96">
        <v>1859</v>
      </c>
      <c r="D96" t="s">
        <v>303</v>
      </c>
      <c r="E96">
        <f>YEAR(A96)</f>
        <v>2014</v>
      </c>
      <c r="F96" s="33">
        <f>DATE(YEAR(A96),MONTH(A96),1)</f>
        <v>41730.0</v>
      </c>
      <c r="G96" t="str">
        <f>CHOOSE(WEEKDAY(A96,2),"Mon","Tue","Wed","Thu","Fri","Sat","Sun")</f>
        <v>Fri</v>
      </c>
      <c r="H96" t="str">
        <f>IF(WEEKDAY(A96,2)&gt;5,"Weekend","Weekday")</f>
        <v>Weekday</v>
      </c>
      <c r="I96" t="str">
        <f>_xlfn.IFS(B96&lt;=5,"Night (0-5)",B96&lt;=9,"Morning peak (6-9)",B96&lt;=15,"Midday (10-15)",B96&lt;=19,"Evening peak (16-19)",TRUE,"Late evening (20-23)")</f>
        <v>Late evening (20-23)</v>
      </c>
    </row>
    <row r="97" spans="1:9">
      <c r="A97" s="32">
        <v>41733</v>
      </c>
      <c r="B97">
        <v>23</v>
      </c>
      <c r="C97">
        <v>1339</v>
      </c>
      <c r="D97" t="s">
        <v>303</v>
      </c>
      <c r="E97">
        <f>YEAR(A97)</f>
        <v>2014</v>
      </c>
      <c r="F97" s="33">
        <f>DATE(YEAR(A97),MONTH(A97),1)</f>
        <v>41730.0</v>
      </c>
      <c r="G97" t="str">
        <f>CHOOSE(WEEKDAY(A97,2),"Mon","Tue","Wed","Thu","Fri","Sat","Sun")</f>
        <v>Fri</v>
      </c>
      <c r="H97" t="str">
        <f>IF(WEEKDAY(A97,2)&gt;5,"Weekend","Weekday")</f>
        <v>Weekday</v>
      </c>
      <c r="I97" t="str">
        <f>_xlfn.IFS(B97&lt;=5,"Night (0-5)",B97&lt;=9,"Morning peak (6-9)",B97&lt;=15,"Midday (10-15)",B97&lt;=19,"Evening peak (16-19)",TRUE,"Late evening (20-23)")</f>
        <v>Late evening (20-23)</v>
      </c>
    </row>
    <row r="98" spans="1:9">
      <c r="A98" s="32">
        <v>41734</v>
      </c>
      <c r="B98">
        <v>0</v>
      </c>
      <c r="C98">
        <v>723</v>
      </c>
      <c r="D98" t="s">
        <v>303</v>
      </c>
      <c r="E98">
        <f>YEAR(A98)</f>
        <v>2014</v>
      </c>
      <c r="F98" s="33">
        <f>DATE(YEAR(A98),MONTH(A98),1)</f>
        <v>41730.0</v>
      </c>
      <c r="G98" t="str">
        <f>CHOOSE(WEEKDAY(A98,2),"Mon","Tue","Wed","Thu","Fri","Sat","Sun")</f>
        <v>Sat</v>
      </c>
      <c r="H98" t="str">
        <f>IF(WEEKDAY(A98,2)&gt;5,"Weekend","Weekday")</f>
        <v>Weekend</v>
      </c>
      <c r="I98" t="str">
        <f>_xlfn.IFS(B98&lt;=5,"Night (0-5)",B98&lt;=9,"Morning peak (6-9)",B98&lt;=15,"Midday (10-15)",B98&lt;=19,"Evening peak (16-19)",TRUE,"Late evening (20-23)")</f>
        <v>Night (0-5)</v>
      </c>
    </row>
    <row r="99" spans="1:9">
      <c r="A99" s="32">
        <v>41734</v>
      </c>
      <c r="B99">
        <v>1</v>
      </c>
      <c r="C99">
        <v>416</v>
      </c>
      <c r="D99" t="s">
        <v>303</v>
      </c>
      <c r="E99">
        <f>YEAR(A99)</f>
        <v>2014</v>
      </c>
      <c r="F99" s="33">
        <f>DATE(YEAR(A99),MONTH(A99),1)</f>
        <v>41730.0</v>
      </c>
      <c r="G99" t="str">
        <f>CHOOSE(WEEKDAY(A99,2),"Mon","Tue","Wed","Thu","Fri","Sat","Sun")</f>
        <v>Sat</v>
      </c>
      <c r="H99" t="str">
        <f>IF(WEEKDAY(A99,2)&gt;5,"Weekend","Weekday")</f>
        <v>Weekend</v>
      </c>
      <c r="I99" t="str">
        <f>_xlfn.IFS(B99&lt;=5,"Night (0-5)",B99&lt;=9,"Morning peak (6-9)",B99&lt;=15,"Midday (10-15)",B99&lt;=19,"Evening peak (16-19)",TRUE,"Late evening (20-23)")</f>
        <v>Night (0-5)</v>
      </c>
    </row>
    <row r="100" spans="1:9">
      <c r="A100" s="32">
        <v>41734</v>
      </c>
      <c r="B100">
        <v>2</v>
      </c>
      <c r="C100">
        <v>215</v>
      </c>
      <c r="D100" t="s">
        <v>303</v>
      </c>
      <c r="E100">
        <f>YEAR(A100)</f>
        <v>2014</v>
      </c>
      <c r="F100" s="33">
        <f>DATE(YEAR(A100),MONTH(A100),1)</f>
        <v>41730.0</v>
      </c>
      <c r="G100" t="str">
        <f>CHOOSE(WEEKDAY(A100,2),"Mon","Tue","Wed","Thu","Fri","Sat","Sun")</f>
        <v>Sat</v>
      </c>
      <c r="H100" t="str">
        <f>IF(WEEKDAY(A100,2)&gt;5,"Weekend","Weekday")</f>
        <v>Weekend</v>
      </c>
      <c r="I100" t="str">
        <f>_xlfn.IFS(B100&lt;=5,"Night (0-5)",B100&lt;=9,"Morning peak (6-9)",B100&lt;=15,"Midday (10-15)",B100&lt;=19,"Evening peak (16-19)",TRUE,"Late evening (20-23)")</f>
        <v>Night (0-5)</v>
      </c>
    </row>
    <row r="101" spans="1:9">
      <c r="A101" s="32">
        <v>41734</v>
      </c>
      <c r="B101">
        <v>3</v>
      </c>
      <c r="C101">
        <v>181</v>
      </c>
      <c r="D101" t="s">
        <v>303</v>
      </c>
      <c r="E101">
        <f>YEAR(A101)</f>
        <v>2014</v>
      </c>
      <c r="F101" s="33">
        <f>DATE(YEAR(A101),MONTH(A101),1)</f>
        <v>41730.0</v>
      </c>
      <c r="G101" t="str">
        <f>CHOOSE(WEEKDAY(A101,2),"Mon","Tue","Wed","Thu","Fri","Sat","Sun")</f>
        <v>Sat</v>
      </c>
      <c r="H101" t="str">
        <f>IF(WEEKDAY(A101,2)&gt;5,"Weekend","Weekday")</f>
        <v>Weekend</v>
      </c>
      <c r="I101" t="str">
        <f>_xlfn.IFS(B101&lt;=5,"Night (0-5)",B101&lt;=9,"Morning peak (6-9)",B101&lt;=15,"Midday (10-15)",B101&lt;=19,"Evening peak (16-19)",TRUE,"Late evening (20-23)")</f>
        <v>Night (0-5)</v>
      </c>
    </row>
    <row r="102" spans="1:9">
      <c r="A102" s="32">
        <v>41734</v>
      </c>
      <c r="B102">
        <v>4</v>
      </c>
      <c r="C102">
        <v>153</v>
      </c>
      <c r="D102" t="s">
        <v>303</v>
      </c>
      <c r="E102">
        <f>YEAR(A102)</f>
        <v>2014</v>
      </c>
      <c r="F102" s="33">
        <f>DATE(YEAR(A102),MONTH(A102),1)</f>
        <v>41730.0</v>
      </c>
      <c r="G102" t="str">
        <f>CHOOSE(WEEKDAY(A102,2),"Mon","Tue","Wed","Thu","Fri","Sat","Sun")</f>
        <v>Sat</v>
      </c>
      <c r="H102" t="str">
        <f>IF(WEEKDAY(A102,2)&gt;5,"Weekend","Weekday")</f>
        <v>Weekend</v>
      </c>
      <c r="I102" t="str">
        <f>_xlfn.IFS(B102&lt;=5,"Night (0-5)",B102&lt;=9,"Morning peak (6-9)",B102&lt;=15,"Midday (10-15)",B102&lt;=19,"Evening peak (16-19)",TRUE,"Late evening (20-23)")</f>
        <v>Night (0-5)</v>
      </c>
    </row>
    <row r="103" spans="1:9">
      <c r="A103" s="32">
        <v>41734</v>
      </c>
      <c r="B103">
        <v>5</v>
      </c>
      <c r="C103">
        <v>177</v>
      </c>
      <c r="D103" t="s">
        <v>303</v>
      </c>
      <c r="E103">
        <f>YEAR(A103)</f>
        <v>2014</v>
      </c>
      <c r="F103" s="33">
        <f>DATE(YEAR(A103),MONTH(A103),1)</f>
        <v>41730.0</v>
      </c>
      <c r="G103" t="str">
        <f>CHOOSE(WEEKDAY(A103,2),"Mon","Tue","Wed","Thu","Fri","Sat","Sun")</f>
        <v>Sat</v>
      </c>
      <c r="H103" t="str">
        <f>IF(WEEKDAY(A103,2)&gt;5,"Weekend","Weekday")</f>
        <v>Weekend</v>
      </c>
      <c r="I103" t="str">
        <f>_xlfn.IFS(B103&lt;=5,"Night (0-5)",B103&lt;=9,"Morning peak (6-9)",B103&lt;=15,"Midday (10-15)",B103&lt;=19,"Evening peak (16-19)",TRUE,"Late evening (20-23)")</f>
        <v>Night (0-5)</v>
      </c>
    </row>
    <row r="104" spans="1:9">
      <c r="A104" s="32">
        <v>41734</v>
      </c>
      <c r="B104">
        <v>6</v>
      </c>
      <c r="C104">
        <v>206</v>
      </c>
      <c r="D104" t="s">
        <v>303</v>
      </c>
      <c r="E104">
        <f>YEAR(A104)</f>
        <v>2014</v>
      </c>
      <c r="F104" s="33">
        <f>DATE(YEAR(A104),MONTH(A104),1)</f>
        <v>41730.0</v>
      </c>
      <c r="G104" t="str">
        <f>CHOOSE(WEEKDAY(A104,2),"Mon","Tue","Wed","Thu","Fri","Sat","Sun")</f>
        <v>Sat</v>
      </c>
      <c r="H104" t="str">
        <f>IF(WEEKDAY(A104,2)&gt;5,"Weekend","Weekday")</f>
        <v>Weekend</v>
      </c>
      <c r="I104" t="str">
        <f>_xlfn.IFS(B104&lt;=5,"Night (0-5)",B104&lt;=9,"Morning peak (6-9)",B104&lt;=15,"Midday (10-15)",B104&lt;=19,"Evening peak (16-19)",TRUE,"Late evening (20-23)")</f>
        <v>Morning peak (6-9)</v>
      </c>
    </row>
    <row r="105" spans="1:9">
      <c r="A105" s="32">
        <v>41734</v>
      </c>
      <c r="B105">
        <v>7</v>
      </c>
      <c r="C105">
        <v>279</v>
      </c>
      <c r="D105" t="s">
        <v>303</v>
      </c>
      <c r="E105">
        <f>YEAR(A105)</f>
        <v>2014</v>
      </c>
      <c r="F105" s="33">
        <f>DATE(YEAR(A105),MONTH(A105),1)</f>
        <v>41730.0</v>
      </c>
      <c r="G105" t="str">
        <f>CHOOSE(WEEKDAY(A105,2),"Mon","Tue","Wed","Thu","Fri","Sat","Sun")</f>
        <v>Sat</v>
      </c>
      <c r="H105" t="str">
        <f>IF(WEEKDAY(A105,2)&gt;5,"Weekend","Weekday")</f>
        <v>Weekend</v>
      </c>
      <c r="I105" t="str">
        <f>_xlfn.IFS(B105&lt;=5,"Night (0-5)",B105&lt;=9,"Morning peak (6-9)",B105&lt;=15,"Midday (10-15)",B105&lt;=19,"Evening peak (16-19)",TRUE,"Late evening (20-23)")</f>
        <v>Morning peak (6-9)</v>
      </c>
    </row>
    <row r="106" spans="1:9">
      <c r="A106" s="32">
        <v>41734</v>
      </c>
      <c r="B106">
        <v>8</v>
      </c>
      <c r="C106">
        <v>340</v>
      </c>
      <c r="D106" t="s">
        <v>303</v>
      </c>
      <c r="E106">
        <f>YEAR(A106)</f>
        <v>2014</v>
      </c>
      <c r="F106" s="33">
        <f>DATE(YEAR(A106),MONTH(A106),1)</f>
        <v>41730.0</v>
      </c>
      <c r="G106" t="str">
        <f>CHOOSE(WEEKDAY(A106,2),"Mon","Tue","Wed","Thu","Fri","Sat","Sun")</f>
        <v>Sat</v>
      </c>
      <c r="H106" t="str">
        <f>IF(WEEKDAY(A106,2)&gt;5,"Weekend","Weekday")</f>
        <v>Weekend</v>
      </c>
      <c r="I106" t="str">
        <f>_xlfn.IFS(B106&lt;=5,"Night (0-5)",B106&lt;=9,"Morning peak (6-9)",B106&lt;=15,"Midday (10-15)",B106&lt;=19,"Evening peak (16-19)",TRUE,"Late evening (20-23)")</f>
        <v>Morning peak (6-9)</v>
      </c>
    </row>
    <row r="107" spans="1:9">
      <c r="A107" s="32">
        <v>41734</v>
      </c>
      <c r="B107">
        <v>9</v>
      </c>
      <c r="C107">
        <v>450</v>
      </c>
      <c r="D107" t="s">
        <v>303</v>
      </c>
      <c r="E107">
        <f>YEAR(A107)</f>
        <v>2014</v>
      </c>
      <c r="F107" s="33">
        <f>DATE(YEAR(A107),MONTH(A107),1)</f>
        <v>41730.0</v>
      </c>
      <c r="G107" t="str">
        <f>CHOOSE(WEEKDAY(A107,2),"Mon","Tue","Wed","Thu","Fri","Sat","Sun")</f>
        <v>Sat</v>
      </c>
      <c r="H107" t="str">
        <f>IF(WEEKDAY(A107,2)&gt;5,"Weekend","Weekday")</f>
        <v>Weekend</v>
      </c>
      <c r="I107" t="str">
        <f>_xlfn.IFS(B107&lt;=5,"Night (0-5)",B107&lt;=9,"Morning peak (6-9)",B107&lt;=15,"Midday (10-15)",B107&lt;=19,"Evening peak (16-19)",TRUE,"Late evening (20-23)")</f>
        <v>Morning peak (6-9)</v>
      </c>
    </row>
    <row r="108" spans="1:9">
      <c r="A108" s="32">
        <v>41734</v>
      </c>
      <c r="B108">
        <v>10</v>
      </c>
      <c r="C108">
        <v>530</v>
      </c>
      <c r="D108" t="s">
        <v>303</v>
      </c>
      <c r="E108">
        <f>YEAR(A108)</f>
        <v>2014</v>
      </c>
      <c r="F108" s="33">
        <f>DATE(YEAR(A108),MONTH(A108),1)</f>
        <v>41730.0</v>
      </c>
      <c r="G108" t="str">
        <f>CHOOSE(WEEKDAY(A108,2),"Mon","Tue","Wed","Thu","Fri","Sat","Sun")</f>
        <v>Sat</v>
      </c>
      <c r="H108" t="str">
        <f>IF(WEEKDAY(A108,2)&gt;5,"Weekend","Weekday")</f>
        <v>Weekend</v>
      </c>
      <c r="I108" t="str">
        <f>_xlfn.IFS(B108&lt;=5,"Night (0-5)",B108&lt;=9,"Morning peak (6-9)",B108&lt;=15,"Midday (10-15)",B108&lt;=19,"Evening peak (16-19)",TRUE,"Late evening (20-23)")</f>
        <v>Midday (10-15)</v>
      </c>
    </row>
    <row r="109" spans="1:9">
      <c r="A109" s="32">
        <v>41734</v>
      </c>
      <c r="B109">
        <v>11</v>
      </c>
      <c r="C109">
        <v>542</v>
      </c>
      <c r="D109" t="s">
        <v>303</v>
      </c>
      <c r="E109">
        <f>YEAR(A109)</f>
        <v>2014</v>
      </c>
      <c r="F109" s="33">
        <f>DATE(YEAR(A109),MONTH(A109),1)</f>
        <v>41730.0</v>
      </c>
      <c r="G109" t="str">
        <f>CHOOSE(WEEKDAY(A109,2),"Mon","Tue","Wed","Thu","Fri","Sat","Sun")</f>
        <v>Sat</v>
      </c>
      <c r="H109" t="str">
        <f>IF(WEEKDAY(A109,2)&gt;5,"Weekend","Weekday")</f>
        <v>Weekend</v>
      </c>
      <c r="I109" t="str">
        <f>_xlfn.IFS(B109&lt;=5,"Night (0-5)",B109&lt;=9,"Morning peak (6-9)",B109&lt;=15,"Midday (10-15)",B109&lt;=19,"Evening peak (16-19)",TRUE,"Late evening (20-23)")</f>
        <v>Midday (10-15)</v>
      </c>
    </row>
    <row r="110" spans="1:9">
      <c r="A110" s="32">
        <v>41734</v>
      </c>
      <c r="B110">
        <v>12</v>
      </c>
      <c r="C110">
        <v>657</v>
      </c>
      <c r="D110" t="s">
        <v>303</v>
      </c>
      <c r="E110">
        <f>YEAR(A110)</f>
        <v>2014</v>
      </c>
      <c r="F110" s="33">
        <f>DATE(YEAR(A110),MONTH(A110),1)</f>
        <v>41730.0</v>
      </c>
      <c r="G110" t="str">
        <f>CHOOSE(WEEKDAY(A110,2),"Mon","Tue","Wed","Thu","Fri","Sat","Sun")</f>
        <v>Sat</v>
      </c>
      <c r="H110" t="str">
        <f>IF(WEEKDAY(A110,2)&gt;5,"Weekend","Weekday")</f>
        <v>Weekend</v>
      </c>
      <c r="I110" t="str">
        <f>_xlfn.IFS(B110&lt;=5,"Night (0-5)",B110&lt;=9,"Morning peak (6-9)",B110&lt;=15,"Midday (10-15)",B110&lt;=19,"Evening peak (16-19)",TRUE,"Late evening (20-23)")</f>
        <v>Midday (10-15)</v>
      </c>
    </row>
    <row r="111" spans="1:9">
      <c r="A111" s="32">
        <v>41734</v>
      </c>
      <c r="B111">
        <v>13</v>
      </c>
      <c r="C111">
        <v>647</v>
      </c>
      <c r="D111" t="s">
        <v>303</v>
      </c>
      <c r="E111">
        <f>YEAR(A111)</f>
        <v>2014</v>
      </c>
      <c r="F111" s="33">
        <f>DATE(YEAR(A111),MONTH(A111),1)</f>
        <v>41730.0</v>
      </c>
      <c r="G111" t="str">
        <f>CHOOSE(WEEKDAY(A111,2),"Mon","Tue","Wed","Thu","Fri","Sat","Sun")</f>
        <v>Sat</v>
      </c>
      <c r="H111" t="str">
        <f>IF(WEEKDAY(A111,2)&gt;5,"Weekend","Weekday")</f>
        <v>Weekend</v>
      </c>
      <c r="I111" t="str">
        <f>_xlfn.IFS(B111&lt;=5,"Night (0-5)",B111&lt;=9,"Morning peak (6-9)",B111&lt;=15,"Midday (10-15)",B111&lt;=19,"Evening peak (16-19)",TRUE,"Late evening (20-23)")</f>
        <v>Midday (10-15)</v>
      </c>
    </row>
    <row r="112" spans="1:9">
      <c r="A112" s="32">
        <v>41734</v>
      </c>
      <c r="B112">
        <v>14</v>
      </c>
      <c r="C112">
        <v>704</v>
      </c>
      <c r="D112" t="s">
        <v>303</v>
      </c>
      <c r="E112">
        <f>YEAR(A112)</f>
        <v>2014</v>
      </c>
      <c r="F112" s="33">
        <f>DATE(YEAR(A112),MONTH(A112),1)</f>
        <v>41730.0</v>
      </c>
      <c r="G112" t="str">
        <f>CHOOSE(WEEKDAY(A112,2),"Mon","Tue","Wed","Thu","Fri","Sat","Sun")</f>
        <v>Sat</v>
      </c>
      <c r="H112" t="str">
        <f>IF(WEEKDAY(A112,2)&gt;5,"Weekend","Weekday")</f>
        <v>Weekend</v>
      </c>
      <c r="I112" t="str">
        <f>_xlfn.IFS(B112&lt;=5,"Night (0-5)",B112&lt;=9,"Morning peak (6-9)",B112&lt;=15,"Midday (10-15)",B112&lt;=19,"Evening peak (16-19)",TRUE,"Late evening (20-23)")</f>
        <v>Midday (10-15)</v>
      </c>
    </row>
    <row r="113" spans="1:9">
      <c r="A113" s="32">
        <v>41734</v>
      </c>
      <c r="B113">
        <v>15</v>
      </c>
      <c r="C113">
        <v>1078</v>
      </c>
      <c r="D113" t="s">
        <v>303</v>
      </c>
      <c r="E113">
        <f>YEAR(A113)</f>
        <v>2014</v>
      </c>
      <c r="F113" s="33">
        <f>DATE(YEAR(A113),MONTH(A113),1)</f>
        <v>41730.0</v>
      </c>
      <c r="G113" t="str">
        <f>CHOOSE(WEEKDAY(A113,2),"Mon","Tue","Wed","Thu","Fri","Sat","Sun")</f>
        <v>Sat</v>
      </c>
      <c r="H113" t="str">
        <f>IF(WEEKDAY(A113,2)&gt;5,"Weekend","Weekday")</f>
        <v>Weekend</v>
      </c>
      <c r="I113" t="str">
        <f>_xlfn.IFS(B113&lt;=5,"Night (0-5)",B113&lt;=9,"Morning peak (6-9)",B113&lt;=15,"Midday (10-15)",B113&lt;=19,"Evening peak (16-19)",TRUE,"Late evening (20-23)")</f>
        <v>Midday (10-15)</v>
      </c>
    </row>
    <row r="114" spans="1:9">
      <c r="A114" s="32">
        <v>41734</v>
      </c>
      <c r="B114">
        <v>16</v>
      </c>
      <c r="C114">
        <v>1313</v>
      </c>
      <c r="D114" t="s">
        <v>303</v>
      </c>
      <c r="E114">
        <f>YEAR(A114)</f>
        <v>2014</v>
      </c>
      <c r="F114" s="33">
        <f>DATE(YEAR(A114),MONTH(A114),1)</f>
        <v>41730.0</v>
      </c>
      <c r="G114" t="str">
        <f>CHOOSE(WEEKDAY(A114,2),"Mon","Tue","Wed","Thu","Fri","Sat","Sun")</f>
        <v>Sat</v>
      </c>
      <c r="H114" t="str">
        <f>IF(WEEKDAY(A114,2)&gt;5,"Weekend","Weekday")</f>
        <v>Weekend</v>
      </c>
      <c r="I114" t="str">
        <f>_xlfn.IFS(B114&lt;=5,"Night (0-5)",B114&lt;=9,"Morning peak (6-9)",B114&lt;=15,"Midday (10-15)",B114&lt;=19,"Evening peak (16-19)",TRUE,"Late evening (20-23)")</f>
        <v>Evening peak (16-19)</v>
      </c>
    </row>
    <row r="115" spans="1:9">
      <c r="A115" s="32">
        <v>41734</v>
      </c>
      <c r="B115">
        <v>17</v>
      </c>
      <c r="C115">
        <v>1445</v>
      </c>
      <c r="D115" t="s">
        <v>303</v>
      </c>
      <c r="E115">
        <f>YEAR(A115)</f>
        <v>2014</v>
      </c>
      <c r="F115" s="33">
        <f>DATE(YEAR(A115),MONTH(A115),1)</f>
        <v>41730.0</v>
      </c>
      <c r="G115" t="str">
        <f>CHOOSE(WEEKDAY(A115,2),"Mon","Tue","Wed","Thu","Fri","Sat","Sun")</f>
        <v>Sat</v>
      </c>
      <c r="H115" t="str">
        <f>IF(WEEKDAY(A115,2)&gt;5,"Weekend","Weekday")</f>
        <v>Weekend</v>
      </c>
      <c r="I115" t="str">
        <f>_xlfn.IFS(B115&lt;=5,"Night (0-5)",B115&lt;=9,"Morning peak (6-9)",B115&lt;=15,"Midday (10-15)",B115&lt;=19,"Evening peak (16-19)",TRUE,"Late evening (20-23)")</f>
        <v>Evening peak (16-19)</v>
      </c>
    </row>
    <row r="116" spans="1:9">
      <c r="A116" s="32">
        <v>41734</v>
      </c>
      <c r="B116">
        <v>18</v>
      </c>
      <c r="C116">
        <v>1575</v>
      </c>
      <c r="D116" t="s">
        <v>303</v>
      </c>
      <c r="E116">
        <f>YEAR(A116)</f>
        <v>2014</v>
      </c>
      <c r="F116" s="33">
        <f>DATE(YEAR(A116),MONTH(A116),1)</f>
        <v>41730.0</v>
      </c>
      <c r="G116" t="str">
        <f>CHOOSE(WEEKDAY(A116,2),"Mon","Tue","Wed","Thu","Fri","Sat","Sun")</f>
        <v>Sat</v>
      </c>
      <c r="H116" t="str">
        <f>IF(WEEKDAY(A116,2)&gt;5,"Weekend","Weekday")</f>
        <v>Weekend</v>
      </c>
      <c r="I116" t="str">
        <f>_xlfn.IFS(B116&lt;=5,"Night (0-5)",B116&lt;=9,"Morning peak (6-9)",B116&lt;=15,"Midday (10-15)",B116&lt;=19,"Evening peak (16-19)",TRUE,"Late evening (20-23)")</f>
        <v>Evening peak (16-19)</v>
      </c>
    </row>
    <row r="117" spans="1:9">
      <c r="A117" s="32">
        <v>41734</v>
      </c>
      <c r="B117">
        <v>19</v>
      </c>
      <c r="C117">
        <v>1440</v>
      </c>
      <c r="D117" t="s">
        <v>303</v>
      </c>
      <c r="E117">
        <f>YEAR(A117)</f>
        <v>2014</v>
      </c>
      <c r="F117" s="33">
        <f>DATE(YEAR(A117),MONTH(A117),1)</f>
        <v>41730.0</v>
      </c>
      <c r="G117" t="str">
        <f>CHOOSE(WEEKDAY(A117,2),"Mon","Tue","Wed","Thu","Fri","Sat","Sun")</f>
        <v>Sat</v>
      </c>
      <c r="H117" t="str">
        <f>IF(WEEKDAY(A117,2)&gt;5,"Weekend","Weekday")</f>
        <v>Weekend</v>
      </c>
      <c r="I117" t="str">
        <f>_xlfn.IFS(B117&lt;=5,"Night (0-5)",B117&lt;=9,"Morning peak (6-9)",B117&lt;=15,"Midday (10-15)",B117&lt;=19,"Evening peak (16-19)",TRUE,"Late evening (20-23)")</f>
        <v>Evening peak (16-19)</v>
      </c>
    </row>
    <row r="118" spans="1:9">
      <c r="A118" s="32">
        <v>41734</v>
      </c>
      <c r="B118">
        <v>20</v>
      </c>
      <c r="C118">
        <v>1348</v>
      </c>
      <c r="D118" t="s">
        <v>303</v>
      </c>
      <c r="E118">
        <f>YEAR(A118)</f>
        <v>2014</v>
      </c>
      <c r="F118" s="33">
        <f>DATE(YEAR(A118),MONTH(A118),1)</f>
        <v>41730.0</v>
      </c>
      <c r="G118" t="str">
        <f>CHOOSE(WEEKDAY(A118,2),"Mon","Tue","Wed","Thu","Fri","Sat","Sun")</f>
        <v>Sat</v>
      </c>
      <c r="H118" t="str">
        <f>IF(WEEKDAY(A118,2)&gt;5,"Weekend","Weekday")</f>
        <v>Weekend</v>
      </c>
      <c r="I118" t="str">
        <f>_xlfn.IFS(B118&lt;=5,"Night (0-5)",B118&lt;=9,"Morning peak (6-9)",B118&lt;=15,"Midday (10-15)",B118&lt;=19,"Evening peak (16-19)",TRUE,"Late evening (20-23)")</f>
        <v>Late evening (20-23)</v>
      </c>
    </row>
    <row r="119" spans="1:9">
      <c r="A119" s="32">
        <v>41734</v>
      </c>
      <c r="B119">
        <v>21</v>
      </c>
      <c r="C119">
        <v>1572</v>
      </c>
      <c r="D119" t="s">
        <v>303</v>
      </c>
      <c r="E119">
        <f>YEAR(A119)</f>
        <v>2014</v>
      </c>
      <c r="F119" s="33">
        <f>DATE(YEAR(A119),MONTH(A119),1)</f>
        <v>41730.0</v>
      </c>
      <c r="G119" t="str">
        <f>CHOOSE(WEEKDAY(A119,2),"Mon","Tue","Wed","Thu","Fri","Sat","Sun")</f>
        <v>Sat</v>
      </c>
      <c r="H119" t="str">
        <f>IF(WEEKDAY(A119,2)&gt;5,"Weekend","Weekday")</f>
        <v>Weekend</v>
      </c>
      <c r="I119" t="str">
        <f>_xlfn.IFS(B119&lt;=5,"Night (0-5)",B119&lt;=9,"Morning peak (6-9)",B119&lt;=15,"Midday (10-15)",B119&lt;=19,"Evening peak (16-19)",TRUE,"Late evening (20-23)")</f>
        <v>Late evening (20-23)</v>
      </c>
    </row>
    <row r="120" spans="1:9">
      <c r="A120" s="32">
        <v>41734</v>
      </c>
      <c r="B120">
        <v>22</v>
      </c>
      <c r="C120">
        <v>1830</v>
      </c>
      <c r="D120" t="s">
        <v>303</v>
      </c>
      <c r="E120">
        <f>YEAR(A120)</f>
        <v>2014</v>
      </c>
      <c r="F120" s="33">
        <f>DATE(YEAR(A120),MONTH(A120),1)</f>
        <v>41730.0</v>
      </c>
      <c r="G120" t="str">
        <f>CHOOSE(WEEKDAY(A120,2),"Mon","Tue","Wed","Thu","Fri","Sat","Sun")</f>
        <v>Sat</v>
      </c>
      <c r="H120" t="str">
        <f>IF(WEEKDAY(A120,2)&gt;5,"Weekend","Weekday")</f>
        <v>Weekend</v>
      </c>
      <c r="I120" t="str">
        <f>_xlfn.IFS(B120&lt;=5,"Night (0-5)",B120&lt;=9,"Morning peak (6-9)",B120&lt;=15,"Midday (10-15)",B120&lt;=19,"Evening peak (16-19)",TRUE,"Late evening (20-23)")</f>
        <v>Late evening (20-23)</v>
      </c>
    </row>
    <row r="121" spans="1:9">
      <c r="A121" s="32">
        <v>41734</v>
      </c>
      <c r="B121">
        <v>23</v>
      </c>
      <c r="C121">
        <v>1700</v>
      </c>
      <c r="D121" t="s">
        <v>303</v>
      </c>
      <c r="E121">
        <f>YEAR(A121)</f>
        <v>2014</v>
      </c>
      <c r="F121" s="33">
        <f>DATE(YEAR(A121),MONTH(A121),1)</f>
        <v>41730.0</v>
      </c>
      <c r="G121" t="str">
        <f>CHOOSE(WEEKDAY(A121,2),"Mon","Tue","Wed","Thu","Fri","Sat","Sun")</f>
        <v>Sat</v>
      </c>
      <c r="H121" t="str">
        <f>IF(WEEKDAY(A121,2)&gt;5,"Weekend","Weekday")</f>
        <v>Weekend</v>
      </c>
      <c r="I121" t="str">
        <f>_xlfn.IFS(B121&lt;=5,"Night (0-5)",B121&lt;=9,"Morning peak (6-9)",B121&lt;=15,"Midday (10-15)",B121&lt;=19,"Evening peak (16-19)",TRUE,"Late evening (20-23)")</f>
        <v>Late evening (20-23)</v>
      </c>
    </row>
    <row r="122" spans="1:9">
      <c r="A122" s="32">
        <v>41735</v>
      </c>
      <c r="B122">
        <v>0</v>
      </c>
      <c r="C122">
        <v>1485</v>
      </c>
      <c r="D122" t="s">
        <v>303</v>
      </c>
      <c r="E122">
        <f>YEAR(A122)</f>
        <v>2014</v>
      </c>
      <c r="F122" s="33">
        <f>DATE(YEAR(A122),MONTH(A122),1)</f>
        <v>41730.0</v>
      </c>
      <c r="G122" t="str">
        <f>CHOOSE(WEEKDAY(A122,2),"Mon","Tue","Wed","Thu","Fri","Sat","Sun")</f>
        <v>Sun</v>
      </c>
      <c r="H122" t="str">
        <f>IF(WEEKDAY(A122,2)&gt;5,"Weekend","Weekday")</f>
        <v>Weekend</v>
      </c>
      <c r="I122" t="str">
        <f>_xlfn.IFS(B122&lt;=5,"Night (0-5)",B122&lt;=9,"Morning peak (6-9)",B122&lt;=15,"Midday (10-15)",B122&lt;=19,"Evening peak (16-19)",TRUE,"Late evening (20-23)")</f>
        <v>Night (0-5)</v>
      </c>
    </row>
    <row r="123" spans="1:9">
      <c r="A123" s="32">
        <v>41735</v>
      </c>
      <c r="B123">
        <v>1</v>
      </c>
      <c r="C123">
        <v>940</v>
      </c>
      <c r="D123" t="s">
        <v>303</v>
      </c>
      <c r="E123">
        <f>YEAR(A123)</f>
        <v>2014</v>
      </c>
      <c r="F123" s="33">
        <f>DATE(YEAR(A123),MONTH(A123),1)</f>
        <v>41730.0</v>
      </c>
      <c r="G123" t="str">
        <f>CHOOSE(WEEKDAY(A123,2),"Mon","Tue","Wed","Thu","Fri","Sat","Sun")</f>
        <v>Sun</v>
      </c>
      <c r="H123" t="str">
        <f>IF(WEEKDAY(A123,2)&gt;5,"Weekend","Weekday")</f>
        <v>Weekend</v>
      </c>
      <c r="I123" t="str">
        <f>_xlfn.IFS(B123&lt;=5,"Night (0-5)",B123&lt;=9,"Morning peak (6-9)",B123&lt;=15,"Midday (10-15)",B123&lt;=19,"Evening peak (16-19)",TRUE,"Late evening (20-23)")</f>
        <v>Night (0-5)</v>
      </c>
    </row>
    <row r="124" spans="1:9">
      <c r="A124" s="32">
        <v>41735</v>
      </c>
      <c r="B124">
        <v>2</v>
      </c>
      <c r="C124">
        <v>501</v>
      </c>
      <c r="D124" t="s">
        <v>303</v>
      </c>
      <c r="E124">
        <f>YEAR(A124)</f>
        <v>2014</v>
      </c>
      <c r="F124" s="33">
        <f>DATE(YEAR(A124),MONTH(A124),1)</f>
        <v>41730.0</v>
      </c>
      <c r="G124" t="str">
        <f>CHOOSE(WEEKDAY(A124,2),"Mon","Tue","Wed","Thu","Fri","Sat","Sun")</f>
        <v>Sun</v>
      </c>
      <c r="H124" t="str">
        <f>IF(WEEKDAY(A124,2)&gt;5,"Weekend","Weekday")</f>
        <v>Weekend</v>
      </c>
      <c r="I124" t="str">
        <f>_xlfn.IFS(B124&lt;=5,"Night (0-5)",B124&lt;=9,"Morning peak (6-9)",B124&lt;=15,"Midday (10-15)",B124&lt;=19,"Evening peak (16-19)",TRUE,"Late evening (20-23)")</f>
        <v>Night (0-5)</v>
      </c>
    </row>
    <row r="125" spans="1:9">
      <c r="A125" s="32">
        <v>41735</v>
      </c>
      <c r="B125">
        <v>3</v>
      </c>
      <c r="C125">
        <v>315</v>
      </c>
      <c r="D125" t="s">
        <v>303</v>
      </c>
      <c r="E125">
        <f>YEAR(A125)</f>
        <v>2014</v>
      </c>
      <c r="F125" s="33">
        <f>DATE(YEAR(A125),MONTH(A125),1)</f>
        <v>41730.0</v>
      </c>
      <c r="G125" t="str">
        <f>CHOOSE(WEEKDAY(A125,2),"Mon","Tue","Wed","Thu","Fri","Sat","Sun")</f>
        <v>Sun</v>
      </c>
      <c r="H125" t="str">
        <f>IF(WEEKDAY(A125,2)&gt;5,"Weekend","Weekday")</f>
        <v>Weekend</v>
      </c>
      <c r="I125" t="str">
        <f>_xlfn.IFS(B125&lt;=5,"Night (0-5)",B125&lt;=9,"Morning peak (6-9)",B125&lt;=15,"Midday (10-15)",B125&lt;=19,"Evening peak (16-19)",TRUE,"Late evening (20-23)")</f>
        <v>Night (0-5)</v>
      </c>
    </row>
    <row r="126" spans="1:9">
      <c r="A126" s="32">
        <v>41735</v>
      </c>
      <c r="B126">
        <v>4</v>
      </c>
      <c r="C126">
        <v>201</v>
      </c>
      <c r="D126" t="s">
        <v>303</v>
      </c>
      <c r="E126">
        <f>YEAR(A126)</f>
        <v>2014</v>
      </c>
      <c r="F126" s="33">
        <f>DATE(YEAR(A126),MONTH(A126),1)</f>
        <v>41730.0</v>
      </c>
      <c r="G126" t="str">
        <f>CHOOSE(WEEKDAY(A126,2),"Mon","Tue","Wed","Thu","Fri","Sat","Sun")</f>
        <v>Sun</v>
      </c>
      <c r="H126" t="str">
        <f>IF(WEEKDAY(A126,2)&gt;5,"Weekend","Weekday")</f>
        <v>Weekend</v>
      </c>
      <c r="I126" t="str">
        <f>_xlfn.IFS(B126&lt;=5,"Night (0-5)",B126&lt;=9,"Morning peak (6-9)",B126&lt;=15,"Midday (10-15)",B126&lt;=19,"Evening peak (16-19)",TRUE,"Late evening (20-23)")</f>
        <v>Night (0-5)</v>
      </c>
    </row>
    <row r="127" spans="1:9">
      <c r="A127" s="32">
        <v>41735</v>
      </c>
      <c r="B127">
        <v>5</v>
      </c>
      <c r="C127">
        <v>177</v>
      </c>
      <c r="D127" t="s">
        <v>303</v>
      </c>
      <c r="E127">
        <f>YEAR(A127)</f>
        <v>2014</v>
      </c>
      <c r="F127" s="33">
        <f>DATE(YEAR(A127),MONTH(A127),1)</f>
        <v>41730.0</v>
      </c>
      <c r="G127" t="str">
        <f>CHOOSE(WEEKDAY(A127,2),"Mon","Tue","Wed","Thu","Fri","Sat","Sun")</f>
        <v>Sun</v>
      </c>
      <c r="H127" t="str">
        <f>IF(WEEKDAY(A127,2)&gt;5,"Weekend","Weekday")</f>
        <v>Weekend</v>
      </c>
      <c r="I127" t="str">
        <f>_xlfn.IFS(B127&lt;=5,"Night (0-5)",B127&lt;=9,"Morning peak (6-9)",B127&lt;=15,"Midday (10-15)",B127&lt;=19,"Evening peak (16-19)",TRUE,"Late evening (20-23)")</f>
        <v>Night (0-5)</v>
      </c>
    </row>
    <row r="128" spans="1:9">
      <c r="A128" s="32">
        <v>41735</v>
      </c>
      <c r="B128">
        <v>6</v>
      </c>
      <c r="C128">
        <v>174</v>
      </c>
      <c r="D128" t="s">
        <v>303</v>
      </c>
      <c r="E128">
        <f>YEAR(A128)</f>
        <v>2014</v>
      </c>
      <c r="F128" s="33">
        <f>DATE(YEAR(A128),MONTH(A128),1)</f>
        <v>41730.0</v>
      </c>
      <c r="G128" t="str">
        <f>CHOOSE(WEEKDAY(A128,2),"Mon","Tue","Wed","Thu","Fri","Sat","Sun")</f>
        <v>Sun</v>
      </c>
      <c r="H128" t="str">
        <f>IF(WEEKDAY(A128,2)&gt;5,"Weekend","Weekday")</f>
        <v>Weekend</v>
      </c>
      <c r="I128" t="str">
        <f>_xlfn.IFS(B128&lt;=5,"Night (0-5)",B128&lt;=9,"Morning peak (6-9)",B128&lt;=15,"Midday (10-15)",B128&lt;=19,"Evening peak (16-19)",TRUE,"Late evening (20-23)")</f>
        <v>Morning peak (6-9)</v>
      </c>
    </row>
    <row r="129" spans="1:9">
      <c r="A129" s="32">
        <v>41735</v>
      </c>
      <c r="B129">
        <v>7</v>
      </c>
      <c r="C129">
        <v>226</v>
      </c>
      <c r="D129" t="s">
        <v>303</v>
      </c>
      <c r="E129">
        <f>YEAR(A129)</f>
        <v>2014</v>
      </c>
      <c r="F129" s="33">
        <f>DATE(YEAR(A129),MONTH(A129),1)</f>
        <v>41730.0</v>
      </c>
      <c r="G129" t="str">
        <f>CHOOSE(WEEKDAY(A129,2),"Mon","Tue","Wed","Thu","Fri","Sat","Sun")</f>
        <v>Sun</v>
      </c>
      <c r="H129" t="str">
        <f>IF(WEEKDAY(A129,2)&gt;5,"Weekend","Weekday")</f>
        <v>Weekend</v>
      </c>
      <c r="I129" t="str">
        <f>_xlfn.IFS(B129&lt;=5,"Night (0-5)",B129&lt;=9,"Morning peak (6-9)",B129&lt;=15,"Midday (10-15)",B129&lt;=19,"Evening peak (16-19)",TRUE,"Late evening (20-23)")</f>
        <v>Morning peak (6-9)</v>
      </c>
    </row>
    <row r="130" spans="1:9">
      <c r="A130" s="32">
        <v>41735</v>
      </c>
      <c r="B130">
        <v>8</v>
      </c>
      <c r="C130">
        <v>313</v>
      </c>
      <c r="D130" t="s">
        <v>303</v>
      </c>
      <c r="E130">
        <f>YEAR(A130)</f>
        <v>2014</v>
      </c>
      <c r="F130" s="33">
        <f>DATE(YEAR(A130),MONTH(A130),1)</f>
        <v>41730.0</v>
      </c>
      <c r="G130" t="str">
        <f>CHOOSE(WEEKDAY(A130,2),"Mon","Tue","Wed","Thu","Fri","Sat","Sun")</f>
        <v>Sun</v>
      </c>
      <c r="H130" t="str">
        <f>IF(WEEKDAY(A130,2)&gt;5,"Weekend","Weekday")</f>
        <v>Weekend</v>
      </c>
      <c r="I130" t="str">
        <f>_xlfn.IFS(B130&lt;=5,"Night (0-5)",B130&lt;=9,"Morning peak (6-9)",B130&lt;=15,"Midday (10-15)",B130&lt;=19,"Evening peak (16-19)",TRUE,"Late evening (20-23)")</f>
        <v>Morning peak (6-9)</v>
      </c>
    </row>
    <row r="131" spans="1:9">
      <c r="A131" s="32">
        <v>41735</v>
      </c>
      <c r="B131">
        <v>9</v>
      </c>
      <c r="C131">
        <v>441</v>
      </c>
      <c r="D131" t="s">
        <v>303</v>
      </c>
      <c r="E131">
        <f>YEAR(A131)</f>
        <v>2014</v>
      </c>
      <c r="F131" s="33">
        <f>DATE(YEAR(A131),MONTH(A131),1)</f>
        <v>41730.0</v>
      </c>
      <c r="G131" t="str">
        <f>CHOOSE(WEEKDAY(A131,2),"Mon","Tue","Wed","Thu","Fri","Sat","Sun")</f>
        <v>Sun</v>
      </c>
      <c r="H131" t="str">
        <f>IF(WEEKDAY(A131,2)&gt;5,"Weekend","Weekday")</f>
        <v>Weekend</v>
      </c>
      <c r="I131" t="str">
        <f>_xlfn.IFS(B131&lt;=5,"Night (0-5)",B131&lt;=9,"Morning peak (6-9)",B131&lt;=15,"Midday (10-15)",B131&lt;=19,"Evening peak (16-19)",TRUE,"Late evening (20-23)")</f>
        <v>Morning peak (6-9)</v>
      </c>
    </row>
    <row r="132" spans="1:9">
      <c r="A132" s="32">
        <v>41735</v>
      </c>
      <c r="B132">
        <v>10</v>
      </c>
      <c r="C132">
        <v>547</v>
      </c>
      <c r="D132" t="s">
        <v>303</v>
      </c>
      <c r="E132">
        <f>YEAR(A132)</f>
        <v>2014</v>
      </c>
      <c r="F132" s="33">
        <f>DATE(YEAR(A132),MONTH(A132),1)</f>
        <v>41730.0</v>
      </c>
      <c r="G132" t="str">
        <f>CHOOSE(WEEKDAY(A132,2),"Mon","Tue","Wed","Thu","Fri","Sat","Sun")</f>
        <v>Sun</v>
      </c>
      <c r="H132" t="str">
        <f>IF(WEEKDAY(A132,2)&gt;5,"Weekend","Weekday")</f>
        <v>Weekend</v>
      </c>
      <c r="I132" t="str">
        <f>_xlfn.IFS(B132&lt;=5,"Night (0-5)",B132&lt;=9,"Morning peak (6-9)",B132&lt;=15,"Midday (10-15)",B132&lt;=19,"Evening peak (16-19)",TRUE,"Late evening (20-23)")</f>
        <v>Midday (10-15)</v>
      </c>
    </row>
    <row r="133" spans="1:9">
      <c r="A133" s="32">
        <v>41735</v>
      </c>
      <c r="B133">
        <v>11</v>
      </c>
      <c r="C133">
        <v>563</v>
      </c>
      <c r="D133" t="s">
        <v>303</v>
      </c>
      <c r="E133">
        <f>YEAR(A133)</f>
        <v>2014</v>
      </c>
      <c r="F133" s="33">
        <f>DATE(YEAR(A133),MONTH(A133),1)</f>
        <v>41730.0</v>
      </c>
      <c r="G133" t="str">
        <f>CHOOSE(WEEKDAY(A133,2),"Mon","Tue","Wed","Thu","Fri","Sat","Sun")</f>
        <v>Sun</v>
      </c>
      <c r="H133" t="str">
        <f>IF(WEEKDAY(A133,2)&gt;5,"Weekend","Weekday")</f>
        <v>Weekend</v>
      </c>
      <c r="I133" t="str">
        <f>_xlfn.IFS(B133&lt;=5,"Night (0-5)",B133&lt;=9,"Morning peak (6-9)",B133&lt;=15,"Midday (10-15)",B133&lt;=19,"Evening peak (16-19)",TRUE,"Late evening (20-23)")</f>
        <v>Midday (10-15)</v>
      </c>
    </row>
    <row r="134" spans="1:9">
      <c r="A134" s="32">
        <v>41735</v>
      </c>
      <c r="B134">
        <v>12</v>
      </c>
      <c r="C134">
        <v>594</v>
      </c>
      <c r="D134" t="s">
        <v>303</v>
      </c>
      <c r="E134">
        <f>YEAR(A134)</f>
        <v>2014</v>
      </c>
      <c r="F134" s="33">
        <f>DATE(YEAR(A134),MONTH(A134),1)</f>
        <v>41730.0</v>
      </c>
      <c r="G134" t="str">
        <f>CHOOSE(WEEKDAY(A134,2),"Mon","Tue","Wed","Thu","Fri","Sat","Sun")</f>
        <v>Sun</v>
      </c>
      <c r="H134" t="str">
        <f>IF(WEEKDAY(A134,2)&gt;5,"Weekend","Weekday")</f>
        <v>Weekend</v>
      </c>
      <c r="I134" t="str">
        <f>_xlfn.IFS(B134&lt;=5,"Night (0-5)",B134&lt;=9,"Morning peak (6-9)",B134&lt;=15,"Midday (10-15)",B134&lt;=19,"Evening peak (16-19)",TRUE,"Late evening (20-23)")</f>
        <v>Midday (10-15)</v>
      </c>
    </row>
    <row r="135" spans="1:9">
      <c r="A135" s="32">
        <v>41735</v>
      </c>
      <c r="B135">
        <v>13</v>
      </c>
      <c r="C135">
        <v>677</v>
      </c>
      <c r="D135" t="s">
        <v>303</v>
      </c>
      <c r="E135">
        <f>YEAR(A135)</f>
        <v>2014</v>
      </c>
      <c r="F135" s="33">
        <f>DATE(YEAR(A135),MONTH(A135),1)</f>
        <v>41730.0</v>
      </c>
      <c r="G135" t="str">
        <f>CHOOSE(WEEKDAY(A135,2),"Mon","Tue","Wed","Thu","Fri","Sat","Sun")</f>
        <v>Sun</v>
      </c>
      <c r="H135" t="str">
        <f>IF(WEEKDAY(A135,2)&gt;5,"Weekend","Weekday")</f>
        <v>Weekend</v>
      </c>
      <c r="I135" t="str">
        <f>_xlfn.IFS(B135&lt;=5,"Night (0-5)",B135&lt;=9,"Morning peak (6-9)",B135&lt;=15,"Midday (10-15)",B135&lt;=19,"Evening peak (16-19)",TRUE,"Late evening (20-23)")</f>
        <v>Midday (10-15)</v>
      </c>
    </row>
    <row r="136" spans="1:9">
      <c r="A136" s="32">
        <v>41735</v>
      </c>
      <c r="B136">
        <v>14</v>
      </c>
      <c r="C136">
        <v>698</v>
      </c>
      <c r="D136" t="s">
        <v>303</v>
      </c>
      <c r="E136">
        <f>YEAR(A136)</f>
        <v>2014</v>
      </c>
      <c r="F136" s="33">
        <f>DATE(YEAR(A136),MONTH(A136),1)</f>
        <v>41730.0</v>
      </c>
      <c r="G136" t="str">
        <f>CHOOSE(WEEKDAY(A136,2),"Mon","Tue","Wed","Thu","Fri","Sat","Sun")</f>
        <v>Sun</v>
      </c>
      <c r="H136" t="str">
        <f>IF(WEEKDAY(A136,2)&gt;5,"Weekend","Weekday")</f>
        <v>Weekend</v>
      </c>
      <c r="I136" t="str">
        <f>_xlfn.IFS(B136&lt;=5,"Night (0-5)",B136&lt;=9,"Morning peak (6-9)",B136&lt;=15,"Midday (10-15)",B136&lt;=19,"Evening peak (16-19)",TRUE,"Late evening (20-23)")</f>
        <v>Midday (10-15)</v>
      </c>
    </row>
    <row r="137" spans="1:9">
      <c r="A137" s="32">
        <v>41735</v>
      </c>
      <c r="B137">
        <v>15</v>
      </c>
      <c r="C137">
        <v>847</v>
      </c>
      <c r="D137" t="s">
        <v>303</v>
      </c>
      <c r="E137">
        <f>YEAR(A137)</f>
        <v>2014</v>
      </c>
      <c r="F137" s="33">
        <f>DATE(YEAR(A137),MONTH(A137),1)</f>
        <v>41730.0</v>
      </c>
      <c r="G137" t="str">
        <f>CHOOSE(WEEKDAY(A137,2),"Mon","Tue","Wed","Thu","Fri","Sat","Sun")</f>
        <v>Sun</v>
      </c>
      <c r="H137" t="str">
        <f>IF(WEEKDAY(A137,2)&gt;5,"Weekend","Weekday")</f>
        <v>Weekend</v>
      </c>
      <c r="I137" t="str">
        <f>_xlfn.IFS(B137&lt;=5,"Night (0-5)",B137&lt;=9,"Morning peak (6-9)",B137&lt;=15,"Midday (10-15)",B137&lt;=19,"Evening peak (16-19)",TRUE,"Late evening (20-23)")</f>
        <v>Midday (10-15)</v>
      </c>
    </row>
    <row r="138" spans="1:9">
      <c r="A138" s="32">
        <v>41735</v>
      </c>
      <c r="B138">
        <v>16</v>
      </c>
      <c r="C138">
        <v>806</v>
      </c>
      <c r="D138" t="s">
        <v>303</v>
      </c>
      <c r="E138">
        <f>YEAR(A138)</f>
        <v>2014</v>
      </c>
      <c r="F138" s="33">
        <f>DATE(YEAR(A138),MONTH(A138),1)</f>
        <v>41730.0</v>
      </c>
      <c r="G138" t="str">
        <f>CHOOSE(WEEKDAY(A138,2),"Mon","Tue","Wed","Thu","Fri","Sat","Sun")</f>
        <v>Sun</v>
      </c>
      <c r="H138" t="str">
        <f>IF(WEEKDAY(A138,2)&gt;5,"Weekend","Weekday")</f>
        <v>Weekend</v>
      </c>
      <c r="I138" t="str">
        <f>_xlfn.IFS(B138&lt;=5,"Night (0-5)",B138&lt;=9,"Morning peak (6-9)",B138&lt;=15,"Midday (10-15)",B138&lt;=19,"Evening peak (16-19)",TRUE,"Late evening (20-23)")</f>
        <v>Evening peak (16-19)</v>
      </c>
    </row>
    <row r="139" spans="1:9">
      <c r="A139" s="32">
        <v>41735</v>
      </c>
      <c r="B139">
        <v>17</v>
      </c>
      <c r="C139">
        <v>799</v>
      </c>
      <c r="D139" t="s">
        <v>303</v>
      </c>
      <c r="E139">
        <f>YEAR(A139)</f>
        <v>2014</v>
      </c>
      <c r="F139" s="33">
        <f>DATE(YEAR(A139),MONTH(A139),1)</f>
        <v>41730.0</v>
      </c>
      <c r="G139" t="str">
        <f>CHOOSE(WEEKDAY(A139,2),"Mon","Tue","Wed","Thu","Fri","Sat","Sun")</f>
        <v>Sun</v>
      </c>
      <c r="H139" t="str">
        <f>IF(WEEKDAY(A139,2)&gt;5,"Weekend","Weekday")</f>
        <v>Weekend</v>
      </c>
      <c r="I139" t="str">
        <f>_xlfn.IFS(B139&lt;=5,"Night (0-5)",B139&lt;=9,"Morning peak (6-9)",B139&lt;=15,"Midday (10-15)",B139&lt;=19,"Evening peak (16-19)",TRUE,"Late evening (20-23)")</f>
        <v>Evening peak (16-19)</v>
      </c>
    </row>
    <row r="140" spans="1:9">
      <c r="A140" s="32">
        <v>41735</v>
      </c>
      <c r="B140">
        <v>18</v>
      </c>
      <c r="C140">
        <v>767</v>
      </c>
      <c r="D140" t="s">
        <v>303</v>
      </c>
      <c r="E140">
        <f>YEAR(A140)</f>
        <v>2014</v>
      </c>
      <c r="F140" s="33">
        <f>DATE(YEAR(A140),MONTH(A140),1)</f>
        <v>41730.0</v>
      </c>
      <c r="G140" t="str">
        <f>CHOOSE(WEEKDAY(A140,2),"Mon","Tue","Wed","Thu","Fri","Sat","Sun")</f>
        <v>Sun</v>
      </c>
      <c r="H140" t="str">
        <f>IF(WEEKDAY(A140,2)&gt;5,"Weekend","Weekday")</f>
        <v>Weekend</v>
      </c>
      <c r="I140" t="str">
        <f>_xlfn.IFS(B140&lt;=5,"Night (0-5)",B140&lt;=9,"Morning peak (6-9)",B140&lt;=15,"Midday (10-15)",B140&lt;=19,"Evening peak (16-19)",TRUE,"Late evening (20-23)")</f>
        <v>Evening peak (16-19)</v>
      </c>
    </row>
    <row r="141" spans="1:9">
      <c r="A141" s="32">
        <v>41735</v>
      </c>
      <c r="B141">
        <v>19</v>
      </c>
      <c r="C141">
        <v>641</v>
      </c>
      <c r="D141" t="s">
        <v>303</v>
      </c>
      <c r="E141">
        <f>YEAR(A141)</f>
        <v>2014</v>
      </c>
      <c r="F141" s="33">
        <f>DATE(YEAR(A141),MONTH(A141),1)</f>
        <v>41730.0</v>
      </c>
      <c r="G141" t="str">
        <f>CHOOSE(WEEKDAY(A141,2),"Mon","Tue","Wed","Thu","Fri","Sat","Sun")</f>
        <v>Sun</v>
      </c>
      <c r="H141" t="str">
        <f>IF(WEEKDAY(A141,2)&gt;5,"Weekend","Weekday")</f>
        <v>Weekend</v>
      </c>
      <c r="I141" t="str">
        <f>_xlfn.IFS(B141&lt;=5,"Night (0-5)",B141&lt;=9,"Morning peak (6-9)",B141&lt;=15,"Midday (10-15)",B141&lt;=19,"Evening peak (16-19)",TRUE,"Late evening (20-23)")</f>
        <v>Evening peak (16-19)</v>
      </c>
    </row>
    <row r="142" spans="1:9">
      <c r="A142" s="32">
        <v>41735</v>
      </c>
      <c r="B142">
        <v>20</v>
      </c>
      <c r="C142">
        <v>516</v>
      </c>
      <c r="D142" t="s">
        <v>303</v>
      </c>
      <c r="E142">
        <f>YEAR(A142)</f>
        <v>2014</v>
      </c>
      <c r="F142" s="33">
        <f>DATE(YEAR(A142),MONTH(A142),1)</f>
        <v>41730.0</v>
      </c>
      <c r="G142" t="str">
        <f>CHOOSE(WEEKDAY(A142,2),"Mon","Tue","Wed","Thu","Fri","Sat","Sun")</f>
        <v>Sun</v>
      </c>
      <c r="H142" t="str">
        <f>IF(WEEKDAY(A142,2)&gt;5,"Weekend","Weekday")</f>
        <v>Weekend</v>
      </c>
      <c r="I142" t="str">
        <f>_xlfn.IFS(B142&lt;=5,"Night (0-5)",B142&lt;=9,"Morning peak (6-9)",B142&lt;=15,"Midday (10-15)",B142&lt;=19,"Evening peak (16-19)",TRUE,"Late evening (20-23)")</f>
        <v>Late evening (20-23)</v>
      </c>
    </row>
    <row r="143" spans="1:9">
      <c r="A143" s="32">
        <v>41735</v>
      </c>
      <c r="B143">
        <v>21</v>
      </c>
      <c r="C143">
        <v>571</v>
      </c>
      <c r="D143" t="s">
        <v>303</v>
      </c>
      <c r="E143">
        <f>YEAR(A143)</f>
        <v>2014</v>
      </c>
      <c r="F143" s="33">
        <f>DATE(YEAR(A143),MONTH(A143),1)</f>
        <v>41730.0</v>
      </c>
      <c r="G143" t="str">
        <f>CHOOSE(WEEKDAY(A143,2),"Mon","Tue","Wed","Thu","Fri","Sat","Sun")</f>
        <v>Sun</v>
      </c>
      <c r="H143" t="str">
        <f>IF(WEEKDAY(A143,2)&gt;5,"Weekend","Weekday")</f>
        <v>Weekend</v>
      </c>
      <c r="I143" t="str">
        <f>_xlfn.IFS(B143&lt;=5,"Night (0-5)",B143&lt;=9,"Morning peak (6-9)",B143&lt;=15,"Midday (10-15)",B143&lt;=19,"Evening peak (16-19)",TRUE,"Late evening (20-23)")</f>
        <v>Late evening (20-23)</v>
      </c>
    </row>
    <row r="144" spans="1:9">
      <c r="A144" s="32">
        <v>41735</v>
      </c>
      <c r="B144">
        <v>22</v>
      </c>
      <c r="C144">
        <v>390</v>
      </c>
      <c r="D144" t="s">
        <v>303</v>
      </c>
      <c r="E144">
        <f>YEAR(A144)</f>
        <v>2014</v>
      </c>
      <c r="F144" s="33">
        <f>DATE(YEAR(A144),MONTH(A144),1)</f>
        <v>41730.0</v>
      </c>
      <c r="G144" t="str">
        <f>CHOOSE(WEEKDAY(A144,2),"Mon","Tue","Wed","Thu","Fri","Sat","Sun")</f>
        <v>Sun</v>
      </c>
      <c r="H144" t="str">
        <f>IF(WEEKDAY(A144,2)&gt;5,"Weekend","Weekday")</f>
        <v>Weekend</v>
      </c>
      <c r="I144" t="str">
        <f>_xlfn.IFS(B144&lt;=5,"Night (0-5)",B144&lt;=9,"Morning peak (6-9)",B144&lt;=15,"Midday (10-15)",B144&lt;=19,"Evening peak (16-19)",TRUE,"Late evening (20-23)")</f>
        <v>Late evening (20-23)</v>
      </c>
    </row>
    <row r="145" spans="1:9">
      <c r="A145" s="32">
        <v>41735</v>
      </c>
      <c r="B145">
        <v>23</v>
      </c>
      <c r="C145">
        <v>256</v>
      </c>
      <c r="D145" t="s">
        <v>303</v>
      </c>
      <c r="E145">
        <f>YEAR(A145)</f>
        <v>2014</v>
      </c>
      <c r="F145" s="33">
        <f>DATE(YEAR(A145),MONTH(A145),1)</f>
        <v>41730.0</v>
      </c>
      <c r="G145" t="str">
        <f>CHOOSE(WEEKDAY(A145,2),"Mon","Tue","Wed","Thu","Fri","Sat","Sun")</f>
        <v>Sun</v>
      </c>
      <c r="H145" t="str">
        <f>IF(WEEKDAY(A145,2)&gt;5,"Weekend","Weekday")</f>
        <v>Weekend</v>
      </c>
      <c r="I145" t="str">
        <f>_xlfn.IFS(B145&lt;=5,"Night (0-5)",B145&lt;=9,"Morning peak (6-9)",B145&lt;=15,"Midday (10-15)",B145&lt;=19,"Evening peak (16-19)",TRUE,"Late evening (20-23)")</f>
        <v>Late evening (20-23)</v>
      </c>
    </row>
    <row r="146" spans="1:9">
      <c r="A146" s="32">
        <v>41736</v>
      </c>
      <c r="B146">
        <v>0</v>
      </c>
      <c r="C146">
        <v>102</v>
      </c>
      <c r="D146" t="s">
        <v>303</v>
      </c>
      <c r="E146">
        <f>YEAR(A146)</f>
        <v>2014</v>
      </c>
      <c r="F146" s="33">
        <f>DATE(YEAR(A146),MONTH(A146),1)</f>
        <v>41730.0</v>
      </c>
      <c r="G146" t="str">
        <f>CHOOSE(WEEKDAY(A146,2),"Mon","Tue","Wed","Thu","Fri","Sat","Sun")</f>
        <v>Mon</v>
      </c>
      <c r="H146" t="str">
        <f>IF(WEEKDAY(A146,2)&gt;5,"Weekend","Weekday")</f>
        <v>Weekday</v>
      </c>
      <c r="I146" t="str">
        <f>_xlfn.IFS(B146&lt;=5,"Night (0-5)",B146&lt;=9,"Morning peak (6-9)",B146&lt;=15,"Midday (10-15)",B146&lt;=19,"Evening peak (16-19)",TRUE,"Late evening (20-23)")</f>
        <v>Night (0-5)</v>
      </c>
    </row>
    <row r="147" spans="1:9">
      <c r="A147" s="32">
        <v>41736</v>
      </c>
      <c r="B147">
        <v>1</v>
      </c>
      <c r="C147">
        <v>63</v>
      </c>
      <c r="D147" t="s">
        <v>303</v>
      </c>
      <c r="E147">
        <f>YEAR(A147)</f>
        <v>2014</v>
      </c>
      <c r="F147" s="33">
        <f>DATE(YEAR(A147),MONTH(A147),1)</f>
        <v>41730.0</v>
      </c>
      <c r="G147" t="str">
        <f>CHOOSE(WEEKDAY(A147,2),"Mon","Tue","Wed","Thu","Fri","Sat","Sun")</f>
        <v>Mon</v>
      </c>
      <c r="H147" t="str">
        <f>IF(WEEKDAY(A147,2)&gt;5,"Weekend","Weekday")</f>
        <v>Weekday</v>
      </c>
      <c r="I147" t="str">
        <f>_xlfn.IFS(B147&lt;=5,"Night (0-5)",B147&lt;=9,"Morning peak (6-9)",B147&lt;=15,"Midday (10-15)",B147&lt;=19,"Evening peak (16-19)",TRUE,"Late evening (20-23)")</f>
        <v>Night (0-5)</v>
      </c>
    </row>
    <row r="148" spans="1:9">
      <c r="A148" s="32">
        <v>41736</v>
      </c>
      <c r="B148">
        <v>2</v>
      </c>
      <c r="C148">
        <v>57</v>
      </c>
      <c r="D148" t="s">
        <v>303</v>
      </c>
      <c r="E148">
        <f>YEAR(A148)</f>
        <v>2014</v>
      </c>
      <c r="F148" s="33">
        <f>DATE(YEAR(A148),MONTH(A148),1)</f>
        <v>41730.0</v>
      </c>
      <c r="G148" t="str">
        <f>CHOOSE(WEEKDAY(A148,2),"Mon","Tue","Wed","Thu","Fri","Sat","Sun")</f>
        <v>Mon</v>
      </c>
      <c r="H148" t="str">
        <f>IF(WEEKDAY(A148,2)&gt;5,"Weekend","Weekday")</f>
        <v>Weekday</v>
      </c>
      <c r="I148" t="str">
        <f>_xlfn.IFS(B148&lt;=5,"Night (0-5)",B148&lt;=9,"Morning peak (6-9)",B148&lt;=15,"Midday (10-15)",B148&lt;=19,"Evening peak (16-19)",TRUE,"Late evening (20-23)")</f>
        <v>Night (0-5)</v>
      </c>
    </row>
    <row r="149" spans="1:9">
      <c r="A149" s="32">
        <v>41736</v>
      </c>
      <c r="B149">
        <v>3</v>
      </c>
      <c r="C149">
        <v>154</v>
      </c>
      <c r="D149" t="s">
        <v>303</v>
      </c>
      <c r="E149">
        <f>YEAR(A149)</f>
        <v>2014</v>
      </c>
      <c r="F149" s="33">
        <f>DATE(YEAR(A149),MONTH(A149),1)</f>
        <v>41730.0</v>
      </c>
      <c r="G149" t="str">
        <f>CHOOSE(WEEKDAY(A149,2),"Mon","Tue","Wed","Thu","Fri","Sat","Sun")</f>
        <v>Mon</v>
      </c>
      <c r="H149" t="str">
        <f>IF(WEEKDAY(A149,2)&gt;5,"Weekend","Weekday")</f>
        <v>Weekday</v>
      </c>
      <c r="I149" t="str">
        <f>_xlfn.IFS(B149&lt;=5,"Night (0-5)",B149&lt;=9,"Morning peak (6-9)",B149&lt;=15,"Midday (10-15)",B149&lt;=19,"Evening peak (16-19)",TRUE,"Late evening (20-23)")</f>
        <v>Night (0-5)</v>
      </c>
    </row>
    <row r="150" spans="1:9">
      <c r="A150" s="32">
        <v>41736</v>
      </c>
      <c r="B150">
        <v>4</v>
      </c>
      <c r="C150">
        <v>271</v>
      </c>
      <c r="D150" t="s">
        <v>303</v>
      </c>
      <c r="E150">
        <f>YEAR(A150)</f>
        <v>2014</v>
      </c>
      <c r="F150" s="33">
        <f>DATE(YEAR(A150),MONTH(A150),1)</f>
        <v>41730.0</v>
      </c>
      <c r="G150" t="str">
        <f>CHOOSE(WEEKDAY(A150,2),"Mon","Tue","Wed","Thu","Fri","Sat","Sun")</f>
        <v>Mon</v>
      </c>
      <c r="H150" t="str">
        <f>IF(WEEKDAY(A150,2)&gt;5,"Weekend","Weekday")</f>
        <v>Weekday</v>
      </c>
      <c r="I150" t="str">
        <f>_xlfn.IFS(B150&lt;=5,"Night (0-5)",B150&lt;=9,"Morning peak (6-9)",B150&lt;=15,"Midday (10-15)",B150&lt;=19,"Evening peak (16-19)",TRUE,"Late evening (20-23)")</f>
        <v>Night (0-5)</v>
      </c>
    </row>
    <row r="151" spans="1:9">
      <c r="A151" s="32">
        <v>41736</v>
      </c>
      <c r="B151">
        <v>5</v>
      </c>
      <c r="C151">
        <v>388</v>
      </c>
      <c r="D151" t="s">
        <v>303</v>
      </c>
      <c r="E151">
        <f>YEAR(A151)</f>
        <v>2014</v>
      </c>
      <c r="F151" s="33">
        <f>DATE(YEAR(A151),MONTH(A151),1)</f>
        <v>41730.0</v>
      </c>
      <c r="G151" t="str">
        <f>CHOOSE(WEEKDAY(A151,2),"Mon","Tue","Wed","Thu","Fri","Sat","Sun")</f>
        <v>Mon</v>
      </c>
      <c r="H151" t="str">
        <f>IF(WEEKDAY(A151,2)&gt;5,"Weekend","Weekday")</f>
        <v>Weekday</v>
      </c>
      <c r="I151" t="str">
        <f>_xlfn.IFS(B151&lt;=5,"Night (0-5)",B151&lt;=9,"Morning peak (6-9)",B151&lt;=15,"Midday (10-15)",B151&lt;=19,"Evening peak (16-19)",TRUE,"Late evening (20-23)")</f>
        <v>Night (0-5)</v>
      </c>
    </row>
    <row r="152" spans="1:9">
      <c r="A152" s="32">
        <v>41736</v>
      </c>
      <c r="B152">
        <v>6</v>
      </c>
      <c r="C152">
        <v>842</v>
      </c>
      <c r="D152" t="s">
        <v>303</v>
      </c>
      <c r="E152">
        <f>YEAR(A152)</f>
        <v>2014</v>
      </c>
      <c r="F152" s="33">
        <f>DATE(YEAR(A152),MONTH(A152),1)</f>
        <v>41730.0</v>
      </c>
      <c r="G152" t="str">
        <f>CHOOSE(WEEKDAY(A152,2),"Mon","Tue","Wed","Thu","Fri","Sat","Sun")</f>
        <v>Mon</v>
      </c>
      <c r="H152" t="str">
        <f>IF(WEEKDAY(A152,2)&gt;5,"Weekend","Weekday")</f>
        <v>Weekday</v>
      </c>
      <c r="I152" t="str">
        <f>_xlfn.IFS(B152&lt;=5,"Night (0-5)",B152&lt;=9,"Morning peak (6-9)",B152&lt;=15,"Midday (10-15)",B152&lt;=19,"Evening peak (16-19)",TRUE,"Late evening (20-23)")</f>
        <v>Morning peak (6-9)</v>
      </c>
    </row>
    <row r="153" spans="1:9">
      <c r="A153" s="32">
        <v>41736</v>
      </c>
      <c r="B153">
        <v>7</v>
      </c>
      <c r="C153">
        <v>1057</v>
      </c>
      <c r="D153" t="s">
        <v>303</v>
      </c>
      <c r="E153">
        <f>YEAR(A153)</f>
        <v>2014</v>
      </c>
      <c r="F153" s="33">
        <f>DATE(YEAR(A153),MONTH(A153),1)</f>
        <v>41730.0</v>
      </c>
      <c r="G153" t="str">
        <f>CHOOSE(WEEKDAY(A153,2),"Mon","Tue","Wed","Thu","Fri","Sat","Sun")</f>
        <v>Mon</v>
      </c>
      <c r="H153" t="str">
        <f>IF(WEEKDAY(A153,2)&gt;5,"Weekend","Weekday")</f>
        <v>Weekday</v>
      </c>
      <c r="I153" t="str">
        <f>_xlfn.IFS(B153&lt;=5,"Night (0-5)",B153&lt;=9,"Morning peak (6-9)",B153&lt;=15,"Midday (10-15)",B153&lt;=19,"Evening peak (16-19)",TRUE,"Late evening (20-23)")</f>
        <v>Morning peak (6-9)</v>
      </c>
    </row>
    <row r="154" spans="1:9">
      <c r="A154" s="32">
        <v>41736</v>
      </c>
      <c r="B154">
        <v>8</v>
      </c>
      <c r="C154">
        <v>836</v>
      </c>
      <c r="D154" t="s">
        <v>303</v>
      </c>
      <c r="E154">
        <f>YEAR(A154)</f>
        <v>2014</v>
      </c>
      <c r="F154" s="33">
        <f>DATE(YEAR(A154),MONTH(A154),1)</f>
        <v>41730.0</v>
      </c>
      <c r="G154" t="str">
        <f>CHOOSE(WEEKDAY(A154,2),"Mon","Tue","Wed","Thu","Fri","Sat","Sun")</f>
        <v>Mon</v>
      </c>
      <c r="H154" t="str">
        <f>IF(WEEKDAY(A154,2)&gt;5,"Weekend","Weekday")</f>
        <v>Weekday</v>
      </c>
      <c r="I154" t="str">
        <f>_xlfn.IFS(B154&lt;=5,"Night (0-5)",B154&lt;=9,"Morning peak (6-9)",B154&lt;=15,"Midday (10-15)",B154&lt;=19,"Evening peak (16-19)",TRUE,"Late evening (20-23)")</f>
        <v>Morning peak (6-9)</v>
      </c>
    </row>
    <row r="155" spans="1:9">
      <c r="A155" s="32">
        <v>41736</v>
      </c>
      <c r="B155">
        <v>9</v>
      </c>
      <c r="C155">
        <v>585</v>
      </c>
      <c r="D155" t="s">
        <v>303</v>
      </c>
      <c r="E155">
        <f>YEAR(A155)</f>
        <v>2014</v>
      </c>
      <c r="F155" s="33">
        <f>DATE(YEAR(A155),MONTH(A155),1)</f>
        <v>41730.0</v>
      </c>
      <c r="G155" t="str">
        <f>CHOOSE(WEEKDAY(A155,2),"Mon","Tue","Wed","Thu","Fri","Sat","Sun")</f>
        <v>Mon</v>
      </c>
      <c r="H155" t="str">
        <f>IF(WEEKDAY(A155,2)&gt;5,"Weekend","Weekday")</f>
        <v>Weekday</v>
      </c>
      <c r="I155" t="str">
        <f>_xlfn.IFS(B155&lt;=5,"Night (0-5)",B155&lt;=9,"Morning peak (6-9)",B155&lt;=15,"Midday (10-15)",B155&lt;=19,"Evening peak (16-19)",TRUE,"Late evening (20-23)")</f>
        <v>Morning peak (6-9)</v>
      </c>
    </row>
    <row r="156" spans="1:9">
      <c r="A156" s="32">
        <v>41736</v>
      </c>
      <c r="B156">
        <v>10</v>
      </c>
      <c r="C156">
        <v>509</v>
      </c>
      <c r="D156" t="s">
        <v>303</v>
      </c>
      <c r="E156">
        <f>YEAR(A156)</f>
        <v>2014</v>
      </c>
      <c r="F156" s="33">
        <f>DATE(YEAR(A156),MONTH(A156),1)</f>
        <v>41730.0</v>
      </c>
      <c r="G156" t="str">
        <f>CHOOSE(WEEKDAY(A156,2),"Mon","Tue","Wed","Thu","Fri","Sat","Sun")</f>
        <v>Mon</v>
      </c>
      <c r="H156" t="str">
        <f>IF(WEEKDAY(A156,2)&gt;5,"Weekend","Weekday")</f>
        <v>Weekday</v>
      </c>
      <c r="I156" t="str">
        <f>_xlfn.IFS(B156&lt;=5,"Night (0-5)",B156&lt;=9,"Morning peak (6-9)",B156&lt;=15,"Midday (10-15)",B156&lt;=19,"Evening peak (16-19)",TRUE,"Late evening (20-23)")</f>
        <v>Midday (10-15)</v>
      </c>
    </row>
    <row r="157" spans="1:9">
      <c r="A157" s="32">
        <v>41736</v>
      </c>
      <c r="B157">
        <v>11</v>
      </c>
      <c r="C157">
        <v>485</v>
      </c>
      <c r="D157" t="s">
        <v>303</v>
      </c>
      <c r="E157">
        <f>YEAR(A157)</f>
        <v>2014</v>
      </c>
      <c r="F157" s="33">
        <f>DATE(YEAR(A157),MONTH(A157),1)</f>
        <v>41730.0</v>
      </c>
      <c r="G157" t="str">
        <f>CHOOSE(WEEKDAY(A157,2),"Mon","Tue","Wed","Thu","Fri","Sat","Sun")</f>
        <v>Mon</v>
      </c>
      <c r="H157" t="str">
        <f>IF(WEEKDAY(A157,2)&gt;5,"Weekend","Weekday")</f>
        <v>Weekday</v>
      </c>
      <c r="I157" t="str">
        <f>_xlfn.IFS(B157&lt;=5,"Night (0-5)",B157&lt;=9,"Morning peak (6-9)",B157&lt;=15,"Midday (10-15)",B157&lt;=19,"Evening peak (16-19)",TRUE,"Late evening (20-23)")</f>
        <v>Midday (10-15)</v>
      </c>
    </row>
    <row r="158" spans="1:9">
      <c r="A158" s="32">
        <v>41736</v>
      </c>
      <c r="B158">
        <v>12</v>
      </c>
      <c r="C158">
        <v>463</v>
      </c>
      <c r="D158" t="s">
        <v>303</v>
      </c>
      <c r="E158">
        <f>YEAR(A158)</f>
        <v>2014</v>
      </c>
      <c r="F158" s="33">
        <f>DATE(YEAR(A158),MONTH(A158),1)</f>
        <v>41730.0</v>
      </c>
      <c r="G158" t="str">
        <f>CHOOSE(WEEKDAY(A158,2),"Mon","Tue","Wed","Thu","Fri","Sat","Sun")</f>
        <v>Mon</v>
      </c>
      <c r="H158" t="str">
        <f>IF(WEEKDAY(A158,2)&gt;5,"Weekend","Weekday")</f>
        <v>Weekday</v>
      </c>
      <c r="I158" t="str">
        <f>_xlfn.IFS(B158&lt;=5,"Night (0-5)",B158&lt;=9,"Morning peak (6-9)",B158&lt;=15,"Midday (10-15)",B158&lt;=19,"Evening peak (16-19)",TRUE,"Late evening (20-23)")</f>
        <v>Midday (10-15)</v>
      </c>
    </row>
    <row r="159" spans="1:9">
      <c r="A159" s="32">
        <v>41736</v>
      </c>
      <c r="B159">
        <v>13</v>
      </c>
      <c r="C159">
        <v>578</v>
      </c>
      <c r="D159" t="s">
        <v>303</v>
      </c>
      <c r="E159">
        <f>YEAR(A159)</f>
        <v>2014</v>
      </c>
      <c r="F159" s="33">
        <f>DATE(YEAR(A159),MONTH(A159),1)</f>
        <v>41730.0</v>
      </c>
      <c r="G159" t="str">
        <f>CHOOSE(WEEKDAY(A159,2),"Mon","Tue","Wed","Thu","Fri","Sat","Sun")</f>
        <v>Mon</v>
      </c>
      <c r="H159" t="str">
        <f>IF(WEEKDAY(A159,2)&gt;5,"Weekend","Weekday")</f>
        <v>Weekday</v>
      </c>
      <c r="I159" t="str">
        <f>_xlfn.IFS(B159&lt;=5,"Night (0-5)",B159&lt;=9,"Morning peak (6-9)",B159&lt;=15,"Midday (10-15)",B159&lt;=19,"Evening peak (16-19)",TRUE,"Late evening (20-23)")</f>
        <v>Midday (10-15)</v>
      </c>
    </row>
    <row r="160" spans="1:9">
      <c r="A160" s="32">
        <v>41736</v>
      </c>
      <c r="B160">
        <v>14</v>
      </c>
      <c r="C160">
        <v>861</v>
      </c>
      <c r="D160" t="s">
        <v>303</v>
      </c>
      <c r="E160">
        <f>YEAR(A160)</f>
        <v>2014</v>
      </c>
      <c r="F160" s="33">
        <f>DATE(YEAR(A160),MONTH(A160),1)</f>
        <v>41730.0</v>
      </c>
      <c r="G160" t="str">
        <f>CHOOSE(WEEKDAY(A160,2),"Mon","Tue","Wed","Thu","Fri","Sat","Sun")</f>
        <v>Mon</v>
      </c>
      <c r="H160" t="str">
        <f>IF(WEEKDAY(A160,2)&gt;5,"Weekend","Weekday")</f>
        <v>Weekday</v>
      </c>
      <c r="I160" t="str">
        <f>_xlfn.IFS(B160&lt;=5,"Night (0-5)",B160&lt;=9,"Morning peak (6-9)",B160&lt;=15,"Midday (10-15)",B160&lt;=19,"Evening peak (16-19)",TRUE,"Late evening (20-23)")</f>
        <v>Midday (10-15)</v>
      </c>
    </row>
    <row r="161" spans="1:9">
      <c r="A161" s="32">
        <v>41736</v>
      </c>
      <c r="B161">
        <v>15</v>
      </c>
      <c r="C161">
        <v>1061</v>
      </c>
      <c r="D161" t="s">
        <v>303</v>
      </c>
      <c r="E161">
        <f>YEAR(A161)</f>
        <v>2014</v>
      </c>
      <c r="F161" s="33">
        <f>DATE(YEAR(A161),MONTH(A161),1)</f>
        <v>41730.0</v>
      </c>
      <c r="G161" t="str">
        <f>CHOOSE(WEEKDAY(A161,2),"Mon","Tue","Wed","Thu","Fri","Sat","Sun")</f>
        <v>Mon</v>
      </c>
      <c r="H161" t="str">
        <f>IF(WEEKDAY(A161,2)&gt;5,"Weekend","Weekday")</f>
        <v>Weekday</v>
      </c>
      <c r="I161" t="str">
        <f>_xlfn.IFS(B161&lt;=5,"Night (0-5)",B161&lt;=9,"Morning peak (6-9)",B161&lt;=15,"Midday (10-15)",B161&lt;=19,"Evening peak (16-19)",TRUE,"Late evening (20-23)")</f>
        <v>Midday (10-15)</v>
      </c>
    </row>
    <row r="162" spans="1:9">
      <c r="A162" s="32">
        <v>41736</v>
      </c>
      <c r="B162">
        <v>16</v>
      </c>
      <c r="C162">
        <v>1756</v>
      </c>
      <c r="D162" t="s">
        <v>303</v>
      </c>
      <c r="E162">
        <f>YEAR(A162)</f>
        <v>2014</v>
      </c>
      <c r="F162" s="33">
        <f>DATE(YEAR(A162),MONTH(A162),1)</f>
        <v>41730.0</v>
      </c>
      <c r="G162" t="str">
        <f>CHOOSE(WEEKDAY(A162,2),"Mon","Tue","Wed","Thu","Fri","Sat","Sun")</f>
        <v>Mon</v>
      </c>
      <c r="H162" t="str">
        <f>IF(WEEKDAY(A162,2)&gt;5,"Weekend","Weekday")</f>
        <v>Weekday</v>
      </c>
      <c r="I162" t="str">
        <f>_xlfn.IFS(B162&lt;=5,"Night (0-5)",B162&lt;=9,"Morning peak (6-9)",B162&lt;=15,"Midday (10-15)",B162&lt;=19,"Evening peak (16-19)",TRUE,"Late evening (20-23)")</f>
        <v>Evening peak (16-19)</v>
      </c>
    </row>
    <row r="163" spans="1:9">
      <c r="A163" s="32">
        <v>41736</v>
      </c>
      <c r="B163">
        <v>17</v>
      </c>
      <c r="C163">
        <v>2191</v>
      </c>
      <c r="D163" t="s">
        <v>303</v>
      </c>
      <c r="E163">
        <f>YEAR(A163)</f>
        <v>2014</v>
      </c>
      <c r="F163" s="33">
        <f>DATE(YEAR(A163),MONTH(A163),1)</f>
        <v>41730.0</v>
      </c>
      <c r="G163" t="str">
        <f>CHOOSE(WEEKDAY(A163,2),"Mon","Tue","Wed","Thu","Fri","Sat","Sun")</f>
        <v>Mon</v>
      </c>
      <c r="H163" t="str">
        <f>IF(WEEKDAY(A163,2)&gt;5,"Weekend","Weekday")</f>
        <v>Weekday</v>
      </c>
      <c r="I163" t="str">
        <f>_xlfn.IFS(B163&lt;=5,"Night (0-5)",B163&lt;=9,"Morning peak (6-9)",B163&lt;=15,"Midday (10-15)",B163&lt;=19,"Evening peak (16-19)",TRUE,"Late evening (20-23)")</f>
        <v>Evening peak (16-19)</v>
      </c>
    </row>
    <row r="164" spans="1:9">
      <c r="A164" s="32">
        <v>41736</v>
      </c>
      <c r="B164">
        <v>18</v>
      </c>
      <c r="C164">
        <v>2137</v>
      </c>
      <c r="D164" t="s">
        <v>303</v>
      </c>
      <c r="E164">
        <f>YEAR(A164)</f>
        <v>2014</v>
      </c>
      <c r="F164" s="33">
        <f>DATE(YEAR(A164),MONTH(A164),1)</f>
        <v>41730.0</v>
      </c>
      <c r="G164" t="str">
        <f>CHOOSE(WEEKDAY(A164,2),"Mon","Tue","Wed","Thu","Fri","Sat","Sun")</f>
        <v>Mon</v>
      </c>
      <c r="H164" t="str">
        <f>IF(WEEKDAY(A164,2)&gt;5,"Weekend","Weekday")</f>
        <v>Weekday</v>
      </c>
      <c r="I164" t="str">
        <f>_xlfn.IFS(B164&lt;=5,"Night (0-5)",B164&lt;=9,"Morning peak (6-9)",B164&lt;=15,"Midday (10-15)",B164&lt;=19,"Evening peak (16-19)",TRUE,"Late evening (20-23)")</f>
        <v>Evening peak (16-19)</v>
      </c>
    </row>
    <row r="165" spans="1:9">
      <c r="A165" s="32">
        <v>41736</v>
      </c>
      <c r="B165">
        <v>19</v>
      </c>
      <c r="C165">
        <v>2035</v>
      </c>
      <c r="D165" t="s">
        <v>303</v>
      </c>
      <c r="E165">
        <f>YEAR(A165)</f>
        <v>2014</v>
      </c>
      <c r="F165" s="33">
        <f>DATE(YEAR(A165),MONTH(A165),1)</f>
        <v>41730.0</v>
      </c>
      <c r="G165" t="str">
        <f>CHOOSE(WEEKDAY(A165,2),"Mon","Tue","Wed","Thu","Fri","Sat","Sun")</f>
        <v>Mon</v>
      </c>
      <c r="H165" t="str">
        <f>IF(WEEKDAY(A165,2)&gt;5,"Weekend","Weekday")</f>
        <v>Weekday</v>
      </c>
      <c r="I165" t="str">
        <f>_xlfn.IFS(B165&lt;=5,"Night (0-5)",B165&lt;=9,"Morning peak (6-9)",B165&lt;=15,"Midday (10-15)",B165&lt;=19,"Evening peak (16-19)",TRUE,"Late evening (20-23)")</f>
        <v>Evening peak (16-19)</v>
      </c>
    </row>
    <row r="166" spans="1:9">
      <c r="A166" s="32">
        <v>41736</v>
      </c>
      <c r="B166">
        <v>20</v>
      </c>
      <c r="C166">
        <v>1176</v>
      </c>
      <c r="D166" t="s">
        <v>303</v>
      </c>
      <c r="E166">
        <f>YEAR(A166)</f>
        <v>2014</v>
      </c>
      <c r="F166" s="33">
        <f>DATE(YEAR(A166),MONTH(A166),1)</f>
        <v>41730.0</v>
      </c>
      <c r="G166" t="str">
        <f>CHOOSE(WEEKDAY(A166,2),"Mon","Tue","Wed","Thu","Fri","Sat","Sun")</f>
        <v>Mon</v>
      </c>
      <c r="H166" t="str">
        <f>IF(WEEKDAY(A166,2)&gt;5,"Weekend","Weekday")</f>
        <v>Weekday</v>
      </c>
      <c r="I166" t="str">
        <f>_xlfn.IFS(B166&lt;=5,"Night (0-5)",B166&lt;=9,"Morning peak (6-9)",B166&lt;=15,"Midday (10-15)",B166&lt;=19,"Evening peak (16-19)",TRUE,"Late evening (20-23)")</f>
        <v>Late evening (20-23)</v>
      </c>
    </row>
    <row r="167" spans="1:9">
      <c r="A167" s="32">
        <v>41736</v>
      </c>
      <c r="B167">
        <v>21</v>
      </c>
      <c r="C167">
        <v>1059</v>
      </c>
      <c r="D167" t="s">
        <v>303</v>
      </c>
      <c r="E167">
        <f>YEAR(A167)</f>
        <v>2014</v>
      </c>
      <c r="F167" s="33">
        <f>DATE(YEAR(A167),MONTH(A167),1)</f>
        <v>41730.0</v>
      </c>
      <c r="G167" t="str">
        <f>CHOOSE(WEEKDAY(A167,2),"Mon","Tue","Wed","Thu","Fri","Sat","Sun")</f>
        <v>Mon</v>
      </c>
      <c r="H167" t="str">
        <f>IF(WEEKDAY(A167,2)&gt;5,"Weekend","Weekday")</f>
        <v>Weekday</v>
      </c>
      <c r="I167" t="str">
        <f>_xlfn.IFS(B167&lt;=5,"Night (0-5)",B167&lt;=9,"Morning peak (6-9)",B167&lt;=15,"Midday (10-15)",B167&lt;=19,"Evening peak (16-19)",TRUE,"Late evening (20-23)")</f>
        <v>Late evening (20-23)</v>
      </c>
    </row>
    <row r="168" spans="1:9">
      <c r="A168" s="32">
        <v>41736</v>
      </c>
      <c r="B168">
        <v>22</v>
      </c>
      <c r="C168">
        <v>646</v>
      </c>
      <c r="D168" t="s">
        <v>303</v>
      </c>
      <c r="E168">
        <f>YEAR(A168)</f>
        <v>2014</v>
      </c>
      <c r="F168" s="33">
        <f>DATE(YEAR(A168),MONTH(A168),1)</f>
        <v>41730.0</v>
      </c>
      <c r="G168" t="str">
        <f>CHOOSE(WEEKDAY(A168,2),"Mon","Tue","Wed","Thu","Fri","Sat","Sun")</f>
        <v>Mon</v>
      </c>
      <c r="H168" t="str">
        <f>IF(WEEKDAY(A168,2)&gt;5,"Weekend","Weekday")</f>
        <v>Weekday</v>
      </c>
      <c r="I168" t="str">
        <f>_xlfn.IFS(B168&lt;=5,"Night (0-5)",B168&lt;=9,"Morning peak (6-9)",B168&lt;=15,"Midday (10-15)",B168&lt;=19,"Evening peak (16-19)",TRUE,"Late evening (20-23)")</f>
        <v>Late evening (20-23)</v>
      </c>
    </row>
    <row r="169" spans="1:9">
      <c r="A169" s="32">
        <v>41736</v>
      </c>
      <c r="B169">
        <v>23</v>
      </c>
      <c r="C169">
        <v>238</v>
      </c>
      <c r="D169" t="s">
        <v>303</v>
      </c>
      <c r="E169">
        <f>YEAR(A169)</f>
        <v>2014</v>
      </c>
      <c r="F169" s="33">
        <f>DATE(YEAR(A169),MONTH(A169),1)</f>
        <v>41730.0</v>
      </c>
      <c r="G169" t="str">
        <f>CHOOSE(WEEKDAY(A169,2),"Mon","Tue","Wed","Thu","Fri","Sat","Sun")</f>
        <v>Mon</v>
      </c>
      <c r="H169" t="str">
        <f>IF(WEEKDAY(A169,2)&gt;5,"Weekend","Weekday")</f>
        <v>Weekday</v>
      </c>
      <c r="I169" t="str">
        <f>_xlfn.IFS(B169&lt;=5,"Night (0-5)",B169&lt;=9,"Morning peak (6-9)",B169&lt;=15,"Midday (10-15)",B169&lt;=19,"Evening peak (16-19)",TRUE,"Late evening (20-23)")</f>
        <v>Late evening (20-23)</v>
      </c>
    </row>
    <row r="170" spans="1:9">
      <c r="A170" s="32">
        <v>41737</v>
      </c>
      <c r="B170">
        <v>0</v>
      </c>
      <c r="C170">
        <v>187</v>
      </c>
      <c r="D170" t="s">
        <v>303</v>
      </c>
      <c r="E170">
        <f>YEAR(A170)</f>
        <v>2014</v>
      </c>
      <c r="F170" s="33">
        <f>DATE(YEAR(A170),MONTH(A170),1)</f>
        <v>41730.0</v>
      </c>
      <c r="G170" t="str">
        <f>CHOOSE(WEEKDAY(A170,2),"Mon","Tue","Wed","Thu","Fri","Sat","Sun")</f>
        <v>Tue</v>
      </c>
      <c r="H170" t="str">
        <f>IF(WEEKDAY(A170,2)&gt;5,"Weekend","Weekday")</f>
        <v>Weekday</v>
      </c>
      <c r="I170" t="str">
        <f>_xlfn.IFS(B170&lt;=5,"Night (0-5)",B170&lt;=9,"Morning peak (6-9)",B170&lt;=15,"Midday (10-15)",B170&lt;=19,"Evening peak (16-19)",TRUE,"Late evening (20-23)")</f>
        <v>Night (0-5)</v>
      </c>
    </row>
    <row r="171" spans="1:9">
      <c r="A171" s="32">
        <v>41737</v>
      </c>
      <c r="B171">
        <v>1</v>
      </c>
      <c r="C171">
        <v>72</v>
      </c>
      <c r="D171" t="s">
        <v>303</v>
      </c>
      <c r="E171">
        <f>YEAR(A171)</f>
        <v>2014</v>
      </c>
      <c r="F171" s="33">
        <f>DATE(YEAR(A171),MONTH(A171),1)</f>
        <v>41730.0</v>
      </c>
      <c r="G171" t="str">
        <f>CHOOSE(WEEKDAY(A171,2),"Mon","Tue","Wed","Thu","Fri","Sat","Sun")</f>
        <v>Tue</v>
      </c>
      <c r="H171" t="str">
        <f>IF(WEEKDAY(A171,2)&gt;5,"Weekend","Weekday")</f>
        <v>Weekday</v>
      </c>
      <c r="I171" t="str">
        <f>_xlfn.IFS(B171&lt;=5,"Night (0-5)",B171&lt;=9,"Morning peak (6-9)",B171&lt;=15,"Midday (10-15)",B171&lt;=19,"Evening peak (16-19)",TRUE,"Late evening (20-23)")</f>
        <v>Night (0-5)</v>
      </c>
    </row>
    <row r="172" spans="1:9">
      <c r="A172" s="32">
        <v>41737</v>
      </c>
      <c r="B172">
        <v>2</v>
      </c>
      <c r="C172">
        <v>63</v>
      </c>
      <c r="D172" t="s">
        <v>303</v>
      </c>
      <c r="E172">
        <f>YEAR(A172)</f>
        <v>2014</v>
      </c>
      <c r="F172" s="33">
        <f>DATE(YEAR(A172),MONTH(A172),1)</f>
        <v>41730.0</v>
      </c>
      <c r="G172" t="str">
        <f>CHOOSE(WEEKDAY(A172,2),"Mon","Tue","Wed","Thu","Fri","Sat","Sun")</f>
        <v>Tue</v>
      </c>
      <c r="H172" t="str">
        <f>IF(WEEKDAY(A172,2)&gt;5,"Weekend","Weekday")</f>
        <v>Weekday</v>
      </c>
      <c r="I172" t="str">
        <f>_xlfn.IFS(B172&lt;=5,"Night (0-5)",B172&lt;=9,"Morning peak (6-9)",B172&lt;=15,"Midday (10-15)",B172&lt;=19,"Evening peak (16-19)",TRUE,"Late evening (20-23)")</f>
        <v>Night (0-5)</v>
      </c>
    </row>
    <row r="173" spans="1:9">
      <c r="A173" s="32">
        <v>41737</v>
      </c>
      <c r="B173">
        <v>3</v>
      </c>
      <c r="C173">
        <v>119</v>
      </c>
      <c r="D173" t="s">
        <v>303</v>
      </c>
      <c r="E173">
        <f>YEAR(A173)</f>
        <v>2014</v>
      </c>
      <c r="F173" s="33">
        <f>DATE(YEAR(A173),MONTH(A173),1)</f>
        <v>41730.0</v>
      </c>
      <c r="G173" t="str">
        <f>CHOOSE(WEEKDAY(A173,2),"Mon","Tue","Wed","Thu","Fri","Sat","Sun")</f>
        <v>Tue</v>
      </c>
      <c r="H173" t="str">
        <f>IF(WEEKDAY(A173,2)&gt;5,"Weekend","Weekday")</f>
        <v>Weekday</v>
      </c>
      <c r="I173" t="str">
        <f>_xlfn.IFS(B173&lt;=5,"Night (0-5)",B173&lt;=9,"Morning peak (6-9)",B173&lt;=15,"Midday (10-15)",B173&lt;=19,"Evening peak (16-19)",TRUE,"Late evening (20-23)")</f>
        <v>Night (0-5)</v>
      </c>
    </row>
    <row r="174" spans="1:9">
      <c r="A174" s="32">
        <v>41737</v>
      </c>
      <c r="B174">
        <v>4</v>
      </c>
      <c r="C174">
        <v>184</v>
      </c>
      <c r="D174" t="s">
        <v>303</v>
      </c>
      <c r="E174">
        <f>YEAR(A174)</f>
        <v>2014</v>
      </c>
      <c r="F174" s="33">
        <f>DATE(YEAR(A174),MONTH(A174),1)</f>
        <v>41730.0</v>
      </c>
      <c r="G174" t="str">
        <f>CHOOSE(WEEKDAY(A174,2),"Mon","Tue","Wed","Thu","Fri","Sat","Sun")</f>
        <v>Tue</v>
      </c>
      <c r="H174" t="str">
        <f>IF(WEEKDAY(A174,2)&gt;5,"Weekend","Weekday")</f>
        <v>Weekday</v>
      </c>
      <c r="I174" t="str">
        <f>_xlfn.IFS(B174&lt;=5,"Night (0-5)",B174&lt;=9,"Morning peak (6-9)",B174&lt;=15,"Midday (10-15)",B174&lt;=19,"Evening peak (16-19)",TRUE,"Late evening (20-23)")</f>
        <v>Night (0-5)</v>
      </c>
    </row>
    <row r="175" spans="1:9">
      <c r="A175" s="32">
        <v>41737</v>
      </c>
      <c r="B175">
        <v>5</v>
      </c>
      <c r="C175">
        <v>427</v>
      </c>
      <c r="D175" t="s">
        <v>303</v>
      </c>
      <c r="E175">
        <f>YEAR(A175)</f>
        <v>2014</v>
      </c>
      <c r="F175" s="33">
        <f>DATE(YEAR(A175),MONTH(A175),1)</f>
        <v>41730.0</v>
      </c>
      <c r="G175" t="str">
        <f>CHOOSE(WEEKDAY(A175,2),"Mon","Tue","Wed","Thu","Fri","Sat","Sun")</f>
        <v>Tue</v>
      </c>
      <c r="H175" t="str">
        <f>IF(WEEKDAY(A175,2)&gt;5,"Weekend","Weekday")</f>
        <v>Weekday</v>
      </c>
      <c r="I175" t="str">
        <f>_xlfn.IFS(B175&lt;=5,"Night (0-5)",B175&lt;=9,"Morning peak (6-9)",B175&lt;=15,"Midday (10-15)",B175&lt;=19,"Evening peak (16-19)",TRUE,"Late evening (20-23)")</f>
        <v>Night (0-5)</v>
      </c>
    </row>
    <row r="176" spans="1:9">
      <c r="A176" s="32">
        <v>41737</v>
      </c>
      <c r="B176">
        <v>6</v>
      </c>
      <c r="C176">
        <v>889</v>
      </c>
      <c r="D176" t="s">
        <v>303</v>
      </c>
      <c r="E176">
        <f>YEAR(A176)</f>
        <v>2014</v>
      </c>
      <c r="F176" s="33">
        <f>DATE(YEAR(A176),MONTH(A176),1)</f>
        <v>41730.0</v>
      </c>
      <c r="G176" t="str">
        <f>CHOOSE(WEEKDAY(A176,2),"Mon","Tue","Wed","Thu","Fri","Sat","Sun")</f>
        <v>Tue</v>
      </c>
      <c r="H176" t="str">
        <f>IF(WEEKDAY(A176,2)&gt;5,"Weekend","Weekday")</f>
        <v>Weekday</v>
      </c>
      <c r="I176" t="str">
        <f>_xlfn.IFS(B176&lt;=5,"Night (0-5)",B176&lt;=9,"Morning peak (6-9)",B176&lt;=15,"Midday (10-15)",B176&lt;=19,"Evening peak (16-19)",TRUE,"Late evening (20-23)")</f>
        <v>Morning peak (6-9)</v>
      </c>
    </row>
    <row r="177" spans="1:9">
      <c r="A177" s="32">
        <v>41737</v>
      </c>
      <c r="B177">
        <v>7</v>
      </c>
      <c r="C177">
        <v>1159</v>
      </c>
      <c r="D177" t="s">
        <v>303</v>
      </c>
      <c r="E177">
        <f>YEAR(A177)</f>
        <v>2014</v>
      </c>
      <c r="F177" s="33">
        <f>DATE(YEAR(A177),MONTH(A177),1)</f>
        <v>41730.0</v>
      </c>
      <c r="G177" t="str">
        <f>CHOOSE(WEEKDAY(A177,2),"Mon","Tue","Wed","Thu","Fri","Sat","Sun")</f>
        <v>Tue</v>
      </c>
      <c r="H177" t="str">
        <f>IF(WEEKDAY(A177,2)&gt;5,"Weekend","Weekday")</f>
        <v>Weekday</v>
      </c>
      <c r="I177" t="str">
        <f>_xlfn.IFS(B177&lt;=5,"Night (0-5)",B177&lt;=9,"Morning peak (6-9)",B177&lt;=15,"Midday (10-15)",B177&lt;=19,"Evening peak (16-19)",TRUE,"Late evening (20-23)")</f>
        <v>Morning peak (6-9)</v>
      </c>
    </row>
    <row r="178" spans="1:9">
      <c r="A178" s="32">
        <v>41737</v>
      </c>
      <c r="B178">
        <v>8</v>
      </c>
      <c r="C178">
        <v>1069</v>
      </c>
      <c r="D178" t="s">
        <v>303</v>
      </c>
      <c r="E178">
        <f>YEAR(A178)</f>
        <v>2014</v>
      </c>
      <c r="F178" s="33">
        <f>DATE(YEAR(A178),MONTH(A178),1)</f>
        <v>41730.0</v>
      </c>
      <c r="G178" t="str">
        <f>CHOOSE(WEEKDAY(A178,2),"Mon","Tue","Wed","Thu","Fri","Sat","Sun")</f>
        <v>Tue</v>
      </c>
      <c r="H178" t="str">
        <f>IF(WEEKDAY(A178,2)&gt;5,"Weekend","Weekday")</f>
        <v>Weekday</v>
      </c>
      <c r="I178" t="str">
        <f>_xlfn.IFS(B178&lt;=5,"Night (0-5)",B178&lt;=9,"Morning peak (6-9)",B178&lt;=15,"Midday (10-15)",B178&lt;=19,"Evening peak (16-19)",TRUE,"Late evening (20-23)")</f>
        <v>Morning peak (6-9)</v>
      </c>
    </row>
    <row r="179" spans="1:9">
      <c r="A179" s="32">
        <v>41737</v>
      </c>
      <c r="B179">
        <v>9</v>
      </c>
      <c r="C179">
        <v>611</v>
      </c>
      <c r="D179" t="s">
        <v>303</v>
      </c>
      <c r="E179">
        <f>YEAR(A179)</f>
        <v>2014</v>
      </c>
      <c r="F179" s="33">
        <f>DATE(YEAR(A179),MONTH(A179),1)</f>
        <v>41730.0</v>
      </c>
      <c r="G179" t="str">
        <f>CHOOSE(WEEKDAY(A179,2),"Mon","Tue","Wed","Thu","Fri","Sat","Sun")</f>
        <v>Tue</v>
      </c>
      <c r="H179" t="str">
        <f>IF(WEEKDAY(A179,2)&gt;5,"Weekend","Weekday")</f>
        <v>Weekday</v>
      </c>
      <c r="I179" t="str">
        <f>_xlfn.IFS(B179&lt;=5,"Night (0-5)",B179&lt;=9,"Morning peak (6-9)",B179&lt;=15,"Midday (10-15)",B179&lt;=19,"Evening peak (16-19)",TRUE,"Late evening (20-23)")</f>
        <v>Morning peak (6-9)</v>
      </c>
    </row>
    <row r="180" spans="1:9">
      <c r="A180" s="32">
        <v>41737</v>
      </c>
      <c r="B180">
        <v>10</v>
      </c>
      <c r="C180">
        <v>507</v>
      </c>
      <c r="D180" t="s">
        <v>303</v>
      </c>
      <c r="E180">
        <f>YEAR(A180)</f>
        <v>2014</v>
      </c>
      <c r="F180" s="33">
        <f>DATE(YEAR(A180),MONTH(A180),1)</f>
        <v>41730.0</v>
      </c>
      <c r="G180" t="str">
        <f>CHOOSE(WEEKDAY(A180,2),"Mon","Tue","Wed","Thu","Fri","Sat","Sun")</f>
        <v>Tue</v>
      </c>
      <c r="H180" t="str">
        <f>IF(WEEKDAY(A180,2)&gt;5,"Weekend","Weekday")</f>
        <v>Weekday</v>
      </c>
      <c r="I180" t="str">
        <f>_xlfn.IFS(B180&lt;=5,"Night (0-5)",B180&lt;=9,"Morning peak (6-9)",B180&lt;=15,"Midday (10-15)",B180&lt;=19,"Evening peak (16-19)",TRUE,"Late evening (20-23)")</f>
        <v>Midday (10-15)</v>
      </c>
    </row>
    <row r="181" spans="1:9">
      <c r="A181" s="32">
        <v>41737</v>
      </c>
      <c r="B181">
        <v>11</v>
      </c>
      <c r="C181">
        <v>548</v>
      </c>
      <c r="D181" t="s">
        <v>303</v>
      </c>
      <c r="E181">
        <f>YEAR(A181)</f>
        <v>2014</v>
      </c>
      <c r="F181" s="33">
        <f>DATE(YEAR(A181),MONTH(A181),1)</f>
        <v>41730.0</v>
      </c>
      <c r="G181" t="str">
        <f>CHOOSE(WEEKDAY(A181,2),"Mon","Tue","Wed","Thu","Fri","Sat","Sun")</f>
        <v>Tue</v>
      </c>
      <c r="H181" t="str">
        <f>IF(WEEKDAY(A181,2)&gt;5,"Weekend","Weekday")</f>
        <v>Weekday</v>
      </c>
      <c r="I181" t="str">
        <f>_xlfn.IFS(B181&lt;=5,"Night (0-5)",B181&lt;=9,"Morning peak (6-9)",B181&lt;=15,"Midday (10-15)",B181&lt;=19,"Evening peak (16-19)",TRUE,"Late evening (20-23)")</f>
        <v>Midday (10-15)</v>
      </c>
    </row>
    <row r="182" spans="1:9">
      <c r="A182" s="32">
        <v>41737</v>
      </c>
      <c r="B182">
        <v>12</v>
      </c>
      <c r="C182">
        <v>518</v>
      </c>
      <c r="D182" t="s">
        <v>303</v>
      </c>
      <c r="E182">
        <f>YEAR(A182)</f>
        <v>2014</v>
      </c>
      <c r="F182" s="33">
        <f>DATE(YEAR(A182),MONTH(A182),1)</f>
        <v>41730.0</v>
      </c>
      <c r="G182" t="str">
        <f>CHOOSE(WEEKDAY(A182,2),"Mon","Tue","Wed","Thu","Fri","Sat","Sun")</f>
        <v>Tue</v>
      </c>
      <c r="H182" t="str">
        <f>IF(WEEKDAY(A182,2)&gt;5,"Weekend","Weekday")</f>
        <v>Weekday</v>
      </c>
      <c r="I182" t="str">
        <f>_xlfn.IFS(B182&lt;=5,"Night (0-5)",B182&lt;=9,"Morning peak (6-9)",B182&lt;=15,"Midday (10-15)",B182&lt;=19,"Evening peak (16-19)",TRUE,"Late evening (20-23)")</f>
        <v>Midday (10-15)</v>
      </c>
    </row>
    <row r="183" spans="1:9">
      <c r="A183" s="32">
        <v>41737</v>
      </c>
      <c r="B183">
        <v>13</v>
      </c>
      <c r="C183">
        <v>584</v>
      </c>
      <c r="D183" t="s">
        <v>303</v>
      </c>
      <c r="E183">
        <f>YEAR(A183)</f>
        <v>2014</v>
      </c>
      <c r="F183" s="33">
        <f>DATE(YEAR(A183),MONTH(A183),1)</f>
        <v>41730.0</v>
      </c>
      <c r="G183" t="str">
        <f>CHOOSE(WEEKDAY(A183,2),"Mon","Tue","Wed","Thu","Fri","Sat","Sun")</f>
        <v>Tue</v>
      </c>
      <c r="H183" t="str">
        <f>IF(WEEKDAY(A183,2)&gt;5,"Weekend","Weekday")</f>
        <v>Weekday</v>
      </c>
      <c r="I183" t="str">
        <f>_xlfn.IFS(B183&lt;=5,"Night (0-5)",B183&lt;=9,"Morning peak (6-9)",B183&lt;=15,"Midday (10-15)",B183&lt;=19,"Evening peak (16-19)",TRUE,"Late evening (20-23)")</f>
        <v>Midday (10-15)</v>
      </c>
    </row>
    <row r="184" spans="1:9">
      <c r="A184" s="32">
        <v>41737</v>
      </c>
      <c r="B184">
        <v>14</v>
      </c>
      <c r="C184">
        <v>716</v>
      </c>
      <c r="D184" t="s">
        <v>303</v>
      </c>
      <c r="E184">
        <f>YEAR(A184)</f>
        <v>2014</v>
      </c>
      <c r="F184" s="33">
        <f>DATE(YEAR(A184),MONTH(A184),1)</f>
        <v>41730.0</v>
      </c>
      <c r="G184" t="str">
        <f>CHOOSE(WEEKDAY(A184,2),"Mon","Tue","Wed","Thu","Fri","Sat","Sun")</f>
        <v>Tue</v>
      </c>
      <c r="H184" t="str">
        <f>IF(WEEKDAY(A184,2)&gt;5,"Weekend","Weekday")</f>
        <v>Weekday</v>
      </c>
      <c r="I184" t="str">
        <f>_xlfn.IFS(B184&lt;=5,"Night (0-5)",B184&lt;=9,"Morning peak (6-9)",B184&lt;=15,"Midday (10-15)",B184&lt;=19,"Evening peak (16-19)",TRUE,"Late evening (20-23)")</f>
        <v>Midday (10-15)</v>
      </c>
    </row>
    <row r="185" spans="1:9">
      <c r="A185" s="32">
        <v>41737</v>
      </c>
      <c r="B185">
        <v>15</v>
      </c>
      <c r="C185">
        <v>996</v>
      </c>
      <c r="D185" t="s">
        <v>303</v>
      </c>
      <c r="E185">
        <f>YEAR(A185)</f>
        <v>2014</v>
      </c>
      <c r="F185" s="33">
        <f>DATE(YEAR(A185),MONTH(A185),1)</f>
        <v>41730.0</v>
      </c>
      <c r="G185" t="str">
        <f>CHOOSE(WEEKDAY(A185,2),"Mon","Tue","Wed","Thu","Fri","Sat","Sun")</f>
        <v>Tue</v>
      </c>
      <c r="H185" t="str">
        <f>IF(WEEKDAY(A185,2)&gt;5,"Weekend","Weekday")</f>
        <v>Weekday</v>
      </c>
      <c r="I185" t="str">
        <f>_xlfn.IFS(B185&lt;=5,"Night (0-5)",B185&lt;=9,"Morning peak (6-9)",B185&lt;=15,"Midday (10-15)",B185&lt;=19,"Evening peak (16-19)",TRUE,"Late evening (20-23)")</f>
        <v>Midday (10-15)</v>
      </c>
    </row>
    <row r="186" spans="1:9">
      <c r="A186" s="32">
        <v>41737</v>
      </c>
      <c r="B186">
        <v>16</v>
      </c>
      <c r="C186">
        <v>1206</v>
      </c>
      <c r="D186" t="s">
        <v>303</v>
      </c>
      <c r="E186">
        <f>YEAR(A186)</f>
        <v>2014</v>
      </c>
      <c r="F186" s="33">
        <f>DATE(YEAR(A186),MONTH(A186),1)</f>
        <v>41730.0</v>
      </c>
      <c r="G186" t="str">
        <f>CHOOSE(WEEKDAY(A186,2),"Mon","Tue","Wed","Thu","Fri","Sat","Sun")</f>
        <v>Tue</v>
      </c>
      <c r="H186" t="str">
        <f>IF(WEEKDAY(A186,2)&gt;5,"Weekend","Weekday")</f>
        <v>Weekday</v>
      </c>
      <c r="I186" t="str">
        <f>_xlfn.IFS(B186&lt;=5,"Night (0-5)",B186&lt;=9,"Morning peak (6-9)",B186&lt;=15,"Midday (10-15)",B186&lt;=19,"Evening peak (16-19)",TRUE,"Late evening (20-23)")</f>
        <v>Evening peak (16-19)</v>
      </c>
    </row>
    <row r="187" spans="1:9">
      <c r="A187" s="32">
        <v>41737</v>
      </c>
      <c r="B187">
        <v>17</v>
      </c>
      <c r="C187">
        <v>1386</v>
      </c>
      <c r="D187" t="s">
        <v>303</v>
      </c>
      <c r="E187">
        <f>YEAR(A187)</f>
        <v>2014</v>
      </c>
      <c r="F187" s="33">
        <f>DATE(YEAR(A187),MONTH(A187),1)</f>
        <v>41730.0</v>
      </c>
      <c r="G187" t="str">
        <f>CHOOSE(WEEKDAY(A187,2),"Mon","Tue","Wed","Thu","Fri","Sat","Sun")</f>
        <v>Tue</v>
      </c>
      <c r="H187" t="str">
        <f>IF(WEEKDAY(A187,2)&gt;5,"Weekend","Weekday")</f>
        <v>Weekday</v>
      </c>
      <c r="I187" t="str">
        <f>_xlfn.IFS(B187&lt;=5,"Night (0-5)",B187&lt;=9,"Morning peak (6-9)",B187&lt;=15,"Midday (10-15)",B187&lt;=19,"Evening peak (16-19)",TRUE,"Late evening (20-23)")</f>
        <v>Evening peak (16-19)</v>
      </c>
    </row>
    <row r="188" spans="1:9">
      <c r="A188" s="32">
        <v>41737</v>
      </c>
      <c r="B188">
        <v>18</v>
      </c>
      <c r="C188">
        <v>1062</v>
      </c>
      <c r="D188" t="s">
        <v>303</v>
      </c>
      <c r="E188">
        <f>YEAR(A188)</f>
        <v>2014</v>
      </c>
      <c r="F188" s="33">
        <f>DATE(YEAR(A188),MONTH(A188),1)</f>
        <v>41730.0</v>
      </c>
      <c r="G188" t="str">
        <f>CHOOSE(WEEKDAY(A188,2),"Mon","Tue","Wed","Thu","Fri","Sat","Sun")</f>
        <v>Tue</v>
      </c>
      <c r="H188" t="str">
        <f>IF(WEEKDAY(A188,2)&gt;5,"Weekend","Weekday")</f>
        <v>Weekday</v>
      </c>
      <c r="I188" t="str">
        <f>_xlfn.IFS(B188&lt;=5,"Night (0-5)",B188&lt;=9,"Morning peak (6-9)",B188&lt;=15,"Midday (10-15)",B188&lt;=19,"Evening peak (16-19)",TRUE,"Late evening (20-23)")</f>
        <v>Evening peak (16-19)</v>
      </c>
    </row>
    <row r="189" spans="1:9">
      <c r="A189" s="32">
        <v>41737</v>
      </c>
      <c r="B189">
        <v>19</v>
      </c>
      <c r="C189">
        <v>929</v>
      </c>
      <c r="D189" t="s">
        <v>303</v>
      </c>
      <c r="E189">
        <f>YEAR(A189)</f>
        <v>2014</v>
      </c>
      <c r="F189" s="33">
        <f>DATE(YEAR(A189),MONTH(A189),1)</f>
        <v>41730.0</v>
      </c>
      <c r="G189" t="str">
        <f>CHOOSE(WEEKDAY(A189,2),"Mon","Tue","Wed","Thu","Fri","Sat","Sun")</f>
        <v>Tue</v>
      </c>
      <c r="H189" t="str">
        <f>IF(WEEKDAY(A189,2)&gt;5,"Weekend","Weekday")</f>
        <v>Weekday</v>
      </c>
      <c r="I189" t="str">
        <f>_xlfn.IFS(B189&lt;=5,"Night (0-5)",B189&lt;=9,"Morning peak (6-9)",B189&lt;=15,"Midday (10-15)",B189&lt;=19,"Evening peak (16-19)",TRUE,"Late evening (20-23)")</f>
        <v>Evening peak (16-19)</v>
      </c>
    </row>
    <row r="190" spans="1:9">
      <c r="A190" s="32">
        <v>41737</v>
      </c>
      <c r="B190">
        <v>20</v>
      </c>
      <c r="C190">
        <v>1127</v>
      </c>
      <c r="D190" t="s">
        <v>303</v>
      </c>
      <c r="E190">
        <f>YEAR(A190)</f>
        <v>2014</v>
      </c>
      <c r="F190" s="33">
        <f>DATE(YEAR(A190),MONTH(A190),1)</f>
        <v>41730.0</v>
      </c>
      <c r="G190" t="str">
        <f>CHOOSE(WEEKDAY(A190,2),"Mon","Tue","Wed","Thu","Fri","Sat","Sun")</f>
        <v>Tue</v>
      </c>
      <c r="H190" t="str">
        <f>IF(WEEKDAY(A190,2)&gt;5,"Weekend","Weekday")</f>
        <v>Weekday</v>
      </c>
      <c r="I190" t="str">
        <f>_xlfn.IFS(B190&lt;=5,"Night (0-5)",B190&lt;=9,"Morning peak (6-9)",B190&lt;=15,"Midday (10-15)",B190&lt;=19,"Evening peak (16-19)",TRUE,"Late evening (20-23)")</f>
        <v>Late evening (20-23)</v>
      </c>
    </row>
    <row r="191" spans="1:9">
      <c r="A191" s="32">
        <v>41737</v>
      </c>
      <c r="B191">
        <v>21</v>
      </c>
      <c r="C191">
        <v>944</v>
      </c>
      <c r="D191" t="s">
        <v>303</v>
      </c>
      <c r="E191">
        <f>YEAR(A191)</f>
        <v>2014</v>
      </c>
      <c r="F191" s="33">
        <f>DATE(YEAR(A191),MONTH(A191),1)</f>
        <v>41730.0</v>
      </c>
      <c r="G191" t="str">
        <f>CHOOSE(WEEKDAY(A191,2),"Mon","Tue","Wed","Thu","Fri","Sat","Sun")</f>
        <v>Tue</v>
      </c>
      <c r="H191" t="str">
        <f>IF(WEEKDAY(A191,2)&gt;5,"Weekend","Weekday")</f>
        <v>Weekday</v>
      </c>
      <c r="I191" t="str">
        <f>_xlfn.IFS(B191&lt;=5,"Night (0-5)",B191&lt;=9,"Morning peak (6-9)",B191&lt;=15,"Midday (10-15)",B191&lt;=19,"Evening peak (16-19)",TRUE,"Late evening (20-23)")</f>
        <v>Late evening (20-23)</v>
      </c>
    </row>
    <row r="192" spans="1:9">
      <c r="A192" s="32">
        <v>41737</v>
      </c>
      <c r="B192">
        <v>22</v>
      </c>
      <c r="C192">
        <v>587</v>
      </c>
      <c r="D192" t="s">
        <v>303</v>
      </c>
      <c r="E192">
        <f>YEAR(A192)</f>
        <v>2014</v>
      </c>
      <c r="F192" s="33">
        <f>DATE(YEAR(A192),MONTH(A192),1)</f>
        <v>41730.0</v>
      </c>
      <c r="G192" t="str">
        <f>CHOOSE(WEEKDAY(A192,2),"Mon","Tue","Wed","Thu","Fri","Sat","Sun")</f>
        <v>Tue</v>
      </c>
      <c r="H192" t="str">
        <f>IF(WEEKDAY(A192,2)&gt;5,"Weekend","Weekday")</f>
        <v>Weekday</v>
      </c>
      <c r="I192" t="str">
        <f>_xlfn.IFS(B192&lt;=5,"Night (0-5)",B192&lt;=9,"Morning peak (6-9)",B192&lt;=15,"Midday (10-15)",B192&lt;=19,"Evening peak (16-19)",TRUE,"Late evening (20-23)")</f>
        <v>Late evening (20-23)</v>
      </c>
    </row>
    <row r="193" spans="1:9">
      <c r="A193" s="32">
        <v>41737</v>
      </c>
      <c r="B193">
        <v>23</v>
      </c>
      <c r="C193">
        <v>298</v>
      </c>
      <c r="D193" t="s">
        <v>303</v>
      </c>
      <c r="E193">
        <f>YEAR(A193)</f>
        <v>2014</v>
      </c>
      <c r="F193" s="33">
        <f>DATE(YEAR(A193),MONTH(A193),1)</f>
        <v>41730.0</v>
      </c>
      <c r="G193" t="str">
        <f>CHOOSE(WEEKDAY(A193,2),"Mon","Tue","Wed","Thu","Fri","Sat","Sun")</f>
        <v>Tue</v>
      </c>
      <c r="H193" t="str">
        <f>IF(WEEKDAY(A193,2)&gt;5,"Weekend","Weekday")</f>
        <v>Weekday</v>
      </c>
      <c r="I193" t="str">
        <f>_xlfn.IFS(B193&lt;=5,"Night (0-5)",B193&lt;=9,"Morning peak (6-9)",B193&lt;=15,"Midday (10-15)",B193&lt;=19,"Evening peak (16-19)",TRUE,"Late evening (20-23)")</f>
        <v>Late evening (20-23)</v>
      </c>
    </row>
    <row r="194" spans="1:9">
      <c r="A194" s="32">
        <v>41738</v>
      </c>
      <c r="B194">
        <v>0</v>
      </c>
      <c r="C194">
        <v>154</v>
      </c>
      <c r="D194" t="s">
        <v>303</v>
      </c>
      <c r="E194">
        <f>YEAR(A194)</f>
        <v>2014</v>
      </c>
      <c r="F194" s="33">
        <f>DATE(YEAR(A194),MONTH(A194),1)</f>
        <v>41730.0</v>
      </c>
      <c r="G194" t="str">
        <f>CHOOSE(WEEKDAY(A194,2),"Mon","Tue","Wed","Thu","Fri","Sat","Sun")</f>
        <v>Wed</v>
      </c>
      <c r="H194" t="str">
        <f>IF(WEEKDAY(A194,2)&gt;5,"Weekend","Weekday")</f>
        <v>Weekday</v>
      </c>
      <c r="I194" t="str">
        <f>_xlfn.IFS(B194&lt;=5,"Night (0-5)",B194&lt;=9,"Morning peak (6-9)",B194&lt;=15,"Midday (10-15)",B194&lt;=19,"Evening peak (16-19)",TRUE,"Late evening (20-23)")</f>
        <v>Night (0-5)</v>
      </c>
    </row>
    <row r="195" spans="1:9">
      <c r="A195" s="32">
        <v>41738</v>
      </c>
      <c r="B195">
        <v>1</v>
      </c>
      <c r="C195">
        <v>106</v>
      </c>
      <c r="D195" t="s">
        <v>303</v>
      </c>
      <c r="E195">
        <f>YEAR(A195)</f>
        <v>2014</v>
      </c>
      <c r="F195" s="33">
        <f>DATE(YEAR(A195),MONTH(A195),1)</f>
        <v>41730.0</v>
      </c>
      <c r="G195" t="str">
        <f>CHOOSE(WEEKDAY(A195,2),"Mon","Tue","Wed","Thu","Fri","Sat","Sun")</f>
        <v>Wed</v>
      </c>
      <c r="H195" t="str">
        <f>IF(WEEKDAY(A195,2)&gt;5,"Weekend","Weekday")</f>
        <v>Weekday</v>
      </c>
      <c r="I195" t="str">
        <f>_xlfn.IFS(B195&lt;=5,"Night (0-5)",B195&lt;=9,"Morning peak (6-9)",B195&lt;=15,"Midday (10-15)",B195&lt;=19,"Evening peak (16-19)",TRUE,"Late evening (20-23)")</f>
        <v>Night (0-5)</v>
      </c>
    </row>
    <row r="196" spans="1:9">
      <c r="A196" s="32">
        <v>41738</v>
      </c>
      <c r="B196">
        <v>2</v>
      </c>
      <c r="C196">
        <v>76</v>
      </c>
      <c r="D196" t="s">
        <v>303</v>
      </c>
      <c r="E196">
        <f>YEAR(A196)</f>
        <v>2014</v>
      </c>
      <c r="F196" s="33">
        <f>DATE(YEAR(A196),MONTH(A196),1)</f>
        <v>41730.0</v>
      </c>
      <c r="G196" t="str">
        <f>CHOOSE(WEEKDAY(A196,2),"Mon","Tue","Wed","Thu","Fri","Sat","Sun")</f>
        <v>Wed</v>
      </c>
      <c r="H196" t="str">
        <f>IF(WEEKDAY(A196,2)&gt;5,"Weekend","Weekday")</f>
        <v>Weekday</v>
      </c>
      <c r="I196" t="str">
        <f>_xlfn.IFS(B196&lt;=5,"Night (0-5)",B196&lt;=9,"Morning peak (6-9)",B196&lt;=15,"Midday (10-15)",B196&lt;=19,"Evening peak (16-19)",TRUE,"Late evening (20-23)")</f>
        <v>Night (0-5)</v>
      </c>
    </row>
    <row r="197" spans="1:9">
      <c r="A197" s="32">
        <v>41738</v>
      </c>
      <c r="B197">
        <v>3</v>
      </c>
      <c r="C197">
        <v>139</v>
      </c>
      <c r="D197" t="s">
        <v>303</v>
      </c>
      <c r="E197">
        <f>YEAR(A197)</f>
        <v>2014</v>
      </c>
      <c r="F197" s="33">
        <f>DATE(YEAR(A197),MONTH(A197),1)</f>
        <v>41730.0</v>
      </c>
      <c r="G197" t="str">
        <f>CHOOSE(WEEKDAY(A197,2),"Mon","Tue","Wed","Thu","Fri","Sat","Sun")</f>
        <v>Wed</v>
      </c>
      <c r="H197" t="str">
        <f>IF(WEEKDAY(A197,2)&gt;5,"Weekend","Weekday")</f>
        <v>Weekday</v>
      </c>
      <c r="I197" t="str">
        <f>_xlfn.IFS(B197&lt;=5,"Night (0-5)",B197&lt;=9,"Morning peak (6-9)",B197&lt;=15,"Midday (10-15)",B197&lt;=19,"Evening peak (16-19)",TRUE,"Late evening (20-23)")</f>
        <v>Night (0-5)</v>
      </c>
    </row>
    <row r="198" spans="1:9">
      <c r="A198" s="32">
        <v>41738</v>
      </c>
      <c r="B198">
        <v>4</v>
      </c>
      <c r="C198">
        <v>194</v>
      </c>
      <c r="D198" t="s">
        <v>303</v>
      </c>
      <c r="E198">
        <f>YEAR(A198)</f>
        <v>2014</v>
      </c>
      <c r="F198" s="33">
        <f>DATE(YEAR(A198),MONTH(A198),1)</f>
        <v>41730.0</v>
      </c>
      <c r="G198" t="str">
        <f>CHOOSE(WEEKDAY(A198,2),"Mon","Tue","Wed","Thu","Fri","Sat","Sun")</f>
        <v>Wed</v>
      </c>
      <c r="H198" t="str">
        <f>IF(WEEKDAY(A198,2)&gt;5,"Weekend","Weekday")</f>
        <v>Weekday</v>
      </c>
      <c r="I198" t="str">
        <f>_xlfn.IFS(B198&lt;=5,"Night (0-5)",B198&lt;=9,"Morning peak (6-9)",B198&lt;=15,"Midday (10-15)",B198&lt;=19,"Evening peak (16-19)",TRUE,"Late evening (20-23)")</f>
        <v>Night (0-5)</v>
      </c>
    </row>
    <row r="199" spans="1:9">
      <c r="A199" s="32">
        <v>41738</v>
      </c>
      <c r="B199">
        <v>5</v>
      </c>
      <c r="C199">
        <v>353</v>
      </c>
      <c r="D199" t="s">
        <v>303</v>
      </c>
      <c r="E199">
        <f>YEAR(A199)</f>
        <v>2014</v>
      </c>
      <c r="F199" s="33">
        <f>DATE(YEAR(A199),MONTH(A199),1)</f>
        <v>41730.0</v>
      </c>
      <c r="G199" t="str">
        <f>CHOOSE(WEEKDAY(A199,2),"Mon","Tue","Wed","Thu","Fri","Sat","Sun")</f>
        <v>Wed</v>
      </c>
      <c r="H199" t="str">
        <f>IF(WEEKDAY(A199,2)&gt;5,"Weekend","Weekday")</f>
        <v>Weekday</v>
      </c>
      <c r="I199" t="str">
        <f>_xlfn.IFS(B199&lt;=5,"Night (0-5)",B199&lt;=9,"Morning peak (6-9)",B199&lt;=15,"Midday (10-15)",B199&lt;=19,"Evening peak (16-19)",TRUE,"Late evening (20-23)")</f>
        <v>Night (0-5)</v>
      </c>
    </row>
    <row r="200" spans="1:9">
      <c r="A200" s="32">
        <v>41738</v>
      </c>
      <c r="B200">
        <v>6</v>
      </c>
      <c r="C200">
        <v>821</v>
      </c>
      <c r="D200" t="s">
        <v>303</v>
      </c>
      <c r="E200">
        <f>YEAR(A200)</f>
        <v>2014</v>
      </c>
      <c r="F200" s="33">
        <f>DATE(YEAR(A200),MONTH(A200),1)</f>
        <v>41730.0</v>
      </c>
      <c r="G200" t="str">
        <f>CHOOSE(WEEKDAY(A200,2),"Mon","Tue","Wed","Thu","Fri","Sat","Sun")</f>
        <v>Wed</v>
      </c>
      <c r="H200" t="str">
        <f>IF(WEEKDAY(A200,2)&gt;5,"Weekend","Weekday")</f>
        <v>Weekday</v>
      </c>
      <c r="I200" t="str">
        <f>_xlfn.IFS(B200&lt;=5,"Night (0-5)",B200&lt;=9,"Morning peak (6-9)",B200&lt;=15,"Midday (10-15)",B200&lt;=19,"Evening peak (16-19)",TRUE,"Late evening (20-23)")</f>
        <v>Morning peak (6-9)</v>
      </c>
    </row>
    <row r="201" spans="1:9">
      <c r="A201" s="32">
        <v>41738</v>
      </c>
      <c r="B201">
        <v>7</v>
      </c>
      <c r="C201">
        <v>1050</v>
      </c>
      <c r="D201" t="s">
        <v>303</v>
      </c>
      <c r="E201">
        <f>YEAR(A201)</f>
        <v>2014</v>
      </c>
      <c r="F201" s="33">
        <f>DATE(YEAR(A201),MONTH(A201),1)</f>
        <v>41730.0</v>
      </c>
      <c r="G201" t="str">
        <f>CHOOSE(WEEKDAY(A201,2),"Mon","Tue","Wed","Thu","Fri","Sat","Sun")</f>
        <v>Wed</v>
      </c>
      <c r="H201" t="str">
        <f>IF(WEEKDAY(A201,2)&gt;5,"Weekend","Weekday")</f>
        <v>Weekday</v>
      </c>
      <c r="I201" t="str">
        <f>_xlfn.IFS(B201&lt;=5,"Night (0-5)",B201&lt;=9,"Morning peak (6-9)",B201&lt;=15,"Midday (10-15)",B201&lt;=19,"Evening peak (16-19)",TRUE,"Late evening (20-23)")</f>
        <v>Morning peak (6-9)</v>
      </c>
    </row>
    <row r="202" spans="1:9">
      <c r="A202" s="32">
        <v>41738</v>
      </c>
      <c r="B202">
        <v>8</v>
      </c>
      <c r="C202">
        <v>858</v>
      </c>
      <c r="D202" t="s">
        <v>303</v>
      </c>
      <c r="E202">
        <f>YEAR(A202)</f>
        <v>2014</v>
      </c>
      <c r="F202" s="33">
        <f>DATE(YEAR(A202),MONTH(A202),1)</f>
        <v>41730.0</v>
      </c>
      <c r="G202" t="str">
        <f>CHOOSE(WEEKDAY(A202,2),"Mon","Tue","Wed","Thu","Fri","Sat","Sun")</f>
        <v>Wed</v>
      </c>
      <c r="H202" t="str">
        <f>IF(WEEKDAY(A202,2)&gt;5,"Weekend","Weekday")</f>
        <v>Weekday</v>
      </c>
      <c r="I202" t="str">
        <f>_xlfn.IFS(B202&lt;=5,"Night (0-5)",B202&lt;=9,"Morning peak (6-9)",B202&lt;=15,"Midday (10-15)",B202&lt;=19,"Evening peak (16-19)",TRUE,"Late evening (20-23)")</f>
        <v>Morning peak (6-9)</v>
      </c>
    </row>
    <row r="203" spans="1:9">
      <c r="A203" s="32">
        <v>41738</v>
      </c>
      <c r="B203">
        <v>9</v>
      </c>
      <c r="C203">
        <v>565</v>
      </c>
      <c r="D203" t="s">
        <v>303</v>
      </c>
      <c r="E203">
        <f>YEAR(A203)</f>
        <v>2014</v>
      </c>
      <c r="F203" s="33">
        <f>DATE(YEAR(A203),MONTH(A203),1)</f>
        <v>41730.0</v>
      </c>
      <c r="G203" t="str">
        <f>CHOOSE(WEEKDAY(A203,2),"Mon","Tue","Wed","Thu","Fri","Sat","Sun")</f>
        <v>Wed</v>
      </c>
      <c r="H203" t="str">
        <f>IF(WEEKDAY(A203,2)&gt;5,"Weekend","Weekday")</f>
        <v>Weekday</v>
      </c>
      <c r="I203" t="str">
        <f>_xlfn.IFS(B203&lt;=5,"Night (0-5)",B203&lt;=9,"Morning peak (6-9)",B203&lt;=15,"Midday (10-15)",B203&lt;=19,"Evening peak (16-19)",TRUE,"Late evening (20-23)")</f>
        <v>Morning peak (6-9)</v>
      </c>
    </row>
    <row r="204" spans="1:9">
      <c r="A204" s="32">
        <v>41738</v>
      </c>
      <c r="B204">
        <v>10</v>
      </c>
      <c r="C204">
        <v>533</v>
      </c>
      <c r="D204" t="s">
        <v>303</v>
      </c>
      <c r="E204">
        <f>YEAR(A204)</f>
        <v>2014</v>
      </c>
      <c r="F204" s="33">
        <f>DATE(YEAR(A204),MONTH(A204),1)</f>
        <v>41730.0</v>
      </c>
      <c r="G204" t="str">
        <f>CHOOSE(WEEKDAY(A204,2),"Mon","Tue","Wed","Thu","Fri","Sat","Sun")</f>
        <v>Wed</v>
      </c>
      <c r="H204" t="str">
        <f>IF(WEEKDAY(A204,2)&gt;5,"Weekend","Weekday")</f>
        <v>Weekday</v>
      </c>
      <c r="I204" t="str">
        <f>_xlfn.IFS(B204&lt;=5,"Night (0-5)",B204&lt;=9,"Morning peak (6-9)",B204&lt;=15,"Midday (10-15)",B204&lt;=19,"Evening peak (16-19)",TRUE,"Late evening (20-23)")</f>
        <v>Midday (10-15)</v>
      </c>
    </row>
    <row r="205" spans="1:9">
      <c r="A205" s="32">
        <v>41738</v>
      </c>
      <c r="B205">
        <v>11</v>
      </c>
      <c r="C205">
        <v>552</v>
      </c>
      <c r="D205" t="s">
        <v>303</v>
      </c>
      <c r="E205">
        <f>YEAR(A205)</f>
        <v>2014</v>
      </c>
      <c r="F205" s="33">
        <f>DATE(YEAR(A205),MONTH(A205),1)</f>
        <v>41730.0</v>
      </c>
      <c r="G205" t="str">
        <f>CHOOSE(WEEKDAY(A205,2),"Mon","Tue","Wed","Thu","Fri","Sat","Sun")</f>
        <v>Wed</v>
      </c>
      <c r="H205" t="str">
        <f>IF(WEEKDAY(A205,2)&gt;5,"Weekend","Weekday")</f>
        <v>Weekday</v>
      </c>
      <c r="I205" t="str">
        <f>_xlfn.IFS(B205&lt;=5,"Night (0-5)",B205&lt;=9,"Morning peak (6-9)",B205&lt;=15,"Midday (10-15)",B205&lt;=19,"Evening peak (16-19)",TRUE,"Late evening (20-23)")</f>
        <v>Midday (10-15)</v>
      </c>
    </row>
    <row r="206" spans="1:9">
      <c r="A206" s="32">
        <v>41738</v>
      </c>
      <c r="B206">
        <v>12</v>
      </c>
      <c r="C206">
        <v>590</v>
      </c>
      <c r="D206" t="s">
        <v>303</v>
      </c>
      <c r="E206">
        <f>YEAR(A206)</f>
        <v>2014</v>
      </c>
      <c r="F206" s="33">
        <f>DATE(YEAR(A206),MONTH(A206),1)</f>
        <v>41730.0</v>
      </c>
      <c r="G206" t="str">
        <f>CHOOSE(WEEKDAY(A206,2),"Mon","Tue","Wed","Thu","Fri","Sat","Sun")</f>
        <v>Wed</v>
      </c>
      <c r="H206" t="str">
        <f>IF(WEEKDAY(A206,2)&gt;5,"Weekend","Weekday")</f>
        <v>Weekday</v>
      </c>
      <c r="I206" t="str">
        <f>_xlfn.IFS(B206&lt;=5,"Night (0-5)",B206&lt;=9,"Morning peak (6-9)",B206&lt;=15,"Midday (10-15)",B206&lt;=19,"Evening peak (16-19)",TRUE,"Late evening (20-23)")</f>
        <v>Midday (10-15)</v>
      </c>
    </row>
    <row r="207" spans="1:9">
      <c r="A207" s="32">
        <v>41738</v>
      </c>
      <c r="B207">
        <v>13</v>
      </c>
      <c r="C207">
        <v>683</v>
      </c>
      <c r="D207" t="s">
        <v>303</v>
      </c>
      <c r="E207">
        <f>YEAR(A207)</f>
        <v>2014</v>
      </c>
      <c r="F207" s="33">
        <f>DATE(YEAR(A207),MONTH(A207),1)</f>
        <v>41730.0</v>
      </c>
      <c r="G207" t="str">
        <f>CHOOSE(WEEKDAY(A207,2),"Mon","Tue","Wed","Thu","Fri","Sat","Sun")</f>
        <v>Wed</v>
      </c>
      <c r="H207" t="str">
        <f>IF(WEEKDAY(A207,2)&gt;5,"Weekend","Weekday")</f>
        <v>Weekday</v>
      </c>
      <c r="I207" t="str">
        <f>_xlfn.IFS(B207&lt;=5,"Night (0-5)",B207&lt;=9,"Morning peak (6-9)",B207&lt;=15,"Midday (10-15)",B207&lt;=19,"Evening peak (16-19)",TRUE,"Late evening (20-23)")</f>
        <v>Midday (10-15)</v>
      </c>
    </row>
    <row r="208" spans="1:9">
      <c r="A208" s="32">
        <v>41738</v>
      </c>
      <c r="B208">
        <v>14</v>
      </c>
      <c r="C208">
        <v>849</v>
      </c>
      <c r="D208" t="s">
        <v>303</v>
      </c>
      <c r="E208">
        <f>YEAR(A208)</f>
        <v>2014</v>
      </c>
      <c r="F208" s="33">
        <f>DATE(YEAR(A208),MONTH(A208),1)</f>
        <v>41730.0</v>
      </c>
      <c r="G208" t="str">
        <f>CHOOSE(WEEKDAY(A208,2),"Mon","Tue","Wed","Thu","Fri","Sat","Sun")</f>
        <v>Wed</v>
      </c>
      <c r="H208" t="str">
        <f>IF(WEEKDAY(A208,2)&gt;5,"Weekend","Weekday")</f>
        <v>Weekday</v>
      </c>
      <c r="I208" t="str">
        <f>_xlfn.IFS(B208&lt;=5,"Night (0-5)",B208&lt;=9,"Morning peak (6-9)",B208&lt;=15,"Midday (10-15)",B208&lt;=19,"Evening peak (16-19)",TRUE,"Late evening (20-23)")</f>
        <v>Midday (10-15)</v>
      </c>
    </row>
    <row r="209" spans="1:9">
      <c r="A209" s="32">
        <v>41738</v>
      </c>
      <c r="B209">
        <v>15</v>
      </c>
      <c r="C209">
        <v>1120</v>
      </c>
      <c r="D209" t="s">
        <v>303</v>
      </c>
      <c r="E209">
        <f>YEAR(A209)</f>
        <v>2014</v>
      </c>
      <c r="F209" s="33">
        <f>DATE(YEAR(A209),MONTH(A209),1)</f>
        <v>41730.0</v>
      </c>
      <c r="G209" t="str">
        <f>CHOOSE(WEEKDAY(A209,2),"Mon","Tue","Wed","Thu","Fri","Sat","Sun")</f>
        <v>Wed</v>
      </c>
      <c r="H209" t="str">
        <f>IF(WEEKDAY(A209,2)&gt;5,"Weekend","Weekday")</f>
        <v>Weekday</v>
      </c>
      <c r="I209" t="str">
        <f>_xlfn.IFS(B209&lt;=5,"Night (0-5)",B209&lt;=9,"Morning peak (6-9)",B209&lt;=15,"Midday (10-15)",B209&lt;=19,"Evening peak (16-19)",TRUE,"Late evening (20-23)")</f>
        <v>Midday (10-15)</v>
      </c>
    </row>
    <row r="210" spans="1:9">
      <c r="A210" s="32">
        <v>41738</v>
      </c>
      <c r="B210">
        <v>16</v>
      </c>
      <c r="C210">
        <v>1276</v>
      </c>
      <c r="D210" t="s">
        <v>303</v>
      </c>
      <c r="E210">
        <f>YEAR(A210)</f>
        <v>2014</v>
      </c>
      <c r="F210" s="33">
        <f>DATE(YEAR(A210),MONTH(A210),1)</f>
        <v>41730.0</v>
      </c>
      <c r="G210" t="str">
        <f>CHOOSE(WEEKDAY(A210,2),"Mon","Tue","Wed","Thu","Fri","Sat","Sun")</f>
        <v>Wed</v>
      </c>
      <c r="H210" t="str">
        <f>IF(WEEKDAY(A210,2)&gt;5,"Weekend","Weekday")</f>
        <v>Weekday</v>
      </c>
      <c r="I210" t="str">
        <f>_xlfn.IFS(B210&lt;=5,"Night (0-5)",B210&lt;=9,"Morning peak (6-9)",B210&lt;=15,"Midday (10-15)",B210&lt;=19,"Evening peak (16-19)",TRUE,"Late evening (20-23)")</f>
        <v>Evening peak (16-19)</v>
      </c>
    </row>
    <row r="211" spans="1:9">
      <c r="A211" s="32">
        <v>41738</v>
      </c>
      <c r="B211">
        <v>17</v>
      </c>
      <c r="C211">
        <v>1492</v>
      </c>
      <c r="D211" t="s">
        <v>303</v>
      </c>
      <c r="E211">
        <f>YEAR(A211)</f>
        <v>2014</v>
      </c>
      <c r="F211" s="33">
        <f>DATE(YEAR(A211),MONTH(A211),1)</f>
        <v>41730.0</v>
      </c>
      <c r="G211" t="str">
        <f>CHOOSE(WEEKDAY(A211,2),"Mon","Tue","Wed","Thu","Fri","Sat","Sun")</f>
        <v>Wed</v>
      </c>
      <c r="H211" t="str">
        <f>IF(WEEKDAY(A211,2)&gt;5,"Weekend","Weekday")</f>
        <v>Weekday</v>
      </c>
      <c r="I211" t="str">
        <f>_xlfn.IFS(B211&lt;=5,"Night (0-5)",B211&lt;=9,"Morning peak (6-9)",B211&lt;=15,"Midday (10-15)",B211&lt;=19,"Evening peak (16-19)",TRUE,"Late evening (20-23)")</f>
        <v>Evening peak (16-19)</v>
      </c>
    </row>
    <row r="212" spans="1:9">
      <c r="A212" s="32">
        <v>41738</v>
      </c>
      <c r="B212">
        <v>18</v>
      </c>
      <c r="C212">
        <v>1218</v>
      </c>
      <c r="D212" t="s">
        <v>303</v>
      </c>
      <c r="E212">
        <f>YEAR(A212)</f>
        <v>2014</v>
      </c>
      <c r="F212" s="33">
        <f>DATE(YEAR(A212),MONTH(A212),1)</f>
        <v>41730.0</v>
      </c>
      <c r="G212" t="str">
        <f>CHOOSE(WEEKDAY(A212,2),"Mon","Tue","Wed","Thu","Fri","Sat","Sun")</f>
        <v>Wed</v>
      </c>
      <c r="H212" t="str">
        <f>IF(WEEKDAY(A212,2)&gt;5,"Weekend","Weekday")</f>
        <v>Weekday</v>
      </c>
      <c r="I212" t="str">
        <f>_xlfn.IFS(B212&lt;=5,"Night (0-5)",B212&lt;=9,"Morning peak (6-9)",B212&lt;=15,"Midday (10-15)",B212&lt;=19,"Evening peak (16-19)",TRUE,"Late evening (20-23)")</f>
        <v>Evening peak (16-19)</v>
      </c>
    </row>
    <row r="213" spans="1:9">
      <c r="A213" s="32">
        <v>41738</v>
      </c>
      <c r="B213">
        <v>19</v>
      </c>
      <c r="C213">
        <v>1152</v>
      </c>
      <c r="D213" t="s">
        <v>303</v>
      </c>
      <c r="E213">
        <f>YEAR(A213)</f>
        <v>2014</v>
      </c>
      <c r="F213" s="33">
        <f>DATE(YEAR(A213),MONTH(A213),1)</f>
        <v>41730.0</v>
      </c>
      <c r="G213" t="str">
        <f>CHOOSE(WEEKDAY(A213,2),"Mon","Tue","Wed","Thu","Fri","Sat","Sun")</f>
        <v>Wed</v>
      </c>
      <c r="H213" t="str">
        <f>IF(WEEKDAY(A213,2)&gt;5,"Weekend","Weekday")</f>
        <v>Weekday</v>
      </c>
      <c r="I213" t="str">
        <f>_xlfn.IFS(B213&lt;=5,"Night (0-5)",B213&lt;=9,"Morning peak (6-9)",B213&lt;=15,"Midday (10-15)",B213&lt;=19,"Evening peak (16-19)",TRUE,"Late evening (20-23)")</f>
        <v>Evening peak (16-19)</v>
      </c>
    </row>
    <row r="214" spans="1:9">
      <c r="A214" s="32">
        <v>41738</v>
      </c>
      <c r="B214">
        <v>20</v>
      </c>
      <c r="C214">
        <v>995</v>
      </c>
      <c r="D214" t="s">
        <v>303</v>
      </c>
      <c r="E214">
        <f>YEAR(A214)</f>
        <v>2014</v>
      </c>
      <c r="F214" s="33">
        <f>DATE(YEAR(A214),MONTH(A214),1)</f>
        <v>41730.0</v>
      </c>
      <c r="G214" t="str">
        <f>CHOOSE(WEEKDAY(A214,2),"Mon","Tue","Wed","Thu","Fri","Sat","Sun")</f>
        <v>Wed</v>
      </c>
      <c r="H214" t="str">
        <f>IF(WEEKDAY(A214,2)&gt;5,"Weekend","Weekday")</f>
        <v>Weekday</v>
      </c>
      <c r="I214" t="str">
        <f>_xlfn.IFS(B214&lt;=5,"Night (0-5)",B214&lt;=9,"Morning peak (6-9)",B214&lt;=15,"Midday (10-15)",B214&lt;=19,"Evening peak (16-19)",TRUE,"Late evening (20-23)")</f>
        <v>Late evening (20-23)</v>
      </c>
    </row>
    <row r="215" spans="1:9">
      <c r="A215" s="32">
        <v>41738</v>
      </c>
      <c r="B215">
        <v>21</v>
      </c>
      <c r="C215">
        <v>988</v>
      </c>
      <c r="D215" t="s">
        <v>303</v>
      </c>
      <c r="E215">
        <f>YEAR(A215)</f>
        <v>2014</v>
      </c>
      <c r="F215" s="33">
        <f>DATE(YEAR(A215),MONTH(A215),1)</f>
        <v>41730.0</v>
      </c>
      <c r="G215" t="str">
        <f>CHOOSE(WEEKDAY(A215,2),"Mon","Tue","Wed","Thu","Fri","Sat","Sun")</f>
        <v>Wed</v>
      </c>
      <c r="H215" t="str">
        <f>IF(WEEKDAY(A215,2)&gt;5,"Weekend","Weekday")</f>
        <v>Weekday</v>
      </c>
      <c r="I215" t="str">
        <f>_xlfn.IFS(B215&lt;=5,"Night (0-5)",B215&lt;=9,"Morning peak (6-9)",B215&lt;=15,"Midday (10-15)",B215&lt;=19,"Evening peak (16-19)",TRUE,"Late evening (20-23)")</f>
        <v>Late evening (20-23)</v>
      </c>
    </row>
    <row r="216" spans="1:9">
      <c r="A216" s="32">
        <v>41738</v>
      </c>
      <c r="B216">
        <v>22</v>
      </c>
      <c r="C216">
        <v>717</v>
      </c>
      <c r="D216" t="s">
        <v>303</v>
      </c>
      <c r="E216">
        <f>YEAR(A216)</f>
        <v>2014</v>
      </c>
      <c r="F216" s="33">
        <f>DATE(YEAR(A216),MONTH(A216),1)</f>
        <v>41730.0</v>
      </c>
      <c r="G216" t="str">
        <f>CHOOSE(WEEKDAY(A216,2),"Mon","Tue","Wed","Thu","Fri","Sat","Sun")</f>
        <v>Wed</v>
      </c>
      <c r="H216" t="str">
        <f>IF(WEEKDAY(A216,2)&gt;5,"Weekend","Weekday")</f>
        <v>Weekday</v>
      </c>
      <c r="I216" t="str">
        <f>_xlfn.IFS(B216&lt;=5,"Night (0-5)",B216&lt;=9,"Morning peak (6-9)",B216&lt;=15,"Midday (10-15)",B216&lt;=19,"Evening peak (16-19)",TRUE,"Late evening (20-23)")</f>
        <v>Late evening (20-23)</v>
      </c>
    </row>
    <row r="217" spans="1:9">
      <c r="A217" s="32">
        <v>41738</v>
      </c>
      <c r="B217">
        <v>23</v>
      </c>
      <c r="C217">
        <v>362</v>
      </c>
      <c r="D217" t="s">
        <v>303</v>
      </c>
      <c r="E217">
        <f>YEAR(A217)</f>
        <v>2014</v>
      </c>
      <c r="F217" s="33">
        <f>DATE(YEAR(A217),MONTH(A217),1)</f>
        <v>41730.0</v>
      </c>
      <c r="G217" t="str">
        <f>CHOOSE(WEEKDAY(A217,2),"Mon","Tue","Wed","Thu","Fri","Sat","Sun")</f>
        <v>Wed</v>
      </c>
      <c r="H217" t="str">
        <f>IF(WEEKDAY(A217,2)&gt;5,"Weekend","Weekday")</f>
        <v>Weekday</v>
      </c>
      <c r="I217" t="str">
        <f>_xlfn.IFS(B217&lt;=5,"Night (0-5)",B217&lt;=9,"Morning peak (6-9)",B217&lt;=15,"Midday (10-15)",B217&lt;=19,"Evening peak (16-19)",TRUE,"Late evening (20-23)")</f>
        <v>Late evening (20-23)</v>
      </c>
    </row>
    <row r="218" spans="1:9">
      <c r="A218" s="32">
        <v>41739</v>
      </c>
      <c r="B218">
        <v>0</v>
      </c>
      <c r="C218">
        <v>176</v>
      </c>
      <c r="D218" t="s">
        <v>303</v>
      </c>
      <c r="E218">
        <f>YEAR(A218)</f>
        <v>2014</v>
      </c>
      <c r="F218" s="33">
        <f>DATE(YEAR(A218),MONTH(A218),1)</f>
        <v>41730.0</v>
      </c>
      <c r="G218" t="str">
        <f>CHOOSE(WEEKDAY(A218,2),"Mon","Tue","Wed","Thu","Fri","Sat","Sun")</f>
        <v>Thu</v>
      </c>
      <c r="H218" t="str">
        <f>IF(WEEKDAY(A218,2)&gt;5,"Weekend","Weekday")</f>
        <v>Weekday</v>
      </c>
      <c r="I218" t="str">
        <f>_xlfn.IFS(B218&lt;=5,"Night (0-5)",B218&lt;=9,"Morning peak (6-9)",B218&lt;=15,"Midday (10-15)",B218&lt;=19,"Evening peak (16-19)",TRUE,"Late evening (20-23)")</f>
        <v>Night (0-5)</v>
      </c>
    </row>
    <row r="219" spans="1:9">
      <c r="A219" s="32">
        <v>41739</v>
      </c>
      <c r="B219">
        <v>1</v>
      </c>
      <c r="C219">
        <v>106</v>
      </c>
      <c r="D219" t="s">
        <v>303</v>
      </c>
      <c r="E219">
        <f>YEAR(A219)</f>
        <v>2014</v>
      </c>
      <c r="F219" s="33">
        <f>DATE(YEAR(A219),MONTH(A219),1)</f>
        <v>41730.0</v>
      </c>
      <c r="G219" t="str">
        <f>CHOOSE(WEEKDAY(A219,2),"Mon","Tue","Wed","Thu","Fri","Sat","Sun")</f>
        <v>Thu</v>
      </c>
      <c r="H219" t="str">
        <f>IF(WEEKDAY(A219,2)&gt;5,"Weekend","Weekday")</f>
        <v>Weekday</v>
      </c>
      <c r="I219" t="str">
        <f>_xlfn.IFS(B219&lt;=5,"Night (0-5)",B219&lt;=9,"Morning peak (6-9)",B219&lt;=15,"Midday (10-15)",B219&lt;=19,"Evening peak (16-19)",TRUE,"Late evening (20-23)")</f>
        <v>Night (0-5)</v>
      </c>
    </row>
    <row r="220" spans="1:9">
      <c r="A220" s="32">
        <v>41739</v>
      </c>
      <c r="B220">
        <v>2</v>
      </c>
      <c r="C220">
        <v>72</v>
      </c>
      <c r="D220" t="s">
        <v>303</v>
      </c>
      <c r="E220">
        <f>YEAR(A220)</f>
        <v>2014</v>
      </c>
      <c r="F220" s="33">
        <f>DATE(YEAR(A220),MONTH(A220),1)</f>
        <v>41730.0</v>
      </c>
      <c r="G220" t="str">
        <f>CHOOSE(WEEKDAY(A220,2),"Mon","Tue","Wed","Thu","Fri","Sat","Sun")</f>
        <v>Thu</v>
      </c>
      <c r="H220" t="str">
        <f>IF(WEEKDAY(A220,2)&gt;5,"Weekend","Weekday")</f>
        <v>Weekday</v>
      </c>
      <c r="I220" t="str">
        <f>_xlfn.IFS(B220&lt;=5,"Night (0-5)",B220&lt;=9,"Morning peak (6-9)",B220&lt;=15,"Midday (10-15)",B220&lt;=19,"Evening peak (16-19)",TRUE,"Late evening (20-23)")</f>
        <v>Night (0-5)</v>
      </c>
    </row>
    <row r="221" spans="1:9">
      <c r="A221" s="32">
        <v>41739</v>
      </c>
      <c r="B221">
        <v>3</v>
      </c>
      <c r="C221">
        <v>154</v>
      </c>
      <c r="D221" t="s">
        <v>303</v>
      </c>
      <c r="E221">
        <f>YEAR(A221)</f>
        <v>2014</v>
      </c>
      <c r="F221" s="33">
        <f>DATE(YEAR(A221),MONTH(A221),1)</f>
        <v>41730.0</v>
      </c>
      <c r="G221" t="str">
        <f>CHOOSE(WEEKDAY(A221,2),"Mon","Tue","Wed","Thu","Fri","Sat","Sun")</f>
        <v>Thu</v>
      </c>
      <c r="H221" t="str">
        <f>IF(WEEKDAY(A221,2)&gt;5,"Weekend","Weekday")</f>
        <v>Weekday</v>
      </c>
      <c r="I221" t="str">
        <f>_xlfn.IFS(B221&lt;=5,"Night (0-5)",B221&lt;=9,"Morning peak (6-9)",B221&lt;=15,"Midday (10-15)",B221&lt;=19,"Evening peak (16-19)",TRUE,"Late evening (20-23)")</f>
        <v>Night (0-5)</v>
      </c>
    </row>
    <row r="222" spans="1:9">
      <c r="A222" s="32">
        <v>41739</v>
      </c>
      <c r="B222">
        <v>4</v>
      </c>
      <c r="C222">
        <v>223</v>
      </c>
      <c r="D222" t="s">
        <v>303</v>
      </c>
      <c r="E222">
        <f>YEAR(A222)</f>
        <v>2014</v>
      </c>
      <c r="F222" s="33">
        <f>DATE(YEAR(A222),MONTH(A222),1)</f>
        <v>41730.0</v>
      </c>
      <c r="G222" t="str">
        <f>CHOOSE(WEEKDAY(A222,2),"Mon","Tue","Wed","Thu","Fri","Sat","Sun")</f>
        <v>Thu</v>
      </c>
      <c r="H222" t="str">
        <f>IF(WEEKDAY(A222,2)&gt;5,"Weekend","Weekday")</f>
        <v>Weekday</v>
      </c>
      <c r="I222" t="str">
        <f>_xlfn.IFS(B222&lt;=5,"Night (0-5)",B222&lt;=9,"Morning peak (6-9)",B222&lt;=15,"Midday (10-15)",B222&lt;=19,"Evening peak (16-19)",TRUE,"Late evening (20-23)")</f>
        <v>Night (0-5)</v>
      </c>
    </row>
    <row r="223" spans="1:9">
      <c r="A223" s="32">
        <v>41739</v>
      </c>
      <c r="B223">
        <v>5</v>
      </c>
      <c r="C223">
        <v>360</v>
      </c>
      <c r="D223" t="s">
        <v>303</v>
      </c>
      <c r="E223">
        <f>YEAR(A223)</f>
        <v>2014</v>
      </c>
      <c r="F223" s="33">
        <f>DATE(YEAR(A223),MONTH(A223),1)</f>
        <v>41730.0</v>
      </c>
      <c r="G223" t="str">
        <f>CHOOSE(WEEKDAY(A223,2),"Mon","Tue","Wed","Thu","Fri","Sat","Sun")</f>
        <v>Thu</v>
      </c>
      <c r="H223" t="str">
        <f>IF(WEEKDAY(A223,2)&gt;5,"Weekend","Weekday")</f>
        <v>Weekday</v>
      </c>
      <c r="I223" t="str">
        <f>_xlfn.IFS(B223&lt;=5,"Night (0-5)",B223&lt;=9,"Morning peak (6-9)",B223&lt;=15,"Midday (10-15)",B223&lt;=19,"Evening peak (16-19)",TRUE,"Late evening (20-23)")</f>
        <v>Night (0-5)</v>
      </c>
    </row>
    <row r="224" spans="1:9">
      <c r="A224" s="32">
        <v>41739</v>
      </c>
      <c r="B224">
        <v>6</v>
      </c>
      <c r="C224">
        <v>833</v>
      </c>
      <c r="D224" t="s">
        <v>303</v>
      </c>
      <c r="E224">
        <f>YEAR(A224)</f>
        <v>2014</v>
      </c>
      <c r="F224" s="33">
        <f>DATE(YEAR(A224),MONTH(A224),1)</f>
        <v>41730.0</v>
      </c>
      <c r="G224" t="str">
        <f>CHOOSE(WEEKDAY(A224,2),"Mon","Tue","Wed","Thu","Fri","Sat","Sun")</f>
        <v>Thu</v>
      </c>
      <c r="H224" t="str">
        <f>IF(WEEKDAY(A224,2)&gt;5,"Weekend","Weekday")</f>
        <v>Weekday</v>
      </c>
      <c r="I224" t="str">
        <f>_xlfn.IFS(B224&lt;=5,"Night (0-5)",B224&lt;=9,"Morning peak (6-9)",B224&lt;=15,"Midday (10-15)",B224&lt;=19,"Evening peak (16-19)",TRUE,"Late evening (20-23)")</f>
        <v>Morning peak (6-9)</v>
      </c>
    </row>
    <row r="225" spans="1:9">
      <c r="A225" s="32">
        <v>41739</v>
      </c>
      <c r="B225">
        <v>7</v>
      </c>
      <c r="C225">
        <v>971</v>
      </c>
      <c r="D225" t="s">
        <v>303</v>
      </c>
      <c r="E225">
        <f>YEAR(A225)</f>
        <v>2014</v>
      </c>
      <c r="F225" s="33">
        <f>DATE(YEAR(A225),MONTH(A225),1)</f>
        <v>41730.0</v>
      </c>
      <c r="G225" t="str">
        <f>CHOOSE(WEEKDAY(A225,2),"Mon","Tue","Wed","Thu","Fri","Sat","Sun")</f>
        <v>Thu</v>
      </c>
      <c r="H225" t="str">
        <f>IF(WEEKDAY(A225,2)&gt;5,"Weekend","Weekday")</f>
        <v>Weekday</v>
      </c>
      <c r="I225" t="str">
        <f>_xlfn.IFS(B225&lt;=5,"Night (0-5)",B225&lt;=9,"Morning peak (6-9)",B225&lt;=15,"Midday (10-15)",B225&lt;=19,"Evening peak (16-19)",TRUE,"Late evening (20-23)")</f>
        <v>Morning peak (6-9)</v>
      </c>
    </row>
    <row r="226" spans="1:9">
      <c r="A226" s="32">
        <v>41739</v>
      </c>
      <c r="B226">
        <v>8</v>
      </c>
      <c r="C226">
        <v>834</v>
      </c>
      <c r="D226" t="s">
        <v>303</v>
      </c>
      <c r="E226">
        <f>YEAR(A226)</f>
        <v>2014</v>
      </c>
      <c r="F226" s="33">
        <f>DATE(YEAR(A226),MONTH(A226),1)</f>
        <v>41730.0</v>
      </c>
      <c r="G226" t="str">
        <f>CHOOSE(WEEKDAY(A226,2),"Mon","Tue","Wed","Thu","Fri","Sat","Sun")</f>
        <v>Thu</v>
      </c>
      <c r="H226" t="str">
        <f>IF(WEEKDAY(A226,2)&gt;5,"Weekend","Weekday")</f>
        <v>Weekday</v>
      </c>
      <c r="I226" t="str">
        <f>_xlfn.IFS(B226&lt;=5,"Night (0-5)",B226&lt;=9,"Morning peak (6-9)",B226&lt;=15,"Midday (10-15)",B226&lt;=19,"Evening peak (16-19)",TRUE,"Late evening (20-23)")</f>
        <v>Morning peak (6-9)</v>
      </c>
    </row>
    <row r="227" spans="1:9">
      <c r="A227" s="32">
        <v>41739</v>
      </c>
      <c r="B227">
        <v>9</v>
      </c>
      <c r="C227">
        <v>654</v>
      </c>
      <c r="D227" t="s">
        <v>303</v>
      </c>
      <c r="E227">
        <f>YEAR(A227)</f>
        <v>2014</v>
      </c>
      <c r="F227" s="33">
        <f>DATE(YEAR(A227),MONTH(A227),1)</f>
        <v>41730.0</v>
      </c>
      <c r="G227" t="str">
        <f>CHOOSE(WEEKDAY(A227,2),"Mon","Tue","Wed","Thu","Fri","Sat","Sun")</f>
        <v>Thu</v>
      </c>
      <c r="H227" t="str">
        <f>IF(WEEKDAY(A227,2)&gt;5,"Weekend","Weekday")</f>
        <v>Weekday</v>
      </c>
      <c r="I227" t="str">
        <f>_xlfn.IFS(B227&lt;=5,"Night (0-5)",B227&lt;=9,"Morning peak (6-9)",B227&lt;=15,"Midday (10-15)",B227&lt;=19,"Evening peak (16-19)",TRUE,"Late evening (20-23)")</f>
        <v>Morning peak (6-9)</v>
      </c>
    </row>
    <row r="228" spans="1:9">
      <c r="A228" s="32">
        <v>41739</v>
      </c>
      <c r="B228">
        <v>10</v>
      </c>
      <c r="C228">
        <v>561</v>
      </c>
      <c r="D228" t="s">
        <v>303</v>
      </c>
      <c r="E228">
        <f>YEAR(A228)</f>
        <v>2014</v>
      </c>
      <c r="F228" s="33">
        <f>DATE(YEAR(A228),MONTH(A228),1)</f>
        <v>41730.0</v>
      </c>
      <c r="G228" t="str">
        <f>CHOOSE(WEEKDAY(A228,2),"Mon","Tue","Wed","Thu","Fri","Sat","Sun")</f>
        <v>Thu</v>
      </c>
      <c r="H228" t="str">
        <f>IF(WEEKDAY(A228,2)&gt;5,"Weekend","Weekday")</f>
        <v>Weekday</v>
      </c>
      <c r="I228" t="str">
        <f>_xlfn.IFS(B228&lt;=5,"Night (0-5)",B228&lt;=9,"Morning peak (6-9)",B228&lt;=15,"Midday (10-15)",B228&lt;=19,"Evening peak (16-19)",TRUE,"Late evening (20-23)")</f>
        <v>Midday (10-15)</v>
      </c>
    </row>
    <row r="229" spans="1:9">
      <c r="A229" s="32">
        <v>41739</v>
      </c>
      <c r="B229">
        <v>11</v>
      </c>
      <c r="C229">
        <v>627</v>
      </c>
      <c r="D229" t="s">
        <v>303</v>
      </c>
      <c r="E229">
        <f>YEAR(A229)</f>
        <v>2014</v>
      </c>
      <c r="F229" s="33">
        <f>DATE(YEAR(A229),MONTH(A229),1)</f>
        <v>41730.0</v>
      </c>
      <c r="G229" t="str">
        <f>CHOOSE(WEEKDAY(A229,2),"Mon","Tue","Wed","Thu","Fri","Sat","Sun")</f>
        <v>Thu</v>
      </c>
      <c r="H229" t="str">
        <f>IF(WEEKDAY(A229,2)&gt;5,"Weekend","Weekday")</f>
        <v>Weekday</v>
      </c>
      <c r="I229" t="str">
        <f>_xlfn.IFS(B229&lt;=5,"Night (0-5)",B229&lt;=9,"Morning peak (6-9)",B229&lt;=15,"Midday (10-15)",B229&lt;=19,"Evening peak (16-19)",TRUE,"Late evening (20-23)")</f>
        <v>Midday (10-15)</v>
      </c>
    </row>
    <row r="230" spans="1:9">
      <c r="A230" s="32">
        <v>41739</v>
      </c>
      <c r="B230">
        <v>12</v>
      </c>
      <c r="C230">
        <v>623</v>
      </c>
      <c r="D230" t="s">
        <v>303</v>
      </c>
      <c r="E230">
        <f>YEAR(A230)</f>
        <v>2014</v>
      </c>
      <c r="F230" s="33">
        <f>DATE(YEAR(A230),MONTH(A230),1)</f>
        <v>41730.0</v>
      </c>
      <c r="G230" t="str">
        <f>CHOOSE(WEEKDAY(A230,2),"Mon","Tue","Wed","Thu","Fri","Sat","Sun")</f>
        <v>Thu</v>
      </c>
      <c r="H230" t="str">
        <f>IF(WEEKDAY(A230,2)&gt;5,"Weekend","Weekday")</f>
        <v>Weekday</v>
      </c>
      <c r="I230" t="str">
        <f>_xlfn.IFS(B230&lt;=5,"Night (0-5)",B230&lt;=9,"Morning peak (6-9)",B230&lt;=15,"Midday (10-15)",B230&lt;=19,"Evening peak (16-19)",TRUE,"Late evening (20-23)")</f>
        <v>Midday (10-15)</v>
      </c>
    </row>
    <row r="231" spans="1:9">
      <c r="A231" s="32">
        <v>41739</v>
      </c>
      <c r="B231">
        <v>13</v>
      </c>
      <c r="C231">
        <v>822</v>
      </c>
      <c r="D231" t="s">
        <v>303</v>
      </c>
      <c r="E231">
        <f>YEAR(A231)</f>
        <v>2014</v>
      </c>
      <c r="F231" s="33">
        <f>DATE(YEAR(A231),MONTH(A231),1)</f>
        <v>41730.0</v>
      </c>
      <c r="G231" t="str">
        <f>CHOOSE(WEEKDAY(A231,2),"Mon","Tue","Wed","Thu","Fri","Sat","Sun")</f>
        <v>Thu</v>
      </c>
      <c r="H231" t="str">
        <f>IF(WEEKDAY(A231,2)&gt;5,"Weekend","Weekday")</f>
        <v>Weekday</v>
      </c>
      <c r="I231" t="str">
        <f>_xlfn.IFS(B231&lt;=5,"Night (0-5)",B231&lt;=9,"Morning peak (6-9)",B231&lt;=15,"Midday (10-15)",B231&lt;=19,"Evening peak (16-19)",TRUE,"Late evening (20-23)")</f>
        <v>Midday (10-15)</v>
      </c>
    </row>
    <row r="232" spans="1:9">
      <c r="A232" s="32">
        <v>41739</v>
      </c>
      <c r="B232">
        <v>14</v>
      </c>
      <c r="C232">
        <v>1056</v>
      </c>
      <c r="D232" t="s">
        <v>303</v>
      </c>
      <c r="E232">
        <f>YEAR(A232)</f>
        <v>2014</v>
      </c>
      <c r="F232" s="33">
        <f>DATE(YEAR(A232),MONTH(A232),1)</f>
        <v>41730.0</v>
      </c>
      <c r="G232" t="str">
        <f>CHOOSE(WEEKDAY(A232,2),"Mon","Tue","Wed","Thu","Fri","Sat","Sun")</f>
        <v>Thu</v>
      </c>
      <c r="H232" t="str">
        <f>IF(WEEKDAY(A232,2)&gt;5,"Weekend","Weekday")</f>
        <v>Weekday</v>
      </c>
      <c r="I232" t="str">
        <f>_xlfn.IFS(B232&lt;=5,"Night (0-5)",B232&lt;=9,"Morning peak (6-9)",B232&lt;=15,"Midday (10-15)",B232&lt;=19,"Evening peak (16-19)",TRUE,"Late evening (20-23)")</f>
        <v>Midday (10-15)</v>
      </c>
    </row>
    <row r="233" spans="1:9">
      <c r="A233" s="32">
        <v>41739</v>
      </c>
      <c r="B233">
        <v>15</v>
      </c>
      <c r="C233">
        <v>1333</v>
      </c>
      <c r="D233" t="s">
        <v>303</v>
      </c>
      <c r="E233">
        <f>YEAR(A233)</f>
        <v>2014</v>
      </c>
      <c r="F233" s="33">
        <f>DATE(YEAR(A233),MONTH(A233),1)</f>
        <v>41730.0</v>
      </c>
      <c r="G233" t="str">
        <f>CHOOSE(WEEKDAY(A233,2),"Mon","Tue","Wed","Thu","Fri","Sat","Sun")</f>
        <v>Thu</v>
      </c>
      <c r="H233" t="str">
        <f>IF(WEEKDAY(A233,2)&gt;5,"Weekend","Weekday")</f>
        <v>Weekday</v>
      </c>
      <c r="I233" t="str">
        <f>_xlfn.IFS(B233&lt;=5,"Night (0-5)",B233&lt;=9,"Morning peak (6-9)",B233&lt;=15,"Midday (10-15)",B233&lt;=19,"Evening peak (16-19)",TRUE,"Late evening (20-23)")</f>
        <v>Midday (10-15)</v>
      </c>
    </row>
    <row r="234" spans="1:9">
      <c r="A234" s="32">
        <v>41739</v>
      </c>
      <c r="B234">
        <v>16</v>
      </c>
      <c r="C234">
        <v>1553</v>
      </c>
      <c r="D234" t="s">
        <v>303</v>
      </c>
      <c r="E234">
        <f>YEAR(A234)</f>
        <v>2014</v>
      </c>
      <c r="F234" s="33">
        <f>DATE(YEAR(A234),MONTH(A234),1)</f>
        <v>41730.0</v>
      </c>
      <c r="G234" t="str">
        <f>CHOOSE(WEEKDAY(A234,2),"Mon","Tue","Wed","Thu","Fri","Sat","Sun")</f>
        <v>Thu</v>
      </c>
      <c r="H234" t="str">
        <f>IF(WEEKDAY(A234,2)&gt;5,"Weekend","Weekday")</f>
        <v>Weekday</v>
      </c>
      <c r="I234" t="str">
        <f>_xlfn.IFS(B234&lt;=5,"Night (0-5)",B234&lt;=9,"Morning peak (6-9)",B234&lt;=15,"Midday (10-15)",B234&lt;=19,"Evening peak (16-19)",TRUE,"Late evening (20-23)")</f>
        <v>Evening peak (16-19)</v>
      </c>
    </row>
    <row r="235" spans="1:9">
      <c r="A235" s="32">
        <v>41739</v>
      </c>
      <c r="B235">
        <v>17</v>
      </c>
      <c r="C235">
        <v>1757</v>
      </c>
      <c r="D235" t="s">
        <v>303</v>
      </c>
      <c r="E235">
        <f>YEAR(A235)</f>
        <v>2014</v>
      </c>
      <c r="F235" s="33">
        <f>DATE(YEAR(A235),MONTH(A235),1)</f>
        <v>41730.0</v>
      </c>
      <c r="G235" t="str">
        <f>CHOOSE(WEEKDAY(A235,2),"Mon","Tue","Wed","Thu","Fri","Sat","Sun")</f>
        <v>Thu</v>
      </c>
      <c r="H235" t="str">
        <f>IF(WEEKDAY(A235,2)&gt;5,"Weekend","Weekday")</f>
        <v>Weekday</v>
      </c>
      <c r="I235" t="str">
        <f>_xlfn.IFS(B235&lt;=5,"Night (0-5)",B235&lt;=9,"Morning peak (6-9)",B235&lt;=15,"Midday (10-15)",B235&lt;=19,"Evening peak (16-19)",TRUE,"Late evening (20-23)")</f>
        <v>Evening peak (16-19)</v>
      </c>
    </row>
    <row r="236" spans="1:9">
      <c r="A236" s="32">
        <v>41739</v>
      </c>
      <c r="B236">
        <v>18</v>
      </c>
      <c r="C236">
        <v>1535</v>
      </c>
      <c r="D236" t="s">
        <v>303</v>
      </c>
      <c r="E236">
        <f>YEAR(A236)</f>
        <v>2014</v>
      </c>
      <c r="F236" s="33">
        <f>DATE(YEAR(A236),MONTH(A236),1)</f>
        <v>41730.0</v>
      </c>
      <c r="G236" t="str">
        <f>CHOOSE(WEEKDAY(A236,2),"Mon","Tue","Wed","Thu","Fri","Sat","Sun")</f>
        <v>Thu</v>
      </c>
      <c r="H236" t="str">
        <f>IF(WEEKDAY(A236,2)&gt;5,"Weekend","Weekday")</f>
        <v>Weekday</v>
      </c>
      <c r="I236" t="str">
        <f>_xlfn.IFS(B236&lt;=5,"Night (0-5)",B236&lt;=9,"Morning peak (6-9)",B236&lt;=15,"Midday (10-15)",B236&lt;=19,"Evening peak (16-19)",TRUE,"Late evening (20-23)")</f>
        <v>Evening peak (16-19)</v>
      </c>
    </row>
    <row r="237" spans="1:9">
      <c r="A237" s="32">
        <v>41739</v>
      </c>
      <c r="B237">
        <v>19</v>
      </c>
      <c r="C237">
        <v>1312</v>
      </c>
      <c r="D237" t="s">
        <v>303</v>
      </c>
      <c r="E237">
        <f>YEAR(A237)</f>
        <v>2014</v>
      </c>
      <c r="F237" s="33">
        <f>DATE(YEAR(A237),MONTH(A237),1)</f>
        <v>41730.0</v>
      </c>
      <c r="G237" t="str">
        <f>CHOOSE(WEEKDAY(A237,2),"Mon","Tue","Wed","Thu","Fri","Sat","Sun")</f>
        <v>Thu</v>
      </c>
      <c r="H237" t="str">
        <f>IF(WEEKDAY(A237,2)&gt;5,"Weekend","Weekday")</f>
        <v>Weekday</v>
      </c>
      <c r="I237" t="str">
        <f>_xlfn.IFS(B237&lt;=5,"Night (0-5)",B237&lt;=9,"Morning peak (6-9)",B237&lt;=15,"Midday (10-15)",B237&lt;=19,"Evening peak (16-19)",TRUE,"Late evening (20-23)")</f>
        <v>Evening peak (16-19)</v>
      </c>
    </row>
    <row r="238" spans="1:9">
      <c r="A238" s="32">
        <v>41739</v>
      </c>
      <c r="B238">
        <v>20</v>
      </c>
      <c r="C238">
        <v>1461</v>
      </c>
      <c r="D238" t="s">
        <v>303</v>
      </c>
      <c r="E238">
        <f>YEAR(A238)</f>
        <v>2014</v>
      </c>
      <c r="F238" s="33">
        <f>DATE(YEAR(A238),MONTH(A238),1)</f>
        <v>41730.0</v>
      </c>
      <c r="G238" t="str">
        <f>CHOOSE(WEEKDAY(A238,2),"Mon","Tue","Wed","Thu","Fri","Sat","Sun")</f>
        <v>Thu</v>
      </c>
      <c r="H238" t="str">
        <f>IF(WEEKDAY(A238,2)&gt;5,"Weekend","Weekday")</f>
        <v>Weekday</v>
      </c>
      <c r="I238" t="str">
        <f>_xlfn.IFS(B238&lt;=5,"Night (0-5)",B238&lt;=9,"Morning peak (6-9)",B238&lt;=15,"Midday (10-15)",B238&lt;=19,"Evening peak (16-19)",TRUE,"Late evening (20-23)")</f>
        <v>Late evening (20-23)</v>
      </c>
    </row>
    <row r="239" spans="1:9">
      <c r="A239" s="32">
        <v>41739</v>
      </c>
      <c r="B239">
        <v>21</v>
      </c>
      <c r="C239">
        <v>1477</v>
      </c>
      <c r="D239" t="s">
        <v>303</v>
      </c>
      <c r="E239">
        <f>YEAR(A239)</f>
        <v>2014</v>
      </c>
      <c r="F239" s="33">
        <f>DATE(YEAR(A239),MONTH(A239),1)</f>
        <v>41730.0</v>
      </c>
      <c r="G239" t="str">
        <f>CHOOSE(WEEKDAY(A239,2),"Mon","Tue","Wed","Thu","Fri","Sat","Sun")</f>
        <v>Thu</v>
      </c>
      <c r="H239" t="str">
        <f>IF(WEEKDAY(A239,2)&gt;5,"Weekend","Weekday")</f>
        <v>Weekday</v>
      </c>
      <c r="I239" t="str">
        <f>_xlfn.IFS(B239&lt;=5,"Night (0-5)",B239&lt;=9,"Morning peak (6-9)",B239&lt;=15,"Midday (10-15)",B239&lt;=19,"Evening peak (16-19)",TRUE,"Late evening (20-23)")</f>
        <v>Late evening (20-23)</v>
      </c>
    </row>
    <row r="240" spans="1:9">
      <c r="A240" s="32">
        <v>41739</v>
      </c>
      <c r="B240">
        <v>22</v>
      </c>
      <c r="C240">
        <v>969</v>
      </c>
      <c r="D240" t="s">
        <v>303</v>
      </c>
      <c r="E240">
        <f>YEAR(A240)</f>
        <v>2014</v>
      </c>
      <c r="F240" s="33">
        <f>DATE(YEAR(A240),MONTH(A240),1)</f>
        <v>41730.0</v>
      </c>
      <c r="G240" t="str">
        <f>CHOOSE(WEEKDAY(A240,2),"Mon","Tue","Wed","Thu","Fri","Sat","Sun")</f>
        <v>Thu</v>
      </c>
      <c r="H240" t="str">
        <f>IF(WEEKDAY(A240,2)&gt;5,"Weekend","Weekday")</f>
        <v>Weekday</v>
      </c>
      <c r="I240" t="str">
        <f>_xlfn.IFS(B240&lt;=5,"Night (0-5)",B240&lt;=9,"Morning peak (6-9)",B240&lt;=15,"Midday (10-15)",B240&lt;=19,"Evening peak (16-19)",TRUE,"Late evening (20-23)")</f>
        <v>Late evening (20-23)</v>
      </c>
    </row>
    <row r="241" spans="1:9">
      <c r="A241" s="32">
        <v>41739</v>
      </c>
      <c r="B241">
        <v>23</v>
      </c>
      <c r="C241">
        <v>572</v>
      </c>
      <c r="D241" t="s">
        <v>303</v>
      </c>
      <c r="E241">
        <f>YEAR(A241)</f>
        <v>2014</v>
      </c>
      <c r="F241" s="33">
        <f>DATE(YEAR(A241),MONTH(A241),1)</f>
        <v>41730.0</v>
      </c>
      <c r="G241" t="str">
        <f>CHOOSE(WEEKDAY(A241,2),"Mon","Tue","Wed","Thu","Fri","Sat","Sun")</f>
        <v>Thu</v>
      </c>
      <c r="H241" t="str">
        <f>IF(WEEKDAY(A241,2)&gt;5,"Weekend","Weekday")</f>
        <v>Weekday</v>
      </c>
      <c r="I241" t="str">
        <f>_xlfn.IFS(B241&lt;=5,"Night (0-5)",B241&lt;=9,"Morning peak (6-9)",B241&lt;=15,"Midday (10-15)",B241&lt;=19,"Evening peak (16-19)",TRUE,"Late evening (20-23)")</f>
        <v>Late evening (20-23)</v>
      </c>
    </row>
    <row r="242" spans="1:9">
      <c r="A242" s="32">
        <v>41740</v>
      </c>
      <c r="B242">
        <v>0</v>
      </c>
      <c r="C242">
        <v>250</v>
      </c>
      <c r="D242" t="s">
        <v>303</v>
      </c>
      <c r="E242">
        <f>YEAR(A242)</f>
        <v>2014</v>
      </c>
      <c r="F242" s="33">
        <f>DATE(YEAR(A242),MONTH(A242),1)</f>
        <v>41730.0</v>
      </c>
      <c r="G242" t="str">
        <f>CHOOSE(WEEKDAY(A242,2),"Mon","Tue","Wed","Thu","Fri","Sat","Sun")</f>
        <v>Fri</v>
      </c>
      <c r="H242" t="str">
        <f>IF(WEEKDAY(A242,2)&gt;5,"Weekend","Weekday")</f>
        <v>Weekday</v>
      </c>
      <c r="I242" t="str">
        <f>_xlfn.IFS(B242&lt;=5,"Night (0-5)",B242&lt;=9,"Morning peak (6-9)",B242&lt;=15,"Midday (10-15)",B242&lt;=19,"Evening peak (16-19)",TRUE,"Late evening (20-23)")</f>
        <v>Night (0-5)</v>
      </c>
    </row>
    <row r="243" spans="1:9">
      <c r="A243" s="32">
        <v>41740</v>
      </c>
      <c r="B243">
        <v>1</v>
      </c>
      <c r="C243">
        <v>161</v>
      </c>
      <c r="D243" t="s">
        <v>303</v>
      </c>
      <c r="E243">
        <f>YEAR(A243)</f>
        <v>2014</v>
      </c>
      <c r="F243" s="33">
        <f>DATE(YEAR(A243),MONTH(A243),1)</f>
        <v>41730.0</v>
      </c>
      <c r="G243" t="str">
        <f>CHOOSE(WEEKDAY(A243,2),"Mon","Tue","Wed","Thu","Fri","Sat","Sun")</f>
        <v>Fri</v>
      </c>
      <c r="H243" t="str">
        <f>IF(WEEKDAY(A243,2)&gt;5,"Weekend","Weekday")</f>
        <v>Weekday</v>
      </c>
      <c r="I243" t="str">
        <f>_xlfn.IFS(B243&lt;=5,"Night (0-5)",B243&lt;=9,"Morning peak (6-9)",B243&lt;=15,"Midday (10-15)",B243&lt;=19,"Evening peak (16-19)",TRUE,"Late evening (20-23)")</f>
        <v>Night (0-5)</v>
      </c>
    </row>
    <row r="244" spans="1:9">
      <c r="A244" s="32">
        <v>41740</v>
      </c>
      <c r="B244">
        <v>2</v>
      </c>
      <c r="C244">
        <v>109</v>
      </c>
      <c r="D244" t="s">
        <v>303</v>
      </c>
      <c r="E244">
        <f>YEAR(A244)</f>
        <v>2014</v>
      </c>
      <c r="F244" s="33">
        <f>DATE(YEAR(A244),MONTH(A244),1)</f>
        <v>41730.0</v>
      </c>
      <c r="G244" t="str">
        <f>CHOOSE(WEEKDAY(A244,2),"Mon","Tue","Wed","Thu","Fri","Sat","Sun")</f>
        <v>Fri</v>
      </c>
      <c r="H244" t="str">
        <f>IF(WEEKDAY(A244,2)&gt;5,"Weekend","Weekday")</f>
        <v>Weekday</v>
      </c>
      <c r="I244" t="str">
        <f>_xlfn.IFS(B244&lt;=5,"Night (0-5)",B244&lt;=9,"Morning peak (6-9)",B244&lt;=15,"Midday (10-15)",B244&lt;=19,"Evening peak (16-19)",TRUE,"Late evening (20-23)")</f>
        <v>Night (0-5)</v>
      </c>
    </row>
    <row r="245" spans="1:9">
      <c r="A245" s="32">
        <v>41740</v>
      </c>
      <c r="B245">
        <v>3</v>
      </c>
      <c r="C245">
        <v>197</v>
      </c>
      <c r="D245" t="s">
        <v>303</v>
      </c>
      <c r="E245">
        <f>YEAR(A245)</f>
        <v>2014</v>
      </c>
      <c r="F245" s="33">
        <f>DATE(YEAR(A245),MONTH(A245),1)</f>
        <v>41730.0</v>
      </c>
      <c r="G245" t="str">
        <f>CHOOSE(WEEKDAY(A245,2),"Mon","Tue","Wed","Thu","Fri","Sat","Sun")</f>
        <v>Fri</v>
      </c>
      <c r="H245" t="str">
        <f>IF(WEEKDAY(A245,2)&gt;5,"Weekend","Weekday")</f>
        <v>Weekday</v>
      </c>
      <c r="I245" t="str">
        <f>_xlfn.IFS(B245&lt;=5,"Night (0-5)",B245&lt;=9,"Morning peak (6-9)",B245&lt;=15,"Midday (10-15)",B245&lt;=19,"Evening peak (16-19)",TRUE,"Late evening (20-23)")</f>
        <v>Night (0-5)</v>
      </c>
    </row>
    <row r="246" spans="1:9">
      <c r="A246" s="32">
        <v>41740</v>
      </c>
      <c r="B246">
        <v>4</v>
      </c>
      <c r="C246">
        <v>228</v>
      </c>
      <c r="D246" t="s">
        <v>303</v>
      </c>
      <c r="E246">
        <f>YEAR(A246)</f>
        <v>2014</v>
      </c>
      <c r="F246" s="33">
        <f>DATE(YEAR(A246),MONTH(A246),1)</f>
        <v>41730.0</v>
      </c>
      <c r="G246" t="str">
        <f>CHOOSE(WEEKDAY(A246,2),"Mon","Tue","Wed","Thu","Fri","Sat","Sun")</f>
        <v>Fri</v>
      </c>
      <c r="H246" t="str">
        <f>IF(WEEKDAY(A246,2)&gt;5,"Weekend","Weekday")</f>
        <v>Weekday</v>
      </c>
      <c r="I246" t="str">
        <f>_xlfn.IFS(B246&lt;=5,"Night (0-5)",B246&lt;=9,"Morning peak (6-9)",B246&lt;=15,"Midday (10-15)",B246&lt;=19,"Evening peak (16-19)",TRUE,"Late evening (20-23)")</f>
        <v>Night (0-5)</v>
      </c>
    </row>
    <row r="247" spans="1:9">
      <c r="A247" s="32">
        <v>41740</v>
      </c>
      <c r="B247">
        <v>5</v>
      </c>
      <c r="C247">
        <v>337</v>
      </c>
      <c r="D247" t="s">
        <v>303</v>
      </c>
      <c r="E247">
        <f>YEAR(A247)</f>
        <v>2014</v>
      </c>
      <c r="F247" s="33">
        <f>DATE(YEAR(A247),MONTH(A247),1)</f>
        <v>41730.0</v>
      </c>
      <c r="G247" t="str">
        <f>CHOOSE(WEEKDAY(A247,2),"Mon","Tue","Wed","Thu","Fri","Sat","Sun")</f>
        <v>Fri</v>
      </c>
      <c r="H247" t="str">
        <f>IF(WEEKDAY(A247,2)&gt;5,"Weekend","Weekday")</f>
        <v>Weekday</v>
      </c>
      <c r="I247" t="str">
        <f>_xlfn.IFS(B247&lt;=5,"Night (0-5)",B247&lt;=9,"Morning peak (6-9)",B247&lt;=15,"Midday (10-15)",B247&lt;=19,"Evening peak (16-19)",TRUE,"Late evening (20-23)")</f>
        <v>Night (0-5)</v>
      </c>
    </row>
    <row r="248" spans="1:9">
      <c r="A248" s="32">
        <v>41740</v>
      </c>
      <c r="B248">
        <v>6</v>
      </c>
      <c r="C248">
        <v>800</v>
      </c>
      <c r="D248" t="s">
        <v>303</v>
      </c>
      <c r="E248">
        <f>YEAR(A248)</f>
        <v>2014</v>
      </c>
      <c r="F248" s="33">
        <f>DATE(YEAR(A248),MONTH(A248),1)</f>
        <v>41730.0</v>
      </c>
      <c r="G248" t="str">
        <f>CHOOSE(WEEKDAY(A248,2),"Mon","Tue","Wed","Thu","Fri","Sat","Sun")</f>
        <v>Fri</v>
      </c>
      <c r="H248" t="str">
        <f>IF(WEEKDAY(A248,2)&gt;5,"Weekend","Weekday")</f>
        <v>Weekday</v>
      </c>
      <c r="I248" t="str">
        <f>_xlfn.IFS(B248&lt;=5,"Night (0-5)",B248&lt;=9,"Morning peak (6-9)",B248&lt;=15,"Midday (10-15)",B248&lt;=19,"Evening peak (16-19)",TRUE,"Late evening (20-23)")</f>
        <v>Morning peak (6-9)</v>
      </c>
    </row>
    <row r="249" spans="1:9">
      <c r="A249" s="32">
        <v>41740</v>
      </c>
      <c r="B249">
        <v>7</v>
      </c>
      <c r="C249">
        <v>1041</v>
      </c>
      <c r="D249" t="s">
        <v>303</v>
      </c>
      <c r="E249">
        <f>YEAR(A249)</f>
        <v>2014</v>
      </c>
      <c r="F249" s="33">
        <f>DATE(YEAR(A249),MONTH(A249),1)</f>
        <v>41730.0</v>
      </c>
      <c r="G249" t="str">
        <f>CHOOSE(WEEKDAY(A249,2),"Mon","Tue","Wed","Thu","Fri","Sat","Sun")</f>
        <v>Fri</v>
      </c>
      <c r="H249" t="str">
        <f>IF(WEEKDAY(A249,2)&gt;5,"Weekend","Weekday")</f>
        <v>Weekday</v>
      </c>
      <c r="I249" t="str">
        <f>_xlfn.IFS(B249&lt;=5,"Night (0-5)",B249&lt;=9,"Morning peak (6-9)",B249&lt;=15,"Midday (10-15)",B249&lt;=19,"Evening peak (16-19)",TRUE,"Late evening (20-23)")</f>
        <v>Morning peak (6-9)</v>
      </c>
    </row>
    <row r="250" spans="1:9">
      <c r="A250" s="32">
        <v>41740</v>
      </c>
      <c r="B250">
        <v>8</v>
      </c>
      <c r="C250">
        <v>926</v>
      </c>
      <c r="D250" t="s">
        <v>303</v>
      </c>
      <c r="E250">
        <f>YEAR(A250)</f>
        <v>2014</v>
      </c>
      <c r="F250" s="33">
        <f>DATE(YEAR(A250),MONTH(A250),1)</f>
        <v>41730.0</v>
      </c>
      <c r="G250" t="str">
        <f>CHOOSE(WEEKDAY(A250,2),"Mon","Tue","Wed","Thu","Fri","Sat","Sun")</f>
        <v>Fri</v>
      </c>
      <c r="H250" t="str">
        <f>IF(WEEKDAY(A250,2)&gt;5,"Weekend","Weekday")</f>
        <v>Weekday</v>
      </c>
      <c r="I250" t="str">
        <f>_xlfn.IFS(B250&lt;=5,"Night (0-5)",B250&lt;=9,"Morning peak (6-9)",B250&lt;=15,"Midday (10-15)",B250&lt;=19,"Evening peak (16-19)",TRUE,"Late evening (20-23)")</f>
        <v>Morning peak (6-9)</v>
      </c>
    </row>
    <row r="251" spans="1:9">
      <c r="A251" s="32">
        <v>41740</v>
      </c>
      <c r="B251">
        <v>9</v>
      </c>
      <c r="C251">
        <v>606</v>
      </c>
      <c r="D251" t="s">
        <v>303</v>
      </c>
      <c r="E251">
        <f>YEAR(A251)</f>
        <v>2014</v>
      </c>
      <c r="F251" s="33">
        <f>DATE(YEAR(A251),MONTH(A251),1)</f>
        <v>41730.0</v>
      </c>
      <c r="G251" t="str">
        <f>CHOOSE(WEEKDAY(A251,2),"Mon","Tue","Wed","Thu","Fri","Sat","Sun")</f>
        <v>Fri</v>
      </c>
      <c r="H251" t="str">
        <f>IF(WEEKDAY(A251,2)&gt;5,"Weekend","Weekday")</f>
        <v>Weekday</v>
      </c>
      <c r="I251" t="str">
        <f>_xlfn.IFS(B251&lt;=5,"Night (0-5)",B251&lt;=9,"Morning peak (6-9)",B251&lt;=15,"Midday (10-15)",B251&lt;=19,"Evening peak (16-19)",TRUE,"Late evening (20-23)")</f>
        <v>Morning peak (6-9)</v>
      </c>
    </row>
    <row r="252" spans="1:9">
      <c r="A252" s="32">
        <v>41740</v>
      </c>
      <c r="B252">
        <v>10</v>
      </c>
      <c r="C252">
        <v>631</v>
      </c>
      <c r="D252" t="s">
        <v>303</v>
      </c>
      <c r="E252">
        <f>YEAR(A252)</f>
        <v>2014</v>
      </c>
      <c r="F252" s="33">
        <f>DATE(YEAR(A252),MONTH(A252),1)</f>
        <v>41730.0</v>
      </c>
      <c r="G252" t="str">
        <f>CHOOSE(WEEKDAY(A252,2),"Mon","Tue","Wed","Thu","Fri","Sat","Sun")</f>
        <v>Fri</v>
      </c>
      <c r="H252" t="str">
        <f>IF(WEEKDAY(A252,2)&gt;5,"Weekend","Weekday")</f>
        <v>Weekday</v>
      </c>
      <c r="I252" t="str">
        <f>_xlfn.IFS(B252&lt;=5,"Night (0-5)",B252&lt;=9,"Morning peak (6-9)",B252&lt;=15,"Midday (10-15)",B252&lt;=19,"Evening peak (16-19)",TRUE,"Late evening (20-23)")</f>
        <v>Midday (10-15)</v>
      </c>
    </row>
    <row r="253" spans="1:9">
      <c r="A253" s="32">
        <v>41740</v>
      </c>
      <c r="B253">
        <v>11</v>
      </c>
      <c r="C253">
        <v>664</v>
      </c>
      <c r="D253" t="s">
        <v>303</v>
      </c>
      <c r="E253">
        <f>YEAR(A253)</f>
        <v>2014</v>
      </c>
      <c r="F253" s="33">
        <f>DATE(YEAR(A253),MONTH(A253),1)</f>
        <v>41730.0</v>
      </c>
      <c r="G253" t="str">
        <f>CHOOSE(WEEKDAY(A253,2),"Mon","Tue","Wed","Thu","Fri","Sat","Sun")</f>
        <v>Fri</v>
      </c>
      <c r="H253" t="str">
        <f>IF(WEEKDAY(A253,2)&gt;5,"Weekend","Weekday")</f>
        <v>Weekday</v>
      </c>
      <c r="I253" t="str">
        <f>_xlfn.IFS(B253&lt;=5,"Night (0-5)",B253&lt;=9,"Morning peak (6-9)",B253&lt;=15,"Midday (10-15)",B253&lt;=19,"Evening peak (16-19)",TRUE,"Late evening (20-23)")</f>
        <v>Midday (10-15)</v>
      </c>
    </row>
    <row r="254" spans="1:9">
      <c r="A254" s="32">
        <v>41740</v>
      </c>
      <c r="B254">
        <v>12</v>
      </c>
      <c r="C254">
        <v>702</v>
      </c>
      <c r="D254" t="s">
        <v>303</v>
      </c>
      <c r="E254">
        <f>YEAR(A254)</f>
        <v>2014</v>
      </c>
      <c r="F254" s="33">
        <f>DATE(YEAR(A254),MONTH(A254),1)</f>
        <v>41730.0</v>
      </c>
      <c r="G254" t="str">
        <f>CHOOSE(WEEKDAY(A254,2),"Mon","Tue","Wed","Thu","Fri","Sat","Sun")</f>
        <v>Fri</v>
      </c>
      <c r="H254" t="str">
        <f>IF(WEEKDAY(A254,2)&gt;5,"Weekend","Weekday")</f>
        <v>Weekday</v>
      </c>
      <c r="I254" t="str">
        <f>_xlfn.IFS(B254&lt;=5,"Night (0-5)",B254&lt;=9,"Morning peak (6-9)",B254&lt;=15,"Midday (10-15)",B254&lt;=19,"Evening peak (16-19)",TRUE,"Late evening (20-23)")</f>
        <v>Midday (10-15)</v>
      </c>
    </row>
    <row r="255" spans="1:9">
      <c r="A255" s="32">
        <v>41740</v>
      </c>
      <c r="B255">
        <v>13</v>
      </c>
      <c r="C255">
        <v>880</v>
      </c>
      <c r="D255" t="s">
        <v>303</v>
      </c>
      <c r="E255">
        <f>YEAR(A255)</f>
        <v>2014</v>
      </c>
      <c r="F255" s="33">
        <f>DATE(YEAR(A255),MONTH(A255),1)</f>
        <v>41730.0</v>
      </c>
      <c r="G255" t="str">
        <f>CHOOSE(WEEKDAY(A255,2),"Mon","Tue","Wed","Thu","Fri","Sat","Sun")</f>
        <v>Fri</v>
      </c>
      <c r="H255" t="str">
        <f>IF(WEEKDAY(A255,2)&gt;5,"Weekend","Weekday")</f>
        <v>Weekday</v>
      </c>
      <c r="I255" t="str">
        <f>_xlfn.IFS(B255&lt;=5,"Night (0-5)",B255&lt;=9,"Morning peak (6-9)",B255&lt;=15,"Midday (10-15)",B255&lt;=19,"Evening peak (16-19)",TRUE,"Late evening (20-23)")</f>
        <v>Midday (10-15)</v>
      </c>
    </row>
    <row r="256" spans="1:9">
      <c r="A256" s="32">
        <v>41740</v>
      </c>
      <c r="B256">
        <v>14</v>
      </c>
      <c r="C256">
        <v>893</v>
      </c>
      <c r="D256" t="s">
        <v>303</v>
      </c>
      <c r="E256">
        <f>YEAR(A256)</f>
        <v>2014</v>
      </c>
      <c r="F256" s="33">
        <f>DATE(YEAR(A256),MONTH(A256),1)</f>
        <v>41730.0</v>
      </c>
      <c r="G256" t="str">
        <f>CHOOSE(WEEKDAY(A256,2),"Mon","Tue","Wed","Thu","Fri","Sat","Sun")</f>
        <v>Fri</v>
      </c>
      <c r="H256" t="str">
        <f>IF(WEEKDAY(A256,2)&gt;5,"Weekend","Weekday")</f>
        <v>Weekday</v>
      </c>
      <c r="I256" t="str">
        <f>_xlfn.IFS(B256&lt;=5,"Night (0-5)",B256&lt;=9,"Morning peak (6-9)",B256&lt;=15,"Midday (10-15)",B256&lt;=19,"Evening peak (16-19)",TRUE,"Late evening (20-23)")</f>
        <v>Midday (10-15)</v>
      </c>
    </row>
    <row r="257" spans="1:9">
      <c r="A257" s="32">
        <v>41740</v>
      </c>
      <c r="B257">
        <v>15</v>
      </c>
      <c r="C257">
        <v>1266</v>
      </c>
      <c r="D257" t="s">
        <v>303</v>
      </c>
      <c r="E257">
        <f>YEAR(A257)</f>
        <v>2014</v>
      </c>
      <c r="F257" s="33">
        <f>DATE(YEAR(A257),MONTH(A257),1)</f>
        <v>41730.0</v>
      </c>
      <c r="G257" t="str">
        <f>CHOOSE(WEEKDAY(A257,2),"Mon","Tue","Wed","Thu","Fri","Sat","Sun")</f>
        <v>Fri</v>
      </c>
      <c r="H257" t="str">
        <f>IF(WEEKDAY(A257,2)&gt;5,"Weekend","Weekday")</f>
        <v>Weekday</v>
      </c>
      <c r="I257" t="str">
        <f>_xlfn.IFS(B257&lt;=5,"Night (0-5)",B257&lt;=9,"Morning peak (6-9)",B257&lt;=15,"Midday (10-15)",B257&lt;=19,"Evening peak (16-19)",TRUE,"Late evening (20-23)")</f>
        <v>Midday (10-15)</v>
      </c>
    </row>
    <row r="258" spans="1:9">
      <c r="A258" s="32">
        <v>41740</v>
      </c>
      <c r="B258">
        <v>16</v>
      </c>
      <c r="C258">
        <v>1432</v>
      </c>
      <c r="D258" t="s">
        <v>303</v>
      </c>
      <c r="E258">
        <f>YEAR(A258)</f>
        <v>2014</v>
      </c>
      <c r="F258" s="33">
        <f>DATE(YEAR(A258),MONTH(A258),1)</f>
        <v>41730.0</v>
      </c>
      <c r="G258" t="str">
        <f>CHOOSE(WEEKDAY(A258,2),"Mon","Tue","Wed","Thu","Fri","Sat","Sun")</f>
        <v>Fri</v>
      </c>
      <c r="H258" t="str">
        <f>IF(WEEKDAY(A258,2)&gt;5,"Weekend","Weekday")</f>
        <v>Weekday</v>
      </c>
      <c r="I258" t="str">
        <f>_xlfn.IFS(B258&lt;=5,"Night (0-5)",B258&lt;=9,"Morning peak (6-9)",B258&lt;=15,"Midday (10-15)",B258&lt;=19,"Evening peak (16-19)",TRUE,"Late evening (20-23)")</f>
        <v>Evening peak (16-19)</v>
      </c>
    </row>
    <row r="259" spans="1:9">
      <c r="A259" s="32">
        <v>41740</v>
      </c>
      <c r="B259">
        <v>17</v>
      </c>
      <c r="C259">
        <v>1591</v>
      </c>
      <c r="D259" t="s">
        <v>303</v>
      </c>
      <c r="E259">
        <f>YEAR(A259)</f>
        <v>2014</v>
      </c>
      <c r="F259" s="33">
        <f>DATE(YEAR(A259),MONTH(A259),1)</f>
        <v>41730.0</v>
      </c>
      <c r="G259" t="str">
        <f>CHOOSE(WEEKDAY(A259,2),"Mon","Tue","Wed","Thu","Fri","Sat","Sun")</f>
        <v>Fri</v>
      </c>
      <c r="H259" t="str">
        <f>IF(WEEKDAY(A259,2)&gt;5,"Weekend","Weekday")</f>
        <v>Weekday</v>
      </c>
      <c r="I259" t="str">
        <f>_xlfn.IFS(B259&lt;=5,"Night (0-5)",B259&lt;=9,"Morning peak (6-9)",B259&lt;=15,"Midday (10-15)",B259&lt;=19,"Evening peak (16-19)",TRUE,"Late evening (20-23)")</f>
        <v>Evening peak (16-19)</v>
      </c>
    </row>
    <row r="260" spans="1:9">
      <c r="A260" s="32">
        <v>41740</v>
      </c>
      <c r="B260">
        <v>18</v>
      </c>
      <c r="C260">
        <v>1518</v>
      </c>
      <c r="D260" t="s">
        <v>303</v>
      </c>
      <c r="E260">
        <f>YEAR(A260)</f>
        <v>2014</v>
      </c>
      <c r="F260" s="33">
        <f>DATE(YEAR(A260),MONTH(A260),1)</f>
        <v>41730.0</v>
      </c>
      <c r="G260" t="str">
        <f>CHOOSE(WEEKDAY(A260,2),"Mon","Tue","Wed","Thu","Fri","Sat","Sun")</f>
        <v>Fri</v>
      </c>
      <c r="H260" t="str">
        <f>IF(WEEKDAY(A260,2)&gt;5,"Weekend","Weekday")</f>
        <v>Weekday</v>
      </c>
      <c r="I260" t="str">
        <f>_xlfn.IFS(B260&lt;=5,"Night (0-5)",B260&lt;=9,"Morning peak (6-9)",B260&lt;=15,"Midday (10-15)",B260&lt;=19,"Evening peak (16-19)",TRUE,"Late evening (20-23)")</f>
        <v>Evening peak (16-19)</v>
      </c>
    </row>
    <row r="261" spans="1:9">
      <c r="A261" s="32">
        <v>41740</v>
      </c>
      <c r="B261">
        <v>19</v>
      </c>
      <c r="C261">
        <v>1357</v>
      </c>
      <c r="D261" t="s">
        <v>303</v>
      </c>
      <c r="E261">
        <f>YEAR(A261)</f>
        <v>2014</v>
      </c>
      <c r="F261" s="33">
        <f>DATE(YEAR(A261),MONTH(A261),1)</f>
        <v>41730.0</v>
      </c>
      <c r="G261" t="str">
        <f>CHOOSE(WEEKDAY(A261,2),"Mon","Tue","Wed","Thu","Fri","Sat","Sun")</f>
        <v>Fri</v>
      </c>
      <c r="H261" t="str">
        <f>IF(WEEKDAY(A261,2)&gt;5,"Weekend","Weekday")</f>
        <v>Weekday</v>
      </c>
      <c r="I261" t="str">
        <f>_xlfn.IFS(B261&lt;=5,"Night (0-5)",B261&lt;=9,"Morning peak (6-9)",B261&lt;=15,"Midday (10-15)",B261&lt;=19,"Evening peak (16-19)",TRUE,"Late evening (20-23)")</f>
        <v>Evening peak (16-19)</v>
      </c>
    </row>
    <row r="262" spans="1:9">
      <c r="A262" s="32">
        <v>41740</v>
      </c>
      <c r="B262">
        <v>20</v>
      </c>
      <c r="C262">
        <v>1155</v>
      </c>
      <c r="D262" t="s">
        <v>303</v>
      </c>
      <c r="E262">
        <f>YEAR(A262)</f>
        <v>2014</v>
      </c>
      <c r="F262" s="33">
        <f>DATE(YEAR(A262),MONTH(A262),1)</f>
        <v>41730.0</v>
      </c>
      <c r="G262" t="str">
        <f>CHOOSE(WEEKDAY(A262,2),"Mon","Tue","Wed","Thu","Fri","Sat","Sun")</f>
        <v>Fri</v>
      </c>
      <c r="H262" t="str">
        <f>IF(WEEKDAY(A262,2)&gt;5,"Weekend","Weekday")</f>
        <v>Weekday</v>
      </c>
      <c r="I262" t="str">
        <f>_xlfn.IFS(B262&lt;=5,"Night (0-5)",B262&lt;=9,"Morning peak (6-9)",B262&lt;=15,"Midday (10-15)",B262&lt;=19,"Evening peak (16-19)",TRUE,"Late evening (20-23)")</f>
        <v>Late evening (20-23)</v>
      </c>
    </row>
    <row r="263" spans="1:9">
      <c r="A263" s="32">
        <v>41740</v>
      </c>
      <c r="B263">
        <v>21</v>
      </c>
      <c r="C263">
        <v>1180</v>
      </c>
      <c r="D263" t="s">
        <v>303</v>
      </c>
      <c r="E263">
        <f>YEAR(A263)</f>
        <v>2014</v>
      </c>
      <c r="F263" s="33">
        <f>DATE(YEAR(A263),MONTH(A263),1)</f>
        <v>41730.0</v>
      </c>
      <c r="G263" t="str">
        <f>CHOOSE(WEEKDAY(A263,2),"Mon","Tue","Wed","Thu","Fri","Sat","Sun")</f>
        <v>Fri</v>
      </c>
      <c r="H263" t="str">
        <f>IF(WEEKDAY(A263,2)&gt;5,"Weekend","Weekday")</f>
        <v>Weekday</v>
      </c>
      <c r="I263" t="str">
        <f>_xlfn.IFS(B263&lt;=5,"Night (0-5)",B263&lt;=9,"Morning peak (6-9)",B263&lt;=15,"Midday (10-15)",B263&lt;=19,"Evening peak (16-19)",TRUE,"Late evening (20-23)")</f>
        <v>Late evening (20-23)</v>
      </c>
    </row>
    <row r="264" spans="1:9">
      <c r="A264" s="32">
        <v>41740</v>
      </c>
      <c r="B264">
        <v>22</v>
      </c>
      <c r="C264">
        <v>1382</v>
      </c>
      <c r="D264" t="s">
        <v>303</v>
      </c>
      <c r="E264">
        <f>YEAR(A264)</f>
        <v>2014</v>
      </c>
      <c r="F264" s="33">
        <f>DATE(YEAR(A264),MONTH(A264),1)</f>
        <v>41730.0</v>
      </c>
      <c r="G264" t="str">
        <f>CHOOSE(WEEKDAY(A264,2),"Mon","Tue","Wed","Thu","Fri","Sat","Sun")</f>
        <v>Fri</v>
      </c>
      <c r="H264" t="str">
        <f>IF(WEEKDAY(A264,2)&gt;5,"Weekend","Weekday")</f>
        <v>Weekday</v>
      </c>
      <c r="I264" t="str">
        <f>_xlfn.IFS(B264&lt;=5,"Night (0-5)",B264&lt;=9,"Morning peak (6-9)",B264&lt;=15,"Midday (10-15)",B264&lt;=19,"Evening peak (16-19)",TRUE,"Late evening (20-23)")</f>
        <v>Late evening (20-23)</v>
      </c>
    </row>
    <row r="265" spans="1:9">
      <c r="A265" s="32">
        <v>41740</v>
      </c>
      <c r="B265">
        <v>23</v>
      </c>
      <c r="C265">
        <v>1114</v>
      </c>
      <c r="D265" t="s">
        <v>303</v>
      </c>
      <c r="E265">
        <f>YEAR(A265)</f>
        <v>2014</v>
      </c>
      <c r="F265" s="33">
        <f>DATE(YEAR(A265),MONTH(A265),1)</f>
        <v>41730.0</v>
      </c>
      <c r="G265" t="str">
        <f>CHOOSE(WEEKDAY(A265,2),"Mon","Tue","Wed","Thu","Fri","Sat","Sun")</f>
        <v>Fri</v>
      </c>
      <c r="H265" t="str">
        <f>IF(WEEKDAY(A265,2)&gt;5,"Weekend","Weekday")</f>
        <v>Weekday</v>
      </c>
      <c r="I265" t="str">
        <f>_xlfn.IFS(B265&lt;=5,"Night (0-5)",B265&lt;=9,"Morning peak (6-9)",B265&lt;=15,"Midday (10-15)",B265&lt;=19,"Evening peak (16-19)",TRUE,"Late evening (20-23)")</f>
        <v>Late evening (20-23)</v>
      </c>
    </row>
    <row r="266" spans="1:9">
      <c r="A266" s="32">
        <v>41741</v>
      </c>
      <c r="B266">
        <v>0</v>
      </c>
      <c r="C266">
        <v>666</v>
      </c>
      <c r="D266" t="s">
        <v>303</v>
      </c>
      <c r="E266">
        <f>YEAR(A266)</f>
        <v>2014</v>
      </c>
      <c r="F266" s="33">
        <f>DATE(YEAR(A266),MONTH(A266),1)</f>
        <v>41730.0</v>
      </c>
      <c r="G266" t="str">
        <f>CHOOSE(WEEKDAY(A266,2),"Mon","Tue","Wed","Thu","Fri","Sat","Sun")</f>
        <v>Sat</v>
      </c>
      <c r="H266" t="str">
        <f>IF(WEEKDAY(A266,2)&gt;5,"Weekend","Weekday")</f>
        <v>Weekend</v>
      </c>
      <c r="I266" t="str">
        <f>_xlfn.IFS(B266&lt;=5,"Night (0-5)",B266&lt;=9,"Morning peak (6-9)",B266&lt;=15,"Midday (10-15)",B266&lt;=19,"Evening peak (16-19)",TRUE,"Late evening (20-23)")</f>
        <v>Night (0-5)</v>
      </c>
    </row>
    <row r="267" spans="1:9">
      <c r="A267" s="32">
        <v>41741</v>
      </c>
      <c r="B267">
        <v>1</v>
      </c>
      <c r="C267">
        <v>458</v>
      </c>
      <c r="D267" t="s">
        <v>303</v>
      </c>
      <c r="E267">
        <f>YEAR(A267)</f>
        <v>2014</v>
      </c>
      <c r="F267" s="33">
        <f>DATE(YEAR(A267),MONTH(A267),1)</f>
        <v>41730.0</v>
      </c>
      <c r="G267" t="str">
        <f>CHOOSE(WEEKDAY(A267,2),"Mon","Tue","Wed","Thu","Fri","Sat","Sun")</f>
        <v>Sat</v>
      </c>
      <c r="H267" t="str">
        <f>IF(WEEKDAY(A267,2)&gt;5,"Weekend","Weekday")</f>
        <v>Weekend</v>
      </c>
      <c r="I267" t="str">
        <f>_xlfn.IFS(B267&lt;=5,"Night (0-5)",B267&lt;=9,"Morning peak (6-9)",B267&lt;=15,"Midday (10-15)",B267&lt;=19,"Evening peak (16-19)",TRUE,"Late evening (20-23)")</f>
        <v>Night (0-5)</v>
      </c>
    </row>
    <row r="268" spans="1:9">
      <c r="A268" s="32">
        <v>41741</v>
      </c>
      <c r="B268">
        <v>2</v>
      </c>
      <c r="C268">
        <v>272</v>
      </c>
      <c r="D268" t="s">
        <v>303</v>
      </c>
      <c r="E268">
        <f>YEAR(A268)</f>
        <v>2014</v>
      </c>
      <c r="F268" s="33">
        <f>DATE(YEAR(A268),MONTH(A268),1)</f>
        <v>41730.0</v>
      </c>
      <c r="G268" t="str">
        <f>CHOOSE(WEEKDAY(A268,2),"Mon","Tue","Wed","Thu","Fri","Sat","Sun")</f>
        <v>Sat</v>
      </c>
      <c r="H268" t="str">
        <f>IF(WEEKDAY(A268,2)&gt;5,"Weekend","Weekday")</f>
        <v>Weekend</v>
      </c>
      <c r="I268" t="str">
        <f>_xlfn.IFS(B268&lt;=5,"Night (0-5)",B268&lt;=9,"Morning peak (6-9)",B268&lt;=15,"Midday (10-15)",B268&lt;=19,"Evening peak (16-19)",TRUE,"Late evening (20-23)")</f>
        <v>Night (0-5)</v>
      </c>
    </row>
    <row r="269" spans="1:9">
      <c r="A269" s="32">
        <v>41741</v>
      </c>
      <c r="B269">
        <v>3</v>
      </c>
      <c r="C269">
        <v>178</v>
      </c>
      <c r="D269" t="s">
        <v>303</v>
      </c>
      <c r="E269">
        <f>YEAR(A269)</f>
        <v>2014</v>
      </c>
      <c r="F269" s="33">
        <f>DATE(YEAR(A269),MONTH(A269),1)</f>
        <v>41730.0</v>
      </c>
      <c r="G269" t="str">
        <f>CHOOSE(WEEKDAY(A269,2),"Mon","Tue","Wed","Thu","Fri","Sat","Sun")</f>
        <v>Sat</v>
      </c>
      <c r="H269" t="str">
        <f>IF(WEEKDAY(A269,2)&gt;5,"Weekend","Weekday")</f>
        <v>Weekend</v>
      </c>
      <c r="I269" t="str">
        <f>_xlfn.IFS(B269&lt;=5,"Night (0-5)",B269&lt;=9,"Morning peak (6-9)",B269&lt;=15,"Midday (10-15)",B269&lt;=19,"Evening peak (16-19)",TRUE,"Late evening (20-23)")</f>
        <v>Night (0-5)</v>
      </c>
    </row>
    <row r="270" spans="1:9">
      <c r="A270" s="32">
        <v>41741</v>
      </c>
      <c r="B270">
        <v>4</v>
      </c>
      <c r="C270">
        <v>159</v>
      </c>
      <c r="D270" t="s">
        <v>303</v>
      </c>
      <c r="E270">
        <f>YEAR(A270)</f>
        <v>2014</v>
      </c>
      <c r="F270" s="33">
        <f>DATE(YEAR(A270),MONTH(A270),1)</f>
        <v>41730.0</v>
      </c>
      <c r="G270" t="str">
        <f>CHOOSE(WEEKDAY(A270,2),"Mon","Tue","Wed","Thu","Fri","Sat","Sun")</f>
        <v>Sat</v>
      </c>
      <c r="H270" t="str">
        <f>IF(WEEKDAY(A270,2)&gt;5,"Weekend","Weekday")</f>
        <v>Weekend</v>
      </c>
      <c r="I270" t="str">
        <f>_xlfn.IFS(B270&lt;=5,"Night (0-5)",B270&lt;=9,"Morning peak (6-9)",B270&lt;=15,"Midday (10-15)",B270&lt;=19,"Evening peak (16-19)",TRUE,"Late evening (20-23)")</f>
        <v>Night (0-5)</v>
      </c>
    </row>
    <row r="271" spans="1:9">
      <c r="A271" s="32">
        <v>41741</v>
      </c>
      <c r="B271">
        <v>5</v>
      </c>
      <c r="C271">
        <v>170</v>
      </c>
      <c r="D271" t="s">
        <v>303</v>
      </c>
      <c r="E271">
        <f>YEAR(A271)</f>
        <v>2014</v>
      </c>
      <c r="F271" s="33">
        <f>DATE(YEAR(A271),MONTH(A271),1)</f>
        <v>41730.0</v>
      </c>
      <c r="G271" t="str">
        <f>CHOOSE(WEEKDAY(A271,2),"Mon","Tue","Wed","Thu","Fri","Sat","Sun")</f>
        <v>Sat</v>
      </c>
      <c r="H271" t="str">
        <f>IF(WEEKDAY(A271,2)&gt;5,"Weekend","Weekday")</f>
        <v>Weekend</v>
      </c>
      <c r="I271" t="str">
        <f>_xlfn.IFS(B271&lt;=5,"Night (0-5)",B271&lt;=9,"Morning peak (6-9)",B271&lt;=15,"Midday (10-15)",B271&lt;=19,"Evening peak (16-19)",TRUE,"Late evening (20-23)")</f>
        <v>Night (0-5)</v>
      </c>
    </row>
    <row r="272" spans="1:9">
      <c r="A272" s="32">
        <v>41741</v>
      </c>
      <c r="B272">
        <v>6</v>
      </c>
      <c r="C272">
        <v>200</v>
      </c>
      <c r="D272" t="s">
        <v>303</v>
      </c>
      <c r="E272">
        <f>YEAR(A272)</f>
        <v>2014</v>
      </c>
      <c r="F272" s="33">
        <f>DATE(YEAR(A272),MONTH(A272),1)</f>
        <v>41730.0</v>
      </c>
      <c r="G272" t="str">
        <f>CHOOSE(WEEKDAY(A272,2),"Mon","Tue","Wed","Thu","Fri","Sat","Sun")</f>
        <v>Sat</v>
      </c>
      <c r="H272" t="str">
        <f>IF(WEEKDAY(A272,2)&gt;5,"Weekend","Weekday")</f>
        <v>Weekend</v>
      </c>
      <c r="I272" t="str">
        <f>_xlfn.IFS(B272&lt;=5,"Night (0-5)",B272&lt;=9,"Morning peak (6-9)",B272&lt;=15,"Midday (10-15)",B272&lt;=19,"Evening peak (16-19)",TRUE,"Late evening (20-23)")</f>
        <v>Morning peak (6-9)</v>
      </c>
    </row>
    <row r="273" spans="1:9">
      <c r="A273" s="32">
        <v>41741</v>
      </c>
      <c r="B273">
        <v>7</v>
      </c>
      <c r="C273">
        <v>255</v>
      </c>
      <c r="D273" t="s">
        <v>303</v>
      </c>
      <c r="E273">
        <f>YEAR(A273)</f>
        <v>2014</v>
      </c>
      <c r="F273" s="33">
        <f>DATE(YEAR(A273),MONTH(A273),1)</f>
        <v>41730.0</v>
      </c>
      <c r="G273" t="str">
        <f>CHOOSE(WEEKDAY(A273,2),"Mon","Tue","Wed","Thu","Fri","Sat","Sun")</f>
        <v>Sat</v>
      </c>
      <c r="H273" t="str">
        <f>IF(WEEKDAY(A273,2)&gt;5,"Weekend","Weekday")</f>
        <v>Weekend</v>
      </c>
      <c r="I273" t="str">
        <f>_xlfn.IFS(B273&lt;=5,"Night (0-5)",B273&lt;=9,"Morning peak (6-9)",B273&lt;=15,"Midday (10-15)",B273&lt;=19,"Evening peak (16-19)",TRUE,"Late evening (20-23)")</f>
        <v>Morning peak (6-9)</v>
      </c>
    </row>
    <row r="274" spans="1:9">
      <c r="A274" s="32">
        <v>41741</v>
      </c>
      <c r="B274">
        <v>8</v>
      </c>
      <c r="C274">
        <v>344</v>
      </c>
      <c r="D274" t="s">
        <v>303</v>
      </c>
      <c r="E274">
        <f>YEAR(A274)</f>
        <v>2014</v>
      </c>
      <c r="F274" s="33">
        <f>DATE(YEAR(A274),MONTH(A274),1)</f>
        <v>41730.0</v>
      </c>
      <c r="G274" t="str">
        <f>CHOOSE(WEEKDAY(A274,2),"Mon","Tue","Wed","Thu","Fri","Sat","Sun")</f>
        <v>Sat</v>
      </c>
      <c r="H274" t="str">
        <f>IF(WEEKDAY(A274,2)&gt;5,"Weekend","Weekday")</f>
        <v>Weekend</v>
      </c>
      <c r="I274" t="str">
        <f>_xlfn.IFS(B274&lt;=5,"Night (0-5)",B274&lt;=9,"Morning peak (6-9)",B274&lt;=15,"Midday (10-15)",B274&lt;=19,"Evening peak (16-19)",TRUE,"Late evening (20-23)")</f>
        <v>Morning peak (6-9)</v>
      </c>
    </row>
    <row r="275" spans="1:9">
      <c r="A275" s="32">
        <v>41741</v>
      </c>
      <c r="B275">
        <v>9</v>
      </c>
      <c r="C275">
        <v>409</v>
      </c>
      <c r="D275" t="s">
        <v>303</v>
      </c>
      <c r="E275">
        <f>YEAR(A275)</f>
        <v>2014</v>
      </c>
      <c r="F275" s="33">
        <f>DATE(YEAR(A275),MONTH(A275),1)</f>
        <v>41730.0</v>
      </c>
      <c r="G275" t="str">
        <f>CHOOSE(WEEKDAY(A275,2),"Mon","Tue","Wed","Thu","Fri","Sat","Sun")</f>
        <v>Sat</v>
      </c>
      <c r="H275" t="str">
        <f>IF(WEEKDAY(A275,2)&gt;5,"Weekend","Weekday")</f>
        <v>Weekend</v>
      </c>
      <c r="I275" t="str">
        <f>_xlfn.IFS(B275&lt;=5,"Night (0-5)",B275&lt;=9,"Morning peak (6-9)",B275&lt;=15,"Midday (10-15)",B275&lt;=19,"Evening peak (16-19)",TRUE,"Late evening (20-23)")</f>
        <v>Morning peak (6-9)</v>
      </c>
    </row>
    <row r="276" spans="1:9">
      <c r="A276" s="32">
        <v>41741</v>
      </c>
      <c r="B276">
        <v>10</v>
      </c>
      <c r="C276">
        <v>514</v>
      </c>
      <c r="D276" t="s">
        <v>303</v>
      </c>
      <c r="E276">
        <f>YEAR(A276)</f>
        <v>2014</v>
      </c>
      <c r="F276" s="33">
        <f>DATE(YEAR(A276),MONTH(A276),1)</f>
        <v>41730.0</v>
      </c>
      <c r="G276" t="str">
        <f>CHOOSE(WEEKDAY(A276,2),"Mon","Tue","Wed","Thu","Fri","Sat","Sun")</f>
        <v>Sat</v>
      </c>
      <c r="H276" t="str">
        <f>IF(WEEKDAY(A276,2)&gt;5,"Weekend","Weekday")</f>
        <v>Weekend</v>
      </c>
      <c r="I276" t="str">
        <f>_xlfn.IFS(B276&lt;=5,"Night (0-5)",B276&lt;=9,"Morning peak (6-9)",B276&lt;=15,"Midday (10-15)",B276&lt;=19,"Evening peak (16-19)",TRUE,"Late evening (20-23)")</f>
        <v>Midday (10-15)</v>
      </c>
    </row>
    <row r="277" spans="1:9">
      <c r="A277" s="32">
        <v>41741</v>
      </c>
      <c r="B277">
        <v>11</v>
      </c>
      <c r="C277">
        <v>544</v>
      </c>
      <c r="D277" t="s">
        <v>303</v>
      </c>
      <c r="E277">
        <f>YEAR(A277)</f>
        <v>2014</v>
      </c>
      <c r="F277" s="33">
        <f>DATE(YEAR(A277),MONTH(A277),1)</f>
        <v>41730.0</v>
      </c>
      <c r="G277" t="str">
        <f>CHOOSE(WEEKDAY(A277,2),"Mon","Tue","Wed","Thu","Fri","Sat","Sun")</f>
        <v>Sat</v>
      </c>
      <c r="H277" t="str">
        <f>IF(WEEKDAY(A277,2)&gt;5,"Weekend","Weekday")</f>
        <v>Weekend</v>
      </c>
      <c r="I277" t="str">
        <f>_xlfn.IFS(B277&lt;=5,"Night (0-5)",B277&lt;=9,"Morning peak (6-9)",B277&lt;=15,"Midday (10-15)",B277&lt;=19,"Evening peak (16-19)",TRUE,"Late evening (20-23)")</f>
        <v>Midday (10-15)</v>
      </c>
    </row>
    <row r="278" spans="1:9">
      <c r="A278" s="32">
        <v>41741</v>
      </c>
      <c r="B278">
        <v>12</v>
      </c>
      <c r="C278">
        <v>611</v>
      </c>
      <c r="D278" t="s">
        <v>303</v>
      </c>
      <c r="E278">
        <f>YEAR(A278)</f>
        <v>2014</v>
      </c>
      <c r="F278" s="33">
        <f>DATE(YEAR(A278),MONTH(A278),1)</f>
        <v>41730.0</v>
      </c>
      <c r="G278" t="str">
        <f>CHOOSE(WEEKDAY(A278,2),"Mon","Tue","Wed","Thu","Fri","Sat","Sun")</f>
        <v>Sat</v>
      </c>
      <c r="H278" t="str">
        <f>IF(WEEKDAY(A278,2)&gt;5,"Weekend","Weekday")</f>
        <v>Weekend</v>
      </c>
      <c r="I278" t="str">
        <f>_xlfn.IFS(B278&lt;=5,"Night (0-5)",B278&lt;=9,"Morning peak (6-9)",B278&lt;=15,"Midday (10-15)",B278&lt;=19,"Evening peak (16-19)",TRUE,"Late evening (20-23)")</f>
        <v>Midday (10-15)</v>
      </c>
    </row>
    <row r="279" spans="1:9">
      <c r="A279" s="32">
        <v>41741</v>
      </c>
      <c r="B279">
        <v>13</v>
      </c>
      <c r="C279">
        <v>628</v>
      </c>
      <c r="D279" t="s">
        <v>303</v>
      </c>
      <c r="E279">
        <f>YEAR(A279)</f>
        <v>2014</v>
      </c>
      <c r="F279" s="33">
        <f>DATE(YEAR(A279),MONTH(A279),1)</f>
        <v>41730.0</v>
      </c>
      <c r="G279" t="str">
        <f>CHOOSE(WEEKDAY(A279,2),"Mon","Tue","Wed","Thu","Fri","Sat","Sun")</f>
        <v>Sat</v>
      </c>
      <c r="H279" t="str">
        <f>IF(WEEKDAY(A279,2)&gt;5,"Weekend","Weekday")</f>
        <v>Weekend</v>
      </c>
      <c r="I279" t="str">
        <f>_xlfn.IFS(B279&lt;=5,"Night (0-5)",B279&lt;=9,"Morning peak (6-9)",B279&lt;=15,"Midday (10-15)",B279&lt;=19,"Evening peak (16-19)",TRUE,"Late evening (20-23)")</f>
        <v>Midday (10-15)</v>
      </c>
    </row>
    <row r="280" spans="1:9">
      <c r="A280" s="32">
        <v>41741</v>
      </c>
      <c r="B280">
        <v>14</v>
      </c>
      <c r="C280">
        <v>715</v>
      </c>
      <c r="D280" t="s">
        <v>303</v>
      </c>
      <c r="E280">
        <f>YEAR(A280)</f>
        <v>2014</v>
      </c>
      <c r="F280" s="33">
        <f>DATE(YEAR(A280),MONTH(A280),1)</f>
        <v>41730.0</v>
      </c>
      <c r="G280" t="str">
        <f>CHOOSE(WEEKDAY(A280,2),"Mon","Tue","Wed","Thu","Fri","Sat","Sun")</f>
        <v>Sat</v>
      </c>
      <c r="H280" t="str">
        <f>IF(WEEKDAY(A280,2)&gt;5,"Weekend","Weekday")</f>
        <v>Weekend</v>
      </c>
      <c r="I280" t="str">
        <f>_xlfn.IFS(B280&lt;=5,"Night (0-5)",B280&lt;=9,"Morning peak (6-9)",B280&lt;=15,"Midday (10-15)",B280&lt;=19,"Evening peak (16-19)",TRUE,"Late evening (20-23)")</f>
        <v>Midday (10-15)</v>
      </c>
    </row>
    <row r="281" spans="1:9">
      <c r="A281" s="32">
        <v>41741</v>
      </c>
      <c r="B281">
        <v>15</v>
      </c>
      <c r="C281">
        <v>1083</v>
      </c>
      <c r="D281" t="s">
        <v>303</v>
      </c>
      <c r="E281">
        <f>YEAR(A281)</f>
        <v>2014</v>
      </c>
      <c r="F281" s="33">
        <f>DATE(YEAR(A281),MONTH(A281),1)</f>
        <v>41730.0</v>
      </c>
      <c r="G281" t="str">
        <f>CHOOSE(WEEKDAY(A281,2),"Mon","Tue","Wed","Thu","Fri","Sat","Sun")</f>
        <v>Sat</v>
      </c>
      <c r="H281" t="str">
        <f>IF(WEEKDAY(A281,2)&gt;5,"Weekend","Weekday")</f>
        <v>Weekend</v>
      </c>
      <c r="I281" t="str">
        <f>_xlfn.IFS(B281&lt;=5,"Night (0-5)",B281&lt;=9,"Morning peak (6-9)",B281&lt;=15,"Midday (10-15)",B281&lt;=19,"Evening peak (16-19)",TRUE,"Late evening (20-23)")</f>
        <v>Midday (10-15)</v>
      </c>
    </row>
    <row r="282" spans="1:9">
      <c r="A282" s="32">
        <v>41741</v>
      </c>
      <c r="B282">
        <v>16</v>
      </c>
      <c r="C282">
        <v>1292</v>
      </c>
      <c r="D282" t="s">
        <v>303</v>
      </c>
      <c r="E282">
        <f>YEAR(A282)</f>
        <v>2014</v>
      </c>
      <c r="F282" s="33">
        <f>DATE(YEAR(A282),MONTH(A282),1)</f>
        <v>41730.0</v>
      </c>
      <c r="G282" t="str">
        <f>CHOOSE(WEEKDAY(A282,2),"Mon","Tue","Wed","Thu","Fri","Sat","Sun")</f>
        <v>Sat</v>
      </c>
      <c r="H282" t="str">
        <f>IF(WEEKDAY(A282,2)&gt;5,"Weekend","Weekday")</f>
        <v>Weekend</v>
      </c>
      <c r="I282" t="str">
        <f>_xlfn.IFS(B282&lt;=5,"Night (0-5)",B282&lt;=9,"Morning peak (6-9)",B282&lt;=15,"Midday (10-15)",B282&lt;=19,"Evening peak (16-19)",TRUE,"Late evening (20-23)")</f>
        <v>Evening peak (16-19)</v>
      </c>
    </row>
    <row r="283" spans="1:9">
      <c r="A283" s="32">
        <v>41741</v>
      </c>
      <c r="B283">
        <v>17</v>
      </c>
      <c r="C283">
        <v>1230</v>
      </c>
      <c r="D283" t="s">
        <v>303</v>
      </c>
      <c r="E283">
        <f>YEAR(A283)</f>
        <v>2014</v>
      </c>
      <c r="F283" s="33">
        <f>DATE(YEAR(A283),MONTH(A283),1)</f>
        <v>41730.0</v>
      </c>
      <c r="G283" t="str">
        <f>CHOOSE(WEEKDAY(A283,2),"Mon","Tue","Wed","Thu","Fri","Sat","Sun")</f>
        <v>Sat</v>
      </c>
      <c r="H283" t="str">
        <f>IF(WEEKDAY(A283,2)&gt;5,"Weekend","Weekday")</f>
        <v>Weekend</v>
      </c>
      <c r="I283" t="str">
        <f>_xlfn.IFS(B283&lt;=5,"Night (0-5)",B283&lt;=9,"Morning peak (6-9)",B283&lt;=15,"Midday (10-15)",B283&lt;=19,"Evening peak (16-19)",TRUE,"Late evening (20-23)")</f>
        <v>Evening peak (16-19)</v>
      </c>
    </row>
    <row r="284" spans="1:9">
      <c r="A284" s="32">
        <v>41741</v>
      </c>
      <c r="B284">
        <v>18</v>
      </c>
      <c r="C284">
        <v>1617</v>
      </c>
      <c r="D284" t="s">
        <v>303</v>
      </c>
      <c r="E284">
        <f>YEAR(A284)</f>
        <v>2014</v>
      </c>
      <c r="F284" s="33">
        <f>DATE(YEAR(A284),MONTH(A284),1)</f>
        <v>41730.0</v>
      </c>
      <c r="G284" t="str">
        <f>CHOOSE(WEEKDAY(A284,2),"Mon","Tue","Wed","Thu","Fri","Sat","Sun")</f>
        <v>Sat</v>
      </c>
      <c r="H284" t="str">
        <f>IF(WEEKDAY(A284,2)&gt;5,"Weekend","Weekday")</f>
        <v>Weekend</v>
      </c>
      <c r="I284" t="str">
        <f>_xlfn.IFS(B284&lt;=5,"Night (0-5)",B284&lt;=9,"Morning peak (6-9)",B284&lt;=15,"Midday (10-15)",B284&lt;=19,"Evening peak (16-19)",TRUE,"Late evening (20-23)")</f>
        <v>Evening peak (16-19)</v>
      </c>
    </row>
    <row r="285" spans="1:9">
      <c r="A285" s="32">
        <v>41741</v>
      </c>
      <c r="B285">
        <v>19</v>
      </c>
      <c r="C285">
        <v>1271</v>
      </c>
      <c r="D285" t="s">
        <v>303</v>
      </c>
      <c r="E285">
        <f>YEAR(A285)</f>
        <v>2014</v>
      </c>
      <c r="F285" s="33">
        <f>DATE(YEAR(A285),MONTH(A285),1)</f>
        <v>41730.0</v>
      </c>
      <c r="G285" t="str">
        <f>CHOOSE(WEEKDAY(A285,2),"Mon","Tue","Wed","Thu","Fri","Sat","Sun")</f>
        <v>Sat</v>
      </c>
      <c r="H285" t="str">
        <f>IF(WEEKDAY(A285,2)&gt;5,"Weekend","Weekday")</f>
        <v>Weekend</v>
      </c>
      <c r="I285" t="str">
        <f>_xlfn.IFS(B285&lt;=5,"Night (0-5)",B285&lt;=9,"Morning peak (6-9)",B285&lt;=15,"Midday (10-15)",B285&lt;=19,"Evening peak (16-19)",TRUE,"Late evening (20-23)")</f>
        <v>Evening peak (16-19)</v>
      </c>
    </row>
    <row r="286" spans="1:9">
      <c r="A286" s="32">
        <v>41741</v>
      </c>
      <c r="B286">
        <v>20</v>
      </c>
      <c r="C286">
        <v>1063</v>
      </c>
      <c r="D286" t="s">
        <v>303</v>
      </c>
      <c r="E286">
        <f>YEAR(A286)</f>
        <v>2014</v>
      </c>
      <c r="F286" s="33">
        <f>DATE(YEAR(A286),MONTH(A286),1)</f>
        <v>41730.0</v>
      </c>
      <c r="G286" t="str">
        <f>CHOOSE(WEEKDAY(A286,2),"Mon","Tue","Wed","Thu","Fri","Sat","Sun")</f>
        <v>Sat</v>
      </c>
      <c r="H286" t="str">
        <f>IF(WEEKDAY(A286,2)&gt;5,"Weekend","Weekday")</f>
        <v>Weekend</v>
      </c>
      <c r="I286" t="str">
        <f>_xlfn.IFS(B286&lt;=5,"Night (0-5)",B286&lt;=9,"Morning peak (6-9)",B286&lt;=15,"Midday (10-15)",B286&lt;=19,"Evening peak (16-19)",TRUE,"Late evening (20-23)")</f>
        <v>Late evening (20-23)</v>
      </c>
    </row>
    <row r="287" spans="1:9">
      <c r="A287" s="32">
        <v>41741</v>
      </c>
      <c r="B287">
        <v>21</v>
      </c>
      <c r="C287">
        <v>1382</v>
      </c>
      <c r="D287" t="s">
        <v>303</v>
      </c>
      <c r="E287">
        <f>YEAR(A287)</f>
        <v>2014</v>
      </c>
      <c r="F287" s="33">
        <f>DATE(YEAR(A287),MONTH(A287),1)</f>
        <v>41730.0</v>
      </c>
      <c r="G287" t="str">
        <f>CHOOSE(WEEKDAY(A287,2),"Mon","Tue","Wed","Thu","Fri","Sat","Sun")</f>
        <v>Sat</v>
      </c>
      <c r="H287" t="str">
        <f>IF(WEEKDAY(A287,2)&gt;5,"Weekend","Weekday")</f>
        <v>Weekend</v>
      </c>
      <c r="I287" t="str">
        <f>_xlfn.IFS(B287&lt;=5,"Night (0-5)",B287&lt;=9,"Morning peak (6-9)",B287&lt;=15,"Midday (10-15)",B287&lt;=19,"Evening peak (16-19)",TRUE,"Late evening (20-23)")</f>
        <v>Late evening (20-23)</v>
      </c>
    </row>
    <row r="288" spans="1:9">
      <c r="A288" s="32">
        <v>41741</v>
      </c>
      <c r="B288">
        <v>22</v>
      </c>
      <c r="C288">
        <v>1648</v>
      </c>
      <c r="D288" t="s">
        <v>303</v>
      </c>
      <c r="E288">
        <f>YEAR(A288)</f>
        <v>2014</v>
      </c>
      <c r="F288" s="33">
        <f>DATE(YEAR(A288),MONTH(A288),1)</f>
        <v>41730.0</v>
      </c>
      <c r="G288" t="str">
        <f>CHOOSE(WEEKDAY(A288,2),"Mon","Tue","Wed","Thu","Fri","Sat","Sun")</f>
        <v>Sat</v>
      </c>
      <c r="H288" t="str">
        <f>IF(WEEKDAY(A288,2)&gt;5,"Weekend","Weekday")</f>
        <v>Weekend</v>
      </c>
      <c r="I288" t="str">
        <f>_xlfn.IFS(B288&lt;=5,"Night (0-5)",B288&lt;=9,"Morning peak (6-9)",B288&lt;=15,"Midday (10-15)",B288&lt;=19,"Evening peak (16-19)",TRUE,"Late evening (20-23)")</f>
        <v>Late evening (20-23)</v>
      </c>
    </row>
    <row r="289" spans="1:9">
      <c r="A289" s="32">
        <v>41741</v>
      </c>
      <c r="B289">
        <v>23</v>
      </c>
      <c r="C289">
        <v>1461</v>
      </c>
      <c r="D289" t="s">
        <v>303</v>
      </c>
      <c r="E289">
        <f>YEAR(A289)</f>
        <v>2014</v>
      </c>
      <c r="F289" s="33">
        <f>DATE(YEAR(A289),MONTH(A289),1)</f>
        <v>41730.0</v>
      </c>
      <c r="G289" t="str">
        <f>CHOOSE(WEEKDAY(A289,2),"Mon","Tue","Wed","Thu","Fri","Sat","Sun")</f>
        <v>Sat</v>
      </c>
      <c r="H289" t="str">
        <f>IF(WEEKDAY(A289,2)&gt;5,"Weekend","Weekday")</f>
        <v>Weekend</v>
      </c>
      <c r="I289" t="str">
        <f>_xlfn.IFS(B289&lt;=5,"Night (0-5)",B289&lt;=9,"Morning peak (6-9)",B289&lt;=15,"Midday (10-15)",B289&lt;=19,"Evening peak (16-19)",TRUE,"Late evening (20-23)")</f>
        <v>Late evening (20-23)</v>
      </c>
    </row>
    <row r="290" spans="1:9">
      <c r="A290" s="32">
        <v>41742</v>
      </c>
      <c r="B290">
        <v>0</v>
      </c>
      <c r="C290">
        <v>1130</v>
      </c>
      <c r="D290" t="s">
        <v>303</v>
      </c>
      <c r="E290">
        <f>YEAR(A290)</f>
        <v>2014</v>
      </c>
      <c r="F290" s="33">
        <f>DATE(YEAR(A290),MONTH(A290),1)</f>
        <v>41730.0</v>
      </c>
      <c r="G290" t="str">
        <f>CHOOSE(WEEKDAY(A290,2),"Mon","Tue","Wed","Thu","Fri","Sat","Sun")</f>
        <v>Sun</v>
      </c>
      <c r="H290" t="str">
        <f>IF(WEEKDAY(A290,2)&gt;5,"Weekend","Weekday")</f>
        <v>Weekend</v>
      </c>
      <c r="I290" t="str">
        <f>_xlfn.IFS(B290&lt;=5,"Night (0-5)",B290&lt;=9,"Morning peak (6-9)",B290&lt;=15,"Midday (10-15)",B290&lt;=19,"Evening peak (16-19)",TRUE,"Late evening (20-23)")</f>
        <v>Night (0-5)</v>
      </c>
    </row>
    <row r="291" spans="1:9">
      <c r="A291" s="32">
        <v>41742</v>
      </c>
      <c r="B291">
        <v>1</v>
      </c>
      <c r="C291">
        <v>670</v>
      </c>
      <c r="D291" t="s">
        <v>303</v>
      </c>
      <c r="E291">
        <f>YEAR(A291)</f>
        <v>2014</v>
      </c>
      <c r="F291" s="33">
        <f>DATE(YEAR(A291),MONTH(A291),1)</f>
        <v>41730.0</v>
      </c>
      <c r="G291" t="str">
        <f>CHOOSE(WEEKDAY(A291,2),"Mon","Tue","Wed","Thu","Fri","Sat","Sun")</f>
        <v>Sun</v>
      </c>
      <c r="H291" t="str">
        <f>IF(WEEKDAY(A291,2)&gt;5,"Weekend","Weekday")</f>
        <v>Weekend</v>
      </c>
      <c r="I291" t="str">
        <f>_xlfn.IFS(B291&lt;=5,"Night (0-5)",B291&lt;=9,"Morning peak (6-9)",B291&lt;=15,"Midday (10-15)",B291&lt;=19,"Evening peak (16-19)",TRUE,"Late evening (20-23)")</f>
        <v>Night (0-5)</v>
      </c>
    </row>
    <row r="292" spans="1:9">
      <c r="A292" s="32">
        <v>41742</v>
      </c>
      <c r="B292">
        <v>2</v>
      </c>
      <c r="C292">
        <v>337</v>
      </c>
      <c r="D292" t="s">
        <v>303</v>
      </c>
      <c r="E292">
        <f>YEAR(A292)</f>
        <v>2014</v>
      </c>
      <c r="F292" s="33">
        <f>DATE(YEAR(A292),MONTH(A292),1)</f>
        <v>41730.0</v>
      </c>
      <c r="G292" t="str">
        <f>CHOOSE(WEEKDAY(A292,2),"Mon","Tue","Wed","Thu","Fri","Sat","Sun")</f>
        <v>Sun</v>
      </c>
      <c r="H292" t="str">
        <f>IF(WEEKDAY(A292,2)&gt;5,"Weekend","Weekday")</f>
        <v>Weekend</v>
      </c>
      <c r="I292" t="str">
        <f>_xlfn.IFS(B292&lt;=5,"Night (0-5)",B292&lt;=9,"Morning peak (6-9)",B292&lt;=15,"Midday (10-15)",B292&lt;=19,"Evening peak (16-19)",TRUE,"Late evening (20-23)")</f>
        <v>Night (0-5)</v>
      </c>
    </row>
    <row r="293" spans="1:9">
      <c r="A293" s="32">
        <v>41742</v>
      </c>
      <c r="B293">
        <v>3</v>
      </c>
      <c r="C293">
        <v>236</v>
      </c>
      <c r="D293" t="s">
        <v>303</v>
      </c>
      <c r="E293">
        <f>YEAR(A293)</f>
        <v>2014</v>
      </c>
      <c r="F293" s="33">
        <f>DATE(YEAR(A293),MONTH(A293),1)</f>
        <v>41730.0</v>
      </c>
      <c r="G293" t="str">
        <f>CHOOSE(WEEKDAY(A293,2),"Mon","Tue","Wed","Thu","Fri","Sat","Sun")</f>
        <v>Sun</v>
      </c>
      <c r="H293" t="str">
        <f>IF(WEEKDAY(A293,2)&gt;5,"Weekend","Weekday")</f>
        <v>Weekend</v>
      </c>
      <c r="I293" t="str">
        <f>_xlfn.IFS(B293&lt;=5,"Night (0-5)",B293&lt;=9,"Morning peak (6-9)",B293&lt;=15,"Midday (10-15)",B293&lt;=19,"Evening peak (16-19)",TRUE,"Late evening (20-23)")</f>
        <v>Night (0-5)</v>
      </c>
    </row>
    <row r="294" spans="1:9">
      <c r="A294" s="32">
        <v>41742</v>
      </c>
      <c r="B294">
        <v>4</v>
      </c>
      <c r="C294">
        <v>155</v>
      </c>
      <c r="D294" t="s">
        <v>303</v>
      </c>
      <c r="E294">
        <f>YEAR(A294)</f>
        <v>2014</v>
      </c>
      <c r="F294" s="33">
        <f>DATE(YEAR(A294),MONTH(A294),1)</f>
        <v>41730.0</v>
      </c>
      <c r="G294" t="str">
        <f>CHOOSE(WEEKDAY(A294,2),"Mon","Tue","Wed","Thu","Fri","Sat","Sun")</f>
        <v>Sun</v>
      </c>
      <c r="H294" t="str">
        <f>IF(WEEKDAY(A294,2)&gt;5,"Weekend","Weekday")</f>
        <v>Weekend</v>
      </c>
      <c r="I294" t="str">
        <f>_xlfn.IFS(B294&lt;=5,"Night (0-5)",B294&lt;=9,"Morning peak (6-9)",B294&lt;=15,"Midday (10-15)",B294&lt;=19,"Evening peak (16-19)",TRUE,"Late evening (20-23)")</f>
        <v>Night (0-5)</v>
      </c>
    </row>
    <row r="295" spans="1:9">
      <c r="A295" s="32">
        <v>41742</v>
      </c>
      <c r="B295">
        <v>5</v>
      </c>
      <c r="C295">
        <v>130</v>
      </c>
      <c r="D295" t="s">
        <v>303</v>
      </c>
      <c r="E295">
        <f>YEAR(A295)</f>
        <v>2014</v>
      </c>
      <c r="F295" s="33">
        <f>DATE(YEAR(A295),MONTH(A295),1)</f>
        <v>41730.0</v>
      </c>
      <c r="G295" t="str">
        <f>CHOOSE(WEEKDAY(A295,2),"Mon","Tue","Wed","Thu","Fri","Sat","Sun")</f>
        <v>Sun</v>
      </c>
      <c r="H295" t="str">
        <f>IF(WEEKDAY(A295,2)&gt;5,"Weekend","Weekday")</f>
        <v>Weekend</v>
      </c>
      <c r="I295" t="str">
        <f>_xlfn.IFS(B295&lt;=5,"Night (0-5)",B295&lt;=9,"Morning peak (6-9)",B295&lt;=15,"Midday (10-15)",B295&lt;=19,"Evening peak (16-19)",TRUE,"Late evening (20-23)")</f>
        <v>Night (0-5)</v>
      </c>
    </row>
    <row r="296" spans="1:9">
      <c r="A296" s="32">
        <v>41742</v>
      </c>
      <c r="B296">
        <v>6</v>
      </c>
      <c r="C296">
        <v>179</v>
      </c>
      <c r="D296" t="s">
        <v>303</v>
      </c>
      <c r="E296">
        <f>YEAR(A296)</f>
        <v>2014</v>
      </c>
      <c r="F296" s="33">
        <f>DATE(YEAR(A296),MONTH(A296),1)</f>
        <v>41730.0</v>
      </c>
      <c r="G296" t="str">
        <f>CHOOSE(WEEKDAY(A296,2),"Mon","Tue","Wed","Thu","Fri","Sat","Sun")</f>
        <v>Sun</v>
      </c>
      <c r="H296" t="str">
        <f>IF(WEEKDAY(A296,2)&gt;5,"Weekend","Weekday")</f>
        <v>Weekend</v>
      </c>
      <c r="I296" t="str">
        <f>_xlfn.IFS(B296&lt;=5,"Night (0-5)",B296&lt;=9,"Morning peak (6-9)",B296&lt;=15,"Midday (10-15)",B296&lt;=19,"Evening peak (16-19)",TRUE,"Late evening (20-23)")</f>
        <v>Morning peak (6-9)</v>
      </c>
    </row>
    <row r="297" spans="1:9">
      <c r="A297" s="32">
        <v>41742</v>
      </c>
      <c r="B297">
        <v>7</v>
      </c>
      <c r="C297">
        <v>217</v>
      </c>
      <c r="D297" t="s">
        <v>303</v>
      </c>
      <c r="E297">
        <f>YEAR(A297)</f>
        <v>2014</v>
      </c>
      <c r="F297" s="33">
        <f>DATE(YEAR(A297),MONTH(A297),1)</f>
        <v>41730.0</v>
      </c>
      <c r="G297" t="str">
        <f>CHOOSE(WEEKDAY(A297,2),"Mon","Tue","Wed","Thu","Fri","Sat","Sun")</f>
        <v>Sun</v>
      </c>
      <c r="H297" t="str">
        <f>IF(WEEKDAY(A297,2)&gt;5,"Weekend","Weekday")</f>
        <v>Weekend</v>
      </c>
      <c r="I297" t="str">
        <f>_xlfn.IFS(B297&lt;=5,"Night (0-5)",B297&lt;=9,"Morning peak (6-9)",B297&lt;=15,"Midday (10-15)",B297&lt;=19,"Evening peak (16-19)",TRUE,"Late evening (20-23)")</f>
        <v>Morning peak (6-9)</v>
      </c>
    </row>
    <row r="298" spans="1:9">
      <c r="A298" s="32">
        <v>41742</v>
      </c>
      <c r="B298">
        <v>8</v>
      </c>
      <c r="C298">
        <v>294</v>
      </c>
      <c r="D298" t="s">
        <v>303</v>
      </c>
      <c r="E298">
        <f>YEAR(A298)</f>
        <v>2014</v>
      </c>
      <c r="F298" s="33">
        <f>DATE(YEAR(A298),MONTH(A298),1)</f>
        <v>41730.0</v>
      </c>
      <c r="G298" t="str">
        <f>CHOOSE(WEEKDAY(A298,2),"Mon","Tue","Wed","Thu","Fri","Sat","Sun")</f>
        <v>Sun</v>
      </c>
      <c r="H298" t="str">
        <f>IF(WEEKDAY(A298,2)&gt;5,"Weekend","Weekday")</f>
        <v>Weekend</v>
      </c>
      <c r="I298" t="str">
        <f>_xlfn.IFS(B298&lt;=5,"Night (0-5)",B298&lt;=9,"Morning peak (6-9)",B298&lt;=15,"Midday (10-15)",B298&lt;=19,"Evening peak (16-19)",TRUE,"Late evening (20-23)")</f>
        <v>Morning peak (6-9)</v>
      </c>
    </row>
    <row r="299" spans="1:9">
      <c r="A299" s="32">
        <v>41742</v>
      </c>
      <c r="B299">
        <v>9</v>
      </c>
      <c r="C299">
        <v>439</v>
      </c>
      <c r="D299" t="s">
        <v>303</v>
      </c>
      <c r="E299">
        <f>YEAR(A299)</f>
        <v>2014</v>
      </c>
      <c r="F299" s="33">
        <f>DATE(YEAR(A299),MONTH(A299),1)</f>
        <v>41730.0</v>
      </c>
      <c r="G299" t="str">
        <f>CHOOSE(WEEKDAY(A299,2),"Mon","Tue","Wed","Thu","Fri","Sat","Sun")</f>
        <v>Sun</v>
      </c>
      <c r="H299" t="str">
        <f>IF(WEEKDAY(A299,2)&gt;5,"Weekend","Weekday")</f>
        <v>Weekend</v>
      </c>
      <c r="I299" t="str">
        <f>_xlfn.IFS(B299&lt;=5,"Night (0-5)",B299&lt;=9,"Morning peak (6-9)",B299&lt;=15,"Midday (10-15)",B299&lt;=19,"Evening peak (16-19)",TRUE,"Late evening (20-23)")</f>
        <v>Morning peak (6-9)</v>
      </c>
    </row>
    <row r="300" spans="1:9">
      <c r="A300" s="32">
        <v>41742</v>
      </c>
      <c r="B300">
        <v>10</v>
      </c>
      <c r="C300">
        <v>489</v>
      </c>
      <c r="D300" t="s">
        <v>303</v>
      </c>
      <c r="E300">
        <f>YEAR(A300)</f>
        <v>2014</v>
      </c>
      <c r="F300" s="33">
        <f>DATE(YEAR(A300),MONTH(A300),1)</f>
        <v>41730.0</v>
      </c>
      <c r="G300" t="str">
        <f>CHOOSE(WEEKDAY(A300,2),"Mon","Tue","Wed","Thu","Fri","Sat","Sun")</f>
        <v>Sun</v>
      </c>
      <c r="H300" t="str">
        <f>IF(WEEKDAY(A300,2)&gt;5,"Weekend","Weekday")</f>
        <v>Weekend</v>
      </c>
      <c r="I300" t="str">
        <f>_xlfn.IFS(B300&lt;=5,"Night (0-5)",B300&lt;=9,"Morning peak (6-9)",B300&lt;=15,"Midday (10-15)",B300&lt;=19,"Evening peak (16-19)",TRUE,"Late evening (20-23)")</f>
        <v>Midday (10-15)</v>
      </c>
    </row>
    <row r="301" spans="1:9">
      <c r="A301" s="32">
        <v>41742</v>
      </c>
      <c r="B301">
        <v>11</v>
      </c>
      <c r="C301">
        <v>581</v>
      </c>
      <c r="D301" t="s">
        <v>303</v>
      </c>
      <c r="E301">
        <f>YEAR(A301)</f>
        <v>2014</v>
      </c>
      <c r="F301" s="33">
        <f>DATE(YEAR(A301),MONTH(A301),1)</f>
        <v>41730.0</v>
      </c>
      <c r="G301" t="str">
        <f>CHOOSE(WEEKDAY(A301,2),"Mon","Tue","Wed","Thu","Fri","Sat","Sun")</f>
        <v>Sun</v>
      </c>
      <c r="H301" t="str">
        <f>IF(WEEKDAY(A301,2)&gt;5,"Weekend","Weekday")</f>
        <v>Weekend</v>
      </c>
      <c r="I301" t="str">
        <f>_xlfn.IFS(B301&lt;=5,"Night (0-5)",B301&lt;=9,"Morning peak (6-9)",B301&lt;=15,"Midday (10-15)",B301&lt;=19,"Evening peak (16-19)",TRUE,"Late evening (20-23)")</f>
        <v>Midday (10-15)</v>
      </c>
    </row>
    <row r="302" spans="1:9">
      <c r="A302" s="32">
        <v>41742</v>
      </c>
      <c r="B302">
        <v>12</v>
      </c>
      <c r="C302">
        <v>580</v>
      </c>
      <c r="D302" t="s">
        <v>303</v>
      </c>
      <c r="E302">
        <f>YEAR(A302)</f>
        <v>2014</v>
      </c>
      <c r="F302" s="33">
        <f>DATE(YEAR(A302),MONTH(A302),1)</f>
        <v>41730.0</v>
      </c>
      <c r="G302" t="str">
        <f>CHOOSE(WEEKDAY(A302,2),"Mon","Tue","Wed","Thu","Fri","Sat","Sun")</f>
        <v>Sun</v>
      </c>
      <c r="H302" t="str">
        <f>IF(WEEKDAY(A302,2)&gt;5,"Weekend","Weekday")</f>
        <v>Weekend</v>
      </c>
      <c r="I302" t="str">
        <f>_xlfn.IFS(B302&lt;=5,"Night (0-5)",B302&lt;=9,"Morning peak (6-9)",B302&lt;=15,"Midday (10-15)",B302&lt;=19,"Evening peak (16-19)",TRUE,"Late evening (20-23)")</f>
        <v>Midday (10-15)</v>
      </c>
    </row>
    <row r="303" spans="1:9">
      <c r="A303" s="32">
        <v>41742</v>
      </c>
      <c r="B303">
        <v>13</v>
      </c>
      <c r="C303">
        <v>652</v>
      </c>
      <c r="D303" t="s">
        <v>303</v>
      </c>
      <c r="E303">
        <f>YEAR(A303)</f>
        <v>2014</v>
      </c>
      <c r="F303" s="33">
        <f>DATE(YEAR(A303),MONTH(A303),1)</f>
        <v>41730.0</v>
      </c>
      <c r="G303" t="str">
        <f>CHOOSE(WEEKDAY(A303,2),"Mon","Tue","Wed","Thu","Fri","Sat","Sun")</f>
        <v>Sun</v>
      </c>
      <c r="H303" t="str">
        <f>IF(WEEKDAY(A303,2)&gt;5,"Weekend","Weekday")</f>
        <v>Weekend</v>
      </c>
      <c r="I303" t="str">
        <f>_xlfn.IFS(B303&lt;=5,"Night (0-5)",B303&lt;=9,"Morning peak (6-9)",B303&lt;=15,"Midday (10-15)",B303&lt;=19,"Evening peak (16-19)",TRUE,"Late evening (20-23)")</f>
        <v>Midday (10-15)</v>
      </c>
    </row>
    <row r="304" spans="1:9">
      <c r="A304" s="32">
        <v>41742</v>
      </c>
      <c r="B304">
        <v>14</v>
      </c>
      <c r="C304">
        <v>740</v>
      </c>
      <c r="D304" t="s">
        <v>303</v>
      </c>
      <c r="E304">
        <f>YEAR(A304)</f>
        <v>2014</v>
      </c>
      <c r="F304" s="33">
        <f>DATE(YEAR(A304),MONTH(A304),1)</f>
        <v>41730.0</v>
      </c>
      <c r="G304" t="str">
        <f>CHOOSE(WEEKDAY(A304,2),"Mon","Tue","Wed","Thu","Fri","Sat","Sun")</f>
        <v>Sun</v>
      </c>
      <c r="H304" t="str">
        <f>IF(WEEKDAY(A304,2)&gt;5,"Weekend","Weekday")</f>
        <v>Weekend</v>
      </c>
      <c r="I304" t="str">
        <f>_xlfn.IFS(B304&lt;=5,"Night (0-5)",B304&lt;=9,"Morning peak (6-9)",B304&lt;=15,"Midday (10-15)",B304&lt;=19,"Evening peak (16-19)",TRUE,"Late evening (20-23)")</f>
        <v>Midday (10-15)</v>
      </c>
    </row>
    <row r="305" spans="1:9">
      <c r="A305" s="32">
        <v>41742</v>
      </c>
      <c r="B305">
        <v>15</v>
      </c>
      <c r="C305">
        <v>812</v>
      </c>
      <c r="D305" t="s">
        <v>303</v>
      </c>
      <c r="E305">
        <f>YEAR(A305)</f>
        <v>2014</v>
      </c>
      <c r="F305" s="33">
        <f>DATE(YEAR(A305),MONTH(A305),1)</f>
        <v>41730.0</v>
      </c>
      <c r="G305" t="str">
        <f>CHOOSE(WEEKDAY(A305,2),"Mon","Tue","Wed","Thu","Fri","Sat","Sun")</f>
        <v>Sun</v>
      </c>
      <c r="H305" t="str">
        <f>IF(WEEKDAY(A305,2)&gt;5,"Weekend","Weekday")</f>
        <v>Weekend</v>
      </c>
      <c r="I305" t="str">
        <f>_xlfn.IFS(B305&lt;=5,"Night (0-5)",B305&lt;=9,"Morning peak (6-9)",B305&lt;=15,"Midday (10-15)",B305&lt;=19,"Evening peak (16-19)",TRUE,"Late evening (20-23)")</f>
        <v>Midday (10-15)</v>
      </c>
    </row>
    <row r="306" spans="1:9">
      <c r="A306" s="32">
        <v>41742</v>
      </c>
      <c r="B306">
        <v>16</v>
      </c>
      <c r="C306">
        <v>878</v>
      </c>
      <c r="D306" t="s">
        <v>303</v>
      </c>
      <c r="E306">
        <f>YEAR(A306)</f>
        <v>2014</v>
      </c>
      <c r="F306" s="33">
        <f>DATE(YEAR(A306),MONTH(A306),1)</f>
        <v>41730.0</v>
      </c>
      <c r="G306" t="str">
        <f>CHOOSE(WEEKDAY(A306,2),"Mon","Tue","Wed","Thu","Fri","Sat","Sun")</f>
        <v>Sun</v>
      </c>
      <c r="H306" t="str">
        <f>IF(WEEKDAY(A306,2)&gt;5,"Weekend","Weekday")</f>
        <v>Weekend</v>
      </c>
      <c r="I306" t="str">
        <f>_xlfn.IFS(B306&lt;=5,"Night (0-5)",B306&lt;=9,"Morning peak (6-9)",B306&lt;=15,"Midday (10-15)",B306&lt;=19,"Evening peak (16-19)",TRUE,"Late evening (20-23)")</f>
        <v>Evening peak (16-19)</v>
      </c>
    </row>
    <row r="307" spans="1:9">
      <c r="A307" s="32">
        <v>41742</v>
      </c>
      <c r="B307">
        <v>17</v>
      </c>
      <c r="C307">
        <v>775</v>
      </c>
      <c r="D307" t="s">
        <v>303</v>
      </c>
      <c r="E307">
        <f>YEAR(A307)</f>
        <v>2014</v>
      </c>
      <c r="F307" s="33">
        <f>DATE(YEAR(A307),MONTH(A307),1)</f>
        <v>41730.0</v>
      </c>
      <c r="G307" t="str">
        <f>CHOOSE(WEEKDAY(A307,2),"Mon","Tue","Wed","Thu","Fri","Sat","Sun")</f>
        <v>Sun</v>
      </c>
      <c r="H307" t="str">
        <f>IF(WEEKDAY(A307,2)&gt;5,"Weekend","Weekday")</f>
        <v>Weekend</v>
      </c>
      <c r="I307" t="str">
        <f>_xlfn.IFS(B307&lt;=5,"Night (0-5)",B307&lt;=9,"Morning peak (6-9)",B307&lt;=15,"Midday (10-15)",B307&lt;=19,"Evening peak (16-19)",TRUE,"Late evening (20-23)")</f>
        <v>Evening peak (16-19)</v>
      </c>
    </row>
    <row r="308" spans="1:9">
      <c r="A308" s="32">
        <v>41742</v>
      </c>
      <c r="B308">
        <v>18</v>
      </c>
      <c r="C308">
        <v>647</v>
      </c>
      <c r="D308" t="s">
        <v>303</v>
      </c>
      <c r="E308">
        <f>YEAR(A308)</f>
        <v>2014</v>
      </c>
      <c r="F308" s="33">
        <f>DATE(YEAR(A308),MONTH(A308),1)</f>
        <v>41730.0</v>
      </c>
      <c r="G308" t="str">
        <f>CHOOSE(WEEKDAY(A308,2),"Mon","Tue","Wed","Thu","Fri","Sat","Sun")</f>
        <v>Sun</v>
      </c>
      <c r="H308" t="str">
        <f>IF(WEEKDAY(A308,2)&gt;5,"Weekend","Weekday")</f>
        <v>Weekend</v>
      </c>
      <c r="I308" t="str">
        <f>_xlfn.IFS(B308&lt;=5,"Night (0-5)",B308&lt;=9,"Morning peak (6-9)",B308&lt;=15,"Midday (10-15)",B308&lt;=19,"Evening peak (16-19)",TRUE,"Late evening (20-23)")</f>
        <v>Evening peak (16-19)</v>
      </c>
    </row>
    <row r="309" spans="1:9">
      <c r="A309" s="32">
        <v>41742</v>
      </c>
      <c r="B309">
        <v>19</v>
      </c>
      <c r="C309">
        <v>554</v>
      </c>
      <c r="D309" t="s">
        <v>303</v>
      </c>
      <c r="E309">
        <f>YEAR(A309)</f>
        <v>2014</v>
      </c>
      <c r="F309" s="33">
        <f>DATE(YEAR(A309),MONTH(A309),1)</f>
        <v>41730.0</v>
      </c>
      <c r="G309" t="str">
        <f>CHOOSE(WEEKDAY(A309,2),"Mon","Tue","Wed","Thu","Fri","Sat","Sun")</f>
        <v>Sun</v>
      </c>
      <c r="H309" t="str">
        <f>IF(WEEKDAY(A309,2)&gt;5,"Weekend","Weekday")</f>
        <v>Weekend</v>
      </c>
      <c r="I309" t="str">
        <f>_xlfn.IFS(B309&lt;=5,"Night (0-5)",B309&lt;=9,"Morning peak (6-9)",B309&lt;=15,"Midday (10-15)",B309&lt;=19,"Evening peak (16-19)",TRUE,"Late evening (20-23)")</f>
        <v>Evening peak (16-19)</v>
      </c>
    </row>
    <row r="310" spans="1:9">
      <c r="A310" s="32">
        <v>41742</v>
      </c>
      <c r="B310">
        <v>20</v>
      </c>
      <c r="C310">
        <v>490</v>
      </c>
      <c r="D310" t="s">
        <v>303</v>
      </c>
      <c r="E310">
        <f>YEAR(A310)</f>
        <v>2014</v>
      </c>
      <c r="F310" s="33">
        <f>DATE(YEAR(A310),MONTH(A310),1)</f>
        <v>41730.0</v>
      </c>
      <c r="G310" t="str">
        <f>CHOOSE(WEEKDAY(A310,2),"Mon","Tue","Wed","Thu","Fri","Sat","Sun")</f>
        <v>Sun</v>
      </c>
      <c r="H310" t="str">
        <f>IF(WEEKDAY(A310,2)&gt;5,"Weekend","Weekday")</f>
        <v>Weekend</v>
      </c>
      <c r="I310" t="str">
        <f>_xlfn.IFS(B310&lt;=5,"Night (0-5)",B310&lt;=9,"Morning peak (6-9)",B310&lt;=15,"Midday (10-15)",B310&lt;=19,"Evening peak (16-19)",TRUE,"Late evening (20-23)")</f>
        <v>Late evening (20-23)</v>
      </c>
    </row>
    <row r="311" spans="1:9">
      <c r="A311" s="32">
        <v>41742</v>
      </c>
      <c r="B311">
        <v>21</v>
      </c>
      <c r="C311">
        <v>514</v>
      </c>
      <c r="D311" t="s">
        <v>303</v>
      </c>
      <c r="E311">
        <f>YEAR(A311)</f>
        <v>2014</v>
      </c>
      <c r="F311" s="33">
        <f>DATE(YEAR(A311),MONTH(A311),1)</f>
        <v>41730.0</v>
      </c>
      <c r="G311" t="str">
        <f>CHOOSE(WEEKDAY(A311,2),"Mon","Tue","Wed","Thu","Fri","Sat","Sun")</f>
        <v>Sun</v>
      </c>
      <c r="H311" t="str">
        <f>IF(WEEKDAY(A311,2)&gt;5,"Weekend","Weekday")</f>
        <v>Weekend</v>
      </c>
      <c r="I311" t="str">
        <f>_xlfn.IFS(B311&lt;=5,"Night (0-5)",B311&lt;=9,"Morning peak (6-9)",B311&lt;=15,"Midday (10-15)",B311&lt;=19,"Evening peak (16-19)",TRUE,"Late evening (20-23)")</f>
        <v>Late evening (20-23)</v>
      </c>
    </row>
    <row r="312" spans="1:9">
      <c r="A312" s="32">
        <v>41742</v>
      </c>
      <c r="B312">
        <v>22</v>
      </c>
      <c r="C312">
        <v>385</v>
      </c>
      <c r="D312" t="s">
        <v>303</v>
      </c>
      <c r="E312">
        <f>YEAR(A312)</f>
        <v>2014</v>
      </c>
      <c r="F312" s="33">
        <f>DATE(YEAR(A312),MONTH(A312),1)</f>
        <v>41730.0</v>
      </c>
      <c r="G312" t="str">
        <f>CHOOSE(WEEKDAY(A312,2),"Mon","Tue","Wed","Thu","Fri","Sat","Sun")</f>
        <v>Sun</v>
      </c>
      <c r="H312" t="str">
        <f>IF(WEEKDAY(A312,2)&gt;5,"Weekend","Weekday")</f>
        <v>Weekend</v>
      </c>
      <c r="I312" t="str">
        <f>_xlfn.IFS(B312&lt;=5,"Night (0-5)",B312&lt;=9,"Morning peak (6-9)",B312&lt;=15,"Midday (10-15)",B312&lt;=19,"Evening peak (16-19)",TRUE,"Late evening (20-23)")</f>
        <v>Late evening (20-23)</v>
      </c>
    </row>
    <row r="313" spans="1:9">
      <c r="A313" s="32">
        <v>41742</v>
      </c>
      <c r="B313">
        <v>23</v>
      </c>
      <c r="C313">
        <v>228</v>
      </c>
      <c r="D313" t="s">
        <v>303</v>
      </c>
      <c r="E313">
        <f>YEAR(A313)</f>
        <v>2014</v>
      </c>
      <c r="F313" s="33">
        <f>DATE(YEAR(A313),MONTH(A313),1)</f>
        <v>41730.0</v>
      </c>
      <c r="G313" t="str">
        <f>CHOOSE(WEEKDAY(A313,2),"Mon","Tue","Wed","Thu","Fri","Sat","Sun")</f>
        <v>Sun</v>
      </c>
      <c r="H313" t="str">
        <f>IF(WEEKDAY(A313,2)&gt;5,"Weekend","Weekday")</f>
        <v>Weekend</v>
      </c>
      <c r="I313" t="str">
        <f>_xlfn.IFS(B313&lt;=5,"Night (0-5)",B313&lt;=9,"Morning peak (6-9)",B313&lt;=15,"Midday (10-15)",B313&lt;=19,"Evening peak (16-19)",TRUE,"Late evening (20-23)")</f>
        <v>Late evening (20-23)</v>
      </c>
    </row>
    <row r="314" spans="1:9">
      <c r="A314" s="32">
        <v>41743</v>
      </c>
      <c r="B314">
        <v>0</v>
      </c>
      <c r="C314">
        <v>119</v>
      </c>
      <c r="D314" t="s">
        <v>303</v>
      </c>
      <c r="E314">
        <f>YEAR(A314)</f>
        <v>2014</v>
      </c>
      <c r="F314" s="33">
        <f>DATE(YEAR(A314),MONTH(A314),1)</f>
        <v>41730.0</v>
      </c>
      <c r="G314" t="str">
        <f>CHOOSE(WEEKDAY(A314,2),"Mon","Tue","Wed","Thu","Fri","Sat","Sun")</f>
        <v>Mon</v>
      </c>
      <c r="H314" t="str">
        <f>IF(WEEKDAY(A314,2)&gt;5,"Weekend","Weekday")</f>
        <v>Weekday</v>
      </c>
      <c r="I314" t="str">
        <f>_xlfn.IFS(B314&lt;=5,"Night (0-5)",B314&lt;=9,"Morning peak (6-9)",B314&lt;=15,"Midday (10-15)",B314&lt;=19,"Evening peak (16-19)",TRUE,"Late evening (20-23)")</f>
        <v>Night (0-5)</v>
      </c>
    </row>
    <row r="315" spans="1:9">
      <c r="A315" s="32">
        <v>41743</v>
      </c>
      <c r="B315">
        <v>1</v>
      </c>
      <c r="C315">
        <v>48</v>
      </c>
      <c r="D315" t="s">
        <v>303</v>
      </c>
      <c r="E315">
        <f>YEAR(A315)</f>
        <v>2014</v>
      </c>
      <c r="F315" s="33">
        <f>DATE(YEAR(A315),MONTH(A315),1)</f>
        <v>41730.0</v>
      </c>
      <c r="G315" t="str">
        <f>CHOOSE(WEEKDAY(A315,2),"Mon","Tue","Wed","Thu","Fri","Sat","Sun")</f>
        <v>Mon</v>
      </c>
      <c r="H315" t="str">
        <f>IF(WEEKDAY(A315,2)&gt;5,"Weekend","Weekday")</f>
        <v>Weekday</v>
      </c>
      <c r="I315" t="str">
        <f>_xlfn.IFS(B315&lt;=5,"Night (0-5)",B315&lt;=9,"Morning peak (6-9)",B315&lt;=15,"Midday (10-15)",B315&lt;=19,"Evening peak (16-19)",TRUE,"Late evening (20-23)")</f>
        <v>Night (0-5)</v>
      </c>
    </row>
    <row r="316" spans="1:9">
      <c r="A316" s="32">
        <v>41743</v>
      </c>
      <c r="B316">
        <v>2</v>
      </c>
      <c r="C316">
        <v>45</v>
      </c>
      <c r="D316" t="s">
        <v>303</v>
      </c>
      <c r="E316">
        <f>YEAR(A316)</f>
        <v>2014</v>
      </c>
      <c r="F316" s="33">
        <f>DATE(YEAR(A316),MONTH(A316),1)</f>
        <v>41730.0</v>
      </c>
      <c r="G316" t="str">
        <f>CHOOSE(WEEKDAY(A316,2),"Mon","Tue","Wed","Thu","Fri","Sat","Sun")</f>
        <v>Mon</v>
      </c>
      <c r="H316" t="str">
        <f>IF(WEEKDAY(A316,2)&gt;5,"Weekend","Weekday")</f>
        <v>Weekday</v>
      </c>
      <c r="I316" t="str">
        <f>_xlfn.IFS(B316&lt;=5,"Night (0-5)",B316&lt;=9,"Morning peak (6-9)",B316&lt;=15,"Midday (10-15)",B316&lt;=19,"Evening peak (16-19)",TRUE,"Late evening (20-23)")</f>
        <v>Night (0-5)</v>
      </c>
    </row>
    <row r="317" spans="1:9">
      <c r="A317" s="32">
        <v>41743</v>
      </c>
      <c r="B317">
        <v>3</v>
      </c>
      <c r="C317">
        <v>122</v>
      </c>
      <c r="D317" t="s">
        <v>303</v>
      </c>
      <c r="E317">
        <f>YEAR(A317)</f>
        <v>2014</v>
      </c>
      <c r="F317" s="33">
        <f>DATE(YEAR(A317),MONTH(A317),1)</f>
        <v>41730.0</v>
      </c>
      <c r="G317" t="str">
        <f>CHOOSE(WEEKDAY(A317,2),"Mon","Tue","Wed","Thu","Fri","Sat","Sun")</f>
        <v>Mon</v>
      </c>
      <c r="H317" t="str">
        <f>IF(WEEKDAY(A317,2)&gt;5,"Weekend","Weekday")</f>
        <v>Weekday</v>
      </c>
      <c r="I317" t="str">
        <f>_xlfn.IFS(B317&lt;=5,"Night (0-5)",B317&lt;=9,"Morning peak (6-9)",B317&lt;=15,"Midday (10-15)",B317&lt;=19,"Evening peak (16-19)",TRUE,"Late evening (20-23)")</f>
        <v>Night (0-5)</v>
      </c>
    </row>
    <row r="318" spans="1:9">
      <c r="A318" s="32">
        <v>41743</v>
      </c>
      <c r="B318">
        <v>4</v>
      </c>
      <c r="C318">
        <v>208</v>
      </c>
      <c r="D318" t="s">
        <v>303</v>
      </c>
      <c r="E318">
        <f>YEAR(A318)</f>
        <v>2014</v>
      </c>
      <c r="F318" s="33">
        <f>DATE(YEAR(A318),MONTH(A318),1)</f>
        <v>41730.0</v>
      </c>
      <c r="G318" t="str">
        <f>CHOOSE(WEEKDAY(A318,2),"Mon","Tue","Wed","Thu","Fri","Sat","Sun")</f>
        <v>Mon</v>
      </c>
      <c r="H318" t="str">
        <f>IF(WEEKDAY(A318,2)&gt;5,"Weekend","Weekday")</f>
        <v>Weekday</v>
      </c>
      <c r="I318" t="str">
        <f>_xlfn.IFS(B318&lt;=5,"Night (0-5)",B318&lt;=9,"Morning peak (6-9)",B318&lt;=15,"Midday (10-15)",B318&lt;=19,"Evening peak (16-19)",TRUE,"Late evening (20-23)")</f>
        <v>Night (0-5)</v>
      </c>
    </row>
    <row r="319" spans="1:9">
      <c r="A319" s="32">
        <v>41743</v>
      </c>
      <c r="B319">
        <v>5</v>
      </c>
      <c r="C319">
        <v>378</v>
      </c>
      <c r="D319" t="s">
        <v>303</v>
      </c>
      <c r="E319">
        <f>YEAR(A319)</f>
        <v>2014</v>
      </c>
      <c r="F319" s="33">
        <f>DATE(YEAR(A319),MONTH(A319),1)</f>
        <v>41730.0</v>
      </c>
      <c r="G319" t="str">
        <f>CHOOSE(WEEKDAY(A319,2),"Mon","Tue","Wed","Thu","Fri","Sat","Sun")</f>
        <v>Mon</v>
      </c>
      <c r="H319" t="str">
        <f>IF(WEEKDAY(A319,2)&gt;5,"Weekend","Weekday")</f>
        <v>Weekday</v>
      </c>
      <c r="I319" t="str">
        <f>_xlfn.IFS(B319&lt;=5,"Night (0-5)",B319&lt;=9,"Morning peak (6-9)",B319&lt;=15,"Midday (10-15)",B319&lt;=19,"Evening peak (16-19)",TRUE,"Late evening (20-23)")</f>
        <v>Night (0-5)</v>
      </c>
    </row>
    <row r="320" spans="1:9">
      <c r="A320" s="32">
        <v>41743</v>
      </c>
      <c r="B320">
        <v>6</v>
      </c>
      <c r="C320">
        <v>682</v>
      </c>
      <c r="D320" t="s">
        <v>303</v>
      </c>
      <c r="E320">
        <f>YEAR(A320)</f>
        <v>2014</v>
      </c>
      <c r="F320" s="33">
        <f>DATE(YEAR(A320),MONTH(A320),1)</f>
        <v>41730.0</v>
      </c>
      <c r="G320" t="str">
        <f>CHOOSE(WEEKDAY(A320,2),"Mon","Tue","Wed","Thu","Fri","Sat","Sun")</f>
        <v>Mon</v>
      </c>
      <c r="H320" t="str">
        <f>IF(WEEKDAY(A320,2)&gt;5,"Weekend","Weekday")</f>
        <v>Weekday</v>
      </c>
      <c r="I320" t="str">
        <f>_xlfn.IFS(B320&lt;=5,"Night (0-5)",B320&lt;=9,"Morning peak (6-9)",B320&lt;=15,"Midday (10-15)",B320&lt;=19,"Evening peak (16-19)",TRUE,"Late evening (20-23)")</f>
        <v>Morning peak (6-9)</v>
      </c>
    </row>
    <row r="321" spans="1:9">
      <c r="A321" s="32">
        <v>41743</v>
      </c>
      <c r="B321">
        <v>7</v>
      </c>
      <c r="C321">
        <v>911</v>
      </c>
      <c r="D321" t="s">
        <v>303</v>
      </c>
      <c r="E321">
        <f>YEAR(A321)</f>
        <v>2014</v>
      </c>
      <c r="F321" s="33">
        <f>DATE(YEAR(A321),MONTH(A321),1)</f>
        <v>41730.0</v>
      </c>
      <c r="G321" t="str">
        <f>CHOOSE(WEEKDAY(A321,2),"Mon","Tue","Wed","Thu","Fri","Sat","Sun")</f>
        <v>Mon</v>
      </c>
      <c r="H321" t="str">
        <f>IF(WEEKDAY(A321,2)&gt;5,"Weekend","Weekday")</f>
        <v>Weekday</v>
      </c>
      <c r="I321" t="str">
        <f>_xlfn.IFS(B321&lt;=5,"Night (0-5)",B321&lt;=9,"Morning peak (6-9)",B321&lt;=15,"Midday (10-15)",B321&lt;=19,"Evening peak (16-19)",TRUE,"Late evening (20-23)")</f>
        <v>Morning peak (6-9)</v>
      </c>
    </row>
    <row r="322" spans="1:9">
      <c r="A322" s="32">
        <v>41743</v>
      </c>
      <c r="B322">
        <v>8</v>
      </c>
      <c r="C322">
        <v>730</v>
      </c>
      <c r="D322" t="s">
        <v>303</v>
      </c>
      <c r="E322">
        <f>YEAR(A322)</f>
        <v>2014</v>
      </c>
      <c r="F322" s="33">
        <f>DATE(YEAR(A322),MONTH(A322),1)</f>
        <v>41730.0</v>
      </c>
      <c r="G322" t="str">
        <f>CHOOSE(WEEKDAY(A322,2),"Mon","Tue","Wed","Thu","Fri","Sat","Sun")</f>
        <v>Mon</v>
      </c>
      <c r="H322" t="str">
        <f>IF(WEEKDAY(A322,2)&gt;5,"Weekend","Weekday")</f>
        <v>Weekday</v>
      </c>
      <c r="I322" t="str">
        <f>_xlfn.IFS(B322&lt;=5,"Night (0-5)",B322&lt;=9,"Morning peak (6-9)",B322&lt;=15,"Midday (10-15)",B322&lt;=19,"Evening peak (16-19)",TRUE,"Late evening (20-23)")</f>
        <v>Morning peak (6-9)</v>
      </c>
    </row>
    <row r="323" spans="1:9">
      <c r="A323" s="32">
        <v>41743</v>
      </c>
      <c r="B323">
        <v>9</v>
      </c>
      <c r="C323">
        <v>491</v>
      </c>
      <c r="D323" t="s">
        <v>303</v>
      </c>
      <c r="E323">
        <f>YEAR(A323)</f>
        <v>2014</v>
      </c>
      <c r="F323" s="33">
        <f>DATE(YEAR(A323),MONTH(A323),1)</f>
        <v>41730.0</v>
      </c>
      <c r="G323" t="str">
        <f>CHOOSE(WEEKDAY(A323,2),"Mon","Tue","Wed","Thu","Fri","Sat","Sun")</f>
        <v>Mon</v>
      </c>
      <c r="H323" t="str">
        <f>IF(WEEKDAY(A323,2)&gt;5,"Weekend","Weekday")</f>
        <v>Weekday</v>
      </c>
      <c r="I323" t="str">
        <f>_xlfn.IFS(B323&lt;=5,"Night (0-5)",B323&lt;=9,"Morning peak (6-9)",B323&lt;=15,"Midday (10-15)",B323&lt;=19,"Evening peak (16-19)",TRUE,"Late evening (20-23)")</f>
        <v>Morning peak (6-9)</v>
      </c>
    </row>
    <row r="324" spans="1:9">
      <c r="A324" s="32">
        <v>41743</v>
      </c>
      <c r="B324">
        <v>10</v>
      </c>
      <c r="C324">
        <v>443</v>
      </c>
      <c r="D324" t="s">
        <v>303</v>
      </c>
      <c r="E324">
        <f>YEAR(A324)</f>
        <v>2014</v>
      </c>
      <c r="F324" s="33">
        <f>DATE(YEAR(A324),MONTH(A324),1)</f>
        <v>41730.0</v>
      </c>
      <c r="G324" t="str">
        <f>CHOOSE(WEEKDAY(A324,2),"Mon","Tue","Wed","Thu","Fri","Sat","Sun")</f>
        <v>Mon</v>
      </c>
      <c r="H324" t="str">
        <f>IF(WEEKDAY(A324,2)&gt;5,"Weekend","Weekday")</f>
        <v>Weekday</v>
      </c>
      <c r="I324" t="str">
        <f>_xlfn.IFS(B324&lt;=5,"Night (0-5)",B324&lt;=9,"Morning peak (6-9)",B324&lt;=15,"Midday (10-15)",B324&lt;=19,"Evening peak (16-19)",TRUE,"Late evening (20-23)")</f>
        <v>Midday (10-15)</v>
      </c>
    </row>
    <row r="325" spans="1:9">
      <c r="A325" s="32">
        <v>41743</v>
      </c>
      <c r="B325">
        <v>11</v>
      </c>
      <c r="C325">
        <v>443</v>
      </c>
      <c r="D325" t="s">
        <v>303</v>
      </c>
      <c r="E325">
        <f>YEAR(A325)</f>
        <v>2014</v>
      </c>
      <c r="F325" s="33">
        <f>DATE(YEAR(A325),MONTH(A325),1)</f>
        <v>41730.0</v>
      </c>
      <c r="G325" t="str">
        <f>CHOOSE(WEEKDAY(A325,2),"Mon","Tue","Wed","Thu","Fri","Sat","Sun")</f>
        <v>Mon</v>
      </c>
      <c r="H325" t="str">
        <f>IF(WEEKDAY(A325,2)&gt;5,"Weekend","Weekday")</f>
        <v>Weekday</v>
      </c>
      <c r="I325" t="str">
        <f>_xlfn.IFS(B325&lt;=5,"Night (0-5)",B325&lt;=9,"Morning peak (6-9)",B325&lt;=15,"Midday (10-15)",B325&lt;=19,"Evening peak (16-19)",TRUE,"Late evening (20-23)")</f>
        <v>Midday (10-15)</v>
      </c>
    </row>
    <row r="326" spans="1:9">
      <c r="A326" s="32">
        <v>41743</v>
      </c>
      <c r="B326">
        <v>12</v>
      </c>
      <c r="C326">
        <v>494</v>
      </c>
      <c r="D326" t="s">
        <v>303</v>
      </c>
      <c r="E326">
        <f>YEAR(A326)</f>
        <v>2014</v>
      </c>
      <c r="F326" s="33">
        <f>DATE(YEAR(A326),MONTH(A326),1)</f>
        <v>41730.0</v>
      </c>
      <c r="G326" t="str">
        <f>CHOOSE(WEEKDAY(A326,2),"Mon","Tue","Wed","Thu","Fri","Sat","Sun")</f>
        <v>Mon</v>
      </c>
      <c r="H326" t="str">
        <f>IF(WEEKDAY(A326,2)&gt;5,"Weekend","Weekday")</f>
        <v>Weekday</v>
      </c>
      <c r="I326" t="str">
        <f>_xlfn.IFS(B326&lt;=5,"Night (0-5)",B326&lt;=9,"Morning peak (6-9)",B326&lt;=15,"Midday (10-15)",B326&lt;=19,"Evening peak (16-19)",TRUE,"Late evening (20-23)")</f>
        <v>Midday (10-15)</v>
      </c>
    </row>
    <row r="327" spans="1:9">
      <c r="A327" s="32">
        <v>41743</v>
      </c>
      <c r="B327">
        <v>13</v>
      </c>
      <c r="C327">
        <v>538</v>
      </c>
      <c r="D327" t="s">
        <v>303</v>
      </c>
      <c r="E327">
        <f>YEAR(A327)</f>
        <v>2014</v>
      </c>
      <c r="F327" s="33">
        <f>DATE(YEAR(A327),MONTH(A327),1)</f>
        <v>41730.0</v>
      </c>
      <c r="G327" t="str">
        <f>CHOOSE(WEEKDAY(A327,2),"Mon","Tue","Wed","Thu","Fri","Sat","Sun")</f>
        <v>Mon</v>
      </c>
      <c r="H327" t="str">
        <f>IF(WEEKDAY(A327,2)&gt;5,"Weekend","Weekday")</f>
        <v>Weekday</v>
      </c>
      <c r="I327" t="str">
        <f>_xlfn.IFS(B327&lt;=5,"Night (0-5)",B327&lt;=9,"Morning peak (6-9)",B327&lt;=15,"Midday (10-15)",B327&lt;=19,"Evening peak (16-19)",TRUE,"Late evening (20-23)")</f>
        <v>Midday (10-15)</v>
      </c>
    </row>
    <row r="328" spans="1:9">
      <c r="A328" s="32">
        <v>41743</v>
      </c>
      <c r="B328">
        <v>14</v>
      </c>
      <c r="C328">
        <v>722</v>
      </c>
      <c r="D328" t="s">
        <v>303</v>
      </c>
      <c r="E328">
        <f>YEAR(A328)</f>
        <v>2014</v>
      </c>
      <c r="F328" s="33">
        <f>DATE(YEAR(A328),MONTH(A328),1)</f>
        <v>41730.0</v>
      </c>
      <c r="G328" t="str">
        <f>CHOOSE(WEEKDAY(A328,2),"Mon","Tue","Wed","Thu","Fri","Sat","Sun")</f>
        <v>Mon</v>
      </c>
      <c r="H328" t="str">
        <f>IF(WEEKDAY(A328,2)&gt;5,"Weekend","Weekday")</f>
        <v>Weekday</v>
      </c>
      <c r="I328" t="str">
        <f>_xlfn.IFS(B328&lt;=5,"Night (0-5)",B328&lt;=9,"Morning peak (6-9)",B328&lt;=15,"Midday (10-15)",B328&lt;=19,"Evening peak (16-19)",TRUE,"Late evening (20-23)")</f>
        <v>Midday (10-15)</v>
      </c>
    </row>
    <row r="329" spans="1:9">
      <c r="A329" s="32">
        <v>41743</v>
      </c>
      <c r="B329">
        <v>15</v>
      </c>
      <c r="C329">
        <v>944</v>
      </c>
      <c r="D329" t="s">
        <v>303</v>
      </c>
      <c r="E329">
        <f>YEAR(A329)</f>
        <v>2014</v>
      </c>
      <c r="F329" s="33">
        <f>DATE(YEAR(A329),MONTH(A329),1)</f>
        <v>41730.0</v>
      </c>
      <c r="G329" t="str">
        <f>CHOOSE(WEEKDAY(A329,2),"Mon","Tue","Wed","Thu","Fri","Sat","Sun")</f>
        <v>Mon</v>
      </c>
      <c r="H329" t="str">
        <f>IF(WEEKDAY(A329,2)&gt;5,"Weekend","Weekday")</f>
        <v>Weekday</v>
      </c>
      <c r="I329" t="str">
        <f>_xlfn.IFS(B329&lt;=5,"Night (0-5)",B329&lt;=9,"Morning peak (6-9)",B329&lt;=15,"Midday (10-15)",B329&lt;=19,"Evening peak (16-19)",TRUE,"Late evening (20-23)")</f>
        <v>Midday (10-15)</v>
      </c>
    </row>
    <row r="330" spans="1:9">
      <c r="A330" s="32">
        <v>41743</v>
      </c>
      <c r="B330">
        <v>16</v>
      </c>
      <c r="C330">
        <v>1030</v>
      </c>
      <c r="D330" t="s">
        <v>303</v>
      </c>
      <c r="E330">
        <f>YEAR(A330)</f>
        <v>2014</v>
      </c>
      <c r="F330" s="33">
        <f>DATE(YEAR(A330),MONTH(A330),1)</f>
        <v>41730.0</v>
      </c>
      <c r="G330" t="str">
        <f>CHOOSE(WEEKDAY(A330,2),"Mon","Tue","Wed","Thu","Fri","Sat","Sun")</f>
        <v>Mon</v>
      </c>
      <c r="H330" t="str">
        <f>IF(WEEKDAY(A330,2)&gt;5,"Weekend","Weekday")</f>
        <v>Weekday</v>
      </c>
      <c r="I330" t="str">
        <f>_xlfn.IFS(B330&lt;=5,"Night (0-5)",B330&lt;=9,"Morning peak (6-9)",B330&lt;=15,"Midday (10-15)",B330&lt;=19,"Evening peak (16-19)",TRUE,"Late evening (20-23)")</f>
        <v>Evening peak (16-19)</v>
      </c>
    </row>
    <row r="331" spans="1:9">
      <c r="A331" s="32">
        <v>41743</v>
      </c>
      <c r="B331">
        <v>17</v>
      </c>
      <c r="C331">
        <v>965</v>
      </c>
      <c r="D331" t="s">
        <v>303</v>
      </c>
      <c r="E331">
        <f>YEAR(A331)</f>
        <v>2014</v>
      </c>
      <c r="F331" s="33">
        <f>DATE(YEAR(A331),MONTH(A331),1)</f>
        <v>41730.0</v>
      </c>
      <c r="G331" t="str">
        <f>CHOOSE(WEEKDAY(A331,2),"Mon","Tue","Wed","Thu","Fri","Sat","Sun")</f>
        <v>Mon</v>
      </c>
      <c r="H331" t="str">
        <f>IF(WEEKDAY(A331,2)&gt;5,"Weekend","Weekday")</f>
        <v>Weekday</v>
      </c>
      <c r="I331" t="str">
        <f>_xlfn.IFS(B331&lt;=5,"Night (0-5)",B331&lt;=9,"Morning peak (6-9)",B331&lt;=15,"Midday (10-15)",B331&lt;=19,"Evening peak (16-19)",TRUE,"Late evening (20-23)")</f>
        <v>Evening peak (16-19)</v>
      </c>
    </row>
    <row r="332" spans="1:9">
      <c r="A332" s="32">
        <v>41743</v>
      </c>
      <c r="B332">
        <v>18</v>
      </c>
      <c r="C332">
        <v>721</v>
      </c>
      <c r="D332" t="s">
        <v>303</v>
      </c>
      <c r="E332">
        <f>YEAR(A332)</f>
        <v>2014</v>
      </c>
      <c r="F332" s="33">
        <f>DATE(YEAR(A332),MONTH(A332),1)</f>
        <v>41730.0</v>
      </c>
      <c r="G332" t="str">
        <f>CHOOSE(WEEKDAY(A332,2),"Mon","Tue","Wed","Thu","Fri","Sat","Sun")</f>
        <v>Mon</v>
      </c>
      <c r="H332" t="str">
        <f>IF(WEEKDAY(A332,2)&gt;5,"Weekend","Weekday")</f>
        <v>Weekday</v>
      </c>
      <c r="I332" t="str">
        <f>_xlfn.IFS(B332&lt;=5,"Night (0-5)",B332&lt;=9,"Morning peak (6-9)",B332&lt;=15,"Midday (10-15)",B332&lt;=19,"Evening peak (16-19)",TRUE,"Late evening (20-23)")</f>
        <v>Evening peak (16-19)</v>
      </c>
    </row>
    <row r="333" spans="1:9">
      <c r="A333" s="32">
        <v>41743</v>
      </c>
      <c r="B333">
        <v>19</v>
      </c>
      <c r="C333">
        <v>643</v>
      </c>
      <c r="D333" t="s">
        <v>303</v>
      </c>
      <c r="E333">
        <f>YEAR(A333)</f>
        <v>2014</v>
      </c>
      <c r="F333" s="33">
        <f>DATE(YEAR(A333),MONTH(A333),1)</f>
        <v>41730.0</v>
      </c>
      <c r="G333" t="str">
        <f>CHOOSE(WEEKDAY(A333,2),"Mon","Tue","Wed","Thu","Fri","Sat","Sun")</f>
        <v>Mon</v>
      </c>
      <c r="H333" t="str">
        <f>IF(WEEKDAY(A333,2)&gt;5,"Weekend","Weekday")</f>
        <v>Weekday</v>
      </c>
      <c r="I333" t="str">
        <f>_xlfn.IFS(B333&lt;=5,"Night (0-5)",B333&lt;=9,"Morning peak (6-9)",B333&lt;=15,"Midday (10-15)",B333&lt;=19,"Evening peak (16-19)",TRUE,"Late evening (20-23)")</f>
        <v>Evening peak (16-19)</v>
      </c>
    </row>
    <row r="334" spans="1:9">
      <c r="A334" s="32">
        <v>41743</v>
      </c>
      <c r="B334">
        <v>20</v>
      </c>
      <c r="C334">
        <v>677</v>
      </c>
      <c r="D334" t="s">
        <v>303</v>
      </c>
      <c r="E334">
        <f>YEAR(A334)</f>
        <v>2014</v>
      </c>
      <c r="F334" s="33">
        <f>DATE(YEAR(A334),MONTH(A334),1)</f>
        <v>41730.0</v>
      </c>
      <c r="G334" t="str">
        <f>CHOOSE(WEEKDAY(A334,2),"Mon","Tue","Wed","Thu","Fri","Sat","Sun")</f>
        <v>Mon</v>
      </c>
      <c r="H334" t="str">
        <f>IF(WEEKDAY(A334,2)&gt;5,"Weekend","Weekday")</f>
        <v>Weekday</v>
      </c>
      <c r="I334" t="str">
        <f>_xlfn.IFS(B334&lt;=5,"Night (0-5)",B334&lt;=9,"Morning peak (6-9)",B334&lt;=15,"Midday (10-15)",B334&lt;=19,"Evening peak (16-19)",TRUE,"Late evening (20-23)")</f>
        <v>Late evening (20-23)</v>
      </c>
    </row>
    <row r="335" spans="1:9">
      <c r="A335" s="32">
        <v>41743</v>
      </c>
      <c r="B335">
        <v>21</v>
      </c>
      <c r="C335">
        <v>620</v>
      </c>
      <c r="D335" t="s">
        <v>303</v>
      </c>
      <c r="E335">
        <f>YEAR(A335)</f>
        <v>2014</v>
      </c>
      <c r="F335" s="33">
        <f>DATE(YEAR(A335),MONTH(A335),1)</f>
        <v>41730.0</v>
      </c>
      <c r="G335" t="str">
        <f>CHOOSE(WEEKDAY(A335,2),"Mon","Tue","Wed","Thu","Fri","Sat","Sun")</f>
        <v>Mon</v>
      </c>
      <c r="H335" t="str">
        <f>IF(WEEKDAY(A335,2)&gt;5,"Weekend","Weekday")</f>
        <v>Weekday</v>
      </c>
      <c r="I335" t="str">
        <f>_xlfn.IFS(B335&lt;=5,"Night (0-5)",B335&lt;=9,"Morning peak (6-9)",B335&lt;=15,"Midday (10-15)",B335&lt;=19,"Evening peak (16-19)",TRUE,"Late evening (20-23)")</f>
        <v>Late evening (20-23)</v>
      </c>
    </row>
    <row r="336" spans="1:9">
      <c r="A336" s="32">
        <v>41743</v>
      </c>
      <c r="B336">
        <v>22</v>
      </c>
      <c r="C336">
        <v>443</v>
      </c>
      <c r="D336" t="s">
        <v>303</v>
      </c>
      <c r="E336">
        <f>YEAR(A336)</f>
        <v>2014</v>
      </c>
      <c r="F336" s="33">
        <f>DATE(YEAR(A336),MONTH(A336),1)</f>
        <v>41730.0</v>
      </c>
      <c r="G336" t="str">
        <f>CHOOSE(WEEKDAY(A336,2),"Mon","Tue","Wed","Thu","Fri","Sat","Sun")</f>
        <v>Mon</v>
      </c>
      <c r="H336" t="str">
        <f>IF(WEEKDAY(A336,2)&gt;5,"Weekend","Weekday")</f>
        <v>Weekday</v>
      </c>
      <c r="I336" t="str">
        <f>_xlfn.IFS(B336&lt;=5,"Night (0-5)",B336&lt;=9,"Morning peak (6-9)",B336&lt;=15,"Midday (10-15)",B336&lt;=19,"Evening peak (16-19)",TRUE,"Late evening (20-23)")</f>
        <v>Late evening (20-23)</v>
      </c>
    </row>
    <row r="337" spans="1:9">
      <c r="A337" s="32">
        <v>41743</v>
      </c>
      <c r="B337">
        <v>23</v>
      </c>
      <c r="C337">
        <v>257</v>
      </c>
      <c r="D337" t="s">
        <v>303</v>
      </c>
      <c r="E337">
        <f>YEAR(A337)</f>
        <v>2014</v>
      </c>
      <c r="F337" s="33">
        <f>DATE(YEAR(A337),MONTH(A337),1)</f>
        <v>41730.0</v>
      </c>
      <c r="G337" t="str">
        <f>CHOOSE(WEEKDAY(A337,2),"Mon","Tue","Wed","Thu","Fri","Sat","Sun")</f>
        <v>Mon</v>
      </c>
      <c r="H337" t="str">
        <f>IF(WEEKDAY(A337,2)&gt;5,"Weekend","Weekday")</f>
        <v>Weekday</v>
      </c>
      <c r="I337" t="str">
        <f>_xlfn.IFS(B337&lt;=5,"Night (0-5)",B337&lt;=9,"Morning peak (6-9)",B337&lt;=15,"Midday (10-15)",B337&lt;=19,"Evening peak (16-19)",TRUE,"Late evening (20-23)")</f>
        <v>Late evening (20-23)</v>
      </c>
    </row>
    <row r="338" spans="1:9">
      <c r="A338" s="32">
        <v>41744</v>
      </c>
      <c r="B338">
        <v>0</v>
      </c>
      <c r="C338">
        <v>137</v>
      </c>
      <c r="D338" t="s">
        <v>303</v>
      </c>
      <c r="E338">
        <f>YEAR(A338)</f>
        <v>2014</v>
      </c>
      <c r="F338" s="33">
        <f>DATE(YEAR(A338),MONTH(A338),1)</f>
        <v>41730.0</v>
      </c>
      <c r="G338" t="str">
        <f>CHOOSE(WEEKDAY(A338,2),"Mon","Tue","Wed","Thu","Fri","Sat","Sun")</f>
        <v>Tue</v>
      </c>
      <c r="H338" t="str">
        <f>IF(WEEKDAY(A338,2)&gt;5,"Weekend","Weekday")</f>
        <v>Weekday</v>
      </c>
      <c r="I338" t="str">
        <f>_xlfn.IFS(B338&lt;=5,"Night (0-5)",B338&lt;=9,"Morning peak (6-9)",B338&lt;=15,"Midday (10-15)",B338&lt;=19,"Evening peak (16-19)",TRUE,"Late evening (20-23)")</f>
        <v>Night (0-5)</v>
      </c>
    </row>
    <row r="339" spans="1:9">
      <c r="A339" s="32">
        <v>41744</v>
      </c>
      <c r="B339">
        <v>1</v>
      </c>
      <c r="C339">
        <v>71</v>
      </c>
      <c r="D339" t="s">
        <v>303</v>
      </c>
      <c r="E339">
        <f>YEAR(A339)</f>
        <v>2014</v>
      </c>
      <c r="F339" s="33">
        <f>DATE(YEAR(A339),MONTH(A339),1)</f>
        <v>41730.0</v>
      </c>
      <c r="G339" t="str">
        <f>CHOOSE(WEEKDAY(A339,2),"Mon","Tue","Wed","Thu","Fri","Sat","Sun")</f>
        <v>Tue</v>
      </c>
      <c r="H339" t="str">
        <f>IF(WEEKDAY(A339,2)&gt;5,"Weekend","Weekday")</f>
        <v>Weekday</v>
      </c>
      <c r="I339" t="str">
        <f>_xlfn.IFS(B339&lt;=5,"Night (0-5)",B339&lt;=9,"Morning peak (6-9)",B339&lt;=15,"Midday (10-15)",B339&lt;=19,"Evening peak (16-19)",TRUE,"Late evening (20-23)")</f>
        <v>Night (0-5)</v>
      </c>
    </row>
    <row r="340" spans="1:9">
      <c r="A340" s="32">
        <v>41744</v>
      </c>
      <c r="B340">
        <v>2</v>
      </c>
      <c r="C340">
        <v>61</v>
      </c>
      <c r="D340" t="s">
        <v>303</v>
      </c>
      <c r="E340">
        <f>YEAR(A340)</f>
        <v>2014</v>
      </c>
      <c r="F340" s="33">
        <f>DATE(YEAR(A340),MONTH(A340),1)</f>
        <v>41730.0</v>
      </c>
      <c r="G340" t="str">
        <f>CHOOSE(WEEKDAY(A340,2),"Mon","Tue","Wed","Thu","Fri","Sat","Sun")</f>
        <v>Tue</v>
      </c>
      <c r="H340" t="str">
        <f>IF(WEEKDAY(A340,2)&gt;5,"Weekend","Weekday")</f>
        <v>Weekday</v>
      </c>
      <c r="I340" t="str">
        <f>_xlfn.IFS(B340&lt;=5,"Night (0-5)",B340&lt;=9,"Morning peak (6-9)",B340&lt;=15,"Midday (10-15)",B340&lt;=19,"Evening peak (16-19)",TRUE,"Late evening (20-23)")</f>
        <v>Night (0-5)</v>
      </c>
    </row>
    <row r="341" spans="1:9">
      <c r="A341" s="32">
        <v>41744</v>
      </c>
      <c r="B341">
        <v>3</v>
      </c>
      <c r="C341">
        <v>104</v>
      </c>
      <c r="D341" t="s">
        <v>303</v>
      </c>
      <c r="E341">
        <f>YEAR(A341)</f>
        <v>2014</v>
      </c>
      <c r="F341" s="33">
        <f>DATE(YEAR(A341),MONTH(A341),1)</f>
        <v>41730.0</v>
      </c>
      <c r="G341" t="str">
        <f>CHOOSE(WEEKDAY(A341,2),"Mon","Tue","Wed","Thu","Fri","Sat","Sun")</f>
        <v>Tue</v>
      </c>
      <c r="H341" t="str">
        <f>IF(WEEKDAY(A341,2)&gt;5,"Weekend","Weekday")</f>
        <v>Weekday</v>
      </c>
      <c r="I341" t="str">
        <f>_xlfn.IFS(B341&lt;=5,"Night (0-5)",B341&lt;=9,"Morning peak (6-9)",B341&lt;=15,"Midday (10-15)",B341&lt;=19,"Evening peak (16-19)",TRUE,"Late evening (20-23)")</f>
        <v>Night (0-5)</v>
      </c>
    </row>
    <row r="342" spans="1:9">
      <c r="A342" s="32">
        <v>41744</v>
      </c>
      <c r="B342">
        <v>4</v>
      </c>
      <c r="C342">
        <v>141</v>
      </c>
      <c r="D342" t="s">
        <v>303</v>
      </c>
      <c r="E342">
        <f>YEAR(A342)</f>
        <v>2014</v>
      </c>
      <c r="F342" s="33">
        <f>DATE(YEAR(A342),MONTH(A342),1)</f>
        <v>41730.0</v>
      </c>
      <c r="G342" t="str">
        <f>CHOOSE(WEEKDAY(A342,2),"Mon","Tue","Wed","Thu","Fri","Sat","Sun")</f>
        <v>Tue</v>
      </c>
      <c r="H342" t="str">
        <f>IF(WEEKDAY(A342,2)&gt;5,"Weekend","Weekday")</f>
        <v>Weekday</v>
      </c>
      <c r="I342" t="str">
        <f>_xlfn.IFS(B342&lt;=5,"Night (0-5)",B342&lt;=9,"Morning peak (6-9)",B342&lt;=15,"Midday (10-15)",B342&lt;=19,"Evening peak (16-19)",TRUE,"Late evening (20-23)")</f>
        <v>Night (0-5)</v>
      </c>
    </row>
    <row r="343" spans="1:9">
      <c r="A343" s="32">
        <v>41744</v>
      </c>
      <c r="B343">
        <v>5</v>
      </c>
      <c r="C343">
        <v>277</v>
      </c>
      <c r="D343" t="s">
        <v>303</v>
      </c>
      <c r="E343">
        <f>YEAR(A343)</f>
        <v>2014</v>
      </c>
      <c r="F343" s="33">
        <f>DATE(YEAR(A343),MONTH(A343),1)</f>
        <v>41730.0</v>
      </c>
      <c r="G343" t="str">
        <f>CHOOSE(WEEKDAY(A343,2),"Mon","Tue","Wed","Thu","Fri","Sat","Sun")</f>
        <v>Tue</v>
      </c>
      <c r="H343" t="str">
        <f>IF(WEEKDAY(A343,2)&gt;5,"Weekend","Weekday")</f>
        <v>Weekday</v>
      </c>
      <c r="I343" t="str">
        <f>_xlfn.IFS(B343&lt;=5,"Night (0-5)",B343&lt;=9,"Morning peak (6-9)",B343&lt;=15,"Midday (10-15)",B343&lt;=19,"Evening peak (16-19)",TRUE,"Late evening (20-23)")</f>
        <v>Night (0-5)</v>
      </c>
    </row>
    <row r="344" spans="1:9">
      <c r="A344" s="32">
        <v>41744</v>
      </c>
      <c r="B344">
        <v>6</v>
      </c>
      <c r="C344">
        <v>564</v>
      </c>
      <c r="D344" t="s">
        <v>303</v>
      </c>
      <c r="E344">
        <f>YEAR(A344)</f>
        <v>2014</v>
      </c>
      <c r="F344" s="33">
        <f>DATE(YEAR(A344),MONTH(A344),1)</f>
        <v>41730.0</v>
      </c>
      <c r="G344" t="str">
        <f>CHOOSE(WEEKDAY(A344,2),"Mon","Tue","Wed","Thu","Fri","Sat","Sun")</f>
        <v>Tue</v>
      </c>
      <c r="H344" t="str">
        <f>IF(WEEKDAY(A344,2)&gt;5,"Weekend","Weekday")</f>
        <v>Weekday</v>
      </c>
      <c r="I344" t="str">
        <f>_xlfn.IFS(B344&lt;=5,"Night (0-5)",B344&lt;=9,"Morning peak (6-9)",B344&lt;=15,"Midday (10-15)",B344&lt;=19,"Evening peak (16-19)",TRUE,"Late evening (20-23)")</f>
        <v>Morning peak (6-9)</v>
      </c>
    </row>
    <row r="345" spans="1:9">
      <c r="A345" s="32">
        <v>41744</v>
      </c>
      <c r="B345">
        <v>7</v>
      </c>
      <c r="C345">
        <v>992</v>
      </c>
      <c r="D345" t="s">
        <v>303</v>
      </c>
      <c r="E345">
        <f>YEAR(A345)</f>
        <v>2014</v>
      </c>
      <c r="F345" s="33">
        <f>DATE(YEAR(A345),MONTH(A345),1)</f>
        <v>41730.0</v>
      </c>
      <c r="G345" t="str">
        <f>CHOOSE(WEEKDAY(A345,2),"Mon","Tue","Wed","Thu","Fri","Sat","Sun")</f>
        <v>Tue</v>
      </c>
      <c r="H345" t="str">
        <f>IF(WEEKDAY(A345,2)&gt;5,"Weekend","Weekday")</f>
        <v>Weekday</v>
      </c>
      <c r="I345" t="str">
        <f>_xlfn.IFS(B345&lt;=5,"Night (0-5)",B345&lt;=9,"Morning peak (6-9)",B345&lt;=15,"Midday (10-15)",B345&lt;=19,"Evening peak (16-19)",TRUE,"Late evening (20-23)")</f>
        <v>Morning peak (6-9)</v>
      </c>
    </row>
    <row r="346" spans="1:9">
      <c r="A346" s="32">
        <v>41744</v>
      </c>
      <c r="B346">
        <v>8</v>
      </c>
      <c r="C346">
        <v>921</v>
      </c>
      <c r="D346" t="s">
        <v>303</v>
      </c>
      <c r="E346">
        <f>YEAR(A346)</f>
        <v>2014</v>
      </c>
      <c r="F346" s="33">
        <f>DATE(YEAR(A346),MONTH(A346),1)</f>
        <v>41730.0</v>
      </c>
      <c r="G346" t="str">
        <f>CHOOSE(WEEKDAY(A346,2),"Mon","Tue","Wed","Thu","Fri","Sat","Sun")</f>
        <v>Tue</v>
      </c>
      <c r="H346" t="str">
        <f>IF(WEEKDAY(A346,2)&gt;5,"Weekend","Weekday")</f>
        <v>Weekday</v>
      </c>
      <c r="I346" t="str">
        <f>_xlfn.IFS(B346&lt;=5,"Night (0-5)",B346&lt;=9,"Morning peak (6-9)",B346&lt;=15,"Midday (10-15)",B346&lt;=19,"Evening peak (16-19)",TRUE,"Late evening (20-23)")</f>
        <v>Morning peak (6-9)</v>
      </c>
    </row>
    <row r="347" spans="1:9">
      <c r="A347" s="32">
        <v>41744</v>
      </c>
      <c r="B347">
        <v>9</v>
      </c>
      <c r="C347">
        <v>663</v>
      </c>
      <c r="D347" t="s">
        <v>303</v>
      </c>
      <c r="E347">
        <f>YEAR(A347)</f>
        <v>2014</v>
      </c>
      <c r="F347" s="33">
        <f>DATE(YEAR(A347),MONTH(A347),1)</f>
        <v>41730.0</v>
      </c>
      <c r="G347" t="str">
        <f>CHOOSE(WEEKDAY(A347,2),"Mon","Tue","Wed","Thu","Fri","Sat","Sun")</f>
        <v>Tue</v>
      </c>
      <c r="H347" t="str">
        <f>IF(WEEKDAY(A347,2)&gt;5,"Weekend","Weekday")</f>
        <v>Weekday</v>
      </c>
      <c r="I347" t="str">
        <f>_xlfn.IFS(B347&lt;=5,"Night (0-5)",B347&lt;=9,"Morning peak (6-9)",B347&lt;=15,"Midday (10-15)",B347&lt;=19,"Evening peak (16-19)",TRUE,"Late evening (20-23)")</f>
        <v>Morning peak (6-9)</v>
      </c>
    </row>
    <row r="348" spans="1:9">
      <c r="A348" s="32">
        <v>41744</v>
      </c>
      <c r="B348">
        <v>10</v>
      </c>
      <c r="C348">
        <v>727</v>
      </c>
      <c r="D348" t="s">
        <v>303</v>
      </c>
      <c r="E348">
        <f>YEAR(A348)</f>
        <v>2014</v>
      </c>
      <c r="F348" s="33">
        <f>DATE(YEAR(A348),MONTH(A348),1)</f>
        <v>41730.0</v>
      </c>
      <c r="G348" t="str">
        <f>CHOOSE(WEEKDAY(A348,2),"Mon","Tue","Wed","Thu","Fri","Sat","Sun")</f>
        <v>Tue</v>
      </c>
      <c r="H348" t="str">
        <f>IF(WEEKDAY(A348,2)&gt;5,"Weekend","Weekday")</f>
        <v>Weekday</v>
      </c>
      <c r="I348" t="str">
        <f>_xlfn.IFS(B348&lt;=5,"Night (0-5)",B348&lt;=9,"Morning peak (6-9)",B348&lt;=15,"Midday (10-15)",B348&lt;=19,"Evening peak (16-19)",TRUE,"Late evening (20-23)")</f>
        <v>Midday (10-15)</v>
      </c>
    </row>
    <row r="349" spans="1:9">
      <c r="A349" s="32">
        <v>41744</v>
      </c>
      <c r="B349">
        <v>11</v>
      </c>
      <c r="C349">
        <v>741</v>
      </c>
      <c r="D349" t="s">
        <v>303</v>
      </c>
      <c r="E349">
        <f>YEAR(A349)</f>
        <v>2014</v>
      </c>
      <c r="F349" s="33">
        <f>DATE(YEAR(A349),MONTH(A349),1)</f>
        <v>41730.0</v>
      </c>
      <c r="G349" t="str">
        <f>CHOOSE(WEEKDAY(A349,2),"Mon","Tue","Wed","Thu","Fri","Sat","Sun")</f>
        <v>Tue</v>
      </c>
      <c r="H349" t="str">
        <f>IF(WEEKDAY(A349,2)&gt;5,"Weekend","Weekday")</f>
        <v>Weekday</v>
      </c>
      <c r="I349" t="str">
        <f>_xlfn.IFS(B349&lt;=5,"Night (0-5)",B349&lt;=9,"Morning peak (6-9)",B349&lt;=15,"Midday (10-15)",B349&lt;=19,"Evening peak (16-19)",TRUE,"Late evening (20-23)")</f>
        <v>Midday (10-15)</v>
      </c>
    </row>
    <row r="350" spans="1:9">
      <c r="A350" s="32">
        <v>41744</v>
      </c>
      <c r="B350">
        <v>12</v>
      </c>
      <c r="C350">
        <v>688</v>
      </c>
      <c r="D350" t="s">
        <v>303</v>
      </c>
      <c r="E350">
        <f>YEAR(A350)</f>
        <v>2014</v>
      </c>
      <c r="F350" s="33">
        <f>DATE(YEAR(A350),MONTH(A350),1)</f>
        <v>41730.0</v>
      </c>
      <c r="G350" t="str">
        <f>CHOOSE(WEEKDAY(A350,2),"Mon","Tue","Wed","Thu","Fri","Sat","Sun")</f>
        <v>Tue</v>
      </c>
      <c r="H350" t="str">
        <f>IF(WEEKDAY(A350,2)&gt;5,"Weekend","Weekday")</f>
        <v>Weekday</v>
      </c>
      <c r="I350" t="str">
        <f>_xlfn.IFS(B350&lt;=5,"Night (0-5)",B350&lt;=9,"Morning peak (6-9)",B350&lt;=15,"Midday (10-15)",B350&lt;=19,"Evening peak (16-19)",TRUE,"Late evening (20-23)")</f>
        <v>Midday (10-15)</v>
      </c>
    </row>
    <row r="351" spans="1:9">
      <c r="A351" s="32">
        <v>41744</v>
      </c>
      <c r="B351">
        <v>13</v>
      </c>
      <c r="C351">
        <v>798</v>
      </c>
      <c r="D351" t="s">
        <v>303</v>
      </c>
      <c r="E351">
        <f>YEAR(A351)</f>
        <v>2014</v>
      </c>
      <c r="F351" s="33">
        <f>DATE(YEAR(A351),MONTH(A351),1)</f>
        <v>41730.0</v>
      </c>
      <c r="G351" t="str">
        <f>CHOOSE(WEEKDAY(A351,2),"Mon","Tue","Wed","Thu","Fri","Sat","Sun")</f>
        <v>Tue</v>
      </c>
      <c r="H351" t="str">
        <f>IF(WEEKDAY(A351,2)&gt;5,"Weekend","Weekday")</f>
        <v>Weekday</v>
      </c>
      <c r="I351" t="str">
        <f>_xlfn.IFS(B351&lt;=5,"Night (0-5)",B351&lt;=9,"Morning peak (6-9)",B351&lt;=15,"Midday (10-15)",B351&lt;=19,"Evening peak (16-19)",TRUE,"Late evening (20-23)")</f>
        <v>Midday (10-15)</v>
      </c>
    </row>
    <row r="352" spans="1:9">
      <c r="A352" s="32">
        <v>41744</v>
      </c>
      <c r="B352">
        <v>14</v>
      </c>
      <c r="C352">
        <v>881</v>
      </c>
      <c r="D352" t="s">
        <v>303</v>
      </c>
      <c r="E352">
        <f>YEAR(A352)</f>
        <v>2014</v>
      </c>
      <c r="F352" s="33">
        <f>DATE(YEAR(A352),MONTH(A352),1)</f>
        <v>41730.0</v>
      </c>
      <c r="G352" t="str">
        <f>CHOOSE(WEEKDAY(A352,2),"Mon","Tue","Wed","Thu","Fri","Sat","Sun")</f>
        <v>Tue</v>
      </c>
      <c r="H352" t="str">
        <f>IF(WEEKDAY(A352,2)&gt;5,"Weekend","Weekday")</f>
        <v>Weekday</v>
      </c>
      <c r="I352" t="str">
        <f>_xlfn.IFS(B352&lt;=5,"Night (0-5)",B352&lt;=9,"Morning peak (6-9)",B352&lt;=15,"Midday (10-15)",B352&lt;=19,"Evening peak (16-19)",TRUE,"Late evening (20-23)")</f>
        <v>Midday (10-15)</v>
      </c>
    </row>
    <row r="353" spans="1:9">
      <c r="A353" s="32">
        <v>41744</v>
      </c>
      <c r="B353">
        <v>15</v>
      </c>
      <c r="C353">
        <v>1012</v>
      </c>
      <c r="D353" t="s">
        <v>303</v>
      </c>
      <c r="E353">
        <f>YEAR(A353)</f>
        <v>2014</v>
      </c>
      <c r="F353" s="33">
        <f>DATE(YEAR(A353),MONTH(A353),1)</f>
        <v>41730.0</v>
      </c>
      <c r="G353" t="str">
        <f>CHOOSE(WEEKDAY(A353,2),"Mon","Tue","Wed","Thu","Fri","Sat","Sun")</f>
        <v>Tue</v>
      </c>
      <c r="H353" t="str">
        <f>IF(WEEKDAY(A353,2)&gt;5,"Weekend","Weekday")</f>
        <v>Weekday</v>
      </c>
      <c r="I353" t="str">
        <f>_xlfn.IFS(B353&lt;=5,"Night (0-5)",B353&lt;=9,"Morning peak (6-9)",B353&lt;=15,"Midday (10-15)",B353&lt;=19,"Evening peak (16-19)",TRUE,"Late evening (20-23)")</f>
        <v>Midday (10-15)</v>
      </c>
    </row>
    <row r="354" spans="1:9">
      <c r="A354" s="32">
        <v>41744</v>
      </c>
      <c r="B354">
        <v>16</v>
      </c>
      <c r="C354">
        <v>1580</v>
      </c>
      <c r="D354" t="s">
        <v>303</v>
      </c>
      <c r="E354">
        <f>YEAR(A354)</f>
        <v>2014</v>
      </c>
      <c r="F354" s="33">
        <f>DATE(YEAR(A354),MONTH(A354),1)</f>
        <v>41730.0</v>
      </c>
      <c r="G354" t="str">
        <f>CHOOSE(WEEKDAY(A354,2),"Mon","Tue","Wed","Thu","Fri","Sat","Sun")</f>
        <v>Tue</v>
      </c>
      <c r="H354" t="str">
        <f>IF(WEEKDAY(A354,2)&gt;5,"Weekend","Weekday")</f>
        <v>Weekday</v>
      </c>
      <c r="I354" t="str">
        <f>_xlfn.IFS(B354&lt;=5,"Night (0-5)",B354&lt;=9,"Morning peak (6-9)",B354&lt;=15,"Midday (10-15)",B354&lt;=19,"Evening peak (16-19)",TRUE,"Late evening (20-23)")</f>
        <v>Evening peak (16-19)</v>
      </c>
    </row>
    <row r="355" spans="1:9">
      <c r="A355" s="32">
        <v>41744</v>
      </c>
      <c r="B355">
        <v>17</v>
      </c>
      <c r="C355">
        <v>1767</v>
      </c>
      <c r="D355" t="s">
        <v>303</v>
      </c>
      <c r="E355">
        <f>YEAR(A355)</f>
        <v>2014</v>
      </c>
      <c r="F355" s="33">
        <f>DATE(YEAR(A355),MONTH(A355),1)</f>
        <v>41730.0</v>
      </c>
      <c r="G355" t="str">
        <f>CHOOSE(WEEKDAY(A355,2),"Mon","Tue","Wed","Thu","Fri","Sat","Sun")</f>
        <v>Tue</v>
      </c>
      <c r="H355" t="str">
        <f>IF(WEEKDAY(A355,2)&gt;5,"Weekend","Weekday")</f>
        <v>Weekday</v>
      </c>
      <c r="I355" t="str">
        <f>_xlfn.IFS(B355&lt;=5,"Night (0-5)",B355&lt;=9,"Morning peak (6-9)",B355&lt;=15,"Midday (10-15)",B355&lt;=19,"Evening peak (16-19)",TRUE,"Late evening (20-23)")</f>
        <v>Evening peak (16-19)</v>
      </c>
    </row>
    <row r="356" spans="1:9">
      <c r="A356" s="32">
        <v>41744</v>
      </c>
      <c r="B356">
        <v>18</v>
      </c>
      <c r="C356">
        <v>1702</v>
      </c>
      <c r="D356" t="s">
        <v>303</v>
      </c>
      <c r="E356">
        <f>YEAR(A356)</f>
        <v>2014</v>
      </c>
      <c r="F356" s="33">
        <f>DATE(YEAR(A356),MONTH(A356),1)</f>
        <v>41730.0</v>
      </c>
      <c r="G356" t="str">
        <f>CHOOSE(WEEKDAY(A356,2),"Mon","Tue","Wed","Thu","Fri","Sat","Sun")</f>
        <v>Tue</v>
      </c>
      <c r="H356" t="str">
        <f>IF(WEEKDAY(A356,2)&gt;5,"Weekend","Weekday")</f>
        <v>Weekday</v>
      </c>
      <c r="I356" t="str">
        <f>_xlfn.IFS(B356&lt;=5,"Night (0-5)",B356&lt;=9,"Morning peak (6-9)",B356&lt;=15,"Midday (10-15)",B356&lt;=19,"Evening peak (16-19)",TRUE,"Late evening (20-23)")</f>
        <v>Evening peak (16-19)</v>
      </c>
    </row>
    <row r="357" spans="1:9">
      <c r="A357" s="32">
        <v>41744</v>
      </c>
      <c r="B357">
        <v>19</v>
      </c>
      <c r="C357">
        <v>1743</v>
      </c>
      <c r="D357" t="s">
        <v>303</v>
      </c>
      <c r="E357">
        <f>YEAR(A357)</f>
        <v>2014</v>
      </c>
      <c r="F357" s="33">
        <f>DATE(YEAR(A357),MONTH(A357),1)</f>
        <v>41730.0</v>
      </c>
      <c r="G357" t="str">
        <f>CHOOSE(WEEKDAY(A357,2),"Mon","Tue","Wed","Thu","Fri","Sat","Sun")</f>
        <v>Tue</v>
      </c>
      <c r="H357" t="str">
        <f>IF(WEEKDAY(A357,2)&gt;5,"Weekend","Weekday")</f>
        <v>Weekday</v>
      </c>
      <c r="I357" t="str">
        <f>_xlfn.IFS(B357&lt;=5,"Night (0-5)",B357&lt;=9,"Morning peak (6-9)",B357&lt;=15,"Midday (10-15)",B357&lt;=19,"Evening peak (16-19)",TRUE,"Late evening (20-23)")</f>
        <v>Evening peak (16-19)</v>
      </c>
    </row>
    <row r="358" spans="1:9">
      <c r="A358" s="32">
        <v>41744</v>
      </c>
      <c r="B358">
        <v>20</v>
      </c>
      <c r="C358">
        <v>1802</v>
      </c>
      <c r="D358" t="s">
        <v>303</v>
      </c>
      <c r="E358">
        <f>YEAR(A358)</f>
        <v>2014</v>
      </c>
      <c r="F358" s="33">
        <f>DATE(YEAR(A358),MONTH(A358),1)</f>
        <v>41730.0</v>
      </c>
      <c r="G358" t="str">
        <f>CHOOSE(WEEKDAY(A358,2),"Mon","Tue","Wed","Thu","Fri","Sat","Sun")</f>
        <v>Tue</v>
      </c>
      <c r="H358" t="str">
        <f>IF(WEEKDAY(A358,2)&gt;5,"Weekend","Weekday")</f>
        <v>Weekday</v>
      </c>
      <c r="I358" t="str">
        <f>_xlfn.IFS(B358&lt;=5,"Night (0-5)",B358&lt;=9,"Morning peak (6-9)",B358&lt;=15,"Midday (10-15)",B358&lt;=19,"Evening peak (16-19)",TRUE,"Late evening (20-23)")</f>
        <v>Late evening (20-23)</v>
      </c>
    </row>
    <row r="359" spans="1:9">
      <c r="A359" s="32">
        <v>41744</v>
      </c>
      <c r="B359">
        <v>21</v>
      </c>
      <c r="C359">
        <v>1629</v>
      </c>
      <c r="D359" t="s">
        <v>303</v>
      </c>
      <c r="E359">
        <f>YEAR(A359)</f>
        <v>2014</v>
      </c>
      <c r="F359" s="33">
        <f>DATE(YEAR(A359),MONTH(A359),1)</f>
        <v>41730.0</v>
      </c>
      <c r="G359" t="str">
        <f>CHOOSE(WEEKDAY(A359,2),"Mon","Tue","Wed","Thu","Fri","Sat","Sun")</f>
        <v>Tue</v>
      </c>
      <c r="H359" t="str">
        <f>IF(WEEKDAY(A359,2)&gt;5,"Weekend","Weekday")</f>
        <v>Weekday</v>
      </c>
      <c r="I359" t="str">
        <f>_xlfn.IFS(B359&lt;=5,"Night (0-5)",B359&lt;=9,"Morning peak (6-9)",B359&lt;=15,"Midday (10-15)",B359&lt;=19,"Evening peak (16-19)",TRUE,"Late evening (20-23)")</f>
        <v>Late evening (20-23)</v>
      </c>
    </row>
    <row r="360" spans="1:9">
      <c r="A360" s="32">
        <v>41744</v>
      </c>
      <c r="B360">
        <v>22</v>
      </c>
      <c r="C360">
        <v>1076</v>
      </c>
      <c r="D360" t="s">
        <v>303</v>
      </c>
      <c r="E360">
        <f>YEAR(A360)</f>
        <v>2014</v>
      </c>
      <c r="F360" s="33">
        <f>DATE(YEAR(A360),MONTH(A360),1)</f>
        <v>41730.0</v>
      </c>
      <c r="G360" t="str">
        <f>CHOOSE(WEEKDAY(A360,2),"Mon","Tue","Wed","Thu","Fri","Sat","Sun")</f>
        <v>Tue</v>
      </c>
      <c r="H360" t="str">
        <f>IF(WEEKDAY(A360,2)&gt;5,"Weekend","Weekday")</f>
        <v>Weekday</v>
      </c>
      <c r="I360" t="str">
        <f>_xlfn.IFS(B360&lt;=5,"Night (0-5)",B360&lt;=9,"Morning peak (6-9)",B360&lt;=15,"Midday (10-15)",B360&lt;=19,"Evening peak (16-19)",TRUE,"Late evening (20-23)")</f>
        <v>Late evening (20-23)</v>
      </c>
    </row>
    <row r="361" spans="1:9">
      <c r="A361" s="32">
        <v>41744</v>
      </c>
      <c r="B361">
        <v>23</v>
      </c>
      <c r="C361">
        <v>564</v>
      </c>
      <c r="D361" t="s">
        <v>303</v>
      </c>
      <c r="E361">
        <f>YEAR(A361)</f>
        <v>2014</v>
      </c>
      <c r="F361" s="33">
        <f>DATE(YEAR(A361),MONTH(A361),1)</f>
        <v>41730.0</v>
      </c>
      <c r="G361" t="str">
        <f>CHOOSE(WEEKDAY(A361,2),"Mon","Tue","Wed","Thu","Fri","Sat","Sun")</f>
        <v>Tue</v>
      </c>
      <c r="H361" t="str">
        <f>IF(WEEKDAY(A361,2)&gt;5,"Weekend","Weekday")</f>
        <v>Weekday</v>
      </c>
      <c r="I361" t="str">
        <f>_xlfn.IFS(B361&lt;=5,"Night (0-5)",B361&lt;=9,"Morning peak (6-9)",B361&lt;=15,"Midday (10-15)",B361&lt;=19,"Evening peak (16-19)",TRUE,"Late evening (20-23)")</f>
        <v>Late evening (20-23)</v>
      </c>
    </row>
    <row r="362" spans="1:9">
      <c r="A362" s="32">
        <v>41745</v>
      </c>
      <c r="B362">
        <v>0</v>
      </c>
      <c r="C362">
        <v>216</v>
      </c>
      <c r="D362" t="s">
        <v>303</v>
      </c>
      <c r="E362">
        <f>YEAR(A362)</f>
        <v>2014</v>
      </c>
      <c r="F362" s="33">
        <f>DATE(YEAR(A362),MONTH(A362),1)</f>
        <v>41730.0</v>
      </c>
      <c r="G362" t="str">
        <f>CHOOSE(WEEKDAY(A362,2),"Mon","Tue","Wed","Thu","Fri","Sat","Sun")</f>
        <v>Wed</v>
      </c>
      <c r="H362" t="str">
        <f>IF(WEEKDAY(A362,2)&gt;5,"Weekend","Weekday")</f>
        <v>Weekday</v>
      </c>
      <c r="I362" t="str">
        <f>_xlfn.IFS(B362&lt;=5,"Night (0-5)",B362&lt;=9,"Morning peak (6-9)",B362&lt;=15,"Midday (10-15)",B362&lt;=19,"Evening peak (16-19)",TRUE,"Late evening (20-23)")</f>
        <v>Night (0-5)</v>
      </c>
    </row>
    <row r="363" spans="1:9">
      <c r="A363" s="32">
        <v>41745</v>
      </c>
      <c r="B363">
        <v>1</v>
      </c>
      <c r="C363">
        <v>97</v>
      </c>
      <c r="D363" t="s">
        <v>303</v>
      </c>
      <c r="E363">
        <f>YEAR(A363)</f>
        <v>2014</v>
      </c>
      <c r="F363" s="33">
        <f>DATE(YEAR(A363),MONTH(A363),1)</f>
        <v>41730.0</v>
      </c>
      <c r="G363" t="str">
        <f>CHOOSE(WEEKDAY(A363,2),"Mon","Tue","Wed","Thu","Fri","Sat","Sun")</f>
        <v>Wed</v>
      </c>
      <c r="H363" t="str">
        <f>IF(WEEKDAY(A363,2)&gt;5,"Weekend","Weekday")</f>
        <v>Weekday</v>
      </c>
      <c r="I363" t="str">
        <f>_xlfn.IFS(B363&lt;=5,"Night (0-5)",B363&lt;=9,"Morning peak (6-9)",B363&lt;=15,"Midday (10-15)",B363&lt;=19,"Evening peak (16-19)",TRUE,"Late evening (20-23)")</f>
        <v>Night (0-5)</v>
      </c>
    </row>
    <row r="364" spans="1:9">
      <c r="A364" s="32">
        <v>41745</v>
      </c>
      <c r="B364">
        <v>2</v>
      </c>
      <c r="C364">
        <v>72</v>
      </c>
      <c r="D364" t="s">
        <v>303</v>
      </c>
      <c r="E364">
        <f>YEAR(A364)</f>
        <v>2014</v>
      </c>
      <c r="F364" s="33">
        <f>DATE(YEAR(A364),MONTH(A364),1)</f>
        <v>41730.0</v>
      </c>
      <c r="G364" t="str">
        <f>CHOOSE(WEEKDAY(A364,2),"Mon","Tue","Wed","Thu","Fri","Sat","Sun")</f>
        <v>Wed</v>
      </c>
      <c r="H364" t="str">
        <f>IF(WEEKDAY(A364,2)&gt;5,"Weekend","Weekday")</f>
        <v>Weekday</v>
      </c>
      <c r="I364" t="str">
        <f>_xlfn.IFS(B364&lt;=5,"Night (0-5)",B364&lt;=9,"Morning peak (6-9)",B364&lt;=15,"Midday (10-15)",B364&lt;=19,"Evening peak (16-19)",TRUE,"Late evening (20-23)")</f>
        <v>Night (0-5)</v>
      </c>
    </row>
    <row r="365" spans="1:9">
      <c r="A365" s="32">
        <v>41745</v>
      </c>
      <c r="B365">
        <v>3</v>
      </c>
      <c r="C365">
        <v>122</v>
      </c>
      <c r="D365" t="s">
        <v>303</v>
      </c>
      <c r="E365">
        <f>YEAR(A365)</f>
        <v>2014</v>
      </c>
      <c r="F365" s="33">
        <f>DATE(YEAR(A365),MONTH(A365),1)</f>
        <v>41730.0</v>
      </c>
      <c r="G365" t="str">
        <f>CHOOSE(WEEKDAY(A365,2),"Mon","Tue","Wed","Thu","Fri","Sat","Sun")</f>
        <v>Wed</v>
      </c>
      <c r="H365" t="str">
        <f>IF(WEEKDAY(A365,2)&gt;5,"Weekend","Weekday")</f>
        <v>Weekday</v>
      </c>
      <c r="I365" t="str">
        <f>_xlfn.IFS(B365&lt;=5,"Night (0-5)",B365&lt;=9,"Morning peak (6-9)",B365&lt;=15,"Midday (10-15)",B365&lt;=19,"Evening peak (16-19)",TRUE,"Late evening (20-23)")</f>
        <v>Night (0-5)</v>
      </c>
    </row>
    <row r="366" spans="1:9">
      <c r="A366" s="32">
        <v>41745</v>
      </c>
      <c r="B366">
        <v>4</v>
      </c>
      <c r="C366">
        <v>168</v>
      </c>
      <c r="D366" t="s">
        <v>303</v>
      </c>
      <c r="E366">
        <f>YEAR(A366)</f>
        <v>2014</v>
      </c>
      <c r="F366" s="33">
        <f>DATE(YEAR(A366),MONTH(A366),1)</f>
        <v>41730.0</v>
      </c>
      <c r="G366" t="str">
        <f>CHOOSE(WEEKDAY(A366,2),"Mon","Tue","Wed","Thu","Fri","Sat","Sun")</f>
        <v>Wed</v>
      </c>
      <c r="H366" t="str">
        <f>IF(WEEKDAY(A366,2)&gt;5,"Weekend","Weekday")</f>
        <v>Weekday</v>
      </c>
      <c r="I366" t="str">
        <f>_xlfn.IFS(B366&lt;=5,"Night (0-5)",B366&lt;=9,"Morning peak (6-9)",B366&lt;=15,"Midday (10-15)",B366&lt;=19,"Evening peak (16-19)",TRUE,"Late evening (20-23)")</f>
        <v>Night (0-5)</v>
      </c>
    </row>
    <row r="367" spans="1:9">
      <c r="A367" s="32">
        <v>41745</v>
      </c>
      <c r="B367">
        <v>5</v>
      </c>
      <c r="C367">
        <v>330</v>
      </c>
      <c r="D367" t="s">
        <v>303</v>
      </c>
      <c r="E367">
        <f>YEAR(A367)</f>
        <v>2014</v>
      </c>
      <c r="F367" s="33">
        <f>DATE(YEAR(A367),MONTH(A367),1)</f>
        <v>41730.0</v>
      </c>
      <c r="G367" t="str">
        <f>CHOOSE(WEEKDAY(A367,2),"Mon","Tue","Wed","Thu","Fri","Sat","Sun")</f>
        <v>Wed</v>
      </c>
      <c r="H367" t="str">
        <f>IF(WEEKDAY(A367,2)&gt;5,"Weekend","Weekday")</f>
        <v>Weekday</v>
      </c>
      <c r="I367" t="str">
        <f>_xlfn.IFS(B367&lt;=5,"Night (0-5)",B367&lt;=9,"Morning peak (6-9)",B367&lt;=15,"Midday (10-15)",B367&lt;=19,"Evening peak (16-19)",TRUE,"Late evening (20-23)")</f>
        <v>Night (0-5)</v>
      </c>
    </row>
    <row r="368" spans="1:9">
      <c r="A368" s="32">
        <v>41745</v>
      </c>
      <c r="B368">
        <v>6</v>
      </c>
      <c r="C368">
        <v>695</v>
      </c>
      <c r="D368" t="s">
        <v>303</v>
      </c>
      <c r="E368">
        <f>YEAR(A368)</f>
        <v>2014</v>
      </c>
      <c r="F368" s="33">
        <f>DATE(YEAR(A368),MONTH(A368),1)</f>
        <v>41730.0</v>
      </c>
      <c r="G368" t="str">
        <f>CHOOSE(WEEKDAY(A368,2),"Mon","Tue","Wed","Thu","Fri","Sat","Sun")</f>
        <v>Wed</v>
      </c>
      <c r="H368" t="str">
        <f>IF(WEEKDAY(A368,2)&gt;5,"Weekend","Weekday")</f>
        <v>Weekday</v>
      </c>
      <c r="I368" t="str">
        <f>_xlfn.IFS(B368&lt;=5,"Night (0-5)",B368&lt;=9,"Morning peak (6-9)",B368&lt;=15,"Midday (10-15)",B368&lt;=19,"Evening peak (16-19)",TRUE,"Late evening (20-23)")</f>
        <v>Morning peak (6-9)</v>
      </c>
    </row>
    <row r="369" spans="1:9">
      <c r="A369" s="32">
        <v>41745</v>
      </c>
      <c r="B369">
        <v>7</v>
      </c>
      <c r="C369">
        <v>938</v>
      </c>
      <c r="D369" t="s">
        <v>303</v>
      </c>
      <c r="E369">
        <f>YEAR(A369)</f>
        <v>2014</v>
      </c>
      <c r="F369" s="33">
        <f>DATE(YEAR(A369),MONTH(A369),1)</f>
        <v>41730.0</v>
      </c>
      <c r="G369" t="str">
        <f>CHOOSE(WEEKDAY(A369,2),"Mon","Tue","Wed","Thu","Fri","Sat","Sun")</f>
        <v>Wed</v>
      </c>
      <c r="H369" t="str">
        <f>IF(WEEKDAY(A369,2)&gt;5,"Weekend","Weekday")</f>
        <v>Weekday</v>
      </c>
      <c r="I369" t="str">
        <f>_xlfn.IFS(B369&lt;=5,"Night (0-5)",B369&lt;=9,"Morning peak (6-9)",B369&lt;=15,"Midday (10-15)",B369&lt;=19,"Evening peak (16-19)",TRUE,"Late evening (20-23)")</f>
        <v>Morning peak (6-9)</v>
      </c>
    </row>
    <row r="370" spans="1:9">
      <c r="A370" s="32">
        <v>41745</v>
      </c>
      <c r="B370">
        <v>8</v>
      </c>
      <c r="C370">
        <v>904</v>
      </c>
      <c r="D370" t="s">
        <v>303</v>
      </c>
      <c r="E370">
        <f>YEAR(A370)</f>
        <v>2014</v>
      </c>
      <c r="F370" s="33">
        <f>DATE(YEAR(A370),MONTH(A370),1)</f>
        <v>41730.0</v>
      </c>
      <c r="G370" t="str">
        <f>CHOOSE(WEEKDAY(A370,2),"Mon","Tue","Wed","Thu","Fri","Sat","Sun")</f>
        <v>Wed</v>
      </c>
      <c r="H370" t="str">
        <f>IF(WEEKDAY(A370,2)&gt;5,"Weekend","Weekday")</f>
        <v>Weekday</v>
      </c>
      <c r="I370" t="str">
        <f>_xlfn.IFS(B370&lt;=5,"Night (0-5)",B370&lt;=9,"Morning peak (6-9)",B370&lt;=15,"Midday (10-15)",B370&lt;=19,"Evening peak (16-19)",TRUE,"Late evening (20-23)")</f>
        <v>Morning peak (6-9)</v>
      </c>
    </row>
    <row r="371" spans="1:9">
      <c r="A371" s="32">
        <v>41745</v>
      </c>
      <c r="B371">
        <v>9</v>
      </c>
      <c r="C371">
        <v>646</v>
      </c>
      <c r="D371" t="s">
        <v>303</v>
      </c>
      <c r="E371">
        <f>YEAR(A371)</f>
        <v>2014</v>
      </c>
      <c r="F371" s="33">
        <f>DATE(YEAR(A371),MONTH(A371),1)</f>
        <v>41730.0</v>
      </c>
      <c r="G371" t="str">
        <f>CHOOSE(WEEKDAY(A371,2),"Mon","Tue","Wed","Thu","Fri","Sat","Sun")</f>
        <v>Wed</v>
      </c>
      <c r="H371" t="str">
        <f>IF(WEEKDAY(A371,2)&gt;5,"Weekend","Weekday")</f>
        <v>Weekday</v>
      </c>
      <c r="I371" t="str">
        <f>_xlfn.IFS(B371&lt;=5,"Night (0-5)",B371&lt;=9,"Morning peak (6-9)",B371&lt;=15,"Midday (10-15)",B371&lt;=19,"Evening peak (16-19)",TRUE,"Late evening (20-23)")</f>
        <v>Morning peak (6-9)</v>
      </c>
    </row>
    <row r="372" spans="1:9">
      <c r="A372" s="32">
        <v>41745</v>
      </c>
      <c r="B372">
        <v>10</v>
      </c>
      <c r="C372">
        <v>557</v>
      </c>
      <c r="D372" t="s">
        <v>303</v>
      </c>
      <c r="E372">
        <f>YEAR(A372)</f>
        <v>2014</v>
      </c>
      <c r="F372" s="33">
        <f>DATE(YEAR(A372),MONTH(A372),1)</f>
        <v>41730.0</v>
      </c>
      <c r="G372" t="str">
        <f>CHOOSE(WEEKDAY(A372,2),"Mon","Tue","Wed","Thu","Fri","Sat","Sun")</f>
        <v>Wed</v>
      </c>
      <c r="H372" t="str">
        <f>IF(WEEKDAY(A372,2)&gt;5,"Weekend","Weekday")</f>
        <v>Weekday</v>
      </c>
      <c r="I372" t="str">
        <f>_xlfn.IFS(B372&lt;=5,"Night (0-5)",B372&lt;=9,"Morning peak (6-9)",B372&lt;=15,"Midday (10-15)",B372&lt;=19,"Evening peak (16-19)",TRUE,"Late evening (20-23)")</f>
        <v>Midday (10-15)</v>
      </c>
    </row>
    <row r="373" spans="1:9">
      <c r="A373" s="32">
        <v>41745</v>
      </c>
      <c r="B373">
        <v>11</v>
      </c>
      <c r="C373">
        <v>583</v>
      </c>
      <c r="D373" t="s">
        <v>303</v>
      </c>
      <c r="E373">
        <f>YEAR(A373)</f>
        <v>2014</v>
      </c>
      <c r="F373" s="33">
        <f>DATE(YEAR(A373),MONTH(A373),1)</f>
        <v>41730.0</v>
      </c>
      <c r="G373" t="str">
        <f>CHOOSE(WEEKDAY(A373,2),"Mon","Tue","Wed","Thu","Fri","Sat","Sun")</f>
        <v>Wed</v>
      </c>
      <c r="H373" t="str">
        <f>IF(WEEKDAY(A373,2)&gt;5,"Weekend","Weekday")</f>
        <v>Weekday</v>
      </c>
      <c r="I373" t="str">
        <f>_xlfn.IFS(B373&lt;=5,"Night (0-5)",B373&lt;=9,"Morning peak (6-9)",B373&lt;=15,"Midday (10-15)",B373&lt;=19,"Evening peak (16-19)",TRUE,"Late evening (20-23)")</f>
        <v>Midday (10-15)</v>
      </c>
    </row>
    <row r="374" spans="1:9">
      <c r="A374" s="32">
        <v>41745</v>
      </c>
      <c r="B374">
        <v>12</v>
      </c>
      <c r="C374">
        <v>589</v>
      </c>
      <c r="D374" t="s">
        <v>303</v>
      </c>
      <c r="E374">
        <f>YEAR(A374)</f>
        <v>2014</v>
      </c>
      <c r="F374" s="33">
        <f>DATE(YEAR(A374),MONTH(A374),1)</f>
        <v>41730.0</v>
      </c>
      <c r="G374" t="str">
        <f>CHOOSE(WEEKDAY(A374,2),"Mon","Tue","Wed","Thu","Fri","Sat","Sun")</f>
        <v>Wed</v>
      </c>
      <c r="H374" t="str">
        <f>IF(WEEKDAY(A374,2)&gt;5,"Weekend","Weekday")</f>
        <v>Weekday</v>
      </c>
      <c r="I374" t="str">
        <f>_xlfn.IFS(B374&lt;=5,"Night (0-5)",B374&lt;=9,"Morning peak (6-9)",B374&lt;=15,"Midday (10-15)",B374&lt;=19,"Evening peak (16-19)",TRUE,"Late evening (20-23)")</f>
        <v>Midday (10-15)</v>
      </c>
    </row>
    <row r="375" spans="1:9">
      <c r="A375" s="32">
        <v>41745</v>
      </c>
      <c r="B375">
        <v>13</v>
      </c>
      <c r="C375">
        <v>675</v>
      </c>
      <c r="D375" t="s">
        <v>303</v>
      </c>
      <c r="E375">
        <f>YEAR(A375)</f>
        <v>2014</v>
      </c>
      <c r="F375" s="33">
        <f>DATE(YEAR(A375),MONTH(A375),1)</f>
        <v>41730.0</v>
      </c>
      <c r="G375" t="str">
        <f>CHOOSE(WEEKDAY(A375,2),"Mon","Tue","Wed","Thu","Fri","Sat","Sun")</f>
        <v>Wed</v>
      </c>
      <c r="H375" t="str">
        <f>IF(WEEKDAY(A375,2)&gt;5,"Weekend","Weekday")</f>
        <v>Weekday</v>
      </c>
      <c r="I375" t="str">
        <f>_xlfn.IFS(B375&lt;=5,"Night (0-5)",B375&lt;=9,"Morning peak (6-9)",B375&lt;=15,"Midday (10-15)",B375&lt;=19,"Evening peak (16-19)",TRUE,"Late evening (20-23)")</f>
        <v>Midday (10-15)</v>
      </c>
    </row>
    <row r="376" spans="1:9">
      <c r="A376" s="32">
        <v>41745</v>
      </c>
      <c r="B376">
        <v>14</v>
      </c>
      <c r="C376">
        <v>843</v>
      </c>
      <c r="D376" t="s">
        <v>303</v>
      </c>
      <c r="E376">
        <f>YEAR(A376)</f>
        <v>2014</v>
      </c>
      <c r="F376" s="33">
        <f>DATE(YEAR(A376),MONTH(A376),1)</f>
        <v>41730.0</v>
      </c>
      <c r="G376" t="str">
        <f>CHOOSE(WEEKDAY(A376,2),"Mon","Tue","Wed","Thu","Fri","Sat","Sun")</f>
        <v>Wed</v>
      </c>
      <c r="H376" t="str">
        <f>IF(WEEKDAY(A376,2)&gt;5,"Weekend","Weekday")</f>
        <v>Weekday</v>
      </c>
      <c r="I376" t="str">
        <f>_xlfn.IFS(B376&lt;=5,"Night (0-5)",B376&lt;=9,"Morning peak (6-9)",B376&lt;=15,"Midday (10-15)",B376&lt;=19,"Evening peak (16-19)",TRUE,"Late evening (20-23)")</f>
        <v>Midday (10-15)</v>
      </c>
    </row>
    <row r="377" spans="1:9">
      <c r="A377" s="32">
        <v>41745</v>
      </c>
      <c r="B377">
        <v>15</v>
      </c>
      <c r="C377">
        <v>1127</v>
      </c>
      <c r="D377" t="s">
        <v>303</v>
      </c>
      <c r="E377">
        <f>YEAR(A377)</f>
        <v>2014</v>
      </c>
      <c r="F377" s="33">
        <f>DATE(YEAR(A377),MONTH(A377),1)</f>
        <v>41730.0</v>
      </c>
      <c r="G377" t="str">
        <f>CHOOSE(WEEKDAY(A377,2),"Mon","Tue","Wed","Thu","Fri","Sat","Sun")</f>
        <v>Wed</v>
      </c>
      <c r="H377" t="str">
        <f>IF(WEEKDAY(A377,2)&gt;5,"Weekend","Weekday")</f>
        <v>Weekday</v>
      </c>
      <c r="I377" t="str">
        <f>_xlfn.IFS(B377&lt;=5,"Night (0-5)",B377&lt;=9,"Morning peak (6-9)",B377&lt;=15,"Midday (10-15)",B377&lt;=19,"Evening peak (16-19)",TRUE,"Late evening (20-23)")</f>
        <v>Midday (10-15)</v>
      </c>
    </row>
    <row r="378" spans="1:9">
      <c r="A378" s="32">
        <v>41745</v>
      </c>
      <c r="B378">
        <v>16</v>
      </c>
      <c r="C378">
        <v>1418</v>
      </c>
      <c r="D378" t="s">
        <v>303</v>
      </c>
      <c r="E378">
        <f>YEAR(A378)</f>
        <v>2014</v>
      </c>
      <c r="F378" s="33">
        <f>DATE(YEAR(A378),MONTH(A378),1)</f>
        <v>41730.0</v>
      </c>
      <c r="G378" t="str">
        <f>CHOOSE(WEEKDAY(A378,2),"Mon","Tue","Wed","Thu","Fri","Sat","Sun")</f>
        <v>Wed</v>
      </c>
      <c r="H378" t="str">
        <f>IF(WEEKDAY(A378,2)&gt;5,"Weekend","Weekday")</f>
        <v>Weekday</v>
      </c>
      <c r="I378" t="str">
        <f>_xlfn.IFS(B378&lt;=5,"Night (0-5)",B378&lt;=9,"Morning peak (6-9)",B378&lt;=15,"Midday (10-15)",B378&lt;=19,"Evening peak (16-19)",TRUE,"Late evening (20-23)")</f>
        <v>Evening peak (16-19)</v>
      </c>
    </row>
    <row r="379" spans="1:9">
      <c r="A379" s="32">
        <v>41745</v>
      </c>
      <c r="B379">
        <v>17</v>
      </c>
      <c r="C379">
        <v>1514</v>
      </c>
      <c r="D379" t="s">
        <v>303</v>
      </c>
      <c r="E379">
        <f>YEAR(A379)</f>
        <v>2014</v>
      </c>
      <c r="F379" s="33">
        <f>DATE(YEAR(A379),MONTH(A379),1)</f>
        <v>41730.0</v>
      </c>
      <c r="G379" t="str">
        <f>CHOOSE(WEEKDAY(A379,2),"Mon","Tue","Wed","Thu","Fri","Sat","Sun")</f>
        <v>Wed</v>
      </c>
      <c r="H379" t="str">
        <f>IF(WEEKDAY(A379,2)&gt;5,"Weekend","Weekday")</f>
        <v>Weekday</v>
      </c>
      <c r="I379" t="str">
        <f>_xlfn.IFS(B379&lt;=5,"Night (0-5)",B379&lt;=9,"Morning peak (6-9)",B379&lt;=15,"Midday (10-15)",B379&lt;=19,"Evening peak (16-19)",TRUE,"Late evening (20-23)")</f>
        <v>Evening peak (16-19)</v>
      </c>
    </row>
    <row r="380" spans="1:9">
      <c r="A380" s="32">
        <v>41745</v>
      </c>
      <c r="B380">
        <v>18</v>
      </c>
      <c r="C380">
        <v>1310</v>
      </c>
      <c r="D380" t="s">
        <v>303</v>
      </c>
      <c r="E380">
        <f>YEAR(A380)</f>
        <v>2014</v>
      </c>
      <c r="F380" s="33">
        <f>DATE(YEAR(A380),MONTH(A380),1)</f>
        <v>41730.0</v>
      </c>
      <c r="G380" t="str">
        <f>CHOOSE(WEEKDAY(A380,2),"Mon","Tue","Wed","Thu","Fri","Sat","Sun")</f>
        <v>Wed</v>
      </c>
      <c r="H380" t="str">
        <f>IF(WEEKDAY(A380,2)&gt;5,"Weekend","Weekday")</f>
        <v>Weekday</v>
      </c>
      <c r="I380" t="str">
        <f>_xlfn.IFS(B380&lt;=5,"Night (0-5)",B380&lt;=9,"Morning peak (6-9)",B380&lt;=15,"Midday (10-15)",B380&lt;=19,"Evening peak (16-19)",TRUE,"Late evening (20-23)")</f>
        <v>Evening peak (16-19)</v>
      </c>
    </row>
    <row r="381" spans="1:9">
      <c r="A381" s="32">
        <v>41745</v>
      </c>
      <c r="B381">
        <v>19</v>
      </c>
      <c r="C381">
        <v>1187</v>
      </c>
      <c r="D381" t="s">
        <v>303</v>
      </c>
      <c r="E381">
        <f>YEAR(A381)</f>
        <v>2014</v>
      </c>
      <c r="F381" s="33">
        <f>DATE(YEAR(A381),MONTH(A381),1)</f>
        <v>41730.0</v>
      </c>
      <c r="G381" t="str">
        <f>CHOOSE(WEEKDAY(A381,2),"Mon","Tue","Wed","Thu","Fri","Sat","Sun")</f>
        <v>Wed</v>
      </c>
      <c r="H381" t="str">
        <f>IF(WEEKDAY(A381,2)&gt;5,"Weekend","Weekday")</f>
        <v>Weekday</v>
      </c>
      <c r="I381" t="str">
        <f>_xlfn.IFS(B381&lt;=5,"Night (0-5)",B381&lt;=9,"Morning peak (6-9)",B381&lt;=15,"Midday (10-15)",B381&lt;=19,"Evening peak (16-19)",TRUE,"Late evening (20-23)")</f>
        <v>Evening peak (16-19)</v>
      </c>
    </row>
    <row r="382" spans="1:9">
      <c r="A382" s="32">
        <v>41745</v>
      </c>
      <c r="B382">
        <v>20</v>
      </c>
      <c r="C382">
        <v>1220</v>
      </c>
      <c r="D382" t="s">
        <v>303</v>
      </c>
      <c r="E382">
        <f>YEAR(A382)</f>
        <v>2014</v>
      </c>
      <c r="F382" s="33">
        <f>DATE(YEAR(A382),MONTH(A382),1)</f>
        <v>41730.0</v>
      </c>
      <c r="G382" t="str">
        <f>CHOOSE(WEEKDAY(A382,2),"Mon","Tue","Wed","Thu","Fri","Sat","Sun")</f>
        <v>Wed</v>
      </c>
      <c r="H382" t="str">
        <f>IF(WEEKDAY(A382,2)&gt;5,"Weekend","Weekday")</f>
        <v>Weekday</v>
      </c>
      <c r="I382" t="str">
        <f>_xlfn.IFS(B382&lt;=5,"Night (0-5)",B382&lt;=9,"Morning peak (6-9)",B382&lt;=15,"Midday (10-15)",B382&lt;=19,"Evening peak (16-19)",TRUE,"Late evening (20-23)")</f>
        <v>Late evening (20-23)</v>
      </c>
    </row>
    <row r="383" spans="1:9">
      <c r="A383" s="32">
        <v>41745</v>
      </c>
      <c r="B383">
        <v>21</v>
      </c>
      <c r="C383">
        <v>1238</v>
      </c>
      <c r="D383" t="s">
        <v>303</v>
      </c>
      <c r="E383">
        <f>YEAR(A383)</f>
        <v>2014</v>
      </c>
      <c r="F383" s="33">
        <f>DATE(YEAR(A383),MONTH(A383),1)</f>
        <v>41730.0</v>
      </c>
      <c r="G383" t="str">
        <f>CHOOSE(WEEKDAY(A383,2),"Mon","Tue","Wed","Thu","Fri","Sat","Sun")</f>
        <v>Wed</v>
      </c>
      <c r="H383" t="str">
        <f>IF(WEEKDAY(A383,2)&gt;5,"Weekend","Weekday")</f>
        <v>Weekday</v>
      </c>
      <c r="I383" t="str">
        <f>_xlfn.IFS(B383&lt;=5,"Night (0-5)",B383&lt;=9,"Morning peak (6-9)",B383&lt;=15,"Midday (10-15)",B383&lt;=19,"Evening peak (16-19)",TRUE,"Late evening (20-23)")</f>
        <v>Late evening (20-23)</v>
      </c>
    </row>
    <row r="384" spans="1:9">
      <c r="A384" s="32">
        <v>41745</v>
      </c>
      <c r="B384">
        <v>22</v>
      </c>
      <c r="C384">
        <v>778</v>
      </c>
      <c r="D384" t="s">
        <v>303</v>
      </c>
      <c r="E384">
        <f>YEAR(A384)</f>
        <v>2014</v>
      </c>
      <c r="F384" s="33">
        <f>DATE(YEAR(A384),MONTH(A384),1)</f>
        <v>41730.0</v>
      </c>
      <c r="G384" t="str">
        <f>CHOOSE(WEEKDAY(A384,2),"Mon","Tue","Wed","Thu","Fri","Sat","Sun")</f>
        <v>Wed</v>
      </c>
      <c r="H384" t="str">
        <f>IF(WEEKDAY(A384,2)&gt;5,"Weekend","Weekday")</f>
        <v>Weekday</v>
      </c>
      <c r="I384" t="str">
        <f>_xlfn.IFS(B384&lt;=5,"Night (0-5)",B384&lt;=9,"Morning peak (6-9)",B384&lt;=15,"Midday (10-15)",B384&lt;=19,"Evening peak (16-19)",TRUE,"Late evening (20-23)")</f>
        <v>Late evening (20-23)</v>
      </c>
    </row>
    <row r="385" spans="1:9">
      <c r="A385" s="32">
        <v>41745</v>
      </c>
      <c r="B385">
        <v>23</v>
      </c>
      <c r="C385">
        <v>490</v>
      </c>
      <c r="D385" t="s">
        <v>303</v>
      </c>
      <c r="E385">
        <f>YEAR(A385)</f>
        <v>2014</v>
      </c>
      <c r="F385" s="33">
        <f>DATE(YEAR(A385),MONTH(A385),1)</f>
        <v>41730.0</v>
      </c>
      <c r="G385" t="str">
        <f>CHOOSE(WEEKDAY(A385,2),"Mon","Tue","Wed","Thu","Fri","Sat","Sun")</f>
        <v>Wed</v>
      </c>
      <c r="H385" t="str">
        <f>IF(WEEKDAY(A385,2)&gt;5,"Weekend","Weekday")</f>
        <v>Weekday</v>
      </c>
      <c r="I385" t="str">
        <f>_xlfn.IFS(B385&lt;=5,"Night (0-5)",B385&lt;=9,"Morning peak (6-9)",B385&lt;=15,"Midday (10-15)",B385&lt;=19,"Evening peak (16-19)",TRUE,"Late evening (20-23)")</f>
        <v>Late evening (20-23)</v>
      </c>
    </row>
    <row r="386" spans="1:9">
      <c r="A386" s="32">
        <v>41746</v>
      </c>
      <c r="B386">
        <v>0</v>
      </c>
      <c r="C386">
        <v>227</v>
      </c>
      <c r="D386" t="s">
        <v>303</v>
      </c>
      <c r="E386">
        <f>YEAR(A386)</f>
        <v>2014</v>
      </c>
      <c r="F386" s="33">
        <f>DATE(YEAR(A386),MONTH(A386),1)</f>
        <v>41730.0</v>
      </c>
      <c r="G386" t="str">
        <f>CHOOSE(WEEKDAY(A386,2),"Mon","Tue","Wed","Thu","Fri","Sat","Sun")</f>
        <v>Thu</v>
      </c>
      <c r="H386" t="str">
        <f>IF(WEEKDAY(A386,2)&gt;5,"Weekend","Weekday")</f>
        <v>Weekday</v>
      </c>
      <c r="I386" t="str">
        <f>_xlfn.IFS(B386&lt;=5,"Night (0-5)",B386&lt;=9,"Morning peak (6-9)",B386&lt;=15,"Midday (10-15)",B386&lt;=19,"Evening peak (16-19)",TRUE,"Late evening (20-23)")</f>
        <v>Night (0-5)</v>
      </c>
    </row>
    <row r="387" spans="1:9">
      <c r="A387" s="32">
        <v>41746</v>
      </c>
      <c r="B387">
        <v>1</v>
      </c>
      <c r="C387">
        <v>108</v>
      </c>
      <c r="D387" t="s">
        <v>303</v>
      </c>
      <c r="E387">
        <f>YEAR(A387)</f>
        <v>2014</v>
      </c>
      <c r="F387" s="33">
        <f>DATE(YEAR(A387),MONTH(A387),1)</f>
        <v>41730.0</v>
      </c>
      <c r="G387" t="str">
        <f>CHOOSE(WEEKDAY(A387,2),"Mon","Tue","Wed","Thu","Fri","Sat","Sun")</f>
        <v>Thu</v>
      </c>
      <c r="H387" t="str">
        <f>IF(WEEKDAY(A387,2)&gt;5,"Weekend","Weekday")</f>
        <v>Weekday</v>
      </c>
      <c r="I387" t="str">
        <f>_xlfn.IFS(B387&lt;=5,"Night (0-5)",B387&lt;=9,"Morning peak (6-9)",B387&lt;=15,"Midday (10-15)",B387&lt;=19,"Evening peak (16-19)",TRUE,"Late evening (20-23)")</f>
        <v>Night (0-5)</v>
      </c>
    </row>
    <row r="388" spans="1:9">
      <c r="A388" s="32">
        <v>41746</v>
      </c>
      <c r="B388">
        <v>2</v>
      </c>
      <c r="C388">
        <v>101</v>
      </c>
      <c r="D388" t="s">
        <v>303</v>
      </c>
      <c r="E388">
        <f>YEAR(A388)</f>
        <v>2014</v>
      </c>
      <c r="F388" s="33">
        <f>DATE(YEAR(A388),MONTH(A388),1)</f>
        <v>41730.0</v>
      </c>
      <c r="G388" t="str">
        <f>CHOOSE(WEEKDAY(A388,2),"Mon","Tue","Wed","Thu","Fri","Sat","Sun")</f>
        <v>Thu</v>
      </c>
      <c r="H388" t="str">
        <f>IF(WEEKDAY(A388,2)&gt;5,"Weekend","Weekday")</f>
        <v>Weekday</v>
      </c>
      <c r="I388" t="str">
        <f>_xlfn.IFS(B388&lt;=5,"Night (0-5)",B388&lt;=9,"Morning peak (6-9)",B388&lt;=15,"Midday (10-15)",B388&lt;=19,"Evening peak (16-19)",TRUE,"Late evening (20-23)")</f>
        <v>Night (0-5)</v>
      </c>
    </row>
    <row r="389" spans="1:9">
      <c r="A389" s="32">
        <v>41746</v>
      </c>
      <c r="B389">
        <v>3</v>
      </c>
      <c r="C389">
        <v>131</v>
      </c>
      <c r="D389" t="s">
        <v>303</v>
      </c>
      <c r="E389">
        <f>YEAR(A389)</f>
        <v>2014</v>
      </c>
      <c r="F389" s="33">
        <f>DATE(YEAR(A389),MONTH(A389),1)</f>
        <v>41730.0</v>
      </c>
      <c r="G389" t="str">
        <f>CHOOSE(WEEKDAY(A389,2),"Mon","Tue","Wed","Thu","Fri","Sat","Sun")</f>
        <v>Thu</v>
      </c>
      <c r="H389" t="str">
        <f>IF(WEEKDAY(A389,2)&gt;5,"Weekend","Weekday")</f>
        <v>Weekday</v>
      </c>
      <c r="I389" t="str">
        <f>_xlfn.IFS(B389&lt;=5,"Night (0-5)",B389&lt;=9,"Morning peak (6-9)",B389&lt;=15,"Midday (10-15)",B389&lt;=19,"Evening peak (16-19)",TRUE,"Late evening (20-23)")</f>
        <v>Night (0-5)</v>
      </c>
    </row>
    <row r="390" spans="1:9">
      <c r="A390" s="32">
        <v>41746</v>
      </c>
      <c r="B390">
        <v>4</v>
      </c>
      <c r="C390">
        <v>210</v>
      </c>
      <c r="D390" t="s">
        <v>303</v>
      </c>
      <c r="E390">
        <f>YEAR(A390)</f>
        <v>2014</v>
      </c>
      <c r="F390" s="33">
        <f>DATE(YEAR(A390),MONTH(A390),1)</f>
        <v>41730.0</v>
      </c>
      <c r="G390" t="str">
        <f>CHOOSE(WEEKDAY(A390,2),"Mon","Tue","Wed","Thu","Fri","Sat","Sun")</f>
        <v>Thu</v>
      </c>
      <c r="H390" t="str">
        <f>IF(WEEKDAY(A390,2)&gt;5,"Weekend","Weekday")</f>
        <v>Weekday</v>
      </c>
      <c r="I390" t="str">
        <f>_xlfn.IFS(B390&lt;=5,"Night (0-5)",B390&lt;=9,"Morning peak (6-9)",B390&lt;=15,"Midday (10-15)",B390&lt;=19,"Evening peak (16-19)",TRUE,"Late evening (20-23)")</f>
        <v>Night (0-5)</v>
      </c>
    </row>
    <row r="391" spans="1:9">
      <c r="A391" s="32">
        <v>41746</v>
      </c>
      <c r="B391">
        <v>5</v>
      </c>
      <c r="C391">
        <v>347</v>
      </c>
      <c r="D391" t="s">
        <v>303</v>
      </c>
      <c r="E391">
        <f>YEAR(A391)</f>
        <v>2014</v>
      </c>
      <c r="F391" s="33">
        <f>DATE(YEAR(A391),MONTH(A391),1)</f>
        <v>41730.0</v>
      </c>
      <c r="G391" t="str">
        <f>CHOOSE(WEEKDAY(A391,2),"Mon","Tue","Wed","Thu","Fri","Sat","Sun")</f>
        <v>Thu</v>
      </c>
      <c r="H391" t="str">
        <f>IF(WEEKDAY(A391,2)&gt;5,"Weekend","Weekday")</f>
        <v>Weekday</v>
      </c>
      <c r="I391" t="str">
        <f>_xlfn.IFS(B391&lt;=5,"Night (0-5)",B391&lt;=9,"Morning peak (6-9)",B391&lt;=15,"Midday (10-15)",B391&lt;=19,"Evening peak (16-19)",TRUE,"Late evening (20-23)")</f>
        <v>Night (0-5)</v>
      </c>
    </row>
    <row r="392" spans="1:9">
      <c r="A392" s="32">
        <v>41746</v>
      </c>
      <c r="B392">
        <v>6</v>
      </c>
      <c r="C392">
        <v>766</v>
      </c>
      <c r="D392" t="s">
        <v>303</v>
      </c>
      <c r="E392">
        <f>YEAR(A392)</f>
        <v>2014</v>
      </c>
      <c r="F392" s="33">
        <f>DATE(YEAR(A392),MONTH(A392),1)</f>
        <v>41730.0</v>
      </c>
      <c r="G392" t="str">
        <f>CHOOSE(WEEKDAY(A392,2),"Mon","Tue","Wed","Thu","Fri","Sat","Sun")</f>
        <v>Thu</v>
      </c>
      <c r="H392" t="str">
        <f>IF(WEEKDAY(A392,2)&gt;5,"Weekend","Weekday")</f>
        <v>Weekday</v>
      </c>
      <c r="I392" t="str">
        <f>_xlfn.IFS(B392&lt;=5,"Night (0-5)",B392&lt;=9,"Morning peak (6-9)",B392&lt;=15,"Midday (10-15)",B392&lt;=19,"Evening peak (16-19)",TRUE,"Late evening (20-23)")</f>
        <v>Morning peak (6-9)</v>
      </c>
    </row>
    <row r="393" spans="1:9">
      <c r="A393" s="32">
        <v>41746</v>
      </c>
      <c r="B393">
        <v>7</v>
      </c>
      <c r="C393">
        <v>1052</v>
      </c>
      <c r="D393" t="s">
        <v>303</v>
      </c>
      <c r="E393">
        <f>YEAR(A393)</f>
        <v>2014</v>
      </c>
      <c r="F393" s="33">
        <f>DATE(YEAR(A393),MONTH(A393),1)</f>
        <v>41730.0</v>
      </c>
      <c r="G393" t="str">
        <f>CHOOSE(WEEKDAY(A393,2),"Mon","Tue","Wed","Thu","Fri","Sat","Sun")</f>
        <v>Thu</v>
      </c>
      <c r="H393" t="str">
        <f>IF(WEEKDAY(A393,2)&gt;5,"Weekend","Weekday")</f>
        <v>Weekday</v>
      </c>
      <c r="I393" t="str">
        <f>_xlfn.IFS(B393&lt;=5,"Night (0-5)",B393&lt;=9,"Morning peak (6-9)",B393&lt;=15,"Midday (10-15)",B393&lt;=19,"Evening peak (16-19)",TRUE,"Late evening (20-23)")</f>
        <v>Morning peak (6-9)</v>
      </c>
    </row>
    <row r="394" spans="1:9">
      <c r="A394" s="32">
        <v>41746</v>
      </c>
      <c r="B394">
        <v>8</v>
      </c>
      <c r="C394">
        <v>898</v>
      </c>
      <c r="D394" t="s">
        <v>303</v>
      </c>
      <c r="E394">
        <f>YEAR(A394)</f>
        <v>2014</v>
      </c>
      <c r="F394" s="33">
        <f>DATE(YEAR(A394),MONTH(A394),1)</f>
        <v>41730.0</v>
      </c>
      <c r="G394" t="str">
        <f>CHOOSE(WEEKDAY(A394,2),"Mon","Tue","Wed","Thu","Fri","Sat","Sun")</f>
        <v>Thu</v>
      </c>
      <c r="H394" t="str">
        <f>IF(WEEKDAY(A394,2)&gt;5,"Weekend","Weekday")</f>
        <v>Weekday</v>
      </c>
      <c r="I394" t="str">
        <f>_xlfn.IFS(B394&lt;=5,"Night (0-5)",B394&lt;=9,"Morning peak (6-9)",B394&lt;=15,"Midday (10-15)",B394&lt;=19,"Evening peak (16-19)",TRUE,"Late evening (20-23)")</f>
        <v>Morning peak (6-9)</v>
      </c>
    </row>
    <row r="395" spans="1:9">
      <c r="A395" s="32">
        <v>41746</v>
      </c>
      <c r="B395">
        <v>9</v>
      </c>
      <c r="C395">
        <v>656</v>
      </c>
      <c r="D395" t="s">
        <v>303</v>
      </c>
      <c r="E395">
        <f>YEAR(A395)</f>
        <v>2014</v>
      </c>
      <c r="F395" s="33">
        <f>DATE(YEAR(A395),MONTH(A395),1)</f>
        <v>41730.0</v>
      </c>
      <c r="G395" t="str">
        <f>CHOOSE(WEEKDAY(A395,2),"Mon","Tue","Wed","Thu","Fri","Sat","Sun")</f>
        <v>Thu</v>
      </c>
      <c r="H395" t="str">
        <f>IF(WEEKDAY(A395,2)&gt;5,"Weekend","Weekday")</f>
        <v>Weekday</v>
      </c>
      <c r="I395" t="str">
        <f>_xlfn.IFS(B395&lt;=5,"Night (0-5)",B395&lt;=9,"Morning peak (6-9)",B395&lt;=15,"Midday (10-15)",B395&lt;=19,"Evening peak (16-19)",TRUE,"Late evening (20-23)")</f>
        <v>Morning peak (6-9)</v>
      </c>
    </row>
    <row r="396" spans="1:9">
      <c r="A396" s="32">
        <v>41746</v>
      </c>
      <c r="B396">
        <v>10</v>
      </c>
      <c r="C396">
        <v>611</v>
      </c>
      <c r="D396" t="s">
        <v>303</v>
      </c>
      <c r="E396">
        <f>YEAR(A396)</f>
        <v>2014</v>
      </c>
      <c r="F396" s="33">
        <f>DATE(YEAR(A396),MONTH(A396),1)</f>
        <v>41730.0</v>
      </c>
      <c r="G396" t="str">
        <f>CHOOSE(WEEKDAY(A396,2),"Mon","Tue","Wed","Thu","Fri","Sat","Sun")</f>
        <v>Thu</v>
      </c>
      <c r="H396" t="str">
        <f>IF(WEEKDAY(A396,2)&gt;5,"Weekend","Weekday")</f>
        <v>Weekday</v>
      </c>
      <c r="I396" t="str">
        <f>_xlfn.IFS(B396&lt;=5,"Night (0-5)",B396&lt;=9,"Morning peak (6-9)",B396&lt;=15,"Midday (10-15)",B396&lt;=19,"Evening peak (16-19)",TRUE,"Late evening (20-23)")</f>
        <v>Midday (10-15)</v>
      </c>
    </row>
    <row r="397" spans="1:9">
      <c r="A397" s="32">
        <v>41746</v>
      </c>
      <c r="B397">
        <v>11</v>
      </c>
      <c r="C397">
        <v>665</v>
      </c>
      <c r="D397" t="s">
        <v>303</v>
      </c>
      <c r="E397">
        <f>YEAR(A397)</f>
        <v>2014</v>
      </c>
      <c r="F397" s="33">
        <f>DATE(YEAR(A397),MONTH(A397),1)</f>
        <v>41730.0</v>
      </c>
      <c r="G397" t="str">
        <f>CHOOSE(WEEKDAY(A397,2),"Mon","Tue","Wed","Thu","Fri","Sat","Sun")</f>
        <v>Thu</v>
      </c>
      <c r="H397" t="str">
        <f>IF(WEEKDAY(A397,2)&gt;5,"Weekend","Weekday")</f>
        <v>Weekday</v>
      </c>
      <c r="I397" t="str">
        <f>_xlfn.IFS(B397&lt;=5,"Night (0-5)",B397&lt;=9,"Morning peak (6-9)",B397&lt;=15,"Midday (10-15)",B397&lt;=19,"Evening peak (16-19)",TRUE,"Late evening (20-23)")</f>
        <v>Midday (10-15)</v>
      </c>
    </row>
    <row r="398" spans="1:9">
      <c r="A398" s="32">
        <v>41746</v>
      </c>
      <c r="B398">
        <v>12</v>
      </c>
      <c r="C398">
        <v>706</v>
      </c>
      <c r="D398" t="s">
        <v>303</v>
      </c>
      <c r="E398">
        <f>YEAR(A398)</f>
        <v>2014</v>
      </c>
      <c r="F398" s="33">
        <f>DATE(YEAR(A398),MONTH(A398),1)</f>
        <v>41730.0</v>
      </c>
      <c r="G398" t="str">
        <f>CHOOSE(WEEKDAY(A398,2),"Mon","Tue","Wed","Thu","Fri","Sat","Sun")</f>
        <v>Thu</v>
      </c>
      <c r="H398" t="str">
        <f>IF(WEEKDAY(A398,2)&gt;5,"Weekend","Weekday")</f>
        <v>Weekday</v>
      </c>
      <c r="I398" t="str">
        <f>_xlfn.IFS(B398&lt;=5,"Night (0-5)",B398&lt;=9,"Morning peak (6-9)",B398&lt;=15,"Midday (10-15)",B398&lt;=19,"Evening peak (16-19)",TRUE,"Late evening (20-23)")</f>
        <v>Midday (10-15)</v>
      </c>
    </row>
    <row r="399" spans="1:9">
      <c r="A399" s="32">
        <v>41746</v>
      </c>
      <c r="B399">
        <v>13</v>
      </c>
      <c r="C399">
        <v>849</v>
      </c>
      <c r="D399" t="s">
        <v>303</v>
      </c>
      <c r="E399">
        <f>YEAR(A399)</f>
        <v>2014</v>
      </c>
      <c r="F399" s="33">
        <f>DATE(YEAR(A399),MONTH(A399),1)</f>
        <v>41730.0</v>
      </c>
      <c r="G399" t="str">
        <f>CHOOSE(WEEKDAY(A399,2),"Mon","Tue","Wed","Thu","Fri","Sat","Sun")</f>
        <v>Thu</v>
      </c>
      <c r="H399" t="str">
        <f>IF(WEEKDAY(A399,2)&gt;5,"Weekend","Weekday")</f>
        <v>Weekday</v>
      </c>
      <c r="I399" t="str">
        <f>_xlfn.IFS(B399&lt;=5,"Night (0-5)",B399&lt;=9,"Morning peak (6-9)",B399&lt;=15,"Midday (10-15)",B399&lt;=19,"Evening peak (16-19)",TRUE,"Late evening (20-23)")</f>
        <v>Midday (10-15)</v>
      </c>
    </row>
    <row r="400" spans="1:9">
      <c r="A400" s="32">
        <v>41746</v>
      </c>
      <c r="B400">
        <v>14</v>
      </c>
      <c r="C400">
        <v>983</v>
      </c>
      <c r="D400" t="s">
        <v>303</v>
      </c>
      <c r="E400">
        <f>YEAR(A400)</f>
        <v>2014</v>
      </c>
      <c r="F400" s="33">
        <f>DATE(YEAR(A400),MONTH(A400),1)</f>
        <v>41730.0</v>
      </c>
      <c r="G400" t="str">
        <f>CHOOSE(WEEKDAY(A400,2),"Mon","Tue","Wed","Thu","Fri","Sat","Sun")</f>
        <v>Thu</v>
      </c>
      <c r="H400" t="str">
        <f>IF(WEEKDAY(A400,2)&gt;5,"Weekend","Weekday")</f>
        <v>Weekday</v>
      </c>
      <c r="I400" t="str">
        <f>_xlfn.IFS(B400&lt;=5,"Night (0-5)",B400&lt;=9,"Morning peak (6-9)",B400&lt;=15,"Midday (10-15)",B400&lt;=19,"Evening peak (16-19)",TRUE,"Late evening (20-23)")</f>
        <v>Midday (10-15)</v>
      </c>
    </row>
    <row r="401" spans="1:9">
      <c r="A401" s="32">
        <v>41746</v>
      </c>
      <c r="B401">
        <v>15</v>
      </c>
      <c r="C401">
        <v>1179</v>
      </c>
      <c r="D401" t="s">
        <v>303</v>
      </c>
      <c r="E401">
        <f>YEAR(A401)</f>
        <v>2014</v>
      </c>
      <c r="F401" s="33">
        <f>DATE(YEAR(A401),MONTH(A401),1)</f>
        <v>41730.0</v>
      </c>
      <c r="G401" t="str">
        <f>CHOOSE(WEEKDAY(A401,2),"Mon","Tue","Wed","Thu","Fri","Sat","Sun")</f>
        <v>Thu</v>
      </c>
      <c r="H401" t="str">
        <f>IF(WEEKDAY(A401,2)&gt;5,"Weekend","Weekday")</f>
        <v>Weekday</v>
      </c>
      <c r="I401" t="str">
        <f>_xlfn.IFS(B401&lt;=5,"Night (0-5)",B401&lt;=9,"Morning peak (6-9)",B401&lt;=15,"Midday (10-15)",B401&lt;=19,"Evening peak (16-19)",TRUE,"Late evening (20-23)")</f>
        <v>Midday (10-15)</v>
      </c>
    </row>
    <row r="402" spans="1:9">
      <c r="A402" s="32">
        <v>41746</v>
      </c>
      <c r="B402">
        <v>16</v>
      </c>
      <c r="C402">
        <v>1478</v>
      </c>
      <c r="D402" t="s">
        <v>303</v>
      </c>
      <c r="E402">
        <f>YEAR(A402)</f>
        <v>2014</v>
      </c>
      <c r="F402" s="33">
        <f>DATE(YEAR(A402),MONTH(A402),1)</f>
        <v>41730.0</v>
      </c>
      <c r="G402" t="str">
        <f>CHOOSE(WEEKDAY(A402,2),"Mon","Tue","Wed","Thu","Fri","Sat","Sun")</f>
        <v>Thu</v>
      </c>
      <c r="H402" t="str">
        <f>IF(WEEKDAY(A402,2)&gt;5,"Weekend","Weekday")</f>
        <v>Weekday</v>
      </c>
      <c r="I402" t="str">
        <f>_xlfn.IFS(B402&lt;=5,"Night (0-5)",B402&lt;=9,"Morning peak (6-9)",B402&lt;=15,"Midday (10-15)",B402&lt;=19,"Evening peak (16-19)",TRUE,"Late evening (20-23)")</f>
        <v>Evening peak (16-19)</v>
      </c>
    </row>
    <row r="403" spans="1:9">
      <c r="A403" s="32">
        <v>41746</v>
      </c>
      <c r="B403">
        <v>17</v>
      </c>
      <c r="C403">
        <v>1637</v>
      </c>
      <c r="D403" t="s">
        <v>303</v>
      </c>
      <c r="E403">
        <f>YEAR(A403)</f>
        <v>2014</v>
      </c>
      <c r="F403" s="33">
        <f>DATE(YEAR(A403),MONTH(A403),1)</f>
        <v>41730.0</v>
      </c>
      <c r="G403" t="str">
        <f>CHOOSE(WEEKDAY(A403,2),"Mon","Tue","Wed","Thu","Fri","Sat","Sun")</f>
        <v>Thu</v>
      </c>
      <c r="H403" t="str">
        <f>IF(WEEKDAY(A403,2)&gt;5,"Weekend","Weekday")</f>
        <v>Weekday</v>
      </c>
      <c r="I403" t="str">
        <f>_xlfn.IFS(B403&lt;=5,"Night (0-5)",B403&lt;=9,"Morning peak (6-9)",B403&lt;=15,"Midday (10-15)",B403&lt;=19,"Evening peak (16-19)",TRUE,"Late evening (20-23)")</f>
        <v>Evening peak (16-19)</v>
      </c>
    </row>
    <row r="404" spans="1:9">
      <c r="A404" s="32">
        <v>41746</v>
      </c>
      <c r="B404">
        <v>18</v>
      </c>
      <c r="C404">
        <v>1680</v>
      </c>
      <c r="D404" t="s">
        <v>303</v>
      </c>
      <c r="E404">
        <f>YEAR(A404)</f>
        <v>2014</v>
      </c>
      <c r="F404" s="33">
        <f>DATE(YEAR(A404),MONTH(A404),1)</f>
        <v>41730.0</v>
      </c>
      <c r="G404" t="str">
        <f>CHOOSE(WEEKDAY(A404,2),"Mon","Tue","Wed","Thu","Fri","Sat","Sun")</f>
        <v>Thu</v>
      </c>
      <c r="H404" t="str">
        <f>IF(WEEKDAY(A404,2)&gt;5,"Weekend","Weekday")</f>
        <v>Weekday</v>
      </c>
      <c r="I404" t="str">
        <f>_xlfn.IFS(B404&lt;=5,"Night (0-5)",B404&lt;=9,"Morning peak (6-9)",B404&lt;=15,"Midday (10-15)",B404&lt;=19,"Evening peak (16-19)",TRUE,"Late evening (20-23)")</f>
        <v>Evening peak (16-19)</v>
      </c>
    </row>
    <row r="405" spans="1:9">
      <c r="A405" s="32">
        <v>41746</v>
      </c>
      <c r="B405">
        <v>19</v>
      </c>
      <c r="C405">
        <v>1541</v>
      </c>
      <c r="D405" t="s">
        <v>303</v>
      </c>
      <c r="E405">
        <f>YEAR(A405)</f>
        <v>2014</v>
      </c>
      <c r="F405" s="33">
        <f>DATE(YEAR(A405),MONTH(A405),1)</f>
        <v>41730.0</v>
      </c>
      <c r="G405" t="str">
        <f>CHOOSE(WEEKDAY(A405,2),"Mon","Tue","Wed","Thu","Fri","Sat","Sun")</f>
        <v>Thu</v>
      </c>
      <c r="H405" t="str">
        <f>IF(WEEKDAY(A405,2)&gt;5,"Weekend","Weekday")</f>
        <v>Weekday</v>
      </c>
      <c r="I405" t="str">
        <f>_xlfn.IFS(B405&lt;=5,"Night (0-5)",B405&lt;=9,"Morning peak (6-9)",B405&lt;=15,"Midday (10-15)",B405&lt;=19,"Evening peak (16-19)",TRUE,"Late evening (20-23)")</f>
        <v>Evening peak (16-19)</v>
      </c>
    </row>
    <row r="406" spans="1:9">
      <c r="A406" s="32">
        <v>41746</v>
      </c>
      <c r="B406">
        <v>20</v>
      </c>
      <c r="C406">
        <v>1514</v>
      </c>
      <c r="D406" t="s">
        <v>303</v>
      </c>
      <c r="E406">
        <f>YEAR(A406)</f>
        <v>2014</v>
      </c>
      <c r="F406" s="33">
        <f>DATE(YEAR(A406),MONTH(A406),1)</f>
        <v>41730.0</v>
      </c>
      <c r="G406" t="str">
        <f>CHOOSE(WEEKDAY(A406,2),"Mon","Tue","Wed","Thu","Fri","Sat","Sun")</f>
        <v>Thu</v>
      </c>
      <c r="H406" t="str">
        <f>IF(WEEKDAY(A406,2)&gt;5,"Weekend","Weekday")</f>
        <v>Weekday</v>
      </c>
      <c r="I406" t="str">
        <f>_xlfn.IFS(B406&lt;=5,"Night (0-5)",B406&lt;=9,"Morning peak (6-9)",B406&lt;=15,"Midday (10-15)",B406&lt;=19,"Evening peak (16-19)",TRUE,"Late evening (20-23)")</f>
        <v>Late evening (20-23)</v>
      </c>
    </row>
    <row r="407" spans="1:9">
      <c r="A407" s="32">
        <v>41746</v>
      </c>
      <c r="B407">
        <v>21</v>
      </c>
      <c r="C407">
        <v>1529</v>
      </c>
      <c r="D407" t="s">
        <v>303</v>
      </c>
      <c r="E407">
        <f>YEAR(A407)</f>
        <v>2014</v>
      </c>
      <c r="F407" s="33">
        <f>DATE(YEAR(A407),MONTH(A407),1)</f>
        <v>41730.0</v>
      </c>
      <c r="G407" t="str">
        <f>CHOOSE(WEEKDAY(A407,2),"Mon","Tue","Wed","Thu","Fri","Sat","Sun")</f>
        <v>Thu</v>
      </c>
      <c r="H407" t="str">
        <f>IF(WEEKDAY(A407,2)&gt;5,"Weekend","Weekday")</f>
        <v>Weekday</v>
      </c>
      <c r="I407" t="str">
        <f>_xlfn.IFS(B407&lt;=5,"Night (0-5)",B407&lt;=9,"Morning peak (6-9)",B407&lt;=15,"Midday (10-15)",B407&lt;=19,"Evening peak (16-19)",TRUE,"Late evening (20-23)")</f>
        <v>Late evening (20-23)</v>
      </c>
    </row>
    <row r="408" spans="1:9">
      <c r="A408" s="32">
        <v>41746</v>
      </c>
      <c r="B408">
        <v>22</v>
      </c>
      <c r="C408">
        <v>1331</v>
      </c>
      <c r="D408" t="s">
        <v>303</v>
      </c>
      <c r="E408">
        <f>YEAR(A408)</f>
        <v>2014</v>
      </c>
      <c r="F408" s="33">
        <f>DATE(YEAR(A408),MONTH(A408),1)</f>
        <v>41730.0</v>
      </c>
      <c r="G408" t="str">
        <f>CHOOSE(WEEKDAY(A408,2),"Mon","Tue","Wed","Thu","Fri","Sat","Sun")</f>
        <v>Thu</v>
      </c>
      <c r="H408" t="str">
        <f>IF(WEEKDAY(A408,2)&gt;5,"Weekend","Weekday")</f>
        <v>Weekday</v>
      </c>
      <c r="I408" t="str">
        <f>_xlfn.IFS(B408&lt;=5,"Night (0-5)",B408&lt;=9,"Morning peak (6-9)",B408&lt;=15,"Midday (10-15)",B408&lt;=19,"Evening peak (16-19)",TRUE,"Late evening (20-23)")</f>
        <v>Late evening (20-23)</v>
      </c>
    </row>
    <row r="409" spans="1:9">
      <c r="A409" s="32">
        <v>41746</v>
      </c>
      <c r="B409">
        <v>23</v>
      </c>
      <c r="C409">
        <v>774</v>
      </c>
      <c r="D409" t="s">
        <v>303</v>
      </c>
      <c r="E409">
        <f>YEAR(A409)</f>
        <v>2014</v>
      </c>
      <c r="F409" s="33">
        <f>DATE(YEAR(A409),MONTH(A409),1)</f>
        <v>41730.0</v>
      </c>
      <c r="G409" t="str">
        <f>CHOOSE(WEEKDAY(A409,2),"Mon","Tue","Wed","Thu","Fri","Sat","Sun")</f>
        <v>Thu</v>
      </c>
      <c r="H409" t="str">
        <f>IF(WEEKDAY(A409,2)&gt;5,"Weekend","Weekday")</f>
        <v>Weekday</v>
      </c>
      <c r="I409" t="str">
        <f>_xlfn.IFS(B409&lt;=5,"Night (0-5)",B409&lt;=9,"Morning peak (6-9)",B409&lt;=15,"Midday (10-15)",B409&lt;=19,"Evening peak (16-19)",TRUE,"Late evening (20-23)")</f>
        <v>Late evening (20-23)</v>
      </c>
    </row>
    <row r="410" spans="1:9">
      <c r="A410" s="32">
        <v>41747</v>
      </c>
      <c r="B410">
        <v>0</v>
      </c>
      <c r="C410">
        <v>438</v>
      </c>
      <c r="D410" t="s">
        <v>303</v>
      </c>
      <c r="E410">
        <f>YEAR(A410)</f>
        <v>2014</v>
      </c>
      <c r="F410" s="33">
        <f>DATE(YEAR(A410),MONTH(A410),1)</f>
        <v>41730.0</v>
      </c>
      <c r="G410" t="str">
        <f>CHOOSE(WEEKDAY(A410,2),"Mon","Tue","Wed","Thu","Fri","Sat","Sun")</f>
        <v>Fri</v>
      </c>
      <c r="H410" t="str">
        <f>IF(WEEKDAY(A410,2)&gt;5,"Weekend","Weekday")</f>
        <v>Weekday</v>
      </c>
      <c r="I410" t="str">
        <f>_xlfn.IFS(B410&lt;=5,"Night (0-5)",B410&lt;=9,"Morning peak (6-9)",B410&lt;=15,"Midday (10-15)",B410&lt;=19,"Evening peak (16-19)",TRUE,"Late evening (20-23)")</f>
        <v>Night (0-5)</v>
      </c>
    </row>
    <row r="411" spans="1:9">
      <c r="A411" s="32">
        <v>41747</v>
      </c>
      <c r="B411">
        <v>1</v>
      </c>
      <c r="C411">
        <v>222</v>
      </c>
      <c r="D411" t="s">
        <v>303</v>
      </c>
      <c r="E411">
        <f>YEAR(A411)</f>
        <v>2014</v>
      </c>
      <c r="F411" s="33">
        <f>DATE(YEAR(A411),MONTH(A411),1)</f>
        <v>41730.0</v>
      </c>
      <c r="G411" t="str">
        <f>CHOOSE(WEEKDAY(A411,2),"Mon","Tue","Wed","Thu","Fri","Sat","Sun")</f>
        <v>Fri</v>
      </c>
      <c r="H411" t="str">
        <f>IF(WEEKDAY(A411,2)&gt;5,"Weekend","Weekday")</f>
        <v>Weekday</v>
      </c>
      <c r="I411" t="str">
        <f>_xlfn.IFS(B411&lt;=5,"Night (0-5)",B411&lt;=9,"Morning peak (6-9)",B411&lt;=15,"Midday (10-15)",B411&lt;=19,"Evening peak (16-19)",TRUE,"Late evening (20-23)")</f>
        <v>Night (0-5)</v>
      </c>
    </row>
    <row r="412" spans="1:9">
      <c r="A412" s="32">
        <v>41747</v>
      </c>
      <c r="B412">
        <v>2</v>
      </c>
      <c r="C412">
        <v>148</v>
      </c>
      <c r="D412" t="s">
        <v>303</v>
      </c>
      <c r="E412">
        <f>YEAR(A412)</f>
        <v>2014</v>
      </c>
      <c r="F412" s="33">
        <f>DATE(YEAR(A412),MONTH(A412),1)</f>
        <v>41730.0</v>
      </c>
      <c r="G412" t="str">
        <f>CHOOSE(WEEKDAY(A412,2),"Mon","Tue","Wed","Thu","Fri","Sat","Sun")</f>
        <v>Fri</v>
      </c>
      <c r="H412" t="str">
        <f>IF(WEEKDAY(A412,2)&gt;5,"Weekend","Weekday")</f>
        <v>Weekday</v>
      </c>
      <c r="I412" t="str">
        <f>_xlfn.IFS(B412&lt;=5,"Night (0-5)",B412&lt;=9,"Morning peak (6-9)",B412&lt;=15,"Midday (10-15)",B412&lt;=19,"Evening peak (16-19)",TRUE,"Late evening (20-23)")</f>
        <v>Night (0-5)</v>
      </c>
    </row>
    <row r="413" spans="1:9">
      <c r="A413" s="32">
        <v>41747</v>
      </c>
      <c r="B413">
        <v>3</v>
      </c>
      <c r="C413">
        <v>208</v>
      </c>
      <c r="D413" t="s">
        <v>303</v>
      </c>
      <c r="E413">
        <f>YEAR(A413)</f>
        <v>2014</v>
      </c>
      <c r="F413" s="33">
        <f>DATE(YEAR(A413),MONTH(A413),1)</f>
        <v>41730.0</v>
      </c>
      <c r="G413" t="str">
        <f>CHOOSE(WEEKDAY(A413,2),"Mon","Tue","Wed","Thu","Fri","Sat","Sun")</f>
        <v>Fri</v>
      </c>
      <c r="H413" t="str">
        <f>IF(WEEKDAY(A413,2)&gt;5,"Weekend","Weekday")</f>
        <v>Weekday</v>
      </c>
      <c r="I413" t="str">
        <f>_xlfn.IFS(B413&lt;=5,"Night (0-5)",B413&lt;=9,"Morning peak (6-9)",B413&lt;=15,"Midday (10-15)",B413&lt;=19,"Evening peak (16-19)",TRUE,"Late evening (20-23)")</f>
        <v>Night (0-5)</v>
      </c>
    </row>
    <row r="414" spans="1:9">
      <c r="A414" s="32">
        <v>41747</v>
      </c>
      <c r="B414">
        <v>4</v>
      </c>
      <c r="C414">
        <v>228</v>
      </c>
      <c r="D414" t="s">
        <v>303</v>
      </c>
      <c r="E414">
        <f>YEAR(A414)</f>
        <v>2014</v>
      </c>
      <c r="F414" s="33">
        <f>DATE(YEAR(A414),MONTH(A414),1)</f>
        <v>41730.0</v>
      </c>
      <c r="G414" t="str">
        <f>CHOOSE(WEEKDAY(A414,2),"Mon","Tue","Wed","Thu","Fri","Sat","Sun")</f>
        <v>Fri</v>
      </c>
      <c r="H414" t="str">
        <f>IF(WEEKDAY(A414,2)&gt;5,"Weekend","Weekday")</f>
        <v>Weekday</v>
      </c>
      <c r="I414" t="str">
        <f>_xlfn.IFS(B414&lt;=5,"Night (0-5)",B414&lt;=9,"Morning peak (6-9)",B414&lt;=15,"Midday (10-15)",B414&lt;=19,"Evening peak (16-19)",TRUE,"Late evening (20-23)")</f>
        <v>Night (0-5)</v>
      </c>
    </row>
    <row r="415" spans="1:9">
      <c r="A415" s="32">
        <v>41747</v>
      </c>
      <c r="B415">
        <v>5</v>
      </c>
      <c r="C415">
        <v>292</v>
      </c>
      <c r="D415" t="s">
        <v>303</v>
      </c>
      <c r="E415">
        <f>YEAR(A415)</f>
        <v>2014</v>
      </c>
      <c r="F415" s="33">
        <f>DATE(YEAR(A415),MONTH(A415),1)</f>
        <v>41730.0</v>
      </c>
      <c r="G415" t="str">
        <f>CHOOSE(WEEKDAY(A415,2),"Mon","Tue","Wed","Thu","Fri","Sat","Sun")</f>
        <v>Fri</v>
      </c>
      <c r="H415" t="str">
        <f>IF(WEEKDAY(A415,2)&gt;5,"Weekend","Weekday")</f>
        <v>Weekday</v>
      </c>
      <c r="I415" t="str">
        <f>_xlfn.IFS(B415&lt;=5,"Night (0-5)",B415&lt;=9,"Morning peak (6-9)",B415&lt;=15,"Midday (10-15)",B415&lt;=19,"Evening peak (16-19)",TRUE,"Late evening (20-23)")</f>
        <v>Night (0-5)</v>
      </c>
    </row>
    <row r="416" spans="1:9">
      <c r="A416" s="32">
        <v>41747</v>
      </c>
      <c r="B416">
        <v>6</v>
      </c>
      <c r="C416">
        <v>401</v>
      </c>
      <c r="D416" t="s">
        <v>303</v>
      </c>
      <c r="E416">
        <f>YEAR(A416)</f>
        <v>2014</v>
      </c>
      <c r="F416" s="33">
        <f>DATE(YEAR(A416),MONTH(A416),1)</f>
        <v>41730.0</v>
      </c>
      <c r="G416" t="str">
        <f>CHOOSE(WEEKDAY(A416,2),"Mon","Tue","Wed","Thu","Fri","Sat","Sun")</f>
        <v>Fri</v>
      </c>
      <c r="H416" t="str">
        <f>IF(WEEKDAY(A416,2)&gt;5,"Weekend","Weekday")</f>
        <v>Weekday</v>
      </c>
      <c r="I416" t="str">
        <f>_xlfn.IFS(B416&lt;=5,"Night (0-5)",B416&lt;=9,"Morning peak (6-9)",B416&lt;=15,"Midday (10-15)",B416&lt;=19,"Evening peak (16-19)",TRUE,"Late evening (20-23)")</f>
        <v>Morning peak (6-9)</v>
      </c>
    </row>
    <row r="417" spans="1:9">
      <c r="A417" s="32">
        <v>41747</v>
      </c>
      <c r="B417">
        <v>7</v>
      </c>
      <c r="C417">
        <v>646</v>
      </c>
      <c r="D417" t="s">
        <v>303</v>
      </c>
      <c r="E417">
        <f>YEAR(A417)</f>
        <v>2014</v>
      </c>
      <c r="F417" s="33">
        <f>DATE(YEAR(A417),MONTH(A417),1)</f>
        <v>41730.0</v>
      </c>
      <c r="G417" t="str">
        <f>CHOOSE(WEEKDAY(A417,2),"Mon","Tue","Wed","Thu","Fri","Sat","Sun")</f>
        <v>Fri</v>
      </c>
      <c r="H417" t="str">
        <f>IF(WEEKDAY(A417,2)&gt;5,"Weekend","Weekday")</f>
        <v>Weekday</v>
      </c>
      <c r="I417" t="str">
        <f>_xlfn.IFS(B417&lt;=5,"Night (0-5)",B417&lt;=9,"Morning peak (6-9)",B417&lt;=15,"Midday (10-15)",B417&lt;=19,"Evening peak (16-19)",TRUE,"Late evening (20-23)")</f>
        <v>Morning peak (6-9)</v>
      </c>
    </row>
    <row r="418" spans="1:9">
      <c r="A418" s="32">
        <v>41747</v>
      </c>
      <c r="B418">
        <v>8</v>
      </c>
      <c r="C418">
        <v>720</v>
      </c>
      <c r="D418" t="s">
        <v>303</v>
      </c>
      <c r="E418">
        <f>YEAR(A418)</f>
        <v>2014</v>
      </c>
      <c r="F418" s="33">
        <f>DATE(YEAR(A418),MONTH(A418),1)</f>
        <v>41730.0</v>
      </c>
      <c r="G418" t="str">
        <f>CHOOSE(WEEKDAY(A418,2),"Mon","Tue","Wed","Thu","Fri","Sat","Sun")</f>
        <v>Fri</v>
      </c>
      <c r="H418" t="str">
        <f>IF(WEEKDAY(A418,2)&gt;5,"Weekend","Weekday")</f>
        <v>Weekday</v>
      </c>
      <c r="I418" t="str">
        <f>_xlfn.IFS(B418&lt;=5,"Night (0-5)",B418&lt;=9,"Morning peak (6-9)",B418&lt;=15,"Midday (10-15)",B418&lt;=19,"Evening peak (16-19)",TRUE,"Late evening (20-23)")</f>
        <v>Morning peak (6-9)</v>
      </c>
    </row>
    <row r="419" spans="1:9">
      <c r="A419" s="32">
        <v>41747</v>
      </c>
      <c r="B419">
        <v>9</v>
      </c>
      <c r="C419">
        <v>640</v>
      </c>
      <c r="D419" t="s">
        <v>303</v>
      </c>
      <c r="E419">
        <f>YEAR(A419)</f>
        <v>2014</v>
      </c>
      <c r="F419" s="33">
        <f>DATE(YEAR(A419),MONTH(A419),1)</f>
        <v>41730.0</v>
      </c>
      <c r="G419" t="str">
        <f>CHOOSE(WEEKDAY(A419,2),"Mon","Tue","Wed","Thu","Fri","Sat","Sun")</f>
        <v>Fri</v>
      </c>
      <c r="H419" t="str">
        <f>IF(WEEKDAY(A419,2)&gt;5,"Weekend","Weekday")</f>
        <v>Weekday</v>
      </c>
      <c r="I419" t="str">
        <f>_xlfn.IFS(B419&lt;=5,"Night (0-5)",B419&lt;=9,"Morning peak (6-9)",B419&lt;=15,"Midday (10-15)",B419&lt;=19,"Evening peak (16-19)",TRUE,"Late evening (20-23)")</f>
        <v>Morning peak (6-9)</v>
      </c>
    </row>
    <row r="420" spans="1:9">
      <c r="A420" s="32">
        <v>41747</v>
      </c>
      <c r="B420">
        <v>10</v>
      </c>
      <c r="C420">
        <v>558</v>
      </c>
      <c r="D420" t="s">
        <v>303</v>
      </c>
      <c r="E420">
        <f>YEAR(A420)</f>
        <v>2014</v>
      </c>
      <c r="F420" s="33">
        <f>DATE(YEAR(A420),MONTH(A420),1)</f>
        <v>41730.0</v>
      </c>
      <c r="G420" t="str">
        <f>CHOOSE(WEEKDAY(A420,2),"Mon","Tue","Wed","Thu","Fri","Sat","Sun")</f>
        <v>Fri</v>
      </c>
      <c r="H420" t="str">
        <f>IF(WEEKDAY(A420,2)&gt;5,"Weekend","Weekday")</f>
        <v>Weekday</v>
      </c>
      <c r="I420" t="str">
        <f>_xlfn.IFS(B420&lt;=5,"Night (0-5)",B420&lt;=9,"Morning peak (6-9)",B420&lt;=15,"Midday (10-15)",B420&lt;=19,"Evening peak (16-19)",TRUE,"Late evening (20-23)")</f>
        <v>Midday (10-15)</v>
      </c>
    </row>
    <row r="421" spans="1:9">
      <c r="A421" s="32">
        <v>41747</v>
      </c>
      <c r="B421">
        <v>11</v>
      </c>
      <c r="C421">
        <v>634</v>
      </c>
      <c r="D421" t="s">
        <v>303</v>
      </c>
      <c r="E421">
        <f>YEAR(A421)</f>
        <v>2014</v>
      </c>
      <c r="F421" s="33">
        <f>DATE(YEAR(A421),MONTH(A421),1)</f>
        <v>41730.0</v>
      </c>
      <c r="G421" t="str">
        <f>CHOOSE(WEEKDAY(A421,2),"Mon","Tue","Wed","Thu","Fri","Sat","Sun")</f>
        <v>Fri</v>
      </c>
      <c r="H421" t="str">
        <f>IF(WEEKDAY(A421,2)&gt;5,"Weekend","Weekday")</f>
        <v>Weekday</v>
      </c>
      <c r="I421" t="str">
        <f>_xlfn.IFS(B421&lt;=5,"Night (0-5)",B421&lt;=9,"Morning peak (6-9)",B421&lt;=15,"Midday (10-15)",B421&lt;=19,"Evening peak (16-19)",TRUE,"Late evening (20-23)")</f>
        <v>Midday (10-15)</v>
      </c>
    </row>
    <row r="422" spans="1:9">
      <c r="A422" s="32">
        <v>41747</v>
      </c>
      <c r="B422">
        <v>12</v>
      </c>
      <c r="C422">
        <v>665</v>
      </c>
      <c r="D422" t="s">
        <v>303</v>
      </c>
      <c r="E422">
        <f>YEAR(A422)</f>
        <v>2014</v>
      </c>
      <c r="F422" s="33">
        <f>DATE(YEAR(A422),MONTH(A422),1)</f>
        <v>41730.0</v>
      </c>
      <c r="G422" t="str">
        <f>CHOOSE(WEEKDAY(A422,2),"Mon","Tue","Wed","Thu","Fri","Sat","Sun")</f>
        <v>Fri</v>
      </c>
      <c r="H422" t="str">
        <f>IF(WEEKDAY(A422,2)&gt;5,"Weekend","Weekday")</f>
        <v>Weekday</v>
      </c>
      <c r="I422" t="str">
        <f>_xlfn.IFS(B422&lt;=5,"Night (0-5)",B422&lt;=9,"Morning peak (6-9)",B422&lt;=15,"Midday (10-15)",B422&lt;=19,"Evening peak (16-19)",TRUE,"Late evening (20-23)")</f>
        <v>Midday (10-15)</v>
      </c>
    </row>
    <row r="423" spans="1:9">
      <c r="A423" s="32">
        <v>41747</v>
      </c>
      <c r="B423">
        <v>13</v>
      </c>
      <c r="C423">
        <v>770</v>
      </c>
      <c r="D423" t="s">
        <v>303</v>
      </c>
      <c r="E423">
        <f>YEAR(A423)</f>
        <v>2014</v>
      </c>
      <c r="F423" s="33">
        <f>DATE(YEAR(A423),MONTH(A423),1)</f>
        <v>41730.0</v>
      </c>
      <c r="G423" t="str">
        <f>CHOOSE(WEEKDAY(A423,2),"Mon","Tue","Wed","Thu","Fri","Sat","Sun")</f>
        <v>Fri</v>
      </c>
      <c r="H423" t="str">
        <f>IF(WEEKDAY(A423,2)&gt;5,"Weekend","Weekday")</f>
        <v>Weekday</v>
      </c>
      <c r="I423" t="str">
        <f>_xlfn.IFS(B423&lt;=5,"Night (0-5)",B423&lt;=9,"Morning peak (6-9)",B423&lt;=15,"Midday (10-15)",B423&lt;=19,"Evening peak (16-19)",TRUE,"Late evening (20-23)")</f>
        <v>Midday (10-15)</v>
      </c>
    </row>
    <row r="424" spans="1:9">
      <c r="A424" s="32">
        <v>41747</v>
      </c>
      <c r="B424">
        <v>14</v>
      </c>
      <c r="C424">
        <v>877</v>
      </c>
      <c r="D424" t="s">
        <v>303</v>
      </c>
      <c r="E424">
        <f>YEAR(A424)</f>
        <v>2014</v>
      </c>
      <c r="F424" s="33">
        <f>DATE(YEAR(A424),MONTH(A424),1)</f>
        <v>41730.0</v>
      </c>
      <c r="G424" t="str">
        <f>CHOOSE(WEEKDAY(A424,2),"Mon","Tue","Wed","Thu","Fri","Sat","Sun")</f>
        <v>Fri</v>
      </c>
      <c r="H424" t="str">
        <f>IF(WEEKDAY(A424,2)&gt;5,"Weekend","Weekday")</f>
        <v>Weekday</v>
      </c>
      <c r="I424" t="str">
        <f>_xlfn.IFS(B424&lt;=5,"Night (0-5)",B424&lt;=9,"Morning peak (6-9)",B424&lt;=15,"Midday (10-15)",B424&lt;=19,"Evening peak (16-19)",TRUE,"Late evening (20-23)")</f>
        <v>Midday (10-15)</v>
      </c>
    </row>
    <row r="425" spans="1:9">
      <c r="A425" s="32">
        <v>41747</v>
      </c>
      <c r="B425">
        <v>15</v>
      </c>
      <c r="C425">
        <v>1139</v>
      </c>
      <c r="D425" t="s">
        <v>303</v>
      </c>
      <c r="E425">
        <f>YEAR(A425)</f>
        <v>2014</v>
      </c>
      <c r="F425" s="33">
        <f>DATE(YEAR(A425),MONTH(A425),1)</f>
        <v>41730.0</v>
      </c>
      <c r="G425" t="str">
        <f>CHOOSE(WEEKDAY(A425,2),"Mon","Tue","Wed","Thu","Fri","Sat","Sun")</f>
        <v>Fri</v>
      </c>
      <c r="H425" t="str">
        <f>IF(WEEKDAY(A425,2)&gt;5,"Weekend","Weekday")</f>
        <v>Weekday</v>
      </c>
      <c r="I425" t="str">
        <f>_xlfn.IFS(B425&lt;=5,"Night (0-5)",B425&lt;=9,"Morning peak (6-9)",B425&lt;=15,"Midday (10-15)",B425&lt;=19,"Evening peak (16-19)",TRUE,"Late evening (20-23)")</f>
        <v>Midday (10-15)</v>
      </c>
    </row>
    <row r="426" spans="1:9">
      <c r="A426" s="32">
        <v>41747</v>
      </c>
      <c r="B426">
        <v>16</v>
      </c>
      <c r="C426">
        <v>1276</v>
      </c>
      <c r="D426" t="s">
        <v>303</v>
      </c>
      <c r="E426">
        <f>YEAR(A426)</f>
        <v>2014</v>
      </c>
      <c r="F426" s="33">
        <f>DATE(YEAR(A426),MONTH(A426),1)</f>
        <v>41730.0</v>
      </c>
      <c r="G426" t="str">
        <f>CHOOSE(WEEKDAY(A426,2),"Mon","Tue","Wed","Thu","Fri","Sat","Sun")</f>
        <v>Fri</v>
      </c>
      <c r="H426" t="str">
        <f>IF(WEEKDAY(A426,2)&gt;5,"Weekend","Weekday")</f>
        <v>Weekday</v>
      </c>
      <c r="I426" t="str">
        <f>_xlfn.IFS(B426&lt;=5,"Night (0-5)",B426&lt;=9,"Morning peak (6-9)",B426&lt;=15,"Midday (10-15)",B426&lt;=19,"Evening peak (16-19)",TRUE,"Late evening (20-23)")</f>
        <v>Evening peak (16-19)</v>
      </c>
    </row>
    <row r="427" spans="1:9">
      <c r="A427" s="32">
        <v>41747</v>
      </c>
      <c r="B427">
        <v>17</v>
      </c>
      <c r="C427">
        <v>1165</v>
      </c>
      <c r="D427" t="s">
        <v>303</v>
      </c>
      <c r="E427">
        <f>YEAR(A427)</f>
        <v>2014</v>
      </c>
      <c r="F427" s="33">
        <f>DATE(YEAR(A427),MONTH(A427),1)</f>
        <v>41730.0</v>
      </c>
      <c r="G427" t="str">
        <f>CHOOSE(WEEKDAY(A427,2),"Mon","Tue","Wed","Thu","Fri","Sat","Sun")</f>
        <v>Fri</v>
      </c>
      <c r="H427" t="str">
        <f>IF(WEEKDAY(A427,2)&gt;5,"Weekend","Weekday")</f>
        <v>Weekday</v>
      </c>
      <c r="I427" t="str">
        <f>_xlfn.IFS(B427&lt;=5,"Night (0-5)",B427&lt;=9,"Morning peak (6-9)",B427&lt;=15,"Midday (10-15)",B427&lt;=19,"Evening peak (16-19)",TRUE,"Late evening (20-23)")</f>
        <v>Evening peak (16-19)</v>
      </c>
    </row>
    <row r="428" spans="1:9">
      <c r="A428" s="32">
        <v>41747</v>
      </c>
      <c r="B428">
        <v>18</v>
      </c>
      <c r="C428">
        <v>1344</v>
      </c>
      <c r="D428" t="s">
        <v>303</v>
      </c>
      <c r="E428">
        <f>YEAR(A428)</f>
        <v>2014</v>
      </c>
      <c r="F428" s="33">
        <f>DATE(YEAR(A428),MONTH(A428),1)</f>
        <v>41730.0</v>
      </c>
      <c r="G428" t="str">
        <f>CHOOSE(WEEKDAY(A428,2),"Mon","Tue","Wed","Thu","Fri","Sat","Sun")</f>
        <v>Fri</v>
      </c>
      <c r="H428" t="str">
        <f>IF(WEEKDAY(A428,2)&gt;5,"Weekend","Weekday")</f>
        <v>Weekday</v>
      </c>
      <c r="I428" t="str">
        <f>_xlfn.IFS(B428&lt;=5,"Night (0-5)",B428&lt;=9,"Morning peak (6-9)",B428&lt;=15,"Midday (10-15)",B428&lt;=19,"Evening peak (16-19)",TRUE,"Late evening (20-23)")</f>
        <v>Evening peak (16-19)</v>
      </c>
    </row>
    <row r="429" spans="1:9">
      <c r="A429" s="32">
        <v>41747</v>
      </c>
      <c r="B429">
        <v>19</v>
      </c>
      <c r="C429">
        <v>1147</v>
      </c>
      <c r="D429" t="s">
        <v>303</v>
      </c>
      <c r="E429">
        <f>YEAR(A429)</f>
        <v>2014</v>
      </c>
      <c r="F429" s="33">
        <f>DATE(YEAR(A429),MONTH(A429),1)</f>
        <v>41730.0</v>
      </c>
      <c r="G429" t="str">
        <f>CHOOSE(WEEKDAY(A429,2),"Mon","Tue","Wed","Thu","Fri","Sat","Sun")</f>
        <v>Fri</v>
      </c>
      <c r="H429" t="str">
        <f>IF(WEEKDAY(A429,2)&gt;5,"Weekend","Weekday")</f>
        <v>Weekday</v>
      </c>
      <c r="I429" t="str">
        <f>_xlfn.IFS(B429&lt;=5,"Night (0-5)",B429&lt;=9,"Morning peak (6-9)",B429&lt;=15,"Midday (10-15)",B429&lt;=19,"Evening peak (16-19)",TRUE,"Late evening (20-23)")</f>
        <v>Evening peak (16-19)</v>
      </c>
    </row>
    <row r="430" spans="1:9">
      <c r="A430" s="32">
        <v>41747</v>
      </c>
      <c r="B430">
        <v>20</v>
      </c>
      <c r="C430">
        <v>1055</v>
      </c>
      <c r="D430" t="s">
        <v>303</v>
      </c>
      <c r="E430">
        <f>YEAR(A430)</f>
        <v>2014</v>
      </c>
      <c r="F430" s="33">
        <f>DATE(YEAR(A430),MONTH(A430),1)</f>
        <v>41730.0</v>
      </c>
      <c r="G430" t="str">
        <f>CHOOSE(WEEKDAY(A430,2),"Mon","Tue","Wed","Thu","Fri","Sat","Sun")</f>
        <v>Fri</v>
      </c>
      <c r="H430" t="str">
        <f>IF(WEEKDAY(A430,2)&gt;5,"Weekend","Weekday")</f>
        <v>Weekday</v>
      </c>
      <c r="I430" t="str">
        <f>_xlfn.IFS(B430&lt;=5,"Night (0-5)",B430&lt;=9,"Morning peak (6-9)",B430&lt;=15,"Midday (10-15)",B430&lt;=19,"Evening peak (16-19)",TRUE,"Late evening (20-23)")</f>
        <v>Late evening (20-23)</v>
      </c>
    </row>
    <row r="431" spans="1:9">
      <c r="A431" s="32">
        <v>41747</v>
      </c>
      <c r="B431">
        <v>21</v>
      </c>
      <c r="C431">
        <v>1149</v>
      </c>
      <c r="D431" t="s">
        <v>303</v>
      </c>
      <c r="E431">
        <f>YEAR(A431)</f>
        <v>2014</v>
      </c>
      <c r="F431" s="33">
        <f>DATE(YEAR(A431),MONTH(A431),1)</f>
        <v>41730.0</v>
      </c>
      <c r="G431" t="str">
        <f>CHOOSE(WEEKDAY(A431,2),"Mon","Tue","Wed","Thu","Fri","Sat","Sun")</f>
        <v>Fri</v>
      </c>
      <c r="H431" t="str">
        <f>IF(WEEKDAY(A431,2)&gt;5,"Weekend","Weekday")</f>
        <v>Weekday</v>
      </c>
      <c r="I431" t="str">
        <f>_xlfn.IFS(B431&lt;=5,"Night (0-5)",B431&lt;=9,"Morning peak (6-9)",B431&lt;=15,"Midday (10-15)",B431&lt;=19,"Evening peak (16-19)",TRUE,"Late evening (20-23)")</f>
        <v>Late evening (20-23)</v>
      </c>
    </row>
    <row r="432" spans="1:9">
      <c r="A432" s="32">
        <v>41747</v>
      </c>
      <c r="B432">
        <v>22</v>
      </c>
      <c r="C432">
        <v>1326</v>
      </c>
      <c r="D432" t="s">
        <v>303</v>
      </c>
      <c r="E432">
        <f>YEAR(A432)</f>
        <v>2014</v>
      </c>
      <c r="F432" s="33">
        <f>DATE(YEAR(A432),MONTH(A432),1)</f>
        <v>41730.0</v>
      </c>
      <c r="G432" t="str">
        <f>CHOOSE(WEEKDAY(A432,2),"Mon","Tue","Wed","Thu","Fri","Sat","Sun")</f>
        <v>Fri</v>
      </c>
      <c r="H432" t="str">
        <f>IF(WEEKDAY(A432,2)&gt;5,"Weekend","Weekday")</f>
        <v>Weekday</v>
      </c>
      <c r="I432" t="str">
        <f>_xlfn.IFS(B432&lt;=5,"Night (0-5)",B432&lt;=9,"Morning peak (6-9)",B432&lt;=15,"Midday (10-15)",B432&lt;=19,"Evening peak (16-19)",TRUE,"Late evening (20-23)")</f>
        <v>Late evening (20-23)</v>
      </c>
    </row>
    <row r="433" spans="1:9">
      <c r="A433" s="32">
        <v>41747</v>
      </c>
      <c r="B433">
        <v>23</v>
      </c>
      <c r="C433">
        <v>1026</v>
      </c>
      <c r="D433" t="s">
        <v>303</v>
      </c>
      <c r="E433">
        <f>YEAR(A433)</f>
        <v>2014</v>
      </c>
      <c r="F433" s="33">
        <f>DATE(YEAR(A433),MONTH(A433),1)</f>
        <v>41730.0</v>
      </c>
      <c r="G433" t="str">
        <f>CHOOSE(WEEKDAY(A433,2),"Mon","Tue","Wed","Thu","Fri","Sat","Sun")</f>
        <v>Fri</v>
      </c>
      <c r="H433" t="str">
        <f>IF(WEEKDAY(A433,2)&gt;5,"Weekend","Weekday")</f>
        <v>Weekday</v>
      </c>
      <c r="I433" t="str">
        <f>_xlfn.IFS(B433&lt;=5,"Night (0-5)",B433&lt;=9,"Morning peak (6-9)",B433&lt;=15,"Midday (10-15)",B433&lt;=19,"Evening peak (16-19)",TRUE,"Late evening (20-23)")</f>
        <v>Late evening (20-23)</v>
      </c>
    </row>
    <row r="434" spans="1:9">
      <c r="A434" s="32">
        <v>41748</v>
      </c>
      <c r="B434">
        <v>0</v>
      </c>
      <c r="C434">
        <v>635</v>
      </c>
      <c r="D434" t="s">
        <v>303</v>
      </c>
      <c r="E434">
        <f>YEAR(A434)</f>
        <v>2014</v>
      </c>
      <c r="F434" s="33">
        <f>DATE(YEAR(A434),MONTH(A434),1)</f>
        <v>41730.0</v>
      </c>
      <c r="G434" t="str">
        <f>CHOOSE(WEEKDAY(A434,2),"Mon","Tue","Wed","Thu","Fri","Sat","Sun")</f>
        <v>Sat</v>
      </c>
      <c r="H434" t="str">
        <f>IF(WEEKDAY(A434,2)&gt;5,"Weekend","Weekday")</f>
        <v>Weekend</v>
      </c>
      <c r="I434" t="str">
        <f>_xlfn.IFS(B434&lt;=5,"Night (0-5)",B434&lt;=9,"Morning peak (6-9)",B434&lt;=15,"Midday (10-15)",B434&lt;=19,"Evening peak (16-19)",TRUE,"Late evening (20-23)")</f>
        <v>Night (0-5)</v>
      </c>
    </row>
    <row r="435" spans="1:9">
      <c r="A435" s="32">
        <v>41748</v>
      </c>
      <c r="B435">
        <v>1</v>
      </c>
      <c r="C435">
        <v>443</v>
      </c>
      <c r="D435" t="s">
        <v>303</v>
      </c>
      <c r="E435">
        <f>YEAR(A435)</f>
        <v>2014</v>
      </c>
      <c r="F435" s="33">
        <f>DATE(YEAR(A435),MONTH(A435),1)</f>
        <v>41730.0</v>
      </c>
      <c r="G435" t="str">
        <f>CHOOSE(WEEKDAY(A435,2),"Mon","Tue","Wed","Thu","Fri","Sat","Sun")</f>
        <v>Sat</v>
      </c>
      <c r="H435" t="str">
        <f>IF(WEEKDAY(A435,2)&gt;5,"Weekend","Weekday")</f>
        <v>Weekend</v>
      </c>
      <c r="I435" t="str">
        <f>_xlfn.IFS(B435&lt;=5,"Night (0-5)",B435&lt;=9,"Morning peak (6-9)",B435&lt;=15,"Midday (10-15)",B435&lt;=19,"Evening peak (16-19)",TRUE,"Late evening (20-23)")</f>
        <v>Night (0-5)</v>
      </c>
    </row>
    <row r="436" spans="1:9">
      <c r="A436" s="32">
        <v>41748</v>
      </c>
      <c r="B436">
        <v>2</v>
      </c>
      <c r="C436">
        <v>301</v>
      </c>
      <c r="D436" t="s">
        <v>303</v>
      </c>
      <c r="E436">
        <f>YEAR(A436)</f>
        <v>2014</v>
      </c>
      <c r="F436" s="33">
        <f>DATE(YEAR(A436),MONTH(A436),1)</f>
        <v>41730.0</v>
      </c>
      <c r="G436" t="str">
        <f>CHOOSE(WEEKDAY(A436,2),"Mon","Tue","Wed","Thu","Fri","Sat","Sun")</f>
        <v>Sat</v>
      </c>
      <c r="H436" t="str">
        <f>IF(WEEKDAY(A436,2)&gt;5,"Weekend","Weekday")</f>
        <v>Weekend</v>
      </c>
      <c r="I436" t="str">
        <f>_xlfn.IFS(B436&lt;=5,"Night (0-5)",B436&lt;=9,"Morning peak (6-9)",B436&lt;=15,"Midday (10-15)",B436&lt;=19,"Evening peak (16-19)",TRUE,"Late evening (20-23)")</f>
        <v>Night (0-5)</v>
      </c>
    </row>
    <row r="437" spans="1:9">
      <c r="A437" s="32">
        <v>41748</v>
      </c>
      <c r="B437">
        <v>3</v>
      </c>
      <c r="C437">
        <v>223</v>
      </c>
      <c r="D437" t="s">
        <v>303</v>
      </c>
      <c r="E437">
        <f>YEAR(A437)</f>
        <v>2014</v>
      </c>
      <c r="F437" s="33">
        <f>DATE(YEAR(A437),MONTH(A437),1)</f>
        <v>41730.0</v>
      </c>
      <c r="G437" t="str">
        <f>CHOOSE(WEEKDAY(A437,2),"Mon","Tue","Wed","Thu","Fri","Sat","Sun")</f>
        <v>Sat</v>
      </c>
      <c r="H437" t="str">
        <f>IF(WEEKDAY(A437,2)&gt;5,"Weekend","Weekday")</f>
        <v>Weekend</v>
      </c>
      <c r="I437" t="str">
        <f>_xlfn.IFS(B437&lt;=5,"Night (0-5)",B437&lt;=9,"Morning peak (6-9)",B437&lt;=15,"Midday (10-15)",B437&lt;=19,"Evening peak (16-19)",TRUE,"Late evening (20-23)")</f>
        <v>Night (0-5)</v>
      </c>
    </row>
    <row r="438" spans="1:9">
      <c r="A438" s="32">
        <v>41748</v>
      </c>
      <c r="B438">
        <v>4</v>
      </c>
      <c r="C438">
        <v>151</v>
      </c>
      <c r="D438" t="s">
        <v>303</v>
      </c>
      <c r="E438">
        <f>YEAR(A438)</f>
        <v>2014</v>
      </c>
      <c r="F438" s="33">
        <f>DATE(YEAR(A438),MONTH(A438),1)</f>
        <v>41730.0</v>
      </c>
      <c r="G438" t="str">
        <f>CHOOSE(WEEKDAY(A438,2),"Mon","Tue","Wed","Thu","Fri","Sat","Sun")</f>
        <v>Sat</v>
      </c>
      <c r="H438" t="str">
        <f>IF(WEEKDAY(A438,2)&gt;5,"Weekend","Weekday")</f>
        <v>Weekend</v>
      </c>
      <c r="I438" t="str">
        <f>_xlfn.IFS(B438&lt;=5,"Night (0-5)",B438&lt;=9,"Morning peak (6-9)",B438&lt;=15,"Midday (10-15)",B438&lt;=19,"Evening peak (16-19)",TRUE,"Late evening (20-23)")</f>
        <v>Night (0-5)</v>
      </c>
    </row>
    <row r="439" spans="1:9">
      <c r="A439" s="32">
        <v>41748</v>
      </c>
      <c r="B439">
        <v>5</v>
      </c>
      <c r="C439">
        <v>154</v>
      </c>
      <c r="D439" t="s">
        <v>303</v>
      </c>
      <c r="E439">
        <f>YEAR(A439)</f>
        <v>2014</v>
      </c>
      <c r="F439" s="33">
        <f>DATE(YEAR(A439),MONTH(A439),1)</f>
        <v>41730.0</v>
      </c>
      <c r="G439" t="str">
        <f>CHOOSE(WEEKDAY(A439,2),"Mon","Tue","Wed","Thu","Fri","Sat","Sun")</f>
        <v>Sat</v>
      </c>
      <c r="H439" t="str">
        <f>IF(WEEKDAY(A439,2)&gt;5,"Weekend","Weekday")</f>
        <v>Weekend</v>
      </c>
      <c r="I439" t="str">
        <f>_xlfn.IFS(B439&lt;=5,"Night (0-5)",B439&lt;=9,"Morning peak (6-9)",B439&lt;=15,"Midday (10-15)",B439&lt;=19,"Evening peak (16-19)",TRUE,"Late evening (20-23)")</f>
        <v>Night (0-5)</v>
      </c>
    </row>
    <row r="440" spans="1:9">
      <c r="A440" s="32">
        <v>41748</v>
      </c>
      <c r="B440">
        <v>6</v>
      </c>
      <c r="C440">
        <v>176</v>
      </c>
      <c r="D440" t="s">
        <v>303</v>
      </c>
      <c r="E440">
        <f>YEAR(A440)</f>
        <v>2014</v>
      </c>
      <c r="F440" s="33">
        <f>DATE(YEAR(A440),MONTH(A440),1)</f>
        <v>41730.0</v>
      </c>
      <c r="G440" t="str">
        <f>CHOOSE(WEEKDAY(A440,2),"Mon","Tue","Wed","Thu","Fri","Sat","Sun")</f>
        <v>Sat</v>
      </c>
      <c r="H440" t="str">
        <f>IF(WEEKDAY(A440,2)&gt;5,"Weekend","Weekday")</f>
        <v>Weekend</v>
      </c>
      <c r="I440" t="str">
        <f>_xlfn.IFS(B440&lt;=5,"Night (0-5)",B440&lt;=9,"Morning peak (6-9)",B440&lt;=15,"Midday (10-15)",B440&lt;=19,"Evening peak (16-19)",TRUE,"Late evening (20-23)")</f>
        <v>Morning peak (6-9)</v>
      </c>
    </row>
    <row r="441" spans="1:9">
      <c r="A441" s="32">
        <v>41748</v>
      </c>
      <c r="B441">
        <v>7</v>
      </c>
      <c r="C441">
        <v>221</v>
      </c>
      <c r="D441" t="s">
        <v>303</v>
      </c>
      <c r="E441">
        <f>YEAR(A441)</f>
        <v>2014</v>
      </c>
      <c r="F441" s="33">
        <f>DATE(YEAR(A441),MONTH(A441),1)</f>
        <v>41730.0</v>
      </c>
      <c r="G441" t="str">
        <f>CHOOSE(WEEKDAY(A441,2),"Mon","Tue","Wed","Thu","Fri","Sat","Sun")</f>
        <v>Sat</v>
      </c>
      <c r="H441" t="str">
        <f>IF(WEEKDAY(A441,2)&gt;5,"Weekend","Weekday")</f>
        <v>Weekend</v>
      </c>
      <c r="I441" t="str">
        <f>_xlfn.IFS(B441&lt;=5,"Night (0-5)",B441&lt;=9,"Morning peak (6-9)",B441&lt;=15,"Midday (10-15)",B441&lt;=19,"Evening peak (16-19)",TRUE,"Late evening (20-23)")</f>
        <v>Morning peak (6-9)</v>
      </c>
    </row>
    <row r="442" spans="1:9">
      <c r="A442" s="32">
        <v>41748</v>
      </c>
      <c r="B442">
        <v>8</v>
      </c>
      <c r="C442">
        <v>290</v>
      </c>
      <c r="D442" t="s">
        <v>303</v>
      </c>
      <c r="E442">
        <f>YEAR(A442)</f>
        <v>2014</v>
      </c>
      <c r="F442" s="33">
        <f>DATE(YEAR(A442),MONTH(A442),1)</f>
        <v>41730.0</v>
      </c>
      <c r="G442" t="str">
        <f>CHOOSE(WEEKDAY(A442,2),"Mon","Tue","Wed","Thu","Fri","Sat","Sun")</f>
        <v>Sat</v>
      </c>
      <c r="H442" t="str">
        <f>IF(WEEKDAY(A442,2)&gt;5,"Weekend","Weekday")</f>
        <v>Weekend</v>
      </c>
      <c r="I442" t="str">
        <f>_xlfn.IFS(B442&lt;=5,"Night (0-5)",B442&lt;=9,"Morning peak (6-9)",B442&lt;=15,"Midday (10-15)",B442&lt;=19,"Evening peak (16-19)",TRUE,"Late evening (20-23)")</f>
        <v>Morning peak (6-9)</v>
      </c>
    </row>
    <row r="443" spans="1:9">
      <c r="A443" s="32">
        <v>41748</v>
      </c>
      <c r="B443">
        <v>9</v>
      </c>
      <c r="C443">
        <v>386</v>
      </c>
      <c r="D443" t="s">
        <v>303</v>
      </c>
      <c r="E443">
        <f>YEAR(A443)</f>
        <v>2014</v>
      </c>
      <c r="F443" s="33">
        <f>DATE(YEAR(A443),MONTH(A443),1)</f>
        <v>41730.0</v>
      </c>
      <c r="G443" t="str">
        <f>CHOOSE(WEEKDAY(A443,2),"Mon","Tue","Wed","Thu","Fri","Sat","Sun")</f>
        <v>Sat</v>
      </c>
      <c r="H443" t="str">
        <f>IF(WEEKDAY(A443,2)&gt;5,"Weekend","Weekday")</f>
        <v>Weekend</v>
      </c>
      <c r="I443" t="str">
        <f>_xlfn.IFS(B443&lt;=5,"Night (0-5)",B443&lt;=9,"Morning peak (6-9)",B443&lt;=15,"Midday (10-15)",B443&lt;=19,"Evening peak (16-19)",TRUE,"Late evening (20-23)")</f>
        <v>Morning peak (6-9)</v>
      </c>
    </row>
    <row r="444" spans="1:9">
      <c r="A444" s="32">
        <v>41748</v>
      </c>
      <c r="B444">
        <v>10</v>
      </c>
      <c r="C444">
        <v>464</v>
      </c>
      <c r="D444" t="s">
        <v>303</v>
      </c>
      <c r="E444">
        <f>YEAR(A444)</f>
        <v>2014</v>
      </c>
      <c r="F444" s="33">
        <f>DATE(YEAR(A444),MONTH(A444),1)</f>
        <v>41730.0</v>
      </c>
      <c r="G444" t="str">
        <f>CHOOSE(WEEKDAY(A444,2),"Mon","Tue","Wed","Thu","Fri","Sat","Sun")</f>
        <v>Sat</v>
      </c>
      <c r="H444" t="str">
        <f>IF(WEEKDAY(A444,2)&gt;5,"Weekend","Weekday")</f>
        <v>Weekend</v>
      </c>
      <c r="I444" t="str">
        <f>_xlfn.IFS(B444&lt;=5,"Night (0-5)",B444&lt;=9,"Morning peak (6-9)",B444&lt;=15,"Midday (10-15)",B444&lt;=19,"Evening peak (16-19)",TRUE,"Late evening (20-23)")</f>
        <v>Midday (10-15)</v>
      </c>
    </row>
    <row r="445" spans="1:9">
      <c r="A445" s="32">
        <v>41748</v>
      </c>
      <c r="B445">
        <v>11</v>
      </c>
      <c r="C445">
        <v>542</v>
      </c>
      <c r="D445" t="s">
        <v>303</v>
      </c>
      <c r="E445">
        <f>YEAR(A445)</f>
        <v>2014</v>
      </c>
      <c r="F445" s="33">
        <f>DATE(YEAR(A445),MONTH(A445),1)</f>
        <v>41730.0</v>
      </c>
      <c r="G445" t="str">
        <f>CHOOSE(WEEKDAY(A445,2),"Mon","Tue","Wed","Thu","Fri","Sat","Sun")</f>
        <v>Sat</v>
      </c>
      <c r="H445" t="str">
        <f>IF(WEEKDAY(A445,2)&gt;5,"Weekend","Weekday")</f>
        <v>Weekend</v>
      </c>
      <c r="I445" t="str">
        <f>_xlfn.IFS(B445&lt;=5,"Night (0-5)",B445&lt;=9,"Morning peak (6-9)",B445&lt;=15,"Midday (10-15)",B445&lt;=19,"Evening peak (16-19)",TRUE,"Late evening (20-23)")</f>
        <v>Midday (10-15)</v>
      </c>
    </row>
    <row r="446" spans="1:9">
      <c r="A446" s="32">
        <v>41748</v>
      </c>
      <c r="B446">
        <v>12</v>
      </c>
      <c r="C446">
        <v>603</v>
      </c>
      <c r="D446" t="s">
        <v>303</v>
      </c>
      <c r="E446">
        <f>YEAR(A446)</f>
        <v>2014</v>
      </c>
      <c r="F446" s="33">
        <f>DATE(YEAR(A446),MONTH(A446),1)</f>
        <v>41730.0</v>
      </c>
      <c r="G446" t="str">
        <f>CHOOSE(WEEKDAY(A446,2),"Mon","Tue","Wed","Thu","Fri","Sat","Sun")</f>
        <v>Sat</v>
      </c>
      <c r="H446" t="str">
        <f>IF(WEEKDAY(A446,2)&gt;5,"Weekend","Weekday")</f>
        <v>Weekend</v>
      </c>
      <c r="I446" t="str">
        <f>_xlfn.IFS(B446&lt;=5,"Night (0-5)",B446&lt;=9,"Morning peak (6-9)",B446&lt;=15,"Midday (10-15)",B446&lt;=19,"Evening peak (16-19)",TRUE,"Late evening (20-23)")</f>
        <v>Midday (10-15)</v>
      </c>
    </row>
    <row r="447" spans="1:9">
      <c r="A447" s="32">
        <v>41748</v>
      </c>
      <c r="B447">
        <v>13</v>
      </c>
      <c r="C447">
        <v>616</v>
      </c>
      <c r="D447" t="s">
        <v>303</v>
      </c>
      <c r="E447">
        <f>YEAR(A447)</f>
        <v>2014</v>
      </c>
      <c r="F447" s="33">
        <f>DATE(YEAR(A447),MONTH(A447),1)</f>
        <v>41730.0</v>
      </c>
      <c r="G447" t="str">
        <f>CHOOSE(WEEKDAY(A447,2),"Mon","Tue","Wed","Thu","Fri","Sat","Sun")</f>
        <v>Sat</v>
      </c>
      <c r="H447" t="str">
        <f>IF(WEEKDAY(A447,2)&gt;5,"Weekend","Weekday")</f>
        <v>Weekend</v>
      </c>
      <c r="I447" t="str">
        <f>_xlfn.IFS(B447&lt;=5,"Night (0-5)",B447&lt;=9,"Morning peak (6-9)",B447&lt;=15,"Midday (10-15)",B447&lt;=19,"Evening peak (16-19)",TRUE,"Late evening (20-23)")</f>
        <v>Midday (10-15)</v>
      </c>
    </row>
    <row r="448" spans="1:9">
      <c r="A448" s="32">
        <v>41748</v>
      </c>
      <c r="B448">
        <v>14</v>
      </c>
      <c r="C448">
        <v>677</v>
      </c>
      <c r="D448" t="s">
        <v>303</v>
      </c>
      <c r="E448">
        <f>YEAR(A448)</f>
        <v>2014</v>
      </c>
      <c r="F448" s="33">
        <f>DATE(YEAR(A448),MONTH(A448),1)</f>
        <v>41730.0</v>
      </c>
      <c r="G448" t="str">
        <f>CHOOSE(WEEKDAY(A448,2),"Mon","Tue","Wed","Thu","Fri","Sat","Sun")</f>
        <v>Sat</v>
      </c>
      <c r="H448" t="str">
        <f>IF(WEEKDAY(A448,2)&gt;5,"Weekend","Weekday")</f>
        <v>Weekend</v>
      </c>
      <c r="I448" t="str">
        <f>_xlfn.IFS(B448&lt;=5,"Night (0-5)",B448&lt;=9,"Morning peak (6-9)",B448&lt;=15,"Midday (10-15)",B448&lt;=19,"Evening peak (16-19)",TRUE,"Late evening (20-23)")</f>
        <v>Midday (10-15)</v>
      </c>
    </row>
    <row r="449" spans="1:9">
      <c r="A449" s="32">
        <v>41748</v>
      </c>
      <c r="B449">
        <v>15</v>
      </c>
      <c r="C449">
        <v>912</v>
      </c>
      <c r="D449" t="s">
        <v>303</v>
      </c>
      <c r="E449">
        <f>YEAR(A449)</f>
        <v>2014</v>
      </c>
      <c r="F449" s="33">
        <f>DATE(YEAR(A449),MONTH(A449),1)</f>
        <v>41730.0</v>
      </c>
      <c r="G449" t="str">
        <f>CHOOSE(WEEKDAY(A449,2),"Mon","Tue","Wed","Thu","Fri","Sat","Sun")</f>
        <v>Sat</v>
      </c>
      <c r="H449" t="str">
        <f>IF(WEEKDAY(A449,2)&gt;5,"Weekend","Weekday")</f>
        <v>Weekend</v>
      </c>
      <c r="I449" t="str">
        <f>_xlfn.IFS(B449&lt;=5,"Night (0-5)",B449&lt;=9,"Morning peak (6-9)",B449&lt;=15,"Midday (10-15)",B449&lt;=19,"Evening peak (16-19)",TRUE,"Late evening (20-23)")</f>
        <v>Midday (10-15)</v>
      </c>
    </row>
    <row r="450" spans="1:9">
      <c r="A450" s="32">
        <v>41748</v>
      </c>
      <c r="B450">
        <v>16</v>
      </c>
      <c r="C450">
        <v>1014</v>
      </c>
      <c r="D450" t="s">
        <v>303</v>
      </c>
      <c r="E450">
        <f>YEAR(A450)</f>
        <v>2014</v>
      </c>
      <c r="F450" s="33">
        <f>DATE(YEAR(A450),MONTH(A450),1)</f>
        <v>41730.0</v>
      </c>
      <c r="G450" t="str">
        <f>CHOOSE(WEEKDAY(A450,2),"Mon","Tue","Wed","Thu","Fri","Sat","Sun")</f>
        <v>Sat</v>
      </c>
      <c r="H450" t="str">
        <f>IF(WEEKDAY(A450,2)&gt;5,"Weekend","Weekday")</f>
        <v>Weekend</v>
      </c>
      <c r="I450" t="str">
        <f>_xlfn.IFS(B450&lt;=5,"Night (0-5)",B450&lt;=9,"Morning peak (6-9)",B450&lt;=15,"Midday (10-15)",B450&lt;=19,"Evening peak (16-19)",TRUE,"Late evening (20-23)")</f>
        <v>Evening peak (16-19)</v>
      </c>
    </row>
    <row r="451" spans="1:9">
      <c r="A451" s="32">
        <v>41748</v>
      </c>
      <c r="B451">
        <v>17</v>
      </c>
      <c r="C451">
        <v>979</v>
      </c>
      <c r="D451" t="s">
        <v>303</v>
      </c>
      <c r="E451">
        <f>YEAR(A451)</f>
        <v>2014</v>
      </c>
      <c r="F451" s="33">
        <f>DATE(YEAR(A451),MONTH(A451),1)</f>
        <v>41730.0</v>
      </c>
      <c r="G451" t="str">
        <f>CHOOSE(WEEKDAY(A451,2),"Mon","Tue","Wed","Thu","Fri","Sat","Sun")</f>
        <v>Sat</v>
      </c>
      <c r="H451" t="str">
        <f>IF(WEEKDAY(A451,2)&gt;5,"Weekend","Weekday")</f>
        <v>Weekend</v>
      </c>
      <c r="I451" t="str">
        <f>_xlfn.IFS(B451&lt;=5,"Night (0-5)",B451&lt;=9,"Morning peak (6-9)",B451&lt;=15,"Midday (10-15)",B451&lt;=19,"Evening peak (16-19)",TRUE,"Late evening (20-23)")</f>
        <v>Evening peak (16-19)</v>
      </c>
    </row>
    <row r="452" spans="1:9">
      <c r="A452" s="32">
        <v>41748</v>
      </c>
      <c r="B452">
        <v>18</v>
      </c>
      <c r="C452">
        <v>1036</v>
      </c>
      <c r="D452" t="s">
        <v>303</v>
      </c>
      <c r="E452">
        <f>YEAR(A452)</f>
        <v>2014</v>
      </c>
      <c r="F452" s="33">
        <f>DATE(YEAR(A452),MONTH(A452),1)</f>
        <v>41730.0</v>
      </c>
      <c r="G452" t="str">
        <f>CHOOSE(WEEKDAY(A452,2),"Mon","Tue","Wed","Thu","Fri","Sat","Sun")</f>
        <v>Sat</v>
      </c>
      <c r="H452" t="str">
        <f>IF(WEEKDAY(A452,2)&gt;5,"Weekend","Weekday")</f>
        <v>Weekend</v>
      </c>
      <c r="I452" t="str">
        <f>_xlfn.IFS(B452&lt;=5,"Night (0-5)",B452&lt;=9,"Morning peak (6-9)",B452&lt;=15,"Midday (10-15)",B452&lt;=19,"Evening peak (16-19)",TRUE,"Late evening (20-23)")</f>
        <v>Evening peak (16-19)</v>
      </c>
    </row>
    <row r="453" spans="1:9">
      <c r="A453" s="32">
        <v>41748</v>
      </c>
      <c r="B453">
        <v>19</v>
      </c>
      <c r="C453">
        <v>1004</v>
      </c>
      <c r="D453" t="s">
        <v>303</v>
      </c>
      <c r="E453">
        <f>YEAR(A453)</f>
        <v>2014</v>
      </c>
      <c r="F453" s="33">
        <f>DATE(YEAR(A453),MONTH(A453),1)</f>
        <v>41730.0</v>
      </c>
      <c r="G453" t="str">
        <f>CHOOSE(WEEKDAY(A453,2),"Mon","Tue","Wed","Thu","Fri","Sat","Sun")</f>
        <v>Sat</v>
      </c>
      <c r="H453" t="str">
        <f>IF(WEEKDAY(A453,2)&gt;5,"Weekend","Weekday")</f>
        <v>Weekend</v>
      </c>
      <c r="I453" t="str">
        <f>_xlfn.IFS(B453&lt;=5,"Night (0-5)",B453&lt;=9,"Morning peak (6-9)",B453&lt;=15,"Midday (10-15)",B453&lt;=19,"Evening peak (16-19)",TRUE,"Late evening (20-23)")</f>
        <v>Evening peak (16-19)</v>
      </c>
    </row>
    <row r="454" spans="1:9">
      <c r="A454" s="32">
        <v>41748</v>
      </c>
      <c r="B454">
        <v>20</v>
      </c>
      <c r="C454">
        <v>828</v>
      </c>
      <c r="D454" t="s">
        <v>303</v>
      </c>
      <c r="E454">
        <f>YEAR(A454)</f>
        <v>2014</v>
      </c>
      <c r="F454" s="33">
        <f>DATE(YEAR(A454),MONTH(A454),1)</f>
        <v>41730.0</v>
      </c>
      <c r="G454" t="str">
        <f>CHOOSE(WEEKDAY(A454,2),"Mon","Tue","Wed","Thu","Fri","Sat","Sun")</f>
        <v>Sat</v>
      </c>
      <c r="H454" t="str">
        <f>IF(WEEKDAY(A454,2)&gt;5,"Weekend","Weekday")</f>
        <v>Weekend</v>
      </c>
      <c r="I454" t="str">
        <f>_xlfn.IFS(B454&lt;=5,"Night (0-5)",B454&lt;=9,"Morning peak (6-9)",B454&lt;=15,"Midday (10-15)",B454&lt;=19,"Evening peak (16-19)",TRUE,"Late evening (20-23)")</f>
        <v>Late evening (20-23)</v>
      </c>
    </row>
    <row r="455" spans="1:9">
      <c r="A455" s="32">
        <v>41748</v>
      </c>
      <c r="B455">
        <v>21</v>
      </c>
      <c r="C455">
        <v>992</v>
      </c>
      <c r="D455" t="s">
        <v>303</v>
      </c>
      <c r="E455">
        <f>YEAR(A455)</f>
        <v>2014</v>
      </c>
      <c r="F455" s="33">
        <f>DATE(YEAR(A455),MONTH(A455),1)</f>
        <v>41730.0</v>
      </c>
      <c r="G455" t="str">
        <f>CHOOSE(WEEKDAY(A455,2),"Mon","Tue","Wed","Thu","Fri","Sat","Sun")</f>
        <v>Sat</v>
      </c>
      <c r="H455" t="str">
        <f>IF(WEEKDAY(A455,2)&gt;5,"Weekend","Weekday")</f>
        <v>Weekend</v>
      </c>
      <c r="I455" t="str">
        <f>_xlfn.IFS(B455&lt;=5,"Night (0-5)",B455&lt;=9,"Morning peak (6-9)",B455&lt;=15,"Midday (10-15)",B455&lt;=19,"Evening peak (16-19)",TRUE,"Late evening (20-23)")</f>
        <v>Late evening (20-23)</v>
      </c>
    </row>
    <row r="456" spans="1:9">
      <c r="A456" s="32">
        <v>41748</v>
      </c>
      <c r="B456">
        <v>22</v>
      </c>
      <c r="C456">
        <v>1105</v>
      </c>
      <c r="D456" t="s">
        <v>303</v>
      </c>
      <c r="E456">
        <f>YEAR(A456)</f>
        <v>2014</v>
      </c>
      <c r="F456" s="33">
        <f>DATE(YEAR(A456),MONTH(A456),1)</f>
        <v>41730.0</v>
      </c>
      <c r="G456" t="str">
        <f>CHOOSE(WEEKDAY(A456,2),"Mon","Tue","Wed","Thu","Fri","Sat","Sun")</f>
        <v>Sat</v>
      </c>
      <c r="H456" t="str">
        <f>IF(WEEKDAY(A456,2)&gt;5,"Weekend","Weekday")</f>
        <v>Weekend</v>
      </c>
      <c r="I456" t="str">
        <f>_xlfn.IFS(B456&lt;=5,"Night (0-5)",B456&lt;=9,"Morning peak (6-9)",B456&lt;=15,"Midday (10-15)",B456&lt;=19,"Evening peak (16-19)",TRUE,"Late evening (20-23)")</f>
        <v>Late evening (20-23)</v>
      </c>
    </row>
    <row r="457" spans="1:9">
      <c r="A457" s="32">
        <v>41748</v>
      </c>
      <c r="B457">
        <v>23</v>
      </c>
      <c r="C457">
        <v>850</v>
      </c>
      <c r="D457" t="s">
        <v>303</v>
      </c>
      <c r="E457">
        <f>YEAR(A457)</f>
        <v>2014</v>
      </c>
      <c r="F457" s="33">
        <f>DATE(YEAR(A457),MONTH(A457),1)</f>
        <v>41730.0</v>
      </c>
      <c r="G457" t="str">
        <f>CHOOSE(WEEKDAY(A457,2),"Mon","Tue","Wed","Thu","Fri","Sat","Sun")</f>
        <v>Sat</v>
      </c>
      <c r="H457" t="str">
        <f>IF(WEEKDAY(A457,2)&gt;5,"Weekend","Weekday")</f>
        <v>Weekend</v>
      </c>
      <c r="I457" t="str">
        <f>_xlfn.IFS(B457&lt;=5,"Night (0-5)",B457&lt;=9,"Morning peak (6-9)",B457&lt;=15,"Midday (10-15)",B457&lt;=19,"Evening peak (16-19)",TRUE,"Late evening (20-23)")</f>
        <v>Late evening (20-23)</v>
      </c>
    </row>
    <row r="458" spans="1:9">
      <c r="A458" s="32">
        <v>41749</v>
      </c>
      <c r="B458">
        <v>0</v>
      </c>
      <c r="C458">
        <v>544</v>
      </c>
      <c r="D458" t="s">
        <v>303</v>
      </c>
      <c r="E458">
        <f>YEAR(A458)</f>
        <v>2014</v>
      </c>
      <c r="F458" s="33">
        <f>DATE(YEAR(A458),MONTH(A458),1)</f>
        <v>41730.0</v>
      </c>
      <c r="G458" t="str">
        <f>CHOOSE(WEEKDAY(A458,2),"Mon","Tue","Wed","Thu","Fri","Sat","Sun")</f>
        <v>Sun</v>
      </c>
      <c r="H458" t="str">
        <f>IF(WEEKDAY(A458,2)&gt;5,"Weekend","Weekday")</f>
        <v>Weekend</v>
      </c>
      <c r="I458" t="str">
        <f>_xlfn.IFS(B458&lt;=5,"Night (0-5)",B458&lt;=9,"Morning peak (6-9)",B458&lt;=15,"Midday (10-15)",B458&lt;=19,"Evening peak (16-19)",TRUE,"Late evening (20-23)")</f>
        <v>Night (0-5)</v>
      </c>
    </row>
    <row r="459" spans="1:9">
      <c r="A459" s="32">
        <v>41749</v>
      </c>
      <c r="B459">
        <v>1</v>
      </c>
      <c r="C459">
        <v>433</v>
      </c>
      <c r="D459" t="s">
        <v>303</v>
      </c>
      <c r="E459">
        <f>YEAR(A459)</f>
        <v>2014</v>
      </c>
      <c r="F459" s="33">
        <f>DATE(YEAR(A459),MONTH(A459),1)</f>
        <v>41730.0</v>
      </c>
      <c r="G459" t="str">
        <f>CHOOSE(WEEKDAY(A459,2),"Mon","Tue","Wed","Thu","Fri","Sat","Sun")</f>
        <v>Sun</v>
      </c>
      <c r="H459" t="str">
        <f>IF(WEEKDAY(A459,2)&gt;5,"Weekend","Weekday")</f>
        <v>Weekend</v>
      </c>
      <c r="I459" t="str">
        <f>_xlfn.IFS(B459&lt;=5,"Night (0-5)",B459&lt;=9,"Morning peak (6-9)",B459&lt;=15,"Midday (10-15)",B459&lt;=19,"Evening peak (16-19)",TRUE,"Late evening (20-23)")</f>
        <v>Night (0-5)</v>
      </c>
    </row>
    <row r="460" spans="1:9">
      <c r="A460" s="32">
        <v>41749</v>
      </c>
      <c r="B460">
        <v>2</v>
      </c>
      <c r="C460">
        <v>275</v>
      </c>
      <c r="D460" t="s">
        <v>303</v>
      </c>
      <c r="E460">
        <f>YEAR(A460)</f>
        <v>2014</v>
      </c>
      <c r="F460" s="33">
        <f>DATE(YEAR(A460),MONTH(A460),1)</f>
        <v>41730.0</v>
      </c>
      <c r="G460" t="str">
        <f>CHOOSE(WEEKDAY(A460,2),"Mon","Tue","Wed","Thu","Fri","Sat","Sun")</f>
        <v>Sun</v>
      </c>
      <c r="H460" t="str">
        <f>IF(WEEKDAY(A460,2)&gt;5,"Weekend","Weekday")</f>
        <v>Weekend</v>
      </c>
      <c r="I460" t="str">
        <f>_xlfn.IFS(B460&lt;=5,"Night (0-5)",B460&lt;=9,"Morning peak (6-9)",B460&lt;=15,"Midday (10-15)",B460&lt;=19,"Evening peak (16-19)",TRUE,"Late evening (20-23)")</f>
        <v>Night (0-5)</v>
      </c>
    </row>
    <row r="461" spans="1:9">
      <c r="A461" s="32">
        <v>41749</v>
      </c>
      <c r="B461">
        <v>3</v>
      </c>
      <c r="C461">
        <v>209</v>
      </c>
      <c r="D461" t="s">
        <v>303</v>
      </c>
      <c r="E461">
        <f>YEAR(A461)</f>
        <v>2014</v>
      </c>
      <c r="F461" s="33">
        <f>DATE(YEAR(A461),MONTH(A461),1)</f>
        <v>41730.0</v>
      </c>
      <c r="G461" t="str">
        <f>CHOOSE(WEEKDAY(A461,2),"Mon","Tue","Wed","Thu","Fri","Sat","Sun")</f>
        <v>Sun</v>
      </c>
      <c r="H461" t="str">
        <f>IF(WEEKDAY(A461,2)&gt;5,"Weekend","Weekday")</f>
        <v>Weekend</v>
      </c>
      <c r="I461" t="str">
        <f>_xlfn.IFS(B461&lt;=5,"Night (0-5)",B461&lt;=9,"Morning peak (6-9)",B461&lt;=15,"Midday (10-15)",B461&lt;=19,"Evening peak (16-19)",TRUE,"Late evening (20-23)")</f>
        <v>Night (0-5)</v>
      </c>
    </row>
    <row r="462" spans="1:9">
      <c r="A462" s="32">
        <v>41749</v>
      </c>
      <c r="B462">
        <v>4</v>
      </c>
      <c r="C462">
        <v>149</v>
      </c>
      <c r="D462" t="s">
        <v>303</v>
      </c>
      <c r="E462">
        <f>YEAR(A462)</f>
        <v>2014</v>
      </c>
      <c r="F462" s="33">
        <f>DATE(YEAR(A462),MONTH(A462),1)</f>
        <v>41730.0</v>
      </c>
      <c r="G462" t="str">
        <f>CHOOSE(WEEKDAY(A462,2),"Mon","Tue","Wed","Thu","Fri","Sat","Sun")</f>
        <v>Sun</v>
      </c>
      <c r="H462" t="str">
        <f>IF(WEEKDAY(A462,2)&gt;5,"Weekend","Weekday")</f>
        <v>Weekend</v>
      </c>
      <c r="I462" t="str">
        <f>_xlfn.IFS(B462&lt;=5,"Night (0-5)",B462&lt;=9,"Morning peak (6-9)",B462&lt;=15,"Midday (10-15)",B462&lt;=19,"Evening peak (16-19)",TRUE,"Late evening (20-23)")</f>
        <v>Night (0-5)</v>
      </c>
    </row>
    <row r="463" spans="1:9">
      <c r="A463" s="32">
        <v>41749</v>
      </c>
      <c r="B463">
        <v>5</v>
      </c>
      <c r="C463">
        <v>118</v>
      </c>
      <c r="D463" t="s">
        <v>303</v>
      </c>
      <c r="E463">
        <f>YEAR(A463)</f>
        <v>2014</v>
      </c>
      <c r="F463" s="33">
        <f>DATE(YEAR(A463),MONTH(A463),1)</f>
        <v>41730.0</v>
      </c>
      <c r="G463" t="str">
        <f>CHOOSE(WEEKDAY(A463,2),"Mon","Tue","Wed","Thu","Fri","Sat","Sun")</f>
        <v>Sun</v>
      </c>
      <c r="H463" t="str">
        <f>IF(WEEKDAY(A463,2)&gt;5,"Weekend","Weekday")</f>
        <v>Weekend</v>
      </c>
      <c r="I463" t="str">
        <f>_xlfn.IFS(B463&lt;=5,"Night (0-5)",B463&lt;=9,"Morning peak (6-9)",B463&lt;=15,"Midday (10-15)",B463&lt;=19,"Evening peak (16-19)",TRUE,"Late evening (20-23)")</f>
        <v>Night (0-5)</v>
      </c>
    </row>
    <row r="464" spans="1:9">
      <c r="A464" s="32">
        <v>41749</v>
      </c>
      <c r="B464">
        <v>6</v>
      </c>
      <c r="C464">
        <v>126</v>
      </c>
      <c r="D464" t="s">
        <v>303</v>
      </c>
      <c r="E464">
        <f>YEAR(A464)</f>
        <v>2014</v>
      </c>
      <c r="F464" s="33">
        <f>DATE(YEAR(A464),MONTH(A464),1)</f>
        <v>41730.0</v>
      </c>
      <c r="G464" t="str">
        <f>CHOOSE(WEEKDAY(A464,2),"Mon","Tue","Wed","Thu","Fri","Sat","Sun")</f>
        <v>Sun</v>
      </c>
      <c r="H464" t="str">
        <f>IF(WEEKDAY(A464,2)&gt;5,"Weekend","Weekday")</f>
        <v>Weekend</v>
      </c>
      <c r="I464" t="str">
        <f>_xlfn.IFS(B464&lt;=5,"Night (0-5)",B464&lt;=9,"Morning peak (6-9)",B464&lt;=15,"Midday (10-15)",B464&lt;=19,"Evening peak (16-19)",TRUE,"Late evening (20-23)")</f>
        <v>Morning peak (6-9)</v>
      </c>
    </row>
    <row r="465" spans="1:9">
      <c r="A465" s="32">
        <v>41749</v>
      </c>
      <c r="B465">
        <v>7</v>
      </c>
      <c r="C465">
        <v>183</v>
      </c>
      <c r="D465" t="s">
        <v>303</v>
      </c>
      <c r="E465">
        <f>YEAR(A465)</f>
        <v>2014</v>
      </c>
      <c r="F465" s="33">
        <f>DATE(YEAR(A465),MONTH(A465),1)</f>
        <v>41730.0</v>
      </c>
      <c r="G465" t="str">
        <f>CHOOSE(WEEKDAY(A465,2),"Mon","Tue","Wed","Thu","Fri","Sat","Sun")</f>
        <v>Sun</v>
      </c>
      <c r="H465" t="str">
        <f>IF(WEEKDAY(A465,2)&gt;5,"Weekend","Weekday")</f>
        <v>Weekend</v>
      </c>
      <c r="I465" t="str">
        <f>_xlfn.IFS(B465&lt;=5,"Night (0-5)",B465&lt;=9,"Morning peak (6-9)",B465&lt;=15,"Midday (10-15)",B465&lt;=19,"Evening peak (16-19)",TRUE,"Late evening (20-23)")</f>
        <v>Morning peak (6-9)</v>
      </c>
    </row>
    <row r="466" spans="1:9">
      <c r="A466" s="32">
        <v>41749</v>
      </c>
      <c r="B466">
        <v>8</v>
      </c>
      <c r="C466">
        <v>291</v>
      </c>
      <c r="D466" t="s">
        <v>303</v>
      </c>
      <c r="E466">
        <f>YEAR(A466)</f>
        <v>2014</v>
      </c>
      <c r="F466" s="33">
        <f>DATE(YEAR(A466),MONTH(A466),1)</f>
        <v>41730.0</v>
      </c>
      <c r="G466" t="str">
        <f>CHOOSE(WEEKDAY(A466,2),"Mon","Tue","Wed","Thu","Fri","Sat","Sun")</f>
        <v>Sun</v>
      </c>
      <c r="H466" t="str">
        <f>IF(WEEKDAY(A466,2)&gt;5,"Weekend","Weekday")</f>
        <v>Weekend</v>
      </c>
      <c r="I466" t="str">
        <f>_xlfn.IFS(B466&lt;=5,"Night (0-5)",B466&lt;=9,"Morning peak (6-9)",B466&lt;=15,"Midday (10-15)",B466&lt;=19,"Evening peak (16-19)",TRUE,"Late evening (20-23)")</f>
        <v>Morning peak (6-9)</v>
      </c>
    </row>
    <row r="467" spans="1:9">
      <c r="A467" s="32">
        <v>41749</v>
      </c>
      <c r="B467">
        <v>9</v>
      </c>
      <c r="C467">
        <v>431</v>
      </c>
      <c r="D467" t="s">
        <v>303</v>
      </c>
      <c r="E467">
        <f>YEAR(A467)</f>
        <v>2014</v>
      </c>
      <c r="F467" s="33">
        <f>DATE(YEAR(A467),MONTH(A467),1)</f>
        <v>41730.0</v>
      </c>
      <c r="G467" t="str">
        <f>CHOOSE(WEEKDAY(A467,2),"Mon","Tue","Wed","Thu","Fri","Sat","Sun")</f>
        <v>Sun</v>
      </c>
      <c r="H467" t="str">
        <f>IF(WEEKDAY(A467,2)&gt;5,"Weekend","Weekday")</f>
        <v>Weekend</v>
      </c>
      <c r="I467" t="str">
        <f>_xlfn.IFS(B467&lt;=5,"Night (0-5)",B467&lt;=9,"Morning peak (6-9)",B467&lt;=15,"Midday (10-15)",B467&lt;=19,"Evening peak (16-19)",TRUE,"Late evening (20-23)")</f>
        <v>Morning peak (6-9)</v>
      </c>
    </row>
    <row r="468" spans="1:9">
      <c r="A468" s="32">
        <v>41749</v>
      </c>
      <c r="B468">
        <v>10</v>
      </c>
      <c r="C468">
        <v>509</v>
      </c>
      <c r="D468" t="s">
        <v>303</v>
      </c>
      <c r="E468">
        <f>YEAR(A468)</f>
        <v>2014</v>
      </c>
      <c r="F468" s="33">
        <f>DATE(YEAR(A468),MONTH(A468),1)</f>
        <v>41730.0</v>
      </c>
      <c r="G468" t="str">
        <f>CHOOSE(WEEKDAY(A468,2),"Mon","Tue","Wed","Thu","Fri","Sat","Sun")</f>
        <v>Sun</v>
      </c>
      <c r="H468" t="str">
        <f>IF(WEEKDAY(A468,2)&gt;5,"Weekend","Weekday")</f>
        <v>Weekend</v>
      </c>
      <c r="I468" t="str">
        <f>_xlfn.IFS(B468&lt;=5,"Night (0-5)",B468&lt;=9,"Morning peak (6-9)",B468&lt;=15,"Midday (10-15)",B468&lt;=19,"Evening peak (16-19)",TRUE,"Late evening (20-23)")</f>
        <v>Midday (10-15)</v>
      </c>
    </row>
    <row r="469" spans="1:9">
      <c r="A469" s="32">
        <v>41749</v>
      </c>
      <c r="B469">
        <v>11</v>
      </c>
      <c r="C469">
        <v>579</v>
      </c>
      <c r="D469" t="s">
        <v>303</v>
      </c>
      <c r="E469">
        <f>YEAR(A469)</f>
        <v>2014</v>
      </c>
      <c r="F469" s="33">
        <f>DATE(YEAR(A469),MONTH(A469),1)</f>
        <v>41730.0</v>
      </c>
      <c r="G469" t="str">
        <f>CHOOSE(WEEKDAY(A469,2),"Mon","Tue","Wed","Thu","Fri","Sat","Sun")</f>
        <v>Sun</v>
      </c>
      <c r="H469" t="str">
        <f>IF(WEEKDAY(A469,2)&gt;5,"Weekend","Weekday")</f>
        <v>Weekend</v>
      </c>
      <c r="I469" t="str">
        <f>_xlfn.IFS(B469&lt;=5,"Night (0-5)",B469&lt;=9,"Morning peak (6-9)",B469&lt;=15,"Midday (10-15)",B469&lt;=19,"Evening peak (16-19)",TRUE,"Late evening (20-23)")</f>
        <v>Midday (10-15)</v>
      </c>
    </row>
    <row r="470" spans="1:9">
      <c r="A470" s="32">
        <v>41749</v>
      </c>
      <c r="B470">
        <v>12</v>
      </c>
      <c r="C470">
        <v>619</v>
      </c>
      <c r="D470" t="s">
        <v>303</v>
      </c>
      <c r="E470">
        <f>YEAR(A470)</f>
        <v>2014</v>
      </c>
      <c r="F470" s="33">
        <f>DATE(YEAR(A470),MONTH(A470),1)</f>
        <v>41730.0</v>
      </c>
      <c r="G470" t="str">
        <f>CHOOSE(WEEKDAY(A470,2),"Mon","Tue","Wed","Thu","Fri","Sat","Sun")</f>
        <v>Sun</v>
      </c>
      <c r="H470" t="str">
        <f>IF(WEEKDAY(A470,2)&gt;5,"Weekend","Weekday")</f>
        <v>Weekend</v>
      </c>
      <c r="I470" t="str">
        <f>_xlfn.IFS(B470&lt;=5,"Night (0-5)",B470&lt;=9,"Morning peak (6-9)",B470&lt;=15,"Midday (10-15)",B470&lt;=19,"Evening peak (16-19)",TRUE,"Late evening (20-23)")</f>
        <v>Midday (10-15)</v>
      </c>
    </row>
    <row r="471" spans="1:9">
      <c r="A471" s="32">
        <v>41749</v>
      </c>
      <c r="B471">
        <v>13</v>
      </c>
      <c r="C471">
        <v>642</v>
      </c>
      <c r="D471" t="s">
        <v>303</v>
      </c>
      <c r="E471">
        <f>YEAR(A471)</f>
        <v>2014</v>
      </c>
      <c r="F471" s="33">
        <f>DATE(YEAR(A471),MONTH(A471),1)</f>
        <v>41730.0</v>
      </c>
      <c r="G471" t="str">
        <f>CHOOSE(WEEKDAY(A471,2),"Mon","Tue","Wed","Thu","Fri","Sat","Sun")</f>
        <v>Sun</v>
      </c>
      <c r="H471" t="str">
        <f>IF(WEEKDAY(A471,2)&gt;5,"Weekend","Weekday")</f>
        <v>Weekend</v>
      </c>
      <c r="I471" t="str">
        <f>_xlfn.IFS(B471&lt;=5,"Night (0-5)",B471&lt;=9,"Morning peak (6-9)",B471&lt;=15,"Midday (10-15)",B471&lt;=19,"Evening peak (16-19)",TRUE,"Late evening (20-23)")</f>
        <v>Midday (10-15)</v>
      </c>
    </row>
    <row r="472" spans="1:9">
      <c r="A472" s="32">
        <v>41749</v>
      </c>
      <c r="B472">
        <v>14</v>
      </c>
      <c r="C472">
        <v>604</v>
      </c>
      <c r="D472" t="s">
        <v>303</v>
      </c>
      <c r="E472">
        <f>YEAR(A472)</f>
        <v>2014</v>
      </c>
      <c r="F472" s="33">
        <f>DATE(YEAR(A472),MONTH(A472),1)</f>
        <v>41730.0</v>
      </c>
      <c r="G472" t="str">
        <f>CHOOSE(WEEKDAY(A472,2),"Mon","Tue","Wed","Thu","Fri","Sat","Sun")</f>
        <v>Sun</v>
      </c>
      <c r="H472" t="str">
        <f>IF(WEEKDAY(A472,2)&gt;5,"Weekend","Weekday")</f>
        <v>Weekend</v>
      </c>
      <c r="I472" t="str">
        <f>_xlfn.IFS(B472&lt;=5,"Night (0-5)",B472&lt;=9,"Morning peak (6-9)",B472&lt;=15,"Midday (10-15)",B472&lt;=19,"Evening peak (16-19)",TRUE,"Late evening (20-23)")</f>
        <v>Midday (10-15)</v>
      </c>
    </row>
    <row r="473" spans="1:9">
      <c r="A473" s="32">
        <v>41749</v>
      </c>
      <c r="B473">
        <v>15</v>
      </c>
      <c r="C473">
        <v>727</v>
      </c>
      <c r="D473" t="s">
        <v>303</v>
      </c>
      <c r="E473">
        <f>YEAR(A473)</f>
        <v>2014</v>
      </c>
      <c r="F473" s="33">
        <f>DATE(YEAR(A473),MONTH(A473),1)</f>
        <v>41730.0</v>
      </c>
      <c r="G473" t="str">
        <f>CHOOSE(WEEKDAY(A473,2),"Mon","Tue","Wed","Thu","Fri","Sat","Sun")</f>
        <v>Sun</v>
      </c>
      <c r="H473" t="str">
        <f>IF(WEEKDAY(A473,2)&gt;5,"Weekend","Weekday")</f>
        <v>Weekend</v>
      </c>
      <c r="I473" t="str">
        <f>_xlfn.IFS(B473&lt;=5,"Night (0-5)",B473&lt;=9,"Morning peak (6-9)",B473&lt;=15,"Midday (10-15)",B473&lt;=19,"Evening peak (16-19)",TRUE,"Late evening (20-23)")</f>
        <v>Midday (10-15)</v>
      </c>
    </row>
    <row r="474" spans="1:9">
      <c r="A474" s="32">
        <v>41749</v>
      </c>
      <c r="B474">
        <v>16</v>
      </c>
      <c r="C474">
        <v>735</v>
      </c>
      <c r="D474" t="s">
        <v>303</v>
      </c>
      <c r="E474">
        <f>YEAR(A474)</f>
        <v>2014</v>
      </c>
      <c r="F474" s="33">
        <f>DATE(YEAR(A474),MONTH(A474),1)</f>
        <v>41730.0</v>
      </c>
      <c r="G474" t="str">
        <f>CHOOSE(WEEKDAY(A474,2),"Mon","Tue","Wed","Thu","Fri","Sat","Sun")</f>
        <v>Sun</v>
      </c>
      <c r="H474" t="str">
        <f>IF(WEEKDAY(A474,2)&gt;5,"Weekend","Weekday")</f>
        <v>Weekend</v>
      </c>
      <c r="I474" t="str">
        <f>_xlfn.IFS(B474&lt;=5,"Night (0-5)",B474&lt;=9,"Morning peak (6-9)",B474&lt;=15,"Midday (10-15)",B474&lt;=19,"Evening peak (16-19)",TRUE,"Late evening (20-23)")</f>
        <v>Evening peak (16-19)</v>
      </c>
    </row>
    <row r="475" spans="1:9">
      <c r="A475" s="32">
        <v>41749</v>
      </c>
      <c r="B475">
        <v>17</v>
      </c>
      <c r="C475">
        <v>618</v>
      </c>
      <c r="D475" t="s">
        <v>303</v>
      </c>
      <c r="E475">
        <f>YEAR(A475)</f>
        <v>2014</v>
      </c>
      <c r="F475" s="33">
        <f>DATE(YEAR(A475),MONTH(A475),1)</f>
        <v>41730.0</v>
      </c>
      <c r="G475" t="str">
        <f>CHOOSE(WEEKDAY(A475,2),"Mon","Tue","Wed","Thu","Fri","Sat","Sun")</f>
        <v>Sun</v>
      </c>
      <c r="H475" t="str">
        <f>IF(WEEKDAY(A475,2)&gt;5,"Weekend","Weekday")</f>
        <v>Weekend</v>
      </c>
      <c r="I475" t="str">
        <f>_xlfn.IFS(B475&lt;=5,"Night (0-5)",B475&lt;=9,"Morning peak (6-9)",B475&lt;=15,"Midday (10-15)",B475&lt;=19,"Evening peak (16-19)",TRUE,"Late evening (20-23)")</f>
        <v>Evening peak (16-19)</v>
      </c>
    </row>
    <row r="476" spans="1:9">
      <c r="A476" s="32">
        <v>41749</v>
      </c>
      <c r="B476">
        <v>18</v>
      </c>
      <c r="C476">
        <v>664</v>
      </c>
      <c r="D476" t="s">
        <v>303</v>
      </c>
      <c r="E476">
        <f>YEAR(A476)</f>
        <v>2014</v>
      </c>
      <c r="F476" s="33">
        <f>DATE(YEAR(A476),MONTH(A476),1)</f>
        <v>41730.0</v>
      </c>
      <c r="G476" t="str">
        <f>CHOOSE(WEEKDAY(A476,2),"Mon","Tue","Wed","Thu","Fri","Sat","Sun")</f>
        <v>Sun</v>
      </c>
      <c r="H476" t="str">
        <f>IF(WEEKDAY(A476,2)&gt;5,"Weekend","Weekday")</f>
        <v>Weekend</v>
      </c>
      <c r="I476" t="str">
        <f>_xlfn.IFS(B476&lt;=5,"Night (0-5)",B476&lt;=9,"Morning peak (6-9)",B476&lt;=15,"Midday (10-15)",B476&lt;=19,"Evening peak (16-19)",TRUE,"Late evening (20-23)")</f>
        <v>Evening peak (16-19)</v>
      </c>
    </row>
    <row r="477" spans="1:9">
      <c r="A477" s="32">
        <v>41749</v>
      </c>
      <c r="B477">
        <v>19</v>
      </c>
      <c r="C477">
        <v>696</v>
      </c>
      <c r="D477" t="s">
        <v>303</v>
      </c>
      <c r="E477">
        <f>YEAR(A477)</f>
        <v>2014</v>
      </c>
      <c r="F477" s="33">
        <f>DATE(YEAR(A477),MONTH(A477),1)</f>
        <v>41730.0</v>
      </c>
      <c r="G477" t="str">
        <f>CHOOSE(WEEKDAY(A477,2),"Mon","Tue","Wed","Thu","Fri","Sat","Sun")</f>
        <v>Sun</v>
      </c>
      <c r="H477" t="str">
        <f>IF(WEEKDAY(A477,2)&gt;5,"Weekend","Weekday")</f>
        <v>Weekend</v>
      </c>
      <c r="I477" t="str">
        <f>_xlfn.IFS(B477&lt;=5,"Night (0-5)",B477&lt;=9,"Morning peak (6-9)",B477&lt;=15,"Midday (10-15)",B477&lt;=19,"Evening peak (16-19)",TRUE,"Late evening (20-23)")</f>
        <v>Evening peak (16-19)</v>
      </c>
    </row>
    <row r="478" spans="1:9">
      <c r="A478" s="32">
        <v>41749</v>
      </c>
      <c r="B478">
        <v>20</v>
      </c>
      <c r="C478">
        <v>631</v>
      </c>
      <c r="D478" t="s">
        <v>303</v>
      </c>
      <c r="E478">
        <f>YEAR(A478)</f>
        <v>2014</v>
      </c>
      <c r="F478" s="33">
        <f>DATE(YEAR(A478),MONTH(A478),1)</f>
        <v>41730.0</v>
      </c>
      <c r="G478" t="str">
        <f>CHOOSE(WEEKDAY(A478,2),"Mon","Tue","Wed","Thu","Fri","Sat","Sun")</f>
        <v>Sun</v>
      </c>
      <c r="H478" t="str">
        <f>IF(WEEKDAY(A478,2)&gt;5,"Weekend","Weekday")</f>
        <v>Weekend</v>
      </c>
      <c r="I478" t="str">
        <f>_xlfn.IFS(B478&lt;=5,"Night (0-5)",B478&lt;=9,"Morning peak (6-9)",B478&lt;=15,"Midday (10-15)",B478&lt;=19,"Evening peak (16-19)",TRUE,"Late evening (20-23)")</f>
        <v>Late evening (20-23)</v>
      </c>
    </row>
    <row r="479" spans="1:9">
      <c r="A479" s="32">
        <v>41749</v>
      </c>
      <c r="B479">
        <v>21</v>
      </c>
      <c r="C479">
        <v>596</v>
      </c>
      <c r="D479" t="s">
        <v>303</v>
      </c>
      <c r="E479">
        <f>YEAR(A479)</f>
        <v>2014</v>
      </c>
      <c r="F479" s="33">
        <f>DATE(YEAR(A479),MONTH(A479),1)</f>
        <v>41730.0</v>
      </c>
      <c r="G479" t="str">
        <f>CHOOSE(WEEKDAY(A479,2),"Mon","Tue","Wed","Thu","Fri","Sat","Sun")</f>
        <v>Sun</v>
      </c>
      <c r="H479" t="str">
        <f>IF(WEEKDAY(A479,2)&gt;5,"Weekend","Weekday")</f>
        <v>Weekend</v>
      </c>
      <c r="I479" t="str">
        <f>_xlfn.IFS(B479&lt;=5,"Night (0-5)",B479&lt;=9,"Morning peak (6-9)",B479&lt;=15,"Midday (10-15)",B479&lt;=19,"Evening peak (16-19)",TRUE,"Late evening (20-23)")</f>
        <v>Late evening (20-23)</v>
      </c>
    </row>
    <row r="480" spans="1:9">
      <c r="A480" s="32">
        <v>41749</v>
      </c>
      <c r="B480">
        <v>22</v>
      </c>
      <c r="C480">
        <v>404</v>
      </c>
      <c r="D480" t="s">
        <v>303</v>
      </c>
      <c r="E480">
        <f>YEAR(A480)</f>
        <v>2014</v>
      </c>
      <c r="F480" s="33">
        <f>DATE(YEAR(A480),MONTH(A480),1)</f>
        <v>41730.0</v>
      </c>
      <c r="G480" t="str">
        <f>CHOOSE(WEEKDAY(A480,2),"Mon","Tue","Wed","Thu","Fri","Sat","Sun")</f>
        <v>Sun</v>
      </c>
      <c r="H480" t="str">
        <f>IF(WEEKDAY(A480,2)&gt;5,"Weekend","Weekday")</f>
        <v>Weekend</v>
      </c>
      <c r="I480" t="str">
        <f>_xlfn.IFS(B480&lt;=5,"Night (0-5)",B480&lt;=9,"Morning peak (6-9)",B480&lt;=15,"Midday (10-15)",B480&lt;=19,"Evening peak (16-19)",TRUE,"Late evening (20-23)")</f>
        <v>Late evening (20-23)</v>
      </c>
    </row>
    <row r="481" spans="1:9">
      <c r="A481" s="32">
        <v>41749</v>
      </c>
      <c r="B481">
        <v>23</v>
      </c>
      <c r="C481">
        <v>234</v>
      </c>
      <c r="D481" t="s">
        <v>303</v>
      </c>
      <c r="E481">
        <f>YEAR(A481)</f>
        <v>2014</v>
      </c>
      <c r="F481" s="33">
        <f>DATE(YEAR(A481),MONTH(A481),1)</f>
        <v>41730.0</v>
      </c>
      <c r="G481" t="str">
        <f>CHOOSE(WEEKDAY(A481,2),"Mon","Tue","Wed","Thu","Fri","Sat","Sun")</f>
        <v>Sun</v>
      </c>
      <c r="H481" t="str">
        <f>IF(WEEKDAY(A481,2)&gt;5,"Weekend","Weekday")</f>
        <v>Weekend</v>
      </c>
      <c r="I481" t="str">
        <f>_xlfn.IFS(B481&lt;=5,"Night (0-5)",B481&lt;=9,"Morning peak (6-9)",B481&lt;=15,"Midday (10-15)",B481&lt;=19,"Evening peak (16-19)",TRUE,"Late evening (20-23)")</f>
        <v>Late evening (20-23)</v>
      </c>
    </row>
    <row r="482" spans="1:9">
      <c r="A482" s="32">
        <v>41750</v>
      </c>
      <c r="B482">
        <v>0</v>
      </c>
      <c r="C482">
        <v>113</v>
      </c>
      <c r="D482" t="s">
        <v>303</v>
      </c>
      <c r="E482">
        <f>YEAR(A482)</f>
        <v>2014</v>
      </c>
      <c r="F482" s="33">
        <f>DATE(YEAR(A482),MONTH(A482),1)</f>
        <v>41730.0</v>
      </c>
      <c r="G482" t="str">
        <f>CHOOSE(WEEKDAY(A482,2),"Mon","Tue","Wed","Thu","Fri","Sat","Sun")</f>
        <v>Mon</v>
      </c>
      <c r="H482" t="str">
        <f>IF(WEEKDAY(A482,2)&gt;5,"Weekend","Weekday")</f>
        <v>Weekday</v>
      </c>
      <c r="I482" t="str">
        <f>_xlfn.IFS(B482&lt;=5,"Night (0-5)",B482&lt;=9,"Morning peak (6-9)",B482&lt;=15,"Midday (10-15)",B482&lt;=19,"Evening peak (16-19)",TRUE,"Late evening (20-23)")</f>
        <v>Night (0-5)</v>
      </c>
    </row>
    <row r="483" spans="1:9">
      <c r="A483" s="32">
        <v>41750</v>
      </c>
      <c r="B483">
        <v>1</v>
      </c>
      <c r="C483">
        <v>66</v>
      </c>
      <c r="D483" t="s">
        <v>303</v>
      </c>
      <c r="E483">
        <f>YEAR(A483)</f>
        <v>2014</v>
      </c>
      <c r="F483" s="33">
        <f>DATE(YEAR(A483),MONTH(A483),1)</f>
        <v>41730.0</v>
      </c>
      <c r="G483" t="str">
        <f>CHOOSE(WEEKDAY(A483,2),"Mon","Tue","Wed","Thu","Fri","Sat","Sun")</f>
        <v>Mon</v>
      </c>
      <c r="H483" t="str">
        <f>IF(WEEKDAY(A483,2)&gt;5,"Weekend","Weekday")</f>
        <v>Weekday</v>
      </c>
      <c r="I483" t="str">
        <f>_xlfn.IFS(B483&lt;=5,"Night (0-5)",B483&lt;=9,"Morning peak (6-9)",B483&lt;=15,"Midday (10-15)",B483&lt;=19,"Evening peak (16-19)",TRUE,"Late evening (20-23)")</f>
        <v>Night (0-5)</v>
      </c>
    </row>
    <row r="484" spans="1:9">
      <c r="A484" s="32">
        <v>41750</v>
      </c>
      <c r="B484">
        <v>2</v>
      </c>
      <c r="C484">
        <v>58</v>
      </c>
      <c r="D484" t="s">
        <v>303</v>
      </c>
      <c r="E484">
        <f>YEAR(A484)</f>
        <v>2014</v>
      </c>
      <c r="F484" s="33">
        <f>DATE(YEAR(A484),MONTH(A484),1)</f>
        <v>41730.0</v>
      </c>
      <c r="G484" t="str">
        <f>CHOOSE(WEEKDAY(A484,2),"Mon","Tue","Wed","Thu","Fri","Sat","Sun")</f>
        <v>Mon</v>
      </c>
      <c r="H484" t="str">
        <f>IF(WEEKDAY(A484,2)&gt;5,"Weekend","Weekday")</f>
        <v>Weekday</v>
      </c>
      <c r="I484" t="str">
        <f>_xlfn.IFS(B484&lt;=5,"Night (0-5)",B484&lt;=9,"Morning peak (6-9)",B484&lt;=15,"Midday (10-15)",B484&lt;=19,"Evening peak (16-19)",TRUE,"Late evening (20-23)")</f>
        <v>Night (0-5)</v>
      </c>
    </row>
    <row r="485" spans="1:9">
      <c r="A485" s="32">
        <v>41750</v>
      </c>
      <c r="B485">
        <v>3</v>
      </c>
      <c r="C485">
        <v>131</v>
      </c>
      <c r="D485" t="s">
        <v>303</v>
      </c>
      <c r="E485">
        <f>YEAR(A485)</f>
        <v>2014</v>
      </c>
      <c r="F485" s="33">
        <f>DATE(YEAR(A485),MONTH(A485),1)</f>
        <v>41730.0</v>
      </c>
      <c r="G485" t="str">
        <f>CHOOSE(WEEKDAY(A485,2),"Mon","Tue","Wed","Thu","Fri","Sat","Sun")</f>
        <v>Mon</v>
      </c>
      <c r="H485" t="str">
        <f>IF(WEEKDAY(A485,2)&gt;5,"Weekend","Weekday")</f>
        <v>Weekday</v>
      </c>
      <c r="I485" t="str">
        <f>_xlfn.IFS(B485&lt;=5,"Night (0-5)",B485&lt;=9,"Morning peak (6-9)",B485&lt;=15,"Midday (10-15)",B485&lt;=19,"Evening peak (16-19)",TRUE,"Late evening (20-23)")</f>
        <v>Night (0-5)</v>
      </c>
    </row>
    <row r="486" spans="1:9">
      <c r="A486" s="32">
        <v>41750</v>
      </c>
      <c r="B486">
        <v>4</v>
      </c>
      <c r="C486">
        <v>267</v>
      </c>
      <c r="D486" t="s">
        <v>303</v>
      </c>
      <c r="E486">
        <f>YEAR(A486)</f>
        <v>2014</v>
      </c>
      <c r="F486" s="33">
        <f>DATE(YEAR(A486),MONTH(A486),1)</f>
        <v>41730.0</v>
      </c>
      <c r="G486" t="str">
        <f>CHOOSE(WEEKDAY(A486,2),"Mon","Tue","Wed","Thu","Fri","Sat","Sun")</f>
        <v>Mon</v>
      </c>
      <c r="H486" t="str">
        <f>IF(WEEKDAY(A486,2)&gt;5,"Weekend","Weekday")</f>
        <v>Weekday</v>
      </c>
      <c r="I486" t="str">
        <f>_xlfn.IFS(B486&lt;=5,"Night (0-5)",B486&lt;=9,"Morning peak (6-9)",B486&lt;=15,"Midday (10-15)",B486&lt;=19,"Evening peak (16-19)",TRUE,"Late evening (20-23)")</f>
        <v>Night (0-5)</v>
      </c>
    </row>
    <row r="487" spans="1:9">
      <c r="A487" s="32">
        <v>41750</v>
      </c>
      <c r="B487">
        <v>5</v>
      </c>
      <c r="C487">
        <v>398</v>
      </c>
      <c r="D487" t="s">
        <v>303</v>
      </c>
      <c r="E487">
        <f>YEAR(A487)</f>
        <v>2014</v>
      </c>
      <c r="F487" s="33">
        <f>DATE(YEAR(A487),MONTH(A487),1)</f>
        <v>41730.0</v>
      </c>
      <c r="G487" t="str">
        <f>CHOOSE(WEEKDAY(A487,2),"Mon","Tue","Wed","Thu","Fri","Sat","Sun")</f>
        <v>Mon</v>
      </c>
      <c r="H487" t="str">
        <f>IF(WEEKDAY(A487,2)&gt;5,"Weekend","Weekday")</f>
        <v>Weekday</v>
      </c>
      <c r="I487" t="str">
        <f>_xlfn.IFS(B487&lt;=5,"Night (0-5)",B487&lt;=9,"Morning peak (6-9)",B487&lt;=15,"Midday (10-15)",B487&lt;=19,"Evening peak (16-19)",TRUE,"Late evening (20-23)")</f>
        <v>Night (0-5)</v>
      </c>
    </row>
    <row r="488" spans="1:9">
      <c r="A488" s="32">
        <v>41750</v>
      </c>
      <c r="B488">
        <v>6</v>
      </c>
      <c r="C488">
        <v>674</v>
      </c>
      <c r="D488" t="s">
        <v>303</v>
      </c>
      <c r="E488">
        <f>YEAR(A488)</f>
        <v>2014</v>
      </c>
      <c r="F488" s="33">
        <f>DATE(YEAR(A488),MONTH(A488),1)</f>
        <v>41730.0</v>
      </c>
      <c r="G488" t="str">
        <f>CHOOSE(WEEKDAY(A488,2),"Mon","Tue","Wed","Thu","Fri","Sat","Sun")</f>
        <v>Mon</v>
      </c>
      <c r="H488" t="str">
        <f>IF(WEEKDAY(A488,2)&gt;5,"Weekend","Weekday")</f>
        <v>Weekday</v>
      </c>
      <c r="I488" t="str">
        <f>_xlfn.IFS(B488&lt;=5,"Night (0-5)",B488&lt;=9,"Morning peak (6-9)",B488&lt;=15,"Midday (10-15)",B488&lt;=19,"Evening peak (16-19)",TRUE,"Late evening (20-23)")</f>
        <v>Morning peak (6-9)</v>
      </c>
    </row>
    <row r="489" spans="1:9">
      <c r="A489" s="32">
        <v>41750</v>
      </c>
      <c r="B489">
        <v>7</v>
      </c>
      <c r="C489">
        <v>915</v>
      </c>
      <c r="D489" t="s">
        <v>303</v>
      </c>
      <c r="E489">
        <f>YEAR(A489)</f>
        <v>2014</v>
      </c>
      <c r="F489" s="33">
        <f>DATE(YEAR(A489),MONTH(A489),1)</f>
        <v>41730.0</v>
      </c>
      <c r="G489" t="str">
        <f>CHOOSE(WEEKDAY(A489,2),"Mon","Tue","Wed","Thu","Fri","Sat","Sun")</f>
        <v>Mon</v>
      </c>
      <c r="H489" t="str">
        <f>IF(WEEKDAY(A489,2)&gt;5,"Weekend","Weekday")</f>
        <v>Weekday</v>
      </c>
      <c r="I489" t="str">
        <f>_xlfn.IFS(B489&lt;=5,"Night (0-5)",B489&lt;=9,"Morning peak (6-9)",B489&lt;=15,"Midday (10-15)",B489&lt;=19,"Evening peak (16-19)",TRUE,"Late evening (20-23)")</f>
        <v>Morning peak (6-9)</v>
      </c>
    </row>
    <row r="490" spans="1:9">
      <c r="A490" s="32">
        <v>41750</v>
      </c>
      <c r="B490">
        <v>8</v>
      </c>
      <c r="C490">
        <v>711</v>
      </c>
      <c r="D490" t="s">
        <v>303</v>
      </c>
      <c r="E490">
        <f>YEAR(A490)</f>
        <v>2014</v>
      </c>
      <c r="F490" s="33">
        <f>DATE(YEAR(A490),MONTH(A490),1)</f>
        <v>41730.0</v>
      </c>
      <c r="G490" t="str">
        <f>CHOOSE(WEEKDAY(A490,2),"Mon","Tue","Wed","Thu","Fri","Sat","Sun")</f>
        <v>Mon</v>
      </c>
      <c r="H490" t="str">
        <f>IF(WEEKDAY(A490,2)&gt;5,"Weekend","Weekday")</f>
        <v>Weekday</v>
      </c>
      <c r="I490" t="str">
        <f>_xlfn.IFS(B490&lt;=5,"Night (0-5)",B490&lt;=9,"Morning peak (6-9)",B490&lt;=15,"Midday (10-15)",B490&lt;=19,"Evening peak (16-19)",TRUE,"Late evening (20-23)")</f>
        <v>Morning peak (6-9)</v>
      </c>
    </row>
    <row r="491" spans="1:9">
      <c r="A491" s="32">
        <v>41750</v>
      </c>
      <c r="B491">
        <v>9</v>
      </c>
      <c r="C491">
        <v>522</v>
      </c>
      <c r="D491" t="s">
        <v>303</v>
      </c>
      <c r="E491">
        <f>YEAR(A491)</f>
        <v>2014</v>
      </c>
      <c r="F491" s="33">
        <f>DATE(YEAR(A491),MONTH(A491),1)</f>
        <v>41730.0</v>
      </c>
      <c r="G491" t="str">
        <f>CHOOSE(WEEKDAY(A491,2),"Mon","Tue","Wed","Thu","Fri","Sat","Sun")</f>
        <v>Mon</v>
      </c>
      <c r="H491" t="str">
        <f>IF(WEEKDAY(A491,2)&gt;5,"Weekend","Weekday")</f>
        <v>Weekday</v>
      </c>
      <c r="I491" t="str">
        <f>_xlfn.IFS(B491&lt;=5,"Night (0-5)",B491&lt;=9,"Morning peak (6-9)",B491&lt;=15,"Midday (10-15)",B491&lt;=19,"Evening peak (16-19)",TRUE,"Late evening (20-23)")</f>
        <v>Morning peak (6-9)</v>
      </c>
    </row>
    <row r="492" spans="1:9">
      <c r="A492" s="32">
        <v>41750</v>
      </c>
      <c r="B492">
        <v>10</v>
      </c>
      <c r="C492">
        <v>440</v>
      </c>
      <c r="D492" t="s">
        <v>303</v>
      </c>
      <c r="E492">
        <f>YEAR(A492)</f>
        <v>2014</v>
      </c>
      <c r="F492" s="33">
        <f>DATE(YEAR(A492),MONTH(A492),1)</f>
        <v>41730.0</v>
      </c>
      <c r="G492" t="str">
        <f>CHOOSE(WEEKDAY(A492,2),"Mon","Tue","Wed","Thu","Fri","Sat","Sun")</f>
        <v>Mon</v>
      </c>
      <c r="H492" t="str">
        <f>IF(WEEKDAY(A492,2)&gt;5,"Weekend","Weekday")</f>
        <v>Weekday</v>
      </c>
      <c r="I492" t="str">
        <f>_xlfn.IFS(B492&lt;=5,"Night (0-5)",B492&lt;=9,"Morning peak (6-9)",B492&lt;=15,"Midday (10-15)",B492&lt;=19,"Evening peak (16-19)",TRUE,"Late evening (20-23)")</f>
        <v>Midday (10-15)</v>
      </c>
    </row>
    <row r="493" spans="1:9">
      <c r="A493" s="32">
        <v>41750</v>
      </c>
      <c r="B493">
        <v>11</v>
      </c>
      <c r="C493">
        <v>461</v>
      </c>
      <c r="D493" t="s">
        <v>303</v>
      </c>
      <c r="E493">
        <f>YEAR(A493)</f>
        <v>2014</v>
      </c>
      <c r="F493" s="33">
        <f>DATE(YEAR(A493),MONTH(A493),1)</f>
        <v>41730.0</v>
      </c>
      <c r="G493" t="str">
        <f>CHOOSE(WEEKDAY(A493,2),"Mon","Tue","Wed","Thu","Fri","Sat","Sun")</f>
        <v>Mon</v>
      </c>
      <c r="H493" t="str">
        <f>IF(WEEKDAY(A493,2)&gt;5,"Weekend","Weekday")</f>
        <v>Weekday</v>
      </c>
      <c r="I493" t="str">
        <f>_xlfn.IFS(B493&lt;=5,"Night (0-5)",B493&lt;=9,"Morning peak (6-9)",B493&lt;=15,"Midday (10-15)",B493&lt;=19,"Evening peak (16-19)",TRUE,"Late evening (20-23)")</f>
        <v>Midday (10-15)</v>
      </c>
    </row>
    <row r="494" spans="1:9">
      <c r="A494" s="32">
        <v>41750</v>
      </c>
      <c r="B494">
        <v>12</v>
      </c>
      <c r="C494">
        <v>443</v>
      </c>
      <c r="D494" t="s">
        <v>303</v>
      </c>
      <c r="E494">
        <f>YEAR(A494)</f>
        <v>2014</v>
      </c>
      <c r="F494" s="33">
        <f>DATE(YEAR(A494),MONTH(A494),1)</f>
        <v>41730.0</v>
      </c>
      <c r="G494" t="str">
        <f>CHOOSE(WEEKDAY(A494,2),"Mon","Tue","Wed","Thu","Fri","Sat","Sun")</f>
        <v>Mon</v>
      </c>
      <c r="H494" t="str">
        <f>IF(WEEKDAY(A494,2)&gt;5,"Weekend","Weekday")</f>
        <v>Weekday</v>
      </c>
      <c r="I494" t="str">
        <f>_xlfn.IFS(B494&lt;=5,"Night (0-5)",B494&lt;=9,"Morning peak (6-9)",B494&lt;=15,"Midday (10-15)",B494&lt;=19,"Evening peak (16-19)",TRUE,"Late evening (20-23)")</f>
        <v>Midday (10-15)</v>
      </c>
    </row>
    <row r="495" spans="1:9">
      <c r="A495" s="32">
        <v>41750</v>
      </c>
      <c r="B495">
        <v>13</v>
      </c>
      <c r="C495">
        <v>543</v>
      </c>
      <c r="D495" t="s">
        <v>303</v>
      </c>
      <c r="E495">
        <f>YEAR(A495)</f>
        <v>2014</v>
      </c>
      <c r="F495" s="33">
        <f>DATE(YEAR(A495),MONTH(A495),1)</f>
        <v>41730.0</v>
      </c>
      <c r="G495" t="str">
        <f>CHOOSE(WEEKDAY(A495,2),"Mon","Tue","Wed","Thu","Fri","Sat","Sun")</f>
        <v>Mon</v>
      </c>
      <c r="H495" t="str">
        <f>IF(WEEKDAY(A495,2)&gt;5,"Weekend","Weekday")</f>
        <v>Weekday</v>
      </c>
      <c r="I495" t="str">
        <f>_xlfn.IFS(B495&lt;=5,"Night (0-5)",B495&lt;=9,"Morning peak (6-9)",B495&lt;=15,"Midday (10-15)",B495&lt;=19,"Evening peak (16-19)",TRUE,"Late evening (20-23)")</f>
        <v>Midday (10-15)</v>
      </c>
    </row>
    <row r="496" spans="1:9">
      <c r="A496" s="32">
        <v>41750</v>
      </c>
      <c r="B496">
        <v>14</v>
      </c>
      <c r="C496">
        <v>718</v>
      </c>
      <c r="D496" t="s">
        <v>303</v>
      </c>
      <c r="E496">
        <f>YEAR(A496)</f>
        <v>2014</v>
      </c>
      <c r="F496" s="33">
        <f>DATE(YEAR(A496),MONTH(A496),1)</f>
        <v>41730.0</v>
      </c>
      <c r="G496" t="str">
        <f>CHOOSE(WEEKDAY(A496,2),"Mon","Tue","Wed","Thu","Fri","Sat","Sun")</f>
        <v>Mon</v>
      </c>
      <c r="H496" t="str">
        <f>IF(WEEKDAY(A496,2)&gt;5,"Weekend","Weekday")</f>
        <v>Weekday</v>
      </c>
      <c r="I496" t="str">
        <f>_xlfn.IFS(B496&lt;=5,"Night (0-5)",B496&lt;=9,"Morning peak (6-9)",B496&lt;=15,"Midday (10-15)",B496&lt;=19,"Evening peak (16-19)",TRUE,"Late evening (20-23)")</f>
        <v>Midday (10-15)</v>
      </c>
    </row>
    <row r="497" spans="1:9">
      <c r="A497" s="32">
        <v>41750</v>
      </c>
      <c r="B497">
        <v>15</v>
      </c>
      <c r="C497">
        <v>836</v>
      </c>
      <c r="D497" t="s">
        <v>303</v>
      </c>
      <c r="E497">
        <f>YEAR(A497)</f>
        <v>2014</v>
      </c>
      <c r="F497" s="33">
        <f>DATE(YEAR(A497),MONTH(A497),1)</f>
        <v>41730.0</v>
      </c>
      <c r="G497" t="str">
        <f>CHOOSE(WEEKDAY(A497,2),"Mon","Tue","Wed","Thu","Fri","Sat","Sun")</f>
        <v>Mon</v>
      </c>
      <c r="H497" t="str">
        <f>IF(WEEKDAY(A497,2)&gt;5,"Weekend","Weekday")</f>
        <v>Weekday</v>
      </c>
      <c r="I497" t="str">
        <f>_xlfn.IFS(B497&lt;=5,"Night (0-5)",B497&lt;=9,"Morning peak (6-9)",B497&lt;=15,"Midday (10-15)",B497&lt;=19,"Evening peak (16-19)",TRUE,"Late evening (20-23)")</f>
        <v>Midday (10-15)</v>
      </c>
    </row>
    <row r="498" spans="1:9">
      <c r="A498" s="32">
        <v>41750</v>
      </c>
      <c r="B498">
        <v>16</v>
      </c>
      <c r="C498">
        <v>1013</v>
      </c>
      <c r="D498" t="s">
        <v>303</v>
      </c>
      <c r="E498">
        <f>YEAR(A498)</f>
        <v>2014</v>
      </c>
      <c r="F498" s="33">
        <f>DATE(YEAR(A498),MONTH(A498),1)</f>
        <v>41730.0</v>
      </c>
      <c r="G498" t="str">
        <f>CHOOSE(WEEKDAY(A498,2),"Mon","Tue","Wed","Thu","Fri","Sat","Sun")</f>
        <v>Mon</v>
      </c>
      <c r="H498" t="str">
        <f>IF(WEEKDAY(A498,2)&gt;5,"Weekend","Weekday")</f>
        <v>Weekday</v>
      </c>
      <c r="I498" t="str">
        <f>_xlfn.IFS(B498&lt;=5,"Night (0-5)",B498&lt;=9,"Morning peak (6-9)",B498&lt;=15,"Midday (10-15)",B498&lt;=19,"Evening peak (16-19)",TRUE,"Late evening (20-23)")</f>
        <v>Evening peak (16-19)</v>
      </c>
    </row>
    <row r="499" spans="1:9">
      <c r="A499" s="32">
        <v>41750</v>
      </c>
      <c r="B499">
        <v>17</v>
      </c>
      <c r="C499">
        <v>1063</v>
      </c>
      <c r="D499" t="s">
        <v>303</v>
      </c>
      <c r="E499">
        <f>YEAR(A499)</f>
        <v>2014</v>
      </c>
      <c r="F499" s="33">
        <f>DATE(YEAR(A499),MONTH(A499),1)</f>
        <v>41730.0</v>
      </c>
      <c r="G499" t="str">
        <f>CHOOSE(WEEKDAY(A499,2),"Mon","Tue","Wed","Thu","Fri","Sat","Sun")</f>
        <v>Mon</v>
      </c>
      <c r="H499" t="str">
        <f>IF(WEEKDAY(A499,2)&gt;5,"Weekend","Weekday")</f>
        <v>Weekday</v>
      </c>
      <c r="I499" t="str">
        <f>_xlfn.IFS(B499&lt;=5,"Night (0-5)",B499&lt;=9,"Morning peak (6-9)",B499&lt;=15,"Midday (10-15)",B499&lt;=19,"Evening peak (16-19)",TRUE,"Late evening (20-23)")</f>
        <v>Evening peak (16-19)</v>
      </c>
    </row>
    <row r="500" spans="1:9">
      <c r="A500" s="32">
        <v>41750</v>
      </c>
      <c r="B500">
        <v>18</v>
      </c>
      <c r="C500">
        <v>871</v>
      </c>
      <c r="D500" t="s">
        <v>303</v>
      </c>
      <c r="E500">
        <f>YEAR(A500)</f>
        <v>2014</v>
      </c>
      <c r="F500" s="33">
        <f>DATE(YEAR(A500),MONTH(A500),1)</f>
        <v>41730.0</v>
      </c>
      <c r="G500" t="str">
        <f>CHOOSE(WEEKDAY(A500,2),"Mon","Tue","Wed","Thu","Fri","Sat","Sun")</f>
        <v>Mon</v>
      </c>
      <c r="H500" t="str">
        <f>IF(WEEKDAY(A500,2)&gt;5,"Weekend","Weekday")</f>
        <v>Weekday</v>
      </c>
      <c r="I500" t="str">
        <f>_xlfn.IFS(B500&lt;=5,"Night (0-5)",B500&lt;=9,"Morning peak (6-9)",B500&lt;=15,"Midday (10-15)",B500&lt;=19,"Evening peak (16-19)",TRUE,"Late evening (20-23)")</f>
        <v>Evening peak (16-19)</v>
      </c>
    </row>
    <row r="501" spans="1:9">
      <c r="A501" s="32">
        <v>41750</v>
      </c>
      <c r="B501">
        <v>19</v>
      </c>
      <c r="C501">
        <v>836</v>
      </c>
      <c r="D501" t="s">
        <v>303</v>
      </c>
      <c r="E501">
        <f>YEAR(A501)</f>
        <v>2014</v>
      </c>
      <c r="F501" s="33">
        <f>DATE(YEAR(A501),MONTH(A501),1)</f>
        <v>41730.0</v>
      </c>
      <c r="G501" t="str">
        <f>CHOOSE(WEEKDAY(A501,2),"Mon","Tue","Wed","Thu","Fri","Sat","Sun")</f>
        <v>Mon</v>
      </c>
      <c r="H501" t="str">
        <f>IF(WEEKDAY(A501,2)&gt;5,"Weekend","Weekday")</f>
        <v>Weekday</v>
      </c>
      <c r="I501" t="str">
        <f>_xlfn.IFS(B501&lt;=5,"Night (0-5)",B501&lt;=9,"Morning peak (6-9)",B501&lt;=15,"Midday (10-15)",B501&lt;=19,"Evening peak (16-19)",TRUE,"Late evening (20-23)")</f>
        <v>Evening peak (16-19)</v>
      </c>
    </row>
    <row r="502" spans="1:9">
      <c r="A502" s="32">
        <v>41750</v>
      </c>
      <c r="B502">
        <v>20</v>
      </c>
      <c r="C502">
        <v>734</v>
      </c>
      <c r="D502" t="s">
        <v>303</v>
      </c>
      <c r="E502">
        <f>YEAR(A502)</f>
        <v>2014</v>
      </c>
      <c r="F502" s="33">
        <f>DATE(YEAR(A502),MONTH(A502),1)</f>
        <v>41730.0</v>
      </c>
      <c r="G502" t="str">
        <f>CHOOSE(WEEKDAY(A502,2),"Mon","Tue","Wed","Thu","Fri","Sat","Sun")</f>
        <v>Mon</v>
      </c>
      <c r="H502" t="str">
        <f>IF(WEEKDAY(A502,2)&gt;5,"Weekend","Weekday")</f>
        <v>Weekday</v>
      </c>
      <c r="I502" t="str">
        <f>_xlfn.IFS(B502&lt;=5,"Night (0-5)",B502&lt;=9,"Morning peak (6-9)",B502&lt;=15,"Midday (10-15)",B502&lt;=19,"Evening peak (16-19)",TRUE,"Late evening (20-23)")</f>
        <v>Late evening (20-23)</v>
      </c>
    </row>
    <row r="503" spans="1:9">
      <c r="A503" s="32">
        <v>41750</v>
      </c>
      <c r="B503">
        <v>21</v>
      </c>
      <c r="C503">
        <v>615</v>
      </c>
      <c r="D503" t="s">
        <v>303</v>
      </c>
      <c r="E503">
        <f>YEAR(A503)</f>
        <v>2014</v>
      </c>
      <c r="F503" s="33">
        <f>DATE(YEAR(A503),MONTH(A503),1)</f>
        <v>41730.0</v>
      </c>
      <c r="G503" t="str">
        <f>CHOOSE(WEEKDAY(A503,2),"Mon","Tue","Wed","Thu","Fri","Sat","Sun")</f>
        <v>Mon</v>
      </c>
      <c r="H503" t="str">
        <f>IF(WEEKDAY(A503,2)&gt;5,"Weekend","Weekday")</f>
        <v>Weekday</v>
      </c>
      <c r="I503" t="str">
        <f>_xlfn.IFS(B503&lt;=5,"Night (0-5)",B503&lt;=9,"Morning peak (6-9)",B503&lt;=15,"Midday (10-15)",B503&lt;=19,"Evening peak (16-19)",TRUE,"Late evening (20-23)")</f>
        <v>Late evening (20-23)</v>
      </c>
    </row>
    <row r="504" spans="1:9">
      <c r="A504" s="32">
        <v>41750</v>
      </c>
      <c r="B504">
        <v>22</v>
      </c>
      <c r="C504">
        <v>443</v>
      </c>
      <c r="D504" t="s">
        <v>303</v>
      </c>
      <c r="E504">
        <f>YEAR(A504)</f>
        <v>2014</v>
      </c>
      <c r="F504" s="33">
        <f>DATE(YEAR(A504),MONTH(A504),1)</f>
        <v>41730.0</v>
      </c>
      <c r="G504" t="str">
        <f>CHOOSE(WEEKDAY(A504,2),"Mon","Tue","Wed","Thu","Fri","Sat","Sun")</f>
        <v>Mon</v>
      </c>
      <c r="H504" t="str">
        <f>IF(WEEKDAY(A504,2)&gt;5,"Weekend","Weekday")</f>
        <v>Weekday</v>
      </c>
      <c r="I504" t="str">
        <f>_xlfn.IFS(B504&lt;=5,"Night (0-5)",B504&lt;=9,"Morning peak (6-9)",B504&lt;=15,"Midday (10-15)",B504&lt;=19,"Evening peak (16-19)",TRUE,"Late evening (20-23)")</f>
        <v>Late evening (20-23)</v>
      </c>
    </row>
    <row r="505" spans="1:9">
      <c r="A505" s="32">
        <v>41750</v>
      </c>
      <c r="B505">
        <v>23</v>
      </c>
      <c r="C505">
        <v>291</v>
      </c>
      <c r="D505" t="s">
        <v>303</v>
      </c>
      <c r="E505">
        <f>YEAR(A505)</f>
        <v>2014</v>
      </c>
      <c r="F505" s="33">
        <f>DATE(YEAR(A505),MONTH(A505),1)</f>
        <v>41730.0</v>
      </c>
      <c r="G505" t="str">
        <f>CHOOSE(WEEKDAY(A505,2),"Mon","Tue","Wed","Thu","Fri","Sat","Sun")</f>
        <v>Mon</v>
      </c>
      <c r="H505" t="str">
        <f>IF(WEEKDAY(A505,2)&gt;5,"Weekend","Weekday")</f>
        <v>Weekday</v>
      </c>
      <c r="I505" t="str">
        <f>_xlfn.IFS(B505&lt;=5,"Night (0-5)",B505&lt;=9,"Morning peak (6-9)",B505&lt;=15,"Midday (10-15)",B505&lt;=19,"Evening peak (16-19)",TRUE,"Late evening (20-23)")</f>
        <v>Late evening (20-23)</v>
      </c>
    </row>
    <row r="506" spans="1:9">
      <c r="A506" s="32">
        <v>41751</v>
      </c>
      <c r="B506">
        <v>0</v>
      </c>
      <c r="C506">
        <v>150</v>
      </c>
      <c r="D506" t="s">
        <v>303</v>
      </c>
      <c r="E506">
        <f>YEAR(A506)</f>
        <v>2014</v>
      </c>
      <c r="F506" s="33">
        <f>DATE(YEAR(A506),MONTH(A506),1)</f>
        <v>41730.0</v>
      </c>
      <c r="G506" t="str">
        <f>CHOOSE(WEEKDAY(A506,2),"Mon","Tue","Wed","Thu","Fri","Sat","Sun")</f>
        <v>Tue</v>
      </c>
      <c r="H506" t="str">
        <f>IF(WEEKDAY(A506,2)&gt;5,"Weekend","Weekday")</f>
        <v>Weekday</v>
      </c>
      <c r="I506" t="str">
        <f>_xlfn.IFS(B506&lt;=5,"Night (0-5)",B506&lt;=9,"Morning peak (6-9)",B506&lt;=15,"Midday (10-15)",B506&lt;=19,"Evening peak (16-19)",TRUE,"Late evening (20-23)")</f>
        <v>Night (0-5)</v>
      </c>
    </row>
    <row r="507" spans="1:9">
      <c r="A507" s="32">
        <v>41751</v>
      </c>
      <c r="B507">
        <v>1</v>
      </c>
      <c r="C507">
        <v>62</v>
      </c>
      <c r="D507" t="s">
        <v>303</v>
      </c>
      <c r="E507">
        <f>YEAR(A507)</f>
        <v>2014</v>
      </c>
      <c r="F507" s="33">
        <f>DATE(YEAR(A507),MONTH(A507),1)</f>
        <v>41730.0</v>
      </c>
      <c r="G507" t="str">
        <f>CHOOSE(WEEKDAY(A507,2),"Mon","Tue","Wed","Thu","Fri","Sat","Sun")</f>
        <v>Tue</v>
      </c>
      <c r="H507" t="str">
        <f>IF(WEEKDAY(A507,2)&gt;5,"Weekend","Weekday")</f>
        <v>Weekday</v>
      </c>
      <c r="I507" t="str">
        <f>_xlfn.IFS(B507&lt;=5,"Night (0-5)",B507&lt;=9,"Morning peak (6-9)",B507&lt;=15,"Midday (10-15)",B507&lt;=19,"Evening peak (16-19)",TRUE,"Late evening (20-23)")</f>
        <v>Night (0-5)</v>
      </c>
    </row>
    <row r="508" spans="1:9">
      <c r="A508" s="32">
        <v>41751</v>
      </c>
      <c r="B508">
        <v>2</v>
      </c>
      <c r="C508">
        <v>61</v>
      </c>
      <c r="D508" t="s">
        <v>303</v>
      </c>
      <c r="E508">
        <f>YEAR(A508)</f>
        <v>2014</v>
      </c>
      <c r="F508" s="33">
        <f>DATE(YEAR(A508),MONTH(A508),1)</f>
        <v>41730.0</v>
      </c>
      <c r="G508" t="str">
        <f>CHOOSE(WEEKDAY(A508,2),"Mon","Tue","Wed","Thu","Fri","Sat","Sun")</f>
        <v>Tue</v>
      </c>
      <c r="H508" t="str">
        <f>IF(WEEKDAY(A508,2)&gt;5,"Weekend","Weekday")</f>
        <v>Weekday</v>
      </c>
      <c r="I508" t="str">
        <f>_xlfn.IFS(B508&lt;=5,"Night (0-5)",B508&lt;=9,"Morning peak (6-9)",B508&lt;=15,"Midday (10-15)",B508&lt;=19,"Evening peak (16-19)",TRUE,"Late evening (20-23)")</f>
        <v>Night (0-5)</v>
      </c>
    </row>
    <row r="509" spans="1:9">
      <c r="A509" s="32">
        <v>41751</v>
      </c>
      <c r="B509">
        <v>3</v>
      </c>
      <c r="C509">
        <v>88</v>
      </c>
      <c r="D509" t="s">
        <v>303</v>
      </c>
      <c r="E509">
        <f>YEAR(A509)</f>
        <v>2014</v>
      </c>
      <c r="F509" s="33">
        <f>DATE(YEAR(A509),MONTH(A509),1)</f>
        <v>41730.0</v>
      </c>
      <c r="G509" t="str">
        <f>CHOOSE(WEEKDAY(A509,2),"Mon","Tue","Wed","Thu","Fri","Sat","Sun")</f>
        <v>Tue</v>
      </c>
      <c r="H509" t="str">
        <f>IF(WEEKDAY(A509,2)&gt;5,"Weekend","Weekday")</f>
        <v>Weekday</v>
      </c>
      <c r="I509" t="str">
        <f>_xlfn.IFS(B509&lt;=5,"Night (0-5)",B509&lt;=9,"Morning peak (6-9)",B509&lt;=15,"Midday (10-15)",B509&lt;=19,"Evening peak (16-19)",TRUE,"Late evening (20-23)")</f>
        <v>Night (0-5)</v>
      </c>
    </row>
    <row r="510" spans="1:9">
      <c r="A510" s="32">
        <v>41751</v>
      </c>
      <c r="B510">
        <v>4</v>
      </c>
      <c r="C510">
        <v>207</v>
      </c>
      <c r="D510" t="s">
        <v>303</v>
      </c>
      <c r="E510">
        <f>YEAR(A510)</f>
        <v>2014</v>
      </c>
      <c r="F510" s="33">
        <f>DATE(YEAR(A510),MONTH(A510),1)</f>
        <v>41730.0</v>
      </c>
      <c r="G510" t="str">
        <f>CHOOSE(WEEKDAY(A510,2),"Mon","Tue","Wed","Thu","Fri","Sat","Sun")</f>
        <v>Tue</v>
      </c>
      <c r="H510" t="str">
        <f>IF(WEEKDAY(A510,2)&gt;5,"Weekend","Weekday")</f>
        <v>Weekday</v>
      </c>
      <c r="I510" t="str">
        <f>_xlfn.IFS(B510&lt;=5,"Night (0-5)",B510&lt;=9,"Morning peak (6-9)",B510&lt;=15,"Midday (10-15)",B510&lt;=19,"Evening peak (16-19)",TRUE,"Late evening (20-23)")</f>
        <v>Night (0-5)</v>
      </c>
    </row>
    <row r="511" spans="1:9">
      <c r="A511" s="32">
        <v>41751</v>
      </c>
      <c r="B511">
        <v>5</v>
      </c>
      <c r="C511">
        <v>327</v>
      </c>
      <c r="D511" t="s">
        <v>303</v>
      </c>
      <c r="E511">
        <f>YEAR(A511)</f>
        <v>2014</v>
      </c>
      <c r="F511" s="33">
        <f>DATE(YEAR(A511),MONTH(A511),1)</f>
        <v>41730.0</v>
      </c>
      <c r="G511" t="str">
        <f>CHOOSE(WEEKDAY(A511,2),"Mon","Tue","Wed","Thu","Fri","Sat","Sun")</f>
        <v>Tue</v>
      </c>
      <c r="H511" t="str">
        <f>IF(WEEKDAY(A511,2)&gt;5,"Weekend","Weekday")</f>
        <v>Weekday</v>
      </c>
      <c r="I511" t="str">
        <f>_xlfn.IFS(B511&lt;=5,"Night (0-5)",B511&lt;=9,"Morning peak (6-9)",B511&lt;=15,"Midday (10-15)",B511&lt;=19,"Evening peak (16-19)",TRUE,"Late evening (20-23)")</f>
        <v>Night (0-5)</v>
      </c>
    </row>
    <row r="512" spans="1:9">
      <c r="A512" s="32">
        <v>41751</v>
      </c>
      <c r="B512">
        <v>6</v>
      </c>
      <c r="C512">
        <v>719</v>
      </c>
      <c r="D512" t="s">
        <v>303</v>
      </c>
      <c r="E512">
        <f>YEAR(A512)</f>
        <v>2014</v>
      </c>
      <c r="F512" s="33">
        <f>DATE(YEAR(A512),MONTH(A512),1)</f>
        <v>41730.0</v>
      </c>
      <c r="G512" t="str">
        <f>CHOOSE(WEEKDAY(A512,2),"Mon","Tue","Wed","Thu","Fri","Sat","Sun")</f>
        <v>Tue</v>
      </c>
      <c r="H512" t="str">
        <f>IF(WEEKDAY(A512,2)&gt;5,"Weekend","Weekday")</f>
        <v>Weekday</v>
      </c>
      <c r="I512" t="str">
        <f>_xlfn.IFS(B512&lt;=5,"Night (0-5)",B512&lt;=9,"Morning peak (6-9)",B512&lt;=15,"Midday (10-15)",B512&lt;=19,"Evening peak (16-19)",TRUE,"Late evening (20-23)")</f>
        <v>Morning peak (6-9)</v>
      </c>
    </row>
    <row r="513" spans="1:9">
      <c r="A513" s="32">
        <v>41751</v>
      </c>
      <c r="B513">
        <v>7</v>
      </c>
      <c r="C513">
        <v>945</v>
      </c>
      <c r="D513" t="s">
        <v>303</v>
      </c>
      <c r="E513">
        <f>YEAR(A513)</f>
        <v>2014</v>
      </c>
      <c r="F513" s="33">
        <f>DATE(YEAR(A513),MONTH(A513),1)</f>
        <v>41730.0</v>
      </c>
      <c r="G513" t="str">
        <f>CHOOSE(WEEKDAY(A513,2),"Mon","Tue","Wed","Thu","Fri","Sat","Sun")</f>
        <v>Tue</v>
      </c>
      <c r="H513" t="str">
        <f>IF(WEEKDAY(A513,2)&gt;5,"Weekend","Weekday")</f>
        <v>Weekday</v>
      </c>
      <c r="I513" t="str">
        <f>_xlfn.IFS(B513&lt;=5,"Night (0-5)",B513&lt;=9,"Morning peak (6-9)",B513&lt;=15,"Midday (10-15)",B513&lt;=19,"Evening peak (16-19)",TRUE,"Late evening (20-23)")</f>
        <v>Morning peak (6-9)</v>
      </c>
    </row>
    <row r="514" spans="1:9">
      <c r="A514" s="32">
        <v>41751</v>
      </c>
      <c r="B514">
        <v>8</v>
      </c>
      <c r="C514">
        <v>802</v>
      </c>
      <c r="D514" t="s">
        <v>303</v>
      </c>
      <c r="E514">
        <f>YEAR(A514)</f>
        <v>2014</v>
      </c>
      <c r="F514" s="33">
        <f>DATE(YEAR(A514),MONTH(A514),1)</f>
        <v>41730.0</v>
      </c>
      <c r="G514" t="str">
        <f>CHOOSE(WEEKDAY(A514,2),"Mon","Tue","Wed","Thu","Fri","Sat","Sun")</f>
        <v>Tue</v>
      </c>
      <c r="H514" t="str">
        <f>IF(WEEKDAY(A514,2)&gt;5,"Weekend","Weekday")</f>
        <v>Weekday</v>
      </c>
      <c r="I514" t="str">
        <f>_xlfn.IFS(B514&lt;=5,"Night (0-5)",B514&lt;=9,"Morning peak (6-9)",B514&lt;=15,"Midday (10-15)",B514&lt;=19,"Evening peak (16-19)",TRUE,"Late evening (20-23)")</f>
        <v>Morning peak (6-9)</v>
      </c>
    </row>
    <row r="515" spans="1:9">
      <c r="A515" s="32">
        <v>41751</v>
      </c>
      <c r="B515">
        <v>9</v>
      </c>
      <c r="C515">
        <v>506</v>
      </c>
      <c r="D515" t="s">
        <v>303</v>
      </c>
      <c r="E515">
        <f>YEAR(A515)</f>
        <v>2014</v>
      </c>
      <c r="F515" s="33">
        <f>DATE(YEAR(A515),MONTH(A515),1)</f>
        <v>41730.0</v>
      </c>
      <c r="G515" t="str">
        <f>CHOOSE(WEEKDAY(A515,2),"Mon","Tue","Wed","Thu","Fri","Sat","Sun")</f>
        <v>Tue</v>
      </c>
      <c r="H515" t="str">
        <f>IF(WEEKDAY(A515,2)&gt;5,"Weekend","Weekday")</f>
        <v>Weekday</v>
      </c>
      <c r="I515" t="str">
        <f>_xlfn.IFS(B515&lt;=5,"Night (0-5)",B515&lt;=9,"Morning peak (6-9)",B515&lt;=15,"Midday (10-15)",B515&lt;=19,"Evening peak (16-19)",TRUE,"Late evening (20-23)")</f>
        <v>Morning peak (6-9)</v>
      </c>
    </row>
    <row r="516" spans="1:9">
      <c r="A516" s="32">
        <v>41751</v>
      </c>
      <c r="B516">
        <v>10</v>
      </c>
      <c r="C516">
        <v>550</v>
      </c>
      <c r="D516" t="s">
        <v>303</v>
      </c>
      <c r="E516">
        <f>YEAR(A516)</f>
        <v>2014</v>
      </c>
      <c r="F516" s="33">
        <f>DATE(YEAR(A516),MONTH(A516),1)</f>
        <v>41730.0</v>
      </c>
      <c r="G516" t="str">
        <f>CHOOSE(WEEKDAY(A516,2),"Mon","Tue","Wed","Thu","Fri","Sat","Sun")</f>
        <v>Tue</v>
      </c>
      <c r="H516" t="str">
        <f>IF(WEEKDAY(A516,2)&gt;5,"Weekend","Weekday")</f>
        <v>Weekday</v>
      </c>
      <c r="I516" t="str">
        <f>_xlfn.IFS(B516&lt;=5,"Night (0-5)",B516&lt;=9,"Morning peak (6-9)",B516&lt;=15,"Midday (10-15)",B516&lt;=19,"Evening peak (16-19)",TRUE,"Late evening (20-23)")</f>
        <v>Midday (10-15)</v>
      </c>
    </row>
    <row r="517" spans="1:9">
      <c r="A517" s="32">
        <v>41751</v>
      </c>
      <c r="B517">
        <v>11</v>
      </c>
      <c r="C517">
        <v>522</v>
      </c>
      <c r="D517" t="s">
        <v>303</v>
      </c>
      <c r="E517">
        <f>YEAR(A517)</f>
        <v>2014</v>
      </c>
      <c r="F517" s="33">
        <f>DATE(YEAR(A517),MONTH(A517),1)</f>
        <v>41730.0</v>
      </c>
      <c r="G517" t="str">
        <f>CHOOSE(WEEKDAY(A517,2),"Mon","Tue","Wed","Thu","Fri","Sat","Sun")</f>
        <v>Tue</v>
      </c>
      <c r="H517" t="str">
        <f>IF(WEEKDAY(A517,2)&gt;5,"Weekend","Weekday")</f>
        <v>Weekday</v>
      </c>
      <c r="I517" t="str">
        <f>_xlfn.IFS(B517&lt;=5,"Night (0-5)",B517&lt;=9,"Morning peak (6-9)",B517&lt;=15,"Midday (10-15)",B517&lt;=19,"Evening peak (16-19)",TRUE,"Late evening (20-23)")</f>
        <v>Midday (10-15)</v>
      </c>
    </row>
    <row r="518" spans="1:9">
      <c r="A518" s="32">
        <v>41751</v>
      </c>
      <c r="B518">
        <v>12</v>
      </c>
      <c r="C518">
        <v>505</v>
      </c>
      <c r="D518" t="s">
        <v>303</v>
      </c>
      <c r="E518">
        <f>YEAR(A518)</f>
        <v>2014</v>
      </c>
      <c r="F518" s="33">
        <f>DATE(YEAR(A518),MONTH(A518),1)</f>
        <v>41730.0</v>
      </c>
      <c r="G518" t="str">
        <f>CHOOSE(WEEKDAY(A518,2),"Mon","Tue","Wed","Thu","Fri","Sat","Sun")</f>
        <v>Tue</v>
      </c>
      <c r="H518" t="str">
        <f>IF(WEEKDAY(A518,2)&gt;5,"Weekend","Weekday")</f>
        <v>Weekday</v>
      </c>
      <c r="I518" t="str">
        <f>_xlfn.IFS(B518&lt;=5,"Night (0-5)",B518&lt;=9,"Morning peak (6-9)",B518&lt;=15,"Midday (10-15)",B518&lt;=19,"Evening peak (16-19)",TRUE,"Late evening (20-23)")</f>
        <v>Midday (10-15)</v>
      </c>
    </row>
    <row r="519" spans="1:9">
      <c r="A519" s="32">
        <v>41751</v>
      </c>
      <c r="B519">
        <v>13</v>
      </c>
      <c r="C519">
        <v>613</v>
      </c>
      <c r="D519" t="s">
        <v>303</v>
      </c>
      <c r="E519">
        <f>YEAR(A519)</f>
        <v>2014</v>
      </c>
      <c r="F519" s="33">
        <f>DATE(YEAR(A519),MONTH(A519),1)</f>
        <v>41730.0</v>
      </c>
      <c r="G519" t="str">
        <f>CHOOSE(WEEKDAY(A519,2),"Mon","Tue","Wed","Thu","Fri","Sat","Sun")</f>
        <v>Tue</v>
      </c>
      <c r="H519" t="str">
        <f>IF(WEEKDAY(A519,2)&gt;5,"Weekend","Weekday")</f>
        <v>Weekday</v>
      </c>
      <c r="I519" t="str">
        <f>_xlfn.IFS(B519&lt;=5,"Night (0-5)",B519&lt;=9,"Morning peak (6-9)",B519&lt;=15,"Midday (10-15)",B519&lt;=19,"Evening peak (16-19)",TRUE,"Late evening (20-23)")</f>
        <v>Midday (10-15)</v>
      </c>
    </row>
    <row r="520" spans="1:9">
      <c r="A520" s="32">
        <v>41751</v>
      </c>
      <c r="B520">
        <v>14</v>
      </c>
      <c r="C520">
        <v>834</v>
      </c>
      <c r="D520" t="s">
        <v>303</v>
      </c>
      <c r="E520">
        <f>YEAR(A520)</f>
        <v>2014</v>
      </c>
      <c r="F520" s="33">
        <f>DATE(YEAR(A520),MONTH(A520),1)</f>
        <v>41730.0</v>
      </c>
      <c r="G520" t="str">
        <f>CHOOSE(WEEKDAY(A520,2),"Mon","Tue","Wed","Thu","Fri","Sat","Sun")</f>
        <v>Tue</v>
      </c>
      <c r="H520" t="str">
        <f>IF(WEEKDAY(A520,2)&gt;5,"Weekend","Weekday")</f>
        <v>Weekday</v>
      </c>
      <c r="I520" t="str">
        <f>_xlfn.IFS(B520&lt;=5,"Night (0-5)",B520&lt;=9,"Morning peak (6-9)",B520&lt;=15,"Midday (10-15)",B520&lt;=19,"Evening peak (16-19)",TRUE,"Late evening (20-23)")</f>
        <v>Midday (10-15)</v>
      </c>
    </row>
    <row r="521" spans="1:9">
      <c r="A521" s="32">
        <v>41751</v>
      </c>
      <c r="B521">
        <v>15</v>
      </c>
      <c r="C521">
        <v>1374</v>
      </c>
      <c r="D521" t="s">
        <v>303</v>
      </c>
      <c r="E521">
        <f>YEAR(A521)</f>
        <v>2014</v>
      </c>
      <c r="F521" s="33">
        <f>DATE(YEAR(A521),MONTH(A521),1)</f>
        <v>41730.0</v>
      </c>
      <c r="G521" t="str">
        <f>CHOOSE(WEEKDAY(A521,2),"Mon","Tue","Wed","Thu","Fri","Sat","Sun")</f>
        <v>Tue</v>
      </c>
      <c r="H521" t="str">
        <f>IF(WEEKDAY(A521,2)&gt;5,"Weekend","Weekday")</f>
        <v>Weekday</v>
      </c>
      <c r="I521" t="str">
        <f>_xlfn.IFS(B521&lt;=5,"Night (0-5)",B521&lt;=9,"Morning peak (6-9)",B521&lt;=15,"Midday (10-15)",B521&lt;=19,"Evening peak (16-19)",TRUE,"Late evening (20-23)")</f>
        <v>Midday (10-15)</v>
      </c>
    </row>
    <row r="522" spans="1:9">
      <c r="A522" s="32">
        <v>41751</v>
      </c>
      <c r="B522">
        <v>16</v>
      </c>
      <c r="C522">
        <v>1629</v>
      </c>
      <c r="D522" t="s">
        <v>303</v>
      </c>
      <c r="E522">
        <f>YEAR(A522)</f>
        <v>2014</v>
      </c>
      <c r="F522" s="33">
        <f>DATE(YEAR(A522),MONTH(A522),1)</f>
        <v>41730.0</v>
      </c>
      <c r="G522" t="str">
        <f>CHOOSE(WEEKDAY(A522,2),"Mon","Tue","Wed","Thu","Fri","Sat","Sun")</f>
        <v>Tue</v>
      </c>
      <c r="H522" t="str">
        <f>IF(WEEKDAY(A522,2)&gt;5,"Weekend","Weekday")</f>
        <v>Weekday</v>
      </c>
      <c r="I522" t="str">
        <f>_xlfn.IFS(B522&lt;=5,"Night (0-5)",B522&lt;=9,"Morning peak (6-9)",B522&lt;=15,"Midday (10-15)",B522&lt;=19,"Evening peak (16-19)",TRUE,"Late evening (20-23)")</f>
        <v>Evening peak (16-19)</v>
      </c>
    </row>
    <row r="523" spans="1:9">
      <c r="A523" s="32">
        <v>41751</v>
      </c>
      <c r="B523">
        <v>17</v>
      </c>
      <c r="C523">
        <v>1612</v>
      </c>
      <c r="D523" t="s">
        <v>303</v>
      </c>
      <c r="E523">
        <f>YEAR(A523)</f>
        <v>2014</v>
      </c>
      <c r="F523" s="33">
        <f>DATE(YEAR(A523),MONTH(A523),1)</f>
        <v>41730.0</v>
      </c>
      <c r="G523" t="str">
        <f>CHOOSE(WEEKDAY(A523,2),"Mon","Tue","Wed","Thu","Fri","Sat","Sun")</f>
        <v>Tue</v>
      </c>
      <c r="H523" t="str">
        <f>IF(WEEKDAY(A523,2)&gt;5,"Weekend","Weekday")</f>
        <v>Weekday</v>
      </c>
      <c r="I523" t="str">
        <f>_xlfn.IFS(B523&lt;=5,"Night (0-5)",B523&lt;=9,"Morning peak (6-9)",B523&lt;=15,"Midday (10-15)",B523&lt;=19,"Evening peak (16-19)",TRUE,"Late evening (20-23)")</f>
        <v>Evening peak (16-19)</v>
      </c>
    </row>
    <row r="524" spans="1:9">
      <c r="A524" s="32">
        <v>41751</v>
      </c>
      <c r="B524">
        <v>18</v>
      </c>
      <c r="C524">
        <v>1342</v>
      </c>
      <c r="D524" t="s">
        <v>303</v>
      </c>
      <c r="E524">
        <f>YEAR(A524)</f>
        <v>2014</v>
      </c>
      <c r="F524" s="33">
        <f>DATE(YEAR(A524),MONTH(A524),1)</f>
        <v>41730.0</v>
      </c>
      <c r="G524" t="str">
        <f>CHOOSE(WEEKDAY(A524,2),"Mon","Tue","Wed","Thu","Fri","Sat","Sun")</f>
        <v>Tue</v>
      </c>
      <c r="H524" t="str">
        <f>IF(WEEKDAY(A524,2)&gt;5,"Weekend","Weekday")</f>
        <v>Weekday</v>
      </c>
      <c r="I524" t="str">
        <f>_xlfn.IFS(B524&lt;=5,"Night (0-5)",B524&lt;=9,"Morning peak (6-9)",B524&lt;=15,"Midday (10-15)",B524&lt;=19,"Evening peak (16-19)",TRUE,"Late evening (20-23)")</f>
        <v>Evening peak (16-19)</v>
      </c>
    </row>
    <row r="525" spans="1:9">
      <c r="A525" s="32">
        <v>41751</v>
      </c>
      <c r="B525">
        <v>19</v>
      </c>
      <c r="C525">
        <v>1115</v>
      </c>
      <c r="D525" t="s">
        <v>303</v>
      </c>
      <c r="E525">
        <f>YEAR(A525)</f>
        <v>2014</v>
      </c>
      <c r="F525" s="33">
        <f>DATE(YEAR(A525),MONTH(A525),1)</f>
        <v>41730.0</v>
      </c>
      <c r="G525" t="str">
        <f>CHOOSE(WEEKDAY(A525,2),"Mon","Tue","Wed","Thu","Fri","Sat","Sun")</f>
        <v>Tue</v>
      </c>
      <c r="H525" t="str">
        <f>IF(WEEKDAY(A525,2)&gt;5,"Weekend","Weekday")</f>
        <v>Weekday</v>
      </c>
      <c r="I525" t="str">
        <f>_xlfn.IFS(B525&lt;=5,"Night (0-5)",B525&lt;=9,"Morning peak (6-9)",B525&lt;=15,"Midday (10-15)",B525&lt;=19,"Evening peak (16-19)",TRUE,"Late evening (20-23)")</f>
        <v>Evening peak (16-19)</v>
      </c>
    </row>
    <row r="526" spans="1:9">
      <c r="A526" s="32">
        <v>41751</v>
      </c>
      <c r="B526">
        <v>20</v>
      </c>
      <c r="C526">
        <v>1118</v>
      </c>
      <c r="D526" t="s">
        <v>303</v>
      </c>
      <c r="E526">
        <f>YEAR(A526)</f>
        <v>2014</v>
      </c>
      <c r="F526" s="33">
        <f>DATE(YEAR(A526),MONTH(A526),1)</f>
        <v>41730.0</v>
      </c>
      <c r="G526" t="str">
        <f>CHOOSE(WEEKDAY(A526,2),"Mon","Tue","Wed","Thu","Fri","Sat","Sun")</f>
        <v>Tue</v>
      </c>
      <c r="H526" t="str">
        <f>IF(WEEKDAY(A526,2)&gt;5,"Weekend","Weekday")</f>
        <v>Weekday</v>
      </c>
      <c r="I526" t="str">
        <f>_xlfn.IFS(B526&lt;=5,"Night (0-5)",B526&lt;=9,"Morning peak (6-9)",B526&lt;=15,"Midday (10-15)",B526&lt;=19,"Evening peak (16-19)",TRUE,"Late evening (20-23)")</f>
        <v>Late evening (20-23)</v>
      </c>
    </row>
    <row r="527" spans="1:9">
      <c r="A527" s="32">
        <v>41751</v>
      </c>
      <c r="B527">
        <v>21</v>
      </c>
      <c r="C527">
        <v>967</v>
      </c>
      <c r="D527" t="s">
        <v>303</v>
      </c>
      <c r="E527">
        <f>YEAR(A527)</f>
        <v>2014</v>
      </c>
      <c r="F527" s="33">
        <f>DATE(YEAR(A527),MONTH(A527),1)</f>
        <v>41730.0</v>
      </c>
      <c r="G527" t="str">
        <f>CHOOSE(WEEKDAY(A527,2),"Mon","Tue","Wed","Thu","Fri","Sat","Sun")</f>
        <v>Tue</v>
      </c>
      <c r="H527" t="str">
        <f>IF(WEEKDAY(A527,2)&gt;5,"Weekend","Weekday")</f>
        <v>Weekday</v>
      </c>
      <c r="I527" t="str">
        <f>_xlfn.IFS(B527&lt;=5,"Night (0-5)",B527&lt;=9,"Morning peak (6-9)",B527&lt;=15,"Midday (10-15)",B527&lt;=19,"Evening peak (16-19)",TRUE,"Late evening (20-23)")</f>
        <v>Late evening (20-23)</v>
      </c>
    </row>
    <row r="528" spans="1:9">
      <c r="A528" s="32">
        <v>41751</v>
      </c>
      <c r="B528">
        <v>22</v>
      </c>
      <c r="C528">
        <v>614</v>
      </c>
      <c r="D528" t="s">
        <v>303</v>
      </c>
      <c r="E528">
        <f>YEAR(A528)</f>
        <v>2014</v>
      </c>
      <c r="F528" s="33">
        <f>DATE(YEAR(A528),MONTH(A528),1)</f>
        <v>41730.0</v>
      </c>
      <c r="G528" t="str">
        <f>CHOOSE(WEEKDAY(A528,2),"Mon","Tue","Wed","Thu","Fri","Sat","Sun")</f>
        <v>Tue</v>
      </c>
      <c r="H528" t="str">
        <f>IF(WEEKDAY(A528,2)&gt;5,"Weekend","Weekday")</f>
        <v>Weekday</v>
      </c>
      <c r="I528" t="str">
        <f>_xlfn.IFS(B528&lt;=5,"Night (0-5)",B528&lt;=9,"Morning peak (6-9)",B528&lt;=15,"Midday (10-15)",B528&lt;=19,"Evening peak (16-19)",TRUE,"Late evening (20-23)")</f>
        <v>Late evening (20-23)</v>
      </c>
    </row>
    <row r="529" spans="1:9">
      <c r="A529" s="32">
        <v>41751</v>
      </c>
      <c r="B529">
        <v>23</v>
      </c>
      <c r="C529">
        <v>313</v>
      </c>
      <c r="D529" t="s">
        <v>303</v>
      </c>
      <c r="E529">
        <f>YEAR(A529)</f>
        <v>2014</v>
      </c>
      <c r="F529" s="33">
        <f>DATE(YEAR(A529),MONTH(A529),1)</f>
        <v>41730.0</v>
      </c>
      <c r="G529" t="str">
        <f>CHOOSE(WEEKDAY(A529,2),"Mon","Tue","Wed","Thu","Fri","Sat","Sun")</f>
        <v>Tue</v>
      </c>
      <c r="H529" t="str">
        <f>IF(WEEKDAY(A529,2)&gt;5,"Weekend","Weekday")</f>
        <v>Weekday</v>
      </c>
      <c r="I529" t="str">
        <f>_xlfn.IFS(B529&lt;=5,"Night (0-5)",B529&lt;=9,"Morning peak (6-9)",B529&lt;=15,"Midday (10-15)",B529&lt;=19,"Evening peak (16-19)",TRUE,"Late evening (20-23)")</f>
        <v>Late evening (20-23)</v>
      </c>
    </row>
    <row r="530" spans="1:9">
      <c r="A530" s="32">
        <v>41752</v>
      </c>
      <c r="B530">
        <v>0</v>
      </c>
      <c r="C530">
        <v>149</v>
      </c>
      <c r="D530" t="s">
        <v>303</v>
      </c>
      <c r="E530">
        <f>YEAR(A530)</f>
        <v>2014</v>
      </c>
      <c r="F530" s="33">
        <f>DATE(YEAR(A530),MONTH(A530),1)</f>
        <v>41730.0</v>
      </c>
      <c r="G530" t="str">
        <f>CHOOSE(WEEKDAY(A530,2),"Mon","Tue","Wed","Thu","Fri","Sat","Sun")</f>
        <v>Wed</v>
      </c>
      <c r="H530" t="str">
        <f>IF(WEEKDAY(A530,2)&gt;5,"Weekend","Weekday")</f>
        <v>Weekday</v>
      </c>
      <c r="I530" t="str">
        <f>_xlfn.IFS(B530&lt;=5,"Night (0-5)",B530&lt;=9,"Morning peak (6-9)",B530&lt;=15,"Midday (10-15)",B530&lt;=19,"Evening peak (16-19)",TRUE,"Late evening (20-23)")</f>
        <v>Night (0-5)</v>
      </c>
    </row>
    <row r="531" spans="1:9">
      <c r="A531" s="32">
        <v>41752</v>
      </c>
      <c r="B531">
        <v>1</v>
      </c>
      <c r="C531">
        <v>92</v>
      </c>
      <c r="D531" t="s">
        <v>303</v>
      </c>
      <c r="E531">
        <f>YEAR(A531)</f>
        <v>2014</v>
      </c>
      <c r="F531" s="33">
        <f>DATE(YEAR(A531),MONTH(A531),1)</f>
        <v>41730.0</v>
      </c>
      <c r="G531" t="str">
        <f>CHOOSE(WEEKDAY(A531,2),"Mon","Tue","Wed","Thu","Fri","Sat","Sun")</f>
        <v>Wed</v>
      </c>
      <c r="H531" t="str">
        <f>IF(WEEKDAY(A531,2)&gt;5,"Weekend","Weekday")</f>
        <v>Weekday</v>
      </c>
      <c r="I531" t="str">
        <f>_xlfn.IFS(B531&lt;=5,"Night (0-5)",B531&lt;=9,"Morning peak (6-9)",B531&lt;=15,"Midday (10-15)",B531&lt;=19,"Evening peak (16-19)",TRUE,"Late evening (20-23)")</f>
        <v>Night (0-5)</v>
      </c>
    </row>
    <row r="532" spans="1:9">
      <c r="A532" s="32">
        <v>41752</v>
      </c>
      <c r="B532">
        <v>2</v>
      </c>
      <c r="C532">
        <v>64</v>
      </c>
      <c r="D532" t="s">
        <v>303</v>
      </c>
      <c r="E532">
        <f>YEAR(A532)</f>
        <v>2014</v>
      </c>
      <c r="F532" s="33">
        <f>DATE(YEAR(A532),MONTH(A532),1)</f>
        <v>41730.0</v>
      </c>
      <c r="G532" t="str">
        <f>CHOOSE(WEEKDAY(A532,2),"Mon","Tue","Wed","Thu","Fri","Sat","Sun")</f>
        <v>Wed</v>
      </c>
      <c r="H532" t="str">
        <f>IF(WEEKDAY(A532,2)&gt;5,"Weekend","Weekday")</f>
        <v>Weekday</v>
      </c>
      <c r="I532" t="str">
        <f>_xlfn.IFS(B532&lt;=5,"Night (0-5)",B532&lt;=9,"Morning peak (6-9)",B532&lt;=15,"Midday (10-15)",B532&lt;=19,"Evening peak (16-19)",TRUE,"Late evening (20-23)")</f>
        <v>Night (0-5)</v>
      </c>
    </row>
    <row r="533" spans="1:9">
      <c r="A533" s="32">
        <v>41752</v>
      </c>
      <c r="B533">
        <v>3</v>
      </c>
      <c r="C533">
        <v>90</v>
      </c>
      <c r="D533" t="s">
        <v>303</v>
      </c>
      <c r="E533">
        <f>YEAR(A533)</f>
        <v>2014</v>
      </c>
      <c r="F533" s="33">
        <f>DATE(YEAR(A533),MONTH(A533),1)</f>
        <v>41730.0</v>
      </c>
      <c r="G533" t="str">
        <f>CHOOSE(WEEKDAY(A533,2),"Mon","Tue","Wed","Thu","Fri","Sat","Sun")</f>
        <v>Wed</v>
      </c>
      <c r="H533" t="str">
        <f>IF(WEEKDAY(A533,2)&gt;5,"Weekend","Weekday")</f>
        <v>Weekday</v>
      </c>
      <c r="I533" t="str">
        <f>_xlfn.IFS(B533&lt;=5,"Night (0-5)",B533&lt;=9,"Morning peak (6-9)",B533&lt;=15,"Midday (10-15)",B533&lt;=19,"Evening peak (16-19)",TRUE,"Late evening (20-23)")</f>
        <v>Night (0-5)</v>
      </c>
    </row>
    <row r="534" spans="1:9">
      <c r="A534" s="32">
        <v>41752</v>
      </c>
      <c r="B534">
        <v>4</v>
      </c>
      <c r="C534">
        <v>212</v>
      </c>
      <c r="D534" t="s">
        <v>303</v>
      </c>
      <c r="E534">
        <f>YEAR(A534)</f>
        <v>2014</v>
      </c>
      <c r="F534" s="33">
        <f>DATE(YEAR(A534),MONTH(A534),1)</f>
        <v>41730.0</v>
      </c>
      <c r="G534" t="str">
        <f>CHOOSE(WEEKDAY(A534,2),"Mon","Tue","Wed","Thu","Fri","Sat","Sun")</f>
        <v>Wed</v>
      </c>
      <c r="H534" t="str">
        <f>IF(WEEKDAY(A534,2)&gt;5,"Weekend","Weekday")</f>
        <v>Weekday</v>
      </c>
      <c r="I534" t="str">
        <f>_xlfn.IFS(B534&lt;=5,"Night (0-5)",B534&lt;=9,"Morning peak (6-9)",B534&lt;=15,"Midday (10-15)",B534&lt;=19,"Evening peak (16-19)",TRUE,"Late evening (20-23)")</f>
        <v>Night (0-5)</v>
      </c>
    </row>
    <row r="535" spans="1:9">
      <c r="A535" s="32">
        <v>41752</v>
      </c>
      <c r="B535">
        <v>5</v>
      </c>
      <c r="C535">
        <v>383</v>
      </c>
      <c r="D535" t="s">
        <v>303</v>
      </c>
      <c r="E535">
        <f>YEAR(A535)</f>
        <v>2014</v>
      </c>
      <c r="F535" s="33">
        <f>DATE(YEAR(A535),MONTH(A535),1)</f>
        <v>41730.0</v>
      </c>
      <c r="G535" t="str">
        <f>CHOOSE(WEEKDAY(A535,2),"Mon","Tue","Wed","Thu","Fri","Sat","Sun")</f>
        <v>Wed</v>
      </c>
      <c r="H535" t="str">
        <f>IF(WEEKDAY(A535,2)&gt;5,"Weekend","Weekday")</f>
        <v>Weekday</v>
      </c>
      <c r="I535" t="str">
        <f>_xlfn.IFS(B535&lt;=5,"Night (0-5)",B535&lt;=9,"Morning peak (6-9)",B535&lt;=15,"Midday (10-15)",B535&lt;=19,"Evening peak (16-19)",TRUE,"Late evening (20-23)")</f>
        <v>Night (0-5)</v>
      </c>
    </row>
    <row r="536" spans="1:9">
      <c r="A536" s="32">
        <v>41752</v>
      </c>
      <c r="B536">
        <v>6</v>
      </c>
      <c r="C536">
        <v>795</v>
      </c>
      <c r="D536" t="s">
        <v>303</v>
      </c>
      <c r="E536">
        <f>YEAR(A536)</f>
        <v>2014</v>
      </c>
      <c r="F536" s="33">
        <f>DATE(YEAR(A536),MONTH(A536),1)</f>
        <v>41730.0</v>
      </c>
      <c r="G536" t="str">
        <f>CHOOSE(WEEKDAY(A536,2),"Mon","Tue","Wed","Thu","Fri","Sat","Sun")</f>
        <v>Wed</v>
      </c>
      <c r="H536" t="str">
        <f>IF(WEEKDAY(A536,2)&gt;5,"Weekend","Weekday")</f>
        <v>Weekday</v>
      </c>
      <c r="I536" t="str">
        <f>_xlfn.IFS(B536&lt;=5,"Night (0-5)",B536&lt;=9,"Morning peak (6-9)",B536&lt;=15,"Midday (10-15)",B536&lt;=19,"Evening peak (16-19)",TRUE,"Late evening (20-23)")</f>
        <v>Morning peak (6-9)</v>
      </c>
    </row>
    <row r="537" spans="1:9">
      <c r="A537" s="32">
        <v>41752</v>
      </c>
      <c r="B537">
        <v>7</v>
      </c>
      <c r="C537">
        <v>1088</v>
      </c>
      <c r="D537" t="s">
        <v>303</v>
      </c>
      <c r="E537">
        <f>YEAR(A537)</f>
        <v>2014</v>
      </c>
      <c r="F537" s="33">
        <f>DATE(YEAR(A537),MONTH(A537),1)</f>
        <v>41730.0</v>
      </c>
      <c r="G537" t="str">
        <f>CHOOSE(WEEKDAY(A537,2),"Mon","Tue","Wed","Thu","Fri","Sat","Sun")</f>
        <v>Wed</v>
      </c>
      <c r="H537" t="str">
        <f>IF(WEEKDAY(A537,2)&gt;5,"Weekend","Weekday")</f>
        <v>Weekday</v>
      </c>
      <c r="I537" t="str">
        <f>_xlfn.IFS(B537&lt;=5,"Night (0-5)",B537&lt;=9,"Morning peak (6-9)",B537&lt;=15,"Midday (10-15)",B537&lt;=19,"Evening peak (16-19)",TRUE,"Late evening (20-23)")</f>
        <v>Morning peak (6-9)</v>
      </c>
    </row>
    <row r="538" spans="1:9">
      <c r="A538" s="32">
        <v>41752</v>
      </c>
      <c r="B538">
        <v>8</v>
      </c>
      <c r="C538">
        <v>946</v>
      </c>
      <c r="D538" t="s">
        <v>303</v>
      </c>
      <c r="E538">
        <f>YEAR(A538)</f>
        <v>2014</v>
      </c>
      <c r="F538" s="33">
        <f>DATE(YEAR(A538),MONTH(A538),1)</f>
        <v>41730.0</v>
      </c>
      <c r="G538" t="str">
        <f>CHOOSE(WEEKDAY(A538,2),"Mon","Tue","Wed","Thu","Fri","Sat","Sun")</f>
        <v>Wed</v>
      </c>
      <c r="H538" t="str">
        <f>IF(WEEKDAY(A538,2)&gt;5,"Weekend","Weekday")</f>
        <v>Weekday</v>
      </c>
      <c r="I538" t="str">
        <f>_xlfn.IFS(B538&lt;=5,"Night (0-5)",B538&lt;=9,"Morning peak (6-9)",B538&lt;=15,"Midday (10-15)",B538&lt;=19,"Evening peak (16-19)",TRUE,"Late evening (20-23)")</f>
        <v>Morning peak (6-9)</v>
      </c>
    </row>
    <row r="539" spans="1:9">
      <c r="A539" s="32">
        <v>41752</v>
      </c>
      <c r="B539">
        <v>9</v>
      </c>
      <c r="C539">
        <v>630</v>
      </c>
      <c r="D539" t="s">
        <v>303</v>
      </c>
      <c r="E539">
        <f>YEAR(A539)</f>
        <v>2014</v>
      </c>
      <c r="F539" s="33">
        <f>DATE(YEAR(A539),MONTH(A539),1)</f>
        <v>41730.0</v>
      </c>
      <c r="G539" t="str">
        <f>CHOOSE(WEEKDAY(A539,2),"Mon","Tue","Wed","Thu","Fri","Sat","Sun")</f>
        <v>Wed</v>
      </c>
      <c r="H539" t="str">
        <f>IF(WEEKDAY(A539,2)&gt;5,"Weekend","Weekday")</f>
        <v>Weekday</v>
      </c>
      <c r="I539" t="str">
        <f>_xlfn.IFS(B539&lt;=5,"Night (0-5)",B539&lt;=9,"Morning peak (6-9)",B539&lt;=15,"Midday (10-15)",B539&lt;=19,"Evening peak (16-19)",TRUE,"Late evening (20-23)")</f>
        <v>Morning peak (6-9)</v>
      </c>
    </row>
    <row r="540" spans="1:9">
      <c r="A540" s="32">
        <v>41752</v>
      </c>
      <c r="B540">
        <v>10</v>
      </c>
      <c r="C540">
        <v>694</v>
      </c>
      <c r="D540" t="s">
        <v>303</v>
      </c>
      <c r="E540">
        <f>YEAR(A540)</f>
        <v>2014</v>
      </c>
      <c r="F540" s="33">
        <f>DATE(YEAR(A540),MONTH(A540),1)</f>
        <v>41730.0</v>
      </c>
      <c r="G540" t="str">
        <f>CHOOSE(WEEKDAY(A540,2),"Mon","Tue","Wed","Thu","Fri","Sat","Sun")</f>
        <v>Wed</v>
      </c>
      <c r="H540" t="str">
        <f>IF(WEEKDAY(A540,2)&gt;5,"Weekend","Weekday")</f>
        <v>Weekday</v>
      </c>
      <c r="I540" t="str">
        <f>_xlfn.IFS(B540&lt;=5,"Night (0-5)",B540&lt;=9,"Morning peak (6-9)",B540&lt;=15,"Midday (10-15)",B540&lt;=19,"Evening peak (16-19)",TRUE,"Late evening (20-23)")</f>
        <v>Midday (10-15)</v>
      </c>
    </row>
    <row r="541" spans="1:9">
      <c r="A541" s="32">
        <v>41752</v>
      </c>
      <c r="B541">
        <v>11</v>
      </c>
      <c r="C541">
        <v>659</v>
      </c>
      <c r="D541" t="s">
        <v>303</v>
      </c>
      <c r="E541">
        <f>YEAR(A541)</f>
        <v>2014</v>
      </c>
      <c r="F541" s="33">
        <f>DATE(YEAR(A541),MONTH(A541),1)</f>
        <v>41730.0</v>
      </c>
      <c r="G541" t="str">
        <f>CHOOSE(WEEKDAY(A541,2),"Mon","Tue","Wed","Thu","Fri","Sat","Sun")</f>
        <v>Wed</v>
      </c>
      <c r="H541" t="str">
        <f>IF(WEEKDAY(A541,2)&gt;5,"Weekend","Weekday")</f>
        <v>Weekday</v>
      </c>
      <c r="I541" t="str">
        <f>_xlfn.IFS(B541&lt;=5,"Night (0-5)",B541&lt;=9,"Morning peak (6-9)",B541&lt;=15,"Midday (10-15)",B541&lt;=19,"Evening peak (16-19)",TRUE,"Late evening (20-23)")</f>
        <v>Midday (10-15)</v>
      </c>
    </row>
    <row r="542" spans="1:9">
      <c r="A542" s="32">
        <v>41752</v>
      </c>
      <c r="B542">
        <v>12</v>
      </c>
      <c r="C542">
        <v>684</v>
      </c>
      <c r="D542" t="s">
        <v>303</v>
      </c>
      <c r="E542">
        <f>YEAR(A542)</f>
        <v>2014</v>
      </c>
      <c r="F542" s="33">
        <f>DATE(YEAR(A542),MONTH(A542),1)</f>
        <v>41730.0</v>
      </c>
      <c r="G542" t="str">
        <f>CHOOSE(WEEKDAY(A542,2),"Mon","Tue","Wed","Thu","Fri","Sat","Sun")</f>
        <v>Wed</v>
      </c>
      <c r="H542" t="str">
        <f>IF(WEEKDAY(A542,2)&gt;5,"Weekend","Weekday")</f>
        <v>Weekday</v>
      </c>
      <c r="I542" t="str">
        <f>_xlfn.IFS(B542&lt;=5,"Night (0-5)",B542&lt;=9,"Morning peak (6-9)",B542&lt;=15,"Midday (10-15)",B542&lt;=19,"Evening peak (16-19)",TRUE,"Late evening (20-23)")</f>
        <v>Midday (10-15)</v>
      </c>
    </row>
    <row r="543" spans="1:9">
      <c r="A543" s="32">
        <v>41752</v>
      </c>
      <c r="B543">
        <v>13</v>
      </c>
      <c r="C543">
        <v>782</v>
      </c>
      <c r="D543" t="s">
        <v>303</v>
      </c>
      <c r="E543">
        <f>YEAR(A543)</f>
        <v>2014</v>
      </c>
      <c r="F543" s="33">
        <f>DATE(YEAR(A543),MONTH(A543),1)</f>
        <v>41730.0</v>
      </c>
      <c r="G543" t="str">
        <f>CHOOSE(WEEKDAY(A543,2),"Mon","Tue","Wed","Thu","Fri","Sat","Sun")</f>
        <v>Wed</v>
      </c>
      <c r="H543" t="str">
        <f>IF(WEEKDAY(A543,2)&gt;5,"Weekend","Weekday")</f>
        <v>Weekday</v>
      </c>
      <c r="I543" t="str">
        <f>_xlfn.IFS(B543&lt;=5,"Night (0-5)",B543&lt;=9,"Morning peak (6-9)",B543&lt;=15,"Midday (10-15)",B543&lt;=19,"Evening peak (16-19)",TRUE,"Late evening (20-23)")</f>
        <v>Midday (10-15)</v>
      </c>
    </row>
    <row r="544" spans="1:9">
      <c r="A544" s="32">
        <v>41752</v>
      </c>
      <c r="B544">
        <v>14</v>
      </c>
      <c r="C544">
        <v>991</v>
      </c>
      <c r="D544" t="s">
        <v>303</v>
      </c>
      <c r="E544">
        <f>YEAR(A544)</f>
        <v>2014</v>
      </c>
      <c r="F544" s="33">
        <f>DATE(YEAR(A544),MONTH(A544),1)</f>
        <v>41730.0</v>
      </c>
      <c r="G544" t="str">
        <f>CHOOSE(WEEKDAY(A544,2),"Mon","Tue","Wed","Thu","Fri","Sat","Sun")</f>
        <v>Wed</v>
      </c>
      <c r="H544" t="str">
        <f>IF(WEEKDAY(A544,2)&gt;5,"Weekend","Weekday")</f>
        <v>Weekday</v>
      </c>
      <c r="I544" t="str">
        <f>_xlfn.IFS(B544&lt;=5,"Night (0-5)",B544&lt;=9,"Morning peak (6-9)",B544&lt;=15,"Midday (10-15)",B544&lt;=19,"Evening peak (16-19)",TRUE,"Late evening (20-23)")</f>
        <v>Midday (10-15)</v>
      </c>
    </row>
    <row r="545" spans="1:9">
      <c r="A545" s="32">
        <v>41752</v>
      </c>
      <c r="B545">
        <v>15</v>
      </c>
      <c r="C545">
        <v>1280</v>
      </c>
      <c r="D545" t="s">
        <v>303</v>
      </c>
      <c r="E545">
        <f>YEAR(A545)</f>
        <v>2014</v>
      </c>
      <c r="F545" s="33">
        <f>DATE(YEAR(A545),MONTH(A545),1)</f>
        <v>41730.0</v>
      </c>
      <c r="G545" t="str">
        <f>CHOOSE(WEEKDAY(A545,2),"Mon","Tue","Wed","Thu","Fri","Sat","Sun")</f>
        <v>Wed</v>
      </c>
      <c r="H545" t="str">
        <f>IF(WEEKDAY(A545,2)&gt;5,"Weekend","Weekday")</f>
        <v>Weekday</v>
      </c>
      <c r="I545" t="str">
        <f>_xlfn.IFS(B545&lt;=5,"Night (0-5)",B545&lt;=9,"Morning peak (6-9)",B545&lt;=15,"Midday (10-15)",B545&lt;=19,"Evening peak (16-19)",TRUE,"Late evening (20-23)")</f>
        <v>Midday (10-15)</v>
      </c>
    </row>
    <row r="546" spans="1:9">
      <c r="A546" s="32">
        <v>41752</v>
      </c>
      <c r="B546">
        <v>16</v>
      </c>
      <c r="C546">
        <v>1550</v>
      </c>
      <c r="D546" t="s">
        <v>303</v>
      </c>
      <c r="E546">
        <f>YEAR(A546)</f>
        <v>2014</v>
      </c>
      <c r="F546" s="33">
        <f>DATE(YEAR(A546),MONTH(A546),1)</f>
        <v>41730.0</v>
      </c>
      <c r="G546" t="str">
        <f>CHOOSE(WEEKDAY(A546,2),"Mon","Tue","Wed","Thu","Fri","Sat","Sun")</f>
        <v>Wed</v>
      </c>
      <c r="H546" t="str">
        <f>IF(WEEKDAY(A546,2)&gt;5,"Weekend","Weekday")</f>
        <v>Weekday</v>
      </c>
      <c r="I546" t="str">
        <f>_xlfn.IFS(B546&lt;=5,"Night (0-5)",B546&lt;=9,"Morning peak (6-9)",B546&lt;=15,"Midday (10-15)",B546&lt;=19,"Evening peak (16-19)",TRUE,"Late evening (20-23)")</f>
        <v>Evening peak (16-19)</v>
      </c>
    </row>
    <row r="547" spans="1:9">
      <c r="A547" s="32">
        <v>41752</v>
      </c>
      <c r="B547">
        <v>17</v>
      </c>
      <c r="C547">
        <v>1744</v>
      </c>
      <c r="D547" t="s">
        <v>303</v>
      </c>
      <c r="E547">
        <f>YEAR(A547)</f>
        <v>2014</v>
      </c>
      <c r="F547" s="33">
        <f>DATE(YEAR(A547),MONTH(A547),1)</f>
        <v>41730.0</v>
      </c>
      <c r="G547" t="str">
        <f>CHOOSE(WEEKDAY(A547,2),"Mon","Tue","Wed","Thu","Fri","Sat","Sun")</f>
        <v>Wed</v>
      </c>
      <c r="H547" t="str">
        <f>IF(WEEKDAY(A547,2)&gt;5,"Weekend","Weekday")</f>
        <v>Weekday</v>
      </c>
      <c r="I547" t="str">
        <f>_xlfn.IFS(B547&lt;=5,"Night (0-5)",B547&lt;=9,"Morning peak (6-9)",B547&lt;=15,"Midday (10-15)",B547&lt;=19,"Evening peak (16-19)",TRUE,"Late evening (20-23)")</f>
        <v>Evening peak (16-19)</v>
      </c>
    </row>
    <row r="548" spans="1:9">
      <c r="A548" s="32">
        <v>41752</v>
      </c>
      <c r="B548">
        <v>18</v>
      </c>
      <c r="C548">
        <v>1516</v>
      </c>
      <c r="D548" t="s">
        <v>303</v>
      </c>
      <c r="E548">
        <f>YEAR(A548)</f>
        <v>2014</v>
      </c>
      <c r="F548" s="33">
        <f>DATE(YEAR(A548),MONTH(A548),1)</f>
        <v>41730.0</v>
      </c>
      <c r="G548" t="str">
        <f>CHOOSE(WEEKDAY(A548,2),"Mon","Tue","Wed","Thu","Fri","Sat","Sun")</f>
        <v>Wed</v>
      </c>
      <c r="H548" t="str">
        <f>IF(WEEKDAY(A548,2)&gt;5,"Weekend","Weekday")</f>
        <v>Weekday</v>
      </c>
      <c r="I548" t="str">
        <f>_xlfn.IFS(B548&lt;=5,"Night (0-5)",B548&lt;=9,"Morning peak (6-9)",B548&lt;=15,"Midday (10-15)",B548&lt;=19,"Evening peak (16-19)",TRUE,"Late evening (20-23)")</f>
        <v>Evening peak (16-19)</v>
      </c>
    </row>
    <row r="549" spans="1:9">
      <c r="A549" s="32">
        <v>41752</v>
      </c>
      <c r="B549">
        <v>19</v>
      </c>
      <c r="C549">
        <v>1535</v>
      </c>
      <c r="D549" t="s">
        <v>303</v>
      </c>
      <c r="E549">
        <f>YEAR(A549)</f>
        <v>2014</v>
      </c>
      <c r="F549" s="33">
        <f>DATE(YEAR(A549),MONTH(A549),1)</f>
        <v>41730.0</v>
      </c>
      <c r="G549" t="str">
        <f>CHOOSE(WEEKDAY(A549,2),"Mon","Tue","Wed","Thu","Fri","Sat","Sun")</f>
        <v>Wed</v>
      </c>
      <c r="H549" t="str">
        <f>IF(WEEKDAY(A549,2)&gt;5,"Weekend","Weekday")</f>
        <v>Weekday</v>
      </c>
      <c r="I549" t="str">
        <f>_xlfn.IFS(B549&lt;=5,"Night (0-5)",B549&lt;=9,"Morning peak (6-9)",B549&lt;=15,"Midday (10-15)",B549&lt;=19,"Evening peak (16-19)",TRUE,"Late evening (20-23)")</f>
        <v>Evening peak (16-19)</v>
      </c>
    </row>
    <row r="550" spans="1:9">
      <c r="A550" s="32">
        <v>41752</v>
      </c>
      <c r="B550">
        <v>20</v>
      </c>
      <c r="C550">
        <v>1659</v>
      </c>
      <c r="D550" t="s">
        <v>303</v>
      </c>
      <c r="E550">
        <f>YEAR(A550)</f>
        <v>2014</v>
      </c>
      <c r="F550" s="33">
        <f>DATE(YEAR(A550),MONTH(A550),1)</f>
        <v>41730.0</v>
      </c>
      <c r="G550" t="str">
        <f>CHOOSE(WEEKDAY(A550,2),"Mon","Tue","Wed","Thu","Fri","Sat","Sun")</f>
        <v>Wed</v>
      </c>
      <c r="H550" t="str">
        <f>IF(WEEKDAY(A550,2)&gt;5,"Weekend","Weekday")</f>
        <v>Weekday</v>
      </c>
      <c r="I550" t="str">
        <f>_xlfn.IFS(B550&lt;=5,"Night (0-5)",B550&lt;=9,"Morning peak (6-9)",B550&lt;=15,"Midday (10-15)",B550&lt;=19,"Evening peak (16-19)",TRUE,"Late evening (20-23)")</f>
        <v>Late evening (20-23)</v>
      </c>
    </row>
    <row r="551" spans="1:9">
      <c r="A551" s="32">
        <v>41752</v>
      </c>
      <c r="B551">
        <v>21</v>
      </c>
      <c r="C551">
        <v>1393</v>
      </c>
      <c r="D551" t="s">
        <v>303</v>
      </c>
      <c r="E551">
        <f>YEAR(A551)</f>
        <v>2014</v>
      </c>
      <c r="F551" s="33">
        <f>DATE(YEAR(A551),MONTH(A551),1)</f>
        <v>41730.0</v>
      </c>
      <c r="G551" t="str">
        <f>CHOOSE(WEEKDAY(A551,2),"Mon","Tue","Wed","Thu","Fri","Sat","Sun")</f>
        <v>Wed</v>
      </c>
      <c r="H551" t="str">
        <f>IF(WEEKDAY(A551,2)&gt;5,"Weekend","Weekday")</f>
        <v>Weekday</v>
      </c>
      <c r="I551" t="str">
        <f>_xlfn.IFS(B551&lt;=5,"Night (0-5)",B551&lt;=9,"Morning peak (6-9)",B551&lt;=15,"Midday (10-15)",B551&lt;=19,"Evening peak (16-19)",TRUE,"Late evening (20-23)")</f>
        <v>Late evening (20-23)</v>
      </c>
    </row>
    <row r="552" spans="1:9">
      <c r="A552" s="32">
        <v>41752</v>
      </c>
      <c r="B552">
        <v>22</v>
      </c>
      <c r="C552">
        <v>934</v>
      </c>
      <c r="D552" t="s">
        <v>303</v>
      </c>
      <c r="E552">
        <f>YEAR(A552)</f>
        <v>2014</v>
      </c>
      <c r="F552" s="33">
        <f>DATE(YEAR(A552),MONTH(A552),1)</f>
        <v>41730.0</v>
      </c>
      <c r="G552" t="str">
        <f>CHOOSE(WEEKDAY(A552,2),"Mon","Tue","Wed","Thu","Fri","Sat","Sun")</f>
        <v>Wed</v>
      </c>
      <c r="H552" t="str">
        <f>IF(WEEKDAY(A552,2)&gt;5,"Weekend","Weekday")</f>
        <v>Weekday</v>
      </c>
      <c r="I552" t="str">
        <f>_xlfn.IFS(B552&lt;=5,"Night (0-5)",B552&lt;=9,"Morning peak (6-9)",B552&lt;=15,"Midday (10-15)",B552&lt;=19,"Evening peak (16-19)",TRUE,"Late evening (20-23)")</f>
        <v>Late evening (20-23)</v>
      </c>
    </row>
    <row r="553" spans="1:9">
      <c r="A553" s="32">
        <v>41752</v>
      </c>
      <c r="B553">
        <v>23</v>
      </c>
      <c r="C553">
        <v>476</v>
      </c>
      <c r="D553" t="s">
        <v>303</v>
      </c>
      <c r="E553">
        <f>YEAR(A553)</f>
        <v>2014</v>
      </c>
      <c r="F553" s="33">
        <f>DATE(YEAR(A553),MONTH(A553),1)</f>
        <v>41730.0</v>
      </c>
      <c r="G553" t="str">
        <f>CHOOSE(WEEKDAY(A553,2),"Mon","Tue","Wed","Thu","Fri","Sat","Sun")</f>
        <v>Wed</v>
      </c>
      <c r="H553" t="str">
        <f>IF(WEEKDAY(A553,2)&gt;5,"Weekend","Weekday")</f>
        <v>Weekday</v>
      </c>
      <c r="I553" t="str">
        <f>_xlfn.IFS(B553&lt;=5,"Night (0-5)",B553&lt;=9,"Morning peak (6-9)",B553&lt;=15,"Midday (10-15)",B553&lt;=19,"Evening peak (16-19)",TRUE,"Late evening (20-23)")</f>
        <v>Late evening (20-23)</v>
      </c>
    </row>
    <row r="554" spans="1:9">
      <c r="A554" s="32">
        <v>41753</v>
      </c>
      <c r="B554">
        <v>0</v>
      </c>
      <c r="C554">
        <v>195</v>
      </c>
      <c r="D554" t="s">
        <v>303</v>
      </c>
      <c r="E554">
        <f>YEAR(A554)</f>
        <v>2014</v>
      </c>
      <c r="F554" s="33">
        <f>DATE(YEAR(A554),MONTH(A554),1)</f>
        <v>41730.0</v>
      </c>
      <c r="G554" t="str">
        <f>CHOOSE(WEEKDAY(A554,2),"Mon","Tue","Wed","Thu","Fri","Sat","Sun")</f>
        <v>Thu</v>
      </c>
      <c r="H554" t="str">
        <f>IF(WEEKDAY(A554,2)&gt;5,"Weekend","Weekday")</f>
        <v>Weekday</v>
      </c>
      <c r="I554" t="str">
        <f>_xlfn.IFS(B554&lt;=5,"Night (0-5)",B554&lt;=9,"Morning peak (6-9)",B554&lt;=15,"Midday (10-15)",B554&lt;=19,"Evening peak (16-19)",TRUE,"Late evening (20-23)")</f>
        <v>Night (0-5)</v>
      </c>
    </row>
    <row r="555" spans="1:9">
      <c r="A555" s="32">
        <v>41753</v>
      </c>
      <c r="B555">
        <v>1</v>
      </c>
      <c r="C555">
        <v>139</v>
      </c>
      <c r="D555" t="s">
        <v>303</v>
      </c>
      <c r="E555">
        <f>YEAR(A555)</f>
        <v>2014</v>
      </c>
      <c r="F555" s="33">
        <f>DATE(YEAR(A555),MONTH(A555),1)</f>
        <v>41730.0</v>
      </c>
      <c r="G555" t="str">
        <f>CHOOSE(WEEKDAY(A555,2),"Mon","Tue","Wed","Thu","Fri","Sat","Sun")</f>
        <v>Thu</v>
      </c>
      <c r="H555" t="str">
        <f>IF(WEEKDAY(A555,2)&gt;5,"Weekend","Weekday")</f>
        <v>Weekday</v>
      </c>
      <c r="I555" t="str">
        <f>_xlfn.IFS(B555&lt;=5,"Night (0-5)",B555&lt;=9,"Morning peak (6-9)",B555&lt;=15,"Midday (10-15)",B555&lt;=19,"Evening peak (16-19)",TRUE,"Late evening (20-23)")</f>
        <v>Night (0-5)</v>
      </c>
    </row>
    <row r="556" spans="1:9">
      <c r="A556" s="32">
        <v>41753</v>
      </c>
      <c r="B556">
        <v>2</v>
      </c>
      <c r="C556">
        <v>103</v>
      </c>
      <c r="D556" t="s">
        <v>303</v>
      </c>
      <c r="E556">
        <f>YEAR(A556)</f>
        <v>2014</v>
      </c>
      <c r="F556" s="33">
        <f>DATE(YEAR(A556),MONTH(A556),1)</f>
        <v>41730.0</v>
      </c>
      <c r="G556" t="str">
        <f>CHOOSE(WEEKDAY(A556,2),"Mon","Tue","Wed","Thu","Fri","Sat","Sun")</f>
        <v>Thu</v>
      </c>
      <c r="H556" t="str">
        <f>IF(WEEKDAY(A556,2)&gt;5,"Weekend","Weekday")</f>
        <v>Weekday</v>
      </c>
      <c r="I556" t="str">
        <f>_xlfn.IFS(B556&lt;=5,"Night (0-5)",B556&lt;=9,"Morning peak (6-9)",B556&lt;=15,"Midday (10-15)",B556&lt;=19,"Evening peak (16-19)",TRUE,"Late evening (20-23)")</f>
        <v>Night (0-5)</v>
      </c>
    </row>
    <row r="557" spans="1:9">
      <c r="A557" s="32">
        <v>41753</v>
      </c>
      <c r="B557">
        <v>3</v>
      </c>
      <c r="C557">
        <v>152</v>
      </c>
      <c r="D557" t="s">
        <v>303</v>
      </c>
      <c r="E557">
        <f>YEAR(A557)</f>
        <v>2014</v>
      </c>
      <c r="F557" s="33">
        <f>DATE(YEAR(A557),MONTH(A557),1)</f>
        <v>41730.0</v>
      </c>
      <c r="G557" t="str">
        <f>CHOOSE(WEEKDAY(A557,2),"Mon","Tue","Wed","Thu","Fri","Sat","Sun")</f>
        <v>Thu</v>
      </c>
      <c r="H557" t="str">
        <f>IF(WEEKDAY(A557,2)&gt;5,"Weekend","Weekday")</f>
        <v>Weekday</v>
      </c>
      <c r="I557" t="str">
        <f>_xlfn.IFS(B557&lt;=5,"Night (0-5)",B557&lt;=9,"Morning peak (6-9)",B557&lt;=15,"Midday (10-15)",B557&lt;=19,"Evening peak (16-19)",TRUE,"Late evening (20-23)")</f>
        <v>Night (0-5)</v>
      </c>
    </row>
    <row r="558" spans="1:9">
      <c r="A558" s="32">
        <v>41753</v>
      </c>
      <c r="B558">
        <v>4</v>
      </c>
      <c r="C558">
        <v>235</v>
      </c>
      <c r="D558" t="s">
        <v>303</v>
      </c>
      <c r="E558">
        <f>YEAR(A558)</f>
        <v>2014</v>
      </c>
      <c r="F558" s="33">
        <f>DATE(YEAR(A558),MONTH(A558),1)</f>
        <v>41730.0</v>
      </c>
      <c r="G558" t="str">
        <f>CHOOSE(WEEKDAY(A558,2),"Mon","Tue","Wed","Thu","Fri","Sat","Sun")</f>
        <v>Thu</v>
      </c>
      <c r="H558" t="str">
        <f>IF(WEEKDAY(A558,2)&gt;5,"Weekend","Weekday")</f>
        <v>Weekday</v>
      </c>
      <c r="I558" t="str">
        <f>_xlfn.IFS(B558&lt;=5,"Night (0-5)",B558&lt;=9,"Morning peak (6-9)",B558&lt;=15,"Midday (10-15)",B558&lt;=19,"Evening peak (16-19)",TRUE,"Late evening (20-23)")</f>
        <v>Night (0-5)</v>
      </c>
    </row>
    <row r="559" spans="1:9">
      <c r="A559" s="32">
        <v>41753</v>
      </c>
      <c r="B559">
        <v>5</v>
      </c>
      <c r="C559">
        <v>393</v>
      </c>
      <c r="D559" t="s">
        <v>303</v>
      </c>
      <c r="E559">
        <f>YEAR(A559)</f>
        <v>2014</v>
      </c>
      <c r="F559" s="33">
        <f>DATE(YEAR(A559),MONTH(A559),1)</f>
        <v>41730.0</v>
      </c>
      <c r="G559" t="str">
        <f>CHOOSE(WEEKDAY(A559,2),"Mon","Tue","Wed","Thu","Fri","Sat","Sun")</f>
        <v>Thu</v>
      </c>
      <c r="H559" t="str">
        <f>IF(WEEKDAY(A559,2)&gt;5,"Weekend","Weekday")</f>
        <v>Weekday</v>
      </c>
      <c r="I559" t="str">
        <f>_xlfn.IFS(B559&lt;=5,"Night (0-5)",B559&lt;=9,"Morning peak (6-9)",B559&lt;=15,"Midday (10-15)",B559&lt;=19,"Evening peak (16-19)",TRUE,"Late evening (20-23)")</f>
        <v>Night (0-5)</v>
      </c>
    </row>
    <row r="560" spans="1:9">
      <c r="A560" s="32">
        <v>41753</v>
      </c>
      <c r="B560">
        <v>6</v>
      </c>
      <c r="C560">
        <v>830</v>
      </c>
      <c r="D560" t="s">
        <v>303</v>
      </c>
      <c r="E560">
        <f>YEAR(A560)</f>
        <v>2014</v>
      </c>
      <c r="F560" s="33">
        <f>DATE(YEAR(A560),MONTH(A560),1)</f>
        <v>41730.0</v>
      </c>
      <c r="G560" t="str">
        <f>CHOOSE(WEEKDAY(A560,2),"Mon","Tue","Wed","Thu","Fri","Sat","Sun")</f>
        <v>Thu</v>
      </c>
      <c r="H560" t="str">
        <f>IF(WEEKDAY(A560,2)&gt;5,"Weekend","Weekday")</f>
        <v>Weekday</v>
      </c>
      <c r="I560" t="str">
        <f>_xlfn.IFS(B560&lt;=5,"Night (0-5)",B560&lt;=9,"Morning peak (6-9)",B560&lt;=15,"Midday (10-15)",B560&lt;=19,"Evening peak (16-19)",TRUE,"Late evening (20-23)")</f>
        <v>Morning peak (6-9)</v>
      </c>
    </row>
    <row r="561" spans="1:9">
      <c r="A561" s="32">
        <v>41753</v>
      </c>
      <c r="B561">
        <v>7</v>
      </c>
      <c r="C561">
        <v>1114</v>
      </c>
      <c r="D561" t="s">
        <v>303</v>
      </c>
      <c r="E561">
        <f>YEAR(A561)</f>
        <v>2014</v>
      </c>
      <c r="F561" s="33">
        <f>DATE(YEAR(A561),MONTH(A561),1)</f>
        <v>41730.0</v>
      </c>
      <c r="G561" t="str">
        <f>CHOOSE(WEEKDAY(A561,2),"Mon","Tue","Wed","Thu","Fri","Sat","Sun")</f>
        <v>Thu</v>
      </c>
      <c r="H561" t="str">
        <f>IF(WEEKDAY(A561,2)&gt;5,"Weekend","Weekday")</f>
        <v>Weekday</v>
      </c>
      <c r="I561" t="str">
        <f>_xlfn.IFS(B561&lt;=5,"Night (0-5)",B561&lt;=9,"Morning peak (6-9)",B561&lt;=15,"Midday (10-15)",B561&lt;=19,"Evening peak (16-19)",TRUE,"Late evening (20-23)")</f>
        <v>Morning peak (6-9)</v>
      </c>
    </row>
    <row r="562" spans="1:9">
      <c r="A562" s="32">
        <v>41753</v>
      </c>
      <c r="B562">
        <v>8</v>
      </c>
      <c r="C562">
        <v>1020</v>
      </c>
      <c r="D562" t="s">
        <v>303</v>
      </c>
      <c r="E562">
        <f>YEAR(A562)</f>
        <v>2014</v>
      </c>
      <c r="F562" s="33">
        <f>DATE(YEAR(A562),MONTH(A562),1)</f>
        <v>41730.0</v>
      </c>
      <c r="G562" t="str">
        <f>CHOOSE(WEEKDAY(A562,2),"Mon","Tue","Wed","Thu","Fri","Sat","Sun")</f>
        <v>Thu</v>
      </c>
      <c r="H562" t="str">
        <f>IF(WEEKDAY(A562,2)&gt;5,"Weekend","Weekday")</f>
        <v>Weekday</v>
      </c>
      <c r="I562" t="str">
        <f>_xlfn.IFS(B562&lt;=5,"Night (0-5)",B562&lt;=9,"Morning peak (6-9)",B562&lt;=15,"Midday (10-15)",B562&lt;=19,"Evening peak (16-19)",TRUE,"Late evening (20-23)")</f>
        <v>Morning peak (6-9)</v>
      </c>
    </row>
    <row r="563" spans="1:9">
      <c r="A563" s="32">
        <v>41753</v>
      </c>
      <c r="B563">
        <v>9</v>
      </c>
      <c r="C563">
        <v>753</v>
      </c>
      <c r="D563" t="s">
        <v>303</v>
      </c>
      <c r="E563">
        <f>YEAR(A563)</f>
        <v>2014</v>
      </c>
      <c r="F563" s="33">
        <f>DATE(YEAR(A563),MONTH(A563),1)</f>
        <v>41730.0</v>
      </c>
      <c r="G563" t="str">
        <f>CHOOSE(WEEKDAY(A563,2),"Mon","Tue","Wed","Thu","Fri","Sat","Sun")</f>
        <v>Thu</v>
      </c>
      <c r="H563" t="str">
        <f>IF(WEEKDAY(A563,2)&gt;5,"Weekend","Weekday")</f>
        <v>Weekday</v>
      </c>
      <c r="I563" t="str">
        <f>_xlfn.IFS(B563&lt;=5,"Night (0-5)",B563&lt;=9,"Morning peak (6-9)",B563&lt;=15,"Midday (10-15)",B563&lt;=19,"Evening peak (16-19)",TRUE,"Late evening (20-23)")</f>
        <v>Morning peak (6-9)</v>
      </c>
    </row>
    <row r="564" spans="1:9">
      <c r="A564" s="32">
        <v>41753</v>
      </c>
      <c r="B564">
        <v>10</v>
      </c>
      <c r="C564">
        <v>640</v>
      </c>
      <c r="D564" t="s">
        <v>303</v>
      </c>
      <c r="E564">
        <f>YEAR(A564)</f>
        <v>2014</v>
      </c>
      <c r="F564" s="33">
        <f>DATE(YEAR(A564),MONTH(A564),1)</f>
        <v>41730.0</v>
      </c>
      <c r="G564" t="str">
        <f>CHOOSE(WEEKDAY(A564,2),"Mon","Tue","Wed","Thu","Fri","Sat","Sun")</f>
        <v>Thu</v>
      </c>
      <c r="H564" t="str">
        <f>IF(WEEKDAY(A564,2)&gt;5,"Weekend","Weekday")</f>
        <v>Weekday</v>
      </c>
      <c r="I564" t="str">
        <f>_xlfn.IFS(B564&lt;=5,"Night (0-5)",B564&lt;=9,"Morning peak (6-9)",B564&lt;=15,"Midday (10-15)",B564&lt;=19,"Evening peak (16-19)",TRUE,"Late evening (20-23)")</f>
        <v>Midday (10-15)</v>
      </c>
    </row>
    <row r="565" spans="1:9">
      <c r="A565" s="32">
        <v>41753</v>
      </c>
      <c r="B565">
        <v>11</v>
      </c>
      <c r="C565">
        <v>675</v>
      </c>
      <c r="D565" t="s">
        <v>303</v>
      </c>
      <c r="E565">
        <f>YEAR(A565)</f>
        <v>2014</v>
      </c>
      <c r="F565" s="33">
        <f>DATE(YEAR(A565),MONTH(A565),1)</f>
        <v>41730.0</v>
      </c>
      <c r="G565" t="str">
        <f>CHOOSE(WEEKDAY(A565,2),"Mon","Tue","Wed","Thu","Fri","Sat","Sun")</f>
        <v>Thu</v>
      </c>
      <c r="H565" t="str">
        <f>IF(WEEKDAY(A565,2)&gt;5,"Weekend","Weekday")</f>
        <v>Weekday</v>
      </c>
      <c r="I565" t="str">
        <f>_xlfn.IFS(B565&lt;=5,"Night (0-5)",B565&lt;=9,"Morning peak (6-9)",B565&lt;=15,"Midday (10-15)",B565&lt;=19,"Evening peak (16-19)",TRUE,"Late evening (20-23)")</f>
        <v>Midday (10-15)</v>
      </c>
    </row>
    <row r="566" spans="1:9">
      <c r="A566" s="32">
        <v>41753</v>
      </c>
      <c r="B566">
        <v>12</v>
      </c>
      <c r="C566">
        <v>709</v>
      </c>
      <c r="D566" t="s">
        <v>303</v>
      </c>
      <c r="E566">
        <f>YEAR(A566)</f>
        <v>2014</v>
      </c>
      <c r="F566" s="33">
        <f>DATE(YEAR(A566),MONTH(A566),1)</f>
        <v>41730.0</v>
      </c>
      <c r="G566" t="str">
        <f>CHOOSE(WEEKDAY(A566,2),"Mon","Tue","Wed","Thu","Fri","Sat","Sun")</f>
        <v>Thu</v>
      </c>
      <c r="H566" t="str">
        <f>IF(WEEKDAY(A566,2)&gt;5,"Weekend","Weekday")</f>
        <v>Weekday</v>
      </c>
      <c r="I566" t="str">
        <f>_xlfn.IFS(B566&lt;=5,"Night (0-5)",B566&lt;=9,"Morning peak (6-9)",B566&lt;=15,"Midday (10-15)",B566&lt;=19,"Evening peak (16-19)",TRUE,"Late evening (20-23)")</f>
        <v>Midday (10-15)</v>
      </c>
    </row>
    <row r="567" spans="1:9">
      <c r="A567" s="32">
        <v>41753</v>
      </c>
      <c r="B567">
        <v>13</v>
      </c>
      <c r="C567">
        <v>864</v>
      </c>
      <c r="D567" t="s">
        <v>303</v>
      </c>
      <c r="E567">
        <f>YEAR(A567)</f>
        <v>2014</v>
      </c>
      <c r="F567" s="33">
        <f>DATE(YEAR(A567),MONTH(A567),1)</f>
        <v>41730.0</v>
      </c>
      <c r="G567" t="str">
        <f>CHOOSE(WEEKDAY(A567,2),"Mon","Tue","Wed","Thu","Fri","Sat","Sun")</f>
        <v>Thu</v>
      </c>
      <c r="H567" t="str">
        <f>IF(WEEKDAY(A567,2)&gt;5,"Weekend","Weekday")</f>
        <v>Weekday</v>
      </c>
      <c r="I567" t="str">
        <f>_xlfn.IFS(B567&lt;=5,"Night (0-5)",B567&lt;=9,"Morning peak (6-9)",B567&lt;=15,"Midday (10-15)",B567&lt;=19,"Evening peak (16-19)",TRUE,"Late evening (20-23)")</f>
        <v>Midday (10-15)</v>
      </c>
    </row>
    <row r="568" spans="1:9">
      <c r="A568" s="32">
        <v>41753</v>
      </c>
      <c r="B568">
        <v>14</v>
      </c>
      <c r="C568">
        <v>1110</v>
      </c>
      <c r="D568" t="s">
        <v>303</v>
      </c>
      <c r="E568">
        <f>YEAR(A568)</f>
        <v>2014</v>
      </c>
      <c r="F568" s="33">
        <f>DATE(YEAR(A568),MONTH(A568),1)</f>
        <v>41730.0</v>
      </c>
      <c r="G568" t="str">
        <f>CHOOSE(WEEKDAY(A568,2),"Mon","Tue","Wed","Thu","Fri","Sat","Sun")</f>
        <v>Thu</v>
      </c>
      <c r="H568" t="str">
        <f>IF(WEEKDAY(A568,2)&gt;5,"Weekend","Weekday")</f>
        <v>Weekday</v>
      </c>
      <c r="I568" t="str">
        <f>_xlfn.IFS(B568&lt;=5,"Night (0-5)",B568&lt;=9,"Morning peak (6-9)",B568&lt;=15,"Midday (10-15)",B568&lt;=19,"Evening peak (16-19)",TRUE,"Late evening (20-23)")</f>
        <v>Midday (10-15)</v>
      </c>
    </row>
    <row r="569" spans="1:9">
      <c r="A569" s="32">
        <v>41753</v>
      </c>
      <c r="B569">
        <v>15</v>
      </c>
      <c r="C569">
        <v>1423</v>
      </c>
      <c r="D569" t="s">
        <v>303</v>
      </c>
      <c r="E569">
        <f>YEAR(A569)</f>
        <v>2014</v>
      </c>
      <c r="F569" s="33">
        <f>DATE(YEAR(A569),MONTH(A569),1)</f>
        <v>41730.0</v>
      </c>
      <c r="G569" t="str">
        <f>CHOOSE(WEEKDAY(A569,2),"Mon","Tue","Wed","Thu","Fri","Sat","Sun")</f>
        <v>Thu</v>
      </c>
      <c r="H569" t="str">
        <f>IF(WEEKDAY(A569,2)&gt;5,"Weekend","Weekday")</f>
        <v>Weekday</v>
      </c>
      <c r="I569" t="str">
        <f>_xlfn.IFS(B569&lt;=5,"Night (0-5)",B569&lt;=9,"Morning peak (6-9)",B569&lt;=15,"Midday (10-15)",B569&lt;=19,"Evening peak (16-19)",TRUE,"Late evening (20-23)")</f>
        <v>Midday (10-15)</v>
      </c>
    </row>
    <row r="570" spans="1:9">
      <c r="A570" s="32">
        <v>41753</v>
      </c>
      <c r="B570">
        <v>16</v>
      </c>
      <c r="C570">
        <v>1680</v>
      </c>
      <c r="D570" t="s">
        <v>303</v>
      </c>
      <c r="E570">
        <f>YEAR(A570)</f>
        <v>2014</v>
      </c>
      <c r="F570" s="33">
        <f>DATE(YEAR(A570),MONTH(A570),1)</f>
        <v>41730.0</v>
      </c>
      <c r="G570" t="str">
        <f>CHOOSE(WEEKDAY(A570,2),"Mon","Tue","Wed","Thu","Fri","Sat","Sun")</f>
        <v>Thu</v>
      </c>
      <c r="H570" t="str">
        <f>IF(WEEKDAY(A570,2)&gt;5,"Weekend","Weekday")</f>
        <v>Weekday</v>
      </c>
      <c r="I570" t="str">
        <f>_xlfn.IFS(B570&lt;=5,"Night (0-5)",B570&lt;=9,"Morning peak (6-9)",B570&lt;=15,"Midday (10-15)",B570&lt;=19,"Evening peak (16-19)",TRUE,"Late evening (20-23)")</f>
        <v>Evening peak (16-19)</v>
      </c>
    </row>
    <row r="571" spans="1:9">
      <c r="A571" s="32">
        <v>41753</v>
      </c>
      <c r="B571">
        <v>17</v>
      </c>
      <c r="C571">
        <v>1917</v>
      </c>
      <c r="D571" t="s">
        <v>303</v>
      </c>
      <c r="E571">
        <f>YEAR(A571)</f>
        <v>2014</v>
      </c>
      <c r="F571" s="33">
        <f>DATE(YEAR(A571),MONTH(A571),1)</f>
        <v>41730.0</v>
      </c>
      <c r="G571" t="str">
        <f>CHOOSE(WEEKDAY(A571,2),"Mon","Tue","Wed","Thu","Fri","Sat","Sun")</f>
        <v>Thu</v>
      </c>
      <c r="H571" t="str">
        <f>IF(WEEKDAY(A571,2)&gt;5,"Weekend","Weekday")</f>
        <v>Weekday</v>
      </c>
      <c r="I571" t="str">
        <f>_xlfn.IFS(B571&lt;=5,"Night (0-5)",B571&lt;=9,"Morning peak (6-9)",B571&lt;=15,"Midday (10-15)",B571&lt;=19,"Evening peak (16-19)",TRUE,"Late evening (20-23)")</f>
        <v>Evening peak (16-19)</v>
      </c>
    </row>
    <row r="572" spans="1:9">
      <c r="A572" s="32">
        <v>41753</v>
      </c>
      <c r="B572">
        <v>18</v>
      </c>
      <c r="C572">
        <v>1794</v>
      </c>
      <c r="D572" t="s">
        <v>303</v>
      </c>
      <c r="E572">
        <f>YEAR(A572)</f>
        <v>2014</v>
      </c>
      <c r="F572" s="33">
        <f>DATE(YEAR(A572),MONTH(A572),1)</f>
        <v>41730.0</v>
      </c>
      <c r="G572" t="str">
        <f>CHOOSE(WEEKDAY(A572,2),"Mon","Tue","Wed","Thu","Fri","Sat","Sun")</f>
        <v>Thu</v>
      </c>
      <c r="H572" t="str">
        <f>IF(WEEKDAY(A572,2)&gt;5,"Weekend","Weekday")</f>
        <v>Weekday</v>
      </c>
      <c r="I572" t="str">
        <f>_xlfn.IFS(B572&lt;=5,"Night (0-5)",B572&lt;=9,"Morning peak (6-9)",B572&lt;=15,"Midday (10-15)",B572&lt;=19,"Evening peak (16-19)",TRUE,"Late evening (20-23)")</f>
        <v>Evening peak (16-19)</v>
      </c>
    </row>
    <row r="573" spans="1:9">
      <c r="A573" s="32">
        <v>41753</v>
      </c>
      <c r="B573">
        <v>19</v>
      </c>
      <c r="C573">
        <v>1702</v>
      </c>
      <c r="D573" t="s">
        <v>303</v>
      </c>
      <c r="E573">
        <f>YEAR(A573)</f>
        <v>2014</v>
      </c>
      <c r="F573" s="33">
        <f>DATE(YEAR(A573),MONTH(A573),1)</f>
        <v>41730.0</v>
      </c>
      <c r="G573" t="str">
        <f>CHOOSE(WEEKDAY(A573,2),"Mon","Tue","Wed","Thu","Fri","Sat","Sun")</f>
        <v>Thu</v>
      </c>
      <c r="H573" t="str">
        <f>IF(WEEKDAY(A573,2)&gt;5,"Weekend","Weekday")</f>
        <v>Weekday</v>
      </c>
      <c r="I573" t="str">
        <f>_xlfn.IFS(B573&lt;=5,"Night (0-5)",B573&lt;=9,"Morning peak (6-9)",B573&lt;=15,"Midday (10-15)",B573&lt;=19,"Evening peak (16-19)",TRUE,"Late evening (20-23)")</f>
        <v>Evening peak (16-19)</v>
      </c>
    </row>
    <row r="574" spans="1:9">
      <c r="A574" s="32">
        <v>41753</v>
      </c>
      <c r="B574">
        <v>20</v>
      </c>
      <c r="C574">
        <v>1779</v>
      </c>
      <c r="D574" t="s">
        <v>303</v>
      </c>
      <c r="E574">
        <f>YEAR(A574)</f>
        <v>2014</v>
      </c>
      <c r="F574" s="33">
        <f>DATE(YEAR(A574),MONTH(A574),1)</f>
        <v>41730.0</v>
      </c>
      <c r="G574" t="str">
        <f>CHOOSE(WEEKDAY(A574,2),"Mon","Tue","Wed","Thu","Fri","Sat","Sun")</f>
        <v>Thu</v>
      </c>
      <c r="H574" t="str">
        <f>IF(WEEKDAY(A574,2)&gt;5,"Weekend","Weekday")</f>
        <v>Weekday</v>
      </c>
      <c r="I574" t="str">
        <f>_xlfn.IFS(B574&lt;=5,"Night (0-5)",B574&lt;=9,"Morning peak (6-9)",B574&lt;=15,"Midday (10-15)",B574&lt;=19,"Evening peak (16-19)",TRUE,"Late evening (20-23)")</f>
        <v>Late evening (20-23)</v>
      </c>
    </row>
    <row r="575" spans="1:9">
      <c r="A575" s="32">
        <v>41753</v>
      </c>
      <c r="B575">
        <v>21</v>
      </c>
      <c r="C575">
        <v>1865</v>
      </c>
      <c r="D575" t="s">
        <v>303</v>
      </c>
      <c r="E575">
        <f>YEAR(A575)</f>
        <v>2014</v>
      </c>
      <c r="F575" s="33">
        <f>DATE(YEAR(A575),MONTH(A575),1)</f>
        <v>41730.0</v>
      </c>
      <c r="G575" t="str">
        <f>CHOOSE(WEEKDAY(A575,2),"Mon","Tue","Wed","Thu","Fri","Sat","Sun")</f>
        <v>Thu</v>
      </c>
      <c r="H575" t="str">
        <f>IF(WEEKDAY(A575,2)&gt;5,"Weekend","Weekday")</f>
        <v>Weekday</v>
      </c>
      <c r="I575" t="str">
        <f>_xlfn.IFS(B575&lt;=5,"Night (0-5)",B575&lt;=9,"Morning peak (6-9)",B575&lt;=15,"Midday (10-15)",B575&lt;=19,"Evening peak (16-19)",TRUE,"Late evening (20-23)")</f>
        <v>Late evening (20-23)</v>
      </c>
    </row>
    <row r="576" spans="1:9">
      <c r="A576" s="32">
        <v>41753</v>
      </c>
      <c r="B576">
        <v>22</v>
      </c>
      <c r="C576">
        <v>1490</v>
      </c>
      <c r="D576" t="s">
        <v>303</v>
      </c>
      <c r="E576">
        <f>YEAR(A576)</f>
        <v>2014</v>
      </c>
      <c r="F576" s="33">
        <f>DATE(YEAR(A576),MONTH(A576),1)</f>
        <v>41730.0</v>
      </c>
      <c r="G576" t="str">
        <f>CHOOSE(WEEKDAY(A576,2),"Mon","Tue","Wed","Thu","Fri","Sat","Sun")</f>
        <v>Thu</v>
      </c>
      <c r="H576" t="str">
        <f>IF(WEEKDAY(A576,2)&gt;5,"Weekend","Weekday")</f>
        <v>Weekday</v>
      </c>
      <c r="I576" t="str">
        <f>_xlfn.IFS(B576&lt;=5,"Night (0-5)",B576&lt;=9,"Morning peak (6-9)",B576&lt;=15,"Midday (10-15)",B576&lt;=19,"Evening peak (16-19)",TRUE,"Late evening (20-23)")</f>
        <v>Late evening (20-23)</v>
      </c>
    </row>
    <row r="577" spans="1:9">
      <c r="A577" s="32">
        <v>41753</v>
      </c>
      <c r="B577">
        <v>23</v>
      </c>
      <c r="C577">
        <v>770</v>
      </c>
      <c r="D577" t="s">
        <v>303</v>
      </c>
      <c r="E577">
        <f>YEAR(A577)</f>
        <v>2014</v>
      </c>
      <c r="F577" s="33">
        <f>DATE(YEAR(A577),MONTH(A577),1)</f>
        <v>41730.0</v>
      </c>
      <c r="G577" t="str">
        <f>CHOOSE(WEEKDAY(A577,2),"Mon","Tue","Wed","Thu","Fri","Sat","Sun")</f>
        <v>Thu</v>
      </c>
      <c r="H577" t="str">
        <f>IF(WEEKDAY(A577,2)&gt;5,"Weekend","Weekday")</f>
        <v>Weekday</v>
      </c>
      <c r="I577" t="str">
        <f>_xlfn.IFS(B577&lt;=5,"Night (0-5)",B577&lt;=9,"Morning peak (6-9)",B577&lt;=15,"Midday (10-15)",B577&lt;=19,"Evening peak (16-19)",TRUE,"Late evening (20-23)")</f>
        <v>Late evening (20-23)</v>
      </c>
    </row>
    <row r="578" spans="1:9">
      <c r="A578" s="32">
        <v>41754</v>
      </c>
      <c r="B578">
        <v>0</v>
      </c>
      <c r="C578">
        <v>350</v>
      </c>
      <c r="D578" t="s">
        <v>303</v>
      </c>
      <c r="E578">
        <f>YEAR(A578)</f>
        <v>2014</v>
      </c>
      <c r="F578" s="33">
        <f>DATE(YEAR(A578),MONTH(A578),1)</f>
        <v>41730.0</v>
      </c>
      <c r="G578" t="str">
        <f>CHOOSE(WEEKDAY(A578,2),"Mon","Tue","Wed","Thu","Fri","Sat","Sun")</f>
        <v>Fri</v>
      </c>
      <c r="H578" t="str">
        <f>IF(WEEKDAY(A578,2)&gt;5,"Weekend","Weekday")</f>
        <v>Weekday</v>
      </c>
      <c r="I578" t="str">
        <f>_xlfn.IFS(B578&lt;=5,"Night (0-5)",B578&lt;=9,"Morning peak (6-9)",B578&lt;=15,"Midday (10-15)",B578&lt;=19,"Evening peak (16-19)",TRUE,"Late evening (20-23)")</f>
        <v>Night (0-5)</v>
      </c>
    </row>
    <row r="579" spans="1:9">
      <c r="A579" s="32">
        <v>41754</v>
      </c>
      <c r="B579">
        <v>1</v>
      </c>
      <c r="C579">
        <v>193</v>
      </c>
      <c r="D579" t="s">
        <v>303</v>
      </c>
      <c r="E579">
        <f>YEAR(A579)</f>
        <v>2014</v>
      </c>
      <c r="F579" s="33">
        <f>DATE(YEAR(A579),MONTH(A579),1)</f>
        <v>41730.0</v>
      </c>
      <c r="G579" t="str">
        <f>CHOOSE(WEEKDAY(A579,2),"Mon","Tue","Wed","Thu","Fri","Sat","Sun")</f>
        <v>Fri</v>
      </c>
      <c r="H579" t="str">
        <f>IF(WEEKDAY(A579,2)&gt;5,"Weekend","Weekday")</f>
        <v>Weekday</v>
      </c>
      <c r="I579" t="str">
        <f>_xlfn.IFS(B579&lt;=5,"Night (0-5)",B579&lt;=9,"Morning peak (6-9)",B579&lt;=15,"Midday (10-15)",B579&lt;=19,"Evening peak (16-19)",TRUE,"Late evening (20-23)")</f>
        <v>Night (0-5)</v>
      </c>
    </row>
    <row r="580" spans="1:9">
      <c r="A580" s="32">
        <v>41754</v>
      </c>
      <c r="B580">
        <v>2</v>
      </c>
      <c r="C580">
        <v>139</v>
      </c>
      <c r="D580" t="s">
        <v>303</v>
      </c>
      <c r="E580">
        <f>YEAR(A580)</f>
        <v>2014</v>
      </c>
      <c r="F580" s="33">
        <f>DATE(YEAR(A580),MONTH(A580),1)</f>
        <v>41730.0</v>
      </c>
      <c r="G580" t="str">
        <f>CHOOSE(WEEKDAY(A580,2),"Mon","Tue","Wed","Thu","Fri","Sat","Sun")</f>
        <v>Fri</v>
      </c>
      <c r="H580" t="str">
        <f>IF(WEEKDAY(A580,2)&gt;5,"Weekend","Weekday")</f>
        <v>Weekday</v>
      </c>
      <c r="I580" t="str">
        <f>_xlfn.IFS(B580&lt;=5,"Night (0-5)",B580&lt;=9,"Morning peak (6-9)",B580&lt;=15,"Midday (10-15)",B580&lt;=19,"Evening peak (16-19)",TRUE,"Late evening (20-23)")</f>
        <v>Night (0-5)</v>
      </c>
    </row>
    <row r="581" spans="1:9">
      <c r="A581" s="32">
        <v>41754</v>
      </c>
      <c r="B581">
        <v>3</v>
      </c>
      <c r="C581">
        <v>177</v>
      </c>
      <c r="D581" t="s">
        <v>303</v>
      </c>
      <c r="E581">
        <f>YEAR(A581)</f>
        <v>2014</v>
      </c>
      <c r="F581" s="33">
        <f>DATE(YEAR(A581),MONTH(A581),1)</f>
        <v>41730.0</v>
      </c>
      <c r="G581" t="str">
        <f>CHOOSE(WEEKDAY(A581,2),"Mon","Tue","Wed","Thu","Fri","Sat","Sun")</f>
        <v>Fri</v>
      </c>
      <c r="H581" t="str">
        <f>IF(WEEKDAY(A581,2)&gt;5,"Weekend","Weekday")</f>
        <v>Weekday</v>
      </c>
      <c r="I581" t="str">
        <f>_xlfn.IFS(B581&lt;=5,"Night (0-5)",B581&lt;=9,"Morning peak (6-9)",B581&lt;=15,"Midday (10-15)",B581&lt;=19,"Evening peak (16-19)",TRUE,"Late evening (20-23)")</f>
        <v>Night (0-5)</v>
      </c>
    </row>
    <row r="582" spans="1:9">
      <c r="A582" s="32">
        <v>41754</v>
      </c>
      <c r="B582">
        <v>4</v>
      </c>
      <c r="C582">
        <v>238</v>
      </c>
      <c r="D582" t="s">
        <v>303</v>
      </c>
      <c r="E582">
        <f>YEAR(A582)</f>
        <v>2014</v>
      </c>
      <c r="F582" s="33">
        <f>DATE(YEAR(A582),MONTH(A582),1)</f>
        <v>41730.0</v>
      </c>
      <c r="G582" t="str">
        <f>CHOOSE(WEEKDAY(A582,2),"Mon","Tue","Wed","Thu","Fri","Sat","Sun")</f>
        <v>Fri</v>
      </c>
      <c r="H582" t="str">
        <f>IF(WEEKDAY(A582,2)&gt;5,"Weekend","Weekday")</f>
        <v>Weekday</v>
      </c>
      <c r="I582" t="str">
        <f>_xlfn.IFS(B582&lt;=5,"Night (0-5)",B582&lt;=9,"Morning peak (6-9)",B582&lt;=15,"Midday (10-15)",B582&lt;=19,"Evening peak (16-19)",TRUE,"Late evening (20-23)")</f>
        <v>Night (0-5)</v>
      </c>
    </row>
    <row r="583" spans="1:9">
      <c r="A583" s="32">
        <v>41754</v>
      </c>
      <c r="B583">
        <v>5</v>
      </c>
      <c r="C583">
        <v>372</v>
      </c>
      <c r="D583" t="s">
        <v>303</v>
      </c>
      <c r="E583">
        <f>YEAR(A583)</f>
        <v>2014</v>
      </c>
      <c r="F583" s="33">
        <f>DATE(YEAR(A583),MONTH(A583),1)</f>
        <v>41730.0</v>
      </c>
      <c r="G583" t="str">
        <f>CHOOSE(WEEKDAY(A583,2),"Mon","Tue","Wed","Thu","Fri","Sat","Sun")</f>
        <v>Fri</v>
      </c>
      <c r="H583" t="str">
        <f>IF(WEEKDAY(A583,2)&gt;5,"Weekend","Weekday")</f>
        <v>Weekday</v>
      </c>
      <c r="I583" t="str">
        <f>_xlfn.IFS(B583&lt;=5,"Night (0-5)",B583&lt;=9,"Morning peak (6-9)",B583&lt;=15,"Midday (10-15)",B583&lt;=19,"Evening peak (16-19)",TRUE,"Late evening (20-23)")</f>
        <v>Night (0-5)</v>
      </c>
    </row>
    <row r="584" spans="1:9">
      <c r="A584" s="32">
        <v>41754</v>
      </c>
      <c r="B584">
        <v>6</v>
      </c>
      <c r="C584">
        <v>796</v>
      </c>
      <c r="D584" t="s">
        <v>303</v>
      </c>
      <c r="E584">
        <f>YEAR(A584)</f>
        <v>2014</v>
      </c>
      <c r="F584" s="33">
        <f>DATE(YEAR(A584),MONTH(A584),1)</f>
        <v>41730.0</v>
      </c>
      <c r="G584" t="str">
        <f>CHOOSE(WEEKDAY(A584,2),"Mon","Tue","Wed","Thu","Fri","Sat","Sun")</f>
        <v>Fri</v>
      </c>
      <c r="H584" t="str">
        <f>IF(WEEKDAY(A584,2)&gt;5,"Weekend","Weekday")</f>
        <v>Weekday</v>
      </c>
      <c r="I584" t="str">
        <f>_xlfn.IFS(B584&lt;=5,"Night (0-5)",B584&lt;=9,"Morning peak (6-9)",B584&lt;=15,"Midday (10-15)",B584&lt;=19,"Evening peak (16-19)",TRUE,"Late evening (20-23)")</f>
        <v>Morning peak (6-9)</v>
      </c>
    </row>
    <row r="585" spans="1:9">
      <c r="A585" s="32">
        <v>41754</v>
      </c>
      <c r="B585">
        <v>7</v>
      </c>
      <c r="C585">
        <v>1054</v>
      </c>
      <c r="D585" t="s">
        <v>303</v>
      </c>
      <c r="E585">
        <f>YEAR(A585)</f>
        <v>2014</v>
      </c>
      <c r="F585" s="33">
        <f>DATE(YEAR(A585),MONTH(A585),1)</f>
        <v>41730.0</v>
      </c>
      <c r="G585" t="str">
        <f>CHOOSE(WEEKDAY(A585,2),"Mon","Tue","Wed","Thu","Fri","Sat","Sun")</f>
        <v>Fri</v>
      </c>
      <c r="H585" t="str">
        <f>IF(WEEKDAY(A585,2)&gt;5,"Weekend","Weekday")</f>
        <v>Weekday</v>
      </c>
      <c r="I585" t="str">
        <f>_xlfn.IFS(B585&lt;=5,"Night (0-5)",B585&lt;=9,"Morning peak (6-9)",B585&lt;=15,"Midday (10-15)",B585&lt;=19,"Evening peak (16-19)",TRUE,"Late evening (20-23)")</f>
        <v>Morning peak (6-9)</v>
      </c>
    </row>
    <row r="586" spans="1:9">
      <c r="A586" s="32">
        <v>41754</v>
      </c>
      <c r="B586">
        <v>8</v>
      </c>
      <c r="C586">
        <v>937</v>
      </c>
      <c r="D586" t="s">
        <v>303</v>
      </c>
      <c r="E586">
        <f>YEAR(A586)</f>
        <v>2014</v>
      </c>
      <c r="F586" s="33">
        <f>DATE(YEAR(A586),MONTH(A586),1)</f>
        <v>41730.0</v>
      </c>
      <c r="G586" t="str">
        <f>CHOOSE(WEEKDAY(A586,2),"Mon","Tue","Wed","Thu","Fri","Sat","Sun")</f>
        <v>Fri</v>
      </c>
      <c r="H586" t="str">
        <f>IF(WEEKDAY(A586,2)&gt;5,"Weekend","Weekday")</f>
        <v>Weekday</v>
      </c>
      <c r="I586" t="str">
        <f>_xlfn.IFS(B586&lt;=5,"Night (0-5)",B586&lt;=9,"Morning peak (6-9)",B586&lt;=15,"Midday (10-15)",B586&lt;=19,"Evening peak (16-19)",TRUE,"Late evening (20-23)")</f>
        <v>Morning peak (6-9)</v>
      </c>
    </row>
    <row r="587" spans="1:9">
      <c r="A587" s="32">
        <v>41754</v>
      </c>
      <c r="B587">
        <v>9</v>
      </c>
      <c r="C587">
        <v>717</v>
      </c>
      <c r="D587" t="s">
        <v>303</v>
      </c>
      <c r="E587">
        <f>YEAR(A587)</f>
        <v>2014</v>
      </c>
      <c r="F587" s="33">
        <f>DATE(YEAR(A587),MONTH(A587),1)</f>
        <v>41730.0</v>
      </c>
      <c r="G587" t="str">
        <f>CHOOSE(WEEKDAY(A587,2),"Mon","Tue","Wed","Thu","Fri","Sat","Sun")</f>
        <v>Fri</v>
      </c>
      <c r="H587" t="str">
        <f>IF(WEEKDAY(A587,2)&gt;5,"Weekend","Weekday")</f>
        <v>Weekday</v>
      </c>
      <c r="I587" t="str">
        <f>_xlfn.IFS(B587&lt;=5,"Night (0-5)",B587&lt;=9,"Morning peak (6-9)",B587&lt;=15,"Midday (10-15)",B587&lt;=19,"Evening peak (16-19)",TRUE,"Late evening (20-23)")</f>
        <v>Morning peak (6-9)</v>
      </c>
    </row>
    <row r="588" spans="1:9">
      <c r="A588" s="32">
        <v>41754</v>
      </c>
      <c r="B588">
        <v>10</v>
      </c>
      <c r="C588">
        <v>651</v>
      </c>
      <c r="D588" t="s">
        <v>303</v>
      </c>
      <c r="E588">
        <f>YEAR(A588)</f>
        <v>2014</v>
      </c>
      <c r="F588" s="33">
        <f>DATE(YEAR(A588),MONTH(A588),1)</f>
        <v>41730.0</v>
      </c>
      <c r="G588" t="str">
        <f>CHOOSE(WEEKDAY(A588,2),"Mon","Tue","Wed","Thu","Fri","Sat","Sun")</f>
        <v>Fri</v>
      </c>
      <c r="H588" t="str">
        <f>IF(WEEKDAY(A588,2)&gt;5,"Weekend","Weekday")</f>
        <v>Weekday</v>
      </c>
      <c r="I588" t="str">
        <f>_xlfn.IFS(B588&lt;=5,"Night (0-5)",B588&lt;=9,"Morning peak (6-9)",B588&lt;=15,"Midday (10-15)",B588&lt;=19,"Evening peak (16-19)",TRUE,"Late evening (20-23)")</f>
        <v>Midday (10-15)</v>
      </c>
    </row>
    <row r="589" spans="1:9">
      <c r="A589" s="32">
        <v>41754</v>
      </c>
      <c r="B589">
        <v>11</v>
      </c>
      <c r="C589">
        <v>699</v>
      </c>
      <c r="D589" t="s">
        <v>303</v>
      </c>
      <c r="E589">
        <f>YEAR(A589)</f>
        <v>2014</v>
      </c>
      <c r="F589" s="33">
        <f>DATE(YEAR(A589),MONTH(A589),1)</f>
        <v>41730.0</v>
      </c>
      <c r="G589" t="str">
        <f>CHOOSE(WEEKDAY(A589,2),"Mon","Tue","Wed","Thu","Fri","Sat","Sun")</f>
        <v>Fri</v>
      </c>
      <c r="H589" t="str">
        <f>IF(WEEKDAY(A589,2)&gt;5,"Weekend","Weekday")</f>
        <v>Weekday</v>
      </c>
      <c r="I589" t="str">
        <f>_xlfn.IFS(B589&lt;=5,"Night (0-5)",B589&lt;=9,"Morning peak (6-9)",B589&lt;=15,"Midday (10-15)",B589&lt;=19,"Evening peak (16-19)",TRUE,"Late evening (20-23)")</f>
        <v>Midday (10-15)</v>
      </c>
    </row>
    <row r="590" spans="1:9">
      <c r="A590" s="32">
        <v>41754</v>
      </c>
      <c r="B590">
        <v>12</v>
      </c>
      <c r="C590">
        <v>784</v>
      </c>
      <c r="D590" t="s">
        <v>303</v>
      </c>
      <c r="E590">
        <f>YEAR(A590)</f>
        <v>2014</v>
      </c>
      <c r="F590" s="33">
        <f>DATE(YEAR(A590),MONTH(A590),1)</f>
        <v>41730.0</v>
      </c>
      <c r="G590" t="str">
        <f>CHOOSE(WEEKDAY(A590,2),"Mon","Tue","Wed","Thu","Fri","Sat","Sun")</f>
        <v>Fri</v>
      </c>
      <c r="H590" t="str">
        <f>IF(WEEKDAY(A590,2)&gt;5,"Weekend","Weekday")</f>
        <v>Weekday</v>
      </c>
      <c r="I590" t="str">
        <f>_xlfn.IFS(B590&lt;=5,"Night (0-5)",B590&lt;=9,"Morning peak (6-9)",B590&lt;=15,"Midday (10-15)",B590&lt;=19,"Evening peak (16-19)",TRUE,"Late evening (20-23)")</f>
        <v>Midday (10-15)</v>
      </c>
    </row>
    <row r="591" spans="1:9">
      <c r="A591" s="32">
        <v>41754</v>
      </c>
      <c r="B591">
        <v>13</v>
      </c>
      <c r="C591">
        <v>891</v>
      </c>
      <c r="D591" t="s">
        <v>303</v>
      </c>
      <c r="E591">
        <f>YEAR(A591)</f>
        <v>2014</v>
      </c>
      <c r="F591" s="33">
        <f>DATE(YEAR(A591),MONTH(A591),1)</f>
        <v>41730.0</v>
      </c>
      <c r="G591" t="str">
        <f>CHOOSE(WEEKDAY(A591,2),"Mon","Tue","Wed","Thu","Fri","Sat","Sun")</f>
        <v>Fri</v>
      </c>
      <c r="H591" t="str">
        <f>IF(WEEKDAY(A591,2)&gt;5,"Weekend","Weekday")</f>
        <v>Weekday</v>
      </c>
      <c r="I591" t="str">
        <f>_xlfn.IFS(B591&lt;=5,"Night (0-5)",B591&lt;=9,"Morning peak (6-9)",B591&lt;=15,"Midday (10-15)",B591&lt;=19,"Evening peak (16-19)",TRUE,"Late evening (20-23)")</f>
        <v>Midday (10-15)</v>
      </c>
    </row>
    <row r="592" spans="1:9">
      <c r="A592" s="32">
        <v>41754</v>
      </c>
      <c r="B592">
        <v>14</v>
      </c>
      <c r="C592">
        <v>1127</v>
      </c>
      <c r="D592" t="s">
        <v>303</v>
      </c>
      <c r="E592">
        <f>YEAR(A592)</f>
        <v>2014</v>
      </c>
      <c r="F592" s="33">
        <f>DATE(YEAR(A592),MONTH(A592),1)</f>
        <v>41730.0</v>
      </c>
      <c r="G592" t="str">
        <f>CHOOSE(WEEKDAY(A592,2),"Mon","Tue","Wed","Thu","Fri","Sat","Sun")</f>
        <v>Fri</v>
      </c>
      <c r="H592" t="str">
        <f>IF(WEEKDAY(A592,2)&gt;5,"Weekend","Weekday")</f>
        <v>Weekday</v>
      </c>
      <c r="I592" t="str">
        <f>_xlfn.IFS(B592&lt;=5,"Night (0-5)",B592&lt;=9,"Morning peak (6-9)",B592&lt;=15,"Midday (10-15)",B592&lt;=19,"Evening peak (16-19)",TRUE,"Late evening (20-23)")</f>
        <v>Midday (10-15)</v>
      </c>
    </row>
    <row r="593" spans="1:9">
      <c r="A593" s="32">
        <v>41754</v>
      </c>
      <c r="B593">
        <v>15</v>
      </c>
      <c r="C593">
        <v>1445</v>
      </c>
      <c r="D593" t="s">
        <v>303</v>
      </c>
      <c r="E593">
        <f>YEAR(A593)</f>
        <v>2014</v>
      </c>
      <c r="F593" s="33">
        <f>DATE(YEAR(A593),MONTH(A593),1)</f>
        <v>41730.0</v>
      </c>
      <c r="G593" t="str">
        <f>CHOOSE(WEEKDAY(A593,2),"Mon","Tue","Wed","Thu","Fri","Sat","Sun")</f>
        <v>Fri</v>
      </c>
      <c r="H593" t="str">
        <f>IF(WEEKDAY(A593,2)&gt;5,"Weekend","Weekday")</f>
        <v>Weekday</v>
      </c>
      <c r="I593" t="str">
        <f>_xlfn.IFS(B593&lt;=5,"Night (0-5)",B593&lt;=9,"Morning peak (6-9)",B593&lt;=15,"Midday (10-15)",B593&lt;=19,"Evening peak (16-19)",TRUE,"Late evening (20-23)")</f>
        <v>Midday (10-15)</v>
      </c>
    </row>
    <row r="594" spans="1:9">
      <c r="A594" s="32">
        <v>41754</v>
      </c>
      <c r="B594">
        <v>16</v>
      </c>
      <c r="C594">
        <v>1686</v>
      </c>
      <c r="D594" t="s">
        <v>303</v>
      </c>
      <c r="E594">
        <f>YEAR(A594)</f>
        <v>2014</v>
      </c>
      <c r="F594" s="33">
        <f>DATE(YEAR(A594),MONTH(A594),1)</f>
        <v>41730.0</v>
      </c>
      <c r="G594" t="str">
        <f>CHOOSE(WEEKDAY(A594,2),"Mon","Tue","Wed","Thu","Fri","Sat","Sun")</f>
        <v>Fri</v>
      </c>
      <c r="H594" t="str">
        <f>IF(WEEKDAY(A594,2)&gt;5,"Weekend","Weekday")</f>
        <v>Weekday</v>
      </c>
      <c r="I594" t="str">
        <f>_xlfn.IFS(B594&lt;=5,"Night (0-5)",B594&lt;=9,"Morning peak (6-9)",B594&lt;=15,"Midday (10-15)",B594&lt;=19,"Evening peak (16-19)",TRUE,"Late evening (20-23)")</f>
        <v>Evening peak (16-19)</v>
      </c>
    </row>
    <row r="595" spans="1:9">
      <c r="A595" s="32">
        <v>41754</v>
      </c>
      <c r="B595">
        <v>17</v>
      </c>
      <c r="C595">
        <v>1754</v>
      </c>
      <c r="D595" t="s">
        <v>303</v>
      </c>
      <c r="E595">
        <f>YEAR(A595)</f>
        <v>2014</v>
      </c>
      <c r="F595" s="33">
        <f>DATE(YEAR(A595),MONTH(A595),1)</f>
        <v>41730.0</v>
      </c>
      <c r="G595" t="str">
        <f>CHOOSE(WEEKDAY(A595,2),"Mon","Tue","Wed","Thu","Fri","Sat","Sun")</f>
        <v>Fri</v>
      </c>
      <c r="H595" t="str">
        <f>IF(WEEKDAY(A595,2)&gt;5,"Weekend","Weekday")</f>
        <v>Weekday</v>
      </c>
      <c r="I595" t="str">
        <f>_xlfn.IFS(B595&lt;=5,"Night (0-5)",B595&lt;=9,"Morning peak (6-9)",B595&lt;=15,"Midday (10-15)",B595&lt;=19,"Evening peak (16-19)",TRUE,"Late evening (20-23)")</f>
        <v>Evening peak (16-19)</v>
      </c>
    </row>
    <row r="596" spans="1:9">
      <c r="A596" s="32">
        <v>41754</v>
      </c>
      <c r="B596">
        <v>18</v>
      </c>
      <c r="C596">
        <v>1947</v>
      </c>
      <c r="D596" t="s">
        <v>303</v>
      </c>
      <c r="E596">
        <f>YEAR(A596)</f>
        <v>2014</v>
      </c>
      <c r="F596" s="33">
        <f>DATE(YEAR(A596),MONTH(A596),1)</f>
        <v>41730.0</v>
      </c>
      <c r="G596" t="str">
        <f>CHOOSE(WEEKDAY(A596,2),"Mon","Tue","Wed","Thu","Fri","Sat","Sun")</f>
        <v>Fri</v>
      </c>
      <c r="H596" t="str">
        <f>IF(WEEKDAY(A596,2)&gt;5,"Weekend","Weekday")</f>
        <v>Weekday</v>
      </c>
      <c r="I596" t="str">
        <f>_xlfn.IFS(B596&lt;=5,"Night (0-5)",B596&lt;=9,"Morning peak (6-9)",B596&lt;=15,"Midday (10-15)",B596&lt;=19,"Evening peak (16-19)",TRUE,"Late evening (20-23)")</f>
        <v>Evening peak (16-19)</v>
      </c>
    </row>
    <row r="597" spans="1:9">
      <c r="A597" s="32">
        <v>41754</v>
      </c>
      <c r="B597">
        <v>19</v>
      </c>
      <c r="C597">
        <v>1610</v>
      </c>
      <c r="D597" t="s">
        <v>303</v>
      </c>
      <c r="E597">
        <f>YEAR(A597)</f>
        <v>2014</v>
      </c>
      <c r="F597" s="33">
        <f>DATE(YEAR(A597),MONTH(A597),1)</f>
        <v>41730.0</v>
      </c>
      <c r="G597" t="str">
        <f>CHOOSE(WEEKDAY(A597,2),"Mon","Tue","Wed","Thu","Fri","Sat","Sun")</f>
        <v>Fri</v>
      </c>
      <c r="H597" t="str">
        <f>IF(WEEKDAY(A597,2)&gt;5,"Weekend","Weekday")</f>
        <v>Weekday</v>
      </c>
      <c r="I597" t="str">
        <f>_xlfn.IFS(B597&lt;=5,"Night (0-5)",B597&lt;=9,"Morning peak (6-9)",B597&lt;=15,"Midday (10-15)",B597&lt;=19,"Evening peak (16-19)",TRUE,"Late evening (20-23)")</f>
        <v>Evening peak (16-19)</v>
      </c>
    </row>
    <row r="598" spans="1:9">
      <c r="A598" s="32">
        <v>41754</v>
      </c>
      <c r="B598">
        <v>20</v>
      </c>
      <c r="C598">
        <v>1466</v>
      </c>
      <c r="D598" t="s">
        <v>303</v>
      </c>
      <c r="E598">
        <f>YEAR(A598)</f>
        <v>2014</v>
      </c>
      <c r="F598" s="33">
        <f>DATE(YEAR(A598),MONTH(A598),1)</f>
        <v>41730.0</v>
      </c>
      <c r="G598" t="str">
        <f>CHOOSE(WEEKDAY(A598,2),"Mon","Tue","Wed","Thu","Fri","Sat","Sun")</f>
        <v>Fri</v>
      </c>
      <c r="H598" t="str">
        <f>IF(WEEKDAY(A598,2)&gt;5,"Weekend","Weekday")</f>
        <v>Weekday</v>
      </c>
      <c r="I598" t="str">
        <f>_xlfn.IFS(B598&lt;=5,"Night (0-5)",B598&lt;=9,"Morning peak (6-9)",B598&lt;=15,"Midday (10-15)",B598&lt;=19,"Evening peak (16-19)",TRUE,"Late evening (20-23)")</f>
        <v>Late evening (20-23)</v>
      </c>
    </row>
    <row r="599" spans="1:9">
      <c r="A599" s="32">
        <v>41754</v>
      </c>
      <c r="B599">
        <v>21</v>
      </c>
      <c r="C599">
        <v>2007</v>
      </c>
      <c r="D599" t="s">
        <v>303</v>
      </c>
      <c r="E599">
        <f>YEAR(A599)</f>
        <v>2014</v>
      </c>
      <c r="F599" s="33">
        <f>DATE(YEAR(A599),MONTH(A599),1)</f>
        <v>41730.0</v>
      </c>
      <c r="G599" t="str">
        <f>CHOOSE(WEEKDAY(A599,2),"Mon","Tue","Wed","Thu","Fri","Sat","Sun")</f>
        <v>Fri</v>
      </c>
      <c r="H599" t="str">
        <f>IF(WEEKDAY(A599,2)&gt;5,"Weekend","Weekday")</f>
        <v>Weekday</v>
      </c>
      <c r="I599" t="str">
        <f>_xlfn.IFS(B599&lt;=5,"Night (0-5)",B599&lt;=9,"Morning peak (6-9)",B599&lt;=15,"Midday (10-15)",B599&lt;=19,"Evening peak (16-19)",TRUE,"Late evening (20-23)")</f>
        <v>Late evening (20-23)</v>
      </c>
    </row>
    <row r="600" spans="1:9">
      <c r="A600" s="32">
        <v>41754</v>
      </c>
      <c r="B600">
        <v>22</v>
      </c>
      <c r="C600">
        <v>2141</v>
      </c>
      <c r="D600" t="s">
        <v>303</v>
      </c>
      <c r="E600">
        <f>YEAR(A600)</f>
        <v>2014</v>
      </c>
      <c r="F600" s="33">
        <f>DATE(YEAR(A600),MONTH(A600),1)</f>
        <v>41730.0</v>
      </c>
      <c r="G600" t="str">
        <f>CHOOSE(WEEKDAY(A600,2),"Mon","Tue","Wed","Thu","Fri","Sat","Sun")</f>
        <v>Fri</v>
      </c>
      <c r="H600" t="str">
        <f>IF(WEEKDAY(A600,2)&gt;5,"Weekend","Weekday")</f>
        <v>Weekday</v>
      </c>
      <c r="I600" t="str">
        <f>_xlfn.IFS(B600&lt;=5,"Night (0-5)",B600&lt;=9,"Morning peak (6-9)",B600&lt;=15,"Midday (10-15)",B600&lt;=19,"Evening peak (16-19)",TRUE,"Late evening (20-23)")</f>
        <v>Late evening (20-23)</v>
      </c>
    </row>
    <row r="601" spans="1:9">
      <c r="A601" s="32">
        <v>41754</v>
      </c>
      <c r="B601">
        <v>23</v>
      </c>
      <c r="C601">
        <v>1914</v>
      </c>
      <c r="D601" t="s">
        <v>303</v>
      </c>
      <c r="E601">
        <f>YEAR(A601)</f>
        <v>2014</v>
      </c>
      <c r="F601" s="33">
        <f>DATE(YEAR(A601),MONTH(A601),1)</f>
        <v>41730.0</v>
      </c>
      <c r="G601" t="str">
        <f>CHOOSE(WEEKDAY(A601,2),"Mon","Tue","Wed","Thu","Fri","Sat","Sun")</f>
        <v>Fri</v>
      </c>
      <c r="H601" t="str">
        <f>IF(WEEKDAY(A601,2)&gt;5,"Weekend","Weekday")</f>
        <v>Weekday</v>
      </c>
      <c r="I601" t="str">
        <f>_xlfn.IFS(B601&lt;=5,"Night (0-5)",B601&lt;=9,"Morning peak (6-9)",B601&lt;=15,"Midday (10-15)",B601&lt;=19,"Evening peak (16-19)",TRUE,"Late evening (20-23)")</f>
        <v>Late evening (20-23)</v>
      </c>
    </row>
    <row r="602" spans="1:9">
      <c r="A602" s="32">
        <v>41755</v>
      </c>
      <c r="B602">
        <v>0</v>
      </c>
      <c r="C602">
        <v>1003</v>
      </c>
      <c r="D602" t="s">
        <v>303</v>
      </c>
      <c r="E602">
        <f>YEAR(A602)</f>
        <v>2014</v>
      </c>
      <c r="F602" s="33">
        <f>DATE(YEAR(A602),MONTH(A602),1)</f>
        <v>41730.0</v>
      </c>
      <c r="G602" t="str">
        <f>CHOOSE(WEEKDAY(A602,2),"Mon","Tue","Wed","Thu","Fri","Sat","Sun")</f>
        <v>Sat</v>
      </c>
      <c r="H602" t="str">
        <f>IF(WEEKDAY(A602,2)&gt;5,"Weekend","Weekday")</f>
        <v>Weekend</v>
      </c>
      <c r="I602" t="str">
        <f>_xlfn.IFS(B602&lt;=5,"Night (0-5)",B602&lt;=9,"Morning peak (6-9)",B602&lt;=15,"Midday (10-15)",B602&lt;=19,"Evening peak (16-19)",TRUE,"Late evening (20-23)")</f>
        <v>Night (0-5)</v>
      </c>
    </row>
    <row r="603" spans="1:9">
      <c r="A603" s="32">
        <v>41755</v>
      </c>
      <c r="B603">
        <v>1</v>
      </c>
      <c r="C603">
        <v>1162</v>
      </c>
      <c r="D603" t="s">
        <v>303</v>
      </c>
      <c r="E603">
        <f>YEAR(A603)</f>
        <v>2014</v>
      </c>
      <c r="F603" s="33">
        <f>DATE(YEAR(A603),MONTH(A603),1)</f>
        <v>41730.0</v>
      </c>
      <c r="G603" t="str">
        <f>CHOOSE(WEEKDAY(A603,2),"Mon","Tue","Wed","Thu","Fri","Sat","Sun")</f>
        <v>Sat</v>
      </c>
      <c r="H603" t="str">
        <f>IF(WEEKDAY(A603,2)&gt;5,"Weekend","Weekday")</f>
        <v>Weekend</v>
      </c>
      <c r="I603" t="str">
        <f>_xlfn.IFS(B603&lt;=5,"Night (0-5)",B603&lt;=9,"Morning peak (6-9)",B603&lt;=15,"Midday (10-15)",B603&lt;=19,"Evening peak (16-19)",TRUE,"Late evening (20-23)")</f>
        <v>Night (0-5)</v>
      </c>
    </row>
    <row r="604" spans="1:9">
      <c r="A604" s="32">
        <v>41755</v>
      </c>
      <c r="B604">
        <v>2</v>
      </c>
      <c r="C604">
        <v>789</v>
      </c>
      <c r="D604" t="s">
        <v>303</v>
      </c>
      <c r="E604">
        <f>YEAR(A604)</f>
        <v>2014</v>
      </c>
      <c r="F604" s="33">
        <f>DATE(YEAR(A604),MONTH(A604),1)</f>
        <v>41730.0</v>
      </c>
      <c r="G604" t="str">
        <f>CHOOSE(WEEKDAY(A604,2),"Mon","Tue","Wed","Thu","Fri","Sat","Sun")</f>
        <v>Sat</v>
      </c>
      <c r="H604" t="str">
        <f>IF(WEEKDAY(A604,2)&gt;5,"Weekend","Weekday")</f>
        <v>Weekend</v>
      </c>
      <c r="I604" t="str">
        <f>_xlfn.IFS(B604&lt;=5,"Night (0-5)",B604&lt;=9,"Morning peak (6-9)",B604&lt;=15,"Midday (10-15)",B604&lt;=19,"Evening peak (16-19)",TRUE,"Late evening (20-23)")</f>
        <v>Night (0-5)</v>
      </c>
    </row>
    <row r="605" spans="1:9">
      <c r="A605" s="32">
        <v>41755</v>
      </c>
      <c r="B605">
        <v>3</v>
      </c>
      <c r="C605">
        <v>431</v>
      </c>
      <c r="D605" t="s">
        <v>303</v>
      </c>
      <c r="E605">
        <f>YEAR(A605)</f>
        <v>2014</v>
      </c>
      <c r="F605" s="33">
        <f>DATE(YEAR(A605),MONTH(A605),1)</f>
        <v>41730.0</v>
      </c>
      <c r="G605" t="str">
        <f>CHOOSE(WEEKDAY(A605,2),"Mon","Tue","Wed","Thu","Fri","Sat","Sun")</f>
        <v>Sat</v>
      </c>
      <c r="H605" t="str">
        <f>IF(WEEKDAY(A605,2)&gt;5,"Weekend","Weekday")</f>
        <v>Weekend</v>
      </c>
      <c r="I605" t="str">
        <f>_xlfn.IFS(B605&lt;=5,"Night (0-5)",B605&lt;=9,"Morning peak (6-9)",B605&lt;=15,"Midday (10-15)",B605&lt;=19,"Evening peak (16-19)",TRUE,"Late evening (20-23)")</f>
        <v>Night (0-5)</v>
      </c>
    </row>
    <row r="606" spans="1:9">
      <c r="A606" s="32">
        <v>41755</v>
      </c>
      <c r="B606">
        <v>4</v>
      </c>
      <c r="C606">
        <v>243</v>
      </c>
      <c r="D606" t="s">
        <v>303</v>
      </c>
      <c r="E606">
        <f>YEAR(A606)</f>
        <v>2014</v>
      </c>
      <c r="F606" s="33">
        <f>DATE(YEAR(A606),MONTH(A606),1)</f>
        <v>41730.0</v>
      </c>
      <c r="G606" t="str">
        <f>CHOOSE(WEEKDAY(A606,2),"Mon","Tue","Wed","Thu","Fri","Sat","Sun")</f>
        <v>Sat</v>
      </c>
      <c r="H606" t="str">
        <f>IF(WEEKDAY(A606,2)&gt;5,"Weekend","Weekday")</f>
        <v>Weekend</v>
      </c>
      <c r="I606" t="str">
        <f>_xlfn.IFS(B606&lt;=5,"Night (0-5)",B606&lt;=9,"Morning peak (6-9)",B606&lt;=15,"Midday (10-15)",B606&lt;=19,"Evening peak (16-19)",TRUE,"Late evening (20-23)")</f>
        <v>Night (0-5)</v>
      </c>
    </row>
    <row r="607" spans="1:9">
      <c r="A607" s="32">
        <v>41755</v>
      </c>
      <c r="B607">
        <v>5</v>
      </c>
      <c r="C607">
        <v>203</v>
      </c>
      <c r="D607" t="s">
        <v>303</v>
      </c>
      <c r="E607">
        <f>YEAR(A607)</f>
        <v>2014</v>
      </c>
      <c r="F607" s="33">
        <f>DATE(YEAR(A607),MONTH(A607),1)</f>
        <v>41730.0</v>
      </c>
      <c r="G607" t="str">
        <f>CHOOSE(WEEKDAY(A607,2),"Mon","Tue","Wed","Thu","Fri","Sat","Sun")</f>
        <v>Sat</v>
      </c>
      <c r="H607" t="str">
        <f>IF(WEEKDAY(A607,2)&gt;5,"Weekend","Weekday")</f>
        <v>Weekend</v>
      </c>
      <c r="I607" t="str">
        <f>_xlfn.IFS(B607&lt;=5,"Night (0-5)",B607&lt;=9,"Morning peak (6-9)",B607&lt;=15,"Midday (10-15)",B607&lt;=19,"Evening peak (16-19)",TRUE,"Late evening (20-23)")</f>
        <v>Night (0-5)</v>
      </c>
    </row>
    <row r="608" spans="1:9">
      <c r="A608" s="32">
        <v>41755</v>
      </c>
      <c r="B608">
        <v>6</v>
      </c>
      <c r="C608">
        <v>262</v>
      </c>
      <c r="D608" t="s">
        <v>303</v>
      </c>
      <c r="E608">
        <f>YEAR(A608)</f>
        <v>2014</v>
      </c>
      <c r="F608" s="33">
        <f>DATE(YEAR(A608),MONTH(A608),1)</f>
        <v>41730.0</v>
      </c>
      <c r="G608" t="str">
        <f>CHOOSE(WEEKDAY(A608,2),"Mon","Tue","Wed","Thu","Fri","Sat","Sun")</f>
        <v>Sat</v>
      </c>
      <c r="H608" t="str">
        <f>IF(WEEKDAY(A608,2)&gt;5,"Weekend","Weekday")</f>
        <v>Weekend</v>
      </c>
      <c r="I608" t="str">
        <f>_xlfn.IFS(B608&lt;=5,"Night (0-5)",B608&lt;=9,"Morning peak (6-9)",B608&lt;=15,"Midday (10-15)",B608&lt;=19,"Evening peak (16-19)",TRUE,"Late evening (20-23)")</f>
        <v>Morning peak (6-9)</v>
      </c>
    </row>
    <row r="609" spans="1:9">
      <c r="A609" s="32">
        <v>41755</v>
      </c>
      <c r="B609">
        <v>7</v>
      </c>
      <c r="C609">
        <v>355</v>
      </c>
      <c r="D609" t="s">
        <v>303</v>
      </c>
      <c r="E609">
        <f>YEAR(A609)</f>
        <v>2014</v>
      </c>
      <c r="F609" s="33">
        <f>DATE(YEAR(A609),MONTH(A609),1)</f>
        <v>41730.0</v>
      </c>
      <c r="G609" t="str">
        <f>CHOOSE(WEEKDAY(A609,2),"Mon","Tue","Wed","Thu","Fri","Sat","Sun")</f>
        <v>Sat</v>
      </c>
      <c r="H609" t="str">
        <f>IF(WEEKDAY(A609,2)&gt;5,"Weekend","Weekday")</f>
        <v>Weekend</v>
      </c>
      <c r="I609" t="str">
        <f>_xlfn.IFS(B609&lt;=5,"Night (0-5)",B609&lt;=9,"Morning peak (6-9)",B609&lt;=15,"Midday (10-15)",B609&lt;=19,"Evening peak (16-19)",TRUE,"Late evening (20-23)")</f>
        <v>Morning peak (6-9)</v>
      </c>
    </row>
    <row r="610" spans="1:9">
      <c r="A610" s="32">
        <v>41755</v>
      </c>
      <c r="B610">
        <v>8</v>
      </c>
      <c r="C610">
        <v>398</v>
      </c>
      <c r="D610" t="s">
        <v>303</v>
      </c>
      <c r="E610">
        <f>YEAR(A610)</f>
        <v>2014</v>
      </c>
      <c r="F610" s="33">
        <f>DATE(YEAR(A610),MONTH(A610),1)</f>
        <v>41730.0</v>
      </c>
      <c r="G610" t="str">
        <f>CHOOSE(WEEKDAY(A610,2),"Mon","Tue","Wed","Thu","Fri","Sat","Sun")</f>
        <v>Sat</v>
      </c>
      <c r="H610" t="str">
        <f>IF(WEEKDAY(A610,2)&gt;5,"Weekend","Weekday")</f>
        <v>Weekend</v>
      </c>
      <c r="I610" t="str">
        <f>_xlfn.IFS(B610&lt;=5,"Night (0-5)",B610&lt;=9,"Morning peak (6-9)",B610&lt;=15,"Midday (10-15)",B610&lt;=19,"Evening peak (16-19)",TRUE,"Late evening (20-23)")</f>
        <v>Morning peak (6-9)</v>
      </c>
    </row>
    <row r="611" spans="1:9">
      <c r="A611" s="32">
        <v>41755</v>
      </c>
      <c r="B611">
        <v>9</v>
      </c>
      <c r="C611">
        <v>519</v>
      </c>
      <c r="D611" t="s">
        <v>303</v>
      </c>
      <c r="E611">
        <f>YEAR(A611)</f>
        <v>2014</v>
      </c>
      <c r="F611" s="33">
        <f>DATE(YEAR(A611),MONTH(A611),1)</f>
        <v>41730.0</v>
      </c>
      <c r="G611" t="str">
        <f>CHOOSE(WEEKDAY(A611,2),"Mon","Tue","Wed","Thu","Fri","Sat","Sun")</f>
        <v>Sat</v>
      </c>
      <c r="H611" t="str">
        <f>IF(WEEKDAY(A611,2)&gt;5,"Weekend","Weekday")</f>
        <v>Weekend</v>
      </c>
      <c r="I611" t="str">
        <f>_xlfn.IFS(B611&lt;=5,"Night (0-5)",B611&lt;=9,"Morning peak (6-9)",B611&lt;=15,"Midday (10-15)",B611&lt;=19,"Evening peak (16-19)",TRUE,"Late evening (20-23)")</f>
        <v>Morning peak (6-9)</v>
      </c>
    </row>
    <row r="612" spans="1:9">
      <c r="A612" s="32">
        <v>41755</v>
      </c>
      <c r="B612">
        <v>10</v>
      </c>
      <c r="C612">
        <v>578</v>
      </c>
      <c r="D612" t="s">
        <v>303</v>
      </c>
      <c r="E612">
        <f>YEAR(A612)</f>
        <v>2014</v>
      </c>
      <c r="F612" s="33">
        <f>DATE(YEAR(A612),MONTH(A612),1)</f>
        <v>41730.0</v>
      </c>
      <c r="G612" t="str">
        <f>CHOOSE(WEEKDAY(A612,2),"Mon","Tue","Wed","Thu","Fri","Sat","Sun")</f>
        <v>Sat</v>
      </c>
      <c r="H612" t="str">
        <f>IF(WEEKDAY(A612,2)&gt;5,"Weekend","Weekday")</f>
        <v>Weekend</v>
      </c>
      <c r="I612" t="str">
        <f>_xlfn.IFS(B612&lt;=5,"Night (0-5)",B612&lt;=9,"Morning peak (6-9)",B612&lt;=15,"Midday (10-15)",B612&lt;=19,"Evening peak (16-19)",TRUE,"Late evening (20-23)")</f>
        <v>Midday (10-15)</v>
      </c>
    </row>
    <row r="613" spans="1:9">
      <c r="A613" s="32">
        <v>41755</v>
      </c>
      <c r="B613">
        <v>11</v>
      </c>
      <c r="C613">
        <v>687</v>
      </c>
      <c r="D613" t="s">
        <v>303</v>
      </c>
      <c r="E613">
        <f>YEAR(A613)</f>
        <v>2014</v>
      </c>
      <c r="F613" s="33">
        <f>DATE(YEAR(A613),MONTH(A613),1)</f>
        <v>41730.0</v>
      </c>
      <c r="G613" t="str">
        <f>CHOOSE(WEEKDAY(A613,2),"Mon","Tue","Wed","Thu","Fri","Sat","Sun")</f>
        <v>Sat</v>
      </c>
      <c r="H613" t="str">
        <f>IF(WEEKDAY(A613,2)&gt;5,"Weekend","Weekday")</f>
        <v>Weekend</v>
      </c>
      <c r="I613" t="str">
        <f>_xlfn.IFS(B613&lt;=5,"Night (0-5)",B613&lt;=9,"Morning peak (6-9)",B613&lt;=15,"Midday (10-15)",B613&lt;=19,"Evening peak (16-19)",TRUE,"Late evening (20-23)")</f>
        <v>Midday (10-15)</v>
      </c>
    </row>
    <row r="614" spans="1:9">
      <c r="A614" s="32">
        <v>41755</v>
      </c>
      <c r="B614">
        <v>12</v>
      </c>
      <c r="C614">
        <v>689</v>
      </c>
      <c r="D614" t="s">
        <v>303</v>
      </c>
      <c r="E614">
        <f>YEAR(A614)</f>
        <v>2014</v>
      </c>
      <c r="F614" s="33">
        <f>DATE(YEAR(A614),MONTH(A614),1)</f>
        <v>41730.0</v>
      </c>
      <c r="G614" t="str">
        <f>CHOOSE(WEEKDAY(A614,2),"Mon","Tue","Wed","Thu","Fri","Sat","Sun")</f>
        <v>Sat</v>
      </c>
      <c r="H614" t="str">
        <f>IF(WEEKDAY(A614,2)&gt;5,"Weekend","Weekday")</f>
        <v>Weekend</v>
      </c>
      <c r="I614" t="str">
        <f>_xlfn.IFS(B614&lt;=5,"Night (0-5)",B614&lt;=9,"Morning peak (6-9)",B614&lt;=15,"Midday (10-15)",B614&lt;=19,"Evening peak (16-19)",TRUE,"Late evening (20-23)")</f>
        <v>Midday (10-15)</v>
      </c>
    </row>
    <row r="615" spans="1:9">
      <c r="A615" s="32">
        <v>41755</v>
      </c>
      <c r="B615">
        <v>13</v>
      </c>
      <c r="C615">
        <v>794</v>
      </c>
      <c r="D615" t="s">
        <v>303</v>
      </c>
      <c r="E615">
        <f>YEAR(A615)</f>
        <v>2014</v>
      </c>
      <c r="F615" s="33">
        <f>DATE(YEAR(A615),MONTH(A615),1)</f>
        <v>41730.0</v>
      </c>
      <c r="G615" t="str">
        <f>CHOOSE(WEEKDAY(A615,2),"Mon","Tue","Wed","Thu","Fri","Sat","Sun")</f>
        <v>Sat</v>
      </c>
      <c r="H615" t="str">
        <f>IF(WEEKDAY(A615,2)&gt;5,"Weekend","Weekday")</f>
        <v>Weekend</v>
      </c>
      <c r="I615" t="str">
        <f>_xlfn.IFS(B615&lt;=5,"Night (0-5)",B615&lt;=9,"Morning peak (6-9)",B615&lt;=15,"Midday (10-15)",B615&lt;=19,"Evening peak (16-19)",TRUE,"Late evening (20-23)")</f>
        <v>Midday (10-15)</v>
      </c>
    </row>
    <row r="616" spans="1:9">
      <c r="A616" s="32">
        <v>41755</v>
      </c>
      <c r="B616">
        <v>14</v>
      </c>
      <c r="C616">
        <v>946</v>
      </c>
      <c r="D616" t="s">
        <v>303</v>
      </c>
      <c r="E616">
        <f>YEAR(A616)</f>
        <v>2014</v>
      </c>
      <c r="F616" s="33">
        <f>DATE(YEAR(A616),MONTH(A616),1)</f>
        <v>41730.0</v>
      </c>
      <c r="G616" t="str">
        <f>CHOOSE(WEEKDAY(A616,2),"Mon","Tue","Wed","Thu","Fri","Sat","Sun")</f>
        <v>Sat</v>
      </c>
      <c r="H616" t="str">
        <f>IF(WEEKDAY(A616,2)&gt;5,"Weekend","Weekday")</f>
        <v>Weekend</v>
      </c>
      <c r="I616" t="str">
        <f>_xlfn.IFS(B616&lt;=5,"Night (0-5)",B616&lt;=9,"Morning peak (6-9)",B616&lt;=15,"Midday (10-15)",B616&lt;=19,"Evening peak (16-19)",TRUE,"Late evening (20-23)")</f>
        <v>Midday (10-15)</v>
      </c>
    </row>
    <row r="617" spans="1:9">
      <c r="A617" s="32">
        <v>41755</v>
      </c>
      <c r="B617">
        <v>15</v>
      </c>
      <c r="C617">
        <v>1384</v>
      </c>
      <c r="D617" t="s">
        <v>303</v>
      </c>
      <c r="E617">
        <f>YEAR(A617)</f>
        <v>2014</v>
      </c>
      <c r="F617" s="33">
        <f>DATE(YEAR(A617),MONTH(A617),1)</f>
        <v>41730.0</v>
      </c>
      <c r="G617" t="str">
        <f>CHOOSE(WEEKDAY(A617,2),"Mon","Tue","Wed","Thu","Fri","Sat","Sun")</f>
        <v>Sat</v>
      </c>
      <c r="H617" t="str">
        <f>IF(WEEKDAY(A617,2)&gt;5,"Weekend","Weekday")</f>
        <v>Weekend</v>
      </c>
      <c r="I617" t="str">
        <f>_xlfn.IFS(B617&lt;=5,"Night (0-5)",B617&lt;=9,"Morning peak (6-9)",B617&lt;=15,"Midday (10-15)",B617&lt;=19,"Evening peak (16-19)",TRUE,"Late evening (20-23)")</f>
        <v>Midday (10-15)</v>
      </c>
    </row>
    <row r="618" spans="1:9">
      <c r="A618" s="32">
        <v>41755</v>
      </c>
      <c r="B618">
        <v>16</v>
      </c>
      <c r="C618">
        <v>1791</v>
      </c>
      <c r="D618" t="s">
        <v>303</v>
      </c>
      <c r="E618">
        <f>YEAR(A618)</f>
        <v>2014</v>
      </c>
      <c r="F618" s="33">
        <f>DATE(YEAR(A618),MONTH(A618),1)</f>
        <v>41730.0</v>
      </c>
      <c r="G618" t="str">
        <f>CHOOSE(WEEKDAY(A618,2),"Mon","Tue","Wed","Thu","Fri","Sat","Sun")</f>
        <v>Sat</v>
      </c>
      <c r="H618" t="str">
        <f>IF(WEEKDAY(A618,2)&gt;5,"Weekend","Weekday")</f>
        <v>Weekend</v>
      </c>
      <c r="I618" t="str">
        <f>_xlfn.IFS(B618&lt;=5,"Night (0-5)",B618&lt;=9,"Morning peak (6-9)",B618&lt;=15,"Midday (10-15)",B618&lt;=19,"Evening peak (16-19)",TRUE,"Late evening (20-23)")</f>
        <v>Evening peak (16-19)</v>
      </c>
    </row>
    <row r="619" spans="1:9">
      <c r="A619" s="32">
        <v>41755</v>
      </c>
      <c r="B619">
        <v>17</v>
      </c>
      <c r="C619">
        <v>1904</v>
      </c>
      <c r="D619" t="s">
        <v>303</v>
      </c>
      <c r="E619">
        <f>YEAR(A619)</f>
        <v>2014</v>
      </c>
      <c r="F619" s="33">
        <f>DATE(YEAR(A619),MONTH(A619),1)</f>
        <v>41730.0</v>
      </c>
      <c r="G619" t="str">
        <f>CHOOSE(WEEKDAY(A619,2),"Mon","Tue","Wed","Thu","Fri","Sat","Sun")</f>
        <v>Sat</v>
      </c>
      <c r="H619" t="str">
        <f>IF(WEEKDAY(A619,2)&gt;5,"Weekend","Weekday")</f>
        <v>Weekend</v>
      </c>
      <c r="I619" t="str">
        <f>_xlfn.IFS(B619&lt;=5,"Night (0-5)",B619&lt;=9,"Morning peak (6-9)",B619&lt;=15,"Midday (10-15)",B619&lt;=19,"Evening peak (16-19)",TRUE,"Late evening (20-23)")</f>
        <v>Evening peak (16-19)</v>
      </c>
    </row>
    <row r="620" spans="1:9">
      <c r="A620" s="32">
        <v>41755</v>
      </c>
      <c r="B620">
        <v>18</v>
      </c>
      <c r="C620">
        <v>1937</v>
      </c>
      <c r="D620" t="s">
        <v>303</v>
      </c>
      <c r="E620">
        <f>YEAR(A620)</f>
        <v>2014</v>
      </c>
      <c r="F620" s="33">
        <f>DATE(YEAR(A620),MONTH(A620),1)</f>
        <v>41730.0</v>
      </c>
      <c r="G620" t="str">
        <f>CHOOSE(WEEKDAY(A620,2),"Mon","Tue","Wed","Thu","Fri","Sat","Sun")</f>
        <v>Sat</v>
      </c>
      <c r="H620" t="str">
        <f>IF(WEEKDAY(A620,2)&gt;5,"Weekend","Weekday")</f>
        <v>Weekend</v>
      </c>
      <c r="I620" t="str">
        <f>_xlfn.IFS(B620&lt;=5,"Night (0-5)",B620&lt;=9,"Morning peak (6-9)",B620&lt;=15,"Midday (10-15)",B620&lt;=19,"Evening peak (16-19)",TRUE,"Late evening (20-23)")</f>
        <v>Evening peak (16-19)</v>
      </c>
    </row>
    <row r="621" spans="1:9">
      <c r="A621" s="32">
        <v>41755</v>
      </c>
      <c r="B621">
        <v>19</v>
      </c>
      <c r="C621">
        <v>1814</v>
      </c>
      <c r="D621" t="s">
        <v>303</v>
      </c>
      <c r="E621">
        <f>YEAR(A621)</f>
        <v>2014</v>
      </c>
      <c r="F621" s="33">
        <f>DATE(YEAR(A621),MONTH(A621),1)</f>
        <v>41730.0</v>
      </c>
      <c r="G621" t="str">
        <f>CHOOSE(WEEKDAY(A621,2),"Mon","Tue","Wed","Thu","Fri","Sat","Sun")</f>
        <v>Sat</v>
      </c>
      <c r="H621" t="str">
        <f>IF(WEEKDAY(A621,2)&gt;5,"Weekend","Weekday")</f>
        <v>Weekend</v>
      </c>
      <c r="I621" t="str">
        <f>_xlfn.IFS(B621&lt;=5,"Night (0-5)",B621&lt;=9,"Morning peak (6-9)",B621&lt;=15,"Midday (10-15)",B621&lt;=19,"Evening peak (16-19)",TRUE,"Late evening (20-23)")</f>
        <v>Evening peak (16-19)</v>
      </c>
    </row>
    <row r="622" spans="1:9">
      <c r="A622" s="32">
        <v>41755</v>
      </c>
      <c r="B622">
        <v>20</v>
      </c>
      <c r="C622">
        <v>1553</v>
      </c>
      <c r="D622" t="s">
        <v>303</v>
      </c>
      <c r="E622">
        <f>YEAR(A622)</f>
        <v>2014</v>
      </c>
      <c r="F622" s="33">
        <f>DATE(YEAR(A622),MONTH(A622),1)</f>
        <v>41730.0</v>
      </c>
      <c r="G622" t="str">
        <f>CHOOSE(WEEKDAY(A622,2),"Mon","Tue","Wed","Thu","Fri","Sat","Sun")</f>
        <v>Sat</v>
      </c>
      <c r="H622" t="str">
        <f>IF(WEEKDAY(A622,2)&gt;5,"Weekend","Weekday")</f>
        <v>Weekend</v>
      </c>
      <c r="I622" t="str">
        <f>_xlfn.IFS(B622&lt;=5,"Night (0-5)",B622&lt;=9,"Morning peak (6-9)",B622&lt;=15,"Midday (10-15)",B622&lt;=19,"Evening peak (16-19)",TRUE,"Late evening (20-23)")</f>
        <v>Late evening (20-23)</v>
      </c>
    </row>
    <row r="623" spans="1:9">
      <c r="A623" s="32">
        <v>41755</v>
      </c>
      <c r="B623">
        <v>21</v>
      </c>
      <c r="C623">
        <v>1865</v>
      </c>
      <c r="D623" t="s">
        <v>303</v>
      </c>
      <c r="E623">
        <f>YEAR(A623)</f>
        <v>2014</v>
      </c>
      <c r="F623" s="33">
        <f>DATE(YEAR(A623),MONTH(A623),1)</f>
        <v>41730.0</v>
      </c>
      <c r="G623" t="str">
        <f>CHOOSE(WEEKDAY(A623,2),"Mon","Tue","Wed","Thu","Fri","Sat","Sun")</f>
        <v>Sat</v>
      </c>
      <c r="H623" t="str">
        <f>IF(WEEKDAY(A623,2)&gt;5,"Weekend","Weekday")</f>
        <v>Weekend</v>
      </c>
      <c r="I623" t="str">
        <f>_xlfn.IFS(B623&lt;=5,"Night (0-5)",B623&lt;=9,"Morning peak (6-9)",B623&lt;=15,"Midday (10-15)",B623&lt;=19,"Evening peak (16-19)",TRUE,"Late evening (20-23)")</f>
        <v>Late evening (20-23)</v>
      </c>
    </row>
    <row r="624" spans="1:9">
      <c r="A624" s="32">
        <v>41755</v>
      </c>
      <c r="B624">
        <v>22</v>
      </c>
      <c r="C624">
        <v>1910</v>
      </c>
      <c r="D624" t="s">
        <v>303</v>
      </c>
      <c r="E624">
        <f>YEAR(A624)</f>
        <v>2014</v>
      </c>
      <c r="F624" s="33">
        <f>DATE(YEAR(A624),MONTH(A624),1)</f>
        <v>41730.0</v>
      </c>
      <c r="G624" t="str">
        <f>CHOOSE(WEEKDAY(A624,2),"Mon","Tue","Wed","Thu","Fri","Sat","Sun")</f>
        <v>Sat</v>
      </c>
      <c r="H624" t="str">
        <f>IF(WEEKDAY(A624,2)&gt;5,"Weekend","Weekday")</f>
        <v>Weekend</v>
      </c>
      <c r="I624" t="str">
        <f>_xlfn.IFS(B624&lt;=5,"Night (0-5)",B624&lt;=9,"Morning peak (6-9)",B624&lt;=15,"Midday (10-15)",B624&lt;=19,"Evening peak (16-19)",TRUE,"Late evening (20-23)")</f>
        <v>Late evening (20-23)</v>
      </c>
    </row>
    <row r="625" spans="1:9">
      <c r="A625" s="32">
        <v>41755</v>
      </c>
      <c r="B625">
        <v>23</v>
      </c>
      <c r="C625">
        <v>1708</v>
      </c>
      <c r="D625" t="s">
        <v>303</v>
      </c>
      <c r="E625">
        <f>YEAR(A625)</f>
        <v>2014</v>
      </c>
      <c r="F625" s="33">
        <f>DATE(YEAR(A625),MONTH(A625),1)</f>
        <v>41730.0</v>
      </c>
      <c r="G625" t="str">
        <f>CHOOSE(WEEKDAY(A625,2),"Mon","Tue","Wed","Thu","Fri","Sat","Sun")</f>
        <v>Sat</v>
      </c>
      <c r="H625" t="str">
        <f>IF(WEEKDAY(A625,2)&gt;5,"Weekend","Weekday")</f>
        <v>Weekend</v>
      </c>
      <c r="I625" t="str">
        <f>_xlfn.IFS(B625&lt;=5,"Night (0-5)",B625&lt;=9,"Morning peak (6-9)",B625&lt;=15,"Midday (10-15)",B625&lt;=19,"Evening peak (16-19)",TRUE,"Late evening (20-23)")</f>
        <v>Late evening (20-23)</v>
      </c>
    </row>
    <row r="626" spans="1:9">
      <c r="A626" s="32">
        <v>41756</v>
      </c>
      <c r="B626">
        <v>0</v>
      </c>
      <c r="C626">
        <v>1383</v>
      </c>
      <c r="D626" t="s">
        <v>303</v>
      </c>
      <c r="E626">
        <f>YEAR(A626)</f>
        <v>2014</v>
      </c>
      <c r="F626" s="33">
        <f>DATE(YEAR(A626),MONTH(A626),1)</f>
        <v>41730.0</v>
      </c>
      <c r="G626" t="str">
        <f>CHOOSE(WEEKDAY(A626,2),"Mon","Tue","Wed","Thu","Fri","Sat","Sun")</f>
        <v>Sun</v>
      </c>
      <c r="H626" t="str">
        <f>IF(WEEKDAY(A626,2)&gt;5,"Weekend","Weekday")</f>
        <v>Weekend</v>
      </c>
      <c r="I626" t="str">
        <f>_xlfn.IFS(B626&lt;=5,"Night (0-5)",B626&lt;=9,"Morning peak (6-9)",B626&lt;=15,"Midday (10-15)",B626&lt;=19,"Evening peak (16-19)",TRUE,"Late evening (20-23)")</f>
        <v>Night (0-5)</v>
      </c>
    </row>
    <row r="627" spans="1:9">
      <c r="A627" s="32">
        <v>41756</v>
      </c>
      <c r="B627">
        <v>1</v>
      </c>
      <c r="C627">
        <v>893</v>
      </c>
      <c r="D627" t="s">
        <v>303</v>
      </c>
      <c r="E627">
        <f>YEAR(A627)</f>
        <v>2014</v>
      </c>
      <c r="F627" s="33">
        <f>DATE(YEAR(A627),MONTH(A627),1)</f>
        <v>41730.0</v>
      </c>
      <c r="G627" t="str">
        <f>CHOOSE(WEEKDAY(A627,2),"Mon","Tue","Wed","Thu","Fri","Sat","Sun")</f>
        <v>Sun</v>
      </c>
      <c r="H627" t="str">
        <f>IF(WEEKDAY(A627,2)&gt;5,"Weekend","Weekday")</f>
        <v>Weekend</v>
      </c>
      <c r="I627" t="str">
        <f>_xlfn.IFS(B627&lt;=5,"Night (0-5)",B627&lt;=9,"Morning peak (6-9)",B627&lt;=15,"Midday (10-15)",B627&lt;=19,"Evening peak (16-19)",TRUE,"Late evening (20-23)")</f>
        <v>Night (0-5)</v>
      </c>
    </row>
    <row r="628" spans="1:9">
      <c r="A628" s="32">
        <v>41756</v>
      </c>
      <c r="B628">
        <v>2</v>
      </c>
      <c r="C628">
        <v>477</v>
      </c>
      <c r="D628" t="s">
        <v>303</v>
      </c>
      <c r="E628">
        <f>YEAR(A628)</f>
        <v>2014</v>
      </c>
      <c r="F628" s="33">
        <f>DATE(YEAR(A628),MONTH(A628),1)</f>
        <v>41730.0</v>
      </c>
      <c r="G628" t="str">
        <f>CHOOSE(WEEKDAY(A628,2),"Mon","Tue","Wed","Thu","Fri","Sat","Sun")</f>
        <v>Sun</v>
      </c>
      <c r="H628" t="str">
        <f>IF(WEEKDAY(A628,2)&gt;5,"Weekend","Weekday")</f>
        <v>Weekend</v>
      </c>
      <c r="I628" t="str">
        <f>_xlfn.IFS(B628&lt;=5,"Night (0-5)",B628&lt;=9,"Morning peak (6-9)",B628&lt;=15,"Midday (10-15)",B628&lt;=19,"Evening peak (16-19)",TRUE,"Late evening (20-23)")</f>
        <v>Night (0-5)</v>
      </c>
    </row>
    <row r="629" spans="1:9">
      <c r="A629" s="32">
        <v>41756</v>
      </c>
      <c r="B629">
        <v>3</v>
      </c>
      <c r="C629">
        <v>292</v>
      </c>
      <c r="D629" t="s">
        <v>303</v>
      </c>
      <c r="E629">
        <f>YEAR(A629)</f>
        <v>2014</v>
      </c>
      <c r="F629" s="33">
        <f>DATE(YEAR(A629),MONTH(A629),1)</f>
        <v>41730.0</v>
      </c>
      <c r="G629" t="str">
        <f>CHOOSE(WEEKDAY(A629,2),"Mon","Tue","Wed","Thu","Fri","Sat","Sun")</f>
        <v>Sun</v>
      </c>
      <c r="H629" t="str">
        <f>IF(WEEKDAY(A629,2)&gt;5,"Weekend","Weekday")</f>
        <v>Weekend</v>
      </c>
      <c r="I629" t="str">
        <f>_xlfn.IFS(B629&lt;=5,"Night (0-5)",B629&lt;=9,"Morning peak (6-9)",B629&lt;=15,"Midday (10-15)",B629&lt;=19,"Evening peak (16-19)",TRUE,"Late evening (20-23)")</f>
        <v>Night (0-5)</v>
      </c>
    </row>
    <row r="630" spans="1:9">
      <c r="A630" s="32">
        <v>41756</v>
      </c>
      <c r="B630">
        <v>4</v>
      </c>
      <c r="C630">
        <v>180</v>
      </c>
      <c r="D630" t="s">
        <v>303</v>
      </c>
      <c r="E630">
        <f>YEAR(A630)</f>
        <v>2014</v>
      </c>
      <c r="F630" s="33">
        <f>DATE(YEAR(A630),MONTH(A630),1)</f>
        <v>41730.0</v>
      </c>
      <c r="G630" t="str">
        <f>CHOOSE(WEEKDAY(A630,2),"Mon","Tue","Wed","Thu","Fri","Sat","Sun")</f>
        <v>Sun</v>
      </c>
      <c r="H630" t="str">
        <f>IF(WEEKDAY(A630,2)&gt;5,"Weekend","Weekday")</f>
        <v>Weekend</v>
      </c>
      <c r="I630" t="str">
        <f>_xlfn.IFS(B630&lt;=5,"Night (0-5)",B630&lt;=9,"Morning peak (6-9)",B630&lt;=15,"Midday (10-15)",B630&lt;=19,"Evening peak (16-19)",TRUE,"Late evening (20-23)")</f>
        <v>Night (0-5)</v>
      </c>
    </row>
    <row r="631" spans="1:9">
      <c r="A631" s="32">
        <v>41756</v>
      </c>
      <c r="B631">
        <v>5</v>
      </c>
      <c r="C631">
        <v>168</v>
      </c>
      <c r="D631" t="s">
        <v>303</v>
      </c>
      <c r="E631">
        <f>YEAR(A631)</f>
        <v>2014</v>
      </c>
      <c r="F631" s="33">
        <f>DATE(YEAR(A631),MONTH(A631),1)</f>
        <v>41730.0</v>
      </c>
      <c r="G631" t="str">
        <f>CHOOSE(WEEKDAY(A631,2),"Mon","Tue","Wed","Thu","Fri","Sat","Sun")</f>
        <v>Sun</v>
      </c>
      <c r="H631" t="str">
        <f>IF(WEEKDAY(A631,2)&gt;5,"Weekend","Weekday")</f>
        <v>Weekend</v>
      </c>
      <c r="I631" t="str">
        <f>_xlfn.IFS(B631&lt;=5,"Night (0-5)",B631&lt;=9,"Morning peak (6-9)",B631&lt;=15,"Midday (10-15)",B631&lt;=19,"Evening peak (16-19)",TRUE,"Late evening (20-23)")</f>
        <v>Night (0-5)</v>
      </c>
    </row>
    <row r="632" spans="1:9">
      <c r="A632" s="32">
        <v>41756</v>
      </c>
      <c r="B632">
        <v>6</v>
      </c>
      <c r="C632">
        <v>190</v>
      </c>
      <c r="D632" t="s">
        <v>303</v>
      </c>
      <c r="E632">
        <f>YEAR(A632)</f>
        <v>2014</v>
      </c>
      <c r="F632" s="33">
        <f>DATE(YEAR(A632),MONTH(A632),1)</f>
        <v>41730.0</v>
      </c>
      <c r="G632" t="str">
        <f>CHOOSE(WEEKDAY(A632,2),"Mon","Tue","Wed","Thu","Fri","Sat","Sun")</f>
        <v>Sun</v>
      </c>
      <c r="H632" t="str">
        <f>IF(WEEKDAY(A632,2)&gt;5,"Weekend","Weekday")</f>
        <v>Weekend</v>
      </c>
      <c r="I632" t="str">
        <f>_xlfn.IFS(B632&lt;=5,"Night (0-5)",B632&lt;=9,"Morning peak (6-9)",B632&lt;=15,"Midday (10-15)",B632&lt;=19,"Evening peak (16-19)",TRUE,"Late evening (20-23)")</f>
        <v>Morning peak (6-9)</v>
      </c>
    </row>
    <row r="633" spans="1:9">
      <c r="A633" s="32">
        <v>41756</v>
      </c>
      <c r="B633">
        <v>7</v>
      </c>
      <c r="C633">
        <v>247</v>
      </c>
      <c r="D633" t="s">
        <v>303</v>
      </c>
      <c r="E633">
        <f>YEAR(A633)</f>
        <v>2014</v>
      </c>
      <c r="F633" s="33">
        <f>DATE(YEAR(A633),MONTH(A633),1)</f>
        <v>41730.0</v>
      </c>
      <c r="G633" t="str">
        <f>CHOOSE(WEEKDAY(A633,2),"Mon","Tue","Wed","Thu","Fri","Sat","Sun")</f>
        <v>Sun</v>
      </c>
      <c r="H633" t="str">
        <f>IF(WEEKDAY(A633,2)&gt;5,"Weekend","Weekday")</f>
        <v>Weekend</v>
      </c>
      <c r="I633" t="str">
        <f>_xlfn.IFS(B633&lt;=5,"Night (0-5)",B633&lt;=9,"Morning peak (6-9)",B633&lt;=15,"Midday (10-15)",B633&lt;=19,"Evening peak (16-19)",TRUE,"Late evening (20-23)")</f>
        <v>Morning peak (6-9)</v>
      </c>
    </row>
    <row r="634" spans="1:9">
      <c r="A634" s="32">
        <v>41756</v>
      </c>
      <c r="B634">
        <v>8</v>
      </c>
      <c r="C634">
        <v>335</v>
      </c>
      <c r="D634" t="s">
        <v>303</v>
      </c>
      <c r="E634">
        <f>YEAR(A634)</f>
        <v>2014</v>
      </c>
      <c r="F634" s="33">
        <f>DATE(YEAR(A634),MONTH(A634),1)</f>
        <v>41730.0</v>
      </c>
      <c r="G634" t="str">
        <f>CHOOSE(WEEKDAY(A634,2),"Mon","Tue","Wed","Thu","Fri","Sat","Sun")</f>
        <v>Sun</v>
      </c>
      <c r="H634" t="str">
        <f>IF(WEEKDAY(A634,2)&gt;5,"Weekend","Weekday")</f>
        <v>Weekend</v>
      </c>
      <c r="I634" t="str">
        <f>_xlfn.IFS(B634&lt;=5,"Night (0-5)",B634&lt;=9,"Morning peak (6-9)",B634&lt;=15,"Midday (10-15)",B634&lt;=19,"Evening peak (16-19)",TRUE,"Late evening (20-23)")</f>
        <v>Morning peak (6-9)</v>
      </c>
    </row>
    <row r="635" spans="1:9">
      <c r="A635" s="32">
        <v>41756</v>
      </c>
      <c r="B635">
        <v>9</v>
      </c>
      <c r="C635">
        <v>459</v>
      </c>
      <c r="D635" t="s">
        <v>303</v>
      </c>
      <c r="E635">
        <f>YEAR(A635)</f>
        <v>2014</v>
      </c>
      <c r="F635" s="33">
        <f>DATE(YEAR(A635),MONTH(A635),1)</f>
        <v>41730.0</v>
      </c>
      <c r="G635" t="str">
        <f>CHOOSE(WEEKDAY(A635,2),"Mon","Tue","Wed","Thu","Fri","Sat","Sun")</f>
        <v>Sun</v>
      </c>
      <c r="H635" t="str">
        <f>IF(WEEKDAY(A635,2)&gt;5,"Weekend","Weekday")</f>
        <v>Weekend</v>
      </c>
      <c r="I635" t="str">
        <f>_xlfn.IFS(B635&lt;=5,"Night (0-5)",B635&lt;=9,"Morning peak (6-9)",B635&lt;=15,"Midday (10-15)",B635&lt;=19,"Evening peak (16-19)",TRUE,"Late evening (20-23)")</f>
        <v>Morning peak (6-9)</v>
      </c>
    </row>
    <row r="636" spans="1:9">
      <c r="A636" s="32">
        <v>41756</v>
      </c>
      <c r="B636">
        <v>10</v>
      </c>
      <c r="C636">
        <v>568</v>
      </c>
      <c r="D636" t="s">
        <v>303</v>
      </c>
      <c r="E636">
        <f>YEAR(A636)</f>
        <v>2014</v>
      </c>
      <c r="F636" s="33">
        <f>DATE(YEAR(A636),MONTH(A636),1)</f>
        <v>41730.0</v>
      </c>
      <c r="G636" t="str">
        <f>CHOOSE(WEEKDAY(A636,2),"Mon","Tue","Wed","Thu","Fri","Sat","Sun")</f>
        <v>Sun</v>
      </c>
      <c r="H636" t="str">
        <f>IF(WEEKDAY(A636,2)&gt;5,"Weekend","Weekday")</f>
        <v>Weekend</v>
      </c>
      <c r="I636" t="str">
        <f>_xlfn.IFS(B636&lt;=5,"Night (0-5)",B636&lt;=9,"Morning peak (6-9)",B636&lt;=15,"Midday (10-15)",B636&lt;=19,"Evening peak (16-19)",TRUE,"Late evening (20-23)")</f>
        <v>Midday (10-15)</v>
      </c>
    </row>
    <row r="637" spans="1:9">
      <c r="A637" s="32">
        <v>41756</v>
      </c>
      <c r="B637">
        <v>11</v>
      </c>
      <c r="C637">
        <v>637</v>
      </c>
      <c r="D637" t="s">
        <v>303</v>
      </c>
      <c r="E637">
        <f>YEAR(A637)</f>
        <v>2014</v>
      </c>
      <c r="F637" s="33">
        <f>DATE(YEAR(A637),MONTH(A637),1)</f>
        <v>41730.0</v>
      </c>
      <c r="G637" t="str">
        <f>CHOOSE(WEEKDAY(A637,2),"Mon","Tue","Wed","Thu","Fri","Sat","Sun")</f>
        <v>Sun</v>
      </c>
      <c r="H637" t="str">
        <f>IF(WEEKDAY(A637,2)&gt;5,"Weekend","Weekday")</f>
        <v>Weekend</v>
      </c>
      <c r="I637" t="str">
        <f>_xlfn.IFS(B637&lt;=5,"Night (0-5)",B637&lt;=9,"Morning peak (6-9)",B637&lt;=15,"Midday (10-15)",B637&lt;=19,"Evening peak (16-19)",TRUE,"Late evening (20-23)")</f>
        <v>Midday (10-15)</v>
      </c>
    </row>
    <row r="638" spans="1:9">
      <c r="A638" s="32">
        <v>41756</v>
      </c>
      <c r="B638">
        <v>12</v>
      </c>
      <c r="C638">
        <v>685</v>
      </c>
      <c r="D638" t="s">
        <v>303</v>
      </c>
      <c r="E638">
        <f>YEAR(A638)</f>
        <v>2014</v>
      </c>
      <c r="F638" s="33">
        <f>DATE(YEAR(A638),MONTH(A638),1)</f>
        <v>41730.0</v>
      </c>
      <c r="G638" t="str">
        <f>CHOOSE(WEEKDAY(A638,2),"Mon","Tue","Wed","Thu","Fri","Sat","Sun")</f>
        <v>Sun</v>
      </c>
      <c r="H638" t="str">
        <f>IF(WEEKDAY(A638,2)&gt;5,"Weekend","Weekday")</f>
        <v>Weekend</v>
      </c>
      <c r="I638" t="str">
        <f>_xlfn.IFS(B638&lt;=5,"Night (0-5)",B638&lt;=9,"Morning peak (6-9)",B638&lt;=15,"Midday (10-15)",B638&lt;=19,"Evening peak (16-19)",TRUE,"Late evening (20-23)")</f>
        <v>Midday (10-15)</v>
      </c>
    </row>
    <row r="639" spans="1:9">
      <c r="A639" s="32">
        <v>41756</v>
      </c>
      <c r="B639">
        <v>13</v>
      </c>
      <c r="C639">
        <v>792</v>
      </c>
      <c r="D639" t="s">
        <v>303</v>
      </c>
      <c r="E639">
        <f>YEAR(A639)</f>
        <v>2014</v>
      </c>
      <c r="F639" s="33">
        <f>DATE(YEAR(A639),MONTH(A639),1)</f>
        <v>41730.0</v>
      </c>
      <c r="G639" t="str">
        <f>CHOOSE(WEEKDAY(A639,2),"Mon","Tue","Wed","Thu","Fri","Sat","Sun")</f>
        <v>Sun</v>
      </c>
      <c r="H639" t="str">
        <f>IF(WEEKDAY(A639,2)&gt;5,"Weekend","Weekday")</f>
        <v>Weekend</v>
      </c>
      <c r="I639" t="str">
        <f>_xlfn.IFS(B639&lt;=5,"Night (0-5)",B639&lt;=9,"Morning peak (6-9)",B639&lt;=15,"Midday (10-15)",B639&lt;=19,"Evening peak (16-19)",TRUE,"Late evening (20-23)")</f>
        <v>Midday (10-15)</v>
      </c>
    </row>
    <row r="640" spans="1:9">
      <c r="A640" s="32">
        <v>41756</v>
      </c>
      <c r="B640">
        <v>14</v>
      </c>
      <c r="C640">
        <v>892</v>
      </c>
      <c r="D640" t="s">
        <v>303</v>
      </c>
      <c r="E640">
        <f>YEAR(A640)</f>
        <v>2014</v>
      </c>
      <c r="F640" s="33">
        <f>DATE(YEAR(A640),MONTH(A640),1)</f>
        <v>41730.0</v>
      </c>
      <c r="G640" t="str">
        <f>CHOOSE(WEEKDAY(A640,2),"Mon","Tue","Wed","Thu","Fri","Sat","Sun")</f>
        <v>Sun</v>
      </c>
      <c r="H640" t="str">
        <f>IF(WEEKDAY(A640,2)&gt;5,"Weekend","Weekday")</f>
        <v>Weekend</v>
      </c>
      <c r="I640" t="str">
        <f>_xlfn.IFS(B640&lt;=5,"Night (0-5)",B640&lt;=9,"Morning peak (6-9)",B640&lt;=15,"Midday (10-15)",B640&lt;=19,"Evening peak (16-19)",TRUE,"Late evening (20-23)")</f>
        <v>Midday (10-15)</v>
      </c>
    </row>
    <row r="641" spans="1:9">
      <c r="A641" s="32">
        <v>41756</v>
      </c>
      <c r="B641">
        <v>15</v>
      </c>
      <c r="C641">
        <v>1014</v>
      </c>
      <c r="D641" t="s">
        <v>303</v>
      </c>
      <c r="E641">
        <f>YEAR(A641)</f>
        <v>2014</v>
      </c>
      <c r="F641" s="33">
        <f>DATE(YEAR(A641),MONTH(A641),1)</f>
        <v>41730.0</v>
      </c>
      <c r="G641" t="str">
        <f>CHOOSE(WEEKDAY(A641,2),"Mon","Tue","Wed","Thu","Fri","Sat","Sun")</f>
        <v>Sun</v>
      </c>
      <c r="H641" t="str">
        <f>IF(WEEKDAY(A641,2)&gt;5,"Weekend","Weekday")</f>
        <v>Weekend</v>
      </c>
      <c r="I641" t="str">
        <f>_xlfn.IFS(B641&lt;=5,"Night (0-5)",B641&lt;=9,"Morning peak (6-9)",B641&lt;=15,"Midday (10-15)",B641&lt;=19,"Evening peak (16-19)",TRUE,"Late evening (20-23)")</f>
        <v>Midday (10-15)</v>
      </c>
    </row>
    <row r="642" spans="1:9">
      <c r="A642" s="32">
        <v>41756</v>
      </c>
      <c r="B642">
        <v>16</v>
      </c>
      <c r="C642">
        <v>1070</v>
      </c>
      <c r="D642" t="s">
        <v>303</v>
      </c>
      <c r="E642">
        <f>YEAR(A642)</f>
        <v>2014</v>
      </c>
      <c r="F642" s="33">
        <f>DATE(YEAR(A642),MONTH(A642),1)</f>
        <v>41730.0</v>
      </c>
      <c r="G642" t="str">
        <f>CHOOSE(WEEKDAY(A642,2),"Mon","Tue","Wed","Thu","Fri","Sat","Sun")</f>
        <v>Sun</v>
      </c>
      <c r="H642" t="str">
        <f>IF(WEEKDAY(A642,2)&gt;5,"Weekend","Weekday")</f>
        <v>Weekend</v>
      </c>
      <c r="I642" t="str">
        <f>_xlfn.IFS(B642&lt;=5,"Night (0-5)",B642&lt;=9,"Morning peak (6-9)",B642&lt;=15,"Midday (10-15)",B642&lt;=19,"Evening peak (16-19)",TRUE,"Late evening (20-23)")</f>
        <v>Evening peak (16-19)</v>
      </c>
    </row>
    <row r="643" spans="1:9">
      <c r="A643" s="32">
        <v>41756</v>
      </c>
      <c r="B643">
        <v>17</v>
      </c>
      <c r="C643">
        <v>962</v>
      </c>
      <c r="D643" t="s">
        <v>303</v>
      </c>
      <c r="E643">
        <f>YEAR(A643)</f>
        <v>2014</v>
      </c>
      <c r="F643" s="33">
        <f>DATE(YEAR(A643),MONTH(A643),1)</f>
        <v>41730.0</v>
      </c>
      <c r="G643" t="str">
        <f>CHOOSE(WEEKDAY(A643,2),"Mon","Tue","Wed","Thu","Fri","Sat","Sun")</f>
        <v>Sun</v>
      </c>
      <c r="H643" t="str">
        <f>IF(WEEKDAY(A643,2)&gt;5,"Weekend","Weekday")</f>
        <v>Weekend</v>
      </c>
      <c r="I643" t="str">
        <f>_xlfn.IFS(B643&lt;=5,"Night (0-5)",B643&lt;=9,"Morning peak (6-9)",B643&lt;=15,"Midday (10-15)",B643&lt;=19,"Evening peak (16-19)",TRUE,"Late evening (20-23)")</f>
        <v>Evening peak (16-19)</v>
      </c>
    </row>
    <row r="644" spans="1:9">
      <c r="A644" s="32">
        <v>41756</v>
      </c>
      <c r="B644">
        <v>18</v>
      </c>
      <c r="C644">
        <v>717</v>
      </c>
      <c r="D644" t="s">
        <v>303</v>
      </c>
      <c r="E644">
        <f>YEAR(A644)</f>
        <v>2014</v>
      </c>
      <c r="F644" s="33">
        <f>DATE(YEAR(A644),MONTH(A644),1)</f>
        <v>41730.0</v>
      </c>
      <c r="G644" t="str">
        <f>CHOOSE(WEEKDAY(A644,2),"Mon","Tue","Wed","Thu","Fri","Sat","Sun")</f>
        <v>Sun</v>
      </c>
      <c r="H644" t="str">
        <f>IF(WEEKDAY(A644,2)&gt;5,"Weekend","Weekday")</f>
        <v>Weekend</v>
      </c>
      <c r="I644" t="str">
        <f>_xlfn.IFS(B644&lt;=5,"Night (0-5)",B644&lt;=9,"Morning peak (6-9)",B644&lt;=15,"Midday (10-15)",B644&lt;=19,"Evening peak (16-19)",TRUE,"Late evening (20-23)")</f>
        <v>Evening peak (16-19)</v>
      </c>
    </row>
    <row r="645" spans="1:9">
      <c r="A645" s="32">
        <v>41756</v>
      </c>
      <c r="B645">
        <v>19</v>
      </c>
      <c r="C645">
        <v>688</v>
      </c>
      <c r="D645" t="s">
        <v>303</v>
      </c>
      <c r="E645">
        <f>YEAR(A645)</f>
        <v>2014</v>
      </c>
      <c r="F645" s="33">
        <f>DATE(YEAR(A645),MONTH(A645),1)</f>
        <v>41730.0</v>
      </c>
      <c r="G645" t="str">
        <f>CHOOSE(WEEKDAY(A645,2),"Mon","Tue","Wed","Thu","Fri","Sat","Sun")</f>
        <v>Sun</v>
      </c>
      <c r="H645" t="str">
        <f>IF(WEEKDAY(A645,2)&gt;5,"Weekend","Weekday")</f>
        <v>Weekend</v>
      </c>
      <c r="I645" t="str">
        <f>_xlfn.IFS(B645&lt;=5,"Night (0-5)",B645&lt;=9,"Morning peak (6-9)",B645&lt;=15,"Midday (10-15)",B645&lt;=19,"Evening peak (16-19)",TRUE,"Late evening (20-23)")</f>
        <v>Evening peak (16-19)</v>
      </c>
    </row>
    <row r="646" spans="1:9">
      <c r="A646" s="32">
        <v>41756</v>
      </c>
      <c r="B646">
        <v>20</v>
      </c>
      <c r="C646">
        <v>639</v>
      </c>
      <c r="D646" t="s">
        <v>303</v>
      </c>
      <c r="E646">
        <f>YEAR(A646)</f>
        <v>2014</v>
      </c>
      <c r="F646" s="33">
        <f>DATE(YEAR(A646),MONTH(A646),1)</f>
        <v>41730.0</v>
      </c>
      <c r="G646" t="str">
        <f>CHOOSE(WEEKDAY(A646,2),"Mon","Tue","Wed","Thu","Fri","Sat","Sun")</f>
        <v>Sun</v>
      </c>
      <c r="H646" t="str">
        <f>IF(WEEKDAY(A646,2)&gt;5,"Weekend","Weekday")</f>
        <v>Weekend</v>
      </c>
      <c r="I646" t="str">
        <f>_xlfn.IFS(B646&lt;=5,"Night (0-5)",B646&lt;=9,"Morning peak (6-9)",B646&lt;=15,"Midday (10-15)",B646&lt;=19,"Evening peak (16-19)",TRUE,"Late evening (20-23)")</f>
        <v>Late evening (20-23)</v>
      </c>
    </row>
    <row r="647" spans="1:9">
      <c r="A647" s="32">
        <v>41756</v>
      </c>
      <c r="B647">
        <v>21</v>
      </c>
      <c r="C647">
        <v>629</v>
      </c>
      <c r="D647" t="s">
        <v>303</v>
      </c>
      <c r="E647">
        <f>YEAR(A647)</f>
        <v>2014</v>
      </c>
      <c r="F647" s="33">
        <f>DATE(YEAR(A647),MONTH(A647),1)</f>
        <v>41730.0</v>
      </c>
      <c r="G647" t="str">
        <f>CHOOSE(WEEKDAY(A647,2),"Mon","Tue","Wed","Thu","Fri","Sat","Sun")</f>
        <v>Sun</v>
      </c>
      <c r="H647" t="str">
        <f>IF(WEEKDAY(A647,2)&gt;5,"Weekend","Weekday")</f>
        <v>Weekend</v>
      </c>
      <c r="I647" t="str">
        <f>_xlfn.IFS(B647&lt;=5,"Night (0-5)",B647&lt;=9,"Morning peak (6-9)",B647&lt;=15,"Midday (10-15)",B647&lt;=19,"Evening peak (16-19)",TRUE,"Late evening (20-23)")</f>
        <v>Late evening (20-23)</v>
      </c>
    </row>
    <row r="648" spans="1:9">
      <c r="A648" s="32">
        <v>41756</v>
      </c>
      <c r="B648">
        <v>22</v>
      </c>
      <c r="C648">
        <v>460</v>
      </c>
      <c r="D648" t="s">
        <v>303</v>
      </c>
      <c r="E648">
        <f>YEAR(A648)</f>
        <v>2014</v>
      </c>
      <c r="F648" s="33">
        <f>DATE(YEAR(A648),MONTH(A648),1)</f>
        <v>41730.0</v>
      </c>
      <c r="G648" t="str">
        <f>CHOOSE(WEEKDAY(A648,2),"Mon","Tue","Wed","Thu","Fri","Sat","Sun")</f>
        <v>Sun</v>
      </c>
      <c r="H648" t="str">
        <f>IF(WEEKDAY(A648,2)&gt;5,"Weekend","Weekday")</f>
        <v>Weekend</v>
      </c>
      <c r="I648" t="str">
        <f>_xlfn.IFS(B648&lt;=5,"Night (0-5)",B648&lt;=9,"Morning peak (6-9)",B648&lt;=15,"Midday (10-15)",B648&lt;=19,"Evening peak (16-19)",TRUE,"Late evening (20-23)")</f>
        <v>Late evening (20-23)</v>
      </c>
    </row>
    <row r="649" spans="1:9">
      <c r="A649" s="32">
        <v>41756</v>
      </c>
      <c r="B649">
        <v>23</v>
      </c>
      <c r="C649">
        <v>300</v>
      </c>
      <c r="D649" t="s">
        <v>303</v>
      </c>
      <c r="E649">
        <f>YEAR(A649)</f>
        <v>2014</v>
      </c>
      <c r="F649" s="33">
        <f>DATE(YEAR(A649),MONTH(A649),1)</f>
        <v>41730.0</v>
      </c>
      <c r="G649" t="str">
        <f>CHOOSE(WEEKDAY(A649,2),"Mon","Tue","Wed","Thu","Fri","Sat","Sun")</f>
        <v>Sun</v>
      </c>
      <c r="H649" t="str">
        <f>IF(WEEKDAY(A649,2)&gt;5,"Weekend","Weekday")</f>
        <v>Weekend</v>
      </c>
      <c r="I649" t="str">
        <f>_xlfn.IFS(B649&lt;=5,"Night (0-5)",B649&lt;=9,"Morning peak (6-9)",B649&lt;=15,"Midday (10-15)",B649&lt;=19,"Evening peak (16-19)",TRUE,"Late evening (20-23)")</f>
        <v>Late evening (20-23)</v>
      </c>
    </row>
    <row r="650" spans="1:9">
      <c r="A650" s="32">
        <v>41757</v>
      </c>
      <c r="B650">
        <v>0</v>
      </c>
      <c r="C650">
        <v>184</v>
      </c>
      <c r="D650" t="s">
        <v>303</v>
      </c>
      <c r="E650">
        <f>YEAR(A650)</f>
        <v>2014</v>
      </c>
      <c r="F650" s="33">
        <f>DATE(YEAR(A650),MONTH(A650),1)</f>
        <v>41730.0</v>
      </c>
      <c r="G650" t="str">
        <f>CHOOSE(WEEKDAY(A650,2),"Mon","Tue","Wed","Thu","Fri","Sat","Sun")</f>
        <v>Mon</v>
      </c>
      <c r="H650" t="str">
        <f>IF(WEEKDAY(A650,2)&gt;5,"Weekend","Weekday")</f>
        <v>Weekday</v>
      </c>
      <c r="I650" t="str">
        <f>_xlfn.IFS(B650&lt;=5,"Night (0-5)",B650&lt;=9,"Morning peak (6-9)",B650&lt;=15,"Midday (10-15)",B650&lt;=19,"Evening peak (16-19)",TRUE,"Late evening (20-23)")</f>
        <v>Night (0-5)</v>
      </c>
    </row>
    <row r="651" spans="1:9">
      <c r="A651" s="32">
        <v>41757</v>
      </c>
      <c r="B651">
        <v>1</v>
      </c>
      <c r="C651">
        <v>84</v>
      </c>
      <c r="D651" t="s">
        <v>303</v>
      </c>
      <c r="E651">
        <f>YEAR(A651)</f>
        <v>2014</v>
      </c>
      <c r="F651" s="33">
        <f>DATE(YEAR(A651),MONTH(A651),1)</f>
        <v>41730.0</v>
      </c>
      <c r="G651" t="str">
        <f>CHOOSE(WEEKDAY(A651,2),"Mon","Tue","Wed","Thu","Fri","Sat","Sun")</f>
        <v>Mon</v>
      </c>
      <c r="H651" t="str">
        <f>IF(WEEKDAY(A651,2)&gt;5,"Weekend","Weekday")</f>
        <v>Weekday</v>
      </c>
      <c r="I651" t="str">
        <f>_xlfn.IFS(B651&lt;=5,"Night (0-5)",B651&lt;=9,"Morning peak (6-9)",B651&lt;=15,"Midday (10-15)",B651&lt;=19,"Evening peak (16-19)",TRUE,"Late evening (20-23)")</f>
        <v>Night (0-5)</v>
      </c>
    </row>
    <row r="652" spans="1:9">
      <c r="A652" s="32">
        <v>41757</v>
      </c>
      <c r="B652">
        <v>2</v>
      </c>
      <c r="C652">
        <v>78</v>
      </c>
      <c r="D652" t="s">
        <v>303</v>
      </c>
      <c r="E652">
        <f>YEAR(A652)</f>
        <v>2014</v>
      </c>
      <c r="F652" s="33">
        <f>DATE(YEAR(A652),MONTH(A652),1)</f>
        <v>41730.0</v>
      </c>
      <c r="G652" t="str">
        <f>CHOOSE(WEEKDAY(A652,2),"Mon","Tue","Wed","Thu","Fri","Sat","Sun")</f>
        <v>Mon</v>
      </c>
      <c r="H652" t="str">
        <f>IF(WEEKDAY(A652,2)&gt;5,"Weekend","Weekday")</f>
        <v>Weekday</v>
      </c>
      <c r="I652" t="str">
        <f>_xlfn.IFS(B652&lt;=5,"Night (0-5)",B652&lt;=9,"Morning peak (6-9)",B652&lt;=15,"Midday (10-15)",B652&lt;=19,"Evening peak (16-19)",TRUE,"Late evening (20-23)")</f>
        <v>Night (0-5)</v>
      </c>
    </row>
    <row r="653" spans="1:9">
      <c r="A653" s="32">
        <v>41757</v>
      </c>
      <c r="B653">
        <v>3</v>
      </c>
      <c r="C653">
        <v>164</v>
      </c>
      <c r="D653" t="s">
        <v>303</v>
      </c>
      <c r="E653">
        <f>YEAR(A653)</f>
        <v>2014</v>
      </c>
      <c r="F653" s="33">
        <f>DATE(YEAR(A653),MONTH(A653),1)</f>
        <v>41730.0</v>
      </c>
      <c r="G653" t="str">
        <f>CHOOSE(WEEKDAY(A653,2),"Mon","Tue","Wed","Thu","Fri","Sat","Sun")</f>
        <v>Mon</v>
      </c>
      <c r="H653" t="str">
        <f>IF(WEEKDAY(A653,2)&gt;5,"Weekend","Weekday")</f>
        <v>Weekday</v>
      </c>
      <c r="I653" t="str">
        <f>_xlfn.IFS(B653&lt;=5,"Night (0-5)",B653&lt;=9,"Morning peak (6-9)",B653&lt;=15,"Midday (10-15)",B653&lt;=19,"Evening peak (16-19)",TRUE,"Late evening (20-23)")</f>
        <v>Night (0-5)</v>
      </c>
    </row>
    <row r="654" spans="1:9">
      <c r="A654" s="32">
        <v>41757</v>
      </c>
      <c r="B654">
        <v>4</v>
      </c>
      <c r="C654">
        <v>275</v>
      </c>
      <c r="D654" t="s">
        <v>303</v>
      </c>
      <c r="E654">
        <f>YEAR(A654)</f>
        <v>2014</v>
      </c>
      <c r="F654" s="33">
        <f>DATE(YEAR(A654),MONTH(A654),1)</f>
        <v>41730.0</v>
      </c>
      <c r="G654" t="str">
        <f>CHOOSE(WEEKDAY(A654,2),"Mon","Tue","Wed","Thu","Fri","Sat","Sun")</f>
        <v>Mon</v>
      </c>
      <c r="H654" t="str">
        <f>IF(WEEKDAY(A654,2)&gt;5,"Weekend","Weekday")</f>
        <v>Weekday</v>
      </c>
      <c r="I654" t="str">
        <f>_xlfn.IFS(B654&lt;=5,"Night (0-5)",B654&lt;=9,"Morning peak (6-9)",B654&lt;=15,"Midday (10-15)",B654&lt;=19,"Evening peak (16-19)",TRUE,"Late evening (20-23)")</f>
        <v>Night (0-5)</v>
      </c>
    </row>
    <row r="655" spans="1:9">
      <c r="A655" s="32">
        <v>41757</v>
      </c>
      <c r="B655">
        <v>5</v>
      </c>
      <c r="C655">
        <v>455</v>
      </c>
      <c r="D655" t="s">
        <v>303</v>
      </c>
      <c r="E655">
        <f>YEAR(A655)</f>
        <v>2014</v>
      </c>
      <c r="F655" s="33">
        <f>DATE(YEAR(A655),MONTH(A655),1)</f>
        <v>41730.0</v>
      </c>
      <c r="G655" t="str">
        <f>CHOOSE(WEEKDAY(A655,2),"Mon","Tue","Wed","Thu","Fri","Sat","Sun")</f>
        <v>Mon</v>
      </c>
      <c r="H655" t="str">
        <f>IF(WEEKDAY(A655,2)&gt;5,"Weekend","Weekday")</f>
        <v>Weekday</v>
      </c>
      <c r="I655" t="str">
        <f>_xlfn.IFS(B655&lt;=5,"Night (0-5)",B655&lt;=9,"Morning peak (6-9)",B655&lt;=15,"Midday (10-15)",B655&lt;=19,"Evening peak (16-19)",TRUE,"Late evening (20-23)")</f>
        <v>Night (0-5)</v>
      </c>
    </row>
    <row r="656" spans="1:9">
      <c r="A656" s="32">
        <v>41757</v>
      </c>
      <c r="B656">
        <v>6</v>
      </c>
      <c r="C656">
        <v>776</v>
      </c>
      <c r="D656" t="s">
        <v>303</v>
      </c>
      <c r="E656">
        <f>YEAR(A656)</f>
        <v>2014</v>
      </c>
      <c r="F656" s="33">
        <f>DATE(YEAR(A656),MONTH(A656),1)</f>
        <v>41730.0</v>
      </c>
      <c r="G656" t="str">
        <f>CHOOSE(WEEKDAY(A656,2),"Mon","Tue","Wed","Thu","Fri","Sat","Sun")</f>
        <v>Mon</v>
      </c>
      <c r="H656" t="str">
        <f>IF(WEEKDAY(A656,2)&gt;5,"Weekend","Weekday")</f>
        <v>Weekday</v>
      </c>
      <c r="I656" t="str">
        <f>_xlfn.IFS(B656&lt;=5,"Night (0-5)",B656&lt;=9,"Morning peak (6-9)",B656&lt;=15,"Midday (10-15)",B656&lt;=19,"Evening peak (16-19)",TRUE,"Late evening (20-23)")</f>
        <v>Morning peak (6-9)</v>
      </c>
    </row>
    <row r="657" spans="1:9">
      <c r="A657" s="32">
        <v>41757</v>
      </c>
      <c r="B657">
        <v>7</v>
      </c>
      <c r="C657">
        <v>1005</v>
      </c>
      <c r="D657" t="s">
        <v>303</v>
      </c>
      <c r="E657">
        <f>YEAR(A657)</f>
        <v>2014</v>
      </c>
      <c r="F657" s="33">
        <f>DATE(YEAR(A657),MONTH(A657),1)</f>
        <v>41730.0</v>
      </c>
      <c r="G657" t="str">
        <f>CHOOSE(WEEKDAY(A657,2),"Mon","Tue","Wed","Thu","Fri","Sat","Sun")</f>
        <v>Mon</v>
      </c>
      <c r="H657" t="str">
        <f>IF(WEEKDAY(A657,2)&gt;5,"Weekend","Weekday")</f>
        <v>Weekday</v>
      </c>
      <c r="I657" t="str">
        <f>_xlfn.IFS(B657&lt;=5,"Night (0-5)",B657&lt;=9,"Morning peak (6-9)",B657&lt;=15,"Midday (10-15)",B657&lt;=19,"Evening peak (16-19)",TRUE,"Late evening (20-23)")</f>
        <v>Morning peak (6-9)</v>
      </c>
    </row>
    <row r="658" spans="1:9">
      <c r="A658" s="32">
        <v>41757</v>
      </c>
      <c r="B658">
        <v>8</v>
      </c>
      <c r="C658">
        <v>861</v>
      </c>
      <c r="D658" t="s">
        <v>303</v>
      </c>
      <c r="E658">
        <f>YEAR(A658)</f>
        <v>2014</v>
      </c>
      <c r="F658" s="33">
        <f>DATE(YEAR(A658),MONTH(A658),1)</f>
        <v>41730.0</v>
      </c>
      <c r="G658" t="str">
        <f>CHOOSE(WEEKDAY(A658,2),"Mon","Tue","Wed","Thu","Fri","Sat","Sun")</f>
        <v>Mon</v>
      </c>
      <c r="H658" t="str">
        <f>IF(WEEKDAY(A658,2)&gt;5,"Weekend","Weekday")</f>
        <v>Weekday</v>
      </c>
      <c r="I658" t="str">
        <f>_xlfn.IFS(B658&lt;=5,"Night (0-5)",B658&lt;=9,"Morning peak (6-9)",B658&lt;=15,"Midday (10-15)",B658&lt;=19,"Evening peak (16-19)",TRUE,"Late evening (20-23)")</f>
        <v>Morning peak (6-9)</v>
      </c>
    </row>
    <row r="659" spans="1:9">
      <c r="A659" s="32">
        <v>41757</v>
      </c>
      <c r="B659">
        <v>9</v>
      </c>
      <c r="C659">
        <v>613</v>
      </c>
      <c r="D659" t="s">
        <v>303</v>
      </c>
      <c r="E659">
        <f>YEAR(A659)</f>
        <v>2014</v>
      </c>
      <c r="F659" s="33">
        <f>DATE(YEAR(A659),MONTH(A659),1)</f>
        <v>41730.0</v>
      </c>
      <c r="G659" t="str">
        <f>CHOOSE(WEEKDAY(A659,2),"Mon","Tue","Wed","Thu","Fri","Sat","Sun")</f>
        <v>Mon</v>
      </c>
      <c r="H659" t="str">
        <f>IF(WEEKDAY(A659,2)&gt;5,"Weekend","Weekday")</f>
        <v>Weekday</v>
      </c>
      <c r="I659" t="str">
        <f>_xlfn.IFS(B659&lt;=5,"Night (0-5)",B659&lt;=9,"Morning peak (6-9)",B659&lt;=15,"Midday (10-15)",B659&lt;=19,"Evening peak (16-19)",TRUE,"Late evening (20-23)")</f>
        <v>Morning peak (6-9)</v>
      </c>
    </row>
    <row r="660" spans="1:9">
      <c r="A660" s="32">
        <v>41757</v>
      </c>
      <c r="B660">
        <v>10</v>
      </c>
      <c r="C660">
        <v>561</v>
      </c>
      <c r="D660" t="s">
        <v>303</v>
      </c>
      <c r="E660">
        <f>YEAR(A660)</f>
        <v>2014</v>
      </c>
      <c r="F660" s="33">
        <f>DATE(YEAR(A660),MONTH(A660),1)</f>
        <v>41730.0</v>
      </c>
      <c r="G660" t="str">
        <f>CHOOSE(WEEKDAY(A660,2),"Mon","Tue","Wed","Thu","Fri","Sat","Sun")</f>
        <v>Mon</v>
      </c>
      <c r="H660" t="str">
        <f>IF(WEEKDAY(A660,2)&gt;5,"Weekend","Weekday")</f>
        <v>Weekday</v>
      </c>
      <c r="I660" t="str">
        <f>_xlfn.IFS(B660&lt;=5,"Night (0-5)",B660&lt;=9,"Morning peak (6-9)",B660&lt;=15,"Midday (10-15)",B660&lt;=19,"Evening peak (16-19)",TRUE,"Late evening (20-23)")</f>
        <v>Midday (10-15)</v>
      </c>
    </row>
    <row r="661" spans="1:9">
      <c r="A661" s="32">
        <v>41757</v>
      </c>
      <c r="B661">
        <v>11</v>
      </c>
      <c r="C661">
        <v>540</v>
      </c>
      <c r="D661" t="s">
        <v>303</v>
      </c>
      <c r="E661">
        <f>YEAR(A661)</f>
        <v>2014</v>
      </c>
      <c r="F661" s="33">
        <f>DATE(YEAR(A661),MONTH(A661),1)</f>
        <v>41730.0</v>
      </c>
      <c r="G661" t="str">
        <f>CHOOSE(WEEKDAY(A661,2),"Mon","Tue","Wed","Thu","Fri","Sat","Sun")</f>
        <v>Mon</v>
      </c>
      <c r="H661" t="str">
        <f>IF(WEEKDAY(A661,2)&gt;5,"Weekend","Weekday")</f>
        <v>Weekday</v>
      </c>
      <c r="I661" t="str">
        <f>_xlfn.IFS(B661&lt;=5,"Night (0-5)",B661&lt;=9,"Morning peak (6-9)",B661&lt;=15,"Midday (10-15)",B661&lt;=19,"Evening peak (16-19)",TRUE,"Late evening (20-23)")</f>
        <v>Midday (10-15)</v>
      </c>
    </row>
    <row r="662" spans="1:9">
      <c r="A662" s="32">
        <v>41757</v>
      </c>
      <c r="B662">
        <v>12</v>
      </c>
      <c r="C662">
        <v>545</v>
      </c>
      <c r="D662" t="s">
        <v>303</v>
      </c>
      <c r="E662">
        <f>YEAR(A662)</f>
        <v>2014</v>
      </c>
      <c r="F662" s="33">
        <f>DATE(YEAR(A662),MONTH(A662),1)</f>
        <v>41730.0</v>
      </c>
      <c r="G662" t="str">
        <f>CHOOSE(WEEKDAY(A662,2),"Mon","Tue","Wed","Thu","Fri","Sat","Sun")</f>
        <v>Mon</v>
      </c>
      <c r="H662" t="str">
        <f>IF(WEEKDAY(A662,2)&gt;5,"Weekend","Weekday")</f>
        <v>Weekday</v>
      </c>
      <c r="I662" t="str">
        <f>_xlfn.IFS(B662&lt;=5,"Night (0-5)",B662&lt;=9,"Morning peak (6-9)",B662&lt;=15,"Midday (10-15)",B662&lt;=19,"Evening peak (16-19)",TRUE,"Late evening (20-23)")</f>
        <v>Midday (10-15)</v>
      </c>
    </row>
    <row r="663" spans="1:9">
      <c r="A663" s="32">
        <v>41757</v>
      </c>
      <c r="B663">
        <v>13</v>
      </c>
      <c r="C663">
        <v>635</v>
      </c>
      <c r="D663" t="s">
        <v>303</v>
      </c>
      <c r="E663">
        <f>YEAR(A663)</f>
        <v>2014</v>
      </c>
      <c r="F663" s="33">
        <f>DATE(YEAR(A663),MONTH(A663),1)</f>
        <v>41730.0</v>
      </c>
      <c r="G663" t="str">
        <f>CHOOSE(WEEKDAY(A663,2),"Mon","Tue","Wed","Thu","Fri","Sat","Sun")</f>
        <v>Mon</v>
      </c>
      <c r="H663" t="str">
        <f>IF(WEEKDAY(A663,2)&gt;5,"Weekend","Weekday")</f>
        <v>Weekday</v>
      </c>
      <c r="I663" t="str">
        <f>_xlfn.IFS(B663&lt;=5,"Night (0-5)",B663&lt;=9,"Morning peak (6-9)",B663&lt;=15,"Midday (10-15)",B663&lt;=19,"Evening peak (16-19)",TRUE,"Late evening (20-23)")</f>
        <v>Midday (10-15)</v>
      </c>
    </row>
    <row r="664" spans="1:9">
      <c r="A664" s="32">
        <v>41757</v>
      </c>
      <c r="B664">
        <v>14</v>
      </c>
      <c r="C664">
        <v>816</v>
      </c>
      <c r="D664" t="s">
        <v>303</v>
      </c>
      <c r="E664">
        <f>YEAR(A664)</f>
        <v>2014</v>
      </c>
      <c r="F664" s="33">
        <f>DATE(YEAR(A664),MONTH(A664),1)</f>
        <v>41730.0</v>
      </c>
      <c r="G664" t="str">
        <f>CHOOSE(WEEKDAY(A664,2),"Mon","Tue","Wed","Thu","Fri","Sat","Sun")</f>
        <v>Mon</v>
      </c>
      <c r="H664" t="str">
        <f>IF(WEEKDAY(A664,2)&gt;5,"Weekend","Weekday")</f>
        <v>Weekday</v>
      </c>
      <c r="I664" t="str">
        <f>_xlfn.IFS(B664&lt;=5,"Night (0-5)",B664&lt;=9,"Morning peak (6-9)",B664&lt;=15,"Midday (10-15)",B664&lt;=19,"Evening peak (16-19)",TRUE,"Late evening (20-23)")</f>
        <v>Midday (10-15)</v>
      </c>
    </row>
    <row r="665" spans="1:9">
      <c r="A665" s="32">
        <v>41757</v>
      </c>
      <c r="B665">
        <v>15</v>
      </c>
      <c r="C665">
        <v>977</v>
      </c>
      <c r="D665" t="s">
        <v>303</v>
      </c>
      <c r="E665">
        <f>YEAR(A665)</f>
        <v>2014</v>
      </c>
      <c r="F665" s="33">
        <f>DATE(YEAR(A665),MONTH(A665),1)</f>
        <v>41730.0</v>
      </c>
      <c r="G665" t="str">
        <f>CHOOSE(WEEKDAY(A665,2),"Mon","Tue","Wed","Thu","Fri","Sat","Sun")</f>
        <v>Mon</v>
      </c>
      <c r="H665" t="str">
        <f>IF(WEEKDAY(A665,2)&gt;5,"Weekend","Weekday")</f>
        <v>Weekday</v>
      </c>
      <c r="I665" t="str">
        <f>_xlfn.IFS(B665&lt;=5,"Night (0-5)",B665&lt;=9,"Morning peak (6-9)",B665&lt;=15,"Midday (10-15)",B665&lt;=19,"Evening peak (16-19)",TRUE,"Late evening (20-23)")</f>
        <v>Midday (10-15)</v>
      </c>
    </row>
    <row r="666" spans="1:9">
      <c r="A666" s="32">
        <v>41757</v>
      </c>
      <c r="B666">
        <v>16</v>
      </c>
      <c r="C666">
        <v>1163</v>
      </c>
      <c r="D666" t="s">
        <v>303</v>
      </c>
      <c r="E666">
        <f>YEAR(A666)</f>
        <v>2014</v>
      </c>
      <c r="F666" s="33">
        <f>DATE(YEAR(A666),MONTH(A666),1)</f>
        <v>41730.0</v>
      </c>
      <c r="G666" t="str">
        <f>CHOOSE(WEEKDAY(A666,2),"Mon","Tue","Wed","Thu","Fri","Sat","Sun")</f>
        <v>Mon</v>
      </c>
      <c r="H666" t="str">
        <f>IF(WEEKDAY(A666,2)&gt;5,"Weekend","Weekday")</f>
        <v>Weekday</v>
      </c>
      <c r="I666" t="str">
        <f>_xlfn.IFS(B666&lt;=5,"Night (0-5)",B666&lt;=9,"Morning peak (6-9)",B666&lt;=15,"Midday (10-15)",B666&lt;=19,"Evening peak (16-19)",TRUE,"Late evening (20-23)")</f>
        <v>Evening peak (16-19)</v>
      </c>
    </row>
    <row r="667" spans="1:9">
      <c r="A667" s="32">
        <v>41757</v>
      </c>
      <c r="B667">
        <v>17</v>
      </c>
      <c r="C667">
        <v>1355</v>
      </c>
      <c r="D667" t="s">
        <v>303</v>
      </c>
      <c r="E667">
        <f>YEAR(A667)</f>
        <v>2014</v>
      </c>
      <c r="F667" s="33">
        <f>DATE(YEAR(A667),MONTH(A667),1)</f>
        <v>41730.0</v>
      </c>
      <c r="G667" t="str">
        <f>CHOOSE(WEEKDAY(A667,2),"Mon","Tue","Wed","Thu","Fri","Sat","Sun")</f>
        <v>Mon</v>
      </c>
      <c r="H667" t="str">
        <f>IF(WEEKDAY(A667,2)&gt;5,"Weekend","Weekday")</f>
        <v>Weekday</v>
      </c>
      <c r="I667" t="str">
        <f>_xlfn.IFS(B667&lt;=5,"Night (0-5)",B667&lt;=9,"Morning peak (6-9)",B667&lt;=15,"Midday (10-15)",B667&lt;=19,"Evening peak (16-19)",TRUE,"Late evening (20-23)")</f>
        <v>Evening peak (16-19)</v>
      </c>
    </row>
    <row r="668" spans="1:9">
      <c r="A668" s="32">
        <v>41757</v>
      </c>
      <c r="B668">
        <v>18</v>
      </c>
      <c r="C668">
        <v>996</v>
      </c>
      <c r="D668" t="s">
        <v>303</v>
      </c>
      <c r="E668">
        <f>YEAR(A668)</f>
        <v>2014</v>
      </c>
      <c r="F668" s="33">
        <f>DATE(YEAR(A668),MONTH(A668),1)</f>
        <v>41730.0</v>
      </c>
      <c r="G668" t="str">
        <f>CHOOSE(WEEKDAY(A668,2),"Mon","Tue","Wed","Thu","Fri","Sat","Sun")</f>
        <v>Mon</v>
      </c>
      <c r="H668" t="str">
        <f>IF(WEEKDAY(A668,2)&gt;5,"Weekend","Weekday")</f>
        <v>Weekday</v>
      </c>
      <c r="I668" t="str">
        <f>_xlfn.IFS(B668&lt;=5,"Night (0-5)",B668&lt;=9,"Morning peak (6-9)",B668&lt;=15,"Midday (10-15)",B668&lt;=19,"Evening peak (16-19)",TRUE,"Late evening (20-23)")</f>
        <v>Evening peak (16-19)</v>
      </c>
    </row>
    <row r="669" spans="1:9">
      <c r="A669" s="32">
        <v>41757</v>
      </c>
      <c r="B669">
        <v>19</v>
      </c>
      <c r="C669">
        <v>872</v>
      </c>
      <c r="D669" t="s">
        <v>303</v>
      </c>
      <c r="E669">
        <f>YEAR(A669)</f>
        <v>2014</v>
      </c>
      <c r="F669" s="33">
        <f>DATE(YEAR(A669),MONTH(A669),1)</f>
        <v>41730.0</v>
      </c>
      <c r="G669" t="str">
        <f>CHOOSE(WEEKDAY(A669,2),"Mon","Tue","Wed","Thu","Fri","Sat","Sun")</f>
        <v>Mon</v>
      </c>
      <c r="H669" t="str">
        <f>IF(WEEKDAY(A669,2)&gt;5,"Weekend","Weekday")</f>
        <v>Weekday</v>
      </c>
      <c r="I669" t="str">
        <f>_xlfn.IFS(B669&lt;=5,"Night (0-5)",B669&lt;=9,"Morning peak (6-9)",B669&lt;=15,"Midday (10-15)",B669&lt;=19,"Evening peak (16-19)",TRUE,"Late evening (20-23)")</f>
        <v>Evening peak (16-19)</v>
      </c>
    </row>
    <row r="670" spans="1:9">
      <c r="A670" s="32">
        <v>41757</v>
      </c>
      <c r="B670">
        <v>20</v>
      </c>
      <c r="C670">
        <v>986</v>
      </c>
      <c r="D670" t="s">
        <v>303</v>
      </c>
      <c r="E670">
        <f>YEAR(A670)</f>
        <v>2014</v>
      </c>
      <c r="F670" s="33">
        <f>DATE(YEAR(A670),MONTH(A670),1)</f>
        <v>41730.0</v>
      </c>
      <c r="G670" t="str">
        <f>CHOOSE(WEEKDAY(A670,2),"Mon","Tue","Wed","Thu","Fri","Sat","Sun")</f>
        <v>Mon</v>
      </c>
      <c r="H670" t="str">
        <f>IF(WEEKDAY(A670,2)&gt;5,"Weekend","Weekday")</f>
        <v>Weekday</v>
      </c>
      <c r="I670" t="str">
        <f>_xlfn.IFS(B670&lt;=5,"Night (0-5)",B670&lt;=9,"Morning peak (6-9)",B670&lt;=15,"Midday (10-15)",B670&lt;=19,"Evening peak (16-19)",TRUE,"Late evening (20-23)")</f>
        <v>Late evening (20-23)</v>
      </c>
    </row>
    <row r="671" spans="1:9">
      <c r="A671" s="32">
        <v>41757</v>
      </c>
      <c r="B671">
        <v>21</v>
      </c>
      <c r="C671">
        <v>785</v>
      </c>
      <c r="D671" t="s">
        <v>303</v>
      </c>
      <c r="E671">
        <f>YEAR(A671)</f>
        <v>2014</v>
      </c>
      <c r="F671" s="33">
        <f>DATE(YEAR(A671),MONTH(A671),1)</f>
        <v>41730.0</v>
      </c>
      <c r="G671" t="str">
        <f>CHOOSE(WEEKDAY(A671,2),"Mon","Tue","Wed","Thu","Fri","Sat","Sun")</f>
        <v>Mon</v>
      </c>
      <c r="H671" t="str">
        <f>IF(WEEKDAY(A671,2)&gt;5,"Weekend","Weekday")</f>
        <v>Weekday</v>
      </c>
      <c r="I671" t="str">
        <f>_xlfn.IFS(B671&lt;=5,"Night (0-5)",B671&lt;=9,"Morning peak (6-9)",B671&lt;=15,"Midday (10-15)",B671&lt;=19,"Evening peak (16-19)",TRUE,"Late evening (20-23)")</f>
        <v>Late evening (20-23)</v>
      </c>
    </row>
    <row r="672" spans="1:9">
      <c r="A672" s="32">
        <v>41757</v>
      </c>
      <c r="B672">
        <v>22</v>
      </c>
      <c r="C672">
        <v>444</v>
      </c>
      <c r="D672" t="s">
        <v>303</v>
      </c>
      <c r="E672">
        <f>YEAR(A672)</f>
        <v>2014</v>
      </c>
      <c r="F672" s="33">
        <f>DATE(YEAR(A672),MONTH(A672),1)</f>
        <v>41730.0</v>
      </c>
      <c r="G672" t="str">
        <f>CHOOSE(WEEKDAY(A672,2),"Mon","Tue","Wed","Thu","Fri","Sat","Sun")</f>
        <v>Mon</v>
      </c>
      <c r="H672" t="str">
        <f>IF(WEEKDAY(A672,2)&gt;5,"Weekend","Weekday")</f>
        <v>Weekday</v>
      </c>
      <c r="I672" t="str">
        <f>_xlfn.IFS(B672&lt;=5,"Night (0-5)",B672&lt;=9,"Morning peak (6-9)",B672&lt;=15,"Midday (10-15)",B672&lt;=19,"Evening peak (16-19)",TRUE,"Late evening (20-23)")</f>
        <v>Late evening (20-23)</v>
      </c>
    </row>
    <row r="673" spans="1:9">
      <c r="A673" s="32">
        <v>41757</v>
      </c>
      <c r="B673">
        <v>23</v>
      </c>
      <c r="C673">
        <v>305</v>
      </c>
      <c r="D673" t="s">
        <v>303</v>
      </c>
      <c r="E673">
        <f>YEAR(A673)</f>
        <v>2014</v>
      </c>
      <c r="F673" s="33">
        <f>DATE(YEAR(A673),MONTH(A673),1)</f>
        <v>41730.0</v>
      </c>
      <c r="G673" t="str">
        <f>CHOOSE(WEEKDAY(A673,2),"Mon","Tue","Wed","Thu","Fri","Sat","Sun")</f>
        <v>Mon</v>
      </c>
      <c r="H673" t="str">
        <f>IF(WEEKDAY(A673,2)&gt;5,"Weekend","Weekday")</f>
        <v>Weekday</v>
      </c>
      <c r="I673" t="str">
        <f>_xlfn.IFS(B673&lt;=5,"Night (0-5)",B673&lt;=9,"Morning peak (6-9)",B673&lt;=15,"Midday (10-15)",B673&lt;=19,"Evening peak (16-19)",TRUE,"Late evening (20-23)")</f>
        <v>Late evening (20-23)</v>
      </c>
    </row>
    <row r="674" spans="1:9">
      <c r="A674" s="32">
        <v>41758</v>
      </c>
      <c r="B674">
        <v>0</v>
      </c>
      <c r="C674">
        <v>153</v>
      </c>
      <c r="D674" t="s">
        <v>303</v>
      </c>
      <c r="E674">
        <f>YEAR(A674)</f>
        <v>2014</v>
      </c>
      <c r="F674" s="33">
        <f>DATE(YEAR(A674),MONTH(A674),1)</f>
        <v>41730.0</v>
      </c>
      <c r="G674" t="str">
        <f>CHOOSE(WEEKDAY(A674,2),"Mon","Tue","Wed","Thu","Fri","Sat","Sun")</f>
        <v>Tue</v>
      </c>
      <c r="H674" t="str">
        <f>IF(WEEKDAY(A674,2)&gt;5,"Weekend","Weekday")</f>
        <v>Weekday</v>
      </c>
      <c r="I674" t="str">
        <f>_xlfn.IFS(B674&lt;=5,"Night (0-5)",B674&lt;=9,"Morning peak (6-9)",B674&lt;=15,"Midday (10-15)",B674&lt;=19,"Evening peak (16-19)",TRUE,"Late evening (20-23)")</f>
        <v>Night (0-5)</v>
      </c>
    </row>
    <row r="675" spans="1:9">
      <c r="A675" s="32">
        <v>41758</v>
      </c>
      <c r="B675">
        <v>1</v>
      </c>
      <c r="C675">
        <v>96</v>
      </c>
      <c r="D675" t="s">
        <v>303</v>
      </c>
      <c r="E675">
        <f>YEAR(A675)</f>
        <v>2014</v>
      </c>
      <c r="F675" s="33">
        <f>DATE(YEAR(A675),MONTH(A675),1)</f>
        <v>41730.0</v>
      </c>
      <c r="G675" t="str">
        <f>CHOOSE(WEEKDAY(A675,2),"Mon","Tue","Wed","Thu","Fri","Sat","Sun")</f>
        <v>Tue</v>
      </c>
      <c r="H675" t="str">
        <f>IF(WEEKDAY(A675,2)&gt;5,"Weekend","Weekday")</f>
        <v>Weekday</v>
      </c>
      <c r="I675" t="str">
        <f>_xlfn.IFS(B675&lt;=5,"Night (0-5)",B675&lt;=9,"Morning peak (6-9)",B675&lt;=15,"Midday (10-15)",B675&lt;=19,"Evening peak (16-19)",TRUE,"Late evening (20-23)")</f>
        <v>Night (0-5)</v>
      </c>
    </row>
    <row r="676" spans="1:9">
      <c r="A676" s="32">
        <v>41758</v>
      </c>
      <c r="B676">
        <v>2</v>
      </c>
      <c r="C676">
        <v>66</v>
      </c>
      <c r="D676" t="s">
        <v>303</v>
      </c>
      <c r="E676">
        <f>YEAR(A676)</f>
        <v>2014</v>
      </c>
      <c r="F676" s="33">
        <f>DATE(YEAR(A676),MONTH(A676),1)</f>
        <v>41730.0</v>
      </c>
      <c r="G676" t="str">
        <f>CHOOSE(WEEKDAY(A676,2),"Mon","Tue","Wed","Thu","Fri","Sat","Sun")</f>
        <v>Tue</v>
      </c>
      <c r="H676" t="str">
        <f>IF(WEEKDAY(A676,2)&gt;5,"Weekend","Weekday")</f>
        <v>Weekday</v>
      </c>
      <c r="I676" t="str">
        <f>_xlfn.IFS(B676&lt;=5,"Night (0-5)",B676&lt;=9,"Morning peak (6-9)",B676&lt;=15,"Midday (10-15)",B676&lt;=19,"Evening peak (16-19)",TRUE,"Late evening (20-23)")</f>
        <v>Night (0-5)</v>
      </c>
    </row>
    <row r="677" spans="1:9">
      <c r="A677" s="32">
        <v>41758</v>
      </c>
      <c r="B677">
        <v>3</v>
      </c>
      <c r="C677">
        <v>112</v>
      </c>
      <c r="D677" t="s">
        <v>303</v>
      </c>
      <c r="E677">
        <f>YEAR(A677)</f>
        <v>2014</v>
      </c>
      <c r="F677" s="33">
        <f>DATE(YEAR(A677),MONTH(A677),1)</f>
        <v>41730.0</v>
      </c>
      <c r="G677" t="str">
        <f>CHOOSE(WEEKDAY(A677,2),"Mon","Tue","Wed","Thu","Fri","Sat","Sun")</f>
        <v>Tue</v>
      </c>
      <c r="H677" t="str">
        <f>IF(WEEKDAY(A677,2)&gt;5,"Weekend","Weekday")</f>
        <v>Weekday</v>
      </c>
      <c r="I677" t="str">
        <f>_xlfn.IFS(B677&lt;=5,"Night (0-5)",B677&lt;=9,"Morning peak (6-9)",B677&lt;=15,"Midday (10-15)",B677&lt;=19,"Evening peak (16-19)",TRUE,"Late evening (20-23)")</f>
        <v>Night (0-5)</v>
      </c>
    </row>
    <row r="678" spans="1:9">
      <c r="A678" s="32">
        <v>41758</v>
      </c>
      <c r="B678">
        <v>4</v>
      </c>
      <c r="C678">
        <v>189</v>
      </c>
      <c r="D678" t="s">
        <v>303</v>
      </c>
      <c r="E678">
        <f>YEAR(A678)</f>
        <v>2014</v>
      </c>
      <c r="F678" s="33">
        <f>DATE(YEAR(A678),MONTH(A678),1)</f>
        <v>41730.0</v>
      </c>
      <c r="G678" t="str">
        <f>CHOOSE(WEEKDAY(A678,2),"Mon","Tue","Wed","Thu","Fri","Sat","Sun")</f>
        <v>Tue</v>
      </c>
      <c r="H678" t="str">
        <f>IF(WEEKDAY(A678,2)&gt;5,"Weekend","Weekday")</f>
        <v>Weekday</v>
      </c>
      <c r="I678" t="str">
        <f>_xlfn.IFS(B678&lt;=5,"Night (0-5)",B678&lt;=9,"Morning peak (6-9)",B678&lt;=15,"Midday (10-15)",B678&lt;=19,"Evening peak (16-19)",TRUE,"Late evening (20-23)")</f>
        <v>Night (0-5)</v>
      </c>
    </row>
    <row r="679" spans="1:9">
      <c r="A679" s="32">
        <v>41758</v>
      </c>
      <c r="B679">
        <v>5</v>
      </c>
      <c r="C679">
        <v>370</v>
      </c>
      <c r="D679" t="s">
        <v>303</v>
      </c>
      <c r="E679">
        <f>YEAR(A679)</f>
        <v>2014</v>
      </c>
      <c r="F679" s="33">
        <f>DATE(YEAR(A679),MONTH(A679),1)</f>
        <v>41730.0</v>
      </c>
      <c r="G679" t="str">
        <f>CHOOSE(WEEKDAY(A679,2),"Mon","Tue","Wed","Thu","Fri","Sat","Sun")</f>
        <v>Tue</v>
      </c>
      <c r="H679" t="str">
        <f>IF(WEEKDAY(A679,2)&gt;5,"Weekend","Weekday")</f>
        <v>Weekday</v>
      </c>
      <c r="I679" t="str">
        <f>_xlfn.IFS(B679&lt;=5,"Night (0-5)",B679&lt;=9,"Morning peak (6-9)",B679&lt;=15,"Midday (10-15)",B679&lt;=19,"Evening peak (16-19)",TRUE,"Late evening (20-23)")</f>
        <v>Night (0-5)</v>
      </c>
    </row>
    <row r="680" spans="1:9">
      <c r="A680" s="32">
        <v>41758</v>
      </c>
      <c r="B680">
        <v>6</v>
      </c>
      <c r="C680">
        <v>872</v>
      </c>
      <c r="D680" t="s">
        <v>303</v>
      </c>
      <c r="E680">
        <f>YEAR(A680)</f>
        <v>2014</v>
      </c>
      <c r="F680" s="33">
        <f>DATE(YEAR(A680),MONTH(A680),1)</f>
        <v>41730.0</v>
      </c>
      <c r="G680" t="str">
        <f>CHOOSE(WEEKDAY(A680,2),"Mon","Tue","Wed","Thu","Fri","Sat","Sun")</f>
        <v>Tue</v>
      </c>
      <c r="H680" t="str">
        <f>IF(WEEKDAY(A680,2)&gt;5,"Weekend","Weekday")</f>
        <v>Weekday</v>
      </c>
      <c r="I680" t="str">
        <f>_xlfn.IFS(B680&lt;=5,"Night (0-5)",B680&lt;=9,"Morning peak (6-9)",B680&lt;=15,"Midday (10-15)",B680&lt;=19,"Evening peak (16-19)",TRUE,"Late evening (20-23)")</f>
        <v>Morning peak (6-9)</v>
      </c>
    </row>
    <row r="681" spans="1:9">
      <c r="A681" s="32">
        <v>41758</v>
      </c>
      <c r="B681">
        <v>7</v>
      </c>
      <c r="C681">
        <v>1207</v>
      </c>
      <c r="D681" t="s">
        <v>303</v>
      </c>
      <c r="E681">
        <f>YEAR(A681)</f>
        <v>2014</v>
      </c>
      <c r="F681" s="33">
        <f>DATE(YEAR(A681),MONTH(A681),1)</f>
        <v>41730.0</v>
      </c>
      <c r="G681" t="str">
        <f>CHOOSE(WEEKDAY(A681,2),"Mon","Tue","Wed","Thu","Fri","Sat","Sun")</f>
        <v>Tue</v>
      </c>
      <c r="H681" t="str">
        <f>IF(WEEKDAY(A681,2)&gt;5,"Weekend","Weekday")</f>
        <v>Weekday</v>
      </c>
      <c r="I681" t="str">
        <f>_xlfn.IFS(B681&lt;=5,"Night (0-5)",B681&lt;=9,"Morning peak (6-9)",B681&lt;=15,"Midday (10-15)",B681&lt;=19,"Evening peak (16-19)",TRUE,"Late evening (20-23)")</f>
        <v>Morning peak (6-9)</v>
      </c>
    </row>
    <row r="682" spans="1:9">
      <c r="A682" s="32">
        <v>41758</v>
      </c>
      <c r="B682">
        <v>8</v>
      </c>
      <c r="C682">
        <v>1022</v>
      </c>
      <c r="D682" t="s">
        <v>303</v>
      </c>
      <c r="E682">
        <f>YEAR(A682)</f>
        <v>2014</v>
      </c>
      <c r="F682" s="33">
        <f>DATE(YEAR(A682),MONTH(A682),1)</f>
        <v>41730.0</v>
      </c>
      <c r="G682" t="str">
        <f>CHOOSE(WEEKDAY(A682,2),"Mon","Tue","Wed","Thu","Fri","Sat","Sun")</f>
        <v>Tue</v>
      </c>
      <c r="H682" t="str">
        <f>IF(WEEKDAY(A682,2)&gt;5,"Weekend","Weekday")</f>
        <v>Weekday</v>
      </c>
      <c r="I682" t="str">
        <f>_xlfn.IFS(B682&lt;=5,"Night (0-5)",B682&lt;=9,"Morning peak (6-9)",B682&lt;=15,"Midday (10-15)",B682&lt;=19,"Evening peak (16-19)",TRUE,"Late evening (20-23)")</f>
        <v>Morning peak (6-9)</v>
      </c>
    </row>
    <row r="683" spans="1:9">
      <c r="A683" s="32">
        <v>41758</v>
      </c>
      <c r="B683">
        <v>9</v>
      </c>
      <c r="C683">
        <v>650</v>
      </c>
      <c r="D683" t="s">
        <v>303</v>
      </c>
      <c r="E683">
        <f>YEAR(A683)</f>
        <v>2014</v>
      </c>
      <c r="F683" s="33">
        <f>DATE(YEAR(A683),MONTH(A683),1)</f>
        <v>41730.0</v>
      </c>
      <c r="G683" t="str">
        <f>CHOOSE(WEEKDAY(A683,2),"Mon","Tue","Wed","Thu","Fri","Sat","Sun")</f>
        <v>Tue</v>
      </c>
      <c r="H683" t="str">
        <f>IF(WEEKDAY(A683,2)&gt;5,"Weekend","Weekday")</f>
        <v>Weekday</v>
      </c>
      <c r="I683" t="str">
        <f>_xlfn.IFS(B683&lt;=5,"Night (0-5)",B683&lt;=9,"Morning peak (6-9)",B683&lt;=15,"Midday (10-15)",B683&lt;=19,"Evening peak (16-19)",TRUE,"Late evening (20-23)")</f>
        <v>Morning peak (6-9)</v>
      </c>
    </row>
    <row r="684" spans="1:9">
      <c r="A684" s="32">
        <v>41758</v>
      </c>
      <c r="B684">
        <v>10</v>
      </c>
      <c r="C684">
        <v>639</v>
      </c>
      <c r="D684" t="s">
        <v>303</v>
      </c>
      <c r="E684">
        <f>YEAR(A684)</f>
        <v>2014</v>
      </c>
      <c r="F684" s="33">
        <f>DATE(YEAR(A684),MONTH(A684),1)</f>
        <v>41730.0</v>
      </c>
      <c r="G684" t="str">
        <f>CHOOSE(WEEKDAY(A684,2),"Mon","Tue","Wed","Thu","Fri","Sat","Sun")</f>
        <v>Tue</v>
      </c>
      <c r="H684" t="str">
        <f>IF(WEEKDAY(A684,2)&gt;5,"Weekend","Weekday")</f>
        <v>Weekday</v>
      </c>
      <c r="I684" t="str">
        <f>_xlfn.IFS(B684&lt;=5,"Night (0-5)",B684&lt;=9,"Morning peak (6-9)",B684&lt;=15,"Midday (10-15)",B684&lt;=19,"Evening peak (16-19)",TRUE,"Late evening (20-23)")</f>
        <v>Midday (10-15)</v>
      </c>
    </row>
    <row r="685" spans="1:9">
      <c r="A685" s="32">
        <v>41758</v>
      </c>
      <c r="B685">
        <v>11</v>
      </c>
      <c r="C685">
        <v>591</v>
      </c>
      <c r="D685" t="s">
        <v>303</v>
      </c>
      <c r="E685">
        <f>YEAR(A685)</f>
        <v>2014</v>
      </c>
      <c r="F685" s="33">
        <f>DATE(YEAR(A685),MONTH(A685),1)</f>
        <v>41730.0</v>
      </c>
      <c r="G685" t="str">
        <f>CHOOSE(WEEKDAY(A685,2),"Mon","Tue","Wed","Thu","Fri","Sat","Sun")</f>
        <v>Tue</v>
      </c>
      <c r="H685" t="str">
        <f>IF(WEEKDAY(A685,2)&gt;5,"Weekend","Weekday")</f>
        <v>Weekday</v>
      </c>
      <c r="I685" t="str">
        <f>_xlfn.IFS(B685&lt;=5,"Night (0-5)",B685&lt;=9,"Morning peak (6-9)",B685&lt;=15,"Midday (10-15)",B685&lt;=19,"Evening peak (16-19)",TRUE,"Late evening (20-23)")</f>
        <v>Midday (10-15)</v>
      </c>
    </row>
    <row r="686" spans="1:9">
      <c r="A686" s="32">
        <v>41758</v>
      </c>
      <c r="B686">
        <v>12</v>
      </c>
      <c r="C686">
        <v>639</v>
      </c>
      <c r="D686" t="s">
        <v>303</v>
      </c>
      <c r="E686">
        <f>YEAR(A686)</f>
        <v>2014</v>
      </c>
      <c r="F686" s="33">
        <f>DATE(YEAR(A686),MONTH(A686),1)</f>
        <v>41730.0</v>
      </c>
      <c r="G686" t="str">
        <f>CHOOSE(WEEKDAY(A686,2),"Mon","Tue","Wed","Thu","Fri","Sat","Sun")</f>
        <v>Tue</v>
      </c>
      <c r="H686" t="str">
        <f>IF(WEEKDAY(A686,2)&gt;5,"Weekend","Weekday")</f>
        <v>Weekday</v>
      </c>
      <c r="I686" t="str">
        <f>_xlfn.IFS(B686&lt;=5,"Night (0-5)",B686&lt;=9,"Morning peak (6-9)",B686&lt;=15,"Midday (10-15)",B686&lt;=19,"Evening peak (16-19)",TRUE,"Late evening (20-23)")</f>
        <v>Midday (10-15)</v>
      </c>
    </row>
    <row r="687" spans="1:9">
      <c r="A687" s="32">
        <v>41758</v>
      </c>
      <c r="B687">
        <v>13</v>
      </c>
      <c r="C687">
        <v>970</v>
      </c>
      <c r="D687" t="s">
        <v>303</v>
      </c>
      <c r="E687">
        <f>YEAR(A687)</f>
        <v>2014</v>
      </c>
      <c r="F687" s="33">
        <f>DATE(YEAR(A687),MONTH(A687),1)</f>
        <v>41730.0</v>
      </c>
      <c r="G687" t="str">
        <f>CHOOSE(WEEKDAY(A687,2),"Mon","Tue","Wed","Thu","Fri","Sat","Sun")</f>
        <v>Tue</v>
      </c>
      <c r="H687" t="str">
        <f>IF(WEEKDAY(A687,2)&gt;5,"Weekend","Weekday")</f>
        <v>Weekday</v>
      </c>
      <c r="I687" t="str">
        <f>_xlfn.IFS(B687&lt;=5,"Night (0-5)",B687&lt;=9,"Morning peak (6-9)",B687&lt;=15,"Midday (10-15)",B687&lt;=19,"Evening peak (16-19)",TRUE,"Late evening (20-23)")</f>
        <v>Midday (10-15)</v>
      </c>
    </row>
    <row r="688" spans="1:9">
      <c r="A688" s="32">
        <v>41758</v>
      </c>
      <c r="B688">
        <v>14</v>
      </c>
      <c r="C688">
        <v>1322</v>
      </c>
      <c r="D688" t="s">
        <v>303</v>
      </c>
      <c r="E688">
        <f>YEAR(A688)</f>
        <v>2014</v>
      </c>
      <c r="F688" s="33">
        <f>DATE(YEAR(A688),MONTH(A688),1)</f>
        <v>41730.0</v>
      </c>
      <c r="G688" t="str">
        <f>CHOOSE(WEEKDAY(A688,2),"Mon","Tue","Wed","Thu","Fri","Sat","Sun")</f>
        <v>Tue</v>
      </c>
      <c r="H688" t="str">
        <f>IF(WEEKDAY(A688,2)&gt;5,"Weekend","Weekday")</f>
        <v>Weekday</v>
      </c>
      <c r="I688" t="str">
        <f>_xlfn.IFS(B688&lt;=5,"Night (0-5)",B688&lt;=9,"Morning peak (6-9)",B688&lt;=15,"Midday (10-15)",B688&lt;=19,"Evening peak (16-19)",TRUE,"Late evening (20-23)")</f>
        <v>Midday (10-15)</v>
      </c>
    </row>
    <row r="689" spans="1:9">
      <c r="A689" s="32">
        <v>41758</v>
      </c>
      <c r="B689">
        <v>15</v>
      </c>
      <c r="C689">
        <v>1693</v>
      </c>
      <c r="D689" t="s">
        <v>303</v>
      </c>
      <c r="E689">
        <f>YEAR(A689)</f>
        <v>2014</v>
      </c>
      <c r="F689" s="33">
        <f>DATE(YEAR(A689),MONTH(A689),1)</f>
        <v>41730.0</v>
      </c>
      <c r="G689" t="str">
        <f>CHOOSE(WEEKDAY(A689,2),"Mon","Tue","Wed","Thu","Fri","Sat","Sun")</f>
        <v>Tue</v>
      </c>
      <c r="H689" t="str">
        <f>IF(WEEKDAY(A689,2)&gt;5,"Weekend","Weekday")</f>
        <v>Weekday</v>
      </c>
      <c r="I689" t="str">
        <f>_xlfn.IFS(B689&lt;=5,"Night (0-5)",B689&lt;=9,"Morning peak (6-9)",B689&lt;=15,"Midday (10-15)",B689&lt;=19,"Evening peak (16-19)",TRUE,"Late evening (20-23)")</f>
        <v>Midday (10-15)</v>
      </c>
    </row>
    <row r="690" spans="1:9">
      <c r="A690" s="32">
        <v>41758</v>
      </c>
      <c r="B690">
        <v>16</v>
      </c>
      <c r="C690">
        <v>1954</v>
      </c>
      <c r="D690" t="s">
        <v>303</v>
      </c>
      <c r="E690">
        <f>YEAR(A690)</f>
        <v>2014</v>
      </c>
      <c r="F690" s="33">
        <f>DATE(YEAR(A690),MONTH(A690),1)</f>
        <v>41730.0</v>
      </c>
      <c r="G690" t="str">
        <f>CHOOSE(WEEKDAY(A690,2),"Mon","Tue","Wed","Thu","Fri","Sat","Sun")</f>
        <v>Tue</v>
      </c>
      <c r="H690" t="str">
        <f>IF(WEEKDAY(A690,2)&gt;5,"Weekend","Weekday")</f>
        <v>Weekday</v>
      </c>
      <c r="I690" t="str">
        <f>_xlfn.IFS(B690&lt;=5,"Night (0-5)",B690&lt;=9,"Morning peak (6-9)",B690&lt;=15,"Midday (10-15)",B690&lt;=19,"Evening peak (16-19)",TRUE,"Late evening (20-23)")</f>
        <v>Evening peak (16-19)</v>
      </c>
    </row>
    <row r="691" spans="1:9">
      <c r="A691" s="32">
        <v>41758</v>
      </c>
      <c r="B691">
        <v>17</v>
      </c>
      <c r="C691">
        <v>2270</v>
      </c>
      <c r="D691" t="s">
        <v>303</v>
      </c>
      <c r="E691">
        <f>YEAR(A691)</f>
        <v>2014</v>
      </c>
      <c r="F691" s="33">
        <f>DATE(YEAR(A691),MONTH(A691),1)</f>
        <v>41730.0</v>
      </c>
      <c r="G691" t="str">
        <f>CHOOSE(WEEKDAY(A691,2),"Mon","Tue","Wed","Thu","Fri","Sat","Sun")</f>
        <v>Tue</v>
      </c>
      <c r="H691" t="str">
        <f>IF(WEEKDAY(A691,2)&gt;5,"Weekend","Weekday")</f>
        <v>Weekday</v>
      </c>
      <c r="I691" t="str">
        <f>_xlfn.IFS(B691&lt;=5,"Night (0-5)",B691&lt;=9,"Morning peak (6-9)",B691&lt;=15,"Midday (10-15)",B691&lt;=19,"Evening peak (16-19)",TRUE,"Late evening (20-23)")</f>
        <v>Evening peak (16-19)</v>
      </c>
    </row>
    <row r="692" spans="1:9">
      <c r="A692" s="32">
        <v>41758</v>
      </c>
      <c r="B692">
        <v>18</v>
      </c>
      <c r="C692">
        <v>1861</v>
      </c>
      <c r="D692" t="s">
        <v>303</v>
      </c>
      <c r="E692">
        <f>YEAR(A692)</f>
        <v>2014</v>
      </c>
      <c r="F692" s="33">
        <f>DATE(YEAR(A692),MONTH(A692),1)</f>
        <v>41730.0</v>
      </c>
      <c r="G692" t="str">
        <f>CHOOSE(WEEKDAY(A692,2),"Mon","Tue","Wed","Thu","Fri","Sat","Sun")</f>
        <v>Tue</v>
      </c>
      <c r="H692" t="str">
        <f>IF(WEEKDAY(A692,2)&gt;5,"Weekend","Weekday")</f>
        <v>Weekday</v>
      </c>
      <c r="I692" t="str">
        <f>_xlfn.IFS(B692&lt;=5,"Night (0-5)",B692&lt;=9,"Morning peak (6-9)",B692&lt;=15,"Midday (10-15)",B692&lt;=19,"Evening peak (16-19)",TRUE,"Late evening (20-23)")</f>
        <v>Evening peak (16-19)</v>
      </c>
    </row>
    <row r="693" spans="1:9">
      <c r="A693" s="32">
        <v>41758</v>
      </c>
      <c r="B693">
        <v>19</v>
      </c>
      <c r="C693">
        <v>1654</v>
      </c>
      <c r="D693" t="s">
        <v>303</v>
      </c>
      <c r="E693">
        <f>YEAR(A693)</f>
        <v>2014</v>
      </c>
      <c r="F693" s="33">
        <f>DATE(YEAR(A693),MONTH(A693),1)</f>
        <v>41730.0</v>
      </c>
      <c r="G693" t="str">
        <f>CHOOSE(WEEKDAY(A693,2),"Mon","Tue","Wed","Thu","Fri","Sat","Sun")</f>
        <v>Tue</v>
      </c>
      <c r="H693" t="str">
        <f>IF(WEEKDAY(A693,2)&gt;5,"Weekend","Weekday")</f>
        <v>Weekday</v>
      </c>
      <c r="I693" t="str">
        <f>_xlfn.IFS(B693&lt;=5,"Night (0-5)",B693&lt;=9,"Morning peak (6-9)",B693&lt;=15,"Midday (10-15)",B693&lt;=19,"Evening peak (16-19)",TRUE,"Late evening (20-23)")</f>
        <v>Evening peak (16-19)</v>
      </c>
    </row>
    <row r="694" spans="1:9">
      <c r="A694" s="32">
        <v>41758</v>
      </c>
      <c r="B694">
        <v>20</v>
      </c>
      <c r="C694">
        <v>1666</v>
      </c>
      <c r="D694" t="s">
        <v>303</v>
      </c>
      <c r="E694">
        <f>YEAR(A694)</f>
        <v>2014</v>
      </c>
      <c r="F694" s="33">
        <f>DATE(YEAR(A694),MONTH(A694),1)</f>
        <v>41730.0</v>
      </c>
      <c r="G694" t="str">
        <f>CHOOSE(WEEKDAY(A694,2),"Mon","Tue","Wed","Thu","Fri","Sat","Sun")</f>
        <v>Tue</v>
      </c>
      <c r="H694" t="str">
        <f>IF(WEEKDAY(A694,2)&gt;5,"Weekend","Weekday")</f>
        <v>Weekday</v>
      </c>
      <c r="I694" t="str">
        <f>_xlfn.IFS(B694&lt;=5,"Night (0-5)",B694&lt;=9,"Morning peak (6-9)",B694&lt;=15,"Midday (10-15)",B694&lt;=19,"Evening peak (16-19)",TRUE,"Late evening (20-23)")</f>
        <v>Late evening (20-23)</v>
      </c>
    </row>
    <row r="695" spans="1:9">
      <c r="A695" s="32">
        <v>41758</v>
      </c>
      <c r="B695">
        <v>21</v>
      </c>
      <c r="C695">
        <v>1575</v>
      </c>
      <c r="D695" t="s">
        <v>303</v>
      </c>
      <c r="E695">
        <f>YEAR(A695)</f>
        <v>2014</v>
      </c>
      <c r="F695" s="33">
        <f>DATE(YEAR(A695),MONTH(A695),1)</f>
        <v>41730.0</v>
      </c>
      <c r="G695" t="str">
        <f>CHOOSE(WEEKDAY(A695,2),"Mon","Tue","Wed","Thu","Fri","Sat","Sun")</f>
        <v>Tue</v>
      </c>
      <c r="H695" t="str">
        <f>IF(WEEKDAY(A695,2)&gt;5,"Weekend","Weekday")</f>
        <v>Weekday</v>
      </c>
      <c r="I695" t="str">
        <f>_xlfn.IFS(B695&lt;=5,"Night (0-5)",B695&lt;=9,"Morning peak (6-9)",B695&lt;=15,"Midday (10-15)",B695&lt;=19,"Evening peak (16-19)",TRUE,"Late evening (20-23)")</f>
        <v>Late evening (20-23)</v>
      </c>
    </row>
    <row r="696" spans="1:9">
      <c r="A696" s="32">
        <v>41758</v>
      </c>
      <c r="B696">
        <v>22</v>
      </c>
      <c r="C696">
        <v>808</v>
      </c>
      <c r="D696" t="s">
        <v>303</v>
      </c>
      <c r="E696">
        <f>YEAR(A696)</f>
        <v>2014</v>
      </c>
      <c r="F696" s="33">
        <f>DATE(YEAR(A696),MONTH(A696),1)</f>
        <v>41730.0</v>
      </c>
      <c r="G696" t="str">
        <f>CHOOSE(WEEKDAY(A696,2),"Mon","Tue","Wed","Thu","Fri","Sat","Sun")</f>
        <v>Tue</v>
      </c>
      <c r="H696" t="str">
        <f>IF(WEEKDAY(A696,2)&gt;5,"Weekend","Weekday")</f>
        <v>Weekday</v>
      </c>
      <c r="I696" t="str">
        <f>_xlfn.IFS(B696&lt;=5,"Night (0-5)",B696&lt;=9,"Morning peak (6-9)",B696&lt;=15,"Midday (10-15)",B696&lt;=19,"Evening peak (16-19)",TRUE,"Late evening (20-23)")</f>
        <v>Late evening (20-23)</v>
      </c>
    </row>
    <row r="697" spans="1:9">
      <c r="A697" s="32">
        <v>41758</v>
      </c>
      <c r="B697">
        <v>23</v>
      </c>
      <c r="C697">
        <v>456</v>
      </c>
      <c r="D697" t="s">
        <v>303</v>
      </c>
      <c r="E697">
        <f>YEAR(A697)</f>
        <v>2014</v>
      </c>
      <c r="F697" s="33">
        <f>DATE(YEAR(A697),MONTH(A697),1)</f>
        <v>41730.0</v>
      </c>
      <c r="G697" t="str">
        <f>CHOOSE(WEEKDAY(A697,2),"Mon","Tue","Wed","Thu","Fri","Sat","Sun")</f>
        <v>Tue</v>
      </c>
      <c r="H697" t="str">
        <f>IF(WEEKDAY(A697,2)&gt;5,"Weekend","Weekday")</f>
        <v>Weekday</v>
      </c>
      <c r="I697" t="str">
        <f>_xlfn.IFS(B697&lt;=5,"Night (0-5)",B697&lt;=9,"Morning peak (6-9)",B697&lt;=15,"Midday (10-15)",B697&lt;=19,"Evening peak (16-19)",TRUE,"Late evening (20-23)")</f>
        <v>Late evening (20-23)</v>
      </c>
    </row>
    <row r="698" spans="1:9">
      <c r="A698" s="32">
        <v>41759</v>
      </c>
      <c r="B698">
        <v>0</v>
      </c>
      <c r="C698">
        <v>219</v>
      </c>
      <c r="D698" t="s">
        <v>303</v>
      </c>
      <c r="E698">
        <f>YEAR(A698)</f>
        <v>2014</v>
      </c>
      <c r="F698" s="33">
        <f>DATE(YEAR(A698),MONTH(A698),1)</f>
        <v>41730.0</v>
      </c>
      <c r="G698" t="str">
        <f>CHOOSE(WEEKDAY(A698,2),"Mon","Tue","Wed","Thu","Fri","Sat","Sun")</f>
        <v>Wed</v>
      </c>
      <c r="H698" t="str">
        <f>IF(WEEKDAY(A698,2)&gt;5,"Weekend","Weekday")</f>
        <v>Weekday</v>
      </c>
      <c r="I698" t="str">
        <f>_xlfn.IFS(B698&lt;=5,"Night (0-5)",B698&lt;=9,"Morning peak (6-9)",B698&lt;=15,"Midday (10-15)",B698&lt;=19,"Evening peak (16-19)",TRUE,"Late evening (20-23)")</f>
        <v>Night (0-5)</v>
      </c>
    </row>
    <row r="699" spans="1:9">
      <c r="A699" s="32">
        <v>41759</v>
      </c>
      <c r="B699">
        <v>1</v>
      </c>
      <c r="C699">
        <v>130</v>
      </c>
      <c r="D699" t="s">
        <v>303</v>
      </c>
      <c r="E699">
        <f>YEAR(A699)</f>
        <v>2014</v>
      </c>
      <c r="F699" s="33">
        <f>DATE(YEAR(A699),MONTH(A699),1)</f>
        <v>41730.0</v>
      </c>
      <c r="G699" t="str">
        <f>CHOOSE(WEEKDAY(A699,2),"Mon","Tue","Wed","Thu","Fri","Sat","Sun")</f>
        <v>Wed</v>
      </c>
      <c r="H699" t="str">
        <f>IF(WEEKDAY(A699,2)&gt;5,"Weekend","Weekday")</f>
        <v>Weekday</v>
      </c>
      <c r="I699" t="str">
        <f>_xlfn.IFS(B699&lt;=5,"Night (0-5)",B699&lt;=9,"Morning peak (6-9)",B699&lt;=15,"Midday (10-15)",B699&lt;=19,"Evening peak (16-19)",TRUE,"Late evening (20-23)")</f>
        <v>Night (0-5)</v>
      </c>
    </row>
    <row r="700" spans="1:9">
      <c r="A700" s="32">
        <v>41759</v>
      </c>
      <c r="B700">
        <v>2</v>
      </c>
      <c r="C700">
        <v>100</v>
      </c>
      <c r="D700" t="s">
        <v>303</v>
      </c>
      <c r="E700">
        <f>YEAR(A700)</f>
        <v>2014</v>
      </c>
      <c r="F700" s="33">
        <f>DATE(YEAR(A700),MONTH(A700),1)</f>
        <v>41730.0</v>
      </c>
      <c r="G700" t="str">
        <f>CHOOSE(WEEKDAY(A700,2),"Mon","Tue","Wed","Thu","Fri","Sat","Sun")</f>
        <v>Wed</v>
      </c>
      <c r="H700" t="str">
        <f>IF(WEEKDAY(A700,2)&gt;5,"Weekend","Weekday")</f>
        <v>Weekday</v>
      </c>
      <c r="I700" t="str">
        <f>_xlfn.IFS(B700&lt;=5,"Night (0-5)",B700&lt;=9,"Morning peak (6-9)",B700&lt;=15,"Midday (10-15)",B700&lt;=19,"Evening peak (16-19)",TRUE,"Late evening (20-23)")</f>
        <v>Night (0-5)</v>
      </c>
    </row>
    <row r="701" spans="1:9">
      <c r="A701" s="32">
        <v>41759</v>
      </c>
      <c r="B701">
        <v>3</v>
      </c>
      <c r="C701">
        <v>154</v>
      </c>
      <c r="D701" t="s">
        <v>303</v>
      </c>
      <c r="E701">
        <f>YEAR(A701)</f>
        <v>2014</v>
      </c>
      <c r="F701" s="33">
        <f>DATE(YEAR(A701),MONTH(A701),1)</f>
        <v>41730.0</v>
      </c>
      <c r="G701" t="str">
        <f>CHOOSE(WEEKDAY(A701,2),"Mon","Tue","Wed","Thu","Fri","Sat","Sun")</f>
        <v>Wed</v>
      </c>
      <c r="H701" t="str">
        <f>IF(WEEKDAY(A701,2)&gt;5,"Weekend","Weekday")</f>
        <v>Weekday</v>
      </c>
      <c r="I701" t="str">
        <f>_xlfn.IFS(B701&lt;=5,"Night (0-5)",B701&lt;=9,"Morning peak (6-9)",B701&lt;=15,"Midday (10-15)",B701&lt;=19,"Evening peak (16-19)",TRUE,"Late evening (20-23)")</f>
        <v>Night (0-5)</v>
      </c>
    </row>
    <row r="702" spans="1:9">
      <c r="A702" s="32">
        <v>41759</v>
      </c>
      <c r="B702">
        <v>4</v>
      </c>
      <c r="C702">
        <v>233</v>
      </c>
      <c r="D702" t="s">
        <v>303</v>
      </c>
      <c r="E702">
        <f>YEAR(A702)</f>
        <v>2014</v>
      </c>
      <c r="F702" s="33">
        <f>DATE(YEAR(A702),MONTH(A702),1)</f>
        <v>41730.0</v>
      </c>
      <c r="G702" t="str">
        <f>CHOOSE(WEEKDAY(A702,2),"Mon","Tue","Wed","Thu","Fri","Sat","Sun")</f>
        <v>Wed</v>
      </c>
      <c r="H702" t="str">
        <f>IF(WEEKDAY(A702,2)&gt;5,"Weekend","Weekday")</f>
        <v>Weekday</v>
      </c>
      <c r="I702" t="str">
        <f>_xlfn.IFS(B702&lt;=5,"Night (0-5)",B702&lt;=9,"Morning peak (6-9)",B702&lt;=15,"Midday (10-15)",B702&lt;=19,"Evening peak (16-19)",TRUE,"Late evening (20-23)")</f>
        <v>Night (0-5)</v>
      </c>
    </row>
    <row r="703" spans="1:9">
      <c r="A703" s="32">
        <v>41759</v>
      </c>
      <c r="B703">
        <v>5</v>
      </c>
      <c r="C703">
        <v>580</v>
      </c>
      <c r="D703" t="s">
        <v>303</v>
      </c>
      <c r="E703">
        <f>YEAR(A703)</f>
        <v>2014</v>
      </c>
      <c r="F703" s="33">
        <f>DATE(YEAR(A703),MONTH(A703),1)</f>
        <v>41730.0</v>
      </c>
      <c r="G703" t="str">
        <f>CHOOSE(WEEKDAY(A703,2),"Mon","Tue","Wed","Thu","Fri","Sat","Sun")</f>
        <v>Wed</v>
      </c>
      <c r="H703" t="str">
        <f>IF(WEEKDAY(A703,2)&gt;5,"Weekend","Weekday")</f>
        <v>Weekday</v>
      </c>
      <c r="I703" t="str">
        <f>_xlfn.IFS(B703&lt;=5,"Night (0-5)",B703&lt;=9,"Morning peak (6-9)",B703&lt;=15,"Midday (10-15)",B703&lt;=19,"Evening peak (16-19)",TRUE,"Late evening (20-23)")</f>
        <v>Night (0-5)</v>
      </c>
    </row>
    <row r="704" spans="1:9">
      <c r="A704" s="32">
        <v>41759</v>
      </c>
      <c r="B704">
        <v>6</v>
      </c>
      <c r="C704">
        <v>1134</v>
      </c>
      <c r="D704" t="s">
        <v>303</v>
      </c>
      <c r="E704">
        <f>YEAR(A704)</f>
        <v>2014</v>
      </c>
      <c r="F704" s="33">
        <f>DATE(YEAR(A704),MONTH(A704),1)</f>
        <v>41730.0</v>
      </c>
      <c r="G704" t="str">
        <f>CHOOSE(WEEKDAY(A704,2),"Mon","Tue","Wed","Thu","Fri","Sat","Sun")</f>
        <v>Wed</v>
      </c>
      <c r="H704" t="str">
        <f>IF(WEEKDAY(A704,2)&gt;5,"Weekend","Weekday")</f>
        <v>Weekday</v>
      </c>
      <c r="I704" t="str">
        <f>_xlfn.IFS(B704&lt;=5,"Night (0-5)",B704&lt;=9,"Morning peak (6-9)",B704&lt;=15,"Midday (10-15)",B704&lt;=19,"Evening peak (16-19)",TRUE,"Late evening (20-23)")</f>
        <v>Morning peak (6-9)</v>
      </c>
    </row>
    <row r="705" spans="1:9">
      <c r="A705" s="32">
        <v>41759</v>
      </c>
      <c r="B705">
        <v>7</v>
      </c>
      <c r="C705">
        <v>1472</v>
      </c>
      <c r="D705" t="s">
        <v>303</v>
      </c>
      <c r="E705">
        <f>YEAR(A705)</f>
        <v>2014</v>
      </c>
      <c r="F705" s="33">
        <f>DATE(YEAR(A705),MONTH(A705),1)</f>
        <v>41730.0</v>
      </c>
      <c r="G705" t="str">
        <f>CHOOSE(WEEKDAY(A705,2),"Mon","Tue","Wed","Thu","Fri","Sat","Sun")</f>
        <v>Wed</v>
      </c>
      <c r="H705" t="str">
        <f>IF(WEEKDAY(A705,2)&gt;5,"Weekend","Weekday")</f>
        <v>Weekday</v>
      </c>
      <c r="I705" t="str">
        <f>_xlfn.IFS(B705&lt;=5,"Night (0-5)",B705&lt;=9,"Morning peak (6-9)",B705&lt;=15,"Midday (10-15)",B705&lt;=19,"Evening peak (16-19)",TRUE,"Late evening (20-23)")</f>
        <v>Morning peak (6-9)</v>
      </c>
    </row>
    <row r="706" spans="1:9">
      <c r="A706" s="32">
        <v>41759</v>
      </c>
      <c r="B706">
        <v>8</v>
      </c>
      <c r="C706">
        <v>1607</v>
      </c>
      <c r="D706" t="s">
        <v>303</v>
      </c>
      <c r="E706">
        <f>YEAR(A706)</f>
        <v>2014</v>
      </c>
      <c r="F706" s="33">
        <f>DATE(YEAR(A706),MONTH(A706),1)</f>
        <v>41730.0</v>
      </c>
      <c r="G706" t="str">
        <f>CHOOSE(WEEKDAY(A706,2),"Mon","Tue","Wed","Thu","Fri","Sat","Sun")</f>
        <v>Wed</v>
      </c>
      <c r="H706" t="str">
        <f>IF(WEEKDAY(A706,2)&gt;5,"Weekend","Weekday")</f>
        <v>Weekday</v>
      </c>
      <c r="I706" t="str">
        <f>_xlfn.IFS(B706&lt;=5,"Night (0-5)",B706&lt;=9,"Morning peak (6-9)",B706&lt;=15,"Midday (10-15)",B706&lt;=19,"Evening peak (16-19)",TRUE,"Late evening (20-23)")</f>
        <v>Morning peak (6-9)</v>
      </c>
    </row>
    <row r="707" spans="1:9">
      <c r="A707" s="32">
        <v>41759</v>
      </c>
      <c r="B707">
        <v>9</v>
      </c>
      <c r="C707">
        <v>1349</v>
      </c>
      <c r="D707" t="s">
        <v>303</v>
      </c>
      <c r="E707">
        <f>YEAR(A707)</f>
        <v>2014</v>
      </c>
      <c r="F707" s="33">
        <f>DATE(YEAR(A707),MONTH(A707),1)</f>
        <v>41730.0</v>
      </c>
      <c r="G707" t="str">
        <f>CHOOSE(WEEKDAY(A707,2),"Mon","Tue","Wed","Thu","Fri","Sat","Sun")</f>
        <v>Wed</v>
      </c>
      <c r="H707" t="str">
        <f>IF(WEEKDAY(A707,2)&gt;5,"Weekend","Weekday")</f>
        <v>Weekday</v>
      </c>
      <c r="I707" t="str">
        <f>_xlfn.IFS(B707&lt;=5,"Night (0-5)",B707&lt;=9,"Morning peak (6-9)",B707&lt;=15,"Midday (10-15)",B707&lt;=19,"Evening peak (16-19)",TRUE,"Late evening (20-23)")</f>
        <v>Morning peak (6-9)</v>
      </c>
    </row>
    <row r="708" spans="1:9">
      <c r="A708" s="32">
        <v>41759</v>
      </c>
      <c r="B708">
        <v>10</v>
      </c>
      <c r="C708">
        <v>1402</v>
      </c>
      <c r="D708" t="s">
        <v>303</v>
      </c>
      <c r="E708">
        <f>YEAR(A708)</f>
        <v>2014</v>
      </c>
      <c r="F708" s="33">
        <f>DATE(YEAR(A708),MONTH(A708),1)</f>
        <v>41730.0</v>
      </c>
      <c r="G708" t="str">
        <f>CHOOSE(WEEKDAY(A708,2),"Mon","Tue","Wed","Thu","Fri","Sat","Sun")</f>
        <v>Wed</v>
      </c>
      <c r="H708" t="str">
        <f>IF(WEEKDAY(A708,2)&gt;5,"Weekend","Weekday")</f>
        <v>Weekday</v>
      </c>
      <c r="I708" t="str">
        <f>_xlfn.IFS(B708&lt;=5,"Night (0-5)",B708&lt;=9,"Morning peak (6-9)",B708&lt;=15,"Midday (10-15)",B708&lt;=19,"Evening peak (16-19)",TRUE,"Late evening (20-23)")</f>
        <v>Midday (10-15)</v>
      </c>
    </row>
    <row r="709" spans="1:9">
      <c r="A709" s="32">
        <v>41759</v>
      </c>
      <c r="B709">
        <v>11</v>
      </c>
      <c r="C709">
        <v>1389</v>
      </c>
      <c r="D709" t="s">
        <v>303</v>
      </c>
      <c r="E709">
        <f>YEAR(A709)</f>
        <v>2014</v>
      </c>
      <c r="F709" s="33">
        <f>DATE(YEAR(A709),MONTH(A709),1)</f>
        <v>41730.0</v>
      </c>
      <c r="G709" t="str">
        <f>CHOOSE(WEEKDAY(A709,2),"Mon","Tue","Wed","Thu","Fri","Sat","Sun")</f>
        <v>Wed</v>
      </c>
      <c r="H709" t="str">
        <f>IF(WEEKDAY(A709,2)&gt;5,"Weekend","Weekday")</f>
        <v>Weekday</v>
      </c>
      <c r="I709" t="str">
        <f>_xlfn.IFS(B709&lt;=5,"Night (0-5)",B709&lt;=9,"Morning peak (6-9)",B709&lt;=15,"Midday (10-15)",B709&lt;=19,"Evening peak (16-19)",TRUE,"Late evening (20-23)")</f>
        <v>Midday (10-15)</v>
      </c>
    </row>
    <row r="710" spans="1:9">
      <c r="A710" s="32">
        <v>41759</v>
      </c>
      <c r="B710">
        <v>12</v>
      </c>
      <c r="C710">
        <v>1493</v>
      </c>
      <c r="D710" t="s">
        <v>303</v>
      </c>
      <c r="E710">
        <f>YEAR(A710)</f>
        <v>2014</v>
      </c>
      <c r="F710" s="33">
        <f>DATE(YEAR(A710),MONTH(A710),1)</f>
        <v>41730.0</v>
      </c>
      <c r="G710" t="str">
        <f>CHOOSE(WEEKDAY(A710,2),"Mon","Tue","Wed","Thu","Fri","Sat","Sun")</f>
        <v>Wed</v>
      </c>
      <c r="H710" t="str">
        <f>IF(WEEKDAY(A710,2)&gt;5,"Weekend","Weekday")</f>
        <v>Weekday</v>
      </c>
      <c r="I710" t="str">
        <f>_xlfn.IFS(B710&lt;=5,"Night (0-5)",B710&lt;=9,"Morning peak (6-9)",B710&lt;=15,"Midday (10-15)",B710&lt;=19,"Evening peak (16-19)",TRUE,"Late evening (20-23)")</f>
        <v>Midday (10-15)</v>
      </c>
    </row>
    <row r="711" spans="1:9">
      <c r="A711" s="32">
        <v>41759</v>
      </c>
      <c r="B711">
        <v>13</v>
      </c>
      <c r="C711">
        <v>1620</v>
      </c>
      <c r="D711" t="s">
        <v>303</v>
      </c>
      <c r="E711">
        <f>YEAR(A711)</f>
        <v>2014</v>
      </c>
      <c r="F711" s="33">
        <f>DATE(YEAR(A711),MONTH(A711),1)</f>
        <v>41730.0</v>
      </c>
      <c r="G711" t="str">
        <f>CHOOSE(WEEKDAY(A711,2),"Mon","Tue","Wed","Thu","Fri","Sat","Sun")</f>
        <v>Wed</v>
      </c>
      <c r="H711" t="str">
        <f>IF(WEEKDAY(A711,2)&gt;5,"Weekend","Weekday")</f>
        <v>Weekday</v>
      </c>
      <c r="I711" t="str">
        <f>_xlfn.IFS(B711&lt;=5,"Night (0-5)",B711&lt;=9,"Morning peak (6-9)",B711&lt;=15,"Midday (10-15)",B711&lt;=19,"Evening peak (16-19)",TRUE,"Late evening (20-23)")</f>
        <v>Midday (10-15)</v>
      </c>
    </row>
    <row r="712" spans="1:9">
      <c r="A712" s="32">
        <v>41759</v>
      </c>
      <c r="B712">
        <v>14</v>
      </c>
      <c r="C712">
        <v>1887</v>
      </c>
      <c r="D712" t="s">
        <v>303</v>
      </c>
      <c r="E712">
        <f>YEAR(A712)</f>
        <v>2014</v>
      </c>
      <c r="F712" s="33">
        <f>DATE(YEAR(A712),MONTH(A712),1)</f>
        <v>41730.0</v>
      </c>
      <c r="G712" t="str">
        <f>CHOOSE(WEEKDAY(A712,2),"Mon","Tue","Wed","Thu","Fri","Sat","Sun")</f>
        <v>Wed</v>
      </c>
      <c r="H712" t="str">
        <f>IF(WEEKDAY(A712,2)&gt;5,"Weekend","Weekday")</f>
        <v>Weekday</v>
      </c>
      <c r="I712" t="str">
        <f>_xlfn.IFS(B712&lt;=5,"Night (0-5)",B712&lt;=9,"Morning peak (6-9)",B712&lt;=15,"Midday (10-15)",B712&lt;=19,"Evening peak (16-19)",TRUE,"Late evening (20-23)")</f>
        <v>Midday (10-15)</v>
      </c>
    </row>
    <row r="713" spans="1:9">
      <c r="A713" s="32">
        <v>41759</v>
      </c>
      <c r="B713">
        <v>15</v>
      </c>
      <c r="C713">
        <v>2406</v>
      </c>
      <c r="D713" t="s">
        <v>303</v>
      </c>
      <c r="E713">
        <f>YEAR(A713)</f>
        <v>2014</v>
      </c>
      <c r="F713" s="33">
        <f>DATE(YEAR(A713),MONTH(A713),1)</f>
        <v>41730.0</v>
      </c>
      <c r="G713" t="str">
        <f>CHOOSE(WEEKDAY(A713,2),"Mon","Tue","Wed","Thu","Fri","Sat","Sun")</f>
        <v>Wed</v>
      </c>
      <c r="H713" t="str">
        <f>IF(WEEKDAY(A713,2)&gt;5,"Weekend","Weekday")</f>
        <v>Weekday</v>
      </c>
      <c r="I713" t="str">
        <f>_xlfn.IFS(B713&lt;=5,"Night (0-5)",B713&lt;=9,"Morning peak (6-9)",B713&lt;=15,"Midday (10-15)",B713&lt;=19,"Evening peak (16-19)",TRUE,"Late evening (20-23)")</f>
        <v>Midday (10-15)</v>
      </c>
    </row>
    <row r="714" spans="1:9">
      <c r="A714" s="32">
        <v>41759</v>
      </c>
      <c r="B714">
        <v>16</v>
      </c>
      <c r="C714">
        <v>2656</v>
      </c>
      <c r="D714" t="s">
        <v>303</v>
      </c>
      <c r="E714">
        <f>YEAR(A714)</f>
        <v>2014</v>
      </c>
      <c r="F714" s="33">
        <f>DATE(YEAR(A714),MONTH(A714),1)</f>
        <v>41730.0</v>
      </c>
      <c r="G714" t="str">
        <f>CHOOSE(WEEKDAY(A714,2),"Mon","Tue","Wed","Thu","Fri","Sat","Sun")</f>
        <v>Wed</v>
      </c>
      <c r="H714" t="str">
        <f>IF(WEEKDAY(A714,2)&gt;5,"Weekend","Weekday")</f>
        <v>Weekday</v>
      </c>
      <c r="I714" t="str">
        <f>_xlfn.IFS(B714&lt;=5,"Night (0-5)",B714&lt;=9,"Morning peak (6-9)",B714&lt;=15,"Midday (10-15)",B714&lt;=19,"Evening peak (16-19)",TRUE,"Late evening (20-23)")</f>
        <v>Evening peak (16-19)</v>
      </c>
    </row>
    <row r="715" spans="1:9">
      <c r="A715" s="32">
        <v>41759</v>
      </c>
      <c r="B715">
        <v>17</v>
      </c>
      <c r="C715">
        <v>2801</v>
      </c>
      <c r="D715" t="s">
        <v>303</v>
      </c>
      <c r="E715">
        <f>YEAR(A715)</f>
        <v>2014</v>
      </c>
      <c r="F715" s="33">
        <f>DATE(YEAR(A715),MONTH(A715),1)</f>
        <v>41730.0</v>
      </c>
      <c r="G715" t="str">
        <f>CHOOSE(WEEKDAY(A715,2),"Mon","Tue","Wed","Thu","Fri","Sat","Sun")</f>
        <v>Wed</v>
      </c>
      <c r="H715" t="str">
        <f>IF(WEEKDAY(A715,2)&gt;5,"Weekend","Weekday")</f>
        <v>Weekday</v>
      </c>
      <c r="I715" t="str">
        <f>_xlfn.IFS(B715&lt;=5,"Night (0-5)",B715&lt;=9,"Morning peak (6-9)",B715&lt;=15,"Midday (10-15)",B715&lt;=19,"Evening peak (16-19)",TRUE,"Late evening (20-23)")</f>
        <v>Evening peak (16-19)</v>
      </c>
    </row>
    <row r="716" spans="1:9">
      <c r="A716" s="32">
        <v>41759</v>
      </c>
      <c r="B716">
        <v>18</v>
      </c>
      <c r="C716">
        <v>3038</v>
      </c>
      <c r="D716" t="s">
        <v>303</v>
      </c>
      <c r="E716">
        <f>YEAR(A716)</f>
        <v>2014</v>
      </c>
      <c r="F716" s="33">
        <f>DATE(YEAR(A716),MONTH(A716),1)</f>
        <v>41730.0</v>
      </c>
      <c r="G716" t="str">
        <f>CHOOSE(WEEKDAY(A716,2),"Mon","Tue","Wed","Thu","Fri","Sat","Sun")</f>
        <v>Wed</v>
      </c>
      <c r="H716" t="str">
        <f>IF(WEEKDAY(A716,2)&gt;5,"Weekend","Weekday")</f>
        <v>Weekday</v>
      </c>
      <c r="I716" t="str">
        <f>_xlfn.IFS(B716&lt;=5,"Night (0-5)",B716&lt;=9,"Morning peak (6-9)",B716&lt;=15,"Midday (10-15)",B716&lt;=19,"Evening peak (16-19)",TRUE,"Late evening (20-23)")</f>
        <v>Evening peak (16-19)</v>
      </c>
    </row>
    <row r="717" spans="1:9">
      <c r="A717" s="32">
        <v>41759</v>
      </c>
      <c r="B717">
        <v>19</v>
      </c>
      <c r="C717">
        <v>2834</v>
      </c>
      <c r="D717" t="s">
        <v>303</v>
      </c>
      <c r="E717">
        <f>YEAR(A717)</f>
        <v>2014</v>
      </c>
      <c r="F717" s="33">
        <f>DATE(YEAR(A717),MONTH(A717),1)</f>
        <v>41730.0</v>
      </c>
      <c r="G717" t="str">
        <f>CHOOSE(WEEKDAY(A717,2),"Mon","Tue","Wed","Thu","Fri","Sat","Sun")</f>
        <v>Wed</v>
      </c>
      <c r="H717" t="str">
        <f>IF(WEEKDAY(A717,2)&gt;5,"Weekend","Weekday")</f>
        <v>Weekday</v>
      </c>
      <c r="I717" t="str">
        <f>_xlfn.IFS(B717&lt;=5,"Night (0-5)",B717&lt;=9,"Morning peak (6-9)",B717&lt;=15,"Midday (10-15)",B717&lt;=19,"Evening peak (16-19)",TRUE,"Late evening (20-23)")</f>
        <v>Evening peak (16-19)</v>
      </c>
    </row>
    <row r="718" spans="1:9">
      <c r="A718" s="32">
        <v>41759</v>
      </c>
      <c r="B718">
        <v>20</v>
      </c>
      <c r="C718">
        <v>2766</v>
      </c>
      <c r="D718" t="s">
        <v>303</v>
      </c>
      <c r="E718">
        <f>YEAR(A718)</f>
        <v>2014</v>
      </c>
      <c r="F718" s="33">
        <f>DATE(YEAR(A718),MONTH(A718),1)</f>
        <v>41730.0</v>
      </c>
      <c r="G718" t="str">
        <f>CHOOSE(WEEKDAY(A718,2),"Mon","Tue","Wed","Thu","Fri","Sat","Sun")</f>
        <v>Wed</v>
      </c>
      <c r="H718" t="str">
        <f>IF(WEEKDAY(A718,2)&gt;5,"Weekend","Weekday")</f>
        <v>Weekday</v>
      </c>
      <c r="I718" t="str">
        <f>_xlfn.IFS(B718&lt;=5,"Night (0-5)",B718&lt;=9,"Morning peak (6-9)",B718&lt;=15,"Midday (10-15)",B718&lt;=19,"Evening peak (16-19)",TRUE,"Late evening (20-23)")</f>
        <v>Late evening (20-23)</v>
      </c>
    </row>
    <row r="719" spans="1:9">
      <c r="A719" s="32">
        <v>41759</v>
      </c>
      <c r="B719">
        <v>21</v>
      </c>
      <c r="C719">
        <v>2308</v>
      </c>
      <c r="D719" t="s">
        <v>303</v>
      </c>
      <c r="E719">
        <f>YEAR(A719)</f>
        <v>2014</v>
      </c>
      <c r="F719" s="33">
        <f>DATE(YEAR(A719),MONTH(A719),1)</f>
        <v>41730.0</v>
      </c>
      <c r="G719" t="str">
        <f>CHOOSE(WEEKDAY(A719,2),"Mon","Tue","Wed","Thu","Fri","Sat","Sun")</f>
        <v>Wed</v>
      </c>
      <c r="H719" t="str">
        <f>IF(WEEKDAY(A719,2)&gt;5,"Weekend","Weekday")</f>
        <v>Weekday</v>
      </c>
      <c r="I719" t="str">
        <f>_xlfn.IFS(B719&lt;=5,"Night (0-5)",B719&lt;=9,"Morning peak (6-9)",B719&lt;=15,"Midday (10-15)",B719&lt;=19,"Evening peak (16-19)",TRUE,"Late evening (20-23)")</f>
        <v>Late evening (20-23)</v>
      </c>
    </row>
    <row r="720" spans="1:9">
      <c r="A720" s="32">
        <v>41759</v>
      </c>
      <c r="B720">
        <v>22</v>
      </c>
      <c r="C720">
        <v>1778</v>
      </c>
      <c r="D720" t="s">
        <v>303</v>
      </c>
      <c r="E720">
        <f>YEAR(A720)</f>
        <v>2014</v>
      </c>
      <c r="F720" s="33">
        <f>DATE(YEAR(A720),MONTH(A720),1)</f>
        <v>41730.0</v>
      </c>
      <c r="G720" t="str">
        <f>CHOOSE(WEEKDAY(A720,2),"Mon","Tue","Wed","Thu","Fri","Sat","Sun")</f>
        <v>Wed</v>
      </c>
      <c r="H720" t="str">
        <f>IF(WEEKDAY(A720,2)&gt;5,"Weekend","Weekday")</f>
        <v>Weekday</v>
      </c>
      <c r="I720" t="str">
        <f>_xlfn.IFS(B720&lt;=5,"Night (0-5)",B720&lt;=9,"Morning peak (6-9)",B720&lt;=15,"Midday (10-15)",B720&lt;=19,"Evening peak (16-19)",TRUE,"Late evening (20-23)")</f>
        <v>Late evening (20-23)</v>
      </c>
    </row>
    <row r="721" spans="1:9">
      <c r="A721" s="32">
        <v>41759</v>
      </c>
      <c r="B721">
        <v>23</v>
      </c>
      <c r="C721">
        <v>895</v>
      </c>
      <c r="D721" t="s">
        <v>303</v>
      </c>
      <c r="E721">
        <f>YEAR(A721)</f>
        <v>2014</v>
      </c>
      <c r="F721" s="33">
        <f>DATE(YEAR(A721),MONTH(A721),1)</f>
        <v>41730.0</v>
      </c>
      <c r="G721" t="str">
        <f>CHOOSE(WEEKDAY(A721,2),"Mon","Tue","Wed","Thu","Fri","Sat","Sun")</f>
        <v>Wed</v>
      </c>
      <c r="H721" t="str">
        <f>IF(WEEKDAY(A721,2)&gt;5,"Weekend","Weekday")</f>
        <v>Weekday</v>
      </c>
      <c r="I721" t="str">
        <f>_xlfn.IFS(B721&lt;=5,"Night (0-5)",B721&lt;=9,"Morning peak (6-9)",B721&lt;=15,"Midday (10-15)",B721&lt;=19,"Evening peak (16-19)",TRUE,"Late evening (20-23)")</f>
        <v>Late evening (20-23)</v>
      </c>
    </row>
    <row r="722" spans="1:9">
      <c r="A722" s="32">
        <v>41760</v>
      </c>
      <c r="B722">
        <v>0</v>
      </c>
      <c r="C722">
        <v>348</v>
      </c>
      <c r="D722" t="s">
        <v>303</v>
      </c>
      <c r="E722">
        <f>YEAR(A722)</f>
        <v>2014</v>
      </c>
      <c r="F722" s="33">
        <f>DATE(YEAR(A722),MONTH(A722),1)</f>
        <v>41760.0</v>
      </c>
      <c r="G722" t="str">
        <f>CHOOSE(WEEKDAY(A722,2),"Mon","Tue","Wed","Thu","Fri","Sat","Sun")</f>
        <v>Thu</v>
      </c>
      <c r="H722" t="str">
        <f>IF(WEEKDAY(A722,2)&gt;5,"Weekend","Weekday")</f>
        <v>Weekday</v>
      </c>
      <c r="I722" t="str">
        <f>_xlfn.IFS(B722&lt;=5,"Night (0-5)",B722&lt;=9,"Morning peak (6-9)",B722&lt;=15,"Midday (10-15)",B722&lt;=19,"Evening peak (16-19)",TRUE,"Late evening (20-23)")</f>
        <v>Night (0-5)</v>
      </c>
    </row>
    <row r="723" spans="1:9">
      <c r="A723" s="32">
        <v>41760</v>
      </c>
      <c r="B723">
        <v>1</v>
      </c>
      <c r="C723">
        <v>179</v>
      </c>
      <c r="D723" t="s">
        <v>303</v>
      </c>
      <c r="E723">
        <f>YEAR(A723)</f>
        <v>2014</v>
      </c>
      <c r="F723" s="33">
        <f>DATE(YEAR(A723),MONTH(A723),1)</f>
        <v>41760.0</v>
      </c>
      <c r="G723" t="str">
        <f>CHOOSE(WEEKDAY(A723,2),"Mon","Tue","Wed","Thu","Fri","Sat","Sun")</f>
        <v>Thu</v>
      </c>
      <c r="H723" t="str">
        <f>IF(WEEKDAY(A723,2)&gt;5,"Weekend","Weekday")</f>
        <v>Weekday</v>
      </c>
      <c r="I723" t="str">
        <f>_xlfn.IFS(B723&lt;=5,"Night (0-5)",B723&lt;=9,"Morning peak (6-9)",B723&lt;=15,"Midday (10-15)",B723&lt;=19,"Evening peak (16-19)",TRUE,"Late evening (20-23)")</f>
        <v>Night (0-5)</v>
      </c>
    </row>
    <row r="724" spans="1:9">
      <c r="A724" s="32">
        <v>41760</v>
      </c>
      <c r="B724">
        <v>2</v>
      </c>
      <c r="C724">
        <v>101</v>
      </c>
      <c r="D724" t="s">
        <v>303</v>
      </c>
      <c r="E724">
        <f>YEAR(A724)</f>
        <v>2014</v>
      </c>
      <c r="F724" s="33">
        <f>DATE(YEAR(A724),MONTH(A724),1)</f>
        <v>41760.0</v>
      </c>
      <c r="G724" t="str">
        <f>CHOOSE(WEEKDAY(A724,2),"Mon","Tue","Wed","Thu","Fri","Sat","Sun")</f>
        <v>Thu</v>
      </c>
      <c r="H724" t="str">
        <f>IF(WEEKDAY(A724,2)&gt;5,"Weekend","Weekday")</f>
        <v>Weekday</v>
      </c>
      <c r="I724" t="str">
        <f>_xlfn.IFS(B724&lt;=5,"Night (0-5)",B724&lt;=9,"Morning peak (6-9)",B724&lt;=15,"Midday (10-15)",B724&lt;=19,"Evening peak (16-19)",TRUE,"Late evening (20-23)")</f>
        <v>Night (0-5)</v>
      </c>
    </row>
    <row r="725" spans="1:9">
      <c r="A725" s="32">
        <v>41760</v>
      </c>
      <c r="B725">
        <v>3</v>
      </c>
      <c r="C725">
        <v>172</v>
      </c>
      <c r="D725" t="s">
        <v>303</v>
      </c>
      <c r="E725">
        <f>YEAR(A725)</f>
        <v>2014</v>
      </c>
      <c r="F725" s="33">
        <f>DATE(YEAR(A725),MONTH(A725),1)</f>
        <v>41760.0</v>
      </c>
      <c r="G725" t="str">
        <f>CHOOSE(WEEKDAY(A725,2),"Mon","Tue","Wed","Thu","Fri","Sat","Sun")</f>
        <v>Thu</v>
      </c>
      <c r="H725" t="str">
        <f>IF(WEEKDAY(A725,2)&gt;5,"Weekend","Weekday")</f>
        <v>Weekday</v>
      </c>
      <c r="I725" t="str">
        <f>_xlfn.IFS(B725&lt;=5,"Night (0-5)",B725&lt;=9,"Morning peak (6-9)",B725&lt;=15,"Midday (10-15)",B725&lt;=19,"Evening peak (16-19)",TRUE,"Late evening (20-23)")</f>
        <v>Night (0-5)</v>
      </c>
    </row>
    <row r="726" spans="1:9">
      <c r="A726" s="32">
        <v>41760</v>
      </c>
      <c r="B726">
        <v>4</v>
      </c>
      <c r="C726">
        <v>241</v>
      </c>
      <c r="D726" t="s">
        <v>303</v>
      </c>
      <c r="E726">
        <f>YEAR(A726)</f>
        <v>2014</v>
      </c>
      <c r="F726" s="33">
        <f>DATE(YEAR(A726),MONTH(A726),1)</f>
        <v>41760.0</v>
      </c>
      <c r="G726" t="str">
        <f>CHOOSE(WEEKDAY(A726,2),"Mon","Tue","Wed","Thu","Fri","Sat","Sun")</f>
        <v>Thu</v>
      </c>
      <c r="H726" t="str">
        <f>IF(WEEKDAY(A726,2)&gt;5,"Weekend","Weekday")</f>
        <v>Weekday</v>
      </c>
      <c r="I726" t="str">
        <f>_xlfn.IFS(B726&lt;=5,"Night (0-5)",B726&lt;=9,"Morning peak (6-9)",B726&lt;=15,"Midday (10-15)",B726&lt;=19,"Evening peak (16-19)",TRUE,"Late evening (20-23)")</f>
        <v>Night (0-5)</v>
      </c>
    </row>
    <row r="727" spans="1:9">
      <c r="A727" s="32">
        <v>41760</v>
      </c>
      <c r="B727">
        <v>5</v>
      </c>
      <c r="C727">
        <v>438</v>
      </c>
      <c r="D727" t="s">
        <v>303</v>
      </c>
      <c r="E727">
        <f>YEAR(A727)</f>
        <v>2014</v>
      </c>
      <c r="F727" s="33">
        <f>DATE(YEAR(A727),MONTH(A727),1)</f>
        <v>41760.0</v>
      </c>
      <c r="G727" t="str">
        <f>CHOOSE(WEEKDAY(A727,2),"Mon","Tue","Wed","Thu","Fri","Sat","Sun")</f>
        <v>Thu</v>
      </c>
      <c r="H727" t="str">
        <f>IF(WEEKDAY(A727,2)&gt;5,"Weekend","Weekday")</f>
        <v>Weekday</v>
      </c>
      <c r="I727" t="str">
        <f>_xlfn.IFS(B727&lt;=5,"Night (0-5)",B727&lt;=9,"Morning peak (6-9)",B727&lt;=15,"Midday (10-15)",B727&lt;=19,"Evening peak (16-19)",TRUE,"Late evening (20-23)")</f>
        <v>Night (0-5)</v>
      </c>
    </row>
    <row r="728" spans="1:9">
      <c r="A728" s="32">
        <v>41760</v>
      </c>
      <c r="B728">
        <v>6</v>
      </c>
      <c r="C728">
        <v>822</v>
      </c>
      <c r="D728" t="s">
        <v>303</v>
      </c>
      <c r="E728">
        <f>YEAR(A728)</f>
        <v>2014</v>
      </c>
      <c r="F728" s="33">
        <f>DATE(YEAR(A728),MONTH(A728),1)</f>
        <v>41760.0</v>
      </c>
      <c r="G728" t="str">
        <f>CHOOSE(WEEKDAY(A728,2),"Mon","Tue","Wed","Thu","Fri","Sat","Sun")</f>
        <v>Thu</v>
      </c>
      <c r="H728" t="str">
        <f>IF(WEEKDAY(A728,2)&gt;5,"Weekend","Weekday")</f>
        <v>Weekday</v>
      </c>
      <c r="I728" t="str">
        <f>_xlfn.IFS(B728&lt;=5,"Night (0-5)",B728&lt;=9,"Morning peak (6-9)",B728&lt;=15,"Midday (10-15)",B728&lt;=19,"Evening peak (16-19)",TRUE,"Late evening (20-23)")</f>
        <v>Morning peak (6-9)</v>
      </c>
    </row>
    <row r="729" spans="1:9">
      <c r="A729" s="32">
        <v>41760</v>
      </c>
      <c r="B729">
        <v>7</v>
      </c>
      <c r="C729">
        <v>1274</v>
      </c>
      <c r="D729" t="s">
        <v>303</v>
      </c>
      <c r="E729">
        <f>YEAR(A729)</f>
        <v>2014</v>
      </c>
      <c r="F729" s="33">
        <f>DATE(YEAR(A729),MONTH(A729),1)</f>
        <v>41760.0</v>
      </c>
      <c r="G729" t="str">
        <f>CHOOSE(WEEKDAY(A729,2),"Mon","Tue","Wed","Thu","Fri","Sat","Sun")</f>
        <v>Thu</v>
      </c>
      <c r="H729" t="str">
        <f>IF(WEEKDAY(A729,2)&gt;5,"Weekend","Weekday")</f>
        <v>Weekday</v>
      </c>
      <c r="I729" t="str">
        <f>_xlfn.IFS(B729&lt;=5,"Night (0-5)",B729&lt;=9,"Morning peak (6-9)",B729&lt;=15,"Midday (10-15)",B729&lt;=19,"Evening peak (16-19)",TRUE,"Late evening (20-23)")</f>
        <v>Morning peak (6-9)</v>
      </c>
    </row>
    <row r="730" spans="1:9">
      <c r="A730" s="32">
        <v>41760</v>
      </c>
      <c r="B730">
        <v>8</v>
      </c>
      <c r="C730">
        <v>1237</v>
      </c>
      <c r="D730" t="s">
        <v>303</v>
      </c>
      <c r="E730">
        <f>YEAR(A730)</f>
        <v>2014</v>
      </c>
      <c r="F730" s="33">
        <f>DATE(YEAR(A730),MONTH(A730),1)</f>
        <v>41760.0</v>
      </c>
      <c r="G730" t="str">
        <f>CHOOSE(WEEKDAY(A730,2),"Mon","Tue","Wed","Thu","Fri","Sat","Sun")</f>
        <v>Thu</v>
      </c>
      <c r="H730" t="str">
        <f>IF(WEEKDAY(A730,2)&gt;5,"Weekend","Weekday")</f>
        <v>Weekday</v>
      </c>
      <c r="I730" t="str">
        <f>_xlfn.IFS(B730&lt;=5,"Night (0-5)",B730&lt;=9,"Morning peak (6-9)",B730&lt;=15,"Midday (10-15)",B730&lt;=19,"Evening peak (16-19)",TRUE,"Late evening (20-23)")</f>
        <v>Morning peak (6-9)</v>
      </c>
    </row>
    <row r="731" spans="1:9">
      <c r="A731" s="32">
        <v>41760</v>
      </c>
      <c r="B731">
        <v>9</v>
      </c>
      <c r="C731">
        <v>853</v>
      </c>
      <c r="D731" t="s">
        <v>303</v>
      </c>
      <c r="E731">
        <f>YEAR(A731)</f>
        <v>2014</v>
      </c>
      <c r="F731" s="33">
        <f>DATE(YEAR(A731),MONTH(A731),1)</f>
        <v>41760.0</v>
      </c>
      <c r="G731" t="str">
        <f>CHOOSE(WEEKDAY(A731,2),"Mon","Tue","Wed","Thu","Fri","Sat","Sun")</f>
        <v>Thu</v>
      </c>
      <c r="H731" t="str">
        <f>IF(WEEKDAY(A731,2)&gt;5,"Weekend","Weekday")</f>
        <v>Weekday</v>
      </c>
      <c r="I731" t="str">
        <f>_xlfn.IFS(B731&lt;=5,"Night (0-5)",B731&lt;=9,"Morning peak (6-9)",B731&lt;=15,"Midday (10-15)",B731&lt;=19,"Evening peak (16-19)",TRUE,"Late evening (20-23)")</f>
        <v>Morning peak (6-9)</v>
      </c>
    </row>
    <row r="732" spans="1:9">
      <c r="A732" s="32">
        <v>41760</v>
      </c>
      <c r="B732">
        <v>10</v>
      </c>
      <c r="C732">
        <v>771</v>
      </c>
      <c r="D732" t="s">
        <v>303</v>
      </c>
      <c r="E732">
        <f>YEAR(A732)</f>
        <v>2014</v>
      </c>
      <c r="F732" s="33">
        <f>DATE(YEAR(A732),MONTH(A732),1)</f>
        <v>41760.0</v>
      </c>
      <c r="G732" t="str">
        <f>CHOOSE(WEEKDAY(A732,2),"Mon","Tue","Wed","Thu","Fri","Sat","Sun")</f>
        <v>Thu</v>
      </c>
      <c r="H732" t="str">
        <f>IF(WEEKDAY(A732,2)&gt;5,"Weekend","Weekday")</f>
        <v>Weekday</v>
      </c>
      <c r="I732" t="str">
        <f>_xlfn.IFS(B732&lt;=5,"Night (0-5)",B732&lt;=9,"Morning peak (6-9)",B732&lt;=15,"Midday (10-15)",B732&lt;=19,"Evening peak (16-19)",TRUE,"Late evening (20-23)")</f>
        <v>Midday (10-15)</v>
      </c>
    </row>
    <row r="733" spans="1:9">
      <c r="A733" s="32">
        <v>41760</v>
      </c>
      <c r="B733">
        <v>11</v>
      </c>
      <c r="C733">
        <v>662</v>
      </c>
      <c r="D733" t="s">
        <v>303</v>
      </c>
      <c r="E733">
        <f>YEAR(A733)</f>
        <v>2014</v>
      </c>
      <c r="F733" s="33">
        <f>DATE(YEAR(A733),MONTH(A733),1)</f>
        <v>41760.0</v>
      </c>
      <c r="G733" t="str">
        <f>CHOOSE(WEEKDAY(A733,2),"Mon","Tue","Wed","Thu","Fri","Sat","Sun")</f>
        <v>Thu</v>
      </c>
      <c r="H733" t="str">
        <f>IF(WEEKDAY(A733,2)&gt;5,"Weekend","Weekday")</f>
        <v>Weekday</v>
      </c>
      <c r="I733" t="str">
        <f>_xlfn.IFS(B733&lt;=5,"Night (0-5)",B733&lt;=9,"Morning peak (6-9)",B733&lt;=15,"Midday (10-15)",B733&lt;=19,"Evening peak (16-19)",TRUE,"Late evening (20-23)")</f>
        <v>Midday (10-15)</v>
      </c>
    </row>
    <row r="734" spans="1:9">
      <c r="A734" s="32">
        <v>41760</v>
      </c>
      <c r="B734">
        <v>12</v>
      </c>
      <c r="C734">
        <v>716</v>
      </c>
      <c r="D734" t="s">
        <v>303</v>
      </c>
      <c r="E734">
        <f>YEAR(A734)</f>
        <v>2014</v>
      </c>
      <c r="F734" s="33">
        <f>DATE(YEAR(A734),MONTH(A734),1)</f>
        <v>41760.0</v>
      </c>
      <c r="G734" t="str">
        <f>CHOOSE(WEEKDAY(A734,2),"Mon","Tue","Wed","Thu","Fri","Sat","Sun")</f>
        <v>Thu</v>
      </c>
      <c r="H734" t="str">
        <f>IF(WEEKDAY(A734,2)&gt;5,"Weekend","Weekday")</f>
        <v>Weekday</v>
      </c>
      <c r="I734" t="str">
        <f>_xlfn.IFS(B734&lt;=5,"Night (0-5)",B734&lt;=9,"Morning peak (6-9)",B734&lt;=15,"Midday (10-15)",B734&lt;=19,"Evening peak (16-19)",TRUE,"Late evening (20-23)")</f>
        <v>Midday (10-15)</v>
      </c>
    </row>
    <row r="735" spans="1:9">
      <c r="A735" s="32">
        <v>41760</v>
      </c>
      <c r="B735">
        <v>13</v>
      </c>
      <c r="C735">
        <v>820</v>
      </c>
      <c r="D735" t="s">
        <v>303</v>
      </c>
      <c r="E735">
        <f>YEAR(A735)</f>
        <v>2014</v>
      </c>
      <c r="F735" s="33">
        <f>DATE(YEAR(A735),MONTH(A735),1)</f>
        <v>41760.0</v>
      </c>
      <c r="G735" t="str">
        <f>CHOOSE(WEEKDAY(A735,2),"Mon","Tue","Wed","Thu","Fri","Sat","Sun")</f>
        <v>Thu</v>
      </c>
      <c r="H735" t="str">
        <f>IF(WEEKDAY(A735,2)&gt;5,"Weekend","Weekday")</f>
        <v>Weekday</v>
      </c>
      <c r="I735" t="str">
        <f>_xlfn.IFS(B735&lt;=5,"Night (0-5)",B735&lt;=9,"Morning peak (6-9)",B735&lt;=15,"Midday (10-15)",B735&lt;=19,"Evening peak (16-19)",TRUE,"Late evening (20-23)")</f>
        <v>Midday (10-15)</v>
      </c>
    </row>
    <row r="736" spans="1:9">
      <c r="A736" s="32">
        <v>41760</v>
      </c>
      <c r="B736">
        <v>14</v>
      </c>
      <c r="C736">
        <v>1060</v>
      </c>
      <c r="D736" t="s">
        <v>303</v>
      </c>
      <c r="E736">
        <f>YEAR(A736)</f>
        <v>2014</v>
      </c>
      <c r="F736" s="33">
        <f>DATE(YEAR(A736),MONTH(A736),1)</f>
        <v>41760.0</v>
      </c>
      <c r="G736" t="str">
        <f>CHOOSE(WEEKDAY(A736,2),"Mon","Tue","Wed","Thu","Fri","Sat","Sun")</f>
        <v>Thu</v>
      </c>
      <c r="H736" t="str">
        <f>IF(WEEKDAY(A736,2)&gt;5,"Weekend","Weekday")</f>
        <v>Weekday</v>
      </c>
      <c r="I736" t="str">
        <f>_xlfn.IFS(B736&lt;=5,"Night (0-5)",B736&lt;=9,"Morning peak (6-9)",B736&lt;=15,"Midday (10-15)",B736&lt;=19,"Evening peak (16-19)",TRUE,"Late evening (20-23)")</f>
        <v>Midday (10-15)</v>
      </c>
    </row>
    <row r="737" spans="1:9">
      <c r="A737" s="32">
        <v>41760</v>
      </c>
      <c r="B737">
        <v>15</v>
      </c>
      <c r="C737">
        <v>1348</v>
      </c>
      <c r="D737" t="s">
        <v>303</v>
      </c>
      <c r="E737">
        <f>YEAR(A737)</f>
        <v>2014</v>
      </c>
      <c r="F737" s="33">
        <f>DATE(YEAR(A737),MONTH(A737),1)</f>
        <v>41760.0</v>
      </c>
      <c r="G737" t="str">
        <f>CHOOSE(WEEKDAY(A737,2),"Mon","Tue","Wed","Thu","Fri","Sat","Sun")</f>
        <v>Thu</v>
      </c>
      <c r="H737" t="str">
        <f>IF(WEEKDAY(A737,2)&gt;5,"Weekend","Weekday")</f>
        <v>Weekday</v>
      </c>
      <c r="I737" t="str">
        <f>_xlfn.IFS(B737&lt;=5,"Night (0-5)",B737&lt;=9,"Morning peak (6-9)",B737&lt;=15,"Midday (10-15)",B737&lt;=19,"Evening peak (16-19)",TRUE,"Late evening (20-23)")</f>
        <v>Midday (10-15)</v>
      </c>
    </row>
    <row r="738" spans="1:9">
      <c r="A738" s="32">
        <v>41760</v>
      </c>
      <c r="B738">
        <v>16</v>
      </c>
      <c r="C738">
        <v>1584</v>
      </c>
      <c r="D738" t="s">
        <v>303</v>
      </c>
      <c r="E738">
        <f>YEAR(A738)</f>
        <v>2014</v>
      </c>
      <c r="F738" s="33">
        <f>DATE(YEAR(A738),MONTH(A738),1)</f>
        <v>41760.0</v>
      </c>
      <c r="G738" t="str">
        <f>CHOOSE(WEEKDAY(A738,2),"Mon","Tue","Wed","Thu","Fri","Sat","Sun")</f>
        <v>Thu</v>
      </c>
      <c r="H738" t="str">
        <f>IF(WEEKDAY(A738,2)&gt;5,"Weekend","Weekday")</f>
        <v>Weekday</v>
      </c>
      <c r="I738" t="str">
        <f>_xlfn.IFS(B738&lt;=5,"Night (0-5)",B738&lt;=9,"Morning peak (6-9)",B738&lt;=15,"Midday (10-15)",B738&lt;=19,"Evening peak (16-19)",TRUE,"Late evening (20-23)")</f>
        <v>Evening peak (16-19)</v>
      </c>
    </row>
    <row r="739" spans="1:9">
      <c r="A739" s="32">
        <v>41760</v>
      </c>
      <c r="B739">
        <v>17</v>
      </c>
      <c r="C739">
        <v>1845</v>
      </c>
      <c r="D739" t="s">
        <v>303</v>
      </c>
      <c r="E739">
        <f>YEAR(A739)</f>
        <v>2014</v>
      </c>
      <c r="F739" s="33">
        <f>DATE(YEAR(A739),MONTH(A739),1)</f>
        <v>41760.0</v>
      </c>
      <c r="G739" t="str">
        <f>CHOOSE(WEEKDAY(A739,2),"Mon","Tue","Wed","Thu","Fri","Sat","Sun")</f>
        <v>Thu</v>
      </c>
      <c r="H739" t="str">
        <f>IF(WEEKDAY(A739,2)&gt;5,"Weekend","Weekday")</f>
        <v>Weekday</v>
      </c>
      <c r="I739" t="str">
        <f>_xlfn.IFS(B739&lt;=5,"Night (0-5)",B739&lt;=9,"Morning peak (6-9)",B739&lt;=15,"Midday (10-15)",B739&lt;=19,"Evening peak (16-19)",TRUE,"Late evening (20-23)")</f>
        <v>Evening peak (16-19)</v>
      </c>
    </row>
    <row r="740" spans="1:9">
      <c r="A740" s="32">
        <v>41760</v>
      </c>
      <c r="B740">
        <v>18</v>
      </c>
      <c r="C740">
        <v>1710</v>
      </c>
      <c r="D740" t="s">
        <v>303</v>
      </c>
      <c r="E740">
        <f>YEAR(A740)</f>
        <v>2014</v>
      </c>
      <c r="F740" s="33">
        <f>DATE(YEAR(A740),MONTH(A740),1)</f>
        <v>41760.0</v>
      </c>
      <c r="G740" t="str">
        <f>CHOOSE(WEEKDAY(A740,2),"Mon","Tue","Wed","Thu","Fri","Sat","Sun")</f>
        <v>Thu</v>
      </c>
      <c r="H740" t="str">
        <f>IF(WEEKDAY(A740,2)&gt;5,"Weekend","Weekday")</f>
        <v>Weekday</v>
      </c>
      <c r="I740" t="str">
        <f>_xlfn.IFS(B740&lt;=5,"Night (0-5)",B740&lt;=9,"Morning peak (6-9)",B740&lt;=15,"Midday (10-15)",B740&lt;=19,"Evening peak (16-19)",TRUE,"Late evening (20-23)")</f>
        <v>Evening peak (16-19)</v>
      </c>
    </row>
    <row r="741" spans="1:9">
      <c r="A741" s="32">
        <v>41760</v>
      </c>
      <c r="B741">
        <v>19</v>
      </c>
      <c r="C741">
        <v>1584</v>
      </c>
      <c r="D741" t="s">
        <v>303</v>
      </c>
      <c r="E741">
        <f>YEAR(A741)</f>
        <v>2014</v>
      </c>
      <c r="F741" s="33">
        <f>DATE(YEAR(A741),MONTH(A741),1)</f>
        <v>41760.0</v>
      </c>
      <c r="G741" t="str">
        <f>CHOOSE(WEEKDAY(A741,2),"Mon","Tue","Wed","Thu","Fri","Sat","Sun")</f>
        <v>Thu</v>
      </c>
      <c r="H741" t="str">
        <f>IF(WEEKDAY(A741,2)&gt;5,"Weekend","Weekday")</f>
        <v>Weekday</v>
      </c>
      <c r="I741" t="str">
        <f>_xlfn.IFS(B741&lt;=5,"Night (0-5)",B741&lt;=9,"Morning peak (6-9)",B741&lt;=15,"Midday (10-15)",B741&lt;=19,"Evening peak (16-19)",TRUE,"Late evening (20-23)")</f>
        <v>Evening peak (16-19)</v>
      </c>
    </row>
    <row r="742" spans="1:9">
      <c r="A742" s="32">
        <v>41760</v>
      </c>
      <c r="B742">
        <v>20</v>
      </c>
      <c r="C742">
        <v>1546</v>
      </c>
      <c r="D742" t="s">
        <v>303</v>
      </c>
      <c r="E742">
        <f>YEAR(A742)</f>
        <v>2014</v>
      </c>
      <c r="F742" s="33">
        <f>DATE(YEAR(A742),MONTH(A742),1)</f>
        <v>41760.0</v>
      </c>
      <c r="G742" t="str">
        <f>CHOOSE(WEEKDAY(A742,2),"Mon","Tue","Wed","Thu","Fri","Sat","Sun")</f>
        <v>Thu</v>
      </c>
      <c r="H742" t="str">
        <f>IF(WEEKDAY(A742,2)&gt;5,"Weekend","Weekday")</f>
        <v>Weekday</v>
      </c>
      <c r="I742" t="str">
        <f>_xlfn.IFS(B742&lt;=5,"Night (0-5)",B742&lt;=9,"Morning peak (6-9)",B742&lt;=15,"Midday (10-15)",B742&lt;=19,"Evening peak (16-19)",TRUE,"Late evening (20-23)")</f>
        <v>Late evening (20-23)</v>
      </c>
    </row>
    <row r="743" spans="1:9">
      <c r="A743" s="32">
        <v>41760</v>
      </c>
      <c r="B743">
        <v>21</v>
      </c>
      <c r="C743">
        <v>1880</v>
      </c>
      <c r="D743" t="s">
        <v>303</v>
      </c>
      <c r="E743">
        <f>YEAR(A743)</f>
        <v>2014</v>
      </c>
      <c r="F743" s="33">
        <f>DATE(YEAR(A743),MONTH(A743),1)</f>
        <v>41760.0</v>
      </c>
      <c r="G743" t="str">
        <f>CHOOSE(WEEKDAY(A743,2),"Mon","Tue","Wed","Thu","Fri","Sat","Sun")</f>
        <v>Thu</v>
      </c>
      <c r="H743" t="str">
        <f>IF(WEEKDAY(A743,2)&gt;5,"Weekend","Weekday")</f>
        <v>Weekday</v>
      </c>
      <c r="I743" t="str">
        <f>_xlfn.IFS(B743&lt;=5,"Night (0-5)",B743&lt;=9,"Morning peak (6-9)",B743&lt;=15,"Midday (10-15)",B743&lt;=19,"Evening peak (16-19)",TRUE,"Late evening (20-23)")</f>
        <v>Late evening (20-23)</v>
      </c>
    </row>
    <row r="744" spans="1:9">
      <c r="A744" s="32">
        <v>41760</v>
      </c>
      <c r="B744">
        <v>22</v>
      </c>
      <c r="C744">
        <v>1403</v>
      </c>
      <c r="D744" t="s">
        <v>303</v>
      </c>
      <c r="E744">
        <f>YEAR(A744)</f>
        <v>2014</v>
      </c>
      <c r="F744" s="33">
        <f>DATE(YEAR(A744),MONTH(A744),1)</f>
        <v>41760.0</v>
      </c>
      <c r="G744" t="str">
        <f>CHOOSE(WEEKDAY(A744,2),"Mon","Tue","Wed","Thu","Fri","Sat","Sun")</f>
        <v>Thu</v>
      </c>
      <c r="H744" t="str">
        <f>IF(WEEKDAY(A744,2)&gt;5,"Weekend","Weekday")</f>
        <v>Weekday</v>
      </c>
      <c r="I744" t="str">
        <f>_xlfn.IFS(B744&lt;=5,"Night (0-5)",B744&lt;=9,"Morning peak (6-9)",B744&lt;=15,"Midday (10-15)",B744&lt;=19,"Evening peak (16-19)",TRUE,"Late evening (20-23)")</f>
        <v>Late evening (20-23)</v>
      </c>
    </row>
    <row r="745" spans="1:9">
      <c r="A745" s="32">
        <v>41760</v>
      </c>
      <c r="B745">
        <v>23</v>
      </c>
      <c r="C745">
        <v>781</v>
      </c>
      <c r="D745" t="s">
        <v>303</v>
      </c>
      <c r="E745">
        <f>YEAR(A745)</f>
        <v>2014</v>
      </c>
      <c r="F745" s="33">
        <f>DATE(YEAR(A745),MONTH(A745),1)</f>
        <v>41760.0</v>
      </c>
      <c r="G745" t="str">
        <f>CHOOSE(WEEKDAY(A745,2),"Mon","Tue","Wed","Thu","Fri","Sat","Sun")</f>
        <v>Thu</v>
      </c>
      <c r="H745" t="str">
        <f>IF(WEEKDAY(A745,2)&gt;5,"Weekend","Weekday")</f>
        <v>Weekday</v>
      </c>
      <c r="I745" t="str">
        <f>_xlfn.IFS(B745&lt;=5,"Night (0-5)",B745&lt;=9,"Morning peak (6-9)",B745&lt;=15,"Midday (10-15)",B745&lt;=19,"Evening peak (16-19)",TRUE,"Late evening (20-23)")</f>
        <v>Late evening (20-23)</v>
      </c>
    </row>
    <row r="746" spans="1:9">
      <c r="A746" s="32">
        <v>41761</v>
      </c>
      <c r="B746">
        <v>0</v>
      </c>
      <c r="C746">
        <v>357</v>
      </c>
      <c r="D746" t="s">
        <v>303</v>
      </c>
      <c r="E746">
        <f>YEAR(A746)</f>
        <v>2014</v>
      </c>
      <c r="F746" s="33">
        <f>DATE(YEAR(A746),MONTH(A746),1)</f>
        <v>41760.0</v>
      </c>
      <c r="G746" t="str">
        <f>CHOOSE(WEEKDAY(A746,2),"Mon","Tue","Wed","Thu","Fri","Sat","Sun")</f>
        <v>Fri</v>
      </c>
      <c r="H746" t="str">
        <f>IF(WEEKDAY(A746,2)&gt;5,"Weekend","Weekday")</f>
        <v>Weekday</v>
      </c>
      <c r="I746" t="str">
        <f>_xlfn.IFS(B746&lt;=5,"Night (0-5)",B746&lt;=9,"Morning peak (6-9)",B746&lt;=15,"Midday (10-15)",B746&lt;=19,"Evening peak (16-19)",TRUE,"Late evening (20-23)")</f>
        <v>Night (0-5)</v>
      </c>
    </row>
    <row r="747" spans="1:9">
      <c r="A747" s="32">
        <v>41761</v>
      </c>
      <c r="B747">
        <v>1</v>
      </c>
      <c r="C747">
        <v>199</v>
      </c>
      <c r="D747" t="s">
        <v>303</v>
      </c>
      <c r="E747">
        <f>YEAR(A747)</f>
        <v>2014</v>
      </c>
      <c r="F747" s="33">
        <f>DATE(YEAR(A747),MONTH(A747),1)</f>
        <v>41760.0</v>
      </c>
      <c r="G747" t="str">
        <f>CHOOSE(WEEKDAY(A747,2),"Mon","Tue","Wed","Thu","Fri","Sat","Sun")</f>
        <v>Fri</v>
      </c>
      <c r="H747" t="str">
        <f>IF(WEEKDAY(A747,2)&gt;5,"Weekend","Weekday")</f>
        <v>Weekday</v>
      </c>
      <c r="I747" t="str">
        <f>_xlfn.IFS(B747&lt;=5,"Night (0-5)",B747&lt;=9,"Morning peak (6-9)",B747&lt;=15,"Midday (10-15)",B747&lt;=19,"Evening peak (16-19)",TRUE,"Late evening (20-23)")</f>
        <v>Night (0-5)</v>
      </c>
    </row>
    <row r="748" spans="1:9">
      <c r="A748" s="32">
        <v>41761</v>
      </c>
      <c r="B748">
        <v>2</v>
      </c>
      <c r="C748">
        <v>139</v>
      </c>
      <c r="D748" t="s">
        <v>303</v>
      </c>
      <c r="E748">
        <f>YEAR(A748)</f>
        <v>2014</v>
      </c>
      <c r="F748" s="33">
        <f>DATE(YEAR(A748),MONTH(A748),1)</f>
        <v>41760.0</v>
      </c>
      <c r="G748" t="str">
        <f>CHOOSE(WEEKDAY(A748,2),"Mon","Tue","Wed","Thu","Fri","Sat","Sun")</f>
        <v>Fri</v>
      </c>
      <c r="H748" t="str">
        <f>IF(WEEKDAY(A748,2)&gt;5,"Weekend","Weekday")</f>
        <v>Weekday</v>
      </c>
      <c r="I748" t="str">
        <f>_xlfn.IFS(B748&lt;=5,"Night (0-5)",B748&lt;=9,"Morning peak (6-9)",B748&lt;=15,"Midday (10-15)",B748&lt;=19,"Evening peak (16-19)",TRUE,"Late evening (20-23)")</f>
        <v>Night (0-5)</v>
      </c>
    </row>
    <row r="749" spans="1:9">
      <c r="A749" s="32">
        <v>41761</v>
      </c>
      <c r="B749">
        <v>3</v>
      </c>
      <c r="C749">
        <v>183</v>
      </c>
      <c r="D749" t="s">
        <v>303</v>
      </c>
      <c r="E749">
        <f>YEAR(A749)</f>
        <v>2014</v>
      </c>
      <c r="F749" s="33">
        <f>DATE(YEAR(A749),MONTH(A749),1)</f>
        <v>41760.0</v>
      </c>
      <c r="G749" t="str">
        <f>CHOOSE(WEEKDAY(A749,2),"Mon","Tue","Wed","Thu","Fri","Sat","Sun")</f>
        <v>Fri</v>
      </c>
      <c r="H749" t="str">
        <f>IF(WEEKDAY(A749,2)&gt;5,"Weekend","Weekday")</f>
        <v>Weekday</v>
      </c>
      <c r="I749" t="str">
        <f>_xlfn.IFS(B749&lt;=5,"Night (0-5)",B749&lt;=9,"Morning peak (6-9)",B749&lt;=15,"Midday (10-15)",B749&lt;=19,"Evening peak (16-19)",TRUE,"Late evening (20-23)")</f>
        <v>Night (0-5)</v>
      </c>
    </row>
    <row r="750" spans="1:9">
      <c r="A750" s="32">
        <v>41761</v>
      </c>
      <c r="B750">
        <v>4</v>
      </c>
      <c r="C750">
        <v>215</v>
      </c>
      <c r="D750" t="s">
        <v>303</v>
      </c>
      <c r="E750">
        <f>YEAR(A750)</f>
        <v>2014</v>
      </c>
      <c r="F750" s="33">
        <f>DATE(YEAR(A750),MONTH(A750),1)</f>
        <v>41760.0</v>
      </c>
      <c r="G750" t="str">
        <f>CHOOSE(WEEKDAY(A750,2),"Mon","Tue","Wed","Thu","Fri","Sat","Sun")</f>
        <v>Fri</v>
      </c>
      <c r="H750" t="str">
        <f>IF(WEEKDAY(A750,2)&gt;5,"Weekend","Weekday")</f>
        <v>Weekday</v>
      </c>
      <c r="I750" t="str">
        <f>_xlfn.IFS(B750&lt;=5,"Night (0-5)",B750&lt;=9,"Morning peak (6-9)",B750&lt;=15,"Midday (10-15)",B750&lt;=19,"Evening peak (16-19)",TRUE,"Late evening (20-23)")</f>
        <v>Night (0-5)</v>
      </c>
    </row>
    <row r="751" spans="1:9">
      <c r="A751" s="32">
        <v>41761</v>
      </c>
      <c r="B751">
        <v>5</v>
      </c>
      <c r="C751">
        <v>359</v>
      </c>
      <c r="D751" t="s">
        <v>303</v>
      </c>
      <c r="E751">
        <f>YEAR(A751)</f>
        <v>2014</v>
      </c>
      <c r="F751" s="33">
        <f>DATE(YEAR(A751),MONTH(A751),1)</f>
        <v>41760.0</v>
      </c>
      <c r="G751" t="str">
        <f>CHOOSE(WEEKDAY(A751,2),"Mon","Tue","Wed","Thu","Fri","Sat","Sun")</f>
        <v>Fri</v>
      </c>
      <c r="H751" t="str">
        <f>IF(WEEKDAY(A751,2)&gt;5,"Weekend","Weekday")</f>
        <v>Weekday</v>
      </c>
      <c r="I751" t="str">
        <f>_xlfn.IFS(B751&lt;=5,"Night (0-5)",B751&lt;=9,"Morning peak (6-9)",B751&lt;=15,"Midday (10-15)",B751&lt;=19,"Evening peak (16-19)",TRUE,"Late evening (20-23)")</f>
        <v>Night (0-5)</v>
      </c>
    </row>
    <row r="752" spans="1:9">
      <c r="A752" s="32">
        <v>41761</v>
      </c>
      <c r="B752">
        <v>6</v>
      </c>
      <c r="C752">
        <v>806</v>
      </c>
      <c r="D752" t="s">
        <v>303</v>
      </c>
      <c r="E752">
        <f>YEAR(A752)</f>
        <v>2014</v>
      </c>
      <c r="F752" s="33">
        <f>DATE(YEAR(A752),MONTH(A752),1)</f>
        <v>41760.0</v>
      </c>
      <c r="G752" t="str">
        <f>CHOOSE(WEEKDAY(A752,2),"Mon","Tue","Wed","Thu","Fri","Sat","Sun")</f>
        <v>Fri</v>
      </c>
      <c r="H752" t="str">
        <f>IF(WEEKDAY(A752,2)&gt;5,"Weekend","Weekday")</f>
        <v>Weekday</v>
      </c>
      <c r="I752" t="str">
        <f>_xlfn.IFS(B752&lt;=5,"Night (0-5)",B752&lt;=9,"Morning peak (6-9)",B752&lt;=15,"Midday (10-15)",B752&lt;=19,"Evening peak (16-19)",TRUE,"Late evening (20-23)")</f>
        <v>Morning peak (6-9)</v>
      </c>
    </row>
    <row r="753" spans="1:9">
      <c r="A753" s="32">
        <v>41761</v>
      </c>
      <c r="B753">
        <v>7</v>
      </c>
      <c r="C753">
        <v>990</v>
      </c>
      <c r="D753" t="s">
        <v>303</v>
      </c>
      <c r="E753">
        <f>YEAR(A753)</f>
        <v>2014</v>
      </c>
      <c r="F753" s="33">
        <f>DATE(YEAR(A753),MONTH(A753),1)</f>
        <v>41760.0</v>
      </c>
      <c r="G753" t="str">
        <f>CHOOSE(WEEKDAY(A753,2),"Mon","Tue","Wed","Thu","Fri","Sat","Sun")</f>
        <v>Fri</v>
      </c>
      <c r="H753" t="str">
        <f>IF(WEEKDAY(A753,2)&gt;5,"Weekend","Weekday")</f>
        <v>Weekday</v>
      </c>
      <c r="I753" t="str">
        <f>_xlfn.IFS(B753&lt;=5,"Night (0-5)",B753&lt;=9,"Morning peak (6-9)",B753&lt;=15,"Midday (10-15)",B753&lt;=19,"Evening peak (16-19)",TRUE,"Late evening (20-23)")</f>
        <v>Morning peak (6-9)</v>
      </c>
    </row>
    <row r="754" spans="1:9">
      <c r="A754" s="32">
        <v>41761</v>
      </c>
      <c r="B754">
        <v>8</v>
      </c>
      <c r="C754">
        <v>912</v>
      </c>
      <c r="D754" t="s">
        <v>303</v>
      </c>
      <c r="E754">
        <f>YEAR(A754)</f>
        <v>2014</v>
      </c>
      <c r="F754" s="33">
        <f>DATE(YEAR(A754),MONTH(A754),1)</f>
        <v>41760.0</v>
      </c>
      <c r="G754" t="str">
        <f>CHOOSE(WEEKDAY(A754,2),"Mon","Tue","Wed","Thu","Fri","Sat","Sun")</f>
        <v>Fri</v>
      </c>
      <c r="H754" t="str">
        <f>IF(WEEKDAY(A754,2)&gt;5,"Weekend","Weekday")</f>
        <v>Weekday</v>
      </c>
      <c r="I754" t="str">
        <f>_xlfn.IFS(B754&lt;=5,"Night (0-5)",B754&lt;=9,"Morning peak (6-9)",B754&lt;=15,"Midday (10-15)",B754&lt;=19,"Evening peak (16-19)",TRUE,"Late evening (20-23)")</f>
        <v>Morning peak (6-9)</v>
      </c>
    </row>
    <row r="755" spans="1:9">
      <c r="A755" s="32">
        <v>41761</v>
      </c>
      <c r="B755">
        <v>9</v>
      </c>
      <c r="C755">
        <v>657</v>
      </c>
      <c r="D755" t="s">
        <v>303</v>
      </c>
      <c r="E755">
        <f>YEAR(A755)</f>
        <v>2014</v>
      </c>
      <c r="F755" s="33">
        <f>DATE(YEAR(A755),MONTH(A755),1)</f>
        <v>41760.0</v>
      </c>
      <c r="G755" t="str">
        <f>CHOOSE(WEEKDAY(A755,2),"Mon","Tue","Wed","Thu","Fri","Sat","Sun")</f>
        <v>Fri</v>
      </c>
      <c r="H755" t="str">
        <f>IF(WEEKDAY(A755,2)&gt;5,"Weekend","Weekday")</f>
        <v>Weekday</v>
      </c>
      <c r="I755" t="str">
        <f>_xlfn.IFS(B755&lt;=5,"Night (0-5)",B755&lt;=9,"Morning peak (6-9)",B755&lt;=15,"Midday (10-15)",B755&lt;=19,"Evening peak (16-19)",TRUE,"Late evening (20-23)")</f>
        <v>Morning peak (6-9)</v>
      </c>
    </row>
    <row r="756" spans="1:9">
      <c r="A756" s="32">
        <v>41761</v>
      </c>
      <c r="B756">
        <v>10</v>
      </c>
      <c r="C756">
        <v>727</v>
      </c>
      <c r="D756" t="s">
        <v>303</v>
      </c>
      <c r="E756">
        <f>YEAR(A756)</f>
        <v>2014</v>
      </c>
      <c r="F756" s="33">
        <f>DATE(YEAR(A756),MONTH(A756),1)</f>
        <v>41760.0</v>
      </c>
      <c r="G756" t="str">
        <f>CHOOSE(WEEKDAY(A756,2),"Mon","Tue","Wed","Thu","Fri","Sat","Sun")</f>
        <v>Fri</v>
      </c>
      <c r="H756" t="str">
        <f>IF(WEEKDAY(A756,2)&gt;5,"Weekend","Weekday")</f>
        <v>Weekday</v>
      </c>
      <c r="I756" t="str">
        <f>_xlfn.IFS(B756&lt;=5,"Night (0-5)",B756&lt;=9,"Morning peak (6-9)",B756&lt;=15,"Midday (10-15)",B756&lt;=19,"Evening peak (16-19)",TRUE,"Late evening (20-23)")</f>
        <v>Midday (10-15)</v>
      </c>
    </row>
    <row r="757" spans="1:9">
      <c r="A757" s="32">
        <v>41761</v>
      </c>
      <c r="B757">
        <v>11</v>
      </c>
      <c r="C757">
        <v>756</v>
      </c>
      <c r="D757" t="s">
        <v>303</v>
      </c>
      <c r="E757">
        <f>YEAR(A757)</f>
        <v>2014</v>
      </c>
      <c r="F757" s="33">
        <f>DATE(YEAR(A757),MONTH(A757),1)</f>
        <v>41760.0</v>
      </c>
      <c r="G757" t="str">
        <f>CHOOSE(WEEKDAY(A757,2),"Mon","Tue","Wed","Thu","Fri","Sat","Sun")</f>
        <v>Fri</v>
      </c>
      <c r="H757" t="str">
        <f>IF(WEEKDAY(A757,2)&gt;5,"Weekend","Weekday")</f>
        <v>Weekday</v>
      </c>
      <c r="I757" t="str">
        <f>_xlfn.IFS(B757&lt;=5,"Night (0-5)",B757&lt;=9,"Morning peak (6-9)",B757&lt;=15,"Midday (10-15)",B757&lt;=19,"Evening peak (16-19)",TRUE,"Late evening (20-23)")</f>
        <v>Midday (10-15)</v>
      </c>
    </row>
    <row r="758" spans="1:9">
      <c r="A758" s="32">
        <v>41761</v>
      </c>
      <c r="B758">
        <v>12</v>
      </c>
      <c r="C758">
        <v>790</v>
      </c>
      <c r="D758" t="s">
        <v>303</v>
      </c>
      <c r="E758">
        <f>YEAR(A758)</f>
        <v>2014</v>
      </c>
      <c r="F758" s="33">
        <f>DATE(YEAR(A758),MONTH(A758),1)</f>
        <v>41760.0</v>
      </c>
      <c r="G758" t="str">
        <f>CHOOSE(WEEKDAY(A758,2),"Mon","Tue","Wed","Thu","Fri","Sat","Sun")</f>
        <v>Fri</v>
      </c>
      <c r="H758" t="str">
        <f>IF(WEEKDAY(A758,2)&gt;5,"Weekend","Weekday")</f>
        <v>Weekday</v>
      </c>
      <c r="I758" t="str">
        <f>_xlfn.IFS(B758&lt;=5,"Night (0-5)",B758&lt;=9,"Morning peak (6-9)",B758&lt;=15,"Midday (10-15)",B758&lt;=19,"Evening peak (16-19)",TRUE,"Late evening (20-23)")</f>
        <v>Midday (10-15)</v>
      </c>
    </row>
    <row r="759" spans="1:9">
      <c r="A759" s="32">
        <v>41761</v>
      </c>
      <c r="B759">
        <v>13</v>
      </c>
      <c r="C759">
        <v>918</v>
      </c>
      <c r="D759" t="s">
        <v>303</v>
      </c>
      <c r="E759">
        <f>YEAR(A759)</f>
        <v>2014</v>
      </c>
      <c r="F759" s="33">
        <f>DATE(YEAR(A759),MONTH(A759),1)</f>
        <v>41760.0</v>
      </c>
      <c r="G759" t="str">
        <f>CHOOSE(WEEKDAY(A759,2),"Mon","Tue","Wed","Thu","Fri","Sat","Sun")</f>
        <v>Fri</v>
      </c>
      <c r="H759" t="str">
        <f>IF(WEEKDAY(A759,2)&gt;5,"Weekend","Weekday")</f>
        <v>Weekday</v>
      </c>
      <c r="I759" t="str">
        <f>_xlfn.IFS(B759&lt;=5,"Night (0-5)",B759&lt;=9,"Morning peak (6-9)",B759&lt;=15,"Midday (10-15)",B759&lt;=19,"Evening peak (16-19)",TRUE,"Late evening (20-23)")</f>
        <v>Midday (10-15)</v>
      </c>
    </row>
    <row r="760" spans="1:9">
      <c r="A760" s="32">
        <v>41761</v>
      </c>
      <c r="B760">
        <v>14</v>
      </c>
      <c r="C760">
        <v>1169</v>
      </c>
      <c r="D760" t="s">
        <v>303</v>
      </c>
      <c r="E760">
        <f>YEAR(A760)</f>
        <v>2014</v>
      </c>
      <c r="F760" s="33">
        <f>DATE(YEAR(A760),MONTH(A760),1)</f>
        <v>41760.0</v>
      </c>
      <c r="G760" t="str">
        <f>CHOOSE(WEEKDAY(A760,2),"Mon","Tue","Wed","Thu","Fri","Sat","Sun")</f>
        <v>Fri</v>
      </c>
      <c r="H760" t="str">
        <f>IF(WEEKDAY(A760,2)&gt;5,"Weekend","Weekday")</f>
        <v>Weekday</v>
      </c>
      <c r="I760" t="str">
        <f>_xlfn.IFS(B760&lt;=5,"Night (0-5)",B760&lt;=9,"Morning peak (6-9)",B760&lt;=15,"Midday (10-15)",B760&lt;=19,"Evening peak (16-19)",TRUE,"Late evening (20-23)")</f>
        <v>Midday (10-15)</v>
      </c>
    </row>
    <row r="761" spans="1:9">
      <c r="A761" s="32">
        <v>41761</v>
      </c>
      <c r="B761">
        <v>15</v>
      </c>
      <c r="C761">
        <v>1469</v>
      </c>
      <c r="D761" t="s">
        <v>303</v>
      </c>
      <c r="E761">
        <f>YEAR(A761)</f>
        <v>2014</v>
      </c>
      <c r="F761" s="33">
        <f>DATE(YEAR(A761),MONTH(A761),1)</f>
        <v>41760.0</v>
      </c>
      <c r="G761" t="str">
        <f>CHOOSE(WEEKDAY(A761,2),"Mon","Tue","Wed","Thu","Fri","Sat","Sun")</f>
        <v>Fri</v>
      </c>
      <c r="H761" t="str">
        <f>IF(WEEKDAY(A761,2)&gt;5,"Weekend","Weekday")</f>
        <v>Weekday</v>
      </c>
      <c r="I761" t="str">
        <f>_xlfn.IFS(B761&lt;=5,"Night (0-5)",B761&lt;=9,"Morning peak (6-9)",B761&lt;=15,"Midday (10-15)",B761&lt;=19,"Evening peak (16-19)",TRUE,"Late evening (20-23)")</f>
        <v>Midday (10-15)</v>
      </c>
    </row>
    <row r="762" spans="1:9">
      <c r="A762" s="32">
        <v>41761</v>
      </c>
      <c r="B762">
        <v>16</v>
      </c>
      <c r="C762">
        <v>1711</v>
      </c>
      <c r="D762" t="s">
        <v>303</v>
      </c>
      <c r="E762">
        <f>YEAR(A762)</f>
        <v>2014</v>
      </c>
      <c r="F762" s="33">
        <f>DATE(YEAR(A762),MONTH(A762),1)</f>
        <v>41760.0</v>
      </c>
      <c r="G762" t="str">
        <f>CHOOSE(WEEKDAY(A762,2),"Mon","Tue","Wed","Thu","Fri","Sat","Sun")</f>
        <v>Fri</v>
      </c>
      <c r="H762" t="str">
        <f>IF(WEEKDAY(A762,2)&gt;5,"Weekend","Weekday")</f>
        <v>Weekday</v>
      </c>
      <c r="I762" t="str">
        <f>_xlfn.IFS(B762&lt;=5,"Night (0-5)",B762&lt;=9,"Morning peak (6-9)",B762&lt;=15,"Midday (10-15)",B762&lt;=19,"Evening peak (16-19)",TRUE,"Late evening (20-23)")</f>
        <v>Evening peak (16-19)</v>
      </c>
    </row>
    <row r="763" spans="1:9">
      <c r="A763" s="32">
        <v>41761</v>
      </c>
      <c r="B763">
        <v>17</v>
      </c>
      <c r="C763">
        <v>1877</v>
      </c>
      <c r="D763" t="s">
        <v>303</v>
      </c>
      <c r="E763">
        <f>YEAR(A763)</f>
        <v>2014</v>
      </c>
      <c r="F763" s="33">
        <f>DATE(YEAR(A763),MONTH(A763),1)</f>
        <v>41760.0</v>
      </c>
      <c r="G763" t="str">
        <f>CHOOSE(WEEKDAY(A763,2),"Mon","Tue","Wed","Thu","Fri","Sat","Sun")</f>
        <v>Fri</v>
      </c>
      <c r="H763" t="str">
        <f>IF(WEEKDAY(A763,2)&gt;5,"Weekend","Weekday")</f>
        <v>Weekday</v>
      </c>
      <c r="I763" t="str">
        <f>_xlfn.IFS(B763&lt;=5,"Night (0-5)",B763&lt;=9,"Morning peak (6-9)",B763&lt;=15,"Midday (10-15)",B763&lt;=19,"Evening peak (16-19)",TRUE,"Late evening (20-23)")</f>
        <v>Evening peak (16-19)</v>
      </c>
    </row>
    <row r="764" spans="1:9">
      <c r="A764" s="32">
        <v>41761</v>
      </c>
      <c r="B764">
        <v>18</v>
      </c>
      <c r="C764">
        <v>2141</v>
      </c>
      <c r="D764" t="s">
        <v>303</v>
      </c>
      <c r="E764">
        <f>YEAR(A764)</f>
        <v>2014</v>
      </c>
      <c r="F764" s="33">
        <f>DATE(YEAR(A764),MONTH(A764),1)</f>
        <v>41760.0</v>
      </c>
      <c r="G764" t="str">
        <f>CHOOSE(WEEKDAY(A764,2),"Mon","Tue","Wed","Thu","Fri","Sat","Sun")</f>
        <v>Fri</v>
      </c>
      <c r="H764" t="str">
        <f>IF(WEEKDAY(A764,2)&gt;5,"Weekend","Weekday")</f>
        <v>Weekday</v>
      </c>
      <c r="I764" t="str">
        <f>_xlfn.IFS(B764&lt;=5,"Night (0-5)",B764&lt;=9,"Morning peak (6-9)",B764&lt;=15,"Midday (10-15)",B764&lt;=19,"Evening peak (16-19)",TRUE,"Late evening (20-23)")</f>
        <v>Evening peak (16-19)</v>
      </c>
    </row>
    <row r="765" spans="1:9">
      <c r="A765" s="32">
        <v>41761</v>
      </c>
      <c r="B765">
        <v>19</v>
      </c>
      <c r="C765">
        <v>1633</v>
      </c>
      <c r="D765" t="s">
        <v>303</v>
      </c>
      <c r="E765">
        <f>YEAR(A765)</f>
        <v>2014</v>
      </c>
      <c r="F765" s="33">
        <f>DATE(YEAR(A765),MONTH(A765),1)</f>
        <v>41760.0</v>
      </c>
      <c r="G765" t="str">
        <f>CHOOSE(WEEKDAY(A765,2),"Mon","Tue","Wed","Thu","Fri","Sat","Sun")</f>
        <v>Fri</v>
      </c>
      <c r="H765" t="str">
        <f>IF(WEEKDAY(A765,2)&gt;5,"Weekend","Weekday")</f>
        <v>Weekday</v>
      </c>
      <c r="I765" t="str">
        <f>_xlfn.IFS(B765&lt;=5,"Night (0-5)",B765&lt;=9,"Morning peak (6-9)",B765&lt;=15,"Midday (10-15)",B765&lt;=19,"Evening peak (16-19)",TRUE,"Late evening (20-23)")</f>
        <v>Evening peak (16-19)</v>
      </c>
    </row>
    <row r="766" spans="1:9">
      <c r="A766" s="32">
        <v>41761</v>
      </c>
      <c r="B766">
        <v>20</v>
      </c>
      <c r="C766">
        <v>1451</v>
      </c>
      <c r="D766" t="s">
        <v>303</v>
      </c>
      <c r="E766">
        <f>YEAR(A766)</f>
        <v>2014</v>
      </c>
      <c r="F766" s="33">
        <f>DATE(YEAR(A766),MONTH(A766),1)</f>
        <v>41760.0</v>
      </c>
      <c r="G766" t="str">
        <f>CHOOSE(WEEKDAY(A766,2),"Mon","Tue","Wed","Thu","Fri","Sat","Sun")</f>
        <v>Fri</v>
      </c>
      <c r="H766" t="str">
        <f>IF(WEEKDAY(A766,2)&gt;5,"Weekend","Weekday")</f>
        <v>Weekday</v>
      </c>
      <c r="I766" t="str">
        <f>_xlfn.IFS(B766&lt;=5,"Night (0-5)",B766&lt;=9,"Morning peak (6-9)",B766&lt;=15,"Midday (10-15)",B766&lt;=19,"Evening peak (16-19)",TRUE,"Late evening (20-23)")</f>
        <v>Late evening (20-23)</v>
      </c>
    </row>
    <row r="767" spans="1:9">
      <c r="A767" s="32">
        <v>41761</v>
      </c>
      <c r="B767">
        <v>21</v>
      </c>
      <c r="C767">
        <v>1617</v>
      </c>
      <c r="D767" t="s">
        <v>303</v>
      </c>
      <c r="E767">
        <f>YEAR(A767)</f>
        <v>2014</v>
      </c>
      <c r="F767" s="33">
        <f>DATE(YEAR(A767),MONTH(A767),1)</f>
        <v>41760.0</v>
      </c>
      <c r="G767" t="str">
        <f>CHOOSE(WEEKDAY(A767,2),"Mon","Tue","Wed","Thu","Fri","Sat","Sun")</f>
        <v>Fri</v>
      </c>
      <c r="H767" t="str">
        <f>IF(WEEKDAY(A767,2)&gt;5,"Weekend","Weekday")</f>
        <v>Weekday</v>
      </c>
      <c r="I767" t="str">
        <f>_xlfn.IFS(B767&lt;=5,"Night (0-5)",B767&lt;=9,"Morning peak (6-9)",B767&lt;=15,"Midday (10-15)",B767&lt;=19,"Evening peak (16-19)",TRUE,"Late evening (20-23)")</f>
        <v>Late evening (20-23)</v>
      </c>
    </row>
    <row r="768" spans="1:9">
      <c r="A768" s="32">
        <v>41761</v>
      </c>
      <c r="B768">
        <v>22</v>
      </c>
      <c r="C768">
        <v>1676</v>
      </c>
      <c r="D768" t="s">
        <v>303</v>
      </c>
      <c r="E768">
        <f>YEAR(A768)</f>
        <v>2014</v>
      </c>
      <c r="F768" s="33">
        <f>DATE(YEAR(A768),MONTH(A768),1)</f>
        <v>41760.0</v>
      </c>
      <c r="G768" t="str">
        <f>CHOOSE(WEEKDAY(A768,2),"Mon","Tue","Wed","Thu","Fri","Sat","Sun")</f>
        <v>Fri</v>
      </c>
      <c r="H768" t="str">
        <f>IF(WEEKDAY(A768,2)&gt;5,"Weekend","Weekday")</f>
        <v>Weekday</v>
      </c>
      <c r="I768" t="str">
        <f>_xlfn.IFS(B768&lt;=5,"Night (0-5)",B768&lt;=9,"Morning peak (6-9)",B768&lt;=15,"Midday (10-15)",B768&lt;=19,"Evening peak (16-19)",TRUE,"Late evening (20-23)")</f>
        <v>Late evening (20-23)</v>
      </c>
    </row>
    <row r="769" spans="1:9">
      <c r="A769" s="32">
        <v>41761</v>
      </c>
      <c r="B769">
        <v>23</v>
      </c>
      <c r="C769">
        <v>1483</v>
      </c>
      <c r="D769" t="s">
        <v>303</v>
      </c>
      <c r="E769">
        <f>YEAR(A769)</f>
        <v>2014</v>
      </c>
      <c r="F769" s="33">
        <f>DATE(YEAR(A769),MONTH(A769),1)</f>
        <v>41760.0</v>
      </c>
      <c r="G769" t="str">
        <f>CHOOSE(WEEKDAY(A769,2),"Mon","Tue","Wed","Thu","Fri","Sat","Sun")</f>
        <v>Fri</v>
      </c>
      <c r="H769" t="str">
        <f>IF(WEEKDAY(A769,2)&gt;5,"Weekend","Weekday")</f>
        <v>Weekday</v>
      </c>
      <c r="I769" t="str">
        <f>_xlfn.IFS(B769&lt;=5,"Night (0-5)",B769&lt;=9,"Morning peak (6-9)",B769&lt;=15,"Midday (10-15)",B769&lt;=19,"Evening peak (16-19)",TRUE,"Late evening (20-23)")</f>
        <v>Late evening (20-23)</v>
      </c>
    </row>
    <row r="770" spans="1:9">
      <c r="A770" s="32">
        <v>41762</v>
      </c>
      <c r="B770">
        <v>0</v>
      </c>
      <c r="C770">
        <v>848</v>
      </c>
      <c r="D770" t="s">
        <v>303</v>
      </c>
      <c r="E770">
        <f>YEAR(A770)</f>
        <v>2014</v>
      </c>
      <c r="F770" s="33">
        <f>DATE(YEAR(A770),MONTH(A770),1)</f>
        <v>41760.0</v>
      </c>
      <c r="G770" t="str">
        <f>CHOOSE(WEEKDAY(A770,2),"Mon","Tue","Wed","Thu","Fri","Sat","Sun")</f>
        <v>Sat</v>
      </c>
      <c r="H770" t="str">
        <f>IF(WEEKDAY(A770,2)&gt;5,"Weekend","Weekday")</f>
        <v>Weekend</v>
      </c>
      <c r="I770" t="str">
        <f>_xlfn.IFS(B770&lt;=5,"Night (0-5)",B770&lt;=9,"Morning peak (6-9)",B770&lt;=15,"Midday (10-15)",B770&lt;=19,"Evening peak (16-19)",TRUE,"Late evening (20-23)")</f>
        <v>Night (0-5)</v>
      </c>
    </row>
    <row r="771" spans="1:9">
      <c r="A771" s="32">
        <v>41762</v>
      </c>
      <c r="B771">
        <v>1</v>
      </c>
      <c r="C771">
        <v>529</v>
      </c>
      <c r="D771" t="s">
        <v>303</v>
      </c>
      <c r="E771">
        <f>YEAR(A771)</f>
        <v>2014</v>
      </c>
      <c r="F771" s="33">
        <f>DATE(YEAR(A771),MONTH(A771),1)</f>
        <v>41760.0</v>
      </c>
      <c r="G771" t="str">
        <f>CHOOSE(WEEKDAY(A771,2),"Mon","Tue","Wed","Thu","Fri","Sat","Sun")</f>
        <v>Sat</v>
      </c>
      <c r="H771" t="str">
        <f>IF(WEEKDAY(A771,2)&gt;5,"Weekend","Weekday")</f>
        <v>Weekend</v>
      </c>
      <c r="I771" t="str">
        <f>_xlfn.IFS(B771&lt;=5,"Night (0-5)",B771&lt;=9,"Morning peak (6-9)",B771&lt;=15,"Midday (10-15)",B771&lt;=19,"Evening peak (16-19)",TRUE,"Late evening (20-23)")</f>
        <v>Night (0-5)</v>
      </c>
    </row>
    <row r="772" spans="1:9">
      <c r="A772" s="32">
        <v>41762</v>
      </c>
      <c r="B772">
        <v>2</v>
      </c>
      <c r="C772">
        <v>329</v>
      </c>
      <c r="D772" t="s">
        <v>303</v>
      </c>
      <c r="E772">
        <f>YEAR(A772)</f>
        <v>2014</v>
      </c>
      <c r="F772" s="33">
        <f>DATE(YEAR(A772),MONTH(A772),1)</f>
        <v>41760.0</v>
      </c>
      <c r="G772" t="str">
        <f>CHOOSE(WEEKDAY(A772,2),"Mon","Tue","Wed","Thu","Fri","Sat","Sun")</f>
        <v>Sat</v>
      </c>
      <c r="H772" t="str">
        <f>IF(WEEKDAY(A772,2)&gt;5,"Weekend","Weekday")</f>
        <v>Weekend</v>
      </c>
      <c r="I772" t="str">
        <f>_xlfn.IFS(B772&lt;=5,"Night (0-5)",B772&lt;=9,"Morning peak (6-9)",B772&lt;=15,"Midday (10-15)",B772&lt;=19,"Evening peak (16-19)",TRUE,"Late evening (20-23)")</f>
        <v>Night (0-5)</v>
      </c>
    </row>
    <row r="773" spans="1:9">
      <c r="A773" s="32">
        <v>41762</v>
      </c>
      <c r="B773">
        <v>3</v>
      </c>
      <c r="C773">
        <v>238</v>
      </c>
      <c r="D773" t="s">
        <v>303</v>
      </c>
      <c r="E773">
        <f>YEAR(A773)</f>
        <v>2014</v>
      </c>
      <c r="F773" s="33">
        <f>DATE(YEAR(A773),MONTH(A773),1)</f>
        <v>41760.0</v>
      </c>
      <c r="G773" t="str">
        <f>CHOOSE(WEEKDAY(A773,2),"Mon","Tue","Wed","Thu","Fri","Sat","Sun")</f>
        <v>Sat</v>
      </c>
      <c r="H773" t="str">
        <f>IF(WEEKDAY(A773,2)&gt;5,"Weekend","Weekday")</f>
        <v>Weekend</v>
      </c>
      <c r="I773" t="str">
        <f>_xlfn.IFS(B773&lt;=5,"Night (0-5)",B773&lt;=9,"Morning peak (6-9)",B773&lt;=15,"Midday (10-15)",B773&lt;=19,"Evening peak (16-19)",TRUE,"Late evening (20-23)")</f>
        <v>Night (0-5)</v>
      </c>
    </row>
    <row r="774" spans="1:9">
      <c r="A774" s="32">
        <v>41762</v>
      </c>
      <c r="B774">
        <v>4</v>
      </c>
      <c r="C774">
        <v>213</v>
      </c>
      <c r="D774" t="s">
        <v>303</v>
      </c>
      <c r="E774">
        <f>YEAR(A774)</f>
        <v>2014</v>
      </c>
      <c r="F774" s="33">
        <f>DATE(YEAR(A774),MONTH(A774),1)</f>
        <v>41760.0</v>
      </c>
      <c r="G774" t="str">
        <f>CHOOSE(WEEKDAY(A774,2),"Mon","Tue","Wed","Thu","Fri","Sat","Sun")</f>
        <v>Sat</v>
      </c>
      <c r="H774" t="str">
        <f>IF(WEEKDAY(A774,2)&gt;5,"Weekend","Weekday")</f>
        <v>Weekend</v>
      </c>
      <c r="I774" t="str">
        <f>_xlfn.IFS(B774&lt;=5,"Night (0-5)",B774&lt;=9,"Morning peak (6-9)",B774&lt;=15,"Midday (10-15)",B774&lt;=19,"Evening peak (16-19)",TRUE,"Late evening (20-23)")</f>
        <v>Night (0-5)</v>
      </c>
    </row>
    <row r="775" spans="1:9">
      <c r="A775" s="32">
        <v>41762</v>
      </c>
      <c r="B775">
        <v>5</v>
      </c>
      <c r="C775">
        <v>198</v>
      </c>
      <c r="D775" t="s">
        <v>303</v>
      </c>
      <c r="E775">
        <f>YEAR(A775)</f>
        <v>2014</v>
      </c>
      <c r="F775" s="33">
        <f>DATE(YEAR(A775),MONTH(A775),1)</f>
        <v>41760.0</v>
      </c>
      <c r="G775" t="str">
        <f>CHOOSE(WEEKDAY(A775,2),"Mon","Tue","Wed","Thu","Fri","Sat","Sun")</f>
        <v>Sat</v>
      </c>
      <c r="H775" t="str">
        <f>IF(WEEKDAY(A775,2)&gt;5,"Weekend","Weekday")</f>
        <v>Weekend</v>
      </c>
      <c r="I775" t="str">
        <f>_xlfn.IFS(B775&lt;=5,"Night (0-5)",B775&lt;=9,"Morning peak (6-9)",B775&lt;=15,"Midday (10-15)",B775&lt;=19,"Evening peak (16-19)",TRUE,"Late evening (20-23)")</f>
        <v>Night (0-5)</v>
      </c>
    </row>
    <row r="776" spans="1:9">
      <c r="A776" s="32">
        <v>41762</v>
      </c>
      <c r="B776">
        <v>6</v>
      </c>
      <c r="C776">
        <v>232</v>
      </c>
      <c r="D776" t="s">
        <v>303</v>
      </c>
      <c r="E776">
        <f>YEAR(A776)</f>
        <v>2014</v>
      </c>
      <c r="F776" s="33">
        <f>DATE(YEAR(A776),MONTH(A776),1)</f>
        <v>41760.0</v>
      </c>
      <c r="G776" t="str">
        <f>CHOOSE(WEEKDAY(A776,2),"Mon","Tue","Wed","Thu","Fri","Sat","Sun")</f>
        <v>Sat</v>
      </c>
      <c r="H776" t="str">
        <f>IF(WEEKDAY(A776,2)&gt;5,"Weekend","Weekday")</f>
        <v>Weekend</v>
      </c>
      <c r="I776" t="str">
        <f>_xlfn.IFS(B776&lt;=5,"Night (0-5)",B776&lt;=9,"Morning peak (6-9)",B776&lt;=15,"Midday (10-15)",B776&lt;=19,"Evening peak (16-19)",TRUE,"Late evening (20-23)")</f>
        <v>Morning peak (6-9)</v>
      </c>
    </row>
    <row r="777" spans="1:9">
      <c r="A777" s="32">
        <v>41762</v>
      </c>
      <c r="B777">
        <v>7</v>
      </c>
      <c r="C777">
        <v>307</v>
      </c>
      <c r="D777" t="s">
        <v>303</v>
      </c>
      <c r="E777">
        <f>YEAR(A777)</f>
        <v>2014</v>
      </c>
      <c r="F777" s="33">
        <f>DATE(YEAR(A777),MONTH(A777),1)</f>
        <v>41760.0</v>
      </c>
      <c r="G777" t="str">
        <f>CHOOSE(WEEKDAY(A777,2),"Mon","Tue","Wed","Thu","Fri","Sat","Sun")</f>
        <v>Sat</v>
      </c>
      <c r="H777" t="str">
        <f>IF(WEEKDAY(A777,2)&gt;5,"Weekend","Weekday")</f>
        <v>Weekend</v>
      </c>
      <c r="I777" t="str">
        <f>_xlfn.IFS(B777&lt;=5,"Night (0-5)",B777&lt;=9,"Morning peak (6-9)",B777&lt;=15,"Midday (10-15)",B777&lt;=19,"Evening peak (16-19)",TRUE,"Late evening (20-23)")</f>
        <v>Morning peak (6-9)</v>
      </c>
    </row>
    <row r="778" spans="1:9">
      <c r="A778" s="32">
        <v>41762</v>
      </c>
      <c r="B778">
        <v>8</v>
      </c>
      <c r="C778">
        <v>407</v>
      </c>
      <c r="D778" t="s">
        <v>303</v>
      </c>
      <c r="E778">
        <f>YEAR(A778)</f>
        <v>2014</v>
      </c>
      <c r="F778" s="33">
        <f>DATE(YEAR(A778),MONTH(A778),1)</f>
        <v>41760.0</v>
      </c>
      <c r="G778" t="str">
        <f>CHOOSE(WEEKDAY(A778,2),"Mon","Tue","Wed","Thu","Fri","Sat","Sun")</f>
        <v>Sat</v>
      </c>
      <c r="H778" t="str">
        <f>IF(WEEKDAY(A778,2)&gt;5,"Weekend","Weekday")</f>
        <v>Weekend</v>
      </c>
      <c r="I778" t="str">
        <f>_xlfn.IFS(B778&lt;=5,"Night (0-5)",B778&lt;=9,"Morning peak (6-9)",B778&lt;=15,"Midday (10-15)",B778&lt;=19,"Evening peak (16-19)",TRUE,"Late evening (20-23)")</f>
        <v>Morning peak (6-9)</v>
      </c>
    </row>
    <row r="779" spans="1:9">
      <c r="A779" s="32">
        <v>41762</v>
      </c>
      <c r="B779">
        <v>9</v>
      </c>
      <c r="C779">
        <v>506</v>
      </c>
      <c r="D779" t="s">
        <v>303</v>
      </c>
      <c r="E779">
        <f>YEAR(A779)</f>
        <v>2014</v>
      </c>
      <c r="F779" s="33">
        <f>DATE(YEAR(A779),MONTH(A779),1)</f>
        <v>41760.0</v>
      </c>
      <c r="G779" t="str">
        <f>CHOOSE(WEEKDAY(A779,2),"Mon","Tue","Wed","Thu","Fri","Sat","Sun")</f>
        <v>Sat</v>
      </c>
      <c r="H779" t="str">
        <f>IF(WEEKDAY(A779,2)&gt;5,"Weekend","Weekday")</f>
        <v>Weekend</v>
      </c>
      <c r="I779" t="str">
        <f>_xlfn.IFS(B779&lt;=5,"Night (0-5)",B779&lt;=9,"Morning peak (6-9)",B779&lt;=15,"Midday (10-15)",B779&lt;=19,"Evening peak (16-19)",TRUE,"Late evening (20-23)")</f>
        <v>Morning peak (6-9)</v>
      </c>
    </row>
    <row r="780" spans="1:9">
      <c r="A780" s="32">
        <v>41762</v>
      </c>
      <c r="B780">
        <v>10</v>
      </c>
      <c r="C780">
        <v>580</v>
      </c>
      <c r="D780" t="s">
        <v>303</v>
      </c>
      <c r="E780">
        <f>YEAR(A780)</f>
        <v>2014</v>
      </c>
      <c r="F780" s="33">
        <f>DATE(YEAR(A780),MONTH(A780),1)</f>
        <v>41760.0</v>
      </c>
      <c r="G780" t="str">
        <f>CHOOSE(WEEKDAY(A780,2),"Mon","Tue","Wed","Thu","Fri","Sat","Sun")</f>
        <v>Sat</v>
      </c>
      <c r="H780" t="str">
        <f>IF(WEEKDAY(A780,2)&gt;5,"Weekend","Weekday")</f>
        <v>Weekend</v>
      </c>
      <c r="I780" t="str">
        <f>_xlfn.IFS(B780&lt;=5,"Night (0-5)",B780&lt;=9,"Morning peak (6-9)",B780&lt;=15,"Midday (10-15)",B780&lt;=19,"Evening peak (16-19)",TRUE,"Late evening (20-23)")</f>
        <v>Midday (10-15)</v>
      </c>
    </row>
    <row r="781" spans="1:9">
      <c r="A781" s="32">
        <v>41762</v>
      </c>
      <c r="B781">
        <v>11</v>
      </c>
      <c r="C781">
        <v>672</v>
      </c>
      <c r="D781" t="s">
        <v>303</v>
      </c>
      <c r="E781">
        <f>YEAR(A781)</f>
        <v>2014</v>
      </c>
      <c r="F781" s="33">
        <f>DATE(YEAR(A781),MONTH(A781),1)</f>
        <v>41760.0</v>
      </c>
      <c r="G781" t="str">
        <f>CHOOSE(WEEKDAY(A781,2),"Mon","Tue","Wed","Thu","Fri","Sat","Sun")</f>
        <v>Sat</v>
      </c>
      <c r="H781" t="str">
        <f>IF(WEEKDAY(A781,2)&gt;5,"Weekend","Weekday")</f>
        <v>Weekend</v>
      </c>
      <c r="I781" t="str">
        <f>_xlfn.IFS(B781&lt;=5,"Night (0-5)",B781&lt;=9,"Morning peak (6-9)",B781&lt;=15,"Midday (10-15)",B781&lt;=19,"Evening peak (16-19)",TRUE,"Late evening (20-23)")</f>
        <v>Midday (10-15)</v>
      </c>
    </row>
    <row r="782" spans="1:9">
      <c r="A782" s="32">
        <v>41762</v>
      </c>
      <c r="B782">
        <v>12</v>
      </c>
      <c r="C782">
        <v>708</v>
      </c>
      <c r="D782" t="s">
        <v>303</v>
      </c>
      <c r="E782">
        <f>YEAR(A782)</f>
        <v>2014</v>
      </c>
      <c r="F782" s="33">
        <f>DATE(YEAR(A782),MONTH(A782),1)</f>
        <v>41760.0</v>
      </c>
      <c r="G782" t="str">
        <f>CHOOSE(WEEKDAY(A782,2),"Mon","Tue","Wed","Thu","Fri","Sat","Sun")</f>
        <v>Sat</v>
      </c>
      <c r="H782" t="str">
        <f>IF(WEEKDAY(A782,2)&gt;5,"Weekend","Weekday")</f>
        <v>Weekend</v>
      </c>
      <c r="I782" t="str">
        <f>_xlfn.IFS(B782&lt;=5,"Night (0-5)",B782&lt;=9,"Morning peak (6-9)",B782&lt;=15,"Midday (10-15)",B782&lt;=19,"Evening peak (16-19)",TRUE,"Late evening (20-23)")</f>
        <v>Midday (10-15)</v>
      </c>
    </row>
    <row r="783" spans="1:9">
      <c r="A783" s="32">
        <v>41762</v>
      </c>
      <c r="B783">
        <v>13</v>
      </c>
      <c r="C783">
        <v>826</v>
      </c>
      <c r="D783" t="s">
        <v>303</v>
      </c>
      <c r="E783">
        <f>YEAR(A783)</f>
        <v>2014</v>
      </c>
      <c r="F783" s="33">
        <f>DATE(YEAR(A783),MONTH(A783),1)</f>
        <v>41760.0</v>
      </c>
      <c r="G783" t="str">
        <f>CHOOSE(WEEKDAY(A783,2),"Mon","Tue","Wed","Thu","Fri","Sat","Sun")</f>
        <v>Sat</v>
      </c>
      <c r="H783" t="str">
        <f>IF(WEEKDAY(A783,2)&gt;5,"Weekend","Weekday")</f>
        <v>Weekend</v>
      </c>
      <c r="I783" t="str">
        <f>_xlfn.IFS(B783&lt;=5,"Night (0-5)",B783&lt;=9,"Morning peak (6-9)",B783&lt;=15,"Midday (10-15)",B783&lt;=19,"Evening peak (16-19)",TRUE,"Late evening (20-23)")</f>
        <v>Midday (10-15)</v>
      </c>
    </row>
    <row r="784" spans="1:9">
      <c r="A784" s="32">
        <v>41762</v>
      </c>
      <c r="B784">
        <v>14</v>
      </c>
      <c r="C784">
        <v>968</v>
      </c>
      <c r="D784" t="s">
        <v>303</v>
      </c>
      <c r="E784">
        <f>YEAR(A784)</f>
        <v>2014</v>
      </c>
      <c r="F784" s="33">
        <f>DATE(YEAR(A784),MONTH(A784),1)</f>
        <v>41760.0</v>
      </c>
      <c r="G784" t="str">
        <f>CHOOSE(WEEKDAY(A784,2),"Mon","Tue","Wed","Thu","Fri","Sat","Sun")</f>
        <v>Sat</v>
      </c>
      <c r="H784" t="str">
        <f>IF(WEEKDAY(A784,2)&gt;5,"Weekend","Weekday")</f>
        <v>Weekend</v>
      </c>
      <c r="I784" t="str">
        <f>_xlfn.IFS(B784&lt;=5,"Night (0-5)",B784&lt;=9,"Morning peak (6-9)",B784&lt;=15,"Midday (10-15)",B784&lt;=19,"Evening peak (16-19)",TRUE,"Late evening (20-23)")</f>
        <v>Midday (10-15)</v>
      </c>
    </row>
    <row r="785" spans="1:9">
      <c r="A785" s="32">
        <v>41762</v>
      </c>
      <c r="B785">
        <v>15</v>
      </c>
      <c r="C785">
        <v>1456</v>
      </c>
      <c r="D785" t="s">
        <v>303</v>
      </c>
      <c r="E785">
        <f>YEAR(A785)</f>
        <v>2014</v>
      </c>
      <c r="F785" s="33">
        <f>DATE(YEAR(A785),MONTH(A785),1)</f>
        <v>41760.0</v>
      </c>
      <c r="G785" t="str">
        <f>CHOOSE(WEEKDAY(A785,2),"Mon","Tue","Wed","Thu","Fri","Sat","Sun")</f>
        <v>Sat</v>
      </c>
      <c r="H785" t="str">
        <f>IF(WEEKDAY(A785,2)&gt;5,"Weekend","Weekday")</f>
        <v>Weekend</v>
      </c>
      <c r="I785" t="str">
        <f>_xlfn.IFS(B785&lt;=5,"Night (0-5)",B785&lt;=9,"Morning peak (6-9)",B785&lt;=15,"Midday (10-15)",B785&lt;=19,"Evening peak (16-19)",TRUE,"Late evening (20-23)")</f>
        <v>Midday (10-15)</v>
      </c>
    </row>
    <row r="786" spans="1:9">
      <c r="A786" s="32">
        <v>41762</v>
      </c>
      <c r="B786">
        <v>16</v>
      </c>
      <c r="C786">
        <v>1715</v>
      </c>
      <c r="D786" t="s">
        <v>303</v>
      </c>
      <c r="E786">
        <f>YEAR(A786)</f>
        <v>2014</v>
      </c>
      <c r="F786" s="33">
        <f>DATE(YEAR(A786),MONTH(A786),1)</f>
        <v>41760.0</v>
      </c>
      <c r="G786" t="str">
        <f>CHOOSE(WEEKDAY(A786,2),"Mon","Tue","Wed","Thu","Fri","Sat","Sun")</f>
        <v>Sat</v>
      </c>
      <c r="H786" t="str">
        <f>IF(WEEKDAY(A786,2)&gt;5,"Weekend","Weekday")</f>
        <v>Weekend</v>
      </c>
      <c r="I786" t="str">
        <f>_xlfn.IFS(B786&lt;=5,"Night (0-5)",B786&lt;=9,"Morning peak (6-9)",B786&lt;=15,"Midday (10-15)",B786&lt;=19,"Evening peak (16-19)",TRUE,"Late evening (20-23)")</f>
        <v>Evening peak (16-19)</v>
      </c>
    </row>
    <row r="787" spans="1:9">
      <c r="A787" s="32">
        <v>41762</v>
      </c>
      <c r="B787">
        <v>17</v>
      </c>
      <c r="C787">
        <v>1483</v>
      </c>
      <c r="D787" t="s">
        <v>303</v>
      </c>
      <c r="E787">
        <f>YEAR(A787)</f>
        <v>2014</v>
      </c>
      <c r="F787" s="33">
        <f>DATE(YEAR(A787),MONTH(A787),1)</f>
        <v>41760.0</v>
      </c>
      <c r="G787" t="str">
        <f>CHOOSE(WEEKDAY(A787,2),"Mon","Tue","Wed","Thu","Fri","Sat","Sun")</f>
        <v>Sat</v>
      </c>
      <c r="H787" t="str">
        <f>IF(WEEKDAY(A787,2)&gt;5,"Weekend","Weekday")</f>
        <v>Weekend</v>
      </c>
      <c r="I787" t="str">
        <f>_xlfn.IFS(B787&lt;=5,"Night (0-5)",B787&lt;=9,"Morning peak (6-9)",B787&lt;=15,"Midday (10-15)",B787&lt;=19,"Evening peak (16-19)",TRUE,"Late evening (20-23)")</f>
        <v>Evening peak (16-19)</v>
      </c>
    </row>
    <row r="788" spans="1:9">
      <c r="A788" s="32">
        <v>41762</v>
      </c>
      <c r="B788">
        <v>18</v>
      </c>
      <c r="C788">
        <v>2249</v>
      </c>
      <c r="D788" t="s">
        <v>303</v>
      </c>
      <c r="E788">
        <f>YEAR(A788)</f>
        <v>2014</v>
      </c>
      <c r="F788" s="33">
        <f>DATE(YEAR(A788),MONTH(A788),1)</f>
        <v>41760.0</v>
      </c>
      <c r="G788" t="str">
        <f>CHOOSE(WEEKDAY(A788,2),"Mon","Tue","Wed","Thu","Fri","Sat","Sun")</f>
        <v>Sat</v>
      </c>
      <c r="H788" t="str">
        <f>IF(WEEKDAY(A788,2)&gt;5,"Weekend","Weekday")</f>
        <v>Weekend</v>
      </c>
      <c r="I788" t="str">
        <f>_xlfn.IFS(B788&lt;=5,"Night (0-5)",B788&lt;=9,"Morning peak (6-9)",B788&lt;=15,"Midday (10-15)",B788&lt;=19,"Evening peak (16-19)",TRUE,"Late evening (20-23)")</f>
        <v>Evening peak (16-19)</v>
      </c>
    </row>
    <row r="789" spans="1:9">
      <c r="A789" s="32">
        <v>41762</v>
      </c>
      <c r="B789">
        <v>19</v>
      </c>
      <c r="C789">
        <v>1581</v>
      </c>
      <c r="D789" t="s">
        <v>303</v>
      </c>
      <c r="E789">
        <f>YEAR(A789)</f>
        <v>2014</v>
      </c>
      <c r="F789" s="33">
        <f>DATE(YEAR(A789),MONTH(A789),1)</f>
        <v>41760.0</v>
      </c>
      <c r="G789" t="str">
        <f>CHOOSE(WEEKDAY(A789,2),"Mon","Tue","Wed","Thu","Fri","Sat","Sun")</f>
        <v>Sat</v>
      </c>
      <c r="H789" t="str">
        <f>IF(WEEKDAY(A789,2)&gt;5,"Weekend","Weekday")</f>
        <v>Weekend</v>
      </c>
      <c r="I789" t="str">
        <f>_xlfn.IFS(B789&lt;=5,"Night (0-5)",B789&lt;=9,"Morning peak (6-9)",B789&lt;=15,"Midday (10-15)",B789&lt;=19,"Evening peak (16-19)",TRUE,"Late evening (20-23)")</f>
        <v>Evening peak (16-19)</v>
      </c>
    </row>
    <row r="790" spans="1:9">
      <c r="A790" s="32">
        <v>41762</v>
      </c>
      <c r="B790">
        <v>20</v>
      </c>
      <c r="C790">
        <v>1410</v>
      </c>
      <c r="D790" t="s">
        <v>303</v>
      </c>
      <c r="E790">
        <f>YEAR(A790)</f>
        <v>2014</v>
      </c>
      <c r="F790" s="33">
        <f>DATE(YEAR(A790),MONTH(A790),1)</f>
        <v>41760.0</v>
      </c>
      <c r="G790" t="str">
        <f>CHOOSE(WEEKDAY(A790,2),"Mon","Tue","Wed","Thu","Fri","Sat","Sun")</f>
        <v>Sat</v>
      </c>
      <c r="H790" t="str">
        <f>IF(WEEKDAY(A790,2)&gt;5,"Weekend","Weekday")</f>
        <v>Weekend</v>
      </c>
      <c r="I790" t="str">
        <f>_xlfn.IFS(B790&lt;=5,"Night (0-5)",B790&lt;=9,"Morning peak (6-9)",B790&lt;=15,"Midday (10-15)",B790&lt;=19,"Evening peak (16-19)",TRUE,"Late evening (20-23)")</f>
        <v>Late evening (20-23)</v>
      </c>
    </row>
    <row r="791" spans="1:9">
      <c r="A791" s="32">
        <v>41762</v>
      </c>
      <c r="B791">
        <v>21</v>
      </c>
      <c r="C791">
        <v>1751</v>
      </c>
      <c r="D791" t="s">
        <v>303</v>
      </c>
      <c r="E791">
        <f>YEAR(A791)</f>
        <v>2014</v>
      </c>
      <c r="F791" s="33">
        <f>DATE(YEAR(A791),MONTH(A791),1)</f>
        <v>41760.0</v>
      </c>
      <c r="G791" t="str">
        <f>CHOOSE(WEEKDAY(A791,2),"Mon","Tue","Wed","Thu","Fri","Sat","Sun")</f>
        <v>Sat</v>
      </c>
      <c r="H791" t="str">
        <f>IF(WEEKDAY(A791,2)&gt;5,"Weekend","Weekday")</f>
        <v>Weekend</v>
      </c>
      <c r="I791" t="str">
        <f>_xlfn.IFS(B791&lt;=5,"Night (0-5)",B791&lt;=9,"Morning peak (6-9)",B791&lt;=15,"Midday (10-15)",B791&lt;=19,"Evening peak (16-19)",TRUE,"Late evening (20-23)")</f>
        <v>Late evening (20-23)</v>
      </c>
    </row>
    <row r="792" spans="1:9">
      <c r="A792" s="32">
        <v>41762</v>
      </c>
      <c r="B792">
        <v>22</v>
      </c>
      <c r="C792">
        <v>1637</v>
      </c>
      <c r="D792" t="s">
        <v>303</v>
      </c>
      <c r="E792">
        <f>YEAR(A792)</f>
        <v>2014</v>
      </c>
      <c r="F792" s="33">
        <f>DATE(YEAR(A792),MONTH(A792),1)</f>
        <v>41760.0</v>
      </c>
      <c r="G792" t="str">
        <f>CHOOSE(WEEKDAY(A792,2),"Mon","Tue","Wed","Thu","Fri","Sat","Sun")</f>
        <v>Sat</v>
      </c>
      <c r="H792" t="str">
        <f>IF(WEEKDAY(A792,2)&gt;5,"Weekend","Weekday")</f>
        <v>Weekend</v>
      </c>
      <c r="I792" t="str">
        <f>_xlfn.IFS(B792&lt;=5,"Night (0-5)",B792&lt;=9,"Morning peak (6-9)",B792&lt;=15,"Midday (10-15)",B792&lt;=19,"Evening peak (16-19)",TRUE,"Late evening (20-23)")</f>
        <v>Late evening (20-23)</v>
      </c>
    </row>
    <row r="793" spans="1:9">
      <c r="A793" s="32">
        <v>41762</v>
      </c>
      <c r="B793">
        <v>23</v>
      </c>
      <c r="C793">
        <v>1391</v>
      </c>
      <c r="D793" t="s">
        <v>303</v>
      </c>
      <c r="E793">
        <f>YEAR(A793)</f>
        <v>2014</v>
      </c>
      <c r="F793" s="33">
        <f>DATE(YEAR(A793),MONTH(A793),1)</f>
        <v>41760.0</v>
      </c>
      <c r="G793" t="str">
        <f>CHOOSE(WEEKDAY(A793,2),"Mon","Tue","Wed","Thu","Fri","Sat","Sun")</f>
        <v>Sat</v>
      </c>
      <c r="H793" t="str">
        <f>IF(WEEKDAY(A793,2)&gt;5,"Weekend","Weekday")</f>
        <v>Weekend</v>
      </c>
      <c r="I793" t="str">
        <f>_xlfn.IFS(B793&lt;=5,"Night (0-5)",B793&lt;=9,"Morning peak (6-9)",B793&lt;=15,"Midday (10-15)",B793&lt;=19,"Evening peak (16-19)",TRUE,"Late evening (20-23)")</f>
        <v>Late evening (20-23)</v>
      </c>
    </row>
    <row r="794" spans="1:9">
      <c r="A794" s="32">
        <v>41763</v>
      </c>
      <c r="B794">
        <v>0</v>
      </c>
      <c r="C794">
        <v>1152</v>
      </c>
      <c r="D794" t="s">
        <v>303</v>
      </c>
      <c r="E794">
        <f>YEAR(A794)</f>
        <v>2014</v>
      </c>
      <c r="F794" s="33">
        <f>DATE(YEAR(A794),MONTH(A794),1)</f>
        <v>41760.0</v>
      </c>
      <c r="G794" t="str">
        <f>CHOOSE(WEEKDAY(A794,2),"Mon","Tue","Wed","Thu","Fri","Sat","Sun")</f>
        <v>Sun</v>
      </c>
      <c r="H794" t="str">
        <f>IF(WEEKDAY(A794,2)&gt;5,"Weekend","Weekday")</f>
        <v>Weekend</v>
      </c>
      <c r="I794" t="str">
        <f>_xlfn.IFS(B794&lt;=5,"Night (0-5)",B794&lt;=9,"Morning peak (6-9)",B794&lt;=15,"Midday (10-15)",B794&lt;=19,"Evening peak (16-19)",TRUE,"Late evening (20-23)")</f>
        <v>Night (0-5)</v>
      </c>
    </row>
    <row r="795" spans="1:9">
      <c r="A795" s="32">
        <v>41763</v>
      </c>
      <c r="B795">
        <v>1</v>
      </c>
      <c r="C795">
        <v>641</v>
      </c>
      <c r="D795" t="s">
        <v>303</v>
      </c>
      <c r="E795">
        <f>YEAR(A795)</f>
        <v>2014</v>
      </c>
      <c r="F795" s="33">
        <f>DATE(YEAR(A795),MONTH(A795),1)</f>
        <v>41760.0</v>
      </c>
      <c r="G795" t="str">
        <f>CHOOSE(WEEKDAY(A795,2),"Mon","Tue","Wed","Thu","Fri","Sat","Sun")</f>
        <v>Sun</v>
      </c>
      <c r="H795" t="str">
        <f>IF(WEEKDAY(A795,2)&gt;5,"Weekend","Weekday")</f>
        <v>Weekend</v>
      </c>
      <c r="I795" t="str">
        <f>_xlfn.IFS(B795&lt;=5,"Night (0-5)",B795&lt;=9,"Morning peak (6-9)",B795&lt;=15,"Midday (10-15)",B795&lt;=19,"Evening peak (16-19)",TRUE,"Late evening (20-23)")</f>
        <v>Night (0-5)</v>
      </c>
    </row>
    <row r="796" spans="1:9">
      <c r="A796" s="32">
        <v>41763</v>
      </c>
      <c r="B796">
        <v>2</v>
      </c>
      <c r="C796">
        <v>418</v>
      </c>
      <c r="D796" t="s">
        <v>303</v>
      </c>
      <c r="E796">
        <f>YEAR(A796)</f>
        <v>2014</v>
      </c>
      <c r="F796" s="33">
        <f>DATE(YEAR(A796),MONTH(A796),1)</f>
        <v>41760.0</v>
      </c>
      <c r="G796" t="str">
        <f>CHOOSE(WEEKDAY(A796,2),"Mon","Tue","Wed","Thu","Fri","Sat","Sun")</f>
        <v>Sun</v>
      </c>
      <c r="H796" t="str">
        <f>IF(WEEKDAY(A796,2)&gt;5,"Weekend","Weekday")</f>
        <v>Weekend</v>
      </c>
      <c r="I796" t="str">
        <f>_xlfn.IFS(B796&lt;=5,"Night (0-5)",B796&lt;=9,"Morning peak (6-9)",B796&lt;=15,"Midday (10-15)",B796&lt;=19,"Evening peak (16-19)",TRUE,"Late evening (20-23)")</f>
        <v>Night (0-5)</v>
      </c>
    </row>
    <row r="797" spans="1:9">
      <c r="A797" s="32">
        <v>41763</v>
      </c>
      <c r="B797">
        <v>3</v>
      </c>
      <c r="C797">
        <v>315</v>
      </c>
      <c r="D797" t="s">
        <v>303</v>
      </c>
      <c r="E797">
        <f>YEAR(A797)</f>
        <v>2014</v>
      </c>
      <c r="F797" s="33">
        <f>DATE(YEAR(A797),MONTH(A797),1)</f>
        <v>41760.0</v>
      </c>
      <c r="G797" t="str">
        <f>CHOOSE(WEEKDAY(A797,2),"Mon","Tue","Wed","Thu","Fri","Sat","Sun")</f>
        <v>Sun</v>
      </c>
      <c r="H797" t="str">
        <f>IF(WEEKDAY(A797,2)&gt;5,"Weekend","Weekday")</f>
        <v>Weekend</v>
      </c>
      <c r="I797" t="str">
        <f>_xlfn.IFS(B797&lt;=5,"Night (0-5)",B797&lt;=9,"Morning peak (6-9)",B797&lt;=15,"Midday (10-15)",B797&lt;=19,"Evening peak (16-19)",TRUE,"Late evening (20-23)")</f>
        <v>Night (0-5)</v>
      </c>
    </row>
    <row r="798" spans="1:9">
      <c r="A798" s="32">
        <v>41763</v>
      </c>
      <c r="B798">
        <v>4</v>
      </c>
      <c r="C798">
        <v>245</v>
      </c>
      <c r="D798" t="s">
        <v>303</v>
      </c>
      <c r="E798">
        <f>YEAR(A798)</f>
        <v>2014</v>
      </c>
      <c r="F798" s="33">
        <f>DATE(YEAR(A798),MONTH(A798),1)</f>
        <v>41760.0</v>
      </c>
      <c r="G798" t="str">
        <f>CHOOSE(WEEKDAY(A798,2),"Mon","Tue","Wed","Thu","Fri","Sat","Sun")</f>
        <v>Sun</v>
      </c>
      <c r="H798" t="str">
        <f>IF(WEEKDAY(A798,2)&gt;5,"Weekend","Weekday")</f>
        <v>Weekend</v>
      </c>
      <c r="I798" t="str">
        <f>_xlfn.IFS(B798&lt;=5,"Night (0-5)",B798&lt;=9,"Morning peak (6-9)",B798&lt;=15,"Midday (10-15)",B798&lt;=19,"Evening peak (16-19)",TRUE,"Late evening (20-23)")</f>
        <v>Night (0-5)</v>
      </c>
    </row>
    <row r="799" spans="1:9">
      <c r="A799" s="32">
        <v>41763</v>
      </c>
      <c r="B799">
        <v>5</v>
      </c>
      <c r="C799">
        <v>178</v>
      </c>
      <c r="D799" t="s">
        <v>303</v>
      </c>
      <c r="E799">
        <f>YEAR(A799)</f>
        <v>2014</v>
      </c>
      <c r="F799" s="33">
        <f>DATE(YEAR(A799),MONTH(A799),1)</f>
        <v>41760.0</v>
      </c>
      <c r="G799" t="str">
        <f>CHOOSE(WEEKDAY(A799,2),"Mon","Tue","Wed","Thu","Fri","Sat","Sun")</f>
        <v>Sun</v>
      </c>
      <c r="H799" t="str">
        <f>IF(WEEKDAY(A799,2)&gt;5,"Weekend","Weekday")</f>
        <v>Weekend</v>
      </c>
      <c r="I799" t="str">
        <f>_xlfn.IFS(B799&lt;=5,"Night (0-5)",B799&lt;=9,"Morning peak (6-9)",B799&lt;=15,"Midday (10-15)",B799&lt;=19,"Evening peak (16-19)",TRUE,"Late evening (20-23)")</f>
        <v>Night (0-5)</v>
      </c>
    </row>
    <row r="800" spans="1:9">
      <c r="A800" s="32">
        <v>41763</v>
      </c>
      <c r="B800">
        <v>6</v>
      </c>
      <c r="C800">
        <v>163</v>
      </c>
      <c r="D800" t="s">
        <v>303</v>
      </c>
      <c r="E800">
        <f>YEAR(A800)</f>
        <v>2014</v>
      </c>
      <c r="F800" s="33">
        <f>DATE(YEAR(A800),MONTH(A800),1)</f>
        <v>41760.0</v>
      </c>
      <c r="G800" t="str">
        <f>CHOOSE(WEEKDAY(A800,2),"Mon","Tue","Wed","Thu","Fri","Sat","Sun")</f>
        <v>Sun</v>
      </c>
      <c r="H800" t="str">
        <f>IF(WEEKDAY(A800,2)&gt;5,"Weekend","Weekday")</f>
        <v>Weekend</v>
      </c>
      <c r="I800" t="str">
        <f>_xlfn.IFS(B800&lt;=5,"Night (0-5)",B800&lt;=9,"Morning peak (6-9)",B800&lt;=15,"Midday (10-15)",B800&lt;=19,"Evening peak (16-19)",TRUE,"Late evening (20-23)")</f>
        <v>Morning peak (6-9)</v>
      </c>
    </row>
    <row r="801" spans="1:9">
      <c r="A801" s="32">
        <v>41763</v>
      </c>
      <c r="B801">
        <v>7</v>
      </c>
      <c r="C801">
        <v>209</v>
      </c>
      <c r="D801" t="s">
        <v>303</v>
      </c>
      <c r="E801">
        <f>YEAR(A801)</f>
        <v>2014</v>
      </c>
      <c r="F801" s="33">
        <f>DATE(YEAR(A801),MONTH(A801),1)</f>
        <v>41760.0</v>
      </c>
      <c r="G801" t="str">
        <f>CHOOSE(WEEKDAY(A801,2),"Mon","Tue","Wed","Thu","Fri","Sat","Sun")</f>
        <v>Sun</v>
      </c>
      <c r="H801" t="str">
        <f>IF(WEEKDAY(A801,2)&gt;5,"Weekend","Weekday")</f>
        <v>Weekend</v>
      </c>
      <c r="I801" t="str">
        <f>_xlfn.IFS(B801&lt;=5,"Night (0-5)",B801&lt;=9,"Morning peak (6-9)",B801&lt;=15,"Midday (10-15)",B801&lt;=19,"Evening peak (16-19)",TRUE,"Late evening (20-23)")</f>
        <v>Morning peak (6-9)</v>
      </c>
    </row>
    <row r="802" spans="1:9">
      <c r="A802" s="32">
        <v>41763</v>
      </c>
      <c r="B802">
        <v>8</v>
      </c>
      <c r="C802">
        <v>239</v>
      </c>
      <c r="D802" t="s">
        <v>303</v>
      </c>
      <c r="E802">
        <f>YEAR(A802)</f>
        <v>2014</v>
      </c>
      <c r="F802" s="33">
        <f>DATE(YEAR(A802),MONTH(A802),1)</f>
        <v>41760.0</v>
      </c>
      <c r="G802" t="str">
        <f>CHOOSE(WEEKDAY(A802,2),"Mon","Tue","Wed","Thu","Fri","Sat","Sun")</f>
        <v>Sun</v>
      </c>
      <c r="H802" t="str">
        <f>IF(WEEKDAY(A802,2)&gt;5,"Weekend","Weekday")</f>
        <v>Weekend</v>
      </c>
      <c r="I802" t="str">
        <f>_xlfn.IFS(B802&lt;=5,"Night (0-5)",B802&lt;=9,"Morning peak (6-9)",B802&lt;=15,"Midday (10-15)",B802&lt;=19,"Evening peak (16-19)",TRUE,"Late evening (20-23)")</f>
        <v>Morning peak (6-9)</v>
      </c>
    </row>
    <row r="803" spans="1:9">
      <c r="A803" s="32">
        <v>41763</v>
      </c>
      <c r="B803">
        <v>9</v>
      </c>
      <c r="C803">
        <v>330</v>
      </c>
      <c r="D803" t="s">
        <v>303</v>
      </c>
      <c r="E803">
        <f>YEAR(A803)</f>
        <v>2014</v>
      </c>
      <c r="F803" s="33">
        <f>DATE(YEAR(A803),MONTH(A803),1)</f>
        <v>41760.0</v>
      </c>
      <c r="G803" t="str">
        <f>CHOOSE(WEEKDAY(A803,2),"Mon","Tue","Wed","Thu","Fri","Sat","Sun")</f>
        <v>Sun</v>
      </c>
      <c r="H803" t="str">
        <f>IF(WEEKDAY(A803,2)&gt;5,"Weekend","Weekday")</f>
        <v>Weekend</v>
      </c>
      <c r="I803" t="str">
        <f>_xlfn.IFS(B803&lt;=5,"Night (0-5)",B803&lt;=9,"Morning peak (6-9)",B803&lt;=15,"Midday (10-15)",B803&lt;=19,"Evening peak (16-19)",TRUE,"Late evening (20-23)")</f>
        <v>Morning peak (6-9)</v>
      </c>
    </row>
    <row r="804" spans="1:9">
      <c r="A804" s="32">
        <v>41763</v>
      </c>
      <c r="B804">
        <v>10</v>
      </c>
      <c r="C804">
        <v>412</v>
      </c>
      <c r="D804" t="s">
        <v>303</v>
      </c>
      <c r="E804">
        <f>YEAR(A804)</f>
        <v>2014</v>
      </c>
      <c r="F804" s="33">
        <f>DATE(YEAR(A804),MONTH(A804),1)</f>
        <v>41760.0</v>
      </c>
      <c r="G804" t="str">
        <f>CHOOSE(WEEKDAY(A804,2),"Mon","Tue","Wed","Thu","Fri","Sat","Sun")</f>
        <v>Sun</v>
      </c>
      <c r="H804" t="str">
        <f>IF(WEEKDAY(A804,2)&gt;5,"Weekend","Weekday")</f>
        <v>Weekend</v>
      </c>
      <c r="I804" t="str">
        <f>_xlfn.IFS(B804&lt;=5,"Night (0-5)",B804&lt;=9,"Morning peak (6-9)",B804&lt;=15,"Midday (10-15)",B804&lt;=19,"Evening peak (16-19)",TRUE,"Late evening (20-23)")</f>
        <v>Midday (10-15)</v>
      </c>
    </row>
    <row r="805" spans="1:9">
      <c r="A805" s="32">
        <v>41763</v>
      </c>
      <c r="B805">
        <v>11</v>
      </c>
      <c r="C805">
        <v>537</v>
      </c>
      <c r="D805" t="s">
        <v>303</v>
      </c>
      <c r="E805">
        <f>YEAR(A805)</f>
        <v>2014</v>
      </c>
      <c r="F805" s="33">
        <f>DATE(YEAR(A805),MONTH(A805),1)</f>
        <v>41760.0</v>
      </c>
      <c r="G805" t="str">
        <f>CHOOSE(WEEKDAY(A805,2),"Mon","Tue","Wed","Thu","Fri","Sat","Sun")</f>
        <v>Sun</v>
      </c>
      <c r="H805" t="str">
        <f>IF(WEEKDAY(A805,2)&gt;5,"Weekend","Weekday")</f>
        <v>Weekend</v>
      </c>
      <c r="I805" t="str">
        <f>_xlfn.IFS(B805&lt;=5,"Night (0-5)",B805&lt;=9,"Morning peak (6-9)",B805&lt;=15,"Midday (10-15)",B805&lt;=19,"Evening peak (16-19)",TRUE,"Late evening (20-23)")</f>
        <v>Midday (10-15)</v>
      </c>
    </row>
    <row r="806" spans="1:9">
      <c r="A806" s="32">
        <v>41763</v>
      </c>
      <c r="B806">
        <v>12</v>
      </c>
      <c r="C806">
        <v>621</v>
      </c>
      <c r="D806" t="s">
        <v>303</v>
      </c>
      <c r="E806">
        <f>YEAR(A806)</f>
        <v>2014</v>
      </c>
      <c r="F806" s="33">
        <f>DATE(YEAR(A806),MONTH(A806),1)</f>
        <v>41760.0</v>
      </c>
      <c r="G806" t="str">
        <f>CHOOSE(WEEKDAY(A806,2),"Mon","Tue","Wed","Thu","Fri","Sat","Sun")</f>
        <v>Sun</v>
      </c>
      <c r="H806" t="str">
        <f>IF(WEEKDAY(A806,2)&gt;5,"Weekend","Weekday")</f>
        <v>Weekend</v>
      </c>
      <c r="I806" t="str">
        <f>_xlfn.IFS(B806&lt;=5,"Night (0-5)",B806&lt;=9,"Morning peak (6-9)",B806&lt;=15,"Midday (10-15)",B806&lt;=19,"Evening peak (16-19)",TRUE,"Late evening (20-23)")</f>
        <v>Midday (10-15)</v>
      </c>
    </row>
    <row r="807" spans="1:9">
      <c r="A807" s="32">
        <v>41763</v>
      </c>
      <c r="B807">
        <v>13</v>
      </c>
      <c r="C807">
        <v>730</v>
      </c>
      <c r="D807" t="s">
        <v>303</v>
      </c>
      <c r="E807">
        <f>YEAR(A807)</f>
        <v>2014</v>
      </c>
      <c r="F807" s="33">
        <f>DATE(YEAR(A807),MONTH(A807),1)</f>
        <v>41760.0</v>
      </c>
      <c r="G807" t="str">
        <f>CHOOSE(WEEKDAY(A807,2),"Mon","Tue","Wed","Thu","Fri","Sat","Sun")</f>
        <v>Sun</v>
      </c>
      <c r="H807" t="str">
        <f>IF(WEEKDAY(A807,2)&gt;5,"Weekend","Weekday")</f>
        <v>Weekend</v>
      </c>
      <c r="I807" t="str">
        <f>_xlfn.IFS(B807&lt;=5,"Night (0-5)",B807&lt;=9,"Morning peak (6-9)",B807&lt;=15,"Midday (10-15)",B807&lt;=19,"Evening peak (16-19)",TRUE,"Late evening (20-23)")</f>
        <v>Midday (10-15)</v>
      </c>
    </row>
    <row r="808" spans="1:9">
      <c r="A808" s="32">
        <v>41763</v>
      </c>
      <c r="B808">
        <v>14</v>
      </c>
      <c r="C808">
        <v>851</v>
      </c>
      <c r="D808" t="s">
        <v>303</v>
      </c>
      <c r="E808">
        <f>YEAR(A808)</f>
        <v>2014</v>
      </c>
      <c r="F808" s="33">
        <f>DATE(YEAR(A808),MONTH(A808),1)</f>
        <v>41760.0</v>
      </c>
      <c r="G808" t="str">
        <f>CHOOSE(WEEKDAY(A808,2),"Mon","Tue","Wed","Thu","Fri","Sat","Sun")</f>
        <v>Sun</v>
      </c>
      <c r="H808" t="str">
        <f>IF(WEEKDAY(A808,2)&gt;5,"Weekend","Weekday")</f>
        <v>Weekend</v>
      </c>
      <c r="I808" t="str">
        <f>_xlfn.IFS(B808&lt;=5,"Night (0-5)",B808&lt;=9,"Morning peak (6-9)",B808&lt;=15,"Midday (10-15)",B808&lt;=19,"Evening peak (16-19)",TRUE,"Late evening (20-23)")</f>
        <v>Midday (10-15)</v>
      </c>
    </row>
    <row r="809" spans="1:9">
      <c r="A809" s="32">
        <v>41763</v>
      </c>
      <c r="B809">
        <v>15</v>
      </c>
      <c r="C809">
        <v>1029</v>
      </c>
      <c r="D809" t="s">
        <v>303</v>
      </c>
      <c r="E809">
        <f>YEAR(A809)</f>
        <v>2014</v>
      </c>
      <c r="F809" s="33">
        <f>DATE(YEAR(A809),MONTH(A809),1)</f>
        <v>41760.0</v>
      </c>
      <c r="G809" t="str">
        <f>CHOOSE(WEEKDAY(A809,2),"Mon","Tue","Wed","Thu","Fri","Sat","Sun")</f>
        <v>Sun</v>
      </c>
      <c r="H809" t="str">
        <f>IF(WEEKDAY(A809,2)&gt;5,"Weekend","Weekday")</f>
        <v>Weekend</v>
      </c>
      <c r="I809" t="str">
        <f>_xlfn.IFS(B809&lt;=5,"Night (0-5)",B809&lt;=9,"Morning peak (6-9)",B809&lt;=15,"Midday (10-15)",B809&lt;=19,"Evening peak (16-19)",TRUE,"Late evening (20-23)")</f>
        <v>Midday (10-15)</v>
      </c>
    </row>
    <row r="810" spans="1:9">
      <c r="A810" s="32">
        <v>41763</v>
      </c>
      <c r="B810">
        <v>16</v>
      </c>
      <c r="C810">
        <v>1064</v>
      </c>
      <c r="D810" t="s">
        <v>303</v>
      </c>
      <c r="E810">
        <f>YEAR(A810)</f>
        <v>2014</v>
      </c>
      <c r="F810" s="33">
        <f>DATE(YEAR(A810),MONTH(A810),1)</f>
        <v>41760.0</v>
      </c>
      <c r="G810" t="str">
        <f>CHOOSE(WEEKDAY(A810,2),"Mon","Tue","Wed","Thu","Fri","Sat","Sun")</f>
        <v>Sun</v>
      </c>
      <c r="H810" t="str">
        <f>IF(WEEKDAY(A810,2)&gt;5,"Weekend","Weekday")</f>
        <v>Weekend</v>
      </c>
      <c r="I810" t="str">
        <f>_xlfn.IFS(B810&lt;=5,"Night (0-5)",B810&lt;=9,"Morning peak (6-9)",B810&lt;=15,"Midday (10-15)",B810&lt;=19,"Evening peak (16-19)",TRUE,"Late evening (20-23)")</f>
        <v>Evening peak (16-19)</v>
      </c>
    </row>
    <row r="811" spans="1:9">
      <c r="A811" s="32">
        <v>41763</v>
      </c>
      <c r="B811">
        <v>17</v>
      </c>
      <c r="C811">
        <v>961</v>
      </c>
      <c r="D811" t="s">
        <v>303</v>
      </c>
      <c r="E811">
        <f>YEAR(A811)</f>
        <v>2014</v>
      </c>
      <c r="F811" s="33">
        <f>DATE(YEAR(A811),MONTH(A811),1)</f>
        <v>41760.0</v>
      </c>
      <c r="G811" t="str">
        <f>CHOOSE(WEEKDAY(A811,2),"Mon","Tue","Wed","Thu","Fri","Sat","Sun")</f>
        <v>Sun</v>
      </c>
      <c r="H811" t="str">
        <f>IF(WEEKDAY(A811,2)&gt;5,"Weekend","Weekday")</f>
        <v>Weekend</v>
      </c>
      <c r="I811" t="str">
        <f>_xlfn.IFS(B811&lt;=5,"Night (0-5)",B811&lt;=9,"Morning peak (6-9)",B811&lt;=15,"Midday (10-15)",B811&lt;=19,"Evening peak (16-19)",TRUE,"Late evening (20-23)")</f>
        <v>Evening peak (16-19)</v>
      </c>
    </row>
    <row r="812" spans="1:9">
      <c r="A812" s="32">
        <v>41763</v>
      </c>
      <c r="B812">
        <v>18</v>
      </c>
      <c r="C812">
        <v>870</v>
      </c>
      <c r="D812" t="s">
        <v>303</v>
      </c>
      <c r="E812">
        <f>YEAR(A812)</f>
        <v>2014</v>
      </c>
      <c r="F812" s="33">
        <f>DATE(YEAR(A812),MONTH(A812),1)</f>
        <v>41760.0</v>
      </c>
      <c r="G812" t="str">
        <f>CHOOSE(WEEKDAY(A812,2),"Mon","Tue","Wed","Thu","Fri","Sat","Sun")</f>
        <v>Sun</v>
      </c>
      <c r="H812" t="str">
        <f>IF(WEEKDAY(A812,2)&gt;5,"Weekend","Weekday")</f>
        <v>Weekend</v>
      </c>
      <c r="I812" t="str">
        <f>_xlfn.IFS(B812&lt;=5,"Night (0-5)",B812&lt;=9,"Morning peak (6-9)",B812&lt;=15,"Midday (10-15)",B812&lt;=19,"Evening peak (16-19)",TRUE,"Late evening (20-23)")</f>
        <v>Evening peak (16-19)</v>
      </c>
    </row>
    <row r="813" spans="1:9">
      <c r="A813" s="32">
        <v>41763</v>
      </c>
      <c r="B813">
        <v>19</v>
      </c>
      <c r="C813">
        <v>702</v>
      </c>
      <c r="D813" t="s">
        <v>303</v>
      </c>
      <c r="E813">
        <f>YEAR(A813)</f>
        <v>2014</v>
      </c>
      <c r="F813" s="33">
        <f>DATE(YEAR(A813),MONTH(A813),1)</f>
        <v>41760.0</v>
      </c>
      <c r="G813" t="str">
        <f>CHOOSE(WEEKDAY(A813,2),"Mon","Tue","Wed","Thu","Fri","Sat","Sun")</f>
        <v>Sun</v>
      </c>
      <c r="H813" t="str">
        <f>IF(WEEKDAY(A813,2)&gt;5,"Weekend","Weekday")</f>
        <v>Weekend</v>
      </c>
      <c r="I813" t="str">
        <f>_xlfn.IFS(B813&lt;=5,"Night (0-5)",B813&lt;=9,"Morning peak (6-9)",B813&lt;=15,"Midday (10-15)",B813&lt;=19,"Evening peak (16-19)",TRUE,"Late evening (20-23)")</f>
        <v>Evening peak (16-19)</v>
      </c>
    </row>
    <row r="814" spans="1:9">
      <c r="A814" s="32">
        <v>41763</v>
      </c>
      <c r="B814">
        <v>20</v>
      </c>
      <c r="C814">
        <v>707</v>
      </c>
      <c r="D814" t="s">
        <v>303</v>
      </c>
      <c r="E814">
        <f>YEAR(A814)</f>
        <v>2014</v>
      </c>
      <c r="F814" s="33">
        <f>DATE(YEAR(A814),MONTH(A814),1)</f>
        <v>41760.0</v>
      </c>
      <c r="G814" t="str">
        <f>CHOOSE(WEEKDAY(A814,2),"Mon","Tue","Wed","Thu","Fri","Sat","Sun")</f>
        <v>Sun</v>
      </c>
      <c r="H814" t="str">
        <f>IF(WEEKDAY(A814,2)&gt;5,"Weekend","Weekday")</f>
        <v>Weekend</v>
      </c>
      <c r="I814" t="str">
        <f>_xlfn.IFS(B814&lt;=5,"Night (0-5)",B814&lt;=9,"Morning peak (6-9)",B814&lt;=15,"Midday (10-15)",B814&lt;=19,"Evening peak (16-19)",TRUE,"Late evening (20-23)")</f>
        <v>Late evening (20-23)</v>
      </c>
    </row>
    <row r="815" spans="1:9">
      <c r="A815" s="32">
        <v>41763</v>
      </c>
      <c r="B815">
        <v>21</v>
      </c>
      <c r="C815">
        <v>705</v>
      </c>
      <c r="D815" t="s">
        <v>303</v>
      </c>
      <c r="E815">
        <f>YEAR(A815)</f>
        <v>2014</v>
      </c>
      <c r="F815" s="33">
        <f>DATE(YEAR(A815),MONTH(A815),1)</f>
        <v>41760.0</v>
      </c>
      <c r="G815" t="str">
        <f>CHOOSE(WEEKDAY(A815,2),"Mon","Tue","Wed","Thu","Fri","Sat","Sun")</f>
        <v>Sun</v>
      </c>
      <c r="H815" t="str">
        <f>IF(WEEKDAY(A815,2)&gt;5,"Weekend","Weekday")</f>
        <v>Weekend</v>
      </c>
      <c r="I815" t="str">
        <f>_xlfn.IFS(B815&lt;=5,"Night (0-5)",B815&lt;=9,"Morning peak (6-9)",B815&lt;=15,"Midday (10-15)",B815&lt;=19,"Evening peak (16-19)",TRUE,"Late evening (20-23)")</f>
        <v>Late evening (20-23)</v>
      </c>
    </row>
    <row r="816" spans="1:9">
      <c r="A816" s="32">
        <v>41763</v>
      </c>
      <c r="B816">
        <v>22</v>
      </c>
      <c r="C816">
        <v>543</v>
      </c>
      <c r="D816" t="s">
        <v>303</v>
      </c>
      <c r="E816">
        <f>YEAR(A816)</f>
        <v>2014</v>
      </c>
      <c r="F816" s="33">
        <f>DATE(YEAR(A816),MONTH(A816),1)</f>
        <v>41760.0</v>
      </c>
      <c r="G816" t="str">
        <f>CHOOSE(WEEKDAY(A816,2),"Mon","Tue","Wed","Thu","Fri","Sat","Sun")</f>
        <v>Sun</v>
      </c>
      <c r="H816" t="str">
        <f>IF(WEEKDAY(A816,2)&gt;5,"Weekend","Weekday")</f>
        <v>Weekend</v>
      </c>
      <c r="I816" t="str">
        <f>_xlfn.IFS(B816&lt;=5,"Night (0-5)",B816&lt;=9,"Morning peak (6-9)",B816&lt;=15,"Midday (10-15)",B816&lt;=19,"Evening peak (16-19)",TRUE,"Late evening (20-23)")</f>
        <v>Late evening (20-23)</v>
      </c>
    </row>
    <row r="817" spans="1:9">
      <c r="A817" s="32">
        <v>41763</v>
      </c>
      <c r="B817">
        <v>23</v>
      </c>
      <c r="C817">
        <v>296</v>
      </c>
      <c r="D817" t="s">
        <v>303</v>
      </c>
      <c r="E817">
        <f>YEAR(A817)</f>
        <v>2014</v>
      </c>
      <c r="F817" s="33">
        <f>DATE(YEAR(A817),MONTH(A817),1)</f>
        <v>41760.0</v>
      </c>
      <c r="G817" t="str">
        <f>CHOOSE(WEEKDAY(A817,2),"Mon","Tue","Wed","Thu","Fri","Sat","Sun")</f>
        <v>Sun</v>
      </c>
      <c r="H817" t="str">
        <f>IF(WEEKDAY(A817,2)&gt;5,"Weekend","Weekday")</f>
        <v>Weekend</v>
      </c>
      <c r="I817" t="str">
        <f>_xlfn.IFS(B817&lt;=5,"Night (0-5)",B817&lt;=9,"Morning peak (6-9)",B817&lt;=15,"Midday (10-15)",B817&lt;=19,"Evening peak (16-19)",TRUE,"Late evening (20-23)")</f>
        <v>Late evening (20-23)</v>
      </c>
    </row>
    <row r="818" spans="1:9">
      <c r="A818" s="32">
        <v>41764</v>
      </c>
      <c r="B818">
        <v>0</v>
      </c>
      <c r="C818">
        <v>139</v>
      </c>
      <c r="D818" t="s">
        <v>303</v>
      </c>
      <c r="E818">
        <f>YEAR(A818)</f>
        <v>2014</v>
      </c>
      <c r="F818" s="33">
        <f>DATE(YEAR(A818),MONTH(A818),1)</f>
        <v>41760.0</v>
      </c>
      <c r="G818" t="str">
        <f>CHOOSE(WEEKDAY(A818,2),"Mon","Tue","Wed","Thu","Fri","Sat","Sun")</f>
        <v>Mon</v>
      </c>
      <c r="H818" t="str">
        <f>IF(WEEKDAY(A818,2)&gt;5,"Weekend","Weekday")</f>
        <v>Weekday</v>
      </c>
      <c r="I818" t="str">
        <f>_xlfn.IFS(B818&lt;=5,"Night (0-5)",B818&lt;=9,"Morning peak (6-9)",B818&lt;=15,"Midday (10-15)",B818&lt;=19,"Evening peak (16-19)",TRUE,"Late evening (20-23)")</f>
        <v>Night (0-5)</v>
      </c>
    </row>
    <row r="819" spans="1:9">
      <c r="A819" s="32">
        <v>41764</v>
      </c>
      <c r="B819">
        <v>1</v>
      </c>
      <c r="C819">
        <v>72</v>
      </c>
      <c r="D819" t="s">
        <v>303</v>
      </c>
      <c r="E819">
        <f>YEAR(A819)</f>
        <v>2014</v>
      </c>
      <c r="F819" s="33">
        <f>DATE(YEAR(A819),MONTH(A819),1)</f>
        <v>41760.0</v>
      </c>
      <c r="G819" t="str">
        <f>CHOOSE(WEEKDAY(A819,2),"Mon","Tue","Wed","Thu","Fri","Sat","Sun")</f>
        <v>Mon</v>
      </c>
      <c r="H819" t="str">
        <f>IF(WEEKDAY(A819,2)&gt;5,"Weekend","Weekday")</f>
        <v>Weekday</v>
      </c>
      <c r="I819" t="str">
        <f>_xlfn.IFS(B819&lt;=5,"Night (0-5)",B819&lt;=9,"Morning peak (6-9)",B819&lt;=15,"Midday (10-15)",B819&lt;=19,"Evening peak (16-19)",TRUE,"Late evening (20-23)")</f>
        <v>Night (0-5)</v>
      </c>
    </row>
    <row r="820" spans="1:9">
      <c r="A820" s="32">
        <v>41764</v>
      </c>
      <c r="B820">
        <v>2</v>
      </c>
      <c r="C820">
        <v>52</v>
      </c>
      <c r="D820" t="s">
        <v>303</v>
      </c>
      <c r="E820">
        <f>YEAR(A820)</f>
        <v>2014</v>
      </c>
      <c r="F820" s="33">
        <f>DATE(YEAR(A820),MONTH(A820),1)</f>
        <v>41760.0</v>
      </c>
      <c r="G820" t="str">
        <f>CHOOSE(WEEKDAY(A820,2),"Mon","Tue","Wed","Thu","Fri","Sat","Sun")</f>
        <v>Mon</v>
      </c>
      <c r="H820" t="str">
        <f>IF(WEEKDAY(A820,2)&gt;5,"Weekend","Weekday")</f>
        <v>Weekday</v>
      </c>
      <c r="I820" t="str">
        <f>_xlfn.IFS(B820&lt;=5,"Night (0-5)",B820&lt;=9,"Morning peak (6-9)",B820&lt;=15,"Midday (10-15)",B820&lt;=19,"Evening peak (16-19)",TRUE,"Late evening (20-23)")</f>
        <v>Night (0-5)</v>
      </c>
    </row>
    <row r="821" spans="1:9">
      <c r="A821" s="32">
        <v>41764</v>
      </c>
      <c r="B821">
        <v>3</v>
      </c>
      <c r="C821">
        <v>175</v>
      </c>
      <c r="D821" t="s">
        <v>303</v>
      </c>
      <c r="E821">
        <f>YEAR(A821)</f>
        <v>2014</v>
      </c>
      <c r="F821" s="33">
        <f>DATE(YEAR(A821),MONTH(A821),1)</f>
        <v>41760.0</v>
      </c>
      <c r="G821" t="str">
        <f>CHOOSE(WEEKDAY(A821,2),"Mon","Tue","Wed","Thu","Fri","Sat","Sun")</f>
        <v>Mon</v>
      </c>
      <c r="H821" t="str">
        <f>IF(WEEKDAY(A821,2)&gt;5,"Weekend","Weekday")</f>
        <v>Weekday</v>
      </c>
      <c r="I821" t="str">
        <f>_xlfn.IFS(B821&lt;=5,"Night (0-5)",B821&lt;=9,"Morning peak (6-9)",B821&lt;=15,"Midday (10-15)",B821&lt;=19,"Evening peak (16-19)",TRUE,"Late evening (20-23)")</f>
        <v>Night (0-5)</v>
      </c>
    </row>
    <row r="822" spans="1:9">
      <c r="A822" s="32">
        <v>41764</v>
      </c>
      <c r="B822">
        <v>4</v>
      </c>
      <c r="C822">
        <v>264</v>
      </c>
      <c r="D822" t="s">
        <v>303</v>
      </c>
      <c r="E822">
        <f>YEAR(A822)</f>
        <v>2014</v>
      </c>
      <c r="F822" s="33">
        <f>DATE(YEAR(A822),MONTH(A822),1)</f>
        <v>41760.0</v>
      </c>
      <c r="G822" t="str">
        <f>CHOOSE(WEEKDAY(A822,2),"Mon","Tue","Wed","Thu","Fri","Sat","Sun")</f>
        <v>Mon</v>
      </c>
      <c r="H822" t="str">
        <f>IF(WEEKDAY(A822,2)&gt;5,"Weekend","Weekday")</f>
        <v>Weekday</v>
      </c>
      <c r="I822" t="str">
        <f>_xlfn.IFS(B822&lt;=5,"Night (0-5)",B822&lt;=9,"Morning peak (6-9)",B822&lt;=15,"Midday (10-15)",B822&lt;=19,"Evening peak (16-19)",TRUE,"Late evening (20-23)")</f>
        <v>Night (0-5)</v>
      </c>
    </row>
    <row r="823" spans="1:9">
      <c r="A823" s="32">
        <v>41764</v>
      </c>
      <c r="B823">
        <v>5</v>
      </c>
      <c r="C823">
        <v>477</v>
      </c>
      <c r="D823" t="s">
        <v>303</v>
      </c>
      <c r="E823">
        <f>YEAR(A823)</f>
        <v>2014</v>
      </c>
      <c r="F823" s="33">
        <f>DATE(YEAR(A823),MONTH(A823),1)</f>
        <v>41760.0</v>
      </c>
      <c r="G823" t="str">
        <f>CHOOSE(WEEKDAY(A823,2),"Mon","Tue","Wed","Thu","Fri","Sat","Sun")</f>
        <v>Mon</v>
      </c>
      <c r="H823" t="str">
        <f>IF(WEEKDAY(A823,2)&gt;5,"Weekend","Weekday")</f>
        <v>Weekday</v>
      </c>
      <c r="I823" t="str">
        <f>_xlfn.IFS(B823&lt;=5,"Night (0-5)",B823&lt;=9,"Morning peak (6-9)",B823&lt;=15,"Midday (10-15)",B823&lt;=19,"Evening peak (16-19)",TRUE,"Late evening (20-23)")</f>
        <v>Night (0-5)</v>
      </c>
    </row>
    <row r="824" spans="1:9">
      <c r="A824" s="32">
        <v>41764</v>
      </c>
      <c r="B824">
        <v>6</v>
      </c>
      <c r="C824">
        <v>832</v>
      </c>
      <c r="D824" t="s">
        <v>303</v>
      </c>
      <c r="E824">
        <f>YEAR(A824)</f>
        <v>2014</v>
      </c>
      <c r="F824" s="33">
        <f>DATE(YEAR(A824),MONTH(A824),1)</f>
        <v>41760.0</v>
      </c>
      <c r="G824" t="str">
        <f>CHOOSE(WEEKDAY(A824,2),"Mon","Tue","Wed","Thu","Fri","Sat","Sun")</f>
        <v>Mon</v>
      </c>
      <c r="H824" t="str">
        <f>IF(WEEKDAY(A824,2)&gt;5,"Weekend","Weekday")</f>
        <v>Weekday</v>
      </c>
      <c r="I824" t="str">
        <f>_xlfn.IFS(B824&lt;=5,"Night (0-5)",B824&lt;=9,"Morning peak (6-9)",B824&lt;=15,"Midday (10-15)",B824&lt;=19,"Evening peak (16-19)",TRUE,"Late evening (20-23)")</f>
        <v>Morning peak (6-9)</v>
      </c>
    </row>
    <row r="825" spans="1:9">
      <c r="A825" s="32">
        <v>41764</v>
      </c>
      <c r="B825">
        <v>7</v>
      </c>
      <c r="C825">
        <v>1014</v>
      </c>
      <c r="D825" t="s">
        <v>303</v>
      </c>
      <c r="E825">
        <f>YEAR(A825)</f>
        <v>2014</v>
      </c>
      <c r="F825" s="33">
        <f>DATE(YEAR(A825),MONTH(A825),1)</f>
        <v>41760.0</v>
      </c>
      <c r="G825" t="str">
        <f>CHOOSE(WEEKDAY(A825,2),"Mon","Tue","Wed","Thu","Fri","Sat","Sun")</f>
        <v>Mon</v>
      </c>
      <c r="H825" t="str">
        <f>IF(WEEKDAY(A825,2)&gt;5,"Weekend","Weekday")</f>
        <v>Weekday</v>
      </c>
      <c r="I825" t="str">
        <f>_xlfn.IFS(B825&lt;=5,"Night (0-5)",B825&lt;=9,"Morning peak (6-9)",B825&lt;=15,"Midday (10-15)",B825&lt;=19,"Evening peak (16-19)",TRUE,"Late evening (20-23)")</f>
        <v>Morning peak (6-9)</v>
      </c>
    </row>
    <row r="826" spans="1:9">
      <c r="A826" s="32">
        <v>41764</v>
      </c>
      <c r="B826">
        <v>8</v>
      </c>
      <c r="C826">
        <v>959</v>
      </c>
      <c r="D826" t="s">
        <v>303</v>
      </c>
      <c r="E826">
        <f>YEAR(A826)</f>
        <v>2014</v>
      </c>
      <c r="F826" s="33">
        <f>DATE(YEAR(A826),MONTH(A826),1)</f>
        <v>41760.0</v>
      </c>
      <c r="G826" t="str">
        <f>CHOOSE(WEEKDAY(A826,2),"Mon","Tue","Wed","Thu","Fri","Sat","Sun")</f>
        <v>Mon</v>
      </c>
      <c r="H826" t="str">
        <f>IF(WEEKDAY(A826,2)&gt;5,"Weekend","Weekday")</f>
        <v>Weekday</v>
      </c>
      <c r="I826" t="str">
        <f>_xlfn.IFS(B826&lt;=5,"Night (0-5)",B826&lt;=9,"Morning peak (6-9)",B826&lt;=15,"Midday (10-15)",B826&lt;=19,"Evening peak (16-19)",TRUE,"Late evening (20-23)")</f>
        <v>Morning peak (6-9)</v>
      </c>
    </row>
    <row r="827" spans="1:9">
      <c r="A827" s="32">
        <v>41764</v>
      </c>
      <c r="B827">
        <v>9</v>
      </c>
      <c r="C827">
        <v>633</v>
      </c>
      <c r="D827" t="s">
        <v>303</v>
      </c>
      <c r="E827">
        <f>YEAR(A827)</f>
        <v>2014</v>
      </c>
      <c r="F827" s="33">
        <f>DATE(YEAR(A827),MONTH(A827),1)</f>
        <v>41760.0</v>
      </c>
      <c r="G827" t="str">
        <f>CHOOSE(WEEKDAY(A827,2),"Mon","Tue","Wed","Thu","Fri","Sat","Sun")</f>
        <v>Mon</v>
      </c>
      <c r="H827" t="str">
        <f>IF(WEEKDAY(A827,2)&gt;5,"Weekend","Weekday")</f>
        <v>Weekday</v>
      </c>
      <c r="I827" t="str">
        <f>_xlfn.IFS(B827&lt;=5,"Night (0-5)",B827&lt;=9,"Morning peak (6-9)",B827&lt;=15,"Midday (10-15)",B827&lt;=19,"Evening peak (16-19)",TRUE,"Late evening (20-23)")</f>
        <v>Morning peak (6-9)</v>
      </c>
    </row>
    <row r="828" spans="1:9">
      <c r="A828" s="32">
        <v>41764</v>
      </c>
      <c r="B828">
        <v>10</v>
      </c>
      <c r="C828">
        <v>599</v>
      </c>
      <c r="D828" t="s">
        <v>303</v>
      </c>
      <c r="E828">
        <f>YEAR(A828)</f>
        <v>2014</v>
      </c>
      <c r="F828" s="33">
        <f>DATE(YEAR(A828),MONTH(A828),1)</f>
        <v>41760.0</v>
      </c>
      <c r="G828" t="str">
        <f>CHOOSE(WEEKDAY(A828,2),"Mon","Tue","Wed","Thu","Fri","Sat","Sun")</f>
        <v>Mon</v>
      </c>
      <c r="H828" t="str">
        <f>IF(WEEKDAY(A828,2)&gt;5,"Weekend","Weekday")</f>
        <v>Weekday</v>
      </c>
      <c r="I828" t="str">
        <f>_xlfn.IFS(B828&lt;=5,"Night (0-5)",B828&lt;=9,"Morning peak (6-9)",B828&lt;=15,"Midday (10-15)",B828&lt;=19,"Evening peak (16-19)",TRUE,"Late evening (20-23)")</f>
        <v>Midday (10-15)</v>
      </c>
    </row>
    <row r="829" spans="1:9">
      <c r="A829" s="32">
        <v>41764</v>
      </c>
      <c r="B829">
        <v>11</v>
      </c>
      <c r="C829">
        <v>590</v>
      </c>
      <c r="D829" t="s">
        <v>303</v>
      </c>
      <c r="E829">
        <f>YEAR(A829)</f>
        <v>2014</v>
      </c>
      <c r="F829" s="33">
        <f>DATE(YEAR(A829),MONTH(A829),1)</f>
        <v>41760.0</v>
      </c>
      <c r="G829" t="str">
        <f>CHOOSE(WEEKDAY(A829,2),"Mon","Tue","Wed","Thu","Fri","Sat","Sun")</f>
        <v>Mon</v>
      </c>
      <c r="H829" t="str">
        <f>IF(WEEKDAY(A829,2)&gt;5,"Weekend","Weekday")</f>
        <v>Weekday</v>
      </c>
      <c r="I829" t="str">
        <f>_xlfn.IFS(B829&lt;=5,"Night (0-5)",B829&lt;=9,"Morning peak (6-9)",B829&lt;=15,"Midday (10-15)",B829&lt;=19,"Evening peak (16-19)",TRUE,"Late evening (20-23)")</f>
        <v>Midday (10-15)</v>
      </c>
    </row>
    <row r="830" spans="1:9">
      <c r="A830" s="32">
        <v>41764</v>
      </c>
      <c r="B830">
        <v>12</v>
      </c>
      <c r="C830">
        <v>623</v>
      </c>
      <c r="D830" t="s">
        <v>303</v>
      </c>
      <c r="E830">
        <f>YEAR(A830)</f>
        <v>2014</v>
      </c>
      <c r="F830" s="33">
        <f>DATE(YEAR(A830),MONTH(A830),1)</f>
        <v>41760.0</v>
      </c>
      <c r="G830" t="str">
        <f>CHOOSE(WEEKDAY(A830,2),"Mon","Tue","Wed","Thu","Fri","Sat","Sun")</f>
        <v>Mon</v>
      </c>
      <c r="H830" t="str">
        <f>IF(WEEKDAY(A830,2)&gt;5,"Weekend","Weekday")</f>
        <v>Weekday</v>
      </c>
      <c r="I830" t="str">
        <f>_xlfn.IFS(B830&lt;=5,"Night (0-5)",B830&lt;=9,"Morning peak (6-9)",B830&lt;=15,"Midday (10-15)",B830&lt;=19,"Evening peak (16-19)",TRUE,"Late evening (20-23)")</f>
        <v>Midday (10-15)</v>
      </c>
    </row>
    <row r="831" spans="1:9">
      <c r="A831" s="32">
        <v>41764</v>
      </c>
      <c r="B831">
        <v>13</v>
      </c>
      <c r="C831">
        <v>722</v>
      </c>
      <c r="D831" t="s">
        <v>303</v>
      </c>
      <c r="E831">
        <f>YEAR(A831)</f>
        <v>2014</v>
      </c>
      <c r="F831" s="33">
        <f>DATE(YEAR(A831),MONTH(A831),1)</f>
        <v>41760.0</v>
      </c>
      <c r="G831" t="str">
        <f>CHOOSE(WEEKDAY(A831,2),"Mon","Tue","Wed","Thu","Fri","Sat","Sun")</f>
        <v>Mon</v>
      </c>
      <c r="H831" t="str">
        <f>IF(WEEKDAY(A831,2)&gt;5,"Weekend","Weekday")</f>
        <v>Weekday</v>
      </c>
      <c r="I831" t="str">
        <f>_xlfn.IFS(B831&lt;=5,"Night (0-5)",B831&lt;=9,"Morning peak (6-9)",B831&lt;=15,"Midday (10-15)",B831&lt;=19,"Evening peak (16-19)",TRUE,"Late evening (20-23)")</f>
        <v>Midday (10-15)</v>
      </c>
    </row>
    <row r="832" spans="1:9">
      <c r="A832" s="32">
        <v>41764</v>
      </c>
      <c r="B832">
        <v>14</v>
      </c>
      <c r="C832">
        <v>981</v>
      </c>
      <c r="D832" t="s">
        <v>303</v>
      </c>
      <c r="E832">
        <f>YEAR(A832)</f>
        <v>2014</v>
      </c>
      <c r="F832" s="33">
        <f>DATE(YEAR(A832),MONTH(A832),1)</f>
        <v>41760.0</v>
      </c>
      <c r="G832" t="str">
        <f>CHOOSE(WEEKDAY(A832,2),"Mon","Tue","Wed","Thu","Fri","Sat","Sun")</f>
        <v>Mon</v>
      </c>
      <c r="H832" t="str">
        <f>IF(WEEKDAY(A832,2)&gt;5,"Weekend","Weekday")</f>
        <v>Weekday</v>
      </c>
      <c r="I832" t="str">
        <f>_xlfn.IFS(B832&lt;=5,"Night (0-5)",B832&lt;=9,"Morning peak (6-9)",B832&lt;=15,"Midday (10-15)",B832&lt;=19,"Evening peak (16-19)",TRUE,"Late evening (20-23)")</f>
        <v>Midday (10-15)</v>
      </c>
    </row>
    <row r="833" spans="1:9">
      <c r="A833" s="32">
        <v>41764</v>
      </c>
      <c r="B833">
        <v>15</v>
      </c>
      <c r="C833">
        <v>1210</v>
      </c>
      <c r="D833" t="s">
        <v>303</v>
      </c>
      <c r="E833">
        <f>YEAR(A833)</f>
        <v>2014</v>
      </c>
      <c r="F833" s="33">
        <f>DATE(YEAR(A833),MONTH(A833),1)</f>
        <v>41760.0</v>
      </c>
      <c r="G833" t="str">
        <f>CHOOSE(WEEKDAY(A833,2),"Mon","Tue","Wed","Thu","Fri","Sat","Sun")</f>
        <v>Mon</v>
      </c>
      <c r="H833" t="str">
        <f>IF(WEEKDAY(A833,2)&gt;5,"Weekend","Weekday")</f>
        <v>Weekday</v>
      </c>
      <c r="I833" t="str">
        <f>_xlfn.IFS(B833&lt;=5,"Night (0-5)",B833&lt;=9,"Morning peak (6-9)",B833&lt;=15,"Midday (10-15)",B833&lt;=19,"Evening peak (16-19)",TRUE,"Late evening (20-23)")</f>
        <v>Midday (10-15)</v>
      </c>
    </row>
    <row r="834" spans="1:9">
      <c r="A834" s="32">
        <v>41764</v>
      </c>
      <c r="B834">
        <v>16</v>
      </c>
      <c r="C834">
        <v>1430</v>
      </c>
      <c r="D834" t="s">
        <v>303</v>
      </c>
      <c r="E834">
        <f>YEAR(A834)</f>
        <v>2014</v>
      </c>
      <c r="F834" s="33">
        <f>DATE(YEAR(A834),MONTH(A834),1)</f>
        <v>41760.0</v>
      </c>
      <c r="G834" t="str">
        <f>CHOOSE(WEEKDAY(A834,2),"Mon","Tue","Wed","Thu","Fri","Sat","Sun")</f>
        <v>Mon</v>
      </c>
      <c r="H834" t="str">
        <f>IF(WEEKDAY(A834,2)&gt;5,"Weekend","Weekday")</f>
        <v>Weekday</v>
      </c>
      <c r="I834" t="str">
        <f>_xlfn.IFS(B834&lt;=5,"Night (0-5)",B834&lt;=9,"Morning peak (6-9)",B834&lt;=15,"Midday (10-15)",B834&lt;=19,"Evening peak (16-19)",TRUE,"Late evening (20-23)")</f>
        <v>Evening peak (16-19)</v>
      </c>
    </row>
    <row r="835" spans="1:9">
      <c r="A835" s="32">
        <v>41764</v>
      </c>
      <c r="B835">
        <v>17</v>
      </c>
      <c r="C835">
        <v>1597</v>
      </c>
      <c r="D835" t="s">
        <v>303</v>
      </c>
      <c r="E835">
        <f>YEAR(A835)</f>
        <v>2014</v>
      </c>
      <c r="F835" s="33">
        <f>DATE(YEAR(A835),MONTH(A835),1)</f>
        <v>41760.0</v>
      </c>
      <c r="G835" t="str">
        <f>CHOOSE(WEEKDAY(A835,2),"Mon","Tue","Wed","Thu","Fri","Sat","Sun")</f>
        <v>Mon</v>
      </c>
      <c r="H835" t="str">
        <f>IF(WEEKDAY(A835,2)&gt;5,"Weekend","Weekday")</f>
        <v>Weekday</v>
      </c>
      <c r="I835" t="str">
        <f>_xlfn.IFS(B835&lt;=5,"Night (0-5)",B835&lt;=9,"Morning peak (6-9)",B835&lt;=15,"Midday (10-15)",B835&lt;=19,"Evening peak (16-19)",TRUE,"Late evening (20-23)")</f>
        <v>Evening peak (16-19)</v>
      </c>
    </row>
    <row r="836" spans="1:9">
      <c r="A836" s="32">
        <v>41764</v>
      </c>
      <c r="B836">
        <v>18</v>
      </c>
      <c r="C836">
        <v>1222</v>
      </c>
      <c r="D836" t="s">
        <v>303</v>
      </c>
      <c r="E836">
        <f>YEAR(A836)</f>
        <v>2014</v>
      </c>
      <c r="F836" s="33">
        <f>DATE(YEAR(A836),MONTH(A836),1)</f>
        <v>41760.0</v>
      </c>
      <c r="G836" t="str">
        <f>CHOOSE(WEEKDAY(A836,2),"Mon","Tue","Wed","Thu","Fri","Sat","Sun")</f>
        <v>Mon</v>
      </c>
      <c r="H836" t="str">
        <f>IF(WEEKDAY(A836,2)&gt;5,"Weekend","Weekday")</f>
        <v>Weekday</v>
      </c>
      <c r="I836" t="str">
        <f>_xlfn.IFS(B836&lt;=5,"Night (0-5)",B836&lt;=9,"Morning peak (6-9)",B836&lt;=15,"Midday (10-15)",B836&lt;=19,"Evening peak (16-19)",TRUE,"Late evening (20-23)")</f>
        <v>Evening peak (16-19)</v>
      </c>
    </row>
    <row r="837" spans="1:9">
      <c r="A837" s="32">
        <v>41764</v>
      </c>
      <c r="B837">
        <v>19</v>
      </c>
      <c r="C837">
        <v>1067</v>
      </c>
      <c r="D837" t="s">
        <v>303</v>
      </c>
      <c r="E837">
        <f>YEAR(A837)</f>
        <v>2014</v>
      </c>
      <c r="F837" s="33">
        <f>DATE(YEAR(A837),MONTH(A837),1)</f>
        <v>41760.0</v>
      </c>
      <c r="G837" t="str">
        <f>CHOOSE(WEEKDAY(A837,2),"Mon","Tue","Wed","Thu","Fri","Sat","Sun")</f>
        <v>Mon</v>
      </c>
      <c r="H837" t="str">
        <f>IF(WEEKDAY(A837,2)&gt;5,"Weekend","Weekday")</f>
        <v>Weekday</v>
      </c>
      <c r="I837" t="str">
        <f>_xlfn.IFS(B837&lt;=5,"Night (0-5)",B837&lt;=9,"Morning peak (6-9)",B837&lt;=15,"Midday (10-15)",B837&lt;=19,"Evening peak (16-19)",TRUE,"Late evening (20-23)")</f>
        <v>Evening peak (16-19)</v>
      </c>
    </row>
    <row r="838" spans="1:9">
      <c r="A838" s="32">
        <v>41764</v>
      </c>
      <c r="B838">
        <v>20</v>
      </c>
      <c r="C838">
        <v>1076</v>
      </c>
      <c r="D838" t="s">
        <v>303</v>
      </c>
      <c r="E838">
        <f>YEAR(A838)</f>
        <v>2014</v>
      </c>
      <c r="F838" s="33">
        <f>DATE(YEAR(A838),MONTH(A838),1)</f>
        <v>41760.0</v>
      </c>
      <c r="G838" t="str">
        <f>CHOOSE(WEEKDAY(A838,2),"Mon","Tue","Wed","Thu","Fri","Sat","Sun")</f>
        <v>Mon</v>
      </c>
      <c r="H838" t="str">
        <f>IF(WEEKDAY(A838,2)&gt;5,"Weekend","Weekday")</f>
        <v>Weekday</v>
      </c>
      <c r="I838" t="str">
        <f>_xlfn.IFS(B838&lt;=5,"Night (0-5)",B838&lt;=9,"Morning peak (6-9)",B838&lt;=15,"Midday (10-15)",B838&lt;=19,"Evening peak (16-19)",TRUE,"Late evening (20-23)")</f>
        <v>Late evening (20-23)</v>
      </c>
    </row>
    <row r="839" spans="1:9">
      <c r="A839" s="32">
        <v>41764</v>
      </c>
      <c r="B839">
        <v>21</v>
      </c>
      <c r="C839">
        <v>1018</v>
      </c>
      <c r="D839" t="s">
        <v>303</v>
      </c>
      <c r="E839">
        <f>YEAR(A839)</f>
        <v>2014</v>
      </c>
      <c r="F839" s="33">
        <f>DATE(YEAR(A839),MONTH(A839),1)</f>
        <v>41760.0</v>
      </c>
      <c r="G839" t="str">
        <f>CHOOSE(WEEKDAY(A839,2),"Mon","Tue","Wed","Thu","Fri","Sat","Sun")</f>
        <v>Mon</v>
      </c>
      <c r="H839" t="str">
        <f>IF(WEEKDAY(A839,2)&gt;5,"Weekend","Weekday")</f>
        <v>Weekday</v>
      </c>
      <c r="I839" t="str">
        <f>_xlfn.IFS(B839&lt;=5,"Night (0-5)",B839&lt;=9,"Morning peak (6-9)",B839&lt;=15,"Midday (10-15)",B839&lt;=19,"Evening peak (16-19)",TRUE,"Late evening (20-23)")</f>
        <v>Late evening (20-23)</v>
      </c>
    </row>
    <row r="840" spans="1:9">
      <c r="A840" s="32">
        <v>41764</v>
      </c>
      <c r="B840">
        <v>22</v>
      </c>
      <c r="C840">
        <v>706</v>
      </c>
      <c r="D840" t="s">
        <v>303</v>
      </c>
      <c r="E840">
        <f>YEAR(A840)</f>
        <v>2014</v>
      </c>
      <c r="F840" s="33">
        <f>DATE(YEAR(A840),MONTH(A840),1)</f>
        <v>41760.0</v>
      </c>
      <c r="G840" t="str">
        <f>CHOOSE(WEEKDAY(A840,2),"Mon","Tue","Wed","Thu","Fri","Sat","Sun")</f>
        <v>Mon</v>
      </c>
      <c r="H840" t="str">
        <f>IF(WEEKDAY(A840,2)&gt;5,"Weekend","Weekday")</f>
        <v>Weekday</v>
      </c>
      <c r="I840" t="str">
        <f>_xlfn.IFS(B840&lt;=5,"Night (0-5)",B840&lt;=9,"Morning peak (6-9)",B840&lt;=15,"Midday (10-15)",B840&lt;=19,"Evening peak (16-19)",TRUE,"Late evening (20-23)")</f>
        <v>Late evening (20-23)</v>
      </c>
    </row>
    <row r="841" spans="1:9">
      <c r="A841" s="32">
        <v>41764</v>
      </c>
      <c r="B841">
        <v>23</v>
      </c>
      <c r="C841">
        <v>401</v>
      </c>
      <c r="D841" t="s">
        <v>303</v>
      </c>
      <c r="E841">
        <f>YEAR(A841)</f>
        <v>2014</v>
      </c>
      <c r="F841" s="33">
        <f>DATE(YEAR(A841),MONTH(A841),1)</f>
        <v>41760.0</v>
      </c>
      <c r="G841" t="str">
        <f>CHOOSE(WEEKDAY(A841,2),"Mon","Tue","Wed","Thu","Fri","Sat","Sun")</f>
        <v>Mon</v>
      </c>
      <c r="H841" t="str">
        <f>IF(WEEKDAY(A841,2)&gt;5,"Weekend","Weekday")</f>
        <v>Weekday</v>
      </c>
      <c r="I841" t="str">
        <f>_xlfn.IFS(B841&lt;=5,"Night (0-5)",B841&lt;=9,"Morning peak (6-9)",B841&lt;=15,"Midday (10-15)",B841&lt;=19,"Evening peak (16-19)",TRUE,"Late evening (20-23)")</f>
        <v>Late evening (20-23)</v>
      </c>
    </row>
    <row r="842" spans="1:9">
      <c r="A842" s="32">
        <v>41765</v>
      </c>
      <c r="B842">
        <v>0</v>
      </c>
      <c r="C842">
        <v>203</v>
      </c>
      <c r="D842" t="s">
        <v>303</v>
      </c>
      <c r="E842">
        <f>YEAR(A842)</f>
        <v>2014</v>
      </c>
      <c r="F842" s="33">
        <f>DATE(YEAR(A842),MONTH(A842),1)</f>
        <v>41760.0</v>
      </c>
      <c r="G842" t="str">
        <f>CHOOSE(WEEKDAY(A842,2),"Mon","Tue","Wed","Thu","Fri","Sat","Sun")</f>
        <v>Tue</v>
      </c>
      <c r="H842" t="str">
        <f>IF(WEEKDAY(A842,2)&gt;5,"Weekend","Weekday")</f>
        <v>Weekday</v>
      </c>
      <c r="I842" t="str">
        <f>_xlfn.IFS(B842&lt;=5,"Night (0-5)",B842&lt;=9,"Morning peak (6-9)",B842&lt;=15,"Midday (10-15)",B842&lt;=19,"Evening peak (16-19)",TRUE,"Late evening (20-23)")</f>
        <v>Night (0-5)</v>
      </c>
    </row>
    <row r="843" spans="1:9">
      <c r="A843" s="32">
        <v>41765</v>
      </c>
      <c r="B843">
        <v>1</v>
      </c>
      <c r="C843">
        <v>130</v>
      </c>
      <c r="D843" t="s">
        <v>303</v>
      </c>
      <c r="E843">
        <f>YEAR(A843)</f>
        <v>2014</v>
      </c>
      <c r="F843" s="33">
        <f>DATE(YEAR(A843),MONTH(A843),1)</f>
        <v>41760.0</v>
      </c>
      <c r="G843" t="str">
        <f>CHOOSE(WEEKDAY(A843,2),"Mon","Tue","Wed","Thu","Fri","Sat","Sun")</f>
        <v>Tue</v>
      </c>
      <c r="H843" t="str">
        <f>IF(WEEKDAY(A843,2)&gt;5,"Weekend","Weekday")</f>
        <v>Weekday</v>
      </c>
      <c r="I843" t="str">
        <f>_xlfn.IFS(B843&lt;=5,"Night (0-5)",B843&lt;=9,"Morning peak (6-9)",B843&lt;=15,"Midday (10-15)",B843&lt;=19,"Evening peak (16-19)",TRUE,"Late evening (20-23)")</f>
        <v>Night (0-5)</v>
      </c>
    </row>
    <row r="844" spans="1:9">
      <c r="A844" s="32">
        <v>41765</v>
      </c>
      <c r="B844">
        <v>2</v>
      </c>
      <c r="C844">
        <v>97</v>
      </c>
      <c r="D844" t="s">
        <v>303</v>
      </c>
      <c r="E844">
        <f>YEAR(A844)</f>
        <v>2014</v>
      </c>
      <c r="F844" s="33">
        <f>DATE(YEAR(A844),MONTH(A844),1)</f>
        <v>41760.0</v>
      </c>
      <c r="G844" t="str">
        <f>CHOOSE(WEEKDAY(A844,2),"Mon","Tue","Wed","Thu","Fri","Sat","Sun")</f>
        <v>Tue</v>
      </c>
      <c r="H844" t="str">
        <f>IF(WEEKDAY(A844,2)&gt;5,"Weekend","Weekday")</f>
        <v>Weekday</v>
      </c>
      <c r="I844" t="str">
        <f>_xlfn.IFS(B844&lt;=5,"Night (0-5)",B844&lt;=9,"Morning peak (6-9)",B844&lt;=15,"Midday (10-15)",B844&lt;=19,"Evening peak (16-19)",TRUE,"Late evening (20-23)")</f>
        <v>Night (0-5)</v>
      </c>
    </row>
    <row r="845" spans="1:9">
      <c r="A845" s="32">
        <v>41765</v>
      </c>
      <c r="B845">
        <v>3</v>
      </c>
      <c r="C845">
        <v>112</v>
      </c>
      <c r="D845" t="s">
        <v>303</v>
      </c>
      <c r="E845">
        <f>YEAR(A845)</f>
        <v>2014</v>
      </c>
      <c r="F845" s="33">
        <f>DATE(YEAR(A845),MONTH(A845),1)</f>
        <v>41760.0</v>
      </c>
      <c r="G845" t="str">
        <f>CHOOSE(WEEKDAY(A845,2),"Mon","Tue","Wed","Thu","Fri","Sat","Sun")</f>
        <v>Tue</v>
      </c>
      <c r="H845" t="str">
        <f>IF(WEEKDAY(A845,2)&gt;5,"Weekend","Weekday")</f>
        <v>Weekday</v>
      </c>
      <c r="I845" t="str">
        <f>_xlfn.IFS(B845&lt;=5,"Night (0-5)",B845&lt;=9,"Morning peak (6-9)",B845&lt;=15,"Midday (10-15)",B845&lt;=19,"Evening peak (16-19)",TRUE,"Late evening (20-23)")</f>
        <v>Night (0-5)</v>
      </c>
    </row>
    <row r="846" spans="1:9">
      <c r="A846" s="32">
        <v>41765</v>
      </c>
      <c r="B846">
        <v>4</v>
      </c>
      <c r="C846">
        <v>205</v>
      </c>
      <c r="D846" t="s">
        <v>303</v>
      </c>
      <c r="E846">
        <f>YEAR(A846)</f>
        <v>2014</v>
      </c>
      <c r="F846" s="33">
        <f>DATE(YEAR(A846),MONTH(A846),1)</f>
        <v>41760.0</v>
      </c>
      <c r="G846" t="str">
        <f>CHOOSE(WEEKDAY(A846,2),"Mon","Tue","Wed","Thu","Fri","Sat","Sun")</f>
        <v>Tue</v>
      </c>
      <c r="H846" t="str">
        <f>IF(WEEKDAY(A846,2)&gt;5,"Weekend","Weekday")</f>
        <v>Weekday</v>
      </c>
      <c r="I846" t="str">
        <f>_xlfn.IFS(B846&lt;=5,"Night (0-5)",B846&lt;=9,"Morning peak (6-9)",B846&lt;=15,"Midday (10-15)",B846&lt;=19,"Evening peak (16-19)",TRUE,"Late evening (20-23)")</f>
        <v>Night (0-5)</v>
      </c>
    </row>
    <row r="847" spans="1:9">
      <c r="A847" s="32">
        <v>41765</v>
      </c>
      <c r="B847">
        <v>5</v>
      </c>
      <c r="C847">
        <v>406</v>
      </c>
      <c r="D847" t="s">
        <v>303</v>
      </c>
      <c r="E847">
        <f>YEAR(A847)</f>
        <v>2014</v>
      </c>
      <c r="F847" s="33">
        <f>DATE(YEAR(A847),MONTH(A847),1)</f>
        <v>41760.0</v>
      </c>
      <c r="G847" t="str">
        <f>CHOOSE(WEEKDAY(A847,2),"Mon","Tue","Wed","Thu","Fri","Sat","Sun")</f>
        <v>Tue</v>
      </c>
      <c r="H847" t="str">
        <f>IF(WEEKDAY(A847,2)&gt;5,"Weekend","Weekday")</f>
        <v>Weekday</v>
      </c>
      <c r="I847" t="str">
        <f>_xlfn.IFS(B847&lt;=5,"Night (0-5)",B847&lt;=9,"Morning peak (6-9)",B847&lt;=15,"Midday (10-15)",B847&lt;=19,"Evening peak (16-19)",TRUE,"Late evening (20-23)")</f>
        <v>Night (0-5)</v>
      </c>
    </row>
    <row r="848" spans="1:9">
      <c r="A848" s="32">
        <v>41765</v>
      </c>
      <c r="B848">
        <v>6</v>
      </c>
      <c r="C848">
        <v>839</v>
      </c>
      <c r="D848" t="s">
        <v>303</v>
      </c>
      <c r="E848">
        <f>YEAR(A848)</f>
        <v>2014</v>
      </c>
      <c r="F848" s="33">
        <f>DATE(YEAR(A848),MONTH(A848),1)</f>
        <v>41760.0</v>
      </c>
      <c r="G848" t="str">
        <f>CHOOSE(WEEKDAY(A848,2),"Mon","Tue","Wed","Thu","Fri","Sat","Sun")</f>
        <v>Tue</v>
      </c>
      <c r="H848" t="str">
        <f>IF(WEEKDAY(A848,2)&gt;5,"Weekend","Weekday")</f>
        <v>Weekday</v>
      </c>
      <c r="I848" t="str">
        <f>_xlfn.IFS(B848&lt;=5,"Night (0-5)",B848&lt;=9,"Morning peak (6-9)",B848&lt;=15,"Midday (10-15)",B848&lt;=19,"Evening peak (16-19)",TRUE,"Late evening (20-23)")</f>
        <v>Morning peak (6-9)</v>
      </c>
    </row>
    <row r="849" spans="1:9">
      <c r="A849" s="32">
        <v>41765</v>
      </c>
      <c r="B849">
        <v>7</v>
      </c>
      <c r="C849">
        <v>1065</v>
      </c>
      <c r="D849" t="s">
        <v>303</v>
      </c>
      <c r="E849">
        <f>YEAR(A849)</f>
        <v>2014</v>
      </c>
      <c r="F849" s="33">
        <f>DATE(YEAR(A849),MONTH(A849),1)</f>
        <v>41760.0</v>
      </c>
      <c r="G849" t="str">
        <f>CHOOSE(WEEKDAY(A849,2),"Mon","Tue","Wed","Thu","Fri","Sat","Sun")</f>
        <v>Tue</v>
      </c>
      <c r="H849" t="str">
        <f>IF(WEEKDAY(A849,2)&gt;5,"Weekend","Weekday")</f>
        <v>Weekday</v>
      </c>
      <c r="I849" t="str">
        <f>_xlfn.IFS(B849&lt;=5,"Night (0-5)",B849&lt;=9,"Morning peak (6-9)",B849&lt;=15,"Midday (10-15)",B849&lt;=19,"Evening peak (16-19)",TRUE,"Late evening (20-23)")</f>
        <v>Morning peak (6-9)</v>
      </c>
    </row>
    <row r="850" spans="1:9">
      <c r="A850" s="32">
        <v>41765</v>
      </c>
      <c r="B850">
        <v>8</v>
      </c>
      <c r="C850">
        <v>958</v>
      </c>
      <c r="D850" t="s">
        <v>303</v>
      </c>
      <c r="E850">
        <f>YEAR(A850)</f>
        <v>2014</v>
      </c>
      <c r="F850" s="33">
        <f>DATE(YEAR(A850),MONTH(A850),1)</f>
        <v>41760.0</v>
      </c>
      <c r="G850" t="str">
        <f>CHOOSE(WEEKDAY(A850,2),"Mon","Tue","Wed","Thu","Fri","Sat","Sun")</f>
        <v>Tue</v>
      </c>
      <c r="H850" t="str">
        <f>IF(WEEKDAY(A850,2)&gt;5,"Weekend","Weekday")</f>
        <v>Weekday</v>
      </c>
      <c r="I850" t="str">
        <f>_xlfn.IFS(B850&lt;=5,"Night (0-5)",B850&lt;=9,"Morning peak (6-9)",B850&lt;=15,"Midday (10-15)",B850&lt;=19,"Evening peak (16-19)",TRUE,"Late evening (20-23)")</f>
        <v>Morning peak (6-9)</v>
      </c>
    </row>
    <row r="851" spans="1:9">
      <c r="A851" s="32">
        <v>41765</v>
      </c>
      <c r="B851">
        <v>9</v>
      </c>
      <c r="C851">
        <v>640</v>
      </c>
      <c r="D851" t="s">
        <v>303</v>
      </c>
      <c r="E851">
        <f>YEAR(A851)</f>
        <v>2014</v>
      </c>
      <c r="F851" s="33">
        <f>DATE(YEAR(A851),MONTH(A851),1)</f>
        <v>41760.0</v>
      </c>
      <c r="G851" t="str">
        <f>CHOOSE(WEEKDAY(A851,2),"Mon","Tue","Wed","Thu","Fri","Sat","Sun")</f>
        <v>Tue</v>
      </c>
      <c r="H851" t="str">
        <f>IF(WEEKDAY(A851,2)&gt;5,"Weekend","Weekday")</f>
        <v>Weekday</v>
      </c>
      <c r="I851" t="str">
        <f>_xlfn.IFS(B851&lt;=5,"Night (0-5)",B851&lt;=9,"Morning peak (6-9)",B851&lt;=15,"Midday (10-15)",B851&lt;=19,"Evening peak (16-19)",TRUE,"Late evening (20-23)")</f>
        <v>Morning peak (6-9)</v>
      </c>
    </row>
    <row r="852" spans="1:9">
      <c r="A852" s="32">
        <v>41765</v>
      </c>
      <c r="B852">
        <v>10</v>
      </c>
      <c r="C852">
        <v>645</v>
      </c>
      <c r="D852" t="s">
        <v>303</v>
      </c>
      <c r="E852">
        <f>YEAR(A852)</f>
        <v>2014</v>
      </c>
      <c r="F852" s="33">
        <f>DATE(YEAR(A852),MONTH(A852),1)</f>
        <v>41760.0</v>
      </c>
      <c r="G852" t="str">
        <f>CHOOSE(WEEKDAY(A852,2),"Mon","Tue","Wed","Thu","Fri","Sat","Sun")</f>
        <v>Tue</v>
      </c>
      <c r="H852" t="str">
        <f>IF(WEEKDAY(A852,2)&gt;5,"Weekend","Weekday")</f>
        <v>Weekday</v>
      </c>
      <c r="I852" t="str">
        <f>_xlfn.IFS(B852&lt;=5,"Night (0-5)",B852&lt;=9,"Morning peak (6-9)",B852&lt;=15,"Midday (10-15)",B852&lt;=19,"Evening peak (16-19)",TRUE,"Late evening (20-23)")</f>
        <v>Midday (10-15)</v>
      </c>
    </row>
    <row r="853" spans="1:9">
      <c r="A853" s="32">
        <v>41765</v>
      </c>
      <c r="B853">
        <v>11</v>
      </c>
      <c r="C853">
        <v>603</v>
      </c>
      <c r="D853" t="s">
        <v>303</v>
      </c>
      <c r="E853">
        <f>YEAR(A853)</f>
        <v>2014</v>
      </c>
      <c r="F853" s="33">
        <f>DATE(YEAR(A853),MONTH(A853),1)</f>
        <v>41760.0</v>
      </c>
      <c r="G853" t="str">
        <f>CHOOSE(WEEKDAY(A853,2),"Mon","Tue","Wed","Thu","Fri","Sat","Sun")</f>
        <v>Tue</v>
      </c>
      <c r="H853" t="str">
        <f>IF(WEEKDAY(A853,2)&gt;5,"Weekend","Weekday")</f>
        <v>Weekday</v>
      </c>
      <c r="I853" t="str">
        <f>_xlfn.IFS(B853&lt;=5,"Night (0-5)",B853&lt;=9,"Morning peak (6-9)",B853&lt;=15,"Midday (10-15)",B853&lt;=19,"Evening peak (16-19)",TRUE,"Late evening (20-23)")</f>
        <v>Midday (10-15)</v>
      </c>
    </row>
    <row r="854" spans="1:9">
      <c r="A854" s="32">
        <v>41765</v>
      </c>
      <c r="B854">
        <v>12</v>
      </c>
      <c r="C854">
        <v>702</v>
      </c>
      <c r="D854" t="s">
        <v>303</v>
      </c>
      <c r="E854">
        <f>YEAR(A854)</f>
        <v>2014</v>
      </c>
      <c r="F854" s="33">
        <f>DATE(YEAR(A854),MONTH(A854),1)</f>
        <v>41760.0</v>
      </c>
      <c r="G854" t="str">
        <f>CHOOSE(WEEKDAY(A854,2),"Mon","Tue","Wed","Thu","Fri","Sat","Sun")</f>
        <v>Tue</v>
      </c>
      <c r="H854" t="str">
        <f>IF(WEEKDAY(A854,2)&gt;5,"Weekend","Weekday")</f>
        <v>Weekday</v>
      </c>
      <c r="I854" t="str">
        <f>_xlfn.IFS(B854&lt;=5,"Night (0-5)",B854&lt;=9,"Morning peak (6-9)",B854&lt;=15,"Midday (10-15)",B854&lt;=19,"Evening peak (16-19)",TRUE,"Late evening (20-23)")</f>
        <v>Midday (10-15)</v>
      </c>
    </row>
    <row r="855" spans="1:9">
      <c r="A855" s="32">
        <v>41765</v>
      </c>
      <c r="B855">
        <v>13</v>
      </c>
      <c r="C855">
        <v>757</v>
      </c>
      <c r="D855" t="s">
        <v>303</v>
      </c>
      <c r="E855">
        <f>YEAR(A855)</f>
        <v>2014</v>
      </c>
      <c r="F855" s="33">
        <f>DATE(YEAR(A855),MONTH(A855),1)</f>
        <v>41760.0</v>
      </c>
      <c r="G855" t="str">
        <f>CHOOSE(WEEKDAY(A855,2),"Mon","Tue","Wed","Thu","Fri","Sat","Sun")</f>
        <v>Tue</v>
      </c>
      <c r="H855" t="str">
        <f>IF(WEEKDAY(A855,2)&gt;5,"Weekend","Weekday")</f>
        <v>Weekday</v>
      </c>
      <c r="I855" t="str">
        <f>_xlfn.IFS(B855&lt;=5,"Night (0-5)",B855&lt;=9,"Morning peak (6-9)",B855&lt;=15,"Midday (10-15)",B855&lt;=19,"Evening peak (16-19)",TRUE,"Late evening (20-23)")</f>
        <v>Midday (10-15)</v>
      </c>
    </row>
    <row r="856" spans="1:9">
      <c r="A856" s="32">
        <v>41765</v>
      </c>
      <c r="B856">
        <v>14</v>
      </c>
      <c r="C856">
        <v>1016</v>
      </c>
      <c r="D856" t="s">
        <v>303</v>
      </c>
      <c r="E856">
        <f>YEAR(A856)</f>
        <v>2014</v>
      </c>
      <c r="F856" s="33">
        <f>DATE(YEAR(A856),MONTH(A856),1)</f>
        <v>41760.0</v>
      </c>
      <c r="G856" t="str">
        <f>CHOOSE(WEEKDAY(A856,2),"Mon","Tue","Wed","Thu","Fri","Sat","Sun")</f>
        <v>Tue</v>
      </c>
      <c r="H856" t="str">
        <f>IF(WEEKDAY(A856,2)&gt;5,"Weekend","Weekday")</f>
        <v>Weekday</v>
      </c>
      <c r="I856" t="str">
        <f>_xlfn.IFS(B856&lt;=5,"Night (0-5)",B856&lt;=9,"Morning peak (6-9)",B856&lt;=15,"Midday (10-15)",B856&lt;=19,"Evening peak (16-19)",TRUE,"Late evening (20-23)")</f>
        <v>Midday (10-15)</v>
      </c>
    </row>
    <row r="857" spans="1:9">
      <c r="A857" s="32">
        <v>41765</v>
      </c>
      <c r="B857">
        <v>15</v>
      </c>
      <c r="C857">
        <v>1347</v>
      </c>
      <c r="D857" t="s">
        <v>303</v>
      </c>
      <c r="E857">
        <f>YEAR(A857)</f>
        <v>2014</v>
      </c>
      <c r="F857" s="33">
        <f>DATE(YEAR(A857),MONTH(A857),1)</f>
        <v>41760.0</v>
      </c>
      <c r="G857" t="str">
        <f>CHOOSE(WEEKDAY(A857,2),"Mon","Tue","Wed","Thu","Fri","Sat","Sun")</f>
        <v>Tue</v>
      </c>
      <c r="H857" t="str">
        <f>IF(WEEKDAY(A857,2)&gt;5,"Weekend","Weekday")</f>
        <v>Weekday</v>
      </c>
      <c r="I857" t="str">
        <f>_xlfn.IFS(B857&lt;=5,"Night (0-5)",B857&lt;=9,"Morning peak (6-9)",B857&lt;=15,"Midday (10-15)",B857&lt;=19,"Evening peak (16-19)",TRUE,"Late evening (20-23)")</f>
        <v>Midday (10-15)</v>
      </c>
    </row>
    <row r="858" spans="1:9">
      <c r="A858" s="32">
        <v>41765</v>
      </c>
      <c r="B858">
        <v>16</v>
      </c>
      <c r="C858">
        <v>1605</v>
      </c>
      <c r="D858" t="s">
        <v>303</v>
      </c>
      <c r="E858">
        <f>YEAR(A858)</f>
        <v>2014</v>
      </c>
      <c r="F858" s="33">
        <f>DATE(YEAR(A858),MONTH(A858),1)</f>
        <v>41760.0</v>
      </c>
      <c r="G858" t="str">
        <f>CHOOSE(WEEKDAY(A858,2),"Mon","Tue","Wed","Thu","Fri","Sat","Sun")</f>
        <v>Tue</v>
      </c>
      <c r="H858" t="str">
        <f>IF(WEEKDAY(A858,2)&gt;5,"Weekend","Weekday")</f>
        <v>Weekday</v>
      </c>
      <c r="I858" t="str">
        <f>_xlfn.IFS(B858&lt;=5,"Night (0-5)",B858&lt;=9,"Morning peak (6-9)",B858&lt;=15,"Midday (10-15)",B858&lt;=19,"Evening peak (16-19)",TRUE,"Late evening (20-23)")</f>
        <v>Evening peak (16-19)</v>
      </c>
    </row>
    <row r="859" spans="1:9">
      <c r="A859" s="32">
        <v>41765</v>
      </c>
      <c r="B859">
        <v>17</v>
      </c>
      <c r="C859">
        <v>1746</v>
      </c>
      <c r="D859" t="s">
        <v>303</v>
      </c>
      <c r="E859">
        <f>YEAR(A859)</f>
        <v>2014</v>
      </c>
      <c r="F859" s="33">
        <f>DATE(YEAR(A859),MONTH(A859),1)</f>
        <v>41760.0</v>
      </c>
      <c r="G859" t="str">
        <f>CHOOSE(WEEKDAY(A859,2),"Mon","Tue","Wed","Thu","Fri","Sat","Sun")</f>
        <v>Tue</v>
      </c>
      <c r="H859" t="str">
        <f>IF(WEEKDAY(A859,2)&gt;5,"Weekend","Weekday")</f>
        <v>Weekday</v>
      </c>
      <c r="I859" t="str">
        <f>_xlfn.IFS(B859&lt;=5,"Night (0-5)",B859&lt;=9,"Morning peak (6-9)",B859&lt;=15,"Midday (10-15)",B859&lt;=19,"Evening peak (16-19)",TRUE,"Late evening (20-23)")</f>
        <v>Evening peak (16-19)</v>
      </c>
    </row>
    <row r="860" spans="1:9">
      <c r="A860" s="32">
        <v>41765</v>
      </c>
      <c r="B860">
        <v>18</v>
      </c>
      <c r="C860">
        <v>1307</v>
      </c>
      <c r="D860" t="s">
        <v>303</v>
      </c>
      <c r="E860">
        <f>YEAR(A860)</f>
        <v>2014</v>
      </c>
      <c r="F860" s="33">
        <f>DATE(YEAR(A860),MONTH(A860),1)</f>
        <v>41760.0</v>
      </c>
      <c r="G860" t="str">
        <f>CHOOSE(WEEKDAY(A860,2),"Mon","Tue","Wed","Thu","Fri","Sat","Sun")</f>
        <v>Tue</v>
      </c>
      <c r="H860" t="str">
        <f>IF(WEEKDAY(A860,2)&gt;5,"Weekend","Weekday")</f>
        <v>Weekday</v>
      </c>
      <c r="I860" t="str">
        <f>_xlfn.IFS(B860&lt;=5,"Night (0-5)",B860&lt;=9,"Morning peak (6-9)",B860&lt;=15,"Midday (10-15)",B860&lt;=19,"Evening peak (16-19)",TRUE,"Late evening (20-23)")</f>
        <v>Evening peak (16-19)</v>
      </c>
    </row>
    <row r="861" spans="1:9">
      <c r="A861" s="32">
        <v>41765</v>
      </c>
      <c r="B861">
        <v>19</v>
      </c>
      <c r="C861">
        <v>1188</v>
      </c>
      <c r="D861" t="s">
        <v>303</v>
      </c>
      <c r="E861">
        <f>YEAR(A861)</f>
        <v>2014</v>
      </c>
      <c r="F861" s="33">
        <f>DATE(YEAR(A861),MONTH(A861),1)</f>
        <v>41760.0</v>
      </c>
      <c r="G861" t="str">
        <f>CHOOSE(WEEKDAY(A861,2),"Mon","Tue","Wed","Thu","Fri","Sat","Sun")</f>
        <v>Tue</v>
      </c>
      <c r="H861" t="str">
        <f>IF(WEEKDAY(A861,2)&gt;5,"Weekend","Weekday")</f>
        <v>Weekday</v>
      </c>
      <c r="I861" t="str">
        <f>_xlfn.IFS(B861&lt;=5,"Night (0-5)",B861&lt;=9,"Morning peak (6-9)",B861&lt;=15,"Midday (10-15)",B861&lt;=19,"Evening peak (16-19)",TRUE,"Late evening (20-23)")</f>
        <v>Evening peak (16-19)</v>
      </c>
    </row>
    <row r="862" spans="1:9">
      <c r="A862" s="32">
        <v>41765</v>
      </c>
      <c r="B862">
        <v>20</v>
      </c>
      <c r="C862">
        <v>1291</v>
      </c>
      <c r="D862" t="s">
        <v>303</v>
      </c>
      <c r="E862">
        <f>YEAR(A862)</f>
        <v>2014</v>
      </c>
      <c r="F862" s="33">
        <f>DATE(YEAR(A862),MONTH(A862),1)</f>
        <v>41760.0</v>
      </c>
      <c r="G862" t="str">
        <f>CHOOSE(WEEKDAY(A862,2),"Mon","Tue","Wed","Thu","Fri","Sat","Sun")</f>
        <v>Tue</v>
      </c>
      <c r="H862" t="str">
        <f>IF(WEEKDAY(A862,2)&gt;5,"Weekend","Weekday")</f>
        <v>Weekday</v>
      </c>
      <c r="I862" t="str">
        <f>_xlfn.IFS(B862&lt;=5,"Night (0-5)",B862&lt;=9,"Morning peak (6-9)",B862&lt;=15,"Midday (10-15)",B862&lt;=19,"Evening peak (16-19)",TRUE,"Late evening (20-23)")</f>
        <v>Late evening (20-23)</v>
      </c>
    </row>
    <row r="863" spans="1:9">
      <c r="A863" s="32">
        <v>41765</v>
      </c>
      <c r="B863">
        <v>21</v>
      </c>
      <c r="C863">
        <v>1224</v>
      </c>
      <c r="D863" t="s">
        <v>303</v>
      </c>
      <c r="E863">
        <f>YEAR(A863)</f>
        <v>2014</v>
      </c>
      <c r="F863" s="33">
        <f>DATE(YEAR(A863),MONTH(A863),1)</f>
        <v>41760.0</v>
      </c>
      <c r="G863" t="str">
        <f>CHOOSE(WEEKDAY(A863,2),"Mon","Tue","Wed","Thu","Fri","Sat","Sun")</f>
        <v>Tue</v>
      </c>
      <c r="H863" t="str">
        <f>IF(WEEKDAY(A863,2)&gt;5,"Weekend","Weekday")</f>
        <v>Weekday</v>
      </c>
      <c r="I863" t="str">
        <f>_xlfn.IFS(B863&lt;=5,"Night (0-5)",B863&lt;=9,"Morning peak (6-9)",B863&lt;=15,"Midday (10-15)",B863&lt;=19,"Evening peak (16-19)",TRUE,"Late evening (20-23)")</f>
        <v>Late evening (20-23)</v>
      </c>
    </row>
    <row r="864" spans="1:9">
      <c r="A864" s="32">
        <v>41765</v>
      </c>
      <c r="B864">
        <v>22</v>
      </c>
      <c r="C864">
        <v>756</v>
      </c>
      <c r="D864" t="s">
        <v>303</v>
      </c>
      <c r="E864">
        <f>YEAR(A864)</f>
        <v>2014</v>
      </c>
      <c r="F864" s="33">
        <f>DATE(YEAR(A864),MONTH(A864),1)</f>
        <v>41760.0</v>
      </c>
      <c r="G864" t="str">
        <f>CHOOSE(WEEKDAY(A864,2),"Mon","Tue","Wed","Thu","Fri","Sat","Sun")</f>
        <v>Tue</v>
      </c>
      <c r="H864" t="str">
        <f>IF(WEEKDAY(A864,2)&gt;5,"Weekend","Weekday")</f>
        <v>Weekday</v>
      </c>
      <c r="I864" t="str">
        <f>_xlfn.IFS(B864&lt;=5,"Night (0-5)",B864&lt;=9,"Morning peak (6-9)",B864&lt;=15,"Midday (10-15)",B864&lt;=19,"Evening peak (16-19)",TRUE,"Late evening (20-23)")</f>
        <v>Late evening (20-23)</v>
      </c>
    </row>
    <row r="865" spans="1:9">
      <c r="A865" s="32">
        <v>41765</v>
      </c>
      <c r="B865">
        <v>23</v>
      </c>
      <c r="C865">
        <v>458</v>
      </c>
      <c r="D865" t="s">
        <v>303</v>
      </c>
      <c r="E865">
        <f>YEAR(A865)</f>
        <v>2014</v>
      </c>
      <c r="F865" s="33">
        <f>DATE(YEAR(A865),MONTH(A865),1)</f>
        <v>41760.0</v>
      </c>
      <c r="G865" t="str">
        <f>CHOOSE(WEEKDAY(A865,2),"Mon","Tue","Wed","Thu","Fri","Sat","Sun")</f>
        <v>Tue</v>
      </c>
      <c r="H865" t="str">
        <f>IF(WEEKDAY(A865,2)&gt;5,"Weekend","Weekday")</f>
        <v>Weekday</v>
      </c>
      <c r="I865" t="str">
        <f>_xlfn.IFS(B865&lt;=5,"Night (0-5)",B865&lt;=9,"Morning peak (6-9)",B865&lt;=15,"Midday (10-15)",B865&lt;=19,"Evening peak (16-19)",TRUE,"Late evening (20-23)")</f>
        <v>Late evening (20-23)</v>
      </c>
    </row>
    <row r="866" spans="1:9">
      <c r="A866" s="32">
        <v>41766</v>
      </c>
      <c r="B866">
        <v>0</v>
      </c>
      <c r="C866">
        <v>201</v>
      </c>
      <c r="D866" t="s">
        <v>303</v>
      </c>
      <c r="E866">
        <f>YEAR(A866)</f>
        <v>2014</v>
      </c>
      <c r="F866" s="33">
        <f>DATE(YEAR(A866),MONTH(A866),1)</f>
        <v>41760.0</v>
      </c>
      <c r="G866" t="str">
        <f>CHOOSE(WEEKDAY(A866,2),"Mon","Tue","Wed","Thu","Fri","Sat","Sun")</f>
        <v>Wed</v>
      </c>
      <c r="H866" t="str">
        <f>IF(WEEKDAY(A866,2)&gt;5,"Weekend","Weekday")</f>
        <v>Weekday</v>
      </c>
      <c r="I866" t="str">
        <f>_xlfn.IFS(B866&lt;=5,"Night (0-5)",B866&lt;=9,"Morning peak (6-9)",B866&lt;=15,"Midday (10-15)",B866&lt;=19,"Evening peak (16-19)",TRUE,"Late evening (20-23)")</f>
        <v>Night (0-5)</v>
      </c>
    </row>
    <row r="867" spans="1:9">
      <c r="A867" s="32">
        <v>41766</v>
      </c>
      <c r="B867">
        <v>1</v>
      </c>
      <c r="C867">
        <v>109</v>
      </c>
      <c r="D867" t="s">
        <v>303</v>
      </c>
      <c r="E867">
        <f>YEAR(A867)</f>
        <v>2014</v>
      </c>
      <c r="F867" s="33">
        <f>DATE(YEAR(A867),MONTH(A867),1)</f>
        <v>41760.0</v>
      </c>
      <c r="G867" t="str">
        <f>CHOOSE(WEEKDAY(A867,2),"Mon","Tue","Wed","Thu","Fri","Sat","Sun")</f>
        <v>Wed</v>
      </c>
      <c r="H867" t="str">
        <f>IF(WEEKDAY(A867,2)&gt;5,"Weekend","Weekday")</f>
        <v>Weekday</v>
      </c>
      <c r="I867" t="str">
        <f>_xlfn.IFS(B867&lt;=5,"Night (0-5)",B867&lt;=9,"Morning peak (6-9)",B867&lt;=15,"Midday (10-15)",B867&lt;=19,"Evening peak (16-19)",TRUE,"Late evening (20-23)")</f>
        <v>Night (0-5)</v>
      </c>
    </row>
    <row r="868" spans="1:9">
      <c r="A868" s="32">
        <v>41766</v>
      </c>
      <c r="B868">
        <v>2</v>
      </c>
      <c r="C868">
        <v>71</v>
      </c>
      <c r="D868" t="s">
        <v>303</v>
      </c>
      <c r="E868">
        <f>YEAR(A868)</f>
        <v>2014</v>
      </c>
      <c r="F868" s="33">
        <f>DATE(YEAR(A868),MONTH(A868),1)</f>
        <v>41760.0</v>
      </c>
      <c r="G868" t="str">
        <f>CHOOSE(WEEKDAY(A868,2),"Mon","Tue","Wed","Thu","Fri","Sat","Sun")</f>
        <v>Wed</v>
      </c>
      <c r="H868" t="str">
        <f>IF(WEEKDAY(A868,2)&gt;5,"Weekend","Weekday")</f>
        <v>Weekday</v>
      </c>
      <c r="I868" t="str">
        <f>_xlfn.IFS(B868&lt;=5,"Night (0-5)",B868&lt;=9,"Morning peak (6-9)",B868&lt;=15,"Midday (10-15)",B868&lt;=19,"Evening peak (16-19)",TRUE,"Late evening (20-23)")</f>
        <v>Night (0-5)</v>
      </c>
    </row>
    <row r="869" spans="1:9">
      <c r="A869" s="32">
        <v>41766</v>
      </c>
      <c r="B869">
        <v>3</v>
      </c>
      <c r="C869">
        <v>137</v>
      </c>
      <c r="D869" t="s">
        <v>303</v>
      </c>
      <c r="E869">
        <f>YEAR(A869)</f>
        <v>2014</v>
      </c>
      <c r="F869" s="33">
        <f>DATE(YEAR(A869),MONTH(A869),1)</f>
        <v>41760.0</v>
      </c>
      <c r="G869" t="str">
        <f>CHOOSE(WEEKDAY(A869,2),"Mon","Tue","Wed","Thu","Fri","Sat","Sun")</f>
        <v>Wed</v>
      </c>
      <c r="H869" t="str">
        <f>IF(WEEKDAY(A869,2)&gt;5,"Weekend","Weekday")</f>
        <v>Weekday</v>
      </c>
      <c r="I869" t="str">
        <f>_xlfn.IFS(B869&lt;=5,"Night (0-5)",B869&lt;=9,"Morning peak (6-9)",B869&lt;=15,"Midday (10-15)",B869&lt;=19,"Evening peak (16-19)",TRUE,"Late evening (20-23)")</f>
        <v>Night (0-5)</v>
      </c>
    </row>
    <row r="870" spans="1:9">
      <c r="A870" s="32">
        <v>41766</v>
      </c>
      <c r="B870">
        <v>4</v>
      </c>
      <c r="C870">
        <v>205</v>
      </c>
      <c r="D870" t="s">
        <v>303</v>
      </c>
      <c r="E870">
        <f>YEAR(A870)</f>
        <v>2014</v>
      </c>
      <c r="F870" s="33">
        <f>DATE(YEAR(A870),MONTH(A870),1)</f>
        <v>41760.0</v>
      </c>
      <c r="G870" t="str">
        <f>CHOOSE(WEEKDAY(A870,2),"Mon","Tue","Wed","Thu","Fri","Sat","Sun")</f>
        <v>Wed</v>
      </c>
      <c r="H870" t="str">
        <f>IF(WEEKDAY(A870,2)&gt;5,"Weekend","Weekday")</f>
        <v>Weekday</v>
      </c>
      <c r="I870" t="str">
        <f>_xlfn.IFS(B870&lt;=5,"Night (0-5)",B870&lt;=9,"Morning peak (6-9)",B870&lt;=15,"Midday (10-15)",B870&lt;=19,"Evening peak (16-19)",TRUE,"Late evening (20-23)")</f>
        <v>Night (0-5)</v>
      </c>
    </row>
    <row r="871" spans="1:9">
      <c r="A871" s="32">
        <v>41766</v>
      </c>
      <c r="B871">
        <v>5</v>
      </c>
      <c r="C871">
        <v>341</v>
      </c>
      <c r="D871" t="s">
        <v>303</v>
      </c>
      <c r="E871">
        <f>YEAR(A871)</f>
        <v>2014</v>
      </c>
      <c r="F871" s="33">
        <f>DATE(YEAR(A871),MONTH(A871),1)</f>
        <v>41760.0</v>
      </c>
      <c r="G871" t="str">
        <f>CHOOSE(WEEKDAY(A871,2),"Mon","Tue","Wed","Thu","Fri","Sat","Sun")</f>
        <v>Wed</v>
      </c>
      <c r="H871" t="str">
        <f>IF(WEEKDAY(A871,2)&gt;5,"Weekend","Weekday")</f>
        <v>Weekday</v>
      </c>
      <c r="I871" t="str">
        <f>_xlfn.IFS(B871&lt;=5,"Night (0-5)",B871&lt;=9,"Morning peak (6-9)",B871&lt;=15,"Midday (10-15)",B871&lt;=19,"Evening peak (16-19)",TRUE,"Late evening (20-23)")</f>
        <v>Night (0-5)</v>
      </c>
    </row>
    <row r="872" spans="1:9">
      <c r="A872" s="32">
        <v>41766</v>
      </c>
      <c r="B872">
        <v>6</v>
      </c>
      <c r="C872">
        <v>888</v>
      </c>
      <c r="D872" t="s">
        <v>303</v>
      </c>
      <c r="E872">
        <f>YEAR(A872)</f>
        <v>2014</v>
      </c>
      <c r="F872" s="33">
        <f>DATE(YEAR(A872),MONTH(A872),1)</f>
        <v>41760.0</v>
      </c>
      <c r="G872" t="str">
        <f>CHOOSE(WEEKDAY(A872,2),"Mon","Tue","Wed","Thu","Fri","Sat","Sun")</f>
        <v>Wed</v>
      </c>
      <c r="H872" t="str">
        <f>IF(WEEKDAY(A872,2)&gt;5,"Weekend","Weekday")</f>
        <v>Weekday</v>
      </c>
      <c r="I872" t="str">
        <f>_xlfn.IFS(B872&lt;=5,"Night (0-5)",B872&lt;=9,"Morning peak (6-9)",B872&lt;=15,"Midday (10-15)",B872&lt;=19,"Evening peak (16-19)",TRUE,"Late evening (20-23)")</f>
        <v>Morning peak (6-9)</v>
      </c>
    </row>
    <row r="873" spans="1:9">
      <c r="A873" s="32">
        <v>41766</v>
      </c>
      <c r="B873">
        <v>7</v>
      </c>
      <c r="C873">
        <v>1151</v>
      </c>
      <c r="D873" t="s">
        <v>303</v>
      </c>
      <c r="E873">
        <f>YEAR(A873)</f>
        <v>2014</v>
      </c>
      <c r="F873" s="33">
        <f>DATE(YEAR(A873),MONTH(A873),1)</f>
        <v>41760.0</v>
      </c>
      <c r="G873" t="str">
        <f>CHOOSE(WEEKDAY(A873,2),"Mon","Tue","Wed","Thu","Fri","Sat","Sun")</f>
        <v>Wed</v>
      </c>
      <c r="H873" t="str">
        <f>IF(WEEKDAY(A873,2)&gt;5,"Weekend","Weekday")</f>
        <v>Weekday</v>
      </c>
      <c r="I873" t="str">
        <f>_xlfn.IFS(B873&lt;=5,"Night (0-5)",B873&lt;=9,"Morning peak (6-9)",B873&lt;=15,"Midday (10-15)",B873&lt;=19,"Evening peak (16-19)",TRUE,"Late evening (20-23)")</f>
        <v>Morning peak (6-9)</v>
      </c>
    </row>
    <row r="874" spans="1:9">
      <c r="A874" s="32">
        <v>41766</v>
      </c>
      <c r="B874">
        <v>8</v>
      </c>
      <c r="C874">
        <v>971</v>
      </c>
      <c r="D874" t="s">
        <v>303</v>
      </c>
      <c r="E874">
        <f>YEAR(A874)</f>
        <v>2014</v>
      </c>
      <c r="F874" s="33">
        <f>DATE(YEAR(A874),MONTH(A874),1)</f>
        <v>41760.0</v>
      </c>
      <c r="G874" t="str">
        <f>CHOOSE(WEEKDAY(A874,2),"Mon","Tue","Wed","Thu","Fri","Sat","Sun")</f>
        <v>Wed</v>
      </c>
      <c r="H874" t="str">
        <f>IF(WEEKDAY(A874,2)&gt;5,"Weekend","Weekday")</f>
        <v>Weekday</v>
      </c>
      <c r="I874" t="str">
        <f>_xlfn.IFS(B874&lt;=5,"Night (0-5)",B874&lt;=9,"Morning peak (6-9)",B874&lt;=15,"Midday (10-15)",B874&lt;=19,"Evening peak (16-19)",TRUE,"Late evening (20-23)")</f>
        <v>Morning peak (6-9)</v>
      </c>
    </row>
    <row r="875" spans="1:9">
      <c r="A875" s="32">
        <v>41766</v>
      </c>
      <c r="B875">
        <v>9</v>
      </c>
      <c r="C875">
        <v>695</v>
      </c>
      <c r="D875" t="s">
        <v>303</v>
      </c>
      <c r="E875">
        <f>YEAR(A875)</f>
        <v>2014</v>
      </c>
      <c r="F875" s="33">
        <f>DATE(YEAR(A875),MONTH(A875),1)</f>
        <v>41760.0</v>
      </c>
      <c r="G875" t="str">
        <f>CHOOSE(WEEKDAY(A875,2),"Mon","Tue","Wed","Thu","Fri","Sat","Sun")</f>
        <v>Wed</v>
      </c>
      <c r="H875" t="str">
        <f>IF(WEEKDAY(A875,2)&gt;5,"Weekend","Weekday")</f>
        <v>Weekday</v>
      </c>
      <c r="I875" t="str">
        <f>_xlfn.IFS(B875&lt;=5,"Night (0-5)",B875&lt;=9,"Morning peak (6-9)",B875&lt;=15,"Midday (10-15)",B875&lt;=19,"Evening peak (16-19)",TRUE,"Late evening (20-23)")</f>
        <v>Morning peak (6-9)</v>
      </c>
    </row>
    <row r="876" spans="1:9">
      <c r="A876" s="32">
        <v>41766</v>
      </c>
      <c r="B876">
        <v>10</v>
      </c>
      <c r="C876">
        <v>733</v>
      </c>
      <c r="D876" t="s">
        <v>303</v>
      </c>
      <c r="E876">
        <f>YEAR(A876)</f>
        <v>2014</v>
      </c>
      <c r="F876" s="33">
        <f>DATE(YEAR(A876),MONTH(A876),1)</f>
        <v>41760.0</v>
      </c>
      <c r="G876" t="str">
        <f>CHOOSE(WEEKDAY(A876,2),"Mon","Tue","Wed","Thu","Fri","Sat","Sun")</f>
        <v>Wed</v>
      </c>
      <c r="H876" t="str">
        <f>IF(WEEKDAY(A876,2)&gt;5,"Weekend","Weekday")</f>
        <v>Weekday</v>
      </c>
      <c r="I876" t="str">
        <f>_xlfn.IFS(B876&lt;=5,"Night (0-5)",B876&lt;=9,"Morning peak (6-9)",B876&lt;=15,"Midday (10-15)",B876&lt;=19,"Evening peak (16-19)",TRUE,"Late evening (20-23)")</f>
        <v>Midday (10-15)</v>
      </c>
    </row>
    <row r="877" spans="1:9">
      <c r="A877" s="32">
        <v>41766</v>
      </c>
      <c r="B877">
        <v>11</v>
      </c>
      <c r="C877">
        <v>689</v>
      </c>
      <c r="D877" t="s">
        <v>303</v>
      </c>
      <c r="E877">
        <f>YEAR(A877)</f>
        <v>2014</v>
      </c>
      <c r="F877" s="33">
        <f>DATE(YEAR(A877),MONTH(A877),1)</f>
        <v>41760.0</v>
      </c>
      <c r="G877" t="str">
        <f>CHOOSE(WEEKDAY(A877,2),"Mon","Tue","Wed","Thu","Fri","Sat","Sun")</f>
        <v>Wed</v>
      </c>
      <c r="H877" t="str">
        <f>IF(WEEKDAY(A877,2)&gt;5,"Weekend","Weekday")</f>
        <v>Weekday</v>
      </c>
      <c r="I877" t="str">
        <f>_xlfn.IFS(B877&lt;=5,"Night (0-5)",B877&lt;=9,"Morning peak (6-9)",B877&lt;=15,"Midday (10-15)",B877&lt;=19,"Evening peak (16-19)",TRUE,"Late evening (20-23)")</f>
        <v>Midday (10-15)</v>
      </c>
    </row>
    <row r="878" spans="1:9">
      <c r="A878" s="32">
        <v>41766</v>
      </c>
      <c r="B878">
        <v>12</v>
      </c>
      <c r="C878">
        <v>726</v>
      </c>
      <c r="D878" t="s">
        <v>303</v>
      </c>
      <c r="E878">
        <f>YEAR(A878)</f>
        <v>2014</v>
      </c>
      <c r="F878" s="33">
        <f>DATE(YEAR(A878),MONTH(A878),1)</f>
        <v>41760.0</v>
      </c>
      <c r="G878" t="str">
        <f>CHOOSE(WEEKDAY(A878,2),"Mon","Tue","Wed","Thu","Fri","Sat","Sun")</f>
        <v>Wed</v>
      </c>
      <c r="H878" t="str">
        <f>IF(WEEKDAY(A878,2)&gt;5,"Weekend","Weekday")</f>
        <v>Weekday</v>
      </c>
      <c r="I878" t="str">
        <f>_xlfn.IFS(B878&lt;=5,"Night (0-5)",B878&lt;=9,"Morning peak (6-9)",B878&lt;=15,"Midday (10-15)",B878&lt;=19,"Evening peak (16-19)",TRUE,"Late evening (20-23)")</f>
        <v>Midday (10-15)</v>
      </c>
    </row>
    <row r="879" spans="1:9">
      <c r="A879" s="32">
        <v>41766</v>
      </c>
      <c r="B879">
        <v>13</v>
      </c>
      <c r="C879">
        <v>971</v>
      </c>
      <c r="D879" t="s">
        <v>303</v>
      </c>
      <c r="E879">
        <f>YEAR(A879)</f>
        <v>2014</v>
      </c>
      <c r="F879" s="33">
        <f>DATE(YEAR(A879),MONTH(A879),1)</f>
        <v>41760.0</v>
      </c>
      <c r="G879" t="str">
        <f>CHOOSE(WEEKDAY(A879,2),"Mon","Tue","Wed","Thu","Fri","Sat","Sun")</f>
        <v>Wed</v>
      </c>
      <c r="H879" t="str">
        <f>IF(WEEKDAY(A879,2)&gt;5,"Weekend","Weekday")</f>
        <v>Weekday</v>
      </c>
      <c r="I879" t="str">
        <f>_xlfn.IFS(B879&lt;=5,"Night (0-5)",B879&lt;=9,"Morning peak (6-9)",B879&lt;=15,"Midday (10-15)",B879&lt;=19,"Evening peak (16-19)",TRUE,"Late evening (20-23)")</f>
        <v>Midday (10-15)</v>
      </c>
    </row>
    <row r="880" spans="1:9">
      <c r="A880" s="32">
        <v>41766</v>
      </c>
      <c r="B880">
        <v>14</v>
      </c>
      <c r="C880">
        <v>1186</v>
      </c>
      <c r="D880" t="s">
        <v>303</v>
      </c>
      <c r="E880">
        <f>YEAR(A880)</f>
        <v>2014</v>
      </c>
      <c r="F880" s="33">
        <f>DATE(YEAR(A880),MONTH(A880),1)</f>
        <v>41760.0</v>
      </c>
      <c r="G880" t="str">
        <f>CHOOSE(WEEKDAY(A880,2),"Mon","Tue","Wed","Thu","Fri","Sat","Sun")</f>
        <v>Wed</v>
      </c>
      <c r="H880" t="str">
        <f>IF(WEEKDAY(A880,2)&gt;5,"Weekend","Weekday")</f>
        <v>Weekday</v>
      </c>
      <c r="I880" t="str">
        <f>_xlfn.IFS(B880&lt;=5,"Night (0-5)",B880&lt;=9,"Morning peak (6-9)",B880&lt;=15,"Midday (10-15)",B880&lt;=19,"Evening peak (16-19)",TRUE,"Late evening (20-23)")</f>
        <v>Midday (10-15)</v>
      </c>
    </row>
    <row r="881" spans="1:9">
      <c r="A881" s="32">
        <v>41766</v>
      </c>
      <c r="B881">
        <v>15</v>
      </c>
      <c r="C881">
        <v>1494</v>
      </c>
      <c r="D881" t="s">
        <v>303</v>
      </c>
      <c r="E881">
        <f>YEAR(A881)</f>
        <v>2014</v>
      </c>
      <c r="F881" s="33">
        <f>DATE(YEAR(A881),MONTH(A881),1)</f>
        <v>41760.0</v>
      </c>
      <c r="G881" t="str">
        <f>CHOOSE(WEEKDAY(A881,2),"Mon","Tue","Wed","Thu","Fri","Sat","Sun")</f>
        <v>Wed</v>
      </c>
      <c r="H881" t="str">
        <f>IF(WEEKDAY(A881,2)&gt;5,"Weekend","Weekday")</f>
        <v>Weekday</v>
      </c>
      <c r="I881" t="str">
        <f>_xlfn.IFS(B881&lt;=5,"Night (0-5)",B881&lt;=9,"Morning peak (6-9)",B881&lt;=15,"Midday (10-15)",B881&lt;=19,"Evening peak (16-19)",TRUE,"Late evening (20-23)")</f>
        <v>Midday (10-15)</v>
      </c>
    </row>
    <row r="882" spans="1:9">
      <c r="A882" s="32">
        <v>41766</v>
      </c>
      <c r="B882">
        <v>16</v>
      </c>
      <c r="C882">
        <v>1843</v>
      </c>
      <c r="D882" t="s">
        <v>303</v>
      </c>
      <c r="E882">
        <f>YEAR(A882)</f>
        <v>2014</v>
      </c>
      <c r="F882" s="33">
        <f>DATE(YEAR(A882),MONTH(A882),1)</f>
        <v>41760.0</v>
      </c>
      <c r="G882" t="str">
        <f>CHOOSE(WEEKDAY(A882,2),"Mon","Tue","Wed","Thu","Fri","Sat","Sun")</f>
        <v>Wed</v>
      </c>
      <c r="H882" t="str">
        <f>IF(WEEKDAY(A882,2)&gt;5,"Weekend","Weekday")</f>
        <v>Weekday</v>
      </c>
      <c r="I882" t="str">
        <f>_xlfn.IFS(B882&lt;=5,"Night (0-5)",B882&lt;=9,"Morning peak (6-9)",B882&lt;=15,"Midday (10-15)",B882&lt;=19,"Evening peak (16-19)",TRUE,"Late evening (20-23)")</f>
        <v>Evening peak (16-19)</v>
      </c>
    </row>
    <row r="883" spans="1:9">
      <c r="A883" s="32">
        <v>41766</v>
      </c>
      <c r="B883">
        <v>17</v>
      </c>
      <c r="C883">
        <v>1878</v>
      </c>
      <c r="D883" t="s">
        <v>303</v>
      </c>
      <c r="E883">
        <f>YEAR(A883)</f>
        <v>2014</v>
      </c>
      <c r="F883" s="33">
        <f>DATE(YEAR(A883),MONTH(A883),1)</f>
        <v>41760.0</v>
      </c>
      <c r="G883" t="str">
        <f>CHOOSE(WEEKDAY(A883,2),"Mon","Tue","Wed","Thu","Fri","Sat","Sun")</f>
        <v>Wed</v>
      </c>
      <c r="H883" t="str">
        <f>IF(WEEKDAY(A883,2)&gt;5,"Weekend","Weekday")</f>
        <v>Weekday</v>
      </c>
      <c r="I883" t="str">
        <f>_xlfn.IFS(B883&lt;=5,"Night (0-5)",B883&lt;=9,"Morning peak (6-9)",B883&lt;=15,"Midday (10-15)",B883&lt;=19,"Evening peak (16-19)",TRUE,"Late evening (20-23)")</f>
        <v>Evening peak (16-19)</v>
      </c>
    </row>
    <row r="884" spans="1:9">
      <c r="A884" s="32">
        <v>41766</v>
      </c>
      <c r="B884">
        <v>18</v>
      </c>
      <c r="C884">
        <v>1683</v>
      </c>
      <c r="D884" t="s">
        <v>303</v>
      </c>
      <c r="E884">
        <f>YEAR(A884)</f>
        <v>2014</v>
      </c>
      <c r="F884" s="33">
        <f>DATE(YEAR(A884),MONTH(A884),1)</f>
        <v>41760.0</v>
      </c>
      <c r="G884" t="str">
        <f>CHOOSE(WEEKDAY(A884,2),"Mon","Tue","Wed","Thu","Fri","Sat","Sun")</f>
        <v>Wed</v>
      </c>
      <c r="H884" t="str">
        <f>IF(WEEKDAY(A884,2)&gt;5,"Weekend","Weekday")</f>
        <v>Weekday</v>
      </c>
      <c r="I884" t="str">
        <f>_xlfn.IFS(B884&lt;=5,"Night (0-5)",B884&lt;=9,"Morning peak (6-9)",B884&lt;=15,"Midday (10-15)",B884&lt;=19,"Evening peak (16-19)",TRUE,"Late evening (20-23)")</f>
        <v>Evening peak (16-19)</v>
      </c>
    </row>
    <row r="885" spans="1:9">
      <c r="A885" s="32">
        <v>41766</v>
      </c>
      <c r="B885">
        <v>19</v>
      </c>
      <c r="C885">
        <v>1413</v>
      </c>
      <c r="D885" t="s">
        <v>303</v>
      </c>
      <c r="E885">
        <f>YEAR(A885)</f>
        <v>2014</v>
      </c>
      <c r="F885" s="33">
        <f>DATE(YEAR(A885),MONTH(A885),1)</f>
        <v>41760.0</v>
      </c>
      <c r="G885" t="str">
        <f>CHOOSE(WEEKDAY(A885,2),"Mon","Tue","Wed","Thu","Fri","Sat","Sun")</f>
        <v>Wed</v>
      </c>
      <c r="H885" t="str">
        <f>IF(WEEKDAY(A885,2)&gt;5,"Weekend","Weekday")</f>
        <v>Weekday</v>
      </c>
      <c r="I885" t="str">
        <f>_xlfn.IFS(B885&lt;=5,"Night (0-5)",B885&lt;=9,"Morning peak (6-9)",B885&lt;=15,"Midday (10-15)",B885&lt;=19,"Evening peak (16-19)",TRUE,"Late evening (20-23)")</f>
        <v>Evening peak (16-19)</v>
      </c>
    </row>
    <row r="886" spans="1:9">
      <c r="A886" s="32">
        <v>41766</v>
      </c>
      <c r="B886">
        <v>20</v>
      </c>
      <c r="C886">
        <v>1482</v>
      </c>
      <c r="D886" t="s">
        <v>303</v>
      </c>
      <c r="E886">
        <f>YEAR(A886)</f>
        <v>2014</v>
      </c>
      <c r="F886" s="33">
        <f>DATE(YEAR(A886),MONTH(A886),1)</f>
        <v>41760.0</v>
      </c>
      <c r="G886" t="str">
        <f>CHOOSE(WEEKDAY(A886,2),"Mon","Tue","Wed","Thu","Fri","Sat","Sun")</f>
        <v>Wed</v>
      </c>
      <c r="H886" t="str">
        <f>IF(WEEKDAY(A886,2)&gt;5,"Weekend","Weekday")</f>
        <v>Weekday</v>
      </c>
      <c r="I886" t="str">
        <f>_xlfn.IFS(B886&lt;=5,"Night (0-5)",B886&lt;=9,"Morning peak (6-9)",B886&lt;=15,"Midday (10-15)",B886&lt;=19,"Evening peak (16-19)",TRUE,"Late evening (20-23)")</f>
        <v>Late evening (20-23)</v>
      </c>
    </row>
    <row r="887" spans="1:9">
      <c r="A887" s="32">
        <v>41766</v>
      </c>
      <c r="B887">
        <v>21</v>
      </c>
      <c r="C887">
        <v>1474</v>
      </c>
      <c r="D887" t="s">
        <v>303</v>
      </c>
      <c r="E887">
        <f>YEAR(A887)</f>
        <v>2014</v>
      </c>
      <c r="F887" s="33">
        <f>DATE(YEAR(A887),MONTH(A887),1)</f>
        <v>41760.0</v>
      </c>
      <c r="G887" t="str">
        <f>CHOOSE(WEEKDAY(A887,2),"Mon","Tue","Wed","Thu","Fri","Sat","Sun")</f>
        <v>Wed</v>
      </c>
      <c r="H887" t="str">
        <f>IF(WEEKDAY(A887,2)&gt;5,"Weekend","Weekday")</f>
        <v>Weekday</v>
      </c>
      <c r="I887" t="str">
        <f>_xlfn.IFS(B887&lt;=5,"Night (0-5)",B887&lt;=9,"Morning peak (6-9)",B887&lt;=15,"Midday (10-15)",B887&lt;=19,"Evening peak (16-19)",TRUE,"Late evening (20-23)")</f>
        <v>Late evening (20-23)</v>
      </c>
    </row>
    <row r="888" spans="1:9">
      <c r="A888" s="32">
        <v>41766</v>
      </c>
      <c r="B888">
        <v>22</v>
      </c>
      <c r="C888">
        <v>1010</v>
      </c>
      <c r="D888" t="s">
        <v>303</v>
      </c>
      <c r="E888">
        <f>YEAR(A888)</f>
        <v>2014</v>
      </c>
      <c r="F888" s="33">
        <f>DATE(YEAR(A888),MONTH(A888),1)</f>
        <v>41760.0</v>
      </c>
      <c r="G888" t="str">
        <f>CHOOSE(WEEKDAY(A888,2),"Mon","Tue","Wed","Thu","Fri","Sat","Sun")</f>
        <v>Wed</v>
      </c>
      <c r="H888" t="str">
        <f>IF(WEEKDAY(A888,2)&gt;5,"Weekend","Weekday")</f>
        <v>Weekday</v>
      </c>
      <c r="I888" t="str">
        <f>_xlfn.IFS(B888&lt;=5,"Night (0-5)",B888&lt;=9,"Morning peak (6-9)",B888&lt;=15,"Midday (10-15)",B888&lt;=19,"Evening peak (16-19)",TRUE,"Late evening (20-23)")</f>
        <v>Late evening (20-23)</v>
      </c>
    </row>
    <row r="889" spans="1:9">
      <c r="A889" s="32">
        <v>41766</v>
      </c>
      <c r="B889">
        <v>23</v>
      </c>
      <c r="C889">
        <v>540</v>
      </c>
      <c r="D889" t="s">
        <v>303</v>
      </c>
      <c r="E889">
        <f>YEAR(A889)</f>
        <v>2014</v>
      </c>
      <c r="F889" s="33">
        <f>DATE(YEAR(A889),MONTH(A889),1)</f>
        <v>41760.0</v>
      </c>
      <c r="G889" t="str">
        <f>CHOOSE(WEEKDAY(A889,2),"Mon","Tue","Wed","Thu","Fri","Sat","Sun")</f>
        <v>Wed</v>
      </c>
      <c r="H889" t="str">
        <f>IF(WEEKDAY(A889,2)&gt;5,"Weekend","Weekday")</f>
        <v>Weekday</v>
      </c>
      <c r="I889" t="str">
        <f>_xlfn.IFS(B889&lt;=5,"Night (0-5)",B889&lt;=9,"Morning peak (6-9)",B889&lt;=15,"Midday (10-15)",B889&lt;=19,"Evening peak (16-19)",TRUE,"Late evening (20-23)")</f>
        <v>Late evening (20-23)</v>
      </c>
    </row>
    <row r="890" spans="1:9">
      <c r="A890" s="32">
        <v>41767</v>
      </c>
      <c r="B890">
        <v>0</v>
      </c>
      <c r="C890">
        <v>275</v>
      </c>
      <c r="D890" t="s">
        <v>303</v>
      </c>
      <c r="E890">
        <f>YEAR(A890)</f>
        <v>2014</v>
      </c>
      <c r="F890" s="33">
        <f>DATE(YEAR(A890),MONTH(A890),1)</f>
        <v>41760.0</v>
      </c>
      <c r="G890" t="str">
        <f>CHOOSE(WEEKDAY(A890,2),"Mon","Tue","Wed","Thu","Fri","Sat","Sun")</f>
        <v>Thu</v>
      </c>
      <c r="H890" t="str">
        <f>IF(WEEKDAY(A890,2)&gt;5,"Weekend","Weekday")</f>
        <v>Weekday</v>
      </c>
      <c r="I890" t="str">
        <f>_xlfn.IFS(B890&lt;=5,"Night (0-5)",B890&lt;=9,"Morning peak (6-9)",B890&lt;=15,"Midday (10-15)",B890&lt;=19,"Evening peak (16-19)",TRUE,"Late evening (20-23)")</f>
        <v>Night (0-5)</v>
      </c>
    </row>
    <row r="891" spans="1:9">
      <c r="A891" s="32">
        <v>41767</v>
      </c>
      <c r="B891">
        <v>1</v>
      </c>
      <c r="C891">
        <v>174</v>
      </c>
      <c r="D891" t="s">
        <v>303</v>
      </c>
      <c r="E891">
        <f>YEAR(A891)</f>
        <v>2014</v>
      </c>
      <c r="F891" s="33">
        <f>DATE(YEAR(A891),MONTH(A891),1)</f>
        <v>41760.0</v>
      </c>
      <c r="G891" t="str">
        <f>CHOOSE(WEEKDAY(A891,2),"Mon","Tue","Wed","Thu","Fri","Sat","Sun")</f>
        <v>Thu</v>
      </c>
      <c r="H891" t="str">
        <f>IF(WEEKDAY(A891,2)&gt;5,"Weekend","Weekday")</f>
        <v>Weekday</v>
      </c>
      <c r="I891" t="str">
        <f>_xlfn.IFS(B891&lt;=5,"Night (0-5)",B891&lt;=9,"Morning peak (6-9)",B891&lt;=15,"Midday (10-15)",B891&lt;=19,"Evening peak (16-19)",TRUE,"Late evening (20-23)")</f>
        <v>Night (0-5)</v>
      </c>
    </row>
    <row r="892" spans="1:9">
      <c r="A892" s="32">
        <v>41767</v>
      </c>
      <c r="B892">
        <v>2</v>
      </c>
      <c r="C892">
        <v>128</v>
      </c>
      <c r="D892" t="s">
        <v>303</v>
      </c>
      <c r="E892">
        <f>YEAR(A892)</f>
        <v>2014</v>
      </c>
      <c r="F892" s="33">
        <f>DATE(YEAR(A892),MONTH(A892),1)</f>
        <v>41760.0</v>
      </c>
      <c r="G892" t="str">
        <f>CHOOSE(WEEKDAY(A892,2),"Mon","Tue","Wed","Thu","Fri","Sat","Sun")</f>
        <v>Thu</v>
      </c>
      <c r="H892" t="str">
        <f>IF(WEEKDAY(A892,2)&gt;5,"Weekend","Weekday")</f>
        <v>Weekday</v>
      </c>
      <c r="I892" t="str">
        <f>_xlfn.IFS(B892&lt;=5,"Night (0-5)",B892&lt;=9,"Morning peak (6-9)",B892&lt;=15,"Midday (10-15)",B892&lt;=19,"Evening peak (16-19)",TRUE,"Late evening (20-23)")</f>
        <v>Night (0-5)</v>
      </c>
    </row>
    <row r="893" spans="1:9">
      <c r="A893" s="32">
        <v>41767</v>
      </c>
      <c r="B893">
        <v>3</v>
      </c>
      <c r="C893">
        <v>162</v>
      </c>
      <c r="D893" t="s">
        <v>303</v>
      </c>
      <c r="E893">
        <f>YEAR(A893)</f>
        <v>2014</v>
      </c>
      <c r="F893" s="33">
        <f>DATE(YEAR(A893),MONTH(A893),1)</f>
        <v>41760.0</v>
      </c>
      <c r="G893" t="str">
        <f>CHOOSE(WEEKDAY(A893,2),"Mon","Tue","Wed","Thu","Fri","Sat","Sun")</f>
        <v>Thu</v>
      </c>
      <c r="H893" t="str">
        <f>IF(WEEKDAY(A893,2)&gt;5,"Weekend","Weekday")</f>
        <v>Weekday</v>
      </c>
      <c r="I893" t="str">
        <f>_xlfn.IFS(B893&lt;=5,"Night (0-5)",B893&lt;=9,"Morning peak (6-9)",B893&lt;=15,"Midday (10-15)",B893&lt;=19,"Evening peak (16-19)",TRUE,"Late evening (20-23)")</f>
        <v>Night (0-5)</v>
      </c>
    </row>
    <row r="894" spans="1:9">
      <c r="A894" s="32">
        <v>41767</v>
      </c>
      <c r="B894">
        <v>4</v>
      </c>
      <c r="C894">
        <v>286</v>
      </c>
      <c r="D894" t="s">
        <v>303</v>
      </c>
      <c r="E894">
        <f>YEAR(A894)</f>
        <v>2014</v>
      </c>
      <c r="F894" s="33">
        <f>DATE(YEAR(A894),MONTH(A894),1)</f>
        <v>41760.0</v>
      </c>
      <c r="G894" t="str">
        <f>CHOOSE(WEEKDAY(A894,2),"Mon","Tue","Wed","Thu","Fri","Sat","Sun")</f>
        <v>Thu</v>
      </c>
      <c r="H894" t="str">
        <f>IF(WEEKDAY(A894,2)&gt;5,"Weekend","Weekday")</f>
        <v>Weekday</v>
      </c>
      <c r="I894" t="str">
        <f>_xlfn.IFS(B894&lt;=5,"Night (0-5)",B894&lt;=9,"Morning peak (6-9)",B894&lt;=15,"Midday (10-15)",B894&lt;=19,"Evening peak (16-19)",TRUE,"Late evening (20-23)")</f>
        <v>Night (0-5)</v>
      </c>
    </row>
    <row r="895" spans="1:9">
      <c r="A895" s="32">
        <v>41767</v>
      </c>
      <c r="B895">
        <v>5</v>
      </c>
      <c r="C895">
        <v>597</v>
      </c>
      <c r="D895" t="s">
        <v>303</v>
      </c>
      <c r="E895">
        <f>YEAR(A895)</f>
        <v>2014</v>
      </c>
      <c r="F895" s="33">
        <f>DATE(YEAR(A895),MONTH(A895),1)</f>
        <v>41760.0</v>
      </c>
      <c r="G895" t="str">
        <f>CHOOSE(WEEKDAY(A895,2),"Mon","Tue","Wed","Thu","Fri","Sat","Sun")</f>
        <v>Thu</v>
      </c>
      <c r="H895" t="str">
        <f>IF(WEEKDAY(A895,2)&gt;5,"Weekend","Weekday")</f>
        <v>Weekday</v>
      </c>
      <c r="I895" t="str">
        <f>_xlfn.IFS(B895&lt;=5,"Night (0-5)",B895&lt;=9,"Morning peak (6-9)",B895&lt;=15,"Midday (10-15)",B895&lt;=19,"Evening peak (16-19)",TRUE,"Late evening (20-23)")</f>
        <v>Night (0-5)</v>
      </c>
    </row>
    <row r="896" spans="1:9">
      <c r="A896" s="32">
        <v>41767</v>
      </c>
      <c r="B896">
        <v>6</v>
      </c>
      <c r="C896">
        <v>1285</v>
      </c>
      <c r="D896" t="s">
        <v>303</v>
      </c>
      <c r="E896">
        <f>YEAR(A896)</f>
        <v>2014</v>
      </c>
      <c r="F896" s="33">
        <f>DATE(YEAR(A896),MONTH(A896),1)</f>
        <v>41760.0</v>
      </c>
      <c r="G896" t="str">
        <f>CHOOSE(WEEKDAY(A896,2),"Mon","Tue","Wed","Thu","Fri","Sat","Sun")</f>
        <v>Thu</v>
      </c>
      <c r="H896" t="str">
        <f>IF(WEEKDAY(A896,2)&gt;5,"Weekend","Weekday")</f>
        <v>Weekday</v>
      </c>
      <c r="I896" t="str">
        <f>_xlfn.IFS(B896&lt;=5,"Night (0-5)",B896&lt;=9,"Morning peak (6-9)",B896&lt;=15,"Midday (10-15)",B896&lt;=19,"Evening peak (16-19)",TRUE,"Late evening (20-23)")</f>
        <v>Morning peak (6-9)</v>
      </c>
    </row>
    <row r="897" spans="1:9">
      <c r="A897" s="32">
        <v>41767</v>
      </c>
      <c r="B897">
        <v>7</v>
      </c>
      <c r="C897">
        <v>1627</v>
      </c>
      <c r="D897" t="s">
        <v>303</v>
      </c>
      <c r="E897">
        <f>YEAR(A897)</f>
        <v>2014</v>
      </c>
      <c r="F897" s="33">
        <f>DATE(YEAR(A897),MONTH(A897),1)</f>
        <v>41760.0</v>
      </c>
      <c r="G897" t="str">
        <f>CHOOSE(WEEKDAY(A897,2),"Mon","Tue","Wed","Thu","Fri","Sat","Sun")</f>
        <v>Thu</v>
      </c>
      <c r="H897" t="str">
        <f>IF(WEEKDAY(A897,2)&gt;5,"Weekend","Weekday")</f>
        <v>Weekday</v>
      </c>
      <c r="I897" t="str">
        <f>_xlfn.IFS(B897&lt;=5,"Night (0-5)",B897&lt;=9,"Morning peak (6-9)",B897&lt;=15,"Midday (10-15)",B897&lt;=19,"Evening peak (16-19)",TRUE,"Late evening (20-23)")</f>
        <v>Morning peak (6-9)</v>
      </c>
    </row>
    <row r="898" spans="1:9">
      <c r="A898" s="32">
        <v>41767</v>
      </c>
      <c r="B898">
        <v>8</v>
      </c>
      <c r="C898">
        <v>1672</v>
      </c>
      <c r="D898" t="s">
        <v>303</v>
      </c>
      <c r="E898">
        <f>YEAR(A898)</f>
        <v>2014</v>
      </c>
      <c r="F898" s="33">
        <f>DATE(YEAR(A898),MONTH(A898),1)</f>
        <v>41760.0</v>
      </c>
      <c r="G898" t="str">
        <f>CHOOSE(WEEKDAY(A898,2),"Mon","Tue","Wed","Thu","Fri","Sat","Sun")</f>
        <v>Thu</v>
      </c>
      <c r="H898" t="str">
        <f>IF(WEEKDAY(A898,2)&gt;5,"Weekend","Weekday")</f>
        <v>Weekday</v>
      </c>
      <c r="I898" t="str">
        <f>_xlfn.IFS(B898&lt;=5,"Night (0-5)",B898&lt;=9,"Morning peak (6-9)",B898&lt;=15,"Midday (10-15)",B898&lt;=19,"Evening peak (16-19)",TRUE,"Late evening (20-23)")</f>
        <v>Morning peak (6-9)</v>
      </c>
    </row>
    <row r="899" spans="1:9">
      <c r="A899" s="32">
        <v>41767</v>
      </c>
      <c r="B899">
        <v>9</v>
      </c>
      <c r="C899">
        <v>1291</v>
      </c>
      <c r="D899" t="s">
        <v>303</v>
      </c>
      <c r="E899">
        <f>YEAR(A899)</f>
        <v>2014</v>
      </c>
      <c r="F899" s="33">
        <f>DATE(YEAR(A899),MONTH(A899),1)</f>
        <v>41760.0</v>
      </c>
      <c r="G899" t="str">
        <f>CHOOSE(WEEKDAY(A899,2),"Mon","Tue","Wed","Thu","Fri","Sat","Sun")</f>
        <v>Thu</v>
      </c>
      <c r="H899" t="str">
        <f>IF(WEEKDAY(A899,2)&gt;5,"Weekend","Weekday")</f>
        <v>Weekday</v>
      </c>
      <c r="I899" t="str">
        <f>_xlfn.IFS(B899&lt;=5,"Night (0-5)",B899&lt;=9,"Morning peak (6-9)",B899&lt;=15,"Midday (10-15)",B899&lt;=19,"Evening peak (16-19)",TRUE,"Late evening (20-23)")</f>
        <v>Morning peak (6-9)</v>
      </c>
    </row>
    <row r="900" spans="1:9">
      <c r="A900" s="32">
        <v>41767</v>
      </c>
      <c r="B900">
        <v>10</v>
      </c>
      <c r="C900">
        <v>1018</v>
      </c>
      <c r="D900" t="s">
        <v>303</v>
      </c>
      <c r="E900">
        <f>YEAR(A900)</f>
        <v>2014</v>
      </c>
      <c r="F900" s="33">
        <f>DATE(YEAR(A900),MONTH(A900),1)</f>
        <v>41760.0</v>
      </c>
      <c r="G900" t="str">
        <f>CHOOSE(WEEKDAY(A900,2),"Mon","Tue","Wed","Thu","Fri","Sat","Sun")</f>
        <v>Thu</v>
      </c>
      <c r="H900" t="str">
        <f>IF(WEEKDAY(A900,2)&gt;5,"Weekend","Weekday")</f>
        <v>Weekday</v>
      </c>
      <c r="I900" t="str">
        <f>_xlfn.IFS(B900&lt;=5,"Night (0-5)",B900&lt;=9,"Morning peak (6-9)",B900&lt;=15,"Midday (10-15)",B900&lt;=19,"Evening peak (16-19)",TRUE,"Late evening (20-23)")</f>
        <v>Midday (10-15)</v>
      </c>
    </row>
    <row r="901" spans="1:9">
      <c r="A901" s="32">
        <v>41767</v>
      </c>
      <c r="B901">
        <v>11</v>
      </c>
      <c r="C901">
        <v>951</v>
      </c>
      <c r="D901" t="s">
        <v>303</v>
      </c>
      <c r="E901">
        <f>YEAR(A901)</f>
        <v>2014</v>
      </c>
      <c r="F901" s="33">
        <f>DATE(YEAR(A901),MONTH(A901),1)</f>
        <v>41760.0</v>
      </c>
      <c r="G901" t="str">
        <f>CHOOSE(WEEKDAY(A901,2),"Mon","Tue","Wed","Thu","Fri","Sat","Sun")</f>
        <v>Thu</v>
      </c>
      <c r="H901" t="str">
        <f>IF(WEEKDAY(A901,2)&gt;5,"Weekend","Weekday")</f>
        <v>Weekday</v>
      </c>
      <c r="I901" t="str">
        <f>_xlfn.IFS(B901&lt;=5,"Night (0-5)",B901&lt;=9,"Morning peak (6-9)",B901&lt;=15,"Midday (10-15)",B901&lt;=19,"Evening peak (16-19)",TRUE,"Late evening (20-23)")</f>
        <v>Midday (10-15)</v>
      </c>
    </row>
    <row r="902" spans="1:9">
      <c r="A902" s="32">
        <v>41767</v>
      </c>
      <c r="B902">
        <v>12</v>
      </c>
      <c r="C902">
        <v>902</v>
      </c>
      <c r="D902" t="s">
        <v>303</v>
      </c>
      <c r="E902">
        <f>YEAR(A902)</f>
        <v>2014</v>
      </c>
      <c r="F902" s="33">
        <f>DATE(YEAR(A902),MONTH(A902),1)</f>
        <v>41760.0</v>
      </c>
      <c r="G902" t="str">
        <f>CHOOSE(WEEKDAY(A902,2),"Mon","Tue","Wed","Thu","Fri","Sat","Sun")</f>
        <v>Thu</v>
      </c>
      <c r="H902" t="str">
        <f>IF(WEEKDAY(A902,2)&gt;5,"Weekend","Weekday")</f>
        <v>Weekday</v>
      </c>
      <c r="I902" t="str">
        <f>_xlfn.IFS(B902&lt;=5,"Night (0-5)",B902&lt;=9,"Morning peak (6-9)",B902&lt;=15,"Midday (10-15)",B902&lt;=19,"Evening peak (16-19)",TRUE,"Late evening (20-23)")</f>
        <v>Midday (10-15)</v>
      </c>
    </row>
    <row r="903" spans="1:9">
      <c r="A903" s="32">
        <v>41767</v>
      </c>
      <c r="B903">
        <v>13</v>
      </c>
      <c r="C903">
        <v>1172</v>
      </c>
      <c r="D903" t="s">
        <v>303</v>
      </c>
      <c r="E903">
        <f>YEAR(A903)</f>
        <v>2014</v>
      </c>
      <c r="F903" s="33">
        <f>DATE(YEAR(A903),MONTH(A903),1)</f>
        <v>41760.0</v>
      </c>
      <c r="G903" t="str">
        <f>CHOOSE(WEEKDAY(A903,2),"Mon","Tue","Wed","Thu","Fri","Sat","Sun")</f>
        <v>Thu</v>
      </c>
      <c r="H903" t="str">
        <f>IF(WEEKDAY(A903,2)&gt;5,"Weekend","Weekday")</f>
        <v>Weekday</v>
      </c>
      <c r="I903" t="str">
        <f>_xlfn.IFS(B903&lt;=5,"Night (0-5)",B903&lt;=9,"Morning peak (6-9)",B903&lt;=15,"Midday (10-15)",B903&lt;=19,"Evening peak (16-19)",TRUE,"Late evening (20-23)")</f>
        <v>Midday (10-15)</v>
      </c>
    </row>
    <row r="904" spans="1:9">
      <c r="A904" s="32">
        <v>41767</v>
      </c>
      <c r="B904">
        <v>14</v>
      </c>
      <c r="C904">
        <v>1316</v>
      </c>
      <c r="D904" t="s">
        <v>303</v>
      </c>
      <c r="E904">
        <f>YEAR(A904)</f>
        <v>2014</v>
      </c>
      <c r="F904" s="33">
        <f>DATE(YEAR(A904),MONTH(A904),1)</f>
        <v>41760.0</v>
      </c>
      <c r="G904" t="str">
        <f>CHOOSE(WEEKDAY(A904,2),"Mon","Tue","Wed","Thu","Fri","Sat","Sun")</f>
        <v>Thu</v>
      </c>
      <c r="H904" t="str">
        <f>IF(WEEKDAY(A904,2)&gt;5,"Weekend","Weekday")</f>
        <v>Weekday</v>
      </c>
      <c r="I904" t="str">
        <f>_xlfn.IFS(B904&lt;=5,"Night (0-5)",B904&lt;=9,"Morning peak (6-9)",B904&lt;=15,"Midday (10-15)",B904&lt;=19,"Evening peak (16-19)",TRUE,"Late evening (20-23)")</f>
        <v>Midday (10-15)</v>
      </c>
    </row>
    <row r="905" spans="1:9">
      <c r="A905" s="32">
        <v>41767</v>
      </c>
      <c r="B905">
        <v>15</v>
      </c>
      <c r="C905">
        <v>1675</v>
      </c>
      <c r="D905" t="s">
        <v>303</v>
      </c>
      <c r="E905">
        <f>YEAR(A905)</f>
        <v>2014</v>
      </c>
      <c r="F905" s="33">
        <f>DATE(YEAR(A905),MONTH(A905),1)</f>
        <v>41760.0</v>
      </c>
      <c r="G905" t="str">
        <f>CHOOSE(WEEKDAY(A905,2),"Mon","Tue","Wed","Thu","Fri","Sat","Sun")</f>
        <v>Thu</v>
      </c>
      <c r="H905" t="str">
        <f>IF(WEEKDAY(A905,2)&gt;5,"Weekend","Weekday")</f>
        <v>Weekday</v>
      </c>
      <c r="I905" t="str">
        <f>_xlfn.IFS(B905&lt;=5,"Night (0-5)",B905&lt;=9,"Morning peak (6-9)",B905&lt;=15,"Midday (10-15)",B905&lt;=19,"Evening peak (16-19)",TRUE,"Late evening (20-23)")</f>
        <v>Midday (10-15)</v>
      </c>
    </row>
    <row r="906" spans="1:9">
      <c r="A906" s="32">
        <v>41767</v>
      </c>
      <c r="B906">
        <v>16</v>
      </c>
      <c r="C906">
        <v>1894</v>
      </c>
      <c r="D906" t="s">
        <v>303</v>
      </c>
      <c r="E906">
        <f>YEAR(A906)</f>
        <v>2014</v>
      </c>
      <c r="F906" s="33">
        <f>DATE(YEAR(A906),MONTH(A906),1)</f>
        <v>41760.0</v>
      </c>
      <c r="G906" t="str">
        <f>CHOOSE(WEEKDAY(A906,2),"Mon","Tue","Wed","Thu","Fri","Sat","Sun")</f>
        <v>Thu</v>
      </c>
      <c r="H906" t="str">
        <f>IF(WEEKDAY(A906,2)&gt;5,"Weekend","Weekday")</f>
        <v>Weekday</v>
      </c>
      <c r="I906" t="str">
        <f>_xlfn.IFS(B906&lt;=5,"Night (0-5)",B906&lt;=9,"Morning peak (6-9)",B906&lt;=15,"Midday (10-15)",B906&lt;=19,"Evening peak (16-19)",TRUE,"Late evening (20-23)")</f>
        <v>Evening peak (16-19)</v>
      </c>
    </row>
    <row r="907" spans="1:9">
      <c r="A907" s="32">
        <v>41767</v>
      </c>
      <c r="B907">
        <v>17</v>
      </c>
      <c r="C907">
        <v>2138</v>
      </c>
      <c r="D907" t="s">
        <v>303</v>
      </c>
      <c r="E907">
        <f>YEAR(A907)</f>
        <v>2014</v>
      </c>
      <c r="F907" s="33">
        <f>DATE(YEAR(A907),MONTH(A907),1)</f>
        <v>41760.0</v>
      </c>
      <c r="G907" t="str">
        <f>CHOOSE(WEEKDAY(A907,2),"Mon","Tue","Wed","Thu","Fri","Sat","Sun")</f>
        <v>Thu</v>
      </c>
      <c r="H907" t="str">
        <f>IF(WEEKDAY(A907,2)&gt;5,"Weekend","Weekday")</f>
        <v>Weekday</v>
      </c>
      <c r="I907" t="str">
        <f>_xlfn.IFS(B907&lt;=5,"Night (0-5)",B907&lt;=9,"Morning peak (6-9)",B907&lt;=15,"Midday (10-15)",B907&lt;=19,"Evening peak (16-19)",TRUE,"Late evening (20-23)")</f>
        <v>Evening peak (16-19)</v>
      </c>
    </row>
    <row r="908" spans="1:9">
      <c r="A908" s="32">
        <v>41767</v>
      </c>
      <c r="B908">
        <v>18</v>
      </c>
      <c r="C908">
        <v>1862</v>
      </c>
      <c r="D908" t="s">
        <v>303</v>
      </c>
      <c r="E908">
        <f>YEAR(A908)</f>
        <v>2014</v>
      </c>
      <c r="F908" s="33">
        <f>DATE(YEAR(A908),MONTH(A908),1)</f>
        <v>41760.0</v>
      </c>
      <c r="G908" t="str">
        <f>CHOOSE(WEEKDAY(A908,2),"Mon","Tue","Wed","Thu","Fri","Sat","Sun")</f>
        <v>Thu</v>
      </c>
      <c r="H908" t="str">
        <f>IF(WEEKDAY(A908,2)&gt;5,"Weekend","Weekday")</f>
        <v>Weekday</v>
      </c>
      <c r="I908" t="str">
        <f>_xlfn.IFS(B908&lt;=5,"Night (0-5)",B908&lt;=9,"Morning peak (6-9)",B908&lt;=15,"Midday (10-15)",B908&lt;=19,"Evening peak (16-19)",TRUE,"Late evening (20-23)")</f>
        <v>Evening peak (16-19)</v>
      </c>
    </row>
    <row r="909" spans="1:9">
      <c r="A909" s="32">
        <v>41767</v>
      </c>
      <c r="B909">
        <v>19</v>
      </c>
      <c r="C909">
        <v>1707</v>
      </c>
      <c r="D909" t="s">
        <v>303</v>
      </c>
      <c r="E909">
        <f>YEAR(A909)</f>
        <v>2014</v>
      </c>
      <c r="F909" s="33">
        <f>DATE(YEAR(A909),MONTH(A909),1)</f>
        <v>41760.0</v>
      </c>
      <c r="G909" t="str">
        <f>CHOOSE(WEEKDAY(A909,2),"Mon","Tue","Wed","Thu","Fri","Sat","Sun")</f>
        <v>Thu</v>
      </c>
      <c r="H909" t="str">
        <f>IF(WEEKDAY(A909,2)&gt;5,"Weekend","Weekday")</f>
        <v>Weekday</v>
      </c>
      <c r="I909" t="str">
        <f>_xlfn.IFS(B909&lt;=5,"Night (0-5)",B909&lt;=9,"Morning peak (6-9)",B909&lt;=15,"Midday (10-15)",B909&lt;=19,"Evening peak (16-19)",TRUE,"Late evening (20-23)")</f>
        <v>Evening peak (16-19)</v>
      </c>
    </row>
    <row r="910" spans="1:9">
      <c r="A910" s="32">
        <v>41767</v>
      </c>
      <c r="B910">
        <v>20</v>
      </c>
      <c r="C910">
        <v>1650</v>
      </c>
      <c r="D910" t="s">
        <v>303</v>
      </c>
      <c r="E910">
        <f>YEAR(A910)</f>
        <v>2014</v>
      </c>
      <c r="F910" s="33">
        <f>DATE(YEAR(A910),MONTH(A910),1)</f>
        <v>41760.0</v>
      </c>
      <c r="G910" t="str">
        <f>CHOOSE(WEEKDAY(A910,2),"Mon","Tue","Wed","Thu","Fri","Sat","Sun")</f>
        <v>Thu</v>
      </c>
      <c r="H910" t="str">
        <f>IF(WEEKDAY(A910,2)&gt;5,"Weekend","Weekday")</f>
        <v>Weekday</v>
      </c>
      <c r="I910" t="str">
        <f>_xlfn.IFS(B910&lt;=5,"Night (0-5)",B910&lt;=9,"Morning peak (6-9)",B910&lt;=15,"Midday (10-15)",B910&lt;=19,"Evening peak (16-19)",TRUE,"Late evening (20-23)")</f>
        <v>Late evening (20-23)</v>
      </c>
    </row>
    <row r="911" spans="1:9">
      <c r="A911" s="32">
        <v>41767</v>
      </c>
      <c r="B911">
        <v>21</v>
      </c>
      <c r="C911">
        <v>1701</v>
      </c>
      <c r="D911" t="s">
        <v>303</v>
      </c>
      <c r="E911">
        <f>YEAR(A911)</f>
        <v>2014</v>
      </c>
      <c r="F911" s="33">
        <f>DATE(YEAR(A911),MONTH(A911),1)</f>
        <v>41760.0</v>
      </c>
      <c r="G911" t="str">
        <f>CHOOSE(WEEKDAY(A911,2),"Mon","Tue","Wed","Thu","Fri","Sat","Sun")</f>
        <v>Thu</v>
      </c>
      <c r="H911" t="str">
        <f>IF(WEEKDAY(A911,2)&gt;5,"Weekend","Weekday")</f>
        <v>Weekday</v>
      </c>
      <c r="I911" t="str">
        <f>_xlfn.IFS(B911&lt;=5,"Night (0-5)",B911&lt;=9,"Morning peak (6-9)",B911&lt;=15,"Midday (10-15)",B911&lt;=19,"Evening peak (16-19)",TRUE,"Late evening (20-23)")</f>
        <v>Late evening (20-23)</v>
      </c>
    </row>
    <row r="912" spans="1:9">
      <c r="A912" s="32">
        <v>41767</v>
      </c>
      <c r="B912">
        <v>22</v>
      </c>
      <c r="C912">
        <v>1328</v>
      </c>
      <c r="D912" t="s">
        <v>303</v>
      </c>
      <c r="E912">
        <f>YEAR(A912)</f>
        <v>2014</v>
      </c>
      <c r="F912" s="33">
        <f>DATE(YEAR(A912),MONTH(A912),1)</f>
        <v>41760.0</v>
      </c>
      <c r="G912" t="str">
        <f>CHOOSE(WEEKDAY(A912,2),"Mon","Tue","Wed","Thu","Fri","Sat","Sun")</f>
        <v>Thu</v>
      </c>
      <c r="H912" t="str">
        <f>IF(WEEKDAY(A912,2)&gt;5,"Weekend","Weekday")</f>
        <v>Weekday</v>
      </c>
      <c r="I912" t="str">
        <f>_xlfn.IFS(B912&lt;=5,"Night (0-5)",B912&lt;=9,"Morning peak (6-9)",B912&lt;=15,"Midday (10-15)",B912&lt;=19,"Evening peak (16-19)",TRUE,"Late evening (20-23)")</f>
        <v>Late evening (20-23)</v>
      </c>
    </row>
    <row r="913" spans="1:9">
      <c r="A913" s="32">
        <v>41767</v>
      </c>
      <c r="B913">
        <v>23</v>
      </c>
      <c r="C913">
        <v>702</v>
      </c>
      <c r="D913" t="s">
        <v>303</v>
      </c>
      <c r="E913">
        <f>YEAR(A913)</f>
        <v>2014</v>
      </c>
      <c r="F913" s="33">
        <f>DATE(YEAR(A913),MONTH(A913),1)</f>
        <v>41760.0</v>
      </c>
      <c r="G913" t="str">
        <f>CHOOSE(WEEKDAY(A913,2),"Mon","Tue","Wed","Thu","Fri","Sat","Sun")</f>
        <v>Thu</v>
      </c>
      <c r="H913" t="str">
        <f>IF(WEEKDAY(A913,2)&gt;5,"Weekend","Weekday")</f>
        <v>Weekday</v>
      </c>
      <c r="I913" t="str">
        <f>_xlfn.IFS(B913&lt;=5,"Night (0-5)",B913&lt;=9,"Morning peak (6-9)",B913&lt;=15,"Midday (10-15)",B913&lt;=19,"Evening peak (16-19)",TRUE,"Late evening (20-23)")</f>
        <v>Late evening (20-23)</v>
      </c>
    </row>
    <row r="914" spans="1:9">
      <c r="A914" s="32">
        <v>41768</v>
      </c>
      <c r="B914">
        <v>0</v>
      </c>
      <c r="C914">
        <v>396</v>
      </c>
      <c r="D914" t="s">
        <v>303</v>
      </c>
      <c r="E914">
        <f>YEAR(A914)</f>
        <v>2014</v>
      </c>
      <c r="F914" s="33">
        <f>DATE(YEAR(A914),MONTH(A914),1)</f>
        <v>41760.0</v>
      </c>
      <c r="G914" t="str">
        <f>CHOOSE(WEEKDAY(A914,2),"Mon","Tue","Wed","Thu","Fri","Sat","Sun")</f>
        <v>Fri</v>
      </c>
      <c r="H914" t="str">
        <f>IF(WEEKDAY(A914,2)&gt;5,"Weekend","Weekday")</f>
        <v>Weekday</v>
      </c>
      <c r="I914" t="str">
        <f>_xlfn.IFS(B914&lt;=5,"Night (0-5)",B914&lt;=9,"Morning peak (6-9)",B914&lt;=15,"Midday (10-15)",B914&lt;=19,"Evening peak (16-19)",TRUE,"Late evening (20-23)")</f>
        <v>Night (0-5)</v>
      </c>
    </row>
    <row r="915" spans="1:9">
      <c r="A915" s="32">
        <v>41768</v>
      </c>
      <c r="B915">
        <v>1</v>
      </c>
      <c r="C915">
        <v>273</v>
      </c>
      <c r="D915" t="s">
        <v>303</v>
      </c>
      <c r="E915">
        <f>YEAR(A915)</f>
        <v>2014</v>
      </c>
      <c r="F915" s="33">
        <f>DATE(YEAR(A915),MONTH(A915),1)</f>
        <v>41760.0</v>
      </c>
      <c r="G915" t="str">
        <f>CHOOSE(WEEKDAY(A915,2),"Mon","Tue","Wed","Thu","Fri","Sat","Sun")</f>
        <v>Fri</v>
      </c>
      <c r="H915" t="str">
        <f>IF(WEEKDAY(A915,2)&gt;5,"Weekend","Weekday")</f>
        <v>Weekday</v>
      </c>
      <c r="I915" t="str">
        <f>_xlfn.IFS(B915&lt;=5,"Night (0-5)",B915&lt;=9,"Morning peak (6-9)",B915&lt;=15,"Midday (10-15)",B915&lt;=19,"Evening peak (16-19)",TRUE,"Late evening (20-23)")</f>
        <v>Night (0-5)</v>
      </c>
    </row>
    <row r="916" spans="1:9">
      <c r="A916" s="32">
        <v>41768</v>
      </c>
      <c r="B916">
        <v>2</v>
      </c>
      <c r="C916">
        <v>176</v>
      </c>
      <c r="D916" t="s">
        <v>303</v>
      </c>
      <c r="E916">
        <f>YEAR(A916)</f>
        <v>2014</v>
      </c>
      <c r="F916" s="33">
        <f>DATE(YEAR(A916),MONTH(A916),1)</f>
        <v>41760.0</v>
      </c>
      <c r="G916" t="str">
        <f>CHOOSE(WEEKDAY(A916,2),"Mon","Tue","Wed","Thu","Fri","Sat","Sun")</f>
        <v>Fri</v>
      </c>
      <c r="H916" t="str">
        <f>IF(WEEKDAY(A916,2)&gt;5,"Weekend","Weekday")</f>
        <v>Weekday</v>
      </c>
      <c r="I916" t="str">
        <f>_xlfn.IFS(B916&lt;=5,"Night (0-5)",B916&lt;=9,"Morning peak (6-9)",B916&lt;=15,"Midday (10-15)",B916&lt;=19,"Evening peak (16-19)",TRUE,"Late evening (20-23)")</f>
        <v>Night (0-5)</v>
      </c>
    </row>
    <row r="917" spans="1:9">
      <c r="A917" s="32">
        <v>41768</v>
      </c>
      <c r="B917">
        <v>3</v>
      </c>
      <c r="C917">
        <v>196</v>
      </c>
      <c r="D917" t="s">
        <v>303</v>
      </c>
      <c r="E917">
        <f>YEAR(A917)</f>
        <v>2014</v>
      </c>
      <c r="F917" s="33">
        <f>DATE(YEAR(A917),MONTH(A917),1)</f>
        <v>41760.0</v>
      </c>
      <c r="G917" t="str">
        <f>CHOOSE(WEEKDAY(A917,2),"Mon","Tue","Wed","Thu","Fri","Sat","Sun")</f>
        <v>Fri</v>
      </c>
      <c r="H917" t="str">
        <f>IF(WEEKDAY(A917,2)&gt;5,"Weekend","Weekday")</f>
        <v>Weekday</v>
      </c>
      <c r="I917" t="str">
        <f>_xlfn.IFS(B917&lt;=5,"Night (0-5)",B917&lt;=9,"Morning peak (6-9)",B917&lt;=15,"Midday (10-15)",B917&lt;=19,"Evening peak (16-19)",TRUE,"Late evening (20-23)")</f>
        <v>Night (0-5)</v>
      </c>
    </row>
    <row r="918" spans="1:9">
      <c r="A918" s="32">
        <v>41768</v>
      </c>
      <c r="B918">
        <v>4</v>
      </c>
      <c r="C918">
        <v>257</v>
      </c>
      <c r="D918" t="s">
        <v>303</v>
      </c>
      <c r="E918">
        <f>YEAR(A918)</f>
        <v>2014</v>
      </c>
      <c r="F918" s="33">
        <f>DATE(YEAR(A918),MONTH(A918),1)</f>
        <v>41760.0</v>
      </c>
      <c r="G918" t="str">
        <f>CHOOSE(WEEKDAY(A918,2),"Mon","Tue","Wed","Thu","Fri","Sat","Sun")</f>
        <v>Fri</v>
      </c>
      <c r="H918" t="str">
        <f>IF(WEEKDAY(A918,2)&gt;5,"Weekend","Weekday")</f>
        <v>Weekday</v>
      </c>
      <c r="I918" t="str">
        <f>_xlfn.IFS(B918&lt;=5,"Night (0-5)",B918&lt;=9,"Morning peak (6-9)",B918&lt;=15,"Midday (10-15)",B918&lt;=19,"Evening peak (16-19)",TRUE,"Late evening (20-23)")</f>
        <v>Night (0-5)</v>
      </c>
    </row>
    <row r="919" spans="1:9">
      <c r="A919" s="32">
        <v>41768</v>
      </c>
      <c r="B919">
        <v>5</v>
      </c>
      <c r="C919">
        <v>405</v>
      </c>
      <c r="D919" t="s">
        <v>303</v>
      </c>
      <c r="E919">
        <f>YEAR(A919)</f>
        <v>2014</v>
      </c>
      <c r="F919" s="33">
        <f>DATE(YEAR(A919),MONTH(A919),1)</f>
        <v>41760.0</v>
      </c>
      <c r="G919" t="str">
        <f>CHOOSE(WEEKDAY(A919,2),"Mon","Tue","Wed","Thu","Fri","Sat","Sun")</f>
        <v>Fri</v>
      </c>
      <c r="H919" t="str">
        <f>IF(WEEKDAY(A919,2)&gt;5,"Weekend","Weekday")</f>
        <v>Weekday</v>
      </c>
      <c r="I919" t="str">
        <f>_xlfn.IFS(B919&lt;=5,"Night (0-5)",B919&lt;=9,"Morning peak (6-9)",B919&lt;=15,"Midday (10-15)",B919&lt;=19,"Evening peak (16-19)",TRUE,"Late evening (20-23)")</f>
        <v>Night (0-5)</v>
      </c>
    </row>
    <row r="920" spans="1:9">
      <c r="A920" s="32">
        <v>41768</v>
      </c>
      <c r="B920">
        <v>6</v>
      </c>
      <c r="C920">
        <v>912</v>
      </c>
      <c r="D920" t="s">
        <v>303</v>
      </c>
      <c r="E920">
        <f>YEAR(A920)</f>
        <v>2014</v>
      </c>
      <c r="F920" s="33">
        <f>DATE(YEAR(A920),MONTH(A920),1)</f>
        <v>41760.0</v>
      </c>
      <c r="G920" t="str">
        <f>CHOOSE(WEEKDAY(A920,2),"Mon","Tue","Wed","Thu","Fri","Sat","Sun")</f>
        <v>Fri</v>
      </c>
      <c r="H920" t="str">
        <f>IF(WEEKDAY(A920,2)&gt;5,"Weekend","Weekday")</f>
        <v>Weekday</v>
      </c>
      <c r="I920" t="str">
        <f>_xlfn.IFS(B920&lt;=5,"Night (0-5)",B920&lt;=9,"Morning peak (6-9)",B920&lt;=15,"Midday (10-15)",B920&lt;=19,"Evening peak (16-19)",TRUE,"Late evening (20-23)")</f>
        <v>Morning peak (6-9)</v>
      </c>
    </row>
    <row r="921" spans="1:9">
      <c r="A921" s="32">
        <v>41768</v>
      </c>
      <c r="B921">
        <v>7</v>
      </c>
      <c r="C921">
        <v>1234</v>
      </c>
      <c r="D921" t="s">
        <v>303</v>
      </c>
      <c r="E921">
        <f>YEAR(A921)</f>
        <v>2014</v>
      </c>
      <c r="F921" s="33">
        <f>DATE(YEAR(A921),MONTH(A921),1)</f>
        <v>41760.0</v>
      </c>
      <c r="G921" t="str">
        <f>CHOOSE(WEEKDAY(A921,2),"Mon","Tue","Wed","Thu","Fri","Sat","Sun")</f>
        <v>Fri</v>
      </c>
      <c r="H921" t="str">
        <f>IF(WEEKDAY(A921,2)&gt;5,"Weekend","Weekday")</f>
        <v>Weekday</v>
      </c>
      <c r="I921" t="str">
        <f>_xlfn.IFS(B921&lt;=5,"Night (0-5)",B921&lt;=9,"Morning peak (6-9)",B921&lt;=15,"Midday (10-15)",B921&lt;=19,"Evening peak (16-19)",TRUE,"Late evening (20-23)")</f>
        <v>Morning peak (6-9)</v>
      </c>
    </row>
    <row r="922" spans="1:9">
      <c r="A922" s="32">
        <v>41768</v>
      </c>
      <c r="B922">
        <v>8</v>
      </c>
      <c r="C922">
        <v>1142</v>
      </c>
      <c r="D922" t="s">
        <v>303</v>
      </c>
      <c r="E922">
        <f>YEAR(A922)</f>
        <v>2014</v>
      </c>
      <c r="F922" s="33">
        <f>DATE(YEAR(A922),MONTH(A922),1)</f>
        <v>41760.0</v>
      </c>
      <c r="G922" t="str">
        <f>CHOOSE(WEEKDAY(A922,2),"Mon","Tue","Wed","Thu","Fri","Sat","Sun")</f>
        <v>Fri</v>
      </c>
      <c r="H922" t="str">
        <f>IF(WEEKDAY(A922,2)&gt;5,"Weekend","Weekday")</f>
        <v>Weekday</v>
      </c>
      <c r="I922" t="str">
        <f>_xlfn.IFS(B922&lt;=5,"Night (0-5)",B922&lt;=9,"Morning peak (6-9)",B922&lt;=15,"Midday (10-15)",B922&lt;=19,"Evening peak (16-19)",TRUE,"Late evening (20-23)")</f>
        <v>Morning peak (6-9)</v>
      </c>
    </row>
    <row r="923" spans="1:9">
      <c r="A923" s="32">
        <v>41768</v>
      </c>
      <c r="B923">
        <v>9</v>
      </c>
      <c r="C923">
        <v>836</v>
      </c>
      <c r="D923" t="s">
        <v>303</v>
      </c>
      <c r="E923">
        <f>YEAR(A923)</f>
        <v>2014</v>
      </c>
      <c r="F923" s="33">
        <f>DATE(YEAR(A923),MONTH(A923),1)</f>
        <v>41760.0</v>
      </c>
      <c r="G923" t="str">
        <f>CHOOSE(WEEKDAY(A923,2),"Mon","Tue","Wed","Thu","Fri","Sat","Sun")</f>
        <v>Fri</v>
      </c>
      <c r="H923" t="str">
        <f>IF(WEEKDAY(A923,2)&gt;5,"Weekend","Weekday")</f>
        <v>Weekday</v>
      </c>
      <c r="I923" t="str">
        <f>_xlfn.IFS(B923&lt;=5,"Night (0-5)",B923&lt;=9,"Morning peak (6-9)",B923&lt;=15,"Midday (10-15)",B923&lt;=19,"Evening peak (16-19)",TRUE,"Late evening (20-23)")</f>
        <v>Morning peak (6-9)</v>
      </c>
    </row>
    <row r="924" spans="1:9">
      <c r="A924" s="32">
        <v>41768</v>
      </c>
      <c r="B924">
        <v>10</v>
      </c>
      <c r="C924">
        <v>807</v>
      </c>
      <c r="D924" t="s">
        <v>303</v>
      </c>
      <c r="E924">
        <f>YEAR(A924)</f>
        <v>2014</v>
      </c>
      <c r="F924" s="33">
        <f>DATE(YEAR(A924),MONTH(A924),1)</f>
        <v>41760.0</v>
      </c>
      <c r="G924" t="str">
        <f>CHOOSE(WEEKDAY(A924,2),"Mon","Tue","Wed","Thu","Fri","Sat","Sun")</f>
        <v>Fri</v>
      </c>
      <c r="H924" t="str">
        <f>IF(WEEKDAY(A924,2)&gt;5,"Weekend","Weekday")</f>
        <v>Weekday</v>
      </c>
      <c r="I924" t="str">
        <f>_xlfn.IFS(B924&lt;=5,"Night (0-5)",B924&lt;=9,"Morning peak (6-9)",B924&lt;=15,"Midday (10-15)",B924&lt;=19,"Evening peak (16-19)",TRUE,"Late evening (20-23)")</f>
        <v>Midday (10-15)</v>
      </c>
    </row>
    <row r="925" spans="1:9">
      <c r="A925" s="32">
        <v>41768</v>
      </c>
      <c r="B925">
        <v>11</v>
      </c>
      <c r="C925">
        <v>877</v>
      </c>
      <c r="D925" t="s">
        <v>303</v>
      </c>
      <c r="E925">
        <f>YEAR(A925)</f>
        <v>2014</v>
      </c>
      <c r="F925" s="33">
        <f>DATE(YEAR(A925),MONTH(A925),1)</f>
        <v>41760.0</v>
      </c>
      <c r="G925" t="str">
        <f>CHOOSE(WEEKDAY(A925,2),"Mon","Tue","Wed","Thu","Fri","Sat","Sun")</f>
        <v>Fri</v>
      </c>
      <c r="H925" t="str">
        <f>IF(WEEKDAY(A925,2)&gt;5,"Weekend","Weekday")</f>
        <v>Weekday</v>
      </c>
      <c r="I925" t="str">
        <f>_xlfn.IFS(B925&lt;=5,"Night (0-5)",B925&lt;=9,"Morning peak (6-9)",B925&lt;=15,"Midday (10-15)",B925&lt;=19,"Evening peak (16-19)",TRUE,"Late evening (20-23)")</f>
        <v>Midday (10-15)</v>
      </c>
    </row>
    <row r="926" spans="1:9">
      <c r="A926" s="32">
        <v>41768</v>
      </c>
      <c r="B926">
        <v>12</v>
      </c>
      <c r="C926">
        <v>869</v>
      </c>
      <c r="D926" t="s">
        <v>303</v>
      </c>
      <c r="E926">
        <f>YEAR(A926)</f>
        <v>2014</v>
      </c>
      <c r="F926" s="33">
        <f>DATE(YEAR(A926),MONTH(A926),1)</f>
        <v>41760.0</v>
      </c>
      <c r="G926" t="str">
        <f>CHOOSE(WEEKDAY(A926,2),"Mon","Tue","Wed","Thu","Fri","Sat","Sun")</f>
        <v>Fri</v>
      </c>
      <c r="H926" t="str">
        <f>IF(WEEKDAY(A926,2)&gt;5,"Weekend","Weekday")</f>
        <v>Weekday</v>
      </c>
      <c r="I926" t="str">
        <f>_xlfn.IFS(B926&lt;=5,"Night (0-5)",B926&lt;=9,"Morning peak (6-9)",B926&lt;=15,"Midday (10-15)",B926&lt;=19,"Evening peak (16-19)",TRUE,"Late evening (20-23)")</f>
        <v>Midday (10-15)</v>
      </c>
    </row>
    <row r="927" spans="1:9">
      <c r="A927" s="32">
        <v>41768</v>
      </c>
      <c r="B927">
        <v>13</v>
      </c>
      <c r="C927">
        <v>1019</v>
      </c>
      <c r="D927" t="s">
        <v>303</v>
      </c>
      <c r="E927">
        <f>YEAR(A927)</f>
        <v>2014</v>
      </c>
      <c r="F927" s="33">
        <f>DATE(YEAR(A927),MONTH(A927),1)</f>
        <v>41760.0</v>
      </c>
      <c r="G927" t="str">
        <f>CHOOSE(WEEKDAY(A927,2),"Mon","Tue","Wed","Thu","Fri","Sat","Sun")</f>
        <v>Fri</v>
      </c>
      <c r="H927" t="str">
        <f>IF(WEEKDAY(A927,2)&gt;5,"Weekend","Weekday")</f>
        <v>Weekday</v>
      </c>
      <c r="I927" t="str">
        <f>_xlfn.IFS(B927&lt;=5,"Night (0-5)",B927&lt;=9,"Morning peak (6-9)",B927&lt;=15,"Midday (10-15)",B927&lt;=19,"Evening peak (16-19)",TRUE,"Late evening (20-23)")</f>
        <v>Midday (10-15)</v>
      </c>
    </row>
    <row r="928" spans="1:9">
      <c r="A928" s="32">
        <v>41768</v>
      </c>
      <c r="B928">
        <v>14</v>
      </c>
      <c r="C928">
        <v>1409</v>
      </c>
      <c r="D928" t="s">
        <v>303</v>
      </c>
      <c r="E928">
        <f>YEAR(A928)</f>
        <v>2014</v>
      </c>
      <c r="F928" s="33">
        <f>DATE(YEAR(A928),MONTH(A928),1)</f>
        <v>41760.0</v>
      </c>
      <c r="G928" t="str">
        <f>CHOOSE(WEEKDAY(A928,2),"Mon","Tue","Wed","Thu","Fri","Sat","Sun")</f>
        <v>Fri</v>
      </c>
      <c r="H928" t="str">
        <f>IF(WEEKDAY(A928,2)&gt;5,"Weekend","Weekday")</f>
        <v>Weekday</v>
      </c>
      <c r="I928" t="str">
        <f>_xlfn.IFS(B928&lt;=5,"Night (0-5)",B928&lt;=9,"Morning peak (6-9)",B928&lt;=15,"Midday (10-15)",B928&lt;=19,"Evening peak (16-19)",TRUE,"Late evening (20-23)")</f>
        <v>Midday (10-15)</v>
      </c>
    </row>
    <row r="929" spans="1:9">
      <c r="A929" s="32">
        <v>41768</v>
      </c>
      <c r="B929">
        <v>15</v>
      </c>
      <c r="C929">
        <v>1661</v>
      </c>
      <c r="D929" t="s">
        <v>303</v>
      </c>
      <c r="E929">
        <f>YEAR(A929)</f>
        <v>2014</v>
      </c>
      <c r="F929" s="33">
        <f>DATE(YEAR(A929),MONTH(A929),1)</f>
        <v>41760.0</v>
      </c>
      <c r="G929" t="str">
        <f>CHOOSE(WEEKDAY(A929,2),"Mon","Tue","Wed","Thu","Fri","Sat","Sun")</f>
        <v>Fri</v>
      </c>
      <c r="H929" t="str">
        <f>IF(WEEKDAY(A929,2)&gt;5,"Weekend","Weekday")</f>
        <v>Weekday</v>
      </c>
      <c r="I929" t="str">
        <f>_xlfn.IFS(B929&lt;=5,"Night (0-5)",B929&lt;=9,"Morning peak (6-9)",B929&lt;=15,"Midday (10-15)",B929&lt;=19,"Evening peak (16-19)",TRUE,"Late evening (20-23)")</f>
        <v>Midday (10-15)</v>
      </c>
    </row>
    <row r="930" spans="1:9">
      <c r="A930" s="32">
        <v>41768</v>
      </c>
      <c r="B930">
        <v>16</v>
      </c>
      <c r="C930">
        <v>2007</v>
      </c>
      <c r="D930" t="s">
        <v>303</v>
      </c>
      <c r="E930">
        <f>YEAR(A930)</f>
        <v>2014</v>
      </c>
      <c r="F930" s="33">
        <f>DATE(YEAR(A930),MONTH(A930),1)</f>
        <v>41760.0</v>
      </c>
      <c r="G930" t="str">
        <f>CHOOSE(WEEKDAY(A930,2),"Mon","Tue","Wed","Thu","Fri","Sat","Sun")</f>
        <v>Fri</v>
      </c>
      <c r="H930" t="str">
        <f>IF(WEEKDAY(A930,2)&gt;5,"Weekend","Weekday")</f>
        <v>Weekday</v>
      </c>
      <c r="I930" t="str">
        <f>_xlfn.IFS(B930&lt;=5,"Night (0-5)",B930&lt;=9,"Morning peak (6-9)",B930&lt;=15,"Midday (10-15)",B930&lt;=19,"Evening peak (16-19)",TRUE,"Late evening (20-23)")</f>
        <v>Evening peak (16-19)</v>
      </c>
    </row>
    <row r="931" spans="1:9">
      <c r="A931" s="32">
        <v>41768</v>
      </c>
      <c r="B931">
        <v>17</v>
      </c>
      <c r="C931">
        <v>2384</v>
      </c>
      <c r="D931" t="s">
        <v>303</v>
      </c>
      <c r="E931">
        <f>YEAR(A931)</f>
        <v>2014</v>
      </c>
      <c r="F931" s="33">
        <f>DATE(YEAR(A931),MONTH(A931),1)</f>
        <v>41760.0</v>
      </c>
      <c r="G931" t="str">
        <f>CHOOSE(WEEKDAY(A931,2),"Mon","Tue","Wed","Thu","Fri","Sat","Sun")</f>
        <v>Fri</v>
      </c>
      <c r="H931" t="str">
        <f>IF(WEEKDAY(A931,2)&gt;5,"Weekend","Weekday")</f>
        <v>Weekday</v>
      </c>
      <c r="I931" t="str">
        <f>_xlfn.IFS(B931&lt;=5,"Night (0-5)",B931&lt;=9,"Morning peak (6-9)",B931&lt;=15,"Midday (10-15)",B931&lt;=19,"Evening peak (16-19)",TRUE,"Late evening (20-23)")</f>
        <v>Evening peak (16-19)</v>
      </c>
    </row>
    <row r="932" spans="1:9">
      <c r="A932" s="32">
        <v>41768</v>
      </c>
      <c r="B932">
        <v>18</v>
      </c>
      <c r="C932">
        <v>2424</v>
      </c>
      <c r="D932" t="s">
        <v>303</v>
      </c>
      <c r="E932">
        <f>YEAR(A932)</f>
        <v>2014</v>
      </c>
      <c r="F932" s="33">
        <f>DATE(YEAR(A932),MONTH(A932),1)</f>
        <v>41760.0</v>
      </c>
      <c r="G932" t="str">
        <f>CHOOSE(WEEKDAY(A932,2),"Mon","Tue","Wed","Thu","Fri","Sat","Sun")</f>
        <v>Fri</v>
      </c>
      <c r="H932" t="str">
        <f>IF(WEEKDAY(A932,2)&gt;5,"Weekend","Weekday")</f>
        <v>Weekday</v>
      </c>
      <c r="I932" t="str">
        <f>_xlfn.IFS(B932&lt;=5,"Night (0-5)",B932&lt;=9,"Morning peak (6-9)",B932&lt;=15,"Midday (10-15)",B932&lt;=19,"Evening peak (16-19)",TRUE,"Late evening (20-23)")</f>
        <v>Evening peak (16-19)</v>
      </c>
    </row>
    <row r="933" spans="1:9">
      <c r="A933" s="32">
        <v>41768</v>
      </c>
      <c r="B933">
        <v>19</v>
      </c>
      <c r="C933">
        <v>1683</v>
      </c>
      <c r="D933" t="s">
        <v>303</v>
      </c>
      <c r="E933">
        <f>YEAR(A933)</f>
        <v>2014</v>
      </c>
      <c r="F933" s="33">
        <f>DATE(YEAR(A933),MONTH(A933),1)</f>
        <v>41760.0</v>
      </c>
      <c r="G933" t="str">
        <f>CHOOSE(WEEKDAY(A933,2),"Mon","Tue","Wed","Thu","Fri","Sat","Sun")</f>
        <v>Fri</v>
      </c>
      <c r="H933" t="str">
        <f>IF(WEEKDAY(A933,2)&gt;5,"Weekend","Weekday")</f>
        <v>Weekday</v>
      </c>
      <c r="I933" t="str">
        <f>_xlfn.IFS(B933&lt;=5,"Night (0-5)",B933&lt;=9,"Morning peak (6-9)",B933&lt;=15,"Midday (10-15)",B933&lt;=19,"Evening peak (16-19)",TRUE,"Late evening (20-23)")</f>
        <v>Evening peak (16-19)</v>
      </c>
    </row>
    <row r="934" spans="1:9">
      <c r="A934" s="32">
        <v>41768</v>
      </c>
      <c r="B934">
        <v>20</v>
      </c>
      <c r="C934">
        <v>1298</v>
      </c>
      <c r="D934" t="s">
        <v>303</v>
      </c>
      <c r="E934">
        <f>YEAR(A934)</f>
        <v>2014</v>
      </c>
      <c r="F934" s="33">
        <f>DATE(YEAR(A934),MONTH(A934),1)</f>
        <v>41760.0</v>
      </c>
      <c r="G934" t="str">
        <f>CHOOSE(WEEKDAY(A934,2),"Mon","Tue","Wed","Thu","Fri","Sat","Sun")</f>
        <v>Fri</v>
      </c>
      <c r="H934" t="str">
        <f>IF(WEEKDAY(A934,2)&gt;5,"Weekend","Weekday")</f>
        <v>Weekday</v>
      </c>
      <c r="I934" t="str">
        <f>_xlfn.IFS(B934&lt;=5,"Night (0-5)",B934&lt;=9,"Morning peak (6-9)",B934&lt;=15,"Midday (10-15)",B934&lt;=19,"Evening peak (16-19)",TRUE,"Late evening (20-23)")</f>
        <v>Late evening (20-23)</v>
      </c>
    </row>
    <row r="935" spans="1:9">
      <c r="A935" s="32">
        <v>41768</v>
      </c>
      <c r="B935">
        <v>21</v>
      </c>
      <c r="C935">
        <v>1347</v>
      </c>
      <c r="D935" t="s">
        <v>303</v>
      </c>
      <c r="E935">
        <f>YEAR(A935)</f>
        <v>2014</v>
      </c>
      <c r="F935" s="33">
        <f>DATE(YEAR(A935),MONTH(A935),1)</f>
        <v>41760.0</v>
      </c>
      <c r="G935" t="str">
        <f>CHOOSE(WEEKDAY(A935,2),"Mon","Tue","Wed","Thu","Fri","Sat","Sun")</f>
        <v>Fri</v>
      </c>
      <c r="H935" t="str">
        <f>IF(WEEKDAY(A935,2)&gt;5,"Weekend","Weekday")</f>
        <v>Weekday</v>
      </c>
      <c r="I935" t="str">
        <f>_xlfn.IFS(B935&lt;=5,"Night (0-5)",B935&lt;=9,"Morning peak (6-9)",B935&lt;=15,"Midday (10-15)",B935&lt;=19,"Evening peak (16-19)",TRUE,"Late evening (20-23)")</f>
        <v>Late evening (20-23)</v>
      </c>
    </row>
    <row r="936" spans="1:9">
      <c r="A936" s="32">
        <v>41768</v>
      </c>
      <c r="B936">
        <v>22</v>
      </c>
      <c r="C936">
        <v>1532</v>
      </c>
      <c r="D936" t="s">
        <v>303</v>
      </c>
      <c r="E936">
        <f>YEAR(A936)</f>
        <v>2014</v>
      </c>
      <c r="F936" s="33">
        <f>DATE(YEAR(A936),MONTH(A936),1)</f>
        <v>41760.0</v>
      </c>
      <c r="G936" t="str">
        <f>CHOOSE(WEEKDAY(A936,2),"Mon","Tue","Wed","Thu","Fri","Sat","Sun")</f>
        <v>Fri</v>
      </c>
      <c r="H936" t="str">
        <f>IF(WEEKDAY(A936,2)&gt;5,"Weekend","Weekday")</f>
        <v>Weekday</v>
      </c>
      <c r="I936" t="str">
        <f>_xlfn.IFS(B936&lt;=5,"Night (0-5)",B936&lt;=9,"Morning peak (6-9)",B936&lt;=15,"Midday (10-15)",B936&lt;=19,"Evening peak (16-19)",TRUE,"Late evening (20-23)")</f>
        <v>Late evening (20-23)</v>
      </c>
    </row>
    <row r="937" spans="1:9">
      <c r="A937" s="32">
        <v>41768</v>
      </c>
      <c r="B937">
        <v>23</v>
      </c>
      <c r="C937">
        <v>1241</v>
      </c>
      <c r="D937" t="s">
        <v>303</v>
      </c>
      <c r="E937">
        <f>YEAR(A937)</f>
        <v>2014</v>
      </c>
      <c r="F937" s="33">
        <f>DATE(YEAR(A937),MONTH(A937),1)</f>
        <v>41760.0</v>
      </c>
      <c r="G937" t="str">
        <f>CHOOSE(WEEKDAY(A937,2),"Mon","Tue","Wed","Thu","Fri","Sat","Sun")</f>
        <v>Fri</v>
      </c>
      <c r="H937" t="str">
        <f>IF(WEEKDAY(A937,2)&gt;5,"Weekend","Weekday")</f>
        <v>Weekday</v>
      </c>
      <c r="I937" t="str">
        <f>_xlfn.IFS(B937&lt;=5,"Night (0-5)",B937&lt;=9,"Morning peak (6-9)",B937&lt;=15,"Midday (10-15)",B937&lt;=19,"Evening peak (16-19)",TRUE,"Late evening (20-23)")</f>
        <v>Late evening (20-23)</v>
      </c>
    </row>
    <row r="938" spans="1:9">
      <c r="A938" s="32">
        <v>41769</v>
      </c>
      <c r="B938">
        <v>0</v>
      </c>
      <c r="C938">
        <v>788</v>
      </c>
      <c r="D938" t="s">
        <v>303</v>
      </c>
      <c r="E938">
        <f>YEAR(A938)</f>
        <v>2014</v>
      </c>
      <c r="F938" s="33">
        <f>DATE(YEAR(A938),MONTH(A938),1)</f>
        <v>41760.0</v>
      </c>
      <c r="G938" t="str">
        <f>CHOOSE(WEEKDAY(A938,2),"Mon","Tue","Wed","Thu","Fri","Sat","Sun")</f>
        <v>Sat</v>
      </c>
      <c r="H938" t="str">
        <f>IF(WEEKDAY(A938,2)&gt;5,"Weekend","Weekday")</f>
        <v>Weekend</v>
      </c>
      <c r="I938" t="str">
        <f>_xlfn.IFS(B938&lt;=5,"Night (0-5)",B938&lt;=9,"Morning peak (6-9)",B938&lt;=15,"Midday (10-15)",B938&lt;=19,"Evening peak (16-19)",TRUE,"Late evening (20-23)")</f>
        <v>Night (0-5)</v>
      </c>
    </row>
    <row r="939" spans="1:9">
      <c r="A939" s="32">
        <v>41769</v>
      </c>
      <c r="B939">
        <v>1</v>
      </c>
      <c r="C939">
        <v>472</v>
      </c>
      <c r="D939" t="s">
        <v>303</v>
      </c>
      <c r="E939">
        <f>YEAR(A939)</f>
        <v>2014</v>
      </c>
      <c r="F939" s="33">
        <f>DATE(YEAR(A939),MONTH(A939),1)</f>
        <v>41760.0</v>
      </c>
      <c r="G939" t="str">
        <f>CHOOSE(WEEKDAY(A939,2),"Mon","Tue","Wed","Thu","Fri","Sat","Sun")</f>
        <v>Sat</v>
      </c>
      <c r="H939" t="str">
        <f>IF(WEEKDAY(A939,2)&gt;5,"Weekend","Weekday")</f>
        <v>Weekend</v>
      </c>
      <c r="I939" t="str">
        <f>_xlfn.IFS(B939&lt;=5,"Night (0-5)",B939&lt;=9,"Morning peak (6-9)",B939&lt;=15,"Midday (10-15)",B939&lt;=19,"Evening peak (16-19)",TRUE,"Late evening (20-23)")</f>
        <v>Night (0-5)</v>
      </c>
    </row>
    <row r="940" spans="1:9">
      <c r="A940" s="32">
        <v>41769</v>
      </c>
      <c r="B940">
        <v>2</v>
      </c>
      <c r="C940">
        <v>319</v>
      </c>
      <c r="D940" t="s">
        <v>303</v>
      </c>
      <c r="E940">
        <f>YEAR(A940)</f>
        <v>2014</v>
      </c>
      <c r="F940" s="33">
        <f>DATE(YEAR(A940),MONTH(A940),1)</f>
        <v>41760.0</v>
      </c>
      <c r="G940" t="str">
        <f>CHOOSE(WEEKDAY(A940,2),"Mon","Tue","Wed","Thu","Fri","Sat","Sun")</f>
        <v>Sat</v>
      </c>
      <c r="H940" t="str">
        <f>IF(WEEKDAY(A940,2)&gt;5,"Weekend","Weekday")</f>
        <v>Weekend</v>
      </c>
      <c r="I940" t="str">
        <f>_xlfn.IFS(B940&lt;=5,"Night (0-5)",B940&lt;=9,"Morning peak (6-9)",B940&lt;=15,"Midday (10-15)",B940&lt;=19,"Evening peak (16-19)",TRUE,"Late evening (20-23)")</f>
        <v>Night (0-5)</v>
      </c>
    </row>
    <row r="941" spans="1:9">
      <c r="A941" s="32">
        <v>41769</v>
      </c>
      <c r="B941">
        <v>3</v>
      </c>
      <c r="C941">
        <v>242</v>
      </c>
      <c r="D941" t="s">
        <v>303</v>
      </c>
      <c r="E941">
        <f>YEAR(A941)</f>
        <v>2014</v>
      </c>
      <c r="F941" s="33">
        <f>DATE(YEAR(A941),MONTH(A941),1)</f>
        <v>41760.0</v>
      </c>
      <c r="G941" t="str">
        <f>CHOOSE(WEEKDAY(A941,2),"Mon","Tue","Wed","Thu","Fri","Sat","Sun")</f>
        <v>Sat</v>
      </c>
      <c r="H941" t="str">
        <f>IF(WEEKDAY(A941,2)&gt;5,"Weekend","Weekday")</f>
        <v>Weekend</v>
      </c>
      <c r="I941" t="str">
        <f>_xlfn.IFS(B941&lt;=5,"Night (0-5)",B941&lt;=9,"Morning peak (6-9)",B941&lt;=15,"Midday (10-15)",B941&lt;=19,"Evening peak (16-19)",TRUE,"Late evening (20-23)")</f>
        <v>Night (0-5)</v>
      </c>
    </row>
    <row r="942" spans="1:9">
      <c r="A942" s="32">
        <v>41769</v>
      </c>
      <c r="B942">
        <v>4</v>
      </c>
      <c r="C942">
        <v>148</v>
      </c>
      <c r="D942" t="s">
        <v>303</v>
      </c>
      <c r="E942">
        <f>YEAR(A942)</f>
        <v>2014</v>
      </c>
      <c r="F942" s="33">
        <f>DATE(YEAR(A942),MONTH(A942),1)</f>
        <v>41760.0</v>
      </c>
      <c r="G942" t="str">
        <f>CHOOSE(WEEKDAY(A942,2),"Mon","Tue","Wed","Thu","Fri","Sat","Sun")</f>
        <v>Sat</v>
      </c>
      <c r="H942" t="str">
        <f>IF(WEEKDAY(A942,2)&gt;5,"Weekend","Weekday")</f>
        <v>Weekend</v>
      </c>
      <c r="I942" t="str">
        <f>_xlfn.IFS(B942&lt;=5,"Night (0-5)",B942&lt;=9,"Morning peak (6-9)",B942&lt;=15,"Midday (10-15)",B942&lt;=19,"Evening peak (16-19)",TRUE,"Late evening (20-23)")</f>
        <v>Night (0-5)</v>
      </c>
    </row>
    <row r="943" spans="1:9">
      <c r="A943" s="32">
        <v>41769</v>
      </c>
      <c r="B943">
        <v>5</v>
      </c>
      <c r="C943">
        <v>204</v>
      </c>
      <c r="D943" t="s">
        <v>303</v>
      </c>
      <c r="E943">
        <f>YEAR(A943)</f>
        <v>2014</v>
      </c>
      <c r="F943" s="33">
        <f>DATE(YEAR(A943),MONTH(A943),1)</f>
        <v>41760.0</v>
      </c>
      <c r="G943" t="str">
        <f>CHOOSE(WEEKDAY(A943,2),"Mon","Tue","Wed","Thu","Fri","Sat","Sun")</f>
        <v>Sat</v>
      </c>
      <c r="H943" t="str">
        <f>IF(WEEKDAY(A943,2)&gt;5,"Weekend","Weekday")</f>
        <v>Weekend</v>
      </c>
      <c r="I943" t="str">
        <f>_xlfn.IFS(B943&lt;=5,"Night (0-5)",B943&lt;=9,"Morning peak (6-9)",B943&lt;=15,"Midday (10-15)",B943&lt;=19,"Evening peak (16-19)",TRUE,"Late evening (20-23)")</f>
        <v>Night (0-5)</v>
      </c>
    </row>
    <row r="944" spans="1:9">
      <c r="A944" s="32">
        <v>41769</v>
      </c>
      <c r="B944">
        <v>6</v>
      </c>
      <c r="C944">
        <v>230</v>
      </c>
      <c r="D944" t="s">
        <v>303</v>
      </c>
      <c r="E944">
        <f>YEAR(A944)</f>
        <v>2014</v>
      </c>
      <c r="F944" s="33">
        <f>DATE(YEAR(A944),MONTH(A944),1)</f>
        <v>41760.0</v>
      </c>
      <c r="G944" t="str">
        <f>CHOOSE(WEEKDAY(A944,2),"Mon","Tue","Wed","Thu","Fri","Sat","Sun")</f>
        <v>Sat</v>
      </c>
      <c r="H944" t="str">
        <f>IF(WEEKDAY(A944,2)&gt;5,"Weekend","Weekday")</f>
        <v>Weekend</v>
      </c>
      <c r="I944" t="str">
        <f>_xlfn.IFS(B944&lt;=5,"Night (0-5)",B944&lt;=9,"Morning peak (6-9)",B944&lt;=15,"Midday (10-15)",B944&lt;=19,"Evening peak (16-19)",TRUE,"Late evening (20-23)")</f>
        <v>Morning peak (6-9)</v>
      </c>
    </row>
    <row r="945" spans="1:9">
      <c r="A945" s="32">
        <v>41769</v>
      </c>
      <c r="B945">
        <v>7</v>
      </c>
      <c r="C945">
        <v>297</v>
      </c>
      <c r="D945" t="s">
        <v>303</v>
      </c>
      <c r="E945">
        <f>YEAR(A945)</f>
        <v>2014</v>
      </c>
      <c r="F945" s="33">
        <f>DATE(YEAR(A945),MONTH(A945),1)</f>
        <v>41760.0</v>
      </c>
      <c r="G945" t="str">
        <f>CHOOSE(WEEKDAY(A945,2),"Mon","Tue","Wed","Thu","Fri","Sat","Sun")</f>
        <v>Sat</v>
      </c>
      <c r="H945" t="str">
        <f>IF(WEEKDAY(A945,2)&gt;5,"Weekend","Weekday")</f>
        <v>Weekend</v>
      </c>
      <c r="I945" t="str">
        <f>_xlfn.IFS(B945&lt;=5,"Night (0-5)",B945&lt;=9,"Morning peak (6-9)",B945&lt;=15,"Midday (10-15)",B945&lt;=19,"Evening peak (16-19)",TRUE,"Late evening (20-23)")</f>
        <v>Morning peak (6-9)</v>
      </c>
    </row>
    <row r="946" spans="1:9">
      <c r="A946" s="32">
        <v>41769</v>
      </c>
      <c r="B946">
        <v>8</v>
      </c>
      <c r="C946">
        <v>433</v>
      </c>
      <c r="D946" t="s">
        <v>303</v>
      </c>
      <c r="E946">
        <f>YEAR(A946)</f>
        <v>2014</v>
      </c>
      <c r="F946" s="33">
        <f>DATE(YEAR(A946),MONTH(A946),1)</f>
        <v>41760.0</v>
      </c>
      <c r="G946" t="str">
        <f>CHOOSE(WEEKDAY(A946,2),"Mon","Tue","Wed","Thu","Fri","Sat","Sun")</f>
        <v>Sat</v>
      </c>
      <c r="H946" t="str">
        <f>IF(WEEKDAY(A946,2)&gt;5,"Weekend","Weekday")</f>
        <v>Weekend</v>
      </c>
      <c r="I946" t="str">
        <f>_xlfn.IFS(B946&lt;=5,"Night (0-5)",B946&lt;=9,"Morning peak (6-9)",B946&lt;=15,"Midday (10-15)",B946&lt;=19,"Evening peak (16-19)",TRUE,"Late evening (20-23)")</f>
        <v>Morning peak (6-9)</v>
      </c>
    </row>
    <row r="947" spans="1:9">
      <c r="A947" s="32">
        <v>41769</v>
      </c>
      <c r="B947">
        <v>9</v>
      </c>
      <c r="C947">
        <v>543</v>
      </c>
      <c r="D947" t="s">
        <v>303</v>
      </c>
      <c r="E947">
        <f>YEAR(A947)</f>
        <v>2014</v>
      </c>
      <c r="F947" s="33">
        <f>DATE(YEAR(A947),MONTH(A947),1)</f>
        <v>41760.0</v>
      </c>
      <c r="G947" t="str">
        <f>CHOOSE(WEEKDAY(A947,2),"Mon","Tue","Wed","Thu","Fri","Sat","Sun")</f>
        <v>Sat</v>
      </c>
      <c r="H947" t="str">
        <f>IF(WEEKDAY(A947,2)&gt;5,"Weekend","Weekday")</f>
        <v>Weekend</v>
      </c>
      <c r="I947" t="str">
        <f>_xlfn.IFS(B947&lt;=5,"Night (0-5)",B947&lt;=9,"Morning peak (6-9)",B947&lt;=15,"Midday (10-15)",B947&lt;=19,"Evening peak (16-19)",TRUE,"Late evening (20-23)")</f>
        <v>Morning peak (6-9)</v>
      </c>
    </row>
    <row r="948" spans="1:9">
      <c r="A948" s="32">
        <v>41769</v>
      </c>
      <c r="B948">
        <v>10</v>
      </c>
      <c r="C948">
        <v>596</v>
      </c>
      <c r="D948" t="s">
        <v>303</v>
      </c>
      <c r="E948">
        <f>YEAR(A948)</f>
        <v>2014</v>
      </c>
      <c r="F948" s="33">
        <f>DATE(YEAR(A948),MONTH(A948),1)</f>
        <v>41760.0</v>
      </c>
      <c r="G948" t="str">
        <f>CHOOSE(WEEKDAY(A948,2),"Mon","Tue","Wed","Thu","Fri","Sat","Sun")</f>
        <v>Sat</v>
      </c>
      <c r="H948" t="str">
        <f>IF(WEEKDAY(A948,2)&gt;5,"Weekend","Weekday")</f>
        <v>Weekend</v>
      </c>
      <c r="I948" t="str">
        <f>_xlfn.IFS(B948&lt;=5,"Night (0-5)",B948&lt;=9,"Morning peak (6-9)",B948&lt;=15,"Midday (10-15)",B948&lt;=19,"Evening peak (16-19)",TRUE,"Late evening (20-23)")</f>
        <v>Midday (10-15)</v>
      </c>
    </row>
    <row r="949" spans="1:9">
      <c r="A949" s="32">
        <v>41769</v>
      </c>
      <c r="B949">
        <v>11</v>
      </c>
      <c r="C949">
        <v>683</v>
      </c>
      <c r="D949" t="s">
        <v>303</v>
      </c>
      <c r="E949">
        <f>YEAR(A949)</f>
        <v>2014</v>
      </c>
      <c r="F949" s="33">
        <f>DATE(YEAR(A949),MONTH(A949),1)</f>
        <v>41760.0</v>
      </c>
      <c r="G949" t="str">
        <f>CHOOSE(WEEKDAY(A949,2),"Mon","Tue","Wed","Thu","Fri","Sat","Sun")</f>
        <v>Sat</v>
      </c>
      <c r="H949" t="str">
        <f>IF(WEEKDAY(A949,2)&gt;5,"Weekend","Weekday")</f>
        <v>Weekend</v>
      </c>
      <c r="I949" t="str">
        <f>_xlfn.IFS(B949&lt;=5,"Night (0-5)",B949&lt;=9,"Morning peak (6-9)",B949&lt;=15,"Midday (10-15)",B949&lt;=19,"Evening peak (16-19)",TRUE,"Late evening (20-23)")</f>
        <v>Midday (10-15)</v>
      </c>
    </row>
    <row r="950" spans="1:9">
      <c r="A950" s="32">
        <v>41769</v>
      </c>
      <c r="B950">
        <v>12</v>
      </c>
      <c r="C950">
        <v>780</v>
      </c>
      <c r="D950" t="s">
        <v>303</v>
      </c>
      <c r="E950">
        <f>YEAR(A950)</f>
        <v>2014</v>
      </c>
      <c r="F950" s="33">
        <f>DATE(YEAR(A950),MONTH(A950),1)</f>
        <v>41760.0</v>
      </c>
      <c r="G950" t="str">
        <f>CHOOSE(WEEKDAY(A950,2),"Mon","Tue","Wed","Thu","Fri","Sat","Sun")</f>
        <v>Sat</v>
      </c>
      <c r="H950" t="str">
        <f>IF(WEEKDAY(A950,2)&gt;5,"Weekend","Weekday")</f>
        <v>Weekend</v>
      </c>
      <c r="I950" t="str">
        <f>_xlfn.IFS(B950&lt;=5,"Night (0-5)",B950&lt;=9,"Morning peak (6-9)",B950&lt;=15,"Midday (10-15)",B950&lt;=19,"Evening peak (16-19)",TRUE,"Late evening (20-23)")</f>
        <v>Midday (10-15)</v>
      </c>
    </row>
    <row r="951" spans="1:9">
      <c r="A951" s="32">
        <v>41769</v>
      </c>
      <c r="B951">
        <v>13</v>
      </c>
      <c r="C951">
        <v>1009</v>
      </c>
      <c r="D951" t="s">
        <v>303</v>
      </c>
      <c r="E951">
        <f>YEAR(A951)</f>
        <v>2014</v>
      </c>
      <c r="F951" s="33">
        <f>DATE(YEAR(A951),MONTH(A951),1)</f>
        <v>41760.0</v>
      </c>
      <c r="G951" t="str">
        <f>CHOOSE(WEEKDAY(A951,2),"Mon","Tue","Wed","Thu","Fri","Sat","Sun")</f>
        <v>Sat</v>
      </c>
      <c r="H951" t="str">
        <f>IF(WEEKDAY(A951,2)&gt;5,"Weekend","Weekday")</f>
        <v>Weekend</v>
      </c>
      <c r="I951" t="str">
        <f>_xlfn.IFS(B951&lt;=5,"Night (0-5)",B951&lt;=9,"Morning peak (6-9)",B951&lt;=15,"Midday (10-15)",B951&lt;=19,"Evening peak (16-19)",TRUE,"Late evening (20-23)")</f>
        <v>Midday (10-15)</v>
      </c>
    </row>
    <row r="952" spans="1:9">
      <c r="A952" s="32">
        <v>41769</v>
      </c>
      <c r="B952">
        <v>14</v>
      </c>
      <c r="C952">
        <v>1074</v>
      </c>
      <c r="D952" t="s">
        <v>303</v>
      </c>
      <c r="E952">
        <f>YEAR(A952)</f>
        <v>2014</v>
      </c>
      <c r="F952" s="33">
        <f>DATE(YEAR(A952),MONTH(A952),1)</f>
        <v>41760.0</v>
      </c>
      <c r="G952" t="str">
        <f>CHOOSE(WEEKDAY(A952,2),"Mon","Tue","Wed","Thu","Fri","Sat","Sun")</f>
        <v>Sat</v>
      </c>
      <c r="H952" t="str">
        <f>IF(WEEKDAY(A952,2)&gt;5,"Weekend","Weekday")</f>
        <v>Weekend</v>
      </c>
      <c r="I952" t="str">
        <f>_xlfn.IFS(B952&lt;=5,"Night (0-5)",B952&lt;=9,"Morning peak (6-9)",B952&lt;=15,"Midday (10-15)",B952&lt;=19,"Evening peak (16-19)",TRUE,"Late evening (20-23)")</f>
        <v>Midday (10-15)</v>
      </c>
    </row>
    <row r="953" spans="1:9">
      <c r="A953" s="32">
        <v>41769</v>
      </c>
      <c r="B953">
        <v>15</v>
      </c>
      <c r="C953">
        <v>1615</v>
      </c>
      <c r="D953" t="s">
        <v>303</v>
      </c>
      <c r="E953">
        <f>YEAR(A953)</f>
        <v>2014</v>
      </c>
      <c r="F953" s="33">
        <f>DATE(YEAR(A953),MONTH(A953),1)</f>
        <v>41760.0</v>
      </c>
      <c r="G953" t="str">
        <f>CHOOSE(WEEKDAY(A953,2),"Mon","Tue","Wed","Thu","Fri","Sat","Sun")</f>
        <v>Sat</v>
      </c>
      <c r="H953" t="str">
        <f>IF(WEEKDAY(A953,2)&gt;5,"Weekend","Weekday")</f>
        <v>Weekend</v>
      </c>
      <c r="I953" t="str">
        <f>_xlfn.IFS(B953&lt;=5,"Night (0-5)",B953&lt;=9,"Morning peak (6-9)",B953&lt;=15,"Midday (10-15)",B953&lt;=19,"Evening peak (16-19)",TRUE,"Late evening (20-23)")</f>
        <v>Midday (10-15)</v>
      </c>
    </row>
    <row r="954" spans="1:9">
      <c r="A954" s="32">
        <v>41769</v>
      </c>
      <c r="B954">
        <v>16</v>
      </c>
      <c r="C954">
        <v>1939</v>
      </c>
      <c r="D954" t="s">
        <v>303</v>
      </c>
      <c r="E954">
        <f>YEAR(A954)</f>
        <v>2014</v>
      </c>
      <c r="F954" s="33">
        <f>DATE(YEAR(A954),MONTH(A954),1)</f>
        <v>41760.0</v>
      </c>
      <c r="G954" t="str">
        <f>CHOOSE(WEEKDAY(A954,2),"Mon","Tue","Wed","Thu","Fri","Sat","Sun")</f>
        <v>Sat</v>
      </c>
      <c r="H954" t="str">
        <f>IF(WEEKDAY(A954,2)&gt;5,"Weekend","Weekday")</f>
        <v>Weekend</v>
      </c>
      <c r="I954" t="str">
        <f>_xlfn.IFS(B954&lt;=5,"Night (0-5)",B954&lt;=9,"Morning peak (6-9)",B954&lt;=15,"Midday (10-15)",B954&lt;=19,"Evening peak (16-19)",TRUE,"Late evening (20-23)")</f>
        <v>Evening peak (16-19)</v>
      </c>
    </row>
    <row r="955" spans="1:9">
      <c r="A955" s="32">
        <v>41769</v>
      </c>
      <c r="B955">
        <v>17</v>
      </c>
      <c r="C955">
        <v>1890</v>
      </c>
      <c r="D955" t="s">
        <v>303</v>
      </c>
      <c r="E955">
        <f>YEAR(A955)</f>
        <v>2014</v>
      </c>
      <c r="F955" s="33">
        <f>DATE(YEAR(A955),MONTH(A955),1)</f>
        <v>41760.0</v>
      </c>
      <c r="G955" t="str">
        <f>CHOOSE(WEEKDAY(A955,2),"Mon","Tue","Wed","Thu","Fri","Sat","Sun")</f>
        <v>Sat</v>
      </c>
      <c r="H955" t="str">
        <f>IF(WEEKDAY(A955,2)&gt;5,"Weekend","Weekday")</f>
        <v>Weekend</v>
      </c>
      <c r="I955" t="str">
        <f>_xlfn.IFS(B955&lt;=5,"Night (0-5)",B955&lt;=9,"Morning peak (6-9)",B955&lt;=15,"Midday (10-15)",B955&lt;=19,"Evening peak (16-19)",TRUE,"Late evening (20-23)")</f>
        <v>Evening peak (16-19)</v>
      </c>
    </row>
    <row r="956" spans="1:9">
      <c r="A956" s="32">
        <v>41769</v>
      </c>
      <c r="B956">
        <v>18</v>
      </c>
      <c r="C956">
        <v>1838</v>
      </c>
      <c r="D956" t="s">
        <v>303</v>
      </c>
      <c r="E956">
        <f>YEAR(A956)</f>
        <v>2014</v>
      </c>
      <c r="F956" s="33">
        <f>DATE(YEAR(A956),MONTH(A956),1)</f>
        <v>41760.0</v>
      </c>
      <c r="G956" t="str">
        <f>CHOOSE(WEEKDAY(A956,2),"Mon","Tue","Wed","Thu","Fri","Sat","Sun")</f>
        <v>Sat</v>
      </c>
      <c r="H956" t="str">
        <f>IF(WEEKDAY(A956,2)&gt;5,"Weekend","Weekday")</f>
        <v>Weekend</v>
      </c>
      <c r="I956" t="str">
        <f>_xlfn.IFS(B956&lt;=5,"Night (0-5)",B956&lt;=9,"Morning peak (6-9)",B956&lt;=15,"Midday (10-15)",B956&lt;=19,"Evening peak (16-19)",TRUE,"Late evening (20-23)")</f>
        <v>Evening peak (16-19)</v>
      </c>
    </row>
    <row r="957" spans="1:9">
      <c r="A957" s="32">
        <v>41769</v>
      </c>
      <c r="B957">
        <v>19</v>
      </c>
      <c r="C957">
        <v>1365</v>
      </c>
      <c r="D957" t="s">
        <v>303</v>
      </c>
      <c r="E957">
        <f>YEAR(A957)</f>
        <v>2014</v>
      </c>
      <c r="F957" s="33">
        <f>DATE(YEAR(A957),MONTH(A957),1)</f>
        <v>41760.0</v>
      </c>
      <c r="G957" t="str">
        <f>CHOOSE(WEEKDAY(A957,2),"Mon","Tue","Wed","Thu","Fri","Sat","Sun")</f>
        <v>Sat</v>
      </c>
      <c r="H957" t="str">
        <f>IF(WEEKDAY(A957,2)&gt;5,"Weekend","Weekday")</f>
        <v>Weekend</v>
      </c>
      <c r="I957" t="str">
        <f>_xlfn.IFS(B957&lt;=5,"Night (0-5)",B957&lt;=9,"Morning peak (6-9)",B957&lt;=15,"Midday (10-15)",B957&lt;=19,"Evening peak (16-19)",TRUE,"Late evening (20-23)")</f>
        <v>Evening peak (16-19)</v>
      </c>
    </row>
    <row r="958" spans="1:9">
      <c r="A958" s="32">
        <v>41769</v>
      </c>
      <c r="B958">
        <v>20</v>
      </c>
      <c r="C958">
        <v>1137</v>
      </c>
      <c r="D958" t="s">
        <v>303</v>
      </c>
      <c r="E958">
        <f>YEAR(A958)</f>
        <v>2014</v>
      </c>
      <c r="F958" s="33">
        <f>DATE(YEAR(A958),MONTH(A958),1)</f>
        <v>41760.0</v>
      </c>
      <c r="G958" t="str">
        <f>CHOOSE(WEEKDAY(A958,2),"Mon","Tue","Wed","Thu","Fri","Sat","Sun")</f>
        <v>Sat</v>
      </c>
      <c r="H958" t="str">
        <f>IF(WEEKDAY(A958,2)&gt;5,"Weekend","Weekday")</f>
        <v>Weekend</v>
      </c>
      <c r="I958" t="str">
        <f>_xlfn.IFS(B958&lt;=5,"Night (0-5)",B958&lt;=9,"Morning peak (6-9)",B958&lt;=15,"Midday (10-15)",B958&lt;=19,"Evening peak (16-19)",TRUE,"Late evening (20-23)")</f>
        <v>Late evening (20-23)</v>
      </c>
    </row>
    <row r="959" spans="1:9">
      <c r="A959" s="32">
        <v>41769</v>
      </c>
      <c r="B959">
        <v>21</v>
      </c>
      <c r="C959">
        <v>1322</v>
      </c>
      <c r="D959" t="s">
        <v>303</v>
      </c>
      <c r="E959">
        <f>YEAR(A959)</f>
        <v>2014</v>
      </c>
      <c r="F959" s="33">
        <f>DATE(YEAR(A959),MONTH(A959),1)</f>
        <v>41760.0</v>
      </c>
      <c r="G959" t="str">
        <f>CHOOSE(WEEKDAY(A959,2),"Mon","Tue","Wed","Thu","Fri","Sat","Sun")</f>
        <v>Sat</v>
      </c>
      <c r="H959" t="str">
        <f>IF(WEEKDAY(A959,2)&gt;5,"Weekend","Weekday")</f>
        <v>Weekend</v>
      </c>
      <c r="I959" t="str">
        <f>_xlfn.IFS(B959&lt;=5,"Night (0-5)",B959&lt;=9,"Morning peak (6-9)",B959&lt;=15,"Midday (10-15)",B959&lt;=19,"Evening peak (16-19)",TRUE,"Late evening (20-23)")</f>
        <v>Late evening (20-23)</v>
      </c>
    </row>
    <row r="960" spans="1:9">
      <c r="A960" s="32">
        <v>41769</v>
      </c>
      <c r="B960">
        <v>22</v>
      </c>
      <c r="C960">
        <v>1738</v>
      </c>
      <c r="D960" t="s">
        <v>303</v>
      </c>
      <c r="E960">
        <f>YEAR(A960)</f>
        <v>2014</v>
      </c>
      <c r="F960" s="33">
        <f>DATE(YEAR(A960),MONTH(A960),1)</f>
        <v>41760.0</v>
      </c>
      <c r="G960" t="str">
        <f>CHOOSE(WEEKDAY(A960,2),"Mon","Tue","Wed","Thu","Fri","Sat","Sun")</f>
        <v>Sat</v>
      </c>
      <c r="H960" t="str">
        <f>IF(WEEKDAY(A960,2)&gt;5,"Weekend","Weekday")</f>
        <v>Weekend</v>
      </c>
      <c r="I960" t="str">
        <f>_xlfn.IFS(B960&lt;=5,"Night (0-5)",B960&lt;=9,"Morning peak (6-9)",B960&lt;=15,"Midday (10-15)",B960&lt;=19,"Evening peak (16-19)",TRUE,"Late evening (20-23)")</f>
        <v>Late evening (20-23)</v>
      </c>
    </row>
    <row r="961" spans="1:9">
      <c r="A961" s="32">
        <v>41769</v>
      </c>
      <c r="B961">
        <v>23</v>
      </c>
      <c r="C961">
        <v>1888</v>
      </c>
      <c r="D961" t="s">
        <v>303</v>
      </c>
      <c r="E961">
        <f>YEAR(A961)</f>
        <v>2014</v>
      </c>
      <c r="F961" s="33">
        <f>DATE(YEAR(A961),MONTH(A961),1)</f>
        <v>41760.0</v>
      </c>
      <c r="G961" t="str">
        <f>CHOOSE(WEEKDAY(A961,2),"Mon","Tue","Wed","Thu","Fri","Sat","Sun")</f>
        <v>Sat</v>
      </c>
      <c r="H961" t="str">
        <f>IF(WEEKDAY(A961,2)&gt;5,"Weekend","Weekday")</f>
        <v>Weekend</v>
      </c>
      <c r="I961" t="str">
        <f>_xlfn.IFS(B961&lt;=5,"Night (0-5)",B961&lt;=9,"Morning peak (6-9)",B961&lt;=15,"Midday (10-15)",B961&lt;=19,"Evening peak (16-19)",TRUE,"Late evening (20-23)")</f>
        <v>Late evening (20-23)</v>
      </c>
    </row>
    <row r="962" spans="1:9">
      <c r="A962" s="32">
        <v>41770</v>
      </c>
      <c r="B962">
        <v>0</v>
      </c>
      <c r="C962">
        <v>1212</v>
      </c>
      <c r="D962" t="s">
        <v>303</v>
      </c>
      <c r="E962">
        <f>YEAR(A962)</f>
        <v>2014</v>
      </c>
      <c r="F962" s="33">
        <f>DATE(YEAR(A962),MONTH(A962),1)</f>
        <v>41760.0</v>
      </c>
      <c r="G962" t="str">
        <f>CHOOSE(WEEKDAY(A962,2),"Mon","Tue","Wed","Thu","Fri","Sat","Sun")</f>
        <v>Sun</v>
      </c>
      <c r="H962" t="str">
        <f>IF(WEEKDAY(A962,2)&gt;5,"Weekend","Weekday")</f>
        <v>Weekend</v>
      </c>
      <c r="I962" t="str">
        <f>_xlfn.IFS(B962&lt;=5,"Night (0-5)",B962&lt;=9,"Morning peak (6-9)",B962&lt;=15,"Midday (10-15)",B962&lt;=19,"Evening peak (16-19)",TRUE,"Late evening (20-23)")</f>
        <v>Night (0-5)</v>
      </c>
    </row>
    <row r="963" spans="1:9">
      <c r="A963" s="32">
        <v>41770</v>
      </c>
      <c r="B963">
        <v>1</v>
      </c>
      <c r="C963">
        <v>593</v>
      </c>
      <c r="D963" t="s">
        <v>303</v>
      </c>
      <c r="E963">
        <f>YEAR(A963)</f>
        <v>2014</v>
      </c>
      <c r="F963" s="33">
        <f>DATE(YEAR(A963),MONTH(A963),1)</f>
        <v>41760.0</v>
      </c>
      <c r="G963" t="str">
        <f>CHOOSE(WEEKDAY(A963,2),"Mon","Tue","Wed","Thu","Fri","Sat","Sun")</f>
        <v>Sun</v>
      </c>
      <c r="H963" t="str">
        <f>IF(WEEKDAY(A963,2)&gt;5,"Weekend","Weekday")</f>
        <v>Weekend</v>
      </c>
      <c r="I963" t="str">
        <f>_xlfn.IFS(B963&lt;=5,"Night (0-5)",B963&lt;=9,"Morning peak (6-9)",B963&lt;=15,"Midday (10-15)",B963&lt;=19,"Evening peak (16-19)",TRUE,"Late evening (20-23)")</f>
        <v>Night (0-5)</v>
      </c>
    </row>
    <row r="964" spans="1:9">
      <c r="A964" s="32">
        <v>41770</v>
      </c>
      <c r="B964">
        <v>2</v>
      </c>
      <c r="C964">
        <v>347</v>
      </c>
      <c r="D964" t="s">
        <v>303</v>
      </c>
      <c r="E964">
        <f>YEAR(A964)</f>
        <v>2014</v>
      </c>
      <c r="F964" s="33">
        <f>DATE(YEAR(A964),MONTH(A964),1)</f>
        <v>41760.0</v>
      </c>
      <c r="G964" t="str">
        <f>CHOOSE(WEEKDAY(A964,2),"Mon","Tue","Wed","Thu","Fri","Sat","Sun")</f>
        <v>Sun</v>
      </c>
      <c r="H964" t="str">
        <f>IF(WEEKDAY(A964,2)&gt;5,"Weekend","Weekday")</f>
        <v>Weekend</v>
      </c>
      <c r="I964" t="str">
        <f>_xlfn.IFS(B964&lt;=5,"Night (0-5)",B964&lt;=9,"Morning peak (6-9)",B964&lt;=15,"Midday (10-15)",B964&lt;=19,"Evening peak (16-19)",TRUE,"Late evening (20-23)")</f>
        <v>Night (0-5)</v>
      </c>
    </row>
    <row r="965" spans="1:9">
      <c r="A965" s="32">
        <v>41770</v>
      </c>
      <c r="B965">
        <v>3</v>
      </c>
      <c r="C965">
        <v>241</v>
      </c>
      <c r="D965" t="s">
        <v>303</v>
      </c>
      <c r="E965">
        <f>YEAR(A965)</f>
        <v>2014</v>
      </c>
      <c r="F965" s="33">
        <f>DATE(YEAR(A965),MONTH(A965),1)</f>
        <v>41760.0</v>
      </c>
      <c r="G965" t="str">
        <f>CHOOSE(WEEKDAY(A965,2),"Mon","Tue","Wed","Thu","Fri","Sat","Sun")</f>
        <v>Sun</v>
      </c>
      <c r="H965" t="str">
        <f>IF(WEEKDAY(A965,2)&gt;5,"Weekend","Weekday")</f>
        <v>Weekend</v>
      </c>
      <c r="I965" t="str">
        <f>_xlfn.IFS(B965&lt;=5,"Night (0-5)",B965&lt;=9,"Morning peak (6-9)",B965&lt;=15,"Midday (10-15)",B965&lt;=19,"Evening peak (16-19)",TRUE,"Late evening (20-23)")</f>
        <v>Night (0-5)</v>
      </c>
    </row>
    <row r="966" spans="1:9">
      <c r="A966" s="32">
        <v>41770</v>
      </c>
      <c r="B966">
        <v>4</v>
      </c>
      <c r="C966">
        <v>155</v>
      </c>
      <c r="D966" t="s">
        <v>303</v>
      </c>
      <c r="E966">
        <f>YEAR(A966)</f>
        <v>2014</v>
      </c>
      <c r="F966" s="33">
        <f>DATE(YEAR(A966),MONTH(A966),1)</f>
        <v>41760.0</v>
      </c>
      <c r="G966" t="str">
        <f>CHOOSE(WEEKDAY(A966,2),"Mon","Tue","Wed","Thu","Fri","Sat","Sun")</f>
        <v>Sun</v>
      </c>
      <c r="H966" t="str">
        <f>IF(WEEKDAY(A966,2)&gt;5,"Weekend","Weekday")</f>
        <v>Weekend</v>
      </c>
      <c r="I966" t="str">
        <f>_xlfn.IFS(B966&lt;=5,"Night (0-5)",B966&lt;=9,"Morning peak (6-9)",B966&lt;=15,"Midday (10-15)",B966&lt;=19,"Evening peak (16-19)",TRUE,"Late evening (20-23)")</f>
        <v>Night (0-5)</v>
      </c>
    </row>
    <row r="967" spans="1:9">
      <c r="A967" s="32">
        <v>41770</v>
      </c>
      <c r="B967">
        <v>5</v>
      </c>
      <c r="C967">
        <v>152</v>
      </c>
      <c r="D967" t="s">
        <v>303</v>
      </c>
      <c r="E967">
        <f>YEAR(A967)</f>
        <v>2014</v>
      </c>
      <c r="F967" s="33">
        <f>DATE(YEAR(A967),MONTH(A967),1)</f>
        <v>41760.0</v>
      </c>
      <c r="G967" t="str">
        <f>CHOOSE(WEEKDAY(A967,2),"Mon","Tue","Wed","Thu","Fri","Sat","Sun")</f>
        <v>Sun</v>
      </c>
      <c r="H967" t="str">
        <f>IF(WEEKDAY(A967,2)&gt;5,"Weekend","Weekday")</f>
        <v>Weekend</v>
      </c>
      <c r="I967" t="str">
        <f>_xlfn.IFS(B967&lt;=5,"Night (0-5)",B967&lt;=9,"Morning peak (6-9)",B967&lt;=15,"Midday (10-15)",B967&lt;=19,"Evening peak (16-19)",TRUE,"Late evening (20-23)")</f>
        <v>Night (0-5)</v>
      </c>
    </row>
    <row r="968" spans="1:9">
      <c r="A968" s="32">
        <v>41770</v>
      </c>
      <c r="B968">
        <v>6</v>
      </c>
      <c r="C968">
        <v>187</v>
      </c>
      <c r="D968" t="s">
        <v>303</v>
      </c>
      <c r="E968">
        <f>YEAR(A968)</f>
        <v>2014</v>
      </c>
      <c r="F968" s="33">
        <f>DATE(YEAR(A968),MONTH(A968),1)</f>
        <v>41760.0</v>
      </c>
      <c r="G968" t="str">
        <f>CHOOSE(WEEKDAY(A968,2),"Mon","Tue","Wed","Thu","Fri","Sat","Sun")</f>
        <v>Sun</v>
      </c>
      <c r="H968" t="str">
        <f>IF(WEEKDAY(A968,2)&gt;5,"Weekend","Weekday")</f>
        <v>Weekend</v>
      </c>
      <c r="I968" t="str">
        <f>_xlfn.IFS(B968&lt;=5,"Night (0-5)",B968&lt;=9,"Morning peak (6-9)",B968&lt;=15,"Midday (10-15)",B968&lt;=19,"Evening peak (16-19)",TRUE,"Late evening (20-23)")</f>
        <v>Morning peak (6-9)</v>
      </c>
    </row>
    <row r="969" spans="1:9">
      <c r="A969" s="32">
        <v>41770</v>
      </c>
      <c r="B969">
        <v>7</v>
      </c>
      <c r="C969">
        <v>258</v>
      </c>
      <c r="D969" t="s">
        <v>303</v>
      </c>
      <c r="E969">
        <f>YEAR(A969)</f>
        <v>2014</v>
      </c>
      <c r="F969" s="33">
        <f>DATE(YEAR(A969),MONTH(A969),1)</f>
        <v>41760.0</v>
      </c>
      <c r="G969" t="str">
        <f>CHOOSE(WEEKDAY(A969,2),"Mon","Tue","Wed","Thu","Fri","Sat","Sun")</f>
        <v>Sun</v>
      </c>
      <c r="H969" t="str">
        <f>IF(WEEKDAY(A969,2)&gt;5,"Weekend","Weekday")</f>
        <v>Weekend</v>
      </c>
      <c r="I969" t="str">
        <f>_xlfn.IFS(B969&lt;=5,"Night (0-5)",B969&lt;=9,"Morning peak (6-9)",B969&lt;=15,"Midday (10-15)",B969&lt;=19,"Evening peak (16-19)",TRUE,"Late evening (20-23)")</f>
        <v>Morning peak (6-9)</v>
      </c>
    </row>
    <row r="970" spans="1:9">
      <c r="A970" s="32">
        <v>41770</v>
      </c>
      <c r="B970">
        <v>8</v>
      </c>
      <c r="C970">
        <v>378</v>
      </c>
      <c r="D970" t="s">
        <v>303</v>
      </c>
      <c r="E970">
        <f>YEAR(A970)</f>
        <v>2014</v>
      </c>
      <c r="F970" s="33">
        <f>DATE(YEAR(A970),MONTH(A970),1)</f>
        <v>41760.0</v>
      </c>
      <c r="G970" t="str">
        <f>CHOOSE(WEEKDAY(A970,2),"Mon","Tue","Wed","Thu","Fri","Sat","Sun")</f>
        <v>Sun</v>
      </c>
      <c r="H970" t="str">
        <f>IF(WEEKDAY(A970,2)&gt;5,"Weekend","Weekday")</f>
        <v>Weekend</v>
      </c>
      <c r="I970" t="str">
        <f>_xlfn.IFS(B970&lt;=5,"Night (0-5)",B970&lt;=9,"Morning peak (6-9)",B970&lt;=15,"Midday (10-15)",B970&lt;=19,"Evening peak (16-19)",TRUE,"Late evening (20-23)")</f>
        <v>Morning peak (6-9)</v>
      </c>
    </row>
    <row r="971" spans="1:9">
      <c r="A971" s="32">
        <v>41770</v>
      </c>
      <c r="B971">
        <v>9</v>
      </c>
      <c r="C971">
        <v>547</v>
      </c>
      <c r="D971" t="s">
        <v>303</v>
      </c>
      <c r="E971">
        <f>YEAR(A971)</f>
        <v>2014</v>
      </c>
      <c r="F971" s="33">
        <f>DATE(YEAR(A971),MONTH(A971),1)</f>
        <v>41760.0</v>
      </c>
      <c r="G971" t="str">
        <f>CHOOSE(WEEKDAY(A971,2),"Mon","Tue","Wed","Thu","Fri","Sat","Sun")</f>
        <v>Sun</v>
      </c>
      <c r="H971" t="str">
        <f>IF(WEEKDAY(A971,2)&gt;5,"Weekend","Weekday")</f>
        <v>Weekend</v>
      </c>
      <c r="I971" t="str">
        <f>_xlfn.IFS(B971&lt;=5,"Night (0-5)",B971&lt;=9,"Morning peak (6-9)",B971&lt;=15,"Midday (10-15)",B971&lt;=19,"Evening peak (16-19)",TRUE,"Late evening (20-23)")</f>
        <v>Morning peak (6-9)</v>
      </c>
    </row>
    <row r="972" spans="1:9">
      <c r="A972" s="32">
        <v>41770</v>
      </c>
      <c r="B972">
        <v>10</v>
      </c>
      <c r="C972">
        <v>598</v>
      </c>
      <c r="D972" t="s">
        <v>303</v>
      </c>
      <c r="E972">
        <f>YEAR(A972)</f>
        <v>2014</v>
      </c>
      <c r="F972" s="33">
        <f>DATE(YEAR(A972),MONTH(A972),1)</f>
        <v>41760.0</v>
      </c>
      <c r="G972" t="str">
        <f>CHOOSE(WEEKDAY(A972,2),"Mon","Tue","Wed","Thu","Fri","Sat","Sun")</f>
        <v>Sun</v>
      </c>
      <c r="H972" t="str">
        <f>IF(WEEKDAY(A972,2)&gt;5,"Weekend","Weekday")</f>
        <v>Weekend</v>
      </c>
      <c r="I972" t="str">
        <f>_xlfn.IFS(B972&lt;=5,"Night (0-5)",B972&lt;=9,"Morning peak (6-9)",B972&lt;=15,"Midday (10-15)",B972&lt;=19,"Evening peak (16-19)",TRUE,"Late evening (20-23)")</f>
        <v>Midday (10-15)</v>
      </c>
    </row>
    <row r="973" spans="1:9">
      <c r="A973" s="32">
        <v>41770</v>
      </c>
      <c r="B973">
        <v>11</v>
      </c>
      <c r="C973">
        <v>720</v>
      </c>
      <c r="D973" t="s">
        <v>303</v>
      </c>
      <c r="E973">
        <f>YEAR(A973)</f>
        <v>2014</v>
      </c>
      <c r="F973" s="33">
        <f>DATE(YEAR(A973),MONTH(A973),1)</f>
        <v>41760.0</v>
      </c>
      <c r="G973" t="str">
        <f>CHOOSE(WEEKDAY(A973,2),"Mon","Tue","Wed","Thu","Fri","Sat","Sun")</f>
        <v>Sun</v>
      </c>
      <c r="H973" t="str">
        <f>IF(WEEKDAY(A973,2)&gt;5,"Weekend","Weekday")</f>
        <v>Weekend</v>
      </c>
      <c r="I973" t="str">
        <f>_xlfn.IFS(B973&lt;=5,"Night (0-5)",B973&lt;=9,"Morning peak (6-9)",B973&lt;=15,"Midday (10-15)",B973&lt;=19,"Evening peak (16-19)",TRUE,"Late evening (20-23)")</f>
        <v>Midday (10-15)</v>
      </c>
    </row>
    <row r="974" spans="1:9">
      <c r="A974" s="32">
        <v>41770</v>
      </c>
      <c r="B974">
        <v>12</v>
      </c>
      <c r="C974">
        <v>758</v>
      </c>
      <c r="D974" t="s">
        <v>303</v>
      </c>
      <c r="E974">
        <f>YEAR(A974)</f>
        <v>2014</v>
      </c>
      <c r="F974" s="33">
        <f>DATE(YEAR(A974),MONTH(A974),1)</f>
        <v>41760.0</v>
      </c>
      <c r="G974" t="str">
        <f>CHOOSE(WEEKDAY(A974,2),"Mon","Tue","Wed","Thu","Fri","Sat","Sun")</f>
        <v>Sun</v>
      </c>
      <c r="H974" t="str">
        <f>IF(WEEKDAY(A974,2)&gt;5,"Weekend","Weekday")</f>
        <v>Weekend</v>
      </c>
      <c r="I974" t="str">
        <f>_xlfn.IFS(B974&lt;=5,"Night (0-5)",B974&lt;=9,"Morning peak (6-9)",B974&lt;=15,"Midday (10-15)",B974&lt;=19,"Evening peak (16-19)",TRUE,"Late evening (20-23)")</f>
        <v>Midday (10-15)</v>
      </c>
    </row>
    <row r="975" spans="1:9">
      <c r="A975" s="32">
        <v>41770</v>
      </c>
      <c r="B975">
        <v>13</v>
      </c>
      <c r="C975">
        <v>801</v>
      </c>
      <c r="D975" t="s">
        <v>303</v>
      </c>
      <c r="E975">
        <f>YEAR(A975)</f>
        <v>2014</v>
      </c>
      <c r="F975" s="33">
        <f>DATE(YEAR(A975),MONTH(A975),1)</f>
        <v>41760.0</v>
      </c>
      <c r="G975" t="str">
        <f>CHOOSE(WEEKDAY(A975,2),"Mon","Tue","Wed","Thu","Fri","Sat","Sun")</f>
        <v>Sun</v>
      </c>
      <c r="H975" t="str">
        <f>IF(WEEKDAY(A975,2)&gt;5,"Weekend","Weekday")</f>
        <v>Weekend</v>
      </c>
      <c r="I975" t="str">
        <f>_xlfn.IFS(B975&lt;=5,"Night (0-5)",B975&lt;=9,"Morning peak (6-9)",B975&lt;=15,"Midday (10-15)",B975&lt;=19,"Evening peak (16-19)",TRUE,"Late evening (20-23)")</f>
        <v>Midday (10-15)</v>
      </c>
    </row>
    <row r="976" spans="1:9">
      <c r="A976" s="32">
        <v>41770</v>
      </c>
      <c r="B976">
        <v>14</v>
      </c>
      <c r="C976">
        <v>850</v>
      </c>
      <c r="D976" t="s">
        <v>303</v>
      </c>
      <c r="E976">
        <f>YEAR(A976)</f>
        <v>2014</v>
      </c>
      <c r="F976" s="33">
        <f>DATE(YEAR(A976),MONTH(A976),1)</f>
        <v>41760.0</v>
      </c>
      <c r="G976" t="str">
        <f>CHOOSE(WEEKDAY(A976,2),"Mon","Tue","Wed","Thu","Fri","Sat","Sun")</f>
        <v>Sun</v>
      </c>
      <c r="H976" t="str">
        <f>IF(WEEKDAY(A976,2)&gt;5,"Weekend","Weekday")</f>
        <v>Weekend</v>
      </c>
      <c r="I976" t="str">
        <f>_xlfn.IFS(B976&lt;=5,"Night (0-5)",B976&lt;=9,"Morning peak (6-9)",B976&lt;=15,"Midday (10-15)",B976&lt;=19,"Evening peak (16-19)",TRUE,"Late evening (20-23)")</f>
        <v>Midday (10-15)</v>
      </c>
    </row>
    <row r="977" spans="1:9">
      <c r="A977" s="32">
        <v>41770</v>
      </c>
      <c r="B977">
        <v>15</v>
      </c>
      <c r="C977">
        <v>1019</v>
      </c>
      <c r="D977" t="s">
        <v>303</v>
      </c>
      <c r="E977">
        <f>YEAR(A977)</f>
        <v>2014</v>
      </c>
      <c r="F977" s="33">
        <f>DATE(YEAR(A977),MONTH(A977),1)</f>
        <v>41760.0</v>
      </c>
      <c r="G977" t="str">
        <f>CHOOSE(WEEKDAY(A977,2),"Mon","Tue","Wed","Thu","Fri","Sat","Sun")</f>
        <v>Sun</v>
      </c>
      <c r="H977" t="str">
        <f>IF(WEEKDAY(A977,2)&gt;5,"Weekend","Weekday")</f>
        <v>Weekend</v>
      </c>
      <c r="I977" t="str">
        <f>_xlfn.IFS(B977&lt;=5,"Night (0-5)",B977&lt;=9,"Morning peak (6-9)",B977&lt;=15,"Midday (10-15)",B977&lt;=19,"Evening peak (16-19)",TRUE,"Late evening (20-23)")</f>
        <v>Midday (10-15)</v>
      </c>
    </row>
    <row r="978" spans="1:9">
      <c r="A978" s="32">
        <v>41770</v>
      </c>
      <c r="B978">
        <v>16</v>
      </c>
      <c r="C978">
        <v>1133</v>
      </c>
      <c r="D978" t="s">
        <v>303</v>
      </c>
      <c r="E978">
        <f>YEAR(A978)</f>
        <v>2014</v>
      </c>
      <c r="F978" s="33">
        <f>DATE(YEAR(A978),MONTH(A978),1)</f>
        <v>41760.0</v>
      </c>
      <c r="G978" t="str">
        <f>CHOOSE(WEEKDAY(A978,2),"Mon","Tue","Wed","Thu","Fri","Sat","Sun")</f>
        <v>Sun</v>
      </c>
      <c r="H978" t="str">
        <f>IF(WEEKDAY(A978,2)&gt;5,"Weekend","Weekday")</f>
        <v>Weekend</v>
      </c>
      <c r="I978" t="str">
        <f>_xlfn.IFS(B978&lt;=5,"Night (0-5)",B978&lt;=9,"Morning peak (6-9)",B978&lt;=15,"Midday (10-15)",B978&lt;=19,"Evening peak (16-19)",TRUE,"Late evening (20-23)")</f>
        <v>Evening peak (16-19)</v>
      </c>
    </row>
    <row r="979" spans="1:9">
      <c r="A979" s="32">
        <v>41770</v>
      </c>
      <c r="B979">
        <v>17</v>
      </c>
      <c r="C979">
        <v>1074</v>
      </c>
      <c r="D979" t="s">
        <v>303</v>
      </c>
      <c r="E979">
        <f>YEAR(A979)</f>
        <v>2014</v>
      </c>
      <c r="F979" s="33">
        <f>DATE(YEAR(A979),MONTH(A979),1)</f>
        <v>41760.0</v>
      </c>
      <c r="G979" t="str">
        <f>CHOOSE(WEEKDAY(A979,2),"Mon","Tue","Wed","Thu","Fri","Sat","Sun")</f>
        <v>Sun</v>
      </c>
      <c r="H979" t="str">
        <f>IF(WEEKDAY(A979,2)&gt;5,"Weekend","Weekday")</f>
        <v>Weekend</v>
      </c>
      <c r="I979" t="str">
        <f>_xlfn.IFS(B979&lt;=5,"Night (0-5)",B979&lt;=9,"Morning peak (6-9)",B979&lt;=15,"Midday (10-15)",B979&lt;=19,"Evening peak (16-19)",TRUE,"Late evening (20-23)")</f>
        <v>Evening peak (16-19)</v>
      </c>
    </row>
    <row r="980" spans="1:9">
      <c r="A980" s="32">
        <v>41770</v>
      </c>
      <c r="B980">
        <v>18</v>
      </c>
      <c r="C980">
        <v>876</v>
      </c>
      <c r="D980" t="s">
        <v>303</v>
      </c>
      <c r="E980">
        <f>YEAR(A980)</f>
        <v>2014</v>
      </c>
      <c r="F980" s="33">
        <f>DATE(YEAR(A980),MONTH(A980),1)</f>
        <v>41760.0</v>
      </c>
      <c r="G980" t="str">
        <f>CHOOSE(WEEKDAY(A980,2),"Mon","Tue","Wed","Thu","Fri","Sat","Sun")</f>
        <v>Sun</v>
      </c>
      <c r="H980" t="str">
        <f>IF(WEEKDAY(A980,2)&gt;5,"Weekend","Weekday")</f>
        <v>Weekend</v>
      </c>
      <c r="I980" t="str">
        <f>_xlfn.IFS(B980&lt;=5,"Night (0-5)",B980&lt;=9,"Morning peak (6-9)",B980&lt;=15,"Midday (10-15)",B980&lt;=19,"Evening peak (16-19)",TRUE,"Late evening (20-23)")</f>
        <v>Evening peak (16-19)</v>
      </c>
    </row>
    <row r="981" spans="1:9">
      <c r="A981" s="32">
        <v>41770</v>
      </c>
      <c r="B981">
        <v>19</v>
      </c>
      <c r="C981">
        <v>800</v>
      </c>
      <c r="D981" t="s">
        <v>303</v>
      </c>
      <c r="E981">
        <f>YEAR(A981)</f>
        <v>2014</v>
      </c>
      <c r="F981" s="33">
        <f>DATE(YEAR(A981),MONTH(A981),1)</f>
        <v>41760.0</v>
      </c>
      <c r="G981" t="str">
        <f>CHOOSE(WEEKDAY(A981,2),"Mon","Tue","Wed","Thu","Fri","Sat","Sun")</f>
        <v>Sun</v>
      </c>
      <c r="H981" t="str">
        <f>IF(WEEKDAY(A981,2)&gt;5,"Weekend","Weekday")</f>
        <v>Weekend</v>
      </c>
      <c r="I981" t="str">
        <f>_xlfn.IFS(B981&lt;=5,"Night (0-5)",B981&lt;=9,"Morning peak (6-9)",B981&lt;=15,"Midday (10-15)",B981&lt;=19,"Evening peak (16-19)",TRUE,"Late evening (20-23)")</f>
        <v>Evening peak (16-19)</v>
      </c>
    </row>
    <row r="982" spans="1:9">
      <c r="A982" s="32">
        <v>41770</v>
      </c>
      <c r="B982">
        <v>20</v>
      </c>
      <c r="C982">
        <v>750</v>
      </c>
      <c r="D982" t="s">
        <v>303</v>
      </c>
      <c r="E982">
        <f>YEAR(A982)</f>
        <v>2014</v>
      </c>
      <c r="F982" s="33">
        <f>DATE(YEAR(A982),MONTH(A982),1)</f>
        <v>41760.0</v>
      </c>
      <c r="G982" t="str">
        <f>CHOOSE(WEEKDAY(A982,2),"Mon","Tue","Wed","Thu","Fri","Sat","Sun")</f>
        <v>Sun</v>
      </c>
      <c r="H982" t="str">
        <f>IF(WEEKDAY(A982,2)&gt;5,"Weekend","Weekday")</f>
        <v>Weekend</v>
      </c>
      <c r="I982" t="str">
        <f>_xlfn.IFS(B982&lt;=5,"Night (0-5)",B982&lt;=9,"Morning peak (6-9)",B982&lt;=15,"Midday (10-15)",B982&lt;=19,"Evening peak (16-19)",TRUE,"Late evening (20-23)")</f>
        <v>Late evening (20-23)</v>
      </c>
    </row>
    <row r="983" spans="1:9">
      <c r="A983" s="32">
        <v>41770</v>
      </c>
      <c r="B983">
        <v>21</v>
      </c>
      <c r="C983">
        <v>715</v>
      </c>
      <c r="D983" t="s">
        <v>303</v>
      </c>
      <c r="E983">
        <f>YEAR(A983)</f>
        <v>2014</v>
      </c>
      <c r="F983" s="33">
        <f>DATE(YEAR(A983),MONTH(A983),1)</f>
        <v>41760.0</v>
      </c>
      <c r="G983" t="str">
        <f>CHOOSE(WEEKDAY(A983,2),"Mon","Tue","Wed","Thu","Fri","Sat","Sun")</f>
        <v>Sun</v>
      </c>
      <c r="H983" t="str">
        <f>IF(WEEKDAY(A983,2)&gt;5,"Weekend","Weekday")</f>
        <v>Weekend</v>
      </c>
      <c r="I983" t="str">
        <f>_xlfn.IFS(B983&lt;=5,"Night (0-5)",B983&lt;=9,"Morning peak (6-9)",B983&lt;=15,"Midday (10-15)",B983&lt;=19,"Evening peak (16-19)",TRUE,"Late evening (20-23)")</f>
        <v>Late evening (20-23)</v>
      </c>
    </row>
    <row r="984" spans="1:9">
      <c r="A984" s="32">
        <v>41770</v>
      </c>
      <c r="B984">
        <v>22</v>
      </c>
      <c r="C984">
        <v>463</v>
      </c>
      <c r="D984" t="s">
        <v>303</v>
      </c>
      <c r="E984">
        <f>YEAR(A984)</f>
        <v>2014</v>
      </c>
      <c r="F984" s="33">
        <f>DATE(YEAR(A984),MONTH(A984),1)</f>
        <v>41760.0</v>
      </c>
      <c r="G984" t="str">
        <f>CHOOSE(WEEKDAY(A984,2),"Mon","Tue","Wed","Thu","Fri","Sat","Sun")</f>
        <v>Sun</v>
      </c>
      <c r="H984" t="str">
        <f>IF(WEEKDAY(A984,2)&gt;5,"Weekend","Weekday")</f>
        <v>Weekend</v>
      </c>
      <c r="I984" t="str">
        <f>_xlfn.IFS(B984&lt;=5,"Night (0-5)",B984&lt;=9,"Morning peak (6-9)",B984&lt;=15,"Midday (10-15)",B984&lt;=19,"Evening peak (16-19)",TRUE,"Late evening (20-23)")</f>
        <v>Late evening (20-23)</v>
      </c>
    </row>
    <row r="985" spans="1:9">
      <c r="A985" s="32">
        <v>41770</v>
      </c>
      <c r="B985">
        <v>23</v>
      </c>
      <c r="C985">
        <v>274</v>
      </c>
      <c r="D985" t="s">
        <v>303</v>
      </c>
      <c r="E985">
        <f>YEAR(A985)</f>
        <v>2014</v>
      </c>
      <c r="F985" s="33">
        <f>DATE(YEAR(A985),MONTH(A985),1)</f>
        <v>41760.0</v>
      </c>
      <c r="G985" t="str">
        <f>CHOOSE(WEEKDAY(A985,2),"Mon","Tue","Wed","Thu","Fri","Sat","Sun")</f>
        <v>Sun</v>
      </c>
      <c r="H985" t="str">
        <f>IF(WEEKDAY(A985,2)&gt;5,"Weekend","Weekday")</f>
        <v>Weekend</v>
      </c>
      <c r="I985" t="str">
        <f>_xlfn.IFS(B985&lt;=5,"Night (0-5)",B985&lt;=9,"Morning peak (6-9)",B985&lt;=15,"Midday (10-15)",B985&lt;=19,"Evening peak (16-19)",TRUE,"Late evening (20-23)")</f>
        <v>Late evening (20-23)</v>
      </c>
    </row>
    <row r="986" spans="1:9">
      <c r="A986" s="32">
        <v>41771</v>
      </c>
      <c r="B986">
        <v>0</v>
      </c>
      <c r="C986">
        <v>114</v>
      </c>
      <c r="D986" t="s">
        <v>303</v>
      </c>
      <c r="E986">
        <f>YEAR(A986)</f>
        <v>2014</v>
      </c>
      <c r="F986" s="33">
        <f>DATE(YEAR(A986),MONTH(A986),1)</f>
        <v>41760.0</v>
      </c>
      <c r="G986" t="str">
        <f>CHOOSE(WEEKDAY(A986,2),"Mon","Tue","Wed","Thu","Fri","Sat","Sun")</f>
        <v>Mon</v>
      </c>
      <c r="H986" t="str">
        <f>IF(WEEKDAY(A986,2)&gt;5,"Weekend","Weekday")</f>
        <v>Weekday</v>
      </c>
      <c r="I986" t="str">
        <f>_xlfn.IFS(B986&lt;=5,"Night (0-5)",B986&lt;=9,"Morning peak (6-9)",B986&lt;=15,"Midday (10-15)",B986&lt;=19,"Evening peak (16-19)",TRUE,"Late evening (20-23)")</f>
        <v>Night (0-5)</v>
      </c>
    </row>
    <row r="987" spans="1:9">
      <c r="A987" s="32">
        <v>41771</v>
      </c>
      <c r="B987">
        <v>1</v>
      </c>
      <c r="C987">
        <v>83</v>
      </c>
      <c r="D987" t="s">
        <v>303</v>
      </c>
      <c r="E987">
        <f>YEAR(A987)</f>
        <v>2014</v>
      </c>
      <c r="F987" s="33">
        <f>DATE(YEAR(A987),MONTH(A987),1)</f>
        <v>41760.0</v>
      </c>
      <c r="G987" t="str">
        <f>CHOOSE(WEEKDAY(A987,2),"Mon","Tue","Wed","Thu","Fri","Sat","Sun")</f>
        <v>Mon</v>
      </c>
      <c r="H987" t="str">
        <f>IF(WEEKDAY(A987,2)&gt;5,"Weekend","Weekday")</f>
        <v>Weekday</v>
      </c>
      <c r="I987" t="str">
        <f>_xlfn.IFS(B987&lt;=5,"Night (0-5)",B987&lt;=9,"Morning peak (6-9)",B987&lt;=15,"Midday (10-15)",B987&lt;=19,"Evening peak (16-19)",TRUE,"Late evening (20-23)")</f>
        <v>Night (0-5)</v>
      </c>
    </row>
    <row r="988" spans="1:9">
      <c r="A988" s="32">
        <v>41771</v>
      </c>
      <c r="B988">
        <v>2</v>
      </c>
      <c r="C988">
        <v>59</v>
      </c>
      <c r="D988" t="s">
        <v>303</v>
      </c>
      <c r="E988">
        <f>YEAR(A988)</f>
        <v>2014</v>
      </c>
      <c r="F988" s="33">
        <f>DATE(YEAR(A988),MONTH(A988),1)</f>
        <v>41760.0</v>
      </c>
      <c r="G988" t="str">
        <f>CHOOSE(WEEKDAY(A988,2),"Mon","Tue","Wed","Thu","Fri","Sat","Sun")</f>
        <v>Mon</v>
      </c>
      <c r="H988" t="str">
        <f>IF(WEEKDAY(A988,2)&gt;5,"Weekend","Weekday")</f>
        <v>Weekday</v>
      </c>
      <c r="I988" t="str">
        <f>_xlfn.IFS(B988&lt;=5,"Night (0-5)",B988&lt;=9,"Morning peak (6-9)",B988&lt;=15,"Midday (10-15)",B988&lt;=19,"Evening peak (16-19)",TRUE,"Late evening (20-23)")</f>
        <v>Night (0-5)</v>
      </c>
    </row>
    <row r="989" spans="1:9">
      <c r="A989" s="32">
        <v>41771</v>
      </c>
      <c r="B989">
        <v>3</v>
      </c>
      <c r="C989">
        <v>143</v>
      </c>
      <c r="D989" t="s">
        <v>303</v>
      </c>
      <c r="E989">
        <f>YEAR(A989)</f>
        <v>2014</v>
      </c>
      <c r="F989" s="33">
        <f>DATE(YEAR(A989),MONTH(A989),1)</f>
        <v>41760.0</v>
      </c>
      <c r="G989" t="str">
        <f>CHOOSE(WEEKDAY(A989,2),"Mon","Tue","Wed","Thu","Fri","Sat","Sun")</f>
        <v>Mon</v>
      </c>
      <c r="H989" t="str">
        <f>IF(WEEKDAY(A989,2)&gt;5,"Weekend","Weekday")</f>
        <v>Weekday</v>
      </c>
      <c r="I989" t="str">
        <f>_xlfn.IFS(B989&lt;=5,"Night (0-5)",B989&lt;=9,"Morning peak (6-9)",B989&lt;=15,"Midday (10-15)",B989&lt;=19,"Evening peak (16-19)",TRUE,"Late evening (20-23)")</f>
        <v>Night (0-5)</v>
      </c>
    </row>
    <row r="990" spans="1:9">
      <c r="A990" s="32">
        <v>41771</v>
      </c>
      <c r="B990">
        <v>4</v>
      </c>
      <c r="C990">
        <v>265</v>
      </c>
      <c r="D990" t="s">
        <v>303</v>
      </c>
      <c r="E990">
        <f>YEAR(A990)</f>
        <v>2014</v>
      </c>
      <c r="F990" s="33">
        <f>DATE(YEAR(A990),MONTH(A990),1)</f>
        <v>41760.0</v>
      </c>
      <c r="G990" t="str">
        <f>CHOOSE(WEEKDAY(A990,2),"Mon","Tue","Wed","Thu","Fri","Sat","Sun")</f>
        <v>Mon</v>
      </c>
      <c r="H990" t="str">
        <f>IF(WEEKDAY(A990,2)&gt;5,"Weekend","Weekday")</f>
        <v>Weekday</v>
      </c>
      <c r="I990" t="str">
        <f>_xlfn.IFS(B990&lt;=5,"Night (0-5)",B990&lt;=9,"Morning peak (6-9)",B990&lt;=15,"Midday (10-15)",B990&lt;=19,"Evening peak (16-19)",TRUE,"Late evening (20-23)")</f>
        <v>Night (0-5)</v>
      </c>
    </row>
    <row r="991" spans="1:9">
      <c r="A991" s="32">
        <v>41771</v>
      </c>
      <c r="B991">
        <v>5</v>
      </c>
      <c r="C991">
        <v>440</v>
      </c>
      <c r="D991" t="s">
        <v>303</v>
      </c>
      <c r="E991">
        <f>YEAR(A991)</f>
        <v>2014</v>
      </c>
      <c r="F991" s="33">
        <f>DATE(YEAR(A991),MONTH(A991),1)</f>
        <v>41760.0</v>
      </c>
      <c r="G991" t="str">
        <f>CHOOSE(WEEKDAY(A991,2),"Mon","Tue","Wed","Thu","Fri","Sat","Sun")</f>
        <v>Mon</v>
      </c>
      <c r="H991" t="str">
        <f>IF(WEEKDAY(A991,2)&gt;5,"Weekend","Weekday")</f>
        <v>Weekday</v>
      </c>
      <c r="I991" t="str">
        <f>_xlfn.IFS(B991&lt;=5,"Night (0-5)",B991&lt;=9,"Morning peak (6-9)",B991&lt;=15,"Midday (10-15)",B991&lt;=19,"Evening peak (16-19)",TRUE,"Late evening (20-23)")</f>
        <v>Night (0-5)</v>
      </c>
    </row>
    <row r="992" spans="1:9">
      <c r="A992" s="32">
        <v>41771</v>
      </c>
      <c r="B992">
        <v>6</v>
      </c>
      <c r="C992">
        <v>802</v>
      </c>
      <c r="D992" t="s">
        <v>303</v>
      </c>
      <c r="E992">
        <f>YEAR(A992)</f>
        <v>2014</v>
      </c>
      <c r="F992" s="33">
        <f>DATE(YEAR(A992),MONTH(A992),1)</f>
        <v>41760.0</v>
      </c>
      <c r="G992" t="str">
        <f>CHOOSE(WEEKDAY(A992,2),"Mon","Tue","Wed","Thu","Fri","Sat","Sun")</f>
        <v>Mon</v>
      </c>
      <c r="H992" t="str">
        <f>IF(WEEKDAY(A992,2)&gt;5,"Weekend","Weekday")</f>
        <v>Weekday</v>
      </c>
      <c r="I992" t="str">
        <f>_xlfn.IFS(B992&lt;=5,"Night (0-5)",B992&lt;=9,"Morning peak (6-9)",B992&lt;=15,"Midday (10-15)",B992&lt;=19,"Evening peak (16-19)",TRUE,"Late evening (20-23)")</f>
        <v>Morning peak (6-9)</v>
      </c>
    </row>
    <row r="993" spans="1:9">
      <c r="A993" s="32">
        <v>41771</v>
      </c>
      <c r="B993">
        <v>7</v>
      </c>
      <c r="C993">
        <v>1007</v>
      </c>
      <c r="D993" t="s">
        <v>303</v>
      </c>
      <c r="E993">
        <f>YEAR(A993)</f>
        <v>2014</v>
      </c>
      <c r="F993" s="33">
        <f>DATE(YEAR(A993),MONTH(A993),1)</f>
        <v>41760.0</v>
      </c>
      <c r="G993" t="str">
        <f>CHOOSE(WEEKDAY(A993,2),"Mon","Tue","Wed","Thu","Fri","Sat","Sun")</f>
        <v>Mon</v>
      </c>
      <c r="H993" t="str">
        <f>IF(WEEKDAY(A993,2)&gt;5,"Weekend","Weekday")</f>
        <v>Weekday</v>
      </c>
      <c r="I993" t="str">
        <f>_xlfn.IFS(B993&lt;=5,"Night (0-5)",B993&lt;=9,"Morning peak (6-9)",B993&lt;=15,"Midday (10-15)",B993&lt;=19,"Evening peak (16-19)",TRUE,"Late evening (20-23)")</f>
        <v>Morning peak (6-9)</v>
      </c>
    </row>
    <row r="994" spans="1:9">
      <c r="A994" s="32">
        <v>41771</v>
      </c>
      <c r="B994">
        <v>8</v>
      </c>
      <c r="C994">
        <v>854</v>
      </c>
      <c r="D994" t="s">
        <v>303</v>
      </c>
      <c r="E994">
        <f>YEAR(A994)</f>
        <v>2014</v>
      </c>
      <c r="F994" s="33">
        <f>DATE(YEAR(A994),MONTH(A994),1)</f>
        <v>41760.0</v>
      </c>
      <c r="G994" t="str">
        <f>CHOOSE(WEEKDAY(A994,2),"Mon","Tue","Wed","Thu","Fri","Sat","Sun")</f>
        <v>Mon</v>
      </c>
      <c r="H994" t="str">
        <f>IF(WEEKDAY(A994,2)&gt;5,"Weekend","Weekday")</f>
        <v>Weekday</v>
      </c>
      <c r="I994" t="str">
        <f>_xlfn.IFS(B994&lt;=5,"Night (0-5)",B994&lt;=9,"Morning peak (6-9)",B994&lt;=15,"Midday (10-15)",B994&lt;=19,"Evening peak (16-19)",TRUE,"Late evening (20-23)")</f>
        <v>Morning peak (6-9)</v>
      </c>
    </row>
    <row r="995" spans="1:9">
      <c r="A995" s="32">
        <v>41771</v>
      </c>
      <c r="B995">
        <v>9</v>
      </c>
      <c r="C995">
        <v>677</v>
      </c>
      <c r="D995" t="s">
        <v>303</v>
      </c>
      <c r="E995">
        <f>YEAR(A995)</f>
        <v>2014</v>
      </c>
      <c r="F995" s="33">
        <f>DATE(YEAR(A995),MONTH(A995),1)</f>
        <v>41760.0</v>
      </c>
      <c r="G995" t="str">
        <f>CHOOSE(WEEKDAY(A995,2),"Mon","Tue","Wed","Thu","Fri","Sat","Sun")</f>
        <v>Mon</v>
      </c>
      <c r="H995" t="str">
        <f>IF(WEEKDAY(A995,2)&gt;5,"Weekend","Weekday")</f>
        <v>Weekday</v>
      </c>
      <c r="I995" t="str">
        <f>_xlfn.IFS(B995&lt;=5,"Night (0-5)",B995&lt;=9,"Morning peak (6-9)",B995&lt;=15,"Midday (10-15)",B995&lt;=19,"Evening peak (16-19)",TRUE,"Late evening (20-23)")</f>
        <v>Morning peak (6-9)</v>
      </c>
    </row>
    <row r="996" spans="1:9">
      <c r="A996" s="32">
        <v>41771</v>
      </c>
      <c r="B996">
        <v>10</v>
      </c>
      <c r="C996">
        <v>593</v>
      </c>
      <c r="D996" t="s">
        <v>303</v>
      </c>
      <c r="E996">
        <f>YEAR(A996)</f>
        <v>2014</v>
      </c>
      <c r="F996" s="33">
        <f>DATE(YEAR(A996),MONTH(A996),1)</f>
        <v>41760.0</v>
      </c>
      <c r="G996" t="str">
        <f>CHOOSE(WEEKDAY(A996,2),"Mon","Tue","Wed","Thu","Fri","Sat","Sun")</f>
        <v>Mon</v>
      </c>
      <c r="H996" t="str">
        <f>IF(WEEKDAY(A996,2)&gt;5,"Weekend","Weekday")</f>
        <v>Weekday</v>
      </c>
      <c r="I996" t="str">
        <f>_xlfn.IFS(B996&lt;=5,"Night (0-5)",B996&lt;=9,"Morning peak (6-9)",B996&lt;=15,"Midday (10-15)",B996&lt;=19,"Evening peak (16-19)",TRUE,"Late evening (20-23)")</f>
        <v>Midday (10-15)</v>
      </c>
    </row>
    <row r="997" spans="1:9">
      <c r="A997" s="32">
        <v>41771</v>
      </c>
      <c r="B997">
        <v>11</v>
      </c>
      <c r="C997">
        <v>603</v>
      </c>
      <c r="D997" t="s">
        <v>303</v>
      </c>
      <c r="E997">
        <f>YEAR(A997)</f>
        <v>2014</v>
      </c>
      <c r="F997" s="33">
        <f>DATE(YEAR(A997),MONTH(A997),1)</f>
        <v>41760.0</v>
      </c>
      <c r="G997" t="str">
        <f>CHOOSE(WEEKDAY(A997,2),"Mon","Tue","Wed","Thu","Fri","Sat","Sun")</f>
        <v>Mon</v>
      </c>
      <c r="H997" t="str">
        <f>IF(WEEKDAY(A997,2)&gt;5,"Weekend","Weekday")</f>
        <v>Weekday</v>
      </c>
      <c r="I997" t="str">
        <f>_xlfn.IFS(B997&lt;=5,"Night (0-5)",B997&lt;=9,"Morning peak (6-9)",B997&lt;=15,"Midday (10-15)",B997&lt;=19,"Evening peak (16-19)",TRUE,"Late evening (20-23)")</f>
        <v>Midday (10-15)</v>
      </c>
    </row>
    <row r="998" spans="1:9">
      <c r="A998" s="32">
        <v>41771</v>
      </c>
      <c r="B998">
        <v>12</v>
      </c>
      <c r="C998">
        <v>680</v>
      </c>
      <c r="D998" t="s">
        <v>303</v>
      </c>
      <c r="E998">
        <f>YEAR(A998)</f>
        <v>2014</v>
      </c>
      <c r="F998" s="33">
        <f>DATE(YEAR(A998),MONTH(A998),1)</f>
        <v>41760.0</v>
      </c>
      <c r="G998" t="str">
        <f>CHOOSE(WEEKDAY(A998,2),"Mon","Tue","Wed","Thu","Fri","Sat","Sun")</f>
        <v>Mon</v>
      </c>
      <c r="H998" t="str">
        <f>IF(WEEKDAY(A998,2)&gt;5,"Weekend","Weekday")</f>
        <v>Weekday</v>
      </c>
      <c r="I998" t="str">
        <f>_xlfn.IFS(B998&lt;=5,"Night (0-5)",B998&lt;=9,"Morning peak (6-9)",B998&lt;=15,"Midday (10-15)",B998&lt;=19,"Evening peak (16-19)",TRUE,"Late evening (20-23)")</f>
        <v>Midday (10-15)</v>
      </c>
    </row>
    <row r="999" spans="1:9">
      <c r="A999" s="32">
        <v>41771</v>
      </c>
      <c r="B999">
        <v>13</v>
      </c>
      <c r="C999">
        <v>778</v>
      </c>
      <c r="D999" t="s">
        <v>303</v>
      </c>
      <c r="E999">
        <f>YEAR(A999)</f>
        <v>2014</v>
      </c>
      <c r="F999" s="33">
        <f>DATE(YEAR(A999),MONTH(A999),1)</f>
        <v>41760.0</v>
      </c>
      <c r="G999" t="str">
        <f>CHOOSE(WEEKDAY(A999,2),"Mon","Tue","Wed","Thu","Fri","Sat","Sun")</f>
        <v>Mon</v>
      </c>
      <c r="H999" t="str">
        <f>IF(WEEKDAY(A999,2)&gt;5,"Weekend","Weekday")</f>
        <v>Weekday</v>
      </c>
      <c r="I999" t="str">
        <f>_xlfn.IFS(B999&lt;=5,"Night (0-5)",B999&lt;=9,"Morning peak (6-9)",B999&lt;=15,"Midday (10-15)",B999&lt;=19,"Evening peak (16-19)",TRUE,"Late evening (20-23)")</f>
        <v>Midday (10-15)</v>
      </c>
    </row>
    <row r="1000" spans="1:9">
      <c r="A1000" s="32">
        <v>41771</v>
      </c>
      <c r="B1000">
        <v>14</v>
      </c>
      <c r="C1000">
        <v>1030</v>
      </c>
      <c r="D1000" t="s">
        <v>303</v>
      </c>
      <c r="E1000">
        <f>YEAR(A1000)</f>
        <v>2014</v>
      </c>
      <c r="F1000" s="33">
        <f>DATE(YEAR(A1000),MONTH(A1000),1)</f>
        <v>41760.0</v>
      </c>
      <c r="G1000" t="str">
        <f>CHOOSE(WEEKDAY(A1000,2),"Mon","Tue","Wed","Thu","Fri","Sat","Sun")</f>
        <v>Mon</v>
      </c>
      <c r="H1000" t="str">
        <f>IF(WEEKDAY(A1000,2)&gt;5,"Weekend","Weekday")</f>
        <v>Weekday</v>
      </c>
      <c r="I1000" t="str">
        <f>_xlfn.IFS(B1000&lt;=5,"Night (0-5)",B1000&lt;=9,"Morning peak (6-9)",B1000&lt;=15,"Midday (10-15)",B1000&lt;=19,"Evening peak (16-19)",TRUE,"Late evening (20-23)")</f>
        <v>Midday (10-15)</v>
      </c>
    </row>
    <row r="1001" spans="1:9">
      <c r="A1001" s="32">
        <v>41771</v>
      </c>
      <c r="B1001">
        <v>15</v>
      </c>
      <c r="C1001">
        <v>1283</v>
      </c>
      <c r="D1001" t="s">
        <v>303</v>
      </c>
      <c r="E1001">
        <f>YEAR(A1001)</f>
        <v>2014</v>
      </c>
      <c r="F1001" s="33">
        <f>DATE(YEAR(A1001),MONTH(A1001),1)</f>
        <v>41760.0</v>
      </c>
      <c r="G1001" t="str">
        <f>CHOOSE(WEEKDAY(A1001,2),"Mon","Tue","Wed","Thu","Fri","Sat","Sun")</f>
        <v>Mon</v>
      </c>
      <c r="H1001" t="str">
        <f>IF(WEEKDAY(A1001,2)&gt;5,"Weekend","Weekday")</f>
        <v>Weekday</v>
      </c>
      <c r="I1001" t="str">
        <f>_xlfn.IFS(B1001&lt;=5,"Night (0-5)",B1001&lt;=9,"Morning peak (6-9)",B1001&lt;=15,"Midday (10-15)",B1001&lt;=19,"Evening peak (16-19)",TRUE,"Late evening (20-23)")</f>
        <v>Midday (10-15)</v>
      </c>
    </row>
    <row r="1002" spans="1:9">
      <c r="A1002" s="32">
        <v>41771</v>
      </c>
      <c r="B1002">
        <v>16</v>
      </c>
      <c r="C1002">
        <v>1499</v>
      </c>
      <c r="D1002" t="s">
        <v>303</v>
      </c>
      <c r="E1002">
        <f>YEAR(A1002)</f>
        <v>2014</v>
      </c>
      <c r="F1002" s="33">
        <f>DATE(YEAR(A1002),MONTH(A1002),1)</f>
        <v>41760.0</v>
      </c>
      <c r="G1002" t="str">
        <f>CHOOSE(WEEKDAY(A1002,2),"Mon","Tue","Wed","Thu","Fri","Sat","Sun")</f>
        <v>Mon</v>
      </c>
      <c r="H1002" t="str">
        <f>IF(WEEKDAY(A1002,2)&gt;5,"Weekend","Weekday")</f>
        <v>Weekday</v>
      </c>
      <c r="I1002" t="str">
        <f>_xlfn.IFS(B1002&lt;=5,"Night (0-5)",B1002&lt;=9,"Morning peak (6-9)",B1002&lt;=15,"Midday (10-15)",B1002&lt;=19,"Evening peak (16-19)",TRUE,"Late evening (20-23)")</f>
        <v>Evening peak (16-19)</v>
      </c>
    </row>
    <row r="1003" spans="1:9">
      <c r="A1003" s="32">
        <v>41771</v>
      </c>
      <c r="B1003">
        <v>17</v>
      </c>
      <c r="C1003">
        <v>1580</v>
      </c>
      <c r="D1003" t="s">
        <v>303</v>
      </c>
      <c r="E1003">
        <f>YEAR(A1003)</f>
        <v>2014</v>
      </c>
      <c r="F1003" s="33">
        <f>DATE(YEAR(A1003),MONTH(A1003),1)</f>
        <v>41760.0</v>
      </c>
      <c r="G1003" t="str">
        <f>CHOOSE(WEEKDAY(A1003,2),"Mon","Tue","Wed","Thu","Fri","Sat","Sun")</f>
        <v>Mon</v>
      </c>
      <c r="H1003" t="str">
        <f>IF(WEEKDAY(A1003,2)&gt;5,"Weekend","Weekday")</f>
        <v>Weekday</v>
      </c>
      <c r="I1003" t="str">
        <f>_xlfn.IFS(B1003&lt;=5,"Night (0-5)",B1003&lt;=9,"Morning peak (6-9)",B1003&lt;=15,"Midday (10-15)",B1003&lt;=19,"Evening peak (16-19)",TRUE,"Late evening (20-23)")</f>
        <v>Evening peak (16-19)</v>
      </c>
    </row>
    <row r="1004" spans="1:9">
      <c r="A1004" s="32">
        <v>41771</v>
      </c>
      <c r="B1004">
        <v>18</v>
      </c>
      <c r="C1004">
        <v>1133</v>
      </c>
      <c r="D1004" t="s">
        <v>303</v>
      </c>
      <c r="E1004">
        <f>YEAR(A1004)</f>
        <v>2014</v>
      </c>
      <c r="F1004" s="33">
        <f>DATE(YEAR(A1004),MONTH(A1004),1)</f>
        <v>41760.0</v>
      </c>
      <c r="G1004" t="str">
        <f>CHOOSE(WEEKDAY(A1004,2),"Mon","Tue","Wed","Thu","Fri","Sat","Sun")</f>
        <v>Mon</v>
      </c>
      <c r="H1004" t="str">
        <f>IF(WEEKDAY(A1004,2)&gt;5,"Weekend","Weekday")</f>
        <v>Weekday</v>
      </c>
      <c r="I1004" t="str">
        <f>_xlfn.IFS(B1004&lt;=5,"Night (0-5)",B1004&lt;=9,"Morning peak (6-9)",B1004&lt;=15,"Midday (10-15)",B1004&lt;=19,"Evening peak (16-19)",TRUE,"Late evening (20-23)")</f>
        <v>Evening peak (16-19)</v>
      </c>
    </row>
    <row r="1005" spans="1:9">
      <c r="A1005" s="32">
        <v>41771</v>
      </c>
      <c r="B1005">
        <v>19</v>
      </c>
      <c r="C1005">
        <v>862</v>
      </c>
      <c r="D1005" t="s">
        <v>303</v>
      </c>
      <c r="E1005">
        <f>YEAR(A1005)</f>
        <v>2014</v>
      </c>
      <c r="F1005" s="33">
        <f>DATE(YEAR(A1005),MONTH(A1005),1)</f>
        <v>41760.0</v>
      </c>
      <c r="G1005" t="str">
        <f>CHOOSE(WEEKDAY(A1005,2),"Mon","Tue","Wed","Thu","Fri","Sat","Sun")</f>
        <v>Mon</v>
      </c>
      <c r="H1005" t="str">
        <f>IF(WEEKDAY(A1005,2)&gt;5,"Weekend","Weekday")</f>
        <v>Weekday</v>
      </c>
      <c r="I1005" t="str">
        <f>_xlfn.IFS(B1005&lt;=5,"Night (0-5)",B1005&lt;=9,"Morning peak (6-9)",B1005&lt;=15,"Midday (10-15)",B1005&lt;=19,"Evening peak (16-19)",TRUE,"Late evening (20-23)")</f>
        <v>Evening peak (16-19)</v>
      </c>
    </row>
    <row r="1006" spans="1:9">
      <c r="A1006" s="32">
        <v>41771</v>
      </c>
      <c r="B1006">
        <v>20</v>
      </c>
      <c r="C1006">
        <v>926</v>
      </c>
      <c r="D1006" t="s">
        <v>303</v>
      </c>
      <c r="E1006">
        <f>YEAR(A1006)</f>
        <v>2014</v>
      </c>
      <c r="F1006" s="33">
        <f>DATE(YEAR(A1006),MONTH(A1006),1)</f>
        <v>41760.0</v>
      </c>
      <c r="G1006" t="str">
        <f>CHOOSE(WEEKDAY(A1006,2),"Mon","Tue","Wed","Thu","Fri","Sat","Sun")</f>
        <v>Mon</v>
      </c>
      <c r="H1006" t="str">
        <f>IF(WEEKDAY(A1006,2)&gt;5,"Weekend","Weekday")</f>
        <v>Weekday</v>
      </c>
      <c r="I1006" t="str">
        <f>_xlfn.IFS(B1006&lt;=5,"Night (0-5)",B1006&lt;=9,"Morning peak (6-9)",B1006&lt;=15,"Midday (10-15)",B1006&lt;=19,"Evening peak (16-19)",TRUE,"Late evening (20-23)")</f>
        <v>Late evening (20-23)</v>
      </c>
    </row>
    <row r="1007" spans="1:9">
      <c r="A1007" s="32">
        <v>41771</v>
      </c>
      <c r="B1007">
        <v>21</v>
      </c>
      <c r="C1007">
        <v>1029</v>
      </c>
      <c r="D1007" t="s">
        <v>303</v>
      </c>
      <c r="E1007">
        <f>YEAR(A1007)</f>
        <v>2014</v>
      </c>
      <c r="F1007" s="33">
        <f>DATE(YEAR(A1007),MONTH(A1007),1)</f>
        <v>41760.0</v>
      </c>
      <c r="G1007" t="str">
        <f>CHOOSE(WEEKDAY(A1007,2),"Mon","Tue","Wed","Thu","Fri","Sat","Sun")</f>
        <v>Mon</v>
      </c>
      <c r="H1007" t="str">
        <f>IF(WEEKDAY(A1007,2)&gt;5,"Weekend","Weekday")</f>
        <v>Weekday</v>
      </c>
      <c r="I1007" t="str">
        <f>_xlfn.IFS(B1007&lt;=5,"Night (0-5)",B1007&lt;=9,"Morning peak (6-9)",B1007&lt;=15,"Midday (10-15)",B1007&lt;=19,"Evening peak (16-19)",TRUE,"Late evening (20-23)")</f>
        <v>Late evening (20-23)</v>
      </c>
    </row>
    <row r="1008" spans="1:9">
      <c r="A1008" s="32">
        <v>41771</v>
      </c>
      <c r="B1008">
        <v>22</v>
      </c>
      <c r="C1008">
        <v>648</v>
      </c>
      <c r="D1008" t="s">
        <v>303</v>
      </c>
      <c r="E1008">
        <f>YEAR(A1008)</f>
        <v>2014</v>
      </c>
      <c r="F1008" s="33">
        <f>DATE(YEAR(A1008),MONTH(A1008),1)</f>
        <v>41760.0</v>
      </c>
      <c r="G1008" t="str">
        <f>CHOOSE(WEEKDAY(A1008,2),"Mon","Tue","Wed","Thu","Fri","Sat","Sun")</f>
        <v>Mon</v>
      </c>
      <c r="H1008" t="str">
        <f>IF(WEEKDAY(A1008,2)&gt;5,"Weekend","Weekday")</f>
        <v>Weekday</v>
      </c>
      <c r="I1008" t="str">
        <f>_xlfn.IFS(B1008&lt;=5,"Night (0-5)",B1008&lt;=9,"Morning peak (6-9)",B1008&lt;=15,"Midday (10-15)",B1008&lt;=19,"Evening peak (16-19)",TRUE,"Late evening (20-23)")</f>
        <v>Late evening (20-23)</v>
      </c>
    </row>
    <row r="1009" spans="1:9">
      <c r="A1009" s="32">
        <v>41771</v>
      </c>
      <c r="B1009">
        <v>23</v>
      </c>
      <c r="C1009">
        <v>382</v>
      </c>
      <c r="D1009" t="s">
        <v>303</v>
      </c>
      <c r="E1009">
        <f>YEAR(A1009)</f>
        <v>2014</v>
      </c>
      <c r="F1009" s="33">
        <f>DATE(YEAR(A1009),MONTH(A1009),1)</f>
        <v>41760.0</v>
      </c>
      <c r="G1009" t="str">
        <f>CHOOSE(WEEKDAY(A1009,2),"Mon","Tue","Wed","Thu","Fri","Sat","Sun")</f>
        <v>Mon</v>
      </c>
      <c r="H1009" t="str">
        <f>IF(WEEKDAY(A1009,2)&gt;5,"Weekend","Weekday")</f>
        <v>Weekday</v>
      </c>
      <c r="I1009" t="str">
        <f>_xlfn.IFS(B1009&lt;=5,"Night (0-5)",B1009&lt;=9,"Morning peak (6-9)",B1009&lt;=15,"Midday (10-15)",B1009&lt;=19,"Evening peak (16-19)",TRUE,"Late evening (20-23)")</f>
        <v>Late evening (20-23)</v>
      </c>
    </row>
    <row r="1010" spans="1:9">
      <c r="A1010" s="32">
        <v>41772</v>
      </c>
      <c r="B1010">
        <v>0</v>
      </c>
      <c r="C1010">
        <v>191</v>
      </c>
      <c r="D1010" t="s">
        <v>303</v>
      </c>
      <c r="E1010">
        <f>YEAR(A1010)</f>
        <v>2014</v>
      </c>
      <c r="F1010" s="33">
        <f>DATE(YEAR(A1010),MONTH(A1010),1)</f>
        <v>41760.0</v>
      </c>
      <c r="G1010" t="str">
        <f>CHOOSE(WEEKDAY(A1010,2),"Mon","Tue","Wed","Thu","Fri","Sat","Sun")</f>
        <v>Tue</v>
      </c>
      <c r="H1010" t="str">
        <f>IF(WEEKDAY(A1010,2)&gt;5,"Weekend","Weekday")</f>
        <v>Weekday</v>
      </c>
      <c r="I1010" t="str">
        <f>_xlfn.IFS(B1010&lt;=5,"Night (0-5)",B1010&lt;=9,"Morning peak (6-9)",B1010&lt;=15,"Midday (10-15)",B1010&lt;=19,"Evening peak (16-19)",TRUE,"Late evening (20-23)")</f>
        <v>Night (0-5)</v>
      </c>
    </row>
    <row r="1011" spans="1:9">
      <c r="A1011" s="32">
        <v>41772</v>
      </c>
      <c r="B1011">
        <v>1</v>
      </c>
      <c r="C1011">
        <v>128</v>
      </c>
      <c r="D1011" t="s">
        <v>303</v>
      </c>
      <c r="E1011">
        <f>YEAR(A1011)</f>
        <v>2014</v>
      </c>
      <c r="F1011" s="33">
        <f>DATE(YEAR(A1011),MONTH(A1011),1)</f>
        <v>41760.0</v>
      </c>
      <c r="G1011" t="str">
        <f>CHOOSE(WEEKDAY(A1011,2),"Mon","Tue","Wed","Thu","Fri","Sat","Sun")</f>
        <v>Tue</v>
      </c>
      <c r="H1011" t="str">
        <f>IF(WEEKDAY(A1011,2)&gt;5,"Weekend","Weekday")</f>
        <v>Weekday</v>
      </c>
      <c r="I1011" t="str">
        <f>_xlfn.IFS(B1011&lt;=5,"Night (0-5)",B1011&lt;=9,"Morning peak (6-9)",B1011&lt;=15,"Midday (10-15)",B1011&lt;=19,"Evening peak (16-19)",TRUE,"Late evening (20-23)")</f>
        <v>Night (0-5)</v>
      </c>
    </row>
    <row r="1012" spans="1:9">
      <c r="A1012" s="32">
        <v>41772</v>
      </c>
      <c r="B1012">
        <v>2</v>
      </c>
      <c r="C1012">
        <v>73</v>
      </c>
      <c r="D1012" t="s">
        <v>303</v>
      </c>
      <c r="E1012">
        <f>YEAR(A1012)</f>
        <v>2014</v>
      </c>
      <c r="F1012" s="33">
        <f>DATE(YEAR(A1012),MONTH(A1012),1)</f>
        <v>41760.0</v>
      </c>
      <c r="G1012" t="str">
        <f>CHOOSE(WEEKDAY(A1012,2),"Mon","Tue","Wed","Thu","Fri","Sat","Sun")</f>
        <v>Tue</v>
      </c>
      <c r="H1012" t="str">
        <f>IF(WEEKDAY(A1012,2)&gt;5,"Weekend","Weekday")</f>
        <v>Weekday</v>
      </c>
      <c r="I1012" t="str">
        <f>_xlfn.IFS(B1012&lt;=5,"Night (0-5)",B1012&lt;=9,"Morning peak (6-9)",B1012&lt;=15,"Midday (10-15)",B1012&lt;=19,"Evening peak (16-19)",TRUE,"Late evening (20-23)")</f>
        <v>Night (0-5)</v>
      </c>
    </row>
    <row r="1013" spans="1:9">
      <c r="A1013" s="32">
        <v>41772</v>
      </c>
      <c r="B1013">
        <v>3</v>
      </c>
      <c r="C1013">
        <v>122</v>
      </c>
      <c r="D1013" t="s">
        <v>303</v>
      </c>
      <c r="E1013">
        <f>YEAR(A1013)</f>
        <v>2014</v>
      </c>
      <c r="F1013" s="33">
        <f>DATE(YEAR(A1013),MONTH(A1013),1)</f>
        <v>41760.0</v>
      </c>
      <c r="G1013" t="str">
        <f>CHOOSE(WEEKDAY(A1013,2),"Mon","Tue","Wed","Thu","Fri","Sat","Sun")</f>
        <v>Tue</v>
      </c>
      <c r="H1013" t="str">
        <f>IF(WEEKDAY(A1013,2)&gt;5,"Weekend","Weekday")</f>
        <v>Weekday</v>
      </c>
      <c r="I1013" t="str">
        <f>_xlfn.IFS(B1013&lt;=5,"Night (0-5)",B1013&lt;=9,"Morning peak (6-9)",B1013&lt;=15,"Midday (10-15)",B1013&lt;=19,"Evening peak (16-19)",TRUE,"Late evening (20-23)")</f>
        <v>Night (0-5)</v>
      </c>
    </row>
    <row r="1014" spans="1:9">
      <c r="A1014" s="32">
        <v>41772</v>
      </c>
      <c r="B1014">
        <v>4</v>
      </c>
      <c r="C1014">
        <v>171</v>
      </c>
      <c r="D1014" t="s">
        <v>303</v>
      </c>
      <c r="E1014">
        <f>YEAR(A1014)</f>
        <v>2014</v>
      </c>
      <c r="F1014" s="33">
        <f>DATE(YEAR(A1014),MONTH(A1014),1)</f>
        <v>41760.0</v>
      </c>
      <c r="G1014" t="str">
        <f>CHOOSE(WEEKDAY(A1014,2),"Mon","Tue","Wed","Thu","Fri","Sat","Sun")</f>
        <v>Tue</v>
      </c>
      <c r="H1014" t="str">
        <f>IF(WEEKDAY(A1014,2)&gt;5,"Weekend","Weekday")</f>
        <v>Weekday</v>
      </c>
      <c r="I1014" t="str">
        <f>_xlfn.IFS(B1014&lt;=5,"Night (0-5)",B1014&lt;=9,"Morning peak (6-9)",B1014&lt;=15,"Midday (10-15)",B1014&lt;=19,"Evening peak (16-19)",TRUE,"Late evening (20-23)")</f>
        <v>Night (0-5)</v>
      </c>
    </row>
    <row r="1015" spans="1:9">
      <c r="A1015" s="32">
        <v>41772</v>
      </c>
      <c r="B1015">
        <v>5</v>
      </c>
      <c r="C1015">
        <v>376</v>
      </c>
      <c r="D1015" t="s">
        <v>303</v>
      </c>
      <c r="E1015">
        <f>YEAR(A1015)</f>
        <v>2014</v>
      </c>
      <c r="F1015" s="33">
        <f>DATE(YEAR(A1015),MONTH(A1015),1)</f>
        <v>41760.0</v>
      </c>
      <c r="G1015" t="str">
        <f>CHOOSE(WEEKDAY(A1015,2),"Mon","Tue","Wed","Thu","Fri","Sat","Sun")</f>
        <v>Tue</v>
      </c>
      <c r="H1015" t="str">
        <f>IF(WEEKDAY(A1015,2)&gt;5,"Weekend","Weekday")</f>
        <v>Weekday</v>
      </c>
      <c r="I1015" t="str">
        <f>_xlfn.IFS(B1015&lt;=5,"Night (0-5)",B1015&lt;=9,"Morning peak (6-9)",B1015&lt;=15,"Midday (10-15)",B1015&lt;=19,"Evening peak (16-19)",TRUE,"Late evening (20-23)")</f>
        <v>Night (0-5)</v>
      </c>
    </row>
    <row r="1016" spans="1:9">
      <c r="A1016" s="32">
        <v>41772</v>
      </c>
      <c r="B1016">
        <v>6</v>
      </c>
      <c r="C1016">
        <v>874</v>
      </c>
      <c r="D1016" t="s">
        <v>303</v>
      </c>
      <c r="E1016">
        <f>YEAR(A1016)</f>
        <v>2014</v>
      </c>
      <c r="F1016" s="33">
        <f>DATE(YEAR(A1016),MONTH(A1016),1)</f>
        <v>41760.0</v>
      </c>
      <c r="G1016" t="str">
        <f>CHOOSE(WEEKDAY(A1016,2),"Mon","Tue","Wed","Thu","Fri","Sat","Sun")</f>
        <v>Tue</v>
      </c>
      <c r="H1016" t="str">
        <f>IF(WEEKDAY(A1016,2)&gt;5,"Weekend","Weekday")</f>
        <v>Weekday</v>
      </c>
      <c r="I1016" t="str">
        <f>_xlfn.IFS(B1016&lt;=5,"Night (0-5)",B1016&lt;=9,"Morning peak (6-9)",B1016&lt;=15,"Midday (10-15)",B1016&lt;=19,"Evening peak (16-19)",TRUE,"Late evening (20-23)")</f>
        <v>Morning peak (6-9)</v>
      </c>
    </row>
    <row r="1017" spans="1:9">
      <c r="A1017" s="32">
        <v>41772</v>
      </c>
      <c r="B1017">
        <v>7</v>
      </c>
      <c r="C1017">
        <v>1136</v>
      </c>
      <c r="D1017" t="s">
        <v>303</v>
      </c>
      <c r="E1017">
        <f>YEAR(A1017)</f>
        <v>2014</v>
      </c>
      <c r="F1017" s="33">
        <f>DATE(YEAR(A1017),MONTH(A1017),1)</f>
        <v>41760.0</v>
      </c>
      <c r="G1017" t="str">
        <f>CHOOSE(WEEKDAY(A1017,2),"Mon","Tue","Wed","Thu","Fri","Sat","Sun")</f>
        <v>Tue</v>
      </c>
      <c r="H1017" t="str">
        <f>IF(WEEKDAY(A1017,2)&gt;5,"Weekend","Weekday")</f>
        <v>Weekday</v>
      </c>
      <c r="I1017" t="str">
        <f>_xlfn.IFS(B1017&lt;=5,"Night (0-5)",B1017&lt;=9,"Morning peak (6-9)",B1017&lt;=15,"Midday (10-15)",B1017&lt;=19,"Evening peak (16-19)",TRUE,"Late evening (20-23)")</f>
        <v>Morning peak (6-9)</v>
      </c>
    </row>
    <row r="1018" spans="1:9">
      <c r="A1018" s="32">
        <v>41772</v>
      </c>
      <c r="B1018">
        <v>8</v>
      </c>
      <c r="C1018">
        <v>844</v>
      </c>
      <c r="D1018" t="s">
        <v>303</v>
      </c>
      <c r="E1018">
        <f>YEAR(A1018)</f>
        <v>2014</v>
      </c>
      <c r="F1018" s="33">
        <f>DATE(YEAR(A1018),MONTH(A1018),1)</f>
        <v>41760.0</v>
      </c>
      <c r="G1018" t="str">
        <f>CHOOSE(WEEKDAY(A1018,2),"Mon","Tue","Wed","Thu","Fri","Sat","Sun")</f>
        <v>Tue</v>
      </c>
      <c r="H1018" t="str">
        <f>IF(WEEKDAY(A1018,2)&gt;5,"Weekend","Weekday")</f>
        <v>Weekday</v>
      </c>
      <c r="I1018" t="str">
        <f>_xlfn.IFS(B1018&lt;=5,"Night (0-5)",B1018&lt;=9,"Morning peak (6-9)",B1018&lt;=15,"Midday (10-15)",B1018&lt;=19,"Evening peak (16-19)",TRUE,"Late evening (20-23)")</f>
        <v>Morning peak (6-9)</v>
      </c>
    </row>
    <row r="1019" spans="1:9">
      <c r="A1019" s="32">
        <v>41772</v>
      </c>
      <c r="B1019">
        <v>9</v>
      </c>
      <c r="C1019">
        <v>682</v>
      </c>
      <c r="D1019" t="s">
        <v>303</v>
      </c>
      <c r="E1019">
        <f>YEAR(A1019)</f>
        <v>2014</v>
      </c>
      <c r="F1019" s="33">
        <f>DATE(YEAR(A1019),MONTH(A1019),1)</f>
        <v>41760.0</v>
      </c>
      <c r="G1019" t="str">
        <f>CHOOSE(WEEKDAY(A1019,2),"Mon","Tue","Wed","Thu","Fri","Sat","Sun")</f>
        <v>Tue</v>
      </c>
      <c r="H1019" t="str">
        <f>IF(WEEKDAY(A1019,2)&gt;5,"Weekend","Weekday")</f>
        <v>Weekday</v>
      </c>
      <c r="I1019" t="str">
        <f>_xlfn.IFS(B1019&lt;=5,"Night (0-5)",B1019&lt;=9,"Morning peak (6-9)",B1019&lt;=15,"Midday (10-15)",B1019&lt;=19,"Evening peak (16-19)",TRUE,"Late evening (20-23)")</f>
        <v>Morning peak (6-9)</v>
      </c>
    </row>
    <row r="1020" spans="1:9">
      <c r="A1020" s="32">
        <v>41772</v>
      </c>
      <c r="B1020">
        <v>10</v>
      </c>
      <c r="C1020">
        <v>654</v>
      </c>
      <c r="D1020" t="s">
        <v>303</v>
      </c>
      <c r="E1020">
        <f>YEAR(A1020)</f>
        <v>2014</v>
      </c>
      <c r="F1020" s="33">
        <f>DATE(YEAR(A1020),MONTH(A1020),1)</f>
        <v>41760.0</v>
      </c>
      <c r="G1020" t="str">
        <f>CHOOSE(WEEKDAY(A1020,2),"Mon","Tue","Wed","Thu","Fri","Sat","Sun")</f>
        <v>Tue</v>
      </c>
      <c r="H1020" t="str">
        <f>IF(WEEKDAY(A1020,2)&gt;5,"Weekend","Weekday")</f>
        <v>Weekday</v>
      </c>
      <c r="I1020" t="str">
        <f>_xlfn.IFS(B1020&lt;=5,"Night (0-5)",B1020&lt;=9,"Morning peak (6-9)",B1020&lt;=15,"Midday (10-15)",B1020&lt;=19,"Evening peak (16-19)",TRUE,"Late evening (20-23)")</f>
        <v>Midday (10-15)</v>
      </c>
    </row>
    <row r="1021" spans="1:9">
      <c r="A1021" s="32">
        <v>41772</v>
      </c>
      <c r="B1021">
        <v>11</v>
      </c>
      <c r="C1021">
        <v>626</v>
      </c>
      <c r="D1021" t="s">
        <v>303</v>
      </c>
      <c r="E1021">
        <f>YEAR(A1021)</f>
        <v>2014</v>
      </c>
      <c r="F1021" s="33">
        <f>DATE(YEAR(A1021),MONTH(A1021),1)</f>
        <v>41760.0</v>
      </c>
      <c r="G1021" t="str">
        <f>CHOOSE(WEEKDAY(A1021,2),"Mon","Tue","Wed","Thu","Fri","Sat","Sun")</f>
        <v>Tue</v>
      </c>
      <c r="H1021" t="str">
        <f>IF(WEEKDAY(A1021,2)&gt;5,"Weekend","Weekday")</f>
        <v>Weekday</v>
      </c>
      <c r="I1021" t="str">
        <f>_xlfn.IFS(B1021&lt;=5,"Night (0-5)",B1021&lt;=9,"Morning peak (6-9)",B1021&lt;=15,"Midday (10-15)",B1021&lt;=19,"Evening peak (16-19)",TRUE,"Late evening (20-23)")</f>
        <v>Midday (10-15)</v>
      </c>
    </row>
    <row r="1022" spans="1:9">
      <c r="A1022" s="32">
        <v>41772</v>
      </c>
      <c r="B1022">
        <v>12</v>
      </c>
      <c r="C1022">
        <v>653</v>
      </c>
      <c r="D1022" t="s">
        <v>303</v>
      </c>
      <c r="E1022">
        <f>YEAR(A1022)</f>
        <v>2014</v>
      </c>
      <c r="F1022" s="33">
        <f>DATE(YEAR(A1022),MONTH(A1022),1)</f>
        <v>41760.0</v>
      </c>
      <c r="G1022" t="str">
        <f>CHOOSE(WEEKDAY(A1022,2),"Mon","Tue","Wed","Thu","Fri","Sat","Sun")</f>
        <v>Tue</v>
      </c>
      <c r="H1022" t="str">
        <f>IF(WEEKDAY(A1022,2)&gt;5,"Weekend","Weekday")</f>
        <v>Weekday</v>
      </c>
      <c r="I1022" t="str">
        <f>_xlfn.IFS(B1022&lt;=5,"Night (0-5)",B1022&lt;=9,"Morning peak (6-9)",B1022&lt;=15,"Midday (10-15)",B1022&lt;=19,"Evening peak (16-19)",TRUE,"Late evening (20-23)")</f>
        <v>Midday (10-15)</v>
      </c>
    </row>
    <row r="1023" spans="1:9">
      <c r="A1023" s="32">
        <v>41772</v>
      </c>
      <c r="B1023">
        <v>13</v>
      </c>
      <c r="C1023">
        <v>848</v>
      </c>
      <c r="D1023" t="s">
        <v>303</v>
      </c>
      <c r="E1023">
        <f>YEAR(A1023)</f>
        <v>2014</v>
      </c>
      <c r="F1023" s="33">
        <f>DATE(YEAR(A1023),MONTH(A1023),1)</f>
        <v>41760.0</v>
      </c>
      <c r="G1023" t="str">
        <f>CHOOSE(WEEKDAY(A1023,2),"Mon","Tue","Wed","Thu","Fri","Sat","Sun")</f>
        <v>Tue</v>
      </c>
      <c r="H1023" t="str">
        <f>IF(WEEKDAY(A1023,2)&gt;5,"Weekend","Weekday")</f>
        <v>Weekday</v>
      </c>
      <c r="I1023" t="str">
        <f>_xlfn.IFS(B1023&lt;=5,"Night (0-5)",B1023&lt;=9,"Morning peak (6-9)",B1023&lt;=15,"Midday (10-15)",B1023&lt;=19,"Evening peak (16-19)",TRUE,"Late evening (20-23)")</f>
        <v>Midday (10-15)</v>
      </c>
    </row>
    <row r="1024" spans="1:9">
      <c r="A1024" s="32">
        <v>41772</v>
      </c>
      <c r="B1024">
        <v>14</v>
      </c>
      <c r="C1024">
        <v>1011</v>
      </c>
      <c r="D1024" t="s">
        <v>303</v>
      </c>
      <c r="E1024">
        <f>YEAR(A1024)</f>
        <v>2014</v>
      </c>
      <c r="F1024" s="33">
        <f>DATE(YEAR(A1024),MONTH(A1024),1)</f>
        <v>41760.0</v>
      </c>
      <c r="G1024" t="str">
        <f>CHOOSE(WEEKDAY(A1024,2),"Mon","Tue","Wed","Thu","Fri","Sat","Sun")</f>
        <v>Tue</v>
      </c>
      <c r="H1024" t="str">
        <f>IF(WEEKDAY(A1024,2)&gt;5,"Weekend","Weekday")</f>
        <v>Weekday</v>
      </c>
      <c r="I1024" t="str">
        <f>_xlfn.IFS(B1024&lt;=5,"Night (0-5)",B1024&lt;=9,"Morning peak (6-9)",B1024&lt;=15,"Midday (10-15)",B1024&lt;=19,"Evening peak (16-19)",TRUE,"Late evening (20-23)")</f>
        <v>Midday (10-15)</v>
      </c>
    </row>
    <row r="1025" spans="1:9">
      <c r="A1025" s="32">
        <v>41772</v>
      </c>
      <c r="B1025">
        <v>15</v>
      </c>
      <c r="C1025">
        <v>1336</v>
      </c>
      <c r="D1025" t="s">
        <v>303</v>
      </c>
      <c r="E1025">
        <f>YEAR(A1025)</f>
        <v>2014</v>
      </c>
      <c r="F1025" s="33">
        <f>DATE(YEAR(A1025),MONTH(A1025),1)</f>
        <v>41760.0</v>
      </c>
      <c r="G1025" t="str">
        <f>CHOOSE(WEEKDAY(A1025,2),"Mon","Tue","Wed","Thu","Fri","Sat","Sun")</f>
        <v>Tue</v>
      </c>
      <c r="H1025" t="str">
        <f>IF(WEEKDAY(A1025,2)&gt;5,"Weekend","Weekday")</f>
        <v>Weekday</v>
      </c>
      <c r="I1025" t="str">
        <f>_xlfn.IFS(B1025&lt;=5,"Night (0-5)",B1025&lt;=9,"Morning peak (6-9)",B1025&lt;=15,"Midday (10-15)",B1025&lt;=19,"Evening peak (16-19)",TRUE,"Late evening (20-23)")</f>
        <v>Midday (10-15)</v>
      </c>
    </row>
    <row r="1026" spans="1:9">
      <c r="A1026" s="32">
        <v>41772</v>
      </c>
      <c r="B1026">
        <v>16</v>
      </c>
      <c r="C1026">
        <v>1534</v>
      </c>
      <c r="D1026" t="s">
        <v>303</v>
      </c>
      <c r="E1026">
        <f>YEAR(A1026)</f>
        <v>2014</v>
      </c>
      <c r="F1026" s="33">
        <f>DATE(YEAR(A1026),MONTH(A1026),1)</f>
        <v>41760.0</v>
      </c>
      <c r="G1026" t="str">
        <f>CHOOSE(WEEKDAY(A1026,2),"Mon","Tue","Wed","Thu","Fri","Sat","Sun")</f>
        <v>Tue</v>
      </c>
      <c r="H1026" t="str">
        <f>IF(WEEKDAY(A1026,2)&gt;5,"Weekend","Weekday")</f>
        <v>Weekday</v>
      </c>
      <c r="I1026" t="str">
        <f>_xlfn.IFS(B1026&lt;=5,"Night (0-5)",B1026&lt;=9,"Morning peak (6-9)",B1026&lt;=15,"Midday (10-15)",B1026&lt;=19,"Evening peak (16-19)",TRUE,"Late evening (20-23)")</f>
        <v>Evening peak (16-19)</v>
      </c>
    </row>
    <row r="1027" spans="1:9">
      <c r="A1027" s="32">
        <v>41772</v>
      </c>
      <c r="B1027">
        <v>17</v>
      </c>
      <c r="C1027">
        <v>1683</v>
      </c>
      <c r="D1027" t="s">
        <v>303</v>
      </c>
      <c r="E1027">
        <f>YEAR(A1027)</f>
        <v>2014</v>
      </c>
      <c r="F1027" s="33">
        <f>DATE(YEAR(A1027),MONTH(A1027),1)</f>
        <v>41760.0</v>
      </c>
      <c r="G1027" t="str">
        <f>CHOOSE(WEEKDAY(A1027,2),"Mon","Tue","Wed","Thu","Fri","Sat","Sun")</f>
        <v>Tue</v>
      </c>
      <c r="H1027" t="str">
        <f>IF(WEEKDAY(A1027,2)&gt;5,"Weekend","Weekday")</f>
        <v>Weekday</v>
      </c>
      <c r="I1027" t="str">
        <f>_xlfn.IFS(B1027&lt;=5,"Night (0-5)",B1027&lt;=9,"Morning peak (6-9)",B1027&lt;=15,"Midday (10-15)",B1027&lt;=19,"Evening peak (16-19)",TRUE,"Late evening (20-23)")</f>
        <v>Evening peak (16-19)</v>
      </c>
    </row>
    <row r="1028" spans="1:9">
      <c r="A1028" s="32">
        <v>41772</v>
      </c>
      <c r="B1028">
        <v>18</v>
      </c>
      <c r="C1028">
        <v>1332</v>
      </c>
      <c r="D1028" t="s">
        <v>303</v>
      </c>
      <c r="E1028">
        <f>YEAR(A1028)</f>
        <v>2014</v>
      </c>
      <c r="F1028" s="33">
        <f>DATE(YEAR(A1028),MONTH(A1028),1)</f>
        <v>41760.0</v>
      </c>
      <c r="G1028" t="str">
        <f>CHOOSE(WEEKDAY(A1028,2),"Mon","Tue","Wed","Thu","Fri","Sat","Sun")</f>
        <v>Tue</v>
      </c>
      <c r="H1028" t="str">
        <f>IF(WEEKDAY(A1028,2)&gt;5,"Weekend","Weekday")</f>
        <v>Weekday</v>
      </c>
      <c r="I1028" t="str">
        <f>_xlfn.IFS(B1028&lt;=5,"Night (0-5)",B1028&lt;=9,"Morning peak (6-9)",B1028&lt;=15,"Midday (10-15)",B1028&lt;=19,"Evening peak (16-19)",TRUE,"Late evening (20-23)")</f>
        <v>Evening peak (16-19)</v>
      </c>
    </row>
    <row r="1029" spans="1:9">
      <c r="A1029" s="32">
        <v>41772</v>
      </c>
      <c r="B1029">
        <v>19</v>
      </c>
      <c r="C1029">
        <v>1265</v>
      </c>
      <c r="D1029" t="s">
        <v>303</v>
      </c>
      <c r="E1029">
        <f>YEAR(A1029)</f>
        <v>2014</v>
      </c>
      <c r="F1029" s="33">
        <f>DATE(YEAR(A1029),MONTH(A1029),1)</f>
        <v>41760.0</v>
      </c>
      <c r="G1029" t="str">
        <f>CHOOSE(WEEKDAY(A1029,2),"Mon","Tue","Wed","Thu","Fri","Sat","Sun")</f>
        <v>Tue</v>
      </c>
      <c r="H1029" t="str">
        <f>IF(WEEKDAY(A1029,2)&gt;5,"Weekend","Weekday")</f>
        <v>Weekday</v>
      </c>
      <c r="I1029" t="str">
        <f>_xlfn.IFS(B1029&lt;=5,"Night (0-5)",B1029&lt;=9,"Morning peak (6-9)",B1029&lt;=15,"Midday (10-15)",B1029&lt;=19,"Evening peak (16-19)",TRUE,"Late evening (20-23)")</f>
        <v>Evening peak (16-19)</v>
      </c>
    </row>
    <row r="1030" spans="1:9">
      <c r="A1030" s="32">
        <v>41772</v>
      </c>
      <c r="B1030">
        <v>20</v>
      </c>
      <c r="C1030">
        <v>1349</v>
      </c>
      <c r="D1030" t="s">
        <v>303</v>
      </c>
      <c r="E1030">
        <f>YEAR(A1030)</f>
        <v>2014</v>
      </c>
      <c r="F1030" s="33">
        <f>DATE(YEAR(A1030),MONTH(A1030),1)</f>
        <v>41760.0</v>
      </c>
      <c r="G1030" t="str">
        <f>CHOOSE(WEEKDAY(A1030,2),"Mon","Tue","Wed","Thu","Fri","Sat","Sun")</f>
        <v>Tue</v>
      </c>
      <c r="H1030" t="str">
        <f>IF(WEEKDAY(A1030,2)&gt;5,"Weekend","Weekday")</f>
        <v>Weekday</v>
      </c>
      <c r="I1030" t="str">
        <f>_xlfn.IFS(B1030&lt;=5,"Night (0-5)",B1030&lt;=9,"Morning peak (6-9)",B1030&lt;=15,"Midday (10-15)",B1030&lt;=19,"Evening peak (16-19)",TRUE,"Late evening (20-23)")</f>
        <v>Late evening (20-23)</v>
      </c>
    </row>
    <row r="1031" spans="1:9">
      <c r="A1031" s="32">
        <v>41772</v>
      </c>
      <c r="B1031">
        <v>21</v>
      </c>
      <c r="C1031">
        <v>1237</v>
      </c>
      <c r="D1031" t="s">
        <v>303</v>
      </c>
      <c r="E1031">
        <f>YEAR(A1031)</f>
        <v>2014</v>
      </c>
      <c r="F1031" s="33">
        <f>DATE(YEAR(A1031),MONTH(A1031),1)</f>
        <v>41760.0</v>
      </c>
      <c r="G1031" t="str">
        <f>CHOOSE(WEEKDAY(A1031,2),"Mon","Tue","Wed","Thu","Fri","Sat","Sun")</f>
        <v>Tue</v>
      </c>
      <c r="H1031" t="str">
        <f>IF(WEEKDAY(A1031,2)&gt;5,"Weekend","Weekday")</f>
        <v>Weekday</v>
      </c>
      <c r="I1031" t="str">
        <f>_xlfn.IFS(B1031&lt;=5,"Night (0-5)",B1031&lt;=9,"Morning peak (6-9)",B1031&lt;=15,"Midday (10-15)",B1031&lt;=19,"Evening peak (16-19)",TRUE,"Late evening (20-23)")</f>
        <v>Late evening (20-23)</v>
      </c>
    </row>
    <row r="1032" spans="1:9">
      <c r="A1032" s="32">
        <v>41772</v>
      </c>
      <c r="B1032">
        <v>22</v>
      </c>
      <c r="C1032">
        <v>888</v>
      </c>
      <c r="D1032" t="s">
        <v>303</v>
      </c>
      <c r="E1032">
        <f>YEAR(A1032)</f>
        <v>2014</v>
      </c>
      <c r="F1032" s="33">
        <f>DATE(YEAR(A1032),MONTH(A1032),1)</f>
        <v>41760.0</v>
      </c>
      <c r="G1032" t="str">
        <f>CHOOSE(WEEKDAY(A1032,2),"Mon","Tue","Wed","Thu","Fri","Sat","Sun")</f>
        <v>Tue</v>
      </c>
      <c r="H1032" t="str">
        <f>IF(WEEKDAY(A1032,2)&gt;5,"Weekend","Weekday")</f>
        <v>Weekday</v>
      </c>
      <c r="I1032" t="str">
        <f>_xlfn.IFS(B1032&lt;=5,"Night (0-5)",B1032&lt;=9,"Morning peak (6-9)",B1032&lt;=15,"Midday (10-15)",B1032&lt;=19,"Evening peak (16-19)",TRUE,"Late evening (20-23)")</f>
        <v>Late evening (20-23)</v>
      </c>
    </row>
    <row r="1033" spans="1:9">
      <c r="A1033" s="32">
        <v>41772</v>
      </c>
      <c r="B1033">
        <v>23</v>
      </c>
      <c r="C1033">
        <v>485</v>
      </c>
      <c r="D1033" t="s">
        <v>303</v>
      </c>
      <c r="E1033">
        <f>YEAR(A1033)</f>
        <v>2014</v>
      </c>
      <c r="F1033" s="33">
        <f>DATE(YEAR(A1033),MONTH(A1033),1)</f>
        <v>41760.0</v>
      </c>
      <c r="G1033" t="str">
        <f>CHOOSE(WEEKDAY(A1033,2),"Mon","Tue","Wed","Thu","Fri","Sat","Sun")</f>
        <v>Tue</v>
      </c>
      <c r="H1033" t="str">
        <f>IF(WEEKDAY(A1033,2)&gt;5,"Weekend","Weekday")</f>
        <v>Weekday</v>
      </c>
      <c r="I1033" t="str">
        <f>_xlfn.IFS(B1033&lt;=5,"Night (0-5)",B1033&lt;=9,"Morning peak (6-9)",B1033&lt;=15,"Midday (10-15)",B1033&lt;=19,"Evening peak (16-19)",TRUE,"Late evening (20-23)")</f>
        <v>Late evening (20-23)</v>
      </c>
    </row>
    <row r="1034" spans="1:9">
      <c r="A1034" s="32">
        <v>41773</v>
      </c>
      <c r="B1034">
        <v>0</v>
      </c>
      <c r="C1034">
        <v>236</v>
      </c>
      <c r="D1034" t="s">
        <v>303</v>
      </c>
      <c r="E1034">
        <f>YEAR(A1034)</f>
        <v>2014</v>
      </c>
      <c r="F1034" s="33">
        <f>DATE(YEAR(A1034),MONTH(A1034),1)</f>
        <v>41760.0</v>
      </c>
      <c r="G1034" t="str">
        <f>CHOOSE(WEEKDAY(A1034,2),"Mon","Tue","Wed","Thu","Fri","Sat","Sun")</f>
        <v>Wed</v>
      </c>
      <c r="H1034" t="str">
        <f>IF(WEEKDAY(A1034,2)&gt;5,"Weekend","Weekday")</f>
        <v>Weekday</v>
      </c>
      <c r="I1034" t="str">
        <f>_xlfn.IFS(B1034&lt;=5,"Night (0-5)",B1034&lt;=9,"Morning peak (6-9)",B1034&lt;=15,"Midday (10-15)",B1034&lt;=19,"Evening peak (16-19)",TRUE,"Late evening (20-23)")</f>
        <v>Night (0-5)</v>
      </c>
    </row>
    <row r="1035" spans="1:9">
      <c r="A1035" s="32">
        <v>41773</v>
      </c>
      <c r="B1035">
        <v>1</v>
      </c>
      <c r="C1035">
        <v>130</v>
      </c>
      <c r="D1035" t="s">
        <v>303</v>
      </c>
      <c r="E1035">
        <f>YEAR(A1035)</f>
        <v>2014</v>
      </c>
      <c r="F1035" s="33">
        <f>DATE(YEAR(A1035),MONTH(A1035),1)</f>
        <v>41760.0</v>
      </c>
      <c r="G1035" t="str">
        <f>CHOOSE(WEEKDAY(A1035,2),"Mon","Tue","Wed","Thu","Fri","Sat","Sun")</f>
        <v>Wed</v>
      </c>
      <c r="H1035" t="str">
        <f>IF(WEEKDAY(A1035,2)&gt;5,"Weekend","Weekday")</f>
        <v>Weekday</v>
      </c>
      <c r="I1035" t="str">
        <f>_xlfn.IFS(B1035&lt;=5,"Night (0-5)",B1035&lt;=9,"Morning peak (6-9)",B1035&lt;=15,"Midday (10-15)",B1035&lt;=19,"Evening peak (16-19)",TRUE,"Late evening (20-23)")</f>
        <v>Night (0-5)</v>
      </c>
    </row>
    <row r="1036" spans="1:9">
      <c r="A1036" s="32">
        <v>41773</v>
      </c>
      <c r="B1036">
        <v>2</v>
      </c>
      <c r="C1036">
        <v>83</v>
      </c>
      <c r="D1036" t="s">
        <v>303</v>
      </c>
      <c r="E1036">
        <f>YEAR(A1036)</f>
        <v>2014</v>
      </c>
      <c r="F1036" s="33">
        <f>DATE(YEAR(A1036),MONTH(A1036),1)</f>
        <v>41760.0</v>
      </c>
      <c r="G1036" t="str">
        <f>CHOOSE(WEEKDAY(A1036,2),"Mon","Tue","Wed","Thu","Fri","Sat","Sun")</f>
        <v>Wed</v>
      </c>
      <c r="H1036" t="str">
        <f>IF(WEEKDAY(A1036,2)&gt;5,"Weekend","Weekday")</f>
        <v>Weekday</v>
      </c>
      <c r="I1036" t="str">
        <f>_xlfn.IFS(B1036&lt;=5,"Night (0-5)",B1036&lt;=9,"Morning peak (6-9)",B1036&lt;=15,"Midday (10-15)",B1036&lt;=19,"Evening peak (16-19)",TRUE,"Late evening (20-23)")</f>
        <v>Night (0-5)</v>
      </c>
    </row>
    <row r="1037" spans="1:9">
      <c r="A1037" s="32">
        <v>41773</v>
      </c>
      <c r="B1037">
        <v>3</v>
      </c>
      <c r="C1037">
        <v>134</v>
      </c>
      <c r="D1037" t="s">
        <v>303</v>
      </c>
      <c r="E1037">
        <f>YEAR(A1037)</f>
        <v>2014</v>
      </c>
      <c r="F1037" s="33">
        <f>DATE(YEAR(A1037),MONTH(A1037),1)</f>
        <v>41760.0</v>
      </c>
      <c r="G1037" t="str">
        <f>CHOOSE(WEEKDAY(A1037,2),"Mon","Tue","Wed","Thu","Fri","Sat","Sun")</f>
        <v>Wed</v>
      </c>
      <c r="H1037" t="str">
        <f>IF(WEEKDAY(A1037,2)&gt;5,"Weekend","Weekday")</f>
        <v>Weekday</v>
      </c>
      <c r="I1037" t="str">
        <f>_xlfn.IFS(B1037&lt;=5,"Night (0-5)",B1037&lt;=9,"Morning peak (6-9)",B1037&lt;=15,"Midday (10-15)",B1037&lt;=19,"Evening peak (16-19)",TRUE,"Late evening (20-23)")</f>
        <v>Night (0-5)</v>
      </c>
    </row>
    <row r="1038" spans="1:9">
      <c r="A1038" s="32">
        <v>41773</v>
      </c>
      <c r="B1038">
        <v>4</v>
      </c>
      <c r="C1038">
        <v>208</v>
      </c>
      <c r="D1038" t="s">
        <v>303</v>
      </c>
      <c r="E1038">
        <f>YEAR(A1038)</f>
        <v>2014</v>
      </c>
      <c r="F1038" s="33">
        <f>DATE(YEAR(A1038),MONTH(A1038),1)</f>
        <v>41760.0</v>
      </c>
      <c r="G1038" t="str">
        <f>CHOOSE(WEEKDAY(A1038,2),"Mon","Tue","Wed","Thu","Fri","Sat","Sun")</f>
        <v>Wed</v>
      </c>
      <c r="H1038" t="str">
        <f>IF(WEEKDAY(A1038,2)&gt;5,"Weekend","Weekday")</f>
        <v>Weekday</v>
      </c>
      <c r="I1038" t="str">
        <f>_xlfn.IFS(B1038&lt;=5,"Night (0-5)",B1038&lt;=9,"Morning peak (6-9)",B1038&lt;=15,"Midday (10-15)",B1038&lt;=19,"Evening peak (16-19)",TRUE,"Late evening (20-23)")</f>
        <v>Night (0-5)</v>
      </c>
    </row>
    <row r="1039" spans="1:9">
      <c r="A1039" s="32">
        <v>41773</v>
      </c>
      <c r="B1039">
        <v>5</v>
      </c>
      <c r="C1039">
        <v>404</v>
      </c>
      <c r="D1039" t="s">
        <v>303</v>
      </c>
      <c r="E1039">
        <f>YEAR(A1039)</f>
        <v>2014</v>
      </c>
      <c r="F1039" s="33">
        <f>DATE(YEAR(A1039),MONTH(A1039),1)</f>
        <v>41760.0</v>
      </c>
      <c r="G1039" t="str">
        <f>CHOOSE(WEEKDAY(A1039,2),"Mon","Tue","Wed","Thu","Fri","Sat","Sun")</f>
        <v>Wed</v>
      </c>
      <c r="H1039" t="str">
        <f>IF(WEEKDAY(A1039,2)&gt;5,"Weekend","Weekday")</f>
        <v>Weekday</v>
      </c>
      <c r="I1039" t="str">
        <f>_xlfn.IFS(B1039&lt;=5,"Night (0-5)",B1039&lt;=9,"Morning peak (6-9)",B1039&lt;=15,"Midday (10-15)",B1039&lt;=19,"Evening peak (16-19)",TRUE,"Late evening (20-23)")</f>
        <v>Night (0-5)</v>
      </c>
    </row>
    <row r="1040" spans="1:9">
      <c r="A1040" s="32">
        <v>41773</v>
      </c>
      <c r="B1040">
        <v>6</v>
      </c>
      <c r="C1040">
        <v>920</v>
      </c>
      <c r="D1040" t="s">
        <v>303</v>
      </c>
      <c r="E1040">
        <f>YEAR(A1040)</f>
        <v>2014</v>
      </c>
      <c r="F1040" s="33">
        <f>DATE(YEAR(A1040),MONTH(A1040),1)</f>
        <v>41760.0</v>
      </c>
      <c r="G1040" t="str">
        <f>CHOOSE(WEEKDAY(A1040,2),"Mon","Tue","Wed","Thu","Fri","Sat","Sun")</f>
        <v>Wed</v>
      </c>
      <c r="H1040" t="str">
        <f>IF(WEEKDAY(A1040,2)&gt;5,"Weekend","Weekday")</f>
        <v>Weekday</v>
      </c>
      <c r="I1040" t="str">
        <f>_xlfn.IFS(B1040&lt;=5,"Night (0-5)",B1040&lt;=9,"Morning peak (6-9)",B1040&lt;=15,"Midday (10-15)",B1040&lt;=19,"Evening peak (16-19)",TRUE,"Late evening (20-23)")</f>
        <v>Morning peak (6-9)</v>
      </c>
    </row>
    <row r="1041" spans="1:9">
      <c r="A1041" s="32">
        <v>41773</v>
      </c>
      <c r="B1041">
        <v>7</v>
      </c>
      <c r="C1041">
        <v>1272</v>
      </c>
      <c r="D1041" t="s">
        <v>303</v>
      </c>
      <c r="E1041">
        <f>YEAR(A1041)</f>
        <v>2014</v>
      </c>
      <c r="F1041" s="33">
        <f>DATE(YEAR(A1041),MONTH(A1041),1)</f>
        <v>41760.0</v>
      </c>
      <c r="G1041" t="str">
        <f>CHOOSE(WEEKDAY(A1041,2),"Mon","Tue","Wed","Thu","Fri","Sat","Sun")</f>
        <v>Wed</v>
      </c>
      <c r="H1041" t="str">
        <f>IF(WEEKDAY(A1041,2)&gt;5,"Weekend","Weekday")</f>
        <v>Weekday</v>
      </c>
      <c r="I1041" t="str">
        <f>_xlfn.IFS(B1041&lt;=5,"Night (0-5)",B1041&lt;=9,"Morning peak (6-9)",B1041&lt;=15,"Midday (10-15)",B1041&lt;=19,"Evening peak (16-19)",TRUE,"Late evening (20-23)")</f>
        <v>Morning peak (6-9)</v>
      </c>
    </row>
    <row r="1042" spans="1:9">
      <c r="A1042" s="32">
        <v>41773</v>
      </c>
      <c r="B1042">
        <v>8</v>
      </c>
      <c r="C1042">
        <v>1044</v>
      </c>
      <c r="D1042" t="s">
        <v>303</v>
      </c>
      <c r="E1042">
        <f>YEAR(A1042)</f>
        <v>2014</v>
      </c>
      <c r="F1042" s="33">
        <f>DATE(YEAR(A1042),MONTH(A1042),1)</f>
        <v>41760.0</v>
      </c>
      <c r="G1042" t="str">
        <f>CHOOSE(WEEKDAY(A1042,2),"Mon","Tue","Wed","Thu","Fri","Sat","Sun")</f>
        <v>Wed</v>
      </c>
      <c r="H1042" t="str">
        <f>IF(WEEKDAY(A1042,2)&gt;5,"Weekend","Weekday")</f>
        <v>Weekday</v>
      </c>
      <c r="I1042" t="str">
        <f>_xlfn.IFS(B1042&lt;=5,"Night (0-5)",B1042&lt;=9,"Morning peak (6-9)",B1042&lt;=15,"Midday (10-15)",B1042&lt;=19,"Evening peak (16-19)",TRUE,"Late evening (20-23)")</f>
        <v>Morning peak (6-9)</v>
      </c>
    </row>
    <row r="1043" spans="1:9">
      <c r="A1043" s="32">
        <v>41773</v>
      </c>
      <c r="B1043">
        <v>9</v>
      </c>
      <c r="C1043">
        <v>725</v>
      </c>
      <c r="D1043" t="s">
        <v>303</v>
      </c>
      <c r="E1043">
        <f>YEAR(A1043)</f>
        <v>2014</v>
      </c>
      <c r="F1043" s="33">
        <f>DATE(YEAR(A1043),MONTH(A1043),1)</f>
        <v>41760.0</v>
      </c>
      <c r="G1043" t="str">
        <f>CHOOSE(WEEKDAY(A1043,2),"Mon","Tue","Wed","Thu","Fri","Sat","Sun")</f>
        <v>Wed</v>
      </c>
      <c r="H1043" t="str">
        <f>IF(WEEKDAY(A1043,2)&gt;5,"Weekend","Weekday")</f>
        <v>Weekday</v>
      </c>
      <c r="I1043" t="str">
        <f>_xlfn.IFS(B1043&lt;=5,"Night (0-5)",B1043&lt;=9,"Morning peak (6-9)",B1043&lt;=15,"Midday (10-15)",B1043&lt;=19,"Evening peak (16-19)",TRUE,"Late evening (20-23)")</f>
        <v>Morning peak (6-9)</v>
      </c>
    </row>
    <row r="1044" spans="1:9">
      <c r="A1044" s="32">
        <v>41773</v>
      </c>
      <c r="B1044">
        <v>10</v>
      </c>
      <c r="C1044">
        <v>717</v>
      </c>
      <c r="D1044" t="s">
        <v>303</v>
      </c>
      <c r="E1044">
        <f>YEAR(A1044)</f>
        <v>2014</v>
      </c>
      <c r="F1044" s="33">
        <f>DATE(YEAR(A1044),MONTH(A1044),1)</f>
        <v>41760.0</v>
      </c>
      <c r="G1044" t="str">
        <f>CHOOSE(WEEKDAY(A1044,2),"Mon","Tue","Wed","Thu","Fri","Sat","Sun")</f>
        <v>Wed</v>
      </c>
      <c r="H1044" t="str">
        <f>IF(WEEKDAY(A1044,2)&gt;5,"Weekend","Weekday")</f>
        <v>Weekday</v>
      </c>
      <c r="I1044" t="str">
        <f>_xlfn.IFS(B1044&lt;=5,"Night (0-5)",B1044&lt;=9,"Morning peak (6-9)",B1044&lt;=15,"Midday (10-15)",B1044&lt;=19,"Evening peak (16-19)",TRUE,"Late evening (20-23)")</f>
        <v>Midday (10-15)</v>
      </c>
    </row>
    <row r="1045" spans="1:9">
      <c r="A1045" s="32">
        <v>41773</v>
      </c>
      <c r="B1045">
        <v>11</v>
      </c>
      <c r="C1045">
        <v>719</v>
      </c>
      <c r="D1045" t="s">
        <v>303</v>
      </c>
      <c r="E1045">
        <f>YEAR(A1045)</f>
        <v>2014</v>
      </c>
      <c r="F1045" s="33">
        <f>DATE(YEAR(A1045),MONTH(A1045),1)</f>
        <v>41760.0</v>
      </c>
      <c r="G1045" t="str">
        <f>CHOOSE(WEEKDAY(A1045,2),"Mon","Tue","Wed","Thu","Fri","Sat","Sun")</f>
        <v>Wed</v>
      </c>
      <c r="H1045" t="str">
        <f>IF(WEEKDAY(A1045,2)&gt;5,"Weekend","Weekday")</f>
        <v>Weekday</v>
      </c>
      <c r="I1045" t="str">
        <f>_xlfn.IFS(B1045&lt;=5,"Night (0-5)",B1045&lt;=9,"Morning peak (6-9)",B1045&lt;=15,"Midday (10-15)",B1045&lt;=19,"Evening peak (16-19)",TRUE,"Late evening (20-23)")</f>
        <v>Midday (10-15)</v>
      </c>
    </row>
    <row r="1046" spans="1:9">
      <c r="A1046" s="32">
        <v>41773</v>
      </c>
      <c r="B1046">
        <v>12</v>
      </c>
      <c r="C1046">
        <v>771</v>
      </c>
      <c r="D1046" t="s">
        <v>303</v>
      </c>
      <c r="E1046">
        <f>YEAR(A1046)</f>
        <v>2014</v>
      </c>
      <c r="F1046" s="33">
        <f>DATE(YEAR(A1046),MONTH(A1046),1)</f>
        <v>41760.0</v>
      </c>
      <c r="G1046" t="str">
        <f>CHOOSE(WEEKDAY(A1046,2),"Mon","Tue","Wed","Thu","Fri","Sat","Sun")</f>
        <v>Wed</v>
      </c>
      <c r="H1046" t="str">
        <f>IF(WEEKDAY(A1046,2)&gt;5,"Weekend","Weekday")</f>
        <v>Weekday</v>
      </c>
      <c r="I1046" t="str">
        <f>_xlfn.IFS(B1046&lt;=5,"Night (0-5)",B1046&lt;=9,"Morning peak (6-9)",B1046&lt;=15,"Midday (10-15)",B1046&lt;=19,"Evening peak (16-19)",TRUE,"Late evening (20-23)")</f>
        <v>Midday (10-15)</v>
      </c>
    </row>
    <row r="1047" spans="1:9">
      <c r="A1047" s="32">
        <v>41773</v>
      </c>
      <c r="B1047">
        <v>13</v>
      </c>
      <c r="C1047">
        <v>912</v>
      </c>
      <c r="D1047" t="s">
        <v>303</v>
      </c>
      <c r="E1047">
        <f>YEAR(A1047)</f>
        <v>2014</v>
      </c>
      <c r="F1047" s="33">
        <f>DATE(YEAR(A1047),MONTH(A1047),1)</f>
        <v>41760.0</v>
      </c>
      <c r="G1047" t="str">
        <f>CHOOSE(WEEKDAY(A1047,2),"Mon","Tue","Wed","Thu","Fri","Sat","Sun")</f>
        <v>Wed</v>
      </c>
      <c r="H1047" t="str">
        <f>IF(WEEKDAY(A1047,2)&gt;5,"Weekend","Weekday")</f>
        <v>Weekday</v>
      </c>
      <c r="I1047" t="str">
        <f>_xlfn.IFS(B1047&lt;=5,"Night (0-5)",B1047&lt;=9,"Morning peak (6-9)",B1047&lt;=15,"Midday (10-15)",B1047&lt;=19,"Evening peak (16-19)",TRUE,"Late evening (20-23)")</f>
        <v>Midday (10-15)</v>
      </c>
    </row>
    <row r="1048" spans="1:9">
      <c r="A1048" s="32">
        <v>41773</v>
      </c>
      <c r="B1048">
        <v>14</v>
      </c>
      <c r="C1048">
        <v>1245</v>
      </c>
      <c r="D1048" t="s">
        <v>303</v>
      </c>
      <c r="E1048">
        <f>YEAR(A1048)</f>
        <v>2014</v>
      </c>
      <c r="F1048" s="33">
        <f>DATE(YEAR(A1048),MONTH(A1048),1)</f>
        <v>41760.0</v>
      </c>
      <c r="G1048" t="str">
        <f>CHOOSE(WEEKDAY(A1048,2),"Mon","Tue","Wed","Thu","Fri","Sat","Sun")</f>
        <v>Wed</v>
      </c>
      <c r="H1048" t="str">
        <f>IF(WEEKDAY(A1048,2)&gt;5,"Weekend","Weekday")</f>
        <v>Weekday</v>
      </c>
      <c r="I1048" t="str">
        <f>_xlfn.IFS(B1048&lt;=5,"Night (0-5)",B1048&lt;=9,"Morning peak (6-9)",B1048&lt;=15,"Midday (10-15)",B1048&lt;=19,"Evening peak (16-19)",TRUE,"Late evening (20-23)")</f>
        <v>Midday (10-15)</v>
      </c>
    </row>
    <row r="1049" spans="1:9">
      <c r="A1049" s="32">
        <v>41773</v>
      </c>
      <c r="B1049">
        <v>15</v>
      </c>
      <c r="C1049">
        <v>1460</v>
      </c>
      <c r="D1049" t="s">
        <v>303</v>
      </c>
      <c r="E1049">
        <f>YEAR(A1049)</f>
        <v>2014</v>
      </c>
      <c r="F1049" s="33">
        <f>DATE(YEAR(A1049),MONTH(A1049),1)</f>
        <v>41760.0</v>
      </c>
      <c r="G1049" t="str">
        <f>CHOOSE(WEEKDAY(A1049,2),"Mon","Tue","Wed","Thu","Fri","Sat","Sun")</f>
        <v>Wed</v>
      </c>
      <c r="H1049" t="str">
        <f>IF(WEEKDAY(A1049,2)&gt;5,"Weekend","Weekday")</f>
        <v>Weekday</v>
      </c>
      <c r="I1049" t="str">
        <f>_xlfn.IFS(B1049&lt;=5,"Night (0-5)",B1049&lt;=9,"Morning peak (6-9)",B1049&lt;=15,"Midday (10-15)",B1049&lt;=19,"Evening peak (16-19)",TRUE,"Late evening (20-23)")</f>
        <v>Midday (10-15)</v>
      </c>
    </row>
    <row r="1050" spans="1:9">
      <c r="A1050" s="32">
        <v>41773</v>
      </c>
      <c r="B1050">
        <v>16</v>
      </c>
      <c r="C1050">
        <v>1556</v>
      </c>
      <c r="D1050" t="s">
        <v>303</v>
      </c>
      <c r="E1050">
        <f>YEAR(A1050)</f>
        <v>2014</v>
      </c>
      <c r="F1050" s="33">
        <f>DATE(YEAR(A1050),MONTH(A1050),1)</f>
        <v>41760.0</v>
      </c>
      <c r="G1050" t="str">
        <f>CHOOSE(WEEKDAY(A1050,2),"Mon","Tue","Wed","Thu","Fri","Sat","Sun")</f>
        <v>Wed</v>
      </c>
      <c r="H1050" t="str">
        <f>IF(WEEKDAY(A1050,2)&gt;5,"Weekend","Weekday")</f>
        <v>Weekday</v>
      </c>
      <c r="I1050" t="str">
        <f>_xlfn.IFS(B1050&lt;=5,"Night (0-5)",B1050&lt;=9,"Morning peak (6-9)",B1050&lt;=15,"Midday (10-15)",B1050&lt;=19,"Evening peak (16-19)",TRUE,"Late evening (20-23)")</f>
        <v>Evening peak (16-19)</v>
      </c>
    </row>
    <row r="1051" spans="1:9">
      <c r="A1051" s="32">
        <v>41773</v>
      </c>
      <c r="B1051">
        <v>17</v>
      </c>
      <c r="C1051">
        <v>1763</v>
      </c>
      <c r="D1051" t="s">
        <v>303</v>
      </c>
      <c r="E1051">
        <f>YEAR(A1051)</f>
        <v>2014</v>
      </c>
      <c r="F1051" s="33">
        <f>DATE(YEAR(A1051),MONTH(A1051),1)</f>
        <v>41760.0</v>
      </c>
      <c r="G1051" t="str">
        <f>CHOOSE(WEEKDAY(A1051,2),"Mon","Tue","Wed","Thu","Fri","Sat","Sun")</f>
        <v>Wed</v>
      </c>
      <c r="H1051" t="str">
        <f>IF(WEEKDAY(A1051,2)&gt;5,"Weekend","Weekday")</f>
        <v>Weekday</v>
      </c>
      <c r="I1051" t="str">
        <f>_xlfn.IFS(B1051&lt;=5,"Night (0-5)",B1051&lt;=9,"Morning peak (6-9)",B1051&lt;=15,"Midday (10-15)",B1051&lt;=19,"Evening peak (16-19)",TRUE,"Late evening (20-23)")</f>
        <v>Evening peak (16-19)</v>
      </c>
    </row>
    <row r="1052" spans="1:9">
      <c r="A1052" s="32">
        <v>41773</v>
      </c>
      <c r="B1052">
        <v>18</v>
      </c>
      <c r="C1052">
        <v>1895</v>
      </c>
      <c r="D1052" t="s">
        <v>303</v>
      </c>
      <c r="E1052">
        <f>YEAR(A1052)</f>
        <v>2014</v>
      </c>
      <c r="F1052" s="33">
        <f>DATE(YEAR(A1052),MONTH(A1052),1)</f>
        <v>41760.0</v>
      </c>
      <c r="G1052" t="str">
        <f>CHOOSE(WEEKDAY(A1052,2),"Mon","Tue","Wed","Thu","Fri","Sat","Sun")</f>
        <v>Wed</v>
      </c>
      <c r="H1052" t="str">
        <f>IF(WEEKDAY(A1052,2)&gt;5,"Weekend","Weekday")</f>
        <v>Weekday</v>
      </c>
      <c r="I1052" t="str">
        <f>_xlfn.IFS(B1052&lt;=5,"Night (0-5)",B1052&lt;=9,"Morning peak (6-9)",B1052&lt;=15,"Midday (10-15)",B1052&lt;=19,"Evening peak (16-19)",TRUE,"Late evening (20-23)")</f>
        <v>Evening peak (16-19)</v>
      </c>
    </row>
    <row r="1053" spans="1:9">
      <c r="A1053" s="32">
        <v>41773</v>
      </c>
      <c r="B1053">
        <v>19</v>
      </c>
      <c r="C1053">
        <v>1598</v>
      </c>
      <c r="D1053" t="s">
        <v>303</v>
      </c>
      <c r="E1053">
        <f>YEAR(A1053)</f>
        <v>2014</v>
      </c>
      <c r="F1053" s="33">
        <f>DATE(YEAR(A1053),MONTH(A1053),1)</f>
        <v>41760.0</v>
      </c>
      <c r="G1053" t="str">
        <f>CHOOSE(WEEKDAY(A1053,2),"Mon","Tue","Wed","Thu","Fri","Sat","Sun")</f>
        <v>Wed</v>
      </c>
      <c r="H1053" t="str">
        <f>IF(WEEKDAY(A1053,2)&gt;5,"Weekend","Weekday")</f>
        <v>Weekday</v>
      </c>
      <c r="I1053" t="str">
        <f>_xlfn.IFS(B1053&lt;=5,"Night (0-5)",B1053&lt;=9,"Morning peak (6-9)",B1053&lt;=15,"Midday (10-15)",B1053&lt;=19,"Evening peak (16-19)",TRUE,"Late evening (20-23)")</f>
        <v>Evening peak (16-19)</v>
      </c>
    </row>
    <row r="1054" spans="1:9">
      <c r="A1054" s="32">
        <v>41773</v>
      </c>
      <c r="B1054">
        <v>20</v>
      </c>
      <c r="C1054">
        <v>1606</v>
      </c>
      <c r="D1054" t="s">
        <v>303</v>
      </c>
      <c r="E1054">
        <f>YEAR(A1054)</f>
        <v>2014</v>
      </c>
      <c r="F1054" s="33">
        <f>DATE(YEAR(A1054),MONTH(A1054),1)</f>
        <v>41760.0</v>
      </c>
      <c r="G1054" t="str">
        <f>CHOOSE(WEEKDAY(A1054,2),"Mon","Tue","Wed","Thu","Fri","Sat","Sun")</f>
        <v>Wed</v>
      </c>
      <c r="H1054" t="str">
        <f>IF(WEEKDAY(A1054,2)&gt;5,"Weekend","Weekday")</f>
        <v>Weekday</v>
      </c>
      <c r="I1054" t="str">
        <f>_xlfn.IFS(B1054&lt;=5,"Night (0-5)",B1054&lt;=9,"Morning peak (6-9)",B1054&lt;=15,"Midday (10-15)",B1054&lt;=19,"Evening peak (16-19)",TRUE,"Late evening (20-23)")</f>
        <v>Late evening (20-23)</v>
      </c>
    </row>
    <row r="1055" spans="1:9">
      <c r="A1055" s="32">
        <v>41773</v>
      </c>
      <c r="B1055">
        <v>21</v>
      </c>
      <c r="C1055">
        <v>1422</v>
      </c>
      <c r="D1055" t="s">
        <v>303</v>
      </c>
      <c r="E1055">
        <f>YEAR(A1055)</f>
        <v>2014</v>
      </c>
      <c r="F1055" s="33">
        <f>DATE(YEAR(A1055),MONTH(A1055),1)</f>
        <v>41760.0</v>
      </c>
      <c r="G1055" t="str">
        <f>CHOOSE(WEEKDAY(A1055,2),"Mon","Tue","Wed","Thu","Fri","Sat","Sun")</f>
        <v>Wed</v>
      </c>
      <c r="H1055" t="str">
        <f>IF(WEEKDAY(A1055,2)&gt;5,"Weekend","Weekday")</f>
        <v>Weekday</v>
      </c>
      <c r="I1055" t="str">
        <f>_xlfn.IFS(B1055&lt;=5,"Night (0-5)",B1055&lt;=9,"Morning peak (6-9)",B1055&lt;=15,"Midday (10-15)",B1055&lt;=19,"Evening peak (16-19)",TRUE,"Late evening (20-23)")</f>
        <v>Late evening (20-23)</v>
      </c>
    </row>
    <row r="1056" spans="1:9">
      <c r="A1056" s="32">
        <v>41773</v>
      </c>
      <c r="B1056">
        <v>22</v>
      </c>
      <c r="C1056">
        <v>881</v>
      </c>
      <c r="D1056" t="s">
        <v>303</v>
      </c>
      <c r="E1056">
        <f>YEAR(A1056)</f>
        <v>2014</v>
      </c>
      <c r="F1056" s="33">
        <f>DATE(YEAR(A1056),MONTH(A1056),1)</f>
        <v>41760.0</v>
      </c>
      <c r="G1056" t="str">
        <f>CHOOSE(WEEKDAY(A1056,2),"Mon","Tue","Wed","Thu","Fri","Sat","Sun")</f>
        <v>Wed</v>
      </c>
      <c r="H1056" t="str">
        <f>IF(WEEKDAY(A1056,2)&gt;5,"Weekend","Weekday")</f>
        <v>Weekday</v>
      </c>
      <c r="I1056" t="str">
        <f>_xlfn.IFS(B1056&lt;=5,"Night (0-5)",B1056&lt;=9,"Morning peak (6-9)",B1056&lt;=15,"Midday (10-15)",B1056&lt;=19,"Evening peak (16-19)",TRUE,"Late evening (20-23)")</f>
        <v>Late evening (20-23)</v>
      </c>
    </row>
    <row r="1057" spans="1:9">
      <c r="A1057" s="32">
        <v>41773</v>
      </c>
      <c r="B1057">
        <v>23</v>
      </c>
      <c r="C1057">
        <v>517</v>
      </c>
      <c r="D1057" t="s">
        <v>303</v>
      </c>
      <c r="E1057">
        <f>YEAR(A1057)</f>
        <v>2014</v>
      </c>
      <c r="F1057" s="33">
        <f>DATE(YEAR(A1057),MONTH(A1057),1)</f>
        <v>41760.0</v>
      </c>
      <c r="G1057" t="str">
        <f>CHOOSE(WEEKDAY(A1057,2),"Mon","Tue","Wed","Thu","Fri","Sat","Sun")</f>
        <v>Wed</v>
      </c>
      <c r="H1057" t="str">
        <f>IF(WEEKDAY(A1057,2)&gt;5,"Weekend","Weekday")</f>
        <v>Weekday</v>
      </c>
      <c r="I1057" t="str">
        <f>_xlfn.IFS(B1057&lt;=5,"Night (0-5)",B1057&lt;=9,"Morning peak (6-9)",B1057&lt;=15,"Midday (10-15)",B1057&lt;=19,"Evening peak (16-19)",TRUE,"Late evening (20-23)")</f>
        <v>Late evening (20-23)</v>
      </c>
    </row>
    <row r="1058" spans="1:9">
      <c r="A1058" s="32">
        <v>41774</v>
      </c>
      <c r="B1058">
        <v>0</v>
      </c>
      <c r="C1058">
        <v>305</v>
      </c>
      <c r="D1058" t="s">
        <v>303</v>
      </c>
      <c r="E1058">
        <f>YEAR(A1058)</f>
        <v>2014</v>
      </c>
      <c r="F1058" s="33">
        <f>DATE(YEAR(A1058),MONTH(A1058),1)</f>
        <v>41760.0</v>
      </c>
      <c r="G1058" t="str">
        <f>CHOOSE(WEEKDAY(A1058,2),"Mon","Tue","Wed","Thu","Fri","Sat","Sun")</f>
        <v>Thu</v>
      </c>
      <c r="H1058" t="str">
        <f>IF(WEEKDAY(A1058,2)&gt;5,"Weekend","Weekday")</f>
        <v>Weekday</v>
      </c>
      <c r="I1058" t="str">
        <f>_xlfn.IFS(B1058&lt;=5,"Night (0-5)",B1058&lt;=9,"Morning peak (6-9)",B1058&lt;=15,"Midday (10-15)",B1058&lt;=19,"Evening peak (16-19)",TRUE,"Late evening (20-23)")</f>
        <v>Night (0-5)</v>
      </c>
    </row>
    <row r="1059" spans="1:9">
      <c r="A1059" s="32">
        <v>41774</v>
      </c>
      <c r="B1059">
        <v>1</v>
      </c>
      <c r="C1059">
        <v>183</v>
      </c>
      <c r="D1059" t="s">
        <v>303</v>
      </c>
      <c r="E1059">
        <f>YEAR(A1059)</f>
        <v>2014</v>
      </c>
      <c r="F1059" s="33">
        <f>DATE(YEAR(A1059),MONTH(A1059),1)</f>
        <v>41760.0</v>
      </c>
      <c r="G1059" t="str">
        <f>CHOOSE(WEEKDAY(A1059,2),"Mon","Tue","Wed","Thu","Fri","Sat","Sun")</f>
        <v>Thu</v>
      </c>
      <c r="H1059" t="str">
        <f>IF(WEEKDAY(A1059,2)&gt;5,"Weekend","Weekday")</f>
        <v>Weekday</v>
      </c>
      <c r="I1059" t="str">
        <f>_xlfn.IFS(B1059&lt;=5,"Night (0-5)",B1059&lt;=9,"Morning peak (6-9)",B1059&lt;=15,"Midday (10-15)",B1059&lt;=19,"Evening peak (16-19)",TRUE,"Late evening (20-23)")</f>
        <v>Night (0-5)</v>
      </c>
    </row>
    <row r="1060" spans="1:9">
      <c r="A1060" s="32">
        <v>41774</v>
      </c>
      <c r="B1060">
        <v>2</v>
      </c>
      <c r="C1060">
        <v>113</v>
      </c>
      <c r="D1060" t="s">
        <v>303</v>
      </c>
      <c r="E1060">
        <f>YEAR(A1060)</f>
        <v>2014</v>
      </c>
      <c r="F1060" s="33">
        <f>DATE(YEAR(A1060),MONTH(A1060),1)</f>
        <v>41760.0</v>
      </c>
      <c r="G1060" t="str">
        <f>CHOOSE(WEEKDAY(A1060,2),"Mon","Tue","Wed","Thu","Fri","Sat","Sun")</f>
        <v>Thu</v>
      </c>
      <c r="H1060" t="str">
        <f>IF(WEEKDAY(A1060,2)&gt;5,"Weekend","Weekday")</f>
        <v>Weekday</v>
      </c>
      <c r="I1060" t="str">
        <f>_xlfn.IFS(B1060&lt;=5,"Night (0-5)",B1060&lt;=9,"Morning peak (6-9)",B1060&lt;=15,"Midday (10-15)",B1060&lt;=19,"Evening peak (16-19)",TRUE,"Late evening (20-23)")</f>
        <v>Night (0-5)</v>
      </c>
    </row>
    <row r="1061" spans="1:9">
      <c r="A1061" s="32">
        <v>41774</v>
      </c>
      <c r="B1061">
        <v>3</v>
      </c>
      <c r="C1061">
        <v>151</v>
      </c>
      <c r="D1061" t="s">
        <v>303</v>
      </c>
      <c r="E1061">
        <f>YEAR(A1061)</f>
        <v>2014</v>
      </c>
      <c r="F1061" s="33">
        <f>DATE(YEAR(A1061),MONTH(A1061),1)</f>
        <v>41760.0</v>
      </c>
      <c r="G1061" t="str">
        <f>CHOOSE(WEEKDAY(A1061,2),"Mon","Tue","Wed","Thu","Fri","Sat","Sun")</f>
        <v>Thu</v>
      </c>
      <c r="H1061" t="str">
        <f>IF(WEEKDAY(A1061,2)&gt;5,"Weekend","Weekday")</f>
        <v>Weekday</v>
      </c>
      <c r="I1061" t="str">
        <f>_xlfn.IFS(B1061&lt;=5,"Night (0-5)",B1061&lt;=9,"Morning peak (6-9)",B1061&lt;=15,"Midday (10-15)",B1061&lt;=19,"Evening peak (16-19)",TRUE,"Late evening (20-23)")</f>
        <v>Night (0-5)</v>
      </c>
    </row>
    <row r="1062" spans="1:9">
      <c r="A1062" s="32">
        <v>41774</v>
      </c>
      <c r="B1062">
        <v>4</v>
      </c>
      <c r="C1062">
        <v>268</v>
      </c>
      <c r="D1062" t="s">
        <v>303</v>
      </c>
      <c r="E1062">
        <f>YEAR(A1062)</f>
        <v>2014</v>
      </c>
      <c r="F1062" s="33">
        <f>DATE(YEAR(A1062),MONTH(A1062),1)</f>
        <v>41760.0</v>
      </c>
      <c r="G1062" t="str">
        <f>CHOOSE(WEEKDAY(A1062,2),"Mon","Tue","Wed","Thu","Fri","Sat","Sun")</f>
        <v>Thu</v>
      </c>
      <c r="H1062" t="str">
        <f>IF(WEEKDAY(A1062,2)&gt;5,"Weekend","Weekday")</f>
        <v>Weekday</v>
      </c>
      <c r="I1062" t="str">
        <f>_xlfn.IFS(B1062&lt;=5,"Night (0-5)",B1062&lt;=9,"Morning peak (6-9)",B1062&lt;=15,"Midday (10-15)",B1062&lt;=19,"Evening peak (16-19)",TRUE,"Late evening (20-23)")</f>
        <v>Night (0-5)</v>
      </c>
    </row>
    <row r="1063" spans="1:9">
      <c r="A1063" s="32">
        <v>41774</v>
      </c>
      <c r="B1063">
        <v>5</v>
      </c>
      <c r="C1063">
        <v>482</v>
      </c>
      <c r="D1063" t="s">
        <v>303</v>
      </c>
      <c r="E1063">
        <f>YEAR(A1063)</f>
        <v>2014</v>
      </c>
      <c r="F1063" s="33">
        <f>DATE(YEAR(A1063),MONTH(A1063),1)</f>
        <v>41760.0</v>
      </c>
      <c r="G1063" t="str">
        <f>CHOOSE(WEEKDAY(A1063,2),"Mon","Tue","Wed","Thu","Fri","Sat","Sun")</f>
        <v>Thu</v>
      </c>
      <c r="H1063" t="str">
        <f>IF(WEEKDAY(A1063,2)&gt;5,"Weekend","Weekday")</f>
        <v>Weekday</v>
      </c>
      <c r="I1063" t="str">
        <f>_xlfn.IFS(B1063&lt;=5,"Night (0-5)",B1063&lt;=9,"Morning peak (6-9)",B1063&lt;=15,"Midday (10-15)",B1063&lt;=19,"Evening peak (16-19)",TRUE,"Late evening (20-23)")</f>
        <v>Night (0-5)</v>
      </c>
    </row>
    <row r="1064" spans="1:9">
      <c r="A1064" s="32">
        <v>41774</v>
      </c>
      <c r="B1064">
        <v>6</v>
      </c>
      <c r="C1064">
        <v>1038</v>
      </c>
      <c r="D1064" t="s">
        <v>303</v>
      </c>
      <c r="E1064">
        <f>YEAR(A1064)</f>
        <v>2014</v>
      </c>
      <c r="F1064" s="33">
        <f>DATE(YEAR(A1064),MONTH(A1064),1)</f>
        <v>41760.0</v>
      </c>
      <c r="G1064" t="str">
        <f>CHOOSE(WEEKDAY(A1064,2),"Mon","Tue","Wed","Thu","Fri","Sat","Sun")</f>
        <v>Thu</v>
      </c>
      <c r="H1064" t="str">
        <f>IF(WEEKDAY(A1064,2)&gt;5,"Weekend","Weekday")</f>
        <v>Weekday</v>
      </c>
      <c r="I1064" t="str">
        <f>_xlfn.IFS(B1064&lt;=5,"Night (0-5)",B1064&lt;=9,"Morning peak (6-9)",B1064&lt;=15,"Midday (10-15)",B1064&lt;=19,"Evening peak (16-19)",TRUE,"Late evening (20-23)")</f>
        <v>Morning peak (6-9)</v>
      </c>
    </row>
    <row r="1065" spans="1:9">
      <c r="A1065" s="32">
        <v>41774</v>
      </c>
      <c r="B1065">
        <v>7</v>
      </c>
      <c r="C1065">
        <v>1262</v>
      </c>
      <c r="D1065" t="s">
        <v>303</v>
      </c>
      <c r="E1065">
        <f>YEAR(A1065)</f>
        <v>2014</v>
      </c>
      <c r="F1065" s="33">
        <f>DATE(YEAR(A1065),MONTH(A1065),1)</f>
        <v>41760.0</v>
      </c>
      <c r="G1065" t="str">
        <f>CHOOSE(WEEKDAY(A1065,2),"Mon","Tue","Wed","Thu","Fri","Sat","Sun")</f>
        <v>Thu</v>
      </c>
      <c r="H1065" t="str">
        <f>IF(WEEKDAY(A1065,2)&gt;5,"Weekend","Weekday")</f>
        <v>Weekday</v>
      </c>
      <c r="I1065" t="str">
        <f>_xlfn.IFS(B1065&lt;=5,"Night (0-5)",B1065&lt;=9,"Morning peak (6-9)",B1065&lt;=15,"Midday (10-15)",B1065&lt;=19,"Evening peak (16-19)",TRUE,"Late evening (20-23)")</f>
        <v>Morning peak (6-9)</v>
      </c>
    </row>
    <row r="1066" spans="1:9">
      <c r="A1066" s="32">
        <v>41774</v>
      </c>
      <c r="B1066">
        <v>8</v>
      </c>
      <c r="C1066">
        <v>1123</v>
      </c>
      <c r="D1066" t="s">
        <v>303</v>
      </c>
      <c r="E1066">
        <f>YEAR(A1066)</f>
        <v>2014</v>
      </c>
      <c r="F1066" s="33">
        <f>DATE(YEAR(A1066),MONTH(A1066),1)</f>
        <v>41760.0</v>
      </c>
      <c r="G1066" t="str">
        <f>CHOOSE(WEEKDAY(A1066,2),"Mon","Tue","Wed","Thu","Fri","Sat","Sun")</f>
        <v>Thu</v>
      </c>
      <c r="H1066" t="str">
        <f>IF(WEEKDAY(A1066,2)&gt;5,"Weekend","Weekday")</f>
        <v>Weekday</v>
      </c>
      <c r="I1066" t="str">
        <f>_xlfn.IFS(B1066&lt;=5,"Night (0-5)",B1066&lt;=9,"Morning peak (6-9)",B1066&lt;=15,"Midday (10-15)",B1066&lt;=19,"Evening peak (16-19)",TRUE,"Late evening (20-23)")</f>
        <v>Morning peak (6-9)</v>
      </c>
    </row>
    <row r="1067" spans="1:9">
      <c r="A1067" s="32">
        <v>41774</v>
      </c>
      <c r="B1067">
        <v>9</v>
      </c>
      <c r="C1067">
        <v>800</v>
      </c>
      <c r="D1067" t="s">
        <v>303</v>
      </c>
      <c r="E1067">
        <f>YEAR(A1067)</f>
        <v>2014</v>
      </c>
      <c r="F1067" s="33">
        <f>DATE(YEAR(A1067),MONTH(A1067),1)</f>
        <v>41760.0</v>
      </c>
      <c r="G1067" t="str">
        <f>CHOOSE(WEEKDAY(A1067,2),"Mon","Tue","Wed","Thu","Fri","Sat","Sun")</f>
        <v>Thu</v>
      </c>
      <c r="H1067" t="str">
        <f>IF(WEEKDAY(A1067,2)&gt;5,"Weekend","Weekday")</f>
        <v>Weekday</v>
      </c>
      <c r="I1067" t="str">
        <f>_xlfn.IFS(B1067&lt;=5,"Night (0-5)",B1067&lt;=9,"Morning peak (6-9)",B1067&lt;=15,"Midday (10-15)",B1067&lt;=19,"Evening peak (16-19)",TRUE,"Late evening (20-23)")</f>
        <v>Morning peak (6-9)</v>
      </c>
    </row>
    <row r="1068" spans="1:9">
      <c r="A1068" s="32">
        <v>41774</v>
      </c>
      <c r="B1068">
        <v>10</v>
      </c>
      <c r="C1068">
        <v>989</v>
      </c>
      <c r="D1068" t="s">
        <v>303</v>
      </c>
      <c r="E1068">
        <f>YEAR(A1068)</f>
        <v>2014</v>
      </c>
      <c r="F1068" s="33">
        <f>DATE(YEAR(A1068),MONTH(A1068),1)</f>
        <v>41760.0</v>
      </c>
      <c r="G1068" t="str">
        <f>CHOOSE(WEEKDAY(A1068,2),"Mon","Tue","Wed","Thu","Fri","Sat","Sun")</f>
        <v>Thu</v>
      </c>
      <c r="H1068" t="str">
        <f>IF(WEEKDAY(A1068,2)&gt;5,"Weekend","Weekday")</f>
        <v>Weekday</v>
      </c>
      <c r="I1068" t="str">
        <f>_xlfn.IFS(B1068&lt;=5,"Night (0-5)",B1068&lt;=9,"Morning peak (6-9)",B1068&lt;=15,"Midday (10-15)",B1068&lt;=19,"Evening peak (16-19)",TRUE,"Late evening (20-23)")</f>
        <v>Midday (10-15)</v>
      </c>
    </row>
    <row r="1069" spans="1:9">
      <c r="A1069" s="32">
        <v>41774</v>
      </c>
      <c r="B1069">
        <v>11</v>
      </c>
      <c r="C1069">
        <v>992</v>
      </c>
      <c r="D1069" t="s">
        <v>303</v>
      </c>
      <c r="E1069">
        <f>YEAR(A1069)</f>
        <v>2014</v>
      </c>
      <c r="F1069" s="33">
        <f>DATE(YEAR(A1069),MONTH(A1069),1)</f>
        <v>41760.0</v>
      </c>
      <c r="G1069" t="str">
        <f>CHOOSE(WEEKDAY(A1069,2),"Mon","Tue","Wed","Thu","Fri","Sat","Sun")</f>
        <v>Thu</v>
      </c>
      <c r="H1069" t="str">
        <f>IF(WEEKDAY(A1069,2)&gt;5,"Weekend","Weekday")</f>
        <v>Weekday</v>
      </c>
      <c r="I1069" t="str">
        <f>_xlfn.IFS(B1069&lt;=5,"Night (0-5)",B1069&lt;=9,"Morning peak (6-9)",B1069&lt;=15,"Midday (10-15)",B1069&lt;=19,"Evening peak (16-19)",TRUE,"Late evening (20-23)")</f>
        <v>Midday (10-15)</v>
      </c>
    </row>
    <row r="1070" spans="1:9">
      <c r="A1070" s="32">
        <v>41774</v>
      </c>
      <c r="B1070">
        <v>12</v>
      </c>
      <c r="C1070">
        <v>977</v>
      </c>
      <c r="D1070" t="s">
        <v>303</v>
      </c>
      <c r="E1070">
        <f>YEAR(A1070)</f>
        <v>2014</v>
      </c>
      <c r="F1070" s="33">
        <f>DATE(YEAR(A1070),MONTH(A1070),1)</f>
        <v>41760.0</v>
      </c>
      <c r="G1070" t="str">
        <f>CHOOSE(WEEKDAY(A1070,2),"Mon","Tue","Wed","Thu","Fri","Sat","Sun")</f>
        <v>Thu</v>
      </c>
      <c r="H1070" t="str">
        <f>IF(WEEKDAY(A1070,2)&gt;5,"Weekend","Weekday")</f>
        <v>Weekday</v>
      </c>
      <c r="I1070" t="str">
        <f>_xlfn.IFS(B1070&lt;=5,"Night (0-5)",B1070&lt;=9,"Morning peak (6-9)",B1070&lt;=15,"Midday (10-15)",B1070&lt;=19,"Evening peak (16-19)",TRUE,"Late evening (20-23)")</f>
        <v>Midday (10-15)</v>
      </c>
    </row>
    <row r="1071" spans="1:9">
      <c r="A1071" s="32">
        <v>41774</v>
      </c>
      <c r="B1071">
        <v>13</v>
      </c>
      <c r="C1071">
        <v>1120</v>
      </c>
      <c r="D1071" t="s">
        <v>303</v>
      </c>
      <c r="E1071">
        <f>YEAR(A1071)</f>
        <v>2014</v>
      </c>
      <c r="F1071" s="33">
        <f>DATE(YEAR(A1071),MONTH(A1071),1)</f>
        <v>41760.0</v>
      </c>
      <c r="G1071" t="str">
        <f>CHOOSE(WEEKDAY(A1071,2),"Mon","Tue","Wed","Thu","Fri","Sat","Sun")</f>
        <v>Thu</v>
      </c>
      <c r="H1071" t="str">
        <f>IF(WEEKDAY(A1071,2)&gt;5,"Weekend","Weekday")</f>
        <v>Weekday</v>
      </c>
      <c r="I1071" t="str">
        <f>_xlfn.IFS(B1071&lt;=5,"Night (0-5)",B1071&lt;=9,"Morning peak (6-9)",B1071&lt;=15,"Midday (10-15)",B1071&lt;=19,"Evening peak (16-19)",TRUE,"Late evening (20-23)")</f>
        <v>Midday (10-15)</v>
      </c>
    </row>
    <row r="1072" spans="1:9">
      <c r="A1072" s="32">
        <v>41774</v>
      </c>
      <c r="B1072">
        <v>14</v>
      </c>
      <c r="C1072">
        <v>1386</v>
      </c>
      <c r="D1072" t="s">
        <v>303</v>
      </c>
      <c r="E1072">
        <f>YEAR(A1072)</f>
        <v>2014</v>
      </c>
      <c r="F1072" s="33">
        <f>DATE(YEAR(A1072),MONTH(A1072),1)</f>
        <v>41760.0</v>
      </c>
      <c r="G1072" t="str">
        <f>CHOOSE(WEEKDAY(A1072,2),"Mon","Tue","Wed","Thu","Fri","Sat","Sun")</f>
        <v>Thu</v>
      </c>
      <c r="H1072" t="str">
        <f>IF(WEEKDAY(A1072,2)&gt;5,"Weekend","Weekday")</f>
        <v>Weekday</v>
      </c>
      <c r="I1072" t="str">
        <f>_xlfn.IFS(B1072&lt;=5,"Night (0-5)",B1072&lt;=9,"Morning peak (6-9)",B1072&lt;=15,"Midday (10-15)",B1072&lt;=19,"Evening peak (16-19)",TRUE,"Late evening (20-23)")</f>
        <v>Midday (10-15)</v>
      </c>
    </row>
    <row r="1073" spans="1:9">
      <c r="A1073" s="32">
        <v>41774</v>
      </c>
      <c r="B1073">
        <v>15</v>
      </c>
      <c r="C1073">
        <v>1602</v>
      </c>
      <c r="D1073" t="s">
        <v>303</v>
      </c>
      <c r="E1073">
        <f>YEAR(A1073)</f>
        <v>2014</v>
      </c>
      <c r="F1073" s="33">
        <f>DATE(YEAR(A1073),MONTH(A1073),1)</f>
        <v>41760.0</v>
      </c>
      <c r="G1073" t="str">
        <f>CHOOSE(WEEKDAY(A1073,2),"Mon","Tue","Wed","Thu","Fri","Sat","Sun")</f>
        <v>Thu</v>
      </c>
      <c r="H1073" t="str">
        <f>IF(WEEKDAY(A1073,2)&gt;5,"Weekend","Weekday")</f>
        <v>Weekday</v>
      </c>
      <c r="I1073" t="str">
        <f>_xlfn.IFS(B1073&lt;=5,"Night (0-5)",B1073&lt;=9,"Morning peak (6-9)",B1073&lt;=15,"Midday (10-15)",B1073&lt;=19,"Evening peak (16-19)",TRUE,"Late evening (20-23)")</f>
        <v>Midday (10-15)</v>
      </c>
    </row>
    <row r="1074" spans="1:9">
      <c r="A1074" s="32">
        <v>41774</v>
      </c>
      <c r="B1074">
        <v>16</v>
      </c>
      <c r="C1074">
        <v>1868</v>
      </c>
      <c r="D1074" t="s">
        <v>303</v>
      </c>
      <c r="E1074">
        <f>YEAR(A1074)</f>
        <v>2014</v>
      </c>
      <c r="F1074" s="33">
        <f>DATE(YEAR(A1074),MONTH(A1074),1)</f>
        <v>41760.0</v>
      </c>
      <c r="G1074" t="str">
        <f>CHOOSE(WEEKDAY(A1074,2),"Mon","Tue","Wed","Thu","Fri","Sat","Sun")</f>
        <v>Thu</v>
      </c>
      <c r="H1074" t="str">
        <f>IF(WEEKDAY(A1074,2)&gt;5,"Weekend","Weekday")</f>
        <v>Weekday</v>
      </c>
      <c r="I1074" t="str">
        <f>_xlfn.IFS(B1074&lt;=5,"Night (0-5)",B1074&lt;=9,"Morning peak (6-9)",B1074&lt;=15,"Midday (10-15)",B1074&lt;=19,"Evening peak (16-19)",TRUE,"Late evening (20-23)")</f>
        <v>Evening peak (16-19)</v>
      </c>
    </row>
    <row r="1075" spans="1:9">
      <c r="A1075" s="32">
        <v>41774</v>
      </c>
      <c r="B1075">
        <v>17</v>
      </c>
      <c r="C1075">
        <v>2201</v>
      </c>
      <c r="D1075" t="s">
        <v>303</v>
      </c>
      <c r="E1075">
        <f>YEAR(A1075)</f>
        <v>2014</v>
      </c>
      <c r="F1075" s="33">
        <f>DATE(YEAR(A1075),MONTH(A1075),1)</f>
        <v>41760.0</v>
      </c>
      <c r="G1075" t="str">
        <f>CHOOSE(WEEKDAY(A1075,2),"Mon","Tue","Wed","Thu","Fri","Sat","Sun")</f>
        <v>Thu</v>
      </c>
      <c r="H1075" t="str">
        <f>IF(WEEKDAY(A1075,2)&gt;5,"Weekend","Weekday")</f>
        <v>Weekday</v>
      </c>
      <c r="I1075" t="str">
        <f>_xlfn.IFS(B1075&lt;=5,"Night (0-5)",B1075&lt;=9,"Morning peak (6-9)",B1075&lt;=15,"Midday (10-15)",B1075&lt;=19,"Evening peak (16-19)",TRUE,"Late evening (20-23)")</f>
        <v>Evening peak (16-19)</v>
      </c>
    </row>
    <row r="1076" spans="1:9">
      <c r="A1076" s="32">
        <v>41774</v>
      </c>
      <c r="B1076">
        <v>18</v>
      </c>
      <c r="C1076">
        <v>2014</v>
      </c>
      <c r="D1076" t="s">
        <v>303</v>
      </c>
      <c r="E1076">
        <f>YEAR(A1076)</f>
        <v>2014</v>
      </c>
      <c r="F1076" s="33">
        <f>DATE(YEAR(A1076),MONTH(A1076),1)</f>
        <v>41760.0</v>
      </c>
      <c r="G1076" t="str">
        <f>CHOOSE(WEEKDAY(A1076,2),"Mon","Tue","Wed","Thu","Fri","Sat","Sun")</f>
        <v>Thu</v>
      </c>
      <c r="H1076" t="str">
        <f>IF(WEEKDAY(A1076,2)&gt;5,"Weekend","Weekday")</f>
        <v>Weekday</v>
      </c>
      <c r="I1076" t="str">
        <f>_xlfn.IFS(B1076&lt;=5,"Night (0-5)",B1076&lt;=9,"Morning peak (6-9)",B1076&lt;=15,"Midday (10-15)",B1076&lt;=19,"Evening peak (16-19)",TRUE,"Late evening (20-23)")</f>
        <v>Evening peak (16-19)</v>
      </c>
    </row>
    <row r="1077" spans="1:9">
      <c r="A1077" s="32">
        <v>41774</v>
      </c>
      <c r="B1077">
        <v>19</v>
      </c>
      <c r="C1077">
        <v>1738</v>
      </c>
      <c r="D1077" t="s">
        <v>303</v>
      </c>
      <c r="E1077">
        <f>YEAR(A1077)</f>
        <v>2014</v>
      </c>
      <c r="F1077" s="33">
        <f>DATE(YEAR(A1077),MONTH(A1077),1)</f>
        <v>41760.0</v>
      </c>
      <c r="G1077" t="str">
        <f>CHOOSE(WEEKDAY(A1077,2),"Mon","Tue","Wed","Thu","Fri","Sat","Sun")</f>
        <v>Thu</v>
      </c>
      <c r="H1077" t="str">
        <f>IF(WEEKDAY(A1077,2)&gt;5,"Weekend","Weekday")</f>
        <v>Weekday</v>
      </c>
      <c r="I1077" t="str">
        <f>_xlfn.IFS(B1077&lt;=5,"Night (0-5)",B1077&lt;=9,"Morning peak (6-9)",B1077&lt;=15,"Midday (10-15)",B1077&lt;=19,"Evening peak (16-19)",TRUE,"Late evening (20-23)")</f>
        <v>Evening peak (16-19)</v>
      </c>
    </row>
    <row r="1078" spans="1:9">
      <c r="A1078" s="32">
        <v>41774</v>
      </c>
      <c r="B1078">
        <v>20</v>
      </c>
      <c r="C1078">
        <v>1788</v>
      </c>
      <c r="D1078" t="s">
        <v>303</v>
      </c>
      <c r="E1078">
        <f>YEAR(A1078)</f>
        <v>2014</v>
      </c>
      <c r="F1078" s="33">
        <f>DATE(YEAR(A1078),MONTH(A1078),1)</f>
        <v>41760.0</v>
      </c>
      <c r="G1078" t="str">
        <f>CHOOSE(WEEKDAY(A1078,2),"Mon","Tue","Wed","Thu","Fri","Sat","Sun")</f>
        <v>Thu</v>
      </c>
      <c r="H1078" t="str">
        <f>IF(WEEKDAY(A1078,2)&gt;5,"Weekend","Weekday")</f>
        <v>Weekday</v>
      </c>
      <c r="I1078" t="str">
        <f>_xlfn.IFS(B1078&lt;=5,"Night (0-5)",B1078&lt;=9,"Morning peak (6-9)",B1078&lt;=15,"Midday (10-15)",B1078&lt;=19,"Evening peak (16-19)",TRUE,"Late evening (20-23)")</f>
        <v>Late evening (20-23)</v>
      </c>
    </row>
    <row r="1079" spans="1:9">
      <c r="A1079" s="32">
        <v>41774</v>
      </c>
      <c r="B1079">
        <v>21</v>
      </c>
      <c r="C1079">
        <v>1774</v>
      </c>
      <c r="D1079" t="s">
        <v>303</v>
      </c>
      <c r="E1079">
        <f>YEAR(A1079)</f>
        <v>2014</v>
      </c>
      <c r="F1079" s="33">
        <f>DATE(YEAR(A1079),MONTH(A1079),1)</f>
        <v>41760.0</v>
      </c>
      <c r="G1079" t="str">
        <f>CHOOSE(WEEKDAY(A1079,2),"Mon","Tue","Wed","Thu","Fri","Sat","Sun")</f>
        <v>Thu</v>
      </c>
      <c r="H1079" t="str">
        <f>IF(WEEKDAY(A1079,2)&gt;5,"Weekend","Weekday")</f>
        <v>Weekday</v>
      </c>
      <c r="I1079" t="str">
        <f>_xlfn.IFS(B1079&lt;=5,"Night (0-5)",B1079&lt;=9,"Morning peak (6-9)",B1079&lt;=15,"Midday (10-15)",B1079&lt;=19,"Evening peak (16-19)",TRUE,"Late evening (20-23)")</f>
        <v>Late evening (20-23)</v>
      </c>
    </row>
    <row r="1080" spans="1:9">
      <c r="A1080" s="32">
        <v>41774</v>
      </c>
      <c r="B1080">
        <v>22</v>
      </c>
      <c r="C1080">
        <v>1364</v>
      </c>
      <c r="D1080" t="s">
        <v>303</v>
      </c>
      <c r="E1080">
        <f>YEAR(A1080)</f>
        <v>2014</v>
      </c>
      <c r="F1080" s="33">
        <f>DATE(YEAR(A1080),MONTH(A1080),1)</f>
        <v>41760.0</v>
      </c>
      <c r="G1080" t="str">
        <f>CHOOSE(WEEKDAY(A1080,2),"Mon","Tue","Wed","Thu","Fri","Sat","Sun")</f>
        <v>Thu</v>
      </c>
      <c r="H1080" t="str">
        <f>IF(WEEKDAY(A1080,2)&gt;5,"Weekend","Weekday")</f>
        <v>Weekday</v>
      </c>
      <c r="I1080" t="str">
        <f>_xlfn.IFS(B1080&lt;=5,"Night (0-5)",B1080&lt;=9,"Morning peak (6-9)",B1080&lt;=15,"Midday (10-15)",B1080&lt;=19,"Evening peak (16-19)",TRUE,"Late evening (20-23)")</f>
        <v>Late evening (20-23)</v>
      </c>
    </row>
    <row r="1081" spans="1:9">
      <c r="A1081" s="32">
        <v>41774</v>
      </c>
      <c r="B1081">
        <v>23</v>
      </c>
      <c r="C1081">
        <v>763</v>
      </c>
      <c r="D1081" t="s">
        <v>303</v>
      </c>
      <c r="E1081">
        <f>YEAR(A1081)</f>
        <v>2014</v>
      </c>
      <c r="F1081" s="33">
        <f>DATE(YEAR(A1081),MONTH(A1081),1)</f>
        <v>41760.0</v>
      </c>
      <c r="G1081" t="str">
        <f>CHOOSE(WEEKDAY(A1081,2),"Mon","Tue","Wed","Thu","Fri","Sat","Sun")</f>
        <v>Thu</v>
      </c>
      <c r="H1081" t="str">
        <f>IF(WEEKDAY(A1081,2)&gt;5,"Weekend","Weekday")</f>
        <v>Weekday</v>
      </c>
      <c r="I1081" t="str">
        <f>_xlfn.IFS(B1081&lt;=5,"Night (0-5)",B1081&lt;=9,"Morning peak (6-9)",B1081&lt;=15,"Midday (10-15)",B1081&lt;=19,"Evening peak (16-19)",TRUE,"Late evening (20-23)")</f>
        <v>Late evening (20-23)</v>
      </c>
    </row>
    <row r="1082" spans="1:9">
      <c r="A1082" s="32">
        <v>41775</v>
      </c>
      <c r="B1082">
        <v>0</v>
      </c>
      <c r="C1082">
        <v>416</v>
      </c>
      <c r="D1082" t="s">
        <v>303</v>
      </c>
      <c r="E1082">
        <f>YEAR(A1082)</f>
        <v>2014</v>
      </c>
      <c r="F1082" s="33">
        <f>DATE(YEAR(A1082),MONTH(A1082),1)</f>
        <v>41760.0</v>
      </c>
      <c r="G1082" t="str">
        <f>CHOOSE(WEEKDAY(A1082,2),"Mon","Tue","Wed","Thu","Fri","Sat","Sun")</f>
        <v>Fri</v>
      </c>
      <c r="H1082" t="str">
        <f>IF(WEEKDAY(A1082,2)&gt;5,"Weekend","Weekday")</f>
        <v>Weekday</v>
      </c>
      <c r="I1082" t="str">
        <f>_xlfn.IFS(B1082&lt;=5,"Night (0-5)",B1082&lt;=9,"Morning peak (6-9)",B1082&lt;=15,"Midday (10-15)",B1082&lt;=19,"Evening peak (16-19)",TRUE,"Late evening (20-23)")</f>
        <v>Night (0-5)</v>
      </c>
    </row>
    <row r="1083" spans="1:9">
      <c r="A1083" s="32">
        <v>41775</v>
      </c>
      <c r="B1083">
        <v>1</v>
      </c>
      <c r="C1083">
        <v>235</v>
      </c>
      <c r="D1083" t="s">
        <v>303</v>
      </c>
      <c r="E1083">
        <f>YEAR(A1083)</f>
        <v>2014</v>
      </c>
      <c r="F1083" s="33">
        <f>DATE(YEAR(A1083),MONTH(A1083),1)</f>
        <v>41760.0</v>
      </c>
      <c r="G1083" t="str">
        <f>CHOOSE(WEEKDAY(A1083,2),"Mon","Tue","Wed","Thu","Fri","Sat","Sun")</f>
        <v>Fri</v>
      </c>
      <c r="H1083" t="str">
        <f>IF(WEEKDAY(A1083,2)&gt;5,"Weekend","Weekday")</f>
        <v>Weekday</v>
      </c>
      <c r="I1083" t="str">
        <f>_xlfn.IFS(B1083&lt;=5,"Night (0-5)",B1083&lt;=9,"Morning peak (6-9)",B1083&lt;=15,"Midday (10-15)",B1083&lt;=19,"Evening peak (16-19)",TRUE,"Late evening (20-23)")</f>
        <v>Night (0-5)</v>
      </c>
    </row>
    <row r="1084" spans="1:9">
      <c r="A1084" s="32">
        <v>41775</v>
      </c>
      <c r="B1084">
        <v>2</v>
      </c>
      <c r="C1084">
        <v>158</v>
      </c>
      <c r="D1084" t="s">
        <v>303</v>
      </c>
      <c r="E1084">
        <f>YEAR(A1084)</f>
        <v>2014</v>
      </c>
      <c r="F1084" s="33">
        <f>DATE(YEAR(A1084),MONTH(A1084),1)</f>
        <v>41760.0</v>
      </c>
      <c r="G1084" t="str">
        <f>CHOOSE(WEEKDAY(A1084,2),"Mon","Tue","Wed","Thu","Fri","Sat","Sun")</f>
        <v>Fri</v>
      </c>
      <c r="H1084" t="str">
        <f>IF(WEEKDAY(A1084,2)&gt;5,"Weekend","Weekday")</f>
        <v>Weekday</v>
      </c>
      <c r="I1084" t="str">
        <f>_xlfn.IFS(B1084&lt;=5,"Night (0-5)",B1084&lt;=9,"Morning peak (6-9)",B1084&lt;=15,"Midday (10-15)",B1084&lt;=19,"Evening peak (16-19)",TRUE,"Late evening (20-23)")</f>
        <v>Night (0-5)</v>
      </c>
    </row>
    <row r="1085" spans="1:9">
      <c r="A1085" s="32">
        <v>41775</v>
      </c>
      <c r="B1085">
        <v>3</v>
      </c>
      <c r="C1085">
        <v>207</v>
      </c>
      <c r="D1085" t="s">
        <v>303</v>
      </c>
      <c r="E1085">
        <f>YEAR(A1085)</f>
        <v>2014</v>
      </c>
      <c r="F1085" s="33">
        <f>DATE(YEAR(A1085),MONTH(A1085),1)</f>
        <v>41760.0</v>
      </c>
      <c r="G1085" t="str">
        <f>CHOOSE(WEEKDAY(A1085,2),"Mon","Tue","Wed","Thu","Fri","Sat","Sun")</f>
        <v>Fri</v>
      </c>
      <c r="H1085" t="str">
        <f>IF(WEEKDAY(A1085,2)&gt;5,"Weekend","Weekday")</f>
        <v>Weekday</v>
      </c>
      <c r="I1085" t="str">
        <f>_xlfn.IFS(B1085&lt;=5,"Night (0-5)",B1085&lt;=9,"Morning peak (6-9)",B1085&lt;=15,"Midday (10-15)",B1085&lt;=19,"Evening peak (16-19)",TRUE,"Late evening (20-23)")</f>
        <v>Night (0-5)</v>
      </c>
    </row>
    <row r="1086" spans="1:9">
      <c r="A1086" s="32">
        <v>41775</v>
      </c>
      <c r="B1086">
        <v>4</v>
      </c>
      <c r="C1086">
        <v>271</v>
      </c>
      <c r="D1086" t="s">
        <v>303</v>
      </c>
      <c r="E1086">
        <f>YEAR(A1086)</f>
        <v>2014</v>
      </c>
      <c r="F1086" s="33">
        <f>DATE(YEAR(A1086),MONTH(A1086),1)</f>
        <v>41760.0</v>
      </c>
      <c r="G1086" t="str">
        <f>CHOOSE(WEEKDAY(A1086,2),"Mon","Tue","Wed","Thu","Fri","Sat","Sun")</f>
        <v>Fri</v>
      </c>
      <c r="H1086" t="str">
        <f>IF(WEEKDAY(A1086,2)&gt;5,"Weekend","Weekday")</f>
        <v>Weekday</v>
      </c>
      <c r="I1086" t="str">
        <f>_xlfn.IFS(B1086&lt;=5,"Night (0-5)",B1086&lt;=9,"Morning peak (6-9)",B1086&lt;=15,"Midday (10-15)",B1086&lt;=19,"Evening peak (16-19)",TRUE,"Late evening (20-23)")</f>
        <v>Night (0-5)</v>
      </c>
    </row>
    <row r="1087" spans="1:9">
      <c r="A1087" s="32">
        <v>41775</v>
      </c>
      <c r="B1087">
        <v>5</v>
      </c>
      <c r="C1087">
        <v>435</v>
      </c>
      <c r="D1087" t="s">
        <v>303</v>
      </c>
      <c r="E1087">
        <f>YEAR(A1087)</f>
        <v>2014</v>
      </c>
      <c r="F1087" s="33">
        <f>DATE(YEAR(A1087),MONTH(A1087),1)</f>
        <v>41760.0</v>
      </c>
      <c r="G1087" t="str">
        <f>CHOOSE(WEEKDAY(A1087,2),"Mon","Tue","Wed","Thu","Fri","Sat","Sun")</f>
        <v>Fri</v>
      </c>
      <c r="H1087" t="str">
        <f>IF(WEEKDAY(A1087,2)&gt;5,"Weekend","Weekday")</f>
        <v>Weekday</v>
      </c>
      <c r="I1087" t="str">
        <f>_xlfn.IFS(B1087&lt;=5,"Night (0-5)",B1087&lt;=9,"Morning peak (6-9)",B1087&lt;=15,"Midday (10-15)",B1087&lt;=19,"Evening peak (16-19)",TRUE,"Late evening (20-23)")</f>
        <v>Night (0-5)</v>
      </c>
    </row>
    <row r="1088" spans="1:9">
      <c r="A1088" s="32">
        <v>41775</v>
      </c>
      <c r="B1088">
        <v>6</v>
      </c>
      <c r="C1088">
        <v>961</v>
      </c>
      <c r="D1088" t="s">
        <v>303</v>
      </c>
      <c r="E1088">
        <f>YEAR(A1088)</f>
        <v>2014</v>
      </c>
      <c r="F1088" s="33">
        <f>DATE(YEAR(A1088),MONTH(A1088),1)</f>
        <v>41760.0</v>
      </c>
      <c r="G1088" t="str">
        <f>CHOOSE(WEEKDAY(A1088,2),"Mon","Tue","Wed","Thu","Fri","Sat","Sun")</f>
        <v>Fri</v>
      </c>
      <c r="H1088" t="str">
        <f>IF(WEEKDAY(A1088,2)&gt;5,"Weekend","Weekday")</f>
        <v>Weekday</v>
      </c>
      <c r="I1088" t="str">
        <f>_xlfn.IFS(B1088&lt;=5,"Night (0-5)",B1088&lt;=9,"Morning peak (6-9)",B1088&lt;=15,"Midday (10-15)",B1088&lt;=19,"Evening peak (16-19)",TRUE,"Late evening (20-23)")</f>
        <v>Morning peak (6-9)</v>
      </c>
    </row>
    <row r="1089" spans="1:9">
      <c r="A1089" s="32">
        <v>41775</v>
      </c>
      <c r="B1089">
        <v>7</v>
      </c>
      <c r="C1089">
        <v>1214</v>
      </c>
      <c r="D1089" t="s">
        <v>303</v>
      </c>
      <c r="E1089">
        <f>YEAR(A1089)</f>
        <v>2014</v>
      </c>
      <c r="F1089" s="33">
        <f>DATE(YEAR(A1089),MONTH(A1089),1)</f>
        <v>41760.0</v>
      </c>
      <c r="G1089" t="str">
        <f>CHOOSE(WEEKDAY(A1089,2),"Mon","Tue","Wed","Thu","Fri","Sat","Sun")</f>
        <v>Fri</v>
      </c>
      <c r="H1089" t="str">
        <f>IF(WEEKDAY(A1089,2)&gt;5,"Weekend","Weekday")</f>
        <v>Weekday</v>
      </c>
      <c r="I1089" t="str">
        <f>_xlfn.IFS(B1089&lt;=5,"Night (0-5)",B1089&lt;=9,"Morning peak (6-9)",B1089&lt;=15,"Midday (10-15)",B1089&lt;=19,"Evening peak (16-19)",TRUE,"Late evening (20-23)")</f>
        <v>Morning peak (6-9)</v>
      </c>
    </row>
    <row r="1090" spans="1:9">
      <c r="A1090" s="32">
        <v>41775</v>
      </c>
      <c r="B1090">
        <v>8</v>
      </c>
      <c r="C1090">
        <v>1086</v>
      </c>
      <c r="D1090" t="s">
        <v>303</v>
      </c>
      <c r="E1090">
        <f>YEAR(A1090)</f>
        <v>2014</v>
      </c>
      <c r="F1090" s="33">
        <f>DATE(YEAR(A1090),MONTH(A1090),1)</f>
        <v>41760.0</v>
      </c>
      <c r="G1090" t="str">
        <f>CHOOSE(WEEKDAY(A1090,2),"Mon","Tue","Wed","Thu","Fri","Sat","Sun")</f>
        <v>Fri</v>
      </c>
      <c r="H1090" t="str">
        <f>IF(WEEKDAY(A1090,2)&gt;5,"Weekend","Weekday")</f>
        <v>Weekday</v>
      </c>
      <c r="I1090" t="str">
        <f>_xlfn.IFS(B1090&lt;=5,"Night (0-5)",B1090&lt;=9,"Morning peak (6-9)",B1090&lt;=15,"Midday (10-15)",B1090&lt;=19,"Evening peak (16-19)",TRUE,"Late evening (20-23)")</f>
        <v>Morning peak (6-9)</v>
      </c>
    </row>
    <row r="1091" spans="1:9">
      <c r="A1091" s="32">
        <v>41775</v>
      </c>
      <c r="B1091">
        <v>9</v>
      </c>
      <c r="C1091">
        <v>852</v>
      </c>
      <c r="D1091" t="s">
        <v>303</v>
      </c>
      <c r="E1091">
        <f>YEAR(A1091)</f>
        <v>2014</v>
      </c>
      <c r="F1091" s="33">
        <f>DATE(YEAR(A1091),MONTH(A1091),1)</f>
        <v>41760.0</v>
      </c>
      <c r="G1091" t="str">
        <f>CHOOSE(WEEKDAY(A1091,2),"Mon","Tue","Wed","Thu","Fri","Sat","Sun")</f>
        <v>Fri</v>
      </c>
      <c r="H1091" t="str">
        <f>IF(WEEKDAY(A1091,2)&gt;5,"Weekend","Weekday")</f>
        <v>Weekday</v>
      </c>
      <c r="I1091" t="str">
        <f>_xlfn.IFS(B1091&lt;=5,"Night (0-5)",B1091&lt;=9,"Morning peak (6-9)",B1091&lt;=15,"Midday (10-15)",B1091&lt;=19,"Evening peak (16-19)",TRUE,"Late evening (20-23)")</f>
        <v>Morning peak (6-9)</v>
      </c>
    </row>
    <row r="1092" spans="1:9">
      <c r="A1092" s="32">
        <v>41775</v>
      </c>
      <c r="B1092">
        <v>10</v>
      </c>
      <c r="C1092">
        <v>870</v>
      </c>
      <c r="D1092" t="s">
        <v>303</v>
      </c>
      <c r="E1092">
        <f>YEAR(A1092)</f>
        <v>2014</v>
      </c>
      <c r="F1092" s="33">
        <f>DATE(YEAR(A1092),MONTH(A1092),1)</f>
        <v>41760.0</v>
      </c>
      <c r="G1092" t="str">
        <f>CHOOSE(WEEKDAY(A1092,2),"Mon","Tue","Wed","Thu","Fri","Sat","Sun")</f>
        <v>Fri</v>
      </c>
      <c r="H1092" t="str">
        <f>IF(WEEKDAY(A1092,2)&gt;5,"Weekend","Weekday")</f>
        <v>Weekday</v>
      </c>
      <c r="I1092" t="str">
        <f>_xlfn.IFS(B1092&lt;=5,"Night (0-5)",B1092&lt;=9,"Morning peak (6-9)",B1092&lt;=15,"Midday (10-15)",B1092&lt;=19,"Evening peak (16-19)",TRUE,"Late evening (20-23)")</f>
        <v>Midday (10-15)</v>
      </c>
    </row>
    <row r="1093" spans="1:9">
      <c r="A1093" s="32">
        <v>41775</v>
      </c>
      <c r="B1093">
        <v>11</v>
      </c>
      <c r="C1093">
        <v>983</v>
      </c>
      <c r="D1093" t="s">
        <v>303</v>
      </c>
      <c r="E1093">
        <f>YEAR(A1093)</f>
        <v>2014</v>
      </c>
      <c r="F1093" s="33">
        <f>DATE(YEAR(A1093),MONTH(A1093),1)</f>
        <v>41760.0</v>
      </c>
      <c r="G1093" t="str">
        <f>CHOOSE(WEEKDAY(A1093,2),"Mon","Tue","Wed","Thu","Fri","Sat","Sun")</f>
        <v>Fri</v>
      </c>
      <c r="H1093" t="str">
        <f>IF(WEEKDAY(A1093,2)&gt;5,"Weekend","Weekday")</f>
        <v>Weekday</v>
      </c>
      <c r="I1093" t="str">
        <f>_xlfn.IFS(B1093&lt;=5,"Night (0-5)",B1093&lt;=9,"Morning peak (6-9)",B1093&lt;=15,"Midday (10-15)",B1093&lt;=19,"Evening peak (16-19)",TRUE,"Late evening (20-23)")</f>
        <v>Midday (10-15)</v>
      </c>
    </row>
    <row r="1094" spans="1:9">
      <c r="A1094" s="32">
        <v>41775</v>
      </c>
      <c r="B1094">
        <v>12</v>
      </c>
      <c r="C1094">
        <v>1172</v>
      </c>
      <c r="D1094" t="s">
        <v>303</v>
      </c>
      <c r="E1094">
        <f>YEAR(A1094)</f>
        <v>2014</v>
      </c>
      <c r="F1094" s="33">
        <f>DATE(YEAR(A1094),MONTH(A1094),1)</f>
        <v>41760.0</v>
      </c>
      <c r="G1094" t="str">
        <f>CHOOSE(WEEKDAY(A1094,2),"Mon","Tue","Wed","Thu","Fri","Sat","Sun")</f>
        <v>Fri</v>
      </c>
      <c r="H1094" t="str">
        <f>IF(WEEKDAY(A1094,2)&gt;5,"Weekend","Weekday")</f>
        <v>Weekday</v>
      </c>
      <c r="I1094" t="str">
        <f>_xlfn.IFS(B1094&lt;=5,"Night (0-5)",B1094&lt;=9,"Morning peak (6-9)",B1094&lt;=15,"Midday (10-15)",B1094&lt;=19,"Evening peak (16-19)",TRUE,"Late evening (20-23)")</f>
        <v>Midday (10-15)</v>
      </c>
    </row>
    <row r="1095" spans="1:9">
      <c r="A1095" s="32">
        <v>41775</v>
      </c>
      <c r="B1095">
        <v>13</v>
      </c>
      <c r="C1095">
        <v>1313</v>
      </c>
      <c r="D1095" t="s">
        <v>303</v>
      </c>
      <c r="E1095">
        <f>YEAR(A1095)</f>
        <v>2014</v>
      </c>
      <c r="F1095" s="33">
        <f>DATE(YEAR(A1095),MONTH(A1095),1)</f>
        <v>41760.0</v>
      </c>
      <c r="G1095" t="str">
        <f>CHOOSE(WEEKDAY(A1095,2),"Mon","Tue","Wed","Thu","Fri","Sat","Sun")</f>
        <v>Fri</v>
      </c>
      <c r="H1095" t="str">
        <f>IF(WEEKDAY(A1095,2)&gt;5,"Weekend","Weekday")</f>
        <v>Weekday</v>
      </c>
      <c r="I1095" t="str">
        <f>_xlfn.IFS(B1095&lt;=5,"Night (0-5)",B1095&lt;=9,"Morning peak (6-9)",B1095&lt;=15,"Midday (10-15)",B1095&lt;=19,"Evening peak (16-19)",TRUE,"Late evening (20-23)")</f>
        <v>Midday (10-15)</v>
      </c>
    </row>
    <row r="1096" spans="1:9">
      <c r="A1096" s="32">
        <v>41775</v>
      </c>
      <c r="B1096">
        <v>14</v>
      </c>
      <c r="C1096">
        <v>1635</v>
      </c>
      <c r="D1096" t="s">
        <v>303</v>
      </c>
      <c r="E1096">
        <f>YEAR(A1096)</f>
        <v>2014</v>
      </c>
      <c r="F1096" s="33">
        <f>DATE(YEAR(A1096),MONTH(A1096),1)</f>
        <v>41760.0</v>
      </c>
      <c r="G1096" t="str">
        <f>CHOOSE(WEEKDAY(A1096,2),"Mon","Tue","Wed","Thu","Fri","Sat","Sun")</f>
        <v>Fri</v>
      </c>
      <c r="H1096" t="str">
        <f>IF(WEEKDAY(A1096,2)&gt;5,"Weekend","Weekday")</f>
        <v>Weekday</v>
      </c>
      <c r="I1096" t="str">
        <f>_xlfn.IFS(B1096&lt;=5,"Night (0-5)",B1096&lt;=9,"Morning peak (6-9)",B1096&lt;=15,"Midday (10-15)",B1096&lt;=19,"Evening peak (16-19)",TRUE,"Late evening (20-23)")</f>
        <v>Midday (10-15)</v>
      </c>
    </row>
    <row r="1097" spans="1:9">
      <c r="A1097" s="32">
        <v>41775</v>
      </c>
      <c r="B1097">
        <v>15</v>
      </c>
      <c r="C1097">
        <v>1925</v>
      </c>
      <c r="D1097" t="s">
        <v>303</v>
      </c>
      <c r="E1097">
        <f>YEAR(A1097)</f>
        <v>2014</v>
      </c>
      <c r="F1097" s="33">
        <f>DATE(YEAR(A1097),MONTH(A1097),1)</f>
        <v>41760.0</v>
      </c>
      <c r="G1097" t="str">
        <f>CHOOSE(WEEKDAY(A1097,2),"Mon","Tue","Wed","Thu","Fri","Sat","Sun")</f>
        <v>Fri</v>
      </c>
      <c r="H1097" t="str">
        <f>IF(WEEKDAY(A1097,2)&gt;5,"Weekend","Weekday")</f>
        <v>Weekday</v>
      </c>
      <c r="I1097" t="str">
        <f>_xlfn.IFS(B1097&lt;=5,"Night (0-5)",B1097&lt;=9,"Morning peak (6-9)",B1097&lt;=15,"Midday (10-15)",B1097&lt;=19,"Evening peak (16-19)",TRUE,"Late evening (20-23)")</f>
        <v>Midday (10-15)</v>
      </c>
    </row>
    <row r="1098" spans="1:9">
      <c r="A1098" s="32">
        <v>41775</v>
      </c>
      <c r="B1098">
        <v>16</v>
      </c>
      <c r="C1098">
        <v>2042</v>
      </c>
      <c r="D1098" t="s">
        <v>303</v>
      </c>
      <c r="E1098">
        <f>YEAR(A1098)</f>
        <v>2014</v>
      </c>
      <c r="F1098" s="33">
        <f>DATE(YEAR(A1098),MONTH(A1098),1)</f>
        <v>41760.0</v>
      </c>
      <c r="G1098" t="str">
        <f>CHOOSE(WEEKDAY(A1098,2),"Mon","Tue","Wed","Thu","Fri","Sat","Sun")</f>
        <v>Fri</v>
      </c>
      <c r="H1098" t="str">
        <f>IF(WEEKDAY(A1098,2)&gt;5,"Weekend","Weekday")</f>
        <v>Weekday</v>
      </c>
      <c r="I1098" t="str">
        <f>_xlfn.IFS(B1098&lt;=5,"Night (0-5)",B1098&lt;=9,"Morning peak (6-9)",B1098&lt;=15,"Midday (10-15)",B1098&lt;=19,"Evening peak (16-19)",TRUE,"Late evening (20-23)")</f>
        <v>Evening peak (16-19)</v>
      </c>
    </row>
    <row r="1099" spans="1:9">
      <c r="A1099" s="32">
        <v>41775</v>
      </c>
      <c r="B1099">
        <v>17</v>
      </c>
      <c r="C1099">
        <v>2445</v>
      </c>
      <c r="D1099" t="s">
        <v>303</v>
      </c>
      <c r="E1099">
        <f>YEAR(A1099)</f>
        <v>2014</v>
      </c>
      <c r="F1099" s="33">
        <f>DATE(YEAR(A1099),MONTH(A1099),1)</f>
        <v>41760.0</v>
      </c>
      <c r="G1099" t="str">
        <f>CHOOSE(WEEKDAY(A1099,2),"Mon","Tue","Wed","Thu","Fri","Sat","Sun")</f>
        <v>Fri</v>
      </c>
      <c r="H1099" t="str">
        <f>IF(WEEKDAY(A1099,2)&gt;5,"Weekend","Weekday")</f>
        <v>Weekday</v>
      </c>
      <c r="I1099" t="str">
        <f>_xlfn.IFS(B1099&lt;=5,"Night (0-5)",B1099&lt;=9,"Morning peak (6-9)",B1099&lt;=15,"Midday (10-15)",B1099&lt;=19,"Evening peak (16-19)",TRUE,"Late evening (20-23)")</f>
        <v>Evening peak (16-19)</v>
      </c>
    </row>
    <row r="1100" spans="1:9">
      <c r="A1100" s="32">
        <v>41775</v>
      </c>
      <c r="B1100">
        <v>18</v>
      </c>
      <c r="C1100">
        <v>2454</v>
      </c>
      <c r="D1100" t="s">
        <v>303</v>
      </c>
      <c r="E1100">
        <f>YEAR(A1100)</f>
        <v>2014</v>
      </c>
      <c r="F1100" s="33">
        <f>DATE(YEAR(A1100),MONTH(A1100),1)</f>
        <v>41760.0</v>
      </c>
      <c r="G1100" t="str">
        <f>CHOOSE(WEEKDAY(A1100,2),"Mon","Tue","Wed","Thu","Fri","Sat","Sun")</f>
        <v>Fri</v>
      </c>
      <c r="H1100" t="str">
        <f>IF(WEEKDAY(A1100,2)&gt;5,"Weekend","Weekday")</f>
        <v>Weekday</v>
      </c>
      <c r="I1100" t="str">
        <f>_xlfn.IFS(B1100&lt;=5,"Night (0-5)",B1100&lt;=9,"Morning peak (6-9)",B1100&lt;=15,"Midday (10-15)",B1100&lt;=19,"Evening peak (16-19)",TRUE,"Late evening (20-23)")</f>
        <v>Evening peak (16-19)</v>
      </c>
    </row>
    <row r="1101" spans="1:9">
      <c r="A1101" s="32">
        <v>41775</v>
      </c>
      <c r="B1101">
        <v>19</v>
      </c>
      <c r="C1101">
        <v>3076</v>
      </c>
      <c r="D1101" t="s">
        <v>303</v>
      </c>
      <c r="E1101">
        <f>YEAR(A1101)</f>
        <v>2014</v>
      </c>
      <c r="F1101" s="33">
        <f>DATE(YEAR(A1101),MONTH(A1101),1)</f>
        <v>41760.0</v>
      </c>
      <c r="G1101" t="str">
        <f>CHOOSE(WEEKDAY(A1101,2),"Mon","Tue","Wed","Thu","Fri","Sat","Sun")</f>
        <v>Fri</v>
      </c>
      <c r="H1101" t="str">
        <f>IF(WEEKDAY(A1101,2)&gt;5,"Weekend","Weekday")</f>
        <v>Weekday</v>
      </c>
      <c r="I1101" t="str">
        <f>_xlfn.IFS(B1101&lt;=5,"Night (0-5)",B1101&lt;=9,"Morning peak (6-9)",B1101&lt;=15,"Midday (10-15)",B1101&lt;=19,"Evening peak (16-19)",TRUE,"Late evening (20-23)")</f>
        <v>Evening peak (16-19)</v>
      </c>
    </row>
    <row r="1102" spans="1:9">
      <c r="A1102" s="32">
        <v>41775</v>
      </c>
      <c r="B1102">
        <v>20</v>
      </c>
      <c r="C1102">
        <v>2335</v>
      </c>
      <c r="D1102" t="s">
        <v>303</v>
      </c>
      <c r="E1102">
        <f>YEAR(A1102)</f>
        <v>2014</v>
      </c>
      <c r="F1102" s="33">
        <f>DATE(YEAR(A1102),MONTH(A1102),1)</f>
        <v>41760.0</v>
      </c>
      <c r="G1102" t="str">
        <f>CHOOSE(WEEKDAY(A1102,2),"Mon","Tue","Wed","Thu","Fri","Sat","Sun")</f>
        <v>Fri</v>
      </c>
      <c r="H1102" t="str">
        <f>IF(WEEKDAY(A1102,2)&gt;5,"Weekend","Weekday")</f>
        <v>Weekday</v>
      </c>
      <c r="I1102" t="str">
        <f>_xlfn.IFS(B1102&lt;=5,"Night (0-5)",B1102&lt;=9,"Morning peak (6-9)",B1102&lt;=15,"Midday (10-15)",B1102&lt;=19,"Evening peak (16-19)",TRUE,"Late evening (20-23)")</f>
        <v>Late evening (20-23)</v>
      </c>
    </row>
    <row r="1103" spans="1:9">
      <c r="A1103" s="32">
        <v>41775</v>
      </c>
      <c r="B1103">
        <v>21</v>
      </c>
      <c r="C1103">
        <v>2907</v>
      </c>
      <c r="D1103" t="s">
        <v>303</v>
      </c>
      <c r="E1103">
        <f>YEAR(A1103)</f>
        <v>2014</v>
      </c>
      <c r="F1103" s="33">
        <f>DATE(YEAR(A1103),MONTH(A1103),1)</f>
        <v>41760.0</v>
      </c>
      <c r="G1103" t="str">
        <f>CHOOSE(WEEKDAY(A1103,2),"Mon","Tue","Wed","Thu","Fri","Sat","Sun")</f>
        <v>Fri</v>
      </c>
      <c r="H1103" t="str">
        <f>IF(WEEKDAY(A1103,2)&gt;5,"Weekend","Weekday")</f>
        <v>Weekday</v>
      </c>
      <c r="I1103" t="str">
        <f>_xlfn.IFS(B1103&lt;=5,"Night (0-5)",B1103&lt;=9,"Morning peak (6-9)",B1103&lt;=15,"Midday (10-15)",B1103&lt;=19,"Evening peak (16-19)",TRUE,"Late evening (20-23)")</f>
        <v>Late evening (20-23)</v>
      </c>
    </row>
    <row r="1104" spans="1:9">
      <c r="A1104" s="32">
        <v>41775</v>
      </c>
      <c r="B1104">
        <v>22</v>
      </c>
      <c r="C1104">
        <v>2175</v>
      </c>
      <c r="D1104" t="s">
        <v>303</v>
      </c>
      <c r="E1104">
        <f>YEAR(A1104)</f>
        <v>2014</v>
      </c>
      <c r="F1104" s="33">
        <f>DATE(YEAR(A1104),MONTH(A1104),1)</f>
        <v>41760.0</v>
      </c>
      <c r="G1104" t="str">
        <f>CHOOSE(WEEKDAY(A1104,2),"Mon","Tue","Wed","Thu","Fri","Sat","Sun")</f>
        <v>Fri</v>
      </c>
      <c r="H1104" t="str">
        <f>IF(WEEKDAY(A1104,2)&gt;5,"Weekend","Weekday")</f>
        <v>Weekday</v>
      </c>
      <c r="I1104" t="str">
        <f>_xlfn.IFS(B1104&lt;=5,"Night (0-5)",B1104&lt;=9,"Morning peak (6-9)",B1104&lt;=15,"Midday (10-15)",B1104&lt;=19,"Evening peak (16-19)",TRUE,"Late evening (20-23)")</f>
        <v>Late evening (20-23)</v>
      </c>
    </row>
    <row r="1105" spans="1:9">
      <c r="A1105" s="32">
        <v>41775</v>
      </c>
      <c r="B1105">
        <v>23</v>
      </c>
      <c r="C1105">
        <v>1326</v>
      </c>
      <c r="D1105" t="s">
        <v>303</v>
      </c>
      <c r="E1105">
        <f>YEAR(A1105)</f>
        <v>2014</v>
      </c>
      <c r="F1105" s="33">
        <f>DATE(YEAR(A1105),MONTH(A1105),1)</f>
        <v>41760.0</v>
      </c>
      <c r="G1105" t="str">
        <f>CHOOSE(WEEKDAY(A1105,2),"Mon","Tue","Wed","Thu","Fri","Sat","Sun")</f>
        <v>Fri</v>
      </c>
      <c r="H1105" t="str">
        <f>IF(WEEKDAY(A1105,2)&gt;5,"Weekend","Weekday")</f>
        <v>Weekday</v>
      </c>
      <c r="I1105" t="str">
        <f>_xlfn.IFS(B1105&lt;=5,"Night (0-5)",B1105&lt;=9,"Morning peak (6-9)",B1105&lt;=15,"Midday (10-15)",B1105&lt;=19,"Evening peak (16-19)",TRUE,"Late evening (20-23)")</f>
        <v>Late evening (20-23)</v>
      </c>
    </row>
    <row r="1106" spans="1:9">
      <c r="A1106" s="32">
        <v>41776</v>
      </c>
      <c r="B1106">
        <v>0</v>
      </c>
      <c r="C1106">
        <v>774</v>
      </c>
      <c r="D1106" t="s">
        <v>303</v>
      </c>
      <c r="E1106">
        <f>YEAR(A1106)</f>
        <v>2014</v>
      </c>
      <c r="F1106" s="33">
        <f>DATE(YEAR(A1106),MONTH(A1106),1)</f>
        <v>41760.0</v>
      </c>
      <c r="G1106" t="str">
        <f>CHOOSE(WEEKDAY(A1106,2),"Mon","Tue","Wed","Thu","Fri","Sat","Sun")</f>
        <v>Sat</v>
      </c>
      <c r="H1106" t="str">
        <f>IF(WEEKDAY(A1106,2)&gt;5,"Weekend","Weekday")</f>
        <v>Weekend</v>
      </c>
      <c r="I1106" t="str">
        <f>_xlfn.IFS(B1106&lt;=5,"Night (0-5)",B1106&lt;=9,"Morning peak (6-9)",B1106&lt;=15,"Midday (10-15)",B1106&lt;=19,"Evening peak (16-19)",TRUE,"Late evening (20-23)")</f>
        <v>Night (0-5)</v>
      </c>
    </row>
    <row r="1107" spans="1:9">
      <c r="A1107" s="32">
        <v>41776</v>
      </c>
      <c r="B1107">
        <v>1</v>
      </c>
      <c r="C1107">
        <v>423</v>
      </c>
      <c r="D1107" t="s">
        <v>303</v>
      </c>
      <c r="E1107">
        <f>YEAR(A1107)</f>
        <v>2014</v>
      </c>
      <c r="F1107" s="33">
        <f>DATE(YEAR(A1107),MONTH(A1107),1)</f>
        <v>41760.0</v>
      </c>
      <c r="G1107" t="str">
        <f>CHOOSE(WEEKDAY(A1107,2),"Mon","Tue","Wed","Thu","Fri","Sat","Sun")</f>
        <v>Sat</v>
      </c>
      <c r="H1107" t="str">
        <f>IF(WEEKDAY(A1107,2)&gt;5,"Weekend","Weekday")</f>
        <v>Weekend</v>
      </c>
      <c r="I1107" t="str">
        <f>_xlfn.IFS(B1107&lt;=5,"Night (0-5)",B1107&lt;=9,"Morning peak (6-9)",B1107&lt;=15,"Midday (10-15)",B1107&lt;=19,"Evening peak (16-19)",TRUE,"Late evening (20-23)")</f>
        <v>Night (0-5)</v>
      </c>
    </row>
    <row r="1108" spans="1:9">
      <c r="A1108" s="32">
        <v>41776</v>
      </c>
      <c r="B1108">
        <v>2</v>
      </c>
      <c r="C1108">
        <v>296</v>
      </c>
      <c r="D1108" t="s">
        <v>303</v>
      </c>
      <c r="E1108">
        <f>YEAR(A1108)</f>
        <v>2014</v>
      </c>
      <c r="F1108" s="33">
        <f>DATE(YEAR(A1108),MONTH(A1108),1)</f>
        <v>41760.0</v>
      </c>
      <c r="G1108" t="str">
        <f>CHOOSE(WEEKDAY(A1108,2),"Mon","Tue","Wed","Thu","Fri","Sat","Sun")</f>
        <v>Sat</v>
      </c>
      <c r="H1108" t="str">
        <f>IF(WEEKDAY(A1108,2)&gt;5,"Weekend","Weekday")</f>
        <v>Weekend</v>
      </c>
      <c r="I1108" t="str">
        <f>_xlfn.IFS(B1108&lt;=5,"Night (0-5)",B1108&lt;=9,"Morning peak (6-9)",B1108&lt;=15,"Midday (10-15)",B1108&lt;=19,"Evening peak (16-19)",TRUE,"Late evening (20-23)")</f>
        <v>Night (0-5)</v>
      </c>
    </row>
    <row r="1109" spans="1:9">
      <c r="A1109" s="32">
        <v>41776</v>
      </c>
      <c r="B1109">
        <v>3</v>
      </c>
      <c r="C1109">
        <v>239</v>
      </c>
      <c r="D1109" t="s">
        <v>303</v>
      </c>
      <c r="E1109">
        <f>YEAR(A1109)</f>
        <v>2014</v>
      </c>
      <c r="F1109" s="33">
        <f>DATE(YEAR(A1109),MONTH(A1109),1)</f>
        <v>41760.0</v>
      </c>
      <c r="G1109" t="str">
        <f>CHOOSE(WEEKDAY(A1109,2),"Mon","Tue","Wed","Thu","Fri","Sat","Sun")</f>
        <v>Sat</v>
      </c>
      <c r="H1109" t="str">
        <f>IF(WEEKDAY(A1109,2)&gt;5,"Weekend","Weekday")</f>
        <v>Weekend</v>
      </c>
      <c r="I1109" t="str">
        <f>_xlfn.IFS(B1109&lt;=5,"Night (0-5)",B1109&lt;=9,"Morning peak (6-9)",B1109&lt;=15,"Midday (10-15)",B1109&lt;=19,"Evening peak (16-19)",TRUE,"Late evening (20-23)")</f>
        <v>Night (0-5)</v>
      </c>
    </row>
    <row r="1110" spans="1:9">
      <c r="A1110" s="32">
        <v>41776</v>
      </c>
      <c r="B1110">
        <v>4</v>
      </c>
      <c r="C1110">
        <v>277</v>
      </c>
      <c r="D1110" t="s">
        <v>303</v>
      </c>
      <c r="E1110">
        <f>YEAR(A1110)</f>
        <v>2014</v>
      </c>
      <c r="F1110" s="33">
        <f>DATE(YEAR(A1110),MONTH(A1110),1)</f>
        <v>41760.0</v>
      </c>
      <c r="G1110" t="str">
        <f>CHOOSE(WEEKDAY(A1110,2),"Mon","Tue","Wed","Thu","Fri","Sat","Sun")</f>
        <v>Sat</v>
      </c>
      <c r="H1110" t="str">
        <f>IF(WEEKDAY(A1110,2)&gt;5,"Weekend","Weekday")</f>
        <v>Weekend</v>
      </c>
      <c r="I1110" t="str">
        <f>_xlfn.IFS(B1110&lt;=5,"Night (0-5)",B1110&lt;=9,"Morning peak (6-9)",B1110&lt;=15,"Midday (10-15)",B1110&lt;=19,"Evening peak (16-19)",TRUE,"Late evening (20-23)")</f>
        <v>Night (0-5)</v>
      </c>
    </row>
    <row r="1111" spans="1:9">
      <c r="A1111" s="32">
        <v>41776</v>
      </c>
      <c r="B1111">
        <v>5</v>
      </c>
      <c r="C1111">
        <v>241</v>
      </c>
      <c r="D1111" t="s">
        <v>303</v>
      </c>
      <c r="E1111">
        <f>YEAR(A1111)</f>
        <v>2014</v>
      </c>
      <c r="F1111" s="33">
        <f>DATE(YEAR(A1111),MONTH(A1111),1)</f>
        <v>41760.0</v>
      </c>
      <c r="G1111" t="str">
        <f>CHOOSE(WEEKDAY(A1111,2),"Mon","Tue","Wed","Thu","Fri","Sat","Sun")</f>
        <v>Sat</v>
      </c>
      <c r="H1111" t="str">
        <f>IF(WEEKDAY(A1111,2)&gt;5,"Weekend","Weekday")</f>
        <v>Weekend</v>
      </c>
      <c r="I1111" t="str">
        <f>_xlfn.IFS(B1111&lt;=5,"Night (0-5)",B1111&lt;=9,"Morning peak (6-9)",B1111&lt;=15,"Midday (10-15)",B1111&lt;=19,"Evening peak (16-19)",TRUE,"Late evening (20-23)")</f>
        <v>Night (0-5)</v>
      </c>
    </row>
    <row r="1112" spans="1:9">
      <c r="A1112" s="32">
        <v>41776</v>
      </c>
      <c r="B1112">
        <v>6</v>
      </c>
      <c r="C1112">
        <v>269</v>
      </c>
      <c r="D1112" t="s">
        <v>303</v>
      </c>
      <c r="E1112">
        <f>YEAR(A1112)</f>
        <v>2014</v>
      </c>
      <c r="F1112" s="33">
        <f>DATE(YEAR(A1112),MONTH(A1112),1)</f>
        <v>41760.0</v>
      </c>
      <c r="G1112" t="str">
        <f>CHOOSE(WEEKDAY(A1112,2),"Mon","Tue","Wed","Thu","Fri","Sat","Sun")</f>
        <v>Sat</v>
      </c>
      <c r="H1112" t="str">
        <f>IF(WEEKDAY(A1112,2)&gt;5,"Weekend","Weekday")</f>
        <v>Weekend</v>
      </c>
      <c r="I1112" t="str">
        <f>_xlfn.IFS(B1112&lt;=5,"Night (0-5)",B1112&lt;=9,"Morning peak (6-9)",B1112&lt;=15,"Midday (10-15)",B1112&lt;=19,"Evening peak (16-19)",TRUE,"Late evening (20-23)")</f>
        <v>Morning peak (6-9)</v>
      </c>
    </row>
    <row r="1113" spans="1:9">
      <c r="A1113" s="32">
        <v>41776</v>
      </c>
      <c r="B1113">
        <v>7</v>
      </c>
      <c r="C1113">
        <v>347</v>
      </c>
      <c r="D1113" t="s">
        <v>303</v>
      </c>
      <c r="E1113">
        <f>YEAR(A1113)</f>
        <v>2014</v>
      </c>
      <c r="F1113" s="33">
        <f>DATE(YEAR(A1113),MONTH(A1113),1)</f>
        <v>41760.0</v>
      </c>
      <c r="G1113" t="str">
        <f>CHOOSE(WEEKDAY(A1113,2),"Mon","Tue","Wed","Thu","Fri","Sat","Sun")</f>
        <v>Sat</v>
      </c>
      <c r="H1113" t="str">
        <f>IF(WEEKDAY(A1113,2)&gt;5,"Weekend","Weekday")</f>
        <v>Weekend</v>
      </c>
      <c r="I1113" t="str">
        <f>_xlfn.IFS(B1113&lt;=5,"Night (0-5)",B1113&lt;=9,"Morning peak (6-9)",B1113&lt;=15,"Midday (10-15)",B1113&lt;=19,"Evening peak (16-19)",TRUE,"Late evening (20-23)")</f>
        <v>Morning peak (6-9)</v>
      </c>
    </row>
    <row r="1114" spans="1:9">
      <c r="A1114" s="32">
        <v>41776</v>
      </c>
      <c r="B1114">
        <v>8</v>
      </c>
      <c r="C1114">
        <v>434</v>
      </c>
      <c r="D1114" t="s">
        <v>303</v>
      </c>
      <c r="E1114">
        <f>YEAR(A1114)</f>
        <v>2014</v>
      </c>
      <c r="F1114" s="33">
        <f>DATE(YEAR(A1114),MONTH(A1114),1)</f>
        <v>41760.0</v>
      </c>
      <c r="G1114" t="str">
        <f>CHOOSE(WEEKDAY(A1114,2),"Mon","Tue","Wed","Thu","Fri","Sat","Sun")</f>
        <v>Sat</v>
      </c>
      <c r="H1114" t="str">
        <f>IF(WEEKDAY(A1114,2)&gt;5,"Weekend","Weekday")</f>
        <v>Weekend</v>
      </c>
      <c r="I1114" t="str">
        <f>_xlfn.IFS(B1114&lt;=5,"Night (0-5)",B1114&lt;=9,"Morning peak (6-9)",B1114&lt;=15,"Midday (10-15)",B1114&lt;=19,"Evening peak (16-19)",TRUE,"Late evening (20-23)")</f>
        <v>Morning peak (6-9)</v>
      </c>
    </row>
    <row r="1115" spans="1:9">
      <c r="A1115" s="32">
        <v>41776</v>
      </c>
      <c r="B1115">
        <v>9</v>
      </c>
      <c r="C1115">
        <v>545</v>
      </c>
      <c r="D1115" t="s">
        <v>303</v>
      </c>
      <c r="E1115">
        <f>YEAR(A1115)</f>
        <v>2014</v>
      </c>
      <c r="F1115" s="33">
        <f>DATE(YEAR(A1115),MONTH(A1115),1)</f>
        <v>41760.0</v>
      </c>
      <c r="G1115" t="str">
        <f>CHOOSE(WEEKDAY(A1115,2),"Mon","Tue","Wed","Thu","Fri","Sat","Sun")</f>
        <v>Sat</v>
      </c>
      <c r="H1115" t="str">
        <f>IF(WEEKDAY(A1115,2)&gt;5,"Weekend","Weekday")</f>
        <v>Weekend</v>
      </c>
      <c r="I1115" t="str">
        <f>_xlfn.IFS(B1115&lt;=5,"Night (0-5)",B1115&lt;=9,"Morning peak (6-9)",B1115&lt;=15,"Midday (10-15)",B1115&lt;=19,"Evening peak (16-19)",TRUE,"Late evening (20-23)")</f>
        <v>Morning peak (6-9)</v>
      </c>
    </row>
    <row r="1116" spans="1:9">
      <c r="A1116" s="32">
        <v>41776</v>
      </c>
      <c r="B1116">
        <v>10</v>
      </c>
      <c r="C1116">
        <v>589</v>
      </c>
      <c r="D1116" t="s">
        <v>303</v>
      </c>
      <c r="E1116">
        <f>YEAR(A1116)</f>
        <v>2014</v>
      </c>
      <c r="F1116" s="33">
        <f>DATE(YEAR(A1116),MONTH(A1116),1)</f>
        <v>41760.0</v>
      </c>
      <c r="G1116" t="str">
        <f>CHOOSE(WEEKDAY(A1116,2),"Mon","Tue","Wed","Thu","Fri","Sat","Sun")</f>
        <v>Sat</v>
      </c>
      <c r="H1116" t="str">
        <f>IF(WEEKDAY(A1116,2)&gt;5,"Weekend","Weekday")</f>
        <v>Weekend</v>
      </c>
      <c r="I1116" t="str">
        <f>_xlfn.IFS(B1116&lt;=5,"Night (0-5)",B1116&lt;=9,"Morning peak (6-9)",B1116&lt;=15,"Midday (10-15)",B1116&lt;=19,"Evening peak (16-19)",TRUE,"Late evening (20-23)")</f>
        <v>Midday (10-15)</v>
      </c>
    </row>
    <row r="1117" spans="1:9">
      <c r="A1117" s="32">
        <v>41776</v>
      </c>
      <c r="B1117">
        <v>11</v>
      </c>
      <c r="C1117">
        <v>652</v>
      </c>
      <c r="D1117" t="s">
        <v>303</v>
      </c>
      <c r="E1117">
        <f>YEAR(A1117)</f>
        <v>2014</v>
      </c>
      <c r="F1117" s="33">
        <f>DATE(YEAR(A1117),MONTH(A1117),1)</f>
        <v>41760.0</v>
      </c>
      <c r="G1117" t="str">
        <f>CHOOSE(WEEKDAY(A1117,2),"Mon","Tue","Wed","Thu","Fri","Sat","Sun")</f>
        <v>Sat</v>
      </c>
      <c r="H1117" t="str">
        <f>IF(WEEKDAY(A1117,2)&gt;5,"Weekend","Weekday")</f>
        <v>Weekend</v>
      </c>
      <c r="I1117" t="str">
        <f>_xlfn.IFS(B1117&lt;=5,"Night (0-5)",B1117&lt;=9,"Morning peak (6-9)",B1117&lt;=15,"Midday (10-15)",B1117&lt;=19,"Evening peak (16-19)",TRUE,"Late evening (20-23)")</f>
        <v>Midday (10-15)</v>
      </c>
    </row>
    <row r="1118" spans="1:9">
      <c r="A1118" s="32">
        <v>41776</v>
      </c>
      <c r="B1118">
        <v>12</v>
      </c>
      <c r="C1118">
        <v>748</v>
      </c>
      <c r="D1118" t="s">
        <v>303</v>
      </c>
      <c r="E1118">
        <f>YEAR(A1118)</f>
        <v>2014</v>
      </c>
      <c r="F1118" s="33">
        <f>DATE(YEAR(A1118),MONTH(A1118),1)</f>
        <v>41760.0</v>
      </c>
      <c r="G1118" t="str">
        <f>CHOOSE(WEEKDAY(A1118,2),"Mon","Tue","Wed","Thu","Fri","Sat","Sun")</f>
        <v>Sat</v>
      </c>
      <c r="H1118" t="str">
        <f>IF(WEEKDAY(A1118,2)&gt;5,"Weekend","Weekday")</f>
        <v>Weekend</v>
      </c>
      <c r="I1118" t="str">
        <f>_xlfn.IFS(B1118&lt;=5,"Night (0-5)",B1118&lt;=9,"Morning peak (6-9)",B1118&lt;=15,"Midday (10-15)",B1118&lt;=19,"Evening peak (16-19)",TRUE,"Late evening (20-23)")</f>
        <v>Midday (10-15)</v>
      </c>
    </row>
    <row r="1119" spans="1:9">
      <c r="A1119" s="32">
        <v>41776</v>
      </c>
      <c r="B1119">
        <v>13</v>
      </c>
      <c r="C1119">
        <v>859</v>
      </c>
      <c r="D1119" t="s">
        <v>303</v>
      </c>
      <c r="E1119">
        <f>YEAR(A1119)</f>
        <v>2014</v>
      </c>
      <c r="F1119" s="33">
        <f>DATE(YEAR(A1119),MONTH(A1119),1)</f>
        <v>41760.0</v>
      </c>
      <c r="G1119" t="str">
        <f>CHOOSE(WEEKDAY(A1119,2),"Mon","Tue","Wed","Thu","Fri","Sat","Sun")</f>
        <v>Sat</v>
      </c>
      <c r="H1119" t="str">
        <f>IF(WEEKDAY(A1119,2)&gt;5,"Weekend","Weekday")</f>
        <v>Weekend</v>
      </c>
      <c r="I1119" t="str">
        <f>_xlfn.IFS(B1119&lt;=5,"Night (0-5)",B1119&lt;=9,"Morning peak (6-9)",B1119&lt;=15,"Midday (10-15)",B1119&lt;=19,"Evening peak (16-19)",TRUE,"Late evening (20-23)")</f>
        <v>Midday (10-15)</v>
      </c>
    </row>
    <row r="1120" spans="1:9">
      <c r="A1120" s="32">
        <v>41776</v>
      </c>
      <c r="B1120">
        <v>14</v>
      </c>
      <c r="C1120">
        <v>1015</v>
      </c>
      <c r="D1120" t="s">
        <v>303</v>
      </c>
      <c r="E1120">
        <f>YEAR(A1120)</f>
        <v>2014</v>
      </c>
      <c r="F1120" s="33">
        <f>DATE(YEAR(A1120),MONTH(A1120),1)</f>
        <v>41760.0</v>
      </c>
      <c r="G1120" t="str">
        <f>CHOOSE(WEEKDAY(A1120,2),"Mon","Tue","Wed","Thu","Fri","Sat","Sun")</f>
        <v>Sat</v>
      </c>
      <c r="H1120" t="str">
        <f>IF(WEEKDAY(A1120,2)&gt;5,"Weekend","Weekday")</f>
        <v>Weekend</v>
      </c>
      <c r="I1120" t="str">
        <f>_xlfn.IFS(B1120&lt;=5,"Night (0-5)",B1120&lt;=9,"Morning peak (6-9)",B1120&lt;=15,"Midday (10-15)",B1120&lt;=19,"Evening peak (16-19)",TRUE,"Late evening (20-23)")</f>
        <v>Midday (10-15)</v>
      </c>
    </row>
    <row r="1121" spans="1:9">
      <c r="A1121" s="32">
        <v>41776</v>
      </c>
      <c r="B1121">
        <v>15</v>
      </c>
      <c r="C1121">
        <v>1329</v>
      </c>
      <c r="D1121" t="s">
        <v>303</v>
      </c>
      <c r="E1121">
        <f>YEAR(A1121)</f>
        <v>2014</v>
      </c>
      <c r="F1121" s="33">
        <f>DATE(YEAR(A1121),MONTH(A1121),1)</f>
        <v>41760.0</v>
      </c>
      <c r="G1121" t="str">
        <f>CHOOSE(WEEKDAY(A1121,2),"Mon","Tue","Wed","Thu","Fri","Sat","Sun")</f>
        <v>Sat</v>
      </c>
      <c r="H1121" t="str">
        <f>IF(WEEKDAY(A1121,2)&gt;5,"Weekend","Weekday")</f>
        <v>Weekend</v>
      </c>
      <c r="I1121" t="str">
        <f>_xlfn.IFS(B1121&lt;=5,"Night (0-5)",B1121&lt;=9,"Morning peak (6-9)",B1121&lt;=15,"Midday (10-15)",B1121&lt;=19,"Evening peak (16-19)",TRUE,"Late evening (20-23)")</f>
        <v>Midday (10-15)</v>
      </c>
    </row>
    <row r="1122" spans="1:9">
      <c r="A1122" s="32">
        <v>41776</v>
      </c>
      <c r="B1122">
        <v>16</v>
      </c>
      <c r="C1122">
        <v>1593</v>
      </c>
      <c r="D1122" t="s">
        <v>303</v>
      </c>
      <c r="E1122">
        <f>YEAR(A1122)</f>
        <v>2014</v>
      </c>
      <c r="F1122" s="33">
        <f>DATE(YEAR(A1122),MONTH(A1122),1)</f>
        <v>41760.0</v>
      </c>
      <c r="G1122" t="str">
        <f>CHOOSE(WEEKDAY(A1122,2),"Mon","Tue","Wed","Thu","Fri","Sat","Sun")</f>
        <v>Sat</v>
      </c>
      <c r="H1122" t="str">
        <f>IF(WEEKDAY(A1122,2)&gt;5,"Weekend","Weekday")</f>
        <v>Weekend</v>
      </c>
      <c r="I1122" t="str">
        <f>_xlfn.IFS(B1122&lt;=5,"Night (0-5)",B1122&lt;=9,"Morning peak (6-9)",B1122&lt;=15,"Midday (10-15)",B1122&lt;=19,"Evening peak (16-19)",TRUE,"Late evening (20-23)")</f>
        <v>Evening peak (16-19)</v>
      </c>
    </row>
    <row r="1123" spans="1:9">
      <c r="A1123" s="32">
        <v>41776</v>
      </c>
      <c r="B1123">
        <v>17</v>
      </c>
      <c r="C1123">
        <v>1643</v>
      </c>
      <c r="D1123" t="s">
        <v>303</v>
      </c>
      <c r="E1123">
        <f>YEAR(A1123)</f>
        <v>2014</v>
      </c>
      <c r="F1123" s="33">
        <f>DATE(YEAR(A1123),MONTH(A1123),1)</f>
        <v>41760.0</v>
      </c>
      <c r="G1123" t="str">
        <f>CHOOSE(WEEKDAY(A1123,2),"Mon","Tue","Wed","Thu","Fri","Sat","Sun")</f>
        <v>Sat</v>
      </c>
      <c r="H1123" t="str">
        <f>IF(WEEKDAY(A1123,2)&gt;5,"Weekend","Weekday")</f>
        <v>Weekend</v>
      </c>
      <c r="I1123" t="str">
        <f>_xlfn.IFS(B1123&lt;=5,"Night (0-5)",B1123&lt;=9,"Morning peak (6-9)",B1123&lt;=15,"Midday (10-15)",B1123&lt;=19,"Evening peak (16-19)",TRUE,"Late evening (20-23)")</f>
        <v>Evening peak (16-19)</v>
      </c>
    </row>
    <row r="1124" spans="1:9">
      <c r="A1124" s="32">
        <v>41776</v>
      </c>
      <c r="B1124">
        <v>18</v>
      </c>
      <c r="C1124">
        <v>1710</v>
      </c>
      <c r="D1124" t="s">
        <v>303</v>
      </c>
      <c r="E1124">
        <f>YEAR(A1124)</f>
        <v>2014</v>
      </c>
      <c r="F1124" s="33">
        <f>DATE(YEAR(A1124),MONTH(A1124),1)</f>
        <v>41760.0</v>
      </c>
      <c r="G1124" t="str">
        <f>CHOOSE(WEEKDAY(A1124,2),"Mon","Tue","Wed","Thu","Fri","Sat","Sun")</f>
        <v>Sat</v>
      </c>
      <c r="H1124" t="str">
        <f>IF(WEEKDAY(A1124,2)&gt;5,"Weekend","Weekday")</f>
        <v>Weekend</v>
      </c>
      <c r="I1124" t="str">
        <f>_xlfn.IFS(B1124&lt;=5,"Night (0-5)",B1124&lt;=9,"Morning peak (6-9)",B1124&lt;=15,"Midday (10-15)",B1124&lt;=19,"Evening peak (16-19)",TRUE,"Late evening (20-23)")</f>
        <v>Evening peak (16-19)</v>
      </c>
    </row>
    <row r="1125" spans="1:9">
      <c r="A1125" s="32">
        <v>41776</v>
      </c>
      <c r="B1125">
        <v>19</v>
      </c>
      <c r="C1125">
        <v>1506</v>
      </c>
      <c r="D1125" t="s">
        <v>303</v>
      </c>
      <c r="E1125">
        <f>YEAR(A1125)</f>
        <v>2014</v>
      </c>
      <c r="F1125" s="33">
        <f>DATE(YEAR(A1125),MONTH(A1125),1)</f>
        <v>41760.0</v>
      </c>
      <c r="G1125" t="str">
        <f>CHOOSE(WEEKDAY(A1125,2),"Mon","Tue","Wed","Thu","Fri","Sat","Sun")</f>
        <v>Sat</v>
      </c>
      <c r="H1125" t="str">
        <f>IF(WEEKDAY(A1125,2)&gt;5,"Weekend","Weekday")</f>
        <v>Weekend</v>
      </c>
      <c r="I1125" t="str">
        <f>_xlfn.IFS(B1125&lt;=5,"Night (0-5)",B1125&lt;=9,"Morning peak (6-9)",B1125&lt;=15,"Midday (10-15)",B1125&lt;=19,"Evening peak (16-19)",TRUE,"Late evening (20-23)")</f>
        <v>Evening peak (16-19)</v>
      </c>
    </row>
    <row r="1126" spans="1:9">
      <c r="A1126" s="32">
        <v>41776</v>
      </c>
      <c r="B1126">
        <v>20</v>
      </c>
      <c r="C1126">
        <v>1438</v>
      </c>
      <c r="D1126" t="s">
        <v>303</v>
      </c>
      <c r="E1126">
        <f>YEAR(A1126)</f>
        <v>2014</v>
      </c>
      <c r="F1126" s="33">
        <f>DATE(YEAR(A1126),MONTH(A1126),1)</f>
        <v>41760.0</v>
      </c>
      <c r="G1126" t="str">
        <f>CHOOSE(WEEKDAY(A1126,2),"Mon","Tue","Wed","Thu","Fri","Sat","Sun")</f>
        <v>Sat</v>
      </c>
      <c r="H1126" t="str">
        <f>IF(WEEKDAY(A1126,2)&gt;5,"Weekend","Weekday")</f>
        <v>Weekend</v>
      </c>
      <c r="I1126" t="str">
        <f>_xlfn.IFS(B1126&lt;=5,"Night (0-5)",B1126&lt;=9,"Morning peak (6-9)",B1126&lt;=15,"Midday (10-15)",B1126&lt;=19,"Evening peak (16-19)",TRUE,"Late evening (20-23)")</f>
        <v>Late evening (20-23)</v>
      </c>
    </row>
    <row r="1127" spans="1:9">
      <c r="A1127" s="32">
        <v>41776</v>
      </c>
      <c r="B1127">
        <v>21</v>
      </c>
      <c r="C1127">
        <v>1701</v>
      </c>
      <c r="D1127" t="s">
        <v>303</v>
      </c>
      <c r="E1127">
        <f>YEAR(A1127)</f>
        <v>2014</v>
      </c>
      <c r="F1127" s="33">
        <f>DATE(YEAR(A1127),MONTH(A1127),1)</f>
        <v>41760.0</v>
      </c>
      <c r="G1127" t="str">
        <f>CHOOSE(WEEKDAY(A1127,2),"Mon","Tue","Wed","Thu","Fri","Sat","Sun")</f>
        <v>Sat</v>
      </c>
      <c r="H1127" t="str">
        <f>IF(WEEKDAY(A1127,2)&gt;5,"Weekend","Weekday")</f>
        <v>Weekend</v>
      </c>
      <c r="I1127" t="str">
        <f>_xlfn.IFS(B1127&lt;=5,"Night (0-5)",B1127&lt;=9,"Morning peak (6-9)",B1127&lt;=15,"Midday (10-15)",B1127&lt;=19,"Evening peak (16-19)",TRUE,"Late evening (20-23)")</f>
        <v>Late evening (20-23)</v>
      </c>
    </row>
    <row r="1128" spans="1:9">
      <c r="A1128" s="32">
        <v>41776</v>
      </c>
      <c r="B1128">
        <v>22</v>
      </c>
      <c r="C1128">
        <v>1833</v>
      </c>
      <c r="D1128" t="s">
        <v>303</v>
      </c>
      <c r="E1128">
        <f>YEAR(A1128)</f>
        <v>2014</v>
      </c>
      <c r="F1128" s="33">
        <f>DATE(YEAR(A1128),MONTH(A1128),1)</f>
        <v>41760.0</v>
      </c>
      <c r="G1128" t="str">
        <f>CHOOSE(WEEKDAY(A1128,2),"Mon","Tue","Wed","Thu","Fri","Sat","Sun")</f>
        <v>Sat</v>
      </c>
      <c r="H1128" t="str">
        <f>IF(WEEKDAY(A1128,2)&gt;5,"Weekend","Weekday")</f>
        <v>Weekend</v>
      </c>
      <c r="I1128" t="str">
        <f>_xlfn.IFS(B1128&lt;=5,"Night (0-5)",B1128&lt;=9,"Morning peak (6-9)",B1128&lt;=15,"Midday (10-15)",B1128&lt;=19,"Evening peak (16-19)",TRUE,"Late evening (20-23)")</f>
        <v>Late evening (20-23)</v>
      </c>
    </row>
    <row r="1129" spans="1:9">
      <c r="A1129" s="32">
        <v>41776</v>
      </c>
      <c r="B1129">
        <v>23</v>
      </c>
      <c r="C1129">
        <v>1833</v>
      </c>
      <c r="D1129" t="s">
        <v>303</v>
      </c>
      <c r="E1129">
        <f>YEAR(A1129)</f>
        <v>2014</v>
      </c>
      <c r="F1129" s="33">
        <f>DATE(YEAR(A1129),MONTH(A1129),1)</f>
        <v>41760.0</v>
      </c>
      <c r="G1129" t="str">
        <f>CHOOSE(WEEKDAY(A1129,2),"Mon","Tue","Wed","Thu","Fri","Sat","Sun")</f>
        <v>Sat</v>
      </c>
      <c r="H1129" t="str">
        <f>IF(WEEKDAY(A1129,2)&gt;5,"Weekend","Weekday")</f>
        <v>Weekend</v>
      </c>
      <c r="I1129" t="str">
        <f>_xlfn.IFS(B1129&lt;=5,"Night (0-5)",B1129&lt;=9,"Morning peak (6-9)",B1129&lt;=15,"Midday (10-15)",B1129&lt;=19,"Evening peak (16-19)",TRUE,"Late evening (20-23)")</f>
        <v>Late evening (20-23)</v>
      </c>
    </row>
    <row r="1130" spans="1:9">
      <c r="A1130" s="32">
        <v>41777</v>
      </c>
      <c r="B1130">
        <v>0</v>
      </c>
      <c r="C1130">
        <v>1420</v>
      </c>
      <c r="D1130" t="s">
        <v>303</v>
      </c>
      <c r="E1130">
        <f>YEAR(A1130)</f>
        <v>2014</v>
      </c>
      <c r="F1130" s="33">
        <f>DATE(YEAR(A1130),MONTH(A1130),1)</f>
        <v>41760.0</v>
      </c>
      <c r="G1130" t="str">
        <f>CHOOSE(WEEKDAY(A1130,2),"Mon","Tue","Wed","Thu","Fri","Sat","Sun")</f>
        <v>Sun</v>
      </c>
      <c r="H1130" t="str">
        <f>IF(WEEKDAY(A1130,2)&gt;5,"Weekend","Weekday")</f>
        <v>Weekend</v>
      </c>
      <c r="I1130" t="str">
        <f>_xlfn.IFS(B1130&lt;=5,"Night (0-5)",B1130&lt;=9,"Morning peak (6-9)",B1130&lt;=15,"Midday (10-15)",B1130&lt;=19,"Evening peak (16-19)",TRUE,"Late evening (20-23)")</f>
        <v>Night (0-5)</v>
      </c>
    </row>
    <row r="1131" spans="1:9">
      <c r="A1131" s="32">
        <v>41777</v>
      </c>
      <c r="B1131">
        <v>1</v>
      </c>
      <c r="C1131">
        <v>992</v>
      </c>
      <c r="D1131" t="s">
        <v>303</v>
      </c>
      <c r="E1131">
        <f>YEAR(A1131)</f>
        <v>2014</v>
      </c>
      <c r="F1131" s="33">
        <f>DATE(YEAR(A1131),MONTH(A1131),1)</f>
        <v>41760.0</v>
      </c>
      <c r="G1131" t="str">
        <f>CHOOSE(WEEKDAY(A1131,2),"Mon","Tue","Wed","Thu","Fri","Sat","Sun")</f>
        <v>Sun</v>
      </c>
      <c r="H1131" t="str">
        <f>IF(WEEKDAY(A1131,2)&gt;5,"Weekend","Weekday")</f>
        <v>Weekend</v>
      </c>
      <c r="I1131" t="str">
        <f>_xlfn.IFS(B1131&lt;=5,"Night (0-5)",B1131&lt;=9,"Morning peak (6-9)",B1131&lt;=15,"Midday (10-15)",B1131&lt;=19,"Evening peak (16-19)",TRUE,"Late evening (20-23)")</f>
        <v>Night (0-5)</v>
      </c>
    </row>
    <row r="1132" spans="1:9">
      <c r="A1132" s="32">
        <v>41777</v>
      </c>
      <c r="B1132">
        <v>2</v>
      </c>
      <c r="C1132">
        <v>564</v>
      </c>
      <c r="D1132" t="s">
        <v>303</v>
      </c>
      <c r="E1132">
        <f>YEAR(A1132)</f>
        <v>2014</v>
      </c>
      <c r="F1132" s="33">
        <f>DATE(YEAR(A1132),MONTH(A1132),1)</f>
        <v>41760.0</v>
      </c>
      <c r="G1132" t="str">
        <f>CHOOSE(WEEKDAY(A1132,2),"Mon","Tue","Wed","Thu","Fri","Sat","Sun")</f>
        <v>Sun</v>
      </c>
      <c r="H1132" t="str">
        <f>IF(WEEKDAY(A1132,2)&gt;5,"Weekend","Weekday")</f>
        <v>Weekend</v>
      </c>
      <c r="I1132" t="str">
        <f>_xlfn.IFS(B1132&lt;=5,"Night (0-5)",B1132&lt;=9,"Morning peak (6-9)",B1132&lt;=15,"Midday (10-15)",B1132&lt;=19,"Evening peak (16-19)",TRUE,"Late evening (20-23)")</f>
        <v>Night (0-5)</v>
      </c>
    </row>
    <row r="1133" spans="1:9">
      <c r="A1133" s="32">
        <v>41777</v>
      </c>
      <c r="B1133">
        <v>3</v>
      </c>
      <c r="C1133">
        <v>389</v>
      </c>
      <c r="D1133" t="s">
        <v>303</v>
      </c>
      <c r="E1133">
        <f>YEAR(A1133)</f>
        <v>2014</v>
      </c>
      <c r="F1133" s="33">
        <f>DATE(YEAR(A1133),MONTH(A1133),1)</f>
        <v>41760.0</v>
      </c>
      <c r="G1133" t="str">
        <f>CHOOSE(WEEKDAY(A1133,2),"Mon","Tue","Wed","Thu","Fri","Sat","Sun")</f>
        <v>Sun</v>
      </c>
      <c r="H1133" t="str">
        <f>IF(WEEKDAY(A1133,2)&gt;5,"Weekend","Weekday")</f>
        <v>Weekend</v>
      </c>
      <c r="I1133" t="str">
        <f>_xlfn.IFS(B1133&lt;=5,"Night (0-5)",B1133&lt;=9,"Morning peak (6-9)",B1133&lt;=15,"Midday (10-15)",B1133&lt;=19,"Evening peak (16-19)",TRUE,"Late evening (20-23)")</f>
        <v>Night (0-5)</v>
      </c>
    </row>
    <row r="1134" spans="1:9">
      <c r="A1134" s="32">
        <v>41777</v>
      </c>
      <c r="B1134">
        <v>4</v>
      </c>
      <c r="C1134">
        <v>212</v>
      </c>
      <c r="D1134" t="s">
        <v>303</v>
      </c>
      <c r="E1134">
        <f>YEAR(A1134)</f>
        <v>2014</v>
      </c>
      <c r="F1134" s="33">
        <f>DATE(YEAR(A1134),MONTH(A1134),1)</f>
        <v>41760.0</v>
      </c>
      <c r="G1134" t="str">
        <f>CHOOSE(WEEKDAY(A1134,2),"Mon","Tue","Wed","Thu","Fri","Sat","Sun")</f>
        <v>Sun</v>
      </c>
      <c r="H1134" t="str">
        <f>IF(WEEKDAY(A1134,2)&gt;5,"Weekend","Weekday")</f>
        <v>Weekend</v>
      </c>
      <c r="I1134" t="str">
        <f>_xlfn.IFS(B1134&lt;=5,"Night (0-5)",B1134&lt;=9,"Morning peak (6-9)",B1134&lt;=15,"Midday (10-15)",B1134&lt;=19,"Evening peak (16-19)",TRUE,"Late evening (20-23)")</f>
        <v>Night (0-5)</v>
      </c>
    </row>
    <row r="1135" spans="1:9">
      <c r="A1135" s="32">
        <v>41777</v>
      </c>
      <c r="B1135">
        <v>5</v>
      </c>
      <c r="C1135">
        <v>176</v>
      </c>
      <c r="D1135" t="s">
        <v>303</v>
      </c>
      <c r="E1135">
        <f>YEAR(A1135)</f>
        <v>2014</v>
      </c>
      <c r="F1135" s="33">
        <f>DATE(YEAR(A1135),MONTH(A1135),1)</f>
        <v>41760.0</v>
      </c>
      <c r="G1135" t="str">
        <f>CHOOSE(WEEKDAY(A1135,2),"Mon","Tue","Wed","Thu","Fri","Sat","Sun")</f>
        <v>Sun</v>
      </c>
      <c r="H1135" t="str">
        <f>IF(WEEKDAY(A1135,2)&gt;5,"Weekend","Weekday")</f>
        <v>Weekend</v>
      </c>
      <c r="I1135" t="str">
        <f>_xlfn.IFS(B1135&lt;=5,"Night (0-5)",B1135&lt;=9,"Morning peak (6-9)",B1135&lt;=15,"Midday (10-15)",B1135&lt;=19,"Evening peak (16-19)",TRUE,"Late evening (20-23)")</f>
        <v>Night (0-5)</v>
      </c>
    </row>
    <row r="1136" spans="1:9">
      <c r="A1136" s="32">
        <v>41777</v>
      </c>
      <c r="B1136">
        <v>6</v>
      </c>
      <c r="C1136">
        <v>197</v>
      </c>
      <c r="D1136" t="s">
        <v>303</v>
      </c>
      <c r="E1136">
        <f>YEAR(A1136)</f>
        <v>2014</v>
      </c>
      <c r="F1136" s="33">
        <f>DATE(YEAR(A1136),MONTH(A1136),1)</f>
        <v>41760.0</v>
      </c>
      <c r="G1136" t="str">
        <f>CHOOSE(WEEKDAY(A1136,2),"Mon","Tue","Wed","Thu","Fri","Sat","Sun")</f>
        <v>Sun</v>
      </c>
      <c r="H1136" t="str">
        <f>IF(WEEKDAY(A1136,2)&gt;5,"Weekend","Weekday")</f>
        <v>Weekend</v>
      </c>
      <c r="I1136" t="str">
        <f>_xlfn.IFS(B1136&lt;=5,"Night (0-5)",B1136&lt;=9,"Morning peak (6-9)",B1136&lt;=15,"Midday (10-15)",B1136&lt;=19,"Evening peak (16-19)",TRUE,"Late evening (20-23)")</f>
        <v>Morning peak (6-9)</v>
      </c>
    </row>
    <row r="1137" spans="1:9">
      <c r="A1137" s="32">
        <v>41777</v>
      </c>
      <c r="B1137">
        <v>7</v>
      </c>
      <c r="C1137">
        <v>266</v>
      </c>
      <c r="D1137" t="s">
        <v>303</v>
      </c>
      <c r="E1137">
        <f>YEAR(A1137)</f>
        <v>2014</v>
      </c>
      <c r="F1137" s="33">
        <f>DATE(YEAR(A1137),MONTH(A1137),1)</f>
        <v>41760.0</v>
      </c>
      <c r="G1137" t="str">
        <f>CHOOSE(WEEKDAY(A1137,2),"Mon","Tue","Wed","Thu","Fri","Sat","Sun")</f>
        <v>Sun</v>
      </c>
      <c r="H1137" t="str">
        <f>IF(WEEKDAY(A1137,2)&gt;5,"Weekend","Weekday")</f>
        <v>Weekend</v>
      </c>
      <c r="I1137" t="str">
        <f>_xlfn.IFS(B1137&lt;=5,"Night (0-5)",B1137&lt;=9,"Morning peak (6-9)",B1137&lt;=15,"Midday (10-15)",B1137&lt;=19,"Evening peak (16-19)",TRUE,"Late evening (20-23)")</f>
        <v>Morning peak (6-9)</v>
      </c>
    </row>
    <row r="1138" spans="1:9">
      <c r="A1138" s="32">
        <v>41777</v>
      </c>
      <c r="B1138">
        <v>8</v>
      </c>
      <c r="C1138">
        <v>400</v>
      </c>
      <c r="D1138" t="s">
        <v>303</v>
      </c>
      <c r="E1138">
        <f>YEAR(A1138)</f>
        <v>2014</v>
      </c>
      <c r="F1138" s="33">
        <f>DATE(YEAR(A1138),MONTH(A1138),1)</f>
        <v>41760.0</v>
      </c>
      <c r="G1138" t="str">
        <f>CHOOSE(WEEKDAY(A1138,2),"Mon","Tue","Wed","Thu","Fri","Sat","Sun")</f>
        <v>Sun</v>
      </c>
      <c r="H1138" t="str">
        <f>IF(WEEKDAY(A1138,2)&gt;5,"Weekend","Weekday")</f>
        <v>Weekend</v>
      </c>
      <c r="I1138" t="str">
        <f>_xlfn.IFS(B1138&lt;=5,"Night (0-5)",B1138&lt;=9,"Morning peak (6-9)",B1138&lt;=15,"Midday (10-15)",B1138&lt;=19,"Evening peak (16-19)",TRUE,"Late evening (20-23)")</f>
        <v>Morning peak (6-9)</v>
      </c>
    </row>
    <row r="1139" spans="1:9">
      <c r="A1139" s="32">
        <v>41777</v>
      </c>
      <c r="B1139">
        <v>9</v>
      </c>
      <c r="C1139">
        <v>546</v>
      </c>
      <c r="D1139" t="s">
        <v>303</v>
      </c>
      <c r="E1139">
        <f>YEAR(A1139)</f>
        <v>2014</v>
      </c>
      <c r="F1139" s="33">
        <f>DATE(YEAR(A1139),MONTH(A1139),1)</f>
        <v>41760.0</v>
      </c>
      <c r="G1139" t="str">
        <f>CHOOSE(WEEKDAY(A1139,2),"Mon","Tue","Wed","Thu","Fri","Sat","Sun")</f>
        <v>Sun</v>
      </c>
      <c r="H1139" t="str">
        <f>IF(WEEKDAY(A1139,2)&gt;5,"Weekend","Weekday")</f>
        <v>Weekend</v>
      </c>
      <c r="I1139" t="str">
        <f>_xlfn.IFS(B1139&lt;=5,"Night (0-5)",B1139&lt;=9,"Morning peak (6-9)",B1139&lt;=15,"Midday (10-15)",B1139&lt;=19,"Evening peak (16-19)",TRUE,"Late evening (20-23)")</f>
        <v>Morning peak (6-9)</v>
      </c>
    </row>
    <row r="1140" spans="1:9">
      <c r="A1140" s="32">
        <v>41777</v>
      </c>
      <c r="B1140">
        <v>10</v>
      </c>
      <c r="C1140">
        <v>670</v>
      </c>
      <c r="D1140" t="s">
        <v>303</v>
      </c>
      <c r="E1140">
        <f>YEAR(A1140)</f>
        <v>2014</v>
      </c>
      <c r="F1140" s="33">
        <f>DATE(YEAR(A1140),MONTH(A1140),1)</f>
        <v>41760.0</v>
      </c>
      <c r="G1140" t="str">
        <f>CHOOSE(WEEKDAY(A1140,2),"Mon","Tue","Wed","Thu","Fri","Sat","Sun")</f>
        <v>Sun</v>
      </c>
      <c r="H1140" t="str">
        <f>IF(WEEKDAY(A1140,2)&gt;5,"Weekend","Weekday")</f>
        <v>Weekend</v>
      </c>
      <c r="I1140" t="str">
        <f>_xlfn.IFS(B1140&lt;=5,"Night (0-5)",B1140&lt;=9,"Morning peak (6-9)",B1140&lt;=15,"Midday (10-15)",B1140&lt;=19,"Evening peak (16-19)",TRUE,"Late evening (20-23)")</f>
        <v>Midday (10-15)</v>
      </c>
    </row>
    <row r="1141" spans="1:9">
      <c r="A1141" s="32">
        <v>41777</v>
      </c>
      <c r="B1141">
        <v>11</v>
      </c>
      <c r="C1141">
        <v>774</v>
      </c>
      <c r="D1141" t="s">
        <v>303</v>
      </c>
      <c r="E1141">
        <f>YEAR(A1141)</f>
        <v>2014</v>
      </c>
      <c r="F1141" s="33">
        <f>DATE(YEAR(A1141),MONTH(A1141),1)</f>
        <v>41760.0</v>
      </c>
      <c r="G1141" t="str">
        <f>CHOOSE(WEEKDAY(A1141,2),"Mon","Tue","Wed","Thu","Fri","Sat","Sun")</f>
        <v>Sun</v>
      </c>
      <c r="H1141" t="str">
        <f>IF(WEEKDAY(A1141,2)&gt;5,"Weekend","Weekday")</f>
        <v>Weekend</v>
      </c>
      <c r="I1141" t="str">
        <f>_xlfn.IFS(B1141&lt;=5,"Night (0-5)",B1141&lt;=9,"Morning peak (6-9)",B1141&lt;=15,"Midday (10-15)",B1141&lt;=19,"Evening peak (16-19)",TRUE,"Late evening (20-23)")</f>
        <v>Midday (10-15)</v>
      </c>
    </row>
    <row r="1142" spans="1:9">
      <c r="A1142" s="32">
        <v>41777</v>
      </c>
      <c r="B1142">
        <v>12</v>
      </c>
      <c r="C1142">
        <v>801</v>
      </c>
      <c r="D1142" t="s">
        <v>303</v>
      </c>
      <c r="E1142">
        <f>YEAR(A1142)</f>
        <v>2014</v>
      </c>
      <c r="F1142" s="33">
        <f>DATE(YEAR(A1142),MONTH(A1142),1)</f>
        <v>41760.0</v>
      </c>
      <c r="G1142" t="str">
        <f>CHOOSE(WEEKDAY(A1142,2),"Mon","Tue","Wed","Thu","Fri","Sat","Sun")</f>
        <v>Sun</v>
      </c>
      <c r="H1142" t="str">
        <f>IF(WEEKDAY(A1142,2)&gt;5,"Weekend","Weekday")</f>
        <v>Weekend</v>
      </c>
      <c r="I1142" t="str">
        <f>_xlfn.IFS(B1142&lt;=5,"Night (0-5)",B1142&lt;=9,"Morning peak (6-9)",B1142&lt;=15,"Midday (10-15)",B1142&lt;=19,"Evening peak (16-19)",TRUE,"Late evening (20-23)")</f>
        <v>Midday (10-15)</v>
      </c>
    </row>
    <row r="1143" spans="1:9">
      <c r="A1143" s="32">
        <v>41777</v>
      </c>
      <c r="B1143">
        <v>13</v>
      </c>
      <c r="C1143">
        <v>872</v>
      </c>
      <c r="D1143" t="s">
        <v>303</v>
      </c>
      <c r="E1143">
        <f>YEAR(A1143)</f>
        <v>2014</v>
      </c>
      <c r="F1143" s="33">
        <f>DATE(YEAR(A1143),MONTH(A1143),1)</f>
        <v>41760.0</v>
      </c>
      <c r="G1143" t="str">
        <f>CHOOSE(WEEKDAY(A1143,2),"Mon","Tue","Wed","Thu","Fri","Sat","Sun")</f>
        <v>Sun</v>
      </c>
      <c r="H1143" t="str">
        <f>IF(WEEKDAY(A1143,2)&gt;5,"Weekend","Weekday")</f>
        <v>Weekend</v>
      </c>
      <c r="I1143" t="str">
        <f>_xlfn.IFS(B1143&lt;=5,"Night (0-5)",B1143&lt;=9,"Morning peak (6-9)",B1143&lt;=15,"Midday (10-15)",B1143&lt;=19,"Evening peak (16-19)",TRUE,"Late evening (20-23)")</f>
        <v>Midday (10-15)</v>
      </c>
    </row>
    <row r="1144" spans="1:9">
      <c r="A1144" s="32">
        <v>41777</v>
      </c>
      <c r="B1144">
        <v>14</v>
      </c>
      <c r="C1144">
        <v>984</v>
      </c>
      <c r="D1144" t="s">
        <v>303</v>
      </c>
      <c r="E1144">
        <f>YEAR(A1144)</f>
        <v>2014</v>
      </c>
      <c r="F1144" s="33">
        <f>DATE(YEAR(A1144),MONTH(A1144),1)</f>
        <v>41760.0</v>
      </c>
      <c r="G1144" t="str">
        <f>CHOOSE(WEEKDAY(A1144,2),"Mon","Tue","Wed","Thu","Fri","Sat","Sun")</f>
        <v>Sun</v>
      </c>
      <c r="H1144" t="str">
        <f>IF(WEEKDAY(A1144,2)&gt;5,"Weekend","Weekday")</f>
        <v>Weekend</v>
      </c>
      <c r="I1144" t="str">
        <f>_xlfn.IFS(B1144&lt;=5,"Night (0-5)",B1144&lt;=9,"Morning peak (6-9)",B1144&lt;=15,"Midday (10-15)",B1144&lt;=19,"Evening peak (16-19)",TRUE,"Late evening (20-23)")</f>
        <v>Midday (10-15)</v>
      </c>
    </row>
    <row r="1145" spans="1:9">
      <c r="A1145" s="32">
        <v>41777</v>
      </c>
      <c r="B1145">
        <v>15</v>
      </c>
      <c r="C1145">
        <v>1024</v>
      </c>
      <c r="D1145" t="s">
        <v>303</v>
      </c>
      <c r="E1145">
        <f>YEAR(A1145)</f>
        <v>2014</v>
      </c>
      <c r="F1145" s="33">
        <f>DATE(YEAR(A1145),MONTH(A1145),1)</f>
        <v>41760.0</v>
      </c>
      <c r="G1145" t="str">
        <f>CHOOSE(WEEKDAY(A1145,2),"Mon","Tue","Wed","Thu","Fri","Sat","Sun")</f>
        <v>Sun</v>
      </c>
      <c r="H1145" t="str">
        <f>IF(WEEKDAY(A1145,2)&gt;5,"Weekend","Weekday")</f>
        <v>Weekend</v>
      </c>
      <c r="I1145" t="str">
        <f>_xlfn.IFS(B1145&lt;=5,"Night (0-5)",B1145&lt;=9,"Morning peak (6-9)",B1145&lt;=15,"Midday (10-15)",B1145&lt;=19,"Evening peak (16-19)",TRUE,"Late evening (20-23)")</f>
        <v>Midday (10-15)</v>
      </c>
    </row>
    <row r="1146" spans="1:9">
      <c r="A1146" s="32">
        <v>41777</v>
      </c>
      <c r="B1146">
        <v>16</v>
      </c>
      <c r="C1146">
        <v>1173</v>
      </c>
      <c r="D1146" t="s">
        <v>303</v>
      </c>
      <c r="E1146">
        <f>YEAR(A1146)</f>
        <v>2014</v>
      </c>
      <c r="F1146" s="33">
        <f>DATE(YEAR(A1146),MONTH(A1146),1)</f>
        <v>41760.0</v>
      </c>
      <c r="G1146" t="str">
        <f>CHOOSE(WEEKDAY(A1146,2),"Mon","Tue","Wed","Thu","Fri","Sat","Sun")</f>
        <v>Sun</v>
      </c>
      <c r="H1146" t="str">
        <f>IF(WEEKDAY(A1146,2)&gt;5,"Weekend","Weekday")</f>
        <v>Weekend</v>
      </c>
      <c r="I1146" t="str">
        <f>_xlfn.IFS(B1146&lt;=5,"Night (0-5)",B1146&lt;=9,"Morning peak (6-9)",B1146&lt;=15,"Midday (10-15)",B1146&lt;=19,"Evening peak (16-19)",TRUE,"Late evening (20-23)")</f>
        <v>Evening peak (16-19)</v>
      </c>
    </row>
    <row r="1147" spans="1:9">
      <c r="A1147" s="32">
        <v>41777</v>
      </c>
      <c r="B1147">
        <v>17</v>
      </c>
      <c r="C1147">
        <v>1043</v>
      </c>
      <c r="D1147" t="s">
        <v>303</v>
      </c>
      <c r="E1147">
        <f>YEAR(A1147)</f>
        <v>2014</v>
      </c>
      <c r="F1147" s="33">
        <f>DATE(YEAR(A1147),MONTH(A1147),1)</f>
        <v>41760.0</v>
      </c>
      <c r="G1147" t="str">
        <f>CHOOSE(WEEKDAY(A1147,2),"Mon","Tue","Wed","Thu","Fri","Sat","Sun")</f>
        <v>Sun</v>
      </c>
      <c r="H1147" t="str">
        <f>IF(WEEKDAY(A1147,2)&gt;5,"Weekend","Weekday")</f>
        <v>Weekend</v>
      </c>
      <c r="I1147" t="str">
        <f>_xlfn.IFS(B1147&lt;=5,"Night (0-5)",B1147&lt;=9,"Morning peak (6-9)",B1147&lt;=15,"Midday (10-15)",B1147&lt;=19,"Evening peak (16-19)",TRUE,"Late evening (20-23)")</f>
        <v>Evening peak (16-19)</v>
      </c>
    </row>
    <row r="1148" spans="1:9">
      <c r="A1148" s="32">
        <v>41777</v>
      </c>
      <c r="B1148">
        <v>18</v>
      </c>
      <c r="C1148">
        <v>855</v>
      </c>
      <c r="D1148" t="s">
        <v>303</v>
      </c>
      <c r="E1148">
        <f>YEAR(A1148)</f>
        <v>2014</v>
      </c>
      <c r="F1148" s="33">
        <f>DATE(YEAR(A1148),MONTH(A1148),1)</f>
        <v>41760.0</v>
      </c>
      <c r="G1148" t="str">
        <f>CHOOSE(WEEKDAY(A1148,2),"Mon","Tue","Wed","Thu","Fri","Sat","Sun")</f>
        <v>Sun</v>
      </c>
      <c r="H1148" t="str">
        <f>IF(WEEKDAY(A1148,2)&gt;5,"Weekend","Weekday")</f>
        <v>Weekend</v>
      </c>
      <c r="I1148" t="str">
        <f>_xlfn.IFS(B1148&lt;=5,"Night (0-5)",B1148&lt;=9,"Morning peak (6-9)",B1148&lt;=15,"Midday (10-15)",B1148&lt;=19,"Evening peak (16-19)",TRUE,"Late evening (20-23)")</f>
        <v>Evening peak (16-19)</v>
      </c>
    </row>
    <row r="1149" spans="1:9">
      <c r="A1149" s="32">
        <v>41777</v>
      </c>
      <c r="B1149">
        <v>19</v>
      </c>
      <c r="C1149">
        <v>782</v>
      </c>
      <c r="D1149" t="s">
        <v>303</v>
      </c>
      <c r="E1149">
        <f>YEAR(A1149)</f>
        <v>2014</v>
      </c>
      <c r="F1149" s="33">
        <f>DATE(YEAR(A1149),MONTH(A1149),1)</f>
        <v>41760.0</v>
      </c>
      <c r="G1149" t="str">
        <f>CHOOSE(WEEKDAY(A1149,2),"Mon","Tue","Wed","Thu","Fri","Sat","Sun")</f>
        <v>Sun</v>
      </c>
      <c r="H1149" t="str">
        <f>IF(WEEKDAY(A1149,2)&gt;5,"Weekend","Weekday")</f>
        <v>Weekend</v>
      </c>
      <c r="I1149" t="str">
        <f>_xlfn.IFS(B1149&lt;=5,"Night (0-5)",B1149&lt;=9,"Morning peak (6-9)",B1149&lt;=15,"Midday (10-15)",B1149&lt;=19,"Evening peak (16-19)",TRUE,"Late evening (20-23)")</f>
        <v>Evening peak (16-19)</v>
      </c>
    </row>
    <row r="1150" spans="1:9">
      <c r="A1150" s="32">
        <v>41777</v>
      </c>
      <c r="B1150">
        <v>20</v>
      </c>
      <c r="C1150">
        <v>775</v>
      </c>
      <c r="D1150" t="s">
        <v>303</v>
      </c>
      <c r="E1150">
        <f>YEAR(A1150)</f>
        <v>2014</v>
      </c>
      <c r="F1150" s="33">
        <f>DATE(YEAR(A1150),MONTH(A1150),1)</f>
        <v>41760.0</v>
      </c>
      <c r="G1150" t="str">
        <f>CHOOSE(WEEKDAY(A1150,2),"Mon","Tue","Wed","Thu","Fri","Sat","Sun")</f>
        <v>Sun</v>
      </c>
      <c r="H1150" t="str">
        <f>IF(WEEKDAY(A1150,2)&gt;5,"Weekend","Weekday")</f>
        <v>Weekend</v>
      </c>
      <c r="I1150" t="str">
        <f>_xlfn.IFS(B1150&lt;=5,"Night (0-5)",B1150&lt;=9,"Morning peak (6-9)",B1150&lt;=15,"Midday (10-15)",B1150&lt;=19,"Evening peak (16-19)",TRUE,"Late evening (20-23)")</f>
        <v>Late evening (20-23)</v>
      </c>
    </row>
    <row r="1151" spans="1:9">
      <c r="A1151" s="32">
        <v>41777</v>
      </c>
      <c r="B1151">
        <v>21</v>
      </c>
      <c r="C1151">
        <v>754</v>
      </c>
      <c r="D1151" t="s">
        <v>303</v>
      </c>
      <c r="E1151">
        <f>YEAR(A1151)</f>
        <v>2014</v>
      </c>
      <c r="F1151" s="33">
        <f>DATE(YEAR(A1151),MONTH(A1151),1)</f>
        <v>41760.0</v>
      </c>
      <c r="G1151" t="str">
        <f>CHOOSE(WEEKDAY(A1151,2),"Mon","Tue","Wed","Thu","Fri","Sat","Sun")</f>
        <v>Sun</v>
      </c>
      <c r="H1151" t="str">
        <f>IF(WEEKDAY(A1151,2)&gt;5,"Weekend","Weekday")</f>
        <v>Weekend</v>
      </c>
      <c r="I1151" t="str">
        <f>_xlfn.IFS(B1151&lt;=5,"Night (0-5)",B1151&lt;=9,"Morning peak (6-9)",B1151&lt;=15,"Midday (10-15)",B1151&lt;=19,"Evening peak (16-19)",TRUE,"Late evening (20-23)")</f>
        <v>Late evening (20-23)</v>
      </c>
    </row>
    <row r="1152" spans="1:9">
      <c r="A1152" s="32">
        <v>41777</v>
      </c>
      <c r="B1152">
        <v>22</v>
      </c>
      <c r="C1152">
        <v>517</v>
      </c>
      <c r="D1152" t="s">
        <v>303</v>
      </c>
      <c r="E1152">
        <f>YEAR(A1152)</f>
        <v>2014</v>
      </c>
      <c r="F1152" s="33">
        <f>DATE(YEAR(A1152),MONTH(A1152),1)</f>
        <v>41760.0</v>
      </c>
      <c r="G1152" t="str">
        <f>CHOOSE(WEEKDAY(A1152,2),"Mon","Tue","Wed","Thu","Fri","Sat","Sun")</f>
        <v>Sun</v>
      </c>
      <c r="H1152" t="str">
        <f>IF(WEEKDAY(A1152,2)&gt;5,"Weekend","Weekday")</f>
        <v>Weekend</v>
      </c>
      <c r="I1152" t="str">
        <f>_xlfn.IFS(B1152&lt;=5,"Night (0-5)",B1152&lt;=9,"Morning peak (6-9)",B1152&lt;=15,"Midday (10-15)",B1152&lt;=19,"Evening peak (16-19)",TRUE,"Late evening (20-23)")</f>
        <v>Late evening (20-23)</v>
      </c>
    </row>
    <row r="1153" spans="1:9">
      <c r="A1153" s="32">
        <v>41777</v>
      </c>
      <c r="B1153">
        <v>23</v>
      </c>
      <c r="C1153">
        <v>322</v>
      </c>
      <c r="D1153" t="s">
        <v>303</v>
      </c>
      <c r="E1153">
        <f>YEAR(A1153)</f>
        <v>2014</v>
      </c>
      <c r="F1153" s="33">
        <f>DATE(YEAR(A1153),MONTH(A1153),1)</f>
        <v>41760.0</v>
      </c>
      <c r="G1153" t="str">
        <f>CHOOSE(WEEKDAY(A1153,2),"Mon","Tue","Wed","Thu","Fri","Sat","Sun")</f>
        <v>Sun</v>
      </c>
      <c r="H1153" t="str">
        <f>IF(WEEKDAY(A1153,2)&gt;5,"Weekend","Weekday")</f>
        <v>Weekend</v>
      </c>
      <c r="I1153" t="str">
        <f>_xlfn.IFS(B1153&lt;=5,"Night (0-5)",B1153&lt;=9,"Morning peak (6-9)",B1153&lt;=15,"Midday (10-15)",B1153&lt;=19,"Evening peak (16-19)",TRUE,"Late evening (20-23)")</f>
        <v>Late evening (20-23)</v>
      </c>
    </row>
    <row r="1154" spans="1:9">
      <c r="A1154" s="32">
        <v>41778</v>
      </c>
      <c r="B1154">
        <v>0</v>
      </c>
      <c r="C1154">
        <v>145</v>
      </c>
      <c r="D1154" t="s">
        <v>303</v>
      </c>
      <c r="E1154">
        <f>YEAR(A1154)</f>
        <v>2014</v>
      </c>
      <c r="F1154" s="33">
        <f>DATE(YEAR(A1154),MONTH(A1154),1)</f>
        <v>41760.0</v>
      </c>
      <c r="G1154" t="str">
        <f>CHOOSE(WEEKDAY(A1154,2),"Mon","Tue","Wed","Thu","Fri","Sat","Sun")</f>
        <v>Mon</v>
      </c>
      <c r="H1154" t="str">
        <f>IF(WEEKDAY(A1154,2)&gt;5,"Weekend","Weekday")</f>
        <v>Weekday</v>
      </c>
      <c r="I1154" t="str">
        <f>_xlfn.IFS(B1154&lt;=5,"Night (0-5)",B1154&lt;=9,"Morning peak (6-9)",B1154&lt;=15,"Midday (10-15)",B1154&lt;=19,"Evening peak (16-19)",TRUE,"Late evening (20-23)")</f>
        <v>Night (0-5)</v>
      </c>
    </row>
    <row r="1155" spans="1:9">
      <c r="A1155" s="32">
        <v>41778</v>
      </c>
      <c r="B1155">
        <v>1</v>
      </c>
      <c r="C1155">
        <v>83</v>
      </c>
      <c r="D1155" t="s">
        <v>303</v>
      </c>
      <c r="E1155">
        <f>YEAR(A1155)</f>
        <v>2014</v>
      </c>
      <c r="F1155" s="33">
        <f>DATE(YEAR(A1155),MONTH(A1155),1)</f>
        <v>41760.0</v>
      </c>
      <c r="G1155" t="str">
        <f>CHOOSE(WEEKDAY(A1155,2),"Mon","Tue","Wed","Thu","Fri","Sat","Sun")</f>
        <v>Mon</v>
      </c>
      <c r="H1155" t="str">
        <f>IF(WEEKDAY(A1155,2)&gt;5,"Weekend","Weekday")</f>
        <v>Weekday</v>
      </c>
      <c r="I1155" t="str">
        <f>_xlfn.IFS(B1155&lt;=5,"Night (0-5)",B1155&lt;=9,"Morning peak (6-9)",B1155&lt;=15,"Midday (10-15)",B1155&lt;=19,"Evening peak (16-19)",TRUE,"Late evening (20-23)")</f>
        <v>Night (0-5)</v>
      </c>
    </row>
    <row r="1156" spans="1:9">
      <c r="A1156" s="32">
        <v>41778</v>
      </c>
      <c r="B1156">
        <v>2</v>
      </c>
      <c r="C1156">
        <v>67</v>
      </c>
      <c r="D1156" t="s">
        <v>303</v>
      </c>
      <c r="E1156">
        <f>YEAR(A1156)</f>
        <v>2014</v>
      </c>
      <c r="F1156" s="33">
        <f>DATE(YEAR(A1156),MONTH(A1156),1)</f>
        <v>41760.0</v>
      </c>
      <c r="G1156" t="str">
        <f>CHOOSE(WEEKDAY(A1156,2),"Mon","Tue","Wed","Thu","Fri","Sat","Sun")</f>
        <v>Mon</v>
      </c>
      <c r="H1156" t="str">
        <f>IF(WEEKDAY(A1156,2)&gt;5,"Weekend","Weekday")</f>
        <v>Weekday</v>
      </c>
      <c r="I1156" t="str">
        <f>_xlfn.IFS(B1156&lt;=5,"Night (0-5)",B1156&lt;=9,"Morning peak (6-9)",B1156&lt;=15,"Midday (10-15)",B1156&lt;=19,"Evening peak (16-19)",TRUE,"Late evening (20-23)")</f>
        <v>Night (0-5)</v>
      </c>
    </row>
    <row r="1157" spans="1:9">
      <c r="A1157" s="32">
        <v>41778</v>
      </c>
      <c r="B1157">
        <v>3</v>
      </c>
      <c r="C1157">
        <v>156</v>
      </c>
      <c r="D1157" t="s">
        <v>303</v>
      </c>
      <c r="E1157">
        <f>YEAR(A1157)</f>
        <v>2014</v>
      </c>
      <c r="F1157" s="33">
        <f>DATE(YEAR(A1157),MONTH(A1157),1)</f>
        <v>41760.0</v>
      </c>
      <c r="G1157" t="str">
        <f>CHOOSE(WEEKDAY(A1157,2),"Mon","Tue","Wed","Thu","Fri","Sat","Sun")</f>
        <v>Mon</v>
      </c>
      <c r="H1157" t="str">
        <f>IF(WEEKDAY(A1157,2)&gt;5,"Weekend","Weekday")</f>
        <v>Weekday</v>
      </c>
      <c r="I1157" t="str">
        <f>_xlfn.IFS(B1157&lt;=5,"Night (0-5)",B1157&lt;=9,"Morning peak (6-9)",B1157&lt;=15,"Midday (10-15)",B1157&lt;=19,"Evening peak (16-19)",TRUE,"Late evening (20-23)")</f>
        <v>Night (0-5)</v>
      </c>
    </row>
    <row r="1158" spans="1:9">
      <c r="A1158" s="32">
        <v>41778</v>
      </c>
      <c r="B1158">
        <v>4</v>
      </c>
      <c r="C1158">
        <v>316</v>
      </c>
      <c r="D1158" t="s">
        <v>303</v>
      </c>
      <c r="E1158">
        <f>YEAR(A1158)</f>
        <v>2014</v>
      </c>
      <c r="F1158" s="33">
        <f>DATE(YEAR(A1158),MONTH(A1158),1)</f>
        <v>41760.0</v>
      </c>
      <c r="G1158" t="str">
        <f>CHOOSE(WEEKDAY(A1158,2),"Mon","Tue","Wed","Thu","Fri","Sat","Sun")</f>
        <v>Mon</v>
      </c>
      <c r="H1158" t="str">
        <f>IF(WEEKDAY(A1158,2)&gt;5,"Weekend","Weekday")</f>
        <v>Weekday</v>
      </c>
      <c r="I1158" t="str">
        <f>_xlfn.IFS(B1158&lt;=5,"Night (0-5)",B1158&lt;=9,"Morning peak (6-9)",B1158&lt;=15,"Midday (10-15)",B1158&lt;=19,"Evening peak (16-19)",TRUE,"Late evening (20-23)")</f>
        <v>Night (0-5)</v>
      </c>
    </row>
    <row r="1159" spans="1:9">
      <c r="A1159" s="32">
        <v>41778</v>
      </c>
      <c r="B1159">
        <v>5</v>
      </c>
      <c r="C1159">
        <v>466</v>
      </c>
      <c r="D1159" t="s">
        <v>303</v>
      </c>
      <c r="E1159">
        <f>YEAR(A1159)</f>
        <v>2014</v>
      </c>
      <c r="F1159" s="33">
        <f>DATE(YEAR(A1159),MONTH(A1159),1)</f>
        <v>41760.0</v>
      </c>
      <c r="G1159" t="str">
        <f>CHOOSE(WEEKDAY(A1159,2),"Mon","Tue","Wed","Thu","Fri","Sat","Sun")</f>
        <v>Mon</v>
      </c>
      <c r="H1159" t="str">
        <f>IF(WEEKDAY(A1159,2)&gt;5,"Weekend","Weekday")</f>
        <v>Weekday</v>
      </c>
      <c r="I1159" t="str">
        <f>_xlfn.IFS(B1159&lt;=5,"Night (0-5)",B1159&lt;=9,"Morning peak (6-9)",B1159&lt;=15,"Midday (10-15)",B1159&lt;=19,"Evening peak (16-19)",TRUE,"Late evening (20-23)")</f>
        <v>Night (0-5)</v>
      </c>
    </row>
    <row r="1160" spans="1:9">
      <c r="A1160" s="32">
        <v>41778</v>
      </c>
      <c r="B1160">
        <v>6</v>
      </c>
      <c r="C1160">
        <v>906</v>
      </c>
      <c r="D1160" t="s">
        <v>303</v>
      </c>
      <c r="E1160">
        <f>YEAR(A1160)</f>
        <v>2014</v>
      </c>
      <c r="F1160" s="33">
        <f>DATE(YEAR(A1160),MONTH(A1160),1)</f>
        <v>41760.0</v>
      </c>
      <c r="G1160" t="str">
        <f>CHOOSE(WEEKDAY(A1160,2),"Mon","Tue","Wed","Thu","Fri","Sat","Sun")</f>
        <v>Mon</v>
      </c>
      <c r="H1160" t="str">
        <f>IF(WEEKDAY(A1160,2)&gt;5,"Weekend","Weekday")</f>
        <v>Weekday</v>
      </c>
      <c r="I1160" t="str">
        <f>_xlfn.IFS(B1160&lt;=5,"Night (0-5)",B1160&lt;=9,"Morning peak (6-9)",B1160&lt;=15,"Midday (10-15)",B1160&lt;=19,"Evening peak (16-19)",TRUE,"Late evening (20-23)")</f>
        <v>Morning peak (6-9)</v>
      </c>
    </row>
    <row r="1161" spans="1:9">
      <c r="A1161" s="32">
        <v>41778</v>
      </c>
      <c r="B1161">
        <v>7</v>
      </c>
      <c r="C1161">
        <v>1077</v>
      </c>
      <c r="D1161" t="s">
        <v>303</v>
      </c>
      <c r="E1161">
        <f>YEAR(A1161)</f>
        <v>2014</v>
      </c>
      <c r="F1161" s="33">
        <f>DATE(YEAR(A1161),MONTH(A1161),1)</f>
        <v>41760.0</v>
      </c>
      <c r="G1161" t="str">
        <f>CHOOSE(WEEKDAY(A1161,2),"Mon","Tue","Wed","Thu","Fri","Sat","Sun")</f>
        <v>Mon</v>
      </c>
      <c r="H1161" t="str">
        <f>IF(WEEKDAY(A1161,2)&gt;5,"Weekend","Weekday")</f>
        <v>Weekday</v>
      </c>
      <c r="I1161" t="str">
        <f>_xlfn.IFS(B1161&lt;=5,"Night (0-5)",B1161&lt;=9,"Morning peak (6-9)",B1161&lt;=15,"Midday (10-15)",B1161&lt;=19,"Evening peak (16-19)",TRUE,"Late evening (20-23)")</f>
        <v>Morning peak (6-9)</v>
      </c>
    </row>
    <row r="1162" spans="1:9">
      <c r="A1162" s="32">
        <v>41778</v>
      </c>
      <c r="B1162">
        <v>8</v>
      </c>
      <c r="C1162">
        <v>979</v>
      </c>
      <c r="D1162" t="s">
        <v>303</v>
      </c>
      <c r="E1162">
        <f>YEAR(A1162)</f>
        <v>2014</v>
      </c>
      <c r="F1162" s="33">
        <f>DATE(YEAR(A1162),MONTH(A1162),1)</f>
        <v>41760.0</v>
      </c>
      <c r="G1162" t="str">
        <f>CHOOSE(WEEKDAY(A1162,2),"Mon","Tue","Wed","Thu","Fri","Sat","Sun")</f>
        <v>Mon</v>
      </c>
      <c r="H1162" t="str">
        <f>IF(WEEKDAY(A1162,2)&gt;5,"Weekend","Weekday")</f>
        <v>Weekday</v>
      </c>
      <c r="I1162" t="str">
        <f>_xlfn.IFS(B1162&lt;=5,"Night (0-5)",B1162&lt;=9,"Morning peak (6-9)",B1162&lt;=15,"Midday (10-15)",B1162&lt;=19,"Evening peak (16-19)",TRUE,"Late evening (20-23)")</f>
        <v>Morning peak (6-9)</v>
      </c>
    </row>
    <row r="1163" spans="1:9">
      <c r="A1163" s="32">
        <v>41778</v>
      </c>
      <c r="B1163">
        <v>9</v>
      </c>
      <c r="C1163">
        <v>675</v>
      </c>
      <c r="D1163" t="s">
        <v>303</v>
      </c>
      <c r="E1163">
        <f>YEAR(A1163)</f>
        <v>2014</v>
      </c>
      <c r="F1163" s="33">
        <f>DATE(YEAR(A1163),MONTH(A1163),1)</f>
        <v>41760.0</v>
      </c>
      <c r="G1163" t="str">
        <f>CHOOSE(WEEKDAY(A1163,2),"Mon","Tue","Wed","Thu","Fri","Sat","Sun")</f>
        <v>Mon</v>
      </c>
      <c r="H1163" t="str">
        <f>IF(WEEKDAY(A1163,2)&gt;5,"Weekend","Weekday")</f>
        <v>Weekday</v>
      </c>
      <c r="I1163" t="str">
        <f>_xlfn.IFS(B1163&lt;=5,"Night (0-5)",B1163&lt;=9,"Morning peak (6-9)",B1163&lt;=15,"Midday (10-15)",B1163&lt;=19,"Evening peak (16-19)",TRUE,"Late evening (20-23)")</f>
        <v>Morning peak (6-9)</v>
      </c>
    </row>
    <row r="1164" spans="1:9">
      <c r="A1164" s="32">
        <v>41778</v>
      </c>
      <c r="B1164">
        <v>10</v>
      </c>
      <c r="C1164">
        <v>599</v>
      </c>
      <c r="D1164" t="s">
        <v>303</v>
      </c>
      <c r="E1164">
        <f>YEAR(A1164)</f>
        <v>2014</v>
      </c>
      <c r="F1164" s="33">
        <f>DATE(YEAR(A1164),MONTH(A1164),1)</f>
        <v>41760.0</v>
      </c>
      <c r="G1164" t="str">
        <f>CHOOSE(WEEKDAY(A1164,2),"Mon","Tue","Wed","Thu","Fri","Sat","Sun")</f>
        <v>Mon</v>
      </c>
      <c r="H1164" t="str">
        <f>IF(WEEKDAY(A1164,2)&gt;5,"Weekend","Weekday")</f>
        <v>Weekday</v>
      </c>
      <c r="I1164" t="str">
        <f>_xlfn.IFS(B1164&lt;=5,"Night (0-5)",B1164&lt;=9,"Morning peak (6-9)",B1164&lt;=15,"Midday (10-15)",B1164&lt;=19,"Evening peak (16-19)",TRUE,"Late evening (20-23)")</f>
        <v>Midday (10-15)</v>
      </c>
    </row>
    <row r="1165" spans="1:9">
      <c r="A1165" s="32">
        <v>41778</v>
      </c>
      <c r="B1165">
        <v>11</v>
      </c>
      <c r="C1165">
        <v>658</v>
      </c>
      <c r="D1165" t="s">
        <v>303</v>
      </c>
      <c r="E1165">
        <f>YEAR(A1165)</f>
        <v>2014</v>
      </c>
      <c r="F1165" s="33">
        <f>DATE(YEAR(A1165),MONTH(A1165),1)</f>
        <v>41760.0</v>
      </c>
      <c r="G1165" t="str">
        <f>CHOOSE(WEEKDAY(A1165,2),"Mon","Tue","Wed","Thu","Fri","Sat","Sun")</f>
        <v>Mon</v>
      </c>
      <c r="H1165" t="str">
        <f>IF(WEEKDAY(A1165,2)&gt;5,"Weekend","Weekday")</f>
        <v>Weekday</v>
      </c>
      <c r="I1165" t="str">
        <f>_xlfn.IFS(B1165&lt;=5,"Night (0-5)",B1165&lt;=9,"Morning peak (6-9)",B1165&lt;=15,"Midday (10-15)",B1165&lt;=19,"Evening peak (16-19)",TRUE,"Late evening (20-23)")</f>
        <v>Midday (10-15)</v>
      </c>
    </row>
    <row r="1166" spans="1:9">
      <c r="A1166" s="32">
        <v>41778</v>
      </c>
      <c r="B1166">
        <v>12</v>
      </c>
      <c r="C1166">
        <v>674</v>
      </c>
      <c r="D1166" t="s">
        <v>303</v>
      </c>
      <c r="E1166">
        <f>YEAR(A1166)</f>
        <v>2014</v>
      </c>
      <c r="F1166" s="33">
        <f>DATE(YEAR(A1166),MONTH(A1166),1)</f>
        <v>41760.0</v>
      </c>
      <c r="G1166" t="str">
        <f>CHOOSE(WEEKDAY(A1166,2),"Mon","Tue","Wed","Thu","Fri","Sat","Sun")</f>
        <v>Mon</v>
      </c>
      <c r="H1166" t="str">
        <f>IF(WEEKDAY(A1166,2)&gt;5,"Weekend","Weekday")</f>
        <v>Weekday</v>
      </c>
      <c r="I1166" t="str">
        <f>_xlfn.IFS(B1166&lt;=5,"Night (0-5)",B1166&lt;=9,"Morning peak (6-9)",B1166&lt;=15,"Midday (10-15)",B1166&lt;=19,"Evening peak (16-19)",TRUE,"Late evening (20-23)")</f>
        <v>Midday (10-15)</v>
      </c>
    </row>
    <row r="1167" spans="1:9">
      <c r="A1167" s="32">
        <v>41778</v>
      </c>
      <c r="B1167">
        <v>13</v>
      </c>
      <c r="C1167">
        <v>835</v>
      </c>
      <c r="D1167" t="s">
        <v>303</v>
      </c>
      <c r="E1167">
        <f>YEAR(A1167)</f>
        <v>2014</v>
      </c>
      <c r="F1167" s="33">
        <f>DATE(YEAR(A1167),MONTH(A1167),1)</f>
        <v>41760.0</v>
      </c>
      <c r="G1167" t="str">
        <f>CHOOSE(WEEKDAY(A1167,2),"Mon","Tue","Wed","Thu","Fri","Sat","Sun")</f>
        <v>Mon</v>
      </c>
      <c r="H1167" t="str">
        <f>IF(WEEKDAY(A1167,2)&gt;5,"Weekend","Weekday")</f>
        <v>Weekday</v>
      </c>
      <c r="I1167" t="str">
        <f>_xlfn.IFS(B1167&lt;=5,"Night (0-5)",B1167&lt;=9,"Morning peak (6-9)",B1167&lt;=15,"Midday (10-15)",B1167&lt;=19,"Evening peak (16-19)",TRUE,"Late evening (20-23)")</f>
        <v>Midday (10-15)</v>
      </c>
    </row>
    <row r="1168" spans="1:9">
      <c r="A1168" s="32">
        <v>41778</v>
      </c>
      <c r="B1168">
        <v>14</v>
      </c>
      <c r="C1168">
        <v>1122</v>
      </c>
      <c r="D1168" t="s">
        <v>303</v>
      </c>
      <c r="E1168">
        <f>YEAR(A1168)</f>
        <v>2014</v>
      </c>
      <c r="F1168" s="33">
        <f>DATE(YEAR(A1168),MONTH(A1168),1)</f>
        <v>41760.0</v>
      </c>
      <c r="G1168" t="str">
        <f>CHOOSE(WEEKDAY(A1168,2),"Mon","Tue","Wed","Thu","Fri","Sat","Sun")</f>
        <v>Mon</v>
      </c>
      <c r="H1168" t="str">
        <f>IF(WEEKDAY(A1168,2)&gt;5,"Weekend","Weekday")</f>
        <v>Weekday</v>
      </c>
      <c r="I1168" t="str">
        <f>_xlfn.IFS(B1168&lt;=5,"Night (0-5)",B1168&lt;=9,"Morning peak (6-9)",B1168&lt;=15,"Midday (10-15)",B1168&lt;=19,"Evening peak (16-19)",TRUE,"Late evening (20-23)")</f>
        <v>Midday (10-15)</v>
      </c>
    </row>
    <row r="1169" spans="1:9">
      <c r="A1169" s="32">
        <v>41778</v>
      </c>
      <c r="B1169">
        <v>15</v>
      </c>
      <c r="C1169">
        <v>1280</v>
      </c>
      <c r="D1169" t="s">
        <v>303</v>
      </c>
      <c r="E1169">
        <f>YEAR(A1169)</f>
        <v>2014</v>
      </c>
      <c r="F1169" s="33">
        <f>DATE(YEAR(A1169),MONTH(A1169),1)</f>
        <v>41760.0</v>
      </c>
      <c r="G1169" t="str">
        <f>CHOOSE(WEEKDAY(A1169,2),"Mon","Tue","Wed","Thu","Fri","Sat","Sun")</f>
        <v>Mon</v>
      </c>
      <c r="H1169" t="str">
        <f>IF(WEEKDAY(A1169,2)&gt;5,"Weekend","Weekday")</f>
        <v>Weekday</v>
      </c>
      <c r="I1169" t="str">
        <f>_xlfn.IFS(B1169&lt;=5,"Night (0-5)",B1169&lt;=9,"Morning peak (6-9)",B1169&lt;=15,"Midday (10-15)",B1169&lt;=19,"Evening peak (16-19)",TRUE,"Late evening (20-23)")</f>
        <v>Midday (10-15)</v>
      </c>
    </row>
    <row r="1170" spans="1:9">
      <c r="A1170" s="32">
        <v>41778</v>
      </c>
      <c r="B1170">
        <v>16</v>
      </c>
      <c r="C1170">
        <v>1435</v>
      </c>
      <c r="D1170" t="s">
        <v>303</v>
      </c>
      <c r="E1170">
        <f>YEAR(A1170)</f>
        <v>2014</v>
      </c>
      <c r="F1170" s="33">
        <f>DATE(YEAR(A1170),MONTH(A1170),1)</f>
        <v>41760.0</v>
      </c>
      <c r="G1170" t="str">
        <f>CHOOSE(WEEKDAY(A1170,2),"Mon","Tue","Wed","Thu","Fri","Sat","Sun")</f>
        <v>Mon</v>
      </c>
      <c r="H1170" t="str">
        <f>IF(WEEKDAY(A1170,2)&gt;5,"Weekend","Weekday")</f>
        <v>Weekday</v>
      </c>
      <c r="I1170" t="str">
        <f>_xlfn.IFS(B1170&lt;=5,"Night (0-5)",B1170&lt;=9,"Morning peak (6-9)",B1170&lt;=15,"Midday (10-15)",B1170&lt;=19,"Evening peak (16-19)",TRUE,"Late evening (20-23)")</f>
        <v>Evening peak (16-19)</v>
      </c>
    </row>
    <row r="1171" spans="1:9">
      <c r="A1171" s="32">
        <v>41778</v>
      </c>
      <c r="B1171">
        <v>17</v>
      </c>
      <c r="C1171">
        <v>1558</v>
      </c>
      <c r="D1171" t="s">
        <v>303</v>
      </c>
      <c r="E1171">
        <f>YEAR(A1171)</f>
        <v>2014</v>
      </c>
      <c r="F1171" s="33">
        <f>DATE(YEAR(A1171),MONTH(A1171),1)</f>
        <v>41760.0</v>
      </c>
      <c r="G1171" t="str">
        <f>CHOOSE(WEEKDAY(A1171,2),"Mon","Tue","Wed","Thu","Fri","Sat","Sun")</f>
        <v>Mon</v>
      </c>
      <c r="H1171" t="str">
        <f>IF(WEEKDAY(A1171,2)&gt;5,"Weekend","Weekday")</f>
        <v>Weekday</v>
      </c>
      <c r="I1171" t="str">
        <f>_xlfn.IFS(B1171&lt;=5,"Night (0-5)",B1171&lt;=9,"Morning peak (6-9)",B1171&lt;=15,"Midday (10-15)",B1171&lt;=19,"Evening peak (16-19)",TRUE,"Late evening (20-23)")</f>
        <v>Evening peak (16-19)</v>
      </c>
    </row>
    <row r="1172" spans="1:9">
      <c r="A1172" s="32">
        <v>41778</v>
      </c>
      <c r="B1172">
        <v>18</v>
      </c>
      <c r="C1172">
        <v>1224</v>
      </c>
      <c r="D1172" t="s">
        <v>303</v>
      </c>
      <c r="E1172">
        <f>YEAR(A1172)</f>
        <v>2014</v>
      </c>
      <c r="F1172" s="33">
        <f>DATE(YEAR(A1172),MONTH(A1172),1)</f>
        <v>41760.0</v>
      </c>
      <c r="G1172" t="str">
        <f>CHOOSE(WEEKDAY(A1172,2),"Mon","Tue","Wed","Thu","Fri","Sat","Sun")</f>
        <v>Mon</v>
      </c>
      <c r="H1172" t="str">
        <f>IF(WEEKDAY(A1172,2)&gt;5,"Weekend","Weekday")</f>
        <v>Weekday</v>
      </c>
      <c r="I1172" t="str">
        <f>_xlfn.IFS(B1172&lt;=5,"Night (0-5)",B1172&lt;=9,"Morning peak (6-9)",B1172&lt;=15,"Midday (10-15)",B1172&lt;=19,"Evening peak (16-19)",TRUE,"Late evening (20-23)")</f>
        <v>Evening peak (16-19)</v>
      </c>
    </row>
    <row r="1173" spans="1:9">
      <c r="A1173" s="32">
        <v>41778</v>
      </c>
      <c r="B1173">
        <v>19</v>
      </c>
      <c r="C1173">
        <v>1023</v>
      </c>
      <c r="D1173" t="s">
        <v>303</v>
      </c>
      <c r="E1173">
        <f>YEAR(A1173)</f>
        <v>2014</v>
      </c>
      <c r="F1173" s="33">
        <f>DATE(YEAR(A1173),MONTH(A1173),1)</f>
        <v>41760.0</v>
      </c>
      <c r="G1173" t="str">
        <f>CHOOSE(WEEKDAY(A1173,2),"Mon","Tue","Wed","Thu","Fri","Sat","Sun")</f>
        <v>Mon</v>
      </c>
      <c r="H1173" t="str">
        <f>IF(WEEKDAY(A1173,2)&gt;5,"Weekend","Weekday")</f>
        <v>Weekday</v>
      </c>
      <c r="I1173" t="str">
        <f>_xlfn.IFS(B1173&lt;=5,"Night (0-5)",B1173&lt;=9,"Morning peak (6-9)",B1173&lt;=15,"Midday (10-15)",B1173&lt;=19,"Evening peak (16-19)",TRUE,"Late evening (20-23)")</f>
        <v>Evening peak (16-19)</v>
      </c>
    </row>
    <row r="1174" spans="1:9">
      <c r="A1174" s="32">
        <v>41778</v>
      </c>
      <c r="B1174">
        <v>20</v>
      </c>
      <c r="C1174">
        <v>1079</v>
      </c>
      <c r="D1174" t="s">
        <v>303</v>
      </c>
      <c r="E1174">
        <f>YEAR(A1174)</f>
        <v>2014</v>
      </c>
      <c r="F1174" s="33">
        <f>DATE(YEAR(A1174),MONTH(A1174),1)</f>
        <v>41760.0</v>
      </c>
      <c r="G1174" t="str">
        <f>CHOOSE(WEEKDAY(A1174,2),"Mon","Tue","Wed","Thu","Fri","Sat","Sun")</f>
        <v>Mon</v>
      </c>
      <c r="H1174" t="str">
        <f>IF(WEEKDAY(A1174,2)&gt;5,"Weekend","Weekday")</f>
        <v>Weekday</v>
      </c>
      <c r="I1174" t="str">
        <f>_xlfn.IFS(B1174&lt;=5,"Night (0-5)",B1174&lt;=9,"Morning peak (6-9)",B1174&lt;=15,"Midday (10-15)",B1174&lt;=19,"Evening peak (16-19)",TRUE,"Late evening (20-23)")</f>
        <v>Late evening (20-23)</v>
      </c>
    </row>
    <row r="1175" spans="1:9">
      <c r="A1175" s="32">
        <v>41778</v>
      </c>
      <c r="B1175">
        <v>21</v>
      </c>
      <c r="C1175">
        <v>1005</v>
      </c>
      <c r="D1175" t="s">
        <v>303</v>
      </c>
      <c r="E1175">
        <f>YEAR(A1175)</f>
        <v>2014</v>
      </c>
      <c r="F1175" s="33">
        <f>DATE(YEAR(A1175),MONTH(A1175),1)</f>
        <v>41760.0</v>
      </c>
      <c r="G1175" t="str">
        <f>CHOOSE(WEEKDAY(A1175,2),"Mon","Tue","Wed","Thu","Fri","Sat","Sun")</f>
        <v>Mon</v>
      </c>
      <c r="H1175" t="str">
        <f>IF(WEEKDAY(A1175,2)&gt;5,"Weekend","Weekday")</f>
        <v>Weekday</v>
      </c>
      <c r="I1175" t="str">
        <f>_xlfn.IFS(B1175&lt;=5,"Night (0-5)",B1175&lt;=9,"Morning peak (6-9)",B1175&lt;=15,"Midday (10-15)",B1175&lt;=19,"Evening peak (16-19)",TRUE,"Late evening (20-23)")</f>
        <v>Late evening (20-23)</v>
      </c>
    </row>
    <row r="1176" spans="1:9">
      <c r="A1176" s="32">
        <v>41778</v>
      </c>
      <c r="B1176">
        <v>22</v>
      </c>
      <c r="C1176">
        <v>605</v>
      </c>
      <c r="D1176" t="s">
        <v>303</v>
      </c>
      <c r="E1176">
        <f>YEAR(A1176)</f>
        <v>2014</v>
      </c>
      <c r="F1176" s="33">
        <f>DATE(YEAR(A1176),MONTH(A1176),1)</f>
        <v>41760.0</v>
      </c>
      <c r="G1176" t="str">
        <f>CHOOSE(WEEKDAY(A1176,2),"Mon","Tue","Wed","Thu","Fri","Sat","Sun")</f>
        <v>Mon</v>
      </c>
      <c r="H1176" t="str">
        <f>IF(WEEKDAY(A1176,2)&gt;5,"Weekend","Weekday")</f>
        <v>Weekday</v>
      </c>
      <c r="I1176" t="str">
        <f>_xlfn.IFS(B1176&lt;=5,"Night (0-5)",B1176&lt;=9,"Morning peak (6-9)",B1176&lt;=15,"Midday (10-15)",B1176&lt;=19,"Evening peak (16-19)",TRUE,"Late evening (20-23)")</f>
        <v>Late evening (20-23)</v>
      </c>
    </row>
    <row r="1177" spans="1:9">
      <c r="A1177" s="32">
        <v>41778</v>
      </c>
      <c r="B1177">
        <v>23</v>
      </c>
      <c r="C1177">
        <v>348</v>
      </c>
      <c r="D1177" t="s">
        <v>303</v>
      </c>
      <c r="E1177">
        <f>YEAR(A1177)</f>
        <v>2014</v>
      </c>
      <c r="F1177" s="33">
        <f>DATE(YEAR(A1177),MONTH(A1177),1)</f>
        <v>41760.0</v>
      </c>
      <c r="G1177" t="str">
        <f>CHOOSE(WEEKDAY(A1177,2),"Mon","Tue","Wed","Thu","Fri","Sat","Sun")</f>
        <v>Mon</v>
      </c>
      <c r="H1177" t="str">
        <f>IF(WEEKDAY(A1177,2)&gt;5,"Weekend","Weekday")</f>
        <v>Weekday</v>
      </c>
      <c r="I1177" t="str">
        <f>_xlfn.IFS(B1177&lt;=5,"Night (0-5)",B1177&lt;=9,"Morning peak (6-9)",B1177&lt;=15,"Midday (10-15)",B1177&lt;=19,"Evening peak (16-19)",TRUE,"Late evening (20-23)")</f>
        <v>Late evening (20-23)</v>
      </c>
    </row>
    <row r="1178" spans="1:9">
      <c r="A1178" s="32">
        <v>41779</v>
      </c>
      <c r="B1178">
        <v>0</v>
      </c>
      <c r="C1178">
        <v>180</v>
      </c>
      <c r="D1178" t="s">
        <v>303</v>
      </c>
      <c r="E1178">
        <f>YEAR(A1178)</f>
        <v>2014</v>
      </c>
      <c r="F1178" s="33">
        <f>DATE(YEAR(A1178),MONTH(A1178),1)</f>
        <v>41760.0</v>
      </c>
      <c r="G1178" t="str">
        <f>CHOOSE(WEEKDAY(A1178,2),"Mon","Tue","Wed","Thu","Fri","Sat","Sun")</f>
        <v>Tue</v>
      </c>
      <c r="H1178" t="str">
        <f>IF(WEEKDAY(A1178,2)&gt;5,"Weekend","Weekday")</f>
        <v>Weekday</v>
      </c>
      <c r="I1178" t="str">
        <f>_xlfn.IFS(B1178&lt;=5,"Night (0-5)",B1178&lt;=9,"Morning peak (6-9)",B1178&lt;=15,"Midday (10-15)",B1178&lt;=19,"Evening peak (16-19)",TRUE,"Late evening (20-23)")</f>
        <v>Night (0-5)</v>
      </c>
    </row>
    <row r="1179" spans="1:9">
      <c r="A1179" s="32">
        <v>41779</v>
      </c>
      <c r="B1179">
        <v>1</v>
      </c>
      <c r="C1179">
        <v>96</v>
      </c>
      <c r="D1179" t="s">
        <v>303</v>
      </c>
      <c r="E1179">
        <f>YEAR(A1179)</f>
        <v>2014</v>
      </c>
      <c r="F1179" s="33">
        <f>DATE(YEAR(A1179),MONTH(A1179),1)</f>
        <v>41760.0</v>
      </c>
      <c r="G1179" t="str">
        <f>CHOOSE(WEEKDAY(A1179,2),"Mon","Tue","Wed","Thu","Fri","Sat","Sun")</f>
        <v>Tue</v>
      </c>
      <c r="H1179" t="str">
        <f>IF(WEEKDAY(A1179,2)&gt;5,"Weekend","Weekday")</f>
        <v>Weekday</v>
      </c>
      <c r="I1179" t="str">
        <f>_xlfn.IFS(B1179&lt;=5,"Night (0-5)",B1179&lt;=9,"Morning peak (6-9)",B1179&lt;=15,"Midday (10-15)",B1179&lt;=19,"Evening peak (16-19)",TRUE,"Late evening (20-23)")</f>
        <v>Night (0-5)</v>
      </c>
    </row>
    <row r="1180" spans="1:9">
      <c r="A1180" s="32">
        <v>41779</v>
      </c>
      <c r="B1180">
        <v>2</v>
      </c>
      <c r="C1180">
        <v>75</v>
      </c>
      <c r="D1180" t="s">
        <v>303</v>
      </c>
      <c r="E1180">
        <f>YEAR(A1180)</f>
        <v>2014</v>
      </c>
      <c r="F1180" s="33">
        <f>DATE(YEAR(A1180),MONTH(A1180),1)</f>
        <v>41760.0</v>
      </c>
      <c r="G1180" t="str">
        <f>CHOOSE(WEEKDAY(A1180,2),"Mon","Tue","Wed","Thu","Fri","Sat","Sun")</f>
        <v>Tue</v>
      </c>
      <c r="H1180" t="str">
        <f>IF(WEEKDAY(A1180,2)&gt;5,"Weekend","Weekday")</f>
        <v>Weekday</v>
      </c>
      <c r="I1180" t="str">
        <f>_xlfn.IFS(B1180&lt;=5,"Night (0-5)",B1180&lt;=9,"Morning peak (6-9)",B1180&lt;=15,"Midday (10-15)",B1180&lt;=19,"Evening peak (16-19)",TRUE,"Late evening (20-23)")</f>
        <v>Night (0-5)</v>
      </c>
    </row>
    <row r="1181" spans="1:9">
      <c r="A1181" s="32">
        <v>41779</v>
      </c>
      <c r="B1181">
        <v>3</v>
      </c>
      <c r="C1181">
        <v>150</v>
      </c>
      <c r="D1181" t="s">
        <v>303</v>
      </c>
      <c r="E1181">
        <f>YEAR(A1181)</f>
        <v>2014</v>
      </c>
      <c r="F1181" s="33">
        <f>DATE(YEAR(A1181),MONTH(A1181),1)</f>
        <v>41760.0</v>
      </c>
      <c r="G1181" t="str">
        <f>CHOOSE(WEEKDAY(A1181,2),"Mon","Tue","Wed","Thu","Fri","Sat","Sun")</f>
        <v>Tue</v>
      </c>
      <c r="H1181" t="str">
        <f>IF(WEEKDAY(A1181,2)&gt;5,"Weekend","Weekday")</f>
        <v>Weekday</v>
      </c>
      <c r="I1181" t="str">
        <f>_xlfn.IFS(B1181&lt;=5,"Night (0-5)",B1181&lt;=9,"Morning peak (6-9)",B1181&lt;=15,"Midday (10-15)",B1181&lt;=19,"Evening peak (16-19)",TRUE,"Late evening (20-23)")</f>
        <v>Night (0-5)</v>
      </c>
    </row>
    <row r="1182" spans="1:9">
      <c r="A1182" s="32">
        <v>41779</v>
      </c>
      <c r="B1182">
        <v>4</v>
      </c>
      <c r="C1182">
        <v>221</v>
      </c>
      <c r="D1182" t="s">
        <v>303</v>
      </c>
      <c r="E1182">
        <f>YEAR(A1182)</f>
        <v>2014</v>
      </c>
      <c r="F1182" s="33">
        <f>DATE(YEAR(A1182),MONTH(A1182),1)</f>
        <v>41760.0</v>
      </c>
      <c r="G1182" t="str">
        <f>CHOOSE(WEEKDAY(A1182,2),"Mon","Tue","Wed","Thu","Fri","Sat","Sun")</f>
        <v>Tue</v>
      </c>
      <c r="H1182" t="str">
        <f>IF(WEEKDAY(A1182,2)&gt;5,"Weekend","Weekday")</f>
        <v>Weekday</v>
      </c>
      <c r="I1182" t="str">
        <f>_xlfn.IFS(B1182&lt;=5,"Night (0-5)",B1182&lt;=9,"Morning peak (6-9)",B1182&lt;=15,"Midday (10-15)",B1182&lt;=19,"Evening peak (16-19)",TRUE,"Late evening (20-23)")</f>
        <v>Night (0-5)</v>
      </c>
    </row>
    <row r="1183" spans="1:9">
      <c r="A1183" s="32">
        <v>41779</v>
      </c>
      <c r="B1183">
        <v>5</v>
      </c>
      <c r="C1183">
        <v>390</v>
      </c>
      <c r="D1183" t="s">
        <v>303</v>
      </c>
      <c r="E1183">
        <f>YEAR(A1183)</f>
        <v>2014</v>
      </c>
      <c r="F1183" s="33">
        <f>DATE(YEAR(A1183),MONTH(A1183),1)</f>
        <v>41760.0</v>
      </c>
      <c r="G1183" t="str">
        <f>CHOOSE(WEEKDAY(A1183,2),"Mon","Tue","Wed","Thu","Fri","Sat","Sun")</f>
        <v>Tue</v>
      </c>
      <c r="H1183" t="str">
        <f>IF(WEEKDAY(A1183,2)&gt;5,"Weekend","Weekday")</f>
        <v>Weekday</v>
      </c>
      <c r="I1183" t="str">
        <f>_xlfn.IFS(B1183&lt;=5,"Night (0-5)",B1183&lt;=9,"Morning peak (6-9)",B1183&lt;=15,"Midday (10-15)",B1183&lt;=19,"Evening peak (16-19)",TRUE,"Late evening (20-23)")</f>
        <v>Night (0-5)</v>
      </c>
    </row>
    <row r="1184" spans="1:9">
      <c r="A1184" s="32">
        <v>41779</v>
      </c>
      <c r="B1184">
        <v>6</v>
      </c>
      <c r="C1184">
        <v>844</v>
      </c>
      <c r="D1184" t="s">
        <v>303</v>
      </c>
      <c r="E1184">
        <f>YEAR(A1184)</f>
        <v>2014</v>
      </c>
      <c r="F1184" s="33">
        <f>DATE(YEAR(A1184),MONTH(A1184),1)</f>
        <v>41760.0</v>
      </c>
      <c r="G1184" t="str">
        <f>CHOOSE(WEEKDAY(A1184,2),"Mon","Tue","Wed","Thu","Fri","Sat","Sun")</f>
        <v>Tue</v>
      </c>
      <c r="H1184" t="str">
        <f>IF(WEEKDAY(A1184,2)&gt;5,"Weekend","Weekday")</f>
        <v>Weekday</v>
      </c>
      <c r="I1184" t="str">
        <f>_xlfn.IFS(B1184&lt;=5,"Night (0-5)",B1184&lt;=9,"Morning peak (6-9)",B1184&lt;=15,"Midday (10-15)",B1184&lt;=19,"Evening peak (16-19)",TRUE,"Late evening (20-23)")</f>
        <v>Morning peak (6-9)</v>
      </c>
    </row>
    <row r="1185" spans="1:9">
      <c r="A1185" s="32">
        <v>41779</v>
      </c>
      <c r="B1185">
        <v>7</v>
      </c>
      <c r="C1185">
        <v>1122</v>
      </c>
      <c r="D1185" t="s">
        <v>303</v>
      </c>
      <c r="E1185">
        <f>YEAR(A1185)</f>
        <v>2014</v>
      </c>
      <c r="F1185" s="33">
        <f>DATE(YEAR(A1185),MONTH(A1185),1)</f>
        <v>41760.0</v>
      </c>
      <c r="G1185" t="str">
        <f>CHOOSE(WEEKDAY(A1185,2),"Mon","Tue","Wed","Thu","Fri","Sat","Sun")</f>
        <v>Tue</v>
      </c>
      <c r="H1185" t="str">
        <f>IF(WEEKDAY(A1185,2)&gt;5,"Weekend","Weekday")</f>
        <v>Weekday</v>
      </c>
      <c r="I1185" t="str">
        <f>_xlfn.IFS(B1185&lt;=5,"Night (0-5)",B1185&lt;=9,"Morning peak (6-9)",B1185&lt;=15,"Midday (10-15)",B1185&lt;=19,"Evening peak (16-19)",TRUE,"Late evening (20-23)")</f>
        <v>Morning peak (6-9)</v>
      </c>
    </row>
    <row r="1186" spans="1:9">
      <c r="A1186" s="32">
        <v>41779</v>
      </c>
      <c r="B1186">
        <v>8</v>
      </c>
      <c r="C1186">
        <v>959</v>
      </c>
      <c r="D1186" t="s">
        <v>303</v>
      </c>
      <c r="E1186">
        <f>YEAR(A1186)</f>
        <v>2014</v>
      </c>
      <c r="F1186" s="33">
        <f>DATE(YEAR(A1186),MONTH(A1186),1)</f>
        <v>41760.0</v>
      </c>
      <c r="G1186" t="str">
        <f>CHOOSE(WEEKDAY(A1186,2),"Mon","Tue","Wed","Thu","Fri","Sat","Sun")</f>
        <v>Tue</v>
      </c>
      <c r="H1186" t="str">
        <f>IF(WEEKDAY(A1186,2)&gt;5,"Weekend","Weekday")</f>
        <v>Weekday</v>
      </c>
      <c r="I1186" t="str">
        <f>_xlfn.IFS(B1186&lt;=5,"Night (0-5)",B1186&lt;=9,"Morning peak (6-9)",B1186&lt;=15,"Midday (10-15)",B1186&lt;=19,"Evening peak (16-19)",TRUE,"Late evening (20-23)")</f>
        <v>Morning peak (6-9)</v>
      </c>
    </row>
    <row r="1187" spans="1:9">
      <c r="A1187" s="32">
        <v>41779</v>
      </c>
      <c r="B1187">
        <v>9</v>
      </c>
      <c r="C1187">
        <v>728</v>
      </c>
      <c r="D1187" t="s">
        <v>303</v>
      </c>
      <c r="E1187">
        <f>YEAR(A1187)</f>
        <v>2014</v>
      </c>
      <c r="F1187" s="33">
        <f>DATE(YEAR(A1187),MONTH(A1187),1)</f>
        <v>41760.0</v>
      </c>
      <c r="G1187" t="str">
        <f>CHOOSE(WEEKDAY(A1187,2),"Mon","Tue","Wed","Thu","Fri","Sat","Sun")</f>
        <v>Tue</v>
      </c>
      <c r="H1187" t="str">
        <f>IF(WEEKDAY(A1187,2)&gt;5,"Weekend","Weekday")</f>
        <v>Weekday</v>
      </c>
      <c r="I1187" t="str">
        <f>_xlfn.IFS(B1187&lt;=5,"Night (0-5)",B1187&lt;=9,"Morning peak (6-9)",B1187&lt;=15,"Midday (10-15)",B1187&lt;=19,"Evening peak (16-19)",TRUE,"Late evening (20-23)")</f>
        <v>Morning peak (6-9)</v>
      </c>
    </row>
    <row r="1188" spans="1:9">
      <c r="A1188" s="32">
        <v>41779</v>
      </c>
      <c r="B1188">
        <v>10</v>
      </c>
      <c r="C1188">
        <v>706</v>
      </c>
      <c r="D1188" t="s">
        <v>303</v>
      </c>
      <c r="E1188">
        <f>YEAR(A1188)</f>
        <v>2014</v>
      </c>
      <c r="F1188" s="33">
        <f>DATE(YEAR(A1188),MONTH(A1188),1)</f>
        <v>41760.0</v>
      </c>
      <c r="G1188" t="str">
        <f>CHOOSE(WEEKDAY(A1188,2),"Mon","Tue","Wed","Thu","Fri","Sat","Sun")</f>
        <v>Tue</v>
      </c>
      <c r="H1188" t="str">
        <f>IF(WEEKDAY(A1188,2)&gt;5,"Weekend","Weekday")</f>
        <v>Weekday</v>
      </c>
      <c r="I1188" t="str">
        <f>_xlfn.IFS(B1188&lt;=5,"Night (0-5)",B1188&lt;=9,"Morning peak (6-9)",B1188&lt;=15,"Midday (10-15)",B1188&lt;=19,"Evening peak (16-19)",TRUE,"Late evening (20-23)")</f>
        <v>Midday (10-15)</v>
      </c>
    </row>
    <row r="1189" spans="1:9">
      <c r="A1189" s="32">
        <v>41779</v>
      </c>
      <c r="B1189">
        <v>11</v>
      </c>
      <c r="C1189">
        <v>746</v>
      </c>
      <c r="D1189" t="s">
        <v>303</v>
      </c>
      <c r="E1189">
        <f>YEAR(A1189)</f>
        <v>2014</v>
      </c>
      <c r="F1189" s="33">
        <f>DATE(YEAR(A1189),MONTH(A1189),1)</f>
        <v>41760.0</v>
      </c>
      <c r="G1189" t="str">
        <f>CHOOSE(WEEKDAY(A1189,2),"Mon","Tue","Wed","Thu","Fri","Sat","Sun")</f>
        <v>Tue</v>
      </c>
      <c r="H1189" t="str">
        <f>IF(WEEKDAY(A1189,2)&gt;5,"Weekend","Weekday")</f>
        <v>Weekday</v>
      </c>
      <c r="I1189" t="str">
        <f>_xlfn.IFS(B1189&lt;=5,"Night (0-5)",B1189&lt;=9,"Morning peak (6-9)",B1189&lt;=15,"Midday (10-15)",B1189&lt;=19,"Evening peak (16-19)",TRUE,"Late evening (20-23)")</f>
        <v>Midday (10-15)</v>
      </c>
    </row>
    <row r="1190" spans="1:9">
      <c r="A1190" s="32">
        <v>41779</v>
      </c>
      <c r="B1190">
        <v>12</v>
      </c>
      <c r="C1190">
        <v>781</v>
      </c>
      <c r="D1190" t="s">
        <v>303</v>
      </c>
      <c r="E1190">
        <f>YEAR(A1190)</f>
        <v>2014</v>
      </c>
      <c r="F1190" s="33">
        <f>DATE(YEAR(A1190),MONTH(A1190),1)</f>
        <v>41760.0</v>
      </c>
      <c r="G1190" t="str">
        <f>CHOOSE(WEEKDAY(A1190,2),"Mon","Tue","Wed","Thu","Fri","Sat","Sun")</f>
        <v>Tue</v>
      </c>
      <c r="H1190" t="str">
        <f>IF(WEEKDAY(A1190,2)&gt;5,"Weekend","Weekday")</f>
        <v>Weekday</v>
      </c>
      <c r="I1190" t="str">
        <f>_xlfn.IFS(B1190&lt;=5,"Night (0-5)",B1190&lt;=9,"Morning peak (6-9)",B1190&lt;=15,"Midday (10-15)",B1190&lt;=19,"Evening peak (16-19)",TRUE,"Late evening (20-23)")</f>
        <v>Midday (10-15)</v>
      </c>
    </row>
    <row r="1191" spans="1:9">
      <c r="A1191" s="32">
        <v>41779</v>
      </c>
      <c r="B1191">
        <v>13</v>
      </c>
      <c r="C1191">
        <v>959</v>
      </c>
      <c r="D1191" t="s">
        <v>303</v>
      </c>
      <c r="E1191">
        <f>YEAR(A1191)</f>
        <v>2014</v>
      </c>
      <c r="F1191" s="33">
        <f>DATE(YEAR(A1191),MONTH(A1191),1)</f>
        <v>41760.0</v>
      </c>
      <c r="G1191" t="str">
        <f>CHOOSE(WEEKDAY(A1191,2),"Mon","Tue","Wed","Thu","Fri","Sat","Sun")</f>
        <v>Tue</v>
      </c>
      <c r="H1191" t="str">
        <f>IF(WEEKDAY(A1191,2)&gt;5,"Weekend","Weekday")</f>
        <v>Weekday</v>
      </c>
      <c r="I1191" t="str">
        <f>_xlfn.IFS(B1191&lt;=5,"Night (0-5)",B1191&lt;=9,"Morning peak (6-9)",B1191&lt;=15,"Midday (10-15)",B1191&lt;=19,"Evening peak (16-19)",TRUE,"Late evening (20-23)")</f>
        <v>Midday (10-15)</v>
      </c>
    </row>
    <row r="1192" spans="1:9">
      <c r="A1192" s="32">
        <v>41779</v>
      </c>
      <c r="B1192">
        <v>14</v>
      </c>
      <c r="C1192">
        <v>1194</v>
      </c>
      <c r="D1192" t="s">
        <v>303</v>
      </c>
      <c r="E1192">
        <f>YEAR(A1192)</f>
        <v>2014</v>
      </c>
      <c r="F1192" s="33">
        <f>DATE(YEAR(A1192),MONTH(A1192),1)</f>
        <v>41760.0</v>
      </c>
      <c r="G1192" t="str">
        <f>CHOOSE(WEEKDAY(A1192,2),"Mon","Tue","Wed","Thu","Fri","Sat","Sun")</f>
        <v>Tue</v>
      </c>
      <c r="H1192" t="str">
        <f>IF(WEEKDAY(A1192,2)&gt;5,"Weekend","Weekday")</f>
        <v>Weekday</v>
      </c>
      <c r="I1192" t="str">
        <f>_xlfn.IFS(B1192&lt;=5,"Night (0-5)",B1192&lt;=9,"Morning peak (6-9)",B1192&lt;=15,"Midday (10-15)",B1192&lt;=19,"Evening peak (16-19)",TRUE,"Late evening (20-23)")</f>
        <v>Midday (10-15)</v>
      </c>
    </row>
    <row r="1193" spans="1:9">
      <c r="A1193" s="32">
        <v>41779</v>
      </c>
      <c r="B1193">
        <v>15</v>
      </c>
      <c r="C1193">
        <v>1407</v>
      </c>
      <c r="D1193" t="s">
        <v>303</v>
      </c>
      <c r="E1193">
        <f>YEAR(A1193)</f>
        <v>2014</v>
      </c>
      <c r="F1193" s="33">
        <f>DATE(YEAR(A1193),MONTH(A1193),1)</f>
        <v>41760.0</v>
      </c>
      <c r="G1193" t="str">
        <f>CHOOSE(WEEKDAY(A1193,2),"Mon","Tue","Wed","Thu","Fri","Sat","Sun")</f>
        <v>Tue</v>
      </c>
      <c r="H1193" t="str">
        <f>IF(WEEKDAY(A1193,2)&gt;5,"Weekend","Weekday")</f>
        <v>Weekday</v>
      </c>
      <c r="I1193" t="str">
        <f>_xlfn.IFS(B1193&lt;=5,"Night (0-5)",B1193&lt;=9,"Morning peak (6-9)",B1193&lt;=15,"Midday (10-15)",B1193&lt;=19,"Evening peak (16-19)",TRUE,"Late evening (20-23)")</f>
        <v>Midday (10-15)</v>
      </c>
    </row>
    <row r="1194" spans="1:9">
      <c r="A1194" s="32">
        <v>41779</v>
      </c>
      <c r="B1194">
        <v>16</v>
      </c>
      <c r="C1194">
        <v>1596</v>
      </c>
      <c r="D1194" t="s">
        <v>303</v>
      </c>
      <c r="E1194">
        <f>YEAR(A1194)</f>
        <v>2014</v>
      </c>
      <c r="F1194" s="33">
        <f>DATE(YEAR(A1194),MONTH(A1194),1)</f>
        <v>41760.0</v>
      </c>
      <c r="G1194" t="str">
        <f>CHOOSE(WEEKDAY(A1194,2),"Mon","Tue","Wed","Thu","Fri","Sat","Sun")</f>
        <v>Tue</v>
      </c>
      <c r="H1194" t="str">
        <f>IF(WEEKDAY(A1194,2)&gt;5,"Weekend","Weekday")</f>
        <v>Weekday</v>
      </c>
      <c r="I1194" t="str">
        <f>_xlfn.IFS(B1194&lt;=5,"Night (0-5)",B1194&lt;=9,"Morning peak (6-9)",B1194&lt;=15,"Midday (10-15)",B1194&lt;=19,"Evening peak (16-19)",TRUE,"Late evening (20-23)")</f>
        <v>Evening peak (16-19)</v>
      </c>
    </row>
    <row r="1195" spans="1:9">
      <c r="A1195" s="32">
        <v>41779</v>
      </c>
      <c r="B1195">
        <v>17</v>
      </c>
      <c r="C1195">
        <v>1805</v>
      </c>
      <c r="D1195" t="s">
        <v>303</v>
      </c>
      <c r="E1195">
        <f>YEAR(A1195)</f>
        <v>2014</v>
      </c>
      <c r="F1195" s="33">
        <f>DATE(YEAR(A1195),MONTH(A1195),1)</f>
        <v>41760.0</v>
      </c>
      <c r="G1195" t="str">
        <f>CHOOSE(WEEKDAY(A1195,2),"Mon","Tue","Wed","Thu","Fri","Sat","Sun")</f>
        <v>Tue</v>
      </c>
      <c r="H1195" t="str">
        <f>IF(WEEKDAY(A1195,2)&gt;5,"Weekend","Weekday")</f>
        <v>Weekday</v>
      </c>
      <c r="I1195" t="str">
        <f>_xlfn.IFS(B1195&lt;=5,"Night (0-5)",B1195&lt;=9,"Morning peak (6-9)",B1195&lt;=15,"Midday (10-15)",B1195&lt;=19,"Evening peak (16-19)",TRUE,"Late evening (20-23)")</f>
        <v>Evening peak (16-19)</v>
      </c>
    </row>
    <row r="1196" spans="1:9">
      <c r="A1196" s="32">
        <v>41779</v>
      </c>
      <c r="B1196">
        <v>18</v>
      </c>
      <c r="C1196">
        <v>1508</v>
      </c>
      <c r="D1196" t="s">
        <v>303</v>
      </c>
      <c r="E1196">
        <f>YEAR(A1196)</f>
        <v>2014</v>
      </c>
      <c r="F1196" s="33">
        <f>DATE(YEAR(A1196),MONTH(A1196),1)</f>
        <v>41760.0</v>
      </c>
      <c r="G1196" t="str">
        <f>CHOOSE(WEEKDAY(A1196,2),"Mon","Tue","Wed","Thu","Fri","Sat","Sun")</f>
        <v>Tue</v>
      </c>
      <c r="H1196" t="str">
        <f>IF(WEEKDAY(A1196,2)&gt;5,"Weekend","Weekday")</f>
        <v>Weekday</v>
      </c>
      <c r="I1196" t="str">
        <f>_xlfn.IFS(B1196&lt;=5,"Night (0-5)",B1196&lt;=9,"Morning peak (6-9)",B1196&lt;=15,"Midday (10-15)",B1196&lt;=19,"Evening peak (16-19)",TRUE,"Late evening (20-23)")</f>
        <v>Evening peak (16-19)</v>
      </c>
    </row>
    <row r="1197" spans="1:9">
      <c r="A1197" s="32">
        <v>41779</v>
      </c>
      <c r="B1197">
        <v>19</v>
      </c>
      <c r="C1197">
        <v>1334</v>
      </c>
      <c r="D1197" t="s">
        <v>303</v>
      </c>
      <c r="E1197">
        <f>YEAR(A1197)</f>
        <v>2014</v>
      </c>
      <c r="F1197" s="33">
        <f>DATE(YEAR(A1197),MONTH(A1197),1)</f>
        <v>41760.0</v>
      </c>
      <c r="G1197" t="str">
        <f>CHOOSE(WEEKDAY(A1197,2),"Mon","Tue","Wed","Thu","Fri","Sat","Sun")</f>
        <v>Tue</v>
      </c>
      <c r="H1197" t="str">
        <f>IF(WEEKDAY(A1197,2)&gt;5,"Weekend","Weekday")</f>
        <v>Weekday</v>
      </c>
      <c r="I1197" t="str">
        <f>_xlfn.IFS(B1197&lt;=5,"Night (0-5)",B1197&lt;=9,"Morning peak (6-9)",B1197&lt;=15,"Midday (10-15)",B1197&lt;=19,"Evening peak (16-19)",TRUE,"Late evening (20-23)")</f>
        <v>Evening peak (16-19)</v>
      </c>
    </row>
    <row r="1198" spans="1:9">
      <c r="A1198" s="32">
        <v>41779</v>
      </c>
      <c r="B1198">
        <v>20</v>
      </c>
      <c r="C1198">
        <v>1421</v>
      </c>
      <c r="D1198" t="s">
        <v>303</v>
      </c>
      <c r="E1198">
        <f>YEAR(A1198)</f>
        <v>2014</v>
      </c>
      <c r="F1198" s="33">
        <f>DATE(YEAR(A1198),MONTH(A1198),1)</f>
        <v>41760.0</v>
      </c>
      <c r="G1198" t="str">
        <f>CHOOSE(WEEKDAY(A1198,2),"Mon","Tue","Wed","Thu","Fri","Sat","Sun")</f>
        <v>Tue</v>
      </c>
      <c r="H1198" t="str">
        <f>IF(WEEKDAY(A1198,2)&gt;5,"Weekend","Weekday")</f>
        <v>Weekday</v>
      </c>
      <c r="I1198" t="str">
        <f>_xlfn.IFS(B1198&lt;=5,"Night (0-5)",B1198&lt;=9,"Morning peak (6-9)",B1198&lt;=15,"Midday (10-15)",B1198&lt;=19,"Evening peak (16-19)",TRUE,"Late evening (20-23)")</f>
        <v>Late evening (20-23)</v>
      </c>
    </row>
    <row r="1199" spans="1:9">
      <c r="A1199" s="32">
        <v>41779</v>
      </c>
      <c r="B1199">
        <v>21</v>
      </c>
      <c r="C1199">
        <v>1286</v>
      </c>
      <c r="D1199" t="s">
        <v>303</v>
      </c>
      <c r="E1199">
        <f>YEAR(A1199)</f>
        <v>2014</v>
      </c>
      <c r="F1199" s="33">
        <f>DATE(YEAR(A1199),MONTH(A1199),1)</f>
        <v>41760.0</v>
      </c>
      <c r="G1199" t="str">
        <f>CHOOSE(WEEKDAY(A1199,2),"Mon","Tue","Wed","Thu","Fri","Sat","Sun")</f>
        <v>Tue</v>
      </c>
      <c r="H1199" t="str">
        <f>IF(WEEKDAY(A1199,2)&gt;5,"Weekend","Weekday")</f>
        <v>Weekday</v>
      </c>
      <c r="I1199" t="str">
        <f>_xlfn.IFS(B1199&lt;=5,"Night (0-5)",B1199&lt;=9,"Morning peak (6-9)",B1199&lt;=15,"Midday (10-15)",B1199&lt;=19,"Evening peak (16-19)",TRUE,"Late evening (20-23)")</f>
        <v>Late evening (20-23)</v>
      </c>
    </row>
    <row r="1200" spans="1:9">
      <c r="A1200" s="32">
        <v>41779</v>
      </c>
      <c r="B1200">
        <v>22</v>
      </c>
      <c r="C1200">
        <v>894</v>
      </c>
      <c r="D1200" t="s">
        <v>303</v>
      </c>
      <c r="E1200">
        <f>YEAR(A1200)</f>
        <v>2014</v>
      </c>
      <c r="F1200" s="33">
        <f>DATE(YEAR(A1200),MONTH(A1200),1)</f>
        <v>41760.0</v>
      </c>
      <c r="G1200" t="str">
        <f>CHOOSE(WEEKDAY(A1200,2),"Mon","Tue","Wed","Thu","Fri","Sat","Sun")</f>
        <v>Tue</v>
      </c>
      <c r="H1200" t="str">
        <f>IF(WEEKDAY(A1200,2)&gt;5,"Weekend","Weekday")</f>
        <v>Weekday</v>
      </c>
      <c r="I1200" t="str">
        <f>_xlfn.IFS(B1200&lt;=5,"Night (0-5)",B1200&lt;=9,"Morning peak (6-9)",B1200&lt;=15,"Midday (10-15)",B1200&lt;=19,"Evening peak (16-19)",TRUE,"Late evening (20-23)")</f>
        <v>Late evening (20-23)</v>
      </c>
    </row>
    <row r="1201" spans="1:9">
      <c r="A1201" s="32">
        <v>41779</v>
      </c>
      <c r="B1201">
        <v>23</v>
      </c>
      <c r="C1201">
        <v>458</v>
      </c>
      <c r="D1201" t="s">
        <v>303</v>
      </c>
      <c r="E1201">
        <f>YEAR(A1201)</f>
        <v>2014</v>
      </c>
      <c r="F1201" s="33">
        <f>DATE(YEAR(A1201),MONTH(A1201),1)</f>
        <v>41760.0</v>
      </c>
      <c r="G1201" t="str">
        <f>CHOOSE(WEEKDAY(A1201,2),"Mon","Tue","Wed","Thu","Fri","Sat","Sun")</f>
        <v>Tue</v>
      </c>
      <c r="H1201" t="str">
        <f>IF(WEEKDAY(A1201,2)&gt;5,"Weekend","Weekday")</f>
        <v>Weekday</v>
      </c>
      <c r="I1201" t="str">
        <f>_xlfn.IFS(B1201&lt;=5,"Night (0-5)",B1201&lt;=9,"Morning peak (6-9)",B1201&lt;=15,"Midday (10-15)",B1201&lt;=19,"Evening peak (16-19)",TRUE,"Late evening (20-23)")</f>
        <v>Late evening (20-23)</v>
      </c>
    </row>
    <row r="1202" spans="1:9">
      <c r="A1202" s="32">
        <v>41780</v>
      </c>
      <c r="B1202">
        <v>0</v>
      </c>
      <c r="C1202">
        <v>214</v>
      </c>
      <c r="D1202" t="s">
        <v>303</v>
      </c>
      <c r="E1202">
        <f>YEAR(A1202)</f>
        <v>2014</v>
      </c>
      <c r="F1202" s="33">
        <f>DATE(YEAR(A1202),MONTH(A1202),1)</f>
        <v>41760.0</v>
      </c>
      <c r="G1202" t="str">
        <f>CHOOSE(WEEKDAY(A1202,2),"Mon","Tue","Wed","Thu","Fri","Sat","Sun")</f>
        <v>Wed</v>
      </c>
      <c r="H1202" t="str">
        <f>IF(WEEKDAY(A1202,2)&gt;5,"Weekend","Weekday")</f>
        <v>Weekday</v>
      </c>
      <c r="I1202" t="str">
        <f>_xlfn.IFS(B1202&lt;=5,"Night (0-5)",B1202&lt;=9,"Morning peak (6-9)",B1202&lt;=15,"Midday (10-15)",B1202&lt;=19,"Evening peak (16-19)",TRUE,"Late evening (20-23)")</f>
        <v>Night (0-5)</v>
      </c>
    </row>
    <row r="1203" spans="1:9">
      <c r="A1203" s="32">
        <v>41780</v>
      </c>
      <c r="B1203">
        <v>1</v>
      </c>
      <c r="C1203">
        <v>134</v>
      </c>
      <c r="D1203" t="s">
        <v>303</v>
      </c>
      <c r="E1203">
        <f>YEAR(A1203)</f>
        <v>2014</v>
      </c>
      <c r="F1203" s="33">
        <f>DATE(YEAR(A1203),MONTH(A1203),1)</f>
        <v>41760.0</v>
      </c>
      <c r="G1203" t="str">
        <f>CHOOSE(WEEKDAY(A1203,2),"Mon","Tue","Wed","Thu","Fri","Sat","Sun")</f>
        <v>Wed</v>
      </c>
      <c r="H1203" t="str">
        <f>IF(WEEKDAY(A1203,2)&gt;5,"Weekend","Weekday")</f>
        <v>Weekday</v>
      </c>
      <c r="I1203" t="str">
        <f>_xlfn.IFS(B1203&lt;=5,"Night (0-5)",B1203&lt;=9,"Morning peak (6-9)",B1203&lt;=15,"Midday (10-15)",B1203&lt;=19,"Evening peak (16-19)",TRUE,"Late evening (20-23)")</f>
        <v>Night (0-5)</v>
      </c>
    </row>
    <row r="1204" spans="1:9">
      <c r="A1204" s="32">
        <v>41780</v>
      </c>
      <c r="B1204">
        <v>2</v>
      </c>
      <c r="C1204">
        <v>102</v>
      </c>
      <c r="D1204" t="s">
        <v>303</v>
      </c>
      <c r="E1204">
        <f>YEAR(A1204)</f>
        <v>2014</v>
      </c>
      <c r="F1204" s="33">
        <f>DATE(YEAR(A1204),MONTH(A1204),1)</f>
        <v>41760.0</v>
      </c>
      <c r="G1204" t="str">
        <f>CHOOSE(WEEKDAY(A1204,2),"Mon","Tue","Wed","Thu","Fri","Sat","Sun")</f>
        <v>Wed</v>
      </c>
      <c r="H1204" t="str">
        <f>IF(WEEKDAY(A1204,2)&gt;5,"Weekend","Weekday")</f>
        <v>Weekday</v>
      </c>
      <c r="I1204" t="str">
        <f>_xlfn.IFS(B1204&lt;=5,"Night (0-5)",B1204&lt;=9,"Morning peak (6-9)",B1204&lt;=15,"Midday (10-15)",B1204&lt;=19,"Evening peak (16-19)",TRUE,"Late evening (20-23)")</f>
        <v>Night (0-5)</v>
      </c>
    </row>
    <row r="1205" spans="1:9">
      <c r="A1205" s="32">
        <v>41780</v>
      </c>
      <c r="B1205">
        <v>3</v>
      </c>
      <c r="C1205">
        <v>175</v>
      </c>
      <c r="D1205" t="s">
        <v>303</v>
      </c>
      <c r="E1205">
        <f>YEAR(A1205)</f>
        <v>2014</v>
      </c>
      <c r="F1205" s="33">
        <f>DATE(YEAR(A1205),MONTH(A1205),1)</f>
        <v>41760.0</v>
      </c>
      <c r="G1205" t="str">
        <f>CHOOSE(WEEKDAY(A1205,2),"Mon","Tue","Wed","Thu","Fri","Sat","Sun")</f>
        <v>Wed</v>
      </c>
      <c r="H1205" t="str">
        <f>IF(WEEKDAY(A1205,2)&gt;5,"Weekend","Weekday")</f>
        <v>Weekday</v>
      </c>
      <c r="I1205" t="str">
        <f>_xlfn.IFS(B1205&lt;=5,"Night (0-5)",B1205&lt;=9,"Morning peak (6-9)",B1205&lt;=15,"Midday (10-15)",B1205&lt;=19,"Evening peak (16-19)",TRUE,"Late evening (20-23)")</f>
        <v>Night (0-5)</v>
      </c>
    </row>
    <row r="1206" spans="1:9">
      <c r="A1206" s="32">
        <v>41780</v>
      </c>
      <c r="B1206">
        <v>4</v>
      </c>
      <c r="C1206">
        <v>237</v>
      </c>
      <c r="D1206" t="s">
        <v>303</v>
      </c>
      <c r="E1206">
        <f>YEAR(A1206)</f>
        <v>2014</v>
      </c>
      <c r="F1206" s="33">
        <f>DATE(YEAR(A1206),MONTH(A1206),1)</f>
        <v>41760.0</v>
      </c>
      <c r="G1206" t="str">
        <f>CHOOSE(WEEKDAY(A1206,2),"Mon","Tue","Wed","Thu","Fri","Sat","Sun")</f>
        <v>Wed</v>
      </c>
      <c r="H1206" t="str">
        <f>IF(WEEKDAY(A1206,2)&gt;5,"Weekend","Weekday")</f>
        <v>Weekday</v>
      </c>
      <c r="I1206" t="str">
        <f>_xlfn.IFS(B1206&lt;=5,"Night (0-5)",B1206&lt;=9,"Morning peak (6-9)",B1206&lt;=15,"Midday (10-15)",B1206&lt;=19,"Evening peak (16-19)",TRUE,"Late evening (20-23)")</f>
        <v>Night (0-5)</v>
      </c>
    </row>
    <row r="1207" spans="1:9">
      <c r="A1207" s="32">
        <v>41780</v>
      </c>
      <c r="B1207">
        <v>5</v>
      </c>
      <c r="C1207">
        <v>392</v>
      </c>
      <c r="D1207" t="s">
        <v>303</v>
      </c>
      <c r="E1207">
        <f>YEAR(A1207)</f>
        <v>2014</v>
      </c>
      <c r="F1207" s="33">
        <f>DATE(YEAR(A1207),MONTH(A1207),1)</f>
        <v>41760.0</v>
      </c>
      <c r="G1207" t="str">
        <f>CHOOSE(WEEKDAY(A1207,2),"Mon","Tue","Wed","Thu","Fri","Sat","Sun")</f>
        <v>Wed</v>
      </c>
      <c r="H1207" t="str">
        <f>IF(WEEKDAY(A1207,2)&gt;5,"Weekend","Weekday")</f>
        <v>Weekday</v>
      </c>
      <c r="I1207" t="str">
        <f>_xlfn.IFS(B1207&lt;=5,"Night (0-5)",B1207&lt;=9,"Morning peak (6-9)",B1207&lt;=15,"Midday (10-15)",B1207&lt;=19,"Evening peak (16-19)",TRUE,"Late evening (20-23)")</f>
        <v>Night (0-5)</v>
      </c>
    </row>
    <row r="1208" spans="1:9">
      <c r="A1208" s="32">
        <v>41780</v>
      </c>
      <c r="B1208">
        <v>6</v>
      </c>
      <c r="C1208">
        <v>937</v>
      </c>
      <c r="D1208" t="s">
        <v>303</v>
      </c>
      <c r="E1208">
        <f>YEAR(A1208)</f>
        <v>2014</v>
      </c>
      <c r="F1208" s="33">
        <f>DATE(YEAR(A1208),MONTH(A1208),1)</f>
        <v>41760.0</v>
      </c>
      <c r="G1208" t="str">
        <f>CHOOSE(WEEKDAY(A1208,2),"Mon","Tue","Wed","Thu","Fri","Sat","Sun")</f>
        <v>Wed</v>
      </c>
      <c r="H1208" t="str">
        <f>IF(WEEKDAY(A1208,2)&gt;5,"Weekend","Weekday")</f>
        <v>Weekday</v>
      </c>
      <c r="I1208" t="str">
        <f>_xlfn.IFS(B1208&lt;=5,"Night (0-5)",B1208&lt;=9,"Morning peak (6-9)",B1208&lt;=15,"Midday (10-15)",B1208&lt;=19,"Evening peak (16-19)",TRUE,"Late evening (20-23)")</f>
        <v>Morning peak (6-9)</v>
      </c>
    </row>
    <row r="1209" spans="1:9">
      <c r="A1209" s="32">
        <v>41780</v>
      </c>
      <c r="B1209">
        <v>7</v>
      </c>
      <c r="C1209">
        <v>1198</v>
      </c>
      <c r="D1209" t="s">
        <v>303</v>
      </c>
      <c r="E1209">
        <f>YEAR(A1209)</f>
        <v>2014</v>
      </c>
      <c r="F1209" s="33">
        <f>DATE(YEAR(A1209),MONTH(A1209),1)</f>
        <v>41760.0</v>
      </c>
      <c r="G1209" t="str">
        <f>CHOOSE(WEEKDAY(A1209,2),"Mon","Tue","Wed","Thu","Fri","Sat","Sun")</f>
        <v>Wed</v>
      </c>
      <c r="H1209" t="str">
        <f>IF(WEEKDAY(A1209,2)&gt;5,"Weekend","Weekday")</f>
        <v>Weekday</v>
      </c>
      <c r="I1209" t="str">
        <f>_xlfn.IFS(B1209&lt;=5,"Night (0-5)",B1209&lt;=9,"Morning peak (6-9)",B1209&lt;=15,"Midday (10-15)",B1209&lt;=19,"Evening peak (16-19)",TRUE,"Late evening (20-23)")</f>
        <v>Morning peak (6-9)</v>
      </c>
    </row>
    <row r="1210" spans="1:9">
      <c r="A1210" s="32">
        <v>41780</v>
      </c>
      <c r="B1210">
        <v>8</v>
      </c>
      <c r="C1210">
        <v>1050</v>
      </c>
      <c r="D1210" t="s">
        <v>303</v>
      </c>
      <c r="E1210">
        <f>YEAR(A1210)</f>
        <v>2014</v>
      </c>
      <c r="F1210" s="33">
        <f>DATE(YEAR(A1210),MONTH(A1210),1)</f>
        <v>41760.0</v>
      </c>
      <c r="G1210" t="str">
        <f>CHOOSE(WEEKDAY(A1210,2),"Mon","Tue","Wed","Thu","Fri","Sat","Sun")</f>
        <v>Wed</v>
      </c>
      <c r="H1210" t="str">
        <f>IF(WEEKDAY(A1210,2)&gt;5,"Weekend","Weekday")</f>
        <v>Weekday</v>
      </c>
      <c r="I1210" t="str">
        <f>_xlfn.IFS(B1210&lt;=5,"Night (0-5)",B1210&lt;=9,"Morning peak (6-9)",B1210&lt;=15,"Midday (10-15)",B1210&lt;=19,"Evening peak (16-19)",TRUE,"Late evening (20-23)")</f>
        <v>Morning peak (6-9)</v>
      </c>
    </row>
    <row r="1211" spans="1:9">
      <c r="A1211" s="32">
        <v>41780</v>
      </c>
      <c r="B1211">
        <v>9</v>
      </c>
      <c r="C1211">
        <v>736</v>
      </c>
      <c r="D1211" t="s">
        <v>303</v>
      </c>
      <c r="E1211">
        <f>YEAR(A1211)</f>
        <v>2014</v>
      </c>
      <c r="F1211" s="33">
        <f>DATE(YEAR(A1211),MONTH(A1211),1)</f>
        <v>41760.0</v>
      </c>
      <c r="G1211" t="str">
        <f>CHOOSE(WEEKDAY(A1211,2),"Mon","Tue","Wed","Thu","Fri","Sat","Sun")</f>
        <v>Wed</v>
      </c>
      <c r="H1211" t="str">
        <f>IF(WEEKDAY(A1211,2)&gt;5,"Weekend","Weekday")</f>
        <v>Weekday</v>
      </c>
      <c r="I1211" t="str">
        <f>_xlfn.IFS(B1211&lt;=5,"Night (0-5)",B1211&lt;=9,"Morning peak (6-9)",B1211&lt;=15,"Midday (10-15)",B1211&lt;=19,"Evening peak (16-19)",TRUE,"Late evening (20-23)")</f>
        <v>Morning peak (6-9)</v>
      </c>
    </row>
    <row r="1212" spans="1:9">
      <c r="A1212" s="32">
        <v>41780</v>
      </c>
      <c r="B1212">
        <v>10</v>
      </c>
      <c r="C1212">
        <v>763</v>
      </c>
      <c r="D1212" t="s">
        <v>303</v>
      </c>
      <c r="E1212">
        <f>YEAR(A1212)</f>
        <v>2014</v>
      </c>
      <c r="F1212" s="33">
        <f>DATE(YEAR(A1212),MONTH(A1212),1)</f>
        <v>41760.0</v>
      </c>
      <c r="G1212" t="str">
        <f>CHOOSE(WEEKDAY(A1212,2),"Mon","Tue","Wed","Thu","Fri","Sat","Sun")</f>
        <v>Wed</v>
      </c>
      <c r="H1212" t="str">
        <f>IF(WEEKDAY(A1212,2)&gt;5,"Weekend","Weekday")</f>
        <v>Weekday</v>
      </c>
      <c r="I1212" t="str">
        <f>_xlfn.IFS(B1212&lt;=5,"Night (0-5)",B1212&lt;=9,"Morning peak (6-9)",B1212&lt;=15,"Midday (10-15)",B1212&lt;=19,"Evening peak (16-19)",TRUE,"Late evening (20-23)")</f>
        <v>Midday (10-15)</v>
      </c>
    </row>
    <row r="1213" spans="1:9">
      <c r="A1213" s="32">
        <v>41780</v>
      </c>
      <c r="B1213">
        <v>11</v>
      </c>
      <c r="C1213">
        <v>823</v>
      </c>
      <c r="D1213" t="s">
        <v>303</v>
      </c>
      <c r="E1213">
        <f>YEAR(A1213)</f>
        <v>2014</v>
      </c>
      <c r="F1213" s="33">
        <f>DATE(YEAR(A1213),MONTH(A1213),1)</f>
        <v>41760.0</v>
      </c>
      <c r="G1213" t="str">
        <f>CHOOSE(WEEKDAY(A1213,2),"Mon","Tue","Wed","Thu","Fri","Sat","Sun")</f>
        <v>Wed</v>
      </c>
      <c r="H1213" t="str">
        <f>IF(WEEKDAY(A1213,2)&gt;5,"Weekend","Weekday")</f>
        <v>Weekday</v>
      </c>
      <c r="I1213" t="str">
        <f>_xlfn.IFS(B1213&lt;=5,"Night (0-5)",B1213&lt;=9,"Morning peak (6-9)",B1213&lt;=15,"Midday (10-15)",B1213&lt;=19,"Evening peak (16-19)",TRUE,"Late evening (20-23)")</f>
        <v>Midday (10-15)</v>
      </c>
    </row>
    <row r="1214" spans="1:9">
      <c r="A1214" s="32">
        <v>41780</v>
      </c>
      <c r="B1214">
        <v>12</v>
      </c>
      <c r="C1214">
        <v>956</v>
      </c>
      <c r="D1214" t="s">
        <v>303</v>
      </c>
      <c r="E1214">
        <f>YEAR(A1214)</f>
        <v>2014</v>
      </c>
      <c r="F1214" s="33">
        <f>DATE(YEAR(A1214),MONTH(A1214),1)</f>
        <v>41760.0</v>
      </c>
      <c r="G1214" t="str">
        <f>CHOOSE(WEEKDAY(A1214,2),"Mon","Tue","Wed","Thu","Fri","Sat","Sun")</f>
        <v>Wed</v>
      </c>
      <c r="H1214" t="str">
        <f>IF(WEEKDAY(A1214,2)&gt;5,"Weekend","Weekday")</f>
        <v>Weekday</v>
      </c>
      <c r="I1214" t="str">
        <f>_xlfn.IFS(B1214&lt;=5,"Night (0-5)",B1214&lt;=9,"Morning peak (6-9)",B1214&lt;=15,"Midday (10-15)",B1214&lt;=19,"Evening peak (16-19)",TRUE,"Late evening (20-23)")</f>
        <v>Midday (10-15)</v>
      </c>
    </row>
    <row r="1215" spans="1:9">
      <c r="A1215" s="32">
        <v>41780</v>
      </c>
      <c r="B1215">
        <v>13</v>
      </c>
      <c r="C1215">
        <v>1024</v>
      </c>
      <c r="D1215" t="s">
        <v>303</v>
      </c>
      <c r="E1215">
        <f>YEAR(A1215)</f>
        <v>2014</v>
      </c>
      <c r="F1215" s="33">
        <f>DATE(YEAR(A1215),MONTH(A1215),1)</f>
        <v>41760.0</v>
      </c>
      <c r="G1215" t="str">
        <f>CHOOSE(WEEKDAY(A1215,2),"Mon","Tue","Wed","Thu","Fri","Sat","Sun")</f>
        <v>Wed</v>
      </c>
      <c r="H1215" t="str">
        <f>IF(WEEKDAY(A1215,2)&gt;5,"Weekend","Weekday")</f>
        <v>Weekday</v>
      </c>
      <c r="I1215" t="str">
        <f>_xlfn.IFS(B1215&lt;=5,"Night (0-5)",B1215&lt;=9,"Morning peak (6-9)",B1215&lt;=15,"Midday (10-15)",B1215&lt;=19,"Evening peak (16-19)",TRUE,"Late evening (20-23)")</f>
        <v>Midday (10-15)</v>
      </c>
    </row>
    <row r="1216" spans="1:9">
      <c r="A1216" s="32">
        <v>41780</v>
      </c>
      <c r="B1216">
        <v>14</v>
      </c>
      <c r="C1216">
        <v>1415</v>
      </c>
      <c r="D1216" t="s">
        <v>303</v>
      </c>
      <c r="E1216">
        <f>YEAR(A1216)</f>
        <v>2014</v>
      </c>
      <c r="F1216" s="33">
        <f>DATE(YEAR(A1216),MONTH(A1216),1)</f>
        <v>41760.0</v>
      </c>
      <c r="G1216" t="str">
        <f>CHOOSE(WEEKDAY(A1216,2),"Mon","Tue","Wed","Thu","Fri","Sat","Sun")</f>
        <v>Wed</v>
      </c>
      <c r="H1216" t="str">
        <f>IF(WEEKDAY(A1216,2)&gt;5,"Weekend","Weekday")</f>
        <v>Weekday</v>
      </c>
      <c r="I1216" t="str">
        <f>_xlfn.IFS(B1216&lt;=5,"Night (0-5)",B1216&lt;=9,"Morning peak (6-9)",B1216&lt;=15,"Midday (10-15)",B1216&lt;=19,"Evening peak (16-19)",TRUE,"Late evening (20-23)")</f>
        <v>Midday (10-15)</v>
      </c>
    </row>
    <row r="1217" spans="1:9">
      <c r="A1217" s="32">
        <v>41780</v>
      </c>
      <c r="B1217">
        <v>15</v>
      </c>
      <c r="C1217">
        <v>1660</v>
      </c>
      <c r="D1217" t="s">
        <v>303</v>
      </c>
      <c r="E1217">
        <f>YEAR(A1217)</f>
        <v>2014</v>
      </c>
      <c r="F1217" s="33">
        <f>DATE(YEAR(A1217),MONTH(A1217),1)</f>
        <v>41760.0</v>
      </c>
      <c r="G1217" t="str">
        <f>CHOOSE(WEEKDAY(A1217,2),"Mon","Tue","Wed","Thu","Fri","Sat","Sun")</f>
        <v>Wed</v>
      </c>
      <c r="H1217" t="str">
        <f>IF(WEEKDAY(A1217,2)&gt;5,"Weekend","Weekday")</f>
        <v>Weekday</v>
      </c>
      <c r="I1217" t="str">
        <f>_xlfn.IFS(B1217&lt;=5,"Night (0-5)",B1217&lt;=9,"Morning peak (6-9)",B1217&lt;=15,"Midday (10-15)",B1217&lt;=19,"Evening peak (16-19)",TRUE,"Late evening (20-23)")</f>
        <v>Midday (10-15)</v>
      </c>
    </row>
    <row r="1218" spans="1:9">
      <c r="A1218" s="32">
        <v>41780</v>
      </c>
      <c r="B1218">
        <v>16</v>
      </c>
      <c r="C1218">
        <v>1919</v>
      </c>
      <c r="D1218" t="s">
        <v>303</v>
      </c>
      <c r="E1218">
        <f>YEAR(A1218)</f>
        <v>2014</v>
      </c>
      <c r="F1218" s="33">
        <f>DATE(YEAR(A1218),MONTH(A1218),1)</f>
        <v>41760.0</v>
      </c>
      <c r="G1218" t="str">
        <f>CHOOSE(WEEKDAY(A1218,2),"Mon","Tue","Wed","Thu","Fri","Sat","Sun")</f>
        <v>Wed</v>
      </c>
      <c r="H1218" t="str">
        <f>IF(WEEKDAY(A1218,2)&gt;5,"Weekend","Weekday")</f>
        <v>Weekday</v>
      </c>
      <c r="I1218" t="str">
        <f>_xlfn.IFS(B1218&lt;=5,"Night (0-5)",B1218&lt;=9,"Morning peak (6-9)",B1218&lt;=15,"Midday (10-15)",B1218&lt;=19,"Evening peak (16-19)",TRUE,"Late evening (20-23)")</f>
        <v>Evening peak (16-19)</v>
      </c>
    </row>
    <row r="1219" spans="1:9">
      <c r="A1219" s="32">
        <v>41780</v>
      </c>
      <c r="B1219">
        <v>17</v>
      </c>
      <c r="C1219">
        <v>2140</v>
      </c>
      <c r="D1219" t="s">
        <v>303</v>
      </c>
      <c r="E1219">
        <f>YEAR(A1219)</f>
        <v>2014</v>
      </c>
      <c r="F1219" s="33">
        <f>DATE(YEAR(A1219),MONTH(A1219),1)</f>
        <v>41760.0</v>
      </c>
      <c r="G1219" t="str">
        <f>CHOOSE(WEEKDAY(A1219,2),"Mon","Tue","Wed","Thu","Fri","Sat","Sun")</f>
        <v>Wed</v>
      </c>
      <c r="H1219" t="str">
        <f>IF(WEEKDAY(A1219,2)&gt;5,"Weekend","Weekday")</f>
        <v>Weekday</v>
      </c>
      <c r="I1219" t="str">
        <f>_xlfn.IFS(B1219&lt;=5,"Night (0-5)",B1219&lt;=9,"Morning peak (6-9)",B1219&lt;=15,"Midday (10-15)",B1219&lt;=19,"Evening peak (16-19)",TRUE,"Late evening (20-23)")</f>
        <v>Evening peak (16-19)</v>
      </c>
    </row>
    <row r="1220" spans="1:9">
      <c r="A1220" s="32">
        <v>41780</v>
      </c>
      <c r="B1220">
        <v>18</v>
      </c>
      <c r="C1220">
        <v>1789</v>
      </c>
      <c r="D1220" t="s">
        <v>303</v>
      </c>
      <c r="E1220">
        <f>YEAR(A1220)</f>
        <v>2014</v>
      </c>
      <c r="F1220" s="33">
        <f>DATE(YEAR(A1220),MONTH(A1220),1)</f>
        <v>41760.0</v>
      </c>
      <c r="G1220" t="str">
        <f>CHOOSE(WEEKDAY(A1220,2),"Mon","Tue","Wed","Thu","Fri","Sat","Sun")</f>
        <v>Wed</v>
      </c>
      <c r="H1220" t="str">
        <f>IF(WEEKDAY(A1220,2)&gt;5,"Weekend","Weekday")</f>
        <v>Weekday</v>
      </c>
      <c r="I1220" t="str">
        <f>_xlfn.IFS(B1220&lt;=5,"Night (0-5)",B1220&lt;=9,"Morning peak (6-9)",B1220&lt;=15,"Midday (10-15)",B1220&lt;=19,"Evening peak (16-19)",TRUE,"Late evening (20-23)")</f>
        <v>Evening peak (16-19)</v>
      </c>
    </row>
    <row r="1221" spans="1:9">
      <c r="A1221" s="32">
        <v>41780</v>
      </c>
      <c r="B1221">
        <v>19</v>
      </c>
      <c r="C1221">
        <v>1447</v>
      </c>
      <c r="D1221" t="s">
        <v>303</v>
      </c>
      <c r="E1221">
        <f>YEAR(A1221)</f>
        <v>2014</v>
      </c>
      <c r="F1221" s="33">
        <f>DATE(YEAR(A1221),MONTH(A1221),1)</f>
        <v>41760.0</v>
      </c>
      <c r="G1221" t="str">
        <f>CHOOSE(WEEKDAY(A1221,2),"Mon","Tue","Wed","Thu","Fri","Sat","Sun")</f>
        <v>Wed</v>
      </c>
      <c r="H1221" t="str">
        <f>IF(WEEKDAY(A1221,2)&gt;5,"Weekend","Weekday")</f>
        <v>Weekday</v>
      </c>
      <c r="I1221" t="str">
        <f>_xlfn.IFS(B1221&lt;=5,"Night (0-5)",B1221&lt;=9,"Morning peak (6-9)",B1221&lt;=15,"Midday (10-15)",B1221&lt;=19,"Evening peak (16-19)",TRUE,"Late evening (20-23)")</f>
        <v>Evening peak (16-19)</v>
      </c>
    </row>
    <row r="1222" spans="1:9">
      <c r="A1222" s="32">
        <v>41780</v>
      </c>
      <c r="B1222">
        <v>20</v>
      </c>
      <c r="C1222">
        <v>1440</v>
      </c>
      <c r="D1222" t="s">
        <v>303</v>
      </c>
      <c r="E1222">
        <f>YEAR(A1222)</f>
        <v>2014</v>
      </c>
      <c r="F1222" s="33">
        <f>DATE(YEAR(A1222),MONTH(A1222),1)</f>
        <v>41760.0</v>
      </c>
      <c r="G1222" t="str">
        <f>CHOOSE(WEEKDAY(A1222,2),"Mon","Tue","Wed","Thu","Fri","Sat","Sun")</f>
        <v>Wed</v>
      </c>
      <c r="H1222" t="str">
        <f>IF(WEEKDAY(A1222,2)&gt;5,"Weekend","Weekday")</f>
        <v>Weekday</v>
      </c>
      <c r="I1222" t="str">
        <f>_xlfn.IFS(B1222&lt;=5,"Night (0-5)",B1222&lt;=9,"Morning peak (6-9)",B1222&lt;=15,"Midday (10-15)",B1222&lt;=19,"Evening peak (16-19)",TRUE,"Late evening (20-23)")</f>
        <v>Late evening (20-23)</v>
      </c>
    </row>
    <row r="1223" spans="1:9">
      <c r="A1223" s="32">
        <v>41780</v>
      </c>
      <c r="B1223">
        <v>21</v>
      </c>
      <c r="C1223">
        <v>1475</v>
      </c>
      <c r="D1223" t="s">
        <v>303</v>
      </c>
      <c r="E1223">
        <f>YEAR(A1223)</f>
        <v>2014</v>
      </c>
      <c r="F1223" s="33">
        <f>DATE(YEAR(A1223),MONTH(A1223),1)</f>
        <v>41760.0</v>
      </c>
      <c r="G1223" t="str">
        <f>CHOOSE(WEEKDAY(A1223,2),"Mon","Tue","Wed","Thu","Fri","Sat","Sun")</f>
        <v>Wed</v>
      </c>
      <c r="H1223" t="str">
        <f>IF(WEEKDAY(A1223,2)&gt;5,"Weekend","Weekday")</f>
        <v>Weekday</v>
      </c>
      <c r="I1223" t="str">
        <f>_xlfn.IFS(B1223&lt;=5,"Night (0-5)",B1223&lt;=9,"Morning peak (6-9)",B1223&lt;=15,"Midday (10-15)",B1223&lt;=19,"Evening peak (16-19)",TRUE,"Late evening (20-23)")</f>
        <v>Late evening (20-23)</v>
      </c>
    </row>
    <row r="1224" spans="1:9">
      <c r="A1224" s="32">
        <v>41780</v>
      </c>
      <c r="B1224">
        <v>22</v>
      </c>
      <c r="C1224">
        <v>993</v>
      </c>
      <c r="D1224" t="s">
        <v>303</v>
      </c>
      <c r="E1224">
        <f>YEAR(A1224)</f>
        <v>2014</v>
      </c>
      <c r="F1224" s="33">
        <f>DATE(YEAR(A1224),MONTH(A1224),1)</f>
        <v>41760.0</v>
      </c>
      <c r="G1224" t="str">
        <f>CHOOSE(WEEKDAY(A1224,2),"Mon","Tue","Wed","Thu","Fri","Sat","Sun")</f>
        <v>Wed</v>
      </c>
      <c r="H1224" t="str">
        <f>IF(WEEKDAY(A1224,2)&gt;5,"Weekend","Weekday")</f>
        <v>Weekday</v>
      </c>
      <c r="I1224" t="str">
        <f>_xlfn.IFS(B1224&lt;=5,"Night (0-5)",B1224&lt;=9,"Morning peak (6-9)",B1224&lt;=15,"Midday (10-15)",B1224&lt;=19,"Evening peak (16-19)",TRUE,"Late evening (20-23)")</f>
        <v>Late evening (20-23)</v>
      </c>
    </row>
    <row r="1225" spans="1:9">
      <c r="A1225" s="32">
        <v>41780</v>
      </c>
      <c r="B1225">
        <v>23</v>
      </c>
      <c r="C1225">
        <v>489</v>
      </c>
      <c r="D1225" t="s">
        <v>303</v>
      </c>
      <c r="E1225">
        <f>YEAR(A1225)</f>
        <v>2014</v>
      </c>
      <c r="F1225" s="33">
        <f>DATE(YEAR(A1225),MONTH(A1225),1)</f>
        <v>41760.0</v>
      </c>
      <c r="G1225" t="str">
        <f>CHOOSE(WEEKDAY(A1225,2),"Mon","Tue","Wed","Thu","Fri","Sat","Sun")</f>
        <v>Wed</v>
      </c>
      <c r="H1225" t="str">
        <f>IF(WEEKDAY(A1225,2)&gt;5,"Weekend","Weekday")</f>
        <v>Weekday</v>
      </c>
      <c r="I1225" t="str">
        <f>_xlfn.IFS(B1225&lt;=5,"Night (0-5)",B1225&lt;=9,"Morning peak (6-9)",B1225&lt;=15,"Midday (10-15)",B1225&lt;=19,"Evening peak (16-19)",TRUE,"Late evening (20-23)")</f>
        <v>Late evening (20-23)</v>
      </c>
    </row>
    <row r="1226" spans="1:9">
      <c r="A1226" s="32">
        <v>41781</v>
      </c>
      <c r="B1226">
        <v>0</v>
      </c>
      <c r="C1226">
        <v>255</v>
      </c>
      <c r="D1226" t="s">
        <v>303</v>
      </c>
      <c r="E1226">
        <f>YEAR(A1226)</f>
        <v>2014</v>
      </c>
      <c r="F1226" s="33">
        <f>DATE(YEAR(A1226),MONTH(A1226),1)</f>
        <v>41760.0</v>
      </c>
      <c r="G1226" t="str">
        <f>CHOOSE(WEEKDAY(A1226,2),"Mon","Tue","Wed","Thu","Fri","Sat","Sun")</f>
        <v>Thu</v>
      </c>
      <c r="H1226" t="str">
        <f>IF(WEEKDAY(A1226,2)&gt;5,"Weekend","Weekday")</f>
        <v>Weekday</v>
      </c>
      <c r="I1226" t="str">
        <f>_xlfn.IFS(B1226&lt;=5,"Night (0-5)",B1226&lt;=9,"Morning peak (6-9)",B1226&lt;=15,"Midday (10-15)",B1226&lt;=19,"Evening peak (16-19)",TRUE,"Late evening (20-23)")</f>
        <v>Night (0-5)</v>
      </c>
    </row>
    <row r="1227" spans="1:9">
      <c r="A1227" s="32">
        <v>41781</v>
      </c>
      <c r="B1227">
        <v>1</v>
      </c>
      <c r="C1227">
        <v>165</v>
      </c>
      <c r="D1227" t="s">
        <v>303</v>
      </c>
      <c r="E1227">
        <f>YEAR(A1227)</f>
        <v>2014</v>
      </c>
      <c r="F1227" s="33">
        <f>DATE(YEAR(A1227),MONTH(A1227),1)</f>
        <v>41760.0</v>
      </c>
      <c r="G1227" t="str">
        <f>CHOOSE(WEEKDAY(A1227,2),"Mon","Tue","Wed","Thu","Fri","Sat","Sun")</f>
        <v>Thu</v>
      </c>
      <c r="H1227" t="str">
        <f>IF(WEEKDAY(A1227,2)&gt;5,"Weekend","Weekday")</f>
        <v>Weekday</v>
      </c>
      <c r="I1227" t="str">
        <f>_xlfn.IFS(B1227&lt;=5,"Night (0-5)",B1227&lt;=9,"Morning peak (6-9)",B1227&lt;=15,"Midday (10-15)",B1227&lt;=19,"Evening peak (16-19)",TRUE,"Late evening (20-23)")</f>
        <v>Night (0-5)</v>
      </c>
    </row>
    <row r="1228" spans="1:9">
      <c r="A1228" s="32">
        <v>41781</v>
      </c>
      <c r="B1228">
        <v>2</v>
      </c>
      <c r="C1228">
        <v>158</v>
      </c>
      <c r="D1228" t="s">
        <v>303</v>
      </c>
      <c r="E1228">
        <f>YEAR(A1228)</f>
        <v>2014</v>
      </c>
      <c r="F1228" s="33">
        <f>DATE(YEAR(A1228),MONTH(A1228),1)</f>
        <v>41760.0</v>
      </c>
      <c r="G1228" t="str">
        <f>CHOOSE(WEEKDAY(A1228,2),"Mon","Tue","Wed","Thu","Fri","Sat","Sun")</f>
        <v>Thu</v>
      </c>
      <c r="H1228" t="str">
        <f>IF(WEEKDAY(A1228,2)&gt;5,"Weekend","Weekday")</f>
        <v>Weekday</v>
      </c>
      <c r="I1228" t="str">
        <f>_xlfn.IFS(B1228&lt;=5,"Night (0-5)",B1228&lt;=9,"Morning peak (6-9)",B1228&lt;=15,"Midday (10-15)",B1228&lt;=19,"Evening peak (16-19)",TRUE,"Late evening (20-23)")</f>
        <v>Night (0-5)</v>
      </c>
    </row>
    <row r="1229" spans="1:9">
      <c r="A1229" s="32">
        <v>41781</v>
      </c>
      <c r="B1229">
        <v>3</v>
      </c>
      <c r="C1229">
        <v>239</v>
      </c>
      <c r="D1229" t="s">
        <v>303</v>
      </c>
      <c r="E1229">
        <f>YEAR(A1229)</f>
        <v>2014</v>
      </c>
      <c r="F1229" s="33">
        <f>DATE(YEAR(A1229),MONTH(A1229),1)</f>
        <v>41760.0</v>
      </c>
      <c r="G1229" t="str">
        <f>CHOOSE(WEEKDAY(A1229,2),"Mon","Tue","Wed","Thu","Fri","Sat","Sun")</f>
        <v>Thu</v>
      </c>
      <c r="H1229" t="str">
        <f>IF(WEEKDAY(A1229,2)&gt;5,"Weekend","Weekday")</f>
        <v>Weekday</v>
      </c>
      <c r="I1229" t="str">
        <f>_xlfn.IFS(B1229&lt;=5,"Night (0-5)",B1229&lt;=9,"Morning peak (6-9)",B1229&lt;=15,"Midday (10-15)",B1229&lt;=19,"Evening peak (16-19)",TRUE,"Late evening (20-23)")</f>
        <v>Night (0-5)</v>
      </c>
    </row>
    <row r="1230" spans="1:9">
      <c r="A1230" s="32">
        <v>41781</v>
      </c>
      <c r="B1230">
        <v>4</v>
      </c>
      <c r="C1230">
        <v>284</v>
      </c>
      <c r="D1230" t="s">
        <v>303</v>
      </c>
      <c r="E1230">
        <f>YEAR(A1230)</f>
        <v>2014</v>
      </c>
      <c r="F1230" s="33">
        <f>DATE(YEAR(A1230),MONTH(A1230),1)</f>
        <v>41760.0</v>
      </c>
      <c r="G1230" t="str">
        <f>CHOOSE(WEEKDAY(A1230,2),"Mon","Tue","Wed","Thu","Fri","Sat","Sun")</f>
        <v>Thu</v>
      </c>
      <c r="H1230" t="str">
        <f>IF(WEEKDAY(A1230,2)&gt;5,"Weekend","Weekday")</f>
        <v>Weekday</v>
      </c>
      <c r="I1230" t="str">
        <f>_xlfn.IFS(B1230&lt;=5,"Night (0-5)",B1230&lt;=9,"Morning peak (6-9)",B1230&lt;=15,"Midday (10-15)",B1230&lt;=19,"Evening peak (16-19)",TRUE,"Late evening (20-23)")</f>
        <v>Night (0-5)</v>
      </c>
    </row>
    <row r="1231" spans="1:9">
      <c r="A1231" s="32">
        <v>41781</v>
      </c>
      <c r="B1231">
        <v>5</v>
      </c>
      <c r="C1231">
        <v>510</v>
      </c>
      <c r="D1231" t="s">
        <v>303</v>
      </c>
      <c r="E1231">
        <f>YEAR(A1231)</f>
        <v>2014</v>
      </c>
      <c r="F1231" s="33">
        <f>DATE(YEAR(A1231),MONTH(A1231),1)</f>
        <v>41760.0</v>
      </c>
      <c r="G1231" t="str">
        <f>CHOOSE(WEEKDAY(A1231,2),"Mon","Tue","Wed","Thu","Fri","Sat","Sun")</f>
        <v>Thu</v>
      </c>
      <c r="H1231" t="str">
        <f>IF(WEEKDAY(A1231,2)&gt;5,"Weekend","Weekday")</f>
        <v>Weekday</v>
      </c>
      <c r="I1231" t="str">
        <f>_xlfn.IFS(B1231&lt;=5,"Night (0-5)",B1231&lt;=9,"Morning peak (6-9)",B1231&lt;=15,"Midday (10-15)",B1231&lt;=19,"Evening peak (16-19)",TRUE,"Late evening (20-23)")</f>
        <v>Night (0-5)</v>
      </c>
    </row>
    <row r="1232" spans="1:9">
      <c r="A1232" s="32">
        <v>41781</v>
      </c>
      <c r="B1232">
        <v>6</v>
      </c>
      <c r="C1232">
        <v>1023</v>
      </c>
      <c r="D1232" t="s">
        <v>303</v>
      </c>
      <c r="E1232">
        <f>YEAR(A1232)</f>
        <v>2014</v>
      </c>
      <c r="F1232" s="33">
        <f>DATE(YEAR(A1232),MONTH(A1232),1)</f>
        <v>41760.0</v>
      </c>
      <c r="G1232" t="str">
        <f>CHOOSE(WEEKDAY(A1232,2),"Mon","Tue","Wed","Thu","Fri","Sat","Sun")</f>
        <v>Thu</v>
      </c>
      <c r="H1232" t="str">
        <f>IF(WEEKDAY(A1232,2)&gt;5,"Weekend","Weekday")</f>
        <v>Weekday</v>
      </c>
      <c r="I1232" t="str">
        <f>_xlfn.IFS(B1232&lt;=5,"Night (0-5)",B1232&lt;=9,"Morning peak (6-9)",B1232&lt;=15,"Midday (10-15)",B1232&lt;=19,"Evening peak (16-19)",TRUE,"Late evening (20-23)")</f>
        <v>Morning peak (6-9)</v>
      </c>
    </row>
    <row r="1233" spans="1:9">
      <c r="A1233" s="32">
        <v>41781</v>
      </c>
      <c r="B1233">
        <v>7</v>
      </c>
      <c r="C1233">
        <v>1362</v>
      </c>
      <c r="D1233" t="s">
        <v>303</v>
      </c>
      <c r="E1233">
        <f>YEAR(A1233)</f>
        <v>2014</v>
      </c>
      <c r="F1233" s="33">
        <f>DATE(YEAR(A1233),MONTH(A1233),1)</f>
        <v>41760.0</v>
      </c>
      <c r="G1233" t="str">
        <f>CHOOSE(WEEKDAY(A1233,2),"Mon","Tue","Wed","Thu","Fri","Sat","Sun")</f>
        <v>Thu</v>
      </c>
      <c r="H1233" t="str">
        <f>IF(WEEKDAY(A1233,2)&gt;5,"Weekend","Weekday")</f>
        <v>Weekday</v>
      </c>
      <c r="I1233" t="str">
        <f>_xlfn.IFS(B1233&lt;=5,"Night (0-5)",B1233&lt;=9,"Morning peak (6-9)",B1233&lt;=15,"Midday (10-15)",B1233&lt;=19,"Evening peak (16-19)",TRUE,"Late evening (20-23)")</f>
        <v>Morning peak (6-9)</v>
      </c>
    </row>
    <row r="1234" spans="1:9">
      <c r="A1234" s="32">
        <v>41781</v>
      </c>
      <c r="B1234">
        <v>8</v>
      </c>
      <c r="C1234">
        <v>1303</v>
      </c>
      <c r="D1234" t="s">
        <v>303</v>
      </c>
      <c r="E1234">
        <f>YEAR(A1234)</f>
        <v>2014</v>
      </c>
      <c r="F1234" s="33">
        <f>DATE(YEAR(A1234),MONTH(A1234),1)</f>
        <v>41760.0</v>
      </c>
      <c r="G1234" t="str">
        <f>CHOOSE(WEEKDAY(A1234,2),"Mon","Tue","Wed","Thu","Fri","Sat","Sun")</f>
        <v>Thu</v>
      </c>
      <c r="H1234" t="str">
        <f>IF(WEEKDAY(A1234,2)&gt;5,"Weekend","Weekday")</f>
        <v>Weekday</v>
      </c>
      <c r="I1234" t="str">
        <f>_xlfn.IFS(B1234&lt;=5,"Night (0-5)",B1234&lt;=9,"Morning peak (6-9)",B1234&lt;=15,"Midday (10-15)",B1234&lt;=19,"Evening peak (16-19)",TRUE,"Late evening (20-23)")</f>
        <v>Morning peak (6-9)</v>
      </c>
    </row>
    <row r="1235" spans="1:9">
      <c r="A1235" s="32">
        <v>41781</v>
      </c>
      <c r="B1235">
        <v>9</v>
      </c>
      <c r="C1235">
        <v>858</v>
      </c>
      <c r="D1235" t="s">
        <v>303</v>
      </c>
      <c r="E1235">
        <f>YEAR(A1235)</f>
        <v>2014</v>
      </c>
      <c r="F1235" s="33">
        <f>DATE(YEAR(A1235),MONTH(A1235),1)</f>
        <v>41760.0</v>
      </c>
      <c r="G1235" t="str">
        <f>CHOOSE(WEEKDAY(A1235,2),"Mon","Tue","Wed","Thu","Fri","Sat","Sun")</f>
        <v>Thu</v>
      </c>
      <c r="H1235" t="str">
        <f>IF(WEEKDAY(A1235,2)&gt;5,"Weekend","Weekday")</f>
        <v>Weekday</v>
      </c>
      <c r="I1235" t="str">
        <f>_xlfn.IFS(B1235&lt;=5,"Night (0-5)",B1235&lt;=9,"Morning peak (6-9)",B1235&lt;=15,"Midday (10-15)",B1235&lt;=19,"Evening peak (16-19)",TRUE,"Late evening (20-23)")</f>
        <v>Morning peak (6-9)</v>
      </c>
    </row>
    <row r="1236" spans="1:9">
      <c r="A1236" s="32">
        <v>41781</v>
      </c>
      <c r="B1236">
        <v>10</v>
      </c>
      <c r="C1236">
        <v>924</v>
      </c>
      <c r="D1236" t="s">
        <v>303</v>
      </c>
      <c r="E1236">
        <f>YEAR(A1236)</f>
        <v>2014</v>
      </c>
      <c r="F1236" s="33">
        <f>DATE(YEAR(A1236),MONTH(A1236),1)</f>
        <v>41760.0</v>
      </c>
      <c r="G1236" t="str">
        <f>CHOOSE(WEEKDAY(A1236,2),"Mon","Tue","Wed","Thu","Fri","Sat","Sun")</f>
        <v>Thu</v>
      </c>
      <c r="H1236" t="str">
        <f>IF(WEEKDAY(A1236,2)&gt;5,"Weekend","Weekday")</f>
        <v>Weekday</v>
      </c>
      <c r="I1236" t="str">
        <f>_xlfn.IFS(B1236&lt;=5,"Night (0-5)",B1236&lt;=9,"Morning peak (6-9)",B1236&lt;=15,"Midday (10-15)",B1236&lt;=19,"Evening peak (16-19)",TRUE,"Late evening (20-23)")</f>
        <v>Midday (10-15)</v>
      </c>
    </row>
    <row r="1237" spans="1:9">
      <c r="A1237" s="32">
        <v>41781</v>
      </c>
      <c r="B1237">
        <v>11</v>
      </c>
      <c r="C1237">
        <v>929</v>
      </c>
      <c r="D1237" t="s">
        <v>303</v>
      </c>
      <c r="E1237">
        <f>YEAR(A1237)</f>
        <v>2014</v>
      </c>
      <c r="F1237" s="33">
        <f>DATE(YEAR(A1237),MONTH(A1237),1)</f>
        <v>41760.0</v>
      </c>
      <c r="G1237" t="str">
        <f>CHOOSE(WEEKDAY(A1237,2),"Mon","Tue","Wed","Thu","Fri","Sat","Sun")</f>
        <v>Thu</v>
      </c>
      <c r="H1237" t="str">
        <f>IF(WEEKDAY(A1237,2)&gt;5,"Weekend","Weekday")</f>
        <v>Weekday</v>
      </c>
      <c r="I1237" t="str">
        <f>_xlfn.IFS(B1237&lt;=5,"Night (0-5)",B1237&lt;=9,"Morning peak (6-9)",B1237&lt;=15,"Midday (10-15)",B1237&lt;=19,"Evening peak (16-19)",TRUE,"Late evening (20-23)")</f>
        <v>Midday (10-15)</v>
      </c>
    </row>
    <row r="1238" spans="1:9">
      <c r="A1238" s="32">
        <v>41781</v>
      </c>
      <c r="B1238">
        <v>12</v>
      </c>
      <c r="C1238">
        <v>1040</v>
      </c>
      <c r="D1238" t="s">
        <v>303</v>
      </c>
      <c r="E1238">
        <f>YEAR(A1238)</f>
        <v>2014</v>
      </c>
      <c r="F1238" s="33">
        <f>DATE(YEAR(A1238),MONTH(A1238),1)</f>
        <v>41760.0</v>
      </c>
      <c r="G1238" t="str">
        <f>CHOOSE(WEEKDAY(A1238,2),"Mon","Tue","Wed","Thu","Fri","Sat","Sun")</f>
        <v>Thu</v>
      </c>
      <c r="H1238" t="str">
        <f>IF(WEEKDAY(A1238,2)&gt;5,"Weekend","Weekday")</f>
        <v>Weekday</v>
      </c>
      <c r="I1238" t="str">
        <f>_xlfn.IFS(B1238&lt;=5,"Night (0-5)",B1238&lt;=9,"Morning peak (6-9)",B1238&lt;=15,"Midday (10-15)",B1238&lt;=19,"Evening peak (16-19)",TRUE,"Late evening (20-23)")</f>
        <v>Midday (10-15)</v>
      </c>
    </row>
    <row r="1239" spans="1:9">
      <c r="A1239" s="32">
        <v>41781</v>
      </c>
      <c r="B1239">
        <v>13</v>
      </c>
      <c r="C1239">
        <v>1184</v>
      </c>
      <c r="D1239" t="s">
        <v>303</v>
      </c>
      <c r="E1239">
        <f>YEAR(A1239)</f>
        <v>2014</v>
      </c>
      <c r="F1239" s="33">
        <f>DATE(YEAR(A1239),MONTH(A1239),1)</f>
        <v>41760.0</v>
      </c>
      <c r="G1239" t="str">
        <f>CHOOSE(WEEKDAY(A1239,2),"Mon","Tue","Wed","Thu","Fri","Sat","Sun")</f>
        <v>Thu</v>
      </c>
      <c r="H1239" t="str">
        <f>IF(WEEKDAY(A1239,2)&gt;5,"Weekend","Weekday")</f>
        <v>Weekday</v>
      </c>
      <c r="I1239" t="str">
        <f>_xlfn.IFS(B1239&lt;=5,"Night (0-5)",B1239&lt;=9,"Morning peak (6-9)",B1239&lt;=15,"Midday (10-15)",B1239&lt;=19,"Evening peak (16-19)",TRUE,"Late evening (20-23)")</f>
        <v>Midday (10-15)</v>
      </c>
    </row>
    <row r="1240" spans="1:9">
      <c r="A1240" s="32">
        <v>41781</v>
      </c>
      <c r="B1240">
        <v>14</v>
      </c>
      <c r="C1240">
        <v>1359</v>
      </c>
      <c r="D1240" t="s">
        <v>303</v>
      </c>
      <c r="E1240">
        <f>YEAR(A1240)</f>
        <v>2014</v>
      </c>
      <c r="F1240" s="33">
        <f>DATE(YEAR(A1240),MONTH(A1240),1)</f>
        <v>41760.0</v>
      </c>
      <c r="G1240" t="str">
        <f>CHOOSE(WEEKDAY(A1240,2),"Mon","Tue","Wed","Thu","Fri","Sat","Sun")</f>
        <v>Thu</v>
      </c>
      <c r="H1240" t="str">
        <f>IF(WEEKDAY(A1240,2)&gt;5,"Weekend","Weekday")</f>
        <v>Weekday</v>
      </c>
      <c r="I1240" t="str">
        <f>_xlfn.IFS(B1240&lt;=5,"Night (0-5)",B1240&lt;=9,"Morning peak (6-9)",B1240&lt;=15,"Midday (10-15)",B1240&lt;=19,"Evening peak (16-19)",TRUE,"Late evening (20-23)")</f>
        <v>Midday (10-15)</v>
      </c>
    </row>
    <row r="1241" spans="1:9">
      <c r="A1241" s="32">
        <v>41781</v>
      </c>
      <c r="B1241">
        <v>15</v>
      </c>
      <c r="C1241">
        <v>1572</v>
      </c>
      <c r="D1241" t="s">
        <v>303</v>
      </c>
      <c r="E1241">
        <f>YEAR(A1241)</f>
        <v>2014</v>
      </c>
      <c r="F1241" s="33">
        <f>DATE(YEAR(A1241),MONTH(A1241),1)</f>
        <v>41760.0</v>
      </c>
      <c r="G1241" t="str">
        <f>CHOOSE(WEEKDAY(A1241,2),"Mon","Tue","Wed","Thu","Fri","Sat","Sun")</f>
        <v>Thu</v>
      </c>
      <c r="H1241" t="str">
        <f>IF(WEEKDAY(A1241,2)&gt;5,"Weekend","Weekday")</f>
        <v>Weekday</v>
      </c>
      <c r="I1241" t="str">
        <f>_xlfn.IFS(B1241&lt;=5,"Night (0-5)",B1241&lt;=9,"Morning peak (6-9)",B1241&lt;=15,"Midday (10-15)",B1241&lt;=19,"Evening peak (16-19)",TRUE,"Late evening (20-23)")</f>
        <v>Midday (10-15)</v>
      </c>
    </row>
    <row r="1242" spans="1:9">
      <c r="A1242" s="32">
        <v>41781</v>
      </c>
      <c r="B1242">
        <v>16</v>
      </c>
      <c r="C1242">
        <v>1832</v>
      </c>
      <c r="D1242" t="s">
        <v>303</v>
      </c>
      <c r="E1242">
        <f>YEAR(A1242)</f>
        <v>2014</v>
      </c>
      <c r="F1242" s="33">
        <f>DATE(YEAR(A1242),MONTH(A1242),1)</f>
        <v>41760.0</v>
      </c>
      <c r="G1242" t="str">
        <f>CHOOSE(WEEKDAY(A1242,2),"Mon","Tue","Wed","Thu","Fri","Sat","Sun")</f>
        <v>Thu</v>
      </c>
      <c r="H1242" t="str">
        <f>IF(WEEKDAY(A1242,2)&gt;5,"Weekend","Weekday")</f>
        <v>Weekday</v>
      </c>
      <c r="I1242" t="str">
        <f>_xlfn.IFS(B1242&lt;=5,"Night (0-5)",B1242&lt;=9,"Morning peak (6-9)",B1242&lt;=15,"Midday (10-15)",B1242&lt;=19,"Evening peak (16-19)",TRUE,"Late evening (20-23)")</f>
        <v>Evening peak (16-19)</v>
      </c>
    </row>
    <row r="1243" spans="1:9">
      <c r="A1243" s="32">
        <v>41781</v>
      </c>
      <c r="B1243">
        <v>17</v>
      </c>
      <c r="C1243">
        <v>2342</v>
      </c>
      <c r="D1243" t="s">
        <v>303</v>
      </c>
      <c r="E1243">
        <f>YEAR(A1243)</f>
        <v>2014</v>
      </c>
      <c r="F1243" s="33">
        <f>DATE(YEAR(A1243),MONTH(A1243),1)</f>
        <v>41760.0</v>
      </c>
      <c r="G1243" t="str">
        <f>CHOOSE(WEEKDAY(A1243,2),"Mon","Tue","Wed","Thu","Fri","Sat","Sun")</f>
        <v>Thu</v>
      </c>
      <c r="H1243" t="str">
        <f>IF(WEEKDAY(A1243,2)&gt;5,"Weekend","Weekday")</f>
        <v>Weekday</v>
      </c>
      <c r="I1243" t="str">
        <f>_xlfn.IFS(B1243&lt;=5,"Night (0-5)",B1243&lt;=9,"Morning peak (6-9)",B1243&lt;=15,"Midday (10-15)",B1243&lt;=19,"Evening peak (16-19)",TRUE,"Late evening (20-23)")</f>
        <v>Evening peak (16-19)</v>
      </c>
    </row>
    <row r="1244" spans="1:9">
      <c r="A1244" s="32">
        <v>41781</v>
      </c>
      <c r="B1244">
        <v>18</v>
      </c>
      <c r="C1244">
        <v>2101</v>
      </c>
      <c r="D1244" t="s">
        <v>303</v>
      </c>
      <c r="E1244">
        <f>YEAR(A1244)</f>
        <v>2014</v>
      </c>
      <c r="F1244" s="33">
        <f>DATE(YEAR(A1244),MONTH(A1244),1)</f>
        <v>41760.0</v>
      </c>
      <c r="G1244" t="str">
        <f>CHOOSE(WEEKDAY(A1244,2),"Mon","Tue","Wed","Thu","Fri","Sat","Sun")</f>
        <v>Thu</v>
      </c>
      <c r="H1244" t="str">
        <f>IF(WEEKDAY(A1244,2)&gt;5,"Weekend","Weekday")</f>
        <v>Weekday</v>
      </c>
      <c r="I1244" t="str">
        <f>_xlfn.IFS(B1244&lt;=5,"Night (0-5)",B1244&lt;=9,"Morning peak (6-9)",B1244&lt;=15,"Midday (10-15)",B1244&lt;=19,"Evening peak (16-19)",TRUE,"Late evening (20-23)")</f>
        <v>Evening peak (16-19)</v>
      </c>
    </row>
    <row r="1245" spans="1:9">
      <c r="A1245" s="32">
        <v>41781</v>
      </c>
      <c r="B1245">
        <v>19</v>
      </c>
      <c r="C1245">
        <v>1645</v>
      </c>
      <c r="D1245" t="s">
        <v>303</v>
      </c>
      <c r="E1245">
        <f>YEAR(A1245)</f>
        <v>2014</v>
      </c>
      <c r="F1245" s="33">
        <f>DATE(YEAR(A1245),MONTH(A1245),1)</f>
        <v>41760.0</v>
      </c>
      <c r="G1245" t="str">
        <f>CHOOSE(WEEKDAY(A1245,2),"Mon","Tue","Wed","Thu","Fri","Sat","Sun")</f>
        <v>Thu</v>
      </c>
      <c r="H1245" t="str">
        <f>IF(WEEKDAY(A1245,2)&gt;5,"Weekend","Weekday")</f>
        <v>Weekday</v>
      </c>
      <c r="I1245" t="str">
        <f>_xlfn.IFS(B1245&lt;=5,"Night (0-5)",B1245&lt;=9,"Morning peak (6-9)",B1245&lt;=15,"Midday (10-15)",B1245&lt;=19,"Evening peak (16-19)",TRUE,"Late evening (20-23)")</f>
        <v>Evening peak (16-19)</v>
      </c>
    </row>
    <row r="1246" spans="1:9">
      <c r="A1246" s="32">
        <v>41781</v>
      </c>
      <c r="B1246">
        <v>20</v>
      </c>
      <c r="C1246">
        <v>1700</v>
      </c>
      <c r="D1246" t="s">
        <v>303</v>
      </c>
      <c r="E1246">
        <f>YEAR(A1246)</f>
        <v>2014</v>
      </c>
      <c r="F1246" s="33">
        <f>DATE(YEAR(A1246),MONTH(A1246),1)</f>
        <v>41760.0</v>
      </c>
      <c r="G1246" t="str">
        <f>CHOOSE(WEEKDAY(A1246,2),"Mon","Tue","Wed","Thu","Fri","Sat","Sun")</f>
        <v>Thu</v>
      </c>
      <c r="H1246" t="str">
        <f>IF(WEEKDAY(A1246,2)&gt;5,"Weekend","Weekday")</f>
        <v>Weekday</v>
      </c>
      <c r="I1246" t="str">
        <f>_xlfn.IFS(B1246&lt;=5,"Night (0-5)",B1246&lt;=9,"Morning peak (6-9)",B1246&lt;=15,"Midday (10-15)",B1246&lt;=19,"Evening peak (16-19)",TRUE,"Late evening (20-23)")</f>
        <v>Late evening (20-23)</v>
      </c>
    </row>
    <row r="1247" spans="1:9">
      <c r="A1247" s="32">
        <v>41781</v>
      </c>
      <c r="B1247">
        <v>21</v>
      </c>
      <c r="C1247">
        <v>1715</v>
      </c>
      <c r="D1247" t="s">
        <v>303</v>
      </c>
      <c r="E1247">
        <f>YEAR(A1247)</f>
        <v>2014</v>
      </c>
      <c r="F1247" s="33">
        <f>DATE(YEAR(A1247),MONTH(A1247),1)</f>
        <v>41760.0</v>
      </c>
      <c r="G1247" t="str">
        <f>CHOOSE(WEEKDAY(A1247,2),"Mon","Tue","Wed","Thu","Fri","Sat","Sun")</f>
        <v>Thu</v>
      </c>
      <c r="H1247" t="str">
        <f>IF(WEEKDAY(A1247,2)&gt;5,"Weekend","Weekday")</f>
        <v>Weekday</v>
      </c>
      <c r="I1247" t="str">
        <f>_xlfn.IFS(B1247&lt;=5,"Night (0-5)",B1247&lt;=9,"Morning peak (6-9)",B1247&lt;=15,"Midday (10-15)",B1247&lt;=19,"Evening peak (16-19)",TRUE,"Late evening (20-23)")</f>
        <v>Late evening (20-23)</v>
      </c>
    </row>
    <row r="1248" spans="1:9">
      <c r="A1248" s="32">
        <v>41781</v>
      </c>
      <c r="B1248">
        <v>22</v>
      </c>
      <c r="C1248">
        <v>1419</v>
      </c>
      <c r="D1248" t="s">
        <v>303</v>
      </c>
      <c r="E1248">
        <f>YEAR(A1248)</f>
        <v>2014</v>
      </c>
      <c r="F1248" s="33">
        <f>DATE(YEAR(A1248),MONTH(A1248),1)</f>
        <v>41760.0</v>
      </c>
      <c r="G1248" t="str">
        <f>CHOOSE(WEEKDAY(A1248,2),"Mon","Tue","Wed","Thu","Fri","Sat","Sun")</f>
        <v>Thu</v>
      </c>
      <c r="H1248" t="str">
        <f>IF(WEEKDAY(A1248,2)&gt;5,"Weekend","Weekday")</f>
        <v>Weekday</v>
      </c>
      <c r="I1248" t="str">
        <f>_xlfn.IFS(B1248&lt;=5,"Night (0-5)",B1248&lt;=9,"Morning peak (6-9)",B1248&lt;=15,"Midday (10-15)",B1248&lt;=19,"Evening peak (16-19)",TRUE,"Late evening (20-23)")</f>
        <v>Late evening (20-23)</v>
      </c>
    </row>
    <row r="1249" spans="1:9">
      <c r="A1249" s="32">
        <v>41781</v>
      </c>
      <c r="B1249">
        <v>23</v>
      </c>
      <c r="C1249">
        <v>883</v>
      </c>
      <c r="D1249" t="s">
        <v>303</v>
      </c>
      <c r="E1249">
        <f>YEAR(A1249)</f>
        <v>2014</v>
      </c>
      <c r="F1249" s="33">
        <f>DATE(YEAR(A1249),MONTH(A1249),1)</f>
        <v>41760.0</v>
      </c>
      <c r="G1249" t="str">
        <f>CHOOSE(WEEKDAY(A1249,2),"Mon","Tue","Wed","Thu","Fri","Sat","Sun")</f>
        <v>Thu</v>
      </c>
      <c r="H1249" t="str">
        <f>IF(WEEKDAY(A1249,2)&gt;5,"Weekend","Weekday")</f>
        <v>Weekday</v>
      </c>
      <c r="I1249" t="str">
        <f>_xlfn.IFS(B1249&lt;=5,"Night (0-5)",B1249&lt;=9,"Morning peak (6-9)",B1249&lt;=15,"Midday (10-15)",B1249&lt;=19,"Evening peak (16-19)",TRUE,"Late evening (20-23)")</f>
        <v>Late evening (20-23)</v>
      </c>
    </row>
    <row r="1250" spans="1:9">
      <c r="A1250" s="32">
        <v>41782</v>
      </c>
      <c r="B1250">
        <v>0</v>
      </c>
      <c r="C1250">
        <v>442</v>
      </c>
      <c r="D1250" t="s">
        <v>303</v>
      </c>
      <c r="E1250">
        <f>YEAR(A1250)</f>
        <v>2014</v>
      </c>
      <c r="F1250" s="33">
        <f>DATE(YEAR(A1250),MONTH(A1250),1)</f>
        <v>41760.0</v>
      </c>
      <c r="G1250" t="str">
        <f>CHOOSE(WEEKDAY(A1250,2),"Mon","Tue","Wed","Thu","Fri","Sat","Sun")</f>
        <v>Fri</v>
      </c>
      <c r="H1250" t="str">
        <f>IF(WEEKDAY(A1250,2)&gt;5,"Weekend","Weekday")</f>
        <v>Weekday</v>
      </c>
      <c r="I1250" t="str">
        <f>_xlfn.IFS(B1250&lt;=5,"Night (0-5)",B1250&lt;=9,"Morning peak (6-9)",B1250&lt;=15,"Midday (10-15)",B1250&lt;=19,"Evening peak (16-19)",TRUE,"Late evening (20-23)")</f>
        <v>Night (0-5)</v>
      </c>
    </row>
    <row r="1251" spans="1:9">
      <c r="A1251" s="32">
        <v>41782</v>
      </c>
      <c r="B1251">
        <v>1</v>
      </c>
      <c r="C1251">
        <v>248</v>
      </c>
      <c r="D1251" t="s">
        <v>303</v>
      </c>
      <c r="E1251">
        <f>YEAR(A1251)</f>
        <v>2014</v>
      </c>
      <c r="F1251" s="33">
        <f>DATE(YEAR(A1251),MONTH(A1251),1)</f>
        <v>41760.0</v>
      </c>
      <c r="G1251" t="str">
        <f>CHOOSE(WEEKDAY(A1251,2),"Mon","Tue","Wed","Thu","Fri","Sat","Sun")</f>
        <v>Fri</v>
      </c>
      <c r="H1251" t="str">
        <f>IF(WEEKDAY(A1251,2)&gt;5,"Weekend","Weekday")</f>
        <v>Weekday</v>
      </c>
      <c r="I1251" t="str">
        <f>_xlfn.IFS(B1251&lt;=5,"Night (0-5)",B1251&lt;=9,"Morning peak (6-9)",B1251&lt;=15,"Midday (10-15)",B1251&lt;=19,"Evening peak (16-19)",TRUE,"Late evening (20-23)")</f>
        <v>Night (0-5)</v>
      </c>
    </row>
    <row r="1252" spans="1:9">
      <c r="A1252" s="32">
        <v>41782</v>
      </c>
      <c r="B1252">
        <v>2</v>
      </c>
      <c r="C1252">
        <v>161</v>
      </c>
      <c r="D1252" t="s">
        <v>303</v>
      </c>
      <c r="E1252">
        <f>YEAR(A1252)</f>
        <v>2014</v>
      </c>
      <c r="F1252" s="33">
        <f>DATE(YEAR(A1252),MONTH(A1252),1)</f>
        <v>41760.0</v>
      </c>
      <c r="G1252" t="str">
        <f>CHOOSE(WEEKDAY(A1252,2),"Mon","Tue","Wed","Thu","Fri","Sat","Sun")</f>
        <v>Fri</v>
      </c>
      <c r="H1252" t="str">
        <f>IF(WEEKDAY(A1252,2)&gt;5,"Weekend","Weekday")</f>
        <v>Weekday</v>
      </c>
      <c r="I1252" t="str">
        <f>_xlfn.IFS(B1252&lt;=5,"Night (0-5)",B1252&lt;=9,"Morning peak (6-9)",B1252&lt;=15,"Midday (10-15)",B1252&lt;=19,"Evening peak (16-19)",TRUE,"Late evening (20-23)")</f>
        <v>Night (0-5)</v>
      </c>
    </row>
    <row r="1253" spans="1:9">
      <c r="A1253" s="32">
        <v>41782</v>
      </c>
      <c r="B1253">
        <v>3</v>
      </c>
      <c r="C1253">
        <v>244</v>
      </c>
      <c r="D1253" t="s">
        <v>303</v>
      </c>
      <c r="E1253">
        <f>YEAR(A1253)</f>
        <v>2014</v>
      </c>
      <c r="F1253" s="33">
        <f>DATE(YEAR(A1253),MONTH(A1253),1)</f>
        <v>41760.0</v>
      </c>
      <c r="G1253" t="str">
        <f>CHOOSE(WEEKDAY(A1253,2),"Mon","Tue","Wed","Thu","Fri","Sat","Sun")</f>
        <v>Fri</v>
      </c>
      <c r="H1253" t="str">
        <f>IF(WEEKDAY(A1253,2)&gt;5,"Weekend","Weekday")</f>
        <v>Weekday</v>
      </c>
      <c r="I1253" t="str">
        <f>_xlfn.IFS(B1253&lt;=5,"Night (0-5)",B1253&lt;=9,"Morning peak (6-9)",B1253&lt;=15,"Midday (10-15)",B1253&lt;=19,"Evening peak (16-19)",TRUE,"Late evening (20-23)")</f>
        <v>Night (0-5)</v>
      </c>
    </row>
    <row r="1254" spans="1:9">
      <c r="A1254" s="32">
        <v>41782</v>
      </c>
      <c r="B1254">
        <v>4</v>
      </c>
      <c r="C1254">
        <v>303</v>
      </c>
      <c r="D1254" t="s">
        <v>303</v>
      </c>
      <c r="E1254">
        <f>YEAR(A1254)</f>
        <v>2014</v>
      </c>
      <c r="F1254" s="33">
        <f>DATE(YEAR(A1254),MONTH(A1254),1)</f>
        <v>41760.0</v>
      </c>
      <c r="G1254" t="str">
        <f>CHOOSE(WEEKDAY(A1254,2),"Mon","Tue","Wed","Thu","Fri","Sat","Sun")</f>
        <v>Fri</v>
      </c>
      <c r="H1254" t="str">
        <f>IF(WEEKDAY(A1254,2)&gt;5,"Weekend","Weekday")</f>
        <v>Weekday</v>
      </c>
      <c r="I1254" t="str">
        <f>_xlfn.IFS(B1254&lt;=5,"Night (0-5)",B1254&lt;=9,"Morning peak (6-9)",B1254&lt;=15,"Midday (10-15)",B1254&lt;=19,"Evening peak (16-19)",TRUE,"Late evening (20-23)")</f>
        <v>Night (0-5)</v>
      </c>
    </row>
    <row r="1255" spans="1:9">
      <c r="A1255" s="32">
        <v>41782</v>
      </c>
      <c r="B1255">
        <v>5</v>
      </c>
      <c r="C1255">
        <v>428</v>
      </c>
      <c r="D1255" t="s">
        <v>303</v>
      </c>
      <c r="E1255">
        <f>YEAR(A1255)</f>
        <v>2014</v>
      </c>
      <c r="F1255" s="33">
        <f>DATE(YEAR(A1255),MONTH(A1255),1)</f>
        <v>41760.0</v>
      </c>
      <c r="G1255" t="str">
        <f>CHOOSE(WEEKDAY(A1255,2),"Mon","Tue","Wed","Thu","Fri","Sat","Sun")</f>
        <v>Fri</v>
      </c>
      <c r="H1255" t="str">
        <f>IF(WEEKDAY(A1255,2)&gt;5,"Weekend","Weekday")</f>
        <v>Weekday</v>
      </c>
      <c r="I1255" t="str">
        <f>_xlfn.IFS(B1255&lt;=5,"Night (0-5)",B1255&lt;=9,"Morning peak (6-9)",B1255&lt;=15,"Midday (10-15)",B1255&lt;=19,"Evening peak (16-19)",TRUE,"Late evening (20-23)")</f>
        <v>Night (0-5)</v>
      </c>
    </row>
    <row r="1256" spans="1:9">
      <c r="A1256" s="32">
        <v>41782</v>
      </c>
      <c r="B1256">
        <v>6</v>
      </c>
      <c r="C1256">
        <v>794</v>
      </c>
      <c r="D1256" t="s">
        <v>303</v>
      </c>
      <c r="E1256">
        <f>YEAR(A1256)</f>
        <v>2014</v>
      </c>
      <c r="F1256" s="33">
        <f>DATE(YEAR(A1256),MONTH(A1256),1)</f>
        <v>41760.0</v>
      </c>
      <c r="G1256" t="str">
        <f>CHOOSE(WEEKDAY(A1256,2),"Mon","Tue","Wed","Thu","Fri","Sat","Sun")</f>
        <v>Fri</v>
      </c>
      <c r="H1256" t="str">
        <f>IF(WEEKDAY(A1256,2)&gt;5,"Weekend","Weekday")</f>
        <v>Weekday</v>
      </c>
      <c r="I1256" t="str">
        <f>_xlfn.IFS(B1256&lt;=5,"Night (0-5)",B1256&lt;=9,"Morning peak (6-9)",B1256&lt;=15,"Midday (10-15)",B1256&lt;=19,"Evening peak (16-19)",TRUE,"Late evening (20-23)")</f>
        <v>Morning peak (6-9)</v>
      </c>
    </row>
    <row r="1257" spans="1:9">
      <c r="A1257" s="32">
        <v>41782</v>
      </c>
      <c r="B1257">
        <v>7</v>
      </c>
      <c r="C1257">
        <v>1056</v>
      </c>
      <c r="D1257" t="s">
        <v>303</v>
      </c>
      <c r="E1257">
        <f>YEAR(A1257)</f>
        <v>2014</v>
      </c>
      <c r="F1257" s="33">
        <f>DATE(YEAR(A1257),MONTH(A1257),1)</f>
        <v>41760.0</v>
      </c>
      <c r="G1257" t="str">
        <f>CHOOSE(WEEKDAY(A1257,2),"Mon","Tue","Wed","Thu","Fri","Sat","Sun")</f>
        <v>Fri</v>
      </c>
      <c r="H1257" t="str">
        <f>IF(WEEKDAY(A1257,2)&gt;5,"Weekend","Weekday")</f>
        <v>Weekday</v>
      </c>
      <c r="I1257" t="str">
        <f>_xlfn.IFS(B1257&lt;=5,"Night (0-5)",B1257&lt;=9,"Morning peak (6-9)",B1257&lt;=15,"Midday (10-15)",B1257&lt;=19,"Evening peak (16-19)",TRUE,"Late evening (20-23)")</f>
        <v>Morning peak (6-9)</v>
      </c>
    </row>
    <row r="1258" spans="1:9">
      <c r="A1258" s="32">
        <v>41782</v>
      </c>
      <c r="B1258">
        <v>8</v>
      </c>
      <c r="C1258">
        <v>935</v>
      </c>
      <c r="D1258" t="s">
        <v>303</v>
      </c>
      <c r="E1258">
        <f>YEAR(A1258)</f>
        <v>2014</v>
      </c>
      <c r="F1258" s="33">
        <f>DATE(YEAR(A1258),MONTH(A1258),1)</f>
        <v>41760.0</v>
      </c>
      <c r="G1258" t="str">
        <f>CHOOSE(WEEKDAY(A1258,2),"Mon","Tue","Wed","Thu","Fri","Sat","Sun")</f>
        <v>Fri</v>
      </c>
      <c r="H1258" t="str">
        <f>IF(WEEKDAY(A1258,2)&gt;5,"Weekend","Weekday")</f>
        <v>Weekday</v>
      </c>
      <c r="I1258" t="str">
        <f>_xlfn.IFS(B1258&lt;=5,"Night (0-5)",B1258&lt;=9,"Morning peak (6-9)",B1258&lt;=15,"Midday (10-15)",B1258&lt;=19,"Evening peak (16-19)",TRUE,"Late evening (20-23)")</f>
        <v>Morning peak (6-9)</v>
      </c>
    </row>
    <row r="1259" spans="1:9">
      <c r="A1259" s="32">
        <v>41782</v>
      </c>
      <c r="B1259">
        <v>9</v>
      </c>
      <c r="C1259">
        <v>744</v>
      </c>
      <c r="D1259" t="s">
        <v>303</v>
      </c>
      <c r="E1259">
        <f>YEAR(A1259)</f>
        <v>2014</v>
      </c>
      <c r="F1259" s="33">
        <f>DATE(YEAR(A1259),MONTH(A1259),1)</f>
        <v>41760.0</v>
      </c>
      <c r="G1259" t="str">
        <f>CHOOSE(WEEKDAY(A1259,2),"Mon","Tue","Wed","Thu","Fri","Sat","Sun")</f>
        <v>Fri</v>
      </c>
      <c r="H1259" t="str">
        <f>IF(WEEKDAY(A1259,2)&gt;5,"Weekend","Weekday")</f>
        <v>Weekday</v>
      </c>
      <c r="I1259" t="str">
        <f>_xlfn.IFS(B1259&lt;=5,"Night (0-5)",B1259&lt;=9,"Morning peak (6-9)",B1259&lt;=15,"Midday (10-15)",B1259&lt;=19,"Evening peak (16-19)",TRUE,"Late evening (20-23)")</f>
        <v>Morning peak (6-9)</v>
      </c>
    </row>
    <row r="1260" spans="1:9">
      <c r="A1260" s="32">
        <v>41782</v>
      </c>
      <c r="B1260">
        <v>10</v>
      </c>
      <c r="C1260">
        <v>677</v>
      </c>
      <c r="D1260" t="s">
        <v>303</v>
      </c>
      <c r="E1260">
        <f>YEAR(A1260)</f>
        <v>2014</v>
      </c>
      <c r="F1260" s="33">
        <f>DATE(YEAR(A1260),MONTH(A1260),1)</f>
        <v>41760.0</v>
      </c>
      <c r="G1260" t="str">
        <f>CHOOSE(WEEKDAY(A1260,2),"Mon","Tue","Wed","Thu","Fri","Sat","Sun")</f>
        <v>Fri</v>
      </c>
      <c r="H1260" t="str">
        <f>IF(WEEKDAY(A1260,2)&gt;5,"Weekend","Weekday")</f>
        <v>Weekday</v>
      </c>
      <c r="I1260" t="str">
        <f>_xlfn.IFS(B1260&lt;=5,"Night (0-5)",B1260&lt;=9,"Morning peak (6-9)",B1260&lt;=15,"Midday (10-15)",B1260&lt;=19,"Evening peak (16-19)",TRUE,"Late evening (20-23)")</f>
        <v>Midday (10-15)</v>
      </c>
    </row>
    <row r="1261" spans="1:9">
      <c r="A1261" s="32">
        <v>41782</v>
      </c>
      <c r="B1261">
        <v>11</v>
      </c>
      <c r="C1261">
        <v>811</v>
      </c>
      <c r="D1261" t="s">
        <v>303</v>
      </c>
      <c r="E1261">
        <f>YEAR(A1261)</f>
        <v>2014</v>
      </c>
      <c r="F1261" s="33">
        <f>DATE(YEAR(A1261),MONTH(A1261),1)</f>
        <v>41760.0</v>
      </c>
      <c r="G1261" t="str">
        <f>CHOOSE(WEEKDAY(A1261,2),"Mon","Tue","Wed","Thu","Fri","Sat","Sun")</f>
        <v>Fri</v>
      </c>
      <c r="H1261" t="str">
        <f>IF(WEEKDAY(A1261,2)&gt;5,"Weekend","Weekday")</f>
        <v>Weekday</v>
      </c>
      <c r="I1261" t="str">
        <f>_xlfn.IFS(B1261&lt;=5,"Night (0-5)",B1261&lt;=9,"Morning peak (6-9)",B1261&lt;=15,"Midday (10-15)",B1261&lt;=19,"Evening peak (16-19)",TRUE,"Late evening (20-23)")</f>
        <v>Midday (10-15)</v>
      </c>
    </row>
    <row r="1262" spans="1:9">
      <c r="A1262" s="32">
        <v>41782</v>
      </c>
      <c r="B1262">
        <v>12</v>
      </c>
      <c r="C1262">
        <v>849</v>
      </c>
      <c r="D1262" t="s">
        <v>303</v>
      </c>
      <c r="E1262">
        <f>YEAR(A1262)</f>
        <v>2014</v>
      </c>
      <c r="F1262" s="33">
        <f>DATE(YEAR(A1262),MONTH(A1262),1)</f>
        <v>41760.0</v>
      </c>
      <c r="G1262" t="str">
        <f>CHOOSE(WEEKDAY(A1262,2),"Mon","Tue","Wed","Thu","Fri","Sat","Sun")</f>
        <v>Fri</v>
      </c>
      <c r="H1262" t="str">
        <f>IF(WEEKDAY(A1262,2)&gt;5,"Weekend","Weekday")</f>
        <v>Weekday</v>
      </c>
      <c r="I1262" t="str">
        <f>_xlfn.IFS(B1262&lt;=5,"Night (0-5)",B1262&lt;=9,"Morning peak (6-9)",B1262&lt;=15,"Midday (10-15)",B1262&lt;=19,"Evening peak (16-19)",TRUE,"Late evening (20-23)")</f>
        <v>Midday (10-15)</v>
      </c>
    </row>
    <row r="1263" spans="1:9">
      <c r="A1263" s="32">
        <v>41782</v>
      </c>
      <c r="B1263">
        <v>13</v>
      </c>
      <c r="C1263">
        <v>954</v>
      </c>
      <c r="D1263" t="s">
        <v>303</v>
      </c>
      <c r="E1263">
        <f>YEAR(A1263)</f>
        <v>2014</v>
      </c>
      <c r="F1263" s="33">
        <f>DATE(YEAR(A1263),MONTH(A1263),1)</f>
        <v>41760.0</v>
      </c>
      <c r="G1263" t="str">
        <f>CHOOSE(WEEKDAY(A1263,2),"Mon","Tue","Wed","Thu","Fri","Sat","Sun")</f>
        <v>Fri</v>
      </c>
      <c r="H1263" t="str">
        <f>IF(WEEKDAY(A1263,2)&gt;5,"Weekend","Weekday")</f>
        <v>Weekday</v>
      </c>
      <c r="I1263" t="str">
        <f>_xlfn.IFS(B1263&lt;=5,"Night (0-5)",B1263&lt;=9,"Morning peak (6-9)",B1263&lt;=15,"Midday (10-15)",B1263&lt;=19,"Evening peak (16-19)",TRUE,"Late evening (20-23)")</f>
        <v>Midday (10-15)</v>
      </c>
    </row>
    <row r="1264" spans="1:9">
      <c r="A1264" s="32">
        <v>41782</v>
      </c>
      <c r="B1264">
        <v>14</v>
      </c>
      <c r="C1264">
        <v>1268</v>
      </c>
      <c r="D1264" t="s">
        <v>303</v>
      </c>
      <c r="E1264">
        <f>YEAR(A1264)</f>
        <v>2014</v>
      </c>
      <c r="F1264" s="33">
        <f>DATE(YEAR(A1264),MONTH(A1264),1)</f>
        <v>41760.0</v>
      </c>
      <c r="G1264" t="str">
        <f>CHOOSE(WEEKDAY(A1264,2),"Mon","Tue","Wed","Thu","Fri","Sat","Sun")</f>
        <v>Fri</v>
      </c>
      <c r="H1264" t="str">
        <f>IF(WEEKDAY(A1264,2)&gt;5,"Weekend","Weekday")</f>
        <v>Weekday</v>
      </c>
      <c r="I1264" t="str">
        <f>_xlfn.IFS(B1264&lt;=5,"Night (0-5)",B1264&lt;=9,"Morning peak (6-9)",B1264&lt;=15,"Midday (10-15)",B1264&lt;=19,"Evening peak (16-19)",TRUE,"Late evening (20-23)")</f>
        <v>Midday (10-15)</v>
      </c>
    </row>
    <row r="1265" spans="1:9">
      <c r="A1265" s="32">
        <v>41782</v>
      </c>
      <c r="B1265">
        <v>15</v>
      </c>
      <c r="C1265">
        <v>1682</v>
      </c>
      <c r="D1265" t="s">
        <v>303</v>
      </c>
      <c r="E1265">
        <f>YEAR(A1265)</f>
        <v>2014</v>
      </c>
      <c r="F1265" s="33">
        <f>DATE(YEAR(A1265),MONTH(A1265),1)</f>
        <v>41760.0</v>
      </c>
      <c r="G1265" t="str">
        <f>CHOOSE(WEEKDAY(A1265,2),"Mon","Tue","Wed","Thu","Fri","Sat","Sun")</f>
        <v>Fri</v>
      </c>
      <c r="H1265" t="str">
        <f>IF(WEEKDAY(A1265,2)&gt;5,"Weekend","Weekday")</f>
        <v>Weekday</v>
      </c>
      <c r="I1265" t="str">
        <f>_xlfn.IFS(B1265&lt;=5,"Night (0-5)",B1265&lt;=9,"Morning peak (6-9)",B1265&lt;=15,"Midday (10-15)",B1265&lt;=19,"Evening peak (16-19)",TRUE,"Late evening (20-23)")</f>
        <v>Midday (10-15)</v>
      </c>
    </row>
    <row r="1266" spans="1:9">
      <c r="A1266" s="32">
        <v>41782</v>
      </c>
      <c r="B1266">
        <v>16</v>
      </c>
      <c r="C1266">
        <v>1442</v>
      </c>
      <c r="D1266" t="s">
        <v>303</v>
      </c>
      <c r="E1266">
        <f>YEAR(A1266)</f>
        <v>2014</v>
      </c>
      <c r="F1266" s="33">
        <f>DATE(YEAR(A1266),MONTH(A1266),1)</f>
        <v>41760.0</v>
      </c>
      <c r="G1266" t="str">
        <f>CHOOSE(WEEKDAY(A1266,2),"Mon","Tue","Wed","Thu","Fri","Sat","Sun")</f>
        <v>Fri</v>
      </c>
      <c r="H1266" t="str">
        <f>IF(WEEKDAY(A1266,2)&gt;5,"Weekend","Weekday")</f>
        <v>Weekday</v>
      </c>
      <c r="I1266" t="str">
        <f>_xlfn.IFS(B1266&lt;=5,"Night (0-5)",B1266&lt;=9,"Morning peak (6-9)",B1266&lt;=15,"Midday (10-15)",B1266&lt;=19,"Evening peak (16-19)",TRUE,"Late evening (20-23)")</f>
        <v>Evening peak (16-19)</v>
      </c>
    </row>
    <row r="1267" spans="1:9">
      <c r="A1267" s="32">
        <v>41782</v>
      </c>
      <c r="B1267">
        <v>17</v>
      </c>
      <c r="C1267">
        <v>1090</v>
      </c>
      <c r="D1267" t="s">
        <v>303</v>
      </c>
      <c r="E1267">
        <f>YEAR(A1267)</f>
        <v>2014</v>
      </c>
      <c r="F1267" s="33">
        <f>DATE(YEAR(A1267),MONTH(A1267),1)</f>
        <v>41760.0</v>
      </c>
      <c r="G1267" t="str">
        <f>CHOOSE(WEEKDAY(A1267,2),"Mon","Tue","Wed","Thu","Fri","Sat","Sun")</f>
        <v>Fri</v>
      </c>
      <c r="H1267" t="str">
        <f>IF(WEEKDAY(A1267,2)&gt;5,"Weekend","Weekday")</f>
        <v>Weekday</v>
      </c>
      <c r="I1267" t="str">
        <f>_xlfn.IFS(B1267&lt;=5,"Night (0-5)",B1267&lt;=9,"Morning peak (6-9)",B1267&lt;=15,"Midday (10-15)",B1267&lt;=19,"Evening peak (16-19)",TRUE,"Late evening (20-23)")</f>
        <v>Evening peak (16-19)</v>
      </c>
    </row>
    <row r="1268" spans="1:9">
      <c r="A1268" s="32">
        <v>41782</v>
      </c>
      <c r="B1268">
        <v>18</v>
      </c>
      <c r="C1268">
        <v>1817</v>
      </c>
      <c r="D1268" t="s">
        <v>303</v>
      </c>
      <c r="E1268">
        <f>YEAR(A1268)</f>
        <v>2014</v>
      </c>
      <c r="F1268" s="33">
        <f>DATE(YEAR(A1268),MONTH(A1268),1)</f>
        <v>41760.0</v>
      </c>
      <c r="G1268" t="str">
        <f>CHOOSE(WEEKDAY(A1268,2),"Mon","Tue","Wed","Thu","Fri","Sat","Sun")</f>
        <v>Fri</v>
      </c>
      <c r="H1268" t="str">
        <f>IF(WEEKDAY(A1268,2)&gt;5,"Weekend","Weekday")</f>
        <v>Weekday</v>
      </c>
      <c r="I1268" t="str">
        <f>_xlfn.IFS(B1268&lt;=5,"Night (0-5)",B1268&lt;=9,"Morning peak (6-9)",B1268&lt;=15,"Midday (10-15)",B1268&lt;=19,"Evening peak (16-19)",TRUE,"Late evening (20-23)")</f>
        <v>Evening peak (16-19)</v>
      </c>
    </row>
    <row r="1269" spans="1:9">
      <c r="A1269" s="32">
        <v>41782</v>
      </c>
      <c r="B1269">
        <v>19</v>
      </c>
      <c r="C1269">
        <v>2560</v>
      </c>
      <c r="D1269" t="s">
        <v>303</v>
      </c>
      <c r="E1269">
        <f>YEAR(A1269)</f>
        <v>2014</v>
      </c>
      <c r="F1269" s="33">
        <f>DATE(YEAR(A1269),MONTH(A1269),1)</f>
        <v>41760.0</v>
      </c>
      <c r="G1269" t="str">
        <f>CHOOSE(WEEKDAY(A1269,2),"Mon","Tue","Wed","Thu","Fri","Sat","Sun")</f>
        <v>Fri</v>
      </c>
      <c r="H1269" t="str">
        <f>IF(WEEKDAY(A1269,2)&gt;5,"Weekend","Weekday")</f>
        <v>Weekday</v>
      </c>
      <c r="I1269" t="str">
        <f>_xlfn.IFS(B1269&lt;=5,"Night (0-5)",B1269&lt;=9,"Morning peak (6-9)",B1269&lt;=15,"Midday (10-15)",B1269&lt;=19,"Evening peak (16-19)",TRUE,"Late evening (20-23)")</f>
        <v>Evening peak (16-19)</v>
      </c>
    </row>
    <row r="1270" spans="1:9">
      <c r="A1270" s="32">
        <v>41782</v>
      </c>
      <c r="B1270">
        <v>20</v>
      </c>
      <c r="C1270">
        <v>2447</v>
      </c>
      <c r="D1270" t="s">
        <v>303</v>
      </c>
      <c r="E1270">
        <f>YEAR(A1270)</f>
        <v>2014</v>
      </c>
      <c r="F1270" s="33">
        <f>DATE(YEAR(A1270),MONTH(A1270),1)</f>
        <v>41760.0</v>
      </c>
      <c r="G1270" t="str">
        <f>CHOOSE(WEEKDAY(A1270,2),"Mon","Tue","Wed","Thu","Fri","Sat","Sun")</f>
        <v>Fri</v>
      </c>
      <c r="H1270" t="str">
        <f>IF(WEEKDAY(A1270,2)&gt;5,"Weekend","Weekday")</f>
        <v>Weekday</v>
      </c>
      <c r="I1270" t="str">
        <f>_xlfn.IFS(B1270&lt;=5,"Night (0-5)",B1270&lt;=9,"Morning peak (6-9)",B1270&lt;=15,"Midday (10-15)",B1270&lt;=19,"Evening peak (16-19)",TRUE,"Late evening (20-23)")</f>
        <v>Late evening (20-23)</v>
      </c>
    </row>
    <row r="1271" spans="1:9">
      <c r="A1271" s="32">
        <v>41782</v>
      </c>
      <c r="B1271">
        <v>21</v>
      </c>
      <c r="C1271">
        <v>2026</v>
      </c>
      <c r="D1271" t="s">
        <v>303</v>
      </c>
      <c r="E1271">
        <f>YEAR(A1271)</f>
        <v>2014</v>
      </c>
      <c r="F1271" s="33">
        <f>DATE(YEAR(A1271),MONTH(A1271),1)</f>
        <v>41760.0</v>
      </c>
      <c r="G1271" t="str">
        <f>CHOOSE(WEEKDAY(A1271,2),"Mon","Tue","Wed","Thu","Fri","Sat","Sun")</f>
        <v>Fri</v>
      </c>
      <c r="H1271" t="str">
        <f>IF(WEEKDAY(A1271,2)&gt;5,"Weekend","Weekday")</f>
        <v>Weekday</v>
      </c>
      <c r="I1271" t="str">
        <f>_xlfn.IFS(B1271&lt;=5,"Night (0-5)",B1271&lt;=9,"Morning peak (6-9)",B1271&lt;=15,"Midday (10-15)",B1271&lt;=19,"Evening peak (16-19)",TRUE,"Late evening (20-23)")</f>
        <v>Late evening (20-23)</v>
      </c>
    </row>
    <row r="1272" spans="1:9">
      <c r="A1272" s="32">
        <v>41782</v>
      </c>
      <c r="B1272">
        <v>22</v>
      </c>
      <c r="C1272">
        <v>2006</v>
      </c>
      <c r="D1272" t="s">
        <v>303</v>
      </c>
      <c r="E1272">
        <f>YEAR(A1272)</f>
        <v>2014</v>
      </c>
      <c r="F1272" s="33">
        <f>DATE(YEAR(A1272),MONTH(A1272),1)</f>
        <v>41760.0</v>
      </c>
      <c r="G1272" t="str">
        <f>CHOOSE(WEEKDAY(A1272,2),"Mon","Tue","Wed","Thu","Fri","Sat","Sun")</f>
        <v>Fri</v>
      </c>
      <c r="H1272" t="str">
        <f>IF(WEEKDAY(A1272,2)&gt;5,"Weekend","Weekday")</f>
        <v>Weekday</v>
      </c>
      <c r="I1272" t="str">
        <f>_xlfn.IFS(B1272&lt;=5,"Night (0-5)",B1272&lt;=9,"Morning peak (6-9)",B1272&lt;=15,"Midday (10-15)",B1272&lt;=19,"Evening peak (16-19)",TRUE,"Late evening (20-23)")</f>
        <v>Late evening (20-23)</v>
      </c>
    </row>
    <row r="1273" spans="1:9">
      <c r="A1273" s="32">
        <v>41782</v>
      </c>
      <c r="B1273">
        <v>23</v>
      </c>
      <c r="C1273">
        <v>1481</v>
      </c>
      <c r="D1273" t="s">
        <v>303</v>
      </c>
      <c r="E1273">
        <f>YEAR(A1273)</f>
        <v>2014</v>
      </c>
      <c r="F1273" s="33">
        <f>DATE(YEAR(A1273),MONTH(A1273),1)</f>
        <v>41760.0</v>
      </c>
      <c r="G1273" t="str">
        <f>CHOOSE(WEEKDAY(A1273,2),"Mon","Tue","Wed","Thu","Fri","Sat","Sun")</f>
        <v>Fri</v>
      </c>
      <c r="H1273" t="str">
        <f>IF(WEEKDAY(A1273,2)&gt;5,"Weekend","Weekday")</f>
        <v>Weekday</v>
      </c>
      <c r="I1273" t="str">
        <f>_xlfn.IFS(B1273&lt;=5,"Night (0-5)",B1273&lt;=9,"Morning peak (6-9)",B1273&lt;=15,"Midday (10-15)",B1273&lt;=19,"Evening peak (16-19)",TRUE,"Late evening (20-23)")</f>
        <v>Late evening (20-23)</v>
      </c>
    </row>
    <row r="1274" spans="1:9">
      <c r="A1274" s="32">
        <v>41783</v>
      </c>
      <c r="B1274">
        <v>0</v>
      </c>
      <c r="C1274">
        <v>700</v>
      </c>
      <c r="D1274" t="s">
        <v>303</v>
      </c>
      <c r="E1274">
        <f>YEAR(A1274)</f>
        <v>2014</v>
      </c>
      <c r="F1274" s="33">
        <f>DATE(YEAR(A1274),MONTH(A1274),1)</f>
        <v>41760.0</v>
      </c>
      <c r="G1274" t="str">
        <f>CHOOSE(WEEKDAY(A1274,2),"Mon","Tue","Wed","Thu","Fri","Sat","Sun")</f>
        <v>Sat</v>
      </c>
      <c r="H1274" t="str">
        <f>IF(WEEKDAY(A1274,2)&gt;5,"Weekend","Weekday")</f>
        <v>Weekend</v>
      </c>
      <c r="I1274" t="str">
        <f>_xlfn.IFS(B1274&lt;=5,"Night (0-5)",B1274&lt;=9,"Morning peak (6-9)",B1274&lt;=15,"Midday (10-15)",B1274&lt;=19,"Evening peak (16-19)",TRUE,"Late evening (20-23)")</f>
        <v>Night (0-5)</v>
      </c>
    </row>
    <row r="1275" spans="1:9">
      <c r="A1275" s="32">
        <v>41783</v>
      </c>
      <c r="B1275">
        <v>1</v>
      </c>
      <c r="C1275">
        <v>363</v>
      </c>
      <c r="D1275" t="s">
        <v>303</v>
      </c>
      <c r="E1275">
        <f>YEAR(A1275)</f>
        <v>2014</v>
      </c>
      <c r="F1275" s="33">
        <f>DATE(YEAR(A1275),MONTH(A1275),1)</f>
        <v>41760.0</v>
      </c>
      <c r="G1275" t="str">
        <f>CHOOSE(WEEKDAY(A1275,2),"Mon","Tue","Wed","Thu","Fri","Sat","Sun")</f>
        <v>Sat</v>
      </c>
      <c r="H1275" t="str">
        <f>IF(WEEKDAY(A1275,2)&gt;5,"Weekend","Weekday")</f>
        <v>Weekend</v>
      </c>
      <c r="I1275" t="str">
        <f>_xlfn.IFS(B1275&lt;=5,"Night (0-5)",B1275&lt;=9,"Morning peak (6-9)",B1275&lt;=15,"Midday (10-15)",B1275&lt;=19,"Evening peak (16-19)",TRUE,"Late evening (20-23)")</f>
        <v>Night (0-5)</v>
      </c>
    </row>
    <row r="1276" spans="1:9">
      <c r="A1276" s="32">
        <v>41783</v>
      </c>
      <c r="B1276">
        <v>2</v>
      </c>
      <c r="C1276">
        <v>249</v>
      </c>
      <c r="D1276" t="s">
        <v>303</v>
      </c>
      <c r="E1276">
        <f>YEAR(A1276)</f>
        <v>2014</v>
      </c>
      <c r="F1276" s="33">
        <f>DATE(YEAR(A1276),MONTH(A1276),1)</f>
        <v>41760.0</v>
      </c>
      <c r="G1276" t="str">
        <f>CHOOSE(WEEKDAY(A1276,2),"Mon","Tue","Wed","Thu","Fri","Sat","Sun")</f>
        <v>Sat</v>
      </c>
      <c r="H1276" t="str">
        <f>IF(WEEKDAY(A1276,2)&gt;5,"Weekend","Weekday")</f>
        <v>Weekend</v>
      </c>
      <c r="I1276" t="str">
        <f>_xlfn.IFS(B1276&lt;=5,"Night (0-5)",B1276&lt;=9,"Morning peak (6-9)",B1276&lt;=15,"Midday (10-15)",B1276&lt;=19,"Evening peak (16-19)",TRUE,"Late evening (20-23)")</f>
        <v>Night (0-5)</v>
      </c>
    </row>
    <row r="1277" spans="1:9">
      <c r="A1277" s="32">
        <v>41783</v>
      </c>
      <c r="B1277">
        <v>3</v>
      </c>
      <c r="C1277">
        <v>225</v>
      </c>
      <c r="D1277" t="s">
        <v>303</v>
      </c>
      <c r="E1277">
        <f>YEAR(A1277)</f>
        <v>2014</v>
      </c>
      <c r="F1277" s="33">
        <f>DATE(YEAR(A1277),MONTH(A1277),1)</f>
        <v>41760.0</v>
      </c>
      <c r="G1277" t="str">
        <f>CHOOSE(WEEKDAY(A1277,2),"Mon","Tue","Wed","Thu","Fri","Sat","Sun")</f>
        <v>Sat</v>
      </c>
      <c r="H1277" t="str">
        <f>IF(WEEKDAY(A1277,2)&gt;5,"Weekend","Weekday")</f>
        <v>Weekend</v>
      </c>
      <c r="I1277" t="str">
        <f>_xlfn.IFS(B1277&lt;=5,"Night (0-5)",B1277&lt;=9,"Morning peak (6-9)",B1277&lt;=15,"Midday (10-15)",B1277&lt;=19,"Evening peak (16-19)",TRUE,"Late evening (20-23)")</f>
        <v>Night (0-5)</v>
      </c>
    </row>
    <row r="1278" spans="1:9">
      <c r="A1278" s="32">
        <v>41783</v>
      </c>
      <c r="B1278">
        <v>4</v>
      </c>
      <c r="C1278">
        <v>175</v>
      </c>
      <c r="D1278" t="s">
        <v>303</v>
      </c>
      <c r="E1278">
        <f>YEAR(A1278)</f>
        <v>2014</v>
      </c>
      <c r="F1278" s="33">
        <f>DATE(YEAR(A1278),MONTH(A1278),1)</f>
        <v>41760.0</v>
      </c>
      <c r="G1278" t="str">
        <f>CHOOSE(WEEKDAY(A1278,2),"Mon","Tue","Wed","Thu","Fri","Sat","Sun")</f>
        <v>Sat</v>
      </c>
      <c r="H1278" t="str">
        <f>IF(WEEKDAY(A1278,2)&gt;5,"Weekend","Weekday")</f>
        <v>Weekend</v>
      </c>
      <c r="I1278" t="str">
        <f>_xlfn.IFS(B1278&lt;=5,"Night (0-5)",B1278&lt;=9,"Morning peak (6-9)",B1278&lt;=15,"Midday (10-15)",B1278&lt;=19,"Evening peak (16-19)",TRUE,"Late evening (20-23)")</f>
        <v>Night (0-5)</v>
      </c>
    </row>
    <row r="1279" spans="1:9">
      <c r="A1279" s="32">
        <v>41783</v>
      </c>
      <c r="B1279">
        <v>5</v>
      </c>
      <c r="C1279">
        <v>211</v>
      </c>
      <c r="D1279" t="s">
        <v>303</v>
      </c>
      <c r="E1279">
        <f>YEAR(A1279)</f>
        <v>2014</v>
      </c>
      <c r="F1279" s="33">
        <f>DATE(YEAR(A1279),MONTH(A1279),1)</f>
        <v>41760.0</v>
      </c>
      <c r="G1279" t="str">
        <f>CHOOSE(WEEKDAY(A1279,2),"Mon","Tue","Wed","Thu","Fri","Sat","Sun")</f>
        <v>Sat</v>
      </c>
      <c r="H1279" t="str">
        <f>IF(WEEKDAY(A1279,2)&gt;5,"Weekend","Weekday")</f>
        <v>Weekend</v>
      </c>
      <c r="I1279" t="str">
        <f>_xlfn.IFS(B1279&lt;=5,"Night (0-5)",B1279&lt;=9,"Morning peak (6-9)",B1279&lt;=15,"Midday (10-15)",B1279&lt;=19,"Evening peak (16-19)",TRUE,"Late evening (20-23)")</f>
        <v>Night (0-5)</v>
      </c>
    </row>
    <row r="1280" spans="1:9">
      <c r="A1280" s="32">
        <v>41783</v>
      </c>
      <c r="B1280">
        <v>6</v>
      </c>
      <c r="C1280">
        <v>217</v>
      </c>
      <c r="D1280" t="s">
        <v>303</v>
      </c>
      <c r="E1280">
        <f>YEAR(A1280)</f>
        <v>2014</v>
      </c>
      <c r="F1280" s="33">
        <f>DATE(YEAR(A1280),MONTH(A1280),1)</f>
        <v>41760.0</v>
      </c>
      <c r="G1280" t="str">
        <f>CHOOSE(WEEKDAY(A1280,2),"Mon","Tue","Wed","Thu","Fri","Sat","Sun")</f>
        <v>Sat</v>
      </c>
      <c r="H1280" t="str">
        <f>IF(WEEKDAY(A1280,2)&gt;5,"Weekend","Weekday")</f>
        <v>Weekend</v>
      </c>
      <c r="I1280" t="str">
        <f>_xlfn.IFS(B1280&lt;=5,"Night (0-5)",B1280&lt;=9,"Morning peak (6-9)",B1280&lt;=15,"Midday (10-15)",B1280&lt;=19,"Evening peak (16-19)",TRUE,"Late evening (20-23)")</f>
        <v>Morning peak (6-9)</v>
      </c>
    </row>
    <row r="1281" spans="1:9">
      <c r="A1281" s="32">
        <v>41783</v>
      </c>
      <c r="B1281">
        <v>7</v>
      </c>
      <c r="C1281">
        <v>272</v>
      </c>
      <c r="D1281" t="s">
        <v>303</v>
      </c>
      <c r="E1281">
        <f>YEAR(A1281)</f>
        <v>2014</v>
      </c>
      <c r="F1281" s="33">
        <f>DATE(YEAR(A1281),MONTH(A1281),1)</f>
        <v>41760.0</v>
      </c>
      <c r="G1281" t="str">
        <f>CHOOSE(WEEKDAY(A1281,2),"Mon","Tue","Wed","Thu","Fri","Sat","Sun")</f>
        <v>Sat</v>
      </c>
      <c r="H1281" t="str">
        <f>IF(WEEKDAY(A1281,2)&gt;5,"Weekend","Weekday")</f>
        <v>Weekend</v>
      </c>
      <c r="I1281" t="str">
        <f>_xlfn.IFS(B1281&lt;=5,"Night (0-5)",B1281&lt;=9,"Morning peak (6-9)",B1281&lt;=15,"Midday (10-15)",B1281&lt;=19,"Evening peak (16-19)",TRUE,"Late evening (20-23)")</f>
        <v>Morning peak (6-9)</v>
      </c>
    </row>
    <row r="1282" spans="1:9">
      <c r="A1282" s="32">
        <v>41783</v>
      </c>
      <c r="B1282">
        <v>8</v>
      </c>
      <c r="C1282">
        <v>373</v>
      </c>
      <c r="D1282" t="s">
        <v>303</v>
      </c>
      <c r="E1282">
        <f>YEAR(A1282)</f>
        <v>2014</v>
      </c>
      <c r="F1282" s="33">
        <f>DATE(YEAR(A1282),MONTH(A1282),1)</f>
        <v>41760.0</v>
      </c>
      <c r="G1282" t="str">
        <f>CHOOSE(WEEKDAY(A1282,2),"Mon","Tue","Wed","Thu","Fri","Sat","Sun")</f>
        <v>Sat</v>
      </c>
      <c r="H1282" t="str">
        <f>IF(WEEKDAY(A1282,2)&gt;5,"Weekend","Weekday")</f>
        <v>Weekend</v>
      </c>
      <c r="I1282" t="str">
        <f>_xlfn.IFS(B1282&lt;=5,"Night (0-5)",B1282&lt;=9,"Morning peak (6-9)",B1282&lt;=15,"Midday (10-15)",B1282&lt;=19,"Evening peak (16-19)",TRUE,"Late evening (20-23)")</f>
        <v>Morning peak (6-9)</v>
      </c>
    </row>
    <row r="1283" spans="1:9">
      <c r="A1283" s="32">
        <v>41783</v>
      </c>
      <c r="B1283">
        <v>9</v>
      </c>
      <c r="C1283">
        <v>426</v>
      </c>
      <c r="D1283" t="s">
        <v>303</v>
      </c>
      <c r="E1283">
        <f>YEAR(A1283)</f>
        <v>2014</v>
      </c>
      <c r="F1283" s="33">
        <f>DATE(YEAR(A1283),MONTH(A1283),1)</f>
        <v>41760.0</v>
      </c>
      <c r="G1283" t="str">
        <f>CHOOSE(WEEKDAY(A1283,2),"Mon","Tue","Wed","Thu","Fri","Sat","Sun")</f>
        <v>Sat</v>
      </c>
      <c r="H1283" t="str">
        <f>IF(WEEKDAY(A1283,2)&gt;5,"Weekend","Weekday")</f>
        <v>Weekend</v>
      </c>
      <c r="I1283" t="str">
        <f>_xlfn.IFS(B1283&lt;=5,"Night (0-5)",B1283&lt;=9,"Morning peak (6-9)",B1283&lt;=15,"Midday (10-15)",B1283&lt;=19,"Evening peak (16-19)",TRUE,"Late evening (20-23)")</f>
        <v>Morning peak (6-9)</v>
      </c>
    </row>
    <row r="1284" spans="1:9">
      <c r="A1284" s="32">
        <v>41783</v>
      </c>
      <c r="B1284">
        <v>10</v>
      </c>
      <c r="C1284">
        <v>471</v>
      </c>
      <c r="D1284" t="s">
        <v>303</v>
      </c>
      <c r="E1284">
        <f>YEAR(A1284)</f>
        <v>2014</v>
      </c>
      <c r="F1284" s="33">
        <f>DATE(YEAR(A1284),MONTH(A1284),1)</f>
        <v>41760.0</v>
      </c>
      <c r="G1284" t="str">
        <f>CHOOSE(WEEKDAY(A1284,2),"Mon","Tue","Wed","Thu","Fri","Sat","Sun")</f>
        <v>Sat</v>
      </c>
      <c r="H1284" t="str">
        <f>IF(WEEKDAY(A1284,2)&gt;5,"Weekend","Weekday")</f>
        <v>Weekend</v>
      </c>
      <c r="I1284" t="str">
        <f>_xlfn.IFS(B1284&lt;=5,"Night (0-5)",B1284&lt;=9,"Morning peak (6-9)",B1284&lt;=15,"Midday (10-15)",B1284&lt;=19,"Evening peak (16-19)",TRUE,"Late evening (20-23)")</f>
        <v>Midday (10-15)</v>
      </c>
    </row>
    <row r="1285" spans="1:9">
      <c r="A1285" s="32">
        <v>41783</v>
      </c>
      <c r="B1285">
        <v>11</v>
      </c>
      <c r="C1285">
        <v>528</v>
      </c>
      <c r="D1285" t="s">
        <v>303</v>
      </c>
      <c r="E1285">
        <f>YEAR(A1285)</f>
        <v>2014</v>
      </c>
      <c r="F1285" s="33">
        <f>DATE(YEAR(A1285),MONTH(A1285),1)</f>
        <v>41760.0</v>
      </c>
      <c r="G1285" t="str">
        <f>CHOOSE(WEEKDAY(A1285,2),"Mon","Tue","Wed","Thu","Fri","Sat","Sun")</f>
        <v>Sat</v>
      </c>
      <c r="H1285" t="str">
        <f>IF(WEEKDAY(A1285,2)&gt;5,"Weekend","Weekday")</f>
        <v>Weekend</v>
      </c>
      <c r="I1285" t="str">
        <f>_xlfn.IFS(B1285&lt;=5,"Night (0-5)",B1285&lt;=9,"Morning peak (6-9)",B1285&lt;=15,"Midday (10-15)",B1285&lt;=19,"Evening peak (16-19)",TRUE,"Late evening (20-23)")</f>
        <v>Midday (10-15)</v>
      </c>
    </row>
    <row r="1286" spans="1:9">
      <c r="A1286" s="32">
        <v>41783</v>
      </c>
      <c r="B1286">
        <v>12</v>
      </c>
      <c r="C1286">
        <v>556</v>
      </c>
      <c r="D1286" t="s">
        <v>303</v>
      </c>
      <c r="E1286">
        <f>YEAR(A1286)</f>
        <v>2014</v>
      </c>
      <c r="F1286" s="33">
        <f>DATE(YEAR(A1286),MONTH(A1286),1)</f>
        <v>41760.0</v>
      </c>
      <c r="G1286" t="str">
        <f>CHOOSE(WEEKDAY(A1286,2),"Mon","Tue","Wed","Thu","Fri","Sat","Sun")</f>
        <v>Sat</v>
      </c>
      <c r="H1286" t="str">
        <f>IF(WEEKDAY(A1286,2)&gt;5,"Weekend","Weekday")</f>
        <v>Weekend</v>
      </c>
      <c r="I1286" t="str">
        <f>_xlfn.IFS(B1286&lt;=5,"Night (0-5)",B1286&lt;=9,"Morning peak (6-9)",B1286&lt;=15,"Midday (10-15)",B1286&lt;=19,"Evening peak (16-19)",TRUE,"Late evening (20-23)")</f>
        <v>Midday (10-15)</v>
      </c>
    </row>
    <row r="1287" spans="1:9">
      <c r="A1287" s="32">
        <v>41783</v>
      </c>
      <c r="B1287">
        <v>13</v>
      </c>
      <c r="C1287">
        <v>578</v>
      </c>
      <c r="D1287" t="s">
        <v>303</v>
      </c>
      <c r="E1287">
        <f>YEAR(A1287)</f>
        <v>2014</v>
      </c>
      <c r="F1287" s="33">
        <f>DATE(YEAR(A1287),MONTH(A1287),1)</f>
        <v>41760.0</v>
      </c>
      <c r="G1287" t="str">
        <f>CHOOSE(WEEKDAY(A1287,2),"Mon","Tue","Wed","Thu","Fri","Sat","Sun")</f>
        <v>Sat</v>
      </c>
      <c r="H1287" t="str">
        <f>IF(WEEKDAY(A1287,2)&gt;5,"Weekend","Weekday")</f>
        <v>Weekend</v>
      </c>
      <c r="I1287" t="str">
        <f>_xlfn.IFS(B1287&lt;=5,"Night (0-5)",B1287&lt;=9,"Morning peak (6-9)",B1287&lt;=15,"Midday (10-15)",B1287&lt;=19,"Evening peak (16-19)",TRUE,"Late evening (20-23)")</f>
        <v>Midday (10-15)</v>
      </c>
    </row>
    <row r="1288" spans="1:9">
      <c r="A1288" s="32">
        <v>41783</v>
      </c>
      <c r="B1288">
        <v>14</v>
      </c>
      <c r="C1288">
        <v>628</v>
      </c>
      <c r="D1288" t="s">
        <v>303</v>
      </c>
      <c r="E1288">
        <f>YEAR(A1288)</f>
        <v>2014</v>
      </c>
      <c r="F1288" s="33">
        <f>DATE(YEAR(A1288),MONTH(A1288),1)</f>
        <v>41760.0</v>
      </c>
      <c r="G1288" t="str">
        <f>CHOOSE(WEEKDAY(A1288,2),"Mon","Tue","Wed","Thu","Fri","Sat","Sun")</f>
        <v>Sat</v>
      </c>
      <c r="H1288" t="str">
        <f>IF(WEEKDAY(A1288,2)&gt;5,"Weekend","Weekday")</f>
        <v>Weekend</v>
      </c>
      <c r="I1288" t="str">
        <f>_xlfn.IFS(B1288&lt;=5,"Night (0-5)",B1288&lt;=9,"Morning peak (6-9)",B1288&lt;=15,"Midday (10-15)",B1288&lt;=19,"Evening peak (16-19)",TRUE,"Late evening (20-23)")</f>
        <v>Midday (10-15)</v>
      </c>
    </row>
    <row r="1289" spans="1:9">
      <c r="A1289" s="32">
        <v>41783</v>
      </c>
      <c r="B1289">
        <v>15</v>
      </c>
      <c r="C1289">
        <v>1120</v>
      </c>
      <c r="D1289" t="s">
        <v>303</v>
      </c>
      <c r="E1289">
        <f>YEAR(A1289)</f>
        <v>2014</v>
      </c>
      <c r="F1289" s="33">
        <f>DATE(YEAR(A1289),MONTH(A1289),1)</f>
        <v>41760.0</v>
      </c>
      <c r="G1289" t="str">
        <f>CHOOSE(WEEKDAY(A1289,2),"Mon","Tue","Wed","Thu","Fri","Sat","Sun")</f>
        <v>Sat</v>
      </c>
      <c r="H1289" t="str">
        <f>IF(WEEKDAY(A1289,2)&gt;5,"Weekend","Weekday")</f>
        <v>Weekend</v>
      </c>
      <c r="I1289" t="str">
        <f>_xlfn.IFS(B1289&lt;=5,"Night (0-5)",B1289&lt;=9,"Morning peak (6-9)",B1289&lt;=15,"Midday (10-15)",B1289&lt;=19,"Evening peak (16-19)",TRUE,"Late evening (20-23)")</f>
        <v>Midday (10-15)</v>
      </c>
    </row>
    <row r="1290" spans="1:9">
      <c r="A1290" s="32">
        <v>41783</v>
      </c>
      <c r="B1290">
        <v>16</v>
      </c>
      <c r="C1290">
        <v>1674</v>
      </c>
      <c r="D1290" t="s">
        <v>303</v>
      </c>
      <c r="E1290">
        <f>YEAR(A1290)</f>
        <v>2014</v>
      </c>
      <c r="F1290" s="33">
        <f>DATE(YEAR(A1290),MONTH(A1290),1)</f>
        <v>41760.0</v>
      </c>
      <c r="G1290" t="str">
        <f>CHOOSE(WEEKDAY(A1290,2),"Mon","Tue","Wed","Thu","Fri","Sat","Sun")</f>
        <v>Sat</v>
      </c>
      <c r="H1290" t="str">
        <f>IF(WEEKDAY(A1290,2)&gt;5,"Weekend","Weekday")</f>
        <v>Weekend</v>
      </c>
      <c r="I1290" t="str">
        <f>_xlfn.IFS(B1290&lt;=5,"Night (0-5)",B1290&lt;=9,"Morning peak (6-9)",B1290&lt;=15,"Midday (10-15)",B1290&lt;=19,"Evening peak (16-19)",TRUE,"Late evening (20-23)")</f>
        <v>Evening peak (16-19)</v>
      </c>
    </row>
    <row r="1291" spans="1:9">
      <c r="A1291" s="32">
        <v>41783</v>
      </c>
      <c r="B1291">
        <v>17</v>
      </c>
      <c r="C1291">
        <v>1154</v>
      </c>
      <c r="D1291" t="s">
        <v>303</v>
      </c>
      <c r="E1291">
        <f>YEAR(A1291)</f>
        <v>2014</v>
      </c>
      <c r="F1291" s="33">
        <f>DATE(YEAR(A1291),MONTH(A1291),1)</f>
        <v>41760.0</v>
      </c>
      <c r="G1291" t="str">
        <f>CHOOSE(WEEKDAY(A1291,2),"Mon","Tue","Wed","Thu","Fri","Sat","Sun")</f>
        <v>Sat</v>
      </c>
      <c r="H1291" t="str">
        <f>IF(WEEKDAY(A1291,2)&gt;5,"Weekend","Weekday")</f>
        <v>Weekend</v>
      </c>
      <c r="I1291" t="str">
        <f>_xlfn.IFS(B1291&lt;=5,"Night (0-5)",B1291&lt;=9,"Morning peak (6-9)",B1291&lt;=15,"Midday (10-15)",B1291&lt;=19,"Evening peak (16-19)",TRUE,"Late evening (20-23)")</f>
        <v>Evening peak (16-19)</v>
      </c>
    </row>
    <row r="1292" spans="1:9">
      <c r="A1292" s="32">
        <v>41783</v>
      </c>
      <c r="B1292">
        <v>18</v>
      </c>
      <c r="C1292">
        <v>878</v>
      </c>
      <c r="D1292" t="s">
        <v>303</v>
      </c>
      <c r="E1292">
        <f>YEAR(A1292)</f>
        <v>2014</v>
      </c>
      <c r="F1292" s="33">
        <f>DATE(YEAR(A1292),MONTH(A1292),1)</f>
        <v>41760.0</v>
      </c>
      <c r="G1292" t="str">
        <f>CHOOSE(WEEKDAY(A1292,2),"Mon","Tue","Wed","Thu","Fri","Sat","Sun")</f>
        <v>Sat</v>
      </c>
      <c r="H1292" t="str">
        <f>IF(WEEKDAY(A1292,2)&gt;5,"Weekend","Weekday")</f>
        <v>Weekend</v>
      </c>
      <c r="I1292" t="str">
        <f>_xlfn.IFS(B1292&lt;=5,"Night (0-5)",B1292&lt;=9,"Morning peak (6-9)",B1292&lt;=15,"Midday (10-15)",B1292&lt;=19,"Evening peak (16-19)",TRUE,"Late evening (20-23)")</f>
        <v>Evening peak (16-19)</v>
      </c>
    </row>
    <row r="1293" spans="1:9">
      <c r="A1293" s="32">
        <v>41783</v>
      </c>
      <c r="B1293">
        <v>19</v>
      </c>
      <c r="C1293">
        <v>748</v>
      </c>
      <c r="D1293" t="s">
        <v>303</v>
      </c>
      <c r="E1293">
        <f>YEAR(A1293)</f>
        <v>2014</v>
      </c>
      <c r="F1293" s="33">
        <f>DATE(YEAR(A1293),MONTH(A1293),1)</f>
        <v>41760.0</v>
      </c>
      <c r="G1293" t="str">
        <f>CHOOSE(WEEKDAY(A1293,2),"Mon","Tue","Wed","Thu","Fri","Sat","Sun")</f>
        <v>Sat</v>
      </c>
      <c r="H1293" t="str">
        <f>IF(WEEKDAY(A1293,2)&gt;5,"Weekend","Weekday")</f>
        <v>Weekend</v>
      </c>
      <c r="I1293" t="str">
        <f>_xlfn.IFS(B1293&lt;=5,"Night (0-5)",B1293&lt;=9,"Morning peak (6-9)",B1293&lt;=15,"Midday (10-15)",B1293&lt;=19,"Evening peak (16-19)",TRUE,"Late evening (20-23)")</f>
        <v>Evening peak (16-19)</v>
      </c>
    </row>
    <row r="1294" spans="1:9">
      <c r="A1294" s="32">
        <v>41783</v>
      </c>
      <c r="B1294">
        <v>20</v>
      </c>
      <c r="C1294">
        <v>730</v>
      </c>
      <c r="D1294" t="s">
        <v>303</v>
      </c>
      <c r="E1294">
        <f>YEAR(A1294)</f>
        <v>2014</v>
      </c>
      <c r="F1294" s="33">
        <f>DATE(YEAR(A1294),MONTH(A1294),1)</f>
        <v>41760.0</v>
      </c>
      <c r="G1294" t="str">
        <f>CHOOSE(WEEKDAY(A1294,2),"Mon","Tue","Wed","Thu","Fri","Sat","Sun")</f>
        <v>Sat</v>
      </c>
      <c r="H1294" t="str">
        <f>IF(WEEKDAY(A1294,2)&gt;5,"Weekend","Weekday")</f>
        <v>Weekend</v>
      </c>
      <c r="I1294" t="str">
        <f>_xlfn.IFS(B1294&lt;=5,"Night (0-5)",B1294&lt;=9,"Morning peak (6-9)",B1294&lt;=15,"Midday (10-15)",B1294&lt;=19,"Evening peak (16-19)",TRUE,"Late evening (20-23)")</f>
        <v>Late evening (20-23)</v>
      </c>
    </row>
    <row r="1295" spans="1:9">
      <c r="A1295" s="32">
        <v>41783</v>
      </c>
      <c r="B1295">
        <v>21</v>
      </c>
      <c r="C1295">
        <v>787</v>
      </c>
      <c r="D1295" t="s">
        <v>303</v>
      </c>
      <c r="E1295">
        <f>YEAR(A1295)</f>
        <v>2014</v>
      </c>
      <c r="F1295" s="33">
        <f>DATE(YEAR(A1295),MONTH(A1295),1)</f>
        <v>41760.0</v>
      </c>
      <c r="G1295" t="str">
        <f>CHOOSE(WEEKDAY(A1295,2),"Mon","Tue","Wed","Thu","Fri","Sat","Sun")</f>
        <v>Sat</v>
      </c>
      <c r="H1295" t="str">
        <f>IF(WEEKDAY(A1295,2)&gt;5,"Weekend","Weekday")</f>
        <v>Weekend</v>
      </c>
      <c r="I1295" t="str">
        <f>_xlfn.IFS(B1295&lt;=5,"Night (0-5)",B1295&lt;=9,"Morning peak (6-9)",B1295&lt;=15,"Midday (10-15)",B1295&lt;=19,"Evening peak (16-19)",TRUE,"Late evening (20-23)")</f>
        <v>Late evening (20-23)</v>
      </c>
    </row>
    <row r="1296" spans="1:9">
      <c r="A1296" s="32">
        <v>41783</v>
      </c>
      <c r="B1296">
        <v>22</v>
      </c>
      <c r="C1296">
        <v>900</v>
      </c>
      <c r="D1296" t="s">
        <v>303</v>
      </c>
      <c r="E1296">
        <f>YEAR(A1296)</f>
        <v>2014</v>
      </c>
      <c r="F1296" s="33">
        <f>DATE(YEAR(A1296),MONTH(A1296),1)</f>
        <v>41760.0</v>
      </c>
      <c r="G1296" t="str">
        <f>CHOOSE(WEEKDAY(A1296,2),"Mon","Tue","Wed","Thu","Fri","Sat","Sun")</f>
        <v>Sat</v>
      </c>
      <c r="H1296" t="str">
        <f>IF(WEEKDAY(A1296,2)&gt;5,"Weekend","Weekday")</f>
        <v>Weekend</v>
      </c>
      <c r="I1296" t="str">
        <f>_xlfn.IFS(B1296&lt;=5,"Night (0-5)",B1296&lt;=9,"Morning peak (6-9)",B1296&lt;=15,"Midday (10-15)",B1296&lt;=19,"Evening peak (16-19)",TRUE,"Late evening (20-23)")</f>
        <v>Late evening (20-23)</v>
      </c>
    </row>
    <row r="1297" spans="1:9">
      <c r="A1297" s="32">
        <v>41783</v>
      </c>
      <c r="B1297">
        <v>23</v>
      </c>
      <c r="C1297">
        <v>688</v>
      </c>
      <c r="D1297" t="s">
        <v>303</v>
      </c>
      <c r="E1297">
        <f>YEAR(A1297)</f>
        <v>2014</v>
      </c>
      <c r="F1297" s="33">
        <f>DATE(YEAR(A1297),MONTH(A1297),1)</f>
        <v>41760.0</v>
      </c>
      <c r="G1297" t="str">
        <f>CHOOSE(WEEKDAY(A1297,2),"Mon","Tue","Wed","Thu","Fri","Sat","Sun")</f>
        <v>Sat</v>
      </c>
      <c r="H1297" t="str">
        <f>IF(WEEKDAY(A1297,2)&gt;5,"Weekend","Weekday")</f>
        <v>Weekend</v>
      </c>
      <c r="I1297" t="str">
        <f>_xlfn.IFS(B1297&lt;=5,"Night (0-5)",B1297&lt;=9,"Morning peak (6-9)",B1297&lt;=15,"Midday (10-15)",B1297&lt;=19,"Evening peak (16-19)",TRUE,"Late evening (20-23)")</f>
        <v>Late evening (20-23)</v>
      </c>
    </row>
    <row r="1298" spans="1:9">
      <c r="A1298" s="32">
        <v>41784</v>
      </c>
      <c r="B1298">
        <v>0</v>
      </c>
      <c r="C1298">
        <v>463</v>
      </c>
      <c r="D1298" t="s">
        <v>303</v>
      </c>
      <c r="E1298">
        <f>YEAR(A1298)</f>
        <v>2014</v>
      </c>
      <c r="F1298" s="33">
        <f>DATE(YEAR(A1298),MONTH(A1298),1)</f>
        <v>41760.0</v>
      </c>
      <c r="G1298" t="str">
        <f>CHOOSE(WEEKDAY(A1298,2),"Mon","Tue","Wed","Thu","Fri","Sat","Sun")</f>
        <v>Sun</v>
      </c>
      <c r="H1298" t="str">
        <f>IF(WEEKDAY(A1298,2)&gt;5,"Weekend","Weekday")</f>
        <v>Weekend</v>
      </c>
      <c r="I1298" t="str">
        <f>_xlfn.IFS(B1298&lt;=5,"Night (0-5)",B1298&lt;=9,"Morning peak (6-9)",B1298&lt;=15,"Midday (10-15)",B1298&lt;=19,"Evening peak (16-19)",TRUE,"Late evening (20-23)")</f>
        <v>Night (0-5)</v>
      </c>
    </row>
    <row r="1299" spans="1:9">
      <c r="A1299" s="32">
        <v>41784</v>
      </c>
      <c r="B1299">
        <v>1</v>
      </c>
      <c r="C1299">
        <v>350</v>
      </c>
      <c r="D1299" t="s">
        <v>303</v>
      </c>
      <c r="E1299">
        <f>YEAR(A1299)</f>
        <v>2014</v>
      </c>
      <c r="F1299" s="33">
        <f>DATE(YEAR(A1299),MONTH(A1299),1)</f>
        <v>41760.0</v>
      </c>
      <c r="G1299" t="str">
        <f>CHOOSE(WEEKDAY(A1299,2),"Mon","Tue","Wed","Thu","Fri","Sat","Sun")</f>
        <v>Sun</v>
      </c>
      <c r="H1299" t="str">
        <f>IF(WEEKDAY(A1299,2)&gt;5,"Weekend","Weekday")</f>
        <v>Weekend</v>
      </c>
      <c r="I1299" t="str">
        <f>_xlfn.IFS(B1299&lt;=5,"Night (0-5)",B1299&lt;=9,"Morning peak (6-9)",B1299&lt;=15,"Midday (10-15)",B1299&lt;=19,"Evening peak (16-19)",TRUE,"Late evening (20-23)")</f>
        <v>Night (0-5)</v>
      </c>
    </row>
    <row r="1300" spans="1:9">
      <c r="A1300" s="32">
        <v>41784</v>
      </c>
      <c r="B1300">
        <v>2</v>
      </c>
      <c r="C1300">
        <v>236</v>
      </c>
      <c r="D1300" t="s">
        <v>303</v>
      </c>
      <c r="E1300">
        <f>YEAR(A1300)</f>
        <v>2014</v>
      </c>
      <c r="F1300" s="33">
        <f>DATE(YEAR(A1300),MONTH(A1300),1)</f>
        <v>41760.0</v>
      </c>
      <c r="G1300" t="str">
        <f>CHOOSE(WEEKDAY(A1300,2),"Mon","Tue","Wed","Thu","Fri","Sat","Sun")</f>
        <v>Sun</v>
      </c>
      <c r="H1300" t="str">
        <f>IF(WEEKDAY(A1300,2)&gt;5,"Weekend","Weekday")</f>
        <v>Weekend</v>
      </c>
      <c r="I1300" t="str">
        <f>_xlfn.IFS(B1300&lt;=5,"Night (0-5)",B1300&lt;=9,"Morning peak (6-9)",B1300&lt;=15,"Midday (10-15)",B1300&lt;=19,"Evening peak (16-19)",TRUE,"Late evening (20-23)")</f>
        <v>Night (0-5)</v>
      </c>
    </row>
    <row r="1301" spans="1:9">
      <c r="A1301" s="32">
        <v>41784</v>
      </c>
      <c r="B1301">
        <v>3</v>
      </c>
      <c r="C1301">
        <v>199</v>
      </c>
      <c r="D1301" t="s">
        <v>303</v>
      </c>
      <c r="E1301">
        <f>YEAR(A1301)</f>
        <v>2014</v>
      </c>
      <c r="F1301" s="33">
        <f>DATE(YEAR(A1301),MONTH(A1301),1)</f>
        <v>41760.0</v>
      </c>
      <c r="G1301" t="str">
        <f>CHOOSE(WEEKDAY(A1301,2),"Mon","Tue","Wed","Thu","Fri","Sat","Sun")</f>
        <v>Sun</v>
      </c>
      <c r="H1301" t="str">
        <f>IF(WEEKDAY(A1301,2)&gt;5,"Weekend","Weekday")</f>
        <v>Weekend</v>
      </c>
      <c r="I1301" t="str">
        <f>_xlfn.IFS(B1301&lt;=5,"Night (0-5)",B1301&lt;=9,"Morning peak (6-9)",B1301&lt;=15,"Midday (10-15)",B1301&lt;=19,"Evening peak (16-19)",TRUE,"Late evening (20-23)")</f>
        <v>Night (0-5)</v>
      </c>
    </row>
    <row r="1302" spans="1:9">
      <c r="A1302" s="32">
        <v>41784</v>
      </c>
      <c r="B1302">
        <v>4</v>
      </c>
      <c r="C1302">
        <v>111</v>
      </c>
      <c r="D1302" t="s">
        <v>303</v>
      </c>
      <c r="E1302">
        <f>YEAR(A1302)</f>
        <v>2014</v>
      </c>
      <c r="F1302" s="33">
        <f>DATE(YEAR(A1302),MONTH(A1302),1)</f>
        <v>41760.0</v>
      </c>
      <c r="G1302" t="str">
        <f>CHOOSE(WEEKDAY(A1302,2),"Mon","Tue","Wed","Thu","Fri","Sat","Sun")</f>
        <v>Sun</v>
      </c>
      <c r="H1302" t="str">
        <f>IF(WEEKDAY(A1302,2)&gt;5,"Weekend","Weekday")</f>
        <v>Weekend</v>
      </c>
      <c r="I1302" t="str">
        <f>_xlfn.IFS(B1302&lt;=5,"Night (0-5)",B1302&lt;=9,"Morning peak (6-9)",B1302&lt;=15,"Midday (10-15)",B1302&lt;=19,"Evening peak (16-19)",TRUE,"Late evening (20-23)")</f>
        <v>Night (0-5)</v>
      </c>
    </row>
    <row r="1303" spans="1:9">
      <c r="A1303" s="32">
        <v>41784</v>
      </c>
      <c r="B1303">
        <v>5</v>
      </c>
      <c r="C1303">
        <v>114</v>
      </c>
      <c r="D1303" t="s">
        <v>303</v>
      </c>
      <c r="E1303">
        <f>YEAR(A1303)</f>
        <v>2014</v>
      </c>
      <c r="F1303" s="33">
        <f>DATE(YEAR(A1303),MONTH(A1303),1)</f>
        <v>41760.0</v>
      </c>
      <c r="G1303" t="str">
        <f>CHOOSE(WEEKDAY(A1303,2),"Mon","Tue","Wed","Thu","Fri","Sat","Sun")</f>
        <v>Sun</v>
      </c>
      <c r="H1303" t="str">
        <f>IF(WEEKDAY(A1303,2)&gt;5,"Weekend","Weekday")</f>
        <v>Weekend</v>
      </c>
      <c r="I1303" t="str">
        <f>_xlfn.IFS(B1303&lt;=5,"Night (0-5)",B1303&lt;=9,"Morning peak (6-9)",B1303&lt;=15,"Midday (10-15)",B1303&lt;=19,"Evening peak (16-19)",TRUE,"Late evening (20-23)")</f>
        <v>Night (0-5)</v>
      </c>
    </row>
    <row r="1304" spans="1:9">
      <c r="A1304" s="32">
        <v>41784</v>
      </c>
      <c r="B1304">
        <v>6</v>
      </c>
      <c r="C1304">
        <v>136</v>
      </c>
      <c r="D1304" t="s">
        <v>303</v>
      </c>
      <c r="E1304">
        <f>YEAR(A1304)</f>
        <v>2014</v>
      </c>
      <c r="F1304" s="33">
        <f>DATE(YEAR(A1304),MONTH(A1304),1)</f>
        <v>41760.0</v>
      </c>
      <c r="G1304" t="str">
        <f>CHOOSE(WEEKDAY(A1304,2),"Mon","Tue","Wed","Thu","Fri","Sat","Sun")</f>
        <v>Sun</v>
      </c>
      <c r="H1304" t="str">
        <f>IF(WEEKDAY(A1304,2)&gt;5,"Weekend","Weekday")</f>
        <v>Weekend</v>
      </c>
      <c r="I1304" t="str">
        <f>_xlfn.IFS(B1304&lt;=5,"Night (0-5)",B1304&lt;=9,"Morning peak (6-9)",B1304&lt;=15,"Midday (10-15)",B1304&lt;=19,"Evening peak (16-19)",TRUE,"Late evening (20-23)")</f>
        <v>Morning peak (6-9)</v>
      </c>
    </row>
    <row r="1305" spans="1:9">
      <c r="A1305" s="32">
        <v>41784</v>
      </c>
      <c r="B1305">
        <v>7</v>
      </c>
      <c r="C1305">
        <v>178</v>
      </c>
      <c r="D1305" t="s">
        <v>303</v>
      </c>
      <c r="E1305">
        <f>YEAR(A1305)</f>
        <v>2014</v>
      </c>
      <c r="F1305" s="33">
        <f>DATE(YEAR(A1305),MONTH(A1305),1)</f>
        <v>41760.0</v>
      </c>
      <c r="G1305" t="str">
        <f>CHOOSE(WEEKDAY(A1305,2),"Mon","Tue","Wed","Thu","Fri","Sat","Sun")</f>
        <v>Sun</v>
      </c>
      <c r="H1305" t="str">
        <f>IF(WEEKDAY(A1305,2)&gt;5,"Weekend","Weekday")</f>
        <v>Weekend</v>
      </c>
      <c r="I1305" t="str">
        <f>_xlfn.IFS(B1305&lt;=5,"Night (0-5)",B1305&lt;=9,"Morning peak (6-9)",B1305&lt;=15,"Midday (10-15)",B1305&lt;=19,"Evening peak (16-19)",TRUE,"Late evening (20-23)")</f>
        <v>Morning peak (6-9)</v>
      </c>
    </row>
    <row r="1306" spans="1:9">
      <c r="A1306" s="32">
        <v>41784</v>
      </c>
      <c r="B1306">
        <v>8</v>
      </c>
      <c r="C1306">
        <v>235</v>
      </c>
      <c r="D1306" t="s">
        <v>303</v>
      </c>
      <c r="E1306">
        <f>YEAR(A1306)</f>
        <v>2014</v>
      </c>
      <c r="F1306" s="33">
        <f>DATE(YEAR(A1306),MONTH(A1306),1)</f>
        <v>41760.0</v>
      </c>
      <c r="G1306" t="str">
        <f>CHOOSE(WEEKDAY(A1306,2),"Mon","Tue","Wed","Thu","Fri","Sat","Sun")</f>
        <v>Sun</v>
      </c>
      <c r="H1306" t="str">
        <f>IF(WEEKDAY(A1306,2)&gt;5,"Weekend","Weekday")</f>
        <v>Weekend</v>
      </c>
      <c r="I1306" t="str">
        <f>_xlfn.IFS(B1306&lt;=5,"Night (0-5)",B1306&lt;=9,"Morning peak (6-9)",B1306&lt;=15,"Midday (10-15)",B1306&lt;=19,"Evening peak (16-19)",TRUE,"Late evening (20-23)")</f>
        <v>Morning peak (6-9)</v>
      </c>
    </row>
    <row r="1307" spans="1:9">
      <c r="A1307" s="32">
        <v>41784</v>
      </c>
      <c r="B1307">
        <v>9</v>
      </c>
      <c r="C1307">
        <v>336</v>
      </c>
      <c r="D1307" t="s">
        <v>303</v>
      </c>
      <c r="E1307">
        <f>YEAR(A1307)</f>
        <v>2014</v>
      </c>
      <c r="F1307" s="33">
        <f>DATE(YEAR(A1307),MONTH(A1307),1)</f>
        <v>41760.0</v>
      </c>
      <c r="G1307" t="str">
        <f>CHOOSE(WEEKDAY(A1307,2),"Mon","Tue","Wed","Thu","Fri","Sat","Sun")</f>
        <v>Sun</v>
      </c>
      <c r="H1307" t="str">
        <f>IF(WEEKDAY(A1307,2)&gt;5,"Weekend","Weekday")</f>
        <v>Weekend</v>
      </c>
      <c r="I1307" t="str">
        <f>_xlfn.IFS(B1307&lt;=5,"Night (0-5)",B1307&lt;=9,"Morning peak (6-9)",B1307&lt;=15,"Midday (10-15)",B1307&lt;=19,"Evening peak (16-19)",TRUE,"Late evening (20-23)")</f>
        <v>Morning peak (6-9)</v>
      </c>
    </row>
    <row r="1308" spans="1:9">
      <c r="A1308" s="32">
        <v>41784</v>
      </c>
      <c r="B1308">
        <v>10</v>
      </c>
      <c r="C1308">
        <v>394</v>
      </c>
      <c r="D1308" t="s">
        <v>303</v>
      </c>
      <c r="E1308">
        <f>YEAR(A1308)</f>
        <v>2014</v>
      </c>
      <c r="F1308" s="33">
        <f>DATE(YEAR(A1308),MONTH(A1308),1)</f>
        <v>41760.0</v>
      </c>
      <c r="G1308" t="str">
        <f>CHOOSE(WEEKDAY(A1308,2),"Mon","Tue","Wed","Thu","Fri","Sat","Sun")</f>
        <v>Sun</v>
      </c>
      <c r="H1308" t="str">
        <f>IF(WEEKDAY(A1308,2)&gt;5,"Weekend","Weekday")</f>
        <v>Weekend</v>
      </c>
      <c r="I1308" t="str">
        <f>_xlfn.IFS(B1308&lt;=5,"Night (0-5)",B1308&lt;=9,"Morning peak (6-9)",B1308&lt;=15,"Midday (10-15)",B1308&lt;=19,"Evening peak (16-19)",TRUE,"Late evening (20-23)")</f>
        <v>Midday (10-15)</v>
      </c>
    </row>
    <row r="1309" spans="1:9">
      <c r="A1309" s="32">
        <v>41784</v>
      </c>
      <c r="B1309">
        <v>11</v>
      </c>
      <c r="C1309">
        <v>478</v>
      </c>
      <c r="D1309" t="s">
        <v>303</v>
      </c>
      <c r="E1309">
        <f>YEAR(A1309)</f>
        <v>2014</v>
      </c>
      <c r="F1309" s="33">
        <f>DATE(YEAR(A1309),MONTH(A1309),1)</f>
        <v>41760.0</v>
      </c>
      <c r="G1309" t="str">
        <f>CHOOSE(WEEKDAY(A1309,2),"Mon","Tue","Wed","Thu","Fri","Sat","Sun")</f>
        <v>Sun</v>
      </c>
      <c r="H1309" t="str">
        <f>IF(WEEKDAY(A1309,2)&gt;5,"Weekend","Weekday")</f>
        <v>Weekend</v>
      </c>
      <c r="I1309" t="str">
        <f>_xlfn.IFS(B1309&lt;=5,"Night (0-5)",B1309&lt;=9,"Morning peak (6-9)",B1309&lt;=15,"Midday (10-15)",B1309&lt;=19,"Evening peak (16-19)",TRUE,"Late evening (20-23)")</f>
        <v>Midday (10-15)</v>
      </c>
    </row>
    <row r="1310" spans="1:9">
      <c r="A1310" s="32">
        <v>41784</v>
      </c>
      <c r="B1310">
        <v>12</v>
      </c>
      <c r="C1310">
        <v>574</v>
      </c>
      <c r="D1310" t="s">
        <v>303</v>
      </c>
      <c r="E1310">
        <f>YEAR(A1310)</f>
        <v>2014</v>
      </c>
      <c r="F1310" s="33">
        <f>DATE(YEAR(A1310),MONTH(A1310),1)</f>
        <v>41760.0</v>
      </c>
      <c r="G1310" t="str">
        <f>CHOOSE(WEEKDAY(A1310,2),"Mon","Tue","Wed","Thu","Fri","Sat","Sun")</f>
        <v>Sun</v>
      </c>
      <c r="H1310" t="str">
        <f>IF(WEEKDAY(A1310,2)&gt;5,"Weekend","Weekday")</f>
        <v>Weekend</v>
      </c>
      <c r="I1310" t="str">
        <f>_xlfn.IFS(B1310&lt;=5,"Night (0-5)",B1310&lt;=9,"Morning peak (6-9)",B1310&lt;=15,"Midday (10-15)",B1310&lt;=19,"Evening peak (16-19)",TRUE,"Late evening (20-23)")</f>
        <v>Midday (10-15)</v>
      </c>
    </row>
    <row r="1311" spans="1:9">
      <c r="A1311" s="32">
        <v>41784</v>
      </c>
      <c r="B1311">
        <v>13</v>
      </c>
      <c r="C1311">
        <v>602</v>
      </c>
      <c r="D1311" t="s">
        <v>303</v>
      </c>
      <c r="E1311">
        <f>YEAR(A1311)</f>
        <v>2014</v>
      </c>
      <c r="F1311" s="33">
        <f>DATE(YEAR(A1311),MONTH(A1311),1)</f>
        <v>41760.0</v>
      </c>
      <c r="G1311" t="str">
        <f>CHOOSE(WEEKDAY(A1311,2),"Mon","Tue","Wed","Thu","Fri","Sat","Sun")</f>
        <v>Sun</v>
      </c>
      <c r="H1311" t="str">
        <f>IF(WEEKDAY(A1311,2)&gt;5,"Weekend","Weekday")</f>
        <v>Weekend</v>
      </c>
      <c r="I1311" t="str">
        <f>_xlfn.IFS(B1311&lt;=5,"Night (0-5)",B1311&lt;=9,"Morning peak (6-9)",B1311&lt;=15,"Midday (10-15)",B1311&lt;=19,"Evening peak (16-19)",TRUE,"Late evening (20-23)")</f>
        <v>Midday (10-15)</v>
      </c>
    </row>
    <row r="1312" spans="1:9">
      <c r="A1312" s="32">
        <v>41784</v>
      </c>
      <c r="B1312">
        <v>14</v>
      </c>
      <c r="C1312">
        <v>553</v>
      </c>
      <c r="D1312" t="s">
        <v>303</v>
      </c>
      <c r="E1312">
        <f>YEAR(A1312)</f>
        <v>2014</v>
      </c>
      <c r="F1312" s="33">
        <f>DATE(YEAR(A1312),MONTH(A1312),1)</f>
        <v>41760.0</v>
      </c>
      <c r="G1312" t="str">
        <f>CHOOSE(WEEKDAY(A1312,2),"Mon","Tue","Wed","Thu","Fri","Sat","Sun")</f>
        <v>Sun</v>
      </c>
      <c r="H1312" t="str">
        <f>IF(WEEKDAY(A1312,2)&gt;5,"Weekend","Weekday")</f>
        <v>Weekend</v>
      </c>
      <c r="I1312" t="str">
        <f>_xlfn.IFS(B1312&lt;=5,"Night (0-5)",B1312&lt;=9,"Morning peak (6-9)",B1312&lt;=15,"Midday (10-15)",B1312&lt;=19,"Evening peak (16-19)",TRUE,"Late evening (20-23)")</f>
        <v>Midday (10-15)</v>
      </c>
    </row>
    <row r="1313" spans="1:9">
      <c r="A1313" s="32">
        <v>41784</v>
      </c>
      <c r="B1313">
        <v>15</v>
      </c>
      <c r="C1313">
        <v>703</v>
      </c>
      <c r="D1313" t="s">
        <v>303</v>
      </c>
      <c r="E1313">
        <f>YEAR(A1313)</f>
        <v>2014</v>
      </c>
      <c r="F1313" s="33">
        <f>DATE(YEAR(A1313),MONTH(A1313),1)</f>
        <v>41760.0</v>
      </c>
      <c r="G1313" t="str">
        <f>CHOOSE(WEEKDAY(A1313,2),"Mon","Tue","Wed","Thu","Fri","Sat","Sun")</f>
        <v>Sun</v>
      </c>
      <c r="H1313" t="str">
        <f>IF(WEEKDAY(A1313,2)&gt;5,"Weekend","Weekday")</f>
        <v>Weekend</v>
      </c>
      <c r="I1313" t="str">
        <f>_xlfn.IFS(B1313&lt;=5,"Night (0-5)",B1313&lt;=9,"Morning peak (6-9)",B1313&lt;=15,"Midday (10-15)",B1313&lt;=19,"Evening peak (16-19)",TRUE,"Late evening (20-23)")</f>
        <v>Midday (10-15)</v>
      </c>
    </row>
    <row r="1314" spans="1:9">
      <c r="A1314" s="32">
        <v>41784</v>
      </c>
      <c r="B1314">
        <v>16</v>
      </c>
      <c r="C1314">
        <v>718</v>
      </c>
      <c r="D1314" t="s">
        <v>303</v>
      </c>
      <c r="E1314">
        <f>YEAR(A1314)</f>
        <v>2014</v>
      </c>
      <c r="F1314" s="33">
        <f>DATE(YEAR(A1314),MONTH(A1314),1)</f>
        <v>41760.0</v>
      </c>
      <c r="G1314" t="str">
        <f>CHOOSE(WEEKDAY(A1314,2),"Mon","Tue","Wed","Thu","Fri","Sat","Sun")</f>
        <v>Sun</v>
      </c>
      <c r="H1314" t="str">
        <f>IF(WEEKDAY(A1314,2)&gt;5,"Weekend","Weekday")</f>
        <v>Weekend</v>
      </c>
      <c r="I1314" t="str">
        <f>_xlfn.IFS(B1314&lt;=5,"Night (0-5)",B1314&lt;=9,"Morning peak (6-9)",B1314&lt;=15,"Midday (10-15)",B1314&lt;=19,"Evening peak (16-19)",TRUE,"Late evening (20-23)")</f>
        <v>Evening peak (16-19)</v>
      </c>
    </row>
    <row r="1315" spans="1:9">
      <c r="A1315" s="32">
        <v>41784</v>
      </c>
      <c r="B1315">
        <v>17</v>
      </c>
      <c r="C1315">
        <v>696</v>
      </c>
      <c r="D1315" t="s">
        <v>303</v>
      </c>
      <c r="E1315">
        <f>YEAR(A1315)</f>
        <v>2014</v>
      </c>
      <c r="F1315" s="33">
        <f>DATE(YEAR(A1315),MONTH(A1315),1)</f>
        <v>41760.0</v>
      </c>
      <c r="G1315" t="str">
        <f>CHOOSE(WEEKDAY(A1315,2),"Mon","Tue","Wed","Thu","Fri","Sat","Sun")</f>
        <v>Sun</v>
      </c>
      <c r="H1315" t="str">
        <f>IF(WEEKDAY(A1315,2)&gt;5,"Weekend","Weekday")</f>
        <v>Weekend</v>
      </c>
      <c r="I1315" t="str">
        <f>_xlfn.IFS(B1315&lt;=5,"Night (0-5)",B1315&lt;=9,"Morning peak (6-9)",B1315&lt;=15,"Midday (10-15)",B1315&lt;=19,"Evening peak (16-19)",TRUE,"Late evening (20-23)")</f>
        <v>Evening peak (16-19)</v>
      </c>
    </row>
    <row r="1316" spans="1:9">
      <c r="A1316" s="32">
        <v>41784</v>
      </c>
      <c r="B1316">
        <v>18</v>
      </c>
      <c r="C1316">
        <v>681</v>
      </c>
      <c r="D1316" t="s">
        <v>303</v>
      </c>
      <c r="E1316">
        <f>YEAR(A1316)</f>
        <v>2014</v>
      </c>
      <c r="F1316" s="33">
        <f>DATE(YEAR(A1316),MONTH(A1316),1)</f>
        <v>41760.0</v>
      </c>
      <c r="G1316" t="str">
        <f>CHOOSE(WEEKDAY(A1316,2),"Mon","Tue","Wed","Thu","Fri","Sat","Sun")</f>
        <v>Sun</v>
      </c>
      <c r="H1316" t="str">
        <f>IF(WEEKDAY(A1316,2)&gt;5,"Weekend","Weekday")</f>
        <v>Weekend</v>
      </c>
      <c r="I1316" t="str">
        <f>_xlfn.IFS(B1316&lt;=5,"Night (0-5)",B1316&lt;=9,"Morning peak (6-9)",B1316&lt;=15,"Midday (10-15)",B1316&lt;=19,"Evening peak (16-19)",TRUE,"Late evening (20-23)")</f>
        <v>Evening peak (16-19)</v>
      </c>
    </row>
    <row r="1317" spans="1:9">
      <c r="A1317" s="32">
        <v>41784</v>
      </c>
      <c r="B1317">
        <v>19</v>
      </c>
      <c r="C1317">
        <v>597</v>
      </c>
      <c r="D1317" t="s">
        <v>303</v>
      </c>
      <c r="E1317">
        <f>YEAR(A1317)</f>
        <v>2014</v>
      </c>
      <c r="F1317" s="33">
        <f>DATE(YEAR(A1317),MONTH(A1317),1)</f>
        <v>41760.0</v>
      </c>
      <c r="G1317" t="str">
        <f>CHOOSE(WEEKDAY(A1317,2),"Mon","Tue","Wed","Thu","Fri","Sat","Sun")</f>
        <v>Sun</v>
      </c>
      <c r="H1317" t="str">
        <f>IF(WEEKDAY(A1317,2)&gt;5,"Weekend","Weekday")</f>
        <v>Weekend</v>
      </c>
      <c r="I1317" t="str">
        <f>_xlfn.IFS(B1317&lt;=5,"Night (0-5)",B1317&lt;=9,"Morning peak (6-9)",B1317&lt;=15,"Midday (10-15)",B1317&lt;=19,"Evening peak (16-19)",TRUE,"Late evening (20-23)")</f>
        <v>Evening peak (16-19)</v>
      </c>
    </row>
    <row r="1318" spans="1:9">
      <c r="A1318" s="32">
        <v>41784</v>
      </c>
      <c r="B1318">
        <v>20</v>
      </c>
      <c r="C1318">
        <v>550</v>
      </c>
      <c r="D1318" t="s">
        <v>303</v>
      </c>
      <c r="E1318">
        <f>YEAR(A1318)</f>
        <v>2014</v>
      </c>
      <c r="F1318" s="33">
        <f>DATE(YEAR(A1318),MONTH(A1318),1)</f>
        <v>41760.0</v>
      </c>
      <c r="G1318" t="str">
        <f>CHOOSE(WEEKDAY(A1318,2),"Mon","Tue","Wed","Thu","Fri","Sat","Sun")</f>
        <v>Sun</v>
      </c>
      <c r="H1318" t="str">
        <f>IF(WEEKDAY(A1318,2)&gt;5,"Weekend","Weekday")</f>
        <v>Weekend</v>
      </c>
      <c r="I1318" t="str">
        <f>_xlfn.IFS(B1318&lt;=5,"Night (0-5)",B1318&lt;=9,"Morning peak (6-9)",B1318&lt;=15,"Midday (10-15)",B1318&lt;=19,"Evening peak (16-19)",TRUE,"Late evening (20-23)")</f>
        <v>Late evening (20-23)</v>
      </c>
    </row>
    <row r="1319" spans="1:9">
      <c r="A1319" s="32">
        <v>41784</v>
      </c>
      <c r="B1319">
        <v>21</v>
      </c>
      <c r="C1319">
        <v>635</v>
      </c>
      <c r="D1319" t="s">
        <v>303</v>
      </c>
      <c r="E1319">
        <f>YEAR(A1319)</f>
        <v>2014</v>
      </c>
      <c r="F1319" s="33">
        <f>DATE(YEAR(A1319),MONTH(A1319),1)</f>
        <v>41760.0</v>
      </c>
      <c r="G1319" t="str">
        <f>CHOOSE(WEEKDAY(A1319,2),"Mon","Tue","Wed","Thu","Fri","Sat","Sun")</f>
        <v>Sun</v>
      </c>
      <c r="H1319" t="str">
        <f>IF(WEEKDAY(A1319,2)&gt;5,"Weekend","Weekday")</f>
        <v>Weekend</v>
      </c>
      <c r="I1319" t="str">
        <f>_xlfn.IFS(B1319&lt;=5,"Night (0-5)",B1319&lt;=9,"Morning peak (6-9)",B1319&lt;=15,"Midday (10-15)",B1319&lt;=19,"Evening peak (16-19)",TRUE,"Late evening (20-23)")</f>
        <v>Late evening (20-23)</v>
      </c>
    </row>
    <row r="1320" spans="1:9">
      <c r="A1320" s="32">
        <v>41784</v>
      </c>
      <c r="B1320">
        <v>22</v>
      </c>
      <c r="C1320">
        <v>707</v>
      </c>
      <c r="D1320" t="s">
        <v>303</v>
      </c>
      <c r="E1320">
        <f>YEAR(A1320)</f>
        <v>2014</v>
      </c>
      <c r="F1320" s="33">
        <f>DATE(YEAR(A1320),MONTH(A1320),1)</f>
        <v>41760.0</v>
      </c>
      <c r="G1320" t="str">
        <f>CHOOSE(WEEKDAY(A1320,2),"Mon","Tue","Wed","Thu","Fri","Sat","Sun")</f>
        <v>Sun</v>
      </c>
      <c r="H1320" t="str">
        <f>IF(WEEKDAY(A1320,2)&gt;5,"Weekend","Weekday")</f>
        <v>Weekend</v>
      </c>
      <c r="I1320" t="str">
        <f>_xlfn.IFS(B1320&lt;=5,"Night (0-5)",B1320&lt;=9,"Morning peak (6-9)",B1320&lt;=15,"Midday (10-15)",B1320&lt;=19,"Evening peak (16-19)",TRUE,"Late evening (20-23)")</f>
        <v>Late evening (20-23)</v>
      </c>
    </row>
    <row r="1321" spans="1:9">
      <c r="A1321" s="32">
        <v>41784</v>
      </c>
      <c r="B1321">
        <v>23</v>
      </c>
      <c r="C1321">
        <v>595</v>
      </c>
      <c r="D1321" t="s">
        <v>303</v>
      </c>
      <c r="E1321">
        <f>YEAR(A1321)</f>
        <v>2014</v>
      </c>
      <c r="F1321" s="33">
        <f>DATE(YEAR(A1321),MONTH(A1321),1)</f>
        <v>41760.0</v>
      </c>
      <c r="G1321" t="str">
        <f>CHOOSE(WEEKDAY(A1321,2),"Mon","Tue","Wed","Thu","Fri","Sat","Sun")</f>
        <v>Sun</v>
      </c>
      <c r="H1321" t="str">
        <f>IF(WEEKDAY(A1321,2)&gt;5,"Weekend","Weekday")</f>
        <v>Weekend</v>
      </c>
      <c r="I1321" t="str">
        <f>_xlfn.IFS(B1321&lt;=5,"Night (0-5)",B1321&lt;=9,"Morning peak (6-9)",B1321&lt;=15,"Midday (10-15)",B1321&lt;=19,"Evening peak (16-19)",TRUE,"Late evening (20-23)")</f>
        <v>Late evening (20-23)</v>
      </c>
    </row>
    <row r="1322" spans="1:9">
      <c r="A1322" s="32">
        <v>41785</v>
      </c>
      <c r="B1322">
        <v>0</v>
      </c>
      <c r="C1322">
        <v>369</v>
      </c>
      <c r="D1322" t="s">
        <v>303</v>
      </c>
      <c r="E1322">
        <f>YEAR(A1322)</f>
        <v>2014</v>
      </c>
      <c r="F1322" s="33">
        <f>DATE(YEAR(A1322),MONTH(A1322),1)</f>
        <v>41760.0</v>
      </c>
      <c r="G1322" t="str">
        <f>CHOOSE(WEEKDAY(A1322,2),"Mon","Tue","Wed","Thu","Fri","Sat","Sun")</f>
        <v>Mon</v>
      </c>
      <c r="H1322" t="str">
        <f>IF(WEEKDAY(A1322,2)&gt;5,"Weekend","Weekday")</f>
        <v>Weekday</v>
      </c>
      <c r="I1322" t="str">
        <f>_xlfn.IFS(B1322&lt;=5,"Night (0-5)",B1322&lt;=9,"Morning peak (6-9)",B1322&lt;=15,"Midday (10-15)",B1322&lt;=19,"Evening peak (16-19)",TRUE,"Late evening (20-23)")</f>
        <v>Night (0-5)</v>
      </c>
    </row>
    <row r="1323" spans="1:9">
      <c r="A1323" s="32">
        <v>41785</v>
      </c>
      <c r="B1323">
        <v>1</v>
      </c>
      <c r="C1323">
        <v>228</v>
      </c>
      <c r="D1323" t="s">
        <v>303</v>
      </c>
      <c r="E1323">
        <f>YEAR(A1323)</f>
        <v>2014</v>
      </c>
      <c r="F1323" s="33">
        <f>DATE(YEAR(A1323),MONTH(A1323),1)</f>
        <v>41760.0</v>
      </c>
      <c r="G1323" t="str">
        <f>CHOOSE(WEEKDAY(A1323,2),"Mon","Tue","Wed","Thu","Fri","Sat","Sun")</f>
        <v>Mon</v>
      </c>
      <c r="H1323" t="str">
        <f>IF(WEEKDAY(A1323,2)&gt;5,"Weekend","Weekday")</f>
        <v>Weekday</v>
      </c>
      <c r="I1323" t="str">
        <f>_xlfn.IFS(B1323&lt;=5,"Night (0-5)",B1323&lt;=9,"Morning peak (6-9)",B1323&lt;=15,"Midday (10-15)",B1323&lt;=19,"Evening peak (16-19)",TRUE,"Late evening (20-23)")</f>
        <v>Night (0-5)</v>
      </c>
    </row>
    <row r="1324" spans="1:9">
      <c r="A1324" s="32">
        <v>41785</v>
      </c>
      <c r="B1324">
        <v>2</v>
      </c>
      <c r="C1324">
        <v>126</v>
      </c>
      <c r="D1324" t="s">
        <v>303</v>
      </c>
      <c r="E1324">
        <f>YEAR(A1324)</f>
        <v>2014</v>
      </c>
      <c r="F1324" s="33">
        <f>DATE(YEAR(A1324),MONTH(A1324),1)</f>
        <v>41760.0</v>
      </c>
      <c r="G1324" t="str">
        <f>CHOOSE(WEEKDAY(A1324,2),"Mon","Tue","Wed","Thu","Fri","Sat","Sun")</f>
        <v>Mon</v>
      </c>
      <c r="H1324" t="str">
        <f>IF(WEEKDAY(A1324,2)&gt;5,"Weekend","Weekday")</f>
        <v>Weekday</v>
      </c>
      <c r="I1324" t="str">
        <f>_xlfn.IFS(B1324&lt;=5,"Night (0-5)",B1324&lt;=9,"Morning peak (6-9)",B1324&lt;=15,"Midday (10-15)",B1324&lt;=19,"Evening peak (16-19)",TRUE,"Late evening (20-23)")</f>
        <v>Night (0-5)</v>
      </c>
    </row>
    <row r="1325" spans="1:9">
      <c r="A1325" s="32">
        <v>41785</v>
      </c>
      <c r="B1325">
        <v>3</v>
      </c>
      <c r="C1325">
        <v>153</v>
      </c>
      <c r="D1325" t="s">
        <v>303</v>
      </c>
      <c r="E1325">
        <f>YEAR(A1325)</f>
        <v>2014</v>
      </c>
      <c r="F1325" s="33">
        <f>DATE(YEAR(A1325),MONTH(A1325),1)</f>
        <v>41760.0</v>
      </c>
      <c r="G1325" t="str">
        <f>CHOOSE(WEEKDAY(A1325,2),"Mon","Tue","Wed","Thu","Fri","Sat","Sun")</f>
        <v>Mon</v>
      </c>
      <c r="H1325" t="str">
        <f>IF(WEEKDAY(A1325,2)&gt;5,"Weekend","Weekday")</f>
        <v>Weekday</v>
      </c>
      <c r="I1325" t="str">
        <f>_xlfn.IFS(B1325&lt;=5,"Night (0-5)",B1325&lt;=9,"Morning peak (6-9)",B1325&lt;=15,"Midday (10-15)",B1325&lt;=19,"Evening peak (16-19)",TRUE,"Late evening (20-23)")</f>
        <v>Night (0-5)</v>
      </c>
    </row>
    <row r="1326" spans="1:9">
      <c r="A1326" s="32">
        <v>41785</v>
      </c>
      <c r="B1326">
        <v>4</v>
      </c>
      <c r="C1326">
        <v>132</v>
      </c>
      <c r="D1326" t="s">
        <v>303</v>
      </c>
      <c r="E1326">
        <f>YEAR(A1326)</f>
        <v>2014</v>
      </c>
      <c r="F1326" s="33">
        <f>DATE(YEAR(A1326),MONTH(A1326),1)</f>
        <v>41760.0</v>
      </c>
      <c r="G1326" t="str">
        <f>CHOOSE(WEEKDAY(A1326,2),"Mon","Tue","Wed","Thu","Fri","Sat","Sun")</f>
        <v>Mon</v>
      </c>
      <c r="H1326" t="str">
        <f>IF(WEEKDAY(A1326,2)&gt;5,"Weekend","Weekday")</f>
        <v>Weekday</v>
      </c>
      <c r="I1326" t="str">
        <f>_xlfn.IFS(B1326&lt;=5,"Night (0-5)",B1326&lt;=9,"Morning peak (6-9)",B1326&lt;=15,"Midday (10-15)",B1326&lt;=19,"Evening peak (16-19)",TRUE,"Late evening (20-23)")</f>
        <v>Night (0-5)</v>
      </c>
    </row>
    <row r="1327" spans="1:9">
      <c r="A1327" s="32">
        <v>41785</v>
      </c>
      <c r="B1327">
        <v>5</v>
      </c>
      <c r="C1327">
        <v>131</v>
      </c>
      <c r="D1327" t="s">
        <v>303</v>
      </c>
      <c r="E1327">
        <f>YEAR(A1327)</f>
        <v>2014</v>
      </c>
      <c r="F1327" s="33">
        <f>DATE(YEAR(A1327),MONTH(A1327),1)</f>
        <v>41760.0</v>
      </c>
      <c r="G1327" t="str">
        <f>CHOOSE(WEEKDAY(A1327,2),"Mon","Tue","Wed","Thu","Fri","Sat","Sun")</f>
        <v>Mon</v>
      </c>
      <c r="H1327" t="str">
        <f>IF(WEEKDAY(A1327,2)&gt;5,"Weekend","Weekday")</f>
        <v>Weekday</v>
      </c>
      <c r="I1327" t="str">
        <f>_xlfn.IFS(B1327&lt;=5,"Night (0-5)",B1327&lt;=9,"Morning peak (6-9)",B1327&lt;=15,"Midday (10-15)",B1327&lt;=19,"Evening peak (16-19)",TRUE,"Late evening (20-23)")</f>
        <v>Night (0-5)</v>
      </c>
    </row>
    <row r="1328" spans="1:9">
      <c r="A1328" s="32">
        <v>41785</v>
      </c>
      <c r="B1328">
        <v>6</v>
      </c>
      <c r="C1328">
        <v>148</v>
      </c>
      <c r="D1328" t="s">
        <v>303</v>
      </c>
      <c r="E1328">
        <f>YEAR(A1328)</f>
        <v>2014</v>
      </c>
      <c r="F1328" s="33">
        <f>DATE(YEAR(A1328),MONTH(A1328),1)</f>
        <v>41760.0</v>
      </c>
      <c r="G1328" t="str">
        <f>CHOOSE(WEEKDAY(A1328,2),"Mon","Tue","Wed","Thu","Fri","Sat","Sun")</f>
        <v>Mon</v>
      </c>
      <c r="H1328" t="str">
        <f>IF(WEEKDAY(A1328,2)&gt;5,"Weekend","Weekday")</f>
        <v>Weekday</v>
      </c>
      <c r="I1328" t="str">
        <f>_xlfn.IFS(B1328&lt;=5,"Night (0-5)",B1328&lt;=9,"Morning peak (6-9)",B1328&lt;=15,"Midday (10-15)",B1328&lt;=19,"Evening peak (16-19)",TRUE,"Late evening (20-23)")</f>
        <v>Morning peak (6-9)</v>
      </c>
    </row>
    <row r="1329" spans="1:9">
      <c r="A1329" s="32">
        <v>41785</v>
      </c>
      <c r="B1329">
        <v>7</v>
      </c>
      <c r="C1329">
        <v>189</v>
      </c>
      <c r="D1329" t="s">
        <v>303</v>
      </c>
      <c r="E1329">
        <f>YEAR(A1329)</f>
        <v>2014</v>
      </c>
      <c r="F1329" s="33">
        <f>DATE(YEAR(A1329),MONTH(A1329),1)</f>
        <v>41760.0</v>
      </c>
      <c r="G1329" t="str">
        <f>CHOOSE(WEEKDAY(A1329,2),"Mon","Tue","Wed","Thu","Fri","Sat","Sun")</f>
        <v>Mon</v>
      </c>
      <c r="H1329" t="str">
        <f>IF(WEEKDAY(A1329,2)&gt;5,"Weekend","Weekday")</f>
        <v>Weekday</v>
      </c>
      <c r="I1329" t="str">
        <f>_xlfn.IFS(B1329&lt;=5,"Night (0-5)",B1329&lt;=9,"Morning peak (6-9)",B1329&lt;=15,"Midday (10-15)",B1329&lt;=19,"Evening peak (16-19)",TRUE,"Late evening (20-23)")</f>
        <v>Morning peak (6-9)</v>
      </c>
    </row>
    <row r="1330" spans="1:9">
      <c r="A1330" s="32">
        <v>41785</v>
      </c>
      <c r="B1330">
        <v>8</v>
      </c>
      <c r="C1330">
        <v>220</v>
      </c>
      <c r="D1330" t="s">
        <v>303</v>
      </c>
      <c r="E1330">
        <f>YEAR(A1330)</f>
        <v>2014</v>
      </c>
      <c r="F1330" s="33">
        <f>DATE(YEAR(A1330),MONTH(A1330),1)</f>
        <v>41760.0</v>
      </c>
      <c r="G1330" t="str">
        <f>CHOOSE(WEEKDAY(A1330,2),"Mon","Tue","Wed","Thu","Fri","Sat","Sun")</f>
        <v>Mon</v>
      </c>
      <c r="H1330" t="str">
        <f>IF(WEEKDAY(A1330,2)&gt;5,"Weekend","Weekday")</f>
        <v>Weekday</v>
      </c>
      <c r="I1330" t="str">
        <f>_xlfn.IFS(B1330&lt;=5,"Night (0-5)",B1330&lt;=9,"Morning peak (6-9)",B1330&lt;=15,"Midday (10-15)",B1330&lt;=19,"Evening peak (16-19)",TRUE,"Late evening (20-23)")</f>
        <v>Morning peak (6-9)</v>
      </c>
    </row>
    <row r="1331" spans="1:9">
      <c r="A1331" s="32">
        <v>41785</v>
      </c>
      <c r="B1331">
        <v>9</v>
      </c>
      <c r="C1331">
        <v>309</v>
      </c>
      <c r="D1331" t="s">
        <v>303</v>
      </c>
      <c r="E1331">
        <f>YEAR(A1331)</f>
        <v>2014</v>
      </c>
      <c r="F1331" s="33">
        <f>DATE(YEAR(A1331),MONTH(A1331),1)</f>
        <v>41760.0</v>
      </c>
      <c r="G1331" t="str">
        <f>CHOOSE(WEEKDAY(A1331,2),"Mon","Tue","Wed","Thu","Fri","Sat","Sun")</f>
        <v>Mon</v>
      </c>
      <c r="H1331" t="str">
        <f>IF(WEEKDAY(A1331,2)&gt;5,"Weekend","Weekday")</f>
        <v>Weekday</v>
      </c>
      <c r="I1331" t="str">
        <f>_xlfn.IFS(B1331&lt;=5,"Night (0-5)",B1331&lt;=9,"Morning peak (6-9)",B1331&lt;=15,"Midday (10-15)",B1331&lt;=19,"Evening peak (16-19)",TRUE,"Late evening (20-23)")</f>
        <v>Morning peak (6-9)</v>
      </c>
    </row>
    <row r="1332" spans="1:9">
      <c r="A1332" s="32">
        <v>41785</v>
      </c>
      <c r="B1332">
        <v>10</v>
      </c>
      <c r="C1332">
        <v>414</v>
      </c>
      <c r="D1332" t="s">
        <v>303</v>
      </c>
      <c r="E1332">
        <f>YEAR(A1332)</f>
        <v>2014</v>
      </c>
      <c r="F1332" s="33">
        <f>DATE(YEAR(A1332),MONTH(A1332),1)</f>
        <v>41760.0</v>
      </c>
      <c r="G1332" t="str">
        <f>CHOOSE(WEEKDAY(A1332,2),"Mon","Tue","Wed","Thu","Fri","Sat","Sun")</f>
        <v>Mon</v>
      </c>
      <c r="H1332" t="str">
        <f>IF(WEEKDAY(A1332,2)&gt;5,"Weekend","Weekday")</f>
        <v>Weekday</v>
      </c>
      <c r="I1332" t="str">
        <f>_xlfn.IFS(B1332&lt;=5,"Night (0-5)",B1332&lt;=9,"Morning peak (6-9)",B1332&lt;=15,"Midday (10-15)",B1332&lt;=19,"Evening peak (16-19)",TRUE,"Late evening (20-23)")</f>
        <v>Midday (10-15)</v>
      </c>
    </row>
    <row r="1333" spans="1:9">
      <c r="A1333" s="32">
        <v>41785</v>
      </c>
      <c r="B1333">
        <v>11</v>
      </c>
      <c r="C1333">
        <v>446</v>
      </c>
      <c r="D1333" t="s">
        <v>303</v>
      </c>
      <c r="E1333">
        <f>YEAR(A1333)</f>
        <v>2014</v>
      </c>
      <c r="F1333" s="33">
        <f>DATE(YEAR(A1333),MONTH(A1333),1)</f>
        <v>41760.0</v>
      </c>
      <c r="G1333" t="str">
        <f>CHOOSE(WEEKDAY(A1333,2),"Mon","Tue","Wed","Thu","Fri","Sat","Sun")</f>
        <v>Mon</v>
      </c>
      <c r="H1333" t="str">
        <f>IF(WEEKDAY(A1333,2)&gt;5,"Weekend","Weekday")</f>
        <v>Weekday</v>
      </c>
      <c r="I1333" t="str">
        <f>_xlfn.IFS(B1333&lt;=5,"Night (0-5)",B1333&lt;=9,"Morning peak (6-9)",B1333&lt;=15,"Midday (10-15)",B1333&lt;=19,"Evening peak (16-19)",TRUE,"Late evening (20-23)")</f>
        <v>Midday (10-15)</v>
      </c>
    </row>
    <row r="1334" spans="1:9">
      <c r="A1334" s="32">
        <v>41785</v>
      </c>
      <c r="B1334">
        <v>12</v>
      </c>
      <c r="C1334">
        <v>496</v>
      </c>
      <c r="D1334" t="s">
        <v>303</v>
      </c>
      <c r="E1334">
        <f>YEAR(A1334)</f>
        <v>2014</v>
      </c>
      <c r="F1334" s="33">
        <f>DATE(YEAR(A1334),MONTH(A1334),1)</f>
        <v>41760.0</v>
      </c>
      <c r="G1334" t="str">
        <f>CHOOSE(WEEKDAY(A1334,2),"Mon","Tue","Wed","Thu","Fri","Sat","Sun")</f>
        <v>Mon</v>
      </c>
      <c r="H1334" t="str">
        <f>IF(WEEKDAY(A1334,2)&gt;5,"Weekend","Weekday")</f>
        <v>Weekday</v>
      </c>
      <c r="I1334" t="str">
        <f>_xlfn.IFS(B1334&lt;=5,"Night (0-5)",B1334&lt;=9,"Morning peak (6-9)",B1334&lt;=15,"Midday (10-15)",B1334&lt;=19,"Evening peak (16-19)",TRUE,"Late evening (20-23)")</f>
        <v>Midday (10-15)</v>
      </c>
    </row>
    <row r="1335" spans="1:9">
      <c r="A1335" s="32">
        <v>41785</v>
      </c>
      <c r="B1335">
        <v>13</v>
      </c>
      <c r="C1335">
        <v>593</v>
      </c>
      <c r="D1335" t="s">
        <v>303</v>
      </c>
      <c r="E1335">
        <f>YEAR(A1335)</f>
        <v>2014</v>
      </c>
      <c r="F1335" s="33">
        <f>DATE(YEAR(A1335),MONTH(A1335),1)</f>
        <v>41760.0</v>
      </c>
      <c r="G1335" t="str">
        <f>CHOOSE(WEEKDAY(A1335,2),"Mon","Tue","Wed","Thu","Fri","Sat","Sun")</f>
        <v>Mon</v>
      </c>
      <c r="H1335" t="str">
        <f>IF(WEEKDAY(A1335,2)&gt;5,"Weekend","Weekday")</f>
        <v>Weekday</v>
      </c>
      <c r="I1335" t="str">
        <f>_xlfn.IFS(B1335&lt;=5,"Night (0-5)",B1335&lt;=9,"Morning peak (6-9)",B1335&lt;=15,"Midday (10-15)",B1335&lt;=19,"Evening peak (16-19)",TRUE,"Late evening (20-23)")</f>
        <v>Midday (10-15)</v>
      </c>
    </row>
    <row r="1336" spans="1:9">
      <c r="A1336" s="32">
        <v>41785</v>
      </c>
      <c r="B1336">
        <v>14</v>
      </c>
      <c r="C1336">
        <v>688</v>
      </c>
      <c r="D1336" t="s">
        <v>303</v>
      </c>
      <c r="E1336">
        <f>YEAR(A1336)</f>
        <v>2014</v>
      </c>
      <c r="F1336" s="33">
        <f>DATE(YEAR(A1336),MONTH(A1336),1)</f>
        <v>41760.0</v>
      </c>
      <c r="G1336" t="str">
        <f>CHOOSE(WEEKDAY(A1336,2),"Mon","Tue","Wed","Thu","Fri","Sat","Sun")</f>
        <v>Mon</v>
      </c>
      <c r="H1336" t="str">
        <f>IF(WEEKDAY(A1336,2)&gt;5,"Weekend","Weekday")</f>
        <v>Weekday</v>
      </c>
      <c r="I1336" t="str">
        <f>_xlfn.IFS(B1336&lt;=5,"Night (0-5)",B1336&lt;=9,"Morning peak (6-9)",B1336&lt;=15,"Midday (10-15)",B1336&lt;=19,"Evening peak (16-19)",TRUE,"Late evening (20-23)")</f>
        <v>Midday (10-15)</v>
      </c>
    </row>
    <row r="1337" spans="1:9">
      <c r="A1337" s="32">
        <v>41785</v>
      </c>
      <c r="B1337">
        <v>15</v>
      </c>
      <c r="C1337">
        <v>741</v>
      </c>
      <c r="D1337" t="s">
        <v>303</v>
      </c>
      <c r="E1337">
        <f>YEAR(A1337)</f>
        <v>2014</v>
      </c>
      <c r="F1337" s="33">
        <f>DATE(YEAR(A1337),MONTH(A1337),1)</f>
        <v>41760.0</v>
      </c>
      <c r="G1337" t="str">
        <f>CHOOSE(WEEKDAY(A1337,2),"Mon","Tue","Wed","Thu","Fri","Sat","Sun")</f>
        <v>Mon</v>
      </c>
      <c r="H1337" t="str">
        <f>IF(WEEKDAY(A1337,2)&gt;5,"Weekend","Weekday")</f>
        <v>Weekday</v>
      </c>
      <c r="I1337" t="str">
        <f>_xlfn.IFS(B1337&lt;=5,"Night (0-5)",B1337&lt;=9,"Morning peak (6-9)",B1337&lt;=15,"Midday (10-15)",B1337&lt;=19,"Evening peak (16-19)",TRUE,"Late evening (20-23)")</f>
        <v>Midday (10-15)</v>
      </c>
    </row>
    <row r="1338" spans="1:9">
      <c r="A1338" s="32">
        <v>41785</v>
      </c>
      <c r="B1338">
        <v>16</v>
      </c>
      <c r="C1338">
        <v>691</v>
      </c>
      <c r="D1338" t="s">
        <v>303</v>
      </c>
      <c r="E1338">
        <f>YEAR(A1338)</f>
        <v>2014</v>
      </c>
      <c r="F1338" s="33">
        <f>DATE(YEAR(A1338),MONTH(A1338),1)</f>
        <v>41760.0</v>
      </c>
      <c r="G1338" t="str">
        <f>CHOOSE(WEEKDAY(A1338,2),"Mon","Tue","Wed","Thu","Fri","Sat","Sun")</f>
        <v>Mon</v>
      </c>
      <c r="H1338" t="str">
        <f>IF(WEEKDAY(A1338,2)&gt;5,"Weekend","Weekday")</f>
        <v>Weekday</v>
      </c>
      <c r="I1338" t="str">
        <f>_xlfn.IFS(B1338&lt;=5,"Night (0-5)",B1338&lt;=9,"Morning peak (6-9)",B1338&lt;=15,"Midday (10-15)",B1338&lt;=19,"Evening peak (16-19)",TRUE,"Late evening (20-23)")</f>
        <v>Evening peak (16-19)</v>
      </c>
    </row>
    <row r="1339" spans="1:9">
      <c r="A1339" s="32">
        <v>41785</v>
      </c>
      <c r="B1339">
        <v>17</v>
      </c>
      <c r="C1339">
        <v>731</v>
      </c>
      <c r="D1339" t="s">
        <v>303</v>
      </c>
      <c r="E1339">
        <f>YEAR(A1339)</f>
        <v>2014</v>
      </c>
      <c r="F1339" s="33">
        <f>DATE(YEAR(A1339),MONTH(A1339),1)</f>
        <v>41760.0</v>
      </c>
      <c r="G1339" t="str">
        <f>CHOOSE(WEEKDAY(A1339,2),"Mon","Tue","Wed","Thu","Fri","Sat","Sun")</f>
        <v>Mon</v>
      </c>
      <c r="H1339" t="str">
        <f>IF(WEEKDAY(A1339,2)&gt;5,"Weekend","Weekday")</f>
        <v>Weekday</v>
      </c>
      <c r="I1339" t="str">
        <f>_xlfn.IFS(B1339&lt;=5,"Night (0-5)",B1339&lt;=9,"Morning peak (6-9)",B1339&lt;=15,"Midday (10-15)",B1339&lt;=19,"Evening peak (16-19)",TRUE,"Late evening (20-23)")</f>
        <v>Evening peak (16-19)</v>
      </c>
    </row>
    <row r="1340" spans="1:9">
      <c r="A1340" s="32">
        <v>41785</v>
      </c>
      <c r="B1340">
        <v>18</v>
      </c>
      <c r="C1340">
        <v>658</v>
      </c>
      <c r="D1340" t="s">
        <v>303</v>
      </c>
      <c r="E1340">
        <f>YEAR(A1340)</f>
        <v>2014</v>
      </c>
      <c r="F1340" s="33">
        <f>DATE(YEAR(A1340),MONTH(A1340),1)</f>
        <v>41760.0</v>
      </c>
      <c r="G1340" t="str">
        <f>CHOOSE(WEEKDAY(A1340,2),"Mon","Tue","Wed","Thu","Fri","Sat","Sun")</f>
        <v>Mon</v>
      </c>
      <c r="H1340" t="str">
        <f>IF(WEEKDAY(A1340,2)&gt;5,"Weekend","Weekday")</f>
        <v>Weekday</v>
      </c>
      <c r="I1340" t="str">
        <f>_xlfn.IFS(B1340&lt;=5,"Night (0-5)",B1340&lt;=9,"Morning peak (6-9)",B1340&lt;=15,"Midday (10-15)",B1340&lt;=19,"Evening peak (16-19)",TRUE,"Late evening (20-23)")</f>
        <v>Evening peak (16-19)</v>
      </c>
    </row>
    <row r="1341" spans="1:9">
      <c r="A1341" s="32">
        <v>41785</v>
      </c>
      <c r="B1341">
        <v>19</v>
      </c>
      <c r="C1341">
        <v>702</v>
      </c>
      <c r="D1341" t="s">
        <v>303</v>
      </c>
      <c r="E1341">
        <f>YEAR(A1341)</f>
        <v>2014</v>
      </c>
      <c r="F1341" s="33">
        <f>DATE(YEAR(A1341),MONTH(A1341),1)</f>
        <v>41760.0</v>
      </c>
      <c r="G1341" t="str">
        <f>CHOOSE(WEEKDAY(A1341,2),"Mon","Tue","Wed","Thu","Fri","Sat","Sun")</f>
        <v>Mon</v>
      </c>
      <c r="H1341" t="str">
        <f>IF(WEEKDAY(A1341,2)&gt;5,"Weekend","Weekday")</f>
        <v>Weekday</v>
      </c>
      <c r="I1341" t="str">
        <f>_xlfn.IFS(B1341&lt;=5,"Night (0-5)",B1341&lt;=9,"Morning peak (6-9)",B1341&lt;=15,"Midday (10-15)",B1341&lt;=19,"Evening peak (16-19)",TRUE,"Late evening (20-23)")</f>
        <v>Evening peak (16-19)</v>
      </c>
    </row>
    <row r="1342" spans="1:9">
      <c r="A1342" s="32">
        <v>41785</v>
      </c>
      <c r="B1342">
        <v>20</v>
      </c>
      <c r="C1342">
        <v>634</v>
      </c>
      <c r="D1342" t="s">
        <v>303</v>
      </c>
      <c r="E1342">
        <f>YEAR(A1342)</f>
        <v>2014</v>
      </c>
      <c r="F1342" s="33">
        <f>DATE(YEAR(A1342),MONTH(A1342),1)</f>
        <v>41760.0</v>
      </c>
      <c r="G1342" t="str">
        <f>CHOOSE(WEEKDAY(A1342,2),"Mon","Tue","Wed","Thu","Fri","Sat","Sun")</f>
        <v>Mon</v>
      </c>
      <c r="H1342" t="str">
        <f>IF(WEEKDAY(A1342,2)&gt;5,"Weekend","Weekday")</f>
        <v>Weekday</v>
      </c>
      <c r="I1342" t="str">
        <f>_xlfn.IFS(B1342&lt;=5,"Night (0-5)",B1342&lt;=9,"Morning peak (6-9)",B1342&lt;=15,"Midday (10-15)",B1342&lt;=19,"Evening peak (16-19)",TRUE,"Late evening (20-23)")</f>
        <v>Late evening (20-23)</v>
      </c>
    </row>
    <row r="1343" spans="1:9">
      <c r="A1343" s="32">
        <v>41785</v>
      </c>
      <c r="B1343">
        <v>21</v>
      </c>
      <c r="C1343">
        <v>629</v>
      </c>
      <c r="D1343" t="s">
        <v>303</v>
      </c>
      <c r="E1343">
        <f>YEAR(A1343)</f>
        <v>2014</v>
      </c>
      <c r="F1343" s="33">
        <f>DATE(YEAR(A1343),MONTH(A1343),1)</f>
        <v>41760.0</v>
      </c>
      <c r="G1343" t="str">
        <f>CHOOSE(WEEKDAY(A1343,2),"Mon","Tue","Wed","Thu","Fri","Sat","Sun")</f>
        <v>Mon</v>
      </c>
      <c r="H1343" t="str">
        <f>IF(WEEKDAY(A1343,2)&gt;5,"Weekend","Weekday")</f>
        <v>Weekday</v>
      </c>
      <c r="I1343" t="str">
        <f>_xlfn.IFS(B1343&lt;=5,"Night (0-5)",B1343&lt;=9,"Morning peak (6-9)",B1343&lt;=15,"Midday (10-15)",B1343&lt;=19,"Evening peak (16-19)",TRUE,"Late evening (20-23)")</f>
        <v>Late evening (20-23)</v>
      </c>
    </row>
    <row r="1344" spans="1:9">
      <c r="A1344" s="32">
        <v>41785</v>
      </c>
      <c r="B1344">
        <v>22</v>
      </c>
      <c r="C1344">
        <v>476</v>
      </c>
      <c r="D1344" t="s">
        <v>303</v>
      </c>
      <c r="E1344">
        <f>YEAR(A1344)</f>
        <v>2014</v>
      </c>
      <c r="F1344" s="33">
        <f>DATE(YEAR(A1344),MONTH(A1344),1)</f>
        <v>41760.0</v>
      </c>
      <c r="G1344" t="str">
        <f>CHOOSE(WEEKDAY(A1344,2),"Mon","Tue","Wed","Thu","Fri","Sat","Sun")</f>
        <v>Mon</v>
      </c>
      <c r="H1344" t="str">
        <f>IF(WEEKDAY(A1344,2)&gt;5,"Weekend","Weekday")</f>
        <v>Weekday</v>
      </c>
      <c r="I1344" t="str">
        <f>_xlfn.IFS(B1344&lt;=5,"Night (0-5)",B1344&lt;=9,"Morning peak (6-9)",B1344&lt;=15,"Midday (10-15)",B1344&lt;=19,"Evening peak (16-19)",TRUE,"Late evening (20-23)")</f>
        <v>Late evening (20-23)</v>
      </c>
    </row>
    <row r="1345" spans="1:9">
      <c r="A1345" s="32">
        <v>41785</v>
      </c>
      <c r="B1345">
        <v>23</v>
      </c>
      <c r="C1345">
        <v>298</v>
      </c>
      <c r="D1345" t="s">
        <v>303</v>
      </c>
      <c r="E1345">
        <f>YEAR(A1345)</f>
        <v>2014</v>
      </c>
      <c r="F1345" s="33">
        <f>DATE(YEAR(A1345),MONTH(A1345),1)</f>
        <v>41760.0</v>
      </c>
      <c r="G1345" t="str">
        <f>CHOOSE(WEEKDAY(A1345,2),"Mon","Tue","Wed","Thu","Fri","Sat","Sun")</f>
        <v>Mon</v>
      </c>
      <c r="H1345" t="str">
        <f>IF(WEEKDAY(A1345,2)&gt;5,"Weekend","Weekday")</f>
        <v>Weekday</v>
      </c>
      <c r="I1345" t="str">
        <f>_xlfn.IFS(B1345&lt;=5,"Night (0-5)",B1345&lt;=9,"Morning peak (6-9)",B1345&lt;=15,"Midday (10-15)",B1345&lt;=19,"Evening peak (16-19)",TRUE,"Late evening (20-23)")</f>
        <v>Late evening (20-23)</v>
      </c>
    </row>
    <row r="1346" spans="1:9">
      <c r="A1346" s="32">
        <v>41786</v>
      </c>
      <c r="B1346">
        <v>0</v>
      </c>
      <c r="C1346">
        <v>141</v>
      </c>
      <c r="D1346" t="s">
        <v>303</v>
      </c>
      <c r="E1346">
        <f>YEAR(A1346)</f>
        <v>2014</v>
      </c>
      <c r="F1346" s="33">
        <f>DATE(YEAR(A1346),MONTH(A1346),1)</f>
        <v>41760.0</v>
      </c>
      <c r="G1346" t="str">
        <f>CHOOSE(WEEKDAY(A1346,2),"Mon","Tue","Wed","Thu","Fri","Sat","Sun")</f>
        <v>Tue</v>
      </c>
      <c r="H1346" t="str">
        <f>IF(WEEKDAY(A1346,2)&gt;5,"Weekend","Weekday")</f>
        <v>Weekday</v>
      </c>
      <c r="I1346" t="str">
        <f>_xlfn.IFS(B1346&lt;=5,"Night (0-5)",B1346&lt;=9,"Morning peak (6-9)",B1346&lt;=15,"Midday (10-15)",B1346&lt;=19,"Evening peak (16-19)",TRUE,"Late evening (20-23)")</f>
        <v>Night (0-5)</v>
      </c>
    </row>
    <row r="1347" spans="1:9">
      <c r="A1347" s="32">
        <v>41786</v>
      </c>
      <c r="B1347">
        <v>1</v>
      </c>
      <c r="C1347">
        <v>77</v>
      </c>
      <c r="D1347" t="s">
        <v>303</v>
      </c>
      <c r="E1347">
        <f>YEAR(A1347)</f>
        <v>2014</v>
      </c>
      <c r="F1347" s="33">
        <f>DATE(YEAR(A1347),MONTH(A1347),1)</f>
        <v>41760.0</v>
      </c>
      <c r="G1347" t="str">
        <f>CHOOSE(WEEKDAY(A1347,2),"Mon","Tue","Wed","Thu","Fri","Sat","Sun")</f>
        <v>Tue</v>
      </c>
      <c r="H1347" t="str">
        <f>IF(WEEKDAY(A1347,2)&gt;5,"Weekend","Weekday")</f>
        <v>Weekday</v>
      </c>
      <c r="I1347" t="str">
        <f>_xlfn.IFS(B1347&lt;=5,"Night (0-5)",B1347&lt;=9,"Morning peak (6-9)",B1347&lt;=15,"Midday (10-15)",B1347&lt;=19,"Evening peak (16-19)",TRUE,"Late evening (20-23)")</f>
        <v>Night (0-5)</v>
      </c>
    </row>
    <row r="1348" spans="1:9">
      <c r="A1348" s="32">
        <v>41786</v>
      </c>
      <c r="B1348">
        <v>2</v>
      </c>
      <c r="C1348">
        <v>58</v>
      </c>
      <c r="D1348" t="s">
        <v>303</v>
      </c>
      <c r="E1348">
        <f>YEAR(A1348)</f>
        <v>2014</v>
      </c>
      <c r="F1348" s="33">
        <f>DATE(YEAR(A1348),MONTH(A1348),1)</f>
        <v>41760.0</v>
      </c>
      <c r="G1348" t="str">
        <f>CHOOSE(WEEKDAY(A1348,2),"Mon","Tue","Wed","Thu","Fri","Sat","Sun")</f>
        <v>Tue</v>
      </c>
      <c r="H1348" t="str">
        <f>IF(WEEKDAY(A1348,2)&gt;5,"Weekend","Weekday")</f>
        <v>Weekday</v>
      </c>
      <c r="I1348" t="str">
        <f>_xlfn.IFS(B1348&lt;=5,"Night (0-5)",B1348&lt;=9,"Morning peak (6-9)",B1348&lt;=15,"Midday (10-15)",B1348&lt;=19,"Evening peak (16-19)",TRUE,"Late evening (20-23)")</f>
        <v>Night (0-5)</v>
      </c>
    </row>
    <row r="1349" spans="1:9">
      <c r="A1349" s="32">
        <v>41786</v>
      </c>
      <c r="B1349">
        <v>3</v>
      </c>
      <c r="C1349">
        <v>159</v>
      </c>
      <c r="D1349" t="s">
        <v>303</v>
      </c>
      <c r="E1349">
        <f>YEAR(A1349)</f>
        <v>2014</v>
      </c>
      <c r="F1349" s="33">
        <f>DATE(YEAR(A1349),MONTH(A1349),1)</f>
        <v>41760.0</v>
      </c>
      <c r="G1349" t="str">
        <f>CHOOSE(WEEKDAY(A1349,2),"Mon","Tue","Wed","Thu","Fri","Sat","Sun")</f>
        <v>Tue</v>
      </c>
      <c r="H1349" t="str">
        <f>IF(WEEKDAY(A1349,2)&gt;5,"Weekend","Weekday")</f>
        <v>Weekday</v>
      </c>
      <c r="I1349" t="str">
        <f>_xlfn.IFS(B1349&lt;=5,"Night (0-5)",B1349&lt;=9,"Morning peak (6-9)",B1349&lt;=15,"Midday (10-15)",B1349&lt;=19,"Evening peak (16-19)",TRUE,"Late evening (20-23)")</f>
        <v>Night (0-5)</v>
      </c>
    </row>
    <row r="1350" spans="1:9">
      <c r="A1350" s="32">
        <v>41786</v>
      </c>
      <c r="B1350">
        <v>4</v>
      </c>
      <c r="C1350">
        <v>267</v>
      </c>
      <c r="D1350" t="s">
        <v>303</v>
      </c>
      <c r="E1350">
        <f>YEAR(A1350)</f>
        <v>2014</v>
      </c>
      <c r="F1350" s="33">
        <f>DATE(YEAR(A1350),MONTH(A1350),1)</f>
        <v>41760.0</v>
      </c>
      <c r="G1350" t="str">
        <f>CHOOSE(WEEKDAY(A1350,2),"Mon","Tue","Wed","Thu","Fri","Sat","Sun")</f>
        <v>Tue</v>
      </c>
      <c r="H1350" t="str">
        <f>IF(WEEKDAY(A1350,2)&gt;5,"Weekend","Weekday")</f>
        <v>Weekday</v>
      </c>
      <c r="I1350" t="str">
        <f>_xlfn.IFS(B1350&lt;=5,"Night (0-5)",B1350&lt;=9,"Morning peak (6-9)",B1350&lt;=15,"Midday (10-15)",B1350&lt;=19,"Evening peak (16-19)",TRUE,"Late evening (20-23)")</f>
        <v>Night (0-5)</v>
      </c>
    </row>
    <row r="1351" spans="1:9">
      <c r="A1351" s="32">
        <v>41786</v>
      </c>
      <c r="B1351">
        <v>5</v>
      </c>
      <c r="C1351">
        <v>459</v>
      </c>
      <c r="D1351" t="s">
        <v>303</v>
      </c>
      <c r="E1351">
        <f>YEAR(A1351)</f>
        <v>2014</v>
      </c>
      <c r="F1351" s="33">
        <f>DATE(YEAR(A1351),MONTH(A1351),1)</f>
        <v>41760.0</v>
      </c>
      <c r="G1351" t="str">
        <f>CHOOSE(WEEKDAY(A1351,2),"Mon","Tue","Wed","Thu","Fri","Sat","Sun")</f>
        <v>Tue</v>
      </c>
      <c r="H1351" t="str">
        <f>IF(WEEKDAY(A1351,2)&gt;5,"Weekend","Weekday")</f>
        <v>Weekday</v>
      </c>
      <c r="I1351" t="str">
        <f>_xlfn.IFS(B1351&lt;=5,"Night (0-5)",B1351&lt;=9,"Morning peak (6-9)",B1351&lt;=15,"Midday (10-15)",B1351&lt;=19,"Evening peak (16-19)",TRUE,"Late evening (20-23)")</f>
        <v>Night (0-5)</v>
      </c>
    </row>
    <row r="1352" spans="1:9">
      <c r="A1352" s="32">
        <v>41786</v>
      </c>
      <c r="B1352">
        <v>6</v>
      </c>
      <c r="C1352">
        <v>859</v>
      </c>
      <c r="D1352" t="s">
        <v>303</v>
      </c>
      <c r="E1352">
        <f>YEAR(A1352)</f>
        <v>2014</v>
      </c>
      <c r="F1352" s="33">
        <f>DATE(YEAR(A1352),MONTH(A1352),1)</f>
        <v>41760.0</v>
      </c>
      <c r="G1352" t="str">
        <f>CHOOSE(WEEKDAY(A1352,2),"Mon","Tue","Wed","Thu","Fri","Sat","Sun")</f>
        <v>Tue</v>
      </c>
      <c r="H1352" t="str">
        <f>IF(WEEKDAY(A1352,2)&gt;5,"Weekend","Weekday")</f>
        <v>Weekday</v>
      </c>
      <c r="I1352" t="str">
        <f>_xlfn.IFS(B1352&lt;=5,"Night (0-5)",B1352&lt;=9,"Morning peak (6-9)",B1352&lt;=15,"Midday (10-15)",B1352&lt;=19,"Evening peak (16-19)",TRUE,"Late evening (20-23)")</f>
        <v>Morning peak (6-9)</v>
      </c>
    </row>
    <row r="1353" spans="1:9">
      <c r="A1353" s="32">
        <v>41786</v>
      </c>
      <c r="B1353">
        <v>7</v>
      </c>
      <c r="C1353">
        <v>1078</v>
      </c>
      <c r="D1353" t="s">
        <v>303</v>
      </c>
      <c r="E1353">
        <f>YEAR(A1353)</f>
        <v>2014</v>
      </c>
      <c r="F1353" s="33">
        <f>DATE(YEAR(A1353),MONTH(A1353),1)</f>
        <v>41760.0</v>
      </c>
      <c r="G1353" t="str">
        <f>CHOOSE(WEEKDAY(A1353,2),"Mon","Tue","Wed","Thu","Fri","Sat","Sun")</f>
        <v>Tue</v>
      </c>
      <c r="H1353" t="str">
        <f>IF(WEEKDAY(A1353,2)&gt;5,"Weekend","Weekday")</f>
        <v>Weekday</v>
      </c>
      <c r="I1353" t="str">
        <f>_xlfn.IFS(B1353&lt;=5,"Night (0-5)",B1353&lt;=9,"Morning peak (6-9)",B1353&lt;=15,"Midday (10-15)",B1353&lt;=19,"Evening peak (16-19)",TRUE,"Late evening (20-23)")</f>
        <v>Morning peak (6-9)</v>
      </c>
    </row>
    <row r="1354" spans="1:9">
      <c r="A1354" s="32">
        <v>41786</v>
      </c>
      <c r="B1354">
        <v>8</v>
      </c>
      <c r="C1354">
        <v>855</v>
      </c>
      <c r="D1354" t="s">
        <v>303</v>
      </c>
      <c r="E1354">
        <f>YEAR(A1354)</f>
        <v>2014</v>
      </c>
      <c r="F1354" s="33">
        <f>DATE(YEAR(A1354),MONTH(A1354),1)</f>
        <v>41760.0</v>
      </c>
      <c r="G1354" t="str">
        <f>CHOOSE(WEEKDAY(A1354,2),"Mon","Tue","Wed","Thu","Fri","Sat","Sun")</f>
        <v>Tue</v>
      </c>
      <c r="H1354" t="str">
        <f>IF(WEEKDAY(A1354,2)&gt;5,"Weekend","Weekday")</f>
        <v>Weekday</v>
      </c>
      <c r="I1354" t="str">
        <f>_xlfn.IFS(B1354&lt;=5,"Night (0-5)",B1354&lt;=9,"Morning peak (6-9)",B1354&lt;=15,"Midday (10-15)",B1354&lt;=19,"Evening peak (16-19)",TRUE,"Late evening (20-23)")</f>
        <v>Morning peak (6-9)</v>
      </c>
    </row>
    <row r="1355" spans="1:9">
      <c r="A1355" s="32">
        <v>41786</v>
      </c>
      <c r="B1355">
        <v>9</v>
      </c>
      <c r="C1355">
        <v>597</v>
      </c>
      <c r="D1355" t="s">
        <v>303</v>
      </c>
      <c r="E1355">
        <f>YEAR(A1355)</f>
        <v>2014</v>
      </c>
      <c r="F1355" s="33">
        <f>DATE(YEAR(A1355),MONTH(A1355),1)</f>
        <v>41760.0</v>
      </c>
      <c r="G1355" t="str">
        <f>CHOOSE(WEEKDAY(A1355,2),"Mon","Tue","Wed","Thu","Fri","Sat","Sun")</f>
        <v>Tue</v>
      </c>
      <c r="H1355" t="str">
        <f>IF(WEEKDAY(A1355,2)&gt;5,"Weekend","Weekday")</f>
        <v>Weekday</v>
      </c>
      <c r="I1355" t="str">
        <f>_xlfn.IFS(B1355&lt;=5,"Night (0-5)",B1355&lt;=9,"Morning peak (6-9)",B1355&lt;=15,"Midday (10-15)",B1355&lt;=19,"Evening peak (16-19)",TRUE,"Late evening (20-23)")</f>
        <v>Morning peak (6-9)</v>
      </c>
    </row>
    <row r="1356" spans="1:9">
      <c r="A1356" s="32">
        <v>41786</v>
      </c>
      <c r="B1356">
        <v>10</v>
      </c>
      <c r="C1356">
        <v>576</v>
      </c>
      <c r="D1356" t="s">
        <v>303</v>
      </c>
      <c r="E1356">
        <f>YEAR(A1356)</f>
        <v>2014</v>
      </c>
      <c r="F1356" s="33">
        <f>DATE(YEAR(A1356),MONTH(A1356),1)</f>
        <v>41760.0</v>
      </c>
      <c r="G1356" t="str">
        <f>CHOOSE(WEEKDAY(A1356,2),"Mon","Tue","Wed","Thu","Fri","Sat","Sun")</f>
        <v>Tue</v>
      </c>
      <c r="H1356" t="str">
        <f>IF(WEEKDAY(A1356,2)&gt;5,"Weekend","Weekday")</f>
        <v>Weekday</v>
      </c>
      <c r="I1356" t="str">
        <f>_xlfn.IFS(B1356&lt;=5,"Night (0-5)",B1356&lt;=9,"Morning peak (6-9)",B1356&lt;=15,"Midday (10-15)",B1356&lt;=19,"Evening peak (16-19)",TRUE,"Late evening (20-23)")</f>
        <v>Midday (10-15)</v>
      </c>
    </row>
    <row r="1357" spans="1:9">
      <c r="A1357" s="32">
        <v>41786</v>
      </c>
      <c r="B1357">
        <v>11</v>
      </c>
      <c r="C1357">
        <v>579</v>
      </c>
      <c r="D1357" t="s">
        <v>303</v>
      </c>
      <c r="E1357">
        <f>YEAR(A1357)</f>
        <v>2014</v>
      </c>
      <c r="F1357" s="33">
        <f>DATE(YEAR(A1357),MONTH(A1357),1)</f>
        <v>41760.0</v>
      </c>
      <c r="G1357" t="str">
        <f>CHOOSE(WEEKDAY(A1357,2),"Mon","Tue","Wed","Thu","Fri","Sat","Sun")</f>
        <v>Tue</v>
      </c>
      <c r="H1357" t="str">
        <f>IF(WEEKDAY(A1357,2)&gt;5,"Weekend","Weekday")</f>
        <v>Weekday</v>
      </c>
      <c r="I1357" t="str">
        <f>_xlfn.IFS(B1357&lt;=5,"Night (0-5)",B1357&lt;=9,"Morning peak (6-9)",B1357&lt;=15,"Midday (10-15)",B1357&lt;=19,"Evening peak (16-19)",TRUE,"Late evening (20-23)")</f>
        <v>Midday (10-15)</v>
      </c>
    </row>
    <row r="1358" spans="1:9">
      <c r="A1358" s="32">
        <v>41786</v>
      </c>
      <c r="B1358">
        <v>12</v>
      </c>
      <c r="C1358">
        <v>597</v>
      </c>
      <c r="D1358" t="s">
        <v>303</v>
      </c>
      <c r="E1358">
        <f>YEAR(A1358)</f>
        <v>2014</v>
      </c>
      <c r="F1358" s="33">
        <f>DATE(YEAR(A1358),MONTH(A1358),1)</f>
        <v>41760.0</v>
      </c>
      <c r="G1358" t="str">
        <f>CHOOSE(WEEKDAY(A1358,2),"Mon","Tue","Wed","Thu","Fri","Sat","Sun")</f>
        <v>Tue</v>
      </c>
      <c r="H1358" t="str">
        <f>IF(WEEKDAY(A1358,2)&gt;5,"Weekend","Weekday")</f>
        <v>Weekday</v>
      </c>
      <c r="I1358" t="str">
        <f>_xlfn.IFS(B1358&lt;=5,"Night (0-5)",B1358&lt;=9,"Morning peak (6-9)",B1358&lt;=15,"Midday (10-15)",B1358&lt;=19,"Evening peak (16-19)",TRUE,"Late evening (20-23)")</f>
        <v>Midday (10-15)</v>
      </c>
    </row>
    <row r="1359" spans="1:9">
      <c r="A1359" s="32">
        <v>41786</v>
      </c>
      <c r="B1359">
        <v>13</v>
      </c>
      <c r="C1359">
        <v>895</v>
      </c>
      <c r="D1359" t="s">
        <v>303</v>
      </c>
      <c r="E1359">
        <f>YEAR(A1359)</f>
        <v>2014</v>
      </c>
      <c r="F1359" s="33">
        <f>DATE(YEAR(A1359),MONTH(A1359),1)</f>
        <v>41760.0</v>
      </c>
      <c r="G1359" t="str">
        <f>CHOOSE(WEEKDAY(A1359,2),"Mon","Tue","Wed","Thu","Fri","Sat","Sun")</f>
        <v>Tue</v>
      </c>
      <c r="H1359" t="str">
        <f>IF(WEEKDAY(A1359,2)&gt;5,"Weekend","Weekday")</f>
        <v>Weekday</v>
      </c>
      <c r="I1359" t="str">
        <f>_xlfn.IFS(B1359&lt;=5,"Night (0-5)",B1359&lt;=9,"Morning peak (6-9)",B1359&lt;=15,"Midday (10-15)",B1359&lt;=19,"Evening peak (16-19)",TRUE,"Late evening (20-23)")</f>
        <v>Midday (10-15)</v>
      </c>
    </row>
    <row r="1360" spans="1:9">
      <c r="A1360" s="32">
        <v>41786</v>
      </c>
      <c r="B1360">
        <v>14</v>
      </c>
      <c r="C1360">
        <v>971</v>
      </c>
      <c r="D1360" t="s">
        <v>303</v>
      </c>
      <c r="E1360">
        <f>YEAR(A1360)</f>
        <v>2014</v>
      </c>
      <c r="F1360" s="33">
        <f>DATE(YEAR(A1360),MONTH(A1360),1)</f>
        <v>41760.0</v>
      </c>
      <c r="G1360" t="str">
        <f>CHOOSE(WEEKDAY(A1360,2),"Mon","Tue","Wed","Thu","Fri","Sat","Sun")</f>
        <v>Tue</v>
      </c>
      <c r="H1360" t="str">
        <f>IF(WEEKDAY(A1360,2)&gt;5,"Weekend","Weekday")</f>
        <v>Weekday</v>
      </c>
      <c r="I1360" t="str">
        <f>_xlfn.IFS(B1360&lt;=5,"Night (0-5)",B1360&lt;=9,"Morning peak (6-9)",B1360&lt;=15,"Midday (10-15)",B1360&lt;=19,"Evening peak (16-19)",TRUE,"Late evening (20-23)")</f>
        <v>Midday (10-15)</v>
      </c>
    </row>
    <row r="1361" spans="1:9">
      <c r="A1361" s="32">
        <v>41786</v>
      </c>
      <c r="B1361">
        <v>15</v>
      </c>
      <c r="C1361">
        <v>1157</v>
      </c>
      <c r="D1361" t="s">
        <v>303</v>
      </c>
      <c r="E1361">
        <f>YEAR(A1361)</f>
        <v>2014</v>
      </c>
      <c r="F1361" s="33">
        <f>DATE(YEAR(A1361),MONTH(A1361),1)</f>
        <v>41760.0</v>
      </c>
      <c r="G1361" t="str">
        <f>CHOOSE(WEEKDAY(A1361,2),"Mon","Tue","Wed","Thu","Fri","Sat","Sun")</f>
        <v>Tue</v>
      </c>
      <c r="H1361" t="str">
        <f>IF(WEEKDAY(A1361,2)&gt;5,"Weekend","Weekday")</f>
        <v>Weekday</v>
      </c>
      <c r="I1361" t="str">
        <f>_xlfn.IFS(B1361&lt;=5,"Night (0-5)",B1361&lt;=9,"Morning peak (6-9)",B1361&lt;=15,"Midday (10-15)",B1361&lt;=19,"Evening peak (16-19)",TRUE,"Late evening (20-23)")</f>
        <v>Midday (10-15)</v>
      </c>
    </row>
    <row r="1362" spans="1:9">
      <c r="A1362" s="32">
        <v>41786</v>
      </c>
      <c r="B1362">
        <v>16</v>
      </c>
      <c r="C1362">
        <v>1434</v>
      </c>
      <c r="D1362" t="s">
        <v>303</v>
      </c>
      <c r="E1362">
        <f>YEAR(A1362)</f>
        <v>2014</v>
      </c>
      <c r="F1362" s="33">
        <f>DATE(YEAR(A1362),MONTH(A1362),1)</f>
        <v>41760.0</v>
      </c>
      <c r="G1362" t="str">
        <f>CHOOSE(WEEKDAY(A1362,2),"Mon","Tue","Wed","Thu","Fri","Sat","Sun")</f>
        <v>Tue</v>
      </c>
      <c r="H1362" t="str">
        <f>IF(WEEKDAY(A1362,2)&gt;5,"Weekend","Weekday")</f>
        <v>Weekday</v>
      </c>
      <c r="I1362" t="str">
        <f>_xlfn.IFS(B1362&lt;=5,"Night (0-5)",B1362&lt;=9,"Morning peak (6-9)",B1362&lt;=15,"Midday (10-15)",B1362&lt;=19,"Evening peak (16-19)",TRUE,"Late evening (20-23)")</f>
        <v>Evening peak (16-19)</v>
      </c>
    </row>
    <row r="1363" spans="1:9">
      <c r="A1363" s="32">
        <v>41786</v>
      </c>
      <c r="B1363">
        <v>17</v>
      </c>
      <c r="C1363">
        <v>1479</v>
      </c>
      <c r="D1363" t="s">
        <v>303</v>
      </c>
      <c r="E1363">
        <f>YEAR(A1363)</f>
        <v>2014</v>
      </c>
      <c r="F1363" s="33">
        <f>DATE(YEAR(A1363),MONTH(A1363),1)</f>
        <v>41760.0</v>
      </c>
      <c r="G1363" t="str">
        <f>CHOOSE(WEEKDAY(A1363,2),"Mon","Tue","Wed","Thu","Fri","Sat","Sun")</f>
        <v>Tue</v>
      </c>
      <c r="H1363" t="str">
        <f>IF(WEEKDAY(A1363,2)&gt;5,"Weekend","Weekday")</f>
        <v>Weekday</v>
      </c>
      <c r="I1363" t="str">
        <f>_xlfn.IFS(B1363&lt;=5,"Night (0-5)",B1363&lt;=9,"Morning peak (6-9)",B1363&lt;=15,"Midday (10-15)",B1363&lt;=19,"Evening peak (16-19)",TRUE,"Late evening (20-23)")</f>
        <v>Evening peak (16-19)</v>
      </c>
    </row>
    <row r="1364" spans="1:9">
      <c r="A1364" s="32">
        <v>41786</v>
      </c>
      <c r="B1364">
        <v>18</v>
      </c>
      <c r="C1364">
        <v>1197</v>
      </c>
      <c r="D1364" t="s">
        <v>303</v>
      </c>
      <c r="E1364">
        <f>YEAR(A1364)</f>
        <v>2014</v>
      </c>
      <c r="F1364" s="33">
        <f>DATE(YEAR(A1364),MONTH(A1364),1)</f>
        <v>41760.0</v>
      </c>
      <c r="G1364" t="str">
        <f>CHOOSE(WEEKDAY(A1364,2),"Mon","Tue","Wed","Thu","Fri","Sat","Sun")</f>
        <v>Tue</v>
      </c>
      <c r="H1364" t="str">
        <f>IF(WEEKDAY(A1364,2)&gt;5,"Weekend","Weekday")</f>
        <v>Weekday</v>
      </c>
      <c r="I1364" t="str">
        <f>_xlfn.IFS(B1364&lt;=5,"Night (0-5)",B1364&lt;=9,"Morning peak (6-9)",B1364&lt;=15,"Midday (10-15)",B1364&lt;=19,"Evening peak (16-19)",TRUE,"Late evening (20-23)")</f>
        <v>Evening peak (16-19)</v>
      </c>
    </row>
    <row r="1365" spans="1:9">
      <c r="A1365" s="32">
        <v>41786</v>
      </c>
      <c r="B1365">
        <v>19</v>
      </c>
      <c r="C1365">
        <v>925</v>
      </c>
      <c r="D1365" t="s">
        <v>303</v>
      </c>
      <c r="E1365">
        <f>YEAR(A1365)</f>
        <v>2014</v>
      </c>
      <c r="F1365" s="33">
        <f>DATE(YEAR(A1365),MONTH(A1365),1)</f>
        <v>41760.0</v>
      </c>
      <c r="G1365" t="str">
        <f>CHOOSE(WEEKDAY(A1365,2),"Mon","Tue","Wed","Thu","Fri","Sat","Sun")</f>
        <v>Tue</v>
      </c>
      <c r="H1365" t="str">
        <f>IF(WEEKDAY(A1365,2)&gt;5,"Weekend","Weekday")</f>
        <v>Weekday</v>
      </c>
      <c r="I1365" t="str">
        <f>_xlfn.IFS(B1365&lt;=5,"Night (0-5)",B1365&lt;=9,"Morning peak (6-9)",B1365&lt;=15,"Midday (10-15)",B1365&lt;=19,"Evening peak (16-19)",TRUE,"Late evening (20-23)")</f>
        <v>Evening peak (16-19)</v>
      </c>
    </row>
    <row r="1366" spans="1:9">
      <c r="A1366" s="32">
        <v>41786</v>
      </c>
      <c r="B1366">
        <v>20</v>
      </c>
      <c r="C1366">
        <v>919</v>
      </c>
      <c r="D1366" t="s">
        <v>303</v>
      </c>
      <c r="E1366">
        <f>YEAR(A1366)</f>
        <v>2014</v>
      </c>
      <c r="F1366" s="33">
        <f>DATE(YEAR(A1366),MONTH(A1366),1)</f>
        <v>41760.0</v>
      </c>
      <c r="G1366" t="str">
        <f>CHOOSE(WEEKDAY(A1366,2),"Mon","Tue","Wed","Thu","Fri","Sat","Sun")</f>
        <v>Tue</v>
      </c>
      <c r="H1366" t="str">
        <f>IF(WEEKDAY(A1366,2)&gt;5,"Weekend","Weekday")</f>
        <v>Weekday</v>
      </c>
      <c r="I1366" t="str">
        <f>_xlfn.IFS(B1366&lt;=5,"Night (0-5)",B1366&lt;=9,"Morning peak (6-9)",B1366&lt;=15,"Midday (10-15)",B1366&lt;=19,"Evening peak (16-19)",TRUE,"Late evening (20-23)")</f>
        <v>Late evening (20-23)</v>
      </c>
    </row>
    <row r="1367" spans="1:9">
      <c r="A1367" s="32">
        <v>41786</v>
      </c>
      <c r="B1367">
        <v>21</v>
      </c>
      <c r="C1367">
        <v>756</v>
      </c>
      <c r="D1367" t="s">
        <v>303</v>
      </c>
      <c r="E1367">
        <f>YEAR(A1367)</f>
        <v>2014</v>
      </c>
      <c r="F1367" s="33">
        <f>DATE(YEAR(A1367),MONTH(A1367),1)</f>
        <v>41760.0</v>
      </c>
      <c r="G1367" t="str">
        <f>CHOOSE(WEEKDAY(A1367,2),"Mon","Tue","Wed","Thu","Fri","Sat","Sun")</f>
        <v>Tue</v>
      </c>
      <c r="H1367" t="str">
        <f>IF(WEEKDAY(A1367,2)&gt;5,"Weekend","Weekday")</f>
        <v>Weekday</v>
      </c>
      <c r="I1367" t="str">
        <f>_xlfn.IFS(B1367&lt;=5,"Night (0-5)",B1367&lt;=9,"Morning peak (6-9)",B1367&lt;=15,"Midday (10-15)",B1367&lt;=19,"Evening peak (16-19)",TRUE,"Late evening (20-23)")</f>
        <v>Late evening (20-23)</v>
      </c>
    </row>
    <row r="1368" spans="1:9">
      <c r="A1368" s="32">
        <v>41786</v>
      </c>
      <c r="B1368">
        <v>22</v>
      </c>
      <c r="C1368">
        <v>611</v>
      </c>
      <c r="D1368" t="s">
        <v>303</v>
      </c>
      <c r="E1368">
        <f>YEAR(A1368)</f>
        <v>2014</v>
      </c>
      <c r="F1368" s="33">
        <f>DATE(YEAR(A1368),MONTH(A1368),1)</f>
        <v>41760.0</v>
      </c>
      <c r="G1368" t="str">
        <f>CHOOSE(WEEKDAY(A1368,2),"Mon","Tue","Wed","Thu","Fri","Sat","Sun")</f>
        <v>Tue</v>
      </c>
      <c r="H1368" t="str">
        <f>IF(WEEKDAY(A1368,2)&gt;5,"Weekend","Weekday")</f>
        <v>Weekday</v>
      </c>
      <c r="I1368" t="str">
        <f>_xlfn.IFS(B1368&lt;=5,"Night (0-5)",B1368&lt;=9,"Morning peak (6-9)",B1368&lt;=15,"Midday (10-15)",B1368&lt;=19,"Evening peak (16-19)",TRUE,"Late evening (20-23)")</f>
        <v>Late evening (20-23)</v>
      </c>
    </row>
    <row r="1369" spans="1:9">
      <c r="A1369" s="32">
        <v>41786</v>
      </c>
      <c r="B1369">
        <v>23</v>
      </c>
      <c r="C1369">
        <v>358</v>
      </c>
      <c r="D1369" t="s">
        <v>303</v>
      </c>
      <c r="E1369">
        <f>YEAR(A1369)</f>
        <v>2014</v>
      </c>
      <c r="F1369" s="33">
        <f>DATE(YEAR(A1369),MONTH(A1369),1)</f>
        <v>41760.0</v>
      </c>
      <c r="G1369" t="str">
        <f>CHOOSE(WEEKDAY(A1369,2),"Mon","Tue","Wed","Thu","Fri","Sat","Sun")</f>
        <v>Tue</v>
      </c>
      <c r="H1369" t="str">
        <f>IF(WEEKDAY(A1369,2)&gt;5,"Weekend","Weekday")</f>
        <v>Weekday</v>
      </c>
      <c r="I1369" t="str">
        <f>_xlfn.IFS(B1369&lt;=5,"Night (0-5)",B1369&lt;=9,"Morning peak (6-9)",B1369&lt;=15,"Midday (10-15)",B1369&lt;=19,"Evening peak (16-19)",TRUE,"Late evening (20-23)")</f>
        <v>Late evening (20-23)</v>
      </c>
    </row>
    <row r="1370" spans="1:9">
      <c r="A1370" s="32">
        <v>41787</v>
      </c>
      <c r="B1370">
        <v>0</v>
      </c>
      <c r="C1370">
        <v>187</v>
      </c>
      <c r="D1370" t="s">
        <v>303</v>
      </c>
      <c r="E1370">
        <f>YEAR(A1370)</f>
        <v>2014</v>
      </c>
      <c r="F1370" s="33">
        <f>DATE(YEAR(A1370),MONTH(A1370),1)</f>
        <v>41760.0</v>
      </c>
      <c r="G1370" t="str">
        <f>CHOOSE(WEEKDAY(A1370,2),"Mon","Tue","Wed","Thu","Fri","Sat","Sun")</f>
        <v>Wed</v>
      </c>
      <c r="H1370" t="str">
        <f>IF(WEEKDAY(A1370,2)&gt;5,"Weekend","Weekday")</f>
        <v>Weekday</v>
      </c>
      <c r="I1370" t="str">
        <f>_xlfn.IFS(B1370&lt;=5,"Night (0-5)",B1370&lt;=9,"Morning peak (6-9)",B1370&lt;=15,"Midday (10-15)",B1370&lt;=19,"Evening peak (16-19)",TRUE,"Late evening (20-23)")</f>
        <v>Night (0-5)</v>
      </c>
    </row>
    <row r="1371" spans="1:9">
      <c r="A1371" s="32">
        <v>41787</v>
      </c>
      <c r="B1371">
        <v>1</v>
      </c>
      <c r="C1371">
        <v>104</v>
      </c>
      <c r="D1371" t="s">
        <v>303</v>
      </c>
      <c r="E1371">
        <f>YEAR(A1371)</f>
        <v>2014</v>
      </c>
      <c r="F1371" s="33">
        <f>DATE(YEAR(A1371),MONTH(A1371),1)</f>
        <v>41760.0</v>
      </c>
      <c r="G1371" t="str">
        <f>CHOOSE(WEEKDAY(A1371,2),"Mon","Tue","Wed","Thu","Fri","Sat","Sun")</f>
        <v>Wed</v>
      </c>
      <c r="H1371" t="str">
        <f>IF(WEEKDAY(A1371,2)&gt;5,"Weekend","Weekday")</f>
        <v>Weekday</v>
      </c>
      <c r="I1371" t="str">
        <f>_xlfn.IFS(B1371&lt;=5,"Night (0-5)",B1371&lt;=9,"Morning peak (6-9)",B1371&lt;=15,"Midday (10-15)",B1371&lt;=19,"Evening peak (16-19)",TRUE,"Late evening (20-23)")</f>
        <v>Night (0-5)</v>
      </c>
    </row>
    <row r="1372" spans="1:9">
      <c r="A1372" s="32">
        <v>41787</v>
      </c>
      <c r="B1372">
        <v>2</v>
      </c>
      <c r="C1372">
        <v>78</v>
      </c>
      <c r="D1372" t="s">
        <v>303</v>
      </c>
      <c r="E1372">
        <f>YEAR(A1372)</f>
        <v>2014</v>
      </c>
      <c r="F1372" s="33">
        <f>DATE(YEAR(A1372),MONTH(A1372),1)</f>
        <v>41760.0</v>
      </c>
      <c r="G1372" t="str">
        <f>CHOOSE(WEEKDAY(A1372,2),"Mon","Tue","Wed","Thu","Fri","Sat","Sun")</f>
        <v>Wed</v>
      </c>
      <c r="H1372" t="str">
        <f>IF(WEEKDAY(A1372,2)&gt;5,"Weekend","Weekday")</f>
        <v>Weekday</v>
      </c>
      <c r="I1372" t="str">
        <f>_xlfn.IFS(B1372&lt;=5,"Night (0-5)",B1372&lt;=9,"Morning peak (6-9)",B1372&lt;=15,"Midday (10-15)",B1372&lt;=19,"Evening peak (16-19)",TRUE,"Late evening (20-23)")</f>
        <v>Night (0-5)</v>
      </c>
    </row>
    <row r="1373" spans="1:9">
      <c r="A1373" s="32">
        <v>41787</v>
      </c>
      <c r="B1373">
        <v>3</v>
      </c>
      <c r="C1373">
        <v>127</v>
      </c>
      <c r="D1373" t="s">
        <v>303</v>
      </c>
      <c r="E1373">
        <f>YEAR(A1373)</f>
        <v>2014</v>
      </c>
      <c r="F1373" s="33">
        <f>DATE(YEAR(A1373),MONTH(A1373),1)</f>
        <v>41760.0</v>
      </c>
      <c r="G1373" t="str">
        <f>CHOOSE(WEEKDAY(A1373,2),"Mon","Tue","Wed","Thu","Fri","Sat","Sun")</f>
        <v>Wed</v>
      </c>
      <c r="H1373" t="str">
        <f>IF(WEEKDAY(A1373,2)&gt;5,"Weekend","Weekday")</f>
        <v>Weekday</v>
      </c>
      <c r="I1373" t="str">
        <f>_xlfn.IFS(B1373&lt;=5,"Night (0-5)",B1373&lt;=9,"Morning peak (6-9)",B1373&lt;=15,"Midday (10-15)",B1373&lt;=19,"Evening peak (16-19)",TRUE,"Late evening (20-23)")</f>
        <v>Night (0-5)</v>
      </c>
    </row>
    <row r="1374" spans="1:9">
      <c r="A1374" s="32">
        <v>41787</v>
      </c>
      <c r="B1374">
        <v>4</v>
      </c>
      <c r="C1374">
        <v>196</v>
      </c>
      <c r="D1374" t="s">
        <v>303</v>
      </c>
      <c r="E1374">
        <f>YEAR(A1374)</f>
        <v>2014</v>
      </c>
      <c r="F1374" s="33">
        <f>DATE(YEAR(A1374),MONTH(A1374),1)</f>
        <v>41760.0</v>
      </c>
      <c r="G1374" t="str">
        <f>CHOOSE(WEEKDAY(A1374,2),"Mon","Tue","Wed","Thu","Fri","Sat","Sun")</f>
        <v>Wed</v>
      </c>
      <c r="H1374" t="str">
        <f>IF(WEEKDAY(A1374,2)&gt;5,"Weekend","Weekday")</f>
        <v>Weekday</v>
      </c>
      <c r="I1374" t="str">
        <f>_xlfn.IFS(B1374&lt;=5,"Night (0-5)",B1374&lt;=9,"Morning peak (6-9)",B1374&lt;=15,"Midday (10-15)",B1374&lt;=19,"Evening peak (16-19)",TRUE,"Late evening (20-23)")</f>
        <v>Night (0-5)</v>
      </c>
    </row>
    <row r="1375" spans="1:9">
      <c r="A1375" s="32">
        <v>41787</v>
      </c>
      <c r="B1375">
        <v>5</v>
      </c>
      <c r="C1375">
        <v>410</v>
      </c>
      <c r="D1375" t="s">
        <v>303</v>
      </c>
      <c r="E1375">
        <f>YEAR(A1375)</f>
        <v>2014</v>
      </c>
      <c r="F1375" s="33">
        <f>DATE(YEAR(A1375),MONTH(A1375),1)</f>
        <v>41760.0</v>
      </c>
      <c r="G1375" t="str">
        <f>CHOOSE(WEEKDAY(A1375,2),"Mon","Tue","Wed","Thu","Fri","Sat","Sun")</f>
        <v>Wed</v>
      </c>
      <c r="H1375" t="str">
        <f>IF(WEEKDAY(A1375,2)&gt;5,"Weekend","Weekday")</f>
        <v>Weekday</v>
      </c>
      <c r="I1375" t="str">
        <f>_xlfn.IFS(B1375&lt;=5,"Night (0-5)",B1375&lt;=9,"Morning peak (6-9)",B1375&lt;=15,"Midday (10-15)",B1375&lt;=19,"Evening peak (16-19)",TRUE,"Late evening (20-23)")</f>
        <v>Night (0-5)</v>
      </c>
    </row>
    <row r="1376" spans="1:9">
      <c r="A1376" s="32">
        <v>41787</v>
      </c>
      <c r="B1376">
        <v>6</v>
      </c>
      <c r="C1376">
        <v>873</v>
      </c>
      <c r="D1376" t="s">
        <v>303</v>
      </c>
      <c r="E1376">
        <f>YEAR(A1376)</f>
        <v>2014</v>
      </c>
      <c r="F1376" s="33">
        <f>DATE(YEAR(A1376),MONTH(A1376),1)</f>
        <v>41760.0</v>
      </c>
      <c r="G1376" t="str">
        <f>CHOOSE(WEEKDAY(A1376,2),"Mon","Tue","Wed","Thu","Fri","Sat","Sun")</f>
        <v>Wed</v>
      </c>
      <c r="H1376" t="str">
        <f>IF(WEEKDAY(A1376,2)&gt;5,"Weekend","Weekday")</f>
        <v>Weekday</v>
      </c>
      <c r="I1376" t="str">
        <f>_xlfn.IFS(B1376&lt;=5,"Night (0-5)",B1376&lt;=9,"Morning peak (6-9)",B1376&lt;=15,"Midday (10-15)",B1376&lt;=19,"Evening peak (16-19)",TRUE,"Late evening (20-23)")</f>
        <v>Morning peak (6-9)</v>
      </c>
    </row>
    <row r="1377" spans="1:9">
      <c r="A1377" s="32">
        <v>41787</v>
      </c>
      <c r="B1377">
        <v>7</v>
      </c>
      <c r="C1377">
        <v>1243</v>
      </c>
      <c r="D1377" t="s">
        <v>303</v>
      </c>
      <c r="E1377">
        <f>YEAR(A1377)</f>
        <v>2014</v>
      </c>
      <c r="F1377" s="33">
        <f>DATE(YEAR(A1377),MONTH(A1377),1)</f>
        <v>41760.0</v>
      </c>
      <c r="G1377" t="str">
        <f>CHOOSE(WEEKDAY(A1377,2),"Mon","Tue","Wed","Thu","Fri","Sat","Sun")</f>
        <v>Wed</v>
      </c>
      <c r="H1377" t="str">
        <f>IF(WEEKDAY(A1377,2)&gt;5,"Weekend","Weekday")</f>
        <v>Weekday</v>
      </c>
      <c r="I1377" t="str">
        <f>_xlfn.IFS(B1377&lt;=5,"Night (0-5)",B1377&lt;=9,"Morning peak (6-9)",B1377&lt;=15,"Midday (10-15)",B1377&lt;=19,"Evening peak (16-19)",TRUE,"Late evening (20-23)")</f>
        <v>Morning peak (6-9)</v>
      </c>
    </row>
    <row r="1378" spans="1:9">
      <c r="A1378" s="32">
        <v>41787</v>
      </c>
      <c r="B1378">
        <v>8</v>
      </c>
      <c r="C1378">
        <v>981</v>
      </c>
      <c r="D1378" t="s">
        <v>303</v>
      </c>
      <c r="E1378">
        <f>YEAR(A1378)</f>
        <v>2014</v>
      </c>
      <c r="F1378" s="33">
        <f>DATE(YEAR(A1378),MONTH(A1378),1)</f>
        <v>41760.0</v>
      </c>
      <c r="G1378" t="str">
        <f>CHOOSE(WEEKDAY(A1378,2),"Mon","Tue","Wed","Thu","Fri","Sat","Sun")</f>
        <v>Wed</v>
      </c>
      <c r="H1378" t="str">
        <f>IF(WEEKDAY(A1378,2)&gt;5,"Weekend","Weekday")</f>
        <v>Weekday</v>
      </c>
      <c r="I1378" t="str">
        <f>_xlfn.IFS(B1378&lt;=5,"Night (0-5)",B1378&lt;=9,"Morning peak (6-9)",B1378&lt;=15,"Midday (10-15)",B1378&lt;=19,"Evening peak (16-19)",TRUE,"Late evening (20-23)")</f>
        <v>Morning peak (6-9)</v>
      </c>
    </row>
    <row r="1379" spans="1:9">
      <c r="A1379" s="32">
        <v>41787</v>
      </c>
      <c r="B1379">
        <v>9</v>
      </c>
      <c r="C1379">
        <v>716</v>
      </c>
      <c r="D1379" t="s">
        <v>303</v>
      </c>
      <c r="E1379">
        <f>YEAR(A1379)</f>
        <v>2014</v>
      </c>
      <c r="F1379" s="33">
        <f>DATE(YEAR(A1379),MONTH(A1379),1)</f>
        <v>41760.0</v>
      </c>
      <c r="G1379" t="str">
        <f>CHOOSE(WEEKDAY(A1379,2),"Mon","Tue","Wed","Thu","Fri","Sat","Sun")</f>
        <v>Wed</v>
      </c>
      <c r="H1379" t="str">
        <f>IF(WEEKDAY(A1379,2)&gt;5,"Weekend","Weekday")</f>
        <v>Weekday</v>
      </c>
      <c r="I1379" t="str">
        <f>_xlfn.IFS(B1379&lt;=5,"Night (0-5)",B1379&lt;=9,"Morning peak (6-9)",B1379&lt;=15,"Midday (10-15)",B1379&lt;=19,"Evening peak (16-19)",TRUE,"Late evening (20-23)")</f>
        <v>Morning peak (6-9)</v>
      </c>
    </row>
    <row r="1380" spans="1:9">
      <c r="A1380" s="32">
        <v>41787</v>
      </c>
      <c r="B1380">
        <v>10</v>
      </c>
      <c r="C1380">
        <v>687</v>
      </c>
      <c r="D1380" t="s">
        <v>303</v>
      </c>
      <c r="E1380">
        <f>YEAR(A1380)</f>
        <v>2014</v>
      </c>
      <c r="F1380" s="33">
        <f>DATE(YEAR(A1380),MONTH(A1380),1)</f>
        <v>41760.0</v>
      </c>
      <c r="G1380" t="str">
        <f>CHOOSE(WEEKDAY(A1380,2),"Mon","Tue","Wed","Thu","Fri","Sat","Sun")</f>
        <v>Wed</v>
      </c>
      <c r="H1380" t="str">
        <f>IF(WEEKDAY(A1380,2)&gt;5,"Weekend","Weekday")</f>
        <v>Weekday</v>
      </c>
      <c r="I1380" t="str">
        <f>_xlfn.IFS(B1380&lt;=5,"Night (0-5)",B1380&lt;=9,"Morning peak (6-9)",B1380&lt;=15,"Midday (10-15)",B1380&lt;=19,"Evening peak (16-19)",TRUE,"Late evening (20-23)")</f>
        <v>Midday (10-15)</v>
      </c>
    </row>
    <row r="1381" spans="1:9">
      <c r="A1381" s="32">
        <v>41787</v>
      </c>
      <c r="B1381">
        <v>11</v>
      </c>
      <c r="C1381">
        <v>730</v>
      </c>
      <c r="D1381" t="s">
        <v>303</v>
      </c>
      <c r="E1381">
        <f>YEAR(A1381)</f>
        <v>2014</v>
      </c>
      <c r="F1381" s="33">
        <f>DATE(YEAR(A1381),MONTH(A1381),1)</f>
        <v>41760.0</v>
      </c>
      <c r="G1381" t="str">
        <f>CHOOSE(WEEKDAY(A1381,2),"Mon","Tue","Wed","Thu","Fri","Sat","Sun")</f>
        <v>Wed</v>
      </c>
      <c r="H1381" t="str">
        <f>IF(WEEKDAY(A1381,2)&gt;5,"Weekend","Weekday")</f>
        <v>Weekday</v>
      </c>
      <c r="I1381" t="str">
        <f>_xlfn.IFS(B1381&lt;=5,"Night (0-5)",B1381&lt;=9,"Morning peak (6-9)",B1381&lt;=15,"Midday (10-15)",B1381&lt;=19,"Evening peak (16-19)",TRUE,"Late evening (20-23)")</f>
        <v>Midday (10-15)</v>
      </c>
    </row>
    <row r="1382" spans="1:9">
      <c r="A1382" s="32">
        <v>41787</v>
      </c>
      <c r="B1382">
        <v>12</v>
      </c>
      <c r="C1382">
        <v>690</v>
      </c>
      <c r="D1382" t="s">
        <v>303</v>
      </c>
      <c r="E1382">
        <f>YEAR(A1382)</f>
        <v>2014</v>
      </c>
      <c r="F1382" s="33">
        <f>DATE(YEAR(A1382),MONTH(A1382),1)</f>
        <v>41760.0</v>
      </c>
      <c r="G1382" t="str">
        <f>CHOOSE(WEEKDAY(A1382,2),"Mon","Tue","Wed","Thu","Fri","Sat","Sun")</f>
        <v>Wed</v>
      </c>
      <c r="H1382" t="str">
        <f>IF(WEEKDAY(A1382,2)&gt;5,"Weekend","Weekday")</f>
        <v>Weekday</v>
      </c>
      <c r="I1382" t="str">
        <f>_xlfn.IFS(B1382&lt;=5,"Night (0-5)",B1382&lt;=9,"Morning peak (6-9)",B1382&lt;=15,"Midday (10-15)",B1382&lt;=19,"Evening peak (16-19)",TRUE,"Late evening (20-23)")</f>
        <v>Midday (10-15)</v>
      </c>
    </row>
    <row r="1383" spans="1:9">
      <c r="A1383" s="32">
        <v>41787</v>
      </c>
      <c r="B1383">
        <v>13</v>
      </c>
      <c r="C1383">
        <v>892</v>
      </c>
      <c r="D1383" t="s">
        <v>303</v>
      </c>
      <c r="E1383">
        <f>YEAR(A1383)</f>
        <v>2014</v>
      </c>
      <c r="F1383" s="33">
        <f>DATE(YEAR(A1383),MONTH(A1383),1)</f>
        <v>41760.0</v>
      </c>
      <c r="G1383" t="str">
        <f>CHOOSE(WEEKDAY(A1383,2),"Mon","Tue","Wed","Thu","Fri","Sat","Sun")</f>
        <v>Wed</v>
      </c>
      <c r="H1383" t="str">
        <f>IF(WEEKDAY(A1383,2)&gt;5,"Weekend","Weekday")</f>
        <v>Weekday</v>
      </c>
      <c r="I1383" t="str">
        <f>_xlfn.IFS(B1383&lt;=5,"Night (0-5)",B1383&lt;=9,"Morning peak (6-9)",B1383&lt;=15,"Midday (10-15)",B1383&lt;=19,"Evening peak (16-19)",TRUE,"Late evening (20-23)")</f>
        <v>Midday (10-15)</v>
      </c>
    </row>
    <row r="1384" spans="1:9">
      <c r="A1384" s="32">
        <v>41787</v>
      </c>
      <c r="B1384">
        <v>14</v>
      </c>
      <c r="C1384">
        <v>1170</v>
      </c>
      <c r="D1384" t="s">
        <v>303</v>
      </c>
      <c r="E1384">
        <f>YEAR(A1384)</f>
        <v>2014</v>
      </c>
      <c r="F1384" s="33">
        <f>DATE(YEAR(A1384),MONTH(A1384),1)</f>
        <v>41760.0</v>
      </c>
      <c r="G1384" t="str">
        <f>CHOOSE(WEEKDAY(A1384,2),"Mon","Tue","Wed","Thu","Fri","Sat","Sun")</f>
        <v>Wed</v>
      </c>
      <c r="H1384" t="str">
        <f>IF(WEEKDAY(A1384,2)&gt;5,"Weekend","Weekday")</f>
        <v>Weekday</v>
      </c>
      <c r="I1384" t="str">
        <f>_xlfn.IFS(B1384&lt;=5,"Night (0-5)",B1384&lt;=9,"Morning peak (6-9)",B1384&lt;=15,"Midday (10-15)",B1384&lt;=19,"Evening peak (16-19)",TRUE,"Late evening (20-23)")</f>
        <v>Midday (10-15)</v>
      </c>
    </row>
    <row r="1385" spans="1:9">
      <c r="A1385" s="32">
        <v>41787</v>
      </c>
      <c r="B1385">
        <v>15</v>
      </c>
      <c r="C1385">
        <v>1597</v>
      </c>
      <c r="D1385" t="s">
        <v>303</v>
      </c>
      <c r="E1385">
        <f>YEAR(A1385)</f>
        <v>2014</v>
      </c>
      <c r="F1385" s="33">
        <f>DATE(YEAR(A1385),MONTH(A1385),1)</f>
        <v>41760.0</v>
      </c>
      <c r="G1385" t="str">
        <f>CHOOSE(WEEKDAY(A1385,2),"Mon","Tue","Wed","Thu","Fri","Sat","Sun")</f>
        <v>Wed</v>
      </c>
      <c r="H1385" t="str">
        <f>IF(WEEKDAY(A1385,2)&gt;5,"Weekend","Weekday")</f>
        <v>Weekday</v>
      </c>
      <c r="I1385" t="str">
        <f>_xlfn.IFS(B1385&lt;=5,"Night (0-5)",B1385&lt;=9,"Morning peak (6-9)",B1385&lt;=15,"Midday (10-15)",B1385&lt;=19,"Evening peak (16-19)",TRUE,"Late evening (20-23)")</f>
        <v>Midday (10-15)</v>
      </c>
    </row>
    <row r="1386" spans="1:9">
      <c r="A1386" s="32">
        <v>41787</v>
      </c>
      <c r="B1386">
        <v>16</v>
      </c>
      <c r="C1386">
        <v>1969</v>
      </c>
      <c r="D1386" t="s">
        <v>303</v>
      </c>
      <c r="E1386">
        <f>YEAR(A1386)</f>
        <v>2014</v>
      </c>
      <c r="F1386" s="33">
        <f>DATE(YEAR(A1386),MONTH(A1386),1)</f>
        <v>41760.0</v>
      </c>
      <c r="G1386" t="str">
        <f>CHOOSE(WEEKDAY(A1386,2),"Mon","Tue","Wed","Thu","Fri","Sat","Sun")</f>
        <v>Wed</v>
      </c>
      <c r="H1386" t="str">
        <f>IF(WEEKDAY(A1386,2)&gt;5,"Weekend","Weekday")</f>
        <v>Weekday</v>
      </c>
      <c r="I1386" t="str">
        <f>_xlfn.IFS(B1386&lt;=5,"Night (0-5)",B1386&lt;=9,"Morning peak (6-9)",B1386&lt;=15,"Midday (10-15)",B1386&lt;=19,"Evening peak (16-19)",TRUE,"Late evening (20-23)")</f>
        <v>Evening peak (16-19)</v>
      </c>
    </row>
    <row r="1387" spans="1:9">
      <c r="A1387" s="32">
        <v>41787</v>
      </c>
      <c r="B1387">
        <v>17</v>
      </c>
      <c r="C1387">
        <v>2027</v>
      </c>
      <c r="D1387" t="s">
        <v>303</v>
      </c>
      <c r="E1387">
        <f>YEAR(A1387)</f>
        <v>2014</v>
      </c>
      <c r="F1387" s="33">
        <f>DATE(YEAR(A1387),MONTH(A1387),1)</f>
        <v>41760.0</v>
      </c>
      <c r="G1387" t="str">
        <f>CHOOSE(WEEKDAY(A1387,2),"Mon","Tue","Wed","Thu","Fri","Sat","Sun")</f>
        <v>Wed</v>
      </c>
      <c r="H1387" t="str">
        <f>IF(WEEKDAY(A1387,2)&gt;5,"Weekend","Weekday")</f>
        <v>Weekday</v>
      </c>
      <c r="I1387" t="str">
        <f>_xlfn.IFS(B1387&lt;=5,"Night (0-5)",B1387&lt;=9,"Morning peak (6-9)",B1387&lt;=15,"Midday (10-15)",B1387&lt;=19,"Evening peak (16-19)",TRUE,"Late evening (20-23)")</f>
        <v>Evening peak (16-19)</v>
      </c>
    </row>
    <row r="1388" spans="1:9">
      <c r="A1388" s="32">
        <v>41787</v>
      </c>
      <c r="B1388">
        <v>18</v>
      </c>
      <c r="C1388">
        <v>1771</v>
      </c>
      <c r="D1388" t="s">
        <v>303</v>
      </c>
      <c r="E1388">
        <f>YEAR(A1388)</f>
        <v>2014</v>
      </c>
      <c r="F1388" s="33">
        <f>DATE(YEAR(A1388),MONTH(A1388),1)</f>
        <v>41760.0</v>
      </c>
      <c r="G1388" t="str">
        <f>CHOOSE(WEEKDAY(A1388,2),"Mon","Tue","Wed","Thu","Fri","Sat","Sun")</f>
        <v>Wed</v>
      </c>
      <c r="H1388" t="str">
        <f>IF(WEEKDAY(A1388,2)&gt;5,"Weekend","Weekday")</f>
        <v>Weekday</v>
      </c>
      <c r="I1388" t="str">
        <f>_xlfn.IFS(B1388&lt;=5,"Night (0-5)",B1388&lt;=9,"Morning peak (6-9)",B1388&lt;=15,"Midday (10-15)",B1388&lt;=19,"Evening peak (16-19)",TRUE,"Late evening (20-23)")</f>
        <v>Evening peak (16-19)</v>
      </c>
    </row>
    <row r="1389" spans="1:9">
      <c r="A1389" s="32">
        <v>41787</v>
      </c>
      <c r="B1389">
        <v>19</v>
      </c>
      <c r="C1389">
        <v>1444</v>
      </c>
      <c r="D1389" t="s">
        <v>303</v>
      </c>
      <c r="E1389">
        <f>YEAR(A1389)</f>
        <v>2014</v>
      </c>
      <c r="F1389" s="33">
        <f>DATE(YEAR(A1389),MONTH(A1389),1)</f>
        <v>41760.0</v>
      </c>
      <c r="G1389" t="str">
        <f>CHOOSE(WEEKDAY(A1389,2),"Mon","Tue","Wed","Thu","Fri","Sat","Sun")</f>
        <v>Wed</v>
      </c>
      <c r="H1389" t="str">
        <f>IF(WEEKDAY(A1389,2)&gt;5,"Weekend","Weekday")</f>
        <v>Weekday</v>
      </c>
      <c r="I1389" t="str">
        <f>_xlfn.IFS(B1389&lt;=5,"Night (0-5)",B1389&lt;=9,"Morning peak (6-9)",B1389&lt;=15,"Midday (10-15)",B1389&lt;=19,"Evening peak (16-19)",TRUE,"Late evening (20-23)")</f>
        <v>Evening peak (16-19)</v>
      </c>
    </row>
    <row r="1390" spans="1:9">
      <c r="A1390" s="32">
        <v>41787</v>
      </c>
      <c r="B1390">
        <v>20</v>
      </c>
      <c r="C1390">
        <v>1487</v>
      </c>
      <c r="D1390" t="s">
        <v>303</v>
      </c>
      <c r="E1390">
        <f>YEAR(A1390)</f>
        <v>2014</v>
      </c>
      <c r="F1390" s="33">
        <f>DATE(YEAR(A1390),MONTH(A1390),1)</f>
        <v>41760.0</v>
      </c>
      <c r="G1390" t="str">
        <f>CHOOSE(WEEKDAY(A1390,2),"Mon","Tue","Wed","Thu","Fri","Sat","Sun")</f>
        <v>Wed</v>
      </c>
      <c r="H1390" t="str">
        <f>IF(WEEKDAY(A1390,2)&gt;5,"Weekend","Weekday")</f>
        <v>Weekday</v>
      </c>
      <c r="I1390" t="str">
        <f>_xlfn.IFS(B1390&lt;=5,"Night (0-5)",B1390&lt;=9,"Morning peak (6-9)",B1390&lt;=15,"Midday (10-15)",B1390&lt;=19,"Evening peak (16-19)",TRUE,"Late evening (20-23)")</f>
        <v>Late evening (20-23)</v>
      </c>
    </row>
    <row r="1391" spans="1:9">
      <c r="A1391" s="32">
        <v>41787</v>
      </c>
      <c r="B1391">
        <v>21</v>
      </c>
      <c r="C1391">
        <v>1411</v>
      </c>
      <c r="D1391" t="s">
        <v>303</v>
      </c>
      <c r="E1391">
        <f>YEAR(A1391)</f>
        <v>2014</v>
      </c>
      <c r="F1391" s="33">
        <f>DATE(YEAR(A1391),MONTH(A1391),1)</f>
        <v>41760.0</v>
      </c>
      <c r="G1391" t="str">
        <f>CHOOSE(WEEKDAY(A1391,2),"Mon","Tue","Wed","Thu","Fri","Sat","Sun")</f>
        <v>Wed</v>
      </c>
      <c r="H1391" t="str">
        <f>IF(WEEKDAY(A1391,2)&gt;5,"Weekend","Weekday")</f>
        <v>Weekday</v>
      </c>
      <c r="I1391" t="str">
        <f>_xlfn.IFS(B1391&lt;=5,"Night (0-5)",B1391&lt;=9,"Morning peak (6-9)",B1391&lt;=15,"Midday (10-15)",B1391&lt;=19,"Evening peak (16-19)",TRUE,"Late evening (20-23)")</f>
        <v>Late evening (20-23)</v>
      </c>
    </row>
    <row r="1392" spans="1:9">
      <c r="A1392" s="32">
        <v>41787</v>
      </c>
      <c r="B1392">
        <v>22</v>
      </c>
      <c r="C1392">
        <v>955</v>
      </c>
      <c r="D1392" t="s">
        <v>303</v>
      </c>
      <c r="E1392">
        <f>YEAR(A1392)</f>
        <v>2014</v>
      </c>
      <c r="F1392" s="33">
        <f>DATE(YEAR(A1392),MONTH(A1392),1)</f>
        <v>41760.0</v>
      </c>
      <c r="G1392" t="str">
        <f>CHOOSE(WEEKDAY(A1392,2),"Mon","Tue","Wed","Thu","Fri","Sat","Sun")</f>
        <v>Wed</v>
      </c>
      <c r="H1392" t="str">
        <f>IF(WEEKDAY(A1392,2)&gt;5,"Weekend","Weekday")</f>
        <v>Weekday</v>
      </c>
      <c r="I1392" t="str">
        <f>_xlfn.IFS(B1392&lt;=5,"Night (0-5)",B1392&lt;=9,"Morning peak (6-9)",B1392&lt;=15,"Midday (10-15)",B1392&lt;=19,"Evening peak (16-19)",TRUE,"Late evening (20-23)")</f>
        <v>Late evening (20-23)</v>
      </c>
    </row>
    <row r="1393" spans="1:9">
      <c r="A1393" s="32">
        <v>41787</v>
      </c>
      <c r="B1393">
        <v>23</v>
      </c>
      <c r="C1393">
        <v>495</v>
      </c>
      <c r="D1393" t="s">
        <v>303</v>
      </c>
      <c r="E1393">
        <f>YEAR(A1393)</f>
        <v>2014</v>
      </c>
      <c r="F1393" s="33">
        <f>DATE(YEAR(A1393),MONTH(A1393),1)</f>
        <v>41760.0</v>
      </c>
      <c r="G1393" t="str">
        <f>CHOOSE(WEEKDAY(A1393,2),"Mon","Tue","Wed","Thu","Fri","Sat","Sun")</f>
        <v>Wed</v>
      </c>
      <c r="H1393" t="str">
        <f>IF(WEEKDAY(A1393,2)&gt;5,"Weekend","Weekday")</f>
        <v>Weekday</v>
      </c>
      <c r="I1393" t="str">
        <f>_xlfn.IFS(B1393&lt;=5,"Night (0-5)",B1393&lt;=9,"Morning peak (6-9)",B1393&lt;=15,"Midday (10-15)",B1393&lt;=19,"Evening peak (16-19)",TRUE,"Late evening (20-23)")</f>
        <v>Late evening (20-23)</v>
      </c>
    </row>
    <row r="1394" spans="1:9">
      <c r="A1394" s="32">
        <v>41788</v>
      </c>
      <c r="B1394">
        <v>0</v>
      </c>
      <c r="C1394">
        <v>243</v>
      </c>
      <c r="D1394" t="s">
        <v>303</v>
      </c>
      <c r="E1394">
        <f>YEAR(A1394)</f>
        <v>2014</v>
      </c>
      <c r="F1394" s="33">
        <f>DATE(YEAR(A1394),MONTH(A1394),1)</f>
        <v>41760.0</v>
      </c>
      <c r="G1394" t="str">
        <f>CHOOSE(WEEKDAY(A1394,2),"Mon","Tue","Wed","Thu","Fri","Sat","Sun")</f>
        <v>Thu</v>
      </c>
      <c r="H1394" t="str">
        <f>IF(WEEKDAY(A1394,2)&gt;5,"Weekend","Weekday")</f>
        <v>Weekday</v>
      </c>
      <c r="I1394" t="str">
        <f>_xlfn.IFS(B1394&lt;=5,"Night (0-5)",B1394&lt;=9,"Morning peak (6-9)",B1394&lt;=15,"Midday (10-15)",B1394&lt;=19,"Evening peak (16-19)",TRUE,"Late evening (20-23)")</f>
        <v>Night (0-5)</v>
      </c>
    </row>
    <row r="1395" spans="1:9">
      <c r="A1395" s="32">
        <v>41788</v>
      </c>
      <c r="B1395">
        <v>1</v>
      </c>
      <c r="C1395">
        <v>130</v>
      </c>
      <c r="D1395" t="s">
        <v>303</v>
      </c>
      <c r="E1395">
        <f>YEAR(A1395)</f>
        <v>2014</v>
      </c>
      <c r="F1395" s="33">
        <f>DATE(YEAR(A1395),MONTH(A1395),1)</f>
        <v>41760.0</v>
      </c>
      <c r="G1395" t="str">
        <f>CHOOSE(WEEKDAY(A1395,2),"Mon","Tue","Wed","Thu","Fri","Sat","Sun")</f>
        <v>Thu</v>
      </c>
      <c r="H1395" t="str">
        <f>IF(WEEKDAY(A1395,2)&gt;5,"Weekend","Weekday")</f>
        <v>Weekday</v>
      </c>
      <c r="I1395" t="str">
        <f>_xlfn.IFS(B1395&lt;=5,"Night (0-5)",B1395&lt;=9,"Morning peak (6-9)",B1395&lt;=15,"Midday (10-15)",B1395&lt;=19,"Evening peak (16-19)",TRUE,"Late evening (20-23)")</f>
        <v>Night (0-5)</v>
      </c>
    </row>
    <row r="1396" spans="1:9">
      <c r="A1396" s="32">
        <v>41788</v>
      </c>
      <c r="B1396">
        <v>2</v>
      </c>
      <c r="C1396">
        <v>84</v>
      </c>
      <c r="D1396" t="s">
        <v>303</v>
      </c>
      <c r="E1396">
        <f>YEAR(A1396)</f>
        <v>2014</v>
      </c>
      <c r="F1396" s="33">
        <f>DATE(YEAR(A1396),MONTH(A1396),1)</f>
        <v>41760.0</v>
      </c>
      <c r="G1396" t="str">
        <f>CHOOSE(WEEKDAY(A1396,2),"Mon","Tue","Wed","Thu","Fri","Sat","Sun")</f>
        <v>Thu</v>
      </c>
      <c r="H1396" t="str">
        <f>IF(WEEKDAY(A1396,2)&gt;5,"Weekend","Weekday")</f>
        <v>Weekday</v>
      </c>
      <c r="I1396" t="str">
        <f>_xlfn.IFS(B1396&lt;=5,"Night (0-5)",B1396&lt;=9,"Morning peak (6-9)",B1396&lt;=15,"Midday (10-15)",B1396&lt;=19,"Evening peak (16-19)",TRUE,"Late evening (20-23)")</f>
        <v>Night (0-5)</v>
      </c>
    </row>
    <row r="1397" spans="1:9">
      <c r="A1397" s="32">
        <v>41788</v>
      </c>
      <c r="B1397">
        <v>3</v>
      </c>
      <c r="C1397">
        <v>125</v>
      </c>
      <c r="D1397" t="s">
        <v>303</v>
      </c>
      <c r="E1397">
        <f>YEAR(A1397)</f>
        <v>2014</v>
      </c>
      <c r="F1397" s="33">
        <f>DATE(YEAR(A1397),MONTH(A1397),1)</f>
        <v>41760.0</v>
      </c>
      <c r="G1397" t="str">
        <f>CHOOSE(WEEKDAY(A1397,2),"Mon","Tue","Wed","Thu","Fri","Sat","Sun")</f>
        <v>Thu</v>
      </c>
      <c r="H1397" t="str">
        <f>IF(WEEKDAY(A1397,2)&gt;5,"Weekend","Weekday")</f>
        <v>Weekday</v>
      </c>
      <c r="I1397" t="str">
        <f>_xlfn.IFS(B1397&lt;=5,"Night (0-5)",B1397&lt;=9,"Morning peak (6-9)",B1397&lt;=15,"Midday (10-15)",B1397&lt;=19,"Evening peak (16-19)",TRUE,"Late evening (20-23)")</f>
        <v>Night (0-5)</v>
      </c>
    </row>
    <row r="1398" spans="1:9">
      <c r="A1398" s="32">
        <v>41788</v>
      </c>
      <c r="B1398">
        <v>4</v>
      </c>
      <c r="C1398">
        <v>212</v>
      </c>
      <c r="D1398" t="s">
        <v>303</v>
      </c>
      <c r="E1398">
        <f>YEAR(A1398)</f>
        <v>2014</v>
      </c>
      <c r="F1398" s="33">
        <f>DATE(YEAR(A1398),MONTH(A1398),1)</f>
        <v>41760.0</v>
      </c>
      <c r="G1398" t="str">
        <f>CHOOSE(WEEKDAY(A1398,2),"Mon","Tue","Wed","Thu","Fri","Sat","Sun")</f>
        <v>Thu</v>
      </c>
      <c r="H1398" t="str">
        <f>IF(WEEKDAY(A1398,2)&gt;5,"Weekend","Weekday")</f>
        <v>Weekday</v>
      </c>
      <c r="I1398" t="str">
        <f>_xlfn.IFS(B1398&lt;=5,"Night (0-5)",B1398&lt;=9,"Morning peak (6-9)",B1398&lt;=15,"Midday (10-15)",B1398&lt;=19,"Evening peak (16-19)",TRUE,"Late evening (20-23)")</f>
        <v>Night (0-5)</v>
      </c>
    </row>
    <row r="1399" spans="1:9">
      <c r="A1399" s="32">
        <v>41788</v>
      </c>
      <c r="B1399">
        <v>5</v>
      </c>
      <c r="C1399">
        <v>398</v>
      </c>
      <c r="D1399" t="s">
        <v>303</v>
      </c>
      <c r="E1399">
        <f>YEAR(A1399)</f>
        <v>2014</v>
      </c>
      <c r="F1399" s="33">
        <f>DATE(YEAR(A1399),MONTH(A1399),1)</f>
        <v>41760.0</v>
      </c>
      <c r="G1399" t="str">
        <f>CHOOSE(WEEKDAY(A1399,2),"Mon","Tue","Wed","Thu","Fri","Sat","Sun")</f>
        <v>Thu</v>
      </c>
      <c r="H1399" t="str">
        <f>IF(WEEKDAY(A1399,2)&gt;5,"Weekend","Weekday")</f>
        <v>Weekday</v>
      </c>
      <c r="I1399" t="str">
        <f>_xlfn.IFS(B1399&lt;=5,"Night (0-5)",B1399&lt;=9,"Morning peak (6-9)",B1399&lt;=15,"Midday (10-15)",B1399&lt;=19,"Evening peak (16-19)",TRUE,"Late evening (20-23)")</f>
        <v>Night (0-5)</v>
      </c>
    </row>
    <row r="1400" spans="1:9">
      <c r="A1400" s="32">
        <v>41788</v>
      </c>
      <c r="B1400">
        <v>6</v>
      </c>
      <c r="C1400">
        <v>912</v>
      </c>
      <c r="D1400" t="s">
        <v>303</v>
      </c>
      <c r="E1400">
        <f>YEAR(A1400)</f>
        <v>2014</v>
      </c>
      <c r="F1400" s="33">
        <f>DATE(YEAR(A1400),MONTH(A1400),1)</f>
        <v>41760.0</v>
      </c>
      <c r="G1400" t="str">
        <f>CHOOSE(WEEKDAY(A1400,2),"Mon","Tue","Wed","Thu","Fri","Sat","Sun")</f>
        <v>Thu</v>
      </c>
      <c r="H1400" t="str">
        <f>IF(WEEKDAY(A1400,2)&gt;5,"Weekend","Weekday")</f>
        <v>Weekday</v>
      </c>
      <c r="I1400" t="str">
        <f>_xlfn.IFS(B1400&lt;=5,"Night (0-5)",B1400&lt;=9,"Morning peak (6-9)",B1400&lt;=15,"Midday (10-15)",B1400&lt;=19,"Evening peak (16-19)",TRUE,"Late evening (20-23)")</f>
        <v>Morning peak (6-9)</v>
      </c>
    </row>
    <row r="1401" spans="1:9">
      <c r="A1401" s="32">
        <v>41788</v>
      </c>
      <c r="B1401">
        <v>7</v>
      </c>
      <c r="C1401">
        <v>1172</v>
      </c>
      <c r="D1401" t="s">
        <v>303</v>
      </c>
      <c r="E1401">
        <f>YEAR(A1401)</f>
        <v>2014</v>
      </c>
      <c r="F1401" s="33">
        <f>DATE(YEAR(A1401),MONTH(A1401),1)</f>
        <v>41760.0</v>
      </c>
      <c r="G1401" t="str">
        <f>CHOOSE(WEEKDAY(A1401,2),"Mon","Tue","Wed","Thu","Fri","Sat","Sun")</f>
        <v>Thu</v>
      </c>
      <c r="H1401" t="str">
        <f>IF(WEEKDAY(A1401,2)&gt;5,"Weekend","Weekday")</f>
        <v>Weekday</v>
      </c>
      <c r="I1401" t="str">
        <f>_xlfn.IFS(B1401&lt;=5,"Night (0-5)",B1401&lt;=9,"Morning peak (6-9)",B1401&lt;=15,"Midday (10-15)",B1401&lt;=19,"Evening peak (16-19)",TRUE,"Late evening (20-23)")</f>
        <v>Morning peak (6-9)</v>
      </c>
    </row>
    <row r="1402" spans="1:9">
      <c r="A1402" s="32">
        <v>41788</v>
      </c>
      <c r="B1402">
        <v>8</v>
      </c>
      <c r="C1402">
        <v>983</v>
      </c>
      <c r="D1402" t="s">
        <v>303</v>
      </c>
      <c r="E1402">
        <f>YEAR(A1402)</f>
        <v>2014</v>
      </c>
      <c r="F1402" s="33">
        <f>DATE(YEAR(A1402),MONTH(A1402),1)</f>
        <v>41760.0</v>
      </c>
      <c r="G1402" t="str">
        <f>CHOOSE(WEEKDAY(A1402,2),"Mon","Tue","Wed","Thu","Fri","Sat","Sun")</f>
        <v>Thu</v>
      </c>
      <c r="H1402" t="str">
        <f>IF(WEEKDAY(A1402,2)&gt;5,"Weekend","Weekday")</f>
        <v>Weekday</v>
      </c>
      <c r="I1402" t="str">
        <f>_xlfn.IFS(B1402&lt;=5,"Night (0-5)",B1402&lt;=9,"Morning peak (6-9)",B1402&lt;=15,"Midday (10-15)",B1402&lt;=19,"Evening peak (16-19)",TRUE,"Late evening (20-23)")</f>
        <v>Morning peak (6-9)</v>
      </c>
    </row>
    <row r="1403" spans="1:9">
      <c r="A1403" s="32">
        <v>41788</v>
      </c>
      <c r="B1403">
        <v>9</v>
      </c>
      <c r="C1403">
        <v>748</v>
      </c>
      <c r="D1403" t="s">
        <v>303</v>
      </c>
      <c r="E1403">
        <f>YEAR(A1403)</f>
        <v>2014</v>
      </c>
      <c r="F1403" s="33">
        <f>DATE(YEAR(A1403),MONTH(A1403),1)</f>
        <v>41760.0</v>
      </c>
      <c r="G1403" t="str">
        <f>CHOOSE(WEEKDAY(A1403,2),"Mon","Tue","Wed","Thu","Fri","Sat","Sun")</f>
        <v>Thu</v>
      </c>
      <c r="H1403" t="str">
        <f>IF(WEEKDAY(A1403,2)&gt;5,"Weekend","Weekday")</f>
        <v>Weekday</v>
      </c>
      <c r="I1403" t="str">
        <f>_xlfn.IFS(B1403&lt;=5,"Night (0-5)",B1403&lt;=9,"Morning peak (6-9)",B1403&lt;=15,"Midday (10-15)",B1403&lt;=19,"Evening peak (16-19)",TRUE,"Late evening (20-23)")</f>
        <v>Morning peak (6-9)</v>
      </c>
    </row>
    <row r="1404" spans="1:9">
      <c r="A1404" s="32">
        <v>41788</v>
      </c>
      <c r="B1404">
        <v>10</v>
      </c>
      <c r="C1404">
        <v>665</v>
      </c>
      <c r="D1404" t="s">
        <v>303</v>
      </c>
      <c r="E1404">
        <f>YEAR(A1404)</f>
        <v>2014</v>
      </c>
      <c r="F1404" s="33">
        <f>DATE(YEAR(A1404),MONTH(A1404),1)</f>
        <v>41760.0</v>
      </c>
      <c r="G1404" t="str">
        <f>CHOOSE(WEEKDAY(A1404,2),"Mon","Tue","Wed","Thu","Fri","Sat","Sun")</f>
        <v>Thu</v>
      </c>
      <c r="H1404" t="str">
        <f>IF(WEEKDAY(A1404,2)&gt;5,"Weekend","Weekday")</f>
        <v>Weekday</v>
      </c>
      <c r="I1404" t="str">
        <f>_xlfn.IFS(B1404&lt;=5,"Night (0-5)",B1404&lt;=9,"Morning peak (6-9)",B1404&lt;=15,"Midday (10-15)",B1404&lt;=19,"Evening peak (16-19)",TRUE,"Late evening (20-23)")</f>
        <v>Midday (10-15)</v>
      </c>
    </row>
    <row r="1405" spans="1:9">
      <c r="A1405" s="32">
        <v>41788</v>
      </c>
      <c r="B1405">
        <v>11</v>
      </c>
      <c r="C1405">
        <v>702</v>
      </c>
      <c r="D1405" t="s">
        <v>303</v>
      </c>
      <c r="E1405">
        <f>YEAR(A1405)</f>
        <v>2014</v>
      </c>
      <c r="F1405" s="33">
        <f>DATE(YEAR(A1405),MONTH(A1405),1)</f>
        <v>41760.0</v>
      </c>
      <c r="G1405" t="str">
        <f>CHOOSE(WEEKDAY(A1405,2),"Mon","Tue","Wed","Thu","Fri","Sat","Sun")</f>
        <v>Thu</v>
      </c>
      <c r="H1405" t="str">
        <f>IF(WEEKDAY(A1405,2)&gt;5,"Weekend","Weekday")</f>
        <v>Weekday</v>
      </c>
      <c r="I1405" t="str">
        <f>_xlfn.IFS(B1405&lt;=5,"Night (0-5)",B1405&lt;=9,"Morning peak (6-9)",B1405&lt;=15,"Midday (10-15)",B1405&lt;=19,"Evening peak (16-19)",TRUE,"Late evening (20-23)")</f>
        <v>Midday (10-15)</v>
      </c>
    </row>
    <row r="1406" spans="1:9">
      <c r="A1406" s="32">
        <v>41788</v>
      </c>
      <c r="B1406">
        <v>12</v>
      </c>
      <c r="C1406">
        <v>740</v>
      </c>
      <c r="D1406" t="s">
        <v>303</v>
      </c>
      <c r="E1406">
        <f>YEAR(A1406)</f>
        <v>2014</v>
      </c>
      <c r="F1406" s="33">
        <f>DATE(YEAR(A1406),MONTH(A1406),1)</f>
        <v>41760.0</v>
      </c>
      <c r="G1406" t="str">
        <f>CHOOSE(WEEKDAY(A1406,2),"Mon","Tue","Wed","Thu","Fri","Sat","Sun")</f>
        <v>Thu</v>
      </c>
      <c r="H1406" t="str">
        <f>IF(WEEKDAY(A1406,2)&gt;5,"Weekend","Weekday")</f>
        <v>Weekday</v>
      </c>
      <c r="I1406" t="str">
        <f>_xlfn.IFS(B1406&lt;=5,"Night (0-5)",B1406&lt;=9,"Morning peak (6-9)",B1406&lt;=15,"Midday (10-15)",B1406&lt;=19,"Evening peak (16-19)",TRUE,"Late evening (20-23)")</f>
        <v>Midday (10-15)</v>
      </c>
    </row>
    <row r="1407" spans="1:9">
      <c r="A1407" s="32">
        <v>41788</v>
      </c>
      <c r="B1407">
        <v>13</v>
      </c>
      <c r="C1407">
        <v>923</v>
      </c>
      <c r="D1407" t="s">
        <v>303</v>
      </c>
      <c r="E1407">
        <f>YEAR(A1407)</f>
        <v>2014</v>
      </c>
      <c r="F1407" s="33">
        <f>DATE(YEAR(A1407),MONTH(A1407),1)</f>
        <v>41760.0</v>
      </c>
      <c r="G1407" t="str">
        <f>CHOOSE(WEEKDAY(A1407,2),"Mon","Tue","Wed","Thu","Fri","Sat","Sun")</f>
        <v>Thu</v>
      </c>
      <c r="H1407" t="str">
        <f>IF(WEEKDAY(A1407,2)&gt;5,"Weekend","Weekday")</f>
        <v>Weekday</v>
      </c>
      <c r="I1407" t="str">
        <f>_xlfn.IFS(B1407&lt;=5,"Night (0-5)",B1407&lt;=9,"Morning peak (6-9)",B1407&lt;=15,"Midday (10-15)",B1407&lt;=19,"Evening peak (16-19)",TRUE,"Late evening (20-23)")</f>
        <v>Midday (10-15)</v>
      </c>
    </row>
    <row r="1408" spans="1:9">
      <c r="A1408" s="32">
        <v>41788</v>
      </c>
      <c r="B1408">
        <v>14</v>
      </c>
      <c r="C1408">
        <v>1236</v>
      </c>
      <c r="D1408" t="s">
        <v>303</v>
      </c>
      <c r="E1408">
        <f>YEAR(A1408)</f>
        <v>2014</v>
      </c>
      <c r="F1408" s="33">
        <f>DATE(YEAR(A1408),MONTH(A1408),1)</f>
        <v>41760.0</v>
      </c>
      <c r="G1408" t="str">
        <f>CHOOSE(WEEKDAY(A1408,2),"Mon","Tue","Wed","Thu","Fri","Sat","Sun")</f>
        <v>Thu</v>
      </c>
      <c r="H1408" t="str">
        <f>IF(WEEKDAY(A1408,2)&gt;5,"Weekend","Weekday")</f>
        <v>Weekday</v>
      </c>
      <c r="I1408" t="str">
        <f>_xlfn.IFS(B1408&lt;=5,"Night (0-5)",B1408&lt;=9,"Morning peak (6-9)",B1408&lt;=15,"Midday (10-15)",B1408&lt;=19,"Evening peak (16-19)",TRUE,"Late evening (20-23)")</f>
        <v>Midday (10-15)</v>
      </c>
    </row>
    <row r="1409" spans="1:9">
      <c r="A1409" s="32">
        <v>41788</v>
      </c>
      <c r="B1409">
        <v>15</v>
      </c>
      <c r="C1409">
        <v>1655</v>
      </c>
      <c r="D1409" t="s">
        <v>303</v>
      </c>
      <c r="E1409">
        <f>YEAR(A1409)</f>
        <v>2014</v>
      </c>
      <c r="F1409" s="33">
        <f>DATE(YEAR(A1409),MONTH(A1409),1)</f>
        <v>41760.0</v>
      </c>
      <c r="G1409" t="str">
        <f>CHOOSE(WEEKDAY(A1409,2),"Mon","Tue","Wed","Thu","Fri","Sat","Sun")</f>
        <v>Thu</v>
      </c>
      <c r="H1409" t="str">
        <f>IF(WEEKDAY(A1409,2)&gt;5,"Weekend","Weekday")</f>
        <v>Weekday</v>
      </c>
      <c r="I1409" t="str">
        <f>_xlfn.IFS(B1409&lt;=5,"Night (0-5)",B1409&lt;=9,"Morning peak (6-9)",B1409&lt;=15,"Midday (10-15)",B1409&lt;=19,"Evening peak (16-19)",TRUE,"Late evening (20-23)")</f>
        <v>Midday (10-15)</v>
      </c>
    </row>
    <row r="1410" spans="1:9">
      <c r="A1410" s="32">
        <v>41788</v>
      </c>
      <c r="B1410">
        <v>16</v>
      </c>
      <c r="C1410">
        <v>1868</v>
      </c>
      <c r="D1410" t="s">
        <v>303</v>
      </c>
      <c r="E1410">
        <f>YEAR(A1410)</f>
        <v>2014</v>
      </c>
      <c r="F1410" s="33">
        <f>DATE(YEAR(A1410),MONTH(A1410),1)</f>
        <v>41760.0</v>
      </c>
      <c r="G1410" t="str">
        <f>CHOOSE(WEEKDAY(A1410,2),"Mon","Tue","Wed","Thu","Fri","Sat","Sun")</f>
        <v>Thu</v>
      </c>
      <c r="H1410" t="str">
        <f>IF(WEEKDAY(A1410,2)&gt;5,"Weekend","Weekday")</f>
        <v>Weekday</v>
      </c>
      <c r="I1410" t="str">
        <f>_xlfn.IFS(B1410&lt;=5,"Night (0-5)",B1410&lt;=9,"Morning peak (6-9)",B1410&lt;=15,"Midday (10-15)",B1410&lt;=19,"Evening peak (16-19)",TRUE,"Late evening (20-23)")</f>
        <v>Evening peak (16-19)</v>
      </c>
    </row>
    <row r="1411" spans="1:9">
      <c r="A1411" s="32">
        <v>41788</v>
      </c>
      <c r="B1411">
        <v>17</v>
      </c>
      <c r="C1411">
        <v>2160</v>
      </c>
      <c r="D1411" t="s">
        <v>303</v>
      </c>
      <c r="E1411">
        <f>YEAR(A1411)</f>
        <v>2014</v>
      </c>
      <c r="F1411" s="33">
        <f>DATE(YEAR(A1411),MONTH(A1411),1)</f>
        <v>41760.0</v>
      </c>
      <c r="G1411" t="str">
        <f>CHOOSE(WEEKDAY(A1411,2),"Mon","Tue","Wed","Thu","Fri","Sat","Sun")</f>
        <v>Thu</v>
      </c>
      <c r="H1411" t="str">
        <f>IF(WEEKDAY(A1411,2)&gt;5,"Weekend","Weekday")</f>
        <v>Weekday</v>
      </c>
      <c r="I1411" t="str">
        <f>_xlfn.IFS(B1411&lt;=5,"Night (0-5)",B1411&lt;=9,"Morning peak (6-9)",B1411&lt;=15,"Midday (10-15)",B1411&lt;=19,"Evening peak (16-19)",TRUE,"Late evening (20-23)")</f>
        <v>Evening peak (16-19)</v>
      </c>
    </row>
    <row r="1412" spans="1:9">
      <c r="A1412" s="32">
        <v>41788</v>
      </c>
      <c r="B1412">
        <v>18</v>
      </c>
      <c r="C1412">
        <v>2051</v>
      </c>
      <c r="D1412" t="s">
        <v>303</v>
      </c>
      <c r="E1412">
        <f>YEAR(A1412)</f>
        <v>2014</v>
      </c>
      <c r="F1412" s="33">
        <f>DATE(YEAR(A1412),MONTH(A1412),1)</f>
        <v>41760.0</v>
      </c>
      <c r="G1412" t="str">
        <f>CHOOSE(WEEKDAY(A1412,2),"Mon","Tue","Wed","Thu","Fri","Sat","Sun")</f>
        <v>Thu</v>
      </c>
      <c r="H1412" t="str">
        <f>IF(WEEKDAY(A1412,2)&gt;5,"Weekend","Weekday")</f>
        <v>Weekday</v>
      </c>
      <c r="I1412" t="str">
        <f>_xlfn.IFS(B1412&lt;=5,"Night (0-5)",B1412&lt;=9,"Morning peak (6-9)",B1412&lt;=15,"Midday (10-15)",B1412&lt;=19,"Evening peak (16-19)",TRUE,"Late evening (20-23)")</f>
        <v>Evening peak (16-19)</v>
      </c>
    </row>
    <row r="1413" spans="1:9">
      <c r="A1413" s="32">
        <v>41788</v>
      </c>
      <c r="B1413">
        <v>19</v>
      </c>
      <c r="C1413">
        <v>1750</v>
      </c>
      <c r="D1413" t="s">
        <v>303</v>
      </c>
      <c r="E1413">
        <f>YEAR(A1413)</f>
        <v>2014</v>
      </c>
      <c r="F1413" s="33">
        <f>DATE(YEAR(A1413),MONTH(A1413),1)</f>
        <v>41760.0</v>
      </c>
      <c r="G1413" t="str">
        <f>CHOOSE(WEEKDAY(A1413,2),"Mon","Tue","Wed","Thu","Fri","Sat","Sun")</f>
        <v>Thu</v>
      </c>
      <c r="H1413" t="str">
        <f>IF(WEEKDAY(A1413,2)&gt;5,"Weekend","Weekday")</f>
        <v>Weekday</v>
      </c>
      <c r="I1413" t="str">
        <f>_xlfn.IFS(B1413&lt;=5,"Night (0-5)",B1413&lt;=9,"Morning peak (6-9)",B1413&lt;=15,"Midday (10-15)",B1413&lt;=19,"Evening peak (16-19)",TRUE,"Late evening (20-23)")</f>
        <v>Evening peak (16-19)</v>
      </c>
    </row>
    <row r="1414" spans="1:9">
      <c r="A1414" s="32">
        <v>41788</v>
      </c>
      <c r="B1414">
        <v>20</v>
      </c>
      <c r="C1414">
        <v>1790</v>
      </c>
      <c r="D1414" t="s">
        <v>303</v>
      </c>
      <c r="E1414">
        <f>YEAR(A1414)</f>
        <v>2014</v>
      </c>
      <c r="F1414" s="33">
        <f>DATE(YEAR(A1414),MONTH(A1414),1)</f>
        <v>41760.0</v>
      </c>
      <c r="G1414" t="str">
        <f>CHOOSE(WEEKDAY(A1414,2),"Mon","Tue","Wed","Thu","Fri","Sat","Sun")</f>
        <v>Thu</v>
      </c>
      <c r="H1414" t="str">
        <f>IF(WEEKDAY(A1414,2)&gt;5,"Weekend","Weekday")</f>
        <v>Weekday</v>
      </c>
      <c r="I1414" t="str">
        <f>_xlfn.IFS(B1414&lt;=5,"Night (0-5)",B1414&lt;=9,"Morning peak (6-9)",B1414&lt;=15,"Midday (10-15)",B1414&lt;=19,"Evening peak (16-19)",TRUE,"Late evening (20-23)")</f>
        <v>Late evening (20-23)</v>
      </c>
    </row>
    <row r="1415" spans="1:9">
      <c r="A1415" s="32">
        <v>41788</v>
      </c>
      <c r="B1415">
        <v>21</v>
      </c>
      <c r="C1415">
        <v>1953</v>
      </c>
      <c r="D1415" t="s">
        <v>303</v>
      </c>
      <c r="E1415">
        <f>YEAR(A1415)</f>
        <v>2014</v>
      </c>
      <c r="F1415" s="33">
        <f>DATE(YEAR(A1415),MONTH(A1415),1)</f>
        <v>41760.0</v>
      </c>
      <c r="G1415" t="str">
        <f>CHOOSE(WEEKDAY(A1415,2),"Mon","Tue","Wed","Thu","Fri","Sat","Sun")</f>
        <v>Thu</v>
      </c>
      <c r="H1415" t="str">
        <f>IF(WEEKDAY(A1415,2)&gt;5,"Weekend","Weekday")</f>
        <v>Weekday</v>
      </c>
      <c r="I1415" t="str">
        <f>_xlfn.IFS(B1415&lt;=5,"Night (0-5)",B1415&lt;=9,"Morning peak (6-9)",B1415&lt;=15,"Midday (10-15)",B1415&lt;=19,"Evening peak (16-19)",TRUE,"Late evening (20-23)")</f>
        <v>Late evening (20-23)</v>
      </c>
    </row>
    <row r="1416" spans="1:9">
      <c r="A1416" s="32">
        <v>41788</v>
      </c>
      <c r="B1416">
        <v>22</v>
      </c>
      <c r="C1416">
        <v>1629</v>
      </c>
      <c r="D1416" t="s">
        <v>303</v>
      </c>
      <c r="E1416">
        <f>YEAR(A1416)</f>
        <v>2014</v>
      </c>
      <c r="F1416" s="33">
        <f>DATE(YEAR(A1416),MONTH(A1416),1)</f>
        <v>41760.0</v>
      </c>
      <c r="G1416" t="str">
        <f>CHOOSE(WEEKDAY(A1416,2),"Mon","Tue","Wed","Thu","Fri","Sat","Sun")</f>
        <v>Thu</v>
      </c>
      <c r="H1416" t="str">
        <f>IF(WEEKDAY(A1416,2)&gt;5,"Weekend","Weekday")</f>
        <v>Weekday</v>
      </c>
      <c r="I1416" t="str">
        <f>_xlfn.IFS(B1416&lt;=5,"Night (0-5)",B1416&lt;=9,"Morning peak (6-9)",B1416&lt;=15,"Midday (10-15)",B1416&lt;=19,"Evening peak (16-19)",TRUE,"Late evening (20-23)")</f>
        <v>Late evening (20-23)</v>
      </c>
    </row>
    <row r="1417" spans="1:9">
      <c r="A1417" s="32">
        <v>41788</v>
      </c>
      <c r="B1417">
        <v>23</v>
      </c>
      <c r="C1417">
        <v>801</v>
      </c>
      <c r="D1417" t="s">
        <v>303</v>
      </c>
      <c r="E1417">
        <f>YEAR(A1417)</f>
        <v>2014</v>
      </c>
      <c r="F1417" s="33">
        <f>DATE(YEAR(A1417),MONTH(A1417),1)</f>
        <v>41760.0</v>
      </c>
      <c r="G1417" t="str">
        <f>CHOOSE(WEEKDAY(A1417,2),"Mon","Tue","Wed","Thu","Fri","Sat","Sun")</f>
        <v>Thu</v>
      </c>
      <c r="H1417" t="str">
        <f>IF(WEEKDAY(A1417,2)&gt;5,"Weekend","Weekday")</f>
        <v>Weekday</v>
      </c>
      <c r="I1417" t="str">
        <f>_xlfn.IFS(B1417&lt;=5,"Night (0-5)",B1417&lt;=9,"Morning peak (6-9)",B1417&lt;=15,"Midday (10-15)",B1417&lt;=19,"Evening peak (16-19)",TRUE,"Late evening (20-23)")</f>
        <v>Late evening (20-23)</v>
      </c>
    </row>
    <row r="1418" spans="1:9">
      <c r="A1418" s="32">
        <v>41789</v>
      </c>
      <c r="B1418">
        <v>0</v>
      </c>
      <c r="C1418">
        <v>393</v>
      </c>
      <c r="D1418" t="s">
        <v>303</v>
      </c>
      <c r="E1418">
        <f>YEAR(A1418)</f>
        <v>2014</v>
      </c>
      <c r="F1418" s="33">
        <f>DATE(YEAR(A1418),MONTH(A1418),1)</f>
        <v>41760.0</v>
      </c>
      <c r="G1418" t="str">
        <f>CHOOSE(WEEKDAY(A1418,2),"Mon","Tue","Wed","Thu","Fri","Sat","Sun")</f>
        <v>Fri</v>
      </c>
      <c r="H1418" t="str">
        <f>IF(WEEKDAY(A1418,2)&gt;5,"Weekend","Weekday")</f>
        <v>Weekday</v>
      </c>
      <c r="I1418" t="str">
        <f>_xlfn.IFS(B1418&lt;=5,"Night (0-5)",B1418&lt;=9,"Morning peak (6-9)",B1418&lt;=15,"Midday (10-15)",B1418&lt;=19,"Evening peak (16-19)",TRUE,"Late evening (20-23)")</f>
        <v>Night (0-5)</v>
      </c>
    </row>
    <row r="1419" spans="1:9">
      <c r="A1419" s="32">
        <v>41789</v>
      </c>
      <c r="B1419">
        <v>1</v>
      </c>
      <c r="C1419">
        <v>201</v>
      </c>
      <c r="D1419" t="s">
        <v>303</v>
      </c>
      <c r="E1419">
        <f>YEAR(A1419)</f>
        <v>2014</v>
      </c>
      <c r="F1419" s="33">
        <f>DATE(YEAR(A1419),MONTH(A1419),1)</f>
        <v>41760.0</v>
      </c>
      <c r="G1419" t="str">
        <f>CHOOSE(WEEKDAY(A1419,2),"Mon","Tue","Wed","Thu","Fri","Sat","Sun")</f>
        <v>Fri</v>
      </c>
      <c r="H1419" t="str">
        <f>IF(WEEKDAY(A1419,2)&gt;5,"Weekend","Weekday")</f>
        <v>Weekday</v>
      </c>
      <c r="I1419" t="str">
        <f>_xlfn.IFS(B1419&lt;=5,"Night (0-5)",B1419&lt;=9,"Morning peak (6-9)",B1419&lt;=15,"Midday (10-15)",B1419&lt;=19,"Evening peak (16-19)",TRUE,"Late evening (20-23)")</f>
        <v>Night (0-5)</v>
      </c>
    </row>
    <row r="1420" spans="1:9">
      <c r="A1420" s="32">
        <v>41789</v>
      </c>
      <c r="B1420">
        <v>2</v>
      </c>
      <c r="C1420">
        <v>124</v>
      </c>
      <c r="D1420" t="s">
        <v>303</v>
      </c>
      <c r="E1420">
        <f>YEAR(A1420)</f>
        <v>2014</v>
      </c>
      <c r="F1420" s="33">
        <f>DATE(YEAR(A1420),MONTH(A1420),1)</f>
        <v>41760.0</v>
      </c>
      <c r="G1420" t="str">
        <f>CHOOSE(WEEKDAY(A1420,2),"Mon","Tue","Wed","Thu","Fri","Sat","Sun")</f>
        <v>Fri</v>
      </c>
      <c r="H1420" t="str">
        <f>IF(WEEKDAY(A1420,2)&gt;5,"Weekend","Weekday")</f>
        <v>Weekday</v>
      </c>
      <c r="I1420" t="str">
        <f>_xlfn.IFS(B1420&lt;=5,"Night (0-5)",B1420&lt;=9,"Morning peak (6-9)",B1420&lt;=15,"Midday (10-15)",B1420&lt;=19,"Evening peak (16-19)",TRUE,"Late evening (20-23)")</f>
        <v>Night (0-5)</v>
      </c>
    </row>
    <row r="1421" spans="1:9">
      <c r="A1421" s="32">
        <v>41789</v>
      </c>
      <c r="B1421">
        <v>3</v>
      </c>
      <c r="C1421">
        <v>175</v>
      </c>
      <c r="D1421" t="s">
        <v>303</v>
      </c>
      <c r="E1421">
        <f>YEAR(A1421)</f>
        <v>2014</v>
      </c>
      <c r="F1421" s="33">
        <f>DATE(YEAR(A1421),MONTH(A1421),1)</f>
        <v>41760.0</v>
      </c>
      <c r="G1421" t="str">
        <f>CHOOSE(WEEKDAY(A1421,2),"Mon","Tue","Wed","Thu","Fri","Sat","Sun")</f>
        <v>Fri</v>
      </c>
      <c r="H1421" t="str">
        <f>IF(WEEKDAY(A1421,2)&gt;5,"Weekend","Weekday")</f>
        <v>Weekday</v>
      </c>
      <c r="I1421" t="str">
        <f>_xlfn.IFS(B1421&lt;=5,"Night (0-5)",B1421&lt;=9,"Morning peak (6-9)",B1421&lt;=15,"Midday (10-15)",B1421&lt;=19,"Evening peak (16-19)",TRUE,"Late evening (20-23)")</f>
        <v>Night (0-5)</v>
      </c>
    </row>
    <row r="1422" spans="1:9">
      <c r="A1422" s="32">
        <v>41789</v>
      </c>
      <c r="B1422">
        <v>4</v>
      </c>
      <c r="C1422">
        <v>240</v>
      </c>
      <c r="D1422" t="s">
        <v>303</v>
      </c>
      <c r="E1422">
        <f>YEAR(A1422)</f>
        <v>2014</v>
      </c>
      <c r="F1422" s="33">
        <f>DATE(YEAR(A1422),MONTH(A1422),1)</f>
        <v>41760.0</v>
      </c>
      <c r="G1422" t="str">
        <f>CHOOSE(WEEKDAY(A1422,2),"Mon","Tue","Wed","Thu","Fri","Sat","Sun")</f>
        <v>Fri</v>
      </c>
      <c r="H1422" t="str">
        <f>IF(WEEKDAY(A1422,2)&gt;5,"Weekend","Weekday")</f>
        <v>Weekday</v>
      </c>
      <c r="I1422" t="str">
        <f>_xlfn.IFS(B1422&lt;=5,"Night (0-5)",B1422&lt;=9,"Morning peak (6-9)",B1422&lt;=15,"Midday (10-15)",B1422&lt;=19,"Evening peak (16-19)",TRUE,"Late evening (20-23)")</f>
        <v>Night (0-5)</v>
      </c>
    </row>
    <row r="1423" spans="1:9">
      <c r="A1423" s="32">
        <v>41789</v>
      </c>
      <c r="B1423">
        <v>5</v>
      </c>
      <c r="C1423">
        <v>398</v>
      </c>
      <c r="D1423" t="s">
        <v>303</v>
      </c>
      <c r="E1423">
        <f>YEAR(A1423)</f>
        <v>2014</v>
      </c>
      <c r="F1423" s="33">
        <f>DATE(YEAR(A1423),MONTH(A1423),1)</f>
        <v>41760.0</v>
      </c>
      <c r="G1423" t="str">
        <f>CHOOSE(WEEKDAY(A1423,2),"Mon","Tue","Wed","Thu","Fri","Sat","Sun")</f>
        <v>Fri</v>
      </c>
      <c r="H1423" t="str">
        <f>IF(WEEKDAY(A1423,2)&gt;5,"Weekend","Weekday")</f>
        <v>Weekday</v>
      </c>
      <c r="I1423" t="str">
        <f>_xlfn.IFS(B1423&lt;=5,"Night (0-5)",B1423&lt;=9,"Morning peak (6-9)",B1423&lt;=15,"Midday (10-15)",B1423&lt;=19,"Evening peak (16-19)",TRUE,"Late evening (20-23)")</f>
        <v>Night (0-5)</v>
      </c>
    </row>
    <row r="1424" spans="1:9">
      <c r="A1424" s="32">
        <v>41789</v>
      </c>
      <c r="B1424">
        <v>6</v>
      </c>
      <c r="C1424">
        <v>854</v>
      </c>
      <c r="D1424" t="s">
        <v>303</v>
      </c>
      <c r="E1424">
        <f>YEAR(A1424)</f>
        <v>2014</v>
      </c>
      <c r="F1424" s="33">
        <f>DATE(YEAR(A1424),MONTH(A1424),1)</f>
        <v>41760.0</v>
      </c>
      <c r="G1424" t="str">
        <f>CHOOSE(WEEKDAY(A1424,2),"Mon","Tue","Wed","Thu","Fri","Sat","Sun")</f>
        <v>Fri</v>
      </c>
      <c r="H1424" t="str">
        <f>IF(WEEKDAY(A1424,2)&gt;5,"Weekend","Weekday")</f>
        <v>Weekday</v>
      </c>
      <c r="I1424" t="str">
        <f>_xlfn.IFS(B1424&lt;=5,"Night (0-5)",B1424&lt;=9,"Morning peak (6-9)",B1424&lt;=15,"Midday (10-15)",B1424&lt;=19,"Evening peak (16-19)",TRUE,"Late evening (20-23)")</f>
        <v>Morning peak (6-9)</v>
      </c>
    </row>
    <row r="1425" spans="1:9">
      <c r="A1425" s="32">
        <v>41789</v>
      </c>
      <c r="B1425">
        <v>7</v>
      </c>
      <c r="C1425">
        <v>1171</v>
      </c>
      <c r="D1425" t="s">
        <v>303</v>
      </c>
      <c r="E1425">
        <f>YEAR(A1425)</f>
        <v>2014</v>
      </c>
      <c r="F1425" s="33">
        <f>DATE(YEAR(A1425),MONTH(A1425),1)</f>
        <v>41760.0</v>
      </c>
      <c r="G1425" t="str">
        <f>CHOOSE(WEEKDAY(A1425,2),"Mon","Tue","Wed","Thu","Fri","Sat","Sun")</f>
        <v>Fri</v>
      </c>
      <c r="H1425" t="str">
        <f>IF(WEEKDAY(A1425,2)&gt;5,"Weekend","Weekday")</f>
        <v>Weekday</v>
      </c>
      <c r="I1425" t="str">
        <f>_xlfn.IFS(B1425&lt;=5,"Night (0-5)",B1425&lt;=9,"Morning peak (6-9)",B1425&lt;=15,"Midday (10-15)",B1425&lt;=19,"Evening peak (16-19)",TRUE,"Late evening (20-23)")</f>
        <v>Morning peak (6-9)</v>
      </c>
    </row>
    <row r="1426" spans="1:9">
      <c r="A1426" s="32">
        <v>41789</v>
      </c>
      <c r="B1426">
        <v>8</v>
      </c>
      <c r="C1426">
        <v>997</v>
      </c>
      <c r="D1426" t="s">
        <v>303</v>
      </c>
      <c r="E1426">
        <f>YEAR(A1426)</f>
        <v>2014</v>
      </c>
      <c r="F1426" s="33">
        <f>DATE(YEAR(A1426),MONTH(A1426),1)</f>
        <v>41760.0</v>
      </c>
      <c r="G1426" t="str">
        <f>CHOOSE(WEEKDAY(A1426,2),"Mon","Tue","Wed","Thu","Fri","Sat","Sun")</f>
        <v>Fri</v>
      </c>
      <c r="H1426" t="str">
        <f>IF(WEEKDAY(A1426,2)&gt;5,"Weekend","Weekday")</f>
        <v>Weekday</v>
      </c>
      <c r="I1426" t="str">
        <f>_xlfn.IFS(B1426&lt;=5,"Night (0-5)",B1426&lt;=9,"Morning peak (6-9)",B1426&lt;=15,"Midday (10-15)",B1426&lt;=19,"Evening peak (16-19)",TRUE,"Late evening (20-23)")</f>
        <v>Morning peak (6-9)</v>
      </c>
    </row>
    <row r="1427" spans="1:9">
      <c r="A1427" s="32">
        <v>41789</v>
      </c>
      <c r="B1427">
        <v>9</v>
      </c>
      <c r="C1427">
        <v>717</v>
      </c>
      <c r="D1427" t="s">
        <v>303</v>
      </c>
      <c r="E1427">
        <f>YEAR(A1427)</f>
        <v>2014</v>
      </c>
      <c r="F1427" s="33">
        <f>DATE(YEAR(A1427),MONTH(A1427),1)</f>
        <v>41760.0</v>
      </c>
      <c r="G1427" t="str">
        <f>CHOOSE(WEEKDAY(A1427,2),"Mon","Tue","Wed","Thu","Fri","Sat","Sun")</f>
        <v>Fri</v>
      </c>
      <c r="H1427" t="str">
        <f>IF(WEEKDAY(A1427,2)&gt;5,"Weekend","Weekday")</f>
        <v>Weekday</v>
      </c>
      <c r="I1427" t="str">
        <f>_xlfn.IFS(B1427&lt;=5,"Night (0-5)",B1427&lt;=9,"Morning peak (6-9)",B1427&lt;=15,"Midday (10-15)",B1427&lt;=19,"Evening peak (16-19)",TRUE,"Late evening (20-23)")</f>
        <v>Morning peak (6-9)</v>
      </c>
    </row>
    <row r="1428" spans="1:9">
      <c r="A1428" s="32">
        <v>41789</v>
      </c>
      <c r="B1428">
        <v>10</v>
      </c>
      <c r="C1428">
        <v>731</v>
      </c>
      <c r="D1428" t="s">
        <v>303</v>
      </c>
      <c r="E1428">
        <f>YEAR(A1428)</f>
        <v>2014</v>
      </c>
      <c r="F1428" s="33">
        <f>DATE(YEAR(A1428),MONTH(A1428),1)</f>
        <v>41760.0</v>
      </c>
      <c r="G1428" t="str">
        <f>CHOOSE(WEEKDAY(A1428,2),"Mon","Tue","Wed","Thu","Fri","Sat","Sun")</f>
        <v>Fri</v>
      </c>
      <c r="H1428" t="str">
        <f>IF(WEEKDAY(A1428,2)&gt;5,"Weekend","Weekday")</f>
        <v>Weekday</v>
      </c>
      <c r="I1428" t="str">
        <f>_xlfn.IFS(B1428&lt;=5,"Night (0-5)",B1428&lt;=9,"Morning peak (6-9)",B1428&lt;=15,"Midday (10-15)",B1428&lt;=19,"Evening peak (16-19)",TRUE,"Late evening (20-23)")</f>
        <v>Midday (10-15)</v>
      </c>
    </row>
    <row r="1429" spans="1:9">
      <c r="A1429" s="32">
        <v>41789</v>
      </c>
      <c r="B1429">
        <v>11</v>
      </c>
      <c r="C1429">
        <v>823</v>
      </c>
      <c r="D1429" t="s">
        <v>303</v>
      </c>
      <c r="E1429">
        <f>YEAR(A1429)</f>
        <v>2014</v>
      </c>
      <c r="F1429" s="33">
        <f>DATE(YEAR(A1429),MONTH(A1429),1)</f>
        <v>41760.0</v>
      </c>
      <c r="G1429" t="str">
        <f>CHOOSE(WEEKDAY(A1429,2),"Mon","Tue","Wed","Thu","Fri","Sat","Sun")</f>
        <v>Fri</v>
      </c>
      <c r="H1429" t="str">
        <f>IF(WEEKDAY(A1429,2)&gt;5,"Weekend","Weekday")</f>
        <v>Weekday</v>
      </c>
      <c r="I1429" t="str">
        <f>_xlfn.IFS(B1429&lt;=5,"Night (0-5)",B1429&lt;=9,"Morning peak (6-9)",B1429&lt;=15,"Midday (10-15)",B1429&lt;=19,"Evening peak (16-19)",TRUE,"Late evening (20-23)")</f>
        <v>Midday (10-15)</v>
      </c>
    </row>
    <row r="1430" spans="1:9">
      <c r="A1430" s="32">
        <v>41789</v>
      </c>
      <c r="B1430">
        <v>12</v>
      </c>
      <c r="C1430">
        <v>870</v>
      </c>
      <c r="D1430" t="s">
        <v>303</v>
      </c>
      <c r="E1430">
        <f>YEAR(A1430)</f>
        <v>2014</v>
      </c>
      <c r="F1430" s="33">
        <f>DATE(YEAR(A1430),MONTH(A1430),1)</f>
        <v>41760.0</v>
      </c>
      <c r="G1430" t="str">
        <f>CHOOSE(WEEKDAY(A1430,2),"Mon","Tue","Wed","Thu","Fri","Sat","Sun")</f>
        <v>Fri</v>
      </c>
      <c r="H1430" t="str">
        <f>IF(WEEKDAY(A1430,2)&gt;5,"Weekend","Weekday")</f>
        <v>Weekday</v>
      </c>
      <c r="I1430" t="str">
        <f>_xlfn.IFS(B1430&lt;=5,"Night (0-5)",B1430&lt;=9,"Morning peak (6-9)",B1430&lt;=15,"Midday (10-15)",B1430&lt;=19,"Evening peak (16-19)",TRUE,"Late evening (20-23)")</f>
        <v>Midday (10-15)</v>
      </c>
    </row>
    <row r="1431" spans="1:9">
      <c r="A1431" s="32">
        <v>41789</v>
      </c>
      <c r="B1431">
        <v>13</v>
      </c>
      <c r="C1431">
        <v>997</v>
      </c>
      <c r="D1431" t="s">
        <v>303</v>
      </c>
      <c r="E1431">
        <f>YEAR(A1431)</f>
        <v>2014</v>
      </c>
      <c r="F1431" s="33">
        <f>DATE(YEAR(A1431),MONTH(A1431),1)</f>
        <v>41760.0</v>
      </c>
      <c r="G1431" t="str">
        <f>CHOOSE(WEEKDAY(A1431,2),"Mon","Tue","Wed","Thu","Fri","Sat","Sun")</f>
        <v>Fri</v>
      </c>
      <c r="H1431" t="str">
        <f>IF(WEEKDAY(A1431,2)&gt;5,"Weekend","Weekday")</f>
        <v>Weekday</v>
      </c>
      <c r="I1431" t="str">
        <f>_xlfn.IFS(B1431&lt;=5,"Night (0-5)",B1431&lt;=9,"Morning peak (6-9)",B1431&lt;=15,"Midday (10-15)",B1431&lt;=19,"Evening peak (16-19)",TRUE,"Late evening (20-23)")</f>
        <v>Midday (10-15)</v>
      </c>
    </row>
    <row r="1432" spans="1:9">
      <c r="A1432" s="32">
        <v>41789</v>
      </c>
      <c r="B1432">
        <v>14</v>
      </c>
      <c r="C1432">
        <v>1308</v>
      </c>
      <c r="D1432" t="s">
        <v>303</v>
      </c>
      <c r="E1432">
        <f>YEAR(A1432)</f>
        <v>2014</v>
      </c>
      <c r="F1432" s="33">
        <f>DATE(YEAR(A1432),MONTH(A1432),1)</f>
        <v>41760.0</v>
      </c>
      <c r="G1432" t="str">
        <f>CHOOSE(WEEKDAY(A1432,2),"Mon","Tue","Wed","Thu","Fri","Sat","Sun")</f>
        <v>Fri</v>
      </c>
      <c r="H1432" t="str">
        <f>IF(WEEKDAY(A1432,2)&gt;5,"Weekend","Weekday")</f>
        <v>Weekday</v>
      </c>
      <c r="I1432" t="str">
        <f>_xlfn.IFS(B1432&lt;=5,"Night (0-5)",B1432&lt;=9,"Morning peak (6-9)",B1432&lt;=15,"Midday (10-15)",B1432&lt;=19,"Evening peak (16-19)",TRUE,"Late evening (20-23)")</f>
        <v>Midday (10-15)</v>
      </c>
    </row>
    <row r="1433" spans="1:9">
      <c r="A1433" s="32">
        <v>41789</v>
      </c>
      <c r="B1433">
        <v>15</v>
      </c>
      <c r="C1433">
        <v>1647</v>
      </c>
      <c r="D1433" t="s">
        <v>303</v>
      </c>
      <c r="E1433">
        <f>YEAR(A1433)</f>
        <v>2014</v>
      </c>
      <c r="F1433" s="33">
        <f>DATE(YEAR(A1433),MONTH(A1433),1)</f>
        <v>41760.0</v>
      </c>
      <c r="G1433" t="str">
        <f>CHOOSE(WEEKDAY(A1433,2),"Mon","Tue","Wed","Thu","Fri","Sat","Sun")</f>
        <v>Fri</v>
      </c>
      <c r="H1433" t="str">
        <f>IF(WEEKDAY(A1433,2)&gt;5,"Weekend","Weekday")</f>
        <v>Weekday</v>
      </c>
      <c r="I1433" t="str">
        <f>_xlfn.IFS(B1433&lt;=5,"Night (0-5)",B1433&lt;=9,"Morning peak (6-9)",B1433&lt;=15,"Midday (10-15)",B1433&lt;=19,"Evening peak (16-19)",TRUE,"Late evening (20-23)")</f>
        <v>Midday (10-15)</v>
      </c>
    </row>
    <row r="1434" spans="1:9">
      <c r="A1434" s="32">
        <v>41789</v>
      </c>
      <c r="B1434">
        <v>16</v>
      </c>
      <c r="C1434">
        <v>1808</v>
      </c>
      <c r="D1434" t="s">
        <v>303</v>
      </c>
      <c r="E1434">
        <f>YEAR(A1434)</f>
        <v>2014</v>
      </c>
      <c r="F1434" s="33">
        <f>DATE(YEAR(A1434),MONTH(A1434),1)</f>
        <v>41760.0</v>
      </c>
      <c r="G1434" t="str">
        <f>CHOOSE(WEEKDAY(A1434,2),"Mon","Tue","Wed","Thu","Fri","Sat","Sun")</f>
        <v>Fri</v>
      </c>
      <c r="H1434" t="str">
        <f>IF(WEEKDAY(A1434,2)&gt;5,"Weekend","Weekday")</f>
        <v>Weekday</v>
      </c>
      <c r="I1434" t="str">
        <f>_xlfn.IFS(B1434&lt;=5,"Night (0-5)",B1434&lt;=9,"Morning peak (6-9)",B1434&lt;=15,"Midday (10-15)",B1434&lt;=19,"Evening peak (16-19)",TRUE,"Late evening (20-23)")</f>
        <v>Evening peak (16-19)</v>
      </c>
    </row>
    <row r="1435" spans="1:9">
      <c r="A1435" s="32">
        <v>41789</v>
      </c>
      <c r="B1435">
        <v>17</v>
      </c>
      <c r="C1435">
        <v>1747</v>
      </c>
      <c r="D1435" t="s">
        <v>303</v>
      </c>
      <c r="E1435">
        <f>YEAR(A1435)</f>
        <v>2014</v>
      </c>
      <c r="F1435" s="33">
        <f>DATE(YEAR(A1435),MONTH(A1435),1)</f>
        <v>41760.0</v>
      </c>
      <c r="G1435" t="str">
        <f>CHOOSE(WEEKDAY(A1435,2),"Mon","Tue","Wed","Thu","Fri","Sat","Sun")</f>
        <v>Fri</v>
      </c>
      <c r="H1435" t="str">
        <f>IF(WEEKDAY(A1435,2)&gt;5,"Weekend","Weekday")</f>
        <v>Weekday</v>
      </c>
      <c r="I1435" t="str">
        <f>_xlfn.IFS(B1435&lt;=5,"Night (0-5)",B1435&lt;=9,"Morning peak (6-9)",B1435&lt;=15,"Midday (10-15)",B1435&lt;=19,"Evening peak (16-19)",TRUE,"Late evening (20-23)")</f>
        <v>Evening peak (16-19)</v>
      </c>
    </row>
    <row r="1436" spans="1:9">
      <c r="A1436" s="32">
        <v>41789</v>
      </c>
      <c r="B1436">
        <v>18</v>
      </c>
      <c r="C1436">
        <v>2245</v>
      </c>
      <c r="D1436" t="s">
        <v>303</v>
      </c>
      <c r="E1436">
        <f>YEAR(A1436)</f>
        <v>2014</v>
      </c>
      <c r="F1436" s="33">
        <f>DATE(YEAR(A1436),MONTH(A1436),1)</f>
        <v>41760.0</v>
      </c>
      <c r="G1436" t="str">
        <f>CHOOSE(WEEKDAY(A1436,2),"Mon","Tue","Wed","Thu","Fri","Sat","Sun")</f>
        <v>Fri</v>
      </c>
      <c r="H1436" t="str">
        <f>IF(WEEKDAY(A1436,2)&gt;5,"Weekend","Weekday")</f>
        <v>Weekday</v>
      </c>
      <c r="I1436" t="str">
        <f>_xlfn.IFS(B1436&lt;=5,"Night (0-5)",B1436&lt;=9,"Morning peak (6-9)",B1436&lt;=15,"Midday (10-15)",B1436&lt;=19,"Evening peak (16-19)",TRUE,"Late evening (20-23)")</f>
        <v>Evening peak (16-19)</v>
      </c>
    </row>
    <row r="1437" spans="1:9">
      <c r="A1437" s="32">
        <v>41789</v>
      </c>
      <c r="B1437">
        <v>19</v>
      </c>
      <c r="C1437">
        <v>1443</v>
      </c>
      <c r="D1437" t="s">
        <v>303</v>
      </c>
      <c r="E1437">
        <f>YEAR(A1437)</f>
        <v>2014</v>
      </c>
      <c r="F1437" s="33">
        <f>DATE(YEAR(A1437),MONTH(A1437),1)</f>
        <v>41760.0</v>
      </c>
      <c r="G1437" t="str">
        <f>CHOOSE(WEEKDAY(A1437,2),"Mon","Tue","Wed","Thu","Fri","Sat","Sun")</f>
        <v>Fri</v>
      </c>
      <c r="H1437" t="str">
        <f>IF(WEEKDAY(A1437,2)&gt;5,"Weekend","Weekday")</f>
        <v>Weekday</v>
      </c>
      <c r="I1437" t="str">
        <f>_xlfn.IFS(B1437&lt;=5,"Night (0-5)",B1437&lt;=9,"Morning peak (6-9)",B1437&lt;=15,"Midday (10-15)",B1437&lt;=19,"Evening peak (16-19)",TRUE,"Late evening (20-23)")</f>
        <v>Evening peak (16-19)</v>
      </c>
    </row>
    <row r="1438" spans="1:9">
      <c r="A1438" s="32">
        <v>41789</v>
      </c>
      <c r="B1438">
        <v>20</v>
      </c>
      <c r="C1438">
        <v>1316</v>
      </c>
      <c r="D1438" t="s">
        <v>303</v>
      </c>
      <c r="E1438">
        <f>YEAR(A1438)</f>
        <v>2014</v>
      </c>
      <c r="F1438" s="33">
        <f>DATE(YEAR(A1438),MONTH(A1438),1)</f>
        <v>41760.0</v>
      </c>
      <c r="G1438" t="str">
        <f>CHOOSE(WEEKDAY(A1438,2),"Mon","Tue","Wed","Thu","Fri","Sat","Sun")</f>
        <v>Fri</v>
      </c>
      <c r="H1438" t="str">
        <f>IF(WEEKDAY(A1438,2)&gt;5,"Weekend","Weekday")</f>
        <v>Weekday</v>
      </c>
      <c r="I1438" t="str">
        <f>_xlfn.IFS(B1438&lt;=5,"Night (0-5)",B1438&lt;=9,"Morning peak (6-9)",B1438&lt;=15,"Midday (10-15)",B1438&lt;=19,"Evening peak (16-19)",TRUE,"Late evening (20-23)")</f>
        <v>Late evening (20-23)</v>
      </c>
    </row>
    <row r="1439" spans="1:9">
      <c r="A1439" s="32">
        <v>41789</v>
      </c>
      <c r="B1439">
        <v>21</v>
      </c>
      <c r="C1439">
        <v>1495</v>
      </c>
      <c r="D1439" t="s">
        <v>303</v>
      </c>
      <c r="E1439">
        <f>YEAR(A1439)</f>
        <v>2014</v>
      </c>
      <c r="F1439" s="33">
        <f>DATE(YEAR(A1439),MONTH(A1439),1)</f>
        <v>41760.0</v>
      </c>
      <c r="G1439" t="str">
        <f>CHOOSE(WEEKDAY(A1439,2),"Mon","Tue","Wed","Thu","Fri","Sat","Sun")</f>
        <v>Fri</v>
      </c>
      <c r="H1439" t="str">
        <f>IF(WEEKDAY(A1439,2)&gt;5,"Weekend","Weekday")</f>
        <v>Weekday</v>
      </c>
      <c r="I1439" t="str">
        <f>_xlfn.IFS(B1439&lt;=5,"Night (0-5)",B1439&lt;=9,"Morning peak (6-9)",B1439&lt;=15,"Midday (10-15)",B1439&lt;=19,"Evening peak (16-19)",TRUE,"Late evening (20-23)")</f>
        <v>Late evening (20-23)</v>
      </c>
    </row>
    <row r="1440" spans="1:9">
      <c r="A1440" s="32">
        <v>41789</v>
      </c>
      <c r="B1440">
        <v>22</v>
      </c>
      <c r="C1440">
        <v>1470</v>
      </c>
      <c r="D1440" t="s">
        <v>303</v>
      </c>
      <c r="E1440">
        <f>YEAR(A1440)</f>
        <v>2014</v>
      </c>
      <c r="F1440" s="33">
        <f>DATE(YEAR(A1440),MONTH(A1440),1)</f>
        <v>41760.0</v>
      </c>
      <c r="G1440" t="str">
        <f>CHOOSE(WEEKDAY(A1440,2),"Mon","Tue","Wed","Thu","Fri","Sat","Sun")</f>
        <v>Fri</v>
      </c>
      <c r="H1440" t="str">
        <f>IF(WEEKDAY(A1440,2)&gt;5,"Weekend","Weekday")</f>
        <v>Weekday</v>
      </c>
      <c r="I1440" t="str">
        <f>_xlfn.IFS(B1440&lt;=5,"Night (0-5)",B1440&lt;=9,"Morning peak (6-9)",B1440&lt;=15,"Midday (10-15)",B1440&lt;=19,"Evening peak (16-19)",TRUE,"Late evening (20-23)")</f>
        <v>Late evening (20-23)</v>
      </c>
    </row>
    <row r="1441" spans="1:9">
      <c r="A1441" s="32">
        <v>41789</v>
      </c>
      <c r="B1441">
        <v>23</v>
      </c>
      <c r="C1441">
        <v>1243</v>
      </c>
      <c r="D1441" t="s">
        <v>303</v>
      </c>
      <c r="E1441">
        <f>YEAR(A1441)</f>
        <v>2014</v>
      </c>
      <c r="F1441" s="33">
        <f>DATE(YEAR(A1441),MONTH(A1441),1)</f>
        <v>41760.0</v>
      </c>
      <c r="G1441" t="str">
        <f>CHOOSE(WEEKDAY(A1441,2),"Mon","Tue","Wed","Thu","Fri","Sat","Sun")</f>
        <v>Fri</v>
      </c>
      <c r="H1441" t="str">
        <f>IF(WEEKDAY(A1441,2)&gt;5,"Weekend","Weekday")</f>
        <v>Weekday</v>
      </c>
      <c r="I1441" t="str">
        <f>_xlfn.IFS(B1441&lt;=5,"Night (0-5)",B1441&lt;=9,"Morning peak (6-9)",B1441&lt;=15,"Midday (10-15)",B1441&lt;=19,"Evening peak (16-19)",TRUE,"Late evening (20-23)")</f>
        <v>Late evening (20-23)</v>
      </c>
    </row>
    <row r="1442" spans="1:9">
      <c r="A1442" s="32">
        <v>41790</v>
      </c>
      <c r="B1442">
        <v>0</v>
      </c>
      <c r="C1442">
        <v>768</v>
      </c>
      <c r="D1442" t="s">
        <v>303</v>
      </c>
      <c r="E1442">
        <f>YEAR(A1442)</f>
        <v>2014</v>
      </c>
      <c r="F1442" s="33">
        <f>DATE(YEAR(A1442),MONTH(A1442),1)</f>
        <v>41760.0</v>
      </c>
      <c r="G1442" t="str">
        <f>CHOOSE(WEEKDAY(A1442,2),"Mon","Tue","Wed","Thu","Fri","Sat","Sun")</f>
        <v>Sat</v>
      </c>
      <c r="H1442" t="str">
        <f>IF(WEEKDAY(A1442,2)&gt;5,"Weekend","Weekday")</f>
        <v>Weekend</v>
      </c>
      <c r="I1442" t="str">
        <f>_xlfn.IFS(B1442&lt;=5,"Night (0-5)",B1442&lt;=9,"Morning peak (6-9)",B1442&lt;=15,"Midday (10-15)",B1442&lt;=19,"Evening peak (16-19)",TRUE,"Late evening (20-23)")</f>
        <v>Night (0-5)</v>
      </c>
    </row>
    <row r="1443" spans="1:9">
      <c r="A1443" s="32">
        <v>41790</v>
      </c>
      <c r="B1443">
        <v>1</v>
      </c>
      <c r="C1443">
        <v>462</v>
      </c>
      <c r="D1443" t="s">
        <v>303</v>
      </c>
      <c r="E1443">
        <f>YEAR(A1443)</f>
        <v>2014</v>
      </c>
      <c r="F1443" s="33">
        <f>DATE(YEAR(A1443),MONTH(A1443),1)</f>
        <v>41760.0</v>
      </c>
      <c r="G1443" t="str">
        <f>CHOOSE(WEEKDAY(A1443,2),"Mon","Tue","Wed","Thu","Fri","Sat","Sun")</f>
        <v>Sat</v>
      </c>
      <c r="H1443" t="str">
        <f>IF(WEEKDAY(A1443,2)&gt;5,"Weekend","Weekday")</f>
        <v>Weekend</v>
      </c>
      <c r="I1443" t="str">
        <f>_xlfn.IFS(B1443&lt;=5,"Night (0-5)",B1443&lt;=9,"Morning peak (6-9)",B1443&lt;=15,"Midday (10-15)",B1443&lt;=19,"Evening peak (16-19)",TRUE,"Late evening (20-23)")</f>
        <v>Night (0-5)</v>
      </c>
    </row>
    <row r="1444" spans="1:9">
      <c r="A1444" s="32">
        <v>41790</v>
      </c>
      <c r="B1444">
        <v>2</v>
      </c>
      <c r="C1444">
        <v>331</v>
      </c>
      <c r="D1444" t="s">
        <v>303</v>
      </c>
      <c r="E1444">
        <f>YEAR(A1444)</f>
        <v>2014</v>
      </c>
      <c r="F1444" s="33">
        <f>DATE(YEAR(A1444),MONTH(A1444),1)</f>
        <v>41760.0</v>
      </c>
      <c r="G1444" t="str">
        <f>CHOOSE(WEEKDAY(A1444,2),"Mon","Tue","Wed","Thu","Fri","Sat","Sun")</f>
        <v>Sat</v>
      </c>
      <c r="H1444" t="str">
        <f>IF(WEEKDAY(A1444,2)&gt;5,"Weekend","Weekday")</f>
        <v>Weekend</v>
      </c>
      <c r="I1444" t="str">
        <f>_xlfn.IFS(B1444&lt;=5,"Night (0-5)",B1444&lt;=9,"Morning peak (6-9)",B1444&lt;=15,"Midday (10-15)",B1444&lt;=19,"Evening peak (16-19)",TRUE,"Late evening (20-23)")</f>
        <v>Night (0-5)</v>
      </c>
    </row>
    <row r="1445" spans="1:9">
      <c r="A1445" s="32">
        <v>41790</v>
      </c>
      <c r="B1445">
        <v>3</v>
      </c>
      <c r="C1445">
        <v>261</v>
      </c>
      <c r="D1445" t="s">
        <v>303</v>
      </c>
      <c r="E1445">
        <f>YEAR(A1445)</f>
        <v>2014</v>
      </c>
      <c r="F1445" s="33">
        <f>DATE(YEAR(A1445),MONTH(A1445),1)</f>
        <v>41760.0</v>
      </c>
      <c r="G1445" t="str">
        <f>CHOOSE(WEEKDAY(A1445,2),"Mon","Tue","Wed","Thu","Fri","Sat","Sun")</f>
        <v>Sat</v>
      </c>
      <c r="H1445" t="str">
        <f>IF(WEEKDAY(A1445,2)&gt;5,"Weekend","Weekday")</f>
        <v>Weekend</v>
      </c>
      <c r="I1445" t="str">
        <f>_xlfn.IFS(B1445&lt;=5,"Night (0-5)",B1445&lt;=9,"Morning peak (6-9)",B1445&lt;=15,"Midday (10-15)",B1445&lt;=19,"Evening peak (16-19)",TRUE,"Late evening (20-23)")</f>
        <v>Night (0-5)</v>
      </c>
    </row>
    <row r="1446" spans="1:9">
      <c r="A1446" s="32">
        <v>41790</v>
      </c>
      <c r="B1446">
        <v>4</v>
      </c>
      <c r="C1446">
        <v>145</v>
      </c>
      <c r="D1446" t="s">
        <v>303</v>
      </c>
      <c r="E1446">
        <f>YEAR(A1446)</f>
        <v>2014</v>
      </c>
      <c r="F1446" s="33">
        <f>DATE(YEAR(A1446),MONTH(A1446),1)</f>
        <v>41760.0</v>
      </c>
      <c r="G1446" t="str">
        <f>CHOOSE(WEEKDAY(A1446,2),"Mon","Tue","Wed","Thu","Fri","Sat","Sun")</f>
        <v>Sat</v>
      </c>
      <c r="H1446" t="str">
        <f>IF(WEEKDAY(A1446,2)&gt;5,"Weekend","Weekday")</f>
        <v>Weekend</v>
      </c>
      <c r="I1446" t="str">
        <f>_xlfn.IFS(B1446&lt;=5,"Night (0-5)",B1446&lt;=9,"Morning peak (6-9)",B1446&lt;=15,"Midday (10-15)",B1446&lt;=19,"Evening peak (16-19)",TRUE,"Late evening (20-23)")</f>
        <v>Night (0-5)</v>
      </c>
    </row>
    <row r="1447" spans="1:9">
      <c r="A1447" s="32">
        <v>41790</v>
      </c>
      <c r="B1447">
        <v>5</v>
      </c>
      <c r="C1447">
        <v>173</v>
      </c>
      <c r="D1447" t="s">
        <v>303</v>
      </c>
      <c r="E1447">
        <f>YEAR(A1447)</f>
        <v>2014</v>
      </c>
      <c r="F1447" s="33">
        <f>DATE(YEAR(A1447),MONTH(A1447),1)</f>
        <v>41760.0</v>
      </c>
      <c r="G1447" t="str">
        <f>CHOOSE(WEEKDAY(A1447,2),"Mon","Tue","Wed","Thu","Fri","Sat","Sun")</f>
        <v>Sat</v>
      </c>
      <c r="H1447" t="str">
        <f>IF(WEEKDAY(A1447,2)&gt;5,"Weekend","Weekday")</f>
        <v>Weekend</v>
      </c>
      <c r="I1447" t="str">
        <f>_xlfn.IFS(B1447&lt;=5,"Night (0-5)",B1447&lt;=9,"Morning peak (6-9)",B1447&lt;=15,"Midday (10-15)",B1447&lt;=19,"Evening peak (16-19)",TRUE,"Late evening (20-23)")</f>
        <v>Night (0-5)</v>
      </c>
    </row>
    <row r="1448" spans="1:9">
      <c r="A1448" s="32">
        <v>41790</v>
      </c>
      <c r="B1448">
        <v>6</v>
      </c>
      <c r="C1448">
        <v>255</v>
      </c>
      <c r="D1448" t="s">
        <v>303</v>
      </c>
      <c r="E1448">
        <f>YEAR(A1448)</f>
        <v>2014</v>
      </c>
      <c r="F1448" s="33">
        <f>DATE(YEAR(A1448),MONTH(A1448),1)</f>
        <v>41760.0</v>
      </c>
      <c r="G1448" t="str">
        <f>CHOOSE(WEEKDAY(A1448,2),"Mon","Tue","Wed","Thu","Fri","Sat","Sun")</f>
        <v>Sat</v>
      </c>
      <c r="H1448" t="str">
        <f>IF(WEEKDAY(A1448,2)&gt;5,"Weekend","Weekday")</f>
        <v>Weekend</v>
      </c>
      <c r="I1448" t="str">
        <f>_xlfn.IFS(B1448&lt;=5,"Night (0-5)",B1448&lt;=9,"Morning peak (6-9)",B1448&lt;=15,"Midday (10-15)",B1448&lt;=19,"Evening peak (16-19)",TRUE,"Late evening (20-23)")</f>
        <v>Morning peak (6-9)</v>
      </c>
    </row>
    <row r="1449" spans="1:9">
      <c r="A1449" s="32">
        <v>41790</v>
      </c>
      <c r="B1449">
        <v>7</v>
      </c>
      <c r="C1449">
        <v>365</v>
      </c>
      <c r="D1449" t="s">
        <v>303</v>
      </c>
      <c r="E1449">
        <f>YEAR(A1449)</f>
        <v>2014</v>
      </c>
      <c r="F1449" s="33">
        <f>DATE(YEAR(A1449),MONTH(A1449),1)</f>
        <v>41760.0</v>
      </c>
      <c r="G1449" t="str">
        <f>CHOOSE(WEEKDAY(A1449,2),"Mon","Tue","Wed","Thu","Fri","Sat","Sun")</f>
        <v>Sat</v>
      </c>
      <c r="H1449" t="str">
        <f>IF(WEEKDAY(A1449,2)&gt;5,"Weekend","Weekday")</f>
        <v>Weekend</v>
      </c>
      <c r="I1449" t="str">
        <f>_xlfn.IFS(B1449&lt;=5,"Night (0-5)",B1449&lt;=9,"Morning peak (6-9)",B1449&lt;=15,"Midday (10-15)",B1449&lt;=19,"Evening peak (16-19)",TRUE,"Late evening (20-23)")</f>
        <v>Morning peak (6-9)</v>
      </c>
    </row>
    <row r="1450" spans="1:9">
      <c r="A1450" s="32">
        <v>41790</v>
      </c>
      <c r="B1450">
        <v>8</v>
      </c>
      <c r="C1450">
        <v>497</v>
      </c>
      <c r="D1450" t="s">
        <v>303</v>
      </c>
      <c r="E1450">
        <f>YEAR(A1450)</f>
        <v>2014</v>
      </c>
      <c r="F1450" s="33">
        <f>DATE(YEAR(A1450),MONTH(A1450),1)</f>
        <v>41760.0</v>
      </c>
      <c r="G1450" t="str">
        <f>CHOOSE(WEEKDAY(A1450,2),"Mon","Tue","Wed","Thu","Fri","Sat","Sun")</f>
        <v>Sat</v>
      </c>
      <c r="H1450" t="str">
        <f>IF(WEEKDAY(A1450,2)&gt;5,"Weekend","Weekday")</f>
        <v>Weekend</v>
      </c>
      <c r="I1450" t="str">
        <f>_xlfn.IFS(B1450&lt;=5,"Night (0-5)",B1450&lt;=9,"Morning peak (6-9)",B1450&lt;=15,"Midday (10-15)",B1450&lt;=19,"Evening peak (16-19)",TRUE,"Late evening (20-23)")</f>
        <v>Morning peak (6-9)</v>
      </c>
    </row>
    <row r="1451" spans="1:9">
      <c r="A1451" s="32">
        <v>41790</v>
      </c>
      <c r="B1451">
        <v>9</v>
      </c>
      <c r="C1451">
        <v>559</v>
      </c>
      <c r="D1451" t="s">
        <v>303</v>
      </c>
      <c r="E1451">
        <f>YEAR(A1451)</f>
        <v>2014</v>
      </c>
      <c r="F1451" s="33">
        <f>DATE(YEAR(A1451),MONTH(A1451),1)</f>
        <v>41760.0</v>
      </c>
      <c r="G1451" t="str">
        <f>CHOOSE(WEEKDAY(A1451,2),"Mon","Tue","Wed","Thu","Fri","Sat","Sun")</f>
        <v>Sat</v>
      </c>
      <c r="H1451" t="str">
        <f>IF(WEEKDAY(A1451,2)&gt;5,"Weekend","Weekday")</f>
        <v>Weekend</v>
      </c>
      <c r="I1451" t="str">
        <f>_xlfn.IFS(B1451&lt;=5,"Night (0-5)",B1451&lt;=9,"Morning peak (6-9)",B1451&lt;=15,"Midday (10-15)",B1451&lt;=19,"Evening peak (16-19)",TRUE,"Late evening (20-23)")</f>
        <v>Morning peak (6-9)</v>
      </c>
    </row>
    <row r="1452" spans="1:9">
      <c r="A1452" s="32">
        <v>41790</v>
      </c>
      <c r="B1452">
        <v>10</v>
      </c>
      <c r="C1452">
        <v>626</v>
      </c>
      <c r="D1452" t="s">
        <v>303</v>
      </c>
      <c r="E1452">
        <f>YEAR(A1452)</f>
        <v>2014</v>
      </c>
      <c r="F1452" s="33">
        <f>DATE(YEAR(A1452),MONTH(A1452),1)</f>
        <v>41760.0</v>
      </c>
      <c r="G1452" t="str">
        <f>CHOOSE(WEEKDAY(A1452,2),"Mon","Tue","Wed","Thu","Fri","Sat","Sun")</f>
        <v>Sat</v>
      </c>
      <c r="H1452" t="str">
        <f>IF(WEEKDAY(A1452,2)&gt;5,"Weekend","Weekday")</f>
        <v>Weekend</v>
      </c>
      <c r="I1452" t="str">
        <f>_xlfn.IFS(B1452&lt;=5,"Night (0-5)",B1452&lt;=9,"Morning peak (6-9)",B1452&lt;=15,"Midday (10-15)",B1452&lt;=19,"Evening peak (16-19)",TRUE,"Late evening (20-23)")</f>
        <v>Midday (10-15)</v>
      </c>
    </row>
    <row r="1453" spans="1:9">
      <c r="A1453" s="32">
        <v>41790</v>
      </c>
      <c r="B1453">
        <v>11</v>
      </c>
      <c r="C1453">
        <v>713</v>
      </c>
      <c r="D1453" t="s">
        <v>303</v>
      </c>
      <c r="E1453">
        <f>YEAR(A1453)</f>
        <v>2014</v>
      </c>
      <c r="F1453" s="33">
        <f>DATE(YEAR(A1453),MONTH(A1453),1)</f>
        <v>41760.0</v>
      </c>
      <c r="G1453" t="str">
        <f>CHOOSE(WEEKDAY(A1453,2),"Mon","Tue","Wed","Thu","Fri","Sat","Sun")</f>
        <v>Sat</v>
      </c>
      <c r="H1453" t="str">
        <f>IF(WEEKDAY(A1453,2)&gt;5,"Weekend","Weekday")</f>
        <v>Weekend</v>
      </c>
      <c r="I1453" t="str">
        <f>_xlfn.IFS(B1453&lt;=5,"Night (0-5)",B1453&lt;=9,"Morning peak (6-9)",B1453&lt;=15,"Midday (10-15)",B1453&lt;=19,"Evening peak (16-19)",TRUE,"Late evening (20-23)")</f>
        <v>Midday (10-15)</v>
      </c>
    </row>
    <row r="1454" spans="1:9">
      <c r="A1454" s="32">
        <v>41790</v>
      </c>
      <c r="B1454">
        <v>12</v>
      </c>
      <c r="C1454">
        <v>775</v>
      </c>
      <c r="D1454" t="s">
        <v>303</v>
      </c>
      <c r="E1454">
        <f>YEAR(A1454)</f>
        <v>2014</v>
      </c>
      <c r="F1454" s="33">
        <f>DATE(YEAR(A1454),MONTH(A1454),1)</f>
        <v>41760.0</v>
      </c>
      <c r="G1454" t="str">
        <f>CHOOSE(WEEKDAY(A1454,2),"Mon","Tue","Wed","Thu","Fri","Sat","Sun")</f>
        <v>Sat</v>
      </c>
      <c r="H1454" t="str">
        <f>IF(WEEKDAY(A1454,2)&gt;5,"Weekend","Weekday")</f>
        <v>Weekend</v>
      </c>
      <c r="I1454" t="str">
        <f>_xlfn.IFS(B1454&lt;=5,"Night (0-5)",B1454&lt;=9,"Morning peak (6-9)",B1454&lt;=15,"Midday (10-15)",B1454&lt;=19,"Evening peak (16-19)",TRUE,"Late evening (20-23)")</f>
        <v>Midday (10-15)</v>
      </c>
    </row>
    <row r="1455" spans="1:9">
      <c r="A1455" s="32">
        <v>41790</v>
      </c>
      <c r="B1455">
        <v>13</v>
      </c>
      <c r="C1455">
        <v>816</v>
      </c>
      <c r="D1455" t="s">
        <v>303</v>
      </c>
      <c r="E1455">
        <f>YEAR(A1455)</f>
        <v>2014</v>
      </c>
      <c r="F1455" s="33">
        <f>DATE(YEAR(A1455),MONTH(A1455),1)</f>
        <v>41760.0</v>
      </c>
      <c r="G1455" t="str">
        <f>CHOOSE(WEEKDAY(A1455,2),"Mon","Tue","Wed","Thu","Fri","Sat","Sun")</f>
        <v>Sat</v>
      </c>
      <c r="H1455" t="str">
        <f>IF(WEEKDAY(A1455,2)&gt;5,"Weekend","Weekday")</f>
        <v>Weekend</v>
      </c>
      <c r="I1455" t="str">
        <f>_xlfn.IFS(B1455&lt;=5,"Night (0-5)",B1455&lt;=9,"Morning peak (6-9)",B1455&lt;=15,"Midday (10-15)",B1455&lt;=19,"Evening peak (16-19)",TRUE,"Late evening (20-23)")</f>
        <v>Midday (10-15)</v>
      </c>
    </row>
    <row r="1456" spans="1:9">
      <c r="A1456" s="32">
        <v>41790</v>
      </c>
      <c r="B1456">
        <v>14</v>
      </c>
      <c r="C1456">
        <v>1265</v>
      </c>
      <c r="D1456" t="s">
        <v>303</v>
      </c>
      <c r="E1456">
        <f>YEAR(A1456)</f>
        <v>2014</v>
      </c>
      <c r="F1456" s="33">
        <f>DATE(YEAR(A1456),MONTH(A1456),1)</f>
        <v>41760.0</v>
      </c>
      <c r="G1456" t="str">
        <f>CHOOSE(WEEKDAY(A1456,2),"Mon","Tue","Wed","Thu","Fri","Sat","Sun")</f>
        <v>Sat</v>
      </c>
      <c r="H1456" t="str">
        <f>IF(WEEKDAY(A1456,2)&gt;5,"Weekend","Weekday")</f>
        <v>Weekend</v>
      </c>
      <c r="I1456" t="str">
        <f>_xlfn.IFS(B1456&lt;=5,"Night (0-5)",B1456&lt;=9,"Morning peak (6-9)",B1456&lt;=15,"Midday (10-15)",B1456&lt;=19,"Evening peak (16-19)",TRUE,"Late evening (20-23)")</f>
        <v>Midday (10-15)</v>
      </c>
    </row>
    <row r="1457" spans="1:9">
      <c r="A1457" s="32">
        <v>41790</v>
      </c>
      <c r="B1457">
        <v>15</v>
      </c>
      <c r="C1457">
        <v>1584</v>
      </c>
      <c r="D1457" t="s">
        <v>303</v>
      </c>
      <c r="E1457">
        <f>YEAR(A1457)</f>
        <v>2014</v>
      </c>
      <c r="F1457" s="33">
        <f>DATE(YEAR(A1457),MONTH(A1457),1)</f>
        <v>41760.0</v>
      </c>
      <c r="G1457" t="str">
        <f>CHOOSE(WEEKDAY(A1457,2),"Mon","Tue","Wed","Thu","Fri","Sat","Sun")</f>
        <v>Sat</v>
      </c>
      <c r="H1457" t="str">
        <f>IF(WEEKDAY(A1457,2)&gt;5,"Weekend","Weekday")</f>
        <v>Weekend</v>
      </c>
      <c r="I1457" t="str">
        <f>_xlfn.IFS(B1457&lt;=5,"Night (0-5)",B1457&lt;=9,"Morning peak (6-9)",B1457&lt;=15,"Midday (10-15)",B1457&lt;=19,"Evening peak (16-19)",TRUE,"Late evening (20-23)")</f>
        <v>Midday (10-15)</v>
      </c>
    </row>
    <row r="1458" spans="1:9">
      <c r="A1458" s="32">
        <v>41790</v>
      </c>
      <c r="B1458">
        <v>16</v>
      </c>
      <c r="C1458">
        <v>1551</v>
      </c>
      <c r="D1458" t="s">
        <v>303</v>
      </c>
      <c r="E1458">
        <f>YEAR(A1458)</f>
        <v>2014</v>
      </c>
      <c r="F1458" s="33">
        <f>DATE(YEAR(A1458),MONTH(A1458),1)</f>
        <v>41760.0</v>
      </c>
      <c r="G1458" t="str">
        <f>CHOOSE(WEEKDAY(A1458,2),"Mon","Tue","Wed","Thu","Fri","Sat","Sun")</f>
        <v>Sat</v>
      </c>
      <c r="H1458" t="str">
        <f>IF(WEEKDAY(A1458,2)&gt;5,"Weekend","Weekday")</f>
        <v>Weekend</v>
      </c>
      <c r="I1458" t="str">
        <f>_xlfn.IFS(B1458&lt;=5,"Night (0-5)",B1458&lt;=9,"Morning peak (6-9)",B1458&lt;=15,"Midday (10-15)",B1458&lt;=19,"Evening peak (16-19)",TRUE,"Late evening (20-23)")</f>
        <v>Evening peak (16-19)</v>
      </c>
    </row>
    <row r="1459" spans="1:9">
      <c r="A1459" s="32">
        <v>41790</v>
      </c>
      <c r="B1459">
        <v>17</v>
      </c>
      <c r="C1459">
        <v>1348</v>
      </c>
      <c r="D1459" t="s">
        <v>303</v>
      </c>
      <c r="E1459">
        <f>YEAR(A1459)</f>
        <v>2014</v>
      </c>
      <c r="F1459" s="33">
        <f>DATE(YEAR(A1459),MONTH(A1459),1)</f>
        <v>41760.0</v>
      </c>
      <c r="G1459" t="str">
        <f>CHOOSE(WEEKDAY(A1459,2),"Mon","Tue","Wed","Thu","Fri","Sat","Sun")</f>
        <v>Sat</v>
      </c>
      <c r="H1459" t="str">
        <f>IF(WEEKDAY(A1459,2)&gt;5,"Weekend","Weekday")</f>
        <v>Weekend</v>
      </c>
      <c r="I1459" t="str">
        <f>_xlfn.IFS(B1459&lt;=5,"Night (0-5)",B1459&lt;=9,"Morning peak (6-9)",B1459&lt;=15,"Midday (10-15)",B1459&lt;=19,"Evening peak (16-19)",TRUE,"Late evening (20-23)")</f>
        <v>Evening peak (16-19)</v>
      </c>
    </row>
    <row r="1460" spans="1:9">
      <c r="A1460" s="32">
        <v>41790</v>
      </c>
      <c r="B1460">
        <v>18</v>
      </c>
      <c r="C1460">
        <v>1470</v>
      </c>
      <c r="D1460" t="s">
        <v>303</v>
      </c>
      <c r="E1460">
        <f>YEAR(A1460)</f>
        <v>2014</v>
      </c>
      <c r="F1460" s="33">
        <f>DATE(YEAR(A1460),MONTH(A1460),1)</f>
        <v>41760.0</v>
      </c>
      <c r="G1460" t="str">
        <f>CHOOSE(WEEKDAY(A1460,2),"Mon","Tue","Wed","Thu","Fri","Sat","Sun")</f>
        <v>Sat</v>
      </c>
      <c r="H1460" t="str">
        <f>IF(WEEKDAY(A1460,2)&gt;5,"Weekend","Weekday")</f>
        <v>Weekend</v>
      </c>
      <c r="I1460" t="str">
        <f>_xlfn.IFS(B1460&lt;=5,"Night (0-5)",B1460&lt;=9,"Morning peak (6-9)",B1460&lt;=15,"Midday (10-15)",B1460&lt;=19,"Evening peak (16-19)",TRUE,"Late evening (20-23)")</f>
        <v>Evening peak (16-19)</v>
      </c>
    </row>
    <row r="1461" spans="1:9">
      <c r="A1461" s="32">
        <v>41790</v>
      </c>
      <c r="B1461">
        <v>19</v>
      </c>
      <c r="C1461">
        <v>1219</v>
      </c>
      <c r="D1461" t="s">
        <v>303</v>
      </c>
      <c r="E1461">
        <f>YEAR(A1461)</f>
        <v>2014</v>
      </c>
      <c r="F1461" s="33">
        <f>DATE(YEAR(A1461),MONTH(A1461),1)</f>
        <v>41760.0</v>
      </c>
      <c r="G1461" t="str">
        <f>CHOOSE(WEEKDAY(A1461,2),"Mon","Tue","Wed","Thu","Fri","Sat","Sun")</f>
        <v>Sat</v>
      </c>
      <c r="H1461" t="str">
        <f>IF(WEEKDAY(A1461,2)&gt;5,"Weekend","Weekday")</f>
        <v>Weekend</v>
      </c>
      <c r="I1461" t="str">
        <f>_xlfn.IFS(B1461&lt;=5,"Night (0-5)",B1461&lt;=9,"Morning peak (6-9)",B1461&lt;=15,"Midday (10-15)",B1461&lt;=19,"Evening peak (16-19)",TRUE,"Late evening (20-23)")</f>
        <v>Evening peak (16-19)</v>
      </c>
    </row>
    <row r="1462" spans="1:9">
      <c r="A1462" s="32">
        <v>41790</v>
      </c>
      <c r="B1462">
        <v>20</v>
      </c>
      <c r="C1462">
        <v>1203</v>
      </c>
      <c r="D1462" t="s">
        <v>303</v>
      </c>
      <c r="E1462">
        <f>YEAR(A1462)</f>
        <v>2014</v>
      </c>
      <c r="F1462" s="33">
        <f>DATE(YEAR(A1462),MONTH(A1462),1)</f>
        <v>41760.0</v>
      </c>
      <c r="G1462" t="str">
        <f>CHOOSE(WEEKDAY(A1462,2),"Mon","Tue","Wed","Thu","Fri","Sat","Sun")</f>
        <v>Sat</v>
      </c>
      <c r="H1462" t="str">
        <f>IF(WEEKDAY(A1462,2)&gt;5,"Weekend","Weekday")</f>
        <v>Weekend</v>
      </c>
      <c r="I1462" t="str">
        <f>_xlfn.IFS(B1462&lt;=5,"Night (0-5)",B1462&lt;=9,"Morning peak (6-9)",B1462&lt;=15,"Midday (10-15)",B1462&lt;=19,"Evening peak (16-19)",TRUE,"Late evening (20-23)")</f>
        <v>Late evening (20-23)</v>
      </c>
    </row>
    <row r="1463" spans="1:9">
      <c r="A1463" s="32">
        <v>41790</v>
      </c>
      <c r="B1463">
        <v>21</v>
      </c>
      <c r="C1463">
        <v>1466</v>
      </c>
      <c r="D1463" t="s">
        <v>303</v>
      </c>
      <c r="E1463">
        <f>YEAR(A1463)</f>
        <v>2014</v>
      </c>
      <c r="F1463" s="33">
        <f>DATE(YEAR(A1463),MONTH(A1463),1)</f>
        <v>41760.0</v>
      </c>
      <c r="G1463" t="str">
        <f>CHOOSE(WEEKDAY(A1463,2),"Mon","Tue","Wed","Thu","Fri","Sat","Sun")</f>
        <v>Sat</v>
      </c>
      <c r="H1463" t="str">
        <f>IF(WEEKDAY(A1463,2)&gt;5,"Weekend","Weekday")</f>
        <v>Weekend</v>
      </c>
      <c r="I1463" t="str">
        <f>_xlfn.IFS(B1463&lt;=5,"Night (0-5)",B1463&lt;=9,"Morning peak (6-9)",B1463&lt;=15,"Midday (10-15)",B1463&lt;=19,"Evening peak (16-19)",TRUE,"Late evening (20-23)")</f>
        <v>Late evening (20-23)</v>
      </c>
    </row>
    <row r="1464" spans="1:9">
      <c r="A1464" s="32">
        <v>41790</v>
      </c>
      <c r="B1464">
        <v>22</v>
      </c>
      <c r="C1464">
        <v>1793</v>
      </c>
      <c r="D1464" t="s">
        <v>303</v>
      </c>
      <c r="E1464">
        <f>YEAR(A1464)</f>
        <v>2014</v>
      </c>
      <c r="F1464" s="33">
        <f>DATE(YEAR(A1464),MONTH(A1464),1)</f>
        <v>41760.0</v>
      </c>
      <c r="G1464" t="str">
        <f>CHOOSE(WEEKDAY(A1464,2),"Mon","Tue","Wed","Thu","Fri","Sat","Sun")</f>
        <v>Sat</v>
      </c>
      <c r="H1464" t="str">
        <f>IF(WEEKDAY(A1464,2)&gt;5,"Weekend","Weekday")</f>
        <v>Weekend</v>
      </c>
      <c r="I1464" t="str">
        <f>_xlfn.IFS(B1464&lt;=5,"Night (0-5)",B1464&lt;=9,"Morning peak (6-9)",B1464&lt;=15,"Midday (10-15)",B1464&lt;=19,"Evening peak (16-19)",TRUE,"Late evening (20-23)")</f>
        <v>Late evening (20-23)</v>
      </c>
    </row>
    <row r="1465" spans="1:9">
      <c r="A1465" s="32">
        <v>41790</v>
      </c>
      <c r="B1465">
        <v>23</v>
      </c>
      <c r="C1465">
        <v>1616</v>
      </c>
      <c r="D1465" t="s">
        <v>303</v>
      </c>
      <c r="E1465">
        <f>YEAR(A1465)</f>
        <v>2014</v>
      </c>
      <c r="F1465" s="33">
        <f>DATE(YEAR(A1465),MONTH(A1465),1)</f>
        <v>41760.0</v>
      </c>
      <c r="G1465" t="str">
        <f>CHOOSE(WEEKDAY(A1465,2),"Mon","Tue","Wed","Thu","Fri","Sat","Sun")</f>
        <v>Sat</v>
      </c>
      <c r="H1465" t="str">
        <f>IF(WEEKDAY(A1465,2)&gt;5,"Weekend","Weekday")</f>
        <v>Weekend</v>
      </c>
      <c r="I1465" t="str">
        <f>_xlfn.IFS(B1465&lt;=5,"Night (0-5)",B1465&lt;=9,"Morning peak (6-9)",B1465&lt;=15,"Midday (10-15)",B1465&lt;=19,"Evening peak (16-19)",TRUE,"Late evening (20-23)")</f>
        <v>Late evening (20-23)</v>
      </c>
    </row>
    <row r="1466" spans="1:9">
      <c r="A1466" s="32">
        <v>41791</v>
      </c>
      <c r="B1466">
        <v>0</v>
      </c>
      <c r="C1466">
        <v>1112</v>
      </c>
      <c r="D1466" t="s">
        <v>303</v>
      </c>
      <c r="E1466">
        <f>YEAR(A1466)</f>
        <v>2014</v>
      </c>
      <c r="F1466" s="33">
        <f>DATE(YEAR(A1466),MONTH(A1466),1)</f>
        <v>41791.0</v>
      </c>
      <c r="G1466" t="str">
        <f>CHOOSE(WEEKDAY(A1466,2),"Mon","Tue","Wed","Thu","Fri","Sat","Sun")</f>
        <v>Sun</v>
      </c>
      <c r="H1466" t="str">
        <f>IF(WEEKDAY(A1466,2)&gt;5,"Weekend","Weekday")</f>
        <v>Weekend</v>
      </c>
      <c r="I1466" t="str">
        <f>_xlfn.IFS(B1466&lt;=5,"Night (0-5)",B1466&lt;=9,"Morning peak (6-9)",B1466&lt;=15,"Midday (10-15)",B1466&lt;=19,"Evening peak (16-19)",TRUE,"Late evening (20-23)")</f>
        <v>Night (0-5)</v>
      </c>
    </row>
    <row r="1467" spans="1:9">
      <c r="A1467" s="32">
        <v>41791</v>
      </c>
      <c r="B1467">
        <v>1</v>
      </c>
      <c r="C1467">
        <v>685</v>
      </c>
      <c r="D1467" t="s">
        <v>303</v>
      </c>
      <c r="E1467">
        <f>YEAR(A1467)</f>
        <v>2014</v>
      </c>
      <c r="F1467" s="33">
        <f>DATE(YEAR(A1467),MONTH(A1467),1)</f>
        <v>41791.0</v>
      </c>
      <c r="G1467" t="str">
        <f>CHOOSE(WEEKDAY(A1467,2),"Mon","Tue","Wed","Thu","Fri","Sat","Sun")</f>
        <v>Sun</v>
      </c>
      <c r="H1467" t="str">
        <f>IF(WEEKDAY(A1467,2)&gt;5,"Weekend","Weekday")</f>
        <v>Weekend</v>
      </c>
      <c r="I1467" t="str">
        <f>_xlfn.IFS(B1467&lt;=5,"Night (0-5)",B1467&lt;=9,"Morning peak (6-9)",B1467&lt;=15,"Midday (10-15)",B1467&lt;=19,"Evening peak (16-19)",TRUE,"Late evening (20-23)")</f>
        <v>Night (0-5)</v>
      </c>
    </row>
    <row r="1468" spans="1:9">
      <c r="A1468" s="32">
        <v>41791</v>
      </c>
      <c r="B1468">
        <v>2</v>
      </c>
      <c r="C1468">
        <v>396</v>
      </c>
      <c r="D1468" t="s">
        <v>303</v>
      </c>
      <c r="E1468">
        <f>YEAR(A1468)</f>
        <v>2014</v>
      </c>
      <c r="F1468" s="33">
        <f>DATE(YEAR(A1468),MONTH(A1468),1)</f>
        <v>41791.0</v>
      </c>
      <c r="G1468" t="str">
        <f>CHOOSE(WEEKDAY(A1468,2),"Mon","Tue","Wed","Thu","Fri","Sat","Sun")</f>
        <v>Sun</v>
      </c>
      <c r="H1468" t="str">
        <f>IF(WEEKDAY(A1468,2)&gt;5,"Weekend","Weekday")</f>
        <v>Weekend</v>
      </c>
      <c r="I1468" t="str">
        <f>_xlfn.IFS(B1468&lt;=5,"Night (0-5)",B1468&lt;=9,"Morning peak (6-9)",B1468&lt;=15,"Midday (10-15)",B1468&lt;=19,"Evening peak (16-19)",TRUE,"Late evening (20-23)")</f>
        <v>Night (0-5)</v>
      </c>
    </row>
    <row r="1469" spans="1:9">
      <c r="A1469" s="32">
        <v>41791</v>
      </c>
      <c r="B1469">
        <v>3</v>
      </c>
      <c r="C1469">
        <v>281</v>
      </c>
      <c r="D1469" t="s">
        <v>303</v>
      </c>
      <c r="E1469">
        <f>YEAR(A1469)</f>
        <v>2014</v>
      </c>
      <c r="F1469" s="33">
        <f>DATE(YEAR(A1469),MONTH(A1469),1)</f>
        <v>41791.0</v>
      </c>
      <c r="G1469" t="str">
        <f>CHOOSE(WEEKDAY(A1469,2),"Mon","Tue","Wed","Thu","Fri","Sat","Sun")</f>
        <v>Sun</v>
      </c>
      <c r="H1469" t="str">
        <f>IF(WEEKDAY(A1469,2)&gt;5,"Weekend","Weekday")</f>
        <v>Weekend</v>
      </c>
      <c r="I1469" t="str">
        <f>_xlfn.IFS(B1469&lt;=5,"Night (0-5)",B1469&lt;=9,"Morning peak (6-9)",B1469&lt;=15,"Midday (10-15)",B1469&lt;=19,"Evening peak (16-19)",TRUE,"Late evening (20-23)")</f>
        <v>Night (0-5)</v>
      </c>
    </row>
    <row r="1470" spans="1:9">
      <c r="A1470" s="32">
        <v>41791</v>
      </c>
      <c r="B1470">
        <v>4</v>
      </c>
      <c r="C1470">
        <v>155</v>
      </c>
      <c r="D1470" t="s">
        <v>303</v>
      </c>
      <c r="E1470">
        <f>YEAR(A1470)</f>
        <v>2014</v>
      </c>
      <c r="F1470" s="33">
        <f>DATE(YEAR(A1470),MONTH(A1470),1)</f>
        <v>41791.0</v>
      </c>
      <c r="G1470" t="str">
        <f>CHOOSE(WEEKDAY(A1470,2),"Mon","Tue","Wed","Thu","Fri","Sat","Sun")</f>
        <v>Sun</v>
      </c>
      <c r="H1470" t="str">
        <f>IF(WEEKDAY(A1470,2)&gt;5,"Weekend","Weekday")</f>
        <v>Weekend</v>
      </c>
      <c r="I1470" t="str">
        <f>_xlfn.IFS(B1470&lt;=5,"Night (0-5)",B1470&lt;=9,"Morning peak (6-9)",B1470&lt;=15,"Midday (10-15)",B1470&lt;=19,"Evening peak (16-19)",TRUE,"Late evening (20-23)")</f>
        <v>Night (0-5)</v>
      </c>
    </row>
    <row r="1471" spans="1:9">
      <c r="A1471" s="32">
        <v>41791</v>
      </c>
      <c r="B1471">
        <v>5</v>
      </c>
      <c r="C1471">
        <v>165</v>
      </c>
      <c r="D1471" t="s">
        <v>303</v>
      </c>
      <c r="E1471">
        <f>YEAR(A1471)</f>
        <v>2014</v>
      </c>
      <c r="F1471" s="33">
        <f>DATE(YEAR(A1471),MONTH(A1471),1)</f>
        <v>41791.0</v>
      </c>
      <c r="G1471" t="str">
        <f>CHOOSE(WEEKDAY(A1471,2),"Mon","Tue","Wed","Thu","Fri","Sat","Sun")</f>
        <v>Sun</v>
      </c>
      <c r="H1471" t="str">
        <f>IF(WEEKDAY(A1471,2)&gt;5,"Weekend","Weekday")</f>
        <v>Weekend</v>
      </c>
      <c r="I1471" t="str">
        <f>_xlfn.IFS(B1471&lt;=5,"Night (0-5)",B1471&lt;=9,"Morning peak (6-9)",B1471&lt;=15,"Midday (10-15)",B1471&lt;=19,"Evening peak (16-19)",TRUE,"Late evening (20-23)")</f>
        <v>Night (0-5)</v>
      </c>
    </row>
    <row r="1472" spans="1:9">
      <c r="A1472" s="32">
        <v>41791</v>
      </c>
      <c r="B1472">
        <v>6</v>
      </c>
      <c r="C1472">
        <v>200</v>
      </c>
      <c r="D1472" t="s">
        <v>303</v>
      </c>
      <c r="E1472">
        <f>YEAR(A1472)</f>
        <v>2014</v>
      </c>
      <c r="F1472" s="33">
        <f>DATE(YEAR(A1472),MONTH(A1472),1)</f>
        <v>41791.0</v>
      </c>
      <c r="G1472" t="str">
        <f>CHOOSE(WEEKDAY(A1472,2),"Mon","Tue","Wed","Thu","Fri","Sat","Sun")</f>
        <v>Sun</v>
      </c>
      <c r="H1472" t="str">
        <f>IF(WEEKDAY(A1472,2)&gt;5,"Weekend","Weekday")</f>
        <v>Weekend</v>
      </c>
      <c r="I1472" t="str">
        <f>_xlfn.IFS(B1472&lt;=5,"Night (0-5)",B1472&lt;=9,"Morning peak (6-9)",B1472&lt;=15,"Midday (10-15)",B1472&lt;=19,"Evening peak (16-19)",TRUE,"Late evening (20-23)")</f>
        <v>Morning peak (6-9)</v>
      </c>
    </row>
    <row r="1473" spans="1:9">
      <c r="A1473" s="32">
        <v>41791</v>
      </c>
      <c r="B1473">
        <v>7</v>
      </c>
      <c r="C1473">
        <v>265</v>
      </c>
      <c r="D1473" t="s">
        <v>303</v>
      </c>
      <c r="E1473">
        <f>YEAR(A1473)</f>
        <v>2014</v>
      </c>
      <c r="F1473" s="33">
        <f>DATE(YEAR(A1473),MONTH(A1473),1)</f>
        <v>41791.0</v>
      </c>
      <c r="G1473" t="str">
        <f>CHOOSE(WEEKDAY(A1473,2),"Mon","Tue","Wed","Thu","Fri","Sat","Sun")</f>
        <v>Sun</v>
      </c>
      <c r="H1473" t="str">
        <f>IF(WEEKDAY(A1473,2)&gt;5,"Weekend","Weekday")</f>
        <v>Weekend</v>
      </c>
      <c r="I1473" t="str">
        <f>_xlfn.IFS(B1473&lt;=5,"Night (0-5)",B1473&lt;=9,"Morning peak (6-9)",B1473&lt;=15,"Midday (10-15)",B1473&lt;=19,"Evening peak (16-19)",TRUE,"Late evening (20-23)")</f>
        <v>Morning peak (6-9)</v>
      </c>
    </row>
    <row r="1474" spans="1:9">
      <c r="A1474" s="32">
        <v>41791</v>
      </c>
      <c r="B1474">
        <v>8</v>
      </c>
      <c r="C1474">
        <v>386</v>
      </c>
      <c r="D1474" t="s">
        <v>303</v>
      </c>
      <c r="E1474">
        <f>YEAR(A1474)</f>
        <v>2014</v>
      </c>
      <c r="F1474" s="33">
        <f>DATE(YEAR(A1474),MONTH(A1474),1)</f>
        <v>41791.0</v>
      </c>
      <c r="G1474" t="str">
        <f>CHOOSE(WEEKDAY(A1474,2),"Mon","Tue","Wed","Thu","Fri","Sat","Sun")</f>
        <v>Sun</v>
      </c>
      <c r="H1474" t="str">
        <f>IF(WEEKDAY(A1474,2)&gt;5,"Weekend","Weekday")</f>
        <v>Weekend</v>
      </c>
      <c r="I1474" t="str">
        <f>_xlfn.IFS(B1474&lt;=5,"Night (0-5)",B1474&lt;=9,"Morning peak (6-9)",B1474&lt;=15,"Midday (10-15)",B1474&lt;=19,"Evening peak (16-19)",TRUE,"Late evening (20-23)")</f>
        <v>Morning peak (6-9)</v>
      </c>
    </row>
    <row r="1475" spans="1:9">
      <c r="A1475" s="32">
        <v>41791</v>
      </c>
      <c r="B1475">
        <v>9</v>
      </c>
      <c r="C1475">
        <v>500</v>
      </c>
      <c r="D1475" t="s">
        <v>303</v>
      </c>
      <c r="E1475">
        <f>YEAR(A1475)</f>
        <v>2014</v>
      </c>
      <c r="F1475" s="33">
        <f>DATE(YEAR(A1475),MONTH(A1475),1)</f>
        <v>41791.0</v>
      </c>
      <c r="G1475" t="str">
        <f>CHOOSE(WEEKDAY(A1475,2),"Mon","Tue","Wed","Thu","Fri","Sat","Sun")</f>
        <v>Sun</v>
      </c>
      <c r="H1475" t="str">
        <f>IF(WEEKDAY(A1475,2)&gt;5,"Weekend","Weekday")</f>
        <v>Weekend</v>
      </c>
      <c r="I1475" t="str">
        <f>_xlfn.IFS(B1475&lt;=5,"Night (0-5)",B1475&lt;=9,"Morning peak (6-9)",B1475&lt;=15,"Midday (10-15)",B1475&lt;=19,"Evening peak (16-19)",TRUE,"Late evening (20-23)")</f>
        <v>Morning peak (6-9)</v>
      </c>
    </row>
    <row r="1476" spans="1:9">
      <c r="A1476" s="32">
        <v>41791</v>
      </c>
      <c r="B1476">
        <v>10</v>
      </c>
      <c r="C1476">
        <v>638</v>
      </c>
      <c r="D1476" t="s">
        <v>303</v>
      </c>
      <c r="E1476">
        <f>YEAR(A1476)</f>
        <v>2014</v>
      </c>
      <c r="F1476" s="33">
        <f>DATE(YEAR(A1476),MONTH(A1476),1)</f>
        <v>41791.0</v>
      </c>
      <c r="G1476" t="str">
        <f>CHOOSE(WEEKDAY(A1476,2),"Mon","Tue","Wed","Thu","Fri","Sat","Sun")</f>
        <v>Sun</v>
      </c>
      <c r="H1476" t="str">
        <f>IF(WEEKDAY(A1476,2)&gt;5,"Weekend","Weekday")</f>
        <v>Weekend</v>
      </c>
      <c r="I1476" t="str">
        <f>_xlfn.IFS(B1476&lt;=5,"Night (0-5)",B1476&lt;=9,"Morning peak (6-9)",B1476&lt;=15,"Midday (10-15)",B1476&lt;=19,"Evening peak (16-19)",TRUE,"Late evening (20-23)")</f>
        <v>Midday (10-15)</v>
      </c>
    </row>
    <row r="1477" spans="1:9">
      <c r="A1477" s="32">
        <v>41791</v>
      </c>
      <c r="B1477">
        <v>11</v>
      </c>
      <c r="C1477">
        <v>740</v>
      </c>
      <c r="D1477" t="s">
        <v>303</v>
      </c>
      <c r="E1477">
        <f>YEAR(A1477)</f>
        <v>2014</v>
      </c>
      <c r="F1477" s="33">
        <f>DATE(YEAR(A1477),MONTH(A1477),1)</f>
        <v>41791.0</v>
      </c>
      <c r="G1477" t="str">
        <f>CHOOSE(WEEKDAY(A1477,2),"Mon","Tue","Wed","Thu","Fri","Sat","Sun")</f>
        <v>Sun</v>
      </c>
      <c r="H1477" t="str">
        <f>IF(WEEKDAY(A1477,2)&gt;5,"Weekend","Weekday")</f>
        <v>Weekend</v>
      </c>
      <c r="I1477" t="str">
        <f>_xlfn.IFS(B1477&lt;=5,"Night (0-5)",B1477&lt;=9,"Morning peak (6-9)",B1477&lt;=15,"Midday (10-15)",B1477&lt;=19,"Evening peak (16-19)",TRUE,"Late evening (20-23)")</f>
        <v>Midday (10-15)</v>
      </c>
    </row>
    <row r="1478" spans="1:9">
      <c r="A1478" s="32">
        <v>41791</v>
      </c>
      <c r="B1478">
        <v>12</v>
      </c>
      <c r="C1478">
        <v>807</v>
      </c>
      <c r="D1478" t="s">
        <v>303</v>
      </c>
      <c r="E1478">
        <f>YEAR(A1478)</f>
        <v>2014</v>
      </c>
      <c r="F1478" s="33">
        <f>DATE(YEAR(A1478),MONTH(A1478),1)</f>
        <v>41791.0</v>
      </c>
      <c r="G1478" t="str">
        <f>CHOOSE(WEEKDAY(A1478,2),"Mon","Tue","Wed","Thu","Fri","Sat","Sun")</f>
        <v>Sun</v>
      </c>
      <c r="H1478" t="str">
        <f>IF(WEEKDAY(A1478,2)&gt;5,"Weekend","Weekday")</f>
        <v>Weekend</v>
      </c>
      <c r="I1478" t="str">
        <f>_xlfn.IFS(B1478&lt;=5,"Night (0-5)",B1478&lt;=9,"Morning peak (6-9)",B1478&lt;=15,"Midday (10-15)",B1478&lt;=19,"Evening peak (16-19)",TRUE,"Late evening (20-23)")</f>
        <v>Midday (10-15)</v>
      </c>
    </row>
    <row r="1479" spans="1:9">
      <c r="A1479" s="32">
        <v>41791</v>
      </c>
      <c r="B1479">
        <v>13</v>
      </c>
      <c r="C1479">
        <v>913</v>
      </c>
      <c r="D1479" t="s">
        <v>303</v>
      </c>
      <c r="E1479">
        <f>YEAR(A1479)</f>
        <v>2014</v>
      </c>
      <c r="F1479" s="33">
        <f>DATE(YEAR(A1479),MONTH(A1479),1)</f>
        <v>41791.0</v>
      </c>
      <c r="G1479" t="str">
        <f>CHOOSE(WEEKDAY(A1479,2),"Mon","Tue","Wed","Thu","Fri","Sat","Sun")</f>
        <v>Sun</v>
      </c>
      <c r="H1479" t="str">
        <f>IF(WEEKDAY(A1479,2)&gt;5,"Weekend","Weekday")</f>
        <v>Weekend</v>
      </c>
      <c r="I1479" t="str">
        <f>_xlfn.IFS(B1479&lt;=5,"Night (0-5)",B1479&lt;=9,"Morning peak (6-9)",B1479&lt;=15,"Midday (10-15)",B1479&lt;=19,"Evening peak (16-19)",TRUE,"Late evening (20-23)")</f>
        <v>Midday (10-15)</v>
      </c>
    </row>
    <row r="1480" spans="1:9">
      <c r="A1480" s="32">
        <v>41791</v>
      </c>
      <c r="B1480">
        <v>14</v>
      </c>
      <c r="C1480">
        <v>997</v>
      </c>
      <c r="D1480" t="s">
        <v>303</v>
      </c>
      <c r="E1480">
        <f>YEAR(A1480)</f>
        <v>2014</v>
      </c>
      <c r="F1480" s="33">
        <f>DATE(YEAR(A1480),MONTH(A1480),1)</f>
        <v>41791.0</v>
      </c>
      <c r="G1480" t="str">
        <f>CHOOSE(WEEKDAY(A1480,2),"Mon","Tue","Wed","Thu","Fri","Sat","Sun")</f>
        <v>Sun</v>
      </c>
      <c r="H1480" t="str">
        <f>IF(WEEKDAY(A1480,2)&gt;5,"Weekend","Weekday")</f>
        <v>Weekend</v>
      </c>
      <c r="I1480" t="str">
        <f>_xlfn.IFS(B1480&lt;=5,"Night (0-5)",B1480&lt;=9,"Morning peak (6-9)",B1480&lt;=15,"Midday (10-15)",B1480&lt;=19,"Evening peak (16-19)",TRUE,"Late evening (20-23)")</f>
        <v>Midday (10-15)</v>
      </c>
    </row>
    <row r="1481" spans="1:9">
      <c r="A1481" s="32">
        <v>41791</v>
      </c>
      <c r="B1481">
        <v>15</v>
      </c>
      <c r="C1481">
        <v>1092</v>
      </c>
      <c r="D1481" t="s">
        <v>303</v>
      </c>
      <c r="E1481">
        <f>YEAR(A1481)</f>
        <v>2014</v>
      </c>
      <c r="F1481" s="33">
        <f>DATE(YEAR(A1481),MONTH(A1481),1)</f>
        <v>41791.0</v>
      </c>
      <c r="G1481" t="str">
        <f>CHOOSE(WEEKDAY(A1481,2),"Mon","Tue","Wed","Thu","Fri","Sat","Sun")</f>
        <v>Sun</v>
      </c>
      <c r="H1481" t="str">
        <f>IF(WEEKDAY(A1481,2)&gt;5,"Weekend","Weekday")</f>
        <v>Weekend</v>
      </c>
      <c r="I1481" t="str">
        <f>_xlfn.IFS(B1481&lt;=5,"Night (0-5)",B1481&lt;=9,"Morning peak (6-9)",B1481&lt;=15,"Midday (10-15)",B1481&lt;=19,"Evening peak (16-19)",TRUE,"Late evening (20-23)")</f>
        <v>Midday (10-15)</v>
      </c>
    </row>
    <row r="1482" spans="1:9">
      <c r="A1482" s="32">
        <v>41791</v>
      </c>
      <c r="B1482">
        <v>16</v>
      </c>
      <c r="C1482">
        <v>1169</v>
      </c>
      <c r="D1482" t="s">
        <v>303</v>
      </c>
      <c r="E1482">
        <f>YEAR(A1482)</f>
        <v>2014</v>
      </c>
      <c r="F1482" s="33">
        <f>DATE(YEAR(A1482),MONTH(A1482),1)</f>
        <v>41791.0</v>
      </c>
      <c r="G1482" t="str">
        <f>CHOOSE(WEEKDAY(A1482,2),"Mon","Tue","Wed","Thu","Fri","Sat","Sun")</f>
        <v>Sun</v>
      </c>
      <c r="H1482" t="str">
        <f>IF(WEEKDAY(A1482,2)&gt;5,"Weekend","Weekday")</f>
        <v>Weekend</v>
      </c>
      <c r="I1482" t="str">
        <f>_xlfn.IFS(B1482&lt;=5,"Night (0-5)",B1482&lt;=9,"Morning peak (6-9)",B1482&lt;=15,"Midday (10-15)",B1482&lt;=19,"Evening peak (16-19)",TRUE,"Late evening (20-23)")</f>
        <v>Evening peak (16-19)</v>
      </c>
    </row>
    <row r="1483" spans="1:9">
      <c r="A1483" s="32">
        <v>41791</v>
      </c>
      <c r="B1483">
        <v>17</v>
      </c>
      <c r="C1483">
        <v>1113</v>
      </c>
      <c r="D1483" t="s">
        <v>303</v>
      </c>
      <c r="E1483">
        <f>YEAR(A1483)</f>
        <v>2014</v>
      </c>
      <c r="F1483" s="33">
        <f>DATE(YEAR(A1483),MONTH(A1483),1)</f>
        <v>41791.0</v>
      </c>
      <c r="G1483" t="str">
        <f>CHOOSE(WEEKDAY(A1483,2),"Mon","Tue","Wed","Thu","Fri","Sat","Sun")</f>
        <v>Sun</v>
      </c>
      <c r="H1483" t="str">
        <f>IF(WEEKDAY(A1483,2)&gt;5,"Weekend","Weekday")</f>
        <v>Weekend</v>
      </c>
      <c r="I1483" t="str">
        <f>_xlfn.IFS(B1483&lt;=5,"Night (0-5)",B1483&lt;=9,"Morning peak (6-9)",B1483&lt;=15,"Midday (10-15)",B1483&lt;=19,"Evening peak (16-19)",TRUE,"Late evening (20-23)")</f>
        <v>Evening peak (16-19)</v>
      </c>
    </row>
    <row r="1484" spans="1:9">
      <c r="A1484" s="32">
        <v>41791</v>
      </c>
      <c r="B1484">
        <v>18</v>
      </c>
      <c r="C1484">
        <v>983</v>
      </c>
      <c r="D1484" t="s">
        <v>303</v>
      </c>
      <c r="E1484">
        <f>YEAR(A1484)</f>
        <v>2014</v>
      </c>
      <c r="F1484" s="33">
        <f>DATE(YEAR(A1484),MONTH(A1484),1)</f>
        <v>41791.0</v>
      </c>
      <c r="G1484" t="str">
        <f>CHOOSE(WEEKDAY(A1484,2),"Mon","Tue","Wed","Thu","Fri","Sat","Sun")</f>
        <v>Sun</v>
      </c>
      <c r="H1484" t="str">
        <f>IF(WEEKDAY(A1484,2)&gt;5,"Weekend","Weekday")</f>
        <v>Weekend</v>
      </c>
      <c r="I1484" t="str">
        <f>_xlfn.IFS(B1484&lt;=5,"Night (0-5)",B1484&lt;=9,"Morning peak (6-9)",B1484&lt;=15,"Midday (10-15)",B1484&lt;=19,"Evening peak (16-19)",TRUE,"Late evening (20-23)")</f>
        <v>Evening peak (16-19)</v>
      </c>
    </row>
    <row r="1485" spans="1:9">
      <c r="A1485" s="32">
        <v>41791</v>
      </c>
      <c r="B1485">
        <v>19</v>
      </c>
      <c r="C1485">
        <v>814</v>
      </c>
      <c r="D1485" t="s">
        <v>303</v>
      </c>
      <c r="E1485">
        <f>YEAR(A1485)</f>
        <v>2014</v>
      </c>
      <c r="F1485" s="33">
        <f>DATE(YEAR(A1485),MONTH(A1485),1)</f>
        <v>41791.0</v>
      </c>
      <c r="G1485" t="str">
        <f>CHOOSE(WEEKDAY(A1485,2),"Mon","Tue","Wed","Thu","Fri","Sat","Sun")</f>
        <v>Sun</v>
      </c>
      <c r="H1485" t="str">
        <f>IF(WEEKDAY(A1485,2)&gt;5,"Weekend","Weekday")</f>
        <v>Weekend</v>
      </c>
      <c r="I1485" t="str">
        <f>_xlfn.IFS(B1485&lt;=5,"Night (0-5)",B1485&lt;=9,"Morning peak (6-9)",B1485&lt;=15,"Midday (10-15)",B1485&lt;=19,"Evening peak (16-19)",TRUE,"Late evening (20-23)")</f>
        <v>Evening peak (16-19)</v>
      </c>
    </row>
    <row r="1486" spans="1:9">
      <c r="A1486" s="32">
        <v>41791</v>
      </c>
      <c r="B1486">
        <v>20</v>
      </c>
      <c r="C1486">
        <v>807</v>
      </c>
      <c r="D1486" t="s">
        <v>303</v>
      </c>
      <c r="E1486">
        <f>YEAR(A1486)</f>
        <v>2014</v>
      </c>
      <c r="F1486" s="33">
        <f>DATE(YEAR(A1486),MONTH(A1486),1)</f>
        <v>41791.0</v>
      </c>
      <c r="G1486" t="str">
        <f>CHOOSE(WEEKDAY(A1486,2),"Mon","Tue","Wed","Thu","Fri","Sat","Sun")</f>
        <v>Sun</v>
      </c>
      <c r="H1486" t="str">
        <f>IF(WEEKDAY(A1486,2)&gt;5,"Weekend","Weekday")</f>
        <v>Weekend</v>
      </c>
      <c r="I1486" t="str">
        <f>_xlfn.IFS(B1486&lt;=5,"Night (0-5)",B1486&lt;=9,"Morning peak (6-9)",B1486&lt;=15,"Midday (10-15)",B1486&lt;=19,"Evening peak (16-19)",TRUE,"Late evening (20-23)")</f>
        <v>Late evening (20-23)</v>
      </c>
    </row>
    <row r="1487" spans="1:9">
      <c r="A1487" s="32">
        <v>41791</v>
      </c>
      <c r="B1487">
        <v>21</v>
      </c>
      <c r="C1487">
        <v>849</v>
      </c>
      <c r="D1487" t="s">
        <v>303</v>
      </c>
      <c r="E1487">
        <f>YEAR(A1487)</f>
        <v>2014</v>
      </c>
      <c r="F1487" s="33">
        <f>DATE(YEAR(A1487),MONTH(A1487),1)</f>
        <v>41791.0</v>
      </c>
      <c r="G1487" t="str">
        <f>CHOOSE(WEEKDAY(A1487,2),"Mon","Tue","Wed","Thu","Fri","Sat","Sun")</f>
        <v>Sun</v>
      </c>
      <c r="H1487" t="str">
        <f>IF(WEEKDAY(A1487,2)&gt;5,"Weekend","Weekday")</f>
        <v>Weekend</v>
      </c>
      <c r="I1487" t="str">
        <f>_xlfn.IFS(B1487&lt;=5,"Night (0-5)",B1487&lt;=9,"Morning peak (6-9)",B1487&lt;=15,"Midday (10-15)",B1487&lt;=19,"Evening peak (16-19)",TRUE,"Late evening (20-23)")</f>
        <v>Late evening (20-23)</v>
      </c>
    </row>
    <row r="1488" spans="1:9">
      <c r="A1488" s="32">
        <v>41791</v>
      </c>
      <c r="B1488">
        <v>22</v>
      </c>
      <c r="C1488">
        <v>602</v>
      </c>
      <c r="D1488" t="s">
        <v>303</v>
      </c>
      <c r="E1488">
        <f>YEAR(A1488)</f>
        <v>2014</v>
      </c>
      <c r="F1488" s="33">
        <f>DATE(YEAR(A1488),MONTH(A1488),1)</f>
        <v>41791.0</v>
      </c>
      <c r="G1488" t="str">
        <f>CHOOSE(WEEKDAY(A1488,2),"Mon","Tue","Wed","Thu","Fri","Sat","Sun")</f>
        <v>Sun</v>
      </c>
      <c r="H1488" t="str">
        <f>IF(WEEKDAY(A1488,2)&gt;5,"Weekend","Weekday")</f>
        <v>Weekend</v>
      </c>
      <c r="I1488" t="str">
        <f>_xlfn.IFS(B1488&lt;=5,"Night (0-5)",B1488&lt;=9,"Morning peak (6-9)",B1488&lt;=15,"Midday (10-15)",B1488&lt;=19,"Evening peak (16-19)",TRUE,"Late evening (20-23)")</f>
        <v>Late evening (20-23)</v>
      </c>
    </row>
    <row r="1489" spans="1:9">
      <c r="A1489" s="32">
        <v>41791</v>
      </c>
      <c r="B1489">
        <v>23</v>
      </c>
      <c r="C1489">
        <v>298</v>
      </c>
      <c r="D1489" t="s">
        <v>303</v>
      </c>
      <c r="E1489">
        <f>YEAR(A1489)</f>
        <v>2014</v>
      </c>
      <c r="F1489" s="33">
        <f>DATE(YEAR(A1489),MONTH(A1489),1)</f>
        <v>41791.0</v>
      </c>
      <c r="G1489" t="str">
        <f>CHOOSE(WEEKDAY(A1489,2),"Mon","Tue","Wed","Thu","Fri","Sat","Sun")</f>
        <v>Sun</v>
      </c>
      <c r="H1489" t="str">
        <f>IF(WEEKDAY(A1489,2)&gt;5,"Weekend","Weekday")</f>
        <v>Weekend</v>
      </c>
      <c r="I1489" t="str">
        <f>_xlfn.IFS(B1489&lt;=5,"Night (0-5)",B1489&lt;=9,"Morning peak (6-9)",B1489&lt;=15,"Midday (10-15)",B1489&lt;=19,"Evening peak (16-19)",TRUE,"Late evening (20-23)")</f>
        <v>Late evening (20-23)</v>
      </c>
    </row>
    <row r="1490" spans="1:9">
      <c r="A1490" s="32">
        <v>41792</v>
      </c>
      <c r="B1490">
        <v>0</v>
      </c>
      <c r="C1490">
        <v>186</v>
      </c>
      <c r="D1490" t="s">
        <v>303</v>
      </c>
      <c r="E1490">
        <f>YEAR(A1490)</f>
        <v>2014</v>
      </c>
      <c r="F1490" s="33">
        <f>DATE(YEAR(A1490),MONTH(A1490),1)</f>
        <v>41791.0</v>
      </c>
      <c r="G1490" t="str">
        <f>CHOOSE(WEEKDAY(A1490,2),"Mon","Tue","Wed","Thu","Fri","Sat","Sun")</f>
        <v>Mon</v>
      </c>
      <c r="H1490" t="str">
        <f>IF(WEEKDAY(A1490,2)&gt;5,"Weekend","Weekday")</f>
        <v>Weekday</v>
      </c>
      <c r="I1490" t="str">
        <f>_xlfn.IFS(B1490&lt;=5,"Night (0-5)",B1490&lt;=9,"Morning peak (6-9)",B1490&lt;=15,"Midday (10-15)",B1490&lt;=19,"Evening peak (16-19)",TRUE,"Late evening (20-23)")</f>
        <v>Night (0-5)</v>
      </c>
    </row>
    <row r="1491" spans="1:9">
      <c r="A1491" s="32">
        <v>41792</v>
      </c>
      <c r="B1491">
        <v>1</v>
      </c>
      <c r="C1491">
        <v>72</v>
      </c>
      <c r="D1491" t="s">
        <v>303</v>
      </c>
      <c r="E1491">
        <f>YEAR(A1491)</f>
        <v>2014</v>
      </c>
      <c r="F1491" s="33">
        <f>DATE(YEAR(A1491),MONTH(A1491),1)</f>
        <v>41791.0</v>
      </c>
      <c r="G1491" t="str">
        <f>CHOOSE(WEEKDAY(A1491,2),"Mon","Tue","Wed","Thu","Fri","Sat","Sun")</f>
        <v>Mon</v>
      </c>
      <c r="H1491" t="str">
        <f>IF(WEEKDAY(A1491,2)&gt;5,"Weekend","Weekday")</f>
        <v>Weekday</v>
      </c>
      <c r="I1491" t="str">
        <f>_xlfn.IFS(B1491&lt;=5,"Night (0-5)",B1491&lt;=9,"Morning peak (6-9)",B1491&lt;=15,"Midday (10-15)",B1491&lt;=19,"Evening peak (16-19)",TRUE,"Late evening (20-23)")</f>
        <v>Night (0-5)</v>
      </c>
    </row>
    <row r="1492" spans="1:9">
      <c r="A1492" s="32">
        <v>41792</v>
      </c>
      <c r="B1492">
        <v>2</v>
      </c>
      <c r="C1492">
        <v>59</v>
      </c>
      <c r="D1492" t="s">
        <v>303</v>
      </c>
      <c r="E1492">
        <f>YEAR(A1492)</f>
        <v>2014</v>
      </c>
      <c r="F1492" s="33">
        <f>DATE(YEAR(A1492),MONTH(A1492),1)</f>
        <v>41791.0</v>
      </c>
      <c r="G1492" t="str">
        <f>CHOOSE(WEEKDAY(A1492,2),"Mon","Tue","Wed","Thu","Fri","Sat","Sun")</f>
        <v>Mon</v>
      </c>
      <c r="H1492" t="str">
        <f>IF(WEEKDAY(A1492,2)&gt;5,"Weekend","Weekday")</f>
        <v>Weekday</v>
      </c>
      <c r="I1492" t="str">
        <f>_xlfn.IFS(B1492&lt;=5,"Night (0-5)",B1492&lt;=9,"Morning peak (6-9)",B1492&lt;=15,"Midday (10-15)",B1492&lt;=19,"Evening peak (16-19)",TRUE,"Late evening (20-23)")</f>
        <v>Night (0-5)</v>
      </c>
    </row>
    <row r="1493" spans="1:9">
      <c r="A1493" s="32">
        <v>41792</v>
      </c>
      <c r="B1493">
        <v>3</v>
      </c>
      <c r="C1493">
        <v>167</v>
      </c>
      <c r="D1493" t="s">
        <v>303</v>
      </c>
      <c r="E1493">
        <f>YEAR(A1493)</f>
        <v>2014</v>
      </c>
      <c r="F1493" s="33">
        <f>DATE(YEAR(A1493),MONTH(A1493),1)</f>
        <v>41791.0</v>
      </c>
      <c r="G1493" t="str">
        <f>CHOOSE(WEEKDAY(A1493,2),"Mon","Tue","Wed","Thu","Fri","Sat","Sun")</f>
        <v>Mon</v>
      </c>
      <c r="H1493" t="str">
        <f>IF(WEEKDAY(A1493,2)&gt;5,"Weekend","Weekday")</f>
        <v>Weekday</v>
      </c>
      <c r="I1493" t="str">
        <f>_xlfn.IFS(B1493&lt;=5,"Night (0-5)",B1493&lt;=9,"Morning peak (6-9)",B1493&lt;=15,"Midday (10-15)",B1493&lt;=19,"Evening peak (16-19)",TRUE,"Late evening (20-23)")</f>
        <v>Night (0-5)</v>
      </c>
    </row>
    <row r="1494" spans="1:9">
      <c r="A1494" s="32">
        <v>41792</v>
      </c>
      <c r="B1494">
        <v>4</v>
      </c>
      <c r="C1494">
        <v>305</v>
      </c>
      <c r="D1494" t="s">
        <v>303</v>
      </c>
      <c r="E1494">
        <f>YEAR(A1494)</f>
        <v>2014</v>
      </c>
      <c r="F1494" s="33">
        <f>DATE(YEAR(A1494),MONTH(A1494),1)</f>
        <v>41791.0</v>
      </c>
      <c r="G1494" t="str">
        <f>CHOOSE(WEEKDAY(A1494,2),"Mon","Tue","Wed","Thu","Fri","Sat","Sun")</f>
        <v>Mon</v>
      </c>
      <c r="H1494" t="str">
        <f>IF(WEEKDAY(A1494,2)&gt;5,"Weekend","Weekday")</f>
        <v>Weekday</v>
      </c>
      <c r="I1494" t="str">
        <f>_xlfn.IFS(B1494&lt;=5,"Night (0-5)",B1494&lt;=9,"Morning peak (6-9)",B1494&lt;=15,"Midday (10-15)",B1494&lt;=19,"Evening peak (16-19)",TRUE,"Late evening (20-23)")</f>
        <v>Night (0-5)</v>
      </c>
    </row>
    <row r="1495" spans="1:9">
      <c r="A1495" s="32">
        <v>41792</v>
      </c>
      <c r="B1495">
        <v>5</v>
      </c>
      <c r="C1495">
        <v>500</v>
      </c>
      <c r="D1495" t="s">
        <v>303</v>
      </c>
      <c r="E1495">
        <f>YEAR(A1495)</f>
        <v>2014</v>
      </c>
      <c r="F1495" s="33">
        <f>DATE(YEAR(A1495),MONTH(A1495),1)</f>
        <v>41791.0</v>
      </c>
      <c r="G1495" t="str">
        <f>CHOOSE(WEEKDAY(A1495,2),"Mon","Tue","Wed","Thu","Fri","Sat","Sun")</f>
        <v>Mon</v>
      </c>
      <c r="H1495" t="str">
        <f>IF(WEEKDAY(A1495,2)&gt;5,"Weekend","Weekday")</f>
        <v>Weekday</v>
      </c>
      <c r="I1495" t="str">
        <f>_xlfn.IFS(B1495&lt;=5,"Night (0-5)",B1495&lt;=9,"Morning peak (6-9)",B1495&lt;=15,"Midday (10-15)",B1495&lt;=19,"Evening peak (16-19)",TRUE,"Late evening (20-23)")</f>
        <v>Night (0-5)</v>
      </c>
    </row>
    <row r="1496" spans="1:9">
      <c r="A1496" s="32">
        <v>41792</v>
      </c>
      <c r="B1496">
        <v>6</v>
      </c>
      <c r="C1496">
        <v>915</v>
      </c>
      <c r="D1496" t="s">
        <v>303</v>
      </c>
      <c r="E1496">
        <f>YEAR(A1496)</f>
        <v>2014</v>
      </c>
      <c r="F1496" s="33">
        <f>DATE(YEAR(A1496),MONTH(A1496),1)</f>
        <v>41791.0</v>
      </c>
      <c r="G1496" t="str">
        <f>CHOOSE(WEEKDAY(A1496,2),"Mon","Tue","Wed","Thu","Fri","Sat","Sun")</f>
        <v>Mon</v>
      </c>
      <c r="H1496" t="str">
        <f>IF(WEEKDAY(A1496,2)&gt;5,"Weekend","Weekday")</f>
        <v>Weekday</v>
      </c>
      <c r="I1496" t="str">
        <f>_xlfn.IFS(B1496&lt;=5,"Night (0-5)",B1496&lt;=9,"Morning peak (6-9)",B1496&lt;=15,"Midday (10-15)",B1496&lt;=19,"Evening peak (16-19)",TRUE,"Late evening (20-23)")</f>
        <v>Morning peak (6-9)</v>
      </c>
    </row>
    <row r="1497" spans="1:9">
      <c r="A1497" s="32">
        <v>41792</v>
      </c>
      <c r="B1497">
        <v>7</v>
      </c>
      <c r="C1497">
        <v>1103</v>
      </c>
      <c r="D1497" t="s">
        <v>303</v>
      </c>
      <c r="E1497">
        <f>YEAR(A1497)</f>
        <v>2014</v>
      </c>
      <c r="F1497" s="33">
        <f>DATE(YEAR(A1497),MONTH(A1497),1)</f>
        <v>41791.0</v>
      </c>
      <c r="G1497" t="str">
        <f>CHOOSE(WEEKDAY(A1497,2),"Mon","Tue","Wed","Thu","Fri","Sat","Sun")</f>
        <v>Mon</v>
      </c>
      <c r="H1497" t="str">
        <f>IF(WEEKDAY(A1497,2)&gt;5,"Weekend","Weekday")</f>
        <v>Weekday</v>
      </c>
      <c r="I1497" t="str">
        <f>_xlfn.IFS(B1497&lt;=5,"Night (0-5)",B1497&lt;=9,"Morning peak (6-9)",B1497&lt;=15,"Midday (10-15)",B1497&lt;=19,"Evening peak (16-19)",TRUE,"Late evening (20-23)")</f>
        <v>Morning peak (6-9)</v>
      </c>
    </row>
    <row r="1498" spans="1:9">
      <c r="A1498" s="32">
        <v>41792</v>
      </c>
      <c r="B1498">
        <v>8</v>
      </c>
      <c r="C1498">
        <v>982</v>
      </c>
      <c r="D1498" t="s">
        <v>303</v>
      </c>
      <c r="E1498">
        <f>YEAR(A1498)</f>
        <v>2014</v>
      </c>
      <c r="F1498" s="33">
        <f>DATE(YEAR(A1498),MONTH(A1498),1)</f>
        <v>41791.0</v>
      </c>
      <c r="G1498" t="str">
        <f>CHOOSE(WEEKDAY(A1498,2),"Mon","Tue","Wed","Thu","Fri","Sat","Sun")</f>
        <v>Mon</v>
      </c>
      <c r="H1498" t="str">
        <f>IF(WEEKDAY(A1498,2)&gt;5,"Weekend","Weekday")</f>
        <v>Weekday</v>
      </c>
      <c r="I1498" t="str">
        <f>_xlfn.IFS(B1498&lt;=5,"Night (0-5)",B1498&lt;=9,"Morning peak (6-9)",B1498&lt;=15,"Midday (10-15)",B1498&lt;=19,"Evening peak (16-19)",TRUE,"Late evening (20-23)")</f>
        <v>Morning peak (6-9)</v>
      </c>
    </row>
    <row r="1499" spans="1:9">
      <c r="A1499" s="32">
        <v>41792</v>
      </c>
      <c r="B1499">
        <v>9</v>
      </c>
      <c r="C1499">
        <v>603</v>
      </c>
      <c r="D1499" t="s">
        <v>303</v>
      </c>
      <c r="E1499">
        <f>YEAR(A1499)</f>
        <v>2014</v>
      </c>
      <c r="F1499" s="33">
        <f>DATE(YEAR(A1499),MONTH(A1499),1)</f>
        <v>41791.0</v>
      </c>
      <c r="G1499" t="str">
        <f>CHOOSE(WEEKDAY(A1499,2),"Mon","Tue","Wed","Thu","Fri","Sat","Sun")</f>
        <v>Mon</v>
      </c>
      <c r="H1499" t="str">
        <f>IF(WEEKDAY(A1499,2)&gt;5,"Weekend","Weekday")</f>
        <v>Weekday</v>
      </c>
      <c r="I1499" t="str">
        <f>_xlfn.IFS(B1499&lt;=5,"Night (0-5)",B1499&lt;=9,"Morning peak (6-9)",B1499&lt;=15,"Midday (10-15)",B1499&lt;=19,"Evening peak (16-19)",TRUE,"Late evening (20-23)")</f>
        <v>Morning peak (6-9)</v>
      </c>
    </row>
    <row r="1500" spans="1:9">
      <c r="A1500" s="32">
        <v>41792</v>
      </c>
      <c r="B1500">
        <v>10</v>
      </c>
      <c r="C1500">
        <v>628</v>
      </c>
      <c r="D1500" t="s">
        <v>303</v>
      </c>
      <c r="E1500">
        <f>YEAR(A1500)</f>
        <v>2014</v>
      </c>
      <c r="F1500" s="33">
        <f>DATE(YEAR(A1500),MONTH(A1500),1)</f>
        <v>41791.0</v>
      </c>
      <c r="G1500" t="str">
        <f>CHOOSE(WEEKDAY(A1500,2),"Mon","Tue","Wed","Thu","Fri","Sat","Sun")</f>
        <v>Mon</v>
      </c>
      <c r="H1500" t="str">
        <f>IF(WEEKDAY(A1500,2)&gt;5,"Weekend","Weekday")</f>
        <v>Weekday</v>
      </c>
      <c r="I1500" t="str">
        <f>_xlfn.IFS(B1500&lt;=5,"Night (0-5)",B1500&lt;=9,"Morning peak (6-9)",B1500&lt;=15,"Midday (10-15)",B1500&lt;=19,"Evening peak (16-19)",TRUE,"Late evening (20-23)")</f>
        <v>Midday (10-15)</v>
      </c>
    </row>
    <row r="1501" spans="1:9">
      <c r="A1501" s="32">
        <v>41792</v>
      </c>
      <c r="B1501">
        <v>11</v>
      </c>
      <c r="C1501">
        <v>637</v>
      </c>
      <c r="D1501" t="s">
        <v>303</v>
      </c>
      <c r="E1501">
        <f>YEAR(A1501)</f>
        <v>2014</v>
      </c>
      <c r="F1501" s="33">
        <f>DATE(YEAR(A1501),MONTH(A1501),1)</f>
        <v>41791.0</v>
      </c>
      <c r="G1501" t="str">
        <f>CHOOSE(WEEKDAY(A1501,2),"Mon","Tue","Wed","Thu","Fri","Sat","Sun")</f>
        <v>Mon</v>
      </c>
      <c r="H1501" t="str">
        <f>IF(WEEKDAY(A1501,2)&gt;5,"Weekend","Weekday")</f>
        <v>Weekday</v>
      </c>
      <c r="I1501" t="str">
        <f>_xlfn.IFS(B1501&lt;=5,"Night (0-5)",B1501&lt;=9,"Morning peak (6-9)",B1501&lt;=15,"Midday (10-15)",B1501&lt;=19,"Evening peak (16-19)",TRUE,"Late evening (20-23)")</f>
        <v>Midday (10-15)</v>
      </c>
    </row>
    <row r="1502" spans="1:9">
      <c r="A1502" s="32">
        <v>41792</v>
      </c>
      <c r="B1502">
        <v>12</v>
      </c>
      <c r="C1502">
        <v>683</v>
      </c>
      <c r="D1502" t="s">
        <v>303</v>
      </c>
      <c r="E1502">
        <f>YEAR(A1502)</f>
        <v>2014</v>
      </c>
      <c r="F1502" s="33">
        <f>DATE(YEAR(A1502),MONTH(A1502),1)</f>
        <v>41791.0</v>
      </c>
      <c r="G1502" t="str">
        <f>CHOOSE(WEEKDAY(A1502,2),"Mon","Tue","Wed","Thu","Fri","Sat","Sun")</f>
        <v>Mon</v>
      </c>
      <c r="H1502" t="str">
        <f>IF(WEEKDAY(A1502,2)&gt;5,"Weekend","Weekday")</f>
        <v>Weekday</v>
      </c>
      <c r="I1502" t="str">
        <f>_xlfn.IFS(B1502&lt;=5,"Night (0-5)",B1502&lt;=9,"Morning peak (6-9)",B1502&lt;=15,"Midday (10-15)",B1502&lt;=19,"Evening peak (16-19)",TRUE,"Late evening (20-23)")</f>
        <v>Midday (10-15)</v>
      </c>
    </row>
    <row r="1503" spans="1:9">
      <c r="A1503" s="32">
        <v>41792</v>
      </c>
      <c r="B1503">
        <v>13</v>
      </c>
      <c r="C1503">
        <v>713</v>
      </c>
      <c r="D1503" t="s">
        <v>303</v>
      </c>
      <c r="E1503">
        <f>YEAR(A1503)</f>
        <v>2014</v>
      </c>
      <c r="F1503" s="33">
        <f>DATE(YEAR(A1503),MONTH(A1503),1)</f>
        <v>41791.0</v>
      </c>
      <c r="G1503" t="str">
        <f>CHOOSE(WEEKDAY(A1503,2),"Mon","Tue","Wed","Thu","Fri","Sat","Sun")</f>
        <v>Mon</v>
      </c>
      <c r="H1503" t="str">
        <f>IF(WEEKDAY(A1503,2)&gt;5,"Weekend","Weekday")</f>
        <v>Weekday</v>
      </c>
      <c r="I1503" t="str">
        <f>_xlfn.IFS(B1503&lt;=5,"Night (0-5)",B1503&lt;=9,"Morning peak (6-9)",B1503&lt;=15,"Midday (10-15)",B1503&lt;=19,"Evening peak (16-19)",TRUE,"Late evening (20-23)")</f>
        <v>Midday (10-15)</v>
      </c>
    </row>
    <row r="1504" spans="1:9">
      <c r="A1504" s="32">
        <v>41792</v>
      </c>
      <c r="B1504">
        <v>14</v>
      </c>
      <c r="C1504">
        <v>1018</v>
      </c>
      <c r="D1504" t="s">
        <v>303</v>
      </c>
      <c r="E1504">
        <f>YEAR(A1504)</f>
        <v>2014</v>
      </c>
      <c r="F1504" s="33">
        <f>DATE(YEAR(A1504),MONTH(A1504),1)</f>
        <v>41791.0</v>
      </c>
      <c r="G1504" t="str">
        <f>CHOOSE(WEEKDAY(A1504,2),"Mon","Tue","Wed","Thu","Fri","Sat","Sun")</f>
        <v>Mon</v>
      </c>
      <c r="H1504" t="str">
        <f>IF(WEEKDAY(A1504,2)&gt;5,"Weekend","Weekday")</f>
        <v>Weekday</v>
      </c>
      <c r="I1504" t="str">
        <f>_xlfn.IFS(B1504&lt;=5,"Night (0-5)",B1504&lt;=9,"Morning peak (6-9)",B1504&lt;=15,"Midday (10-15)",B1504&lt;=19,"Evening peak (16-19)",TRUE,"Late evening (20-23)")</f>
        <v>Midday (10-15)</v>
      </c>
    </row>
    <row r="1505" spans="1:9">
      <c r="A1505" s="32">
        <v>41792</v>
      </c>
      <c r="B1505">
        <v>15</v>
      </c>
      <c r="C1505">
        <v>1112</v>
      </c>
      <c r="D1505" t="s">
        <v>303</v>
      </c>
      <c r="E1505">
        <f>YEAR(A1505)</f>
        <v>2014</v>
      </c>
      <c r="F1505" s="33">
        <f>DATE(YEAR(A1505),MONTH(A1505),1)</f>
        <v>41791.0</v>
      </c>
      <c r="G1505" t="str">
        <f>CHOOSE(WEEKDAY(A1505,2),"Mon","Tue","Wed","Thu","Fri","Sat","Sun")</f>
        <v>Mon</v>
      </c>
      <c r="H1505" t="str">
        <f>IF(WEEKDAY(A1505,2)&gt;5,"Weekend","Weekday")</f>
        <v>Weekday</v>
      </c>
      <c r="I1505" t="str">
        <f>_xlfn.IFS(B1505&lt;=5,"Night (0-5)",B1505&lt;=9,"Morning peak (6-9)",B1505&lt;=15,"Midday (10-15)",B1505&lt;=19,"Evening peak (16-19)",TRUE,"Late evening (20-23)")</f>
        <v>Midday (10-15)</v>
      </c>
    </row>
    <row r="1506" spans="1:9">
      <c r="A1506" s="32">
        <v>41792</v>
      </c>
      <c r="B1506">
        <v>16</v>
      </c>
      <c r="C1506">
        <v>1337</v>
      </c>
      <c r="D1506" t="s">
        <v>303</v>
      </c>
      <c r="E1506">
        <f>YEAR(A1506)</f>
        <v>2014</v>
      </c>
      <c r="F1506" s="33">
        <f>DATE(YEAR(A1506),MONTH(A1506),1)</f>
        <v>41791.0</v>
      </c>
      <c r="G1506" t="str">
        <f>CHOOSE(WEEKDAY(A1506,2),"Mon","Tue","Wed","Thu","Fri","Sat","Sun")</f>
        <v>Mon</v>
      </c>
      <c r="H1506" t="str">
        <f>IF(WEEKDAY(A1506,2)&gt;5,"Weekend","Weekday")</f>
        <v>Weekday</v>
      </c>
      <c r="I1506" t="str">
        <f>_xlfn.IFS(B1506&lt;=5,"Night (0-5)",B1506&lt;=9,"Morning peak (6-9)",B1506&lt;=15,"Midday (10-15)",B1506&lt;=19,"Evening peak (16-19)",TRUE,"Late evening (20-23)")</f>
        <v>Evening peak (16-19)</v>
      </c>
    </row>
    <row r="1507" spans="1:9">
      <c r="A1507" s="32">
        <v>41792</v>
      </c>
      <c r="B1507">
        <v>17</v>
      </c>
      <c r="C1507">
        <v>1443</v>
      </c>
      <c r="D1507" t="s">
        <v>303</v>
      </c>
      <c r="E1507">
        <f>YEAR(A1507)</f>
        <v>2014</v>
      </c>
      <c r="F1507" s="33">
        <f>DATE(YEAR(A1507),MONTH(A1507),1)</f>
        <v>41791.0</v>
      </c>
      <c r="G1507" t="str">
        <f>CHOOSE(WEEKDAY(A1507,2),"Mon","Tue","Wed","Thu","Fri","Sat","Sun")</f>
        <v>Mon</v>
      </c>
      <c r="H1507" t="str">
        <f>IF(WEEKDAY(A1507,2)&gt;5,"Weekend","Weekday")</f>
        <v>Weekday</v>
      </c>
      <c r="I1507" t="str">
        <f>_xlfn.IFS(B1507&lt;=5,"Night (0-5)",B1507&lt;=9,"Morning peak (6-9)",B1507&lt;=15,"Midday (10-15)",B1507&lt;=19,"Evening peak (16-19)",TRUE,"Late evening (20-23)")</f>
        <v>Evening peak (16-19)</v>
      </c>
    </row>
    <row r="1508" spans="1:9">
      <c r="A1508" s="32">
        <v>41792</v>
      </c>
      <c r="B1508">
        <v>18</v>
      </c>
      <c r="C1508">
        <v>1093</v>
      </c>
      <c r="D1508" t="s">
        <v>303</v>
      </c>
      <c r="E1508">
        <f>YEAR(A1508)</f>
        <v>2014</v>
      </c>
      <c r="F1508" s="33">
        <f>DATE(YEAR(A1508),MONTH(A1508),1)</f>
        <v>41791.0</v>
      </c>
      <c r="G1508" t="str">
        <f>CHOOSE(WEEKDAY(A1508,2),"Mon","Tue","Wed","Thu","Fri","Sat","Sun")</f>
        <v>Mon</v>
      </c>
      <c r="H1508" t="str">
        <f>IF(WEEKDAY(A1508,2)&gt;5,"Weekend","Weekday")</f>
        <v>Weekday</v>
      </c>
      <c r="I1508" t="str">
        <f>_xlfn.IFS(B1508&lt;=5,"Night (0-5)",B1508&lt;=9,"Morning peak (6-9)",B1508&lt;=15,"Midday (10-15)",B1508&lt;=19,"Evening peak (16-19)",TRUE,"Late evening (20-23)")</f>
        <v>Evening peak (16-19)</v>
      </c>
    </row>
    <row r="1509" spans="1:9">
      <c r="A1509" s="32">
        <v>41792</v>
      </c>
      <c r="B1509">
        <v>19</v>
      </c>
      <c r="C1509">
        <v>1009</v>
      </c>
      <c r="D1509" t="s">
        <v>303</v>
      </c>
      <c r="E1509">
        <f>YEAR(A1509)</f>
        <v>2014</v>
      </c>
      <c r="F1509" s="33">
        <f>DATE(YEAR(A1509),MONTH(A1509),1)</f>
        <v>41791.0</v>
      </c>
      <c r="G1509" t="str">
        <f>CHOOSE(WEEKDAY(A1509,2),"Mon","Tue","Wed","Thu","Fri","Sat","Sun")</f>
        <v>Mon</v>
      </c>
      <c r="H1509" t="str">
        <f>IF(WEEKDAY(A1509,2)&gt;5,"Weekend","Weekday")</f>
        <v>Weekday</v>
      </c>
      <c r="I1509" t="str">
        <f>_xlfn.IFS(B1509&lt;=5,"Night (0-5)",B1509&lt;=9,"Morning peak (6-9)",B1509&lt;=15,"Midday (10-15)",B1509&lt;=19,"Evening peak (16-19)",TRUE,"Late evening (20-23)")</f>
        <v>Evening peak (16-19)</v>
      </c>
    </row>
    <row r="1510" spans="1:9">
      <c r="A1510" s="32">
        <v>41792</v>
      </c>
      <c r="B1510">
        <v>20</v>
      </c>
      <c r="C1510">
        <v>1037</v>
      </c>
      <c r="D1510" t="s">
        <v>303</v>
      </c>
      <c r="E1510">
        <f>YEAR(A1510)</f>
        <v>2014</v>
      </c>
      <c r="F1510" s="33">
        <f>DATE(YEAR(A1510),MONTH(A1510),1)</f>
        <v>41791.0</v>
      </c>
      <c r="G1510" t="str">
        <f>CHOOSE(WEEKDAY(A1510,2),"Mon","Tue","Wed","Thu","Fri","Sat","Sun")</f>
        <v>Mon</v>
      </c>
      <c r="H1510" t="str">
        <f>IF(WEEKDAY(A1510,2)&gt;5,"Weekend","Weekday")</f>
        <v>Weekday</v>
      </c>
      <c r="I1510" t="str">
        <f>_xlfn.IFS(B1510&lt;=5,"Night (0-5)",B1510&lt;=9,"Morning peak (6-9)",B1510&lt;=15,"Midday (10-15)",B1510&lt;=19,"Evening peak (16-19)",TRUE,"Late evening (20-23)")</f>
        <v>Late evening (20-23)</v>
      </c>
    </row>
    <row r="1511" spans="1:9">
      <c r="A1511" s="32">
        <v>41792</v>
      </c>
      <c r="B1511">
        <v>21</v>
      </c>
      <c r="C1511">
        <v>914</v>
      </c>
      <c r="D1511" t="s">
        <v>303</v>
      </c>
      <c r="E1511">
        <f>YEAR(A1511)</f>
        <v>2014</v>
      </c>
      <c r="F1511" s="33">
        <f>DATE(YEAR(A1511),MONTH(A1511),1)</f>
        <v>41791.0</v>
      </c>
      <c r="G1511" t="str">
        <f>CHOOSE(WEEKDAY(A1511,2),"Mon","Tue","Wed","Thu","Fri","Sat","Sun")</f>
        <v>Mon</v>
      </c>
      <c r="H1511" t="str">
        <f>IF(WEEKDAY(A1511,2)&gt;5,"Weekend","Weekday")</f>
        <v>Weekday</v>
      </c>
      <c r="I1511" t="str">
        <f>_xlfn.IFS(B1511&lt;=5,"Night (0-5)",B1511&lt;=9,"Morning peak (6-9)",B1511&lt;=15,"Midday (10-15)",B1511&lt;=19,"Evening peak (16-19)",TRUE,"Late evening (20-23)")</f>
        <v>Late evening (20-23)</v>
      </c>
    </row>
    <row r="1512" spans="1:9">
      <c r="A1512" s="32">
        <v>41792</v>
      </c>
      <c r="B1512">
        <v>22</v>
      </c>
      <c r="C1512">
        <v>634</v>
      </c>
      <c r="D1512" t="s">
        <v>303</v>
      </c>
      <c r="E1512">
        <f>YEAR(A1512)</f>
        <v>2014</v>
      </c>
      <c r="F1512" s="33">
        <f>DATE(YEAR(A1512),MONTH(A1512),1)</f>
        <v>41791.0</v>
      </c>
      <c r="G1512" t="str">
        <f>CHOOSE(WEEKDAY(A1512,2),"Mon","Tue","Wed","Thu","Fri","Sat","Sun")</f>
        <v>Mon</v>
      </c>
      <c r="H1512" t="str">
        <f>IF(WEEKDAY(A1512,2)&gt;5,"Weekend","Weekday")</f>
        <v>Weekday</v>
      </c>
      <c r="I1512" t="str">
        <f>_xlfn.IFS(B1512&lt;=5,"Night (0-5)",B1512&lt;=9,"Morning peak (6-9)",B1512&lt;=15,"Midday (10-15)",B1512&lt;=19,"Evening peak (16-19)",TRUE,"Late evening (20-23)")</f>
        <v>Late evening (20-23)</v>
      </c>
    </row>
    <row r="1513" spans="1:9">
      <c r="A1513" s="32">
        <v>41792</v>
      </c>
      <c r="B1513">
        <v>23</v>
      </c>
      <c r="C1513">
        <v>353</v>
      </c>
      <c r="D1513" t="s">
        <v>303</v>
      </c>
      <c r="E1513">
        <f>YEAR(A1513)</f>
        <v>2014</v>
      </c>
      <c r="F1513" s="33">
        <f>DATE(YEAR(A1513),MONTH(A1513),1)</f>
        <v>41791.0</v>
      </c>
      <c r="G1513" t="str">
        <f>CHOOSE(WEEKDAY(A1513,2),"Mon","Tue","Wed","Thu","Fri","Sat","Sun")</f>
        <v>Mon</v>
      </c>
      <c r="H1513" t="str">
        <f>IF(WEEKDAY(A1513,2)&gt;5,"Weekend","Weekday")</f>
        <v>Weekday</v>
      </c>
      <c r="I1513" t="str">
        <f>_xlfn.IFS(B1513&lt;=5,"Night (0-5)",B1513&lt;=9,"Morning peak (6-9)",B1513&lt;=15,"Midday (10-15)",B1513&lt;=19,"Evening peak (16-19)",TRUE,"Late evening (20-23)")</f>
        <v>Late evening (20-23)</v>
      </c>
    </row>
    <row r="1514" spans="1:9">
      <c r="A1514" s="32">
        <v>41793</v>
      </c>
      <c r="B1514">
        <v>0</v>
      </c>
      <c r="C1514">
        <v>187</v>
      </c>
      <c r="D1514" t="s">
        <v>303</v>
      </c>
      <c r="E1514">
        <f>YEAR(A1514)</f>
        <v>2014</v>
      </c>
      <c r="F1514" s="33">
        <f>DATE(YEAR(A1514),MONTH(A1514),1)</f>
        <v>41791.0</v>
      </c>
      <c r="G1514" t="str">
        <f>CHOOSE(WEEKDAY(A1514,2),"Mon","Tue","Wed","Thu","Fri","Sat","Sun")</f>
        <v>Tue</v>
      </c>
      <c r="H1514" t="str">
        <f>IF(WEEKDAY(A1514,2)&gt;5,"Weekend","Weekday")</f>
        <v>Weekday</v>
      </c>
      <c r="I1514" t="str">
        <f>_xlfn.IFS(B1514&lt;=5,"Night (0-5)",B1514&lt;=9,"Morning peak (6-9)",B1514&lt;=15,"Midday (10-15)",B1514&lt;=19,"Evening peak (16-19)",TRUE,"Late evening (20-23)")</f>
        <v>Night (0-5)</v>
      </c>
    </row>
    <row r="1515" spans="1:9">
      <c r="A1515" s="32">
        <v>41793</v>
      </c>
      <c r="B1515">
        <v>1</v>
      </c>
      <c r="C1515">
        <v>87</v>
      </c>
      <c r="D1515" t="s">
        <v>303</v>
      </c>
      <c r="E1515">
        <f>YEAR(A1515)</f>
        <v>2014</v>
      </c>
      <c r="F1515" s="33">
        <f>DATE(YEAR(A1515),MONTH(A1515),1)</f>
        <v>41791.0</v>
      </c>
      <c r="G1515" t="str">
        <f>CHOOSE(WEEKDAY(A1515,2),"Mon","Tue","Wed","Thu","Fri","Sat","Sun")</f>
        <v>Tue</v>
      </c>
      <c r="H1515" t="str">
        <f>IF(WEEKDAY(A1515,2)&gt;5,"Weekend","Weekday")</f>
        <v>Weekday</v>
      </c>
      <c r="I1515" t="str">
        <f>_xlfn.IFS(B1515&lt;=5,"Night (0-5)",B1515&lt;=9,"Morning peak (6-9)",B1515&lt;=15,"Midday (10-15)",B1515&lt;=19,"Evening peak (16-19)",TRUE,"Late evening (20-23)")</f>
        <v>Night (0-5)</v>
      </c>
    </row>
    <row r="1516" spans="1:9">
      <c r="A1516" s="32">
        <v>41793</v>
      </c>
      <c r="B1516">
        <v>2</v>
      </c>
      <c r="C1516">
        <v>59</v>
      </c>
      <c r="D1516" t="s">
        <v>303</v>
      </c>
      <c r="E1516">
        <f>YEAR(A1516)</f>
        <v>2014</v>
      </c>
      <c r="F1516" s="33">
        <f>DATE(YEAR(A1516),MONTH(A1516),1)</f>
        <v>41791.0</v>
      </c>
      <c r="G1516" t="str">
        <f>CHOOSE(WEEKDAY(A1516,2),"Mon","Tue","Wed","Thu","Fri","Sat","Sun")</f>
        <v>Tue</v>
      </c>
      <c r="H1516" t="str">
        <f>IF(WEEKDAY(A1516,2)&gt;5,"Weekend","Weekday")</f>
        <v>Weekday</v>
      </c>
      <c r="I1516" t="str">
        <f>_xlfn.IFS(B1516&lt;=5,"Night (0-5)",B1516&lt;=9,"Morning peak (6-9)",B1516&lt;=15,"Midday (10-15)",B1516&lt;=19,"Evening peak (16-19)",TRUE,"Late evening (20-23)")</f>
        <v>Night (0-5)</v>
      </c>
    </row>
    <row r="1517" spans="1:9">
      <c r="A1517" s="32">
        <v>41793</v>
      </c>
      <c r="B1517">
        <v>3</v>
      </c>
      <c r="C1517">
        <v>105</v>
      </c>
      <c r="D1517" t="s">
        <v>303</v>
      </c>
      <c r="E1517">
        <f>YEAR(A1517)</f>
        <v>2014</v>
      </c>
      <c r="F1517" s="33">
        <f>DATE(YEAR(A1517),MONTH(A1517),1)</f>
        <v>41791.0</v>
      </c>
      <c r="G1517" t="str">
        <f>CHOOSE(WEEKDAY(A1517,2),"Mon","Tue","Wed","Thu","Fri","Sat","Sun")</f>
        <v>Tue</v>
      </c>
      <c r="H1517" t="str">
        <f>IF(WEEKDAY(A1517,2)&gt;5,"Weekend","Weekday")</f>
        <v>Weekday</v>
      </c>
      <c r="I1517" t="str">
        <f>_xlfn.IFS(B1517&lt;=5,"Night (0-5)",B1517&lt;=9,"Morning peak (6-9)",B1517&lt;=15,"Midday (10-15)",B1517&lt;=19,"Evening peak (16-19)",TRUE,"Late evening (20-23)")</f>
        <v>Night (0-5)</v>
      </c>
    </row>
    <row r="1518" spans="1:9">
      <c r="A1518" s="32">
        <v>41793</v>
      </c>
      <c r="B1518">
        <v>4</v>
      </c>
      <c r="C1518">
        <v>180</v>
      </c>
      <c r="D1518" t="s">
        <v>303</v>
      </c>
      <c r="E1518">
        <f>YEAR(A1518)</f>
        <v>2014</v>
      </c>
      <c r="F1518" s="33">
        <f>DATE(YEAR(A1518),MONTH(A1518),1)</f>
        <v>41791.0</v>
      </c>
      <c r="G1518" t="str">
        <f>CHOOSE(WEEKDAY(A1518,2),"Mon","Tue","Wed","Thu","Fri","Sat","Sun")</f>
        <v>Tue</v>
      </c>
      <c r="H1518" t="str">
        <f>IF(WEEKDAY(A1518,2)&gt;5,"Weekend","Weekday")</f>
        <v>Weekday</v>
      </c>
      <c r="I1518" t="str">
        <f>_xlfn.IFS(B1518&lt;=5,"Night (0-5)",B1518&lt;=9,"Morning peak (6-9)",B1518&lt;=15,"Midday (10-15)",B1518&lt;=19,"Evening peak (16-19)",TRUE,"Late evening (20-23)")</f>
        <v>Night (0-5)</v>
      </c>
    </row>
    <row r="1519" spans="1:9">
      <c r="A1519" s="32">
        <v>41793</v>
      </c>
      <c r="B1519">
        <v>5</v>
      </c>
      <c r="C1519">
        <v>372</v>
      </c>
      <c r="D1519" t="s">
        <v>303</v>
      </c>
      <c r="E1519">
        <f>YEAR(A1519)</f>
        <v>2014</v>
      </c>
      <c r="F1519" s="33">
        <f>DATE(YEAR(A1519),MONTH(A1519),1)</f>
        <v>41791.0</v>
      </c>
      <c r="G1519" t="str">
        <f>CHOOSE(WEEKDAY(A1519,2),"Mon","Tue","Wed","Thu","Fri","Sat","Sun")</f>
        <v>Tue</v>
      </c>
      <c r="H1519" t="str">
        <f>IF(WEEKDAY(A1519,2)&gt;5,"Weekend","Weekday")</f>
        <v>Weekday</v>
      </c>
      <c r="I1519" t="str">
        <f>_xlfn.IFS(B1519&lt;=5,"Night (0-5)",B1519&lt;=9,"Morning peak (6-9)",B1519&lt;=15,"Midday (10-15)",B1519&lt;=19,"Evening peak (16-19)",TRUE,"Late evening (20-23)")</f>
        <v>Night (0-5)</v>
      </c>
    </row>
    <row r="1520" spans="1:9">
      <c r="A1520" s="32">
        <v>41793</v>
      </c>
      <c r="B1520">
        <v>6</v>
      </c>
      <c r="C1520">
        <v>950</v>
      </c>
      <c r="D1520" t="s">
        <v>303</v>
      </c>
      <c r="E1520">
        <f>YEAR(A1520)</f>
        <v>2014</v>
      </c>
      <c r="F1520" s="33">
        <f>DATE(YEAR(A1520),MONTH(A1520),1)</f>
        <v>41791.0</v>
      </c>
      <c r="G1520" t="str">
        <f>CHOOSE(WEEKDAY(A1520,2),"Mon","Tue","Wed","Thu","Fri","Sat","Sun")</f>
        <v>Tue</v>
      </c>
      <c r="H1520" t="str">
        <f>IF(WEEKDAY(A1520,2)&gt;5,"Weekend","Weekday")</f>
        <v>Weekday</v>
      </c>
      <c r="I1520" t="str">
        <f>_xlfn.IFS(B1520&lt;=5,"Night (0-5)",B1520&lt;=9,"Morning peak (6-9)",B1520&lt;=15,"Midday (10-15)",B1520&lt;=19,"Evening peak (16-19)",TRUE,"Late evening (20-23)")</f>
        <v>Morning peak (6-9)</v>
      </c>
    </row>
    <row r="1521" spans="1:9">
      <c r="A1521" s="32">
        <v>41793</v>
      </c>
      <c r="B1521">
        <v>7</v>
      </c>
      <c r="C1521">
        <v>1199</v>
      </c>
      <c r="D1521" t="s">
        <v>303</v>
      </c>
      <c r="E1521">
        <f>YEAR(A1521)</f>
        <v>2014</v>
      </c>
      <c r="F1521" s="33">
        <f>DATE(YEAR(A1521),MONTH(A1521),1)</f>
        <v>41791.0</v>
      </c>
      <c r="G1521" t="str">
        <f>CHOOSE(WEEKDAY(A1521,2),"Mon","Tue","Wed","Thu","Fri","Sat","Sun")</f>
        <v>Tue</v>
      </c>
      <c r="H1521" t="str">
        <f>IF(WEEKDAY(A1521,2)&gt;5,"Weekend","Weekday")</f>
        <v>Weekday</v>
      </c>
      <c r="I1521" t="str">
        <f>_xlfn.IFS(B1521&lt;=5,"Night (0-5)",B1521&lt;=9,"Morning peak (6-9)",B1521&lt;=15,"Midday (10-15)",B1521&lt;=19,"Evening peak (16-19)",TRUE,"Late evening (20-23)")</f>
        <v>Morning peak (6-9)</v>
      </c>
    </row>
    <row r="1522" spans="1:9">
      <c r="A1522" s="32">
        <v>41793</v>
      </c>
      <c r="B1522">
        <v>8</v>
      </c>
      <c r="C1522">
        <v>982</v>
      </c>
      <c r="D1522" t="s">
        <v>303</v>
      </c>
      <c r="E1522">
        <f>YEAR(A1522)</f>
        <v>2014</v>
      </c>
      <c r="F1522" s="33">
        <f>DATE(YEAR(A1522),MONTH(A1522),1)</f>
        <v>41791.0</v>
      </c>
      <c r="G1522" t="str">
        <f>CHOOSE(WEEKDAY(A1522,2),"Mon","Tue","Wed","Thu","Fri","Sat","Sun")</f>
        <v>Tue</v>
      </c>
      <c r="H1522" t="str">
        <f>IF(WEEKDAY(A1522,2)&gt;5,"Weekend","Weekday")</f>
        <v>Weekday</v>
      </c>
      <c r="I1522" t="str">
        <f>_xlfn.IFS(B1522&lt;=5,"Night (0-5)",B1522&lt;=9,"Morning peak (6-9)",B1522&lt;=15,"Midday (10-15)",B1522&lt;=19,"Evening peak (16-19)",TRUE,"Late evening (20-23)")</f>
        <v>Morning peak (6-9)</v>
      </c>
    </row>
    <row r="1523" spans="1:9">
      <c r="A1523" s="32">
        <v>41793</v>
      </c>
      <c r="B1523">
        <v>9</v>
      </c>
      <c r="C1523">
        <v>722</v>
      </c>
      <c r="D1523" t="s">
        <v>303</v>
      </c>
      <c r="E1523">
        <f>YEAR(A1523)</f>
        <v>2014</v>
      </c>
      <c r="F1523" s="33">
        <f>DATE(YEAR(A1523),MONTH(A1523),1)</f>
        <v>41791.0</v>
      </c>
      <c r="G1523" t="str">
        <f>CHOOSE(WEEKDAY(A1523,2),"Mon","Tue","Wed","Thu","Fri","Sat","Sun")</f>
        <v>Tue</v>
      </c>
      <c r="H1523" t="str">
        <f>IF(WEEKDAY(A1523,2)&gt;5,"Weekend","Weekday")</f>
        <v>Weekday</v>
      </c>
      <c r="I1523" t="str">
        <f>_xlfn.IFS(B1523&lt;=5,"Night (0-5)",B1523&lt;=9,"Morning peak (6-9)",B1523&lt;=15,"Midday (10-15)",B1523&lt;=19,"Evening peak (16-19)",TRUE,"Late evening (20-23)")</f>
        <v>Morning peak (6-9)</v>
      </c>
    </row>
    <row r="1524" spans="1:9">
      <c r="A1524" s="32">
        <v>41793</v>
      </c>
      <c r="B1524">
        <v>10</v>
      </c>
      <c r="C1524">
        <v>746</v>
      </c>
      <c r="D1524" t="s">
        <v>303</v>
      </c>
      <c r="E1524">
        <f>YEAR(A1524)</f>
        <v>2014</v>
      </c>
      <c r="F1524" s="33">
        <f>DATE(YEAR(A1524),MONTH(A1524),1)</f>
        <v>41791.0</v>
      </c>
      <c r="G1524" t="str">
        <f>CHOOSE(WEEKDAY(A1524,2),"Mon","Tue","Wed","Thu","Fri","Sat","Sun")</f>
        <v>Tue</v>
      </c>
      <c r="H1524" t="str">
        <f>IF(WEEKDAY(A1524,2)&gt;5,"Weekend","Weekday")</f>
        <v>Weekday</v>
      </c>
      <c r="I1524" t="str">
        <f>_xlfn.IFS(B1524&lt;=5,"Night (0-5)",B1524&lt;=9,"Morning peak (6-9)",B1524&lt;=15,"Midday (10-15)",B1524&lt;=19,"Evening peak (16-19)",TRUE,"Late evening (20-23)")</f>
        <v>Midday (10-15)</v>
      </c>
    </row>
    <row r="1525" spans="1:9">
      <c r="A1525" s="32">
        <v>41793</v>
      </c>
      <c r="B1525">
        <v>11</v>
      </c>
      <c r="C1525">
        <v>737</v>
      </c>
      <c r="D1525" t="s">
        <v>303</v>
      </c>
      <c r="E1525">
        <f>YEAR(A1525)</f>
        <v>2014</v>
      </c>
      <c r="F1525" s="33">
        <f>DATE(YEAR(A1525),MONTH(A1525),1)</f>
        <v>41791.0</v>
      </c>
      <c r="G1525" t="str">
        <f>CHOOSE(WEEKDAY(A1525,2),"Mon","Tue","Wed","Thu","Fri","Sat","Sun")</f>
        <v>Tue</v>
      </c>
      <c r="H1525" t="str">
        <f>IF(WEEKDAY(A1525,2)&gt;5,"Weekend","Weekday")</f>
        <v>Weekday</v>
      </c>
      <c r="I1525" t="str">
        <f>_xlfn.IFS(B1525&lt;=5,"Night (0-5)",B1525&lt;=9,"Morning peak (6-9)",B1525&lt;=15,"Midday (10-15)",B1525&lt;=19,"Evening peak (16-19)",TRUE,"Late evening (20-23)")</f>
        <v>Midday (10-15)</v>
      </c>
    </row>
    <row r="1526" spans="1:9">
      <c r="A1526" s="32">
        <v>41793</v>
      </c>
      <c r="B1526">
        <v>12</v>
      </c>
      <c r="C1526">
        <v>793</v>
      </c>
      <c r="D1526" t="s">
        <v>303</v>
      </c>
      <c r="E1526">
        <f>YEAR(A1526)</f>
        <v>2014</v>
      </c>
      <c r="F1526" s="33">
        <f>DATE(YEAR(A1526),MONTH(A1526),1)</f>
        <v>41791.0</v>
      </c>
      <c r="G1526" t="str">
        <f>CHOOSE(WEEKDAY(A1526,2),"Mon","Tue","Wed","Thu","Fri","Sat","Sun")</f>
        <v>Tue</v>
      </c>
      <c r="H1526" t="str">
        <f>IF(WEEKDAY(A1526,2)&gt;5,"Weekend","Weekday")</f>
        <v>Weekday</v>
      </c>
      <c r="I1526" t="str">
        <f>_xlfn.IFS(B1526&lt;=5,"Night (0-5)",B1526&lt;=9,"Morning peak (6-9)",B1526&lt;=15,"Midday (10-15)",B1526&lt;=19,"Evening peak (16-19)",TRUE,"Late evening (20-23)")</f>
        <v>Midday (10-15)</v>
      </c>
    </row>
    <row r="1527" spans="1:9">
      <c r="A1527" s="32">
        <v>41793</v>
      </c>
      <c r="B1527">
        <v>13</v>
      </c>
      <c r="C1527">
        <v>962</v>
      </c>
      <c r="D1527" t="s">
        <v>303</v>
      </c>
      <c r="E1527">
        <f>YEAR(A1527)</f>
        <v>2014</v>
      </c>
      <c r="F1527" s="33">
        <f>DATE(YEAR(A1527),MONTH(A1527),1)</f>
        <v>41791.0</v>
      </c>
      <c r="G1527" t="str">
        <f>CHOOSE(WEEKDAY(A1527,2),"Mon","Tue","Wed","Thu","Fri","Sat","Sun")</f>
        <v>Tue</v>
      </c>
      <c r="H1527" t="str">
        <f>IF(WEEKDAY(A1527,2)&gt;5,"Weekend","Weekday")</f>
        <v>Weekday</v>
      </c>
      <c r="I1527" t="str">
        <f>_xlfn.IFS(B1527&lt;=5,"Night (0-5)",B1527&lt;=9,"Morning peak (6-9)",B1527&lt;=15,"Midday (10-15)",B1527&lt;=19,"Evening peak (16-19)",TRUE,"Late evening (20-23)")</f>
        <v>Midday (10-15)</v>
      </c>
    </row>
    <row r="1528" spans="1:9">
      <c r="A1528" s="32">
        <v>41793</v>
      </c>
      <c r="B1528">
        <v>14</v>
      </c>
      <c r="C1528">
        <v>1216</v>
      </c>
      <c r="D1528" t="s">
        <v>303</v>
      </c>
      <c r="E1528">
        <f>YEAR(A1528)</f>
        <v>2014</v>
      </c>
      <c r="F1528" s="33">
        <f>DATE(YEAR(A1528),MONTH(A1528),1)</f>
        <v>41791.0</v>
      </c>
      <c r="G1528" t="str">
        <f>CHOOSE(WEEKDAY(A1528,2),"Mon","Tue","Wed","Thu","Fri","Sat","Sun")</f>
        <v>Tue</v>
      </c>
      <c r="H1528" t="str">
        <f>IF(WEEKDAY(A1528,2)&gt;5,"Weekend","Weekday")</f>
        <v>Weekday</v>
      </c>
      <c r="I1528" t="str">
        <f>_xlfn.IFS(B1528&lt;=5,"Night (0-5)",B1528&lt;=9,"Morning peak (6-9)",B1528&lt;=15,"Midday (10-15)",B1528&lt;=19,"Evening peak (16-19)",TRUE,"Late evening (20-23)")</f>
        <v>Midday (10-15)</v>
      </c>
    </row>
    <row r="1529" spans="1:9">
      <c r="A1529" s="32">
        <v>41793</v>
      </c>
      <c r="B1529">
        <v>15</v>
      </c>
      <c r="C1529">
        <v>1432</v>
      </c>
      <c r="D1529" t="s">
        <v>303</v>
      </c>
      <c r="E1529">
        <f>YEAR(A1529)</f>
        <v>2014</v>
      </c>
      <c r="F1529" s="33">
        <f>DATE(YEAR(A1529),MONTH(A1529),1)</f>
        <v>41791.0</v>
      </c>
      <c r="G1529" t="str">
        <f>CHOOSE(WEEKDAY(A1529,2),"Mon","Tue","Wed","Thu","Fri","Sat","Sun")</f>
        <v>Tue</v>
      </c>
      <c r="H1529" t="str">
        <f>IF(WEEKDAY(A1529,2)&gt;5,"Weekend","Weekday")</f>
        <v>Weekday</v>
      </c>
      <c r="I1529" t="str">
        <f>_xlfn.IFS(B1529&lt;=5,"Night (0-5)",B1529&lt;=9,"Morning peak (6-9)",B1529&lt;=15,"Midday (10-15)",B1529&lt;=19,"Evening peak (16-19)",TRUE,"Late evening (20-23)")</f>
        <v>Midday (10-15)</v>
      </c>
    </row>
    <row r="1530" spans="1:9">
      <c r="A1530" s="32">
        <v>41793</v>
      </c>
      <c r="B1530">
        <v>16</v>
      </c>
      <c r="C1530">
        <v>2142</v>
      </c>
      <c r="D1530" t="s">
        <v>303</v>
      </c>
      <c r="E1530">
        <f>YEAR(A1530)</f>
        <v>2014</v>
      </c>
      <c r="F1530" s="33">
        <f>DATE(YEAR(A1530),MONTH(A1530),1)</f>
        <v>41791.0</v>
      </c>
      <c r="G1530" t="str">
        <f>CHOOSE(WEEKDAY(A1530,2),"Mon","Tue","Wed","Thu","Fri","Sat","Sun")</f>
        <v>Tue</v>
      </c>
      <c r="H1530" t="str">
        <f>IF(WEEKDAY(A1530,2)&gt;5,"Weekend","Weekday")</f>
        <v>Weekday</v>
      </c>
      <c r="I1530" t="str">
        <f>_xlfn.IFS(B1530&lt;=5,"Night (0-5)",B1530&lt;=9,"Morning peak (6-9)",B1530&lt;=15,"Midday (10-15)",B1530&lt;=19,"Evening peak (16-19)",TRUE,"Late evening (20-23)")</f>
        <v>Evening peak (16-19)</v>
      </c>
    </row>
    <row r="1531" spans="1:9">
      <c r="A1531" s="32">
        <v>41793</v>
      </c>
      <c r="B1531">
        <v>17</v>
      </c>
      <c r="C1531">
        <v>2471</v>
      </c>
      <c r="D1531" t="s">
        <v>303</v>
      </c>
      <c r="E1531">
        <f>YEAR(A1531)</f>
        <v>2014</v>
      </c>
      <c r="F1531" s="33">
        <f>DATE(YEAR(A1531),MONTH(A1531),1)</f>
        <v>41791.0</v>
      </c>
      <c r="G1531" t="str">
        <f>CHOOSE(WEEKDAY(A1531,2),"Mon","Tue","Wed","Thu","Fri","Sat","Sun")</f>
        <v>Tue</v>
      </c>
      <c r="H1531" t="str">
        <f>IF(WEEKDAY(A1531,2)&gt;5,"Weekend","Weekday")</f>
        <v>Weekday</v>
      </c>
      <c r="I1531" t="str">
        <f>_xlfn.IFS(B1531&lt;=5,"Night (0-5)",B1531&lt;=9,"Morning peak (6-9)",B1531&lt;=15,"Midday (10-15)",B1531&lt;=19,"Evening peak (16-19)",TRUE,"Late evening (20-23)")</f>
        <v>Evening peak (16-19)</v>
      </c>
    </row>
    <row r="1532" spans="1:9">
      <c r="A1532" s="32">
        <v>41793</v>
      </c>
      <c r="B1532">
        <v>18</v>
      </c>
      <c r="C1532">
        <v>2026</v>
      </c>
      <c r="D1532" t="s">
        <v>303</v>
      </c>
      <c r="E1532">
        <f>YEAR(A1532)</f>
        <v>2014</v>
      </c>
      <c r="F1532" s="33">
        <f>DATE(YEAR(A1532),MONTH(A1532),1)</f>
        <v>41791.0</v>
      </c>
      <c r="G1532" t="str">
        <f>CHOOSE(WEEKDAY(A1532,2),"Mon","Tue","Wed","Thu","Fri","Sat","Sun")</f>
        <v>Tue</v>
      </c>
      <c r="H1532" t="str">
        <f>IF(WEEKDAY(A1532,2)&gt;5,"Weekend","Weekday")</f>
        <v>Weekday</v>
      </c>
      <c r="I1532" t="str">
        <f>_xlfn.IFS(B1532&lt;=5,"Night (0-5)",B1532&lt;=9,"Morning peak (6-9)",B1532&lt;=15,"Midday (10-15)",B1532&lt;=19,"Evening peak (16-19)",TRUE,"Late evening (20-23)")</f>
        <v>Evening peak (16-19)</v>
      </c>
    </row>
    <row r="1533" spans="1:9">
      <c r="A1533" s="32">
        <v>41793</v>
      </c>
      <c r="B1533">
        <v>19</v>
      </c>
      <c r="C1533">
        <v>1369</v>
      </c>
      <c r="D1533" t="s">
        <v>303</v>
      </c>
      <c r="E1533">
        <f>YEAR(A1533)</f>
        <v>2014</v>
      </c>
      <c r="F1533" s="33">
        <f>DATE(YEAR(A1533),MONTH(A1533),1)</f>
        <v>41791.0</v>
      </c>
      <c r="G1533" t="str">
        <f>CHOOSE(WEEKDAY(A1533,2),"Mon","Tue","Wed","Thu","Fri","Sat","Sun")</f>
        <v>Tue</v>
      </c>
      <c r="H1533" t="str">
        <f>IF(WEEKDAY(A1533,2)&gt;5,"Weekend","Weekday")</f>
        <v>Weekday</v>
      </c>
      <c r="I1533" t="str">
        <f>_xlfn.IFS(B1533&lt;=5,"Night (0-5)",B1533&lt;=9,"Morning peak (6-9)",B1533&lt;=15,"Midday (10-15)",B1533&lt;=19,"Evening peak (16-19)",TRUE,"Late evening (20-23)")</f>
        <v>Evening peak (16-19)</v>
      </c>
    </row>
    <row r="1534" spans="1:9">
      <c r="A1534" s="32">
        <v>41793</v>
      </c>
      <c r="B1534">
        <v>20</v>
      </c>
      <c r="C1534">
        <v>1406</v>
      </c>
      <c r="D1534" t="s">
        <v>303</v>
      </c>
      <c r="E1534">
        <f>YEAR(A1534)</f>
        <v>2014</v>
      </c>
      <c r="F1534" s="33">
        <f>DATE(YEAR(A1534),MONTH(A1534),1)</f>
        <v>41791.0</v>
      </c>
      <c r="G1534" t="str">
        <f>CHOOSE(WEEKDAY(A1534,2),"Mon","Tue","Wed","Thu","Fri","Sat","Sun")</f>
        <v>Tue</v>
      </c>
      <c r="H1534" t="str">
        <f>IF(WEEKDAY(A1534,2)&gt;5,"Weekend","Weekday")</f>
        <v>Weekday</v>
      </c>
      <c r="I1534" t="str">
        <f>_xlfn.IFS(B1534&lt;=5,"Night (0-5)",B1534&lt;=9,"Morning peak (6-9)",B1534&lt;=15,"Midday (10-15)",B1534&lt;=19,"Evening peak (16-19)",TRUE,"Late evening (20-23)")</f>
        <v>Late evening (20-23)</v>
      </c>
    </row>
    <row r="1535" spans="1:9">
      <c r="A1535" s="32">
        <v>41793</v>
      </c>
      <c r="B1535">
        <v>21</v>
      </c>
      <c r="C1535">
        <v>1257</v>
      </c>
      <c r="D1535" t="s">
        <v>303</v>
      </c>
      <c r="E1535">
        <f>YEAR(A1535)</f>
        <v>2014</v>
      </c>
      <c r="F1535" s="33">
        <f>DATE(YEAR(A1535),MONTH(A1535),1)</f>
        <v>41791.0</v>
      </c>
      <c r="G1535" t="str">
        <f>CHOOSE(WEEKDAY(A1535,2),"Mon","Tue","Wed","Thu","Fri","Sat","Sun")</f>
        <v>Tue</v>
      </c>
      <c r="H1535" t="str">
        <f>IF(WEEKDAY(A1535,2)&gt;5,"Weekend","Weekday")</f>
        <v>Weekday</v>
      </c>
      <c r="I1535" t="str">
        <f>_xlfn.IFS(B1535&lt;=5,"Night (0-5)",B1535&lt;=9,"Morning peak (6-9)",B1535&lt;=15,"Midday (10-15)",B1535&lt;=19,"Evening peak (16-19)",TRUE,"Late evening (20-23)")</f>
        <v>Late evening (20-23)</v>
      </c>
    </row>
    <row r="1536" spans="1:9">
      <c r="A1536" s="32">
        <v>41793</v>
      </c>
      <c r="B1536">
        <v>22</v>
      </c>
      <c r="C1536">
        <v>833</v>
      </c>
      <c r="D1536" t="s">
        <v>303</v>
      </c>
      <c r="E1536">
        <f>YEAR(A1536)</f>
        <v>2014</v>
      </c>
      <c r="F1536" s="33">
        <f>DATE(YEAR(A1536),MONTH(A1536),1)</f>
        <v>41791.0</v>
      </c>
      <c r="G1536" t="str">
        <f>CHOOSE(WEEKDAY(A1536,2),"Mon","Tue","Wed","Thu","Fri","Sat","Sun")</f>
        <v>Tue</v>
      </c>
      <c r="H1536" t="str">
        <f>IF(WEEKDAY(A1536,2)&gt;5,"Weekend","Weekday")</f>
        <v>Weekday</v>
      </c>
      <c r="I1536" t="str">
        <f>_xlfn.IFS(B1536&lt;=5,"Night (0-5)",B1536&lt;=9,"Morning peak (6-9)",B1536&lt;=15,"Midday (10-15)",B1536&lt;=19,"Evening peak (16-19)",TRUE,"Late evening (20-23)")</f>
        <v>Late evening (20-23)</v>
      </c>
    </row>
    <row r="1537" spans="1:9">
      <c r="A1537" s="32">
        <v>41793</v>
      </c>
      <c r="B1537">
        <v>23</v>
      </c>
      <c r="C1537">
        <v>441</v>
      </c>
      <c r="D1537" t="s">
        <v>303</v>
      </c>
      <c r="E1537">
        <f>YEAR(A1537)</f>
        <v>2014</v>
      </c>
      <c r="F1537" s="33">
        <f>DATE(YEAR(A1537),MONTH(A1537),1)</f>
        <v>41791.0</v>
      </c>
      <c r="G1537" t="str">
        <f>CHOOSE(WEEKDAY(A1537,2),"Mon","Tue","Wed","Thu","Fri","Sat","Sun")</f>
        <v>Tue</v>
      </c>
      <c r="H1537" t="str">
        <f>IF(WEEKDAY(A1537,2)&gt;5,"Weekend","Weekday")</f>
        <v>Weekday</v>
      </c>
      <c r="I1537" t="str">
        <f>_xlfn.IFS(B1537&lt;=5,"Night (0-5)",B1537&lt;=9,"Morning peak (6-9)",B1537&lt;=15,"Midday (10-15)",B1537&lt;=19,"Evening peak (16-19)",TRUE,"Late evening (20-23)")</f>
        <v>Late evening (20-23)</v>
      </c>
    </row>
    <row r="1538" spans="1:9">
      <c r="A1538" s="32">
        <v>41794</v>
      </c>
      <c r="B1538">
        <v>0</v>
      </c>
      <c r="C1538">
        <v>213</v>
      </c>
      <c r="D1538" t="s">
        <v>303</v>
      </c>
      <c r="E1538">
        <f>YEAR(A1538)</f>
        <v>2014</v>
      </c>
      <c r="F1538" s="33">
        <f>DATE(YEAR(A1538),MONTH(A1538),1)</f>
        <v>41791.0</v>
      </c>
      <c r="G1538" t="str">
        <f>CHOOSE(WEEKDAY(A1538,2),"Mon","Tue","Wed","Thu","Fri","Sat","Sun")</f>
        <v>Wed</v>
      </c>
      <c r="H1538" t="str">
        <f>IF(WEEKDAY(A1538,2)&gt;5,"Weekend","Weekday")</f>
        <v>Weekday</v>
      </c>
      <c r="I1538" t="str">
        <f>_xlfn.IFS(B1538&lt;=5,"Night (0-5)",B1538&lt;=9,"Morning peak (6-9)",B1538&lt;=15,"Midday (10-15)",B1538&lt;=19,"Evening peak (16-19)",TRUE,"Late evening (20-23)")</f>
        <v>Night (0-5)</v>
      </c>
    </row>
    <row r="1539" spans="1:9">
      <c r="A1539" s="32">
        <v>41794</v>
      </c>
      <c r="B1539">
        <v>1</v>
      </c>
      <c r="C1539">
        <v>106</v>
      </c>
      <c r="D1539" t="s">
        <v>303</v>
      </c>
      <c r="E1539">
        <f>YEAR(A1539)</f>
        <v>2014</v>
      </c>
      <c r="F1539" s="33">
        <f>DATE(YEAR(A1539),MONTH(A1539),1)</f>
        <v>41791.0</v>
      </c>
      <c r="G1539" t="str">
        <f>CHOOSE(WEEKDAY(A1539,2),"Mon","Tue","Wed","Thu","Fri","Sat","Sun")</f>
        <v>Wed</v>
      </c>
      <c r="H1539" t="str">
        <f>IF(WEEKDAY(A1539,2)&gt;5,"Weekend","Weekday")</f>
        <v>Weekday</v>
      </c>
      <c r="I1539" t="str">
        <f>_xlfn.IFS(B1539&lt;=5,"Night (0-5)",B1539&lt;=9,"Morning peak (6-9)",B1539&lt;=15,"Midday (10-15)",B1539&lt;=19,"Evening peak (16-19)",TRUE,"Late evening (20-23)")</f>
        <v>Night (0-5)</v>
      </c>
    </row>
    <row r="1540" spans="1:9">
      <c r="A1540" s="32">
        <v>41794</v>
      </c>
      <c r="B1540">
        <v>2</v>
      </c>
      <c r="C1540">
        <v>90</v>
      </c>
      <c r="D1540" t="s">
        <v>303</v>
      </c>
      <c r="E1540">
        <f>YEAR(A1540)</f>
        <v>2014</v>
      </c>
      <c r="F1540" s="33">
        <f>DATE(YEAR(A1540),MONTH(A1540),1)</f>
        <v>41791.0</v>
      </c>
      <c r="G1540" t="str">
        <f>CHOOSE(WEEKDAY(A1540,2),"Mon","Tue","Wed","Thu","Fri","Sat","Sun")</f>
        <v>Wed</v>
      </c>
      <c r="H1540" t="str">
        <f>IF(WEEKDAY(A1540,2)&gt;5,"Weekend","Weekday")</f>
        <v>Weekday</v>
      </c>
      <c r="I1540" t="str">
        <f>_xlfn.IFS(B1540&lt;=5,"Night (0-5)",B1540&lt;=9,"Morning peak (6-9)",B1540&lt;=15,"Midday (10-15)",B1540&lt;=19,"Evening peak (16-19)",TRUE,"Late evening (20-23)")</f>
        <v>Night (0-5)</v>
      </c>
    </row>
    <row r="1541" spans="1:9">
      <c r="A1541" s="32">
        <v>41794</v>
      </c>
      <c r="B1541">
        <v>3</v>
      </c>
      <c r="C1541">
        <v>144</v>
      </c>
      <c r="D1541" t="s">
        <v>303</v>
      </c>
      <c r="E1541">
        <f>YEAR(A1541)</f>
        <v>2014</v>
      </c>
      <c r="F1541" s="33">
        <f>DATE(YEAR(A1541),MONTH(A1541),1)</f>
        <v>41791.0</v>
      </c>
      <c r="G1541" t="str">
        <f>CHOOSE(WEEKDAY(A1541,2),"Mon","Tue","Wed","Thu","Fri","Sat","Sun")</f>
        <v>Wed</v>
      </c>
      <c r="H1541" t="str">
        <f>IF(WEEKDAY(A1541,2)&gt;5,"Weekend","Weekday")</f>
        <v>Weekday</v>
      </c>
      <c r="I1541" t="str">
        <f>_xlfn.IFS(B1541&lt;=5,"Night (0-5)",B1541&lt;=9,"Morning peak (6-9)",B1541&lt;=15,"Midday (10-15)",B1541&lt;=19,"Evening peak (16-19)",TRUE,"Late evening (20-23)")</f>
        <v>Night (0-5)</v>
      </c>
    </row>
    <row r="1542" spans="1:9">
      <c r="A1542" s="32">
        <v>41794</v>
      </c>
      <c r="B1542">
        <v>4</v>
      </c>
      <c r="C1542">
        <v>216</v>
      </c>
      <c r="D1542" t="s">
        <v>303</v>
      </c>
      <c r="E1542">
        <f>YEAR(A1542)</f>
        <v>2014</v>
      </c>
      <c r="F1542" s="33">
        <f>DATE(YEAR(A1542),MONTH(A1542),1)</f>
        <v>41791.0</v>
      </c>
      <c r="G1542" t="str">
        <f>CHOOSE(WEEKDAY(A1542,2),"Mon","Tue","Wed","Thu","Fri","Sat","Sun")</f>
        <v>Wed</v>
      </c>
      <c r="H1542" t="str">
        <f>IF(WEEKDAY(A1542,2)&gt;5,"Weekend","Weekday")</f>
        <v>Weekday</v>
      </c>
      <c r="I1542" t="str">
        <f>_xlfn.IFS(B1542&lt;=5,"Night (0-5)",B1542&lt;=9,"Morning peak (6-9)",B1542&lt;=15,"Midday (10-15)",B1542&lt;=19,"Evening peak (16-19)",TRUE,"Late evening (20-23)")</f>
        <v>Night (0-5)</v>
      </c>
    </row>
    <row r="1543" spans="1:9">
      <c r="A1543" s="32">
        <v>41794</v>
      </c>
      <c r="B1543">
        <v>5</v>
      </c>
      <c r="C1543">
        <v>365</v>
      </c>
      <c r="D1543" t="s">
        <v>303</v>
      </c>
      <c r="E1543">
        <f>YEAR(A1543)</f>
        <v>2014</v>
      </c>
      <c r="F1543" s="33">
        <f>DATE(YEAR(A1543),MONTH(A1543),1)</f>
        <v>41791.0</v>
      </c>
      <c r="G1543" t="str">
        <f>CHOOSE(WEEKDAY(A1543,2),"Mon","Tue","Wed","Thu","Fri","Sat","Sun")</f>
        <v>Wed</v>
      </c>
      <c r="H1543" t="str">
        <f>IF(WEEKDAY(A1543,2)&gt;5,"Weekend","Weekday")</f>
        <v>Weekday</v>
      </c>
      <c r="I1543" t="str">
        <f>_xlfn.IFS(B1543&lt;=5,"Night (0-5)",B1543&lt;=9,"Morning peak (6-9)",B1543&lt;=15,"Midday (10-15)",B1543&lt;=19,"Evening peak (16-19)",TRUE,"Late evening (20-23)")</f>
        <v>Night (0-5)</v>
      </c>
    </row>
    <row r="1544" spans="1:9">
      <c r="A1544" s="32">
        <v>41794</v>
      </c>
      <c r="B1544">
        <v>6</v>
      </c>
      <c r="C1544">
        <v>936</v>
      </c>
      <c r="D1544" t="s">
        <v>303</v>
      </c>
      <c r="E1544">
        <f>YEAR(A1544)</f>
        <v>2014</v>
      </c>
      <c r="F1544" s="33">
        <f>DATE(YEAR(A1544),MONTH(A1544),1)</f>
        <v>41791.0</v>
      </c>
      <c r="G1544" t="str">
        <f>CHOOSE(WEEKDAY(A1544,2),"Mon","Tue","Wed","Thu","Fri","Sat","Sun")</f>
        <v>Wed</v>
      </c>
      <c r="H1544" t="str">
        <f>IF(WEEKDAY(A1544,2)&gt;5,"Weekend","Weekday")</f>
        <v>Weekday</v>
      </c>
      <c r="I1544" t="str">
        <f>_xlfn.IFS(B1544&lt;=5,"Night (0-5)",B1544&lt;=9,"Morning peak (6-9)",B1544&lt;=15,"Midday (10-15)",B1544&lt;=19,"Evening peak (16-19)",TRUE,"Late evening (20-23)")</f>
        <v>Morning peak (6-9)</v>
      </c>
    </row>
    <row r="1545" spans="1:9">
      <c r="A1545" s="32">
        <v>41794</v>
      </c>
      <c r="B1545">
        <v>7</v>
      </c>
      <c r="C1545">
        <v>1295</v>
      </c>
      <c r="D1545" t="s">
        <v>303</v>
      </c>
      <c r="E1545">
        <f>YEAR(A1545)</f>
        <v>2014</v>
      </c>
      <c r="F1545" s="33">
        <f>DATE(YEAR(A1545),MONTH(A1545),1)</f>
        <v>41791.0</v>
      </c>
      <c r="G1545" t="str">
        <f>CHOOSE(WEEKDAY(A1545,2),"Mon","Tue","Wed","Thu","Fri","Sat","Sun")</f>
        <v>Wed</v>
      </c>
      <c r="H1545" t="str">
        <f>IF(WEEKDAY(A1545,2)&gt;5,"Weekend","Weekday")</f>
        <v>Weekday</v>
      </c>
      <c r="I1545" t="str">
        <f>_xlfn.IFS(B1545&lt;=5,"Night (0-5)",B1545&lt;=9,"Morning peak (6-9)",B1545&lt;=15,"Midday (10-15)",B1545&lt;=19,"Evening peak (16-19)",TRUE,"Late evening (20-23)")</f>
        <v>Morning peak (6-9)</v>
      </c>
    </row>
    <row r="1546" spans="1:9">
      <c r="A1546" s="32">
        <v>41794</v>
      </c>
      <c r="B1546">
        <v>8</v>
      </c>
      <c r="C1546">
        <v>1024</v>
      </c>
      <c r="D1546" t="s">
        <v>303</v>
      </c>
      <c r="E1546">
        <f>YEAR(A1546)</f>
        <v>2014</v>
      </c>
      <c r="F1546" s="33">
        <f>DATE(YEAR(A1546),MONTH(A1546),1)</f>
        <v>41791.0</v>
      </c>
      <c r="G1546" t="str">
        <f>CHOOSE(WEEKDAY(A1546,2),"Mon","Tue","Wed","Thu","Fri","Sat","Sun")</f>
        <v>Wed</v>
      </c>
      <c r="H1546" t="str">
        <f>IF(WEEKDAY(A1546,2)&gt;5,"Weekend","Weekday")</f>
        <v>Weekday</v>
      </c>
      <c r="I1546" t="str">
        <f>_xlfn.IFS(B1546&lt;=5,"Night (0-5)",B1546&lt;=9,"Morning peak (6-9)",B1546&lt;=15,"Midday (10-15)",B1546&lt;=19,"Evening peak (16-19)",TRUE,"Late evening (20-23)")</f>
        <v>Morning peak (6-9)</v>
      </c>
    </row>
    <row r="1547" spans="1:9">
      <c r="A1547" s="32">
        <v>41794</v>
      </c>
      <c r="B1547">
        <v>9</v>
      </c>
      <c r="C1547">
        <v>827</v>
      </c>
      <c r="D1547" t="s">
        <v>303</v>
      </c>
      <c r="E1547">
        <f>YEAR(A1547)</f>
        <v>2014</v>
      </c>
      <c r="F1547" s="33">
        <f>DATE(YEAR(A1547),MONTH(A1547),1)</f>
        <v>41791.0</v>
      </c>
      <c r="G1547" t="str">
        <f>CHOOSE(WEEKDAY(A1547,2),"Mon","Tue","Wed","Thu","Fri","Sat","Sun")</f>
        <v>Wed</v>
      </c>
      <c r="H1547" t="str">
        <f>IF(WEEKDAY(A1547,2)&gt;5,"Weekend","Weekday")</f>
        <v>Weekday</v>
      </c>
      <c r="I1547" t="str">
        <f>_xlfn.IFS(B1547&lt;=5,"Night (0-5)",B1547&lt;=9,"Morning peak (6-9)",B1547&lt;=15,"Midday (10-15)",B1547&lt;=19,"Evening peak (16-19)",TRUE,"Late evening (20-23)")</f>
        <v>Morning peak (6-9)</v>
      </c>
    </row>
    <row r="1548" spans="1:9">
      <c r="A1548" s="32">
        <v>41794</v>
      </c>
      <c r="B1548">
        <v>10</v>
      </c>
      <c r="C1548">
        <v>764</v>
      </c>
      <c r="D1548" t="s">
        <v>303</v>
      </c>
      <c r="E1548">
        <f>YEAR(A1548)</f>
        <v>2014</v>
      </c>
      <c r="F1548" s="33">
        <f>DATE(YEAR(A1548),MONTH(A1548),1)</f>
        <v>41791.0</v>
      </c>
      <c r="G1548" t="str">
        <f>CHOOSE(WEEKDAY(A1548,2),"Mon","Tue","Wed","Thu","Fri","Sat","Sun")</f>
        <v>Wed</v>
      </c>
      <c r="H1548" t="str">
        <f>IF(WEEKDAY(A1548,2)&gt;5,"Weekend","Weekday")</f>
        <v>Weekday</v>
      </c>
      <c r="I1548" t="str">
        <f>_xlfn.IFS(B1548&lt;=5,"Night (0-5)",B1548&lt;=9,"Morning peak (6-9)",B1548&lt;=15,"Midday (10-15)",B1548&lt;=19,"Evening peak (16-19)",TRUE,"Late evening (20-23)")</f>
        <v>Midday (10-15)</v>
      </c>
    </row>
    <row r="1549" spans="1:9">
      <c r="A1549" s="32">
        <v>41794</v>
      </c>
      <c r="B1549">
        <v>11</v>
      </c>
      <c r="C1549">
        <v>758</v>
      </c>
      <c r="D1549" t="s">
        <v>303</v>
      </c>
      <c r="E1549">
        <f>YEAR(A1549)</f>
        <v>2014</v>
      </c>
      <c r="F1549" s="33">
        <f>DATE(YEAR(A1549),MONTH(A1549),1)</f>
        <v>41791.0</v>
      </c>
      <c r="G1549" t="str">
        <f>CHOOSE(WEEKDAY(A1549,2),"Mon","Tue","Wed","Thu","Fri","Sat","Sun")</f>
        <v>Wed</v>
      </c>
      <c r="H1549" t="str">
        <f>IF(WEEKDAY(A1549,2)&gt;5,"Weekend","Weekday")</f>
        <v>Weekday</v>
      </c>
      <c r="I1549" t="str">
        <f>_xlfn.IFS(B1549&lt;=5,"Night (0-5)",B1549&lt;=9,"Morning peak (6-9)",B1549&lt;=15,"Midday (10-15)",B1549&lt;=19,"Evening peak (16-19)",TRUE,"Late evening (20-23)")</f>
        <v>Midday (10-15)</v>
      </c>
    </row>
    <row r="1550" spans="1:9">
      <c r="A1550" s="32">
        <v>41794</v>
      </c>
      <c r="B1550">
        <v>12</v>
      </c>
      <c r="C1550">
        <v>768</v>
      </c>
      <c r="D1550" t="s">
        <v>303</v>
      </c>
      <c r="E1550">
        <f>YEAR(A1550)</f>
        <v>2014</v>
      </c>
      <c r="F1550" s="33">
        <f>DATE(YEAR(A1550),MONTH(A1550),1)</f>
        <v>41791.0</v>
      </c>
      <c r="G1550" t="str">
        <f>CHOOSE(WEEKDAY(A1550,2),"Mon","Tue","Wed","Thu","Fri","Sat","Sun")</f>
        <v>Wed</v>
      </c>
      <c r="H1550" t="str">
        <f>IF(WEEKDAY(A1550,2)&gt;5,"Weekend","Weekday")</f>
        <v>Weekday</v>
      </c>
      <c r="I1550" t="str">
        <f>_xlfn.IFS(B1550&lt;=5,"Night (0-5)",B1550&lt;=9,"Morning peak (6-9)",B1550&lt;=15,"Midday (10-15)",B1550&lt;=19,"Evening peak (16-19)",TRUE,"Late evening (20-23)")</f>
        <v>Midday (10-15)</v>
      </c>
    </row>
    <row r="1551" spans="1:9">
      <c r="A1551" s="32">
        <v>41794</v>
      </c>
      <c r="B1551">
        <v>13</v>
      </c>
      <c r="C1551">
        <v>922</v>
      </c>
      <c r="D1551" t="s">
        <v>303</v>
      </c>
      <c r="E1551">
        <f>YEAR(A1551)</f>
        <v>2014</v>
      </c>
      <c r="F1551" s="33">
        <f>DATE(YEAR(A1551),MONTH(A1551),1)</f>
        <v>41791.0</v>
      </c>
      <c r="G1551" t="str">
        <f>CHOOSE(WEEKDAY(A1551,2),"Mon","Tue","Wed","Thu","Fri","Sat","Sun")</f>
        <v>Wed</v>
      </c>
      <c r="H1551" t="str">
        <f>IF(WEEKDAY(A1551,2)&gt;5,"Weekend","Weekday")</f>
        <v>Weekday</v>
      </c>
      <c r="I1551" t="str">
        <f>_xlfn.IFS(B1551&lt;=5,"Night (0-5)",B1551&lt;=9,"Morning peak (6-9)",B1551&lt;=15,"Midday (10-15)",B1551&lt;=19,"Evening peak (16-19)",TRUE,"Late evening (20-23)")</f>
        <v>Midday (10-15)</v>
      </c>
    </row>
    <row r="1552" spans="1:9">
      <c r="A1552" s="32">
        <v>41794</v>
      </c>
      <c r="B1552">
        <v>14</v>
      </c>
      <c r="C1552">
        <v>1214</v>
      </c>
      <c r="D1552" t="s">
        <v>303</v>
      </c>
      <c r="E1552">
        <f>YEAR(A1552)</f>
        <v>2014</v>
      </c>
      <c r="F1552" s="33">
        <f>DATE(YEAR(A1552),MONTH(A1552),1)</f>
        <v>41791.0</v>
      </c>
      <c r="G1552" t="str">
        <f>CHOOSE(WEEKDAY(A1552,2),"Mon","Tue","Wed","Thu","Fri","Sat","Sun")</f>
        <v>Wed</v>
      </c>
      <c r="H1552" t="str">
        <f>IF(WEEKDAY(A1552,2)&gt;5,"Weekend","Weekday")</f>
        <v>Weekday</v>
      </c>
      <c r="I1552" t="str">
        <f>_xlfn.IFS(B1552&lt;=5,"Night (0-5)",B1552&lt;=9,"Morning peak (6-9)",B1552&lt;=15,"Midday (10-15)",B1552&lt;=19,"Evening peak (16-19)",TRUE,"Late evening (20-23)")</f>
        <v>Midday (10-15)</v>
      </c>
    </row>
    <row r="1553" spans="1:9">
      <c r="A1553" s="32">
        <v>41794</v>
      </c>
      <c r="B1553">
        <v>15</v>
      </c>
      <c r="C1553">
        <v>1584</v>
      </c>
      <c r="D1553" t="s">
        <v>303</v>
      </c>
      <c r="E1553">
        <f>YEAR(A1553)</f>
        <v>2014</v>
      </c>
      <c r="F1553" s="33">
        <f>DATE(YEAR(A1553),MONTH(A1553),1)</f>
        <v>41791.0</v>
      </c>
      <c r="G1553" t="str">
        <f>CHOOSE(WEEKDAY(A1553,2),"Mon","Tue","Wed","Thu","Fri","Sat","Sun")</f>
        <v>Wed</v>
      </c>
      <c r="H1553" t="str">
        <f>IF(WEEKDAY(A1553,2)&gt;5,"Weekend","Weekday")</f>
        <v>Weekday</v>
      </c>
      <c r="I1553" t="str">
        <f>_xlfn.IFS(B1553&lt;=5,"Night (0-5)",B1553&lt;=9,"Morning peak (6-9)",B1553&lt;=15,"Midday (10-15)",B1553&lt;=19,"Evening peak (16-19)",TRUE,"Late evening (20-23)")</f>
        <v>Midday (10-15)</v>
      </c>
    </row>
    <row r="1554" spans="1:9">
      <c r="A1554" s="32">
        <v>41794</v>
      </c>
      <c r="B1554">
        <v>16</v>
      </c>
      <c r="C1554">
        <v>1914</v>
      </c>
      <c r="D1554" t="s">
        <v>303</v>
      </c>
      <c r="E1554">
        <f>YEAR(A1554)</f>
        <v>2014</v>
      </c>
      <c r="F1554" s="33">
        <f>DATE(YEAR(A1554),MONTH(A1554),1)</f>
        <v>41791.0</v>
      </c>
      <c r="G1554" t="str">
        <f>CHOOSE(WEEKDAY(A1554,2),"Mon","Tue","Wed","Thu","Fri","Sat","Sun")</f>
        <v>Wed</v>
      </c>
      <c r="H1554" t="str">
        <f>IF(WEEKDAY(A1554,2)&gt;5,"Weekend","Weekday")</f>
        <v>Weekday</v>
      </c>
      <c r="I1554" t="str">
        <f>_xlfn.IFS(B1554&lt;=5,"Night (0-5)",B1554&lt;=9,"Morning peak (6-9)",B1554&lt;=15,"Midday (10-15)",B1554&lt;=19,"Evening peak (16-19)",TRUE,"Late evening (20-23)")</f>
        <v>Evening peak (16-19)</v>
      </c>
    </row>
    <row r="1555" spans="1:9">
      <c r="A1555" s="32">
        <v>41794</v>
      </c>
      <c r="B1555">
        <v>17</v>
      </c>
      <c r="C1555">
        <v>1948</v>
      </c>
      <c r="D1555" t="s">
        <v>303</v>
      </c>
      <c r="E1555">
        <f>YEAR(A1555)</f>
        <v>2014</v>
      </c>
      <c r="F1555" s="33">
        <f>DATE(YEAR(A1555),MONTH(A1555),1)</f>
        <v>41791.0</v>
      </c>
      <c r="G1555" t="str">
        <f>CHOOSE(WEEKDAY(A1555,2),"Mon","Tue","Wed","Thu","Fri","Sat","Sun")</f>
        <v>Wed</v>
      </c>
      <c r="H1555" t="str">
        <f>IF(WEEKDAY(A1555,2)&gt;5,"Weekend","Weekday")</f>
        <v>Weekday</v>
      </c>
      <c r="I1555" t="str">
        <f>_xlfn.IFS(B1555&lt;=5,"Night (0-5)",B1555&lt;=9,"Morning peak (6-9)",B1555&lt;=15,"Midday (10-15)",B1555&lt;=19,"Evening peak (16-19)",TRUE,"Late evening (20-23)")</f>
        <v>Evening peak (16-19)</v>
      </c>
    </row>
    <row r="1556" spans="1:9">
      <c r="A1556" s="32">
        <v>41794</v>
      </c>
      <c r="B1556">
        <v>18</v>
      </c>
      <c r="C1556">
        <v>1558</v>
      </c>
      <c r="D1556" t="s">
        <v>303</v>
      </c>
      <c r="E1556">
        <f>YEAR(A1556)</f>
        <v>2014</v>
      </c>
      <c r="F1556" s="33">
        <f>DATE(YEAR(A1556),MONTH(A1556),1)</f>
        <v>41791.0</v>
      </c>
      <c r="G1556" t="str">
        <f>CHOOSE(WEEKDAY(A1556,2),"Mon","Tue","Wed","Thu","Fri","Sat","Sun")</f>
        <v>Wed</v>
      </c>
      <c r="H1556" t="str">
        <f>IF(WEEKDAY(A1556,2)&gt;5,"Weekend","Weekday")</f>
        <v>Weekday</v>
      </c>
      <c r="I1556" t="str">
        <f>_xlfn.IFS(B1556&lt;=5,"Night (0-5)",B1556&lt;=9,"Morning peak (6-9)",B1556&lt;=15,"Midday (10-15)",B1556&lt;=19,"Evening peak (16-19)",TRUE,"Late evening (20-23)")</f>
        <v>Evening peak (16-19)</v>
      </c>
    </row>
    <row r="1557" spans="1:9">
      <c r="A1557" s="32">
        <v>41794</v>
      </c>
      <c r="B1557">
        <v>19</v>
      </c>
      <c r="C1557">
        <v>1385</v>
      </c>
      <c r="D1557" t="s">
        <v>303</v>
      </c>
      <c r="E1557">
        <f>YEAR(A1557)</f>
        <v>2014</v>
      </c>
      <c r="F1557" s="33">
        <f>DATE(YEAR(A1557),MONTH(A1557),1)</f>
        <v>41791.0</v>
      </c>
      <c r="G1557" t="str">
        <f>CHOOSE(WEEKDAY(A1557,2),"Mon","Tue","Wed","Thu","Fri","Sat","Sun")</f>
        <v>Wed</v>
      </c>
      <c r="H1557" t="str">
        <f>IF(WEEKDAY(A1557,2)&gt;5,"Weekend","Weekday")</f>
        <v>Weekday</v>
      </c>
      <c r="I1557" t="str">
        <f>_xlfn.IFS(B1557&lt;=5,"Night (0-5)",B1557&lt;=9,"Morning peak (6-9)",B1557&lt;=15,"Midday (10-15)",B1557&lt;=19,"Evening peak (16-19)",TRUE,"Late evening (20-23)")</f>
        <v>Evening peak (16-19)</v>
      </c>
    </row>
    <row r="1558" spans="1:9">
      <c r="A1558" s="32">
        <v>41794</v>
      </c>
      <c r="B1558">
        <v>20</v>
      </c>
      <c r="C1558">
        <v>1526</v>
      </c>
      <c r="D1558" t="s">
        <v>303</v>
      </c>
      <c r="E1558">
        <f>YEAR(A1558)</f>
        <v>2014</v>
      </c>
      <c r="F1558" s="33">
        <f>DATE(YEAR(A1558),MONTH(A1558),1)</f>
        <v>41791.0</v>
      </c>
      <c r="G1558" t="str">
        <f>CHOOSE(WEEKDAY(A1558,2),"Mon","Tue","Wed","Thu","Fri","Sat","Sun")</f>
        <v>Wed</v>
      </c>
      <c r="H1558" t="str">
        <f>IF(WEEKDAY(A1558,2)&gt;5,"Weekend","Weekday")</f>
        <v>Weekday</v>
      </c>
      <c r="I1558" t="str">
        <f>_xlfn.IFS(B1558&lt;=5,"Night (0-5)",B1558&lt;=9,"Morning peak (6-9)",B1558&lt;=15,"Midday (10-15)",B1558&lt;=19,"Evening peak (16-19)",TRUE,"Late evening (20-23)")</f>
        <v>Late evening (20-23)</v>
      </c>
    </row>
    <row r="1559" spans="1:9">
      <c r="A1559" s="32">
        <v>41794</v>
      </c>
      <c r="B1559">
        <v>21</v>
      </c>
      <c r="C1559">
        <v>1464</v>
      </c>
      <c r="D1559" t="s">
        <v>303</v>
      </c>
      <c r="E1559">
        <f>YEAR(A1559)</f>
        <v>2014</v>
      </c>
      <c r="F1559" s="33">
        <f>DATE(YEAR(A1559),MONTH(A1559),1)</f>
        <v>41791.0</v>
      </c>
      <c r="G1559" t="str">
        <f>CHOOSE(WEEKDAY(A1559,2),"Mon","Tue","Wed","Thu","Fri","Sat","Sun")</f>
        <v>Wed</v>
      </c>
      <c r="H1559" t="str">
        <f>IF(WEEKDAY(A1559,2)&gt;5,"Weekend","Weekday")</f>
        <v>Weekday</v>
      </c>
      <c r="I1559" t="str">
        <f>_xlfn.IFS(B1559&lt;=5,"Night (0-5)",B1559&lt;=9,"Morning peak (6-9)",B1559&lt;=15,"Midday (10-15)",B1559&lt;=19,"Evening peak (16-19)",TRUE,"Late evening (20-23)")</f>
        <v>Late evening (20-23)</v>
      </c>
    </row>
    <row r="1560" spans="1:9">
      <c r="A1560" s="32">
        <v>41794</v>
      </c>
      <c r="B1560">
        <v>22</v>
      </c>
      <c r="C1560">
        <v>1302</v>
      </c>
      <c r="D1560" t="s">
        <v>303</v>
      </c>
      <c r="E1560">
        <f>YEAR(A1560)</f>
        <v>2014</v>
      </c>
      <c r="F1560" s="33">
        <f>DATE(YEAR(A1560),MONTH(A1560),1)</f>
        <v>41791.0</v>
      </c>
      <c r="G1560" t="str">
        <f>CHOOSE(WEEKDAY(A1560,2),"Mon","Tue","Wed","Thu","Fri","Sat","Sun")</f>
        <v>Wed</v>
      </c>
      <c r="H1560" t="str">
        <f>IF(WEEKDAY(A1560,2)&gt;5,"Weekend","Weekday")</f>
        <v>Weekday</v>
      </c>
      <c r="I1560" t="str">
        <f>_xlfn.IFS(B1560&lt;=5,"Night (0-5)",B1560&lt;=9,"Morning peak (6-9)",B1560&lt;=15,"Midday (10-15)",B1560&lt;=19,"Evening peak (16-19)",TRUE,"Late evening (20-23)")</f>
        <v>Late evening (20-23)</v>
      </c>
    </row>
    <row r="1561" spans="1:9">
      <c r="A1561" s="32">
        <v>41794</v>
      </c>
      <c r="B1561">
        <v>23</v>
      </c>
      <c r="C1561">
        <v>508</v>
      </c>
      <c r="D1561" t="s">
        <v>303</v>
      </c>
      <c r="E1561">
        <f>YEAR(A1561)</f>
        <v>2014</v>
      </c>
      <c r="F1561" s="33">
        <f>DATE(YEAR(A1561),MONTH(A1561),1)</f>
        <v>41791.0</v>
      </c>
      <c r="G1561" t="str">
        <f>CHOOSE(WEEKDAY(A1561,2),"Mon","Tue","Wed","Thu","Fri","Sat","Sun")</f>
        <v>Wed</v>
      </c>
      <c r="H1561" t="str">
        <f>IF(WEEKDAY(A1561,2)&gt;5,"Weekend","Weekday")</f>
        <v>Weekday</v>
      </c>
      <c r="I1561" t="str">
        <f>_xlfn.IFS(B1561&lt;=5,"Night (0-5)",B1561&lt;=9,"Morning peak (6-9)",B1561&lt;=15,"Midday (10-15)",B1561&lt;=19,"Evening peak (16-19)",TRUE,"Late evening (20-23)")</f>
        <v>Late evening (20-23)</v>
      </c>
    </row>
    <row r="1562" spans="1:9">
      <c r="A1562" s="32">
        <v>41795</v>
      </c>
      <c r="B1562">
        <v>0</v>
      </c>
      <c r="C1562">
        <v>277</v>
      </c>
      <c r="D1562" t="s">
        <v>303</v>
      </c>
      <c r="E1562">
        <f>YEAR(A1562)</f>
        <v>2014</v>
      </c>
      <c r="F1562" s="33">
        <f>DATE(YEAR(A1562),MONTH(A1562),1)</f>
        <v>41791.0</v>
      </c>
      <c r="G1562" t="str">
        <f>CHOOSE(WEEKDAY(A1562,2),"Mon","Tue","Wed","Thu","Fri","Sat","Sun")</f>
        <v>Thu</v>
      </c>
      <c r="H1562" t="str">
        <f>IF(WEEKDAY(A1562,2)&gt;5,"Weekend","Weekday")</f>
        <v>Weekday</v>
      </c>
      <c r="I1562" t="str">
        <f>_xlfn.IFS(B1562&lt;=5,"Night (0-5)",B1562&lt;=9,"Morning peak (6-9)",B1562&lt;=15,"Midday (10-15)",B1562&lt;=19,"Evening peak (16-19)",TRUE,"Late evening (20-23)")</f>
        <v>Night (0-5)</v>
      </c>
    </row>
    <row r="1563" spans="1:9">
      <c r="A1563" s="32">
        <v>41795</v>
      </c>
      <c r="B1563">
        <v>1</v>
      </c>
      <c r="C1563">
        <v>147</v>
      </c>
      <c r="D1563" t="s">
        <v>303</v>
      </c>
      <c r="E1563">
        <f>YEAR(A1563)</f>
        <v>2014</v>
      </c>
      <c r="F1563" s="33">
        <f>DATE(YEAR(A1563),MONTH(A1563),1)</f>
        <v>41791.0</v>
      </c>
      <c r="G1563" t="str">
        <f>CHOOSE(WEEKDAY(A1563,2),"Mon","Tue","Wed","Thu","Fri","Sat","Sun")</f>
        <v>Thu</v>
      </c>
      <c r="H1563" t="str">
        <f>IF(WEEKDAY(A1563,2)&gt;5,"Weekend","Weekday")</f>
        <v>Weekday</v>
      </c>
      <c r="I1563" t="str">
        <f>_xlfn.IFS(B1563&lt;=5,"Night (0-5)",B1563&lt;=9,"Morning peak (6-9)",B1563&lt;=15,"Midday (10-15)",B1563&lt;=19,"Evening peak (16-19)",TRUE,"Late evening (20-23)")</f>
        <v>Night (0-5)</v>
      </c>
    </row>
    <row r="1564" spans="1:9">
      <c r="A1564" s="32">
        <v>41795</v>
      </c>
      <c r="B1564">
        <v>2</v>
      </c>
      <c r="C1564">
        <v>128</v>
      </c>
      <c r="D1564" t="s">
        <v>303</v>
      </c>
      <c r="E1564">
        <f>YEAR(A1564)</f>
        <v>2014</v>
      </c>
      <c r="F1564" s="33">
        <f>DATE(YEAR(A1564),MONTH(A1564),1)</f>
        <v>41791.0</v>
      </c>
      <c r="G1564" t="str">
        <f>CHOOSE(WEEKDAY(A1564,2),"Mon","Tue","Wed","Thu","Fri","Sat","Sun")</f>
        <v>Thu</v>
      </c>
      <c r="H1564" t="str">
        <f>IF(WEEKDAY(A1564,2)&gt;5,"Weekend","Weekday")</f>
        <v>Weekday</v>
      </c>
      <c r="I1564" t="str">
        <f>_xlfn.IFS(B1564&lt;=5,"Night (0-5)",B1564&lt;=9,"Morning peak (6-9)",B1564&lt;=15,"Midday (10-15)",B1564&lt;=19,"Evening peak (16-19)",TRUE,"Late evening (20-23)")</f>
        <v>Night (0-5)</v>
      </c>
    </row>
    <row r="1565" spans="1:9">
      <c r="A1565" s="32">
        <v>41795</v>
      </c>
      <c r="B1565">
        <v>3</v>
      </c>
      <c r="C1565">
        <v>182</v>
      </c>
      <c r="D1565" t="s">
        <v>303</v>
      </c>
      <c r="E1565">
        <f>YEAR(A1565)</f>
        <v>2014</v>
      </c>
      <c r="F1565" s="33">
        <f>DATE(YEAR(A1565),MONTH(A1565),1)</f>
        <v>41791.0</v>
      </c>
      <c r="G1565" t="str">
        <f>CHOOSE(WEEKDAY(A1565,2),"Mon","Tue","Wed","Thu","Fri","Sat","Sun")</f>
        <v>Thu</v>
      </c>
      <c r="H1565" t="str">
        <f>IF(WEEKDAY(A1565,2)&gt;5,"Weekend","Weekday")</f>
        <v>Weekday</v>
      </c>
      <c r="I1565" t="str">
        <f>_xlfn.IFS(B1565&lt;=5,"Night (0-5)",B1565&lt;=9,"Morning peak (6-9)",B1565&lt;=15,"Midday (10-15)",B1565&lt;=19,"Evening peak (16-19)",TRUE,"Late evening (20-23)")</f>
        <v>Night (0-5)</v>
      </c>
    </row>
    <row r="1566" spans="1:9">
      <c r="A1566" s="32">
        <v>41795</v>
      </c>
      <c r="B1566">
        <v>4</v>
      </c>
      <c r="C1566">
        <v>281</v>
      </c>
      <c r="D1566" t="s">
        <v>303</v>
      </c>
      <c r="E1566">
        <f>YEAR(A1566)</f>
        <v>2014</v>
      </c>
      <c r="F1566" s="33">
        <f>DATE(YEAR(A1566),MONTH(A1566),1)</f>
        <v>41791.0</v>
      </c>
      <c r="G1566" t="str">
        <f>CHOOSE(WEEKDAY(A1566,2),"Mon","Tue","Wed","Thu","Fri","Sat","Sun")</f>
        <v>Thu</v>
      </c>
      <c r="H1566" t="str">
        <f>IF(WEEKDAY(A1566,2)&gt;5,"Weekend","Weekday")</f>
        <v>Weekday</v>
      </c>
      <c r="I1566" t="str">
        <f>_xlfn.IFS(B1566&lt;=5,"Night (0-5)",B1566&lt;=9,"Morning peak (6-9)",B1566&lt;=15,"Midday (10-15)",B1566&lt;=19,"Evening peak (16-19)",TRUE,"Late evening (20-23)")</f>
        <v>Night (0-5)</v>
      </c>
    </row>
    <row r="1567" spans="1:9">
      <c r="A1567" s="32">
        <v>41795</v>
      </c>
      <c r="B1567">
        <v>5</v>
      </c>
      <c r="C1567">
        <v>706</v>
      </c>
      <c r="D1567" t="s">
        <v>303</v>
      </c>
      <c r="E1567">
        <f>YEAR(A1567)</f>
        <v>2014</v>
      </c>
      <c r="F1567" s="33">
        <f>DATE(YEAR(A1567),MONTH(A1567),1)</f>
        <v>41791.0</v>
      </c>
      <c r="G1567" t="str">
        <f>CHOOSE(WEEKDAY(A1567,2),"Mon","Tue","Wed","Thu","Fri","Sat","Sun")</f>
        <v>Thu</v>
      </c>
      <c r="H1567" t="str">
        <f>IF(WEEKDAY(A1567,2)&gt;5,"Weekend","Weekday")</f>
        <v>Weekday</v>
      </c>
      <c r="I1567" t="str">
        <f>_xlfn.IFS(B1567&lt;=5,"Night (0-5)",B1567&lt;=9,"Morning peak (6-9)",B1567&lt;=15,"Midday (10-15)",B1567&lt;=19,"Evening peak (16-19)",TRUE,"Late evening (20-23)")</f>
        <v>Night (0-5)</v>
      </c>
    </row>
    <row r="1568" spans="1:9">
      <c r="A1568" s="32">
        <v>41795</v>
      </c>
      <c r="B1568">
        <v>6</v>
      </c>
      <c r="C1568">
        <v>1421</v>
      </c>
      <c r="D1568" t="s">
        <v>303</v>
      </c>
      <c r="E1568">
        <f>YEAR(A1568)</f>
        <v>2014</v>
      </c>
      <c r="F1568" s="33">
        <f>DATE(YEAR(A1568),MONTH(A1568),1)</f>
        <v>41791.0</v>
      </c>
      <c r="G1568" t="str">
        <f>CHOOSE(WEEKDAY(A1568,2),"Mon","Tue","Wed","Thu","Fri","Sat","Sun")</f>
        <v>Thu</v>
      </c>
      <c r="H1568" t="str">
        <f>IF(WEEKDAY(A1568,2)&gt;5,"Weekend","Weekday")</f>
        <v>Weekday</v>
      </c>
      <c r="I1568" t="str">
        <f>_xlfn.IFS(B1568&lt;=5,"Night (0-5)",B1568&lt;=9,"Morning peak (6-9)",B1568&lt;=15,"Midday (10-15)",B1568&lt;=19,"Evening peak (16-19)",TRUE,"Late evening (20-23)")</f>
        <v>Morning peak (6-9)</v>
      </c>
    </row>
    <row r="1569" spans="1:9">
      <c r="A1569" s="32">
        <v>41795</v>
      </c>
      <c r="B1569">
        <v>7</v>
      </c>
      <c r="C1569">
        <v>1762</v>
      </c>
      <c r="D1569" t="s">
        <v>303</v>
      </c>
      <c r="E1569">
        <f>YEAR(A1569)</f>
        <v>2014</v>
      </c>
      <c r="F1569" s="33">
        <f>DATE(YEAR(A1569),MONTH(A1569),1)</f>
        <v>41791.0</v>
      </c>
      <c r="G1569" t="str">
        <f>CHOOSE(WEEKDAY(A1569,2),"Mon","Tue","Wed","Thu","Fri","Sat","Sun")</f>
        <v>Thu</v>
      </c>
      <c r="H1569" t="str">
        <f>IF(WEEKDAY(A1569,2)&gt;5,"Weekend","Weekday")</f>
        <v>Weekday</v>
      </c>
      <c r="I1569" t="str">
        <f>_xlfn.IFS(B1569&lt;=5,"Night (0-5)",B1569&lt;=9,"Morning peak (6-9)",B1569&lt;=15,"Midday (10-15)",B1569&lt;=19,"Evening peak (16-19)",TRUE,"Late evening (20-23)")</f>
        <v>Morning peak (6-9)</v>
      </c>
    </row>
    <row r="1570" spans="1:9">
      <c r="A1570" s="32">
        <v>41795</v>
      </c>
      <c r="B1570">
        <v>8</v>
      </c>
      <c r="C1570">
        <v>1770</v>
      </c>
      <c r="D1570" t="s">
        <v>303</v>
      </c>
      <c r="E1570">
        <f>YEAR(A1570)</f>
        <v>2014</v>
      </c>
      <c r="F1570" s="33">
        <f>DATE(YEAR(A1570),MONTH(A1570),1)</f>
        <v>41791.0</v>
      </c>
      <c r="G1570" t="str">
        <f>CHOOSE(WEEKDAY(A1570,2),"Mon","Tue","Wed","Thu","Fri","Sat","Sun")</f>
        <v>Thu</v>
      </c>
      <c r="H1570" t="str">
        <f>IF(WEEKDAY(A1570,2)&gt;5,"Weekend","Weekday")</f>
        <v>Weekday</v>
      </c>
      <c r="I1570" t="str">
        <f>_xlfn.IFS(B1570&lt;=5,"Night (0-5)",B1570&lt;=9,"Morning peak (6-9)",B1570&lt;=15,"Midday (10-15)",B1570&lt;=19,"Evening peak (16-19)",TRUE,"Late evening (20-23)")</f>
        <v>Morning peak (6-9)</v>
      </c>
    </row>
    <row r="1571" spans="1:9">
      <c r="A1571" s="32">
        <v>41795</v>
      </c>
      <c r="B1571">
        <v>9</v>
      </c>
      <c r="C1571">
        <v>1449</v>
      </c>
      <c r="D1571" t="s">
        <v>303</v>
      </c>
      <c r="E1571">
        <f>YEAR(A1571)</f>
        <v>2014</v>
      </c>
      <c r="F1571" s="33">
        <f>DATE(YEAR(A1571),MONTH(A1571),1)</f>
        <v>41791.0</v>
      </c>
      <c r="G1571" t="str">
        <f>CHOOSE(WEEKDAY(A1571,2),"Mon","Tue","Wed","Thu","Fri","Sat","Sun")</f>
        <v>Thu</v>
      </c>
      <c r="H1571" t="str">
        <f>IF(WEEKDAY(A1571,2)&gt;5,"Weekend","Weekday")</f>
        <v>Weekday</v>
      </c>
      <c r="I1571" t="str">
        <f>_xlfn.IFS(B1571&lt;=5,"Night (0-5)",B1571&lt;=9,"Morning peak (6-9)",B1571&lt;=15,"Midday (10-15)",B1571&lt;=19,"Evening peak (16-19)",TRUE,"Late evening (20-23)")</f>
        <v>Morning peak (6-9)</v>
      </c>
    </row>
    <row r="1572" spans="1:9">
      <c r="A1572" s="32">
        <v>41795</v>
      </c>
      <c r="B1572">
        <v>10</v>
      </c>
      <c r="C1572">
        <v>1105</v>
      </c>
      <c r="D1572" t="s">
        <v>303</v>
      </c>
      <c r="E1572">
        <f>YEAR(A1572)</f>
        <v>2014</v>
      </c>
      <c r="F1572" s="33">
        <f>DATE(YEAR(A1572),MONTH(A1572),1)</f>
        <v>41791.0</v>
      </c>
      <c r="G1572" t="str">
        <f>CHOOSE(WEEKDAY(A1572,2),"Mon","Tue","Wed","Thu","Fri","Sat","Sun")</f>
        <v>Thu</v>
      </c>
      <c r="H1572" t="str">
        <f>IF(WEEKDAY(A1572,2)&gt;5,"Weekend","Weekday")</f>
        <v>Weekday</v>
      </c>
      <c r="I1572" t="str">
        <f>_xlfn.IFS(B1572&lt;=5,"Night (0-5)",B1572&lt;=9,"Morning peak (6-9)",B1572&lt;=15,"Midday (10-15)",B1572&lt;=19,"Evening peak (16-19)",TRUE,"Late evening (20-23)")</f>
        <v>Midday (10-15)</v>
      </c>
    </row>
    <row r="1573" spans="1:9">
      <c r="A1573" s="32">
        <v>41795</v>
      </c>
      <c r="B1573">
        <v>11</v>
      </c>
      <c r="C1573">
        <v>941</v>
      </c>
      <c r="D1573" t="s">
        <v>303</v>
      </c>
      <c r="E1573">
        <f>YEAR(A1573)</f>
        <v>2014</v>
      </c>
      <c r="F1573" s="33">
        <f>DATE(YEAR(A1573),MONTH(A1573),1)</f>
        <v>41791.0</v>
      </c>
      <c r="G1573" t="str">
        <f>CHOOSE(WEEKDAY(A1573,2),"Mon","Tue","Wed","Thu","Fri","Sat","Sun")</f>
        <v>Thu</v>
      </c>
      <c r="H1573" t="str">
        <f>IF(WEEKDAY(A1573,2)&gt;5,"Weekend","Weekday")</f>
        <v>Weekday</v>
      </c>
      <c r="I1573" t="str">
        <f>_xlfn.IFS(B1573&lt;=5,"Night (0-5)",B1573&lt;=9,"Morning peak (6-9)",B1573&lt;=15,"Midday (10-15)",B1573&lt;=19,"Evening peak (16-19)",TRUE,"Late evening (20-23)")</f>
        <v>Midday (10-15)</v>
      </c>
    </row>
    <row r="1574" spans="1:9">
      <c r="A1574" s="32">
        <v>41795</v>
      </c>
      <c r="B1574">
        <v>12</v>
      </c>
      <c r="C1574">
        <v>862</v>
      </c>
      <c r="D1574" t="s">
        <v>303</v>
      </c>
      <c r="E1574">
        <f>YEAR(A1574)</f>
        <v>2014</v>
      </c>
      <c r="F1574" s="33">
        <f>DATE(YEAR(A1574),MONTH(A1574),1)</f>
        <v>41791.0</v>
      </c>
      <c r="G1574" t="str">
        <f>CHOOSE(WEEKDAY(A1574,2),"Mon","Tue","Wed","Thu","Fri","Sat","Sun")</f>
        <v>Thu</v>
      </c>
      <c r="H1574" t="str">
        <f>IF(WEEKDAY(A1574,2)&gt;5,"Weekend","Weekday")</f>
        <v>Weekday</v>
      </c>
      <c r="I1574" t="str">
        <f>_xlfn.IFS(B1574&lt;=5,"Night (0-5)",B1574&lt;=9,"Morning peak (6-9)",B1574&lt;=15,"Midday (10-15)",B1574&lt;=19,"Evening peak (16-19)",TRUE,"Late evening (20-23)")</f>
        <v>Midday (10-15)</v>
      </c>
    </row>
    <row r="1575" spans="1:9">
      <c r="A1575" s="32">
        <v>41795</v>
      </c>
      <c r="B1575">
        <v>13</v>
      </c>
      <c r="C1575">
        <v>1018</v>
      </c>
      <c r="D1575" t="s">
        <v>303</v>
      </c>
      <c r="E1575">
        <f>YEAR(A1575)</f>
        <v>2014</v>
      </c>
      <c r="F1575" s="33">
        <f>DATE(YEAR(A1575),MONTH(A1575),1)</f>
        <v>41791.0</v>
      </c>
      <c r="G1575" t="str">
        <f>CHOOSE(WEEKDAY(A1575,2),"Mon","Tue","Wed","Thu","Fri","Sat","Sun")</f>
        <v>Thu</v>
      </c>
      <c r="H1575" t="str">
        <f>IF(WEEKDAY(A1575,2)&gt;5,"Weekend","Weekday")</f>
        <v>Weekday</v>
      </c>
      <c r="I1575" t="str">
        <f>_xlfn.IFS(B1575&lt;=5,"Night (0-5)",B1575&lt;=9,"Morning peak (6-9)",B1575&lt;=15,"Midday (10-15)",B1575&lt;=19,"Evening peak (16-19)",TRUE,"Late evening (20-23)")</f>
        <v>Midday (10-15)</v>
      </c>
    </row>
    <row r="1576" spans="1:9">
      <c r="A1576" s="32">
        <v>41795</v>
      </c>
      <c r="B1576">
        <v>14</v>
      </c>
      <c r="C1576">
        <v>1262</v>
      </c>
      <c r="D1576" t="s">
        <v>303</v>
      </c>
      <c r="E1576">
        <f>YEAR(A1576)</f>
        <v>2014</v>
      </c>
      <c r="F1576" s="33">
        <f>DATE(YEAR(A1576),MONTH(A1576),1)</f>
        <v>41791.0</v>
      </c>
      <c r="G1576" t="str">
        <f>CHOOSE(WEEKDAY(A1576,2),"Mon","Tue","Wed","Thu","Fri","Sat","Sun")</f>
        <v>Thu</v>
      </c>
      <c r="H1576" t="str">
        <f>IF(WEEKDAY(A1576,2)&gt;5,"Weekend","Weekday")</f>
        <v>Weekday</v>
      </c>
      <c r="I1576" t="str">
        <f>_xlfn.IFS(B1576&lt;=5,"Night (0-5)",B1576&lt;=9,"Morning peak (6-9)",B1576&lt;=15,"Midday (10-15)",B1576&lt;=19,"Evening peak (16-19)",TRUE,"Late evening (20-23)")</f>
        <v>Midday (10-15)</v>
      </c>
    </row>
    <row r="1577" spans="1:9">
      <c r="A1577" s="32">
        <v>41795</v>
      </c>
      <c r="B1577">
        <v>15</v>
      </c>
      <c r="C1577">
        <v>1604</v>
      </c>
      <c r="D1577" t="s">
        <v>303</v>
      </c>
      <c r="E1577">
        <f>YEAR(A1577)</f>
        <v>2014</v>
      </c>
      <c r="F1577" s="33">
        <f>DATE(YEAR(A1577),MONTH(A1577),1)</f>
        <v>41791.0</v>
      </c>
      <c r="G1577" t="str">
        <f>CHOOSE(WEEKDAY(A1577,2),"Mon","Tue","Wed","Thu","Fri","Sat","Sun")</f>
        <v>Thu</v>
      </c>
      <c r="H1577" t="str">
        <f>IF(WEEKDAY(A1577,2)&gt;5,"Weekend","Weekday")</f>
        <v>Weekday</v>
      </c>
      <c r="I1577" t="str">
        <f>_xlfn.IFS(B1577&lt;=5,"Night (0-5)",B1577&lt;=9,"Morning peak (6-9)",B1577&lt;=15,"Midday (10-15)",B1577&lt;=19,"Evening peak (16-19)",TRUE,"Late evening (20-23)")</f>
        <v>Midday (10-15)</v>
      </c>
    </row>
    <row r="1578" spans="1:9">
      <c r="A1578" s="32">
        <v>41795</v>
      </c>
      <c r="B1578">
        <v>16</v>
      </c>
      <c r="C1578">
        <v>1850</v>
      </c>
      <c r="D1578" t="s">
        <v>303</v>
      </c>
      <c r="E1578">
        <f>YEAR(A1578)</f>
        <v>2014</v>
      </c>
      <c r="F1578" s="33">
        <f>DATE(YEAR(A1578),MONTH(A1578),1)</f>
        <v>41791.0</v>
      </c>
      <c r="G1578" t="str">
        <f>CHOOSE(WEEKDAY(A1578,2),"Mon","Tue","Wed","Thu","Fri","Sat","Sun")</f>
        <v>Thu</v>
      </c>
      <c r="H1578" t="str">
        <f>IF(WEEKDAY(A1578,2)&gt;5,"Weekend","Weekday")</f>
        <v>Weekday</v>
      </c>
      <c r="I1578" t="str">
        <f>_xlfn.IFS(B1578&lt;=5,"Night (0-5)",B1578&lt;=9,"Morning peak (6-9)",B1578&lt;=15,"Midday (10-15)",B1578&lt;=19,"Evening peak (16-19)",TRUE,"Late evening (20-23)")</f>
        <v>Evening peak (16-19)</v>
      </c>
    </row>
    <row r="1579" spans="1:9">
      <c r="A1579" s="32">
        <v>41795</v>
      </c>
      <c r="B1579">
        <v>17</v>
      </c>
      <c r="C1579">
        <v>2057</v>
      </c>
      <c r="D1579" t="s">
        <v>303</v>
      </c>
      <c r="E1579">
        <f>YEAR(A1579)</f>
        <v>2014</v>
      </c>
      <c r="F1579" s="33">
        <f>DATE(YEAR(A1579),MONTH(A1579),1)</f>
        <v>41791.0</v>
      </c>
      <c r="G1579" t="str">
        <f>CHOOSE(WEEKDAY(A1579,2),"Mon","Tue","Wed","Thu","Fri","Sat","Sun")</f>
        <v>Thu</v>
      </c>
      <c r="H1579" t="str">
        <f>IF(WEEKDAY(A1579,2)&gt;5,"Weekend","Weekday")</f>
        <v>Weekday</v>
      </c>
      <c r="I1579" t="str">
        <f>_xlfn.IFS(B1579&lt;=5,"Night (0-5)",B1579&lt;=9,"Morning peak (6-9)",B1579&lt;=15,"Midday (10-15)",B1579&lt;=19,"Evening peak (16-19)",TRUE,"Late evening (20-23)")</f>
        <v>Evening peak (16-19)</v>
      </c>
    </row>
    <row r="1580" spans="1:9">
      <c r="A1580" s="32">
        <v>41795</v>
      </c>
      <c r="B1580">
        <v>18</v>
      </c>
      <c r="C1580">
        <v>1678</v>
      </c>
      <c r="D1580" t="s">
        <v>303</v>
      </c>
      <c r="E1580">
        <f>YEAR(A1580)</f>
        <v>2014</v>
      </c>
      <c r="F1580" s="33">
        <f>DATE(YEAR(A1580),MONTH(A1580),1)</f>
        <v>41791.0</v>
      </c>
      <c r="G1580" t="str">
        <f>CHOOSE(WEEKDAY(A1580,2),"Mon","Tue","Wed","Thu","Fri","Sat","Sun")</f>
        <v>Thu</v>
      </c>
      <c r="H1580" t="str">
        <f>IF(WEEKDAY(A1580,2)&gt;5,"Weekend","Weekday")</f>
        <v>Weekday</v>
      </c>
      <c r="I1580" t="str">
        <f>_xlfn.IFS(B1580&lt;=5,"Night (0-5)",B1580&lt;=9,"Morning peak (6-9)",B1580&lt;=15,"Midday (10-15)",B1580&lt;=19,"Evening peak (16-19)",TRUE,"Late evening (20-23)")</f>
        <v>Evening peak (16-19)</v>
      </c>
    </row>
    <row r="1581" spans="1:9">
      <c r="A1581" s="32">
        <v>41795</v>
      </c>
      <c r="B1581">
        <v>19</v>
      </c>
      <c r="C1581">
        <v>1497</v>
      </c>
      <c r="D1581" t="s">
        <v>303</v>
      </c>
      <c r="E1581">
        <f>YEAR(A1581)</f>
        <v>2014</v>
      </c>
      <c r="F1581" s="33">
        <f>DATE(YEAR(A1581),MONTH(A1581),1)</f>
        <v>41791.0</v>
      </c>
      <c r="G1581" t="str">
        <f>CHOOSE(WEEKDAY(A1581,2),"Mon","Tue","Wed","Thu","Fri","Sat","Sun")</f>
        <v>Thu</v>
      </c>
      <c r="H1581" t="str">
        <f>IF(WEEKDAY(A1581,2)&gt;5,"Weekend","Weekday")</f>
        <v>Weekday</v>
      </c>
      <c r="I1581" t="str">
        <f>_xlfn.IFS(B1581&lt;=5,"Night (0-5)",B1581&lt;=9,"Morning peak (6-9)",B1581&lt;=15,"Midday (10-15)",B1581&lt;=19,"Evening peak (16-19)",TRUE,"Late evening (20-23)")</f>
        <v>Evening peak (16-19)</v>
      </c>
    </row>
    <row r="1582" spans="1:9">
      <c r="A1582" s="32">
        <v>41795</v>
      </c>
      <c r="B1582">
        <v>20</v>
      </c>
      <c r="C1582">
        <v>1753</v>
      </c>
      <c r="D1582" t="s">
        <v>303</v>
      </c>
      <c r="E1582">
        <f>YEAR(A1582)</f>
        <v>2014</v>
      </c>
      <c r="F1582" s="33">
        <f>DATE(YEAR(A1582),MONTH(A1582),1)</f>
        <v>41791.0</v>
      </c>
      <c r="G1582" t="str">
        <f>CHOOSE(WEEKDAY(A1582,2),"Mon","Tue","Wed","Thu","Fri","Sat","Sun")</f>
        <v>Thu</v>
      </c>
      <c r="H1582" t="str">
        <f>IF(WEEKDAY(A1582,2)&gt;5,"Weekend","Weekday")</f>
        <v>Weekday</v>
      </c>
      <c r="I1582" t="str">
        <f>_xlfn.IFS(B1582&lt;=5,"Night (0-5)",B1582&lt;=9,"Morning peak (6-9)",B1582&lt;=15,"Midday (10-15)",B1582&lt;=19,"Evening peak (16-19)",TRUE,"Late evening (20-23)")</f>
        <v>Late evening (20-23)</v>
      </c>
    </row>
    <row r="1583" spans="1:9">
      <c r="A1583" s="32">
        <v>41795</v>
      </c>
      <c r="B1583">
        <v>21</v>
      </c>
      <c r="C1583">
        <v>1966</v>
      </c>
      <c r="D1583" t="s">
        <v>303</v>
      </c>
      <c r="E1583">
        <f>YEAR(A1583)</f>
        <v>2014</v>
      </c>
      <c r="F1583" s="33">
        <f>DATE(YEAR(A1583),MONTH(A1583),1)</f>
        <v>41791.0</v>
      </c>
      <c r="G1583" t="str">
        <f>CHOOSE(WEEKDAY(A1583,2),"Mon","Tue","Wed","Thu","Fri","Sat","Sun")</f>
        <v>Thu</v>
      </c>
      <c r="H1583" t="str">
        <f>IF(WEEKDAY(A1583,2)&gt;5,"Weekend","Weekday")</f>
        <v>Weekday</v>
      </c>
      <c r="I1583" t="str">
        <f>_xlfn.IFS(B1583&lt;=5,"Night (0-5)",B1583&lt;=9,"Morning peak (6-9)",B1583&lt;=15,"Midday (10-15)",B1583&lt;=19,"Evening peak (16-19)",TRUE,"Late evening (20-23)")</f>
        <v>Late evening (20-23)</v>
      </c>
    </row>
    <row r="1584" spans="1:9">
      <c r="A1584" s="32">
        <v>41795</v>
      </c>
      <c r="B1584">
        <v>22</v>
      </c>
      <c r="C1584">
        <v>1710</v>
      </c>
      <c r="D1584" t="s">
        <v>303</v>
      </c>
      <c r="E1584">
        <f>YEAR(A1584)</f>
        <v>2014</v>
      </c>
      <c r="F1584" s="33">
        <f>DATE(YEAR(A1584),MONTH(A1584),1)</f>
        <v>41791.0</v>
      </c>
      <c r="G1584" t="str">
        <f>CHOOSE(WEEKDAY(A1584,2),"Mon","Tue","Wed","Thu","Fri","Sat","Sun")</f>
        <v>Thu</v>
      </c>
      <c r="H1584" t="str">
        <f>IF(WEEKDAY(A1584,2)&gt;5,"Weekend","Weekday")</f>
        <v>Weekday</v>
      </c>
      <c r="I1584" t="str">
        <f>_xlfn.IFS(B1584&lt;=5,"Night (0-5)",B1584&lt;=9,"Morning peak (6-9)",B1584&lt;=15,"Midday (10-15)",B1584&lt;=19,"Evening peak (16-19)",TRUE,"Late evening (20-23)")</f>
        <v>Late evening (20-23)</v>
      </c>
    </row>
    <row r="1585" spans="1:9">
      <c r="A1585" s="32">
        <v>41795</v>
      </c>
      <c r="B1585">
        <v>23</v>
      </c>
      <c r="C1585">
        <v>945</v>
      </c>
      <c r="D1585" t="s">
        <v>303</v>
      </c>
      <c r="E1585">
        <f>YEAR(A1585)</f>
        <v>2014</v>
      </c>
      <c r="F1585" s="33">
        <f>DATE(YEAR(A1585),MONTH(A1585),1)</f>
        <v>41791.0</v>
      </c>
      <c r="G1585" t="str">
        <f>CHOOSE(WEEKDAY(A1585,2),"Mon","Tue","Wed","Thu","Fri","Sat","Sun")</f>
        <v>Thu</v>
      </c>
      <c r="H1585" t="str">
        <f>IF(WEEKDAY(A1585,2)&gt;5,"Weekend","Weekday")</f>
        <v>Weekday</v>
      </c>
      <c r="I1585" t="str">
        <f>_xlfn.IFS(B1585&lt;=5,"Night (0-5)",B1585&lt;=9,"Morning peak (6-9)",B1585&lt;=15,"Midday (10-15)",B1585&lt;=19,"Evening peak (16-19)",TRUE,"Late evening (20-23)")</f>
        <v>Late evening (20-23)</v>
      </c>
    </row>
    <row r="1586" spans="1:9">
      <c r="A1586" s="32">
        <v>41796</v>
      </c>
      <c r="B1586">
        <v>0</v>
      </c>
      <c r="C1586">
        <v>440</v>
      </c>
      <c r="D1586" t="s">
        <v>303</v>
      </c>
      <c r="E1586">
        <f>YEAR(A1586)</f>
        <v>2014</v>
      </c>
      <c r="F1586" s="33">
        <f>DATE(YEAR(A1586),MONTH(A1586),1)</f>
        <v>41791.0</v>
      </c>
      <c r="G1586" t="str">
        <f>CHOOSE(WEEKDAY(A1586,2),"Mon","Tue","Wed","Thu","Fri","Sat","Sun")</f>
        <v>Fri</v>
      </c>
      <c r="H1586" t="str">
        <f>IF(WEEKDAY(A1586,2)&gt;5,"Weekend","Weekday")</f>
        <v>Weekday</v>
      </c>
      <c r="I1586" t="str">
        <f>_xlfn.IFS(B1586&lt;=5,"Night (0-5)",B1586&lt;=9,"Morning peak (6-9)",B1586&lt;=15,"Midday (10-15)",B1586&lt;=19,"Evening peak (16-19)",TRUE,"Late evening (20-23)")</f>
        <v>Night (0-5)</v>
      </c>
    </row>
    <row r="1587" spans="1:9">
      <c r="A1587" s="32">
        <v>41796</v>
      </c>
      <c r="B1587">
        <v>1</v>
      </c>
      <c r="C1587">
        <v>249</v>
      </c>
      <c r="D1587" t="s">
        <v>303</v>
      </c>
      <c r="E1587">
        <f>YEAR(A1587)</f>
        <v>2014</v>
      </c>
      <c r="F1587" s="33">
        <f>DATE(YEAR(A1587),MONTH(A1587),1)</f>
        <v>41791.0</v>
      </c>
      <c r="G1587" t="str">
        <f>CHOOSE(WEEKDAY(A1587,2),"Mon","Tue","Wed","Thu","Fri","Sat","Sun")</f>
        <v>Fri</v>
      </c>
      <c r="H1587" t="str">
        <f>IF(WEEKDAY(A1587,2)&gt;5,"Weekend","Weekday")</f>
        <v>Weekday</v>
      </c>
      <c r="I1587" t="str">
        <f>_xlfn.IFS(B1587&lt;=5,"Night (0-5)",B1587&lt;=9,"Morning peak (6-9)",B1587&lt;=15,"Midday (10-15)",B1587&lt;=19,"Evening peak (16-19)",TRUE,"Late evening (20-23)")</f>
        <v>Night (0-5)</v>
      </c>
    </row>
    <row r="1588" spans="1:9">
      <c r="A1588" s="32">
        <v>41796</v>
      </c>
      <c r="B1588">
        <v>2</v>
      </c>
      <c r="C1588">
        <v>167</v>
      </c>
      <c r="D1588" t="s">
        <v>303</v>
      </c>
      <c r="E1588">
        <f>YEAR(A1588)</f>
        <v>2014</v>
      </c>
      <c r="F1588" s="33">
        <f>DATE(YEAR(A1588),MONTH(A1588),1)</f>
        <v>41791.0</v>
      </c>
      <c r="G1588" t="str">
        <f>CHOOSE(WEEKDAY(A1588,2),"Mon","Tue","Wed","Thu","Fri","Sat","Sun")</f>
        <v>Fri</v>
      </c>
      <c r="H1588" t="str">
        <f>IF(WEEKDAY(A1588,2)&gt;5,"Weekend","Weekday")</f>
        <v>Weekday</v>
      </c>
      <c r="I1588" t="str">
        <f>_xlfn.IFS(B1588&lt;=5,"Night (0-5)",B1588&lt;=9,"Morning peak (6-9)",B1588&lt;=15,"Midday (10-15)",B1588&lt;=19,"Evening peak (16-19)",TRUE,"Late evening (20-23)")</f>
        <v>Night (0-5)</v>
      </c>
    </row>
    <row r="1589" spans="1:9">
      <c r="A1589" s="32">
        <v>41796</v>
      </c>
      <c r="B1589">
        <v>3</v>
      </c>
      <c r="C1589">
        <v>190</v>
      </c>
      <c r="D1589" t="s">
        <v>303</v>
      </c>
      <c r="E1589">
        <f>YEAR(A1589)</f>
        <v>2014</v>
      </c>
      <c r="F1589" s="33">
        <f>DATE(YEAR(A1589),MONTH(A1589),1)</f>
        <v>41791.0</v>
      </c>
      <c r="G1589" t="str">
        <f>CHOOSE(WEEKDAY(A1589,2),"Mon","Tue","Wed","Thu","Fri","Sat","Sun")</f>
        <v>Fri</v>
      </c>
      <c r="H1589" t="str">
        <f>IF(WEEKDAY(A1589,2)&gt;5,"Weekend","Weekday")</f>
        <v>Weekday</v>
      </c>
      <c r="I1589" t="str">
        <f>_xlfn.IFS(B1589&lt;=5,"Night (0-5)",B1589&lt;=9,"Morning peak (6-9)",B1589&lt;=15,"Midday (10-15)",B1589&lt;=19,"Evening peak (16-19)",TRUE,"Late evening (20-23)")</f>
        <v>Night (0-5)</v>
      </c>
    </row>
    <row r="1590" spans="1:9">
      <c r="A1590" s="32">
        <v>41796</v>
      </c>
      <c r="B1590">
        <v>4</v>
      </c>
      <c r="C1590">
        <v>291</v>
      </c>
      <c r="D1590" t="s">
        <v>303</v>
      </c>
      <c r="E1590">
        <f>YEAR(A1590)</f>
        <v>2014</v>
      </c>
      <c r="F1590" s="33">
        <f>DATE(YEAR(A1590),MONTH(A1590),1)</f>
        <v>41791.0</v>
      </c>
      <c r="G1590" t="str">
        <f>CHOOSE(WEEKDAY(A1590,2),"Mon","Tue","Wed","Thu","Fri","Sat","Sun")</f>
        <v>Fri</v>
      </c>
      <c r="H1590" t="str">
        <f>IF(WEEKDAY(A1590,2)&gt;5,"Weekend","Weekday")</f>
        <v>Weekday</v>
      </c>
      <c r="I1590" t="str">
        <f>_xlfn.IFS(B1590&lt;=5,"Night (0-5)",B1590&lt;=9,"Morning peak (6-9)",B1590&lt;=15,"Midday (10-15)",B1590&lt;=19,"Evening peak (16-19)",TRUE,"Late evening (20-23)")</f>
        <v>Night (0-5)</v>
      </c>
    </row>
    <row r="1591" spans="1:9">
      <c r="A1591" s="32">
        <v>41796</v>
      </c>
      <c r="B1591">
        <v>5</v>
      </c>
      <c r="C1591">
        <v>419</v>
      </c>
      <c r="D1591" t="s">
        <v>303</v>
      </c>
      <c r="E1591">
        <f>YEAR(A1591)</f>
        <v>2014</v>
      </c>
      <c r="F1591" s="33">
        <f>DATE(YEAR(A1591),MONTH(A1591),1)</f>
        <v>41791.0</v>
      </c>
      <c r="G1591" t="str">
        <f>CHOOSE(WEEKDAY(A1591,2),"Mon","Tue","Wed","Thu","Fri","Sat","Sun")</f>
        <v>Fri</v>
      </c>
      <c r="H1591" t="str">
        <f>IF(WEEKDAY(A1591,2)&gt;5,"Weekend","Weekday")</f>
        <v>Weekday</v>
      </c>
      <c r="I1591" t="str">
        <f>_xlfn.IFS(B1591&lt;=5,"Night (0-5)",B1591&lt;=9,"Morning peak (6-9)",B1591&lt;=15,"Midday (10-15)",B1591&lt;=19,"Evening peak (16-19)",TRUE,"Late evening (20-23)")</f>
        <v>Night (0-5)</v>
      </c>
    </row>
    <row r="1592" spans="1:9">
      <c r="A1592" s="32">
        <v>41796</v>
      </c>
      <c r="B1592">
        <v>6</v>
      </c>
      <c r="C1592">
        <v>875</v>
      </c>
      <c r="D1592" t="s">
        <v>303</v>
      </c>
      <c r="E1592">
        <f>YEAR(A1592)</f>
        <v>2014</v>
      </c>
      <c r="F1592" s="33">
        <f>DATE(YEAR(A1592),MONTH(A1592),1)</f>
        <v>41791.0</v>
      </c>
      <c r="G1592" t="str">
        <f>CHOOSE(WEEKDAY(A1592,2),"Mon","Tue","Wed","Thu","Fri","Sat","Sun")</f>
        <v>Fri</v>
      </c>
      <c r="H1592" t="str">
        <f>IF(WEEKDAY(A1592,2)&gt;5,"Weekend","Weekday")</f>
        <v>Weekday</v>
      </c>
      <c r="I1592" t="str">
        <f>_xlfn.IFS(B1592&lt;=5,"Night (0-5)",B1592&lt;=9,"Morning peak (6-9)",B1592&lt;=15,"Midday (10-15)",B1592&lt;=19,"Evening peak (16-19)",TRUE,"Late evening (20-23)")</f>
        <v>Morning peak (6-9)</v>
      </c>
    </row>
    <row r="1593" spans="1:9">
      <c r="A1593" s="32">
        <v>41796</v>
      </c>
      <c r="B1593">
        <v>7</v>
      </c>
      <c r="C1593">
        <v>1150</v>
      </c>
      <c r="D1593" t="s">
        <v>303</v>
      </c>
      <c r="E1593">
        <f>YEAR(A1593)</f>
        <v>2014</v>
      </c>
      <c r="F1593" s="33">
        <f>DATE(YEAR(A1593),MONTH(A1593),1)</f>
        <v>41791.0</v>
      </c>
      <c r="G1593" t="str">
        <f>CHOOSE(WEEKDAY(A1593,2),"Mon","Tue","Wed","Thu","Fri","Sat","Sun")</f>
        <v>Fri</v>
      </c>
      <c r="H1593" t="str">
        <f>IF(WEEKDAY(A1593,2)&gt;5,"Weekend","Weekday")</f>
        <v>Weekday</v>
      </c>
      <c r="I1593" t="str">
        <f>_xlfn.IFS(B1593&lt;=5,"Night (0-5)",B1593&lt;=9,"Morning peak (6-9)",B1593&lt;=15,"Midday (10-15)",B1593&lt;=19,"Evening peak (16-19)",TRUE,"Late evening (20-23)")</f>
        <v>Morning peak (6-9)</v>
      </c>
    </row>
    <row r="1594" spans="1:9">
      <c r="A1594" s="32">
        <v>41796</v>
      </c>
      <c r="B1594">
        <v>8</v>
      </c>
      <c r="C1594">
        <v>1075</v>
      </c>
      <c r="D1594" t="s">
        <v>303</v>
      </c>
      <c r="E1594">
        <f>YEAR(A1594)</f>
        <v>2014</v>
      </c>
      <c r="F1594" s="33">
        <f>DATE(YEAR(A1594),MONTH(A1594),1)</f>
        <v>41791.0</v>
      </c>
      <c r="G1594" t="str">
        <f>CHOOSE(WEEKDAY(A1594,2),"Mon","Tue","Wed","Thu","Fri","Sat","Sun")</f>
        <v>Fri</v>
      </c>
      <c r="H1594" t="str">
        <f>IF(WEEKDAY(A1594,2)&gt;5,"Weekend","Weekday")</f>
        <v>Weekday</v>
      </c>
      <c r="I1594" t="str">
        <f>_xlfn.IFS(B1594&lt;=5,"Night (0-5)",B1594&lt;=9,"Morning peak (6-9)",B1594&lt;=15,"Midday (10-15)",B1594&lt;=19,"Evening peak (16-19)",TRUE,"Late evening (20-23)")</f>
        <v>Morning peak (6-9)</v>
      </c>
    </row>
    <row r="1595" spans="1:9">
      <c r="A1595" s="32">
        <v>41796</v>
      </c>
      <c r="B1595">
        <v>9</v>
      </c>
      <c r="C1595">
        <v>768</v>
      </c>
      <c r="D1595" t="s">
        <v>303</v>
      </c>
      <c r="E1595">
        <f>YEAR(A1595)</f>
        <v>2014</v>
      </c>
      <c r="F1595" s="33">
        <f>DATE(YEAR(A1595),MONTH(A1595),1)</f>
        <v>41791.0</v>
      </c>
      <c r="G1595" t="str">
        <f>CHOOSE(WEEKDAY(A1595,2),"Mon","Tue","Wed","Thu","Fri","Sat","Sun")</f>
        <v>Fri</v>
      </c>
      <c r="H1595" t="str">
        <f>IF(WEEKDAY(A1595,2)&gt;5,"Weekend","Weekday")</f>
        <v>Weekday</v>
      </c>
      <c r="I1595" t="str">
        <f>_xlfn.IFS(B1595&lt;=5,"Night (0-5)",B1595&lt;=9,"Morning peak (6-9)",B1595&lt;=15,"Midday (10-15)",B1595&lt;=19,"Evening peak (16-19)",TRUE,"Late evening (20-23)")</f>
        <v>Morning peak (6-9)</v>
      </c>
    </row>
    <row r="1596" spans="1:9">
      <c r="A1596" s="32">
        <v>41796</v>
      </c>
      <c r="B1596">
        <v>10</v>
      </c>
      <c r="C1596">
        <v>832</v>
      </c>
      <c r="D1596" t="s">
        <v>303</v>
      </c>
      <c r="E1596">
        <f>YEAR(A1596)</f>
        <v>2014</v>
      </c>
      <c r="F1596" s="33">
        <f>DATE(YEAR(A1596),MONTH(A1596),1)</f>
        <v>41791.0</v>
      </c>
      <c r="G1596" t="str">
        <f>CHOOSE(WEEKDAY(A1596,2),"Mon","Tue","Wed","Thu","Fri","Sat","Sun")</f>
        <v>Fri</v>
      </c>
      <c r="H1596" t="str">
        <f>IF(WEEKDAY(A1596,2)&gt;5,"Weekend","Weekday")</f>
        <v>Weekday</v>
      </c>
      <c r="I1596" t="str">
        <f>_xlfn.IFS(B1596&lt;=5,"Night (0-5)",B1596&lt;=9,"Morning peak (6-9)",B1596&lt;=15,"Midday (10-15)",B1596&lt;=19,"Evening peak (16-19)",TRUE,"Late evening (20-23)")</f>
        <v>Midday (10-15)</v>
      </c>
    </row>
    <row r="1597" spans="1:9">
      <c r="A1597" s="32">
        <v>41796</v>
      </c>
      <c r="B1597">
        <v>11</v>
      </c>
      <c r="C1597">
        <v>917</v>
      </c>
      <c r="D1597" t="s">
        <v>303</v>
      </c>
      <c r="E1597">
        <f>YEAR(A1597)</f>
        <v>2014</v>
      </c>
      <c r="F1597" s="33">
        <f>DATE(YEAR(A1597),MONTH(A1597),1)</f>
        <v>41791.0</v>
      </c>
      <c r="G1597" t="str">
        <f>CHOOSE(WEEKDAY(A1597,2),"Mon","Tue","Wed","Thu","Fri","Sat","Sun")</f>
        <v>Fri</v>
      </c>
      <c r="H1597" t="str">
        <f>IF(WEEKDAY(A1597,2)&gt;5,"Weekend","Weekday")</f>
        <v>Weekday</v>
      </c>
      <c r="I1597" t="str">
        <f>_xlfn.IFS(B1597&lt;=5,"Night (0-5)",B1597&lt;=9,"Morning peak (6-9)",B1597&lt;=15,"Midday (10-15)",B1597&lt;=19,"Evening peak (16-19)",TRUE,"Late evening (20-23)")</f>
        <v>Midday (10-15)</v>
      </c>
    </row>
    <row r="1598" spans="1:9">
      <c r="A1598" s="32">
        <v>41796</v>
      </c>
      <c r="B1598">
        <v>12</v>
      </c>
      <c r="C1598">
        <v>953</v>
      </c>
      <c r="D1598" t="s">
        <v>303</v>
      </c>
      <c r="E1598">
        <f>YEAR(A1598)</f>
        <v>2014</v>
      </c>
      <c r="F1598" s="33">
        <f>DATE(YEAR(A1598),MONTH(A1598),1)</f>
        <v>41791.0</v>
      </c>
      <c r="G1598" t="str">
        <f>CHOOSE(WEEKDAY(A1598,2),"Mon","Tue","Wed","Thu","Fri","Sat","Sun")</f>
        <v>Fri</v>
      </c>
      <c r="H1598" t="str">
        <f>IF(WEEKDAY(A1598,2)&gt;5,"Weekend","Weekday")</f>
        <v>Weekday</v>
      </c>
      <c r="I1598" t="str">
        <f>_xlfn.IFS(B1598&lt;=5,"Night (0-5)",B1598&lt;=9,"Morning peak (6-9)",B1598&lt;=15,"Midday (10-15)",B1598&lt;=19,"Evening peak (16-19)",TRUE,"Late evening (20-23)")</f>
        <v>Midday (10-15)</v>
      </c>
    </row>
    <row r="1599" spans="1:9">
      <c r="A1599" s="32">
        <v>41796</v>
      </c>
      <c r="B1599">
        <v>13</v>
      </c>
      <c r="C1599">
        <v>1088</v>
      </c>
      <c r="D1599" t="s">
        <v>303</v>
      </c>
      <c r="E1599">
        <f>YEAR(A1599)</f>
        <v>2014</v>
      </c>
      <c r="F1599" s="33">
        <f>DATE(YEAR(A1599),MONTH(A1599),1)</f>
        <v>41791.0</v>
      </c>
      <c r="G1599" t="str">
        <f>CHOOSE(WEEKDAY(A1599,2),"Mon","Tue","Wed","Thu","Fri","Sat","Sun")</f>
        <v>Fri</v>
      </c>
      <c r="H1599" t="str">
        <f>IF(WEEKDAY(A1599,2)&gt;5,"Weekend","Weekday")</f>
        <v>Weekday</v>
      </c>
      <c r="I1599" t="str">
        <f>_xlfn.IFS(B1599&lt;=5,"Night (0-5)",B1599&lt;=9,"Morning peak (6-9)",B1599&lt;=15,"Midday (10-15)",B1599&lt;=19,"Evening peak (16-19)",TRUE,"Late evening (20-23)")</f>
        <v>Midday (10-15)</v>
      </c>
    </row>
    <row r="1600" spans="1:9">
      <c r="A1600" s="32">
        <v>41796</v>
      </c>
      <c r="B1600">
        <v>14</v>
      </c>
      <c r="C1600">
        <v>1338</v>
      </c>
      <c r="D1600" t="s">
        <v>303</v>
      </c>
      <c r="E1600">
        <f>YEAR(A1600)</f>
        <v>2014</v>
      </c>
      <c r="F1600" s="33">
        <f>DATE(YEAR(A1600),MONTH(A1600),1)</f>
        <v>41791.0</v>
      </c>
      <c r="G1600" t="str">
        <f>CHOOSE(WEEKDAY(A1600,2),"Mon","Tue","Wed","Thu","Fri","Sat","Sun")</f>
        <v>Fri</v>
      </c>
      <c r="H1600" t="str">
        <f>IF(WEEKDAY(A1600,2)&gt;5,"Weekend","Weekday")</f>
        <v>Weekday</v>
      </c>
      <c r="I1600" t="str">
        <f>_xlfn.IFS(B1600&lt;=5,"Night (0-5)",B1600&lt;=9,"Morning peak (6-9)",B1600&lt;=15,"Midday (10-15)",B1600&lt;=19,"Evening peak (16-19)",TRUE,"Late evening (20-23)")</f>
        <v>Midday (10-15)</v>
      </c>
    </row>
    <row r="1601" spans="1:9">
      <c r="A1601" s="32">
        <v>41796</v>
      </c>
      <c r="B1601">
        <v>15</v>
      </c>
      <c r="C1601">
        <v>1596</v>
      </c>
      <c r="D1601" t="s">
        <v>303</v>
      </c>
      <c r="E1601">
        <f>YEAR(A1601)</f>
        <v>2014</v>
      </c>
      <c r="F1601" s="33">
        <f>DATE(YEAR(A1601),MONTH(A1601),1)</f>
        <v>41791.0</v>
      </c>
      <c r="G1601" t="str">
        <f>CHOOSE(WEEKDAY(A1601,2),"Mon","Tue","Wed","Thu","Fri","Sat","Sun")</f>
        <v>Fri</v>
      </c>
      <c r="H1601" t="str">
        <f>IF(WEEKDAY(A1601,2)&gt;5,"Weekend","Weekday")</f>
        <v>Weekday</v>
      </c>
      <c r="I1601" t="str">
        <f>_xlfn.IFS(B1601&lt;=5,"Night (0-5)",B1601&lt;=9,"Morning peak (6-9)",B1601&lt;=15,"Midday (10-15)",B1601&lt;=19,"Evening peak (16-19)",TRUE,"Late evening (20-23)")</f>
        <v>Midday (10-15)</v>
      </c>
    </row>
    <row r="1602" spans="1:9">
      <c r="A1602" s="32">
        <v>41796</v>
      </c>
      <c r="B1602">
        <v>16</v>
      </c>
      <c r="C1602">
        <v>1818</v>
      </c>
      <c r="D1602" t="s">
        <v>303</v>
      </c>
      <c r="E1602">
        <f>YEAR(A1602)</f>
        <v>2014</v>
      </c>
      <c r="F1602" s="33">
        <f>DATE(YEAR(A1602),MONTH(A1602),1)</f>
        <v>41791.0</v>
      </c>
      <c r="G1602" t="str">
        <f>CHOOSE(WEEKDAY(A1602,2),"Mon","Tue","Wed","Thu","Fri","Sat","Sun")</f>
        <v>Fri</v>
      </c>
      <c r="H1602" t="str">
        <f>IF(WEEKDAY(A1602,2)&gt;5,"Weekend","Weekday")</f>
        <v>Weekday</v>
      </c>
      <c r="I1602" t="str">
        <f>_xlfn.IFS(B1602&lt;=5,"Night (0-5)",B1602&lt;=9,"Morning peak (6-9)",B1602&lt;=15,"Midday (10-15)",B1602&lt;=19,"Evening peak (16-19)",TRUE,"Late evening (20-23)")</f>
        <v>Evening peak (16-19)</v>
      </c>
    </row>
    <row r="1603" spans="1:9">
      <c r="A1603" s="32">
        <v>41796</v>
      </c>
      <c r="B1603">
        <v>17</v>
      </c>
      <c r="C1603">
        <v>1771</v>
      </c>
      <c r="D1603" t="s">
        <v>303</v>
      </c>
      <c r="E1603">
        <f>YEAR(A1603)</f>
        <v>2014</v>
      </c>
      <c r="F1603" s="33">
        <f>DATE(YEAR(A1603),MONTH(A1603),1)</f>
        <v>41791.0</v>
      </c>
      <c r="G1603" t="str">
        <f>CHOOSE(WEEKDAY(A1603,2),"Mon","Tue","Wed","Thu","Fri","Sat","Sun")</f>
        <v>Fri</v>
      </c>
      <c r="H1603" t="str">
        <f>IF(WEEKDAY(A1603,2)&gt;5,"Weekend","Weekday")</f>
        <v>Weekday</v>
      </c>
      <c r="I1603" t="str">
        <f>_xlfn.IFS(B1603&lt;=5,"Night (0-5)",B1603&lt;=9,"Morning peak (6-9)",B1603&lt;=15,"Midday (10-15)",B1603&lt;=19,"Evening peak (16-19)",TRUE,"Late evening (20-23)")</f>
        <v>Evening peak (16-19)</v>
      </c>
    </row>
    <row r="1604" spans="1:9">
      <c r="A1604" s="32">
        <v>41796</v>
      </c>
      <c r="B1604">
        <v>18</v>
      </c>
      <c r="C1604">
        <v>1602</v>
      </c>
      <c r="D1604" t="s">
        <v>303</v>
      </c>
      <c r="E1604">
        <f>YEAR(A1604)</f>
        <v>2014</v>
      </c>
      <c r="F1604" s="33">
        <f>DATE(YEAR(A1604),MONTH(A1604),1)</f>
        <v>41791.0</v>
      </c>
      <c r="G1604" t="str">
        <f>CHOOSE(WEEKDAY(A1604,2),"Mon","Tue","Wed","Thu","Fri","Sat","Sun")</f>
        <v>Fri</v>
      </c>
      <c r="H1604" t="str">
        <f>IF(WEEKDAY(A1604,2)&gt;5,"Weekend","Weekday")</f>
        <v>Weekday</v>
      </c>
      <c r="I1604" t="str">
        <f>_xlfn.IFS(B1604&lt;=5,"Night (0-5)",B1604&lt;=9,"Morning peak (6-9)",B1604&lt;=15,"Midday (10-15)",B1604&lt;=19,"Evening peak (16-19)",TRUE,"Late evening (20-23)")</f>
        <v>Evening peak (16-19)</v>
      </c>
    </row>
    <row r="1605" spans="1:9">
      <c r="A1605" s="32">
        <v>41796</v>
      </c>
      <c r="B1605">
        <v>19</v>
      </c>
      <c r="C1605">
        <v>1270</v>
      </c>
      <c r="D1605" t="s">
        <v>303</v>
      </c>
      <c r="E1605">
        <f>YEAR(A1605)</f>
        <v>2014</v>
      </c>
      <c r="F1605" s="33">
        <f>DATE(YEAR(A1605),MONTH(A1605),1)</f>
        <v>41791.0</v>
      </c>
      <c r="G1605" t="str">
        <f>CHOOSE(WEEKDAY(A1605,2),"Mon","Tue","Wed","Thu","Fri","Sat","Sun")</f>
        <v>Fri</v>
      </c>
      <c r="H1605" t="str">
        <f>IF(WEEKDAY(A1605,2)&gt;5,"Weekend","Weekday")</f>
        <v>Weekday</v>
      </c>
      <c r="I1605" t="str">
        <f>_xlfn.IFS(B1605&lt;=5,"Night (0-5)",B1605&lt;=9,"Morning peak (6-9)",B1605&lt;=15,"Midday (10-15)",B1605&lt;=19,"Evening peak (16-19)",TRUE,"Late evening (20-23)")</f>
        <v>Evening peak (16-19)</v>
      </c>
    </row>
    <row r="1606" spans="1:9">
      <c r="A1606" s="32">
        <v>41796</v>
      </c>
      <c r="B1606">
        <v>20</v>
      </c>
      <c r="C1606">
        <v>1197</v>
      </c>
      <c r="D1606" t="s">
        <v>303</v>
      </c>
      <c r="E1606">
        <f>YEAR(A1606)</f>
        <v>2014</v>
      </c>
      <c r="F1606" s="33">
        <f>DATE(YEAR(A1606),MONTH(A1606),1)</f>
        <v>41791.0</v>
      </c>
      <c r="G1606" t="str">
        <f>CHOOSE(WEEKDAY(A1606,2),"Mon","Tue","Wed","Thu","Fri","Sat","Sun")</f>
        <v>Fri</v>
      </c>
      <c r="H1606" t="str">
        <f>IF(WEEKDAY(A1606,2)&gt;5,"Weekend","Weekday")</f>
        <v>Weekday</v>
      </c>
      <c r="I1606" t="str">
        <f>_xlfn.IFS(B1606&lt;=5,"Night (0-5)",B1606&lt;=9,"Morning peak (6-9)",B1606&lt;=15,"Midday (10-15)",B1606&lt;=19,"Evening peak (16-19)",TRUE,"Late evening (20-23)")</f>
        <v>Late evening (20-23)</v>
      </c>
    </row>
    <row r="1607" spans="1:9">
      <c r="A1607" s="32">
        <v>41796</v>
      </c>
      <c r="B1607">
        <v>21</v>
      </c>
      <c r="C1607">
        <v>1477</v>
      </c>
      <c r="D1607" t="s">
        <v>303</v>
      </c>
      <c r="E1607">
        <f>YEAR(A1607)</f>
        <v>2014</v>
      </c>
      <c r="F1607" s="33">
        <f>DATE(YEAR(A1607),MONTH(A1607),1)</f>
        <v>41791.0</v>
      </c>
      <c r="G1607" t="str">
        <f>CHOOSE(WEEKDAY(A1607,2),"Mon","Tue","Wed","Thu","Fri","Sat","Sun")</f>
        <v>Fri</v>
      </c>
      <c r="H1607" t="str">
        <f>IF(WEEKDAY(A1607,2)&gt;5,"Weekend","Weekday")</f>
        <v>Weekday</v>
      </c>
      <c r="I1607" t="str">
        <f>_xlfn.IFS(B1607&lt;=5,"Night (0-5)",B1607&lt;=9,"Morning peak (6-9)",B1607&lt;=15,"Midday (10-15)",B1607&lt;=19,"Evening peak (16-19)",TRUE,"Late evening (20-23)")</f>
        <v>Late evening (20-23)</v>
      </c>
    </row>
    <row r="1608" spans="1:9">
      <c r="A1608" s="32">
        <v>41796</v>
      </c>
      <c r="B1608">
        <v>22</v>
      </c>
      <c r="C1608">
        <v>1684</v>
      </c>
      <c r="D1608" t="s">
        <v>303</v>
      </c>
      <c r="E1608">
        <f>YEAR(A1608)</f>
        <v>2014</v>
      </c>
      <c r="F1608" s="33">
        <f>DATE(YEAR(A1608),MONTH(A1608),1)</f>
        <v>41791.0</v>
      </c>
      <c r="G1608" t="str">
        <f>CHOOSE(WEEKDAY(A1608,2),"Mon","Tue","Wed","Thu","Fri","Sat","Sun")</f>
        <v>Fri</v>
      </c>
      <c r="H1608" t="str">
        <f>IF(WEEKDAY(A1608,2)&gt;5,"Weekend","Weekday")</f>
        <v>Weekday</v>
      </c>
      <c r="I1608" t="str">
        <f>_xlfn.IFS(B1608&lt;=5,"Night (0-5)",B1608&lt;=9,"Morning peak (6-9)",B1608&lt;=15,"Midday (10-15)",B1608&lt;=19,"Evening peak (16-19)",TRUE,"Late evening (20-23)")</f>
        <v>Late evening (20-23)</v>
      </c>
    </row>
    <row r="1609" spans="1:9">
      <c r="A1609" s="32">
        <v>41796</v>
      </c>
      <c r="B1609">
        <v>23</v>
      </c>
      <c r="C1609">
        <v>1516</v>
      </c>
      <c r="D1609" t="s">
        <v>303</v>
      </c>
      <c r="E1609">
        <f>YEAR(A1609)</f>
        <v>2014</v>
      </c>
      <c r="F1609" s="33">
        <f>DATE(YEAR(A1609),MONTH(A1609),1)</f>
        <v>41791.0</v>
      </c>
      <c r="G1609" t="str">
        <f>CHOOSE(WEEKDAY(A1609,2),"Mon","Tue","Wed","Thu","Fri","Sat","Sun")</f>
        <v>Fri</v>
      </c>
      <c r="H1609" t="str">
        <f>IF(WEEKDAY(A1609,2)&gt;5,"Weekend","Weekday")</f>
        <v>Weekday</v>
      </c>
      <c r="I1609" t="str">
        <f>_xlfn.IFS(B1609&lt;=5,"Night (0-5)",B1609&lt;=9,"Morning peak (6-9)",B1609&lt;=15,"Midday (10-15)",B1609&lt;=19,"Evening peak (16-19)",TRUE,"Late evening (20-23)")</f>
        <v>Late evening (20-23)</v>
      </c>
    </row>
    <row r="1610" spans="1:9">
      <c r="A1610" s="32">
        <v>41797</v>
      </c>
      <c r="B1610">
        <v>0</v>
      </c>
      <c r="C1610">
        <v>940</v>
      </c>
      <c r="D1610" t="s">
        <v>303</v>
      </c>
      <c r="E1610">
        <f>YEAR(A1610)</f>
        <v>2014</v>
      </c>
      <c r="F1610" s="33">
        <f>DATE(YEAR(A1610),MONTH(A1610),1)</f>
        <v>41791.0</v>
      </c>
      <c r="G1610" t="str">
        <f>CHOOSE(WEEKDAY(A1610,2),"Mon","Tue","Wed","Thu","Fri","Sat","Sun")</f>
        <v>Sat</v>
      </c>
      <c r="H1610" t="str">
        <f>IF(WEEKDAY(A1610,2)&gt;5,"Weekend","Weekday")</f>
        <v>Weekend</v>
      </c>
      <c r="I1610" t="str">
        <f>_xlfn.IFS(B1610&lt;=5,"Night (0-5)",B1610&lt;=9,"Morning peak (6-9)",B1610&lt;=15,"Midday (10-15)",B1610&lt;=19,"Evening peak (16-19)",TRUE,"Late evening (20-23)")</f>
        <v>Night (0-5)</v>
      </c>
    </row>
    <row r="1611" spans="1:9">
      <c r="A1611" s="32">
        <v>41797</v>
      </c>
      <c r="B1611">
        <v>1</v>
      </c>
      <c r="C1611">
        <v>551</v>
      </c>
      <c r="D1611" t="s">
        <v>303</v>
      </c>
      <c r="E1611">
        <f>YEAR(A1611)</f>
        <v>2014</v>
      </c>
      <c r="F1611" s="33">
        <f>DATE(YEAR(A1611),MONTH(A1611),1)</f>
        <v>41791.0</v>
      </c>
      <c r="G1611" t="str">
        <f>CHOOSE(WEEKDAY(A1611,2),"Mon","Tue","Wed","Thu","Fri","Sat","Sun")</f>
        <v>Sat</v>
      </c>
      <c r="H1611" t="str">
        <f>IF(WEEKDAY(A1611,2)&gt;5,"Weekend","Weekday")</f>
        <v>Weekend</v>
      </c>
      <c r="I1611" t="str">
        <f>_xlfn.IFS(B1611&lt;=5,"Night (0-5)",B1611&lt;=9,"Morning peak (6-9)",B1611&lt;=15,"Midday (10-15)",B1611&lt;=19,"Evening peak (16-19)",TRUE,"Late evening (20-23)")</f>
        <v>Night (0-5)</v>
      </c>
    </row>
    <row r="1612" spans="1:9">
      <c r="A1612" s="32">
        <v>41797</v>
      </c>
      <c r="B1612">
        <v>2</v>
      </c>
      <c r="C1612">
        <v>328</v>
      </c>
      <c r="D1612" t="s">
        <v>303</v>
      </c>
      <c r="E1612">
        <f>YEAR(A1612)</f>
        <v>2014</v>
      </c>
      <c r="F1612" s="33">
        <f>DATE(YEAR(A1612),MONTH(A1612),1)</f>
        <v>41791.0</v>
      </c>
      <c r="G1612" t="str">
        <f>CHOOSE(WEEKDAY(A1612,2),"Mon","Tue","Wed","Thu","Fri","Sat","Sun")</f>
        <v>Sat</v>
      </c>
      <c r="H1612" t="str">
        <f>IF(WEEKDAY(A1612,2)&gt;5,"Weekend","Weekday")</f>
        <v>Weekend</v>
      </c>
      <c r="I1612" t="str">
        <f>_xlfn.IFS(B1612&lt;=5,"Night (0-5)",B1612&lt;=9,"Morning peak (6-9)",B1612&lt;=15,"Midday (10-15)",B1612&lt;=19,"Evening peak (16-19)",TRUE,"Late evening (20-23)")</f>
        <v>Night (0-5)</v>
      </c>
    </row>
    <row r="1613" spans="1:9">
      <c r="A1613" s="32">
        <v>41797</v>
      </c>
      <c r="B1613">
        <v>3</v>
      </c>
      <c r="C1613">
        <v>275</v>
      </c>
      <c r="D1613" t="s">
        <v>303</v>
      </c>
      <c r="E1613">
        <f>YEAR(A1613)</f>
        <v>2014</v>
      </c>
      <c r="F1613" s="33">
        <f>DATE(YEAR(A1613),MONTH(A1613),1)</f>
        <v>41791.0</v>
      </c>
      <c r="G1613" t="str">
        <f>CHOOSE(WEEKDAY(A1613,2),"Mon","Tue","Wed","Thu","Fri","Sat","Sun")</f>
        <v>Sat</v>
      </c>
      <c r="H1613" t="str">
        <f>IF(WEEKDAY(A1613,2)&gt;5,"Weekend","Weekday")</f>
        <v>Weekend</v>
      </c>
      <c r="I1613" t="str">
        <f>_xlfn.IFS(B1613&lt;=5,"Night (0-5)",B1613&lt;=9,"Morning peak (6-9)",B1613&lt;=15,"Midday (10-15)",B1613&lt;=19,"Evening peak (16-19)",TRUE,"Late evening (20-23)")</f>
        <v>Night (0-5)</v>
      </c>
    </row>
    <row r="1614" spans="1:9">
      <c r="A1614" s="32">
        <v>41797</v>
      </c>
      <c r="B1614">
        <v>4</v>
      </c>
      <c r="C1614">
        <v>186</v>
      </c>
      <c r="D1614" t="s">
        <v>303</v>
      </c>
      <c r="E1614">
        <f>YEAR(A1614)</f>
        <v>2014</v>
      </c>
      <c r="F1614" s="33">
        <f>DATE(YEAR(A1614),MONTH(A1614),1)</f>
        <v>41791.0</v>
      </c>
      <c r="G1614" t="str">
        <f>CHOOSE(WEEKDAY(A1614,2),"Mon","Tue","Wed","Thu","Fri","Sat","Sun")</f>
        <v>Sat</v>
      </c>
      <c r="H1614" t="str">
        <f>IF(WEEKDAY(A1614,2)&gt;5,"Weekend","Weekday")</f>
        <v>Weekend</v>
      </c>
      <c r="I1614" t="str">
        <f>_xlfn.IFS(B1614&lt;=5,"Night (0-5)",B1614&lt;=9,"Morning peak (6-9)",B1614&lt;=15,"Midday (10-15)",B1614&lt;=19,"Evening peak (16-19)",TRUE,"Late evening (20-23)")</f>
        <v>Night (0-5)</v>
      </c>
    </row>
    <row r="1615" spans="1:9">
      <c r="A1615" s="32">
        <v>41797</v>
      </c>
      <c r="B1615">
        <v>5</v>
      </c>
      <c r="C1615">
        <v>186</v>
      </c>
      <c r="D1615" t="s">
        <v>303</v>
      </c>
      <c r="E1615">
        <f>YEAR(A1615)</f>
        <v>2014</v>
      </c>
      <c r="F1615" s="33">
        <f>DATE(YEAR(A1615),MONTH(A1615),1)</f>
        <v>41791.0</v>
      </c>
      <c r="G1615" t="str">
        <f>CHOOSE(WEEKDAY(A1615,2),"Mon","Tue","Wed","Thu","Fri","Sat","Sun")</f>
        <v>Sat</v>
      </c>
      <c r="H1615" t="str">
        <f>IF(WEEKDAY(A1615,2)&gt;5,"Weekend","Weekday")</f>
        <v>Weekend</v>
      </c>
      <c r="I1615" t="str">
        <f>_xlfn.IFS(B1615&lt;=5,"Night (0-5)",B1615&lt;=9,"Morning peak (6-9)",B1615&lt;=15,"Midday (10-15)",B1615&lt;=19,"Evening peak (16-19)",TRUE,"Late evening (20-23)")</f>
        <v>Night (0-5)</v>
      </c>
    </row>
    <row r="1616" spans="1:9">
      <c r="A1616" s="32">
        <v>41797</v>
      </c>
      <c r="B1616">
        <v>6</v>
      </c>
      <c r="C1616">
        <v>290</v>
      </c>
      <c r="D1616" t="s">
        <v>303</v>
      </c>
      <c r="E1616">
        <f>YEAR(A1616)</f>
        <v>2014</v>
      </c>
      <c r="F1616" s="33">
        <f>DATE(YEAR(A1616),MONTH(A1616),1)</f>
        <v>41791.0</v>
      </c>
      <c r="G1616" t="str">
        <f>CHOOSE(WEEKDAY(A1616,2),"Mon","Tue","Wed","Thu","Fri","Sat","Sun")</f>
        <v>Sat</v>
      </c>
      <c r="H1616" t="str">
        <f>IF(WEEKDAY(A1616,2)&gt;5,"Weekend","Weekday")</f>
        <v>Weekend</v>
      </c>
      <c r="I1616" t="str">
        <f>_xlfn.IFS(B1616&lt;=5,"Night (0-5)",B1616&lt;=9,"Morning peak (6-9)",B1616&lt;=15,"Midday (10-15)",B1616&lt;=19,"Evening peak (16-19)",TRUE,"Late evening (20-23)")</f>
        <v>Morning peak (6-9)</v>
      </c>
    </row>
    <row r="1617" spans="1:9">
      <c r="A1617" s="32">
        <v>41797</v>
      </c>
      <c r="B1617">
        <v>7</v>
      </c>
      <c r="C1617">
        <v>354</v>
      </c>
      <c r="D1617" t="s">
        <v>303</v>
      </c>
      <c r="E1617">
        <f>YEAR(A1617)</f>
        <v>2014</v>
      </c>
      <c r="F1617" s="33">
        <f>DATE(YEAR(A1617),MONTH(A1617),1)</f>
        <v>41791.0</v>
      </c>
      <c r="G1617" t="str">
        <f>CHOOSE(WEEKDAY(A1617,2),"Mon","Tue","Wed","Thu","Fri","Sat","Sun")</f>
        <v>Sat</v>
      </c>
      <c r="H1617" t="str">
        <f>IF(WEEKDAY(A1617,2)&gt;5,"Weekend","Weekday")</f>
        <v>Weekend</v>
      </c>
      <c r="I1617" t="str">
        <f>_xlfn.IFS(B1617&lt;=5,"Night (0-5)",B1617&lt;=9,"Morning peak (6-9)",B1617&lt;=15,"Midday (10-15)",B1617&lt;=19,"Evening peak (16-19)",TRUE,"Late evening (20-23)")</f>
        <v>Morning peak (6-9)</v>
      </c>
    </row>
    <row r="1618" spans="1:9">
      <c r="A1618" s="32">
        <v>41797</v>
      </c>
      <c r="B1618">
        <v>8</v>
      </c>
      <c r="C1618">
        <v>508</v>
      </c>
      <c r="D1618" t="s">
        <v>303</v>
      </c>
      <c r="E1618">
        <f>YEAR(A1618)</f>
        <v>2014</v>
      </c>
      <c r="F1618" s="33">
        <f>DATE(YEAR(A1618),MONTH(A1618),1)</f>
        <v>41791.0</v>
      </c>
      <c r="G1618" t="str">
        <f>CHOOSE(WEEKDAY(A1618,2),"Mon","Tue","Wed","Thu","Fri","Sat","Sun")</f>
        <v>Sat</v>
      </c>
      <c r="H1618" t="str">
        <f>IF(WEEKDAY(A1618,2)&gt;5,"Weekend","Weekday")</f>
        <v>Weekend</v>
      </c>
      <c r="I1618" t="str">
        <f>_xlfn.IFS(B1618&lt;=5,"Night (0-5)",B1618&lt;=9,"Morning peak (6-9)",B1618&lt;=15,"Midday (10-15)",B1618&lt;=19,"Evening peak (16-19)",TRUE,"Late evening (20-23)")</f>
        <v>Morning peak (6-9)</v>
      </c>
    </row>
    <row r="1619" spans="1:9">
      <c r="A1619" s="32">
        <v>41797</v>
      </c>
      <c r="B1619">
        <v>9</v>
      </c>
      <c r="C1619">
        <v>634</v>
      </c>
      <c r="D1619" t="s">
        <v>303</v>
      </c>
      <c r="E1619">
        <f>YEAR(A1619)</f>
        <v>2014</v>
      </c>
      <c r="F1619" s="33">
        <f>DATE(YEAR(A1619),MONTH(A1619),1)</f>
        <v>41791.0</v>
      </c>
      <c r="G1619" t="str">
        <f>CHOOSE(WEEKDAY(A1619,2),"Mon","Tue","Wed","Thu","Fri","Sat","Sun")</f>
        <v>Sat</v>
      </c>
      <c r="H1619" t="str">
        <f>IF(WEEKDAY(A1619,2)&gt;5,"Weekend","Weekday")</f>
        <v>Weekend</v>
      </c>
      <c r="I1619" t="str">
        <f>_xlfn.IFS(B1619&lt;=5,"Night (0-5)",B1619&lt;=9,"Morning peak (6-9)",B1619&lt;=15,"Midday (10-15)",B1619&lt;=19,"Evening peak (16-19)",TRUE,"Late evening (20-23)")</f>
        <v>Morning peak (6-9)</v>
      </c>
    </row>
    <row r="1620" spans="1:9">
      <c r="A1620" s="32">
        <v>41797</v>
      </c>
      <c r="B1620">
        <v>10</v>
      </c>
      <c r="C1620">
        <v>744</v>
      </c>
      <c r="D1620" t="s">
        <v>303</v>
      </c>
      <c r="E1620">
        <f>YEAR(A1620)</f>
        <v>2014</v>
      </c>
      <c r="F1620" s="33">
        <f>DATE(YEAR(A1620),MONTH(A1620),1)</f>
        <v>41791.0</v>
      </c>
      <c r="G1620" t="str">
        <f>CHOOSE(WEEKDAY(A1620,2),"Mon","Tue","Wed","Thu","Fri","Sat","Sun")</f>
        <v>Sat</v>
      </c>
      <c r="H1620" t="str">
        <f>IF(WEEKDAY(A1620,2)&gt;5,"Weekend","Weekday")</f>
        <v>Weekend</v>
      </c>
      <c r="I1620" t="str">
        <f>_xlfn.IFS(B1620&lt;=5,"Night (0-5)",B1620&lt;=9,"Morning peak (6-9)",B1620&lt;=15,"Midday (10-15)",B1620&lt;=19,"Evening peak (16-19)",TRUE,"Late evening (20-23)")</f>
        <v>Midday (10-15)</v>
      </c>
    </row>
    <row r="1621" spans="1:9">
      <c r="A1621" s="32">
        <v>41797</v>
      </c>
      <c r="B1621">
        <v>11</v>
      </c>
      <c r="C1621">
        <v>821</v>
      </c>
      <c r="D1621" t="s">
        <v>303</v>
      </c>
      <c r="E1621">
        <f>YEAR(A1621)</f>
        <v>2014</v>
      </c>
      <c r="F1621" s="33">
        <f>DATE(YEAR(A1621),MONTH(A1621),1)</f>
        <v>41791.0</v>
      </c>
      <c r="G1621" t="str">
        <f>CHOOSE(WEEKDAY(A1621,2),"Mon","Tue","Wed","Thu","Fri","Sat","Sun")</f>
        <v>Sat</v>
      </c>
      <c r="H1621" t="str">
        <f>IF(WEEKDAY(A1621,2)&gt;5,"Weekend","Weekday")</f>
        <v>Weekend</v>
      </c>
      <c r="I1621" t="str">
        <f>_xlfn.IFS(B1621&lt;=5,"Night (0-5)",B1621&lt;=9,"Morning peak (6-9)",B1621&lt;=15,"Midday (10-15)",B1621&lt;=19,"Evening peak (16-19)",TRUE,"Late evening (20-23)")</f>
        <v>Midday (10-15)</v>
      </c>
    </row>
    <row r="1622" spans="1:9">
      <c r="A1622" s="32">
        <v>41797</v>
      </c>
      <c r="B1622">
        <v>12</v>
      </c>
      <c r="C1622">
        <v>915</v>
      </c>
      <c r="D1622" t="s">
        <v>303</v>
      </c>
      <c r="E1622">
        <f>YEAR(A1622)</f>
        <v>2014</v>
      </c>
      <c r="F1622" s="33">
        <f>DATE(YEAR(A1622),MONTH(A1622),1)</f>
        <v>41791.0</v>
      </c>
      <c r="G1622" t="str">
        <f>CHOOSE(WEEKDAY(A1622,2),"Mon","Tue","Wed","Thu","Fri","Sat","Sun")</f>
        <v>Sat</v>
      </c>
      <c r="H1622" t="str">
        <f>IF(WEEKDAY(A1622,2)&gt;5,"Weekend","Weekday")</f>
        <v>Weekend</v>
      </c>
      <c r="I1622" t="str">
        <f>_xlfn.IFS(B1622&lt;=5,"Night (0-5)",B1622&lt;=9,"Morning peak (6-9)",B1622&lt;=15,"Midday (10-15)",B1622&lt;=19,"Evening peak (16-19)",TRUE,"Late evening (20-23)")</f>
        <v>Midday (10-15)</v>
      </c>
    </row>
    <row r="1623" spans="1:9">
      <c r="A1623" s="32">
        <v>41797</v>
      </c>
      <c r="B1623">
        <v>13</v>
      </c>
      <c r="C1623">
        <v>990</v>
      </c>
      <c r="D1623" t="s">
        <v>303</v>
      </c>
      <c r="E1623">
        <f>YEAR(A1623)</f>
        <v>2014</v>
      </c>
      <c r="F1623" s="33">
        <f>DATE(YEAR(A1623),MONTH(A1623),1)</f>
        <v>41791.0</v>
      </c>
      <c r="G1623" t="str">
        <f>CHOOSE(WEEKDAY(A1623,2),"Mon","Tue","Wed","Thu","Fri","Sat","Sun")</f>
        <v>Sat</v>
      </c>
      <c r="H1623" t="str">
        <f>IF(WEEKDAY(A1623,2)&gt;5,"Weekend","Weekday")</f>
        <v>Weekend</v>
      </c>
      <c r="I1623" t="str">
        <f>_xlfn.IFS(B1623&lt;=5,"Night (0-5)",B1623&lt;=9,"Morning peak (6-9)",B1623&lt;=15,"Midday (10-15)",B1623&lt;=19,"Evening peak (16-19)",TRUE,"Late evening (20-23)")</f>
        <v>Midday (10-15)</v>
      </c>
    </row>
    <row r="1624" spans="1:9">
      <c r="A1624" s="32">
        <v>41797</v>
      </c>
      <c r="B1624">
        <v>14</v>
      </c>
      <c r="C1624">
        <v>1018</v>
      </c>
      <c r="D1624" t="s">
        <v>303</v>
      </c>
      <c r="E1624">
        <f>YEAR(A1624)</f>
        <v>2014</v>
      </c>
      <c r="F1624" s="33">
        <f>DATE(YEAR(A1624),MONTH(A1624),1)</f>
        <v>41791.0</v>
      </c>
      <c r="G1624" t="str">
        <f>CHOOSE(WEEKDAY(A1624,2),"Mon","Tue","Wed","Thu","Fri","Sat","Sun")</f>
        <v>Sat</v>
      </c>
      <c r="H1624" t="str">
        <f>IF(WEEKDAY(A1624,2)&gt;5,"Weekend","Weekday")</f>
        <v>Weekend</v>
      </c>
      <c r="I1624" t="str">
        <f>_xlfn.IFS(B1624&lt;=5,"Night (0-5)",B1624&lt;=9,"Morning peak (6-9)",B1624&lt;=15,"Midday (10-15)",B1624&lt;=19,"Evening peak (16-19)",TRUE,"Late evening (20-23)")</f>
        <v>Midday (10-15)</v>
      </c>
    </row>
    <row r="1625" spans="1:9">
      <c r="A1625" s="32">
        <v>41797</v>
      </c>
      <c r="B1625">
        <v>15</v>
      </c>
      <c r="C1625">
        <v>1173</v>
      </c>
      <c r="D1625" t="s">
        <v>303</v>
      </c>
      <c r="E1625">
        <f>YEAR(A1625)</f>
        <v>2014</v>
      </c>
      <c r="F1625" s="33">
        <f>DATE(YEAR(A1625),MONTH(A1625),1)</f>
        <v>41791.0</v>
      </c>
      <c r="G1625" t="str">
        <f>CHOOSE(WEEKDAY(A1625,2),"Mon","Tue","Wed","Thu","Fri","Sat","Sun")</f>
        <v>Sat</v>
      </c>
      <c r="H1625" t="str">
        <f>IF(WEEKDAY(A1625,2)&gt;5,"Weekend","Weekday")</f>
        <v>Weekend</v>
      </c>
      <c r="I1625" t="str">
        <f>_xlfn.IFS(B1625&lt;=5,"Night (0-5)",B1625&lt;=9,"Morning peak (6-9)",B1625&lt;=15,"Midday (10-15)",B1625&lt;=19,"Evening peak (16-19)",TRUE,"Late evening (20-23)")</f>
        <v>Midday (10-15)</v>
      </c>
    </row>
    <row r="1626" spans="1:9">
      <c r="A1626" s="32">
        <v>41797</v>
      </c>
      <c r="B1626">
        <v>16</v>
      </c>
      <c r="C1626">
        <v>1388</v>
      </c>
      <c r="D1626" t="s">
        <v>303</v>
      </c>
      <c r="E1626">
        <f>YEAR(A1626)</f>
        <v>2014</v>
      </c>
      <c r="F1626" s="33">
        <f>DATE(YEAR(A1626),MONTH(A1626),1)</f>
        <v>41791.0</v>
      </c>
      <c r="G1626" t="str">
        <f>CHOOSE(WEEKDAY(A1626,2),"Mon","Tue","Wed","Thu","Fri","Sat","Sun")</f>
        <v>Sat</v>
      </c>
      <c r="H1626" t="str">
        <f>IF(WEEKDAY(A1626,2)&gt;5,"Weekend","Weekday")</f>
        <v>Weekend</v>
      </c>
      <c r="I1626" t="str">
        <f>_xlfn.IFS(B1626&lt;=5,"Night (0-5)",B1626&lt;=9,"Morning peak (6-9)",B1626&lt;=15,"Midday (10-15)",B1626&lt;=19,"Evening peak (16-19)",TRUE,"Late evening (20-23)")</f>
        <v>Evening peak (16-19)</v>
      </c>
    </row>
    <row r="1627" spans="1:9">
      <c r="A1627" s="32">
        <v>41797</v>
      </c>
      <c r="B1627">
        <v>17</v>
      </c>
      <c r="C1627">
        <v>1238</v>
      </c>
      <c r="D1627" t="s">
        <v>303</v>
      </c>
      <c r="E1627">
        <f>YEAR(A1627)</f>
        <v>2014</v>
      </c>
      <c r="F1627" s="33">
        <f>DATE(YEAR(A1627),MONTH(A1627),1)</f>
        <v>41791.0</v>
      </c>
      <c r="G1627" t="str">
        <f>CHOOSE(WEEKDAY(A1627,2),"Mon","Tue","Wed","Thu","Fri","Sat","Sun")</f>
        <v>Sat</v>
      </c>
      <c r="H1627" t="str">
        <f>IF(WEEKDAY(A1627,2)&gt;5,"Weekend","Weekday")</f>
        <v>Weekend</v>
      </c>
      <c r="I1627" t="str">
        <f>_xlfn.IFS(B1627&lt;=5,"Night (0-5)",B1627&lt;=9,"Morning peak (6-9)",B1627&lt;=15,"Midday (10-15)",B1627&lt;=19,"Evening peak (16-19)",TRUE,"Late evening (20-23)")</f>
        <v>Evening peak (16-19)</v>
      </c>
    </row>
    <row r="1628" spans="1:9">
      <c r="A1628" s="32">
        <v>41797</v>
      </c>
      <c r="B1628">
        <v>18</v>
      </c>
      <c r="C1628">
        <v>1335</v>
      </c>
      <c r="D1628" t="s">
        <v>303</v>
      </c>
      <c r="E1628">
        <f>YEAR(A1628)</f>
        <v>2014</v>
      </c>
      <c r="F1628" s="33">
        <f>DATE(YEAR(A1628),MONTH(A1628),1)</f>
        <v>41791.0</v>
      </c>
      <c r="G1628" t="str">
        <f>CHOOSE(WEEKDAY(A1628,2),"Mon","Tue","Wed","Thu","Fri","Sat","Sun")</f>
        <v>Sat</v>
      </c>
      <c r="H1628" t="str">
        <f>IF(WEEKDAY(A1628,2)&gt;5,"Weekend","Weekday")</f>
        <v>Weekend</v>
      </c>
      <c r="I1628" t="str">
        <f>_xlfn.IFS(B1628&lt;=5,"Night (0-5)",B1628&lt;=9,"Morning peak (6-9)",B1628&lt;=15,"Midday (10-15)",B1628&lt;=19,"Evening peak (16-19)",TRUE,"Late evening (20-23)")</f>
        <v>Evening peak (16-19)</v>
      </c>
    </row>
    <row r="1629" spans="1:9">
      <c r="A1629" s="32">
        <v>41797</v>
      </c>
      <c r="B1629">
        <v>19</v>
      </c>
      <c r="C1629">
        <v>1023</v>
      </c>
      <c r="D1629" t="s">
        <v>303</v>
      </c>
      <c r="E1629">
        <f>YEAR(A1629)</f>
        <v>2014</v>
      </c>
      <c r="F1629" s="33">
        <f>DATE(YEAR(A1629),MONTH(A1629),1)</f>
        <v>41791.0</v>
      </c>
      <c r="G1629" t="str">
        <f>CHOOSE(WEEKDAY(A1629,2),"Mon","Tue","Wed","Thu","Fri","Sat","Sun")</f>
        <v>Sat</v>
      </c>
      <c r="H1629" t="str">
        <f>IF(WEEKDAY(A1629,2)&gt;5,"Weekend","Weekday")</f>
        <v>Weekend</v>
      </c>
      <c r="I1629" t="str">
        <f>_xlfn.IFS(B1629&lt;=5,"Night (0-5)",B1629&lt;=9,"Morning peak (6-9)",B1629&lt;=15,"Midday (10-15)",B1629&lt;=19,"Evening peak (16-19)",TRUE,"Late evening (20-23)")</f>
        <v>Evening peak (16-19)</v>
      </c>
    </row>
    <row r="1630" spans="1:9">
      <c r="A1630" s="32">
        <v>41797</v>
      </c>
      <c r="B1630">
        <v>20</v>
      </c>
      <c r="C1630">
        <v>1161</v>
      </c>
      <c r="D1630" t="s">
        <v>303</v>
      </c>
      <c r="E1630">
        <f>YEAR(A1630)</f>
        <v>2014</v>
      </c>
      <c r="F1630" s="33">
        <f>DATE(YEAR(A1630),MONTH(A1630),1)</f>
        <v>41791.0</v>
      </c>
      <c r="G1630" t="str">
        <f>CHOOSE(WEEKDAY(A1630,2),"Mon","Tue","Wed","Thu","Fri","Sat","Sun")</f>
        <v>Sat</v>
      </c>
      <c r="H1630" t="str">
        <f>IF(WEEKDAY(A1630,2)&gt;5,"Weekend","Weekday")</f>
        <v>Weekend</v>
      </c>
      <c r="I1630" t="str">
        <f>_xlfn.IFS(B1630&lt;=5,"Night (0-5)",B1630&lt;=9,"Morning peak (6-9)",B1630&lt;=15,"Midday (10-15)",B1630&lt;=19,"Evening peak (16-19)",TRUE,"Late evening (20-23)")</f>
        <v>Late evening (20-23)</v>
      </c>
    </row>
    <row r="1631" spans="1:9">
      <c r="A1631" s="32">
        <v>41797</v>
      </c>
      <c r="B1631">
        <v>21</v>
      </c>
      <c r="C1631">
        <v>1403</v>
      </c>
      <c r="D1631" t="s">
        <v>303</v>
      </c>
      <c r="E1631">
        <f>YEAR(A1631)</f>
        <v>2014</v>
      </c>
      <c r="F1631" s="33">
        <f>DATE(YEAR(A1631),MONTH(A1631),1)</f>
        <v>41791.0</v>
      </c>
      <c r="G1631" t="str">
        <f>CHOOSE(WEEKDAY(A1631,2),"Mon","Tue","Wed","Thu","Fri","Sat","Sun")</f>
        <v>Sat</v>
      </c>
      <c r="H1631" t="str">
        <f>IF(WEEKDAY(A1631,2)&gt;5,"Weekend","Weekday")</f>
        <v>Weekend</v>
      </c>
      <c r="I1631" t="str">
        <f>_xlfn.IFS(B1631&lt;=5,"Night (0-5)",B1631&lt;=9,"Morning peak (6-9)",B1631&lt;=15,"Midday (10-15)",B1631&lt;=19,"Evening peak (16-19)",TRUE,"Late evening (20-23)")</f>
        <v>Late evening (20-23)</v>
      </c>
    </row>
    <row r="1632" spans="1:9">
      <c r="A1632" s="32">
        <v>41797</v>
      </c>
      <c r="B1632">
        <v>22</v>
      </c>
      <c r="C1632">
        <v>1782</v>
      </c>
      <c r="D1632" t="s">
        <v>303</v>
      </c>
      <c r="E1632">
        <f>YEAR(A1632)</f>
        <v>2014</v>
      </c>
      <c r="F1632" s="33">
        <f>DATE(YEAR(A1632),MONTH(A1632),1)</f>
        <v>41791.0</v>
      </c>
      <c r="G1632" t="str">
        <f>CHOOSE(WEEKDAY(A1632,2),"Mon","Tue","Wed","Thu","Fri","Sat","Sun")</f>
        <v>Sat</v>
      </c>
      <c r="H1632" t="str">
        <f>IF(WEEKDAY(A1632,2)&gt;5,"Weekend","Weekday")</f>
        <v>Weekend</v>
      </c>
      <c r="I1632" t="str">
        <f>_xlfn.IFS(B1632&lt;=5,"Night (0-5)",B1632&lt;=9,"Morning peak (6-9)",B1632&lt;=15,"Midday (10-15)",B1632&lt;=19,"Evening peak (16-19)",TRUE,"Late evening (20-23)")</f>
        <v>Late evening (20-23)</v>
      </c>
    </row>
    <row r="1633" spans="1:9">
      <c r="A1633" s="32">
        <v>41797</v>
      </c>
      <c r="B1633">
        <v>23</v>
      </c>
      <c r="C1633">
        <v>1646</v>
      </c>
      <c r="D1633" t="s">
        <v>303</v>
      </c>
      <c r="E1633">
        <f>YEAR(A1633)</f>
        <v>2014</v>
      </c>
      <c r="F1633" s="33">
        <f>DATE(YEAR(A1633),MONTH(A1633),1)</f>
        <v>41791.0</v>
      </c>
      <c r="G1633" t="str">
        <f>CHOOSE(WEEKDAY(A1633,2),"Mon","Tue","Wed","Thu","Fri","Sat","Sun")</f>
        <v>Sat</v>
      </c>
      <c r="H1633" t="str">
        <f>IF(WEEKDAY(A1633,2)&gt;5,"Weekend","Weekday")</f>
        <v>Weekend</v>
      </c>
      <c r="I1633" t="str">
        <f>_xlfn.IFS(B1633&lt;=5,"Night (0-5)",B1633&lt;=9,"Morning peak (6-9)",B1633&lt;=15,"Midday (10-15)",B1633&lt;=19,"Evening peak (16-19)",TRUE,"Late evening (20-23)")</f>
        <v>Late evening (20-23)</v>
      </c>
    </row>
    <row r="1634" spans="1:9">
      <c r="A1634" s="32">
        <v>41798</v>
      </c>
      <c r="B1634">
        <v>0</v>
      </c>
      <c r="C1634">
        <v>1056</v>
      </c>
      <c r="D1634" t="s">
        <v>303</v>
      </c>
      <c r="E1634">
        <f>YEAR(A1634)</f>
        <v>2014</v>
      </c>
      <c r="F1634" s="33">
        <f>DATE(YEAR(A1634),MONTH(A1634),1)</f>
        <v>41791.0</v>
      </c>
      <c r="G1634" t="str">
        <f>CHOOSE(WEEKDAY(A1634,2),"Mon","Tue","Wed","Thu","Fri","Sat","Sun")</f>
        <v>Sun</v>
      </c>
      <c r="H1634" t="str">
        <f>IF(WEEKDAY(A1634,2)&gt;5,"Weekend","Weekday")</f>
        <v>Weekend</v>
      </c>
      <c r="I1634" t="str">
        <f>_xlfn.IFS(B1634&lt;=5,"Night (0-5)",B1634&lt;=9,"Morning peak (6-9)",B1634&lt;=15,"Midday (10-15)",B1634&lt;=19,"Evening peak (16-19)",TRUE,"Late evening (20-23)")</f>
        <v>Night (0-5)</v>
      </c>
    </row>
    <row r="1635" spans="1:9">
      <c r="A1635" s="32">
        <v>41798</v>
      </c>
      <c r="B1635">
        <v>1</v>
      </c>
      <c r="C1635">
        <v>656</v>
      </c>
      <c r="D1635" t="s">
        <v>303</v>
      </c>
      <c r="E1635">
        <f>YEAR(A1635)</f>
        <v>2014</v>
      </c>
      <c r="F1635" s="33">
        <f>DATE(YEAR(A1635),MONTH(A1635),1)</f>
        <v>41791.0</v>
      </c>
      <c r="G1635" t="str">
        <f>CHOOSE(WEEKDAY(A1635,2),"Mon","Tue","Wed","Thu","Fri","Sat","Sun")</f>
        <v>Sun</v>
      </c>
      <c r="H1635" t="str">
        <f>IF(WEEKDAY(A1635,2)&gt;5,"Weekend","Weekday")</f>
        <v>Weekend</v>
      </c>
      <c r="I1635" t="str">
        <f>_xlfn.IFS(B1635&lt;=5,"Night (0-5)",B1635&lt;=9,"Morning peak (6-9)",B1635&lt;=15,"Midday (10-15)",B1635&lt;=19,"Evening peak (16-19)",TRUE,"Late evening (20-23)")</f>
        <v>Night (0-5)</v>
      </c>
    </row>
    <row r="1636" spans="1:9">
      <c r="A1636" s="32">
        <v>41798</v>
      </c>
      <c r="B1636">
        <v>2</v>
      </c>
      <c r="C1636">
        <v>409</v>
      </c>
      <c r="D1636" t="s">
        <v>303</v>
      </c>
      <c r="E1636">
        <f>YEAR(A1636)</f>
        <v>2014</v>
      </c>
      <c r="F1636" s="33">
        <f>DATE(YEAR(A1636),MONTH(A1636),1)</f>
        <v>41791.0</v>
      </c>
      <c r="G1636" t="str">
        <f>CHOOSE(WEEKDAY(A1636,2),"Mon","Tue","Wed","Thu","Fri","Sat","Sun")</f>
        <v>Sun</v>
      </c>
      <c r="H1636" t="str">
        <f>IF(WEEKDAY(A1636,2)&gt;5,"Weekend","Weekday")</f>
        <v>Weekend</v>
      </c>
      <c r="I1636" t="str">
        <f>_xlfn.IFS(B1636&lt;=5,"Night (0-5)",B1636&lt;=9,"Morning peak (6-9)",B1636&lt;=15,"Midday (10-15)",B1636&lt;=19,"Evening peak (16-19)",TRUE,"Late evening (20-23)")</f>
        <v>Night (0-5)</v>
      </c>
    </row>
    <row r="1637" spans="1:9">
      <c r="A1637" s="32">
        <v>41798</v>
      </c>
      <c r="B1637">
        <v>3</v>
      </c>
      <c r="C1637">
        <v>306</v>
      </c>
      <c r="D1637" t="s">
        <v>303</v>
      </c>
      <c r="E1637">
        <f>YEAR(A1637)</f>
        <v>2014</v>
      </c>
      <c r="F1637" s="33">
        <f>DATE(YEAR(A1637),MONTH(A1637),1)</f>
        <v>41791.0</v>
      </c>
      <c r="G1637" t="str">
        <f>CHOOSE(WEEKDAY(A1637,2),"Mon","Tue","Wed","Thu","Fri","Sat","Sun")</f>
        <v>Sun</v>
      </c>
      <c r="H1637" t="str">
        <f>IF(WEEKDAY(A1637,2)&gt;5,"Weekend","Weekday")</f>
        <v>Weekend</v>
      </c>
      <c r="I1637" t="str">
        <f>_xlfn.IFS(B1637&lt;=5,"Night (0-5)",B1637&lt;=9,"Morning peak (6-9)",B1637&lt;=15,"Midday (10-15)",B1637&lt;=19,"Evening peak (16-19)",TRUE,"Late evening (20-23)")</f>
        <v>Night (0-5)</v>
      </c>
    </row>
    <row r="1638" spans="1:9">
      <c r="A1638" s="32">
        <v>41798</v>
      </c>
      <c r="B1638">
        <v>4</v>
      </c>
      <c r="C1638">
        <v>189</v>
      </c>
      <c r="D1638" t="s">
        <v>303</v>
      </c>
      <c r="E1638">
        <f>YEAR(A1638)</f>
        <v>2014</v>
      </c>
      <c r="F1638" s="33">
        <f>DATE(YEAR(A1638),MONTH(A1638),1)</f>
        <v>41791.0</v>
      </c>
      <c r="G1638" t="str">
        <f>CHOOSE(WEEKDAY(A1638,2),"Mon","Tue","Wed","Thu","Fri","Sat","Sun")</f>
        <v>Sun</v>
      </c>
      <c r="H1638" t="str">
        <f>IF(WEEKDAY(A1638,2)&gt;5,"Weekend","Weekday")</f>
        <v>Weekend</v>
      </c>
      <c r="I1638" t="str">
        <f>_xlfn.IFS(B1638&lt;=5,"Night (0-5)",B1638&lt;=9,"Morning peak (6-9)",B1638&lt;=15,"Midday (10-15)",B1638&lt;=19,"Evening peak (16-19)",TRUE,"Late evening (20-23)")</f>
        <v>Night (0-5)</v>
      </c>
    </row>
    <row r="1639" spans="1:9">
      <c r="A1639" s="32">
        <v>41798</v>
      </c>
      <c r="B1639">
        <v>5</v>
      </c>
      <c r="C1639">
        <v>173</v>
      </c>
      <c r="D1639" t="s">
        <v>303</v>
      </c>
      <c r="E1639">
        <f>YEAR(A1639)</f>
        <v>2014</v>
      </c>
      <c r="F1639" s="33">
        <f>DATE(YEAR(A1639),MONTH(A1639),1)</f>
        <v>41791.0</v>
      </c>
      <c r="G1639" t="str">
        <f>CHOOSE(WEEKDAY(A1639,2),"Mon","Tue","Wed","Thu","Fri","Sat","Sun")</f>
        <v>Sun</v>
      </c>
      <c r="H1639" t="str">
        <f>IF(WEEKDAY(A1639,2)&gt;5,"Weekend","Weekday")</f>
        <v>Weekend</v>
      </c>
      <c r="I1639" t="str">
        <f>_xlfn.IFS(B1639&lt;=5,"Night (0-5)",B1639&lt;=9,"Morning peak (6-9)",B1639&lt;=15,"Midday (10-15)",B1639&lt;=19,"Evening peak (16-19)",TRUE,"Late evening (20-23)")</f>
        <v>Night (0-5)</v>
      </c>
    </row>
    <row r="1640" spans="1:9">
      <c r="A1640" s="32">
        <v>41798</v>
      </c>
      <c r="B1640">
        <v>6</v>
      </c>
      <c r="C1640">
        <v>210</v>
      </c>
      <c r="D1640" t="s">
        <v>303</v>
      </c>
      <c r="E1640">
        <f>YEAR(A1640)</f>
        <v>2014</v>
      </c>
      <c r="F1640" s="33">
        <f>DATE(YEAR(A1640),MONTH(A1640),1)</f>
        <v>41791.0</v>
      </c>
      <c r="G1640" t="str">
        <f>CHOOSE(WEEKDAY(A1640,2),"Mon","Tue","Wed","Thu","Fri","Sat","Sun")</f>
        <v>Sun</v>
      </c>
      <c r="H1640" t="str">
        <f>IF(WEEKDAY(A1640,2)&gt;5,"Weekend","Weekday")</f>
        <v>Weekend</v>
      </c>
      <c r="I1640" t="str">
        <f>_xlfn.IFS(B1640&lt;=5,"Night (0-5)",B1640&lt;=9,"Morning peak (6-9)",B1640&lt;=15,"Midday (10-15)",B1640&lt;=19,"Evening peak (16-19)",TRUE,"Late evening (20-23)")</f>
        <v>Morning peak (6-9)</v>
      </c>
    </row>
    <row r="1641" spans="1:9">
      <c r="A1641" s="32">
        <v>41798</v>
      </c>
      <c r="B1641">
        <v>7</v>
      </c>
      <c r="C1641">
        <v>282</v>
      </c>
      <c r="D1641" t="s">
        <v>303</v>
      </c>
      <c r="E1641">
        <f>YEAR(A1641)</f>
        <v>2014</v>
      </c>
      <c r="F1641" s="33">
        <f>DATE(YEAR(A1641),MONTH(A1641),1)</f>
        <v>41791.0</v>
      </c>
      <c r="G1641" t="str">
        <f>CHOOSE(WEEKDAY(A1641,2),"Mon","Tue","Wed","Thu","Fri","Sat","Sun")</f>
        <v>Sun</v>
      </c>
      <c r="H1641" t="str">
        <f>IF(WEEKDAY(A1641,2)&gt;5,"Weekend","Weekday")</f>
        <v>Weekend</v>
      </c>
      <c r="I1641" t="str">
        <f>_xlfn.IFS(B1641&lt;=5,"Night (0-5)",B1641&lt;=9,"Morning peak (6-9)",B1641&lt;=15,"Midday (10-15)",B1641&lt;=19,"Evening peak (16-19)",TRUE,"Late evening (20-23)")</f>
        <v>Morning peak (6-9)</v>
      </c>
    </row>
    <row r="1642" spans="1:9">
      <c r="A1642" s="32">
        <v>41798</v>
      </c>
      <c r="B1642">
        <v>8</v>
      </c>
      <c r="C1642">
        <v>340</v>
      </c>
      <c r="D1642" t="s">
        <v>303</v>
      </c>
      <c r="E1642">
        <f>YEAR(A1642)</f>
        <v>2014</v>
      </c>
      <c r="F1642" s="33">
        <f>DATE(YEAR(A1642),MONTH(A1642),1)</f>
        <v>41791.0</v>
      </c>
      <c r="G1642" t="str">
        <f>CHOOSE(WEEKDAY(A1642,2),"Mon","Tue","Wed","Thu","Fri","Sat","Sun")</f>
        <v>Sun</v>
      </c>
      <c r="H1642" t="str">
        <f>IF(WEEKDAY(A1642,2)&gt;5,"Weekend","Weekday")</f>
        <v>Weekend</v>
      </c>
      <c r="I1642" t="str">
        <f>_xlfn.IFS(B1642&lt;=5,"Night (0-5)",B1642&lt;=9,"Morning peak (6-9)",B1642&lt;=15,"Midday (10-15)",B1642&lt;=19,"Evening peak (16-19)",TRUE,"Late evening (20-23)")</f>
        <v>Morning peak (6-9)</v>
      </c>
    </row>
    <row r="1643" spans="1:9">
      <c r="A1643" s="32">
        <v>41798</v>
      </c>
      <c r="B1643">
        <v>9</v>
      </c>
      <c r="C1643">
        <v>516</v>
      </c>
      <c r="D1643" t="s">
        <v>303</v>
      </c>
      <c r="E1643">
        <f>YEAR(A1643)</f>
        <v>2014</v>
      </c>
      <c r="F1643" s="33">
        <f>DATE(YEAR(A1643),MONTH(A1643),1)</f>
        <v>41791.0</v>
      </c>
      <c r="G1643" t="str">
        <f>CHOOSE(WEEKDAY(A1643,2),"Mon","Tue","Wed","Thu","Fri","Sat","Sun")</f>
        <v>Sun</v>
      </c>
      <c r="H1643" t="str">
        <f>IF(WEEKDAY(A1643,2)&gt;5,"Weekend","Weekday")</f>
        <v>Weekend</v>
      </c>
      <c r="I1643" t="str">
        <f>_xlfn.IFS(B1643&lt;=5,"Night (0-5)",B1643&lt;=9,"Morning peak (6-9)",B1643&lt;=15,"Midday (10-15)",B1643&lt;=19,"Evening peak (16-19)",TRUE,"Late evening (20-23)")</f>
        <v>Morning peak (6-9)</v>
      </c>
    </row>
    <row r="1644" spans="1:9">
      <c r="A1644" s="32">
        <v>41798</v>
      </c>
      <c r="B1644">
        <v>10</v>
      </c>
      <c r="C1644">
        <v>620</v>
      </c>
      <c r="D1644" t="s">
        <v>303</v>
      </c>
      <c r="E1644">
        <f>YEAR(A1644)</f>
        <v>2014</v>
      </c>
      <c r="F1644" s="33">
        <f>DATE(YEAR(A1644),MONTH(A1644),1)</f>
        <v>41791.0</v>
      </c>
      <c r="G1644" t="str">
        <f>CHOOSE(WEEKDAY(A1644,2),"Mon","Tue","Wed","Thu","Fri","Sat","Sun")</f>
        <v>Sun</v>
      </c>
      <c r="H1644" t="str">
        <f>IF(WEEKDAY(A1644,2)&gt;5,"Weekend","Weekday")</f>
        <v>Weekend</v>
      </c>
      <c r="I1644" t="str">
        <f>_xlfn.IFS(B1644&lt;=5,"Night (0-5)",B1644&lt;=9,"Morning peak (6-9)",B1644&lt;=15,"Midday (10-15)",B1644&lt;=19,"Evening peak (16-19)",TRUE,"Late evening (20-23)")</f>
        <v>Midday (10-15)</v>
      </c>
    </row>
    <row r="1645" spans="1:9">
      <c r="A1645" s="32">
        <v>41798</v>
      </c>
      <c r="B1645">
        <v>11</v>
      </c>
      <c r="C1645">
        <v>711</v>
      </c>
      <c r="D1645" t="s">
        <v>303</v>
      </c>
      <c r="E1645">
        <f>YEAR(A1645)</f>
        <v>2014</v>
      </c>
      <c r="F1645" s="33">
        <f>DATE(YEAR(A1645),MONTH(A1645),1)</f>
        <v>41791.0</v>
      </c>
      <c r="G1645" t="str">
        <f>CHOOSE(WEEKDAY(A1645,2),"Mon","Tue","Wed","Thu","Fri","Sat","Sun")</f>
        <v>Sun</v>
      </c>
      <c r="H1645" t="str">
        <f>IF(WEEKDAY(A1645,2)&gt;5,"Weekend","Weekday")</f>
        <v>Weekend</v>
      </c>
      <c r="I1645" t="str">
        <f>_xlfn.IFS(B1645&lt;=5,"Night (0-5)",B1645&lt;=9,"Morning peak (6-9)",B1645&lt;=15,"Midday (10-15)",B1645&lt;=19,"Evening peak (16-19)",TRUE,"Late evening (20-23)")</f>
        <v>Midday (10-15)</v>
      </c>
    </row>
    <row r="1646" spans="1:9">
      <c r="A1646" s="32">
        <v>41798</v>
      </c>
      <c r="B1646">
        <v>12</v>
      </c>
      <c r="C1646">
        <v>853</v>
      </c>
      <c r="D1646" t="s">
        <v>303</v>
      </c>
      <c r="E1646">
        <f>YEAR(A1646)</f>
        <v>2014</v>
      </c>
      <c r="F1646" s="33">
        <f>DATE(YEAR(A1646),MONTH(A1646),1)</f>
        <v>41791.0</v>
      </c>
      <c r="G1646" t="str">
        <f>CHOOSE(WEEKDAY(A1646,2),"Mon","Tue","Wed","Thu","Fri","Sat","Sun")</f>
        <v>Sun</v>
      </c>
      <c r="H1646" t="str">
        <f>IF(WEEKDAY(A1646,2)&gt;5,"Weekend","Weekday")</f>
        <v>Weekend</v>
      </c>
      <c r="I1646" t="str">
        <f>_xlfn.IFS(B1646&lt;=5,"Night (0-5)",B1646&lt;=9,"Morning peak (6-9)",B1646&lt;=15,"Midday (10-15)",B1646&lt;=19,"Evening peak (16-19)",TRUE,"Late evening (20-23)")</f>
        <v>Midday (10-15)</v>
      </c>
    </row>
    <row r="1647" spans="1:9">
      <c r="A1647" s="32">
        <v>41798</v>
      </c>
      <c r="B1647">
        <v>13</v>
      </c>
      <c r="C1647">
        <v>892</v>
      </c>
      <c r="D1647" t="s">
        <v>303</v>
      </c>
      <c r="E1647">
        <f>YEAR(A1647)</f>
        <v>2014</v>
      </c>
      <c r="F1647" s="33">
        <f>DATE(YEAR(A1647),MONTH(A1647),1)</f>
        <v>41791.0</v>
      </c>
      <c r="G1647" t="str">
        <f>CHOOSE(WEEKDAY(A1647,2),"Mon","Tue","Wed","Thu","Fri","Sat","Sun")</f>
        <v>Sun</v>
      </c>
      <c r="H1647" t="str">
        <f>IF(WEEKDAY(A1647,2)&gt;5,"Weekend","Weekday")</f>
        <v>Weekend</v>
      </c>
      <c r="I1647" t="str">
        <f>_xlfn.IFS(B1647&lt;=5,"Night (0-5)",B1647&lt;=9,"Morning peak (6-9)",B1647&lt;=15,"Midday (10-15)",B1647&lt;=19,"Evening peak (16-19)",TRUE,"Late evening (20-23)")</f>
        <v>Midday (10-15)</v>
      </c>
    </row>
    <row r="1648" spans="1:9">
      <c r="A1648" s="32">
        <v>41798</v>
      </c>
      <c r="B1648">
        <v>14</v>
      </c>
      <c r="C1648">
        <v>1011</v>
      </c>
      <c r="D1648" t="s">
        <v>303</v>
      </c>
      <c r="E1648">
        <f>YEAR(A1648)</f>
        <v>2014</v>
      </c>
      <c r="F1648" s="33">
        <f>DATE(YEAR(A1648),MONTH(A1648),1)</f>
        <v>41791.0</v>
      </c>
      <c r="G1648" t="str">
        <f>CHOOSE(WEEKDAY(A1648,2),"Mon","Tue","Wed","Thu","Fri","Sat","Sun")</f>
        <v>Sun</v>
      </c>
      <c r="H1648" t="str">
        <f>IF(WEEKDAY(A1648,2)&gt;5,"Weekend","Weekday")</f>
        <v>Weekend</v>
      </c>
      <c r="I1648" t="str">
        <f>_xlfn.IFS(B1648&lt;=5,"Night (0-5)",B1648&lt;=9,"Morning peak (6-9)",B1648&lt;=15,"Midday (10-15)",B1648&lt;=19,"Evening peak (16-19)",TRUE,"Late evening (20-23)")</f>
        <v>Midday (10-15)</v>
      </c>
    </row>
    <row r="1649" spans="1:9">
      <c r="A1649" s="32">
        <v>41798</v>
      </c>
      <c r="B1649">
        <v>15</v>
      </c>
      <c r="C1649">
        <v>1090</v>
      </c>
      <c r="D1649" t="s">
        <v>303</v>
      </c>
      <c r="E1649">
        <f>YEAR(A1649)</f>
        <v>2014</v>
      </c>
      <c r="F1649" s="33">
        <f>DATE(YEAR(A1649),MONTH(A1649),1)</f>
        <v>41791.0</v>
      </c>
      <c r="G1649" t="str">
        <f>CHOOSE(WEEKDAY(A1649,2),"Mon","Tue","Wed","Thu","Fri","Sat","Sun")</f>
        <v>Sun</v>
      </c>
      <c r="H1649" t="str">
        <f>IF(WEEKDAY(A1649,2)&gt;5,"Weekend","Weekday")</f>
        <v>Weekend</v>
      </c>
      <c r="I1649" t="str">
        <f>_xlfn.IFS(B1649&lt;=5,"Night (0-5)",B1649&lt;=9,"Morning peak (6-9)",B1649&lt;=15,"Midday (10-15)",B1649&lt;=19,"Evening peak (16-19)",TRUE,"Late evening (20-23)")</f>
        <v>Midday (10-15)</v>
      </c>
    </row>
    <row r="1650" spans="1:9">
      <c r="A1650" s="32">
        <v>41798</v>
      </c>
      <c r="B1650">
        <v>16</v>
      </c>
      <c r="C1650">
        <v>1146</v>
      </c>
      <c r="D1650" t="s">
        <v>303</v>
      </c>
      <c r="E1650">
        <f>YEAR(A1650)</f>
        <v>2014</v>
      </c>
      <c r="F1650" s="33">
        <f>DATE(YEAR(A1650),MONTH(A1650),1)</f>
        <v>41791.0</v>
      </c>
      <c r="G1650" t="str">
        <f>CHOOSE(WEEKDAY(A1650,2),"Mon","Tue","Wed","Thu","Fri","Sat","Sun")</f>
        <v>Sun</v>
      </c>
      <c r="H1650" t="str">
        <f>IF(WEEKDAY(A1650,2)&gt;5,"Weekend","Weekday")</f>
        <v>Weekend</v>
      </c>
      <c r="I1650" t="str">
        <f>_xlfn.IFS(B1650&lt;=5,"Night (0-5)",B1650&lt;=9,"Morning peak (6-9)",B1650&lt;=15,"Midday (10-15)",B1650&lt;=19,"Evening peak (16-19)",TRUE,"Late evening (20-23)")</f>
        <v>Evening peak (16-19)</v>
      </c>
    </row>
    <row r="1651" spans="1:9">
      <c r="A1651" s="32">
        <v>41798</v>
      </c>
      <c r="B1651">
        <v>17</v>
      </c>
      <c r="C1651">
        <v>955</v>
      </c>
      <c r="D1651" t="s">
        <v>303</v>
      </c>
      <c r="E1651">
        <f>YEAR(A1651)</f>
        <v>2014</v>
      </c>
      <c r="F1651" s="33">
        <f>DATE(YEAR(A1651),MONTH(A1651),1)</f>
        <v>41791.0</v>
      </c>
      <c r="G1651" t="str">
        <f>CHOOSE(WEEKDAY(A1651,2),"Mon","Tue","Wed","Thu","Fri","Sat","Sun")</f>
        <v>Sun</v>
      </c>
      <c r="H1651" t="str">
        <f>IF(WEEKDAY(A1651,2)&gt;5,"Weekend","Weekday")</f>
        <v>Weekend</v>
      </c>
      <c r="I1651" t="str">
        <f>_xlfn.IFS(B1651&lt;=5,"Night (0-5)",B1651&lt;=9,"Morning peak (6-9)",B1651&lt;=15,"Midday (10-15)",B1651&lt;=19,"Evening peak (16-19)",TRUE,"Late evening (20-23)")</f>
        <v>Evening peak (16-19)</v>
      </c>
    </row>
    <row r="1652" spans="1:9">
      <c r="A1652" s="32">
        <v>41798</v>
      </c>
      <c r="B1652">
        <v>18</v>
      </c>
      <c r="C1652">
        <v>852</v>
      </c>
      <c r="D1652" t="s">
        <v>303</v>
      </c>
      <c r="E1652">
        <f>YEAR(A1652)</f>
        <v>2014</v>
      </c>
      <c r="F1652" s="33">
        <f>DATE(YEAR(A1652),MONTH(A1652),1)</f>
        <v>41791.0</v>
      </c>
      <c r="G1652" t="str">
        <f>CHOOSE(WEEKDAY(A1652,2),"Mon","Tue","Wed","Thu","Fri","Sat","Sun")</f>
        <v>Sun</v>
      </c>
      <c r="H1652" t="str">
        <f>IF(WEEKDAY(A1652,2)&gt;5,"Weekend","Weekday")</f>
        <v>Weekend</v>
      </c>
      <c r="I1652" t="str">
        <f>_xlfn.IFS(B1652&lt;=5,"Night (0-5)",B1652&lt;=9,"Morning peak (6-9)",B1652&lt;=15,"Midday (10-15)",B1652&lt;=19,"Evening peak (16-19)",TRUE,"Late evening (20-23)")</f>
        <v>Evening peak (16-19)</v>
      </c>
    </row>
    <row r="1653" spans="1:9">
      <c r="A1653" s="32">
        <v>41798</v>
      </c>
      <c r="B1653">
        <v>19</v>
      </c>
      <c r="C1653">
        <v>747</v>
      </c>
      <c r="D1653" t="s">
        <v>303</v>
      </c>
      <c r="E1653">
        <f>YEAR(A1653)</f>
        <v>2014</v>
      </c>
      <c r="F1653" s="33">
        <f>DATE(YEAR(A1653),MONTH(A1653),1)</f>
        <v>41791.0</v>
      </c>
      <c r="G1653" t="str">
        <f>CHOOSE(WEEKDAY(A1653,2),"Mon","Tue","Wed","Thu","Fri","Sat","Sun")</f>
        <v>Sun</v>
      </c>
      <c r="H1653" t="str">
        <f>IF(WEEKDAY(A1653,2)&gt;5,"Weekend","Weekday")</f>
        <v>Weekend</v>
      </c>
      <c r="I1653" t="str">
        <f>_xlfn.IFS(B1653&lt;=5,"Night (0-5)",B1653&lt;=9,"Morning peak (6-9)",B1653&lt;=15,"Midday (10-15)",B1653&lt;=19,"Evening peak (16-19)",TRUE,"Late evening (20-23)")</f>
        <v>Evening peak (16-19)</v>
      </c>
    </row>
    <row r="1654" spans="1:9">
      <c r="A1654" s="32">
        <v>41798</v>
      </c>
      <c r="B1654">
        <v>20</v>
      </c>
      <c r="C1654">
        <v>759</v>
      </c>
      <c r="D1654" t="s">
        <v>303</v>
      </c>
      <c r="E1654">
        <f>YEAR(A1654)</f>
        <v>2014</v>
      </c>
      <c r="F1654" s="33">
        <f>DATE(YEAR(A1654),MONTH(A1654),1)</f>
        <v>41791.0</v>
      </c>
      <c r="G1654" t="str">
        <f>CHOOSE(WEEKDAY(A1654,2),"Mon","Tue","Wed","Thu","Fri","Sat","Sun")</f>
        <v>Sun</v>
      </c>
      <c r="H1654" t="str">
        <f>IF(WEEKDAY(A1654,2)&gt;5,"Weekend","Weekday")</f>
        <v>Weekend</v>
      </c>
      <c r="I1654" t="str">
        <f>_xlfn.IFS(B1654&lt;=5,"Night (0-5)",B1654&lt;=9,"Morning peak (6-9)",B1654&lt;=15,"Midday (10-15)",B1654&lt;=19,"Evening peak (16-19)",TRUE,"Late evening (20-23)")</f>
        <v>Late evening (20-23)</v>
      </c>
    </row>
    <row r="1655" spans="1:9">
      <c r="A1655" s="32">
        <v>41798</v>
      </c>
      <c r="B1655">
        <v>21</v>
      </c>
      <c r="C1655">
        <v>787</v>
      </c>
      <c r="D1655" t="s">
        <v>303</v>
      </c>
      <c r="E1655">
        <f>YEAR(A1655)</f>
        <v>2014</v>
      </c>
      <c r="F1655" s="33">
        <f>DATE(YEAR(A1655),MONTH(A1655),1)</f>
        <v>41791.0</v>
      </c>
      <c r="G1655" t="str">
        <f>CHOOSE(WEEKDAY(A1655,2),"Mon","Tue","Wed","Thu","Fri","Sat","Sun")</f>
        <v>Sun</v>
      </c>
      <c r="H1655" t="str">
        <f>IF(WEEKDAY(A1655,2)&gt;5,"Weekend","Weekday")</f>
        <v>Weekend</v>
      </c>
      <c r="I1655" t="str">
        <f>_xlfn.IFS(B1655&lt;=5,"Night (0-5)",B1655&lt;=9,"Morning peak (6-9)",B1655&lt;=15,"Midday (10-15)",B1655&lt;=19,"Evening peak (16-19)",TRUE,"Late evening (20-23)")</f>
        <v>Late evening (20-23)</v>
      </c>
    </row>
    <row r="1656" spans="1:9">
      <c r="A1656" s="32">
        <v>41798</v>
      </c>
      <c r="B1656">
        <v>22</v>
      </c>
      <c r="C1656">
        <v>750</v>
      </c>
      <c r="D1656" t="s">
        <v>303</v>
      </c>
      <c r="E1656">
        <f>YEAR(A1656)</f>
        <v>2014</v>
      </c>
      <c r="F1656" s="33">
        <f>DATE(YEAR(A1656),MONTH(A1656),1)</f>
        <v>41791.0</v>
      </c>
      <c r="G1656" t="str">
        <f>CHOOSE(WEEKDAY(A1656,2),"Mon","Tue","Wed","Thu","Fri","Sat","Sun")</f>
        <v>Sun</v>
      </c>
      <c r="H1656" t="str">
        <f>IF(WEEKDAY(A1656,2)&gt;5,"Weekend","Weekday")</f>
        <v>Weekend</v>
      </c>
      <c r="I1656" t="str">
        <f>_xlfn.IFS(B1656&lt;=5,"Night (0-5)",B1656&lt;=9,"Morning peak (6-9)",B1656&lt;=15,"Midday (10-15)",B1656&lt;=19,"Evening peak (16-19)",TRUE,"Late evening (20-23)")</f>
        <v>Late evening (20-23)</v>
      </c>
    </row>
    <row r="1657" spans="1:9">
      <c r="A1657" s="32">
        <v>41798</v>
      </c>
      <c r="B1657">
        <v>23</v>
      </c>
      <c r="C1657">
        <v>439</v>
      </c>
      <c r="D1657" t="s">
        <v>303</v>
      </c>
      <c r="E1657">
        <f>YEAR(A1657)</f>
        <v>2014</v>
      </c>
      <c r="F1657" s="33">
        <f>DATE(YEAR(A1657),MONTH(A1657),1)</f>
        <v>41791.0</v>
      </c>
      <c r="G1657" t="str">
        <f>CHOOSE(WEEKDAY(A1657,2),"Mon","Tue","Wed","Thu","Fri","Sat","Sun")</f>
        <v>Sun</v>
      </c>
      <c r="H1657" t="str">
        <f>IF(WEEKDAY(A1657,2)&gt;5,"Weekend","Weekday")</f>
        <v>Weekend</v>
      </c>
      <c r="I1657" t="str">
        <f>_xlfn.IFS(B1657&lt;=5,"Night (0-5)",B1657&lt;=9,"Morning peak (6-9)",B1657&lt;=15,"Midday (10-15)",B1657&lt;=19,"Evening peak (16-19)",TRUE,"Late evening (20-23)")</f>
        <v>Late evening (20-23)</v>
      </c>
    </row>
    <row r="1658" spans="1:9">
      <c r="A1658" s="32">
        <v>41799</v>
      </c>
      <c r="B1658">
        <v>0</v>
      </c>
      <c r="C1658">
        <v>237</v>
      </c>
      <c r="D1658" t="s">
        <v>303</v>
      </c>
      <c r="E1658">
        <f>YEAR(A1658)</f>
        <v>2014</v>
      </c>
      <c r="F1658" s="33">
        <f>DATE(YEAR(A1658),MONTH(A1658),1)</f>
        <v>41791.0</v>
      </c>
      <c r="G1658" t="str">
        <f>CHOOSE(WEEKDAY(A1658,2),"Mon","Tue","Wed","Thu","Fri","Sat","Sun")</f>
        <v>Mon</v>
      </c>
      <c r="H1658" t="str">
        <f>IF(WEEKDAY(A1658,2)&gt;5,"Weekend","Weekday")</f>
        <v>Weekday</v>
      </c>
      <c r="I1658" t="str">
        <f>_xlfn.IFS(B1658&lt;=5,"Night (0-5)",B1658&lt;=9,"Morning peak (6-9)",B1658&lt;=15,"Midday (10-15)",B1658&lt;=19,"Evening peak (16-19)",TRUE,"Late evening (20-23)")</f>
        <v>Night (0-5)</v>
      </c>
    </row>
    <row r="1659" spans="1:9">
      <c r="A1659" s="32">
        <v>41799</v>
      </c>
      <c r="B1659">
        <v>1</v>
      </c>
      <c r="C1659">
        <v>114</v>
      </c>
      <c r="D1659" t="s">
        <v>303</v>
      </c>
      <c r="E1659">
        <f>YEAR(A1659)</f>
        <v>2014</v>
      </c>
      <c r="F1659" s="33">
        <f>DATE(YEAR(A1659),MONTH(A1659),1)</f>
        <v>41791.0</v>
      </c>
      <c r="G1659" t="str">
        <f>CHOOSE(WEEKDAY(A1659,2),"Mon","Tue","Wed","Thu","Fri","Sat","Sun")</f>
        <v>Mon</v>
      </c>
      <c r="H1659" t="str">
        <f>IF(WEEKDAY(A1659,2)&gt;5,"Weekend","Weekday")</f>
        <v>Weekday</v>
      </c>
      <c r="I1659" t="str">
        <f>_xlfn.IFS(B1659&lt;=5,"Night (0-5)",B1659&lt;=9,"Morning peak (6-9)",B1659&lt;=15,"Midday (10-15)",B1659&lt;=19,"Evening peak (16-19)",TRUE,"Late evening (20-23)")</f>
        <v>Night (0-5)</v>
      </c>
    </row>
    <row r="1660" spans="1:9">
      <c r="A1660" s="32">
        <v>41799</v>
      </c>
      <c r="B1660">
        <v>2</v>
      </c>
      <c r="C1660">
        <v>95</v>
      </c>
      <c r="D1660" t="s">
        <v>303</v>
      </c>
      <c r="E1660">
        <f>YEAR(A1660)</f>
        <v>2014</v>
      </c>
      <c r="F1660" s="33">
        <f>DATE(YEAR(A1660),MONTH(A1660),1)</f>
        <v>41791.0</v>
      </c>
      <c r="G1660" t="str">
        <f>CHOOSE(WEEKDAY(A1660,2),"Mon","Tue","Wed","Thu","Fri","Sat","Sun")</f>
        <v>Mon</v>
      </c>
      <c r="H1660" t="str">
        <f>IF(WEEKDAY(A1660,2)&gt;5,"Weekend","Weekday")</f>
        <v>Weekday</v>
      </c>
      <c r="I1660" t="str">
        <f>_xlfn.IFS(B1660&lt;=5,"Night (0-5)",B1660&lt;=9,"Morning peak (6-9)",B1660&lt;=15,"Midday (10-15)",B1660&lt;=19,"Evening peak (16-19)",TRUE,"Late evening (20-23)")</f>
        <v>Night (0-5)</v>
      </c>
    </row>
    <row r="1661" spans="1:9">
      <c r="A1661" s="32">
        <v>41799</v>
      </c>
      <c r="B1661">
        <v>3</v>
      </c>
      <c r="C1661">
        <v>246</v>
      </c>
      <c r="D1661" t="s">
        <v>303</v>
      </c>
      <c r="E1661">
        <f>YEAR(A1661)</f>
        <v>2014</v>
      </c>
      <c r="F1661" s="33">
        <f>DATE(YEAR(A1661),MONTH(A1661),1)</f>
        <v>41791.0</v>
      </c>
      <c r="G1661" t="str">
        <f>CHOOSE(WEEKDAY(A1661,2),"Mon","Tue","Wed","Thu","Fri","Sat","Sun")</f>
        <v>Mon</v>
      </c>
      <c r="H1661" t="str">
        <f>IF(WEEKDAY(A1661,2)&gt;5,"Weekend","Weekday")</f>
        <v>Weekday</v>
      </c>
      <c r="I1661" t="str">
        <f>_xlfn.IFS(B1661&lt;=5,"Night (0-5)",B1661&lt;=9,"Morning peak (6-9)",B1661&lt;=15,"Midday (10-15)",B1661&lt;=19,"Evening peak (16-19)",TRUE,"Late evening (20-23)")</f>
        <v>Night (0-5)</v>
      </c>
    </row>
    <row r="1662" spans="1:9">
      <c r="A1662" s="32">
        <v>41799</v>
      </c>
      <c r="B1662">
        <v>4</v>
      </c>
      <c r="C1662">
        <v>414</v>
      </c>
      <c r="D1662" t="s">
        <v>303</v>
      </c>
      <c r="E1662">
        <f>YEAR(A1662)</f>
        <v>2014</v>
      </c>
      <c r="F1662" s="33">
        <f>DATE(YEAR(A1662),MONTH(A1662),1)</f>
        <v>41791.0</v>
      </c>
      <c r="G1662" t="str">
        <f>CHOOSE(WEEKDAY(A1662,2),"Mon","Tue","Wed","Thu","Fri","Sat","Sun")</f>
        <v>Mon</v>
      </c>
      <c r="H1662" t="str">
        <f>IF(WEEKDAY(A1662,2)&gt;5,"Weekend","Weekday")</f>
        <v>Weekday</v>
      </c>
      <c r="I1662" t="str">
        <f>_xlfn.IFS(B1662&lt;=5,"Night (0-5)",B1662&lt;=9,"Morning peak (6-9)",B1662&lt;=15,"Midday (10-15)",B1662&lt;=19,"Evening peak (16-19)",TRUE,"Late evening (20-23)")</f>
        <v>Night (0-5)</v>
      </c>
    </row>
    <row r="1663" spans="1:9">
      <c r="A1663" s="32">
        <v>41799</v>
      </c>
      <c r="B1663">
        <v>5</v>
      </c>
      <c r="C1663">
        <v>731</v>
      </c>
      <c r="D1663" t="s">
        <v>303</v>
      </c>
      <c r="E1663">
        <f>YEAR(A1663)</f>
        <v>2014</v>
      </c>
      <c r="F1663" s="33">
        <f>DATE(YEAR(A1663),MONTH(A1663),1)</f>
        <v>41791.0</v>
      </c>
      <c r="G1663" t="str">
        <f>CHOOSE(WEEKDAY(A1663,2),"Mon","Tue","Wed","Thu","Fri","Sat","Sun")</f>
        <v>Mon</v>
      </c>
      <c r="H1663" t="str">
        <f>IF(WEEKDAY(A1663,2)&gt;5,"Weekend","Weekday")</f>
        <v>Weekday</v>
      </c>
      <c r="I1663" t="str">
        <f>_xlfn.IFS(B1663&lt;=5,"Night (0-5)",B1663&lt;=9,"Morning peak (6-9)",B1663&lt;=15,"Midday (10-15)",B1663&lt;=19,"Evening peak (16-19)",TRUE,"Late evening (20-23)")</f>
        <v>Night (0-5)</v>
      </c>
    </row>
    <row r="1664" spans="1:9">
      <c r="A1664" s="32">
        <v>41799</v>
      </c>
      <c r="B1664">
        <v>6</v>
      </c>
      <c r="C1664">
        <v>1367</v>
      </c>
      <c r="D1664" t="s">
        <v>303</v>
      </c>
      <c r="E1664">
        <f>YEAR(A1664)</f>
        <v>2014</v>
      </c>
      <c r="F1664" s="33">
        <f>DATE(YEAR(A1664),MONTH(A1664),1)</f>
        <v>41791.0</v>
      </c>
      <c r="G1664" t="str">
        <f>CHOOSE(WEEKDAY(A1664,2),"Mon","Tue","Wed","Thu","Fri","Sat","Sun")</f>
        <v>Mon</v>
      </c>
      <c r="H1664" t="str">
        <f>IF(WEEKDAY(A1664,2)&gt;5,"Weekend","Weekday")</f>
        <v>Weekday</v>
      </c>
      <c r="I1664" t="str">
        <f>_xlfn.IFS(B1664&lt;=5,"Night (0-5)",B1664&lt;=9,"Morning peak (6-9)",B1664&lt;=15,"Midday (10-15)",B1664&lt;=19,"Evening peak (16-19)",TRUE,"Late evening (20-23)")</f>
        <v>Morning peak (6-9)</v>
      </c>
    </row>
    <row r="1665" spans="1:9">
      <c r="A1665" s="32">
        <v>41799</v>
      </c>
      <c r="B1665">
        <v>7</v>
      </c>
      <c r="C1665">
        <v>1788</v>
      </c>
      <c r="D1665" t="s">
        <v>303</v>
      </c>
      <c r="E1665">
        <f>YEAR(A1665)</f>
        <v>2014</v>
      </c>
      <c r="F1665" s="33">
        <f>DATE(YEAR(A1665),MONTH(A1665),1)</f>
        <v>41791.0</v>
      </c>
      <c r="G1665" t="str">
        <f>CHOOSE(WEEKDAY(A1665,2),"Mon","Tue","Wed","Thu","Fri","Sat","Sun")</f>
        <v>Mon</v>
      </c>
      <c r="H1665" t="str">
        <f>IF(WEEKDAY(A1665,2)&gt;5,"Weekend","Weekday")</f>
        <v>Weekday</v>
      </c>
      <c r="I1665" t="str">
        <f>_xlfn.IFS(B1665&lt;=5,"Night (0-5)",B1665&lt;=9,"Morning peak (6-9)",B1665&lt;=15,"Midday (10-15)",B1665&lt;=19,"Evening peak (16-19)",TRUE,"Late evening (20-23)")</f>
        <v>Morning peak (6-9)</v>
      </c>
    </row>
    <row r="1666" spans="1:9">
      <c r="A1666" s="32">
        <v>41799</v>
      </c>
      <c r="B1666">
        <v>8</v>
      </c>
      <c r="C1666">
        <v>1907</v>
      </c>
      <c r="D1666" t="s">
        <v>303</v>
      </c>
      <c r="E1666">
        <f>YEAR(A1666)</f>
        <v>2014</v>
      </c>
      <c r="F1666" s="33">
        <f>DATE(YEAR(A1666),MONTH(A1666),1)</f>
        <v>41791.0</v>
      </c>
      <c r="G1666" t="str">
        <f>CHOOSE(WEEKDAY(A1666,2),"Mon","Tue","Wed","Thu","Fri","Sat","Sun")</f>
        <v>Mon</v>
      </c>
      <c r="H1666" t="str">
        <f>IF(WEEKDAY(A1666,2)&gt;5,"Weekend","Weekday")</f>
        <v>Weekday</v>
      </c>
      <c r="I1666" t="str">
        <f>_xlfn.IFS(B1666&lt;=5,"Night (0-5)",B1666&lt;=9,"Morning peak (6-9)",B1666&lt;=15,"Midday (10-15)",B1666&lt;=19,"Evening peak (16-19)",TRUE,"Late evening (20-23)")</f>
        <v>Morning peak (6-9)</v>
      </c>
    </row>
    <row r="1667" spans="1:9">
      <c r="A1667" s="32">
        <v>41799</v>
      </c>
      <c r="B1667">
        <v>9</v>
      </c>
      <c r="C1667">
        <v>1527</v>
      </c>
      <c r="D1667" t="s">
        <v>303</v>
      </c>
      <c r="E1667">
        <f>YEAR(A1667)</f>
        <v>2014</v>
      </c>
      <c r="F1667" s="33">
        <f>DATE(YEAR(A1667),MONTH(A1667),1)</f>
        <v>41791.0</v>
      </c>
      <c r="G1667" t="str">
        <f>CHOOSE(WEEKDAY(A1667,2),"Mon","Tue","Wed","Thu","Fri","Sat","Sun")</f>
        <v>Mon</v>
      </c>
      <c r="H1667" t="str">
        <f>IF(WEEKDAY(A1667,2)&gt;5,"Weekend","Weekday")</f>
        <v>Weekday</v>
      </c>
      <c r="I1667" t="str">
        <f>_xlfn.IFS(B1667&lt;=5,"Night (0-5)",B1667&lt;=9,"Morning peak (6-9)",B1667&lt;=15,"Midday (10-15)",B1667&lt;=19,"Evening peak (16-19)",TRUE,"Late evening (20-23)")</f>
        <v>Morning peak (6-9)</v>
      </c>
    </row>
    <row r="1668" spans="1:9">
      <c r="A1668" s="32">
        <v>41799</v>
      </c>
      <c r="B1668">
        <v>10</v>
      </c>
      <c r="C1668">
        <v>1098</v>
      </c>
      <c r="D1668" t="s">
        <v>303</v>
      </c>
      <c r="E1668">
        <f>YEAR(A1668)</f>
        <v>2014</v>
      </c>
      <c r="F1668" s="33">
        <f>DATE(YEAR(A1668),MONTH(A1668),1)</f>
        <v>41791.0</v>
      </c>
      <c r="G1668" t="str">
        <f>CHOOSE(WEEKDAY(A1668,2),"Mon","Tue","Wed","Thu","Fri","Sat","Sun")</f>
        <v>Mon</v>
      </c>
      <c r="H1668" t="str">
        <f>IF(WEEKDAY(A1668,2)&gt;5,"Weekend","Weekday")</f>
        <v>Weekday</v>
      </c>
      <c r="I1668" t="str">
        <f>_xlfn.IFS(B1668&lt;=5,"Night (0-5)",B1668&lt;=9,"Morning peak (6-9)",B1668&lt;=15,"Midday (10-15)",B1668&lt;=19,"Evening peak (16-19)",TRUE,"Late evening (20-23)")</f>
        <v>Midday (10-15)</v>
      </c>
    </row>
    <row r="1669" spans="1:9">
      <c r="A1669" s="32">
        <v>41799</v>
      </c>
      <c r="B1669">
        <v>11</v>
      </c>
      <c r="C1669">
        <v>903</v>
      </c>
      <c r="D1669" t="s">
        <v>303</v>
      </c>
      <c r="E1669">
        <f>YEAR(A1669)</f>
        <v>2014</v>
      </c>
      <c r="F1669" s="33">
        <f>DATE(YEAR(A1669),MONTH(A1669),1)</f>
        <v>41791.0</v>
      </c>
      <c r="G1669" t="str">
        <f>CHOOSE(WEEKDAY(A1669,2),"Mon","Tue","Wed","Thu","Fri","Sat","Sun")</f>
        <v>Mon</v>
      </c>
      <c r="H1669" t="str">
        <f>IF(WEEKDAY(A1669,2)&gt;5,"Weekend","Weekday")</f>
        <v>Weekday</v>
      </c>
      <c r="I1669" t="str">
        <f>_xlfn.IFS(B1669&lt;=5,"Night (0-5)",B1669&lt;=9,"Morning peak (6-9)",B1669&lt;=15,"Midday (10-15)",B1669&lt;=19,"Evening peak (16-19)",TRUE,"Late evening (20-23)")</f>
        <v>Midday (10-15)</v>
      </c>
    </row>
    <row r="1670" spans="1:9">
      <c r="A1670" s="32">
        <v>41799</v>
      </c>
      <c r="B1670">
        <v>12</v>
      </c>
      <c r="C1670">
        <v>782</v>
      </c>
      <c r="D1670" t="s">
        <v>303</v>
      </c>
      <c r="E1670">
        <f>YEAR(A1670)</f>
        <v>2014</v>
      </c>
      <c r="F1670" s="33">
        <f>DATE(YEAR(A1670),MONTH(A1670),1)</f>
        <v>41791.0</v>
      </c>
      <c r="G1670" t="str">
        <f>CHOOSE(WEEKDAY(A1670,2),"Mon","Tue","Wed","Thu","Fri","Sat","Sun")</f>
        <v>Mon</v>
      </c>
      <c r="H1670" t="str">
        <f>IF(WEEKDAY(A1670,2)&gt;5,"Weekend","Weekday")</f>
        <v>Weekday</v>
      </c>
      <c r="I1670" t="str">
        <f>_xlfn.IFS(B1670&lt;=5,"Night (0-5)",B1670&lt;=9,"Morning peak (6-9)",B1670&lt;=15,"Midday (10-15)",B1670&lt;=19,"Evening peak (16-19)",TRUE,"Late evening (20-23)")</f>
        <v>Midday (10-15)</v>
      </c>
    </row>
    <row r="1671" spans="1:9">
      <c r="A1671" s="32">
        <v>41799</v>
      </c>
      <c r="B1671">
        <v>13</v>
      </c>
      <c r="C1671">
        <v>903</v>
      </c>
      <c r="D1671" t="s">
        <v>303</v>
      </c>
      <c r="E1671">
        <f>YEAR(A1671)</f>
        <v>2014</v>
      </c>
      <c r="F1671" s="33">
        <f>DATE(YEAR(A1671),MONTH(A1671),1)</f>
        <v>41791.0</v>
      </c>
      <c r="G1671" t="str">
        <f>CHOOSE(WEEKDAY(A1671,2),"Mon","Tue","Wed","Thu","Fri","Sat","Sun")</f>
        <v>Mon</v>
      </c>
      <c r="H1671" t="str">
        <f>IF(WEEKDAY(A1671,2)&gt;5,"Weekend","Weekday")</f>
        <v>Weekday</v>
      </c>
      <c r="I1671" t="str">
        <f>_xlfn.IFS(B1671&lt;=5,"Night (0-5)",B1671&lt;=9,"Morning peak (6-9)",B1671&lt;=15,"Midday (10-15)",B1671&lt;=19,"Evening peak (16-19)",TRUE,"Late evening (20-23)")</f>
        <v>Midday (10-15)</v>
      </c>
    </row>
    <row r="1672" spans="1:9">
      <c r="A1672" s="32">
        <v>41799</v>
      </c>
      <c r="B1672">
        <v>14</v>
      </c>
      <c r="C1672">
        <v>1037</v>
      </c>
      <c r="D1672" t="s">
        <v>303</v>
      </c>
      <c r="E1672">
        <f>YEAR(A1672)</f>
        <v>2014</v>
      </c>
      <c r="F1672" s="33">
        <f>DATE(YEAR(A1672),MONTH(A1672),1)</f>
        <v>41791.0</v>
      </c>
      <c r="G1672" t="str">
        <f>CHOOSE(WEEKDAY(A1672,2),"Mon","Tue","Wed","Thu","Fri","Sat","Sun")</f>
        <v>Mon</v>
      </c>
      <c r="H1672" t="str">
        <f>IF(WEEKDAY(A1672,2)&gt;5,"Weekend","Weekday")</f>
        <v>Weekday</v>
      </c>
      <c r="I1672" t="str">
        <f>_xlfn.IFS(B1672&lt;=5,"Night (0-5)",B1672&lt;=9,"Morning peak (6-9)",B1672&lt;=15,"Midday (10-15)",B1672&lt;=19,"Evening peak (16-19)",TRUE,"Late evening (20-23)")</f>
        <v>Midday (10-15)</v>
      </c>
    </row>
    <row r="1673" spans="1:9">
      <c r="A1673" s="32">
        <v>41799</v>
      </c>
      <c r="B1673">
        <v>15</v>
      </c>
      <c r="C1673">
        <v>1249</v>
      </c>
      <c r="D1673" t="s">
        <v>303</v>
      </c>
      <c r="E1673">
        <f>YEAR(A1673)</f>
        <v>2014</v>
      </c>
      <c r="F1673" s="33">
        <f>DATE(YEAR(A1673),MONTH(A1673),1)</f>
        <v>41791.0</v>
      </c>
      <c r="G1673" t="str">
        <f>CHOOSE(WEEKDAY(A1673,2),"Mon","Tue","Wed","Thu","Fri","Sat","Sun")</f>
        <v>Mon</v>
      </c>
      <c r="H1673" t="str">
        <f>IF(WEEKDAY(A1673,2)&gt;5,"Weekend","Weekday")</f>
        <v>Weekday</v>
      </c>
      <c r="I1673" t="str">
        <f>_xlfn.IFS(B1673&lt;=5,"Night (0-5)",B1673&lt;=9,"Morning peak (6-9)",B1673&lt;=15,"Midday (10-15)",B1673&lt;=19,"Evening peak (16-19)",TRUE,"Late evening (20-23)")</f>
        <v>Midday (10-15)</v>
      </c>
    </row>
    <row r="1674" spans="1:9">
      <c r="A1674" s="32">
        <v>41799</v>
      </c>
      <c r="B1674">
        <v>16</v>
      </c>
      <c r="C1674">
        <v>1471</v>
      </c>
      <c r="D1674" t="s">
        <v>303</v>
      </c>
      <c r="E1674">
        <f>YEAR(A1674)</f>
        <v>2014</v>
      </c>
      <c r="F1674" s="33">
        <f>DATE(YEAR(A1674),MONTH(A1674),1)</f>
        <v>41791.0</v>
      </c>
      <c r="G1674" t="str">
        <f>CHOOSE(WEEKDAY(A1674,2),"Mon","Tue","Wed","Thu","Fri","Sat","Sun")</f>
        <v>Mon</v>
      </c>
      <c r="H1674" t="str">
        <f>IF(WEEKDAY(A1674,2)&gt;5,"Weekend","Weekday")</f>
        <v>Weekday</v>
      </c>
      <c r="I1674" t="str">
        <f>_xlfn.IFS(B1674&lt;=5,"Night (0-5)",B1674&lt;=9,"Morning peak (6-9)",B1674&lt;=15,"Midday (10-15)",B1674&lt;=19,"Evening peak (16-19)",TRUE,"Late evening (20-23)")</f>
        <v>Evening peak (16-19)</v>
      </c>
    </row>
    <row r="1675" spans="1:9">
      <c r="A1675" s="32">
        <v>41799</v>
      </c>
      <c r="B1675">
        <v>17</v>
      </c>
      <c r="C1675">
        <v>1728</v>
      </c>
      <c r="D1675" t="s">
        <v>303</v>
      </c>
      <c r="E1675">
        <f>YEAR(A1675)</f>
        <v>2014</v>
      </c>
      <c r="F1675" s="33">
        <f>DATE(YEAR(A1675),MONTH(A1675),1)</f>
        <v>41791.0</v>
      </c>
      <c r="G1675" t="str">
        <f>CHOOSE(WEEKDAY(A1675,2),"Mon","Tue","Wed","Thu","Fri","Sat","Sun")</f>
        <v>Mon</v>
      </c>
      <c r="H1675" t="str">
        <f>IF(WEEKDAY(A1675,2)&gt;5,"Weekend","Weekday")</f>
        <v>Weekday</v>
      </c>
      <c r="I1675" t="str">
        <f>_xlfn.IFS(B1675&lt;=5,"Night (0-5)",B1675&lt;=9,"Morning peak (6-9)",B1675&lt;=15,"Midday (10-15)",B1675&lt;=19,"Evening peak (16-19)",TRUE,"Late evening (20-23)")</f>
        <v>Evening peak (16-19)</v>
      </c>
    </row>
    <row r="1676" spans="1:9">
      <c r="A1676" s="32">
        <v>41799</v>
      </c>
      <c r="B1676">
        <v>18</v>
      </c>
      <c r="C1676">
        <v>1382</v>
      </c>
      <c r="D1676" t="s">
        <v>303</v>
      </c>
      <c r="E1676">
        <f>YEAR(A1676)</f>
        <v>2014</v>
      </c>
      <c r="F1676" s="33">
        <f>DATE(YEAR(A1676),MONTH(A1676),1)</f>
        <v>41791.0</v>
      </c>
      <c r="G1676" t="str">
        <f>CHOOSE(WEEKDAY(A1676,2),"Mon","Tue","Wed","Thu","Fri","Sat","Sun")</f>
        <v>Mon</v>
      </c>
      <c r="H1676" t="str">
        <f>IF(WEEKDAY(A1676,2)&gt;5,"Weekend","Weekday")</f>
        <v>Weekday</v>
      </c>
      <c r="I1676" t="str">
        <f>_xlfn.IFS(B1676&lt;=5,"Night (0-5)",B1676&lt;=9,"Morning peak (6-9)",B1676&lt;=15,"Midday (10-15)",B1676&lt;=19,"Evening peak (16-19)",TRUE,"Late evening (20-23)")</f>
        <v>Evening peak (16-19)</v>
      </c>
    </row>
    <row r="1677" spans="1:9">
      <c r="A1677" s="32">
        <v>41799</v>
      </c>
      <c r="B1677">
        <v>19</v>
      </c>
      <c r="C1677">
        <v>1125</v>
      </c>
      <c r="D1677" t="s">
        <v>303</v>
      </c>
      <c r="E1677">
        <f>YEAR(A1677)</f>
        <v>2014</v>
      </c>
      <c r="F1677" s="33">
        <f>DATE(YEAR(A1677),MONTH(A1677),1)</f>
        <v>41791.0</v>
      </c>
      <c r="G1677" t="str">
        <f>CHOOSE(WEEKDAY(A1677,2),"Mon","Tue","Wed","Thu","Fri","Sat","Sun")</f>
        <v>Mon</v>
      </c>
      <c r="H1677" t="str">
        <f>IF(WEEKDAY(A1677,2)&gt;5,"Weekend","Weekday")</f>
        <v>Weekday</v>
      </c>
      <c r="I1677" t="str">
        <f>_xlfn.IFS(B1677&lt;=5,"Night (0-5)",B1677&lt;=9,"Morning peak (6-9)",B1677&lt;=15,"Midday (10-15)",B1677&lt;=19,"Evening peak (16-19)",TRUE,"Late evening (20-23)")</f>
        <v>Evening peak (16-19)</v>
      </c>
    </row>
    <row r="1678" spans="1:9">
      <c r="A1678" s="32">
        <v>41799</v>
      </c>
      <c r="B1678">
        <v>20</v>
      </c>
      <c r="C1678">
        <v>1067</v>
      </c>
      <c r="D1678" t="s">
        <v>303</v>
      </c>
      <c r="E1678">
        <f>YEAR(A1678)</f>
        <v>2014</v>
      </c>
      <c r="F1678" s="33">
        <f>DATE(YEAR(A1678),MONTH(A1678),1)</f>
        <v>41791.0</v>
      </c>
      <c r="G1678" t="str">
        <f>CHOOSE(WEEKDAY(A1678,2),"Mon","Tue","Wed","Thu","Fri","Sat","Sun")</f>
        <v>Mon</v>
      </c>
      <c r="H1678" t="str">
        <f>IF(WEEKDAY(A1678,2)&gt;5,"Weekend","Weekday")</f>
        <v>Weekday</v>
      </c>
      <c r="I1678" t="str">
        <f>_xlfn.IFS(B1678&lt;=5,"Night (0-5)",B1678&lt;=9,"Morning peak (6-9)",B1678&lt;=15,"Midday (10-15)",B1678&lt;=19,"Evening peak (16-19)",TRUE,"Late evening (20-23)")</f>
        <v>Late evening (20-23)</v>
      </c>
    </row>
    <row r="1679" spans="1:9">
      <c r="A1679" s="32">
        <v>41799</v>
      </c>
      <c r="B1679">
        <v>21</v>
      </c>
      <c r="C1679">
        <v>1027</v>
      </c>
      <c r="D1679" t="s">
        <v>303</v>
      </c>
      <c r="E1679">
        <f>YEAR(A1679)</f>
        <v>2014</v>
      </c>
      <c r="F1679" s="33">
        <f>DATE(YEAR(A1679),MONTH(A1679),1)</f>
        <v>41791.0</v>
      </c>
      <c r="G1679" t="str">
        <f>CHOOSE(WEEKDAY(A1679,2),"Mon","Tue","Wed","Thu","Fri","Sat","Sun")</f>
        <v>Mon</v>
      </c>
      <c r="H1679" t="str">
        <f>IF(WEEKDAY(A1679,2)&gt;5,"Weekend","Weekday")</f>
        <v>Weekday</v>
      </c>
      <c r="I1679" t="str">
        <f>_xlfn.IFS(B1679&lt;=5,"Night (0-5)",B1679&lt;=9,"Morning peak (6-9)",B1679&lt;=15,"Midday (10-15)",B1679&lt;=19,"Evening peak (16-19)",TRUE,"Late evening (20-23)")</f>
        <v>Late evening (20-23)</v>
      </c>
    </row>
    <row r="1680" spans="1:9">
      <c r="A1680" s="32">
        <v>41799</v>
      </c>
      <c r="B1680">
        <v>22</v>
      </c>
      <c r="C1680">
        <v>643</v>
      </c>
      <c r="D1680" t="s">
        <v>303</v>
      </c>
      <c r="E1680">
        <f>YEAR(A1680)</f>
        <v>2014</v>
      </c>
      <c r="F1680" s="33">
        <f>DATE(YEAR(A1680),MONTH(A1680),1)</f>
        <v>41791.0</v>
      </c>
      <c r="G1680" t="str">
        <f>CHOOSE(WEEKDAY(A1680,2),"Mon","Tue","Wed","Thu","Fri","Sat","Sun")</f>
        <v>Mon</v>
      </c>
      <c r="H1680" t="str">
        <f>IF(WEEKDAY(A1680,2)&gt;5,"Weekend","Weekday")</f>
        <v>Weekday</v>
      </c>
      <c r="I1680" t="str">
        <f>_xlfn.IFS(B1680&lt;=5,"Night (0-5)",B1680&lt;=9,"Morning peak (6-9)",B1680&lt;=15,"Midday (10-15)",B1680&lt;=19,"Evening peak (16-19)",TRUE,"Late evening (20-23)")</f>
        <v>Late evening (20-23)</v>
      </c>
    </row>
    <row r="1681" spans="1:9">
      <c r="A1681" s="32">
        <v>41799</v>
      </c>
      <c r="B1681">
        <v>23</v>
      </c>
      <c r="C1681">
        <v>403</v>
      </c>
      <c r="D1681" t="s">
        <v>303</v>
      </c>
      <c r="E1681">
        <f>YEAR(A1681)</f>
        <v>2014</v>
      </c>
      <c r="F1681" s="33">
        <f>DATE(YEAR(A1681),MONTH(A1681),1)</f>
        <v>41791.0</v>
      </c>
      <c r="G1681" t="str">
        <f>CHOOSE(WEEKDAY(A1681,2),"Mon","Tue","Wed","Thu","Fri","Sat","Sun")</f>
        <v>Mon</v>
      </c>
      <c r="H1681" t="str">
        <f>IF(WEEKDAY(A1681,2)&gt;5,"Weekend","Weekday")</f>
        <v>Weekday</v>
      </c>
      <c r="I1681" t="str">
        <f>_xlfn.IFS(B1681&lt;=5,"Night (0-5)",B1681&lt;=9,"Morning peak (6-9)",B1681&lt;=15,"Midday (10-15)",B1681&lt;=19,"Evening peak (16-19)",TRUE,"Late evening (20-23)")</f>
        <v>Late evening (20-23)</v>
      </c>
    </row>
    <row r="1682" spans="1:9">
      <c r="A1682" s="32">
        <v>41800</v>
      </c>
      <c r="B1682">
        <v>0</v>
      </c>
      <c r="C1682">
        <v>196</v>
      </c>
      <c r="D1682" t="s">
        <v>303</v>
      </c>
      <c r="E1682">
        <f>YEAR(A1682)</f>
        <v>2014</v>
      </c>
      <c r="F1682" s="33">
        <f>DATE(YEAR(A1682),MONTH(A1682),1)</f>
        <v>41791.0</v>
      </c>
      <c r="G1682" t="str">
        <f>CHOOSE(WEEKDAY(A1682,2),"Mon","Tue","Wed","Thu","Fri","Sat","Sun")</f>
        <v>Tue</v>
      </c>
      <c r="H1682" t="str">
        <f>IF(WEEKDAY(A1682,2)&gt;5,"Weekend","Weekday")</f>
        <v>Weekday</v>
      </c>
      <c r="I1682" t="str">
        <f>_xlfn.IFS(B1682&lt;=5,"Night (0-5)",B1682&lt;=9,"Morning peak (6-9)",B1682&lt;=15,"Midday (10-15)",B1682&lt;=19,"Evening peak (16-19)",TRUE,"Late evening (20-23)")</f>
        <v>Night (0-5)</v>
      </c>
    </row>
    <row r="1683" spans="1:9">
      <c r="A1683" s="32">
        <v>41800</v>
      </c>
      <c r="B1683">
        <v>1</v>
      </c>
      <c r="C1683">
        <v>111</v>
      </c>
      <c r="D1683" t="s">
        <v>303</v>
      </c>
      <c r="E1683">
        <f>YEAR(A1683)</f>
        <v>2014</v>
      </c>
      <c r="F1683" s="33">
        <f>DATE(YEAR(A1683),MONTH(A1683),1)</f>
        <v>41791.0</v>
      </c>
      <c r="G1683" t="str">
        <f>CHOOSE(WEEKDAY(A1683,2),"Mon","Tue","Wed","Thu","Fri","Sat","Sun")</f>
        <v>Tue</v>
      </c>
      <c r="H1683" t="str">
        <f>IF(WEEKDAY(A1683,2)&gt;5,"Weekend","Weekday")</f>
        <v>Weekday</v>
      </c>
      <c r="I1683" t="str">
        <f>_xlfn.IFS(B1683&lt;=5,"Night (0-5)",B1683&lt;=9,"Morning peak (6-9)",B1683&lt;=15,"Midday (10-15)",B1683&lt;=19,"Evening peak (16-19)",TRUE,"Late evening (20-23)")</f>
        <v>Night (0-5)</v>
      </c>
    </row>
    <row r="1684" spans="1:9">
      <c r="A1684" s="32">
        <v>41800</v>
      </c>
      <c r="B1684">
        <v>2</v>
      </c>
      <c r="C1684">
        <v>83</v>
      </c>
      <c r="D1684" t="s">
        <v>303</v>
      </c>
      <c r="E1684">
        <f>YEAR(A1684)</f>
        <v>2014</v>
      </c>
      <c r="F1684" s="33">
        <f>DATE(YEAR(A1684),MONTH(A1684),1)</f>
        <v>41791.0</v>
      </c>
      <c r="G1684" t="str">
        <f>CHOOSE(WEEKDAY(A1684,2),"Mon","Tue","Wed","Thu","Fri","Sat","Sun")</f>
        <v>Tue</v>
      </c>
      <c r="H1684" t="str">
        <f>IF(WEEKDAY(A1684,2)&gt;5,"Weekend","Weekday")</f>
        <v>Weekday</v>
      </c>
      <c r="I1684" t="str">
        <f>_xlfn.IFS(B1684&lt;=5,"Night (0-5)",B1684&lt;=9,"Morning peak (6-9)",B1684&lt;=15,"Midday (10-15)",B1684&lt;=19,"Evening peak (16-19)",TRUE,"Late evening (20-23)")</f>
        <v>Night (0-5)</v>
      </c>
    </row>
    <row r="1685" spans="1:9">
      <c r="A1685" s="32">
        <v>41800</v>
      </c>
      <c r="B1685">
        <v>3</v>
      </c>
      <c r="C1685">
        <v>119</v>
      </c>
      <c r="D1685" t="s">
        <v>303</v>
      </c>
      <c r="E1685">
        <f>YEAR(A1685)</f>
        <v>2014</v>
      </c>
      <c r="F1685" s="33">
        <f>DATE(YEAR(A1685),MONTH(A1685),1)</f>
        <v>41791.0</v>
      </c>
      <c r="G1685" t="str">
        <f>CHOOSE(WEEKDAY(A1685,2),"Mon","Tue","Wed","Thu","Fri","Sat","Sun")</f>
        <v>Tue</v>
      </c>
      <c r="H1685" t="str">
        <f>IF(WEEKDAY(A1685,2)&gt;5,"Weekend","Weekday")</f>
        <v>Weekday</v>
      </c>
      <c r="I1685" t="str">
        <f>_xlfn.IFS(B1685&lt;=5,"Night (0-5)",B1685&lt;=9,"Morning peak (6-9)",B1685&lt;=15,"Midday (10-15)",B1685&lt;=19,"Evening peak (16-19)",TRUE,"Late evening (20-23)")</f>
        <v>Night (0-5)</v>
      </c>
    </row>
    <row r="1686" spans="1:9">
      <c r="A1686" s="32">
        <v>41800</v>
      </c>
      <c r="B1686">
        <v>4</v>
      </c>
      <c r="C1686">
        <v>247</v>
      </c>
      <c r="D1686" t="s">
        <v>303</v>
      </c>
      <c r="E1686">
        <f>YEAR(A1686)</f>
        <v>2014</v>
      </c>
      <c r="F1686" s="33">
        <f>DATE(YEAR(A1686),MONTH(A1686),1)</f>
        <v>41791.0</v>
      </c>
      <c r="G1686" t="str">
        <f>CHOOSE(WEEKDAY(A1686,2),"Mon","Tue","Wed","Thu","Fri","Sat","Sun")</f>
        <v>Tue</v>
      </c>
      <c r="H1686" t="str">
        <f>IF(WEEKDAY(A1686,2)&gt;5,"Weekend","Weekday")</f>
        <v>Weekday</v>
      </c>
      <c r="I1686" t="str">
        <f>_xlfn.IFS(B1686&lt;=5,"Night (0-5)",B1686&lt;=9,"Morning peak (6-9)",B1686&lt;=15,"Midday (10-15)",B1686&lt;=19,"Evening peak (16-19)",TRUE,"Late evening (20-23)")</f>
        <v>Night (0-5)</v>
      </c>
    </row>
    <row r="1687" spans="1:9">
      <c r="A1687" s="32">
        <v>41800</v>
      </c>
      <c r="B1687">
        <v>5</v>
      </c>
      <c r="C1687">
        <v>460</v>
      </c>
      <c r="D1687" t="s">
        <v>303</v>
      </c>
      <c r="E1687">
        <f>YEAR(A1687)</f>
        <v>2014</v>
      </c>
      <c r="F1687" s="33">
        <f>DATE(YEAR(A1687),MONTH(A1687),1)</f>
        <v>41791.0</v>
      </c>
      <c r="G1687" t="str">
        <f>CHOOSE(WEEKDAY(A1687,2),"Mon","Tue","Wed","Thu","Fri","Sat","Sun")</f>
        <v>Tue</v>
      </c>
      <c r="H1687" t="str">
        <f>IF(WEEKDAY(A1687,2)&gt;5,"Weekend","Weekday")</f>
        <v>Weekday</v>
      </c>
      <c r="I1687" t="str">
        <f>_xlfn.IFS(B1687&lt;=5,"Night (0-5)",B1687&lt;=9,"Morning peak (6-9)",B1687&lt;=15,"Midday (10-15)",B1687&lt;=19,"Evening peak (16-19)",TRUE,"Late evening (20-23)")</f>
        <v>Night (0-5)</v>
      </c>
    </row>
    <row r="1688" spans="1:9">
      <c r="A1688" s="32">
        <v>41800</v>
      </c>
      <c r="B1688">
        <v>6</v>
      </c>
      <c r="C1688">
        <v>999</v>
      </c>
      <c r="D1688" t="s">
        <v>303</v>
      </c>
      <c r="E1688">
        <f>YEAR(A1688)</f>
        <v>2014</v>
      </c>
      <c r="F1688" s="33">
        <f>DATE(YEAR(A1688),MONTH(A1688),1)</f>
        <v>41791.0</v>
      </c>
      <c r="G1688" t="str">
        <f>CHOOSE(WEEKDAY(A1688,2),"Mon","Tue","Wed","Thu","Fri","Sat","Sun")</f>
        <v>Tue</v>
      </c>
      <c r="H1688" t="str">
        <f>IF(WEEKDAY(A1688,2)&gt;5,"Weekend","Weekday")</f>
        <v>Weekday</v>
      </c>
      <c r="I1688" t="str">
        <f>_xlfn.IFS(B1688&lt;=5,"Night (0-5)",B1688&lt;=9,"Morning peak (6-9)",B1688&lt;=15,"Midday (10-15)",B1688&lt;=19,"Evening peak (16-19)",TRUE,"Late evening (20-23)")</f>
        <v>Morning peak (6-9)</v>
      </c>
    </row>
    <row r="1689" spans="1:9">
      <c r="A1689" s="32">
        <v>41800</v>
      </c>
      <c r="B1689">
        <v>7</v>
      </c>
      <c r="C1689">
        <v>1427</v>
      </c>
      <c r="D1689" t="s">
        <v>303</v>
      </c>
      <c r="E1689">
        <f>YEAR(A1689)</f>
        <v>2014</v>
      </c>
      <c r="F1689" s="33">
        <f>DATE(YEAR(A1689),MONTH(A1689),1)</f>
        <v>41791.0</v>
      </c>
      <c r="G1689" t="str">
        <f>CHOOSE(WEEKDAY(A1689,2),"Mon","Tue","Wed","Thu","Fri","Sat","Sun")</f>
        <v>Tue</v>
      </c>
      <c r="H1689" t="str">
        <f>IF(WEEKDAY(A1689,2)&gt;5,"Weekend","Weekday")</f>
        <v>Weekday</v>
      </c>
      <c r="I1689" t="str">
        <f>_xlfn.IFS(B1689&lt;=5,"Night (0-5)",B1689&lt;=9,"Morning peak (6-9)",B1689&lt;=15,"Midday (10-15)",B1689&lt;=19,"Evening peak (16-19)",TRUE,"Late evening (20-23)")</f>
        <v>Morning peak (6-9)</v>
      </c>
    </row>
    <row r="1690" spans="1:9">
      <c r="A1690" s="32">
        <v>41800</v>
      </c>
      <c r="B1690">
        <v>8</v>
      </c>
      <c r="C1690">
        <v>1246</v>
      </c>
      <c r="D1690" t="s">
        <v>303</v>
      </c>
      <c r="E1690">
        <f>YEAR(A1690)</f>
        <v>2014</v>
      </c>
      <c r="F1690" s="33">
        <f>DATE(YEAR(A1690),MONTH(A1690),1)</f>
        <v>41791.0</v>
      </c>
      <c r="G1690" t="str">
        <f>CHOOSE(WEEKDAY(A1690,2),"Mon","Tue","Wed","Thu","Fri","Sat","Sun")</f>
        <v>Tue</v>
      </c>
      <c r="H1690" t="str">
        <f>IF(WEEKDAY(A1690,2)&gt;5,"Weekend","Weekday")</f>
        <v>Weekday</v>
      </c>
      <c r="I1690" t="str">
        <f>_xlfn.IFS(B1690&lt;=5,"Night (0-5)",B1690&lt;=9,"Morning peak (6-9)",B1690&lt;=15,"Midday (10-15)",B1690&lt;=19,"Evening peak (16-19)",TRUE,"Late evening (20-23)")</f>
        <v>Morning peak (6-9)</v>
      </c>
    </row>
    <row r="1691" spans="1:9">
      <c r="A1691" s="32">
        <v>41800</v>
      </c>
      <c r="B1691">
        <v>9</v>
      </c>
      <c r="C1691">
        <v>798</v>
      </c>
      <c r="D1691" t="s">
        <v>303</v>
      </c>
      <c r="E1691">
        <f>YEAR(A1691)</f>
        <v>2014</v>
      </c>
      <c r="F1691" s="33">
        <f>DATE(YEAR(A1691),MONTH(A1691),1)</f>
        <v>41791.0</v>
      </c>
      <c r="G1691" t="str">
        <f>CHOOSE(WEEKDAY(A1691,2),"Mon","Tue","Wed","Thu","Fri","Sat","Sun")</f>
        <v>Tue</v>
      </c>
      <c r="H1691" t="str">
        <f>IF(WEEKDAY(A1691,2)&gt;5,"Weekend","Weekday")</f>
        <v>Weekday</v>
      </c>
      <c r="I1691" t="str">
        <f>_xlfn.IFS(B1691&lt;=5,"Night (0-5)",B1691&lt;=9,"Morning peak (6-9)",B1691&lt;=15,"Midday (10-15)",B1691&lt;=19,"Evening peak (16-19)",TRUE,"Late evening (20-23)")</f>
        <v>Morning peak (6-9)</v>
      </c>
    </row>
    <row r="1692" spans="1:9">
      <c r="A1692" s="32">
        <v>41800</v>
      </c>
      <c r="B1692">
        <v>10</v>
      </c>
      <c r="C1692">
        <v>756</v>
      </c>
      <c r="D1692" t="s">
        <v>303</v>
      </c>
      <c r="E1692">
        <f>YEAR(A1692)</f>
        <v>2014</v>
      </c>
      <c r="F1692" s="33">
        <f>DATE(YEAR(A1692),MONTH(A1692),1)</f>
        <v>41791.0</v>
      </c>
      <c r="G1692" t="str">
        <f>CHOOSE(WEEKDAY(A1692,2),"Mon","Tue","Wed","Thu","Fri","Sat","Sun")</f>
        <v>Tue</v>
      </c>
      <c r="H1692" t="str">
        <f>IF(WEEKDAY(A1692,2)&gt;5,"Weekend","Weekday")</f>
        <v>Weekday</v>
      </c>
      <c r="I1692" t="str">
        <f>_xlfn.IFS(B1692&lt;=5,"Night (0-5)",B1692&lt;=9,"Morning peak (6-9)",B1692&lt;=15,"Midday (10-15)",B1692&lt;=19,"Evening peak (16-19)",TRUE,"Late evening (20-23)")</f>
        <v>Midday (10-15)</v>
      </c>
    </row>
    <row r="1693" spans="1:9">
      <c r="A1693" s="32">
        <v>41800</v>
      </c>
      <c r="B1693">
        <v>11</v>
      </c>
      <c r="C1693">
        <v>848</v>
      </c>
      <c r="D1693" t="s">
        <v>303</v>
      </c>
      <c r="E1693">
        <f>YEAR(A1693)</f>
        <v>2014</v>
      </c>
      <c r="F1693" s="33">
        <f>DATE(YEAR(A1693),MONTH(A1693),1)</f>
        <v>41791.0</v>
      </c>
      <c r="G1693" t="str">
        <f>CHOOSE(WEEKDAY(A1693,2),"Mon","Tue","Wed","Thu","Fri","Sat","Sun")</f>
        <v>Tue</v>
      </c>
      <c r="H1693" t="str">
        <f>IF(WEEKDAY(A1693,2)&gt;5,"Weekend","Weekday")</f>
        <v>Weekday</v>
      </c>
      <c r="I1693" t="str">
        <f>_xlfn.IFS(B1693&lt;=5,"Night (0-5)",B1693&lt;=9,"Morning peak (6-9)",B1693&lt;=15,"Midday (10-15)",B1693&lt;=19,"Evening peak (16-19)",TRUE,"Late evening (20-23)")</f>
        <v>Midday (10-15)</v>
      </c>
    </row>
    <row r="1694" spans="1:9">
      <c r="A1694" s="32">
        <v>41800</v>
      </c>
      <c r="B1694">
        <v>12</v>
      </c>
      <c r="C1694">
        <v>801</v>
      </c>
      <c r="D1694" t="s">
        <v>303</v>
      </c>
      <c r="E1694">
        <f>YEAR(A1694)</f>
        <v>2014</v>
      </c>
      <c r="F1694" s="33">
        <f>DATE(YEAR(A1694),MONTH(A1694),1)</f>
        <v>41791.0</v>
      </c>
      <c r="G1694" t="str">
        <f>CHOOSE(WEEKDAY(A1694,2),"Mon","Tue","Wed","Thu","Fri","Sat","Sun")</f>
        <v>Tue</v>
      </c>
      <c r="H1694" t="str">
        <f>IF(WEEKDAY(A1694,2)&gt;5,"Weekend","Weekday")</f>
        <v>Weekday</v>
      </c>
      <c r="I1694" t="str">
        <f>_xlfn.IFS(B1694&lt;=5,"Night (0-5)",B1694&lt;=9,"Morning peak (6-9)",B1694&lt;=15,"Midday (10-15)",B1694&lt;=19,"Evening peak (16-19)",TRUE,"Late evening (20-23)")</f>
        <v>Midday (10-15)</v>
      </c>
    </row>
    <row r="1695" spans="1:9">
      <c r="A1695" s="32">
        <v>41800</v>
      </c>
      <c r="B1695">
        <v>13</v>
      </c>
      <c r="C1695">
        <v>933</v>
      </c>
      <c r="D1695" t="s">
        <v>303</v>
      </c>
      <c r="E1695">
        <f>YEAR(A1695)</f>
        <v>2014</v>
      </c>
      <c r="F1695" s="33">
        <f>DATE(YEAR(A1695),MONTH(A1695),1)</f>
        <v>41791.0</v>
      </c>
      <c r="G1695" t="str">
        <f>CHOOSE(WEEKDAY(A1695,2),"Mon","Tue","Wed","Thu","Fri","Sat","Sun")</f>
        <v>Tue</v>
      </c>
      <c r="H1695" t="str">
        <f>IF(WEEKDAY(A1695,2)&gt;5,"Weekend","Weekday")</f>
        <v>Weekday</v>
      </c>
      <c r="I1695" t="str">
        <f>_xlfn.IFS(B1695&lt;=5,"Night (0-5)",B1695&lt;=9,"Morning peak (6-9)",B1695&lt;=15,"Midday (10-15)",B1695&lt;=19,"Evening peak (16-19)",TRUE,"Late evening (20-23)")</f>
        <v>Midday (10-15)</v>
      </c>
    </row>
    <row r="1696" spans="1:9">
      <c r="A1696" s="32">
        <v>41800</v>
      </c>
      <c r="B1696">
        <v>14</v>
      </c>
      <c r="C1696">
        <v>1217</v>
      </c>
      <c r="D1696" t="s">
        <v>303</v>
      </c>
      <c r="E1696">
        <f>YEAR(A1696)</f>
        <v>2014</v>
      </c>
      <c r="F1696" s="33">
        <f>DATE(YEAR(A1696),MONTH(A1696),1)</f>
        <v>41791.0</v>
      </c>
      <c r="G1696" t="str">
        <f>CHOOSE(WEEKDAY(A1696,2),"Mon","Tue","Wed","Thu","Fri","Sat","Sun")</f>
        <v>Tue</v>
      </c>
      <c r="H1696" t="str">
        <f>IF(WEEKDAY(A1696,2)&gt;5,"Weekend","Weekday")</f>
        <v>Weekday</v>
      </c>
      <c r="I1696" t="str">
        <f>_xlfn.IFS(B1696&lt;=5,"Night (0-5)",B1696&lt;=9,"Morning peak (6-9)",B1696&lt;=15,"Midday (10-15)",B1696&lt;=19,"Evening peak (16-19)",TRUE,"Late evening (20-23)")</f>
        <v>Midday (10-15)</v>
      </c>
    </row>
    <row r="1697" spans="1:9">
      <c r="A1697" s="32">
        <v>41800</v>
      </c>
      <c r="B1697">
        <v>15</v>
      </c>
      <c r="C1697">
        <v>1545</v>
      </c>
      <c r="D1697" t="s">
        <v>303</v>
      </c>
      <c r="E1697">
        <f>YEAR(A1697)</f>
        <v>2014</v>
      </c>
      <c r="F1697" s="33">
        <f>DATE(YEAR(A1697),MONTH(A1697),1)</f>
        <v>41791.0</v>
      </c>
      <c r="G1697" t="str">
        <f>CHOOSE(WEEKDAY(A1697,2),"Mon","Tue","Wed","Thu","Fri","Sat","Sun")</f>
        <v>Tue</v>
      </c>
      <c r="H1697" t="str">
        <f>IF(WEEKDAY(A1697,2)&gt;5,"Weekend","Weekday")</f>
        <v>Weekday</v>
      </c>
      <c r="I1697" t="str">
        <f>_xlfn.IFS(B1697&lt;=5,"Night (0-5)",B1697&lt;=9,"Morning peak (6-9)",B1697&lt;=15,"Midday (10-15)",B1697&lt;=19,"Evening peak (16-19)",TRUE,"Late evening (20-23)")</f>
        <v>Midday (10-15)</v>
      </c>
    </row>
    <row r="1698" spans="1:9">
      <c r="A1698" s="32">
        <v>41800</v>
      </c>
      <c r="B1698">
        <v>16</v>
      </c>
      <c r="C1698">
        <v>1836</v>
      </c>
      <c r="D1698" t="s">
        <v>303</v>
      </c>
      <c r="E1698">
        <f>YEAR(A1698)</f>
        <v>2014</v>
      </c>
      <c r="F1698" s="33">
        <f>DATE(YEAR(A1698),MONTH(A1698),1)</f>
        <v>41791.0</v>
      </c>
      <c r="G1698" t="str">
        <f>CHOOSE(WEEKDAY(A1698,2),"Mon","Tue","Wed","Thu","Fri","Sat","Sun")</f>
        <v>Tue</v>
      </c>
      <c r="H1698" t="str">
        <f>IF(WEEKDAY(A1698,2)&gt;5,"Weekend","Weekday")</f>
        <v>Weekday</v>
      </c>
      <c r="I1698" t="str">
        <f>_xlfn.IFS(B1698&lt;=5,"Night (0-5)",B1698&lt;=9,"Morning peak (6-9)",B1698&lt;=15,"Midday (10-15)",B1698&lt;=19,"Evening peak (16-19)",TRUE,"Late evening (20-23)")</f>
        <v>Evening peak (16-19)</v>
      </c>
    </row>
    <row r="1699" spans="1:9">
      <c r="A1699" s="32">
        <v>41800</v>
      </c>
      <c r="B1699">
        <v>17</v>
      </c>
      <c r="C1699">
        <v>2008</v>
      </c>
      <c r="D1699" t="s">
        <v>303</v>
      </c>
      <c r="E1699">
        <f>YEAR(A1699)</f>
        <v>2014</v>
      </c>
      <c r="F1699" s="33">
        <f>DATE(YEAR(A1699),MONTH(A1699),1)</f>
        <v>41791.0</v>
      </c>
      <c r="G1699" t="str">
        <f>CHOOSE(WEEKDAY(A1699,2),"Mon","Tue","Wed","Thu","Fri","Sat","Sun")</f>
        <v>Tue</v>
      </c>
      <c r="H1699" t="str">
        <f>IF(WEEKDAY(A1699,2)&gt;5,"Weekend","Weekday")</f>
        <v>Weekday</v>
      </c>
      <c r="I1699" t="str">
        <f>_xlfn.IFS(B1699&lt;=5,"Night (0-5)",B1699&lt;=9,"Morning peak (6-9)",B1699&lt;=15,"Midday (10-15)",B1699&lt;=19,"Evening peak (16-19)",TRUE,"Late evening (20-23)")</f>
        <v>Evening peak (16-19)</v>
      </c>
    </row>
    <row r="1700" spans="1:9">
      <c r="A1700" s="32">
        <v>41800</v>
      </c>
      <c r="B1700">
        <v>18</v>
      </c>
      <c r="C1700">
        <v>1535</v>
      </c>
      <c r="D1700" t="s">
        <v>303</v>
      </c>
      <c r="E1700">
        <f>YEAR(A1700)</f>
        <v>2014</v>
      </c>
      <c r="F1700" s="33">
        <f>DATE(YEAR(A1700),MONTH(A1700),1)</f>
        <v>41791.0</v>
      </c>
      <c r="G1700" t="str">
        <f>CHOOSE(WEEKDAY(A1700,2),"Mon","Tue","Wed","Thu","Fri","Sat","Sun")</f>
        <v>Tue</v>
      </c>
      <c r="H1700" t="str">
        <f>IF(WEEKDAY(A1700,2)&gt;5,"Weekend","Weekday")</f>
        <v>Weekday</v>
      </c>
      <c r="I1700" t="str">
        <f>_xlfn.IFS(B1700&lt;=5,"Night (0-5)",B1700&lt;=9,"Morning peak (6-9)",B1700&lt;=15,"Midday (10-15)",B1700&lt;=19,"Evening peak (16-19)",TRUE,"Late evening (20-23)")</f>
        <v>Evening peak (16-19)</v>
      </c>
    </row>
    <row r="1701" spans="1:9">
      <c r="A1701" s="32">
        <v>41800</v>
      </c>
      <c r="B1701">
        <v>19</v>
      </c>
      <c r="C1701">
        <v>1293</v>
      </c>
      <c r="D1701" t="s">
        <v>303</v>
      </c>
      <c r="E1701">
        <f>YEAR(A1701)</f>
        <v>2014</v>
      </c>
      <c r="F1701" s="33">
        <f>DATE(YEAR(A1701),MONTH(A1701),1)</f>
        <v>41791.0</v>
      </c>
      <c r="G1701" t="str">
        <f>CHOOSE(WEEKDAY(A1701,2),"Mon","Tue","Wed","Thu","Fri","Sat","Sun")</f>
        <v>Tue</v>
      </c>
      <c r="H1701" t="str">
        <f>IF(WEEKDAY(A1701,2)&gt;5,"Weekend","Weekday")</f>
        <v>Weekday</v>
      </c>
      <c r="I1701" t="str">
        <f>_xlfn.IFS(B1701&lt;=5,"Night (0-5)",B1701&lt;=9,"Morning peak (6-9)",B1701&lt;=15,"Midday (10-15)",B1701&lt;=19,"Evening peak (16-19)",TRUE,"Late evening (20-23)")</f>
        <v>Evening peak (16-19)</v>
      </c>
    </row>
    <row r="1702" spans="1:9">
      <c r="A1702" s="32">
        <v>41800</v>
      </c>
      <c r="B1702">
        <v>20</v>
      </c>
      <c r="C1702">
        <v>1510</v>
      </c>
      <c r="D1702" t="s">
        <v>303</v>
      </c>
      <c r="E1702">
        <f>YEAR(A1702)</f>
        <v>2014</v>
      </c>
      <c r="F1702" s="33">
        <f>DATE(YEAR(A1702),MONTH(A1702),1)</f>
        <v>41791.0</v>
      </c>
      <c r="G1702" t="str">
        <f>CHOOSE(WEEKDAY(A1702,2),"Mon","Tue","Wed","Thu","Fri","Sat","Sun")</f>
        <v>Tue</v>
      </c>
      <c r="H1702" t="str">
        <f>IF(WEEKDAY(A1702,2)&gt;5,"Weekend","Weekday")</f>
        <v>Weekday</v>
      </c>
      <c r="I1702" t="str">
        <f>_xlfn.IFS(B1702&lt;=5,"Night (0-5)",B1702&lt;=9,"Morning peak (6-9)",B1702&lt;=15,"Midday (10-15)",B1702&lt;=19,"Evening peak (16-19)",TRUE,"Late evening (20-23)")</f>
        <v>Late evening (20-23)</v>
      </c>
    </row>
    <row r="1703" spans="1:9">
      <c r="A1703" s="32">
        <v>41800</v>
      </c>
      <c r="B1703">
        <v>21</v>
      </c>
      <c r="C1703">
        <v>1458</v>
      </c>
      <c r="D1703" t="s">
        <v>303</v>
      </c>
      <c r="E1703">
        <f>YEAR(A1703)</f>
        <v>2014</v>
      </c>
      <c r="F1703" s="33">
        <f>DATE(YEAR(A1703),MONTH(A1703),1)</f>
        <v>41791.0</v>
      </c>
      <c r="G1703" t="str">
        <f>CHOOSE(WEEKDAY(A1703,2),"Mon","Tue","Wed","Thu","Fri","Sat","Sun")</f>
        <v>Tue</v>
      </c>
      <c r="H1703" t="str">
        <f>IF(WEEKDAY(A1703,2)&gt;5,"Weekend","Weekday")</f>
        <v>Weekday</v>
      </c>
      <c r="I1703" t="str">
        <f>_xlfn.IFS(B1703&lt;=5,"Night (0-5)",B1703&lt;=9,"Morning peak (6-9)",B1703&lt;=15,"Midday (10-15)",B1703&lt;=19,"Evening peak (16-19)",TRUE,"Late evening (20-23)")</f>
        <v>Late evening (20-23)</v>
      </c>
    </row>
    <row r="1704" spans="1:9">
      <c r="A1704" s="32">
        <v>41800</v>
      </c>
      <c r="B1704">
        <v>22</v>
      </c>
      <c r="C1704">
        <v>916</v>
      </c>
      <c r="D1704" t="s">
        <v>303</v>
      </c>
      <c r="E1704">
        <f>YEAR(A1704)</f>
        <v>2014</v>
      </c>
      <c r="F1704" s="33">
        <f>DATE(YEAR(A1704),MONTH(A1704),1)</f>
        <v>41791.0</v>
      </c>
      <c r="G1704" t="str">
        <f>CHOOSE(WEEKDAY(A1704,2),"Mon","Tue","Wed","Thu","Fri","Sat","Sun")</f>
        <v>Tue</v>
      </c>
      <c r="H1704" t="str">
        <f>IF(WEEKDAY(A1704,2)&gt;5,"Weekend","Weekday")</f>
        <v>Weekday</v>
      </c>
      <c r="I1704" t="str">
        <f>_xlfn.IFS(B1704&lt;=5,"Night (0-5)",B1704&lt;=9,"Morning peak (6-9)",B1704&lt;=15,"Midday (10-15)",B1704&lt;=19,"Evening peak (16-19)",TRUE,"Late evening (20-23)")</f>
        <v>Late evening (20-23)</v>
      </c>
    </row>
    <row r="1705" spans="1:9">
      <c r="A1705" s="32">
        <v>41800</v>
      </c>
      <c r="B1705">
        <v>23</v>
      </c>
      <c r="C1705">
        <v>532</v>
      </c>
      <c r="D1705" t="s">
        <v>303</v>
      </c>
      <c r="E1705">
        <f>YEAR(A1705)</f>
        <v>2014</v>
      </c>
      <c r="F1705" s="33">
        <f>DATE(YEAR(A1705),MONTH(A1705),1)</f>
        <v>41791.0</v>
      </c>
      <c r="G1705" t="str">
        <f>CHOOSE(WEEKDAY(A1705,2),"Mon","Tue","Wed","Thu","Fri","Sat","Sun")</f>
        <v>Tue</v>
      </c>
      <c r="H1705" t="str">
        <f>IF(WEEKDAY(A1705,2)&gt;5,"Weekend","Weekday")</f>
        <v>Weekday</v>
      </c>
      <c r="I1705" t="str">
        <f>_xlfn.IFS(B1705&lt;=5,"Night (0-5)",B1705&lt;=9,"Morning peak (6-9)",B1705&lt;=15,"Midday (10-15)",B1705&lt;=19,"Evening peak (16-19)",TRUE,"Late evening (20-23)")</f>
        <v>Late evening (20-23)</v>
      </c>
    </row>
    <row r="1706" spans="1:9">
      <c r="A1706" s="32">
        <v>41801</v>
      </c>
      <c r="B1706">
        <v>0</v>
      </c>
      <c r="C1706">
        <v>258</v>
      </c>
      <c r="D1706" t="s">
        <v>303</v>
      </c>
      <c r="E1706">
        <f>YEAR(A1706)</f>
        <v>2014</v>
      </c>
      <c r="F1706" s="33">
        <f>DATE(YEAR(A1706),MONTH(A1706),1)</f>
        <v>41791.0</v>
      </c>
      <c r="G1706" t="str">
        <f>CHOOSE(WEEKDAY(A1706,2),"Mon","Tue","Wed","Thu","Fri","Sat","Sun")</f>
        <v>Wed</v>
      </c>
      <c r="H1706" t="str">
        <f>IF(WEEKDAY(A1706,2)&gt;5,"Weekend","Weekday")</f>
        <v>Weekday</v>
      </c>
      <c r="I1706" t="str">
        <f>_xlfn.IFS(B1706&lt;=5,"Night (0-5)",B1706&lt;=9,"Morning peak (6-9)",B1706&lt;=15,"Midday (10-15)",B1706&lt;=19,"Evening peak (16-19)",TRUE,"Late evening (20-23)")</f>
        <v>Night (0-5)</v>
      </c>
    </row>
    <row r="1707" spans="1:9">
      <c r="A1707" s="32">
        <v>41801</v>
      </c>
      <c r="B1707">
        <v>1</v>
      </c>
      <c r="C1707">
        <v>146</v>
      </c>
      <c r="D1707" t="s">
        <v>303</v>
      </c>
      <c r="E1707">
        <f>YEAR(A1707)</f>
        <v>2014</v>
      </c>
      <c r="F1707" s="33">
        <f>DATE(YEAR(A1707),MONTH(A1707),1)</f>
        <v>41791.0</v>
      </c>
      <c r="G1707" t="str">
        <f>CHOOSE(WEEKDAY(A1707,2),"Mon","Tue","Wed","Thu","Fri","Sat","Sun")</f>
        <v>Wed</v>
      </c>
      <c r="H1707" t="str">
        <f>IF(WEEKDAY(A1707,2)&gt;5,"Weekend","Weekday")</f>
        <v>Weekday</v>
      </c>
      <c r="I1707" t="str">
        <f>_xlfn.IFS(B1707&lt;=5,"Night (0-5)",B1707&lt;=9,"Morning peak (6-9)",B1707&lt;=15,"Midday (10-15)",B1707&lt;=19,"Evening peak (16-19)",TRUE,"Late evening (20-23)")</f>
        <v>Night (0-5)</v>
      </c>
    </row>
    <row r="1708" spans="1:9">
      <c r="A1708" s="32">
        <v>41801</v>
      </c>
      <c r="B1708">
        <v>2</v>
      </c>
      <c r="C1708">
        <v>101</v>
      </c>
      <c r="D1708" t="s">
        <v>303</v>
      </c>
      <c r="E1708">
        <f>YEAR(A1708)</f>
        <v>2014</v>
      </c>
      <c r="F1708" s="33">
        <f>DATE(YEAR(A1708),MONTH(A1708),1)</f>
        <v>41791.0</v>
      </c>
      <c r="G1708" t="str">
        <f>CHOOSE(WEEKDAY(A1708,2),"Mon","Tue","Wed","Thu","Fri","Sat","Sun")</f>
        <v>Wed</v>
      </c>
      <c r="H1708" t="str">
        <f>IF(WEEKDAY(A1708,2)&gt;5,"Weekend","Weekday")</f>
        <v>Weekday</v>
      </c>
      <c r="I1708" t="str">
        <f>_xlfn.IFS(B1708&lt;=5,"Night (0-5)",B1708&lt;=9,"Morning peak (6-9)",B1708&lt;=15,"Midday (10-15)",B1708&lt;=19,"Evening peak (16-19)",TRUE,"Late evening (20-23)")</f>
        <v>Night (0-5)</v>
      </c>
    </row>
    <row r="1709" spans="1:9">
      <c r="A1709" s="32">
        <v>41801</v>
      </c>
      <c r="B1709">
        <v>3</v>
      </c>
      <c r="C1709">
        <v>153</v>
      </c>
      <c r="D1709" t="s">
        <v>303</v>
      </c>
      <c r="E1709">
        <f>YEAR(A1709)</f>
        <v>2014</v>
      </c>
      <c r="F1709" s="33">
        <f>DATE(YEAR(A1709),MONTH(A1709),1)</f>
        <v>41791.0</v>
      </c>
      <c r="G1709" t="str">
        <f>CHOOSE(WEEKDAY(A1709,2),"Mon","Tue","Wed","Thu","Fri","Sat","Sun")</f>
        <v>Wed</v>
      </c>
      <c r="H1709" t="str">
        <f>IF(WEEKDAY(A1709,2)&gt;5,"Weekend","Weekday")</f>
        <v>Weekday</v>
      </c>
      <c r="I1709" t="str">
        <f>_xlfn.IFS(B1709&lt;=5,"Night (0-5)",B1709&lt;=9,"Morning peak (6-9)",B1709&lt;=15,"Midday (10-15)",B1709&lt;=19,"Evening peak (16-19)",TRUE,"Late evening (20-23)")</f>
        <v>Night (0-5)</v>
      </c>
    </row>
    <row r="1710" spans="1:9">
      <c r="A1710" s="32">
        <v>41801</v>
      </c>
      <c r="B1710">
        <v>4</v>
      </c>
      <c r="C1710">
        <v>240</v>
      </c>
      <c r="D1710" t="s">
        <v>303</v>
      </c>
      <c r="E1710">
        <f>YEAR(A1710)</f>
        <v>2014</v>
      </c>
      <c r="F1710" s="33">
        <f>DATE(YEAR(A1710),MONTH(A1710),1)</f>
        <v>41791.0</v>
      </c>
      <c r="G1710" t="str">
        <f>CHOOSE(WEEKDAY(A1710,2),"Mon","Tue","Wed","Thu","Fri","Sat","Sun")</f>
        <v>Wed</v>
      </c>
      <c r="H1710" t="str">
        <f>IF(WEEKDAY(A1710,2)&gt;5,"Weekend","Weekday")</f>
        <v>Weekday</v>
      </c>
      <c r="I1710" t="str">
        <f>_xlfn.IFS(B1710&lt;=5,"Night (0-5)",B1710&lt;=9,"Morning peak (6-9)",B1710&lt;=15,"Midday (10-15)",B1710&lt;=19,"Evening peak (16-19)",TRUE,"Late evening (20-23)")</f>
        <v>Night (0-5)</v>
      </c>
    </row>
    <row r="1711" spans="1:9">
      <c r="A1711" s="32">
        <v>41801</v>
      </c>
      <c r="B1711">
        <v>5</v>
      </c>
      <c r="C1711">
        <v>497</v>
      </c>
      <c r="D1711" t="s">
        <v>303</v>
      </c>
      <c r="E1711">
        <f>YEAR(A1711)</f>
        <v>2014</v>
      </c>
      <c r="F1711" s="33">
        <f>DATE(YEAR(A1711),MONTH(A1711),1)</f>
        <v>41791.0</v>
      </c>
      <c r="G1711" t="str">
        <f>CHOOSE(WEEKDAY(A1711,2),"Mon","Tue","Wed","Thu","Fri","Sat","Sun")</f>
        <v>Wed</v>
      </c>
      <c r="H1711" t="str">
        <f>IF(WEEKDAY(A1711,2)&gt;5,"Weekend","Weekday")</f>
        <v>Weekday</v>
      </c>
      <c r="I1711" t="str">
        <f>_xlfn.IFS(B1711&lt;=5,"Night (0-5)",B1711&lt;=9,"Morning peak (6-9)",B1711&lt;=15,"Midday (10-15)",B1711&lt;=19,"Evening peak (16-19)",TRUE,"Late evening (20-23)")</f>
        <v>Night (0-5)</v>
      </c>
    </row>
    <row r="1712" spans="1:9">
      <c r="A1712" s="32">
        <v>41801</v>
      </c>
      <c r="B1712">
        <v>6</v>
      </c>
      <c r="C1712">
        <v>1149</v>
      </c>
      <c r="D1712" t="s">
        <v>303</v>
      </c>
      <c r="E1712">
        <f>YEAR(A1712)</f>
        <v>2014</v>
      </c>
      <c r="F1712" s="33">
        <f>DATE(YEAR(A1712),MONTH(A1712),1)</f>
        <v>41791.0</v>
      </c>
      <c r="G1712" t="str">
        <f>CHOOSE(WEEKDAY(A1712,2),"Mon","Tue","Wed","Thu","Fri","Sat","Sun")</f>
        <v>Wed</v>
      </c>
      <c r="H1712" t="str">
        <f>IF(WEEKDAY(A1712,2)&gt;5,"Weekend","Weekday")</f>
        <v>Weekday</v>
      </c>
      <c r="I1712" t="str">
        <f>_xlfn.IFS(B1712&lt;=5,"Night (0-5)",B1712&lt;=9,"Morning peak (6-9)",B1712&lt;=15,"Midday (10-15)",B1712&lt;=19,"Evening peak (16-19)",TRUE,"Late evening (20-23)")</f>
        <v>Morning peak (6-9)</v>
      </c>
    </row>
    <row r="1713" spans="1:9">
      <c r="A1713" s="32">
        <v>41801</v>
      </c>
      <c r="B1713">
        <v>7</v>
      </c>
      <c r="C1713">
        <v>1566</v>
      </c>
      <c r="D1713" t="s">
        <v>303</v>
      </c>
      <c r="E1713">
        <f>YEAR(A1713)</f>
        <v>2014</v>
      </c>
      <c r="F1713" s="33">
        <f>DATE(YEAR(A1713),MONTH(A1713),1)</f>
        <v>41791.0</v>
      </c>
      <c r="G1713" t="str">
        <f>CHOOSE(WEEKDAY(A1713,2),"Mon","Tue","Wed","Thu","Fri","Sat","Sun")</f>
        <v>Wed</v>
      </c>
      <c r="H1713" t="str">
        <f>IF(WEEKDAY(A1713,2)&gt;5,"Weekend","Weekday")</f>
        <v>Weekday</v>
      </c>
      <c r="I1713" t="str">
        <f>_xlfn.IFS(B1713&lt;=5,"Night (0-5)",B1713&lt;=9,"Morning peak (6-9)",B1713&lt;=15,"Midday (10-15)",B1713&lt;=19,"Evening peak (16-19)",TRUE,"Late evening (20-23)")</f>
        <v>Morning peak (6-9)</v>
      </c>
    </row>
    <row r="1714" spans="1:9">
      <c r="A1714" s="32">
        <v>41801</v>
      </c>
      <c r="B1714">
        <v>8</v>
      </c>
      <c r="C1714">
        <v>1442</v>
      </c>
      <c r="D1714" t="s">
        <v>303</v>
      </c>
      <c r="E1714">
        <f>YEAR(A1714)</f>
        <v>2014</v>
      </c>
      <c r="F1714" s="33">
        <f>DATE(YEAR(A1714),MONTH(A1714),1)</f>
        <v>41791.0</v>
      </c>
      <c r="G1714" t="str">
        <f>CHOOSE(WEEKDAY(A1714,2),"Mon","Tue","Wed","Thu","Fri","Sat","Sun")</f>
        <v>Wed</v>
      </c>
      <c r="H1714" t="str">
        <f>IF(WEEKDAY(A1714,2)&gt;5,"Weekend","Weekday")</f>
        <v>Weekday</v>
      </c>
      <c r="I1714" t="str">
        <f>_xlfn.IFS(B1714&lt;=5,"Night (0-5)",B1714&lt;=9,"Morning peak (6-9)",B1714&lt;=15,"Midday (10-15)",B1714&lt;=19,"Evening peak (16-19)",TRUE,"Late evening (20-23)")</f>
        <v>Morning peak (6-9)</v>
      </c>
    </row>
    <row r="1715" spans="1:9">
      <c r="A1715" s="32">
        <v>41801</v>
      </c>
      <c r="B1715">
        <v>9</v>
      </c>
      <c r="C1715">
        <v>988</v>
      </c>
      <c r="D1715" t="s">
        <v>303</v>
      </c>
      <c r="E1715">
        <f>YEAR(A1715)</f>
        <v>2014</v>
      </c>
      <c r="F1715" s="33">
        <f>DATE(YEAR(A1715),MONTH(A1715),1)</f>
        <v>41791.0</v>
      </c>
      <c r="G1715" t="str">
        <f>CHOOSE(WEEKDAY(A1715,2),"Mon","Tue","Wed","Thu","Fri","Sat","Sun")</f>
        <v>Wed</v>
      </c>
      <c r="H1715" t="str">
        <f>IF(WEEKDAY(A1715,2)&gt;5,"Weekend","Weekday")</f>
        <v>Weekday</v>
      </c>
      <c r="I1715" t="str">
        <f>_xlfn.IFS(B1715&lt;=5,"Night (0-5)",B1715&lt;=9,"Morning peak (6-9)",B1715&lt;=15,"Midday (10-15)",B1715&lt;=19,"Evening peak (16-19)",TRUE,"Late evening (20-23)")</f>
        <v>Morning peak (6-9)</v>
      </c>
    </row>
    <row r="1716" spans="1:9">
      <c r="A1716" s="32">
        <v>41801</v>
      </c>
      <c r="B1716">
        <v>10</v>
      </c>
      <c r="C1716">
        <v>853</v>
      </c>
      <c r="D1716" t="s">
        <v>303</v>
      </c>
      <c r="E1716">
        <f>YEAR(A1716)</f>
        <v>2014</v>
      </c>
      <c r="F1716" s="33">
        <f>DATE(YEAR(A1716),MONTH(A1716),1)</f>
        <v>41791.0</v>
      </c>
      <c r="G1716" t="str">
        <f>CHOOSE(WEEKDAY(A1716,2),"Mon","Tue","Wed","Thu","Fri","Sat","Sun")</f>
        <v>Wed</v>
      </c>
      <c r="H1716" t="str">
        <f>IF(WEEKDAY(A1716,2)&gt;5,"Weekend","Weekday")</f>
        <v>Weekday</v>
      </c>
      <c r="I1716" t="str">
        <f>_xlfn.IFS(B1716&lt;=5,"Night (0-5)",B1716&lt;=9,"Morning peak (6-9)",B1716&lt;=15,"Midday (10-15)",B1716&lt;=19,"Evening peak (16-19)",TRUE,"Late evening (20-23)")</f>
        <v>Midday (10-15)</v>
      </c>
    </row>
    <row r="1717" spans="1:9">
      <c r="A1717" s="32">
        <v>41801</v>
      </c>
      <c r="B1717">
        <v>11</v>
      </c>
      <c r="C1717">
        <v>871</v>
      </c>
      <c r="D1717" t="s">
        <v>303</v>
      </c>
      <c r="E1717">
        <f>YEAR(A1717)</f>
        <v>2014</v>
      </c>
      <c r="F1717" s="33">
        <f>DATE(YEAR(A1717),MONTH(A1717),1)</f>
        <v>41791.0</v>
      </c>
      <c r="G1717" t="str">
        <f>CHOOSE(WEEKDAY(A1717,2),"Mon","Tue","Wed","Thu","Fri","Sat","Sun")</f>
        <v>Wed</v>
      </c>
      <c r="H1717" t="str">
        <f>IF(WEEKDAY(A1717,2)&gt;5,"Weekend","Weekday")</f>
        <v>Weekday</v>
      </c>
      <c r="I1717" t="str">
        <f>_xlfn.IFS(B1717&lt;=5,"Night (0-5)",B1717&lt;=9,"Morning peak (6-9)",B1717&lt;=15,"Midday (10-15)",B1717&lt;=19,"Evening peak (16-19)",TRUE,"Late evening (20-23)")</f>
        <v>Midday (10-15)</v>
      </c>
    </row>
    <row r="1718" spans="1:9">
      <c r="A1718" s="32">
        <v>41801</v>
      </c>
      <c r="B1718">
        <v>12</v>
      </c>
      <c r="C1718">
        <v>877</v>
      </c>
      <c r="D1718" t="s">
        <v>303</v>
      </c>
      <c r="E1718">
        <f>YEAR(A1718)</f>
        <v>2014</v>
      </c>
      <c r="F1718" s="33">
        <f>DATE(YEAR(A1718),MONTH(A1718),1)</f>
        <v>41791.0</v>
      </c>
      <c r="G1718" t="str">
        <f>CHOOSE(WEEKDAY(A1718,2),"Mon","Tue","Wed","Thu","Fri","Sat","Sun")</f>
        <v>Wed</v>
      </c>
      <c r="H1718" t="str">
        <f>IF(WEEKDAY(A1718,2)&gt;5,"Weekend","Weekday")</f>
        <v>Weekday</v>
      </c>
      <c r="I1718" t="str">
        <f>_xlfn.IFS(B1718&lt;=5,"Night (0-5)",B1718&lt;=9,"Morning peak (6-9)",B1718&lt;=15,"Midday (10-15)",B1718&lt;=19,"Evening peak (16-19)",TRUE,"Late evening (20-23)")</f>
        <v>Midday (10-15)</v>
      </c>
    </row>
    <row r="1719" spans="1:9">
      <c r="A1719" s="32">
        <v>41801</v>
      </c>
      <c r="B1719">
        <v>13</v>
      </c>
      <c r="C1719">
        <v>1104</v>
      </c>
      <c r="D1719" t="s">
        <v>303</v>
      </c>
      <c r="E1719">
        <f>YEAR(A1719)</f>
        <v>2014</v>
      </c>
      <c r="F1719" s="33">
        <f>DATE(YEAR(A1719),MONTH(A1719),1)</f>
        <v>41791.0</v>
      </c>
      <c r="G1719" t="str">
        <f>CHOOSE(WEEKDAY(A1719,2),"Mon","Tue","Wed","Thu","Fri","Sat","Sun")</f>
        <v>Wed</v>
      </c>
      <c r="H1719" t="str">
        <f>IF(WEEKDAY(A1719,2)&gt;5,"Weekend","Weekday")</f>
        <v>Weekday</v>
      </c>
      <c r="I1719" t="str">
        <f>_xlfn.IFS(B1719&lt;=5,"Night (0-5)",B1719&lt;=9,"Morning peak (6-9)",B1719&lt;=15,"Midday (10-15)",B1719&lt;=19,"Evening peak (16-19)",TRUE,"Late evening (20-23)")</f>
        <v>Midday (10-15)</v>
      </c>
    </row>
    <row r="1720" spans="1:9">
      <c r="A1720" s="32">
        <v>41801</v>
      </c>
      <c r="B1720">
        <v>14</v>
      </c>
      <c r="C1720">
        <v>1390</v>
      </c>
      <c r="D1720" t="s">
        <v>303</v>
      </c>
      <c r="E1720">
        <f>YEAR(A1720)</f>
        <v>2014</v>
      </c>
      <c r="F1720" s="33">
        <f>DATE(YEAR(A1720),MONTH(A1720),1)</f>
        <v>41791.0</v>
      </c>
      <c r="G1720" t="str">
        <f>CHOOSE(WEEKDAY(A1720,2),"Mon","Tue","Wed","Thu","Fri","Sat","Sun")</f>
        <v>Wed</v>
      </c>
      <c r="H1720" t="str">
        <f>IF(WEEKDAY(A1720,2)&gt;5,"Weekend","Weekday")</f>
        <v>Weekday</v>
      </c>
      <c r="I1720" t="str">
        <f>_xlfn.IFS(B1720&lt;=5,"Night (0-5)",B1720&lt;=9,"Morning peak (6-9)",B1720&lt;=15,"Midday (10-15)",B1720&lt;=19,"Evening peak (16-19)",TRUE,"Late evening (20-23)")</f>
        <v>Midday (10-15)</v>
      </c>
    </row>
    <row r="1721" spans="1:9">
      <c r="A1721" s="32">
        <v>41801</v>
      </c>
      <c r="B1721">
        <v>15</v>
      </c>
      <c r="C1721">
        <v>1616</v>
      </c>
      <c r="D1721" t="s">
        <v>303</v>
      </c>
      <c r="E1721">
        <f>YEAR(A1721)</f>
        <v>2014</v>
      </c>
      <c r="F1721" s="33">
        <f>DATE(YEAR(A1721),MONTH(A1721),1)</f>
        <v>41791.0</v>
      </c>
      <c r="G1721" t="str">
        <f>CHOOSE(WEEKDAY(A1721,2),"Mon","Tue","Wed","Thu","Fri","Sat","Sun")</f>
        <v>Wed</v>
      </c>
      <c r="H1721" t="str">
        <f>IF(WEEKDAY(A1721,2)&gt;5,"Weekend","Weekday")</f>
        <v>Weekday</v>
      </c>
      <c r="I1721" t="str">
        <f>_xlfn.IFS(B1721&lt;=5,"Night (0-5)",B1721&lt;=9,"Morning peak (6-9)",B1721&lt;=15,"Midday (10-15)",B1721&lt;=19,"Evening peak (16-19)",TRUE,"Late evening (20-23)")</f>
        <v>Midday (10-15)</v>
      </c>
    </row>
    <row r="1722" spans="1:9">
      <c r="A1722" s="32">
        <v>41801</v>
      </c>
      <c r="B1722">
        <v>16</v>
      </c>
      <c r="C1722">
        <v>1826</v>
      </c>
      <c r="D1722" t="s">
        <v>303</v>
      </c>
      <c r="E1722">
        <f>YEAR(A1722)</f>
        <v>2014</v>
      </c>
      <c r="F1722" s="33">
        <f>DATE(YEAR(A1722),MONTH(A1722),1)</f>
        <v>41791.0</v>
      </c>
      <c r="G1722" t="str">
        <f>CHOOSE(WEEKDAY(A1722,2),"Mon","Tue","Wed","Thu","Fri","Sat","Sun")</f>
        <v>Wed</v>
      </c>
      <c r="H1722" t="str">
        <f>IF(WEEKDAY(A1722,2)&gt;5,"Weekend","Weekday")</f>
        <v>Weekday</v>
      </c>
      <c r="I1722" t="str">
        <f>_xlfn.IFS(B1722&lt;=5,"Night (0-5)",B1722&lt;=9,"Morning peak (6-9)",B1722&lt;=15,"Midday (10-15)",B1722&lt;=19,"Evening peak (16-19)",TRUE,"Late evening (20-23)")</f>
        <v>Evening peak (16-19)</v>
      </c>
    </row>
    <row r="1723" spans="1:9">
      <c r="A1723" s="32">
        <v>41801</v>
      </c>
      <c r="B1723">
        <v>17</v>
      </c>
      <c r="C1723">
        <v>1981</v>
      </c>
      <c r="D1723" t="s">
        <v>303</v>
      </c>
      <c r="E1723">
        <f>YEAR(A1723)</f>
        <v>2014</v>
      </c>
      <c r="F1723" s="33">
        <f>DATE(YEAR(A1723),MONTH(A1723),1)</f>
        <v>41791.0</v>
      </c>
      <c r="G1723" t="str">
        <f>CHOOSE(WEEKDAY(A1723,2),"Mon","Tue","Wed","Thu","Fri","Sat","Sun")</f>
        <v>Wed</v>
      </c>
      <c r="H1723" t="str">
        <f>IF(WEEKDAY(A1723,2)&gt;5,"Weekend","Weekday")</f>
        <v>Weekday</v>
      </c>
      <c r="I1723" t="str">
        <f>_xlfn.IFS(B1723&lt;=5,"Night (0-5)",B1723&lt;=9,"Morning peak (6-9)",B1723&lt;=15,"Midday (10-15)",B1723&lt;=19,"Evening peak (16-19)",TRUE,"Late evening (20-23)")</f>
        <v>Evening peak (16-19)</v>
      </c>
    </row>
    <row r="1724" spans="1:9">
      <c r="A1724" s="32">
        <v>41801</v>
      </c>
      <c r="B1724">
        <v>18</v>
      </c>
      <c r="C1724">
        <v>1745</v>
      </c>
      <c r="D1724" t="s">
        <v>303</v>
      </c>
      <c r="E1724">
        <f>YEAR(A1724)</f>
        <v>2014</v>
      </c>
      <c r="F1724" s="33">
        <f>DATE(YEAR(A1724),MONTH(A1724),1)</f>
        <v>41791.0</v>
      </c>
      <c r="G1724" t="str">
        <f>CHOOSE(WEEKDAY(A1724,2),"Mon","Tue","Wed","Thu","Fri","Sat","Sun")</f>
        <v>Wed</v>
      </c>
      <c r="H1724" t="str">
        <f>IF(WEEKDAY(A1724,2)&gt;5,"Weekend","Weekday")</f>
        <v>Weekday</v>
      </c>
      <c r="I1724" t="str">
        <f>_xlfn.IFS(B1724&lt;=5,"Night (0-5)",B1724&lt;=9,"Morning peak (6-9)",B1724&lt;=15,"Midday (10-15)",B1724&lt;=19,"Evening peak (16-19)",TRUE,"Late evening (20-23)")</f>
        <v>Evening peak (16-19)</v>
      </c>
    </row>
    <row r="1725" spans="1:9">
      <c r="A1725" s="32">
        <v>41801</v>
      </c>
      <c r="B1725">
        <v>19</v>
      </c>
      <c r="C1725">
        <v>1602</v>
      </c>
      <c r="D1725" t="s">
        <v>303</v>
      </c>
      <c r="E1725">
        <f>YEAR(A1725)</f>
        <v>2014</v>
      </c>
      <c r="F1725" s="33">
        <f>DATE(YEAR(A1725),MONTH(A1725),1)</f>
        <v>41791.0</v>
      </c>
      <c r="G1725" t="str">
        <f>CHOOSE(WEEKDAY(A1725,2),"Mon","Tue","Wed","Thu","Fri","Sat","Sun")</f>
        <v>Wed</v>
      </c>
      <c r="H1725" t="str">
        <f>IF(WEEKDAY(A1725,2)&gt;5,"Weekend","Weekday")</f>
        <v>Weekday</v>
      </c>
      <c r="I1725" t="str">
        <f>_xlfn.IFS(B1725&lt;=5,"Night (0-5)",B1725&lt;=9,"Morning peak (6-9)",B1725&lt;=15,"Midday (10-15)",B1725&lt;=19,"Evening peak (16-19)",TRUE,"Late evening (20-23)")</f>
        <v>Evening peak (16-19)</v>
      </c>
    </row>
    <row r="1726" spans="1:9">
      <c r="A1726" s="32">
        <v>41801</v>
      </c>
      <c r="B1726">
        <v>20</v>
      </c>
      <c r="C1726">
        <v>1642</v>
      </c>
      <c r="D1726" t="s">
        <v>303</v>
      </c>
      <c r="E1726">
        <f>YEAR(A1726)</f>
        <v>2014</v>
      </c>
      <c r="F1726" s="33">
        <f>DATE(YEAR(A1726),MONTH(A1726),1)</f>
        <v>41791.0</v>
      </c>
      <c r="G1726" t="str">
        <f>CHOOSE(WEEKDAY(A1726,2),"Mon","Tue","Wed","Thu","Fri","Sat","Sun")</f>
        <v>Wed</v>
      </c>
      <c r="H1726" t="str">
        <f>IF(WEEKDAY(A1726,2)&gt;5,"Weekend","Weekday")</f>
        <v>Weekday</v>
      </c>
      <c r="I1726" t="str">
        <f>_xlfn.IFS(B1726&lt;=5,"Night (0-5)",B1726&lt;=9,"Morning peak (6-9)",B1726&lt;=15,"Midday (10-15)",B1726&lt;=19,"Evening peak (16-19)",TRUE,"Late evening (20-23)")</f>
        <v>Late evening (20-23)</v>
      </c>
    </row>
    <row r="1727" spans="1:9">
      <c r="A1727" s="32">
        <v>41801</v>
      </c>
      <c r="B1727">
        <v>21</v>
      </c>
      <c r="C1727">
        <v>1620</v>
      </c>
      <c r="D1727" t="s">
        <v>303</v>
      </c>
      <c r="E1727">
        <f>YEAR(A1727)</f>
        <v>2014</v>
      </c>
      <c r="F1727" s="33">
        <f>DATE(YEAR(A1727),MONTH(A1727),1)</f>
        <v>41791.0</v>
      </c>
      <c r="G1727" t="str">
        <f>CHOOSE(WEEKDAY(A1727,2),"Mon","Tue","Wed","Thu","Fri","Sat","Sun")</f>
        <v>Wed</v>
      </c>
      <c r="H1727" t="str">
        <f>IF(WEEKDAY(A1727,2)&gt;5,"Weekend","Weekday")</f>
        <v>Weekday</v>
      </c>
      <c r="I1727" t="str">
        <f>_xlfn.IFS(B1727&lt;=5,"Night (0-5)",B1727&lt;=9,"Morning peak (6-9)",B1727&lt;=15,"Midday (10-15)",B1727&lt;=19,"Evening peak (16-19)",TRUE,"Late evening (20-23)")</f>
        <v>Late evening (20-23)</v>
      </c>
    </row>
    <row r="1728" spans="1:9">
      <c r="A1728" s="32">
        <v>41801</v>
      </c>
      <c r="B1728">
        <v>22</v>
      </c>
      <c r="C1728">
        <v>1366</v>
      </c>
      <c r="D1728" t="s">
        <v>303</v>
      </c>
      <c r="E1728">
        <f>YEAR(A1728)</f>
        <v>2014</v>
      </c>
      <c r="F1728" s="33">
        <f>DATE(YEAR(A1728),MONTH(A1728),1)</f>
        <v>41791.0</v>
      </c>
      <c r="G1728" t="str">
        <f>CHOOSE(WEEKDAY(A1728,2),"Mon","Tue","Wed","Thu","Fri","Sat","Sun")</f>
        <v>Wed</v>
      </c>
      <c r="H1728" t="str">
        <f>IF(WEEKDAY(A1728,2)&gt;5,"Weekend","Weekday")</f>
        <v>Weekday</v>
      </c>
      <c r="I1728" t="str">
        <f>_xlfn.IFS(B1728&lt;=5,"Night (0-5)",B1728&lt;=9,"Morning peak (6-9)",B1728&lt;=15,"Midday (10-15)",B1728&lt;=19,"Evening peak (16-19)",TRUE,"Late evening (20-23)")</f>
        <v>Late evening (20-23)</v>
      </c>
    </row>
    <row r="1729" spans="1:9">
      <c r="A1729" s="32">
        <v>41801</v>
      </c>
      <c r="B1729">
        <v>23</v>
      </c>
      <c r="C1729">
        <v>683</v>
      </c>
      <c r="D1729" t="s">
        <v>303</v>
      </c>
      <c r="E1729">
        <f>YEAR(A1729)</f>
        <v>2014</v>
      </c>
      <c r="F1729" s="33">
        <f>DATE(YEAR(A1729),MONTH(A1729),1)</f>
        <v>41791.0</v>
      </c>
      <c r="G1729" t="str">
        <f>CHOOSE(WEEKDAY(A1729,2),"Mon","Tue","Wed","Thu","Fri","Sat","Sun")</f>
        <v>Wed</v>
      </c>
      <c r="H1729" t="str">
        <f>IF(WEEKDAY(A1729,2)&gt;5,"Weekend","Weekday")</f>
        <v>Weekday</v>
      </c>
      <c r="I1729" t="str">
        <f>_xlfn.IFS(B1729&lt;=5,"Night (0-5)",B1729&lt;=9,"Morning peak (6-9)",B1729&lt;=15,"Midday (10-15)",B1729&lt;=19,"Evening peak (16-19)",TRUE,"Late evening (20-23)")</f>
        <v>Late evening (20-23)</v>
      </c>
    </row>
    <row r="1730" spans="1:9">
      <c r="A1730" s="32">
        <v>41802</v>
      </c>
      <c r="B1730">
        <v>0</v>
      </c>
      <c r="C1730">
        <v>304</v>
      </c>
      <c r="D1730" t="s">
        <v>303</v>
      </c>
      <c r="E1730">
        <f>YEAR(A1730)</f>
        <v>2014</v>
      </c>
      <c r="F1730" s="33">
        <f>DATE(YEAR(A1730),MONTH(A1730),1)</f>
        <v>41791.0</v>
      </c>
      <c r="G1730" t="str">
        <f>CHOOSE(WEEKDAY(A1730,2),"Mon","Tue","Wed","Thu","Fri","Sat","Sun")</f>
        <v>Thu</v>
      </c>
      <c r="H1730" t="str">
        <f>IF(WEEKDAY(A1730,2)&gt;5,"Weekend","Weekday")</f>
        <v>Weekday</v>
      </c>
      <c r="I1730" t="str">
        <f>_xlfn.IFS(B1730&lt;=5,"Night (0-5)",B1730&lt;=9,"Morning peak (6-9)",B1730&lt;=15,"Midday (10-15)",B1730&lt;=19,"Evening peak (16-19)",TRUE,"Late evening (20-23)")</f>
        <v>Night (0-5)</v>
      </c>
    </row>
    <row r="1731" spans="1:9">
      <c r="A1731" s="32">
        <v>41802</v>
      </c>
      <c r="B1731">
        <v>1</v>
      </c>
      <c r="C1731">
        <v>178</v>
      </c>
      <c r="D1731" t="s">
        <v>303</v>
      </c>
      <c r="E1731">
        <f>YEAR(A1731)</f>
        <v>2014</v>
      </c>
      <c r="F1731" s="33">
        <f>DATE(YEAR(A1731),MONTH(A1731),1)</f>
        <v>41791.0</v>
      </c>
      <c r="G1731" t="str">
        <f>CHOOSE(WEEKDAY(A1731,2),"Mon","Tue","Wed","Thu","Fri","Sat","Sun")</f>
        <v>Thu</v>
      </c>
      <c r="H1731" t="str">
        <f>IF(WEEKDAY(A1731,2)&gt;5,"Weekend","Weekday")</f>
        <v>Weekday</v>
      </c>
      <c r="I1731" t="str">
        <f>_xlfn.IFS(B1731&lt;=5,"Night (0-5)",B1731&lt;=9,"Morning peak (6-9)",B1731&lt;=15,"Midday (10-15)",B1731&lt;=19,"Evening peak (16-19)",TRUE,"Late evening (20-23)")</f>
        <v>Night (0-5)</v>
      </c>
    </row>
    <row r="1732" spans="1:9">
      <c r="A1732" s="32">
        <v>41802</v>
      </c>
      <c r="B1732">
        <v>2</v>
      </c>
      <c r="C1732">
        <v>106</v>
      </c>
      <c r="D1732" t="s">
        <v>303</v>
      </c>
      <c r="E1732">
        <f>YEAR(A1732)</f>
        <v>2014</v>
      </c>
      <c r="F1732" s="33">
        <f>DATE(YEAR(A1732),MONTH(A1732),1)</f>
        <v>41791.0</v>
      </c>
      <c r="G1732" t="str">
        <f>CHOOSE(WEEKDAY(A1732,2),"Mon","Tue","Wed","Thu","Fri","Sat","Sun")</f>
        <v>Thu</v>
      </c>
      <c r="H1732" t="str">
        <f>IF(WEEKDAY(A1732,2)&gt;5,"Weekend","Weekday")</f>
        <v>Weekday</v>
      </c>
      <c r="I1732" t="str">
        <f>_xlfn.IFS(B1732&lt;=5,"Night (0-5)",B1732&lt;=9,"Morning peak (6-9)",B1732&lt;=15,"Midday (10-15)",B1732&lt;=19,"Evening peak (16-19)",TRUE,"Late evening (20-23)")</f>
        <v>Night (0-5)</v>
      </c>
    </row>
    <row r="1733" spans="1:9">
      <c r="A1733" s="32">
        <v>41802</v>
      </c>
      <c r="B1733">
        <v>3</v>
      </c>
      <c r="C1733">
        <v>187</v>
      </c>
      <c r="D1733" t="s">
        <v>303</v>
      </c>
      <c r="E1733">
        <f>YEAR(A1733)</f>
        <v>2014</v>
      </c>
      <c r="F1733" s="33">
        <f>DATE(YEAR(A1733),MONTH(A1733),1)</f>
        <v>41791.0</v>
      </c>
      <c r="G1733" t="str">
        <f>CHOOSE(WEEKDAY(A1733,2),"Mon","Tue","Wed","Thu","Fri","Sat","Sun")</f>
        <v>Thu</v>
      </c>
      <c r="H1733" t="str">
        <f>IF(WEEKDAY(A1733,2)&gt;5,"Weekend","Weekday")</f>
        <v>Weekday</v>
      </c>
      <c r="I1733" t="str">
        <f>_xlfn.IFS(B1733&lt;=5,"Night (0-5)",B1733&lt;=9,"Morning peak (6-9)",B1733&lt;=15,"Midday (10-15)",B1733&lt;=19,"Evening peak (16-19)",TRUE,"Late evening (20-23)")</f>
        <v>Night (0-5)</v>
      </c>
    </row>
    <row r="1734" spans="1:9">
      <c r="A1734" s="32">
        <v>41802</v>
      </c>
      <c r="B1734">
        <v>4</v>
      </c>
      <c r="C1734">
        <v>271</v>
      </c>
      <c r="D1734" t="s">
        <v>303</v>
      </c>
      <c r="E1734">
        <f>YEAR(A1734)</f>
        <v>2014</v>
      </c>
      <c r="F1734" s="33">
        <f>DATE(YEAR(A1734),MONTH(A1734),1)</f>
        <v>41791.0</v>
      </c>
      <c r="G1734" t="str">
        <f>CHOOSE(WEEKDAY(A1734,2),"Mon","Tue","Wed","Thu","Fri","Sat","Sun")</f>
        <v>Thu</v>
      </c>
      <c r="H1734" t="str">
        <f>IF(WEEKDAY(A1734,2)&gt;5,"Weekend","Weekday")</f>
        <v>Weekday</v>
      </c>
      <c r="I1734" t="str">
        <f>_xlfn.IFS(B1734&lt;=5,"Night (0-5)",B1734&lt;=9,"Morning peak (6-9)",B1734&lt;=15,"Midday (10-15)",B1734&lt;=19,"Evening peak (16-19)",TRUE,"Late evening (20-23)")</f>
        <v>Night (0-5)</v>
      </c>
    </row>
    <row r="1735" spans="1:9">
      <c r="A1735" s="32">
        <v>41802</v>
      </c>
      <c r="B1735">
        <v>5</v>
      </c>
      <c r="C1735">
        <v>484</v>
      </c>
      <c r="D1735" t="s">
        <v>303</v>
      </c>
      <c r="E1735">
        <f>YEAR(A1735)</f>
        <v>2014</v>
      </c>
      <c r="F1735" s="33">
        <f>DATE(YEAR(A1735),MONTH(A1735),1)</f>
        <v>41791.0</v>
      </c>
      <c r="G1735" t="str">
        <f>CHOOSE(WEEKDAY(A1735,2),"Mon","Tue","Wed","Thu","Fri","Sat","Sun")</f>
        <v>Thu</v>
      </c>
      <c r="H1735" t="str">
        <f>IF(WEEKDAY(A1735,2)&gt;5,"Weekend","Weekday")</f>
        <v>Weekday</v>
      </c>
      <c r="I1735" t="str">
        <f>_xlfn.IFS(B1735&lt;=5,"Night (0-5)",B1735&lt;=9,"Morning peak (6-9)",B1735&lt;=15,"Midday (10-15)",B1735&lt;=19,"Evening peak (16-19)",TRUE,"Late evening (20-23)")</f>
        <v>Night (0-5)</v>
      </c>
    </row>
    <row r="1736" spans="1:9">
      <c r="A1736" s="32">
        <v>41802</v>
      </c>
      <c r="B1736">
        <v>6</v>
      </c>
      <c r="C1736">
        <v>1061</v>
      </c>
      <c r="D1736" t="s">
        <v>303</v>
      </c>
      <c r="E1736">
        <f>YEAR(A1736)</f>
        <v>2014</v>
      </c>
      <c r="F1736" s="33">
        <f>DATE(YEAR(A1736),MONTH(A1736),1)</f>
        <v>41791.0</v>
      </c>
      <c r="G1736" t="str">
        <f>CHOOSE(WEEKDAY(A1736,2),"Mon","Tue","Wed","Thu","Fri","Sat","Sun")</f>
        <v>Thu</v>
      </c>
      <c r="H1736" t="str">
        <f>IF(WEEKDAY(A1736,2)&gt;5,"Weekend","Weekday")</f>
        <v>Weekday</v>
      </c>
      <c r="I1736" t="str">
        <f>_xlfn.IFS(B1736&lt;=5,"Night (0-5)",B1736&lt;=9,"Morning peak (6-9)",B1736&lt;=15,"Midday (10-15)",B1736&lt;=19,"Evening peak (16-19)",TRUE,"Late evening (20-23)")</f>
        <v>Morning peak (6-9)</v>
      </c>
    </row>
    <row r="1737" spans="1:9">
      <c r="A1737" s="32">
        <v>41802</v>
      </c>
      <c r="B1737">
        <v>7</v>
      </c>
      <c r="C1737">
        <v>1560</v>
      </c>
      <c r="D1737" t="s">
        <v>303</v>
      </c>
      <c r="E1737">
        <f>YEAR(A1737)</f>
        <v>2014</v>
      </c>
      <c r="F1737" s="33">
        <f>DATE(YEAR(A1737),MONTH(A1737),1)</f>
        <v>41791.0</v>
      </c>
      <c r="G1737" t="str">
        <f>CHOOSE(WEEKDAY(A1737,2),"Mon","Tue","Wed","Thu","Fri","Sat","Sun")</f>
        <v>Thu</v>
      </c>
      <c r="H1737" t="str">
        <f>IF(WEEKDAY(A1737,2)&gt;5,"Weekend","Weekday")</f>
        <v>Weekday</v>
      </c>
      <c r="I1737" t="str">
        <f>_xlfn.IFS(B1737&lt;=5,"Night (0-5)",B1737&lt;=9,"Morning peak (6-9)",B1737&lt;=15,"Midday (10-15)",B1737&lt;=19,"Evening peak (16-19)",TRUE,"Late evening (20-23)")</f>
        <v>Morning peak (6-9)</v>
      </c>
    </row>
    <row r="1738" spans="1:9">
      <c r="A1738" s="32">
        <v>41802</v>
      </c>
      <c r="B1738">
        <v>8</v>
      </c>
      <c r="C1738">
        <v>1419</v>
      </c>
      <c r="D1738" t="s">
        <v>303</v>
      </c>
      <c r="E1738">
        <f>YEAR(A1738)</f>
        <v>2014</v>
      </c>
      <c r="F1738" s="33">
        <f>DATE(YEAR(A1738),MONTH(A1738),1)</f>
        <v>41791.0</v>
      </c>
      <c r="G1738" t="str">
        <f>CHOOSE(WEEKDAY(A1738,2),"Mon","Tue","Wed","Thu","Fri","Sat","Sun")</f>
        <v>Thu</v>
      </c>
      <c r="H1738" t="str">
        <f>IF(WEEKDAY(A1738,2)&gt;5,"Weekend","Weekday")</f>
        <v>Weekday</v>
      </c>
      <c r="I1738" t="str">
        <f>_xlfn.IFS(B1738&lt;=5,"Night (0-5)",B1738&lt;=9,"Morning peak (6-9)",B1738&lt;=15,"Midday (10-15)",B1738&lt;=19,"Evening peak (16-19)",TRUE,"Late evening (20-23)")</f>
        <v>Morning peak (6-9)</v>
      </c>
    </row>
    <row r="1739" spans="1:9">
      <c r="A1739" s="32">
        <v>41802</v>
      </c>
      <c r="B1739">
        <v>9</v>
      </c>
      <c r="C1739">
        <v>1006</v>
      </c>
      <c r="D1739" t="s">
        <v>303</v>
      </c>
      <c r="E1739">
        <f>YEAR(A1739)</f>
        <v>2014</v>
      </c>
      <c r="F1739" s="33">
        <f>DATE(YEAR(A1739),MONTH(A1739),1)</f>
        <v>41791.0</v>
      </c>
      <c r="G1739" t="str">
        <f>CHOOSE(WEEKDAY(A1739,2),"Mon","Tue","Wed","Thu","Fri","Sat","Sun")</f>
        <v>Thu</v>
      </c>
      <c r="H1739" t="str">
        <f>IF(WEEKDAY(A1739,2)&gt;5,"Weekend","Weekday")</f>
        <v>Weekday</v>
      </c>
      <c r="I1739" t="str">
        <f>_xlfn.IFS(B1739&lt;=5,"Night (0-5)",B1739&lt;=9,"Morning peak (6-9)",B1739&lt;=15,"Midday (10-15)",B1739&lt;=19,"Evening peak (16-19)",TRUE,"Late evening (20-23)")</f>
        <v>Morning peak (6-9)</v>
      </c>
    </row>
    <row r="1740" spans="1:9">
      <c r="A1740" s="32">
        <v>41802</v>
      </c>
      <c r="B1740">
        <v>10</v>
      </c>
      <c r="C1740">
        <v>918</v>
      </c>
      <c r="D1740" t="s">
        <v>303</v>
      </c>
      <c r="E1740">
        <f>YEAR(A1740)</f>
        <v>2014</v>
      </c>
      <c r="F1740" s="33">
        <f>DATE(YEAR(A1740),MONTH(A1740),1)</f>
        <v>41791.0</v>
      </c>
      <c r="G1740" t="str">
        <f>CHOOSE(WEEKDAY(A1740,2),"Mon","Tue","Wed","Thu","Fri","Sat","Sun")</f>
        <v>Thu</v>
      </c>
      <c r="H1740" t="str">
        <f>IF(WEEKDAY(A1740,2)&gt;5,"Weekend","Weekday")</f>
        <v>Weekday</v>
      </c>
      <c r="I1740" t="str">
        <f>_xlfn.IFS(B1740&lt;=5,"Night (0-5)",B1740&lt;=9,"Morning peak (6-9)",B1740&lt;=15,"Midday (10-15)",B1740&lt;=19,"Evening peak (16-19)",TRUE,"Late evening (20-23)")</f>
        <v>Midday (10-15)</v>
      </c>
    </row>
    <row r="1741" spans="1:9">
      <c r="A1741" s="32">
        <v>41802</v>
      </c>
      <c r="B1741">
        <v>11</v>
      </c>
      <c r="C1741">
        <v>926</v>
      </c>
      <c r="D1741" t="s">
        <v>303</v>
      </c>
      <c r="E1741">
        <f>YEAR(A1741)</f>
        <v>2014</v>
      </c>
      <c r="F1741" s="33">
        <f>DATE(YEAR(A1741),MONTH(A1741),1)</f>
        <v>41791.0</v>
      </c>
      <c r="G1741" t="str">
        <f>CHOOSE(WEEKDAY(A1741,2),"Mon","Tue","Wed","Thu","Fri","Sat","Sun")</f>
        <v>Thu</v>
      </c>
      <c r="H1741" t="str">
        <f>IF(WEEKDAY(A1741,2)&gt;5,"Weekend","Weekday")</f>
        <v>Weekday</v>
      </c>
      <c r="I1741" t="str">
        <f>_xlfn.IFS(B1741&lt;=5,"Night (0-5)",B1741&lt;=9,"Morning peak (6-9)",B1741&lt;=15,"Midday (10-15)",B1741&lt;=19,"Evening peak (16-19)",TRUE,"Late evening (20-23)")</f>
        <v>Midday (10-15)</v>
      </c>
    </row>
    <row r="1742" spans="1:9">
      <c r="A1742" s="32">
        <v>41802</v>
      </c>
      <c r="B1742">
        <v>12</v>
      </c>
      <c r="C1742">
        <v>1036</v>
      </c>
      <c r="D1742" t="s">
        <v>303</v>
      </c>
      <c r="E1742">
        <f>YEAR(A1742)</f>
        <v>2014</v>
      </c>
      <c r="F1742" s="33">
        <f>DATE(YEAR(A1742),MONTH(A1742),1)</f>
        <v>41791.0</v>
      </c>
      <c r="G1742" t="str">
        <f>CHOOSE(WEEKDAY(A1742,2),"Mon","Tue","Wed","Thu","Fri","Sat","Sun")</f>
        <v>Thu</v>
      </c>
      <c r="H1742" t="str">
        <f>IF(WEEKDAY(A1742,2)&gt;5,"Weekend","Weekday")</f>
        <v>Weekday</v>
      </c>
      <c r="I1742" t="str">
        <f>_xlfn.IFS(B1742&lt;=5,"Night (0-5)",B1742&lt;=9,"Morning peak (6-9)",B1742&lt;=15,"Midday (10-15)",B1742&lt;=19,"Evening peak (16-19)",TRUE,"Late evening (20-23)")</f>
        <v>Midday (10-15)</v>
      </c>
    </row>
    <row r="1743" spans="1:9">
      <c r="A1743" s="32">
        <v>41802</v>
      </c>
      <c r="B1743">
        <v>13</v>
      </c>
      <c r="C1743">
        <v>1219</v>
      </c>
      <c r="D1743" t="s">
        <v>303</v>
      </c>
      <c r="E1743">
        <f>YEAR(A1743)</f>
        <v>2014</v>
      </c>
      <c r="F1743" s="33">
        <f>DATE(YEAR(A1743),MONTH(A1743),1)</f>
        <v>41791.0</v>
      </c>
      <c r="G1743" t="str">
        <f>CHOOSE(WEEKDAY(A1743,2),"Mon","Tue","Wed","Thu","Fri","Sat","Sun")</f>
        <v>Thu</v>
      </c>
      <c r="H1743" t="str">
        <f>IF(WEEKDAY(A1743,2)&gt;5,"Weekend","Weekday")</f>
        <v>Weekday</v>
      </c>
      <c r="I1743" t="str">
        <f>_xlfn.IFS(B1743&lt;=5,"Night (0-5)",B1743&lt;=9,"Morning peak (6-9)",B1743&lt;=15,"Midday (10-15)",B1743&lt;=19,"Evening peak (16-19)",TRUE,"Late evening (20-23)")</f>
        <v>Midday (10-15)</v>
      </c>
    </row>
    <row r="1744" spans="1:9">
      <c r="A1744" s="32">
        <v>41802</v>
      </c>
      <c r="B1744">
        <v>14</v>
      </c>
      <c r="C1744">
        <v>1486</v>
      </c>
      <c r="D1744" t="s">
        <v>303</v>
      </c>
      <c r="E1744">
        <f>YEAR(A1744)</f>
        <v>2014</v>
      </c>
      <c r="F1744" s="33">
        <f>DATE(YEAR(A1744),MONTH(A1744),1)</f>
        <v>41791.0</v>
      </c>
      <c r="G1744" t="str">
        <f>CHOOSE(WEEKDAY(A1744,2),"Mon","Tue","Wed","Thu","Fri","Sat","Sun")</f>
        <v>Thu</v>
      </c>
      <c r="H1744" t="str">
        <f>IF(WEEKDAY(A1744,2)&gt;5,"Weekend","Weekday")</f>
        <v>Weekday</v>
      </c>
      <c r="I1744" t="str">
        <f>_xlfn.IFS(B1744&lt;=5,"Night (0-5)",B1744&lt;=9,"Morning peak (6-9)",B1744&lt;=15,"Midday (10-15)",B1744&lt;=19,"Evening peak (16-19)",TRUE,"Late evening (20-23)")</f>
        <v>Midday (10-15)</v>
      </c>
    </row>
    <row r="1745" spans="1:9">
      <c r="A1745" s="32">
        <v>41802</v>
      </c>
      <c r="B1745">
        <v>15</v>
      </c>
      <c r="C1745">
        <v>1812</v>
      </c>
      <c r="D1745" t="s">
        <v>303</v>
      </c>
      <c r="E1745">
        <f>YEAR(A1745)</f>
        <v>2014</v>
      </c>
      <c r="F1745" s="33">
        <f>DATE(YEAR(A1745),MONTH(A1745),1)</f>
        <v>41791.0</v>
      </c>
      <c r="G1745" t="str">
        <f>CHOOSE(WEEKDAY(A1745,2),"Mon","Tue","Wed","Thu","Fri","Sat","Sun")</f>
        <v>Thu</v>
      </c>
      <c r="H1745" t="str">
        <f>IF(WEEKDAY(A1745,2)&gt;5,"Weekend","Weekday")</f>
        <v>Weekday</v>
      </c>
      <c r="I1745" t="str">
        <f>_xlfn.IFS(B1745&lt;=5,"Night (0-5)",B1745&lt;=9,"Morning peak (6-9)",B1745&lt;=15,"Midday (10-15)",B1745&lt;=19,"Evening peak (16-19)",TRUE,"Late evening (20-23)")</f>
        <v>Midday (10-15)</v>
      </c>
    </row>
    <row r="1746" spans="1:9">
      <c r="A1746" s="32">
        <v>41802</v>
      </c>
      <c r="B1746">
        <v>16</v>
      </c>
      <c r="C1746">
        <v>2001</v>
      </c>
      <c r="D1746" t="s">
        <v>303</v>
      </c>
      <c r="E1746">
        <f>YEAR(A1746)</f>
        <v>2014</v>
      </c>
      <c r="F1746" s="33">
        <f>DATE(YEAR(A1746),MONTH(A1746),1)</f>
        <v>41791.0</v>
      </c>
      <c r="G1746" t="str">
        <f>CHOOSE(WEEKDAY(A1746,2),"Mon","Tue","Wed","Thu","Fri","Sat","Sun")</f>
        <v>Thu</v>
      </c>
      <c r="H1746" t="str">
        <f>IF(WEEKDAY(A1746,2)&gt;5,"Weekend","Weekday")</f>
        <v>Weekday</v>
      </c>
      <c r="I1746" t="str">
        <f>_xlfn.IFS(B1746&lt;=5,"Night (0-5)",B1746&lt;=9,"Morning peak (6-9)",B1746&lt;=15,"Midday (10-15)",B1746&lt;=19,"Evening peak (16-19)",TRUE,"Late evening (20-23)")</f>
        <v>Evening peak (16-19)</v>
      </c>
    </row>
    <row r="1747" spans="1:9">
      <c r="A1747" s="32">
        <v>41802</v>
      </c>
      <c r="B1747">
        <v>17</v>
      </c>
      <c r="C1747">
        <v>2293</v>
      </c>
      <c r="D1747" t="s">
        <v>303</v>
      </c>
      <c r="E1747">
        <f>YEAR(A1747)</f>
        <v>2014</v>
      </c>
      <c r="F1747" s="33">
        <f>DATE(YEAR(A1747),MONTH(A1747),1)</f>
        <v>41791.0</v>
      </c>
      <c r="G1747" t="str">
        <f>CHOOSE(WEEKDAY(A1747,2),"Mon","Tue","Wed","Thu","Fri","Sat","Sun")</f>
        <v>Thu</v>
      </c>
      <c r="H1747" t="str">
        <f>IF(WEEKDAY(A1747,2)&gt;5,"Weekend","Weekday")</f>
        <v>Weekday</v>
      </c>
      <c r="I1747" t="str">
        <f>_xlfn.IFS(B1747&lt;=5,"Night (0-5)",B1747&lt;=9,"Morning peak (6-9)",B1747&lt;=15,"Midday (10-15)",B1747&lt;=19,"Evening peak (16-19)",TRUE,"Late evening (20-23)")</f>
        <v>Evening peak (16-19)</v>
      </c>
    </row>
    <row r="1748" spans="1:9">
      <c r="A1748" s="32">
        <v>41802</v>
      </c>
      <c r="B1748">
        <v>18</v>
      </c>
      <c r="C1748">
        <v>2281</v>
      </c>
      <c r="D1748" t="s">
        <v>303</v>
      </c>
      <c r="E1748">
        <f>YEAR(A1748)</f>
        <v>2014</v>
      </c>
      <c r="F1748" s="33">
        <f>DATE(YEAR(A1748),MONTH(A1748),1)</f>
        <v>41791.0</v>
      </c>
      <c r="G1748" t="str">
        <f>CHOOSE(WEEKDAY(A1748,2),"Mon","Tue","Wed","Thu","Fri","Sat","Sun")</f>
        <v>Thu</v>
      </c>
      <c r="H1748" t="str">
        <f>IF(WEEKDAY(A1748,2)&gt;5,"Weekend","Weekday")</f>
        <v>Weekday</v>
      </c>
      <c r="I1748" t="str">
        <f>_xlfn.IFS(B1748&lt;=5,"Night (0-5)",B1748&lt;=9,"Morning peak (6-9)",B1748&lt;=15,"Midday (10-15)",B1748&lt;=19,"Evening peak (16-19)",TRUE,"Late evening (20-23)")</f>
        <v>Evening peak (16-19)</v>
      </c>
    </row>
    <row r="1749" spans="1:9">
      <c r="A1749" s="32">
        <v>41802</v>
      </c>
      <c r="B1749">
        <v>19</v>
      </c>
      <c r="C1749">
        <v>2012</v>
      </c>
      <c r="D1749" t="s">
        <v>303</v>
      </c>
      <c r="E1749">
        <f>YEAR(A1749)</f>
        <v>2014</v>
      </c>
      <c r="F1749" s="33">
        <f>DATE(YEAR(A1749),MONTH(A1749),1)</f>
        <v>41791.0</v>
      </c>
      <c r="G1749" t="str">
        <f>CHOOSE(WEEKDAY(A1749,2),"Mon","Tue","Wed","Thu","Fri","Sat","Sun")</f>
        <v>Thu</v>
      </c>
      <c r="H1749" t="str">
        <f>IF(WEEKDAY(A1749,2)&gt;5,"Weekend","Weekday")</f>
        <v>Weekday</v>
      </c>
      <c r="I1749" t="str">
        <f>_xlfn.IFS(B1749&lt;=5,"Night (0-5)",B1749&lt;=9,"Morning peak (6-9)",B1749&lt;=15,"Midday (10-15)",B1749&lt;=19,"Evening peak (16-19)",TRUE,"Late evening (20-23)")</f>
        <v>Evening peak (16-19)</v>
      </c>
    </row>
    <row r="1750" spans="1:9">
      <c r="A1750" s="32">
        <v>41802</v>
      </c>
      <c r="B1750">
        <v>20</v>
      </c>
      <c r="C1750">
        <v>2075</v>
      </c>
      <c r="D1750" t="s">
        <v>303</v>
      </c>
      <c r="E1750">
        <f>YEAR(A1750)</f>
        <v>2014</v>
      </c>
      <c r="F1750" s="33">
        <f>DATE(YEAR(A1750),MONTH(A1750),1)</f>
        <v>41791.0</v>
      </c>
      <c r="G1750" t="str">
        <f>CHOOSE(WEEKDAY(A1750,2),"Mon","Tue","Wed","Thu","Fri","Sat","Sun")</f>
        <v>Thu</v>
      </c>
      <c r="H1750" t="str">
        <f>IF(WEEKDAY(A1750,2)&gt;5,"Weekend","Weekday")</f>
        <v>Weekday</v>
      </c>
      <c r="I1750" t="str">
        <f>_xlfn.IFS(B1750&lt;=5,"Night (0-5)",B1750&lt;=9,"Morning peak (6-9)",B1750&lt;=15,"Midday (10-15)",B1750&lt;=19,"Evening peak (16-19)",TRUE,"Late evening (20-23)")</f>
        <v>Late evening (20-23)</v>
      </c>
    </row>
    <row r="1751" spans="1:9">
      <c r="A1751" s="32">
        <v>41802</v>
      </c>
      <c r="B1751">
        <v>21</v>
      </c>
      <c r="C1751">
        <v>1969</v>
      </c>
      <c r="D1751" t="s">
        <v>303</v>
      </c>
      <c r="E1751">
        <f>YEAR(A1751)</f>
        <v>2014</v>
      </c>
      <c r="F1751" s="33">
        <f>DATE(YEAR(A1751),MONTH(A1751),1)</f>
        <v>41791.0</v>
      </c>
      <c r="G1751" t="str">
        <f>CHOOSE(WEEKDAY(A1751,2),"Mon","Tue","Wed","Thu","Fri","Sat","Sun")</f>
        <v>Thu</v>
      </c>
      <c r="H1751" t="str">
        <f>IF(WEEKDAY(A1751,2)&gt;5,"Weekend","Weekday")</f>
        <v>Weekday</v>
      </c>
      <c r="I1751" t="str">
        <f>_xlfn.IFS(B1751&lt;=5,"Night (0-5)",B1751&lt;=9,"Morning peak (6-9)",B1751&lt;=15,"Midday (10-15)",B1751&lt;=19,"Evening peak (16-19)",TRUE,"Late evening (20-23)")</f>
        <v>Late evening (20-23)</v>
      </c>
    </row>
    <row r="1752" spans="1:9">
      <c r="A1752" s="32">
        <v>41802</v>
      </c>
      <c r="B1752">
        <v>22</v>
      </c>
      <c r="C1752">
        <v>1914</v>
      </c>
      <c r="D1752" t="s">
        <v>303</v>
      </c>
      <c r="E1752">
        <f>YEAR(A1752)</f>
        <v>2014</v>
      </c>
      <c r="F1752" s="33">
        <f>DATE(YEAR(A1752),MONTH(A1752),1)</f>
        <v>41791.0</v>
      </c>
      <c r="G1752" t="str">
        <f>CHOOSE(WEEKDAY(A1752,2),"Mon","Tue","Wed","Thu","Fri","Sat","Sun")</f>
        <v>Thu</v>
      </c>
      <c r="H1752" t="str">
        <f>IF(WEEKDAY(A1752,2)&gt;5,"Weekend","Weekday")</f>
        <v>Weekday</v>
      </c>
      <c r="I1752" t="str">
        <f>_xlfn.IFS(B1752&lt;=5,"Night (0-5)",B1752&lt;=9,"Morning peak (6-9)",B1752&lt;=15,"Midday (10-15)",B1752&lt;=19,"Evening peak (16-19)",TRUE,"Late evening (20-23)")</f>
        <v>Late evening (20-23)</v>
      </c>
    </row>
    <row r="1753" spans="1:9">
      <c r="A1753" s="32">
        <v>41802</v>
      </c>
      <c r="B1753">
        <v>23</v>
      </c>
      <c r="C1753">
        <v>1326</v>
      </c>
      <c r="D1753" t="s">
        <v>303</v>
      </c>
      <c r="E1753">
        <f>YEAR(A1753)</f>
        <v>2014</v>
      </c>
      <c r="F1753" s="33">
        <f>DATE(YEAR(A1753),MONTH(A1753),1)</f>
        <v>41791.0</v>
      </c>
      <c r="G1753" t="str">
        <f>CHOOSE(WEEKDAY(A1753,2),"Mon","Tue","Wed","Thu","Fri","Sat","Sun")</f>
        <v>Thu</v>
      </c>
      <c r="H1753" t="str">
        <f>IF(WEEKDAY(A1753,2)&gt;5,"Weekend","Weekday")</f>
        <v>Weekday</v>
      </c>
      <c r="I1753" t="str">
        <f>_xlfn.IFS(B1753&lt;=5,"Night (0-5)",B1753&lt;=9,"Morning peak (6-9)",B1753&lt;=15,"Midday (10-15)",B1753&lt;=19,"Evening peak (16-19)",TRUE,"Late evening (20-23)")</f>
        <v>Late evening (20-23)</v>
      </c>
    </row>
    <row r="1754" spans="1:9">
      <c r="A1754" s="32">
        <v>41803</v>
      </c>
      <c r="B1754">
        <v>0</v>
      </c>
      <c r="C1754">
        <v>509</v>
      </c>
      <c r="D1754" t="s">
        <v>303</v>
      </c>
      <c r="E1754">
        <f>YEAR(A1754)</f>
        <v>2014</v>
      </c>
      <c r="F1754" s="33">
        <f>DATE(YEAR(A1754),MONTH(A1754),1)</f>
        <v>41791.0</v>
      </c>
      <c r="G1754" t="str">
        <f>CHOOSE(WEEKDAY(A1754,2),"Mon","Tue","Wed","Thu","Fri","Sat","Sun")</f>
        <v>Fri</v>
      </c>
      <c r="H1754" t="str">
        <f>IF(WEEKDAY(A1754,2)&gt;5,"Weekend","Weekday")</f>
        <v>Weekday</v>
      </c>
      <c r="I1754" t="str">
        <f>_xlfn.IFS(B1754&lt;=5,"Night (0-5)",B1754&lt;=9,"Morning peak (6-9)",B1754&lt;=15,"Midday (10-15)",B1754&lt;=19,"Evening peak (16-19)",TRUE,"Late evening (20-23)")</f>
        <v>Night (0-5)</v>
      </c>
    </row>
    <row r="1755" spans="1:9">
      <c r="A1755" s="32">
        <v>41803</v>
      </c>
      <c r="B1755">
        <v>1</v>
      </c>
      <c r="C1755">
        <v>319</v>
      </c>
      <c r="D1755" t="s">
        <v>303</v>
      </c>
      <c r="E1755">
        <f>YEAR(A1755)</f>
        <v>2014</v>
      </c>
      <c r="F1755" s="33">
        <f>DATE(YEAR(A1755),MONTH(A1755),1)</f>
        <v>41791.0</v>
      </c>
      <c r="G1755" t="str">
        <f>CHOOSE(WEEKDAY(A1755,2),"Mon","Tue","Wed","Thu","Fri","Sat","Sun")</f>
        <v>Fri</v>
      </c>
      <c r="H1755" t="str">
        <f>IF(WEEKDAY(A1755,2)&gt;5,"Weekend","Weekday")</f>
        <v>Weekday</v>
      </c>
      <c r="I1755" t="str">
        <f>_xlfn.IFS(B1755&lt;=5,"Night (0-5)",B1755&lt;=9,"Morning peak (6-9)",B1755&lt;=15,"Midday (10-15)",B1755&lt;=19,"Evening peak (16-19)",TRUE,"Late evening (20-23)")</f>
        <v>Night (0-5)</v>
      </c>
    </row>
    <row r="1756" spans="1:9">
      <c r="A1756" s="32">
        <v>41803</v>
      </c>
      <c r="B1756">
        <v>2</v>
      </c>
      <c r="C1756">
        <v>203</v>
      </c>
      <c r="D1756" t="s">
        <v>303</v>
      </c>
      <c r="E1756">
        <f>YEAR(A1756)</f>
        <v>2014</v>
      </c>
      <c r="F1756" s="33">
        <f>DATE(YEAR(A1756),MONTH(A1756),1)</f>
        <v>41791.0</v>
      </c>
      <c r="G1756" t="str">
        <f>CHOOSE(WEEKDAY(A1756,2),"Mon","Tue","Wed","Thu","Fri","Sat","Sun")</f>
        <v>Fri</v>
      </c>
      <c r="H1756" t="str">
        <f>IF(WEEKDAY(A1756,2)&gt;5,"Weekend","Weekday")</f>
        <v>Weekday</v>
      </c>
      <c r="I1756" t="str">
        <f>_xlfn.IFS(B1756&lt;=5,"Night (0-5)",B1756&lt;=9,"Morning peak (6-9)",B1756&lt;=15,"Midday (10-15)",B1756&lt;=19,"Evening peak (16-19)",TRUE,"Late evening (20-23)")</f>
        <v>Night (0-5)</v>
      </c>
    </row>
    <row r="1757" spans="1:9">
      <c r="A1757" s="32">
        <v>41803</v>
      </c>
      <c r="B1757">
        <v>3</v>
      </c>
      <c r="C1757">
        <v>267</v>
      </c>
      <c r="D1757" t="s">
        <v>303</v>
      </c>
      <c r="E1757">
        <f>YEAR(A1757)</f>
        <v>2014</v>
      </c>
      <c r="F1757" s="33">
        <f>DATE(YEAR(A1757),MONTH(A1757),1)</f>
        <v>41791.0</v>
      </c>
      <c r="G1757" t="str">
        <f>CHOOSE(WEEKDAY(A1757,2),"Mon","Tue","Wed","Thu","Fri","Sat","Sun")</f>
        <v>Fri</v>
      </c>
      <c r="H1757" t="str">
        <f>IF(WEEKDAY(A1757,2)&gt;5,"Weekend","Weekday")</f>
        <v>Weekday</v>
      </c>
      <c r="I1757" t="str">
        <f>_xlfn.IFS(B1757&lt;=5,"Night (0-5)",B1757&lt;=9,"Morning peak (6-9)",B1757&lt;=15,"Midday (10-15)",B1757&lt;=19,"Evening peak (16-19)",TRUE,"Late evening (20-23)")</f>
        <v>Night (0-5)</v>
      </c>
    </row>
    <row r="1758" spans="1:9">
      <c r="A1758" s="32">
        <v>41803</v>
      </c>
      <c r="B1758">
        <v>4</v>
      </c>
      <c r="C1758">
        <v>374</v>
      </c>
      <c r="D1758" t="s">
        <v>303</v>
      </c>
      <c r="E1758">
        <f>YEAR(A1758)</f>
        <v>2014</v>
      </c>
      <c r="F1758" s="33">
        <f>DATE(YEAR(A1758),MONTH(A1758),1)</f>
        <v>41791.0</v>
      </c>
      <c r="G1758" t="str">
        <f>CHOOSE(WEEKDAY(A1758,2),"Mon","Tue","Wed","Thu","Fri","Sat","Sun")</f>
        <v>Fri</v>
      </c>
      <c r="H1758" t="str">
        <f>IF(WEEKDAY(A1758,2)&gt;5,"Weekend","Weekday")</f>
        <v>Weekday</v>
      </c>
      <c r="I1758" t="str">
        <f>_xlfn.IFS(B1758&lt;=5,"Night (0-5)",B1758&lt;=9,"Morning peak (6-9)",B1758&lt;=15,"Midday (10-15)",B1758&lt;=19,"Evening peak (16-19)",TRUE,"Late evening (20-23)")</f>
        <v>Night (0-5)</v>
      </c>
    </row>
    <row r="1759" spans="1:9">
      <c r="A1759" s="32">
        <v>41803</v>
      </c>
      <c r="B1759">
        <v>5</v>
      </c>
      <c r="C1759">
        <v>528</v>
      </c>
      <c r="D1759" t="s">
        <v>303</v>
      </c>
      <c r="E1759">
        <f>YEAR(A1759)</f>
        <v>2014</v>
      </c>
      <c r="F1759" s="33">
        <f>DATE(YEAR(A1759),MONTH(A1759),1)</f>
        <v>41791.0</v>
      </c>
      <c r="G1759" t="str">
        <f>CHOOSE(WEEKDAY(A1759,2),"Mon","Tue","Wed","Thu","Fri","Sat","Sun")</f>
        <v>Fri</v>
      </c>
      <c r="H1759" t="str">
        <f>IF(WEEKDAY(A1759,2)&gt;5,"Weekend","Weekday")</f>
        <v>Weekday</v>
      </c>
      <c r="I1759" t="str">
        <f>_xlfn.IFS(B1759&lt;=5,"Night (0-5)",B1759&lt;=9,"Morning peak (6-9)",B1759&lt;=15,"Midday (10-15)",B1759&lt;=19,"Evening peak (16-19)",TRUE,"Late evening (20-23)")</f>
        <v>Night (0-5)</v>
      </c>
    </row>
    <row r="1760" spans="1:9">
      <c r="A1760" s="32">
        <v>41803</v>
      </c>
      <c r="B1760">
        <v>6</v>
      </c>
      <c r="C1760">
        <v>1030</v>
      </c>
      <c r="D1760" t="s">
        <v>303</v>
      </c>
      <c r="E1760">
        <f>YEAR(A1760)</f>
        <v>2014</v>
      </c>
      <c r="F1760" s="33">
        <f>DATE(YEAR(A1760),MONTH(A1760),1)</f>
        <v>41791.0</v>
      </c>
      <c r="G1760" t="str">
        <f>CHOOSE(WEEKDAY(A1760,2),"Mon","Tue","Wed","Thu","Fri","Sat","Sun")</f>
        <v>Fri</v>
      </c>
      <c r="H1760" t="str">
        <f>IF(WEEKDAY(A1760,2)&gt;5,"Weekend","Weekday")</f>
        <v>Weekday</v>
      </c>
      <c r="I1760" t="str">
        <f>_xlfn.IFS(B1760&lt;=5,"Night (0-5)",B1760&lt;=9,"Morning peak (6-9)",B1760&lt;=15,"Midday (10-15)",B1760&lt;=19,"Evening peak (16-19)",TRUE,"Late evening (20-23)")</f>
        <v>Morning peak (6-9)</v>
      </c>
    </row>
    <row r="1761" spans="1:9">
      <c r="A1761" s="32">
        <v>41803</v>
      </c>
      <c r="B1761">
        <v>7</v>
      </c>
      <c r="C1761">
        <v>1639</v>
      </c>
      <c r="D1761" t="s">
        <v>303</v>
      </c>
      <c r="E1761">
        <f>YEAR(A1761)</f>
        <v>2014</v>
      </c>
      <c r="F1761" s="33">
        <f>DATE(YEAR(A1761),MONTH(A1761),1)</f>
        <v>41791.0</v>
      </c>
      <c r="G1761" t="str">
        <f>CHOOSE(WEEKDAY(A1761,2),"Mon","Tue","Wed","Thu","Fri","Sat","Sun")</f>
        <v>Fri</v>
      </c>
      <c r="H1761" t="str">
        <f>IF(WEEKDAY(A1761,2)&gt;5,"Weekend","Weekday")</f>
        <v>Weekday</v>
      </c>
      <c r="I1761" t="str">
        <f>_xlfn.IFS(B1761&lt;=5,"Night (0-5)",B1761&lt;=9,"Morning peak (6-9)",B1761&lt;=15,"Midday (10-15)",B1761&lt;=19,"Evening peak (16-19)",TRUE,"Late evening (20-23)")</f>
        <v>Morning peak (6-9)</v>
      </c>
    </row>
    <row r="1762" spans="1:9">
      <c r="A1762" s="32">
        <v>41803</v>
      </c>
      <c r="B1762">
        <v>8</v>
      </c>
      <c r="C1762">
        <v>1837</v>
      </c>
      <c r="D1762" t="s">
        <v>303</v>
      </c>
      <c r="E1762">
        <f>YEAR(A1762)</f>
        <v>2014</v>
      </c>
      <c r="F1762" s="33">
        <f>DATE(YEAR(A1762),MONTH(A1762),1)</f>
        <v>41791.0</v>
      </c>
      <c r="G1762" t="str">
        <f>CHOOSE(WEEKDAY(A1762,2),"Mon","Tue","Wed","Thu","Fri","Sat","Sun")</f>
        <v>Fri</v>
      </c>
      <c r="H1762" t="str">
        <f>IF(WEEKDAY(A1762,2)&gt;5,"Weekend","Weekday")</f>
        <v>Weekday</v>
      </c>
      <c r="I1762" t="str">
        <f>_xlfn.IFS(B1762&lt;=5,"Night (0-5)",B1762&lt;=9,"Morning peak (6-9)",B1762&lt;=15,"Midday (10-15)",B1762&lt;=19,"Evening peak (16-19)",TRUE,"Late evening (20-23)")</f>
        <v>Morning peak (6-9)</v>
      </c>
    </row>
    <row r="1763" spans="1:9">
      <c r="A1763" s="32">
        <v>41803</v>
      </c>
      <c r="B1763">
        <v>9</v>
      </c>
      <c r="C1763">
        <v>1516</v>
      </c>
      <c r="D1763" t="s">
        <v>303</v>
      </c>
      <c r="E1763">
        <f>YEAR(A1763)</f>
        <v>2014</v>
      </c>
      <c r="F1763" s="33">
        <f>DATE(YEAR(A1763),MONTH(A1763),1)</f>
        <v>41791.0</v>
      </c>
      <c r="G1763" t="str">
        <f>CHOOSE(WEEKDAY(A1763,2),"Mon","Tue","Wed","Thu","Fri","Sat","Sun")</f>
        <v>Fri</v>
      </c>
      <c r="H1763" t="str">
        <f>IF(WEEKDAY(A1763,2)&gt;5,"Weekend","Weekday")</f>
        <v>Weekday</v>
      </c>
      <c r="I1763" t="str">
        <f>_xlfn.IFS(B1763&lt;=5,"Night (0-5)",B1763&lt;=9,"Morning peak (6-9)",B1763&lt;=15,"Midday (10-15)",B1763&lt;=19,"Evening peak (16-19)",TRUE,"Late evening (20-23)")</f>
        <v>Morning peak (6-9)</v>
      </c>
    </row>
    <row r="1764" spans="1:9">
      <c r="A1764" s="32">
        <v>41803</v>
      </c>
      <c r="B1764">
        <v>10</v>
      </c>
      <c r="C1764">
        <v>1067</v>
      </c>
      <c r="D1764" t="s">
        <v>303</v>
      </c>
      <c r="E1764">
        <f>YEAR(A1764)</f>
        <v>2014</v>
      </c>
      <c r="F1764" s="33">
        <f>DATE(YEAR(A1764),MONTH(A1764),1)</f>
        <v>41791.0</v>
      </c>
      <c r="G1764" t="str">
        <f>CHOOSE(WEEKDAY(A1764,2),"Mon","Tue","Wed","Thu","Fri","Sat","Sun")</f>
        <v>Fri</v>
      </c>
      <c r="H1764" t="str">
        <f>IF(WEEKDAY(A1764,2)&gt;5,"Weekend","Weekday")</f>
        <v>Weekday</v>
      </c>
      <c r="I1764" t="str">
        <f>_xlfn.IFS(B1764&lt;=5,"Night (0-5)",B1764&lt;=9,"Morning peak (6-9)",B1764&lt;=15,"Midday (10-15)",B1764&lt;=19,"Evening peak (16-19)",TRUE,"Late evening (20-23)")</f>
        <v>Midday (10-15)</v>
      </c>
    </row>
    <row r="1765" spans="1:9">
      <c r="A1765" s="32">
        <v>41803</v>
      </c>
      <c r="B1765">
        <v>11</v>
      </c>
      <c r="C1765">
        <v>1015</v>
      </c>
      <c r="D1765" t="s">
        <v>303</v>
      </c>
      <c r="E1765">
        <f>YEAR(A1765)</f>
        <v>2014</v>
      </c>
      <c r="F1765" s="33">
        <f>DATE(YEAR(A1765),MONTH(A1765),1)</f>
        <v>41791.0</v>
      </c>
      <c r="G1765" t="str">
        <f>CHOOSE(WEEKDAY(A1765,2),"Mon","Tue","Wed","Thu","Fri","Sat","Sun")</f>
        <v>Fri</v>
      </c>
      <c r="H1765" t="str">
        <f>IF(WEEKDAY(A1765,2)&gt;5,"Weekend","Weekday")</f>
        <v>Weekday</v>
      </c>
      <c r="I1765" t="str">
        <f>_xlfn.IFS(B1765&lt;=5,"Night (0-5)",B1765&lt;=9,"Morning peak (6-9)",B1765&lt;=15,"Midday (10-15)",B1765&lt;=19,"Evening peak (16-19)",TRUE,"Late evening (20-23)")</f>
        <v>Midday (10-15)</v>
      </c>
    </row>
    <row r="1766" spans="1:9">
      <c r="A1766" s="32">
        <v>41803</v>
      </c>
      <c r="B1766">
        <v>12</v>
      </c>
      <c r="C1766">
        <v>1019</v>
      </c>
      <c r="D1766" t="s">
        <v>303</v>
      </c>
      <c r="E1766">
        <f>YEAR(A1766)</f>
        <v>2014</v>
      </c>
      <c r="F1766" s="33">
        <f>DATE(YEAR(A1766),MONTH(A1766),1)</f>
        <v>41791.0</v>
      </c>
      <c r="G1766" t="str">
        <f>CHOOSE(WEEKDAY(A1766,2),"Mon","Tue","Wed","Thu","Fri","Sat","Sun")</f>
        <v>Fri</v>
      </c>
      <c r="H1766" t="str">
        <f>IF(WEEKDAY(A1766,2)&gt;5,"Weekend","Weekday")</f>
        <v>Weekday</v>
      </c>
      <c r="I1766" t="str">
        <f>_xlfn.IFS(B1766&lt;=5,"Night (0-5)",B1766&lt;=9,"Morning peak (6-9)",B1766&lt;=15,"Midday (10-15)",B1766&lt;=19,"Evening peak (16-19)",TRUE,"Late evening (20-23)")</f>
        <v>Midday (10-15)</v>
      </c>
    </row>
    <row r="1767" spans="1:9">
      <c r="A1767" s="32">
        <v>41803</v>
      </c>
      <c r="B1767">
        <v>13</v>
      </c>
      <c r="C1767">
        <v>1114</v>
      </c>
      <c r="D1767" t="s">
        <v>303</v>
      </c>
      <c r="E1767">
        <f>YEAR(A1767)</f>
        <v>2014</v>
      </c>
      <c r="F1767" s="33">
        <f>DATE(YEAR(A1767),MONTH(A1767),1)</f>
        <v>41791.0</v>
      </c>
      <c r="G1767" t="str">
        <f>CHOOSE(WEEKDAY(A1767,2),"Mon","Tue","Wed","Thu","Fri","Sat","Sun")</f>
        <v>Fri</v>
      </c>
      <c r="H1767" t="str">
        <f>IF(WEEKDAY(A1767,2)&gt;5,"Weekend","Weekday")</f>
        <v>Weekday</v>
      </c>
      <c r="I1767" t="str">
        <f>_xlfn.IFS(B1767&lt;=5,"Night (0-5)",B1767&lt;=9,"Morning peak (6-9)",B1767&lt;=15,"Midday (10-15)",B1767&lt;=19,"Evening peak (16-19)",TRUE,"Late evening (20-23)")</f>
        <v>Midday (10-15)</v>
      </c>
    </row>
    <row r="1768" spans="1:9">
      <c r="A1768" s="32">
        <v>41803</v>
      </c>
      <c r="B1768">
        <v>14</v>
      </c>
      <c r="C1768">
        <v>1342</v>
      </c>
      <c r="D1768" t="s">
        <v>303</v>
      </c>
      <c r="E1768">
        <f>YEAR(A1768)</f>
        <v>2014</v>
      </c>
      <c r="F1768" s="33">
        <f>DATE(YEAR(A1768),MONTH(A1768),1)</f>
        <v>41791.0</v>
      </c>
      <c r="G1768" t="str">
        <f>CHOOSE(WEEKDAY(A1768,2),"Mon","Tue","Wed","Thu","Fri","Sat","Sun")</f>
        <v>Fri</v>
      </c>
      <c r="H1768" t="str">
        <f>IF(WEEKDAY(A1768,2)&gt;5,"Weekend","Weekday")</f>
        <v>Weekday</v>
      </c>
      <c r="I1768" t="str">
        <f>_xlfn.IFS(B1768&lt;=5,"Night (0-5)",B1768&lt;=9,"Morning peak (6-9)",B1768&lt;=15,"Midday (10-15)",B1768&lt;=19,"Evening peak (16-19)",TRUE,"Late evening (20-23)")</f>
        <v>Midday (10-15)</v>
      </c>
    </row>
    <row r="1769" spans="1:9">
      <c r="A1769" s="32">
        <v>41803</v>
      </c>
      <c r="B1769">
        <v>15</v>
      </c>
      <c r="C1769">
        <v>1639</v>
      </c>
      <c r="D1769" t="s">
        <v>303</v>
      </c>
      <c r="E1769">
        <f>YEAR(A1769)</f>
        <v>2014</v>
      </c>
      <c r="F1769" s="33">
        <f>DATE(YEAR(A1769),MONTH(A1769),1)</f>
        <v>41791.0</v>
      </c>
      <c r="G1769" t="str">
        <f>CHOOSE(WEEKDAY(A1769,2),"Mon","Tue","Wed","Thu","Fri","Sat","Sun")</f>
        <v>Fri</v>
      </c>
      <c r="H1769" t="str">
        <f>IF(WEEKDAY(A1769,2)&gt;5,"Weekend","Weekday")</f>
        <v>Weekday</v>
      </c>
      <c r="I1769" t="str">
        <f>_xlfn.IFS(B1769&lt;=5,"Night (0-5)",B1769&lt;=9,"Morning peak (6-9)",B1769&lt;=15,"Midday (10-15)",B1769&lt;=19,"Evening peak (16-19)",TRUE,"Late evening (20-23)")</f>
        <v>Midday (10-15)</v>
      </c>
    </row>
    <row r="1770" spans="1:9">
      <c r="A1770" s="32">
        <v>41803</v>
      </c>
      <c r="B1770">
        <v>16</v>
      </c>
      <c r="C1770">
        <v>2022</v>
      </c>
      <c r="D1770" t="s">
        <v>303</v>
      </c>
      <c r="E1770">
        <f>YEAR(A1770)</f>
        <v>2014</v>
      </c>
      <c r="F1770" s="33">
        <f>DATE(YEAR(A1770),MONTH(A1770),1)</f>
        <v>41791.0</v>
      </c>
      <c r="G1770" t="str">
        <f>CHOOSE(WEEKDAY(A1770,2),"Mon","Tue","Wed","Thu","Fri","Sat","Sun")</f>
        <v>Fri</v>
      </c>
      <c r="H1770" t="str">
        <f>IF(WEEKDAY(A1770,2)&gt;5,"Weekend","Weekday")</f>
        <v>Weekday</v>
      </c>
      <c r="I1770" t="str">
        <f>_xlfn.IFS(B1770&lt;=5,"Night (0-5)",B1770&lt;=9,"Morning peak (6-9)",B1770&lt;=15,"Midday (10-15)",B1770&lt;=19,"Evening peak (16-19)",TRUE,"Late evening (20-23)")</f>
        <v>Evening peak (16-19)</v>
      </c>
    </row>
    <row r="1771" spans="1:9">
      <c r="A1771" s="32">
        <v>41803</v>
      </c>
      <c r="B1771">
        <v>17</v>
      </c>
      <c r="C1771">
        <v>2986</v>
      </c>
      <c r="D1771" t="s">
        <v>303</v>
      </c>
      <c r="E1771">
        <f>YEAR(A1771)</f>
        <v>2014</v>
      </c>
      <c r="F1771" s="33">
        <f>DATE(YEAR(A1771),MONTH(A1771),1)</f>
        <v>41791.0</v>
      </c>
      <c r="G1771" t="str">
        <f>CHOOSE(WEEKDAY(A1771,2),"Mon","Tue","Wed","Thu","Fri","Sat","Sun")</f>
        <v>Fri</v>
      </c>
      <c r="H1771" t="str">
        <f>IF(WEEKDAY(A1771,2)&gt;5,"Weekend","Weekday")</f>
        <v>Weekday</v>
      </c>
      <c r="I1771" t="str">
        <f>_xlfn.IFS(B1771&lt;=5,"Night (0-5)",B1771&lt;=9,"Morning peak (6-9)",B1771&lt;=15,"Midday (10-15)",B1771&lt;=19,"Evening peak (16-19)",TRUE,"Late evening (20-23)")</f>
        <v>Evening peak (16-19)</v>
      </c>
    </row>
    <row r="1772" spans="1:9">
      <c r="A1772" s="32">
        <v>41803</v>
      </c>
      <c r="B1772">
        <v>18</v>
      </c>
      <c r="C1772">
        <v>3156</v>
      </c>
      <c r="D1772" t="s">
        <v>303</v>
      </c>
      <c r="E1772">
        <f>YEAR(A1772)</f>
        <v>2014</v>
      </c>
      <c r="F1772" s="33">
        <f>DATE(YEAR(A1772),MONTH(A1772),1)</f>
        <v>41791.0</v>
      </c>
      <c r="G1772" t="str">
        <f>CHOOSE(WEEKDAY(A1772,2),"Mon","Tue","Wed","Thu","Fri","Sat","Sun")</f>
        <v>Fri</v>
      </c>
      <c r="H1772" t="str">
        <f>IF(WEEKDAY(A1772,2)&gt;5,"Weekend","Weekday")</f>
        <v>Weekday</v>
      </c>
      <c r="I1772" t="str">
        <f>_xlfn.IFS(B1772&lt;=5,"Night (0-5)",B1772&lt;=9,"Morning peak (6-9)",B1772&lt;=15,"Midday (10-15)",B1772&lt;=19,"Evening peak (16-19)",TRUE,"Late evening (20-23)")</f>
        <v>Evening peak (16-19)</v>
      </c>
    </row>
    <row r="1773" spans="1:9">
      <c r="A1773" s="32">
        <v>41803</v>
      </c>
      <c r="B1773">
        <v>19</v>
      </c>
      <c r="C1773">
        <v>2159</v>
      </c>
      <c r="D1773" t="s">
        <v>303</v>
      </c>
      <c r="E1773">
        <f>YEAR(A1773)</f>
        <v>2014</v>
      </c>
      <c r="F1773" s="33">
        <f>DATE(YEAR(A1773),MONTH(A1773),1)</f>
        <v>41791.0</v>
      </c>
      <c r="G1773" t="str">
        <f>CHOOSE(WEEKDAY(A1773,2),"Mon","Tue","Wed","Thu","Fri","Sat","Sun")</f>
        <v>Fri</v>
      </c>
      <c r="H1773" t="str">
        <f>IF(WEEKDAY(A1773,2)&gt;5,"Weekend","Weekday")</f>
        <v>Weekday</v>
      </c>
      <c r="I1773" t="str">
        <f>_xlfn.IFS(B1773&lt;=5,"Night (0-5)",B1773&lt;=9,"Morning peak (6-9)",B1773&lt;=15,"Midday (10-15)",B1773&lt;=19,"Evening peak (16-19)",TRUE,"Late evening (20-23)")</f>
        <v>Evening peak (16-19)</v>
      </c>
    </row>
    <row r="1774" spans="1:9">
      <c r="A1774" s="32">
        <v>41803</v>
      </c>
      <c r="B1774">
        <v>20</v>
      </c>
      <c r="C1774">
        <v>1429</v>
      </c>
      <c r="D1774" t="s">
        <v>303</v>
      </c>
      <c r="E1774">
        <f>YEAR(A1774)</f>
        <v>2014</v>
      </c>
      <c r="F1774" s="33">
        <f>DATE(YEAR(A1774),MONTH(A1774),1)</f>
        <v>41791.0</v>
      </c>
      <c r="G1774" t="str">
        <f>CHOOSE(WEEKDAY(A1774,2),"Mon","Tue","Wed","Thu","Fri","Sat","Sun")</f>
        <v>Fri</v>
      </c>
      <c r="H1774" t="str">
        <f>IF(WEEKDAY(A1774,2)&gt;5,"Weekend","Weekday")</f>
        <v>Weekday</v>
      </c>
      <c r="I1774" t="str">
        <f>_xlfn.IFS(B1774&lt;=5,"Night (0-5)",B1774&lt;=9,"Morning peak (6-9)",B1774&lt;=15,"Midday (10-15)",B1774&lt;=19,"Evening peak (16-19)",TRUE,"Late evening (20-23)")</f>
        <v>Late evening (20-23)</v>
      </c>
    </row>
    <row r="1775" spans="1:9">
      <c r="A1775" s="32">
        <v>41803</v>
      </c>
      <c r="B1775">
        <v>21</v>
      </c>
      <c r="C1775">
        <v>1436</v>
      </c>
      <c r="D1775" t="s">
        <v>303</v>
      </c>
      <c r="E1775">
        <f>YEAR(A1775)</f>
        <v>2014</v>
      </c>
      <c r="F1775" s="33">
        <f>DATE(YEAR(A1775),MONTH(A1775),1)</f>
        <v>41791.0</v>
      </c>
      <c r="G1775" t="str">
        <f>CHOOSE(WEEKDAY(A1775,2),"Mon","Tue","Wed","Thu","Fri","Sat","Sun")</f>
        <v>Fri</v>
      </c>
      <c r="H1775" t="str">
        <f>IF(WEEKDAY(A1775,2)&gt;5,"Weekend","Weekday")</f>
        <v>Weekday</v>
      </c>
      <c r="I1775" t="str">
        <f>_xlfn.IFS(B1775&lt;=5,"Night (0-5)",B1775&lt;=9,"Morning peak (6-9)",B1775&lt;=15,"Midday (10-15)",B1775&lt;=19,"Evening peak (16-19)",TRUE,"Late evening (20-23)")</f>
        <v>Late evening (20-23)</v>
      </c>
    </row>
    <row r="1776" spans="1:9">
      <c r="A1776" s="32">
        <v>41803</v>
      </c>
      <c r="B1776">
        <v>22</v>
      </c>
      <c r="C1776">
        <v>1339</v>
      </c>
      <c r="D1776" t="s">
        <v>303</v>
      </c>
      <c r="E1776">
        <f>YEAR(A1776)</f>
        <v>2014</v>
      </c>
      <c r="F1776" s="33">
        <f>DATE(YEAR(A1776),MONTH(A1776),1)</f>
        <v>41791.0</v>
      </c>
      <c r="G1776" t="str">
        <f>CHOOSE(WEEKDAY(A1776,2),"Mon","Tue","Wed","Thu","Fri","Sat","Sun")</f>
        <v>Fri</v>
      </c>
      <c r="H1776" t="str">
        <f>IF(WEEKDAY(A1776,2)&gt;5,"Weekend","Weekday")</f>
        <v>Weekday</v>
      </c>
      <c r="I1776" t="str">
        <f>_xlfn.IFS(B1776&lt;=5,"Night (0-5)",B1776&lt;=9,"Morning peak (6-9)",B1776&lt;=15,"Midday (10-15)",B1776&lt;=19,"Evening peak (16-19)",TRUE,"Late evening (20-23)")</f>
        <v>Late evening (20-23)</v>
      </c>
    </row>
    <row r="1777" spans="1:9">
      <c r="A1777" s="32">
        <v>41803</v>
      </c>
      <c r="B1777">
        <v>23</v>
      </c>
      <c r="C1777">
        <v>1262</v>
      </c>
      <c r="D1777" t="s">
        <v>303</v>
      </c>
      <c r="E1777">
        <f>YEAR(A1777)</f>
        <v>2014</v>
      </c>
      <c r="F1777" s="33">
        <f>DATE(YEAR(A1777),MONTH(A1777),1)</f>
        <v>41791.0</v>
      </c>
      <c r="G1777" t="str">
        <f>CHOOSE(WEEKDAY(A1777,2),"Mon","Tue","Wed","Thu","Fri","Sat","Sun")</f>
        <v>Fri</v>
      </c>
      <c r="H1777" t="str">
        <f>IF(WEEKDAY(A1777,2)&gt;5,"Weekend","Weekday")</f>
        <v>Weekday</v>
      </c>
      <c r="I1777" t="str">
        <f>_xlfn.IFS(B1777&lt;=5,"Night (0-5)",B1777&lt;=9,"Morning peak (6-9)",B1777&lt;=15,"Midday (10-15)",B1777&lt;=19,"Evening peak (16-19)",TRUE,"Late evening (20-23)")</f>
        <v>Late evening (20-23)</v>
      </c>
    </row>
    <row r="1778" spans="1:9">
      <c r="A1778" s="32">
        <v>41804</v>
      </c>
      <c r="B1778">
        <v>0</v>
      </c>
      <c r="C1778">
        <v>769</v>
      </c>
      <c r="D1778" t="s">
        <v>303</v>
      </c>
      <c r="E1778">
        <f>YEAR(A1778)</f>
        <v>2014</v>
      </c>
      <c r="F1778" s="33">
        <f>DATE(YEAR(A1778),MONTH(A1778),1)</f>
        <v>41791.0</v>
      </c>
      <c r="G1778" t="str">
        <f>CHOOSE(WEEKDAY(A1778,2),"Mon","Tue","Wed","Thu","Fri","Sat","Sun")</f>
        <v>Sat</v>
      </c>
      <c r="H1778" t="str">
        <f>IF(WEEKDAY(A1778,2)&gt;5,"Weekend","Weekday")</f>
        <v>Weekend</v>
      </c>
      <c r="I1778" t="str">
        <f>_xlfn.IFS(B1778&lt;=5,"Night (0-5)",B1778&lt;=9,"Morning peak (6-9)",B1778&lt;=15,"Midday (10-15)",B1778&lt;=19,"Evening peak (16-19)",TRUE,"Late evening (20-23)")</f>
        <v>Night (0-5)</v>
      </c>
    </row>
    <row r="1779" spans="1:9">
      <c r="A1779" s="32">
        <v>41804</v>
      </c>
      <c r="B1779">
        <v>1</v>
      </c>
      <c r="C1779">
        <v>504</v>
      </c>
      <c r="D1779" t="s">
        <v>303</v>
      </c>
      <c r="E1779">
        <f>YEAR(A1779)</f>
        <v>2014</v>
      </c>
      <c r="F1779" s="33">
        <f>DATE(YEAR(A1779),MONTH(A1779),1)</f>
        <v>41791.0</v>
      </c>
      <c r="G1779" t="str">
        <f>CHOOSE(WEEKDAY(A1779,2),"Mon","Tue","Wed","Thu","Fri","Sat","Sun")</f>
        <v>Sat</v>
      </c>
      <c r="H1779" t="str">
        <f>IF(WEEKDAY(A1779,2)&gt;5,"Weekend","Weekday")</f>
        <v>Weekend</v>
      </c>
      <c r="I1779" t="str">
        <f>_xlfn.IFS(B1779&lt;=5,"Night (0-5)",B1779&lt;=9,"Morning peak (6-9)",B1779&lt;=15,"Midday (10-15)",B1779&lt;=19,"Evening peak (16-19)",TRUE,"Late evening (20-23)")</f>
        <v>Night (0-5)</v>
      </c>
    </row>
    <row r="1780" spans="1:9">
      <c r="A1780" s="32">
        <v>41804</v>
      </c>
      <c r="B1780">
        <v>2</v>
      </c>
      <c r="C1780">
        <v>315</v>
      </c>
      <c r="D1780" t="s">
        <v>303</v>
      </c>
      <c r="E1780">
        <f>YEAR(A1780)</f>
        <v>2014</v>
      </c>
      <c r="F1780" s="33">
        <f>DATE(YEAR(A1780),MONTH(A1780),1)</f>
        <v>41791.0</v>
      </c>
      <c r="G1780" t="str">
        <f>CHOOSE(WEEKDAY(A1780,2),"Mon","Tue","Wed","Thu","Fri","Sat","Sun")</f>
        <v>Sat</v>
      </c>
      <c r="H1780" t="str">
        <f>IF(WEEKDAY(A1780,2)&gt;5,"Weekend","Weekday")</f>
        <v>Weekend</v>
      </c>
      <c r="I1780" t="str">
        <f>_xlfn.IFS(B1780&lt;=5,"Night (0-5)",B1780&lt;=9,"Morning peak (6-9)",B1780&lt;=15,"Midday (10-15)",B1780&lt;=19,"Evening peak (16-19)",TRUE,"Late evening (20-23)")</f>
        <v>Night (0-5)</v>
      </c>
    </row>
    <row r="1781" spans="1:9">
      <c r="A1781" s="32">
        <v>41804</v>
      </c>
      <c r="B1781">
        <v>3</v>
      </c>
      <c r="C1781">
        <v>330</v>
      </c>
      <c r="D1781" t="s">
        <v>303</v>
      </c>
      <c r="E1781">
        <f>YEAR(A1781)</f>
        <v>2014</v>
      </c>
      <c r="F1781" s="33">
        <f>DATE(YEAR(A1781),MONTH(A1781),1)</f>
        <v>41791.0</v>
      </c>
      <c r="G1781" t="str">
        <f>CHOOSE(WEEKDAY(A1781,2),"Mon","Tue","Wed","Thu","Fri","Sat","Sun")</f>
        <v>Sat</v>
      </c>
      <c r="H1781" t="str">
        <f>IF(WEEKDAY(A1781,2)&gt;5,"Weekend","Weekday")</f>
        <v>Weekend</v>
      </c>
      <c r="I1781" t="str">
        <f>_xlfn.IFS(B1781&lt;=5,"Night (0-5)",B1781&lt;=9,"Morning peak (6-9)",B1781&lt;=15,"Midday (10-15)",B1781&lt;=19,"Evening peak (16-19)",TRUE,"Late evening (20-23)")</f>
        <v>Night (0-5)</v>
      </c>
    </row>
    <row r="1782" spans="1:9">
      <c r="A1782" s="32">
        <v>41804</v>
      </c>
      <c r="B1782">
        <v>4</v>
      </c>
      <c r="C1782">
        <v>196</v>
      </c>
      <c r="D1782" t="s">
        <v>303</v>
      </c>
      <c r="E1782">
        <f>YEAR(A1782)</f>
        <v>2014</v>
      </c>
      <c r="F1782" s="33">
        <f>DATE(YEAR(A1782),MONTH(A1782),1)</f>
        <v>41791.0</v>
      </c>
      <c r="G1782" t="str">
        <f>CHOOSE(WEEKDAY(A1782,2),"Mon","Tue","Wed","Thu","Fri","Sat","Sun")</f>
        <v>Sat</v>
      </c>
      <c r="H1782" t="str">
        <f>IF(WEEKDAY(A1782,2)&gt;5,"Weekend","Weekday")</f>
        <v>Weekend</v>
      </c>
      <c r="I1782" t="str">
        <f>_xlfn.IFS(B1782&lt;=5,"Night (0-5)",B1782&lt;=9,"Morning peak (6-9)",B1782&lt;=15,"Midday (10-15)",B1782&lt;=19,"Evening peak (16-19)",TRUE,"Late evening (20-23)")</f>
        <v>Night (0-5)</v>
      </c>
    </row>
    <row r="1783" spans="1:9">
      <c r="A1783" s="32">
        <v>41804</v>
      </c>
      <c r="B1783">
        <v>5</v>
      </c>
      <c r="C1783">
        <v>231</v>
      </c>
      <c r="D1783" t="s">
        <v>303</v>
      </c>
      <c r="E1783">
        <f>YEAR(A1783)</f>
        <v>2014</v>
      </c>
      <c r="F1783" s="33">
        <f>DATE(YEAR(A1783),MONTH(A1783),1)</f>
        <v>41791.0</v>
      </c>
      <c r="G1783" t="str">
        <f>CHOOSE(WEEKDAY(A1783,2),"Mon","Tue","Wed","Thu","Fri","Sat","Sun")</f>
        <v>Sat</v>
      </c>
      <c r="H1783" t="str">
        <f>IF(WEEKDAY(A1783,2)&gt;5,"Weekend","Weekday")</f>
        <v>Weekend</v>
      </c>
      <c r="I1783" t="str">
        <f>_xlfn.IFS(B1783&lt;=5,"Night (0-5)",B1783&lt;=9,"Morning peak (6-9)",B1783&lt;=15,"Midday (10-15)",B1783&lt;=19,"Evening peak (16-19)",TRUE,"Late evening (20-23)")</f>
        <v>Night (0-5)</v>
      </c>
    </row>
    <row r="1784" spans="1:9">
      <c r="A1784" s="32">
        <v>41804</v>
      </c>
      <c r="B1784">
        <v>6</v>
      </c>
      <c r="C1784">
        <v>320</v>
      </c>
      <c r="D1784" t="s">
        <v>303</v>
      </c>
      <c r="E1784">
        <f>YEAR(A1784)</f>
        <v>2014</v>
      </c>
      <c r="F1784" s="33">
        <f>DATE(YEAR(A1784),MONTH(A1784),1)</f>
        <v>41791.0</v>
      </c>
      <c r="G1784" t="str">
        <f>CHOOSE(WEEKDAY(A1784,2),"Mon","Tue","Wed","Thu","Fri","Sat","Sun")</f>
        <v>Sat</v>
      </c>
      <c r="H1784" t="str">
        <f>IF(WEEKDAY(A1784,2)&gt;5,"Weekend","Weekday")</f>
        <v>Weekend</v>
      </c>
      <c r="I1784" t="str">
        <f>_xlfn.IFS(B1784&lt;=5,"Night (0-5)",B1784&lt;=9,"Morning peak (6-9)",B1784&lt;=15,"Midday (10-15)",B1784&lt;=19,"Evening peak (16-19)",TRUE,"Late evening (20-23)")</f>
        <v>Morning peak (6-9)</v>
      </c>
    </row>
    <row r="1785" spans="1:9">
      <c r="A1785" s="32">
        <v>41804</v>
      </c>
      <c r="B1785">
        <v>7</v>
      </c>
      <c r="C1785">
        <v>369</v>
      </c>
      <c r="D1785" t="s">
        <v>303</v>
      </c>
      <c r="E1785">
        <f>YEAR(A1785)</f>
        <v>2014</v>
      </c>
      <c r="F1785" s="33">
        <f>DATE(YEAR(A1785),MONTH(A1785),1)</f>
        <v>41791.0</v>
      </c>
      <c r="G1785" t="str">
        <f>CHOOSE(WEEKDAY(A1785,2),"Mon","Tue","Wed","Thu","Fri","Sat","Sun")</f>
        <v>Sat</v>
      </c>
      <c r="H1785" t="str">
        <f>IF(WEEKDAY(A1785,2)&gt;5,"Weekend","Weekday")</f>
        <v>Weekend</v>
      </c>
      <c r="I1785" t="str">
        <f>_xlfn.IFS(B1785&lt;=5,"Night (0-5)",B1785&lt;=9,"Morning peak (6-9)",B1785&lt;=15,"Midday (10-15)",B1785&lt;=19,"Evening peak (16-19)",TRUE,"Late evening (20-23)")</f>
        <v>Morning peak (6-9)</v>
      </c>
    </row>
    <row r="1786" spans="1:9">
      <c r="A1786" s="32">
        <v>41804</v>
      </c>
      <c r="B1786">
        <v>8</v>
      </c>
      <c r="C1786">
        <v>448</v>
      </c>
      <c r="D1786" t="s">
        <v>303</v>
      </c>
      <c r="E1786">
        <f>YEAR(A1786)</f>
        <v>2014</v>
      </c>
      <c r="F1786" s="33">
        <f>DATE(YEAR(A1786),MONTH(A1786),1)</f>
        <v>41791.0</v>
      </c>
      <c r="G1786" t="str">
        <f>CHOOSE(WEEKDAY(A1786,2),"Mon","Tue","Wed","Thu","Fri","Sat","Sun")</f>
        <v>Sat</v>
      </c>
      <c r="H1786" t="str">
        <f>IF(WEEKDAY(A1786,2)&gt;5,"Weekend","Weekday")</f>
        <v>Weekend</v>
      </c>
      <c r="I1786" t="str">
        <f>_xlfn.IFS(B1786&lt;=5,"Night (0-5)",B1786&lt;=9,"Morning peak (6-9)",B1786&lt;=15,"Midday (10-15)",B1786&lt;=19,"Evening peak (16-19)",TRUE,"Late evening (20-23)")</f>
        <v>Morning peak (6-9)</v>
      </c>
    </row>
    <row r="1787" spans="1:9">
      <c r="A1787" s="32">
        <v>41804</v>
      </c>
      <c r="B1787">
        <v>9</v>
      </c>
      <c r="C1787">
        <v>608</v>
      </c>
      <c r="D1787" t="s">
        <v>303</v>
      </c>
      <c r="E1787">
        <f>YEAR(A1787)</f>
        <v>2014</v>
      </c>
      <c r="F1787" s="33">
        <f>DATE(YEAR(A1787),MONTH(A1787),1)</f>
        <v>41791.0</v>
      </c>
      <c r="G1787" t="str">
        <f>CHOOSE(WEEKDAY(A1787,2),"Mon","Tue","Wed","Thu","Fri","Sat","Sun")</f>
        <v>Sat</v>
      </c>
      <c r="H1787" t="str">
        <f>IF(WEEKDAY(A1787,2)&gt;5,"Weekend","Weekday")</f>
        <v>Weekend</v>
      </c>
      <c r="I1787" t="str">
        <f>_xlfn.IFS(B1787&lt;=5,"Night (0-5)",B1787&lt;=9,"Morning peak (6-9)",B1787&lt;=15,"Midday (10-15)",B1787&lt;=19,"Evening peak (16-19)",TRUE,"Late evening (20-23)")</f>
        <v>Morning peak (6-9)</v>
      </c>
    </row>
    <row r="1788" spans="1:9">
      <c r="A1788" s="32">
        <v>41804</v>
      </c>
      <c r="B1788">
        <v>10</v>
      </c>
      <c r="C1788">
        <v>679</v>
      </c>
      <c r="D1788" t="s">
        <v>303</v>
      </c>
      <c r="E1788">
        <f>YEAR(A1788)</f>
        <v>2014</v>
      </c>
      <c r="F1788" s="33">
        <f>DATE(YEAR(A1788),MONTH(A1788),1)</f>
        <v>41791.0</v>
      </c>
      <c r="G1788" t="str">
        <f>CHOOSE(WEEKDAY(A1788,2),"Mon","Tue","Wed","Thu","Fri","Sat","Sun")</f>
        <v>Sat</v>
      </c>
      <c r="H1788" t="str">
        <f>IF(WEEKDAY(A1788,2)&gt;5,"Weekend","Weekday")</f>
        <v>Weekend</v>
      </c>
      <c r="I1788" t="str">
        <f>_xlfn.IFS(B1788&lt;=5,"Night (0-5)",B1788&lt;=9,"Morning peak (6-9)",B1788&lt;=15,"Midday (10-15)",B1788&lt;=19,"Evening peak (16-19)",TRUE,"Late evening (20-23)")</f>
        <v>Midday (10-15)</v>
      </c>
    </row>
    <row r="1789" spans="1:9">
      <c r="A1789" s="32">
        <v>41804</v>
      </c>
      <c r="B1789">
        <v>11</v>
      </c>
      <c r="C1789">
        <v>739</v>
      </c>
      <c r="D1789" t="s">
        <v>303</v>
      </c>
      <c r="E1789">
        <f>YEAR(A1789)</f>
        <v>2014</v>
      </c>
      <c r="F1789" s="33">
        <f>DATE(YEAR(A1789),MONTH(A1789),1)</f>
        <v>41791.0</v>
      </c>
      <c r="G1789" t="str">
        <f>CHOOSE(WEEKDAY(A1789,2),"Mon","Tue","Wed","Thu","Fri","Sat","Sun")</f>
        <v>Sat</v>
      </c>
      <c r="H1789" t="str">
        <f>IF(WEEKDAY(A1789,2)&gt;5,"Weekend","Weekday")</f>
        <v>Weekend</v>
      </c>
      <c r="I1789" t="str">
        <f>_xlfn.IFS(B1789&lt;=5,"Night (0-5)",B1789&lt;=9,"Morning peak (6-9)",B1789&lt;=15,"Midday (10-15)",B1789&lt;=19,"Evening peak (16-19)",TRUE,"Late evening (20-23)")</f>
        <v>Midday (10-15)</v>
      </c>
    </row>
    <row r="1790" spans="1:9">
      <c r="A1790" s="32">
        <v>41804</v>
      </c>
      <c r="B1790">
        <v>12</v>
      </c>
      <c r="C1790">
        <v>749</v>
      </c>
      <c r="D1790" t="s">
        <v>303</v>
      </c>
      <c r="E1790">
        <f>YEAR(A1790)</f>
        <v>2014</v>
      </c>
      <c r="F1790" s="33">
        <f>DATE(YEAR(A1790),MONTH(A1790),1)</f>
        <v>41791.0</v>
      </c>
      <c r="G1790" t="str">
        <f>CHOOSE(WEEKDAY(A1790,2),"Mon","Tue","Wed","Thu","Fri","Sat","Sun")</f>
        <v>Sat</v>
      </c>
      <c r="H1790" t="str">
        <f>IF(WEEKDAY(A1790,2)&gt;5,"Weekend","Weekday")</f>
        <v>Weekend</v>
      </c>
      <c r="I1790" t="str">
        <f>_xlfn.IFS(B1790&lt;=5,"Night (0-5)",B1790&lt;=9,"Morning peak (6-9)",B1790&lt;=15,"Midday (10-15)",B1790&lt;=19,"Evening peak (16-19)",TRUE,"Late evening (20-23)")</f>
        <v>Midday (10-15)</v>
      </c>
    </row>
    <row r="1791" spans="1:9">
      <c r="A1791" s="32">
        <v>41804</v>
      </c>
      <c r="B1791">
        <v>13</v>
      </c>
      <c r="C1791">
        <v>806</v>
      </c>
      <c r="D1791" t="s">
        <v>303</v>
      </c>
      <c r="E1791">
        <f>YEAR(A1791)</f>
        <v>2014</v>
      </c>
      <c r="F1791" s="33">
        <f>DATE(YEAR(A1791),MONTH(A1791),1)</f>
        <v>41791.0</v>
      </c>
      <c r="G1791" t="str">
        <f>CHOOSE(WEEKDAY(A1791,2),"Mon","Tue","Wed","Thu","Fri","Sat","Sun")</f>
        <v>Sat</v>
      </c>
      <c r="H1791" t="str">
        <f>IF(WEEKDAY(A1791,2)&gt;5,"Weekend","Weekday")</f>
        <v>Weekend</v>
      </c>
      <c r="I1791" t="str">
        <f>_xlfn.IFS(B1791&lt;=5,"Night (0-5)",B1791&lt;=9,"Morning peak (6-9)",B1791&lt;=15,"Midday (10-15)",B1791&lt;=19,"Evening peak (16-19)",TRUE,"Late evening (20-23)")</f>
        <v>Midday (10-15)</v>
      </c>
    </row>
    <row r="1792" spans="1:9">
      <c r="A1792" s="32">
        <v>41804</v>
      </c>
      <c r="B1792">
        <v>14</v>
      </c>
      <c r="C1792">
        <v>892</v>
      </c>
      <c r="D1792" t="s">
        <v>303</v>
      </c>
      <c r="E1792">
        <f>YEAR(A1792)</f>
        <v>2014</v>
      </c>
      <c r="F1792" s="33">
        <f>DATE(YEAR(A1792),MONTH(A1792),1)</f>
        <v>41791.0</v>
      </c>
      <c r="G1792" t="str">
        <f>CHOOSE(WEEKDAY(A1792,2),"Mon","Tue","Wed","Thu","Fri","Sat","Sun")</f>
        <v>Sat</v>
      </c>
      <c r="H1792" t="str">
        <f>IF(WEEKDAY(A1792,2)&gt;5,"Weekend","Weekday")</f>
        <v>Weekend</v>
      </c>
      <c r="I1792" t="str">
        <f>_xlfn.IFS(B1792&lt;=5,"Night (0-5)",B1792&lt;=9,"Morning peak (6-9)",B1792&lt;=15,"Midday (10-15)",B1792&lt;=19,"Evening peak (16-19)",TRUE,"Late evening (20-23)")</f>
        <v>Midday (10-15)</v>
      </c>
    </row>
    <row r="1793" spans="1:9">
      <c r="A1793" s="32">
        <v>41804</v>
      </c>
      <c r="B1793">
        <v>15</v>
      </c>
      <c r="C1793">
        <v>1165</v>
      </c>
      <c r="D1793" t="s">
        <v>303</v>
      </c>
      <c r="E1793">
        <f>YEAR(A1793)</f>
        <v>2014</v>
      </c>
      <c r="F1793" s="33">
        <f>DATE(YEAR(A1793),MONTH(A1793),1)</f>
        <v>41791.0</v>
      </c>
      <c r="G1793" t="str">
        <f>CHOOSE(WEEKDAY(A1793,2),"Mon","Tue","Wed","Thu","Fri","Sat","Sun")</f>
        <v>Sat</v>
      </c>
      <c r="H1793" t="str">
        <f>IF(WEEKDAY(A1793,2)&gt;5,"Weekend","Weekday")</f>
        <v>Weekend</v>
      </c>
      <c r="I1793" t="str">
        <f>_xlfn.IFS(B1793&lt;=5,"Night (0-5)",B1793&lt;=9,"Morning peak (6-9)",B1793&lt;=15,"Midday (10-15)",B1793&lt;=19,"Evening peak (16-19)",TRUE,"Late evening (20-23)")</f>
        <v>Midday (10-15)</v>
      </c>
    </row>
    <row r="1794" spans="1:9">
      <c r="A1794" s="32">
        <v>41804</v>
      </c>
      <c r="B1794">
        <v>16</v>
      </c>
      <c r="C1794">
        <v>1503</v>
      </c>
      <c r="D1794" t="s">
        <v>303</v>
      </c>
      <c r="E1794">
        <f>YEAR(A1794)</f>
        <v>2014</v>
      </c>
      <c r="F1794" s="33">
        <f>DATE(YEAR(A1794),MONTH(A1794),1)</f>
        <v>41791.0</v>
      </c>
      <c r="G1794" t="str">
        <f>CHOOSE(WEEKDAY(A1794,2),"Mon","Tue","Wed","Thu","Fri","Sat","Sun")</f>
        <v>Sat</v>
      </c>
      <c r="H1794" t="str">
        <f>IF(WEEKDAY(A1794,2)&gt;5,"Weekend","Weekday")</f>
        <v>Weekend</v>
      </c>
      <c r="I1794" t="str">
        <f>_xlfn.IFS(B1794&lt;=5,"Night (0-5)",B1794&lt;=9,"Morning peak (6-9)",B1794&lt;=15,"Midday (10-15)",B1794&lt;=19,"Evening peak (16-19)",TRUE,"Late evening (20-23)")</f>
        <v>Evening peak (16-19)</v>
      </c>
    </row>
    <row r="1795" spans="1:9">
      <c r="A1795" s="32">
        <v>41804</v>
      </c>
      <c r="B1795">
        <v>17</v>
      </c>
      <c r="C1795">
        <v>1215</v>
      </c>
      <c r="D1795" t="s">
        <v>303</v>
      </c>
      <c r="E1795">
        <f>YEAR(A1795)</f>
        <v>2014</v>
      </c>
      <c r="F1795" s="33">
        <f>DATE(YEAR(A1795),MONTH(A1795),1)</f>
        <v>41791.0</v>
      </c>
      <c r="G1795" t="str">
        <f>CHOOSE(WEEKDAY(A1795,2),"Mon","Tue","Wed","Thu","Fri","Sat","Sun")</f>
        <v>Sat</v>
      </c>
      <c r="H1795" t="str">
        <f>IF(WEEKDAY(A1795,2)&gt;5,"Weekend","Weekday")</f>
        <v>Weekend</v>
      </c>
      <c r="I1795" t="str">
        <f>_xlfn.IFS(B1795&lt;=5,"Night (0-5)",B1795&lt;=9,"Morning peak (6-9)",B1795&lt;=15,"Midday (10-15)",B1795&lt;=19,"Evening peak (16-19)",TRUE,"Late evening (20-23)")</f>
        <v>Evening peak (16-19)</v>
      </c>
    </row>
    <row r="1796" spans="1:9">
      <c r="A1796" s="32">
        <v>41804</v>
      </c>
      <c r="B1796">
        <v>18</v>
      </c>
      <c r="C1796">
        <v>1147</v>
      </c>
      <c r="D1796" t="s">
        <v>303</v>
      </c>
      <c r="E1796">
        <f>YEAR(A1796)</f>
        <v>2014</v>
      </c>
      <c r="F1796" s="33">
        <f>DATE(YEAR(A1796),MONTH(A1796),1)</f>
        <v>41791.0</v>
      </c>
      <c r="G1796" t="str">
        <f>CHOOSE(WEEKDAY(A1796,2),"Mon","Tue","Wed","Thu","Fri","Sat","Sun")</f>
        <v>Sat</v>
      </c>
      <c r="H1796" t="str">
        <f>IF(WEEKDAY(A1796,2)&gt;5,"Weekend","Weekday")</f>
        <v>Weekend</v>
      </c>
      <c r="I1796" t="str">
        <f>_xlfn.IFS(B1796&lt;=5,"Night (0-5)",B1796&lt;=9,"Morning peak (6-9)",B1796&lt;=15,"Midday (10-15)",B1796&lt;=19,"Evening peak (16-19)",TRUE,"Late evening (20-23)")</f>
        <v>Evening peak (16-19)</v>
      </c>
    </row>
    <row r="1797" spans="1:9">
      <c r="A1797" s="32">
        <v>41804</v>
      </c>
      <c r="B1797">
        <v>19</v>
      </c>
      <c r="C1797">
        <v>1114</v>
      </c>
      <c r="D1797" t="s">
        <v>303</v>
      </c>
      <c r="E1797">
        <f>YEAR(A1797)</f>
        <v>2014</v>
      </c>
      <c r="F1797" s="33">
        <f>DATE(YEAR(A1797),MONTH(A1797),1)</f>
        <v>41791.0</v>
      </c>
      <c r="G1797" t="str">
        <f>CHOOSE(WEEKDAY(A1797,2),"Mon","Tue","Wed","Thu","Fri","Sat","Sun")</f>
        <v>Sat</v>
      </c>
      <c r="H1797" t="str">
        <f>IF(WEEKDAY(A1797,2)&gt;5,"Weekend","Weekday")</f>
        <v>Weekend</v>
      </c>
      <c r="I1797" t="str">
        <f>_xlfn.IFS(B1797&lt;=5,"Night (0-5)",B1797&lt;=9,"Morning peak (6-9)",B1797&lt;=15,"Midday (10-15)",B1797&lt;=19,"Evening peak (16-19)",TRUE,"Late evening (20-23)")</f>
        <v>Evening peak (16-19)</v>
      </c>
    </row>
    <row r="1798" spans="1:9">
      <c r="A1798" s="32">
        <v>41804</v>
      </c>
      <c r="B1798">
        <v>20</v>
      </c>
      <c r="C1798">
        <v>1096</v>
      </c>
      <c r="D1798" t="s">
        <v>303</v>
      </c>
      <c r="E1798">
        <f>YEAR(A1798)</f>
        <v>2014</v>
      </c>
      <c r="F1798" s="33">
        <f>DATE(YEAR(A1798),MONTH(A1798),1)</f>
        <v>41791.0</v>
      </c>
      <c r="G1798" t="str">
        <f>CHOOSE(WEEKDAY(A1798,2),"Mon","Tue","Wed","Thu","Fri","Sat","Sun")</f>
        <v>Sat</v>
      </c>
      <c r="H1798" t="str">
        <f>IF(WEEKDAY(A1798,2)&gt;5,"Weekend","Weekday")</f>
        <v>Weekend</v>
      </c>
      <c r="I1798" t="str">
        <f>_xlfn.IFS(B1798&lt;=5,"Night (0-5)",B1798&lt;=9,"Morning peak (6-9)",B1798&lt;=15,"Midday (10-15)",B1798&lt;=19,"Evening peak (16-19)",TRUE,"Late evening (20-23)")</f>
        <v>Late evening (20-23)</v>
      </c>
    </row>
    <row r="1799" spans="1:9">
      <c r="A1799" s="32">
        <v>41804</v>
      </c>
      <c r="B1799">
        <v>21</v>
      </c>
      <c r="C1799">
        <v>1282</v>
      </c>
      <c r="D1799" t="s">
        <v>303</v>
      </c>
      <c r="E1799">
        <f>YEAR(A1799)</f>
        <v>2014</v>
      </c>
      <c r="F1799" s="33">
        <f>DATE(YEAR(A1799),MONTH(A1799),1)</f>
        <v>41791.0</v>
      </c>
      <c r="G1799" t="str">
        <f>CHOOSE(WEEKDAY(A1799,2),"Mon","Tue","Wed","Thu","Fri","Sat","Sun")</f>
        <v>Sat</v>
      </c>
      <c r="H1799" t="str">
        <f>IF(WEEKDAY(A1799,2)&gt;5,"Weekend","Weekday")</f>
        <v>Weekend</v>
      </c>
      <c r="I1799" t="str">
        <f>_xlfn.IFS(B1799&lt;=5,"Night (0-5)",B1799&lt;=9,"Morning peak (6-9)",B1799&lt;=15,"Midday (10-15)",B1799&lt;=19,"Evening peak (16-19)",TRUE,"Late evening (20-23)")</f>
        <v>Late evening (20-23)</v>
      </c>
    </row>
    <row r="1800" spans="1:9">
      <c r="A1800" s="32">
        <v>41804</v>
      </c>
      <c r="B1800">
        <v>22</v>
      </c>
      <c r="C1800">
        <v>1513</v>
      </c>
      <c r="D1800" t="s">
        <v>303</v>
      </c>
      <c r="E1800">
        <f>YEAR(A1800)</f>
        <v>2014</v>
      </c>
      <c r="F1800" s="33">
        <f>DATE(YEAR(A1800),MONTH(A1800),1)</f>
        <v>41791.0</v>
      </c>
      <c r="G1800" t="str">
        <f>CHOOSE(WEEKDAY(A1800,2),"Mon","Tue","Wed","Thu","Fri","Sat","Sun")</f>
        <v>Sat</v>
      </c>
      <c r="H1800" t="str">
        <f>IF(WEEKDAY(A1800,2)&gt;5,"Weekend","Weekday")</f>
        <v>Weekend</v>
      </c>
      <c r="I1800" t="str">
        <f>_xlfn.IFS(B1800&lt;=5,"Night (0-5)",B1800&lt;=9,"Morning peak (6-9)",B1800&lt;=15,"Midday (10-15)",B1800&lt;=19,"Evening peak (16-19)",TRUE,"Late evening (20-23)")</f>
        <v>Late evening (20-23)</v>
      </c>
    </row>
    <row r="1801" spans="1:9">
      <c r="A1801" s="32">
        <v>41804</v>
      </c>
      <c r="B1801">
        <v>23</v>
      </c>
      <c r="C1801">
        <v>1337</v>
      </c>
      <c r="D1801" t="s">
        <v>303</v>
      </c>
      <c r="E1801">
        <f>YEAR(A1801)</f>
        <v>2014</v>
      </c>
      <c r="F1801" s="33">
        <f>DATE(YEAR(A1801),MONTH(A1801),1)</f>
        <v>41791.0</v>
      </c>
      <c r="G1801" t="str">
        <f>CHOOSE(WEEKDAY(A1801,2),"Mon","Tue","Wed","Thu","Fri","Sat","Sun")</f>
        <v>Sat</v>
      </c>
      <c r="H1801" t="str">
        <f>IF(WEEKDAY(A1801,2)&gt;5,"Weekend","Weekday")</f>
        <v>Weekend</v>
      </c>
      <c r="I1801" t="str">
        <f>_xlfn.IFS(B1801&lt;=5,"Night (0-5)",B1801&lt;=9,"Morning peak (6-9)",B1801&lt;=15,"Midday (10-15)",B1801&lt;=19,"Evening peak (16-19)",TRUE,"Late evening (20-23)")</f>
        <v>Late evening (20-23)</v>
      </c>
    </row>
    <row r="1802" spans="1:9">
      <c r="A1802" s="32">
        <v>41805</v>
      </c>
      <c r="B1802">
        <v>0</v>
      </c>
      <c r="C1802">
        <v>864</v>
      </c>
      <c r="D1802" t="s">
        <v>303</v>
      </c>
      <c r="E1802">
        <f>YEAR(A1802)</f>
        <v>2014</v>
      </c>
      <c r="F1802" s="33">
        <f>DATE(YEAR(A1802),MONTH(A1802),1)</f>
        <v>41791.0</v>
      </c>
      <c r="G1802" t="str">
        <f>CHOOSE(WEEKDAY(A1802,2),"Mon","Tue","Wed","Thu","Fri","Sat","Sun")</f>
        <v>Sun</v>
      </c>
      <c r="H1802" t="str">
        <f>IF(WEEKDAY(A1802,2)&gt;5,"Weekend","Weekday")</f>
        <v>Weekend</v>
      </c>
      <c r="I1802" t="str">
        <f>_xlfn.IFS(B1802&lt;=5,"Night (0-5)",B1802&lt;=9,"Morning peak (6-9)",B1802&lt;=15,"Midday (10-15)",B1802&lt;=19,"Evening peak (16-19)",TRUE,"Late evening (20-23)")</f>
        <v>Night (0-5)</v>
      </c>
    </row>
    <row r="1803" spans="1:9">
      <c r="A1803" s="32">
        <v>41805</v>
      </c>
      <c r="B1803">
        <v>1</v>
      </c>
      <c r="C1803">
        <v>577</v>
      </c>
      <c r="D1803" t="s">
        <v>303</v>
      </c>
      <c r="E1803">
        <f>YEAR(A1803)</f>
        <v>2014</v>
      </c>
      <c r="F1803" s="33">
        <f>DATE(YEAR(A1803),MONTH(A1803),1)</f>
        <v>41791.0</v>
      </c>
      <c r="G1803" t="str">
        <f>CHOOSE(WEEKDAY(A1803,2),"Mon","Tue","Wed","Thu","Fri","Sat","Sun")</f>
        <v>Sun</v>
      </c>
      <c r="H1803" t="str">
        <f>IF(WEEKDAY(A1803,2)&gt;5,"Weekend","Weekday")</f>
        <v>Weekend</v>
      </c>
      <c r="I1803" t="str">
        <f>_xlfn.IFS(B1803&lt;=5,"Night (0-5)",B1803&lt;=9,"Morning peak (6-9)",B1803&lt;=15,"Midday (10-15)",B1803&lt;=19,"Evening peak (16-19)",TRUE,"Late evening (20-23)")</f>
        <v>Night (0-5)</v>
      </c>
    </row>
    <row r="1804" spans="1:9">
      <c r="A1804" s="32">
        <v>41805</v>
      </c>
      <c r="B1804">
        <v>2</v>
      </c>
      <c r="C1804">
        <v>421</v>
      </c>
      <c r="D1804" t="s">
        <v>303</v>
      </c>
      <c r="E1804">
        <f>YEAR(A1804)</f>
        <v>2014</v>
      </c>
      <c r="F1804" s="33">
        <f>DATE(YEAR(A1804),MONTH(A1804),1)</f>
        <v>41791.0</v>
      </c>
      <c r="G1804" t="str">
        <f>CHOOSE(WEEKDAY(A1804,2),"Mon","Tue","Wed","Thu","Fri","Sat","Sun")</f>
        <v>Sun</v>
      </c>
      <c r="H1804" t="str">
        <f>IF(WEEKDAY(A1804,2)&gt;5,"Weekend","Weekday")</f>
        <v>Weekend</v>
      </c>
      <c r="I1804" t="str">
        <f>_xlfn.IFS(B1804&lt;=5,"Night (0-5)",B1804&lt;=9,"Morning peak (6-9)",B1804&lt;=15,"Midday (10-15)",B1804&lt;=19,"Evening peak (16-19)",TRUE,"Late evening (20-23)")</f>
        <v>Night (0-5)</v>
      </c>
    </row>
    <row r="1805" spans="1:9">
      <c r="A1805" s="32">
        <v>41805</v>
      </c>
      <c r="B1805">
        <v>3</v>
      </c>
      <c r="C1805">
        <v>283</v>
      </c>
      <c r="D1805" t="s">
        <v>303</v>
      </c>
      <c r="E1805">
        <f>YEAR(A1805)</f>
        <v>2014</v>
      </c>
      <c r="F1805" s="33">
        <f>DATE(YEAR(A1805),MONTH(A1805),1)</f>
        <v>41791.0</v>
      </c>
      <c r="G1805" t="str">
        <f>CHOOSE(WEEKDAY(A1805,2),"Mon","Tue","Wed","Thu","Fri","Sat","Sun")</f>
        <v>Sun</v>
      </c>
      <c r="H1805" t="str">
        <f>IF(WEEKDAY(A1805,2)&gt;5,"Weekend","Weekday")</f>
        <v>Weekend</v>
      </c>
      <c r="I1805" t="str">
        <f>_xlfn.IFS(B1805&lt;=5,"Night (0-5)",B1805&lt;=9,"Morning peak (6-9)",B1805&lt;=15,"Midday (10-15)",B1805&lt;=19,"Evening peak (16-19)",TRUE,"Late evening (20-23)")</f>
        <v>Night (0-5)</v>
      </c>
    </row>
    <row r="1806" spans="1:9">
      <c r="A1806" s="32">
        <v>41805</v>
      </c>
      <c r="B1806">
        <v>4</v>
      </c>
      <c r="C1806">
        <v>190</v>
      </c>
      <c r="D1806" t="s">
        <v>303</v>
      </c>
      <c r="E1806">
        <f>YEAR(A1806)</f>
        <v>2014</v>
      </c>
      <c r="F1806" s="33">
        <f>DATE(YEAR(A1806),MONTH(A1806),1)</f>
        <v>41791.0</v>
      </c>
      <c r="G1806" t="str">
        <f>CHOOSE(WEEKDAY(A1806,2),"Mon","Tue","Wed","Thu","Fri","Sat","Sun")</f>
        <v>Sun</v>
      </c>
      <c r="H1806" t="str">
        <f>IF(WEEKDAY(A1806,2)&gt;5,"Weekend","Weekday")</f>
        <v>Weekend</v>
      </c>
      <c r="I1806" t="str">
        <f>_xlfn.IFS(B1806&lt;=5,"Night (0-5)",B1806&lt;=9,"Morning peak (6-9)",B1806&lt;=15,"Midday (10-15)",B1806&lt;=19,"Evening peak (16-19)",TRUE,"Late evening (20-23)")</f>
        <v>Night (0-5)</v>
      </c>
    </row>
    <row r="1807" spans="1:9">
      <c r="A1807" s="32">
        <v>41805</v>
      </c>
      <c r="B1807">
        <v>5</v>
      </c>
      <c r="C1807">
        <v>194</v>
      </c>
      <c r="D1807" t="s">
        <v>303</v>
      </c>
      <c r="E1807">
        <f>YEAR(A1807)</f>
        <v>2014</v>
      </c>
      <c r="F1807" s="33">
        <f>DATE(YEAR(A1807),MONTH(A1807),1)</f>
        <v>41791.0</v>
      </c>
      <c r="G1807" t="str">
        <f>CHOOSE(WEEKDAY(A1807,2),"Mon","Tue","Wed","Thu","Fri","Sat","Sun")</f>
        <v>Sun</v>
      </c>
      <c r="H1807" t="str">
        <f>IF(WEEKDAY(A1807,2)&gt;5,"Weekend","Weekday")</f>
        <v>Weekend</v>
      </c>
      <c r="I1807" t="str">
        <f>_xlfn.IFS(B1807&lt;=5,"Night (0-5)",B1807&lt;=9,"Morning peak (6-9)",B1807&lt;=15,"Midday (10-15)",B1807&lt;=19,"Evening peak (16-19)",TRUE,"Late evening (20-23)")</f>
        <v>Night (0-5)</v>
      </c>
    </row>
    <row r="1808" spans="1:9">
      <c r="A1808" s="32">
        <v>41805</v>
      </c>
      <c r="B1808">
        <v>6</v>
      </c>
      <c r="C1808">
        <v>198</v>
      </c>
      <c r="D1808" t="s">
        <v>303</v>
      </c>
      <c r="E1808">
        <f>YEAR(A1808)</f>
        <v>2014</v>
      </c>
      <c r="F1808" s="33">
        <f>DATE(YEAR(A1808),MONTH(A1808),1)</f>
        <v>41791.0</v>
      </c>
      <c r="G1808" t="str">
        <f>CHOOSE(WEEKDAY(A1808,2),"Mon","Tue","Wed","Thu","Fri","Sat","Sun")</f>
        <v>Sun</v>
      </c>
      <c r="H1808" t="str">
        <f>IF(WEEKDAY(A1808,2)&gt;5,"Weekend","Weekday")</f>
        <v>Weekend</v>
      </c>
      <c r="I1808" t="str">
        <f>_xlfn.IFS(B1808&lt;=5,"Night (0-5)",B1808&lt;=9,"Morning peak (6-9)",B1808&lt;=15,"Midday (10-15)",B1808&lt;=19,"Evening peak (16-19)",TRUE,"Late evening (20-23)")</f>
        <v>Morning peak (6-9)</v>
      </c>
    </row>
    <row r="1809" spans="1:9">
      <c r="A1809" s="32">
        <v>41805</v>
      </c>
      <c r="B1809">
        <v>7</v>
      </c>
      <c r="C1809">
        <v>243</v>
      </c>
      <c r="D1809" t="s">
        <v>303</v>
      </c>
      <c r="E1809">
        <f>YEAR(A1809)</f>
        <v>2014</v>
      </c>
      <c r="F1809" s="33">
        <f>DATE(YEAR(A1809),MONTH(A1809),1)</f>
        <v>41791.0</v>
      </c>
      <c r="G1809" t="str">
        <f>CHOOSE(WEEKDAY(A1809,2),"Mon","Tue","Wed","Thu","Fri","Sat","Sun")</f>
        <v>Sun</v>
      </c>
      <c r="H1809" t="str">
        <f>IF(WEEKDAY(A1809,2)&gt;5,"Weekend","Weekday")</f>
        <v>Weekend</v>
      </c>
      <c r="I1809" t="str">
        <f>_xlfn.IFS(B1809&lt;=5,"Night (0-5)",B1809&lt;=9,"Morning peak (6-9)",B1809&lt;=15,"Midday (10-15)",B1809&lt;=19,"Evening peak (16-19)",TRUE,"Late evening (20-23)")</f>
        <v>Morning peak (6-9)</v>
      </c>
    </row>
    <row r="1810" spans="1:9">
      <c r="A1810" s="32">
        <v>41805</v>
      </c>
      <c r="B1810">
        <v>8</v>
      </c>
      <c r="C1810">
        <v>354</v>
      </c>
      <c r="D1810" t="s">
        <v>303</v>
      </c>
      <c r="E1810">
        <f>YEAR(A1810)</f>
        <v>2014</v>
      </c>
      <c r="F1810" s="33">
        <f>DATE(YEAR(A1810),MONTH(A1810),1)</f>
        <v>41791.0</v>
      </c>
      <c r="G1810" t="str">
        <f>CHOOSE(WEEKDAY(A1810,2),"Mon","Tue","Wed","Thu","Fri","Sat","Sun")</f>
        <v>Sun</v>
      </c>
      <c r="H1810" t="str">
        <f>IF(WEEKDAY(A1810,2)&gt;5,"Weekend","Weekday")</f>
        <v>Weekend</v>
      </c>
      <c r="I1810" t="str">
        <f>_xlfn.IFS(B1810&lt;=5,"Night (0-5)",B1810&lt;=9,"Morning peak (6-9)",B1810&lt;=15,"Midday (10-15)",B1810&lt;=19,"Evening peak (16-19)",TRUE,"Late evening (20-23)")</f>
        <v>Morning peak (6-9)</v>
      </c>
    </row>
    <row r="1811" spans="1:9">
      <c r="A1811" s="32">
        <v>41805</v>
      </c>
      <c r="B1811">
        <v>9</v>
      </c>
      <c r="C1811">
        <v>497</v>
      </c>
      <c r="D1811" t="s">
        <v>303</v>
      </c>
      <c r="E1811">
        <f>YEAR(A1811)</f>
        <v>2014</v>
      </c>
      <c r="F1811" s="33">
        <f>DATE(YEAR(A1811),MONTH(A1811),1)</f>
        <v>41791.0</v>
      </c>
      <c r="G1811" t="str">
        <f>CHOOSE(WEEKDAY(A1811,2),"Mon","Tue","Wed","Thu","Fri","Sat","Sun")</f>
        <v>Sun</v>
      </c>
      <c r="H1811" t="str">
        <f>IF(WEEKDAY(A1811,2)&gt;5,"Weekend","Weekday")</f>
        <v>Weekend</v>
      </c>
      <c r="I1811" t="str">
        <f>_xlfn.IFS(B1811&lt;=5,"Night (0-5)",B1811&lt;=9,"Morning peak (6-9)",B1811&lt;=15,"Midday (10-15)",B1811&lt;=19,"Evening peak (16-19)",TRUE,"Late evening (20-23)")</f>
        <v>Morning peak (6-9)</v>
      </c>
    </row>
    <row r="1812" spans="1:9">
      <c r="A1812" s="32">
        <v>41805</v>
      </c>
      <c r="B1812">
        <v>10</v>
      </c>
      <c r="C1812">
        <v>627</v>
      </c>
      <c r="D1812" t="s">
        <v>303</v>
      </c>
      <c r="E1812">
        <f>YEAR(A1812)</f>
        <v>2014</v>
      </c>
      <c r="F1812" s="33">
        <f>DATE(YEAR(A1812),MONTH(A1812),1)</f>
        <v>41791.0</v>
      </c>
      <c r="G1812" t="str">
        <f>CHOOSE(WEEKDAY(A1812,2),"Mon","Tue","Wed","Thu","Fri","Sat","Sun")</f>
        <v>Sun</v>
      </c>
      <c r="H1812" t="str">
        <f>IF(WEEKDAY(A1812,2)&gt;5,"Weekend","Weekday")</f>
        <v>Weekend</v>
      </c>
      <c r="I1812" t="str">
        <f>_xlfn.IFS(B1812&lt;=5,"Night (0-5)",B1812&lt;=9,"Morning peak (6-9)",B1812&lt;=15,"Midday (10-15)",B1812&lt;=19,"Evening peak (16-19)",TRUE,"Late evening (20-23)")</f>
        <v>Midday (10-15)</v>
      </c>
    </row>
    <row r="1813" spans="1:9">
      <c r="A1813" s="32">
        <v>41805</v>
      </c>
      <c r="B1813">
        <v>11</v>
      </c>
      <c r="C1813">
        <v>674</v>
      </c>
      <c r="D1813" t="s">
        <v>303</v>
      </c>
      <c r="E1813">
        <f>YEAR(A1813)</f>
        <v>2014</v>
      </c>
      <c r="F1813" s="33">
        <f>DATE(YEAR(A1813),MONTH(A1813),1)</f>
        <v>41791.0</v>
      </c>
      <c r="G1813" t="str">
        <f>CHOOSE(WEEKDAY(A1813,2),"Mon","Tue","Wed","Thu","Fri","Sat","Sun")</f>
        <v>Sun</v>
      </c>
      <c r="H1813" t="str">
        <f>IF(WEEKDAY(A1813,2)&gt;5,"Weekend","Weekday")</f>
        <v>Weekend</v>
      </c>
      <c r="I1813" t="str">
        <f>_xlfn.IFS(B1813&lt;=5,"Night (0-5)",B1813&lt;=9,"Morning peak (6-9)",B1813&lt;=15,"Midday (10-15)",B1813&lt;=19,"Evening peak (16-19)",TRUE,"Late evening (20-23)")</f>
        <v>Midday (10-15)</v>
      </c>
    </row>
    <row r="1814" spans="1:9">
      <c r="A1814" s="32">
        <v>41805</v>
      </c>
      <c r="B1814">
        <v>12</v>
      </c>
      <c r="C1814">
        <v>772</v>
      </c>
      <c r="D1814" t="s">
        <v>303</v>
      </c>
      <c r="E1814">
        <f>YEAR(A1814)</f>
        <v>2014</v>
      </c>
      <c r="F1814" s="33">
        <f>DATE(YEAR(A1814),MONTH(A1814),1)</f>
        <v>41791.0</v>
      </c>
      <c r="G1814" t="str">
        <f>CHOOSE(WEEKDAY(A1814,2),"Mon","Tue","Wed","Thu","Fri","Sat","Sun")</f>
        <v>Sun</v>
      </c>
      <c r="H1814" t="str">
        <f>IF(WEEKDAY(A1814,2)&gt;5,"Weekend","Weekday")</f>
        <v>Weekend</v>
      </c>
      <c r="I1814" t="str">
        <f>_xlfn.IFS(B1814&lt;=5,"Night (0-5)",B1814&lt;=9,"Morning peak (6-9)",B1814&lt;=15,"Midday (10-15)",B1814&lt;=19,"Evening peak (16-19)",TRUE,"Late evening (20-23)")</f>
        <v>Midday (10-15)</v>
      </c>
    </row>
    <row r="1815" spans="1:9">
      <c r="A1815" s="32">
        <v>41805</v>
      </c>
      <c r="B1815">
        <v>13</v>
      </c>
      <c r="C1815">
        <v>811</v>
      </c>
      <c r="D1815" t="s">
        <v>303</v>
      </c>
      <c r="E1815">
        <f>YEAR(A1815)</f>
        <v>2014</v>
      </c>
      <c r="F1815" s="33">
        <f>DATE(YEAR(A1815),MONTH(A1815),1)</f>
        <v>41791.0</v>
      </c>
      <c r="G1815" t="str">
        <f>CHOOSE(WEEKDAY(A1815,2),"Mon","Tue","Wed","Thu","Fri","Sat","Sun")</f>
        <v>Sun</v>
      </c>
      <c r="H1815" t="str">
        <f>IF(WEEKDAY(A1815,2)&gt;5,"Weekend","Weekday")</f>
        <v>Weekend</v>
      </c>
      <c r="I1815" t="str">
        <f>_xlfn.IFS(B1815&lt;=5,"Night (0-5)",B1815&lt;=9,"Morning peak (6-9)",B1815&lt;=15,"Midday (10-15)",B1815&lt;=19,"Evening peak (16-19)",TRUE,"Late evening (20-23)")</f>
        <v>Midday (10-15)</v>
      </c>
    </row>
    <row r="1816" spans="1:9">
      <c r="A1816" s="32">
        <v>41805</v>
      </c>
      <c r="B1816">
        <v>14</v>
      </c>
      <c r="C1816">
        <v>857</v>
      </c>
      <c r="D1816" t="s">
        <v>303</v>
      </c>
      <c r="E1816">
        <f>YEAR(A1816)</f>
        <v>2014</v>
      </c>
      <c r="F1816" s="33">
        <f>DATE(YEAR(A1816),MONTH(A1816),1)</f>
        <v>41791.0</v>
      </c>
      <c r="G1816" t="str">
        <f>CHOOSE(WEEKDAY(A1816,2),"Mon","Tue","Wed","Thu","Fri","Sat","Sun")</f>
        <v>Sun</v>
      </c>
      <c r="H1816" t="str">
        <f>IF(WEEKDAY(A1816,2)&gt;5,"Weekend","Weekday")</f>
        <v>Weekend</v>
      </c>
      <c r="I1816" t="str">
        <f>_xlfn.IFS(B1816&lt;=5,"Night (0-5)",B1816&lt;=9,"Morning peak (6-9)",B1816&lt;=15,"Midday (10-15)",B1816&lt;=19,"Evening peak (16-19)",TRUE,"Late evening (20-23)")</f>
        <v>Midday (10-15)</v>
      </c>
    </row>
    <row r="1817" spans="1:9">
      <c r="A1817" s="32">
        <v>41805</v>
      </c>
      <c r="B1817">
        <v>15</v>
      </c>
      <c r="C1817">
        <v>916</v>
      </c>
      <c r="D1817" t="s">
        <v>303</v>
      </c>
      <c r="E1817">
        <f>YEAR(A1817)</f>
        <v>2014</v>
      </c>
      <c r="F1817" s="33">
        <f>DATE(YEAR(A1817),MONTH(A1817),1)</f>
        <v>41791.0</v>
      </c>
      <c r="G1817" t="str">
        <f>CHOOSE(WEEKDAY(A1817,2),"Mon","Tue","Wed","Thu","Fri","Sat","Sun")</f>
        <v>Sun</v>
      </c>
      <c r="H1817" t="str">
        <f>IF(WEEKDAY(A1817,2)&gt;5,"Weekend","Weekday")</f>
        <v>Weekend</v>
      </c>
      <c r="I1817" t="str">
        <f>_xlfn.IFS(B1817&lt;=5,"Night (0-5)",B1817&lt;=9,"Morning peak (6-9)",B1817&lt;=15,"Midday (10-15)",B1817&lt;=19,"Evening peak (16-19)",TRUE,"Late evening (20-23)")</f>
        <v>Midday (10-15)</v>
      </c>
    </row>
    <row r="1818" spans="1:9">
      <c r="A1818" s="32">
        <v>41805</v>
      </c>
      <c r="B1818">
        <v>16</v>
      </c>
      <c r="C1818">
        <v>941</v>
      </c>
      <c r="D1818" t="s">
        <v>303</v>
      </c>
      <c r="E1818">
        <f>YEAR(A1818)</f>
        <v>2014</v>
      </c>
      <c r="F1818" s="33">
        <f>DATE(YEAR(A1818),MONTH(A1818),1)</f>
        <v>41791.0</v>
      </c>
      <c r="G1818" t="str">
        <f>CHOOSE(WEEKDAY(A1818,2),"Mon","Tue","Wed","Thu","Fri","Sat","Sun")</f>
        <v>Sun</v>
      </c>
      <c r="H1818" t="str">
        <f>IF(WEEKDAY(A1818,2)&gt;5,"Weekend","Weekday")</f>
        <v>Weekend</v>
      </c>
      <c r="I1818" t="str">
        <f>_xlfn.IFS(B1818&lt;=5,"Night (0-5)",B1818&lt;=9,"Morning peak (6-9)",B1818&lt;=15,"Midday (10-15)",B1818&lt;=19,"Evening peak (16-19)",TRUE,"Late evening (20-23)")</f>
        <v>Evening peak (16-19)</v>
      </c>
    </row>
    <row r="1819" spans="1:9">
      <c r="A1819" s="32">
        <v>41805</v>
      </c>
      <c r="B1819">
        <v>17</v>
      </c>
      <c r="C1819">
        <v>901</v>
      </c>
      <c r="D1819" t="s">
        <v>303</v>
      </c>
      <c r="E1819">
        <f>YEAR(A1819)</f>
        <v>2014</v>
      </c>
      <c r="F1819" s="33">
        <f>DATE(YEAR(A1819),MONTH(A1819),1)</f>
        <v>41791.0</v>
      </c>
      <c r="G1819" t="str">
        <f>CHOOSE(WEEKDAY(A1819,2),"Mon","Tue","Wed","Thu","Fri","Sat","Sun")</f>
        <v>Sun</v>
      </c>
      <c r="H1819" t="str">
        <f>IF(WEEKDAY(A1819,2)&gt;5,"Weekend","Weekday")</f>
        <v>Weekend</v>
      </c>
      <c r="I1819" t="str">
        <f>_xlfn.IFS(B1819&lt;=5,"Night (0-5)",B1819&lt;=9,"Morning peak (6-9)",B1819&lt;=15,"Midday (10-15)",B1819&lt;=19,"Evening peak (16-19)",TRUE,"Late evening (20-23)")</f>
        <v>Evening peak (16-19)</v>
      </c>
    </row>
    <row r="1820" spans="1:9">
      <c r="A1820" s="32">
        <v>41805</v>
      </c>
      <c r="B1820">
        <v>18</v>
      </c>
      <c r="C1820">
        <v>829</v>
      </c>
      <c r="D1820" t="s">
        <v>303</v>
      </c>
      <c r="E1820">
        <f>YEAR(A1820)</f>
        <v>2014</v>
      </c>
      <c r="F1820" s="33">
        <f>DATE(YEAR(A1820),MONTH(A1820),1)</f>
        <v>41791.0</v>
      </c>
      <c r="G1820" t="str">
        <f>CHOOSE(WEEKDAY(A1820,2),"Mon","Tue","Wed","Thu","Fri","Sat","Sun")</f>
        <v>Sun</v>
      </c>
      <c r="H1820" t="str">
        <f>IF(WEEKDAY(A1820,2)&gt;5,"Weekend","Weekday")</f>
        <v>Weekend</v>
      </c>
      <c r="I1820" t="str">
        <f>_xlfn.IFS(B1820&lt;=5,"Night (0-5)",B1820&lt;=9,"Morning peak (6-9)",B1820&lt;=15,"Midday (10-15)",B1820&lt;=19,"Evening peak (16-19)",TRUE,"Late evening (20-23)")</f>
        <v>Evening peak (16-19)</v>
      </c>
    </row>
    <row r="1821" spans="1:9">
      <c r="A1821" s="32">
        <v>41805</v>
      </c>
      <c r="B1821">
        <v>19</v>
      </c>
      <c r="C1821">
        <v>812</v>
      </c>
      <c r="D1821" t="s">
        <v>303</v>
      </c>
      <c r="E1821">
        <f>YEAR(A1821)</f>
        <v>2014</v>
      </c>
      <c r="F1821" s="33">
        <f>DATE(YEAR(A1821),MONTH(A1821),1)</f>
        <v>41791.0</v>
      </c>
      <c r="G1821" t="str">
        <f>CHOOSE(WEEKDAY(A1821,2),"Mon","Tue","Wed","Thu","Fri","Sat","Sun")</f>
        <v>Sun</v>
      </c>
      <c r="H1821" t="str">
        <f>IF(WEEKDAY(A1821,2)&gt;5,"Weekend","Weekday")</f>
        <v>Weekend</v>
      </c>
      <c r="I1821" t="str">
        <f>_xlfn.IFS(B1821&lt;=5,"Night (0-5)",B1821&lt;=9,"Morning peak (6-9)",B1821&lt;=15,"Midday (10-15)",B1821&lt;=19,"Evening peak (16-19)",TRUE,"Late evening (20-23)")</f>
        <v>Evening peak (16-19)</v>
      </c>
    </row>
    <row r="1822" spans="1:9">
      <c r="A1822" s="32">
        <v>41805</v>
      </c>
      <c r="B1822">
        <v>20</v>
      </c>
      <c r="C1822">
        <v>791</v>
      </c>
      <c r="D1822" t="s">
        <v>303</v>
      </c>
      <c r="E1822">
        <f>YEAR(A1822)</f>
        <v>2014</v>
      </c>
      <c r="F1822" s="33">
        <f>DATE(YEAR(A1822),MONTH(A1822),1)</f>
        <v>41791.0</v>
      </c>
      <c r="G1822" t="str">
        <f>CHOOSE(WEEKDAY(A1822,2),"Mon","Tue","Wed","Thu","Fri","Sat","Sun")</f>
        <v>Sun</v>
      </c>
      <c r="H1822" t="str">
        <f>IF(WEEKDAY(A1822,2)&gt;5,"Weekend","Weekday")</f>
        <v>Weekend</v>
      </c>
      <c r="I1822" t="str">
        <f>_xlfn.IFS(B1822&lt;=5,"Night (0-5)",B1822&lt;=9,"Morning peak (6-9)",B1822&lt;=15,"Midday (10-15)",B1822&lt;=19,"Evening peak (16-19)",TRUE,"Late evening (20-23)")</f>
        <v>Late evening (20-23)</v>
      </c>
    </row>
    <row r="1823" spans="1:9">
      <c r="A1823" s="32">
        <v>41805</v>
      </c>
      <c r="B1823">
        <v>21</v>
      </c>
      <c r="C1823">
        <v>825</v>
      </c>
      <c r="D1823" t="s">
        <v>303</v>
      </c>
      <c r="E1823">
        <f>YEAR(A1823)</f>
        <v>2014</v>
      </c>
      <c r="F1823" s="33">
        <f>DATE(YEAR(A1823),MONTH(A1823),1)</f>
        <v>41791.0</v>
      </c>
      <c r="G1823" t="str">
        <f>CHOOSE(WEEKDAY(A1823,2),"Mon","Tue","Wed","Thu","Fri","Sat","Sun")</f>
        <v>Sun</v>
      </c>
      <c r="H1823" t="str">
        <f>IF(WEEKDAY(A1823,2)&gt;5,"Weekend","Weekday")</f>
        <v>Weekend</v>
      </c>
      <c r="I1823" t="str">
        <f>_xlfn.IFS(B1823&lt;=5,"Night (0-5)",B1823&lt;=9,"Morning peak (6-9)",B1823&lt;=15,"Midday (10-15)",B1823&lt;=19,"Evening peak (16-19)",TRUE,"Late evening (20-23)")</f>
        <v>Late evening (20-23)</v>
      </c>
    </row>
    <row r="1824" spans="1:9">
      <c r="A1824" s="32">
        <v>41805</v>
      </c>
      <c r="B1824">
        <v>22</v>
      </c>
      <c r="C1824">
        <v>604</v>
      </c>
      <c r="D1824" t="s">
        <v>303</v>
      </c>
      <c r="E1824">
        <f>YEAR(A1824)</f>
        <v>2014</v>
      </c>
      <c r="F1824" s="33">
        <f>DATE(YEAR(A1824),MONTH(A1824),1)</f>
        <v>41791.0</v>
      </c>
      <c r="G1824" t="str">
        <f>CHOOSE(WEEKDAY(A1824,2),"Mon","Tue","Wed","Thu","Fri","Sat","Sun")</f>
        <v>Sun</v>
      </c>
      <c r="H1824" t="str">
        <f>IF(WEEKDAY(A1824,2)&gt;5,"Weekend","Weekday")</f>
        <v>Weekend</v>
      </c>
      <c r="I1824" t="str">
        <f>_xlfn.IFS(B1824&lt;=5,"Night (0-5)",B1824&lt;=9,"Morning peak (6-9)",B1824&lt;=15,"Midday (10-15)",B1824&lt;=19,"Evening peak (16-19)",TRUE,"Late evening (20-23)")</f>
        <v>Late evening (20-23)</v>
      </c>
    </row>
    <row r="1825" spans="1:9">
      <c r="A1825" s="32">
        <v>41805</v>
      </c>
      <c r="B1825">
        <v>23</v>
      </c>
      <c r="C1825">
        <v>330</v>
      </c>
      <c r="D1825" t="s">
        <v>303</v>
      </c>
      <c r="E1825">
        <f>YEAR(A1825)</f>
        <v>2014</v>
      </c>
      <c r="F1825" s="33">
        <f>DATE(YEAR(A1825),MONTH(A1825),1)</f>
        <v>41791.0</v>
      </c>
      <c r="G1825" t="str">
        <f>CHOOSE(WEEKDAY(A1825,2),"Mon","Tue","Wed","Thu","Fri","Sat","Sun")</f>
        <v>Sun</v>
      </c>
      <c r="H1825" t="str">
        <f>IF(WEEKDAY(A1825,2)&gt;5,"Weekend","Weekday")</f>
        <v>Weekend</v>
      </c>
      <c r="I1825" t="str">
        <f>_xlfn.IFS(B1825&lt;=5,"Night (0-5)",B1825&lt;=9,"Morning peak (6-9)",B1825&lt;=15,"Midday (10-15)",B1825&lt;=19,"Evening peak (16-19)",TRUE,"Late evening (20-23)")</f>
        <v>Late evening (20-23)</v>
      </c>
    </row>
    <row r="1826" spans="1:9">
      <c r="A1826" s="32">
        <v>41806</v>
      </c>
      <c r="B1826">
        <v>0</v>
      </c>
      <c r="C1826">
        <v>122</v>
      </c>
      <c r="D1826" t="s">
        <v>303</v>
      </c>
      <c r="E1826">
        <f>YEAR(A1826)</f>
        <v>2014</v>
      </c>
      <c r="F1826" s="33">
        <f>DATE(YEAR(A1826),MONTH(A1826),1)</f>
        <v>41791.0</v>
      </c>
      <c r="G1826" t="str">
        <f>CHOOSE(WEEKDAY(A1826,2),"Mon","Tue","Wed","Thu","Fri","Sat","Sun")</f>
        <v>Mon</v>
      </c>
      <c r="H1826" t="str">
        <f>IF(WEEKDAY(A1826,2)&gt;5,"Weekend","Weekday")</f>
        <v>Weekday</v>
      </c>
      <c r="I1826" t="str">
        <f>_xlfn.IFS(B1826&lt;=5,"Night (0-5)",B1826&lt;=9,"Morning peak (6-9)",B1826&lt;=15,"Midday (10-15)",B1826&lt;=19,"Evening peak (16-19)",TRUE,"Late evening (20-23)")</f>
        <v>Night (0-5)</v>
      </c>
    </row>
    <row r="1827" spans="1:9">
      <c r="A1827" s="32">
        <v>41806</v>
      </c>
      <c r="B1827">
        <v>1</v>
      </c>
      <c r="C1827">
        <v>87</v>
      </c>
      <c r="D1827" t="s">
        <v>303</v>
      </c>
      <c r="E1827">
        <f>YEAR(A1827)</f>
        <v>2014</v>
      </c>
      <c r="F1827" s="33">
        <f>DATE(YEAR(A1827),MONTH(A1827),1)</f>
        <v>41791.0</v>
      </c>
      <c r="G1827" t="str">
        <f>CHOOSE(WEEKDAY(A1827,2),"Mon","Tue","Wed","Thu","Fri","Sat","Sun")</f>
        <v>Mon</v>
      </c>
      <c r="H1827" t="str">
        <f>IF(WEEKDAY(A1827,2)&gt;5,"Weekend","Weekday")</f>
        <v>Weekday</v>
      </c>
      <c r="I1827" t="str">
        <f>_xlfn.IFS(B1827&lt;=5,"Night (0-5)",B1827&lt;=9,"Morning peak (6-9)",B1827&lt;=15,"Midday (10-15)",B1827&lt;=19,"Evening peak (16-19)",TRUE,"Late evening (20-23)")</f>
        <v>Night (0-5)</v>
      </c>
    </row>
    <row r="1828" spans="1:9">
      <c r="A1828" s="32">
        <v>41806</v>
      </c>
      <c r="B1828">
        <v>2</v>
      </c>
      <c r="C1828">
        <v>68</v>
      </c>
      <c r="D1828" t="s">
        <v>303</v>
      </c>
      <c r="E1828">
        <f>YEAR(A1828)</f>
        <v>2014</v>
      </c>
      <c r="F1828" s="33">
        <f>DATE(YEAR(A1828),MONTH(A1828),1)</f>
        <v>41791.0</v>
      </c>
      <c r="G1828" t="str">
        <f>CHOOSE(WEEKDAY(A1828,2),"Mon","Tue","Wed","Thu","Fri","Sat","Sun")</f>
        <v>Mon</v>
      </c>
      <c r="H1828" t="str">
        <f>IF(WEEKDAY(A1828,2)&gt;5,"Weekend","Weekday")</f>
        <v>Weekday</v>
      </c>
      <c r="I1828" t="str">
        <f>_xlfn.IFS(B1828&lt;=5,"Night (0-5)",B1828&lt;=9,"Morning peak (6-9)",B1828&lt;=15,"Midday (10-15)",B1828&lt;=19,"Evening peak (16-19)",TRUE,"Late evening (20-23)")</f>
        <v>Night (0-5)</v>
      </c>
    </row>
    <row r="1829" spans="1:9">
      <c r="A1829" s="32">
        <v>41806</v>
      </c>
      <c r="B1829">
        <v>3</v>
      </c>
      <c r="C1829">
        <v>188</v>
      </c>
      <c r="D1829" t="s">
        <v>303</v>
      </c>
      <c r="E1829">
        <f>YEAR(A1829)</f>
        <v>2014</v>
      </c>
      <c r="F1829" s="33">
        <f>DATE(YEAR(A1829),MONTH(A1829),1)</f>
        <v>41791.0</v>
      </c>
      <c r="G1829" t="str">
        <f>CHOOSE(WEEKDAY(A1829,2),"Mon","Tue","Wed","Thu","Fri","Sat","Sun")</f>
        <v>Mon</v>
      </c>
      <c r="H1829" t="str">
        <f>IF(WEEKDAY(A1829,2)&gt;5,"Weekend","Weekday")</f>
        <v>Weekday</v>
      </c>
      <c r="I1829" t="str">
        <f>_xlfn.IFS(B1829&lt;=5,"Night (0-5)",B1829&lt;=9,"Morning peak (6-9)",B1829&lt;=15,"Midday (10-15)",B1829&lt;=19,"Evening peak (16-19)",TRUE,"Late evening (20-23)")</f>
        <v>Night (0-5)</v>
      </c>
    </row>
    <row r="1830" spans="1:9">
      <c r="A1830" s="32">
        <v>41806</v>
      </c>
      <c r="B1830">
        <v>4</v>
      </c>
      <c r="C1830">
        <v>330</v>
      </c>
      <c r="D1830" t="s">
        <v>303</v>
      </c>
      <c r="E1830">
        <f>YEAR(A1830)</f>
        <v>2014</v>
      </c>
      <c r="F1830" s="33">
        <f>DATE(YEAR(A1830),MONTH(A1830),1)</f>
        <v>41791.0</v>
      </c>
      <c r="G1830" t="str">
        <f>CHOOSE(WEEKDAY(A1830,2),"Mon","Tue","Wed","Thu","Fri","Sat","Sun")</f>
        <v>Mon</v>
      </c>
      <c r="H1830" t="str">
        <f>IF(WEEKDAY(A1830,2)&gt;5,"Weekend","Weekday")</f>
        <v>Weekday</v>
      </c>
      <c r="I1830" t="str">
        <f>_xlfn.IFS(B1830&lt;=5,"Night (0-5)",B1830&lt;=9,"Morning peak (6-9)",B1830&lt;=15,"Midday (10-15)",B1830&lt;=19,"Evening peak (16-19)",TRUE,"Late evening (20-23)")</f>
        <v>Night (0-5)</v>
      </c>
    </row>
    <row r="1831" spans="1:9">
      <c r="A1831" s="32">
        <v>41806</v>
      </c>
      <c r="B1831">
        <v>5</v>
      </c>
      <c r="C1831">
        <v>516</v>
      </c>
      <c r="D1831" t="s">
        <v>303</v>
      </c>
      <c r="E1831">
        <f>YEAR(A1831)</f>
        <v>2014</v>
      </c>
      <c r="F1831" s="33">
        <f>DATE(YEAR(A1831),MONTH(A1831),1)</f>
        <v>41791.0</v>
      </c>
      <c r="G1831" t="str">
        <f>CHOOSE(WEEKDAY(A1831,2),"Mon","Tue","Wed","Thu","Fri","Sat","Sun")</f>
        <v>Mon</v>
      </c>
      <c r="H1831" t="str">
        <f>IF(WEEKDAY(A1831,2)&gt;5,"Weekend","Weekday")</f>
        <v>Weekday</v>
      </c>
      <c r="I1831" t="str">
        <f>_xlfn.IFS(B1831&lt;=5,"Night (0-5)",B1831&lt;=9,"Morning peak (6-9)",B1831&lt;=15,"Midday (10-15)",B1831&lt;=19,"Evening peak (16-19)",TRUE,"Late evening (20-23)")</f>
        <v>Night (0-5)</v>
      </c>
    </row>
    <row r="1832" spans="1:9">
      <c r="A1832" s="32">
        <v>41806</v>
      </c>
      <c r="B1832">
        <v>6</v>
      </c>
      <c r="C1832">
        <v>802</v>
      </c>
      <c r="D1832" t="s">
        <v>303</v>
      </c>
      <c r="E1832">
        <f>YEAR(A1832)</f>
        <v>2014</v>
      </c>
      <c r="F1832" s="33">
        <f>DATE(YEAR(A1832),MONTH(A1832),1)</f>
        <v>41791.0</v>
      </c>
      <c r="G1832" t="str">
        <f>CHOOSE(WEEKDAY(A1832,2),"Mon","Tue","Wed","Thu","Fri","Sat","Sun")</f>
        <v>Mon</v>
      </c>
      <c r="H1832" t="str">
        <f>IF(WEEKDAY(A1832,2)&gt;5,"Weekend","Weekday")</f>
        <v>Weekday</v>
      </c>
      <c r="I1832" t="str">
        <f>_xlfn.IFS(B1832&lt;=5,"Night (0-5)",B1832&lt;=9,"Morning peak (6-9)",B1832&lt;=15,"Midday (10-15)",B1832&lt;=19,"Evening peak (16-19)",TRUE,"Late evening (20-23)")</f>
        <v>Morning peak (6-9)</v>
      </c>
    </row>
    <row r="1833" spans="1:9">
      <c r="A1833" s="32">
        <v>41806</v>
      </c>
      <c r="B1833">
        <v>7</v>
      </c>
      <c r="C1833">
        <v>1170</v>
      </c>
      <c r="D1833" t="s">
        <v>303</v>
      </c>
      <c r="E1833">
        <f>YEAR(A1833)</f>
        <v>2014</v>
      </c>
      <c r="F1833" s="33">
        <f>DATE(YEAR(A1833),MONTH(A1833),1)</f>
        <v>41791.0</v>
      </c>
      <c r="G1833" t="str">
        <f>CHOOSE(WEEKDAY(A1833,2),"Mon","Tue","Wed","Thu","Fri","Sat","Sun")</f>
        <v>Mon</v>
      </c>
      <c r="H1833" t="str">
        <f>IF(WEEKDAY(A1833,2)&gt;5,"Weekend","Weekday")</f>
        <v>Weekday</v>
      </c>
      <c r="I1833" t="str">
        <f>_xlfn.IFS(B1833&lt;=5,"Night (0-5)",B1833&lt;=9,"Morning peak (6-9)",B1833&lt;=15,"Midday (10-15)",B1833&lt;=19,"Evening peak (16-19)",TRUE,"Late evening (20-23)")</f>
        <v>Morning peak (6-9)</v>
      </c>
    </row>
    <row r="1834" spans="1:9">
      <c r="A1834" s="32">
        <v>41806</v>
      </c>
      <c r="B1834">
        <v>8</v>
      </c>
      <c r="C1834">
        <v>969</v>
      </c>
      <c r="D1834" t="s">
        <v>303</v>
      </c>
      <c r="E1834">
        <f>YEAR(A1834)</f>
        <v>2014</v>
      </c>
      <c r="F1834" s="33">
        <f>DATE(YEAR(A1834),MONTH(A1834),1)</f>
        <v>41791.0</v>
      </c>
      <c r="G1834" t="str">
        <f>CHOOSE(WEEKDAY(A1834,2),"Mon","Tue","Wed","Thu","Fri","Sat","Sun")</f>
        <v>Mon</v>
      </c>
      <c r="H1834" t="str">
        <f>IF(WEEKDAY(A1834,2)&gt;5,"Weekend","Weekday")</f>
        <v>Weekday</v>
      </c>
      <c r="I1834" t="str">
        <f>_xlfn.IFS(B1834&lt;=5,"Night (0-5)",B1834&lt;=9,"Morning peak (6-9)",B1834&lt;=15,"Midday (10-15)",B1834&lt;=19,"Evening peak (16-19)",TRUE,"Late evening (20-23)")</f>
        <v>Morning peak (6-9)</v>
      </c>
    </row>
    <row r="1835" spans="1:9">
      <c r="A1835" s="32">
        <v>41806</v>
      </c>
      <c r="B1835">
        <v>9</v>
      </c>
      <c r="C1835">
        <v>672</v>
      </c>
      <c r="D1835" t="s">
        <v>303</v>
      </c>
      <c r="E1835">
        <f>YEAR(A1835)</f>
        <v>2014</v>
      </c>
      <c r="F1835" s="33">
        <f>DATE(YEAR(A1835),MONTH(A1835),1)</f>
        <v>41791.0</v>
      </c>
      <c r="G1835" t="str">
        <f>CHOOSE(WEEKDAY(A1835,2),"Mon","Tue","Wed","Thu","Fri","Sat","Sun")</f>
        <v>Mon</v>
      </c>
      <c r="H1835" t="str">
        <f>IF(WEEKDAY(A1835,2)&gt;5,"Weekend","Weekday")</f>
        <v>Weekday</v>
      </c>
      <c r="I1835" t="str">
        <f>_xlfn.IFS(B1835&lt;=5,"Night (0-5)",B1835&lt;=9,"Morning peak (6-9)",B1835&lt;=15,"Midday (10-15)",B1835&lt;=19,"Evening peak (16-19)",TRUE,"Late evening (20-23)")</f>
        <v>Morning peak (6-9)</v>
      </c>
    </row>
    <row r="1836" spans="1:9">
      <c r="A1836" s="32">
        <v>41806</v>
      </c>
      <c r="B1836">
        <v>10</v>
      </c>
      <c r="C1836">
        <v>640</v>
      </c>
      <c r="D1836" t="s">
        <v>303</v>
      </c>
      <c r="E1836">
        <f>YEAR(A1836)</f>
        <v>2014</v>
      </c>
      <c r="F1836" s="33">
        <f>DATE(YEAR(A1836),MONTH(A1836),1)</f>
        <v>41791.0</v>
      </c>
      <c r="G1836" t="str">
        <f>CHOOSE(WEEKDAY(A1836,2),"Mon","Tue","Wed","Thu","Fri","Sat","Sun")</f>
        <v>Mon</v>
      </c>
      <c r="H1836" t="str">
        <f>IF(WEEKDAY(A1836,2)&gt;5,"Weekend","Weekday")</f>
        <v>Weekday</v>
      </c>
      <c r="I1836" t="str">
        <f>_xlfn.IFS(B1836&lt;=5,"Night (0-5)",B1836&lt;=9,"Morning peak (6-9)",B1836&lt;=15,"Midday (10-15)",B1836&lt;=19,"Evening peak (16-19)",TRUE,"Late evening (20-23)")</f>
        <v>Midday (10-15)</v>
      </c>
    </row>
    <row r="1837" spans="1:9">
      <c r="A1837" s="32">
        <v>41806</v>
      </c>
      <c r="B1837">
        <v>11</v>
      </c>
      <c r="C1837">
        <v>692</v>
      </c>
      <c r="D1837" t="s">
        <v>303</v>
      </c>
      <c r="E1837">
        <f>YEAR(A1837)</f>
        <v>2014</v>
      </c>
      <c r="F1837" s="33">
        <f>DATE(YEAR(A1837),MONTH(A1837),1)</f>
        <v>41791.0</v>
      </c>
      <c r="G1837" t="str">
        <f>CHOOSE(WEEKDAY(A1837,2),"Mon","Tue","Wed","Thu","Fri","Sat","Sun")</f>
        <v>Mon</v>
      </c>
      <c r="H1837" t="str">
        <f>IF(WEEKDAY(A1837,2)&gt;5,"Weekend","Weekday")</f>
        <v>Weekday</v>
      </c>
      <c r="I1837" t="str">
        <f>_xlfn.IFS(B1837&lt;=5,"Night (0-5)",B1837&lt;=9,"Morning peak (6-9)",B1837&lt;=15,"Midday (10-15)",B1837&lt;=19,"Evening peak (16-19)",TRUE,"Late evening (20-23)")</f>
        <v>Midday (10-15)</v>
      </c>
    </row>
    <row r="1838" spans="1:9">
      <c r="A1838" s="32">
        <v>41806</v>
      </c>
      <c r="B1838">
        <v>12</v>
      </c>
      <c r="C1838">
        <v>663</v>
      </c>
      <c r="D1838" t="s">
        <v>303</v>
      </c>
      <c r="E1838">
        <f>YEAR(A1838)</f>
        <v>2014</v>
      </c>
      <c r="F1838" s="33">
        <f>DATE(YEAR(A1838),MONTH(A1838),1)</f>
        <v>41791.0</v>
      </c>
      <c r="G1838" t="str">
        <f>CHOOSE(WEEKDAY(A1838,2),"Mon","Tue","Wed","Thu","Fri","Sat","Sun")</f>
        <v>Mon</v>
      </c>
      <c r="H1838" t="str">
        <f>IF(WEEKDAY(A1838,2)&gt;5,"Weekend","Weekday")</f>
        <v>Weekday</v>
      </c>
      <c r="I1838" t="str">
        <f>_xlfn.IFS(B1838&lt;=5,"Night (0-5)",B1838&lt;=9,"Morning peak (6-9)",B1838&lt;=15,"Midday (10-15)",B1838&lt;=19,"Evening peak (16-19)",TRUE,"Late evening (20-23)")</f>
        <v>Midday (10-15)</v>
      </c>
    </row>
    <row r="1839" spans="1:9">
      <c r="A1839" s="32">
        <v>41806</v>
      </c>
      <c r="B1839">
        <v>13</v>
      </c>
      <c r="C1839">
        <v>752</v>
      </c>
      <c r="D1839" t="s">
        <v>303</v>
      </c>
      <c r="E1839">
        <f>YEAR(A1839)</f>
        <v>2014</v>
      </c>
      <c r="F1839" s="33">
        <f>DATE(YEAR(A1839),MONTH(A1839),1)</f>
        <v>41791.0</v>
      </c>
      <c r="G1839" t="str">
        <f>CHOOSE(WEEKDAY(A1839,2),"Mon","Tue","Wed","Thu","Fri","Sat","Sun")</f>
        <v>Mon</v>
      </c>
      <c r="H1839" t="str">
        <f>IF(WEEKDAY(A1839,2)&gt;5,"Weekend","Weekday")</f>
        <v>Weekday</v>
      </c>
      <c r="I1839" t="str">
        <f>_xlfn.IFS(B1839&lt;=5,"Night (0-5)",B1839&lt;=9,"Morning peak (6-9)",B1839&lt;=15,"Midday (10-15)",B1839&lt;=19,"Evening peak (16-19)",TRUE,"Late evening (20-23)")</f>
        <v>Midday (10-15)</v>
      </c>
    </row>
    <row r="1840" spans="1:9">
      <c r="A1840" s="32">
        <v>41806</v>
      </c>
      <c r="B1840">
        <v>14</v>
      </c>
      <c r="C1840">
        <v>933</v>
      </c>
      <c r="D1840" t="s">
        <v>303</v>
      </c>
      <c r="E1840">
        <f>YEAR(A1840)</f>
        <v>2014</v>
      </c>
      <c r="F1840" s="33">
        <f>DATE(YEAR(A1840),MONTH(A1840),1)</f>
        <v>41791.0</v>
      </c>
      <c r="G1840" t="str">
        <f>CHOOSE(WEEKDAY(A1840,2),"Mon","Tue","Wed","Thu","Fri","Sat","Sun")</f>
        <v>Mon</v>
      </c>
      <c r="H1840" t="str">
        <f>IF(WEEKDAY(A1840,2)&gt;5,"Weekend","Weekday")</f>
        <v>Weekday</v>
      </c>
      <c r="I1840" t="str">
        <f>_xlfn.IFS(B1840&lt;=5,"Night (0-5)",B1840&lt;=9,"Morning peak (6-9)",B1840&lt;=15,"Midday (10-15)",B1840&lt;=19,"Evening peak (16-19)",TRUE,"Late evening (20-23)")</f>
        <v>Midday (10-15)</v>
      </c>
    </row>
    <row r="1841" spans="1:9">
      <c r="A1841" s="32">
        <v>41806</v>
      </c>
      <c r="B1841">
        <v>15</v>
      </c>
      <c r="C1841">
        <v>1115</v>
      </c>
      <c r="D1841" t="s">
        <v>303</v>
      </c>
      <c r="E1841">
        <f>YEAR(A1841)</f>
        <v>2014</v>
      </c>
      <c r="F1841" s="33">
        <f>DATE(YEAR(A1841),MONTH(A1841),1)</f>
        <v>41791.0</v>
      </c>
      <c r="G1841" t="str">
        <f>CHOOSE(WEEKDAY(A1841,2),"Mon","Tue","Wed","Thu","Fri","Sat","Sun")</f>
        <v>Mon</v>
      </c>
      <c r="H1841" t="str">
        <f>IF(WEEKDAY(A1841,2)&gt;5,"Weekend","Weekday")</f>
        <v>Weekday</v>
      </c>
      <c r="I1841" t="str">
        <f>_xlfn.IFS(B1841&lt;=5,"Night (0-5)",B1841&lt;=9,"Morning peak (6-9)",B1841&lt;=15,"Midday (10-15)",B1841&lt;=19,"Evening peak (16-19)",TRUE,"Late evening (20-23)")</f>
        <v>Midday (10-15)</v>
      </c>
    </row>
    <row r="1842" spans="1:9">
      <c r="A1842" s="32">
        <v>41806</v>
      </c>
      <c r="B1842">
        <v>16</v>
      </c>
      <c r="C1842">
        <v>1498</v>
      </c>
      <c r="D1842" t="s">
        <v>303</v>
      </c>
      <c r="E1842">
        <f>YEAR(A1842)</f>
        <v>2014</v>
      </c>
      <c r="F1842" s="33">
        <f>DATE(YEAR(A1842),MONTH(A1842),1)</f>
        <v>41791.0</v>
      </c>
      <c r="G1842" t="str">
        <f>CHOOSE(WEEKDAY(A1842,2),"Mon","Tue","Wed","Thu","Fri","Sat","Sun")</f>
        <v>Mon</v>
      </c>
      <c r="H1842" t="str">
        <f>IF(WEEKDAY(A1842,2)&gt;5,"Weekend","Weekday")</f>
        <v>Weekday</v>
      </c>
      <c r="I1842" t="str">
        <f>_xlfn.IFS(B1842&lt;=5,"Night (0-5)",B1842&lt;=9,"Morning peak (6-9)",B1842&lt;=15,"Midday (10-15)",B1842&lt;=19,"Evening peak (16-19)",TRUE,"Late evening (20-23)")</f>
        <v>Evening peak (16-19)</v>
      </c>
    </row>
    <row r="1843" spans="1:9">
      <c r="A1843" s="32">
        <v>41806</v>
      </c>
      <c r="B1843">
        <v>17</v>
      </c>
      <c r="C1843">
        <v>1408</v>
      </c>
      <c r="D1843" t="s">
        <v>303</v>
      </c>
      <c r="E1843">
        <f>YEAR(A1843)</f>
        <v>2014</v>
      </c>
      <c r="F1843" s="33">
        <f>DATE(YEAR(A1843),MONTH(A1843),1)</f>
        <v>41791.0</v>
      </c>
      <c r="G1843" t="str">
        <f>CHOOSE(WEEKDAY(A1843,2),"Mon","Tue","Wed","Thu","Fri","Sat","Sun")</f>
        <v>Mon</v>
      </c>
      <c r="H1843" t="str">
        <f>IF(WEEKDAY(A1843,2)&gt;5,"Weekend","Weekday")</f>
        <v>Weekday</v>
      </c>
      <c r="I1843" t="str">
        <f>_xlfn.IFS(B1843&lt;=5,"Night (0-5)",B1843&lt;=9,"Morning peak (6-9)",B1843&lt;=15,"Midday (10-15)",B1843&lt;=19,"Evening peak (16-19)",TRUE,"Late evening (20-23)")</f>
        <v>Evening peak (16-19)</v>
      </c>
    </row>
    <row r="1844" spans="1:9">
      <c r="A1844" s="32">
        <v>41806</v>
      </c>
      <c r="B1844">
        <v>18</v>
      </c>
      <c r="C1844">
        <v>965</v>
      </c>
      <c r="D1844" t="s">
        <v>303</v>
      </c>
      <c r="E1844">
        <f>YEAR(A1844)</f>
        <v>2014</v>
      </c>
      <c r="F1844" s="33">
        <f>DATE(YEAR(A1844),MONTH(A1844),1)</f>
        <v>41791.0</v>
      </c>
      <c r="G1844" t="str">
        <f>CHOOSE(WEEKDAY(A1844,2),"Mon","Tue","Wed","Thu","Fri","Sat","Sun")</f>
        <v>Mon</v>
      </c>
      <c r="H1844" t="str">
        <f>IF(WEEKDAY(A1844,2)&gt;5,"Weekend","Weekday")</f>
        <v>Weekday</v>
      </c>
      <c r="I1844" t="str">
        <f>_xlfn.IFS(B1844&lt;=5,"Night (0-5)",B1844&lt;=9,"Morning peak (6-9)",B1844&lt;=15,"Midday (10-15)",B1844&lt;=19,"Evening peak (16-19)",TRUE,"Late evening (20-23)")</f>
        <v>Evening peak (16-19)</v>
      </c>
    </row>
    <row r="1845" spans="1:9">
      <c r="A1845" s="32">
        <v>41806</v>
      </c>
      <c r="B1845">
        <v>19</v>
      </c>
      <c r="C1845">
        <v>1103</v>
      </c>
      <c r="D1845" t="s">
        <v>303</v>
      </c>
      <c r="E1845">
        <f>YEAR(A1845)</f>
        <v>2014</v>
      </c>
      <c r="F1845" s="33">
        <f>DATE(YEAR(A1845),MONTH(A1845),1)</f>
        <v>41791.0</v>
      </c>
      <c r="G1845" t="str">
        <f>CHOOSE(WEEKDAY(A1845,2),"Mon","Tue","Wed","Thu","Fri","Sat","Sun")</f>
        <v>Mon</v>
      </c>
      <c r="H1845" t="str">
        <f>IF(WEEKDAY(A1845,2)&gt;5,"Weekend","Weekday")</f>
        <v>Weekday</v>
      </c>
      <c r="I1845" t="str">
        <f>_xlfn.IFS(B1845&lt;=5,"Night (0-5)",B1845&lt;=9,"Morning peak (6-9)",B1845&lt;=15,"Midday (10-15)",B1845&lt;=19,"Evening peak (16-19)",TRUE,"Late evening (20-23)")</f>
        <v>Evening peak (16-19)</v>
      </c>
    </row>
    <row r="1846" spans="1:9">
      <c r="A1846" s="32">
        <v>41806</v>
      </c>
      <c r="B1846">
        <v>20</v>
      </c>
      <c r="C1846">
        <v>1092</v>
      </c>
      <c r="D1846" t="s">
        <v>303</v>
      </c>
      <c r="E1846">
        <f>YEAR(A1846)</f>
        <v>2014</v>
      </c>
      <c r="F1846" s="33">
        <f>DATE(YEAR(A1846),MONTH(A1846),1)</f>
        <v>41791.0</v>
      </c>
      <c r="G1846" t="str">
        <f>CHOOSE(WEEKDAY(A1846,2),"Mon","Tue","Wed","Thu","Fri","Sat","Sun")</f>
        <v>Mon</v>
      </c>
      <c r="H1846" t="str">
        <f>IF(WEEKDAY(A1846,2)&gt;5,"Weekend","Weekday")</f>
        <v>Weekday</v>
      </c>
      <c r="I1846" t="str">
        <f>_xlfn.IFS(B1846&lt;=5,"Night (0-5)",B1846&lt;=9,"Morning peak (6-9)",B1846&lt;=15,"Midday (10-15)",B1846&lt;=19,"Evening peak (16-19)",TRUE,"Late evening (20-23)")</f>
        <v>Late evening (20-23)</v>
      </c>
    </row>
    <row r="1847" spans="1:9">
      <c r="A1847" s="32">
        <v>41806</v>
      </c>
      <c r="B1847">
        <v>21</v>
      </c>
      <c r="C1847">
        <v>976</v>
      </c>
      <c r="D1847" t="s">
        <v>303</v>
      </c>
      <c r="E1847">
        <f>YEAR(A1847)</f>
        <v>2014</v>
      </c>
      <c r="F1847" s="33">
        <f>DATE(YEAR(A1847),MONTH(A1847),1)</f>
        <v>41791.0</v>
      </c>
      <c r="G1847" t="str">
        <f>CHOOSE(WEEKDAY(A1847,2),"Mon","Tue","Wed","Thu","Fri","Sat","Sun")</f>
        <v>Mon</v>
      </c>
      <c r="H1847" t="str">
        <f>IF(WEEKDAY(A1847,2)&gt;5,"Weekend","Weekday")</f>
        <v>Weekday</v>
      </c>
      <c r="I1847" t="str">
        <f>_xlfn.IFS(B1847&lt;=5,"Night (0-5)",B1847&lt;=9,"Morning peak (6-9)",B1847&lt;=15,"Midday (10-15)",B1847&lt;=19,"Evening peak (16-19)",TRUE,"Late evening (20-23)")</f>
        <v>Late evening (20-23)</v>
      </c>
    </row>
    <row r="1848" spans="1:9">
      <c r="A1848" s="32">
        <v>41806</v>
      </c>
      <c r="B1848">
        <v>22</v>
      </c>
      <c r="C1848">
        <v>628</v>
      </c>
      <c r="D1848" t="s">
        <v>303</v>
      </c>
      <c r="E1848">
        <f>YEAR(A1848)</f>
        <v>2014</v>
      </c>
      <c r="F1848" s="33">
        <f>DATE(YEAR(A1848),MONTH(A1848),1)</f>
        <v>41791.0</v>
      </c>
      <c r="G1848" t="str">
        <f>CHOOSE(WEEKDAY(A1848,2),"Mon","Tue","Wed","Thu","Fri","Sat","Sun")</f>
        <v>Mon</v>
      </c>
      <c r="H1848" t="str">
        <f>IF(WEEKDAY(A1848,2)&gt;5,"Weekend","Weekday")</f>
        <v>Weekday</v>
      </c>
      <c r="I1848" t="str">
        <f>_xlfn.IFS(B1848&lt;=5,"Night (0-5)",B1848&lt;=9,"Morning peak (6-9)",B1848&lt;=15,"Midday (10-15)",B1848&lt;=19,"Evening peak (16-19)",TRUE,"Late evening (20-23)")</f>
        <v>Late evening (20-23)</v>
      </c>
    </row>
    <row r="1849" spans="1:9">
      <c r="A1849" s="32">
        <v>41806</v>
      </c>
      <c r="B1849">
        <v>23</v>
      </c>
      <c r="C1849">
        <v>389</v>
      </c>
      <c r="D1849" t="s">
        <v>303</v>
      </c>
      <c r="E1849">
        <f>YEAR(A1849)</f>
        <v>2014</v>
      </c>
      <c r="F1849" s="33">
        <f>DATE(YEAR(A1849),MONTH(A1849),1)</f>
        <v>41791.0</v>
      </c>
      <c r="G1849" t="str">
        <f>CHOOSE(WEEKDAY(A1849,2),"Mon","Tue","Wed","Thu","Fri","Sat","Sun")</f>
        <v>Mon</v>
      </c>
      <c r="H1849" t="str">
        <f>IF(WEEKDAY(A1849,2)&gt;5,"Weekend","Weekday")</f>
        <v>Weekday</v>
      </c>
      <c r="I1849" t="str">
        <f>_xlfn.IFS(B1849&lt;=5,"Night (0-5)",B1849&lt;=9,"Morning peak (6-9)",B1849&lt;=15,"Midday (10-15)",B1849&lt;=19,"Evening peak (16-19)",TRUE,"Late evening (20-23)")</f>
        <v>Late evening (20-23)</v>
      </c>
    </row>
    <row r="1850" spans="1:9">
      <c r="A1850" s="32">
        <v>41807</v>
      </c>
      <c r="B1850">
        <v>0</v>
      </c>
      <c r="C1850">
        <v>170</v>
      </c>
      <c r="D1850" t="s">
        <v>303</v>
      </c>
      <c r="E1850">
        <f>YEAR(A1850)</f>
        <v>2014</v>
      </c>
      <c r="F1850" s="33">
        <f>DATE(YEAR(A1850),MONTH(A1850),1)</f>
        <v>41791.0</v>
      </c>
      <c r="G1850" t="str">
        <f>CHOOSE(WEEKDAY(A1850,2),"Mon","Tue","Wed","Thu","Fri","Sat","Sun")</f>
        <v>Tue</v>
      </c>
      <c r="H1850" t="str">
        <f>IF(WEEKDAY(A1850,2)&gt;5,"Weekend","Weekday")</f>
        <v>Weekday</v>
      </c>
      <c r="I1850" t="str">
        <f>_xlfn.IFS(B1850&lt;=5,"Night (0-5)",B1850&lt;=9,"Morning peak (6-9)",B1850&lt;=15,"Midday (10-15)",B1850&lt;=19,"Evening peak (16-19)",TRUE,"Late evening (20-23)")</f>
        <v>Night (0-5)</v>
      </c>
    </row>
    <row r="1851" spans="1:9">
      <c r="A1851" s="32">
        <v>41807</v>
      </c>
      <c r="B1851">
        <v>1</v>
      </c>
      <c r="C1851">
        <v>107</v>
      </c>
      <c r="D1851" t="s">
        <v>303</v>
      </c>
      <c r="E1851">
        <f>YEAR(A1851)</f>
        <v>2014</v>
      </c>
      <c r="F1851" s="33">
        <f>DATE(YEAR(A1851),MONTH(A1851),1)</f>
        <v>41791.0</v>
      </c>
      <c r="G1851" t="str">
        <f>CHOOSE(WEEKDAY(A1851,2),"Mon","Tue","Wed","Thu","Fri","Sat","Sun")</f>
        <v>Tue</v>
      </c>
      <c r="H1851" t="str">
        <f>IF(WEEKDAY(A1851,2)&gt;5,"Weekend","Weekday")</f>
        <v>Weekday</v>
      </c>
      <c r="I1851" t="str">
        <f>_xlfn.IFS(B1851&lt;=5,"Night (0-5)",B1851&lt;=9,"Morning peak (6-9)",B1851&lt;=15,"Midday (10-15)",B1851&lt;=19,"Evening peak (16-19)",TRUE,"Late evening (20-23)")</f>
        <v>Night (0-5)</v>
      </c>
    </row>
    <row r="1852" spans="1:9">
      <c r="A1852" s="32">
        <v>41807</v>
      </c>
      <c r="B1852">
        <v>2</v>
      </c>
      <c r="C1852">
        <v>78</v>
      </c>
      <c r="D1852" t="s">
        <v>303</v>
      </c>
      <c r="E1852">
        <f>YEAR(A1852)</f>
        <v>2014</v>
      </c>
      <c r="F1852" s="33">
        <f>DATE(YEAR(A1852),MONTH(A1852),1)</f>
        <v>41791.0</v>
      </c>
      <c r="G1852" t="str">
        <f>CHOOSE(WEEKDAY(A1852,2),"Mon","Tue","Wed","Thu","Fri","Sat","Sun")</f>
        <v>Tue</v>
      </c>
      <c r="H1852" t="str">
        <f>IF(WEEKDAY(A1852,2)&gt;5,"Weekend","Weekday")</f>
        <v>Weekday</v>
      </c>
      <c r="I1852" t="str">
        <f>_xlfn.IFS(B1852&lt;=5,"Night (0-5)",B1852&lt;=9,"Morning peak (6-9)",B1852&lt;=15,"Midday (10-15)",B1852&lt;=19,"Evening peak (16-19)",TRUE,"Late evening (20-23)")</f>
        <v>Night (0-5)</v>
      </c>
    </row>
    <row r="1853" spans="1:9">
      <c r="A1853" s="32">
        <v>41807</v>
      </c>
      <c r="B1853">
        <v>3</v>
      </c>
      <c r="C1853">
        <v>136</v>
      </c>
      <c r="D1853" t="s">
        <v>303</v>
      </c>
      <c r="E1853">
        <f>YEAR(A1853)</f>
        <v>2014</v>
      </c>
      <c r="F1853" s="33">
        <f>DATE(YEAR(A1853),MONTH(A1853),1)</f>
        <v>41791.0</v>
      </c>
      <c r="G1853" t="str">
        <f>CHOOSE(WEEKDAY(A1853,2),"Mon","Tue","Wed","Thu","Fri","Sat","Sun")</f>
        <v>Tue</v>
      </c>
      <c r="H1853" t="str">
        <f>IF(WEEKDAY(A1853,2)&gt;5,"Weekend","Weekday")</f>
        <v>Weekday</v>
      </c>
      <c r="I1853" t="str">
        <f>_xlfn.IFS(B1853&lt;=5,"Night (0-5)",B1853&lt;=9,"Morning peak (6-9)",B1853&lt;=15,"Midday (10-15)",B1853&lt;=19,"Evening peak (16-19)",TRUE,"Late evening (20-23)")</f>
        <v>Night (0-5)</v>
      </c>
    </row>
    <row r="1854" spans="1:9">
      <c r="A1854" s="32">
        <v>41807</v>
      </c>
      <c r="B1854">
        <v>4</v>
      </c>
      <c r="C1854">
        <v>223</v>
      </c>
      <c r="D1854" t="s">
        <v>303</v>
      </c>
      <c r="E1854">
        <f>YEAR(A1854)</f>
        <v>2014</v>
      </c>
      <c r="F1854" s="33">
        <f>DATE(YEAR(A1854),MONTH(A1854),1)</f>
        <v>41791.0</v>
      </c>
      <c r="G1854" t="str">
        <f>CHOOSE(WEEKDAY(A1854,2),"Mon","Tue","Wed","Thu","Fri","Sat","Sun")</f>
        <v>Tue</v>
      </c>
      <c r="H1854" t="str">
        <f>IF(WEEKDAY(A1854,2)&gt;5,"Weekend","Weekday")</f>
        <v>Weekday</v>
      </c>
      <c r="I1854" t="str">
        <f>_xlfn.IFS(B1854&lt;=5,"Night (0-5)",B1854&lt;=9,"Morning peak (6-9)",B1854&lt;=15,"Midday (10-15)",B1854&lt;=19,"Evening peak (16-19)",TRUE,"Late evening (20-23)")</f>
        <v>Night (0-5)</v>
      </c>
    </row>
    <row r="1855" spans="1:9">
      <c r="A1855" s="32">
        <v>41807</v>
      </c>
      <c r="B1855">
        <v>5</v>
      </c>
      <c r="C1855">
        <v>403</v>
      </c>
      <c r="D1855" t="s">
        <v>303</v>
      </c>
      <c r="E1855">
        <f>YEAR(A1855)</f>
        <v>2014</v>
      </c>
      <c r="F1855" s="33">
        <f>DATE(YEAR(A1855),MONTH(A1855),1)</f>
        <v>41791.0</v>
      </c>
      <c r="G1855" t="str">
        <f>CHOOSE(WEEKDAY(A1855,2),"Mon","Tue","Wed","Thu","Fri","Sat","Sun")</f>
        <v>Tue</v>
      </c>
      <c r="H1855" t="str">
        <f>IF(WEEKDAY(A1855,2)&gt;5,"Weekend","Weekday")</f>
        <v>Weekday</v>
      </c>
      <c r="I1855" t="str">
        <f>_xlfn.IFS(B1855&lt;=5,"Night (0-5)",B1855&lt;=9,"Morning peak (6-9)",B1855&lt;=15,"Midday (10-15)",B1855&lt;=19,"Evening peak (16-19)",TRUE,"Late evening (20-23)")</f>
        <v>Night (0-5)</v>
      </c>
    </row>
    <row r="1856" spans="1:9">
      <c r="A1856" s="32">
        <v>41807</v>
      </c>
      <c r="B1856">
        <v>6</v>
      </c>
      <c r="C1856">
        <v>806</v>
      </c>
      <c r="D1856" t="s">
        <v>303</v>
      </c>
      <c r="E1856">
        <f>YEAR(A1856)</f>
        <v>2014</v>
      </c>
      <c r="F1856" s="33">
        <f>DATE(YEAR(A1856),MONTH(A1856),1)</f>
        <v>41791.0</v>
      </c>
      <c r="G1856" t="str">
        <f>CHOOSE(WEEKDAY(A1856,2),"Mon","Tue","Wed","Thu","Fri","Sat","Sun")</f>
        <v>Tue</v>
      </c>
      <c r="H1856" t="str">
        <f>IF(WEEKDAY(A1856,2)&gt;5,"Weekend","Weekday")</f>
        <v>Weekday</v>
      </c>
      <c r="I1856" t="str">
        <f>_xlfn.IFS(B1856&lt;=5,"Night (0-5)",B1856&lt;=9,"Morning peak (6-9)",B1856&lt;=15,"Midday (10-15)",B1856&lt;=19,"Evening peak (16-19)",TRUE,"Late evening (20-23)")</f>
        <v>Morning peak (6-9)</v>
      </c>
    </row>
    <row r="1857" spans="1:9">
      <c r="A1857" s="32">
        <v>41807</v>
      </c>
      <c r="B1857">
        <v>7</v>
      </c>
      <c r="C1857">
        <v>1263</v>
      </c>
      <c r="D1857" t="s">
        <v>303</v>
      </c>
      <c r="E1857">
        <f>YEAR(A1857)</f>
        <v>2014</v>
      </c>
      <c r="F1857" s="33">
        <f>DATE(YEAR(A1857),MONTH(A1857),1)</f>
        <v>41791.0</v>
      </c>
      <c r="G1857" t="str">
        <f>CHOOSE(WEEKDAY(A1857,2),"Mon","Tue","Wed","Thu","Fri","Sat","Sun")</f>
        <v>Tue</v>
      </c>
      <c r="H1857" t="str">
        <f>IF(WEEKDAY(A1857,2)&gt;5,"Weekend","Weekday")</f>
        <v>Weekday</v>
      </c>
      <c r="I1857" t="str">
        <f>_xlfn.IFS(B1857&lt;=5,"Night (0-5)",B1857&lt;=9,"Morning peak (6-9)",B1857&lt;=15,"Midday (10-15)",B1857&lt;=19,"Evening peak (16-19)",TRUE,"Late evening (20-23)")</f>
        <v>Morning peak (6-9)</v>
      </c>
    </row>
    <row r="1858" spans="1:9">
      <c r="A1858" s="32">
        <v>41807</v>
      </c>
      <c r="B1858">
        <v>8</v>
      </c>
      <c r="C1858">
        <v>1066</v>
      </c>
      <c r="D1858" t="s">
        <v>303</v>
      </c>
      <c r="E1858">
        <f>YEAR(A1858)</f>
        <v>2014</v>
      </c>
      <c r="F1858" s="33">
        <f>DATE(YEAR(A1858),MONTH(A1858),1)</f>
        <v>41791.0</v>
      </c>
      <c r="G1858" t="str">
        <f>CHOOSE(WEEKDAY(A1858,2),"Mon","Tue","Wed","Thu","Fri","Sat","Sun")</f>
        <v>Tue</v>
      </c>
      <c r="H1858" t="str">
        <f>IF(WEEKDAY(A1858,2)&gt;5,"Weekend","Weekday")</f>
        <v>Weekday</v>
      </c>
      <c r="I1858" t="str">
        <f>_xlfn.IFS(B1858&lt;=5,"Night (0-5)",B1858&lt;=9,"Morning peak (6-9)",B1858&lt;=15,"Midday (10-15)",B1858&lt;=19,"Evening peak (16-19)",TRUE,"Late evening (20-23)")</f>
        <v>Morning peak (6-9)</v>
      </c>
    </row>
    <row r="1859" spans="1:9">
      <c r="A1859" s="32">
        <v>41807</v>
      </c>
      <c r="B1859">
        <v>9</v>
      </c>
      <c r="C1859">
        <v>759</v>
      </c>
      <c r="D1859" t="s">
        <v>303</v>
      </c>
      <c r="E1859">
        <f>YEAR(A1859)</f>
        <v>2014</v>
      </c>
      <c r="F1859" s="33">
        <f>DATE(YEAR(A1859),MONTH(A1859),1)</f>
        <v>41791.0</v>
      </c>
      <c r="G1859" t="str">
        <f>CHOOSE(WEEKDAY(A1859,2),"Mon","Tue","Wed","Thu","Fri","Sat","Sun")</f>
        <v>Tue</v>
      </c>
      <c r="H1859" t="str">
        <f>IF(WEEKDAY(A1859,2)&gt;5,"Weekend","Weekday")</f>
        <v>Weekday</v>
      </c>
      <c r="I1859" t="str">
        <f>_xlfn.IFS(B1859&lt;=5,"Night (0-5)",B1859&lt;=9,"Morning peak (6-9)",B1859&lt;=15,"Midday (10-15)",B1859&lt;=19,"Evening peak (16-19)",TRUE,"Late evening (20-23)")</f>
        <v>Morning peak (6-9)</v>
      </c>
    </row>
    <row r="1860" spans="1:9">
      <c r="A1860" s="32">
        <v>41807</v>
      </c>
      <c r="B1860">
        <v>10</v>
      </c>
      <c r="C1860">
        <v>687</v>
      </c>
      <c r="D1860" t="s">
        <v>303</v>
      </c>
      <c r="E1860">
        <f>YEAR(A1860)</f>
        <v>2014</v>
      </c>
      <c r="F1860" s="33">
        <f>DATE(YEAR(A1860),MONTH(A1860),1)</f>
        <v>41791.0</v>
      </c>
      <c r="G1860" t="str">
        <f>CHOOSE(WEEKDAY(A1860,2),"Mon","Tue","Wed","Thu","Fri","Sat","Sun")</f>
        <v>Tue</v>
      </c>
      <c r="H1860" t="str">
        <f>IF(WEEKDAY(A1860,2)&gt;5,"Weekend","Weekday")</f>
        <v>Weekday</v>
      </c>
      <c r="I1860" t="str">
        <f>_xlfn.IFS(B1860&lt;=5,"Night (0-5)",B1860&lt;=9,"Morning peak (6-9)",B1860&lt;=15,"Midday (10-15)",B1860&lt;=19,"Evening peak (16-19)",TRUE,"Late evening (20-23)")</f>
        <v>Midday (10-15)</v>
      </c>
    </row>
    <row r="1861" spans="1:9">
      <c r="A1861" s="32">
        <v>41807</v>
      </c>
      <c r="B1861">
        <v>11</v>
      </c>
      <c r="C1861">
        <v>754</v>
      </c>
      <c r="D1861" t="s">
        <v>303</v>
      </c>
      <c r="E1861">
        <f>YEAR(A1861)</f>
        <v>2014</v>
      </c>
      <c r="F1861" s="33">
        <f>DATE(YEAR(A1861),MONTH(A1861),1)</f>
        <v>41791.0</v>
      </c>
      <c r="G1861" t="str">
        <f>CHOOSE(WEEKDAY(A1861,2),"Mon","Tue","Wed","Thu","Fri","Sat","Sun")</f>
        <v>Tue</v>
      </c>
      <c r="H1861" t="str">
        <f>IF(WEEKDAY(A1861,2)&gt;5,"Weekend","Weekday")</f>
        <v>Weekday</v>
      </c>
      <c r="I1861" t="str">
        <f>_xlfn.IFS(B1861&lt;=5,"Night (0-5)",B1861&lt;=9,"Morning peak (6-9)",B1861&lt;=15,"Midday (10-15)",B1861&lt;=19,"Evening peak (16-19)",TRUE,"Late evening (20-23)")</f>
        <v>Midday (10-15)</v>
      </c>
    </row>
    <row r="1862" spans="1:9">
      <c r="A1862" s="32">
        <v>41807</v>
      </c>
      <c r="B1862">
        <v>12</v>
      </c>
      <c r="C1862">
        <v>806</v>
      </c>
      <c r="D1862" t="s">
        <v>303</v>
      </c>
      <c r="E1862">
        <f>YEAR(A1862)</f>
        <v>2014</v>
      </c>
      <c r="F1862" s="33">
        <f>DATE(YEAR(A1862),MONTH(A1862),1)</f>
        <v>41791.0</v>
      </c>
      <c r="G1862" t="str">
        <f>CHOOSE(WEEKDAY(A1862,2),"Mon","Tue","Wed","Thu","Fri","Sat","Sun")</f>
        <v>Tue</v>
      </c>
      <c r="H1862" t="str">
        <f>IF(WEEKDAY(A1862,2)&gt;5,"Weekend","Weekday")</f>
        <v>Weekday</v>
      </c>
      <c r="I1862" t="str">
        <f>_xlfn.IFS(B1862&lt;=5,"Night (0-5)",B1862&lt;=9,"Morning peak (6-9)",B1862&lt;=15,"Midday (10-15)",B1862&lt;=19,"Evening peak (16-19)",TRUE,"Late evening (20-23)")</f>
        <v>Midday (10-15)</v>
      </c>
    </row>
    <row r="1863" spans="1:9">
      <c r="A1863" s="32">
        <v>41807</v>
      </c>
      <c r="B1863">
        <v>13</v>
      </c>
      <c r="C1863">
        <v>1011</v>
      </c>
      <c r="D1863" t="s">
        <v>303</v>
      </c>
      <c r="E1863">
        <f>YEAR(A1863)</f>
        <v>2014</v>
      </c>
      <c r="F1863" s="33">
        <f>DATE(YEAR(A1863),MONTH(A1863),1)</f>
        <v>41791.0</v>
      </c>
      <c r="G1863" t="str">
        <f>CHOOSE(WEEKDAY(A1863,2),"Mon","Tue","Wed","Thu","Fri","Sat","Sun")</f>
        <v>Tue</v>
      </c>
      <c r="H1863" t="str">
        <f>IF(WEEKDAY(A1863,2)&gt;5,"Weekend","Weekday")</f>
        <v>Weekday</v>
      </c>
      <c r="I1863" t="str">
        <f>_xlfn.IFS(B1863&lt;=5,"Night (0-5)",B1863&lt;=9,"Morning peak (6-9)",B1863&lt;=15,"Midday (10-15)",B1863&lt;=19,"Evening peak (16-19)",TRUE,"Late evening (20-23)")</f>
        <v>Midday (10-15)</v>
      </c>
    </row>
    <row r="1864" spans="1:9">
      <c r="A1864" s="32">
        <v>41807</v>
      </c>
      <c r="B1864">
        <v>14</v>
      </c>
      <c r="C1864">
        <v>1216</v>
      </c>
      <c r="D1864" t="s">
        <v>303</v>
      </c>
      <c r="E1864">
        <f>YEAR(A1864)</f>
        <v>2014</v>
      </c>
      <c r="F1864" s="33">
        <f>DATE(YEAR(A1864),MONTH(A1864),1)</f>
        <v>41791.0</v>
      </c>
      <c r="G1864" t="str">
        <f>CHOOSE(WEEKDAY(A1864,2),"Mon","Tue","Wed","Thu","Fri","Sat","Sun")</f>
        <v>Tue</v>
      </c>
      <c r="H1864" t="str">
        <f>IF(WEEKDAY(A1864,2)&gt;5,"Weekend","Weekday")</f>
        <v>Weekday</v>
      </c>
      <c r="I1864" t="str">
        <f>_xlfn.IFS(B1864&lt;=5,"Night (0-5)",B1864&lt;=9,"Morning peak (6-9)",B1864&lt;=15,"Midday (10-15)",B1864&lt;=19,"Evening peak (16-19)",TRUE,"Late evening (20-23)")</f>
        <v>Midday (10-15)</v>
      </c>
    </row>
    <row r="1865" spans="1:9">
      <c r="A1865" s="32">
        <v>41807</v>
      </c>
      <c r="B1865">
        <v>15</v>
      </c>
      <c r="C1865">
        <v>1479</v>
      </c>
      <c r="D1865" t="s">
        <v>303</v>
      </c>
      <c r="E1865">
        <f>YEAR(A1865)</f>
        <v>2014</v>
      </c>
      <c r="F1865" s="33">
        <f>DATE(YEAR(A1865),MONTH(A1865),1)</f>
        <v>41791.0</v>
      </c>
      <c r="G1865" t="str">
        <f>CHOOSE(WEEKDAY(A1865,2),"Mon","Tue","Wed","Thu","Fri","Sat","Sun")</f>
        <v>Tue</v>
      </c>
      <c r="H1865" t="str">
        <f>IF(WEEKDAY(A1865,2)&gt;5,"Weekend","Weekday")</f>
        <v>Weekday</v>
      </c>
      <c r="I1865" t="str">
        <f>_xlfn.IFS(B1865&lt;=5,"Night (0-5)",B1865&lt;=9,"Morning peak (6-9)",B1865&lt;=15,"Midday (10-15)",B1865&lt;=19,"Evening peak (16-19)",TRUE,"Late evening (20-23)")</f>
        <v>Midday (10-15)</v>
      </c>
    </row>
    <row r="1866" spans="1:9">
      <c r="A1866" s="32">
        <v>41807</v>
      </c>
      <c r="B1866">
        <v>16</v>
      </c>
      <c r="C1866">
        <v>1646</v>
      </c>
      <c r="D1866" t="s">
        <v>303</v>
      </c>
      <c r="E1866">
        <f>YEAR(A1866)</f>
        <v>2014</v>
      </c>
      <c r="F1866" s="33">
        <f>DATE(YEAR(A1866),MONTH(A1866),1)</f>
        <v>41791.0</v>
      </c>
      <c r="G1866" t="str">
        <f>CHOOSE(WEEKDAY(A1866,2),"Mon","Tue","Wed","Thu","Fri","Sat","Sun")</f>
        <v>Tue</v>
      </c>
      <c r="H1866" t="str">
        <f>IF(WEEKDAY(A1866,2)&gt;5,"Weekend","Weekday")</f>
        <v>Weekday</v>
      </c>
      <c r="I1866" t="str">
        <f>_xlfn.IFS(B1866&lt;=5,"Night (0-5)",B1866&lt;=9,"Morning peak (6-9)",B1866&lt;=15,"Midday (10-15)",B1866&lt;=19,"Evening peak (16-19)",TRUE,"Late evening (20-23)")</f>
        <v>Evening peak (16-19)</v>
      </c>
    </row>
    <row r="1867" spans="1:9">
      <c r="A1867" s="32">
        <v>41807</v>
      </c>
      <c r="B1867">
        <v>17</v>
      </c>
      <c r="C1867">
        <v>1812</v>
      </c>
      <c r="D1867" t="s">
        <v>303</v>
      </c>
      <c r="E1867">
        <f>YEAR(A1867)</f>
        <v>2014</v>
      </c>
      <c r="F1867" s="33">
        <f>DATE(YEAR(A1867),MONTH(A1867),1)</f>
        <v>41791.0</v>
      </c>
      <c r="G1867" t="str">
        <f>CHOOSE(WEEKDAY(A1867,2),"Mon","Tue","Wed","Thu","Fri","Sat","Sun")</f>
        <v>Tue</v>
      </c>
      <c r="H1867" t="str">
        <f>IF(WEEKDAY(A1867,2)&gt;5,"Weekend","Weekday")</f>
        <v>Weekday</v>
      </c>
      <c r="I1867" t="str">
        <f>_xlfn.IFS(B1867&lt;=5,"Night (0-5)",B1867&lt;=9,"Morning peak (6-9)",B1867&lt;=15,"Midday (10-15)",B1867&lt;=19,"Evening peak (16-19)",TRUE,"Late evening (20-23)")</f>
        <v>Evening peak (16-19)</v>
      </c>
    </row>
    <row r="1868" spans="1:9">
      <c r="A1868" s="32">
        <v>41807</v>
      </c>
      <c r="B1868">
        <v>18</v>
      </c>
      <c r="C1868">
        <v>1625</v>
      </c>
      <c r="D1868" t="s">
        <v>303</v>
      </c>
      <c r="E1868">
        <f>YEAR(A1868)</f>
        <v>2014</v>
      </c>
      <c r="F1868" s="33">
        <f>DATE(YEAR(A1868),MONTH(A1868),1)</f>
        <v>41791.0</v>
      </c>
      <c r="G1868" t="str">
        <f>CHOOSE(WEEKDAY(A1868,2),"Mon","Tue","Wed","Thu","Fri","Sat","Sun")</f>
        <v>Tue</v>
      </c>
      <c r="H1868" t="str">
        <f>IF(WEEKDAY(A1868,2)&gt;5,"Weekend","Weekday")</f>
        <v>Weekday</v>
      </c>
      <c r="I1868" t="str">
        <f>_xlfn.IFS(B1868&lt;=5,"Night (0-5)",B1868&lt;=9,"Morning peak (6-9)",B1868&lt;=15,"Midday (10-15)",B1868&lt;=19,"Evening peak (16-19)",TRUE,"Late evening (20-23)")</f>
        <v>Evening peak (16-19)</v>
      </c>
    </row>
    <row r="1869" spans="1:9">
      <c r="A1869" s="32">
        <v>41807</v>
      </c>
      <c r="B1869">
        <v>19</v>
      </c>
      <c r="C1869">
        <v>1369</v>
      </c>
      <c r="D1869" t="s">
        <v>303</v>
      </c>
      <c r="E1869">
        <f>YEAR(A1869)</f>
        <v>2014</v>
      </c>
      <c r="F1869" s="33">
        <f>DATE(YEAR(A1869),MONTH(A1869),1)</f>
        <v>41791.0</v>
      </c>
      <c r="G1869" t="str">
        <f>CHOOSE(WEEKDAY(A1869,2),"Mon","Tue","Wed","Thu","Fri","Sat","Sun")</f>
        <v>Tue</v>
      </c>
      <c r="H1869" t="str">
        <f>IF(WEEKDAY(A1869,2)&gt;5,"Weekend","Weekday")</f>
        <v>Weekday</v>
      </c>
      <c r="I1869" t="str">
        <f>_xlfn.IFS(B1869&lt;=5,"Night (0-5)",B1869&lt;=9,"Morning peak (6-9)",B1869&lt;=15,"Midday (10-15)",B1869&lt;=19,"Evening peak (16-19)",TRUE,"Late evening (20-23)")</f>
        <v>Evening peak (16-19)</v>
      </c>
    </row>
    <row r="1870" spans="1:9">
      <c r="A1870" s="32">
        <v>41807</v>
      </c>
      <c r="B1870">
        <v>20</v>
      </c>
      <c r="C1870">
        <v>1554</v>
      </c>
      <c r="D1870" t="s">
        <v>303</v>
      </c>
      <c r="E1870">
        <f>YEAR(A1870)</f>
        <v>2014</v>
      </c>
      <c r="F1870" s="33">
        <f>DATE(YEAR(A1870),MONTH(A1870),1)</f>
        <v>41791.0</v>
      </c>
      <c r="G1870" t="str">
        <f>CHOOSE(WEEKDAY(A1870,2),"Mon","Tue","Wed","Thu","Fri","Sat","Sun")</f>
        <v>Tue</v>
      </c>
      <c r="H1870" t="str">
        <f>IF(WEEKDAY(A1870,2)&gt;5,"Weekend","Weekday")</f>
        <v>Weekday</v>
      </c>
      <c r="I1870" t="str">
        <f>_xlfn.IFS(B1870&lt;=5,"Night (0-5)",B1870&lt;=9,"Morning peak (6-9)",B1870&lt;=15,"Midday (10-15)",B1870&lt;=19,"Evening peak (16-19)",TRUE,"Late evening (20-23)")</f>
        <v>Late evening (20-23)</v>
      </c>
    </row>
    <row r="1871" spans="1:9">
      <c r="A1871" s="32">
        <v>41807</v>
      </c>
      <c r="B1871">
        <v>21</v>
      </c>
      <c r="C1871">
        <v>1409</v>
      </c>
      <c r="D1871" t="s">
        <v>303</v>
      </c>
      <c r="E1871">
        <f>YEAR(A1871)</f>
        <v>2014</v>
      </c>
      <c r="F1871" s="33">
        <f>DATE(YEAR(A1871),MONTH(A1871),1)</f>
        <v>41791.0</v>
      </c>
      <c r="G1871" t="str">
        <f>CHOOSE(WEEKDAY(A1871,2),"Mon","Tue","Wed","Thu","Fri","Sat","Sun")</f>
        <v>Tue</v>
      </c>
      <c r="H1871" t="str">
        <f>IF(WEEKDAY(A1871,2)&gt;5,"Weekend","Weekday")</f>
        <v>Weekday</v>
      </c>
      <c r="I1871" t="str">
        <f>_xlfn.IFS(B1871&lt;=5,"Night (0-5)",B1871&lt;=9,"Morning peak (6-9)",B1871&lt;=15,"Midday (10-15)",B1871&lt;=19,"Evening peak (16-19)",TRUE,"Late evening (20-23)")</f>
        <v>Late evening (20-23)</v>
      </c>
    </row>
    <row r="1872" spans="1:9">
      <c r="A1872" s="32">
        <v>41807</v>
      </c>
      <c r="B1872">
        <v>22</v>
      </c>
      <c r="C1872">
        <v>928</v>
      </c>
      <c r="D1872" t="s">
        <v>303</v>
      </c>
      <c r="E1872">
        <f>YEAR(A1872)</f>
        <v>2014</v>
      </c>
      <c r="F1872" s="33">
        <f>DATE(YEAR(A1872),MONTH(A1872),1)</f>
        <v>41791.0</v>
      </c>
      <c r="G1872" t="str">
        <f>CHOOSE(WEEKDAY(A1872,2),"Mon","Tue","Wed","Thu","Fri","Sat","Sun")</f>
        <v>Tue</v>
      </c>
      <c r="H1872" t="str">
        <f>IF(WEEKDAY(A1872,2)&gt;5,"Weekend","Weekday")</f>
        <v>Weekday</v>
      </c>
      <c r="I1872" t="str">
        <f>_xlfn.IFS(B1872&lt;=5,"Night (0-5)",B1872&lt;=9,"Morning peak (6-9)",B1872&lt;=15,"Midday (10-15)",B1872&lt;=19,"Evening peak (16-19)",TRUE,"Late evening (20-23)")</f>
        <v>Late evening (20-23)</v>
      </c>
    </row>
    <row r="1873" spans="1:9">
      <c r="A1873" s="32">
        <v>41807</v>
      </c>
      <c r="B1873">
        <v>23</v>
      </c>
      <c r="C1873">
        <v>500</v>
      </c>
      <c r="D1873" t="s">
        <v>303</v>
      </c>
      <c r="E1873">
        <f>YEAR(A1873)</f>
        <v>2014</v>
      </c>
      <c r="F1873" s="33">
        <f>DATE(YEAR(A1873),MONTH(A1873),1)</f>
        <v>41791.0</v>
      </c>
      <c r="G1873" t="str">
        <f>CHOOSE(WEEKDAY(A1873,2),"Mon","Tue","Wed","Thu","Fri","Sat","Sun")</f>
        <v>Tue</v>
      </c>
      <c r="H1873" t="str">
        <f>IF(WEEKDAY(A1873,2)&gt;5,"Weekend","Weekday")</f>
        <v>Weekday</v>
      </c>
      <c r="I1873" t="str">
        <f>_xlfn.IFS(B1873&lt;=5,"Night (0-5)",B1873&lt;=9,"Morning peak (6-9)",B1873&lt;=15,"Midday (10-15)",B1873&lt;=19,"Evening peak (16-19)",TRUE,"Late evening (20-23)")</f>
        <v>Late evening (20-23)</v>
      </c>
    </row>
    <row r="1874" spans="1:9">
      <c r="A1874" s="32">
        <v>41808</v>
      </c>
      <c r="B1874">
        <v>0</v>
      </c>
      <c r="C1874">
        <v>249</v>
      </c>
      <c r="D1874" t="s">
        <v>303</v>
      </c>
      <c r="E1874">
        <f>YEAR(A1874)</f>
        <v>2014</v>
      </c>
      <c r="F1874" s="33">
        <f>DATE(YEAR(A1874),MONTH(A1874),1)</f>
        <v>41791.0</v>
      </c>
      <c r="G1874" t="str">
        <f>CHOOSE(WEEKDAY(A1874,2),"Mon","Tue","Wed","Thu","Fri","Sat","Sun")</f>
        <v>Wed</v>
      </c>
      <c r="H1874" t="str">
        <f>IF(WEEKDAY(A1874,2)&gt;5,"Weekend","Weekday")</f>
        <v>Weekday</v>
      </c>
      <c r="I1874" t="str">
        <f>_xlfn.IFS(B1874&lt;=5,"Night (0-5)",B1874&lt;=9,"Morning peak (6-9)",B1874&lt;=15,"Midday (10-15)",B1874&lt;=19,"Evening peak (16-19)",TRUE,"Late evening (20-23)")</f>
        <v>Night (0-5)</v>
      </c>
    </row>
    <row r="1875" spans="1:9">
      <c r="A1875" s="32">
        <v>41808</v>
      </c>
      <c r="B1875">
        <v>1</v>
      </c>
      <c r="C1875">
        <v>138</v>
      </c>
      <c r="D1875" t="s">
        <v>303</v>
      </c>
      <c r="E1875">
        <f>YEAR(A1875)</f>
        <v>2014</v>
      </c>
      <c r="F1875" s="33">
        <f>DATE(YEAR(A1875),MONTH(A1875),1)</f>
        <v>41791.0</v>
      </c>
      <c r="G1875" t="str">
        <f>CHOOSE(WEEKDAY(A1875,2),"Mon","Tue","Wed","Thu","Fri","Sat","Sun")</f>
        <v>Wed</v>
      </c>
      <c r="H1875" t="str">
        <f>IF(WEEKDAY(A1875,2)&gt;5,"Weekend","Weekday")</f>
        <v>Weekday</v>
      </c>
      <c r="I1875" t="str">
        <f>_xlfn.IFS(B1875&lt;=5,"Night (0-5)",B1875&lt;=9,"Morning peak (6-9)",B1875&lt;=15,"Midday (10-15)",B1875&lt;=19,"Evening peak (16-19)",TRUE,"Late evening (20-23)")</f>
        <v>Night (0-5)</v>
      </c>
    </row>
    <row r="1876" spans="1:9">
      <c r="A1876" s="32">
        <v>41808</v>
      </c>
      <c r="B1876">
        <v>2</v>
      </c>
      <c r="C1876">
        <v>100</v>
      </c>
      <c r="D1876" t="s">
        <v>303</v>
      </c>
      <c r="E1876">
        <f>YEAR(A1876)</f>
        <v>2014</v>
      </c>
      <c r="F1876" s="33">
        <f>DATE(YEAR(A1876),MONTH(A1876),1)</f>
        <v>41791.0</v>
      </c>
      <c r="G1876" t="str">
        <f>CHOOSE(WEEKDAY(A1876,2),"Mon","Tue","Wed","Thu","Fri","Sat","Sun")</f>
        <v>Wed</v>
      </c>
      <c r="H1876" t="str">
        <f>IF(WEEKDAY(A1876,2)&gt;5,"Weekend","Weekday")</f>
        <v>Weekday</v>
      </c>
      <c r="I1876" t="str">
        <f>_xlfn.IFS(B1876&lt;=5,"Night (0-5)",B1876&lt;=9,"Morning peak (6-9)",B1876&lt;=15,"Midday (10-15)",B1876&lt;=19,"Evening peak (16-19)",TRUE,"Late evening (20-23)")</f>
        <v>Night (0-5)</v>
      </c>
    </row>
    <row r="1877" spans="1:9">
      <c r="A1877" s="32">
        <v>41808</v>
      </c>
      <c r="B1877">
        <v>3</v>
      </c>
      <c r="C1877">
        <v>168</v>
      </c>
      <c r="D1877" t="s">
        <v>303</v>
      </c>
      <c r="E1877">
        <f>YEAR(A1877)</f>
        <v>2014</v>
      </c>
      <c r="F1877" s="33">
        <f>DATE(YEAR(A1877),MONTH(A1877),1)</f>
        <v>41791.0</v>
      </c>
      <c r="G1877" t="str">
        <f>CHOOSE(WEEKDAY(A1877,2),"Mon","Tue","Wed","Thu","Fri","Sat","Sun")</f>
        <v>Wed</v>
      </c>
      <c r="H1877" t="str">
        <f>IF(WEEKDAY(A1877,2)&gt;5,"Weekend","Weekday")</f>
        <v>Weekday</v>
      </c>
      <c r="I1877" t="str">
        <f>_xlfn.IFS(B1877&lt;=5,"Night (0-5)",B1877&lt;=9,"Morning peak (6-9)",B1877&lt;=15,"Midday (10-15)",B1877&lt;=19,"Evening peak (16-19)",TRUE,"Late evening (20-23)")</f>
        <v>Night (0-5)</v>
      </c>
    </row>
    <row r="1878" spans="1:9">
      <c r="A1878" s="32">
        <v>41808</v>
      </c>
      <c r="B1878">
        <v>4</v>
      </c>
      <c r="C1878">
        <v>219</v>
      </c>
      <c r="D1878" t="s">
        <v>303</v>
      </c>
      <c r="E1878">
        <f>YEAR(A1878)</f>
        <v>2014</v>
      </c>
      <c r="F1878" s="33">
        <f>DATE(YEAR(A1878),MONTH(A1878),1)</f>
        <v>41791.0</v>
      </c>
      <c r="G1878" t="str">
        <f>CHOOSE(WEEKDAY(A1878,2),"Mon","Tue","Wed","Thu","Fri","Sat","Sun")</f>
        <v>Wed</v>
      </c>
      <c r="H1878" t="str">
        <f>IF(WEEKDAY(A1878,2)&gt;5,"Weekend","Weekday")</f>
        <v>Weekday</v>
      </c>
      <c r="I1878" t="str">
        <f>_xlfn.IFS(B1878&lt;=5,"Night (0-5)",B1878&lt;=9,"Morning peak (6-9)",B1878&lt;=15,"Midday (10-15)",B1878&lt;=19,"Evening peak (16-19)",TRUE,"Late evening (20-23)")</f>
        <v>Night (0-5)</v>
      </c>
    </row>
    <row r="1879" spans="1:9">
      <c r="A1879" s="32">
        <v>41808</v>
      </c>
      <c r="B1879">
        <v>5</v>
      </c>
      <c r="C1879">
        <v>428</v>
      </c>
      <c r="D1879" t="s">
        <v>303</v>
      </c>
      <c r="E1879">
        <f>YEAR(A1879)</f>
        <v>2014</v>
      </c>
      <c r="F1879" s="33">
        <f>DATE(YEAR(A1879),MONTH(A1879),1)</f>
        <v>41791.0</v>
      </c>
      <c r="G1879" t="str">
        <f>CHOOSE(WEEKDAY(A1879,2),"Mon","Tue","Wed","Thu","Fri","Sat","Sun")</f>
        <v>Wed</v>
      </c>
      <c r="H1879" t="str">
        <f>IF(WEEKDAY(A1879,2)&gt;5,"Weekend","Weekday")</f>
        <v>Weekday</v>
      </c>
      <c r="I1879" t="str">
        <f>_xlfn.IFS(B1879&lt;=5,"Night (0-5)",B1879&lt;=9,"Morning peak (6-9)",B1879&lt;=15,"Midday (10-15)",B1879&lt;=19,"Evening peak (16-19)",TRUE,"Late evening (20-23)")</f>
        <v>Night (0-5)</v>
      </c>
    </row>
    <row r="1880" spans="1:9">
      <c r="A1880" s="32">
        <v>41808</v>
      </c>
      <c r="B1880">
        <v>6</v>
      </c>
      <c r="C1880">
        <v>859</v>
      </c>
      <c r="D1880" t="s">
        <v>303</v>
      </c>
      <c r="E1880">
        <f>YEAR(A1880)</f>
        <v>2014</v>
      </c>
      <c r="F1880" s="33">
        <f>DATE(YEAR(A1880),MONTH(A1880),1)</f>
        <v>41791.0</v>
      </c>
      <c r="G1880" t="str">
        <f>CHOOSE(WEEKDAY(A1880,2),"Mon","Tue","Wed","Thu","Fri","Sat","Sun")</f>
        <v>Wed</v>
      </c>
      <c r="H1880" t="str">
        <f>IF(WEEKDAY(A1880,2)&gt;5,"Weekend","Weekday")</f>
        <v>Weekday</v>
      </c>
      <c r="I1880" t="str">
        <f>_xlfn.IFS(B1880&lt;=5,"Night (0-5)",B1880&lt;=9,"Morning peak (6-9)",B1880&lt;=15,"Midday (10-15)",B1880&lt;=19,"Evening peak (16-19)",TRUE,"Late evening (20-23)")</f>
        <v>Morning peak (6-9)</v>
      </c>
    </row>
    <row r="1881" spans="1:9">
      <c r="A1881" s="32">
        <v>41808</v>
      </c>
      <c r="B1881">
        <v>7</v>
      </c>
      <c r="C1881">
        <v>1317</v>
      </c>
      <c r="D1881" t="s">
        <v>303</v>
      </c>
      <c r="E1881">
        <f>YEAR(A1881)</f>
        <v>2014</v>
      </c>
      <c r="F1881" s="33">
        <f>DATE(YEAR(A1881),MONTH(A1881),1)</f>
        <v>41791.0</v>
      </c>
      <c r="G1881" t="str">
        <f>CHOOSE(WEEKDAY(A1881,2),"Mon","Tue","Wed","Thu","Fri","Sat","Sun")</f>
        <v>Wed</v>
      </c>
      <c r="H1881" t="str">
        <f>IF(WEEKDAY(A1881,2)&gt;5,"Weekend","Weekday")</f>
        <v>Weekday</v>
      </c>
      <c r="I1881" t="str">
        <f>_xlfn.IFS(B1881&lt;=5,"Night (0-5)",B1881&lt;=9,"Morning peak (6-9)",B1881&lt;=15,"Midday (10-15)",B1881&lt;=19,"Evening peak (16-19)",TRUE,"Late evening (20-23)")</f>
        <v>Morning peak (6-9)</v>
      </c>
    </row>
    <row r="1882" spans="1:9">
      <c r="A1882" s="32">
        <v>41808</v>
      </c>
      <c r="B1882">
        <v>8</v>
      </c>
      <c r="C1882">
        <v>1139</v>
      </c>
      <c r="D1882" t="s">
        <v>303</v>
      </c>
      <c r="E1882">
        <f>YEAR(A1882)</f>
        <v>2014</v>
      </c>
      <c r="F1882" s="33">
        <f>DATE(YEAR(A1882),MONTH(A1882),1)</f>
        <v>41791.0</v>
      </c>
      <c r="G1882" t="str">
        <f>CHOOSE(WEEKDAY(A1882,2),"Mon","Tue","Wed","Thu","Fri","Sat","Sun")</f>
        <v>Wed</v>
      </c>
      <c r="H1882" t="str">
        <f>IF(WEEKDAY(A1882,2)&gt;5,"Weekend","Weekday")</f>
        <v>Weekday</v>
      </c>
      <c r="I1882" t="str">
        <f>_xlfn.IFS(B1882&lt;=5,"Night (0-5)",B1882&lt;=9,"Morning peak (6-9)",B1882&lt;=15,"Midday (10-15)",B1882&lt;=19,"Evening peak (16-19)",TRUE,"Late evening (20-23)")</f>
        <v>Morning peak (6-9)</v>
      </c>
    </row>
    <row r="1883" spans="1:9">
      <c r="A1883" s="32">
        <v>41808</v>
      </c>
      <c r="B1883">
        <v>9</v>
      </c>
      <c r="C1883">
        <v>875</v>
      </c>
      <c r="D1883" t="s">
        <v>303</v>
      </c>
      <c r="E1883">
        <f>YEAR(A1883)</f>
        <v>2014</v>
      </c>
      <c r="F1883" s="33">
        <f>DATE(YEAR(A1883),MONTH(A1883),1)</f>
        <v>41791.0</v>
      </c>
      <c r="G1883" t="str">
        <f>CHOOSE(WEEKDAY(A1883,2),"Mon","Tue","Wed","Thu","Fri","Sat","Sun")</f>
        <v>Wed</v>
      </c>
      <c r="H1883" t="str">
        <f>IF(WEEKDAY(A1883,2)&gt;5,"Weekend","Weekday")</f>
        <v>Weekday</v>
      </c>
      <c r="I1883" t="str">
        <f>_xlfn.IFS(B1883&lt;=5,"Night (0-5)",B1883&lt;=9,"Morning peak (6-9)",B1883&lt;=15,"Midday (10-15)",B1883&lt;=19,"Evening peak (16-19)",TRUE,"Late evening (20-23)")</f>
        <v>Morning peak (6-9)</v>
      </c>
    </row>
    <row r="1884" spans="1:9">
      <c r="A1884" s="32">
        <v>41808</v>
      </c>
      <c r="B1884">
        <v>10</v>
      </c>
      <c r="C1884">
        <v>912</v>
      </c>
      <c r="D1884" t="s">
        <v>303</v>
      </c>
      <c r="E1884">
        <f>YEAR(A1884)</f>
        <v>2014</v>
      </c>
      <c r="F1884" s="33">
        <f>DATE(YEAR(A1884),MONTH(A1884),1)</f>
        <v>41791.0</v>
      </c>
      <c r="G1884" t="str">
        <f>CHOOSE(WEEKDAY(A1884,2),"Mon","Tue","Wed","Thu","Fri","Sat","Sun")</f>
        <v>Wed</v>
      </c>
      <c r="H1884" t="str">
        <f>IF(WEEKDAY(A1884,2)&gt;5,"Weekend","Weekday")</f>
        <v>Weekday</v>
      </c>
      <c r="I1884" t="str">
        <f>_xlfn.IFS(B1884&lt;=5,"Night (0-5)",B1884&lt;=9,"Morning peak (6-9)",B1884&lt;=15,"Midday (10-15)",B1884&lt;=19,"Evening peak (16-19)",TRUE,"Late evening (20-23)")</f>
        <v>Midday (10-15)</v>
      </c>
    </row>
    <row r="1885" spans="1:9">
      <c r="A1885" s="32">
        <v>41808</v>
      </c>
      <c r="B1885">
        <v>11</v>
      </c>
      <c r="C1885">
        <v>951</v>
      </c>
      <c r="D1885" t="s">
        <v>303</v>
      </c>
      <c r="E1885">
        <f>YEAR(A1885)</f>
        <v>2014</v>
      </c>
      <c r="F1885" s="33">
        <f>DATE(YEAR(A1885),MONTH(A1885),1)</f>
        <v>41791.0</v>
      </c>
      <c r="G1885" t="str">
        <f>CHOOSE(WEEKDAY(A1885,2),"Mon","Tue","Wed","Thu","Fri","Sat","Sun")</f>
        <v>Wed</v>
      </c>
      <c r="H1885" t="str">
        <f>IF(WEEKDAY(A1885,2)&gt;5,"Weekend","Weekday")</f>
        <v>Weekday</v>
      </c>
      <c r="I1885" t="str">
        <f>_xlfn.IFS(B1885&lt;=5,"Night (0-5)",B1885&lt;=9,"Morning peak (6-9)",B1885&lt;=15,"Midday (10-15)",B1885&lt;=19,"Evening peak (16-19)",TRUE,"Late evening (20-23)")</f>
        <v>Midday (10-15)</v>
      </c>
    </row>
    <row r="1886" spans="1:9">
      <c r="A1886" s="32">
        <v>41808</v>
      </c>
      <c r="B1886">
        <v>12</v>
      </c>
      <c r="C1886">
        <v>944</v>
      </c>
      <c r="D1886" t="s">
        <v>303</v>
      </c>
      <c r="E1886">
        <f>YEAR(A1886)</f>
        <v>2014</v>
      </c>
      <c r="F1886" s="33">
        <f>DATE(YEAR(A1886),MONTH(A1886),1)</f>
        <v>41791.0</v>
      </c>
      <c r="G1886" t="str">
        <f>CHOOSE(WEEKDAY(A1886,2),"Mon","Tue","Wed","Thu","Fri","Sat","Sun")</f>
        <v>Wed</v>
      </c>
      <c r="H1886" t="str">
        <f>IF(WEEKDAY(A1886,2)&gt;5,"Weekend","Weekday")</f>
        <v>Weekday</v>
      </c>
      <c r="I1886" t="str">
        <f>_xlfn.IFS(B1886&lt;=5,"Night (0-5)",B1886&lt;=9,"Morning peak (6-9)",B1886&lt;=15,"Midday (10-15)",B1886&lt;=19,"Evening peak (16-19)",TRUE,"Late evening (20-23)")</f>
        <v>Midday (10-15)</v>
      </c>
    </row>
    <row r="1887" spans="1:9">
      <c r="A1887" s="32">
        <v>41808</v>
      </c>
      <c r="B1887">
        <v>13</v>
      </c>
      <c r="C1887">
        <v>1112</v>
      </c>
      <c r="D1887" t="s">
        <v>303</v>
      </c>
      <c r="E1887">
        <f>YEAR(A1887)</f>
        <v>2014</v>
      </c>
      <c r="F1887" s="33">
        <f>DATE(YEAR(A1887),MONTH(A1887),1)</f>
        <v>41791.0</v>
      </c>
      <c r="G1887" t="str">
        <f>CHOOSE(WEEKDAY(A1887,2),"Mon","Tue","Wed","Thu","Fri","Sat","Sun")</f>
        <v>Wed</v>
      </c>
      <c r="H1887" t="str">
        <f>IF(WEEKDAY(A1887,2)&gt;5,"Weekend","Weekday")</f>
        <v>Weekday</v>
      </c>
      <c r="I1887" t="str">
        <f>_xlfn.IFS(B1887&lt;=5,"Night (0-5)",B1887&lt;=9,"Morning peak (6-9)",B1887&lt;=15,"Midday (10-15)",B1887&lt;=19,"Evening peak (16-19)",TRUE,"Late evening (20-23)")</f>
        <v>Midday (10-15)</v>
      </c>
    </row>
    <row r="1888" spans="1:9">
      <c r="A1888" s="32">
        <v>41808</v>
      </c>
      <c r="B1888">
        <v>14</v>
      </c>
      <c r="C1888">
        <v>1319</v>
      </c>
      <c r="D1888" t="s">
        <v>303</v>
      </c>
      <c r="E1888">
        <f>YEAR(A1888)</f>
        <v>2014</v>
      </c>
      <c r="F1888" s="33">
        <f>DATE(YEAR(A1888),MONTH(A1888),1)</f>
        <v>41791.0</v>
      </c>
      <c r="G1888" t="str">
        <f>CHOOSE(WEEKDAY(A1888,2),"Mon","Tue","Wed","Thu","Fri","Sat","Sun")</f>
        <v>Wed</v>
      </c>
      <c r="H1888" t="str">
        <f>IF(WEEKDAY(A1888,2)&gt;5,"Weekend","Weekday")</f>
        <v>Weekday</v>
      </c>
      <c r="I1888" t="str">
        <f>_xlfn.IFS(B1888&lt;=5,"Night (0-5)",B1888&lt;=9,"Morning peak (6-9)",B1888&lt;=15,"Midday (10-15)",B1888&lt;=19,"Evening peak (16-19)",TRUE,"Late evening (20-23)")</f>
        <v>Midday (10-15)</v>
      </c>
    </row>
    <row r="1889" spans="1:9">
      <c r="A1889" s="32">
        <v>41808</v>
      </c>
      <c r="B1889">
        <v>15</v>
      </c>
      <c r="C1889">
        <v>1703</v>
      </c>
      <c r="D1889" t="s">
        <v>303</v>
      </c>
      <c r="E1889">
        <f>YEAR(A1889)</f>
        <v>2014</v>
      </c>
      <c r="F1889" s="33">
        <f>DATE(YEAR(A1889),MONTH(A1889),1)</f>
        <v>41791.0</v>
      </c>
      <c r="G1889" t="str">
        <f>CHOOSE(WEEKDAY(A1889,2),"Mon","Tue","Wed","Thu","Fri","Sat","Sun")</f>
        <v>Wed</v>
      </c>
      <c r="H1889" t="str">
        <f>IF(WEEKDAY(A1889,2)&gt;5,"Weekend","Weekday")</f>
        <v>Weekday</v>
      </c>
      <c r="I1889" t="str">
        <f>_xlfn.IFS(B1889&lt;=5,"Night (0-5)",B1889&lt;=9,"Morning peak (6-9)",B1889&lt;=15,"Midday (10-15)",B1889&lt;=19,"Evening peak (16-19)",TRUE,"Late evening (20-23)")</f>
        <v>Midday (10-15)</v>
      </c>
    </row>
    <row r="1890" spans="1:9">
      <c r="A1890" s="32">
        <v>41808</v>
      </c>
      <c r="B1890">
        <v>16</v>
      </c>
      <c r="C1890">
        <v>1911</v>
      </c>
      <c r="D1890" t="s">
        <v>303</v>
      </c>
      <c r="E1890">
        <f>YEAR(A1890)</f>
        <v>2014</v>
      </c>
      <c r="F1890" s="33">
        <f>DATE(YEAR(A1890),MONTH(A1890),1)</f>
        <v>41791.0</v>
      </c>
      <c r="G1890" t="str">
        <f>CHOOSE(WEEKDAY(A1890,2),"Mon","Tue","Wed","Thu","Fri","Sat","Sun")</f>
        <v>Wed</v>
      </c>
      <c r="H1890" t="str">
        <f>IF(WEEKDAY(A1890,2)&gt;5,"Weekend","Weekday")</f>
        <v>Weekday</v>
      </c>
      <c r="I1890" t="str">
        <f>_xlfn.IFS(B1890&lt;=5,"Night (0-5)",B1890&lt;=9,"Morning peak (6-9)",B1890&lt;=15,"Midday (10-15)",B1890&lt;=19,"Evening peak (16-19)",TRUE,"Late evening (20-23)")</f>
        <v>Evening peak (16-19)</v>
      </c>
    </row>
    <row r="1891" spans="1:9">
      <c r="A1891" s="32">
        <v>41808</v>
      </c>
      <c r="B1891">
        <v>17</v>
      </c>
      <c r="C1891">
        <v>2090</v>
      </c>
      <c r="D1891" t="s">
        <v>303</v>
      </c>
      <c r="E1891">
        <f>YEAR(A1891)</f>
        <v>2014</v>
      </c>
      <c r="F1891" s="33">
        <f>DATE(YEAR(A1891),MONTH(A1891),1)</f>
        <v>41791.0</v>
      </c>
      <c r="G1891" t="str">
        <f>CHOOSE(WEEKDAY(A1891,2),"Mon","Tue","Wed","Thu","Fri","Sat","Sun")</f>
        <v>Wed</v>
      </c>
      <c r="H1891" t="str">
        <f>IF(WEEKDAY(A1891,2)&gt;5,"Weekend","Weekday")</f>
        <v>Weekday</v>
      </c>
      <c r="I1891" t="str">
        <f>_xlfn.IFS(B1891&lt;=5,"Night (0-5)",B1891&lt;=9,"Morning peak (6-9)",B1891&lt;=15,"Midday (10-15)",B1891&lt;=19,"Evening peak (16-19)",TRUE,"Late evening (20-23)")</f>
        <v>Evening peak (16-19)</v>
      </c>
    </row>
    <row r="1892" spans="1:9">
      <c r="A1892" s="32">
        <v>41808</v>
      </c>
      <c r="B1892">
        <v>18</v>
      </c>
      <c r="C1892">
        <v>1729</v>
      </c>
      <c r="D1892" t="s">
        <v>303</v>
      </c>
      <c r="E1892">
        <f>YEAR(A1892)</f>
        <v>2014</v>
      </c>
      <c r="F1892" s="33">
        <f>DATE(YEAR(A1892),MONTH(A1892),1)</f>
        <v>41791.0</v>
      </c>
      <c r="G1892" t="str">
        <f>CHOOSE(WEEKDAY(A1892,2),"Mon","Tue","Wed","Thu","Fri","Sat","Sun")</f>
        <v>Wed</v>
      </c>
      <c r="H1892" t="str">
        <f>IF(WEEKDAY(A1892,2)&gt;5,"Weekend","Weekday")</f>
        <v>Weekday</v>
      </c>
      <c r="I1892" t="str">
        <f>_xlfn.IFS(B1892&lt;=5,"Night (0-5)",B1892&lt;=9,"Morning peak (6-9)",B1892&lt;=15,"Midday (10-15)",B1892&lt;=19,"Evening peak (16-19)",TRUE,"Late evening (20-23)")</f>
        <v>Evening peak (16-19)</v>
      </c>
    </row>
    <row r="1893" spans="1:9">
      <c r="A1893" s="32">
        <v>41808</v>
      </c>
      <c r="B1893">
        <v>19</v>
      </c>
      <c r="C1893">
        <v>1351</v>
      </c>
      <c r="D1893" t="s">
        <v>303</v>
      </c>
      <c r="E1893">
        <f>YEAR(A1893)</f>
        <v>2014</v>
      </c>
      <c r="F1893" s="33">
        <f>DATE(YEAR(A1893),MONTH(A1893),1)</f>
        <v>41791.0</v>
      </c>
      <c r="G1893" t="str">
        <f>CHOOSE(WEEKDAY(A1893,2),"Mon","Tue","Wed","Thu","Fri","Sat","Sun")</f>
        <v>Wed</v>
      </c>
      <c r="H1893" t="str">
        <f>IF(WEEKDAY(A1893,2)&gt;5,"Weekend","Weekday")</f>
        <v>Weekday</v>
      </c>
      <c r="I1893" t="str">
        <f>_xlfn.IFS(B1893&lt;=5,"Night (0-5)",B1893&lt;=9,"Morning peak (6-9)",B1893&lt;=15,"Midday (10-15)",B1893&lt;=19,"Evening peak (16-19)",TRUE,"Late evening (20-23)")</f>
        <v>Evening peak (16-19)</v>
      </c>
    </row>
    <row r="1894" spans="1:9">
      <c r="A1894" s="32">
        <v>41808</v>
      </c>
      <c r="B1894">
        <v>20</v>
      </c>
      <c r="C1894">
        <v>1711</v>
      </c>
      <c r="D1894" t="s">
        <v>303</v>
      </c>
      <c r="E1894">
        <f>YEAR(A1894)</f>
        <v>2014</v>
      </c>
      <c r="F1894" s="33">
        <f>DATE(YEAR(A1894),MONTH(A1894),1)</f>
        <v>41791.0</v>
      </c>
      <c r="G1894" t="str">
        <f>CHOOSE(WEEKDAY(A1894,2),"Mon","Tue","Wed","Thu","Fri","Sat","Sun")</f>
        <v>Wed</v>
      </c>
      <c r="H1894" t="str">
        <f>IF(WEEKDAY(A1894,2)&gt;5,"Weekend","Weekday")</f>
        <v>Weekday</v>
      </c>
      <c r="I1894" t="str">
        <f>_xlfn.IFS(B1894&lt;=5,"Night (0-5)",B1894&lt;=9,"Morning peak (6-9)",B1894&lt;=15,"Midday (10-15)",B1894&lt;=19,"Evening peak (16-19)",TRUE,"Late evening (20-23)")</f>
        <v>Late evening (20-23)</v>
      </c>
    </row>
    <row r="1895" spans="1:9">
      <c r="A1895" s="32">
        <v>41808</v>
      </c>
      <c r="B1895">
        <v>21</v>
      </c>
      <c r="C1895">
        <v>1625</v>
      </c>
      <c r="D1895" t="s">
        <v>303</v>
      </c>
      <c r="E1895">
        <f>YEAR(A1895)</f>
        <v>2014</v>
      </c>
      <c r="F1895" s="33">
        <f>DATE(YEAR(A1895),MONTH(A1895),1)</f>
        <v>41791.0</v>
      </c>
      <c r="G1895" t="str">
        <f>CHOOSE(WEEKDAY(A1895,2),"Mon","Tue","Wed","Thu","Fri","Sat","Sun")</f>
        <v>Wed</v>
      </c>
      <c r="H1895" t="str">
        <f>IF(WEEKDAY(A1895,2)&gt;5,"Weekend","Weekday")</f>
        <v>Weekday</v>
      </c>
      <c r="I1895" t="str">
        <f>_xlfn.IFS(B1895&lt;=5,"Night (0-5)",B1895&lt;=9,"Morning peak (6-9)",B1895&lt;=15,"Midday (10-15)",B1895&lt;=19,"Evening peak (16-19)",TRUE,"Late evening (20-23)")</f>
        <v>Late evening (20-23)</v>
      </c>
    </row>
    <row r="1896" spans="1:9">
      <c r="A1896" s="32">
        <v>41808</v>
      </c>
      <c r="B1896">
        <v>22</v>
      </c>
      <c r="C1896">
        <v>1186</v>
      </c>
      <c r="D1896" t="s">
        <v>303</v>
      </c>
      <c r="E1896">
        <f>YEAR(A1896)</f>
        <v>2014</v>
      </c>
      <c r="F1896" s="33">
        <f>DATE(YEAR(A1896),MONTH(A1896),1)</f>
        <v>41791.0</v>
      </c>
      <c r="G1896" t="str">
        <f>CHOOSE(WEEKDAY(A1896,2),"Mon","Tue","Wed","Thu","Fri","Sat","Sun")</f>
        <v>Wed</v>
      </c>
      <c r="H1896" t="str">
        <f>IF(WEEKDAY(A1896,2)&gt;5,"Weekend","Weekday")</f>
        <v>Weekday</v>
      </c>
      <c r="I1896" t="str">
        <f>_xlfn.IFS(B1896&lt;=5,"Night (0-5)",B1896&lt;=9,"Morning peak (6-9)",B1896&lt;=15,"Midday (10-15)",B1896&lt;=19,"Evening peak (16-19)",TRUE,"Late evening (20-23)")</f>
        <v>Late evening (20-23)</v>
      </c>
    </row>
    <row r="1897" spans="1:9">
      <c r="A1897" s="32">
        <v>41808</v>
      </c>
      <c r="B1897">
        <v>23</v>
      </c>
      <c r="C1897">
        <v>611</v>
      </c>
      <c r="D1897" t="s">
        <v>303</v>
      </c>
      <c r="E1897">
        <f>YEAR(A1897)</f>
        <v>2014</v>
      </c>
      <c r="F1897" s="33">
        <f>DATE(YEAR(A1897),MONTH(A1897),1)</f>
        <v>41791.0</v>
      </c>
      <c r="G1897" t="str">
        <f>CHOOSE(WEEKDAY(A1897,2),"Mon","Tue","Wed","Thu","Fri","Sat","Sun")</f>
        <v>Wed</v>
      </c>
      <c r="H1897" t="str">
        <f>IF(WEEKDAY(A1897,2)&gt;5,"Weekend","Weekday")</f>
        <v>Weekday</v>
      </c>
      <c r="I1897" t="str">
        <f>_xlfn.IFS(B1897&lt;=5,"Night (0-5)",B1897&lt;=9,"Morning peak (6-9)",B1897&lt;=15,"Midday (10-15)",B1897&lt;=19,"Evening peak (16-19)",TRUE,"Late evening (20-23)")</f>
        <v>Late evening (20-23)</v>
      </c>
    </row>
    <row r="1898" spans="1:9">
      <c r="A1898" s="32">
        <v>41809</v>
      </c>
      <c r="B1898">
        <v>0</v>
      </c>
      <c r="C1898">
        <v>351</v>
      </c>
      <c r="D1898" t="s">
        <v>303</v>
      </c>
      <c r="E1898">
        <f>YEAR(A1898)</f>
        <v>2014</v>
      </c>
      <c r="F1898" s="33">
        <f>DATE(YEAR(A1898),MONTH(A1898),1)</f>
        <v>41791.0</v>
      </c>
      <c r="G1898" t="str">
        <f>CHOOSE(WEEKDAY(A1898,2),"Mon","Tue","Wed","Thu","Fri","Sat","Sun")</f>
        <v>Thu</v>
      </c>
      <c r="H1898" t="str">
        <f>IF(WEEKDAY(A1898,2)&gt;5,"Weekend","Weekday")</f>
        <v>Weekday</v>
      </c>
      <c r="I1898" t="str">
        <f>_xlfn.IFS(B1898&lt;=5,"Night (0-5)",B1898&lt;=9,"Morning peak (6-9)",B1898&lt;=15,"Midday (10-15)",B1898&lt;=19,"Evening peak (16-19)",TRUE,"Late evening (20-23)")</f>
        <v>Night (0-5)</v>
      </c>
    </row>
    <row r="1899" spans="1:9">
      <c r="A1899" s="32">
        <v>41809</v>
      </c>
      <c r="B1899">
        <v>1</v>
      </c>
      <c r="C1899">
        <v>151</v>
      </c>
      <c r="D1899" t="s">
        <v>303</v>
      </c>
      <c r="E1899">
        <f>YEAR(A1899)</f>
        <v>2014</v>
      </c>
      <c r="F1899" s="33">
        <f>DATE(YEAR(A1899),MONTH(A1899),1)</f>
        <v>41791.0</v>
      </c>
      <c r="G1899" t="str">
        <f>CHOOSE(WEEKDAY(A1899,2),"Mon","Tue","Wed","Thu","Fri","Sat","Sun")</f>
        <v>Thu</v>
      </c>
      <c r="H1899" t="str">
        <f>IF(WEEKDAY(A1899,2)&gt;5,"Weekend","Weekday")</f>
        <v>Weekday</v>
      </c>
      <c r="I1899" t="str">
        <f>_xlfn.IFS(B1899&lt;=5,"Night (0-5)",B1899&lt;=9,"Morning peak (6-9)",B1899&lt;=15,"Midday (10-15)",B1899&lt;=19,"Evening peak (16-19)",TRUE,"Late evening (20-23)")</f>
        <v>Night (0-5)</v>
      </c>
    </row>
    <row r="1900" spans="1:9">
      <c r="A1900" s="32">
        <v>41809</v>
      </c>
      <c r="B1900">
        <v>2</v>
      </c>
      <c r="C1900">
        <v>119</v>
      </c>
      <c r="D1900" t="s">
        <v>303</v>
      </c>
      <c r="E1900">
        <f>YEAR(A1900)</f>
        <v>2014</v>
      </c>
      <c r="F1900" s="33">
        <f>DATE(YEAR(A1900),MONTH(A1900),1)</f>
        <v>41791.0</v>
      </c>
      <c r="G1900" t="str">
        <f>CHOOSE(WEEKDAY(A1900,2),"Mon","Tue","Wed","Thu","Fri","Sat","Sun")</f>
        <v>Thu</v>
      </c>
      <c r="H1900" t="str">
        <f>IF(WEEKDAY(A1900,2)&gt;5,"Weekend","Weekday")</f>
        <v>Weekday</v>
      </c>
      <c r="I1900" t="str">
        <f>_xlfn.IFS(B1900&lt;=5,"Night (0-5)",B1900&lt;=9,"Morning peak (6-9)",B1900&lt;=15,"Midday (10-15)",B1900&lt;=19,"Evening peak (16-19)",TRUE,"Late evening (20-23)")</f>
        <v>Night (0-5)</v>
      </c>
    </row>
    <row r="1901" spans="1:9">
      <c r="A1901" s="32">
        <v>41809</v>
      </c>
      <c r="B1901">
        <v>3</v>
      </c>
      <c r="C1901">
        <v>175</v>
      </c>
      <c r="D1901" t="s">
        <v>303</v>
      </c>
      <c r="E1901">
        <f>YEAR(A1901)</f>
        <v>2014</v>
      </c>
      <c r="F1901" s="33">
        <f>DATE(YEAR(A1901),MONTH(A1901),1)</f>
        <v>41791.0</v>
      </c>
      <c r="G1901" t="str">
        <f>CHOOSE(WEEKDAY(A1901,2),"Mon","Tue","Wed","Thu","Fri","Sat","Sun")</f>
        <v>Thu</v>
      </c>
      <c r="H1901" t="str">
        <f>IF(WEEKDAY(A1901,2)&gt;5,"Weekend","Weekday")</f>
        <v>Weekday</v>
      </c>
      <c r="I1901" t="str">
        <f>_xlfn.IFS(B1901&lt;=5,"Night (0-5)",B1901&lt;=9,"Morning peak (6-9)",B1901&lt;=15,"Midday (10-15)",B1901&lt;=19,"Evening peak (16-19)",TRUE,"Late evening (20-23)")</f>
        <v>Night (0-5)</v>
      </c>
    </row>
    <row r="1902" spans="1:9">
      <c r="A1902" s="32">
        <v>41809</v>
      </c>
      <c r="B1902">
        <v>4</v>
      </c>
      <c r="C1902">
        <v>272</v>
      </c>
      <c r="D1902" t="s">
        <v>303</v>
      </c>
      <c r="E1902">
        <f>YEAR(A1902)</f>
        <v>2014</v>
      </c>
      <c r="F1902" s="33">
        <f>DATE(YEAR(A1902),MONTH(A1902),1)</f>
        <v>41791.0</v>
      </c>
      <c r="G1902" t="str">
        <f>CHOOSE(WEEKDAY(A1902,2),"Mon","Tue","Wed","Thu","Fri","Sat","Sun")</f>
        <v>Thu</v>
      </c>
      <c r="H1902" t="str">
        <f>IF(WEEKDAY(A1902,2)&gt;5,"Weekend","Weekday")</f>
        <v>Weekday</v>
      </c>
      <c r="I1902" t="str">
        <f>_xlfn.IFS(B1902&lt;=5,"Night (0-5)",B1902&lt;=9,"Morning peak (6-9)",B1902&lt;=15,"Midday (10-15)",B1902&lt;=19,"Evening peak (16-19)",TRUE,"Late evening (20-23)")</f>
        <v>Night (0-5)</v>
      </c>
    </row>
    <row r="1903" spans="1:9">
      <c r="A1903" s="32">
        <v>41809</v>
      </c>
      <c r="B1903">
        <v>5</v>
      </c>
      <c r="C1903">
        <v>448</v>
      </c>
      <c r="D1903" t="s">
        <v>303</v>
      </c>
      <c r="E1903">
        <f>YEAR(A1903)</f>
        <v>2014</v>
      </c>
      <c r="F1903" s="33">
        <f>DATE(YEAR(A1903),MONTH(A1903),1)</f>
        <v>41791.0</v>
      </c>
      <c r="G1903" t="str">
        <f>CHOOSE(WEEKDAY(A1903,2),"Mon","Tue","Wed","Thu","Fri","Sat","Sun")</f>
        <v>Thu</v>
      </c>
      <c r="H1903" t="str">
        <f>IF(WEEKDAY(A1903,2)&gt;5,"Weekend","Weekday")</f>
        <v>Weekday</v>
      </c>
      <c r="I1903" t="str">
        <f>_xlfn.IFS(B1903&lt;=5,"Night (0-5)",B1903&lt;=9,"Morning peak (6-9)",B1903&lt;=15,"Midday (10-15)",B1903&lt;=19,"Evening peak (16-19)",TRUE,"Late evening (20-23)")</f>
        <v>Night (0-5)</v>
      </c>
    </row>
    <row r="1904" spans="1:9">
      <c r="A1904" s="32">
        <v>41809</v>
      </c>
      <c r="B1904">
        <v>6</v>
      </c>
      <c r="C1904">
        <v>950</v>
      </c>
      <c r="D1904" t="s">
        <v>303</v>
      </c>
      <c r="E1904">
        <f>YEAR(A1904)</f>
        <v>2014</v>
      </c>
      <c r="F1904" s="33">
        <f>DATE(YEAR(A1904),MONTH(A1904),1)</f>
        <v>41791.0</v>
      </c>
      <c r="G1904" t="str">
        <f>CHOOSE(WEEKDAY(A1904,2),"Mon","Tue","Wed","Thu","Fri","Sat","Sun")</f>
        <v>Thu</v>
      </c>
      <c r="H1904" t="str">
        <f>IF(WEEKDAY(A1904,2)&gt;5,"Weekend","Weekday")</f>
        <v>Weekday</v>
      </c>
      <c r="I1904" t="str">
        <f>_xlfn.IFS(B1904&lt;=5,"Night (0-5)",B1904&lt;=9,"Morning peak (6-9)",B1904&lt;=15,"Midday (10-15)",B1904&lt;=19,"Evening peak (16-19)",TRUE,"Late evening (20-23)")</f>
        <v>Morning peak (6-9)</v>
      </c>
    </row>
    <row r="1905" spans="1:9">
      <c r="A1905" s="32">
        <v>41809</v>
      </c>
      <c r="B1905">
        <v>7</v>
      </c>
      <c r="C1905">
        <v>1349</v>
      </c>
      <c r="D1905" t="s">
        <v>303</v>
      </c>
      <c r="E1905">
        <f>YEAR(A1905)</f>
        <v>2014</v>
      </c>
      <c r="F1905" s="33">
        <f>DATE(YEAR(A1905),MONTH(A1905),1)</f>
        <v>41791.0</v>
      </c>
      <c r="G1905" t="str">
        <f>CHOOSE(WEEKDAY(A1905,2),"Mon","Tue","Wed","Thu","Fri","Sat","Sun")</f>
        <v>Thu</v>
      </c>
      <c r="H1905" t="str">
        <f>IF(WEEKDAY(A1905,2)&gt;5,"Weekend","Weekday")</f>
        <v>Weekday</v>
      </c>
      <c r="I1905" t="str">
        <f>_xlfn.IFS(B1905&lt;=5,"Night (0-5)",B1905&lt;=9,"Morning peak (6-9)",B1905&lt;=15,"Midday (10-15)",B1905&lt;=19,"Evening peak (16-19)",TRUE,"Late evening (20-23)")</f>
        <v>Morning peak (6-9)</v>
      </c>
    </row>
    <row r="1906" spans="1:9">
      <c r="A1906" s="32">
        <v>41809</v>
      </c>
      <c r="B1906">
        <v>8</v>
      </c>
      <c r="C1906">
        <v>1225</v>
      </c>
      <c r="D1906" t="s">
        <v>303</v>
      </c>
      <c r="E1906">
        <f>YEAR(A1906)</f>
        <v>2014</v>
      </c>
      <c r="F1906" s="33">
        <f>DATE(YEAR(A1906),MONTH(A1906),1)</f>
        <v>41791.0</v>
      </c>
      <c r="G1906" t="str">
        <f>CHOOSE(WEEKDAY(A1906,2),"Mon","Tue","Wed","Thu","Fri","Sat","Sun")</f>
        <v>Thu</v>
      </c>
      <c r="H1906" t="str">
        <f>IF(WEEKDAY(A1906,2)&gt;5,"Weekend","Weekday")</f>
        <v>Weekday</v>
      </c>
      <c r="I1906" t="str">
        <f>_xlfn.IFS(B1906&lt;=5,"Night (0-5)",B1906&lt;=9,"Morning peak (6-9)",B1906&lt;=15,"Midday (10-15)",B1906&lt;=19,"Evening peak (16-19)",TRUE,"Late evening (20-23)")</f>
        <v>Morning peak (6-9)</v>
      </c>
    </row>
    <row r="1907" spans="1:9">
      <c r="A1907" s="32">
        <v>41809</v>
      </c>
      <c r="B1907">
        <v>9</v>
      </c>
      <c r="C1907">
        <v>914</v>
      </c>
      <c r="D1907" t="s">
        <v>303</v>
      </c>
      <c r="E1907">
        <f>YEAR(A1907)</f>
        <v>2014</v>
      </c>
      <c r="F1907" s="33">
        <f>DATE(YEAR(A1907),MONTH(A1907),1)</f>
        <v>41791.0</v>
      </c>
      <c r="G1907" t="str">
        <f>CHOOSE(WEEKDAY(A1907,2),"Mon","Tue","Wed","Thu","Fri","Sat","Sun")</f>
        <v>Thu</v>
      </c>
      <c r="H1907" t="str">
        <f>IF(WEEKDAY(A1907,2)&gt;5,"Weekend","Weekday")</f>
        <v>Weekday</v>
      </c>
      <c r="I1907" t="str">
        <f>_xlfn.IFS(B1907&lt;=5,"Night (0-5)",B1907&lt;=9,"Morning peak (6-9)",B1907&lt;=15,"Midday (10-15)",B1907&lt;=19,"Evening peak (16-19)",TRUE,"Late evening (20-23)")</f>
        <v>Morning peak (6-9)</v>
      </c>
    </row>
    <row r="1908" spans="1:9">
      <c r="A1908" s="32">
        <v>41809</v>
      </c>
      <c r="B1908">
        <v>10</v>
      </c>
      <c r="C1908">
        <v>920</v>
      </c>
      <c r="D1908" t="s">
        <v>303</v>
      </c>
      <c r="E1908">
        <f>YEAR(A1908)</f>
        <v>2014</v>
      </c>
      <c r="F1908" s="33">
        <f>DATE(YEAR(A1908),MONTH(A1908),1)</f>
        <v>41791.0</v>
      </c>
      <c r="G1908" t="str">
        <f>CHOOSE(WEEKDAY(A1908,2),"Mon","Tue","Wed","Thu","Fri","Sat","Sun")</f>
        <v>Thu</v>
      </c>
      <c r="H1908" t="str">
        <f>IF(WEEKDAY(A1908,2)&gt;5,"Weekend","Weekday")</f>
        <v>Weekday</v>
      </c>
      <c r="I1908" t="str">
        <f>_xlfn.IFS(B1908&lt;=5,"Night (0-5)",B1908&lt;=9,"Morning peak (6-9)",B1908&lt;=15,"Midday (10-15)",B1908&lt;=19,"Evening peak (16-19)",TRUE,"Late evening (20-23)")</f>
        <v>Midday (10-15)</v>
      </c>
    </row>
    <row r="1909" spans="1:9">
      <c r="A1909" s="32">
        <v>41809</v>
      </c>
      <c r="B1909">
        <v>11</v>
      </c>
      <c r="C1909">
        <v>895</v>
      </c>
      <c r="D1909" t="s">
        <v>303</v>
      </c>
      <c r="E1909">
        <f>YEAR(A1909)</f>
        <v>2014</v>
      </c>
      <c r="F1909" s="33">
        <f>DATE(YEAR(A1909),MONTH(A1909),1)</f>
        <v>41791.0</v>
      </c>
      <c r="G1909" t="str">
        <f>CHOOSE(WEEKDAY(A1909,2),"Mon","Tue","Wed","Thu","Fri","Sat","Sun")</f>
        <v>Thu</v>
      </c>
      <c r="H1909" t="str">
        <f>IF(WEEKDAY(A1909,2)&gt;5,"Weekend","Weekday")</f>
        <v>Weekday</v>
      </c>
      <c r="I1909" t="str">
        <f>_xlfn.IFS(B1909&lt;=5,"Night (0-5)",B1909&lt;=9,"Morning peak (6-9)",B1909&lt;=15,"Midday (10-15)",B1909&lt;=19,"Evening peak (16-19)",TRUE,"Late evening (20-23)")</f>
        <v>Midday (10-15)</v>
      </c>
    </row>
    <row r="1910" spans="1:9">
      <c r="A1910" s="32">
        <v>41809</v>
      </c>
      <c r="B1910">
        <v>12</v>
      </c>
      <c r="C1910">
        <v>1033</v>
      </c>
      <c r="D1910" t="s">
        <v>303</v>
      </c>
      <c r="E1910">
        <f>YEAR(A1910)</f>
        <v>2014</v>
      </c>
      <c r="F1910" s="33">
        <f>DATE(YEAR(A1910),MONTH(A1910),1)</f>
        <v>41791.0</v>
      </c>
      <c r="G1910" t="str">
        <f>CHOOSE(WEEKDAY(A1910,2),"Mon","Tue","Wed","Thu","Fri","Sat","Sun")</f>
        <v>Thu</v>
      </c>
      <c r="H1910" t="str">
        <f>IF(WEEKDAY(A1910,2)&gt;5,"Weekend","Weekday")</f>
        <v>Weekday</v>
      </c>
      <c r="I1910" t="str">
        <f>_xlfn.IFS(B1910&lt;=5,"Night (0-5)",B1910&lt;=9,"Morning peak (6-9)",B1910&lt;=15,"Midday (10-15)",B1910&lt;=19,"Evening peak (16-19)",TRUE,"Late evening (20-23)")</f>
        <v>Midday (10-15)</v>
      </c>
    </row>
    <row r="1911" spans="1:9">
      <c r="A1911" s="32">
        <v>41809</v>
      </c>
      <c r="B1911">
        <v>13</v>
      </c>
      <c r="C1911">
        <v>1368</v>
      </c>
      <c r="D1911" t="s">
        <v>303</v>
      </c>
      <c r="E1911">
        <f>YEAR(A1911)</f>
        <v>2014</v>
      </c>
      <c r="F1911" s="33">
        <f>DATE(YEAR(A1911),MONTH(A1911),1)</f>
        <v>41791.0</v>
      </c>
      <c r="G1911" t="str">
        <f>CHOOSE(WEEKDAY(A1911,2),"Mon","Tue","Wed","Thu","Fri","Sat","Sun")</f>
        <v>Thu</v>
      </c>
      <c r="H1911" t="str">
        <f>IF(WEEKDAY(A1911,2)&gt;5,"Weekend","Weekday")</f>
        <v>Weekday</v>
      </c>
      <c r="I1911" t="str">
        <f>_xlfn.IFS(B1911&lt;=5,"Night (0-5)",B1911&lt;=9,"Morning peak (6-9)",B1911&lt;=15,"Midday (10-15)",B1911&lt;=19,"Evening peak (16-19)",TRUE,"Late evening (20-23)")</f>
        <v>Midday (10-15)</v>
      </c>
    </row>
    <row r="1912" spans="1:9">
      <c r="A1912" s="32">
        <v>41809</v>
      </c>
      <c r="B1912">
        <v>14</v>
      </c>
      <c r="C1912">
        <v>1386</v>
      </c>
      <c r="D1912" t="s">
        <v>303</v>
      </c>
      <c r="E1912">
        <f>YEAR(A1912)</f>
        <v>2014</v>
      </c>
      <c r="F1912" s="33">
        <f>DATE(YEAR(A1912),MONTH(A1912),1)</f>
        <v>41791.0</v>
      </c>
      <c r="G1912" t="str">
        <f>CHOOSE(WEEKDAY(A1912,2),"Mon","Tue","Wed","Thu","Fri","Sat","Sun")</f>
        <v>Thu</v>
      </c>
      <c r="H1912" t="str">
        <f>IF(WEEKDAY(A1912,2)&gt;5,"Weekend","Weekday")</f>
        <v>Weekday</v>
      </c>
      <c r="I1912" t="str">
        <f>_xlfn.IFS(B1912&lt;=5,"Night (0-5)",B1912&lt;=9,"Morning peak (6-9)",B1912&lt;=15,"Midday (10-15)",B1912&lt;=19,"Evening peak (16-19)",TRUE,"Late evening (20-23)")</f>
        <v>Midday (10-15)</v>
      </c>
    </row>
    <row r="1913" spans="1:9">
      <c r="A1913" s="32">
        <v>41809</v>
      </c>
      <c r="B1913">
        <v>15</v>
      </c>
      <c r="C1913">
        <v>1757</v>
      </c>
      <c r="D1913" t="s">
        <v>303</v>
      </c>
      <c r="E1913">
        <f>YEAR(A1913)</f>
        <v>2014</v>
      </c>
      <c r="F1913" s="33">
        <f>DATE(YEAR(A1913),MONTH(A1913),1)</f>
        <v>41791.0</v>
      </c>
      <c r="G1913" t="str">
        <f>CHOOSE(WEEKDAY(A1913,2),"Mon","Tue","Wed","Thu","Fri","Sat","Sun")</f>
        <v>Thu</v>
      </c>
      <c r="H1913" t="str">
        <f>IF(WEEKDAY(A1913,2)&gt;5,"Weekend","Weekday")</f>
        <v>Weekday</v>
      </c>
      <c r="I1913" t="str">
        <f>_xlfn.IFS(B1913&lt;=5,"Night (0-5)",B1913&lt;=9,"Morning peak (6-9)",B1913&lt;=15,"Midday (10-15)",B1913&lt;=19,"Evening peak (16-19)",TRUE,"Late evening (20-23)")</f>
        <v>Midday (10-15)</v>
      </c>
    </row>
    <row r="1914" spans="1:9">
      <c r="A1914" s="32">
        <v>41809</v>
      </c>
      <c r="B1914">
        <v>16</v>
      </c>
      <c r="C1914">
        <v>1920</v>
      </c>
      <c r="D1914" t="s">
        <v>303</v>
      </c>
      <c r="E1914">
        <f>YEAR(A1914)</f>
        <v>2014</v>
      </c>
      <c r="F1914" s="33">
        <f>DATE(YEAR(A1914),MONTH(A1914),1)</f>
        <v>41791.0</v>
      </c>
      <c r="G1914" t="str">
        <f>CHOOSE(WEEKDAY(A1914,2),"Mon","Tue","Wed","Thu","Fri","Sat","Sun")</f>
        <v>Thu</v>
      </c>
      <c r="H1914" t="str">
        <f>IF(WEEKDAY(A1914,2)&gt;5,"Weekend","Weekday")</f>
        <v>Weekday</v>
      </c>
      <c r="I1914" t="str">
        <f>_xlfn.IFS(B1914&lt;=5,"Night (0-5)",B1914&lt;=9,"Morning peak (6-9)",B1914&lt;=15,"Midday (10-15)",B1914&lt;=19,"Evening peak (16-19)",TRUE,"Late evening (20-23)")</f>
        <v>Evening peak (16-19)</v>
      </c>
    </row>
    <row r="1915" spans="1:9">
      <c r="A1915" s="32">
        <v>41809</v>
      </c>
      <c r="B1915">
        <v>17</v>
      </c>
      <c r="C1915">
        <v>2124</v>
      </c>
      <c r="D1915" t="s">
        <v>303</v>
      </c>
      <c r="E1915">
        <f>YEAR(A1915)</f>
        <v>2014</v>
      </c>
      <c r="F1915" s="33">
        <f>DATE(YEAR(A1915),MONTH(A1915),1)</f>
        <v>41791.0</v>
      </c>
      <c r="G1915" t="str">
        <f>CHOOSE(WEEKDAY(A1915,2),"Mon","Tue","Wed","Thu","Fri","Sat","Sun")</f>
        <v>Thu</v>
      </c>
      <c r="H1915" t="str">
        <f>IF(WEEKDAY(A1915,2)&gt;5,"Weekend","Weekday")</f>
        <v>Weekday</v>
      </c>
      <c r="I1915" t="str">
        <f>_xlfn.IFS(B1915&lt;=5,"Night (0-5)",B1915&lt;=9,"Morning peak (6-9)",B1915&lt;=15,"Midday (10-15)",B1915&lt;=19,"Evening peak (16-19)",TRUE,"Late evening (20-23)")</f>
        <v>Evening peak (16-19)</v>
      </c>
    </row>
    <row r="1916" spans="1:9">
      <c r="A1916" s="32">
        <v>41809</v>
      </c>
      <c r="B1916">
        <v>18</v>
      </c>
      <c r="C1916">
        <v>1909</v>
      </c>
      <c r="D1916" t="s">
        <v>303</v>
      </c>
      <c r="E1916">
        <f>YEAR(A1916)</f>
        <v>2014</v>
      </c>
      <c r="F1916" s="33">
        <f>DATE(YEAR(A1916),MONTH(A1916),1)</f>
        <v>41791.0</v>
      </c>
      <c r="G1916" t="str">
        <f>CHOOSE(WEEKDAY(A1916,2),"Mon","Tue","Wed","Thu","Fri","Sat","Sun")</f>
        <v>Thu</v>
      </c>
      <c r="H1916" t="str">
        <f>IF(WEEKDAY(A1916,2)&gt;5,"Weekend","Weekday")</f>
        <v>Weekday</v>
      </c>
      <c r="I1916" t="str">
        <f>_xlfn.IFS(B1916&lt;=5,"Night (0-5)",B1916&lt;=9,"Morning peak (6-9)",B1916&lt;=15,"Midday (10-15)",B1916&lt;=19,"Evening peak (16-19)",TRUE,"Late evening (20-23)")</f>
        <v>Evening peak (16-19)</v>
      </c>
    </row>
    <row r="1917" spans="1:9">
      <c r="A1917" s="32">
        <v>41809</v>
      </c>
      <c r="B1917">
        <v>19</v>
      </c>
      <c r="C1917">
        <v>1899</v>
      </c>
      <c r="D1917" t="s">
        <v>303</v>
      </c>
      <c r="E1917">
        <f>YEAR(A1917)</f>
        <v>2014</v>
      </c>
      <c r="F1917" s="33">
        <f>DATE(YEAR(A1917),MONTH(A1917),1)</f>
        <v>41791.0</v>
      </c>
      <c r="G1917" t="str">
        <f>CHOOSE(WEEKDAY(A1917,2),"Mon","Tue","Wed","Thu","Fri","Sat","Sun")</f>
        <v>Thu</v>
      </c>
      <c r="H1917" t="str">
        <f>IF(WEEKDAY(A1917,2)&gt;5,"Weekend","Weekday")</f>
        <v>Weekday</v>
      </c>
      <c r="I1917" t="str">
        <f>_xlfn.IFS(B1917&lt;=5,"Night (0-5)",B1917&lt;=9,"Morning peak (6-9)",B1917&lt;=15,"Midday (10-15)",B1917&lt;=19,"Evening peak (16-19)",TRUE,"Late evening (20-23)")</f>
        <v>Evening peak (16-19)</v>
      </c>
    </row>
    <row r="1918" spans="1:9">
      <c r="A1918" s="32">
        <v>41809</v>
      </c>
      <c r="B1918">
        <v>20</v>
      </c>
      <c r="C1918">
        <v>2513</v>
      </c>
      <c r="D1918" t="s">
        <v>303</v>
      </c>
      <c r="E1918">
        <f>YEAR(A1918)</f>
        <v>2014</v>
      </c>
      <c r="F1918" s="33">
        <f>DATE(YEAR(A1918),MONTH(A1918),1)</f>
        <v>41791.0</v>
      </c>
      <c r="G1918" t="str">
        <f>CHOOSE(WEEKDAY(A1918,2),"Mon","Tue","Wed","Thu","Fri","Sat","Sun")</f>
        <v>Thu</v>
      </c>
      <c r="H1918" t="str">
        <f>IF(WEEKDAY(A1918,2)&gt;5,"Weekend","Weekday")</f>
        <v>Weekday</v>
      </c>
      <c r="I1918" t="str">
        <f>_xlfn.IFS(B1918&lt;=5,"Night (0-5)",B1918&lt;=9,"Morning peak (6-9)",B1918&lt;=15,"Midday (10-15)",B1918&lt;=19,"Evening peak (16-19)",TRUE,"Late evening (20-23)")</f>
        <v>Late evening (20-23)</v>
      </c>
    </row>
    <row r="1919" spans="1:9">
      <c r="A1919" s="32">
        <v>41809</v>
      </c>
      <c r="B1919">
        <v>21</v>
      </c>
      <c r="C1919">
        <v>2197</v>
      </c>
      <c r="D1919" t="s">
        <v>303</v>
      </c>
      <c r="E1919">
        <f>YEAR(A1919)</f>
        <v>2014</v>
      </c>
      <c r="F1919" s="33">
        <f>DATE(YEAR(A1919),MONTH(A1919),1)</f>
        <v>41791.0</v>
      </c>
      <c r="G1919" t="str">
        <f>CHOOSE(WEEKDAY(A1919,2),"Mon","Tue","Wed","Thu","Fri","Sat","Sun")</f>
        <v>Thu</v>
      </c>
      <c r="H1919" t="str">
        <f>IF(WEEKDAY(A1919,2)&gt;5,"Weekend","Weekday")</f>
        <v>Weekday</v>
      </c>
      <c r="I1919" t="str">
        <f>_xlfn.IFS(B1919&lt;=5,"Night (0-5)",B1919&lt;=9,"Morning peak (6-9)",B1919&lt;=15,"Midday (10-15)",B1919&lt;=19,"Evening peak (16-19)",TRUE,"Late evening (20-23)")</f>
        <v>Late evening (20-23)</v>
      </c>
    </row>
    <row r="1920" spans="1:9">
      <c r="A1920" s="32">
        <v>41809</v>
      </c>
      <c r="B1920">
        <v>22</v>
      </c>
      <c r="C1920">
        <v>1773</v>
      </c>
      <c r="D1920" t="s">
        <v>303</v>
      </c>
      <c r="E1920">
        <f>YEAR(A1920)</f>
        <v>2014</v>
      </c>
      <c r="F1920" s="33">
        <f>DATE(YEAR(A1920),MONTH(A1920),1)</f>
        <v>41791.0</v>
      </c>
      <c r="G1920" t="str">
        <f>CHOOSE(WEEKDAY(A1920,2),"Mon","Tue","Wed","Thu","Fri","Sat","Sun")</f>
        <v>Thu</v>
      </c>
      <c r="H1920" t="str">
        <f>IF(WEEKDAY(A1920,2)&gt;5,"Weekend","Weekday")</f>
        <v>Weekday</v>
      </c>
      <c r="I1920" t="str">
        <f>_xlfn.IFS(B1920&lt;=5,"Night (0-5)",B1920&lt;=9,"Morning peak (6-9)",B1920&lt;=15,"Midday (10-15)",B1920&lt;=19,"Evening peak (16-19)",TRUE,"Late evening (20-23)")</f>
        <v>Late evening (20-23)</v>
      </c>
    </row>
    <row r="1921" spans="1:9">
      <c r="A1921" s="32">
        <v>41809</v>
      </c>
      <c r="B1921">
        <v>23</v>
      </c>
      <c r="C1921">
        <v>946</v>
      </c>
      <c r="D1921" t="s">
        <v>303</v>
      </c>
      <c r="E1921">
        <f>YEAR(A1921)</f>
        <v>2014</v>
      </c>
      <c r="F1921" s="33">
        <f>DATE(YEAR(A1921),MONTH(A1921),1)</f>
        <v>41791.0</v>
      </c>
      <c r="G1921" t="str">
        <f>CHOOSE(WEEKDAY(A1921,2),"Mon","Tue","Wed","Thu","Fri","Sat","Sun")</f>
        <v>Thu</v>
      </c>
      <c r="H1921" t="str">
        <f>IF(WEEKDAY(A1921,2)&gt;5,"Weekend","Weekday")</f>
        <v>Weekday</v>
      </c>
      <c r="I1921" t="str">
        <f>_xlfn.IFS(B1921&lt;=5,"Night (0-5)",B1921&lt;=9,"Morning peak (6-9)",B1921&lt;=15,"Midday (10-15)",B1921&lt;=19,"Evening peak (16-19)",TRUE,"Late evening (20-23)")</f>
        <v>Late evening (20-23)</v>
      </c>
    </row>
    <row r="1922" spans="1:9">
      <c r="A1922" s="32">
        <v>41810</v>
      </c>
      <c r="B1922">
        <v>0</v>
      </c>
      <c r="C1922">
        <v>412</v>
      </c>
      <c r="D1922" t="s">
        <v>303</v>
      </c>
      <c r="E1922">
        <f>YEAR(A1922)</f>
        <v>2014</v>
      </c>
      <c r="F1922" s="33">
        <f>DATE(YEAR(A1922),MONTH(A1922),1)</f>
        <v>41791.0</v>
      </c>
      <c r="G1922" t="str">
        <f>CHOOSE(WEEKDAY(A1922,2),"Mon","Tue","Wed","Thu","Fri","Sat","Sun")</f>
        <v>Fri</v>
      </c>
      <c r="H1922" t="str">
        <f>IF(WEEKDAY(A1922,2)&gt;5,"Weekend","Weekday")</f>
        <v>Weekday</v>
      </c>
      <c r="I1922" t="str">
        <f>_xlfn.IFS(B1922&lt;=5,"Night (0-5)",B1922&lt;=9,"Morning peak (6-9)",B1922&lt;=15,"Midday (10-15)",B1922&lt;=19,"Evening peak (16-19)",TRUE,"Late evening (20-23)")</f>
        <v>Night (0-5)</v>
      </c>
    </row>
    <row r="1923" spans="1:9">
      <c r="A1923" s="32">
        <v>41810</v>
      </c>
      <c r="B1923">
        <v>1</v>
      </c>
      <c r="C1923">
        <v>264</v>
      </c>
      <c r="D1923" t="s">
        <v>303</v>
      </c>
      <c r="E1923">
        <f>YEAR(A1923)</f>
        <v>2014</v>
      </c>
      <c r="F1923" s="33">
        <f>DATE(YEAR(A1923),MONTH(A1923),1)</f>
        <v>41791.0</v>
      </c>
      <c r="G1923" t="str">
        <f>CHOOSE(WEEKDAY(A1923,2),"Mon","Tue","Wed","Thu","Fri","Sat","Sun")</f>
        <v>Fri</v>
      </c>
      <c r="H1923" t="str">
        <f>IF(WEEKDAY(A1923,2)&gt;5,"Weekend","Weekday")</f>
        <v>Weekday</v>
      </c>
      <c r="I1923" t="str">
        <f>_xlfn.IFS(B1923&lt;=5,"Night (0-5)",B1923&lt;=9,"Morning peak (6-9)",B1923&lt;=15,"Midday (10-15)",B1923&lt;=19,"Evening peak (16-19)",TRUE,"Late evening (20-23)")</f>
        <v>Night (0-5)</v>
      </c>
    </row>
    <row r="1924" spans="1:9">
      <c r="A1924" s="32">
        <v>41810</v>
      </c>
      <c r="B1924">
        <v>2</v>
      </c>
      <c r="C1924">
        <v>147</v>
      </c>
      <c r="D1924" t="s">
        <v>303</v>
      </c>
      <c r="E1924">
        <f>YEAR(A1924)</f>
        <v>2014</v>
      </c>
      <c r="F1924" s="33">
        <f>DATE(YEAR(A1924),MONTH(A1924),1)</f>
        <v>41791.0</v>
      </c>
      <c r="G1924" t="str">
        <f>CHOOSE(WEEKDAY(A1924,2),"Mon","Tue","Wed","Thu","Fri","Sat","Sun")</f>
        <v>Fri</v>
      </c>
      <c r="H1924" t="str">
        <f>IF(WEEKDAY(A1924,2)&gt;5,"Weekend","Weekday")</f>
        <v>Weekday</v>
      </c>
      <c r="I1924" t="str">
        <f>_xlfn.IFS(B1924&lt;=5,"Night (0-5)",B1924&lt;=9,"Morning peak (6-9)",B1924&lt;=15,"Midday (10-15)",B1924&lt;=19,"Evening peak (16-19)",TRUE,"Late evening (20-23)")</f>
        <v>Night (0-5)</v>
      </c>
    </row>
    <row r="1925" spans="1:9">
      <c r="A1925" s="32">
        <v>41810</v>
      </c>
      <c r="B1925">
        <v>3</v>
      </c>
      <c r="C1925">
        <v>232</v>
      </c>
      <c r="D1925" t="s">
        <v>303</v>
      </c>
      <c r="E1925">
        <f>YEAR(A1925)</f>
        <v>2014</v>
      </c>
      <c r="F1925" s="33">
        <f>DATE(YEAR(A1925),MONTH(A1925),1)</f>
        <v>41791.0</v>
      </c>
      <c r="G1925" t="str">
        <f>CHOOSE(WEEKDAY(A1925,2),"Mon","Tue","Wed","Thu","Fri","Sat","Sun")</f>
        <v>Fri</v>
      </c>
      <c r="H1925" t="str">
        <f>IF(WEEKDAY(A1925,2)&gt;5,"Weekend","Weekday")</f>
        <v>Weekday</v>
      </c>
      <c r="I1925" t="str">
        <f>_xlfn.IFS(B1925&lt;=5,"Night (0-5)",B1925&lt;=9,"Morning peak (6-9)",B1925&lt;=15,"Midday (10-15)",B1925&lt;=19,"Evening peak (16-19)",TRUE,"Late evening (20-23)")</f>
        <v>Night (0-5)</v>
      </c>
    </row>
    <row r="1926" spans="1:9">
      <c r="A1926" s="32">
        <v>41810</v>
      </c>
      <c r="B1926">
        <v>4</v>
      </c>
      <c r="C1926">
        <v>277</v>
      </c>
      <c r="D1926" t="s">
        <v>303</v>
      </c>
      <c r="E1926">
        <f>YEAR(A1926)</f>
        <v>2014</v>
      </c>
      <c r="F1926" s="33">
        <f>DATE(YEAR(A1926),MONTH(A1926),1)</f>
        <v>41791.0</v>
      </c>
      <c r="G1926" t="str">
        <f>CHOOSE(WEEKDAY(A1926,2),"Mon","Tue","Wed","Thu","Fri","Sat","Sun")</f>
        <v>Fri</v>
      </c>
      <c r="H1926" t="str">
        <f>IF(WEEKDAY(A1926,2)&gt;5,"Weekend","Weekday")</f>
        <v>Weekday</v>
      </c>
      <c r="I1926" t="str">
        <f>_xlfn.IFS(B1926&lt;=5,"Night (0-5)",B1926&lt;=9,"Morning peak (6-9)",B1926&lt;=15,"Midday (10-15)",B1926&lt;=19,"Evening peak (16-19)",TRUE,"Late evening (20-23)")</f>
        <v>Night (0-5)</v>
      </c>
    </row>
    <row r="1927" spans="1:9">
      <c r="A1927" s="32">
        <v>41810</v>
      </c>
      <c r="B1927">
        <v>5</v>
      </c>
      <c r="C1927">
        <v>431</v>
      </c>
      <c r="D1927" t="s">
        <v>303</v>
      </c>
      <c r="E1927">
        <f>YEAR(A1927)</f>
        <v>2014</v>
      </c>
      <c r="F1927" s="33">
        <f>DATE(YEAR(A1927),MONTH(A1927),1)</f>
        <v>41791.0</v>
      </c>
      <c r="G1927" t="str">
        <f>CHOOSE(WEEKDAY(A1927,2),"Mon","Tue","Wed","Thu","Fri","Sat","Sun")</f>
        <v>Fri</v>
      </c>
      <c r="H1927" t="str">
        <f>IF(WEEKDAY(A1927,2)&gt;5,"Weekend","Weekday")</f>
        <v>Weekday</v>
      </c>
      <c r="I1927" t="str">
        <f>_xlfn.IFS(B1927&lt;=5,"Night (0-5)",B1927&lt;=9,"Morning peak (6-9)",B1927&lt;=15,"Midday (10-15)",B1927&lt;=19,"Evening peak (16-19)",TRUE,"Late evening (20-23)")</f>
        <v>Night (0-5)</v>
      </c>
    </row>
    <row r="1928" spans="1:9">
      <c r="A1928" s="32">
        <v>41810</v>
      </c>
      <c r="B1928">
        <v>6</v>
      </c>
      <c r="C1928">
        <v>787</v>
      </c>
      <c r="D1928" t="s">
        <v>303</v>
      </c>
      <c r="E1928">
        <f>YEAR(A1928)</f>
        <v>2014</v>
      </c>
      <c r="F1928" s="33">
        <f>DATE(YEAR(A1928),MONTH(A1928),1)</f>
        <v>41791.0</v>
      </c>
      <c r="G1928" t="str">
        <f>CHOOSE(WEEKDAY(A1928,2),"Mon","Tue","Wed","Thu","Fri","Sat","Sun")</f>
        <v>Fri</v>
      </c>
      <c r="H1928" t="str">
        <f>IF(WEEKDAY(A1928,2)&gt;5,"Weekend","Weekday")</f>
        <v>Weekday</v>
      </c>
      <c r="I1928" t="str">
        <f>_xlfn.IFS(B1928&lt;=5,"Night (0-5)",B1928&lt;=9,"Morning peak (6-9)",B1928&lt;=15,"Midday (10-15)",B1928&lt;=19,"Evening peak (16-19)",TRUE,"Late evening (20-23)")</f>
        <v>Morning peak (6-9)</v>
      </c>
    </row>
    <row r="1929" spans="1:9">
      <c r="A1929" s="32">
        <v>41810</v>
      </c>
      <c r="B1929">
        <v>7</v>
      </c>
      <c r="C1929">
        <v>1091</v>
      </c>
      <c r="D1929" t="s">
        <v>303</v>
      </c>
      <c r="E1929">
        <f>YEAR(A1929)</f>
        <v>2014</v>
      </c>
      <c r="F1929" s="33">
        <f>DATE(YEAR(A1929),MONTH(A1929),1)</f>
        <v>41791.0</v>
      </c>
      <c r="G1929" t="str">
        <f>CHOOSE(WEEKDAY(A1929,2),"Mon","Tue","Wed","Thu","Fri","Sat","Sun")</f>
        <v>Fri</v>
      </c>
      <c r="H1929" t="str">
        <f>IF(WEEKDAY(A1929,2)&gt;5,"Weekend","Weekday")</f>
        <v>Weekday</v>
      </c>
      <c r="I1929" t="str">
        <f>_xlfn.IFS(B1929&lt;=5,"Night (0-5)",B1929&lt;=9,"Morning peak (6-9)",B1929&lt;=15,"Midday (10-15)",B1929&lt;=19,"Evening peak (16-19)",TRUE,"Late evening (20-23)")</f>
        <v>Morning peak (6-9)</v>
      </c>
    </row>
    <row r="1930" spans="1:9">
      <c r="A1930" s="32">
        <v>41810</v>
      </c>
      <c r="B1930">
        <v>8</v>
      </c>
      <c r="C1930">
        <v>1138</v>
      </c>
      <c r="D1930" t="s">
        <v>303</v>
      </c>
      <c r="E1930">
        <f>YEAR(A1930)</f>
        <v>2014</v>
      </c>
      <c r="F1930" s="33">
        <f>DATE(YEAR(A1930),MONTH(A1930),1)</f>
        <v>41791.0</v>
      </c>
      <c r="G1930" t="str">
        <f>CHOOSE(WEEKDAY(A1930,2),"Mon","Tue","Wed","Thu","Fri","Sat","Sun")</f>
        <v>Fri</v>
      </c>
      <c r="H1930" t="str">
        <f>IF(WEEKDAY(A1930,2)&gt;5,"Weekend","Weekday")</f>
        <v>Weekday</v>
      </c>
      <c r="I1930" t="str">
        <f>_xlfn.IFS(B1930&lt;=5,"Night (0-5)",B1930&lt;=9,"Morning peak (6-9)",B1930&lt;=15,"Midday (10-15)",B1930&lt;=19,"Evening peak (16-19)",TRUE,"Late evening (20-23)")</f>
        <v>Morning peak (6-9)</v>
      </c>
    </row>
    <row r="1931" spans="1:9">
      <c r="A1931" s="32">
        <v>41810</v>
      </c>
      <c r="B1931">
        <v>9</v>
      </c>
      <c r="C1931">
        <v>777</v>
      </c>
      <c r="D1931" t="s">
        <v>303</v>
      </c>
      <c r="E1931">
        <f>YEAR(A1931)</f>
        <v>2014</v>
      </c>
      <c r="F1931" s="33">
        <f>DATE(YEAR(A1931),MONTH(A1931),1)</f>
        <v>41791.0</v>
      </c>
      <c r="G1931" t="str">
        <f>CHOOSE(WEEKDAY(A1931,2),"Mon","Tue","Wed","Thu","Fri","Sat","Sun")</f>
        <v>Fri</v>
      </c>
      <c r="H1931" t="str">
        <f>IF(WEEKDAY(A1931,2)&gt;5,"Weekend","Weekday")</f>
        <v>Weekday</v>
      </c>
      <c r="I1931" t="str">
        <f>_xlfn.IFS(B1931&lt;=5,"Night (0-5)",B1931&lt;=9,"Morning peak (6-9)",B1931&lt;=15,"Midday (10-15)",B1931&lt;=19,"Evening peak (16-19)",TRUE,"Late evening (20-23)")</f>
        <v>Morning peak (6-9)</v>
      </c>
    </row>
    <row r="1932" spans="1:9">
      <c r="A1932" s="32">
        <v>41810</v>
      </c>
      <c r="B1932">
        <v>10</v>
      </c>
      <c r="C1932">
        <v>762</v>
      </c>
      <c r="D1932" t="s">
        <v>303</v>
      </c>
      <c r="E1932">
        <f>YEAR(A1932)</f>
        <v>2014</v>
      </c>
      <c r="F1932" s="33">
        <f>DATE(YEAR(A1932),MONTH(A1932),1)</f>
        <v>41791.0</v>
      </c>
      <c r="G1932" t="str">
        <f>CHOOSE(WEEKDAY(A1932,2),"Mon","Tue","Wed","Thu","Fri","Sat","Sun")</f>
        <v>Fri</v>
      </c>
      <c r="H1932" t="str">
        <f>IF(WEEKDAY(A1932,2)&gt;5,"Weekend","Weekday")</f>
        <v>Weekday</v>
      </c>
      <c r="I1932" t="str">
        <f>_xlfn.IFS(B1932&lt;=5,"Night (0-5)",B1932&lt;=9,"Morning peak (6-9)",B1932&lt;=15,"Midday (10-15)",B1932&lt;=19,"Evening peak (16-19)",TRUE,"Late evening (20-23)")</f>
        <v>Midday (10-15)</v>
      </c>
    </row>
    <row r="1933" spans="1:9">
      <c r="A1933" s="32">
        <v>41810</v>
      </c>
      <c r="B1933">
        <v>11</v>
      </c>
      <c r="C1933">
        <v>905</v>
      </c>
      <c r="D1933" t="s">
        <v>303</v>
      </c>
      <c r="E1933">
        <f>YEAR(A1933)</f>
        <v>2014</v>
      </c>
      <c r="F1933" s="33">
        <f>DATE(YEAR(A1933),MONTH(A1933),1)</f>
        <v>41791.0</v>
      </c>
      <c r="G1933" t="str">
        <f>CHOOSE(WEEKDAY(A1933,2),"Mon","Tue","Wed","Thu","Fri","Sat","Sun")</f>
        <v>Fri</v>
      </c>
      <c r="H1933" t="str">
        <f>IF(WEEKDAY(A1933,2)&gt;5,"Weekend","Weekday")</f>
        <v>Weekday</v>
      </c>
      <c r="I1933" t="str">
        <f>_xlfn.IFS(B1933&lt;=5,"Night (0-5)",B1933&lt;=9,"Morning peak (6-9)",B1933&lt;=15,"Midday (10-15)",B1933&lt;=19,"Evening peak (16-19)",TRUE,"Late evening (20-23)")</f>
        <v>Midday (10-15)</v>
      </c>
    </row>
    <row r="1934" spans="1:9">
      <c r="A1934" s="32">
        <v>41810</v>
      </c>
      <c r="B1934">
        <v>12</v>
      </c>
      <c r="C1934">
        <v>885</v>
      </c>
      <c r="D1934" t="s">
        <v>303</v>
      </c>
      <c r="E1934">
        <f>YEAR(A1934)</f>
        <v>2014</v>
      </c>
      <c r="F1934" s="33">
        <f>DATE(YEAR(A1934),MONTH(A1934),1)</f>
        <v>41791.0</v>
      </c>
      <c r="G1934" t="str">
        <f>CHOOSE(WEEKDAY(A1934,2),"Mon","Tue","Wed","Thu","Fri","Sat","Sun")</f>
        <v>Fri</v>
      </c>
      <c r="H1934" t="str">
        <f>IF(WEEKDAY(A1934,2)&gt;5,"Weekend","Weekday")</f>
        <v>Weekday</v>
      </c>
      <c r="I1934" t="str">
        <f>_xlfn.IFS(B1934&lt;=5,"Night (0-5)",B1934&lt;=9,"Morning peak (6-9)",B1934&lt;=15,"Midday (10-15)",B1934&lt;=19,"Evening peak (16-19)",TRUE,"Late evening (20-23)")</f>
        <v>Midday (10-15)</v>
      </c>
    </row>
    <row r="1935" spans="1:9">
      <c r="A1935" s="32">
        <v>41810</v>
      </c>
      <c r="B1935">
        <v>13</v>
      </c>
      <c r="C1935">
        <v>1103</v>
      </c>
      <c r="D1935" t="s">
        <v>303</v>
      </c>
      <c r="E1935">
        <f>YEAR(A1935)</f>
        <v>2014</v>
      </c>
      <c r="F1935" s="33">
        <f>DATE(YEAR(A1935),MONTH(A1935),1)</f>
        <v>41791.0</v>
      </c>
      <c r="G1935" t="str">
        <f>CHOOSE(WEEKDAY(A1935,2),"Mon","Tue","Wed","Thu","Fri","Sat","Sun")</f>
        <v>Fri</v>
      </c>
      <c r="H1935" t="str">
        <f>IF(WEEKDAY(A1935,2)&gt;5,"Weekend","Weekday")</f>
        <v>Weekday</v>
      </c>
      <c r="I1935" t="str">
        <f>_xlfn.IFS(B1935&lt;=5,"Night (0-5)",B1935&lt;=9,"Morning peak (6-9)",B1935&lt;=15,"Midday (10-15)",B1935&lt;=19,"Evening peak (16-19)",TRUE,"Late evening (20-23)")</f>
        <v>Midday (10-15)</v>
      </c>
    </row>
    <row r="1936" spans="1:9">
      <c r="A1936" s="32">
        <v>41810</v>
      </c>
      <c r="B1936">
        <v>14</v>
      </c>
      <c r="C1936">
        <v>1254</v>
      </c>
      <c r="D1936" t="s">
        <v>303</v>
      </c>
      <c r="E1936">
        <f>YEAR(A1936)</f>
        <v>2014</v>
      </c>
      <c r="F1936" s="33">
        <f>DATE(YEAR(A1936),MONTH(A1936),1)</f>
        <v>41791.0</v>
      </c>
      <c r="G1936" t="str">
        <f>CHOOSE(WEEKDAY(A1936,2),"Mon","Tue","Wed","Thu","Fri","Sat","Sun")</f>
        <v>Fri</v>
      </c>
      <c r="H1936" t="str">
        <f>IF(WEEKDAY(A1936,2)&gt;5,"Weekend","Weekday")</f>
        <v>Weekday</v>
      </c>
      <c r="I1936" t="str">
        <f>_xlfn.IFS(B1936&lt;=5,"Night (0-5)",B1936&lt;=9,"Morning peak (6-9)",B1936&lt;=15,"Midday (10-15)",B1936&lt;=19,"Evening peak (16-19)",TRUE,"Late evening (20-23)")</f>
        <v>Midday (10-15)</v>
      </c>
    </row>
    <row r="1937" spans="1:9">
      <c r="A1937" s="32">
        <v>41810</v>
      </c>
      <c r="B1937">
        <v>15</v>
      </c>
      <c r="C1937">
        <v>1572</v>
      </c>
      <c r="D1937" t="s">
        <v>303</v>
      </c>
      <c r="E1937">
        <f>YEAR(A1937)</f>
        <v>2014</v>
      </c>
      <c r="F1937" s="33">
        <f>DATE(YEAR(A1937),MONTH(A1937),1)</f>
        <v>41791.0</v>
      </c>
      <c r="G1937" t="str">
        <f>CHOOSE(WEEKDAY(A1937,2),"Mon","Tue","Wed","Thu","Fri","Sat","Sun")</f>
        <v>Fri</v>
      </c>
      <c r="H1937" t="str">
        <f>IF(WEEKDAY(A1937,2)&gt;5,"Weekend","Weekday")</f>
        <v>Weekday</v>
      </c>
      <c r="I1937" t="str">
        <f>_xlfn.IFS(B1937&lt;=5,"Night (0-5)",B1937&lt;=9,"Morning peak (6-9)",B1937&lt;=15,"Midday (10-15)",B1937&lt;=19,"Evening peak (16-19)",TRUE,"Late evening (20-23)")</f>
        <v>Midday (10-15)</v>
      </c>
    </row>
    <row r="1938" spans="1:9">
      <c r="A1938" s="32">
        <v>41810</v>
      </c>
      <c r="B1938">
        <v>16</v>
      </c>
      <c r="C1938">
        <v>1681</v>
      </c>
      <c r="D1938" t="s">
        <v>303</v>
      </c>
      <c r="E1938">
        <f>YEAR(A1938)</f>
        <v>2014</v>
      </c>
      <c r="F1938" s="33">
        <f>DATE(YEAR(A1938),MONTH(A1938),1)</f>
        <v>41791.0</v>
      </c>
      <c r="G1938" t="str">
        <f>CHOOSE(WEEKDAY(A1938,2),"Mon","Tue","Wed","Thu","Fri","Sat","Sun")</f>
        <v>Fri</v>
      </c>
      <c r="H1938" t="str">
        <f>IF(WEEKDAY(A1938,2)&gt;5,"Weekend","Weekday")</f>
        <v>Weekday</v>
      </c>
      <c r="I1938" t="str">
        <f>_xlfn.IFS(B1938&lt;=5,"Night (0-5)",B1938&lt;=9,"Morning peak (6-9)",B1938&lt;=15,"Midday (10-15)",B1938&lt;=19,"Evening peak (16-19)",TRUE,"Late evening (20-23)")</f>
        <v>Evening peak (16-19)</v>
      </c>
    </row>
    <row r="1939" spans="1:9">
      <c r="A1939" s="32">
        <v>41810</v>
      </c>
      <c r="B1939">
        <v>17</v>
      </c>
      <c r="C1939">
        <v>1693</v>
      </c>
      <c r="D1939" t="s">
        <v>303</v>
      </c>
      <c r="E1939">
        <f>YEAR(A1939)</f>
        <v>2014</v>
      </c>
      <c r="F1939" s="33">
        <f>DATE(YEAR(A1939),MONTH(A1939),1)</f>
        <v>41791.0</v>
      </c>
      <c r="G1939" t="str">
        <f>CHOOSE(WEEKDAY(A1939,2),"Mon","Tue","Wed","Thu","Fri","Sat","Sun")</f>
        <v>Fri</v>
      </c>
      <c r="H1939" t="str">
        <f>IF(WEEKDAY(A1939,2)&gt;5,"Weekend","Weekday")</f>
        <v>Weekday</v>
      </c>
      <c r="I1939" t="str">
        <f>_xlfn.IFS(B1939&lt;=5,"Night (0-5)",B1939&lt;=9,"Morning peak (6-9)",B1939&lt;=15,"Midday (10-15)",B1939&lt;=19,"Evening peak (16-19)",TRUE,"Late evening (20-23)")</f>
        <v>Evening peak (16-19)</v>
      </c>
    </row>
    <row r="1940" spans="1:9">
      <c r="A1940" s="32">
        <v>41810</v>
      </c>
      <c r="B1940">
        <v>18</v>
      </c>
      <c r="C1940">
        <v>1570</v>
      </c>
      <c r="D1940" t="s">
        <v>303</v>
      </c>
      <c r="E1940">
        <f>YEAR(A1940)</f>
        <v>2014</v>
      </c>
      <c r="F1940" s="33">
        <f>DATE(YEAR(A1940),MONTH(A1940),1)</f>
        <v>41791.0</v>
      </c>
      <c r="G1940" t="str">
        <f>CHOOSE(WEEKDAY(A1940,2),"Mon","Tue","Wed","Thu","Fri","Sat","Sun")</f>
        <v>Fri</v>
      </c>
      <c r="H1940" t="str">
        <f>IF(WEEKDAY(A1940,2)&gt;5,"Weekend","Weekday")</f>
        <v>Weekday</v>
      </c>
      <c r="I1940" t="str">
        <f>_xlfn.IFS(B1940&lt;=5,"Night (0-5)",B1940&lt;=9,"Morning peak (6-9)",B1940&lt;=15,"Midday (10-15)",B1940&lt;=19,"Evening peak (16-19)",TRUE,"Late evening (20-23)")</f>
        <v>Evening peak (16-19)</v>
      </c>
    </row>
    <row r="1941" spans="1:9">
      <c r="A1941" s="32">
        <v>41810</v>
      </c>
      <c r="B1941">
        <v>19</v>
      </c>
      <c r="C1941">
        <v>1320</v>
      </c>
      <c r="D1941" t="s">
        <v>303</v>
      </c>
      <c r="E1941">
        <f>YEAR(A1941)</f>
        <v>2014</v>
      </c>
      <c r="F1941" s="33">
        <f>DATE(YEAR(A1941),MONTH(A1941),1)</f>
        <v>41791.0</v>
      </c>
      <c r="G1941" t="str">
        <f>CHOOSE(WEEKDAY(A1941,2),"Mon","Tue","Wed","Thu","Fri","Sat","Sun")</f>
        <v>Fri</v>
      </c>
      <c r="H1941" t="str">
        <f>IF(WEEKDAY(A1941,2)&gt;5,"Weekend","Weekday")</f>
        <v>Weekday</v>
      </c>
      <c r="I1941" t="str">
        <f>_xlfn.IFS(B1941&lt;=5,"Night (0-5)",B1941&lt;=9,"Morning peak (6-9)",B1941&lt;=15,"Midday (10-15)",B1941&lt;=19,"Evening peak (16-19)",TRUE,"Late evening (20-23)")</f>
        <v>Evening peak (16-19)</v>
      </c>
    </row>
    <row r="1942" spans="1:9">
      <c r="A1942" s="32">
        <v>41810</v>
      </c>
      <c r="B1942">
        <v>20</v>
      </c>
      <c r="C1942">
        <v>1306</v>
      </c>
      <c r="D1942" t="s">
        <v>303</v>
      </c>
      <c r="E1942">
        <f>YEAR(A1942)</f>
        <v>2014</v>
      </c>
      <c r="F1942" s="33">
        <f>DATE(YEAR(A1942),MONTH(A1942),1)</f>
        <v>41791.0</v>
      </c>
      <c r="G1942" t="str">
        <f>CHOOSE(WEEKDAY(A1942,2),"Mon","Tue","Wed","Thu","Fri","Sat","Sun")</f>
        <v>Fri</v>
      </c>
      <c r="H1942" t="str">
        <f>IF(WEEKDAY(A1942,2)&gt;5,"Weekend","Weekday")</f>
        <v>Weekday</v>
      </c>
      <c r="I1942" t="str">
        <f>_xlfn.IFS(B1942&lt;=5,"Night (0-5)",B1942&lt;=9,"Morning peak (6-9)",B1942&lt;=15,"Midday (10-15)",B1942&lt;=19,"Evening peak (16-19)",TRUE,"Late evening (20-23)")</f>
        <v>Late evening (20-23)</v>
      </c>
    </row>
    <row r="1943" spans="1:9">
      <c r="A1943" s="32">
        <v>41810</v>
      </c>
      <c r="B1943">
        <v>21</v>
      </c>
      <c r="C1943">
        <v>1523</v>
      </c>
      <c r="D1943" t="s">
        <v>303</v>
      </c>
      <c r="E1943">
        <f>YEAR(A1943)</f>
        <v>2014</v>
      </c>
      <c r="F1943" s="33">
        <f>DATE(YEAR(A1943),MONTH(A1943),1)</f>
        <v>41791.0</v>
      </c>
      <c r="G1943" t="str">
        <f>CHOOSE(WEEKDAY(A1943,2),"Mon","Tue","Wed","Thu","Fri","Sat","Sun")</f>
        <v>Fri</v>
      </c>
      <c r="H1943" t="str">
        <f>IF(WEEKDAY(A1943,2)&gt;5,"Weekend","Weekday")</f>
        <v>Weekday</v>
      </c>
      <c r="I1943" t="str">
        <f>_xlfn.IFS(B1943&lt;=5,"Night (0-5)",B1943&lt;=9,"Morning peak (6-9)",B1943&lt;=15,"Midday (10-15)",B1943&lt;=19,"Evening peak (16-19)",TRUE,"Late evening (20-23)")</f>
        <v>Late evening (20-23)</v>
      </c>
    </row>
    <row r="1944" spans="1:9">
      <c r="A1944" s="32">
        <v>41810</v>
      </c>
      <c r="B1944">
        <v>22</v>
      </c>
      <c r="C1944">
        <v>1743</v>
      </c>
      <c r="D1944" t="s">
        <v>303</v>
      </c>
      <c r="E1944">
        <f>YEAR(A1944)</f>
        <v>2014</v>
      </c>
      <c r="F1944" s="33">
        <f>DATE(YEAR(A1944),MONTH(A1944),1)</f>
        <v>41791.0</v>
      </c>
      <c r="G1944" t="str">
        <f>CHOOSE(WEEKDAY(A1944,2),"Mon","Tue","Wed","Thu","Fri","Sat","Sun")</f>
        <v>Fri</v>
      </c>
      <c r="H1944" t="str">
        <f>IF(WEEKDAY(A1944,2)&gt;5,"Weekend","Weekday")</f>
        <v>Weekday</v>
      </c>
      <c r="I1944" t="str">
        <f>_xlfn.IFS(B1944&lt;=5,"Night (0-5)",B1944&lt;=9,"Morning peak (6-9)",B1944&lt;=15,"Midday (10-15)",B1944&lt;=19,"Evening peak (16-19)",TRUE,"Late evening (20-23)")</f>
        <v>Late evening (20-23)</v>
      </c>
    </row>
    <row r="1945" spans="1:9">
      <c r="A1945" s="32">
        <v>41810</v>
      </c>
      <c r="B1945">
        <v>23</v>
      </c>
      <c r="C1945">
        <v>1398</v>
      </c>
      <c r="D1945" t="s">
        <v>303</v>
      </c>
      <c r="E1945">
        <f>YEAR(A1945)</f>
        <v>2014</v>
      </c>
      <c r="F1945" s="33">
        <f>DATE(YEAR(A1945),MONTH(A1945),1)</f>
        <v>41791.0</v>
      </c>
      <c r="G1945" t="str">
        <f>CHOOSE(WEEKDAY(A1945,2),"Mon","Tue","Wed","Thu","Fri","Sat","Sun")</f>
        <v>Fri</v>
      </c>
      <c r="H1945" t="str">
        <f>IF(WEEKDAY(A1945,2)&gt;5,"Weekend","Weekday")</f>
        <v>Weekday</v>
      </c>
      <c r="I1945" t="str">
        <f>_xlfn.IFS(B1945&lt;=5,"Night (0-5)",B1945&lt;=9,"Morning peak (6-9)",B1945&lt;=15,"Midday (10-15)",B1945&lt;=19,"Evening peak (16-19)",TRUE,"Late evening (20-23)")</f>
        <v>Late evening (20-23)</v>
      </c>
    </row>
    <row r="1946" spans="1:9">
      <c r="A1946" s="32">
        <v>41811</v>
      </c>
      <c r="B1946">
        <v>0</v>
      </c>
      <c r="C1946">
        <v>905</v>
      </c>
      <c r="D1946" t="s">
        <v>303</v>
      </c>
      <c r="E1946">
        <f>YEAR(A1946)</f>
        <v>2014</v>
      </c>
      <c r="F1946" s="33">
        <f>DATE(YEAR(A1946),MONTH(A1946),1)</f>
        <v>41791.0</v>
      </c>
      <c r="G1946" t="str">
        <f>CHOOSE(WEEKDAY(A1946,2),"Mon","Tue","Wed","Thu","Fri","Sat","Sun")</f>
        <v>Sat</v>
      </c>
      <c r="H1946" t="str">
        <f>IF(WEEKDAY(A1946,2)&gt;5,"Weekend","Weekday")</f>
        <v>Weekend</v>
      </c>
      <c r="I1946" t="str">
        <f>_xlfn.IFS(B1946&lt;=5,"Night (0-5)",B1946&lt;=9,"Morning peak (6-9)",B1946&lt;=15,"Midday (10-15)",B1946&lt;=19,"Evening peak (16-19)",TRUE,"Late evening (20-23)")</f>
        <v>Night (0-5)</v>
      </c>
    </row>
    <row r="1947" spans="1:9">
      <c r="A1947" s="32">
        <v>41811</v>
      </c>
      <c r="B1947">
        <v>1</v>
      </c>
      <c r="C1947">
        <v>623</v>
      </c>
      <c r="D1947" t="s">
        <v>303</v>
      </c>
      <c r="E1947">
        <f>YEAR(A1947)</f>
        <v>2014</v>
      </c>
      <c r="F1947" s="33">
        <f>DATE(YEAR(A1947),MONTH(A1947),1)</f>
        <v>41791.0</v>
      </c>
      <c r="G1947" t="str">
        <f>CHOOSE(WEEKDAY(A1947,2),"Mon","Tue","Wed","Thu","Fri","Sat","Sun")</f>
        <v>Sat</v>
      </c>
      <c r="H1947" t="str">
        <f>IF(WEEKDAY(A1947,2)&gt;5,"Weekend","Weekday")</f>
        <v>Weekend</v>
      </c>
      <c r="I1947" t="str">
        <f>_xlfn.IFS(B1947&lt;=5,"Night (0-5)",B1947&lt;=9,"Morning peak (6-9)",B1947&lt;=15,"Midday (10-15)",B1947&lt;=19,"Evening peak (16-19)",TRUE,"Late evening (20-23)")</f>
        <v>Night (0-5)</v>
      </c>
    </row>
    <row r="1948" spans="1:9">
      <c r="A1948" s="32">
        <v>41811</v>
      </c>
      <c r="B1948">
        <v>2</v>
      </c>
      <c r="C1948">
        <v>401</v>
      </c>
      <c r="D1948" t="s">
        <v>303</v>
      </c>
      <c r="E1948">
        <f>YEAR(A1948)</f>
        <v>2014</v>
      </c>
      <c r="F1948" s="33">
        <f>DATE(YEAR(A1948),MONTH(A1948),1)</f>
        <v>41791.0</v>
      </c>
      <c r="G1948" t="str">
        <f>CHOOSE(WEEKDAY(A1948,2),"Mon","Tue","Wed","Thu","Fri","Sat","Sun")</f>
        <v>Sat</v>
      </c>
      <c r="H1948" t="str">
        <f>IF(WEEKDAY(A1948,2)&gt;5,"Weekend","Weekday")</f>
        <v>Weekend</v>
      </c>
      <c r="I1948" t="str">
        <f>_xlfn.IFS(B1948&lt;=5,"Night (0-5)",B1948&lt;=9,"Morning peak (6-9)",B1948&lt;=15,"Midday (10-15)",B1948&lt;=19,"Evening peak (16-19)",TRUE,"Late evening (20-23)")</f>
        <v>Night (0-5)</v>
      </c>
    </row>
    <row r="1949" spans="1:9">
      <c r="A1949" s="32">
        <v>41811</v>
      </c>
      <c r="B1949">
        <v>3</v>
      </c>
      <c r="C1949">
        <v>310</v>
      </c>
      <c r="D1949" t="s">
        <v>303</v>
      </c>
      <c r="E1949">
        <f>YEAR(A1949)</f>
        <v>2014</v>
      </c>
      <c r="F1949" s="33">
        <f>DATE(YEAR(A1949),MONTH(A1949),1)</f>
        <v>41791.0</v>
      </c>
      <c r="G1949" t="str">
        <f>CHOOSE(WEEKDAY(A1949,2),"Mon","Tue","Wed","Thu","Fri","Sat","Sun")</f>
        <v>Sat</v>
      </c>
      <c r="H1949" t="str">
        <f>IF(WEEKDAY(A1949,2)&gt;5,"Weekend","Weekday")</f>
        <v>Weekend</v>
      </c>
      <c r="I1949" t="str">
        <f>_xlfn.IFS(B1949&lt;=5,"Night (0-5)",B1949&lt;=9,"Morning peak (6-9)",B1949&lt;=15,"Midday (10-15)",B1949&lt;=19,"Evening peak (16-19)",TRUE,"Late evening (20-23)")</f>
        <v>Night (0-5)</v>
      </c>
    </row>
    <row r="1950" spans="1:9">
      <c r="A1950" s="32">
        <v>41811</v>
      </c>
      <c r="B1950">
        <v>4</v>
      </c>
      <c r="C1950">
        <v>224</v>
      </c>
      <c r="D1950" t="s">
        <v>303</v>
      </c>
      <c r="E1950">
        <f>YEAR(A1950)</f>
        <v>2014</v>
      </c>
      <c r="F1950" s="33">
        <f>DATE(YEAR(A1950),MONTH(A1950),1)</f>
        <v>41791.0</v>
      </c>
      <c r="G1950" t="str">
        <f>CHOOSE(WEEKDAY(A1950,2),"Mon","Tue","Wed","Thu","Fri","Sat","Sun")</f>
        <v>Sat</v>
      </c>
      <c r="H1950" t="str">
        <f>IF(WEEKDAY(A1950,2)&gt;5,"Weekend","Weekday")</f>
        <v>Weekend</v>
      </c>
      <c r="I1950" t="str">
        <f>_xlfn.IFS(B1950&lt;=5,"Night (0-5)",B1950&lt;=9,"Morning peak (6-9)",B1950&lt;=15,"Midday (10-15)",B1950&lt;=19,"Evening peak (16-19)",TRUE,"Late evening (20-23)")</f>
        <v>Night (0-5)</v>
      </c>
    </row>
    <row r="1951" spans="1:9">
      <c r="A1951" s="32">
        <v>41811</v>
      </c>
      <c r="B1951">
        <v>5</v>
      </c>
      <c r="C1951">
        <v>211</v>
      </c>
      <c r="D1951" t="s">
        <v>303</v>
      </c>
      <c r="E1951">
        <f>YEAR(A1951)</f>
        <v>2014</v>
      </c>
      <c r="F1951" s="33">
        <f>DATE(YEAR(A1951),MONTH(A1951),1)</f>
        <v>41791.0</v>
      </c>
      <c r="G1951" t="str">
        <f>CHOOSE(WEEKDAY(A1951,2),"Mon","Tue","Wed","Thu","Fri","Sat","Sun")</f>
        <v>Sat</v>
      </c>
      <c r="H1951" t="str">
        <f>IF(WEEKDAY(A1951,2)&gt;5,"Weekend","Weekday")</f>
        <v>Weekend</v>
      </c>
      <c r="I1951" t="str">
        <f>_xlfn.IFS(B1951&lt;=5,"Night (0-5)",B1951&lt;=9,"Morning peak (6-9)",B1951&lt;=15,"Midday (10-15)",B1951&lt;=19,"Evening peak (16-19)",TRUE,"Late evening (20-23)")</f>
        <v>Night (0-5)</v>
      </c>
    </row>
    <row r="1952" spans="1:9">
      <c r="A1952" s="32">
        <v>41811</v>
      </c>
      <c r="B1952">
        <v>6</v>
      </c>
      <c r="C1952">
        <v>235</v>
      </c>
      <c r="D1952" t="s">
        <v>303</v>
      </c>
      <c r="E1952">
        <f>YEAR(A1952)</f>
        <v>2014</v>
      </c>
      <c r="F1952" s="33">
        <f>DATE(YEAR(A1952),MONTH(A1952),1)</f>
        <v>41791.0</v>
      </c>
      <c r="G1952" t="str">
        <f>CHOOSE(WEEKDAY(A1952,2),"Mon","Tue","Wed","Thu","Fri","Sat","Sun")</f>
        <v>Sat</v>
      </c>
      <c r="H1952" t="str">
        <f>IF(WEEKDAY(A1952,2)&gt;5,"Weekend","Weekday")</f>
        <v>Weekend</v>
      </c>
      <c r="I1952" t="str">
        <f>_xlfn.IFS(B1952&lt;=5,"Night (0-5)",B1952&lt;=9,"Morning peak (6-9)",B1952&lt;=15,"Midday (10-15)",B1952&lt;=19,"Evening peak (16-19)",TRUE,"Late evening (20-23)")</f>
        <v>Morning peak (6-9)</v>
      </c>
    </row>
    <row r="1953" spans="1:9">
      <c r="A1953" s="32">
        <v>41811</v>
      </c>
      <c r="B1953">
        <v>7</v>
      </c>
      <c r="C1953">
        <v>306</v>
      </c>
      <c r="D1953" t="s">
        <v>303</v>
      </c>
      <c r="E1953">
        <f>YEAR(A1953)</f>
        <v>2014</v>
      </c>
      <c r="F1953" s="33">
        <f>DATE(YEAR(A1953),MONTH(A1953),1)</f>
        <v>41791.0</v>
      </c>
      <c r="G1953" t="str">
        <f>CHOOSE(WEEKDAY(A1953,2),"Mon","Tue","Wed","Thu","Fri","Sat","Sun")</f>
        <v>Sat</v>
      </c>
      <c r="H1953" t="str">
        <f>IF(WEEKDAY(A1953,2)&gt;5,"Weekend","Weekday")</f>
        <v>Weekend</v>
      </c>
      <c r="I1953" t="str">
        <f>_xlfn.IFS(B1953&lt;=5,"Night (0-5)",B1953&lt;=9,"Morning peak (6-9)",B1953&lt;=15,"Midday (10-15)",B1953&lt;=19,"Evening peak (16-19)",TRUE,"Late evening (20-23)")</f>
        <v>Morning peak (6-9)</v>
      </c>
    </row>
    <row r="1954" spans="1:9">
      <c r="A1954" s="32">
        <v>41811</v>
      </c>
      <c r="B1954">
        <v>8</v>
      </c>
      <c r="C1954">
        <v>469</v>
      </c>
      <c r="D1954" t="s">
        <v>303</v>
      </c>
      <c r="E1954">
        <f>YEAR(A1954)</f>
        <v>2014</v>
      </c>
      <c r="F1954" s="33">
        <f>DATE(YEAR(A1954),MONTH(A1954),1)</f>
        <v>41791.0</v>
      </c>
      <c r="G1954" t="str">
        <f>CHOOSE(WEEKDAY(A1954,2),"Mon","Tue","Wed","Thu","Fri","Sat","Sun")</f>
        <v>Sat</v>
      </c>
      <c r="H1954" t="str">
        <f>IF(WEEKDAY(A1954,2)&gt;5,"Weekend","Weekday")</f>
        <v>Weekend</v>
      </c>
      <c r="I1954" t="str">
        <f>_xlfn.IFS(B1954&lt;=5,"Night (0-5)",B1954&lt;=9,"Morning peak (6-9)",B1954&lt;=15,"Midday (10-15)",B1954&lt;=19,"Evening peak (16-19)",TRUE,"Late evening (20-23)")</f>
        <v>Morning peak (6-9)</v>
      </c>
    </row>
    <row r="1955" spans="1:9">
      <c r="A1955" s="32">
        <v>41811</v>
      </c>
      <c r="B1955">
        <v>9</v>
      </c>
      <c r="C1955">
        <v>537</v>
      </c>
      <c r="D1955" t="s">
        <v>303</v>
      </c>
      <c r="E1955">
        <f>YEAR(A1955)</f>
        <v>2014</v>
      </c>
      <c r="F1955" s="33">
        <f>DATE(YEAR(A1955),MONTH(A1955),1)</f>
        <v>41791.0</v>
      </c>
      <c r="G1955" t="str">
        <f>CHOOSE(WEEKDAY(A1955,2),"Mon","Tue","Wed","Thu","Fri","Sat","Sun")</f>
        <v>Sat</v>
      </c>
      <c r="H1955" t="str">
        <f>IF(WEEKDAY(A1955,2)&gt;5,"Weekend","Weekday")</f>
        <v>Weekend</v>
      </c>
      <c r="I1955" t="str">
        <f>_xlfn.IFS(B1955&lt;=5,"Night (0-5)",B1955&lt;=9,"Morning peak (6-9)",B1955&lt;=15,"Midday (10-15)",B1955&lt;=19,"Evening peak (16-19)",TRUE,"Late evening (20-23)")</f>
        <v>Morning peak (6-9)</v>
      </c>
    </row>
    <row r="1956" spans="1:9">
      <c r="A1956" s="32">
        <v>41811</v>
      </c>
      <c r="B1956">
        <v>10</v>
      </c>
      <c r="C1956">
        <v>702</v>
      </c>
      <c r="D1956" t="s">
        <v>303</v>
      </c>
      <c r="E1956">
        <f>YEAR(A1956)</f>
        <v>2014</v>
      </c>
      <c r="F1956" s="33">
        <f>DATE(YEAR(A1956),MONTH(A1956),1)</f>
        <v>41791.0</v>
      </c>
      <c r="G1956" t="str">
        <f>CHOOSE(WEEKDAY(A1956,2),"Mon","Tue","Wed","Thu","Fri","Sat","Sun")</f>
        <v>Sat</v>
      </c>
      <c r="H1956" t="str">
        <f>IF(WEEKDAY(A1956,2)&gt;5,"Weekend","Weekday")</f>
        <v>Weekend</v>
      </c>
      <c r="I1956" t="str">
        <f>_xlfn.IFS(B1956&lt;=5,"Night (0-5)",B1956&lt;=9,"Morning peak (6-9)",B1956&lt;=15,"Midday (10-15)",B1956&lt;=19,"Evening peak (16-19)",TRUE,"Late evening (20-23)")</f>
        <v>Midday (10-15)</v>
      </c>
    </row>
    <row r="1957" spans="1:9">
      <c r="A1957" s="32">
        <v>41811</v>
      </c>
      <c r="B1957">
        <v>11</v>
      </c>
      <c r="C1957">
        <v>740</v>
      </c>
      <c r="D1957" t="s">
        <v>303</v>
      </c>
      <c r="E1957">
        <f>YEAR(A1957)</f>
        <v>2014</v>
      </c>
      <c r="F1957" s="33">
        <f>DATE(YEAR(A1957),MONTH(A1957),1)</f>
        <v>41791.0</v>
      </c>
      <c r="G1957" t="str">
        <f>CHOOSE(WEEKDAY(A1957,2),"Mon","Tue","Wed","Thu","Fri","Sat","Sun")</f>
        <v>Sat</v>
      </c>
      <c r="H1957" t="str">
        <f>IF(WEEKDAY(A1957,2)&gt;5,"Weekend","Weekday")</f>
        <v>Weekend</v>
      </c>
      <c r="I1957" t="str">
        <f>_xlfn.IFS(B1957&lt;=5,"Night (0-5)",B1957&lt;=9,"Morning peak (6-9)",B1957&lt;=15,"Midday (10-15)",B1957&lt;=19,"Evening peak (16-19)",TRUE,"Late evening (20-23)")</f>
        <v>Midday (10-15)</v>
      </c>
    </row>
    <row r="1958" spans="1:9">
      <c r="A1958" s="32">
        <v>41811</v>
      </c>
      <c r="B1958">
        <v>12</v>
      </c>
      <c r="C1958">
        <v>745</v>
      </c>
      <c r="D1958" t="s">
        <v>303</v>
      </c>
      <c r="E1958">
        <f>YEAR(A1958)</f>
        <v>2014</v>
      </c>
      <c r="F1958" s="33">
        <f>DATE(YEAR(A1958),MONTH(A1958),1)</f>
        <v>41791.0</v>
      </c>
      <c r="G1958" t="str">
        <f>CHOOSE(WEEKDAY(A1958,2),"Mon","Tue","Wed","Thu","Fri","Sat","Sun")</f>
        <v>Sat</v>
      </c>
      <c r="H1958" t="str">
        <f>IF(WEEKDAY(A1958,2)&gt;5,"Weekend","Weekday")</f>
        <v>Weekend</v>
      </c>
      <c r="I1958" t="str">
        <f>_xlfn.IFS(B1958&lt;=5,"Night (0-5)",B1958&lt;=9,"Morning peak (6-9)",B1958&lt;=15,"Midday (10-15)",B1958&lt;=19,"Evening peak (16-19)",TRUE,"Late evening (20-23)")</f>
        <v>Midday (10-15)</v>
      </c>
    </row>
    <row r="1959" spans="1:9">
      <c r="A1959" s="32">
        <v>41811</v>
      </c>
      <c r="B1959">
        <v>13</v>
      </c>
      <c r="C1959">
        <v>832</v>
      </c>
      <c r="D1959" t="s">
        <v>303</v>
      </c>
      <c r="E1959">
        <f>YEAR(A1959)</f>
        <v>2014</v>
      </c>
      <c r="F1959" s="33">
        <f>DATE(YEAR(A1959),MONTH(A1959),1)</f>
        <v>41791.0</v>
      </c>
      <c r="G1959" t="str">
        <f>CHOOSE(WEEKDAY(A1959,2),"Mon","Tue","Wed","Thu","Fri","Sat","Sun")</f>
        <v>Sat</v>
      </c>
      <c r="H1959" t="str">
        <f>IF(WEEKDAY(A1959,2)&gt;5,"Weekend","Weekday")</f>
        <v>Weekend</v>
      </c>
      <c r="I1959" t="str">
        <f>_xlfn.IFS(B1959&lt;=5,"Night (0-5)",B1959&lt;=9,"Morning peak (6-9)",B1959&lt;=15,"Midday (10-15)",B1959&lt;=19,"Evening peak (16-19)",TRUE,"Late evening (20-23)")</f>
        <v>Midday (10-15)</v>
      </c>
    </row>
    <row r="1960" spans="1:9">
      <c r="A1960" s="32">
        <v>41811</v>
      </c>
      <c r="B1960">
        <v>14</v>
      </c>
      <c r="C1960">
        <v>914</v>
      </c>
      <c r="D1960" t="s">
        <v>303</v>
      </c>
      <c r="E1960">
        <f>YEAR(A1960)</f>
        <v>2014</v>
      </c>
      <c r="F1960" s="33">
        <f>DATE(YEAR(A1960),MONTH(A1960),1)</f>
        <v>41791.0</v>
      </c>
      <c r="G1960" t="str">
        <f>CHOOSE(WEEKDAY(A1960,2),"Mon","Tue","Wed","Thu","Fri","Sat","Sun")</f>
        <v>Sat</v>
      </c>
      <c r="H1960" t="str">
        <f>IF(WEEKDAY(A1960,2)&gt;5,"Weekend","Weekday")</f>
        <v>Weekend</v>
      </c>
      <c r="I1960" t="str">
        <f>_xlfn.IFS(B1960&lt;=5,"Night (0-5)",B1960&lt;=9,"Morning peak (6-9)",B1960&lt;=15,"Midday (10-15)",B1960&lt;=19,"Evening peak (16-19)",TRUE,"Late evening (20-23)")</f>
        <v>Midday (10-15)</v>
      </c>
    </row>
    <row r="1961" spans="1:9">
      <c r="A1961" s="32">
        <v>41811</v>
      </c>
      <c r="B1961">
        <v>15</v>
      </c>
      <c r="C1961">
        <v>1083</v>
      </c>
      <c r="D1961" t="s">
        <v>303</v>
      </c>
      <c r="E1961">
        <f>YEAR(A1961)</f>
        <v>2014</v>
      </c>
      <c r="F1961" s="33">
        <f>DATE(YEAR(A1961),MONTH(A1961),1)</f>
        <v>41791.0</v>
      </c>
      <c r="G1961" t="str">
        <f>CHOOSE(WEEKDAY(A1961,2),"Mon","Tue","Wed","Thu","Fri","Sat","Sun")</f>
        <v>Sat</v>
      </c>
      <c r="H1961" t="str">
        <f>IF(WEEKDAY(A1961,2)&gt;5,"Weekend","Weekday")</f>
        <v>Weekend</v>
      </c>
      <c r="I1961" t="str">
        <f>_xlfn.IFS(B1961&lt;=5,"Night (0-5)",B1961&lt;=9,"Morning peak (6-9)",B1961&lt;=15,"Midday (10-15)",B1961&lt;=19,"Evening peak (16-19)",TRUE,"Late evening (20-23)")</f>
        <v>Midday (10-15)</v>
      </c>
    </row>
    <row r="1962" spans="1:9">
      <c r="A1962" s="32">
        <v>41811</v>
      </c>
      <c r="B1962">
        <v>16</v>
      </c>
      <c r="C1962">
        <v>1446</v>
      </c>
      <c r="D1962" t="s">
        <v>303</v>
      </c>
      <c r="E1962">
        <f>YEAR(A1962)</f>
        <v>2014</v>
      </c>
      <c r="F1962" s="33">
        <f>DATE(YEAR(A1962),MONTH(A1962),1)</f>
        <v>41791.0</v>
      </c>
      <c r="G1962" t="str">
        <f>CHOOSE(WEEKDAY(A1962,2),"Mon","Tue","Wed","Thu","Fri","Sat","Sun")</f>
        <v>Sat</v>
      </c>
      <c r="H1962" t="str">
        <f>IF(WEEKDAY(A1962,2)&gt;5,"Weekend","Weekday")</f>
        <v>Weekend</v>
      </c>
      <c r="I1962" t="str">
        <f>_xlfn.IFS(B1962&lt;=5,"Night (0-5)",B1962&lt;=9,"Morning peak (6-9)",B1962&lt;=15,"Midday (10-15)",B1962&lt;=19,"Evening peak (16-19)",TRUE,"Late evening (20-23)")</f>
        <v>Evening peak (16-19)</v>
      </c>
    </row>
    <row r="1963" spans="1:9">
      <c r="A1963" s="32">
        <v>41811</v>
      </c>
      <c r="B1963">
        <v>17</v>
      </c>
      <c r="C1963">
        <v>1231</v>
      </c>
      <c r="D1963" t="s">
        <v>303</v>
      </c>
      <c r="E1963">
        <f>YEAR(A1963)</f>
        <v>2014</v>
      </c>
      <c r="F1963" s="33">
        <f>DATE(YEAR(A1963),MONTH(A1963),1)</f>
        <v>41791.0</v>
      </c>
      <c r="G1963" t="str">
        <f>CHOOSE(WEEKDAY(A1963,2),"Mon","Tue","Wed","Thu","Fri","Sat","Sun")</f>
        <v>Sat</v>
      </c>
      <c r="H1963" t="str">
        <f>IF(WEEKDAY(A1963,2)&gt;5,"Weekend","Weekday")</f>
        <v>Weekend</v>
      </c>
      <c r="I1963" t="str">
        <f>_xlfn.IFS(B1963&lt;=5,"Night (0-5)",B1963&lt;=9,"Morning peak (6-9)",B1963&lt;=15,"Midday (10-15)",B1963&lt;=19,"Evening peak (16-19)",TRUE,"Late evening (20-23)")</f>
        <v>Evening peak (16-19)</v>
      </c>
    </row>
    <row r="1964" spans="1:9">
      <c r="A1964" s="32">
        <v>41811</v>
      </c>
      <c r="B1964">
        <v>18</v>
      </c>
      <c r="C1964">
        <v>1364</v>
      </c>
      <c r="D1964" t="s">
        <v>303</v>
      </c>
      <c r="E1964">
        <f>YEAR(A1964)</f>
        <v>2014</v>
      </c>
      <c r="F1964" s="33">
        <f>DATE(YEAR(A1964),MONTH(A1964),1)</f>
        <v>41791.0</v>
      </c>
      <c r="G1964" t="str">
        <f>CHOOSE(WEEKDAY(A1964,2),"Mon","Tue","Wed","Thu","Fri","Sat","Sun")</f>
        <v>Sat</v>
      </c>
      <c r="H1964" t="str">
        <f>IF(WEEKDAY(A1964,2)&gt;5,"Weekend","Weekday")</f>
        <v>Weekend</v>
      </c>
      <c r="I1964" t="str">
        <f>_xlfn.IFS(B1964&lt;=5,"Night (0-5)",B1964&lt;=9,"Morning peak (6-9)",B1964&lt;=15,"Midday (10-15)",B1964&lt;=19,"Evening peak (16-19)",TRUE,"Late evening (20-23)")</f>
        <v>Evening peak (16-19)</v>
      </c>
    </row>
    <row r="1965" spans="1:9">
      <c r="A1965" s="32">
        <v>41811</v>
      </c>
      <c r="B1965">
        <v>19</v>
      </c>
      <c r="C1965">
        <v>1075</v>
      </c>
      <c r="D1965" t="s">
        <v>303</v>
      </c>
      <c r="E1965">
        <f>YEAR(A1965)</f>
        <v>2014</v>
      </c>
      <c r="F1965" s="33">
        <f>DATE(YEAR(A1965),MONTH(A1965),1)</f>
        <v>41791.0</v>
      </c>
      <c r="G1965" t="str">
        <f>CHOOSE(WEEKDAY(A1965,2),"Mon","Tue","Wed","Thu","Fri","Sat","Sun")</f>
        <v>Sat</v>
      </c>
      <c r="H1965" t="str">
        <f>IF(WEEKDAY(A1965,2)&gt;5,"Weekend","Weekday")</f>
        <v>Weekend</v>
      </c>
      <c r="I1965" t="str">
        <f>_xlfn.IFS(B1965&lt;=5,"Night (0-5)",B1965&lt;=9,"Morning peak (6-9)",B1965&lt;=15,"Midday (10-15)",B1965&lt;=19,"Evening peak (16-19)",TRUE,"Late evening (20-23)")</f>
        <v>Evening peak (16-19)</v>
      </c>
    </row>
    <row r="1966" spans="1:9">
      <c r="A1966" s="32">
        <v>41811</v>
      </c>
      <c r="B1966">
        <v>20</v>
      </c>
      <c r="C1966">
        <v>1128</v>
      </c>
      <c r="D1966" t="s">
        <v>303</v>
      </c>
      <c r="E1966">
        <f>YEAR(A1966)</f>
        <v>2014</v>
      </c>
      <c r="F1966" s="33">
        <f>DATE(YEAR(A1966),MONTH(A1966),1)</f>
        <v>41791.0</v>
      </c>
      <c r="G1966" t="str">
        <f>CHOOSE(WEEKDAY(A1966,2),"Mon","Tue","Wed","Thu","Fri","Sat","Sun")</f>
        <v>Sat</v>
      </c>
      <c r="H1966" t="str">
        <f>IF(WEEKDAY(A1966,2)&gt;5,"Weekend","Weekday")</f>
        <v>Weekend</v>
      </c>
      <c r="I1966" t="str">
        <f>_xlfn.IFS(B1966&lt;=5,"Night (0-5)",B1966&lt;=9,"Morning peak (6-9)",B1966&lt;=15,"Midday (10-15)",B1966&lt;=19,"Evening peak (16-19)",TRUE,"Late evening (20-23)")</f>
        <v>Late evening (20-23)</v>
      </c>
    </row>
    <row r="1967" spans="1:9">
      <c r="A1967" s="32">
        <v>41811</v>
      </c>
      <c r="B1967">
        <v>21</v>
      </c>
      <c r="C1967">
        <v>1421</v>
      </c>
      <c r="D1967" t="s">
        <v>303</v>
      </c>
      <c r="E1967">
        <f>YEAR(A1967)</f>
        <v>2014</v>
      </c>
      <c r="F1967" s="33">
        <f>DATE(YEAR(A1967),MONTH(A1967),1)</f>
        <v>41791.0</v>
      </c>
      <c r="G1967" t="str">
        <f>CHOOSE(WEEKDAY(A1967,2),"Mon","Tue","Wed","Thu","Fri","Sat","Sun")</f>
        <v>Sat</v>
      </c>
      <c r="H1967" t="str">
        <f>IF(WEEKDAY(A1967,2)&gt;5,"Weekend","Weekday")</f>
        <v>Weekend</v>
      </c>
      <c r="I1967" t="str">
        <f>_xlfn.IFS(B1967&lt;=5,"Night (0-5)",B1967&lt;=9,"Morning peak (6-9)",B1967&lt;=15,"Midday (10-15)",B1967&lt;=19,"Evening peak (16-19)",TRUE,"Late evening (20-23)")</f>
        <v>Late evening (20-23)</v>
      </c>
    </row>
    <row r="1968" spans="1:9">
      <c r="A1968" s="32">
        <v>41811</v>
      </c>
      <c r="B1968">
        <v>22</v>
      </c>
      <c r="C1968">
        <v>1652</v>
      </c>
      <c r="D1968" t="s">
        <v>303</v>
      </c>
      <c r="E1968">
        <f>YEAR(A1968)</f>
        <v>2014</v>
      </c>
      <c r="F1968" s="33">
        <f>DATE(YEAR(A1968),MONTH(A1968),1)</f>
        <v>41791.0</v>
      </c>
      <c r="G1968" t="str">
        <f>CHOOSE(WEEKDAY(A1968,2),"Mon","Tue","Wed","Thu","Fri","Sat","Sun")</f>
        <v>Sat</v>
      </c>
      <c r="H1968" t="str">
        <f>IF(WEEKDAY(A1968,2)&gt;5,"Weekend","Weekday")</f>
        <v>Weekend</v>
      </c>
      <c r="I1968" t="str">
        <f>_xlfn.IFS(B1968&lt;=5,"Night (0-5)",B1968&lt;=9,"Morning peak (6-9)",B1968&lt;=15,"Midday (10-15)",B1968&lt;=19,"Evening peak (16-19)",TRUE,"Late evening (20-23)")</f>
        <v>Late evening (20-23)</v>
      </c>
    </row>
    <row r="1969" spans="1:9">
      <c r="A1969" s="32">
        <v>41811</v>
      </c>
      <c r="B1969">
        <v>23</v>
      </c>
      <c r="C1969">
        <v>1386</v>
      </c>
      <c r="D1969" t="s">
        <v>303</v>
      </c>
      <c r="E1969">
        <f>YEAR(A1969)</f>
        <v>2014</v>
      </c>
      <c r="F1969" s="33">
        <f>DATE(YEAR(A1969),MONTH(A1969),1)</f>
        <v>41791.0</v>
      </c>
      <c r="G1969" t="str">
        <f>CHOOSE(WEEKDAY(A1969,2),"Mon","Tue","Wed","Thu","Fri","Sat","Sun")</f>
        <v>Sat</v>
      </c>
      <c r="H1969" t="str">
        <f>IF(WEEKDAY(A1969,2)&gt;5,"Weekend","Weekday")</f>
        <v>Weekend</v>
      </c>
      <c r="I1969" t="str">
        <f>_xlfn.IFS(B1969&lt;=5,"Night (0-5)",B1969&lt;=9,"Morning peak (6-9)",B1969&lt;=15,"Midday (10-15)",B1969&lt;=19,"Evening peak (16-19)",TRUE,"Late evening (20-23)")</f>
        <v>Late evening (20-23)</v>
      </c>
    </row>
    <row r="1970" spans="1:9">
      <c r="A1970" s="32">
        <v>41812</v>
      </c>
      <c r="B1970">
        <v>0</v>
      </c>
      <c r="C1970">
        <v>998</v>
      </c>
      <c r="D1970" t="s">
        <v>303</v>
      </c>
      <c r="E1970">
        <f>YEAR(A1970)</f>
        <v>2014</v>
      </c>
      <c r="F1970" s="33">
        <f>DATE(YEAR(A1970),MONTH(A1970),1)</f>
        <v>41791.0</v>
      </c>
      <c r="G1970" t="str">
        <f>CHOOSE(WEEKDAY(A1970,2),"Mon","Tue","Wed","Thu","Fri","Sat","Sun")</f>
        <v>Sun</v>
      </c>
      <c r="H1970" t="str">
        <f>IF(WEEKDAY(A1970,2)&gt;5,"Weekend","Weekday")</f>
        <v>Weekend</v>
      </c>
      <c r="I1970" t="str">
        <f>_xlfn.IFS(B1970&lt;=5,"Night (0-5)",B1970&lt;=9,"Morning peak (6-9)",B1970&lt;=15,"Midday (10-15)",B1970&lt;=19,"Evening peak (16-19)",TRUE,"Late evening (20-23)")</f>
        <v>Night (0-5)</v>
      </c>
    </row>
    <row r="1971" spans="1:9">
      <c r="A1971" s="32">
        <v>41812</v>
      </c>
      <c r="B1971">
        <v>1</v>
      </c>
      <c r="C1971">
        <v>687</v>
      </c>
      <c r="D1971" t="s">
        <v>303</v>
      </c>
      <c r="E1971">
        <f>YEAR(A1971)</f>
        <v>2014</v>
      </c>
      <c r="F1971" s="33">
        <f>DATE(YEAR(A1971),MONTH(A1971),1)</f>
        <v>41791.0</v>
      </c>
      <c r="G1971" t="str">
        <f>CHOOSE(WEEKDAY(A1971,2),"Mon","Tue","Wed","Thu","Fri","Sat","Sun")</f>
        <v>Sun</v>
      </c>
      <c r="H1971" t="str">
        <f>IF(WEEKDAY(A1971,2)&gt;5,"Weekend","Weekday")</f>
        <v>Weekend</v>
      </c>
      <c r="I1971" t="str">
        <f>_xlfn.IFS(B1971&lt;=5,"Night (0-5)",B1971&lt;=9,"Morning peak (6-9)",B1971&lt;=15,"Midday (10-15)",B1971&lt;=19,"Evening peak (16-19)",TRUE,"Late evening (20-23)")</f>
        <v>Night (0-5)</v>
      </c>
    </row>
    <row r="1972" spans="1:9">
      <c r="A1972" s="32">
        <v>41812</v>
      </c>
      <c r="B1972">
        <v>2</v>
      </c>
      <c r="C1972">
        <v>453</v>
      </c>
      <c r="D1972" t="s">
        <v>303</v>
      </c>
      <c r="E1972">
        <f>YEAR(A1972)</f>
        <v>2014</v>
      </c>
      <c r="F1972" s="33">
        <f>DATE(YEAR(A1972),MONTH(A1972),1)</f>
        <v>41791.0</v>
      </c>
      <c r="G1972" t="str">
        <f>CHOOSE(WEEKDAY(A1972,2),"Mon","Tue","Wed","Thu","Fri","Sat","Sun")</f>
        <v>Sun</v>
      </c>
      <c r="H1972" t="str">
        <f>IF(WEEKDAY(A1972,2)&gt;5,"Weekend","Weekday")</f>
        <v>Weekend</v>
      </c>
      <c r="I1972" t="str">
        <f>_xlfn.IFS(B1972&lt;=5,"Night (0-5)",B1972&lt;=9,"Morning peak (6-9)",B1972&lt;=15,"Midday (10-15)",B1972&lt;=19,"Evening peak (16-19)",TRUE,"Late evening (20-23)")</f>
        <v>Night (0-5)</v>
      </c>
    </row>
    <row r="1973" spans="1:9">
      <c r="A1973" s="32">
        <v>41812</v>
      </c>
      <c r="B1973">
        <v>3</v>
      </c>
      <c r="C1973">
        <v>321</v>
      </c>
      <c r="D1973" t="s">
        <v>303</v>
      </c>
      <c r="E1973">
        <f>YEAR(A1973)</f>
        <v>2014</v>
      </c>
      <c r="F1973" s="33">
        <f>DATE(YEAR(A1973),MONTH(A1973),1)</f>
        <v>41791.0</v>
      </c>
      <c r="G1973" t="str">
        <f>CHOOSE(WEEKDAY(A1973,2),"Mon","Tue","Wed","Thu","Fri","Sat","Sun")</f>
        <v>Sun</v>
      </c>
      <c r="H1973" t="str">
        <f>IF(WEEKDAY(A1973,2)&gt;5,"Weekend","Weekday")</f>
        <v>Weekend</v>
      </c>
      <c r="I1973" t="str">
        <f>_xlfn.IFS(B1973&lt;=5,"Night (0-5)",B1973&lt;=9,"Morning peak (6-9)",B1973&lt;=15,"Midday (10-15)",B1973&lt;=19,"Evening peak (16-19)",TRUE,"Late evening (20-23)")</f>
        <v>Night (0-5)</v>
      </c>
    </row>
    <row r="1974" spans="1:9">
      <c r="A1974" s="32">
        <v>41812</v>
      </c>
      <c r="B1974">
        <v>4</v>
      </c>
      <c r="C1974">
        <v>184</v>
      </c>
      <c r="D1974" t="s">
        <v>303</v>
      </c>
      <c r="E1974">
        <f>YEAR(A1974)</f>
        <v>2014</v>
      </c>
      <c r="F1974" s="33">
        <f>DATE(YEAR(A1974),MONTH(A1974),1)</f>
        <v>41791.0</v>
      </c>
      <c r="G1974" t="str">
        <f>CHOOSE(WEEKDAY(A1974,2),"Mon","Tue","Wed","Thu","Fri","Sat","Sun")</f>
        <v>Sun</v>
      </c>
      <c r="H1974" t="str">
        <f>IF(WEEKDAY(A1974,2)&gt;5,"Weekend","Weekday")</f>
        <v>Weekend</v>
      </c>
      <c r="I1974" t="str">
        <f>_xlfn.IFS(B1974&lt;=5,"Night (0-5)",B1974&lt;=9,"Morning peak (6-9)",B1974&lt;=15,"Midday (10-15)",B1974&lt;=19,"Evening peak (16-19)",TRUE,"Late evening (20-23)")</f>
        <v>Night (0-5)</v>
      </c>
    </row>
    <row r="1975" spans="1:9">
      <c r="A1975" s="32">
        <v>41812</v>
      </c>
      <c r="B1975">
        <v>5</v>
      </c>
      <c r="C1975">
        <v>207</v>
      </c>
      <c r="D1975" t="s">
        <v>303</v>
      </c>
      <c r="E1975">
        <f>YEAR(A1975)</f>
        <v>2014</v>
      </c>
      <c r="F1975" s="33">
        <f>DATE(YEAR(A1975),MONTH(A1975),1)</f>
        <v>41791.0</v>
      </c>
      <c r="G1975" t="str">
        <f>CHOOSE(WEEKDAY(A1975,2),"Mon","Tue","Wed","Thu","Fri","Sat","Sun")</f>
        <v>Sun</v>
      </c>
      <c r="H1975" t="str">
        <f>IF(WEEKDAY(A1975,2)&gt;5,"Weekend","Weekday")</f>
        <v>Weekend</v>
      </c>
      <c r="I1975" t="str">
        <f>_xlfn.IFS(B1975&lt;=5,"Night (0-5)",B1975&lt;=9,"Morning peak (6-9)",B1975&lt;=15,"Midday (10-15)",B1975&lt;=19,"Evening peak (16-19)",TRUE,"Late evening (20-23)")</f>
        <v>Night (0-5)</v>
      </c>
    </row>
    <row r="1976" spans="1:9">
      <c r="A1976" s="32">
        <v>41812</v>
      </c>
      <c r="B1976">
        <v>6</v>
      </c>
      <c r="C1976">
        <v>210</v>
      </c>
      <c r="D1976" t="s">
        <v>303</v>
      </c>
      <c r="E1976">
        <f>YEAR(A1976)</f>
        <v>2014</v>
      </c>
      <c r="F1976" s="33">
        <f>DATE(YEAR(A1976),MONTH(A1976),1)</f>
        <v>41791.0</v>
      </c>
      <c r="G1976" t="str">
        <f>CHOOSE(WEEKDAY(A1976,2),"Mon","Tue","Wed","Thu","Fri","Sat","Sun")</f>
        <v>Sun</v>
      </c>
      <c r="H1976" t="str">
        <f>IF(WEEKDAY(A1976,2)&gt;5,"Weekend","Weekday")</f>
        <v>Weekend</v>
      </c>
      <c r="I1976" t="str">
        <f>_xlfn.IFS(B1976&lt;=5,"Night (0-5)",B1976&lt;=9,"Morning peak (6-9)",B1976&lt;=15,"Midday (10-15)",B1976&lt;=19,"Evening peak (16-19)",TRUE,"Late evening (20-23)")</f>
        <v>Morning peak (6-9)</v>
      </c>
    </row>
    <row r="1977" spans="1:9">
      <c r="A1977" s="32">
        <v>41812</v>
      </c>
      <c r="B1977">
        <v>7</v>
      </c>
      <c r="C1977">
        <v>239</v>
      </c>
      <c r="D1977" t="s">
        <v>303</v>
      </c>
      <c r="E1977">
        <f>YEAR(A1977)</f>
        <v>2014</v>
      </c>
      <c r="F1977" s="33">
        <f>DATE(YEAR(A1977),MONTH(A1977),1)</f>
        <v>41791.0</v>
      </c>
      <c r="G1977" t="str">
        <f>CHOOSE(WEEKDAY(A1977,2),"Mon","Tue","Wed","Thu","Fri","Sat","Sun")</f>
        <v>Sun</v>
      </c>
      <c r="H1977" t="str">
        <f>IF(WEEKDAY(A1977,2)&gt;5,"Weekend","Weekday")</f>
        <v>Weekend</v>
      </c>
      <c r="I1977" t="str">
        <f>_xlfn.IFS(B1977&lt;=5,"Night (0-5)",B1977&lt;=9,"Morning peak (6-9)",B1977&lt;=15,"Midday (10-15)",B1977&lt;=19,"Evening peak (16-19)",TRUE,"Late evening (20-23)")</f>
        <v>Morning peak (6-9)</v>
      </c>
    </row>
    <row r="1978" spans="1:9">
      <c r="A1978" s="32">
        <v>41812</v>
      </c>
      <c r="B1978">
        <v>8</v>
      </c>
      <c r="C1978">
        <v>391</v>
      </c>
      <c r="D1978" t="s">
        <v>303</v>
      </c>
      <c r="E1978">
        <f>YEAR(A1978)</f>
        <v>2014</v>
      </c>
      <c r="F1978" s="33">
        <f>DATE(YEAR(A1978),MONTH(A1978),1)</f>
        <v>41791.0</v>
      </c>
      <c r="G1978" t="str">
        <f>CHOOSE(WEEKDAY(A1978,2),"Mon","Tue","Wed","Thu","Fri","Sat","Sun")</f>
        <v>Sun</v>
      </c>
      <c r="H1978" t="str">
        <f>IF(WEEKDAY(A1978,2)&gt;5,"Weekend","Weekday")</f>
        <v>Weekend</v>
      </c>
      <c r="I1978" t="str">
        <f>_xlfn.IFS(B1978&lt;=5,"Night (0-5)",B1978&lt;=9,"Morning peak (6-9)",B1978&lt;=15,"Midday (10-15)",B1978&lt;=19,"Evening peak (16-19)",TRUE,"Late evening (20-23)")</f>
        <v>Morning peak (6-9)</v>
      </c>
    </row>
    <row r="1979" spans="1:9">
      <c r="A1979" s="32">
        <v>41812</v>
      </c>
      <c r="B1979">
        <v>9</v>
      </c>
      <c r="C1979">
        <v>529</v>
      </c>
      <c r="D1979" t="s">
        <v>303</v>
      </c>
      <c r="E1979">
        <f>YEAR(A1979)</f>
        <v>2014</v>
      </c>
      <c r="F1979" s="33">
        <f>DATE(YEAR(A1979),MONTH(A1979),1)</f>
        <v>41791.0</v>
      </c>
      <c r="G1979" t="str">
        <f>CHOOSE(WEEKDAY(A1979,2),"Mon","Tue","Wed","Thu","Fri","Sat","Sun")</f>
        <v>Sun</v>
      </c>
      <c r="H1979" t="str">
        <f>IF(WEEKDAY(A1979,2)&gt;5,"Weekend","Weekday")</f>
        <v>Weekend</v>
      </c>
      <c r="I1979" t="str">
        <f>_xlfn.IFS(B1979&lt;=5,"Night (0-5)",B1979&lt;=9,"Morning peak (6-9)",B1979&lt;=15,"Midday (10-15)",B1979&lt;=19,"Evening peak (16-19)",TRUE,"Late evening (20-23)")</f>
        <v>Morning peak (6-9)</v>
      </c>
    </row>
    <row r="1980" spans="1:9">
      <c r="A1980" s="32">
        <v>41812</v>
      </c>
      <c r="B1980">
        <v>10</v>
      </c>
      <c r="C1980">
        <v>635</v>
      </c>
      <c r="D1980" t="s">
        <v>303</v>
      </c>
      <c r="E1980">
        <f>YEAR(A1980)</f>
        <v>2014</v>
      </c>
      <c r="F1980" s="33">
        <f>DATE(YEAR(A1980),MONTH(A1980),1)</f>
        <v>41791.0</v>
      </c>
      <c r="G1980" t="str">
        <f>CHOOSE(WEEKDAY(A1980,2),"Mon","Tue","Wed","Thu","Fri","Sat","Sun")</f>
        <v>Sun</v>
      </c>
      <c r="H1980" t="str">
        <f>IF(WEEKDAY(A1980,2)&gt;5,"Weekend","Weekday")</f>
        <v>Weekend</v>
      </c>
      <c r="I1980" t="str">
        <f>_xlfn.IFS(B1980&lt;=5,"Night (0-5)",B1980&lt;=9,"Morning peak (6-9)",B1980&lt;=15,"Midday (10-15)",B1980&lt;=19,"Evening peak (16-19)",TRUE,"Late evening (20-23)")</f>
        <v>Midday (10-15)</v>
      </c>
    </row>
    <row r="1981" spans="1:9">
      <c r="A1981" s="32">
        <v>41812</v>
      </c>
      <c r="B1981">
        <v>11</v>
      </c>
      <c r="C1981">
        <v>743</v>
      </c>
      <c r="D1981" t="s">
        <v>303</v>
      </c>
      <c r="E1981">
        <f>YEAR(A1981)</f>
        <v>2014</v>
      </c>
      <c r="F1981" s="33">
        <f>DATE(YEAR(A1981),MONTH(A1981),1)</f>
        <v>41791.0</v>
      </c>
      <c r="G1981" t="str">
        <f>CHOOSE(WEEKDAY(A1981,2),"Mon","Tue","Wed","Thu","Fri","Sat","Sun")</f>
        <v>Sun</v>
      </c>
      <c r="H1981" t="str">
        <f>IF(WEEKDAY(A1981,2)&gt;5,"Weekend","Weekday")</f>
        <v>Weekend</v>
      </c>
      <c r="I1981" t="str">
        <f>_xlfn.IFS(B1981&lt;=5,"Night (0-5)",B1981&lt;=9,"Morning peak (6-9)",B1981&lt;=15,"Midday (10-15)",B1981&lt;=19,"Evening peak (16-19)",TRUE,"Late evening (20-23)")</f>
        <v>Midday (10-15)</v>
      </c>
    </row>
    <row r="1982" spans="1:9">
      <c r="A1982" s="32">
        <v>41812</v>
      </c>
      <c r="B1982">
        <v>12</v>
      </c>
      <c r="C1982">
        <v>844</v>
      </c>
      <c r="D1982" t="s">
        <v>303</v>
      </c>
      <c r="E1982">
        <f>YEAR(A1982)</f>
        <v>2014</v>
      </c>
      <c r="F1982" s="33">
        <f>DATE(YEAR(A1982),MONTH(A1982),1)</f>
        <v>41791.0</v>
      </c>
      <c r="G1982" t="str">
        <f>CHOOSE(WEEKDAY(A1982,2),"Mon","Tue","Wed","Thu","Fri","Sat","Sun")</f>
        <v>Sun</v>
      </c>
      <c r="H1982" t="str">
        <f>IF(WEEKDAY(A1982,2)&gt;5,"Weekend","Weekday")</f>
        <v>Weekend</v>
      </c>
      <c r="I1982" t="str">
        <f>_xlfn.IFS(B1982&lt;=5,"Night (0-5)",B1982&lt;=9,"Morning peak (6-9)",B1982&lt;=15,"Midday (10-15)",B1982&lt;=19,"Evening peak (16-19)",TRUE,"Late evening (20-23)")</f>
        <v>Midday (10-15)</v>
      </c>
    </row>
    <row r="1983" spans="1:9">
      <c r="A1983" s="32">
        <v>41812</v>
      </c>
      <c r="B1983">
        <v>13</v>
      </c>
      <c r="C1983">
        <v>862</v>
      </c>
      <c r="D1983" t="s">
        <v>303</v>
      </c>
      <c r="E1983">
        <f>YEAR(A1983)</f>
        <v>2014</v>
      </c>
      <c r="F1983" s="33">
        <f>DATE(YEAR(A1983),MONTH(A1983),1)</f>
        <v>41791.0</v>
      </c>
      <c r="G1983" t="str">
        <f>CHOOSE(WEEKDAY(A1983,2),"Mon","Tue","Wed","Thu","Fri","Sat","Sun")</f>
        <v>Sun</v>
      </c>
      <c r="H1983" t="str">
        <f>IF(WEEKDAY(A1983,2)&gt;5,"Weekend","Weekday")</f>
        <v>Weekend</v>
      </c>
      <c r="I1983" t="str">
        <f>_xlfn.IFS(B1983&lt;=5,"Night (0-5)",B1983&lt;=9,"Morning peak (6-9)",B1983&lt;=15,"Midday (10-15)",B1983&lt;=19,"Evening peak (16-19)",TRUE,"Late evening (20-23)")</f>
        <v>Midday (10-15)</v>
      </c>
    </row>
    <row r="1984" spans="1:9">
      <c r="A1984" s="32">
        <v>41812</v>
      </c>
      <c r="B1984">
        <v>14</v>
      </c>
      <c r="C1984">
        <v>921</v>
      </c>
      <c r="D1984" t="s">
        <v>303</v>
      </c>
      <c r="E1984">
        <f>YEAR(A1984)</f>
        <v>2014</v>
      </c>
      <c r="F1984" s="33">
        <f>DATE(YEAR(A1984),MONTH(A1984),1)</f>
        <v>41791.0</v>
      </c>
      <c r="G1984" t="str">
        <f>CHOOSE(WEEKDAY(A1984,2),"Mon","Tue","Wed","Thu","Fri","Sat","Sun")</f>
        <v>Sun</v>
      </c>
      <c r="H1984" t="str">
        <f>IF(WEEKDAY(A1984,2)&gt;5,"Weekend","Weekday")</f>
        <v>Weekend</v>
      </c>
      <c r="I1984" t="str">
        <f>_xlfn.IFS(B1984&lt;=5,"Night (0-5)",B1984&lt;=9,"Morning peak (6-9)",B1984&lt;=15,"Midday (10-15)",B1984&lt;=19,"Evening peak (16-19)",TRUE,"Late evening (20-23)")</f>
        <v>Midday (10-15)</v>
      </c>
    </row>
    <row r="1985" spans="1:9">
      <c r="A1985" s="32">
        <v>41812</v>
      </c>
      <c r="B1985">
        <v>15</v>
      </c>
      <c r="C1985">
        <v>1146</v>
      </c>
      <c r="D1985" t="s">
        <v>303</v>
      </c>
      <c r="E1985">
        <f>YEAR(A1985)</f>
        <v>2014</v>
      </c>
      <c r="F1985" s="33">
        <f>DATE(YEAR(A1985),MONTH(A1985),1)</f>
        <v>41791.0</v>
      </c>
      <c r="G1985" t="str">
        <f>CHOOSE(WEEKDAY(A1985,2),"Mon","Tue","Wed","Thu","Fri","Sat","Sun")</f>
        <v>Sun</v>
      </c>
      <c r="H1985" t="str">
        <f>IF(WEEKDAY(A1985,2)&gt;5,"Weekend","Weekday")</f>
        <v>Weekend</v>
      </c>
      <c r="I1985" t="str">
        <f>_xlfn.IFS(B1985&lt;=5,"Night (0-5)",B1985&lt;=9,"Morning peak (6-9)",B1985&lt;=15,"Midday (10-15)",B1985&lt;=19,"Evening peak (16-19)",TRUE,"Late evening (20-23)")</f>
        <v>Midday (10-15)</v>
      </c>
    </row>
    <row r="1986" spans="1:9">
      <c r="A1986" s="32">
        <v>41812</v>
      </c>
      <c r="B1986">
        <v>16</v>
      </c>
      <c r="C1986">
        <v>1304</v>
      </c>
      <c r="D1986" t="s">
        <v>303</v>
      </c>
      <c r="E1986">
        <f>YEAR(A1986)</f>
        <v>2014</v>
      </c>
      <c r="F1986" s="33">
        <f>DATE(YEAR(A1986),MONTH(A1986),1)</f>
        <v>41791.0</v>
      </c>
      <c r="G1986" t="str">
        <f>CHOOSE(WEEKDAY(A1986,2),"Mon","Tue","Wed","Thu","Fri","Sat","Sun")</f>
        <v>Sun</v>
      </c>
      <c r="H1986" t="str">
        <f>IF(WEEKDAY(A1986,2)&gt;5,"Weekend","Weekday")</f>
        <v>Weekend</v>
      </c>
      <c r="I1986" t="str">
        <f>_xlfn.IFS(B1986&lt;=5,"Night (0-5)",B1986&lt;=9,"Morning peak (6-9)",B1986&lt;=15,"Midday (10-15)",B1986&lt;=19,"Evening peak (16-19)",TRUE,"Late evening (20-23)")</f>
        <v>Evening peak (16-19)</v>
      </c>
    </row>
    <row r="1987" spans="1:9">
      <c r="A1987" s="32">
        <v>41812</v>
      </c>
      <c r="B1987">
        <v>17</v>
      </c>
      <c r="C1987">
        <v>1008</v>
      </c>
      <c r="D1987" t="s">
        <v>303</v>
      </c>
      <c r="E1987">
        <f>YEAR(A1987)</f>
        <v>2014</v>
      </c>
      <c r="F1987" s="33">
        <f>DATE(YEAR(A1987),MONTH(A1987),1)</f>
        <v>41791.0</v>
      </c>
      <c r="G1987" t="str">
        <f>CHOOSE(WEEKDAY(A1987,2),"Mon","Tue","Wed","Thu","Fri","Sat","Sun")</f>
        <v>Sun</v>
      </c>
      <c r="H1987" t="str">
        <f>IF(WEEKDAY(A1987,2)&gt;5,"Weekend","Weekday")</f>
        <v>Weekend</v>
      </c>
      <c r="I1987" t="str">
        <f>_xlfn.IFS(B1987&lt;=5,"Night (0-5)",B1987&lt;=9,"Morning peak (6-9)",B1987&lt;=15,"Midday (10-15)",B1987&lt;=19,"Evening peak (16-19)",TRUE,"Late evening (20-23)")</f>
        <v>Evening peak (16-19)</v>
      </c>
    </row>
    <row r="1988" spans="1:9">
      <c r="A1988" s="32">
        <v>41812</v>
      </c>
      <c r="B1988">
        <v>18</v>
      </c>
      <c r="C1988">
        <v>712</v>
      </c>
      <c r="D1988" t="s">
        <v>303</v>
      </c>
      <c r="E1988">
        <f>YEAR(A1988)</f>
        <v>2014</v>
      </c>
      <c r="F1988" s="33">
        <f>DATE(YEAR(A1988),MONTH(A1988),1)</f>
        <v>41791.0</v>
      </c>
      <c r="G1988" t="str">
        <f>CHOOSE(WEEKDAY(A1988,2),"Mon","Tue","Wed","Thu","Fri","Sat","Sun")</f>
        <v>Sun</v>
      </c>
      <c r="H1988" t="str">
        <f>IF(WEEKDAY(A1988,2)&gt;5,"Weekend","Weekday")</f>
        <v>Weekend</v>
      </c>
      <c r="I1988" t="str">
        <f>_xlfn.IFS(B1988&lt;=5,"Night (0-5)",B1988&lt;=9,"Morning peak (6-9)",B1988&lt;=15,"Midday (10-15)",B1988&lt;=19,"Evening peak (16-19)",TRUE,"Late evening (20-23)")</f>
        <v>Evening peak (16-19)</v>
      </c>
    </row>
    <row r="1989" spans="1:9">
      <c r="A1989" s="32">
        <v>41812</v>
      </c>
      <c r="B1989">
        <v>19</v>
      </c>
      <c r="C1989">
        <v>1021</v>
      </c>
      <c r="D1989" t="s">
        <v>303</v>
      </c>
      <c r="E1989">
        <f>YEAR(A1989)</f>
        <v>2014</v>
      </c>
      <c r="F1989" s="33">
        <f>DATE(YEAR(A1989),MONTH(A1989),1)</f>
        <v>41791.0</v>
      </c>
      <c r="G1989" t="str">
        <f>CHOOSE(WEEKDAY(A1989,2),"Mon","Tue","Wed","Thu","Fri","Sat","Sun")</f>
        <v>Sun</v>
      </c>
      <c r="H1989" t="str">
        <f>IF(WEEKDAY(A1989,2)&gt;5,"Weekend","Weekday")</f>
        <v>Weekend</v>
      </c>
      <c r="I1989" t="str">
        <f>_xlfn.IFS(B1989&lt;=5,"Night (0-5)",B1989&lt;=9,"Morning peak (6-9)",B1989&lt;=15,"Midday (10-15)",B1989&lt;=19,"Evening peak (16-19)",TRUE,"Late evening (20-23)")</f>
        <v>Evening peak (16-19)</v>
      </c>
    </row>
    <row r="1990" spans="1:9">
      <c r="A1990" s="32">
        <v>41812</v>
      </c>
      <c r="B1990">
        <v>20</v>
      </c>
      <c r="C1990">
        <v>867</v>
      </c>
      <c r="D1990" t="s">
        <v>303</v>
      </c>
      <c r="E1990">
        <f>YEAR(A1990)</f>
        <v>2014</v>
      </c>
      <c r="F1990" s="33">
        <f>DATE(YEAR(A1990),MONTH(A1990),1)</f>
        <v>41791.0</v>
      </c>
      <c r="G1990" t="str">
        <f>CHOOSE(WEEKDAY(A1990,2),"Mon","Tue","Wed","Thu","Fri","Sat","Sun")</f>
        <v>Sun</v>
      </c>
      <c r="H1990" t="str">
        <f>IF(WEEKDAY(A1990,2)&gt;5,"Weekend","Weekday")</f>
        <v>Weekend</v>
      </c>
      <c r="I1990" t="str">
        <f>_xlfn.IFS(B1990&lt;=5,"Night (0-5)",B1990&lt;=9,"Morning peak (6-9)",B1990&lt;=15,"Midday (10-15)",B1990&lt;=19,"Evening peak (16-19)",TRUE,"Late evening (20-23)")</f>
        <v>Late evening (20-23)</v>
      </c>
    </row>
    <row r="1991" spans="1:9">
      <c r="A1991" s="32">
        <v>41812</v>
      </c>
      <c r="B1991">
        <v>21</v>
      </c>
      <c r="C1991">
        <v>917</v>
      </c>
      <c r="D1991" t="s">
        <v>303</v>
      </c>
      <c r="E1991">
        <f>YEAR(A1991)</f>
        <v>2014</v>
      </c>
      <c r="F1991" s="33">
        <f>DATE(YEAR(A1991),MONTH(A1991),1)</f>
        <v>41791.0</v>
      </c>
      <c r="G1991" t="str">
        <f>CHOOSE(WEEKDAY(A1991,2),"Mon","Tue","Wed","Thu","Fri","Sat","Sun")</f>
        <v>Sun</v>
      </c>
      <c r="H1991" t="str">
        <f>IF(WEEKDAY(A1991,2)&gt;5,"Weekend","Weekday")</f>
        <v>Weekend</v>
      </c>
      <c r="I1991" t="str">
        <f>_xlfn.IFS(B1991&lt;=5,"Night (0-5)",B1991&lt;=9,"Morning peak (6-9)",B1991&lt;=15,"Midday (10-15)",B1991&lt;=19,"Evening peak (16-19)",TRUE,"Late evening (20-23)")</f>
        <v>Late evening (20-23)</v>
      </c>
    </row>
    <row r="1992" spans="1:9">
      <c r="A1992" s="32">
        <v>41812</v>
      </c>
      <c r="B1992">
        <v>22</v>
      </c>
      <c r="C1992">
        <v>755</v>
      </c>
      <c r="D1992" t="s">
        <v>303</v>
      </c>
      <c r="E1992">
        <f>YEAR(A1992)</f>
        <v>2014</v>
      </c>
      <c r="F1992" s="33">
        <f>DATE(YEAR(A1992),MONTH(A1992),1)</f>
        <v>41791.0</v>
      </c>
      <c r="G1992" t="str">
        <f>CHOOSE(WEEKDAY(A1992,2),"Mon","Tue","Wed","Thu","Fri","Sat","Sun")</f>
        <v>Sun</v>
      </c>
      <c r="H1992" t="str">
        <f>IF(WEEKDAY(A1992,2)&gt;5,"Weekend","Weekday")</f>
        <v>Weekend</v>
      </c>
      <c r="I1992" t="str">
        <f>_xlfn.IFS(B1992&lt;=5,"Night (0-5)",B1992&lt;=9,"Morning peak (6-9)",B1992&lt;=15,"Midday (10-15)",B1992&lt;=19,"Evening peak (16-19)",TRUE,"Late evening (20-23)")</f>
        <v>Late evening (20-23)</v>
      </c>
    </row>
    <row r="1993" spans="1:9">
      <c r="A1993" s="32">
        <v>41812</v>
      </c>
      <c r="B1993">
        <v>23</v>
      </c>
      <c r="C1993">
        <v>368</v>
      </c>
      <c r="D1993" t="s">
        <v>303</v>
      </c>
      <c r="E1993">
        <f>YEAR(A1993)</f>
        <v>2014</v>
      </c>
      <c r="F1993" s="33">
        <f>DATE(YEAR(A1993),MONTH(A1993),1)</f>
        <v>41791.0</v>
      </c>
      <c r="G1993" t="str">
        <f>CHOOSE(WEEKDAY(A1993,2),"Mon","Tue","Wed","Thu","Fri","Sat","Sun")</f>
        <v>Sun</v>
      </c>
      <c r="H1993" t="str">
        <f>IF(WEEKDAY(A1993,2)&gt;5,"Weekend","Weekday")</f>
        <v>Weekend</v>
      </c>
      <c r="I1993" t="str">
        <f>_xlfn.IFS(B1993&lt;=5,"Night (0-5)",B1993&lt;=9,"Morning peak (6-9)",B1993&lt;=15,"Midday (10-15)",B1993&lt;=19,"Evening peak (16-19)",TRUE,"Late evening (20-23)")</f>
        <v>Late evening (20-23)</v>
      </c>
    </row>
    <row r="1994" spans="1:9">
      <c r="A1994" s="32">
        <v>41813</v>
      </c>
      <c r="B1994">
        <v>0</v>
      </c>
      <c r="C1994">
        <v>157</v>
      </c>
      <c r="D1994" t="s">
        <v>303</v>
      </c>
      <c r="E1994">
        <f>YEAR(A1994)</f>
        <v>2014</v>
      </c>
      <c r="F1994" s="33">
        <f>DATE(YEAR(A1994),MONTH(A1994),1)</f>
        <v>41791.0</v>
      </c>
      <c r="G1994" t="str">
        <f>CHOOSE(WEEKDAY(A1994,2),"Mon","Tue","Wed","Thu","Fri","Sat","Sun")</f>
        <v>Mon</v>
      </c>
      <c r="H1994" t="str">
        <f>IF(WEEKDAY(A1994,2)&gt;5,"Weekend","Weekday")</f>
        <v>Weekday</v>
      </c>
      <c r="I1994" t="str">
        <f>_xlfn.IFS(B1994&lt;=5,"Night (0-5)",B1994&lt;=9,"Morning peak (6-9)",B1994&lt;=15,"Midday (10-15)",B1994&lt;=19,"Evening peak (16-19)",TRUE,"Late evening (20-23)")</f>
        <v>Night (0-5)</v>
      </c>
    </row>
    <row r="1995" spans="1:9">
      <c r="A1995" s="32">
        <v>41813</v>
      </c>
      <c r="B1995">
        <v>1</v>
      </c>
      <c r="C1995">
        <v>101</v>
      </c>
      <c r="D1995" t="s">
        <v>303</v>
      </c>
      <c r="E1995">
        <f>YEAR(A1995)</f>
        <v>2014</v>
      </c>
      <c r="F1995" s="33">
        <f>DATE(YEAR(A1995),MONTH(A1995),1)</f>
        <v>41791.0</v>
      </c>
      <c r="G1995" t="str">
        <f>CHOOSE(WEEKDAY(A1995,2),"Mon","Tue","Wed","Thu","Fri","Sat","Sun")</f>
        <v>Mon</v>
      </c>
      <c r="H1995" t="str">
        <f>IF(WEEKDAY(A1995,2)&gt;5,"Weekend","Weekday")</f>
        <v>Weekday</v>
      </c>
      <c r="I1995" t="str">
        <f>_xlfn.IFS(B1995&lt;=5,"Night (0-5)",B1995&lt;=9,"Morning peak (6-9)",B1995&lt;=15,"Midday (10-15)",B1995&lt;=19,"Evening peak (16-19)",TRUE,"Late evening (20-23)")</f>
        <v>Night (0-5)</v>
      </c>
    </row>
    <row r="1996" spans="1:9">
      <c r="A1996" s="32">
        <v>41813</v>
      </c>
      <c r="B1996">
        <v>2</v>
      </c>
      <c r="C1996">
        <v>80</v>
      </c>
      <c r="D1996" t="s">
        <v>303</v>
      </c>
      <c r="E1996">
        <f>YEAR(A1996)</f>
        <v>2014</v>
      </c>
      <c r="F1996" s="33">
        <f>DATE(YEAR(A1996),MONTH(A1996),1)</f>
        <v>41791.0</v>
      </c>
      <c r="G1996" t="str">
        <f>CHOOSE(WEEKDAY(A1996,2),"Mon","Tue","Wed","Thu","Fri","Sat","Sun")</f>
        <v>Mon</v>
      </c>
      <c r="H1996" t="str">
        <f>IF(WEEKDAY(A1996,2)&gt;5,"Weekend","Weekday")</f>
        <v>Weekday</v>
      </c>
      <c r="I1996" t="str">
        <f>_xlfn.IFS(B1996&lt;=5,"Night (0-5)",B1996&lt;=9,"Morning peak (6-9)",B1996&lt;=15,"Midday (10-15)",B1996&lt;=19,"Evening peak (16-19)",TRUE,"Late evening (20-23)")</f>
        <v>Night (0-5)</v>
      </c>
    </row>
    <row r="1997" spans="1:9">
      <c r="A1997" s="32">
        <v>41813</v>
      </c>
      <c r="B1997">
        <v>3</v>
      </c>
      <c r="C1997">
        <v>225</v>
      </c>
      <c r="D1997" t="s">
        <v>303</v>
      </c>
      <c r="E1997">
        <f>YEAR(A1997)</f>
        <v>2014</v>
      </c>
      <c r="F1997" s="33">
        <f>DATE(YEAR(A1997),MONTH(A1997),1)</f>
        <v>41791.0</v>
      </c>
      <c r="G1997" t="str">
        <f>CHOOSE(WEEKDAY(A1997,2),"Mon","Tue","Wed","Thu","Fri","Sat","Sun")</f>
        <v>Mon</v>
      </c>
      <c r="H1997" t="str">
        <f>IF(WEEKDAY(A1997,2)&gt;5,"Weekend","Weekday")</f>
        <v>Weekday</v>
      </c>
      <c r="I1997" t="str">
        <f>_xlfn.IFS(B1997&lt;=5,"Night (0-5)",B1997&lt;=9,"Morning peak (6-9)",B1997&lt;=15,"Midday (10-15)",B1997&lt;=19,"Evening peak (16-19)",TRUE,"Late evening (20-23)")</f>
        <v>Night (0-5)</v>
      </c>
    </row>
    <row r="1998" spans="1:9">
      <c r="A1998" s="32">
        <v>41813</v>
      </c>
      <c r="B1998">
        <v>4</v>
      </c>
      <c r="C1998">
        <v>363</v>
      </c>
      <c r="D1998" t="s">
        <v>303</v>
      </c>
      <c r="E1998">
        <f>YEAR(A1998)</f>
        <v>2014</v>
      </c>
      <c r="F1998" s="33">
        <f>DATE(YEAR(A1998),MONTH(A1998),1)</f>
        <v>41791.0</v>
      </c>
      <c r="G1998" t="str">
        <f>CHOOSE(WEEKDAY(A1998,2),"Mon","Tue","Wed","Thu","Fri","Sat","Sun")</f>
        <v>Mon</v>
      </c>
      <c r="H1998" t="str">
        <f>IF(WEEKDAY(A1998,2)&gt;5,"Weekend","Weekday")</f>
        <v>Weekday</v>
      </c>
      <c r="I1998" t="str">
        <f>_xlfn.IFS(B1998&lt;=5,"Night (0-5)",B1998&lt;=9,"Morning peak (6-9)",B1998&lt;=15,"Midday (10-15)",B1998&lt;=19,"Evening peak (16-19)",TRUE,"Late evening (20-23)")</f>
        <v>Night (0-5)</v>
      </c>
    </row>
    <row r="1999" spans="1:9">
      <c r="A1999" s="32">
        <v>41813</v>
      </c>
      <c r="B1999">
        <v>5</v>
      </c>
      <c r="C1999">
        <v>555</v>
      </c>
      <c r="D1999" t="s">
        <v>303</v>
      </c>
      <c r="E1999">
        <f>YEAR(A1999)</f>
        <v>2014</v>
      </c>
      <c r="F1999" s="33">
        <f>DATE(YEAR(A1999),MONTH(A1999),1)</f>
        <v>41791.0</v>
      </c>
      <c r="G1999" t="str">
        <f>CHOOSE(WEEKDAY(A1999,2),"Mon","Tue","Wed","Thu","Fri","Sat","Sun")</f>
        <v>Mon</v>
      </c>
      <c r="H1999" t="str">
        <f>IF(WEEKDAY(A1999,2)&gt;5,"Weekend","Weekday")</f>
        <v>Weekday</v>
      </c>
      <c r="I1999" t="str">
        <f>_xlfn.IFS(B1999&lt;=5,"Night (0-5)",B1999&lt;=9,"Morning peak (6-9)",B1999&lt;=15,"Midday (10-15)",B1999&lt;=19,"Evening peak (16-19)",TRUE,"Late evening (20-23)")</f>
        <v>Night (0-5)</v>
      </c>
    </row>
    <row r="2000" spans="1:9">
      <c r="A2000" s="32">
        <v>41813</v>
      </c>
      <c r="B2000">
        <v>6</v>
      </c>
      <c r="C2000">
        <v>822</v>
      </c>
      <c r="D2000" t="s">
        <v>303</v>
      </c>
      <c r="E2000">
        <f>YEAR(A2000)</f>
        <v>2014</v>
      </c>
      <c r="F2000" s="33">
        <f>DATE(YEAR(A2000),MONTH(A2000),1)</f>
        <v>41791.0</v>
      </c>
      <c r="G2000" t="str">
        <f>CHOOSE(WEEKDAY(A2000,2),"Mon","Tue","Wed","Thu","Fri","Sat","Sun")</f>
        <v>Mon</v>
      </c>
      <c r="H2000" t="str">
        <f>IF(WEEKDAY(A2000,2)&gt;5,"Weekend","Weekday")</f>
        <v>Weekday</v>
      </c>
      <c r="I2000" t="str">
        <f>_xlfn.IFS(B2000&lt;=5,"Night (0-5)",B2000&lt;=9,"Morning peak (6-9)",B2000&lt;=15,"Midday (10-15)",B2000&lt;=19,"Evening peak (16-19)",TRUE,"Late evening (20-23)")</f>
        <v>Morning peak (6-9)</v>
      </c>
    </row>
    <row r="2001" spans="1:9">
      <c r="A2001" s="32">
        <v>41813</v>
      </c>
      <c r="B2001">
        <v>7</v>
      </c>
      <c r="C2001">
        <v>1122</v>
      </c>
      <c r="D2001" t="s">
        <v>303</v>
      </c>
      <c r="E2001">
        <f>YEAR(A2001)</f>
        <v>2014</v>
      </c>
      <c r="F2001" s="33">
        <f>DATE(YEAR(A2001),MONTH(A2001),1)</f>
        <v>41791.0</v>
      </c>
      <c r="G2001" t="str">
        <f>CHOOSE(WEEKDAY(A2001,2),"Mon","Tue","Wed","Thu","Fri","Sat","Sun")</f>
        <v>Mon</v>
      </c>
      <c r="H2001" t="str">
        <f>IF(WEEKDAY(A2001,2)&gt;5,"Weekend","Weekday")</f>
        <v>Weekday</v>
      </c>
      <c r="I2001" t="str">
        <f>_xlfn.IFS(B2001&lt;=5,"Night (0-5)",B2001&lt;=9,"Morning peak (6-9)",B2001&lt;=15,"Midday (10-15)",B2001&lt;=19,"Evening peak (16-19)",TRUE,"Late evening (20-23)")</f>
        <v>Morning peak (6-9)</v>
      </c>
    </row>
    <row r="2002" spans="1:9">
      <c r="A2002" s="32">
        <v>41813</v>
      </c>
      <c r="B2002">
        <v>8</v>
      </c>
      <c r="C2002">
        <v>993</v>
      </c>
      <c r="D2002" t="s">
        <v>303</v>
      </c>
      <c r="E2002">
        <f>YEAR(A2002)</f>
        <v>2014</v>
      </c>
      <c r="F2002" s="33">
        <f>DATE(YEAR(A2002),MONTH(A2002),1)</f>
        <v>41791.0</v>
      </c>
      <c r="G2002" t="str">
        <f>CHOOSE(WEEKDAY(A2002,2),"Mon","Tue","Wed","Thu","Fri","Sat","Sun")</f>
        <v>Mon</v>
      </c>
      <c r="H2002" t="str">
        <f>IF(WEEKDAY(A2002,2)&gt;5,"Weekend","Weekday")</f>
        <v>Weekday</v>
      </c>
      <c r="I2002" t="str">
        <f>_xlfn.IFS(B2002&lt;=5,"Night (0-5)",B2002&lt;=9,"Morning peak (6-9)",B2002&lt;=15,"Midday (10-15)",B2002&lt;=19,"Evening peak (16-19)",TRUE,"Late evening (20-23)")</f>
        <v>Morning peak (6-9)</v>
      </c>
    </row>
    <row r="2003" spans="1:9">
      <c r="A2003" s="32">
        <v>41813</v>
      </c>
      <c r="B2003">
        <v>9</v>
      </c>
      <c r="C2003">
        <v>699</v>
      </c>
      <c r="D2003" t="s">
        <v>303</v>
      </c>
      <c r="E2003">
        <f>YEAR(A2003)</f>
        <v>2014</v>
      </c>
      <c r="F2003" s="33">
        <f>DATE(YEAR(A2003),MONTH(A2003),1)</f>
        <v>41791.0</v>
      </c>
      <c r="G2003" t="str">
        <f>CHOOSE(WEEKDAY(A2003,2),"Mon","Tue","Wed","Thu","Fri","Sat","Sun")</f>
        <v>Mon</v>
      </c>
      <c r="H2003" t="str">
        <f>IF(WEEKDAY(A2003,2)&gt;5,"Weekend","Weekday")</f>
        <v>Weekday</v>
      </c>
      <c r="I2003" t="str">
        <f>_xlfn.IFS(B2003&lt;=5,"Night (0-5)",B2003&lt;=9,"Morning peak (6-9)",B2003&lt;=15,"Midday (10-15)",B2003&lt;=19,"Evening peak (16-19)",TRUE,"Late evening (20-23)")</f>
        <v>Morning peak (6-9)</v>
      </c>
    </row>
    <row r="2004" spans="1:9">
      <c r="A2004" s="32">
        <v>41813</v>
      </c>
      <c r="B2004">
        <v>10</v>
      </c>
      <c r="C2004">
        <v>632</v>
      </c>
      <c r="D2004" t="s">
        <v>303</v>
      </c>
      <c r="E2004">
        <f>YEAR(A2004)</f>
        <v>2014</v>
      </c>
      <c r="F2004" s="33">
        <f>DATE(YEAR(A2004),MONTH(A2004),1)</f>
        <v>41791.0</v>
      </c>
      <c r="G2004" t="str">
        <f>CHOOSE(WEEKDAY(A2004,2),"Mon","Tue","Wed","Thu","Fri","Sat","Sun")</f>
        <v>Mon</v>
      </c>
      <c r="H2004" t="str">
        <f>IF(WEEKDAY(A2004,2)&gt;5,"Weekend","Weekday")</f>
        <v>Weekday</v>
      </c>
      <c r="I2004" t="str">
        <f>_xlfn.IFS(B2004&lt;=5,"Night (0-5)",B2004&lt;=9,"Morning peak (6-9)",B2004&lt;=15,"Midday (10-15)",B2004&lt;=19,"Evening peak (16-19)",TRUE,"Late evening (20-23)")</f>
        <v>Midday (10-15)</v>
      </c>
    </row>
    <row r="2005" spans="1:9">
      <c r="A2005" s="32">
        <v>41813</v>
      </c>
      <c r="B2005">
        <v>11</v>
      </c>
      <c r="C2005">
        <v>632</v>
      </c>
      <c r="D2005" t="s">
        <v>303</v>
      </c>
      <c r="E2005">
        <f>YEAR(A2005)</f>
        <v>2014</v>
      </c>
      <c r="F2005" s="33">
        <f>DATE(YEAR(A2005),MONTH(A2005),1)</f>
        <v>41791.0</v>
      </c>
      <c r="G2005" t="str">
        <f>CHOOSE(WEEKDAY(A2005,2),"Mon","Tue","Wed","Thu","Fri","Sat","Sun")</f>
        <v>Mon</v>
      </c>
      <c r="H2005" t="str">
        <f>IF(WEEKDAY(A2005,2)&gt;5,"Weekend","Weekday")</f>
        <v>Weekday</v>
      </c>
      <c r="I2005" t="str">
        <f>_xlfn.IFS(B2005&lt;=5,"Night (0-5)",B2005&lt;=9,"Morning peak (6-9)",B2005&lt;=15,"Midday (10-15)",B2005&lt;=19,"Evening peak (16-19)",TRUE,"Late evening (20-23)")</f>
        <v>Midday (10-15)</v>
      </c>
    </row>
    <row r="2006" spans="1:9">
      <c r="A2006" s="32">
        <v>41813</v>
      </c>
      <c r="B2006">
        <v>12</v>
      </c>
      <c r="C2006">
        <v>706</v>
      </c>
      <c r="D2006" t="s">
        <v>303</v>
      </c>
      <c r="E2006">
        <f>YEAR(A2006)</f>
        <v>2014</v>
      </c>
      <c r="F2006" s="33">
        <f>DATE(YEAR(A2006),MONTH(A2006),1)</f>
        <v>41791.0</v>
      </c>
      <c r="G2006" t="str">
        <f>CHOOSE(WEEKDAY(A2006,2),"Mon","Tue","Wed","Thu","Fri","Sat","Sun")</f>
        <v>Mon</v>
      </c>
      <c r="H2006" t="str">
        <f>IF(WEEKDAY(A2006,2)&gt;5,"Weekend","Weekday")</f>
        <v>Weekday</v>
      </c>
      <c r="I2006" t="str">
        <f>_xlfn.IFS(B2006&lt;=5,"Night (0-5)",B2006&lt;=9,"Morning peak (6-9)",B2006&lt;=15,"Midday (10-15)",B2006&lt;=19,"Evening peak (16-19)",TRUE,"Late evening (20-23)")</f>
        <v>Midday (10-15)</v>
      </c>
    </row>
    <row r="2007" spans="1:9">
      <c r="A2007" s="32">
        <v>41813</v>
      </c>
      <c r="B2007">
        <v>13</v>
      </c>
      <c r="C2007">
        <v>789</v>
      </c>
      <c r="D2007" t="s">
        <v>303</v>
      </c>
      <c r="E2007">
        <f>YEAR(A2007)</f>
        <v>2014</v>
      </c>
      <c r="F2007" s="33">
        <f>DATE(YEAR(A2007),MONTH(A2007),1)</f>
        <v>41791.0</v>
      </c>
      <c r="G2007" t="str">
        <f>CHOOSE(WEEKDAY(A2007,2),"Mon","Tue","Wed","Thu","Fri","Sat","Sun")</f>
        <v>Mon</v>
      </c>
      <c r="H2007" t="str">
        <f>IF(WEEKDAY(A2007,2)&gt;5,"Weekend","Weekday")</f>
        <v>Weekday</v>
      </c>
      <c r="I2007" t="str">
        <f>_xlfn.IFS(B2007&lt;=5,"Night (0-5)",B2007&lt;=9,"Morning peak (6-9)",B2007&lt;=15,"Midday (10-15)",B2007&lt;=19,"Evening peak (16-19)",TRUE,"Late evening (20-23)")</f>
        <v>Midday (10-15)</v>
      </c>
    </row>
    <row r="2008" spans="1:9">
      <c r="A2008" s="32">
        <v>41813</v>
      </c>
      <c r="B2008">
        <v>14</v>
      </c>
      <c r="C2008">
        <v>971</v>
      </c>
      <c r="D2008" t="s">
        <v>303</v>
      </c>
      <c r="E2008">
        <f>YEAR(A2008)</f>
        <v>2014</v>
      </c>
      <c r="F2008" s="33">
        <f>DATE(YEAR(A2008),MONTH(A2008),1)</f>
        <v>41791.0</v>
      </c>
      <c r="G2008" t="str">
        <f>CHOOSE(WEEKDAY(A2008,2),"Mon","Tue","Wed","Thu","Fri","Sat","Sun")</f>
        <v>Mon</v>
      </c>
      <c r="H2008" t="str">
        <f>IF(WEEKDAY(A2008,2)&gt;5,"Weekend","Weekday")</f>
        <v>Weekday</v>
      </c>
      <c r="I2008" t="str">
        <f>_xlfn.IFS(B2008&lt;=5,"Night (0-5)",B2008&lt;=9,"Morning peak (6-9)",B2008&lt;=15,"Midday (10-15)",B2008&lt;=19,"Evening peak (16-19)",TRUE,"Late evening (20-23)")</f>
        <v>Midday (10-15)</v>
      </c>
    </row>
    <row r="2009" spans="1:9">
      <c r="A2009" s="32">
        <v>41813</v>
      </c>
      <c r="B2009">
        <v>15</v>
      </c>
      <c r="C2009">
        <v>1165</v>
      </c>
      <c r="D2009" t="s">
        <v>303</v>
      </c>
      <c r="E2009">
        <f>YEAR(A2009)</f>
        <v>2014</v>
      </c>
      <c r="F2009" s="33">
        <f>DATE(YEAR(A2009),MONTH(A2009),1)</f>
        <v>41791.0</v>
      </c>
      <c r="G2009" t="str">
        <f>CHOOSE(WEEKDAY(A2009,2),"Mon","Tue","Wed","Thu","Fri","Sat","Sun")</f>
        <v>Mon</v>
      </c>
      <c r="H2009" t="str">
        <f>IF(WEEKDAY(A2009,2)&gt;5,"Weekend","Weekday")</f>
        <v>Weekday</v>
      </c>
      <c r="I2009" t="str">
        <f>_xlfn.IFS(B2009&lt;=5,"Night (0-5)",B2009&lt;=9,"Morning peak (6-9)",B2009&lt;=15,"Midday (10-15)",B2009&lt;=19,"Evening peak (16-19)",TRUE,"Late evening (20-23)")</f>
        <v>Midday (10-15)</v>
      </c>
    </row>
    <row r="2010" spans="1:9">
      <c r="A2010" s="32">
        <v>41813</v>
      </c>
      <c r="B2010">
        <v>16</v>
      </c>
      <c r="C2010">
        <v>1321</v>
      </c>
      <c r="D2010" t="s">
        <v>303</v>
      </c>
      <c r="E2010">
        <f>YEAR(A2010)</f>
        <v>2014</v>
      </c>
      <c r="F2010" s="33">
        <f>DATE(YEAR(A2010),MONTH(A2010),1)</f>
        <v>41791.0</v>
      </c>
      <c r="G2010" t="str">
        <f>CHOOSE(WEEKDAY(A2010,2),"Mon","Tue","Wed","Thu","Fri","Sat","Sun")</f>
        <v>Mon</v>
      </c>
      <c r="H2010" t="str">
        <f>IF(WEEKDAY(A2010,2)&gt;5,"Weekend","Weekday")</f>
        <v>Weekday</v>
      </c>
      <c r="I2010" t="str">
        <f>_xlfn.IFS(B2010&lt;=5,"Night (0-5)",B2010&lt;=9,"Morning peak (6-9)",B2010&lt;=15,"Midday (10-15)",B2010&lt;=19,"Evening peak (16-19)",TRUE,"Late evening (20-23)")</f>
        <v>Evening peak (16-19)</v>
      </c>
    </row>
    <row r="2011" spans="1:9">
      <c r="A2011" s="32">
        <v>41813</v>
      </c>
      <c r="B2011">
        <v>17</v>
      </c>
      <c r="C2011">
        <v>1407</v>
      </c>
      <c r="D2011" t="s">
        <v>303</v>
      </c>
      <c r="E2011">
        <f>YEAR(A2011)</f>
        <v>2014</v>
      </c>
      <c r="F2011" s="33">
        <f>DATE(YEAR(A2011),MONTH(A2011),1)</f>
        <v>41791.0</v>
      </c>
      <c r="G2011" t="str">
        <f>CHOOSE(WEEKDAY(A2011,2),"Mon","Tue","Wed","Thu","Fri","Sat","Sun")</f>
        <v>Mon</v>
      </c>
      <c r="H2011" t="str">
        <f>IF(WEEKDAY(A2011,2)&gt;5,"Weekend","Weekday")</f>
        <v>Weekday</v>
      </c>
      <c r="I2011" t="str">
        <f>_xlfn.IFS(B2011&lt;=5,"Night (0-5)",B2011&lt;=9,"Morning peak (6-9)",B2011&lt;=15,"Midday (10-15)",B2011&lt;=19,"Evening peak (16-19)",TRUE,"Late evening (20-23)")</f>
        <v>Evening peak (16-19)</v>
      </c>
    </row>
    <row r="2012" spans="1:9">
      <c r="A2012" s="32">
        <v>41813</v>
      </c>
      <c r="B2012">
        <v>18</v>
      </c>
      <c r="C2012">
        <v>1150</v>
      </c>
      <c r="D2012" t="s">
        <v>303</v>
      </c>
      <c r="E2012">
        <f>YEAR(A2012)</f>
        <v>2014</v>
      </c>
      <c r="F2012" s="33">
        <f>DATE(YEAR(A2012),MONTH(A2012),1)</f>
        <v>41791.0</v>
      </c>
      <c r="G2012" t="str">
        <f>CHOOSE(WEEKDAY(A2012,2),"Mon","Tue","Wed","Thu","Fri","Sat","Sun")</f>
        <v>Mon</v>
      </c>
      <c r="H2012" t="str">
        <f>IF(WEEKDAY(A2012,2)&gt;5,"Weekend","Weekday")</f>
        <v>Weekday</v>
      </c>
      <c r="I2012" t="str">
        <f>_xlfn.IFS(B2012&lt;=5,"Night (0-5)",B2012&lt;=9,"Morning peak (6-9)",B2012&lt;=15,"Midday (10-15)",B2012&lt;=19,"Evening peak (16-19)",TRUE,"Late evening (20-23)")</f>
        <v>Evening peak (16-19)</v>
      </c>
    </row>
    <row r="2013" spans="1:9">
      <c r="A2013" s="32">
        <v>41813</v>
      </c>
      <c r="B2013">
        <v>19</v>
      </c>
      <c r="C2013">
        <v>928</v>
      </c>
      <c r="D2013" t="s">
        <v>303</v>
      </c>
      <c r="E2013">
        <f>YEAR(A2013)</f>
        <v>2014</v>
      </c>
      <c r="F2013" s="33">
        <f>DATE(YEAR(A2013),MONTH(A2013),1)</f>
        <v>41791.0</v>
      </c>
      <c r="G2013" t="str">
        <f>CHOOSE(WEEKDAY(A2013,2),"Mon","Tue","Wed","Thu","Fri","Sat","Sun")</f>
        <v>Mon</v>
      </c>
      <c r="H2013" t="str">
        <f>IF(WEEKDAY(A2013,2)&gt;5,"Weekend","Weekday")</f>
        <v>Weekday</v>
      </c>
      <c r="I2013" t="str">
        <f>_xlfn.IFS(B2013&lt;=5,"Night (0-5)",B2013&lt;=9,"Morning peak (6-9)",B2013&lt;=15,"Midday (10-15)",B2013&lt;=19,"Evening peak (16-19)",TRUE,"Late evening (20-23)")</f>
        <v>Evening peak (16-19)</v>
      </c>
    </row>
    <row r="2014" spans="1:9">
      <c r="A2014" s="32">
        <v>41813</v>
      </c>
      <c r="B2014">
        <v>20</v>
      </c>
      <c r="C2014">
        <v>988</v>
      </c>
      <c r="D2014" t="s">
        <v>303</v>
      </c>
      <c r="E2014">
        <f>YEAR(A2014)</f>
        <v>2014</v>
      </c>
      <c r="F2014" s="33">
        <f>DATE(YEAR(A2014),MONTH(A2014),1)</f>
        <v>41791.0</v>
      </c>
      <c r="G2014" t="str">
        <f>CHOOSE(WEEKDAY(A2014,2),"Mon","Tue","Wed","Thu","Fri","Sat","Sun")</f>
        <v>Mon</v>
      </c>
      <c r="H2014" t="str">
        <f>IF(WEEKDAY(A2014,2)&gt;5,"Weekend","Weekday")</f>
        <v>Weekday</v>
      </c>
      <c r="I2014" t="str">
        <f>_xlfn.IFS(B2014&lt;=5,"Night (0-5)",B2014&lt;=9,"Morning peak (6-9)",B2014&lt;=15,"Midday (10-15)",B2014&lt;=19,"Evening peak (16-19)",TRUE,"Late evening (20-23)")</f>
        <v>Late evening (20-23)</v>
      </c>
    </row>
    <row r="2015" spans="1:9">
      <c r="A2015" s="32">
        <v>41813</v>
      </c>
      <c r="B2015">
        <v>21</v>
      </c>
      <c r="C2015">
        <v>901</v>
      </c>
      <c r="D2015" t="s">
        <v>303</v>
      </c>
      <c r="E2015">
        <f>YEAR(A2015)</f>
        <v>2014</v>
      </c>
      <c r="F2015" s="33">
        <f>DATE(YEAR(A2015),MONTH(A2015),1)</f>
        <v>41791.0</v>
      </c>
      <c r="G2015" t="str">
        <f>CHOOSE(WEEKDAY(A2015,2),"Mon","Tue","Wed","Thu","Fri","Sat","Sun")</f>
        <v>Mon</v>
      </c>
      <c r="H2015" t="str">
        <f>IF(WEEKDAY(A2015,2)&gt;5,"Weekend","Weekday")</f>
        <v>Weekday</v>
      </c>
      <c r="I2015" t="str">
        <f>_xlfn.IFS(B2015&lt;=5,"Night (0-5)",B2015&lt;=9,"Morning peak (6-9)",B2015&lt;=15,"Midday (10-15)",B2015&lt;=19,"Evening peak (16-19)",TRUE,"Late evening (20-23)")</f>
        <v>Late evening (20-23)</v>
      </c>
    </row>
    <row r="2016" spans="1:9">
      <c r="A2016" s="32">
        <v>41813</v>
      </c>
      <c r="B2016">
        <v>22</v>
      </c>
      <c r="C2016">
        <v>662</v>
      </c>
      <c r="D2016" t="s">
        <v>303</v>
      </c>
      <c r="E2016">
        <f>YEAR(A2016)</f>
        <v>2014</v>
      </c>
      <c r="F2016" s="33">
        <f>DATE(YEAR(A2016),MONTH(A2016),1)</f>
        <v>41791.0</v>
      </c>
      <c r="G2016" t="str">
        <f>CHOOSE(WEEKDAY(A2016,2),"Mon","Tue","Wed","Thu","Fri","Sat","Sun")</f>
        <v>Mon</v>
      </c>
      <c r="H2016" t="str">
        <f>IF(WEEKDAY(A2016,2)&gt;5,"Weekend","Weekday")</f>
        <v>Weekday</v>
      </c>
      <c r="I2016" t="str">
        <f>_xlfn.IFS(B2016&lt;=5,"Night (0-5)",B2016&lt;=9,"Morning peak (6-9)",B2016&lt;=15,"Midday (10-15)",B2016&lt;=19,"Evening peak (16-19)",TRUE,"Late evening (20-23)")</f>
        <v>Late evening (20-23)</v>
      </c>
    </row>
    <row r="2017" spans="1:9">
      <c r="A2017" s="32">
        <v>41813</v>
      </c>
      <c r="B2017">
        <v>23</v>
      </c>
      <c r="C2017">
        <v>366</v>
      </c>
      <c r="D2017" t="s">
        <v>303</v>
      </c>
      <c r="E2017">
        <f>YEAR(A2017)</f>
        <v>2014</v>
      </c>
      <c r="F2017" s="33">
        <f>DATE(YEAR(A2017),MONTH(A2017),1)</f>
        <v>41791.0</v>
      </c>
      <c r="G2017" t="str">
        <f>CHOOSE(WEEKDAY(A2017,2),"Mon","Tue","Wed","Thu","Fri","Sat","Sun")</f>
        <v>Mon</v>
      </c>
      <c r="H2017" t="str">
        <f>IF(WEEKDAY(A2017,2)&gt;5,"Weekend","Weekday")</f>
        <v>Weekday</v>
      </c>
      <c r="I2017" t="str">
        <f>_xlfn.IFS(B2017&lt;=5,"Night (0-5)",B2017&lt;=9,"Morning peak (6-9)",B2017&lt;=15,"Midday (10-15)",B2017&lt;=19,"Evening peak (16-19)",TRUE,"Late evening (20-23)")</f>
        <v>Late evening (20-23)</v>
      </c>
    </row>
    <row r="2018" spans="1:9">
      <c r="A2018" s="32">
        <v>41814</v>
      </c>
      <c r="B2018">
        <v>0</v>
      </c>
      <c r="C2018">
        <v>169</v>
      </c>
      <c r="D2018" t="s">
        <v>303</v>
      </c>
      <c r="E2018">
        <f>YEAR(A2018)</f>
        <v>2014</v>
      </c>
      <c r="F2018" s="33">
        <f>DATE(YEAR(A2018),MONTH(A2018),1)</f>
        <v>41791.0</v>
      </c>
      <c r="G2018" t="str">
        <f>CHOOSE(WEEKDAY(A2018,2),"Mon","Tue","Wed","Thu","Fri","Sat","Sun")</f>
        <v>Tue</v>
      </c>
      <c r="H2018" t="str">
        <f>IF(WEEKDAY(A2018,2)&gt;5,"Weekend","Weekday")</f>
        <v>Weekday</v>
      </c>
      <c r="I2018" t="str">
        <f>_xlfn.IFS(B2018&lt;=5,"Night (0-5)",B2018&lt;=9,"Morning peak (6-9)",B2018&lt;=15,"Midday (10-15)",B2018&lt;=19,"Evening peak (16-19)",TRUE,"Late evening (20-23)")</f>
        <v>Night (0-5)</v>
      </c>
    </row>
    <row r="2019" spans="1:9">
      <c r="A2019" s="32">
        <v>41814</v>
      </c>
      <c r="B2019">
        <v>1</v>
      </c>
      <c r="C2019">
        <v>110</v>
      </c>
      <c r="D2019" t="s">
        <v>303</v>
      </c>
      <c r="E2019">
        <f>YEAR(A2019)</f>
        <v>2014</v>
      </c>
      <c r="F2019" s="33">
        <f>DATE(YEAR(A2019),MONTH(A2019),1)</f>
        <v>41791.0</v>
      </c>
      <c r="G2019" t="str">
        <f>CHOOSE(WEEKDAY(A2019,2),"Mon","Tue","Wed","Thu","Fri","Sat","Sun")</f>
        <v>Tue</v>
      </c>
      <c r="H2019" t="str">
        <f>IF(WEEKDAY(A2019,2)&gt;5,"Weekend","Weekday")</f>
        <v>Weekday</v>
      </c>
      <c r="I2019" t="str">
        <f>_xlfn.IFS(B2019&lt;=5,"Night (0-5)",B2019&lt;=9,"Morning peak (6-9)",B2019&lt;=15,"Midday (10-15)",B2019&lt;=19,"Evening peak (16-19)",TRUE,"Late evening (20-23)")</f>
        <v>Night (0-5)</v>
      </c>
    </row>
    <row r="2020" spans="1:9">
      <c r="A2020" s="32">
        <v>41814</v>
      </c>
      <c r="B2020">
        <v>2</v>
      </c>
      <c r="C2020">
        <v>71</v>
      </c>
      <c r="D2020" t="s">
        <v>303</v>
      </c>
      <c r="E2020">
        <f>YEAR(A2020)</f>
        <v>2014</v>
      </c>
      <c r="F2020" s="33">
        <f>DATE(YEAR(A2020),MONTH(A2020),1)</f>
        <v>41791.0</v>
      </c>
      <c r="G2020" t="str">
        <f>CHOOSE(WEEKDAY(A2020,2),"Mon","Tue","Wed","Thu","Fri","Sat","Sun")</f>
        <v>Tue</v>
      </c>
      <c r="H2020" t="str">
        <f>IF(WEEKDAY(A2020,2)&gt;5,"Weekend","Weekday")</f>
        <v>Weekday</v>
      </c>
      <c r="I2020" t="str">
        <f>_xlfn.IFS(B2020&lt;=5,"Night (0-5)",B2020&lt;=9,"Morning peak (6-9)",B2020&lt;=15,"Midday (10-15)",B2020&lt;=19,"Evening peak (16-19)",TRUE,"Late evening (20-23)")</f>
        <v>Night (0-5)</v>
      </c>
    </row>
    <row r="2021" spans="1:9">
      <c r="A2021" s="32">
        <v>41814</v>
      </c>
      <c r="B2021">
        <v>3</v>
      </c>
      <c r="C2021">
        <v>147</v>
      </c>
      <c r="D2021" t="s">
        <v>303</v>
      </c>
      <c r="E2021">
        <f>YEAR(A2021)</f>
        <v>2014</v>
      </c>
      <c r="F2021" s="33">
        <f>DATE(YEAR(A2021),MONTH(A2021),1)</f>
        <v>41791.0</v>
      </c>
      <c r="G2021" t="str">
        <f>CHOOSE(WEEKDAY(A2021,2),"Mon","Tue","Wed","Thu","Fri","Sat","Sun")</f>
        <v>Tue</v>
      </c>
      <c r="H2021" t="str">
        <f>IF(WEEKDAY(A2021,2)&gt;5,"Weekend","Weekday")</f>
        <v>Weekday</v>
      </c>
      <c r="I2021" t="str">
        <f>_xlfn.IFS(B2021&lt;=5,"Night (0-5)",B2021&lt;=9,"Morning peak (6-9)",B2021&lt;=15,"Midday (10-15)",B2021&lt;=19,"Evening peak (16-19)",TRUE,"Late evening (20-23)")</f>
        <v>Night (0-5)</v>
      </c>
    </row>
    <row r="2022" spans="1:9">
      <c r="A2022" s="32">
        <v>41814</v>
      </c>
      <c r="B2022">
        <v>4</v>
      </c>
      <c r="C2022">
        <v>234</v>
      </c>
      <c r="D2022" t="s">
        <v>303</v>
      </c>
      <c r="E2022">
        <f>YEAR(A2022)</f>
        <v>2014</v>
      </c>
      <c r="F2022" s="33">
        <f>DATE(YEAR(A2022),MONTH(A2022),1)</f>
        <v>41791.0</v>
      </c>
      <c r="G2022" t="str">
        <f>CHOOSE(WEEKDAY(A2022,2),"Mon","Tue","Wed","Thu","Fri","Sat","Sun")</f>
        <v>Tue</v>
      </c>
      <c r="H2022" t="str">
        <f>IF(WEEKDAY(A2022,2)&gt;5,"Weekend","Weekday")</f>
        <v>Weekday</v>
      </c>
      <c r="I2022" t="str">
        <f>_xlfn.IFS(B2022&lt;=5,"Night (0-5)",B2022&lt;=9,"Morning peak (6-9)",B2022&lt;=15,"Midday (10-15)",B2022&lt;=19,"Evening peak (16-19)",TRUE,"Late evening (20-23)")</f>
        <v>Night (0-5)</v>
      </c>
    </row>
    <row r="2023" spans="1:9">
      <c r="A2023" s="32">
        <v>41814</v>
      </c>
      <c r="B2023">
        <v>5</v>
      </c>
      <c r="C2023">
        <v>445</v>
      </c>
      <c r="D2023" t="s">
        <v>303</v>
      </c>
      <c r="E2023">
        <f>YEAR(A2023)</f>
        <v>2014</v>
      </c>
      <c r="F2023" s="33">
        <f>DATE(YEAR(A2023),MONTH(A2023),1)</f>
        <v>41791.0</v>
      </c>
      <c r="G2023" t="str">
        <f>CHOOSE(WEEKDAY(A2023,2),"Mon","Tue","Wed","Thu","Fri","Sat","Sun")</f>
        <v>Tue</v>
      </c>
      <c r="H2023" t="str">
        <f>IF(WEEKDAY(A2023,2)&gt;5,"Weekend","Weekday")</f>
        <v>Weekday</v>
      </c>
      <c r="I2023" t="str">
        <f>_xlfn.IFS(B2023&lt;=5,"Night (0-5)",B2023&lt;=9,"Morning peak (6-9)",B2023&lt;=15,"Midday (10-15)",B2023&lt;=19,"Evening peak (16-19)",TRUE,"Late evening (20-23)")</f>
        <v>Night (0-5)</v>
      </c>
    </row>
    <row r="2024" spans="1:9">
      <c r="A2024" s="32">
        <v>41814</v>
      </c>
      <c r="B2024">
        <v>6</v>
      </c>
      <c r="C2024">
        <v>756</v>
      </c>
      <c r="D2024" t="s">
        <v>303</v>
      </c>
      <c r="E2024">
        <f>YEAR(A2024)</f>
        <v>2014</v>
      </c>
      <c r="F2024" s="33">
        <f>DATE(YEAR(A2024),MONTH(A2024),1)</f>
        <v>41791.0</v>
      </c>
      <c r="G2024" t="str">
        <f>CHOOSE(WEEKDAY(A2024,2),"Mon","Tue","Wed","Thu","Fri","Sat","Sun")</f>
        <v>Tue</v>
      </c>
      <c r="H2024" t="str">
        <f>IF(WEEKDAY(A2024,2)&gt;5,"Weekend","Weekday")</f>
        <v>Weekday</v>
      </c>
      <c r="I2024" t="str">
        <f>_xlfn.IFS(B2024&lt;=5,"Night (0-5)",B2024&lt;=9,"Morning peak (6-9)",B2024&lt;=15,"Midday (10-15)",B2024&lt;=19,"Evening peak (16-19)",TRUE,"Late evening (20-23)")</f>
        <v>Morning peak (6-9)</v>
      </c>
    </row>
    <row r="2025" spans="1:9">
      <c r="A2025" s="32">
        <v>41814</v>
      </c>
      <c r="B2025">
        <v>7</v>
      </c>
      <c r="C2025">
        <v>1175</v>
      </c>
      <c r="D2025" t="s">
        <v>303</v>
      </c>
      <c r="E2025">
        <f>YEAR(A2025)</f>
        <v>2014</v>
      </c>
      <c r="F2025" s="33">
        <f>DATE(YEAR(A2025),MONTH(A2025),1)</f>
        <v>41791.0</v>
      </c>
      <c r="G2025" t="str">
        <f>CHOOSE(WEEKDAY(A2025,2),"Mon","Tue","Wed","Thu","Fri","Sat","Sun")</f>
        <v>Tue</v>
      </c>
      <c r="H2025" t="str">
        <f>IF(WEEKDAY(A2025,2)&gt;5,"Weekend","Weekday")</f>
        <v>Weekday</v>
      </c>
      <c r="I2025" t="str">
        <f>_xlfn.IFS(B2025&lt;=5,"Night (0-5)",B2025&lt;=9,"Morning peak (6-9)",B2025&lt;=15,"Midday (10-15)",B2025&lt;=19,"Evening peak (16-19)",TRUE,"Late evening (20-23)")</f>
        <v>Morning peak (6-9)</v>
      </c>
    </row>
    <row r="2026" spans="1:9">
      <c r="A2026" s="32">
        <v>41814</v>
      </c>
      <c r="B2026">
        <v>8</v>
      </c>
      <c r="C2026">
        <v>1044</v>
      </c>
      <c r="D2026" t="s">
        <v>303</v>
      </c>
      <c r="E2026">
        <f>YEAR(A2026)</f>
        <v>2014</v>
      </c>
      <c r="F2026" s="33">
        <f>DATE(YEAR(A2026),MONTH(A2026),1)</f>
        <v>41791.0</v>
      </c>
      <c r="G2026" t="str">
        <f>CHOOSE(WEEKDAY(A2026,2),"Mon","Tue","Wed","Thu","Fri","Sat","Sun")</f>
        <v>Tue</v>
      </c>
      <c r="H2026" t="str">
        <f>IF(WEEKDAY(A2026,2)&gt;5,"Weekend","Weekday")</f>
        <v>Weekday</v>
      </c>
      <c r="I2026" t="str">
        <f>_xlfn.IFS(B2026&lt;=5,"Night (0-5)",B2026&lt;=9,"Morning peak (6-9)",B2026&lt;=15,"Midday (10-15)",B2026&lt;=19,"Evening peak (16-19)",TRUE,"Late evening (20-23)")</f>
        <v>Morning peak (6-9)</v>
      </c>
    </row>
    <row r="2027" spans="1:9">
      <c r="A2027" s="32">
        <v>41814</v>
      </c>
      <c r="B2027">
        <v>9</v>
      </c>
      <c r="C2027">
        <v>796</v>
      </c>
      <c r="D2027" t="s">
        <v>303</v>
      </c>
      <c r="E2027">
        <f>YEAR(A2027)</f>
        <v>2014</v>
      </c>
      <c r="F2027" s="33">
        <f>DATE(YEAR(A2027),MONTH(A2027),1)</f>
        <v>41791.0</v>
      </c>
      <c r="G2027" t="str">
        <f>CHOOSE(WEEKDAY(A2027,2),"Mon","Tue","Wed","Thu","Fri","Sat","Sun")</f>
        <v>Tue</v>
      </c>
      <c r="H2027" t="str">
        <f>IF(WEEKDAY(A2027,2)&gt;5,"Weekend","Weekday")</f>
        <v>Weekday</v>
      </c>
      <c r="I2027" t="str">
        <f>_xlfn.IFS(B2027&lt;=5,"Night (0-5)",B2027&lt;=9,"Morning peak (6-9)",B2027&lt;=15,"Midday (10-15)",B2027&lt;=19,"Evening peak (16-19)",TRUE,"Late evening (20-23)")</f>
        <v>Morning peak (6-9)</v>
      </c>
    </row>
    <row r="2028" spans="1:9">
      <c r="A2028" s="32">
        <v>41814</v>
      </c>
      <c r="B2028">
        <v>10</v>
      </c>
      <c r="C2028">
        <v>706</v>
      </c>
      <c r="D2028" t="s">
        <v>303</v>
      </c>
      <c r="E2028">
        <f>YEAR(A2028)</f>
        <v>2014</v>
      </c>
      <c r="F2028" s="33">
        <f>DATE(YEAR(A2028),MONTH(A2028),1)</f>
        <v>41791.0</v>
      </c>
      <c r="G2028" t="str">
        <f>CHOOSE(WEEKDAY(A2028,2),"Mon","Tue","Wed","Thu","Fri","Sat","Sun")</f>
        <v>Tue</v>
      </c>
      <c r="H2028" t="str">
        <f>IF(WEEKDAY(A2028,2)&gt;5,"Weekend","Weekday")</f>
        <v>Weekday</v>
      </c>
      <c r="I2028" t="str">
        <f>_xlfn.IFS(B2028&lt;=5,"Night (0-5)",B2028&lt;=9,"Morning peak (6-9)",B2028&lt;=15,"Midday (10-15)",B2028&lt;=19,"Evening peak (16-19)",TRUE,"Late evening (20-23)")</f>
        <v>Midday (10-15)</v>
      </c>
    </row>
    <row r="2029" spans="1:9">
      <c r="A2029" s="32">
        <v>41814</v>
      </c>
      <c r="B2029">
        <v>11</v>
      </c>
      <c r="C2029">
        <v>734</v>
      </c>
      <c r="D2029" t="s">
        <v>303</v>
      </c>
      <c r="E2029">
        <f>YEAR(A2029)</f>
        <v>2014</v>
      </c>
      <c r="F2029" s="33">
        <f>DATE(YEAR(A2029),MONTH(A2029),1)</f>
        <v>41791.0</v>
      </c>
      <c r="G2029" t="str">
        <f>CHOOSE(WEEKDAY(A2029,2),"Mon","Tue","Wed","Thu","Fri","Sat","Sun")</f>
        <v>Tue</v>
      </c>
      <c r="H2029" t="str">
        <f>IF(WEEKDAY(A2029,2)&gt;5,"Weekend","Weekday")</f>
        <v>Weekday</v>
      </c>
      <c r="I2029" t="str">
        <f>_xlfn.IFS(B2029&lt;=5,"Night (0-5)",B2029&lt;=9,"Morning peak (6-9)",B2029&lt;=15,"Midday (10-15)",B2029&lt;=19,"Evening peak (16-19)",TRUE,"Late evening (20-23)")</f>
        <v>Midday (10-15)</v>
      </c>
    </row>
    <row r="2030" spans="1:9">
      <c r="A2030" s="32">
        <v>41814</v>
      </c>
      <c r="B2030">
        <v>12</v>
      </c>
      <c r="C2030">
        <v>765</v>
      </c>
      <c r="D2030" t="s">
        <v>303</v>
      </c>
      <c r="E2030">
        <f>YEAR(A2030)</f>
        <v>2014</v>
      </c>
      <c r="F2030" s="33">
        <f>DATE(YEAR(A2030),MONTH(A2030),1)</f>
        <v>41791.0</v>
      </c>
      <c r="G2030" t="str">
        <f>CHOOSE(WEEKDAY(A2030,2),"Mon","Tue","Wed","Thu","Fri","Sat","Sun")</f>
        <v>Tue</v>
      </c>
      <c r="H2030" t="str">
        <f>IF(WEEKDAY(A2030,2)&gt;5,"Weekend","Weekday")</f>
        <v>Weekday</v>
      </c>
      <c r="I2030" t="str">
        <f>_xlfn.IFS(B2030&lt;=5,"Night (0-5)",B2030&lt;=9,"Morning peak (6-9)",B2030&lt;=15,"Midday (10-15)",B2030&lt;=19,"Evening peak (16-19)",TRUE,"Late evening (20-23)")</f>
        <v>Midday (10-15)</v>
      </c>
    </row>
    <row r="2031" spans="1:9">
      <c r="A2031" s="32">
        <v>41814</v>
      </c>
      <c r="B2031">
        <v>13</v>
      </c>
      <c r="C2031">
        <v>860</v>
      </c>
      <c r="D2031" t="s">
        <v>303</v>
      </c>
      <c r="E2031">
        <f>YEAR(A2031)</f>
        <v>2014</v>
      </c>
      <c r="F2031" s="33">
        <f>DATE(YEAR(A2031),MONTH(A2031),1)</f>
        <v>41791.0</v>
      </c>
      <c r="G2031" t="str">
        <f>CHOOSE(WEEKDAY(A2031,2),"Mon","Tue","Wed","Thu","Fri","Sat","Sun")</f>
        <v>Tue</v>
      </c>
      <c r="H2031" t="str">
        <f>IF(WEEKDAY(A2031,2)&gt;5,"Weekend","Weekday")</f>
        <v>Weekday</v>
      </c>
      <c r="I2031" t="str">
        <f>_xlfn.IFS(B2031&lt;=5,"Night (0-5)",B2031&lt;=9,"Morning peak (6-9)",B2031&lt;=15,"Midday (10-15)",B2031&lt;=19,"Evening peak (16-19)",TRUE,"Late evening (20-23)")</f>
        <v>Midday (10-15)</v>
      </c>
    </row>
    <row r="2032" spans="1:9">
      <c r="A2032" s="32">
        <v>41814</v>
      </c>
      <c r="B2032">
        <v>14</v>
      </c>
      <c r="C2032">
        <v>1090</v>
      </c>
      <c r="D2032" t="s">
        <v>303</v>
      </c>
      <c r="E2032">
        <f>YEAR(A2032)</f>
        <v>2014</v>
      </c>
      <c r="F2032" s="33">
        <f>DATE(YEAR(A2032),MONTH(A2032),1)</f>
        <v>41791.0</v>
      </c>
      <c r="G2032" t="str">
        <f>CHOOSE(WEEKDAY(A2032,2),"Mon","Tue","Wed","Thu","Fri","Sat","Sun")</f>
        <v>Tue</v>
      </c>
      <c r="H2032" t="str">
        <f>IF(WEEKDAY(A2032,2)&gt;5,"Weekend","Weekday")</f>
        <v>Weekday</v>
      </c>
      <c r="I2032" t="str">
        <f>_xlfn.IFS(B2032&lt;=5,"Night (0-5)",B2032&lt;=9,"Morning peak (6-9)",B2032&lt;=15,"Midday (10-15)",B2032&lt;=19,"Evening peak (16-19)",TRUE,"Late evening (20-23)")</f>
        <v>Midday (10-15)</v>
      </c>
    </row>
    <row r="2033" spans="1:9">
      <c r="A2033" s="32">
        <v>41814</v>
      </c>
      <c r="B2033">
        <v>15</v>
      </c>
      <c r="C2033">
        <v>1346</v>
      </c>
      <c r="D2033" t="s">
        <v>303</v>
      </c>
      <c r="E2033">
        <f>YEAR(A2033)</f>
        <v>2014</v>
      </c>
      <c r="F2033" s="33">
        <f>DATE(YEAR(A2033),MONTH(A2033),1)</f>
        <v>41791.0</v>
      </c>
      <c r="G2033" t="str">
        <f>CHOOSE(WEEKDAY(A2033,2),"Mon","Tue","Wed","Thu","Fri","Sat","Sun")</f>
        <v>Tue</v>
      </c>
      <c r="H2033" t="str">
        <f>IF(WEEKDAY(A2033,2)&gt;5,"Weekend","Weekday")</f>
        <v>Weekday</v>
      </c>
      <c r="I2033" t="str">
        <f>_xlfn.IFS(B2033&lt;=5,"Night (0-5)",B2033&lt;=9,"Morning peak (6-9)",B2033&lt;=15,"Midday (10-15)",B2033&lt;=19,"Evening peak (16-19)",TRUE,"Late evening (20-23)")</f>
        <v>Midday (10-15)</v>
      </c>
    </row>
    <row r="2034" spans="1:9">
      <c r="A2034" s="32">
        <v>41814</v>
      </c>
      <c r="B2034">
        <v>16</v>
      </c>
      <c r="C2034">
        <v>1600</v>
      </c>
      <c r="D2034" t="s">
        <v>303</v>
      </c>
      <c r="E2034">
        <f>YEAR(A2034)</f>
        <v>2014</v>
      </c>
      <c r="F2034" s="33">
        <f>DATE(YEAR(A2034),MONTH(A2034),1)</f>
        <v>41791.0</v>
      </c>
      <c r="G2034" t="str">
        <f>CHOOSE(WEEKDAY(A2034,2),"Mon","Tue","Wed","Thu","Fri","Sat","Sun")</f>
        <v>Tue</v>
      </c>
      <c r="H2034" t="str">
        <f>IF(WEEKDAY(A2034,2)&gt;5,"Weekend","Weekday")</f>
        <v>Weekday</v>
      </c>
      <c r="I2034" t="str">
        <f>_xlfn.IFS(B2034&lt;=5,"Night (0-5)",B2034&lt;=9,"Morning peak (6-9)",B2034&lt;=15,"Midday (10-15)",B2034&lt;=19,"Evening peak (16-19)",TRUE,"Late evening (20-23)")</f>
        <v>Evening peak (16-19)</v>
      </c>
    </row>
    <row r="2035" spans="1:9">
      <c r="A2035" s="32">
        <v>41814</v>
      </c>
      <c r="B2035">
        <v>17</v>
      </c>
      <c r="C2035">
        <v>1821</v>
      </c>
      <c r="D2035" t="s">
        <v>303</v>
      </c>
      <c r="E2035">
        <f>YEAR(A2035)</f>
        <v>2014</v>
      </c>
      <c r="F2035" s="33">
        <f>DATE(YEAR(A2035),MONTH(A2035),1)</f>
        <v>41791.0</v>
      </c>
      <c r="G2035" t="str">
        <f>CHOOSE(WEEKDAY(A2035,2),"Mon","Tue","Wed","Thu","Fri","Sat","Sun")</f>
        <v>Tue</v>
      </c>
      <c r="H2035" t="str">
        <f>IF(WEEKDAY(A2035,2)&gt;5,"Weekend","Weekday")</f>
        <v>Weekday</v>
      </c>
      <c r="I2035" t="str">
        <f>_xlfn.IFS(B2035&lt;=5,"Night (0-5)",B2035&lt;=9,"Morning peak (6-9)",B2035&lt;=15,"Midday (10-15)",B2035&lt;=19,"Evening peak (16-19)",TRUE,"Late evening (20-23)")</f>
        <v>Evening peak (16-19)</v>
      </c>
    </row>
    <row r="2036" spans="1:9">
      <c r="A2036" s="32">
        <v>41814</v>
      </c>
      <c r="B2036">
        <v>18</v>
      </c>
      <c r="C2036">
        <v>1392</v>
      </c>
      <c r="D2036" t="s">
        <v>303</v>
      </c>
      <c r="E2036">
        <f>YEAR(A2036)</f>
        <v>2014</v>
      </c>
      <c r="F2036" s="33">
        <f>DATE(YEAR(A2036),MONTH(A2036),1)</f>
        <v>41791.0</v>
      </c>
      <c r="G2036" t="str">
        <f>CHOOSE(WEEKDAY(A2036,2),"Mon","Tue","Wed","Thu","Fri","Sat","Sun")</f>
        <v>Tue</v>
      </c>
      <c r="H2036" t="str">
        <f>IF(WEEKDAY(A2036,2)&gt;5,"Weekend","Weekday")</f>
        <v>Weekday</v>
      </c>
      <c r="I2036" t="str">
        <f>_xlfn.IFS(B2036&lt;=5,"Night (0-5)",B2036&lt;=9,"Morning peak (6-9)",B2036&lt;=15,"Midday (10-15)",B2036&lt;=19,"Evening peak (16-19)",TRUE,"Late evening (20-23)")</f>
        <v>Evening peak (16-19)</v>
      </c>
    </row>
    <row r="2037" spans="1:9">
      <c r="A2037" s="32">
        <v>41814</v>
      </c>
      <c r="B2037">
        <v>19</v>
      </c>
      <c r="C2037">
        <v>1240</v>
      </c>
      <c r="D2037" t="s">
        <v>303</v>
      </c>
      <c r="E2037">
        <f>YEAR(A2037)</f>
        <v>2014</v>
      </c>
      <c r="F2037" s="33">
        <f>DATE(YEAR(A2037),MONTH(A2037),1)</f>
        <v>41791.0</v>
      </c>
      <c r="G2037" t="str">
        <f>CHOOSE(WEEKDAY(A2037,2),"Mon","Tue","Wed","Thu","Fri","Sat","Sun")</f>
        <v>Tue</v>
      </c>
      <c r="H2037" t="str">
        <f>IF(WEEKDAY(A2037,2)&gt;5,"Weekend","Weekday")</f>
        <v>Weekday</v>
      </c>
      <c r="I2037" t="str">
        <f>_xlfn.IFS(B2037&lt;=5,"Night (0-5)",B2037&lt;=9,"Morning peak (6-9)",B2037&lt;=15,"Midday (10-15)",B2037&lt;=19,"Evening peak (16-19)",TRUE,"Late evening (20-23)")</f>
        <v>Evening peak (16-19)</v>
      </c>
    </row>
    <row r="2038" spans="1:9">
      <c r="A2038" s="32">
        <v>41814</v>
      </c>
      <c r="B2038">
        <v>20</v>
      </c>
      <c r="C2038">
        <v>1450</v>
      </c>
      <c r="D2038" t="s">
        <v>303</v>
      </c>
      <c r="E2038">
        <f>YEAR(A2038)</f>
        <v>2014</v>
      </c>
      <c r="F2038" s="33">
        <f>DATE(YEAR(A2038),MONTH(A2038),1)</f>
        <v>41791.0</v>
      </c>
      <c r="G2038" t="str">
        <f>CHOOSE(WEEKDAY(A2038,2),"Mon","Tue","Wed","Thu","Fri","Sat","Sun")</f>
        <v>Tue</v>
      </c>
      <c r="H2038" t="str">
        <f>IF(WEEKDAY(A2038,2)&gt;5,"Weekend","Weekday")</f>
        <v>Weekday</v>
      </c>
      <c r="I2038" t="str">
        <f>_xlfn.IFS(B2038&lt;=5,"Night (0-5)",B2038&lt;=9,"Morning peak (6-9)",B2038&lt;=15,"Midday (10-15)",B2038&lt;=19,"Evening peak (16-19)",TRUE,"Late evening (20-23)")</f>
        <v>Late evening (20-23)</v>
      </c>
    </row>
    <row r="2039" spans="1:9">
      <c r="A2039" s="32">
        <v>41814</v>
      </c>
      <c r="B2039">
        <v>21</v>
      </c>
      <c r="C2039">
        <v>1344</v>
      </c>
      <c r="D2039" t="s">
        <v>303</v>
      </c>
      <c r="E2039">
        <f>YEAR(A2039)</f>
        <v>2014</v>
      </c>
      <c r="F2039" s="33">
        <f>DATE(YEAR(A2039),MONTH(A2039),1)</f>
        <v>41791.0</v>
      </c>
      <c r="G2039" t="str">
        <f>CHOOSE(WEEKDAY(A2039,2),"Mon","Tue","Wed","Thu","Fri","Sat","Sun")</f>
        <v>Tue</v>
      </c>
      <c r="H2039" t="str">
        <f>IF(WEEKDAY(A2039,2)&gt;5,"Weekend","Weekday")</f>
        <v>Weekday</v>
      </c>
      <c r="I2039" t="str">
        <f>_xlfn.IFS(B2039&lt;=5,"Night (0-5)",B2039&lt;=9,"Morning peak (6-9)",B2039&lt;=15,"Midday (10-15)",B2039&lt;=19,"Evening peak (16-19)",TRUE,"Late evening (20-23)")</f>
        <v>Late evening (20-23)</v>
      </c>
    </row>
    <row r="2040" spans="1:9">
      <c r="A2040" s="32">
        <v>41814</v>
      </c>
      <c r="B2040">
        <v>22</v>
      </c>
      <c r="C2040">
        <v>977</v>
      </c>
      <c r="D2040" t="s">
        <v>303</v>
      </c>
      <c r="E2040">
        <f>YEAR(A2040)</f>
        <v>2014</v>
      </c>
      <c r="F2040" s="33">
        <f>DATE(YEAR(A2040),MONTH(A2040),1)</f>
        <v>41791.0</v>
      </c>
      <c r="G2040" t="str">
        <f>CHOOSE(WEEKDAY(A2040,2),"Mon","Tue","Wed","Thu","Fri","Sat","Sun")</f>
        <v>Tue</v>
      </c>
      <c r="H2040" t="str">
        <f>IF(WEEKDAY(A2040,2)&gt;5,"Weekend","Weekday")</f>
        <v>Weekday</v>
      </c>
      <c r="I2040" t="str">
        <f>_xlfn.IFS(B2040&lt;=5,"Night (0-5)",B2040&lt;=9,"Morning peak (6-9)",B2040&lt;=15,"Midday (10-15)",B2040&lt;=19,"Evening peak (16-19)",TRUE,"Late evening (20-23)")</f>
        <v>Late evening (20-23)</v>
      </c>
    </row>
    <row r="2041" spans="1:9">
      <c r="A2041" s="32">
        <v>41814</v>
      </c>
      <c r="B2041">
        <v>23</v>
      </c>
      <c r="C2041">
        <v>507</v>
      </c>
      <c r="D2041" t="s">
        <v>303</v>
      </c>
      <c r="E2041">
        <f>YEAR(A2041)</f>
        <v>2014</v>
      </c>
      <c r="F2041" s="33">
        <f>DATE(YEAR(A2041),MONTH(A2041),1)</f>
        <v>41791.0</v>
      </c>
      <c r="G2041" t="str">
        <f>CHOOSE(WEEKDAY(A2041,2),"Mon","Tue","Wed","Thu","Fri","Sat","Sun")</f>
        <v>Tue</v>
      </c>
      <c r="H2041" t="str">
        <f>IF(WEEKDAY(A2041,2)&gt;5,"Weekend","Weekday")</f>
        <v>Weekday</v>
      </c>
      <c r="I2041" t="str">
        <f>_xlfn.IFS(B2041&lt;=5,"Night (0-5)",B2041&lt;=9,"Morning peak (6-9)",B2041&lt;=15,"Midday (10-15)",B2041&lt;=19,"Evening peak (16-19)",TRUE,"Late evening (20-23)")</f>
        <v>Late evening (20-23)</v>
      </c>
    </row>
    <row r="2042" spans="1:9">
      <c r="A2042" s="32">
        <v>41815</v>
      </c>
      <c r="B2042">
        <v>0</v>
      </c>
      <c r="C2042">
        <v>276</v>
      </c>
      <c r="D2042" t="s">
        <v>303</v>
      </c>
      <c r="E2042">
        <f>YEAR(A2042)</f>
        <v>2014</v>
      </c>
      <c r="F2042" s="33">
        <f>DATE(YEAR(A2042),MONTH(A2042),1)</f>
        <v>41791.0</v>
      </c>
      <c r="G2042" t="str">
        <f>CHOOSE(WEEKDAY(A2042,2),"Mon","Tue","Wed","Thu","Fri","Sat","Sun")</f>
        <v>Wed</v>
      </c>
      <c r="H2042" t="str">
        <f>IF(WEEKDAY(A2042,2)&gt;5,"Weekend","Weekday")</f>
        <v>Weekday</v>
      </c>
      <c r="I2042" t="str">
        <f>_xlfn.IFS(B2042&lt;=5,"Night (0-5)",B2042&lt;=9,"Morning peak (6-9)",B2042&lt;=15,"Midday (10-15)",B2042&lt;=19,"Evening peak (16-19)",TRUE,"Late evening (20-23)")</f>
        <v>Night (0-5)</v>
      </c>
    </row>
    <row r="2043" spans="1:9">
      <c r="A2043" s="32">
        <v>41815</v>
      </c>
      <c r="B2043">
        <v>1</v>
      </c>
      <c r="C2043">
        <v>132</v>
      </c>
      <c r="D2043" t="s">
        <v>303</v>
      </c>
      <c r="E2043">
        <f>YEAR(A2043)</f>
        <v>2014</v>
      </c>
      <c r="F2043" s="33">
        <f>DATE(YEAR(A2043),MONTH(A2043),1)</f>
        <v>41791.0</v>
      </c>
      <c r="G2043" t="str">
        <f>CHOOSE(WEEKDAY(A2043,2),"Mon","Tue","Wed","Thu","Fri","Sat","Sun")</f>
        <v>Wed</v>
      </c>
      <c r="H2043" t="str">
        <f>IF(WEEKDAY(A2043,2)&gt;5,"Weekend","Weekday")</f>
        <v>Weekday</v>
      </c>
      <c r="I2043" t="str">
        <f>_xlfn.IFS(B2043&lt;=5,"Night (0-5)",B2043&lt;=9,"Morning peak (6-9)",B2043&lt;=15,"Midday (10-15)",B2043&lt;=19,"Evening peak (16-19)",TRUE,"Late evening (20-23)")</f>
        <v>Night (0-5)</v>
      </c>
    </row>
    <row r="2044" spans="1:9">
      <c r="A2044" s="32">
        <v>41815</v>
      </c>
      <c r="B2044">
        <v>2</v>
      </c>
      <c r="C2044">
        <v>103</v>
      </c>
      <c r="D2044" t="s">
        <v>303</v>
      </c>
      <c r="E2044">
        <f>YEAR(A2044)</f>
        <v>2014</v>
      </c>
      <c r="F2044" s="33">
        <f>DATE(YEAR(A2044),MONTH(A2044),1)</f>
        <v>41791.0</v>
      </c>
      <c r="G2044" t="str">
        <f>CHOOSE(WEEKDAY(A2044,2),"Mon","Tue","Wed","Thu","Fri","Sat","Sun")</f>
        <v>Wed</v>
      </c>
      <c r="H2044" t="str">
        <f>IF(WEEKDAY(A2044,2)&gt;5,"Weekend","Weekday")</f>
        <v>Weekday</v>
      </c>
      <c r="I2044" t="str">
        <f>_xlfn.IFS(B2044&lt;=5,"Night (0-5)",B2044&lt;=9,"Morning peak (6-9)",B2044&lt;=15,"Midday (10-15)",B2044&lt;=19,"Evening peak (16-19)",TRUE,"Late evening (20-23)")</f>
        <v>Night (0-5)</v>
      </c>
    </row>
    <row r="2045" spans="1:9">
      <c r="A2045" s="32">
        <v>41815</v>
      </c>
      <c r="B2045">
        <v>3</v>
      </c>
      <c r="C2045">
        <v>179</v>
      </c>
      <c r="D2045" t="s">
        <v>303</v>
      </c>
      <c r="E2045">
        <f>YEAR(A2045)</f>
        <v>2014</v>
      </c>
      <c r="F2045" s="33">
        <f>DATE(YEAR(A2045),MONTH(A2045),1)</f>
        <v>41791.0</v>
      </c>
      <c r="G2045" t="str">
        <f>CHOOSE(WEEKDAY(A2045,2),"Mon","Tue","Wed","Thu","Fri","Sat","Sun")</f>
        <v>Wed</v>
      </c>
      <c r="H2045" t="str">
        <f>IF(WEEKDAY(A2045,2)&gt;5,"Weekend","Weekday")</f>
        <v>Weekday</v>
      </c>
      <c r="I2045" t="str">
        <f>_xlfn.IFS(B2045&lt;=5,"Night (0-5)",B2045&lt;=9,"Morning peak (6-9)",B2045&lt;=15,"Midday (10-15)",B2045&lt;=19,"Evening peak (16-19)",TRUE,"Late evening (20-23)")</f>
        <v>Night (0-5)</v>
      </c>
    </row>
    <row r="2046" spans="1:9">
      <c r="A2046" s="32">
        <v>41815</v>
      </c>
      <c r="B2046">
        <v>4</v>
      </c>
      <c r="C2046">
        <v>262</v>
      </c>
      <c r="D2046" t="s">
        <v>303</v>
      </c>
      <c r="E2046">
        <f>YEAR(A2046)</f>
        <v>2014</v>
      </c>
      <c r="F2046" s="33">
        <f>DATE(YEAR(A2046),MONTH(A2046),1)</f>
        <v>41791.0</v>
      </c>
      <c r="G2046" t="str">
        <f>CHOOSE(WEEKDAY(A2046,2),"Mon","Tue","Wed","Thu","Fri","Sat","Sun")</f>
        <v>Wed</v>
      </c>
      <c r="H2046" t="str">
        <f>IF(WEEKDAY(A2046,2)&gt;5,"Weekend","Weekday")</f>
        <v>Weekday</v>
      </c>
      <c r="I2046" t="str">
        <f>_xlfn.IFS(B2046&lt;=5,"Night (0-5)",B2046&lt;=9,"Morning peak (6-9)",B2046&lt;=15,"Midday (10-15)",B2046&lt;=19,"Evening peak (16-19)",TRUE,"Late evening (20-23)")</f>
        <v>Night (0-5)</v>
      </c>
    </row>
    <row r="2047" spans="1:9">
      <c r="A2047" s="32">
        <v>41815</v>
      </c>
      <c r="B2047">
        <v>5</v>
      </c>
      <c r="C2047">
        <v>427</v>
      </c>
      <c r="D2047" t="s">
        <v>303</v>
      </c>
      <c r="E2047">
        <f>YEAR(A2047)</f>
        <v>2014</v>
      </c>
      <c r="F2047" s="33">
        <f>DATE(YEAR(A2047),MONTH(A2047),1)</f>
        <v>41791.0</v>
      </c>
      <c r="G2047" t="str">
        <f>CHOOSE(WEEKDAY(A2047,2),"Mon","Tue","Wed","Thu","Fri","Sat","Sun")</f>
        <v>Wed</v>
      </c>
      <c r="H2047" t="str">
        <f>IF(WEEKDAY(A2047,2)&gt;5,"Weekend","Weekday")</f>
        <v>Weekday</v>
      </c>
      <c r="I2047" t="str">
        <f>_xlfn.IFS(B2047&lt;=5,"Night (0-5)",B2047&lt;=9,"Morning peak (6-9)",B2047&lt;=15,"Midday (10-15)",B2047&lt;=19,"Evening peak (16-19)",TRUE,"Late evening (20-23)")</f>
        <v>Night (0-5)</v>
      </c>
    </row>
    <row r="2048" spans="1:9">
      <c r="A2048" s="32">
        <v>41815</v>
      </c>
      <c r="B2048">
        <v>6</v>
      </c>
      <c r="C2048">
        <v>889</v>
      </c>
      <c r="D2048" t="s">
        <v>303</v>
      </c>
      <c r="E2048">
        <f>YEAR(A2048)</f>
        <v>2014</v>
      </c>
      <c r="F2048" s="33">
        <f>DATE(YEAR(A2048),MONTH(A2048),1)</f>
        <v>41791.0</v>
      </c>
      <c r="G2048" t="str">
        <f>CHOOSE(WEEKDAY(A2048,2),"Mon","Tue","Wed","Thu","Fri","Sat","Sun")</f>
        <v>Wed</v>
      </c>
      <c r="H2048" t="str">
        <f>IF(WEEKDAY(A2048,2)&gt;5,"Weekend","Weekday")</f>
        <v>Weekday</v>
      </c>
      <c r="I2048" t="str">
        <f>_xlfn.IFS(B2048&lt;=5,"Night (0-5)",B2048&lt;=9,"Morning peak (6-9)",B2048&lt;=15,"Midday (10-15)",B2048&lt;=19,"Evening peak (16-19)",TRUE,"Late evening (20-23)")</f>
        <v>Morning peak (6-9)</v>
      </c>
    </row>
    <row r="2049" spans="1:9">
      <c r="A2049" s="32">
        <v>41815</v>
      </c>
      <c r="B2049">
        <v>7</v>
      </c>
      <c r="C2049">
        <v>1449</v>
      </c>
      <c r="D2049" t="s">
        <v>303</v>
      </c>
      <c r="E2049">
        <f>YEAR(A2049)</f>
        <v>2014</v>
      </c>
      <c r="F2049" s="33">
        <f>DATE(YEAR(A2049),MONTH(A2049),1)</f>
        <v>41791.0</v>
      </c>
      <c r="G2049" t="str">
        <f>CHOOSE(WEEKDAY(A2049,2),"Mon","Tue","Wed","Thu","Fri","Sat","Sun")</f>
        <v>Wed</v>
      </c>
      <c r="H2049" t="str">
        <f>IF(WEEKDAY(A2049,2)&gt;5,"Weekend","Weekday")</f>
        <v>Weekday</v>
      </c>
      <c r="I2049" t="str">
        <f>_xlfn.IFS(B2049&lt;=5,"Night (0-5)",B2049&lt;=9,"Morning peak (6-9)",B2049&lt;=15,"Midday (10-15)",B2049&lt;=19,"Evening peak (16-19)",TRUE,"Late evening (20-23)")</f>
        <v>Morning peak (6-9)</v>
      </c>
    </row>
    <row r="2050" spans="1:9">
      <c r="A2050" s="32">
        <v>41815</v>
      </c>
      <c r="B2050">
        <v>8</v>
      </c>
      <c r="C2050">
        <v>1188</v>
      </c>
      <c r="D2050" t="s">
        <v>303</v>
      </c>
      <c r="E2050">
        <f>YEAR(A2050)</f>
        <v>2014</v>
      </c>
      <c r="F2050" s="33">
        <f>DATE(YEAR(A2050),MONTH(A2050),1)</f>
        <v>41791.0</v>
      </c>
      <c r="G2050" t="str">
        <f>CHOOSE(WEEKDAY(A2050,2),"Mon","Tue","Wed","Thu","Fri","Sat","Sun")</f>
        <v>Wed</v>
      </c>
      <c r="H2050" t="str">
        <f>IF(WEEKDAY(A2050,2)&gt;5,"Weekend","Weekday")</f>
        <v>Weekday</v>
      </c>
      <c r="I2050" t="str">
        <f>_xlfn.IFS(B2050&lt;=5,"Night (0-5)",B2050&lt;=9,"Morning peak (6-9)",B2050&lt;=15,"Midday (10-15)",B2050&lt;=19,"Evening peak (16-19)",TRUE,"Late evening (20-23)")</f>
        <v>Morning peak (6-9)</v>
      </c>
    </row>
    <row r="2051" spans="1:9">
      <c r="A2051" s="32">
        <v>41815</v>
      </c>
      <c r="B2051">
        <v>9</v>
      </c>
      <c r="C2051">
        <v>877</v>
      </c>
      <c r="D2051" t="s">
        <v>303</v>
      </c>
      <c r="E2051">
        <f>YEAR(A2051)</f>
        <v>2014</v>
      </c>
      <c r="F2051" s="33">
        <f>DATE(YEAR(A2051),MONTH(A2051),1)</f>
        <v>41791.0</v>
      </c>
      <c r="G2051" t="str">
        <f>CHOOSE(WEEKDAY(A2051,2),"Mon","Tue","Wed","Thu","Fri","Sat","Sun")</f>
        <v>Wed</v>
      </c>
      <c r="H2051" t="str">
        <f>IF(WEEKDAY(A2051,2)&gt;5,"Weekend","Weekday")</f>
        <v>Weekday</v>
      </c>
      <c r="I2051" t="str">
        <f>_xlfn.IFS(B2051&lt;=5,"Night (0-5)",B2051&lt;=9,"Morning peak (6-9)",B2051&lt;=15,"Midday (10-15)",B2051&lt;=19,"Evening peak (16-19)",TRUE,"Late evening (20-23)")</f>
        <v>Morning peak (6-9)</v>
      </c>
    </row>
    <row r="2052" spans="1:9">
      <c r="A2052" s="32">
        <v>41815</v>
      </c>
      <c r="B2052">
        <v>10</v>
      </c>
      <c r="C2052">
        <v>879</v>
      </c>
      <c r="D2052" t="s">
        <v>303</v>
      </c>
      <c r="E2052">
        <f>YEAR(A2052)</f>
        <v>2014</v>
      </c>
      <c r="F2052" s="33">
        <f>DATE(YEAR(A2052),MONTH(A2052),1)</f>
        <v>41791.0</v>
      </c>
      <c r="G2052" t="str">
        <f>CHOOSE(WEEKDAY(A2052,2),"Mon","Tue","Wed","Thu","Fri","Sat","Sun")</f>
        <v>Wed</v>
      </c>
      <c r="H2052" t="str">
        <f>IF(WEEKDAY(A2052,2)&gt;5,"Weekend","Weekday")</f>
        <v>Weekday</v>
      </c>
      <c r="I2052" t="str">
        <f>_xlfn.IFS(B2052&lt;=5,"Night (0-5)",B2052&lt;=9,"Morning peak (6-9)",B2052&lt;=15,"Midday (10-15)",B2052&lt;=19,"Evening peak (16-19)",TRUE,"Late evening (20-23)")</f>
        <v>Midday (10-15)</v>
      </c>
    </row>
    <row r="2053" spans="1:9">
      <c r="A2053" s="32">
        <v>41815</v>
      </c>
      <c r="B2053">
        <v>11</v>
      </c>
      <c r="C2053">
        <v>872</v>
      </c>
      <c r="D2053" t="s">
        <v>303</v>
      </c>
      <c r="E2053">
        <f>YEAR(A2053)</f>
        <v>2014</v>
      </c>
      <c r="F2053" s="33">
        <f>DATE(YEAR(A2053),MONTH(A2053),1)</f>
        <v>41791.0</v>
      </c>
      <c r="G2053" t="str">
        <f>CHOOSE(WEEKDAY(A2053,2),"Mon","Tue","Wed","Thu","Fri","Sat","Sun")</f>
        <v>Wed</v>
      </c>
      <c r="H2053" t="str">
        <f>IF(WEEKDAY(A2053,2)&gt;5,"Weekend","Weekday")</f>
        <v>Weekday</v>
      </c>
      <c r="I2053" t="str">
        <f>_xlfn.IFS(B2053&lt;=5,"Night (0-5)",B2053&lt;=9,"Morning peak (6-9)",B2053&lt;=15,"Midday (10-15)",B2053&lt;=19,"Evening peak (16-19)",TRUE,"Late evening (20-23)")</f>
        <v>Midday (10-15)</v>
      </c>
    </row>
    <row r="2054" spans="1:9">
      <c r="A2054" s="32">
        <v>41815</v>
      </c>
      <c r="B2054">
        <v>12</v>
      </c>
      <c r="C2054">
        <v>973</v>
      </c>
      <c r="D2054" t="s">
        <v>303</v>
      </c>
      <c r="E2054">
        <f>YEAR(A2054)</f>
        <v>2014</v>
      </c>
      <c r="F2054" s="33">
        <f>DATE(YEAR(A2054),MONTH(A2054),1)</f>
        <v>41791.0</v>
      </c>
      <c r="G2054" t="str">
        <f>CHOOSE(WEEKDAY(A2054,2),"Mon","Tue","Wed","Thu","Fri","Sat","Sun")</f>
        <v>Wed</v>
      </c>
      <c r="H2054" t="str">
        <f>IF(WEEKDAY(A2054,2)&gt;5,"Weekend","Weekday")</f>
        <v>Weekday</v>
      </c>
      <c r="I2054" t="str">
        <f>_xlfn.IFS(B2054&lt;=5,"Night (0-5)",B2054&lt;=9,"Morning peak (6-9)",B2054&lt;=15,"Midday (10-15)",B2054&lt;=19,"Evening peak (16-19)",TRUE,"Late evening (20-23)")</f>
        <v>Midday (10-15)</v>
      </c>
    </row>
    <row r="2055" spans="1:9">
      <c r="A2055" s="32">
        <v>41815</v>
      </c>
      <c r="B2055">
        <v>13</v>
      </c>
      <c r="C2055">
        <v>1055</v>
      </c>
      <c r="D2055" t="s">
        <v>303</v>
      </c>
      <c r="E2055">
        <f>YEAR(A2055)</f>
        <v>2014</v>
      </c>
      <c r="F2055" s="33">
        <f>DATE(YEAR(A2055),MONTH(A2055),1)</f>
        <v>41791.0</v>
      </c>
      <c r="G2055" t="str">
        <f>CHOOSE(WEEKDAY(A2055,2),"Mon","Tue","Wed","Thu","Fri","Sat","Sun")</f>
        <v>Wed</v>
      </c>
      <c r="H2055" t="str">
        <f>IF(WEEKDAY(A2055,2)&gt;5,"Weekend","Weekday")</f>
        <v>Weekday</v>
      </c>
      <c r="I2055" t="str">
        <f>_xlfn.IFS(B2055&lt;=5,"Night (0-5)",B2055&lt;=9,"Morning peak (6-9)",B2055&lt;=15,"Midday (10-15)",B2055&lt;=19,"Evening peak (16-19)",TRUE,"Late evening (20-23)")</f>
        <v>Midday (10-15)</v>
      </c>
    </row>
    <row r="2056" spans="1:9">
      <c r="A2056" s="32">
        <v>41815</v>
      </c>
      <c r="B2056">
        <v>14</v>
      </c>
      <c r="C2056">
        <v>1363</v>
      </c>
      <c r="D2056" t="s">
        <v>303</v>
      </c>
      <c r="E2056">
        <f>YEAR(A2056)</f>
        <v>2014</v>
      </c>
      <c r="F2056" s="33">
        <f>DATE(YEAR(A2056),MONTH(A2056),1)</f>
        <v>41791.0</v>
      </c>
      <c r="G2056" t="str">
        <f>CHOOSE(WEEKDAY(A2056,2),"Mon","Tue","Wed","Thu","Fri","Sat","Sun")</f>
        <v>Wed</v>
      </c>
      <c r="H2056" t="str">
        <f>IF(WEEKDAY(A2056,2)&gt;5,"Weekend","Weekday")</f>
        <v>Weekday</v>
      </c>
      <c r="I2056" t="str">
        <f>_xlfn.IFS(B2056&lt;=5,"Night (0-5)",B2056&lt;=9,"Morning peak (6-9)",B2056&lt;=15,"Midday (10-15)",B2056&lt;=19,"Evening peak (16-19)",TRUE,"Late evening (20-23)")</f>
        <v>Midday (10-15)</v>
      </c>
    </row>
    <row r="2057" spans="1:9">
      <c r="A2057" s="32">
        <v>41815</v>
      </c>
      <c r="B2057">
        <v>15</v>
      </c>
      <c r="C2057">
        <v>1658</v>
      </c>
      <c r="D2057" t="s">
        <v>303</v>
      </c>
      <c r="E2057">
        <f>YEAR(A2057)</f>
        <v>2014</v>
      </c>
      <c r="F2057" s="33">
        <f>DATE(YEAR(A2057),MONTH(A2057),1)</f>
        <v>41791.0</v>
      </c>
      <c r="G2057" t="str">
        <f>CHOOSE(WEEKDAY(A2057,2),"Mon","Tue","Wed","Thu","Fri","Sat","Sun")</f>
        <v>Wed</v>
      </c>
      <c r="H2057" t="str">
        <f>IF(WEEKDAY(A2057,2)&gt;5,"Weekend","Weekday")</f>
        <v>Weekday</v>
      </c>
      <c r="I2057" t="str">
        <f>_xlfn.IFS(B2057&lt;=5,"Night (0-5)",B2057&lt;=9,"Morning peak (6-9)",B2057&lt;=15,"Midday (10-15)",B2057&lt;=19,"Evening peak (16-19)",TRUE,"Late evening (20-23)")</f>
        <v>Midday (10-15)</v>
      </c>
    </row>
    <row r="2058" spans="1:9">
      <c r="A2058" s="32">
        <v>41815</v>
      </c>
      <c r="B2058">
        <v>16</v>
      </c>
      <c r="C2058">
        <v>1979</v>
      </c>
      <c r="D2058" t="s">
        <v>303</v>
      </c>
      <c r="E2058">
        <f>YEAR(A2058)</f>
        <v>2014</v>
      </c>
      <c r="F2058" s="33">
        <f>DATE(YEAR(A2058),MONTH(A2058),1)</f>
        <v>41791.0</v>
      </c>
      <c r="G2058" t="str">
        <f>CHOOSE(WEEKDAY(A2058,2),"Mon","Tue","Wed","Thu","Fri","Sat","Sun")</f>
        <v>Wed</v>
      </c>
      <c r="H2058" t="str">
        <f>IF(WEEKDAY(A2058,2)&gt;5,"Weekend","Weekday")</f>
        <v>Weekday</v>
      </c>
      <c r="I2058" t="str">
        <f>_xlfn.IFS(B2058&lt;=5,"Night (0-5)",B2058&lt;=9,"Morning peak (6-9)",B2058&lt;=15,"Midday (10-15)",B2058&lt;=19,"Evening peak (16-19)",TRUE,"Late evening (20-23)")</f>
        <v>Evening peak (16-19)</v>
      </c>
    </row>
    <row r="2059" spans="1:9">
      <c r="A2059" s="32">
        <v>41815</v>
      </c>
      <c r="B2059">
        <v>17</v>
      </c>
      <c r="C2059">
        <v>2176</v>
      </c>
      <c r="D2059" t="s">
        <v>303</v>
      </c>
      <c r="E2059">
        <f>YEAR(A2059)</f>
        <v>2014</v>
      </c>
      <c r="F2059" s="33">
        <f>DATE(YEAR(A2059),MONTH(A2059),1)</f>
        <v>41791.0</v>
      </c>
      <c r="G2059" t="str">
        <f>CHOOSE(WEEKDAY(A2059,2),"Mon","Tue","Wed","Thu","Fri","Sat","Sun")</f>
        <v>Wed</v>
      </c>
      <c r="H2059" t="str">
        <f>IF(WEEKDAY(A2059,2)&gt;5,"Weekend","Weekday")</f>
        <v>Weekday</v>
      </c>
      <c r="I2059" t="str">
        <f>_xlfn.IFS(B2059&lt;=5,"Night (0-5)",B2059&lt;=9,"Morning peak (6-9)",B2059&lt;=15,"Midday (10-15)",B2059&lt;=19,"Evening peak (16-19)",TRUE,"Late evening (20-23)")</f>
        <v>Evening peak (16-19)</v>
      </c>
    </row>
    <row r="2060" spans="1:9">
      <c r="A2060" s="32">
        <v>41815</v>
      </c>
      <c r="B2060">
        <v>18</v>
      </c>
      <c r="C2060">
        <v>2335</v>
      </c>
      <c r="D2060" t="s">
        <v>303</v>
      </c>
      <c r="E2060">
        <f>YEAR(A2060)</f>
        <v>2014</v>
      </c>
      <c r="F2060" s="33">
        <f>DATE(YEAR(A2060),MONTH(A2060),1)</f>
        <v>41791.0</v>
      </c>
      <c r="G2060" t="str">
        <f>CHOOSE(WEEKDAY(A2060,2),"Mon","Tue","Wed","Thu","Fri","Sat","Sun")</f>
        <v>Wed</v>
      </c>
      <c r="H2060" t="str">
        <f>IF(WEEKDAY(A2060,2)&gt;5,"Weekend","Weekday")</f>
        <v>Weekday</v>
      </c>
      <c r="I2060" t="str">
        <f>_xlfn.IFS(B2060&lt;=5,"Night (0-5)",B2060&lt;=9,"Morning peak (6-9)",B2060&lt;=15,"Midday (10-15)",B2060&lt;=19,"Evening peak (16-19)",TRUE,"Late evening (20-23)")</f>
        <v>Evening peak (16-19)</v>
      </c>
    </row>
    <row r="2061" spans="1:9">
      <c r="A2061" s="32">
        <v>41815</v>
      </c>
      <c r="B2061">
        <v>19</v>
      </c>
      <c r="C2061">
        <v>1645</v>
      </c>
      <c r="D2061" t="s">
        <v>303</v>
      </c>
      <c r="E2061">
        <f>YEAR(A2061)</f>
        <v>2014</v>
      </c>
      <c r="F2061" s="33">
        <f>DATE(YEAR(A2061),MONTH(A2061),1)</f>
        <v>41791.0</v>
      </c>
      <c r="G2061" t="str">
        <f>CHOOSE(WEEKDAY(A2061,2),"Mon","Tue","Wed","Thu","Fri","Sat","Sun")</f>
        <v>Wed</v>
      </c>
      <c r="H2061" t="str">
        <f>IF(WEEKDAY(A2061,2)&gt;5,"Weekend","Weekday")</f>
        <v>Weekday</v>
      </c>
      <c r="I2061" t="str">
        <f>_xlfn.IFS(B2061&lt;=5,"Night (0-5)",B2061&lt;=9,"Morning peak (6-9)",B2061&lt;=15,"Midday (10-15)",B2061&lt;=19,"Evening peak (16-19)",TRUE,"Late evening (20-23)")</f>
        <v>Evening peak (16-19)</v>
      </c>
    </row>
    <row r="2062" spans="1:9">
      <c r="A2062" s="32">
        <v>41815</v>
      </c>
      <c r="B2062">
        <v>20</v>
      </c>
      <c r="C2062">
        <v>1760</v>
      </c>
      <c r="D2062" t="s">
        <v>303</v>
      </c>
      <c r="E2062">
        <f>YEAR(A2062)</f>
        <v>2014</v>
      </c>
      <c r="F2062" s="33">
        <f>DATE(YEAR(A2062),MONTH(A2062),1)</f>
        <v>41791.0</v>
      </c>
      <c r="G2062" t="str">
        <f>CHOOSE(WEEKDAY(A2062,2),"Mon","Tue","Wed","Thu","Fri","Sat","Sun")</f>
        <v>Wed</v>
      </c>
      <c r="H2062" t="str">
        <f>IF(WEEKDAY(A2062,2)&gt;5,"Weekend","Weekday")</f>
        <v>Weekday</v>
      </c>
      <c r="I2062" t="str">
        <f>_xlfn.IFS(B2062&lt;=5,"Night (0-5)",B2062&lt;=9,"Morning peak (6-9)",B2062&lt;=15,"Midday (10-15)",B2062&lt;=19,"Evening peak (16-19)",TRUE,"Late evening (20-23)")</f>
        <v>Late evening (20-23)</v>
      </c>
    </row>
    <row r="2063" spans="1:9">
      <c r="A2063" s="32">
        <v>41815</v>
      </c>
      <c r="B2063">
        <v>21</v>
      </c>
      <c r="C2063">
        <v>1816</v>
      </c>
      <c r="D2063" t="s">
        <v>303</v>
      </c>
      <c r="E2063">
        <f>YEAR(A2063)</f>
        <v>2014</v>
      </c>
      <c r="F2063" s="33">
        <f>DATE(YEAR(A2063),MONTH(A2063),1)</f>
        <v>41791.0</v>
      </c>
      <c r="G2063" t="str">
        <f>CHOOSE(WEEKDAY(A2063,2),"Mon","Tue","Wed","Thu","Fri","Sat","Sun")</f>
        <v>Wed</v>
      </c>
      <c r="H2063" t="str">
        <f>IF(WEEKDAY(A2063,2)&gt;5,"Weekend","Weekday")</f>
        <v>Weekday</v>
      </c>
      <c r="I2063" t="str">
        <f>_xlfn.IFS(B2063&lt;=5,"Night (0-5)",B2063&lt;=9,"Morning peak (6-9)",B2063&lt;=15,"Midday (10-15)",B2063&lt;=19,"Evening peak (16-19)",TRUE,"Late evening (20-23)")</f>
        <v>Late evening (20-23)</v>
      </c>
    </row>
    <row r="2064" spans="1:9">
      <c r="A2064" s="32">
        <v>41815</v>
      </c>
      <c r="B2064">
        <v>22</v>
      </c>
      <c r="C2064">
        <v>1274</v>
      </c>
      <c r="D2064" t="s">
        <v>303</v>
      </c>
      <c r="E2064">
        <f>YEAR(A2064)</f>
        <v>2014</v>
      </c>
      <c r="F2064" s="33">
        <f>DATE(YEAR(A2064),MONTH(A2064),1)</f>
        <v>41791.0</v>
      </c>
      <c r="G2064" t="str">
        <f>CHOOSE(WEEKDAY(A2064,2),"Mon","Tue","Wed","Thu","Fri","Sat","Sun")</f>
        <v>Wed</v>
      </c>
      <c r="H2064" t="str">
        <f>IF(WEEKDAY(A2064,2)&gt;5,"Weekend","Weekday")</f>
        <v>Weekday</v>
      </c>
      <c r="I2064" t="str">
        <f>_xlfn.IFS(B2064&lt;=5,"Night (0-5)",B2064&lt;=9,"Morning peak (6-9)",B2064&lt;=15,"Midday (10-15)",B2064&lt;=19,"Evening peak (16-19)",TRUE,"Late evening (20-23)")</f>
        <v>Late evening (20-23)</v>
      </c>
    </row>
    <row r="2065" spans="1:9">
      <c r="A2065" s="32">
        <v>41815</v>
      </c>
      <c r="B2065">
        <v>23</v>
      </c>
      <c r="C2065">
        <v>893</v>
      </c>
      <c r="D2065" t="s">
        <v>303</v>
      </c>
      <c r="E2065">
        <f>YEAR(A2065)</f>
        <v>2014</v>
      </c>
      <c r="F2065" s="33">
        <f>DATE(YEAR(A2065),MONTH(A2065),1)</f>
        <v>41791.0</v>
      </c>
      <c r="G2065" t="str">
        <f>CHOOSE(WEEKDAY(A2065,2),"Mon","Tue","Wed","Thu","Fri","Sat","Sun")</f>
        <v>Wed</v>
      </c>
      <c r="H2065" t="str">
        <f>IF(WEEKDAY(A2065,2)&gt;5,"Weekend","Weekday")</f>
        <v>Weekday</v>
      </c>
      <c r="I2065" t="str">
        <f>_xlfn.IFS(B2065&lt;=5,"Night (0-5)",B2065&lt;=9,"Morning peak (6-9)",B2065&lt;=15,"Midday (10-15)",B2065&lt;=19,"Evening peak (16-19)",TRUE,"Late evening (20-23)")</f>
        <v>Late evening (20-23)</v>
      </c>
    </row>
    <row r="2066" spans="1:9">
      <c r="A2066" s="32">
        <v>41816</v>
      </c>
      <c r="B2066">
        <v>0</v>
      </c>
      <c r="C2066">
        <v>431</v>
      </c>
      <c r="D2066" t="s">
        <v>303</v>
      </c>
      <c r="E2066">
        <f>YEAR(A2066)</f>
        <v>2014</v>
      </c>
      <c r="F2066" s="33">
        <f>DATE(YEAR(A2066),MONTH(A2066),1)</f>
        <v>41791.0</v>
      </c>
      <c r="G2066" t="str">
        <f>CHOOSE(WEEKDAY(A2066,2),"Mon","Tue","Wed","Thu","Fri","Sat","Sun")</f>
        <v>Thu</v>
      </c>
      <c r="H2066" t="str">
        <f>IF(WEEKDAY(A2066,2)&gt;5,"Weekend","Weekday")</f>
        <v>Weekday</v>
      </c>
      <c r="I2066" t="str">
        <f>_xlfn.IFS(B2066&lt;=5,"Night (0-5)",B2066&lt;=9,"Morning peak (6-9)",B2066&lt;=15,"Midday (10-15)",B2066&lt;=19,"Evening peak (16-19)",TRUE,"Late evening (20-23)")</f>
        <v>Night (0-5)</v>
      </c>
    </row>
    <row r="2067" spans="1:9">
      <c r="A2067" s="32">
        <v>41816</v>
      </c>
      <c r="B2067">
        <v>1</v>
      </c>
      <c r="C2067">
        <v>275</v>
      </c>
      <c r="D2067" t="s">
        <v>303</v>
      </c>
      <c r="E2067">
        <f>YEAR(A2067)</f>
        <v>2014</v>
      </c>
      <c r="F2067" s="33">
        <f>DATE(YEAR(A2067),MONTH(A2067),1)</f>
        <v>41791.0</v>
      </c>
      <c r="G2067" t="str">
        <f>CHOOSE(WEEKDAY(A2067,2),"Mon","Tue","Wed","Thu","Fri","Sat","Sun")</f>
        <v>Thu</v>
      </c>
      <c r="H2067" t="str">
        <f>IF(WEEKDAY(A2067,2)&gt;5,"Weekend","Weekday")</f>
        <v>Weekday</v>
      </c>
      <c r="I2067" t="str">
        <f>_xlfn.IFS(B2067&lt;=5,"Night (0-5)",B2067&lt;=9,"Morning peak (6-9)",B2067&lt;=15,"Midday (10-15)",B2067&lt;=19,"Evening peak (16-19)",TRUE,"Late evening (20-23)")</f>
        <v>Night (0-5)</v>
      </c>
    </row>
    <row r="2068" spans="1:9">
      <c r="A2068" s="32">
        <v>41816</v>
      </c>
      <c r="B2068">
        <v>2</v>
      </c>
      <c r="C2068">
        <v>126</v>
      </c>
      <c r="D2068" t="s">
        <v>303</v>
      </c>
      <c r="E2068">
        <f>YEAR(A2068)</f>
        <v>2014</v>
      </c>
      <c r="F2068" s="33">
        <f>DATE(YEAR(A2068),MONTH(A2068),1)</f>
        <v>41791.0</v>
      </c>
      <c r="G2068" t="str">
        <f>CHOOSE(WEEKDAY(A2068,2),"Mon","Tue","Wed","Thu","Fri","Sat","Sun")</f>
        <v>Thu</v>
      </c>
      <c r="H2068" t="str">
        <f>IF(WEEKDAY(A2068,2)&gt;5,"Weekend","Weekday")</f>
        <v>Weekday</v>
      </c>
      <c r="I2068" t="str">
        <f>_xlfn.IFS(B2068&lt;=5,"Night (0-5)",B2068&lt;=9,"Morning peak (6-9)",B2068&lt;=15,"Midday (10-15)",B2068&lt;=19,"Evening peak (16-19)",TRUE,"Late evening (20-23)")</f>
        <v>Night (0-5)</v>
      </c>
    </row>
    <row r="2069" spans="1:9">
      <c r="A2069" s="32">
        <v>41816</v>
      </c>
      <c r="B2069">
        <v>3</v>
      </c>
      <c r="C2069">
        <v>207</v>
      </c>
      <c r="D2069" t="s">
        <v>303</v>
      </c>
      <c r="E2069">
        <f>YEAR(A2069)</f>
        <v>2014</v>
      </c>
      <c r="F2069" s="33">
        <f>DATE(YEAR(A2069),MONTH(A2069),1)</f>
        <v>41791.0</v>
      </c>
      <c r="G2069" t="str">
        <f>CHOOSE(WEEKDAY(A2069,2),"Mon","Tue","Wed","Thu","Fri","Sat","Sun")</f>
        <v>Thu</v>
      </c>
      <c r="H2069" t="str">
        <f>IF(WEEKDAY(A2069,2)&gt;5,"Weekend","Weekday")</f>
        <v>Weekday</v>
      </c>
      <c r="I2069" t="str">
        <f>_xlfn.IFS(B2069&lt;=5,"Night (0-5)",B2069&lt;=9,"Morning peak (6-9)",B2069&lt;=15,"Midday (10-15)",B2069&lt;=19,"Evening peak (16-19)",TRUE,"Late evening (20-23)")</f>
        <v>Night (0-5)</v>
      </c>
    </row>
    <row r="2070" spans="1:9">
      <c r="A2070" s="32">
        <v>41816</v>
      </c>
      <c r="B2070">
        <v>4</v>
      </c>
      <c r="C2070">
        <v>292</v>
      </c>
      <c r="D2070" t="s">
        <v>303</v>
      </c>
      <c r="E2070">
        <f>YEAR(A2070)</f>
        <v>2014</v>
      </c>
      <c r="F2070" s="33">
        <f>DATE(YEAR(A2070),MONTH(A2070),1)</f>
        <v>41791.0</v>
      </c>
      <c r="G2070" t="str">
        <f>CHOOSE(WEEKDAY(A2070,2),"Mon","Tue","Wed","Thu","Fri","Sat","Sun")</f>
        <v>Thu</v>
      </c>
      <c r="H2070" t="str">
        <f>IF(WEEKDAY(A2070,2)&gt;5,"Weekend","Weekday")</f>
        <v>Weekday</v>
      </c>
      <c r="I2070" t="str">
        <f>_xlfn.IFS(B2070&lt;=5,"Night (0-5)",B2070&lt;=9,"Morning peak (6-9)",B2070&lt;=15,"Midday (10-15)",B2070&lt;=19,"Evening peak (16-19)",TRUE,"Late evening (20-23)")</f>
        <v>Night (0-5)</v>
      </c>
    </row>
    <row r="2071" spans="1:9">
      <c r="A2071" s="32">
        <v>41816</v>
      </c>
      <c r="B2071">
        <v>5</v>
      </c>
      <c r="C2071">
        <v>470</v>
      </c>
      <c r="D2071" t="s">
        <v>303</v>
      </c>
      <c r="E2071">
        <f>YEAR(A2071)</f>
        <v>2014</v>
      </c>
      <c r="F2071" s="33">
        <f>DATE(YEAR(A2071),MONTH(A2071),1)</f>
        <v>41791.0</v>
      </c>
      <c r="G2071" t="str">
        <f>CHOOSE(WEEKDAY(A2071,2),"Mon","Tue","Wed","Thu","Fri","Sat","Sun")</f>
        <v>Thu</v>
      </c>
      <c r="H2071" t="str">
        <f>IF(WEEKDAY(A2071,2)&gt;5,"Weekend","Weekday")</f>
        <v>Weekday</v>
      </c>
      <c r="I2071" t="str">
        <f>_xlfn.IFS(B2071&lt;=5,"Night (0-5)",B2071&lt;=9,"Morning peak (6-9)",B2071&lt;=15,"Midday (10-15)",B2071&lt;=19,"Evening peak (16-19)",TRUE,"Late evening (20-23)")</f>
        <v>Night (0-5)</v>
      </c>
    </row>
    <row r="2072" spans="1:9">
      <c r="A2072" s="32">
        <v>41816</v>
      </c>
      <c r="B2072">
        <v>6</v>
      </c>
      <c r="C2072">
        <v>923</v>
      </c>
      <c r="D2072" t="s">
        <v>303</v>
      </c>
      <c r="E2072">
        <f>YEAR(A2072)</f>
        <v>2014</v>
      </c>
      <c r="F2072" s="33">
        <f>DATE(YEAR(A2072),MONTH(A2072),1)</f>
        <v>41791.0</v>
      </c>
      <c r="G2072" t="str">
        <f>CHOOSE(WEEKDAY(A2072,2),"Mon","Tue","Wed","Thu","Fri","Sat","Sun")</f>
        <v>Thu</v>
      </c>
      <c r="H2072" t="str">
        <f>IF(WEEKDAY(A2072,2)&gt;5,"Weekend","Weekday")</f>
        <v>Weekday</v>
      </c>
      <c r="I2072" t="str">
        <f>_xlfn.IFS(B2072&lt;=5,"Night (0-5)",B2072&lt;=9,"Morning peak (6-9)",B2072&lt;=15,"Midday (10-15)",B2072&lt;=19,"Evening peak (16-19)",TRUE,"Late evening (20-23)")</f>
        <v>Morning peak (6-9)</v>
      </c>
    </row>
    <row r="2073" spans="1:9">
      <c r="A2073" s="32">
        <v>41816</v>
      </c>
      <c r="B2073">
        <v>7</v>
      </c>
      <c r="C2073">
        <v>1322</v>
      </c>
      <c r="D2073" t="s">
        <v>303</v>
      </c>
      <c r="E2073">
        <f>YEAR(A2073)</f>
        <v>2014</v>
      </c>
      <c r="F2073" s="33">
        <f>DATE(YEAR(A2073),MONTH(A2073),1)</f>
        <v>41791.0</v>
      </c>
      <c r="G2073" t="str">
        <f>CHOOSE(WEEKDAY(A2073,2),"Mon","Tue","Wed","Thu","Fri","Sat","Sun")</f>
        <v>Thu</v>
      </c>
      <c r="H2073" t="str">
        <f>IF(WEEKDAY(A2073,2)&gt;5,"Weekend","Weekday")</f>
        <v>Weekday</v>
      </c>
      <c r="I2073" t="str">
        <f>_xlfn.IFS(B2073&lt;=5,"Night (0-5)",B2073&lt;=9,"Morning peak (6-9)",B2073&lt;=15,"Midday (10-15)",B2073&lt;=19,"Evening peak (16-19)",TRUE,"Late evening (20-23)")</f>
        <v>Morning peak (6-9)</v>
      </c>
    </row>
    <row r="2074" spans="1:9">
      <c r="A2074" s="32">
        <v>41816</v>
      </c>
      <c r="B2074">
        <v>8</v>
      </c>
      <c r="C2074">
        <v>1283</v>
      </c>
      <c r="D2074" t="s">
        <v>303</v>
      </c>
      <c r="E2074">
        <f>YEAR(A2074)</f>
        <v>2014</v>
      </c>
      <c r="F2074" s="33">
        <f>DATE(YEAR(A2074),MONTH(A2074),1)</f>
        <v>41791.0</v>
      </c>
      <c r="G2074" t="str">
        <f>CHOOSE(WEEKDAY(A2074,2),"Mon","Tue","Wed","Thu","Fri","Sat","Sun")</f>
        <v>Thu</v>
      </c>
      <c r="H2074" t="str">
        <f>IF(WEEKDAY(A2074,2)&gt;5,"Weekend","Weekday")</f>
        <v>Weekday</v>
      </c>
      <c r="I2074" t="str">
        <f>_xlfn.IFS(B2074&lt;=5,"Night (0-5)",B2074&lt;=9,"Morning peak (6-9)",B2074&lt;=15,"Midday (10-15)",B2074&lt;=19,"Evening peak (16-19)",TRUE,"Late evening (20-23)")</f>
        <v>Morning peak (6-9)</v>
      </c>
    </row>
    <row r="2075" spans="1:9">
      <c r="A2075" s="32">
        <v>41816</v>
      </c>
      <c r="B2075">
        <v>9</v>
      </c>
      <c r="C2075">
        <v>988</v>
      </c>
      <c r="D2075" t="s">
        <v>303</v>
      </c>
      <c r="E2075">
        <f>YEAR(A2075)</f>
        <v>2014</v>
      </c>
      <c r="F2075" s="33">
        <f>DATE(YEAR(A2075),MONTH(A2075),1)</f>
        <v>41791.0</v>
      </c>
      <c r="G2075" t="str">
        <f>CHOOSE(WEEKDAY(A2075,2),"Mon","Tue","Wed","Thu","Fri","Sat","Sun")</f>
        <v>Thu</v>
      </c>
      <c r="H2075" t="str">
        <f>IF(WEEKDAY(A2075,2)&gt;5,"Weekend","Weekday")</f>
        <v>Weekday</v>
      </c>
      <c r="I2075" t="str">
        <f>_xlfn.IFS(B2075&lt;=5,"Night (0-5)",B2075&lt;=9,"Morning peak (6-9)",B2075&lt;=15,"Midday (10-15)",B2075&lt;=19,"Evening peak (16-19)",TRUE,"Late evening (20-23)")</f>
        <v>Morning peak (6-9)</v>
      </c>
    </row>
    <row r="2076" spans="1:9">
      <c r="A2076" s="32">
        <v>41816</v>
      </c>
      <c r="B2076">
        <v>10</v>
      </c>
      <c r="C2076">
        <v>1037</v>
      </c>
      <c r="D2076" t="s">
        <v>303</v>
      </c>
      <c r="E2076">
        <f>YEAR(A2076)</f>
        <v>2014</v>
      </c>
      <c r="F2076" s="33">
        <f>DATE(YEAR(A2076),MONTH(A2076),1)</f>
        <v>41791.0</v>
      </c>
      <c r="G2076" t="str">
        <f>CHOOSE(WEEKDAY(A2076,2),"Mon","Tue","Wed","Thu","Fri","Sat","Sun")</f>
        <v>Thu</v>
      </c>
      <c r="H2076" t="str">
        <f>IF(WEEKDAY(A2076,2)&gt;5,"Weekend","Weekday")</f>
        <v>Weekday</v>
      </c>
      <c r="I2076" t="str">
        <f>_xlfn.IFS(B2076&lt;=5,"Night (0-5)",B2076&lt;=9,"Morning peak (6-9)",B2076&lt;=15,"Midday (10-15)",B2076&lt;=19,"Evening peak (16-19)",TRUE,"Late evening (20-23)")</f>
        <v>Midday (10-15)</v>
      </c>
    </row>
    <row r="2077" spans="1:9">
      <c r="A2077" s="32">
        <v>41816</v>
      </c>
      <c r="B2077">
        <v>11</v>
      </c>
      <c r="C2077">
        <v>900</v>
      </c>
      <c r="D2077" t="s">
        <v>303</v>
      </c>
      <c r="E2077">
        <f>YEAR(A2077)</f>
        <v>2014</v>
      </c>
      <c r="F2077" s="33">
        <f>DATE(YEAR(A2077),MONTH(A2077),1)</f>
        <v>41791.0</v>
      </c>
      <c r="G2077" t="str">
        <f>CHOOSE(WEEKDAY(A2077,2),"Mon","Tue","Wed","Thu","Fri","Sat","Sun")</f>
        <v>Thu</v>
      </c>
      <c r="H2077" t="str">
        <f>IF(WEEKDAY(A2077,2)&gt;5,"Weekend","Weekday")</f>
        <v>Weekday</v>
      </c>
      <c r="I2077" t="str">
        <f>_xlfn.IFS(B2077&lt;=5,"Night (0-5)",B2077&lt;=9,"Morning peak (6-9)",B2077&lt;=15,"Midday (10-15)",B2077&lt;=19,"Evening peak (16-19)",TRUE,"Late evening (20-23)")</f>
        <v>Midday (10-15)</v>
      </c>
    </row>
    <row r="2078" spans="1:9">
      <c r="A2078" s="32">
        <v>41816</v>
      </c>
      <c r="B2078">
        <v>12</v>
      </c>
      <c r="C2078">
        <v>941</v>
      </c>
      <c r="D2078" t="s">
        <v>303</v>
      </c>
      <c r="E2078">
        <f>YEAR(A2078)</f>
        <v>2014</v>
      </c>
      <c r="F2078" s="33">
        <f>DATE(YEAR(A2078),MONTH(A2078),1)</f>
        <v>41791.0</v>
      </c>
      <c r="G2078" t="str">
        <f>CHOOSE(WEEKDAY(A2078,2),"Mon","Tue","Wed","Thu","Fri","Sat","Sun")</f>
        <v>Thu</v>
      </c>
      <c r="H2078" t="str">
        <f>IF(WEEKDAY(A2078,2)&gt;5,"Weekend","Weekday")</f>
        <v>Weekday</v>
      </c>
      <c r="I2078" t="str">
        <f>_xlfn.IFS(B2078&lt;=5,"Night (0-5)",B2078&lt;=9,"Morning peak (6-9)",B2078&lt;=15,"Midday (10-15)",B2078&lt;=19,"Evening peak (16-19)",TRUE,"Late evening (20-23)")</f>
        <v>Midday (10-15)</v>
      </c>
    </row>
    <row r="2079" spans="1:9">
      <c r="A2079" s="32">
        <v>41816</v>
      </c>
      <c r="B2079">
        <v>13</v>
      </c>
      <c r="C2079">
        <v>1176</v>
      </c>
      <c r="D2079" t="s">
        <v>303</v>
      </c>
      <c r="E2079">
        <f>YEAR(A2079)</f>
        <v>2014</v>
      </c>
      <c r="F2079" s="33">
        <f>DATE(YEAR(A2079),MONTH(A2079),1)</f>
        <v>41791.0</v>
      </c>
      <c r="G2079" t="str">
        <f>CHOOSE(WEEKDAY(A2079,2),"Mon","Tue","Wed","Thu","Fri","Sat","Sun")</f>
        <v>Thu</v>
      </c>
      <c r="H2079" t="str">
        <f>IF(WEEKDAY(A2079,2)&gt;5,"Weekend","Weekday")</f>
        <v>Weekday</v>
      </c>
      <c r="I2079" t="str">
        <f>_xlfn.IFS(B2079&lt;=5,"Night (0-5)",B2079&lt;=9,"Morning peak (6-9)",B2079&lt;=15,"Midday (10-15)",B2079&lt;=19,"Evening peak (16-19)",TRUE,"Late evening (20-23)")</f>
        <v>Midday (10-15)</v>
      </c>
    </row>
    <row r="2080" spans="1:9">
      <c r="A2080" s="32">
        <v>41816</v>
      </c>
      <c r="B2080">
        <v>14</v>
      </c>
      <c r="C2080">
        <v>1454</v>
      </c>
      <c r="D2080" t="s">
        <v>303</v>
      </c>
      <c r="E2080">
        <f>YEAR(A2080)</f>
        <v>2014</v>
      </c>
      <c r="F2080" s="33">
        <f>DATE(YEAR(A2080),MONTH(A2080),1)</f>
        <v>41791.0</v>
      </c>
      <c r="G2080" t="str">
        <f>CHOOSE(WEEKDAY(A2080,2),"Mon","Tue","Wed","Thu","Fri","Sat","Sun")</f>
        <v>Thu</v>
      </c>
      <c r="H2080" t="str">
        <f>IF(WEEKDAY(A2080,2)&gt;5,"Weekend","Weekday")</f>
        <v>Weekday</v>
      </c>
      <c r="I2080" t="str">
        <f>_xlfn.IFS(B2080&lt;=5,"Night (0-5)",B2080&lt;=9,"Morning peak (6-9)",B2080&lt;=15,"Midday (10-15)",B2080&lt;=19,"Evening peak (16-19)",TRUE,"Late evening (20-23)")</f>
        <v>Midday (10-15)</v>
      </c>
    </row>
    <row r="2081" spans="1:9">
      <c r="A2081" s="32">
        <v>41816</v>
      </c>
      <c r="B2081">
        <v>15</v>
      </c>
      <c r="C2081">
        <v>1758</v>
      </c>
      <c r="D2081" t="s">
        <v>303</v>
      </c>
      <c r="E2081">
        <f>YEAR(A2081)</f>
        <v>2014</v>
      </c>
      <c r="F2081" s="33">
        <f>DATE(YEAR(A2081),MONTH(A2081),1)</f>
        <v>41791.0</v>
      </c>
      <c r="G2081" t="str">
        <f>CHOOSE(WEEKDAY(A2081,2),"Mon","Tue","Wed","Thu","Fri","Sat","Sun")</f>
        <v>Thu</v>
      </c>
      <c r="H2081" t="str">
        <f>IF(WEEKDAY(A2081,2)&gt;5,"Weekend","Weekday")</f>
        <v>Weekday</v>
      </c>
      <c r="I2081" t="str">
        <f>_xlfn.IFS(B2081&lt;=5,"Night (0-5)",B2081&lt;=9,"Morning peak (6-9)",B2081&lt;=15,"Midday (10-15)",B2081&lt;=19,"Evening peak (16-19)",TRUE,"Late evening (20-23)")</f>
        <v>Midday (10-15)</v>
      </c>
    </row>
    <row r="2082" spans="1:9">
      <c r="A2082" s="32">
        <v>41816</v>
      </c>
      <c r="B2082">
        <v>16</v>
      </c>
      <c r="C2082">
        <v>1889</v>
      </c>
      <c r="D2082" t="s">
        <v>303</v>
      </c>
      <c r="E2082">
        <f>YEAR(A2082)</f>
        <v>2014</v>
      </c>
      <c r="F2082" s="33">
        <f>DATE(YEAR(A2082),MONTH(A2082),1)</f>
        <v>41791.0</v>
      </c>
      <c r="G2082" t="str">
        <f>CHOOSE(WEEKDAY(A2082,2),"Mon","Tue","Wed","Thu","Fri","Sat","Sun")</f>
        <v>Thu</v>
      </c>
      <c r="H2082" t="str">
        <f>IF(WEEKDAY(A2082,2)&gt;5,"Weekend","Weekday")</f>
        <v>Weekday</v>
      </c>
      <c r="I2082" t="str">
        <f>_xlfn.IFS(B2082&lt;=5,"Night (0-5)",B2082&lt;=9,"Morning peak (6-9)",B2082&lt;=15,"Midday (10-15)",B2082&lt;=19,"Evening peak (16-19)",TRUE,"Late evening (20-23)")</f>
        <v>Evening peak (16-19)</v>
      </c>
    </row>
    <row r="2083" spans="1:9">
      <c r="A2083" s="32">
        <v>41816</v>
      </c>
      <c r="B2083">
        <v>17</v>
      </c>
      <c r="C2083">
        <v>2214</v>
      </c>
      <c r="D2083" t="s">
        <v>303</v>
      </c>
      <c r="E2083">
        <f>YEAR(A2083)</f>
        <v>2014</v>
      </c>
      <c r="F2083" s="33">
        <f>DATE(YEAR(A2083),MONTH(A2083),1)</f>
        <v>41791.0</v>
      </c>
      <c r="G2083" t="str">
        <f>CHOOSE(WEEKDAY(A2083,2),"Mon","Tue","Wed","Thu","Fri","Sat","Sun")</f>
        <v>Thu</v>
      </c>
      <c r="H2083" t="str">
        <f>IF(WEEKDAY(A2083,2)&gt;5,"Weekend","Weekday")</f>
        <v>Weekday</v>
      </c>
      <c r="I2083" t="str">
        <f>_xlfn.IFS(B2083&lt;=5,"Night (0-5)",B2083&lt;=9,"Morning peak (6-9)",B2083&lt;=15,"Midday (10-15)",B2083&lt;=19,"Evening peak (16-19)",TRUE,"Late evening (20-23)")</f>
        <v>Evening peak (16-19)</v>
      </c>
    </row>
    <row r="2084" spans="1:9">
      <c r="A2084" s="32">
        <v>41816</v>
      </c>
      <c r="B2084">
        <v>18</v>
      </c>
      <c r="C2084">
        <v>2078</v>
      </c>
      <c r="D2084" t="s">
        <v>303</v>
      </c>
      <c r="E2084">
        <f>YEAR(A2084)</f>
        <v>2014</v>
      </c>
      <c r="F2084" s="33">
        <f>DATE(YEAR(A2084),MONTH(A2084),1)</f>
        <v>41791.0</v>
      </c>
      <c r="G2084" t="str">
        <f>CHOOSE(WEEKDAY(A2084,2),"Mon","Tue","Wed","Thu","Fri","Sat","Sun")</f>
        <v>Thu</v>
      </c>
      <c r="H2084" t="str">
        <f>IF(WEEKDAY(A2084,2)&gt;5,"Weekend","Weekday")</f>
        <v>Weekday</v>
      </c>
      <c r="I2084" t="str">
        <f>_xlfn.IFS(B2084&lt;=5,"Night (0-5)",B2084&lt;=9,"Morning peak (6-9)",B2084&lt;=15,"Midday (10-15)",B2084&lt;=19,"Evening peak (16-19)",TRUE,"Late evening (20-23)")</f>
        <v>Evening peak (16-19)</v>
      </c>
    </row>
    <row r="2085" spans="1:9">
      <c r="A2085" s="32">
        <v>41816</v>
      </c>
      <c r="B2085">
        <v>19</v>
      </c>
      <c r="C2085">
        <v>1828</v>
      </c>
      <c r="D2085" t="s">
        <v>303</v>
      </c>
      <c r="E2085">
        <f>YEAR(A2085)</f>
        <v>2014</v>
      </c>
      <c r="F2085" s="33">
        <f>DATE(YEAR(A2085),MONTH(A2085),1)</f>
        <v>41791.0</v>
      </c>
      <c r="G2085" t="str">
        <f>CHOOSE(WEEKDAY(A2085,2),"Mon","Tue","Wed","Thu","Fri","Sat","Sun")</f>
        <v>Thu</v>
      </c>
      <c r="H2085" t="str">
        <f>IF(WEEKDAY(A2085,2)&gt;5,"Weekend","Weekday")</f>
        <v>Weekday</v>
      </c>
      <c r="I2085" t="str">
        <f>_xlfn.IFS(B2085&lt;=5,"Night (0-5)",B2085&lt;=9,"Morning peak (6-9)",B2085&lt;=15,"Midday (10-15)",B2085&lt;=19,"Evening peak (16-19)",TRUE,"Late evening (20-23)")</f>
        <v>Evening peak (16-19)</v>
      </c>
    </row>
    <row r="2086" spans="1:9">
      <c r="A2086" s="32">
        <v>41816</v>
      </c>
      <c r="B2086">
        <v>20</v>
      </c>
      <c r="C2086">
        <v>2028</v>
      </c>
      <c r="D2086" t="s">
        <v>303</v>
      </c>
      <c r="E2086">
        <f>YEAR(A2086)</f>
        <v>2014</v>
      </c>
      <c r="F2086" s="33">
        <f>DATE(YEAR(A2086),MONTH(A2086),1)</f>
        <v>41791.0</v>
      </c>
      <c r="G2086" t="str">
        <f>CHOOSE(WEEKDAY(A2086,2),"Mon","Tue","Wed","Thu","Fri","Sat","Sun")</f>
        <v>Thu</v>
      </c>
      <c r="H2086" t="str">
        <f>IF(WEEKDAY(A2086,2)&gt;5,"Weekend","Weekday")</f>
        <v>Weekday</v>
      </c>
      <c r="I2086" t="str">
        <f>_xlfn.IFS(B2086&lt;=5,"Night (0-5)",B2086&lt;=9,"Morning peak (6-9)",B2086&lt;=15,"Midday (10-15)",B2086&lt;=19,"Evening peak (16-19)",TRUE,"Late evening (20-23)")</f>
        <v>Late evening (20-23)</v>
      </c>
    </row>
    <row r="2087" spans="1:9">
      <c r="A2087" s="32">
        <v>41816</v>
      </c>
      <c r="B2087">
        <v>21</v>
      </c>
      <c r="C2087">
        <v>2086</v>
      </c>
      <c r="D2087" t="s">
        <v>303</v>
      </c>
      <c r="E2087">
        <f>YEAR(A2087)</f>
        <v>2014</v>
      </c>
      <c r="F2087" s="33">
        <f>DATE(YEAR(A2087),MONTH(A2087),1)</f>
        <v>41791.0</v>
      </c>
      <c r="G2087" t="str">
        <f>CHOOSE(WEEKDAY(A2087,2),"Mon","Tue","Wed","Thu","Fri","Sat","Sun")</f>
        <v>Thu</v>
      </c>
      <c r="H2087" t="str">
        <f>IF(WEEKDAY(A2087,2)&gt;5,"Weekend","Weekday")</f>
        <v>Weekday</v>
      </c>
      <c r="I2087" t="str">
        <f>_xlfn.IFS(B2087&lt;=5,"Night (0-5)",B2087&lt;=9,"Morning peak (6-9)",B2087&lt;=15,"Midday (10-15)",B2087&lt;=19,"Evening peak (16-19)",TRUE,"Late evening (20-23)")</f>
        <v>Late evening (20-23)</v>
      </c>
    </row>
    <row r="2088" spans="1:9">
      <c r="A2088" s="32">
        <v>41816</v>
      </c>
      <c r="B2088">
        <v>22</v>
      </c>
      <c r="C2088">
        <v>1758</v>
      </c>
      <c r="D2088" t="s">
        <v>303</v>
      </c>
      <c r="E2088">
        <f>YEAR(A2088)</f>
        <v>2014</v>
      </c>
      <c r="F2088" s="33">
        <f>DATE(YEAR(A2088),MONTH(A2088),1)</f>
        <v>41791.0</v>
      </c>
      <c r="G2088" t="str">
        <f>CHOOSE(WEEKDAY(A2088,2),"Mon","Tue","Wed","Thu","Fri","Sat","Sun")</f>
        <v>Thu</v>
      </c>
      <c r="H2088" t="str">
        <f>IF(WEEKDAY(A2088,2)&gt;5,"Weekend","Weekday")</f>
        <v>Weekday</v>
      </c>
      <c r="I2088" t="str">
        <f>_xlfn.IFS(B2088&lt;=5,"Night (0-5)",B2088&lt;=9,"Morning peak (6-9)",B2088&lt;=15,"Midday (10-15)",B2088&lt;=19,"Evening peak (16-19)",TRUE,"Late evening (20-23)")</f>
        <v>Late evening (20-23)</v>
      </c>
    </row>
    <row r="2089" spans="1:9">
      <c r="A2089" s="32">
        <v>41816</v>
      </c>
      <c r="B2089">
        <v>23</v>
      </c>
      <c r="C2089">
        <v>1052</v>
      </c>
      <c r="D2089" t="s">
        <v>303</v>
      </c>
      <c r="E2089">
        <f>YEAR(A2089)</f>
        <v>2014</v>
      </c>
      <c r="F2089" s="33">
        <f>DATE(YEAR(A2089),MONTH(A2089),1)</f>
        <v>41791.0</v>
      </c>
      <c r="G2089" t="str">
        <f>CHOOSE(WEEKDAY(A2089,2),"Mon","Tue","Wed","Thu","Fri","Sat","Sun")</f>
        <v>Thu</v>
      </c>
      <c r="H2089" t="str">
        <f>IF(WEEKDAY(A2089,2)&gt;5,"Weekend","Weekday")</f>
        <v>Weekday</v>
      </c>
      <c r="I2089" t="str">
        <f>_xlfn.IFS(B2089&lt;=5,"Night (0-5)",B2089&lt;=9,"Morning peak (6-9)",B2089&lt;=15,"Midday (10-15)",B2089&lt;=19,"Evening peak (16-19)",TRUE,"Late evening (20-23)")</f>
        <v>Late evening (20-23)</v>
      </c>
    </row>
    <row r="2090" spans="1:9">
      <c r="A2090" s="32">
        <v>41817</v>
      </c>
      <c r="B2090">
        <v>0</v>
      </c>
      <c r="C2090">
        <v>475</v>
      </c>
      <c r="D2090" t="s">
        <v>303</v>
      </c>
      <c r="E2090">
        <f>YEAR(A2090)</f>
        <v>2014</v>
      </c>
      <c r="F2090" s="33">
        <f>DATE(YEAR(A2090),MONTH(A2090),1)</f>
        <v>41791.0</v>
      </c>
      <c r="G2090" t="str">
        <f>CHOOSE(WEEKDAY(A2090,2),"Mon","Tue","Wed","Thu","Fri","Sat","Sun")</f>
        <v>Fri</v>
      </c>
      <c r="H2090" t="str">
        <f>IF(WEEKDAY(A2090,2)&gt;5,"Weekend","Weekday")</f>
        <v>Weekday</v>
      </c>
      <c r="I2090" t="str">
        <f>_xlfn.IFS(B2090&lt;=5,"Night (0-5)",B2090&lt;=9,"Morning peak (6-9)",B2090&lt;=15,"Midday (10-15)",B2090&lt;=19,"Evening peak (16-19)",TRUE,"Late evening (20-23)")</f>
        <v>Night (0-5)</v>
      </c>
    </row>
    <row r="2091" spans="1:9">
      <c r="A2091" s="32">
        <v>41817</v>
      </c>
      <c r="B2091">
        <v>1</v>
      </c>
      <c r="C2091">
        <v>280</v>
      </c>
      <c r="D2091" t="s">
        <v>303</v>
      </c>
      <c r="E2091">
        <f>YEAR(A2091)</f>
        <v>2014</v>
      </c>
      <c r="F2091" s="33">
        <f>DATE(YEAR(A2091),MONTH(A2091),1)</f>
        <v>41791.0</v>
      </c>
      <c r="G2091" t="str">
        <f>CHOOSE(WEEKDAY(A2091,2),"Mon","Tue","Wed","Thu","Fri","Sat","Sun")</f>
        <v>Fri</v>
      </c>
      <c r="H2091" t="str">
        <f>IF(WEEKDAY(A2091,2)&gt;5,"Weekend","Weekday")</f>
        <v>Weekday</v>
      </c>
      <c r="I2091" t="str">
        <f>_xlfn.IFS(B2091&lt;=5,"Night (0-5)",B2091&lt;=9,"Morning peak (6-9)",B2091&lt;=15,"Midday (10-15)",B2091&lt;=19,"Evening peak (16-19)",TRUE,"Late evening (20-23)")</f>
        <v>Night (0-5)</v>
      </c>
    </row>
    <row r="2092" spans="1:9">
      <c r="A2092" s="32">
        <v>41817</v>
      </c>
      <c r="B2092">
        <v>2</v>
      </c>
      <c r="C2092">
        <v>170</v>
      </c>
      <c r="D2092" t="s">
        <v>303</v>
      </c>
      <c r="E2092">
        <f>YEAR(A2092)</f>
        <v>2014</v>
      </c>
      <c r="F2092" s="33">
        <f>DATE(YEAR(A2092),MONTH(A2092),1)</f>
        <v>41791.0</v>
      </c>
      <c r="G2092" t="str">
        <f>CHOOSE(WEEKDAY(A2092,2),"Mon","Tue","Wed","Thu","Fri","Sat","Sun")</f>
        <v>Fri</v>
      </c>
      <c r="H2092" t="str">
        <f>IF(WEEKDAY(A2092,2)&gt;5,"Weekend","Weekday")</f>
        <v>Weekday</v>
      </c>
      <c r="I2092" t="str">
        <f>_xlfn.IFS(B2092&lt;=5,"Night (0-5)",B2092&lt;=9,"Morning peak (6-9)",B2092&lt;=15,"Midday (10-15)",B2092&lt;=19,"Evening peak (16-19)",TRUE,"Late evening (20-23)")</f>
        <v>Night (0-5)</v>
      </c>
    </row>
    <row r="2093" spans="1:9">
      <c r="A2093" s="32">
        <v>41817</v>
      </c>
      <c r="B2093">
        <v>3</v>
      </c>
      <c r="C2093">
        <v>263</v>
      </c>
      <c r="D2093" t="s">
        <v>303</v>
      </c>
      <c r="E2093">
        <f>YEAR(A2093)</f>
        <v>2014</v>
      </c>
      <c r="F2093" s="33">
        <f>DATE(YEAR(A2093),MONTH(A2093),1)</f>
        <v>41791.0</v>
      </c>
      <c r="G2093" t="str">
        <f>CHOOSE(WEEKDAY(A2093,2),"Mon","Tue","Wed","Thu","Fri","Sat","Sun")</f>
        <v>Fri</v>
      </c>
      <c r="H2093" t="str">
        <f>IF(WEEKDAY(A2093,2)&gt;5,"Weekend","Weekday")</f>
        <v>Weekday</v>
      </c>
      <c r="I2093" t="str">
        <f>_xlfn.IFS(B2093&lt;=5,"Night (0-5)",B2093&lt;=9,"Morning peak (6-9)",B2093&lt;=15,"Midday (10-15)",B2093&lt;=19,"Evening peak (16-19)",TRUE,"Late evening (20-23)")</f>
        <v>Night (0-5)</v>
      </c>
    </row>
    <row r="2094" spans="1:9">
      <c r="A2094" s="32">
        <v>41817</v>
      </c>
      <c r="B2094">
        <v>4</v>
      </c>
      <c r="C2094">
        <v>306</v>
      </c>
      <c r="D2094" t="s">
        <v>303</v>
      </c>
      <c r="E2094">
        <f>YEAR(A2094)</f>
        <v>2014</v>
      </c>
      <c r="F2094" s="33">
        <f>DATE(YEAR(A2094),MONTH(A2094),1)</f>
        <v>41791.0</v>
      </c>
      <c r="G2094" t="str">
        <f>CHOOSE(WEEKDAY(A2094,2),"Mon","Tue","Wed","Thu","Fri","Sat","Sun")</f>
        <v>Fri</v>
      </c>
      <c r="H2094" t="str">
        <f>IF(WEEKDAY(A2094,2)&gt;5,"Weekend","Weekday")</f>
        <v>Weekday</v>
      </c>
      <c r="I2094" t="str">
        <f>_xlfn.IFS(B2094&lt;=5,"Night (0-5)",B2094&lt;=9,"Morning peak (6-9)",B2094&lt;=15,"Midday (10-15)",B2094&lt;=19,"Evening peak (16-19)",TRUE,"Late evening (20-23)")</f>
        <v>Night (0-5)</v>
      </c>
    </row>
    <row r="2095" spans="1:9">
      <c r="A2095" s="32">
        <v>41817</v>
      </c>
      <c r="B2095">
        <v>5</v>
      </c>
      <c r="C2095">
        <v>460</v>
      </c>
      <c r="D2095" t="s">
        <v>303</v>
      </c>
      <c r="E2095">
        <f>YEAR(A2095)</f>
        <v>2014</v>
      </c>
      <c r="F2095" s="33">
        <f>DATE(YEAR(A2095),MONTH(A2095),1)</f>
        <v>41791.0</v>
      </c>
      <c r="G2095" t="str">
        <f>CHOOSE(WEEKDAY(A2095,2),"Mon","Tue","Wed","Thu","Fri","Sat","Sun")</f>
        <v>Fri</v>
      </c>
      <c r="H2095" t="str">
        <f>IF(WEEKDAY(A2095,2)&gt;5,"Weekend","Weekday")</f>
        <v>Weekday</v>
      </c>
      <c r="I2095" t="str">
        <f>_xlfn.IFS(B2095&lt;=5,"Night (0-5)",B2095&lt;=9,"Morning peak (6-9)",B2095&lt;=15,"Midday (10-15)",B2095&lt;=19,"Evening peak (16-19)",TRUE,"Late evening (20-23)")</f>
        <v>Night (0-5)</v>
      </c>
    </row>
    <row r="2096" spans="1:9">
      <c r="A2096" s="32">
        <v>41817</v>
      </c>
      <c r="B2096">
        <v>6</v>
      </c>
      <c r="C2096">
        <v>773</v>
      </c>
      <c r="D2096" t="s">
        <v>303</v>
      </c>
      <c r="E2096">
        <f>YEAR(A2096)</f>
        <v>2014</v>
      </c>
      <c r="F2096" s="33">
        <f>DATE(YEAR(A2096),MONTH(A2096),1)</f>
        <v>41791.0</v>
      </c>
      <c r="G2096" t="str">
        <f>CHOOSE(WEEKDAY(A2096,2),"Mon","Tue","Wed","Thu","Fri","Sat","Sun")</f>
        <v>Fri</v>
      </c>
      <c r="H2096" t="str">
        <f>IF(WEEKDAY(A2096,2)&gt;5,"Weekend","Weekday")</f>
        <v>Weekday</v>
      </c>
      <c r="I2096" t="str">
        <f>_xlfn.IFS(B2096&lt;=5,"Night (0-5)",B2096&lt;=9,"Morning peak (6-9)",B2096&lt;=15,"Midday (10-15)",B2096&lt;=19,"Evening peak (16-19)",TRUE,"Late evening (20-23)")</f>
        <v>Morning peak (6-9)</v>
      </c>
    </row>
    <row r="2097" spans="1:9">
      <c r="A2097" s="32">
        <v>41817</v>
      </c>
      <c r="B2097">
        <v>7</v>
      </c>
      <c r="C2097">
        <v>1242</v>
      </c>
      <c r="D2097" t="s">
        <v>303</v>
      </c>
      <c r="E2097">
        <f>YEAR(A2097)</f>
        <v>2014</v>
      </c>
      <c r="F2097" s="33">
        <f>DATE(YEAR(A2097),MONTH(A2097),1)</f>
        <v>41791.0</v>
      </c>
      <c r="G2097" t="str">
        <f>CHOOSE(WEEKDAY(A2097,2),"Mon","Tue","Wed","Thu","Fri","Sat","Sun")</f>
        <v>Fri</v>
      </c>
      <c r="H2097" t="str">
        <f>IF(WEEKDAY(A2097,2)&gt;5,"Weekend","Weekday")</f>
        <v>Weekday</v>
      </c>
      <c r="I2097" t="str">
        <f>_xlfn.IFS(B2097&lt;=5,"Night (0-5)",B2097&lt;=9,"Morning peak (6-9)",B2097&lt;=15,"Midday (10-15)",B2097&lt;=19,"Evening peak (16-19)",TRUE,"Late evening (20-23)")</f>
        <v>Morning peak (6-9)</v>
      </c>
    </row>
    <row r="2098" spans="1:9">
      <c r="A2098" s="32">
        <v>41817</v>
      </c>
      <c r="B2098">
        <v>8</v>
      </c>
      <c r="C2098">
        <v>1119</v>
      </c>
      <c r="D2098" t="s">
        <v>303</v>
      </c>
      <c r="E2098">
        <f>YEAR(A2098)</f>
        <v>2014</v>
      </c>
      <c r="F2098" s="33">
        <f>DATE(YEAR(A2098),MONTH(A2098),1)</f>
        <v>41791.0</v>
      </c>
      <c r="G2098" t="str">
        <f>CHOOSE(WEEKDAY(A2098,2),"Mon","Tue","Wed","Thu","Fri","Sat","Sun")</f>
        <v>Fri</v>
      </c>
      <c r="H2098" t="str">
        <f>IF(WEEKDAY(A2098,2)&gt;5,"Weekend","Weekday")</f>
        <v>Weekday</v>
      </c>
      <c r="I2098" t="str">
        <f>_xlfn.IFS(B2098&lt;=5,"Night (0-5)",B2098&lt;=9,"Morning peak (6-9)",B2098&lt;=15,"Midday (10-15)",B2098&lt;=19,"Evening peak (16-19)",TRUE,"Late evening (20-23)")</f>
        <v>Morning peak (6-9)</v>
      </c>
    </row>
    <row r="2099" spans="1:9">
      <c r="A2099" s="32">
        <v>41817</v>
      </c>
      <c r="B2099">
        <v>9</v>
      </c>
      <c r="C2099">
        <v>873</v>
      </c>
      <c r="D2099" t="s">
        <v>303</v>
      </c>
      <c r="E2099">
        <f>YEAR(A2099)</f>
        <v>2014</v>
      </c>
      <c r="F2099" s="33">
        <f>DATE(YEAR(A2099),MONTH(A2099),1)</f>
        <v>41791.0</v>
      </c>
      <c r="G2099" t="str">
        <f>CHOOSE(WEEKDAY(A2099,2),"Mon","Tue","Wed","Thu","Fri","Sat","Sun")</f>
        <v>Fri</v>
      </c>
      <c r="H2099" t="str">
        <f>IF(WEEKDAY(A2099,2)&gt;5,"Weekend","Weekday")</f>
        <v>Weekday</v>
      </c>
      <c r="I2099" t="str">
        <f>_xlfn.IFS(B2099&lt;=5,"Night (0-5)",B2099&lt;=9,"Morning peak (6-9)",B2099&lt;=15,"Midday (10-15)",B2099&lt;=19,"Evening peak (16-19)",TRUE,"Late evening (20-23)")</f>
        <v>Morning peak (6-9)</v>
      </c>
    </row>
    <row r="2100" spans="1:9">
      <c r="A2100" s="32">
        <v>41817</v>
      </c>
      <c r="B2100">
        <v>10</v>
      </c>
      <c r="C2100">
        <v>822</v>
      </c>
      <c r="D2100" t="s">
        <v>303</v>
      </c>
      <c r="E2100">
        <f>YEAR(A2100)</f>
        <v>2014</v>
      </c>
      <c r="F2100" s="33">
        <f>DATE(YEAR(A2100),MONTH(A2100),1)</f>
        <v>41791.0</v>
      </c>
      <c r="G2100" t="str">
        <f>CHOOSE(WEEKDAY(A2100,2),"Mon","Tue","Wed","Thu","Fri","Sat","Sun")</f>
        <v>Fri</v>
      </c>
      <c r="H2100" t="str">
        <f>IF(WEEKDAY(A2100,2)&gt;5,"Weekend","Weekday")</f>
        <v>Weekday</v>
      </c>
      <c r="I2100" t="str">
        <f>_xlfn.IFS(B2100&lt;=5,"Night (0-5)",B2100&lt;=9,"Morning peak (6-9)",B2100&lt;=15,"Midday (10-15)",B2100&lt;=19,"Evening peak (16-19)",TRUE,"Late evening (20-23)")</f>
        <v>Midday (10-15)</v>
      </c>
    </row>
    <row r="2101" spans="1:9">
      <c r="A2101" s="32">
        <v>41817</v>
      </c>
      <c r="B2101">
        <v>11</v>
      </c>
      <c r="C2101">
        <v>957</v>
      </c>
      <c r="D2101" t="s">
        <v>303</v>
      </c>
      <c r="E2101">
        <f>YEAR(A2101)</f>
        <v>2014</v>
      </c>
      <c r="F2101" s="33">
        <f>DATE(YEAR(A2101),MONTH(A2101),1)</f>
        <v>41791.0</v>
      </c>
      <c r="G2101" t="str">
        <f>CHOOSE(WEEKDAY(A2101,2),"Mon","Tue","Wed","Thu","Fri","Sat","Sun")</f>
        <v>Fri</v>
      </c>
      <c r="H2101" t="str">
        <f>IF(WEEKDAY(A2101,2)&gt;5,"Weekend","Weekday")</f>
        <v>Weekday</v>
      </c>
      <c r="I2101" t="str">
        <f>_xlfn.IFS(B2101&lt;=5,"Night (0-5)",B2101&lt;=9,"Morning peak (6-9)",B2101&lt;=15,"Midday (10-15)",B2101&lt;=19,"Evening peak (16-19)",TRUE,"Late evening (20-23)")</f>
        <v>Midday (10-15)</v>
      </c>
    </row>
    <row r="2102" spans="1:9">
      <c r="A2102" s="32">
        <v>41817</v>
      </c>
      <c r="B2102">
        <v>12</v>
      </c>
      <c r="C2102">
        <v>961</v>
      </c>
      <c r="D2102" t="s">
        <v>303</v>
      </c>
      <c r="E2102">
        <f>YEAR(A2102)</f>
        <v>2014</v>
      </c>
      <c r="F2102" s="33">
        <f>DATE(YEAR(A2102),MONTH(A2102),1)</f>
        <v>41791.0</v>
      </c>
      <c r="G2102" t="str">
        <f>CHOOSE(WEEKDAY(A2102,2),"Mon","Tue","Wed","Thu","Fri","Sat","Sun")</f>
        <v>Fri</v>
      </c>
      <c r="H2102" t="str">
        <f>IF(WEEKDAY(A2102,2)&gt;5,"Weekend","Weekday")</f>
        <v>Weekday</v>
      </c>
      <c r="I2102" t="str">
        <f>_xlfn.IFS(B2102&lt;=5,"Night (0-5)",B2102&lt;=9,"Morning peak (6-9)",B2102&lt;=15,"Midday (10-15)",B2102&lt;=19,"Evening peak (16-19)",TRUE,"Late evening (20-23)")</f>
        <v>Midday (10-15)</v>
      </c>
    </row>
    <row r="2103" spans="1:9">
      <c r="A2103" s="32">
        <v>41817</v>
      </c>
      <c r="B2103">
        <v>13</v>
      </c>
      <c r="C2103">
        <v>1076</v>
      </c>
      <c r="D2103" t="s">
        <v>303</v>
      </c>
      <c r="E2103">
        <f>YEAR(A2103)</f>
        <v>2014</v>
      </c>
      <c r="F2103" s="33">
        <f>DATE(YEAR(A2103),MONTH(A2103),1)</f>
        <v>41791.0</v>
      </c>
      <c r="G2103" t="str">
        <f>CHOOSE(WEEKDAY(A2103,2),"Mon","Tue","Wed","Thu","Fri","Sat","Sun")</f>
        <v>Fri</v>
      </c>
      <c r="H2103" t="str">
        <f>IF(WEEKDAY(A2103,2)&gt;5,"Weekend","Weekday")</f>
        <v>Weekday</v>
      </c>
      <c r="I2103" t="str">
        <f>_xlfn.IFS(B2103&lt;=5,"Night (0-5)",B2103&lt;=9,"Morning peak (6-9)",B2103&lt;=15,"Midday (10-15)",B2103&lt;=19,"Evening peak (16-19)",TRUE,"Late evening (20-23)")</f>
        <v>Midday (10-15)</v>
      </c>
    </row>
    <row r="2104" spans="1:9">
      <c r="A2104" s="32">
        <v>41817</v>
      </c>
      <c r="B2104">
        <v>14</v>
      </c>
      <c r="C2104">
        <v>1311</v>
      </c>
      <c r="D2104" t="s">
        <v>303</v>
      </c>
      <c r="E2104">
        <f>YEAR(A2104)</f>
        <v>2014</v>
      </c>
      <c r="F2104" s="33">
        <f>DATE(YEAR(A2104),MONTH(A2104),1)</f>
        <v>41791.0</v>
      </c>
      <c r="G2104" t="str">
        <f>CHOOSE(WEEKDAY(A2104,2),"Mon","Tue","Wed","Thu","Fri","Sat","Sun")</f>
        <v>Fri</v>
      </c>
      <c r="H2104" t="str">
        <f>IF(WEEKDAY(A2104,2)&gt;5,"Weekend","Weekday")</f>
        <v>Weekday</v>
      </c>
      <c r="I2104" t="str">
        <f>_xlfn.IFS(B2104&lt;=5,"Night (0-5)",B2104&lt;=9,"Morning peak (6-9)",B2104&lt;=15,"Midday (10-15)",B2104&lt;=19,"Evening peak (16-19)",TRUE,"Late evening (20-23)")</f>
        <v>Midday (10-15)</v>
      </c>
    </row>
    <row r="2105" spans="1:9">
      <c r="A2105" s="32">
        <v>41817</v>
      </c>
      <c r="B2105">
        <v>15</v>
      </c>
      <c r="C2105">
        <v>1598</v>
      </c>
      <c r="D2105" t="s">
        <v>303</v>
      </c>
      <c r="E2105">
        <f>YEAR(A2105)</f>
        <v>2014</v>
      </c>
      <c r="F2105" s="33">
        <f>DATE(YEAR(A2105),MONTH(A2105),1)</f>
        <v>41791.0</v>
      </c>
      <c r="G2105" t="str">
        <f>CHOOSE(WEEKDAY(A2105,2),"Mon","Tue","Wed","Thu","Fri","Sat","Sun")</f>
        <v>Fri</v>
      </c>
      <c r="H2105" t="str">
        <f>IF(WEEKDAY(A2105,2)&gt;5,"Weekend","Weekday")</f>
        <v>Weekday</v>
      </c>
      <c r="I2105" t="str">
        <f>_xlfn.IFS(B2105&lt;=5,"Night (0-5)",B2105&lt;=9,"Morning peak (6-9)",B2105&lt;=15,"Midday (10-15)",B2105&lt;=19,"Evening peak (16-19)",TRUE,"Late evening (20-23)")</f>
        <v>Midday (10-15)</v>
      </c>
    </row>
    <row r="2106" spans="1:9">
      <c r="A2106" s="32">
        <v>41817</v>
      </c>
      <c r="B2106">
        <v>16</v>
      </c>
      <c r="C2106">
        <v>1746</v>
      </c>
      <c r="D2106" t="s">
        <v>303</v>
      </c>
      <c r="E2106">
        <f>YEAR(A2106)</f>
        <v>2014</v>
      </c>
      <c r="F2106" s="33">
        <f>DATE(YEAR(A2106),MONTH(A2106),1)</f>
        <v>41791.0</v>
      </c>
      <c r="G2106" t="str">
        <f>CHOOSE(WEEKDAY(A2106,2),"Mon","Tue","Wed","Thu","Fri","Sat","Sun")</f>
        <v>Fri</v>
      </c>
      <c r="H2106" t="str">
        <f>IF(WEEKDAY(A2106,2)&gt;5,"Weekend","Weekday")</f>
        <v>Weekday</v>
      </c>
      <c r="I2106" t="str">
        <f>_xlfn.IFS(B2106&lt;=5,"Night (0-5)",B2106&lt;=9,"Morning peak (6-9)",B2106&lt;=15,"Midday (10-15)",B2106&lt;=19,"Evening peak (16-19)",TRUE,"Late evening (20-23)")</f>
        <v>Evening peak (16-19)</v>
      </c>
    </row>
    <row r="2107" spans="1:9">
      <c r="A2107" s="32">
        <v>41817</v>
      </c>
      <c r="B2107">
        <v>17</v>
      </c>
      <c r="C2107">
        <v>1691</v>
      </c>
      <c r="D2107" t="s">
        <v>303</v>
      </c>
      <c r="E2107">
        <f>YEAR(A2107)</f>
        <v>2014</v>
      </c>
      <c r="F2107" s="33">
        <f>DATE(YEAR(A2107),MONTH(A2107),1)</f>
        <v>41791.0</v>
      </c>
      <c r="G2107" t="str">
        <f>CHOOSE(WEEKDAY(A2107,2),"Mon","Tue","Wed","Thu","Fri","Sat","Sun")</f>
        <v>Fri</v>
      </c>
      <c r="H2107" t="str">
        <f>IF(WEEKDAY(A2107,2)&gt;5,"Weekend","Weekday")</f>
        <v>Weekday</v>
      </c>
      <c r="I2107" t="str">
        <f>_xlfn.IFS(B2107&lt;=5,"Night (0-5)",B2107&lt;=9,"Morning peak (6-9)",B2107&lt;=15,"Midday (10-15)",B2107&lt;=19,"Evening peak (16-19)",TRUE,"Late evening (20-23)")</f>
        <v>Evening peak (16-19)</v>
      </c>
    </row>
    <row r="2108" spans="1:9">
      <c r="A2108" s="32">
        <v>41817</v>
      </c>
      <c r="B2108">
        <v>18</v>
      </c>
      <c r="C2108">
        <v>1614</v>
      </c>
      <c r="D2108" t="s">
        <v>303</v>
      </c>
      <c r="E2108">
        <f>YEAR(A2108)</f>
        <v>2014</v>
      </c>
      <c r="F2108" s="33">
        <f>DATE(YEAR(A2108),MONTH(A2108),1)</f>
        <v>41791.0</v>
      </c>
      <c r="G2108" t="str">
        <f>CHOOSE(WEEKDAY(A2108,2),"Mon","Tue","Wed","Thu","Fri","Sat","Sun")</f>
        <v>Fri</v>
      </c>
      <c r="H2108" t="str">
        <f>IF(WEEKDAY(A2108,2)&gt;5,"Weekend","Weekday")</f>
        <v>Weekday</v>
      </c>
      <c r="I2108" t="str">
        <f>_xlfn.IFS(B2108&lt;=5,"Night (0-5)",B2108&lt;=9,"Morning peak (6-9)",B2108&lt;=15,"Midday (10-15)",B2108&lt;=19,"Evening peak (16-19)",TRUE,"Late evening (20-23)")</f>
        <v>Evening peak (16-19)</v>
      </c>
    </row>
    <row r="2109" spans="1:9">
      <c r="A2109" s="32">
        <v>41817</v>
      </c>
      <c r="B2109">
        <v>19</v>
      </c>
      <c r="C2109">
        <v>1265</v>
      </c>
      <c r="D2109" t="s">
        <v>303</v>
      </c>
      <c r="E2109">
        <f>YEAR(A2109)</f>
        <v>2014</v>
      </c>
      <c r="F2109" s="33">
        <f>DATE(YEAR(A2109),MONTH(A2109),1)</f>
        <v>41791.0</v>
      </c>
      <c r="G2109" t="str">
        <f>CHOOSE(WEEKDAY(A2109,2),"Mon","Tue","Wed","Thu","Fri","Sat","Sun")</f>
        <v>Fri</v>
      </c>
      <c r="H2109" t="str">
        <f>IF(WEEKDAY(A2109,2)&gt;5,"Weekend","Weekday")</f>
        <v>Weekday</v>
      </c>
      <c r="I2109" t="str">
        <f>_xlfn.IFS(B2109&lt;=5,"Night (0-5)",B2109&lt;=9,"Morning peak (6-9)",B2109&lt;=15,"Midday (10-15)",B2109&lt;=19,"Evening peak (16-19)",TRUE,"Late evening (20-23)")</f>
        <v>Evening peak (16-19)</v>
      </c>
    </row>
    <row r="2110" spans="1:9">
      <c r="A2110" s="32">
        <v>41817</v>
      </c>
      <c r="B2110">
        <v>20</v>
      </c>
      <c r="C2110">
        <v>1233</v>
      </c>
      <c r="D2110" t="s">
        <v>303</v>
      </c>
      <c r="E2110">
        <f>YEAR(A2110)</f>
        <v>2014</v>
      </c>
      <c r="F2110" s="33">
        <f>DATE(YEAR(A2110),MONTH(A2110),1)</f>
        <v>41791.0</v>
      </c>
      <c r="G2110" t="str">
        <f>CHOOSE(WEEKDAY(A2110,2),"Mon","Tue","Wed","Thu","Fri","Sat","Sun")</f>
        <v>Fri</v>
      </c>
      <c r="H2110" t="str">
        <f>IF(WEEKDAY(A2110,2)&gt;5,"Weekend","Weekday")</f>
        <v>Weekday</v>
      </c>
      <c r="I2110" t="str">
        <f>_xlfn.IFS(B2110&lt;=5,"Night (0-5)",B2110&lt;=9,"Morning peak (6-9)",B2110&lt;=15,"Midday (10-15)",B2110&lt;=19,"Evening peak (16-19)",TRUE,"Late evening (20-23)")</f>
        <v>Late evening (20-23)</v>
      </c>
    </row>
    <row r="2111" spans="1:9">
      <c r="A2111" s="32">
        <v>41817</v>
      </c>
      <c r="B2111">
        <v>21</v>
      </c>
      <c r="C2111">
        <v>1554</v>
      </c>
      <c r="D2111" t="s">
        <v>303</v>
      </c>
      <c r="E2111">
        <f>YEAR(A2111)</f>
        <v>2014</v>
      </c>
      <c r="F2111" s="33">
        <f>DATE(YEAR(A2111),MONTH(A2111),1)</f>
        <v>41791.0</v>
      </c>
      <c r="G2111" t="str">
        <f>CHOOSE(WEEKDAY(A2111,2),"Mon","Tue","Wed","Thu","Fri","Sat","Sun")</f>
        <v>Fri</v>
      </c>
      <c r="H2111" t="str">
        <f>IF(WEEKDAY(A2111,2)&gt;5,"Weekend","Weekday")</f>
        <v>Weekday</v>
      </c>
      <c r="I2111" t="str">
        <f>_xlfn.IFS(B2111&lt;=5,"Night (0-5)",B2111&lt;=9,"Morning peak (6-9)",B2111&lt;=15,"Midday (10-15)",B2111&lt;=19,"Evening peak (16-19)",TRUE,"Late evening (20-23)")</f>
        <v>Late evening (20-23)</v>
      </c>
    </row>
    <row r="2112" spans="1:9">
      <c r="A2112" s="32">
        <v>41817</v>
      </c>
      <c r="B2112">
        <v>22</v>
      </c>
      <c r="C2112">
        <v>1688</v>
      </c>
      <c r="D2112" t="s">
        <v>303</v>
      </c>
      <c r="E2112">
        <f>YEAR(A2112)</f>
        <v>2014</v>
      </c>
      <c r="F2112" s="33">
        <f>DATE(YEAR(A2112),MONTH(A2112),1)</f>
        <v>41791.0</v>
      </c>
      <c r="G2112" t="str">
        <f>CHOOSE(WEEKDAY(A2112,2),"Mon","Tue","Wed","Thu","Fri","Sat","Sun")</f>
        <v>Fri</v>
      </c>
      <c r="H2112" t="str">
        <f>IF(WEEKDAY(A2112,2)&gt;5,"Weekend","Weekday")</f>
        <v>Weekday</v>
      </c>
      <c r="I2112" t="str">
        <f>_xlfn.IFS(B2112&lt;=5,"Night (0-5)",B2112&lt;=9,"Morning peak (6-9)",B2112&lt;=15,"Midday (10-15)",B2112&lt;=19,"Evening peak (16-19)",TRUE,"Late evening (20-23)")</f>
        <v>Late evening (20-23)</v>
      </c>
    </row>
    <row r="2113" spans="1:9">
      <c r="A2113" s="32">
        <v>41817</v>
      </c>
      <c r="B2113">
        <v>23</v>
      </c>
      <c r="C2113">
        <v>1418</v>
      </c>
      <c r="D2113" t="s">
        <v>303</v>
      </c>
      <c r="E2113">
        <f>YEAR(A2113)</f>
        <v>2014</v>
      </c>
      <c r="F2113" s="33">
        <f>DATE(YEAR(A2113),MONTH(A2113),1)</f>
        <v>41791.0</v>
      </c>
      <c r="G2113" t="str">
        <f>CHOOSE(WEEKDAY(A2113,2),"Mon","Tue","Wed","Thu","Fri","Sat","Sun")</f>
        <v>Fri</v>
      </c>
      <c r="H2113" t="str">
        <f>IF(WEEKDAY(A2113,2)&gt;5,"Weekend","Weekday")</f>
        <v>Weekday</v>
      </c>
      <c r="I2113" t="str">
        <f>_xlfn.IFS(B2113&lt;=5,"Night (0-5)",B2113&lt;=9,"Morning peak (6-9)",B2113&lt;=15,"Midday (10-15)",B2113&lt;=19,"Evening peak (16-19)",TRUE,"Late evening (20-23)")</f>
        <v>Late evening (20-23)</v>
      </c>
    </row>
    <row r="2114" spans="1:9">
      <c r="A2114" s="32">
        <v>41818</v>
      </c>
      <c r="B2114">
        <v>0</v>
      </c>
      <c r="C2114">
        <v>936</v>
      </c>
      <c r="D2114" t="s">
        <v>303</v>
      </c>
      <c r="E2114">
        <f>YEAR(A2114)</f>
        <v>2014</v>
      </c>
      <c r="F2114" s="33">
        <f>DATE(YEAR(A2114),MONTH(A2114),1)</f>
        <v>41791.0</v>
      </c>
      <c r="G2114" t="str">
        <f>CHOOSE(WEEKDAY(A2114,2),"Mon","Tue","Wed","Thu","Fri","Sat","Sun")</f>
        <v>Sat</v>
      </c>
      <c r="H2114" t="str">
        <f>IF(WEEKDAY(A2114,2)&gt;5,"Weekend","Weekday")</f>
        <v>Weekend</v>
      </c>
      <c r="I2114" t="str">
        <f>_xlfn.IFS(B2114&lt;=5,"Night (0-5)",B2114&lt;=9,"Morning peak (6-9)",B2114&lt;=15,"Midday (10-15)",B2114&lt;=19,"Evening peak (16-19)",TRUE,"Late evening (20-23)")</f>
        <v>Night (0-5)</v>
      </c>
    </row>
    <row r="2115" spans="1:9">
      <c r="A2115" s="32">
        <v>41818</v>
      </c>
      <c r="B2115">
        <v>1</v>
      </c>
      <c r="C2115">
        <v>684</v>
      </c>
      <c r="D2115" t="s">
        <v>303</v>
      </c>
      <c r="E2115">
        <f>YEAR(A2115)</f>
        <v>2014</v>
      </c>
      <c r="F2115" s="33">
        <f>DATE(YEAR(A2115),MONTH(A2115),1)</f>
        <v>41791.0</v>
      </c>
      <c r="G2115" t="str">
        <f>CHOOSE(WEEKDAY(A2115,2),"Mon","Tue","Wed","Thu","Fri","Sat","Sun")</f>
        <v>Sat</v>
      </c>
      <c r="H2115" t="str">
        <f>IF(WEEKDAY(A2115,2)&gt;5,"Weekend","Weekday")</f>
        <v>Weekend</v>
      </c>
      <c r="I2115" t="str">
        <f>_xlfn.IFS(B2115&lt;=5,"Night (0-5)",B2115&lt;=9,"Morning peak (6-9)",B2115&lt;=15,"Midday (10-15)",B2115&lt;=19,"Evening peak (16-19)",TRUE,"Late evening (20-23)")</f>
        <v>Night (0-5)</v>
      </c>
    </row>
    <row r="2116" spans="1:9">
      <c r="A2116" s="32">
        <v>41818</v>
      </c>
      <c r="B2116">
        <v>2</v>
      </c>
      <c r="C2116">
        <v>431</v>
      </c>
      <c r="D2116" t="s">
        <v>303</v>
      </c>
      <c r="E2116">
        <f>YEAR(A2116)</f>
        <v>2014</v>
      </c>
      <c r="F2116" s="33">
        <f>DATE(YEAR(A2116),MONTH(A2116),1)</f>
        <v>41791.0</v>
      </c>
      <c r="G2116" t="str">
        <f>CHOOSE(WEEKDAY(A2116,2),"Mon","Tue","Wed","Thu","Fri","Sat","Sun")</f>
        <v>Sat</v>
      </c>
      <c r="H2116" t="str">
        <f>IF(WEEKDAY(A2116,2)&gt;5,"Weekend","Weekday")</f>
        <v>Weekend</v>
      </c>
      <c r="I2116" t="str">
        <f>_xlfn.IFS(B2116&lt;=5,"Night (0-5)",B2116&lt;=9,"Morning peak (6-9)",B2116&lt;=15,"Midday (10-15)",B2116&lt;=19,"Evening peak (16-19)",TRUE,"Late evening (20-23)")</f>
        <v>Night (0-5)</v>
      </c>
    </row>
    <row r="2117" spans="1:9">
      <c r="A2117" s="32">
        <v>41818</v>
      </c>
      <c r="B2117">
        <v>3</v>
      </c>
      <c r="C2117">
        <v>383</v>
      </c>
      <c r="D2117" t="s">
        <v>303</v>
      </c>
      <c r="E2117">
        <f>YEAR(A2117)</f>
        <v>2014</v>
      </c>
      <c r="F2117" s="33">
        <f>DATE(YEAR(A2117),MONTH(A2117),1)</f>
        <v>41791.0</v>
      </c>
      <c r="G2117" t="str">
        <f>CHOOSE(WEEKDAY(A2117,2),"Mon","Tue","Wed","Thu","Fri","Sat","Sun")</f>
        <v>Sat</v>
      </c>
      <c r="H2117" t="str">
        <f>IF(WEEKDAY(A2117,2)&gt;5,"Weekend","Weekday")</f>
        <v>Weekend</v>
      </c>
      <c r="I2117" t="str">
        <f>_xlfn.IFS(B2117&lt;=5,"Night (0-5)",B2117&lt;=9,"Morning peak (6-9)",B2117&lt;=15,"Midday (10-15)",B2117&lt;=19,"Evening peak (16-19)",TRUE,"Late evening (20-23)")</f>
        <v>Night (0-5)</v>
      </c>
    </row>
    <row r="2118" spans="1:9">
      <c r="A2118" s="32">
        <v>41818</v>
      </c>
      <c r="B2118">
        <v>4</v>
      </c>
      <c r="C2118">
        <v>238</v>
      </c>
      <c r="D2118" t="s">
        <v>303</v>
      </c>
      <c r="E2118">
        <f>YEAR(A2118)</f>
        <v>2014</v>
      </c>
      <c r="F2118" s="33">
        <f>DATE(YEAR(A2118),MONTH(A2118),1)</f>
        <v>41791.0</v>
      </c>
      <c r="G2118" t="str">
        <f>CHOOSE(WEEKDAY(A2118,2),"Mon","Tue","Wed","Thu","Fri","Sat","Sun")</f>
        <v>Sat</v>
      </c>
      <c r="H2118" t="str">
        <f>IF(WEEKDAY(A2118,2)&gt;5,"Weekend","Weekday")</f>
        <v>Weekend</v>
      </c>
      <c r="I2118" t="str">
        <f>_xlfn.IFS(B2118&lt;=5,"Night (0-5)",B2118&lt;=9,"Morning peak (6-9)",B2118&lt;=15,"Midday (10-15)",B2118&lt;=19,"Evening peak (16-19)",TRUE,"Late evening (20-23)")</f>
        <v>Night (0-5)</v>
      </c>
    </row>
    <row r="2119" spans="1:9">
      <c r="A2119" s="32">
        <v>41818</v>
      </c>
      <c r="B2119">
        <v>5</v>
      </c>
      <c r="C2119">
        <v>283</v>
      </c>
      <c r="D2119" t="s">
        <v>303</v>
      </c>
      <c r="E2119">
        <f>YEAR(A2119)</f>
        <v>2014</v>
      </c>
      <c r="F2119" s="33">
        <f>DATE(YEAR(A2119),MONTH(A2119),1)</f>
        <v>41791.0</v>
      </c>
      <c r="G2119" t="str">
        <f>CHOOSE(WEEKDAY(A2119,2),"Mon","Tue","Wed","Thu","Fri","Sat","Sun")</f>
        <v>Sat</v>
      </c>
      <c r="H2119" t="str">
        <f>IF(WEEKDAY(A2119,2)&gt;5,"Weekend","Weekday")</f>
        <v>Weekend</v>
      </c>
      <c r="I2119" t="str">
        <f>_xlfn.IFS(B2119&lt;=5,"Night (0-5)",B2119&lt;=9,"Morning peak (6-9)",B2119&lt;=15,"Midday (10-15)",B2119&lt;=19,"Evening peak (16-19)",TRUE,"Late evening (20-23)")</f>
        <v>Night (0-5)</v>
      </c>
    </row>
    <row r="2120" spans="1:9">
      <c r="A2120" s="32">
        <v>41818</v>
      </c>
      <c r="B2120">
        <v>6</v>
      </c>
      <c r="C2120">
        <v>292</v>
      </c>
      <c r="D2120" t="s">
        <v>303</v>
      </c>
      <c r="E2120">
        <f>YEAR(A2120)</f>
        <v>2014</v>
      </c>
      <c r="F2120" s="33">
        <f>DATE(YEAR(A2120),MONTH(A2120),1)</f>
        <v>41791.0</v>
      </c>
      <c r="G2120" t="str">
        <f>CHOOSE(WEEKDAY(A2120,2),"Mon","Tue","Wed","Thu","Fri","Sat","Sun")</f>
        <v>Sat</v>
      </c>
      <c r="H2120" t="str">
        <f>IF(WEEKDAY(A2120,2)&gt;5,"Weekend","Weekday")</f>
        <v>Weekend</v>
      </c>
      <c r="I2120" t="str">
        <f>_xlfn.IFS(B2120&lt;=5,"Night (0-5)",B2120&lt;=9,"Morning peak (6-9)",B2120&lt;=15,"Midday (10-15)",B2120&lt;=19,"Evening peak (16-19)",TRUE,"Late evening (20-23)")</f>
        <v>Morning peak (6-9)</v>
      </c>
    </row>
    <row r="2121" spans="1:9">
      <c r="A2121" s="32">
        <v>41818</v>
      </c>
      <c r="B2121">
        <v>7</v>
      </c>
      <c r="C2121">
        <v>362</v>
      </c>
      <c r="D2121" t="s">
        <v>303</v>
      </c>
      <c r="E2121">
        <f>YEAR(A2121)</f>
        <v>2014</v>
      </c>
      <c r="F2121" s="33">
        <f>DATE(YEAR(A2121),MONTH(A2121),1)</f>
        <v>41791.0</v>
      </c>
      <c r="G2121" t="str">
        <f>CHOOSE(WEEKDAY(A2121,2),"Mon","Tue","Wed","Thu","Fri","Sat","Sun")</f>
        <v>Sat</v>
      </c>
      <c r="H2121" t="str">
        <f>IF(WEEKDAY(A2121,2)&gt;5,"Weekend","Weekday")</f>
        <v>Weekend</v>
      </c>
      <c r="I2121" t="str">
        <f>_xlfn.IFS(B2121&lt;=5,"Night (0-5)",B2121&lt;=9,"Morning peak (6-9)",B2121&lt;=15,"Midday (10-15)",B2121&lt;=19,"Evening peak (16-19)",TRUE,"Late evening (20-23)")</f>
        <v>Morning peak (6-9)</v>
      </c>
    </row>
    <row r="2122" spans="1:9">
      <c r="A2122" s="32">
        <v>41818</v>
      </c>
      <c r="B2122">
        <v>8</v>
      </c>
      <c r="C2122">
        <v>477</v>
      </c>
      <c r="D2122" t="s">
        <v>303</v>
      </c>
      <c r="E2122">
        <f>YEAR(A2122)</f>
        <v>2014</v>
      </c>
      <c r="F2122" s="33">
        <f>DATE(YEAR(A2122),MONTH(A2122),1)</f>
        <v>41791.0</v>
      </c>
      <c r="G2122" t="str">
        <f>CHOOSE(WEEKDAY(A2122,2),"Mon","Tue","Wed","Thu","Fri","Sat","Sun")</f>
        <v>Sat</v>
      </c>
      <c r="H2122" t="str">
        <f>IF(WEEKDAY(A2122,2)&gt;5,"Weekend","Weekday")</f>
        <v>Weekend</v>
      </c>
      <c r="I2122" t="str">
        <f>_xlfn.IFS(B2122&lt;=5,"Night (0-5)",B2122&lt;=9,"Morning peak (6-9)",B2122&lt;=15,"Midday (10-15)",B2122&lt;=19,"Evening peak (16-19)",TRUE,"Late evening (20-23)")</f>
        <v>Morning peak (6-9)</v>
      </c>
    </row>
    <row r="2123" spans="1:9">
      <c r="A2123" s="32">
        <v>41818</v>
      </c>
      <c r="B2123">
        <v>9</v>
      </c>
      <c r="C2123">
        <v>664</v>
      </c>
      <c r="D2123" t="s">
        <v>303</v>
      </c>
      <c r="E2123">
        <f>YEAR(A2123)</f>
        <v>2014</v>
      </c>
      <c r="F2123" s="33">
        <f>DATE(YEAR(A2123),MONTH(A2123),1)</f>
        <v>41791.0</v>
      </c>
      <c r="G2123" t="str">
        <f>CHOOSE(WEEKDAY(A2123,2),"Mon","Tue","Wed","Thu","Fri","Sat","Sun")</f>
        <v>Sat</v>
      </c>
      <c r="H2123" t="str">
        <f>IF(WEEKDAY(A2123,2)&gt;5,"Weekend","Weekday")</f>
        <v>Weekend</v>
      </c>
      <c r="I2123" t="str">
        <f>_xlfn.IFS(B2123&lt;=5,"Night (0-5)",B2123&lt;=9,"Morning peak (6-9)",B2123&lt;=15,"Midday (10-15)",B2123&lt;=19,"Evening peak (16-19)",TRUE,"Late evening (20-23)")</f>
        <v>Morning peak (6-9)</v>
      </c>
    </row>
    <row r="2124" spans="1:9">
      <c r="A2124" s="32">
        <v>41818</v>
      </c>
      <c r="B2124">
        <v>10</v>
      </c>
      <c r="C2124">
        <v>781</v>
      </c>
      <c r="D2124" t="s">
        <v>303</v>
      </c>
      <c r="E2124">
        <f>YEAR(A2124)</f>
        <v>2014</v>
      </c>
      <c r="F2124" s="33">
        <f>DATE(YEAR(A2124),MONTH(A2124),1)</f>
        <v>41791.0</v>
      </c>
      <c r="G2124" t="str">
        <f>CHOOSE(WEEKDAY(A2124,2),"Mon","Tue","Wed","Thu","Fri","Sat","Sun")</f>
        <v>Sat</v>
      </c>
      <c r="H2124" t="str">
        <f>IF(WEEKDAY(A2124,2)&gt;5,"Weekend","Weekday")</f>
        <v>Weekend</v>
      </c>
      <c r="I2124" t="str">
        <f>_xlfn.IFS(B2124&lt;=5,"Night (0-5)",B2124&lt;=9,"Morning peak (6-9)",B2124&lt;=15,"Midday (10-15)",B2124&lt;=19,"Evening peak (16-19)",TRUE,"Late evening (20-23)")</f>
        <v>Midday (10-15)</v>
      </c>
    </row>
    <row r="2125" spans="1:9">
      <c r="A2125" s="32">
        <v>41818</v>
      </c>
      <c r="B2125">
        <v>11</v>
      </c>
      <c r="C2125">
        <v>747</v>
      </c>
      <c r="D2125" t="s">
        <v>303</v>
      </c>
      <c r="E2125">
        <f>YEAR(A2125)</f>
        <v>2014</v>
      </c>
      <c r="F2125" s="33">
        <f>DATE(YEAR(A2125),MONTH(A2125),1)</f>
        <v>41791.0</v>
      </c>
      <c r="G2125" t="str">
        <f>CHOOSE(WEEKDAY(A2125,2),"Mon","Tue","Wed","Thu","Fri","Sat","Sun")</f>
        <v>Sat</v>
      </c>
      <c r="H2125" t="str">
        <f>IF(WEEKDAY(A2125,2)&gt;5,"Weekend","Weekday")</f>
        <v>Weekend</v>
      </c>
      <c r="I2125" t="str">
        <f>_xlfn.IFS(B2125&lt;=5,"Night (0-5)",B2125&lt;=9,"Morning peak (6-9)",B2125&lt;=15,"Midday (10-15)",B2125&lt;=19,"Evening peak (16-19)",TRUE,"Late evening (20-23)")</f>
        <v>Midday (10-15)</v>
      </c>
    </row>
    <row r="2126" spans="1:9">
      <c r="A2126" s="32">
        <v>41818</v>
      </c>
      <c r="B2126">
        <v>12</v>
      </c>
      <c r="C2126">
        <v>819</v>
      </c>
      <c r="D2126" t="s">
        <v>303</v>
      </c>
      <c r="E2126">
        <f>YEAR(A2126)</f>
        <v>2014</v>
      </c>
      <c r="F2126" s="33">
        <f>DATE(YEAR(A2126),MONTH(A2126),1)</f>
        <v>41791.0</v>
      </c>
      <c r="G2126" t="str">
        <f>CHOOSE(WEEKDAY(A2126,2),"Mon","Tue","Wed","Thu","Fri","Sat","Sun")</f>
        <v>Sat</v>
      </c>
      <c r="H2126" t="str">
        <f>IF(WEEKDAY(A2126,2)&gt;5,"Weekend","Weekday")</f>
        <v>Weekend</v>
      </c>
      <c r="I2126" t="str">
        <f>_xlfn.IFS(B2126&lt;=5,"Night (0-5)",B2126&lt;=9,"Morning peak (6-9)",B2126&lt;=15,"Midday (10-15)",B2126&lt;=19,"Evening peak (16-19)",TRUE,"Late evening (20-23)")</f>
        <v>Midday (10-15)</v>
      </c>
    </row>
    <row r="2127" spans="1:9">
      <c r="A2127" s="32">
        <v>41818</v>
      </c>
      <c r="B2127">
        <v>13</v>
      </c>
      <c r="C2127">
        <v>838</v>
      </c>
      <c r="D2127" t="s">
        <v>303</v>
      </c>
      <c r="E2127">
        <f>YEAR(A2127)</f>
        <v>2014</v>
      </c>
      <c r="F2127" s="33">
        <f>DATE(YEAR(A2127),MONTH(A2127),1)</f>
        <v>41791.0</v>
      </c>
      <c r="G2127" t="str">
        <f>CHOOSE(WEEKDAY(A2127,2),"Mon","Tue","Wed","Thu","Fri","Sat","Sun")</f>
        <v>Sat</v>
      </c>
      <c r="H2127" t="str">
        <f>IF(WEEKDAY(A2127,2)&gt;5,"Weekend","Weekday")</f>
        <v>Weekend</v>
      </c>
      <c r="I2127" t="str">
        <f>_xlfn.IFS(B2127&lt;=5,"Night (0-5)",B2127&lt;=9,"Morning peak (6-9)",B2127&lt;=15,"Midday (10-15)",B2127&lt;=19,"Evening peak (16-19)",TRUE,"Late evening (20-23)")</f>
        <v>Midday (10-15)</v>
      </c>
    </row>
    <row r="2128" spans="1:9">
      <c r="A2128" s="32">
        <v>41818</v>
      </c>
      <c r="B2128">
        <v>14</v>
      </c>
      <c r="C2128">
        <v>1103</v>
      </c>
      <c r="D2128" t="s">
        <v>303</v>
      </c>
      <c r="E2128">
        <f>YEAR(A2128)</f>
        <v>2014</v>
      </c>
      <c r="F2128" s="33">
        <f>DATE(YEAR(A2128),MONTH(A2128),1)</f>
        <v>41791.0</v>
      </c>
      <c r="G2128" t="str">
        <f>CHOOSE(WEEKDAY(A2128,2),"Mon","Tue","Wed","Thu","Fri","Sat","Sun")</f>
        <v>Sat</v>
      </c>
      <c r="H2128" t="str">
        <f>IF(WEEKDAY(A2128,2)&gt;5,"Weekend","Weekday")</f>
        <v>Weekend</v>
      </c>
      <c r="I2128" t="str">
        <f>_xlfn.IFS(B2128&lt;=5,"Night (0-5)",B2128&lt;=9,"Morning peak (6-9)",B2128&lt;=15,"Midday (10-15)",B2128&lt;=19,"Evening peak (16-19)",TRUE,"Late evening (20-23)")</f>
        <v>Midday (10-15)</v>
      </c>
    </row>
    <row r="2129" spans="1:9">
      <c r="A2129" s="32">
        <v>41818</v>
      </c>
      <c r="B2129">
        <v>15</v>
      </c>
      <c r="C2129">
        <v>1373</v>
      </c>
      <c r="D2129" t="s">
        <v>303</v>
      </c>
      <c r="E2129">
        <f>YEAR(A2129)</f>
        <v>2014</v>
      </c>
      <c r="F2129" s="33">
        <f>DATE(YEAR(A2129),MONTH(A2129),1)</f>
        <v>41791.0</v>
      </c>
      <c r="G2129" t="str">
        <f>CHOOSE(WEEKDAY(A2129,2),"Mon","Tue","Wed","Thu","Fri","Sat","Sun")</f>
        <v>Sat</v>
      </c>
      <c r="H2129" t="str">
        <f>IF(WEEKDAY(A2129,2)&gt;5,"Weekend","Weekday")</f>
        <v>Weekend</v>
      </c>
      <c r="I2129" t="str">
        <f>_xlfn.IFS(B2129&lt;=5,"Night (0-5)",B2129&lt;=9,"Morning peak (6-9)",B2129&lt;=15,"Midday (10-15)",B2129&lt;=19,"Evening peak (16-19)",TRUE,"Late evening (20-23)")</f>
        <v>Midday (10-15)</v>
      </c>
    </row>
    <row r="2130" spans="1:9">
      <c r="A2130" s="32">
        <v>41818</v>
      </c>
      <c r="B2130">
        <v>16</v>
      </c>
      <c r="C2130">
        <v>1433</v>
      </c>
      <c r="D2130" t="s">
        <v>303</v>
      </c>
      <c r="E2130">
        <f>YEAR(A2130)</f>
        <v>2014</v>
      </c>
      <c r="F2130" s="33">
        <f>DATE(YEAR(A2130),MONTH(A2130),1)</f>
        <v>41791.0</v>
      </c>
      <c r="G2130" t="str">
        <f>CHOOSE(WEEKDAY(A2130,2),"Mon","Tue","Wed","Thu","Fri","Sat","Sun")</f>
        <v>Sat</v>
      </c>
      <c r="H2130" t="str">
        <f>IF(WEEKDAY(A2130,2)&gt;5,"Weekend","Weekday")</f>
        <v>Weekend</v>
      </c>
      <c r="I2130" t="str">
        <f>_xlfn.IFS(B2130&lt;=5,"Night (0-5)",B2130&lt;=9,"Morning peak (6-9)",B2130&lt;=15,"Midday (10-15)",B2130&lt;=19,"Evening peak (16-19)",TRUE,"Late evening (20-23)")</f>
        <v>Evening peak (16-19)</v>
      </c>
    </row>
    <row r="2131" spans="1:9">
      <c r="A2131" s="32">
        <v>41818</v>
      </c>
      <c r="B2131">
        <v>17</v>
      </c>
      <c r="C2131">
        <v>1289</v>
      </c>
      <c r="D2131" t="s">
        <v>303</v>
      </c>
      <c r="E2131">
        <f>YEAR(A2131)</f>
        <v>2014</v>
      </c>
      <c r="F2131" s="33">
        <f>DATE(YEAR(A2131),MONTH(A2131),1)</f>
        <v>41791.0</v>
      </c>
      <c r="G2131" t="str">
        <f>CHOOSE(WEEKDAY(A2131,2),"Mon","Tue","Wed","Thu","Fri","Sat","Sun")</f>
        <v>Sat</v>
      </c>
      <c r="H2131" t="str">
        <f>IF(WEEKDAY(A2131,2)&gt;5,"Weekend","Weekday")</f>
        <v>Weekend</v>
      </c>
      <c r="I2131" t="str">
        <f>_xlfn.IFS(B2131&lt;=5,"Night (0-5)",B2131&lt;=9,"Morning peak (6-9)",B2131&lt;=15,"Midday (10-15)",B2131&lt;=19,"Evening peak (16-19)",TRUE,"Late evening (20-23)")</f>
        <v>Evening peak (16-19)</v>
      </c>
    </row>
    <row r="2132" spans="1:9">
      <c r="A2132" s="32">
        <v>41818</v>
      </c>
      <c r="B2132">
        <v>18</v>
      </c>
      <c r="C2132">
        <v>1290</v>
      </c>
      <c r="D2132" t="s">
        <v>303</v>
      </c>
      <c r="E2132">
        <f>YEAR(A2132)</f>
        <v>2014</v>
      </c>
      <c r="F2132" s="33">
        <f>DATE(YEAR(A2132),MONTH(A2132),1)</f>
        <v>41791.0</v>
      </c>
      <c r="G2132" t="str">
        <f>CHOOSE(WEEKDAY(A2132,2),"Mon","Tue","Wed","Thu","Fri","Sat","Sun")</f>
        <v>Sat</v>
      </c>
      <c r="H2132" t="str">
        <f>IF(WEEKDAY(A2132,2)&gt;5,"Weekend","Weekday")</f>
        <v>Weekend</v>
      </c>
      <c r="I2132" t="str">
        <f>_xlfn.IFS(B2132&lt;=5,"Night (0-5)",B2132&lt;=9,"Morning peak (6-9)",B2132&lt;=15,"Midday (10-15)",B2132&lt;=19,"Evening peak (16-19)",TRUE,"Late evening (20-23)")</f>
        <v>Evening peak (16-19)</v>
      </c>
    </row>
    <row r="2133" spans="1:9">
      <c r="A2133" s="32">
        <v>41818</v>
      </c>
      <c r="B2133">
        <v>19</v>
      </c>
      <c r="C2133">
        <v>1081</v>
      </c>
      <c r="D2133" t="s">
        <v>303</v>
      </c>
      <c r="E2133">
        <f>YEAR(A2133)</f>
        <v>2014</v>
      </c>
      <c r="F2133" s="33">
        <f>DATE(YEAR(A2133),MONTH(A2133),1)</f>
        <v>41791.0</v>
      </c>
      <c r="G2133" t="str">
        <f>CHOOSE(WEEKDAY(A2133,2),"Mon","Tue","Wed","Thu","Fri","Sat","Sun")</f>
        <v>Sat</v>
      </c>
      <c r="H2133" t="str">
        <f>IF(WEEKDAY(A2133,2)&gt;5,"Weekend","Weekday")</f>
        <v>Weekend</v>
      </c>
      <c r="I2133" t="str">
        <f>_xlfn.IFS(B2133&lt;=5,"Night (0-5)",B2133&lt;=9,"Morning peak (6-9)",B2133&lt;=15,"Midday (10-15)",B2133&lt;=19,"Evening peak (16-19)",TRUE,"Late evening (20-23)")</f>
        <v>Evening peak (16-19)</v>
      </c>
    </row>
    <row r="2134" spans="1:9">
      <c r="A2134" s="32">
        <v>41818</v>
      </c>
      <c r="B2134">
        <v>20</v>
      </c>
      <c r="C2134">
        <v>1190</v>
      </c>
      <c r="D2134" t="s">
        <v>303</v>
      </c>
      <c r="E2134">
        <f>YEAR(A2134)</f>
        <v>2014</v>
      </c>
      <c r="F2134" s="33">
        <f>DATE(YEAR(A2134),MONTH(A2134),1)</f>
        <v>41791.0</v>
      </c>
      <c r="G2134" t="str">
        <f>CHOOSE(WEEKDAY(A2134,2),"Mon","Tue","Wed","Thu","Fri","Sat","Sun")</f>
        <v>Sat</v>
      </c>
      <c r="H2134" t="str">
        <f>IF(WEEKDAY(A2134,2)&gt;5,"Weekend","Weekday")</f>
        <v>Weekend</v>
      </c>
      <c r="I2134" t="str">
        <f>_xlfn.IFS(B2134&lt;=5,"Night (0-5)",B2134&lt;=9,"Morning peak (6-9)",B2134&lt;=15,"Midday (10-15)",B2134&lt;=19,"Evening peak (16-19)",TRUE,"Late evening (20-23)")</f>
        <v>Late evening (20-23)</v>
      </c>
    </row>
    <row r="2135" spans="1:9">
      <c r="A2135" s="32">
        <v>41818</v>
      </c>
      <c r="B2135">
        <v>21</v>
      </c>
      <c r="C2135">
        <v>1428</v>
      </c>
      <c r="D2135" t="s">
        <v>303</v>
      </c>
      <c r="E2135">
        <f>YEAR(A2135)</f>
        <v>2014</v>
      </c>
      <c r="F2135" s="33">
        <f>DATE(YEAR(A2135),MONTH(A2135),1)</f>
        <v>41791.0</v>
      </c>
      <c r="G2135" t="str">
        <f>CHOOSE(WEEKDAY(A2135,2),"Mon","Tue","Wed","Thu","Fri","Sat","Sun")</f>
        <v>Sat</v>
      </c>
      <c r="H2135" t="str">
        <f>IF(WEEKDAY(A2135,2)&gt;5,"Weekend","Weekday")</f>
        <v>Weekend</v>
      </c>
      <c r="I2135" t="str">
        <f>_xlfn.IFS(B2135&lt;=5,"Night (0-5)",B2135&lt;=9,"Morning peak (6-9)",B2135&lt;=15,"Midday (10-15)",B2135&lt;=19,"Evening peak (16-19)",TRUE,"Late evening (20-23)")</f>
        <v>Late evening (20-23)</v>
      </c>
    </row>
    <row r="2136" spans="1:9">
      <c r="A2136" s="32">
        <v>41818</v>
      </c>
      <c r="B2136">
        <v>22</v>
      </c>
      <c r="C2136">
        <v>1594</v>
      </c>
      <c r="D2136" t="s">
        <v>303</v>
      </c>
      <c r="E2136">
        <f>YEAR(A2136)</f>
        <v>2014</v>
      </c>
      <c r="F2136" s="33">
        <f>DATE(YEAR(A2136),MONTH(A2136),1)</f>
        <v>41791.0</v>
      </c>
      <c r="G2136" t="str">
        <f>CHOOSE(WEEKDAY(A2136,2),"Mon","Tue","Wed","Thu","Fri","Sat","Sun")</f>
        <v>Sat</v>
      </c>
      <c r="H2136" t="str">
        <f>IF(WEEKDAY(A2136,2)&gt;5,"Weekend","Weekday")</f>
        <v>Weekend</v>
      </c>
      <c r="I2136" t="str">
        <f>_xlfn.IFS(B2136&lt;=5,"Night (0-5)",B2136&lt;=9,"Morning peak (6-9)",B2136&lt;=15,"Midday (10-15)",B2136&lt;=19,"Evening peak (16-19)",TRUE,"Late evening (20-23)")</f>
        <v>Late evening (20-23)</v>
      </c>
    </row>
    <row r="2137" spans="1:9">
      <c r="A2137" s="32">
        <v>41818</v>
      </c>
      <c r="B2137">
        <v>23</v>
      </c>
      <c r="C2137">
        <v>1492</v>
      </c>
      <c r="D2137" t="s">
        <v>303</v>
      </c>
      <c r="E2137">
        <f>YEAR(A2137)</f>
        <v>2014</v>
      </c>
      <c r="F2137" s="33">
        <f>DATE(YEAR(A2137),MONTH(A2137),1)</f>
        <v>41791.0</v>
      </c>
      <c r="G2137" t="str">
        <f>CHOOSE(WEEKDAY(A2137,2),"Mon","Tue","Wed","Thu","Fri","Sat","Sun")</f>
        <v>Sat</v>
      </c>
      <c r="H2137" t="str">
        <f>IF(WEEKDAY(A2137,2)&gt;5,"Weekend","Weekday")</f>
        <v>Weekend</v>
      </c>
      <c r="I2137" t="str">
        <f>_xlfn.IFS(B2137&lt;=5,"Night (0-5)",B2137&lt;=9,"Morning peak (6-9)",B2137&lt;=15,"Midday (10-15)",B2137&lt;=19,"Evening peak (16-19)",TRUE,"Late evening (20-23)")</f>
        <v>Late evening (20-23)</v>
      </c>
    </row>
    <row r="2138" spans="1:9">
      <c r="A2138" s="32">
        <v>41819</v>
      </c>
      <c r="B2138">
        <v>0</v>
      </c>
      <c r="C2138">
        <v>1105</v>
      </c>
      <c r="D2138" t="s">
        <v>303</v>
      </c>
      <c r="E2138">
        <f>YEAR(A2138)</f>
        <v>2014</v>
      </c>
      <c r="F2138" s="33">
        <f>DATE(YEAR(A2138),MONTH(A2138),1)</f>
        <v>41791.0</v>
      </c>
      <c r="G2138" t="str">
        <f>CHOOSE(WEEKDAY(A2138,2),"Mon","Tue","Wed","Thu","Fri","Sat","Sun")</f>
        <v>Sun</v>
      </c>
      <c r="H2138" t="str">
        <f>IF(WEEKDAY(A2138,2)&gt;5,"Weekend","Weekday")</f>
        <v>Weekend</v>
      </c>
      <c r="I2138" t="str">
        <f>_xlfn.IFS(B2138&lt;=5,"Night (0-5)",B2138&lt;=9,"Morning peak (6-9)",B2138&lt;=15,"Midday (10-15)",B2138&lt;=19,"Evening peak (16-19)",TRUE,"Late evening (20-23)")</f>
        <v>Night (0-5)</v>
      </c>
    </row>
    <row r="2139" spans="1:9">
      <c r="A2139" s="32">
        <v>41819</v>
      </c>
      <c r="B2139">
        <v>1</v>
      </c>
      <c r="C2139">
        <v>888</v>
      </c>
      <c r="D2139" t="s">
        <v>303</v>
      </c>
      <c r="E2139">
        <f>YEAR(A2139)</f>
        <v>2014</v>
      </c>
      <c r="F2139" s="33">
        <f>DATE(YEAR(A2139),MONTH(A2139),1)</f>
        <v>41791.0</v>
      </c>
      <c r="G2139" t="str">
        <f>CHOOSE(WEEKDAY(A2139,2),"Mon","Tue","Wed","Thu","Fri","Sat","Sun")</f>
        <v>Sun</v>
      </c>
      <c r="H2139" t="str">
        <f>IF(WEEKDAY(A2139,2)&gt;5,"Weekend","Weekday")</f>
        <v>Weekend</v>
      </c>
      <c r="I2139" t="str">
        <f>_xlfn.IFS(B2139&lt;=5,"Night (0-5)",B2139&lt;=9,"Morning peak (6-9)",B2139&lt;=15,"Midday (10-15)",B2139&lt;=19,"Evening peak (16-19)",TRUE,"Late evening (20-23)")</f>
        <v>Night (0-5)</v>
      </c>
    </row>
    <row r="2140" spans="1:9">
      <c r="A2140" s="32">
        <v>41819</v>
      </c>
      <c r="B2140">
        <v>2</v>
      </c>
      <c r="C2140">
        <v>764</v>
      </c>
      <c r="D2140" t="s">
        <v>303</v>
      </c>
      <c r="E2140">
        <f>YEAR(A2140)</f>
        <v>2014</v>
      </c>
      <c r="F2140" s="33">
        <f>DATE(YEAR(A2140),MONTH(A2140),1)</f>
        <v>41791.0</v>
      </c>
      <c r="G2140" t="str">
        <f>CHOOSE(WEEKDAY(A2140,2),"Mon","Tue","Wed","Thu","Fri","Sat","Sun")</f>
        <v>Sun</v>
      </c>
      <c r="H2140" t="str">
        <f>IF(WEEKDAY(A2140,2)&gt;5,"Weekend","Weekday")</f>
        <v>Weekend</v>
      </c>
      <c r="I2140" t="str">
        <f>_xlfn.IFS(B2140&lt;=5,"Night (0-5)",B2140&lt;=9,"Morning peak (6-9)",B2140&lt;=15,"Midday (10-15)",B2140&lt;=19,"Evening peak (16-19)",TRUE,"Late evening (20-23)")</f>
        <v>Night (0-5)</v>
      </c>
    </row>
    <row r="2141" spans="1:9">
      <c r="A2141" s="32">
        <v>41819</v>
      </c>
      <c r="B2141">
        <v>3</v>
      </c>
      <c r="C2141">
        <v>545</v>
      </c>
      <c r="D2141" t="s">
        <v>303</v>
      </c>
      <c r="E2141">
        <f>YEAR(A2141)</f>
        <v>2014</v>
      </c>
      <c r="F2141" s="33">
        <f>DATE(YEAR(A2141),MONTH(A2141),1)</f>
        <v>41791.0</v>
      </c>
      <c r="G2141" t="str">
        <f>CHOOSE(WEEKDAY(A2141,2),"Mon","Tue","Wed","Thu","Fri","Sat","Sun")</f>
        <v>Sun</v>
      </c>
      <c r="H2141" t="str">
        <f>IF(WEEKDAY(A2141,2)&gt;5,"Weekend","Weekday")</f>
        <v>Weekend</v>
      </c>
      <c r="I2141" t="str">
        <f>_xlfn.IFS(B2141&lt;=5,"Night (0-5)",B2141&lt;=9,"Morning peak (6-9)",B2141&lt;=15,"Midday (10-15)",B2141&lt;=19,"Evening peak (16-19)",TRUE,"Late evening (20-23)")</f>
        <v>Night (0-5)</v>
      </c>
    </row>
    <row r="2142" spans="1:9">
      <c r="A2142" s="32">
        <v>41819</v>
      </c>
      <c r="B2142">
        <v>4</v>
      </c>
      <c r="C2142">
        <v>242</v>
      </c>
      <c r="D2142" t="s">
        <v>303</v>
      </c>
      <c r="E2142">
        <f>YEAR(A2142)</f>
        <v>2014</v>
      </c>
      <c r="F2142" s="33">
        <f>DATE(YEAR(A2142),MONTH(A2142),1)</f>
        <v>41791.0</v>
      </c>
      <c r="G2142" t="str">
        <f>CHOOSE(WEEKDAY(A2142,2),"Mon","Tue","Wed","Thu","Fri","Sat","Sun")</f>
        <v>Sun</v>
      </c>
      <c r="H2142" t="str">
        <f>IF(WEEKDAY(A2142,2)&gt;5,"Weekend","Weekday")</f>
        <v>Weekend</v>
      </c>
      <c r="I2142" t="str">
        <f>_xlfn.IFS(B2142&lt;=5,"Night (0-5)",B2142&lt;=9,"Morning peak (6-9)",B2142&lt;=15,"Midday (10-15)",B2142&lt;=19,"Evening peak (16-19)",TRUE,"Late evening (20-23)")</f>
        <v>Night (0-5)</v>
      </c>
    </row>
    <row r="2143" spans="1:9">
      <c r="A2143" s="32">
        <v>41819</v>
      </c>
      <c r="B2143">
        <v>5</v>
      </c>
      <c r="C2143">
        <v>215</v>
      </c>
      <c r="D2143" t="s">
        <v>303</v>
      </c>
      <c r="E2143">
        <f>YEAR(A2143)</f>
        <v>2014</v>
      </c>
      <c r="F2143" s="33">
        <f>DATE(YEAR(A2143),MONTH(A2143),1)</f>
        <v>41791.0</v>
      </c>
      <c r="G2143" t="str">
        <f>CHOOSE(WEEKDAY(A2143,2),"Mon","Tue","Wed","Thu","Fri","Sat","Sun")</f>
        <v>Sun</v>
      </c>
      <c r="H2143" t="str">
        <f>IF(WEEKDAY(A2143,2)&gt;5,"Weekend","Weekday")</f>
        <v>Weekend</v>
      </c>
      <c r="I2143" t="str">
        <f>_xlfn.IFS(B2143&lt;=5,"Night (0-5)",B2143&lt;=9,"Morning peak (6-9)",B2143&lt;=15,"Midday (10-15)",B2143&lt;=19,"Evening peak (16-19)",TRUE,"Late evening (20-23)")</f>
        <v>Night (0-5)</v>
      </c>
    </row>
    <row r="2144" spans="1:9">
      <c r="A2144" s="32">
        <v>41819</v>
      </c>
      <c r="B2144">
        <v>6</v>
      </c>
      <c r="C2144">
        <v>237</v>
      </c>
      <c r="D2144" t="s">
        <v>303</v>
      </c>
      <c r="E2144">
        <f>YEAR(A2144)</f>
        <v>2014</v>
      </c>
      <c r="F2144" s="33">
        <f>DATE(YEAR(A2144),MONTH(A2144),1)</f>
        <v>41791.0</v>
      </c>
      <c r="G2144" t="str">
        <f>CHOOSE(WEEKDAY(A2144,2),"Mon","Tue","Wed","Thu","Fri","Sat","Sun")</f>
        <v>Sun</v>
      </c>
      <c r="H2144" t="str">
        <f>IF(WEEKDAY(A2144,2)&gt;5,"Weekend","Weekday")</f>
        <v>Weekend</v>
      </c>
      <c r="I2144" t="str">
        <f>_xlfn.IFS(B2144&lt;=5,"Night (0-5)",B2144&lt;=9,"Morning peak (6-9)",B2144&lt;=15,"Midday (10-15)",B2144&lt;=19,"Evening peak (16-19)",TRUE,"Late evening (20-23)")</f>
        <v>Morning peak (6-9)</v>
      </c>
    </row>
    <row r="2145" spans="1:9">
      <c r="A2145" s="32">
        <v>41819</v>
      </c>
      <c r="B2145">
        <v>7</v>
      </c>
      <c r="C2145">
        <v>270</v>
      </c>
      <c r="D2145" t="s">
        <v>303</v>
      </c>
      <c r="E2145">
        <f>YEAR(A2145)</f>
        <v>2014</v>
      </c>
      <c r="F2145" s="33">
        <f>DATE(YEAR(A2145),MONTH(A2145),1)</f>
        <v>41791.0</v>
      </c>
      <c r="G2145" t="str">
        <f>CHOOSE(WEEKDAY(A2145,2),"Mon","Tue","Wed","Thu","Fri","Sat","Sun")</f>
        <v>Sun</v>
      </c>
      <c r="H2145" t="str">
        <f>IF(WEEKDAY(A2145,2)&gt;5,"Weekend","Weekday")</f>
        <v>Weekend</v>
      </c>
      <c r="I2145" t="str">
        <f>_xlfn.IFS(B2145&lt;=5,"Night (0-5)",B2145&lt;=9,"Morning peak (6-9)",B2145&lt;=15,"Midday (10-15)",B2145&lt;=19,"Evening peak (16-19)",TRUE,"Late evening (20-23)")</f>
        <v>Morning peak (6-9)</v>
      </c>
    </row>
    <row r="2146" spans="1:9">
      <c r="A2146" s="32">
        <v>41819</v>
      </c>
      <c r="B2146">
        <v>8</v>
      </c>
      <c r="C2146">
        <v>430</v>
      </c>
      <c r="D2146" t="s">
        <v>303</v>
      </c>
      <c r="E2146">
        <f>YEAR(A2146)</f>
        <v>2014</v>
      </c>
      <c r="F2146" s="33">
        <f>DATE(YEAR(A2146),MONTH(A2146),1)</f>
        <v>41791.0</v>
      </c>
      <c r="G2146" t="str">
        <f>CHOOSE(WEEKDAY(A2146,2),"Mon","Tue","Wed","Thu","Fri","Sat","Sun")</f>
        <v>Sun</v>
      </c>
      <c r="H2146" t="str">
        <f>IF(WEEKDAY(A2146,2)&gt;5,"Weekend","Weekday")</f>
        <v>Weekend</v>
      </c>
      <c r="I2146" t="str">
        <f>_xlfn.IFS(B2146&lt;=5,"Night (0-5)",B2146&lt;=9,"Morning peak (6-9)",B2146&lt;=15,"Midday (10-15)",B2146&lt;=19,"Evening peak (16-19)",TRUE,"Late evening (20-23)")</f>
        <v>Morning peak (6-9)</v>
      </c>
    </row>
    <row r="2147" spans="1:9">
      <c r="A2147" s="32">
        <v>41819</v>
      </c>
      <c r="B2147">
        <v>9</v>
      </c>
      <c r="C2147">
        <v>616</v>
      </c>
      <c r="D2147" t="s">
        <v>303</v>
      </c>
      <c r="E2147">
        <f>YEAR(A2147)</f>
        <v>2014</v>
      </c>
      <c r="F2147" s="33">
        <f>DATE(YEAR(A2147),MONTH(A2147),1)</f>
        <v>41791.0</v>
      </c>
      <c r="G2147" t="str">
        <f>CHOOSE(WEEKDAY(A2147,2),"Mon","Tue","Wed","Thu","Fri","Sat","Sun")</f>
        <v>Sun</v>
      </c>
      <c r="H2147" t="str">
        <f>IF(WEEKDAY(A2147,2)&gt;5,"Weekend","Weekday")</f>
        <v>Weekend</v>
      </c>
      <c r="I2147" t="str">
        <f>_xlfn.IFS(B2147&lt;=5,"Night (0-5)",B2147&lt;=9,"Morning peak (6-9)",B2147&lt;=15,"Midday (10-15)",B2147&lt;=19,"Evening peak (16-19)",TRUE,"Late evening (20-23)")</f>
        <v>Morning peak (6-9)</v>
      </c>
    </row>
    <row r="2148" spans="1:9">
      <c r="A2148" s="32">
        <v>41819</v>
      </c>
      <c r="B2148">
        <v>10</v>
      </c>
      <c r="C2148">
        <v>709</v>
      </c>
      <c r="D2148" t="s">
        <v>303</v>
      </c>
      <c r="E2148">
        <f>YEAR(A2148)</f>
        <v>2014</v>
      </c>
      <c r="F2148" s="33">
        <f>DATE(YEAR(A2148),MONTH(A2148),1)</f>
        <v>41791.0</v>
      </c>
      <c r="G2148" t="str">
        <f>CHOOSE(WEEKDAY(A2148,2),"Mon","Tue","Wed","Thu","Fri","Sat","Sun")</f>
        <v>Sun</v>
      </c>
      <c r="H2148" t="str">
        <f>IF(WEEKDAY(A2148,2)&gt;5,"Weekend","Weekday")</f>
        <v>Weekend</v>
      </c>
      <c r="I2148" t="str">
        <f>_xlfn.IFS(B2148&lt;=5,"Night (0-5)",B2148&lt;=9,"Morning peak (6-9)",B2148&lt;=15,"Midday (10-15)",B2148&lt;=19,"Evening peak (16-19)",TRUE,"Late evening (20-23)")</f>
        <v>Midday (10-15)</v>
      </c>
    </row>
    <row r="2149" spans="1:9">
      <c r="A2149" s="32">
        <v>41819</v>
      </c>
      <c r="B2149">
        <v>11</v>
      </c>
      <c r="C2149">
        <v>697</v>
      </c>
      <c r="D2149" t="s">
        <v>303</v>
      </c>
      <c r="E2149">
        <f>YEAR(A2149)</f>
        <v>2014</v>
      </c>
      <c r="F2149" s="33">
        <f>DATE(YEAR(A2149),MONTH(A2149),1)</f>
        <v>41791.0</v>
      </c>
      <c r="G2149" t="str">
        <f>CHOOSE(WEEKDAY(A2149,2),"Mon","Tue","Wed","Thu","Fri","Sat","Sun")</f>
        <v>Sun</v>
      </c>
      <c r="H2149" t="str">
        <f>IF(WEEKDAY(A2149,2)&gt;5,"Weekend","Weekday")</f>
        <v>Weekend</v>
      </c>
      <c r="I2149" t="str">
        <f>_xlfn.IFS(B2149&lt;=5,"Night (0-5)",B2149&lt;=9,"Morning peak (6-9)",B2149&lt;=15,"Midday (10-15)",B2149&lt;=19,"Evening peak (16-19)",TRUE,"Late evening (20-23)")</f>
        <v>Midday (10-15)</v>
      </c>
    </row>
    <row r="2150" spans="1:9">
      <c r="A2150" s="32">
        <v>41819</v>
      </c>
      <c r="B2150">
        <v>12</v>
      </c>
      <c r="C2150">
        <v>733</v>
      </c>
      <c r="D2150" t="s">
        <v>303</v>
      </c>
      <c r="E2150">
        <f>YEAR(A2150)</f>
        <v>2014</v>
      </c>
      <c r="F2150" s="33">
        <f>DATE(YEAR(A2150),MONTH(A2150),1)</f>
        <v>41791.0</v>
      </c>
      <c r="G2150" t="str">
        <f>CHOOSE(WEEKDAY(A2150,2),"Mon","Tue","Wed","Thu","Fri","Sat","Sun")</f>
        <v>Sun</v>
      </c>
      <c r="H2150" t="str">
        <f>IF(WEEKDAY(A2150,2)&gt;5,"Weekend","Weekday")</f>
        <v>Weekend</v>
      </c>
      <c r="I2150" t="str">
        <f>_xlfn.IFS(B2150&lt;=5,"Night (0-5)",B2150&lt;=9,"Morning peak (6-9)",B2150&lt;=15,"Midday (10-15)",B2150&lt;=19,"Evening peak (16-19)",TRUE,"Late evening (20-23)")</f>
        <v>Midday (10-15)</v>
      </c>
    </row>
    <row r="2151" spans="1:9">
      <c r="A2151" s="32">
        <v>41819</v>
      </c>
      <c r="B2151">
        <v>13</v>
      </c>
      <c r="C2151">
        <v>867</v>
      </c>
      <c r="D2151" t="s">
        <v>303</v>
      </c>
      <c r="E2151">
        <f>YEAR(A2151)</f>
        <v>2014</v>
      </c>
      <c r="F2151" s="33">
        <f>DATE(YEAR(A2151),MONTH(A2151),1)</f>
        <v>41791.0</v>
      </c>
      <c r="G2151" t="str">
        <f>CHOOSE(WEEKDAY(A2151,2),"Mon","Tue","Wed","Thu","Fri","Sat","Sun")</f>
        <v>Sun</v>
      </c>
      <c r="H2151" t="str">
        <f>IF(WEEKDAY(A2151,2)&gt;5,"Weekend","Weekday")</f>
        <v>Weekend</v>
      </c>
      <c r="I2151" t="str">
        <f>_xlfn.IFS(B2151&lt;=5,"Night (0-5)",B2151&lt;=9,"Morning peak (6-9)",B2151&lt;=15,"Midday (10-15)",B2151&lt;=19,"Evening peak (16-19)",TRUE,"Late evening (20-23)")</f>
        <v>Midday (10-15)</v>
      </c>
    </row>
    <row r="2152" spans="1:9">
      <c r="A2152" s="32">
        <v>41819</v>
      </c>
      <c r="B2152">
        <v>14</v>
      </c>
      <c r="C2152">
        <v>927</v>
      </c>
      <c r="D2152" t="s">
        <v>303</v>
      </c>
      <c r="E2152">
        <f>YEAR(A2152)</f>
        <v>2014</v>
      </c>
      <c r="F2152" s="33">
        <f>DATE(YEAR(A2152),MONTH(A2152),1)</f>
        <v>41791.0</v>
      </c>
      <c r="G2152" t="str">
        <f>CHOOSE(WEEKDAY(A2152,2),"Mon","Tue","Wed","Thu","Fri","Sat","Sun")</f>
        <v>Sun</v>
      </c>
      <c r="H2152" t="str">
        <f>IF(WEEKDAY(A2152,2)&gt;5,"Weekend","Weekday")</f>
        <v>Weekend</v>
      </c>
      <c r="I2152" t="str">
        <f>_xlfn.IFS(B2152&lt;=5,"Night (0-5)",B2152&lt;=9,"Morning peak (6-9)",B2152&lt;=15,"Midday (10-15)",B2152&lt;=19,"Evening peak (16-19)",TRUE,"Late evening (20-23)")</f>
        <v>Midday (10-15)</v>
      </c>
    </row>
    <row r="2153" spans="1:9">
      <c r="A2153" s="32">
        <v>41819</v>
      </c>
      <c r="B2153">
        <v>15</v>
      </c>
      <c r="C2153">
        <v>1091</v>
      </c>
      <c r="D2153" t="s">
        <v>303</v>
      </c>
      <c r="E2153">
        <f>YEAR(A2153)</f>
        <v>2014</v>
      </c>
      <c r="F2153" s="33">
        <f>DATE(YEAR(A2153),MONTH(A2153),1)</f>
        <v>41791.0</v>
      </c>
      <c r="G2153" t="str">
        <f>CHOOSE(WEEKDAY(A2153,2),"Mon","Tue","Wed","Thu","Fri","Sat","Sun")</f>
        <v>Sun</v>
      </c>
      <c r="H2153" t="str">
        <f>IF(WEEKDAY(A2153,2)&gt;5,"Weekend","Weekday")</f>
        <v>Weekend</v>
      </c>
      <c r="I2153" t="str">
        <f>_xlfn.IFS(B2153&lt;=5,"Night (0-5)",B2153&lt;=9,"Morning peak (6-9)",B2153&lt;=15,"Midday (10-15)",B2153&lt;=19,"Evening peak (16-19)",TRUE,"Late evening (20-23)")</f>
        <v>Midday (10-15)</v>
      </c>
    </row>
    <row r="2154" spans="1:9">
      <c r="A2154" s="32">
        <v>41819</v>
      </c>
      <c r="B2154">
        <v>16</v>
      </c>
      <c r="C2154">
        <v>1068</v>
      </c>
      <c r="D2154" t="s">
        <v>303</v>
      </c>
      <c r="E2154">
        <f>YEAR(A2154)</f>
        <v>2014</v>
      </c>
      <c r="F2154" s="33">
        <f>DATE(YEAR(A2154),MONTH(A2154),1)</f>
        <v>41791.0</v>
      </c>
      <c r="G2154" t="str">
        <f>CHOOSE(WEEKDAY(A2154,2),"Mon","Tue","Wed","Thu","Fri","Sat","Sun")</f>
        <v>Sun</v>
      </c>
      <c r="H2154" t="str">
        <f>IF(WEEKDAY(A2154,2)&gt;5,"Weekend","Weekday")</f>
        <v>Weekend</v>
      </c>
      <c r="I2154" t="str">
        <f>_xlfn.IFS(B2154&lt;=5,"Night (0-5)",B2154&lt;=9,"Morning peak (6-9)",B2154&lt;=15,"Midday (10-15)",B2154&lt;=19,"Evening peak (16-19)",TRUE,"Late evening (20-23)")</f>
        <v>Evening peak (16-19)</v>
      </c>
    </row>
    <row r="2155" spans="1:9">
      <c r="A2155" s="32">
        <v>41819</v>
      </c>
      <c r="B2155">
        <v>17</v>
      </c>
      <c r="C2155">
        <v>1060</v>
      </c>
      <c r="D2155" t="s">
        <v>303</v>
      </c>
      <c r="E2155">
        <f>YEAR(A2155)</f>
        <v>2014</v>
      </c>
      <c r="F2155" s="33">
        <f>DATE(YEAR(A2155),MONTH(A2155),1)</f>
        <v>41791.0</v>
      </c>
      <c r="G2155" t="str">
        <f>CHOOSE(WEEKDAY(A2155,2),"Mon","Tue","Wed","Thu","Fri","Sat","Sun")</f>
        <v>Sun</v>
      </c>
      <c r="H2155" t="str">
        <f>IF(WEEKDAY(A2155,2)&gt;5,"Weekend","Weekday")</f>
        <v>Weekend</v>
      </c>
      <c r="I2155" t="str">
        <f>_xlfn.IFS(B2155&lt;=5,"Night (0-5)",B2155&lt;=9,"Morning peak (6-9)",B2155&lt;=15,"Midday (10-15)",B2155&lt;=19,"Evening peak (16-19)",TRUE,"Late evening (20-23)")</f>
        <v>Evening peak (16-19)</v>
      </c>
    </row>
    <row r="2156" spans="1:9">
      <c r="A2156" s="32">
        <v>41819</v>
      </c>
      <c r="B2156">
        <v>18</v>
      </c>
      <c r="C2156">
        <v>927</v>
      </c>
      <c r="D2156" t="s">
        <v>303</v>
      </c>
      <c r="E2156">
        <f>YEAR(A2156)</f>
        <v>2014</v>
      </c>
      <c r="F2156" s="33">
        <f>DATE(YEAR(A2156),MONTH(A2156),1)</f>
        <v>41791.0</v>
      </c>
      <c r="G2156" t="str">
        <f>CHOOSE(WEEKDAY(A2156,2),"Mon","Tue","Wed","Thu","Fri","Sat","Sun")</f>
        <v>Sun</v>
      </c>
      <c r="H2156" t="str">
        <f>IF(WEEKDAY(A2156,2)&gt;5,"Weekend","Weekday")</f>
        <v>Weekend</v>
      </c>
      <c r="I2156" t="str">
        <f>_xlfn.IFS(B2156&lt;=5,"Night (0-5)",B2156&lt;=9,"Morning peak (6-9)",B2156&lt;=15,"Midday (10-15)",B2156&lt;=19,"Evening peak (16-19)",TRUE,"Late evening (20-23)")</f>
        <v>Evening peak (16-19)</v>
      </c>
    </row>
    <row r="2157" spans="1:9">
      <c r="A2157" s="32">
        <v>41819</v>
      </c>
      <c r="B2157">
        <v>19</v>
      </c>
      <c r="C2157">
        <v>769</v>
      </c>
      <c r="D2157" t="s">
        <v>303</v>
      </c>
      <c r="E2157">
        <f>YEAR(A2157)</f>
        <v>2014</v>
      </c>
      <c r="F2157" s="33">
        <f>DATE(YEAR(A2157),MONTH(A2157),1)</f>
        <v>41791.0</v>
      </c>
      <c r="G2157" t="str">
        <f>CHOOSE(WEEKDAY(A2157,2),"Mon","Tue","Wed","Thu","Fri","Sat","Sun")</f>
        <v>Sun</v>
      </c>
      <c r="H2157" t="str">
        <f>IF(WEEKDAY(A2157,2)&gt;5,"Weekend","Weekday")</f>
        <v>Weekend</v>
      </c>
      <c r="I2157" t="str">
        <f>_xlfn.IFS(B2157&lt;=5,"Night (0-5)",B2157&lt;=9,"Morning peak (6-9)",B2157&lt;=15,"Midday (10-15)",B2157&lt;=19,"Evening peak (16-19)",TRUE,"Late evening (20-23)")</f>
        <v>Evening peak (16-19)</v>
      </c>
    </row>
    <row r="2158" spans="1:9">
      <c r="A2158" s="32">
        <v>41819</v>
      </c>
      <c r="B2158">
        <v>20</v>
      </c>
      <c r="C2158">
        <v>862</v>
      </c>
      <c r="D2158" t="s">
        <v>303</v>
      </c>
      <c r="E2158">
        <f>YEAR(A2158)</f>
        <v>2014</v>
      </c>
      <c r="F2158" s="33">
        <f>DATE(YEAR(A2158),MONTH(A2158),1)</f>
        <v>41791.0</v>
      </c>
      <c r="G2158" t="str">
        <f>CHOOSE(WEEKDAY(A2158,2),"Mon","Tue","Wed","Thu","Fri","Sat","Sun")</f>
        <v>Sun</v>
      </c>
      <c r="H2158" t="str">
        <f>IF(WEEKDAY(A2158,2)&gt;5,"Weekend","Weekday")</f>
        <v>Weekend</v>
      </c>
      <c r="I2158" t="str">
        <f>_xlfn.IFS(B2158&lt;=5,"Night (0-5)",B2158&lt;=9,"Morning peak (6-9)",B2158&lt;=15,"Midday (10-15)",B2158&lt;=19,"Evening peak (16-19)",TRUE,"Late evening (20-23)")</f>
        <v>Late evening (20-23)</v>
      </c>
    </row>
    <row r="2159" spans="1:9">
      <c r="A2159" s="32">
        <v>41819</v>
      </c>
      <c r="B2159">
        <v>21</v>
      </c>
      <c r="C2159">
        <v>907</v>
      </c>
      <c r="D2159" t="s">
        <v>303</v>
      </c>
      <c r="E2159">
        <f>YEAR(A2159)</f>
        <v>2014</v>
      </c>
      <c r="F2159" s="33">
        <f>DATE(YEAR(A2159),MONTH(A2159),1)</f>
        <v>41791.0</v>
      </c>
      <c r="G2159" t="str">
        <f>CHOOSE(WEEKDAY(A2159,2),"Mon","Tue","Wed","Thu","Fri","Sat","Sun")</f>
        <v>Sun</v>
      </c>
      <c r="H2159" t="str">
        <f>IF(WEEKDAY(A2159,2)&gt;5,"Weekend","Weekday")</f>
        <v>Weekend</v>
      </c>
      <c r="I2159" t="str">
        <f>_xlfn.IFS(B2159&lt;=5,"Night (0-5)",B2159&lt;=9,"Morning peak (6-9)",B2159&lt;=15,"Midday (10-15)",B2159&lt;=19,"Evening peak (16-19)",TRUE,"Late evening (20-23)")</f>
        <v>Late evening (20-23)</v>
      </c>
    </row>
    <row r="2160" spans="1:9">
      <c r="A2160" s="32">
        <v>41819</v>
      </c>
      <c r="B2160">
        <v>22</v>
      </c>
      <c r="C2160">
        <v>741</v>
      </c>
      <c r="D2160" t="s">
        <v>303</v>
      </c>
      <c r="E2160">
        <f>YEAR(A2160)</f>
        <v>2014</v>
      </c>
      <c r="F2160" s="33">
        <f>DATE(YEAR(A2160),MONTH(A2160),1)</f>
        <v>41791.0</v>
      </c>
      <c r="G2160" t="str">
        <f>CHOOSE(WEEKDAY(A2160,2),"Mon","Tue","Wed","Thu","Fri","Sat","Sun")</f>
        <v>Sun</v>
      </c>
      <c r="H2160" t="str">
        <f>IF(WEEKDAY(A2160,2)&gt;5,"Weekend","Weekday")</f>
        <v>Weekend</v>
      </c>
      <c r="I2160" t="str">
        <f>_xlfn.IFS(B2160&lt;=5,"Night (0-5)",B2160&lt;=9,"Morning peak (6-9)",B2160&lt;=15,"Midday (10-15)",B2160&lt;=19,"Evening peak (16-19)",TRUE,"Late evening (20-23)")</f>
        <v>Late evening (20-23)</v>
      </c>
    </row>
    <row r="2161" spans="1:9">
      <c r="A2161" s="32">
        <v>41819</v>
      </c>
      <c r="B2161">
        <v>23</v>
      </c>
      <c r="C2161">
        <v>437</v>
      </c>
      <c r="D2161" t="s">
        <v>303</v>
      </c>
      <c r="E2161">
        <f>YEAR(A2161)</f>
        <v>2014</v>
      </c>
      <c r="F2161" s="33">
        <f>DATE(YEAR(A2161),MONTH(A2161),1)</f>
        <v>41791.0</v>
      </c>
      <c r="G2161" t="str">
        <f>CHOOSE(WEEKDAY(A2161,2),"Mon","Tue","Wed","Thu","Fri","Sat","Sun")</f>
        <v>Sun</v>
      </c>
      <c r="H2161" t="str">
        <f>IF(WEEKDAY(A2161,2)&gt;5,"Weekend","Weekday")</f>
        <v>Weekend</v>
      </c>
      <c r="I2161" t="str">
        <f>_xlfn.IFS(B2161&lt;=5,"Night (0-5)",B2161&lt;=9,"Morning peak (6-9)",B2161&lt;=15,"Midday (10-15)",B2161&lt;=19,"Evening peak (16-19)",TRUE,"Late evening (20-23)")</f>
        <v>Late evening (20-23)</v>
      </c>
    </row>
    <row r="2162" spans="1:9">
      <c r="A2162" s="32">
        <v>41820</v>
      </c>
      <c r="B2162">
        <v>0</v>
      </c>
      <c r="C2162">
        <v>210</v>
      </c>
      <c r="D2162" t="s">
        <v>303</v>
      </c>
      <c r="E2162">
        <f>YEAR(A2162)</f>
        <v>2014</v>
      </c>
      <c r="F2162" s="33">
        <f>DATE(YEAR(A2162),MONTH(A2162),1)</f>
        <v>41791.0</v>
      </c>
      <c r="G2162" t="str">
        <f>CHOOSE(WEEKDAY(A2162,2),"Mon","Tue","Wed","Thu","Fri","Sat","Sun")</f>
        <v>Mon</v>
      </c>
      <c r="H2162" t="str">
        <f>IF(WEEKDAY(A2162,2)&gt;5,"Weekend","Weekday")</f>
        <v>Weekday</v>
      </c>
      <c r="I2162" t="str">
        <f>_xlfn.IFS(B2162&lt;=5,"Night (0-5)",B2162&lt;=9,"Morning peak (6-9)",B2162&lt;=15,"Midday (10-15)",B2162&lt;=19,"Evening peak (16-19)",TRUE,"Late evening (20-23)")</f>
        <v>Night (0-5)</v>
      </c>
    </row>
    <row r="2163" spans="1:9">
      <c r="A2163" s="32">
        <v>41820</v>
      </c>
      <c r="B2163">
        <v>1</v>
      </c>
      <c r="C2163">
        <v>138</v>
      </c>
      <c r="D2163" t="s">
        <v>303</v>
      </c>
      <c r="E2163">
        <f>YEAR(A2163)</f>
        <v>2014</v>
      </c>
      <c r="F2163" s="33">
        <f>DATE(YEAR(A2163),MONTH(A2163),1)</f>
        <v>41791.0</v>
      </c>
      <c r="G2163" t="str">
        <f>CHOOSE(WEEKDAY(A2163,2),"Mon","Tue","Wed","Thu","Fri","Sat","Sun")</f>
        <v>Mon</v>
      </c>
      <c r="H2163" t="str">
        <f>IF(WEEKDAY(A2163,2)&gt;5,"Weekend","Weekday")</f>
        <v>Weekday</v>
      </c>
      <c r="I2163" t="str">
        <f>_xlfn.IFS(B2163&lt;=5,"Night (0-5)",B2163&lt;=9,"Morning peak (6-9)",B2163&lt;=15,"Midday (10-15)",B2163&lt;=19,"Evening peak (16-19)",TRUE,"Late evening (20-23)")</f>
        <v>Night (0-5)</v>
      </c>
    </row>
    <row r="2164" spans="1:9">
      <c r="A2164" s="32">
        <v>41820</v>
      </c>
      <c r="B2164">
        <v>2</v>
      </c>
      <c r="C2164">
        <v>118</v>
      </c>
      <c r="D2164" t="s">
        <v>303</v>
      </c>
      <c r="E2164">
        <f>YEAR(A2164)</f>
        <v>2014</v>
      </c>
      <c r="F2164" s="33">
        <f>DATE(YEAR(A2164),MONTH(A2164),1)</f>
        <v>41791.0</v>
      </c>
      <c r="G2164" t="str">
        <f>CHOOSE(WEEKDAY(A2164,2),"Mon","Tue","Wed","Thu","Fri","Sat","Sun")</f>
        <v>Mon</v>
      </c>
      <c r="H2164" t="str">
        <f>IF(WEEKDAY(A2164,2)&gt;5,"Weekend","Weekday")</f>
        <v>Weekday</v>
      </c>
      <c r="I2164" t="str">
        <f>_xlfn.IFS(B2164&lt;=5,"Night (0-5)",B2164&lt;=9,"Morning peak (6-9)",B2164&lt;=15,"Midday (10-15)",B2164&lt;=19,"Evening peak (16-19)",TRUE,"Late evening (20-23)")</f>
        <v>Night (0-5)</v>
      </c>
    </row>
    <row r="2165" spans="1:9">
      <c r="A2165" s="32">
        <v>41820</v>
      </c>
      <c r="B2165">
        <v>3</v>
      </c>
      <c r="C2165">
        <v>223</v>
      </c>
      <c r="D2165" t="s">
        <v>303</v>
      </c>
      <c r="E2165">
        <f>YEAR(A2165)</f>
        <v>2014</v>
      </c>
      <c r="F2165" s="33">
        <f>DATE(YEAR(A2165),MONTH(A2165),1)</f>
        <v>41791.0</v>
      </c>
      <c r="G2165" t="str">
        <f>CHOOSE(WEEKDAY(A2165,2),"Mon","Tue","Wed","Thu","Fri","Sat","Sun")</f>
        <v>Mon</v>
      </c>
      <c r="H2165" t="str">
        <f>IF(WEEKDAY(A2165,2)&gt;5,"Weekend","Weekday")</f>
        <v>Weekday</v>
      </c>
      <c r="I2165" t="str">
        <f>_xlfn.IFS(B2165&lt;=5,"Night (0-5)",B2165&lt;=9,"Morning peak (6-9)",B2165&lt;=15,"Midday (10-15)",B2165&lt;=19,"Evening peak (16-19)",TRUE,"Late evening (20-23)")</f>
        <v>Night (0-5)</v>
      </c>
    </row>
    <row r="2166" spans="1:9">
      <c r="A2166" s="32">
        <v>41820</v>
      </c>
      <c r="B2166">
        <v>4</v>
      </c>
      <c r="C2166">
        <v>300</v>
      </c>
      <c r="D2166" t="s">
        <v>303</v>
      </c>
      <c r="E2166">
        <f>YEAR(A2166)</f>
        <v>2014</v>
      </c>
      <c r="F2166" s="33">
        <f>DATE(YEAR(A2166),MONTH(A2166),1)</f>
        <v>41791.0</v>
      </c>
      <c r="G2166" t="str">
        <f>CHOOSE(WEEKDAY(A2166,2),"Mon","Tue","Wed","Thu","Fri","Sat","Sun")</f>
        <v>Mon</v>
      </c>
      <c r="H2166" t="str">
        <f>IF(WEEKDAY(A2166,2)&gt;5,"Weekend","Weekday")</f>
        <v>Weekday</v>
      </c>
      <c r="I2166" t="str">
        <f>_xlfn.IFS(B2166&lt;=5,"Night (0-5)",B2166&lt;=9,"Morning peak (6-9)",B2166&lt;=15,"Midday (10-15)",B2166&lt;=19,"Evening peak (16-19)",TRUE,"Late evening (20-23)")</f>
        <v>Night (0-5)</v>
      </c>
    </row>
    <row r="2167" spans="1:9">
      <c r="A2167" s="32">
        <v>41820</v>
      </c>
      <c r="B2167">
        <v>5</v>
      </c>
      <c r="C2167">
        <v>445</v>
      </c>
      <c r="D2167" t="s">
        <v>303</v>
      </c>
      <c r="E2167">
        <f>YEAR(A2167)</f>
        <v>2014</v>
      </c>
      <c r="F2167" s="33">
        <f>DATE(YEAR(A2167),MONTH(A2167),1)</f>
        <v>41791.0</v>
      </c>
      <c r="G2167" t="str">
        <f>CHOOSE(WEEKDAY(A2167,2),"Mon","Tue","Wed","Thu","Fri","Sat","Sun")</f>
        <v>Mon</v>
      </c>
      <c r="H2167" t="str">
        <f>IF(WEEKDAY(A2167,2)&gt;5,"Weekend","Weekday")</f>
        <v>Weekday</v>
      </c>
      <c r="I2167" t="str">
        <f>_xlfn.IFS(B2167&lt;=5,"Night (0-5)",B2167&lt;=9,"Morning peak (6-9)",B2167&lt;=15,"Midday (10-15)",B2167&lt;=19,"Evening peak (16-19)",TRUE,"Late evening (20-23)")</f>
        <v>Night (0-5)</v>
      </c>
    </row>
    <row r="2168" spans="1:9">
      <c r="A2168" s="32">
        <v>41820</v>
      </c>
      <c r="B2168">
        <v>6</v>
      </c>
      <c r="C2168">
        <v>768</v>
      </c>
      <c r="D2168" t="s">
        <v>303</v>
      </c>
      <c r="E2168">
        <f>YEAR(A2168)</f>
        <v>2014</v>
      </c>
      <c r="F2168" s="33">
        <f>DATE(YEAR(A2168),MONTH(A2168),1)</f>
        <v>41791.0</v>
      </c>
      <c r="G2168" t="str">
        <f>CHOOSE(WEEKDAY(A2168,2),"Mon","Tue","Wed","Thu","Fri","Sat","Sun")</f>
        <v>Mon</v>
      </c>
      <c r="H2168" t="str">
        <f>IF(WEEKDAY(A2168,2)&gt;5,"Weekend","Weekday")</f>
        <v>Weekday</v>
      </c>
      <c r="I2168" t="str">
        <f>_xlfn.IFS(B2168&lt;=5,"Night (0-5)",B2168&lt;=9,"Morning peak (6-9)",B2168&lt;=15,"Midday (10-15)",B2168&lt;=19,"Evening peak (16-19)",TRUE,"Late evening (20-23)")</f>
        <v>Morning peak (6-9)</v>
      </c>
    </row>
    <row r="2169" spans="1:9">
      <c r="A2169" s="32">
        <v>41820</v>
      </c>
      <c r="B2169">
        <v>7</v>
      </c>
      <c r="C2169">
        <v>1155</v>
      </c>
      <c r="D2169" t="s">
        <v>303</v>
      </c>
      <c r="E2169">
        <f>YEAR(A2169)</f>
        <v>2014</v>
      </c>
      <c r="F2169" s="33">
        <f>DATE(YEAR(A2169),MONTH(A2169),1)</f>
        <v>41791.0</v>
      </c>
      <c r="G2169" t="str">
        <f>CHOOSE(WEEKDAY(A2169,2),"Mon","Tue","Wed","Thu","Fri","Sat","Sun")</f>
        <v>Mon</v>
      </c>
      <c r="H2169" t="str">
        <f>IF(WEEKDAY(A2169,2)&gt;5,"Weekend","Weekday")</f>
        <v>Weekday</v>
      </c>
      <c r="I2169" t="str">
        <f>_xlfn.IFS(B2169&lt;=5,"Night (0-5)",B2169&lt;=9,"Morning peak (6-9)",B2169&lt;=15,"Midday (10-15)",B2169&lt;=19,"Evening peak (16-19)",TRUE,"Late evening (20-23)")</f>
        <v>Morning peak (6-9)</v>
      </c>
    </row>
    <row r="2170" spans="1:9">
      <c r="A2170" s="32">
        <v>41820</v>
      </c>
      <c r="B2170">
        <v>8</v>
      </c>
      <c r="C2170">
        <v>1120</v>
      </c>
      <c r="D2170" t="s">
        <v>303</v>
      </c>
      <c r="E2170">
        <f>YEAR(A2170)</f>
        <v>2014</v>
      </c>
      <c r="F2170" s="33">
        <f>DATE(YEAR(A2170),MONTH(A2170),1)</f>
        <v>41791.0</v>
      </c>
      <c r="G2170" t="str">
        <f>CHOOSE(WEEKDAY(A2170,2),"Mon","Tue","Wed","Thu","Fri","Sat","Sun")</f>
        <v>Mon</v>
      </c>
      <c r="H2170" t="str">
        <f>IF(WEEKDAY(A2170,2)&gt;5,"Weekend","Weekday")</f>
        <v>Weekday</v>
      </c>
      <c r="I2170" t="str">
        <f>_xlfn.IFS(B2170&lt;=5,"Night (0-5)",B2170&lt;=9,"Morning peak (6-9)",B2170&lt;=15,"Midday (10-15)",B2170&lt;=19,"Evening peak (16-19)",TRUE,"Late evening (20-23)")</f>
        <v>Morning peak (6-9)</v>
      </c>
    </row>
    <row r="2171" spans="1:9">
      <c r="A2171" s="32">
        <v>41820</v>
      </c>
      <c r="B2171">
        <v>9</v>
      </c>
      <c r="C2171">
        <v>763</v>
      </c>
      <c r="D2171" t="s">
        <v>303</v>
      </c>
      <c r="E2171">
        <f>YEAR(A2171)</f>
        <v>2014</v>
      </c>
      <c r="F2171" s="33">
        <f>DATE(YEAR(A2171),MONTH(A2171),1)</f>
        <v>41791.0</v>
      </c>
      <c r="G2171" t="str">
        <f>CHOOSE(WEEKDAY(A2171,2),"Mon","Tue","Wed","Thu","Fri","Sat","Sun")</f>
        <v>Mon</v>
      </c>
      <c r="H2171" t="str">
        <f>IF(WEEKDAY(A2171,2)&gt;5,"Weekend","Weekday")</f>
        <v>Weekday</v>
      </c>
      <c r="I2171" t="str">
        <f>_xlfn.IFS(B2171&lt;=5,"Night (0-5)",B2171&lt;=9,"Morning peak (6-9)",B2171&lt;=15,"Midday (10-15)",B2171&lt;=19,"Evening peak (16-19)",TRUE,"Late evening (20-23)")</f>
        <v>Morning peak (6-9)</v>
      </c>
    </row>
    <row r="2172" spans="1:9">
      <c r="A2172" s="32">
        <v>41820</v>
      </c>
      <c r="B2172">
        <v>10</v>
      </c>
      <c r="C2172">
        <v>685</v>
      </c>
      <c r="D2172" t="s">
        <v>303</v>
      </c>
      <c r="E2172">
        <f>YEAR(A2172)</f>
        <v>2014</v>
      </c>
      <c r="F2172" s="33">
        <f>DATE(YEAR(A2172),MONTH(A2172),1)</f>
        <v>41791.0</v>
      </c>
      <c r="G2172" t="str">
        <f>CHOOSE(WEEKDAY(A2172,2),"Mon","Tue","Wed","Thu","Fri","Sat","Sun")</f>
        <v>Mon</v>
      </c>
      <c r="H2172" t="str">
        <f>IF(WEEKDAY(A2172,2)&gt;5,"Weekend","Weekday")</f>
        <v>Weekday</v>
      </c>
      <c r="I2172" t="str">
        <f>_xlfn.IFS(B2172&lt;=5,"Night (0-5)",B2172&lt;=9,"Morning peak (6-9)",B2172&lt;=15,"Midday (10-15)",B2172&lt;=19,"Evening peak (16-19)",TRUE,"Late evening (20-23)")</f>
        <v>Midday (10-15)</v>
      </c>
    </row>
    <row r="2173" spans="1:9">
      <c r="A2173" s="32">
        <v>41820</v>
      </c>
      <c r="B2173">
        <v>11</v>
      </c>
      <c r="C2173">
        <v>698</v>
      </c>
      <c r="D2173" t="s">
        <v>303</v>
      </c>
      <c r="E2173">
        <f>YEAR(A2173)</f>
        <v>2014</v>
      </c>
      <c r="F2173" s="33">
        <f>DATE(YEAR(A2173),MONTH(A2173),1)</f>
        <v>41791.0</v>
      </c>
      <c r="G2173" t="str">
        <f>CHOOSE(WEEKDAY(A2173,2),"Mon","Tue","Wed","Thu","Fri","Sat","Sun")</f>
        <v>Mon</v>
      </c>
      <c r="H2173" t="str">
        <f>IF(WEEKDAY(A2173,2)&gt;5,"Weekend","Weekday")</f>
        <v>Weekday</v>
      </c>
      <c r="I2173" t="str">
        <f>_xlfn.IFS(B2173&lt;=5,"Night (0-5)",B2173&lt;=9,"Morning peak (6-9)",B2173&lt;=15,"Midday (10-15)",B2173&lt;=19,"Evening peak (16-19)",TRUE,"Late evening (20-23)")</f>
        <v>Midday (10-15)</v>
      </c>
    </row>
    <row r="2174" spans="1:9">
      <c r="A2174" s="32">
        <v>41820</v>
      </c>
      <c r="B2174">
        <v>12</v>
      </c>
      <c r="C2174">
        <v>745</v>
      </c>
      <c r="D2174" t="s">
        <v>303</v>
      </c>
      <c r="E2174">
        <f>YEAR(A2174)</f>
        <v>2014</v>
      </c>
      <c r="F2174" s="33">
        <f>DATE(YEAR(A2174),MONTH(A2174),1)</f>
        <v>41791.0</v>
      </c>
      <c r="G2174" t="str">
        <f>CHOOSE(WEEKDAY(A2174,2),"Mon","Tue","Wed","Thu","Fri","Sat","Sun")</f>
        <v>Mon</v>
      </c>
      <c r="H2174" t="str">
        <f>IF(WEEKDAY(A2174,2)&gt;5,"Weekend","Weekday")</f>
        <v>Weekday</v>
      </c>
      <c r="I2174" t="str">
        <f>_xlfn.IFS(B2174&lt;=5,"Night (0-5)",B2174&lt;=9,"Morning peak (6-9)",B2174&lt;=15,"Midday (10-15)",B2174&lt;=19,"Evening peak (16-19)",TRUE,"Late evening (20-23)")</f>
        <v>Midday (10-15)</v>
      </c>
    </row>
    <row r="2175" spans="1:9">
      <c r="A2175" s="32">
        <v>41820</v>
      </c>
      <c r="B2175">
        <v>13</v>
      </c>
      <c r="C2175">
        <v>848</v>
      </c>
      <c r="D2175" t="s">
        <v>303</v>
      </c>
      <c r="E2175">
        <f>YEAR(A2175)</f>
        <v>2014</v>
      </c>
      <c r="F2175" s="33">
        <f>DATE(YEAR(A2175),MONTH(A2175),1)</f>
        <v>41791.0</v>
      </c>
      <c r="G2175" t="str">
        <f>CHOOSE(WEEKDAY(A2175,2),"Mon","Tue","Wed","Thu","Fri","Sat","Sun")</f>
        <v>Mon</v>
      </c>
      <c r="H2175" t="str">
        <f>IF(WEEKDAY(A2175,2)&gt;5,"Weekend","Weekday")</f>
        <v>Weekday</v>
      </c>
      <c r="I2175" t="str">
        <f>_xlfn.IFS(B2175&lt;=5,"Night (0-5)",B2175&lt;=9,"Morning peak (6-9)",B2175&lt;=15,"Midday (10-15)",B2175&lt;=19,"Evening peak (16-19)",TRUE,"Late evening (20-23)")</f>
        <v>Midday (10-15)</v>
      </c>
    </row>
    <row r="2176" spans="1:9">
      <c r="A2176" s="32">
        <v>41820</v>
      </c>
      <c r="B2176">
        <v>14</v>
      </c>
      <c r="C2176">
        <v>971</v>
      </c>
      <c r="D2176" t="s">
        <v>303</v>
      </c>
      <c r="E2176">
        <f>YEAR(A2176)</f>
        <v>2014</v>
      </c>
      <c r="F2176" s="33">
        <f>DATE(YEAR(A2176),MONTH(A2176),1)</f>
        <v>41791.0</v>
      </c>
      <c r="G2176" t="str">
        <f>CHOOSE(WEEKDAY(A2176,2),"Mon","Tue","Wed","Thu","Fri","Sat","Sun")</f>
        <v>Mon</v>
      </c>
      <c r="H2176" t="str">
        <f>IF(WEEKDAY(A2176,2)&gt;5,"Weekend","Weekday")</f>
        <v>Weekday</v>
      </c>
      <c r="I2176" t="str">
        <f>_xlfn.IFS(B2176&lt;=5,"Night (0-5)",B2176&lt;=9,"Morning peak (6-9)",B2176&lt;=15,"Midday (10-15)",B2176&lt;=19,"Evening peak (16-19)",TRUE,"Late evening (20-23)")</f>
        <v>Midday (10-15)</v>
      </c>
    </row>
    <row r="2177" spans="1:9">
      <c r="A2177" s="32">
        <v>41820</v>
      </c>
      <c r="B2177">
        <v>15</v>
      </c>
      <c r="C2177">
        <v>1117</v>
      </c>
      <c r="D2177" t="s">
        <v>303</v>
      </c>
      <c r="E2177">
        <f>YEAR(A2177)</f>
        <v>2014</v>
      </c>
      <c r="F2177" s="33">
        <f>DATE(YEAR(A2177),MONTH(A2177),1)</f>
        <v>41791.0</v>
      </c>
      <c r="G2177" t="str">
        <f>CHOOSE(WEEKDAY(A2177,2),"Mon","Tue","Wed","Thu","Fri","Sat","Sun")</f>
        <v>Mon</v>
      </c>
      <c r="H2177" t="str">
        <f>IF(WEEKDAY(A2177,2)&gt;5,"Weekend","Weekday")</f>
        <v>Weekday</v>
      </c>
      <c r="I2177" t="str">
        <f>_xlfn.IFS(B2177&lt;=5,"Night (0-5)",B2177&lt;=9,"Morning peak (6-9)",B2177&lt;=15,"Midday (10-15)",B2177&lt;=19,"Evening peak (16-19)",TRUE,"Late evening (20-23)")</f>
        <v>Midday (10-15)</v>
      </c>
    </row>
    <row r="2178" spans="1:9">
      <c r="A2178" s="32">
        <v>41820</v>
      </c>
      <c r="B2178">
        <v>16</v>
      </c>
      <c r="C2178">
        <v>1356</v>
      </c>
      <c r="D2178" t="s">
        <v>303</v>
      </c>
      <c r="E2178">
        <f>YEAR(A2178)</f>
        <v>2014</v>
      </c>
      <c r="F2178" s="33">
        <f>DATE(YEAR(A2178),MONTH(A2178),1)</f>
        <v>41791.0</v>
      </c>
      <c r="G2178" t="str">
        <f>CHOOSE(WEEKDAY(A2178,2),"Mon","Tue","Wed","Thu","Fri","Sat","Sun")</f>
        <v>Mon</v>
      </c>
      <c r="H2178" t="str">
        <f>IF(WEEKDAY(A2178,2)&gt;5,"Weekend","Weekday")</f>
        <v>Weekday</v>
      </c>
      <c r="I2178" t="str">
        <f>_xlfn.IFS(B2178&lt;=5,"Night (0-5)",B2178&lt;=9,"Morning peak (6-9)",B2178&lt;=15,"Midday (10-15)",B2178&lt;=19,"Evening peak (16-19)",TRUE,"Late evening (20-23)")</f>
        <v>Evening peak (16-19)</v>
      </c>
    </row>
    <row r="2179" spans="1:9">
      <c r="A2179" s="32">
        <v>41820</v>
      </c>
      <c r="B2179">
        <v>17</v>
      </c>
      <c r="C2179">
        <v>1320</v>
      </c>
      <c r="D2179" t="s">
        <v>303</v>
      </c>
      <c r="E2179">
        <f>YEAR(A2179)</f>
        <v>2014</v>
      </c>
      <c r="F2179" s="33">
        <f>DATE(YEAR(A2179),MONTH(A2179),1)</f>
        <v>41791.0</v>
      </c>
      <c r="G2179" t="str">
        <f>CHOOSE(WEEKDAY(A2179,2),"Mon","Tue","Wed","Thu","Fri","Sat","Sun")</f>
        <v>Mon</v>
      </c>
      <c r="H2179" t="str">
        <f>IF(WEEKDAY(A2179,2)&gt;5,"Weekend","Weekday")</f>
        <v>Weekday</v>
      </c>
      <c r="I2179" t="str">
        <f>_xlfn.IFS(B2179&lt;=5,"Night (0-5)",B2179&lt;=9,"Morning peak (6-9)",B2179&lt;=15,"Midday (10-15)",B2179&lt;=19,"Evening peak (16-19)",TRUE,"Late evening (20-23)")</f>
        <v>Evening peak (16-19)</v>
      </c>
    </row>
    <row r="2180" spans="1:9">
      <c r="A2180" s="32">
        <v>41820</v>
      </c>
      <c r="B2180">
        <v>18</v>
      </c>
      <c r="C2180">
        <v>1151</v>
      </c>
      <c r="D2180" t="s">
        <v>303</v>
      </c>
      <c r="E2180">
        <f>YEAR(A2180)</f>
        <v>2014</v>
      </c>
      <c r="F2180" s="33">
        <f>DATE(YEAR(A2180),MONTH(A2180),1)</f>
        <v>41791.0</v>
      </c>
      <c r="G2180" t="str">
        <f>CHOOSE(WEEKDAY(A2180,2),"Mon","Tue","Wed","Thu","Fri","Sat","Sun")</f>
        <v>Mon</v>
      </c>
      <c r="H2180" t="str">
        <f>IF(WEEKDAY(A2180,2)&gt;5,"Weekend","Weekday")</f>
        <v>Weekday</v>
      </c>
      <c r="I2180" t="str">
        <f>_xlfn.IFS(B2180&lt;=5,"Night (0-5)",B2180&lt;=9,"Morning peak (6-9)",B2180&lt;=15,"Midday (10-15)",B2180&lt;=19,"Evening peak (16-19)",TRUE,"Late evening (20-23)")</f>
        <v>Evening peak (16-19)</v>
      </c>
    </row>
    <row r="2181" spans="1:9">
      <c r="A2181" s="32">
        <v>41820</v>
      </c>
      <c r="B2181">
        <v>19</v>
      </c>
      <c r="C2181">
        <v>1078</v>
      </c>
      <c r="D2181" t="s">
        <v>303</v>
      </c>
      <c r="E2181">
        <f>YEAR(A2181)</f>
        <v>2014</v>
      </c>
      <c r="F2181" s="33">
        <f>DATE(YEAR(A2181),MONTH(A2181),1)</f>
        <v>41791.0</v>
      </c>
      <c r="G2181" t="str">
        <f>CHOOSE(WEEKDAY(A2181,2),"Mon","Tue","Wed","Thu","Fri","Sat","Sun")</f>
        <v>Mon</v>
      </c>
      <c r="H2181" t="str">
        <f>IF(WEEKDAY(A2181,2)&gt;5,"Weekend","Weekday")</f>
        <v>Weekday</v>
      </c>
      <c r="I2181" t="str">
        <f>_xlfn.IFS(B2181&lt;=5,"Night (0-5)",B2181&lt;=9,"Morning peak (6-9)",B2181&lt;=15,"Midday (10-15)",B2181&lt;=19,"Evening peak (16-19)",TRUE,"Late evening (20-23)")</f>
        <v>Evening peak (16-19)</v>
      </c>
    </row>
    <row r="2182" spans="1:9">
      <c r="A2182" s="32">
        <v>41820</v>
      </c>
      <c r="B2182">
        <v>20</v>
      </c>
      <c r="C2182">
        <v>1170</v>
      </c>
      <c r="D2182" t="s">
        <v>303</v>
      </c>
      <c r="E2182">
        <f>YEAR(A2182)</f>
        <v>2014</v>
      </c>
      <c r="F2182" s="33">
        <f>DATE(YEAR(A2182),MONTH(A2182),1)</f>
        <v>41791.0</v>
      </c>
      <c r="G2182" t="str">
        <f>CHOOSE(WEEKDAY(A2182,2),"Mon","Tue","Wed","Thu","Fri","Sat","Sun")</f>
        <v>Mon</v>
      </c>
      <c r="H2182" t="str">
        <f>IF(WEEKDAY(A2182,2)&gt;5,"Weekend","Weekday")</f>
        <v>Weekday</v>
      </c>
      <c r="I2182" t="str">
        <f>_xlfn.IFS(B2182&lt;=5,"Night (0-5)",B2182&lt;=9,"Morning peak (6-9)",B2182&lt;=15,"Midday (10-15)",B2182&lt;=19,"Evening peak (16-19)",TRUE,"Late evening (20-23)")</f>
        <v>Late evening (20-23)</v>
      </c>
    </row>
    <row r="2183" spans="1:9">
      <c r="A2183" s="32">
        <v>41820</v>
      </c>
      <c r="B2183">
        <v>21</v>
      </c>
      <c r="C2183">
        <v>953</v>
      </c>
      <c r="D2183" t="s">
        <v>303</v>
      </c>
      <c r="E2183">
        <f>YEAR(A2183)</f>
        <v>2014</v>
      </c>
      <c r="F2183" s="33">
        <f>DATE(YEAR(A2183),MONTH(A2183),1)</f>
        <v>41791.0</v>
      </c>
      <c r="G2183" t="str">
        <f>CHOOSE(WEEKDAY(A2183,2),"Mon","Tue","Wed","Thu","Fri","Sat","Sun")</f>
        <v>Mon</v>
      </c>
      <c r="H2183" t="str">
        <f>IF(WEEKDAY(A2183,2)&gt;5,"Weekend","Weekday")</f>
        <v>Weekday</v>
      </c>
      <c r="I2183" t="str">
        <f>_xlfn.IFS(B2183&lt;=5,"Night (0-5)",B2183&lt;=9,"Morning peak (6-9)",B2183&lt;=15,"Midday (10-15)",B2183&lt;=19,"Evening peak (16-19)",TRUE,"Late evening (20-23)")</f>
        <v>Late evening (20-23)</v>
      </c>
    </row>
    <row r="2184" spans="1:9">
      <c r="A2184" s="32">
        <v>41820</v>
      </c>
      <c r="B2184">
        <v>22</v>
      </c>
      <c r="C2184">
        <v>663</v>
      </c>
      <c r="D2184" t="s">
        <v>303</v>
      </c>
      <c r="E2184">
        <f>YEAR(A2184)</f>
        <v>2014</v>
      </c>
      <c r="F2184" s="33">
        <f>DATE(YEAR(A2184),MONTH(A2184),1)</f>
        <v>41791.0</v>
      </c>
      <c r="G2184" t="str">
        <f>CHOOSE(WEEKDAY(A2184,2),"Mon","Tue","Wed","Thu","Fri","Sat","Sun")</f>
        <v>Mon</v>
      </c>
      <c r="H2184" t="str">
        <f>IF(WEEKDAY(A2184,2)&gt;5,"Weekend","Weekday")</f>
        <v>Weekday</v>
      </c>
      <c r="I2184" t="str">
        <f>_xlfn.IFS(B2184&lt;=5,"Night (0-5)",B2184&lt;=9,"Morning peak (6-9)",B2184&lt;=15,"Midday (10-15)",B2184&lt;=19,"Evening peak (16-19)",TRUE,"Late evening (20-23)")</f>
        <v>Late evening (20-23)</v>
      </c>
    </row>
    <row r="2185" spans="1:9">
      <c r="A2185" s="32">
        <v>41820</v>
      </c>
      <c r="B2185">
        <v>23</v>
      </c>
      <c r="C2185">
        <v>400</v>
      </c>
      <c r="D2185" t="s">
        <v>303</v>
      </c>
      <c r="E2185">
        <f>YEAR(A2185)</f>
        <v>2014</v>
      </c>
      <c r="F2185" s="33">
        <f>DATE(YEAR(A2185),MONTH(A2185),1)</f>
        <v>41791.0</v>
      </c>
      <c r="G2185" t="str">
        <f>CHOOSE(WEEKDAY(A2185,2),"Mon","Tue","Wed","Thu","Fri","Sat","Sun")</f>
        <v>Mon</v>
      </c>
      <c r="H2185" t="str">
        <f>IF(WEEKDAY(A2185,2)&gt;5,"Weekend","Weekday")</f>
        <v>Weekday</v>
      </c>
      <c r="I2185" t="str">
        <f>_xlfn.IFS(B2185&lt;=5,"Night (0-5)",B2185&lt;=9,"Morning peak (6-9)",B2185&lt;=15,"Midday (10-15)",B2185&lt;=19,"Evening peak (16-19)",TRUE,"Late evening (20-23)")</f>
        <v>Late evening (20-23)</v>
      </c>
    </row>
    <row r="2186" spans="1:9">
      <c r="A2186" s="32">
        <v>41821</v>
      </c>
      <c r="B2186">
        <v>0</v>
      </c>
      <c r="C2186">
        <v>216</v>
      </c>
      <c r="D2186" t="s">
        <v>303</v>
      </c>
      <c r="E2186">
        <f>YEAR(A2186)</f>
        <v>2014</v>
      </c>
      <c r="F2186" s="33">
        <f>DATE(YEAR(A2186),MONTH(A2186),1)</f>
        <v>41821.0</v>
      </c>
      <c r="G2186" t="str">
        <f>CHOOSE(WEEKDAY(A2186,2),"Mon","Tue","Wed","Thu","Fri","Sat","Sun")</f>
        <v>Tue</v>
      </c>
      <c r="H2186" t="str">
        <f>IF(WEEKDAY(A2186,2)&gt;5,"Weekend","Weekday")</f>
        <v>Weekday</v>
      </c>
      <c r="I2186" t="str">
        <f>_xlfn.IFS(B2186&lt;=5,"Night (0-5)",B2186&lt;=9,"Morning peak (6-9)",B2186&lt;=15,"Midday (10-15)",B2186&lt;=19,"Evening peak (16-19)",TRUE,"Late evening (20-23)")</f>
        <v>Night (0-5)</v>
      </c>
    </row>
    <row r="2187" spans="1:9">
      <c r="A2187" s="32">
        <v>41821</v>
      </c>
      <c r="B2187">
        <v>1</v>
      </c>
      <c r="C2187">
        <v>111</v>
      </c>
      <c r="D2187" t="s">
        <v>303</v>
      </c>
      <c r="E2187">
        <f>YEAR(A2187)</f>
        <v>2014</v>
      </c>
      <c r="F2187" s="33">
        <f>DATE(YEAR(A2187),MONTH(A2187),1)</f>
        <v>41821.0</v>
      </c>
      <c r="G2187" t="str">
        <f>CHOOSE(WEEKDAY(A2187,2),"Mon","Tue","Wed","Thu","Fri","Sat","Sun")</f>
        <v>Tue</v>
      </c>
      <c r="H2187" t="str">
        <f>IF(WEEKDAY(A2187,2)&gt;5,"Weekend","Weekday")</f>
        <v>Weekday</v>
      </c>
      <c r="I2187" t="str">
        <f>_xlfn.IFS(B2187&lt;=5,"Night (0-5)",B2187&lt;=9,"Morning peak (6-9)",B2187&lt;=15,"Midday (10-15)",B2187&lt;=19,"Evening peak (16-19)",TRUE,"Late evening (20-23)")</f>
        <v>Night (0-5)</v>
      </c>
    </row>
    <row r="2188" spans="1:9">
      <c r="A2188" s="32">
        <v>41821</v>
      </c>
      <c r="B2188">
        <v>2</v>
      </c>
      <c r="C2188">
        <v>82</v>
      </c>
      <c r="D2188" t="s">
        <v>303</v>
      </c>
      <c r="E2188">
        <f>YEAR(A2188)</f>
        <v>2014</v>
      </c>
      <c r="F2188" s="33">
        <f>DATE(YEAR(A2188),MONTH(A2188),1)</f>
        <v>41821.0</v>
      </c>
      <c r="G2188" t="str">
        <f>CHOOSE(WEEKDAY(A2188,2),"Mon","Tue","Wed","Thu","Fri","Sat","Sun")</f>
        <v>Tue</v>
      </c>
      <c r="H2188" t="str">
        <f>IF(WEEKDAY(A2188,2)&gt;5,"Weekend","Weekday")</f>
        <v>Weekday</v>
      </c>
      <c r="I2188" t="str">
        <f>_xlfn.IFS(B2188&lt;=5,"Night (0-5)",B2188&lt;=9,"Morning peak (6-9)",B2188&lt;=15,"Midday (10-15)",B2188&lt;=19,"Evening peak (16-19)",TRUE,"Late evening (20-23)")</f>
        <v>Night (0-5)</v>
      </c>
    </row>
    <row r="2189" spans="1:9">
      <c r="A2189" s="32">
        <v>41821</v>
      </c>
      <c r="B2189">
        <v>3</v>
      </c>
      <c r="C2189">
        <v>134</v>
      </c>
      <c r="D2189" t="s">
        <v>303</v>
      </c>
      <c r="E2189">
        <f>YEAR(A2189)</f>
        <v>2014</v>
      </c>
      <c r="F2189" s="33">
        <f>DATE(YEAR(A2189),MONTH(A2189),1)</f>
        <v>41821.0</v>
      </c>
      <c r="G2189" t="str">
        <f>CHOOSE(WEEKDAY(A2189,2),"Mon","Tue","Wed","Thu","Fri","Sat","Sun")</f>
        <v>Tue</v>
      </c>
      <c r="H2189" t="str">
        <f>IF(WEEKDAY(A2189,2)&gt;5,"Weekend","Weekday")</f>
        <v>Weekday</v>
      </c>
      <c r="I2189" t="str">
        <f>_xlfn.IFS(B2189&lt;=5,"Night (0-5)",B2189&lt;=9,"Morning peak (6-9)",B2189&lt;=15,"Midday (10-15)",B2189&lt;=19,"Evening peak (16-19)",TRUE,"Late evening (20-23)")</f>
        <v>Night (0-5)</v>
      </c>
    </row>
    <row r="2190" spans="1:9">
      <c r="A2190" s="32">
        <v>41821</v>
      </c>
      <c r="B2190">
        <v>4</v>
      </c>
      <c r="C2190">
        <v>223</v>
      </c>
      <c r="D2190" t="s">
        <v>303</v>
      </c>
      <c r="E2190">
        <f>YEAR(A2190)</f>
        <v>2014</v>
      </c>
      <c r="F2190" s="33">
        <f>DATE(YEAR(A2190),MONTH(A2190),1)</f>
        <v>41821.0</v>
      </c>
      <c r="G2190" t="str">
        <f>CHOOSE(WEEKDAY(A2190,2),"Mon","Tue","Wed","Thu","Fri","Sat","Sun")</f>
        <v>Tue</v>
      </c>
      <c r="H2190" t="str">
        <f>IF(WEEKDAY(A2190,2)&gt;5,"Weekend","Weekday")</f>
        <v>Weekday</v>
      </c>
      <c r="I2190" t="str">
        <f>_xlfn.IFS(B2190&lt;=5,"Night (0-5)",B2190&lt;=9,"Morning peak (6-9)",B2190&lt;=15,"Midday (10-15)",B2190&lt;=19,"Evening peak (16-19)",TRUE,"Late evening (20-23)")</f>
        <v>Night (0-5)</v>
      </c>
    </row>
    <row r="2191" spans="1:9">
      <c r="A2191" s="32">
        <v>41821</v>
      </c>
      <c r="B2191">
        <v>5</v>
      </c>
      <c r="C2191">
        <v>348</v>
      </c>
      <c r="D2191" t="s">
        <v>303</v>
      </c>
      <c r="E2191">
        <f>YEAR(A2191)</f>
        <v>2014</v>
      </c>
      <c r="F2191" s="33">
        <f>DATE(YEAR(A2191),MONTH(A2191),1)</f>
        <v>41821.0</v>
      </c>
      <c r="G2191" t="str">
        <f>CHOOSE(WEEKDAY(A2191,2),"Mon","Tue","Wed","Thu","Fri","Sat","Sun")</f>
        <v>Tue</v>
      </c>
      <c r="H2191" t="str">
        <f>IF(WEEKDAY(A2191,2)&gt;5,"Weekend","Weekday")</f>
        <v>Weekday</v>
      </c>
      <c r="I2191" t="str">
        <f>_xlfn.IFS(B2191&lt;=5,"Night (0-5)",B2191&lt;=9,"Morning peak (6-9)",B2191&lt;=15,"Midday (10-15)",B2191&lt;=19,"Evening peak (16-19)",TRUE,"Late evening (20-23)")</f>
        <v>Night (0-5)</v>
      </c>
    </row>
    <row r="2192" spans="1:9">
      <c r="A2192" s="32">
        <v>41821</v>
      </c>
      <c r="B2192">
        <v>6</v>
      </c>
      <c r="C2192">
        <v>715</v>
      </c>
      <c r="D2192" t="s">
        <v>303</v>
      </c>
      <c r="E2192">
        <f>YEAR(A2192)</f>
        <v>2014</v>
      </c>
      <c r="F2192" s="33">
        <f>DATE(YEAR(A2192),MONTH(A2192),1)</f>
        <v>41821.0</v>
      </c>
      <c r="G2192" t="str">
        <f>CHOOSE(WEEKDAY(A2192,2),"Mon","Tue","Wed","Thu","Fri","Sat","Sun")</f>
        <v>Tue</v>
      </c>
      <c r="H2192" t="str">
        <f>IF(WEEKDAY(A2192,2)&gt;5,"Weekend","Weekday")</f>
        <v>Weekday</v>
      </c>
      <c r="I2192" t="str">
        <f>_xlfn.IFS(B2192&lt;=5,"Night (0-5)",B2192&lt;=9,"Morning peak (6-9)",B2192&lt;=15,"Midday (10-15)",B2192&lt;=19,"Evening peak (16-19)",TRUE,"Late evening (20-23)")</f>
        <v>Morning peak (6-9)</v>
      </c>
    </row>
    <row r="2193" spans="1:9">
      <c r="A2193" s="32">
        <v>41821</v>
      </c>
      <c r="B2193">
        <v>7</v>
      </c>
      <c r="C2193">
        <v>1196</v>
      </c>
      <c r="D2193" t="s">
        <v>303</v>
      </c>
      <c r="E2193">
        <f>YEAR(A2193)</f>
        <v>2014</v>
      </c>
      <c r="F2193" s="33">
        <f>DATE(YEAR(A2193),MONTH(A2193),1)</f>
        <v>41821.0</v>
      </c>
      <c r="G2193" t="str">
        <f>CHOOSE(WEEKDAY(A2193,2),"Mon","Tue","Wed","Thu","Fri","Sat","Sun")</f>
        <v>Tue</v>
      </c>
      <c r="H2193" t="str">
        <f>IF(WEEKDAY(A2193,2)&gt;5,"Weekend","Weekday")</f>
        <v>Weekday</v>
      </c>
      <c r="I2193" t="str">
        <f>_xlfn.IFS(B2193&lt;=5,"Night (0-5)",B2193&lt;=9,"Morning peak (6-9)",B2193&lt;=15,"Midday (10-15)",B2193&lt;=19,"Evening peak (16-19)",TRUE,"Late evening (20-23)")</f>
        <v>Morning peak (6-9)</v>
      </c>
    </row>
    <row r="2194" spans="1:9">
      <c r="A2194" s="32">
        <v>41821</v>
      </c>
      <c r="B2194">
        <v>8</v>
      </c>
      <c r="C2194">
        <v>1076</v>
      </c>
      <c r="D2194" t="s">
        <v>303</v>
      </c>
      <c r="E2194">
        <f>YEAR(A2194)</f>
        <v>2014</v>
      </c>
      <c r="F2194" s="33">
        <f>DATE(YEAR(A2194),MONTH(A2194),1)</f>
        <v>41821.0</v>
      </c>
      <c r="G2194" t="str">
        <f>CHOOSE(WEEKDAY(A2194,2),"Mon","Tue","Wed","Thu","Fri","Sat","Sun")</f>
        <v>Tue</v>
      </c>
      <c r="H2194" t="str">
        <f>IF(WEEKDAY(A2194,2)&gt;5,"Weekend","Weekday")</f>
        <v>Weekday</v>
      </c>
      <c r="I2194" t="str">
        <f>_xlfn.IFS(B2194&lt;=5,"Night (0-5)",B2194&lt;=9,"Morning peak (6-9)",B2194&lt;=15,"Midday (10-15)",B2194&lt;=19,"Evening peak (16-19)",TRUE,"Late evening (20-23)")</f>
        <v>Morning peak (6-9)</v>
      </c>
    </row>
    <row r="2195" spans="1:9">
      <c r="A2195" s="32">
        <v>41821</v>
      </c>
      <c r="B2195">
        <v>9</v>
      </c>
      <c r="C2195">
        <v>885</v>
      </c>
      <c r="D2195" t="s">
        <v>303</v>
      </c>
      <c r="E2195">
        <f>YEAR(A2195)</f>
        <v>2014</v>
      </c>
      <c r="F2195" s="33">
        <f>DATE(YEAR(A2195),MONTH(A2195),1)</f>
        <v>41821.0</v>
      </c>
      <c r="G2195" t="str">
        <f>CHOOSE(WEEKDAY(A2195,2),"Mon","Tue","Wed","Thu","Fri","Sat","Sun")</f>
        <v>Tue</v>
      </c>
      <c r="H2195" t="str">
        <f>IF(WEEKDAY(A2195,2)&gt;5,"Weekend","Weekday")</f>
        <v>Weekday</v>
      </c>
      <c r="I2195" t="str">
        <f>_xlfn.IFS(B2195&lt;=5,"Night (0-5)",B2195&lt;=9,"Morning peak (6-9)",B2195&lt;=15,"Midday (10-15)",B2195&lt;=19,"Evening peak (16-19)",TRUE,"Late evening (20-23)")</f>
        <v>Morning peak (6-9)</v>
      </c>
    </row>
    <row r="2196" spans="1:9">
      <c r="A2196" s="32">
        <v>41821</v>
      </c>
      <c r="B2196">
        <v>10</v>
      </c>
      <c r="C2196">
        <v>811</v>
      </c>
      <c r="D2196" t="s">
        <v>303</v>
      </c>
      <c r="E2196">
        <f>YEAR(A2196)</f>
        <v>2014</v>
      </c>
      <c r="F2196" s="33">
        <f>DATE(YEAR(A2196),MONTH(A2196),1)</f>
        <v>41821.0</v>
      </c>
      <c r="G2196" t="str">
        <f>CHOOSE(WEEKDAY(A2196,2),"Mon","Tue","Wed","Thu","Fri","Sat","Sun")</f>
        <v>Tue</v>
      </c>
      <c r="H2196" t="str">
        <f>IF(WEEKDAY(A2196,2)&gt;5,"Weekend","Weekday")</f>
        <v>Weekday</v>
      </c>
      <c r="I2196" t="str">
        <f>_xlfn.IFS(B2196&lt;=5,"Night (0-5)",B2196&lt;=9,"Morning peak (6-9)",B2196&lt;=15,"Midday (10-15)",B2196&lt;=19,"Evening peak (16-19)",TRUE,"Late evening (20-23)")</f>
        <v>Midday (10-15)</v>
      </c>
    </row>
    <row r="2197" spans="1:9">
      <c r="A2197" s="32">
        <v>41821</v>
      </c>
      <c r="B2197">
        <v>11</v>
      </c>
      <c r="C2197">
        <v>795</v>
      </c>
      <c r="D2197" t="s">
        <v>303</v>
      </c>
      <c r="E2197">
        <f>YEAR(A2197)</f>
        <v>2014</v>
      </c>
      <c r="F2197" s="33">
        <f>DATE(YEAR(A2197),MONTH(A2197),1)</f>
        <v>41821.0</v>
      </c>
      <c r="G2197" t="str">
        <f>CHOOSE(WEEKDAY(A2197,2),"Mon","Tue","Wed","Thu","Fri","Sat","Sun")</f>
        <v>Tue</v>
      </c>
      <c r="H2197" t="str">
        <f>IF(WEEKDAY(A2197,2)&gt;5,"Weekend","Weekday")</f>
        <v>Weekday</v>
      </c>
      <c r="I2197" t="str">
        <f>_xlfn.IFS(B2197&lt;=5,"Night (0-5)",B2197&lt;=9,"Morning peak (6-9)",B2197&lt;=15,"Midday (10-15)",B2197&lt;=19,"Evening peak (16-19)",TRUE,"Late evening (20-23)")</f>
        <v>Midday (10-15)</v>
      </c>
    </row>
    <row r="2198" spans="1:9">
      <c r="A2198" s="32">
        <v>41821</v>
      </c>
      <c r="B2198">
        <v>12</v>
      </c>
      <c r="C2198">
        <v>920</v>
      </c>
      <c r="D2198" t="s">
        <v>303</v>
      </c>
      <c r="E2198">
        <f>YEAR(A2198)</f>
        <v>2014</v>
      </c>
      <c r="F2198" s="33">
        <f>DATE(YEAR(A2198),MONTH(A2198),1)</f>
        <v>41821.0</v>
      </c>
      <c r="G2198" t="str">
        <f>CHOOSE(WEEKDAY(A2198,2),"Mon","Tue","Wed","Thu","Fri","Sat","Sun")</f>
        <v>Tue</v>
      </c>
      <c r="H2198" t="str">
        <f>IF(WEEKDAY(A2198,2)&gt;5,"Weekend","Weekday")</f>
        <v>Weekday</v>
      </c>
      <c r="I2198" t="str">
        <f>_xlfn.IFS(B2198&lt;=5,"Night (0-5)",B2198&lt;=9,"Morning peak (6-9)",B2198&lt;=15,"Midday (10-15)",B2198&lt;=19,"Evening peak (16-19)",TRUE,"Late evening (20-23)")</f>
        <v>Midday (10-15)</v>
      </c>
    </row>
    <row r="2199" spans="1:9">
      <c r="A2199" s="32">
        <v>41821</v>
      </c>
      <c r="B2199">
        <v>13</v>
      </c>
      <c r="C2199">
        <v>1040</v>
      </c>
      <c r="D2199" t="s">
        <v>303</v>
      </c>
      <c r="E2199">
        <f>YEAR(A2199)</f>
        <v>2014</v>
      </c>
      <c r="F2199" s="33">
        <f>DATE(YEAR(A2199),MONTH(A2199),1)</f>
        <v>41821.0</v>
      </c>
      <c r="G2199" t="str">
        <f>CHOOSE(WEEKDAY(A2199,2),"Mon","Tue","Wed","Thu","Fri","Sat","Sun")</f>
        <v>Tue</v>
      </c>
      <c r="H2199" t="str">
        <f>IF(WEEKDAY(A2199,2)&gt;5,"Weekend","Weekday")</f>
        <v>Weekday</v>
      </c>
      <c r="I2199" t="str">
        <f>_xlfn.IFS(B2199&lt;=5,"Night (0-5)",B2199&lt;=9,"Morning peak (6-9)",B2199&lt;=15,"Midday (10-15)",B2199&lt;=19,"Evening peak (16-19)",TRUE,"Late evening (20-23)")</f>
        <v>Midday (10-15)</v>
      </c>
    </row>
    <row r="2200" spans="1:9">
      <c r="A2200" s="32">
        <v>41821</v>
      </c>
      <c r="B2200">
        <v>14</v>
      </c>
      <c r="C2200">
        <v>1450</v>
      </c>
      <c r="D2200" t="s">
        <v>303</v>
      </c>
      <c r="E2200">
        <f>YEAR(A2200)</f>
        <v>2014</v>
      </c>
      <c r="F2200" s="33">
        <f>DATE(YEAR(A2200),MONTH(A2200),1)</f>
        <v>41821.0</v>
      </c>
      <c r="G2200" t="str">
        <f>CHOOSE(WEEKDAY(A2200,2),"Mon","Tue","Wed","Thu","Fri","Sat","Sun")</f>
        <v>Tue</v>
      </c>
      <c r="H2200" t="str">
        <f>IF(WEEKDAY(A2200,2)&gt;5,"Weekend","Weekday")</f>
        <v>Weekday</v>
      </c>
      <c r="I2200" t="str">
        <f>_xlfn.IFS(B2200&lt;=5,"Night (0-5)",B2200&lt;=9,"Morning peak (6-9)",B2200&lt;=15,"Midday (10-15)",B2200&lt;=19,"Evening peak (16-19)",TRUE,"Late evening (20-23)")</f>
        <v>Midday (10-15)</v>
      </c>
    </row>
    <row r="2201" spans="1:9">
      <c r="A2201" s="32">
        <v>41821</v>
      </c>
      <c r="B2201">
        <v>15</v>
      </c>
      <c r="C2201">
        <v>1396</v>
      </c>
      <c r="D2201" t="s">
        <v>303</v>
      </c>
      <c r="E2201">
        <f>YEAR(A2201)</f>
        <v>2014</v>
      </c>
      <c r="F2201" s="33">
        <f>DATE(YEAR(A2201),MONTH(A2201),1)</f>
        <v>41821.0</v>
      </c>
      <c r="G2201" t="str">
        <f>CHOOSE(WEEKDAY(A2201,2),"Mon","Tue","Wed","Thu","Fri","Sat","Sun")</f>
        <v>Tue</v>
      </c>
      <c r="H2201" t="str">
        <f>IF(WEEKDAY(A2201,2)&gt;5,"Weekend","Weekday")</f>
        <v>Weekday</v>
      </c>
      <c r="I2201" t="str">
        <f>_xlfn.IFS(B2201&lt;=5,"Night (0-5)",B2201&lt;=9,"Morning peak (6-9)",B2201&lt;=15,"Midday (10-15)",B2201&lt;=19,"Evening peak (16-19)",TRUE,"Late evening (20-23)")</f>
        <v>Midday (10-15)</v>
      </c>
    </row>
    <row r="2202" spans="1:9">
      <c r="A2202" s="32">
        <v>41821</v>
      </c>
      <c r="B2202">
        <v>16</v>
      </c>
      <c r="C2202">
        <v>1260</v>
      </c>
      <c r="D2202" t="s">
        <v>303</v>
      </c>
      <c r="E2202">
        <f>YEAR(A2202)</f>
        <v>2014</v>
      </c>
      <c r="F2202" s="33">
        <f>DATE(YEAR(A2202),MONTH(A2202),1)</f>
        <v>41821.0</v>
      </c>
      <c r="G2202" t="str">
        <f>CHOOSE(WEEKDAY(A2202,2),"Mon","Tue","Wed","Thu","Fri","Sat","Sun")</f>
        <v>Tue</v>
      </c>
      <c r="H2202" t="str">
        <f>IF(WEEKDAY(A2202,2)&gt;5,"Weekend","Weekday")</f>
        <v>Weekday</v>
      </c>
      <c r="I2202" t="str">
        <f>_xlfn.IFS(B2202&lt;=5,"Night (0-5)",B2202&lt;=9,"Morning peak (6-9)",B2202&lt;=15,"Midday (10-15)",B2202&lt;=19,"Evening peak (16-19)",TRUE,"Late evening (20-23)")</f>
        <v>Evening peak (16-19)</v>
      </c>
    </row>
    <row r="2203" spans="1:9">
      <c r="A2203" s="32">
        <v>41821</v>
      </c>
      <c r="B2203">
        <v>17</v>
      </c>
      <c r="C2203">
        <v>1858</v>
      </c>
      <c r="D2203" t="s">
        <v>303</v>
      </c>
      <c r="E2203">
        <f>YEAR(A2203)</f>
        <v>2014</v>
      </c>
      <c r="F2203" s="33">
        <f>DATE(YEAR(A2203),MONTH(A2203),1)</f>
        <v>41821.0</v>
      </c>
      <c r="G2203" t="str">
        <f>CHOOSE(WEEKDAY(A2203,2),"Mon","Tue","Wed","Thu","Fri","Sat","Sun")</f>
        <v>Tue</v>
      </c>
      <c r="H2203" t="str">
        <f>IF(WEEKDAY(A2203,2)&gt;5,"Weekend","Weekday")</f>
        <v>Weekday</v>
      </c>
      <c r="I2203" t="str">
        <f>_xlfn.IFS(B2203&lt;=5,"Night (0-5)",B2203&lt;=9,"Morning peak (6-9)",B2203&lt;=15,"Midday (10-15)",B2203&lt;=19,"Evening peak (16-19)",TRUE,"Late evening (20-23)")</f>
        <v>Evening peak (16-19)</v>
      </c>
    </row>
    <row r="2204" spans="1:9">
      <c r="A2204" s="32">
        <v>41821</v>
      </c>
      <c r="B2204">
        <v>18</v>
      </c>
      <c r="C2204">
        <v>1468</v>
      </c>
      <c r="D2204" t="s">
        <v>303</v>
      </c>
      <c r="E2204">
        <f>YEAR(A2204)</f>
        <v>2014</v>
      </c>
      <c r="F2204" s="33">
        <f>DATE(YEAR(A2204),MONTH(A2204),1)</f>
        <v>41821.0</v>
      </c>
      <c r="G2204" t="str">
        <f>CHOOSE(WEEKDAY(A2204,2),"Mon","Tue","Wed","Thu","Fri","Sat","Sun")</f>
        <v>Tue</v>
      </c>
      <c r="H2204" t="str">
        <f>IF(WEEKDAY(A2204,2)&gt;5,"Weekend","Weekday")</f>
        <v>Weekday</v>
      </c>
      <c r="I2204" t="str">
        <f>_xlfn.IFS(B2204&lt;=5,"Night (0-5)",B2204&lt;=9,"Morning peak (6-9)",B2204&lt;=15,"Midday (10-15)",B2204&lt;=19,"Evening peak (16-19)",TRUE,"Late evening (20-23)")</f>
        <v>Evening peak (16-19)</v>
      </c>
    </row>
    <row r="2205" spans="1:9">
      <c r="A2205" s="32">
        <v>41821</v>
      </c>
      <c r="B2205">
        <v>19</v>
      </c>
      <c r="C2205">
        <v>1359</v>
      </c>
      <c r="D2205" t="s">
        <v>303</v>
      </c>
      <c r="E2205">
        <f>YEAR(A2205)</f>
        <v>2014</v>
      </c>
      <c r="F2205" s="33">
        <f>DATE(YEAR(A2205),MONTH(A2205),1)</f>
        <v>41821.0</v>
      </c>
      <c r="G2205" t="str">
        <f>CHOOSE(WEEKDAY(A2205,2),"Mon","Tue","Wed","Thu","Fri","Sat","Sun")</f>
        <v>Tue</v>
      </c>
      <c r="H2205" t="str">
        <f>IF(WEEKDAY(A2205,2)&gt;5,"Weekend","Weekday")</f>
        <v>Weekday</v>
      </c>
      <c r="I2205" t="str">
        <f>_xlfn.IFS(B2205&lt;=5,"Night (0-5)",B2205&lt;=9,"Morning peak (6-9)",B2205&lt;=15,"Midday (10-15)",B2205&lt;=19,"Evening peak (16-19)",TRUE,"Late evening (20-23)")</f>
        <v>Evening peak (16-19)</v>
      </c>
    </row>
    <row r="2206" spans="1:9">
      <c r="A2206" s="32">
        <v>41821</v>
      </c>
      <c r="B2206">
        <v>20</v>
      </c>
      <c r="C2206">
        <v>1394</v>
      </c>
      <c r="D2206" t="s">
        <v>303</v>
      </c>
      <c r="E2206">
        <f>YEAR(A2206)</f>
        <v>2014</v>
      </c>
      <c r="F2206" s="33">
        <f>DATE(YEAR(A2206),MONTH(A2206),1)</f>
        <v>41821.0</v>
      </c>
      <c r="G2206" t="str">
        <f>CHOOSE(WEEKDAY(A2206,2),"Mon","Tue","Wed","Thu","Fri","Sat","Sun")</f>
        <v>Tue</v>
      </c>
      <c r="H2206" t="str">
        <f>IF(WEEKDAY(A2206,2)&gt;5,"Weekend","Weekday")</f>
        <v>Weekday</v>
      </c>
      <c r="I2206" t="str">
        <f>_xlfn.IFS(B2206&lt;=5,"Night (0-5)",B2206&lt;=9,"Morning peak (6-9)",B2206&lt;=15,"Midday (10-15)",B2206&lt;=19,"Evening peak (16-19)",TRUE,"Late evening (20-23)")</f>
        <v>Late evening (20-23)</v>
      </c>
    </row>
    <row r="2207" spans="1:9">
      <c r="A2207" s="32">
        <v>41821</v>
      </c>
      <c r="B2207">
        <v>21</v>
      </c>
      <c r="C2207">
        <v>1263</v>
      </c>
      <c r="D2207" t="s">
        <v>303</v>
      </c>
      <c r="E2207">
        <f>YEAR(A2207)</f>
        <v>2014</v>
      </c>
      <c r="F2207" s="33">
        <f>DATE(YEAR(A2207),MONTH(A2207),1)</f>
        <v>41821.0</v>
      </c>
      <c r="G2207" t="str">
        <f>CHOOSE(WEEKDAY(A2207,2),"Mon","Tue","Wed","Thu","Fri","Sat","Sun")</f>
        <v>Tue</v>
      </c>
      <c r="H2207" t="str">
        <f>IF(WEEKDAY(A2207,2)&gt;5,"Weekend","Weekday")</f>
        <v>Weekday</v>
      </c>
      <c r="I2207" t="str">
        <f>_xlfn.IFS(B2207&lt;=5,"Night (0-5)",B2207&lt;=9,"Morning peak (6-9)",B2207&lt;=15,"Midday (10-15)",B2207&lt;=19,"Evening peak (16-19)",TRUE,"Late evening (20-23)")</f>
        <v>Late evening (20-23)</v>
      </c>
    </row>
    <row r="2208" spans="1:9">
      <c r="A2208" s="32">
        <v>41821</v>
      </c>
      <c r="B2208">
        <v>22</v>
      </c>
      <c r="C2208">
        <v>798</v>
      </c>
      <c r="D2208" t="s">
        <v>303</v>
      </c>
      <c r="E2208">
        <f>YEAR(A2208)</f>
        <v>2014</v>
      </c>
      <c r="F2208" s="33">
        <f>DATE(YEAR(A2208),MONTH(A2208),1)</f>
        <v>41821.0</v>
      </c>
      <c r="G2208" t="str">
        <f>CHOOSE(WEEKDAY(A2208,2),"Mon","Tue","Wed","Thu","Fri","Sat","Sun")</f>
        <v>Tue</v>
      </c>
      <c r="H2208" t="str">
        <f>IF(WEEKDAY(A2208,2)&gt;5,"Weekend","Weekday")</f>
        <v>Weekday</v>
      </c>
      <c r="I2208" t="str">
        <f>_xlfn.IFS(B2208&lt;=5,"Night (0-5)",B2208&lt;=9,"Morning peak (6-9)",B2208&lt;=15,"Midday (10-15)",B2208&lt;=19,"Evening peak (16-19)",TRUE,"Late evening (20-23)")</f>
        <v>Late evening (20-23)</v>
      </c>
    </row>
    <row r="2209" spans="1:9">
      <c r="A2209" s="32">
        <v>41821</v>
      </c>
      <c r="B2209">
        <v>23</v>
      </c>
      <c r="C2209">
        <v>430</v>
      </c>
      <c r="D2209" t="s">
        <v>303</v>
      </c>
      <c r="E2209">
        <f>YEAR(A2209)</f>
        <v>2014</v>
      </c>
      <c r="F2209" s="33">
        <f>DATE(YEAR(A2209),MONTH(A2209),1)</f>
        <v>41821.0</v>
      </c>
      <c r="G2209" t="str">
        <f>CHOOSE(WEEKDAY(A2209,2),"Mon","Tue","Wed","Thu","Fri","Sat","Sun")</f>
        <v>Tue</v>
      </c>
      <c r="H2209" t="str">
        <f>IF(WEEKDAY(A2209,2)&gt;5,"Weekend","Weekday")</f>
        <v>Weekday</v>
      </c>
      <c r="I2209" t="str">
        <f>_xlfn.IFS(B2209&lt;=5,"Night (0-5)",B2209&lt;=9,"Morning peak (6-9)",B2209&lt;=15,"Midday (10-15)",B2209&lt;=19,"Evening peak (16-19)",TRUE,"Late evening (20-23)")</f>
        <v>Late evening (20-23)</v>
      </c>
    </row>
    <row r="2210" spans="1:9">
      <c r="A2210" s="32">
        <v>41822</v>
      </c>
      <c r="B2210">
        <v>0</v>
      </c>
      <c r="C2210">
        <v>239</v>
      </c>
      <c r="D2210" t="s">
        <v>303</v>
      </c>
      <c r="E2210">
        <f>YEAR(A2210)</f>
        <v>2014</v>
      </c>
      <c r="F2210" s="33">
        <f>DATE(YEAR(A2210),MONTH(A2210),1)</f>
        <v>41821.0</v>
      </c>
      <c r="G2210" t="str">
        <f>CHOOSE(WEEKDAY(A2210,2),"Mon","Tue","Wed","Thu","Fri","Sat","Sun")</f>
        <v>Wed</v>
      </c>
      <c r="H2210" t="str">
        <f>IF(WEEKDAY(A2210,2)&gt;5,"Weekend","Weekday")</f>
        <v>Weekday</v>
      </c>
      <c r="I2210" t="str">
        <f>_xlfn.IFS(B2210&lt;=5,"Night (0-5)",B2210&lt;=9,"Morning peak (6-9)",B2210&lt;=15,"Midday (10-15)",B2210&lt;=19,"Evening peak (16-19)",TRUE,"Late evening (20-23)")</f>
        <v>Night (0-5)</v>
      </c>
    </row>
    <row r="2211" spans="1:9">
      <c r="A2211" s="32">
        <v>41822</v>
      </c>
      <c r="B2211">
        <v>1</v>
      </c>
      <c r="C2211">
        <v>140</v>
      </c>
      <c r="D2211" t="s">
        <v>303</v>
      </c>
      <c r="E2211">
        <f>YEAR(A2211)</f>
        <v>2014</v>
      </c>
      <c r="F2211" s="33">
        <f>DATE(YEAR(A2211),MONTH(A2211),1)</f>
        <v>41821.0</v>
      </c>
      <c r="G2211" t="str">
        <f>CHOOSE(WEEKDAY(A2211,2),"Mon","Tue","Wed","Thu","Fri","Sat","Sun")</f>
        <v>Wed</v>
      </c>
      <c r="H2211" t="str">
        <f>IF(WEEKDAY(A2211,2)&gt;5,"Weekend","Weekday")</f>
        <v>Weekday</v>
      </c>
      <c r="I2211" t="str">
        <f>_xlfn.IFS(B2211&lt;=5,"Night (0-5)",B2211&lt;=9,"Morning peak (6-9)",B2211&lt;=15,"Midday (10-15)",B2211&lt;=19,"Evening peak (16-19)",TRUE,"Late evening (20-23)")</f>
        <v>Night (0-5)</v>
      </c>
    </row>
    <row r="2212" spans="1:9">
      <c r="A2212" s="32">
        <v>41822</v>
      </c>
      <c r="B2212">
        <v>2</v>
      </c>
      <c r="C2212">
        <v>123</v>
      </c>
      <c r="D2212" t="s">
        <v>303</v>
      </c>
      <c r="E2212">
        <f>YEAR(A2212)</f>
        <v>2014</v>
      </c>
      <c r="F2212" s="33">
        <f>DATE(YEAR(A2212),MONTH(A2212),1)</f>
        <v>41821.0</v>
      </c>
      <c r="G2212" t="str">
        <f>CHOOSE(WEEKDAY(A2212,2),"Mon","Tue","Wed","Thu","Fri","Sat","Sun")</f>
        <v>Wed</v>
      </c>
      <c r="H2212" t="str">
        <f>IF(WEEKDAY(A2212,2)&gt;5,"Weekend","Weekday")</f>
        <v>Weekday</v>
      </c>
      <c r="I2212" t="str">
        <f>_xlfn.IFS(B2212&lt;=5,"Night (0-5)",B2212&lt;=9,"Morning peak (6-9)",B2212&lt;=15,"Midday (10-15)",B2212&lt;=19,"Evening peak (16-19)",TRUE,"Late evening (20-23)")</f>
        <v>Night (0-5)</v>
      </c>
    </row>
    <row r="2213" spans="1:9">
      <c r="A2213" s="32">
        <v>41822</v>
      </c>
      <c r="B2213">
        <v>3</v>
      </c>
      <c r="C2213">
        <v>187</v>
      </c>
      <c r="D2213" t="s">
        <v>303</v>
      </c>
      <c r="E2213">
        <f>YEAR(A2213)</f>
        <v>2014</v>
      </c>
      <c r="F2213" s="33">
        <f>DATE(YEAR(A2213),MONTH(A2213),1)</f>
        <v>41821.0</v>
      </c>
      <c r="G2213" t="str">
        <f>CHOOSE(WEEKDAY(A2213,2),"Mon","Tue","Wed","Thu","Fri","Sat","Sun")</f>
        <v>Wed</v>
      </c>
      <c r="H2213" t="str">
        <f>IF(WEEKDAY(A2213,2)&gt;5,"Weekend","Weekday")</f>
        <v>Weekday</v>
      </c>
      <c r="I2213" t="str">
        <f>_xlfn.IFS(B2213&lt;=5,"Night (0-5)",B2213&lt;=9,"Morning peak (6-9)",B2213&lt;=15,"Midday (10-15)",B2213&lt;=19,"Evening peak (16-19)",TRUE,"Late evening (20-23)")</f>
        <v>Night (0-5)</v>
      </c>
    </row>
    <row r="2214" spans="1:9">
      <c r="A2214" s="32">
        <v>41822</v>
      </c>
      <c r="B2214">
        <v>4</v>
      </c>
      <c r="C2214">
        <v>256</v>
      </c>
      <c r="D2214" t="s">
        <v>303</v>
      </c>
      <c r="E2214">
        <f>YEAR(A2214)</f>
        <v>2014</v>
      </c>
      <c r="F2214" s="33">
        <f>DATE(YEAR(A2214),MONTH(A2214),1)</f>
        <v>41821.0</v>
      </c>
      <c r="G2214" t="str">
        <f>CHOOSE(WEEKDAY(A2214,2),"Mon","Tue","Wed","Thu","Fri","Sat","Sun")</f>
        <v>Wed</v>
      </c>
      <c r="H2214" t="str">
        <f>IF(WEEKDAY(A2214,2)&gt;5,"Weekend","Weekday")</f>
        <v>Weekday</v>
      </c>
      <c r="I2214" t="str">
        <f>_xlfn.IFS(B2214&lt;=5,"Night (0-5)",B2214&lt;=9,"Morning peak (6-9)",B2214&lt;=15,"Midday (10-15)",B2214&lt;=19,"Evening peak (16-19)",TRUE,"Late evening (20-23)")</f>
        <v>Night (0-5)</v>
      </c>
    </row>
    <row r="2215" spans="1:9">
      <c r="A2215" s="32">
        <v>41822</v>
      </c>
      <c r="B2215">
        <v>5</v>
      </c>
      <c r="C2215">
        <v>383</v>
      </c>
      <c r="D2215" t="s">
        <v>303</v>
      </c>
      <c r="E2215">
        <f>YEAR(A2215)</f>
        <v>2014</v>
      </c>
      <c r="F2215" s="33">
        <f>DATE(YEAR(A2215),MONTH(A2215),1)</f>
        <v>41821.0</v>
      </c>
      <c r="G2215" t="str">
        <f>CHOOSE(WEEKDAY(A2215,2),"Mon","Tue","Wed","Thu","Fri","Sat","Sun")</f>
        <v>Wed</v>
      </c>
      <c r="H2215" t="str">
        <f>IF(WEEKDAY(A2215,2)&gt;5,"Weekend","Weekday")</f>
        <v>Weekday</v>
      </c>
      <c r="I2215" t="str">
        <f>_xlfn.IFS(B2215&lt;=5,"Night (0-5)",B2215&lt;=9,"Morning peak (6-9)",B2215&lt;=15,"Midday (10-15)",B2215&lt;=19,"Evening peak (16-19)",TRUE,"Late evening (20-23)")</f>
        <v>Night (0-5)</v>
      </c>
    </row>
    <row r="2216" spans="1:9">
      <c r="A2216" s="32">
        <v>41822</v>
      </c>
      <c r="B2216">
        <v>6</v>
      </c>
      <c r="C2216">
        <v>761</v>
      </c>
      <c r="D2216" t="s">
        <v>303</v>
      </c>
      <c r="E2216">
        <f>YEAR(A2216)</f>
        <v>2014</v>
      </c>
      <c r="F2216" s="33">
        <f>DATE(YEAR(A2216),MONTH(A2216),1)</f>
        <v>41821.0</v>
      </c>
      <c r="G2216" t="str">
        <f>CHOOSE(WEEKDAY(A2216,2),"Mon","Tue","Wed","Thu","Fri","Sat","Sun")</f>
        <v>Wed</v>
      </c>
      <c r="H2216" t="str">
        <f>IF(WEEKDAY(A2216,2)&gt;5,"Weekend","Weekday")</f>
        <v>Weekday</v>
      </c>
      <c r="I2216" t="str">
        <f>_xlfn.IFS(B2216&lt;=5,"Night (0-5)",B2216&lt;=9,"Morning peak (6-9)",B2216&lt;=15,"Midday (10-15)",B2216&lt;=19,"Evening peak (16-19)",TRUE,"Late evening (20-23)")</f>
        <v>Morning peak (6-9)</v>
      </c>
    </row>
    <row r="2217" spans="1:9">
      <c r="A2217" s="32">
        <v>41822</v>
      </c>
      <c r="B2217">
        <v>7</v>
      </c>
      <c r="C2217">
        <v>1305</v>
      </c>
      <c r="D2217" t="s">
        <v>303</v>
      </c>
      <c r="E2217">
        <f>YEAR(A2217)</f>
        <v>2014</v>
      </c>
      <c r="F2217" s="33">
        <f>DATE(YEAR(A2217),MONTH(A2217),1)</f>
        <v>41821.0</v>
      </c>
      <c r="G2217" t="str">
        <f>CHOOSE(WEEKDAY(A2217,2),"Mon","Tue","Wed","Thu","Fri","Sat","Sun")</f>
        <v>Wed</v>
      </c>
      <c r="H2217" t="str">
        <f>IF(WEEKDAY(A2217,2)&gt;5,"Weekend","Weekday")</f>
        <v>Weekday</v>
      </c>
      <c r="I2217" t="str">
        <f>_xlfn.IFS(B2217&lt;=5,"Night (0-5)",B2217&lt;=9,"Morning peak (6-9)",B2217&lt;=15,"Midday (10-15)",B2217&lt;=19,"Evening peak (16-19)",TRUE,"Late evening (20-23)")</f>
        <v>Morning peak (6-9)</v>
      </c>
    </row>
    <row r="2218" spans="1:9">
      <c r="A2218" s="32">
        <v>41822</v>
      </c>
      <c r="B2218">
        <v>8</v>
      </c>
      <c r="C2218">
        <v>1152</v>
      </c>
      <c r="D2218" t="s">
        <v>303</v>
      </c>
      <c r="E2218">
        <f>YEAR(A2218)</f>
        <v>2014</v>
      </c>
      <c r="F2218" s="33">
        <f>DATE(YEAR(A2218),MONTH(A2218),1)</f>
        <v>41821.0</v>
      </c>
      <c r="G2218" t="str">
        <f>CHOOSE(WEEKDAY(A2218,2),"Mon","Tue","Wed","Thu","Fri","Sat","Sun")</f>
        <v>Wed</v>
      </c>
      <c r="H2218" t="str">
        <f>IF(WEEKDAY(A2218,2)&gt;5,"Weekend","Weekday")</f>
        <v>Weekday</v>
      </c>
      <c r="I2218" t="str">
        <f>_xlfn.IFS(B2218&lt;=5,"Night (0-5)",B2218&lt;=9,"Morning peak (6-9)",B2218&lt;=15,"Midday (10-15)",B2218&lt;=19,"Evening peak (16-19)",TRUE,"Late evening (20-23)")</f>
        <v>Morning peak (6-9)</v>
      </c>
    </row>
    <row r="2219" spans="1:9">
      <c r="A2219" s="32">
        <v>41822</v>
      </c>
      <c r="B2219">
        <v>9</v>
      </c>
      <c r="C2219">
        <v>826</v>
      </c>
      <c r="D2219" t="s">
        <v>303</v>
      </c>
      <c r="E2219">
        <f>YEAR(A2219)</f>
        <v>2014</v>
      </c>
      <c r="F2219" s="33">
        <f>DATE(YEAR(A2219),MONTH(A2219),1)</f>
        <v>41821.0</v>
      </c>
      <c r="G2219" t="str">
        <f>CHOOSE(WEEKDAY(A2219,2),"Mon","Tue","Wed","Thu","Fri","Sat","Sun")</f>
        <v>Wed</v>
      </c>
      <c r="H2219" t="str">
        <f>IF(WEEKDAY(A2219,2)&gt;5,"Weekend","Weekday")</f>
        <v>Weekday</v>
      </c>
      <c r="I2219" t="str">
        <f>_xlfn.IFS(B2219&lt;=5,"Night (0-5)",B2219&lt;=9,"Morning peak (6-9)",B2219&lt;=15,"Midday (10-15)",B2219&lt;=19,"Evening peak (16-19)",TRUE,"Late evening (20-23)")</f>
        <v>Morning peak (6-9)</v>
      </c>
    </row>
    <row r="2220" spans="1:9">
      <c r="A2220" s="32">
        <v>41822</v>
      </c>
      <c r="B2220">
        <v>10</v>
      </c>
      <c r="C2220">
        <v>844</v>
      </c>
      <c r="D2220" t="s">
        <v>303</v>
      </c>
      <c r="E2220">
        <f>YEAR(A2220)</f>
        <v>2014</v>
      </c>
      <c r="F2220" s="33">
        <f>DATE(YEAR(A2220),MONTH(A2220),1)</f>
        <v>41821.0</v>
      </c>
      <c r="G2220" t="str">
        <f>CHOOSE(WEEKDAY(A2220,2),"Mon","Tue","Wed","Thu","Fri","Sat","Sun")</f>
        <v>Wed</v>
      </c>
      <c r="H2220" t="str">
        <f>IF(WEEKDAY(A2220,2)&gt;5,"Weekend","Weekday")</f>
        <v>Weekday</v>
      </c>
      <c r="I2220" t="str">
        <f>_xlfn.IFS(B2220&lt;=5,"Night (0-5)",B2220&lt;=9,"Morning peak (6-9)",B2220&lt;=15,"Midday (10-15)",B2220&lt;=19,"Evening peak (16-19)",TRUE,"Late evening (20-23)")</f>
        <v>Midday (10-15)</v>
      </c>
    </row>
    <row r="2221" spans="1:9">
      <c r="A2221" s="32">
        <v>41822</v>
      </c>
      <c r="B2221">
        <v>11</v>
      </c>
      <c r="C2221">
        <v>877</v>
      </c>
      <c r="D2221" t="s">
        <v>303</v>
      </c>
      <c r="E2221">
        <f>YEAR(A2221)</f>
        <v>2014</v>
      </c>
      <c r="F2221" s="33">
        <f>DATE(YEAR(A2221),MONTH(A2221),1)</f>
        <v>41821.0</v>
      </c>
      <c r="G2221" t="str">
        <f>CHOOSE(WEEKDAY(A2221,2),"Mon","Tue","Wed","Thu","Fri","Sat","Sun")</f>
        <v>Wed</v>
      </c>
      <c r="H2221" t="str">
        <f>IF(WEEKDAY(A2221,2)&gt;5,"Weekend","Weekday")</f>
        <v>Weekday</v>
      </c>
      <c r="I2221" t="str">
        <f>_xlfn.IFS(B2221&lt;=5,"Night (0-5)",B2221&lt;=9,"Morning peak (6-9)",B2221&lt;=15,"Midday (10-15)",B2221&lt;=19,"Evening peak (16-19)",TRUE,"Late evening (20-23)")</f>
        <v>Midday (10-15)</v>
      </c>
    </row>
    <row r="2222" spans="1:9">
      <c r="A2222" s="32">
        <v>41822</v>
      </c>
      <c r="B2222">
        <v>12</v>
      </c>
      <c r="C2222">
        <v>932</v>
      </c>
      <c r="D2222" t="s">
        <v>303</v>
      </c>
      <c r="E2222">
        <f>YEAR(A2222)</f>
        <v>2014</v>
      </c>
      <c r="F2222" s="33">
        <f>DATE(YEAR(A2222),MONTH(A2222),1)</f>
        <v>41821.0</v>
      </c>
      <c r="G2222" t="str">
        <f>CHOOSE(WEEKDAY(A2222,2),"Mon","Tue","Wed","Thu","Fri","Sat","Sun")</f>
        <v>Wed</v>
      </c>
      <c r="H2222" t="str">
        <f>IF(WEEKDAY(A2222,2)&gt;5,"Weekend","Weekday")</f>
        <v>Weekday</v>
      </c>
      <c r="I2222" t="str">
        <f>_xlfn.IFS(B2222&lt;=5,"Night (0-5)",B2222&lt;=9,"Morning peak (6-9)",B2222&lt;=15,"Midday (10-15)",B2222&lt;=19,"Evening peak (16-19)",TRUE,"Late evening (20-23)")</f>
        <v>Midday (10-15)</v>
      </c>
    </row>
    <row r="2223" spans="1:9">
      <c r="A2223" s="32">
        <v>41822</v>
      </c>
      <c r="B2223">
        <v>13</v>
      </c>
      <c r="C2223">
        <v>1063</v>
      </c>
      <c r="D2223" t="s">
        <v>303</v>
      </c>
      <c r="E2223">
        <f>YEAR(A2223)</f>
        <v>2014</v>
      </c>
      <c r="F2223" s="33">
        <f>DATE(YEAR(A2223),MONTH(A2223),1)</f>
        <v>41821.0</v>
      </c>
      <c r="G2223" t="str">
        <f>CHOOSE(WEEKDAY(A2223,2),"Mon","Tue","Wed","Thu","Fri","Sat","Sun")</f>
        <v>Wed</v>
      </c>
      <c r="H2223" t="str">
        <f>IF(WEEKDAY(A2223,2)&gt;5,"Weekend","Weekday")</f>
        <v>Weekday</v>
      </c>
      <c r="I2223" t="str">
        <f>_xlfn.IFS(B2223&lt;=5,"Night (0-5)",B2223&lt;=9,"Morning peak (6-9)",B2223&lt;=15,"Midday (10-15)",B2223&lt;=19,"Evening peak (16-19)",TRUE,"Late evening (20-23)")</f>
        <v>Midday (10-15)</v>
      </c>
    </row>
    <row r="2224" spans="1:9">
      <c r="A2224" s="32">
        <v>41822</v>
      </c>
      <c r="B2224">
        <v>14</v>
      </c>
      <c r="C2224">
        <v>1203</v>
      </c>
      <c r="D2224" t="s">
        <v>303</v>
      </c>
      <c r="E2224">
        <f>YEAR(A2224)</f>
        <v>2014</v>
      </c>
      <c r="F2224" s="33">
        <f>DATE(YEAR(A2224),MONTH(A2224),1)</f>
        <v>41821.0</v>
      </c>
      <c r="G2224" t="str">
        <f>CHOOSE(WEEKDAY(A2224,2),"Mon","Tue","Wed","Thu","Fri","Sat","Sun")</f>
        <v>Wed</v>
      </c>
      <c r="H2224" t="str">
        <f>IF(WEEKDAY(A2224,2)&gt;5,"Weekend","Weekday")</f>
        <v>Weekday</v>
      </c>
      <c r="I2224" t="str">
        <f>_xlfn.IFS(B2224&lt;=5,"Night (0-5)",B2224&lt;=9,"Morning peak (6-9)",B2224&lt;=15,"Midday (10-15)",B2224&lt;=19,"Evening peak (16-19)",TRUE,"Late evening (20-23)")</f>
        <v>Midday (10-15)</v>
      </c>
    </row>
    <row r="2225" spans="1:9">
      <c r="A2225" s="32">
        <v>41822</v>
      </c>
      <c r="B2225">
        <v>15</v>
      </c>
      <c r="C2225">
        <v>1528</v>
      </c>
      <c r="D2225" t="s">
        <v>303</v>
      </c>
      <c r="E2225">
        <f>YEAR(A2225)</f>
        <v>2014</v>
      </c>
      <c r="F2225" s="33">
        <f>DATE(YEAR(A2225),MONTH(A2225),1)</f>
        <v>41821.0</v>
      </c>
      <c r="G2225" t="str">
        <f>CHOOSE(WEEKDAY(A2225,2),"Mon","Tue","Wed","Thu","Fri","Sat","Sun")</f>
        <v>Wed</v>
      </c>
      <c r="H2225" t="str">
        <f>IF(WEEKDAY(A2225,2)&gt;5,"Weekend","Weekday")</f>
        <v>Weekday</v>
      </c>
      <c r="I2225" t="str">
        <f>_xlfn.IFS(B2225&lt;=5,"Night (0-5)",B2225&lt;=9,"Morning peak (6-9)",B2225&lt;=15,"Midday (10-15)",B2225&lt;=19,"Evening peak (16-19)",TRUE,"Late evening (20-23)")</f>
        <v>Midday (10-15)</v>
      </c>
    </row>
    <row r="2226" spans="1:9">
      <c r="A2226" s="32">
        <v>41822</v>
      </c>
      <c r="B2226">
        <v>16</v>
      </c>
      <c r="C2226">
        <v>2159</v>
      </c>
      <c r="D2226" t="s">
        <v>303</v>
      </c>
      <c r="E2226">
        <f>YEAR(A2226)</f>
        <v>2014</v>
      </c>
      <c r="F2226" s="33">
        <f>DATE(YEAR(A2226),MONTH(A2226),1)</f>
        <v>41821.0</v>
      </c>
      <c r="G2226" t="str">
        <f>CHOOSE(WEEKDAY(A2226,2),"Mon","Tue","Wed","Thu","Fri","Sat","Sun")</f>
        <v>Wed</v>
      </c>
      <c r="H2226" t="str">
        <f>IF(WEEKDAY(A2226,2)&gt;5,"Weekend","Weekday")</f>
        <v>Weekday</v>
      </c>
      <c r="I2226" t="str">
        <f>_xlfn.IFS(B2226&lt;=5,"Night (0-5)",B2226&lt;=9,"Morning peak (6-9)",B2226&lt;=15,"Midday (10-15)",B2226&lt;=19,"Evening peak (16-19)",TRUE,"Late evening (20-23)")</f>
        <v>Evening peak (16-19)</v>
      </c>
    </row>
    <row r="2227" spans="1:9">
      <c r="A2227" s="32">
        <v>41822</v>
      </c>
      <c r="B2227">
        <v>17</v>
      </c>
      <c r="C2227">
        <v>2479</v>
      </c>
      <c r="D2227" t="s">
        <v>303</v>
      </c>
      <c r="E2227">
        <f>YEAR(A2227)</f>
        <v>2014</v>
      </c>
      <c r="F2227" s="33">
        <f>DATE(YEAR(A2227),MONTH(A2227),1)</f>
        <v>41821.0</v>
      </c>
      <c r="G2227" t="str">
        <f>CHOOSE(WEEKDAY(A2227,2),"Mon","Tue","Wed","Thu","Fri","Sat","Sun")</f>
        <v>Wed</v>
      </c>
      <c r="H2227" t="str">
        <f>IF(WEEKDAY(A2227,2)&gt;5,"Weekend","Weekday")</f>
        <v>Weekday</v>
      </c>
      <c r="I2227" t="str">
        <f>_xlfn.IFS(B2227&lt;=5,"Night (0-5)",B2227&lt;=9,"Morning peak (6-9)",B2227&lt;=15,"Midday (10-15)",B2227&lt;=19,"Evening peak (16-19)",TRUE,"Late evening (20-23)")</f>
        <v>Evening peak (16-19)</v>
      </c>
    </row>
    <row r="2228" spans="1:9">
      <c r="A2228" s="32">
        <v>41822</v>
      </c>
      <c r="B2228">
        <v>18</v>
      </c>
      <c r="C2228">
        <v>2946</v>
      </c>
      <c r="D2228" t="s">
        <v>303</v>
      </c>
      <c r="E2228">
        <f>YEAR(A2228)</f>
        <v>2014</v>
      </c>
      <c r="F2228" s="33">
        <f>DATE(YEAR(A2228),MONTH(A2228),1)</f>
        <v>41821.0</v>
      </c>
      <c r="G2228" t="str">
        <f>CHOOSE(WEEKDAY(A2228,2),"Mon","Tue","Wed","Thu","Fri","Sat","Sun")</f>
        <v>Wed</v>
      </c>
      <c r="H2228" t="str">
        <f>IF(WEEKDAY(A2228,2)&gt;5,"Weekend","Weekday")</f>
        <v>Weekday</v>
      </c>
      <c r="I2228" t="str">
        <f>_xlfn.IFS(B2228&lt;=5,"Night (0-5)",B2228&lt;=9,"Morning peak (6-9)",B2228&lt;=15,"Midday (10-15)",B2228&lt;=19,"Evening peak (16-19)",TRUE,"Late evening (20-23)")</f>
        <v>Evening peak (16-19)</v>
      </c>
    </row>
    <row r="2229" spans="1:9">
      <c r="A2229" s="32">
        <v>41822</v>
      </c>
      <c r="B2229">
        <v>19</v>
      </c>
      <c r="C2229">
        <v>2317</v>
      </c>
      <c r="D2229" t="s">
        <v>303</v>
      </c>
      <c r="E2229">
        <f>YEAR(A2229)</f>
        <v>2014</v>
      </c>
      <c r="F2229" s="33">
        <f>DATE(YEAR(A2229),MONTH(A2229),1)</f>
        <v>41821.0</v>
      </c>
      <c r="G2229" t="str">
        <f>CHOOSE(WEEKDAY(A2229,2),"Mon","Tue","Wed","Thu","Fri","Sat","Sun")</f>
        <v>Wed</v>
      </c>
      <c r="H2229" t="str">
        <f>IF(WEEKDAY(A2229,2)&gt;5,"Weekend","Weekday")</f>
        <v>Weekday</v>
      </c>
      <c r="I2229" t="str">
        <f>_xlfn.IFS(B2229&lt;=5,"Night (0-5)",B2229&lt;=9,"Morning peak (6-9)",B2229&lt;=15,"Midday (10-15)",B2229&lt;=19,"Evening peak (16-19)",TRUE,"Late evening (20-23)")</f>
        <v>Evening peak (16-19)</v>
      </c>
    </row>
    <row r="2230" spans="1:9">
      <c r="A2230" s="32">
        <v>41822</v>
      </c>
      <c r="B2230">
        <v>20</v>
      </c>
      <c r="C2230">
        <v>1701</v>
      </c>
      <c r="D2230" t="s">
        <v>303</v>
      </c>
      <c r="E2230">
        <f>YEAR(A2230)</f>
        <v>2014</v>
      </c>
      <c r="F2230" s="33">
        <f>DATE(YEAR(A2230),MONTH(A2230),1)</f>
        <v>41821.0</v>
      </c>
      <c r="G2230" t="str">
        <f>CHOOSE(WEEKDAY(A2230,2),"Mon","Tue","Wed","Thu","Fri","Sat","Sun")</f>
        <v>Wed</v>
      </c>
      <c r="H2230" t="str">
        <f>IF(WEEKDAY(A2230,2)&gt;5,"Weekend","Weekday")</f>
        <v>Weekday</v>
      </c>
      <c r="I2230" t="str">
        <f>_xlfn.IFS(B2230&lt;=5,"Night (0-5)",B2230&lt;=9,"Morning peak (6-9)",B2230&lt;=15,"Midday (10-15)",B2230&lt;=19,"Evening peak (16-19)",TRUE,"Late evening (20-23)")</f>
        <v>Late evening (20-23)</v>
      </c>
    </row>
    <row r="2231" spans="1:9">
      <c r="A2231" s="32">
        <v>41822</v>
      </c>
      <c r="B2231">
        <v>21</v>
      </c>
      <c r="C2231">
        <v>1528</v>
      </c>
      <c r="D2231" t="s">
        <v>303</v>
      </c>
      <c r="E2231">
        <f>YEAR(A2231)</f>
        <v>2014</v>
      </c>
      <c r="F2231" s="33">
        <f>DATE(YEAR(A2231),MONTH(A2231),1)</f>
        <v>41821.0</v>
      </c>
      <c r="G2231" t="str">
        <f>CHOOSE(WEEKDAY(A2231,2),"Mon","Tue","Wed","Thu","Fri","Sat","Sun")</f>
        <v>Wed</v>
      </c>
      <c r="H2231" t="str">
        <f>IF(WEEKDAY(A2231,2)&gt;5,"Weekend","Weekday")</f>
        <v>Weekday</v>
      </c>
      <c r="I2231" t="str">
        <f>_xlfn.IFS(B2231&lt;=5,"Night (0-5)",B2231&lt;=9,"Morning peak (6-9)",B2231&lt;=15,"Midday (10-15)",B2231&lt;=19,"Evening peak (16-19)",TRUE,"Late evening (20-23)")</f>
        <v>Late evening (20-23)</v>
      </c>
    </row>
    <row r="2232" spans="1:9">
      <c r="A2232" s="32">
        <v>41822</v>
      </c>
      <c r="B2232">
        <v>22</v>
      </c>
      <c r="C2232">
        <v>945</v>
      </c>
      <c r="D2232" t="s">
        <v>303</v>
      </c>
      <c r="E2232">
        <f>YEAR(A2232)</f>
        <v>2014</v>
      </c>
      <c r="F2232" s="33">
        <f>DATE(YEAR(A2232),MONTH(A2232),1)</f>
        <v>41821.0</v>
      </c>
      <c r="G2232" t="str">
        <f>CHOOSE(WEEKDAY(A2232,2),"Mon","Tue","Wed","Thu","Fri","Sat","Sun")</f>
        <v>Wed</v>
      </c>
      <c r="H2232" t="str">
        <f>IF(WEEKDAY(A2232,2)&gt;5,"Weekend","Weekday")</f>
        <v>Weekday</v>
      </c>
      <c r="I2232" t="str">
        <f>_xlfn.IFS(B2232&lt;=5,"Night (0-5)",B2232&lt;=9,"Morning peak (6-9)",B2232&lt;=15,"Midday (10-15)",B2232&lt;=19,"Evening peak (16-19)",TRUE,"Late evening (20-23)")</f>
        <v>Late evening (20-23)</v>
      </c>
    </row>
    <row r="2233" spans="1:9">
      <c r="A2233" s="32">
        <v>41822</v>
      </c>
      <c r="B2233">
        <v>23</v>
      </c>
      <c r="C2233">
        <v>586</v>
      </c>
      <c r="D2233" t="s">
        <v>303</v>
      </c>
      <c r="E2233">
        <f>YEAR(A2233)</f>
        <v>2014</v>
      </c>
      <c r="F2233" s="33">
        <f>DATE(YEAR(A2233),MONTH(A2233),1)</f>
        <v>41821.0</v>
      </c>
      <c r="G2233" t="str">
        <f>CHOOSE(WEEKDAY(A2233,2),"Mon","Tue","Wed","Thu","Fri","Sat","Sun")</f>
        <v>Wed</v>
      </c>
      <c r="H2233" t="str">
        <f>IF(WEEKDAY(A2233,2)&gt;5,"Weekend","Weekday")</f>
        <v>Weekday</v>
      </c>
      <c r="I2233" t="str">
        <f>_xlfn.IFS(B2233&lt;=5,"Night (0-5)",B2233&lt;=9,"Morning peak (6-9)",B2233&lt;=15,"Midday (10-15)",B2233&lt;=19,"Evening peak (16-19)",TRUE,"Late evening (20-23)")</f>
        <v>Late evening (20-23)</v>
      </c>
    </row>
    <row r="2234" spans="1:9">
      <c r="A2234" s="32">
        <v>41823</v>
      </c>
      <c r="B2234">
        <v>0</v>
      </c>
      <c r="C2234">
        <v>359</v>
      </c>
      <c r="D2234" t="s">
        <v>303</v>
      </c>
      <c r="E2234">
        <f>YEAR(A2234)</f>
        <v>2014</v>
      </c>
      <c r="F2234" s="33">
        <f>DATE(YEAR(A2234),MONTH(A2234),1)</f>
        <v>41821.0</v>
      </c>
      <c r="G2234" t="str">
        <f>CHOOSE(WEEKDAY(A2234,2),"Mon","Tue","Wed","Thu","Fri","Sat","Sun")</f>
        <v>Thu</v>
      </c>
      <c r="H2234" t="str">
        <f>IF(WEEKDAY(A2234,2)&gt;5,"Weekend","Weekday")</f>
        <v>Weekday</v>
      </c>
      <c r="I2234" t="str">
        <f>_xlfn.IFS(B2234&lt;=5,"Night (0-5)",B2234&lt;=9,"Morning peak (6-9)",B2234&lt;=15,"Midday (10-15)",B2234&lt;=19,"Evening peak (16-19)",TRUE,"Late evening (20-23)")</f>
        <v>Night (0-5)</v>
      </c>
    </row>
    <row r="2235" spans="1:9">
      <c r="A2235" s="32">
        <v>41823</v>
      </c>
      <c r="B2235">
        <v>1</v>
      </c>
      <c r="C2235">
        <v>194</v>
      </c>
      <c r="D2235" t="s">
        <v>303</v>
      </c>
      <c r="E2235">
        <f>YEAR(A2235)</f>
        <v>2014</v>
      </c>
      <c r="F2235" s="33">
        <f>DATE(YEAR(A2235),MONTH(A2235),1)</f>
        <v>41821.0</v>
      </c>
      <c r="G2235" t="str">
        <f>CHOOSE(WEEKDAY(A2235,2),"Mon","Tue","Wed","Thu","Fri","Sat","Sun")</f>
        <v>Thu</v>
      </c>
      <c r="H2235" t="str">
        <f>IF(WEEKDAY(A2235,2)&gt;5,"Weekend","Weekday")</f>
        <v>Weekday</v>
      </c>
      <c r="I2235" t="str">
        <f>_xlfn.IFS(B2235&lt;=5,"Night (0-5)",B2235&lt;=9,"Morning peak (6-9)",B2235&lt;=15,"Midday (10-15)",B2235&lt;=19,"Evening peak (16-19)",TRUE,"Late evening (20-23)")</f>
        <v>Night (0-5)</v>
      </c>
    </row>
    <row r="2236" spans="1:9">
      <c r="A2236" s="32">
        <v>41823</v>
      </c>
      <c r="B2236">
        <v>2</v>
      </c>
      <c r="C2236">
        <v>128</v>
      </c>
      <c r="D2236" t="s">
        <v>303</v>
      </c>
      <c r="E2236">
        <f>YEAR(A2236)</f>
        <v>2014</v>
      </c>
      <c r="F2236" s="33">
        <f>DATE(YEAR(A2236),MONTH(A2236),1)</f>
        <v>41821.0</v>
      </c>
      <c r="G2236" t="str">
        <f>CHOOSE(WEEKDAY(A2236,2),"Mon","Tue","Wed","Thu","Fri","Sat","Sun")</f>
        <v>Thu</v>
      </c>
      <c r="H2236" t="str">
        <f>IF(WEEKDAY(A2236,2)&gt;5,"Weekend","Weekday")</f>
        <v>Weekday</v>
      </c>
      <c r="I2236" t="str">
        <f>_xlfn.IFS(B2236&lt;=5,"Night (0-5)",B2236&lt;=9,"Morning peak (6-9)",B2236&lt;=15,"Midday (10-15)",B2236&lt;=19,"Evening peak (16-19)",TRUE,"Late evening (20-23)")</f>
        <v>Night (0-5)</v>
      </c>
    </row>
    <row r="2237" spans="1:9">
      <c r="A2237" s="32">
        <v>41823</v>
      </c>
      <c r="B2237">
        <v>3</v>
      </c>
      <c r="C2237">
        <v>248</v>
      </c>
      <c r="D2237" t="s">
        <v>303</v>
      </c>
      <c r="E2237">
        <f>YEAR(A2237)</f>
        <v>2014</v>
      </c>
      <c r="F2237" s="33">
        <f>DATE(YEAR(A2237),MONTH(A2237),1)</f>
        <v>41821.0</v>
      </c>
      <c r="G2237" t="str">
        <f>CHOOSE(WEEKDAY(A2237,2),"Mon","Tue","Wed","Thu","Fri","Sat","Sun")</f>
        <v>Thu</v>
      </c>
      <c r="H2237" t="str">
        <f>IF(WEEKDAY(A2237,2)&gt;5,"Weekend","Weekday")</f>
        <v>Weekday</v>
      </c>
      <c r="I2237" t="str">
        <f>_xlfn.IFS(B2237&lt;=5,"Night (0-5)",B2237&lt;=9,"Morning peak (6-9)",B2237&lt;=15,"Midday (10-15)",B2237&lt;=19,"Evening peak (16-19)",TRUE,"Late evening (20-23)")</f>
        <v>Night (0-5)</v>
      </c>
    </row>
    <row r="2238" spans="1:9">
      <c r="A2238" s="32">
        <v>41823</v>
      </c>
      <c r="B2238">
        <v>4</v>
      </c>
      <c r="C2238">
        <v>321</v>
      </c>
      <c r="D2238" t="s">
        <v>303</v>
      </c>
      <c r="E2238">
        <f>YEAR(A2238)</f>
        <v>2014</v>
      </c>
      <c r="F2238" s="33">
        <f>DATE(YEAR(A2238),MONTH(A2238),1)</f>
        <v>41821.0</v>
      </c>
      <c r="G2238" t="str">
        <f>CHOOSE(WEEKDAY(A2238,2),"Mon","Tue","Wed","Thu","Fri","Sat","Sun")</f>
        <v>Thu</v>
      </c>
      <c r="H2238" t="str">
        <f>IF(WEEKDAY(A2238,2)&gt;5,"Weekend","Weekday")</f>
        <v>Weekday</v>
      </c>
      <c r="I2238" t="str">
        <f>_xlfn.IFS(B2238&lt;=5,"Night (0-5)",B2238&lt;=9,"Morning peak (6-9)",B2238&lt;=15,"Midday (10-15)",B2238&lt;=19,"Evening peak (16-19)",TRUE,"Late evening (20-23)")</f>
        <v>Night (0-5)</v>
      </c>
    </row>
    <row r="2239" spans="1:9">
      <c r="A2239" s="32">
        <v>41823</v>
      </c>
      <c r="B2239">
        <v>5</v>
      </c>
      <c r="C2239">
        <v>421</v>
      </c>
      <c r="D2239" t="s">
        <v>303</v>
      </c>
      <c r="E2239">
        <f>YEAR(A2239)</f>
        <v>2014</v>
      </c>
      <c r="F2239" s="33">
        <f>DATE(YEAR(A2239),MONTH(A2239),1)</f>
        <v>41821.0</v>
      </c>
      <c r="G2239" t="str">
        <f>CHOOSE(WEEKDAY(A2239,2),"Mon","Tue","Wed","Thu","Fri","Sat","Sun")</f>
        <v>Thu</v>
      </c>
      <c r="H2239" t="str">
        <f>IF(WEEKDAY(A2239,2)&gt;5,"Weekend","Weekday")</f>
        <v>Weekday</v>
      </c>
      <c r="I2239" t="str">
        <f>_xlfn.IFS(B2239&lt;=5,"Night (0-5)",B2239&lt;=9,"Morning peak (6-9)",B2239&lt;=15,"Midday (10-15)",B2239&lt;=19,"Evening peak (16-19)",TRUE,"Late evening (20-23)")</f>
        <v>Night (0-5)</v>
      </c>
    </row>
    <row r="2240" spans="1:9">
      <c r="A2240" s="32">
        <v>41823</v>
      </c>
      <c r="B2240">
        <v>6</v>
      </c>
      <c r="C2240">
        <v>680</v>
      </c>
      <c r="D2240" t="s">
        <v>303</v>
      </c>
      <c r="E2240">
        <f>YEAR(A2240)</f>
        <v>2014</v>
      </c>
      <c r="F2240" s="33">
        <f>DATE(YEAR(A2240),MONTH(A2240),1)</f>
        <v>41821.0</v>
      </c>
      <c r="G2240" t="str">
        <f>CHOOSE(WEEKDAY(A2240,2),"Mon","Tue","Wed","Thu","Fri","Sat","Sun")</f>
        <v>Thu</v>
      </c>
      <c r="H2240" t="str">
        <f>IF(WEEKDAY(A2240,2)&gt;5,"Weekend","Weekday")</f>
        <v>Weekday</v>
      </c>
      <c r="I2240" t="str">
        <f>_xlfn.IFS(B2240&lt;=5,"Night (0-5)",B2240&lt;=9,"Morning peak (6-9)",B2240&lt;=15,"Midday (10-15)",B2240&lt;=19,"Evening peak (16-19)",TRUE,"Late evening (20-23)")</f>
        <v>Morning peak (6-9)</v>
      </c>
    </row>
    <row r="2241" spans="1:9">
      <c r="A2241" s="32">
        <v>41823</v>
      </c>
      <c r="B2241">
        <v>7</v>
      </c>
      <c r="C2241">
        <v>1103</v>
      </c>
      <c r="D2241" t="s">
        <v>303</v>
      </c>
      <c r="E2241">
        <f>YEAR(A2241)</f>
        <v>2014</v>
      </c>
      <c r="F2241" s="33">
        <f>DATE(YEAR(A2241),MONTH(A2241),1)</f>
        <v>41821.0</v>
      </c>
      <c r="G2241" t="str">
        <f>CHOOSE(WEEKDAY(A2241,2),"Mon","Tue","Wed","Thu","Fri","Sat","Sun")</f>
        <v>Thu</v>
      </c>
      <c r="H2241" t="str">
        <f>IF(WEEKDAY(A2241,2)&gt;5,"Weekend","Weekday")</f>
        <v>Weekday</v>
      </c>
      <c r="I2241" t="str">
        <f>_xlfn.IFS(B2241&lt;=5,"Night (0-5)",B2241&lt;=9,"Morning peak (6-9)",B2241&lt;=15,"Midday (10-15)",B2241&lt;=19,"Evening peak (16-19)",TRUE,"Late evening (20-23)")</f>
        <v>Morning peak (6-9)</v>
      </c>
    </row>
    <row r="2242" spans="1:9">
      <c r="A2242" s="32">
        <v>41823</v>
      </c>
      <c r="B2242">
        <v>8</v>
      </c>
      <c r="C2242">
        <v>1004</v>
      </c>
      <c r="D2242" t="s">
        <v>303</v>
      </c>
      <c r="E2242">
        <f>YEAR(A2242)</f>
        <v>2014</v>
      </c>
      <c r="F2242" s="33">
        <f>DATE(YEAR(A2242),MONTH(A2242),1)</f>
        <v>41821.0</v>
      </c>
      <c r="G2242" t="str">
        <f>CHOOSE(WEEKDAY(A2242,2),"Mon","Tue","Wed","Thu","Fri","Sat","Sun")</f>
        <v>Thu</v>
      </c>
      <c r="H2242" t="str">
        <f>IF(WEEKDAY(A2242,2)&gt;5,"Weekend","Weekday")</f>
        <v>Weekday</v>
      </c>
      <c r="I2242" t="str">
        <f>_xlfn.IFS(B2242&lt;=5,"Night (0-5)",B2242&lt;=9,"Morning peak (6-9)",B2242&lt;=15,"Midday (10-15)",B2242&lt;=19,"Evening peak (16-19)",TRUE,"Late evening (20-23)")</f>
        <v>Morning peak (6-9)</v>
      </c>
    </row>
    <row r="2243" spans="1:9">
      <c r="A2243" s="32">
        <v>41823</v>
      </c>
      <c r="B2243">
        <v>9</v>
      </c>
      <c r="C2243">
        <v>787</v>
      </c>
      <c r="D2243" t="s">
        <v>303</v>
      </c>
      <c r="E2243">
        <f>YEAR(A2243)</f>
        <v>2014</v>
      </c>
      <c r="F2243" s="33">
        <f>DATE(YEAR(A2243),MONTH(A2243),1)</f>
        <v>41821.0</v>
      </c>
      <c r="G2243" t="str">
        <f>CHOOSE(WEEKDAY(A2243,2),"Mon","Tue","Wed","Thu","Fri","Sat","Sun")</f>
        <v>Thu</v>
      </c>
      <c r="H2243" t="str">
        <f>IF(WEEKDAY(A2243,2)&gt;5,"Weekend","Weekday")</f>
        <v>Weekday</v>
      </c>
      <c r="I2243" t="str">
        <f>_xlfn.IFS(B2243&lt;=5,"Night (0-5)",B2243&lt;=9,"Morning peak (6-9)",B2243&lt;=15,"Midday (10-15)",B2243&lt;=19,"Evening peak (16-19)",TRUE,"Late evening (20-23)")</f>
        <v>Morning peak (6-9)</v>
      </c>
    </row>
    <row r="2244" spans="1:9">
      <c r="A2244" s="32">
        <v>41823</v>
      </c>
      <c r="B2244">
        <v>10</v>
      </c>
      <c r="C2244">
        <v>746</v>
      </c>
      <c r="D2244" t="s">
        <v>303</v>
      </c>
      <c r="E2244">
        <f>YEAR(A2244)</f>
        <v>2014</v>
      </c>
      <c r="F2244" s="33">
        <f>DATE(YEAR(A2244),MONTH(A2244),1)</f>
        <v>41821.0</v>
      </c>
      <c r="G2244" t="str">
        <f>CHOOSE(WEEKDAY(A2244,2),"Mon","Tue","Wed","Thu","Fri","Sat","Sun")</f>
        <v>Thu</v>
      </c>
      <c r="H2244" t="str">
        <f>IF(WEEKDAY(A2244,2)&gt;5,"Weekend","Weekday")</f>
        <v>Weekday</v>
      </c>
      <c r="I2244" t="str">
        <f>_xlfn.IFS(B2244&lt;=5,"Night (0-5)",B2244&lt;=9,"Morning peak (6-9)",B2244&lt;=15,"Midday (10-15)",B2244&lt;=19,"Evening peak (16-19)",TRUE,"Late evening (20-23)")</f>
        <v>Midday (10-15)</v>
      </c>
    </row>
    <row r="2245" spans="1:9">
      <c r="A2245" s="32">
        <v>41823</v>
      </c>
      <c r="B2245">
        <v>11</v>
      </c>
      <c r="C2245">
        <v>904</v>
      </c>
      <c r="D2245" t="s">
        <v>303</v>
      </c>
      <c r="E2245">
        <f>YEAR(A2245)</f>
        <v>2014</v>
      </c>
      <c r="F2245" s="33">
        <f>DATE(YEAR(A2245),MONTH(A2245),1)</f>
        <v>41821.0</v>
      </c>
      <c r="G2245" t="str">
        <f>CHOOSE(WEEKDAY(A2245,2),"Mon","Tue","Wed","Thu","Fri","Sat","Sun")</f>
        <v>Thu</v>
      </c>
      <c r="H2245" t="str">
        <f>IF(WEEKDAY(A2245,2)&gt;5,"Weekend","Weekday")</f>
        <v>Weekday</v>
      </c>
      <c r="I2245" t="str">
        <f>_xlfn.IFS(B2245&lt;=5,"Night (0-5)",B2245&lt;=9,"Morning peak (6-9)",B2245&lt;=15,"Midday (10-15)",B2245&lt;=19,"Evening peak (16-19)",TRUE,"Late evening (20-23)")</f>
        <v>Midday (10-15)</v>
      </c>
    </row>
    <row r="2246" spans="1:9">
      <c r="A2246" s="32">
        <v>41823</v>
      </c>
      <c r="B2246">
        <v>12</v>
      </c>
      <c r="C2246">
        <v>1027</v>
      </c>
      <c r="D2246" t="s">
        <v>303</v>
      </c>
      <c r="E2246">
        <f>YEAR(A2246)</f>
        <v>2014</v>
      </c>
      <c r="F2246" s="33">
        <f>DATE(YEAR(A2246),MONTH(A2246),1)</f>
        <v>41821.0</v>
      </c>
      <c r="G2246" t="str">
        <f>CHOOSE(WEEKDAY(A2246,2),"Mon","Tue","Wed","Thu","Fri","Sat","Sun")</f>
        <v>Thu</v>
      </c>
      <c r="H2246" t="str">
        <f>IF(WEEKDAY(A2246,2)&gt;5,"Weekend","Weekday")</f>
        <v>Weekday</v>
      </c>
      <c r="I2246" t="str">
        <f>_xlfn.IFS(B2246&lt;=5,"Night (0-5)",B2246&lt;=9,"Morning peak (6-9)",B2246&lt;=15,"Midday (10-15)",B2246&lt;=19,"Evening peak (16-19)",TRUE,"Late evening (20-23)")</f>
        <v>Midday (10-15)</v>
      </c>
    </row>
    <row r="2247" spans="1:9">
      <c r="A2247" s="32">
        <v>41823</v>
      </c>
      <c r="B2247">
        <v>13</v>
      </c>
      <c r="C2247">
        <v>1115</v>
      </c>
      <c r="D2247" t="s">
        <v>303</v>
      </c>
      <c r="E2247">
        <f>YEAR(A2247)</f>
        <v>2014</v>
      </c>
      <c r="F2247" s="33">
        <f>DATE(YEAR(A2247),MONTH(A2247),1)</f>
        <v>41821.0</v>
      </c>
      <c r="G2247" t="str">
        <f>CHOOSE(WEEKDAY(A2247,2),"Mon","Tue","Wed","Thu","Fri","Sat","Sun")</f>
        <v>Thu</v>
      </c>
      <c r="H2247" t="str">
        <f>IF(WEEKDAY(A2247,2)&gt;5,"Weekend","Weekday")</f>
        <v>Weekday</v>
      </c>
      <c r="I2247" t="str">
        <f>_xlfn.IFS(B2247&lt;=5,"Night (0-5)",B2247&lt;=9,"Morning peak (6-9)",B2247&lt;=15,"Midday (10-15)",B2247&lt;=19,"Evening peak (16-19)",TRUE,"Late evening (20-23)")</f>
        <v>Midday (10-15)</v>
      </c>
    </row>
    <row r="2248" spans="1:9">
      <c r="A2248" s="32">
        <v>41823</v>
      </c>
      <c r="B2248">
        <v>14</v>
      </c>
      <c r="C2248">
        <v>1309</v>
      </c>
      <c r="D2248" t="s">
        <v>303</v>
      </c>
      <c r="E2248">
        <f>YEAR(A2248)</f>
        <v>2014</v>
      </c>
      <c r="F2248" s="33">
        <f>DATE(YEAR(A2248),MONTH(A2248),1)</f>
        <v>41821.0</v>
      </c>
      <c r="G2248" t="str">
        <f>CHOOSE(WEEKDAY(A2248,2),"Mon","Tue","Wed","Thu","Fri","Sat","Sun")</f>
        <v>Thu</v>
      </c>
      <c r="H2248" t="str">
        <f>IF(WEEKDAY(A2248,2)&gt;5,"Weekend","Weekday")</f>
        <v>Weekday</v>
      </c>
      <c r="I2248" t="str">
        <f>_xlfn.IFS(B2248&lt;=5,"Night (0-5)",B2248&lt;=9,"Morning peak (6-9)",B2248&lt;=15,"Midday (10-15)",B2248&lt;=19,"Evening peak (16-19)",TRUE,"Late evening (20-23)")</f>
        <v>Midday (10-15)</v>
      </c>
    </row>
    <row r="2249" spans="1:9">
      <c r="A2249" s="32">
        <v>41823</v>
      </c>
      <c r="B2249">
        <v>15</v>
      </c>
      <c r="C2249">
        <v>1427</v>
      </c>
      <c r="D2249" t="s">
        <v>303</v>
      </c>
      <c r="E2249">
        <f>YEAR(A2249)</f>
        <v>2014</v>
      </c>
      <c r="F2249" s="33">
        <f>DATE(YEAR(A2249),MONTH(A2249),1)</f>
        <v>41821.0</v>
      </c>
      <c r="G2249" t="str">
        <f>CHOOSE(WEEKDAY(A2249,2),"Mon","Tue","Wed","Thu","Fri","Sat","Sun")</f>
        <v>Thu</v>
      </c>
      <c r="H2249" t="str">
        <f>IF(WEEKDAY(A2249,2)&gt;5,"Weekend","Weekday")</f>
        <v>Weekday</v>
      </c>
      <c r="I2249" t="str">
        <f>_xlfn.IFS(B2249&lt;=5,"Night (0-5)",B2249&lt;=9,"Morning peak (6-9)",B2249&lt;=15,"Midday (10-15)",B2249&lt;=19,"Evening peak (16-19)",TRUE,"Late evening (20-23)")</f>
        <v>Midday (10-15)</v>
      </c>
    </row>
    <row r="2250" spans="1:9">
      <c r="A2250" s="32">
        <v>41823</v>
      </c>
      <c r="B2250">
        <v>16</v>
      </c>
      <c r="C2250">
        <v>1267</v>
      </c>
      <c r="D2250" t="s">
        <v>303</v>
      </c>
      <c r="E2250">
        <f>YEAR(A2250)</f>
        <v>2014</v>
      </c>
      <c r="F2250" s="33">
        <f>DATE(YEAR(A2250),MONTH(A2250),1)</f>
        <v>41821.0</v>
      </c>
      <c r="G2250" t="str">
        <f>CHOOSE(WEEKDAY(A2250,2),"Mon","Tue","Wed","Thu","Fri","Sat","Sun")</f>
        <v>Thu</v>
      </c>
      <c r="H2250" t="str">
        <f>IF(WEEKDAY(A2250,2)&gt;5,"Weekend","Weekday")</f>
        <v>Weekday</v>
      </c>
      <c r="I2250" t="str">
        <f>_xlfn.IFS(B2250&lt;=5,"Night (0-5)",B2250&lt;=9,"Morning peak (6-9)",B2250&lt;=15,"Midday (10-15)",B2250&lt;=19,"Evening peak (16-19)",TRUE,"Late evening (20-23)")</f>
        <v>Evening peak (16-19)</v>
      </c>
    </row>
    <row r="2251" spans="1:9">
      <c r="A2251" s="32">
        <v>41823</v>
      </c>
      <c r="B2251">
        <v>17</v>
      </c>
      <c r="C2251">
        <v>1073</v>
      </c>
      <c r="D2251" t="s">
        <v>303</v>
      </c>
      <c r="E2251">
        <f>YEAR(A2251)</f>
        <v>2014</v>
      </c>
      <c r="F2251" s="33">
        <f>DATE(YEAR(A2251),MONTH(A2251),1)</f>
        <v>41821.0</v>
      </c>
      <c r="G2251" t="str">
        <f>CHOOSE(WEEKDAY(A2251,2),"Mon","Tue","Wed","Thu","Fri","Sat","Sun")</f>
        <v>Thu</v>
      </c>
      <c r="H2251" t="str">
        <f>IF(WEEKDAY(A2251,2)&gt;5,"Weekend","Weekday")</f>
        <v>Weekday</v>
      </c>
      <c r="I2251" t="str">
        <f>_xlfn.IFS(B2251&lt;=5,"Night (0-5)",B2251&lt;=9,"Morning peak (6-9)",B2251&lt;=15,"Midday (10-15)",B2251&lt;=19,"Evening peak (16-19)",TRUE,"Late evening (20-23)")</f>
        <v>Evening peak (16-19)</v>
      </c>
    </row>
    <row r="2252" spans="1:9">
      <c r="A2252" s="32">
        <v>41823</v>
      </c>
      <c r="B2252">
        <v>18</v>
      </c>
      <c r="C2252">
        <v>1850</v>
      </c>
      <c r="D2252" t="s">
        <v>303</v>
      </c>
      <c r="E2252">
        <f>YEAR(A2252)</f>
        <v>2014</v>
      </c>
      <c r="F2252" s="33">
        <f>DATE(YEAR(A2252),MONTH(A2252),1)</f>
        <v>41821.0</v>
      </c>
      <c r="G2252" t="str">
        <f>CHOOSE(WEEKDAY(A2252,2),"Mon","Tue","Wed","Thu","Fri","Sat","Sun")</f>
        <v>Thu</v>
      </c>
      <c r="H2252" t="str">
        <f>IF(WEEKDAY(A2252,2)&gt;5,"Weekend","Weekday")</f>
        <v>Weekday</v>
      </c>
      <c r="I2252" t="str">
        <f>_xlfn.IFS(B2252&lt;=5,"Night (0-5)",B2252&lt;=9,"Morning peak (6-9)",B2252&lt;=15,"Midday (10-15)",B2252&lt;=19,"Evening peak (16-19)",TRUE,"Late evening (20-23)")</f>
        <v>Evening peak (16-19)</v>
      </c>
    </row>
    <row r="2253" spans="1:9">
      <c r="A2253" s="32">
        <v>41823</v>
      </c>
      <c r="B2253">
        <v>19</v>
      </c>
      <c r="C2253">
        <v>2020</v>
      </c>
      <c r="D2253" t="s">
        <v>303</v>
      </c>
      <c r="E2253">
        <f>YEAR(A2253)</f>
        <v>2014</v>
      </c>
      <c r="F2253" s="33">
        <f>DATE(YEAR(A2253),MONTH(A2253),1)</f>
        <v>41821.0</v>
      </c>
      <c r="G2253" t="str">
        <f>CHOOSE(WEEKDAY(A2253,2),"Mon","Tue","Wed","Thu","Fri","Sat","Sun")</f>
        <v>Thu</v>
      </c>
      <c r="H2253" t="str">
        <f>IF(WEEKDAY(A2253,2)&gt;5,"Weekend","Weekday")</f>
        <v>Weekday</v>
      </c>
      <c r="I2253" t="str">
        <f>_xlfn.IFS(B2253&lt;=5,"Night (0-5)",B2253&lt;=9,"Morning peak (6-9)",B2253&lt;=15,"Midday (10-15)",B2253&lt;=19,"Evening peak (16-19)",TRUE,"Late evening (20-23)")</f>
        <v>Evening peak (16-19)</v>
      </c>
    </row>
    <row r="2254" spans="1:9">
      <c r="A2254" s="32">
        <v>41823</v>
      </c>
      <c r="B2254">
        <v>20</v>
      </c>
      <c r="C2254">
        <v>1290</v>
      </c>
      <c r="D2254" t="s">
        <v>303</v>
      </c>
      <c r="E2254">
        <f>YEAR(A2254)</f>
        <v>2014</v>
      </c>
      <c r="F2254" s="33">
        <f>DATE(YEAR(A2254),MONTH(A2254),1)</f>
        <v>41821.0</v>
      </c>
      <c r="G2254" t="str">
        <f>CHOOSE(WEEKDAY(A2254,2),"Mon","Tue","Wed","Thu","Fri","Sat","Sun")</f>
        <v>Thu</v>
      </c>
      <c r="H2254" t="str">
        <f>IF(WEEKDAY(A2254,2)&gt;5,"Weekend","Weekday")</f>
        <v>Weekday</v>
      </c>
      <c r="I2254" t="str">
        <f>_xlfn.IFS(B2254&lt;=5,"Night (0-5)",B2254&lt;=9,"Morning peak (6-9)",B2254&lt;=15,"Midday (10-15)",B2254&lt;=19,"Evening peak (16-19)",TRUE,"Late evening (20-23)")</f>
        <v>Late evening (20-23)</v>
      </c>
    </row>
    <row r="2255" spans="1:9">
      <c r="A2255" s="32">
        <v>41823</v>
      </c>
      <c r="B2255">
        <v>21</v>
      </c>
      <c r="C2255">
        <v>890</v>
      </c>
      <c r="D2255" t="s">
        <v>303</v>
      </c>
      <c r="E2255">
        <f>YEAR(A2255)</f>
        <v>2014</v>
      </c>
      <c r="F2255" s="33">
        <f>DATE(YEAR(A2255),MONTH(A2255),1)</f>
        <v>41821.0</v>
      </c>
      <c r="G2255" t="str">
        <f>CHOOSE(WEEKDAY(A2255,2),"Mon","Tue","Wed","Thu","Fri","Sat","Sun")</f>
        <v>Thu</v>
      </c>
      <c r="H2255" t="str">
        <f>IF(WEEKDAY(A2255,2)&gt;5,"Weekend","Weekday")</f>
        <v>Weekday</v>
      </c>
      <c r="I2255" t="str">
        <f>_xlfn.IFS(B2255&lt;=5,"Night (0-5)",B2255&lt;=9,"Morning peak (6-9)",B2255&lt;=15,"Midday (10-15)",B2255&lt;=19,"Evening peak (16-19)",TRUE,"Late evening (20-23)")</f>
        <v>Late evening (20-23)</v>
      </c>
    </row>
    <row r="2256" spans="1:9">
      <c r="A2256" s="32">
        <v>41823</v>
      </c>
      <c r="B2256">
        <v>22</v>
      </c>
      <c r="C2256">
        <v>775</v>
      </c>
      <c r="D2256" t="s">
        <v>303</v>
      </c>
      <c r="E2256">
        <f>YEAR(A2256)</f>
        <v>2014</v>
      </c>
      <c r="F2256" s="33">
        <f>DATE(YEAR(A2256),MONTH(A2256),1)</f>
        <v>41821.0</v>
      </c>
      <c r="G2256" t="str">
        <f>CHOOSE(WEEKDAY(A2256,2),"Mon","Tue","Wed","Thu","Fri","Sat","Sun")</f>
        <v>Thu</v>
      </c>
      <c r="H2256" t="str">
        <f>IF(WEEKDAY(A2256,2)&gt;5,"Weekend","Weekday")</f>
        <v>Weekday</v>
      </c>
      <c r="I2256" t="str">
        <f>_xlfn.IFS(B2256&lt;=5,"Night (0-5)",B2256&lt;=9,"Morning peak (6-9)",B2256&lt;=15,"Midday (10-15)",B2256&lt;=19,"Evening peak (16-19)",TRUE,"Late evening (20-23)")</f>
        <v>Late evening (20-23)</v>
      </c>
    </row>
    <row r="2257" spans="1:9">
      <c r="A2257" s="32">
        <v>41823</v>
      </c>
      <c r="B2257">
        <v>23</v>
      </c>
      <c r="C2257">
        <v>659</v>
      </c>
      <c r="D2257" t="s">
        <v>303</v>
      </c>
      <c r="E2257">
        <f>YEAR(A2257)</f>
        <v>2014</v>
      </c>
      <c r="F2257" s="33">
        <f>DATE(YEAR(A2257),MONTH(A2257),1)</f>
        <v>41821.0</v>
      </c>
      <c r="G2257" t="str">
        <f>CHOOSE(WEEKDAY(A2257,2),"Mon","Tue","Wed","Thu","Fri","Sat","Sun")</f>
        <v>Thu</v>
      </c>
      <c r="H2257" t="str">
        <f>IF(WEEKDAY(A2257,2)&gt;5,"Weekend","Weekday")</f>
        <v>Weekday</v>
      </c>
      <c r="I2257" t="str">
        <f>_xlfn.IFS(B2257&lt;=5,"Night (0-5)",B2257&lt;=9,"Morning peak (6-9)",B2257&lt;=15,"Midday (10-15)",B2257&lt;=19,"Evening peak (16-19)",TRUE,"Late evening (20-23)")</f>
        <v>Late evening (20-23)</v>
      </c>
    </row>
    <row r="2258" spans="1:9">
      <c r="A2258" s="32">
        <v>41824</v>
      </c>
      <c r="B2258">
        <v>0</v>
      </c>
      <c r="C2258">
        <v>454</v>
      </c>
      <c r="D2258" t="s">
        <v>303</v>
      </c>
      <c r="E2258">
        <f>YEAR(A2258)</f>
        <v>2014</v>
      </c>
      <c r="F2258" s="33">
        <f>DATE(YEAR(A2258),MONTH(A2258),1)</f>
        <v>41821.0</v>
      </c>
      <c r="G2258" t="str">
        <f>CHOOSE(WEEKDAY(A2258,2),"Mon","Tue","Wed","Thu","Fri","Sat","Sun")</f>
        <v>Fri</v>
      </c>
      <c r="H2258" t="str">
        <f>IF(WEEKDAY(A2258,2)&gt;5,"Weekend","Weekday")</f>
        <v>Weekday</v>
      </c>
      <c r="I2258" t="str">
        <f>_xlfn.IFS(B2258&lt;=5,"Night (0-5)",B2258&lt;=9,"Morning peak (6-9)",B2258&lt;=15,"Midday (10-15)",B2258&lt;=19,"Evening peak (16-19)",TRUE,"Late evening (20-23)")</f>
        <v>Night (0-5)</v>
      </c>
    </row>
    <row r="2259" spans="1:9">
      <c r="A2259" s="32">
        <v>41824</v>
      </c>
      <c r="B2259">
        <v>1</v>
      </c>
      <c r="C2259">
        <v>356</v>
      </c>
      <c r="D2259" t="s">
        <v>303</v>
      </c>
      <c r="E2259">
        <f>YEAR(A2259)</f>
        <v>2014</v>
      </c>
      <c r="F2259" s="33">
        <f>DATE(YEAR(A2259),MONTH(A2259),1)</f>
        <v>41821.0</v>
      </c>
      <c r="G2259" t="str">
        <f>CHOOSE(WEEKDAY(A2259,2),"Mon","Tue","Wed","Thu","Fri","Sat","Sun")</f>
        <v>Fri</v>
      </c>
      <c r="H2259" t="str">
        <f>IF(WEEKDAY(A2259,2)&gt;5,"Weekend","Weekday")</f>
        <v>Weekday</v>
      </c>
      <c r="I2259" t="str">
        <f>_xlfn.IFS(B2259&lt;=5,"Night (0-5)",B2259&lt;=9,"Morning peak (6-9)",B2259&lt;=15,"Midday (10-15)",B2259&lt;=19,"Evening peak (16-19)",TRUE,"Late evening (20-23)")</f>
        <v>Night (0-5)</v>
      </c>
    </row>
    <row r="2260" spans="1:9">
      <c r="A2260" s="32">
        <v>41824</v>
      </c>
      <c r="B2260">
        <v>2</v>
      </c>
      <c r="C2260">
        <v>286</v>
      </c>
      <c r="D2260" t="s">
        <v>303</v>
      </c>
      <c r="E2260">
        <f>YEAR(A2260)</f>
        <v>2014</v>
      </c>
      <c r="F2260" s="33">
        <f>DATE(YEAR(A2260),MONTH(A2260),1)</f>
        <v>41821.0</v>
      </c>
      <c r="G2260" t="str">
        <f>CHOOSE(WEEKDAY(A2260,2),"Mon","Tue","Wed","Thu","Fri","Sat","Sun")</f>
        <v>Fri</v>
      </c>
      <c r="H2260" t="str">
        <f>IF(WEEKDAY(A2260,2)&gt;5,"Weekend","Weekday")</f>
        <v>Weekday</v>
      </c>
      <c r="I2260" t="str">
        <f>_xlfn.IFS(B2260&lt;=5,"Night (0-5)",B2260&lt;=9,"Morning peak (6-9)",B2260&lt;=15,"Midday (10-15)",B2260&lt;=19,"Evening peak (16-19)",TRUE,"Late evening (20-23)")</f>
        <v>Night (0-5)</v>
      </c>
    </row>
    <row r="2261" spans="1:9">
      <c r="A2261" s="32">
        <v>41824</v>
      </c>
      <c r="B2261">
        <v>3</v>
      </c>
      <c r="C2261">
        <v>281</v>
      </c>
      <c r="D2261" t="s">
        <v>303</v>
      </c>
      <c r="E2261">
        <f>YEAR(A2261)</f>
        <v>2014</v>
      </c>
      <c r="F2261" s="33">
        <f>DATE(YEAR(A2261),MONTH(A2261),1)</f>
        <v>41821.0</v>
      </c>
      <c r="G2261" t="str">
        <f>CHOOSE(WEEKDAY(A2261,2),"Mon","Tue","Wed","Thu","Fri","Sat","Sun")</f>
        <v>Fri</v>
      </c>
      <c r="H2261" t="str">
        <f>IF(WEEKDAY(A2261,2)&gt;5,"Weekend","Weekday")</f>
        <v>Weekday</v>
      </c>
      <c r="I2261" t="str">
        <f>_xlfn.IFS(B2261&lt;=5,"Night (0-5)",B2261&lt;=9,"Morning peak (6-9)",B2261&lt;=15,"Midday (10-15)",B2261&lt;=19,"Evening peak (16-19)",TRUE,"Late evening (20-23)")</f>
        <v>Night (0-5)</v>
      </c>
    </row>
    <row r="2262" spans="1:9">
      <c r="A2262" s="32">
        <v>41824</v>
      </c>
      <c r="B2262">
        <v>4</v>
      </c>
      <c r="C2262">
        <v>229</v>
      </c>
      <c r="D2262" t="s">
        <v>303</v>
      </c>
      <c r="E2262">
        <f>YEAR(A2262)</f>
        <v>2014</v>
      </c>
      <c r="F2262" s="33">
        <f>DATE(YEAR(A2262),MONTH(A2262),1)</f>
        <v>41821.0</v>
      </c>
      <c r="G2262" t="str">
        <f>CHOOSE(WEEKDAY(A2262,2),"Mon","Tue","Wed","Thu","Fri","Sat","Sun")</f>
        <v>Fri</v>
      </c>
      <c r="H2262" t="str">
        <f>IF(WEEKDAY(A2262,2)&gt;5,"Weekend","Weekday")</f>
        <v>Weekday</v>
      </c>
      <c r="I2262" t="str">
        <f>_xlfn.IFS(B2262&lt;=5,"Night (0-5)",B2262&lt;=9,"Morning peak (6-9)",B2262&lt;=15,"Midday (10-15)",B2262&lt;=19,"Evening peak (16-19)",TRUE,"Late evening (20-23)")</f>
        <v>Night (0-5)</v>
      </c>
    </row>
    <row r="2263" spans="1:9">
      <c r="A2263" s="32">
        <v>41824</v>
      </c>
      <c r="B2263">
        <v>5</v>
      </c>
      <c r="C2263">
        <v>248</v>
      </c>
      <c r="D2263" t="s">
        <v>303</v>
      </c>
      <c r="E2263">
        <f>YEAR(A2263)</f>
        <v>2014</v>
      </c>
      <c r="F2263" s="33">
        <f>DATE(YEAR(A2263),MONTH(A2263),1)</f>
        <v>41821.0</v>
      </c>
      <c r="G2263" t="str">
        <f>CHOOSE(WEEKDAY(A2263,2),"Mon","Tue","Wed","Thu","Fri","Sat","Sun")</f>
        <v>Fri</v>
      </c>
      <c r="H2263" t="str">
        <f>IF(WEEKDAY(A2263,2)&gt;5,"Weekend","Weekday")</f>
        <v>Weekday</v>
      </c>
      <c r="I2263" t="str">
        <f>_xlfn.IFS(B2263&lt;=5,"Night (0-5)",B2263&lt;=9,"Morning peak (6-9)",B2263&lt;=15,"Midday (10-15)",B2263&lt;=19,"Evening peak (16-19)",TRUE,"Late evening (20-23)")</f>
        <v>Night (0-5)</v>
      </c>
    </row>
    <row r="2264" spans="1:9">
      <c r="A2264" s="32">
        <v>41824</v>
      </c>
      <c r="B2264">
        <v>6</v>
      </c>
      <c r="C2264">
        <v>270</v>
      </c>
      <c r="D2264" t="s">
        <v>303</v>
      </c>
      <c r="E2264">
        <f>YEAR(A2264)</f>
        <v>2014</v>
      </c>
      <c r="F2264" s="33">
        <f>DATE(YEAR(A2264),MONTH(A2264),1)</f>
        <v>41821.0</v>
      </c>
      <c r="G2264" t="str">
        <f>CHOOSE(WEEKDAY(A2264,2),"Mon","Tue","Wed","Thu","Fri","Sat","Sun")</f>
        <v>Fri</v>
      </c>
      <c r="H2264" t="str">
        <f>IF(WEEKDAY(A2264,2)&gt;5,"Weekend","Weekday")</f>
        <v>Weekday</v>
      </c>
      <c r="I2264" t="str">
        <f>_xlfn.IFS(B2264&lt;=5,"Night (0-5)",B2264&lt;=9,"Morning peak (6-9)",B2264&lt;=15,"Midday (10-15)",B2264&lt;=19,"Evening peak (16-19)",TRUE,"Late evening (20-23)")</f>
        <v>Morning peak (6-9)</v>
      </c>
    </row>
    <row r="2265" spans="1:9">
      <c r="A2265" s="32">
        <v>41824</v>
      </c>
      <c r="B2265">
        <v>7</v>
      </c>
      <c r="C2265">
        <v>267</v>
      </c>
      <c r="D2265" t="s">
        <v>303</v>
      </c>
      <c r="E2265">
        <f>YEAR(A2265)</f>
        <v>2014</v>
      </c>
      <c r="F2265" s="33">
        <f>DATE(YEAR(A2265),MONTH(A2265),1)</f>
        <v>41821.0</v>
      </c>
      <c r="G2265" t="str">
        <f>CHOOSE(WEEKDAY(A2265,2),"Mon","Tue","Wed","Thu","Fri","Sat","Sun")</f>
        <v>Fri</v>
      </c>
      <c r="H2265" t="str">
        <f>IF(WEEKDAY(A2265,2)&gt;5,"Weekend","Weekday")</f>
        <v>Weekday</v>
      </c>
      <c r="I2265" t="str">
        <f>_xlfn.IFS(B2265&lt;=5,"Night (0-5)",B2265&lt;=9,"Morning peak (6-9)",B2265&lt;=15,"Midday (10-15)",B2265&lt;=19,"Evening peak (16-19)",TRUE,"Late evening (20-23)")</f>
        <v>Morning peak (6-9)</v>
      </c>
    </row>
    <row r="2266" spans="1:9">
      <c r="A2266" s="32">
        <v>41824</v>
      </c>
      <c r="B2266">
        <v>8</v>
      </c>
      <c r="C2266">
        <v>325</v>
      </c>
      <c r="D2266" t="s">
        <v>303</v>
      </c>
      <c r="E2266">
        <f>YEAR(A2266)</f>
        <v>2014</v>
      </c>
      <c r="F2266" s="33">
        <f>DATE(YEAR(A2266),MONTH(A2266),1)</f>
        <v>41821.0</v>
      </c>
      <c r="G2266" t="str">
        <f>CHOOSE(WEEKDAY(A2266,2),"Mon","Tue","Wed","Thu","Fri","Sat","Sun")</f>
        <v>Fri</v>
      </c>
      <c r="H2266" t="str">
        <f>IF(WEEKDAY(A2266,2)&gt;5,"Weekend","Weekday")</f>
        <v>Weekday</v>
      </c>
      <c r="I2266" t="str">
        <f>_xlfn.IFS(B2266&lt;=5,"Night (0-5)",B2266&lt;=9,"Morning peak (6-9)",B2266&lt;=15,"Midday (10-15)",B2266&lt;=19,"Evening peak (16-19)",TRUE,"Late evening (20-23)")</f>
        <v>Morning peak (6-9)</v>
      </c>
    </row>
    <row r="2267" spans="1:9">
      <c r="A2267" s="32">
        <v>41824</v>
      </c>
      <c r="B2267">
        <v>9</v>
      </c>
      <c r="C2267">
        <v>411</v>
      </c>
      <c r="D2267" t="s">
        <v>303</v>
      </c>
      <c r="E2267">
        <f>YEAR(A2267)</f>
        <v>2014</v>
      </c>
      <c r="F2267" s="33">
        <f>DATE(YEAR(A2267),MONTH(A2267),1)</f>
        <v>41821.0</v>
      </c>
      <c r="G2267" t="str">
        <f>CHOOSE(WEEKDAY(A2267,2),"Mon","Tue","Wed","Thu","Fri","Sat","Sun")</f>
        <v>Fri</v>
      </c>
      <c r="H2267" t="str">
        <f>IF(WEEKDAY(A2267,2)&gt;5,"Weekend","Weekday")</f>
        <v>Weekday</v>
      </c>
      <c r="I2267" t="str">
        <f>_xlfn.IFS(B2267&lt;=5,"Night (0-5)",B2267&lt;=9,"Morning peak (6-9)",B2267&lt;=15,"Midday (10-15)",B2267&lt;=19,"Evening peak (16-19)",TRUE,"Late evening (20-23)")</f>
        <v>Morning peak (6-9)</v>
      </c>
    </row>
    <row r="2268" spans="1:9">
      <c r="A2268" s="32">
        <v>41824</v>
      </c>
      <c r="B2268">
        <v>10</v>
      </c>
      <c r="C2268">
        <v>495</v>
      </c>
      <c r="D2268" t="s">
        <v>303</v>
      </c>
      <c r="E2268">
        <f>YEAR(A2268)</f>
        <v>2014</v>
      </c>
      <c r="F2268" s="33">
        <f>DATE(YEAR(A2268),MONTH(A2268),1)</f>
        <v>41821.0</v>
      </c>
      <c r="G2268" t="str">
        <f>CHOOSE(WEEKDAY(A2268,2),"Mon","Tue","Wed","Thu","Fri","Sat","Sun")</f>
        <v>Fri</v>
      </c>
      <c r="H2268" t="str">
        <f>IF(WEEKDAY(A2268,2)&gt;5,"Weekend","Weekday")</f>
        <v>Weekday</v>
      </c>
      <c r="I2268" t="str">
        <f>_xlfn.IFS(B2268&lt;=5,"Night (0-5)",B2268&lt;=9,"Morning peak (6-9)",B2268&lt;=15,"Midday (10-15)",B2268&lt;=19,"Evening peak (16-19)",TRUE,"Late evening (20-23)")</f>
        <v>Midday (10-15)</v>
      </c>
    </row>
    <row r="2269" spans="1:9">
      <c r="A2269" s="32">
        <v>41824</v>
      </c>
      <c r="B2269">
        <v>11</v>
      </c>
      <c r="C2269">
        <v>572</v>
      </c>
      <c r="D2269" t="s">
        <v>303</v>
      </c>
      <c r="E2269">
        <f>YEAR(A2269)</f>
        <v>2014</v>
      </c>
      <c r="F2269" s="33">
        <f>DATE(YEAR(A2269),MONTH(A2269),1)</f>
        <v>41821.0</v>
      </c>
      <c r="G2269" t="str">
        <f>CHOOSE(WEEKDAY(A2269,2),"Mon","Tue","Wed","Thu","Fri","Sat","Sun")</f>
        <v>Fri</v>
      </c>
      <c r="H2269" t="str">
        <f>IF(WEEKDAY(A2269,2)&gt;5,"Weekend","Weekday")</f>
        <v>Weekday</v>
      </c>
      <c r="I2269" t="str">
        <f>_xlfn.IFS(B2269&lt;=5,"Night (0-5)",B2269&lt;=9,"Morning peak (6-9)",B2269&lt;=15,"Midday (10-15)",B2269&lt;=19,"Evening peak (16-19)",TRUE,"Late evening (20-23)")</f>
        <v>Midday (10-15)</v>
      </c>
    </row>
    <row r="2270" spans="1:9">
      <c r="A2270" s="32">
        <v>41824</v>
      </c>
      <c r="B2270">
        <v>12</v>
      </c>
      <c r="C2270">
        <v>735</v>
      </c>
      <c r="D2270" t="s">
        <v>303</v>
      </c>
      <c r="E2270">
        <f>YEAR(A2270)</f>
        <v>2014</v>
      </c>
      <c r="F2270" s="33">
        <f>DATE(YEAR(A2270),MONTH(A2270),1)</f>
        <v>41821.0</v>
      </c>
      <c r="G2270" t="str">
        <f>CHOOSE(WEEKDAY(A2270,2),"Mon","Tue","Wed","Thu","Fri","Sat","Sun")</f>
        <v>Fri</v>
      </c>
      <c r="H2270" t="str">
        <f>IF(WEEKDAY(A2270,2)&gt;5,"Weekend","Weekday")</f>
        <v>Weekday</v>
      </c>
      <c r="I2270" t="str">
        <f>_xlfn.IFS(B2270&lt;=5,"Night (0-5)",B2270&lt;=9,"Morning peak (6-9)",B2270&lt;=15,"Midday (10-15)",B2270&lt;=19,"Evening peak (16-19)",TRUE,"Late evening (20-23)")</f>
        <v>Midday (10-15)</v>
      </c>
    </row>
    <row r="2271" spans="1:9">
      <c r="A2271" s="32">
        <v>41824</v>
      </c>
      <c r="B2271">
        <v>13</v>
      </c>
      <c r="C2271">
        <v>972</v>
      </c>
      <c r="D2271" t="s">
        <v>303</v>
      </c>
      <c r="E2271">
        <f>YEAR(A2271)</f>
        <v>2014</v>
      </c>
      <c r="F2271" s="33">
        <f>DATE(YEAR(A2271),MONTH(A2271),1)</f>
        <v>41821.0</v>
      </c>
      <c r="G2271" t="str">
        <f>CHOOSE(WEEKDAY(A2271,2),"Mon","Tue","Wed","Thu","Fri","Sat","Sun")</f>
        <v>Fri</v>
      </c>
      <c r="H2271" t="str">
        <f>IF(WEEKDAY(A2271,2)&gt;5,"Weekend","Weekday")</f>
        <v>Weekday</v>
      </c>
      <c r="I2271" t="str">
        <f>_xlfn.IFS(B2271&lt;=5,"Night (0-5)",B2271&lt;=9,"Morning peak (6-9)",B2271&lt;=15,"Midday (10-15)",B2271&lt;=19,"Evening peak (16-19)",TRUE,"Late evening (20-23)")</f>
        <v>Midday (10-15)</v>
      </c>
    </row>
    <row r="2272" spans="1:9">
      <c r="A2272" s="32">
        <v>41824</v>
      </c>
      <c r="B2272">
        <v>14</v>
      </c>
      <c r="C2272">
        <v>903</v>
      </c>
      <c r="D2272" t="s">
        <v>303</v>
      </c>
      <c r="E2272">
        <f>YEAR(A2272)</f>
        <v>2014</v>
      </c>
      <c r="F2272" s="33">
        <f>DATE(YEAR(A2272),MONTH(A2272),1)</f>
        <v>41821.0</v>
      </c>
      <c r="G2272" t="str">
        <f>CHOOSE(WEEKDAY(A2272,2),"Mon","Tue","Wed","Thu","Fri","Sat","Sun")</f>
        <v>Fri</v>
      </c>
      <c r="H2272" t="str">
        <f>IF(WEEKDAY(A2272,2)&gt;5,"Weekend","Weekday")</f>
        <v>Weekday</v>
      </c>
      <c r="I2272" t="str">
        <f>_xlfn.IFS(B2272&lt;=5,"Night (0-5)",B2272&lt;=9,"Morning peak (6-9)",B2272&lt;=15,"Midday (10-15)",B2272&lt;=19,"Evening peak (16-19)",TRUE,"Late evening (20-23)")</f>
        <v>Midday (10-15)</v>
      </c>
    </row>
    <row r="2273" spans="1:9">
      <c r="A2273" s="32">
        <v>41824</v>
      </c>
      <c r="B2273">
        <v>15</v>
      </c>
      <c r="C2273">
        <v>791</v>
      </c>
      <c r="D2273" t="s">
        <v>303</v>
      </c>
      <c r="E2273">
        <f>YEAR(A2273)</f>
        <v>2014</v>
      </c>
      <c r="F2273" s="33">
        <f>DATE(YEAR(A2273),MONTH(A2273),1)</f>
        <v>41821.0</v>
      </c>
      <c r="G2273" t="str">
        <f>CHOOSE(WEEKDAY(A2273,2),"Mon","Tue","Wed","Thu","Fri","Sat","Sun")</f>
        <v>Fri</v>
      </c>
      <c r="H2273" t="str">
        <f>IF(WEEKDAY(A2273,2)&gt;5,"Weekend","Weekday")</f>
        <v>Weekday</v>
      </c>
      <c r="I2273" t="str">
        <f>_xlfn.IFS(B2273&lt;=5,"Night (0-5)",B2273&lt;=9,"Morning peak (6-9)",B2273&lt;=15,"Midday (10-15)",B2273&lt;=19,"Evening peak (16-19)",TRUE,"Late evening (20-23)")</f>
        <v>Midday (10-15)</v>
      </c>
    </row>
    <row r="2274" spans="1:9">
      <c r="A2274" s="32">
        <v>41824</v>
      </c>
      <c r="B2274">
        <v>16</v>
      </c>
      <c r="C2274">
        <v>620</v>
      </c>
      <c r="D2274" t="s">
        <v>303</v>
      </c>
      <c r="E2274">
        <f>YEAR(A2274)</f>
        <v>2014</v>
      </c>
      <c r="F2274" s="33">
        <f>DATE(YEAR(A2274),MONTH(A2274),1)</f>
        <v>41821.0</v>
      </c>
      <c r="G2274" t="str">
        <f>CHOOSE(WEEKDAY(A2274,2),"Mon","Tue","Wed","Thu","Fri","Sat","Sun")</f>
        <v>Fri</v>
      </c>
      <c r="H2274" t="str">
        <f>IF(WEEKDAY(A2274,2)&gt;5,"Weekend","Weekday")</f>
        <v>Weekday</v>
      </c>
      <c r="I2274" t="str">
        <f>_xlfn.IFS(B2274&lt;=5,"Night (0-5)",B2274&lt;=9,"Morning peak (6-9)",B2274&lt;=15,"Midday (10-15)",B2274&lt;=19,"Evening peak (16-19)",TRUE,"Late evening (20-23)")</f>
        <v>Evening peak (16-19)</v>
      </c>
    </row>
    <row r="2275" spans="1:9">
      <c r="A2275" s="32">
        <v>41824</v>
      </c>
      <c r="B2275">
        <v>17</v>
      </c>
      <c r="C2275">
        <v>741</v>
      </c>
      <c r="D2275" t="s">
        <v>303</v>
      </c>
      <c r="E2275">
        <f>YEAR(A2275)</f>
        <v>2014</v>
      </c>
      <c r="F2275" s="33">
        <f>DATE(YEAR(A2275),MONTH(A2275),1)</f>
        <v>41821.0</v>
      </c>
      <c r="G2275" t="str">
        <f>CHOOSE(WEEKDAY(A2275,2),"Mon","Tue","Wed","Thu","Fri","Sat","Sun")</f>
        <v>Fri</v>
      </c>
      <c r="H2275" t="str">
        <f>IF(WEEKDAY(A2275,2)&gt;5,"Weekend","Weekday")</f>
        <v>Weekday</v>
      </c>
      <c r="I2275" t="str">
        <f>_xlfn.IFS(B2275&lt;=5,"Night (0-5)",B2275&lt;=9,"Morning peak (6-9)",B2275&lt;=15,"Midday (10-15)",B2275&lt;=19,"Evening peak (16-19)",TRUE,"Late evening (20-23)")</f>
        <v>Evening peak (16-19)</v>
      </c>
    </row>
    <row r="2276" spans="1:9">
      <c r="A2276" s="32">
        <v>41824</v>
      </c>
      <c r="B2276">
        <v>18</v>
      </c>
      <c r="C2276">
        <v>728</v>
      </c>
      <c r="D2276" t="s">
        <v>303</v>
      </c>
      <c r="E2276">
        <f>YEAR(A2276)</f>
        <v>2014</v>
      </c>
      <c r="F2276" s="33">
        <f>DATE(YEAR(A2276),MONTH(A2276),1)</f>
        <v>41821.0</v>
      </c>
      <c r="G2276" t="str">
        <f>CHOOSE(WEEKDAY(A2276,2),"Mon","Tue","Wed","Thu","Fri","Sat","Sun")</f>
        <v>Fri</v>
      </c>
      <c r="H2276" t="str">
        <f>IF(WEEKDAY(A2276,2)&gt;5,"Weekend","Weekday")</f>
        <v>Weekday</v>
      </c>
      <c r="I2276" t="str">
        <f>_xlfn.IFS(B2276&lt;=5,"Night (0-5)",B2276&lt;=9,"Morning peak (6-9)",B2276&lt;=15,"Midday (10-15)",B2276&lt;=19,"Evening peak (16-19)",TRUE,"Late evening (20-23)")</f>
        <v>Evening peak (16-19)</v>
      </c>
    </row>
    <row r="2277" spans="1:9">
      <c r="A2277" s="32">
        <v>41824</v>
      </c>
      <c r="B2277">
        <v>19</v>
      </c>
      <c r="C2277">
        <v>696</v>
      </c>
      <c r="D2277" t="s">
        <v>303</v>
      </c>
      <c r="E2277">
        <f>YEAR(A2277)</f>
        <v>2014</v>
      </c>
      <c r="F2277" s="33">
        <f>DATE(YEAR(A2277),MONTH(A2277),1)</f>
        <v>41821.0</v>
      </c>
      <c r="G2277" t="str">
        <f>CHOOSE(WEEKDAY(A2277,2),"Mon","Tue","Wed","Thu","Fri","Sat","Sun")</f>
        <v>Fri</v>
      </c>
      <c r="H2277" t="str">
        <f>IF(WEEKDAY(A2277,2)&gt;5,"Weekend","Weekday")</f>
        <v>Weekday</v>
      </c>
      <c r="I2277" t="str">
        <f>_xlfn.IFS(B2277&lt;=5,"Night (0-5)",B2277&lt;=9,"Morning peak (6-9)",B2277&lt;=15,"Midday (10-15)",B2277&lt;=19,"Evening peak (16-19)",TRUE,"Late evening (20-23)")</f>
        <v>Evening peak (16-19)</v>
      </c>
    </row>
    <row r="2278" spans="1:9">
      <c r="A2278" s="32">
        <v>41824</v>
      </c>
      <c r="B2278">
        <v>20</v>
      </c>
      <c r="C2278">
        <v>641</v>
      </c>
      <c r="D2278" t="s">
        <v>303</v>
      </c>
      <c r="E2278">
        <f>YEAR(A2278)</f>
        <v>2014</v>
      </c>
      <c r="F2278" s="33">
        <f>DATE(YEAR(A2278),MONTH(A2278),1)</f>
        <v>41821.0</v>
      </c>
      <c r="G2278" t="str">
        <f>CHOOSE(WEEKDAY(A2278,2),"Mon","Tue","Wed","Thu","Fri","Sat","Sun")</f>
        <v>Fri</v>
      </c>
      <c r="H2278" t="str">
        <f>IF(WEEKDAY(A2278,2)&gt;5,"Weekend","Weekday")</f>
        <v>Weekday</v>
      </c>
      <c r="I2278" t="str">
        <f>_xlfn.IFS(B2278&lt;=5,"Night (0-5)",B2278&lt;=9,"Morning peak (6-9)",B2278&lt;=15,"Midday (10-15)",B2278&lt;=19,"Evening peak (16-19)",TRUE,"Late evening (20-23)")</f>
        <v>Late evening (20-23)</v>
      </c>
    </row>
    <row r="2279" spans="1:9">
      <c r="A2279" s="32">
        <v>41824</v>
      </c>
      <c r="B2279">
        <v>21</v>
      </c>
      <c r="C2279">
        <v>962</v>
      </c>
      <c r="D2279" t="s">
        <v>303</v>
      </c>
      <c r="E2279">
        <f>YEAR(A2279)</f>
        <v>2014</v>
      </c>
      <c r="F2279" s="33">
        <f>DATE(YEAR(A2279),MONTH(A2279),1)</f>
        <v>41821.0</v>
      </c>
      <c r="G2279" t="str">
        <f>CHOOSE(WEEKDAY(A2279,2),"Mon","Tue","Wed","Thu","Fri","Sat","Sun")</f>
        <v>Fri</v>
      </c>
      <c r="H2279" t="str">
        <f>IF(WEEKDAY(A2279,2)&gt;5,"Weekend","Weekday")</f>
        <v>Weekday</v>
      </c>
      <c r="I2279" t="str">
        <f>_xlfn.IFS(B2279&lt;=5,"Night (0-5)",B2279&lt;=9,"Morning peak (6-9)",B2279&lt;=15,"Midday (10-15)",B2279&lt;=19,"Evening peak (16-19)",TRUE,"Late evening (20-23)")</f>
        <v>Late evening (20-23)</v>
      </c>
    </row>
    <row r="2280" spans="1:9">
      <c r="A2280" s="32">
        <v>41824</v>
      </c>
      <c r="B2280">
        <v>22</v>
      </c>
      <c r="C2280">
        <v>1121</v>
      </c>
      <c r="D2280" t="s">
        <v>303</v>
      </c>
      <c r="E2280">
        <f>YEAR(A2280)</f>
        <v>2014</v>
      </c>
      <c r="F2280" s="33">
        <f>DATE(YEAR(A2280),MONTH(A2280),1)</f>
        <v>41821.0</v>
      </c>
      <c r="G2280" t="str">
        <f>CHOOSE(WEEKDAY(A2280,2),"Mon","Tue","Wed","Thu","Fri","Sat","Sun")</f>
        <v>Fri</v>
      </c>
      <c r="H2280" t="str">
        <f>IF(WEEKDAY(A2280,2)&gt;5,"Weekend","Weekday")</f>
        <v>Weekday</v>
      </c>
      <c r="I2280" t="str">
        <f>_xlfn.IFS(B2280&lt;=5,"Night (0-5)",B2280&lt;=9,"Morning peak (6-9)",B2280&lt;=15,"Midday (10-15)",B2280&lt;=19,"Evening peak (16-19)",TRUE,"Late evening (20-23)")</f>
        <v>Late evening (20-23)</v>
      </c>
    </row>
    <row r="2281" spans="1:9">
      <c r="A2281" s="32">
        <v>41824</v>
      </c>
      <c r="B2281">
        <v>23</v>
      </c>
      <c r="C2281">
        <v>1044</v>
      </c>
      <c r="D2281" t="s">
        <v>303</v>
      </c>
      <c r="E2281">
        <f>YEAR(A2281)</f>
        <v>2014</v>
      </c>
      <c r="F2281" s="33">
        <f>DATE(YEAR(A2281),MONTH(A2281),1)</f>
        <v>41821.0</v>
      </c>
      <c r="G2281" t="str">
        <f>CHOOSE(WEEKDAY(A2281,2),"Mon","Tue","Wed","Thu","Fri","Sat","Sun")</f>
        <v>Fri</v>
      </c>
      <c r="H2281" t="str">
        <f>IF(WEEKDAY(A2281,2)&gt;5,"Weekend","Weekday")</f>
        <v>Weekday</v>
      </c>
      <c r="I2281" t="str">
        <f>_xlfn.IFS(B2281&lt;=5,"Night (0-5)",B2281&lt;=9,"Morning peak (6-9)",B2281&lt;=15,"Midday (10-15)",B2281&lt;=19,"Evening peak (16-19)",TRUE,"Late evening (20-23)")</f>
        <v>Late evening (20-23)</v>
      </c>
    </row>
    <row r="2282" spans="1:9">
      <c r="A2282" s="32">
        <v>41825</v>
      </c>
      <c r="B2282">
        <v>0</v>
      </c>
      <c r="C2282">
        <v>686</v>
      </c>
      <c r="D2282" t="s">
        <v>303</v>
      </c>
      <c r="E2282">
        <f>YEAR(A2282)</f>
        <v>2014</v>
      </c>
      <c r="F2282" s="33">
        <f>DATE(YEAR(A2282),MONTH(A2282),1)</f>
        <v>41821.0</v>
      </c>
      <c r="G2282" t="str">
        <f>CHOOSE(WEEKDAY(A2282,2),"Mon","Tue","Wed","Thu","Fri","Sat","Sun")</f>
        <v>Sat</v>
      </c>
      <c r="H2282" t="str">
        <f>IF(WEEKDAY(A2282,2)&gt;5,"Weekend","Weekday")</f>
        <v>Weekend</v>
      </c>
      <c r="I2282" t="str">
        <f>_xlfn.IFS(B2282&lt;=5,"Night (0-5)",B2282&lt;=9,"Morning peak (6-9)",B2282&lt;=15,"Midday (10-15)",B2282&lt;=19,"Evening peak (16-19)",TRUE,"Late evening (20-23)")</f>
        <v>Night (0-5)</v>
      </c>
    </row>
    <row r="2283" spans="1:9">
      <c r="A2283" s="32">
        <v>41825</v>
      </c>
      <c r="B2283">
        <v>1</v>
      </c>
      <c r="C2283">
        <v>384</v>
      </c>
      <c r="D2283" t="s">
        <v>303</v>
      </c>
      <c r="E2283">
        <f>YEAR(A2283)</f>
        <v>2014</v>
      </c>
      <c r="F2283" s="33">
        <f>DATE(YEAR(A2283),MONTH(A2283),1)</f>
        <v>41821.0</v>
      </c>
      <c r="G2283" t="str">
        <f>CHOOSE(WEEKDAY(A2283,2),"Mon","Tue","Wed","Thu","Fri","Sat","Sun")</f>
        <v>Sat</v>
      </c>
      <c r="H2283" t="str">
        <f>IF(WEEKDAY(A2283,2)&gt;5,"Weekend","Weekday")</f>
        <v>Weekend</v>
      </c>
      <c r="I2283" t="str">
        <f>_xlfn.IFS(B2283&lt;=5,"Night (0-5)",B2283&lt;=9,"Morning peak (6-9)",B2283&lt;=15,"Midday (10-15)",B2283&lt;=19,"Evening peak (16-19)",TRUE,"Late evening (20-23)")</f>
        <v>Night (0-5)</v>
      </c>
    </row>
    <row r="2284" spans="1:9">
      <c r="A2284" s="32">
        <v>41825</v>
      </c>
      <c r="B2284">
        <v>2</v>
      </c>
      <c r="C2284">
        <v>285</v>
      </c>
      <c r="D2284" t="s">
        <v>303</v>
      </c>
      <c r="E2284">
        <f>YEAR(A2284)</f>
        <v>2014</v>
      </c>
      <c r="F2284" s="33">
        <f>DATE(YEAR(A2284),MONTH(A2284),1)</f>
        <v>41821.0</v>
      </c>
      <c r="G2284" t="str">
        <f>CHOOSE(WEEKDAY(A2284,2),"Mon","Tue","Wed","Thu","Fri","Sat","Sun")</f>
        <v>Sat</v>
      </c>
      <c r="H2284" t="str">
        <f>IF(WEEKDAY(A2284,2)&gt;5,"Weekend","Weekday")</f>
        <v>Weekend</v>
      </c>
      <c r="I2284" t="str">
        <f>_xlfn.IFS(B2284&lt;=5,"Night (0-5)",B2284&lt;=9,"Morning peak (6-9)",B2284&lt;=15,"Midday (10-15)",B2284&lt;=19,"Evening peak (16-19)",TRUE,"Late evening (20-23)")</f>
        <v>Night (0-5)</v>
      </c>
    </row>
    <row r="2285" spans="1:9">
      <c r="A2285" s="32">
        <v>41825</v>
      </c>
      <c r="B2285">
        <v>3</v>
      </c>
      <c r="C2285">
        <v>221</v>
      </c>
      <c r="D2285" t="s">
        <v>303</v>
      </c>
      <c r="E2285">
        <f>YEAR(A2285)</f>
        <v>2014</v>
      </c>
      <c r="F2285" s="33">
        <f>DATE(YEAR(A2285),MONTH(A2285),1)</f>
        <v>41821.0</v>
      </c>
      <c r="G2285" t="str">
        <f>CHOOSE(WEEKDAY(A2285,2),"Mon","Tue","Wed","Thu","Fri","Sat","Sun")</f>
        <v>Sat</v>
      </c>
      <c r="H2285" t="str">
        <f>IF(WEEKDAY(A2285,2)&gt;5,"Weekend","Weekday")</f>
        <v>Weekend</v>
      </c>
      <c r="I2285" t="str">
        <f>_xlfn.IFS(B2285&lt;=5,"Night (0-5)",B2285&lt;=9,"Morning peak (6-9)",B2285&lt;=15,"Midday (10-15)",B2285&lt;=19,"Evening peak (16-19)",TRUE,"Late evening (20-23)")</f>
        <v>Night (0-5)</v>
      </c>
    </row>
    <row r="2286" spans="1:9">
      <c r="A2286" s="32">
        <v>41825</v>
      </c>
      <c r="B2286">
        <v>4</v>
      </c>
      <c r="C2286">
        <v>131</v>
      </c>
      <c r="D2286" t="s">
        <v>303</v>
      </c>
      <c r="E2286">
        <f>YEAR(A2286)</f>
        <v>2014</v>
      </c>
      <c r="F2286" s="33">
        <f>DATE(YEAR(A2286),MONTH(A2286),1)</f>
        <v>41821.0</v>
      </c>
      <c r="G2286" t="str">
        <f>CHOOSE(WEEKDAY(A2286,2),"Mon","Tue","Wed","Thu","Fri","Sat","Sun")</f>
        <v>Sat</v>
      </c>
      <c r="H2286" t="str">
        <f>IF(WEEKDAY(A2286,2)&gt;5,"Weekend","Weekday")</f>
        <v>Weekend</v>
      </c>
      <c r="I2286" t="str">
        <f>_xlfn.IFS(B2286&lt;=5,"Night (0-5)",B2286&lt;=9,"Morning peak (6-9)",B2286&lt;=15,"Midday (10-15)",B2286&lt;=19,"Evening peak (16-19)",TRUE,"Late evening (20-23)")</f>
        <v>Night (0-5)</v>
      </c>
    </row>
    <row r="2287" spans="1:9">
      <c r="A2287" s="32">
        <v>41825</v>
      </c>
      <c r="B2287">
        <v>5</v>
      </c>
      <c r="C2287">
        <v>139</v>
      </c>
      <c r="D2287" t="s">
        <v>303</v>
      </c>
      <c r="E2287">
        <f>YEAR(A2287)</f>
        <v>2014</v>
      </c>
      <c r="F2287" s="33">
        <f>DATE(YEAR(A2287),MONTH(A2287),1)</f>
        <v>41821.0</v>
      </c>
      <c r="G2287" t="str">
        <f>CHOOSE(WEEKDAY(A2287,2),"Mon","Tue","Wed","Thu","Fri","Sat","Sun")</f>
        <v>Sat</v>
      </c>
      <c r="H2287" t="str">
        <f>IF(WEEKDAY(A2287,2)&gt;5,"Weekend","Weekday")</f>
        <v>Weekend</v>
      </c>
      <c r="I2287" t="str">
        <f>_xlfn.IFS(B2287&lt;=5,"Night (0-5)",B2287&lt;=9,"Morning peak (6-9)",B2287&lt;=15,"Midday (10-15)",B2287&lt;=19,"Evening peak (16-19)",TRUE,"Late evening (20-23)")</f>
        <v>Night (0-5)</v>
      </c>
    </row>
    <row r="2288" spans="1:9">
      <c r="A2288" s="32">
        <v>41825</v>
      </c>
      <c r="B2288">
        <v>6</v>
      </c>
      <c r="C2288">
        <v>120</v>
      </c>
      <c r="D2288" t="s">
        <v>303</v>
      </c>
      <c r="E2288">
        <f>YEAR(A2288)</f>
        <v>2014</v>
      </c>
      <c r="F2288" s="33">
        <f>DATE(YEAR(A2288),MONTH(A2288),1)</f>
        <v>41821.0</v>
      </c>
      <c r="G2288" t="str">
        <f>CHOOSE(WEEKDAY(A2288,2),"Mon","Tue","Wed","Thu","Fri","Sat","Sun")</f>
        <v>Sat</v>
      </c>
      <c r="H2288" t="str">
        <f>IF(WEEKDAY(A2288,2)&gt;5,"Weekend","Weekday")</f>
        <v>Weekend</v>
      </c>
      <c r="I2288" t="str">
        <f>_xlfn.IFS(B2288&lt;=5,"Night (0-5)",B2288&lt;=9,"Morning peak (6-9)",B2288&lt;=15,"Midday (10-15)",B2288&lt;=19,"Evening peak (16-19)",TRUE,"Late evening (20-23)")</f>
        <v>Morning peak (6-9)</v>
      </c>
    </row>
    <row r="2289" spans="1:9">
      <c r="A2289" s="32">
        <v>41825</v>
      </c>
      <c r="B2289">
        <v>7</v>
      </c>
      <c r="C2289">
        <v>185</v>
      </c>
      <c r="D2289" t="s">
        <v>303</v>
      </c>
      <c r="E2289">
        <f>YEAR(A2289)</f>
        <v>2014</v>
      </c>
      <c r="F2289" s="33">
        <f>DATE(YEAR(A2289),MONTH(A2289),1)</f>
        <v>41821.0</v>
      </c>
      <c r="G2289" t="str">
        <f>CHOOSE(WEEKDAY(A2289,2),"Mon","Tue","Wed","Thu","Fri","Sat","Sun")</f>
        <v>Sat</v>
      </c>
      <c r="H2289" t="str">
        <f>IF(WEEKDAY(A2289,2)&gt;5,"Weekend","Weekday")</f>
        <v>Weekend</v>
      </c>
      <c r="I2289" t="str">
        <f>_xlfn.IFS(B2289&lt;=5,"Night (0-5)",B2289&lt;=9,"Morning peak (6-9)",B2289&lt;=15,"Midday (10-15)",B2289&lt;=19,"Evening peak (16-19)",TRUE,"Late evening (20-23)")</f>
        <v>Morning peak (6-9)</v>
      </c>
    </row>
    <row r="2290" spans="1:9">
      <c r="A2290" s="32">
        <v>41825</v>
      </c>
      <c r="B2290">
        <v>8</v>
      </c>
      <c r="C2290">
        <v>255</v>
      </c>
      <c r="D2290" t="s">
        <v>303</v>
      </c>
      <c r="E2290">
        <f>YEAR(A2290)</f>
        <v>2014</v>
      </c>
      <c r="F2290" s="33">
        <f>DATE(YEAR(A2290),MONTH(A2290),1)</f>
        <v>41821.0</v>
      </c>
      <c r="G2290" t="str">
        <f>CHOOSE(WEEKDAY(A2290,2),"Mon","Tue","Wed","Thu","Fri","Sat","Sun")</f>
        <v>Sat</v>
      </c>
      <c r="H2290" t="str">
        <f>IF(WEEKDAY(A2290,2)&gt;5,"Weekend","Weekday")</f>
        <v>Weekend</v>
      </c>
      <c r="I2290" t="str">
        <f>_xlfn.IFS(B2290&lt;=5,"Night (0-5)",B2290&lt;=9,"Morning peak (6-9)",B2290&lt;=15,"Midday (10-15)",B2290&lt;=19,"Evening peak (16-19)",TRUE,"Late evening (20-23)")</f>
        <v>Morning peak (6-9)</v>
      </c>
    </row>
    <row r="2291" spans="1:9">
      <c r="A2291" s="32">
        <v>41825</v>
      </c>
      <c r="B2291">
        <v>9</v>
      </c>
      <c r="C2291">
        <v>366</v>
      </c>
      <c r="D2291" t="s">
        <v>303</v>
      </c>
      <c r="E2291">
        <f>YEAR(A2291)</f>
        <v>2014</v>
      </c>
      <c r="F2291" s="33">
        <f>DATE(YEAR(A2291),MONTH(A2291),1)</f>
        <v>41821.0</v>
      </c>
      <c r="G2291" t="str">
        <f>CHOOSE(WEEKDAY(A2291,2),"Mon","Tue","Wed","Thu","Fri","Sat","Sun")</f>
        <v>Sat</v>
      </c>
      <c r="H2291" t="str">
        <f>IF(WEEKDAY(A2291,2)&gt;5,"Weekend","Weekday")</f>
        <v>Weekend</v>
      </c>
      <c r="I2291" t="str">
        <f>_xlfn.IFS(B2291&lt;=5,"Night (0-5)",B2291&lt;=9,"Morning peak (6-9)",B2291&lt;=15,"Midday (10-15)",B2291&lt;=19,"Evening peak (16-19)",TRUE,"Late evening (20-23)")</f>
        <v>Morning peak (6-9)</v>
      </c>
    </row>
    <row r="2292" spans="1:9">
      <c r="A2292" s="32">
        <v>41825</v>
      </c>
      <c r="B2292">
        <v>10</v>
      </c>
      <c r="C2292">
        <v>456</v>
      </c>
      <c r="D2292" t="s">
        <v>303</v>
      </c>
      <c r="E2292">
        <f>YEAR(A2292)</f>
        <v>2014</v>
      </c>
      <c r="F2292" s="33">
        <f>DATE(YEAR(A2292),MONTH(A2292),1)</f>
        <v>41821.0</v>
      </c>
      <c r="G2292" t="str">
        <f>CHOOSE(WEEKDAY(A2292,2),"Mon","Tue","Wed","Thu","Fri","Sat","Sun")</f>
        <v>Sat</v>
      </c>
      <c r="H2292" t="str">
        <f>IF(WEEKDAY(A2292,2)&gt;5,"Weekend","Weekday")</f>
        <v>Weekend</v>
      </c>
      <c r="I2292" t="str">
        <f>_xlfn.IFS(B2292&lt;=5,"Night (0-5)",B2292&lt;=9,"Morning peak (6-9)",B2292&lt;=15,"Midday (10-15)",B2292&lt;=19,"Evening peak (16-19)",TRUE,"Late evening (20-23)")</f>
        <v>Midday (10-15)</v>
      </c>
    </row>
    <row r="2293" spans="1:9">
      <c r="A2293" s="32">
        <v>41825</v>
      </c>
      <c r="B2293">
        <v>11</v>
      </c>
      <c r="C2293">
        <v>483</v>
      </c>
      <c r="D2293" t="s">
        <v>303</v>
      </c>
      <c r="E2293">
        <f>YEAR(A2293)</f>
        <v>2014</v>
      </c>
      <c r="F2293" s="33">
        <f>DATE(YEAR(A2293),MONTH(A2293),1)</f>
        <v>41821.0</v>
      </c>
      <c r="G2293" t="str">
        <f>CHOOSE(WEEKDAY(A2293,2),"Mon","Tue","Wed","Thu","Fri","Sat","Sun")</f>
        <v>Sat</v>
      </c>
      <c r="H2293" t="str">
        <f>IF(WEEKDAY(A2293,2)&gt;5,"Weekend","Weekday")</f>
        <v>Weekend</v>
      </c>
      <c r="I2293" t="str">
        <f>_xlfn.IFS(B2293&lt;=5,"Night (0-5)",B2293&lt;=9,"Morning peak (6-9)",B2293&lt;=15,"Midday (10-15)",B2293&lt;=19,"Evening peak (16-19)",TRUE,"Late evening (20-23)")</f>
        <v>Midday (10-15)</v>
      </c>
    </row>
    <row r="2294" spans="1:9">
      <c r="A2294" s="32">
        <v>41825</v>
      </c>
      <c r="B2294">
        <v>12</v>
      </c>
      <c r="C2294">
        <v>472</v>
      </c>
      <c r="D2294" t="s">
        <v>303</v>
      </c>
      <c r="E2294">
        <f>YEAR(A2294)</f>
        <v>2014</v>
      </c>
      <c r="F2294" s="33">
        <f>DATE(YEAR(A2294),MONTH(A2294),1)</f>
        <v>41821.0</v>
      </c>
      <c r="G2294" t="str">
        <f>CHOOSE(WEEKDAY(A2294,2),"Mon","Tue","Wed","Thu","Fri","Sat","Sun")</f>
        <v>Sat</v>
      </c>
      <c r="H2294" t="str">
        <f>IF(WEEKDAY(A2294,2)&gt;5,"Weekend","Weekday")</f>
        <v>Weekend</v>
      </c>
      <c r="I2294" t="str">
        <f>_xlfn.IFS(B2294&lt;=5,"Night (0-5)",B2294&lt;=9,"Morning peak (6-9)",B2294&lt;=15,"Midday (10-15)",B2294&lt;=19,"Evening peak (16-19)",TRUE,"Late evening (20-23)")</f>
        <v>Midday (10-15)</v>
      </c>
    </row>
    <row r="2295" spans="1:9">
      <c r="A2295" s="32">
        <v>41825</v>
      </c>
      <c r="B2295">
        <v>13</v>
      </c>
      <c r="C2295">
        <v>514</v>
      </c>
      <c r="D2295" t="s">
        <v>303</v>
      </c>
      <c r="E2295">
        <f>YEAR(A2295)</f>
        <v>2014</v>
      </c>
      <c r="F2295" s="33">
        <f>DATE(YEAR(A2295),MONTH(A2295),1)</f>
        <v>41821.0</v>
      </c>
      <c r="G2295" t="str">
        <f>CHOOSE(WEEKDAY(A2295,2),"Mon","Tue","Wed","Thu","Fri","Sat","Sun")</f>
        <v>Sat</v>
      </c>
      <c r="H2295" t="str">
        <f>IF(WEEKDAY(A2295,2)&gt;5,"Weekend","Weekday")</f>
        <v>Weekend</v>
      </c>
      <c r="I2295" t="str">
        <f>_xlfn.IFS(B2295&lt;=5,"Night (0-5)",B2295&lt;=9,"Morning peak (6-9)",B2295&lt;=15,"Midday (10-15)",B2295&lt;=19,"Evening peak (16-19)",TRUE,"Late evening (20-23)")</f>
        <v>Midday (10-15)</v>
      </c>
    </row>
    <row r="2296" spans="1:9">
      <c r="A2296" s="32">
        <v>41825</v>
      </c>
      <c r="B2296">
        <v>14</v>
      </c>
      <c r="C2296">
        <v>587</v>
      </c>
      <c r="D2296" t="s">
        <v>303</v>
      </c>
      <c r="E2296">
        <f>YEAR(A2296)</f>
        <v>2014</v>
      </c>
      <c r="F2296" s="33">
        <f>DATE(YEAR(A2296),MONTH(A2296),1)</f>
        <v>41821.0</v>
      </c>
      <c r="G2296" t="str">
        <f>CHOOSE(WEEKDAY(A2296,2),"Mon","Tue","Wed","Thu","Fri","Sat","Sun")</f>
        <v>Sat</v>
      </c>
      <c r="H2296" t="str">
        <f>IF(WEEKDAY(A2296,2)&gt;5,"Weekend","Weekday")</f>
        <v>Weekend</v>
      </c>
      <c r="I2296" t="str">
        <f>_xlfn.IFS(B2296&lt;=5,"Night (0-5)",B2296&lt;=9,"Morning peak (6-9)",B2296&lt;=15,"Midday (10-15)",B2296&lt;=19,"Evening peak (16-19)",TRUE,"Late evening (20-23)")</f>
        <v>Midday (10-15)</v>
      </c>
    </row>
    <row r="2297" spans="1:9">
      <c r="A2297" s="32">
        <v>41825</v>
      </c>
      <c r="B2297">
        <v>15</v>
      </c>
      <c r="C2297">
        <v>561</v>
      </c>
      <c r="D2297" t="s">
        <v>303</v>
      </c>
      <c r="E2297">
        <f>YEAR(A2297)</f>
        <v>2014</v>
      </c>
      <c r="F2297" s="33">
        <f>DATE(YEAR(A2297),MONTH(A2297),1)</f>
        <v>41821.0</v>
      </c>
      <c r="G2297" t="str">
        <f>CHOOSE(WEEKDAY(A2297,2),"Mon","Tue","Wed","Thu","Fri","Sat","Sun")</f>
        <v>Sat</v>
      </c>
      <c r="H2297" t="str">
        <f>IF(WEEKDAY(A2297,2)&gt;5,"Weekend","Weekday")</f>
        <v>Weekend</v>
      </c>
      <c r="I2297" t="str">
        <f>_xlfn.IFS(B2297&lt;=5,"Night (0-5)",B2297&lt;=9,"Morning peak (6-9)",B2297&lt;=15,"Midday (10-15)",B2297&lt;=19,"Evening peak (16-19)",TRUE,"Late evening (20-23)")</f>
        <v>Midday (10-15)</v>
      </c>
    </row>
    <row r="2298" spans="1:9">
      <c r="A2298" s="32">
        <v>41825</v>
      </c>
      <c r="B2298">
        <v>16</v>
      </c>
      <c r="C2298">
        <v>557</v>
      </c>
      <c r="D2298" t="s">
        <v>303</v>
      </c>
      <c r="E2298">
        <f>YEAR(A2298)</f>
        <v>2014</v>
      </c>
      <c r="F2298" s="33">
        <f>DATE(YEAR(A2298),MONTH(A2298),1)</f>
        <v>41821.0</v>
      </c>
      <c r="G2298" t="str">
        <f>CHOOSE(WEEKDAY(A2298,2),"Mon","Tue","Wed","Thu","Fri","Sat","Sun")</f>
        <v>Sat</v>
      </c>
      <c r="H2298" t="str">
        <f>IF(WEEKDAY(A2298,2)&gt;5,"Weekend","Weekday")</f>
        <v>Weekend</v>
      </c>
      <c r="I2298" t="str">
        <f>_xlfn.IFS(B2298&lt;=5,"Night (0-5)",B2298&lt;=9,"Morning peak (6-9)",B2298&lt;=15,"Midday (10-15)",B2298&lt;=19,"Evening peak (16-19)",TRUE,"Late evening (20-23)")</f>
        <v>Evening peak (16-19)</v>
      </c>
    </row>
    <row r="2299" spans="1:9">
      <c r="A2299" s="32">
        <v>41825</v>
      </c>
      <c r="B2299">
        <v>17</v>
      </c>
      <c r="C2299">
        <v>622</v>
      </c>
      <c r="D2299" t="s">
        <v>303</v>
      </c>
      <c r="E2299">
        <f>YEAR(A2299)</f>
        <v>2014</v>
      </c>
      <c r="F2299" s="33">
        <f>DATE(YEAR(A2299),MONTH(A2299),1)</f>
        <v>41821.0</v>
      </c>
      <c r="G2299" t="str">
        <f>CHOOSE(WEEKDAY(A2299,2),"Mon","Tue","Wed","Thu","Fri","Sat","Sun")</f>
        <v>Sat</v>
      </c>
      <c r="H2299" t="str">
        <f>IF(WEEKDAY(A2299,2)&gt;5,"Weekend","Weekday")</f>
        <v>Weekend</v>
      </c>
      <c r="I2299" t="str">
        <f>_xlfn.IFS(B2299&lt;=5,"Night (0-5)",B2299&lt;=9,"Morning peak (6-9)",B2299&lt;=15,"Midday (10-15)",B2299&lt;=19,"Evening peak (16-19)",TRUE,"Late evening (20-23)")</f>
        <v>Evening peak (16-19)</v>
      </c>
    </row>
    <row r="2300" spans="1:9">
      <c r="A2300" s="32">
        <v>41825</v>
      </c>
      <c r="B2300">
        <v>18</v>
      </c>
      <c r="C2300">
        <v>668</v>
      </c>
      <c r="D2300" t="s">
        <v>303</v>
      </c>
      <c r="E2300">
        <f>YEAR(A2300)</f>
        <v>2014</v>
      </c>
      <c r="F2300" s="33">
        <f>DATE(YEAR(A2300),MONTH(A2300),1)</f>
        <v>41821.0</v>
      </c>
      <c r="G2300" t="str">
        <f>CHOOSE(WEEKDAY(A2300,2),"Mon","Tue","Wed","Thu","Fri","Sat","Sun")</f>
        <v>Sat</v>
      </c>
      <c r="H2300" t="str">
        <f>IF(WEEKDAY(A2300,2)&gt;5,"Weekend","Weekday")</f>
        <v>Weekend</v>
      </c>
      <c r="I2300" t="str">
        <f>_xlfn.IFS(B2300&lt;=5,"Night (0-5)",B2300&lt;=9,"Morning peak (6-9)",B2300&lt;=15,"Midday (10-15)",B2300&lt;=19,"Evening peak (16-19)",TRUE,"Late evening (20-23)")</f>
        <v>Evening peak (16-19)</v>
      </c>
    </row>
    <row r="2301" spans="1:9">
      <c r="A2301" s="32">
        <v>41825</v>
      </c>
      <c r="B2301">
        <v>19</v>
      </c>
      <c r="C2301">
        <v>548</v>
      </c>
      <c r="D2301" t="s">
        <v>303</v>
      </c>
      <c r="E2301">
        <f>YEAR(A2301)</f>
        <v>2014</v>
      </c>
      <c r="F2301" s="33">
        <f>DATE(YEAR(A2301),MONTH(A2301),1)</f>
        <v>41821.0</v>
      </c>
      <c r="G2301" t="str">
        <f>CHOOSE(WEEKDAY(A2301,2),"Mon","Tue","Wed","Thu","Fri","Sat","Sun")</f>
        <v>Sat</v>
      </c>
      <c r="H2301" t="str">
        <f>IF(WEEKDAY(A2301,2)&gt;5,"Weekend","Weekday")</f>
        <v>Weekend</v>
      </c>
      <c r="I2301" t="str">
        <f>_xlfn.IFS(B2301&lt;=5,"Night (0-5)",B2301&lt;=9,"Morning peak (6-9)",B2301&lt;=15,"Midday (10-15)",B2301&lt;=19,"Evening peak (16-19)",TRUE,"Late evening (20-23)")</f>
        <v>Evening peak (16-19)</v>
      </c>
    </row>
    <row r="2302" spans="1:9">
      <c r="A2302" s="32">
        <v>41825</v>
      </c>
      <c r="B2302">
        <v>20</v>
      </c>
      <c r="C2302">
        <v>664</v>
      </c>
      <c r="D2302" t="s">
        <v>303</v>
      </c>
      <c r="E2302">
        <f>YEAR(A2302)</f>
        <v>2014</v>
      </c>
      <c r="F2302" s="33">
        <f>DATE(YEAR(A2302),MONTH(A2302),1)</f>
        <v>41821.0</v>
      </c>
      <c r="G2302" t="str">
        <f>CHOOSE(WEEKDAY(A2302,2),"Mon","Tue","Wed","Thu","Fri","Sat","Sun")</f>
        <v>Sat</v>
      </c>
      <c r="H2302" t="str">
        <f>IF(WEEKDAY(A2302,2)&gt;5,"Weekend","Weekday")</f>
        <v>Weekend</v>
      </c>
      <c r="I2302" t="str">
        <f>_xlfn.IFS(B2302&lt;=5,"Night (0-5)",B2302&lt;=9,"Morning peak (6-9)",B2302&lt;=15,"Midday (10-15)",B2302&lt;=19,"Evening peak (16-19)",TRUE,"Late evening (20-23)")</f>
        <v>Late evening (20-23)</v>
      </c>
    </row>
    <row r="2303" spans="1:9">
      <c r="A2303" s="32">
        <v>41825</v>
      </c>
      <c r="B2303">
        <v>21</v>
      </c>
      <c r="C2303">
        <v>692</v>
      </c>
      <c r="D2303" t="s">
        <v>303</v>
      </c>
      <c r="E2303">
        <f>YEAR(A2303)</f>
        <v>2014</v>
      </c>
      <c r="F2303" s="33">
        <f>DATE(YEAR(A2303),MONTH(A2303),1)</f>
        <v>41821.0</v>
      </c>
      <c r="G2303" t="str">
        <f>CHOOSE(WEEKDAY(A2303,2),"Mon","Tue","Wed","Thu","Fri","Sat","Sun")</f>
        <v>Sat</v>
      </c>
      <c r="H2303" t="str">
        <f>IF(WEEKDAY(A2303,2)&gt;5,"Weekend","Weekday")</f>
        <v>Weekend</v>
      </c>
      <c r="I2303" t="str">
        <f>_xlfn.IFS(B2303&lt;=5,"Night (0-5)",B2303&lt;=9,"Morning peak (6-9)",B2303&lt;=15,"Midday (10-15)",B2303&lt;=19,"Evening peak (16-19)",TRUE,"Late evening (20-23)")</f>
        <v>Late evening (20-23)</v>
      </c>
    </row>
    <row r="2304" spans="1:9">
      <c r="A2304" s="32">
        <v>41825</v>
      </c>
      <c r="B2304">
        <v>22</v>
      </c>
      <c r="C2304">
        <v>735</v>
      </c>
      <c r="D2304" t="s">
        <v>303</v>
      </c>
      <c r="E2304">
        <f>YEAR(A2304)</f>
        <v>2014</v>
      </c>
      <c r="F2304" s="33">
        <f>DATE(YEAR(A2304),MONTH(A2304),1)</f>
        <v>41821.0</v>
      </c>
      <c r="G2304" t="str">
        <f>CHOOSE(WEEKDAY(A2304,2),"Mon","Tue","Wed","Thu","Fri","Sat","Sun")</f>
        <v>Sat</v>
      </c>
      <c r="H2304" t="str">
        <f>IF(WEEKDAY(A2304,2)&gt;5,"Weekend","Weekday")</f>
        <v>Weekend</v>
      </c>
      <c r="I2304" t="str">
        <f>_xlfn.IFS(B2304&lt;=5,"Night (0-5)",B2304&lt;=9,"Morning peak (6-9)",B2304&lt;=15,"Midday (10-15)",B2304&lt;=19,"Evening peak (16-19)",TRUE,"Late evening (20-23)")</f>
        <v>Late evening (20-23)</v>
      </c>
    </row>
    <row r="2305" spans="1:9">
      <c r="A2305" s="32">
        <v>41825</v>
      </c>
      <c r="B2305">
        <v>23</v>
      </c>
      <c r="C2305">
        <v>559</v>
      </c>
      <c r="D2305" t="s">
        <v>303</v>
      </c>
      <c r="E2305">
        <f>YEAR(A2305)</f>
        <v>2014</v>
      </c>
      <c r="F2305" s="33">
        <f>DATE(YEAR(A2305),MONTH(A2305),1)</f>
        <v>41821.0</v>
      </c>
      <c r="G2305" t="str">
        <f>CHOOSE(WEEKDAY(A2305,2),"Mon","Tue","Wed","Thu","Fri","Sat","Sun")</f>
        <v>Sat</v>
      </c>
      <c r="H2305" t="str">
        <f>IF(WEEKDAY(A2305,2)&gt;5,"Weekend","Weekday")</f>
        <v>Weekend</v>
      </c>
      <c r="I2305" t="str">
        <f>_xlfn.IFS(B2305&lt;=5,"Night (0-5)",B2305&lt;=9,"Morning peak (6-9)",B2305&lt;=15,"Midday (10-15)",B2305&lt;=19,"Evening peak (16-19)",TRUE,"Late evening (20-23)")</f>
        <v>Late evening (20-23)</v>
      </c>
    </row>
    <row r="2306" spans="1:9">
      <c r="A2306" s="32">
        <v>41826</v>
      </c>
      <c r="B2306">
        <v>0</v>
      </c>
      <c r="C2306">
        <v>400</v>
      </c>
      <c r="D2306" t="s">
        <v>303</v>
      </c>
      <c r="E2306">
        <f>YEAR(A2306)</f>
        <v>2014</v>
      </c>
      <c r="F2306" s="33">
        <f>DATE(YEAR(A2306),MONTH(A2306),1)</f>
        <v>41821.0</v>
      </c>
      <c r="G2306" t="str">
        <f>CHOOSE(WEEKDAY(A2306,2),"Mon","Tue","Wed","Thu","Fri","Sat","Sun")</f>
        <v>Sun</v>
      </c>
      <c r="H2306" t="str">
        <f>IF(WEEKDAY(A2306,2)&gt;5,"Weekend","Weekday")</f>
        <v>Weekend</v>
      </c>
      <c r="I2306" t="str">
        <f>_xlfn.IFS(B2306&lt;=5,"Night (0-5)",B2306&lt;=9,"Morning peak (6-9)",B2306&lt;=15,"Midday (10-15)",B2306&lt;=19,"Evening peak (16-19)",TRUE,"Late evening (20-23)")</f>
        <v>Night (0-5)</v>
      </c>
    </row>
    <row r="2307" spans="1:9">
      <c r="A2307" s="32">
        <v>41826</v>
      </c>
      <c r="B2307">
        <v>1</v>
      </c>
      <c r="C2307">
        <v>278</v>
      </c>
      <c r="D2307" t="s">
        <v>303</v>
      </c>
      <c r="E2307">
        <f>YEAR(A2307)</f>
        <v>2014</v>
      </c>
      <c r="F2307" s="33">
        <f>DATE(YEAR(A2307),MONTH(A2307),1)</f>
        <v>41821.0</v>
      </c>
      <c r="G2307" t="str">
        <f>CHOOSE(WEEKDAY(A2307,2),"Mon","Tue","Wed","Thu","Fri","Sat","Sun")</f>
        <v>Sun</v>
      </c>
      <c r="H2307" t="str">
        <f>IF(WEEKDAY(A2307,2)&gt;5,"Weekend","Weekday")</f>
        <v>Weekend</v>
      </c>
      <c r="I2307" t="str">
        <f>_xlfn.IFS(B2307&lt;=5,"Night (0-5)",B2307&lt;=9,"Morning peak (6-9)",B2307&lt;=15,"Midday (10-15)",B2307&lt;=19,"Evening peak (16-19)",TRUE,"Late evening (20-23)")</f>
        <v>Night (0-5)</v>
      </c>
    </row>
    <row r="2308" spans="1:9">
      <c r="A2308" s="32">
        <v>41826</v>
      </c>
      <c r="B2308">
        <v>2</v>
      </c>
      <c r="C2308">
        <v>254</v>
      </c>
      <c r="D2308" t="s">
        <v>303</v>
      </c>
      <c r="E2308">
        <f>YEAR(A2308)</f>
        <v>2014</v>
      </c>
      <c r="F2308" s="33">
        <f>DATE(YEAR(A2308),MONTH(A2308),1)</f>
        <v>41821.0</v>
      </c>
      <c r="G2308" t="str">
        <f>CHOOSE(WEEKDAY(A2308,2),"Mon","Tue","Wed","Thu","Fri","Sat","Sun")</f>
        <v>Sun</v>
      </c>
      <c r="H2308" t="str">
        <f>IF(WEEKDAY(A2308,2)&gt;5,"Weekend","Weekday")</f>
        <v>Weekend</v>
      </c>
      <c r="I2308" t="str">
        <f>_xlfn.IFS(B2308&lt;=5,"Night (0-5)",B2308&lt;=9,"Morning peak (6-9)",B2308&lt;=15,"Midday (10-15)",B2308&lt;=19,"Evening peak (16-19)",TRUE,"Late evening (20-23)")</f>
        <v>Night (0-5)</v>
      </c>
    </row>
    <row r="2309" spans="1:9">
      <c r="A2309" s="32">
        <v>41826</v>
      </c>
      <c r="B2309">
        <v>3</v>
      </c>
      <c r="C2309">
        <v>236</v>
      </c>
      <c r="D2309" t="s">
        <v>303</v>
      </c>
      <c r="E2309">
        <f>YEAR(A2309)</f>
        <v>2014</v>
      </c>
      <c r="F2309" s="33">
        <f>DATE(YEAR(A2309),MONTH(A2309),1)</f>
        <v>41821.0</v>
      </c>
      <c r="G2309" t="str">
        <f>CHOOSE(WEEKDAY(A2309,2),"Mon","Tue","Wed","Thu","Fri","Sat","Sun")</f>
        <v>Sun</v>
      </c>
      <c r="H2309" t="str">
        <f>IF(WEEKDAY(A2309,2)&gt;5,"Weekend","Weekday")</f>
        <v>Weekend</v>
      </c>
      <c r="I2309" t="str">
        <f>_xlfn.IFS(B2309&lt;=5,"Night (0-5)",B2309&lt;=9,"Morning peak (6-9)",B2309&lt;=15,"Midday (10-15)",B2309&lt;=19,"Evening peak (16-19)",TRUE,"Late evening (20-23)")</f>
        <v>Night (0-5)</v>
      </c>
    </row>
    <row r="2310" spans="1:9">
      <c r="A2310" s="32">
        <v>41826</v>
      </c>
      <c r="B2310">
        <v>4</v>
      </c>
      <c r="C2310">
        <v>127</v>
      </c>
      <c r="D2310" t="s">
        <v>303</v>
      </c>
      <c r="E2310">
        <f>YEAR(A2310)</f>
        <v>2014</v>
      </c>
      <c r="F2310" s="33">
        <f>DATE(YEAR(A2310),MONTH(A2310),1)</f>
        <v>41821.0</v>
      </c>
      <c r="G2310" t="str">
        <f>CHOOSE(WEEKDAY(A2310,2),"Mon","Tue","Wed","Thu","Fri","Sat","Sun")</f>
        <v>Sun</v>
      </c>
      <c r="H2310" t="str">
        <f>IF(WEEKDAY(A2310,2)&gt;5,"Weekend","Weekday")</f>
        <v>Weekend</v>
      </c>
      <c r="I2310" t="str">
        <f>_xlfn.IFS(B2310&lt;=5,"Night (0-5)",B2310&lt;=9,"Morning peak (6-9)",B2310&lt;=15,"Midday (10-15)",B2310&lt;=19,"Evening peak (16-19)",TRUE,"Late evening (20-23)")</f>
        <v>Night (0-5)</v>
      </c>
    </row>
    <row r="2311" spans="1:9">
      <c r="A2311" s="32">
        <v>41826</v>
      </c>
      <c r="B2311">
        <v>5</v>
      </c>
      <c r="C2311">
        <v>150</v>
      </c>
      <c r="D2311" t="s">
        <v>303</v>
      </c>
      <c r="E2311">
        <f>YEAR(A2311)</f>
        <v>2014</v>
      </c>
      <c r="F2311" s="33">
        <f>DATE(YEAR(A2311),MONTH(A2311),1)</f>
        <v>41821.0</v>
      </c>
      <c r="G2311" t="str">
        <f>CHOOSE(WEEKDAY(A2311,2),"Mon","Tue","Wed","Thu","Fri","Sat","Sun")</f>
        <v>Sun</v>
      </c>
      <c r="H2311" t="str">
        <f>IF(WEEKDAY(A2311,2)&gt;5,"Weekend","Weekday")</f>
        <v>Weekend</v>
      </c>
      <c r="I2311" t="str">
        <f>_xlfn.IFS(B2311&lt;=5,"Night (0-5)",B2311&lt;=9,"Morning peak (6-9)",B2311&lt;=15,"Midday (10-15)",B2311&lt;=19,"Evening peak (16-19)",TRUE,"Late evening (20-23)")</f>
        <v>Night (0-5)</v>
      </c>
    </row>
    <row r="2312" spans="1:9">
      <c r="A2312" s="32">
        <v>41826</v>
      </c>
      <c r="B2312">
        <v>6</v>
      </c>
      <c r="C2312">
        <v>161</v>
      </c>
      <c r="D2312" t="s">
        <v>303</v>
      </c>
      <c r="E2312">
        <f>YEAR(A2312)</f>
        <v>2014</v>
      </c>
      <c r="F2312" s="33">
        <f>DATE(YEAR(A2312),MONTH(A2312),1)</f>
        <v>41821.0</v>
      </c>
      <c r="G2312" t="str">
        <f>CHOOSE(WEEKDAY(A2312,2),"Mon","Tue","Wed","Thu","Fri","Sat","Sun")</f>
        <v>Sun</v>
      </c>
      <c r="H2312" t="str">
        <f>IF(WEEKDAY(A2312,2)&gt;5,"Weekend","Weekday")</f>
        <v>Weekend</v>
      </c>
      <c r="I2312" t="str">
        <f>_xlfn.IFS(B2312&lt;=5,"Night (0-5)",B2312&lt;=9,"Morning peak (6-9)",B2312&lt;=15,"Midday (10-15)",B2312&lt;=19,"Evening peak (16-19)",TRUE,"Late evening (20-23)")</f>
        <v>Morning peak (6-9)</v>
      </c>
    </row>
    <row r="2313" spans="1:9">
      <c r="A2313" s="32">
        <v>41826</v>
      </c>
      <c r="B2313">
        <v>7</v>
      </c>
      <c r="C2313">
        <v>170</v>
      </c>
      <c r="D2313" t="s">
        <v>303</v>
      </c>
      <c r="E2313">
        <f>YEAR(A2313)</f>
        <v>2014</v>
      </c>
      <c r="F2313" s="33">
        <f>DATE(YEAR(A2313),MONTH(A2313),1)</f>
        <v>41821.0</v>
      </c>
      <c r="G2313" t="str">
        <f>CHOOSE(WEEKDAY(A2313,2),"Mon","Tue","Wed","Thu","Fri","Sat","Sun")</f>
        <v>Sun</v>
      </c>
      <c r="H2313" t="str">
        <f>IF(WEEKDAY(A2313,2)&gt;5,"Weekend","Weekday")</f>
        <v>Weekend</v>
      </c>
      <c r="I2313" t="str">
        <f>_xlfn.IFS(B2313&lt;=5,"Night (0-5)",B2313&lt;=9,"Morning peak (6-9)",B2313&lt;=15,"Midday (10-15)",B2313&lt;=19,"Evening peak (16-19)",TRUE,"Late evening (20-23)")</f>
        <v>Morning peak (6-9)</v>
      </c>
    </row>
    <row r="2314" spans="1:9">
      <c r="A2314" s="32">
        <v>41826</v>
      </c>
      <c r="B2314">
        <v>8</v>
      </c>
      <c r="C2314">
        <v>249</v>
      </c>
      <c r="D2314" t="s">
        <v>303</v>
      </c>
      <c r="E2314">
        <f>YEAR(A2314)</f>
        <v>2014</v>
      </c>
      <c r="F2314" s="33">
        <f>DATE(YEAR(A2314),MONTH(A2314),1)</f>
        <v>41821.0</v>
      </c>
      <c r="G2314" t="str">
        <f>CHOOSE(WEEKDAY(A2314,2),"Mon","Tue","Wed","Thu","Fri","Sat","Sun")</f>
        <v>Sun</v>
      </c>
      <c r="H2314" t="str">
        <f>IF(WEEKDAY(A2314,2)&gt;5,"Weekend","Weekday")</f>
        <v>Weekend</v>
      </c>
      <c r="I2314" t="str">
        <f>_xlfn.IFS(B2314&lt;=5,"Night (0-5)",B2314&lt;=9,"Morning peak (6-9)",B2314&lt;=15,"Midday (10-15)",B2314&lt;=19,"Evening peak (16-19)",TRUE,"Late evening (20-23)")</f>
        <v>Morning peak (6-9)</v>
      </c>
    </row>
    <row r="2315" spans="1:9">
      <c r="A2315" s="32">
        <v>41826</v>
      </c>
      <c r="B2315">
        <v>9</v>
      </c>
      <c r="C2315">
        <v>361</v>
      </c>
      <c r="D2315" t="s">
        <v>303</v>
      </c>
      <c r="E2315">
        <f>YEAR(A2315)</f>
        <v>2014</v>
      </c>
      <c r="F2315" s="33">
        <f>DATE(YEAR(A2315),MONTH(A2315),1)</f>
        <v>41821.0</v>
      </c>
      <c r="G2315" t="str">
        <f>CHOOSE(WEEKDAY(A2315,2),"Mon","Tue","Wed","Thu","Fri","Sat","Sun")</f>
        <v>Sun</v>
      </c>
      <c r="H2315" t="str">
        <f>IF(WEEKDAY(A2315,2)&gt;5,"Weekend","Weekday")</f>
        <v>Weekend</v>
      </c>
      <c r="I2315" t="str">
        <f>_xlfn.IFS(B2315&lt;=5,"Night (0-5)",B2315&lt;=9,"Morning peak (6-9)",B2315&lt;=15,"Midday (10-15)",B2315&lt;=19,"Evening peak (16-19)",TRUE,"Late evening (20-23)")</f>
        <v>Morning peak (6-9)</v>
      </c>
    </row>
    <row r="2316" spans="1:9">
      <c r="A2316" s="32">
        <v>41826</v>
      </c>
      <c r="B2316">
        <v>10</v>
      </c>
      <c r="C2316">
        <v>479</v>
      </c>
      <c r="D2316" t="s">
        <v>303</v>
      </c>
      <c r="E2316">
        <f>YEAR(A2316)</f>
        <v>2014</v>
      </c>
      <c r="F2316" s="33">
        <f>DATE(YEAR(A2316),MONTH(A2316),1)</f>
        <v>41821.0</v>
      </c>
      <c r="G2316" t="str">
        <f>CHOOSE(WEEKDAY(A2316,2),"Mon","Tue","Wed","Thu","Fri","Sat","Sun")</f>
        <v>Sun</v>
      </c>
      <c r="H2316" t="str">
        <f>IF(WEEKDAY(A2316,2)&gt;5,"Weekend","Weekday")</f>
        <v>Weekend</v>
      </c>
      <c r="I2316" t="str">
        <f>_xlfn.IFS(B2316&lt;=5,"Night (0-5)",B2316&lt;=9,"Morning peak (6-9)",B2316&lt;=15,"Midday (10-15)",B2316&lt;=19,"Evening peak (16-19)",TRUE,"Late evening (20-23)")</f>
        <v>Midday (10-15)</v>
      </c>
    </row>
    <row r="2317" spans="1:9">
      <c r="A2317" s="32">
        <v>41826</v>
      </c>
      <c r="B2317">
        <v>11</v>
      </c>
      <c r="C2317">
        <v>536</v>
      </c>
      <c r="D2317" t="s">
        <v>303</v>
      </c>
      <c r="E2317">
        <f>YEAR(A2317)</f>
        <v>2014</v>
      </c>
      <c r="F2317" s="33">
        <f>DATE(YEAR(A2317),MONTH(A2317),1)</f>
        <v>41821.0</v>
      </c>
      <c r="G2317" t="str">
        <f>CHOOSE(WEEKDAY(A2317,2),"Mon","Tue","Wed","Thu","Fri","Sat","Sun")</f>
        <v>Sun</v>
      </c>
      <c r="H2317" t="str">
        <f>IF(WEEKDAY(A2317,2)&gt;5,"Weekend","Weekday")</f>
        <v>Weekend</v>
      </c>
      <c r="I2317" t="str">
        <f>_xlfn.IFS(B2317&lt;=5,"Night (0-5)",B2317&lt;=9,"Morning peak (6-9)",B2317&lt;=15,"Midday (10-15)",B2317&lt;=19,"Evening peak (16-19)",TRUE,"Late evening (20-23)")</f>
        <v>Midday (10-15)</v>
      </c>
    </row>
    <row r="2318" spans="1:9">
      <c r="A2318" s="32">
        <v>41826</v>
      </c>
      <c r="B2318">
        <v>12</v>
      </c>
      <c r="C2318">
        <v>537</v>
      </c>
      <c r="D2318" t="s">
        <v>303</v>
      </c>
      <c r="E2318">
        <f>YEAR(A2318)</f>
        <v>2014</v>
      </c>
      <c r="F2318" s="33">
        <f>DATE(YEAR(A2318),MONTH(A2318),1)</f>
        <v>41821.0</v>
      </c>
      <c r="G2318" t="str">
        <f>CHOOSE(WEEKDAY(A2318,2),"Mon","Tue","Wed","Thu","Fri","Sat","Sun")</f>
        <v>Sun</v>
      </c>
      <c r="H2318" t="str">
        <f>IF(WEEKDAY(A2318,2)&gt;5,"Weekend","Weekday")</f>
        <v>Weekend</v>
      </c>
      <c r="I2318" t="str">
        <f>_xlfn.IFS(B2318&lt;=5,"Night (0-5)",B2318&lt;=9,"Morning peak (6-9)",B2318&lt;=15,"Midday (10-15)",B2318&lt;=19,"Evening peak (16-19)",TRUE,"Late evening (20-23)")</f>
        <v>Midday (10-15)</v>
      </c>
    </row>
    <row r="2319" spans="1:9">
      <c r="A2319" s="32">
        <v>41826</v>
      </c>
      <c r="B2319">
        <v>13</v>
      </c>
      <c r="C2319">
        <v>758</v>
      </c>
      <c r="D2319" t="s">
        <v>303</v>
      </c>
      <c r="E2319">
        <f>YEAR(A2319)</f>
        <v>2014</v>
      </c>
      <c r="F2319" s="33">
        <f>DATE(YEAR(A2319),MONTH(A2319),1)</f>
        <v>41821.0</v>
      </c>
      <c r="G2319" t="str">
        <f>CHOOSE(WEEKDAY(A2319,2),"Mon","Tue","Wed","Thu","Fri","Sat","Sun")</f>
        <v>Sun</v>
      </c>
      <c r="H2319" t="str">
        <f>IF(WEEKDAY(A2319,2)&gt;5,"Weekend","Weekday")</f>
        <v>Weekend</v>
      </c>
      <c r="I2319" t="str">
        <f>_xlfn.IFS(B2319&lt;=5,"Night (0-5)",B2319&lt;=9,"Morning peak (6-9)",B2319&lt;=15,"Midday (10-15)",B2319&lt;=19,"Evening peak (16-19)",TRUE,"Late evening (20-23)")</f>
        <v>Midday (10-15)</v>
      </c>
    </row>
    <row r="2320" spans="1:9">
      <c r="A2320" s="32">
        <v>41826</v>
      </c>
      <c r="B2320">
        <v>14</v>
      </c>
      <c r="C2320">
        <v>712</v>
      </c>
      <c r="D2320" t="s">
        <v>303</v>
      </c>
      <c r="E2320">
        <f>YEAR(A2320)</f>
        <v>2014</v>
      </c>
      <c r="F2320" s="33">
        <f>DATE(YEAR(A2320),MONTH(A2320),1)</f>
        <v>41821.0</v>
      </c>
      <c r="G2320" t="str">
        <f>CHOOSE(WEEKDAY(A2320,2),"Mon","Tue","Wed","Thu","Fri","Sat","Sun")</f>
        <v>Sun</v>
      </c>
      <c r="H2320" t="str">
        <f>IF(WEEKDAY(A2320,2)&gt;5,"Weekend","Weekday")</f>
        <v>Weekend</v>
      </c>
      <c r="I2320" t="str">
        <f>_xlfn.IFS(B2320&lt;=5,"Night (0-5)",B2320&lt;=9,"Morning peak (6-9)",B2320&lt;=15,"Midday (10-15)",B2320&lt;=19,"Evening peak (16-19)",TRUE,"Late evening (20-23)")</f>
        <v>Midday (10-15)</v>
      </c>
    </row>
    <row r="2321" spans="1:9">
      <c r="A2321" s="32">
        <v>41826</v>
      </c>
      <c r="B2321">
        <v>15</v>
      </c>
      <c r="C2321">
        <v>777</v>
      </c>
      <c r="D2321" t="s">
        <v>303</v>
      </c>
      <c r="E2321">
        <f>YEAR(A2321)</f>
        <v>2014</v>
      </c>
      <c r="F2321" s="33">
        <f>DATE(YEAR(A2321),MONTH(A2321),1)</f>
        <v>41821.0</v>
      </c>
      <c r="G2321" t="str">
        <f>CHOOSE(WEEKDAY(A2321,2),"Mon","Tue","Wed","Thu","Fri","Sat","Sun")</f>
        <v>Sun</v>
      </c>
      <c r="H2321" t="str">
        <f>IF(WEEKDAY(A2321,2)&gt;5,"Weekend","Weekday")</f>
        <v>Weekend</v>
      </c>
      <c r="I2321" t="str">
        <f>_xlfn.IFS(B2321&lt;=5,"Night (0-5)",B2321&lt;=9,"Morning peak (6-9)",B2321&lt;=15,"Midday (10-15)",B2321&lt;=19,"Evening peak (16-19)",TRUE,"Late evening (20-23)")</f>
        <v>Midday (10-15)</v>
      </c>
    </row>
    <row r="2322" spans="1:9">
      <c r="A2322" s="32">
        <v>41826</v>
      </c>
      <c r="B2322">
        <v>16</v>
      </c>
      <c r="C2322">
        <v>755</v>
      </c>
      <c r="D2322" t="s">
        <v>303</v>
      </c>
      <c r="E2322">
        <f>YEAR(A2322)</f>
        <v>2014</v>
      </c>
      <c r="F2322" s="33">
        <f>DATE(YEAR(A2322),MONTH(A2322),1)</f>
        <v>41821.0</v>
      </c>
      <c r="G2322" t="str">
        <f>CHOOSE(WEEKDAY(A2322,2),"Mon","Tue","Wed","Thu","Fri","Sat","Sun")</f>
        <v>Sun</v>
      </c>
      <c r="H2322" t="str">
        <f>IF(WEEKDAY(A2322,2)&gt;5,"Weekend","Weekday")</f>
        <v>Weekend</v>
      </c>
      <c r="I2322" t="str">
        <f>_xlfn.IFS(B2322&lt;=5,"Night (0-5)",B2322&lt;=9,"Morning peak (6-9)",B2322&lt;=15,"Midday (10-15)",B2322&lt;=19,"Evening peak (16-19)",TRUE,"Late evening (20-23)")</f>
        <v>Evening peak (16-19)</v>
      </c>
    </row>
    <row r="2323" spans="1:9">
      <c r="A2323" s="32">
        <v>41826</v>
      </c>
      <c r="B2323">
        <v>17</v>
      </c>
      <c r="C2323">
        <v>673</v>
      </c>
      <c r="D2323" t="s">
        <v>303</v>
      </c>
      <c r="E2323">
        <f>YEAR(A2323)</f>
        <v>2014</v>
      </c>
      <c r="F2323" s="33">
        <f>DATE(YEAR(A2323),MONTH(A2323),1)</f>
        <v>41821.0</v>
      </c>
      <c r="G2323" t="str">
        <f>CHOOSE(WEEKDAY(A2323,2),"Mon","Tue","Wed","Thu","Fri","Sat","Sun")</f>
        <v>Sun</v>
      </c>
      <c r="H2323" t="str">
        <f>IF(WEEKDAY(A2323,2)&gt;5,"Weekend","Weekday")</f>
        <v>Weekend</v>
      </c>
      <c r="I2323" t="str">
        <f>_xlfn.IFS(B2323&lt;=5,"Night (0-5)",B2323&lt;=9,"Morning peak (6-9)",B2323&lt;=15,"Midday (10-15)",B2323&lt;=19,"Evening peak (16-19)",TRUE,"Late evening (20-23)")</f>
        <v>Evening peak (16-19)</v>
      </c>
    </row>
    <row r="2324" spans="1:9">
      <c r="A2324" s="32">
        <v>41826</v>
      </c>
      <c r="B2324">
        <v>18</v>
      </c>
      <c r="C2324">
        <v>743</v>
      </c>
      <c r="D2324" t="s">
        <v>303</v>
      </c>
      <c r="E2324">
        <f>YEAR(A2324)</f>
        <v>2014</v>
      </c>
      <c r="F2324" s="33">
        <f>DATE(YEAR(A2324),MONTH(A2324),1)</f>
        <v>41821.0</v>
      </c>
      <c r="G2324" t="str">
        <f>CHOOSE(WEEKDAY(A2324,2),"Mon","Tue","Wed","Thu","Fri","Sat","Sun")</f>
        <v>Sun</v>
      </c>
      <c r="H2324" t="str">
        <f>IF(WEEKDAY(A2324,2)&gt;5,"Weekend","Weekday")</f>
        <v>Weekend</v>
      </c>
      <c r="I2324" t="str">
        <f>_xlfn.IFS(B2324&lt;=5,"Night (0-5)",B2324&lt;=9,"Morning peak (6-9)",B2324&lt;=15,"Midday (10-15)",B2324&lt;=19,"Evening peak (16-19)",TRUE,"Late evening (20-23)")</f>
        <v>Evening peak (16-19)</v>
      </c>
    </row>
    <row r="2325" spans="1:9">
      <c r="A2325" s="32">
        <v>41826</v>
      </c>
      <c r="B2325">
        <v>19</v>
      </c>
      <c r="C2325">
        <v>680</v>
      </c>
      <c r="D2325" t="s">
        <v>303</v>
      </c>
      <c r="E2325">
        <f>YEAR(A2325)</f>
        <v>2014</v>
      </c>
      <c r="F2325" s="33">
        <f>DATE(YEAR(A2325),MONTH(A2325),1)</f>
        <v>41821.0</v>
      </c>
      <c r="G2325" t="str">
        <f>CHOOSE(WEEKDAY(A2325,2),"Mon","Tue","Wed","Thu","Fri","Sat","Sun")</f>
        <v>Sun</v>
      </c>
      <c r="H2325" t="str">
        <f>IF(WEEKDAY(A2325,2)&gt;5,"Weekend","Weekday")</f>
        <v>Weekend</v>
      </c>
      <c r="I2325" t="str">
        <f>_xlfn.IFS(B2325&lt;=5,"Night (0-5)",B2325&lt;=9,"Morning peak (6-9)",B2325&lt;=15,"Midday (10-15)",B2325&lt;=19,"Evening peak (16-19)",TRUE,"Late evening (20-23)")</f>
        <v>Evening peak (16-19)</v>
      </c>
    </row>
    <row r="2326" spans="1:9">
      <c r="A2326" s="32">
        <v>41826</v>
      </c>
      <c r="B2326">
        <v>20</v>
      </c>
      <c r="C2326">
        <v>762</v>
      </c>
      <c r="D2326" t="s">
        <v>303</v>
      </c>
      <c r="E2326">
        <f>YEAR(A2326)</f>
        <v>2014</v>
      </c>
      <c r="F2326" s="33">
        <f>DATE(YEAR(A2326),MONTH(A2326),1)</f>
        <v>41821.0</v>
      </c>
      <c r="G2326" t="str">
        <f>CHOOSE(WEEKDAY(A2326,2),"Mon","Tue","Wed","Thu","Fri","Sat","Sun")</f>
        <v>Sun</v>
      </c>
      <c r="H2326" t="str">
        <f>IF(WEEKDAY(A2326,2)&gt;5,"Weekend","Weekday")</f>
        <v>Weekend</v>
      </c>
      <c r="I2326" t="str">
        <f>_xlfn.IFS(B2326&lt;=5,"Night (0-5)",B2326&lt;=9,"Morning peak (6-9)",B2326&lt;=15,"Midday (10-15)",B2326&lt;=19,"Evening peak (16-19)",TRUE,"Late evening (20-23)")</f>
        <v>Late evening (20-23)</v>
      </c>
    </row>
    <row r="2327" spans="1:9">
      <c r="A2327" s="32">
        <v>41826</v>
      </c>
      <c r="B2327">
        <v>21</v>
      </c>
      <c r="C2327">
        <v>743</v>
      </c>
      <c r="D2327" t="s">
        <v>303</v>
      </c>
      <c r="E2327">
        <f>YEAR(A2327)</f>
        <v>2014</v>
      </c>
      <c r="F2327" s="33">
        <f>DATE(YEAR(A2327),MONTH(A2327),1)</f>
        <v>41821.0</v>
      </c>
      <c r="G2327" t="str">
        <f>CHOOSE(WEEKDAY(A2327,2),"Mon","Tue","Wed","Thu","Fri","Sat","Sun")</f>
        <v>Sun</v>
      </c>
      <c r="H2327" t="str">
        <f>IF(WEEKDAY(A2327,2)&gt;5,"Weekend","Weekday")</f>
        <v>Weekend</v>
      </c>
      <c r="I2327" t="str">
        <f>_xlfn.IFS(B2327&lt;=5,"Night (0-5)",B2327&lt;=9,"Morning peak (6-9)",B2327&lt;=15,"Midday (10-15)",B2327&lt;=19,"Evening peak (16-19)",TRUE,"Late evening (20-23)")</f>
        <v>Late evening (20-23)</v>
      </c>
    </row>
    <row r="2328" spans="1:9">
      <c r="A2328" s="32">
        <v>41826</v>
      </c>
      <c r="B2328">
        <v>22</v>
      </c>
      <c r="C2328">
        <v>589</v>
      </c>
      <c r="D2328" t="s">
        <v>303</v>
      </c>
      <c r="E2328">
        <f>YEAR(A2328)</f>
        <v>2014</v>
      </c>
      <c r="F2328" s="33">
        <f>DATE(YEAR(A2328),MONTH(A2328),1)</f>
        <v>41821.0</v>
      </c>
      <c r="G2328" t="str">
        <f>CHOOSE(WEEKDAY(A2328,2),"Mon","Tue","Wed","Thu","Fri","Sat","Sun")</f>
        <v>Sun</v>
      </c>
      <c r="H2328" t="str">
        <f>IF(WEEKDAY(A2328,2)&gt;5,"Weekend","Weekday")</f>
        <v>Weekend</v>
      </c>
      <c r="I2328" t="str">
        <f>_xlfn.IFS(B2328&lt;=5,"Night (0-5)",B2328&lt;=9,"Morning peak (6-9)",B2328&lt;=15,"Midday (10-15)",B2328&lt;=19,"Evening peak (16-19)",TRUE,"Late evening (20-23)")</f>
        <v>Late evening (20-23)</v>
      </c>
    </row>
    <row r="2329" spans="1:9">
      <c r="A2329" s="32">
        <v>41826</v>
      </c>
      <c r="B2329">
        <v>23</v>
      </c>
      <c r="C2329">
        <v>313</v>
      </c>
      <c r="D2329" t="s">
        <v>303</v>
      </c>
      <c r="E2329">
        <f>YEAR(A2329)</f>
        <v>2014</v>
      </c>
      <c r="F2329" s="33">
        <f>DATE(YEAR(A2329),MONTH(A2329),1)</f>
        <v>41821.0</v>
      </c>
      <c r="G2329" t="str">
        <f>CHOOSE(WEEKDAY(A2329,2),"Mon","Tue","Wed","Thu","Fri","Sat","Sun")</f>
        <v>Sun</v>
      </c>
      <c r="H2329" t="str">
        <f>IF(WEEKDAY(A2329,2)&gt;5,"Weekend","Weekday")</f>
        <v>Weekend</v>
      </c>
      <c r="I2329" t="str">
        <f>_xlfn.IFS(B2329&lt;=5,"Night (0-5)",B2329&lt;=9,"Morning peak (6-9)",B2329&lt;=15,"Midday (10-15)",B2329&lt;=19,"Evening peak (16-19)",TRUE,"Late evening (20-23)")</f>
        <v>Late evening (20-23)</v>
      </c>
    </row>
    <row r="2330" spans="1:9">
      <c r="A2330" s="32">
        <v>41827</v>
      </c>
      <c r="B2330">
        <v>0</v>
      </c>
      <c r="C2330">
        <v>166</v>
      </c>
      <c r="D2330" t="s">
        <v>303</v>
      </c>
      <c r="E2330">
        <f>YEAR(A2330)</f>
        <v>2014</v>
      </c>
      <c r="F2330" s="33">
        <f>DATE(YEAR(A2330),MONTH(A2330),1)</f>
        <v>41821.0</v>
      </c>
      <c r="G2330" t="str">
        <f>CHOOSE(WEEKDAY(A2330,2),"Mon","Tue","Wed","Thu","Fri","Sat","Sun")</f>
        <v>Mon</v>
      </c>
      <c r="H2330" t="str">
        <f>IF(WEEKDAY(A2330,2)&gt;5,"Weekend","Weekday")</f>
        <v>Weekday</v>
      </c>
      <c r="I2330" t="str">
        <f>_xlfn.IFS(B2330&lt;=5,"Night (0-5)",B2330&lt;=9,"Morning peak (6-9)",B2330&lt;=15,"Midday (10-15)",B2330&lt;=19,"Evening peak (16-19)",TRUE,"Late evening (20-23)")</f>
        <v>Night (0-5)</v>
      </c>
    </row>
    <row r="2331" spans="1:9">
      <c r="A2331" s="32">
        <v>41827</v>
      </c>
      <c r="B2331">
        <v>1</v>
      </c>
      <c r="C2331">
        <v>97</v>
      </c>
      <c r="D2331" t="s">
        <v>303</v>
      </c>
      <c r="E2331">
        <f>YEAR(A2331)</f>
        <v>2014</v>
      </c>
      <c r="F2331" s="33">
        <f>DATE(YEAR(A2331),MONTH(A2331),1)</f>
        <v>41821.0</v>
      </c>
      <c r="G2331" t="str">
        <f>CHOOSE(WEEKDAY(A2331,2),"Mon","Tue","Wed","Thu","Fri","Sat","Sun")</f>
        <v>Mon</v>
      </c>
      <c r="H2331" t="str">
        <f>IF(WEEKDAY(A2331,2)&gt;5,"Weekend","Weekday")</f>
        <v>Weekday</v>
      </c>
      <c r="I2331" t="str">
        <f>_xlfn.IFS(B2331&lt;=5,"Night (0-5)",B2331&lt;=9,"Morning peak (6-9)",B2331&lt;=15,"Midday (10-15)",B2331&lt;=19,"Evening peak (16-19)",TRUE,"Late evening (20-23)")</f>
        <v>Night (0-5)</v>
      </c>
    </row>
    <row r="2332" spans="1:9">
      <c r="A2332" s="32">
        <v>41827</v>
      </c>
      <c r="B2332">
        <v>2</v>
      </c>
      <c r="C2332">
        <v>64</v>
      </c>
      <c r="D2332" t="s">
        <v>303</v>
      </c>
      <c r="E2332">
        <f>YEAR(A2332)</f>
        <v>2014</v>
      </c>
      <c r="F2332" s="33">
        <f>DATE(YEAR(A2332),MONTH(A2332),1)</f>
        <v>41821.0</v>
      </c>
      <c r="G2332" t="str">
        <f>CHOOSE(WEEKDAY(A2332,2),"Mon","Tue","Wed","Thu","Fri","Sat","Sun")</f>
        <v>Mon</v>
      </c>
      <c r="H2332" t="str">
        <f>IF(WEEKDAY(A2332,2)&gt;5,"Weekend","Weekday")</f>
        <v>Weekday</v>
      </c>
      <c r="I2332" t="str">
        <f>_xlfn.IFS(B2332&lt;=5,"Night (0-5)",B2332&lt;=9,"Morning peak (6-9)",B2332&lt;=15,"Midday (10-15)",B2332&lt;=19,"Evening peak (16-19)",TRUE,"Late evening (20-23)")</f>
        <v>Night (0-5)</v>
      </c>
    </row>
    <row r="2333" spans="1:9">
      <c r="A2333" s="32">
        <v>41827</v>
      </c>
      <c r="B2333">
        <v>3</v>
      </c>
      <c r="C2333">
        <v>197</v>
      </c>
      <c r="D2333" t="s">
        <v>303</v>
      </c>
      <c r="E2333">
        <f>YEAR(A2333)</f>
        <v>2014</v>
      </c>
      <c r="F2333" s="33">
        <f>DATE(YEAR(A2333),MONTH(A2333),1)</f>
        <v>41821.0</v>
      </c>
      <c r="G2333" t="str">
        <f>CHOOSE(WEEKDAY(A2333,2),"Mon","Tue","Wed","Thu","Fri","Sat","Sun")</f>
        <v>Mon</v>
      </c>
      <c r="H2333" t="str">
        <f>IF(WEEKDAY(A2333,2)&gt;5,"Weekend","Weekday")</f>
        <v>Weekday</v>
      </c>
      <c r="I2333" t="str">
        <f>_xlfn.IFS(B2333&lt;=5,"Night (0-5)",B2333&lt;=9,"Morning peak (6-9)",B2333&lt;=15,"Midday (10-15)",B2333&lt;=19,"Evening peak (16-19)",TRUE,"Late evening (20-23)")</f>
        <v>Night (0-5)</v>
      </c>
    </row>
    <row r="2334" spans="1:9">
      <c r="A2334" s="32">
        <v>41827</v>
      </c>
      <c r="B2334">
        <v>4</v>
      </c>
      <c r="C2334">
        <v>357</v>
      </c>
      <c r="D2334" t="s">
        <v>303</v>
      </c>
      <c r="E2334">
        <f>YEAR(A2334)</f>
        <v>2014</v>
      </c>
      <c r="F2334" s="33">
        <f>DATE(YEAR(A2334),MONTH(A2334),1)</f>
        <v>41821.0</v>
      </c>
      <c r="G2334" t="str">
        <f>CHOOSE(WEEKDAY(A2334,2),"Mon","Tue","Wed","Thu","Fri","Sat","Sun")</f>
        <v>Mon</v>
      </c>
      <c r="H2334" t="str">
        <f>IF(WEEKDAY(A2334,2)&gt;5,"Weekend","Weekday")</f>
        <v>Weekday</v>
      </c>
      <c r="I2334" t="str">
        <f>_xlfn.IFS(B2334&lt;=5,"Night (0-5)",B2334&lt;=9,"Morning peak (6-9)",B2334&lt;=15,"Midday (10-15)",B2334&lt;=19,"Evening peak (16-19)",TRUE,"Late evening (20-23)")</f>
        <v>Night (0-5)</v>
      </c>
    </row>
    <row r="2335" spans="1:9">
      <c r="A2335" s="32">
        <v>41827</v>
      </c>
      <c r="B2335">
        <v>5</v>
      </c>
      <c r="C2335">
        <v>507</v>
      </c>
      <c r="D2335" t="s">
        <v>303</v>
      </c>
      <c r="E2335">
        <f>YEAR(A2335)</f>
        <v>2014</v>
      </c>
      <c r="F2335" s="33">
        <f>DATE(YEAR(A2335),MONTH(A2335),1)</f>
        <v>41821.0</v>
      </c>
      <c r="G2335" t="str">
        <f>CHOOSE(WEEKDAY(A2335,2),"Mon","Tue","Wed","Thu","Fri","Sat","Sun")</f>
        <v>Mon</v>
      </c>
      <c r="H2335" t="str">
        <f>IF(WEEKDAY(A2335,2)&gt;5,"Weekend","Weekday")</f>
        <v>Weekday</v>
      </c>
      <c r="I2335" t="str">
        <f>_xlfn.IFS(B2335&lt;=5,"Night (0-5)",B2335&lt;=9,"Morning peak (6-9)",B2335&lt;=15,"Midday (10-15)",B2335&lt;=19,"Evening peak (16-19)",TRUE,"Late evening (20-23)")</f>
        <v>Night (0-5)</v>
      </c>
    </row>
    <row r="2336" spans="1:9">
      <c r="A2336" s="32">
        <v>41827</v>
      </c>
      <c r="B2336">
        <v>6</v>
      </c>
      <c r="C2336">
        <v>710</v>
      </c>
      <c r="D2336" t="s">
        <v>303</v>
      </c>
      <c r="E2336">
        <f>YEAR(A2336)</f>
        <v>2014</v>
      </c>
      <c r="F2336" s="33">
        <f>DATE(YEAR(A2336),MONTH(A2336),1)</f>
        <v>41821.0</v>
      </c>
      <c r="G2336" t="str">
        <f>CHOOSE(WEEKDAY(A2336,2),"Mon","Tue","Wed","Thu","Fri","Sat","Sun")</f>
        <v>Mon</v>
      </c>
      <c r="H2336" t="str">
        <f>IF(WEEKDAY(A2336,2)&gt;5,"Weekend","Weekday")</f>
        <v>Weekday</v>
      </c>
      <c r="I2336" t="str">
        <f>_xlfn.IFS(B2336&lt;=5,"Night (0-5)",B2336&lt;=9,"Morning peak (6-9)",B2336&lt;=15,"Midday (10-15)",B2336&lt;=19,"Evening peak (16-19)",TRUE,"Late evening (20-23)")</f>
        <v>Morning peak (6-9)</v>
      </c>
    </row>
    <row r="2337" spans="1:9">
      <c r="A2337" s="32">
        <v>41827</v>
      </c>
      <c r="B2337">
        <v>7</v>
      </c>
      <c r="C2337">
        <v>1097</v>
      </c>
      <c r="D2337" t="s">
        <v>303</v>
      </c>
      <c r="E2337">
        <f>YEAR(A2337)</f>
        <v>2014</v>
      </c>
      <c r="F2337" s="33">
        <f>DATE(YEAR(A2337),MONTH(A2337),1)</f>
        <v>41821.0</v>
      </c>
      <c r="G2337" t="str">
        <f>CHOOSE(WEEKDAY(A2337,2),"Mon","Tue","Wed","Thu","Fri","Sat","Sun")</f>
        <v>Mon</v>
      </c>
      <c r="H2337" t="str">
        <f>IF(WEEKDAY(A2337,2)&gt;5,"Weekend","Weekday")</f>
        <v>Weekday</v>
      </c>
      <c r="I2337" t="str">
        <f>_xlfn.IFS(B2337&lt;=5,"Night (0-5)",B2337&lt;=9,"Morning peak (6-9)",B2337&lt;=15,"Midday (10-15)",B2337&lt;=19,"Evening peak (16-19)",TRUE,"Late evening (20-23)")</f>
        <v>Morning peak (6-9)</v>
      </c>
    </row>
    <row r="2338" spans="1:9">
      <c r="A2338" s="32">
        <v>41827</v>
      </c>
      <c r="B2338">
        <v>8</v>
      </c>
      <c r="C2338">
        <v>883</v>
      </c>
      <c r="D2338" t="s">
        <v>303</v>
      </c>
      <c r="E2338">
        <f>YEAR(A2338)</f>
        <v>2014</v>
      </c>
      <c r="F2338" s="33">
        <f>DATE(YEAR(A2338),MONTH(A2338),1)</f>
        <v>41821.0</v>
      </c>
      <c r="G2338" t="str">
        <f>CHOOSE(WEEKDAY(A2338,2),"Mon","Tue","Wed","Thu","Fri","Sat","Sun")</f>
        <v>Mon</v>
      </c>
      <c r="H2338" t="str">
        <f>IF(WEEKDAY(A2338,2)&gt;5,"Weekend","Weekday")</f>
        <v>Weekday</v>
      </c>
      <c r="I2338" t="str">
        <f>_xlfn.IFS(B2338&lt;=5,"Night (0-5)",B2338&lt;=9,"Morning peak (6-9)",B2338&lt;=15,"Midday (10-15)",B2338&lt;=19,"Evening peak (16-19)",TRUE,"Late evening (20-23)")</f>
        <v>Morning peak (6-9)</v>
      </c>
    </row>
    <row r="2339" spans="1:9">
      <c r="A2339" s="32">
        <v>41827</v>
      </c>
      <c r="B2339">
        <v>9</v>
      </c>
      <c r="C2339">
        <v>612</v>
      </c>
      <c r="D2339" t="s">
        <v>303</v>
      </c>
      <c r="E2339">
        <f>YEAR(A2339)</f>
        <v>2014</v>
      </c>
      <c r="F2339" s="33">
        <f>DATE(YEAR(A2339),MONTH(A2339),1)</f>
        <v>41821.0</v>
      </c>
      <c r="G2339" t="str">
        <f>CHOOSE(WEEKDAY(A2339,2),"Mon","Tue","Wed","Thu","Fri","Sat","Sun")</f>
        <v>Mon</v>
      </c>
      <c r="H2339" t="str">
        <f>IF(WEEKDAY(A2339,2)&gt;5,"Weekend","Weekday")</f>
        <v>Weekday</v>
      </c>
      <c r="I2339" t="str">
        <f>_xlfn.IFS(B2339&lt;=5,"Night (0-5)",B2339&lt;=9,"Morning peak (6-9)",B2339&lt;=15,"Midday (10-15)",B2339&lt;=19,"Evening peak (16-19)",TRUE,"Late evening (20-23)")</f>
        <v>Morning peak (6-9)</v>
      </c>
    </row>
    <row r="2340" spans="1:9">
      <c r="A2340" s="32">
        <v>41827</v>
      </c>
      <c r="B2340">
        <v>10</v>
      </c>
      <c r="C2340">
        <v>618</v>
      </c>
      <c r="D2340" t="s">
        <v>303</v>
      </c>
      <c r="E2340">
        <f>YEAR(A2340)</f>
        <v>2014</v>
      </c>
      <c r="F2340" s="33">
        <f>DATE(YEAR(A2340),MONTH(A2340),1)</f>
        <v>41821.0</v>
      </c>
      <c r="G2340" t="str">
        <f>CHOOSE(WEEKDAY(A2340,2),"Mon","Tue","Wed","Thu","Fri","Sat","Sun")</f>
        <v>Mon</v>
      </c>
      <c r="H2340" t="str">
        <f>IF(WEEKDAY(A2340,2)&gt;5,"Weekend","Weekday")</f>
        <v>Weekday</v>
      </c>
      <c r="I2340" t="str">
        <f>_xlfn.IFS(B2340&lt;=5,"Night (0-5)",B2340&lt;=9,"Morning peak (6-9)",B2340&lt;=15,"Midday (10-15)",B2340&lt;=19,"Evening peak (16-19)",TRUE,"Late evening (20-23)")</f>
        <v>Midday (10-15)</v>
      </c>
    </row>
    <row r="2341" spans="1:9">
      <c r="A2341" s="32">
        <v>41827</v>
      </c>
      <c r="B2341">
        <v>11</v>
      </c>
      <c r="C2341">
        <v>647</v>
      </c>
      <c r="D2341" t="s">
        <v>303</v>
      </c>
      <c r="E2341">
        <f>YEAR(A2341)</f>
        <v>2014</v>
      </c>
      <c r="F2341" s="33">
        <f>DATE(YEAR(A2341),MONTH(A2341),1)</f>
        <v>41821.0</v>
      </c>
      <c r="G2341" t="str">
        <f>CHOOSE(WEEKDAY(A2341,2),"Mon","Tue","Wed","Thu","Fri","Sat","Sun")</f>
        <v>Mon</v>
      </c>
      <c r="H2341" t="str">
        <f>IF(WEEKDAY(A2341,2)&gt;5,"Weekend","Weekday")</f>
        <v>Weekday</v>
      </c>
      <c r="I2341" t="str">
        <f>_xlfn.IFS(B2341&lt;=5,"Night (0-5)",B2341&lt;=9,"Morning peak (6-9)",B2341&lt;=15,"Midday (10-15)",B2341&lt;=19,"Evening peak (16-19)",TRUE,"Late evening (20-23)")</f>
        <v>Midday (10-15)</v>
      </c>
    </row>
    <row r="2342" spans="1:9">
      <c r="A2342" s="32">
        <v>41827</v>
      </c>
      <c r="B2342">
        <v>12</v>
      </c>
      <c r="C2342">
        <v>709</v>
      </c>
      <c r="D2342" t="s">
        <v>303</v>
      </c>
      <c r="E2342">
        <f>YEAR(A2342)</f>
        <v>2014</v>
      </c>
      <c r="F2342" s="33">
        <f>DATE(YEAR(A2342),MONTH(A2342),1)</f>
        <v>41821.0</v>
      </c>
      <c r="G2342" t="str">
        <f>CHOOSE(WEEKDAY(A2342,2),"Mon","Tue","Wed","Thu","Fri","Sat","Sun")</f>
        <v>Mon</v>
      </c>
      <c r="H2342" t="str">
        <f>IF(WEEKDAY(A2342,2)&gt;5,"Weekend","Weekday")</f>
        <v>Weekday</v>
      </c>
      <c r="I2342" t="str">
        <f>_xlfn.IFS(B2342&lt;=5,"Night (0-5)",B2342&lt;=9,"Morning peak (6-9)",B2342&lt;=15,"Midday (10-15)",B2342&lt;=19,"Evening peak (16-19)",TRUE,"Late evening (20-23)")</f>
        <v>Midday (10-15)</v>
      </c>
    </row>
    <row r="2343" spans="1:9">
      <c r="A2343" s="32">
        <v>41827</v>
      </c>
      <c r="B2343">
        <v>13</v>
      </c>
      <c r="C2343">
        <v>858</v>
      </c>
      <c r="D2343" t="s">
        <v>303</v>
      </c>
      <c r="E2343">
        <f>YEAR(A2343)</f>
        <v>2014</v>
      </c>
      <c r="F2343" s="33">
        <f>DATE(YEAR(A2343),MONTH(A2343),1)</f>
        <v>41821.0</v>
      </c>
      <c r="G2343" t="str">
        <f>CHOOSE(WEEKDAY(A2343,2),"Mon","Tue","Wed","Thu","Fri","Sat","Sun")</f>
        <v>Mon</v>
      </c>
      <c r="H2343" t="str">
        <f>IF(WEEKDAY(A2343,2)&gt;5,"Weekend","Weekday")</f>
        <v>Weekday</v>
      </c>
      <c r="I2343" t="str">
        <f>_xlfn.IFS(B2343&lt;=5,"Night (0-5)",B2343&lt;=9,"Morning peak (6-9)",B2343&lt;=15,"Midday (10-15)",B2343&lt;=19,"Evening peak (16-19)",TRUE,"Late evening (20-23)")</f>
        <v>Midday (10-15)</v>
      </c>
    </row>
    <row r="2344" spans="1:9">
      <c r="A2344" s="32">
        <v>41827</v>
      </c>
      <c r="B2344">
        <v>14</v>
      </c>
      <c r="C2344">
        <v>988</v>
      </c>
      <c r="D2344" t="s">
        <v>303</v>
      </c>
      <c r="E2344">
        <f>YEAR(A2344)</f>
        <v>2014</v>
      </c>
      <c r="F2344" s="33">
        <f>DATE(YEAR(A2344),MONTH(A2344),1)</f>
        <v>41821.0</v>
      </c>
      <c r="G2344" t="str">
        <f>CHOOSE(WEEKDAY(A2344,2),"Mon","Tue","Wed","Thu","Fri","Sat","Sun")</f>
        <v>Mon</v>
      </c>
      <c r="H2344" t="str">
        <f>IF(WEEKDAY(A2344,2)&gt;5,"Weekend","Weekday")</f>
        <v>Weekday</v>
      </c>
      <c r="I2344" t="str">
        <f>_xlfn.IFS(B2344&lt;=5,"Night (0-5)",B2344&lt;=9,"Morning peak (6-9)",B2344&lt;=15,"Midday (10-15)",B2344&lt;=19,"Evening peak (16-19)",TRUE,"Late evening (20-23)")</f>
        <v>Midday (10-15)</v>
      </c>
    </row>
    <row r="2345" spans="1:9">
      <c r="A2345" s="32">
        <v>41827</v>
      </c>
      <c r="B2345">
        <v>15</v>
      </c>
      <c r="C2345">
        <v>1081</v>
      </c>
      <c r="D2345" t="s">
        <v>303</v>
      </c>
      <c r="E2345">
        <f>YEAR(A2345)</f>
        <v>2014</v>
      </c>
      <c r="F2345" s="33">
        <f>DATE(YEAR(A2345),MONTH(A2345),1)</f>
        <v>41821.0</v>
      </c>
      <c r="G2345" t="str">
        <f>CHOOSE(WEEKDAY(A2345,2),"Mon","Tue","Wed","Thu","Fri","Sat","Sun")</f>
        <v>Mon</v>
      </c>
      <c r="H2345" t="str">
        <f>IF(WEEKDAY(A2345,2)&gt;5,"Weekend","Weekday")</f>
        <v>Weekday</v>
      </c>
      <c r="I2345" t="str">
        <f>_xlfn.IFS(B2345&lt;=5,"Night (0-5)",B2345&lt;=9,"Morning peak (6-9)",B2345&lt;=15,"Midday (10-15)",B2345&lt;=19,"Evening peak (16-19)",TRUE,"Late evening (20-23)")</f>
        <v>Midday (10-15)</v>
      </c>
    </row>
    <row r="2346" spans="1:9">
      <c r="A2346" s="32">
        <v>41827</v>
      </c>
      <c r="B2346">
        <v>16</v>
      </c>
      <c r="C2346">
        <v>1317</v>
      </c>
      <c r="D2346" t="s">
        <v>303</v>
      </c>
      <c r="E2346">
        <f>YEAR(A2346)</f>
        <v>2014</v>
      </c>
      <c r="F2346" s="33">
        <f>DATE(YEAR(A2346),MONTH(A2346),1)</f>
        <v>41821.0</v>
      </c>
      <c r="G2346" t="str">
        <f>CHOOSE(WEEKDAY(A2346,2),"Mon","Tue","Wed","Thu","Fri","Sat","Sun")</f>
        <v>Mon</v>
      </c>
      <c r="H2346" t="str">
        <f>IF(WEEKDAY(A2346,2)&gt;5,"Weekend","Weekday")</f>
        <v>Weekday</v>
      </c>
      <c r="I2346" t="str">
        <f>_xlfn.IFS(B2346&lt;=5,"Night (0-5)",B2346&lt;=9,"Morning peak (6-9)",B2346&lt;=15,"Midday (10-15)",B2346&lt;=19,"Evening peak (16-19)",TRUE,"Late evening (20-23)")</f>
        <v>Evening peak (16-19)</v>
      </c>
    </row>
    <row r="2347" spans="1:9">
      <c r="A2347" s="32">
        <v>41827</v>
      </c>
      <c r="B2347">
        <v>17</v>
      </c>
      <c r="C2347">
        <v>1435</v>
      </c>
      <c r="D2347" t="s">
        <v>303</v>
      </c>
      <c r="E2347">
        <f>YEAR(A2347)</f>
        <v>2014</v>
      </c>
      <c r="F2347" s="33">
        <f>DATE(YEAR(A2347),MONTH(A2347),1)</f>
        <v>41821.0</v>
      </c>
      <c r="G2347" t="str">
        <f>CHOOSE(WEEKDAY(A2347,2),"Mon","Tue","Wed","Thu","Fri","Sat","Sun")</f>
        <v>Mon</v>
      </c>
      <c r="H2347" t="str">
        <f>IF(WEEKDAY(A2347,2)&gt;5,"Weekend","Weekday")</f>
        <v>Weekday</v>
      </c>
      <c r="I2347" t="str">
        <f>_xlfn.IFS(B2347&lt;=5,"Night (0-5)",B2347&lt;=9,"Morning peak (6-9)",B2347&lt;=15,"Midday (10-15)",B2347&lt;=19,"Evening peak (16-19)",TRUE,"Late evening (20-23)")</f>
        <v>Evening peak (16-19)</v>
      </c>
    </row>
    <row r="2348" spans="1:9">
      <c r="A2348" s="32">
        <v>41827</v>
      </c>
      <c r="B2348">
        <v>18</v>
      </c>
      <c r="C2348">
        <v>1274</v>
      </c>
      <c r="D2348" t="s">
        <v>303</v>
      </c>
      <c r="E2348">
        <f>YEAR(A2348)</f>
        <v>2014</v>
      </c>
      <c r="F2348" s="33">
        <f>DATE(YEAR(A2348),MONTH(A2348),1)</f>
        <v>41821.0</v>
      </c>
      <c r="G2348" t="str">
        <f>CHOOSE(WEEKDAY(A2348,2),"Mon","Tue","Wed","Thu","Fri","Sat","Sun")</f>
        <v>Mon</v>
      </c>
      <c r="H2348" t="str">
        <f>IF(WEEKDAY(A2348,2)&gt;5,"Weekend","Weekday")</f>
        <v>Weekday</v>
      </c>
      <c r="I2348" t="str">
        <f>_xlfn.IFS(B2348&lt;=5,"Night (0-5)",B2348&lt;=9,"Morning peak (6-9)",B2348&lt;=15,"Midday (10-15)",B2348&lt;=19,"Evening peak (16-19)",TRUE,"Late evening (20-23)")</f>
        <v>Evening peak (16-19)</v>
      </c>
    </row>
    <row r="2349" spans="1:9">
      <c r="A2349" s="32">
        <v>41827</v>
      </c>
      <c r="B2349">
        <v>19</v>
      </c>
      <c r="C2349">
        <v>1253</v>
      </c>
      <c r="D2349" t="s">
        <v>303</v>
      </c>
      <c r="E2349">
        <f>YEAR(A2349)</f>
        <v>2014</v>
      </c>
      <c r="F2349" s="33">
        <f>DATE(YEAR(A2349),MONTH(A2349),1)</f>
        <v>41821.0</v>
      </c>
      <c r="G2349" t="str">
        <f>CHOOSE(WEEKDAY(A2349,2),"Mon","Tue","Wed","Thu","Fri","Sat","Sun")</f>
        <v>Mon</v>
      </c>
      <c r="H2349" t="str">
        <f>IF(WEEKDAY(A2349,2)&gt;5,"Weekend","Weekday")</f>
        <v>Weekday</v>
      </c>
      <c r="I2349" t="str">
        <f>_xlfn.IFS(B2349&lt;=5,"Night (0-5)",B2349&lt;=9,"Morning peak (6-9)",B2349&lt;=15,"Midday (10-15)",B2349&lt;=19,"Evening peak (16-19)",TRUE,"Late evening (20-23)")</f>
        <v>Evening peak (16-19)</v>
      </c>
    </row>
    <row r="2350" spans="1:9">
      <c r="A2350" s="32">
        <v>41827</v>
      </c>
      <c r="B2350">
        <v>20</v>
      </c>
      <c r="C2350">
        <v>1122</v>
      </c>
      <c r="D2350" t="s">
        <v>303</v>
      </c>
      <c r="E2350">
        <f>YEAR(A2350)</f>
        <v>2014</v>
      </c>
      <c r="F2350" s="33">
        <f>DATE(YEAR(A2350),MONTH(A2350),1)</f>
        <v>41821.0</v>
      </c>
      <c r="G2350" t="str">
        <f>CHOOSE(WEEKDAY(A2350,2),"Mon","Tue","Wed","Thu","Fri","Sat","Sun")</f>
        <v>Mon</v>
      </c>
      <c r="H2350" t="str">
        <f>IF(WEEKDAY(A2350,2)&gt;5,"Weekend","Weekday")</f>
        <v>Weekday</v>
      </c>
      <c r="I2350" t="str">
        <f>_xlfn.IFS(B2350&lt;=5,"Night (0-5)",B2350&lt;=9,"Morning peak (6-9)",B2350&lt;=15,"Midday (10-15)",B2350&lt;=19,"Evening peak (16-19)",TRUE,"Late evening (20-23)")</f>
        <v>Late evening (20-23)</v>
      </c>
    </row>
    <row r="2351" spans="1:9">
      <c r="A2351" s="32">
        <v>41827</v>
      </c>
      <c r="B2351">
        <v>21</v>
      </c>
      <c r="C2351">
        <v>1050</v>
      </c>
      <c r="D2351" t="s">
        <v>303</v>
      </c>
      <c r="E2351">
        <f>YEAR(A2351)</f>
        <v>2014</v>
      </c>
      <c r="F2351" s="33">
        <f>DATE(YEAR(A2351),MONTH(A2351),1)</f>
        <v>41821.0</v>
      </c>
      <c r="G2351" t="str">
        <f>CHOOSE(WEEKDAY(A2351,2),"Mon","Tue","Wed","Thu","Fri","Sat","Sun")</f>
        <v>Mon</v>
      </c>
      <c r="H2351" t="str">
        <f>IF(WEEKDAY(A2351,2)&gt;5,"Weekend","Weekday")</f>
        <v>Weekday</v>
      </c>
      <c r="I2351" t="str">
        <f>_xlfn.IFS(B2351&lt;=5,"Night (0-5)",B2351&lt;=9,"Morning peak (6-9)",B2351&lt;=15,"Midday (10-15)",B2351&lt;=19,"Evening peak (16-19)",TRUE,"Late evening (20-23)")</f>
        <v>Late evening (20-23)</v>
      </c>
    </row>
    <row r="2352" spans="1:9">
      <c r="A2352" s="32">
        <v>41827</v>
      </c>
      <c r="B2352">
        <v>22</v>
      </c>
      <c r="C2352">
        <v>735</v>
      </c>
      <c r="D2352" t="s">
        <v>303</v>
      </c>
      <c r="E2352">
        <f>YEAR(A2352)</f>
        <v>2014</v>
      </c>
      <c r="F2352" s="33">
        <f>DATE(YEAR(A2352),MONTH(A2352),1)</f>
        <v>41821.0</v>
      </c>
      <c r="G2352" t="str">
        <f>CHOOSE(WEEKDAY(A2352,2),"Mon","Tue","Wed","Thu","Fri","Sat","Sun")</f>
        <v>Mon</v>
      </c>
      <c r="H2352" t="str">
        <f>IF(WEEKDAY(A2352,2)&gt;5,"Weekend","Weekday")</f>
        <v>Weekday</v>
      </c>
      <c r="I2352" t="str">
        <f>_xlfn.IFS(B2352&lt;=5,"Night (0-5)",B2352&lt;=9,"Morning peak (6-9)",B2352&lt;=15,"Midday (10-15)",B2352&lt;=19,"Evening peak (16-19)",TRUE,"Late evening (20-23)")</f>
        <v>Late evening (20-23)</v>
      </c>
    </row>
    <row r="2353" spans="1:9">
      <c r="A2353" s="32">
        <v>41827</v>
      </c>
      <c r="B2353">
        <v>23</v>
      </c>
      <c r="C2353">
        <v>503</v>
      </c>
      <c r="D2353" t="s">
        <v>303</v>
      </c>
      <c r="E2353">
        <f>YEAR(A2353)</f>
        <v>2014</v>
      </c>
      <c r="F2353" s="33">
        <f>DATE(YEAR(A2353),MONTH(A2353),1)</f>
        <v>41821.0</v>
      </c>
      <c r="G2353" t="str">
        <f>CHOOSE(WEEKDAY(A2353,2),"Mon","Tue","Wed","Thu","Fri","Sat","Sun")</f>
        <v>Mon</v>
      </c>
      <c r="H2353" t="str">
        <f>IF(WEEKDAY(A2353,2)&gt;5,"Weekend","Weekday")</f>
        <v>Weekday</v>
      </c>
      <c r="I2353" t="str">
        <f>_xlfn.IFS(B2353&lt;=5,"Night (0-5)",B2353&lt;=9,"Morning peak (6-9)",B2353&lt;=15,"Midday (10-15)",B2353&lt;=19,"Evening peak (16-19)",TRUE,"Late evening (20-23)")</f>
        <v>Late evening (20-23)</v>
      </c>
    </row>
    <row r="2354" spans="1:9">
      <c r="A2354" s="32">
        <v>41828</v>
      </c>
      <c r="B2354">
        <v>0</v>
      </c>
      <c r="C2354">
        <v>341</v>
      </c>
      <c r="D2354" t="s">
        <v>303</v>
      </c>
      <c r="E2354">
        <f>YEAR(A2354)</f>
        <v>2014</v>
      </c>
      <c r="F2354" s="33">
        <f>DATE(YEAR(A2354),MONTH(A2354),1)</f>
        <v>41821.0</v>
      </c>
      <c r="G2354" t="str">
        <f>CHOOSE(WEEKDAY(A2354,2),"Mon","Tue","Wed","Thu","Fri","Sat","Sun")</f>
        <v>Tue</v>
      </c>
      <c r="H2354" t="str">
        <f>IF(WEEKDAY(A2354,2)&gt;5,"Weekend","Weekday")</f>
        <v>Weekday</v>
      </c>
      <c r="I2354" t="str">
        <f>_xlfn.IFS(B2354&lt;=5,"Night (0-5)",B2354&lt;=9,"Morning peak (6-9)",B2354&lt;=15,"Midday (10-15)",B2354&lt;=19,"Evening peak (16-19)",TRUE,"Late evening (20-23)")</f>
        <v>Night (0-5)</v>
      </c>
    </row>
    <row r="2355" spans="1:9">
      <c r="A2355" s="32">
        <v>41828</v>
      </c>
      <c r="B2355">
        <v>1</v>
      </c>
      <c r="C2355">
        <v>165</v>
      </c>
      <c r="D2355" t="s">
        <v>303</v>
      </c>
      <c r="E2355">
        <f>YEAR(A2355)</f>
        <v>2014</v>
      </c>
      <c r="F2355" s="33">
        <f>DATE(YEAR(A2355),MONTH(A2355),1)</f>
        <v>41821.0</v>
      </c>
      <c r="G2355" t="str">
        <f>CHOOSE(WEEKDAY(A2355,2),"Mon","Tue","Wed","Thu","Fri","Sat","Sun")</f>
        <v>Tue</v>
      </c>
      <c r="H2355" t="str">
        <f>IF(WEEKDAY(A2355,2)&gt;5,"Weekend","Weekday")</f>
        <v>Weekday</v>
      </c>
      <c r="I2355" t="str">
        <f>_xlfn.IFS(B2355&lt;=5,"Night (0-5)",B2355&lt;=9,"Morning peak (6-9)",B2355&lt;=15,"Midday (10-15)",B2355&lt;=19,"Evening peak (16-19)",TRUE,"Late evening (20-23)")</f>
        <v>Night (0-5)</v>
      </c>
    </row>
    <row r="2356" spans="1:9">
      <c r="A2356" s="32">
        <v>41828</v>
      </c>
      <c r="B2356">
        <v>2</v>
      </c>
      <c r="C2356">
        <v>102</v>
      </c>
      <c r="D2356" t="s">
        <v>303</v>
      </c>
      <c r="E2356">
        <f>YEAR(A2356)</f>
        <v>2014</v>
      </c>
      <c r="F2356" s="33">
        <f>DATE(YEAR(A2356),MONTH(A2356),1)</f>
        <v>41821.0</v>
      </c>
      <c r="G2356" t="str">
        <f>CHOOSE(WEEKDAY(A2356,2),"Mon","Tue","Wed","Thu","Fri","Sat","Sun")</f>
        <v>Tue</v>
      </c>
      <c r="H2356" t="str">
        <f>IF(WEEKDAY(A2356,2)&gt;5,"Weekend","Weekday")</f>
        <v>Weekday</v>
      </c>
      <c r="I2356" t="str">
        <f>_xlfn.IFS(B2356&lt;=5,"Night (0-5)",B2356&lt;=9,"Morning peak (6-9)",B2356&lt;=15,"Midday (10-15)",B2356&lt;=19,"Evening peak (16-19)",TRUE,"Late evening (20-23)")</f>
        <v>Night (0-5)</v>
      </c>
    </row>
    <row r="2357" spans="1:9">
      <c r="A2357" s="32">
        <v>41828</v>
      </c>
      <c r="B2357">
        <v>3</v>
      </c>
      <c r="C2357">
        <v>190</v>
      </c>
      <c r="D2357" t="s">
        <v>303</v>
      </c>
      <c r="E2357">
        <f>YEAR(A2357)</f>
        <v>2014</v>
      </c>
      <c r="F2357" s="33">
        <f>DATE(YEAR(A2357),MONTH(A2357),1)</f>
        <v>41821.0</v>
      </c>
      <c r="G2357" t="str">
        <f>CHOOSE(WEEKDAY(A2357,2),"Mon","Tue","Wed","Thu","Fri","Sat","Sun")</f>
        <v>Tue</v>
      </c>
      <c r="H2357" t="str">
        <f>IF(WEEKDAY(A2357,2)&gt;5,"Weekend","Weekday")</f>
        <v>Weekday</v>
      </c>
      <c r="I2357" t="str">
        <f>_xlfn.IFS(B2357&lt;=5,"Night (0-5)",B2357&lt;=9,"Morning peak (6-9)",B2357&lt;=15,"Midday (10-15)",B2357&lt;=19,"Evening peak (16-19)",TRUE,"Late evening (20-23)")</f>
        <v>Night (0-5)</v>
      </c>
    </row>
    <row r="2358" spans="1:9">
      <c r="A2358" s="32">
        <v>41828</v>
      </c>
      <c r="B2358">
        <v>4</v>
      </c>
      <c r="C2358">
        <v>280</v>
      </c>
      <c r="D2358" t="s">
        <v>303</v>
      </c>
      <c r="E2358">
        <f>YEAR(A2358)</f>
        <v>2014</v>
      </c>
      <c r="F2358" s="33">
        <f>DATE(YEAR(A2358),MONTH(A2358),1)</f>
        <v>41821.0</v>
      </c>
      <c r="G2358" t="str">
        <f>CHOOSE(WEEKDAY(A2358,2),"Mon","Tue","Wed","Thu","Fri","Sat","Sun")</f>
        <v>Tue</v>
      </c>
      <c r="H2358" t="str">
        <f>IF(WEEKDAY(A2358,2)&gt;5,"Weekend","Weekday")</f>
        <v>Weekday</v>
      </c>
      <c r="I2358" t="str">
        <f>_xlfn.IFS(B2358&lt;=5,"Night (0-5)",B2358&lt;=9,"Morning peak (6-9)",B2358&lt;=15,"Midday (10-15)",B2358&lt;=19,"Evening peak (16-19)",TRUE,"Late evening (20-23)")</f>
        <v>Night (0-5)</v>
      </c>
    </row>
    <row r="2359" spans="1:9">
      <c r="A2359" s="32">
        <v>41828</v>
      </c>
      <c r="B2359">
        <v>5</v>
      </c>
      <c r="C2359">
        <v>535</v>
      </c>
      <c r="D2359" t="s">
        <v>303</v>
      </c>
      <c r="E2359">
        <f>YEAR(A2359)</f>
        <v>2014</v>
      </c>
      <c r="F2359" s="33">
        <f>DATE(YEAR(A2359),MONTH(A2359),1)</f>
        <v>41821.0</v>
      </c>
      <c r="G2359" t="str">
        <f>CHOOSE(WEEKDAY(A2359,2),"Mon","Tue","Wed","Thu","Fri","Sat","Sun")</f>
        <v>Tue</v>
      </c>
      <c r="H2359" t="str">
        <f>IF(WEEKDAY(A2359,2)&gt;5,"Weekend","Weekday")</f>
        <v>Weekday</v>
      </c>
      <c r="I2359" t="str">
        <f>_xlfn.IFS(B2359&lt;=5,"Night (0-5)",B2359&lt;=9,"Morning peak (6-9)",B2359&lt;=15,"Midday (10-15)",B2359&lt;=19,"Evening peak (16-19)",TRUE,"Late evening (20-23)")</f>
        <v>Night (0-5)</v>
      </c>
    </row>
    <row r="2360" spans="1:9">
      <c r="A2360" s="32">
        <v>41828</v>
      </c>
      <c r="B2360">
        <v>6</v>
      </c>
      <c r="C2360">
        <v>955</v>
      </c>
      <c r="D2360" t="s">
        <v>303</v>
      </c>
      <c r="E2360">
        <f>YEAR(A2360)</f>
        <v>2014</v>
      </c>
      <c r="F2360" s="33">
        <f>DATE(YEAR(A2360),MONTH(A2360),1)</f>
        <v>41821.0</v>
      </c>
      <c r="G2360" t="str">
        <f>CHOOSE(WEEKDAY(A2360,2),"Mon","Tue","Wed","Thu","Fri","Sat","Sun")</f>
        <v>Tue</v>
      </c>
      <c r="H2360" t="str">
        <f>IF(WEEKDAY(A2360,2)&gt;5,"Weekend","Weekday")</f>
        <v>Weekday</v>
      </c>
      <c r="I2360" t="str">
        <f>_xlfn.IFS(B2360&lt;=5,"Night (0-5)",B2360&lt;=9,"Morning peak (6-9)",B2360&lt;=15,"Midday (10-15)",B2360&lt;=19,"Evening peak (16-19)",TRUE,"Late evening (20-23)")</f>
        <v>Morning peak (6-9)</v>
      </c>
    </row>
    <row r="2361" spans="1:9">
      <c r="A2361" s="32">
        <v>41828</v>
      </c>
      <c r="B2361">
        <v>7</v>
      </c>
      <c r="C2361">
        <v>1366</v>
      </c>
      <c r="D2361" t="s">
        <v>303</v>
      </c>
      <c r="E2361">
        <f>YEAR(A2361)</f>
        <v>2014</v>
      </c>
      <c r="F2361" s="33">
        <f>DATE(YEAR(A2361),MONTH(A2361),1)</f>
        <v>41821.0</v>
      </c>
      <c r="G2361" t="str">
        <f>CHOOSE(WEEKDAY(A2361,2),"Mon","Tue","Wed","Thu","Fri","Sat","Sun")</f>
        <v>Tue</v>
      </c>
      <c r="H2361" t="str">
        <f>IF(WEEKDAY(A2361,2)&gt;5,"Weekend","Weekday")</f>
        <v>Weekday</v>
      </c>
      <c r="I2361" t="str">
        <f>_xlfn.IFS(B2361&lt;=5,"Night (0-5)",B2361&lt;=9,"Morning peak (6-9)",B2361&lt;=15,"Midday (10-15)",B2361&lt;=19,"Evening peak (16-19)",TRUE,"Late evening (20-23)")</f>
        <v>Morning peak (6-9)</v>
      </c>
    </row>
    <row r="2362" spans="1:9">
      <c r="A2362" s="32">
        <v>41828</v>
      </c>
      <c r="B2362">
        <v>8</v>
      </c>
      <c r="C2362">
        <v>1311</v>
      </c>
      <c r="D2362" t="s">
        <v>303</v>
      </c>
      <c r="E2362">
        <f>YEAR(A2362)</f>
        <v>2014</v>
      </c>
      <c r="F2362" s="33">
        <f>DATE(YEAR(A2362),MONTH(A2362),1)</f>
        <v>41821.0</v>
      </c>
      <c r="G2362" t="str">
        <f>CHOOSE(WEEKDAY(A2362,2),"Mon","Tue","Wed","Thu","Fri","Sat","Sun")</f>
        <v>Tue</v>
      </c>
      <c r="H2362" t="str">
        <f>IF(WEEKDAY(A2362,2)&gt;5,"Weekend","Weekday")</f>
        <v>Weekday</v>
      </c>
      <c r="I2362" t="str">
        <f>_xlfn.IFS(B2362&lt;=5,"Night (0-5)",B2362&lt;=9,"Morning peak (6-9)",B2362&lt;=15,"Midday (10-15)",B2362&lt;=19,"Evening peak (16-19)",TRUE,"Late evening (20-23)")</f>
        <v>Morning peak (6-9)</v>
      </c>
    </row>
    <row r="2363" spans="1:9">
      <c r="A2363" s="32">
        <v>41828</v>
      </c>
      <c r="B2363">
        <v>9</v>
      </c>
      <c r="C2363">
        <v>961</v>
      </c>
      <c r="D2363" t="s">
        <v>303</v>
      </c>
      <c r="E2363">
        <f>YEAR(A2363)</f>
        <v>2014</v>
      </c>
      <c r="F2363" s="33">
        <f>DATE(YEAR(A2363),MONTH(A2363),1)</f>
        <v>41821.0</v>
      </c>
      <c r="G2363" t="str">
        <f>CHOOSE(WEEKDAY(A2363,2),"Mon","Tue","Wed","Thu","Fri","Sat","Sun")</f>
        <v>Tue</v>
      </c>
      <c r="H2363" t="str">
        <f>IF(WEEKDAY(A2363,2)&gt;5,"Weekend","Weekday")</f>
        <v>Weekday</v>
      </c>
      <c r="I2363" t="str">
        <f>_xlfn.IFS(B2363&lt;=5,"Night (0-5)",B2363&lt;=9,"Morning peak (6-9)",B2363&lt;=15,"Midday (10-15)",B2363&lt;=19,"Evening peak (16-19)",TRUE,"Late evening (20-23)")</f>
        <v>Morning peak (6-9)</v>
      </c>
    </row>
    <row r="2364" spans="1:9">
      <c r="A2364" s="32">
        <v>41828</v>
      </c>
      <c r="B2364">
        <v>10</v>
      </c>
      <c r="C2364">
        <v>941</v>
      </c>
      <c r="D2364" t="s">
        <v>303</v>
      </c>
      <c r="E2364">
        <f>YEAR(A2364)</f>
        <v>2014</v>
      </c>
      <c r="F2364" s="33">
        <f>DATE(YEAR(A2364),MONTH(A2364),1)</f>
        <v>41821.0</v>
      </c>
      <c r="G2364" t="str">
        <f>CHOOSE(WEEKDAY(A2364,2),"Mon","Tue","Wed","Thu","Fri","Sat","Sun")</f>
        <v>Tue</v>
      </c>
      <c r="H2364" t="str">
        <f>IF(WEEKDAY(A2364,2)&gt;5,"Weekend","Weekday")</f>
        <v>Weekday</v>
      </c>
      <c r="I2364" t="str">
        <f>_xlfn.IFS(B2364&lt;=5,"Night (0-5)",B2364&lt;=9,"Morning peak (6-9)",B2364&lt;=15,"Midday (10-15)",B2364&lt;=19,"Evening peak (16-19)",TRUE,"Late evening (20-23)")</f>
        <v>Midday (10-15)</v>
      </c>
    </row>
    <row r="2365" spans="1:9">
      <c r="A2365" s="32">
        <v>41828</v>
      </c>
      <c r="B2365">
        <v>11</v>
      </c>
      <c r="C2365">
        <v>932</v>
      </c>
      <c r="D2365" t="s">
        <v>303</v>
      </c>
      <c r="E2365">
        <f>YEAR(A2365)</f>
        <v>2014</v>
      </c>
      <c r="F2365" s="33">
        <f>DATE(YEAR(A2365),MONTH(A2365),1)</f>
        <v>41821.0</v>
      </c>
      <c r="G2365" t="str">
        <f>CHOOSE(WEEKDAY(A2365,2),"Mon","Tue","Wed","Thu","Fri","Sat","Sun")</f>
        <v>Tue</v>
      </c>
      <c r="H2365" t="str">
        <f>IF(WEEKDAY(A2365,2)&gt;5,"Weekend","Weekday")</f>
        <v>Weekday</v>
      </c>
      <c r="I2365" t="str">
        <f>_xlfn.IFS(B2365&lt;=5,"Night (0-5)",B2365&lt;=9,"Morning peak (6-9)",B2365&lt;=15,"Midday (10-15)",B2365&lt;=19,"Evening peak (16-19)",TRUE,"Late evening (20-23)")</f>
        <v>Midday (10-15)</v>
      </c>
    </row>
    <row r="2366" spans="1:9">
      <c r="A2366" s="32">
        <v>41828</v>
      </c>
      <c r="B2366">
        <v>12</v>
      </c>
      <c r="C2366">
        <v>1079</v>
      </c>
      <c r="D2366" t="s">
        <v>303</v>
      </c>
      <c r="E2366">
        <f>YEAR(A2366)</f>
        <v>2014</v>
      </c>
      <c r="F2366" s="33">
        <f>DATE(YEAR(A2366),MONTH(A2366),1)</f>
        <v>41821.0</v>
      </c>
      <c r="G2366" t="str">
        <f>CHOOSE(WEEKDAY(A2366,2),"Mon","Tue","Wed","Thu","Fri","Sat","Sun")</f>
        <v>Tue</v>
      </c>
      <c r="H2366" t="str">
        <f>IF(WEEKDAY(A2366,2)&gt;5,"Weekend","Weekday")</f>
        <v>Weekday</v>
      </c>
      <c r="I2366" t="str">
        <f>_xlfn.IFS(B2366&lt;=5,"Night (0-5)",B2366&lt;=9,"Morning peak (6-9)",B2366&lt;=15,"Midday (10-15)",B2366&lt;=19,"Evening peak (16-19)",TRUE,"Late evening (20-23)")</f>
        <v>Midday (10-15)</v>
      </c>
    </row>
    <row r="2367" spans="1:9">
      <c r="A2367" s="32">
        <v>41828</v>
      </c>
      <c r="B2367">
        <v>13</v>
      </c>
      <c r="C2367">
        <v>1168</v>
      </c>
      <c r="D2367" t="s">
        <v>303</v>
      </c>
      <c r="E2367">
        <f>YEAR(A2367)</f>
        <v>2014</v>
      </c>
      <c r="F2367" s="33">
        <f>DATE(YEAR(A2367),MONTH(A2367),1)</f>
        <v>41821.0</v>
      </c>
      <c r="G2367" t="str">
        <f>CHOOSE(WEEKDAY(A2367,2),"Mon","Tue","Wed","Thu","Fri","Sat","Sun")</f>
        <v>Tue</v>
      </c>
      <c r="H2367" t="str">
        <f>IF(WEEKDAY(A2367,2)&gt;5,"Weekend","Weekday")</f>
        <v>Weekday</v>
      </c>
      <c r="I2367" t="str">
        <f>_xlfn.IFS(B2367&lt;=5,"Night (0-5)",B2367&lt;=9,"Morning peak (6-9)",B2367&lt;=15,"Midday (10-15)",B2367&lt;=19,"Evening peak (16-19)",TRUE,"Late evening (20-23)")</f>
        <v>Midday (10-15)</v>
      </c>
    </row>
    <row r="2368" spans="1:9">
      <c r="A2368" s="32">
        <v>41828</v>
      </c>
      <c r="B2368">
        <v>14</v>
      </c>
      <c r="C2368">
        <v>1379</v>
      </c>
      <c r="D2368" t="s">
        <v>303</v>
      </c>
      <c r="E2368">
        <f>YEAR(A2368)</f>
        <v>2014</v>
      </c>
      <c r="F2368" s="33">
        <f>DATE(YEAR(A2368),MONTH(A2368),1)</f>
        <v>41821.0</v>
      </c>
      <c r="G2368" t="str">
        <f>CHOOSE(WEEKDAY(A2368,2),"Mon","Tue","Wed","Thu","Fri","Sat","Sun")</f>
        <v>Tue</v>
      </c>
      <c r="H2368" t="str">
        <f>IF(WEEKDAY(A2368,2)&gt;5,"Weekend","Weekday")</f>
        <v>Weekday</v>
      </c>
      <c r="I2368" t="str">
        <f>_xlfn.IFS(B2368&lt;=5,"Night (0-5)",B2368&lt;=9,"Morning peak (6-9)",B2368&lt;=15,"Midday (10-15)",B2368&lt;=19,"Evening peak (16-19)",TRUE,"Late evening (20-23)")</f>
        <v>Midday (10-15)</v>
      </c>
    </row>
    <row r="2369" spans="1:9">
      <c r="A2369" s="32">
        <v>41828</v>
      </c>
      <c r="B2369">
        <v>15</v>
      </c>
      <c r="C2369">
        <v>1494</v>
      </c>
      <c r="D2369" t="s">
        <v>303</v>
      </c>
      <c r="E2369">
        <f>YEAR(A2369)</f>
        <v>2014</v>
      </c>
      <c r="F2369" s="33">
        <f>DATE(YEAR(A2369),MONTH(A2369),1)</f>
        <v>41821.0</v>
      </c>
      <c r="G2369" t="str">
        <f>CHOOSE(WEEKDAY(A2369,2),"Mon","Tue","Wed","Thu","Fri","Sat","Sun")</f>
        <v>Tue</v>
      </c>
      <c r="H2369" t="str">
        <f>IF(WEEKDAY(A2369,2)&gt;5,"Weekend","Weekday")</f>
        <v>Weekday</v>
      </c>
      <c r="I2369" t="str">
        <f>_xlfn.IFS(B2369&lt;=5,"Night (0-5)",B2369&lt;=9,"Morning peak (6-9)",B2369&lt;=15,"Midday (10-15)",B2369&lt;=19,"Evening peak (16-19)",TRUE,"Late evening (20-23)")</f>
        <v>Midday (10-15)</v>
      </c>
    </row>
    <row r="2370" spans="1:9">
      <c r="A2370" s="32">
        <v>41828</v>
      </c>
      <c r="B2370">
        <v>16</v>
      </c>
      <c r="C2370">
        <v>1795</v>
      </c>
      <c r="D2370" t="s">
        <v>303</v>
      </c>
      <c r="E2370">
        <f>YEAR(A2370)</f>
        <v>2014</v>
      </c>
      <c r="F2370" s="33">
        <f>DATE(YEAR(A2370),MONTH(A2370),1)</f>
        <v>41821.0</v>
      </c>
      <c r="G2370" t="str">
        <f>CHOOSE(WEEKDAY(A2370,2),"Mon","Tue","Wed","Thu","Fri","Sat","Sun")</f>
        <v>Tue</v>
      </c>
      <c r="H2370" t="str">
        <f>IF(WEEKDAY(A2370,2)&gt;5,"Weekend","Weekday")</f>
        <v>Weekday</v>
      </c>
      <c r="I2370" t="str">
        <f>_xlfn.IFS(B2370&lt;=5,"Night (0-5)",B2370&lt;=9,"Morning peak (6-9)",B2370&lt;=15,"Midday (10-15)",B2370&lt;=19,"Evening peak (16-19)",TRUE,"Late evening (20-23)")</f>
        <v>Evening peak (16-19)</v>
      </c>
    </row>
    <row r="2371" spans="1:9">
      <c r="A2371" s="32">
        <v>41828</v>
      </c>
      <c r="B2371">
        <v>17</v>
      </c>
      <c r="C2371">
        <v>2123</v>
      </c>
      <c r="D2371" t="s">
        <v>303</v>
      </c>
      <c r="E2371">
        <f>YEAR(A2371)</f>
        <v>2014</v>
      </c>
      <c r="F2371" s="33">
        <f>DATE(YEAR(A2371),MONTH(A2371),1)</f>
        <v>41821.0</v>
      </c>
      <c r="G2371" t="str">
        <f>CHOOSE(WEEKDAY(A2371,2),"Mon","Tue","Wed","Thu","Fri","Sat","Sun")</f>
        <v>Tue</v>
      </c>
      <c r="H2371" t="str">
        <f>IF(WEEKDAY(A2371,2)&gt;5,"Weekend","Weekday")</f>
        <v>Weekday</v>
      </c>
      <c r="I2371" t="str">
        <f>_xlfn.IFS(B2371&lt;=5,"Night (0-5)",B2371&lt;=9,"Morning peak (6-9)",B2371&lt;=15,"Midday (10-15)",B2371&lt;=19,"Evening peak (16-19)",TRUE,"Late evening (20-23)")</f>
        <v>Evening peak (16-19)</v>
      </c>
    </row>
    <row r="2372" spans="1:9">
      <c r="A2372" s="32">
        <v>41828</v>
      </c>
      <c r="B2372">
        <v>18</v>
      </c>
      <c r="C2372">
        <v>1899</v>
      </c>
      <c r="D2372" t="s">
        <v>303</v>
      </c>
      <c r="E2372">
        <f>YEAR(A2372)</f>
        <v>2014</v>
      </c>
      <c r="F2372" s="33">
        <f>DATE(YEAR(A2372),MONTH(A2372),1)</f>
        <v>41821.0</v>
      </c>
      <c r="G2372" t="str">
        <f>CHOOSE(WEEKDAY(A2372,2),"Mon","Tue","Wed","Thu","Fri","Sat","Sun")</f>
        <v>Tue</v>
      </c>
      <c r="H2372" t="str">
        <f>IF(WEEKDAY(A2372,2)&gt;5,"Weekend","Weekday")</f>
        <v>Weekday</v>
      </c>
      <c r="I2372" t="str">
        <f>_xlfn.IFS(B2372&lt;=5,"Night (0-5)",B2372&lt;=9,"Morning peak (6-9)",B2372&lt;=15,"Midday (10-15)",B2372&lt;=19,"Evening peak (16-19)",TRUE,"Late evening (20-23)")</f>
        <v>Evening peak (16-19)</v>
      </c>
    </row>
    <row r="2373" spans="1:9">
      <c r="A2373" s="32">
        <v>41828</v>
      </c>
      <c r="B2373">
        <v>19</v>
      </c>
      <c r="C2373">
        <v>1618</v>
      </c>
      <c r="D2373" t="s">
        <v>303</v>
      </c>
      <c r="E2373">
        <f>YEAR(A2373)</f>
        <v>2014</v>
      </c>
      <c r="F2373" s="33">
        <f>DATE(YEAR(A2373),MONTH(A2373),1)</f>
        <v>41821.0</v>
      </c>
      <c r="G2373" t="str">
        <f>CHOOSE(WEEKDAY(A2373,2),"Mon","Tue","Wed","Thu","Fri","Sat","Sun")</f>
        <v>Tue</v>
      </c>
      <c r="H2373" t="str">
        <f>IF(WEEKDAY(A2373,2)&gt;5,"Weekend","Weekday")</f>
        <v>Weekday</v>
      </c>
      <c r="I2373" t="str">
        <f>_xlfn.IFS(B2373&lt;=5,"Night (0-5)",B2373&lt;=9,"Morning peak (6-9)",B2373&lt;=15,"Midday (10-15)",B2373&lt;=19,"Evening peak (16-19)",TRUE,"Late evening (20-23)")</f>
        <v>Evening peak (16-19)</v>
      </c>
    </row>
    <row r="2374" spans="1:9">
      <c r="A2374" s="32">
        <v>41828</v>
      </c>
      <c r="B2374">
        <v>20</v>
      </c>
      <c r="C2374">
        <v>1663</v>
      </c>
      <c r="D2374" t="s">
        <v>303</v>
      </c>
      <c r="E2374">
        <f>YEAR(A2374)</f>
        <v>2014</v>
      </c>
      <c r="F2374" s="33">
        <f>DATE(YEAR(A2374),MONTH(A2374),1)</f>
        <v>41821.0</v>
      </c>
      <c r="G2374" t="str">
        <f>CHOOSE(WEEKDAY(A2374,2),"Mon","Tue","Wed","Thu","Fri","Sat","Sun")</f>
        <v>Tue</v>
      </c>
      <c r="H2374" t="str">
        <f>IF(WEEKDAY(A2374,2)&gt;5,"Weekend","Weekday")</f>
        <v>Weekday</v>
      </c>
      <c r="I2374" t="str">
        <f>_xlfn.IFS(B2374&lt;=5,"Night (0-5)",B2374&lt;=9,"Morning peak (6-9)",B2374&lt;=15,"Midday (10-15)",B2374&lt;=19,"Evening peak (16-19)",TRUE,"Late evening (20-23)")</f>
        <v>Late evening (20-23)</v>
      </c>
    </row>
    <row r="2375" spans="1:9">
      <c r="A2375" s="32">
        <v>41828</v>
      </c>
      <c r="B2375">
        <v>21</v>
      </c>
      <c r="C2375">
        <v>1680</v>
      </c>
      <c r="D2375" t="s">
        <v>303</v>
      </c>
      <c r="E2375">
        <f>YEAR(A2375)</f>
        <v>2014</v>
      </c>
      <c r="F2375" s="33">
        <f>DATE(YEAR(A2375),MONTH(A2375),1)</f>
        <v>41821.0</v>
      </c>
      <c r="G2375" t="str">
        <f>CHOOSE(WEEKDAY(A2375,2),"Mon","Tue","Wed","Thu","Fri","Sat","Sun")</f>
        <v>Tue</v>
      </c>
      <c r="H2375" t="str">
        <f>IF(WEEKDAY(A2375,2)&gt;5,"Weekend","Weekday")</f>
        <v>Weekday</v>
      </c>
      <c r="I2375" t="str">
        <f>_xlfn.IFS(B2375&lt;=5,"Night (0-5)",B2375&lt;=9,"Morning peak (6-9)",B2375&lt;=15,"Midday (10-15)",B2375&lt;=19,"Evening peak (16-19)",TRUE,"Late evening (20-23)")</f>
        <v>Late evening (20-23)</v>
      </c>
    </row>
    <row r="2376" spans="1:9">
      <c r="A2376" s="32">
        <v>41828</v>
      </c>
      <c r="B2376">
        <v>22</v>
      </c>
      <c r="C2376">
        <v>1134</v>
      </c>
      <c r="D2376" t="s">
        <v>303</v>
      </c>
      <c r="E2376">
        <f>YEAR(A2376)</f>
        <v>2014</v>
      </c>
      <c r="F2376" s="33">
        <f>DATE(YEAR(A2376),MONTH(A2376),1)</f>
        <v>41821.0</v>
      </c>
      <c r="G2376" t="str">
        <f>CHOOSE(WEEKDAY(A2376,2),"Mon","Tue","Wed","Thu","Fri","Sat","Sun")</f>
        <v>Tue</v>
      </c>
      <c r="H2376" t="str">
        <f>IF(WEEKDAY(A2376,2)&gt;5,"Weekend","Weekday")</f>
        <v>Weekday</v>
      </c>
      <c r="I2376" t="str">
        <f>_xlfn.IFS(B2376&lt;=5,"Night (0-5)",B2376&lt;=9,"Morning peak (6-9)",B2376&lt;=15,"Midday (10-15)",B2376&lt;=19,"Evening peak (16-19)",TRUE,"Late evening (20-23)")</f>
        <v>Late evening (20-23)</v>
      </c>
    </row>
    <row r="2377" spans="1:9">
      <c r="A2377" s="32">
        <v>41828</v>
      </c>
      <c r="B2377">
        <v>23</v>
      </c>
      <c r="C2377">
        <v>652</v>
      </c>
      <c r="D2377" t="s">
        <v>303</v>
      </c>
      <c r="E2377">
        <f>YEAR(A2377)</f>
        <v>2014</v>
      </c>
      <c r="F2377" s="33">
        <f>DATE(YEAR(A2377),MONTH(A2377),1)</f>
        <v>41821.0</v>
      </c>
      <c r="G2377" t="str">
        <f>CHOOSE(WEEKDAY(A2377,2),"Mon","Tue","Wed","Thu","Fri","Sat","Sun")</f>
        <v>Tue</v>
      </c>
      <c r="H2377" t="str">
        <f>IF(WEEKDAY(A2377,2)&gt;5,"Weekend","Weekday")</f>
        <v>Weekday</v>
      </c>
      <c r="I2377" t="str">
        <f>_xlfn.IFS(B2377&lt;=5,"Night (0-5)",B2377&lt;=9,"Morning peak (6-9)",B2377&lt;=15,"Midday (10-15)",B2377&lt;=19,"Evening peak (16-19)",TRUE,"Late evening (20-23)")</f>
        <v>Late evening (20-23)</v>
      </c>
    </row>
    <row r="2378" spans="1:9">
      <c r="A2378" s="32">
        <v>41829</v>
      </c>
      <c r="B2378">
        <v>0</v>
      </c>
      <c r="C2378">
        <v>361</v>
      </c>
      <c r="D2378" t="s">
        <v>303</v>
      </c>
      <c r="E2378">
        <f>YEAR(A2378)</f>
        <v>2014</v>
      </c>
      <c r="F2378" s="33">
        <f>DATE(YEAR(A2378),MONTH(A2378),1)</f>
        <v>41821.0</v>
      </c>
      <c r="G2378" t="str">
        <f>CHOOSE(WEEKDAY(A2378,2),"Mon","Tue","Wed","Thu","Fri","Sat","Sun")</f>
        <v>Wed</v>
      </c>
      <c r="H2378" t="str">
        <f>IF(WEEKDAY(A2378,2)&gt;5,"Weekend","Weekday")</f>
        <v>Weekday</v>
      </c>
      <c r="I2378" t="str">
        <f>_xlfn.IFS(B2378&lt;=5,"Night (0-5)",B2378&lt;=9,"Morning peak (6-9)",B2378&lt;=15,"Midday (10-15)",B2378&lt;=19,"Evening peak (16-19)",TRUE,"Late evening (20-23)")</f>
        <v>Night (0-5)</v>
      </c>
    </row>
    <row r="2379" spans="1:9">
      <c r="A2379" s="32">
        <v>41829</v>
      </c>
      <c r="B2379">
        <v>1</v>
      </c>
      <c r="C2379">
        <v>214</v>
      </c>
      <c r="D2379" t="s">
        <v>303</v>
      </c>
      <c r="E2379">
        <f>YEAR(A2379)</f>
        <v>2014</v>
      </c>
      <c r="F2379" s="33">
        <f>DATE(YEAR(A2379),MONTH(A2379),1)</f>
        <v>41821.0</v>
      </c>
      <c r="G2379" t="str">
        <f>CHOOSE(WEEKDAY(A2379,2),"Mon","Tue","Wed","Thu","Fri","Sat","Sun")</f>
        <v>Wed</v>
      </c>
      <c r="H2379" t="str">
        <f>IF(WEEKDAY(A2379,2)&gt;5,"Weekend","Weekday")</f>
        <v>Weekday</v>
      </c>
      <c r="I2379" t="str">
        <f>_xlfn.IFS(B2379&lt;=5,"Night (0-5)",B2379&lt;=9,"Morning peak (6-9)",B2379&lt;=15,"Midday (10-15)",B2379&lt;=19,"Evening peak (16-19)",TRUE,"Late evening (20-23)")</f>
        <v>Night (0-5)</v>
      </c>
    </row>
    <row r="2380" spans="1:9">
      <c r="A2380" s="32">
        <v>41829</v>
      </c>
      <c r="B2380">
        <v>2</v>
      </c>
      <c r="C2380">
        <v>135</v>
      </c>
      <c r="D2380" t="s">
        <v>303</v>
      </c>
      <c r="E2380">
        <f>YEAR(A2380)</f>
        <v>2014</v>
      </c>
      <c r="F2380" s="33">
        <f>DATE(YEAR(A2380),MONTH(A2380),1)</f>
        <v>41821.0</v>
      </c>
      <c r="G2380" t="str">
        <f>CHOOSE(WEEKDAY(A2380,2),"Mon","Tue","Wed","Thu","Fri","Sat","Sun")</f>
        <v>Wed</v>
      </c>
      <c r="H2380" t="str">
        <f>IF(WEEKDAY(A2380,2)&gt;5,"Weekend","Weekday")</f>
        <v>Weekday</v>
      </c>
      <c r="I2380" t="str">
        <f>_xlfn.IFS(B2380&lt;=5,"Night (0-5)",B2380&lt;=9,"Morning peak (6-9)",B2380&lt;=15,"Midday (10-15)",B2380&lt;=19,"Evening peak (16-19)",TRUE,"Late evening (20-23)")</f>
        <v>Night (0-5)</v>
      </c>
    </row>
    <row r="2381" spans="1:9">
      <c r="A2381" s="32">
        <v>41829</v>
      </c>
      <c r="B2381">
        <v>3</v>
      </c>
      <c r="C2381">
        <v>217</v>
      </c>
      <c r="D2381" t="s">
        <v>303</v>
      </c>
      <c r="E2381">
        <f>YEAR(A2381)</f>
        <v>2014</v>
      </c>
      <c r="F2381" s="33">
        <f>DATE(YEAR(A2381),MONTH(A2381),1)</f>
        <v>41821.0</v>
      </c>
      <c r="G2381" t="str">
        <f>CHOOSE(WEEKDAY(A2381,2),"Mon","Tue","Wed","Thu","Fri","Sat","Sun")</f>
        <v>Wed</v>
      </c>
      <c r="H2381" t="str">
        <f>IF(WEEKDAY(A2381,2)&gt;5,"Weekend","Weekday")</f>
        <v>Weekday</v>
      </c>
      <c r="I2381" t="str">
        <f>_xlfn.IFS(B2381&lt;=5,"Night (0-5)",B2381&lt;=9,"Morning peak (6-9)",B2381&lt;=15,"Midday (10-15)",B2381&lt;=19,"Evening peak (16-19)",TRUE,"Late evening (20-23)")</f>
        <v>Night (0-5)</v>
      </c>
    </row>
    <row r="2382" spans="1:9">
      <c r="A2382" s="32">
        <v>41829</v>
      </c>
      <c r="B2382">
        <v>4</v>
      </c>
      <c r="C2382">
        <v>306</v>
      </c>
      <c r="D2382" t="s">
        <v>303</v>
      </c>
      <c r="E2382">
        <f>YEAR(A2382)</f>
        <v>2014</v>
      </c>
      <c r="F2382" s="33">
        <f>DATE(YEAR(A2382),MONTH(A2382),1)</f>
        <v>41821.0</v>
      </c>
      <c r="G2382" t="str">
        <f>CHOOSE(WEEKDAY(A2382,2),"Mon","Tue","Wed","Thu","Fri","Sat","Sun")</f>
        <v>Wed</v>
      </c>
      <c r="H2382" t="str">
        <f>IF(WEEKDAY(A2382,2)&gt;5,"Weekend","Weekday")</f>
        <v>Weekday</v>
      </c>
      <c r="I2382" t="str">
        <f>_xlfn.IFS(B2382&lt;=5,"Night (0-5)",B2382&lt;=9,"Morning peak (6-9)",B2382&lt;=15,"Midday (10-15)",B2382&lt;=19,"Evening peak (16-19)",TRUE,"Late evening (20-23)")</f>
        <v>Night (0-5)</v>
      </c>
    </row>
    <row r="2383" spans="1:9">
      <c r="A2383" s="32">
        <v>41829</v>
      </c>
      <c r="B2383">
        <v>5</v>
      </c>
      <c r="C2383">
        <v>572</v>
      </c>
      <c r="D2383" t="s">
        <v>303</v>
      </c>
      <c r="E2383">
        <f>YEAR(A2383)</f>
        <v>2014</v>
      </c>
      <c r="F2383" s="33">
        <f>DATE(YEAR(A2383),MONTH(A2383),1)</f>
        <v>41821.0</v>
      </c>
      <c r="G2383" t="str">
        <f>CHOOSE(WEEKDAY(A2383,2),"Mon","Tue","Wed","Thu","Fri","Sat","Sun")</f>
        <v>Wed</v>
      </c>
      <c r="H2383" t="str">
        <f>IF(WEEKDAY(A2383,2)&gt;5,"Weekend","Weekday")</f>
        <v>Weekday</v>
      </c>
      <c r="I2383" t="str">
        <f>_xlfn.IFS(B2383&lt;=5,"Night (0-5)",B2383&lt;=9,"Morning peak (6-9)",B2383&lt;=15,"Midday (10-15)",B2383&lt;=19,"Evening peak (16-19)",TRUE,"Late evening (20-23)")</f>
        <v>Night (0-5)</v>
      </c>
    </row>
    <row r="2384" spans="1:9">
      <c r="A2384" s="32">
        <v>41829</v>
      </c>
      <c r="B2384">
        <v>6</v>
      </c>
      <c r="C2384">
        <v>988</v>
      </c>
      <c r="D2384" t="s">
        <v>303</v>
      </c>
      <c r="E2384">
        <f>YEAR(A2384)</f>
        <v>2014</v>
      </c>
      <c r="F2384" s="33">
        <f>DATE(YEAR(A2384),MONTH(A2384),1)</f>
        <v>41821.0</v>
      </c>
      <c r="G2384" t="str">
        <f>CHOOSE(WEEKDAY(A2384,2),"Mon","Tue","Wed","Thu","Fri","Sat","Sun")</f>
        <v>Wed</v>
      </c>
      <c r="H2384" t="str">
        <f>IF(WEEKDAY(A2384,2)&gt;5,"Weekend","Weekday")</f>
        <v>Weekday</v>
      </c>
      <c r="I2384" t="str">
        <f>_xlfn.IFS(B2384&lt;=5,"Night (0-5)",B2384&lt;=9,"Morning peak (6-9)",B2384&lt;=15,"Midday (10-15)",B2384&lt;=19,"Evening peak (16-19)",TRUE,"Late evening (20-23)")</f>
        <v>Morning peak (6-9)</v>
      </c>
    </row>
    <row r="2385" spans="1:9">
      <c r="A2385" s="32">
        <v>41829</v>
      </c>
      <c r="B2385">
        <v>7</v>
      </c>
      <c r="C2385">
        <v>1388</v>
      </c>
      <c r="D2385" t="s">
        <v>303</v>
      </c>
      <c r="E2385">
        <f>YEAR(A2385)</f>
        <v>2014</v>
      </c>
      <c r="F2385" s="33">
        <f>DATE(YEAR(A2385),MONTH(A2385),1)</f>
        <v>41821.0</v>
      </c>
      <c r="G2385" t="str">
        <f>CHOOSE(WEEKDAY(A2385,2),"Mon","Tue","Wed","Thu","Fri","Sat","Sun")</f>
        <v>Wed</v>
      </c>
      <c r="H2385" t="str">
        <f>IF(WEEKDAY(A2385,2)&gt;5,"Weekend","Weekday")</f>
        <v>Weekday</v>
      </c>
      <c r="I2385" t="str">
        <f>_xlfn.IFS(B2385&lt;=5,"Night (0-5)",B2385&lt;=9,"Morning peak (6-9)",B2385&lt;=15,"Midday (10-15)",B2385&lt;=19,"Evening peak (16-19)",TRUE,"Late evening (20-23)")</f>
        <v>Morning peak (6-9)</v>
      </c>
    </row>
    <row r="2386" spans="1:9">
      <c r="A2386" s="32">
        <v>41829</v>
      </c>
      <c r="B2386">
        <v>8</v>
      </c>
      <c r="C2386">
        <v>1394</v>
      </c>
      <c r="D2386" t="s">
        <v>303</v>
      </c>
      <c r="E2386">
        <f>YEAR(A2386)</f>
        <v>2014</v>
      </c>
      <c r="F2386" s="33">
        <f>DATE(YEAR(A2386),MONTH(A2386),1)</f>
        <v>41821.0</v>
      </c>
      <c r="G2386" t="str">
        <f>CHOOSE(WEEKDAY(A2386,2),"Mon","Tue","Wed","Thu","Fri","Sat","Sun")</f>
        <v>Wed</v>
      </c>
      <c r="H2386" t="str">
        <f>IF(WEEKDAY(A2386,2)&gt;5,"Weekend","Weekday")</f>
        <v>Weekday</v>
      </c>
      <c r="I2386" t="str">
        <f>_xlfn.IFS(B2386&lt;=5,"Night (0-5)",B2386&lt;=9,"Morning peak (6-9)",B2386&lt;=15,"Midday (10-15)",B2386&lt;=19,"Evening peak (16-19)",TRUE,"Late evening (20-23)")</f>
        <v>Morning peak (6-9)</v>
      </c>
    </row>
    <row r="2387" spans="1:9">
      <c r="A2387" s="32">
        <v>41829</v>
      </c>
      <c r="B2387">
        <v>9</v>
      </c>
      <c r="C2387">
        <v>1035</v>
      </c>
      <c r="D2387" t="s">
        <v>303</v>
      </c>
      <c r="E2387">
        <f>YEAR(A2387)</f>
        <v>2014</v>
      </c>
      <c r="F2387" s="33">
        <f>DATE(YEAR(A2387),MONTH(A2387),1)</f>
        <v>41821.0</v>
      </c>
      <c r="G2387" t="str">
        <f>CHOOSE(WEEKDAY(A2387,2),"Mon","Tue","Wed","Thu","Fri","Sat","Sun")</f>
        <v>Wed</v>
      </c>
      <c r="H2387" t="str">
        <f>IF(WEEKDAY(A2387,2)&gt;5,"Weekend","Weekday")</f>
        <v>Weekday</v>
      </c>
      <c r="I2387" t="str">
        <f>_xlfn.IFS(B2387&lt;=5,"Night (0-5)",B2387&lt;=9,"Morning peak (6-9)",B2387&lt;=15,"Midday (10-15)",B2387&lt;=19,"Evening peak (16-19)",TRUE,"Late evening (20-23)")</f>
        <v>Morning peak (6-9)</v>
      </c>
    </row>
    <row r="2388" spans="1:9">
      <c r="A2388" s="32">
        <v>41829</v>
      </c>
      <c r="B2388">
        <v>10</v>
      </c>
      <c r="C2388">
        <v>976</v>
      </c>
      <c r="D2388" t="s">
        <v>303</v>
      </c>
      <c r="E2388">
        <f>YEAR(A2388)</f>
        <v>2014</v>
      </c>
      <c r="F2388" s="33">
        <f>DATE(YEAR(A2388),MONTH(A2388),1)</f>
        <v>41821.0</v>
      </c>
      <c r="G2388" t="str">
        <f>CHOOSE(WEEKDAY(A2388,2),"Mon","Tue","Wed","Thu","Fri","Sat","Sun")</f>
        <v>Wed</v>
      </c>
      <c r="H2388" t="str">
        <f>IF(WEEKDAY(A2388,2)&gt;5,"Weekend","Weekday")</f>
        <v>Weekday</v>
      </c>
      <c r="I2388" t="str">
        <f>_xlfn.IFS(B2388&lt;=5,"Night (0-5)",B2388&lt;=9,"Morning peak (6-9)",B2388&lt;=15,"Midday (10-15)",B2388&lt;=19,"Evening peak (16-19)",TRUE,"Late evening (20-23)")</f>
        <v>Midday (10-15)</v>
      </c>
    </row>
    <row r="2389" spans="1:9">
      <c r="A2389" s="32">
        <v>41829</v>
      </c>
      <c r="B2389">
        <v>11</v>
      </c>
      <c r="C2389">
        <v>1042</v>
      </c>
      <c r="D2389" t="s">
        <v>303</v>
      </c>
      <c r="E2389">
        <f>YEAR(A2389)</f>
        <v>2014</v>
      </c>
      <c r="F2389" s="33">
        <f>DATE(YEAR(A2389),MONTH(A2389),1)</f>
        <v>41821.0</v>
      </c>
      <c r="G2389" t="str">
        <f>CHOOSE(WEEKDAY(A2389,2),"Mon","Tue","Wed","Thu","Fri","Sat","Sun")</f>
        <v>Wed</v>
      </c>
      <c r="H2389" t="str">
        <f>IF(WEEKDAY(A2389,2)&gt;5,"Weekend","Weekday")</f>
        <v>Weekday</v>
      </c>
      <c r="I2389" t="str">
        <f>_xlfn.IFS(B2389&lt;=5,"Night (0-5)",B2389&lt;=9,"Morning peak (6-9)",B2389&lt;=15,"Midday (10-15)",B2389&lt;=19,"Evening peak (16-19)",TRUE,"Late evening (20-23)")</f>
        <v>Midday (10-15)</v>
      </c>
    </row>
    <row r="2390" spans="1:9">
      <c r="A2390" s="32">
        <v>41829</v>
      </c>
      <c r="B2390">
        <v>12</v>
      </c>
      <c r="C2390">
        <v>1027</v>
      </c>
      <c r="D2390" t="s">
        <v>303</v>
      </c>
      <c r="E2390">
        <f>YEAR(A2390)</f>
        <v>2014</v>
      </c>
      <c r="F2390" s="33">
        <f>DATE(YEAR(A2390),MONTH(A2390),1)</f>
        <v>41821.0</v>
      </c>
      <c r="G2390" t="str">
        <f>CHOOSE(WEEKDAY(A2390,2),"Mon","Tue","Wed","Thu","Fri","Sat","Sun")</f>
        <v>Wed</v>
      </c>
      <c r="H2390" t="str">
        <f>IF(WEEKDAY(A2390,2)&gt;5,"Weekend","Weekday")</f>
        <v>Weekday</v>
      </c>
      <c r="I2390" t="str">
        <f>_xlfn.IFS(B2390&lt;=5,"Night (0-5)",B2390&lt;=9,"Morning peak (6-9)",B2390&lt;=15,"Midday (10-15)",B2390&lt;=19,"Evening peak (16-19)",TRUE,"Late evening (20-23)")</f>
        <v>Midday (10-15)</v>
      </c>
    </row>
    <row r="2391" spans="1:9">
      <c r="A2391" s="32">
        <v>41829</v>
      </c>
      <c r="B2391">
        <v>13</v>
      </c>
      <c r="C2391">
        <v>1193</v>
      </c>
      <c r="D2391" t="s">
        <v>303</v>
      </c>
      <c r="E2391">
        <f>YEAR(A2391)</f>
        <v>2014</v>
      </c>
      <c r="F2391" s="33">
        <f>DATE(YEAR(A2391),MONTH(A2391),1)</f>
        <v>41821.0</v>
      </c>
      <c r="G2391" t="str">
        <f>CHOOSE(WEEKDAY(A2391,2),"Mon","Tue","Wed","Thu","Fri","Sat","Sun")</f>
        <v>Wed</v>
      </c>
      <c r="H2391" t="str">
        <f>IF(WEEKDAY(A2391,2)&gt;5,"Weekend","Weekday")</f>
        <v>Weekday</v>
      </c>
      <c r="I2391" t="str">
        <f>_xlfn.IFS(B2391&lt;=5,"Night (0-5)",B2391&lt;=9,"Morning peak (6-9)",B2391&lt;=15,"Midday (10-15)",B2391&lt;=19,"Evening peak (16-19)",TRUE,"Late evening (20-23)")</f>
        <v>Midday (10-15)</v>
      </c>
    </row>
    <row r="2392" spans="1:9">
      <c r="A2392" s="32">
        <v>41829</v>
      </c>
      <c r="B2392">
        <v>14</v>
      </c>
      <c r="C2392">
        <v>1420</v>
      </c>
      <c r="D2392" t="s">
        <v>303</v>
      </c>
      <c r="E2392">
        <f>YEAR(A2392)</f>
        <v>2014</v>
      </c>
      <c r="F2392" s="33">
        <f>DATE(YEAR(A2392),MONTH(A2392),1)</f>
        <v>41821.0</v>
      </c>
      <c r="G2392" t="str">
        <f>CHOOSE(WEEKDAY(A2392,2),"Mon","Tue","Wed","Thu","Fri","Sat","Sun")</f>
        <v>Wed</v>
      </c>
      <c r="H2392" t="str">
        <f>IF(WEEKDAY(A2392,2)&gt;5,"Weekend","Weekday")</f>
        <v>Weekday</v>
      </c>
      <c r="I2392" t="str">
        <f>_xlfn.IFS(B2392&lt;=5,"Night (0-5)",B2392&lt;=9,"Morning peak (6-9)",B2392&lt;=15,"Midday (10-15)",B2392&lt;=19,"Evening peak (16-19)",TRUE,"Late evening (20-23)")</f>
        <v>Midday (10-15)</v>
      </c>
    </row>
    <row r="2393" spans="1:9">
      <c r="A2393" s="32">
        <v>41829</v>
      </c>
      <c r="B2393">
        <v>15</v>
      </c>
      <c r="C2393">
        <v>1620</v>
      </c>
      <c r="D2393" t="s">
        <v>303</v>
      </c>
      <c r="E2393">
        <f>YEAR(A2393)</f>
        <v>2014</v>
      </c>
      <c r="F2393" s="33">
        <f>DATE(YEAR(A2393),MONTH(A2393),1)</f>
        <v>41821.0</v>
      </c>
      <c r="G2393" t="str">
        <f>CHOOSE(WEEKDAY(A2393,2),"Mon","Tue","Wed","Thu","Fri","Sat","Sun")</f>
        <v>Wed</v>
      </c>
      <c r="H2393" t="str">
        <f>IF(WEEKDAY(A2393,2)&gt;5,"Weekend","Weekday")</f>
        <v>Weekday</v>
      </c>
      <c r="I2393" t="str">
        <f>_xlfn.IFS(B2393&lt;=5,"Night (0-5)",B2393&lt;=9,"Morning peak (6-9)",B2393&lt;=15,"Midday (10-15)",B2393&lt;=19,"Evening peak (16-19)",TRUE,"Late evening (20-23)")</f>
        <v>Midday (10-15)</v>
      </c>
    </row>
    <row r="2394" spans="1:9">
      <c r="A2394" s="32">
        <v>41829</v>
      </c>
      <c r="B2394">
        <v>16</v>
      </c>
      <c r="C2394">
        <v>1839</v>
      </c>
      <c r="D2394" t="s">
        <v>303</v>
      </c>
      <c r="E2394">
        <f>YEAR(A2394)</f>
        <v>2014</v>
      </c>
      <c r="F2394" s="33">
        <f>DATE(YEAR(A2394),MONTH(A2394),1)</f>
        <v>41821.0</v>
      </c>
      <c r="G2394" t="str">
        <f>CHOOSE(WEEKDAY(A2394,2),"Mon","Tue","Wed","Thu","Fri","Sat","Sun")</f>
        <v>Wed</v>
      </c>
      <c r="H2394" t="str">
        <f>IF(WEEKDAY(A2394,2)&gt;5,"Weekend","Weekday")</f>
        <v>Weekday</v>
      </c>
      <c r="I2394" t="str">
        <f>_xlfn.IFS(B2394&lt;=5,"Night (0-5)",B2394&lt;=9,"Morning peak (6-9)",B2394&lt;=15,"Midday (10-15)",B2394&lt;=19,"Evening peak (16-19)",TRUE,"Late evening (20-23)")</f>
        <v>Evening peak (16-19)</v>
      </c>
    </row>
    <row r="2395" spans="1:9">
      <c r="A2395" s="32">
        <v>41829</v>
      </c>
      <c r="B2395">
        <v>17</v>
      </c>
      <c r="C2395">
        <v>2153</v>
      </c>
      <c r="D2395" t="s">
        <v>303</v>
      </c>
      <c r="E2395">
        <f>YEAR(A2395)</f>
        <v>2014</v>
      </c>
      <c r="F2395" s="33">
        <f>DATE(YEAR(A2395),MONTH(A2395),1)</f>
        <v>41821.0</v>
      </c>
      <c r="G2395" t="str">
        <f>CHOOSE(WEEKDAY(A2395,2),"Mon","Tue","Wed","Thu","Fri","Sat","Sun")</f>
        <v>Wed</v>
      </c>
      <c r="H2395" t="str">
        <f>IF(WEEKDAY(A2395,2)&gt;5,"Weekend","Weekday")</f>
        <v>Weekday</v>
      </c>
      <c r="I2395" t="str">
        <f>_xlfn.IFS(B2395&lt;=5,"Night (0-5)",B2395&lt;=9,"Morning peak (6-9)",B2395&lt;=15,"Midday (10-15)",B2395&lt;=19,"Evening peak (16-19)",TRUE,"Late evening (20-23)")</f>
        <v>Evening peak (16-19)</v>
      </c>
    </row>
    <row r="2396" spans="1:9">
      <c r="A2396" s="32">
        <v>41829</v>
      </c>
      <c r="B2396">
        <v>18</v>
      </c>
      <c r="C2396">
        <v>2152</v>
      </c>
      <c r="D2396" t="s">
        <v>303</v>
      </c>
      <c r="E2396">
        <f>YEAR(A2396)</f>
        <v>2014</v>
      </c>
      <c r="F2396" s="33">
        <f>DATE(YEAR(A2396),MONTH(A2396),1)</f>
        <v>41821.0</v>
      </c>
      <c r="G2396" t="str">
        <f>CHOOSE(WEEKDAY(A2396,2),"Mon","Tue","Wed","Thu","Fri","Sat","Sun")</f>
        <v>Wed</v>
      </c>
      <c r="H2396" t="str">
        <f>IF(WEEKDAY(A2396,2)&gt;5,"Weekend","Weekday")</f>
        <v>Weekday</v>
      </c>
      <c r="I2396" t="str">
        <f>_xlfn.IFS(B2396&lt;=5,"Night (0-5)",B2396&lt;=9,"Morning peak (6-9)",B2396&lt;=15,"Midday (10-15)",B2396&lt;=19,"Evening peak (16-19)",TRUE,"Late evening (20-23)")</f>
        <v>Evening peak (16-19)</v>
      </c>
    </row>
    <row r="2397" spans="1:9">
      <c r="A2397" s="32">
        <v>41829</v>
      </c>
      <c r="B2397">
        <v>19</v>
      </c>
      <c r="C2397">
        <v>2006</v>
      </c>
      <c r="D2397" t="s">
        <v>303</v>
      </c>
      <c r="E2397">
        <f>YEAR(A2397)</f>
        <v>2014</v>
      </c>
      <c r="F2397" s="33">
        <f>DATE(YEAR(A2397),MONTH(A2397),1)</f>
        <v>41821.0</v>
      </c>
      <c r="G2397" t="str">
        <f>CHOOSE(WEEKDAY(A2397,2),"Mon","Tue","Wed","Thu","Fri","Sat","Sun")</f>
        <v>Wed</v>
      </c>
      <c r="H2397" t="str">
        <f>IF(WEEKDAY(A2397,2)&gt;5,"Weekend","Weekday")</f>
        <v>Weekday</v>
      </c>
      <c r="I2397" t="str">
        <f>_xlfn.IFS(B2397&lt;=5,"Night (0-5)",B2397&lt;=9,"Morning peak (6-9)",B2397&lt;=15,"Midday (10-15)",B2397&lt;=19,"Evening peak (16-19)",TRUE,"Late evening (20-23)")</f>
        <v>Evening peak (16-19)</v>
      </c>
    </row>
    <row r="2398" spans="1:9">
      <c r="A2398" s="32">
        <v>41829</v>
      </c>
      <c r="B2398">
        <v>20</v>
      </c>
      <c r="C2398">
        <v>1876</v>
      </c>
      <c r="D2398" t="s">
        <v>303</v>
      </c>
      <c r="E2398">
        <f>YEAR(A2398)</f>
        <v>2014</v>
      </c>
      <c r="F2398" s="33">
        <f>DATE(YEAR(A2398),MONTH(A2398),1)</f>
        <v>41821.0</v>
      </c>
      <c r="G2398" t="str">
        <f>CHOOSE(WEEKDAY(A2398,2),"Mon","Tue","Wed","Thu","Fri","Sat","Sun")</f>
        <v>Wed</v>
      </c>
      <c r="H2398" t="str">
        <f>IF(WEEKDAY(A2398,2)&gt;5,"Weekend","Weekday")</f>
        <v>Weekday</v>
      </c>
      <c r="I2398" t="str">
        <f>_xlfn.IFS(B2398&lt;=5,"Night (0-5)",B2398&lt;=9,"Morning peak (6-9)",B2398&lt;=15,"Midday (10-15)",B2398&lt;=19,"Evening peak (16-19)",TRUE,"Late evening (20-23)")</f>
        <v>Late evening (20-23)</v>
      </c>
    </row>
    <row r="2399" spans="1:9">
      <c r="A2399" s="32">
        <v>41829</v>
      </c>
      <c r="B2399">
        <v>21</v>
      </c>
      <c r="C2399">
        <v>1759</v>
      </c>
      <c r="D2399" t="s">
        <v>303</v>
      </c>
      <c r="E2399">
        <f>YEAR(A2399)</f>
        <v>2014</v>
      </c>
      <c r="F2399" s="33">
        <f>DATE(YEAR(A2399),MONTH(A2399),1)</f>
        <v>41821.0</v>
      </c>
      <c r="G2399" t="str">
        <f>CHOOSE(WEEKDAY(A2399,2),"Mon","Tue","Wed","Thu","Fri","Sat","Sun")</f>
        <v>Wed</v>
      </c>
      <c r="H2399" t="str">
        <f>IF(WEEKDAY(A2399,2)&gt;5,"Weekend","Weekday")</f>
        <v>Weekday</v>
      </c>
      <c r="I2399" t="str">
        <f>_xlfn.IFS(B2399&lt;=5,"Night (0-5)",B2399&lt;=9,"Morning peak (6-9)",B2399&lt;=15,"Midday (10-15)",B2399&lt;=19,"Evening peak (16-19)",TRUE,"Late evening (20-23)")</f>
        <v>Late evening (20-23)</v>
      </c>
    </row>
    <row r="2400" spans="1:9">
      <c r="A2400" s="32">
        <v>41829</v>
      </c>
      <c r="B2400">
        <v>22</v>
      </c>
      <c r="C2400">
        <v>1361</v>
      </c>
      <c r="D2400" t="s">
        <v>303</v>
      </c>
      <c r="E2400">
        <f>YEAR(A2400)</f>
        <v>2014</v>
      </c>
      <c r="F2400" s="33">
        <f>DATE(YEAR(A2400),MONTH(A2400),1)</f>
        <v>41821.0</v>
      </c>
      <c r="G2400" t="str">
        <f>CHOOSE(WEEKDAY(A2400,2),"Mon","Tue","Wed","Thu","Fri","Sat","Sun")</f>
        <v>Wed</v>
      </c>
      <c r="H2400" t="str">
        <f>IF(WEEKDAY(A2400,2)&gt;5,"Weekend","Weekday")</f>
        <v>Weekday</v>
      </c>
      <c r="I2400" t="str">
        <f>_xlfn.IFS(B2400&lt;=5,"Night (0-5)",B2400&lt;=9,"Morning peak (6-9)",B2400&lt;=15,"Midday (10-15)",B2400&lt;=19,"Evening peak (16-19)",TRUE,"Late evening (20-23)")</f>
        <v>Late evening (20-23)</v>
      </c>
    </row>
    <row r="2401" spans="1:9">
      <c r="A2401" s="32">
        <v>41829</v>
      </c>
      <c r="B2401">
        <v>23</v>
      </c>
      <c r="C2401">
        <v>783</v>
      </c>
      <c r="D2401" t="s">
        <v>303</v>
      </c>
      <c r="E2401">
        <f>YEAR(A2401)</f>
        <v>2014</v>
      </c>
      <c r="F2401" s="33">
        <f>DATE(YEAR(A2401),MONTH(A2401),1)</f>
        <v>41821.0</v>
      </c>
      <c r="G2401" t="str">
        <f>CHOOSE(WEEKDAY(A2401,2),"Mon","Tue","Wed","Thu","Fri","Sat","Sun")</f>
        <v>Wed</v>
      </c>
      <c r="H2401" t="str">
        <f>IF(WEEKDAY(A2401,2)&gt;5,"Weekend","Weekday")</f>
        <v>Weekday</v>
      </c>
      <c r="I2401" t="str">
        <f>_xlfn.IFS(B2401&lt;=5,"Night (0-5)",B2401&lt;=9,"Morning peak (6-9)",B2401&lt;=15,"Midday (10-15)",B2401&lt;=19,"Evening peak (16-19)",TRUE,"Late evening (20-23)")</f>
        <v>Late evening (20-23)</v>
      </c>
    </row>
    <row r="2402" spans="1:9">
      <c r="A2402" s="32">
        <v>41830</v>
      </c>
      <c r="B2402">
        <v>0</v>
      </c>
      <c r="C2402">
        <v>437</v>
      </c>
      <c r="D2402" t="s">
        <v>303</v>
      </c>
      <c r="E2402">
        <f>YEAR(A2402)</f>
        <v>2014</v>
      </c>
      <c r="F2402" s="33">
        <f>DATE(YEAR(A2402),MONTH(A2402),1)</f>
        <v>41821.0</v>
      </c>
      <c r="G2402" t="str">
        <f>CHOOSE(WEEKDAY(A2402,2),"Mon","Tue","Wed","Thu","Fri","Sat","Sun")</f>
        <v>Thu</v>
      </c>
      <c r="H2402" t="str">
        <f>IF(WEEKDAY(A2402,2)&gt;5,"Weekend","Weekday")</f>
        <v>Weekday</v>
      </c>
      <c r="I2402" t="str">
        <f>_xlfn.IFS(B2402&lt;=5,"Night (0-5)",B2402&lt;=9,"Morning peak (6-9)",B2402&lt;=15,"Midday (10-15)",B2402&lt;=19,"Evening peak (16-19)",TRUE,"Late evening (20-23)")</f>
        <v>Night (0-5)</v>
      </c>
    </row>
    <row r="2403" spans="1:9">
      <c r="A2403" s="32">
        <v>41830</v>
      </c>
      <c r="B2403">
        <v>1</v>
      </c>
      <c r="C2403">
        <v>212</v>
      </c>
      <c r="D2403" t="s">
        <v>303</v>
      </c>
      <c r="E2403">
        <f>YEAR(A2403)</f>
        <v>2014</v>
      </c>
      <c r="F2403" s="33">
        <f>DATE(YEAR(A2403),MONTH(A2403),1)</f>
        <v>41821.0</v>
      </c>
      <c r="G2403" t="str">
        <f>CHOOSE(WEEKDAY(A2403,2),"Mon","Tue","Wed","Thu","Fri","Sat","Sun")</f>
        <v>Thu</v>
      </c>
      <c r="H2403" t="str">
        <f>IF(WEEKDAY(A2403,2)&gt;5,"Weekend","Weekday")</f>
        <v>Weekday</v>
      </c>
      <c r="I2403" t="str">
        <f>_xlfn.IFS(B2403&lt;=5,"Night (0-5)",B2403&lt;=9,"Morning peak (6-9)",B2403&lt;=15,"Midday (10-15)",B2403&lt;=19,"Evening peak (16-19)",TRUE,"Late evening (20-23)")</f>
        <v>Night (0-5)</v>
      </c>
    </row>
    <row r="2404" spans="1:9">
      <c r="A2404" s="32">
        <v>41830</v>
      </c>
      <c r="B2404">
        <v>2</v>
      </c>
      <c r="C2404">
        <v>146</v>
      </c>
      <c r="D2404" t="s">
        <v>303</v>
      </c>
      <c r="E2404">
        <f>YEAR(A2404)</f>
        <v>2014</v>
      </c>
      <c r="F2404" s="33">
        <f>DATE(YEAR(A2404),MONTH(A2404),1)</f>
        <v>41821.0</v>
      </c>
      <c r="G2404" t="str">
        <f>CHOOSE(WEEKDAY(A2404,2),"Mon","Tue","Wed","Thu","Fri","Sat","Sun")</f>
        <v>Thu</v>
      </c>
      <c r="H2404" t="str">
        <f>IF(WEEKDAY(A2404,2)&gt;5,"Weekend","Weekday")</f>
        <v>Weekday</v>
      </c>
      <c r="I2404" t="str">
        <f>_xlfn.IFS(B2404&lt;=5,"Night (0-5)",B2404&lt;=9,"Morning peak (6-9)",B2404&lt;=15,"Midday (10-15)",B2404&lt;=19,"Evening peak (16-19)",TRUE,"Late evening (20-23)")</f>
        <v>Night (0-5)</v>
      </c>
    </row>
    <row r="2405" spans="1:9">
      <c r="A2405" s="32">
        <v>41830</v>
      </c>
      <c r="B2405">
        <v>3</v>
      </c>
      <c r="C2405">
        <v>233</v>
      </c>
      <c r="D2405" t="s">
        <v>303</v>
      </c>
      <c r="E2405">
        <f>YEAR(A2405)</f>
        <v>2014</v>
      </c>
      <c r="F2405" s="33">
        <f>DATE(YEAR(A2405),MONTH(A2405),1)</f>
        <v>41821.0</v>
      </c>
      <c r="G2405" t="str">
        <f>CHOOSE(WEEKDAY(A2405,2),"Mon","Tue","Wed","Thu","Fri","Sat","Sun")</f>
        <v>Thu</v>
      </c>
      <c r="H2405" t="str">
        <f>IF(WEEKDAY(A2405,2)&gt;5,"Weekend","Weekday")</f>
        <v>Weekday</v>
      </c>
      <c r="I2405" t="str">
        <f>_xlfn.IFS(B2405&lt;=5,"Night (0-5)",B2405&lt;=9,"Morning peak (6-9)",B2405&lt;=15,"Midday (10-15)",B2405&lt;=19,"Evening peak (16-19)",TRUE,"Late evening (20-23)")</f>
        <v>Night (0-5)</v>
      </c>
    </row>
    <row r="2406" spans="1:9">
      <c r="A2406" s="32">
        <v>41830</v>
      </c>
      <c r="B2406">
        <v>4</v>
      </c>
      <c r="C2406">
        <v>303</v>
      </c>
      <c r="D2406" t="s">
        <v>303</v>
      </c>
      <c r="E2406">
        <f>YEAR(A2406)</f>
        <v>2014</v>
      </c>
      <c r="F2406" s="33">
        <f>DATE(YEAR(A2406),MONTH(A2406),1)</f>
        <v>41821.0</v>
      </c>
      <c r="G2406" t="str">
        <f>CHOOSE(WEEKDAY(A2406,2),"Mon","Tue","Wed","Thu","Fri","Sat","Sun")</f>
        <v>Thu</v>
      </c>
      <c r="H2406" t="str">
        <f>IF(WEEKDAY(A2406,2)&gt;5,"Weekend","Weekday")</f>
        <v>Weekday</v>
      </c>
      <c r="I2406" t="str">
        <f>_xlfn.IFS(B2406&lt;=5,"Night (0-5)",B2406&lt;=9,"Morning peak (6-9)",B2406&lt;=15,"Midday (10-15)",B2406&lt;=19,"Evening peak (16-19)",TRUE,"Late evening (20-23)")</f>
        <v>Night (0-5)</v>
      </c>
    </row>
    <row r="2407" spans="1:9">
      <c r="A2407" s="32">
        <v>41830</v>
      </c>
      <c r="B2407">
        <v>5</v>
      </c>
      <c r="C2407">
        <v>566</v>
      </c>
      <c r="D2407" t="s">
        <v>303</v>
      </c>
      <c r="E2407">
        <f>YEAR(A2407)</f>
        <v>2014</v>
      </c>
      <c r="F2407" s="33">
        <f>DATE(YEAR(A2407),MONTH(A2407),1)</f>
        <v>41821.0</v>
      </c>
      <c r="G2407" t="str">
        <f>CHOOSE(WEEKDAY(A2407,2),"Mon","Tue","Wed","Thu","Fri","Sat","Sun")</f>
        <v>Thu</v>
      </c>
      <c r="H2407" t="str">
        <f>IF(WEEKDAY(A2407,2)&gt;5,"Weekend","Weekday")</f>
        <v>Weekday</v>
      </c>
      <c r="I2407" t="str">
        <f>_xlfn.IFS(B2407&lt;=5,"Night (0-5)",B2407&lt;=9,"Morning peak (6-9)",B2407&lt;=15,"Midday (10-15)",B2407&lt;=19,"Evening peak (16-19)",TRUE,"Late evening (20-23)")</f>
        <v>Night (0-5)</v>
      </c>
    </row>
    <row r="2408" spans="1:9">
      <c r="A2408" s="32">
        <v>41830</v>
      </c>
      <c r="B2408">
        <v>6</v>
      </c>
      <c r="C2408">
        <v>1078</v>
      </c>
      <c r="D2408" t="s">
        <v>303</v>
      </c>
      <c r="E2408">
        <f>YEAR(A2408)</f>
        <v>2014</v>
      </c>
      <c r="F2408" s="33">
        <f>DATE(YEAR(A2408),MONTH(A2408),1)</f>
        <v>41821.0</v>
      </c>
      <c r="G2408" t="str">
        <f>CHOOSE(WEEKDAY(A2408,2),"Mon","Tue","Wed","Thu","Fri","Sat","Sun")</f>
        <v>Thu</v>
      </c>
      <c r="H2408" t="str">
        <f>IF(WEEKDAY(A2408,2)&gt;5,"Weekend","Weekday")</f>
        <v>Weekday</v>
      </c>
      <c r="I2408" t="str">
        <f>_xlfn.IFS(B2408&lt;=5,"Night (0-5)",B2408&lt;=9,"Morning peak (6-9)",B2408&lt;=15,"Midday (10-15)",B2408&lt;=19,"Evening peak (16-19)",TRUE,"Late evening (20-23)")</f>
        <v>Morning peak (6-9)</v>
      </c>
    </row>
    <row r="2409" spans="1:9">
      <c r="A2409" s="32">
        <v>41830</v>
      </c>
      <c r="B2409">
        <v>7</v>
      </c>
      <c r="C2409">
        <v>1428</v>
      </c>
      <c r="D2409" t="s">
        <v>303</v>
      </c>
      <c r="E2409">
        <f>YEAR(A2409)</f>
        <v>2014</v>
      </c>
      <c r="F2409" s="33">
        <f>DATE(YEAR(A2409),MONTH(A2409),1)</f>
        <v>41821.0</v>
      </c>
      <c r="G2409" t="str">
        <f>CHOOSE(WEEKDAY(A2409,2),"Mon","Tue","Wed","Thu","Fri","Sat","Sun")</f>
        <v>Thu</v>
      </c>
      <c r="H2409" t="str">
        <f>IF(WEEKDAY(A2409,2)&gt;5,"Weekend","Weekday")</f>
        <v>Weekday</v>
      </c>
      <c r="I2409" t="str">
        <f>_xlfn.IFS(B2409&lt;=5,"Night (0-5)",B2409&lt;=9,"Morning peak (6-9)",B2409&lt;=15,"Midday (10-15)",B2409&lt;=19,"Evening peak (16-19)",TRUE,"Late evening (20-23)")</f>
        <v>Morning peak (6-9)</v>
      </c>
    </row>
    <row r="2410" spans="1:9">
      <c r="A2410" s="32">
        <v>41830</v>
      </c>
      <c r="B2410">
        <v>8</v>
      </c>
      <c r="C2410">
        <v>1473</v>
      </c>
      <c r="D2410" t="s">
        <v>303</v>
      </c>
      <c r="E2410">
        <f>YEAR(A2410)</f>
        <v>2014</v>
      </c>
      <c r="F2410" s="33">
        <f>DATE(YEAR(A2410),MONTH(A2410),1)</f>
        <v>41821.0</v>
      </c>
      <c r="G2410" t="str">
        <f>CHOOSE(WEEKDAY(A2410,2),"Mon","Tue","Wed","Thu","Fri","Sat","Sun")</f>
        <v>Thu</v>
      </c>
      <c r="H2410" t="str">
        <f>IF(WEEKDAY(A2410,2)&gt;5,"Weekend","Weekday")</f>
        <v>Weekday</v>
      </c>
      <c r="I2410" t="str">
        <f>_xlfn.IFS(B2410&lt;=5,"Night (0-5)",B2410&lt;=9,"Morning peak (6-9)",B2410&lt;=15,"Midday (10-15)",B2410&lt;=19,"Evening peak (16-19)",TRUE,"Late evening (20-23)")</f>
        <v>Morning peak (6-9)</v>
      </c>
    </row>
    <row r="2411" spans="1:9">
      <c r="A2411" s="32">
        <v>41830</v>
      </c>
      <c r="B2411">
        <v>9</v>
      </c>
      <c r="C2411">
        <v>1067</v>
      </c>
      <c r="D2411" t="s">
        <v>303</v>
      </c>
      <c r="E2411">
        <f>YEAR(A2411)</f>
        <v>2014</v>
      </c>
      <c r="F2411" s="33">
        <f>DATE(YEAR(A2411),MONTH(A2411),1)</f>
        <v>41821.0</v>
      </c>
      <c r="G2411" t="str">
        <f>CHOOSE(WEEKDAY(A2411,2),"Mon","Tue","Wed","Thu","Fri","Sat","Sun")</f>
        <v>Thu</v>
      </c>
      <c r="H2411" t="str">
        <f>IF(WEEKDAY(A2411,2)&gt;5,"Weekend","Weekday")</f>
        <v>Weekday</v>
      </c>
      <c r="I2411" t="str">
        <f>_xlfn.IFS(B2411&lt;=5,"Night (0-5)",B2411&lt;=9,"Morning peak (6-9)",B2411&lt;=15,"Midday (10-15)",B2411&lt;=19,"Evening peak (16-19)",TRUE,"Late evening (20-23)")</f>
        <v>Morning peak (6-9)</v>
      </c>
    </row>
    <row r="2412" spans="1:9">
      <c r="A2412" s="32">
        <v>41830</v>
      </c>
      <c r="B2412">
        <v>10</v>
      </c>
      <c r="C2412">
        <v>1053</v>
      </c>
      <c r="D2412" t="s">
        <v>303</v>
      </c>
      <c r="E2412">
        <f>YEAR(A2412)</f>
        <v>2014</v>
      </c>
      <c r="F2412" s="33">
        <f>DATE(YEAR(A2412),MONTH(A2412),1)</f>
        <v>41821.0</v>
      </c>
      <c r="G2412" t="str">
        <f>CHOOSE(WEEKDAY(A2412,2),"Mon","Tue","Wed","Thu","Fri","Sat","Sun")</f>
        <v>Thu</v>
      </c>
      <c r="H2412" t="str">
        <f>IF(WEEKDAY(A2412,2)&gt;5,"Weekend","Weekday")</f>
        <v>Weekday</v>
      </c>
      <c r="I2412" t="str">
        <f>_xlfn.IFS(B2412&lt;=5,"Night (0-5)",B2412&lt;=9,"Morning peak (6-9)",B2412&lt;=15,"Midday (10-15)",B2412&lt;=19,"Evening peak (16-19)",TRUE,"Late evening (20-23)")</f>
        <v>Midday (10-15)</v>
      </c>
    </row>
    <row r="2413" spans="1:9">
      <c r="A2413" s="32">
        <v>41830</v>
      </c>
      <c r="B2413">
        <v>11</v>
      </c>
      <c r="C2413">
        <v>1057</v>
      </c>
      <c r="D2413" t="s">
        <v>303</v>
      </c>
      <c r="E2413">
        <f>YEAR(A2413)</f>
        <v>2014</v>
      </c>
      <c r="F2413" s="33">
        <f>DATE(YEAR(A2413),MONTH(A2413),1)</f>
        <v>41821.0</v>
      </c>
      <c r="G2413" t="str">
        <f>CHOOSE(WEEKDAY(A2413,2),"Mon","Tue","Wed","Thu","Fri","Sat","Sun")</f>
        <v>Thu</v>
      </c>
      <c r="H2413" t="str">
        <f>IF(WEEKDAY(A2413,2)&gt;5,"Weekend","Weekday")</f>
        <v>Weekday</v>
      </c>
      <c r="I2413" t="str">
        <f>_xlfn.IFS(B2413&lt;=5,"Night (0-5)",B2413&lt;=9,"Morning peak (6-9)",B2413&lt;=15,"Midday (10-15)",B2413&lt;=19,"Evening peak (16-19)",TRUE,"Late evening (20-23)")</f>
        <v>Midday (10-15)</v>
      </c>
    </row>
    <row r="2414" spans="1:9">
      <c r="A2414" s="32">
        <v>41830</v>
      </c>
      <c r="B2414">
        <v>12</v>
      </c>
      <c r="C2414">
        <v>1090</v>
      </c>
      <c r="D2414" t="s">
        <v>303</v>
      </c>
      <c r="E2414">
        <f>YEAR(A2414)</f>
        <v>2014</v>
      </c>
      <c r="F2414" s="33">
        <f>DATE(YEAR(A2414),MONTH(A2414),1)</f>
        <v>41821.0</v>
      </c>
      <c r="G2414" t="str">
        <f>CHOOSE(WEEKDAY(A2414,2),"Mon","Tue","Wed","Thu","Fri","Sat","Sun")</f>
        <v>Thu</v>
      </c>
      <c r="H2414" t="str">
        <f>IF(WEEKDAY(A2414,2)&gt;5,"Weekend","Weekday")</f>
        <v>Weekday</v>
      </c>
      <c r="I2414" t="str">
        <f>_xlfn.IFS(B2414&lt;=5,"Night (0-5)",B2414&lt;=9,"Morning peak (6-9)",B2414&lt;=15,"Midday (10-15)",B2414&lt;=19,"Evening peak (16-19)",TRUE,"Late evening (20-23)")</f>
        <v>Midday (10-15)</v>
      </c>
    </row>
    <row r="2415" spans="1:9">
      <c r="A2415" s="32">
        <v>41830</v>
      </c>
      <c r="B2415">
        <v>13</v>
      </c>
      <c r="C2415">
        <v>1246</v>
      </c>
      <c r="D2415" t="s">
        <v>303</v>
      </c>
      <c r="E2415">
        <f>YEAR(A2415)</f>
        <v>2014</v>
      </c>
      <c r="F2415" s="33">
        <f>DATE(YEAR(A2415),MONTH(A2415),1)</f>
        <v>41821.0</v>
      </c>
      <c r="G2415" t="str">
        <f>CHOOSE(WEEKDAY(A2415,2),"Mon","Tue","Wed","Thu","Fri","Sat","Sun")</f>
        <v>Thu</v>
      </c>
      <c r="H2415" t="str">
        <f>IF(WEEKDAY(A2415,2)&gt;5,"Weekend","Weekday")</f>
        <v>Weekday</v>
      </c>
      <c r="I2415" t="str">
        <f>_xlfn.IFS(B2415&lt;=5,"Night (0-5)",B2415&lt;=9,"Morning peak (6-9)",B2415&lt;=15,"Midday (10-15)",B2415&lt;=19,"Evening peak (16-19)",TRUE,"Late evening (20-23)")</f>
        <v>Midday (10-15)</v>
      </c>
    </row>
    <row r="2416" spans="1:9">
      <c r="A2416" s="32">
        <v>41830</v>
      </c>
      <c r="B2416">
        <v>14</v>
      </c>
      <c r="C2416">
        <v>1488</v>
      </c>
      <c r="D2416" t="s">
        <v>303</v>
      </c>
      <c r="E2416">
        <f>YEAR(A2416)</f>
        <v>2014</v>
      </c>
      <c r="F2416" s="33">
        <f>DATE(YEAR(A2416),MONTH(A2416),1)</f>
        <v>41821.0</v>
      </c>
      <c r="G2416" t="str">
        <f>CHOOSE(WEEKDAY(A2416,2),"Mon","Tue","Wed","Thu","Fri","Sat","Sun")</f>
        <v>Thu</v>
      </c>
      <c r="H2416" t="str">
        <f>IF(WEEKDAY(A2416,2)&gt;5,"Weekend","Weekday")</f>
        <v>Weekday</v>
      </c>
      <c r="I2416" t="str">
        <f>_xlfn.IFS(B2416&lt;=5,"Night (0-5)",B2416&lt;=9,"Morning peak (6-9)",B2416&lt;=15,"Midday (10-15)",B2416&lt;=19,"Evening peak (16-19)",TRUE,"Late evening (20-23)")</f>
        <v>Midday (10-15)</v>
      </c>
    </row>
    <row r="2417" spans="1:9">
      <c r="A2417" s="32">
        <v>41830</v>
      </c>
      <c r="B2417">
        <v>15</v>
      </c>
      <c r="C2417">
        <v>1855</v>
      </c>
      <c r="D2417" t="s">
        <v>303</v>
      </c>
      <c r="E2417">
        <f>YEAR(A2417)</f>
        <v>2014</v>
      </c>
      <c r="F2417" s="33">
        <f>DATE(YEAR(A2417),MONTH(A2417),1)</f>
        <v>41821.0</v>
      </c>
      <c r="G2417" t="str">
        <f>CHOOSE(WEEKDAY(A2417,2),"Mon","Tue","Wed","Thu","Fri","Sat","Sun")</f>
        <v>Thu</v>
      </c>
      <c r="H2417" t="str">
        <f>IF(WEEKDAY(A2417,2)&gt;5,"Weekend","Weekday")</f>
        <v>Weekday</v>
      </c>
      <c r="I2417" t="str">
        <f>_xlfn.IFS(B2417&lt;=5,"Night (0-5)",B2417&lt;=9,"Morning peak (6-9)",B2417&lt;=15,"Midday (10-15)",B2417&lt;=19,"Evening peak (16-19)",TRUE,"Late evening (20-23)")</f>
        <v>Midday (10-15)</v>
      </c>
    </row>
    <row r="2418" spans="1:9">
      <c r="A2418" s="32">
        <v>41830</v>
      </c>
      <c r="B2418">
        <v>16</v>
      </c>
      <c r="C2418">
        <v>2146</v>
      </c>
      <c r="D2418" t="s">
        <v>303</v>
      </c>
      <c r="E2418">
        <f>YEAR(A2418)</f>
        <v>2014</v>
      </c>
      <c r="F2418" s="33">
        <f>DATE(YEAR(A2418),MONTH(A2418),1)</f>
        <v>41821.0</v>
      </c>
      <c r="G2418" t="str">
        <f>CHOOSE(WEEKDAY(A2418,2),"Mon","Tue","Wed","Thu","Fri","Sat","Sun")</f>
        <v>Thu</v>
      </c>
      <c r="H2418" t="str">
        <f>IF(WEEKDAY(A2418,2)&gt;5,"Weekend","Weekday")</f>
        <v>Weekday</v>
      </c>
      <c r="I2418" t="str">
        <f>_xlfn.IFS(B2418&lt;=5,"Night (0-5)",B2418&lt;=9,"Morning peak (6-9)",B2418&lt;=15,"Midday (10-15)",B2418&lt;=19,"Evening peak (16-19)",TRUE,"Late evening (20-23)")</f>
        <v>Evening peak (16-19)</v>
      </c>
    </row>
    <row r="2419" spans="1:9">
      <c r="A2419" s="32">
        <v>41830</v>
      </c>
      <c r="B2419">
        <v>17</v>
      </c>
      <c r="C2419">
        <v>2304</v>
      </c>
      <c r="D2419" t="s">
        <v>303</v>
      </c>
      <c r="E2419">
        <f>YEAR(A2419)</f>
        <v>2014</v>
      </c>
      <c r="F2419" s="33">
        <f>DATE(YEAR(A2419),MONTH(A2419),1)</f>
        <v>41821.0</v>
      </c>
      <c r="G2419" t="str">
        <f>CHOOSE(WEEKDAY(A2419,2),"Mon","Tue","Wed","Thu","Fri","Sat","Sun")</f>
        <v>Thu</v>
      </c>
      <c r="H2419" t="str">
        <f>IF(WEEKDAY(A2419,2)&gt;5,"Weekend","Weekday")</f>
        <v>Weekday</v>
      </c>
      <c r="I2419" t="str">
        <f>_xlfn.IFS(B2419&lt;=5,"Night (0-5)",B2419&lt;=9,"Morning peak (6-9)",B2419&lt;=15,"Midday (10-15)",B2419&lt;=19,"Evening peak (16-19)",TRUE,"Late evening (20-23)")</f>
        <v>Evening peak (16-19)</v>
      </c>
    </row>
    <row r="2420" spans="1:9">
      <c r="A2420" s="32">
        <v>41830</v>
      </c>
      <c r="B2420">
        <v>18</v>
      </c>
      <c r="C2420">
        <v>2184</v>
      </c>
      <c r="D2420" t="s">
        <v>303</v>
      </c>
      <c r="E2420">
        <f>YEAR(A2420)</f>
        <v>2014</v>
      </c>
      <c r="F2420" s="33">
        <f>DATE(YEAR(A2420),MONTH(A2420),1)</f>
        <v>41821.0</v>
      </c>
      <c r="G2420" t="str">
        <f>CHOOSE(WEEKDAY(A2420,2),"Mon","Tue","Wed","Thu","Fri","Sat","Sun")</f>
        <v>Thu</v>
      </c>
      <c r="H2420" t="str">
        <f>IF(WEEKDAY(A2420,2)&gt;5,"Weekend","Weekday")</f>
        <v>Weekday</v>
      </c>
      <c r="I2420" t="str">
        <f>_xlfn.IFS(B2420&lt;=5,"Night (0-5)",B2420&lt;=9,"Morning peak (6-9)",B2420&lt;=15,"Midday (10-15)",B2420&lt;=19,"Evening peak (16-19)",TRUE,"Late evening (20-23)")</f>
        <v>Evening peak (16-19)</v>
      </c>
    </row>
    <row r="2421" spans="1:9">
      <c r="A2421" s="32">
        <v>41830</v>
      </c>
      <c r="B2421">
        <v>19</v>
      </c>
      <c r="C2421">
        <v>2026</v>
      </c>
      <c r="D2421" t="s">
        <v>303</v>
      </c>
      <c r="E2421">
        <f>YEAR(A2421)</f>
        <v>2014</v>
      </c>
      <c r="F2421" s="33">
        <f>DATE(YEAR(A2421),MONTH(A2421),1)</f>
        <v>41821.0</v>
      </c>
      <c r="G2421" t="str">
        <f>CHOOSE(WEEKDAY(A2421,2),"Mon","Tue","Wed","Thu","Fri","Sat","Sun")</f>
        <v>Thu</v>
      </c>
      <c r="H2421" t="str">
        <f>IF(WEEKDAY(A2421,2)&gt;5,"Weekend","Weekday")</f>
        <v>Weekday</v>
      </c>
      <c r="I2421" t="str">
        <f>_xlfn.IFS(B2421&lt;=5,"Night (0-5)",B2421&lt;=9,"Morning peak (6-9)",B2421&lt;=15,"Midday (10-15)",B2421&lt;=19,"Evening peak (16-19)",TRUE,"Late evening (20-23)")</f>
        <v>Evening peak (16-19)</v>
      </c>
    </row>
    <row r="2422" spans="1:9">
      <c r="A2422" s="32">
        <v>41830</v>
      </c>
      <c r="B2422">
        <v>20</v>
      </c>
      <c r="C2422">
        <v>2197</v>
      </c>
      <c r="D2422" t="s">
        <v>303</v>
      </c>
      <c r="E2422">
        <f>YEAR(A2422)</f>
        <v>2014</v>
      </c>
      <c r="F2422" s="33">
        <f>DATE(YEAR(A2422),MONTH(A2422),1)</f>
        <v>41821.0</v>
      </c>
      <c r="G2422" t="str">
        <f>CHOOSE(WEEKDAY(A2422,2),"Mon","Tue","Wed","Thu","Fri","Sat","Sun")</f>
        <v>Thu</v>
      </c>
      <c r="H2422" t="str">
        <f>IF(WEEKDAY(A2422,2)&gt;5,"Weekend","Weekday")</f>
        <v>Weekday</v>
      </c>
      <c r="I2422" t="str">
        <f>_xlfn.IFS(B2422&lt;=5,"Night (0-5)",B2422&lt;=9,"Morning peak (6-9)",B2422&lt;=15,"Midday (10-15)",B2422&lt;=19,"Evening peak (16-19)",TRUE,"Late evening (20-23)")</f>
        <v>Late evening (20-23)</v>
      </c>
    </row>
    <row r="2423" spans="1:9">
      <c r="A2423" s="32">
        <v>41830</v>
      </c>
      <c r="B2423">
        <v>21</v>
      </c>
      <c r="C2423">
        <v>2055</v>
      </c>
      <c r="D2423" t="s">
        <v>303</v>
      </c>
      <c r="E2423">
        <f>YEAR(A2423)</f>
        <v>2014</v>
      </c>
      <c r="F2423" s="33">
        <f>DATE(YEAR(A2423),MONTH(A2423),1)</f>
        <v>41821.0</v>
      </c>
      <c r="G2423" t="str">
        <f>CHOOSE(WEEKDAY(A2423,2),"Mon","Tue","Wed","Thu","Fri","Sat","Sun")</f>
        <v>Thu</v>
      </c>
      <c r="H2423" t="str">
        <f>IF(WEEKDAY(A2423,2)&gt;5,"Weekend","Weekday")</f>
        <v>Weekday</v>
      </c>
      <c r="I2423" t="str">
        <f>_xlfn.IFS(B2423&lt;=5,"Night (0-5)",B2423&lt;=9,"Morning peak (6-9)",B2423&lt;=15,"Midday (10-15)",B2423&lt;=19,"Evening peak (16-19)",TRUE,"Late evening (20-23)")</f>
        <v>Late evening (20-23)</v>
      </c>
    </row>
    <row r="2424" spans="1:9">
      <c r="A2424" s="32">
        <v>41830</v>
      </c>
      <c r="B2424">
        <v>22</v>
      </c>
      <c r="C2424">
        <v>1757</v>
      </c>
      <c r="D2424" t="s">
        <v>303</v>
      </c>
      <c r="E2424">
        <f>YEAR(A2424)</f>
        <v>2014</v>
      </c>
      <c r="F2424" s="33">
        <f>DATE(YEAR(A2424),MONTH(A2424),1)</f>
        <v>41821.0</v>
      </c>
      <c r="G2424" t="str">
        <f>CHOOSE(WEEKDAY(A2424,2),"Mon","Tue","Wed","Thu","Fri","Sat","Sun")</f>
        <v>Thu</v>
      </c>
      <c r="H2424" t="str">
        <f>IF(WEEKDAY(A2424,2)&gt;5,"Weekend","Weekday")</f>
        <v>Weekday</v>
      </c>
      <c r="I2424" t="str">
        <f>_xlfn.IFS(B2424&lt;=5,"Night (0-5)",B2424&lt;=9,"Morning peak (6-9)",B2424&lt;=15,"Midday (10-15)",B2424&lt;=19,"Evening peak (16-19)",TRUE,"Late evening (20-23)")</f>
        <v>Late evening (20-23)</v>
      </c>
    </row>
    <row r="2425" spans="1:9">
      <c r="A2425" s="32">
        <v>41830</v>
      </c>
      <c r="B2425">
        <v>23</v>
      </c>
      <c r="C2425">
        <v>1140</v>
      </c>
      <c r="D2425" t="s">
        <v>303</v>
      </c>
      <c r="E2425">
        <f>YEAR(A2425)</f>
        <v>2014</v>
      </c>
      <c r="F2425" s="33">
        <f>DATE(YEAR(A2425),MONTH(A2425),1)</f>
        <v>41821.0</v>
      </c>
      <c r="G2425" t="str">
        <f>CHOOSE(WEEKDAY(A2425,2),"Mon","Tue","Wed","Thu","Fri","Sat","Sun")</f>
        <v>Thu</v>
      </c>
      <c r="H2425" t="str">
        <f>IF(WEEKDAY(A2425,2)&gt;5,"Weekend","Weekday")</f>
        <v>Weekday</v>
      </c>
      <c r="I2425" t="str">
        <f>_xlfn.IFS(B2425&lt;=5,"Night (0-5)",B2425&lt;=9,"Morning peak (6-9)",B2425&lt;=15,"Midday (10-15)",B2425&lt;=19,"Evening peak (16-19)",TRUE,"Late evening (20-23)")</f>
        <v>Late evening (20-23)</v>
      </c>
    </row>
    <row r="2426" spans="1:9">
      <c r="A2426" s="32">
        <v>41831</v>
      </c>
      <c r="B2426">
        <v>0</v>
      </c>
      <c r="C2426">
        <v>605</v>
      </c>
      <c r="D2426" t="s">
        <v>303</v>
      </c>
      <c r="E2426">
        <f>YEAR(A2426)</f>
        <v>2014</v>
      </c>
      <c r="F2426" s="33">
        <f>DATE(YEAR(A2426),MONTH(A2426),1)</f>
        <v>41821.0</v>
      </c>
      <c r="G2426" t="str">
        <f>CHOOSE(WEEKDAY(A2426,2),"Mon","Tue","Wed","Thu","Fri","Sat","Sun")</f>
        <v>Fri</v>
      </c>
      <c r="H2426" t="str">
        <f>IF(WEEKDAY(A2426,2)&gt;5,"Weekend","Weekday")</f>
        <v>Weekday</v>
      </c>
      <c r="I2426" t="str">
        <f>_xlfn.IFS(B2426&lt;=5,"Night (0-5)",B2426&lt;=9,"Morning peak (6-9)",B2426&lt;=15,"Midday (10-15)",B2426&lt;=19,"Evening peak (16-19)",TRUE,"Late evening (20-23)")</f>
        <v>Night (0-5)</v>
      </c>
    </row>
    <row r="2427" spans="1:9">
      <c r="A2427" s="32">
        <v>41831</v>
      </c>
      <c r="B2427">
        <v>1</v>
      </c>
      <c r="C2427">
        <v>350</v>
      </c>
      <c r="D2427" t="s">
        <v>303</v>
      </c>
      <c r="E2427">
        <f>YEAR(A2427)</f>
        <v>2014</v>
      </c>
      <c r="F2427" s="33">
        <f>DATE(YEAR(A2427),MONTH(A2427),1)</f>
        <v>41821.0</v>
      </c>
      <c r="G2427" t="str">
        <f>CHOOSE(WEEKDAY(A2427,2),"Mon","Tue","Wed","Thu","Fri","Sat","Sun")</f>
        <v>Fri</v>
      </c>
      <c r="H2427" t="str">
        <f>IF(WEEKDAY(A2427,2)&gt;5,"Weekend","Weekday")</f>
        <v>Weekday</v>
      </c>
      <c r="I2427" t="str">
        <f>_xlfn.IFS(B2427&lt;=5,"Night (0-5)",B2427&lt;=9,"Morning peak (6-9)",B2427&lt;=15,"Midday (10-15)",B2427&lt;=19,"Evening peak (16-19)",TRUE,"Late evening (20-23)")</f>
        <v>Night (0-5)</v>
      </c>
    </row>
    <row r="2428" spans="1:9">
      <c r="A2428" s="32">
        <v>41831</v>
      </c>
      <c r="B2428">
        <v>2</v>
      </c>
      <c r="C2428">
        <v>231</v>
      </c>
      <c r="D2428" t="s">
        <v>303</v>
      </c>
      <c r="E2428">
        <f>YEAR(A2428)</f>
        <v>2014</v>
      </c>
      <c r="F2428" s="33">
        <f>DATE(YEAR(A2428),MONTH(A2428),1)</f>
        <v>41821.0</v>
      </c>
      <c r="G2428" t="str">
        <f>CHOOSE(WEEKDAY(A2428,2),"Mon","Tue","Wed","Thu","Fri","Sat","Sun")</f>
        <v>Fri</v>
      </c>
      <c r="H2428" t="str">
        <f>IF(WEEKDAY(A2428,2)&gt;5,"Weekend","Weekday")</f>
        <v>Weekday</v>
      </c>
      <c r="I2428" t="str">
        <f>_xlfn.IFS(B2428&lt;=5,"Night (0-5)",B2428&lt;=9,"Morning peak (6-9)",B2428&lt;=15,"Midday (10-15)",B2428&lt;=19,"Evening peak (16-19)",TRUE,"Late evening (20-23)")</f>
        <v>Night (0-5)</v>
      </c>
    </row>
    <row r="2429" spans="1:9">
      <c r="A2429" s="32">
        <v>41831</v>
      </c>
      <c r="B2429">
        <v>3</v>
      </c>
      <c r="C2429">
        <v>291</v>
      </c>
      <c r="D2429" t="s">
        <v>303</v>
      </c>
      <c r="E2429">
        <f>YEAR(A2429)</f>
        <v>2014</v>
      </c>
      <c r="F2429" s="33">
        <f>DATE(YEAR(A2429),MONTH(A2429),1)</f>
        <v>41821.0</v>
      </c>
      <c r="G2429" t="str">
        <f>CHOOSE(WEEKDAY(A2429,2),"Mon","Tue","Wed","Thu","Fri","Sat","Sun")</f>
        <v>Fri</v>
      </c>
      <c r="H2429" t="str">
        <f>IF(WEEKDAY(A2429,2)&gt;5,"Weekend","Weekday")</f>
        <v>Weekday</v>
      </c>
      <c r="I2429" t="str">
        <f>_xlfn.IFS(B2429&lt;=5,"Night (0-5)",B2429&lt;=9,"Morning peak (6-9)",B2429&lt;=15,"Midday (10-15)",B2429&lt;=19,"Evening peak (16-19)",TRUE,"Late evening (20-23)")</f>
        <v>Night (0-5)</v>
      </c>
    </row>
    <row r="2430" spans="1:9">
      <c r="A2430" s="32">
        <v>41831</v>
      </c>
      <c r="B2430">
        <v>4</v>
      </c>
      <c r="C2430">
        <v>333</v>
      </c>
      <c r="D2430" t="s">
        <v>303</v>
      </c>
      <c r="E2430">
        <f>YEAR(A2430)</f>
        <v>2014</v>
      </c>
      <c r="F2430" s="33">
        <f>DATE(YEAR(A2430),MONTH(A2430),1)</f>
        <v>41821.0</v>
      </c>
      <c r="G2430" t="str">
        <f>CHOOSE(WEEKDAY(A2430,2),"Mon","Tue","Wed","Thu","Fri","Sat","Sun")</f>
        <v>Fri</v>
      </c>
      <c r="H2430" t="str">
        <f>IF(WEEKDAY(A2430,2)&gt;5,"Weekend","Weekday")</f>
        <v>Weekday</v>
      </c>
      <c r="I2430" t="str">
        <f>_xlfn.IFS(B2430&lt;=5,"Night (0-5)",B2430&lt;=9,"Morning peak (6-9)",B2430&lt;=15,"Midday (10-15)",B2430&lt;=19,"Evening peak (16-19)",TRUE,"Late evening (20-23)")</f>
        <v>Night (0-5)</v>
      </c>
    </row>
    <row r="2431" spans="1:9">
      <c r="A2431" s="32">
        <v>41831</v>
      </c>
      <c r="B2431">
        <v>5</v>
      </c>
      <c r="C2431">
        <v>560</v>
      </c>
      <c r="D2431" t="s">
        <v>303</v>
      </c>
      <c r="E2431">
        <f>YEAR(A2431)</f>
        <v>2014</v>
      </c>
      <c r="F2431" s="33">
        <f>DATE(YEAR(A2431),MONTH(A2431),1)</f>
        <v>41821.0</v>
      </c>
      <c r="G2431" t="str">
        <f>CHOOSE(WEEKDAY(A2431,2),"Mon","Tue","Wed","Thu","Fri","Sat","Sun")</f>
        <v>Fri</v>
      </c>
      <c r="H2431" t="str">
        <f>IF(WEEKDAY(A2431,2)&gt;5,"Weekend","Weekday")</f>
        <v>Weekday</v>
      </c>
      <c r="I2431" t="str">
        <f>_xlfn.IFS(B2431&lt;=5,"Night (0-5)",B2431&lt;=9,"Morning peak (6-9)",B2431&lt;=15,"Midday (10-15)",B2431&lt;=19,"Evening peak (16-19)",TRUE,"Late evening (20-23)")</f>
        <v>Night (0-5)</v>
      </c>
    </row>
    <row r="2432" spans="1:9">
      <c r="A2432" s="32">
        <v>41831</v>
      </c>
      <c r="B2432">
        <v>6</v>
      </c>
      <c r="C2432">
        <v>883</v>
      </c>
      <c r="D2432" t="s">
        <v>303</v>
      </c>
      <c r="E2432">
        <f>YEAR(A2432)</f>
        <v>2014</v>
      </c>
      <c r="F2432" s="33">
        <f>DATE(YEAR(A2432),MONTH(A2432),1)</f>
        <v>41821.0</v>
      </c>
      <c r="G2432" t="str">
        <f>CHOOSE(WEEKDAY(A2432,2),"Mon","Tue","Wed","Thu","Fri","Sat","Sun")</f>
        <v>Fri</v>
      </c>
      <c r="H2432" t="str">
        <f>IF(WEEKDAY(A2432,2)&gt;5,"Weekend","Weekday")</f>
        <v>Weekday</v>
      </c>
      <c r="I2432" t="str">
        <f>_xlfn.IFS(B2432&lt;=5,"Night (0-5)",B2432&lt;=9,"Morning peak (6-9)",B2432&lt;=15,"Midday (10-15)",B2432&lt;=19,"Evening peak (16-19)",TRUE,"Late evening (20-23)")</f>
        <v>Morning peak (6-9)</v>
      </c>
    </row>
    <row r="2433" spans="1:9">
      <c r="A2433" s="32">
        <v>41831</v>
      </c>
      <c r="B2433">
        <v>7</v>
      </c>
      <c r="C2433">
        <v>1276</v>
      </c>
      <c r="D2433" t="s">
        <v>303</v>
      </c>
      <c r="E2433">
        <f>YEAR(A2433)</f>
        <v>2014</v>
      </c>
      <c r="F2433" s="33">
        <f>DATE(YEAR(A2433),MONTH(A2433),1)</f>
        <v>41821.0</v>
      </c>
      <c r="G2433" t="str">
        <f>CHOOSE(WEEKDAY(A2433,2),"Mon","Tue","Wed","Thu","Fri","Sat","Sun")</f>
        <v>Fri</v>
      </c>
      <c r="H2433" t="str">
        <f>IF(WEEKDAY(A2433,2)&gt;5,"Weekend","Weekday")</f>
        <v>Weekday</v>
      </c>
      <c r="I2433" t="str">
        <f>_xlfn.IFS(B2433&lt;=5,"Night (0-5)",B2433&lt;=9,"Morning peak (6-9)",B2433&lt;=15,"Midday (10-15)",B2433&lt;=19,"Evening peak (16-19)",TRUE,"Late evening (20-23)")</f>
        <v>Morning peak (6-9)</v>
      </c>
    </row>
    <row r="2434" spans="1:9">
      <c r="A2434" s="32">
        <v>41831</v>
      </c>
      <c r="B2434">
        <v>8</v>
      </c>
      <c r="C2434">
        <v>1272</v>
      </c>
      <c r="D2434" t="s">
        <v>303</v>
      </c>
      <c r="E2434">
        <f>YEAR(A2434)</f>
        <v>2014</v>
      </c>
      <c r="F2434" s="33">
        <f>DATE(YEAR(A2434),MONTH(A2434),1)</f>
        <v>41821.0</v>
      </c>
      <c r="G2434" t="str">
        <f>CHOOSE(WEEKDAY(A2434,2),"Mon","Tue","Wed","Thu","Fri","Sat","Sun")</f>
        <v>Fri</v>
      </c>
      <c r="H2434" t="str">
        <f>IF(WEEKDAY(A2434,2)&gt;5,"Weekend","Weekday")</f>
        <v>Weekday</v>
      </c>
      <c r="I2434" t="str">
        <f>_xlfn.IFS(B2434&lt;=5,"Night (0-5)",B2434&lt;=9,"Morning peak (6-9)",B2434&lt;=15,"Midday (10-15)",B2434&lt;=19,"Evening peak (16-19)",TRUE,"Late evening (20-23)")</f>
        <v>Morning peak (6-9)</v>
      </c>
    </row>
    <row r="2435" spans="1:9">
      <c r="A2435" s="32">
        <v>41831</v>
      </c>
      <c r="B2435">
        <v>9</v>
      </c>
      <c r="C2435">
        <v>1008</v>
      </c>
      <c r="D2435" t="s">
        <v>303</v>
      </c>
      <c r="E2435">
        <f>YEAR(A2435)</f>
        <v>2014</v>
      </c>
      <c r="F2435" s="33">
        <f>DATE(YEAR(A2435),MONTH(A2435),1)</f>
        <v>41821.0</v>
      </c>
      <c r="G2435" t="str">
        <f>CHOOSE(WEEKDAY(A2435,2),"Mon","Tue","Wed","Thu","Fri","Sat","Sun")</f>
        <v>Fri</v>
      </c>
      <c r="H2435" t="str">
        <f>IF(WEEKDAY(A2435,2)&gt;5,"Weekend","Weekday")</f>
        <v>Weekday</v>
      </c>
      <c r="I2435" t="str">
        <f>_xlfn.IFS(B2435&lt;=5,"Night (0-5)",B2435&lt;=9,"Morning peak (6-9)",B2435&lt;=15,"Midday (10-15)",B2435&lt;=19,"Evening peak (16-19)",TRUE,"Late evening (20-23)")</f>
        <v>Morning peak (6-9)</v>
      </c>
    </row>
    <row r="2436" spans="1:9">
      <c r="A2436" s="32">
        <v>41831</v>
      </c>
      <c r="B2436">
        <v>10</v>
      </c>
      <c r="C2436">
        <v>1017</v>
      </c>
      <c r="D2436" t="s">
        <v>303</v>
      </c>
      <c r="E2436">
        <f>YEAR(A2436)</f>
        <v>2014</v>
      </c>
      <c r="F2436" s="33">
        <f>DATE(YEAR(A2436),MONTH(A2436),1)</f>
        <v>41821.0</v>
      </c>
      <c r="G2436" t="str">
        <f>CHOOSE(WEEKDAY(A2436,2),"Mon","Tue","Wed","Thu","Fri","Sat","Sun")</f>
        <v>Fri</v>
      </c>
      <c r="H2436" t="str">
        <f>IF(WEEKDAY(A2436,2)&gt;5,"Weekend","Weekday")</f>
        <v>Weekday</v>
      </c>
      <c r="I2436" t="str">
        <f>_xlfn.IFS(B2436&lt;=5,"Night (0-5)",B2436&lt;=9,"Morning peak (6-9)",B2436&lt;=15,"Midday (10-15)",B2436&lt;=19,"Evening peak (16-19)",TRUE,"Late evening (20-23)")</f>
        <v>Midday (10-15)</v>
      </c>
    </row>
    <row r="2437" spans="1:9">
      <c r="A2437" s="32">
        <v>41831</v>
      </c>
      <c r="B2437">
        <v>11</v>
      </c>
      <c r="C2437">
        <v>1037</v>
      </c>
      <c r="D2437" t="s">
        <v>303</v>
      </c>
      <c r="E2437">
        <f>YEAR(A2437)</f>
        <v>2014</v>
      </c>
      <c r="F2437" s="33">
        <f>DATE(YEAR(A2437),MONTH(A2437),1)</f>
        <v>41821.0</v>
      </c>
      <c r="G2437" t="str">
        <f>CHOOSE(WEEKDAY(A2437,2),"Mon","Tue","Wed","Thu","Fri","Sat","Sun")</f>
        <v>Fri</v>
      </c>
      <c r="H2437" t="str">
        <f>IF(WEEKDAY(A2437,2)&gt;5,"Weekend","Weekday")</f>
        <v>Weekday</v>
      </c>
      <c r="I2437" t="str">
        <f>_xlfn.IFS(B2437&lt;=5,"Night (0-5)",B2437&lt;=9,"Morning peak (6-9)",B2437&lt;=15,"Midday (10-15)",B2437&lt;=19,"Evening peak (16-19)",TRUE,"Late evening (20-23)")</f>
        <v>Midday (10-15)</v>
      </c>
    </row>
    <row r="2438" spans="1:9">
      <c r="A2438" s="32">
        <v>41831</v>
      </c>
      <c r="B2438">
        <v>12</v>
      </c>
      <c r="C2438">
        <v>1035</v>
      </c>
      <c r="D2438" t="s">
        <v>303</v>
      </c>
      <c r="E2438">
        <f>YEAR(A2438)</f>
        <v>2014</v>
      </c>
      <c r="F2438" s="33">
        <f>DATE(YEAR(A2438),MONTH(A2438),1)</f>
        <v>41821.0</v>
      </c>
      <c r="G2438" t="str">
        <f>CHOOSE(WEEKDAY(A2438,2),"Mon","Tue","Wed","Thu","Fri","Sat","Sun")</f>
        <v>Fri</v>
      </c>
      <c r="H2438" t="str">
        <f>IF(WEEKDAY(A2438,2)&gt;5,"Weekend","Weekday")</f>
        <v>Weekday</v>
      </c>
      <c r="I2438" t="str">
        <f>_xlfn.IFS(B2438&lt;=5,"Night (0-5)",B2438&lt;=9,"Morning peak (6-9)",B2438&lt;=15,"Midday (10-15)",B2438&lt;=19,"Evening peak (16-19)",TRUE,"Late evening (20-23)")</f>
        <v>Midday (10-15)</v>
      </c>
    </row>
    <row r="2439" spans="1:9">
      <c r="A2439" s="32">
        <v>41831</v>
      </c>
      <c r="B2439">
        <v>13</v>
      </c>
      <c r="C2439">
        <v>1286</v>
      </c>
      <c r="D2439" t="s">
        <v>303</v>
      </c>
      <c r="E2439">
        <f>YEAR(A2439)</f>
        <v>2014</v>
      </c>
      <c r="F2439" s="33">
        <f>DATE(YEAR(A2439),MONTH(A2439),1)</f>
        <v>41821.0</v>
      </c>
      <c r="G2439" t="str">
        <f>CHOOSE(WEEKDAY(A2439,2),"Mon","Tue","Wed","Thu","Fri","Sat","Sun")</f>
        <v>Fri</v>
      </c>
      <c r="H2439" t="str">
        <f>IF(WEEKDAY(A2439,2)&gt;5,"Weekend","Weekday")</f>
        <v>Weekday</v>
      </c>
      <c r="I2439" t="str">
        <f>_xlfn.IFS(B2439&lt;=5,"Night (0-5)",B2439&lt;=9,"Morning peak (6-9)",B2439&lt;=15,"Midday (10-15)",B2439&lt;=19,"Evening peak (16-19)",TRUE,"Late evening (20-23)")</f>
        <v>Midday (10-15)</v>
      </c>
    </row>
    <row r="2440" spans="1:9">
      <c r="A2440" s="32">
        <v>41831</v>
      </c>
      <c r="B2440">
        <v>14</v>
      </c>
      <c r="C2440">
        <v>1518</v>
      </c>
      <c r="D2440" t="s">
        <v>303</v>
      </c>
      <c r="E2440">
        <f>YEAR(A2440)</f>
        <v>2014</v>
      </c>
      <c r="F2440" s="33">
        <f>DATE(YEAR(A2440),MONTH(A2440),1)</f>
        <v>41821.0</v>
      </c>
      <c r="G2440" t="str">
        <f>CHOOSE(WEEKDAY(A2440,2),"Mon","Tue","Wed","Thu","Fri","Sat","Sun")</f>
        <v>Fri</v>
      </c>
      <c r="H2440" t="str">
        <f>IF(WEEKDAY(A2440,2)&gt;5,"Weekend","Weekday")</f>
        <v>Weekday</v>
      </c>
      <c r="I2440" t="str">
        <f>_xlfn.IFS(B2440&lt;=5,"Night (0-5)",B2440&lt;=9,"Morning peak (6-9)",B2440&lt;=15,"Midday (10-15)",B2440&lt;=19,"Evening peak (16-19)",TRUE,"Late evening (20-23)")</f>
        <v>Midday (10-15)</v>
      </c>
    </row>
    <row r="2441" spans="1:9">
      <c r="A2441" s="32">
        <v>41831</v>
      </c>
      <c r="B2441">
        <v>15</v>
      </c>
      <c r="C2441">
        <v>1753</v>
      </c>
      <c r="D2441" t="s">
        <v>303</v>
      </c>
      <c r="E2441">
        <f>YEAR(A2441)</f>
        <v>2014</v>
      </c>
      <c r="F2441" s="33">
        <f>DATE(YEAR(A2441),MONTH(A2441),1)</f>
        <v>41821.0</v>
      </c>
      <c r="G2441" t="str">
        <f>CHOOSE(WEEKDAY(A2441,2),"Mon","Tue","Wed","Thu","Fri","Sat","Sun")</f>
        <v>Fri</v>
      </c>
      <c r="H2441" t="str">
        <f>IF(WEEKDAY(A2441,2)&gt;5,"Weekend","Weekday")</f>
        <v>Weekday</v>
      </c>
      <c r="I2441" t="str">
        <f>_xlfn.IFS(B2441&lt;=5,"Night (0-5)",B2441&lt;=9,"Morning peak (6-9)",B2441&lt;=15,"Midday (10-15)",B2441&lt;=19,"Evening peak (16-19)",TRUE,"Late evening (20-23)")</f>
        <v>Midday (10-15)</v>
      </c>
    </row>
    <row r="2442" spans="1:9">
      <c r="A2442" s="32">
        <v>41831</v>
      </c>
      <c r="B2442">
        <v>16</v>
      </c>
      <c r="C2442">
        <v>1903</v>
      </c>
      <c r="D2442" t="s">
        <v>303</v>
      </c>
      <c r="E2442">
        <f>YEAR(A2442)</f>
        <v>2014</v>
      </c>
      <c r="F2442" s="33">
        <f>DATE(YEAR(A2442),MONTH(A2442),1)</f>
        <v>41821.0</v>
      </c>
      <c r="G2442" t="str">
        <f>CHOOSE(WEEKDAY(A2442,2),"Mon","Tue","Wed","Thu","Fri","Sat","Sun")</f>
        <v>Fri</v>
      </c>
      <c r="H2442" t="str">
        <f>IF(WEEKDAY(A2442,2)&gt;5,"Weekend","Weekday")</f>
        <v>Weekday</v>
      </c>
      <c r="I2442" t="str">
        <f>_xlfn.IFS(B2442&lt;=5,"Night (0-5)",B2442&lt;=9,"Morning peak (6-9)",B2442&lt;=15,"Midday (10-15)",B2442&lt;=19,"Evening peak (16-19)",TRUE,"Late evening (20-23)")</f>
        <v>Evening peak (16-19)</v>
      </c>
    </row>
    <row r="2443" spans="1:9">
      <c r="A2443" s="32">
        <v>41831</v>
      </c>
      <c r="B2443">
        <v>17</v>
      </c>
      <c r="C2443">
        <v>1973</v>
      </c>
      <c r="D2443" t="s">
        <v>303</v>
      </c>
      <c r="E2443">
        <f>YEAR(A2443)</f>
        <v>2014</v>
      </c>
      <c r="F2443" s="33">
        <f>DATE(YEAR(A2443),MONTH(A2443),1)</f>
        <v>41821.0</v>
      </c>
      <c r="G2443" t="str">
        <f>CHOOSE(WEEKDAY(A2443,2),"Mon","Tue","Wed","Thu","Fri","Sat","Sun")</f>
        <v>Fri</v>
      </c>
      <c r="H2443" t="str">
        <f>IF(WEEKDAY(A2443,2)&gt;5,"Weekend","Weekday")</f>
        <v>Weekday</v>
      </c>
      <c r="I2443" t="str">
        <f>_xlfn.IFS(B2443&lt;=5,"Night (0-5)",B2443&lt;=9,"Morning peak (6-9)",B2443&lt;=15,"Midday (10-15)",B2443&lt;=19,"Evening peak (16-19)",TRUE,"Late evening (20-23)")</f>
        <v>Evening peak (16-19)</v>
      </c>
    </row>
    <row r="2444" spans="1:9">
      <c r="A2444" s="32">
        <v>41831</v>
      </c>
      <c r="B2444">
        <v>18</v>
      </c>
      <c r="C2444">
        <v>1967</v>
      </c>
      <c r="D2444" t="s">
        <v>303</v>
      </c>
      <c r="E2444">
        <f>YEAR(A2444)</f>
        <v>2014</v>
      </c>
      <c r="F2444" s="33">
        <f>DATE(YEAR(A2444),MONTH(A2444),1)</f>
        <v>41821.0</v>
      </c>
      <c r="G2444" t="str">
        <f>CHOOSE(WEEKDAY(A2444,2),"Mon","Tue","Wed","Thu","Fri","Sat","Sun")</f>
        <v>Fri</v>
      </c>
      <c r="H2444" t="str">
        <f>IF(WEEKDAY(A2444,2)&gt;5,"Weekend","Weekday")</f>
        <v>Weekday</v>
      </c>
      <c r="I2444" t="str">
        <f>_xlfn.IFS(B2444&lt;=5,"Night (0-5)",B2444&lt;=9,"Morning peak (6-9)",B2444&lt;=15,"Midday (10-15)",B2444&lt;=19,"Evening peak (16-19)",TRUE,"Late evening (20-23)")</f>
        <v>Evening peak (16-19)</v>
      </c>
    </row>
    <row r="2445" spans="1:9">
      <c r="A2445" s="32">
        <v>41831</v>
      </c>
      <c r="B2445">
        <v>19</v>
      </c>
      <c r="C2445">
        <v>1583</v>
      </c>
      <c r="D2445" t="s">
        <v>303</v>
      </c>
      <c r="E2445">
        <f>YEAR(A2445)</f>
        <v>2014</v>
      </c>
      <c r="F2445" s="33">
        <f>DATE(YEAR(A2445),MONTH(A2445),1)</f>
        <v>41821.0</v>
      </c>
      <c r="G2445" t="str">
        <f>CHOOSE(WEEKDAY(A2445,2),"Mon","Tue","Wed","Thu","Fri","Sat","Sun")</f>
        <v>Fri</v>
      </c>
      <c r="H2445" t="str">
        <f>IF(WEEKDAY(A2445,2)&gt;5,"Weekend","Weekday")</f>
        <v>Weekday</v>
      </c>
      <c r="I2445" t="str">
        <f>_xlfn.IFS(B2445&lt;=5,"Night (0-5)",B2445&lt;=9,"Morning peak (6-9)",B2445&lt;=15,"Midday (10-15)",B2445&lt;=19,"Evening peak (16-19)",TRUE,"Late evening (20-23)")</f>
        <v>Evening peak (16-19)</v>
      </c>
    </row>
    <row r="2446" spans="1:9">
      <c r="A2446" s="32">
        <v>41831</v>
      </c>
      <c r="B2446">
        <v>20</v>
      </c>
      <c r="C2446">
        <v>1500</v>
      </c>
      <c r="D2446" t="s">
        <v>303</v>
      </c>
      <c r="E2446">
        <f>YEAR(A2446)</f>
        <v>2014</v>
      </c>
      <c r="F2446" s="33">
        <f>DATE(YEAR(A2446),MONTH(A2446),1)</f>
        <v>41821.0</v>
      </c>
      <c r="G2446" t="str">
        <f>CHOOSE(WEEKDAY(A2446,2),"Mon","Tue","Wed","Thu","Fri","Sat","Sun")</f>
        <v>Fri</v>
      </c>
      <c r="H2446" t="str">
        <f>IF(WEEKDAY(A2446,2)&gt;5,"Weekend","Weekday")</f>
        <v>Weekday</v>
      </c>
      <c r="I2446" t="str">
        <f>_xlfn.IFS(B2446&lt;=5,"Night (0-5)",B2446&lt;=9,"Morning peak (6-9)",B2446&lt;=15,"Midday (10-15)",B2446&lt;=19,"Evening peak (16-19)",TRUE,"Late evening (20-23)")</f>
        <v>Late evening (20-23)</v>
      </c>
    </row>
    <row r="2447" spans="1:9">
      <c r="A2447" s="32">
        <v>41831</v>
      </c>
      <c r="B2447">
        <v>21</v>
      </c>
      <c r="C2447">
        <v>1784</v>
      </c>
      <c r="D2447" t="s">
        <v>303</v>
      </c>
      <c r="E2447">
        <f>YEAR(A2447)</f>
        <v>2014</v>
      </c>
      <c r="F2447" s="33">
        <f>DATE(YEAR(A2447),MONTH(A2447),1)</f>
        <v>41821.0</v>
      </c>
      <c r="G2447" t="str">
        <f>CHOOSE(WEEKDAY(A2447,2),"Mon","Tue","Wed","Thu","Fri","Sat","Sun")</f>
        <v>Fri</v>
      </c>
      <c r="H2447" t="str">
        <f>IF(WEEKDAY(A2447,2)&gt;5,"Weekend","Weekday")</f>
        <v>Weekday</v>
      </c>
      <c r="I2447" t="str">
        <f>_xlfn.IFS(B2447&lt;=5,"Night (0-5)",B2447&lt;=9,"Morning peak (6-9)",B2447&lt;=15,"Midday (10-15)",B2447&lt;=19,"Evening peak (16-19)",TRUE,"Late evening (20-23)")</f>
        <v>Late evening (20-23)</v>
      </c>
    </row>
    <row r="2448" spans="1:9">
      <c r="A2448" s="32">
        <v>41831</v>
      </c>
      <c r="B2448">
        <v>22</v>
      </c>
      <c r="C2448">
        <v>1958</v>
      </c>
      <c r="D2448" t="s">
        <v>303</v>
      </c>
      <c r="E2448">
        <f>YEAR(A2448)</f>
        <v>2014</v>
      </c>
      <c r="F2448" s="33">
        <f>DATE(YEAR(A2448),MONTH(A2448),1)</f>
        <v>41821.0</v>
      </c>
      <c r="G2448" t="str">
        <f>CHOOSE(WEEKDAY(A2448,2),"Mon","Tue","Wed","Thu","Fri","Sat","Sun")</f>
        <v>Fri</v>
      </c>
      <c r="H2448" t="str">
        <f>IF(WEEKDAY(A2448,2)&gt;5,"Weekend","Weekday")</f>
        <v>Weekday</v>
      </c>
      <c r="I2448" t="str">
        <f>_xlfn.IFS(B2448&lt;=5,"Night (0-5)",B2448&lt;=9,"Morning peak (6-9)",B2448&lt;=15,"Midday (10-15)",B2448&lt;=19,"Evening peak (16-19)",TRUE,"Late evening (20-23)")</f>
        <v>Late evening (20-23)</v>
      </c>
    </row>
    <row r="2449" spans="1:9">
      <c r="A2449" s="32">
        <v>41831</v>
      </c>
      <c r="B2449">
        <v>23</v>
      </c>
      <c r="C2449">
        <v>1629</v>
      </c>
      <c r="D2449" t="s">
        <v>303</v>
      </c>
      <c r="E2449">
        <f>YEAR(A2449)</f>
        <v>2014</v>
      </c>
      <c r="F2449" s="33">
        <f>DATE(YEAR(A2449),MONTH(A2449),1)</f>
        <v>41821.0</v>
      </c>
      <c r="G2449" t="str">
        <f>CHOOSE(WEEKDAY(A2449,2),"Mon","Tue","Wed","Thu","Fri","Sat","Sun")</f>
        <v>Fri</v>
      </c>
      <c r="H2449" t="str">
        <f>IF(WEEKDAY(A2449,2)&gt;5,"Weekend","Weekday")</f>
        <v>Weekday</v>
      </c>
      <c r="I2449" t="str">
        <f>_xlfn.IFS(B2449&lt;=5,"Night (0-5)",B2449&lt;=9,"Morning peak (6-9)",B2449&lt;=15,"Midday (10-15)",B2449&lt;=19,"Evening peak (16-19)",TRUE,"Late evening (20-23)")</f>
        <v>Late evening (20-23)</v>
      </c>
    </row>
    <row r="2450" spans="1:9">
      <c r="A2450" s="32">
        <v>41832</v>
      </c>
      <c r="B2450">
        <v>0</v>
      </c>
      <c r="C2450">
        <v>1302</v>
      </c>
      <c r="D2450" t="s">
        <v>303</v>
      </c>
      <c r="E2450">
        <f>YEAR(A2450)</f>
        <v>2014</v>
      </c>
      <c r="F2450" s="33">
        <f>DATE(YEAR(A2450),MONTH(A2450),1)</f>
        <v>41821.0</v>
      </c>
      <c r="G2450" t="str">
        <f>CHOOSE(WEEKDAY(A2450,2),"Mon","Tue","Wed","Thu","Fri","Sat","Sun")</f>
        <v>Sat</v>
      </c>
      <c r="H2450" t="str">
        <f>IF(WEEKDAY(A2450,2)&gt;5,"Weekend","Weekday")</f>
        <v>Weekend</v>
      </c>
      <c r="I2450" t="str">
        <f>_xlfn.IFS(B2450&lt;=5,"Night (0-5)",B2450&lt;=9,"Morning peak (6-9)",B2450&lt;=15,"Midday (10-15)",B2450&lt;=19,"Evening peak (16-19)",TRUE,"Late evening (20-23)")</f>
        <v>Night (0-5)</v>
      </c>
    </row>
    <row r="2451" spans="1:9">
      <c r="A2451" s="32">
        <v>41832</v>
      </c>
      <c r="B2451">
        <v>1</v>
      </c>
      <c r="C2451">
        <v>893</v>
      </c>
      <c r="D2451" t="s">
        <v>303</v>
      </c>
      <c r="E2451">
        <f>YEAR(A2451)</f>
        <v>2014</v>
      </c>
      <c r="F2451" s="33">
        <f>DATE(YEAR(A2451),MONTH(A2451),1)</f>
        <v>41821.0</v>
      </c>
      <c r="G2451" t="str">
        <f>CHOOSE(WEEKDAY(A2451,2),"Mon","Tue","Wed","Thu","Fri","Sat","Sun")</f>
        <v>Sat</v>
      </c>
      <c r="H2451" t="str">
        <f>IF(WEEKDAY(A2451,2)&gt;5,"Weekend","Weekday")</f>
        <v>Weekend</v>
      </c>
      <c r="I2451" t="str">
        <f>_xlfn.IFS(B2451&lt;=5,"Night (0-5)",B2451&lt;=9,"Morning peak (6-9)",B2451&lt;=15,"Midday (10-15)",B2451&lt;=19,"Evening peak (16-19)",TRUE,"Late evening (20-23)")</f>
        <v>Night (0-5)</v>
      </c>
    </row>
    <row r="2452" spans="1:9">
      <c r="A2452" s="32">
        <v>41832</v>
      </c>
      <c r="B2452">
        <v>2</v>
      </c>
      <c r="C2452">
        <v>609</v>
      </c>
      <c r="D2452" t="s">
        <v>303</v>
      </c>
      <c r="E2452">
        <f>YEAR(A2452)</f>
        <v>2014</v>
      </c>
      <c r="F2452" s="33">
        <f>DATE(YEAR(A2452),MONTH(A2452),1)</f>
        <v>41821.0</v>
      </c>
      <c r="G2452" t="str">
        <f>CHOOSE(WEEKDAY(A2452,2),"Mon","Tue","Wed","Thu","Fri","Sat","Sun")</f>
        <v>Sat</v>
      </c>
      <c r="H2452" t="str">
        <f>IF(WEEKDAY(A2452,2)&gt;5,"Weekend","Weekday")</f>
        <v>Weekend</v>
      </c>
      <c r="I2452" t="str">
        <f>_xlfn.IFS(B2452&lt;=5,"Night (0-5)",B2452&lt;=9,"Morning peak (6-9)",B2452&lt;=15,"Midday (10-15)",B2452&lt;=19,"Evening peak (16-19)",TRUE,"Late evening (20-23)")</f>
        <v>Night (0-5)</v>
      </c>
    </row>
    <row r="2453" spans="1:9">
      <c r="A2453" s="32">
        <v>41832</v>
      </c>
      <c r="B2453">
        <v>3</v>
      </c>
      <c r="C2453">
        <v>411</v>
      </c>
      <c r="D2453" t="s">
        <v>303</v>
      </c>
      <c r="E2453">
        <f>YEAR(A2453)</f>
        <v>2014</v>
      </c>
      <c r="F2453" s="33">
        <f>DATE(YEAR(A2453),MONTH(A2453),1)</f>
        <v>41821.0</v>
      </c>
      <c r="G2453" t="str">
        <f>CHOOSE(WEEKDAY(A2453,2),"Mon","Tue","Wed","Thu","Fri","Sat","Sun")</f>
        <v>Sat</v>
      </c>
      <c r="H2453" t="str">
        <f>IF(WEEKDAY(A2453,2)&gt;5,"Weekend","Weekday")</f>
        <v>Weekend</v>
      </c>
      <c r="I2453" t="str">
        <f>_xlfn.IFS(B2453&lt;=5,"Night (0-5)",B2453&lt;=9,"Morning peak (6-9)",B2453&lt;=15,"Midday (10-15)",B2453&lt;=19,"Evening peak (16-19)",TRUE,"Late evening (20-23)")</f>
        <v>Night (0-5)</v>
      </c>
    </row>
    <row r="2454" spans="1:9">
      <c r="A2454" s="32">
        <v>41832</v>
      </c>
      <c r="B2454">
        <v>4</v>
      </c>
      <c r="C2454">
        <v>261</v>
      </c>
      <c r="D2454" t="s">
        <v>303</v>
      </c>
      <c r="E2454">
        <f>YEAR(A2454)</f>
        <v>2014</v>
      </c>
      <c r="F2454" s="33">
        <f>DATE(YEAR(A2454),MONTH(A2454),1)</f>
        <v>41821.0</v>
      </c>
      <c r="G2454" t="str">
        <f>CHOOSE(WEEKDAY(A2454,2),"Mon","Tue","Wed","Thu","Fri","Sat","Sun")</f>
        <v>Sat</v>
      </c>
      <c r="H2454" t="str">
        <f>IF(WEEKDAY(A2454,2)&gt;5,"Weekend","Weekday")</f>
        <v>Weekend</v>
      </c>
      <c r="I2454" t="str">
        <f>_xlfn.IFS(B2454&lt;=5,"Night (0-5)",B2454&lt;=9,"Morning peak (6-9)",B2454&lt;=15,"Midday (10-15)",B2454&lt;=19,"Evening peak (16-19)",TRUE,"Late evening (20-23)")</f>
        <v>Night (0-5)</v>
      </c>
    </row>
    <row r="2455" spans="1:9">
      <c r="A2455" s="32">
        <v>41832</v>
      </c>
      <c r="B2455">
        <v>5</v>
      </c>
      <c r="C2455">
        <v>321</v>
      </c>
      <c r="D2455" t="s">
        <v>303</v>
      </c>
      <c r="E2455">
        <f>YEAR(A2455)</f>
        <v>2014</v>
      </c>
      <c r="F2455" s="33">
        <f>DATE(YEAR(A2455),MONTH(A2455),1)</f>
        <v>41821.0</v>
      </c>
      <c r="G2455" t="str">
        <f>CHOOSE(WEEKDAY(A2455,2),"Mon","Tue","Wed","Thu","Fri","Sat","Sun")</f>
        <v>Sat</v>
      </c>
      <c r="H2455" t="str">
        <f>IF(WEEKDAY(A2455,2)&gt;5,"Weekend","Weekday")</f>
        <v>Weekend</v>
      </c>
      <c r="I2455" t="str">
        <f>_xlfn.IFS(B2455&lt;=5,"Night (0-5)",B2455&lt;=9,"Morning peak (6-9)",B2455&lt;=15,"Midday (10-15)",B2455&lt;=19,"Evening peak (16-19)",TRUE,"Late evening (20-23)")</f>
        <v>Night (0-5)</v>
      </c>
    </row>
    <row r="2456" spans="1:9">
      <c r="A2456" s="32">
        <v>41832</v>
      </c>
      <c r="B2456">
        <v>6</v>
      </c>
      <c r="C2456">
        <v>342</v>
      </c>
      <c r="D2456" t="s">
        <v>303</v>
      </c>
      <c r="E2456">
        <f>YEAR(A2456)</f>
        <v>2014</v>
      </c>
      <c r="F2456" s="33">
        <f>DATE(YEAR(A2456),MONTH(A2456),1)</f>
        <v>41821.0</v>
      </c>
      <c r="G2456" t="str">
        <f>CHOOSE(WEEKDAY(A2456,2),"Mon","Tue","Wed","Thu","Fri","Sat","Sun")</f>
        <v>Sat</v>
      </c>
      <c r="H2456" t="str">
        <f>IF(WEEKDAY(A2456,2)&gt;5,"Weekend","Weekday")</f>
        <v>Weekend</v>
      </c>
      <c r="I2456" t="str">
        <f>_xlfn.IFS(B2456&lt;=5,"Night (0-5)",B2456&lt;=9,"Morning peak (6-9)",B2456&lt;=15,"Midday (10-15)",B2456&lt;=19,"Evening peak (16-19)",TRUE,"Late evening (20-23)")</f>
        <v>Morning peak (6-9)</v>
      </c>
    </row>
    <row r="2457" spans="1:9">
      <c r="A2457" s="32">
        <v>41832</v>
      </c>
      <c r="B2457">
        <v>7</v>
      </c>
      <c r="C2457">
        <v>450</v>
      </c>
      <c r="D2457" t="s">
        <v>303</v>
      </c>
      <c r="E2457">
        <f>YEAR(A2457)</f>
        <v>2014</v>
      </c>
      <c r="F2457" s="33">
        <f>DATE(YEAR(A2457),MONTH(A2457),1)</f>
        <v>41821.0</v>
      </c>
      <c r="G2457" t="str">
        <f>CHOOSE(WEEKDAY(A2457,2),"Mon","Tue","Wed","Thu","Fri","Sat","Sun")</f>
        <v>Sat</v>
      </c>
      <c r="H2457" t="str">
        <f>IF(WEEKDAY(A2457,2)&gt;5,"Weekend","Weekday")</f>
        <v>Weekend</v>
      </c>
      <c r="I2457" t="str">
        <f>_xlfn.IFS(B2457&lt;=5,"Night (0-5)",B2457&lt;=9,"Morning peak (6-9)",B2457&lt;=15,"Midday (10-15)",B2457&lt;=19,"Evening peak (16-19)",TRUE,"Late evening (20-23)")</f>
        <v>Morning peak (6-9)</v>
      </c>
    </row>
    <row r="2458" spans="1:9">
      <c r="A2458" s="32">
        <v>41832</v>
      </c>
      <c r="B2458">
        <v>8</v>
      </c>
      <c r="C2458">
        <v>587</v>
      </c>
      <c r="D2458" t="s">
        <v>303</v>
      </c>
      <c r="E2458">
        <f>YEAR(A2458)</f>
        <v>2014</v>
      </c>
      <c r="F2458" s="33">
        <f>DATE(YEAR(A2458),MONTH(A2458),1)</f>
        <v>41821.0</v>
      </c>
      <c r="G2458" t="str">
        <f>CHOOSE(WEEKDAY(A2458,2),"Mon","Tue","Wed","Thu","Fri","Sat","Sun")</f>
        <v>Sat</v>
      </c>
      <c r="H2458" t="str">
        <f>IF(WEEKDAY(A2458,2)&gt;5,"Weekend","Weekday")</f>
        <v>Weekend</v>
      </c>
      <c r="I2458" t="str">
        <f>_xlfn.IFS(B2458&lt;=5,"Night (0-5)",B2458&lt;=9,"Morning peak (6-9)",B2458&lt;=15,"Midday (10-15)",B2458&lt;=19,"Evening peak (16-19)",TRUE,"Late evening (20-23)")</f>
        <v>Morning peak (6-9)</v>
      </c>
    </row>
    <row r="2459" spans="1:9">
      <c r="A2459" s="32">
        <v>41832</v>
      </c>
      <c r="B2459">
        <v>9</v>
      </c>
      <c r="C2459">
        <v>756</v>
      </c>
      <c r="D2459" t="s">
        <v>303</v>
      </c>
      <c r="E2459">
        <f>YEAR(A2459)</f>
        <v>2014</v>
      </c>
      <c r="F2459" s="33">
        <f>DATE(YEAR(A2459),MONTH(A2459),1)</f>
        <v>41821.0</v>
      </c>
      <c r="G2459" t="str">
        <f>CHOOSE(WEEKDAY(A2459,2),"Mon","Tue","Wed","Thu","Fri","Sat","Sun")</f>
        <v>Sat</v>
      </c>
      <c r="H2459" t="str">
        <f>IF(WEEKDAY(A2459,2)&gt;5,"Weekend","Weekday")</f>
        <v>Weekend</v>
      </c>
      <c r="I2459" t="str">
        <f>_xlfn.IFS(B2459&lt;=5,"Night (0-5)",B2459&lt;=9,"Morning peak (6-9)",B2459&lt;=15,"Midday (10-15)",B2459&lt;=19,"Evening peak (16-19)",TRUE,"Late evening (20-23)")</f>
        <v>Morning peak (6-9)</v>
      </c>
    </row>
    <row r="2460" spans="1:9">
      <c r="A2460" s="32">
        <v>41832</v>
      </c>
      <c r="B2460">
        <v>10</v>
      </c>
      <c r="C2460">
        <v>910</v>
      </c>
      <c r="D2460" t="s">
        <v>303</v>
      </c>
      <c r="E2460">
        <f>YEAR(A2460)</f>
        <v>2014</v>
      </c>
      <c r="F2460" s="33">
        <f>DATE(YEAR(A2460),MONTH(A2460),1)</f>
        <v>41821.0</v>
      </c>
      <c r="G2460" t="str">
        <f>CHOOSE(WEEKDAY(A2460,2),"Mon","Tue","Wed","Thu","Fri","Sat","Sun")</f>
        <v>Sat</v>
      </c>
      <c r="H2460" t="str">
        <f>IF(WEEKDAY(A2460,2)&gt;5,"Weekend","Weekday")</f>
        <v>Weekend</v>
      </c>
      <c r="I2460" t="str">
        <f>_xlfn.IFS(B2460&lt;=5,"Night (0-5)",B2460&lt;=9,"Morning peak (6-9)",B2460&lt;=15,"Midday (10-15)",B2460&lt;=19,"Evening peak (16-19)",TRUE,"Late evening (20-23)")</f>
        <v>Midday (10-15)</v>
      </c>
    </row>
    <row r="2461" spans="1:9">
      <c r="A2461" s="32">
        <v>41832</v>
      </c>
      <c r="B2461">
        <v>11</v>
      </c>
      <c r="C2461">
        <v>994</v>
      </c>
      <c r="D2461" t="s">
        <v>303</v>
      </c>
      <c r="E2461">
        <f>YEAR(A2461)</f>
        <v>2014</v>
      </c>
      <c r="F2461" s="33">
        <f>DATE(YEAR(A2461),MONTH(A2461),1)</f>
        <v>41821.0</v>
      </c>
      <c r="G2461" t="str">
        <f>CHOOSE(WEEKDAY(A2461,2),"Mon","Tue","Wed","Thu","Fri","Sat","Sun")</f>
        <v>Sat</v>
      </c>
      <c r="H2461" t="str">
        <f>IF(WEEKDAY(A2461,2)&gt;5,"Weekend","Weekday")</f>
        <v>Weekend</v>
      </c>
      <c r="I2461" t="str">
        <f>_xlfn.IFS(B2461&lt;=5,"Night (0-5)",B2461&lt;=9,"Morning peak (6-9)",B2461&lt;=15,"Midday (10-15)",B2461&lt;=19,"Evening peak (16-19)",TRUE,"Late evening (20-23)")</f>
        <v>Midday (10-15)</v>
      </c>
    </row>
    <row r="2462" spans="1:9">
      <c r="A2462" s="32">
        <v>41832</v>
      </c>
      <c r="B2462">
        <v>12</v>
      </c>
      <c r="C2462">
        <v>1047</v>
      </c>
      <c r="D2462" t="s">
        <v>303</v>
      </c>
      <c r="E2462">
        <f>YEAR(A2462)</f>
        <v>2014</v>
      </c>
      <c r="F2462" s="33">
        <f>DATE(YEAR(A2462),MONTH(A2462),1)</f>
        <v>41821.0</v>
      </c>
      <c r="G2462" t="str">
        <f>CHOOSE(WEEKDAY(A2462,2),"Mon","Tue","Wed","Thu","Fri","Sat","Sun")</f>
        <v>Sat</v>
      </c>
      <c r="H2462" t="str">
        <f>IF(WEEKDAY(A2462,2)&gt;5,"Weekend","Weekday")</f>
        <v>Weekend</v>
      </c>
      <c r="I2462" t="str">
        <f>_xlfn.IFS(B2462&lt;=5,"Night (0-5)",B2462&lt;=9,"Morning peak (6-9)",B2462&lt;=15,"Midday (10-15)",B2462&lt;=19,"Evening peak (16-19)",TRUE,"Late evening (20-23)")</f>
        <v>Midday (10-15)</v>
      </c>
    </row>
    <row r="2463" spans="1:9">
      <c r="A2463" s="32">
        <v>41832</v>
      </c>
      <c r="B2463">
        <v>13</v>
      </c>
      <c r="C2463">
        <v>1122</v>
      </c>
      <c r="D2463" t="s">
        <v>303</v>
      </c>
      <c r="E2463">
        <f>YEAR(A2463)</f>
        <v>2014</v>
      </c>
      <c r="F2463" s="33">
        <f>DATE(YEAR(A2463),MONTH(A2463),1)</f>
        <v>41821.0</v>
      </c>
      <c r="G2463" t="str">
        <f>CHOOSE(WEEKDAY(A2463,2),"Mon","Tue","Wed","Thu","Fri","Sat","Sun")</f>
        <v>Sat</v>
      </c>
      <c r="H2463" t="str">
        <f>IF(WEEKDAY(A2463,2)&gt;5,"Weekend","Weekday")</f>
        <v>Weekend</v>
      </c>
      <c r="I2463" t="str">
        <f>_xlfn.IFS(B2463&lt;=5,"Night (0-5)",B2463&lt;=9,"Morning peak (6-9)",B2463&lt;=15,"Midday (10-15)",B2463&lt;=19,"Evening peak (16-19)",TRUE,"Late evening (20-23)")</f>
        <v>Midday (10-15)</v>
      </c>
    </row>
    <row r="2464" spans="1:9">
      <c r="A2464" s="32">
        <v>41832</v>
      </c>
      <c r="B2464">
        <v>14</v>
      </c>
      <c r="C2464">
        <v>1341</v>
      </c>
      <c r="D2464" t="s">
        <v>303</v>
      </c>
      <c r="E2464">
        <f>YEAR(A2464)</f>
        <v>2014</v>
      </c>
      <c r="F2464" s="33">
        <f>DATE(YEAR(A2464),MONTH(A2464),1)</f>
        <v>41821.0</v>
      </c>
      <c r="G2464" t="str">
        <f>CHOOSE(WEEKDAY(A2464,2),"Mon","Tue","Wed","Thu","Fri","Sat","Sun")</f>
        <v>Sat</v>
      </c>
      <c r="H2464" t="str">
        <f>IF(WEEKDAY(A2464,2)&gt;5,"Weekend","Weekday")</f>
        <v>Weekend</v>
      </c>
      <c r="I2464" t="str">
        <f>_xlfn.IFS(B2464&lt;=5,"Night (0-5)",B2464&lt;=9,"Morning peak (6-9)",B2464&lt;=15,"Midday (10-15)",B2464&lt;=19,"Evening peak (16-19)",TRUE,"Late evening (20-23)")</f>
        <v>Midday (10-15)</v>
      </c>
    </row>
    <row r="2465" spans="1:9">
      <c r="A2465" s="32">
        <v>41832</v>
      </c>
      <c r="B2465">
        <v>15</v>
      </c>
      <c r="C2465">
        <v>1486</v>
      </c>
      <c r="D2465" t="s">
        <v>303</v>
      </c>
      <c r="E2465">
        <f>YEAR(A2465)</f>
        <v>2014</v>
      </c>
      <c r="F2465" s="33">
        <f>DATE(YEAR(A2465),MONTH(A2465),1)</f>
        <v>41821.0</v>
      </c>
      <c r="G2465" t="str">
        <f>CHOOSE(WEEKDAY(A2465,2),"Mon","Tue","Wed","Thu","Fri","Sat","Sun")</f>
        <v>Sat</v>
      </c>
      <c r="H2465" t="str">
        <f>IF(WEEKDAY(A2465,2)&gt;5,"Weekend","Weekday")</f>
        <v>Weekend</v>
      </c>
      <c r="I2465" t="str">
        <f>_xlfn.IFS(B2465&lt;=5,"Night (0-5)",B2465&lt;=9,"Morning peak (6-9)",B2465&lt;=15,"Midday (10-15)",B2465&lt;=19,"Evening peak (16-19)",TRUE,"Late evening (20-23)")</f>
        <v>Midday (10-15)</v>
      </c>
    </row>
    <row r="2466" spans="1:9">
      <c r="A2466" s="32">
        <v>41832</v>
      </c>
      <c r="B2466">
        <v>16</v>
      </c>
      <c r="C2466">
        <v>1678</v>
      </c>
      <c r="D2466" t="s">
        <v>303</v>
      </c>
      <c r="E2466">
        <f>YEAR(A2466)</f>
        <v>2014</v>
      </c>
      <c r="F2466" s="33">
        <f>DATE(YEAR(A2466),MONTH(A2466),1)</f>
        <v>41821.0</v>
      </c>
      <c r="G2466" t="str">
        <f>CHOOSE(WEEKDAY(A2466,2),"Mon","Tue","Wed","Thu","Fri","Sat","Sun")</f>
        <v>Sat</v>
      </c>
      <c r="H2466" t="str">
        <f>IF(WEEKDAY(A2466,2)&gt;5,"Weekend","Weekday")</f>
        <v>Weekend</v>
      </c>
      <c r="I2466" t="str">
        <f>_xlfn.IFS(B2466&lt;=5,"Night (0-5)",B2466&lt;=9,"Morning peak (6-9)",B2466&lt;=15,"Midday (10-15)",B2466&lt;=19,"Evening peak (16-19)",TRUE,"Late evening (20-23)")</f>
        <v>Evening peak (16-19)</v>
      </c>
    </row>
    <row r="2467" spans="1:9">
      <c r="A2467" s="32">
        <v>41832</v>
      </c>
      <c r="B2467">
        <v>17</v>
      </c>
      <c r="C2467">
        <v>1692</v>
      </c>
      <c r="D2467" t="s">
        <v>303</v>
      </c>
      <c r="E2467">
        <f>YEAR(A2467)</f>
        <v>2014</v>
      </c>
      <c r="F2467" s="33">
        <f>DATE(YEAR(A2467),MONTH(A2467),1)</f>
        <v>41821.0</v>
      </c>
      <c r="G2467" t="str">
        <f>CHOOSE(WEEKDAY(A2467,2),"Mon","Tue","Wed","Thu","Fri","Sat","Sun")</f>
        <v>Sat</v>
      </c>
      <c r="H2467" t="str">
        <f>IF(WEEKDAY(A2467,2)&gt;5,"Weekend","Weekday")</f>
        <v>Weekend</v>
      </c>
      <c r="I2467" t="str">
        <f>_xlfn.IFS(B2467&lt;=5,"Night (0-5)",B2467&lt;=9,"Morning peak (6-9)",B2467&lt;=15,"Midday (10-15)",B2467&lt;=19,"Evening peak (16-19)",TRUE,"Late evening (20-23)")</f>
        <v>Evening peak (16-19)</v>
      </c>
    </row>
    <row r="2468" spans="1:9">
      <c r="A2468" s="32">
        <v>41832</v>
      </c>
      <c r="B2468">
        <v>18</v>
      </c>
      <c r="C2468">
        <v>1673</v>
      </c>
      <c r="D2468" t="s">
        <v>303</v>
      </c>
      <c r="E2468">
        <f>YEAR(A2468)</f>
        <v>2014</v>
      </c>
      <c r="F2468" s="33">
        <f>DATE(YEAR(A2468),MONTH(A2468),1)</f>
        <v>41821.0</v>
      </c>
      <c r="G2468" t="str">
        <f>CHOOSE(WEEKDAY(A2468,2),"Mon","Tue","Wed","Thu","Fri","Sat","Sun")</f>
        <v>Sat</v>
      </c>
      <c r="H2468" t="str">
        <f>IF(WEEKDAY(A2468,2)&gt;5,"Weekend","Weekday")</f>
        <v>Weekend</v>
      </c>
      <c r="I2468" t="str">
        <f>_xlfn.IFS(B2468&lt;=5,"Night (0-5)",B2468&lt;=9,"Morning peak (6-9)",B2468&lt;=15,"Midday (10-15)",B2468&lt;=19,"Evening peak (16-19)",TRUE,"Late evening (20-23)")</f>
        <v>Evening peak (16-19)</v>
      </c>
    </row>
    <row r="2469" spans="1:9">
      <c r="A2469" s="32">
        <v>41832</v>
      </c>
      <c r="B2469">
        <v>19</v>
      </c>
      <c r="C2469">
        <v>1420</v>
      </c>
      <c r="D2469" t="s">
        <v>303</v>
      </c>
      <c r="E2469">
        <f>YEAR(A2469)</f>
        <v>2014</v>
      </c>
      <c r="F2469" s="33">
        <f>DATE(YEAR(A2469),MONTH(A2469),1)</f>
        <v>41821.0</v>
      </c>
      <c r="G2469" t="str">
        <f>CHOOSE(WEEKDAY(A2469,2),"Mon","Tue","Wed","Thu","Fri","Sat","Sun")</f>
        <v>Sat</v>
      </c>
      <c r="H2469" t="str">
        <f>IF(WEEKDAY(A2469,2)&gt;5,"Weekend","Weekday")</f>
        <v>Weekend</v>
      </c>
      <c r="I2469" t="str">
        <f>_xlfn.IFS(B2469&lt;=5,"Night (0-5)",B2469&lt;=9,"Morning peak (6-9)",B2469&lt;=15,"Midday (10-15)",B2469&lt;=19,"Evening peak (16-19)",TRUE,"Late evening (20-23)")</f>
        <v>Evening peak (16-19)</v>
      </c>
    </row>
    <row r="2470" spans="1:9">
      <c r="A2470" s="32">
        <v>41832</v>
      </c>
      <c r="B2470">
        <v>20</v>
      </c>
      <c r="C2470">
        <v>1452</v>
      </c>
      <c r="D2470" t="s">
        <v>303</v>
      </c>
      <c r="E2470">
        <f>YEAR(A2470)</f>
        <v>2014</v>
      </c>
      <c r="F2470" s="33">
        <f>DATE(YEAR(A2470),MONTH(A2470),1)</f>
        <v>41821.0</v>
      </c>
      <c r="G2470" t="str">
        <f>CHOOSE(WEEKDAY(A2470,2),"Mon","Tue","Wed","Thu","Fri","Sat","Sun")</f>
        <v>Sat</v>
      </c>
      <c r="H2470" t="str">
        <f>IF(WEEKDAY(A2470,2)&gt;5,"Weekend","Weekday")</f>
        <v>Weekend</v>
      </c>
      <c r="I2470" t="str">
        <f>_xlfn.IFS(B2470&lt;=5,"Night (0-5)",B2470&lt;=9,"Morning peak (6-9)",B2470&lt;=15,"Midday (10-15)",B2470&lt;=19,"Evening peak (16-19)",TRUE,"Late evening (20-23)")</f>
        <v>Late evening (20-23)</v>
      </c>
    </row>
    <row r="2471" spans="1:9">
      <c r="A2471" s="32">
        <v>41832</v>
      </c>
      <c r="B2471">
        <v>21</v>
      </c>
      <c r="C2471">
        <v>1648</v>
      </c>
      <c r="D2471" t="s">
        <v>303</v>
      </c>
      <c r="E2471">
        <f>YEAR(A2471)</f>
        <v>2014</v>
      </c>
      <c r="F2471" s="33">
        <f>DATE(YEAR(A2471),MONTH(A2471),1)</f>
        <v>41821.0</v>
      </c>
      <c r="G2471" t="str">
        <f>CHOOSE(WEEKDAY(A2471,2),"Mon","Tue","Wed","Thu","Fri","Sat","Sun")</f>
        <v>Sat</v>
      </c>
      <c r="H2471" t="str">
        <f>IF(WEEKDAY(A2471,2)&gt;5,"Weekend","Weekday")</f>
        <v>Weekend</v>
      </c>
      <c r="I2471" t="str">
        <f>_xlfn.IFS(B2471&lt;=5,"Night (0-5)",B2471&lt;=9,"Morning peak (6-9)",B2471&lt;=15,"Midday (10-15)",B2471&lt;=19,"Evening peak (16-19)",TRUE,"Late evening (20-23)")</f>
        <v>Late evening (20-23)</v>
      </c>
    </row>
    <row r="2472" spans="1:9">
      <c r="A2472" s="32">
        <v>41832</v>
      </c>
      <c r="B2472">
        <v>22</v>
      </c>
      <c r="C2472">
        <v>1855</v>
      </c>
      <c r="D2472" t="s">
        <v>303</v>
      </c>
      <c r="E2472">
        <f>YEAR(A2472)</f>
        <v>2014</v>
      </c>
      <c r="F2472" s="33">
        <f>DATE(YEAR(A2472),MONTH(A2472),1)</f>
        <v>41821.0</v>
      </c>
      <c r="G2472" t="str">
        <f>CHOOSE(WEEKDAY(A2472,2),"Mon","Tue","Wed","Thu","Fri","Sat","Sun")</f>
        <v>Sat</v>
      </c>
      <c r="H2472" t="str">
        <f>IF(WEEKDAY(A2472,2)&gt;5,"Weekend","Weekday")</f>
        <v>Weekend</v>
      </c>
      <c r="I2472" t="str">
        <f>_xlfn.IFS(B2472&lt;=5,"Night (0-5)",B2472&lt;=9,"Morning peak (6-9)",B2472&lt;=15,"Midday (10-15)",B2472&lt;=19,"Evening peak (16-19)",TRUE,"Late evening (20-23)")</f>
        <v>Late evening (20-23)</v>
      </c>
    </row>
    <row r="2473" spans="1:9">
      <c r="A2473" s="32">
        <v>41832</v>
      </c>
      <c r="B2473">
        <v>23</v>
      </c>
      <c r="C2473">
        <v>1686</v>
      </c>
      <c r="D2473" t="s">
        <v>303</v>
      </c>
      <c r="E2473">
        <f>YEAR(A2473)</f>
        <v>2014</v>
      </c>
      <c r="F2473" s="33">
        <f>DATE(YEAR(A2473),MONTH(A2473),1)</f>
        <v>41821.0</v>
      </c>
      <c r="G2473" t="str">
        <f>CHOOSE(WEEKDAY(A2473,2),"Mon","Tue","Wed","Thu","Fri","Sat","Sun")</f>
        <v>Sat</v>
      </c>
      <c r="H2473" t="str">
        <f>IF(WEEKDAY(A2473,2)&gt;5,"Weekend","Weekday")</f>
        <v>Weekend</v>
      </c>
      <c r="I2473" t="str">
        <f>_xlfn.IFS(B2473&lt;=5,"Night (0-5)",B2473&lt;=9,"Morning peak (6-9)",B2473&lt;=15,"Midday (10-15)",B2473&lt;=19,"Evening peak (16-19)",TRUE,"Late evening (20-23)")</f>
        <v>Late evening (20-23)</v>
      </c>
    </row>
    <row r="2474" spans="1:9">
      <c r="A2474" s="32">
        <v>41833</v>
      </c>
      <c r="B2474">
        <v>0</v>
      </c>
      <c r="C2474">
        <v>1304</v>
      </c>
      <c r="D2474" t="s">
        <v>303</v>
      </c>
      <c r="E2474">
        <f>YEAR(A2474)</f>
        <v>2014</v>
      </c>
      <c r="F2474" s="33">
        <f>DATE(YEAR(A2474),MONTH(A2474),1)</f>
        <v>41821.0</v>
      </c>
      <c r="G2474" t="str">
        <f>CHOOSE(WEEKDAY(A2474,2),"Mon","Tue","Wed","Thu","Fri","Sat","Sun")</f>
        <v>Sun</v>
      </c>
      <c r="H2474" t="str">
        <f>IF(WEEKDAY(A2474,2)&gt;5,"Weekend","Weekday")</f>
        <v>Weekend</v>
      </c>
      <c r="I2474" t="str">
        <f>_xlfn.IFS(B2474&lt;=5,"Night (0-5)",B2474&lt;=9,"Morning peak (6-9)",B2474&lt;=15,"Midday (10-15)",B2474&lt;=19,"Evening peak (16-19)",TRUE,"Late evening (20-23)")</f>
        <v>Night (0-5)</v>
      </c>
    </row>
    <row r="2475" spans="1:9">
      <c r="A2475" s="32">
        <v>41833</v>
      </c>
      <c r="B2475">
        <v>1</v>
      </c>
      <c r="C2475">
        <v>959</v>
      </c>
      <c r="D2475" t="s">
        <v>303</v>
      </c>
      <c r="E2475">
        <f>YEAR(A2475)</f>
        <v>2014</v>
      </c>
      <c r="F2475" s="33">
        <f>DATE(YEAR(A2475),MONTH(A2475),1)</f>
        <v>41821.0</v>
      </c>
      <c r="G2475" t="str">
        <f>CHOOSE(WEEKDAY(A2475,2),"Mon","Tue","Wed","Thu","Fri","Sat","Sun")</f>
        <v>Sun</v>
      </c>
      <c r="H2475" t="str">
        <f>IF(WEEKDAY(A2475,2)&gt;5,"Weekend","Weekday")</f>
        <v>Weekend</v>
      </c>
      <c r="I2475" t="str">
        <f>_xlfn.IFS(B2475&lt;=5,"Night (0-5)",B2475&lt;=9,"Morning peak (6-9)",B2475&lt;=15,"Midday (10-15)",B2475&lt;=19,"Evening peak (16-19)",TRUE,"Late evening (20-23)")</f>
        <v>Night (0-5)</v>
      </c>
    </row>
    <row r="2476" spans="1:9">
      <c r="A2476" s="32">
        <v>41833</v>
      </c>
      <c r="B2476">
        <v>2</v>
      </c>
      <c r="C2476">
        <v>719</v>
      </c>
      <c r="D2476" t="s">
        <v>303</v>
      </c>
      <c r="E2476">
        <f>YEAR(A2476)</f>
        <v>2014</v>
      </c>
      <c r="F2476" s="33">
        <f>DATE(YEAR(A2476),MONTH(A2476),1)</f>
        <v>41821.0</v>
      </c>
      <c r="G2476" t="str">
        <f>CHOOSE(WEEKDAY(A2476,2),"Mon","Tue","Wed","Thu","Fri","Sat","Sun")</f>
        <v>Sun</v>
      </c>
      <c r="H2476" t="str">
        <f>IF(WEEKDAY(A2476,2)&gt;5,"Weekend","Weekday")</f>
        <v>Weekend</v>
      </c>
      <c r="I2476" t="str">
        <f>_xlfn.IFS(B2476&lt;=5,"Night (0-5)",B2476&lt;=9,"Morning peak (6-9)",B2476&lt;=15,"Midday (10-15)",B2476&lt;=19,"Evening peak (16-19)",TRUE,"Late evening (20-23)")</f>
        <v>Night (0-5)</v>
      </c>
    </row>
    <row r="2477" spans="1:9">
      <c r="A2477" s="32">
        <v>41833</v>
      </c>
      <c r="B2477">
        <v>3</v>
      </c>
      <c r="C2477">
        <v>471</v>
      </c>
      <c r="D2477" t="s">
        <v>303</v>
      </c>
      <c r="E2477">
        <f>YEAR(A2477)</f>
        <v>2014</v>
      </c>
      <c r="F2477" s="33">
        <f>DATE(YEAR(A2477),MONTH(A2477),1)</f>
        <v>41821.0</v>
      </c>
      <c r="G2477" t="str">
        <f>CHOOSE(WEEKDAY(A2477,2),"Mon","Tue","Wed","Thu","Fri","Sat","Sun")</f>
        <v>Sun</v>
      </c>
      <c r="H2477" t="str">
        <f>IF(WEEKDAY(A2477,2)&gt;5,"Weekend","Weekday")</f>
        <v>Weekend</v>
      </c>
      <c r="I2477" t="str">
        <f>_xlfn.IFS(B2477&lt;=5,"Night (0-5)",B2477&lt;=9,"Morning peak (6-9)",B2477&lt;=15,"Midday (10-15)",B2477&lt;=19,"Evening peak (16-19)",TRUE,"Late evening (20-23)")</f>
        <v>Night (0-5)</v>
      </c>
    </row>
    <row r="2478" spans="1:9">
      <c r="A2478" s="32">
        <v>41833</v>
      </c>
      <c r="B2478">
        <v>4</v>
      </c>
      <c r="C2478">
        <v>265</v>
      </c>
      <c r="D2478" t="s">
        <v>303</v>
      </c>
      <c r="E2478">
        <f>YEAR(A2478)</f>
        <v>2014</v>
      </c>
      <c r="F2478" s="33">
        <f>DATE(YEAR(A2478),MONTH(A2478),1)</f>
        <v>41821.0</v>
      </c>
      <c r="G2478" t="str">
        <f>CHOOSE(WEEKDAY(A2478,2),"Mon","Tue","Wed","Thu","Fri","Sat","Sun")</f>
        <v>Sun</v>
      </c>
      <c r="H2478" t="str">
        <f>IF(WEEKDAY(A2478,2)&gt;5,"Weekend","Weekday")</f>
        <v>Weekend</v>
      </c>
      <c r="I2478" t="str">
        <f>_xlfn.IFS(B2478&lt;=5,"Night (0-5)",B2478&lt;=9,"Morning peak (6-9)",B2478&lt;=15,"Midday (10-15)",B2478&lt;=19,"Evening peak (16-19)",TRUE,"Late evening (20-23)")</f>
        <v>Night (0-5)</v>
      </c>
    </row>
    <row r="2479" spans="1:9">
      <c r="A2479" s="32">
        <v>41833</v>
      </c>
      <c r="B2479">
        <v>5</v>
      </c>
      <c r="C2479">
        <v>240</v>
      </c>
      <c r="D2479" t="s">
        <v>303</v>
      </c>
      <c r="E2479">
        <f>YEAR(A2479)</f>
        <v>2014</v>
      </c>
      <c r="F2479" s="33">
        <f>DATE(YEAR(A2479),MONTH(A2479),1)</f>
        <v>41821.0</v>
      </c>
      <c r="G2479" t="str">
        <f>CHOOSE(WEEKDAY(A2479,2),"Mon","Tue","Wed","Thu","Fri","Sat","Sun")</f>
        <v>Sun</v>
      </c>
      <c r="H2479" t="str">
        <f>IF(WEEKDAY(A2479,2)&gt;5,"Weekend","Weekday")</f>
        <v>Weekend</v>
      </c>
      <c r="I2479" t="str">
        <f>_xlfn.IFS(B2479&lt;=5,"Night (0-5)",B2479&lt;=9,"Morning peak (6-9)",B2479&lt;=15,"Midday (10-15)",B2479&lt;=19,"Evening peak (16-19)",TRUE,"Late evening (20-23)")</f>
        <v>Night (0-5)</v>
      </c>
    </row>
    <row r="2480" spans="1:9">
      <c r="A2480" s="32">
        <v>41833</v>
      </c>
      <c r="B2480">
        <v>6</v>
      </c>
      <c r="C2480">
        <v>259</v>
      </c>
      <c r="D2480" t="s">
        <v>303</v>
      </c>
      <c r="E2480">
        <f>YEAR(A2480)</f>
        <v>2014</v>
      </c>
      <c r="F2480" s="33">
        <f>DATE(YEAR(A2480),MONTH(A2480),1)</f>
        <v>41821.0</v>
      </c>
      <c r="G2480" t="str">
        <f>CHOOSE(WEEKDAY(A2480,2),"Mon","Tue","Wed","Thu","Fri","Sat","Sun")</f>
        <v>Sun</v>
      </c>
      <c r="H2480" t="str">
        <f>IF(WEEKDAY(A2480,2)&gt;5,"Weekend","Weekday")</f>
        <v>Weekend</v>
      </c>
      <c r="I2480" t="str">
        <f>_xlfn.IFS(B2480&lt;=5,"Night (0-5)",B2480&lt;=9,"Morning peak (6-9)",B2480&lt;=15,"Midday (10-15)",B2480&lt;=19,"Evening peak (16-19)",TRUE,"Late evening (20-23)")</f>
        <v>Morning peak (6-9)</v>
      </c>
    </row>
    <row r="2481" spans="1:9">
      <c r="A2481" s="32">
        <v>41833</v>
      </c>
      <c r="B2481">
        <v>7</v>
      </c>
      <c r="C2481">
        <v>353</v>
      </c>
      <c r="D2481" t="s">
        <v>303</v>
      </c>
      <c r="E2481">
        <f>YEAR(A2481)</f>
        <v>2014</v>
      </c>
      <c r="F2481" s="33">
        <f>DATE(YEAR(A2481),MONTH(A2481),1)</f>
        <v>41821.0</v>
      </c>
      <c r="G2481" t="str">
        <f>CHOOSE(WEEKDAY(A2481,2),"Mon","Tue","Wed","Thu","Fri","Sat","Sun")</f>
        <v>Sun</v>
      </c>
      <c r="H2481" t="str">
        <f>IF(WEEKDAY(A2481,2)&gt;5,"Weekend","Weekday")</f>
        <v>Weekend</v>
      </c>
      <c r="I2481" t="str">
        <f>_xlfn.IFS(B2481&lt;=5,"Night (0-5)",B2481&lt;=9,"Morning peak (6-9)",B2481&lt;=15,"Midday (10-15)",B2481&lt;=19,"Evening peak (16-19)",TRUE,"Late evening (20-23)")</f>
        <v>Morning peak (6-9)</v>
      </c>
    </row>
    <row r="2482" spans="1:9">
      <c r="A2482" s="32">
        <v>41833</v>
      </c>
      <c r="B2482">
        <v>8</v>
      </c>
      <c r="C2482">
        <v>516</v>
      </c>
      <c r="D2482" t="s">
        <v>303</v>
      </c>
      <c r="E2482">
        <f>YEAR(A2482)</f>
        <v>2014</v>
      </c>
      <c r="F2482" s="33">
        <f>DATE(YEAR(A2482),MONTH(A2482),1)</f>
        <v>41821.0</v>
      </c>
      <c r="G2482" t="str">
        <f>CHOOSE(WEEKDAY(A2482,2),"Mon","Tue","Wed","Thu","Fri","Sat","Sun")</f>
        <v>Sun</v>
      </c>
      <c r="H2482" t="str">
        <f>IF(WEEKDAY(A2482,2)&gt;5,"Weekend","Weekday")</f>
        <v>Weekend</v>
      </c>
      <c r="I2482" t="str">
        <f>_xlfn.IFS(B2482&lt;=5,"Night (0-5)",B2482&lt;=9,"Morning peak (6-9)",B2482&lt;=15,"Midday (10-15)",B2482&lt;=19,"Evening peak (16-19)",TRUE,"Late evening (20-23)")</f>
        <v>Morning peak (6-9)</v>
      </c>
    </row>
    <row r="2483" spans="1:9">
      <c r="A2483" s="32">
        <v>41833</v>
      </c>
      <c r="B2483">
        <v>9</v>
      </c>
      <c r="C2483">
        <v>781</v>
      </c>
      <c r="D2483" t="s">
        <v>303</v>
      </c>
      <c r="E2483">
        <f>YEAR(A2483)</f>
        <v>2014</v>
      </c>
      <c r="F2483" s="33">
        <f>DATE(YEAR(A2483),MONTH(A2483),1)</f>
        <v>41821.0</v>
      </c>
      <c r="G2483" t="str">
        <f>CHOOSE(WEEKDAY(A2483,2),"Mon","Tue","Wed","Thu","Fri","Sat","Sun")</f>
        <v>Sun</v>
      </c>
      <c r="H2483" t="str">
        <f>IF(WEEKDAY(A2483,2)&gt;5,"Weekend","Weekday")</f>
        <v>Weekend</v>
      </c>
      <c r="I2483" t="str">
        <f>_xlfn.IFS(B2483&lt;=5,"Night (0-5)",B2483&lt;=9,"Morning peak (6-9)",B2483&lt;=15,"Midday (10-15)",B2483&lt;=19,"Evening peak (16-19)",TRUE,"Late evening (20-23)")</f>
        <v>Morning peak (6-9)</v>
      </c>
    </row>
    <row r="2484" spans="1:9">
      <c r="A2484" s="32">
        <v>41833</v>
      </c>
      <c r="B2484">
        <v>10</v>
      </c>
      <c r="C2484">
        <v>898</v>
      </c>
      <c r="D2484" t="s">
        <v>303</v>
      </c>
      <c r="E2484">
        <f>YEAR(A2484)</f>
        <v>2014</v>
      </c>
      <c r="F2484" s="33">
        <f>DATE(YEAR(A2484),MONTH(A2484),1)</f>
        <v>41821.0</v>
      </c>
      <c r="G2484" t="str">
        <f>CHOOSE(WEEKDAY(A2484,2),"Mon","Tue","Wed","Thu","Fri","Sat","Sun")</f>
        <v>Sun</v>
      </c>
      <c r="H2484" t="str">
        <f>IF(WEEKDAY(A2484,2)&gt;5,"Weekend","Weekday")</f>
        <v>Weekend</v>
      </c>
      <c r="I2484" t="str">
        <f>_xlfn.IFS(B2484&lt;=5,"Night (0-5)",B2484&lt;=9,"Morning peak (6-9)",B2484&lt;=15,"Midday (10-15)",B2484&lt;=19,"Evening peak (16-19)",TRUE,"Late evening (20-23)")</f>
        <v>Midday (10-15)</v>
      </c>
    </row>
    <row r="2485" spans="1:9">
      <c r="A2485" s="32">
        <v>41833</v>
      </c>
      <c r="B2485">
        <v>11</v>
      </c>
      <c r="C2485">
        <v>1075</v>
      </c>
      <c r="D2485" t="s">
        <v>303</v>
      </c>
      <c r="E2485">
        <f>YEAR(A2485)</f>
        <v>2014</v>
      </c>
      <c r="F2485" s="33">
        <f>DATE(YEAR(A2485),MONTH(A2485),1)</f>
        <v>41821.0</v>
      </c>
      <c r="G2485" t="str">
        <f>CHOOSE(WEEKDAY(A2485,2),"Mon","Tue","Wed","Thu","Fri","Sat","Sun")</f>
        <v>Sun</v>
      </c>
      <c r="H2485" t="str">
        <f>IF(WEEKDAY(A2485,2)&gt;5,"Weekend","Weekday")</f>
        <v>Weekend</v>
      </c>
      <c r="I2485" t="str">
        <f>_xlfn.IFS(B2485&lt;=5,"Night (0-5)",B2485&lt;=9,"Morning peak (6-9)",B2485&lt;=15,"Midday (10-15)",B2485&lt;=19,"Evening peak (16-19)",TRUE,"Late evening (20-23)")</f>
        <v>Midday (10-15)</v>
      </c>
    </row>
    <row r="2486" spans="1:9">
      <c r="A2486" s="32">
        <v>41833</v>
      </c>
      <c r="B2486">
        <v>12</v>
      </c>
      <c r="C2486">
        <v>1142</v>
      </c>
      <c r="D2486" t="s">
        <v>303</v>
      </c>
      <c r="E2486">
        <f>YEAR(A2486)</f>
        <v>2014</v>
      </c>
      <c r="F2486" s="33">
        <f>DATE(YEAR(A2486),MONTH(A2486),1)</f>
        <v>41821.0</v>
      </c>
      <c r="G2486" t="str">
        <f>CHOOSE(WEEKDAY(A2486,2),"Mon","Tue","Wed","Thu","Fri","Sat","Sun")</f>
        <v>Sun</v>
      </c>
      <c r="H2486" t="str">
        <f>IF(WEEKDAY(A2486,2)&gt;5,"Weekend","Weekday")</f>
        <v>Weekend</v>
      </c>
      <c r="I2486" t="str">
        <f>_xlfn.IFS(B2486&lt;=5,"Night (0-5)",B2486&lt;=9,"Morning peak (6-9)",B2486&lt;=15,"Midday (10-15)",B2486&lt;=19,"Evening peak (16-19)",TRUE,"Late evening (20-23)")</f>
        <v>Midday (10-15)</v>
      </c>
    </row>
    <row r="2487" spans="1:9">
      <c r="A2487" s="32">
        <v>41833</v>
      </c>
      <c r="B2487">
        <v>13</v>
      </c>
      <c r="C2487">
        <v>1257</v>
      </c>
      <c r="D2487" t="s">
        <v>303</v>
      </c>
      <c r="E2487">
        <f>YEAR(A2487)</f>
        <v>2014</v>
      </c>
      <c r="F2487" s="33">
        <f>DATE(YEAR(A2487),MONTH(A2487),1)</f>
        <v>41821.0</v>
      </c>
      <c r="G2487" t="str">
        <f>CHOOSE(WEEKDAY(A2487,2),"Mon","Tue","Wed","Thu","Fri","Sat","Sun")</f>
        <v>Sun</v>
      </c>
      <c r="H2487" t="str">
        <f>IF(WEEKDAY(A2487,2)&gt;5,"Weekend","Weekday")</f>
        <v>Weekend</v>
      </c>
      <c r="I2487" t="str">
        <f>_xlfn.IFS(B2487&lt;=5,"Night (0-5)",B2487&lt;=9,"Morning peak (6-9)",B2487&lt;=15,"Midday (10-15)",B2487&lt;=19,"Evening peak (16-19)",TRUE,"Late evening (20-23)")</f>
        <v>Midday (10-15)</v>
      </c>
    </row>
    <row r="2488" spans="1:9">
      <c r="A2488" s="32">
        <v>41833</v>
      </c>
      <c r="B2488">
        <v>14</v>
      </c>
      <c r="C2488">
        <v>1272</v>
      </c>
      <c r="D2488" t="s">
        <v>303</v>
      </c>
      <c r="E2488">
        <f>YEAR(A2488)</f>
        <v>2014</v>
      </c>
      <c r="F2488" s="33">
        <f>DATE(YEAR(A2488),MONTH(A2488),1)</f>
        <v>41821.0</v>
      </c>
      <c r="G2488" t="str">
        <f>CHOOSE(WEEKDAY(A2488,2),"Mon","Tue","Wed","Thu","Fri","Sat","Sun")</f>
        <v>Sun</v>
      </c>
      <c r="H2488" t="str">
        <f>IF(WEEKDAY(A2488,2)&gt;5,"Weekend","Weekday")</f>
        <v>Weekend</v>
      </c>
      <c r="I2488" t="str">
        <f>_xlfn.IFS(B2488&lt;=5,"Night (0-5)",B2488&lt;=9,"Morning peak (6-9)",B2488&lt;=15,"Midday (10-15)",B2488&lt;=19,"Evening peak (16-19)",TRUE,"Late evening (20-23)")</f>
        <v>Midday (10-15)</v>
      </c>
    </row>
    <row r="2489" spans="1:9">
      <c r="A2489" s="32">
        <v>41833</v>
      </c>
      <c r="B2489">
        <v>15</v>
      </c>
      <c r="C2489">
        <v>1070</v>
      </c>
      <c r="D2489" t="s">
        <v>303</v>
      </c>
      <c r="E2489">
        <f>YEAR(A2489)</f>
        <v>2014</v>
      </c>
      <c r="F2489" s="33">
        <f>DATE(YEAR(A2489),MONTH(A2489),1)</f>
        <v>41821.0</v>
      </c>
      <c r="G2489" t="str">
        <f>CHOOSE(WEEKDAY(A2489,2),"Mon","Tue","Wed","Thu","Fri","Sat","Sun")</f>
        <v>Sun</v>
      </c>
      <c r="H2489" t="str">
        <f>IF(WEEKDAY(A2489,2)&gt;5,"Weekend","Weekday")</f>
        <v>Weekend</v>
      </c>
      <c r="I2489" t="str">
        <f>_xlfn.IFS(B2489&lt;=5,"Night (0-5)",B2489&lt;=9,"Morning peak (6-9)",B2489&lt;=15,"Midday (10-15)",B2489&lt;=19,"Evening peak (16-19)",TRUE,"Late evening (20-23)")</f>
        <v>Midday (10-15)</v>
      </c>
    </row>
    <row r="2490" spans="1:9">
      <c r="A2490" s="32">
        <v>41833</v>
      </c>
      <c r="B2490">
        <v>16</v>
      </c>
      <c r="C2490">
        <v>1297</v>
      </c>
      <c r="D2490" t="s">
        <v>303</v>
      </c>
      <c r="E2490">
        <f>YEAR(A2490)</f>
        <v>2014</v>
      </c>
      <c r="F2490" s="33">
        <f>DATE(YEAR(A2490),MONTH(A2490),1)</f>
        <v>41821.0</v>
      </c>
      <c r="G2490" t="str">
        <f>CHOOSE(WEEKDAY(A2490,2),"Mon","Tue","Wed","Thu","Fri","Sat","Sun")</f>
        <v>Sun</v>
      </c>
      <c r="H2490" t="str">
        <f>IF(WEEKDAY(A2490,2)&gt;5,"Weekend","Weekday")</f>
        <v>Weekend</v>
      </c>
      <c r="I2490" t="str">
        <f>_xlfn.IFS(B2490&lt;=5,"Night (0-5)",B2490&lt;=9,"Morning peak (6-9)",B2490&lt;=15,"Midday (10-15)",B2490&lt;=19,"Evening peak (16-19)",TRUE,"Late evening (20-23)")</f>
        <v>Evening peak (16-19)</v>
      </c>
    </row>
    <row r="2491" spans="1:9">
      <c r="A2491" s="32">
        <v>41833</v>
      </c>
      <c r="B2491">
        <v>17</v>
      </c>
      <c r="C2491">
        <v>1428</v>
      </c>
      <c r="D2491" t="s">
        <v>303</v>
      </c>
      <c r="E2491">
        <f>YEAR(A2491)</f>
        <v>2014</v>
      </c>
      <c r="F2491" s="33">
        <f>DATE(YEAR(A2491),MONTH(A2491),1)</f>
        <v>41821.0</v>
      </c>
      <c r="G2491" t="str">
        <f>CHOOSE(WEEKDAY(A2491,2),"Mon","Tue","Wed","Thu","Fri","Sat","Sun")</f>
        <v>Sun</v>
      </c>
      <c r="H2491" t="str">
        <f>IF(WEEKDAY(A2491,2)&gt;5,"Weekend","Weekday")</f>
        <v>Weekend</v>
      </c>
      <c r="I2491" t="str">
        <f>_xlfn.IFS(B2491&lt;=5,"Night (0-5)",B2491&lt;=9,"Morning peak (6-9)",B2491&lt;=15,"Midday (10-15)",B2491&lt;=19,"Evening peak (16-19)",TRUE,"Late evening (20-23)")</f>
        <v>Evening peak (16-19)</v>
      </c>
    </row>
    <row r="2492" spans="1:9">
      <c r="A2492" s="32">
        <v>41833</v>
      </c>
      <c r="B2492">
        <v>18</v>
      </c>
      <c r="C2492">
        <v>1145</v>
      </c>
      <c r="D2492" t="s">
        <v>303</v>
      </c>
      <c r="E2492">
        <f>YEAR(A2492)</f>
        <v>2014</v>
      </c>
      <c r="F2492" s="33">
        <f>DATE(YEAR(A2492),MONTH(A2492),1)</f>
        <v>41821.0</v>
      </c>
      <c r="G2492" t="str">
        <f>CHOOSE(WEEKDAY(A2492,2),"Mon","Tue","Wed","Thu","Fri","Sat","Sun")</f>
        <v>Sun</v>
      </c>
      <c r="H2492" t="str">
        <f>IF(WEEKDAY(A2492,2)&gt;5,"Weekend","Weekday")</f>
        <v>Weekend</v>
      </c>
      <c r="I2492" t="str">
        <f>_xlfn.IFS(B2492&lt;=5,"Night (0-5)",B2492&lt;=9,"Morning peak (6-9)",B2492&lt;=15,"Midday (10-15)",B2492&lt;=19,"Evening peak (16-19)",TRUE,"Late evening (20-23)")</f>
        <v>Evening peak (16-19)</v>
      </c>
    </row>
    <row r="2493" spans="1:9">
      <c r="A2493" s="32">
        <v>41833</v>
      </c>
      <c r="B2493">
        <v>19</v>
      </c>
      <c r="C2493">
        <v>972</v>
      </c>
      <c r="D2493" t="s">
        <v>303</v>
      </c>
      <c r="E2493">
        <f>YEAR(A2493)</f>
        <v>2014</v>
      </c>
      <c r="F2493" s="33">
        <f>DATE(YEAR(A2493),MONTH(A2493),1)</f>
        <v>41821.0</v>
      </c>
      <c r="G2493" t="str">
        <f>CHOOSE(WEEKDAY(A2493,2),"Mon","Tue","Wed","Thu","Fri","Sat","Sun")</f>
        <v>Sun</v>
      </c>
      <c r="H2493" t="str">
        <f>IF(WEEKDAY(A2493,2)&gt;5,"Weekend","Weekday")</f>
        <v>Weekend</v>
      </c>
      <c r="I2493" t="str">
        <f>_xlfn.IFS(B2493&lt;=5,"Night (0-5)",B2493&lt;=9,"Morning peak (6-9)",B2493&lt;=15,"Midday (10-15)",B2493&lt;=19,"Evening peak (16-19)",TRUE,"Late evening (20-23)")</f>
        <v>Evening peak (16-19)</v>
      </c>
    </row>
    <row r="2494" spans="1:9">
      <c r="A2494" s="32">
        <v>41833</v>
      </c>
      <c r="B2494">
        <v>20</v>
      </c>
      <c r="C2494">
        <v>1030</v>
      </c>
      <c r="D2494" t="s">
        <v>303</v>
      </c>
      <c r="E2494">
        <f>YEAR(A2494)</f>
        <v>2014</v>
      </c>
      <c r="F2494" s="33">
        <f>DATE(YEAR(A2494),MONTH(A2494),1)</f>
        <v>41821.0</v>
      </c>
      <c r="G2494" t="str">
        <f>CHOOSE(WEEKDAY(A2494,2),"Mon","Tue","Wed","Thu","Fri","Sat","Sun")</f>
        <v>Sun</v>
      </c>
      <c r="H2494" t="str">
        <f>IF(WEEKDAY(A2494,2)&gt;5,"Weekend","Weekday")</f>
        <v>Weekend</v>
      </c>
      <c r="I2494" t="str">
        <f>_xlfn.IFS(B2494&lt;=5,"Night (0-5)",B2494&lt;=9,"Morning peak (6-9)",B2494&lt;=15,"Midday (10-15)",B2494&lt;=19,"Evening peak (16-19)",TRUE,"Late evening (20-23)")</f>
        <v>Late evening (20-23)</v>
      </c>
    </row>
    <row r="2495" spans="1:9">
      <c r="A2495" s="32">
        <v>41833</v>
      </c>
      <c r="B2495">
        <v>21</v>
      </c>
      <c r="C2495">
        <v>910</v>
      </c>
      <c r="D2495" t="s">
        <v>303</v>
      </c>
      <c r="E2495">
        <f>YEAR(A2495)</f>
        <v>2014</v>
      </c>
      <c r="F2495" s="33">
        <f>DATE(YEAR(A2495),MONTH(A2495),1)</f>
        <v>41821.0</v>
      </c>
      <c r="G2495" t="str">
        <f>CHOOSE(WEEKDAY(A2495,2),"Mon","Tue","Wed","Thu","Fri","Sat","Sun")</f>
        <v>Sun</v>
      </c>
      <c r="H2495" t="str">
        <f>IF(WEEKDAY(A2495,2)&gt;5,"Weekend","Weekday")</f>
        <v>Weekend</v>
      </c>
      <c r="I2495" t="str">
        <f>_xlfn.IFS(B2495&lt;=5,"Night (0-5)",B2495&lt;=9,"Morning peak (6-9)",B2495&lt;=15,"Midday (10-15)",B2495&lt;=19,"Evening peak (16-19)",TRUE,"Late evening (20-23)")</f>
        <v>Late evening (20-23)</v>
      </c>
    </row>
    <row r="2496" spans="1:9">
      <c r="A2496" s="32">
        <v>41833</v>
      </c>
      <c r="B2496">
        <v>22</v>
      </c>
      <c r="C2496">
        <v>934</v>
      </c>
      <c r="D2496" t="s">
        <v>303</v>
      </c>
      <c r="E2496">
        <f>YEAR(A2496)</f>
        <v>2014</v>
      </c>
      <c r="F2496" s="33">
        <f>DATE(YEAR(A2496),MONTH(A2496),1)</f>
        <v>41821.0</v>
      </c>
      <c r="G2496" t="str">
        <f>CHOOSE(WEEKDAY(A2496,2),"Mon","Tue","Wed","Thu","Fri","Sat","Sun")</f>
        <v>Sun</v>
      </c>
      <c r="H2496" t="str">
        <f>IF(WEEKDAY(A2496,2)&gt;5,"Weekend","Weekday")</f>
        <v>Weekend</v>
      </c>
      <c r="I2496" t="str">
        <f>_xlfn.IFS(B2496&lt;=5,"Night (0-5)",B2496&lt;=9,"Morning peak (6-9)",B2496&lt;=15,"Midday (10-15)",B2496&lt;=19,"Evening peak (16-19)",TRUE,"Late evening (20-23)")</f>
        <v>Late evening (20-23)</v>
      </c>
    </row>
    <row r="2497" spans="1:9">
      <c r="A2497" s="32">
        <v>41833</v>
      </c>
      <c r="B2497">
        <v>23</v>
      </c>
      <c r="C2497">
        <v>785</v>
      </c>
      <c r="D2497" t="s">
        <v>303</v>
      </c>
      <c r="E2497">
        <f>YEAR(A2497)</f>
        <v>2014</v>
      </c>
      <c r="F2497" s="33">
        <f>DATE(YEAR(A2497),MONTH(A2497),1)</f>
        <v>41821.0</v>
      </c>
      <c r="G2497" t="str">
        <f>CHOOSE(WEEKDAY(A2497,2),"Mon","Tue","Wed","Thu","Fri","Sat","Sun")</f>
        <v>Sun</v>
      </c>
      <c r="H2497" t="str">
        <f>IF(WEEKDAY(A2497,2)&gt;5,"Weekend","Weekday")</f>
        <v>Weekend</v>
      </c>
      <c r="I2497" t="str">
        <f>_xlfn.IFS(B2497&lt;=5,"Night (0-5)",B2497&lt;=9,"Morning peak (6-9)",B2497&lt;=15,"Midday (10-15)",B2497&lt;=19,"Evening peak (16-19)",TRUE,"Late evening (20-23)")</f>
        <v>Late evening (20-23)</v>
      </c>
    </row>
    <row r="2498" spans="1:9">
      <c r="A2498" s="32">
        <v>41834</v>
      </c>
      <c r="B2498">
        <v>0</v>
      </c>
      <c r="C2498">
        <v>417</v>
      </c>
      <c r="D2498" t="s">
        <v>303</v>
      </c>
      <c r="E2498">
        <f>YEAR(A2498)</f>
        <v>2014</v>
      </c>
      <c r="F2498" s="33">
        <f>DATE(YEAR(A2498),MONTH(A2498),1)</f>
        <v>41821.0</v>
      </c>
      <c r="G2498" t="str">
        <f>CHOOSE(WEEKDAY(A2498,2),"Mon","Tue","Wed","Thu","Fri","Sat","Sun")</f>
        <v>Mon</v>
      </c>
      <c r="H2498" t="str">
        <f>IF(WEEKDAY(A2498,2)&gt;5,"Weekend","Weekday")</f>
        <v>Weekday</v>
      </c>
      <c r="I2498" t="str">
        <f>_xlfn.IFS(B2498&lt;=5,"Night (0-5)",B2498&lt;=9,"Morning peak (6-9)",B2498&lt;=15,"Midday (10-15)",B2498&lt;=19,"Evening peak (16-19)",TRUE,"Late evening (20-23)")</f>
        <v>Night (0-5)</v>
      </c>
    </row>
    <row r="2499" spans="1:9">
      <c r="A2499" s="32">
        <v>41834</v>
      </c>
      <c r="B2499">
        <v>1</v>
      </c>
      <c r="C2499">
        <v>192</v>
      </c>
      <c r="D2499" t="s">
        <v>303</v>
      </c>
      <c r="E2499">
        <f>YEAR(A2499)</f>
        <v>2014</v>
      </c>
      <c r="F2499" s="33">
        <f>DATE(YEAR(A2499),MONTH(A2499),1)</f>
        <v>41821.0</v>
      </c>
      <c r="G2499" t="str">
        <f>CHOOSE(WEEKDAY(A2499,2),"Mon","Tue","Wed","Thu","Fri","Sat","Sun")</f>
        <v>Mon</v>
      </c>
      <c r="H2499" t="str">
        <f>IF(WEEKDAY(A2499,2)&gt;5,"Weekend","Weekday")</f>
        <v>Weekday</v>
      </c>
      <c r="I2499" t="str">
        <f>_xlfn.IFS(B2499&lt;=5,"Night (0-5)",B2499&lt;=9,"Morning peak (6-9)",B2499&lt;=15,"Midday (10-15)",B2499&lt;=19,"Evening peak (16-19)",TRUE,"Late evening (20-23)")</f>
        <v>Night (0-5)</v>
      </c>
    </row>
    <row r="2500" spans="1:9">
      <c r="A2500" s="32">
        <v>41834</v>
      </c>
      <c r="B2500">
        <v>2</v>
      </c>
      <c r="C2500">
        <v>117</v>
      </c>
      <c r="D2500" t="s">
        <v>303</v>
      </c>
      <c r="E2500">
        <f>YEAR(A2500)</f>
        <v>2014</v>
      </c>
      <c r="F2500" s="33">
        <f>DATE(YEAR(A2500),MONTH(A2500),1)</f>
        <v>41821.0</v>
      </c>
      <c r="G2500" t="str">
        <f>CHOOSE(WEEKDAY(A2500,2),"Mon","Tue","Wed","Thu","Fri","Sat","Sun")</f>
        <v>Mon</v>
      </c>
      <c r="H2500" t="str">
        <f>IF(WEEKDAY(A2500,2)&gt;5,"Weekend","Weekday")</f>
        <v>Weekday</v>
      </c>
      <c r="I2500" t="str">
        <f>_xlfn.IFS(B2500&lt;=5,"Night (0-5)",B2500&lt;=9,"Morning peak (6-9)",B2500&lt;=15,"Midday (10-15)",B2500&lt;=19,"Evening peak (16-19)",TRUE,"Late evening (20-23)")</f>
        <v>Night (0-5)</v>
      </c>
    </row>
    <row r="2501" spans="1:9">
      <c r="A2501" s="32">
        <v>41834</v>
      </c>
      <c r="B2501">
        <v>3</v>
      </c>
      <c r="C2501">
        <v>274</v>
      </c>
      <c r="D2501" t="s">
        <v>303</v>
      </c>
      <c r="E2501">
        <f>YEAR(A2501)</f>
        <v>2014</v>
      </c>
      <c r="F2501" s="33">
        <f>DATE(YEAR(A2501),MONTH(A2501),1)</f>
        <v>41821.0</v>
      </c>
      <c r="G2501" t="str">
        <f>CHOOSE(WEEKDAY(A2501,2),"Mon","Tue","Wed","Thu","Fri","Sat","Sun")</f>
        <v>Mon</v>
      </c>
      <c r="H2501" t="str">
        <f>IF(WEEKDAY(A2501,2)&gt;5,"Weekend","Weekday")</f>
        <v>Weekday</v>
      </c>
      <c r="I2501" t="str">
        <f>_xlfn.IFS(B2501&lt;=5,"Night (0-5)",B2501&lt;=9,"Morning peak (6-9)",B2501&lt;=15,"Midday (10-15)",B2501&lt;=19,"Evening peak (16-19)",TRUE,"Late evening (20-23)")</f>
        <v>Night (0-5)</v>
      </c>
    </row>
    <row r="2502" spans="1:9">
      <c r="A2502" s="32">
        <v>41834</v>
      </c>
      <c r="B2502">
        <v>4</v>
      </c>
      <c r="C2502">
        <v>408</v>
      </c>
      <c r="D2502" t="s">
        <v>303</v>
      </c>
      <c r="E2502">
        <f>YEAR(A2502)</f>
        <v>2014</v>
      </c>
      <c r="F2502" s="33">
        <f>DATE(YEAR(A2502),MONTH(A2502),1)</f>
        <v>41821.0</v>
      </c>
      <c r="G2502" t="str">
        <f>CHOOSE(WEEKDAY(A2502,2),"Mon","Tue","Wed","Thu","Fri","Sat","Sun")</f>
        <v>Mon</v>
      </c>
      <c r="H2502" t="str">
        <f>IF(WEEKDAY(A2502,2)&gt;5,"Weekend","Weekday")</f>
        <v>Weekday</v>
      </c>
      <c r="I2502" t="str">
        <f>_xlfn.IFS(B2502&lt;=5,"Night (0-5)",B2502&lt;=9,"Morning peak (6-9)",B2502&lt;=15,"Midday (10-15)",B2502&lt;=19,"Evening peak (16-19)",TRUE,"Late evening (20-23)")</f>
        <v>Night (0-5)</v>
      </c>
    </row>
    <row r="2503" spans="1:9">
      <c r="A2503" s="32">
        <v>41834</v>
      </c>
      <c r="B2503">
        <v>5</v>
      </c>
      <c r="C2503">
        <v>686</v>
      </c>
      <c r="D2503" t="s">
        <v>303</v>
      </c>
      <c r="E2503">
        <f>YEAR(A2503)</f>
        <v>2014</v>
      </c>
      <c r="F2503" s="33">
        <f>DATE(YEAR(A2503),MONTH(A2503),1)</f>
        <v>41821.0</v>
      </c>
      <c r="G2503" t="str">
        <f>CHOOSE(WEEKDAY(A2503,2),"Mon","Tue","Wed","Thu","Fri","Sat","Sun")</f>
        <v>Mon</v>
      </c>
      <c r="H2503" t="str">
        <f>IF(WEEKDAY(A2503,2)&gt;5,"Weekend","Weekday")</f>
        <v>Weekday</v>
      </c>
      <c r="I2503" t="str">
        <f>_xlfn.IFS(B2503&lt;=5,"Night (0-5)",B2503&lt;=9,"Morning peak (6-9)",B2503&lt;=15,"Midday (10-15)",B2503&lt;=19,"Evening peak (16-19)",TRUE,"Late evening (20-23)")</f>
        <v>Night (0-5)</v>
      </c>
    </row>
    <row r="2504" spans="1:9">
      <c r="A2504" s="32">
        <v>41834</v>
      </c>
      <c r="B2504">
        <v>6</v>
      </c>
      <c r="C2504">
        <v>990</v>
      </c>
      <c r="D2504" t="s">
        <v>303</v>
      </c>
      <c r="E2504">
        <f>YEAR(A2504)</f>
        <v>2014</v>
      </c>
      <c r="F2504" s="33">
        <f>DATE(YEAR(A2504),MONTH(A2504),1)</f>
        <v>41821.0</v>
      </c>
      <c r="G2504" t="str">
        <f>CHOOSE(WEEKDAY(A2504,2),"Mon","Tue","Wed","Thu","Fri","Sat","Sun")</f>
        <v>Mon</v>
      </c>
      <c r="H2504" t="str">
        <f>IF(WEEKDAY(A2504,2)&gt;5,"Weekend","Weekday")</f>
        <v>Weekday</v>
      </c>
      <c r="I2504" t="str">
        <f>_xlfn.IFS(B2504&lt;=5,"Night (0-5)",B2504&lt;=9,"Morning peak (6-9)",B2504&lt;=15,"Midday (10-15)",B2504&lt;=19,"Evening peak (16-19)",TRUE,"Late evening (20-23)")</f>
        <v>Morning peak (6-9)</v>
      </c>
    </row>
    <row r="2505" spans="1:9">
      <c r="A2505" s="32">
        <v>41834</v>
      </c>
      <c r="B2505">
        <v>7</v>
      </c>
      <c r="C2505">
        <v>1379</v>
      </c>
      <c r="D2505" t="s">
        <v>303</v>
      </c>
      <c r="E2505">
        <f>YEAR(A2505)</f>
        <v>2014</v>
      </c>
      <c r="F2505" s="33">
        <f>DATE(YEAR(A2505),MONTH(A2505),1)</f>
        <v>41821.0</v>
      </c>
      <c r="G2505" t="str">
        <f>CHOOSE(WEEKDAY(A2505,2),"Mon","Tue","Wed","Thu","Fri","Sat","Sun")</f>
        <v>Mon</v>
      </c>
      <c r="H2505" t="str">
        <f>IF(WEEKDAY(A2505,2)&gt;5,"Weekend","Weekday")</f>
        <v>Weekday</v>
      </c>
      <c r="I2505" t="str">
        <f>_xlfn.IFS(B2505&lt;=5,"Night (0-5)",B2505&lt;=9,"Morning peak (6-9)",B2505&lt;=15,"Midday (10-15)",B2505&lt;=19,"Evening peak (16-19)",TRUE,"Late evening (20-23)")</f>
        <v>Morning peak (6-9)</v>
      </c>
    </row>
    <row r="2506" spans="1:9">
      <c r="A2506" s="32">
        <v>41834</v>
      </c>
      <c r="B2506">
        <v>8</v>
      </c>
      <c r="C2506">
        <v>1277</v>
      </c>
      <c r="D2506" t="s">
        <v>303</v>
      </c>
      <c r="E2506">
        <f>YEAR(A2506)</f>
        <v>2014</v>
      </c>
      <c r="F2506" s="33">
        <f>DATE(YEAR(A2506),MONTH(A2506),1)</f>
        <v>41821.0</v>
      </c>
      <c r="G2506" t="str">
        <f>CHOOSE(WEEKDAY(A2506,2),"Mon","Tue","Wed","Thu","Fri","Sat","Sun")</f>
        <v>Mon</v>
      </c>
      <c r="H2506" t="str">
        <f>IF(WEEKDAY(A2506,2)&gt;5,"Weekend","Weekday")</f>
        <v>Weekday</v>
      </c>
      <c r="I2506" t="str">
        <f>_xlfn.IFS(B2506&lt;=5,"Night (0-5)",B2506&lt;=9,"Morning peak (6-9)",B2506&lt;=15,"Midday (10-15)",B2506&lt;=19,"Evening peak (16-19)",TRUE,"Late evening (20-23)")</f>
        <v>Morning peak (6-9)</v>
      </c>
    </row>
    <row r="2507" spans="1:9">
      <c r="A2507" s="32">
        <v>41834</v>
      </c>
      <c r="B2507">
        <v>9</v>
      </c>
      <c r="C2507">
        <v>1012</v>
      </c>
      <c r="D2507" t="s">
        <v>303</v>
      </c>
      <c r="E2507">
        <f>YEAR(A2507)</f>
        <v>2014</v>
      </c>
      <c r="F2507" s="33">
        <f>DATE(YEAR(A2507),MONTH(A2507),1)</f>
        <v>41821.0</v>
      </c>
      <c r="G2507" t="str">
        <f>CHOOSE(WEEKDAY(A2507,2),"Mon","Tue","Wed","Thu","Fri","Sat","Sun")</f>
        <v>Mon</v>
      </c>
      <c r="H2507" t="str">
        <f>IF(WEEKDAY(A2507,2)&gt;5,"Weekend","Weekday")</f>
        <v>Weekday</v>
      </c>
      <c r="I2507" t="str">
        <f>_xlfn.IFS(B2507&lt;=5,"Night (0-5)",B2507&lt;=9,"Morning peak (6-9)",B2507&lt;=15,"Midday (10-15)",B2507&lt;=19,"Evening peak (16-19)",TRUE,"Late evening (20-23)")</f>
        <v>Morning peak (6-9)</v>
      </c>
    </row>
    <row r="2508" spans="1:9">
      <c r="A2508" s="32">
        <v>41834</v>
      </c>
      <c r="B2508">
        <v>10</v>
      </c>
      <c r="C2508">
        <v>946</v>
      </c>
      <c r="D2508" t="s">
        <v>303</v>
      </c>
      <c r="E2508">
        <f>YEAR(A2508)</f>
        <v>2014</v>
      </c>
      <c r="F2508" s="33">
        <f>DATE(YEAR(A2508),MONTH(A2508),1)</f>
        <v>41821.0</v>
      </c>
      <c r="G2508" t="str">
        <f>CHOOSE(WEEKDAY(A2508,2),"Mon","Tue","Wed","Thu","Fri","Sat","Sun")</f>
        <v>Mon</v>
      </c>
      <c r="H2508" t="str">
        <f>IF(WEEKDAY(A2508,2)&gt;5,"Weekend","Weekday")</f>
        <v>Weekday</v>
      </c>
      <c r="I2508" t="str">
        <f>_xlfn.IFS(B2508&lt;=5,"Night (0-5)",B2508&lt;=9,"Morning peak (6-9)",B2508&lt;=15,"Midday (10-15)",B2508&lt;=19,"Evening peak (16-19)",TRUE,"Late evening (20-23)")</f>
        <v>Midday (10-15)</v>
      </c>
    </row>
    <row r="2509" spans="1:9">
      <c r="A2509" s="32">
        <v>41834</v>
      </c>
      <c r="B2509">
        <v>11</v>
      </c>
      <c r="C2509">
        <v>913</v>
      </c>
      <c r="D2509" t="s">
        <v>303</v>
      </c>
      <c r="E2509">
        <f>YEAR(A2509)</f>
        <v>2014</v>
      </c>
      <c r="F2509" s="33">
        <f>DATE(YEAR(A2509),MONTH(A2509),1)</f>
        <v>41821.0</v>
      </c>
      <c r="G2509" t="str">
        <f>CHOOSE(WEEKDAY(A2509,2),"Mon","Tue","Wed","Thu","Fri","Sat","Sun")</f>
        <v>Mon</v>
      </c>
      <c r="H2509" t="str">
        <f>IF(WEEKDAY(A2509,2)&gt;5,"Weekend","Weekday")</f>
        <v>Weekday</v>
      </c>
      <c r="I2509" t="str">
        <f>_xlfn.IFS(B2509&lt;=5,"Night (0-5)",B2509&lt;=9,"Morning peak (6-9)",B2509&lt;=15,"Midday (10-15)",B2509&lt;=19,"Evening peak (16-19)",TRUE,"Late evening (20-23)")</f>
        <v>Midday (10-15)</v>
      </c>
    </row>
    <row r="2510" spans="1:9">
      <c r="A2510" s="32">
        <v>41834</v>
      </c>
      <c r="B2510">
        <v>12</v>
      </c>
      <c r="C2510">
        <v>883</v>
      </c>
      <c r="D2510" t="s">
        <v>303</v>
      </c>
      <c r="E2510">
        <f>YEAR(A2510)</f>
        <v>2014</v>
      </c>
      <c r="F2510" s="33">
        <f>DATE(YEAR(A2510),MONTH(A2510),1)</f>
        <v>41821.0</v>
      </c>
      <c r="G2510" t="str">
        <f>CHOOSE(WEEKDAY(A2510,2),"Mon","Tue","Wed","Thu","Fri","Sat","Sun")</f>
        <v>Mon</v>
      </c>
      <c r="H2510" t="str">
        <f>IF(WEEKDAY(A2510,2)&gt;5,"Weekend","Weekday")</f>
        <v>Weekday</v>
      </c>
      <c r="I2510" t="str">
        <f>_xlfn.IFS(B2510&lt;=5,"Night (0-5)",B2510&lt;=9,"Morning peak (6-9)",B2510&lt;=15,"Midday (10-15)",B2510&lt;=19,"Evening peak (16-19)",TRUE,"Late evening (20-23)")</f>
        <v>Midday (10-15)</v>
      </c>
    </row>
    <row r="2511" spans="1:9">
      <c r="A2511" s="32">
        <v>41834</v>
      </c>
      <c r="B2511">
        <v>13</v>
      </c>
      <c r="C2511">
        <v>959</v>
      </c>
      <c r="D2511" t="s">
        <v>303</v>
      </c>
      <c r="E2511">
        <f>YEAR(A2511)</f>
        <v>2014</v>
      </c>
      <c r="F2511" s="33">
        <f>DATE(YEAR(A2511),MONTH(A2511),1)</f>
        <v>41821.0</v>
      </c>
      <c r="G2511" t="str">
        <f>CHOOSE(WEEKDAY(A2511,2),"Mon","Tue","Wed","Thu","Fri","Sat","Sun")</f>
        <v>Mon</v>
      </c>
      <c r="H2511" t="str">
        <f>IF(WEEKDAY(A2511,2)&gt;5,"Weekend","Weekday")</f>
        <v>Weekday</v>
      </c>
      <c r="I2511" t="str">
        <f>_xlfn.IFS(B2511&lt;=5,"Night (0-5)",B2511&lt;=9,"Morning peak (6-9)",B2511&lt;=15,"Midday (10-15)",B2511&lt;=19,"Evening peak (16-19)",TRUE,"Late evening (20-23)")</f>
        <v>Midday (10-15)</v>
      </c>
    </row>
    <row r="2512" spans="1:9">
      <c r="A2512" s="32">
        <v>41834</v>
      </c>
      <c r="B2512">
        <v>14</v>
      </c>
      <c r="C2512">
        <v>1192</v>
      </c>
      <c r="D2512" t="s">
        <v>303</v>
      </c>
      <c r="E2512">
        <f>YEAR(A2512)</f>
        <v>2014</v>
      </c>
      <c r="F2512" s="33">
        <f>DATE(YEAR(A2512),MONTH(A2512),1)</f>
        <v>41821.0</v>
      </c>
      <c r="G2512" t="str">
        <f>CHOOSE(WEEKDAY(A2512,2),"Mon","Tue","Wed","Thu","Fri","Sat","Sun")</f>
        <v>Mon</v>
      </c>
      <c r="H2512" t="str">
        <f>IF(WEEKDAY(A2512,2)&gt;5,"Weekend","Weekday")</f>
        <v>Weekday</v>
      </c>
      <c r="I2512" t="str">
        <f>_xlfn.IFS(B2512&lt;=5,"Night (0-5)",B2512&lt;=9,"Morning peak (6-9)",B2512&lt;=15,"Midday (10-15)",B2512&lt;=19,"Evening peak (16-19)",TRUE,"Late evening (20-23)")</f>
        <v>Midday (10-15)</v>
      </c>
    </row>
    <row r="2513" spans="1:9">
      <c r="A2513" s="32">
        <v>41834</v>
      </c>
      <c r="B2513">
        <v>15</v>
      </c>
      <c r="C2513">
        <v>1334</v>
      </c>
      <c r="D2513" t="s">
        <v>303</v>
      </c>
      <c r="E2513">
        <f>YEAR(A2513)</f>
        <v>2014</v>
      </c>
      <c r="F2513" s="33">
        <f>DATE(YEAR(A2513),MONTH(A2513),1)</f>
        <v>41821.0</v>
      </c>
      <c r="G2513" t="str">
        <f>CHOOSE(WEEKDAY(A2513,2),"Mon","Tue","Wed","Thu","Fri","Sat","Sun")</f>
        <v>Mon</v>
      </c>
      <c r="H2513" t="str">
        <f>IF(WEEKDAY(A2513,2)&gt;5,"Weekend","Weekday")</f>
        <v>Weekday</v>
      </c>
      <c r="I2513" t="str">
        <f>_xlfn.IFS(B2513&lt;=5,"Night (0-5)",B2513&lt;=9,"Morning peak (6-9)",B2513&lt;=15,"Midday (10-15)",B2513&lt;=19,"Evening peak (16-19)",TRUE,"Late evening (20-23)")</f>
        <v>Midday (10-15)</v>
      </c>
    </row>
    <row r="2514" spans="1:9">
      <c r="A2514" s="32">
        <v>41834</v>
      </c>
      <c r="B2514">
        <v>16</v>
      </c>
      <c r="C2514">
        <v>1747</v>
      </c>
      <c r="D2514" t="s">
        <v>303</v>
      </c>
      <c r="E2514">
        <f>YEAR(A2514)</f>
        <v>2014</v>
      </c>
      <c r="F2514" s="33">
        <f>DATE(YEAR(A2514),MONTH(A2514),1)</f>
        <v>41821.0</v>
      </c>
      <c r="G2514" t="str">
        <f>CHOOSE(WEEKDAY(A2514,2),"Mon","Tue","Wed","Thu","Fri","Sat","Sun")</f>
        <v>Mon</v>
      </c>
      <c r="H2514" t="str">
        <f>IF(WEEKDAY(A2514,2)&gt;5,"Weekend","Weekday")</f>
        <v>Weekday</v>
      </c>
      <c r="I2514" t="str">
        <f>_xlfn.IFS(B2514&lt;=5,"Night (0-5)",B2514&lt;=9,"Morning peak (6-9)",B2514&lt;=15,"Midday (10-15)",B2514&lt;=19,"Evening peak (16-19)",TRUE,"Late evening (20-23)")</f>
        <v>Evening peak (16-19)</v>
      </c>
    </row>
    <row r="2515" spans="1:9">
      <c r="A2515" s="32">
        <v>41834</v>
      </c>
      <c r="B2515">
        <v>17</v>
      </c>
      <c r="C2515">
        <v>2296</v>
      </c>
      <c r="D2515" t="s">
        <v>303</v>
      </c>
      <c r="E2515">
        <f>YEAR(A2515)</f>
        <v>2014</v>
      </c>
      <c r="F2515" s="33">
        <f>DATE(YEAR(A2515),MONTH(A2515),1)</f>
        <v>41821.0</v>
      </c>
      <c r="G2515" t="str">
        <f>CHOOSE(WEEKDAY(A2515,2),"Mon","Tue","Wed","Thu","Fri","Sat","Sun")</f>
        <v>Mon</v>
      </c>
      <c r="H2515" t="str">
        <f>IF(WEEKDAY(A2515,2)&gt;5,"Weekend","Weekday")</f>
        <v>Weekday</v>
      </c>
      <c r="I2515" t="str">
        <f>_xlfn.IFS(B2515&lt;=5,"Night (0-5)",B2515&lt;=9,"Morning peak (6-9)",B2515&lt;=15,"Midday (10-15)",B2515&lt;=19,"Evening peak (16-19)",TRUE,"Late evening (20-23)")</f>
        <v>Evening peak (16-19)</v>
      </c>
    </row>
    <row r="2516" spans="1:9">
      <c r="A2516" s="32">
        <v>41834</v>
      </c>
      <c r="B2516">
        <v>18</v>
      </c>
      <c r="C2516">
        <v>1977</v>
      </c>
      <c r="D2516" t="s">
        <v>303</v>
      </c>
      <c r="E2516">
        <f>YEAR(A2516)</f>
        <v>2014</v>
      </c>
      <c r="F2516" s="33">
        <f>DATE(YEAR(A2516),MONTH(A2516),1)</f>
        <v>41821.0</v>
      </c>
      <c r="G2516" t="str">
        <f>CHOOSE(WEEKDAY(A2516,2),"Mon","Tue","Wed","Thu","Fri","Sat","Sun")</f>
        <v>Mon</v>
      </c>
      <c r="H2516" t="str">
        <f>IF(WEEKDAY(A2516,2)&gt;5,"Weekend","Weekday")</f>
        <v>Weekday</v>
      </c>
      <c r="I2516" t="str">
        <f>_xlfn.IFS(B2516&lt;=5,"Night (0-5)",B2516&lt;=9,"Morning peak (6-9)",B2516&lt;=15,"Midday (10-15)",B2516&lt;=19,"Evening peak (16-19)",TRUE,"Late evening (20-23)")</f>
        <v>Evening peak (16-19)</v>
      </c>
    </row>
    <row r="2517" spans="1:9">
      <c r="A2517" s="32">
        <v>41834</v>
      </c>
      <c r="B2517">
        <v>19</v>
      </c>
      <c r="C2517">
        <v>2177</v>
      </c>
      <c r="D2517" t="s">
        <v>303</v>
      </c>
      <c r="E2517">
        <f>YEAR(A2517)</f>
        <v>2014</v>
      </c>
      <c r="F2517" s="33">
        <f>DATE(YEAR(A2517),MONTH(A2517),1)</f>
        <v>41821.0</v>
      </c>
      <c r="G2517" t="str">
        <f>CHOOSE(WEEKDAY(A2517,2),"Mon","Tue","Wed","Thu","Fri","Sat","Sun")</f>
        <v>Mon</v>
      </c>
      <c r="H2517" t="str">
        <f>IF(WEEKDAY(A2517,2)&gt;5,"Weekend","Weekday")</f>
        <v>Weekday</v>
      </c>
      <c r="I2517" t="str">
        <f>_xlfn.IFS(B2517&lt;=5,"Night (0-5)",B2517&lt;=9,"Morning peak (6-9)",B2517&lt;=15,"Midday (10-15)",B2517&lt;=19,"Evening peak (16-19)",TRUE,"Late evening (20-23)")</f>
        <v>Evening peak (16-19)</v>
      </c>
    </row>
    <row r="2518" spans="1:9">
      <c r="A2518" s="32">
        <v>41834</v>
      </c>
      <c r="B2518">
        <v>20</v>
      </c>
      <c r="C2518">
        <v>2273</v>
      </c>
      <c r="D2518" t="s">
        <v>303</v>
      </c>
      <c r="E2518">
        <f>YEAR(A2518)</f>
        <v>2014</v>
      </c>
      <c r="F2518" s="33">
        <f>DATE(YEAR(A2518),MONTH(A2518),1)</f>
        <v>41821.0</v>
      </c>
      <c r="G2518" t="str">
        <f>CHOOSE(WEEKDAY(A2518,2),"Mon","Tue","Wed","Thu","Fri","Sat","Sun")</f>
        <v>Mon</v>
      </c>
      <c r="H2518" t="str">
        <f>IF(WEEKDAY(A2518,2)&gt;5,"Weekend","Weekday")</f>
        <v>Weekday</v>
      </c>
      <c r="I2518" t="str">
        <f>_xlfn.IFS(B2518&lt;=5,"Night (0-5)",B2518&lt;=9,"Morning peak (6-9)",B2518&lt;=15,"Midday (10-15)",B2518&lt;=19,"Evening peak (16-19)",TRUE,"Late evening (20-23)")</f>
        <v>Late evening (20-23)</v>
      </c>
    </row>
    <row r="2519" spans="1:9">
      <c r="A2519" s="32">
        <v>41834</v>
      </c>
      <c r="B2519">
        <v>21</v>
      </c>
      <c r="C2519">
        <v>2054</v>
      </c>
      <c r="D2519" t="s">
        <v>303</v>
      </c>
      <c r="E2519">
        <f>YEAR(A2519)</f>
        <v>2014</v>
      </c>
      <c r="F2519" s="33">
        <f>DATE(YEAR(A2519),MONTH(A2519),1)</f>
        <v>41821.0</v>
      </c>
      <c r="G2519" t="str">
        <f>CHOOSE(WEEKDAY(A2519,2),"Mon","Tue","Wed","Thu","Fri","Sat","Sun")</f>
        <v>Mon</v>
      </c>
      <c r="H2519" t="str">
        <f>IF(WEEKDAY(A2519,2)&gt;5,"Weekend","Weekday")</f>
        <v>Weekday</v>
      </c>
      <c r="I2519" t="str">
        <f>_xlfn.IFS(B2519&lt;=5,"Night (0-5)",B2519&lt;=9,"Morning peak (6-9)",B2519&lt;=15,"Midday (10-15)",B2519&lt;=19,"Evening peak (16-19)",TRUE,"Late evening (20-23)")</f>
        <v>Late evening (20-23)</v>
      </c>
    </row>
    <row r="2520" spans="1:9">
      <c r="A2520" s="32">
        <v>41834</v>
      </c>
      <c r="B2520">
        <v>22</v>
      </c>
      <c r="C2520">
        <v>1206</v>
      </c>
      <c r="D2520" t="s">
        <v>303</v>
      </c>
      <c r="E2520">
        <f>YEAR(A2520)</f>
        <v>2014</v>
      </c>
      <c r="F2520" s="33">
        <f>DATE(YEAR(A2520),MONTH(A2520),1)</f>
        <v>41821.0</v>
      </c>
      <c r="G2520" t="str">
        <f>CHOOSE(WEEKDAY(A2520,2),"Mon","Tue","Wed","Thu","Fri","Sat","Sun")</f>
        <v>Mon</v>
      </c>
      <c r="H2520" t="str">
        <f>IF(WEEKDAY(A2520,2)&gt;5,"Weekend","Weekday")</f>
        <v>Weekday</v>
      </c>
      <c r="I2520" t="str">
        <f>_xlfn.IFS(B2520&lt;=5,"Night (0-5)",B2520&lt;=9,"Morning peak (6-9)",B2520&lt;=15,"Midday (10-15)",B2520&lt;=19,"Evening peak (16-19)",TRUE,"Late evening (20-23)")</f>
        <v>Late evening (20-23)</v>
      </c>
    </row>
    <row r="2521" spans="1:9">
      <c r="A2521" s="32">
        <v>41834</v>
      </c>
      <c r="B2521">
        <v>23</v>
      </c>
      <c r="C2521">
        <v>641</v>
      </c>
      <c r="D2521" t="s">
        <v>303</v>
      </c>
      <c r="E2521">
        <f>YEAR(A2521)</f>
        <v>2014</v>
      </c>
      <c r="F2521" s="33">
        <f>DATE(YEAR(A2521),MONTH(A2521),1)</f>
        <v>41821.0</v>
      </c>
      <c r="G2521" t="str">
        <f>CHOOSE(WEEKDAY(A2521,2),"Mon","Tue","Wed","Thu","Fri","Sat","Sun")</f>
        <v>Mon</v>
      </c>
      <c r="H2521" t="str">
        <f>IF(WEEKDAY(A2521,2)&gt;5,"Weekend","Weekday")</f>
        <v>Weekday</v>
      </c>
      <c r="I2521" t="str">
        <f>_xlfn.IFS(B2521&lt;=5,"Night (0-5)",B2521&lt;=9,"Morning peak (6-9)",B2521&lt;=15,"Midday (10-15)",B2521&lt;=19,"Evening peak (16-19)",TRUE,"Late evening (20-23)")</f>
        <v>Late evening (20-23)</v>
      </c>
    </row>
    <row r="2522" spans="1:9">
      <c r="A2522" s="32">
        <v>41835</v>
      </c>
      <c r="B2522">
        <v>0</v>
      </c>
      <c r="C2522">
        <v>353</v>
      </c>
      <c r="D2522" t="s">
        <v>303</v>
      </c>
      <c r="E2522">
        <f>YEAR(A2522)</f>
        <v>2014</v>
      </c>
      <c r="F2522" s="33">
        <f>DATE(YEAR(A2522),MONTH(A2522),1)</f>
        <v>41821.0</v>
      </c>
      <c r="G2522" t="str">
        <f>CHOOSE(WEEKDAY(A2522,2),"Mon","Tue","Wed","Thu","Fri","Sat","Sun")</f>
        <v>Tue</v>
      </c>
      <c r="H2522" t="str">
        <f>IF(WEEKDAY(A2522,2)&gt;5,"Weekend","Weekday")</f>
        <v>Weekday</v>
      </c>
      <c r="I2522" t="str">
        <f>_xlfn.IFS(B2522&lt;=5,"Night (0-5)",B2522&lt;=9,"Morning peak (6-9)",B2522&lt;=15,"Midday (10-15)",B2522&lt;=19,"Evening peak (16-19)",TRUE,"Late evening (20-23)")</f>
        <v>Night (0-5)</v>
      </c>
    </row>
    <row r="2523" spans="1:9">
      <c r="A2523" s="32">
        <v>41835</v>
      </c>
      <c r="B2523">
        <v>1</v>
      </c>
      <c r="C2523">
        <v>169</v>
      </c>
      <c r="D2523" t="s">
        <v>303</v>
      </c>
      <c r="E2523">
        <f>YEAR(A2523)</f>
        <v>2014</v>
      </c>
      <c r="F2523" s="33">
        <f>DATE(YEAR(A2523),MONTH(A2523),1)</f>
        <v>41821.0</v>
      </c>
      <c r="G2523" t="str">
        <f>CHOOSE(WEEKDAY(A2523,2),"Mon","Tue","Wed","Thu","Fri","Sat","Sun")</f>
        <v>Tue</v>
      </c>
      <c r="H2523" t="str">
        <f>IF(WEEKDAY(A2523,2)&gt;5,"Weekend","Weekday")</f>
        <v>Weekday</v>
      </c>
      <c r="I2523" t="str">
        <f>_xlfn.IFS(B2523&lt;=5,"Night (0-5)",B2523&lt;=9,"Morning peak (6-9)",B2523&lt;=15,"Midday (10-15)",B2523&lt;=19,"Evening peak (16-19)",TRUE,"Late evening (20-23)")</f>
        <v>Night (0-5)</v>
      </c>
    </row>
    <row r="2524" spans="1:9">
      <c r="A2524" s="32">
        <v>41835</v>
      </c>
      <c r="B2524">
        <v>2</v>
      </c>
      <c r="C2524">
        <v>107</v>
      </c>
      <c r="D2524" t="s">
        <v>303</v>
      </c>
      <c r="E2524">
        <f>YEAR(A2524)</f>
        <v>2014</v>
      </c>
      <c r="F2524" s="33">
        <f>DATE(YEAR(A2524),MONTH(A2524),1)</f>
        <v>41821.0</v>
      </c>
      <c r="G2524" t="str">
        <f>CHOOSE(WEEKDAY(A2524,2),"Mon","Tue","Wed","Thu","Fri","Sat","Sun")</f>
        <v>Tue</v>
      </c>
      <c r="H2524" t="str">
        <f>IF(WEEKDAY(A2524,2)&gt;5,"Weekend","Weekday")</f>
        <v>Weekday</v>
      </c>
      <c r="I2524" t="str">
        <f>_xlfn.IFS(B2524&lt;=5,"Night (0-5)",B2524&lt;=9,"Morning peak (6-9)",B2524&lt;=15,"Midday (10-15)",B2524&lt;=19,"Evening peak (16-19)",TRUE,"Late evening (20-23)")</f>
        <v>Night (0-5)</v>
      </c>
    </row>
    <row r="2525" spans="1:9">
      <c r="A2525" s="32">
        <v>41835</v>
      </c>
      <c r="B2525">
        <v>3</v>
      </c>
      <c r="C2525">
        <v>207</v>
      </c>
      <c r="D2525" t="s">
        <v>303</v>
      </c>
      <c r="E2525">
        <f>YEAR(A2525)</f>
        <v>2014</v>
      </c>
      <c r="F2525" s="33">
        <f>DATE(YEAR(A2525),MONTH(A2525),1)</f>
        <v>41821.0</v>
      </c>
      <c r="G2525" t="str">
        <f>CHOOSE(WEEKDAY(A2525,2),"Mon","Tue","Wed","Thu","Fri","Sat","Sun")</f>
        <v>Tue</v>
      </c>
      <c r="H2525" t="str">
        <f>IF(WEEKDAY(A2525,2)&gt;5,"Weekend","Weekday")</f>
        <v>Weekday</v>
      </c>
      <c r="I2525" t="str">
        <f>_xlfn.IFS(B2525&lt;=5,"Night (0-5)",B2525&lt;=9,"Morning peak (6-9)",B2525&lt;=15,"Midday (10-15)",B2525&lt;=19,"Evening peak (16-19)",TRUE,"Late evening (20-23)")</f>
        <v>Night (0-5)</v>
      </c>
    </row>
    <row r="2526" spans="1:9">
      <c r="A2526" s="32">
        <v>41835</v>
      </c>
      <c r="B2526">
        <v>4</v>
      </c>
      <c r="C2526">
        <v>330</v>
      </c>
      <c r="D2526" t="s">
        <v>303</v>
      </c>
      <c r="E2526">
        <f>YEAR(A2526)</f>
        <v>2014</v>
      </c>
      <c r="F2526" s="33">
        <f>DATE(YEAR(A2526),MONTH(A2526),1)</f>
        <v>41821.0</v>
      </c>
      <c r="G2526" t="str">
        <f>CHOOSE(WEEKDAY(A2526,2),"Mon","Tue","Wed","Thu","Fri","Sat","Sun")</f>
        <v>Tue</v>
      </c>
      <c r="H2526" t="str">
        <f>IF(WEEKDAY(A2526,2)&gt;5,"Weekend","Weekday")</f>
        <v>Weekday</v>
      </c>
      <c r="I2526" t="str">
        <f>_xlfn.IFS(B2526&lt;=5,"Night (0-5)",B2526&lt;=9,"Morning peak (6-9)",B2526&lt;=15,"Midday (10-15)",B2526&lt;=19,"Evening peak (16-19)",TRUE,"Late evening (20-23)")</f>
        <v>Night (0-5)</v>
      </c>
    </row>
    <row r="2527" spans="1:9">
      <c r="A2527" s="32">
        <v>41835</v>
      </c>
      <c r="B2527">
        <v>5</v>
      </c>
      <c r="C2527">
        <v>607</v>
      </c>
      <c r="D2527" t="s">
        <v>303</v>
      </c>
      <c r="E2527">
        <f>YEAR(A2527)</f>
        <v>2014</v>
      </c>
      <c r="F2527" s="33">
        <f>DATE(YEAR(A2527),MONTH(A2527),1)</f>
        <v>41821.0</v>
      </c>
      <c r="G2527" t="str">
        <f>CHOOSE(WEEKDAY(A2527,2),"Mon","Tue","Wed","Thu","Fri","Sat","Sun")</f>
        <v>Tue</v>
      </c>
      <c r="H2527" t="str">
        <f>IF(WEEKDAY(A2527,2)&gt;5,"Weekend","Weekday")</f>
        <v>Weekday</v>
      </c>
      <c r="I2527" t="str">
        <f>_xlfn.IFS(B2527&lt;=5,"Night (0-5)",B2527&lt;=9,"Morning peak (6-9)",B2527&lt;=15,"Midday (10-15)",B2527&lt;=19,"Evening peak (16-19)",TRUE,"Late evening (20-23)")</f>
        <v>Night (0-5)</v>
      </c>
    </row>
    <row r="2528" spans="1:9">
      <c r="A2528" s="32">
        <v>41835</v>
      </c>
      <c r="B2528">
        <v>6</v>
      </c>
      <c r="C2528">
        <v>1076</v>
      </c>
      <c r="D2528" t="s">
        <v>303</v>
      </c>
      <c r="E2528">
        <f>YEAR(A2528)</f>
        <v>2014</v>
      </c>
      <c r="F2528" s="33">
        <f>DATE(YEAR(A2528),MONTH(A2528),1)</f>
        <v>41821.0</v>
      </c>
      <c r="G2528" t="str">
        <f>CHOOSE(WEEKDAY(A2528,2),"Mon","Tue","Wed","Thu","Fri","Sat","Sun")</f>
        <v>Tue</v>
      </c>
      <c r="H2528" t="str">
        <f>IF(WEEKDAY(A2528,2)&gt;5,"Weekend","Weekday")</f>
        <v>Weekday</v>
      </c>
      <c r="I2528" t="str">
        <f>_xlfn.IFS(B2528&lt;=5,"Night (0-5)",B2528&lt;=9,"Morning peak (6-9)",B2528&lt;=15,"Midday (10-15)",B2528&lt;=19,"Evening peak (16-19)",TRUE,"Late evening (20-23)")</f>
        <v>Morning peak (6-9)</v>
      </c>
    </row>
    <row r="2529" spans="1:9">
      <c r="A2529" s="32">
        <v>41835</v>
      </c>
      <c r="B2529">
        <v>7</v>
      </c>
      <c r="C2529">
        <v>1430</v>
      </c>
      <c r="D2529" t="s">
        <v>303</v>
      </c>
      <c r="E2529">
        <f>YEAR(A2529)</f>
        <v>2014</v>
      </c>
      <c r="F2529" s="33">
        <f>DATE(YEAR(A2529),MONTH(A2529),1)</f>
        <v>41821.0</v>
      </c>
      <c r="G2529" t="str">
        <f>CHOOSE(WEEKDAY(A2529,2),"Mon","Tue","Wed","Thu","Fri","Sat","Sun")</f>
        <v>Tue</v>
      </c>
      <c r="H2529" t="str">
        <f>IF(WEEKDAY(A2529,2)&gt;5,"Weekend","Weekday")</f>
        <v>Weekday</v>
      </c>
      <c r="I2529" t="str">
        <f>_xlfn.IFS(B2529&lt;=5,"Night (0-5)",B2529&lt;=9,"Morning peak (6-9)",B2529&lt;=15,"Midday (10-15)",B2529&lt;=19,"Evening peak (16-19)",TRUE,"Late evening (20-23)")</f>
        <v>Morning peak (6-9)</v>
      </c>
    </row>
    <row r="2530" spans="1:9">
      <c r="A2530" s="32">
        <v>41835</v>
      </c>
      <c r="B2530">
        <v>8</v>
      </c>
      <c r="C2530">
        <v>1401</v>
      </c>
      <c r="D2530" t="s">
        <v>303</v>
      </c>
      <c r="E2530">
        <f>YEAR(A2530)</f>
        <v>2014</v>
      </c>
      <c r="F2530" s="33">
        <f>DATE(YEAR(A2530),MONTH(A2530),1)</f>
        <v>41821.0</v>
      </c>
      <c r="G2530" t="str">
        <f>CHOOSE(WEEKDAY(A2530,2),"Mon","Tue","Wed","Thu","Fri","Sat","Sun")</f>
        <v>Tue</v>
      </c>
      <c r="H2530" t="str">
        <f>IF(WEEKDAY(A2530,2)&gt;5,"Weekend","Weekday")</f>
        <v>Weekday</v>
      </c>
      <c r="I2530" t="str">
        <f>_xlfn.IFS(B2530&lt;=5,"Night (0-5)",B2530&lt;=9,"Morning peak (6-9)",B2530&lt;=15,"Midday (10-15)",B2530&lt;=19,"Evening peak (16-19)",TRUE,"Late evening (20-23)")</f>
        <v>Morning peak (6-9)</v>
      </c>
    </row>
    <row r="2531" spans="1:9">
      <c r="A2531" s="32">
        <v>41835</v>
      </c>
      <c r="B2531">
        <v>9</v>
      </c>
      <c r="C2531">
        <v>1036</v>
      </c>
      <c r="D2531" t="s">
        <v>303</v>
      </c>
      <c r="E2531">
        <f>YEAR(A2531)</f>
        <v>2014</v>
      </c>
      <c r="F2531" s="33">
        <f>DATE(YEAR(A2531),MONTH(A2531),1)</f>
        <v>41821.0</v>
      </c>
      <c r="G2531" t="str">
        <f>CHOOSE(WEEKDAY(A2531,2),"Mon","Tue","Wed","Thu","Fri","Sat","Sun")</f>
        <v>Tue</v>
      </c>
      <c r="H2531" t="str">
        <f>IF(WEEKDAY(A2531,2)&gt;5,"Weekend","Weekday")</f>
        <v>Weekday</v>
      </c>
      <c r="I2531" t="str">
        <f>_xlfn.IFS(B2531&lt;=5,"Night (0-5)",B2531&lt;=9,"Morning peak (6-9)",B2531&lt;=15,"Midday (10-15)",B2531&lt;=19,"Evening peak (16-19)",TRUE,"Late evening (20-23)")</f>
        <v>Morning peak (6-9)</v>
      </c>
    </row>
    <row r="2532" spans="1:9">
      <c r="A2532" s="32">
        <v>41835</v>
      </c>
      <c r="B2532">
        <v>10</v>
      </c>
      <c r="C2532">
        <v>1007</v>
      </c>
      <c r="D2532" t="s">
        <v>303</v>
      </c>
      <c r="E2532">
        <f>YEAR(A2532)</f>
        <v>2014</v>
      </c>
      <c r="F2532" s="33">
        <f>DATE(YEAR(A2532),MONTH(A2532),1)</f>
        <v>41821.0</v>
      </c>
      <c r="G2532" t="str">
        <f>CHOOSE(WEEKDAY(A2532,2),"Mon","Tue","Wed","Thu","Fri","Sat","Sun")</f>
        <v>Tue</v>
      </c>
      <c r="H2532" t="str">
        <f>IF(WEEKDAY(A2532,2)&gt;5,"Weekend","Weekday")</f>
        <v>Weekday</v>
      </c>
      <c r="I2532" t="str">
        <f>_xlfn.IFS(B2532&lt;=5,"Night (0-5)",B2532&lt;=9,"Morning peak (6-9)",B2532&lt;=15,"Midday (10-15)",B2532&lt;=19,"Evening peak (16-19)",TRUE,"Late evening (20-23)")</f>
        <v>Midday (10-15)</v>
      </c>
    </row>
    <row r="2533" spans="1:9">
      <c r="A2533" s="32">
        <v>41835</v>
      </c>
      <c r="B2533">
        <v>11</v>
      </c>
      <c r="C2533">
        <v>1082</v>
      </c>
      <c r="D2533" t="s">
        <v>303</v>
      </c>
      <c r="E2533">
        <f>YEAR(A2533)</f>
        <v>2014</v>
      </c>
      <c r="F2533" s="33">
        <f>DATE(YEAR(A2533),MONTH(A2533),1)</f>
        <v>41821.0</v>
      </c>
      <c r="G2533" t="str">
        <f>CHOOSE(WEEKDAY(A2533,2),"Mon","Tue","Wed","Thu","Fri","Sat","Sun")</f>
        <v>Tue</v>
      </c>
      <c r="H2533" t="str">
        <f>IF(WEEKDAY(A2533,2)&gt;5,"Weekend","Weekday")</f>
        <v>Weekday</v>
      </c>
      <c r="I2533" t="str">
        <f>_xlfn.IFS(B2533&lt;=5,"Night (0-5)",B2533&lt;=9,"Morning peak (6-9)",B2533&lt;=15,"Midday (10-15)",B2533&lt;=19,"Evening peak (16-19)",TRUE,"Late evening (20-23)")</f>
        <v>Midday (10-15)</v>
      </c>
    </row>
    <row r="2534" spans="1:9">
      <c r="A2534" s="32">
        <v>41835</v>
      </c>
      <c r="B2534">
        <v>12</v>
      </c>
      <c r="C2534">
        <v>1049</v>
      </c>
      <c r="D2534" t="s">
        <v>303</v>
      </c>
      <c r="E2534">
        <f>YEAR(A2534)</f>
        <v>2014</v>
      </c>
      <c r="F2534" s="33">
        <f>DATE(YEAR(A2534),MONTH(A2534),1)</f>
        <v>41821.0</v>
      </c>
      <c r="G2534" t="str">
        <f>CHOOSE(WEEKDAY(A2534,2),"Mon","Tue","Wed","Thu","Fri","Sat","Sun")</f>
        <v>Tue</v>
      </c>
      <c r="H2534" t="str">
        <f>IF(WEEKDAY(A2534,2)&gt;5,"Weekend","Weekday")</f>
        <v>Weekday</v>
      </c>
      <c r="I2534" t="str">
        <f>_xlfn.IFS(B2534&lt;=5,"Night (0-5)",B2534&lt;=9,"Morning peak (6-9)",B2534&lt;=15,"Midday (10-15)",B2534&lt;=19,"Evening peak (16-19)",TRUE,"Late evening (20-23)")</f>
        <v>Midday (10-15)</v>
      </c>
    </row>
    <row r="2535" spans="1:9">
      <c r="A2535" s="32">
        <v>41835</v>
      </c>
      <c r="B2535">
        <v>13</v>
      </c>
      <c r="C2535">
        <v>1972</v>
      </c>
      <c r="D2535" t="s">
        <v>303</v>
      </c>
      <c r="E2535">
        <f>YEAR(A2535)</f>
        <v>2014</v>
      </c>
      <c r="F2535" s="33">
        <f>DATE(YEAR(A2535),MONTH(A2535),1)</f>
        <v>41821.0</v>
      </c>
      <c r="G2535" t="str">
        <f>CHOOSE(WEEKDAY(A2535,2),"Mon","Tue","Wed","Thu","Fri","Sat","Sun")</f>
        <v>Tue</v>
      </c>
      <c r="H2535" t="str">
        <f>IF(WEEKDAY(A2535,2)&gt;5,"Weekend","Weekday")</f>
        <v>Weekday</v>
      </c>
      <c r="I2535" t="str">
        <f>_xlfn.IFS(B2535&lt;=5,"Night (0-5)",B2535&lt;=9,"Morning peak (6-9)",B2535&lt;=15,"Midday (10-15)",B2535&lt;=19,"Evening peak (16-19)",TRUE,"Late evening (20-23)")</f>
        <v>Midday (10-15)</v>
      </c>
    </row>
    <row r="2536" spans="1:9">
      <c r="A2536" s="32">
        <v>41835</v>
      </c>
      <c r="B2536">
        <v>14</v>
      </c>
      <c r="C2536">
        <v>1875</v>
      </c>
      <c r="D2536" t="s">
        <v>303</v>
      </c>
      <c r="E2536">
        <f>YEAR(A2536)</f>
        <v>2014</v>
      </c>
      <c r="F2536" s="33">
        <f>DATE(YEAR(A2536),MONTH(A2536),1)</f>
        <v>41821.0</v>
      </c>
      <c r="G2536" t="str">
        <f>CHOOSE(WEEKDAY(A2536,2),"Mon","Tue","Wed","Thu","Fri","Sat","Sun")</f>
        <v>Tue</v>
      </c>
      <c r="H2536" t="str">
        <f>IF(WEEKDAY(A2536,2)&gt;5,"Weekend","Weekday")</f>
        <v>Weekday</v>
      </c>
      <c r="I2536" t="str">
        <f>_xlfn.IFS(B2536&lt;=5,"Night (0-5)",B2536&lt;=9,"Morning peak (6-9)",B2536&lt;=15,"Midday (10-15)",B2536&lt;=19,"Evening peak (16-19)",TRUE,"Late evening (20-23)")</f>
        <v>Midday (10-15)</v>
      </c>
    </row>
    <row r="2537" spans="1:9">
      <c r="A2537" s="32">
        <v>41835</v>
      </c>
      <c r="B2537">
        <v>15</v>
      </c>
      <c r="C2537">
        <v>1721</v>
      </c>
      <c r="D2537" t="s">
        <v>303</v>
      </c>
      <c r="E2537">
        <f>YEAR(A2537)</f>
        <v>2014</v>
      </c>
      <c r="F2537" s="33">
        <f>DATE(YEAR(A2537),MONTH(A2537),1)</f>
        <v>41821.0</v>
      </c>
      <c r="G2537" t="str">
        <f>CHOOSE(WEEKDAY(A2537,2),"Mon","Tue","Wed","Thu","Fri","Sat","Sun")</f>
        <v>Tue</v>
      </c>
      <c r="H2537" t="str">
        <f>IF(WEEKDAY(A2537,2)&gt;5,"Weekend","Weekday")</f>
        <v>Weekday</v>
      </c>
      <c r="I2537" t="str">
        <f>_xlfn.IFS(B2537&lt;=5,"Night (0-5)",B2537&lt;=9,"Morning peak (6-9)",B2537&lt;=15,"Midday (10-15)",B2537&lt;=19,"Evening peak (16-19)",TRUE,"Late evening (20-23)")</f>
        <v>Midday (10-15)</v>
      </c>
    </row>
    <row r="2538" spans="1:9">
      <c r="A2538" s="32">
        <v>41835</v>
      </c>
      <c r="B2538">
        <v>16</v>
      </c>
      <c r="C2538">
        <v>2088</v>
      </c>
      <c r="D2538" t="s">
        <v>303</v>
      </c>
      <c r="E2538">
        <f>YEAR(A2538)</f>
        <v>2014</v>
      </c>
      <c r="F2538" s="33">
        <f>DATE(YEAR(A2538),MONTH(A2538),1)</f>
        <v>41821.0</v>
      </c>
      <c r="G2538" t="str">
        <f>CHOOSE(WEEKDAY(A2538,2),"Mon","Tue","Wed","Thu","Fri","Sat","Sun")</f>
        <v>Tue</v>
      </c>
      <c r="H2538" t="str">
        <f>IF(WEEKDAY(A2538,2)&gt;5,"Weekend","Weekday")</f>
        <v>Weekday</v>
      </c>
      <c r="I2538" t="str">
        <f>_xlfn.IFS(B2538&lt;=5,"Night (0-5)",B2538&lt;=9,"Morning peak (6-9)",B2538&lt;=15,"Midday (10-15)",B2538&lt;=19,"Evening peak (16-19)",TRUE,"Late evening (20-23)")</f>
        <v>Evening peak (16-19)</v>
      </c>
    </row>
    <row r="2539" spans="1:9">
      <c r="A2539" s="32">
        <v>41835</v>
      </c>
      <c r="B2539">
        <v>17</v>
      </c>
      <c r="C2539">
        <v>3045</v>
      </c>
      <c r="D2539" t="s">
        <v>303</v>
      </c>
      <c r="E2539">
        <f>YEAR(A2539)</f>
        <v>2014</v>
      </c>
      <c r="F2539" s="33">
        <f>DATE(YEAR(A2539),MONTH(A2539),1)</f>
        <v>41821.0</v>
      </c>
      <c r="G2539" t="str">
        <f>CHOOSE(WEEKDAY(A2539,2),"Mon","Tue","Wed","Thu","Fri","Sat","Sun")</f>
        <v>Tue</v>
      </c>
      <c r="H2539" t="str">
        <f>IF(WEEKDAY(A2539,2)&gt;5,"Weekend","Weekday")</f>
        <v>Weekday</v>
      </c>
      <c r="I2539" t="str">
        <f>_xlfn.IFS(B2539&lt;=5,"Night (0-5)",B2539&lt;=9,"Morning peak (6-9)",B2539&lt;=15,"Midday (10-15)",B2539&lt;=19,"Evening peak (16-19)",TRUE,"Late evening (20-23)")</f>
        <v>Evening peak (16-19)</v>
      </c>
    </row>
    <row r="2540" spans="1:9">
      <c r="A2540" s="32">
        <v>41835</v>
      </c>
      <c r="B2540">
        <v>18</v>
      </c>
      <c r="C2540">
        <v>3302</v>
      </c>
      <c r="D2540" t="s">
        <v>303</v>
      </c>
      <c r="E2540">
        <f>YEAR(A2540)</f>
        <v>2014</v>
      </c>
      <c r="F2540" s="33">
        <f>DATE(YEAR(A2540),MONTH(A2540),1)</f>
        <v>41821.0</v>
      </c>
      <c r="G2540" t="str">
        <f>CHOOSE(WEEKDAY(A2540,2),"Mon","Tue","Wed","Thu","Fri","Sat","Sun")</f>
        <v>Tue</v>
      </c>
      <c r="H2540" t="str">
        <f>IF(WEEKDAY(A2540,2)&gt;5,"Weekend","Weekday")</f>
        <v>Weekday</v>
      </c>
      <c r="I2540" t="str">
        <f>_xlfn.IFS(B2540&lt;=5,"Night (0-5)",B2540&lt;=9,"Morning peak (6-9)",B2540&lt;=15,"Midday (10-15)",B2540&lt;=19,"Evening peak (16-19)",TRUE,"Late evening (20-23)")</f>
        <v>Evening peak (16-19)</v>
      </c>
    </row>
    <row r="2541" spans="1:9">
      <c r="A2541" s="32">
        <v>41835</v>
      </c>
      <c r="B2541">
        <v>19</v>
      </c>
      <c r="C2541">
        <v>3225</v>
      </c>
      <c r="D2541" t="s">
        <v>303</v>
      </c>
      <c r="E2541">
        <f>YEAR(A2541)</f>
        <v>2014</v>
      </c>
      <c r="F2541" s="33">
        <f>DATE(YEAR(A2541),MONTH(A2541),1)</f>
        <v>41821.0</v>
      </c>
      <c r="G2541" t="str">
        <f>CHOOSE(WEEKDAY(A2541,2),"Mon","Tue","Wed","Thu","Fri","Sat","Sun")</f>
        <v>Tue</v>
      </c>
      <c r="H2541" t="str">
        <f>IF(WEEKDAY(A2541,2)&gt;5,"Weekend","Weekday")</f>
        <v>Weekday</v>
      </c>
      <c r="I2541" t="str">
        <f>_xlfn.IFS(B2541&lt;=5,"Night (0-5)",B2541&lt;=9,"Morning peak (6-9)",B2541&lt;=15,"Midday (10-15)",B2541&lt;=19,"Evening peak (16-19)",TRUE,"Late evening (20-23)")</f>
        <v>Evening peak (16-19)</v>
      </c>
    </row>
    <row r="2542" spans="1:9">
      <c r="A2542" s="32">
        <v>41835</v>
      </c>
      <c r="B2542">
        <v>20</v>
      </c>
      <c r="C2542">
        <v>2840</v>
      </c>
      <c r="D2542" t="s">
        <v>303</v>
      </c>
      <c r="E2542">
        <f>YEAR(A2542)</f>
        <v>2014</v>
      </c>
      <c r="F2542" s="33">
        <f>DATE(YEAR(A2542),MONTH(A2542),1)</f>
        <v>41821.0</v>
      </c>
      <c r="G2542" t="str">
        <f>CHOOSE(WEEKDAY(A2542,2),"Mon","Tue","Wed","Thu","Fri","Sat","Sun")</f>
        <v>Tue</v>
      </c>
      <c r="H2542" t="str">
        <f>IF(WEEKDAY(A2542,2)&gt;5,"Weekend","Weekday")</f>
        <v>Weekday</v>
      </c>
      <c r="I2542" t="str">
        <f>_xlfn.IFS(B2542&lt;=5,"Night (0-5)",B2542&lt;=9,"Morning peak (6-9)",B2542&lt;=15,"Midday (10-15)",B2542&lt;=19,"Evening peak (16-19)",TRUE,"Late evening (20-23)")</f>
        <v>Late evening (20-23)</v>
      </c>
    </row>
    <row r="2543" spans="1:9">
      <c r="A2543" s="32">
        <v>41835</v>
      </c>
      <c r="B2543">
        <v>21</v>
      </c>
      <c r="C2543">
        <v>1871</v>
      </c>
      <c r="D2543" t="s">
        <v>303</v>
      </c>
      <c r="E2543">
        <f>YEAR(A2543)</f>
        <v>2014</v>
      </c>
      <c r="F2543" s="33">
        <f>DATE(YEAR(A2543),MONTH(A2543),1)</f>
        <v>41821.0</v>
      </c>
      <c r="G2543" t="str">
        <f>CHOOSE(WEEKDAY(A2543,2),"Mon","Tue","Wed","Thu","Fri","Sat","Sun")</f>
        <v>Tue</v>
      </c>
      <c r="H2543" t="str">
        <f>IF(WEEKDAY(A2543,2)&gt;5,"Weekend","Weekday")</f>
        <v>Weekday</v>
      </c>
      <c r="I2543" t="str">
        <f>_xlfn.IFS(B2543&lt;=5,"Night (0-5)",B2543&lt;=9,"Morning peak (6-9)",B2543&lt;=15,"Midday (10-15)",B2543&lt;=19,"Evening peak (16-19)",TRUE,"Late evening (20-23)")</f>
        <v>Late evening (20-23)</v>
      </c>
    </row>
    <row r="2544" spans="1:9">
      <c r="A2544" s="32">
        <v>41835</v>
      </c>
      <c r="B2544">
        <v>22</v>
      </c>
      <c r="C2544">
        <v>1334</v>
      </c>
      <c r="D2544" t="s">
        <v>303</v>
      </c>
      <c r="E2544">
        <f>YEAR(A2544)</f>
        <v>2014</v>
      </c>
      <c r="F2544" s="33">
        <f>DATE(YEAR(A2544),MONTH(A2544),1)</f>
        <v>41821.0</v>
      </c>
      <c r="G2544" t="str">
        <f>CHOOSE(WEEKDAY(A2544,2),"Mon","Tue","Wed","Thu","Fri","Sat","Sun")</f>
        <v>Tue</v>
      </c>
      <c r="H2544" t="str">
        <f>IF(WEEKDAY(A2544,2)&gt;5,"Weekend","Weekday")</f>
        <v>Weekday</v>
      </c>
      <c r="I2544" t="str">
        <f>_xlfn.IFS(B2544&lt;=5,"Night (0-5)",B2544&lt;=9,"Morning peak (6-9)",B2544&lt;=15,"Midday (10-15)",B2544&lt;=19,"Evening peak (16-19)",TRUE,"Late evening (20-23)")</f>
        <v>Late evening (20-23)</v>
      </c>
    </row>
    <row r="2545" spans="1:9">
      <c r="A2545" s="32">
        <v>41835</v>
      </c>
      <c r="B2545">
        <v>23</v>
      </c>
      <c r="C2545">
        <v>718</v>
      </c>
      <c r="D2545" t="s">
        <v>303</v>
      </c>
      <c r="E2545">
        <f>YEAR(A2545)</f>
        <v>2014</v>
      </c>
      <c r="F2545" s="33">
        <f>DATE(YEAR(A2545),MONTH(A2545),1)</f>
        <v>41821.0</v>
      </c>
      <c r="G2545" t="str">
        <f>CHOOSE(WEEKDAY(A2545,2),"Mon","Tue","Wed","Thu","Fri","Sat","Sun")</f>
        <v>Tue</v>
      </c>
      <c r="H2545" t="str">
        <f>IF(WEEKDAY(A2545,2)&gt;5,"Weekend","Weekday")</f>
        <v>Weekday</v>
      </c>
      <c r="I2545" t="str">
        <f>_xlfn.IFS(B2545&lt;=5,"Night (0-5)",B2545&lt;=9,"Morning peak (6-9)",B2545&lt;=15,"Midday (10-15)",B2545&lt;=19,"Evening peak (16-19)",TRUE,"Late evening (20-23)")</f>
        <v>Late evening (20-23)</v>
      </c>
    </row>
    <row r="2546" spans="1:9">
      <c r="A2546" s="32">
        <v>41836</v>
      </c>
      <c r="B2546">
        <v>0</v>
      </c>
      <c r="C2546">
        <v>432</v>
      </c>
      <c r="D2546" t="s">
        <v>303</v>
      </c>
      <c r="E2546">
        <f>YEAR(A2546)</f>
        <v>2014</v>
      </c>
      <c r="F2546" s="33">
        <f>DATE(YEAR(A2546),MONTH(A2546),1)</f>
        <v>41821.0</v>
      </c>
      <c r="G2546" t="str">
        <f>CHOOSE(WEEKDAY(A2546,2),"Mon","Tue","Wed","Thu","Fri","Sat","Sun")</f>
        <v>Wed</v>
      </c>
      <c r="H2546" t="str">
        <f>IF(WEEKDAY(A2546,2)&gt;5,"Weekend","Weekday")</f>
        <v>Weekday</v>
      </c>
      <c r="I2546" t="str">
        <f>_xlfn.IFS(B2546&lt;=5,"Night (0-5)",B2546&lt;=9,"Morning peak (6-9)",B2546&lt;=15,"Midday (10-15)",B2546&lt;=19,"Evening peak (16-19)",TRUE,"Late evening (20-23)")</f>
        <v>Night (0-5)</v>
      </c>
    </row>
    <row r="2547" spans="1:9">
      <c r="A2547" s="32">
        <v>41836</v>
      </c>
      <c r="B2547">
        <v>1</v>
      </c>
      <c r="C2547">
        <v>216</v>
      </c>
      <c r="D2547" t="s">
        <v>303</v>
      </c>
      <c r="E2547">
        <f>YEAR(A2547)</f>
        <v>2014</v>
      </c>
      <c r="F2547" s="33">
        <f>DATE(YEAR(A2547),MONTH(A2547),1)</f>
        <v>41821.0</v>
      </c>
      <c r="G2547" t="str">
        <f>CHOOSE(WEEKDAY(A2547,2),"Mon","Tue","Wed","Thu","Fri","Sat","Sun")</f>
        <v>Wed</v>
      </c>
      <c r="H2547" t="str">
        <f>IF(WEEKDAY(A2547,2)&gt;5,"Weekend","Weekday")</f>
        <v>Weekday</v>
      </c>
      <c r="I2547" t="str">
        <f>_xlfn.IFS(B2547&lt;=5,"Night (0-5)",B2547&lt;=9,"Morning peak (6-9)",B2547&lt;=15,"Midday (10-15)",B2547&lt;=19,"Evening peak (16-19)",TRUE,"Late evening (20-23)")</f>
        <v>Night (0-5)</v>
      </c>
    </row>
    <row r="2548" spans="1:9">
      <c r="A2548" s="32">
        <v>41836</v>
      </c>
      <c r="B2548">
        <v>2</v>
      </c>
      <c r="C2548">
        <v>169</v>
      </c>
      <c r="D2548" t="s">
        <v>303</v>
      </c>
      <c r="E2548">
        <f>YEAR(A2548)</f>
        <v>2014</v>
      </c>
      <c r="F2548" s="33">
        <f>DATE(YEAR(A2548),MONTH(A2548),1)</f>
        <v>41821.0</v>
      </c>
      <c r="G2548" t="str">
        <f>CHOOSE(WEEKDAY(A2548,2),"Mon","Tue","Wed","Thu","Fri","Sat","Sun")</f>
        <v>Wed</v>
      </c>
      <c r="H2548" t="str">
        <f>IF(WEEKDAY(A2548,2)&gt;5,"Weekend","Weekday")</f>
        <v>Weekday</v>
      </c>
      <c r="I2548" t="str">
        <f>_xlfn.IFS(B2548&lt;=5,"Night (0-5)",B2548&lt;=9,"Morning peak (6-9)",B2548&lt;=15,"Midday (10-15)",B2548&lt;=19,"Evening peak (16-19)",TRUE,"Late evening (20-23)")</f>
        <v>Night (0-5)</v>
      </c>
    </row>
    <row r="2549" spans="1:9">
      <c r="A2549" s="32">
        <v>41836</v>
      </c>
      <c r="B2549">
        <v>3</v>
      </c>
      <c r="C2549">
        <v>226</v>
      </c>
      <c r="D2549" t="s">
        <v>303</v>
      </c>
      <c r="E2549">
        <f>YEAR(A2549)</f>
        <v>2014</v>
      </c>
      <c r="F2549" s="33">
        <f>DATE(YEAR(A2549),MONTH(A2549),1)</f>
        <v>41821.0</v>
      </c>
      <c r="G2549" t="str">
        <f>CHOOSE(WEEKDAY(A2549,2),"Mon","Tue","Wed","Thu","Fri","Sat","Sun")</f>
        <v>Wed</v>
      </c>
      <c r="H2549" t="str">
        <f>IF(WEEKDAY(A2549,2)&gt;5,"Weekend","Weekday")</f>
        <v>Weekday</v>
      </c>
      <c r="I2549" t="str">
        <f>_xlfn.IFS(B2549&lt;=5,"Night (0-5)",B2549&lt;=9,"Morning peak (6-9)",B2549&lt;=15,"Midday (10-15)",B2549&lt;=19,"Evening peak (16-19)",TRUE,"Late evening (20-23)")</f>
        <v>Night (0-5)</v>
      </c>
    </row>
    <row r="2550" spans="1:9">
      <c r="A2550" s="32">
        <v>41836</v>
      </c>
      <c r="B2550">
        <v>4</v>
      </c>
      <c r="C2550">
        <v>342</v>
      </c>
      <c r="D2550" t="s">
        <v>303</v>
      </c>
      <c r="E2550">
        <f>YEAR(A2550)</f>
        <v>2014</v>
      </c>
      <c r="F2550" s="33">
        <f>DATE(YEAR(A2550),MONTH(A2550),1)</f>
        <v>41821.0</v>
      </c>
      <c r="G2550" t="str">
        <f>CHOOSE(WEEKDAY(A2550,2),"Mon","Tue","Wed","Thu","Fri","Sat","Sun")</f>
        <v>Wed</v>
      </c>
      <c r="H2550" t="str">
        <f>IF(WEEKDAY(A2550,2)&gt;5,"Weekend","Weekday")</f>
        <v>Weekday</v>
      </c>
      <c r="I2550" t="str">
        <f>_xlfn.IFS(B2550&lt;=5,"Night (0-5)",B2550&lt;=9,"Morning peak (6-9)",B2550&lt;=15,"Midday (10-15)",B2550&lt;=19,"Evening peak (16-19)",TRUE,"Late evening (20-23)")</f>
        <v>Night (0-5)</v>
      </c>
    </row>
    <row r="2551" spans="1:9">
      <c r="A2551" s="32">
        <v>41836</v>
      </c>
      <c r="B2551">
        <v>5</v>
      </c>
      <c r="C2551">
        <v>628</v>
      </c>
      <c r="D2551" t="s">
        <v>303</v>
      </c>
      <c r="E2551">
        <f>YEAR(A2551)</f>
        <v>2014</v>
      </c>
      <c r="F2551" s="33">
        <f>DATE(YEAR(A2551),MONTH(A2551),1)</f>
        <v>41821.0</v>
      </c>
      <c r="G2551" t="str">
        <f>CHOOSE(WEEKDAY(A2551,2),"Mon","Tue","Wed","Thu","Fri","Sat","Sun")</f>
        <v>Wed</v>
      </c>
      <c r="H2551" t="str">
        <f>IF(WEEKDAY(A2551,2)&gt;5,"Weekend","Weekday")</f>
        <v>Weekday</v>
      </c>
      <c r="I2551" t="str">
        <f>_xlfn.IFS(B2551&lt;=5,"Night (0-5)",B2551&lt;=9,"Morning peak (6-9)",B2551&lt;=15,"Midday (10-15)",B2551&lt;=19,"Evening peak (16-19)",TRUE,"Late evening (20-23)")</f>
        <v>Night (0-5)</v>
      </c>
    </row>
    <row r="2552" spans="1:9">
      <c r="A2552" s="32">
        <v>41836</v>
      </c>
      <c r="B2552">
        <v>6</v>
      </c>
      <c r="C2552">
        <v>1125</v>
      </c>
      <c r="D2552" t="s">
        <v>303</v>
      </c>
      <c r="E2552">
        <f>YEAR(A2552)</f>
        <v>2014</v>
      </c>
      <c r="F2552" s="33">
        <f>DATE(YEAR(A2552),MONTH(A2552),1)</f>
        <v>41821.0</v>
      </c>
      <c r="G2552" t="str">
        <f>CHOOSE(WEEKDAY(A2552,2),"Mon","Tue","Wed","Thu","Fri","Sat","Sun")</f>
        <v>Wed</v>
      </c>
      <c r="H2552" t="str">
        <f>IF(WEEKDAY(A2552,2)&gt;5,"Weekend","Weekday")</f>
        <v>Weekday</v>
      </c>
      <c r="I2552" t="str">
        <f>_xlfn.IFS(B2552&lt;=5,"Night (0-5)",B2552&lt;=9,"Morning peak (6-9)",B2552&lt;=15,"Midday (10-15)",B2552&lt;=19,"Evening peak (16-19)",TRUE,"Late evening (20-23)")</f>
        <v>Morning peak (6-9)</v>
      </c>
    </row>
    <row r="2553" spans="1:9">
      <c r="A2553" s="32">
        <v>41836</v>
      </c>
      <c r="B2553">
        <v>7</v>
      </c>
      <c r="C2553">
        <v>1560</v>
      </c>
      <c r="D2553" t="s">
        <v>303</v>
      </c>
      <c r="E2553">
        <f>YEAR(A2553)</f>
        <v>2014</v>
      </c>
      <c r="F2553" s="33">
        <f>DATE(YEAR(A2553),MONTH(A2553),1)</f>
        <v>41821.0</v>
      </c>
      <c r="G2553" t="str">
        <f>CHOOSE(WEEKDAY(A2553,2),"Mon","Tue","Wed","Thu","Fri","Sat","Sun")</f>
        <v>Wed</v>
      </c>
      <c r="H2553" t="str">
        <f>IF(WEEKDAY(A2553,2)&gt;5,"Weekend","Weekday")</f>
        <v>Weekday</v>
      </c>
      <c r="I2553" t="str">
        <f>_xlfn.IFS(B2553&lt;=5,"Night (0-5)",B2553&lt;=9,"Morning peak (6-9)",B2553&lt;=15,"Midday (10-15)",B2553&lt;=19,"Evening peak (16-19)",TRUE,"Late evening (20-23)")</f>
        <v>Morning peak (6-9)</v>
      </c>
    </row>
    <row r="2554" spans="1:9">
      <c r="A2554" s="32">
        <v>41836</v>
      </c>
      <c r="B2554">
        <v>8</v>
      </c>
      <c r="C2554">
        <v>1549</v>
      </c>
      <c r="D2554" t="s">
        <v>303</v>
      </c>
      <c r="E2554">
        <f>YEAR(A2554)</f>
        <v>2014</v>
      </c>
      <c r="F2554" s="33">
        <f>DATE(YEAR(A2554),MONTH(A2554),1)</f>
        <v>41821.0</v>
      </c>
      <c r="G2554" t="str">
        <f>CHOOSE(WEEKDAY(A2554,2),"Mon","Tue","Wed","Thu","Fri","Sat","Sun")</f>
        <v>Wed</v>
      </c>
      <c r="H2554" t="str">
        <f>IF(WEEKDAY(A2554,2)&gt;5,"Weekend","Weekday")</f>
        <v>Weekday</v>
      </c>
      <c r="I2554" t="str">
        <f>_xlfn.IFS(B2554&lt;=5,"Night (0-5)",B2554&lt;=9,"Morning peak (6-9)",B2554&lt;=15,"Midday (10-15)",B2554&lt;=19,"Evening peak (16-19)",TRUE,"Late evening (20-23)")</f>
        <v>Morning peak (6-9)</v>
      </c>
    </row>
    <row r="2555" spans="1:9">
      <c r="A2555" s="32">
        <v>41836</v>
      </c>
      <c r="B2555">
        <v>9</v>
      </c>
      <c r="C2555">
        <v>1135</v>
      </c>
      <c r="D2555" t="s">
        <v>303</v>
      </c>
      <c r="E2555">
        <f>YEAR(A2555)</f>
        <v>2014</v>
      </c>
      <c r="F2555" s="33">
        <f>DATE(YEAR(A2555),MONTH(A2555),1)</f>
        <v>41821.0</v>
      </c>
      <c r="G2555" t="str">
        <f>CHOOSE(WEEKDAY(A2555,2),"Mon","Tue","Wed","Thu","Fri","Sat","Sun")</f>
        <v>Wed</v>
      </c>
      <c r="H2555" t="str">
        <f>IF(WEEKDAY(A2555,2)&gt;5,"Weekend","Weekday")</f>
        <v>Weekday</v>
      </c>
      <c r="I2555" t="str">
        <f>_xlfn.IFS(B2555&lt;=5,"Night (0-5)",B2555&lt;=9,"Morning peak (6-9)",B2555&lt;=15,"Midday (10-15)",B2555&lt;=19,"Evening peak (16-19)",TRUE,"Late evening (20-23)")</f>
        <v>Morning peak (6-9)</v>
      </c>
    </row>
    <row r="2556" spans="1:9">
      <c r="A2556" s="32">
        <v>41836</v>
      </c>
      <c r="B2556">
        <v>10</v>
      </c>
      <c r="C2556">
        <v>1029</v>
      </c>
      <c r="D2556" t="s">
        <v>303</v>
      </c>
      <c r="E2556">
        <f>YEAR(A2556)</f>
        <v>2014</v>
      </c>
      <c r="F2556" s="33">
        <f>DATE(YEAR(A2556),MONTH(A2556),1)</f>
        <v>41821.0</v>
      </c>
      <c r="G2556" t="str">
        <f>CHOOSE(WEEKDAY(A2556,2),"Mon","Tue","Wed","Thu","Fri","Sat","Sun")</f>
        <v>Wed</v>
      </c>
      <c r="H2556" t="str">
        <f>IF(WEEKDAY(A2556,2)&gt;5,"Weekend","Weekday")</f>
        <v>Weekday</v>
      </c>
      <c r="I2556" t="str">
        <f>_xlfn.IFS(B2556&lt;=5,"Night (0-5)",B2556&lt;=9,"Morning peak (6-9)",B2556&lt;=15,"Midday (10-15)",B2556&lt;=19,"Evening peak (16-19)",TRUE,"Late evening (20-23)")</f>
        <v>Midday (10-15)</v>
      </c>
    </row>
    <row r="2557" spans="1:9">
      <c r="A2557" s="32">
        <v>41836</v>
      </c>
      <c r="B2557">
        <v>11</v>
      </c>
      <c r="C2557">
        <v>1004</v>
      </c>
      <c r="D2557" t="s">
        <v>303</v>
      </c>
      <c r="E2557">
        <f>YEAR(A2557)</f>
        <v>2014</v>
      </c>
      <c r="F2557" s="33">
        <f>DATE(YEAR(A2557),MONTH(A2557),1)</f>
        <v>41821.0</v>
      </c>
      <c r="G2557" t="str">
        <f>CHOOSE(WEEKDAY(A2557,2),"Mon","Tue","Wed","Thu","Fri","Sat","Sun")</f>
        <v>Wed</v>
      </c>
      <c r="H2557" t="str">
        <f>IF(WEEKDAY(A2557,2)&gt;5,"Weekend","Weekday")</f>
        <v>Weekday</v>
      </c>
      <c r="I2557" t="str">
        <f>_xlfn.IFS(B2557&lt;=5,"Night (0-5)",B2557&lt;=9,"Morning peak (6-9)",B2557&lt;=15,"Midday (10-15)",B2557&lt;=19,"Evening peak (16-19)",TRUE,"Late evening (20-23)")</f>
        <v>Midday (10-15)</v>
      </c>
    </row>
    <row r="2558" spans="1:9">
      <c r="A2558" s="32">
        <v>41836</v>
      </c>
      <c r="B2558">
        <v>12</v>
      </c>
      <c r="C2558">
        <v>998</v>
      </c>
      <c r="D2558" t="s">
        <v>303</v>
      </c>
      <c r="E2558">
        <f>YEAR(A2558)</f>
        <v>2014</v>
      </c>
      <c r="F2558" s="33">
        <f>DATE(YEAR(A2558),MONTH(A2558),1)</f>
        <v>41821.0</v>
      </c>
      <c r="G2558" t="str">
        <f>CHOOSE(WEEKDAY(A2558,2),"Mon","Tue","Wed","Thu","Fri","Sat","Sun")</f>
        <v>Wed</v>
      </c>
      <c r="H2558" t="str">
        <f>IF(WEEKDAY(A2558,2)&gt;5,"Weekend","Weekday")</f>
        <v>Weekday</v>
      </c>
      <c r="I2558" t="str">
        <f>_xlfn.IFS(B2558&lt;=5,"Night (0-5)",B2558&lt;=9,"Morning peak (6-9)",B2558&lt;=15,"Midday (10-15)",B2558&lt;=19,"Evening peak (16-19)",TRUE,"Late evening (20-23)")</f>
        <v>Midday (10-15)</v>
      </c>
    </row>
    <row r="2559" spans="1:9">
      <c r="A2559" s="32">
        <v>41836</v>
      </c>
      <c r="B2559">
        <v>13</v>
      </c>
      <c r="C2559">
        <v>1100</v>
      </c>
      <c r="D2559" t="s">
        <v>303</v>
      </c>
      <c r="E2559">
        <f>YEAR(A2559)</f>
        <v>2014</v>
      </c>
      <c r="F2559" s="33">
        <f>DATE(YEAR(A2559),MONTH(A2559),1)</f>
        <v>41821.0</v>
      </c>
      <c r="G2559" t="str">
        <f>CHOOSE(WEEKDAY(A2559,2),"Mon","Tue","Wed","Thu","Fri","Sat","Sun")</f>
        <v>Wed</v>
      </c>
      <c r="H2559" t="str">
        <f>IF(WEEKDAY(A2559,2)&gt;5,"Weekend","Weekday")</f>
        <v>Weekday</v>
      </c>
      <c r="I2559" t="str">
        <f>_xlfn.IFS(B2559&lt;=5,"Night (0-5)",B2559&lt;=9,"Morning peak (6-9)",B2559&lt;=15,"Midday (10-15)",B2559&lt;=19,"Evening peak (16-19)",TRUE,"Late evening (20-23)")</f>
        <v>Midday (10-15)</v>
      </c>
    </row>
    <row r="2560" spans="1:9">
      <c r="A2560" s="32">
        <v>41836</v>
      </c>
      <c r="B2560">
        <v>14</v>
      </c>
      <c r="C2560">
        <v>1351</v>
      </c>
      <c r="D2560" t="s">
        <v>303</v>
      </c>
      <c r="E2560">
        <f>YEAR(A2560)</f>
        <v>2014</v>
      </c>
      <c r="F2560" s="33">
        <f>DATE(YEAR(A2560),MONTH(A2560),1)</f>
        <v>41821.0</v>
      </c>
      <c r="G2560" t="str">
        <f>CHOOSE(WEEKDAY(A2560,2),"Mon","Tue","Wed","Thu","Fri","Sat","Sun")</f>
        <v>Wed</v>
      </c>
      <c r="H2560" t="str">
        <f>IF(WEEKDAY(A2560,2)&gt;5,"Weekend","Weekday")</f>
        <v>Weekday</v>
      </c>
      <c r="I2560" t="str">
        <f>_xlfn.IFS(B2560&lt;=5,"Night (0-5)",B2560&lt;=9,"Morning peak (6-9)",B2560&lt;=15,"Midday (10-15)",B2560&lt;=19,"Evening peak (16-19)",TRUE,"Late evening (20-23)")</f>
        <v>Midday (10-15)</v>
      </c>
    </row>
    <row r="2561" spans="1:9">
      <c r="A2561" s="32">
        <v>41836</v>
      </c>
      <c r="B2561">
        <v>15</v>
      </c>
      <c r="C2561">
        <v>1732</v>
      </c>
      <c r="D2561" t="s">
        <v>303</v>
      </c>
      <c r="E2561">
        <f>YEAR(A2561)</f>
        <v>2014</v>
      </c>
      <c r="F2561" s="33">
        <f>DATE(YEAR(A2561),MONTH(A2561),1)</f>
        <v>41821.0</v>
      </c>
      <c r="G2561" t="str">
        <f>CHOOSE(WEEKDAY(A2561,2),"Mon","Tue","Wed","Thu","Fri","Sat","Sun")</f>
        <v>Wed</v>
      </c>
      <c r="H2561" t="str">
        <f>IF(WEEKDAY(A2561,2)&gt;5,"Weekend","Weekday")</f>
        <v>Weekday</v>
      </c>
      <c r="I2561" t="str">
        <f>_xlfn.IFS(B2561&lt;=5,"Night (0-5)",B2561&lt;=9,"Morning peak (6-9)",B2561&lt;=15,"Midday (10-15)",B2561&lt;=19,"Evening peak (16-19)",TRUE,"Late evening (20-23)")</f>
        <v>Midday (10-15)</v>
      </c>
    </row>
    <row r="2562" spans="1:9">
      <c r="A2562" s="32">
        <v>41836</v>
      </c>
      <c r="B2562">
        <v>16</v>
      </c>
      <c r="C2562">
        <v>1916</v>
      </c>
      <c r="D2562" t="s">
        <v>303</v>
      </c>
      <c r="E2562">
        <f>YEAR(A2562)</f>
        <v>2014</v>
      </c>
      <c r="F2562" s="33">
        <f>DATE(YEAR(A2562),MONTH(A2562),1)</f>
        <v>41821.0</v>
      </c>
      <c r="G2562" t="str">
        <f>CHOOSE(WEEKDAY(A2562,2),"Mon","Tue","Wed","Thu","Fri","Sat","Sun")</f>
        <v>Wed</v>
      </c>
      <c r="H2562" t="str">
        <f>IF(WEEKDAY(A2562,2)&gt;5,"Weekend","Weekday")</f>
        <v>Weekday</v>
      </c>
      <c r="I2562" t="str">
        <f>_xlfn.IFS(B2562&lt;=5,"Night (0-5)",B2562&lt;=9,"Morning peak (6-9)",B2562&lt;=15,"Midday (10-15)",B2562&lt;=19,"Evening peak (16-19)",TRUE,"Late evening (20-23)")</f>
        <v>Evening peak (16-19)</v>
      </c>
    </row>
    <row r="2563" spans="1:9">
      <c r="A2563" s="32">
        <v>41836</v>
      </c>
      <c r="B2563">
        <v>17</v>
      </c>
      <c r="C2563">
        <v>2104</v>
      </c>
      <c r="D2563" t="s">
        <v>303</v>
      </c>
      <c r="E2563">
        <f>YEAR(A2563)</f>
        <v>2014</v>
      </c>
      <c r="F2563" s="33">
        <f>DATE(YEAR(A2563),MONTH(A2563),1)</f>
        <v>41821.0</v>
      </c>
      <c r="G2563" t="str">
        <f>CHOOSE(WEEKDAY(A2563,2),"Mon","Tue","Wed","Thu","Fri","Sat","Sun")</f>
        <v>Wed</v>
      </c>
      <c r="H2563" t="str">
        <f>IF(WEEKDAY(A2563,2)&gt;5,"Weekend","Weekday")</f>
        <v>Weekday</v>
      </c>
      <c r="I2563" t="str">
        <f>_xlfn.IFS(B2563&lt;=5,"Night (0-5)",B2563&lt;=9,"Morning peak (6-9)",B2563&lt;=15,"Midday (10-15)",B2563&lt;=19,"Evening peak (16-19)",TRUE,"Late evening (20-23)")</f>
        <v>Evening peak (16-19)</v>
      </c>
    </row>
    <row r="2564" spans="1:9">
      <c r="A2564" s="32">
        <v>41836</v>
      </c>
      <c r="B2564">
        <v>18</v>
      </c>
      <c r="C2564">
        <v>1933</v>
      </c>
      <c r="D2564" t="s">
        <v>303</v>
      </c>
      <c r="E2564">
        <f>YEAR(A2564)</f>
        <v>2014</v>
      </c>
      <c r="F2564" s="33">
        <f>DATE(YEAR(A2564),MONTH(A2564),1)</f>
        <v>41821.0</v>
      </c>
      <c r="G2564" t="str">
        <f>CHOOSE(WEEKDAY(A2564,2),"Mon","Tue","Wed","Thu","Fri","Sat","Sun")</f>
        <v>Wed</v>
      </c>
      <c r="H2564" t="str">
        <f>IF(WEEKDAY(A2564,2)&gt;5,"Weekend","Weekday")</f>
        <v>Weekday</v>
      </c>
      <c r="I2564" t="str">
        <f>_xlfn.IFS(B2564&lt;=5,"Night (0-5)",B2564&lt;=9,"Morning peak (6-9)",B2564&lt;=15,"Midday (10-15)",B2564&lt;=19,"Evening peak (16-19)",TRUE,"Late evening (20-23)")</f>
        <v>Evening peak (16-19)</v>
      </c>
    </row>
    <row r="2565" spans="1:9">
      <c r="A2565" s="32">
        <v>41836</v>
      </c>
      <c r="B2565">
        <v>19</v>
      </c>
      <c r="C2565">
        <v>1840</v>
      </c>
      <c r="D2565" t="s">
        <v>303</v>
      </c>
      <c r="E2565">
        <f>YEAR(A2565)</f>
        <v>2014</v>
      </c>
      <c r="F2565" s="33">
        <f>DATE(YEAR(A2565),MONTH(A2565),1)</f>
        <v>41821.0</v>
      </c>
      <c r="G2565" t="str">
        <f>CHOOSE(WEEKDAY(A2565,2),"Mon","Tue","Wed","Thu","Fri","Sat","Sun")</f>
        <v>Wed</v>
      </c>
      <c r="H2565" t="str">
        <f>IF(WEEKDAY(A2565,2)&gt;5,"Weekend","Weekday")</f>
        <v>Weekday</v>
      </c>
      <c r="I2565" t="str">
        <f>_xlfn.IFS(B2565&lt;=5,"Night (0-5)",B2565&lt;=9,"Morning peak (6-9)",B2565&lt;=15,"Midday (10-15)",B2565&lt;=19,"Evening peak (16-19)",TRUE,"Late evening (20-23)")</f>
        <v>Evening peak (16-19)</v>
      </c>
    </row>
    <row r="2566" spans="1:9">
      <c r="A2566" s="32">
        <v>41836</v>
      </c>
      <c r="B2566">
        <v>20</v>
      </c>
      <c r="C2566">
        <v>1940</v>
      </c>
      <c r="D2566" t="s">
        <v>303</v>
      </c>
      <c r="E2566">
        <f>YEAR(A2566)</f>
        <v>2014</v>
      </c>
      <c r="F2566" s="33">
        <f>DATE(YEAR(A2566),MONTH(A2566),1)</f>
        <v>41821.0</v>
      </c>
      <c r="G2566" t="str">
        <f>CHOOSE(WEEKDAY(A2566,2),"Mon","Tue","Wed","Thu","Fri","Sat","Sun")</f>
        <v>Wed</v>
      </c>
      <c r="H2566" t="str">
        <f>IF(WEEKDAY(A2566,2)&gt;5,"Weekend","Weekday")</f>
        <v>Weekday</v>
      </c>
      <c r="I2566" t="str">
        <f>_xlfn.IFS(B2566&lt;=5,"Night (0-5)",B2566&lt;=9,"Morning peak (6-9)",B2566&lt;=15,"Midday (10-15)",B2566&lt;=19,"Evening peak (16-19)",TRUE,"Late evening (20-23)")</f>
        <v>Late evening (20-23)</v>
      </c>
    </row>
    <row r="2567" spans="1:9">
      <c r="A2567" s="32">
        <v>41836</v>
      </c>
      <c r="B2567">
        <v>21</v>
      </c>
      <c r="C2567">
        <v>1868</v>
      </c>
      <c r="D2567" t="s">
        <v>303</v>
      </c>
      <c r="E2567">
        <f>YEAR(A2567)</f>
        <v>2014</v>
      </c>
      <c r="F2567" s="33">
        <f>DATE(YEAR(A2567),MONTH(A2567),1)</f>
        <v>41821.0</v>
      </c>
      <c r="G2567" t="str">
        <f>CHOOSE(WEEKDAY(A2567,2),"Mon","Tue","Wed","Thu","Fri","Sat","Sun")</f>
        <v>Wed</v>
      </c>
      <c r="H2567" t="str">
        <f>IF(WEEKDAY(A2567,2)&gt;5,"Weekend","Weekday")</f>
        <v>Weekday</v>
      </c>
      <c r="I2567" t="str">
        <f>_xlfn.IFS(B2567&lt;=5,"Night (0-5)",B2567&lt;=9,"Morning peak (6-9)",B2567&lt;=15,"Midday (10-15)",B2567&lt;=19,"Evening peak (16-19)",TRUE,"Late evening (20-23)")</f>
        <v>Late evening (20-23)</v>
      </c>
    </row>
    <row r="2568" spans="1:9">
      <c r="A2568" s="32">
        <v>41836</v>
      </c>
      <c r="B2568">
        <v>22</v>
      </c>
      <c r="C2568">
        <v>1520</v>
      </c>
      <c r="D2568" t="s">
        <v>303</v>
      </c>
      <c r="E2568">
        <f>YEAR(A2568)</f>
        <v>2014</v>
      </c>
      <c r="F2568" s="33">
        <f>DATE(YEAR(A2568),MONTH(A2568),1)</f>
        <v>41821.0</v>
      </c>
      <c r="G2568" t="str">
        <f>CHOOSE(WEEKDAY(A2568,2),"Mon","Tue","Wed","Thu","Fri","Sat","Sun")</f>
        <v>Wed</v>
      </c>
      <c r="H2568" t="str">
        <f>IF(WEEKDAY(A2568,2)&gt;5,"Weekend","Weekday")</f>
        <v>Weekday</v>
      </c>
      <c r="I2568" t="str">
        <f>_xlfn.IFS(B2568&lt;=5,"Night (0-5)",B2568&lt;=9,"Morning peak (6-9)",B2568&lt;=15,"Midday (10-15)",B2568&lt;=19,"Evening peak (16-19)",TRUE,"Late evening (20-23)")</f>
        <v>Late evening (20-23)</v>
      </c>
    </row>
    <row r="2569" spans="1:9">
      <c r="A2569" s="32">
        <v>41836</v>
      </c>
      <c r="B2569">
        <v>23</v>
      </c>
      <c r="C2569">
        <v>890</v>
      </c>
      <c r="D2569" t="s">
        <v>303</v>
      </c>
      <c r="E2569">
        <f>YEAR(A2569)</f>
        <v>2014</v>
      </c>
      <c r="F2569" s="33">
        <f>DATE(YEAR(A2569),MONTH(A2569),1)</f>
        <v>41821.0</v>
      </c>
      <c r="G2569" t="str">
        <f>CHOOSE(WEEKDAY(A2569,2),"Mon","Tue","Wed","Thu","Fri","Sat","Sun")</f>
        <v>Wed</v>
      </c>
      <c r="H2569" t="str">
        <f>IF(WEEKDAY(A2569,2)&gt;5,"Weekend","Weekday")</f>
        <v>Weekday</v>
      </c>
      <c r="I2569" t="str">
        <f>_xlfn.IFS(B2569&lt;=5,"Night (0-5)",B2569&lt;=9,"Morning peak (6-9)",B2569&lt;=15,"Midday (10-15)",B2569&lt;=19,"Evening peak (16-19)",TRUE,"Late evening (20-23)")</f>
        <v>Late evening (20-23)</v>
      </c>
    </row>
    <row r="2570" spans="1:9">
      <c r="A2570" s="32">
        <v>41837</v>
      </c>
      <c r="B2570">
        <v>0</v>
      </c>
      <c r="C2570">
        <v>415</v>
      </c>
      <c r="D2570" t="s">
        <v>303</v>
      </c>
      <c r="E2570">
        <f>YEAR(A2570)</f>
        <v>2014</v>
      </c>
      <c r="F2570" s="33">
        <f>DATE(YEAR(A2570),MONTH(A2570),1)</f>
        <v>41821.0</v>
      </c>
      <c r="G2570" t="str">
        <f>CHOOSE(WEEKDAY(A2570,2),"Mon","Tue","Wed","Thu","Fri","Sat","Sun")</f>
        <v>Thu</v>
      </c>
      <c r="H2570" t="str">
        <f>IF(WEEKDAY(A2570,2)&gt;5,"Weekend","Weekday")</f>
        <v>Weekday</v>
      </c>
      <c r="I2570" t="str">
        <f>_xlfn.IFS(B2570&lt;=5,"Night (0-5)",B2570&lt;=9,"Morning peak (6-9)",B2570&lt;=15,"Midday (10-15)",B2570&lt;=19,"Evening peak (16-19)",TRUE,"Late evening (20-23)")</f>
        <v>Night (0-5)</v>
      </c>
    </row>
    <row r="2571" spans="1:9">
      <c r="A2571" s="32">
        <v>41837</v>
      </c>
      <c r="B2571">
        <v>1</v>
      </c>
      <c r="C2571">
        <v>249</v>
      </c>
      <c r="D2571" t="s">
        <v>303</v>
      </c>
      <c r="E2571">
        <f>YEAR(A2571)</f>
        <v>2014</v>
      </c>
      <c r="F2571" s="33">
        <f>DATE(YEAR(A2571),MONTH(A2571),1)</f>
        <v>41821.0</v>
      </c>
      <c r="G2571" t="str">
        <f>CHOOSE(WEEKDAY(A2571,2),"Mon","Tue","Wed","Thu","Fri","Sat","Sun")</f>
        <v>Thu</v>
      </c>
      <c r="H2571" t="str">
        <f>IF(WEEKDAY(A2571,2)&gt;5,"Weekend","Weekday")</f>
        <v>Weekday</v>
      </c>
      <c r="I2571" t="str">
        <f>_xlfn.IFS(B2571&lt;=5,"Night (0-5)",B2571&lt;=9,"Morning peak (6-9)",B2571&lt;=15,"Midday (10-15)",B2571&lt;=19,"Evening peak (16-19)",TRUE,"Late evening (20-23)")</f>
        <v>Night (0-5)</v>
      </c>
    </row>
    <row r="2572" spans="1:9">
      <c r="A2572" s="32">
        <v>41837</v>
      </c>
      <c r="B2572">
        <v>2</v>
      </c>
      <c r="C2572">
        <v>187</v>
      </c>
      <c r="D2572" t="s">
        <v>303</v>
      </c>
      <c r="E2572">
        <f>YEAR(A2572)</f>
        <v>2014</v>
      </c>
      <c r="F2572" s="33">
        <f>DATE(YEAR(A2572),MONTH(A2572),1)</f>
        <v>41821.0</v>
      </c>
      <c r="G2572" t="str">
        <f>CHOOSE(WEEKDAY(A2572,2),"Mon","Tue","Wed","Thu","Fri","Sat","Sun")</f>
        <v>Thu</v>
      </c>
      <c r="H2572" t="str">
        <f>IF(WEEKDAY(A2572,2)&gt;5,"Weekend","Weekday")</f>
        <v>Weekday</v>
      </c>
      <c r="I2572" t="str">
        <f>_xlfn.IFS(B2572&lt;=5,"Night (0-5)",B2572&lt;=9,"Morning peak (6-9)",B2572&lt;=15,"Midday (10-15)",B2572&lt;=19,"Evening peak (16-19)",TRUE,"Late evening (20-23)")</f>
        <v>Night (0-5)</v>
      </c>
    </row>
    <row r="2573" spans="1:9">
      <c r="A2573" s="32">
        <v>41837</v>
      </c>
      <c r="B2573">
        <v>3</v>
      </c>
      <c r="C2573">
        <v>259</v>
      </c>
      <c r="D2573" t="s">
        <v>303</v>
      </c>
      <c r="E2573">
        <f>YEAR(A2573)</f>
        <v>2014</v>
      </c>
      <c r="F2573" s="33">
        <f>DATE(YEAR(A2573),MONTH(A2573),1)</f>
        <v>41821.0</v>
      </c>
      <c r="G2573" t="str">
        <f>CHOOSE(WEEKDAY(A2573,2),"Mon","Tue","Wed","Thu","Fri","Sat","Sun")</f>
        <v>Thu</v>
      </c>
      <c r="H2573" t="str">
        <f>IF(WEEKDAY(A2573,2)&gt;5,"Weekend","Weekday")</f>
        <v>Weekday</v>
      </c>
      <c r="I2573" t="str">
        <f>_xlfn.IFS(B2573&lt;=5,"Night (0-5)",B2573&lt;=9,"Morning peak (6-9)",B2573&lt;=15,"Midday (10-15)",B2573&lt;=19,"Evening peak (16-19)",TRUE,"Late evening (20-23)")</f>
        <v>Night (0-5)</v>
      </c>
    </row>
    <row r="2574" spans="1:9">
      <c r="A2574" s="32">
        <v>41837</v>
      </c>
      <c r="B2574">
        <v>4</v>
      </c>
      <c r="C2574">
        <v>423</v>
      </c>
      <c r="D2574" t="s">
        <v>303</v>
      </c>
      <c r="E2574">
        <f>YEAR(A2574)</f>
        <v>2014</v>
      </c>
      <c r="F2574" s="33">
        <f>DATE(YEAR(A2574),MONTH(A2574),1)</f>
        <v>41821.0</v>
      </c>
      <c r="G2574" t="str">
        <f>CHOOSE(WEEKDAY(A2574,2),"Mon","Tue","Wed","Thu","Fri","Sat","Sun")</f>
        <v>Thu</v>
      </c>
      <c r="H2574" t="str">
        <f>IF(WEEKDAY(A2574,2)&gt;5,"Weekend","Weekday")</f>
        <v>Weekday</v>
      </c>
      <c r="I2574" t="str">
        <f>_xlfn.IFS(B2574&lt;=5,"Night (0-5)",B2574&lt;=9,"Morning peak (6-9)",B2574&lt;=15,"Midday (10-15)",B2574&lt;=19,"Evening peak (16-19)",TRUE,"Late evening (20-23)")</f>
        <v>Night (0-5)</v>
      </c>
    </row>
    <row r="2575" spans="1:9">
      <c r="A2575" s="32">
        <v>41837</v>
      </c>
      <c r="B2575">
        <v>5</v>
      </c>
      <c r="C2575">
        <v>698</v>
      </c>
      <c r="D2575" t="s">
        <v>303</v>
      </c>
      <c r="E2575">
        <f>YEAR(A2575)</f>
        <v>2014</v>
      </c>
      <c r="F2575" s="33">
        <f>DATE(YEAR(A2575),MONTH(A2575),1)</f>
        <v>41821.0</v>
      </c>
      <c r="G2575" t="str">
        <f>CHOOSE(WEEKDAY(A2575,2),"Mon","Tue","Wed","Thu","Fri","Sat","Sun")</f>
        <v>Thu</v>
      </c>
      <c r="H2575" t="str">
        <f>IF(WEEKDAY(A2575,2)&gt;5,"Weekend","Weekday")</f>
        <v>Weekday</v>
      </c>
      <c r="I2575" t="str">
        <f>_xlfn.IFS(B2575&lt;=5,"Night (0-5)",B2575&lt;=9,"Morning peak (6-9)",B2575&lt;=15,"Midday (10-15)",B2575&lt;=19,"Evening peak (16-19)",TRUE,"Late evening (20-23)")</f>
        <v>Night (0-5)</v>
      </c>
    </row>
    <row r="2576" spans="1:9">
      <c r="A2576" s="32">
        <v>41837</v>
      </c>
      <c r="B2576">
        <v>6</v>
      </c>
      <c r="C2576">
        <v>952</v>
      </c>
      <c r="D2576" t="s">
        <v>303</v>
      </c>
      <c r="E2576">
        <f>YEAR(A2576)</f>
        <v>2014</v>
      </c>
      <c r="F2576" s="33">
        <f>DATE(YEAR(A2576),MONTH(A2576),1)</f>
        <v>41821.0</v>
      </c>
      <c r="G2576" t="str">
        <f>CHOOSE(WEEKDAY(A2576,2),"Mon","Tue","Wed","Thu","Fri","Sat","Sun")</f>
        <v>Thu</v>
      </c>
      <c r="H2576" t="str">
        <f>IF(WEEKDAY(A2576,2)&gt;5,"Weekend","Weekday")</f>
        <v>Weekday</v>
      </c>
      <c r="I2576" t="str">
        <f>_xlfn.IFS(B2576&lt;=5,"Night (0-5)",B2576&lt;=9,"Morning peak (6-9)",B2576&lt;=15,"Midday (10-15)",B2576&lt;=19,"Evening peak (16-19)",TRUE,"Late evening (20-23)")</f>
        <v>Morning peak (6-9)</v>
      </c>
    </row>
    <row r="2577" spans="1:9">
      <c r="A2577" s="32">
        <v>41837</v>
      </c>
      <c r="B2577">
        <v>7</v>
      </c>
      <c r="C2577">
        <v>1367</v>
      </c>
      <c r="D2577" t="s">
        <v>303</v>
      </c>
      <c r="E2577">
        <f>YEAR(A2577)</f>
        <v>2014</v>
      </c>
      <c r="F2577" s="33">
        <f>DATE(YEAR(A2577),MONTH(A2577),1)</f>
        <v>41821.0</v>
      </c>
      <c r="G2577" t="str">
        <f>CHOOSE(WEEKDAY(A2577,2),"Mon","Tue","Wed","Thu","Fri","Sat","Sun")</f>
        <v>Thu</v>
      </c>
      <c r="H2577" t="str">
        <f>IF(WEEKDAY(A2577,2)&gt;5,"Weekend","Weekday")</f>
        <v>Weekday</v>
      </c>
      <c r="I2577" t="str">
        <f>_xlfn.IFS(B2577&lt;=5,"Night (0-5)",B2577&lt;=9,"Morning peak (6-9)",B2577&lt;=15,"Midday (10-15)",B2577&lt;=19,"Evening peak (16-19)",TRUE,"Late evening (20-23)")</f>
        <v>Morning peak (6-9)</v>
      </c>
    </row>
    <row r="2578" spans="1:9">
      <c r="A2578" s="32">
        <v>41837</v>
      </c>
      <c r="B2578">
        <v>8</v>
      </c>
      <c r="C2578">
        <v>1351</v>
      </c>
      <c r="D2578" t="s">
        <v>303</v>
      </c>
      <c r="E2578">
        <f>YEAR(A2578)</f>
        <v>2014</v>
      </c>
      <c r="F2578" s="33">
        <f>DATE(YEAR(A2578),MONTH(A2578),1)</f>
        <v>41821.0</v>
      </c>
      <c r="G2578" t="str">
        <f>CHOOSE(WEEKDAY(A2578,2),"Mon","Tue","Wed","Thu","Fri","Sat","Sun")</f>
        <v>Thu</v>
      </c>
      <c r="H2578" t="str">
        <f>IF(WEEKDAY(A2578,2)&gt;5,"Weekend","Weekday")</f>
        <v>Weekday</v>
      </c>
      <c r="I2578" t="str">
        <f>_xlfn.IFS(B2578&lt;=5,"Night (0-5)",B2578&lt;=9,"Morning peak (6-9)",B2578&lt;=15,"Midday (10-15)",B2578&lt;=19,"Evening peak (16-19)",TRUE,"Late evening (20-23)")</f>
        <v>Morning peak (6-9)</v>
      </c>
    </row>
    <row r="2579" spans="1:9">
      <c r="A2579" s="32">
        <v>41837</v>
      </c>
      <c r="B2579">
        <v>9</v>
      </c>
      <c r="C2579">
        <v>1063</v>
      </c>
      <c r="D2579" t="s">
        <v>303</v>
      </c>
      <c r="E2579">
        <f>YEAR(A2579)</f>
        <v>2014</v>
      </c>
      <c r="F2579" s="33">
        <f>DATE(YEAR(A2579),MONTH(A2579),1)</f>
        <v>41821.0</v>
      </c>
      <c r="G2579" t="str">
        <f>CHOOSE(WEEKDAY(A2579,2),"Mon","Tue","Wed","Thu","Fri","Sat","Sun")</f>
        <v>Thu</v>
      </c>
      <c r="H2579" t="str">
        <f>IF(WEEKDAY(A2579,2)&gt;5,"Weekend","Weekday")</f>
        <v>Weekday</v>
      </c>
      <c r="I2579" t="str">
        <f>_xlfn.IFS(B2579&lt;=5,"Night (0-5)",B2579&lt;=9,"Morning peak (6-9)",B2579&lt;=15,"Midday (10-15)",B2579&lt;=19,"Evening peak (16-19)",TRUE,"Late evening (20-23)")</f>
        <v>Morning peak (6-9)</v>
      </c>
    </row>
    <row r="2580" spans="1:9">
      <c r="A2580" s="32">
        <v>41837</v>
      </c>
      <c r="B2580">
        <v>10</v>
      </c>
      <c r="C2580">
        <v>1031</v>
      </c>
      <c r="D2580" t="s">
        <v>303</v>
      </c>
      <c r="E2580">
        <f>YEAR(A2580)</f>
        <v>2014</v>
      </c>
      <c r="F2580" s="33">
        <f>DATE(YEAR(A2580),MONTH(A2580),1)</f>
        <v>41821.0</v>
      </c>
      <c r="G2580" t="str">
        <f>CHOOSE(WEEKDAY(A2580,2),"Mon","Tue","Wed","Thu","Fri","Sat","Sun")</f>
        <v>Thu</v>
      </c>
      <c r="H2580" t="str">
        <f>IF(WEEKDAY(A2580,2)&gt;5,"Weekend","Weekday")</f>
        <v>Weekday</v>
      </c>
      <c r="I2580" t="str">
        <f>_xlfn.IFS(B2580&lt;=5,"Night (0-5)",B2580&lt;=9,"Morning peak (6-9)",B2580&lt;=15,"Midday (10-15)",B2580&lt;=19,"Evening peak (16-19)",TRUE,"Late evening (20-23)")</f>
        <v>Midday (10-15)</v>
      </c>
    </row>
    <row r="2581" spans="1:9">
      <c r="A2581" s="32">
        <v>41837</v>
      </c>
      <c r="B2581">
        <v>11</v>
      </c>
      <c r="C2581">
        <v>1090</v>
      </c>
      <c r="D2581" t="s">
        <v>303</v>
      </c>
      <c r="E2581">
        <f>YEAR(A2581)</f>
        <v>2014</v>
      </c>
      <c r="F2581" s="33">
        <f>DATE(YEAR(A2581),MONTH(A2581),1)</f>
        <v>41821.0</v>
      </c>
      <c r="G2581" t="str">
        <f>CHOOSE(WEEKDAY(A2581,2),"Mon","Tue","Wed","Thu","Fri","Sat","Sun")</f>
        <v>Thu</v>
      </c>
      <c r="H2581" t="str">
        <f>IF(WEEKDAY(A2581,2)&gt;5,"Weekend","Weekday")</f>
        <v>Weekday</v>
      </c>
      <c r="I2581" t="str">
        <f>_xlfn.IFS(B2581&lt;=5,"Night (0-5)",B2581&lt;=9,"Morning peak (6-9)",B2581&lt;=15,"Midday (10-15)",B2581&lt;=19,"Evening peak (16-19)",TRUE,"Late evening (20-23)")</f>
        <v>Midday (10-15)</v>
      </c>
    </row>
    <row r="2582" spans="1:9">
      <c r="A2582" s="32">
        <v>41837</v>
      </c>
      <c r="B2582">
        <v>12</v>
      </c>
      <c r="C2582">
        <v>1118</v>
      </c>
      <c r="D2582" t="s">
        <v>303</v>
      </c>
      <c r="E2582">
        <f>YEAR(A2582)</f>
        <v>2014</v>
      </c>
      <c r="F2582" s="33">
        <f>DATE(YEAR(A2582),MONTH(A2582),1)</f>
        <v>41821.0</v>
      </c>
      <c r="G2582" t="str">
        <f>CHOOSE(WEEKDAY(A2582,2),"Mon","Tue","Wed","Thu","Fri","Sat","Sun")</f>
        <v>Thu</v>
      </c>
      <c r="H2582" t="str">
        <f>IF(WEEKDAY(A2582,2)&gt;5,"Weekend","Weekday")</f>
        <v>Weekday</v>
      </c>
      <c r="I2582" t="str">
        <f>_xlfn.IFS(B2582&lt;=5,"Night (0-5)",B2582&lt;=9,"Morning peak (6-9)",B2582&lt;=15,"Midday (10-15)",B2582&lt;=19,"Evening peak (16-19)",TRUE,"Late evening (20-23)")</f>
        <v>Midday (10-15)</v>
      </c>
    </row>
    <row r="2583" spans="1:9">
      <c r="A2583" s="32">
        <v>41837</v>
      </c>
      <c r="B2583">
        <v>13</v>
      </c>
      <c r="C2583">
        <v>1284</v>
      </c>
      <c r="D2583" t="s">
        <v>303</v>
      </c>
      <c r="E2583">
        <f>YEAR(A2583)</f>
        <v>2014</v>
      </c>
      <c r="F2583" s="33">
        <f>DATE(YEAR(A2583),MONTH(A2583),1)</f>
        <v>41821.0</v>
      </c>
      <c r="G2583" t="str">
        <f>CHOOSE(WEEKDAY(A2583,2),"Mon","Tue","Wed","Thu","Fri","Sat","Sun")</f>
        <v>Thu</v>
      </c>
      <c r="H2583" t="str">
        <f>IF(WEEKDAY(A2583,2)&gt;5,"Weekend","Weekday")</f>
        <v>Weekday</v>
      </c>
      <c r="I2583" t="str">
        <f>_xlfn.IFS(B2583&lt;=5,"Night (0-5)",B2583&lt;=9,"Morning peak (6-9)",B2583&lt;=15,"Midday (10-15)",B2583&lt;=19,"Evening peak (16-19)",TRUE,"Late evening (20-23)")</f>
        <v>Midday (10-15)</v>
      </c>
    </row>
    <row r="2584" spans="1:9">
      <c r="A2584" s="32">
        <v>41837</v>
      </c>
      <c r="B2584">
        <v>14</v>
      </c>
      <c r="C2584">
        <v>1511</v>
      </c>
      <c r="D2584" t="s">
        <v>303</v>
      </c>
      <c r="E2584">
        <f>YEAR(A2584)</f>
        <v>2014</v>
      </c>
      <c r="F2584" s="33">
        <f>DATE(YEAR(A2584),MONTH(A2584),1)</f>
        <v>41821.0</v>
      </c>
      <c r="G2584" t="str">
        <f>CHOOSE(WEEKDAY(A2584,2),"Mon","Tue","Wed","Thu","Fri","Sat","Sun")</f>
        <v>Thu</v>
      </c>
      <c r="H2584" t="str">
        <f>IF(WEEKDAY(A2584,2)&gt;5,"Weekend","Weekday")</f>
        <v>Weekday</v>
      </c>
      <c r="I2584" t="str">
        <f>_xlfn.IFS(B2584&lt;=5,"Night (0-5)",B2584&lt;=9,"Morning peak (6-9)",B2584&lt;=15,"Midday (10-15)",B2584&lt;=19,"Evening peak (16-19)",TRUE,"Late evening (20-23)")</f>
        <v>Midday (10-15)</v>
      </c>
    </row>
    <row r="2585" spans="1:9">
      <c r="A2585" s="32">
        <v>41837</v>
      </c>
      <c r="B2585">
        <v>15</v>
      </c>
      <c r="C2585">
        <v>1741</v>
      </c>
      <c r="D2585" t="s">
        <v>303</v>
      </c>
      <c r="E2585">
        <f>YEAR(A2585)</f>
        <v>2014</v>
      </c>
      <c r="F2585" s="33">
        <f>DATE(YEAR(A2585),MONTH(A2585),1)</f>
        <v>41821.0</v>
      </c>
      <c r="G2585" t="str">
        <f>CHOOSE(WEEKDAY(A2585,2),"Mon","Tue","Wed","Thu","Fri","Sat","Sun")</f>
        <v>Thu</v>
      </c>
      <c r="H2585" t="str">
        <f>IF(WEEKDAY(A2585,2)&gt;5,"Weekend","Weekday")</f>
        <v>Weekday</v>
      </c>
      <c r="I2585" t="str">
        <f>_xlfn.IFS(B2585&lt;=5,"Night (0-5)",B2585&lt;=9,"Morning peak (6-9)",B2585&lt;=15,"Midday (10-15)",B2585&lt;=19,"Evening peak (16-19)",TRUE,"Late evening (20-23)")</f>
        <v>Midday (10-15)</v>
      </c>
    </row>
    <row r="2586" spans="1:9">
      <c r="A2586" s="32">
        <v>41837</v>
      </c>
      <c r="B2586">
        <v>16</v>
      </c>
      <c r="C2586">
        <v>2015</v>
      </c>
      <c r="D2586" t="s">
        <v>303</v>
      </c>
      <c r="E2586">
        <f>YEAR(A2586)</f>
        <v>2014</v>
      </c>
      <c r="F2586" s="33">
        <f>DATE(YEAR(A2586),MONTH(A2586),1)</f>
        <v>41821.0</v>
      </c>
      <c r="G2586" t="str">
        <f>CHOOSE(WEEKDAY(A2586,2),"Mon","Tue","Wed","Thu","Fri","Sat","Sun")</f>
        <v>Thu</v>
      </c>
      <c r="H2586" t="str">
        <f>IF(WEEKDAY(A2586,2)&gt;5,"Weekend","Weekday")</f>
        <v>Weekday</v>
      </c>
      <c r="I2586" t="str">
        <f>_xlfn.IFS(B2586&lt;=5,"Night (0-5)",B2586&lt;=9,"Morning peak (6-9)",B2586&lt;=15,"Midday (10-15)",B2586&lt;=19,"Evening peak (16-19)",TRUE,"Late evening (20-23)")</f>
        <v>Evening peak (16-19)</v>
      </c>
    </row>
    <row r="2587" spans="1:9">
      <c r="A2587" s="32">
        <v>41837</v>
      </c>
      <c r="B2587">
        <v>17</v>
      </c>
      <c r="C2587">
        <v>2257</v>
      </c>
      <c r="D2587" t="s">
        <v>303</v>
      </c>
      <c r="E2587">
        <f>YEAR(A2587)</f>
        <v>2014</v>
      </c>
      <c r="F2587" s="33">
        <f>DATE(YEAR(A2587),MONTH(A2587),1)</f>
        <v>41821.0</v>
      </c>
      <c r="G2587" t="str">
        <f>CHOOSE(WEEKDAY(A2587,2),"Mon","Tue","Wed","Thu","Fri","Sat","Sun")</f>
        <v>Thu</v>
      </c>
      <c r="H2587" t="str">
        <f>IF(WEEKDAY(A2587,2)&gt;5,"Weekend","Weekday")</f>
        <v>Weekday</v>
      </c>
      <c r="I2587" t="str">
        <f>_xlfn.IFS(B2587&lt;=5,"Night (0-5)",B2587&lt;=9,"Morning peak (6-9)",B2587&lt;=15,"Midday (10-15)",B2587&lt;=19,"Evening peak (16-19)",TRUE,"Late evening (20-23)")</f>
        <v>Evening peak (16-19)</v>
      </c>
    </row>
    <row r="2588" spans="1:9">
      <c r="A2588" s="32">
        <v>41837</v>
      </c>
      <c r="B2588">
        <v>18</v>
      </c>
      <c r="C2588">
        <v>2266</v>
      </c>
      <c r="D2588" t="s">
        <v>303</v>
      </c>
      <c r="E2588">
        <f>YEAR(A2588)</f>
        <v>2014</v>
      </c>
      <c r="F2588" s="33">
        <f>DATE(YEAR(A2588),MONTH(A2588),1)</f>
        <v>41821.0</v>
      </c>
      <c r="G2588" t="str">
        <f>CHOOSE(WEEKDAY(A2588,2),"Mon","Tue","Wed","Thu","Fri","Sat","Sun")</f>
        <v>Thu</v>
      </c>
      <c r="H2588" t="str">
        <f>IF(WEEKDAY(A2588,2)&gt;5,"Weekend","Weekday")</f>
        <v>Weekday</v>
      </c>
      <c r="I2588" t="str">
        <f>_xlfn.IFS(B2588&lt;=5,"Night (0-5)",B2588&lt;=9,"Morning peak (6-9)",B2588&lt;=15,"Midday (10-15)",B2588&lt;=19,"Evening peak (16-19)",TRUE,"Late evening (20-23)")</f>
        <v>Evening peak (16-19)</v>
      </c>
    </row>
    <row r="2589" spans="1:9">
      <c r="A2589" s="32">
        <v>41837</v>
      </c>
      <c r="B2589">
        <v>19</v>
      </c>
      <c r="C2589">
        <v>2056</v>
      </c>
      <c r="D2589" t="s">
        <v>303</v>
      </c>
      <c r="E2589">
        <f>YEAR(A2589)</f>
        <v>2014</v>
      </c>
      <c r="F2589" s="33">
        <f>DATE(YEAR(A2589),MONTH(A2589),1)</f>
        <v>41821.0</v>
      </c>
      <c r="G2589" t="str">
        <f>CHOOSE(WEEKDAY(A2589,2),"Mon","Tue","Wed","Thu","Fri","Sat","Sun")</f>
        <v>Thu</v>
      </c>
      <c r="H2589" t="str">
        <f>IF(WEEKDAY(A2589,2)&gt;5,"Weekend","Weekday")</f>
        <v>Weekday</v>
      </c>
      <c r="I2589" t="str">
        <f>_xlfn.IFS(B2589&lt;=5,"Night (0-5)",B2589&lt;=9,"Morning peak (6-9)",B2589&lt;=15,"Midday (10-15)",B2589&lt;=19,"Evening peak (16-19)",TRUE,"Late evening (20-23)")</f>
        <v>Evening peak (16-19)</v>
      </c>
    </row>
    <row r="2590" spans="1:9">
      <c r="A2590" s="32">
        <v>41837</v>
      </c>
      <c r="B2590">
        <v>20</v>
      </c>
      <c r="C2590">
        <v>1953</v>
      </c>
      <c r="D2590" t="s">
        <v>303</v>
      </c>
      <c r="E2590">
        <f>YEAR(A2590)</f>
        <v>2014</v>
      </c>
      <c r="F2590" s="33">
        <f>DATE(YEAR(A2590),MONTH(A2590),1)</f>
        <v>41821.0</v>
      </c>
      <c r="G2590" t="str">
        <f>CHOOSE(WEEKDAY(A2590,2),"Mon","Tue","Wed","Thu","Fri","Sat","Sun")</f>
        <v>Thu</v>
      </c>
      <c r="H2590" t="str">
        <f>IF(WEEKDAY(A2590,2)&gt;5,"Weekend","Weekday")</f>
        <v>Weekday</v>
      </c>
      <c r="I2590" t="str">
        <f>_xlfn.IFS(B2590&lt;=5,"Night (0-5)",B2590&lt;=9,"Morning peak (6-9)",B2590&lt;=15,"Midday (10-15)",B2590&lt;=19,"Evening peak (16-19)",TRUE,"Late evening (20-23)")</f>
        <v>Late evening (20-23)</v>
      </c>
    </row>
    <row r="2591" spans="1:9">
      <c r="A2591" s="32">
        <v>41837</v>
      </c>
      <c r="B2591">
        <v>21</v>
      </c>
      <c r="C2591">
        <v>2173</v>
      </c>
      <c r="D2591" t="s">
        <v>303</v>
      </c>
      <c r="E2591">
        <f>YEAR(A2591)</f>
        <v>2014</v>
      </c>
      <c r="F2591" s="33">
        <f>DATE(YEAR(A2591),MONTH(A2591),1)</f>
        <v>41821.0</v>
      </c>
      <c r="G2591" t="str">
        <f>CHOOSE(WEEKDAY(A2591,2),"Mon","Tue","Wed","Thu","Fri","Sat","Sun")</f>
        <v>Thu</v>
      </c>
      <c r="H2591" t="str">
        <f>IF(WEEKDAY(A2591,2)&gt;5,"Weekend","Weekday")</f>
        <v>Weekday</v>
      </c>
      <c r="I2591" t="str">
        <f>_xlfn.IFS(B2591&lt;=5,"Night (0-5)",B2591&lt;=9,"Morning peak (6-9)",B2591&lt;=15,"Midday (10-15)",B2591&lt;=19,"Evening peak (16-19)",TRUE,"Late evening (20-23)")</f>
        <v>Late evening (20-23)</v>
      </c>
    </row>
    <row r="2592" spans="1:9">
      <c r="A2592" s="32">
        <v>41837</v>
      </c>
      <c r="B2592">
        <v>22</v>
      </c>
      <c r="C2592">
        <v>1961</v>
      </c>
      <c r="D2592" t="s">
        <v>303</v>
      </c>
      <c r="E2592">
        <f>YEAR(A2592)</f>
        <v>2014</v>
      </c>
      <c r="F2592" s="33">
        <f>DATE(YEAR(A2592),MONTH(A2592),1)</f>
        <v>41821.0</v>
      </c>
      <c r="G2592" t="str">
        <f>CHOOSE(WEEKDAY(A2592,2),"Mon","Tue","Wed","Thu","Fri","Sat","Sun")</f>
        <v>Thu</v>
      </c>
      <c r="H2592" t="str">
        <f>IF(WEEKDAY(A2592,2)&gt;5,"Weekend","Weekday")</f>
        <v>Weekday</v>
      </c>
      <c r="I2592" t="str">
        <f>_xlfn.IFS(B2592&lt;=5,"Night (0-5)",B2592&lt;=9,"Morning peak (6-9)",B2592&lt;=15,"Midday (10-15)",B2592&lt;=19,"Evening peak (16-19)",TRUE,"Late evening (20-23)")</f>
        <v>Late evening (20-23)</v>
      </c>
    </row>
    <row r="2593" spans="1:9">
      <c r="A2593" s="32">
        <v>41837</v>
      </c>
      <c r="B2593">
        <v>23</v>
      </c>
      <c r="C2593">
        <v>1290</v>
      </c>
      <c r="D2593" t="s">
        <v>303</v>
      </c>
      <c r="E2593">
        <f>YEAR(A2593)</f>
        <v>2014</v>
      </c>
      <c r="F2593" s="33">
        <f>DATE(YEAR(A2593),MONTH(A2593),1)</f>
        <v>41821.0</v>
      </c>
      <c r="G2593" t="str">
        <f>CHOOSE(WEEKDAY(A2593,2),"Mon","Tue","Wed","Thu","Fri","Sat","Sun")</f>
        <v>Thu</v>
      </c>
      <c r="H2593" t="str">
        <f>IF(WEEKDAY(A2593,2)&gt;5,"Weekend","Weekday")</f>
        <v>Weekday</v>
      </c>
      <c r="I2593" t="str">
        <f>_xlfn.IFS(B2593&lt;=5,"Night (0-5)",B2593&lt;=9,"Morning peak (6-9)",B2593&lt;=15,"Midday (10-15)",B2593&lt;=19,"Evening peak (16-19)",TRUE,"Late evening (20-23)")</f>
        <v>Late evening (20-23)</v>
      </c>
    </row>
    <row r="2594" spans="1:9">
      <c r="A2594" s="32">
        <v>41838</v>
      </c>
      <c r="B2594">
        <v>0</v>
      </c>
      <c r="C2594">
        <v>687</v>
      </c>
      <c r="D2594" t="s">
        <v>303</v>
      </c>
      <c r="E2594">
        <f>YEAR(A2594)</f>
        <v>2014</v>
      </c>
      <c r="F2594" s="33">
        <f>DATE(YEAR(A2594),MONTH(A2594),1)</f>
        <v>41821.0</v>
      </c>
      <c r="G2594" t="str">
        <f>CHOOSE(WEEKDAY(A2594,2),"Mon","Tue","Wed","Thu","Fri","Sat","Sun")</f>
        <v>Fri</v>
      </c>
      <c r="H2594" t="str">
        <f>IF(WEEKDAY(A2594,2)&gt;5,"Weekend","Weekday")</f>
        <v>Weekday</v>
      </c>
      <c r="I2594" t="str">
        <f>_xlfn.IFS(B2594&lt;=5,"Night (0-5)",B2594&lt;=9,"Morning peak (6-9)",B2594&lt;=15,"Midday (10-15)",B2594&lt;=19,"Evening peak (16-19)",TRUE,"Late evening (20-23)")</f>
        <v>Night (0-5)</v>
      </c>
    </row>
    <row r="2595" spans="1:9">
      <c r="A2595" s="32">
        <v>41838</v>
      </c>
      <c r="B2595">
        <v>1</v>
      </c>
      <c r="C2595">
        <v>388</v>
      </c>
      <c r="D2595" t="s">
        <v>303</v>
      </c>
      <c r="E2595">
        <f>YEAR(A2595)</f>
        <v>2014</v>
      </c>
      <c r="F2595" s="33">
        <f>DATE(YEAR(A2595),MONTH(A2595),1)</f>
        <v>41821.0</v>
      </c>
      <c r="G2595" t="str">
        <f>CHOOSE(WEEKDAY(A2595,2),"Mon","Tue","Wed","Thu","Fri","Sat","Sun")</f>
        <v>Fri</v>
      </c>
      <c r="H2595" t="str">
        <f>IF(WEEKDAY(A2595,2)&gt;5,"Weekend","Weekday")</f>
        <v>Weekday</v>
      </c>
      <c r="I2595" t="str">
        <f>_xlfn.IFS(B2595&lt;=5,"Night (0-5)",B2595&lt;=9,"Morning peak (6-9)",B2595&lt;=15,"Midday (10-15)",B2595&lt;=19,"Evening peak (16-19)",TRUE,"Late evening (20-23)")</f>
        <v>Night (0-5)</v>
      </c>
    </row>
    <row r="2596" spans="1:9">
      <c r="A2596" s="32">
        <v>41838</v>
      </c>
      <c r="B2596">
        <v>2</v>
      </c>
      <c r="C2596">
        <v>252</v>
      </c>
      <c r="D2596" t="s">
        <v>303</v>
      </c>
      <c r="E2596">
        <f>YEAR(A2596)</f>
        <v>2014</v>
      </c>
      <c r="F2596" s="33">
        <f>DATE(YEAR(A2596),MONTH(A2596),1)</f>
        <v>41821.0</v>
      </c>
      <c r="G2596" t="str">
        <f>CHOOSE(WEEKDAY(A2596,2),"Mon","Tue","Wed","Thu","Fri","Sat","Sun")</f>
        <v>Fri</v>
      </c>
      <c r="H2596" t="str">
        <f>IF(WEEKDAY(A2596,2)&gt;5,"Weekend","Weekday")</f>
        <v>Weekday</v>
      </c>
      <c r="I2596" t="str">
        <f>_xlfn.IFS(B2596&lt;=5,"Night (0-5)",B2596&lt;=9,"Morning peak (6-9)",B2596&lt;=15,"Midday (10-15)",B2596&lt;=19,"Evening peak (16-19)",TRUE,"Late evening (20-23)")</f>
        <v>Night (0-5)</v>
      </c>
    </row>
    <row r="2597" spans="1:9">
      <c r="A2597" s="32">
        <v>41838</v>
      </c>
      <c r="B2597">
        <v>3</v>
      </c>
      <c r="C2597">
        <v>335</v>
      </c>
      <c r="D2597" t="s">
        <v>303</v>
      </c>
      <c r="E2597">
        <f>YEAR(A2597)</f>
        <v>2014</v>
      </c>
      <c r="F2597" s="33">
        <f>DATE(YEAR(A2597),MONTH(A2597),1)</f>
        <v>41821.0</v>
      </c>
      <c r="G2597" t="str">
        <f>CHOOSE(WEEKDAY(A2597,2),"Mon","Tue","Wed","Thu","Fri","Sat","Sun")</f>
        <v>Fri</v>
      </c>
      <c r="H2597" t="str">
        <f>IF(WEEKDAY(A2597,2)&gt;5,"Weekend","Weekday")</f>
        <v>Weekday</v>
      </c>
      <c r="I2597" t="str">
        <f>_xlfn.IFS(B2597&lt;=5,"Night (0-5)",B2597&lt;=9,"Morning peak (6-9)",B2597&lt;=15,"Midday (10-15)",B2597&lt;=19,"Evening peak (16-19)",TRUE,"Late evening (20-23)")</f>
        <v>Night (0-5)</v>
      </c>
    </row>
    <row r="2598" spans="1:9">
      <c r="A2598" s="32">
        <v>41838</v>
      </c>
      <c r="B2598">
        <v>4</v>
      </c>
      <c r="C2598">
        <v>396</v>
      </c>
      <c r="D2598" t="s">
        <v>303</v>
      </c>
      <c r="E2598">
        <f>YEAR(A2598)</f>
        <v>2014</v>
      </c>
      <c r="F2598" s="33">
        <f>DATE(YEAR(A2598),MONTH(A2598),1)</f>
        <v>41821.0</v>
      </c>
      <c r="G2598" t="str">
        <f>CHOOSE(WEEKDAY(A2598,2),"Mon","Tue","Wed","Thu","Fri","Sat","Sun")</f>
        <v>Fri</v>
      </c>
      <c r="H2598" t="str">
        <f>IF(WEEKDAY(A2598,2)&gt;5,"Weekend","Weekday")</f>
        <v>Weekday</v>
      </c>
      <c r="I2598" t="str">
        <f>_xlfn.IFS(B2598&lt;=5,"Night (0-5)",B2598&lt;=9,"Morning peak (6-9)",B2598&lt;=15,"Midday (10-15)",B2598&lt;=19,"Evening peak (16-19)",TRUE,"Late evening (20-23)")</f>
        <v>Night (0-5)</v>
      </c>
    </row>
    <row r="2599" spans="1:9">
      <c r="A2599" s="32">
        <v>41838</v>
      </c>
      <c r="B2599">
        <v>5</v>
      </c>
      <c r="C2599">
        <v>586</v>
      </c>
      <c r="D2599" t="s">
        <v>303</v>
      </c>
      <c r="E2599">
        <f>YEAR(A2599)</f>
        <v>2014</v>
      </c>
      <c r="F2599" s="33">
        <f>DATE(YEAR(A2599),MONTH(A2599),1)</f>
        <v>41821.0</v>
      </c>
      <c r="G2599" t="str">
        <f>CHOOSE(WEEKDAY(A2599,2),"Mon","Tue","Wed","Thu","Fri","Sat","Sun")</f>
        <v>Fri</v>
      </c>
      <c r="H2599" t="str">
        <f>IF(WEEKDAY(A2599,2)&gt;5,"Weekend","Weekday")</f>
        <v>Weekday</v>
      </c>
      <c r="I2599" t="str">
        <f>_xlfn.IFS(B2599&lt;=5,"Night (0-5)",B2599&lt;=9,"Morning peak (6-9)",B2599&lt;=15,"Midday (10-15)",B2599&lt;=19,"Evening peak (16-19)",TRUE,"Late evening (20-23)")</f>
        <v>Night (0-5)</v>
      </c>
    </row>
    <row r="2600" spans="1:9">
      <c r="A2600" s="32">
        <v>41838</v>
      </c>
      <c r="B2600">
        <v>6</v>
      </c>
      <c r="C2600">
        <v>893</v>
      </c>
      <c r="D2600" t="s">
        <v>303</v>
      </c>
      <c r="E2600">
        <f>YEAR(A2600)</f>
        <v>2014</v>
      </c>
      <c r="F2600" s="33">
        <f>DATE(YEAR(A2600),MONTH(A2600),1)</f>
        <v>41821.0</v>
      </c>
      <c r="G2600" t="str">
        <f>CHOOSE(WEEKDAY(A2600,2),"Mon","Tue","Wed","Thu","Fri","Sat","Sun")</f>
        <v>Fri</v>
      </c>
      <c r="H2600" t="str">
        <f>IF(WEEKDAY(A2600,2)&gt;5,"Weekend","Weekday")</f>
        <v>Weekday</v>
      </c>
      <c r="I2600" t="str">
        <f>_xlfn.IFS(B2600&lt;=5,"Night (0-5)",B2600&lt;=9,"Morning peak (6-9)",B2600&lt;=15,"Midday (10-15)",B2600&lt;=19,"Evening peak (16-19)",TRUE,"Late evening (20-23)")</f>
        <v>Morning peak (6-9)</v>
      </c>
    </row>
    <row r="2601" spans="1:9">
      <c r="A2601" s="32">
        <v>41838</v>
      </c>
      <c r="B2601">
        <v>7</v>
      </c>
      <c r="C2601">
        <v>1248</v>
      </c>
      <c r="D2601" t="s">
        <v>303</v>
      </c>
      <c r="E2601">
        <f>YEAR(A2601)</f>
        <v>2014</v>
      </c>
      <c r="F2601" s="33">
        <f>DATE(YEAR(A2601),MONTH(A2601),1)</f>
        <v>41821.0</v>
      </c>
      <c r="G2601" t="str">
        <f>CHOOSE(WEEKDAY(A2601,2),"Mon","Tue","Wed","Thu","Fri","Sat","Sun")</f>
        <v>Fri</v>
      </c>
      <c r="H2601" t="str">
        <f>IF(WEEKDAY(A2601,2)&gt;5,"Weekend","Weekday")</f>
        <v>Weekday</v>
      </c>
      <c r="I2601" t="str">
        <f>_xlfn.IFS(B2601&lt;=5,"Night (0-5)",B2601&lt;=9,"Morning peak (6-9)",B2601&lt;=15,"Midday (10-15)",B2601&lt;=19,"Evening peak (16-19)",TRUE,"Late evening (20-23)")</f>
        <v>Morning peak (6-9)</v>
      </c>
    </row>
    <row r="2602" spans="1:9">
      <c r="A2602" s="32">
        <v>41838</v>
      </c>
      <c r="B2602">
        <v>8</v>
      </c>
      <c r="C2602">
        <v>1250</v>
      </c>
      <c r="D2602" t="s">
        <v>303</v>
      </c>
      <c r="E2602">
        <f>YEAR(A2602)</f>
        <v>2014</v>
      </c>
      <c r="F2602" s="33">
        <f>DATE(YEAR(A2602),MONTH(A2602),1)</f>
        <v>41821.0</v>
      </c>
      <c r="G2602" t="str">
        <f>CHOOSE(WEEKDAY(A2602,2),"Mon","Tue","Wed","Thu","Fri","Sat","Sun")</f>
        <v>Fri</v>
      </c>
      <c r="H2602" t="str">
        <f>IF(WEEKDAY(A2602,2)&gt;5,"Weekend","Weekday")</f>
        <v>Weekday</v>
      </c>
      <c r="I2602" t="str">
        <f>_xlfn.IFS(B2602&lt;=5,"Night (0-5)",B2602&lt;=9,"Morning peak (6-9)",B2602&lt;=15,"Midday (10-15)",B2602&lt;=19,"Evening peak (16-19)",TRUE,"Late evening (20-23)")</f>
        <v>Morning peak (6-9)</v>
      </c>
    </row>
    <row r="2603" spans="1:9">
      <c r="A2603" s="32">
        <v>41838</v>
      </c>
      <c r="B2603">
        <v>9</v>
      </c>
      <c r="C2603">
        <v>1100</v>
      </c>
      <c r="D2603" t="s">
        <v>303</v>
      </c>
      <c r="E2603">
        <f>YEAR(A2603)</f>
        <v>2014</v>
      </c>
      <c r="F2603" s="33">
        <f>DATE(YEAR(A2603),MONTH(A2603),1)</f>
        <v>41821.0</v>
      </c>
      <c r="G2603" t="str">
        <f>CHOOSE(WEEKDAY(A2603,2),"Mon","Tue","Wed","Thu","Fri","Sat","Sun")</f>
        <v>Fri</v>
      </c>
      <c r="H2603" t="str">
        <f>IF(WEEKDAY(A2603,2)&gt;5,"Weekend","Weekday")</f>
        <v>Weekday</v>
      </c>
      <c r="I2603" t="str">
        <f>_xlfn.IFS(B2603&lt;=5,"Night (0-5)",B2603&lt;=9,"Morning peak (6-9)",B2603&lt;=15,"Midday (10-15)",B2603&lt;=19,"Evening peak (16-19)",TRUE,"Late evening (20-23)")</f>
        <v>Morning peak (6-9)</v>
      </c>
    </row>
    <row r="2604" spans="1:9">
      <c r="A2604" s="32">
        <v>41838</v>
      </c>
      <c r="B2604">
        <v>10</v>
      </c>
      <c r="C2604">
        <v>955</v>
      </c>
      <c r="D2604" t="s">
        <v>303</v>
      </c>
      <c r="E2604">
        <f>YEAR(A2604)</f>
        <v>2014</v>
      </c>
      <c r="F2604" s="33">
        <f>DATE(YEAR(A2604),MONTH(A2604),1)</f>
        <v>41821.0</v>
      </c>
      <c r="G2604" t="str">
        <f>CHOOSE(WEEKDAY(A2604,2),"Mon","Tue","Wed","Thu","Fri","Sat","Sun")</f>
        <v>Fri</v>
      </c>
      <c r="H2604" t="str">
        <f>IF(WEEKDAY(A2604,2)&gt;5,"Weekend","Weekday")</f>
        <v>Weekday</v>
      </c>
      <c r="I2604" t="str">
        <f>_xlfn.IFS(B2604&lt;=5,"Night (0-5)",B2604&lt;=9,"Morning peak (6-9)",B2604&lt;=15,"Midday (10-15)",B2604&lt;=19,"Evening peak (16-19)",TRUE,"Late evening (20-23)")</f>
        <v>Midday (10-15)</v>
      </c>
    </row>
    <row r="2605" spans="1:9">
      <c r="A2605" s="32">
        <v>41838</v>
      </c>
      <c r="B2605">
        <v>11</v>
      </c>
      <c r="C2605">
        <v>1019</v>
      </c>
      <c r="D2605" t="s">
        <v>303</v>
      </c>
      <c r="E2605">
        <f>YEAR(A2605)</f>
        <v>2014</v>
      </c>
      <c r="F2605" s="33">
        <f>DATE(YEAR(A2605),MONTH(A2605),1)</f>
        <v>41821.0</v>
      </c>
      <c r="G2605" t="str">
        <f>CHOOSE(WEEKDAY(A2605,2),"Mon","Tue","Wed","Thu","Fri","Sat","Sun")</f>
        <v>Fri</v>
      </c>
      <c r="H2605" t="str">
        <f>IF(WEEKDAY(A2605,2)&gt;5,"Weekend","Weekday")</f>
        <v>Weekday</v>
      </c>
      <c r="I2605" t="str">
        <f>_xlfn.IFS(B2605&lt;=5,"Night (0-5)",B2605&lt;=9,"Morning peak (6-9)",B2605&lt;=15,"Midday (10-15)",B2605&lt;=19,"Evening peak (16-19)",TRUE,"Late evening (20-23)")</f>
        <v>Midday (10-15)</v>
      </c>
    </row>
    <row r="2606" spans="1:9">
      <c r="A2606" s="32">
        <v>41838</v>
      </c>
      <c r="B2606">
        <v>12</v>
      </c>
      <c r="C2606">
        <v>1008</v>
      </c>
      <c r="D2606" t="s">
        <v>303</v>
      </c>
      <c r="E2606">
        <f>YEAR(A2606)</f>
        <v>2014</v>
      </c>
      <c r="F2606" s="33">
        <f>DATE(YEAR(A2606),MONTH(A2606),1)</f>
        <v>41821.0</v>
      </c>
      <c r="G2606" t="str">
        <f>CHOOSE(WEEKDAY(A2606,2),"Mon","Tue","Wed","Thu","Fri","Sat","Sun")</f>
        <v>Fri</v>
      </c>
      <c r="H2606" t="str">
        <f>IF(WEEKDAY(A2606,2)&gt;5,"Weekend","Weekday")</f>
        <v>Weekday</v>
      </c>
      <c r="I2606" t="str">
        <f>_xlfn.IFS(B2606&lt;=5,"Night (0-5)",B2606&lt;=9,"Morning peak (6-9)",B2606&lt;=15,"Midday (10-15)",B2606&lt;=19,"Evening peak (16-19)",TRUE,"Late evening (20-23)")</f>
        <v>Midday (10-15)</v>
      </c>
    </row>
    <row r="2607" spans="1:9">
      <c r="A2607" s="32">
        <v>41838</v>
      </c>
      <c r="B2607">
        <v>13</v>
      </c>
      <c r="C2607">
        <v>1174</v>
      </c>
      <c r="D2607" t="s">
        <v>303</v>
      </c>
      <c r="E2607">
        <f>YEAR(A2607)</f>
        <v>2014</v>
      </c>
      <c r="F2607" s="33">
        <f>DATE(YEAR(A2607),MONTH(A2607),1)</f>
        <v>41821.0</v>
      </c>
      <c r="G2607" t="str">
        <f>CHOOSE(WEEKDAY(A2607,2),"Mon","Tue","Wed","Thu","Fri","Sat","Sun")</f>
        <v>Fri</v>
      </c>
      <c r="H2607" t="str">
        <f>IF(WEEKDAY(A2607,2)&gt;5,"Weekend","Weekday")</f>
        <v>Weekday</v>
      </c>
      <c r="I2607" t="str">
        <f>_xlfn.IFS(B2607&lt;=5,"Night (0-5)",B2607&lt;=9,"Morning peak (6-9)",B2607&lt;=15,"Midday (10-15)",B2607&lt;=19,"Evening peak (16-19)",TRUE,"Late evening (20-23)")</f>
        <v>Midday (10-15)</v>
      </c>
    </row>
    <row r="2608" spans="1:9">
      <c r="A2608" s="32">
        <v>41838</v>
      </c>
      <c r="B2608">
        <v>14</v>
      </c>
      <c r="C2608">
        <v>1506</v>
      </c>
      <c r="D2608" t="s">
        <v>303</v>
      </c>
      <c r="E2608">
        <f>YEAR(A2608)</f>
        <v>2014</v>
      </c>
      <c r="F2608" s="33">
        <f>DATE(YEAR(A2608),MONTH(A2608),1)</f>
        <v>41821.0</v>
      </c>
      <c r="G2608" t="str">
        <f>CHOOSE(WEEKDAY(A2608,2),"Mon","Tue","Wed","Thu","Fri","Sat","Sun")</f>
        <v>Fri</v>
      </c>
      <c r="H2608" t="str">
        <f>IF(WEEKDAY(A2608,2)&gt;5,"Weekend","Weekday")</f>
        <v>Weekday</v>
      </c>
      <c r="I2608" t="str">
        <f>_xlfn.IFS(B2608&lt;=5,"Night (0-5)",B2608&lt;=9,"Morning peak (6-9)",B2608&lt;=15,"Midday (10-15)",B2608&lt;=19,"Evening peak (16-19)",TRUE,"Late evening (20-23)")</f>
        <v>Midday (10-15)</v>
      </c>
    </row>
    <row r="2609" spans="1:9">
      <c r="A2609" s="32">
        <v>41838</v>
      </c>
      <c r="B2609">
        <v>15</v>
      </c>
      <c r="C2609">
        <v>1818</v>
      </c>
      <c r="D2609" t="s">
        <v>303</v>
      </c>
      <c r="E2609">
        <f>YEAR(A2609)</f>
        <v>2014</v>
      </c>
      <c r="F2609" s="33">
        <f>DATE(YEAR(A2609),MONTH(A2609),1)</f>
        <v>41821.0</v>
      </c>
      <c r="G2609" t="str">
        <f>CHOOSE(WEEKDAY(A2609,2),"Mon","Tue","Wed","Thu","Fri","Sat","Sun")</f>
        <v>Fri</v>
      </c>
      <c r="H2609" t="str">
        <f>IF(WEEKDAY(A2609,2)&gt;5,"Weekend","Weekday")</f>
        <v>Weekday</v>
      </c>
      <c r="I2609" t="str">
        <f>_xlfn.IFS(B2609&lt;=5,"Night (0-5)",B2609&lt;=9,"Morning peak (6-9)",B2609&lt;=15,"Midday (10-15)",B2609&lt;=19,"Evening peak (16-19)",TRUE,"Late evening (20-23)")</f>
        <v>Midday (10-15)</v>
      </c>
    </row>
    <row r="2610" spans="1:9">
      <c r="A2610" s="32">
        <v>41838</v>
      </c>
      <c r="B2610">
        <v>16</v>
      </c>
      <c r="C2610">
        <v>2020</v>
      </c>
      <c r="D2610" t="s">
        <v>303</v>
      </c>
      <c r="E2610">
        <f>YEAR(A2610)</f>
        <v>2014</v>
      </c>
      <c r="F2610" s="33">
        <f>DATE(YEAR(A2610),MONTH(A2610),1)</f>
        <v>41821.0</v>
      </c>
      <c r="G2610" t="str">
        <f>CHOOSE(WEEKDAY(A2610,2),"Mon","Tue","Wed","Thu","Fri","Sat","Sun")</f>
        <v>Fri</v>
      </c>
      <c r="H2610" t="str">
        <f>IF(WEEKDAY(A2610,2)&gt;5,"Weekend","Weekday")</f>
        <v>Weekday</v>
      </c>
      <c r="I2610" t="str">
        <f>_xlfn.IFS(B2610&lt;=5,"Night (0-5)",B2610&lt;=9,"Morning peak (6-9)",B2610&lt;=15,"Midday (10-15)",B2610&lt;=19,"Evening peak (16-19)",TRUE,"Late evening (20-23)")</f>
        <v>Evening peak (16-19)</v>
      </c>
    </row>
    <row r="2611" spans="1:9">
      <c r="A2611" s="32">
        <v>41838</v>
      </c>
      <c r="B2611">
        <v>17</v>
      </c>
      <c r="C2611">
        <v>1912</v>
      </c>
      <c r="D2611" t="s">
        <v>303</v>
      </c>
      <c r="E2611">
        <f>YEAR(A2611)</f>
        <v>2014</v>
      </c>
      <c r="F2611" s="33">
        <f>DATE(YEAR(A2611),MONTH(A2611),1)</f>
        <v>41821.0</v>
      </c>
      <c r="G2611" t="str">
        <f>CHOOSE(WEEKDAY(A2611,2),"Mon","Tue","Wed","Thu","Fri","Sat","Sun")</f>
        <v>Fri</v>
      </c>
      <c r="H2611" t="str">
        <f>IF(WEEKDAY(A2611,2)&gt;5,"Weekend","Weekday")</f>
        <v>Weekday</v>
      </c>
      <c r="I2611" t="str">
        <f>_xlfn.IFS(B2611&lt;=5,"Night (0-5)",B2611&lt;=9,"Morning peak (6-9)",B2611&lt;=15,"Midday (10-15)",B2611&lt;=19,"Evening peak (16-19)",TRUE,"Late evening (20-23)")</f>
        <v>Evening peak (16-19)</v>
      </c>
    </row>
    <row r="2612" spans="1:9">
      <c r="A2612" s="32">
        <v>41838</v>
      </c>
      <c r="B2612">
        <v>18</v>
      </c>
      <c r="C2612">
        <v>1979</v>
      </c>
      <c r="D2612" t="s">
        <v>303</v>
      </c>
      <c r="E2612">
        <f>YEAR(A2612)</f>
        <v>2014</v>
      </c>
      <c r="F2612" s="33">
        <f>DATE(YEAR(A2612),MONTH(A2612),1)</f>
        <v>41821.0</v>
      </c>
      <c r="G2612" t="str">
        <f>CHOOSE(WEEKDAY(A2612,2),"Mon","Tue","Wed","Thu","Fri","Sat","Sun")</f>
        <v>Fri</v>
      </c>
      <c r="H2612" t="str">
        <f>IF(WEEKDAY(A2612,2)&gt;5,"Weekend","Weekday")</f>
        <v>Weekday</v>
      </c>
      <c r="I2612" t="str">
        <f>_xlfn.IFS(B2612&lt;=5,"Night (0-5)",B2612&lt;=9,"Morning peak (6-9)",B2612&lt;=15,"Midday (10-15)",B2612&lt;=19,"Evening peak (16-19)",TRUE,"Late evening (20-23)")</f>
        <v>Evening peak (16-19)</v>
      </c>
    </row>
    <row r="2613" spans="1:9">
      <c r="A2613" s="32">
        <v>41838</v>
      </c>
      <c r="B2613">
        <v>19</v>
      </c>
      <c r="C2613">
        <v>1875</v>
      </c>
      <c r="D2613" t="s">
        <v>303</v>
      </c>
      <c r="E2613">
        <f>YEAR(A2613)</f>
        <v>2014</v>
      </c>
      <c r="F2613" s="33">
        <f>DATE(YEAR(A2613),MONTH(A2613),1)</f>
        <v>41821.0</v>
      </c>
      <c r="G2613" t="str">
        <f>CHOOSE(WEEKDAY(A2613,2),"Mon","Tue","Wed","Thu","Fri","Sat","Sun")</f>
        <v>Fri</v>
      </c>
      <c r="H2613" t="str">
        <f>IF(WEEKDAY(A2613,2)&gt;5,"Weekend","Weekday")</f>
        <v>Weekday</v>
      </c>
      <c r="I2613" t="str">
        <f>_xlfn.IFS(B2613&lt;=5,"Night (0-5)",B2613&lt;=9,"Morning peak (6-9)",B2613&lt;=15,"Midday (10-15)",B2613&lt;=19,"Evening peak (16-19)",TRUE,"Late evening (20-23)")</f>
        <v>Evening peak (16-19)</v>
      </c>
    </row>
    <row r="2614" spans="1:9">
      <c r="A2614" s="32">
        <v>41838</v>
      </c>
      <c r="B2614">
        <v>20</v>
      </c>
      <c r="C2614">
        <v>1754</v>
      </c>
      <c r="D2614" t="s">
        <v>303</v>
      </c>
      <c r="E2614">
        <f>YEAR(A2614)</f>
        <v>2014</v>
      </c>
      <c r="F2614" s="33">
        <f>DATE(YEAR(A2614),MONTH(A2614),1)</f>
        <v>41821.0</v>
      </c>
      <c r="G2614" t="str">
        <f>CHOOSE(WEEKDAY(A2614,2),"Mon","Tue","Wed","Thu","Fri","Sat","Sun")</f>
        <v>Fri</v>
      </c>
      <c r="H2614" t="str">
        <f>IF(WEEKDAY(A2614,2)&gt;5,"Weekend","Weekday")</f>
        <v>Weekday</v>
      </c>
      <c r="I2614" t="str">
        <f>_xlfn.IFS(B2614&lt;=5,"Night (0-5)",B2614&lt;=9,"Morning peak (6-9)",B2614&lt;=15,"Midday (10-15)",B2614&lt;=19,"Evening peak (16-19)",TRUE,"Late evening (20-23)")</f>
        <v>Late evening (20-23)</v>
      </c>
    </row>
    <row r="2615" spans="1:9">
      <c r="A2615" s="32">
        <v>41838</v>
      </c>
      <c r="B2615">
        <v>21</v>
      </c>
      <c r="C2615">
        <v>1974</v>
      </c>
      <c r="D2615" t="s">
        <v>303</v>
      </c>
      <c r="E2615">
        <f>YEAR(A2615)</f>
        <v>2014</v>
      </c>
      <c r="F2615" s="33">
        <f>DATE(YEAR(A2615),MONTH(A2615),1)</f>
        <v>41821.0</v>
      </c>
      <c r="G2615" t="str">
        <f>CHOOSE(WEEKDAY(A2615,2),"Mon","Tue","Wed","Thu","Fri","Sat","Sun")</f>
        <v>Fri</v>
      </c>
      <c r="H2615" t="str">
        <f>IF(WEEKDAY(A2615,2)&gt;5,"Weekend","Weekday")</f>
        <v>Weekday</v>
      </c>
      <c r="I2615" t="str">
        <f>_xlfn.IFS(B2615&lt;=5,"Night (0-5)",B2615&lt;=9,"Morning peak (6-9)",B2615&lt;=15,"Midday (10-15)",B2615&lt;=19,"Evening peak (16-19)",TRUE,"Late evening (20-23)")</f>
        <v>Late evening (20-23)</v>
      </c>
    </row>
    <row r="2616" spans="1:9">
      <c r="A2616" s="32">
        <v>41838</v>
      </c>
      <c r="B2616">
        <v>22</v>
      </c>
      <c r="C2616">
        <v>2082</v>
      </c>
      <c r="D2616" t="s">
        <v>303</v>
      </c>
      <c r="E2616">
        <f>YEAR(A2616)</f>
        <v>2014</v>
      </c>
      <c r="F2616" s="33">
        <f>DATE(YEAR(A2616),MONTH(A2616),1)</f>
        <v>41821.0</v>
      </c>
      <c r="G2616" t="str">
        <f>CHOOSE(WEEKDAY(A2616,2),"Mon","Tue","Wed","Thu","Fri","Sat","Sun")</f>
        <v>Fri</v>
      </c>
      <c r="H2616" t="str">
        <f>IF(WEEKDAY(A2616,2)&gt;5,"Weekend","Weekday")</f>
        <v>Weekday</v>
      </c>
      <c r="I2616" t="str">
        <f>_xlfn.IFS(B2616&lt;=5,"Night (0-5)",B2616&lt;=9,"Morning peak (6-9)",B2616&lt;=15,"Midday (10-15)",B2616&lt;=19,"Evening peak (16-19)",TRUE,"Late evening (20-23)")</f>
        <v>Late evening (20-23)</v>
      </c>
    </row>
    <row r="2617" spans="1:9">
      <c r="A2617" s="32">
        <v>41838</v>
      </c>
      <c r="B2617">
        <v>23</v>
      </c>
      <c r="C2617">
        <v>1649</v>
      </c>
      <c r="D2617" t="s">
        <v>303</v>
      </c>
      <c r="E2617">
        <f>YEAR(A2617)</f>
        <v>2014</v>
      </c>
      <c r="F2617" s="33">
        <f>DATE(YEAR(A2617),MONTH(A2617),1)</f>
        <v>41821.0</v>
      </c>
      <c r="G2617" t="str">
        <f>CHOOSE(WEEKDAY(A2617,2),"Mon","Tue","Wed","Thu","Fri","Sat","Sun")</f>
        <v>Fri</v>
      </c>
      <c r="H2617" t="str">
        <f>IF(WEEKDAY(A2617,2)&gt;5,"Weekend","Weekday")</f>
        <v>Weekday</v>
      </c>
      <c r="I2617" t="str">
        <f>_xlfn.IFS(B2617&lt;=5,"Night (0-5)",B2617&lt;=9,"Morning peak (6-9)",B2617&lt;=15,"Midday (10-15)",B2617&lt;=19,"Evening peak (16-19)",TRUE,"Late evening (20-23)")</f>
        <v>Late evening (20-23)</v>
      </c>
    </row>
    <row r="2618" spans="1:9">
      <c r="A2618" s="32">
        <v>41839</v>
      </c>
      <c r="B2618">
        <v>0</v>
      </c>
      <c r="C2618">
        <v>1208</v>
      </c>
      <c r="D2618" t="s">
        <v>303</v>
      </c>
      <c r="E2618">
        <f>YEAR(A2618)</f>
        <v>2014</v>
      </c>
      <c r="F2618" s="33">
        <f>DATE(YEAR(A2618),MONTH(A2618),1)</f>
        <v>41821.0</v>
      </c>
      <c r="G2618" t="str">
        <f>CHOOSE(WEEKDAY(A2618,2),"Mon","Tue","Wed","Thu","Fri","Sat","Sun")</f>
        <v>Sat</v>
      </c>
      <c r="H2618" t="str">
        <f>IF(WEEKDAY(A2618,2)&gt;5,"Weekend","Weekday")</f>
        <v>Weekend</v>
      </c>
      <c r="I2618" t="str">
        <f>_xlfn.IFS(B2618&lt;=5,"Night (0-5)",B2618&lt;=9,"Morning peak (6-9)",B2618&lt;=15,"Midday (10-15)",B2618&lt;=19,"Evening peak (16-19)",TRUE,"Late evening (20-23)")</f>
        <v>Night (0-5)</v>
      </c>
    </row>
    <row r="2619" spans="1:9">
      <c r="A2619" s="32">
        <v>41839</v>
      </c>
      <c r="B2619">
        <v>1</v>
      </c>
      <c r="C2619">
        <v>936</v>
      </c>
      <c r="D2619" t="s">
        <v>303</v>
      </c>
      <c r="E2619">
        <f>YEAR(A2619)</f>
        <v>2014</v>
      </c>
      <c r="F2619" s="33">
        <f>DATE(YEAR(A2619),MONTH(A2619),1)</f>
        <v>41821.0</v>
      </c>
      <c r="G2619" t="str">
        <f>CHOOSE(WEEKDAY(A2619,2),"Mon","Tue","Wed","Thu","Fri","Sat","Sun")</f>
        <v>Sat</v>
      </c>
      <c r="H2619" t="str">
        <f>IF(WEEKDAY(A2619,2)&gt;5,"Weekend","Weekday")</f>
        <v>Weekend</v>
      </c>
      <c r="I2619" t="str">
        <f>_xlfn.IFS(B2619&lt;=5,"Night (0-5)",B2619&lt;=9,"Morning peak (6-9)",B2619&lt;=15,"Midday (10-15)",B2619&lt;=19,"Evening peak (16-19)",TRUE,"Late evening (20-23)")</f>
        <v>Night (0-5)</v>
      </c>
    </row>
    <row r="2620" spans="1:9">
      <c r="A2620" s="32">
        <v>41839</v>
      </c>
      <c r="B2620">
        <v>2</v>
      </c>
      <c r="C2620">
        <v>749</v>
      </c>
      <c r="D2620" t="s">
        <v>303</v>
      </c>
      <c r="E2620">
        <f>YEAR(A2620)</f>
        <v>2014</v>
      </c>
      <c r="F2620" s="33">
        <f>DATE(YEAR(A2620),MONTH(A2620),1)</f>
        <v>41821.0</v>
      </c>
      <c r="G2620" t="str">
        <f>CHOOSE(WEEKDAY(A2620,2),"Mon","Tue","Wed","Thu","Fri","Sat","Sun")</f>
        <v>Sat</v>
      </c>
      <c r="H2620" t="str">
        <f>IF(WEEKDAY(A2620,2)&gt;5,"Weekend","Weekday")</f>
        <v>Weekend</v>
      </c>
      <c r="I2620" t="str">
        <f>_xlfn.IFS(B2620&lt;=5,"Night (0-5)",B2620&lt;=9,"Morning peak (6-9)",B2620&lt;=15,"Midday (10-15)",B2620&lt;=19,"Evening peak (16-19)",TRUE,"Late evening (20-23)")</f>
        <v>Night (0-5)</v>
      </c>
    </row>
    <row r="2621" spans="1:9">
      <c r="A2621" s="32">
        <v>41839</v>
      </c>
      <c r="B2621">
        <v>3</v>
      </c>
      <c r="C2621">
        <v>563</v>
      </c>
      <c r="D2621" t="s">
        <v>303</v>
      </c>
      <c r="E2621">
        <f>YEAR(A2621)</f>
        <v>2014</v>
      </c>
      <c r="F2621" s="33">
        <f>DATE(YEAR(A2621),MONTH(A2621),1)</f>
        <v>41821.0</v>
      </c>
      <c r="G2621" t="str">
        <f>CHOOSE(WEEKDAY(A2621,2),"Mon","Tue","Wed","Thu","Fri","Sat","Sun")</f>
        <v>Sat</v>
      </c>
      <c r="H2621" t="str">
        <f>IF(WEEKDAY(A2621,2)&gt;5,"Weekend","Weekday")</f>
        <v>Weekend</v>
      </c>
      <c r="I2621" t="str">
        <f>_xlfn.IFS(B2621&lt;=5,"Night (0-5)",B2621&lt;=9,"Morning peak (6-9)",B2621&lt;=15,"Midday (10-15)",B2621&lt;=19,"Evening peak (16-19)",TRUE,"Late evening (20-23)")</f>
        <v>Night (0-5)</v>
      </c>
    </row>
    <row r="2622" spans="1:9">
      <c r="A2622" s="32">
        <v>41839</v>
      </c>
      <c r="B2622">
        <v>4</v>
      </c>
      <c r="C2622">
        <v>319</v>
      </c>
      <c r="D2622" t="s">
        <v>303</v>
      </c>
      <c r="E2622">
        <f>YEAR(A2622)</f>
        <v>2014</v>
      </c>
      <c r="F2622" s="33">
        <f>DATE(YEAR(A2622),MONTH(A2622),1)</f>
        <v>41821.0</v>
      </c>
      <c r="G2622" t="str">
        <f>CHOOSE(WEEKDAY(A2622,2),"Mon","Tue","Wed","Thu","Fri","Sat","Sun")</f>
        <v>Sat</v>
      </c>
      <c r="H2622" t="str">
        <f>IF(WEEKDAY(A2622,2)&gt;5,"Weekend","Weekday")</f>
        <v>Weekend</v>
      </c>
      <c r="I2622" t="str">
        <f>_xlfn.IFS(B2622&lt;=5,"Night (0-5)",B2622&lt;=9,"Morning peak (6-9)",B2622&lt;=15,"Midday (10-15)",B2622&lt;=19,"Evening peak (16-19)",TRUE,"Late evening (20-23)")</f>
        <v>Night (0-5)</v>
      </c>
    </row>
    <row r="2623" spans="1:9">
      <c r="A2623" s="32">
        <v>41839</v>
      </c>
      <c r="B2623">
        <v>5</v>
      </c>
      <c r="C2623">
        <v>307</v>
      </c>
      <c r="D2623" t="s">
        <v>303</v>
      </c>
      <c r="E2623">
        <f>YEAR(A2623)</f>
        <v>2014</v>
      </c>
      <c r="F2623" s="33">
        <f>DATE(YEAR(A2623),MONTH(A2623),1)</f>
        <v>41821.0</v>
      </c>
      <c r="G2623" t="str">
        <f>CHOOSE(WEEKDAY(A2623,2),"Mon","Tue","Wed","Thu","Fri","Sat","Sun")</f>
        <v>Sat</v>
      </c>
      <c r="H2623" t="str">
        <f>IF(WEEKDAY(A2623,2)&gt;5,"Weekend","Weekday")</f>
        <v>Weekend</v>
      </c>
      <c r="I2623" t="str">
        <f>_xlfn.IFS(B2623&lt;=5,"Night (0-5)",B2623&lt;=9,"Morning peak (6-9)",B2623&lt;=15,"Midday (10-15)",B2623&lt;=19,"Evening peak (16-19)",TRUE,"Late evening (20-23)")</f>
        <v>Night (0-5)</v>
      </c>
    </row>
    <row r="2624" spans="1:9">
      <c r="A2624" s="32">
        <v>41839</v>
      </c>
      <c r="B2624">
        <v>6</v>
      </c>
      <c r="C2624">
        <v>384</v>
      </c>
      <c r="D2624" t="s">
        <v>303</v>
      </c>
      <c r="E2624">
        <f>YEAR(A2624)</f>
        <v>2014</v>
      </c>
      <c r="F2624" s="33">
        <f>DATE(YEAR(A2624),MONTH(A2624),1)</f>
        <v>41821.0</v>
      </c>
      <c r="G2624" t="str">
        <f>CHOOSE(WEEKDAY(A2624,2),"Mon","Tue","Wed","Thu","Fri","Sat","Sun")</f>
        <v>Sat</v>
      </c>
      <c r="H2624" t="str">
        <f>IF(WEEKDAY(A2624,2)&gt;5,"Weekend","Weekday")</f>
        <v>Weekend</v>
      </c>
      <c r="I2624" t="str">
        <f>_xlfn.IFS(B2624&lt;=5,"Night (0-5)",B2624&lt;=9,"Morning peak (6-9)",B2624&lt;=15,"Midday (10-15)",B2624&lt;=19,"Evening peak (16-19)",TRUE,"Late evening (20-23)")</f>
        <v>Morning peak (6-9)</v>
      </c>
    </row>
    <row r="2625" spans="1:9">
      <c r="A2625" s="32">
        <v>41839</v>
      </c>
      <c r="B2625">
        <v>7</v>
      </c>
      <c r="C2625">
        <v>463</v>
      </c>
      <c r="D2625" t="s">
        <v>303</v>
      </c>
      <c r="E2625">
        <f>YEAR(A2625)</f>
        <v>2014</v>
      </c>
      <c r="F2625" s="33">
        <f>DATE(YEAR(A2625),MONTH(A2625),1)</f>
        <v>41821.0</v>
      </c>
      <c r="G2625" t="str">
        <f>CHOOSE(WEEKDAY(A2625,2),"Mon","Tue","Wed","Thu","Fri","Sat","Sun")</f>
        <v>Sat</v>
      </c>
      <c r="H2625" t="str">
        <f>IF(WEEKDAY(A2625,2)&gt;5,"Weekend","Weekday")</f>
        <v>Weekend</v>
      </c>
      <c r="I2625" t="str">
        <f>_xlfn.IFS(B2625&lt;=5,"Night (0-5)",B2625&lt;=9,"Morning peak (6-9)",B2625&lt;=15,"Midday (10-15)",B2625&lt;=19,"Evening peak (16-19)",TRUE,"Late evening (20-23)")</f>
        <v>Morning peak (6-9)</v>
      </c>
    </row>
    <row r="2626" spans="1:9">
      <c r="A2626" s="32">
        <v>41839</v>
      </c>
      <c r="B2626">
        <v>8</v>
      </c>
      <c r="C2626">
        <v>612</v>
      </c>
      <c r="D2626" t="s">
        <v>303</v>
      </c>
      <c r="E2626">
        <f>YEAR(A2626)</f>
        <v>2014</v>
      </c>
      <c r="F2626" s="33">
        <f>DATE(YEAR(A2626),MONTH(A2626),1)</f>
        <v>41821.0</v>
      </c>
      <c r="G2626" t="str">
        <f>CHOOSE(WEEKDAY(A2626,2),"Mon","Tue","Wed","Thu","Fri","Sat","Sun")</f>
        <v>Sat</v>
      </c>
      <c r="H2626" t="str">
        <f>IF(WEEKDAY(A2626,2)&gt;5,"Weekend","Weekday")</f>
        <v>Weekend</v>
      </c>
      <c r="I2626" t="str">
        <f>_xlfn.IFS(B2626&lt;=5,"Night (0-5)",B2626&lt;=9,"Morning peak (6-9)",B2626&lt;=15,"Midday (10-15)",B2626&lt;=19,"Evening peak (16-19)",TRUE,"Late evening (20-23)")</f>
        <v>Morning peak (6-9)</v>
      </c>
    </row>
    <row r="2627" spans="1:9">
      <c r="A2627" s="32">
        <v>41839</v>
      </c>
      <c r="B2627">
        <v>9</v>
      </c>
      <c r="C2627">
        <v>742</v>
      </c>
      <c r="D2627" t="s">
        <v>303</v>
      </c>
      <c r="E2627">
        <f>YEAR(A2627)</f>
        <v>2014</v>
      </c>
      <c r="F2627" s="33">
        <f>DATE(YEAR(A2627),MONTH(A2627),1)</f>
        <v>41821.0</v>
      </c>
      <c r="G2627" t="str">
        <f>CHOOSE(WEEKDAY(A2627,2),"Mon","Tue","Wed","Thu","Fri","Sat","Sun")</f>
        <v>Sat</v>
      </c>
      <c r="H2627" t="str">
        <f>IF(WEEKDAY(A2627,2)&gt;5,"Weekend","Weekday")</f>
        <v>Weekend</v>
      </c>
      <c r="I2627" t="str">
        <f>_xlfn.IFS(B2627&lt;=5,"Night (0-5)",B2627&lt;=9,"Morning peak (6-9)",B2627&lt;=15,"Midday (10-15)",B2627&lt;=19,"Evening peak (16-19)",TRUE,"Late evening (20-23)")</f>
        <v>Morning peak (6-9)</v>
      </c>
    </row>
    <row r="2628" spans="1:9">
      <c r="A2628" s="32">
        <v>41839</v>
      </c>
      <c r="B2628">
        <v>10</v>
      </c>
      <c r="C2628">
        <v>941</v>
      </c>
      <c r="D2628" t="s">
        <v>303</v>
      </c>
      <c r="E2628">
        <f>YEAR(A2628)</f>
        <v>2014</v>
      </c>
      <c r="F2628" s="33">
        <f>DATE(YEAR(A2628),MONTH(A2628),1)</f>
        <v>41821.0</v>
      </c>
      <c r="G2628" t="str">
        <f>CHOOSE(WEEKDAY(A2628,2),"Mon","Tue","Wed","Thu","Fri","Sat","Sun")</f>
        <v>Sat</v>
      </c>
      <c r="H2628" t="str">
        <f>IF(WEEKDAY(A2628,2)&gt;5,"Weekend","Weekday")</f>
        <v>Weekend</v>
      </c>
      <c r="I2628" t="str">
        <f>_xlfn.IFS(B2628&lt;=5,"Night (0-5)",B2628&lt;=9,"Morning peak (6-9)",B2628&lt;=15,"Midday (10-15)",B2628&lt;=19,"Evening peak (16-19)",TRUE,"Late evening (20-23)")</f>
        <v>Midday (10-15)</v>
      </c>
    </row>
    <row r="2629" spans="1:9">
      <c r="A2629" s="32">
        <v>41839</v>
      </c>
      <c r="B2629">
        <v>11</v>
      </c>
      <c r="C2629">
        <v>999</v>
      </c>
      <c r="D2629" t="s">
        <v>303</v>
      </c>
      <c r="E2629">
        <f>YEAR(A2629)</f>
        <v>2014</v>
      </c>
      <c r="F2629" s="33">
        <f>DATE(YEAR(A2629),MONTH(A2629),1)</f>
        <v>41821.0</v>
      </c>
      <c r="G2629" t="str">
        <f>CHOOSE(WEEKDAY(A2629,2),"Mon","Tue","Wed","Thu","Fri","Sat","Sun")</f>
        <v>Sat</v>
      </c>
      <c r="H2629" t="str">
        <f>IF(WEEKDAY(A2629,2)&gt;5,"Weekend","Weekday")</f>
        <v>Weekend</v>
      </c>
      <c r="I2629" t="str">
        <f>_xlfn.IFS(B2629&lt;=5,"Night (0-5)",B2629&lt;=9,"Morning peak (6-9)",B2629&lt;=15,"Midday (10-15)",B2629&lt;=19,"Evening peak (16-19)",TRUE,"Late evening (20-23)")</f>
        <v>Midday (10-15)</v>
      </c>
    </row>
    <row r="2630" spans="1:9">
      <c r="A2630" s="32">
        <v>41839</v>
      </c>
      <c r="B2630">
        <v>12</v>
      </c>
      <c r="C2630">
        <v>1046</v>
      </c>
      <c r="D2630" t="s">
        <v>303</v>
      </c>
      <c r="E2630">
        <f>YEAR(A2630)</f>
        <v>2014</v>
      </c>
      <c r="F2630" s="33">
        <f>DATE(YEAR(A2630),MONTH(A2630),1)</f>
        <v>41821.0</v>
      </c>
      <c r="G2630" t="str">
        <f>CHOOSE(WEEKDAY(A2630,2),"Mon","Tue","Wed","Thu","Fri","Sat","Sun")</f>
        <v>Sat</v>
      </c>
      <c r="H2630" t="str">
        <f>IF(WEEKDAY(A2630,2)&gt;5,"Weekend","Weekday")</f>
        <v>Weekend</v>
      </c>
      <c r="I2630" t="str">
        <f>_xlfn.IFS(B2630&lt;=5,"Night (0-5)",B2630&lt;=9,"Morning peak (6-9)",B2630&lt;=15,"Midday (10-15)",B2630&lt;=19,"Evening peak (16-19)",TRUE,"Late evening (20-23)")</f>
        <v>Midday (10-15)</v>
      </c>
    </row>
    <row r="2631" spans="1:9">
      <c r="A2631" s="32">
        <v>41839</v>
      </c>
      <c r="B2631">
        <v>13</v>
      </c>
      <c r="C2631">
        <v>1011</v>
      </c>
      <c r="D2631" t="s">
        <v>303</v>
      </c>
      <c r="E2631">
        <f>YEAR(A2631)</f>
        <v>2014</v>
      </c>
      <c r="F2631" s="33">
        <f>DATE(YEAR(A2631),MONTH(A2631),1)</f>
        <v>41821.0</v>
      </c>
      <c r="G2631" t="str">
        <f>CHOOSE(WEEKDAY(A2631,2),"Mon","Tue","Wed","Thu","Fri","Sat","Sun")</f>
        <v>Sat</v>
      </c>
      <c r="H2631" t="str">
        <f>IF(WEEKDAY(A2631,2)&gt;5,"Weekend","Weekday")</f>
        <v>Weekend</v>
      </c>
      <c r="I2631" t="str">
        <f>_xlfn.IFS(B2631&lt;=5,"Night (0-5)",B2631&lt;=9,"Morning peak (6-9)",B2631&lt;=15,"Midday (10-15)",B2631&lt;=19,"Evening peak (16-19)",TRUE,"Late evening (20-23)")</f>
        <v>Midday (10-15)</v>
      </c>
    </row>
    <row r="2632" spans="1:9">
      <c r="A2632" s="32">
        <v>41839</v>
      </c>
      <c r="B2632">
        <v>14</v>
      </c>
      <c r="C2632">
        <v>1186</v>
      </c>
      <c r="D2632" t="s">
        <v>303</v>
      </c>
      <c r="E2632">
        <f>YEAR(A2632)</f>
        <v>2014</v>
      </c>
      <c r="F2632" s="33">
        <f>DATE(YEAR(A2632),MONTH(A2632),1)</f>
        <v>41821.0</v>
      </c>
      <c r="G2632" t="str">
        <f>CHOOSE(WEEKDAY(A2632,2),"Mon","Tue","Wed","Thu","Fri","Sat","Sun")</f>
        <v>Sat</v>
      </c>
      <c r="H2632" t="str">
        <f>IF(WEEKDAY(A2632,2)&gt;5,"Weekend","Weekday")</f>
        <v>Weekend</v>
      </c>
      <c r="I2632" t="str">
        <f>_xlfn.IFS(B2632&lt;=5,"Night (0-5)",B2632&lt;=9,"Morning peak (6-9)",B2632&lt;=15,"Midday (10-15)",B2632&lt;=19,"Evening peak (16-19)",TRUE,"Late evening (20-23)")</f>
        <v>Midday (10-15)</v>
      </c>
    </row>
    <row r="2633" spans="1:9">
      <c r="A2633" s="32">
        <v>41839</v>
      </c>
      <c r="B2633">
        <v>15</v>
      </c>
      <c r="C2633">
        <v>1375</v>
      </c>
      <c r="D2633" t="s">
        <v>303</v>
      </c>
      <c r="E2633">
        <f>YEAR(A2633)</f>
        <v>2014</v>
      </c>
      <c r="F2633" s="33">
        <f>DATE(YEAR(A2633),MONTH(A2633),1)</f>
        <v>41821.0</v>
      </c>
      <c r="G2633" t="str">
        <f>CHOOSE(WEEKDAY(A2633,2),"Mon","Tue","Wed","Thu","Fri","Sat","Sun")</f>
        <v>Sat</v>
      </c>
      <c r="H2633" t="str">
        <f>IF(WEEKDAY(A2633,2)&gt;5,"Weekend","Weekday")</f>
        <v>Weekend</v>
      </c>
      <c r="I2633" t="str">
        <f>_xlfn.IFS(B2633&lt;=5,"Night (0-5)",B2633&lt;=9,"Morning peak (6-9)",B2633&lt;=15,"Midday (10-15)",B2633&lt;=19,"Evening peak (16-19)",TRUE,"Late evening (20-23)")</f>
        <v>Midday (10-15)</v>
      </c>
    </row>
    <row r="2634" spans="1:9">
      <c r="A2634" s="32">
        <v>41839</v>
      </c>
      <c r="B2634">
        <v>16</v>
      </c>
      <c r="C2634">
        <v>1522</v>
      </c>
      <c r="D2634" t="s">
        <v>303</v>
      </c>
      <c r="E2634">
        <f>YEAR(A2634)</f>
        <v>2014</v>
      </c>
      <c r="F2634" s="33">
        <f>DATE(YEAR(A2634),MONTH(A2634),1)</f>
        <v>41821.0</v>
      </c>
      <c r="G2634" t="str">
        <f>CHOOSE(WEEKDAY(A2634,2),"Mon","Tue","Wed","Thu","Fri","Sat","Sun")</f>
        <v>Sat</v>
      </c>
      <c r="H2634" t="str">
        <f>IF(WEEKDAY(A2634,2)&gt;5,"Weekend","Weekday")</f>
        <v>Weekend</v>
      </c>
      <c r="I2634" t="str">
        <f>_xlfn.IFS(B2634&lt;=5,"Night (0-5)",B2634&lt;=9,"Morning peak (6-9)",B2634&lt;=15,"Midday (10-15)",B2634&lt;=19,"Evening peak (16-19)",TRUE,"Late evening (20-23)")</f>
        <v>Evening peak (16-19)</v>
      </c>
    </row>
    <row r="2635" spans="1:9">
      <c r="A2635" s="32">
        <v>41839</v>
      </c>
      <c r="B2635">
        <v>17</v>
      </c>
      <c r="C2635">
        <v>1527</v>
      </c>
      <c r="D2635" t="s">
        <v>303</v>
      </c>
      <c r="E2635">
        <f>YEAR(A2635)</f>
        <v>2014</v>
      </c>
      <c r="F2635" s="33">
        <f>DATE(YEAR(A2635),MONTH(A2635),1)</f>
        <v>41821.0</v>
      </c>
      <c r="G2635" t="str">
        <f>CHOOSE(WEEKDAY(A2635,2),"Mon","Tue","Wed","Thu","Fri","Sat","Sun")</f>
        <v>Sat</v>
      </c>
      <c r="H2635" t="str">
        <f>IF(WEEKDAY(A2635,2)&gt;5,"Weekend","Weekday")</f>
        <v>Weekend</v>
      </c>
      <c r="I2635" t="str">
        <f>_xlfn.IFS(B2635&lt;=5,"Night (0-5)",B2635&lt;=9,"Morning peak (6-9)",B2635&lt;=15,"Midday (10-15)",B2635&lt;=19,"Evening peak (16-19)",TRUE,"Late evening (20-23)")</f>
        <v>Evening peak (16-19)</v>
      </c>
    </row>
    <row r="2636" spans="1:9">
      <c r="A2636" s="32">
        <v>41839</v>
      </c>
      <c r="B2636">
        <v>18</v>
      </c>
      <c r="C2636">
        <v>1683</v>
      </c>
      <c r="D2636" t="s">
        <v>303</v>
      </c>
      <c r="E2636">
        <f>YEAR(A2636)</f>
        <v>2014</v>
      </c>
      <c r="F2636" s="33">
        <f>DATE(YEAR(A2636),MONTH(A2636),1)</f>
        <v>41821.0</v>
      </c>
      <c r="G2636" t="str">
        <f>CHOOSE(WEEKDAY(A2636,2),"Mon","Tue","Wed","Thu","Fri","Sat","Sun")</f>
        <v>Sat</v>
      </c>
      <c r="H2636" t="str">
        <f>IF(WEEKDAY(A2636,2)&gt;5,"Weekend","Weekday")</f>
        <v>Weekend</v>
      </c>
      <c r="I2636" t="str">
        <f>_xlfn.IFS(B2636&lt;=5,"Night (0-5)",B2636&lt;=9,"Morning peak (6-9)",B2636&lt;=15,"Midday (10-15)",B2636&lt;=19,"Evening peak (16-19)",TRUE,"Late evening (20-23)")</f>
        <v>Evening peak (16-19)</v>
      </c>
    </row>
    <row r="2637" spans="1:9">
      <c r="A2637" s="32">
        <v>41839</v>
      </c>
      <c r="B2637">
        <v>19</v>
      </c>
      <c r="C2637">
        <v>1385</v>
      </c>
      <c r="D2637" t="s">
        <v>303</v>
      </c>
      <c r="E2637">
        <f>YEAR(A2637)</f>
        <v>2014</v>
      </c>
      <c r="F2637" s="33">
        <f>DATE(YEAR(A2637),MONTH(A2637),1)</f>
        <v>41821.0</v>
      </c>
      <c r="G2637" t="str">
        <f>CHOOSE(WEEKDAY(A2637,2),"Mon","Tue","Wed","Thu","Fri","Sat","Sun")</f>
        <v>Sat</v>
      </c>
      <c r="H2637" t="str">
        <f>IF(WEEKDAY(A2637,2)&gt;5,"Weekend","Weekday")</f>
        <v>Weekend</v>
      </c>
      <c r="I2637" t="str">
        <f>_xlfn.IFS(B2637&lt;=5,"Night (0-5)",B2637&lt;=9,"Morning peak (6-9)",B2637&lt;=15,"Midday (10-15)",B2637&lt;=19,"Evening peak (16-19)",TRUE,"Late evening (20-23)")</f>
        <v>Evening peak (16-19)</v>
      </c>
    </row>
    <row r="2638" spans="1:9">
      <c r="A2638" s="32">
        <v>41839</v>
      </c>
      <c r="B2638">
        <v>20</v>
      </c>
      <c r="C2638">
        <v>1525</v>
      </c>
      <c r="D2638" t="s">
        <v>303</v>
      </c>
      <c r="E2638">
        <f>YEAR(A2638)</f>
        <v>2014</v>
      </c>
      <c r="F2638" s="33">
        <f>DATE(YEAR(A2638),MONTH(A2638),1)</f>
        <v>41821.0</v>
      </c>
      <c r="G2638" t="str">
        <f>CHOOSE(WEEKDAY(A2638,2),"Mon","Tue","Wed","Thu","Fri","Sat","Sun")</f>
        <v>Sat</v>
      </c>
      <c r="H2638" t="str">
        <f>IF(WEEKDAY(A2638,2)&gt;5,"Weekend","Weekday")</f>
        <v>Weekend</v>
      </c>
      <c r="I2638" t="str">
        <f>_xlfn.IFS(B2638&lt;=5,"Night (0-5)",B2638&lt;=9,"Morning peak (6-9)",B2638&lt;=15,"Midday (10-15)",B2638&lt;=19,"Evening peak (16-19)",TRUE,"Late evening (20-23)")</f>
        <v>Late evening (20-23)</v>
      </c>
    </row>
    <row r="2639" spans="1:9">
      <c r="A2639" s="32">
        <v>41839</v>
      </c>
      <c r="B2639">
        <v>21</v>
      </c>
      <c r="C2639">
        <v>1721</v>
      </c>
      <c r="D2639" t="s">
        <v>303</v>
      </c>
      <c r="E2639">
        <f>YEAR(A2639)</f>
        <v>2014</v>
      </c>
      <c r="F2639" s="33">
        <f>DATE(YEAR(A2639),MONTH(A2639),1)</f>
        <v>41821.0</v>
      </c>
      <c r="G2639" t="str">
        <f>CHOOSE(WEEKDAY(A2639,2),"Mon","Tue","Wed","Thu","Fri","Sat","Sun")</f>
        <v>Sat</v>
      </c>
      <c r="H2639" t="str">
        <f>IF(WEEKDAY(A2639,2)&gt;5,"Weekend","Weekday")</f>
        <v>Weekend</v>
      </c>
      <c r="I2639" t="str">
        <f>_xlfn.IFS(B2639&lt;=5,"Night (0-5)",B2639&lt;=9,"Morning peak (6-9)",B2639&lt;=15,"Midday (10-15)",B2639&lt;=19,"Evening peak (16-19)",TRUE,"Late evening (20-23)")</f>
        <v>Late evening (20-23)</v>
      </c>
    </row>
    <row r="2640" spans="1:9">
      <c r="A2640" s="32">
        <v>41839</v>
      </c>
      <c r="B2640">
        <v>22</v>
      </c>
      <c r="C2640">
        <v>1893</v>
      </c>
      <c r="D2640" t="s">
        <v>303</v>
      </c>
      <c r="E2640">
        <f>YEAR(A2640)</f>
        <v>2014</v>
      </c>
      <c r="F2640" s="33">
        <f>DATE(YEAR(A2640),MONTH(A2640),1)</f>
        <v>41821.0</v>
      </c>
      <c r="G2640" t="str">
        <f>CHOOSE(WEEKDAY(A2640,2),"Mon","Tue","Wed","Thu","Fri","Sat","Sun")</f>
        <v>Sat</v>
      </c>
      <c r="H2640" t="str">
        <f>IF(WEEKDAY(A2640,2)&gt;5,"Weekend","Weekday")</f>
        <v>Weekend</v>
      </c>
      <c r="I2640" t="str">
        <f>_xlfn.IFS(B2640&lt;=5,"Night (0-5)",B2640&lt;=9,"Morning peak (6-9)",B2640&lt;=15,"Midday (10-15)",B2640&lt;=19,"Evening peak (16-19)",TRUE,"Late evening (20-23)")</f>
        <v>Late evening (20-23)</v>
      </c>
    </row>
    <row r="2641" spans="1:9">
      <c r="A2641" s="32">
        <v>41839</v>
      </c>
      <c r="B2641">
        <v>23</v>
      </c>
      <c r="C2641">
        <v>1629</v>
      </c>
      <c r="D2641" t="s">
        <v>303</v>
      </c>
      <c r="E2641">
        <f>YEAR(A2641)</f>
        <v>2014</v>
      </c>
      <c r="F2641" s="33">
        <f>DATE(YEAR(A2641),MONTH(A2641),1)</f>
        <v>41821.0</v>
      </c>
      <c r="G2641" t="str">
        <f>CHOOSE(WEEKDAY(A2641,2),"Mon","Tue","Wed","Thu","Fri","Sat","Sun")</f>
        <v>Sat</v>
      </c>
      <c r="H2641" t="str">
        <f>IF(WEEKDAY(A2641,2)&gt;5,"Weekend","Weekday")</f>
        <v>Weekend</v>
      </c>
      <c r="I2641" t="str">
        <f>_xlfn.IFS(B2641&lt;=5,"Night (0-5)",B2641&lt;=9,"Morning peak (6-9)",B2641&lt;=15,"Midday (10-15)",B2641&lt;=19,"Evening peak (16-19)",TRUE,"Late evening (20-23)")</f>
        <v>Late evening (20-23)</v>
      </c>
    </row>
    <row r="2642" spans="1:9">
      <c r="A2642" s="32">
        <v>41840</v>
      </c>
      <c r="B2642">
        <v>0</v>
      </c>
      <c r="C2642">
        <v>1353</v>
      </c>
      <c r="D2642" t="s">
        <v>303</v>
      </c>
      <c r="E2642">
        <f>YEAR(A2642)</f>
        <v>2014</v>
      </c>
      <c r="F2642" s="33">
        <f>DATE(YEAR(A2642),MONTH(A2642),1)</f>
        <v>41821.0</v>
      </c>
      <c r="G2642" t="str">
        <f>CHOOSE(WEEKDAY(A2642,2),"Mon","Tue","Wed","Thu","Fri","Sat","Sun")</f>
        <v>Sun</v>
      </c>
      <c r="H2642" t="str">
        <f>IF(WEEKDAY(A2642,2)&gt;5,"Weekend","Weekday")</f>
        <v>Weekend</v>
      </c>
      <c r="I2642" t="str">
        <f>_xlfn.IFS(B2642&lt;=5,"Night (0-5)",B2642&lt;=9,"Morning peak (6-9)",B2642&lt;=15,"Midday (10-15)",B2642&lt;=19,"Evening peak (16-19)",TRUE,"Late evening (20-23)")</f>
        <v>Night (0-5)</v>
      </c>
    </row>
    <row r="2643" spans="1:9">
      <c r="A2643" s="32">
        <v>41840</v>
      </c>
      <c r="B2643">
        <v>1</v>
      </c>
      <c r="C2643">
        <v>1065</v>
      </c>
      <c r="D2643" t="s">
        <v>303</v>
      </c>
      <c r="E2643">
        <f>YEAR(A2643)</f>
        <v>2014</v>
      </c>
      <c r="F2643" s="33">
        <f>DATE(YEAR(A2643),MONTH(A2643),1)</f>
        <v>41821.0</v>
      </c>
      <c r="G2643" t="str">
        <f>CHOOSE(WEEKDAY(A2643,2),"Mon","Tue","Wed","Thu","Fri","Sat","Sun")</f>
        <v>Sun</v>
      </c>
      <c r="H2643" t="str">
        <f>IF(WEEKDAY(A2643,2)&gt;5,"Weekend","Weekday")</f>
        <v>Weekend</v>
      </c>
      <c r="I2643" t="str">
        <f>_xlfn.IFS(B2643&lt;=5,"Night (0-5)",B2643&lt;=9,"Morning peak (6-9)",B2643&lt;=15,"Midday (10-15)",B2643&lt;=19,"Evening peak (16-19)",TRUE,"Late evening (20-23)")</f>
        <v>Night (0-5)</v>
      </c>
    </row>
    <row r="2644" spans="1:9">
      <c r="A2644" s="32">
        <v>41840</v>
      </c>
      <c r="B2644">
        <v>2</v>
      </c>
      <c r="C2644">
        <v>764</v>
      </c>
      <c r="D2644" t="s">
        <v>303</v>
      </c>
      <c r="E2644">
        <f>YEAR(A2644)</f>
        <v>2014</v>
      </c>
      <c r="F2644" s="33">
        <f>DATE(YEAR(A2644),MONTH(A2644),1)</f>
        <v>41821.0</v>
      </c>
      <c r="G2644" t="str">
        <f>CHOOSE(WEEKDAY(A2644,2),"Mon","Tue","Wed","Thu","Fri","Sat","Sun")</f>
        <v>Sun</v>
      </c>
      <c r="H2644" t="str">
        <f>IF(WEEKDAY(A2644,2)&gt;5,"Weekend","Weekday")</f>
        <v>Weekend</v>
      </c>
      <c r="I2644" t="str">
        <f>_xlfn.IFS(B2644&lt;=5,"Night (0-5)",B2644&lt;=9,"Morning peak (6-9)",B2644&lt;=15,"Midday (10-15)",B2644&lt;=19,"Evening peak (16-19)",TRUE,"Late evening (20-23)")</f>
        <v>Night (0-5)</v>
      </c>
    </row>
    <row r="2645" spans="1:9">
      <c r="A2645" s="32">
        <v>41840</v>
      </c>
      <c r="B2645">
        <v>3</v>
      </c>
      <c r="C2645">
        <v>562</v>
      </c>
      <c r="D2645" t="s">
        <v>303</v>
      </c>
      <c r="E2645">
        <f>YEAR(A2645)</f>
        <v>2014</v>
      </c>
      <c r="F2645" s="33">
        <f>DATE(YEAR(A2645),MONTH(A2645),1)</f>
        <v>41821.0</v>
      </c>
      <c r="G2645" t="str">
        <f>CHOOSE(WEEKDAY(A2645,2),"Mon","Tue","Wed","Thu","Fri","Sat","Sun")</f>
        <v>Sun</v>
      </c>
      <c r="H2645" t="str">
        <f>IF(WEEKDAY(A2645,2)&gt;5,"Weekend","Weekday")</f>
        <v>Weekend</v>
      </c>
      <c r="I2645" t="str">
        <f>_xlfn.IFS(B2645&lt;=5,"Night (0-5)",B2645&lt;=9,"Morning peak (6-9)",B2645&lt;=15,"Midday (10-15)",B2645&lt;=19,"Evening peak (16-19)",TRUE,"Late evening (20-23)")</f>
        <v>Night (0-5)</v>
      </c>
    </row>
    <row r="2646" spans="1:9">
      <c r="A2646" s="32">
        <v>41840</v>
      </c>
      <c r="B2646">
        <v>4</v>
      </c>
      <c r="C2646">
        <v>268</v>
      </c>
      <c r="D2646" t="s">
        <v>303</v>
      </c>
      <c r="E2646">
        <f>YEAR(A2646)</f>
        <v>2014</v>
      </c>
      <c r="F2646" s="33">
        <f>DATE(YEAR(A2646),MONTH(A2646),1)</f>
        <v>41821.0</v>
      </c>
      <c r="G2646" t="str">
        <f>CHOOSE(WEEKDAY(A2646,2),"Mon","Tue","Wed","Thu","Fri","Sat","Sun")</f>
        <v>Sun</v>
      </c>
      <c r="H2646" t="str">
        <f>IF(WEEKDAY(A2646,2)&gt;5,"Weekend","Weekday")</f>
        <v>Weekend</v>
      </c>
      <c r="I2646" t="str">
        <f>_xlfn.IFS(B2646&lt;=5,"Night (0-5)",B2646&lt;=9,"Morning peak (6-9)",B2646&lt;=15,"Midday (10-15)",B2646&lt;=19,"Evening peak (16-19)",TRUE,"Late evening (20-23)")</f>
        <v>Night (0-5)</v>
      </c>
    </row>
    <row r="2647" spans="1:9">
      <c r="A2647" s="32">
        <v>41840</v>
      </c>
      <c r="B2647">
        <v>5</v>
      </c>
      <c r="C2647">
        <v>258</v>
      </c>
      <c r="D2647" t="s">
        <v>303</v>
      </c>
      <c r="E2647">
        <f>YEAR(A2647)</f>
        <v>2014</v>
      </c>
      <c r="F2647" s="33">
        <f>DATE(YEAR(A2647),MONTH(A2647),1)</f>
        <v>41821.0</v>
      </c>
      <c r="G2647" t="str">
        <f>CHOOSE(WEEKDAY(A2647,2),"Mon","Tue","Wed","Thu","Fri","Sat","Sun")</f>
        <v>Sun</v>
      </c>
      <c r="H2647" t="str">
        <f>IF(WEEKDAY(A2647,2)&gt;5,"Weekend","Weekday")</f>
        <v>Weekend</v>
      </c>
      <c r="I2647" t="str">
        <f>_xlfn.IFS(B2647&lt;=5,"Night (0-5)",B2647&lt;=9,"Morning peak (6-9)",B2647&lt;=15,"Midday (10-15)",B2647&lt;=19,"Evening peak (16-19)",TRUE,"Late evening (20-23)")</f>
        <v>Night (0-5)</v>
      </c>
    </row>
    <row r="2648" spans="1:9">
      <c r="A2648" s="32">
        <v>41840</v>
      </c>
      <c r="B2648">
        <v>6</v>
      </c>
      <c r="C2648">
        <v>285</v>
      </c>
      <c r="D2648" t="s">
        <v>303</v>
      </c>
      <c r="E2648">
        <f>YEAR(A2648)</f>
        <v>2014</v>
      </c>
      <c r="F2648" s="33">
        <f>DATE(YEAR(A2648),MONTH(A2648),1)</f>
        <v>41821.0</v>
      </c>
      <c r="G2648" t="str">
        <f>CHOOSE(WEEKDAY(A2648,2),"Mon","Tue","Wed","Thu","Fri","Sat","Sun")</f>
        <v>Sun</v>
      </c>
      <c r="H2648" t="str">
        <f>IF(WEEKDAY(A2648,2)&gt;5,"Weekend","Weekday")</f>
        <v>Weekend</v>
      </c>
      <c r="I2648" t="str">
        <f>_xlfn.IFS(B2648&lt;=5,"Night (0-5)",B2648&lt;=9,"Morning peak (6-9)",B2648&lt;=15,"Midday (10-15)",B2648&lt;=19,"Evening peak (16-19)",TRUE,"Late evening (20-23)")</f>
        <v>Morning peak (6-9)</v>
      </c>
    </row>
    <row r="2649" spans="1:9">
      <c r="A2649" s="32">
        <v>41840</v>
      </c>
      <c r="B2649">
        <v>7</v>
      </c>
      <c r="C2649">
        <v>390</v>
      </c>
      <c r="D2649" t="s">
        <v>303</v>
      </c>
      <c r="E2649">
        <f>YEAR(A2649)</f>
        <v>2014</v>
      </c>
      <c r="F2649" s="33">
        <f>DATE(YEAR(A2649),MONTH(A2649),1)</f>
        <v>41821.0</v>
      </c>
      <c r="G2649" t="str">
        <f>CHOOSE(WEEKDAY(A2649,2),"Mon","Tue","Wed","Thu","Fri","Sat","Sun")</f>
        <v>Sun</v>
      </c>
      <c r="H2649" t="str">
        <f>IF(WEEKDAY(A2649,2)&gt;5,"Weekend","Weekday")</f>
        <v>Weekend</v>
      </c>
      <c r="I2649" t="str">
        <f>_xlfn.IFS(B2649&lt;=5,"Night (0-5)",B2649&lt;=9,"Morning peak (6-9)",B2649&lt;=15,"Midday (10-15)",B2649&lt;=19,"Evening peak (16-19)",TRUE,"Late evening (20-23)")</f>
        <v>Morning peak (6-9)</v>
      </c>
    </row>
    <row r="2650" spans="1:9">
      <c r="A2650" s="32">
        <v>41840</v>
      </c>
      <c r="B2650">
        <v>8</v>
      </c>
      <c r="C2650">
        <v>514</v>
      </c>
      <c r="D2650" t="s">
        <v>303</v>
      </c>
      <c r="E2650">
        <f>YEAR(A2650)</f>
        <v>2014</v>
      </c>
      <c r="F2650" s="33">
        <f>DATE(YEAR(A2650),MONTH(A2650),1)</f>
        <v>41821.0</v>
      </c>
      <c r="G2650" t="str">
        <f>CHOOSE(WEEKDAY(A2650,2),"Mon","Tue","Wed","Thu","Fri","Sat","Sun")</f>
        <v>Sun</v>
      </c>
      <c r="H2650" t="str">
        <f>IF(WEEKDAY(A2650,2)&gt;5,"Weekend","Weekday")</f>
        <v>Weekend</v>
      </c>
      <c r="I2650" t="str">
        <f>_xlfn.IFS(B2650&lt;=5,"Night (0-5)",B2650&lt;=9,"Morning peak (6-9)",B2650&lt;=15,"Midday (10-15)",B2650&lt;=19,"Evening peak (16-19)",TRUE,"Late evening (20-23)")</f>
        <v>Morning peak (6-9)</v>
      </c>
    </row>
    <row r="2651" spans="1:9">
      <c r="A2651" s="32">
        <v>41840</v>
      </c>
      <c r="B2651">
        <v>9</v>
      </c>
      <c r="C2651">
        <v>727</v>
      </c>
      <c r="D2651" t="s">
        <v>303</v>
      </c>
      <c r="E2651">
        <f>YEAR(A2651)</f>
        <v>2014</v>
      </c>
      <c r="F2651" s="33">
        <f>DATE(YEAR(A2651),MONTH(A2651),1)</f>
        <v>41821.0</v>
      </c>
      <c r="G2651" t="str">
        <f>CHOOSE(WEEKDAY(A2651,2),"Mon","Tue","Wed","Thu","Fri","Sat","Sun")</f>
        <v>Sun</v>
      </c>
      <c r="H2651" t="str">
        <f>IF(WEEKDAY(A2651,2)&gt;5,"Weekend","Weekday")</f>
        <v>Weekend</v>
      </c>
      <c r="I2651" t="str">
        <f>_xlfn.IFS(B2651&lt;=5,"Night (0-5)",B2651&lt;=9,"Morning peak (6-9)",B2651&lt;=15,"Midday (10-15)",B2651&lt;=19,"Evening peak (16-19)",TRUE,"Late evening (20-23)")</f>
        <v>Morning peak (6-9)</v>
      </c>
    </row>
    <row r="2652" spans="1:9">
      <c r="A2652" s="32">
        <v>41840</v>
      </c>
      <c r="B2652">
        <v>10</v>
      </c>
      <c r="C2652">
        <v>868</v>
      </c>
      <c r="D2652" t="s">
        <v>303</v>
      </c>
      <c r="E2652">
        <f>YEAR(A2652)</f>
        <v>2014</v>
      </c>
      <c r="F2652" s="33">
        <f>DATE(YEAR(A2652),MONTH(A2652),1)</f>
        <v>41821.0</v>
      </c>
      <c r="G2652" t="str">
        <f>CHOOSE(WEEKDAY(A2652,2),"Mon","Tue","Wed","Thu","Fri","Sat","Sun")</f>
        <v>Sun</v>
      </c>
      <c r="H2652" t="str">
        <f>IF(WEEKDAY(A2652,2)&gt;5,"Weekend","Weekday")</f>
        <v>Weekend</v>
      </c>
      <c r="I2652" t="str">
        <f>_xlfn.IFS(B2652&lt;=5,"Night (0-5)",B2652&lt;=9,"Morning peak (6-9)",B2652&lt;=15,"Midday (10-15)",B2652&lt;=19,"Evening peak (16-19)",TRUE,"Late evening (20-23)")</f>
        <v>Midday (10-15)</v>
      </c>
    </row>
    <row r="2653" spans="1:9">
      <c r="A2653" s="32">
        <v>41840</v>
      </c>
      <c r="B2653">
        <v>11</v>
      </c>
      <c r="C2653">
        <v>1054</v>
      </c>
      <c r="D2653" t="s">
        <v>303</v>
      </c>
      <c r="E2653">
        <f>YEAR(A2653)</f>
        <v>2014</v>
      </c>
      <c r="F2653" s="33">
        <f>DATE(YEAR(A2653),MONTH(A2653),1)</f>
        <v>41821.0</v>
      </c>
      <c r="G2653" t="str">
        <f>CHOOSE(WEEKDAY(A2653,2),"Mon","Tue","Wed","Thu","Fri","Sat","Sun")</f>
        <v>Sun</v>
      </c>
      <c r="H2653" t="str">
        <f>IF(WEEKDAY(A2653,2)&gt;5,"Weekend","Weekday")</f>
        <v>Weekend</v>
      </c>
      <c r="I2653" t="str">
        <f>_xlfn.IFS(B2653&lt;=5,"Night (0-5)",B2653&lt;=9,"Morning peak (6-9)",B2653&lt;=15,"Midday (10-15)",B2653&lt;=19,"Evening peak (16-19)",TRUE,"Late evening (20-23)")</f>
        <v>Midday (10-15)</v>
      </c>
    </row>
    <row r="2654" spans="1:9">
      <c r="A2654" s="32">
        <v>41840</v>
      </c>
      <c r="B2654">
        <v>12</v>
      </c>
      <c r="C2654">
        <v>995</v>
      </c>
      <c r="D2654" t="s">
        <v>303</v>
      </c>
      <c r="E2654">
        <f>YEAR(A2654)</f>
        <v>2014</v>
      </c>
      <c r="F2654" s="33">
        <f>DATE(YEAR(A2654),MONTH(A2654),1)</f>
        <v>41821.0</v>
      </c>
      <c r="G2654" t="str">
        <f>CHOOSE(WEEKDAY(A2654,2),"Mon","Tue","Wed","Thu","Fri","Sat","Sun")</f>
        <v>Sun</v>
      </c>
      <c r="H2654" t="str">
        <f>IF(WEEKDAY(A2654,2)&gt;5,"Weekend","Weekday")</f>
        <v>Weekend</v>
      </c>
      <c r="I2654" t="str">
        <f>_xlfn.IFS(B2654&lt;=5,"Night (0-5)",B2654&lt;=9,"Morning peak (6-9)",B2654&lt;=15,"Midday (10-15)",B2654&lt;=19,"Evening peak (16-19)",TRUE,"Late evening (20-23)")</f>
        <v>Midday (10-15)</v>
      </c>
    </row>
    <row r="2655" spans="1:9">
      <c r="A2655" s="32">
        <v>41840</v>
      </c>
      <c r="B2655">
        <v>13</v>
      </c>
      <c r="C2655">
        <v>1194</v>
      </c>
      <c r="D2655" t="s">
        <v>303</v>
      </c>
      <c r="E2655">
        <f>YEAR(A2655)</f>
        <v>2014</v>
      </c>
      <c r="F2655" s="33">
        <f>DATE(YEAR(A2655),MONTH(A2655),1)</f>
        <v>41821.0</v>
      </c>
      <c r="G2655" t="str">
        <f>CHOOSE(WEEKDAY(A2655,2),"Mon","Tue","Wed","Thu","Fri","Sat","Sun")</f>
        <v>Sun</v>
      </c>
      <c r="H2655" t="str">
        <f>IF(WEEKDAY(A2655,2)&gt;5,"Weekend","Weekday")</f>
        <v>Weekend</v>
      </c>
      <c r="I2655" t="str">
        <f>_xlfn.IFS(B2655&lt;=5,"Night (0-5)",B2655&lt;=9,"Morning peak (6-9)",B2655&lt;=15,"Midday (10-15)",B2655&lt;=19,"Evening peak (16-19)",TRUE,"Late evening (20-23)")</f>
        <v>Midday (10-15)</v>
      </c>
    </row>
    <row r="2656" spans="1:9">
      <c r="A2656" s="32">
        <v>41840</v>
      </c>
      <c r="B2656">
        <v>14</v>
      </c>
      <c r="C2656">
        <v>1274</v>
      </c>
      <c r="D2656" t="s">
        <v>303</v>
      </c>
      <c r="E2656">
        <f>YEAR(A2656)</f>
        <v>2014</v>
      </c>
      <c r="F2656" s="33">
        <f>DATE(YEAR(A2656),MONTH(A2656),1)</f>
        <v>41821.0</v>
      </c>
      <c r="G2656" t="str">
        <f>CHOOSE(WEEKDAY(A2656,2),"Mon","Tue","Wed","Thu","Fri","Sat","Sun")</f>
        <v>Sun</v>
      </c>
      <c r="H2656" t="str">
        <f>IF(WEEKDAY(A2656,2)&gt;5,"Weekend","Weekday")</f>
        <v>Weekend</v>
      </c>
      <c r="I2656" t="str">
        <f>_xlfn.IFS(B2656&lt;=5,"Night (0-5)",B2656&lt;=9,"Morning peak (6-9)",B2656&lt;=15,"Midday (10-15)",B2656&lt;=19,"Evening peak (16-19)",TRUE,"Late evening (20-23)")</f>
        <v>Midday (10-15)</v>
      </c>
    </row>
    <row r="2657" spans="1:9">
      <c r="A2657" s="32">
        <v>41840</v>
      </c>
      <c r="B2657">
        <v>15</v>
      </c>
      <c r="C2657">
        <v>1303</v>
      </c>
      <c r="D2657" t="s">
        <v>303</v>
      </c>
      <c r="E2657">
        <f>YEAR(A2657)</f>
        <v>2014</v>
      </c>
      <c r="F2657" s="33">
        <f>DATE(YEAR(A2657),MONTH(A2657),1)</f>
        <v>41821.0</v>
      </c>
      <c r="G2657" t="str">
        <f>CHOOSE(WEEKDAY(A2657,2),"Mon","Tue","Wed","Thu","Fri","Sat","Sun")</f>
        <v>Sun</v>
      </c>
      <c r="H2657" t="str">
        <f>IF(WEEKDAY(A2657,2)&gt;5,"Weekend","Weekday")</f>
        <v>Weekend</v>
      </c>
      <c r="I2657" t="str">
        <f>_xlfn.IFS(B2657&lt;=5,"Night (0-5)",B2657&lt;=9,"Morning peak (6-9)",B2657&lt;=15,"Midday (10-15)",B2657&lt;=19,"Evening peak (16-19)",TRUE,"Late evening (20-23)")</f>
        <v>Midday (10-15)</v>
      </c>
    </row>
    <row r="2658" spans="1:9">
      <c r="A2658" s="32">
        <v>41840</v>
      </c>
      <c r="B2658">
        <v>16</v>
      </c>
      <c r="C2658">
        <v>1318</v>
      </c>
      <c r="D2658" t="s">
        <v>303</v>
      </c>
      <c r="E2658">
        <f>YEAR(A2658)</f>
        <v>2014</v>
      </c>
      <c r="F2658" s="33">
        <f>DATE(YEAR(A2658),MONTH(A2658),1)</f>
        <v>41821.0</v>
      </c>
      <c r="G2658" t="str">
        <f>CHOOSE(WEEKDAY(A2658,2),"Mon","Tue","Wed","Thu","Fri","Sat","Sun")</f>
        <v>Sun</v>
      </c>
      <c r="H2658" t="str">
        <f>IF(WEEKDAY(A2658,2)&gt;5,"Weekend","Weekday")</f>
        <v>Weekend</v>
      </c>
      <c r="I2658" t="str">
        <f>_xlfn.IFS(B2658&lt;=5,"Night (0-5)",B2658&lt;=9,"Morning peak (6-9)",B2658&lt;=15,"Midday (10-15)",B2658&lt;=19,"Evening peak (16-19)",TRUE,"Late evening (20-23)")</f>
        <v>Evening peak (16-19)</v>
      </c>
    </row>
    <row r="2659" spans="1:9">
      <c r="A2659" s="32">
        <v>41840</v>
      </c>
      <c r="B2659">
        <v>17</v>
      </c>
      <c r="C2659">
        <v>1393</v>
      </c>
      <c r="D2659" t="s">
        <v>303</v>
      </c>
      <c r="E2659">
        <f>YEAR(A2659)</f>
        <v>2014</v>
      </c>
      <c r="F2659" s="33">
        <f>DATE(YEAR(A2659),MONTH(A2659),1)</f>
        <v>41821.0</v>
      </c>
      <c r="G2659" t="str">
        <f>CHOOSE(WEEKDAY(A2659,2),"Mon","Tue","Wed","Thu","Fri","Sat","Sun")</f>
        <v>Sun</v>
      </c>
      <c r="H2659" t="str">
        <f>IF(WEEKDAY(A2659,2)&gt;5,"Weekend","Weekday")</f>
        <v>Weekend</v>
      </c>
      <c r="I2659" t="str">
        <f>_xlfn.IFS(B2659&lt;=5,"Night (0-5)",B2659&lt;=9,"Morning peak (6-9)",B2659&lt;=15,"Midday (10-15)",B2659&lt;=19,"Evening peak (16-19)",TRUE,"Late evening (20-23)")</f>
        <v>Evening peak (16-19)</v>
      </c>
    </row>
    <row r="2660" spans="1:9">
      <c r="A2660" s="32">
        <v>41840</v>
      </c>
      <c r="B2660">
        <v>18</v>
      </c>
      <c r="C2660">
        <v>1130</v>
      </c>
      <c r="D2660" t="s">
        <v>303</v>
      </c>
      <c r="E2660">
        <f>YEAR(A2660)</f>
        <v>2014</v>
      </c>
      <c r="F2660" s="33">
        <f>DATE(YEAR(A2660),MONTH(A2660),1)</f>
        <v>41821.0</v>
      </c>
      <c r="G2660" t="str">
        <f>CHOOSE(WEEKDAY(A2660,2),"Mon","Tue","Wed","Thu","Fri","Sat","Sun")</f>
        <v>Sun</v>
      </c>
      <c r="H2660" t="str">
        <f>IF(WEEKDAY(A2660,2)&gt;5,"Weekend","Weekday")</f>
        <v>Weekend</v>
      </c>
      <c r="I2660" t="str">
        <f>_xlfn.IFS(B2660&lt;=5,"Night (0-5)",B2660&lt;=9,"Morning peak (6-9)",B2660&lt;=15,"Midday (10-15)",B2660&lt;=19,"Evening peak (16-19)",TRUE,"Late evening (20-23)")</f>
        <v>Evening peak (16-19)</v>
      </c>
    </row>
    <row r="2661" spans="1:9">
      <c r="A2661" s="32">
        <v>41840</v>
      </c>
      <c r="B2661">
        <v>19</v>
      </c>
      <c r="C2661">
        <v>957</v>
      </c>
      <c r="D2661" t="s">
        <v>303</v>
      </c>
      <c r="E2661">
        <f>YEAR(A2661)</f>
        <v>2014</v>
      </c>
      <c r="F2661" s="33">
        <f>DATE(YEAR(A2661),MONTH(A2661),1)</f>
        <v>41821.0</v>
      </c>
      <c r="G2661" t="str">
        <f>CHOOSE(WEEKDAY(A2661,2),"Mon","Tue","Wed","Thu","Fri","Sat","Sun")</f>
        <v>Sun</v>
      </c>
      <c r="H2661" t="str">
        <f>IF(WEEKDAY(A2661,2)&gt;5,"Weekend","Weekday")</f>
        <v>Weekend</v>
      </c>
      <c r="I2661" t="str">
        <f>_xlfn.IFS(B2661&lt;=5,"Night (0-5)",B2661&lt;=9,"Morning peak (6-9)",B2661&lt;=15,"Midday (10-15)",B2661&lt;=19,"Evening peak (16-19)",TRUE,"Late evening (20-23)")</f>
        <v>Evening peak (16-19)</v>
      </c>
    </row>
    <row r="2662" spans="1:9">
      <c r="A2662" s="32">
        <v>41840</v>
      </c>
      <c r="B2662">
        <v>20</v>
      </c>
      <c r="C2662">
        <v>1108</v>
      </c>
      <c r="D2662" t="s">
        <v>303</v>
      </c>
      <c r="E2662">
        <f>YEAR(A2662)</f>
        <v>2014</v>
      </c>
      <c r="F2662" s="33">
        <f>DATE(YEAR(A2662),MONTH(A2662),1)</f>
        <v>41821.0</v>
      </c>
      <c r="G2662" t="str">
        <f>CHOOSE(WEEKDAY(A2662,2),"Mon","Tue","Wed","Thu","Fri","Sat","Sun")</f>
        <v>Sun</v>
      </c>
      <c r="H2662" t="str">
        <f>IF(WEEKDAY(A2662,2)&gt;5,"Weekend","Weekday")</f>
        <v>Weekend</v>
      </c>
      <c r="I2662" t="str">
        <f>_xlfn.IFS(B2662&lt;=5,"Night (0-5)",B2662&lt;=9,"Morning peak (6-9)",B2662&lt;=15,"Midday (10-15)",B2662&lt;=19,"Evening peak (16-19)",TRUE,"Late evening (20-23)")</f>
        <v>Late evening (20-23)</v>
      </c>
    </row>
    <row r="2663" spans="1:9">
      <c r="A2663" s="32">
        <v>41840</v>
      </c>
      <c r="B2663">
        <v>21</v>
      </c>
      <c r="C2663">
        <v>1049</v>
      </c>
      <c r="D2663" t="s">
        <v>303</v>
      </c>
      <c r="E2663">
        <f>YEAR(A2663)</f>
        <v>2014</v>
      </c>
      <c r="F2663" s="33">
        <f>DATE(YEAR(A2663),MONTH(A2663),1)</f>
        <v>41821.0</v>
      </c>
      <c r="G2663" t="str">
        <f>CHOOSE(WEEKDAY(A2663,2),"Mon","Tue","Wed","Thu","Fri","Sat","Sun")</f>
        <v>Sun</v>
      </c>
      <c r="H2663" t="str">
        <f>IF(WEEKDAY(A2663,2)&gt;5,"Weekend","Weekday")</f>
        <v>Weekend</v>
      </c>
      <c r="I2663" t="str">
        <f>_xlfn.IFS(B2663&lt;=5,"Night (0-5)",B2663&lt;=9,"Morning peak (6-9)",B2663&lt;=15,"Midday (10-15)",B2663&lt;=19,"Evening peak (16-19)",TRUE,"Late evening (20-23)")</f>
        <v>Late evening (20-23)</v>
      </c>
    </row>
    <row r="2664" spans="1:9">
      <c r="A2664" s="32">
        <v>41840</v>
      </c>
      <c r="B2664">
        <v>22</v>
      </c>
      <c r="C2664">
        <v>889</v>
      </c>
      <c r="D2664" t="s">
        <v>303</v>
      </c>
      <c r="E2664">
        <f>YEAR(A2664)</f>
        <v>2014</v>
      </c>
      <c r="F2664" s="33">
        <f>DATE(YEAR(A2664),MONTH(A2664),1)</f>
        <v>41821.0</v>
      </c>
      <c r="G2664" t="str">
        <f>CHOOSE(WEEKDAY(A2664,2),"Mon","Tue","Wed","Thu","Fri","Sat","Sun")</f>
        <v>Sun</v>
      </c>
      <c r="H2664" t="str">
        <f>IF(WEEKDAY(A2664,2)&gt;5,"Weekend","Weekday")</f>
        <v>Weekend</v>
      </c>
      <c r="I2664" t="str">
        <f>_xlfn.IFS(B2664&lt;=5,"Night (0-5)",B2664&lt;=9,"Morning peak (6-9)",B2664&lt;=15,"Midday (10-15)",B2664&lt;=19,"Evening peak (16-19)",TRUE,"Late evening (20-23)")</f>
        <v>Late evening (20-23)</v>
      </c>
    </row>
    <row r="2665" spans="1:9">
      <c r="A2665" s="32">
        <v>41840</v>
      </c>
      <c r="B2665">
        <v>23</v>
      </c>
      <c r="C2665">
        <v>494</v>
      </c>
      <c r="D2665" t="s">
        <v>303</v>
      </c>
      <c r="E2665">
        <f>YEAR(A2665)</f>
        <v>2014</v>
      </c>
      <c r="F2665" s="33">
        <f>DATE(YEAR(A2665),MONTH(A2665),1)</f>
        <v>41821.0</v>
      </c>
      <c r="G2665" t="str">
        <f>CHOOSE(WEEKDAY(A2665,2),"Mon","Tue","Wed","Thu","Fri","Sat","Sun")</f>
        <v>Sun</v>
      </c>
      <c r="H2665" t="str">
        <f>IF(WEEKDAY(A2665,2)&gt;5,"Weekend","Weekday")</f>
        <v>Weekend</v>
      </c>
      <c r="I2665" t="str">
        <f>_xlfn.IFS(B2665&lt;=5,"Night (0-5)",B2665&lt;=9,"Morning peak (6-9)",B2665&lt;=15,"Midday (10-15)",B2665&lt;=19,"Evening peak (16-19)",TRUE,"Late evening (20-23)")</f>
        <v>Late evening (20-23)</v>
      </c>
    </row>
    <row r="2666" spans="1:9">
      <c r="A2666" s="32">
        <v>41841</v>
      </c>
      <c r="B2666">
        <v>0</v>
      </c>
      <c r="C2666">
        <v>253</v>
      </c>
      <c r="D2666" t="s">
        <v>303</v>
      </c>
      <c r="E2666">
        <f>YEAR(A2666)</f>
        <v>2014</v>
      </c>
      <c r="F2666" s="33">
        <f>DATE(YEAR(A2666),MONTH(A2666),1)</f>
        <v>41821.0</v>
      </c>
      <c r="G2666" t="str">
        <f>CHOOSE(WEEKDAY(A2666,2),"Mon","Tue","Wed","Thu","Fri","Sat","Sun")</f>
        <v>Mon</v>
      </c>
      <c r="H2666" t="str">
        <f>IF(WEEKDAY(A2666,2)&gt;5,"Weekend","Weekday")</f>
        <v>Weekday</v>
      </c>
      <c r="I2666" t="str">
        <f>_xlfn.IFS(B2666&lt;=5,"Night (0-5)",B2666&lt;=9,"Morning peak (6-9)",B2666&lt;=15,"Midday (10-15)",B2666&lt;=19,"Evening peak (16-19)",TRUE,"Late evening (20-23)")</f>
        <v>Night (0-5)</v>
      </c>
    </row>
    <row r="2667" spans="1:9">
      <c r="A2667" s="32">
        <v>41841</v>
      </c>
      <c r="B2667">
        <v>1</v>
      </c>
      <c r="C2667">
        <v>129</v>
      </c>
      <c r="D2667" t="s">
        <v>303</v>
      </c>
      <c r="E2667">
        <f>YEAR(A2667)</f>
        <v>2014</v>
      </c>
      <c r="F2667" s="33">
        <f>DATE(YEAR(A2667),MONTH(A2667),1)</f>
        <v>41821.0</v>
      </c>
      <c r="G2667" t="str">
        <f>CHOOSE(WEEKDAY(A2667,2),"Mon","Tue","Wed","Thu","Fri","Sat","Sun")</f>
        <v>Mon</v>
      </c>
      <c r="H2667" t="str">
        <f>IF(WEEKDAY(A2667,2)&gt;5,"Weekend","Weekday")</f>
        <v>Weekday</v>
      </c>
      <c r="I2667" t="str">
        <f>_xlfn.IFS(B2667&lt;=5,"Night (0-5)",B2667&lt;=9,"Morning peak (6-9)",B2667&lt;=15,"Midday (10-15)",B2667&lt;=19,"Evening peak (16-19)",TRUE,"Late evening (20-23)")</f>
        <v>Night (0-5)</v>
      </c>
    </row>
    <row r="2668" spans="1:9">
      <c r="A2668" s="32">
        <v>41841</v>
      </c>
      <c r="B2668">
        <v>2</v>
      </c>
      <c r="C2668">
        <v>110</v>
      </c>
      <c r="D2668" t="s">
        <v>303</v>
      </c>
      <c r="E2668">
        <f>YEAR(A2668)</f>
        <v>2014</v>
      </c>
      <c r="F2668" s="33">
        <f>DATE(YEAR(A2668),MONTH(A2668),1)</f>
        <v>41821.0</v>
      </c>
      <c r="G2668" t="str">
        <f>CHOOSE(WEEKDAY(A2668,2),"Mon","Tue","Wed","Thu","Fri","Sat","Sun")</f>
        <v>Mon</v>
      </c>
      <c r="H2668" t="str">
        <f>IF(WEEKDAY(A2668,2)&gt;5,"Weekend","Weekday")</f>
        <v>Weekday</v>
      </c>
      <c r="I2668" t="str">
        <f>_xlfn.IFS(B2668&lt;=5,"Night (0-5)",B2668&lt;=9,"Morning peak (6-9)",B2668&lt;=15,"Midday (10-15)",B2668&lt;=19,"Evening peak (16-19)",TRUE,"Late evening (20-23)")</f>
        <v>Night (0-5)</v>
      </c>
    </row>
    <row r="2669" spans="1:9">
      <c r="A2669" s="32">
        <v>41841</v>
      </c>
      <c r="B2669">
        <v>3</v>
      </c>
      <c r="C2669">
        <v>292</v>
      </c>
      <c r="D2669" t="s">
        <v>303</v>
      </c>
      <c r="E2669">
        <f>YEAR(A2669)</f>
        <v>2014</v>
      </c>
      <c r="F2669" s="33">
        <f>DATE(YEAR(A2669),MONTH(A2669),1)</f>
        <v>41821.0</v>
      </c>
      <c r="G2669" t="str">
        <f>CHOOSE(WEEKDAY(A2669,2),"Mon","Tue","Wed","Thu","Fri","Sat","Sun")</f>
        <v>Mon</v>
      </c>
      <c r="H2669" t="str">
        <f>IF(WEEKDAY(A2669,2)&gt;5,"Weekend","Weekday")</f>
        <v>Weekday</v>
      </c>
      <c r="I2669" t="str">
        <f>_xlfn.IFS(B2669&lt;=5,"Night (0-5)",B2669&lt;=9,"Morning peak (6-9)",B2669&lt;=15,"Midday (10-15)",B2669&lt;=19,"Evening peak (16-19)",TRUE,"Late evening (20-23)")</f>
        <v>Night (0-5)</v>
      </c>
    </row>
    <row r="2670" spans="1:9">
      <c r="A2670" s="32">
        <v>41841</v>
      </c>
      <c r="B2670">
        <v>4</v>
      </c>
      <c r="C2670">
        <v>432</v>
      </c>
      <c r="D2670" t="s">
        <v>303</v>
      </c>
      <c r="E2670">
        <f>YEAR(A2670)</f>
        <v>2014</v>
      </c>
      <c r="F2670" s="33">
        <f>DATE(YEAR(A2670),MONTH(A2670),1)</f>
        <v>41821.0</v>
      </c>
      <c r="G2670" t="str">
        <f>CHOOSE(WEEKDAY(A2670,2),"Mon","Tue","Wed","Thu","Fri","Sat","Sun")</f>
        <v>Mon</v>
      </c>
      <c r="H2670" t="str">
        <f>IF(WEEKDAY(A2670,2)&gt;5,"Weekend","Weekday")</f>
        <v>Weekday</v>
      </c>
      <c r="I2670" t="str">
        <f>_xlfn.IFS(B2670&lt;=5,"Night (0-5)",B2670&lt;=9,"Morning peak (6-9)",B2670&lt;=15,"Midday (10-15)",B2670&lt;=19,"Evening peak (16-19)",TRUE,"Late evening (20-23)")</f>
        <v>Night (0-5)</v>
      </c>
    </row>
    <row r="2671" spans="1:9">
      <c r="A2671" s="32">
        <v>41841</v>
      </c>
      <c r="B2671">
        <v>5</v>
      </c>
      <c r="C2671">
        <v>677</v>
      </c>
      <c r="D2671" t="s">
        <v>303</v>
      </c>
      <c r="E2671">
        <f>YEAR(A2671)</f>
        <v>2014</v>
      </c>
      <c r="F2671" s="33">
        <f>DATE(YEAR(A2671),MONTH(A2671),1)</f>
        <v>41821.0</v>
      </c>
      <c r="G2671" t="str">
        <f>CHOOSE(WEEKDAY(A2671,2),"Mon","Tue","Wed","Thu","Fri","Sat","Sun")</f>
        <v>Mon</v>
      </c>
      <c r="H2671" t="str">
        <f>IF(WEEKDAY(A2671,2)&gt;5,"Weekend","Weekday")</f>
        <v>Weekday</v>
      </c>
      <c r="I2671" t="str">
        <f>_xlfn.IFS(B2671&lt;=5,"Night (0-5)",B2671&lt;=9,"Morning peak (6-9)",B2671&lt;=15,"Midday (10-15)",B2671&lt;=19,"Evening peak (16-19)",TRUE,"Late evening (20-23)")</f>
        <v>Night (0-5)</v>
      </c>
    </row>
    <row r="2672" spans="1:9">
      <c r="A2672" s="32">
        <v>41841</v>
      </c>
      <c r="B2672">
        <v>6</v>
      </c>
      <c r="C2672">
        <v>966</v>
      </c>
      <c r="D2672" t="s">
        <v>303</v>
      </c>
      <c r="E2672">
        <f>YEAR(A2672)</f>
        <v>2014</v>
      </c>
      <c r="F2672" s="33">
        <f>DATE(YEAR(A2672),MONTH(A2672),1)</f>
        <v>41821.0</v>
      </c>
      <c r="G2672" t="str">
        <f>CHOOSE(WEEKDAY(A2672,2),"Mon","Tue","Wed","Thu","Fri","Sat","Sun")</f>
        <v>Mon</v>
      </c>
      <c r="H2672" t="str">
        <f>IF(WEEKDAY(A2672,2)&gt;5,"Weekend","Weekday")</f>
        <v>Weekday</v>
      </c>
      <c r="I2672" t="str">
        <f>_xlfn.IFS(B2672&lt;=5,"Night (0-5)",B2672&lt;=9,"Morning peak (6-9)",B2672&lt;=15,"Midday (10-15)",B2672&lt;=19,"Evening peak (16-19)",TRUE,"Late evening (20-23)")</f>
        <v>Morning peak (6-9)</v>
      </c>
    </row>
    <row r="2673" spans="1:9">
      <c r="A2673" s="32">
        <v>41841</v>
      </c>
      <c r="B2673">
        <v>7</v>
      </c>
      <c r="C2673">
        <v>1361</v>
      </c>
      <c r="D2673" t="s">
        <v>303</v>
      </c>
      <c r="E2673">
        <f>YEAR(A2673)</f>
        <v>2014</v>
      </c>
      <c r="F2673" s="33">
        <f>DATE(YEAR(A2673),MONTH(A2673),1)</f>
        <v>41821.0</v>
      </c>
      <c r="G2673" t="str">
        <f>CHOOSE(WEEKDAY(A2673,2),"Mon","Tue","Wed","Thu","Fri","Sat","Sun")</f>
        <v>Mon</v>
      </c>
      <c r="H2673" t="str">
        <f>IF(WEEKDAY(A2673,2)&gt;5,"Weekend","Weekday")</f>
        <v>Weekday</v>
      </c>
      <c r="I2673" t="str">
        <f>_xlfn.IFS(B2673&lt;=5,"Night (0-5)",B2673&lt;=9,"Morning peak (6-9)",B2673&lt;=15,"Midday (10-15)",B2673&lt;=19,"Evening peak (16-19)",TRUE,"Late evening (20-23)")</f>
        <v>Morning peak (6-9)</v>
      </c>
    </row>
    <row r="2674" spans="1:9">
      <c r="A2674" s="32">
        <v>41841</v>
      </c>
      <c r="B2674">
        <v>8</v>
      </c>
      <c r="C2674">
        <v>1263</v>
      </c>
      <c r="D2674" t="s">
        <v>303</v>
      </c>
      <c r="E2674">
        <f>YEAR(A2674)</f>
        <v>2014</v>
      </c>
      <c r="F2674" s="33">
        <f>DATE(YEAR(A2674),MONTH(A2674),1)</f>
        <v>41821.0</v>
      </c>
      <c r="G2674" t="str">
        <f>CHOOSE(WEEKDAY(A2674,2),"Mon","Tue","Wed","Thu","Fri","Sat","Sun")</f>
        <v>Mon</v>
      </c>
      <c r="H2674" t="str">
        <f>IF(WEEKDAY(A2674,2)&gt;5,"Weekend","Weekday")</f>
        <v>Weekday</v>
      </c>
      <c r="I2674" t="str">
        <f>_xlfn.IFS(B2674&lt;=5,"Night (0-5)",B2674&lt;=9,"Morning peak (6-9)",B2674&lt;=15,"Midday (10-15)",B2674&lt;=19,"Evening peak (16-19)",TRUE,"Late evening (20-23)")</f>
        <v>Morning peak (6-9)</v>
      </c>
    </row>
    <row r="2675" spans="1:9">
      <c r="A2675" s="32">
        <v>41841</v>
      </c>
      <c r="B2675">
        <v>9</v>
      </c>
      <c r="C2675">
        <v>963</v>
      </c>
      <c r="D2675" t="s">
        <v>303</v>
      </c>
      <c r="E2675">
        <f>YEAR(A2675)</f>
        <v>2014</v>
      </c>
      <c r="F2675" s="33">
        <f>DATE(YEAR(A2675),MONTH(A2675),1)</f>
        <v>41821.0</v>
      </c>
      <c r="G2675" t="str">
        <f>CHOOSE(WEEKDAY(A2675,2),"Mon","Tue","Wed","Thu","Fri","Sat","Sun")</f>
        <v>Mon</v>
      </c>
      <c r="H2675" t="str">
        <f>IF(WEEKDAY(A2675,2)&gt;5,"Weekend","Weekday")</f>
        <v>Weekday</v>
      </c>
      <c r="I2675" t="str">
        <f>_xlfn.IFS(B2675&lt;=5,"Night (0-5)",B2675&lt;=9,"Morning peak (6-9)",B2675&lt;=15,"Midday (10-15)",B2675&lt;=19,"Evening peak (16-19)",TRUE,"Late evening (20-23)")</f>
        <v>Morning peak (6-9)</v>
      </c>
    </row>
    <row r="2676" spans="1:9">
      <c r="A2676" s="32">
        <v>41841</v>
      </c>
      <c r="B2676">
        <v>10</v>
      </c>
      <c r="C2676">
        <v>902</v>
      </c>
      <c r="D2676" t="s">
        <v>303</v>
      </c>
      <c r="E2676">
        <f>YEAR(A2676)</f>
        <v>2014</v>
      </c>
      <c r="F2676" s="33">
        <f>DATE(YEAR(A2676),MONTH(A2676),1)</f>
        <v>41821.0</v>
      </c>
      <c r="G2676" t="str">
        <f>CHOOSE(WEEKDAY(A2676,2),"Mon","Tue","Wed","Thu","Fri","Sat","Sun")</f>
        <v>Mon</v>
      </c>
      <c r="H2676" t="str">
        <f>IF(WEEKDAY(A2676,2)&gt;5,"Weekend","Weekday")</f>
        <v>Weekday</v>
      </c>
      <c r="I2676" t="str">
        <f>_xlfn.IFS(B2676&lt;=5,"Night (0-5)",B2676&lt;=9,"Morning peak (6-9)",B2676&lt;=15,"Midday (10-15)",B2676&lt;=19,"Evening peak (16-19)",TRUE,"Late evening (20-23)")</f>
        <v>Midday (10-15)</v>
      </c>
    </row>
    <row r="2677" spans="1:9">
      <c r="A2677" s="32">
        <v>41841</v>
      </c>
      <c r="B2677">
        <v>11</v>
      </c>
      <c r="C2677">
        <v>917</v>
      </c>
      <c r="D2677" t="s">
        <v>303</v>
      </c>
      <c r="E2677">
        <f>YEAR(A2677)</f>
        <v>2014</v>
      </c>
      <c r="F2677" s="33">
        <f>DATE(YEAR(A2677),MONTH(A2677),1)</f>
        <v>41821.0</v>
      </c>
      <c r="G2677" t="str">
        <f>CHOOSE(WEEKDAY(A2677,2),"Mon","Tue","Wed","Thu","Fri","Sat","Sun")</f>
        <v>Mon</v>
      </c>
      <c r="H2677" t="str">
        <f>IF(WEEKDAY(A2677,2)&gt;5,"Weekend","Weekday")</f>
        <v>Weekday</v>
      </c>
      <c r="I2677" t="str">
        <f>_xlfn.IFS(B2677&lt;=5,"Night (0-5)",B2677&lt;=9,"Morning peak (6-9)",B2677&lt;=15,"Midday (10-15)",B2677&lt;=19,"Evening peak (16-19)",TRUE,"Late evening (20-23)")</f>
        <v>Midday (10-15)</v>
      </c>
    </row>
    <row r="2678" spans="1:9">
      <c r="A2678" s="32">
        <v>41841</v>
      </c>
      <c r="B2678">
        <v>12</v>
      </c>
      <c r="C2678">
        <v>956</v>
      </c>
      <c r="D2678" t="s">
        <v>303</v>
      </c>
      <c r="E2678">
        <f>YEAR(A2678)</f>
        <v>2014</v>
      </c>
      <c r="F2678" s="33">
        <f>DATE(YEAR(A2678),MONTH(A2678),1)</f>
        <v>41821.0</v>
      </c>
      <c r="G2678" t="str">
        <f>CHOOSE(WEEKDAY(A2678,2),"Mon","Tue","Wed","Thu","Fri","Sat","Sun")</f>
        <v>Mon</v>
      </c>
      <c r="H2678" t="str">
        <f>IF(WEEKDAY(A2678,2)&gt;5,"Weekend","Weekday")</f>
        <v>Weekday</v>
      </c>
      <c r="I2678" t="str">
        <f>_xlfn.IFS(B2678&lt;=5,"Night (0-5)",B2678&lt;=9,"Morning peak (6-9)",B2678&lt;=15,"Midday (10-15)",B2678&lt;=19,"Evening peak (16-19)",TRUE,"Late evening (20-23)")</f>
        <v>Midday (10-15)</v>
      </c>
    </row>
    <row r="2679" spans="1:9">
      <c r="A2679" s="32">
        <v>41841</v>
      </c>
      <c r="B2679">
        <v>13</v>
      </c>
      <c r="C2679">
        <v>1043</v>
      </c>
      <c r="D2679" t="s">
        <v>303</v>
      </c>
      <c r="E2679">
        <f>YEAR(A2679)</f>
        <v>2014</v>
      </c>
      <c r="F2679" s="33">
        <f>DATE(YEAR(A2679),MONTH(A2679),1)</f>
        <v>41821.0</v>
      </c>
      <c r="G2679" t="str">
        <f>CHOOSE(WEEKDAY(A2679,2),"Mon","Tue","Wed","Thu","Fri","Sat","Sun")</f>
        <v>Mon</v>
      </c>
      <c r="H2679" t="str">
        <f>IF(WEEKDAY(A2679,2)&gt;5,"Weekend","Weekday")</f>
        <v>Weekday</v>
      </c>
      <c r="I2679" t="str">
        <f>_xlfn.IFS(B2679&lt;=5,"Night (0-5)",B2679&lt;=9,"Morning peak (6-9)",B2679&lt;=15,"Midday (10-15)",B2679&lt;=19,"Evening peak (16-19)",TRUE,"Late evening (20-23)")</f>
        <v>Midday (10-15)</v>
      </c>
    </row>
    <row r="2680" spans="1:9">
      <c r="A2680" s="32">
        <v>41841</v>
      </c>
      <c r="B2680">
        <v>14</v>
      </c>
      <c r="C2680">
        <v>1200</v>
      </c>
      <c r="D2680" t="s">
        <v>303</v>
      </c>
      <c r="E2680">
        <f>YEAR(A2680)</f>
        <v>2014</v>
      </c>
      <c r="F2680" s="33">
        <f>DATE(YEAR(A2680),MONTH(A2680),1)</f>
        <v>41821.0</v>
      </c>
      <c r="G2680" t="str">
        <f>CHOOSE(WEEKDAY(A2680,2),"Mon","Tue","Wed","Thu","Fri","Sat","Sun")</f>
        <v>Mon</v>
      </c>
      <c r="H2680" t="str">
        <f>IF(WEEKDAY(A2680,2)&gt;5,"Weekend","Weekday")</f>
        <v>Weekday</v>
      </c>
      <c r="I2680" t="str">
        <f>_xlfn.IFS(B2680&lt;=5,"Night (0-5)",B2680&lt;=9,"Morning peak (6-9)",B2680&lt;=15,"Midday (10-15)",B2680&lt;=19,"Evening peak (16-19)",TRUE,"Late evening (20-23)")</f>
        <v>Midday (10-15)</v>
      </c>
    </row>
    <row r="2681" spans="1:9">
      <c r="A2681" s="32">
        <v>41841</v>
      </c>
      <c r="B2681">
        <v>15</v>
      </c>
      <c r="C2681">
        <v>1384</v>
      </c>
      <c r="D2681" t="s">
        <v>303</v>
      </c>
      <c r="E2681">
        <f>YEAR(A2681)</f>
        <v>2014</v>
      </c>
      <c r="F2681" s="33">
        <f>DATE(YEAR(A2681),MONTH(A2681),1)</f>
        <v>41821.0</v>
      </c>
      <c r="G2681" t="str">
        <f>CHOOSE(WEEKDAY(A2681,2),"Mon","Tue","Wed","Thu","Fri","Sat","Sun")</f>
        <v>Mon</v>
      </c>
      <c r="H2681" t="str">
        <f>IF(WEEKDAY(A2681,2)&gt;5,"Weekend","Weekday")</f>
        <v>Weekday</v>
      </c>
      <c r="I2681" t="str">
        <f>_xlfn.IFS(B2681&lt;=5,"Night (0-5)",B2681&lt;=9,"Morning peak (6-9)",B2681&lt;=15,"Midday (10-15)",B2681&lt;=19,"Evening peak (16-19)",TRUE,"Late evening (20-23)")</f>
        <v>Midday (10-15)</v>
      </c>
    </row>
    <row r="2682" spans="1:9">
      <c r="A2682" s="32">
        <v>41841</v>
      </c>
      <c r="B2682">
        <v>16</v>
      </c>
      <c r="C2682">
        <v>1673</v>
      </c>
      <c r="D2682" t="s">
        <v>303</v>
      </c>
      <c r="E2682">
        <f>YEAR(A2682)</f>
        <v>2014</v>
      </c>
      <c r="F2682" s="33">
        <f>DATE(YEAR(A2682),MONTH(A2682),1)</f>
        <v>41821.0</v>
      </c>
      <c r="G2682" t="str">
        <f>CHOOSE(WEEKDAY(A2682,2),"Mon","Tue","Wed","Thu","Fri","Sat","Sun")</f>
        <v>Mon</v>
      </c>
      <c r="H2682" t="str">
        <f>IF(WEEKDAY(A2682,2)&gt;5,"Weekend","Weekday")</f>
        <v>Weekday</v>
      </c>
      <c r="I2682" t="str">
        <f>_xlfn.IFS(B2682&lt;=5,"Night (0-5)",B2682&lt;=9,"Morning peak (6-9)",B2682&lt;=15,"Midday (10-15)",B2682&lt;=19,"Evening peak (16-19)",TRUE,"Late evening (20-23)")</f>
        <v>Evening peak (16-19)</v>
      </c>
    </row>
    <row r="2683" spans="1:9">
      <c r="A2683" s="32">
        <v>41841</v>
      </c>
      <c r="B2683">
        <v>17</v>
      </c>
      <c r="C2683">
        <v>1816</v>
      </c>
      <c r="D2683" t="s">
        <v>303</v>
      </c>
      <c r="E2683">
        <f>YEAR(A2683)</f>
        <v>2014</v>
      </c>
      <c r="F2683" s="33">
        <f>DATE(YEAR(A2683),MONTH(A2683),1)</f>
        <v>41821.0</v>
      </c>
      <c r="G2683" t="str">
        <f>CHOOSE(WEEKDAY(A2683,2),"Mon","Tue","Wed","Thu","Fri","Sat","Sun")</f>
        <v>Mon</v>
      </c>
      <c r="H2683" t="str">
        <f>IF(WEEKDAY(A2683,2)&gt;5,"Weekend","Weekday")</f>
        <v>Weekday</v>
      </c>
      <c r="I2683" t="str">
        <f>_xlfn.IFS(B2683&lt;=5,"Night (0-5)",B2683&lt;=9,"Morning peak (6-9)",B2683&lt;=15,"Midday (10-15)",B2683&lt;=19,"Evening peak (16-19)",TRUE,"Late evening (20-23)")</f>
        <v>Evening peak (16-19)</v>
      </c>
    </row>
    <row r="2684" spans="1:9">
      <c r="A2684" s="32">
        <v>41841</v>
      </c>
      <c r="B2684">
        <v>18</v>
      </c>
      <c r="C2684">
        <v>1636</v>
      </c>
      <c r="D2684" t="s">
        <v>303</v>
      </c>
      <c r="E2684">
        <f>YEAR(A2684)</f>
        <v>2014</v>
      </c>
      <c r="F2684" s="33">
        <f>DATE(YEAR(A2684),MONTH(A2684),1)</f>
        <v>41821.0</v>
      </c>
      <c r="G2684" t="str">
        <f>CHOOSE(WEEKDAY(A2684,2),"Mon","Tue","Wed","Thu","Fri","Sat","Sun")</f>
        <v>Mon</v>
      </c>
      <c r="H2684" t="str">
        <f>IF(WEEKDAY(A2684,2)&gt;5,"Weekend","Weekday")</f>
        <v>Weekday</v>
      </c>
      <c r="I2684" t="str">
        <f>_xlfn.IFS(B2684&lt;=5,"Night (0-5)",B2684&lt;=9,"Morning peak (6-9)",B2684&lt;=15,"Midday (10-15)",B2684&lt;=19,"Evening peak (16-19)",TRUE,"Late evening (20-23)")</f>
        <v>Evening peak (16-19)</v>
      </c>
    </row>
    <row r="2685" spans="1:9">
      <c r="A2685" s="32">
        <v>41841</v>
      </c>
      <c r="B2685">
        <v>19</v>
      </c>
      <c r="C2685">
        <v>1436</v>
      </c>
      <c r="D2685" t="s">
        <v>303</v>
      </c>
      <c r="E2685">
        <f>YEAR(A2685)</f>
        <v>2014</v>
      </c>
      <c r="F2685" s="33">
        <f>DATE(YEAR(A2685),MONTH(A2685),1)</f>
        <v>41821.0</v>
      </c>
      <c r="G2685" t="str">
        <f>CHOOSE(WEEKDAY(A2685,2),"Mon","Tue","Wed","Thu","Fri","Sat","Sun")</f>
        <v>Mon</v>
      </c>
      <c r="H2685" t="str">
        <f>IF(WEEKDAY(A2685,2)&gt;5,"Weekend","Weekday")</f>
        <v>Weekday</v>
      </c>
      <c r="I2685" t="str">
        <f>_xlfn.IFS(B2685&lt;=5,"Night (0-5)",B2685&lt;=9,"Morning peak (6-9)",B2685&lt;=15,"Midday (10-15)",B2685&lt;=19,"Evening peak (16-19)",TRUE,"Late evening (20-23)")</f>
        <v>Evening peak (16-19)</v>
      </c>
    </row>
    <row r="2686" spans="1:9">
      <c r="A2686" s="32">
        <v>41841</v>
      </c>
      <c r="B2686">
        <v>20</v>
      </c>
      <c r="C2686">
        <v>1428</v>
      </c>
      <c r="D2686" t="s">
        <v>303</v>
      </c>
      <c r="E2686">
        <f>YEAR(A2686)</f>
        <v>2014</v>
      </c>
      <c r="F2686" s="33">
        <f>DATE(YEAR(A2686),MONTH(A2686),1)</f>
        <v>41821.0</v>
      </c>
      <c r="G2686" t="str">
        <f>CHOOSE(WEEKDAY(A2686,2),"Mon","Tue","Wed","Thu","Fri","Sat","Sun")</f>
        <v>Mon</v>
      </c>
      <c r="H2686" t="str">
        <f>IF(WEEKDAY(A2686,2)&gt;5,"Weekend","Weekday")</f>
        <v>Weekday</v>
      </c>
      <c r="I2686" t="str">
        <f>_xlfn.IFS(B2686&lt;=5,"Night (0-5)",B2686&lt;=9,"Morning peak (6-9)",B2686&lt;=15,"Midday (10-15)",B2686&lt;=19,"Evening peak (16-19)",TRUE,"Late evening (20-23)")</f>
        <v>Late evening (20-23)</v>
      </c>
    </row>
    <row r="2687" spans="1:9">
      <c r="A2687" s="32">
        <v>41841</v>
      </c>
      <c r="B2687">
        <v>21</v>
      </c>
      <c r="C2687">
        <v>1265</v>
      </c>
      <c r="D2687" t="s">
        <v>303</v>
      </c>
      <c r="E2687">
        <f>YEAR(A2687)</f>
        <v>2014</v>
      </c>
      <c r="F2687" s="33">
        <f>DATE(YEAR(A2687),MONTH(A2687),1)</f>
        <v>41821.0</v>
      </c>
      <c r="G2687" t="str">
        <f>CHOOSE(WEEKDAY(A2687,2),"Mon","Tue","Wed","Thu","Fri","Sat","Sun")</f>
        <v>Mon</v>
      </c>
      <c r="H2687" t="str">
        <f>IF(WEEKDAY(A2687,2)&gt;5,"Weekend","Weekday")</f>
        <v>Weekday</v>
      </c>
      <c r="I2687" t="str">
        <f>_xlfn.IFS(B2687&lt;=5,"Night (0-5)",B2687&lt;=9,"Morning peak (6-9)",B2687&lt;=15,"Midday (10-15)",B2687&lt;=19,"Evening peak (16-19)",TRUE,"Late evening (20-23)")</f>
        <v>Late evening (20-23)</v>
      </c>
    </row>
    <row r="2688" spans="1:9">
      <c r="A2688" s="32">
        <v>41841</v>
      </c>
      <c r="B2688">
        <v>22</v>
      </c>
      <c r="C2688">
        <v>932</v>
      </c>
      <c r="D2688" t="s">
        <v>303</v>
      </c>
      <c r="E2688">
        <f>YEAR(A2688)</f>
        <v>2014</v>
      </c>
      <c r="F2688" s="33">
        <f>DATE(YEAR(A2688),MONTH(A2688),1)</f>
        <v>41821.0</v>
      </c>
      <c r="G2688" t="str">
        <f>CHOOSE(WEEKDAY(A2688,2),"Mon","Tue","Wed","Thu","Fri","Sat","Sun")</f>
        <v>Mon</v>
      </c>
      <c r="H2688" t="str">
        <f>IF(WEEKDAY(A2688,2)&gt;5,"Weekend","Weekday")</f>
        <v>Weekday</v>
      </c>
      <c r="I2688" t="str">
        <f>_xlfn.IFS(B2688&lt;=5,"Night (0-5)",B2688&lt;=9,"Morning peak (6-9)",B2688&lt;=15,"Midday (10-15)",B2688&lt;=19,"Evening peak (16-19)",TRUE,"Late evening (20-23)")</f>
        <v>Late evening (20-23)</v>
      </c>
    </row>
    <row r="2689" spans="1:9">
      <c r="A2689" s="32">
        <v>41841</v>
      </c>
      <c r="B2689">
        <v>23</v>
      </c>
      <c r="C2689">
        <v>544</v>
      </c>
      <c r="D2689" t="s">
        <v>303</v>
      </c>
      <c r="E2689">
        <f>YEAR(A2689)</f>
        <v>2014</v>
      </c>
      <c r="F2689" s="33">
        <f>DATE(YEAR(A2689),MONTH(A2689),1)</f>
        <v>41821.0</v>
      </c>
      <c r="G2689" t="str">
        <f>CHOOSE(WEEKDAY(A2689,2),"Mon","Tue","Wed","Thu","Fri","Sat","Sun")</f>
        <v>Mon</v>
      </c>
      <c r="H2689" t="str">
        <f>IF(WEEKDAY(A2689,2)&gt;5,"Weekend","Weekday")</f>
        <v>Weekday</v>
      </c>
      <c r="I2689" t="str">
        <f>_xlfn.IFS(B2689&lt;=5,"Night (0-5)",B2689&lt;=9,"Morning peak (6-9)",B2689&lt;=15,"Midday (10-15)",B2689&lt;=19,"Evening peak (16-19)",TRUE,"Late evening (20-23)")</f>
        <v>Late evening (20-23)</v>
      </c>
    </row>
    <row r="2690" spans="1:9">
      <c r="A2690" s="32">
        <v>41842</v>
      </c>
      <c r="B2690">
        <v>0</v>
      </c>
      <c r="C2690">
        <v>291</v>
      </c>
      <c r="D2690" t="s">
        <v>303</v>
      </c>
      <c r="E2690">
        <f>YEAR(A2690)</f>
        <v>2014</v>
      </c>
      <c r="F2690" s="33">
        <f>DATE(YEAR(A2690),MONTH(A2690),1)</f>
        <v>41821.0</v>
      </c>
      <c r="G2690" t="str">
        <f>CHOOSE(WEEKDAY(A2690,2),"Mon","Tue","Wed","Thu","Fri","Sat","Sun")</f>
        <v>Tue</v>
      </c>
      <c r="H2690" t="str">
        <f>IF(WEEKDAY(A2690,2)&gt;5,"Weekend","Weekday")</f>
        <v>Weekday</v>
      </c>
      <c r="I2690" t="str">
        <f>_xlfn.IFS(B2690&lt;=5,"Night (0-5)",B2690&lt;=9,"Morning peak (6-9)",B2690&lt;=15,"Midday (10-15)",B2690&lt;=19,"Evening peak (16-19)",TRUE,"Late evening (20-23)")</f>
        <v>Night (0-5)</v>
      </c>
    </row>
    <row r="2691" spans="1:9">
      <c r="A2691" s="32">
        <v>41842</v>
      </c>
      <c r="B2691">
        <v>1</v>
      </c>
      <c r="C2691">
        <v>161</v>
      </c>
      <c r="D2691" t="s">
        <v>303</v>
      </c>
      <c r="E2691">
        <f>YEAR(A2691)</f>
        <v>2014</v>
      </c>
      <c r="F2691" s="33">
        <f>DATE(YEAR(A2691),MONTH(A2691),1)</f>
        <v>41821.0</v>
      </c>
      <c r="G2691" t="str">
        <f>CHOOSE(WEEKDAY(A2691,2),"Mon","Tue","Wed","Thu","Fri","Sat","Sun")</f>
        <v>Tue</v>
      </c>
      <c r="H2691" t="str">
        <f>IF(WEEKDAY(A2691,2)&gt;5,"Weekend","Weekday")</f>
        <v>Weekday</v>
      </c>
      <c r="I2691" t="str">
        <f>_xlfn.IFS(B2691&lt;=5,"Night (0-5)",B2691&lt;=9,"Morning peak (6-9)",B2691&lt;=15,"Midday (10-15)",B2691&lt;=19,"Evening peak (16-19)",TRUE,"Late evening (20-23)")</f>
        <v>Night (0-5)</v>
      </c>
    </row>
    <row r="2692" spans="1:9">
      <c r="A2692" s="32">
        <v>41842</v>
      </c>
      <c r="B2692">
        <v>2</v>
      </c>
      <c r="C2692">
        <v>131</v>
      </c>
      <c r="D2692" t="s">
        <v>303</v>
      </c>
      <c r="E2692">
        <f>YEAR(A2692)</f>
        <v>2014</v>
      </c>
      <c r="F2692" s="33">
        <f>DATE(YEAR(A2692),MONTH(A2692),1)</f>
        <v>41821.0</v>
      </c>
      <c r="G2692" t="str">
        <f>CHOOSE(WEEKDAY(A2692,2),"Mon","Tue","Wed","Thu","Fri","Sat","Sun")</f>
        <v>Tue</v>
      </c>
      <c r="H2692" t="str">
        <f>IF(WEEKDAY(A2692,2)&gt;5,"Weekend","Weekday")</f>
        <v>Weekday</v>
      </c>
      <c r="I2692" t="str">
        <f>_xlfn.IFS(B2692&lt;=5,"Night (0-5)",B2692&lt;=9,"Morning peak (6-9)",B2692&lt;=15,"Midday (10-15)",B2692&lt;=19,"Evening peak (16-19)",TRUE,"Late evening (20-23)")</f>
        <v>Night (0-5)</v>
      </c>
    </row>
    <row r="2693" spans="1:9">
      <c r="A2693" s="32">
        <v>41842</v>
      </c>
      <c r="B2693">
        <v>3</v>
      </c>
      <c r="C2693">
        <v>200</v>
      </c>
      <c r="D2693" t="s">
        <v>303</v>
      </c>
      <c r="E2693">
        <f>YEAR(A2693)</f>
        <v>2014</v>
      </c>
      <c r="F2693" s="33">
        <f>DATE(YEAR(A2693),MONTH(A2693),1)</f>
        <v>41821.0</v>
      </c>
      <c r="G2693" t="str">
        <f>CHOOSE(WEEKDAY(A2693,2),"Mon","Tue","Wed","Thu","Fri","Sat","Sun")</f>
        <v>Tue</v>
      </c>
      <c r="H2693" t="str">
        <f>IF(WEEKDAY(A2693,2)&gt;5,"Weekend","Weekday")</f>
        <v>Weekday</v>
      </c>
      <c r="I2693" t="str">
        <f>_xlfn.IFS(B2693&lt;=5,"Night (0-5)",B2693&lt;=9,"Morning peak (6-9)",B2693&lt;=15,"Midday (10-15)",B2693&lt;=19,"Evening peak (16-19)",TRUE,"Late evening (20-23)")</f>
        <v>Night (0-5)</v>
      </c>
    </row>
    <row r="2694" spans="1:9">
      <c r="A2694" s="32">
        <v>41842</v>
      </c>
      <c r="B2694">
        <v>4</v>
      </c>
      <c r="C2694">
        <v>321</v>
      </c>
      <c r="D2694" t="s">
        <v>303</v>
      </c>
      <c r="E2694">
        <f>YEAR(A2694)</f>
        <v>2014</v>
      </c>
      <c r="F2694" s="33">
        <f>DATE(YEAR(A2694),MONTH(A2694),1)</f>
        <v>41821.0</v>
      </c>
      <c r="G2694" t="str">
        <f>CHOOSE(WEEKDAY(A2694,2),"Mon","Tue","Wed","Thu","Fri","Sat","Sun")</f>
        <v>Tue</v>
      </c>
      <c r="H2694" t="str">
        <f>IF(WEEKDAY(A2694,2)&gt;5,"Weekend","Weekday")</f>
        <v>Weekday</v>
      </c>
      <c r="I2694" t="str">
        <f>_xlfn.IFS(B2694&lt;=5,"Night (0-5)",B2694&lt;=9,"Morning peak (6-9)",B2694&lt;=15,"Midday (10-15)",B2694&lt;=19,"Evening peak (16-19)",TRUE,"Late evening (20-23)")</f>
        <v>Night (0-5)</v>
      </c>
    </row>
    <row r="2695" spans="1:9">
      <c r="A2695" s="32">
        <v>41842</v>
      </c>
      <c r="B2695">
        <v>5</v>
      </c>
      <c r="C2695">
        <v>621</v>
      </c>
      <c r="D2695" t="s">
        <v>303</v>
      </c>
      <c r="E2695">
        <f>YEAR(A2695)</f>
        <v>2014</v>
      </c>
      <c r="F2695" s="33">
        <f>DATE(YEAR(A2695),MONTH(A2695),1)</f>
        <v>41821.0</v>
      </c>
      <c r="G2695" t="str">
        <f>CHOOSE(WEEKDAY(A2695,2),"Mon","Tue","Wed","Thu","Fri","Sat","Sun")</f>
        <v>Tue</v>
      </c>
      <c r="H2695" t="str">
        <f>IF(WEEKDAY(A2695,2)&gt;5,"Weekend","Weekday")</f>
        <v>Weekday</v>
      </c>
      <c r="I2695" t="str">
        <f>_xlfn.IFS(B2695&lt;=5,"Night (0-5)",B2695&lt;=9,"Morning peak (6-9)",B2695&lt;=15,"Midday (10-15)",B2695&lt;=19,"Evening peak (16-19)",TRUE,"Late evening (20-23)")</f>
        <v>Night (0-5)</v>
      </c>
    </row>
    <row r="2696" spans="1:9">
      <c r="A2696" s="32">
        <v>41842</v>
      </c>
      <c r="B2696">
        <v>6</v>
      </c>
      <c r="C2696">
        <v>1056</v>
      </c>
      <c r="D2696" t="s">
        <v>303</v>
      </c>
      <c r="E2696">
        <f>YEAR(A2696)</f>
        <v>2014</v>
      </c>
      <c r="F2696" s="33">
        <f>DATE(YEAR(A2696),MONTH(A2696),1)</f>
        <v>41821.0</v>
      </c>
      <c r="G2696" t="str">
        <f>CHOOSE(WEEKDAY(A2696,2),"Mon","Tue","Wed","Thu","Fri","Sat","Sun")</f>
        <v>Tue</v>
      </c>
      <c r="H2696" t="str">
        <f>IF(WEEKDAY(A2696,2)&gt;5,"Weekend","Weekday")</f>
        <v>Weekday</v>
      </c>
      <c r="I2696" t="str">
        <f>_xlfn.IFS(B2696&lt;=5,"Night (0-5)",B2696&lt;=9,"Morning peak (6-9)",B2696&lt;=15,"Midday (10-15)",B2696&lt;=19,"Evening peak (16-19)",TRUE,"Late evening (20-23)")</f>
        <v>Morning peak (6-9)</v>
      </c>
    </row>
    <row r="2697" spans="1:9">
      <c r="A2697" s="32">
        <v>41842</v>
      </c>
      <c r="B2697">
        <v>7</v>
      </c>
      <c r="C2697">
        <v>1413</v>
      </c>
      <c r="D2697" t="s">
        <v>303</v>
      </c>
      <c r="E2697">
        <f>YEAR(A2697)</f>
        <v>2014</v>
      </c>
      <c r="F2697" s="33">
        <f>DATE(YEAR(A2697),MONTH(A2697),1)</f>
        <v>41821.0</v>
      </c>
      <c r="G2697" t="str">
        <f>CHOOSE(WEEKDAY(A2697,2),"Mon","Tue","Wed","Thu","Fri","Sat","Sun")</f>
        <v>Tue</v>
      </c>
      <c r="H2697" t="str">
        <f>IF(WEEKDAY(A2697,2)&gt;5,"Weekend","Weekday")</f>
        <v>Weekday</v>
      </c>
      <c r="I2697" t="str">
        <f>_xlfn.IFS(B2697&lt;=5,"Night (0-5)",B2697&lt;=9,"Morning peak (6-9)",B2697&lt;=15,"Midday (10-15)",B2697&lt;=19,"Evening peak (16-19)",TRUE,"Late evening (20-23)")</f>
        <v>Morning peak (6-9)</v>
      </c>
    </row>
    <row r="2698" spans="1:9">
      <c r="A2698" s="32">
        <v>41842</v>
      </c>
      <c r="B2698">
        <v>8</v>
      </c>
      <c r="C2698">
        <v>1492</v>
      </c>
      <c r="D2698" t="s">
        <v>303</v>
      </c>
      <c r="E2698">
        <f>YEAR(A2698)</f>
        <v>2014</v>
      </c>
      <c r="F2698" s="33">
        <f>DATE(YEAR(A2698),MONTH(A2698),1)</f>
        <v>41821.0</v>
      </c>
      <c r="G2698" t="str">
        <f>CHOOSE(WEEKDAY(A2698,2),"Mon","Tue","Wed","Thu","Fri","Sat","Sun")</f>
        <v>Tue</v>
      </c>
      <c r="H2698" t="str">
        <f>IF(WEEKDAY(A2698,2)&gt;5,"Weekend","Weekday")</f>
        <v>Weekday</v>
      </c>
      <c r="I2698" t="str">
        <f>_xlfn.IFS(B2698&lt;=5,"Night (0-5)",B2698&lt;=9,"Morning peak (6-9)",B2698&lt;=15,"Midday (10-15)",B2698&lt;=19,"Evening peak (16-19)",TRUE,"Late evening (20-23)")</f>
        <v>Morning peak (6-9)</v>
      </c>
    </row>
    <row r="2699" spans="1:9">
      <c r="A2699" s="32">
        <v>41842</v>
      </c>
      <c r="B2699">
        <v>9</v>
      </c>
      <c r="C2699">
        <v>1146</v>
      </c>
      <c r="D2699" t="s">
        <v>303</v>
      </c>
      <c r="E2699">
        <f>YEAR(A2699)</f>
        <v>2014</v>
      </c>
      <c r="F2699" s="33">
        <f>DATE(YEAR(A2699),MONTH(A2699),1)</f>
        <v>41821.0</v>
      </c>
      <c r="G2699" t="str">
        <f>CHOOSE(WEEKDAY(A2699,2),"Mon","Tue","Wed","Thu","Fri","Sat","Sun")</f>
        <v>Tue</v>
      </c>
      <c r="H2699" t="str">
        <f>IF(WEEKDAY(A2699,2)&gt;5,"Weekend","Weekday")</f>
        <v>Weekday</v>
      </c>
      <c r="I2699" t="str">
        <f>_xlfn.IFS(B2699&lt;=5,"Night (0-5)",B2699&lt;=9,"Morning peak (6-9)",B2699&lt;=15,"Midday (10-15)",B2699&lt;=19,"Evening peak (16-19)",TRUE,"Late evening (20-23)")</f>
        <v>Morning peak (6-9)</v>
      </c>
    </row>
    <row r="2700" spans="1:9">
      <c r="A2700" s="32">
        <v>41842</v>
      </c>
      <c r="B2700">
        <v>10</v>
      </c>
      <c r="C2700">
        <v>1074</v>
      </c>
      <c r="D2700" t="s">
        <v>303</v>
      </c>
      <c r="E2700">
        <f>YEAR(A2700)</f>
        <v>2014</v>
      </c>
      <c r="F2700" s="33">
        <f>DATE(YEAR(A2700),MONTH(A2700),1)</f>
        <v>41821.0</v>
      </c>
      <c r="G2700" t="str">
        <f>CHOOSE(WEEKDAY(A2700,2),"Mon","Tue","Wed","Thu","Fri","Sat","Sun")</f>
        <v>Tue</v>
      </c>
      <c r="H2700" t="str">
        <f>IF(WEEKDAY(A2700,2)&gt;5,"Weekend","Weekday")</f>
        <v>Weekday</v>
      </c>
      <c r="I2700" t="str">
        <f>_xlfn.IFS(B2700&lt;=5,"Night (0-5)",B2700&lt;=9,"Morning peak (6-9)",B2700&lt;=15,"Midday (10-15)",B2700&lt;=19,"Evening peak (16-19)",TRUE,"Late evening (20-23)")</f>
        <v>Midday (10-15)</v>
      </c>
    </row>
    <row r="2701" spans="1:9">
      <c r="A2701" s="32">
        <v>41842</v>
      </c>
      <c r="B2701">
        <v>11</v>
      </c>
      <c r="C2701">
        <v>1113</v>
      </c>
      <c r="D2701" t="s">
        <v>303</v>
      </c>
      <c r="E2701">
        <f>YEAR(A2701)</f>
        <v>2014</v>
      </c>
      <c r="F2701" s="33">
        <f>DATE(YEAR(A2701),MONTH(A2701),1)</f>
        <v>41821.0</v>
      </c>
      <c r="G2701" t="str">
        <f>CHOOSE(WEEKDAY(A2701,2),"Mon","Tue","Wed","Thu","Fri","Sat","Sun")</f>
        <v>Tue</v>
      </c>
      <c r="H2701" t="str">
        <f>IF(WEEKDAY(A2701,2)&gt;5,"Weekend","Weekday")</f>
        <v>Weekday</v>
      </c>
      <c r="I2701" t="str">
        <f>_xlfn.IFS(B2701&lt;=5,"Night (0-5)",B2701&lt;=9,"Morning peak (6-9)",B2701&lt;=15,"Midday (10-15)",B2701&lt;=19,"Evening peak (16-19)",TRUE,"Late evening (20-23)")</f>
        <v>Midday (10-15)</v>
      </c>
    </row>
    <row r="2702" spans="1:9">
      <c r="A2702" s="32">
        <v>41842</v>
      </c>
      <c r="B2702">
        <v>12</v>
      </c>
      <c r="C2702">
        <v>1118</v>
      </c>
      <c r="D2702" t="s">
        <v>303</v>
      </c>
      <c r="E2702">
        <f>YEAR(A2702)</f>
        <v>2014</v>
      </c>
      <c r="F2702" s="33">
        <f>DATE(YEAR(A2702),MONTH(A2702),1)</f>
        <v>41821.0</v>
      </c>
      <c r="G2702" t="str">
        <f>CHOOSE(WEEKDAY(A2702,2),"Mon","Tue","Wed","Thu","Fri","Sat","Sun")</f>
        <v>Tue</v>
      </c>
      <c r="H2702" t="str">
        <f>IF(WEEKDAY(A2702,2)&gt;5,"Weekend","Weekday")</f>
        <v>Weekday</v>
      </c>
      <c r="I2702" t="str">
        <f>_xlfn.IFS(B2702&lt;=5,"Night (0-5)",B2702&lt;=9,"Morning peak (6-9)",B2702&lt;=15,"Midday (10-15)",B2702&lt;=19,"Evening peak (16-19)",TRUE,"Late evening (20-23)")</f>
        <v>Midday (10-15)</v>
      </c>
    </row>
    <row r="2703" spans="1:9">
      <c r="A2703" s="32">
        <v>41842</v>
      </c>
      <c r="B2703">
        <v>13</v>
      </c>
      <c r="C2703">
        <v>1314</v>
      </c>
      <c r="D2703" t="s">
        <v>303</v>
      </c>
      <c r="E2703">
        <f>YEAR(A2703)</f>
        <v>2014</v>
      </c>
      <c r="F2703" s="33">
        <f>DATE(YEAR(A2703),MONTH(A2703),1)</f>
        <v>41821.0</v>
      </c>
      <c r="G2703" t="str">
        <f>CHOOSE(WEEKDAY(A2703,2),"Mon","Tue","Wed","Thu","Fri","Sat","Sun")</f>
        <v>Tue</v>
      </c>
      <c r="H2703" t="str">
        <f>IF(WEEKDAY(A2703,2)&gt;5,"Weekend","Weekday")</f>
        <v>Weekday</v>
      </c>
      <c r="I2703" t="str">
        <f>_xlfn.IFS(B2703&lt;=5,"Night (0-5)",B2703&lt;=9,"Morning peak (6-9)",B2703&lt;=15,"Midday (10-15)",B2703&lt;=19,"Evening peak (16-19)",TRUE,"Late evening (20-23)")</f>
        <v>Midday (10-15)</v>
      </c>
    </row>
    <row r="2704" spans="1:9">
      <c r="A2704" s="32">
        <v>41842</v>
      </c>
      <c r="B2704">
        <v>14</v>
      </c>
      <c r="C2704">
        <v>1486</v>
      </c>
      <c r="D2704" t="s">
        <v>303</v>
      </c>
      <c r="E2704">
        <f>YEAR(A2704)</f>
        <v>2014</v>
      </c>
      <c r="F2704" s="33">
        <f>DATE(YEAR(A2704),MONTH(A2704),1)</f>
        <v>41821.0</v>
      </c>
      <c r="G2704" t="str">
        <f>CHOOSE(WEEKDAY(A2704,2),"Mon","Tue","Wed","Thu","Fri","Sat","Sun")</f>
        <v>Tue</v>
      </c>
      <c r="H2704" t="str">
        <f>IF(WEEKDAY(A2704,2)&gt;5,"Weekend","Weekday")</f>
        <v>Weekday</v>
      </c>
      <c r="I2704" t="str">
        <f>_xlfn.IFS(B2704&lt;=5,"Night (0-5)",B2704&lt;=9,"Morning peak (6-9)",B2704&lt;=15,"Midday (10-15)",B2704&lt;=19,"Evening peak (16-19)",TRUE,"Late evening (20-23)")</f>
        <v>Midday (10-15)</v>
      </c>
    </row>
    <row r="2705" spans="1:9">
      <c r="A2705" s="32">
        <v>41842</v>
      </c>
      <c r="B2705">
        <v>15</v>
      </c>
      <c r="C2705">
        <v>1742</v>
      </c>
      <c r="D2705" t="s">
        <v>303</v>
      </c>
      <c r="E2705">
        <f>YEAR(A2705)</f>
        <v>2014</v>
      </c>
      <c r="F2705" s="33">
        <f>DATE(YEAR(A2705),MONTH(A2705),1)</f>
        <v>41821.0</v>
      </c>
      <c r="G2705" t="str">
        <f>CHOOSE(WEEKDAY(A2705,2),"Mon","Tue","Wed","Thu","Fri","Sat","Sun")</f>
        <v>Tue</v>
      </c>
      <c r="H2705" t="str">
        <f>IF(WEEKDAY(A2705,2)&gt;5,"Weekend","Weekday")</f>
        <v>Weekday</v>
      </c>
      <c r="I2705" t="str">
        <f>_xlfn.IFS(B2705&lt;=5,"Night (0-5)",B2705&lt;=9,"Morning peak (6-9)",B2705&lt;=15,"Midday (10-15)",B2705&lt;=19,"Evening peak (16-19)",TRUE,"Late evening (20-23)")</f>
        <v>Midday (10-15)</v>
      </c>
    </row>
    <row r="2706" spans="1:9">
      <c r="A2706" s="32">
        <v>41842</v>
      </c>
      <c r="B2706">
        <v>16</v>
      </c>
      <c r="C2706">
        <v>2207</v>
      </c>
      <c r="D2706" t="s">
        <v>303</v>
      </c>
      <c r="E2706">
        <f>YEAR(A2706)</f>
        <v>2014</v>
      </c>
      <c r="F2706" s="33">
        <f>DATE(YEAR(A2706),MONTH(A2706),1)</f>
        <v>41821.0</v>
      </c>
      <c r="G2706" t="str">
        <f>CHOOSE(WEEKDAY(A2706,2),"Mon","Tue","Wed","Thu","Fri","Sat","Sun")</f>
        <v>Tue</v>
      </c>
      <c r="H2706" t="str">
        <f>IF(WEEKDAY(A2706,2)&gt;5,"Weekend","Weekday")</f>
        <v>Weekday</v>
      </c>
      <c r="I2706" t="str">
        <f>_xlfn.IFS(B2706&lt;=5,"Night (0-5)",B2706&lt;=9,"Morning peak (6-9)",B2706&lt;=15,"Midday (10-15)",B2706&lt;=19,"Evening peak (16-19)",TRUE,"Late evening (20-23)")</f>
        <v>Evening peak (16-19)</v>
      </c>
    </row>
    <row r="2707" spans="1:9">
      <c r="A2707" s="32">
        <v>41842</v>
      </c>
      <c r="B2707">
        <v>17</v>
      </c>
      <c r="C2707">
        <v>2413</v>
      </c>
      <c r="D2707" t="s">
        <v>303</v>
      </c>
      <c r="E2707">
        <f>YEAR(A2707)</f>
        <v>2014</v>
      </c>
      <c r="F2707" s="33">
        <f>DATE(YEAR(A2707),MONTH(A2707),1)</f>
        <v>41821.0</v>
      </c>
      <c r="G2707" t="str">
        <f>CHOOSE(WEEKDAY(A2707,2),"Mon","Tue","Wed","Thu","Fri","Sat","Sun")</f>
        <v>Tue</v>
      </c>
      <c r="H2707" t="str">
        <f>IF(WEEKDAY(A2707,2)&gt;5,"Weekend","Weekday")</f>
        <v>Weekday</v>
      </c>
      <c r="I2707" t="str">
        <f>_xlfn.IFS(B2707&lt;=5,"Night (0-5)",B2707&lt;=9,"Morning peak (6-9)",B2707&lt;=15,"Midday (10-15)",B2707&lt;=19,"Evening peak (16-19)",TRUE,"Late evening (20-23)")</f>
        <v>Evening peak (16-19)</v>
      </c>
    </row>
    <row r="2708" spans="1:9">
      <c r="A2708" s="32">
        <v>41842</v>
      </c>
      <c r="B2708">
        <v>18</v>
      </c>
      <c r="C2708">
        <v>2196</v>
      </c>
      <c r="D2708" t="s">
        <v>303</v>
      </c>
      <c r="E2708">
        <f>YEAR(A2708)</f>
        <v>2014</v>
      </c>
      <c r="F2708" s="33">
        <f>DATE(YEAR(A2708),MONTH(A2708),1)</f>
        <v>41821.0</v>
      </c>
      <c r="G2708" t="str">
        <f>CHOOSE(WEEKDAY(A2708,2),"Mon","Tue","Wed","Thu","Fri","Sat","Sun")</f>
        <v>Tue</v>
      </c>
      <c r="H2708" t="str">
        <f>IF(WEEKDAY(A2708,2)&gt;5,"Weekend","Weekday")</f>
        <v>Weekday</v>
      </c>
      <c r="I2708" t="str">
        <f>_xlfn.IFS(B2708&lt;=5,"Night (0-5)",B2708&lt;=9,"Morning peak (6-9)",B2708&lt;=15,"Midday (10-15)",B2708&lt;=19,"Evening peak (16-19)",TRUE,"Late evening (20-23)")</f>
        <v>Evening peak (16-19)</v>
      </c>
    </row>
    <row r="2709" spans="1:9">
      <c r="A2709" s="32">
        <v>41842</v>
      </c>
      <c r="B2709">
        <v>19</v>
      </c>
      <c r="C2709">
        <v>1841</v>
      </c>
      <c r="D2709" t="s">
        <v>303</v>
      </c>
      <c r="E2709">
        <f>YEAR(A2709)</f>
        <v>2014</v>
      </c>
      <c r="F2709" s="33">
        <f>DATE(YEAR(A2709),MONTH(A2709),1)</f>
        <v>41821.0</v>
      </c>
      <c r="G2709" t="str">
        <f>CHOOSE(WEEKDAY(A2709,2),"Mon","Tue","Wed","Thu","Fri","Sat","Sun")</f>
        <v>Tue</v>
      </c>
      <c r="H2709" t="str">
        <f>IF(WEEKDAY(A2709,2)&gt;5,"Weekend","Weekday")</f>
        <v>Weekday</v>
      </c>
      <c r="I2709" t="str">
        <f>_xlfn.IFS(B2709&lt;=5,"Night (0-5)",B2709&lt;=9,"Morning peak (6-9)",B2709&lt;=15,"Midday (10-15)",B2709&lt;=19,"Evening peak (16-19)",TRUE,"Late evening (20-23)")</f>
        <v>Evening peak (16-19)</v>
      </c>
    </row>
    <row r="2710" spans="1:9">
      <c r="A2710" s="32">
        <v>41842</v>
      </c>
      <c r="B2710">
        <v>20</v>
      </c>
      <c r="C2710">
        <v>1907</v>
      </c>
      <c r="D2710" t="s">
        <v>303</v>
      </c>
      <c r="E2710">
        <f>YEAR(A2710)</f>
        <v>2014</v>
      </c>
      <c r="F2710" s="33">
        <f>DATE(YEAR(A2710),MONTH(A2710),1)</f>
        <v>41821.0</v>
      </c>
      <c r="G2710" t="str">
        <f>CHOOSE(WEEKDAY(A2710,2),"Mon","Tue","Wed","Thu","Fri","Sat","Sun")</f>
        <v>Tue</v>
      </c>
      <c r="H2710" t="str">
        <f>IF(WEEKDAY(A2710,2)&gt;5,"Weekend","Weekday")</f>
        <v>Weekday</v>
      </c>
      <c r="I2710" t="str">
        <f>_xlfn.IFS(B2710&lt;=5,"Night (0-5)",B2710&lt;=9,"Morning peak (6-9)",B2710&lt;=15,"Midday (10-15)",B2710&lt;=19,"Evening peak (16-19)",TRUE,"Late evening (20-23)")</f>
        <v>Late evening (20-23)</v>
      </c>
    </row>
    <row r="2711" spans="1:9">
      <c r="A2711" s="32">
        <v>41842</v>
      </c>
      <c r="B2711">
        <v>21</v>
      </c>
      <c r="C2711">
        <v>1745</v>
      </c>
      <c r="D2711" t="s">
        <v>303</v>
      </c>
      <c r="E2711">
        <f>YEAR(A2711)</f>
        <v>2014</v>
      </c>
      <c r="F2711" s="33">
        <f>DATE(YEAR(A2711),MONTH(A2711),1)</f>
        <v>41821.0</v>
      </c>
      <c r="G2711" t="str">
        <f>CHOOSE(WEEKDAY(A2711,2),"Mon","Tue","Wed","Thu","Fri","Sat","Sun")</f>
        <v>Tue</v>
      </c>
      <c r="H2711" t="str">
        <f>IF(WEEKDAY(A2711,2)&gt;5,"Weekend","Weekday")</f>
        <v>Weekday</v>
      </c>
      <c r="I2711" t="str">
        <f>_xlfn.IFS(B2711&lt;=5,"Night (0-5)",B2711&lt;=9,"Morning peak (6-9)",B2711&lt;=15,"Midday (10-15)",B2711&lt;=19,"Evening peak (16-19)",TRUE,"Late evening (20-23)")</f>
        <v>Late evening (20-23)</v>
      </c>
    </row>
    <row r="2712" spans="1:9">
      <c r="A2712" s="32">
        <v>41842</v>
      </c>
      <c r="B2712">
        <v>22</v>
      </c>
      <c r="C2712">
        <v>1306</v>
      </c>
      <c r="D2712" t="s">
        <v>303</v>
      </c>
      <c r="E2712">
        <f>YEAR(A2712)</f>
        <v>2014</v>
      </c>
      <c r="F2712" s="33">
        <f>DATE(YEAR(A2712),MONTH(A2712),1)</f>
        <v>41821.0</v>
      </c>
      <c r="G2712" t="str">
        <f>CHOOSE(WEEKDAY(A2712,2),"Mon","Tue","Wed","Thu","Fri","Sat","Sun")</f>
        <v>Tue</v>
      </c>
      <c r="H2712" t="str">
        <f>IF(WEEKDAY(A2712,2)&gt;5,"Weekend","Weekday")</f>
        <v>Weekday</v>
      </c>
      <c r="I2712" t="str">
        <f>_xlfn.IFS(B2712&lt;=5,"Night (0-5)",B2712&lt;=9,"Morning peak (6-9)",B2712&lt;=15,"Midday (10-15)",B2712&lt;=19,"Evening peak (16-19)",TRUE,"Late evening (20-23)")</f>
        <v>Late evening (20-23)</v>
      </c>
    </row>
    <row r="2713" spans="1:9">
      <c r="A2713" s="32">
        <v>41842</v>
      </c>
      <c r="B2713">
        <v>23</v>
      </c>
      <c r="C2713">
        <v>735</v>
      </c>
      <c r="D2713" t="s">
        <v>303</v>
      </c>
      <c r="E2713">
        <f>YEAR(A2713)</f>
        <v>2014</v>
      </c>
      <c r="F2713" s="33">
        <f>DATE(YEAR(A2713),MONTH(A2713),1)</f>
        <v>41821.0</v>
      </c>
      <c r="G2713" t="str">
        <f>CHOOSE(WEEKDAY(A2713,2),"Mon","Tue","Wed","Thu","Fri","Sat","Sun")</f>
        <v>Tue</v>
      </c>
      <c r="H2713" t="str">
        <f>IF(WEEKDAY(A2713,2)&gt;5,"Weekend","Weekday")</f>
        <v>Weekday</v>
      </c>
      <c r="I2713" t="str">
        <f>_xlfn.IFS(B2713&lt;=5,"Night (0-5)",B2713&lt;=9,"Morning peak (6-9)",B2713&lt;=15,"Midday (10-15)",B2713&lt;=19,"Evening peak (16-19)",TRUE,"Late evening (20-23)")</f>
        <v>Late evening (20-23)</v>
      </c>
    </row>
    <row r="2714" spans="1:9">
      <c r="A2714" s="32">
        <v>41843</v>
      </c>
      <c r="B2714">
        <v>0</v>
      </c>
      <c r="C2714">
        <v>379</v>
      </c>
      <c r="D2714" t="s">
        <v>303</v>
      </c>
      <c r="E2714">
        <f>YEAR(A2714)</f>
        <v>2014</v>
      </c>
      <c r="F2714" s="33">
        <f>DATE(YEAR(A2714),MONTH(A2714),1)</f>
        <v>41821.0</v>
      </c>
      <c r="G2714" t="str">
        <f>CHOOSE(WEEKDAY(A2714,2),"Mon","Tue","Wed","Thu","Fri","Sat","Sun")</f>
        <v>Wed</v>
      </c>
      <c r="H2714" t="str">
        <f>IF(WEEKDAY(A2714,2)&gt;5,"Weekend","Weekday")</f>
        <v>Weekday</v>
      </c>
      <c r="I2714" t="str">
        <f>_xlfn.IFS(B2714&lt;=5,"Night (0-5)",B2714&lt;=9,"Morning peak (6-9)",B2714&lt;=15,"Midday (10-15)",B2714&lt;=19,"Evening peak (16-19)",TRUE,"Late evening (20-23)")</f>
        <v>Night (0-5)</v>
      </c>
    </row>
    <row r="2715" spans="1:9">
      <c r="A2715" s="32">
        <v>41843</v>
      </c>
      <c r="B2715">
        <v>1</v>
      </c>
      <c r="C2715">
        <v>211</v>
      </c>
      <c r="D2715" t="s">
        <v>303</v>
      </c>
      <c r="E2715">
        <f>YEAR(A2715)</f>
        <v>2014</v>
      </c>
      <c r="F2715" s="33">
        <f>DATE(YEAR(A2715),MONTH(A2715),1)</f>
        <v>41821.0</v>
      </c>
      <c r="G2715" t="str">
        <f>CHOOSE(WEEKDAY(A2715,2),"Mon","Tue","Wed","Thu","Fri","Sat","Sun")</f>
        <v>Wed</v>
      </c>
      <c r="H2715" t="str">
        <f>IF(WEEKDAY(A2715,2)&gt;5,"Weekend","Weekday")</f>
        <v>Weekday</v>
      </c>
      <c r="I2715" t="str">
        <f>_xlfn.IFS(B2715&lt;=5,"Night (0-5)",B2715&lt;=9,"Morning peak (6-9)",B2715&lt;=15,"Midday (10-15)",B2715&lt;=19,"Evening peak (16-19)",TRUE,"Late evening (20-23)")</f>
        <v>Night (0-5)</v>
      </c>
    </row>
    <row r="2716" spans="1:9">
      <c r="A2716" s="32">
        <v>41843</v>
      </c>
      <c r="B2716">
        <v>2</v>
      </c>
      <c r="C2716">
        <v>177</v>
      </c>
      <c r="D2716" t="s">
        <v>303</v>
      </c>
      <c r="E2716">
        <f>YEAR(A2716)</f>
        <v>2014</v>
      </c>
      <c r="F2716" s="33">
        <f>DATE(YEAR(A2716),MONTH(A2716),1)</f>
        <v>41821.0</v>
      </c>
      <c r="G2716" t="str">
        <f>CHOOSE(WEEKDAY(A2716,2),"Mon","Tue","Wed","Thu","Fri","Sat","Sun")</f>
        <v>Wed</v>
      </c>
      <c r="H2716" t="str">
        <f>IF(WEEKDAY(A2716,2)&gt;5,"Weekend","Weekday")</f>
        <v>Weekday</v>
      </c>
      <c r="I2716" t="str">
        <f>_xlfn.IFS(B2716&lt;=5,"Night (0-5)",B2716&lt;=9,"Morning peak (6-9)",B2716&lt;=15,"Midday (10-15)",B2716&lt;=19,"Evening peak (16-19)",TRUE,"Late evening (20-23)")</f>
        <v>Night (0-5)</v>
      </c>
    </row>
    <row r="2717" spans="1:9">
      <c r="A2717" s="32">
        <v>41843</v>
      </c>
      <c r="B2717">
        <v>3</v>
      </c>
      <c r="C2717">
        <v>243</v>
      </c>
      <c r="D2717" t="s">
        <v>303</v>
      </c>
      <c r="E2717">
        <f>YEAR(A2717)</f>
        <v>2014</v>
      </c>
      <c r="F2717" s="33">
        <f>DATE(YEAR(A2717),MONTH(A2717),1)</f>
        <v>41821.0</v>
      </c>
      <c r="G2717" t="str">
        <f>CHOOSE(WEEKDAY(A2717,2),"Mon","Tue","Wed","Thu","Fri","Sat","Sun")</f>
        <v>Wed</v>
      </c>
      <c r="H2717" t="str">
        <f>IF(WEEKDAY(A2717,2)&gt;5,"Weekend","Weekday")</f>
        <v>Weekday</v>
      </c>
      <c r="I2717" t="str">
        <f>_xlfn.IFS(B2717&lt;=5,"Night (0-5)",B2717&lt;=9,"Morning peak (6-9)",B2717&lt;=15,"Midday (10-15)",B2717&lt;=19,"Evening peak (16-19)",TRUE,"Late evening (20-23)")</f>
        <v>Night (0-5)</v>
      </c>
    </row>
    <row r="2718" spans="1:9">
      <c r="A2718" s="32">
        <v>41843</v>
      </c>
      <c r="B2718">
        <v>4</v>
      </c>
      <c r="C2718">
        <v>370</v>
      </c>
      <c r="D2718" t="s">
        <v>303</v>
      </c>
      <c r="E2718">
        <f>YEAR(A2718)</f>
        <v>2014</v>
      </c>
      <c r="F2718" s="33">
        <f>DATE(YEAR(A2718),MONTH(A2718),1)</f>
        <v>41821.0</v>
      </c>
      <c r="G2718" t="str">
        <f>CHOOSE(WEEKDAY(A2718,2),"Mon","Tue","Wed","Thu","Fri","Sat","Sun")</f>
        <v>Wed</v>
      </c>
      <c r="H2718" t="str">
        <f>IF(WEEKDAY(A2718,2)&gt;5,"Weekend","Weekday")</f>
        <v>Weekday</v>
      </c>
      <c r="I2718" t="str">
        <f>_xlfn.IFS(B2718&lt;=5,"Night (0-5)",B2718&lt;=9,"Morning peak (6-9)",B2718&lt;=15,"Midday (10-15)",B2718&lt;=19,"Evening peak (16-19)",TRUE,"Late evening (20-23)")</f>
        <v>Night (0-5)</v>
      </c>
    </row>
    <row r="2719" spans="1:9">
      <c r="A2719" s="32">
        <v>41843</v>
      </c>
      <c r="B2719">
        <v>5</v>
      </c>
      <c r="C2719">
        <v>619</v>
      </c>
      <c r="D2719" t="s">
        <v>303</v>
      </c>
      <c r="E2719">
        <f>YEAR(A2719)</f>
        <v>2014</v>
      </c>
      <c r="F2719" s="33">
        <f>DATE(YEAR(A2719),MONTH(A2719),1)</f>
        <v>41821.0</v>
      </c>
      <c r="G2719" t="str">
        <f>CHOOSE(WEEKDAY(A2719,2),"Mon","Tue","Wed","Thu","Fri","Sat","Sun")</f>
        <v>Wed</v>
      </c>
      <c r="H2719" t="str">
        <f>IF(WEEKDAY(A2719,2)&gt;5,"Weekend","Weekday")</f>
        <v>Weekday</v>
      </c>
      <c r="I2719" t="str">
        <f>_xlfn.IFS(B2719&lt;=5,"Night (0-5)",B2719&lt;=9,"Morning peak (6-9)",B2719&lt;=15,"Midday (10-15)",B2719&lt;=19,"Evening peak (16-19)",TRUE,"Late evening (20-23)")</f>
        <v>Night (0-5)</v>
      </c>
    </row>
    <row r="2720" spans="1:9">
      <c r="A2720" s="32">
        <v>41843</v>
      </c>
      <c r="B2720">
        <v>6</v>
      </c>
      <c r="C2720">
        <v>1059</v>
      </c>
      <c r="D2720" t="s">
        <v>303</v>
      </c>
      <c r="E2720">
        <f>YEAR(A2720)</f>
        <v>2014</v>
      </c>
      <c r="F2720" s="33">
        <f>DATE(YEAR(A2720),MONTH(A2720),1)</f>
        <v>41821.0</v>
      </c>
      <c r="G2720" t="str">
        <f>CHOOSE(WEEKDAY(A2720,2),"Mon","Tue","Wed","Thu","Fri","Sat","Sun")</f>
        <v>Wed</v>
      </c>
      <c r="H2720" t="str">
        <f>IF(WEEKDAY(A2720,2)&gt;5,"Weekend","Weekday")</f>
        <v>Weekday</v>
      </c>
      <c r="I2720" t="str">
        <f>_xlfn.IFS(B2720&lt;=5,"Night (0-5)",B2720&lt;=9,"Morning peak (6-9)",B2720&lt;=15,"Midday (10-15)",B2720&lt;=19,"Evening peak (16-19)",TRUE,"Late evening (20-23)")</f>
        <v>Morning peak (6-9)</v>
      </c>
    </row>
    <row r="2721" spans="1:9">
      <c r="A2721" s="32">
        <v>41843</v>
      </c>
      <c r="B2721">
        <v>7</v>
      </c>
      <c r="C2721">
        <v>1476</v>
      </c>
      <c r="D2721" t="s">
        <v>303</v>
      </c>
      <c r="E2721">
        <f>YEAR(A2721)</f>
        <v>2014</v>
      </c>
      <c r="F2721" s="33">
        <f>DATE(YEAR(A2721),MONTH(A2721),1)</f>
        <v>41821.0</v>
      </c>
      <c r="G2721" t="str">
        <f>CHOOSE(WEEKDAY(A2721,2),"Mon","Tue","Wed","Thu","Fri","Sat","Sun")</f>
        <v>Wed</v>
      </c>
      <c r="H2721" t="str">
        <f>IF(WEEKDAY(A2721,2)&gt;5,"Weekend","Weekday")</f>
        <v>Weekday</v>
      </c>
      <c r="I2721" t="str">
        <f>_xlfn.IFS(B2721&lt;=5,"Night (0-5)",B2721&lt;=9,"Morning peak (6-9)",B2721&lt;=15,"Midday (10-15)",B2721&lt;=19,"Evening peak (16-19)",TRUE,"Late evening (20-23)")</f>
        <v>Morning peak (6-9)</v>
      </c>
    </row>
    <row r="2722" spans="1:9">
      <c r="A2722" s="32">
        <v>41843</v>
      </c>
      <c r="B2722">
        <v>8</v>
      </c>
      <c r="C2722">
        <v>1529</v>
      </c>
      <c r="D2722" t="s">
        <v>303</v>
      </c>
      <c r="E2722">
        <f>YEAR(A2722)</f>
        <v>2014</v>
      </c>
      <c r="F2722" s="33">
        <f>DATE(YEAR(A2722),MONTH(A2722),1)</f>
        <v>41821.0</v>
      </c>
      <c r="G2722" t="str">
        <f>CHOOSE(WEEKDAY(A2722,2),"Mon","Tue","Wed","Thu","Fri","Sat","Sun")</f>
        <v>Wed</v>
      </c>
      <c r="H2722" t="str">
        <f>IF(WEEKDAY(A2722,2)&gt;5,"Weekend","Weekday")</f>
        <v>Weekday</v>
      </c>
      <c r="I2722" t="str">
        <f>_xlfn.IFS(B2722&lt;=5,"Night (0-5)",B2722&lt;=9,"Morning peak (6-9)",B2722&lt;=15,"Midday (10-15)",B2722&lt;=19,"Evening peak (16-19)",TRUE,"Late evening (20-23)")</f>
        <v>Morning peak (6-9)</v>
      </c>
    </row>
    <row r="2723" spans="1:9">
      <c r="A2723" s="32">
        <v>41843</v>
      </c>
      <c r="B2723">
        <v>9</v>
      </c>
      <c r="C2723">
        <v>1199</v>
      </c>
      <c r="D2723" t="s">
        <v>303</v>
      </c>
      <c r="E2723">
        <f>YEAR(A2723)</f>
        <v>2014</v>
      </c>
      <c r="F2723" s="33">
        <f>DATE(YEAR(A2723),MONTH(A2723),1)</f>
        <v>41821.0</v>
      </c>
      <c r="G2723" t="str">
        <f>CHOOSE(WEEKDAY(A2723,2),"Mon","Tue","Wed","Thu","Fri","Sat","Sun")</f>
        <v>Wed</v>
      </c>
      <c r="H2723" t="str">
        <f>IF(WEEKDAY(A2723,2)&gt;5,"Weekend","Weekday")</f>
        <v>Weekday</v>
      </c>
      <c r="I2723" t="str">
        <f>_xlfn.IFS(B2723&lt;=5,"Night (0-5)",B2723&lt;=9,"Morning peak (6-9)",B2723&lt;=15,"Midday (10-15)",B2723&lt;=19,"Evening peak (16-19)",TRUE,"Late evening (20-23)")</f>
        <v>Morning peak (6-9)</v>
      </c>
    </row>
    <row r="2724" spans="1:9">
      <c r="A2724" s="32">
        <v>41843</v>
      </c>
      <c r="B2724">
        <v>10</v>
      </c>
      <c r="C2724">
        <v>1175</v>
      </c>
      <c r="D2724" t="s">
        <v>303</v>
      </c>
      <c r="E2724">
        <f>YEAR(A2724)</f>
        <v>2014</v>
      </c>
      <c r="F2724" s="33">
        <f>DATE(YEAR(A2724),MONTH(A2724),1)</f>
        <v>41821.0</v>
      </c>
      <c r="G2724" t="str">
        <f>CHOOSE(WEEKDAY(A2724,2),"Mon","Tue","Wed","Thu","Fri","Sat","Sun")</f>
        <v>Wed</v>
      </c>
      <c r="H2724" t="str">
        <f>IF(WEEKDAY(A2724,2)&gt;5,"Weekend","Weekday")</f>
        <v>Weekday</v>
      </c>
      <c r="I2724" t="str">
        <f>_xlfn.IFS(B2724&lt;=5,"Night (0-5)",B2724&lt;=9,"Morning peak (6-9)",B2724&lt;=15,"Midday (10-15)",B2724&lt;=19,"Evening peak (16-19)",TRUE,"Late evening (20-23)")</f>
        <v>Midday (10-15)</v>
      </c>
    </row>
    <row r="2725" spans="1:9">
      <c r="A2725" s="32">
        <v>41843</v>
      </c>
      <c r="B2725">
        <v>11</v>
      </c>
      <c r="C2725">
        <v>1230</v>
      </c>
      <c r="D2725" t="s">
        <v>303</v>
      </c>
      <c r="E2725">
        <f>YEAR(A2725)</f>
        <v>2014</v>
      </c>
      <c r="F2725" s="33">
        <f>DATE(YEAR(A2725),MONTH(A2725),1)</f>
        <v>41821.0</v>
      </c>
      <c r="G2725" t="str">
        <f>CHOOSE(WEEKDAY(A2725,2),"Mon","Tue","Wed","Thu","Fri","Sat","Sun")</f>
        <v>Wed</v>
      </c>
      <c r="H2725" t="str">
        <f>IF(WEEKDAY(A2725,2)&gt;5,"Weekend","Weekday")</f>
        <v>Weekday</v>
      </c>
      <c r="I2725" t="str">
        <f>_xlfn.IFS(B2725&lt;=5,"Night (0-5)",B2725&lt;=9,"Morning peak (6-9)",B2725&lt;=15,"Midday (10-15)",B2725&lt;=19,"Evening peak (16-19)",TRUE,"Late evening (20-23)")</f>
        <v>Midday (10-15)</v>
      </c>
    </row>
    <row r="2726" spans="1:9">
      <c r="A2726" s="32">
        <v>41843</v>
      </c>
      <c r="B2726">
        <v>12</v>
      </c>
      <c r="C2726">
        <v>1272</v>
      </c>
      <c r="D2726" t="s">
        <v>303</v>
      </c>
      <c r="E2726">
        <f>YEAR(A2726)</f>
        <v>2014</v>
      </c>
      <c r="F2726" s="33">
        <f>DATE(YEAR(A2726),MONTH(A2726),1)</f>
        <v>41821.0</v>
      </c>
      <c r="G2726" t="str">
        <f>CHOOSE(WEEKDAY(A2726,2),"Mon","Tue","Wed","Thu","Fri","Sat","Sun")</f>
        <v>Wed</v>
      </c>
      <c r="H2726" t="str">
        <f>IF(WEEKDAY(A2726,2)&gt;5,"Weekend","Weekday")</f>
        <v>Weekday</v>
      </c>
      <c r="I2726" t="str">
        <f>_xlfn.IFS(B2726&lt;=5,"Night (0-5)",B2726&lt;=9,"Morning peak (6-9)",B2726&lt;=15,"Midday (10-15)",B2726&lt;=19,"Evening peak (16-19)",TRUE,"Late evening (20-23)")</f>
        <v>Midday (10-15)</v>
      </c>
    </row>
    <row r="2727" spans="1:9">
      <c r="A2727" s="32">
        <v>41843</v>
      </c>
      <c r="B2727">
        <v>13</v>
      </c>
      <c r="C2727">
        <v>1514</v>
      </c>
      <c r="D2727" t="s">
        <v>303</v>
      </c>
      <c r="E2727">
        <f>YEAR(A2727)</f>
        <v>2014</v>
      </c>
      <c r="F2727" s="33">
        <f>DATE(YEAR(A2727),MONTH(A2727),1)</f>
        <v>41821.0</v>
      </c>
      <c r="G2727" t="str">
        <f>CHOOSE(WEEKDAY(A2727,2),"Mon","Tue","Wed","Thu","Fri","Sat","Sun")</f>
        <v>Wed</v>
      </c>
      <c r="H2727" t="str">
        <f>IF(WEEKDAY(A2727,2)&gt;5,"Weekend","Weekday")</f>
        <v>Weekday</v>
      </c>
      <c r="I2727" t="str">
        <f>_xlfn.IFS(B2727&lt;=5,"Night (0-5)",B2727&lt;=9,"Morning peak (6-9)",B2727&lt;=15,"Midday (10-15)",B2727&lt;=19,"Evening peak (16-19)",TRUE,"Late evening (20-23)")</f>
        <v>Midday (10-15)</v>
      </c>
    </row>
    <row r="2728" spans="1:9">
      <c r="A2728" s="32">
        <v>41843</v>
      </c>
      <c r="B2728">
        <v>14</v>
      </c>
      <c r="C2728">
        <v>1758</v>
      </c>
      <c r="D2728" t="s">
        <v>303</v>
      </c>
      <c r="E2728">
        <f>YEAR(A2728)</f>
        <v>2014</v>
      </c>
      <c r="F2728" s="33">
        <f>DATE(YEAR(A2728),MONTH(A2728),1)</f>
        <v>41821.0</v>
      </c>
      <c r="G2728" t="str">
        <f>CHOOSE(WEEKDAY(A2728,2),"Mon","Tue","Wed","Thu","Fri","Sat","Sun")</f>
        <v>Wed</v>
      </c>
      <c r="H2728" t="str">
        <f>IF(WEEKDAY(A2728,2)&gt;5,"Weekend","Weekday")</f>
        <v>Weekday</v>
      </c>
      <c r="I2728" t="str">
        <f>_xlfn.IFS(B2728&lt;=5,"Night (0-5)",B2728&lt;=9,"Morning peak (6-9)",B2728&lt;=15,"Midday (10-15)",B2728&lt;=19,"Evening peak (16-19)",TRUE,"Late evening (20-23)")</f>
        <v>Midday (10-15)</v>
      </c>
    </row>
    <row r="2729" spans="1:9">
      <c r="A2729" s="32">
        <v>41843</v>
      </c>
      <c r="B2729">
        <v>15</v>
      </c>
      <c r="C2729">
        <v>2072</v>
      </c>
      <c r="D2729" t="s">
        <v>303</v>
      </c>
      <c r="E2729">
        <f>YEAR(A2729)</f>
        <v>2014</v>
      </c>
      <c r="F2729" s="33">
        <f>DATE(YEAR(A2729),MONTH(A2729),1)</f>
        <v>41821.0</v>
      </c>
      <c r="G2729" t="str">
        <f>CHOOSE(WEEKDAY(A2729,2),"Mon","Tue","Wed","Thu","Fri","Sat","Sun")</f>
        <v>Wed</v>
      </c>
      <c r="H2729" t="str">
        <f>IF(WEEKDAY(A2729,2)&gt;5,"Weekend","Weekday")</f>
        <v>Weekday</v>
      </c>
      <c r="I2729" t="str">
        <f>_xlfn.IFS(B2729&lt;=5,"Night (0-5)",B2729&lt;=9,"Morning peak (6-9)",B2729&lt;=15,"Midday (10-15)",B2729&lt;=19,"Evening peak (16-19)",TRUE,"Late evening (20-23)")</f>
        <v>Midday (10-15)</v>
      </c>
    </row>
    <row r="2730" spans="1:9">
      <c r="A2730" s="32">
        <v>41843</v>
      </c>
      <c r="B2730">
        <v>16</v>
      </c>
      <c r="C2730">
        <v>2371</v>
      </c>
      <c r="D2730" t="s">
        <v>303</v>
      </c>
      <c r="E2730">
        <f>YEAR(A2730)</f>
        <v>2014</v>
      </c>
      <c r="F2730" s="33">
        <f>DATE(YEAR(A2730),MONTH(A2730),1)</f>
        <v>41821.0</v>
      </c>
      <c r="G2730" t="str">
        <f>CHOOSE(WEEKDAY(A2730,2),"Mon","Tue","Wed","Thu","Fri","Sat","Sun")</f>
        <v>Wed</v>
      </c>
      <c r="H2730" t="str">
        <f>IF(WEEKDAY(A2730,2)&gt;5,"Weekend","Weekday")</f>
        <v>Weekday</v>
      </c>
      <c r="I2730" t="str">
        <f>_xlfn.IFS(B2730&lt;=5,"Night (0-5)",B2730&lt;=9,"Morning peak (6-9)",B2730&lt;=15,"Midday (10-15)",B2730&lt;=19,"Evening peak (16-19)",TRUE,"Late evening (20-23)")</f>
        <v>Evening peak (16-19)</v>
      </c>
    </row>
    <row r="2731" spans="1:9">
      <c r="A2731" s="32">
        <v>41843</v>
      </c>
      <c r="B2731">
        <v>17</v>
      </c>
      <c r="C2731">
        <v>2519</v>
      </c>
      <c r="D2731" t="s">
        <v>303</v>
      </c>
      <c r="E2731">
        <f>YEAR(A2731)</f>
        <v>2014</v>
      </c>
      <c r="F2731" s="33">
        <f>DATE(YEAR(A2731),MONTH(A2731),1)</f>
        <v>41821.0</v>
      </c>
      <c r="G2731" t="str">
        <f>CHOOSE(WEEKDAY(A2731,2),"Mon","Tue","Wed","Thu","Fri","Sat","Sun")</f>
        <v>Wed</v>
      </c>
      <c r="H2731" t="str">
        <f>IF(WEEKDAY(A2731,2)&gt;5,"Weekend","Weekday")</f>
        <v>Weekday</v>
      </c>
      <c r="I2731" t="str">
        <f>_xlfn.IFS(B2731&lt;=5,"Night (0-5)",B2731&lt;=9,"Morning peak (6-9)",B2731&lt;=15,"Midday (10-15)",B2731&lt;=19,"Evening peak (16-19)",TRUE,"Late evening (20-23)")</f>
        <v>Evening peak (16-19)</v>
      </c>
    </row>
    <row r="2732" spans="1:9">
      <c r="A2732" s="32">
        <v>41843</v>
      </c>
      <c r="B2732">
        <v>18</v>
      </c>
      <c r="C2732">
        <v>2434</v>
      </c>
      <c r="D2732" t="s">
        <v>303</v>
      </c>
      <c r="E2732">
        <f>YEAR(A2732)</f>
        <v>2014</v>
      </c>
      <c r="F2732" s="33">
        <f>DATE(YEAR(A2732),MONTH(A2732),1)</f>
        <v>41821.0</v>
      </c>
      <c r="G2732" t="str">
        <f>CHOOSE(WEEKDAY(A2732,2),"Mon","Tue","Wed","Thu","Fri","Sat","Sun")</f>
        <v>Wed</v>
      </c>
      <c r="H2732" t="str">
        <f>IF(WEEKDAY(A2732,2)&gt;5,"Weekend","Weekday")</f>
        <v>Weekday</v>
      </c>
      <c r="I2732" t="str">
        <f>_xlfn.IFS(B2732&lt;=5,"Night (0-5)",B2732&lt;=9,"Morning peak (6-9)",B2732&lt;=15,"Midday (10-15)",B2732&lt;=19,"Evening peak (16-19)",TRUE,"Late evening (20-23)")</f>
        <v>Evening peak (16-19)</v>
      </c>
    </row>
    <row r="2733" spans="1:9">
      <c r="A2733" s="32">
        <v>41843</v>
      </c>
      <c r="B2733">
        <v>19</v>
      </c>
      <c r="C2733">
        <v>2320</v>
      </c>
      <c r="D2733" t="s">
        <v>303</v>
      </c>
      <c r="E2733">
        <f>YEAR(A2733)</f>
        <v>2014</v>
      </c>
      <c r="F2733" s="33">
        <f>DATE(YEAR(A2733),MONTH(A2733),1)</f>
        <v>41821.0</v>
      </c>
      <c r="G2733" t="str">
        <f>CHOOSE(WEEKDAY(A2733,2),"Mon","Tue","Wed","Thu","Fri","Sat","Sun")</f>
        <v>Wed</v>
      </c>
      <c r="H2733" t="str">
        <f>IF(WEEKDAY(A2733,2)&gt;5,"Weekend","Weekday")</f>
        <v>Weekday</v>
      </c>
      <c r="I2733" t="str">
        <f>_xlfn.IFS(B2733&lt;=5,"Night (0-5)",B2733&lt;=9,"Morning peak (6-9)",B2733&lt;=15,"Midday (10-15)",B2733&lt;=19,"Evening peak (16-19)",TRUE,"Late evening (20-23)")</f>
        <v>Evening peak (16-19)</v>
      </c>
    </row>
    <row r="2734" spans="1:9">
      <c r="A2734" s="32">
        <v>41843</v>
      </c>
      <c r="B2734">
        <v>20</v>
      </c>
      <c r="C2734">
        <v>2791</v>
      </c>
      <c r="D2734" t="s">
        <v>303</v>
      </c>
      <c r="E2734">
        <f>YEAR(A2734)</f>
        <v>2014</v>
      </c>
      <c r="F2734" s="33">
        <f>DATE(YEAR(A2734),MONTH(A2734),1)</f>
        <v>41821.0</v>
      </c>
      <c r="G2734" t="str">
        <f>CHOOSE(WEEKDAY(A2734,2),"Mon","Tue","Wed","Thu","Fri","Sat","Sun")</f>
        <v>Wed</v>
      </c>
      <c r="H2734" t="str">
        <f>IF(WEEKDAY(A2734,2)&gt;5,"Weekend","Weekday")</f>
        <v>Weekday</v>
      </c>
      <c r="I2734" t="str">
        <f>_xlfn.IFS(B2734&lt;=5,"Night (0-5)",B2734&lt;=9,"Morning peak (6-9)",B2734&lt;=15,"Midday (10-15)",B2734&lt;=19,"Evening peak (16-19)",TRUE,"Late evening (20-23)")</f>
        <v>Late evening (20-23)</v>
      </c>
    </row>
    <row r="2735" spans="1:9">
      <c r="A2735" s="32">
        <v>41843</v>
      </c>
      <c r="B2735">
        <v>21</v>
      </c>
      <c r="C2735">
        <v>2559</v>
      </c>
      <c r="D2735" t="s">
        <v>303</v>
      </c>
      <c r="E2735">
        <f>YEAR(A2735)</f>
        <v>2014</v>
      </c>
      <c r="F2735" s="33">
        <f>DATE(YEAR(A2735),MONTH(A2735),1)</f>
        <v>41821.0</v>
      </c>
      <c r="G2735" t="str">
        <f>CHOOSE(WEEKDAY(A2735,2),"Mon","Tue","Wed","Thu","Fri","Sat","Sun")</f>
        <v>Wed</v>
      </c>
      <c r="H2735" t="str">
        <f>IF(WEEKDAY(A2735,2)&gt;5,"Weekend","Weekday")</f>
        <v>Weekday</v>
      </c>
      <c r="I2735" t="str">
        <f>_xlfn.IFS(B2735&lt;=5,"Night (0-5)",B2735&lt;=9,"Morning peak (6-9)",B2735&lt;=15,"Midday (10-15)",B2735&lt;=19,"Evening peak (16-19)",TRUE,"Late evening (20-23)")</f>
        <v>Late evening (20-23)</v>
      </c>
    </row>
    <row r="2736" spans="1:9">
      <c r="A2736" s="32">
        <v>41843</v>
      </c>
      <c r="B2736">
        <v>22</v>
      </c>
      <c r="C2736">
        <v>1858</v>
      </c>
      <c r="D2736" t="s">
        <v>303</v>
      </c>
      <c r="E2736">
        <f>YEAR(A2736)</f>
        <v>2014</v>
      </c>
      <c r="F2736" s="33">
        <f>DATE(YEAR(A2736),MONTH(A2736),1)</f>
        <v>41821.0</v>
      </c>
      <c r="G2736" t="str">
        <f>CHOOSE(WEEKDAY(A2736,2),"Mon","Tue","Wed","Thu","Fri","Sat","Sun")</f>
        <v>Wed</v>
      </c>
      <c r="H2736" t="str">
        <f>IF(WEEKDAY(A2736,2)&gt;5,"Weekend","Weekday")</f>
        <v>Weekday</v>
      </c>
      <c r="I2736" t="str">
        <f>_xlfn.IFS(B2736&lt;=5,"Night (0-5)",B2736&lt;=9,"Morning peak (6-9)",B2736&lt;=15,"Midday (10-15)",B2736&lt;=19,"Evening peak (16-19)",TRUE,"Late evening (20-23)")</f>
        <v>Late evening (20-23)</v>
      </c>
    </row>
    <row r="2737" spans="1:9">
      <c r="A2737" s="32">
        <v>41843</v>
      </c>
      <c r="B2737">
        <v>23</v>
      </c>
      <c r="C2737">
        <v>938</v>
      </c>
      <c r="D2737" t="s">
        <v>303</v>
      </c>
      <c r="E2737">
        <f>YEAR(A2737)</f>
        <v>2014</v>
      </c>
      <c r="F2737" s="33">
        <f>DATE(YEAR(A2737),MONTH(A2737),1)</f>
        <v>41821.0</v>
      </c>
      <c r="G2737" t="str">
        <f>CHOOSE(WEEKDAY(A2737,2),"Mon","Tue","Wed","Thu","Fri","Sat","Sun")</f>
        <v>Wed</v>
      </c>
      <c r="H2737" t="str">
        <f>IF(WEEKDAY(A2737,2)&gt;5,"Weekend","Weekday")</f>
        <v>Weekday</v>
      </c>
      <c r="I2737" t="str">
        <f>_xlfn.IFS(B2737&lt;=5,"Night (0-5)",B2737&lt;=9,"Morning peak (6-9)",B2737&lt;=15,"Midday (10-15)",B2737&lt;=19,"Evening peak (16-19)",TRUE,"Late evening (20-23)")</f>
        <v>Late evening (20-23)</v>
      </c>
    </row>
    <row r="2738" spans="1:9">
      <c r="A2738" s="32">
        <v>41844</v>
      </c>
      <c r="B2738">
        <v>0</v>
      </c>
      <c r="C2738">
        <v>446</v>
      </c>
      <c r="D2738" t="s">
        <v>303</v>
      </c>
      <c r="E2738">
        <f>YEAR(A2738)</f>
        <v>2014</v>
      </c>
      <c r="F2738" s="33">
        <f>DATE(YEAR(A2738),MONTH(A2738),1)</f>
        <v>41821.0</v>
      </c>
      <c r="G2738" t="str">
        <f>CHOOSE(WEEKDAY(A2738,2),"Mon","Tue","Wed","Thu","Fri","Sat","Sun")</f>
        <v>Thu</v>
      </c>
      <c r="H2738" t="str">
        <f>IF(WEEKDAY(A2738,2)&gt;5,"Weekend","Weekday")</f>
        <v>Weekday</v>
      </c>
      <c r="I2738" t="str">
        <f>_xlfn.IFS(B2738&lt;=5,"Night (0-5)",B2738&lt;=9,"Morning peak (6-9)",B2738&lt;=15,"Midday (10-15)",B2738&lt;=19,"Evening peak (16-19)",TRUE,"Late evening (20-23)")</f>
        <v>Night (0-5)</v>
      </c>
    </row>
    <row r="2739" spans="1:9">
      <c r="A2739" s="32">
        <v>41844</v>
      </c>
      <c r="B2739">
        <v>1</v>
      </c>
      <c r="C2739">
        <v>223</v>
      </c>
      <c r="D2739" t="s">
        <v>303</v>
      </c>
      <c r="E2739">
        <f>YEAR(A2739)</f>
        <v>2014</v>
      </c>
      <c r="F2739" s="33">
        <f>DATE(YEAR(A2739),MONTH(A2739),1)</f>
        <v>41821.0</v>
      </c>
      <c r="G2739" t="str">
        <f>CHOOSE(WEEKDAY(A2739,2),"Mon","Tue","Wed","Thu","Fri","Sat","Sun")</f>
        <v>Thu</v>
      </c>
      <c r="H2739" t="str">
        <f>IF(WEEKDAY(A2739,2)&gt;5,"Weekend","Weekday")</f>
        <v>Weekday</v>
      </c>
      <c r="I2739" t="str">
        <f>_xlfn.IFS(B2739&lt;=5,"Night (0-5)",B2739&lt;=9,"Morning peak (6-9)",B2739&lt;=15,"Midday (10-15)",B2739&lt;=19,"Evening peak (16-19)",TRUE,"Late evening (20-23)")</f>
        <v>Night (0-5)</v>
      </c>
    </row>
    <row r="2740" spans="1:9">
      <c r="A2740" s="32">
        <v>41844</v>
      </c>
      <c r="B2740">
        <v>2</v>
      </c>
      <c r="C2740">
        <v>176</v>
      </c>
      <c r="D2740" t="s">
        <v>303</v>
      </c>
      <c r="E2740">
        <f>YEAR(A2740)</f>
        <v>2014</v>
      </c>
      <c r="F2740" s="33">
        <f>DATE(YEAR(A2740),MONTH(A2740),1)</f>
        <v>41821.0</v>
      </c>
      <c r="G2740" t="str">
        <f>CHOOSE(WEEKDAY(A2740,2),"Mon","Tue","Wed","Thu","Fri","Sat","Sun")</f>
        <v>Thu</v>
      </c>
      <c r="H2740" t="str">
        <f>IF(WEEKDAY(A2740,2)&gt;5,"Weekend","Weekday")</f>
        <v>Weekday</v>
      </c>
      <c r="I2740" t="str">
        <f>_xlfn.IFS(B2740&lt;=5,"Night (0-5)",B2740&lt;=9,"Morning peak (6-9)",B2740&lt;=15,"Midday (10-15)",B2740&lt;=19,"Evening peak (16-19)",TRUE,"Late evening (20-23)")</f>
        <v>Night (0-5)</v>
      </c>
    </row>
    <row r="2741" spans="1:9">
      <c r="A2741" s="32">
        <v>41844</v>
      </c>
      <c r="B2741">
        <v>3</v>
      </c>
      <c r="C2741">
        <v>252</v>
      </c>
      <c r="D2741" t="s">
        <v>303</v>
      </c>
      <c r="E2741">
        <f>YEAR(A2741)</f>
        <v>2014</v>
      </c>
      <c r="F2741" s="33">
        <f>DATE(YEAR(A2741),MONTH(A2741),1)</f>
        <v>41821.0</v>
      </c>
      <c r="G2741" t="str">
        <f>CHOOSE(WEEKDAY(A2741,2),"Mon","Tue","Wed","Thu","Fri","Sat","Sun")</f>
        <v>Thu</v>
      </c>
      <c r="H2741" t="str">
        <f>IF(WEEKDAY(A2741,2)&gt;5,"Weekend","Weekday")</f>
        <v>Weekday</v>
      </c>
      <c r="I2741" t="str">
        <f>_xlfn.IFS(B2741&lt;=5,"Night (0-5)",B2741&lt;=9,"Morning peak (6-9)",B2741&lt;=15,"Midday (10-15)",B2741&lt;=19,"Evening peak (16-19)",TRUE,"Late evening (20-23)")</f>
        <v>Night (0-5)</v>
      </c>
    </row>
    <row r="2742" spans="1:9">
      <c r="A2742" s="32">
        <v>41844</v>
      </c>
      <c r="B2742">
        <v>4</v>
      </c>
      <c r="C2742">
        <v>420</v>
      </c>
      <c r="D2742" t="s">
        <v>303</v>
      </c>
      <c r="E2742">
        <f>YEAR(A2742)</f>
        <v>2014</v>
      </c>
      <c r="F2742" s="33">
        <f>DATE(YEAR(A2742),MONTH(A2742),1)</f>
        <v>41821.0</v>
      </c>
      <c r="G2742" t="str">
        <f>CHOOSE(WEEKDAY(A2742,2),"Mon","Tue","Wed","Thu","Fri","Sat","Sun")</f>
        <v>Thu</v>
      </c>
      <c r="H2742" t="str">
        <f>IF(WEEKDAY(A2742,2)&gt;5,"Weekend","Weekday")</f>
        <v>Weekday</v>
      </c>
      <c r="I2742" t="str">
        <f>_xlfn.IFS(B2742&lt;=5,"Night (0-5)",B2742&lt;=9,"Morning peak (6-9)",B2742&lt;=15,"Midday (10-15)",B2742&lt;=19,"Evening peak (16-19)",TRUE,"Late evening (20-23)")</f>
        <v>Night (0-5)</v>
      </c>
    </row>
    <row r="2743" spans="1:9">
      <c r="A2743" s="32">
        <v>41844</v>
      </c>
      <c r="B2743">
        <v>5</v>
      </c>
      <c r="C2743">
        <v>645</v>
      </c>
      <c r="D2743" t="s">
        <v>303</v>
      </c>
      <c r="E2743">
        <f>YEAR(A2743)</f>
        <v>2014</v>
      </c>
      <c r="F2743" s="33">
        <f>DATE(YEAR(A2743),MONTH(A2743),1)</f>
        <v>41821.0</v>
      </c>
      <c r="G2743" t="str">
        <f>CHOOSE(WEEKDAY(A2743,2),"Mon","Tue","Wed","Thu","Fri","Sat","Sun")</f>
        <v>Thu</v>
      </c>
      <c r="H2743" t="str">
        <f>IF(WEEKDAY(A2743,2)&gt;5,"Weekend","Weekday")</f>
        <v>Weekday</v>
      </c>
      <c r="I2743" t="str">
        <f>_xlfn.IFS(B2743&lt;=5,"Night (0-5)",B2743&lt;=9,"Morning peak (6-9)",B2743&lt;=15,"Midday (10-15)",B2743&lt;=19,"Evening peak (16-19)",TRUE,"Late evening (20-23)")</f>
        <v>Night (0-5)</v>
      </c>
    </row>
    <row r="2744" spans="1:9">
      <c r="A2744" s="32">
        <v>41844</v>
      </c>
      <c r="B2744">
        <v>6</v>
      </c>
      <c r="C2744">
        <v>1002</v>
      </c>
      <c r="D2744" t="s">
        <v>303</v>
      </c>
      <c r="E2744">
        <f>YEAR(A2744)</f>
        <v>2014</v>
      </c>
      <c r="F2744" s="33">
        <f>DATE(YEAR(A2744),MONTH(A2744),1)</f>
        <v>41821.0</v>
      </c>
      <c r="G2744" t="str">
        <f>CHOOSE(WEEKDAY(A2744,2),"Mon","Tue","Wed","Thu","Fri","Sat","Sun")</f>
        <v>Thu</v>
      </c>
      <c r="H2744" t="str">
        <f>IF(WEEKDAY(A2744,2)&gt;5,"Weekend","Weekday")</f>
        <v>Weekday</v>
      </c>
      <c r="I2744" t="str">
        <f>_xlfn.IFS(B2744&lt;=5,"Night (0-5)",B2744&lt;=9,"Morning peak (6-9)",B2744&lt;=15,"Midday (10-15)",B2744&lt;=19,"Evening peak (16-19)",TRUE,"Late evening (20-23)")</f>
        <v>Morning peak (6-9)</v>
      </c>
    </row>
    <row r="2745" spans="1:9">
      <c r="A2745" s="32">
        <v>41844</v>
      </c>
      <c r="B2745">
        <v>7</v>
      </c>
      <c r="C2745">
        <v>1353</v>
      </c>
      <c r="D2745" t="s">
        <v>303</v>
      </c>
      <c r="E2745">
        <f>YEAR(A2745)</f>
        <v>2014</v>
      </c>
      <c r="F2745" s="33">
        <f>DATE(YEAR(A2745),MONTH(A2745),1)</f>
        <v>41821.0</v>
      </c>
      <c r="G2745" t="str">
        <f>CHOOSE(WEEKDAY(A2745,2),"Mon","Tue","Wed","Thu","Fri","Sat","Sun")</f>
        <v>Thu</v>
      </c>
      <c r="H2745" t="str">
        <f>IF(WEEKDAY(A2745,2)&gt;5,"Weekend","Weekday")</f>
        <v>Weekday</v>
      </c>
      <c r="I2745" t="str">
        <f>_xlfn.IFS(B2745&lt;=5,"Night (0-5)",B2745&lt;=9,"Morning peak (6-9)",B2745&lt;=15,"Midday (10-15)",B2745&lt;=19,"Evening peak (16-19)",TRUE,"Late evening (20-23)")</f>
        <v>Morning peak (6-9)</v>
      </c>
    </row>
    <row r="2746" spans="1:9">
      <c r="A2746" s="32">
        <v>41844</v>
      </c>
      <c r="B2746">
        <v>8</v>
      </c>
      <c r="C2746">
        <v>1429</v>
      </c>
      <c r="D2746" t="s">
        <v>303</v>
      </c>
      <c r="E2746">
        <f>YEAR(A2746)</f>
        <v>2014</v>
      </c>
      <c r="F2746" s="33">
        <f>DATE(YEAR(A2746),MONTH(A2746),1)</f>
        <v>41821.0</v>
      </c>
      <c r="G2746" t="str">
        <f>CHOOSE(WEEKDAY(A2746,2),"Mon","Tue","Wed","Thu","Fri","Sat","Sun")</f>
        <v>Thu</v>
      </c>
      <c r="H2746" t="str">
        <f>IF(WEEKDAY(A2746,2)&gt;5,"Weekend","Weekday")</f>
        <v>Weekday</v>
      </c>
      <c r="I2746" t="str">
        <f>_xlfn.IFS(B2746&lt;=5,"Night (0-5)",B2746&lt;=9,"Morning peak (6-9)",B2746&lt;=15,"Midday (10-15)",B2746&lt;=19,"Evening peak (16-19)",TRUE,"Late evening (20-23)")</f>
        <v>Morning peak (6-9)</v>
      </c>
    </row>
    <row r="2747" spans="1:9">
      <c r="A2747" s="32">
        <v>41844</v>
      </c>
      <c r="B2747">
        <v>9</v>
      </c>
      <c r="C2747">
        <v>1230</v>
      </c>
      <c r="D2747" t="s">
        <v>303</v>
      </c>
      <c r="E2747">
        <f>YEAR(A2747)</f>
        <v>2014</v>
      </c>
      <c r="F2747" s="33">
        <f>DATE(YEAR(A2747),MONTH(A2747),1)</f>
        <v>41821.0</v>
      </c>
      <c r="G2747" t="str">
        <f>CHOOSE(WEEKDAY(A2747,2),"Mon","Tue","Wed","Thu","Fri","Sat","Sun")</f>
        <v>Thu</v>
      </c>
      <c r="H2747" t="str">
        <f>IF(WEEKDAY(A2747,2)&gt;5,"Weekend","Weekday")</f>
        <v>Weekday</v>
      </c>
      <c r="I2747" t="str">
        <f>_xlfn.IFS(B2747&lt;=5,"Night (0-5)",B2747&lt;=9,"Morning peak (6-9)",B2747&lt;=15,"Midday (10-15)",B2747&lt;=19,"Evening peak (16-19)",TRUE,"Late evening (20-23)")</f>
        <v>Morning peak (6-9)</v>
      </c>
    </row>
    <row r="2748" spans="1:9">
      <c r="A2748" s="32">
        <v>41844</v>
      </c>
      <c r="B2748">
        <v>10</v>
      </c>
      <c r="C2748">
        <v>1110</v>
      </c>
      <c r="D2748" t="s">
        <v>303</v>
      </c>
      <c r="E2748">
        <f>YEAR(A2748)</f>
        <v>2014</v>
      </c>
      <c r="F2748" s="33">
        <f>DATE(YEAR(A2748),MONTH(A2748),1)</f>
        <v>41821.0</v>
      </c>
      <c r="G2748" t="str">
        <f>CHOOSE(WEEKDAY(A2748,2),"Mon","Tue","Wed","Thu","Fri","Sat","Sun")</f>
        <v>Thu</v>
      </c>
      <c r="H2748" t="str">
        <f>IF(WEEKDAY(A2748,2)&gt;5,"Weekend","Weekday")</f>
        <v>Weekday</v>
      </c>
      <c r="I2748" t="str">
        <f>_xlfn.IFS(B2748&lt;=5,"Night (0-5)",B2748&lt;=9,"Morning peak (6-9)",B2748&lt;=15,"Midday (10-15)",B2748&lt;=19,"Evening peak (16-19)",TRUE,"Late evening (20-23)")</f>
        <v>Midday (10-15)</v>
      </c>
    </row>
    <row r="2749" spans="1:9">
      <c r="A2749" s="32">
        <v>41844</v>
      </c>
      <c r="B2749">
        <v>11</v>
      </c>
      <c r="C2749">
        <v>1218</v>
      </c>
      <c r="D2749" t="s">
        <v>303</v>
      </c>
      <c r="E2749">
        <f>YEAR(A2749)</f>
        <v>2014</v>
      </c>
      <c r="F2749" s="33">
        <f>DATE(YEAR(A2749),MONTH(A2749),1)</f>
        <v>41821.0</v>
      </c>
      <c r="G2749" t="str">
        <f>CHOOSE(WEEKDAY(A2749,2),"Mon","Tue","Wed","Thu","Fri","Sat","Sun")</f>
        <v>Thu</v>
      </c>
      <c r="H2749" t="str">
        <f>IF(WEEKDAY(A2749,2)&gt;5,"Weekend","Weekday")</f>
        <v>Weekday</v>
      </c>
      <c r="I2749" t="str">
        <f>_xlfn.IFS(B2749&lt;=5,"Night (0-5)",B2749&lt;=9,"Morning peak (6-9)",B2749&lt;=15,"Midday (10-15)",B2749&lt;=19,"Evening peak (16-19)",TRUE,"Late evening (20-23)")</f>
        <v>Midday (10-15)</v>
      </c>
    </row>
    <row r="2750" spans="1:9">
      <c r="A2750" s="32">
        <v>41844</v>
      </c>
      <c r="B2750">
        <v>12</v>
      </c>
      <c r="C2750">
        <v>1142</v>
      </c>
      <c r="D2750" t="s">
        <v>303</v>
      </c>
      <c r="E2750">
        <f>YEAR(A2750)</f>
        <v>2014</v>
      </c>
      <c r="F2750" s="33">
        <f>DATE(YEAR(A2750),MONTH(A2750),1)</f>
        <v>41821.0</v>
      </c>
      <c r="G2750" t="str">
        <f>CHOOSE(WEEKDAY(A2750,2),"Mon","Tue","Wed","Thu","Fri","Sat","Sun")</f>
        <v>Thu</v>
      </c>
      <c r="H2750" t="str">
        <f>IF(WEEKDAY(A2750,2)&gt;5,"Weekend","Weekday")</f>
        <v>Weekday</v>
      </c>
      <c r="I2750" t="str">
        <f>_xlfn.IFS(B2750&lt;=5,"Night (0-5)",B2750&lt;=9,"Morning peak (6-9)",B2750&lt;=15,"Midday (10-15)",B2750&lt;=19,"Evening peak (16-19)",TRUE,"Late evening (20-23)")</f>
        <v>Midday (10-15)</v>
      </c>
    </row>
    <row r="2751" spans="1:9">
      <c r="A2751" s="32">
        <v>41844</v>
      </c>
      <c r="B2751">
        <v>13</v>
      </c>
      <c r="C2751">
        <v>1283</v>
      </c>
      <c r="D2751" t="s">
        <v>303</v>
      </c>
      <c r="E2751">
        <f>YEAR(A2751)</f>
        <v>2014</v>
      </c>
      <c r="F2751" s="33">
        <f>DATE(YEAR(A2751),MONTH(A2751),1)</f>
        <v>41821.0</v>
      </c>
      <c r="G2751" t="str">
        <f>CHOOSE(WEEKDAY(A2751,2),"Mon","Tue","Wed","Thu","Fri","Sat","Sun")</f>
        <v>Thu</v>
      </c>
      <c r="H2751" t="str">
        <f>IF(WEEKDAY(A2751,2)&gt;5,"Weekend","Weekday")</f>
        <v>Weekday</v>
      </c>
      <c r="I2751" t="str">
        <f>_xlfn.IFS(B2751&lt;=5,"Night (0-5)",B2751&lt;=9,"Morning peak (6-9)",B2751&lt;=15,"Midday (10-15)",B2751&lt;=19,"Evening peak (16-19)",TRUE,"Late evening (20-23)")</f>
        <v>Midday (10-15)</v>
      </c>
    </row>
    <row r="2752" spans="1:9">
      <c r="A2752" s="32">
        <v>41844</v>
      </c>
      <c r="B2752">
        <v>14</v>
      </c>
      <c r="C2752">
        <v>1535</v>
      </c>
      <c r="D2752" t="s">
        <v>303</v>
      </c>
      <c r="E2752">
        <f>YEAR(A2752)</f>
        <v>2014</v>
      </c>
      <c r="F2752" s="33">
        <f>DATE(YEAR(A2752),MONTH(A2752),1)</f>
        <v>41821.0</v>
      </c>
      <c r="G2752" t="str">
        <f>CHOOSE(WEEKDAY(A2752,2),"Mon","Tue","Wed","Thu","Fri","Sat","Sun")</f>
        <v>Thu</v>
      </c>
      <c r="H2752" t="str">
        <f>IF(WEEKDAY(A2752,2)&gt;5,"Weekend","Weekday")</f>
        <v>Weekday</v>
      </c>
      <c r="I2752" t="str">
        <f>_xlfn.IFS(B2752&lt;=5,"Night (0-5)",B2752&lt;=9,"Morning peak (6-9)",B2752&lt;=15,"Midday (10-15)",B2752&lt;=19,"Evening peak (16-19)",TRUE,"Late evening (20-23)")</f>
        <v>Midday (10-15)</v>
      </c>
    </row>
    <row r="2753" spans="1:9">
      <c r="A2753" s="32">
        <v>41844</v>
      </c>
      <c r="B2753">
        <v>15</v>
      </c>
      <c r="C2753">
        <v>1704</v>
      </c>
      <c r="D2753" t="s">
        <v>303</v>
      </c>
      <c r="E2753">
        <f>YEAR(A2753)</f>
        <v>2014</v>
      </c>
      <c r="F2753" s="33">
        <f>DATE(YEAR(A2753),MONTH(A2753),1)</f>
        <v>41821.0</v>
      </c>
      <c r="G2753" t="str">
        <f>CHOOSE(WEEKDAY(A2753,2),"Mon","Tue","Wed","Thu","Fri","Sat","Sun")</f>
        <v>Thu</v>
      </c>
      <c r="H2753" t="str">
        <f>IF(WEEKDAY(A2753,2)&gt;5,"Weekend","Weekday")</f>
        <v>Weekday</v>
      </c>
      <c r="I2753" t="str">
        <f>_xlfn.IFS(B2753&lt;=5,"Night (0-5)",B2753&lt;=9,"Morning peak (6-9)",B2753&lt;=15,"Midday (10-15)",B2753&lt;=19,"Evening peak (16-19)",TRUE,"Late evening (20-23)")</f>
        <v>Midday (10-15)</v>
      </c>
    </row>
    <row r="2754" spans="1:9">
      <c r="A2754" s="32">
        <v>41844</v>
      </c>
      <c r="B2754">
        <v>16</v>
      </c>
      <c r="C2754">
        <v>2109</v>
      </c>
      <c r="D2754" t="s">
        <v>303</v>
      </c>
      <c r="E2754">
        <f>YEAR(A2754)</f>
        <v>2014</v>
      </c>
      <c r="F2754" s="33">
        <f>DATE(YEAR(A2754),MONTH(A2754),1)</f>
        <v>41821.0</v>
      </c>
      <c r="G2754" t="str">
        <f>CHOOSE(WEEKDAY(A2754,2),"Mon","Tue","Wed","Thu","Fri","Sat","Sun")</f>
        <v>Thu</v>
      </c>
      <c r="H2754" t="str">
        <f>IF(WEEKDAY(A2754,2)&gt;5,"Weekend","Weekday")</f>
        <v>Weekday</v>
      </c>
      <c r="I2754" t="str">
        <f>_xlfn.IFS(B2754&lt;=5,"Night (0-5)",B2754&lt;=9,"Morning peak (6-9)",B2754&lt;=15,"Midday (10-15)",B2754&lt;=19,"Evening peak (16-19)",TRUE,"Late evening (20-23)")</f>
        <v>Evening peak (16-19)</v>
      </c>
    </row>
    <row r="2755" spans="1:9">
      <c r="A2755" s="32">
        <v>41844</v>
      </c>
      <c r="B2755">
        <v>17</v>
      </c>
      <c r="C2755">
        <v>2385</v>
      </c>
      <c r="D2755" t="s">
        <v>303</v>
      </c>
      <c r="E2755">
        <f>YEAR(A2755)</f>
        <v>2014</v>
      </c>
      <c r="F2755" s="33">
        <f>DATE(YEAR(A2755),MONTH(A2755),1)</f>
        <v>41821.0</v>
      </c>
      <c r="G2755" t="str">
        <f>CHOOSE(WEEKDAY(A2755,2),"Mon","Tue","Wed","Thu","Fri","Sat","Sun")</f>
        <v>Thu</v>
      </c>
      <c r="H2755" t="str">
        <f>IF(WEEKDAY(A2755,2)&gt;5,"Weekend","Weekday")</f>
        <v>Weekday</v>
      </c>
      <c r="I2755" t="str">
        <f>_xlfn.IFS(B2755&lt;=5,"Night (0-5)",B2755&lt;=9,"Morning peak (6-9)",B2755&lt;=15,"Midday (10-15)",B2755&lt;=19,"Evening peak (16-19)",TRUE,"Late evening (20-23)")</f>
        <v>Evening peak (16-19)</v>
      </c>
    </row>
    <row r="2756" spans="1:9">
      <c r="A2756" s="32">
        <v>41844</v>
      </c>
      <c r="B2756">
        <v>18</v>
      </c>
      <c r="C2756">
        <v>2372</v>
      </c>
      <c r="D2756" t="s">
        <v>303</v>
      </c>
      <c r="E2756">
        <f>YEAR(A2756)</f>
        <v>2014</v>
      </c>
      <c r="F2756" s="33">
        <f>DATE(YEAR(A2756),MONTH(A2756),1)</f>
        <v>41821.0</v>
      </c>
      <c r="G2756" t="str">
        <f>CHOOSE(WEEKDAY(A2756,2),"Mon","Tue","Wed","Thu","Fri","Sat","Sun")</f>
        <v>Thu</v>
      </c>
      <c r="H2756" t="str">
        <f>IF(WEEKDAY(A2756,2)&gt;5,"Weekend","Weekday")</f>
        <v>Weekday</v>
      </c>
      <c r="I2756" t="str">
        <f>_xlfn.IFS(B2756&lt;=5,"Night (0-5)",B2756&lt;=9,"Morning peak (6-9)",B2756&lt;=15,"Midday (10-15)",B2756&lt;=19,"Evening peak (16-19)",TRUE,"Late evening (20-23)")</f>
        <v>Evening peak (16-19)</v>
      </c>
    </row>
    <row r="2757" spans="1:9">
      <c r="A2757" s="32">
        <v>41844</v>
      </c>
      <c r="B2757">
        <v>19</v>
      </c>
      <c r="C2757">
        <v>2316</v>
      </c>
      <c r="D2757" t="s">
        <v>303</v>
      </c>
      <c r="E2757">
        <f>YEAR(A2757)</f>
        <v>2014</v>
      </c>
      <c r="F2757" s="33">
        <f>DATE(YEAR(A2757),MONTH(A2757),1)</f>
        <v>41821.0</v>
      </c>
      <c r="G2757" t="str">
        <f>CHOOSE(WEEKDAY(A2757,2),"Mon","Tue","Wed","Thu","Fri","Sat","Sun")</f>
        <v>Thu</v>
      </c>
      <c r="H2757" t="str">
        <f>IF(WEEKDAY(A2757,2)&gt;5,"Weekend","Weekday")</f>
        <v>Weekday</v>
      </c>
      <c r="I2757" t="str">
        <f>_xlfn.IFS(B2757&lt;=5,"Night (0-5)",B2757&lt;=9,"Morning peak (6-9)",B2757&lt;=15,"Midday (10-15)",B2757&lt;=19,"Evening peak (16-19)",TRUE,"Late evening (20-23)")</f>
        <v>Evening peak (16-19)</v>
      </c>
    </row>
    <row r="2758" spans="1:9">
      <c r="A2758" s="32">
        <v>41844</v>
      </c>
      <c r="B2758">
        <v>20</v>
      </c>
      <c r="C2758">
        <v>2277</v>
      </c>
      <c r="D2758" t="s">
        <v>303</v>
      </c>
      <c r="E2758">
        <f>YEAR(A2758)</f>
        <v>2014</v>
      </c>
      <c r="F2758" s="33">
        <f>DATE(YEAR(A2758),MONTH(A2758),1)</f>
        <v>41821.0</v>
      </c>
      <c r="G2758" t="str">
        <f>CHOOSE(WEEKDAY(A2758,2),"Mon","Tue","Wed","Thu","Fri","Sat","Sun")</f>
        <v>Thu</v>
      </c>
      <c r="H2758" t="str">
        <f>IF(WEEKDAY(A2758,2)&gt;5,"Weekend","Weekday")</f>
        <v>Weekday</v>
      </c>
      <c r="I2758" t="str">
        <f>_xlfn.IFS(B2758&lt;=5,"Night (0-5)",B2758&lt;=9,"Morning peak (6-9)",B2758&lt;=15,"Midday (10-15)",B2758&lt;=19,"Evening peak (16-19)",TRUE,"Late evening (20-23)")</f>
        <v>Late evening (20-23)</v>
      </c>
    </row>
    <row r="2759" spans="1:9">
      <c r="A2759" s="32">
        <v>41844</v>
      </c>
      <c r="B2759">
        <v>21</v>
      </c>
      <c r="C2759">
        <v>2152</v>
      </c>
      <c r="D2759" t="s">
        <v>303</v>
      </c>
      <c r="E2759">
        <f>YEAR(A2759)</f>
        <v>2014</v>
      </c>
      <c r="F2759" s="33">
        <f>DATE(YEAR(A2759),MONTH(A2759),1)</f>
        <v>41821.0</v>
      </c>
      <c r="G2759" t="str">
        <f>CHOOSE(WEEKDAY(A2759,2),"Mon","Tue","Wed","Thu","Fri","Sat","Sun")</f>
        <v>Thu</v>
      </c>
      <c r="H2759" t="str">
        <f>IF(WEEKDAY(A2759,2)&gt;5,"Weekend","Weekday")</f>
        <v>Weekday</v>
      </c>
      <c r="I2759" t="str">
        <f>_xlfn.IFS(B2759&lt;=5,"Night (0-5)",B2759&lt;=9,"Morning peak (6-9)",B2759&lt;=15,"Midday (10-15)",B2759&lt;=19,"Evening peak (16-19)",TRUE,"Late evening (20-23)")</f>
        <v>Late evening (20-23)</v>
      </c>
    </row>
    <row r="2760" spans="1:9">
      <c r="A2760" s="32">
        <v>41844</v>
      </c>
      <c r="B2760">
        <v>22</v>
      </c>
      <c r="C2760">
        <v>1986</v>
      </c>
      <c r="D2760" t="s">
        <v>303</v>
      </c>
      <c r="E2760">
        <f>YEAR(A2760)</f>
        <v>2014</v>
      </c>
      <c r="F2760" s="33">
        <f>DATE(YEAR(A2760),MONTH(A2760),1)</f>
        <v>41821.0</v>
      </c>
      <c r="G2760" t="str">
        <f>CHOOSE(WEEKDAY(A2760,2),"Mon","Tue","Wed","Thu","Fri","Sat","Sun")</f>
        <v>Thu</v>
      </c>
      <c r="H2760" t="str">
        <f>IF(WEEKDAY(A2760,2)&gt;5,"Weekend","Weekday")</f>
        <v>Weekday</v>
      </c>
      <c r="I2760" t="str">
        <f>_xlfn.IFS(B2760&lt;=5,"Night (0-5)",B2760&lt;=9,"Morning peak (6-9)",B2760&lt;=15,"Midday (10-15)",B2760&lt;=19,"Evening peak (16-19)",TRUE,"Late evening (20-23)")</f>
        <v>Late evening (20-23)</v>
      </c>
    </row>
    <row r="2761" spans="1:9">
      <c r="A2761" s="32">
        <v>41844</v>
      </c>
      <c r="B2761">
        <v>23</v>
      </c>
      <c r="C2761">
        <v>1285</v>
      </c>
      <c r="D2761" t="s">
        <v>303</v>
      </c>
      <c r="E2761">
        <f>YEAR(A2761)</f>
        <v>2014</v>
      </c>
      <c r="F2761" s="33">
        <f>DATE(YEAR(A2761),MONTH(A2761),1)</f>
        <v>41821.0</v>
      </c>
      <c r="G2761" t="str">
        <f>CHOOSE(WEEKDAY(A2761,2),"Mon","Tue","Wed","Thu","Fri","Sat","Sun")</f>
        <v>Thu</v>
      </c>
      <c r="H2761" t="str">
        <f>IF(WEEKDAY(A2761,2)&gt;5,"Weekend","Weekday")</f>
        <v>Weekday</v>
      </c>
      <c r="I2761" t="str">
        <f>_xlfn.IFS(B2761&lt;=5,"Night (0-5)",B2761&lt;=9,"Morning peak (6-9)",B2761&lt;=15,"Midday (10-15)",B2761&lt;=19,"Evening peak (16-19)",TRUE,"Late evening (20-23)")</f>
        <v>Late evening (20-23)</v>
      </c>
    </row>
    <row r="2762" spans="1:9">
      <c r="A2762" s="32">
        <v>41845</v>
      </c>
      <c r="B2762">
        <v>0</v>
      </c>
      <c r="C2762">
        <v>714</v>
      </c>
      <c r="D2762" t="s">
        <v>303</v>
      </c>
      <c r="E2762">
        <f>YEAR(A2762)</f>
        <v>2014</v>
      </c>
      <c r="F2762" s="33">
        <f>DATE(YEAR(A2762),MONTH(A2762),1)</f>
        <v>41821.0</v>
      </c>
      <c r="G2762" t="str">
        <f>CHOOSE(WEEKDAY(A2762,2),"Mon","Tue","Wed","Thu","Fri","Sat","Sun")</f>
        <v>Fri</v>
      </c>
      <c r="H2762" t="str">
        <f>IF(WEEKDAY(A2762,2)&gt;5,"Weekend","Weekday")</f>
        <v>Weekday</v>
      </c>
      <c r="I2762" t="str">
        <f>_xlfn.IFS(B2762&lt;=5,"Night (0-5)",B2762&lt;=9,"Morning peak (6-9)",B2762&lt;=15,"Midday (10-15)",B2762&lt;=19,"Evening peak (16-19)",TRUE,"Late evening (20-23)")</f>
        <v>Night (0-5)</v>
      </c>
    </row>
    <row r="2763" spans="1:9">
      <c r="A2763" s="32">
        <v>41845</v>
      </c>
      <c r="B2763">
        <v>1</v>
      </c>
      <c r="C2763">
        <v>447</v>
      </c>
      <c r="D2763" t="s">
        <v>303</v>
      </c>
      <c r="E2763">
        <f>YEAR(A2763)</f>
        <v>2014</v>
      </c>
      <c r="F2763" s="33">
        <f>DATE(YEAR(A2763),MONTH(A2763),1)</f>
        <v>41821.0</v>
      </c>
      <c r="G2763" t="str">
        <f>CHOOSE(WEEKDAY(A2763,2),"Mon","Tue","Wed","Thu","Fri","Sat","Sun")</f>
        <v>Fri</v>
      </c>
      <c r="H2763" t="str">
        <f>IF(WEEKDAY(A2763,2)&gt;5,"Weekend","Weekday")</f>
        <v>Weekday</v>
      </c>
      <c r="I2763" t="str">
        <f>_xlfn.IFS(B2763&lt;=5,"Night (0-5)",B2763&lt;=9,"Morning peak (6-9)",B2763&lt;=15,"Midday (10-15)",B2763&lt;=19,"Evening peak (16-19)",TRUE,"Late evening (20-23)")</f>
        <v>Night (0-5)</v>
      </c>
    </row>
    <row r="2764" spans="1:9">
      <c r="A2764" s="32">
        <v>41845</v>
      </c>
      <c r="B2764">
        <v>2</v>
      </c>
      <c r="C2764">
        <v>290</v>
      </c>
      <c r="D2764" t="s">
        <v>303</v>
      </c>
      <c r="E2764">
        <f>YEAR(A2764)</f>
        <v>2014</v>
      </c>
      <c r="F2764" s="33">
        <f>DATE(YEAR(A2764),MONTH(A2764),1)</f>
        <v>41821.0</v>
      </c>
      <c r="G2764" t="str">
        <f>CHOOSE(WEEKDAY(A2764,2),"Mon","Tue","Wed","Thu","Fri","Sat","Sun")</f>
        <v>Fri</v>
      </c>
      <c r="H2764" t="str">
        <f>IF(WEEKDAY(A2764,2)&gt;5,"Weekend","Weekday")</f>
        <v>Weekday</v>
      </c>
      <c r="I2764" t="str">
        <f>_xlfn.IFS(B2764&lt;=5,"Night (0-5)",B2764&lt;=9,"Morning peak (6-9)",B2764&lt;=15,"Midday (10-15)",B2764&lt;=19,"Evening peak (16-19)",TRUE,"Late evening (20-23)")</f>
        <v>Night (0-5)</v>
      </c>
    </row>
    <row r="2765" spans="1:9">
      <c r="A2765" s="32">
        <v>41845</v>
      </c>
      <c r="B2765">
        <v>3</v>
      </c>
      <c r="C2765">
        <v>323</v>
      </c>
      <c r="D2765" t="s">
        <v>303</v>
      </c>
      <c r="E2765">
        <f>YEAR(A2765)</f>
        <v>2014</v>
      </c>
      <c r="F2765" s="33">
        <f>DATE(YEAR(A2765),MONTH(A2765),1)</f>
        <v>41821.0</v>
      </c>
      <c r="G2765" t="str">
        <f>CHOOSE(WEEKDAY(A2765,2),"Mon","Tue","Wed","Thu","Fri","Sat","Sun")</f>
        <v>Fri</v>
      </c>
      <c r="H2765" t="str">
        <f>IF(WEEKDAY(A2765,2)&gt;5,"Weekend","Weekday")</f>
        <v>Weekday</v>
      </c>
      <c r="I2765" t="str">
        <f>_xlfn.IFS(B2765&lt;=5,"Night (0-5)",B2765&lt;=9,"Morning peak (6-9)",B2765&lt;=15,"Midday (10-15)",B2765&lt;=19,"Evening peak (16-19)",TRUE,"Late evening (20-23)")</f>
        <v>Night (0-5)</v>
      </c>
    </row>
    <row r="2766" spans="1:9">
      <c r="A2766" s="32">
        <v>41845</v>
      </c>
      <c r="B2766">
        <v>4</v>
      </c>
      <c r="C2766">
        <v>401</v>
      </c>
      <c r="D2766" t="s">
        <v>303</v>
      </c>
      <c r="E2766">
        <f>YEAR(A2766)</f>
        <v>2014</v>
      </c>
      <c r="F2766" s="33">
        <f>DATE(YEAR(A2766),MONTH(A2766),1)</f>
        <v>41821.0</v>
      </c>
      <c r="G2766" t="str">
        <f>CHOOSE(WEEKDAY(A2766,2),"Mon","Tue","Wed","Thu","Fri","Sat","Sun")</f>
        <v>Fri</v>
      </c>
      <c r="H2766" t="str">
        <f>IF(WEEKDAY(A2766,2)&gt;5,"Weekend","Weekday")</f>
        <v>Weekday</v>
      </c>
      <c r="I2766" t="str">
        <f>_xlfn.IFS(B2766&lt;=5,"Night (0-5)",B2766&lt;=9,"Morning peak (6-9)",B2766&lt;=15,"Midday (10-15)",B2766&lt;=19,"Evening peak (16-19)",TRUE,"Late evening (20-23)")</f>
        <v>Night (0-5)</v>
      </c>
    </row>
    <row r="2767" spans="1:9">
      <c r="A2767" s="32">
        <v>41845</v>
      </c>
      <c r="B2767">
        <v>5</v>
      </c>
      <c r="C2767">
        <v>595</v>
      </c>
      <c r="D2767" t="s">
        <v>303</v>
      </c>
      <c r="E2767">
        <f>YEAR(A2767)</f>
        <v>2014</v>
      </c>
      <c r="F2767" s="33">
        <f>DATE(YEAR(A2767),MONTH(A2767),1)</f>
        <v>41821.0</v>
      </c>
      <c r="G2767" t="str">
        <f>CHOOSE(WEEKDAY(A2767,2),"Mon","Tue","Wed","Thu","Fri","Sat","Sun")</f>
        <v>Fri</v>
      </c>
      <c r="H2767" t="str">
        <f>IF(WEEKDAY(A2767,2)&gt;5,"Weekend","Weekday")</f>
        <v>Weekday</v>
      </c>
      <c r="I2767" t="str">
        <f>_xlfn.IFS(B2767&lt;=5,"Night (0-5)",B2767&lt;=9,"Morning peak (6-9)",B2767&lt;=15,"Midday (10-15)",B2767&lt;=19,"Evening peak (16-19)",TRUE,"Late evening (20-23)")</f>
        <v>Night (0-5)</v>
      </c>
    </row>
    <row r="2768" spans="1:9">
      <c r="A2768" s="32">
        <v>41845</v>
      </c>
      <c r="B2768">
        <v>6</v>
      </c>
      <c r="C2768">
        <v>901</v>
      </c>
      <c r="D2768" t="s">
        <v>303</v>
      </c>
      <c r="E2768">
        <f>YEAR(A2768)</f>
        <v>2014</v>
      </c>
      <c r="F2768" s="33">
        <f>DATE(YEAR(A2768),MONTH(A2768),1)</f>
        <v>41821.0</v>
      </c>
      <c r="G2768" t="str">
        <f>CHOOSE(WEEKDAY(A2768,2),"Mon","Tue","Wed","Thu","Fri","Sat","Sun")</f>
        <v>Fri</v>
      </c>
      <c r="H2768" t="str">
        <f>IF(WEEKDAY(A2768,2)&gt;5,"Weekend","Weekday")</f>
        <v>Weekday</v>
      </c>
      <c r="I2768" t="str">
        <f>_xlfn.IFS(B2768&lt;=5,"Night (0-5)",B2768&lt;=9,"Morning peak (6-9)",B2768&lt;=15,"Midday (10-15)",B2768&lt;=19,"Evening peak (16-19)",TRUE,"Late evening (20-23)")</f>
        <v>Morning peak (6-9)</v>
      </c>
    </row>
    <row r="2769" spans="1:9">
      <c r="A2769" s="32">
        <v>41845</v>
      </c>
      <c r="B2769">
        <v>7</v>
      </c>
      <c r="C2769">
        <v>1241</v>
      </c>
      <c r="D2769" t="s">
        <v>303</v>
      </c>
      <c r="E2769">
        <f>YEAR(A2769)</f>
        <v>2014</v>
      </c>
      <c r="F2769" s="33">
        <f>DATE(YEAR(A2769),MONTH(A2769),1)</f>
        <v>41821.0</v>
      </c>
      <c r="G2769" t="str">
        <f>CHOOSE(WEEKDAY(A2769,2),"Mon","Tue","Wed","Thu","Fri","Sat","Sun")</f>
        <v>Fri</v>
      </c>
      <c r="H2769" t="str">
        <f>IF(WEEKDAY(A2769,2)&gt;5,"Weekend","Weekday")</f>
        <v>Weekday</v>
      </c>
      <c r="I2769" t="str">
        <f>_xlfn.IFS(B2769&lt;=5,"Night (0-5)",B2769&lt;=9,"Morning peak (6-9)",B2769&lt;=15,"Midday (10-15)",B2769&lt;=19,"Evening peak (16-19)",TRUE,"Late evening (20-23)")</f>
        <v>Morning peak (6-9)</v>
      </c>
    </row>
    <row r="2770" spans="1:9">
      <c r="A2770" s="32">
        <v>41845</v>
      </c>
      <c r="B2770">
        <v>8</v>
      </c>
      <c r="C2770">
        <v>1305</v>
      </c>
      <c r="D2770" t="s">
        <v>303</v>
      </c>
      <c r="E2770">
        <f>YEAR(A2770)</f>
        <v>2014</v>
      </c>
      <c r="F2770" s="33">
        <f>DATE(YEAR(A2770),MONTH(A2770),1)</f>
        <v>41821.0</v>
      </c>
      <c r="G2770" t="str">
        <f>CHOOSE(WEEKDAY(A2770,2),"Mon","Tue","Wed","Thu","Fri","Sat","Sun")</f>
        <v>Fri</v>
      </c>
      <c r="H2770" t="str">
        <f>IF(WEEKDAY(A2770,2)&gt;5,"Weekend","Weekday")</f>
        <v>Weekday</v>
      </c>
      <c r="I2770" t="str">
        <f>_xlfn.IFS(B2770&lt;=5,"Night (0-5)",B2770&lt;=9,"Morning peak (6-9)",B2770&lt;=15,"Midday (10-15)",B2770&lt;=19,"Evening peak (16-19)",TRUE,"Late evening (20-23)")</f>
        <v>Morning peak (6-9)</v>
      </c>
    </row>
    <row r="2771" spans="1:9">
      <c r="A2771" s="32">
        <v>41845</v>
      </c>
      <c r="B2771">
        <v>9</v>
      </c>
      <c r="C2771">
        <v>1112</v>
      </c>
      <c r="D2771" t="s">
        <v>303</v>
      </c>
      <c r="E2771">
        <f>YEAR(A2771)</f>
        <v>2014</v>
      </c>
      <c r="F2771" s="33">
        <f>DATE(YEAR(A2771),MONTH(A2771),1)</f>
        <v>41821.0</v>
      </c>
      <c r="G2771" t="str">
        <f>CHOOSE(WEEKDAY(A2771,2),"Mon","Tue","Wed","Thu","Fri","Sat","Sun")</f>
        <v>Fri</v>
      </c>
      <c r="H2771" t="str">
        <f>IF(WEEKDAY(A2771,2)&gt;5,"Weekend","Weekday")</f>
        <v>Weekday</v>
      </c>
      <c r="I2771" t="str">
        <f>_xlfn.IFS(B2771&lt;=5,"Night (0-5)",B2771&lt;=9,"Morning peak (6-9)",B2771&lt;=15,"Midday (10-15)",B2771&lt;=19,"Evening peak (16-19)",TRUE,"Late evening (20-23)")</f>
        <v>Morning peak (6-9)</v>
      </c>
    </row>
    <row r="2772" spans="1:9">
      <c r="A2772" s="32">
        <v>41845</v>
      </c>
      <c r="B2772">
        <v>10</v>
      </c>
      <c r="C2772">
        <v>1036</v>
      </c>
      <c r="D2772" t="s">
        <v>303</v>
      </c>
      <c r="E2772">
        <f>YEAR(A2772)</f>
        <v>2014</v>
      </c>
      <c r="F2772" s="33">
        <f>DATE(YEAR(A2772),MONTH(A2772),1)</f>
        <v>41821.0</v>
      </c>
      <c r="G2772" t="str">
        <f>CHOOSE(WEEKDAY(A2772,2),"Mon","Tue","Wed","Thu","Fri","Sat","Sun")</f>
        <v>Fri</v>
      </c>
      <c r="H2772" t="str">
        <f>IF(WEEKDAY(A2772,2)&gt;5,"Weekend","Weekday")</f>
        <v>Weekday</v>
      </c>
      <c r="I2772" t="str">
        <f>_xlfn.IFS(B2772&lt;=5,"Night (0-5)",B2772&lt;=9,"Morning peak (6-9)",B2772&lt;=15,"Midday (10-15)",B2772&lt;=19,"Evening peak (16-19)",TRUE,"Late evening (20-23)")</f>
        <v>Midday (10-15)</v>
      </c>
    </row>
    <row r="2773" spans="1:9">
      <c r="A2773" s="32">
        <v>41845</v>
      </c>
      <c r="B2773">
        <v>11</v>
      </c>
      <c r="C2773">
        <v>1046</v>
      </c>
      <c r="D2773" t="s">
        <v>303</v>
      </c>
      <c r="E2773">
        <f>YEAR(A2773)</f>
        <v>2014</v>
      </c>
      <c r="F2773" s="33">
        <f>DATE(YEAR(A2773),MONTH(A2773),1)</f>
        <v>41821.0</v>
      </c>
      <c r="G2773" t="str">
        <f>CHOOSE(WEEKDAY(A2773,2),"Mon","Tue","Wed","Thu","Fri","Sat","Sun")</f>
        <v>Fri</v>
      </c>
      <c r="H2773" t="str">
        <f>IF(WEEKDAY(A2773,2)&gt;5,"Weekend","Weekday")</f>
        <v>Weekday</v>
      </c>
      <c r="I2773" t="str">
        <f>_xlfn.IFS(B2773&lt;=5,"Night (0-5)",B2773&lt;=9,"Morning peak (6-9)",B2773&lt;=15,"Midday (10-15)",B2773&lt;=19,"Evening peak (16-19)",TRUE,"Late evening (20-23)")</f>
        <v>Midday (10-15)</v>
      </c>
    </row>
    <row r="2774" spans="1:9">
      <c r="A2774" s="32">
        <v>41845</v>
      </c>
      <c r="B2774">
        <v>12</v>
      </c>
      <c r="C2774">
        <v>1014</v>
      </c>
      <c r="D2774" t="s">
        <v>303</v>
      </c>
      <c r="E2774">
        <f>YEAR(A2774)</f>
        <v>2014</v>
      </c>
      <c r="F2774" s="33">
        <f>DATE(YEAR(A2774),MONTH(A2774),1)</f>
        <v>41821.0</v>
      </c>
      <c r="G2774" t="str">
        <f>CHOOSE(WEEKDAY(A2774,2),"Mon","Tue","Wed","Thu","Fri","Sat","Sun")</f>
        <v>Fri</v>
      </c>
      <c r="H2774" t="str">
        <f>IF(WEEKDAY(A2774,2)&gt;5,"Weekend","Weekday")</f>
        <v>Weekday</v>
      </c>
      <c r="I2774" t="str">
        <f>_xlfn.IFS(B2774&lt;=5,"Night (0-5)",B2774&lt;=9,"Morning peak (6-9)",B2774&lt;=15,"Midday (10-15)",B2774&lt;=19,"Evening peak (16-19)",TRUE,"Late evening (20-23)")</f>
        <v>Midday (10-15)</v>
      </c>
    </row>
    <row r="2775" spans="1:9">
      <c r="A2775" s="32">
        <v>41845</v>
      </c>
      <c r="B2775">
        <v>13</v>
      </c>
      <c r="C2775">
        <v>1187</v>
      </c>
      <c r="D2775" t="s">
        <v>303</v>
      </c>
      <c r="E2775">
        <f>YEAR(A2775)</f>
        <v>2014</v>
      </c>
      <c r="F2775" s="33">
        <f>DATE(YEAR(A2775),MONTH(A2775),1)</f>
        <v>41821.0</v>
      </c>
      <c r="G2775" t="str">
        <f>CHOOSE(WEEKDAY(A2775,2),"Mon","Tue","Wed","Thu","Fri","Sat","Sun")</f>
        <v>Fri</v>
      </c>
      <c r="H2775" t="str">
        <f>IF(WEEKDAY(A2775,2)&gt;5,"Weekend","Weekday")</f>
        <v>Weekday</v>
      </c>
      <c r="I2775" t="str">
        <f>_xlfn.IFS(B2775&lt;=5,"Night (0-5)",B2775&lt;=9,"Morning peak (6-9)",B2775&lt;=15,"Midday (10-15)",B2775&lt;=19,"Evening peak (16-19)",TRUE,"Late evening (20-23)")</f>
        <v>Midday (10-15)</v>
      </c>
    </row>
    <row r="2776" spans="1:9">
      <c r="A2776" s="32">
        <v>41845</v>
      </c>
      <c r="B2776">
        <v>14</v>
      </c>
      <c r="C2776">
        <v>1530</v>
      </c>
      <c r="D2776" t="s">
        <v>303</v>
      </c>
      <c r="E2776">
        <f>YEAR(A2776)</f>
        <v>2014</v>
      </c>
      <c r="F2776" s="33">
        <f>DATE(YEAR(A2776),MONTH(A2776),1)</f>
        <v>41821.0</v>
      </c>
      <c r="G2776" t="str">
        <f>CHOOSE(WEEKDAY(A2776,2),"Mon","Tue","Wed","Thu","Fri","Sat","Sun")</f>
        <v>Fri</v>
      </c>
      <c r="H2776" t="str">
        <f>IF(WEEKDAY(A2776,2)&gt;5,"Weekend","Weekday")</f>
        <v>Weekday</v>
      </c>
      <c r="I2776" t="str">
        <f>_xlfn.IFS(B2776&lt;=5,"Night (0-5)",B2776&lt;=9,"Morning peak (6-9)",B2776&lt;=15,"Midday (10-15)",B2776&lt;=19,"Evening peak (16-19)",TRUE,"Late evening (20-23)")</f>
        <v>Midday (10-15)</v>
      </c>
    </row>
    <row r="2777" spans="1:9">
      <c r="A2777" s="32">
        <v>41845</v>
      </c>
      <c r="B2777">
        <v>15</v>
      </c>
      <c r="C2777">
        <v>1669</v>
      </c>
      <c r="D2777" t="s">
        <v>303</v>
      </c>
      <c r="E2777">
        <f>YEAR(A2777)</f>
        <v>2014</v>
      </c>
      <c r="F2777" s="33">
        <f>DATE(YEAR(A2777),MONTH(A2777),1)</f>
        <v>41821.0</v>
      </c>
      <c r="G2777" t="str">
        <f>CHOOSE(WEEKDAY(A2777,2),"Mon","Tue","Wed","Thu","Fri","Sat","Sun")</f>
        <v>Fri</v>
      </c>
      <c r="H2777" t="str">
        <f>IF(WEEKDAY(A2777,2)&gt;5,"Weekend","Weekday")</f>
        <v>Weekday</v>
      </c>
      <c r="I2777" t="str">
        <f>_xlfn.IFS(B2777&lt;=5,"Night (0-5)",B2777&lt;=9,"Morning peak (6-9)",B2777&lt;=15,"Midday (10-15)",B2777&lt;=19,"Evening peak (16-19)",TRUE,"Late evening (20-23)")</f>
        <v>Midday (10-15)</v>
      </c>
    </row>
    <row r="2778" spans="1:9">
      <c r="A2778" s="32">
        <v>41845</v>
      </c>
      <c r="B2778">
        <v>16</v>
      </c>
      <c r="C2778">
        <v>1897</v>
      </c>
      <c r="D2778" t="s">
        <v>303</v>
      </c>
      <c r="E2778">
        <f>YEAR(A2778)</f>
        <v>2014</v>
      </c>
      <c r="F2778" s="33">
        <f>DATE(YEAR(A2778),MONTH(A2778),1)</f>
        <v>41821.0</v>
      </c>
      <c r="G2778" t="str">
        <f>CHOOSE(WEEKDAY(A2778,2),"Mon","Tue","Wed","Thu","Fri","Sat","Sun")</f>
        <v>Fri</v>
      </c>
      <c r="H2778" t="str">
        <f>IF(WEEKDAY(A2778,2)&gt;5,"Weekend","Weekday")</f>
        <v>Weekday</v>
      </c>
      <c r="I2778" t="str">
        <f>_xlfn.IFS(B2778&lt;=5,"Night (0-5)",B2778&lt;=9,"Morning peak (6-9)",B2778&lt;=15,"Midday (10-15)",B2778&lt;=19,"Evening peak (16-19)",TRUE,"Late evening (20-23)")</f>
        <v>Evening peak (16-19)</v>
      </c>
    </row>
    <row r="2779" spans="1:9">
      <c r="A2779" s="32">
        <v>41845</v>
      </c>
      <c r="B2779">
        <v>17</v>
      </c>
      <c r="C2779">
        <v>2031</v>
      </c>
      <c r="D2779" t="s">
        <v>303</v>
      </c>
      <c r="E2779">
        <f>YEAR(A2779)</f>
        <v>2014</v>
      </c>
      <c r="F2779" s="33">
        <f>DATE(YEAR(A2779),MONTH(A2779),1)</f>
        <v>41821.0</v>
      </c>
      <c r="G2779" t="str">
        <f>CHOOSE(WEEKDAY(A2779,2),"Mon","Tue","Wed","Thu","Fri","Sat","Sun")</f>
        <v>Fri</v>
      </c>
      <c r="H2779" t="str">
        <f>IF(WEEKDAY(A2779,2)&gt;5,"Weekend","Weekday")</f>
        <v>Weekday</v>
      </c>
      <c r="I2779" t="str">
        <f>_xlfn.IFS(B2779&lt;=5,"Night (0-5)",B2779&lt;=9,"Morning peak (6-9)",B2779&lt;=15,"Midday (10-15)",B2779&lt;=19,"Evening peak (16-19)",TRUE,"Late evening (20-23)")</f>
        <v>Evening peak (16-19)</v>
      </c>
    </row>
    <row r="2780" spans="1:9">
      <c r="A2780" s="32">
        <v>41845</v>
      </c>
      <c r="B2780">
        <v>18</v>
      </c>
      <c r="C2780">
        <v>2008</v>
      </c>
      <c r="D2780" t="s">
        <v>303</v>
      </c>
      <c r="E2780">
        <f>YEAR(A2780)</f>
        <v>2014</v>
      </c>
      <c r="F2780" s="33">
        <f>DATE(YEAR(A2780),MONTH(A2780),1)</f>
        <v>41821.0</v>
      </c>
      <c r="G2780" t="str">
        <f>CHOOSE(WEEKDAY(A2780,2),"Mon","Tue","Wed","Thu","Fri","Sat","Sun")</f>
        <v>Fri</v>
      </c>
      <c r="H2780" t="str">
        <f>IF(WEEKDAY(A2780,2)&gt;5,"Weekend","Weekday")</f>
        <v>Weekday</v>
      </c>
      <c r="I2780" t="str">
        <f>_xlfn.IFS(B2780&lt;=5,"Night (0-5)",B2780&lt;=9,"Morning peak (6-9)",B2780&lt;=15,"Midday (10-15)",B2780&lt;=19,"Evening peak (16-19)",TRUE,"Late evening (20-23)")</f>
        <v>Evening peak (16-19)</v>
      </c>
    </row>
    <row r="2781" spans="1:9">
      <c r="A2781" s="32">
        <v>41845</v>
      </c>
      <c r="B2781">
        <v>19</v>
      </c>
      <c r="C2781">
        <v>1793</v>
      </c>
      <c r="D2781" t="s">
        <v>303</v>
      </c>
      <c r="E2781">
        <f>YEAR(A2781)</f>
        <v>2014</v>
      </c>
      <c r="F2781" s="33">
        <f>DATE(YEAR(A2781),MONTH(A2781),1)</f>
        <v>41821.0</v>
      </c>
      <c r="G2781" t="str">
        <f>CHOOSE(WEEKDAY(A2781,2),"Mon","Tue","Wed","Thu","Fri","Sat","Sun")</f>
        <v>Fri</v>
      </c>
      <c r="H2781" t="str">
        <f>IF(WEEKDAY(A2781,2)&gt;5,"Weekend","Weekday")</f>
        <v>Weekday</v>
      </c>
      <c r="I2781" t="str">
        <f>_xlfn.IFS(B2781&lt;=5,"Night (0-5)",B2781&lt;=9,"Morning peak (6-9)",B2781&lt;=15,"Midday (10-15)",B2781&lt;=19,"Evening peak (16-19)",TRUE,"Late evening (20-23)")</f>
        <v>Evening peak (16-19)</v>
      </c>
    </row>
    <row r="2782" spans="1:9">
      <c r="A2782" s="32">
        <v>41845</v>
      </c>
      <c r="B2782">
        <v>20</v>
      </c>
      <c r="C2782">
        <v>1804</v>
      </c>
      <c r="D2782" t="s">
        <v>303</v>
      </c>
      <c r="E2782">
        <f>YEAR(A2782)</f>
        <v>2014</v>
      </c>
      <c r="F2782" s="33">
        <f>DATE(YEAR(A2782),MONTH(A2782),1)</f>
        <v>41821.0</v>
      </c>
      <c r="G2782" t="str">
        <f>CHOOSE(WEEKDAY(A2782,2),"Mon","Tue","Wed","Thu","Fri","Sat","Sun")</f>
        <v>Fri</v>
      </c>
      <c r="H2782" t="str">
        <f>IF(WEEKDAY(A2782,2)&gt;5,"Weekend","Weekday")</f>
        <v>Weekday</v>
      </c>
      <c r="I2782" t="str">
        <f>_xlfn.IFS(B2782&lt;=5,"Night (0-5)",B2782&lt;=9,"Morning peak (6-9)",B2782&lt;=15,"Midday (10-15)",B2782&lt;=19,"Evening peak (16-19)",TRUE,"Late evening (20-23)")</f>
        <v>Late evening (20-23)</v>
      </c>
    </row>
    <row r="2783" spans="1:9">
      <c r="A2783" s="32">
        <v>41845</v>
      </c>
      <c r="B2783">
        <v>21</v>
      </c>
      <c r="C2783">
        <v>1934</v>
      </c>
      <c r="D2783" t="s">
        <v>303</v>
      </c>
      <c r="E2783">
        <f>YEAR(A2783)</f>
        <v>2014</v>
      </c>
      <c r="F2783" s="33">
        <f>DATE(YEAR(A2783),MONTH(A2783),1)</f>
        <v>41821.0</v>
      </c>
      <c r="G2783" t="str">
        <f>CHOOSE(WEEKDAY(A2783,2),"Mon","Tue","Wed","Thu","Fri","Sat","Sun")</f>
        <v>Fri</v>
      </c>
      <c r="H2783" t="str">
        <f>IF(WEEKDAY(A2783,2)&gt;5,"Weekend","Weekday")</f>
        <v>Weekday</v>
      </c>
      <c r="I2783" t="str">
        <f>_xlfn.IFS(B2783&lt;=5,"Night (0-5)",B2783&lt;=9,"Morning peak (6-9)",B2783&lt;=15,"Midday (10-15)",B2783&lt;=19,"Evening peak (16-19)",TRUE,"Late evening (20-23)")</f>
        <v>Late evening (20-23)</v>
      </c>
    </row>
    <row r="2784" spans="1:9">
      <c r="A2784" s="32">
        <v>41845</v>
      </c>
      <c r="B2784">
        <v>22</v>
      </c>
      <c r="C2784">
        <v>1942</v>
      </c>
      <c r="D2784" t="s">
        <v>303</v>
      </c>
      <c r="E2784">
        <f>YEAR(A2784)</f>
        <v>2014</v>
      </c>
      <c r="F2784" s="33">
        <f>DATE(YEAR(A2784),MONTH(A2784),1)</f>
        <v>41821.0</v>
      </c>
      <c r="G2784" t="str">
        <f>CHOOSE(WEEKDAY(A2784,2),"Mon","Tue","Wed","Thu","Fri","Sat","Sun")</f>
        <v>Fri</v>
      </c>
      <c r="H2784" t="str">
        <f>IF(WEEKDAY(A2784,2)&gt;5,"Weekend","Weekday")</f>
        <v>Weekday</v>
      </c>
      <c r="I2784" t="str">
        <f>_xlfn.IFS(B2784&lt;=5,"Night (0-5)",B2784&lt;=9,"Morning peak (6-9)",B2784&lt;=15,"Midday (10-15)",B2784&lt;=19,"Evening peak (16-19)",TRUE,"Late evening (20-23)")</f>
        <v>Late evening (20-23)</v>
      </c>
    </row>
    <row r="2785" spans="1:9">
      <c r="A2785" s="32">
        <v>41845</v>
      </c>
      <c r="B2785">
        <v>23</v>
      </c>
      <c r="C2785">
        <v>1755</v>
      </c>
      <c r="D2785" t="s">
        <v>303</v>
      </c>
      <c r="E2785">
        <f>YEAR(A2785)</f>
        <v>2014</v>
      </c>
      <c r="F2785" s="33">
        <f>DATE(YEAR(A2785),MONTH(A2785),1)</f>
        <v>41821.0</v>
      </c>
      <c r="G2785" t="str">
        <f>CHOOSE(WEEKDAY(A2785,2),"Mon","Tue","Wed","Thu","Fri","Sat","Sun")</f>
        <v>Fri</v>
      </c>
      <c r="H2785" t="str">
        <f>IF(WEEKDAY(A2785,2)&gt;5,"Weekend","Weekday")</f>
        <v>Weekday</v>
      </c>
      <c r="I2785" t="str">
        <f>_xlfn.IFS(B2785&lt;=5,"Night (0-5)",B2785&lt;=9,"Morning peak (6-9)",B2785&lt;=15,"Midday (10-15)",B2785&lt;=19,"Evening peak (16-19)",TRUE,"Late evening (20-23)")</f>
        <v>Late evening (20-23)</v>
      </c>
    </row>
    <row r="2786" spans="1:9">
      <c r="A2786" s="32">
        <v>41846</v>
      </c>
      <c r="B2786">
        <v>0</v>
      </c>
      <c r="C2786">
        <v>1245</v>
      </c>
      <c r="D2786" t="s">
        <v>303</v>
      </c>
      <c r="E2786">
        <f>YEAR(A2786)</f>
        <v>2014</v>
      </c>
      <c r="F2786" s="33">
        <f>DATE(YEAR(A2786),MONTH(A2786),1)</f>
        <v>41821.0</v>
      </c>
      <c r="G2786" t="str">
        <f>CHOOSE(WEEKDAY(A2786,2),"Mon","Tue","Wed","Thu","Fri","Sat","Sun")</f>
        <v>Sat</v>
      </c>
      <c r="H2786" t="str">
        <f>IF(WEEKDAY(A2786,2)&gt;5,"Weekend","Weekday")</f>
        <v>Weekend</v>
      </c>
      <c r="I2786" t="str">
        <f>_xlfn.IFS(B2786&lt;=5,"Night (0-5)",B2786&lt;=9,"Morning peak (6-9)",B2786&lt;=15,"Midday (10-15)",B2786&lt;=19,"Evening peak (16-19)",TRUE,"Late evening (20-23)")</f>
        <v>Night (0-5)</v>
      </c>
    </row>
    <row r="2787" spans="1:9">
      <c r="A2787" s="32">
        <v>41846</v>
      </c>
      <c r="B2787">
        <v>1</v>
      </c>
      <c r="C2787">
        <v>940</v>
      </c>
      <c r="D2787" t="s">
        <v>303</v>
      </c>
      <c r="E2787">
        <f>YEAR(A2787)</f>
        <v>2014</v>
      </c>
      <c r="F2787" s="33">
        <f>DATE(YEAR(A2787),MONTH(A2787),1)</f>
        <v>41821.0</v>
      </c>
      <c r="G2787" t="str">
        <f>CHOOSE(WEEKDAY(A2787,2),"Mon","Tue","Wed","Thu","Fri","Sat","Sun")</f>
        <v>Sat</v>
      </c>
      <c r="H2787" t="str">
        <f>IF(WEEKDAY(A2787,2)&gt;5,"Weekend","Weekday")</f>
        <v>Weekend</v>
      </c>
      <c r="I2787" t="str">
        <f>_xlfn.IFS(B2787&lt;=5,"Night (0-5)",B2787&lt;=9,"Morning peak (6-9)",B2787&lt;=15,"Midday (10-15)",B2787&lt;=19,"Evening peak (16-19)",TRUE,"Late evening (20-23)")</f>
        <v>Night (0-5)</v>
      </c>
    </row>
    <row r="2788" spans="1:9">
      <c r="A2788" s="32">
        <v>41846</v>
      </c>
      <c r="B2788">
        <v>2</v>
      </c>
      <c r="C2788">
        <v>677</v>
      </c>
      <c r="D2788" t="s">
        <v>303</v>
      </c>
      <c r="E2788">
        <f>YEAR(A2788)</f>
        <v>2014</v>
      </c>
      <c r="F2788" s="33">
        <f>DATE(YEAR(A2788),MONTH(A2788),1)</f>
        <v>41821.0</v>
      </c>
      <c r="G2788" t="str">
        <f>CHOOSE(WEEKDAY(A2788,2),"Mon","Tue","Wed","Thu","Fri","Sat","Sun")</f>
        <v>Sat</v>
      </c>
      <c r="H2788" t="str">
        <f>IF(WEEKDAY(A2788,2)&gt;5,"Weekend","Weekday")</f>
        <v>Weekend</v>
      </c>
      <c r="I2788" t="str">
        <f>_xlfn.IFS(B2788&lt;=5,"Night (0-5)",B2788&lt;=9,"Morning peak (6-9)",B2788&lt;=15,"Midday (10-15)",B2788&lt;=19,"Evening peak (16-19)",TRUE,"Late evening (20-23)")</f>
        <v>Night (0-5)</v>
      </c>
    </row>
    <row r="2789" spans="1:9">
      <c r="A2789" s="32">
        <v>41846</v>
      </c>
      <c r="B2789">
        <v>3</v>
      </c>
      <c r="C2789">
        <v>509</v>
      </c>
      <c r="D2789" t="s">
        <v>303</v>
      </c>
      <c r="E2789">
        <f>YEAR(A2789)</f>
        <v>2014</v>
      </c>
      <c r="F2789" s="33">
        <f>DATE(YEAR(A2789),MONTH(A2789),1)</f>
        <v>41821.0</v>
      </c>
      <c r="G2789" t="str">
        <f>CHOOSE(WEEKDAY(A2789,2),"Mon","Tue","Wed","Thu","Fri","Sat","Sun")</f>
        <v>Sat</v>
      </c>
      <c r="H2789" t="str">
        <f>IF(WEEKDAY(A2789,2)&gt;5,"Weekend","Weekday")</f>
        <v>Weekend</v>
      </c>
      <c r="I2789" t="str">
        <f>_xlfn.IFS(B2789&lt;=5,"Night (0-5)",B2789&lt;=9,"Morning peak (6-9)",B2789&lt;=15,"Midday (10-15)",B2789&lt;=19,"Evening peak (16-19)",TRUE,"Late evening (20-23)")</f>
        <v>Night (0-5)</v>
      </c>
    </row>
    <row r="2790" spans="1:9">
      <c r="A2790" s="32">
        <v>41846</v>
      </c>
      <c r="B2790">
        <v>4</v>
      </c>
      <c r="C2790">
        <v>376</v>
      </c>
      <c r="D2790" t="s">
        <v>303</v>
      </c>
      <c r="E2790">
        <f>YEAR(A2790)</f>
        <v>2014</v>
      </c>
      <c r="F2790" s="33">
        <f>DATE(YEAR(A2790),MONTH(A2790),1)</f>
        <v>41821.0</v>
      </c>
      <c r="G2790" t="str">
        <f>CHOOSE(WEEKDAY(A2790,2),"Mon","Tue","Wed","Thu","Fri","Sat","Sun")</f>
        <v>Sat</v>
      </c>
      <c r="H2790" t="str">
        <f>IF(WEEKDAY(A2790,2)&gt;5,"Weekend","Weekday")</f>
        <v>Weekend</v>
      </c>
      <c r="I2790" t="str">
        <f>_xlfn.IFS(B2790&lt;=5,"Night (0-5)",B2790&lt;=9,"Morning peak (6-9)",B2790&lt;=15,"Midday (10-15)",B2790&lt;=19,"Evening peak (16-19)",TRUE,"Late evening (20-23)")</f>
        <v>Night (0-5)</v>
      </c>
    </row>
    <row r="2791" spans="1:9">
      <c r="A2791" s="32">
        <v>41846</v>
      </c>
      <c r="B2791">
        <v>5</v>
      </c>
      <c r="C2791">
        <v>330</v>
      </c>
      <c r="D2791" t="s">
        <v>303</v>
      </c>
      <c r="E2791">
        <f>YEAR(A2791)</f>
        <v>2014</v>
      </c>
      <c r="F2791" s="33">
        <f>DATE(YEAR(A2791),MONTH(A2791),1)</f>
        <v>41821.0</v>
      </c>
      <c r="G2791" t="str">
        <f>CHOOSE(WEEKDAY(A2791,2),"Mon","Tue","Wed","Thu","Fri","Sat","Sun")</f>
        <v>Sat</v>
      </c>
      <c r="H2791" t="str">
        <f>IF(WEEKDAY(A2791,2)&gt;5,"Weekend","Weekday")</f>
        <v>Weekend</v>
      </c>
      <c r="I2791" t="str">
        <f>_xlfn.IFS(B2791&lt;=5,"Night (0-5)",B2791&lt;=9,"Morning peak (6-9)",B2791&lt;=15,"Midday (10-15)",B2791&lt;=19,"Evening peak (16-19)",TRUE,"Late evening (20-23)")</f>
        <v>Night (0-5)</v>
      </c>
    </row>
    <row r="2792" spans="1:9">
      <c r="A2792" s="32">
        <v>41846</v>
      </c>
      <c r="B2792">
        <v>6</v>
      </c>
      <c r="C2792">
        <v>368</v>
      </c>
      <c r="D2792" t="s">
        <v>303</v>
      </c>
      <c r="E2792">
        <f>YEAR(A2792)</f>
        <v>2014</v>
      </c>
      <c r="F2792" s="33">
        <f>DATE(YEAR(A2792),MONTH(A2792),1)</f>
        <v>41821.0</v>
      </c>
      <c r="G2792" t="str">
        <f>CHOOSE(WEEKDAY(A2792,2),"Mon","Tue","Wed","Thu","Fri","Sat","Sun")</f>
        <v>Sat</v>
      </c>
      <c r="H2792" t="str">
        <f>IF(WEEKDAY(A2792,2)&gt;5,"Weekend","Weekday")</f>
        <v>Weekend</v>
      </c>
      <c r="I2792" t="str">
        <f>_xlfn.IFS(B2792&lt;=5,"Night (0-5)",B2792&lt;=9,"Morning peak (6-9)",B2792&lt;=15,"Midday (10-15)",B2792&lt;=19,"Evening peak (16-19)",TRUE,"Late evening (20-23)")</f>
        <v>Morning peak (6-9)</v>
      </c>
    </row>
    <row r="2793" spans="1:9">
      <c r="A2793" s="32">
        <v>41846</v>
      </c>
      <c r="B2793">
        <v>7</v>
      </c>
      <c r="C2793">
        <v>496</v>
      </c>
      <c r="D2793" t="s">
        <v>303</v>
      </c>
      <c r="E2793">
        <f>YEAR(A2793)</f>
        <v>2014</v>
      </c>
      <c r="F2793" s="33">
        <f>DATE(YEAR(A2793),MONTH(A2793),1)</f>
        <v>41821.0</v>
      </c>
      <c r="G2793" t="str">
        <f>CHOOSE(WEEKDAY(A2793,2),"Mon","Tue","Wed","Thu","Fri","Sat","Sun")</f>
        <v>Sat</v>
      </c>
      <c r="H2793" t="str">
        <f>IF(WEEKDAY(A2793,2)&gt;5,"Weekend","Weekday")</f>
        <v>Weekend</v>
      </c>
      <c r="I2793" t="str">
        <f>_xlfn.IFS(B2793&lt;=5,"Night (0-5)",B2793&lt;=9,"Morning peak (6-9)",B2793&lt;=15,"Midday (10-15)",B2793&lt;=19,"Evening peak (16-19)",TRUE,"Late evening (20-23)")</f>
        <v>Morning peak (6-9)</v>
      </c>
    </row>
    <row r="2794" spans="1:9">
      <c r="A2794" s="32">
        <v>41846</v>
      </c>
      <c r="B2794">
        <v>8</v>
      </c>
      <c r="C2794">
        <v>647</v>
      </c>
      <c r="D2794" t="s">
        <v>303</v>
      </c>
      <c r="E2794">
        <f>YEAR(A2794)</f>
        <v>2014</v>
      </c>
      <c r="F2794" s="33">
        <f>DATE(YEAR(A2794),MONTH(A2794),1)</f>
        <v>41821.0</v>
      </c>
      <c r="G2794" t="str">
        <f>CHOOSE(WEEKDAY(A2794,2),"Mon","Tue","Wed","Thu","Fri","Sat","Sun")</f>
        <v>Sat</v>
      </c>
      <c r="H2794" t="str">
        <f>IF(WEEKDAY(A2794,2)&gt;5,"Weekend","Weekday")</f>
        <v>Weekend</v>
      </c>
      <c r="I2794" t="str">
        <f>_xlfn.IFS(B2794&lt;=5,"Night (0-5)",B2794&lt;=9,"Morning peak (6-9)",B2794&lt;=15,"Midday (10-15)",B2794&lt;=19,"Evening peak (16-19)",TRUE,"Late evening (20-23)")</f>
        <v>Morning peak (6-9)</v>
      </c>
    </row>
    <row r="2795" spans="1:9">
      <c r="A2795" s="32">
        <v>41846</v>
      </c>
      <c r="B2795">
        <v>9</v>
      </c>
      <c r="C2795">
        <v>804</v>
      </c>
      <c r="D2795" t="s">
        <v>303</v>
      </c>
      <c r="E2795">
        <f>YEAR(A2795)</f>
        <v>2014</v>
      </c>
      <c r="F2795" s="33">
        <f>DATE(YEAR(A2795),MONTH(A2795),1)</f>
        <v>41821.0</v>
      </c>
      <c r="G2795" t="str">
        <f>CHOOSE(WEEKDAY(A2795,2),"Mon","Tue","Wed","Thu","Fri","Sat","Sun")</f>
        <v>Sat</v>
      </c>
      <c r="H2795" t="str">
        <f>IF(WEEKDAY(A2795,2)&gt;5,"Weekend","Weekday")</f>
        <v>Weekend</v>
      </c>
      <c r="I2795" t="str">
        <f>_xlfn.IFS(B2795&lt;=5,"Night (0-5)",B2795&lt;=9,"Morning peak (6-9)",B2795&lt;=15,"Midday (10-15)",B2795&lt;=19,"Evening peak (16-19)",TRUE,"Late evening (20-23)")</f>
        <v>Morning peak (6-9)</v>
      </c>
    </row>
    <row r="2796" spans="1:9">
      <c r="A2796" s="32">
        <v>41846</v>
      </c>
      <c r="B2796">
        <v>10</v>
      </c>
      <c r="C2796">
        <v>986</v>
      </c>
      <c r="D2796" t="s">
        <v>303</v>
      </c>
      <c r="E2796">
        <f>YEAR(A2796)</f>
        <v>2014</v>
      </c>
      <c r="F2796" s="33">
        <f>DATE(YEAR(A2796),MONTH(A2796),1)</f>
        <v>41821.0</v>
      </c>
      <c r="G2796" t="str">
        <f>CHOOSE(WEEKDAY(A2796,2),"Mon","Tue","Wed","Thu","Fri","Sat","Sun")</f>
        <v>Sat</v>
      </c>
      <c r="H2796" t="str">
        <f>IF(WEEKDAY(A2796,2)&gt;5,"Weekend","Weekday")</f>
        <v>Weekend</v>
      </c>
      <c r="I2796" t="str">
        <f>_xlfn.IFS(B2796&lt;=5,"Night (0-5)",B2796&lt;=9,"Morning peak (6-9)",B2796&lt;=15,"Midday (10-15)",B2796&lt;=19,"Evening peak (16-19)",TRUE,"Late evening (20-23)")</f>
        <v>Midday (10-15)</v>
      </c>
    </row>
    <row r="2797" spans="1:9">
      <c r="A2797" s="32">
        <v>41846</v>
      </c>
      <c r="B2797">
        <v>11</v>
      </c>
      <c r="C2797">
        <v>1069</v>
      </c>
      <c r="D2797" t="s">
        <v>303</v>
      </c>
      <c r="E2797">
        <f>YEAR(A2797)</f>
        <v>2014</v>
      </c>
      <c r="F2797" s="33">
        <f>DATE(YEAR(A2797),MONTH(A2797),1)</f>
        <v>41821.0</v>
      </c>
      <c r="G2797" t="str">
        <f>CHOOSE(WEEKDAY(A2797,2),"Mon","Tue","Wed","Thu","Fri","Sat","Sun")</f>
        <v>Sat</v>
      </c>
      <c r="H2797" t="str">
        <f>IF(WEEKDAY(A2797,2)&gt;5,"Weekend","Weekday")</f>
        <v>Weekend</v>
      </c>
      <c r="I2797" t="str">
        <f>_xlfn.IFS(B2797&lt;=5,"Night (0-5)",B2797&lt;=9,"Morning peak (6-9)",B2797&lt;=15,"Midday (10-15)",B2797&lt;=19,"Evening peak (16-19)",TRUE,"Late evening (20-23)")</f>
        <v>Midday (10-15)</v>
      </c>
    </row>
    <row r="2798" spans="1:9">
      <c r="A2798" s="32">
        <v>41846</v>
      </c>
      <c r="B2798">
        <v>12</v>
      </c>
      <c r="C2798">
        <v>1132</v>
      </c>
      <c r="D2798" t="s">
        <v>303</v>
      </c>
      <c r="E2798">
        <f>YEAR(A2798)</f>
        <v>2014</v>
      </c>
      <c r="F2798" s="33">
        <f>DATE(YEAR(A2798),MONTH(A2798),1)</f>
        <v>41821.0</v>
      </c>
      <c r="G2798" t="str">
        <f>CHOOSE(WEEKDAY(A2798,2),"Mon","Tue","Wed","Thu","Fri","Sat","Sun")</f>
        <v>Sat</v>
      </c>
      <c r="H2798" t="str">
        <f>IF(WEEKDAY(A2798,2)&gt;5,"Weekend","Weekday")</f>
        <v>Weekend</v>
      </c>
      <c r="I2798" t="str">
        <f>_xlfn.IFS(B2798&lt;=5,"Night (0-5)",B2798&lt;=9,"Morning peak (6-9)",B2798&lt;=15,"Midday (10-15)",B2798&lt;=19,"Evening peak (16-19)",TRUE,"Late evening (20-23)")</f>
        <v>Midday (10-15)</v>
      </c>
    </row>
    <row r="2799" spans="1:9">
      <c r="A2799" s="32">
        <v>41846</v>
      </c>
      <c r="B2799">
        <v>13</v>
      </c>
      <c r="C2799">
        <v>1179</v>
      </c>
      <c r="D2799" t="s">
        <v>303</v>
      </c>
      <c r="E2799">
        <f>YEAR(A2799)</f>
        <v>2014</v>
      </c>
      <c r="F2799" s="33">
        <f>DATE(YEAR(A2799),MONTH(A2799),1)</f>
        <v>41821.0</v>
      </c>
      <c r="G2799" t="str">
        <f>CHOOSE(WEEKDAY(A2799,2),"Mon","Tue","Wed","Thu","Fri","Sat","Sun")</f>
        <v>Sat</v>
      </c>
      <c r="H2799" t="str">
        <f>IF(WEEKDAY(A2799,2)&gt;5,"Weekend","Weekday")</f>
        <v>Weekend</v>
      </c>
      <c r="I2799" t="str">
        <f>_xlfn.IFS(B2799&lt;=5,"Night (0-5)",B2799&lt;=9,"Morning peak (6-9)",B2799&lt;=15,"Midday (10-15)",B2799&lt;=19,"Evening peak (16-19)",TRUE,"Late evening (20-23)")</f>
        <v>Midday (10-15)</v>
      </c>
    </row>
    <row r="2800" spans="1:9">
      <c r="A2800" s="32">
        <v>41846</v>
      </c>
      <c r="B2800">
        <v>14</v>
      </c>
      <c r="C2800">
        <v>1377</v>
      </c>
      <c r="D2800" t="s">
        <v>303</v>
      </c>
      <c r="E2800">
        <f>YEAR(A2800)</f>
        <v>2014</v>
      </c>
      <c r="F2800" s="33">
        <f>DATE(YEAR(A2800),MONTH(A2800),1)</f>
        <v>41821.0</v>
      </c>
      <c r="G2800" t="str">
        <f>CHOOSE(WEEKDAY(A2800,2),"Mon","Tue","Wed","Thu","Fri","Sat","Sun")</f>
        <v>Sat</v>
      </c>
      <c r="H2800" t="str">
        <f>IF(WEEKDAY(A2800,2)&gt;5,"Weekend","Weekday")</f>
        <v>Weekend</v>
      </c>
      <c r="I2800" t="str">
        <f>_xlfn.IFS(B2800&lt;=5,"Night (0-5)",B2800&lt;=9,"Morning peak (6-9)",B2800&lt;=15,"Midday (10-15)",B2800&lt;=19,"Evening peak (16-19)",TRUE,"Late evening (20-23)")</f>
        <v>Midday (10-15)</v>
      </c>
    </row>
    <row r="2801" spans="1:9">
      <c r="A2801" s="32">
        <v>41846</v>
      </c>
      <c r="B2801">
        <v>15</v>
      </c>
      <c r="C2801">
        <v>1657</v>
      </c>
      <c r="D2801" t="s">
        <v>303</v>
      </c>
      <c r="E2801">
        <f>YEAR(A2801)</f>
        <v>2014</v>
      </c>
      <c r="F2801" s="33">
        <f>DATE(YEAR(A2801),MONTH(A2801),1)</f>
        <v>41821.0</v>
      </c>
      <c r="G2801" t="str">
        <f>CHOOSE(WEEKDAY(A2801,2),"Mon","Tue","Wed","Thu","Fri","Sat","Sun")</f>
        <v>Sat</v>
      </c>
      <c r="H2801" t="str">
        <f>IF(WEEKDAY(A2801,2)&gt;5,"Weekend","Weekday")</f>
        <v>Weekend</v>
      </c>
      <c r="I2801" t="str">
        <f>_xlfn.IFS(B2801&lt;=5,"Night (0-5)",B2801&lt;=9,"Morning peak (6-9)",B2801&lt;=15,"Midday (10-15)",B2801&lt;=19,"Evening peak (16-19)",TRUE,"Late evening (20-23)")</f>
        <v>Midday (10-15)</v>
      </c>
    </row>
    <row r="2802" spans="1:9">
      <c r="A2802" s="32">
        <v>41846</v>
      </c>
      <c r="B2802">
        <v>16</v>
      </c>
      <c r="C2802">
        <v>1725</v>
      </c>
      <c r="D2802" t="s">
        <v>303</v>
      </c>
      <c r="E2802">
        <f>YEAR(A2802)</f>
        <v>2014</v>
      </c>
      <c r="F2802" s="33">
        <f>DATE(YEAR(A2802),MONTH(A2802),1)</f>
        <v>41821.0</v>
      </c>
      <c r="G2802" t="str">
        <f>CHOOSE(WEEKDAY(A2802,2),"Mon","Tue","Wed","Thu","Fri","Sat","Sun")</f>
        <v>Sat</v>
      </c>
      <c r="H2802" t="str">
        <f>IF(WEEKDAY(A2802,2)&gt;5,"Weekend","Weekday")</f>
        <v>Weekend</v>
      </c>
      <c r="I2802" t="str">
        <f>_xlfn.IFS(B2802&lt;=5,"Night (0-5)",B2802&lt;=9,"Morning peak (6-9)",B2802&lt;=15,"Midday (10-15)",B2802&lt;=19,"Evening peak (16-19)",TRUE,"Late evening (20-23)")</f>
        <v>Evening peak (16-19)</v>
      </c>
    </row>
    <row r="2803" spans="1:9">
      <c r="A2803" s="32">
        <v>41846</v>
      </c>
      <c r="B2803">
        <v>17</v>
      </c>
      <c r="C2803">
        <v>1642</v>
      </c>
      <c r="D2803" t="s">
        <v>303</v>
      </c>
      <c r="E2803">
        <f>YEAR(A2803)</f>
        <v>2014</v>
      </c>
      <c r="F2803" s="33">
        <f>DATE(YEAR(A2803),MONTH(A2803),1)</f>
        <v>41821.0</v>
      </c>
      <c r="G2803" t="str">
        <f>CHOOSE(WEEKDAY(A2803,2),"Mon","Tue","Wed","Thu","Fri","Sat","Sun")</f>
        <v>Sat</v>
      </c>
      <c r="H2803" t="str">
        <f>IF(WEEKDAY(A2803,2)&gt;5,"Weekend","Weekday")</f>
        <v>Weekend</v>
      </c>
      <c r="I2803" t="str">
        <f>_xlfn.IFS(B2803&lt;=5,"Night (0-5)",B2803&lt;=9,"Morning peak (6-9)",B2803&lt;=15,"Midday (10-15)",B2803&lt;=19,"Evening peak (16-19)",TRUE,"Late evening (20-23)")</f>
        <v>Evening peak (16-19)</v>
      </c>
    </row>
    <row r="2804" spans="1:9">
      <c r="A2804" s="32">
        <v>41846</v>
      </c>
      <c r="B2804">
        <v>18</v>
      </c>
      <c r="C2804">
        <v>1814</v>
      </c>
      <c r="D2804" t="s">
        <v>303</v>
      </c>
      <c r="E2804">
        <f>YEAR(A2804)</f>
        <v>2014</v>
      </c>
      <c r="F2804" s="33">
        <f>DATE(YEAR(A2804),MONTH(A2804),1)</f>
        <v>41821.0</v>
      </c>
      <c r="G2804" t="str">
        <f>CHOOSE(WEEKDAY(A2804,2),"Mon","Tue","Wed","Thu","Fri","Sat","Sun")</f>
        <v>Sat</v>
      </c>
      <c r="H2804" t="str">
        <f>IF(WEEKDAY(A2804,2)&gt;5,"Weekend","Weekday")</f>
        <v>Weekend</v>
      </c>
      <c r="I2804" t="str">
        <f>_xlfn.IFS(B2804&lt;=5,"Night (0-5)",B2804&lt;=9,"Morning peak (6-9)",B2804&lt;=15,"Midday (10-15)",B2804&lt;=19,"Evening peak (16-19)",TRUE,"Late evening (20-23)")</f>
        <v>Evening peak (16-19)</v>
      </c>
    </row>
    <row r="2805" spans="1:9">
      <c r="A2805" s="32">
        <v>41846</v>
      </c>
      <c r="B2805">
        <v>19</v>
      </c>
      <c r="C2805">
        <v>1560</v>
      </c>
      <c r="D2805" t="s">
        <v>303</v>
      </c>
      <c r="E2805">
        <f>YEAR(A2805)</f>
        <v>2014</v>
      </c>
      <c r="F2805" s="33">
        <f>DATE(YEAR(A2805),MONTH(A2805),1)</f>
        <v>41821.0</v>
      </c>
      <c r="G2805" t="str">
        <f>CHOOSE(WEEKDAY(A2805,2),"Mon","Tue","Wed","Thu","Fri","Sat","Sun")</f>
        <v>Sat</v>
      </c>
      <c r="H2805" t="str">
        <f>IF(WEEKDAY(A2805,2)&gt;5,"Weekend","Weekday")</f>
        <v>Weekend</v>
      </c>
      <c r="I2805" t="str">
        <f>_xlfn.IFS(B2805&lt;=5,"Night (0-5)",B2805&lt;=9,"Morning peak (6-9)",B2805&lt;=15,"Midday (10-15)",B2805&lt;=19,"Evening peak (16-19)",TRUE,"Late evening (20-23)")</f>
        <v>Evening peak (16-19)</v>
      </c>
    </row>
    <row r="2806" spans="1:9">
      <c r="A2806" s="32">
        <v>41846</v>
      </c>
      <c r="B2806">
        <v>20</v>
      </c>
      <c r="C2806">
        <v>1755</v>
      </c>
      <c r="D2806" t="s">
        <v>303</v>
      </c>
      <c r="E2806">
        <f>YEAR(A2806)</f>
        <v>2014</v>
      </c>
      <c r="F2806" s="33">
        <f>DATE(YEAR(A2806),MONTH(A2806),1)</f>
        <v>41821.0</v>
      </c>
      <c r="G2806" t="str">
        <f>CHOOSE(WEEKDAY(A2806,2),"Mon","Tue","Wed","Thu","Fri","Sat","Sun")</f>
        <v>Sat</v>
      </c>
      <c r="H2806" t="str">
        <f>IF(WEEKDAY(A2806,2)&gt;5,"Weekend","Weekday")</f>
        <v>Weekend</v>
      </c>
      <c r="I2806" t="str">
        <f>_xlfn.IFS(B2806&lt;=5,"Night (0-5)",B2806&lt;=9,"Morning peak (6-9)",B2806&lt;=15,"Midday (10-15)",B2806&lt;=19,"Evening peak (16-19)",TRUE,"Late evening (20-23)")</f>
        <v>Late evening (20-23)</v>
      </c>
    </row>
    <row r="2807" spans="1:9">
      <c r="A2807" s="32">
        <v>41846</v>
      </c>
      <c r="B2807">
        <v>21</v>
      </c>
      <c r="C2807">
        <v>1840</v>
      </c>
      <c r="D2807" t="s">
        <v>303</v>
      </c>
      <c r="E2807">
        <f>YEAR(A2807)</f>
        <v>2014</v>
      </c>
      <c r="F2807" s="33">
        <f>DATE(YEAR(A2807),MONTH(A2807),1)</f>
        <v>41821.0</v>
      </c>
      <c r="G2807" t="str">
        <f>CHOOSE(WEEKDAY(A2807,2),"Mon","Tue","Wed","Thu","Fri","Sat","Sun")</f>
        <v>Sat</v>
      </c>
      <c r="H2807" t="str">
        <f>IF(WEEKDAY(A2807,2)&gt;5,"Weekend","Weekday")</f>
        <v>Weekend</v>
      </c>
      <c r="I2807" t="str">
        <f>_xlfn.IFS(B2807&lt;=5,"Night (0-5)",B2807&lt;=9,"Morning peak (6-9)",B2807&lt;=15,"Midday (10-15)",B2807&lt;=19,"Evening peak (16-19)",TRUE,"Late evening (20-23)")</f>
        <v>Late evening (20-23)</v>
      </c>
    </row>
    <row r="2808" spans="1:9">
      <c r="A2808" s="32">
        <v>41846</v>
      </c>
      <c r="B2808">
        <v>22</v>
      </c>
      <c r="C2808">
        <v>1854</v>
      </c>
      <c r="D2808" t="s">
        <v>303</v>
      </c>
      <c r="E2808">
        <f>YEAR(A2808)</f>
        <v>2014</v>
      </c>
      <c r="F2808" s="33">
        <f>DATE(YEAR(A2808),MONTH(A2808),1)</f>
        <v>41821.0</v>
      </c>
      <c r="G2808" t="str">
        <f>CHOOSE(WEEKDAY(A2808,2),"Mon","Tue","Wed","Thu","Fri","Sat","Sun")</f>
        <v>Sat</v>
      </c>
      <c r="H2808" t="str">
        <f>IF(WEEKDAY(A2808,2)&gt;5,"Weekend","Weekday")</f>
        <v>Weekend</v>
      </c>
      <c r="I2808" t="str">
        <f>_xlfn.IFS(B2808&lt;=5,"Night (0-5)",B2808&lt;=9,"Morning peak (6-9)",B2808&lt;=15,"Midday (10-15)",B2808&lt;=19,"Evening peak (16-19)",TRUE,"Late evening (20-23)")</f>
        <v>Late evening (20-23)</v>
      </c>
    </row>
    <row r="2809" spans="1:9">
      <c r="A2809" s="32">
        <v>41846</v>
      </c>
      <c r="B2809">
        <v>23</v>
      </c>
      <c r="C2809">
        <v>1726</v>
      </c>
      <c r="D2809" t="s">
        <v>303</v>
      </c>
      <c r="E2809">
        <f>YEAR(A2809)</f>
        <v>2014</v>
      </c>
      <c r="F2809" s="33">
        <f>DATE(YEAR(A2809),MONTH(A2809),1)</f>
        <v>41821.0</v>
      </c>
      <c r="G2809" t="str">
        <f>CHOOSE(WEEKDAY(A2809,2),"Mon","Tue","Wed","Thu","Fri","Sat","Sun")</f>
        <v>Sat</v>
      </c>
      <c r="H2809" t="str">
        <f>IF(WEEKDAY(A2809,2)&gt;5,"Weekend","Weekday")</f>
        <v>Weekend</v>
      </c>
      <c r="I2809" t="str">
        <f>_xlfn.IFS(B2809&lt;=5,"Night (0-5)",B2809&lt;=9,"Morning peak (6-9)",B2809&lt;=15,"Midday (10-15)",B2809&lt;=19,"Evening peak (16-19)",TRUE,"Late evening (20-23)")</f>
        <v>Late evening (20-23)</v>
      </c>
    </row>
    <row r="2810" spans="1:9">
      <c r="A2810" s="32">
        <v>41847</v>
      </c>
      <c r="B2810">
        <v>0</v>
      </c>
      <c r="C2810">
        <v>1303</v>
      </c>
      <c r="D2810" t="s">
        <v>303</v>
      </c>
      <c r="E2810">
        <f>YEAR(A2810)</f>
        <v>2014</v>
      </c>
      <c r="F2810" s="33">
        <f>DATE(YEAR(A2810),MONTH(A2810),1)</f>
        <v>41821.0</v>
      </c>
      <c r="G2810" t="str">
        <f>CHOOSE(WEEKDAY(A2810,2),"Mon","Tue","Wed","Thu","Fri","Sat","Sun")</f>
        <v>Sun</v>
      </c>
      <c r="H2810" t="str">
        <f>IF(WEEKDAY(A2810,2)&gt;5,"Weekend","Weekday")</f>
        <v>Weekend</v>
      </c>
      <c r="I2810" t="str">
        <f>_xlfn.IFS(B2810&lt;=5,"Night (0-5)",B2810&lt;=9,"Morning peak (6-9)",B2810&lt;=15,"Midday (10-15)",B2810&lt;=19,"Evening peak (16-19)",TRUE,"Late evening (20-23)")</f>
        <v>Night (0-5)</v>
      </c>
    </row>
    <row r="2811" spans="1:9">
      <c r="A2811" s="32">
        <v>41847</v>
      </c>
      <c r="B2811">
        <v>1</v>
      </c>
      <c r="C2811">
        <v>1016</v>
      </c>
      <c r="D2811" t="s">
        <v>303</v>
      </c>
      <c r="E2811">
        <f>YEAR(A2811)</f>
        <v>2014</v>
      </c>
      <c r="F2811" s="33">
        <f>DATE(YEAR(A2811),MONTH(A2811),1)</f>
        <v>41821.0</v>
      </c>
      <c r="G2811" t="str">
        <f>CHOOSE(WEEKDAY(A2811,2),"Mon","Tue","Wed","Thu","Fri","Sat","Sun")</f>
        <v>Sun</v>
      </c>
      <c r="H2811" t="str">
        <f>IF(WEEKDAY(A2811,2)&gt;5,"Weekend","Weekday")</f>
        <v>Weekend</v>
      </c>
      <c r="I2811" t="str">
        <f>_xlfn.IFS(B2811&lt;=5,"Night (0-5)",B2811&lt;=9,"Morning peak (6-9)",B2811&lt;=15,"Midday (10-15)",B2811&lt;=19,"Evening peak (16-19)",TRUE,"Late evening (20-23)")</f>
        <v>Night (0-5)</v>
      </c>
    </row>
    <row r="2812" spans="1:9">
      <c r="A2812" s="32">
        <v>41847</v>
      </c>
      <c r="B2812">
        <v>2</v>
      </c>
      <c r="C2812">
        <v>816</v>
      </c>
      <c r="D2812" t="s">
        <v>303</v>
      </c>
      <c r="E2812">
        <f>YEAR(A2812)</f>
        <v>2014</v>
      </c>
      <c r="F2812" s="33">
        <f>DATE(YEAR(A2812),MONTH(A2812),1)</f>
        <v>41821.0</v>
      </c>
      <c r="G2812" t="str">
        <f>CHOOSE(WEEKDAY(A2812,2),"Mon","Tue","Wed","Thu","Fri","Sat","Sun")</f>
        <v>Sun</v>
      </c>
      <c r="H2812" t="str">
        <f>IF(WEEKDAY(A2812,2)&gt;5,"Weekend","Weekday")</f>
        <v>Weekend</v>
      </c>
      <c r="I2812" t="str">
        <f>_xlfn.IFS(B2812&lt;=5,"Night (0-5)",B2812&lt;=9,"Morning peak (6-9)",B2812&lt;=15,"Midday (10-15)",B2812&lt;=19,"Evening peak (16-19)",TRUE,"Late evening (20-23)")</f>
        <v>Night (0-5)</v>
      </c>
    </row>
    <row r="2813" spans="1:9">
      <c r="A2813" s="32">
        <v>41847</v>
      </c>
      <c r="B2813">
        <v>3</v>
      </c>
      <c r="C2813">
        <v>639</v>
      </c>
      <c r="D2813" t="s">
        <v>303</v>
      </c>
      <c r="E2813">
        <f>YEAR(A2813)</f>
        <v>2014</v>
      </c>
      <c r="F2813" s="33">
        <f>DATE(YEAR(A2813),MONTH(A2813),1)</f>
        <v>41821.0</v>
      </c>
      <c r="G2813" t="str">
        <f>CHOOSE(WEEKDAY(A2813,2),"Mon","Tue","Wed","Thu","Fri","Sat","Sun")</f>
        <v>Sun</v>
      </c>
      <c r="H2813" t="str">
        <f>IF(WEEKDAY(A2813,2)&gt;5,"Weekend","Weekday")</f>
        <v>Weekend</v>
      </c>
      <c r="I2813" t="str">
        <f>_xlfn.IFS(B2813&lt;=5,"Night (0-5)",B2813&lt;=9,"Morning peak (6-9)",B2813&lt;=15,"Midday (10-15)",B2813&lt;=19,"Evening peak (16-19)",TRUE,"Late evening (20-23)")</f>
        <v>Night (0-5)</v>
      </c>
    </row>
    <row r="2814" spans="1:9">
      <c r="A2814" s="32">
        <v>41847</v>
      </c>
      <c r="B2814">
        <v>4</v>
      </c>
      <c r="C2814">
        <v>322</v>
      </c>
      <c r="D2814" t="s">
        <v>303</v>
      </c>
      <c r="E2814">
        <f>YEAR(A2814)</f>
        <v>2014</v>
      </c>
      <c r="F2814" s="33">
        <f>DATE(YEAR(A2814),MONTH(A2814),1)</f>
        <v>41821.0</v>
      </c>
      <c r="G2814" t="str">
        <f>CHOOSE(WEEKDAY(A2814,2),"Mon","Tue","Wed","Thu","Fri","Sat","Sun")</f>
        <v>Sun</v>
      </c>
      <c r="H2814" t="str">
        <f>IF(WEEKDAY(A2814,2)&gt;5,"Weekend","Weekday")</f>
        <v>Weekend</v>
      </c>
      <c r="I2814" t="str">
        <f>_xlfn.IFS(B2814&lt;=5,"Night (0-5)",B2814&lt;=9,"Morning peak (6-9)",B2814&lt;=15,"Midday (10-15)",B2814&lt;=19,"Evening peak (16-19)",TRUE,"Late evening (20-23)")</f>
        <v>Night (0-5)</v>
      </c>
    </row>
    <row r="2815" spans="1:9">
      <c r="A2815" s="32">
        <v>41847</v>
      </c>
      <c r="B2815">
        <v>5</v>
      </c>
      <c r="C2815">
        <v>277</v>
      </c>
      <c r="D2815" t="s">
        <v>303</v>
      </c>
      <c r="E2815">
        <f>YEAR(A2815)</f>
        <v>2014</v>
      </c>
      <c r="F2815" s="33">
        <f>DATE(YEAR(A2815),MONTH(A2815),1)</f>
        <v>41821.0</v>
      </c>
      <c r="G2815" t="str">
        <f>CHOOSE(WEEKDAY(A2815,2),"Mon","Tue","Wed","Thu","Fri","Sat","Sun")</f>
        <v>Sun</v>
      </c>
      <c r="H2815" t="str">
        <f>IF(WEEKDAY(A2815,2)&gt;5,"Weekend","Weekday")</f>
        <v>Weekend</v>
      </c>
      <c r="I2815" t="str">
        <f>_xlfn.IFS(B2815&lt;=5,"Night (0-5)",B2815&lt;=9,"Morning peak (6-9)",B2815&lt;=15,"Midday (10-15)",B2815&lt;=19,"Evening peak (16-19)",TRUE,"Late evening (20-23)")</f>
        <v>Night (0-5)</v>
      </c>
    </row>
    <row r="2816" spans="1:9">
      <c r="A2816" s="32">
        <v>41847</v>
      </c>
      <c r="B2816">
        <v>6</v>
      </c>
      <c r="C2816">
        <v>322</v>
      </c>
      <c r="D2816" t="s">
        <v>303</v>
      </c>
      <c r="E2816">
        <f>YEAR(A2816)</f>
        <v>2014</v>
      </c>
      <c r="F2816" s="33">
        <f>DATE(YEAR(A2816),MONTH(A2816),1)</f>
        <v>41821.0</v>
      </c>
      <c r="G2816" t="str">
        <f>CHOOSE(WEEKDAY(A2816,2),"Mon","Tue","Wed","Thu","Fri","Sat","Sun")</f>
        <v>Sun</v>
      </c>
      <c r="H2816" t="str">
        <f>IF(WEEKDAY(A2816,2)&gt;5,"Weekend","Weekday")</f>
        <v>Weekend</v>
      </c>
      <c r="I2816" t="str">
        <f>_xlfn.IFS(B2816&lt;=5,"Night (0-5)",B2816&lt;=9,"Morning peak (6-9)",B2816&lt;=15,"Midday (10-15)",B2816&lt;=19,"Evening peak (16-19)",TRUE,"Late evening (20-23)")</f>
        <v>Morning peak (6-9)</v>
      </c>
    </row>
    <row r="2817" spans="1:9">
      <c r="A2817" s="32">
        <v>41847</v>
      </c>
      <c r="B2817">
        <v>7</v>
      </c>
      <c r="C2817">
        <v>352</v>
      </c>
      <c r="D2817" t="s">
        <v>303</v>
      </c>
      <c r="E2817">
        <f>YEAR(A2817)</f>
        <v>2014</v>
      </c>
      <c r="F2817" s="33">
        <f>DATE(YEAR(A2817),MONTH(A2817),1)</f>
        <v>41821.0</v>
      </c>
      <c r="G2817" t="str">
        <f>CHOOSE(WEEKDAY(A2817,2),"Mon","Tue","Wed","Thu","Fri","Sat","Sun")</f>
        <v>Sun</v>
      </c>
      <c r="H2817" t="str">
        <f>IF(WEEKDAY(A2817,2)&gt;5,"Weekend","Weekday")</f>
        <v>Weekend</v>
      </c>
      <c r="I2817" t="str">
        <f>_xlfn.IFS(B2817&lt;=5,"Night (0-5)",B2817&lt;=9,"Morning peak (6-9)",B2817&lt;=15,"Midday (10-15)",B2817&lt;=19,"Evening peak (16-19)",TRUE,"Late evening (20-23)")</f>
        <v>Morning peak (6-9)</v>
      </c>
    </row>
    <row r="2818" spans="1:9">
      <c r="A2818" s="32">
        <v>41847</v>
      </c>
      <c r="B2818">
        <v>8</v>
      </c>
      <c r="C2818">
        <v>588</v>
      </c>
      <c r="D2818" t="s">
        <v>303</v>
      </c>
      <c r="E2818">
        <f>YEAR(A2818)</f>
        <v>2014</v>
      </c>
      <c r="F2818" s="33">
        <f>DATE(YEAR(A2818),MONTH(A2818),1)</f>
        <v>41821.0</v>
      </c>
      <c r="G2818" t="str">
        <f>CHOOSE(WEEKDAY(A2818,2),"Mon","Tue","Wed","Thu","Fri","Sat","Sun")</f>
        <v>Sun</v>
      </c>
      <c r="H2818" t="str">
        <f>IF(WEEKDAY(A2818,2)&gt;5,"Weekend","Weekday")</f>
        <v>Weekend</v>
      </c>
      <c r="I2818" t="str">
        <f>_xlfn.IFS(B2818&lt;=5,"Night (0-5)",B2818&lt;=9,"Morning peak (6-9)",B2818&lt;=15,"Midday (10-15)",B2818&lt;=19,"Evening peak (16-19)",TRUE,"Late evening (20-23)")</f>
        <v>Morning peak (6-9)</v>
      </c>
    </row>
    <row r="2819" spans="1:9">
      <c r="A2819" s="32">
        <v>41847</v>
      </c>
      <c r="B2819">
        <v>9</v>
      </c>
      <c r="C2819">
        <v>761</v>
      </c>
      <c r="D2819" t="s">
        <v>303</v>
      </c>
      <c r="E2819">
        <f>YEAR(A2819)</f>
        <v>2014</v>
      </c>
      <c r="F2819" s="33">
        <f>DATE(YEAR(A2819),MONTH(A2819),1)</f>
        <v>41821.0</v>
      </c>
      <c r="G2819" t="str">
        <f>CHOOSE(WEEKDAY(A2819,2),"Mon","Tue","Wed","Thu","Fri","Sat","Sun")</f>
        <v>Sun</v>
      </c>
      <c r="H2819" t="str">
        <f>IF(WEEKDAY(A2819,2)&gt;5,"Weekend","Weekday")</f>
        <v>Weekend</v>
      </c>
      <c r="I2819" t="str">
        <f>_xlfn.IFS(B2819&lt;=5,"Night (0-5)",B2819&lt;=9,"Morning peak (6-9)",B2819&lt;=15,"Midday (10-15)",B2819&lt;=19,"Evening peak (16-19)",TRUE,"Late evening (20-23)")</f>
        <v>Morning peak (6-9)</v>
      </c>
    </row>
    <row r="2820" spans="1:9">
      <c r="A2820" s="32">
        <v>41847</v>
      </c>
      <c r="B2820">
        <v>10</v>
      </c>
      <c r="C2820">
        <v>960</v>
      </c>
      <c r="D2820" t="s">
        <v>303</v>
      </c>
      <c r="E2820">
        <f>YEAR(A2820)</f>
        <v>2014</v>
      </c>
      <c r="F2820" s="33">
        <f>DATE(YEAR(A2820),MONTH(A2820),1)</f>
        <v>41821.0</v>
      </c>
      <c r="G2820" t="str">
        <f>CHOOSE(WEEKDAY(A2820,2),"Mon","Tue","Wed","Thu","Fri","Sat","Sun")</f>
        <v>Sun</v>
      </c>
      <c r="H2820" t="str">
        <f>IF(WEEKDAY(A2820,2)&gt;5,"Weekend","Weekday")</f>
        <v>Weekend</v>
      </c>
      <c r="I2820" t="str">
        <f>_xlfn.IFS(B2820&lt;=5,"Night (0-5)",B2820&lt;=9,"Morning peak (6-9)",B2820&lt;=15,"Midday (10-15)",B2820&lt;=19,"Evening peak (16-19)",TRUE,"Late evening (20-23)")</f>
        <v>Midday (10-15)</v>
      </c>
    </row>
    <row r="2821" spans="1:9">
      <c r="A2821" s="32">
        <v>41847</v>
      </c>
      <c r="B2821">
        <v>11</v>
      </c>
      <c r="C2821">
        <v>1170</v>
      </c>
      <c r="D2821" t="s">
        <v>303</v>
      </c>
      <c r="E2821">
        <f>YEAR(A2821)</f>
        <v>2014</v>
      </c>
      <c r="F2821" s="33">
        <f>DATE(YEAR(A2821),MONTH(A2821),1)</f>
        <v>41821.0</v>
      </c>
      <c r="G2821" t="str">
        <f>CHOOSE(WEEKDAY(A2821,2),"Mon","Tue","Wed","Thu","Fri","Sat","Sun")</f>
        <v>Sun</v>
      </c>
      <c r="H2821" t="str">
        <f>IF(WEEKDAY(A2821,2)&gt;5,"Weekend","Weekday")</f>
        <v>Weekend</v>
      </c>
      <c r="I2821" t="str">
        <f>_xlfn.IFS(B2821&lt;=5,"Night (0-5)",B2821&lt;=9,"Morning peak (6-9)",B2821&lt;=15,"Midday (10-15)",B2821&lt;=19,"Evening peak (16-19)",TRUE,"Late evening (20-23)")</f>
        <v>Midday (10-15)</v>
      </c>
    </row>
    <row r="2822" spans="1:9">
      <c r="A2822" s="32">
        <v>41847</v>
      </c>
      <c r="B2822">
        <v>12</v>
      </c>
      <c r="C2822">
        <v>1136</v>
      </c>
      <c r="D2822" t="s">
        <v>303</v>
      </c>
      <c r="E2822">
        <f>YEAR(A2822)</f>
        <v>2014</v>
      </c>
      <c r="F2822" s="33">
        <f>DATE(YEAR(A2822),MONTH(A2822),1)</f>
        <v>41821.0</v>
      </c>
      <c r="G2822" t="str">
        <f>CHOOSE(WEEKDAY(A2822,2),"Mon","Tue","Wed","Thu","Fri","Sat","Sun")</f>
        <v>Sun</v>
      </c>
      <c r="H2822" t="str">
        <f>IF(WEEKDAY(A2822,2)&gt;5,"Weekend","Weekday")</f>
        <v>Weekend</v>
      </c>
      <c r="I2822" t="str">
        <f>_xlfn.IFS(B2822&lt;=5,"Night (0-5)",B2822&lt;=9,"Morning peak (6-9)",B2822&lt;=15,"Midday (10-15)",B2822&lt;=19,"Evening peak (16-19)",TRUE,"Late evening (20-23)")</f>
        <v>Midday (10-15)</v>
      </c>
    </row>
    <row r="2823" spans="1:9">
      <c r="A2823" s="32">
        <v>41847</v>
      </c>
      <c r="B2823">
        <v>13</v>
      </c>
      <c r="C2823">
        <v>1292</v>
      </c>
      <c r="D2823" t="s">
        <v>303</v>
      </c>
      <c r="E2823">
        <f>YEAR(A2823)</f>
        <v>2014</v>
      </c>
      <c r="F2823" s="33">
        <f>DATE(YEAR(A2823),MONTH(A2823),1)</f>
        <v>41821.0</v>
      </c>
      <c r="G2823" t="str">
        <f>CHOOSE(WEEKDAY(A2823,2),"Mon","Tue","Wed","Thu","Fri","Sat","Sun")</f>
        <v>Sun</v>
      </c>
      <c r="H2823" t="str">
        <f>IF(WEEKDAY(A2823,2)&gt;5,"Weekend","Weekday")</f>
        <v>Weekend</v>
      </c>
      <c r="I2823" t="str">
        <f>_xlfn.IFS(B2823&lt;=5,"Night (0-5)",B2823&lt;=9,"Morning peak (6-9)",B2823&lt;=15,"Midday (10-15)",B2823&lt;=19,"Evening peak (16-19)",TRUE,"Late evening (20-23)")</f>
        <v>Midday (10-15)</v>
      </c>
    </row>
    <row r="2824" spans="1:9">
      <c r="A2824" s="32">
        <v>41847</v>
      </c>
      <c r="B2824">
        <v>14</v>
      </c>
      <c r="C2824">
        <v>1324</v>
      </c>
      <c r="D2824" t="s">
        <v>303</v>
      </c>
      <c r="E2824">
        <f>YEAR(A2824)</f>
        <v>2014</v>
      </c>
      <c r="F2824" s="33">
        <f>DATE(YEAR(A2824),MONTH(A2824),1)</f>
        <v>41821.0</v>
      </c>
      <c r="G2824" t="str">
        <f>CHOOSE(WEEKDAY(A2824,2),"Mon","Tue","Wed","Thu","Fri","Sat","Sun")</f>
        <v>Sun</v>
      </c>
      <c r="H2824" t="str">
        <f>IF(WEEKDAY(A2824,2)&gt;5,"Weekend","Weekday")</f>
        <v>Weekend</v>
      </c>
      <c r="I2824" t="str">
        <f>_xlfn.IFS(B2824&lt;=5,"Night (0-5)",B2824&lt;=9,"Morning peak (6-9)",B2824&lt;=15,"Midday (10-15)",B2824&lt;=19,"Evening peak (16-19)",TRUE,"Late evening (20-23)")</f>
        <v>Midday (10-15)</v>
      </c>
    </row>
    <row r="2825" spans="1:9">
      <c r="A2825" s="32">
        <v>41847</v>
      </c>
      <c r="B2825">
        <v>15</v>
      </c>
      <c r="C2825">
        <v>1412</v>
      </c>
      <c r="D2825" t="s">
        <v>303</v>
      </c>
      <c r="E2825">
        <f>YEAR(A2825)</f>
        <v>2014</v>
      </c>
      <c r="F2825" s="33">
        <f>DATE(YEAR(A2825),MONTH(A2825),1)</f>
        <v>41821.0</v>
      </c>
      <c r="G2825" t="str">
        <f>CHOOSE(WEEKDAY(A2825,2),"Mon","Tue","Wed","Thu","Fri","Sat","Sun")</f>
        <v>Sun</v>
      </c>
      <c r="H2825" t="str">
        <f>IF(WEEKDAY(A2825,2)&gt;5,"Weekend","Weekday")</f>
        <v>Weekend</v>
      </c>
      <c r="I2825" t="str">
        <f>_xlfn.IFS(B2825&lt;=5,"Night (0-5)",B2825&lt;=9,"Morning peak (6-9)",B2825&lt;=15,"Midday (10-15)",B2825&lt;=19,"Evening peak (16-19)",TRUE,"Late evening (20-23)")</f>
        <v>Midday (10-15)</v>
      </c>
    </row>
    <row r="2826" spans="1:9">
      <c r="A2826" s="32">
        <v>41847</v>
      </c>
      <c r="B2826">
        <v>16</v>
      </c>
      <c r="C2826">
        <v>1497</v>
      </c>
      <c r="D2826" t="s">
        <v>303</v>
      </c>
      <c r="E2826">
        <f>YEAR(A2826)</f>
        <v>2014</v>
      </c>
      <c r="F2826" s="33">
        <f>DATE(YEAR(A2826),MONTH(A2826),1)</f>
        <v>41821.0</v>
      </c>
      <c r="G2826" t="str">
        <f>CHOOSE(WEEKDAY(A2826,2),"Mon","Tue","Wed","Thu","Fri","Sat","Sun")</f>
        <v>Sun</v>
      </c>
      <c r="H2826" t="str">
        <f>IF(WEEKDAY(A2826,2)&gt;5,"Weekend","Weekday")</f>
        <v>Weekend</v>
      </c>
      <c r="I2826" t="str">
        <f>_xlfn.IFS(B2826&lt;=5,"Night (0-5)",B2826&lt;=9,"Morning peak (6-9)",B2826&lt;=15,"Midday (10-15)",B2826&lt;=19,"Evening peak (16-19)",TRUE,"Late evening (20-23)")</f>
        <v>Evening peak (16-19)</v>
      </c>
    </row>
    <row r="2827" spans="1:9">
      <c r="A2827" s="32">
        <v>41847</v>
      </c>
      <c r="B2827">
        <v>17</v>
      </c>
      <c r="C2827">
        <v>1432</v>
      </c>
      <c r="D2827" t="s">
        <v>303</v>
      </c>
      <c r="E2827">
        <f>YEAR(A2827)</f>
        <v>2014</v>
      </c>
      <c r="F2827" s="33">
        <f>DATE(YEAR(A2827),MONTH(A2827),1)</f>
        <v>41821.0</v>
      </c>
      <c r="G2827" t="str">
        <f>CHOOSE(WEEKDAY(A2827,2),"Mon","Tue","Wed","Thu","Fri","Sat","Sun")</f>
        <v>Sun</v>
      </c>
      <c r="H2827" t="str">
        <f>IF(WEEKDAY(A2827,2)&gt;5,"Weekend","Weekday")</f>
        <v>Weekend</v>
      </c>
      <c r="I2827" t="str">
        <f>_xlfn.IFS(B2827&lt;=5,"Night (0-5)",B2827&lt;=9,"Morning peak (6-9)",B2827&lt;=15,"Midday (10-15)",B2827&lt;=19,"Evening peak (16-19)",TRUE,"Late evening (20-23)")</f>
        <v>Evening peak (16-19)</v>
      </c>
    </row>
    <row r="2828" spans="1:9">
      <c r="A2828" s="32">
        <v>41847</v>
      </c>
      <c r="B2828">
        <v>18</v>
      </c>
      <c r="C2828">
        <v>1245</v>
      </c>
      <c r="D2828" t="s">
        <v>303</v>
      </c>
      <c r="E2828">
        <f>YEAR(A2828)</f>
        <v>2014</v>
      </c>
      <c r="F2828" s="33">
        <f>DATE(YEAR(A2828),MONTH(A2828),1)</f>
        <v>41821.0</v>
      </c>
      <c r="G2828" t="str">
        <f>CHOOSE(WEEKDAY(A2828,2),"Mon","Tue","Wed","Thu","Fri","Sat","Sun")</f>
        <v>Sun</v>
      </c>
      <c r="H2828" t="str">
        <f>IF(WEEKDAY(A2828,2)&gt;5,"Weekend","Weekday")</f>
        <v>Weekend</v>
      </c>
      <c r="I2828" t="str">
        <f>_xlfn.IFS(B2828&lt;=5,"Night (0-5)",B2828&lt;=9,"Morning peak (6-9)",B2828&lt;=15,"Midday (10-15)",B2828&lt;=19,"Evening peak (16-19)",TRUE,"Late evening (20-23)")</f>
        <v>Evening peak (16-19)</v>
      </c>
    </row>
    <row r="2829" spans="1:9">
      <c r="A2829" s="32">
        <v>41847</v>
      </c>
      <c r="B2829">
        <v>19</v>
      </c>
      <c r="C2829">
        <v>1091</v>
      </c>
      <c r="D2829" t="s">
        <v>303</v>
      </c>
      <c r="E2829">
        <f>YEAR(A2829)</f>
        <v>2014</v>
      </c>
      <c r="F2829" s="33">
        <f>DATE(YEAR(A2829),MONTH(A2829),1)</f>
        <v>41821.0</v>
      </c>
      <c r="G2829" t="str">
        <f>CHOOSE(WEEKDAY(A2829,2),"Mon","Tue","Wed","Thu","Fri","Sat","Sun")</f>
        <v>Sun</v>
      </c>
      <c r="H2829" t="str">
        <f>IF(WEEKDAY(A2829,2)&gt;5,"Weekend","Weekday")</f>
        <v>Weekend</v>
      </c>
      <c r="I2829" t="str">
        <f>_xlfn.IFS(B2829&lt;=5,"Night (0-5)",B2829&lt;=9,"Morning peak (6-9)",B2829&lt;=15,"Midday (10-15)",B2829&lt;=19,"Evening peak (16-19)",TRUE,"Late evening (20-23)")</f>
        <v>Evening peak (16-19)</v>
      </c>
    </row>
    <row r="2830" spans="1:9">
      <c r="A2830" s="32">
        <v>41847</v>
      </c>
      <c r="B2830">
        <v>20</v>
      </c>
      <c r="C2830">
        <v>1112</v>
      </c>
      <c r="D2830" t="s">
        <v>303</v>
      </c>
      <c r="E2830">
        <f>YEAR(A2830)</f>
        <v>2014</v>
      </c>
      <c r="F2830" s="33">
        <f>DATE(YEAR(A2830),MONTH(A2830),1)</f>
        <v>41821.0</v>
      </c>
      <c r="G2830" t="str">
        <f>CHOOSE(WEEKDAY(A2830,2),"Mon","Tue","Wed","Thu","Fri","Sat","Sun")</f>
        <v>Sun</v>
      </c>
      <c r="H2830" t="str">
        <f>IF(WEEKDAY(A2830,2)&gt;5,"Weekend","Weekday")</f>
        <v>Weekend</v>
      </c>
      <c r="I2830" t="str">
        <f>_xlfn.IFS(B2830&lt;=5,"Night (0-5)",B2830&lt;=9,"Morning peak (6-9)",B2830&lt;=15,"Midday (10-15)",B2830&lt;=19,"Evening peak (16-19)",TRUE,"Late evening (20-23)")</f>
        <v>Late evening (20-23)</v>
      </c>
    </row>
    <row r="2831" spans="1:9">
      <c r="A2831" s="32">
        <v>41847</v>
      </c>
      <c r="B2831">
        <v>21</v>
      </c>
      <c r="C2831">
        <v>1038</v>
      </c>
      <c r="D2831" t="s">
        <v>303</v>
      </c>
      <c r="E2831">
        <f>YEAR(A2831)</f>
        <v>2014</v>
      </c>
      <c r="F2831" s="33">
        <f>DATE(YEAR(A2831),MONTH(A2831),1)</f>
        <v>41821.0</v>
      </c>
      <c r="G2831" t="str">
        <f>CHOOSE(WEEKDAY(A2831,2),"Mon","Tue","Wed","Thu","Fri","Sat","Sun")</f>
        <v>Sun</v>
      </c>
      <c r="H2831" t="str">
        <f>IF(WEEKDAY(A2831,2)&gt;5,"Weekend","Weekday")</f>
        <v>Weekend</v>
      </c>
      <c r="I2831" t="str">
        <f>_xlfn.IFS(B2831&lt;=5,"Night (0-5)",B2831&lt;=9,"Morning peak (6-9)",B2831&lt;=15,"Midday (10-15)",B2831&lt;=19,"Evening peak (16-19)",TRUE,"Late evening (20-23)")</f>
        <v>Late evening (20-23)</v>
      </c>
    </row>
    <row r="2832" spans="1:9">
      <c r="A2832" s="32">
        <v>41847</v>
      </c>
      <c r="B2832">
        <v>22</v>
      </c>
      <c r="C2832">
        <v>879</v>
      </c>
      <c r="D2832" t="s">
        <v>303</v>
      </c>
      <c r="E2832">
        <f>YEAR(A2832)</f>
        <v>2014</v>
      </c>
      <c r="F2832" s="33">
        <f>DATE(YEAR(A2832),MONTH(A2832),1)</f>
        <v>41821.0</v>
      </c>
      <c r="G2832" t="str">
        <f>CHOOSE(WEEKDAY(A2832,2),"Mon","Tue","Wed","Thu","Fri","Sat","Sun")</f>
        <v>Sun</v>
      </c>
      <c r="H2832" t="str">
        <f>IF(WEEKDAY(A2832,2)&gt;5,"Weekend","Weekday")</f>
        <v>Weekend</v>
      </c>
      <c r="I2832" t="str">
        <f>_xlfn.IFS(B2832&lt;=5,"Night (0-5)",B2832&lt;=9,"Morning peak (6-9)",B2832&lt;=15,"Midday (10-15)",B2832&lt;=19,"Evening peak (16-19)",TRUE,"Late evening (20-23)")</f>
        <v>Late evening (20-23)</v>
      </c>
    </row>
    <row r="2833" spans="1:9">
      <c r="A2833" s="32">
        <v>41847</v>
      </c>
      <c r="B2833">
        <v>23</v>
      </c>
      <c r="C2833">
        <v>606</v>
      </c>
      <c r="D2833" t="s">
        <v>303</v>
      </c>
      <c r="E2833">
        <f>YEAR(A2833)</f>
        <v>2014</v>
      </c>
      <c r="F2833" s="33">
        <f>DATE(YEAR(A2833),MONTH(A2833),1)</f>
        <v>41821.0</v>
      </c>
      <c r="G2833" t="str">
        <f>CHOOSE(WEEKDAY(A2833,2),"Mon","Tue","Wed","Thu","Fri","Sat","Sun")</f>
        <v>Sun</v>
      </c>
      <c r="H2833" t="str">
        <f>IF(WEEKDAY(A2833,2)&gt;5,"Weekend","Weekday")</f>
        <v>Weekend</v>
      </c>
      <c r="I2833" t="str">
        <f>_xlfn.IFS(B2833&lt;=5,"Night (0-5)",B2833&lt;=9,"Morning peak (6-9)",B2833&lt;=15,"Midday (10-15)",B2833&lt;=19,"Evening peak (16-19)",TRUE,"Late evening (20-23)")</f>
        <v>Late evening (20-23)</v>
      </c>
    </row>
    <row r="2834" spans="1:9">
      <c r="A2834" s="32">
        <v>41848</v>
      </c>
      <c r="B2834">
        <v>0</v>
      </c>
      <c r="C2834">
        <v>424</v>
      </c>
      <c r="D2834" t="s">
        <v>303</v>
      </c>
      <c r="E2834">
        <f>YEAR(A2834)</f>
        <v>2014</v>
      </c>
      <c r="F2834" s="33">
        <f>DATE(YEAR(A2834),MONTH(A2834),1)</f>
        <v>41821.0</v>
      </c>
      <c r="G2834" t="str">
        <f>CHOOSE(WEEKDAY(A2834,2),"Mon","Tue","Wed","Thu","Fri","Sat","Sun")</f>
        <v>Mon</v>
      </c>
      <c r="H2834" t="str">
        <f>IF(WEEKDAY(A2834,2)&gt;5,"Weekend","Weekday")</f>
        <v>Weekday</v>
      </c>
      <c r="I2834" t="str">
        <f>_xlfn.IFS(B2834&lt;=5,"Night (0-5)",B2834&lt;=9,"Morning peak (6-9)",B2834&lt;=15,"Midday (10-15)",B2834&lt;=19,"Evening peak (16-19)",TRUE,"Late evening (20-23)")</f>
        <v>Night (0-5)</v>
      </c>
    </row>
    <row r="2835" spans="1:9">
      <c r="A2835" s="32">
        <v>41848</v>
      </c>
      <c r="B2835">
        <v>1</v>
      </c>
      <c r="C2835">
        <v>195</v>
      </c>
      <c r="D2835" t="s">
        <v>303</v>
      </c>
      <c r="E2835">
        <f>YEAR(A2835)</f>
        <v>2014</v>
      </c>
      <c r="F2835" s="33">
        <f>DATE(YEAR(A2835),MONTH(A2835),1)</f>
        <v>41821.0</v>
      </c>
      <c r="G2835" t="str">
        <f>CHOOSE(WEEKDAY(A2835,2),"Mon","Tue","Wed","Thu","Fri","Sat","Sun")</f>
        <v>Mon</v>
      </c>
      <c r="H2835" t="str">
        <f>IF(WEEKDAY(A2835,2)&gt;5,"Weekend","Weekday")</f>
        <v>Weekday</v>
      </c>
      <c r="I2835" t="str">
        <f>_xlfn.IFS(B2835&lt;=5,"Night (0-5)",B2835&lt;=9,"Morning peak (6-9)",B2835&lt;=15,"Midday (10-15)",B2835&lt;=19,"Evening peak (16-19)",TRUE,"Late evening (20-23)")</f>
        <v>Night (0-5)</v>
      </c>
    </row>
    <row r="2836" spans="1:9">
      <c r="A2836" s="32">
        <v>41848</v>
      </c>
      <c r="B2836">
        <v>2</v>
      </c>
      <c r="C2836">
        <v>148</v>
      </c>
      <c r="D2836" t="s">
        <v>303</v>
      </c>
      <c r="E2836">
        <f>YEAR(A2836)</f>
        <v>2014</v>
      </c>
      <c r="F2836" s="33">
        <f>DATE(YEAR(A2836),MONTH(A2836),1)</f>
        <v>41821.0</v>
      </c>
      <c r="G2836" t="str">
        <f>CHOOSE(WEEKDAY(A2836,2),"Mon","Tue","Wed","Thu","Fri","Sat","Sun")</f>
        <v>Mon</v>
      </c>
      <c r="H2836" t="str">
        <f>IF(WEEKDAY(A2836,2)&gt;5,"Weekend","Weekday")</f>
        <v>Weekday</v>
      </c>
      <c r="I2836" t="str">
        <f>_xlfn.IFS(B2836&lt;=5,"Night (0-5)",B2836&lt;=9,"Morning peak (6-9)",B2836&lt;=15,"Midday (10-15)",B2836&lt;=19,"Evening peak (16-19)",TRUE,"Late evening (20-23)")</f>
        <v>Night (0-5)</v>
      </c>
    </row>
    <row r="2837" spans="1:9">
      <c r="A2837" s="32">
        <v>41848</v>
      </c>
      <c r="B2837">
        <v>3</v>
      </c>
      <c r="C2837">
        <v>256</v>
      </c>
      <c r="D2837" t="s">
        <v>303</v>
      </c>
      <c r="E2837">
        <f>YEAR(A2837)</f>
        <v>2014</v>
      </c>
      <c r="F2837" s="33">
        <f>DATE(YEAR(A2837),MONTH(A2837),1)</f>
        <v>41821.0</v>
      </c>
      <c r="G2837" t="str">
        <f>CHOOSE(WEEKDAY(A2837,2),"Mon","Tue","Wed","Thu","Fri","Sat","Sun")</f>
        <v>Mon</v>
      </c>
      <c r="H2837" t="str">
        <f>IF(WEEKDAY(A2837,2)&gt;5,"Weekend","Weekday")</f>
        <v>Weekday</v>
      </c>
      <c r="I2837" t="str">
        <f>_xlfn.IFS(B2837&lt;=5,"Night (0-5)",B2837&lt;=9,"Morning peak (6-9)",B2837&lt;=15,"Midday (10-15)",B2837&lt;=19,"Evening peak (16-19)",TRUE,"Late evening (20-23)")</f>
        <v>Night (0-5)</v>
      </c>
    </row>
    <row r="2838" spans="1:9">
      <c r="A2838" s="32">
        <v>41848</v>
      </c>
      <c r="B2838">
        <v>4</v>
      </c>
      <c r="C2838">
        <v>418</v>
      </c>
      <c r="D2838" t="s">
        <v>303</v>
      </c>
      <c r="E2838">
        <f>YEAR(A2838)</f>
        <v>2014</v>
      </c>
      <c r="F2838" s="33">
        <f>DATE(YEAR(A2838),MONTH(A2838),1)</f>
        <v>41821.0</v>
      </c>
      <c r="G2838" t="str">
        <f>CHOOSE(WEEKDAY(A2838,2),"Mon","Tue","Wed","Thu","Fri","Sat","Sun")</f>
        <v>Mon</v>
      </c>
      <c r="H2838" t="str">
        <f>IF(WEEKDAY(A2838,2)&gt;5,"Weekend","Weekday")</f>
        <v>Weekday</v>
      </c>
      <c r="I2838" t="str">
        <f>_xlfn.IFS(B2838&lt;=5,"Night (0-5)",B2838&lt;=9,"Morning peak (6-9)",B2838&lt;=15,"Midday (10-15)",B2838&lt;=19,"Evening peak (16-19)",TRUE,"Late evening (20-23)")</f>
        <v>Night (0-5)</v>
      </c>
    </row>
    <row r="2839" spans="1:9">
      <c r="A2839" s="32">
        <v>41848</v>
      </c>
      <c r="B2839">
        <v>5</v>
      </c>
      <c r="C2839">
        <v>591</v>
      </c>
      <c r="D2839" t="s">
        <v>303</v>
      </c>
      <c r="E2839">
        <f>YEAR(A2839)</f>
        <v>2014</v>
      </c>
      <c r="F2839" s="33">
        <f>DATE(YEAR(A2839),MONTH(A2839),1)</f>
        <v>41821.0</v>
      </c>
      <c r="G2839" t="str">
        <f>CHOOSE(WEEKDAY(A2839,2),"Mon","Tue","Wed","Thu","Fri","Sat","Sun")</f>
        <v>Mon</v>
      </c>
      <c r="H2839" t="str">
        <f>IF(WEEKDAY(A2839,2)&gt;5,"Weekend","Weekday")</f>
        <v>Weekday</v>
      </c>
      <c r="I2839" t="str">
        <f>_xlfn.IFS(B2839&lt;=5,"Night (0-5)",B2839&lt;=9,"Morning peak (6-9)",B2839&lt;=15,"Midday (10-15)",B2839&lt;=19,"Evening peak (16-19)",TRUE,"Late evening (20-23)")</f>
        <v>Night (0-5)</v>
      </c>
    </row>
    <row r="2840" spans="1:9">
      <c r="A2840" s="32">
        <v>41848</v>
      </c>
      <c r="B2840">
        <v>6</v>
      </c>
      <c r="C2840">
        <v>978</v>
      </c>
      <c r="D2840" t="s">
        <v>303</v>
      </c>
      <c r="E2840">
        <f>YEAR(A2840)</f>
        <v>2014</v>
      </c>
      <c r="F2840" s="33">
        <f>DATE(YEAR(A2840),MONTH(A2840),1)</f>
        <v>41821.0</v>
      </c>
      <c r="G2840" t="str">
        <f>CHOOSE(WEEKDAY(A2840,2),"Mon","Tue","Wed","Thu","Fri","Sat","Sun")</f>
        <v>Mon</v>
      </c>
      <c r="H2840" t="str">
        <f>IF(WEEKDAY(A2840,2)&gt;5,"Weekend","Weekday")</f>
        <v>Weekday</v>
      </c>
      <c r="I2840" t="str">
        <f>_xlfn.IFS(B2840&lt;=5,"Night (0-5)",B2840&lt;=9,"Morning peak (6-9)",B2840&lt;=15,"Midday (10-15)",B2840&lt;=19,"Evening peak (16-19)",TRUE,"Late evening (20-23)")</f>
        <v>Morning peak (6-9)</v>
      </c>
    </row>
    <row r="2841" spans="1:9">
      <c r="A2841" s="32">
        <v>41848</v>
      </c>
      <c r="B2841">
        <v>7</v>
      </c>
      <c r="C2841">
        <v>1229</v>
      </c>
      <c r="D2841" t="s">
        <v>303</v>
      </c>
      <c r="E2841">
        <f>YEAR(A2841)</f>
        <v>2014</v>
      </c>
      <c r="F2841" s="33">
        <f>DATE(YEAR(A2841),MONTH(A2841),1)</f>
        <v>41821.0</v>
      </c>
      <c r="G2841" t="str">
        <f>CHOOSE(WEEKDAY(A2841,2),"Mon","Tue","Wed","Thu","Fri","Sat","Sun")</f>
        <v>Mon</v>
      </c>
      <c r="H2841" t="str">
        <f>IF(WEEKDAY(A2841,2)&gt;5,"Weekend","Weekday")</f>
        <v>Weekday</v>
      </c>
      <c r="I2841" t="str">
        <f>_xlfn.IFS(B2841&lt;=5,"Night (0-5)",B2841&lt;=9,"Morning peak (6-9)",B2841&lt;=15,"Midday (10-15)",B2841&lt;=19,"Evening peak (16-19)",TRUE,"Late evening (20-23)")</f>
        <v>Morning peak (6-9)</v>
      </c>
    </row>
    <row r="2842" spans="1:9">
      <c r="A2842" s="32">
        <v>41848</v>
      </c>
      <c r="B2842">
        <v>8</v>
      </c>
      <c r="C2842">
        <v>1374</v>
      </c>
      <c r="D2842" t="s">
        <v>303</v>
      </c>
      <c r="E2842">
        <f>YEAR(A2842)</f>
        <v>2014</v>
      </c>
      <c r="F2842" s="33">
        <f>DATE(YEAR(A2842),MONTH(A2842),1)</f>
        <v>41821.0</v>
      </c>
      <c r="G2842" t="str">
        <f>CHOOSE(WEEKDAY(A2842,2),"Mon","Tue","Wed","Thu","Fri","Sat","Sun")</f>
        <v>Mon</v>
      </c>
      <c r="H2842" t="str">
        <f>IF(WEEKDAY(A2842,2)&gt;5,"Weekend","Weekday")</f>
        <v>Weekday</v>
      </c>
      <c r="I2842" t="str">
        <f>_xlfn.IFS(B2842&lt;=5,"Night (0-5)",B2842&lt;=9,"Morning peak (6-9)",B2842&lt;=15,"Midday (10-15)",B2842&lt;=19,"Evening peak (16-19)",TRUE,"Late evening (20-23)")</f>
        <v>Morning peak (6-9)</v>
      </c>
    </row>
    <row r="2843" spans="1:9">
      <c r="A2843" s="32">
        <v>41848</v>
      </c>
      <c r="B2843">
        <v>9</v>
      </c>
      <c r="C2843">
        <v>1105</v>
      </c>
      <c r="D2843" t="s">
        <v>303</v>
      </c>
      <c r="E2843">
        <f>YEAR(A2843)</f>
        <v>2014</v>
      </c>
      <c r="F2843" s="33">
        <f>DATE(YEAR(A2843),MONTH(A2843),1)</f>
        <v>41821.0</v>
      </c>
      <c r="G2843" t="str">
        <f>CHOOSE(WEEKDAY(A2843,2),"Mon","Tue","Wed","Thu","Fri","Sat","Sun")</f>
        <v>Mon</v>
      </c>
      <c r="H2843" t="str">
        <f>IF(WEEKDAY(A2843,2)&gt;5,"Weekend","Weekday")</f>
        <v>Weekday</v>
      </c>
      <c r="I2843" t="str">
        <f>_xlfn.IFS(B2843&lt;=5,"Night (0-5)",B2843&lt;=9,"Morning peak (6-9)",B2843&lt;=15,"Midday (10-15)",B2843&lt;=19,"Evening peak (16-19)",TRUE,"Late evening (20-23)")</f>
        <v>Morning peak (6-9)</v>
      </c>
    </row>
    <row r="2844" spans="1:9">
      <c r="A2844" s="32">
        <v>41848</v>
      </c>
      <c r="B2844">
        <v>10</v>
      </c>
      <c r="C2844">
        <v>957</v>
      </c>
      <c r="D2844" t="s">
        <v>303</v>
      </c>
      <c r="E2844">
        <f>YEAR(A2844)</f>
        <v>2014</v>
      </c>
      <c r="F2844" s="33">
        <f>DATE(YEAR(A2844),MONTH(A2844),1)</f>
        <v>41821.0</v>
      </c>
      <c r="G2844" t="str">
        <f>CHOOSE(WEEKDAY(A2844,2),"Mon","Tue","Wed","Thu","Fri","Sat","Sun")</f>
        <v>Mon</v>
      </c>
      <c r="H2844" t="str">
        <f>IF(WEEKDAY(A2844,2)&gt;5,"Weekend","Weekday")</f>
        <v>Weekday</v>
      </c>
      <c r="I2844" t="str">
        <f>_xlfn.IFS(B2844&lt;=5,"Night (0-5)",B2844&lt;=9,"Morning peak (6-9)",B2844&lt;=15,"Midday (10-15)",B2844&lt;=19,"Evening peak (16-19)",TRUE,"Late evening (20-23)")</f>
        <v>Midday (10-15)</v>
      </c>
    </row>
    <row r="2845" spans="1:9">
      <c r="A2845" s="32">
        <v>41848</v>
      </c>
      <c r="B2845">
        <v>11</v>
      </c>
      <c r="C2845">
        <v>1015</v>
      </c>
      <c r="D2845" t="s">
        <v>303</v>
      </c>
      <c r="E2845">
        <f>YEAR(A2845)</f>
        <v>2014</v>
      </c>
      <c r="F2845" s="33">
        <f>DATE(YEAR(A2845),MONTH(A2845),1)</f>
        <v>41821.0</v>
      </c>
      <c r="G2845" t="str">
        <f>CHOOSE(WEEKDAY(A2845,2),"Mon","Tue","Wed","Thu","Fri","Sat","Sun")</f>
        <v>Mon</v>
      </c>
      <c r="H2845" t="str">
        <f>IF(WEEKDAY(A2845,2)&gt;5,"Weekend","Weekday")</f>
        <v>Weekday</v>
      </c>
      <c r="I2845" t="str">
        <f>_xlfn.IFS(B2845&lt;=5,"Night (0-5)",B2845&lt;=9,"Morning peak (6-9)",B2845&lt;=15,"Midday (10-15)",B2845&lt;=19,"Evening peak (16-19)",TRUE,"Late evening (20-23)")</f>
        <v>Midday (10-15)</v>
      </c>
    </row>
    <row r="2846" spans="1:9">
      <c r="A2846" s="32">
        <v>41848</v>
      </c>
      <c r="B2846">
        <v>12</v>
      </c>
      <c r="C2846">
        <v>964</v>
      </c>
      <c r="D2846" t="s">
        <v>303</v>
      </c>
      <c r="E2846">
        <f>YEAR(A2846)</f>
        <v>2014</v>
      </c>
      <c r="F2846" s="33">
        <f>DATE(YEAR(A2846),MONTH(A2846),1)</f>
        <v>41821.0</v>
      </c>
      <c r="G2846" t="str">
        <f>CHOOSE(WEEKDAY(A2846,2),"Mon","Tue","Wed","Thu","Fri","Sat","Sun")</f>
        <v>Mon</v>
      </c>
      <c r="H2846" t="str">
        <f>IF(WEEKDAY(A2846,2)&gt;5,"Weekend","Weekday")</f>
        <v>Weekday</v>
      </c>
      <c r="I2846" t="str">
        <f>_xlfn.IFS(B2846&lt;=5,"Night (0-5)",B2846&lt;=9,"Morning peak (6-9)",B2846&lt;=15,"Midday (10-15)",B2846&lt;=19,"Evening peak (16-19)",TRUE,"Late evening (20-23)")</f>
        <v>Midday (10-15)</v>
      </c>
    </row>
    <row r="2847" spans="1:9">
      <c r="A2847" s="32">
        <v>41848</v>
      </c>
      <c r="B2847">
        <v>13</v>
      </c>
      <c r="C2847">
        <v>1058</v>
      </c>
      <c r="D2847" t="s">
        <v>303</v>
      </c>
      <c r="E2847">
        <f>YEAR(A2847)</f>
        <v>2014</v>
      </c>
      <c r="F2847" s="33">
        <f>DATE(YEAR(A2847),MONTH(A2847),1)</f>
        <v>41821.0</v>
      </c>
      <c r="G2847" t="str">
        <f>CHOOSE(WEEKDAY(A2847,2),"Mon","Tue","Wed","Thu","Fri","Sat","Sun")</f>
        <v>Mon</v>
      </c>
      <c r="H2847" t="str">
        <f>IF(WEEKDAY(A2847,2)&gt;5,"Weekend","Weekday")</f>
        <v>Weekday</v>
      </c>
      <c r="I2847" t="str">
        <f>_xlfn.IFS(B2847&lt;=5,"Night (0-5)",B2847&lt;=9,"Morning peak (6-9)",B2847&lt;=15,"Midday (10-15)",B2847&lt;=19,"Evening peak (16-19)",TRUE,"Late evening (20-23)")</f>
        <v>Midday (10-15)</v>
      </c>
    </row>
    <row r="2848" spans="1:9">
      <c r="A2848" s="32">
        <v>41848</v>
      </c>
      <c r="B2848">
        <v>14</v>
      </c>
      <c r="C2848">
        <v>1224</v>
      </c>
      <c r="D2848" t="s">
        <v>303</v>
      </c>
      <c r="E2848">
        <f>YEAR(A2848)</f>
        <v>2014</v>
      </c>
      <c r="F2848" s="33">
        <f>DATE(YEAR(A2848),MONTH(A2848),1)</f>
        <v>41821.0</v>
      </c>
      <c r="G2848" t="str">
        <f>CHOOSE(WEEKDAY(A2848,2),"Mon","Tue","Wed","Thu","Fri","Sat","Sun")</f>
        <v>Mon</v>
      </c>
      <c r="H2848" t="str">
        <f>IF(WEEKDAY(A2848,2)&gt;5,"Weekend","Weekday")</f>
        <v>Weekday</v>
      </c>
      <c r="I2848" t="str">
        <f>_xlfn.IFS(B2848&lt;=5,"Night (0-5)",B2848&lt;=9,"Morning peak (6-9)",B2848&lt;=15,"Midday (10-15)",B2848&lt;=19,"Evening peak (16-19)",TRUE,"Late evening (20-23)")</f>
        <v>Midday (10-15)</v>
      </c>
    </row>
    <row r="2849" spans="1:9">
      <c r="A2849" s="32">
        <v>41848</v>
      </c>
      <c r="B2849">
        <v>15</v>
      </c>
      <c r="C2849">
        <v>1258</v>
      </c>
      <c r="D2849" t="s">
        <v>303</v>
      </c>
      <c r="E2849">
        <f>YEAR(A2849)</f>
        <v>2014</v>
      </c>
      <c r="F2849" s="33">
        <f>DATE(YEAR(A2849),MONTH(A2849),1)</f>
        <v>41821.0</v>
      </c>
      <c r="G2849" t="str">
        <f>CHOOSE(WEEKDAY(A2849,2),"Mon","Tue","Wed","Thu","Fri","Sat","Sun")</f>
        <v>Mon</v>
      </c>
      <c r="H2849" t="str">
        <f>IF(WEEKDAY(A2849,2)&gt;5,"Weekend","Weekday")</f>
        <v>Weekday</v>
      </c>
      <c r="I2849" t="str">
        <f>_xlfn.IFS(B2849&lt;=5,"Night (0-5)",B2849&lt;=9,"Morning peak (6-9)",B2849&lt;=15,"Midday (10-15)",B2849&lt;=19,"Evening peak (16-19)",TRUE,"Late evening (20-23)")</f>
        <v>Midday (10-15)</v>
      </c>
    </row>
    <row r="2850" spans="1:9">
      <c r="A2850" s="32">
        <v>41848</v>
      </c>
      <c r="B2850">
        <v>16</v>
      </c>
      <c r="C2850">
        <v>1546</v>
      </c>
      <c r="D2850" t="s">
        <v>303</v>
      </c>
      <c r="E2850">
        <f>YEAR(A2850)</f>
        <v>2014</v>
      </c>
      <c r="F2850" s="33">
        <f>DATE(YEAR(A2850),MONTH(A2850),1)</f>
        <v>41821.0</v>
      </c>
      <c r="G2850" t="str">
        <f>CHOOSE(WEEKDAY(A2850,2),"Mon","Tue","Wed","Thu","Fri","Sat","Sun")</f>
        <v>Mon</v>
      </c>
      <c r="H2850" t="str">
        <f>IF(WEEKDAY(A2850,2)&gt;5,"Weekend","Weekday")</f>
        <v>Weekday</v>
      </c>
      <c r="I2850" t="str">
        <f>_xlfn.IFS(B2850&lt;=5,"Night (0-5)",B2850&lt;=9,"Morning peak (6-9)",B2850&lt;=15,"Midday (10-15)",B2850&lt;=19,"Evening peak (16-19)",TRUE,"Late evening (20-23)")</f>
        <v>Evening peak (16-19)</v>
      </c>
    </row>
    <row r="2851" spans="1:9">
      <c r="A2851" s="32">
        <v>41848</v>
      </c>
      <c r="B2851">
        <v>17</v>
      </c>
      <c r="C2851">
        <v>1781</v>
      </c>
      <c r="D2851" t="s">
        <v>303</v>
      </c>
      <c r="E2851">
        <f>YEAR(A2851)</f>
        <v>2014</v>
      </c>
      <c r="F2851" s="33">
        <f>DATE(YEAR(A2851),MONTH(A2851),1)</f>
        <v>41821.0</v>
      </c>
      <c r="G2851" t="str">
        <f>CHOOSE(WEEKDAY(A2851,2),"Mon","Tue","Wed","Thu","Fri","Sat","Sun")</f>
        <v>Mon</v>
      </c>
      <c r="H2851" t="str">
        <f>IF(WEEKDAY(A2851,2)&gt;5,"Weekend","Weekday")</f>
        <v>Weekday</v>
      </c>
      <c r="I2851" t="str">
        <f>_xlfn.IFS(B2851&lt;=5,"Night (0-5)",B2851&lt;=9,"Morning peak (6-9)",B2851&lt;=15,"Midday (10-15)",B2851&lt;=19,"Evening peak (16-19)",TRUE,"Late evening (20-23)")</f>
        <v>Evening peak (16-19)</v>
      </c>
    </row>
    <row r="2852" spans="1:9">
      <c r="A2852" s="32">
        <v>41848</v>
      </c>
      <c r="B2852">
        <v>18</v>
      </c>
      <c r="C2852">
        <v>1664</v>
      </c>
      <c r="D2852" t="s">
        <v>303</v>
      </c>
      <c r="E2852">
        <f>YEAR(A2852)</f>
        <v>2014</v>
      </c>
      <c r="F2852" s="33">
        <f>DATE(YEAR(A2852),MONTH(A2852),1)</f>
        <v>41821.0</v>
      </c>
      <c r="G2852" t="str">
        <f>CHOOSE(WEEKDAY(A2852,2),"Mon","Tue","Wed","Thu","Fri","Sat","Sun")</f>
        <v>Mon</v>
      </c>
      <c r="H2852" t="str">
        <f>IF(WEEKDAY(A2852,2)&gt;5,"Weekend","Weekday")</f>
        <v>Weekday</v>
      </c>
      <c r="I2852" t="str">
        <f>_xlfn.IFS(B2852&lt;=5,"Night (0-5)",B2852&lt;=9,"Morning peak (6-9)",B2852&lt;=15,"Midday (10-15)",B2852&lt;=19,"Evening peak (16-19)",TRUE,"Late evening (20-23)")</f>
        <v>Evening peak (16-19)</v>
      </c>
    </row>
    <row r="2853" spans="1:9">
      <c r="A2853" s="32">
        <v>41848</v>
      </c>
      <c r="B2853">
        <v>19</v>
      </c>
      <c r="C2853">
        <v>1512</v>
      </c>
      <c r="D2853" t="s">
        <v>303</v>
      </c>
      <c r="E2853">
        <f>YEAR(A2853)</f>
        <v>2014</v>
      </c>
      <c r="F2853" s="33">
        <f>DATE(YEAR(A2853),MONTH(A2853),1)</f>
        <v>41821.0</v>
      </c>
      <c r="G2853" t="str">
        <f>CHOOSE(WEEKDAY(A2853,2),"Mon","Tue","Wed","Thu","Fri","Sat","Sun")</f>
        <v>Mon</v>
      </c>
      <c r="H2853" t="str">
        <f>IF(WEEKDAY(A2853,2)&gt;5,"Weekend","Weekday")</f>
        <v>Weekday</v>
      </c>
      <c r="I2853" t="str">
        <f>_xlfn.IFS(B2853&lt;=5,"Night (0-5)",B2853&lt;=9,"Morning peak (6-9)",B2853&lt;=15,"Midday (10-15)",B2853&lt;=19,"Evening peak (16-19)",TRUE,"Late evening (20-23)")</f>
        <v>Evening peak (16-19)</v>
      </c>
    </row>
    <row r="2854" spans="1:9">
      <c r="A2854" s="32">
        <v>41848</v>
      </c>
      <c r="B2854">
        <v>20</v>
      </c>
      <c r="C2854">
        <v>1480</v>
      </c>
      <c r="D2854" t="s">
        <v>303</v>
      </c>
      <c r="E2854">
        <f>YEAR(A2854)</f>
        <v>2014</v>
      </c>
      <c r="F2854" s="33">
        <f>DATE(YEAR(A2854),MONTH(A2854),1)</f>
        <v>41821.0</v>
      </c>
      <c r="G2854" t="str">
        <f>CHOOSE(WEEKDAY(A2854,2),"Mon","Tue","Wed","Thu","Fri","Sat","Sun")</f>
        <v>Mon</v>
      </c>
      <c r="H2854" t="str">
        <f>IF(WEEKDAY(A2854,2)&gt;5,"Weekend","Weekday")</f>
        <v>Weekday</v>
      </c>
      <c r="I2854" t="str">
        <f>_xlfn.IFS(B2854&lt;=5,"Night (0-5)",B2854&lt;=9,"Morning peak (6-9)",B2854&lt;=15,"Midday (10-15)",B2854&lt;=19,"Evening peak (16-19)",TRUE,"Late evening (20-23)")</f>
        <v>Late evening (20-23)</v>
      </c>
    </row>
    <row r="2855" spans="1:9">
      <c r="A2855" s="32">
        <v>41848</v>
      </c>
      <c r="B2855">
        <v>21</v>
      </c>
      <c r="C2855">
        <v>1271</v>
      </c>
      <c r="D2855" t="s">
        <v>303</v>
      </c>
      <c r="E2855">
        <f>YEAR(A2855)</f>
        <v>2014</v>
      </c>
      <c r="F2855" s="33">
        <f>DATE(YEAR(A2855),MONTH(A2855),1)</f>
        <v>41821.0</v>
      </c>
      <c r="G2855" t="str">
        <f>CHOOSE(WEEKDAY(A2855,2),"Mon","Tue","Wed","Thu","Fri","Sat","Sun")</f>
        <v>Mon</v>
      </c>
      <c r="H2855" t="str">
        <f>IF(WEEKDAY(A2855,2)&gt;5,"Weekend","Weekday")</f>
        <v>Weekday</v>
      </c>
      <c r="I2855" t="str">
        <f>_xlfn.IFS(B2855&lt;=5,"Night (0-5)",B2855&lt;=9,"Morning peak (6-9)",B2855&lt;=15,"Midday (10-15)",B2855&lt;=19,"Evening peak (16-19)",TRUE,"Late evening (20-23)")</f>
        <v>Late evening (20-23)</v>
      </c>
    </row>
    <row r="2856" spans="1:9">
      <c r="A2856" s="32">
        <v>41848</v>
      </c>
      <c r="B2856">
        <v>22</v>
      </c>
      <c r="C2856">
        <v>955</v>
      </c>
      <c r="D2856" t="s">
        <v>303</v>
      </c>
      <c r="E2856">
        <f>YEAR(A2856)</f>
        <v>2014</v>
      </c>
      <c r="F2856" s="33">
        <f>DATE(YEAR(A2856),MONTH(A2856),1)</f>
        <v>41821.0</v>
      </c>
      <c r="G2856" t="str">
        <f>CHOOSE(WEEKDAY(A2856,2),"Mon","Tue","Wed","Thu","Fri","Sat","Sun")</f>
        <v>Mon</v>
      </c>
      <c r="H2856" t="str">
        <f>IF(WEEKDAY(A2856,2)&gt;5,"Weekend","Weekday")</f>
        <v>Weekday</v>
      </c>
      <c r="I2856" t="str">
        <f>_xlfn.IFS(B2856&lt;=5,"Night (0-5)",B2856&lt;=9,"Morning peak (6-9)",B2856&lt;=15,"Midday (10-15)",B2856&lt;=19,"Evening peak (16-19)",TRUE,"Late evening (20-23)")</f>
        <v>Late evening (20-23)</v>
      </c>
    </row>
    <row r="2857" spans="1:9">
      <c r="A2857" s="32">
        <v>41848</v>
      </c>
      <c r="B2857">
        <v>23</v>
      </c>
      <c r="C2857">
        <v>578</v>
      </c>
      <c r="D2857" t="s">
        <v>303</v>
      </c>
      <c r="E2857">
        <f>YEAR(A2857)</f>
        <v>2014</v>
      </c>
      <c r="F2857" s="33">
        <f>DATE(YEAR(A2857),MONTH(A2857),1)</f>
        <v>41821.0</v>
      </c>
      <c r="G2857" t="str">
        <f>CHOOSE(WEEKDAY(A2857,2),"Mon","Tue","Wed","Thu","Fri","Sat","Sun")</f>
        <v>Mon</v>
      </c>
      <c r="H2857" t="str">
        <f>IF(WEEKDAY(A2857,2)&gt;5,"Weekend","Weekday")</f>
        <v>Weekday</v>
      </c>
      <c r="I2857" t="str">
        <f>_xlfn.IFS(B2857&lt;=5,"Night (0-5)",B2857&lt;=9,"Morning peak (6-9)",B2857&lt;=15,"Midday (10-15)",B2857&lt;=19,"Evening peak (16-19)",TRUE,"Late evening (20-23)")</f>
        <v>Late evening (20-23)</v>
      </c>
    </row>
    <row r="2858" spans="1:9">
      <c r="A2858" s="32">
        <v>41849</v>
      </c>
      <c r="B2858">
        <v>0</v>
      </c>
      <c r="C2858">
        <v>308</v>
      </c>
      <c r="D2858" t="s">
        <v>303</v>
      </c>
      <c r="E2858">
        <f>YEAR(A2858)</f>
        <v>2014</v>
      </c>
      <c r="F2858" s="33">
        <f>DATE(YEAR(A2858),MONTH(A2858),1)</f>
        <v>41821.0</v>
      </c>
      <c r="G2858" t="str">
        <f>CHOOSE(WEEKDAY(A2858,2),"Mon","Tue","Wed","Thu","Fri","Sat","Sun")</f>
        <v>Tue</v>
      </c>
      <c r="H2858" t="str">
        <f>IF(WEEKDAY(A2858,2)&gt;5,"Weekend","Weekday")</f>
        <v>Weekday</v>
      </c>
      <c r="I2858" t="str">
        <f>_xlfn.IFS(B2858&lt;=5,"Night (0-5)",B2858&lt;=9,"Morning peak (6-9)",B2858&lt;=15,"Midday (10-15)",B2858&lt;=19,"Evening peak (16-19)",TRUE,"Late evening (20-23)")</f>
        <v>Night (0-5)</v>
      </c>
    </row>
    <row r="2859" spans="1:9">
      <c r="A2859" s="32">
        <v>41849</v>
      </c>
      <c r="B2859">
        <v>1</v>
      </c>
      <c r="C2859">
        <v>173</v>
      </c>
      <c r="D2859" t="s">
        <v>303</v>
      </c>
      <c r="E2859">
        <f>YEAR(A2859)</f>
        <v>2014</v>
      </c>
      <c r="F2859" s="33">
        <f>DATE(YEAR(A2859),MONTH(A2859),1)</f>
        <v>41821.0</v>
      </c>
      <c r="G2859" t="str">
        <f>CHOOSE(WEEKDAY(A2859,2),"Mon","Tue","Wed","Thu","Fri","Sat","Sun")</f>
        <v>Tue</v>
      </c>
      <c r="H2859" t="str">
        <f>IF(WEEKDAY(A2859,2)&gt;5,"Weekend","Weekday")</f>
        <v>Weekday</v>
      </c>
      <c r="I2859" t="str">
        <f>_xlfn.IFS(B2859&lt;=5,"Night (0-5)",B2859&lt;=9,"Morning peak (6-9)",B2859&lt;=15,"Midday (10-15)",B2859&lt;=19,"Evening peak (16-19)",TRUE,"Late evening (20-23)")</f>
        <v>Night (0-5)</v>
      </c>
    </row>
    <row r="2860" spans="1:9">
      <c r="A2860" s="32">
        <v>41849</v>
      </c>
      <c r="B2860">
        <v>2</v>
      </c>
      <c r="C2860">
        <v>134</v>
      </c>
      <c r="D2860" t="s">
        <v>303</v>
      </c>
      <c r="E2860">
        <f>YEAR(A2860)</f>
        <v>2014</v>
      </c>
      <c r="F2860" s="33">
        <f>DATE(YEAR(A2860),MONTH(A2860),1)</f>
        <v>41821.0</v>
      </c>
      <c r="G2860" t="str">
        <f>CHOOSE(WEEKDAY(A2860,2),"Mon","Tue","Wed","Thu","Fri","Sat","Sun")</f>
        <v>Tue</v>
      </c>
      <c r="H2860" t="str">
        <f>IF(WEEKDAY(A2860,2)&gt;5,"Weekend","Weekday")</f>
        <v>Weekday</v>
      </c>
      <c r="I2860" t="str">
        <f>_xlfn.IFS(B2860&lt;=5,"Night (0-5)",B2860&lt;=9,"Morning peak (6-9)",B2860&lt;=15,"Midday (10-15)",B2860&lt;=19,"Evening peak (16-19)",TRUE,"Late evening (20-23)")</f>
        <v>Night (0-5)</v>
      </c>
    </row>
    <row r="2861" spans="1:9">
      <c r="A2861" s="32">
        <v>41849</v>
      </c>
      <c r="B2861">
        <v>3</v>
      </c>
      <c r="C2861">
        <v>204</v>
      </c>
      <c r="D2861" t="s">
        <v>303</v>
      </c>
      <c r="E2861">
        <f>YEAR(A2861)</f>
        <v>2014</v>
      </c>
      <c r="F2861" s="33">
        <f>DATE(YEAR(A2861),MONTH(A2861),1)</f>
        <v>41821.0</v>
      </c>
      <c r="G2861" t="str">
        <f>CHOOSE(WEEKDAY(A2861,2),"Mon","Tue","Wed","Thu","Fri","Sat","Sun")</f>
        <v>Tue</v>
      </c>
      <c r="H2861" t="str">
        <f>IF(WEEKDAY(A2861,2)&gt;5,"Weekend","Weekday")</f>
        <v>Weekday</v>
      </c>
      <c r="I2861" t="str">
        <f>_xlfn.IFS(B2861&lt;=5,"Night (0-5)",B2861&lt;=9,"Morning peak (6-9)",B2861&lt;=15,"Midday (10-15)",B2861&lt;=19,"Evening peak (16-19)",TRUE,"Late evening (20-23)")</f>
        <v>Night (0-5)</v>
      </c>
    </row>
    <row r="2862" spans="1:9">
      <c r="A2862" s="32">
        <v>41849</v>
      </c>
      <c r="B2862">
        <v>4</v>
      </c>
      <c r="C2862">
        <v>329</v>
      </c>
      <c r="D2862" t="s">
        <v>303</v>
      </c>
      <c r="E2862">
        <f>YEAR(A2862)</f>
        <v>2014</v>
      </c>
      <c r="F2862" s="33">
        <f>DATE(YEAR(A2862),MONTH(A2862),1)</f>
        <v>41821.0</v>
      </c>
      <c r="G2862" t="str">
        <f>CHOOSE(WEEKDAY(A2862,2),"Mon","Tue","Wed","Thu","Fri","Sat","Sun")</f>
        <v>Tue</v>
      </c>
      <c r="H2862" t="str">
        <f>IF(WEEKDAY(A2862,2)&gt;5,"Weekend","Weekday")</f>
        <v>Weekday</v>
      </c>
      <c r="I2862" t="str">
        <f>_xlfn.IFS(B2862&lt;=5,"Night (0-5)",B2862&lt;=9,"Morning peak (6-9)",B2862&lt;=15,"Midday (10-15)",B2862&lt;=19,"Evening peak (16-19)",TRUE,"Late evening (20-23)")</f>
        <v>Night (0-5)</v>
      </c>
    </row>
    <row r="2863" spans="1:9">
      <c r="A2863" s="32">
        <v>41849</v>
      </c>
      <c r="B2863">
        <v>5</v>
      </c>
      <c r="C2863">
        <v>619</v>
      </c>
      <c r="D2863" t="s">
        <v>303</v>
      </c>
      <c r="E2863">
        <f>YEAR(A2863)</f>
        <v>2014</v>
      </c>
      <c r="F2863" s="33">
        <f>DATE(YEAR(A2863),MONTH(A2863),1)</f>
        <v>41821.0</v>
      </c>
      <c r="G2863" t="str">
        <f>CHOOSE(WEEKDAY(A2863,2),"Mon","Tue","Wed","Thu","Fri","Sat","Sun")</f>
        <v>Tue</v>
      </c>
      <c r="H2863" t="str">
        <f>IF(WEEKDAY(A2863,2)&gt;5,"Weekend","Weekday")</f>
        <v>Weekday</v>
      </c>
      <c r="I2863" t="str">
        <f>_xlfn.IFS(B2863&lt;=5,"Night (0-5)",B2863&lt;=9,"Morning peak (6-9)",B2863&lt;=15,"Midday (10-15)",B2863&lt;=19,"Evening peak (16-19)",TRUE,"Late evening (20-23)")</f>
        <v>Night (0-5)</v>
      </c>
    </row>
    <row r="2864" spans="1:9">
      <c r="A2864" s="32">
        <v>41849</v>
      </c>
      <c r="B2864">
        <v>6</v>
      </c>
      <c r="C2864">
        <v>1009</v>
      </c>
      <c r="D2864" t="s">
        <v>303</v>
      </c>
      <c r="E2864">
        <f>YEAR(A2864)</f>
        <v>2014</v>
      </c>
      <c r="F2864" s="33">
        <f>DATE(YEAR(A2864),MONTH(A2864),1)</f>
        <v>41821.0</v>
      </c>
      <c r="G2864" t="str">
        <f>CHOOSE(WEEKDAY(A2864,2),"Mon","Tue","Wed","Thu","Fri","Sat","Sun")</f>
        <v>Tue</v>
      </c>
      <c r="H2864" t="str">
        <f>IF(WEEKDAY(A2864,2)&gt;5,"Weekend","Weekday")</f>
        <v>Weekday</v>
      </c>
      <c r="I2864" t="str">
        <f>_xlfn.IFS(B2864&lt;=5,"Night (0-5)",B2864&lt;=9,"Morning peak (6-9)",B2864&lt;=15,"Midday (10-15)",B2864&lt;=19,"Evening peak (16-19)",TRUE,"Late evening (20-23)")</f>
        <v>Morning peak (6-9)</v>
      </c>
    </row>
    <row r="2865" spans="1:9">
      <c r="A2865" s="32">
        <v>41849</v>
      </c>
      <c r="B2865">
        <v>7</v>
      </c>
      <c r="C2865">
        <v>1345</v>
      </c>
      <c r="D2865" t="s">
        <v>303</v>
      </c>
      <c r="E2865">
        <f>YEAR(A2865)</f>
        <v>2014</v>
      </c>
      <c r="F2865" s="33">
        <f>DATE(YEAR(A2865),MONTH(A2865),1)</f>
        <v>41821.0</v>
      </c>
      <c r="G2865" t="str">
        <f>CHOOSE(WEEKDAY(A2865,2),"Mon","Tue","Wed","Thu","Fri","Sat","Sun")</f>
        <v>Tue</v>
      </c>
      <c r="H2865" t="str">
        <f>IF(WEEKDAY(A2865,2)&gt;5,"Weekend","Weekday")</f>
        <v>Weekday</v>
      </c>
      <c r="I2865" t="str">
        <f>_xlfn.IFS(B2865&lt;=5,"Night (0-5)",B2865&lt;=9,"Morning peak (6-9)",B2865&lt;=15,"Midday (10-15)",B2865&lt;=19,"Evening peak (16-19)",TRUE,"Late evening (20-23)")</f>
        <v>Morning peak (6-9)</v>
      </c>
    </row>
    <row r="2866" spans="1:9">
      <c r="A2866" s="32">
        <v>41849</v>
      </c>
      <c r="B2866">
        <v>8</v>
      </c>
      <c r="C2866">
        <v>1382</v>
      </c>
      <c r="D2866" t="s">
        <v>303</v>
      </c>
      <c r="E2866">
        <f>YEAR(A2866)</f>
        <v>2014</v>
      </c>
      <c r="F2866" s="33">
        <f>DATE(YEAR(A2866),MONTH(A2866),1)</f>
        <v>41821.0</v>
      </c>
      <c r="G2866" t="str">
        <f>CHOOSE(WEEKDAY(A2866,2),"Mon","Tue","Wed","Thu","Fri","Sat","Sun")</f>
        <v>Tue</v>
      </c>
      <c r="H2866" t="str">
        <f>IF(WEEKDAY(A2866,2)&gt;5,"Weekend","Weekday")</f>
        <v>Weekday</v>
      </c>
      <c r="I2866" t="str">
        <f>_xlfn.IFS(B2866&lt;=5,"Night (0-5)",B2866&lt;=9,"Morning peak (6-9)",B2866&lt;=15,"Midday (10-15)",B2866&lt;=19,"Evening peak (16-19)",TRUE,"Late evening (20-23)")</f>
        <v>Morning peak (6-9)</v>
      </c>
    </row>
    <row r="2867" spans="1:9">
      <c r="A2867" s="32">
        <v>41849</v>
      </c>
      <c r="B2867">
        <v>9</v>
      </c>
      <c r="C2867">
        <v>1033</v>
      </c>
      <c r="D2867" t="s">
        <v>303</v>
      </c>
      <c r="E2867">
        <f>YEAR(A2867)</f>
        <v>2014</v>
      </c>
      <c r="F2867" s="33">
        <f>DATE(YEAR(A2867),MONTH(A2867),1)</f>
        <v>41821.0</v>
      </c>
      <c r="G2867" t="str">
        <f>CHOOSE(WEEKDAY(A2867,2),"Mon","Tue","Wed","Thu","Fri","Sat","Sun")</f>
        <v>Tue</v>
      </c>
      <c r="H2867" t="str">
        <f>IF(WEEKDAY(A2867,2)&gt;5,"Weekend","Weekday")</f>
        <v>Weekday</v>
      </c>
      <c r="I2867" t="str">
        <f>_xlfn.IFS(B2867&lt;=5,"Night (0-5)",B2867&lt;=9,"Morning peak (6-9)",B2867&lt;=15,"Midday (10-15)",B2867&lt;=19,"Evening peak (16-19)",TRUE,"Late evening (20-23)")</f>
        <v>Morning peak (6-9)</v>
      </c>
    </row>
    <row r="2868" spans="1:9">
      <c r="A2868" s="32">
        <v>41849</v>
      </c>
      <c r="B2868">
        <v>10</v>
      </c>
      <c r="C2868">
        <v>1054</v>
      </c>
      <c r="D2868" t="s">
        <v>303</v>
      </c>
      <c r="E2868">
        <f>YEAR(A2868)</f>
        <v>2014</v>
      </c>
      <c r="F2868" s="33">
        <f>DATE(YEAR(A2868),MONTH(A2868),1)</f>
        <v>41821.0</v>
      </c>
      <c r="G2868" t="str">
        <f>CHOOSE(WEEKDAY(A2868,2),"Mon","Tue","Wed","Thu","Fri","Sat","Sun")</f>
        <v>Tue</v>
      </c>
      <c r="H2868" t="str">
        <f>IF(WEEKDAY(A2868,2)&gt;5,"Weekend","Weekday")</f>
        <v>Weekday</v>
      </c>
      <c r="I2868" t="str">
        <f>_xlfn.IFS(B2868&lt;=5,"Night (0-5)",B2868&lt;=9,"Morning peak (6-9)",B2868&lt;=15,"Midday (10-15)",B2868&lt;=19,"Evening peak (16-19)",TRUE,"Late evening (20-23)")</f>
        <v>Midday (10-15)</v>
      </c>
    </row>
    <row r="2869" spans="1:9">
      <c r="A2869" s="32">
        <v>41849</v>
      </c>
      <c r="B2869">
        <v>11</v>
      </c>
      <c r="C2869">
        <v>1017</v>
      </c>
      <c r="D2869" t="s">
        <v>303</v>
      </c>
      <c r="E2869">
        <f>YEAR(A2869)</f>
        <v>2014</v>
      </c>
      <c r="F2869" s="33">
        <f>DATE(YEAR(A2869),MONTH(A2869),1)</f>
        <v>41821.0</v>
      </c>
      <c r="G2869" t="str">
        <f>CHOOSE(WEEKDAY(A2869,2),"Mon","Tue","Wed","Thu","Fri","Sat","Sun")</f>
        <v>Tue</v>
      </c>
      <c r="H2869" t="str">
        <f>IF(WEEKDAY(A2869,2)&gt;5,"Weekend","Weekday")</f>
        <v>Weekday</v>
      </c>
      <c r="I2869" t="str">
        <f>_xlfn.IFS(B2869&lt;=5,"Night (0-5)",B2869&lt;=9,"Morning peak (6-9)",B2869&lt;=15,"Midday (10-15)",B2869&lt;=19,"Evening peak (16-19)",TRUE,"Late evening (20-23)")</f>
        <v>Midday (10-15)</v>
      </c>
    </row>
    <row r="2870" spans="1:9">
      <c r="A2870" s="32">
        <v>41849</v>
      </c>
      <c r="B2870">
        <v>12</v>
      </c>
      <c r="C2870">
        <v>988</v>
      </c>
      <c r="D2870" t="s">
        <v>303</v>
      </c>
      <c r="E2870">
        <f>YEAR(A2870)</f>
        <v>2014</v>
      </c>
      <c r="F2870" s="33">
        <f>DATE(YEAR(A2870),MONTH(A2870),1)</f>
        <v>41821.0</v>
      </c>
      <c r="G2870" t="str">
        <f>CHOOSE(WEEKDAY(A2870,2),"Mon","Tue","Wed","Thu","Fri","Sat","Sun")</f>
        <v>Tue</v>
      </c>
      <c r="H2870" t="str">
        <f>IF(WEEKDAY(A2870,2)&gt;5,"Weekend","Weekday")</f>
        <v>Weekday</v>
      </c>
      <c r="I2870" t="str">
        <f>_xlfn.IFS(B2870&lt;=5,"Night (0-5)",B2870&lt;=9,"Morning peak (6-9)",B2870&lt;=15,"Midday (10-15)",B2870&lt;=19,"Evening peak (16-19)",TRUE,"Late evening (20-23)")</f>
        <v>Midday (10-15)</v>
      </c>
    </row>
    <row r="2871" spans="1:9">
      <c r="A2871" s="32">
        <v>41849</v>
      </c>
      <c r="B2871">
        <v>13</v>
      </c>
      <c r="C2871">
        <v>1089</v>
      </c>
      <c r="D2871" t="s">
        <v>303</v>
      </c>
      <c r="E2871">
        <f>YEAR(A2871)</f>
        <v>2014</v>
      </c>
      <c r="F2871" s="33">
        <f>DATE(YEAR(A2871),MONTH(A2871),1)</f>
        <v>41821.0</v>
      </c>
      <c r="G2871" t="str">
        <f>CHOOSE(WEEKDAY(A2871,2),"Mon","Tue","Wed","Thu","Fri","Sat","Sun")</f>
        <v>Tue</v>
      </c>
      <c r="H2871" t="str">
        <f>IF(WEEKDAY(A2871,2)&gt;5,"Weekend","Weekday")</f>
        <v>Weekday</v>
      </c>
      <c r="I2871" t="str">
        <f>_xlfn.IFS(B2871&lt;=5,"Night (0-5)",B2871&lt;=9,"Morning peak (6-9)",B2871&lt;=15,"Midday (10-15)",B2871&lt;=19,"Evening peak (16-19)",TRUE,"Late evening (20-23)")</f>
        <v>Midday (10-15)</v>
      </c>
    </row>
    <row r="2872" spans="1:9">
      <c r="A2872" s="32">
        <v>41849</v>
      </c>
      <c r="B2872">
        <v>14</v>
      </c>
      <c r="C2872">
        <v>1361</v>
      </c>
      <c r="D2872" t="s">
        <v>303</v>
      </c>
      <c r="E2872">
        <f>YEAR(A2872)</f>
        <v>2014</v>
      </c>
      <c r="F2872" s="33">
        <f>DATE(YEAR(A2872),MONTH(A2872),1)</f>
        <v>41821.0</v>
      </c>
      <c r="G2872" t="str">
        <f>CHOOSE(WEEKDAY(A2872,2),"Mon","Tue","Wed","Thu","Fri","Sat","Sun")</f>
        <v>Tue</v>
      </c>
      <c r="H2872" t="str">
        <f>IF(WEEKDAY(A2872,2)&gt;5,"Weekend","Weekday")</f>
        <v>Weekday</v>
      </c>
      <c r="I2872" t="str">
        <f>_xlfn.IFS(B2872&lt;=5,"Night (0-5)",B2872&lt;=9,"Morning peak (6-9)",B2872&lt;=15,"Midday (10-15)",B2872&lt;=19,"Evening peak (16-19)",TRUE,"Late evening (20-23)")</f>
        <v>Midday (10-15)</v>
      </c>
    </row>
    <row r="2873" spans="1:9">
      <c r="A2873" s="32">
        <v>41849</v>
      </c>
      <c r="B2873">
        <v>15</v>
      </c>
      <c r="C2873">
        <v>1598</v>
      </c>
      <c r="D2873" t="s">
        <v>303</v>
      </c>
      <c r="E2873">
        <f>YEAR(A2873)</f>
        <v>2014</v>
      </c>
      <c r="F2873" s="33">
        <f>DATE(YEAR(A2873),MONTH(A2873),1)</f>
        <v>41821.0</v>
      </c>
      <c r="G2873" t="str">
        <f>CHOOSE(WEEKDAY(A2873,2),"Mon","Tue","Wed","Thu","Fri","Sat","Sun")</f>
        <v>Tue</v>
      </c>
      <c r="H2873" t="str">
        <f>IF(WEEKDAY(A2873,2)&gt;5,"Weekend","Weekday")</f>
        <v>Weekday</v>
      </c>
      <c r="I2873" t="str">
        <f>_xlfn.IFS(B2873&lt;=5,"Night (0-5)",B2873&lt;=9,"Morning peak (6-9)",B2873&lt;=15,"Midday (10-15)",B2873&lt;=19,"Evening peak (16-19)",TRUE,"Late evening (20-23)")</f>
        <v>Midday (10-15)</v>
      </c>
    </row>
    <row r="2874" spans="1:9">
      <c r="A2874" s="32">
        <v>41849</v>
      </c>
      <c r="B2874">
        <v>16</v>
      </c>
      <c r="C2874">
        <v>1869</v>
      </c>
      <c r="D2874" t="s">
        <v>303</v>
      </c>
      <c r="E2874">
        <f>YEAR(A2874)</f>
        <v>2014</v>
      </c>
      <c r="F2874" s="33">
        <f>DATE(YEAR(A2874),MONTH(A2874),1)</f>
        <v>41821.0</v>
      </c>
      <c r="G2874" t="str">
        <f>CHOOSE(WEEKDAY(A2874,2),"Mon","Tue","Wed","Thu","Fri","Sat","Sun")</f>
        <v>Tue</v>
      </c>
      <c r="H2874" t="str">
        <f>IF(WEEKDAY(A2874,2)&gt;5,"Weekend","Weekday")</f>
        <v>Weekday</v>
      </c>
      <c r="I2874" t="str">
        <f>_xlfn.IFS(B2874&lt;=5,"Night (0-5)",B2874&lt;=9,"Morning peak (6-9)",B2874&lt;=15,"Midday (10-15)",B2874&lt;=19,"Evening peak (16-19)",TRUE,"Late evening (20-23)")</f>
        <v>Evening peak (16-19)</v>
      </c>
    </row>
    <row r="2875" spans="1:9">
      <c r="A2875" s="32">
        <v>41849</v>
      </c>
      <c r="B2875">
        <v>17</v>
      </c>
      <c r="C2875">
        <v>2273</v>
      </c>
      <c r="D2875" t="s">
        <v>303</v>
      </c>
      <c r="E2875">
        <f>YEAR(A2875)</f>
        <v>2014</v>
      </c>
      <c r="F2875" s="33">
        <f>DATE(YEAR(A2875),MONTH(A2875),1)</f>
        <v>41821.0</v>
      </c>
      <c r="G2875" t="str">
        <f>CHOOSE(WEEKDAY(A2875,2),"Mon","Tue","Wed","Thu","Fri","Sat","Sun")</f>
        <v>Tue</v>
      </c>
      <c r="H2875" t="str">
        <f>IF(WEEKDAY(A2875,2)&gt;5,"Weekend","Weekday")</f>
        <v>Weekday</v>
      </c>
      <c r="I2875" t="str">
        <f>_xlfn.IFS(B2875&lt;=5,"Night (0-5)",B2875&lt;=9,"Morning peak (6-9)",B2875&lt;=15,"Midday (10-15)",B2875&lt;=19,"Evening peak (16-19)",TRUE,"Late evening (20-23)")</f>
        <v>Evening peak (16-19)</v>
      </c>
    </row>
    <row r="2876" spans="1:9">
      <c r="A2876" s="32">
        <v>41849</v>
      </c>
      <c r="B2876">
        <v>18</v>
      </c>
      <c r="C2876">
        <v>2127</v>
      </c>
      <c r="D2876" t="s">
        <v>303</v>
      </c>
      <c r="E2876">
        <f>YEAR(A2876)</f>
        <v>2014</v>
      </c>
      <c r="F2876" s="33">
        <f>DATE(YEAR(A2876),MONTH(A2876),1)</f>
        <v>41821.0</v>
      </c>
      <c r="G2876" t="str">
        <f>CHOOSE(WEEKDAY(A2876,2),"Mon","Tue","Wed","Thu","Fri","Sat","Sun")</f>
        <v>Tue</v>
      </c>
      <c r="H2876" t="str">
        <f>IF(WEEKDAY(A2876,2)&gt;5,"Weekend","Weekday")</f>
        <v>Weekday</v>
      </c>
      <c r="I2876" t="str">
        <f>_xlfn.IFS(B2876&lt;=5,"Night (0-5)",B2876&lt;=9,"Morning peak (6-9)",B2876&lt;=15,"Midday (10-15)",B2876&lt;=19,"Evening peak (16-19)",TRUE,"Late evening (20-23)")</f>
        <v>Evening peak (16-19)</v>
      </c>
    </row>
    <row r="2877" spans="1:9">
      <c r="A2877" s="32">
        <v>41849</v>
      </c>
      <c r="B2877">
        <v>19</v>
      </c>
      <c r="C2877">
        <v>1940</v>
      </c>
      <c r="D2877" t="s">
        <v>303</v>
      </c>
      <c r="E2877">
        <f>YEAR(A2877)</f>
        <v>2014</v>
      </c>
      <c r="F2877" s="33">
        <f>DATE(YEAR(A2877),MONTH(A2877),1)</f>
        <v>41821.0</v>
      </c>
      <c r="G2877" t="str">
        <f>CHOOSE(WEEKDAY(A2877,2),"Mon","Tue","Wed","Thu","Fri","Sat","Sun")</f>
        <v>Tue</v>
      </c>
      <c r="H2877" t="str">
        <f>IF(WEEKDAY(A2877,2)&gt;5,"Weekend","Weekday")</f>
        <v>Weekday</v>
      </c>
      <c r="I2877" t="str">
        <f>_xlfn.IFS(B2877&lt;=5,"Night (0-5)",B2877&lt;=9,"Morning peak (6-9)",B2877&lt;=15,"Midday (10-15)",B2877&lt;=19,"Evening peak (16-19)",TRUE,"Late evening (20-23)")</f>
        <v>Evening peak (16-19)</v>
      </c>
    </row>
    <row r="2878" spans="1:9">
      <c r="A2878" s="32">
        <v>41849</v>
      </c>
      <c r="B2878">
        <v>20</v>
      </c>
      <c r="C2878">
        <v>1977</v>
      </c>
      <c r="D2878" t="s">
        <v>303</v>
      </c>
      <c r="E2878">
        <f>YEAR(A2878)</f>
        <v>2014</v>
      </c>
      <c r="F2878" s="33">
        <f>DATE(YEAR(A2878),MONTH(A2878),1)</f>
        <v>41821.0</v>
      </c>
      <c r="G2878" t="str">
        <f>CHOOSE(WEEKDAY(A2878,2),"Mon","Tue","Wed","Thu","Fri","Sat","Sun")</f>
        <v>Tue</v>
      </c>
      <c r="H2878" t="str">
        <f>IF(WEEKDAY(A2878,2)&gt;5,"Weekend","Weekday")</f>
        <v>Weekday</v>
      </c>
      <c r="I2878" t="str">
        <f>_xlfn.IFS(B2878&lt;=5,"Night (0-5)",B2878&lt;=9,"Morning peak (6-9)",B2878&lt;=15,"Midday (10-15)",B2878&lt;=19,"Evening peak (16-19)",TRUE,"Late evening (20-23)")</f>
        <v>Late evening (20-23)</v>
      </c>
    </row>
    <row r="2879" spans="1:9">
      <c r="A2879" s="32">
        <v>41849</v>
      </c>
      <c r="B2879">
        <v>21</v>
      </c>
      <c r="C2879">
        <v>1738</v>
      </c>
      <c r="D2879" t="s">
        <v>303</v>
      </c>
      <c r="E2879">
        <f>YEAR(A2879)</f>
        <v>2014</v>
      </c>
      <c r="F2879" s="33">
        <f>DATE(YEAR(A2879),MONTH(A2879),1)</f>
        <v>41821.0</v>
      </c>
      <c r="G2879" t="str">
        <f>CHOOSE(WEEKDAY(A2879,2),"Mon","Tue","Wed","Thu","Fri","Sat","Sun")</f>
        <v>Tue</v>
      </c>
      <c r="H2879" t="str">
        <f>IF(WEEKDAY(A2879,2)&gt;5,"Weekend","Weekday")</f>
        <v>Weekday</v>
      </c>
      <c r="I2879" t="str">
        <f>_xlfn.IFS(B2879&lt;=5,"Night (0-5)",B2879&lt;=9,"Morning peak (6-9)",B2879&lt;=15,"Midday (10-15)",B2879&lt;=19,"Evening peak (16-19)",TRUE,"Late evening (20-23)")</f>
        <v>Late evening (20-23)</v>
      </c>
    </row>
    <row r="2880" spans="1:9">
      <c r="A2880" s="32">
        <v>41849</v>
      </c>
      <c r="B2880">
        <v>22</v>
      </c>
      <c r="C2880">
        <v>1234</v>
      </c>
      <c r="D2880" t="s">
        <v>303</v>
      </c>
      <c r="E2880">
        <f>YEAR(A2880)</f>
        <v>2014</v>
      </c>
      <c r="F2880" s="33">
        <f>DATE(YEAR(A2880),MONTH(A2880),1)</f>
        <v>41821.0</v>
      </c>
      <c r="G2880" t="str">
        <f>CHOOSE(WEEKDAY(A2880,2),"Mon","Tue","Wed","Thu","Fri","Sat","Sun")</f>
        <v>Tue</v>
      </c>
      <c r="H2880" t="str">
        <f>IF(WEEKDAY(A2880,2)&gt;5,"Weekend","Weekday")</f>
        <v>Weekday</v>
      </c>
      <c r="I2880" t="str">
        <f>_xlfn.IFS(B2880&lt;=5,"Night (0-5)",B2880&lt;=9,"Morning peak (6-9)",B2880&lt;=15,"Midday (10-15)",B2880&lt;=19,"Evening peak (16-19)",TRUE,"Late evening (20-23)")</f>
        <v>Late evening (20-23)</v>
      </c>
    </row>
    <row r="2881" spans="1:9">
      <c r="A2881" s="32">
        <v>41849</v>
      </c>
      <c r="B2881">
        <v>23</v>
      </c>
      <c r="C2881">
        <v>788</v>
      </c>
      <c r="D2881" t="s">
        <v>303</v>
      </c>
      <c r="E2881">
        <f>YEAR(A2881)</f>
        <v>2014</v>
      </c>
      <c r="F2881" s="33">
        <f>DATE(YEAR(A2881),MONTH(A2881),1)</f>
        <v>41821.0</v>
      </c>
      <c r="G2881" t="str">
        <f>CHOOSE(WEEKDAY(A2881,2),"Mon","Tue","Wed","Thu","Fri","Sat","Sun")</f>
        <v>Tue</v>
      </c>
      <c r="H2881" t="str">
        <f>IF(WEEKDAY(A2881,2)&gt;5,"Weekend","Weekday")</f>
        <v>Weekday</v>
      </c>
      <c r="I2881" t="str">
        <f>_xlfn.IFS(B2881&lt;=5,"Night (0-5)",B2881&lt;=9,"Morning peak (6-9)",B2881&lt;=15,"Midday (10-15)",B2881&lt;=19,"Evening peak (16-19)",TRUE,"Late evening (20-23)")</f>
        <v>Late evening (20-23)</v>
      </c>
    </row>
    <row r="2882" spans="1:9">
      <c r="A2882" s="32">
        <v>41850</v>
      </c>
      <c r="B2882">
        <v>0</v>
      </c>
      <c r="C2882">
        <v>362</v>
      </c>
      <c r="D2882" t="s">
        <v>303</v>
      </c>
      <c r="E2882">
        <f>YEAR(A2882)</f>
        <v>2014</v>
      </c>
      <c r="F2882" s="33">
        <f>DATE(YEAR(A2882),MONTH(A2882),1)</f>
        <v>41821.0</v>
      </c>
      <c r="G2882" t="str">
        <f>CHOOSE(WEEKDAY(A2882,2),"Mon","Tue","Wed","Thu","Fri","Sat","Sun")</f>
        <v>Wed</v>
      </c>
      <c r="H2882" t="str">
        <f>IF(WEEKDAY(A2882,2)&gt;5,"Weekend","Weekday")</f>
        <v>Weekday</v>
      </c>
      <c r="I2882" t="str">
        <f>_xlfn.IFS(B2882&lt;=5,"Night (0-5)",B2882&lt;=9,"Morning peak (6-9)",B2882&lt;=15,"Midday (10-15)",B2882&lt;=19,"Evening peak (16-19)",TRUE,"Late evening (20-23)")</f>
        <v>Night (0-5)</v>
      </c>
    </row>
    <row r="2883" spans="1:9">
      <c r="A2883" s="32">
        <v>41850</v>
      </c>
      <c r="B2883">
        <v>1</v>
      </c>
      <c r="C2883">
        <v>185</v>
      </c>
      <c r="D2883" t="s">
        <v>303</v>
      </c>
      <c r="E2883">
        <f>YEAR(A2883)</f>
        <v>2014</v>
      </c>
      <c r="F2883" s="33">
        <f>DATE(YEAR(A2883),MONTH(A2883),1)</f>
        <v>41821.0</v>
      </c>
      <c r="G2883" t="str">
        <f>CHOOSE(WEEKDAY(A2883,2),"Mon","Tue","Wed","Thu","Fri","Sat","Sun")</f>
        <v>Wed</v>
      </c>
      <c r="H2883" t="str">
        <f>IF(WEEKDAY(A2883,2)&gt;5,"Weekend","Weekday")</f>
        <v>Weekday</v>
      </c>
      <c r="I2883" t="str">
        <f>_xlfn.IFS(B2883&lt;=5,"Night (0-5)",B2883&lt;=9,"Morning peak (6-9)",B2883&lt;=15,"Midday (10-15)",B2883&lt;=19,"Evening peak (16-19)",TRUE,"Late evening (20-23)")</f>
        <v>Night (0-5)</v>
      </c>
    </row>
    <row r="2884" spans="1:9">
      <c r="A2884" s="32">
        <v>41850</v>
      </c>
      <c r="B2884">
        <v>2</v>
      </c>
      <c r="C2884">
        <v>176</v>
      </c>
      <c r="D2884" t="s">
        <v>303</v>
      </c>
      <c r="E2884">
        <f>YEAR(A2884)</f>
        <v>2014</v>
      </c>
      <c r="F2884" s="33">
        <f>DATE(YEAR(A2884),MONTH(A2884),1)</f>
        <v>41821.0</v>
      </c>
      <c r="G2884" t="str">
        <f>CHOOSE(WEEKDAY(A2884,2),"Mon","Tue","Wed","Thu","Fri","Sat","Sun")</f>
        <v>Wed</v>
      </c>
      <c r="H2884" t="str">
        <f>IF(WEEKDAY(A2884,2)&gt;5,"Weekend","Weekday")</f>
        <v>Weekday</v>
      </c>
      <c r="I2884" t="str">
        <f>_xlfn.IFS(B2884&lt;=5,"Night (0-5)",B2884&lt;=9,"Morning peak (6-9)",B2884&lt;=15,"Midday (10-15)",B2884&lt;=19,"Evening peak (16-19)",TRUE,"Late evening (20-23)")</f>
        <v>Night (0-5)</v>
      </c>
    </row>
    <row r="2885" spans="1:9">
      <c r="A2885" s="32">
        <v>41850</v>
      </c>
      <c r="B2885">
        <v>3</v>
      </c>
      <c r="C2885">
        <v>247</v>
      </c>
      <c r="D2885" t="s">
        <v>303</v>
      </c>
      <c r="E2885">
        <f>YEAR(A2885)</f>
        <v>2014</v>
      </c>
      <c r="F2885" s="33">
        <f>DATE(YEAR(A2885),MONTH(A2885),1)</f>
        <v>41821.0</v>
      </c>
      <c r="G2885" t="str">
        <f>CHOOSE(WEEKDAY(A2885,2),"Mon","Tue","Wed","Thu","Fri","Sat","Sun")</f>
        <v>Wed</v>
      </c>
      <c r="H2885" t="str">
        <f>IF(WEEKDAY(A2885,2)&gt;5,"Weekend","Weekday")</f>
        <v>Weekday</v>
      </c>
      <c r="I2885" t="str">
        <f>_xlfn.IFS(B2885&lt;=5,"Night (0-5)",B2885&lt;=9,"Morning peak (6-9)",B2885&lt;=15,"Midday (10-15)",B2885&lt;=19,"Evening peak (16-19)",TRUE,"Late evening (20-23)")</f>
        <v>Night (0-5)</v>
      </c>
    </row>
    <row r="2886" spans="1:9">
      <c r="A2886" s="32">
        <v>41850</v>
      </c>
      <c r="B2886">
        <v>4</v>
      </c>
      <c r="C2886">
        <v>356</v>
      </c>
      <c r="D2886" t="s">
        <v>303</v>
      </c>
      <c r="E2886">
        <f>YEAR(A2886)</f>
        <v>2014</v>
      </c>
      <c r="F2886" s="33">
        <f>DATE(YEAR(A2886),MONTH(A2886),1)</f>
        <v>41821.0</v>
      </c>
      <c r="G2886" t="str">
        <f>CHOOSE(WEEKDAY(A2886,2),"Mon","Tue","Wed","Thu","Fri","Sat","Sun")</f>
        <v>Wed</v>
      </c>
      <c r="H2886" t="str">
        <f>IF(WEEKDAY(A2886,2)&gt;5,"Weekend","Weekday")</f>
        <v>Weekday</v>
      </c>
      <c r="I2886" t="str">
        <f>_xlfn.IFS(B2886&lt;=5,"Night (0-5)",B2886&lt;=9,"Morning peak (6-9)",B2886&lt;=15,"Midday (10-15)",B2886&lt;=19,"Evening peak (16-19)",TRUE,"Late evening (20-23)")</f>
        <v>Night (0-5)</v>
      </c>
    </row>
    <row r="2887" spans="1:9">
      <c r="A2887" s="32">
        <v>41850</v>
      </c>
      <c r="B2887">
        <v>5</v>
      </c>
      <c r="C2887">
        <v>597</v>
      </c>
      <c r="D2887" t="s">
        <v>303</v>
      </c>
      <c r="E2887">
        <f>YEAR(A2887)</f>
        <v>2014</v>
      </c>
      <c r="F2887" s="33">
        <f>DATE(YEAR(A2887),MONTH(A2887),1)</f>
        <v>41821.0</v>
      </c>
      <c r="G2887" t="str">
        <f>CHOOSE(WEEKDAY(A2887,2),"Mon","Tue","Wed","Thu","Fri","Sat","Sun")</f>
        <v>Wed</v>
      </c>
      <c r="H2887" t="str">
        <f>IF(WEEKDAY(A2887,2)&gt;5,"Weekend","Weekday")</f>
        <v>Weekday</v>
      </c>
      <c r="I2887" t="str">
        <f>_xlfn.IFS(B2887&lt;=5,"Night (0-5)",B2887&lt;=9,"Morning peak (6-9)",B2887&lt;=15,"Midday (10-15)",B2887&lt;=19,"Evening peak (16-19)",TRUE,"Late evening (20-23)")</f>
        <v>Night (0-5)</v>
      </c>
    </row>
    <row r="2888" spans="1:9">
      <c r="A2888" s="32">
        <v>41850</v>
      </c>
      <c r="B2888">
        <v>6</v>
      </c>
      <c r="C2888">
        <v>1084</v>
      </c>
      <c r="D2888" t="s">
        <v>303</v>
      </c>
      <c r="E2888">
        <f>YEAR(A2888)</f>
        <v>2014</v>
      </c>
      <c r="F2888" s="33">
        <f>DATE(YEAR(A2888),MONTH(A2888),1)</f>
        <v>41821.0</v>
      </c>
      <c r="G2888" t="str">
        <f>CHOOSE(WEEKDAY(A2888,2),"Mon","Tue","Wed","Thu","Fri","Sat","Sun")</f>
        <v>Wed</v>
      </c>
      <c r="H2888" t="str">
        <f>IF(WEEKDAY(A2888,2)&gt;5,"Weekend","Weekday")</f>
        <v>Weekday</v>
      </c>
      <c r="I2888" t="str">
        <f>_xlfn.IFS(B2888&lt;=5,"Night (0-5)",B2888&lt;=9,"Morning peak (6-9)",B2888&lt;=15,"Midday (10-15)",B2888&lt;=19,"Evening peak (16-19)",TRUE,"Late evening (20-23)")</f>
        <v>Morning peak (6-9)</v>
      </c>
    </row>
    <row r="2889" spans="1:9">
      <c r="A2889" s="32">
        <v>41850</v>
      </c>
      <c r="B2889">
        <v>7</v>
      </c>
      <c r="C2889">
        <v>1400</v>
      </c>
      <c r="D2889" t="s">
        <v>303</v>
      </c>
      <c r="E2889">
        <f>YEAR(A2889)</f>
        <v>2014</v>
      </c>
      <c r="F2889" s="33">
        <f>DATE(YEAR(A2889),MONTH(A2889),1)</f>
        <v>41821.0</v>
      </c>
      <c r="G2889" t="str">
        <f>CHOOSE(WEEKDAY(A2889,2),"Mon","Tue","Wed","Thu","Fri","Sat","Sun")</f>
        <v>Wed</v>
      </c>
      <c r="H2889" t="str">
        <f>IF(WEEKDAY(A2889,2)&gt;5,"Weekend","Weekday")</f>
        <v>Weekday</v>
      </c>
      <c r="I2889" t="str">
        <f>_xlfn.IFS(B2889&lt;=5,"Night (0-5)",B2889&lt;=9,"Morning peak (6-9)",B2889&lt;=15,"Midday (10-15)",B2889&lt;=19,"Evening peak (16-19)",TRUE,"Late evening (20-23)")</f>
        <v>Morning peak (6-9)</v>
      </c>
    </row>
    <row r="2890" spans="1:9">
      <c r="A2890" s="32">
        <v>41850</v>
      </c>
      <c r="B2890">
        <v>8</v>
      </c>
      <c r="C2890">
        <v>1501</v>
      </c>
      <c r="D2890" t="s">
        <v>303</v>
      </c>
      <c r="E2890">
        <f>YEAR(A2890)</f>
        <v>2014</v>
      </c>
      <c r="F2890" s="33">
        <f>DATE(YEAR(A2890),MONTH(A2890),1)</f>
        <v>41821.0</v>
      </c>
      <c r="G2890" t="str">
        <f>CHOOSE(WEEKDAY(A2890,2),"Mon","Tue","Wed","Thu","Fri","Sat","Sun")</f>
        <v>Wed</v>
      </c>
      <c r="H2890" t="str">
        <f>IF(WEEKDAY(A2890,2)&gt;5,"Weekend","Weekday")</f>
        <v>Weekday</v>
      </c>
      <c r="I2890" t="str">
        <f>_xlfn.IFS(B2890&lt;=5,"Night (0-5)",B2890&lt;=9,"Morning peak (6-9)",B2890&lt;=15,"Midday (10-15)",B2890&lt;=19,"Evening peak (16-19)",TRUE,"Late evening (20-23)")</f>
        <v>Morning peak (6-9)</v>
      </c>
    </row>
    <row r="2891" spans="1:9">
      <c r="A2891" s="32">
        <v>41850</v>
      </c>
      <c r="B2891">
        <v>9</v>
      </c>
      <c r="C2891">
        <v>1224</v>
      </c>
      <c r="D2891" t="s">
        <v>303</v>
      </c>
      <c r="E2891">
        <f>YEAR(A2891)</f>
        <v>2014</v>
      </c>
      <c r="F2891" s="33">
        <f>DATE(YEAR(A2891),MONTH(A2891),1)</f>
        <v>41821.0</v>
      </c>
      <c r="G2891" t="str">
        <f>CHOOSE(WEEKDAY(A2891,2),"Mon","Tue","Wed","Thu","Fri","Sat","Sun")</f>
        <v>Wed</v>
      </c>
      <c r="H2891" t="str">
        <f>IF(WEEKDAY(A2891,2)&gt;5,"Weekend","Weekday")</f>
        <v>Weekday</v>
      </c>
      <c r="I2891" t="str">
        <f>_xlfn.IFS(B2891&lt;=5,"Night (0-5)",B2891&lt;=9,"Morning peak (6-9)",B2891&lt;=15,"Midday (10-15)",B2891&lt;=19,"Evening peak (16-19)",TRUE,"Late evening (20-23)")</f>
        <v>Morning peak (6-9)</v>
      </c>
    </row>
    <row r="2892" spans="1:9">
      <c r="A2892" s="32">
        <v>41850</v>
      </c>
      <c r="B2892">
        <v>10</v>
      </c>
      <c r="C2892">
        <v>1152</v>
      </c>
      <c r="D2892" t="s">
        <v>303</v>
      </c>
      <c r="E2892">
        <f>YEAR(A2892)</f>
        <v>2014</v>
      </c>
      <c r="F2892" s="33">
        <f>DATE(YEAR(A2892),MONTH(A2892),1)</f>
        <v>41821.0</v>
      </c>
      <c r="G2892" t="str">
        <f>CHOOSE(WEEKDAY(A2892,2),"Mon","Tue","Wed","Thu","Fri","Sat","Sun")</f>
        <v>Wed</v>
      </c>
      <c r="H2892" t="str">
        <f>IF(WEEKDAY(A2892,2)&gt;5,"Weekend","Weekday")</f>
        <v>Weekday</v>
      </c>
      <c r="I2892" t="str">
        <f>_xlfn.IFS(B2892&lt;=5,"Night (0-5)",B2892&lt;=9,"Morning peak (6-9)",B2892&lt;=15,"Midday (10-15)",B2892&lt;=19,"Evening peak (16-19)",TRUE,"Late evening (20-23)")</f>
        <v>Midday (10-15)</v>
      </c>
    </row>
    <row r="2893" spans="1:9">
      <c r="A2893" s="32">
        <v>41850</v>
      </c>
      <c r="B2893">
        <v>11</v>
      </c>
      <c r="C2893">
        <v>1112</v>
      </c>
      <c r="D2893" t="s">
        <v>303</v>
      </c>
      <c r="E2893">
        <f>YEAR(A2893)</f>
        <v>2014</v>
      </c>
      <c r="F2893" s="33">
        <f>DATE(YEAR(A2893),MONTH(A2893),1)</f>
        <v>41821.0</v>
      </c>
      <c r="G2893" t="str">
        <f>CHOOSE(WEEKDAY(A2893,2),"Mon","Tue","Wed","Thu","Fri","Sat","Sun")</f>
        <v>Wed</v>
      </c>
      <c r="H2893" t="str">
        <f>IF(WEEKDAY(A2893,2)&gt;5,"Weekend","Weekday")</f>
        <v>Weekday</v>
      </c>
      <c r="I2893" t="str">
        <f>_xlfn.IFS(B2893&lt;=5,"Night (0-5)",B2893&lt;=9,"Morning peak (6-9)",B2893&lt;=15,"Midday (10-15)",B2893&lt;=19,"Evening peak (16-19)",TRUE,"Late evening (20-23)")</f>
        <v>Midday (10-15)</v>
      </c>
    </row>
    <row r="2894" spans="1:9">
      <c r="A2894" s="32">
        <v>41850</v>
      </c>
      <c r="B2894">
        <v>12</v>
      </c>
      <c r="C2894">
        <v>1196</v>
      </c>
      <c r="D2894" t="s">
        <v>303</v>
      </c>
      <c r="E2894">
        <f>YEAR(A2894)</f>
        <v>2014</v>
      </c>
      <c r="F2894" s="33">
        <f>DATE(YEAR(A2894),MONTH(A2894),1)</f>
        <v>41821.0</v>
      </c>
      <c r="G2894" t="str">
        <f>CHOOSE(WEEKDAY(A2894,2),"Mon","Tue","Wed","Thu","Fri","Sat","Sun")</f>
        <v>Wed</v>
      </c>
      <c r="H2894" t="str">
        <f>IF(WEEKDAY(A2894,2)&gt;5,"Weekend","Weekday")</f>
        <v>Weekday</v>
      </c>
      <c r="I2894" t="str">
        <f>_xlfn.IFS(B2894&lt;=5,"Night (0-5)",B2894&lt;=9,"Morning peak (6-9)",B2894&lt;=15,"Midday (10-15)",B2894&lt;=19,"Evening peak (16-19)",TRUE,"Late evening (20-23)")</f>
        <v>Midday (10-15)</v>
      </c>
    </row>
    <row r="2895" spans="1:9">
      <c r="A2895" s="32">
        <v>41850</v>
      </c>
      <c r="B2895">
        <v>13</v>
      </c>
      <c r="C2895">
        <v>1240</v>
      </c>
      <c r="D2895" t="s">
        <v>303</v>
      </c>
      <c r="E2895">
        <f>YEAR(A2895)</f>
        <v>2014</v>
      </c>
      <c r="F2895" s="33">
        <f>DATE(YEAR(A2895),MONTH(A2895),1)</f>
        <v>41821.0</v>
      </c>
      <c r="G2895" t="str">
        <f>CHOOSE(WEEKDAY(A2895,2),"Mon","Tue","Wed","Thu","Fri","Sat","Sun")</f>
        <v>Wed</v>
      </c>
      <c r="H2895" t="str">
        <f>IF(WEEKDAY(A2895,2)&gt;5,"Weekend","Weekday")</f>
        <v>Weekday</v>
      </c>
      <c r="I2895" t="str">
        <f>_xlfn.IFS(B2895&lt;=5,"Night (0-5)",B2895&lt;=9,"Morning peak (6-9)",B2895&lt;=15,"Midday (10-15)",B2895&lt;=19,"Evening peak (16-19)",TRUE,"Late evening (20-23)")</f>
        <v>Midday (10-15)</v>
      </c>
    </row>
    <row r="2896" spans="1:9">
      <c r="A2896" s="32">
        <v>41850</v>
      </c>
      <c r="B2896">
        <v>14</v>
      </c>
      <c r="C2896">
        <v>1497</v>
      </c>
      <c r="D2896" t="s">
        <v>303</v>
      </c>
      <c r="E2896">
        <f>YEAR(A2896)</f>
        <v>2014</v>
      </c>
      <c r="F2896" s="33">
        <f>DATE(YEAR(A2896),MONTH(A2896),1)</f>
        <v>41821.0</v>
      </c>
      <c r="G2896" t="str">
        <f>CHOOSE(WEEKDAY(A2896,2),"Mon","Tue","Wed","Thu","Fri","Sat","Sun")</f>
        <v>Wed</v>
      </c>
      <c r="H2896" t="str">
        <f>IF(WEEKDAY(A2896,2)&gt;5,"Weekend","Weekday")</f>
        <v>Weekday</v>
      </c>
      <c r="I2896" t="str">
        <f>_xlfn.IFS(B2896&lt;=5,"Night (0-5)",B2896&lt;=9,"Morning peak (6-9)",B2896&lt;=15,"Midday (10-15)",B2896&lt;=19,"Evening peak (16-19)",TRUE,"Late evening (20-23)")</f>
        <v>Midday (10-15)</v>
      </c>
    </row>
    <row r="2897" spans="1:9">
      <c r="A2897" s="32">
        <v>41850</v>
      </c>
      <c r="B2897">
        <v>15</v>
      </c>
      <c r="C2897">
        <v>1767</v>
      </c>
      <c r="D2897" t="s">
        <v>303</v>
      </c>
      <c r="E2897">
        <f>YEAR(A2897)</f>
        <v>2014</v>
      </c>
      <c r="F2897" s="33">
        <f>DATE(YEAR(A2897),MONTH(A2897),1)</f>
        <v>41821.0</v>
      </c>
      <c r="G2897" t="str">
        <f>CHOOSE(WEEKDAY(A2897,2),"Mon","Tue","Wed","Thu","Fri","Sat","Sun")</f>
        <v>Wed</v>
      </c>
      <c r="H2897" t="str">
        <f>IF(WEEKDAY(A2897,2)&gt;5,"Weekend","Weekday")</f>
        <v>Weekday</v>
      </c>
      <c r="I2897" t="str">
        <f>_xlfn.IFS(B2897&lt;=5,"Night (0-5)",B2897&lt;=9,"Morning peak (6-9)",B2897&lt;=15,"Midday (10-15)",B2897&lt;=19,"Evening peak (16-19)",TRUE,"Late evening (20-23)")</f>
        <v>Midday (10-15)</v>
      </c>
    </row>
    <row r="2898" spans="1:9">
      <c r="A2898" s="32">
        <v>41850</v>
      </c>
      <c r="B2898">
        <v>16</v>
      </c>
      <c r="C2898">
        <v>2136</v>
      </c>
      <c r="D2898" t="s">
        <v>303</v>
      </c>
      <c r="E2898">
        <f>YEAR(A2898)</f>
        <v>2014</v>
      </c>
      <c r="F2898" s="33">
        <f>DATE(YEAR(A2898),MONTH(A2898),1)</f>
        <v>41821.0</v>
      </c>
      <c r="G2898" t="str">
        <f>CHOOSE(WEEKDAY(A2898,2),"Mon","Tue","Wed","Thu","Fri","Sat","Sun")</f>
        <v>Wed</v>
      </c>
      <c r="H2898" t="str">
        <f>IF(WEEKDAY(A2898,2)&gt;5,"Weekend","Weekday")</f>
        <v>Weekday</v>
      </c>
      <c r="I2898" t="str">
        <f>_xlfn.IFS(B2898&lt;=5,"Night (0-5)",B2898&lt;=9,"Morning peak (6-9)",B2898&lt;=15,"Midday (10-15)",B2898&lt;=19,"Evening peak (16-19)",TRUE,"Late evening (20-23)")</f>
        <v>Evening peak (16-19)</v>
      </c>
    </row>
    <row r="2899" spans="1:9">
      <c r="A2899" s="32">
        <v>41850</v>
      </c>
      <c r="B2899">
        <v>17</v>
      </c>
      <c r="C2899">
        <v>2414</v>
      </c>
      <c r="D2899" t="s">
        <v>303</v>
      </c>
      <c r="E2899">
        <f>YEAR(A2899)</f>
        <v>2014</v>
      </c>
      <c r="F2899" s="33">
        <f>DATE(YEAR(A2899),MONTH(A2899),1)</f>
        <v>41821.0</v>
      </c>
      <c r="G2899" t="str">
        <f>CHOOSE(WEEKDAY(A2899,2),"Mon","Tue","Wed","Thu","Fri","Sat","Sun")</f>
        <v>Wed</v>
      </c>
      <c r="H2899" t="str">
        <f>IF(WEEKDAY(A2899,2)&gt;5,"Weekend","Weekday")</f>
        <v>Weekday</v>
      </c>
      <c r="I2899" t="str">
        <f>_xlfn.IFS(B2899&lt;=5,"Night (0-5)",B2899&lt;=9,"Morning peak (6-9)",B2899&lt;=15,"Midday (10-15)",B2899&lt;=19,"Evening peak (16-19)",TRUE,"Late evening (20-23)")</f>
        <v>Evening peak (16-19)</v>
      </c>
    </row>
    <row r="2900" spans="1:9">
      <c r="A2900" s="32">
        <v>41850</v>
      </c>
      <c r="B2900">
        <v>18</v>
      </c>
      <c r="C2900">
        <v>2274</v>
      </c>
      <c r="D2900" t="s">
        <v>303</v>
      </c>
      <c r="E2900">
        <f>YEAR(A2900)</f>
        <v>2014</v>
      </c>
      <c r="F2900" s="33">
        <f>DATE(YEAR(A2900),MONTH(A2900),1)</f>
        <v>41821.0</v>
      </c>
      <c r="G2900" t="str">
        <f>CHOOSE(WEEKDAY(A2900,2),"Mon","Tue","Wed","Thu","Fri","Sat","Sun")</f>
        <v>Wed</v>
      </c>
      <c r="H2900" t="str">
        <f>IF(WEEKDAY(A2900,2)&gt;5,"Weekend","Weekday")</f>
        <v>Weekday</v>
      </c>
      <c r="I2900" t="str">
        <f>_xlfn.IFS(B2900&lt;=5,"Night (0-5)",B2900&lt;=9,"Morning peak (6-9)",B2900&lt;=15,"Midday (10-15)",B2900&lt;=19,"Evening peak (16-19)",TRUE,"Late evening (20-23)")</f>
        <v>Evening peak (16-19)</v>
      </c>
    </row>
    <row r="2901" spans="1:9">
      <c r="A2901" s="32">
        <v>41850</v>
      </c>
      <c r="B2901">
        <v>19</v>
      </c>
      <c r="C2901">
        <v>2080</v>
      </c>
      <c r="D2901" t="s">
        <v>303</v>
      </c>
      <c r="E2901">
        <f>YEAR(A2901)</f>
        <v>2014</v>
      </c>
      <c r="F2901" s="33">
        <f>DATE(YEAR(A2901),MONTH(A2901),1)</f>
        <v>41821.0</v>
      </c>
      <c r="G2901" t="str">
        <f>CHOOSE(WEEKDAY(A2901,2),"Mon","Tue","Wed","Thu","Fri","Sat","Sun")</f>
        <v>Wed</v>
      </c>
      <c r="H2901" t="str">
        <f>IF(WEEKDAY(A2901,2)&gt;5,"Weekend","Weekday")</f>
        <v>Weekday</v>
      </c>
      <c r="I2901" t="str">
        <f>_xlfn.IFS(B2901&lt;=5,"Night (0-5)",B2901&lt;=9,"Morning peak (6-9)",B2901&lt;=15,"Midday (10-15)",B2901&lt;=19,"Evening peak (16-19)",TRUE,"Late evening (20-23)")</f>
        <v>Evening peak (16-19)</v>
      </c>
    </row>
    <row r="2902" spans="1:9">
      <c r="A2902" s="32">
        <v>41850</v>
      </c>
      <c r="B2902">
        <v>20</v>
      </c>
      <c r="C2902">
        <v>2183</v>
      </c>
      <c r="D2902" t="s">
        <v>303</v>
      </c>
      <c r="E2902">
        <f>YEAR(A2902)</f>
        <v>2014</v>
      </c>
      <c r="F2902" s="33">
        <f>DATE(YEAR(A2902),MONTH(A2902),1)</f>
        <v>41821.0</v>
      </c>
      <c r="G2902" t="str">
        <f>CHOOSE(WEEKDAY(A2902,2),"Mon","Tue","Wed","Thu","Fri","Sat","Sun")</f>
        <v>Wed</v>
      </c>
      <c r="H2902" t="str">
        <f>IF(WEEKDAY(A2902,2)&gt;5,"Weekend","Weekday")</f>
        <v>Weekday</v>
      </c>
      <c r="I2902" t="str">
        <f>_xlfn.IFS(B2902&lt;=5,"Night (0-5)",B2902&lt;=9,"Morning peak (6-9)",B2902&lt;=15,"Midday (10-15)",B2902&lt;=19,"Evening peak (16-19)",TRUE,"Late evening (20-23)")</f>
        <v>Late evening (20-23)</v>
      </c>
    </row>
    <row r="2903" spans="1:9">
      <c r="A2903" s="32">
        <v>41850</v>
      </c>
      <c r="B2903">
        <v>21</v>
      </c>
      <c r="C2903">
        <v>2037</v>
      </c>
      <c r="D2903" t="s">
        <v>303</v>
      </c>
      <c r="E2903">
        <f>YEAR(A2903)</f>
        <v>2014</v>
      </c>
      <c r="F2903" s="33">
        <f>DATE(YEAR(A2903),MONTH(A2903),1)</f>
        <v>41821.0</v>
      </c>
      <c r="G2903" t="str">
        <f>CHOOSE(WEEKDAY(A2903,2),"Mon","Tue","Wed","Thu","Fri","Sat","Sun")</f>
        <v>Wed</v>
      </c>
      <c r="H2903" t="str">
        <f>IF(WEEKDAY(A2903,2)&gt;5,"Weekend","Weekday")</f>
        <v>Weekday</v>
      </c>
      <c r="I2903" t="str">
        <f>_xlfn.IFS(B2903&lt;=5,"Night (0-5)",B2903&lt;=9,"Morning peak (6-9)",B2903&lt;=15,"Midday (10-15)",B2903&lt;=19,"Evening peak (16-19)",TRUE,"Late evening (20-23)")</f>
        <v>Late evening (20-23)</v>
      </c>
    </row>
    <row r="2904" spans="1:9">
      <c r="A2904" s="32">
        <v>41850</v>
      </c>
      <c r="B2904">
        <v>22</v>
      </c>
      <c r="C2904">
        <v>1591</v>
      </c>
      <c r="D2904" t="s">
        <v>303</v>
      </c>
      <c r="E2904">
        <f>YEAR(A2904)</f>
        <v>2014</v>
      </c>
      <c r="F2904" s="33">
        <f>DATE(YEAR(A2904),MONTH(A2904),1)</f>
        <v>41821.0</v>
      </c>
      <c r="G2904" t="str">
        <f>CHOOSE(WEEKDAY(A2904,2),"Mon","Tue","Wed","Thu","Fri","Sat","Sun")</f>
        <v>Wed</v>
      </c>
      <c r="H2904" t="str">
        <f>IF(WEEKDAY(A2904,2)&gt;5,"Weekend","Weekday")</f>
        <v>Weekday</v>
      </c>
      <c r="I2904" t="str">
        <f>_xlfn.IFS(B2904&lt;=5,"Night (0-5)",B2904&lt;=9,"Morning peak (6-9)",B2904&lt;=15,"Midday (10-15)",B2904&lt;=19,"Evening peak (16-19)",TRUE,"Late evening (20-23)")</f>
        <v>Late evening (20-23)</v>
      </c>
    </row>
    <row r="2905" spans="1:9">
      <c r="A2905" s="32">
        <v>41850</v>
      </c>
      <c r="B2905">
        <v>23</v>
      </c>
      <c r="C2905">
        <v>929</v>
      </c>
      <c r="D2905" t="s">
        <v>303</v>
      </c>
      <c r="E2905">
        <f>YEAR(A2905)</f>
        <v>2014</v>
      </c>
      <c r="F2905" s="33">
        <f>DATE(YEAR(A2905),MONTH(A2905),1)</f>
        <v>41821.0</v>
      </c>
      <c r="G2905" t="str">
        <f>CHOOSE(WEEKDAY(A2905,2),"Mon","Tue","Wed","Thu","Fri","Sat","Sun")</f>
        <v>Wed</v>
      </c>
      <c r="H2905" t="str">
        <f>IF(WEEKDAY(A2905,2)&gt;5,"Weekend","Weekday")</f>
        <v>Weekday</v>
      </c>
      <c r="I2905" t="str">
        <f>_xlfn.IFS(B2905&lt;=5,"Night (0-5)",B2905&lt;=9,"Morning peak (6-9)",B2905&lt;=15,"Midday (10-15)",B2905&lt;=19,"Evening peak (16-19)",TRUE,"Late evening (20-23)")</f>
        <v>Late evening (20-23)</v>
      </c>
    </row>
    <row r="2906" spans="1:9">
      <c r="A2906" s="32">
        <v>41851</v>
      </c>
      <c r="B2906">
        <v>0</v>
      </c>
      <c r="C2906">
        <v>493</v>
      </c>
      <c r="D2906" t="s">
        <v>303</v>
      </c>
      <c r="E2906">
        <f>YEAR(A2906)</f>
        <v>2014</v>
      </c>
      <c r="F2906" s="33">
        <f>DATE(YEAR(A2906),MONTH(A2906),1)</f>
        <v>41821.0</v>
      </c>
      <c r="G2906" t="str">
        <f>CHOOSE(WEEKDAY(A2906,2),"Mon","Tue","Wed","Thu","Fri","Sat","Sun")</f>
        <v>Thu</v>
      </c>
      <c r="H2906" t="str">
        <f>IF(WEEKDAY(A2906,2)&gt;5,"Weekend","Weekday")</f>
        <v>Weekday</v>
      </c>
      <c r="I2906" t="str">
        <f>_xlfn.IFS(B2906&lt;=5,"Night (0-5)",B2906&lt;=9,"Morning peak (6-9)",B2906&lt;=15,"Midday (10-15)",B2906&lt;=19,"Evening peak (16-19)",TRUE,"Late evening (20-23)")</f>
        <v>Night (0-5)</v>
      </c>
    </row>
    <row r="2907" spans="1:9">
      <c r="A2907" s="32">
        <v>41851</v>
      </c>
      <c r="B2907">
        <v>1</v>
      </c>
      <c r="C2907">
        <v>279</v>
      </c>
      <c r="D2907" t="s">
        <v>303</v>
      </c>
      <c r="E2907">
        <f>YEAR(A2907)</f>
        <v>2014</v>
      </c>
      <c r="F2907" s="33">
        <f>DATE(YEAR(A2907),MONTH(A2907),1)</f>
        <v>41821.0</v>
      </c>
      <c r="G2907" t="str">
        <f>CHOOSE(WEEKDAY(A2907,2),"Mon","Tue","Wed","Thu","Fri","Sat","Sun")</f>
        <v>Thu</v>
      </c>
      <c r="H2907" t="str">
        <f>IF(WEEKDAY(A2907,2)&gt;5,"Weekend","Weekday")</f>
        <v>Weekday</v>
      </c>
      <c r="I2907" t="str">
        <f>_xlfn.IFS(B2907&lt;=5,"Night (0-5)",B2907&lt;=9,"Morning peak (6-9)",B2907&lt;=15,"Midday (10-15)",B2907&lt;=19,"Evening peak (16-19)",TRUE,"Late evening (20-23)")</f>
        <v>Night (0-5)</v>
      </c>
    </row>
    <row r="2908" spans="1:9">
      <c r="A2908" s="32">
        <v>41851</v>
      </c>
      <c r="B2908">
        <v>2</v>
      </c>
      <c r="C2908">
        <v>218</v>
      </c>
      <c r="D2908" t="s">
        <v>303</v>
      </c>
      <c r="E2908">
        <f>YEAR(A2908)</f>
        <v>2014</v>
      </c>
      <c r="F2908" s="33">
        <f>DATE(YEAR(A2908),MONTH(A2908),1)</f>
        <v>41821.0</v>
      </c>
      <c r="G2908" t="str">
        <f>CHOOSE(WEEKDAY(A2908,2),"Mon","Tue","Wed","Thu","Fri","Sat","Sun")</f>
        <v>Thu</v>
      </c>
      <c r="H2908" t="str">
        <f>IF(WEEKDAY(A2908,2)&gt;5,"Weekend","Weekday")</f>
        <v>Weekday</v>
      </c>
      <c r="I2908" t="str">
        <f>_xlfn.IFS(B2908&lt;=5,"Night (0-5)",B2908&lt;=9,"Morning peak (6-9)",B2908&lt;=15,"Midday (10-15)",B2908&lt;=19,"Evening peak (16-19)",TRUE,"Late evening (20-23)")</f>
        <v>Night (0-5)</v>
      </c>
    </row>
    <row r="2909" spans="1:9">
      <c r="A2909" s="32">
        <v>41851</v>
      </c>
      <c r="B2909">
        <v>3</v>
      </c>
      <c r="C2909">
        <v>291</v>
      </c>
      <c r="D2909" t="s">
        <v>303</v>
      </c>
      <c r="E2909">
        <f>YEAR(A2909)</f>
        <v>2014</v>
      </c>
      <c r="F2909" s="33">
        <f>DATE(YEAR(A2909),MONTH(A2909),1)</f>
        <v>41821.0</v>
      </c>
      <c r="G2909" t="str">
        <f>CHOOSE(WEEKDAY(A2909,2),"Mon","Tue","Wed","Thu","Fri","Sat","Sun")</f>
        <v>Thu</v>
      </c>
      <c r="H2909" t="str">
        <f>IF(WEEKDAY(A2909,2)&gt;5,"Weekend","Weekday")</f>
        <v>Weekday</v>
      </c>
      <c r="I2909" t="str">
        <f>_xlfn.IFS(B2909&lt;=5,"Night (0-5)",B2909&lt;=9,"Morning peak (6-9)",B2909&lt;=15,"Midday (10-15)",B2909&lt;=19,"Evening peak (16-19)",TRUE,"Late evening (20-23)")</f>
        <v>Night (0-5)</v>
      </c>
    </row>
    <row r="2910" spans="1:9">
      <c r="A2910" s="32">
        <v>41851</v>
      </c>
      <c r="B2910">
        <v>4</v>
      </c>
      <c r="C2910">
        <v>417</v>
      </c>
      <c r="D2910" t="s">
        <v>303</v>
      </c>
      <c r="E2910">
        <f>YEAR(A2910)</f>
        <v>2014</v>
      </c>
      <c r="F2910" s="33">
        <f>DATE(YEAR(A2910),MONTH(A2910),1)</f>
        <v>41821.0</v>
      </c>
      <c r="G2910" t="str">
        <f>CHOOSE(WEEKDAY(A2910,2),"Mon","Tue","Wed","Thu","Fri","Sat","Sun")</f>
        <v>Thu</v>
      </c>
      <c r="H2910" t="str">
        <f>IF(WEEKDAY(A2910,2)&gt;5,"Weekend","Weekday")</f>
        <v>Weekday</v>
      </c>
      <c r="I2910" t="str">
        <f>_xlfn.IFS(B2910&lt;=5,"Night (0-5)",B2910&lt;=9,"Morning peak (6-9)",B2910&lt;=15,"Midday (10-15)",B2910&lt;=19,"Evening peak (16-19)",TRUE,"Late evening (20-23)")</f>
        <v>Night (0-5)</v>
      </c>
    </row>
    <row r="2911" spans="1:9">
      <c r="A2911" s="32">
        <v>41851</v>
      </c>
      <c r="B2911">
        <v>5</v>
      </c>
      <c r="C2911">
        <v>601</v>
      </c>
      <c r="D2911" t="s">
        <v>303</v>
      </c>
      <c r="E2911">
        <f>YEAR(A2911)</f>
        <v>2014</v>
      </c>
      <c r="F2911" s="33">
        <f>DATE(YEAR(A2911),MONTH(A2911),1)</f>
        <v>41821.0</v>
      </c>
      <c r="G2911" t="str">
        <f>CHOOSE(WEEKDAY(A2911,2),"Mon","Tue","Wed","Thu","Fri","Sat","Sun")</f>
        <v>Thu</v>
      </c>
      <c r="H2911" t="str">
        <f>IF(WEEKDAY(A2911,2)&gt;5,"Weekend","Weekday")</f>
        <v>Weekday</v>
      </c>
      <c r="I2911" t="str">
        <f>_xlfn.IFS(B2911&lt;=5,"Night (0-5)",B2911&lt;=9,"Morning peak (6-9)",B2911&lt;=15,"Midday (10-15)",B2911&lt;=19,"Evening peak (16-19)",TRUE,"Late evening (20-23)")</f>
        <v>Night (0-5)</v>
      </c>
    </row>
    <row r="2912" spans="1:9">
      <c r="A2912" s="32">
        <v>41851</v>
      </c>
      <c r="B2912">
        <v>6</v>
      </c>
      <c r="C2912">
        <v>1084</v>
      </c>
      <c r="D2912" t="s">
        <v>303</v>
      </c>
      <c r="E2912">
        <f>YEAR(A2912)</f>
        <v>2014</v>
      </c>
      <c r="F2912" s="33">
        <f>DATE(YEAR(A2912),MONTH(A2912),1)</f>
        <v>41821.0</v>
      </c>
      <c r="G2912" t="str">
        <f>CHOOSE(WEEKDAY(A2912,2),"Mon","Tue","Wed","Thu","Fri","Sat","Sun")</f>
        <v>Thu</v>
      </c>
      <c r="H2912" t="str">
        <f>IF(WEEKDAY(A2912,2)&gt;5,"Weekend","Weekday")</f>
        <v>Weekday</v>
      </c>
      <c r="I2912" t="str">
        <f>_xlfn.IFS(B2912&lt;=5,"Night (0-5)",B2912&lt;=9,"Morning peak (6-9)",B2912&lt;=15,"Midday (10-15)",B2912&lt;=19,"Evening peak (16-19)",TRUE,"Late evening (20-23)")</f>
        <v>Morning peak (6-9)</v>
      </c>
    </row>
    <row r="2913" spans="1:9">
      <c r="A2913" s="32">
        <v>41851</v>
      </c>
      <c r="B2913">
        <v>7</v>
      </c>
      <c r="C2913">
        <v>1458</v>
      </c>
      <c r="D2913" t="s">
        <v>303</v>
      </c>
      <c r="E2913">
        <f>YEAR(A2913)</f>
        <v>2014</v>
      </c>
      <c r="F2913" s="33">
        <f>DATE(YEAR(A2913),MONTH(A2913),1)</f>
        <v>41821.0</v>
      </c>
      <c r="G2913" t="str">
        <f>CHOOSE(WEEKDAY(A2913,2),"Mon","Tue","Wed","Thu","Fri","Sat","Sun")</f>
        <v>Thu</v>
      </c>
      <c r="H2913" t="str">
        <f>IF(WEEKDAY(A2913,2)&gt;5,"Weekend","Weekday")</f>
        <v>Weekday</v>
      </c>
      <c r="I2913" t="str">
        <f>_xlfn.IFS(B2913&lt;=5,"Night (0-5)",B2913&lt;=9,"Morning peak (6-9)",B2913&lt;=15,"Midday (10-15)",B2913&lt;=19,"Evening peak (16-19)",TRUE,"Late evening (20-23)")</f>
        <v>Morning peak (6-9)</v>
      </c>
    </row>
    <row r="2914" spans="1:9">
      <c r="A2914" s="32">
        <v>41851</v>
      </c>
      <c r="B2914">
        <v>8</v>
      </c>
      <c r="C2914">
        <v>1426</v>
      </c>
      <c r="D2914" t="s">
        <v>303</v>
      </c>
      <c r="E2914">
        <f>YEAR(A2914)</f>
        <v>2014</v>
      </c>
      <c r="F2914" s="33">
        <f>DATE(YEAR(A2914),MONTH(A2914),1)</f>
        <v>41821.0</v>
      </c>
      <c r="G2914" t="str">
        <f>CHOOSE(WEEKDAY(A2914,2),"Mon","Tue","Wed","Thu","Fri","Sat","Sun")</f>
        <v>Thu</v>
      </c>
      <c r="H2914" t="str">
        <f>IF(WEEKDAY(A2914,2)&gt;5,"Weekend","Weekday")</f>
        <v>Weekday</v>
      </c>
      <c r="I2914" t="str">
        <f>_xlfn.IFS(B2914&lt;=5,"Night (0-5)",B2914&lt;=9,"Morning peak (6-9)",B2914&lt;=15,"Midday (10-15)",B2914&lt;=19,"Evening peak (16-19)",TRUE,"Late evening (20-23)")</f>
        <v>Morning peak (6-9)</v>
      </c>
    </row>
    <row r="2915" spans="1:9">
      <c r="A2915" s="32">
        <v>41851</v>
      </c>
      <c r="B2915">
        <v>9</v>
      </c>
      <c r="C2915">
        <v>1238</v>
      </c>
      <c r="D2915" t="s">
        <v>303</v>
      </c>
      <c r="E2915">
        <f>YEAR(A2915)</f>
        <v>2014</v>
      </c>
      <c r="F2915" s="33">
        <f>DATE(YEAR(A2915),MONTH(A2915),1)</f>
        <v>41821.0</v>
      </c>
      <c r="G2915" t="str">
        <f>CHOOSE(WEEKDAY(A2915,2),"Mon","Tue","Wed","Thu","Fri","Sat","Sun")</f>
        <v>Thu</v>
      </c>
      <c r="H2915" t="str">
        <f>IF(WEEKDAY(A2915,2)&gt;5,"Weekend","Weekday")</f>
        <v>Weekday</v>
      </c>
      <c r="I2915" t="str">
        <f>_xlfn.IFS(B2915&lt;=5,"Night (0-5)",B2915&lt;=9,"Morning peak (6-9)",B2915&lt;=15,"Midday (10-15)",B2915&lt;=19,"Evening peak (16-19)",TRUE,"Late evening (20-23)")</f>
        <v>Morning peak (6-9)</v>
      </c>
    </row>
    <row r="2916" spans="1:9">
      <c r="A2916" s="32">
        <v>41851</v>
      </c>
      <c r="B2916">
        <v>10</v>
      </c>
      <c r="C2916">
        <v>1131</v>
      </c>
      <c r="D2916" t="s">
        <v>303</v>
      </c>
      <c r="E2916">
        <f>YEAR(A2916)</f>
        <v>2014</v>
      </c>
      <c r="F2916" s="33">
        <f>DATE(YEAR(A2916),MONTH(A2916),1)</f>
        <v>41821.0</v>
      </c>
      <c r="G2916" t="str">
        <f>CHOOSE(WEEKDAY(A2916,2),"Mon","Tue","Wed","Thu","Fri","Sat","Sun")</f>
        <v>Thu</v>
      </c>
      <c r="H2916" t="str">
        <f>IF(WEEKDAY(A2916,2)&gt;5,"Weekend","Weekday")</f>
        <v>Weekday</v>
      </c>
      <c r="I2916" t="str">
        <f>_xlfn.IFS(B2916&lt;=5,"Night (0-5)",B2916&lt;=9,"Morning peak (6-9)",B2916&lt;=15,"Midday (10-15)",B2916&lt;=19,"Evening peak (16-19)",TRUE,"Late evening (20-23)")</f>
        <v>Midday (10-15)</v>
      </c>
    </row>
    <row r="2917" spans="1:9">
      <c r="A2917" s="32">
        <v>41851</v>
      </c>
      <c r="B2917">
        <v>11</v>
      </c>
      <c r="C2917">
        <v>1101</v>
      </c>
      <c r="D2917" t="s">
        <v>303</v>
      </c>
      <c r="E2917">
        <f>YEAR(A2917)</f>
        <v>2014</v>
      </c>
      <c r="F2917" s="33">
        <f>DATE(YEAR(A2917),MONTH(A2917),1)</f>
        <v>41821.0</v>
      </c>
      <c r="G2917" t="str">
        <f>CHOOSE(WEEKDAY(A2917,2),"Mon","Tue","Wed","Thu","Fri","Sat","Sun")</f>
        <v>Thu</v>
      </c>
      <c r="H2917" t="str">
        <f>IF(WEEKDAY(A2917,2)&gt;5,"Weekend","Weekday")</f>
        <v>Weekday</v>
      </c>
      <c r="I2917" t="str">
        <f>_xlfn.IFS(B2917&lt;=5,"Night (0-5)",B2917&lt;=9,"Morning peak (6-9)",B2917&lt;=15,"Midday (10-15)",B2917&lt;=19,"Evening peak (16-19)",TRUE,"Late evening (20-23)")</f>
        <v>Midday (10-15)</v>
      </c>
    </row>
    <row r="2918" spans="1:9">
      <c r="A2918" s="32">
        <v>41851</v>
      </c>
      <c r="B2918">
        <v>12</v>
      </c>
      <c r="C2918">
        <v>1133</v>
      </c>
      <c r="D2918" t="s">
        <v>303</v>
      </c>
      <c r="E2918">
        <f>YEAR(A2918)</f>
        <v>2014</v>
      </c>
      <c r="F2918" s="33">
        <f>DATE(YEAR(A2918),MONTH(A2918),1)</f>
        <v>41821.0</v>
      </c>
      <c r="G2918" t="str">
        <f>CHOOSE(WEEKDAY(A2918,2),"Mon","Tue","Wed","Thu","Fri","Sat","Sun")</f>
        <v>Thu</v>
      </c>
      <c r="H2918" t="str">
        <f>IF(WEEKDAY(A2918,2)&gt;5,"Weekend","Weekday")</f>
        <v>Weekday</v>
      </c>
      <c r="I2918" t="str">
        <f>_xlfn.IFS(B2918&lt;=5,"Night (0-5)",B2918&lt;=9,"Morning peak (6-9)",B2918&lt;=15,"Midday (10-15)",B2918&lt;=19,"Evening peak (16-19)",TRUE,"Late evening (20-23)")</f>
        <v>Midday (10-15)</v>
      </c>
    </row>
    <row r="2919" spans="1:9">
      <c r="A2919" s="32">
        <v>41851</v>
      </c>
      <c r="B2919">
        <v>13</v>
      </c>
      <c r="C2919">
        <v>1347</v>
      </c>
      <c r="D2919" t="s">
        <v>303</v>
      </c>
      <c r="E2919">
        <f>YEAR(A2919)</f>
        <v>2014</v>
      </c>
      <c r="F2919" s="33">
        <f>DATE(YEAR(A2919),MONTH(A2919),1)</f>
        <v>41821.0</v>
      </c>
      <c r="G2919" t="str">
        <f>CHOOSE(WEEKDAY(A2919,2),"Mon","Tue","Wed","Thu","Fri","Sat","Sun")</f>
        <v>Thu</v>
      </c>
      <c r="H2919" t="str">
        <f>IF(WEEKDAY(A2919,2)&gt;5,"Weekend","Weekday")</f>
        <v>Weekday</v>
      </c>
      <c r="I2919" t="str">
        <f>_xlfn.IFS(B2919&lt;=5,"Night (0-5)",B2919&lt;=9,"Morning peak (6-9)",B2919&lt;=15,"Midday (10-15)",B2919&lt;=19,"Evening peak (16-19)",TRUE,"Late evening (20-23)")</f>
        <v>Midday (10-15)</v>
      </c>
    </row>
    <row r="2920" spans="1:9">
      <c r="A2920" s="32">
        <v>41851</v>
      </c>
      <c r="B2920">
        <v>14</v>
      </c>
      <c r="C2920">
        <v>1600</v>
      </c>
      <c r="D2920" t="s">
        <v>303</v>
      </c>
      <c r="E2920">
        <f>YEAR(A2920)</f>
        <v>2014</v>
      </c>
      <c r="F2920" s="33">
        <f>DATE(YEAR(A2920),MONTH(A2920),1)</f>
        <v>41821.0</v>
      </c>
      <c r="G2920" t="str">
        <f>CHOOSE(WEEKDAY(A2920,2),"Mon","Tue","Wed","Thu","Fri","Sat","Sun")</f>
        <v>Thu</v>
      </c>
      <c r="H2920" t="str">
        <f>IF(WEEKDAY(A2920,2)&gt;5,"Weekend","Weekday")</f>
        <v>Weekday</v>
      </c>
      <c r="I2920" t="str">
        <f>_xlfn.IFS(B2920&lt;=5,"Night (0-5)",B2920&lt;=9,"Morning peak (6-9)",B2920&lt;=15,"Midday (10-15)",B2920&lt;=19,"Evening peak (16-19)",TRUE,"Late evening (20-23)")</f>
        <v>Midday (10-15)</v>
      </c>
    </row>
    <row r="2921" spans="1:9">
      <c r="A2921" s="32">
        <v>41851</v>
      </c>
      <c r="B2921">
        <v>15</v>
      </c>
      <c r="C2921">
        <v>1927</v>
      </c>
      <c r="D2921" t="s">
        <v>303</v>
      </c>
      <c r="E2921">
        <f>YEAR(A2921)</f>
        <v>2014</v>
      </c>
      <c r="F2921" s="33">
        <f>DATE(YEAR(A2921),MONTH(A2921),1)</f>
        <v>41821.0</v>
      </c>
      <c r="G2921" t="str">
        <f>CHOOSE(WEEKDAY(A2921,2),"Mon","Tue","Wed","Thu","Fri","Sat","Sun")</f>
        <v>Thu</v>
      </c>
      <c r="H2921" t="str">
        <f>IF(WEEKDAY(A2921,2)&gt;5,"Weekend","Weekday")</f>
        <v>Weekday</v>
      </c>
      <c r="I2921" t="str">
        <f>_xlfn.IFS(B2921&lt;=5,"Night (0-5)",B2921&lt;=9,"Morning peak (6-9)",B2921&lt;=15,"Midday (10-15)",B2921&lt;=19,"Evening peak (16-19)",TRUE,"Late evening (20-23)")</f>
        <v>Midday (10-15)</v>
      </c>
    </row>
    <row r="2922" spans="1:9">
      <c r="A2922" s="32">
        <v>41851</v>
      </c>
      <c r="B2922">
        <v>16</v>
      </c>
      <c r="C2922">
        <v>2154</v>
      </c>
      <c r="D2922" t="s">
        <v>303</v>
      </c>
      <c r="E2922">
        <f>YEAR(A2922)</f>
        <v>2014</v>
      </c>
      <c r="F2922" s="33">
        <f>DATE(YEAR(A2922),MONTH(A2922),1)</f>
        <v>41821.0</v>
      </c>
      <c r="G2922" t="str">
        <f>CHOOSE(WEEKDAY(A2922,2),"Mon","Tue","Wed","Thu","Fri","Sat","Sun")</f>
        <v>Thu</v>
      </c>
      <c r="H2922" t="str">
        <f>IF(WEEKDAY(A2922,2)&gt;5,"Weekend","Weekday")</f>
        <v>Weekday</v>
      </c>
      <c r="I2922" t="str">
        <f>_xlfn.IFS(B2922&lt;=5,"Night (0-5)",B2922&lt;=9,"Morning peak (6-9)",B2922&lt;=15,"Midday (10-15)",B2922&lt;=19,"Evening peak (16-19)",TRUE,"Late evening (20-23)")</f>
        <v>Evening peak (16-19)</v>
      </c>
    </row>
    <row r="2923" spans="1:9">
      <c r="A2923" s="32">
        <v>41851</v>
      </c>
      <c r="B2923">
        <v>17</v>
      </c>
      <c r="C2923">
        <v>2466</v>
      </c>
      <c r="D2923" t="s">
        <v>303</v>
      </c>
      <c r="E2923">
        <f>YEAR(A2923)</f>
        <v>2014</v>
      </c>
      <c r="F2923" s="33">
        <f>DATE(YEAR(A2923),MONTH(A2923),1)</f>
        <v>41821.0</v>
      </c>
      <c r="G2923" t="str">
        <f>CHOOSE(WEEKDAY(A2923,2),"Mon","Tue","Wed","Thu","Fri","Sat","Sun")</f>
        <v>Thu</v>
      </c>
      <c r="H2923" t="str">
        <f>IF(WEEKDAY(A2923,2)&gt;5,"Weekend","Weekday")</f>
        <v>Weekday</v>
      </c>
      <c r="I2923" t="str">
        <f>_xlfn.IFS(B2923&lt;=5,"Night (0-5)",B2923&lt;=9,"Morning peak (6-9)",B2923&lt;=15,"Midday (10-15)",B2923&lt;=19,"Evening peak (16-19)",TRUE,"Late evening (20-23)")</f>
        <v>Evening peak (16-19)</v>
      </c>
    </row>
    <row r="2924" spans="1:9">
      <c r="A2924" s="32">
        <v>41851</v>
      </c>
      <c r="B2924">
        <v>18</v>
      </c>
      <c r="C2924">
        <v>2531</v>
      </c>
      <c r="D2924" t="s">
        <v>303</v>
      </c>
      <c r="E2924">
        <f>YEAR(A2924)</f>
        <v>2014</v>
      </c>
      <c r="F2924" s="33">
        <f>DATE(YEAR(A2924),MONTH(A2924),1)</f>
        <v>41821.0</v>
      </c>
      <c r="G2924" t="str">
        <f>CHOOSE(WEEKDAY(A2924,2),"Mon","Tue","Wed","Thu","Fri","Sat","Sun")</f>
        <v>Thu</v>
      </c>
      <c r="H2924" t="str">
        <f>IF(WEEKDAY(A2924,2)&gt;5,"Weekend","Weekday")</f>
        <v>Weekday</v>
      </c>
      <c r="I2924" t="str">
        <f>_xlfn.IFS(B2924&lt;=5,"Night (0-5)",B2924&lt;=9,"Morning peak (6-9)",B2924&lt;=15,"Midday (10-15)",B2924&lt;=19,"Evening peak (16-19)",TRUE,"Late evening (20-23)")</f>
        <v>Evening peak (16-19)</v>
      </c>
    </row>
    <row r="2925" spans="1:9">
      <c r="A2925" s="32">
        <v>41851</v>
      </c>
      <c r="B2925">
        <v>19</v>
      </c>
      <c r="C2925">
        <v>2430</v>
      </c>
      <c r="D2925" t="s">
        <v>303</v>
      </c>
      <c r="E2925">
        <f>YEAR(A2925)</f>
        <v>2014</v>
      </c>
      <c r="F2925" s="33">
        <f>DATE(YEAR(A2925),MONTH(A2925),1)</f>
        <v>41821.0</v>
      </c>
      <c r="G2925" t="str">
        <f>CHOOSE(WEEKDAY(A2925,2),"Mon","Tue","Wed","Thu","Fri","Sat","Sun")</f>
        <v>Thu</v>
      </c>
      <c r="H2925" t="str">
        <f>IF(WEEKDAY(A2925,2)&gt;5,"Weekend","Weekday")</f>
        <v>Weekday</v>
      </c>
      <c r="I2925" t="str">
        <f>_xlfn.IFS(B2925&lt;=5,"Night (0-5)",B2925&lt;=9,"Morning peak (6-9)",B2925&lt;=15,"Midday (10-15)",B2925&lt;=19,"Evening peak (16-19)",TRUE,"Late evening (20-23)")</f>
        <v>Evening peak (16-19)</v>
      </c>
    </row>
    <row r="2926" spans="1:9">
      <c r="A2926" s="32">
        <v>41851</v>
      </c>
      <c r="B2926">
        <v>20</v>
      </c>
      <c r="C2926">
        <v>2460</v>
      </c>
      <c r="D2926" t="s">
        <v>303</v>
      </c>
      <c r="E2926">
        <f>YEAR(A2926)</f>
        <v>2014</v>
      </c>
      <c r="F2926" s="33">
        <f>DATE(YEAR(A2926),MONTH(A2926),1)</f>
        <v>41821.0</v>
      </c>
      <c r="G2926" t="str">
        <f>CHOOSE(WEEKDAY(A2926,2),"Mon","Tue","Wed","Thu","Fri","Sat","Sun")</f>
        <v>Thu</v>
      </c>
      <c r="H2926" t="str">
        <f>IF(WEEKDAY(A2926,2)&gt;5,"Weekend","Weekday")</f>
        <v>Weekday</v>
      </c>
      <c r="I2926" t="str">
        <f>_xlfn.IFS(B2926&lt;=5,"Night (0-5)",B2926&lt;=9,"Morning peak (6-9)",B2926&lt;=15,"Midday (10-15)",B2926&lt;=19,"Evening peak (16-19)",TRUE,"Late evening (20-23)")</f>
        <v>Late evening (20-23)</v>
      </c>
    </row>
    <row r="2927" spans="1:9">
      <c r="A2927" s="32">
        <v>41851</v>
      </c>
      <c r="B2927">
        <v>21</v>
      </c>
      <c r="C2927">
        <v>2275</v>
      </c>
      <c r="D2927" t="s">
        <v>303</v>
      </c>
      <c r="E2927">
        <f>YEAR(A2927)</f>
        <v>2014</v>
      </c>
      <c r="F2927" s="33">
        <f>DATE(YEAR(A2927),MONTH(A2927),1)</f>
        <v>41821.0</v>
      </c>
      <c r="G2927" t="str">
        <f>CHOOSE(WEEKDAY(A2927,2),"Mon","Tue","Wed","Thu","Fri","Sat","Sun")</f>
        <v>Thu</v>
      </c>
      <c r="H2927" t="str">
        <f>IF(WEEKDAY(A2927,2)&gt;5,"Weekend","Weekday")</f>
        <v>Weekday</v>
      </c>
      <c r="I2927" t="str">
        <f>_xlfn.IFS(B2927&lt;=5,"Night (0-5)",B2927&lt;=9,"Morning peak (6-9)",B2927&lt;=15,"Midday (10-15)",B2927&lt;=19,"Evening peak (16-19)",TRUE,"Late evening (20-23)")</f>
        <v>Late evening (20-23)</v>
      </c>
    </row>
    <row r="2928" spans="1:9">
      <c r="A2928" s="32">
        <v>41851</v>
      </c>
      <c r="B2928">
        <v>22</v>
      </c>
      <c r="C2928">
        <v>2099</v>
      </c>
      <c r="D2928" t="s">
        <v>303</v>
      </c>
      <c r="E2928">
        <f>YEAR(A2928)</f>
        <v>2014</v>
      </c>
      <c r="F2928" s="33">
        <f>DATE(YEAR(A2928),MONTH(A2928),1)</f>
        <v>41821.0</v>
      </c>
      <c r="G2928" t="str">
        <f>CHOOSE(WEEKDAY(A2928,2),"Mon","Tue","Wed","Thu","Fri","Sat","Sun")</f>
        <v>Thu</v>
      </c>
      <c r="H2928" t="str">
        <f>IF(WEEKDAY(A2928,2)&gt;5,"Weekend","Weekday")</f>
        <v>Weekday</v>
      </c>
      <c r="I2928" t="str">
        <f>_xlfn.IFS(B2928&lt;=5,"Night (0-5)",B2928&lt;=9,"Morning peak (6-9)",B2928&lt;=15,"Midday (10-15)",B2928&lt;=19,"Evening peak (16-19)",TRUE,"Late evening (20-23)")</f>
        <v>Late evening (20-23)</v>
      </c>
    </row>
    <row r="2929" spans="1:9">
      <c r="A2929" s="32">
        <v>41851</v>
      </c>
      <c r="B2929">
        <v>23</v>
      </c>
      <c r="C2929">
        <v>1382</v>
      </c>
      <c r="D2929" t="s">
        <v>303</v>
      </c>
      <c r="E2929">
        <f>YEAR(A2929)</f>
        <v>2014</v>
      </c>
      <c r="F2929" s="33">
        <f>DATE(YEAR(A2929),MONTH(A2929),1)</f>
        <v>41821.0</v>
      </c>
      <c r="G2929" t="str">
        <f>CHOOSE(WEEKDAY(A2929,2),"Mon","Tue","Wed","Thu","Fri","Sat","Sun")</f>
        <v>Thu</v>
      </c>
      <c r="H2929" t="str">
        <f>IF(WEEKDAY(A2929,2)&gt;5,"Weekend","Weekday")</f>
        <v>Weekday</v>
      </c>
      <c r="I2929" t="str">
        <f>_xlfn.IFS(B2929&lt;=5,"Night (0-5)",B2929&lt;=9,"Morning peak (6-9)",B2929&lt;=15,"Midday (10-15)",B2929&lt;=19,"Evening peak (16-19)",TRUE,"Late evening (20-23)")</f>
        <v>Late evening (20-23)</v>
      </c>
    </row>
    <row r="2930" spans="1:9">
      <c r="A2930" s="32">
        <v>41852</v>
      </c>
      <c r="B2930">
        <v>0</v>
      </c>
      <c r="C2930">
        <v>734</v>
      </c>
      <c r="D2930" t="s">
        <v>303</v>
      </c>
      <c r="E2930">
        <f>YEAR(A2930)</f>
        <v>2014</v>
      </c>
      <c r="F2930" s="33">
        <f>DATE(YEAR(A2930),MONTH(A2930),1)</f>
        <v>41852.0</v>
      </c>
      <c r="G2930" t="str">
        <f>CHOOSE(WEEKDAY(A2930,2),"Mon","Tue","Wed","Thu","Fri","Sat","Sun")</f>
        <v>Fri</v>
      </c>
      <c r="H2930" t="str">
        <f>IF(WEEKDAY(A2930,2)&gt;5,"Weekend","Weekday")</f>
        <v>Weekday</v>
      </c>
      <c r="I2930" t="str">
        <f>_xlfn.IFS(B2930&lt;=5,"Night (0-5)",B2930&lt;=9,"Morning peak (6-9)",B2930&lt;=15,"Midday (10-15)",B2930&lt;=19,"Evening peak (16-19)",TRUE,"Late evening (20-23)")</f>
        <v>Night (0-5)</v>
      </c>
    </row>
    <row r="2931" spans="1:9">
      <c r="A2931" s="32">
        <v>41852</v>
      </c>
      <c r="B2931">
        <v>1</v>
      </c>
      <c r="C2931">
        <v>451</v>
      </c>
      <c r="D2931" t="s">
        <v>303</v>
      </c>
      <c r="E2931">
        <f>YEAR(A2931)</f>
        <v>2014</v>
      </c>
      <c r="F2931" s="33">
        <f>DATE(YEAR(A2931),MONTH(A2931),1)</f>
        <v>41852.0</v>
      </c>
      <c r="G2931" t="str">
        <f>CHOOSE(WEEKDAY(A2931,2),"Mon","Tue","Wed","Thu","Fri","Sat","Sun")</f>
        <v>Fri</v>
      </c>
      <c r="H2931" t="str">
        <f>IF(WEEKDAY(A2931,2)&gt;5,"Weekend","Weekday")</f>
        <v>Weekday</v>
      </c>
      <c r="I2931" t="str">
        <f>_xlfn.IFS(B2931&lt;=5,"Night (0-5)",B2931&lt;=9,"Morning peak (6-9)",B2931&lt;=15,"Midday (10-15)",B2931&lt;=19,"Evening peak (16-19)",TRUE,"Late evening (20-23)")</f>
        <v>Night (0-5)</v>
      </c>
    </row>
    <row r="2932" spans="1:9">
      <c r="A2932" s="32">
        <v>41852</v>
      </c>
      <c r="B2932">
        <v>2</v>
      </c>
      <c r="C2932">
        <v>289</v>
      </c>
      <c r="D2932" t="s">
        <v>303</v>
      </c>
      <c r="E2932">
        <f>YEAR(A2932)</f>
        <v>2014</v>
      </c>
      <c r="F2932" s="33">
        <f>DATE(YEAR(A2932),MONTH(A2932),1)</f>
        <v>41852.0</v>
      </c>
      <c r="G2932" t="str">
        <f>CHOOSE(WEEKDAY(A2932,2),"Mon","Tue","Wed","Thu","Fri","Sat","Sun")</f>
        <v>Fri</v>
      </c>
      <c r="H2932" t="str">
        <f>IF(WEEKDAY(A2932,2)&gt;5,"Weekend","Weekday")</f>
        <v>Weekday</v>
      </c>
      <c r="I2932" t="str">
        <f>_xlfn.IFS(B2932&lt;=5,"Night (0-5)",B2932&lt;=9,"Morning peak (6-9)",B2932&lt;=15,"Midday (10-15)",B2932&lt;=19,"Evening peak (16-19)",TRUE,"Late evening (20-23)")</f>
        <v>Night (0-5)</v>
      </c>
    </row>
    <row r="2933" spans="1:9">
      <c r="A2933" s="32">
        <v>41852</v>
      </c>
      <c r="B2933">
        <v>3</v>
      </c>
      <c r="C2933">
        <v>318</v>
      </c>
      <c r="D2933" t="s">
        <v>303</v>
      </c>
      <c r="E2933">
        <f>YEAR(A2933)</f>
        <v>2014</v>
      </c>
      <c r="F2933" s="33">
        <f>DATE(YEAR(A2933),MONTH(A2933),1)</f>
        <v>41852.0</v>
      </c>
      <c r="G2933" t="str">
        <f>CHOOSE(WEEKDAY(A2933,2),"Mon","Tue","Wed","Thu","Fri","Sat","Sun")</f>
        <v>Fri</v>
      </c>
      <c r="H2933" t="str">
        <f>IF(WEEKDAY(A2933,2)&gt;5,"Weekend","Weekday")</f>
        <v>Weekday</v>
      </c>
      <c r="I2933" t="str">
        <f>_xlfn.IFS(B2933&lt;=5,"Night (0-5)",B2933&lt;=9,"Morning peak (6-9)",B2933&lt;=15,"Midday (10-15)",B2933&lt;=19,"Evening peak (16-19)",TRUE,"Late evening (20-23)")</f>
        <v>Night (0-5)</v>
      </c>
    </row>
    <row r="2934" spans="1:9">
      <c r="A2934" s="32">
        <v>41852</v>
      </c>
      <c r="B2934">
        <v>4</v>
      </c>
      <c r="C2934">
        <v>412</v>
      </c>
      <c r="D2934" t="s">
        <v>303</v>
      </c>
      <c r="E2934">
        <f>YEAR(A2934)</f>
        <v>2014</v>
      </c>
      <c r="F2934" s="33">
        <f>DATE(YEAR(A2934),MONTH(A2934),1)</f>
        <v>41852.0</v>
      </c>
      <c r="G2934" t="str">
        <f>CHOOSE(WEEKDAY(A2934,2),"Mon","Tue","Wed","Thu","Fri","Sat","Sun")</f>
        <v>Fri</v>
      </c>
      <c r="H2934" t="str">
        <f>IF(WEEKDAY(A2934,2)&gt;5,"Weekend","Weekday")</f>
        <v>Weekday</v>
      </c>
      <c r="I2934" t="str">
        <f>_xlfn.IFS(B2934&lt;=5,"Night (0-5)",B2934&lt;=9,"Morning peak (6-9)",B2934&lt;=15,"Midday (10-15)",B2934&lt;=19,"Evening peak (16-19)",TRUE,"Late evening (20-23)")</f>
        <v>Night (0-5)</v>
      </c>
    </row>
    <row r="2935" spans="1:9">
      <c r="A2935" s="32">
        <v>41852</v>
      </c>
      <c r="B2935">
        <v>5</v>
      </c>
      <c r="C2935">
        <v>604</v>
      </c>
      <c r="D2935" t="s">
        <v>303</v>
      </c>
      <c r="E2935">
        <f>YEAR(A2935)</f>
        <v>2014</v>
      </c>
      <c r="F2935" s="33">
        <f>DATE(YEAR(A2935),MONTH(A2935),1)</f>
        <v>41852.0</v>
      </c>
      <c r="G2935" t="str">
        <f>CHOOSE(WEEKDAY(A2935,2),"Mon","Tue","Wed","Thu","Fri","Sat","Sun")</f>
        <v>Fri</v>
      </c>
      <c r="H2935" t="str">
        <f>IF(WEEKDAY(A2935,2)&gt;5,"Weekend","Weekday")</f>
        <v>Weekday</v>
      </c>
      <c r="I2935" t="str">
        <f>_xlfn.IFS(B2935&lt;=5,"Night (0-5)",B2935&lt;=9,"Morning peak (6-9)",B2935&lt;=15,"Midday (10-15)",B2935&lt;=19,"Evening peak (16-19)",TRUE,"Late evening (20-23)")</f>
        <v>Night (0-5)</v>
      </c>
    </row>
    <row r="2936" spans="1:9">
      <c r="A2936" s="32">
        <v>41852</v>
      </c>
      <c r="B2936">
        <v>6</v>
      </c>
      <c r="C2936">
        <v>928</v>
      </c>
      <c r="D2936" t="s">
        <v>303</v>
      </c>
      <c r="E2936">
        <f>YEAR(A2936)</f>
        <v>2014</v>
      </c>
      <c r="F2936" s="33">
        <f>DATE(YEAR(A2936),MONTH(A2936),1)</f>
        <v>41852.0</v>
      </c>
      <c r="G2936" t="str">
        <f>CHOOSE(WEEKDAY(A2936,2),"Mon","Tue","Wed","Thu","Fri","Sat","Sun")</f>
        <v>Fri</v>
      </c>
      <c r="H2936" t="str">
        <f>IF(WEEKDAY(A2936,2)&gt;5,"Weekend","Weekday")</f>
        <v>Weekday</v>
      </c>
      <c r="I2936" t="str">
        <f>_xlfn.IFS(B2936&lt;=5,"Night (0-5)",B2936&lt;=9,"Morning peak (6-9)",B2936&lt;=15,"Midday (10-15)",B2936&lt;=19,"Evening peak (16-19)",TRUE,"Late evening (20-23)")</f>
        <v>Morning peak (6-9)</v>
      </c>
    </row>
    <row r="2937" spans="1:9">
      <c r="A2937" s="32">
        <v>41852</v>
      </c>
      <c r="B2937">
        <v>7</v>
      </c>
      <c r="C2937">
        <v>1307</v>
      </c>
      <c r="D2937" t="s">
        <v>303</v>
      </c>
      <c r="E2937">
        <f>YEAR(A2937)</f>
        <v>2014</v>
      </c>
      <c r="F2937" s="33">
        <f>DATE(YEAR(A2937),MONTH(A2937),1)</f>
        <v>41852.0</v>
      </c>
      <c r="G2937" t="str">
        <f>CHOOSE(WEEKDAY(A2937,2),"Mon","Tue","Wed","Thu","Fri","Sat","Sun")</f>
        <v>Fri</v>
      </c>
      <c r="H2937" t="str">
        <f>IF(WEEKDAY(A2937,2)&gt;5,"Weekend","Weekday")</f>
        <v>Weekday</v>
      </c>
      <c r="I2937" t="str">
        <f>_xlfn.IFS(B2937&lt;=5,"Night (0-5)",B2937&lt;=9,"Morning peak (6-9)",B2937&lt;=15,"Midday (10-15)",B2937&lt;=19,"Evening peak (16-19)",TRUE,"Late evening (20-23)")</f>
        <v>Morning peak (6-9)</v>
      </c>
    </row>
    <row r="2938" spans="1:9">
      <c r="A2938" s="32">
        <v>41852</v>
      </c>
      <c r="B2938">
        <v>8</v>
      </c>
      <c r="C2938">
        <v>1337</v>
      </c>
      <c r="D2938" t="s">
        <v>303</v>
      </c>
      <c r="E2938">
        <f>YEAR(A2938)</f>
        <v>2014</v>
      </c>
      <c r="F2938" s="33">
        <f>DATE(YEAR(A2938),MONTH(A2938),1)</f>
        <v>41852.0</v>
      </c>
      <c r="G2938" t="str">
        <f>CHOOSE(WEEKDAY(A2938,2),"Mon","Tue","Wed","Thu","Fri","Sat","Sun")</f>
        <v>Fri</v>
      </c>
      <c r="H2938" t="str">
        <f>IF(WEEKDAY(A2938,2)&gt;5,"Weekend","Weekday")</f>
        <v>Weekday</v>
      </c>
      <c r="I2938" t="str">
        <f>_xlfn.IFS(B2938&lt;=5,"Night (0-5)",B2938&lt;=9,"Morning peak (6-9)",B2938&lt;=15,"Midday (10-15)",B2938&lt;=19,"Evening peak (16-19)",TRUE,"Late evening (20-23)")</f>
        <v>Morning peak (6-9)</v>
      </c>
    </row>
    <row r="2939" spans="1:9">
      <c r="A2939" s="32">
        <v>41852</v>
      </c>
      <c r="B2939">
        <v>9</v>
      </c>
      <c r="C2939">
        <v>1153</v>
      </c>
      <c r="D2939" t="s">
        <v>303</v>
      </c>
      <c r="E2939">
        <f>YEAR(A2939)</f>
        <v>2014</v>
      </c>
      <c r="F2939" s="33">
        <f>DATE(YEAR(A2939),MONTH(A2939),1)</f>
        <v>41852.0</v>
      </c>
      <c r="G2939" t="str">
        <f>CHOOSE(WEEKDAY(A2939,2),"Mon","Tue","Wed","Thu","Fri","Sat","Sun")</f>
        <v>Fri</v>
      </c>
      <c r="H2939" t="str">
        <f>IF(WEEKDAY(A2939,2)&gt;5,"Weekend","Weekday")</f>
        <v>Weekday</v>
      </c>
      <c r="I2939" t="str">
        <f>_xlfn.IFS(B2939&lt;=5,"Night (0-5)",B2939&lt;=9,"Morning peak (6-9)",B2939&lt;=15,"Midday (10-15)",B2939&lt;=19,"Evening peak (16-19)",TRUE,"Late evening (20-23)")</f>
        <v>Morning peak (6-9)</v>
      </c>
    </row>
    <row r="2940" spans="1:9">
      <c r="A2940" s="32">
        <v>41852</v>
      </c>
      <c r="B2940">
        <v>10</v>
      </c>
      <c r="C2940">
        <v>1109</v>
      </c>
      <c r="D2940" t="s">
        <v>303</v>
      </c>
      <c r="E2940">
        <f>YEAR(A2940)</f>
        <v>2014</v>
      </c>
      <c r="F2940" s="33">
        <f>DATE(YEAR(A2940),MONTH(A2940),1)</f>
        <v>41852.0</v>
      </c>
      <c r="G2940" t="str">
        <f>CHOOSE(WEEKDAY(A2940,2),"Mon","Tue","Wed","Thu","Fri","Sat","Sun")</f>
        <v>Fri</v>
      </c>
      <c r="H2940" t="str">
        <f>IF(WEEKDAY(A2940,2)&gt;5,"Weekend","Weekday")</f>
        <v>Weekday</v>
      </c>
      <c r="I2940" t="str">
        <f>_xlfn.IFS(B2940&lt;=5,"Night (0-5)",B2940&lt;=9,"Morning peak (6-9)",B2940&lt;=15,"Midday (10-15)",B2940&lt;=19,"Evening peak (16-19)",TRUE,"Late evening (20-23)")</f>
        <v>Midday (10-15)</v>
      </c>
    </row>
    <row r="2941" spans="1:9">
      <c r="A2941" s="32">
        <v>41852</v>
      </c>
      <c r="B2941">
        <v>11</v>
      </c>
      <c r="C2941">
        <v>1079</v>
      </c>
      <c r="D2941" t="s">
        <v>303</v>
      </c>
      <c r="E2941">
        <f>YEAR(A2941)</f>
        <v>2014</v>
      </c>
      <c r="F2941" s="33">
        <f>DATE(YEAR(A2941),MONTH(A2941),1)</f>
        <v>41852.0</v>
      </c>
      <c r="G2941" t="str">
        <f>CHOOSE(WEEKDAY(A2941,2),"Mon","Tue","Wed","Thu","Fri","Sat","Sun")</f>
        <v>Fri</v>
      </c>
      <c r="H2941" t="str">
        <f>IF(WEEKDAY(A2941,2)&gt;5,"Weekend","Weekday")</f>
        <v>Weekday</v>
      </c>
      <c r="I2941" t="str">
        <f>_xlfn.IFS(B2941&lt;=5,"Night (0-5)",B2941&lt;=9,"Morning peak (6-9)",B2941&lt;=15,"Midday (10-15)",B2941&lt;=19,"Evening peak (16-19)",TRUE,"Late evening (20-23)")</f>
        <v>Midday (10-15)</v>
      </c>
    </row>
    <row r="2942" spans="1:9">
      <c r="A2942" s="32">
        <v>41852</v>
      </c>
      <c r="B2942">
        <v>12</v>
      </c>
      <c r="C2942">
        <v>1085</v>
      </c>
      <c r="D2942" t="s">
        <v>303</v>
      </c>
      <c r="E2942">
        <f>YEAR(A2942)</f>
        <v>2014</v>
      </c>
      <c r="F2942" s="33">
        <f>DATE(YEAR(A2942),MONTH(A2942),1)</f>
        <v>41852.0</v>
      </c>
      <c r="G2942" t="str">
        <f>CHOOSE(WEEKDAY(A2942,2),"Mon","Tue","Wed","Thu","Fri","Sat","Sun")</f>
        <v>Fri</v>
      </c>
      <c r="H2942" t="str">
        <f>IF(WEEKDAY(A2942,2)&gt;5,"Weekend","Weekday")</f>
        <v>Weekday</v>
      </c>
      <c r="I2942" t="str">
        <f>_xlfn.IFS(B2942&lt;=5,"Night (0-5)",B2942&lt;=9,"Morning peak (6-9)",B2942&lt;=15,"Midday (10-15)",B2942&lt;=19,"Evening peak (16-19)",TRUE,"Late evening (20-23)")</f>
        <v>Midday (10-15)</v>
      </c>
    </row>
    <row r="2943" spans="1:9">
      <c r="A2943" s="32">
        <v>41852</v>
      </c>
      <c r="B2943">
        <v>13</v>
      </c>
      <c r="C2943">
        <v>1398</v>
      </c>
      <c r="D2943" t="s">
        <v>303</v>
      </c>
      <c r="E2943">
        <f>YEAR(A2943)</f>
        <v>2014</v>
      </c>
      <c r="F2943" s="33">
        <f>DATE(YEAR(A2943),MONTH(A2943),1)</f>
        <v>41852.0</v>
      </c>
      <c r="G2943" t="str">
        <f>CHOOSE(WEEKDAY(A2943,2),"Mon","Tue","Wed","Thu","Fri","Sat","Sun")</f>
        <v>Fri</v>
      </c>
      <c r="H2943" t="str">
        <f>IF(WEEKDAY(A2943,2)&gt;5,"Weekend","Weekday")</f>
        <v>Weekday</v>
      </c>
      <c r="I2943" t="str">
        <f>_xlfn.IFS(B2943&lt;=5,"Night (0-5)",B2943&lt;=9,"Morning peak (6-9)",B2943&lt;=15,"Midday (10-15)",B2943&lt;=19,"Evening peak (16-19)",TRUE,"Late evening (20-23)")</f>
        <v>Midday (10-15)</v>
      </c>
    </row>
    <row r="2944" spans="1:9">
      <c r="A2944" s="32">
        <v>41852</v>
      </c>
      <c r="B2944">
        <v>14</v>
      </c>
      <c r="C2944">
        <v>1585</v>
      </c>
      <c r="D2944" t="s">
        <v>303</v>
      </c>
      <c r="E2944">
        <f>YEAR(A2944)</f>
        <v>2014</v>
      </c>
      <c r="F2944" s="33">
        <f>DATE(YEAR(A2944),MONTH(A2944),1)</f>
        <v>41852.0</v>
      </c>
      <c r="G2944" t="str">
        <f>CHOOSE(WEEKDAY(A2944,2),"Mon","Tue","Wed","Thu","Fri","Sat","Sun")</f>
        <v>Fri</v>
      </c>
      <c r="H2944" t="str">
        <f>IF(WEEKDAY(A2944,2)&gt;5,"Weekend","Weekday")</f>
        <v>Weekday</v>
      </c>
      <c r="I2944" t="str">
        <f>_xlfn.IFS(B2944&lt;=5,"Night (0-5)",B2944&lt;=9,"Morning peak (6-9)",B2944&lt;=15,"Midday (10-15)",B2944&lt;=19,"Evening peak (16-19)",TRUE,"Late evening (20-23)")</f>
        <v>Midday (10-15)</v>
      </c>
    </row>
    <row r="2945" spans="1:9">
      <c r="A2945" s="32">
        <v>41852</v>
      </c>
      <c r="B2945">
        <v>15</v>
      </c>
      <c r="C2945">
        <v>1885</v>
      </c>
      <c r="D2945" t="s">
        <v>303</v>
      </c>
      <c r="E2945">
        <f>YEAR(A2945)</f>
        <v>2014</v>
      </c>
      <c r="F2945" s="33">
        <f>DATE(YEAR(A2945),MONTH(A2945),1)</f>
        <v>41852.0</v>
      </c>
      <c r="G2945" t="str">
        <f>CHOOSE(WEEKDAY(A2945,2),"Mon","Tue","Wed","Thu","Fri","Sat","Sun")</f>
        <v>Fri</v>
      </c>
      <c r="H2945" t="str">
        <f>IF(WEEKDAY(A2945,2)&gt;5,"Weekend","Weekday")</f>
        <v>Weekday</v>
      </c>
      <c r="I2945" t="str">
        <f>_xlfn.IFS(B2945&lt;=5,"Night (0-5)",B2945&lt;=9,"Morning peak (6-9)",B2945&lt;=15,"Midday (10-15)",B2945&lt;=19,"Evening peak (16-19)",TRUE,"Late evening (20-23)")</f>
        <v>Midday (10-15)</v>
      </c>
    </row>
    <row r="2946" spans="1:9">
      <c r="A2946" s="32">
        <v>41852</v>
      </c>
      <c r="B2946">
        <v>16</v>
      </c>
      <c r="C2946">
        <v>2122</v>
      </c>
      <c r="D2946" t="s">
        <v>303</v>
      </c>
      <c r="E2946">
        <f>YEAR(A2946)</f>
        <v>2014</v>
      </c>
      <c r="F2946" s="33">
        <f>DATE(YEAR(A2946),MONTH(A2946),1)</f>
        <v>41852.0</v>
      </c>
      <c r="G2946" t="str">
        <f>CHOOSE(WEEKDAY(A2946,2),"Mon","Tue","Wed","Thu","Fri","Sat","Sun")</f>
        <v>Fri</v>
      </c>
      <c r="H2946" t="str">
        <f>IF(WEEKDAY(A2946,2)&gt;5,"Weekend","Weekday")</f>
        <v>Weekday</v>
      </c>
      <c r="I2946" t="str">
        <f>_xlfn.IFS(B2946&lt;=5,"Night (0-5)",B2946&lt;=9,"Morning peak (6-9)",B2946&lt;=15,"Midday (10-15)",B2946&lt;=19,"Evening peak (16-19)",TRUE,"Late evening (20-23)")</f>
        <v>Evening peak (16-19)</v>
      </c>
    </row>
    <row r="2947" spans="1:9">
      <c r="A2947" s="32">
        <v>41852</v>
      </c>
      <c r="B2947">
        <v>17</v>
      </c>
      <c r="C2947">
        <v>2242</v>
      </c>
      <c r="D2947" t="s">
        <v>303</v>
      </c>
      <c r="E2947">
        <f>YEAR(A2947)</f>
        <v>2014</v>
      </c>
      <c r="F2947" s="33">
        <f>DATE(YEAR(A2947),MONTH(A2947),1)</f>
        <v>41852.0</v>
      </c>
      <c r="G2947" t="str">
        <f>CHOOSE(WEEKDAY(A2947,2),"Mon","Tue","Wed","Thu","Fri","Sat","Sun")</f>
        <v>Fri</v>
      </c>
      <c r="H2947" t="str">
        <f>IF(WEEKDAY(A2947,2)&gt;5,"Weekend","Weekday")</f>
        <v>Weekday</v>
      </c>
      <c r="I2947" t="str">
        <f>_xlfn.IFS(B2947&lt;=5,"Night (0-5)",B2947&lt;=9,"Morning peak (6-9)",B2947&lt;=15,"Midday (10-15)",B2947&lt;=19,"Evening peak (16-19)",TRUE,"Late evening (20-23)")</f>
        <v>Evening peak (16-19)</v>
      </c>
    </row>
    <row r="2948" spans="1:9">
      <c r="A2948" s="32">
        <v>41852</v>
      </c>
      <c r="B2948">
        <v>18</v>
      </c>
      <c r="C2948">
        <v>2196</v>
      </c>
      <c r="D2948" t="s">
        <v>303</v>
      </c>
      <c r="E2948">
        <f>YEAR(A2948)</f>
        <v>2014</v>
      </c>
      <c r="F2948" s="33">
        <f>DATE(YEAR(A2948),MONTH(A2948),1)</f>
        <v>41852.0</v>
      </c>
      <c r="G2948" t="str">
        <f>CHOOSE(WEEKDAY(A2948,2),"Mon","Tue","Wed","Thu","Fri","Sat","Sun")</f>
        <v>Fri</v>
      </c>
      <c r="H2948" t="str">
        <f>IF(WEEKDAY(A2948,2)&gt;5,"Weekend","Weekday")</f>
        <v>Weekday</v>
      </c>
      <c r="I2948" t="str">
        <f>_xlfn.IFS(B2948&lt;=5,"Night (0-5)",B2948&lt;=9,"Morning peak (6-9)",B2948&lt;=15,"Midday (10-15)",B2948&lt;=19,"Evening peak (16-19)",TRUE,"Late evening (20-23)")</f>
        <v>Evening peak (16-19)</v>
      </c>
    </row>
    <row r="2949" spans="1:9">
      <c r="A2949" s="32">
        <v>41852</v>
      </c>
      <c r="B2949">
        <v>19</v>
      </c>
      <c r="C2949">
        <v>2120</v>
      </c>
      <c r="D2949" t="s">
        <v>303</v>
      </c>
      <c r="E2949">
        <f>YEAR(A2949)</f>
        <v>2014</v>
      </c>
      <c r="F2949" s="33">
        <f>DATE(YEAR(A2949),MONTH(A2949),1)</f>
        <v>41852.0</v>
      </c>
      <c r="G2949" t="str">
        <f>CHOOSE(WEEKDAY(A2949,2),"Mon","Tue","Wed","Thu","Fri","Sat","Sun")</f>
        <v>Fri</v>
      </c>
      <c r="H2949" t="str">
        <f>IF(WEEKDAY(A2949,2)&gt;5,"Weekend","Weekday")</f>
        <v>Weekday</v>
      </c>
      <c r="I2949" t="str">
        <f>_xlfn.IFS(B2949&lt;=5,"Night (0-5)",B2949&lt;=9,"Morning peak (6-9)",B2949&lt;=15,"Midday (10-15)",B2949&lt;=19,"Evening peak (16-19)",TRUE,"Late evening (20-23)")</f>
        <v>Evening peak (16-19)</v>
      </c>
    </row>
    <row r="2950" spans="1:9">
      <c r="A2950" s="32">
        <v>41852</v>
      </c>
      <c r="B2950">
        <v>20</v>
      </c>
      <c r="C2950">
        <v>1923</v>
      </c>
      <c r="D2950" t="s">
        <v>303</v>
      </c>
      <c r="E2950">
        <f>YEAR(A2950)</f>
        <v>2014</v>
      </c>
      <c r="F2950" s="33">
        <f>DATE(YEAR(A2950),MONTH(A2950),1)</f>
        <v>41852.0</v>
      </c>
      <c r="G2950" t="str">
        <f>CHOOSE(WEEKDAY(A2950,2),"Mon","Tue","Wed","Thu","Fri","Sat","Sun")</f>
        <v>Fri</v>
      </c>
      <c r="H2950" t="str">
        <f>IF(WEEKDAY(A2950,2)&gt;5,"Weekend","Weekday")</f>
        <v>Weekday</v>
      </c>
      <c r="I2950" t="str">
        <f>_xlfn.IFS(B2950&lt;=5,"Night (0-5)",B2950&lt;=9,"Morning peak (6-9)",B2950&lt;=15,"Midday (10-15)",B2950&lt;=19,"Evening peak (16-19)",TRUE,"Late evening (20-23)")</f>
        <v>Late evening (20-23)</v>
      </c>
    </row>
    <row r="2951" spans="1:9">
      <c r="A2951" s="32">
        <v>41852</v>
      </c>
      <c r="B2951">
        <v>21</v>
      </c>
      <c r="C2951">
        <v>2035</v>
      </c>
      <c r="D2951" t="s">
        <v>303</v>
      </c>
      <c r="E2951">
        <f>YEAR(A2951)</f>
        <v>2014</v>
      </c>
      <c r="F2951" s="33">
        <f>DATE(YEAR(A2951),MONTH(A2951),1)</f>
        <v>41852.0</v>
      </c>
      <c r="G2951" t="str">
        <f>CHOOSE(WEEKDAY(A2951,2),"Mon","Tue","Wed","Thu","Fri","Sat","Sun")</f>
        <v>Fri</v>
      </c>
      <c r="H2951" t="str">
        <f>IF(WEEKDAY(A2951,2)&gt;5,"Weekend","Weekday")</f>
        <v>Weekday</v>
      </c>
      <c r="I2951" t="str">
        <f>_xlfn.IFS(B2951&lt;=5,"Night (0-5)",B2951&lt;=9,"Morning peak (6-9)",B2951&lt;=15,"Midday (10-15)",B2951&lt;=19,"Evening peak (16-19)",TRUE,"Late evening (20-23)")</f>
        <v>Late evening (20-23)</v>
      </c>
    </row>
    <row r="2952" spans="1:9">
      <c r="A2952" s="32">
        <v>41852</v>
      </c>
      <c r="B2952">
        <v>22</v>
      </c>
      <c r="C2952">
        <v>2247</v>
      </c>
      <c r="D2952" t="s">
        <v>303</v>
      </c>
      <c r="E2952">
        <f>YEAR(A2952)</f>
        <v>2014</v>
      </c>
      <c r="F2952" s="33">
        <f>DATE(YEAR(A2952),MONTH(A2952),1)</f>
        <v>41852.0</v>
      </c>
      <c r="G2952" t="str">
        <f>CHOOSE(WEEKDAY(A2952,2),"Mon","Tue","Wed","Thu","Fri","Sat","Sun")</f>
        <v>Fri</v>
      </c>
      <c r="H2952" t="str">
        <f>IF(WEEKDAY(A2952,2)&gt;5,"Weekend","Weekday")</f>
        <v>Weekday</v>
      </c>
      <c r="I2952" t="str">
        <f>_xlfn.IFS(B2952&lt;=5,"Night (0-5)",B2952&lt;=9,"Morning peak (6-9)",B2952&lt;=15,"Midday (10-15)",B2952&lt;=19,"Evening peak (16-19)",TRUE,"Late evening (20-23)")</f>
        <v>Late evening (20-23)</v>
      </c>
    </row>
    <row r="2953" spans="1:9">
      <c r="A2953" s="32">
        <v>41852</v>
      </c>
      <c r="B2953">
        <v>23</v>
      </c>
      <c r="C2953">
        <v>1794</v>
      </c>
      <c r="D2953" t="s">
        <v>303</v>
      </c>
      <c r="E2953">
        <f>YEAR(A2953)</f>
        <v>2014</v>
      </c>
      <c r="F2953" s="33">
        <f>DATE(YEAR(A2953),MONTH(A2953),1)</f>
        <v>41852.0</v>
      </c>
      <c r="G2953" t="str">
        <f>CHOOSE(WEEKDAY(A2953,2),"Mon","Tue","Wed","Thu","Fri","Sat","Sun")</f>
        <v>Fri</v>
      </c>
      <c r="H2953" t="str">
        <f>IF(WEEKDAY(A2953,2)&gt;5,"Weekend","Weekday")</f>
        <v>Weekday</v>
      </c>
      <c r="I2953" t="str">
        <f>_xlfn.IFS(B2953&lt;=5,"Night (0-5)",B2953&lt;=9,"Morning peak (6-9)",B2953&lt;=15,"Midday (10-15)",B2953&lt;=19,"Evening peak (16-19)",TRUE,"Late evening (20-23)")</f>
        <v>Late evening (20-23)</v>
      </c>
    </row>
    <row r="2954" spans="1:9">
      <c r="A2954" s="32">
        <v>41853</v>
      </c>
      <c r="B2954">
        <v>0</v>
      </c>
      <c r="C2954">
        <v>1328</v>
      </c>
      <c r="D2954" t="s">
        <v>303</v>
      </c>
      <c r="E2954">
        <f>YEAR(A2954)</f>
        <v>2014</v>
      </c>
      <c r="F2954" s="33">
        <f>DATE(YEAR(A2954),MONTH(A2954),1)</f>
        <v>41852.0</v>
      </c>
      <c r="G2954" t="str">
        <f>CHOOSE(WEEKDAY(A2954,2),"Mon","Tue","Wed","Thu","Fri","Sat","Sun")</f>
        <v>Sat</v>
      </c>
      <c r="H2954" t="str">
        <f>IF(WEEKDAY(A2954,2)&gt;5,"Weekend","Weekday")</f>
        <v>Weekend</v>
      </c>
      <c r="I2954" t="str">
        <f>_xlfn.IFS(B2954&lt;=5,"Night (0-5)",B2954&lt;=9,"Morning peak (6-9)",B2954&lt;=15,"Midday (10-15)",B2954&lt;=19,"Evening peak (16-19)",TRUE,"Late evening (20-23)")</f>
        <v>Night (0-5)</v>
      </c>
    </row>
    <row r="2955" spans="1:9">
      <c r="A2955" s="32">
        <v>41853</v>
      </c>
      <c r="B2955">
        <v>1</v>
      </c>
      <c r="C2955">
        <v>996</v>
      </c>
      <c r="D2955" t="s">
        <v>303</v>
      </c>
      <c r="E2955">
        <f>YEAR(A2955)</f>
        <v>2014</v>
      </c>
      <c r="F2955" s="33">
        <f>DATE(YEAR(A2955),MONTH(A2955),1)</f>
        <v>41852.0</v>
      </c>
      <c r="G2955" t="str">
        <f>CHOOSE(WEEKDAY(A2955,2),"Mon","Tue","Wed","Thu","Fri","Sat","Sun")</f>
        <v>Sat</v>
      </c>
      <c r="H2955" t="str">
        <f>IF(WEEKDAY(A2955,2)&gt;5,"Weekend","Weekday")</f>
        <v>Weekend</v>
      </c>
      <c r="I2955" t="str">
        <f>_xlfn.IFS(B2955&lt;=5,"Night (0-5)",B2955&lt;=9,"Morning peak (6-9)",B2955&lt;=15,"Midday (10-15)",B2955&lt;=19,"Evening peak (16-19)",TRUE,"Late evening (20-23)")</f>
        <v>Night (0-5)</v>
      </c>
    </row>
    <row r="2956" spans="1:9">
      <c r="A2956" s="32">
        <v>41853</v>
      </c>
      <c r="B2956">
        <v>2</v>
      </c>
      <c r="C2956">
        <v>645</v>
      </c>
      <c r="D2956" t="s">
        <v>303</v>
      </c>
      <c r="E2956">
        <f>YEAR(A2956)</f>
        <v>2014</v>
      </c>
      <c r="F2956" s="33">
        <f>DATE(YEAR(A2956),MONTH(A2956),1)</f>
        <v>41852.0</v>
      </c>
      <c r="G2956" t="str">
        <f>CHOOSE(WEEKDAY(A2956,2),"Mon","Tue","Wed","Thu","Fri","Sat","Sun")</f>
        <v>Sat</v>
      </c>
      <c r="H2956" t="str">
        <f>IF(WEEKDAY(A2956,2)&gt;5,"Weekend","Weekday")</f>
        <v>Weekend</v>
      </c>
      <c r="I2956" t="str">
        <f>_xlfn.IFS(B2956&lt;=5,"Night (0-5)",B2956&lt;=9,"Morning peak (6-9)",B2956&lt;=15,"Midday (10-15)",B2956&lt;=19,"Evening peak (16-19)",TRUE,"Late evening (20-23)")</f>
        <v>Night (0-5)</v>
      </c>
    </row>
    <row r="2957" spans="1:9">
      <c r="A2957" s="32">
        <v>41853</v>
      </c>
      <c r="B2957">
        <v>3</v>
      </c>
      <c r="C2957">
        <v>532</v>
      </c>
      <c r="D2957" t="s">
        <v>303</v>
      </c>
      <c r="E2957">
        <f>YEAR(A2957)</f>
        <v>2014</v>
      </c>
      <c r="F2957" s="33">
        <f>DATE(YEAR(A2957),MONTH(A2957),1)</f>
        <v>41852.0</v>
      </c>
      <c r="G2957" t="str">
        <f>CHOOSE(WEEKDAY(A2957,2),"Mon","Tue","Wed","Thu","Fri","Sat","Sun")</f>
        <v>Sat</v>
      </c>
      <c r="H2957" t="str">
        <f>IF(WEEKDAY(A2957,2)&gt;5,"Weekend","Weekday")</f>
        <v>Weekend</v>
      </c>
      <c r="I2957" t="str">
        <f>_xlfn.IFS(B2957&lt;=5,"Night (0-5)",B2957&lt;=9,"Morning peak (6-9)",B2957&lt;=15,"Midday (10-15)",B2957&lt;=19,"Evening peak (16-19)",TRUE,"Late evening (20-23)")</f>
        <v>Night (0-5)</v>
      </c>
    </row>
    <row r="2958" spans="1:9">
      <c r="A2958" s="32">
        <v>41853</v>
      </c>
      <c r="B2958">
        <v>4</v>
      </c>
      <c r="C2958">
        <v>407</v>
      </c>
      <c r="D2958" t="s">
        <v>303</v>
      </c>
      <c r="E2958">
        <f>YEAR(A2958)</f>
        <v>2014</v>
      </c>
      <c r="F2958" s="33">
        <f>DATE(YEAR(A2958),MONTH(A2958),1)</f>
        <v>41852.0</v>
      </c>
      <c r="G2958" t="str">
        <f>CHOOSE(WEEKDAY(A2958,2),"Mon","Tue","Wed","Thu","Fri","Sat","Sun")</f>
        <v>Sat</v>
      </c>
      <c r="H2958" t="str">
        <f>IF(WEEKDAY(A2958,2)&gt;5,"Weekend","Weekday")</f>
        <v>Weekend</v>
      </c>
      <c r="I2958" t="str">
        <f>_xlfn.IFS(B2958&lt;=5,"Night (0-5)",B2958&lt;=9,"Morning peak (6-9)",B2958&lt;=15,"Midday (10-15)",B2958&lt;=19,"Evening peak (16-19)",TRUE,"Late evening (20-23)")</f>
        <v>Night (0-5)</v>
      </c>
    </row>
    <row r="2959" spans="1:9">
      <c r="A2959" s="32">
        <v>41853</v>
      </c>
      <c r="B2959">
        <v>5</v>
      </c>
      <c r="C2959">
        <v>417</v>
      </c>
      <c r="D2959" t="s">
        <v>303</v>
      </c>
      <c r="E2959">
        <f>YEAR(A2959)</f>
        <v>2014</v>
      </c>
      <c r="F2959" s="33">
        <f>DATE(YEAR(A2959),MONTH(A2959),1)</f>
        <v>41852.0</v>
      </c>
      <c r="G2959" t="str">
        <f>CHOOSE(WEEKDAY(A2959,2),"Mon","Tue","Wed","Thu","Fri","Sat","Sun")</f>
        <v>Sat</v>
      </c>
      <c r="H2959" t="str">
        <f>IF(WEEKDAY(A2959,2)&gt;5,"Weekend","Weekday")</f>
        <v>Weekend</v>
      </c>
      <c r="I2959" t="str">
        <f>_xlfn.IFS(B2959&lt;=5,"Night (0-5)",B2959&lt;=9,"Morning peak (6-9)",B2959&lt;=15,"Midday (10-15)",B2959&lt;=19,"Evening peak (16-19)",TRUE,"Late evening (20-23)")</f>
        <v>Night (0-5)</v>
      </c>
    </row>
    <row r="2960" spans="1:9">
      <c r="A2960" s="32">
        <v>41853</v>
      </c>
      <c r="B2960">
        <v>6</v>
      </c>
      <c r="C2960">
        <v>464</v>
      </c>
      <c r="D2960" t="s">
        <v>303</v>
      </c>
      <c r="E2960">
        <f>YEAR(A2960)</f>
        <v>2014</v>
      </c>
      <c r="F2960" s="33">
        <f>DATE(YEAR(A2960),MONTH(A2960),1)</f>
        <v>41852.0</v>
      </c>
      <c r="G2960" t="str">
        <f>CHOOSE(WEEKDAY(A2960,2),"Mon","Tue","Wed","Thu","Fri","Sat","Sun")</f>
        <v>Sat</v>
      </c>
      <c r="H2960" t="str">
        <f>IF(WEEKDAY(A2960,2)&gt;5,"Weekend","Weekday")</f>
        <v>Weekend</v>
      </c>
      <c r="I2960" t="str">
        <f>_xlfn.IFS(B2960&lt;=5,"Night (0-5)",B2960&lt;=9,"Morning peak (6-9)",B2960&lt;=15,"Midday (10-15)",B2960&lt;=19,"Evening peak (16-19)",TRUE,"Late evening (20-23)")</f>
        <v>Morning peak (6-9)</v>
      </c>
    </row>
    <row r="2961" spans="1:9">
      <c r="A2961" s="32">
        <v>41853</v>
      </c>
      <c r="B2961">
        <v>7</v>
      </c>
      <c r="C2961">
        <v>553</v>
      </c>
      <c r="D2961" t="s">
        <v>303</v>
      </c>
      <c r="E2961">
        <f>YEAR(A2961)</f>
        <v>2014</v>
      </c>
      <c r="F2961" s="33">
        <f>DATE(YEAR(A2961),MONTH(A2961),1)</f>
        <v>41852.0</v>
      </c>
      <c r="G2961" t="str">
        <f>CHOOSE(WEEKDAY(A2961,2),"Mon","Tue","Wed","Thu","Fri","Sat","Sun")</f>
        <v>Sat</v>
      </c>
      <c r="H2961" t="str">
        <f>IF(WEEKDAY(A2961,2)&gt;5,"Weekend","Weekday")</f>
        <v>Weekend</v>
      </c>
      <c r="I2961" t="str">
        <f>_xlfn.IFS(B2961&lt;=5,"Night (0-5)",B2961&lt;=9,"Morning peak (6-9)",B2961&lt;=15,"Midday (10-15)",B2961&lt;=19,"Evening peak (16-19)",TRUE,"Late evening (20-23)")</f>
        <v>Morning peak (6-9)</v>
      </c>
    </row>
    <row r="2962" spans="1:9">
      <c r="A2962" s="32">
        <v>41853</v>
      </c>
      <c r="B2962">
        <v>8</v>
      </c>
      <c r="C2962">
        <v>719</v>
      </c>
      <c r="D2962" t="s">
        <v>303</v>
      </c>
      <c r="E2962">
        <f>YEAR(A2962)</f>
        <v>2014</v>
      </c>
      <c r="F2962" s="33">
        <f>DATE(YEAR(A2962),MONTH(A2962),1)</f>
        <v>41852.0</v>
      </c>
      <c r="G2962" t="str">
        <f>CHOOSE(WEEKDAY(A2962,2),"Mon","Tue","Wed","Thu","Fri","Sat","Sun")</f>
        <v>Sat</v>
      </c>
      <c r="H2962" t="str">
        <f>IF(WEEKDAY(A2962,2)&gt;5,"Weekend","Weekday")</f>
        <v>Weekend</v>
      </c>
      <c r="I2962" t="str">
        <f>_xlfn.IFS(B2962&lt;=5,"Night (0-5)",B2962&lt;=9,"Morning peak (6-9)",B2962&lt;=15,"Midday (10-15)",B2962&lt;=19,"Evening peak (16-19)",TRUE,"Late evening (20-23)")</f>
        <v>Morning peak (6-9)</v>
      </c>
    </row>
    <row r="2963" spans="1:9">
      <c r="A2963" s="32">
        <v>41853</v>
      </c>
      <c r="B2963">
        <v>9</v>
      </c>
      <c r="C2963">
        <v>797</v>
      </c>
      <c r="D2963" t="s">
        <v>303</v>
      </c>
      <c r="E2963">
        <f>YEAR(A2963)</f>
        <v>2014</v>
      </c>
      <c r="F2963" s="33">
        <f>DATE(YEAR(A2963),MONTH(A2963),1)</f>
        <v>41852.0</v>
      </c>
      <c r="G2963" t="str">
        <f>CHOOSE(WEEKDAY(A2963,2),"Mon","Tue","Wed","Thu","Fri","Sat","Sun")</f>
        <v>Sat</v>
      </c>
      <c r="H2963" t="str">
        <f>IF(WEEKDAY(A2963,2)&gt;5,"Weekend","Weekday")</f>
        <v>Weekend</v>
      </c>
      <c r="I2963" t="str">
        <f>_xlfn.IFS(B2963&lt;=5,"Night (0-5)",B2963&lt;=9,"Morning peak (6-9)",B2963&lt;=15,"Midday (10-15)",B2963&lt;=19,"Evening peak (16-19)",TRUE,"Late evening (20-23)")</f>
        <v>Morning peak (6-9)</v>
      </c>
    </row>
    <row r="2964" spans="1:9">
      <c r="A2964" s="32">
        <v>41853</v>
      </c>
      <c r="B2964">
        <v>10</v>
      </c>
      <c r="C2964">
        <v>867</v>
      </c>
      <c r="D2964" t="s">
        <v>303</v>
      </c>
      <c r="E2964">
        <f>YEAR(A2964)</f>
        <v>2014</v>
      </c>
      <c r="F2964" s="33">
        <f>DATE(YEAR(A2964),MONTH(A2964),1)</f>
        <v>41852.0</v>
      </c>
      <c r="G2964" t="str">
        <f>CHOOSE(WEEKDAY(A2964,2),"Mon","Tue","Wed","Thu","Fri","Sat","Sun")</f>
        <v>Sat</v>
      </c>
      <c r="H2964" t="str">
        <f>IF(WEEKDAY(A2964,2)&gt;5,"Weekend","Weekday")</f>
        <v>Weekend</v>
      </c>
      <c r="I2964" t="str">
        <f>_xlfn.IFS(B2964&lt;=5,"Night (0-5)",B2964&lt;=9,"Morning peak (6-9)",B2964&lt;=15,"Midday (10-15)",B2964&lt;=19,"Evening peak (16-19)",TRUE,"Late evening (20-23)")</f>
        <v>Midday (10-15)</v>
      </c>
    </row>
    <row r="2965" spans="1:9">
      <c r="A2965" s="32">
        <v>41853</v>
      </c>
      <c r="B2965">
        <v>11</v>
      </c>
      <c r="C2965">
        <v>953</v>
      </c>
      <c r="D2965" t="s">
        <v>303</v>
      </c>
      <c r="E2965">
        <f>YEAR(A2965)</f>
        <v>2014</v>
      </c>
      <c r="F2965" s="33">
        <f>DATE(YEAR(A2965),MONTH(A2965),1)</f>
        <v>41852.0</v>
      </c>
      <c r="G2965" t="str">
        <f>CHOOSE(WEEKDAY(A2965,2),"Mon","Tue","Wed","Thu","Fri","Sat","Sun")</f>
        <v>Sat</v>
      </c>
      <c r="H2965" t="str">
        <f>IF(WEEKDAY(A2965,2)&gt;5,"Weekend","Weekday")</f>
        <v>Weekend</v>
      </c>
      <c r="I2965" t="str">
        <f>_xlfn.IFS(B2965&lt;=5,"Night (0-5)",B2965&lt;=9,"Morning peak (6-9)",B2965&lt;=15,"Midday (10-15)",B2965&lt;=19,"Evening peak (16-19)",TRUE,"Late evening (20-23)")</f>
        <v>Midday (10-15)</v>
      </c>
    </row>
    <row r="2966" spans="1:9">
      <c r="A2966" s="32">
        <v>41853</v>
      </c>
      <c r="B2966">
        <v>12</v>
      </c>
      <c r="C2966">
        <v>1053</v>
      </c>
      <c r="D2966" t="s">
        <v>303</v>
      </c>
      <c r="E2966">
        <f>YEAR(A2966)</f>
        <v>2014</v>
      </c>
      <c r="F2966" s="33">
        <f>DATE(YEAR(A2966),MONTH(A2966),1)</f>
        <v>41852.0</v>
      </c>
      <c r="G2966" t="str">
        <f>CHOOSE(WEEKDAY(A2966,2),"Mon","Tue","Wed","Thu","Fri","Sat","Sun")</f>
        <v>Sat</v>
      </c>
      <c r="H2966" t="str">
        <f>IF(WEEKDAY(A2966,2)&gt;5,"Weekend","Weekday")</f>
        <v>Weekend</v>
      </c>
      <c r="I2966" t="str">
        <f>_xlfn.IFS(B2966&lt;=5,"Night (0-5)",B2966&lt;=9,"Morning peak (6-9)",B2966&lt;=15,"Midday (10-15)",B2966&lt;=19,"Evening peak (16-19)",TRUE,"Late evening (20-23)")</f>
        <v>Midday (10-15)</v>
      </c>
    </row>
    <row r="2967" spans="1:9">
      <c r="A2967" s="32">
        <v>41853</v>
      </c>
      <c r="B2967">
        <v>13</v>
      </c>
      <c r="C2967">
        <v>1110</v>
      </c>
      <c r="D2967" t="s">
        <v>303</v>
      </c>
      <c r="E2967">
        <f>YEAR(A2967)</f>
        <v>2014</v>
      </c>
      <c r="F2967" s="33">
        <f>DATE(YEAR(A2967),MONTH(A2967),1)</f>
        <v>41852.0</v>
      </c>
      <c r="G2967" t="str">
        <f>CHOOSE(WEEKDAY(A2967,2),"Mon","Tue","Wed","Thu","Fri","Sat","Sun")</f>
        <v>Sat</v>
      </c>
      <c r="H2967" t="str">
        <f>IF(WEEKDAY(A2967,2)&gt;5,"Weekend","Weekday")</f>
        <v>Weekend</v>
      </c>
      <c r="I2967" t="str">
        <f>_xlfn.IFS(B2967&lt;=5,"Night (0-5)",B2967&lt;=9,"Morning peak (6-9)",B2967&lt;=15,"Midday (10-15)",B2967&lt;=19,"Evening peak (16-19)",TRUE,"Late evening (20-23)")</f>
        <v>Midday (10-15)</v>
      </c>
    </row>
    <row r="2968" spans="1:9">
      <c r="A2968" s="32">
        <v>41853</v>
      </c>
      <c r="B2968">
        <v>14</v>
      </c>
      <c r="C2968">
        <v>1362</v>
      </c>
      <c r="D2968" t="s">
        <v>303</v>
      </c>
      <c r="E2968">
        <f>YEAR(A2968)</f>
        <v>2014</v>
      </c>
      <c r="F2968" s="33">
        <f>DATE(YEAR(A2968),MONTH(A2968),1)</f>
        <v>41852.0</v>
      </c>
      <c r="G2968" t="str">
        <f>CHOOSE(WEEKDAY(A2968,2),"Mon","Tue","Wed","Thu","Fri","Sat","Sun")</f>
        <v>Sat</v>
      </c>
      <c r="H2968" t="str">
        <f>IF(WEEKDAY(A2968,2)&gt;5,"Weekend","Weekday")</f>
        <v>Weekend</v>
      </c>
      <c r="I2968" t="str">
        <f>_xlfn.IFS(B2968&lt;=5,"Night (0-5)",B2968&lt;=9,"Morning peak (6-9)",B2968&lt;=15,"Midday (10-15)",B2968&lt;=19,"Evening peak (16-19)",TRUE,"Late evening (20-23)")</f>
        <v>Midday (10-15)</v>
      </c>
    </row>
    <row r="2969" spans="1:9">
      <c r="A2969" s="32">
        <v>41853</v>
      </c>
      <c r="B2969">
        <v>15</v>
      </c>
      <c r="C2969">
        <v>1615</v>
      </c>
      <c r="D2969" t="s">
        <v>303</v>
      </c>
      <c r="E2969">
        <f>YEAR(A2969)</f>
        <v>2014</v>
      </c>
      <c r="F2969" s="33">
        <f>DATE(YEAR(A2969),MONTH(A2969),1)</f>
        <v>41852.0</v>
      </c>
      <c r="G2969" t="str">
        <f>CHOOSE(WEEKDAY(A2969,2),"Mon","Tue","Wed","Thu","Fri","Sat","Sun")</f>
        <v>Sat</v>
      </c>
      <c r="H2969" t="str">
        <f>IF(WEEKDAY(A2969,2)&gt;5,"Weekend","Weekday")</f>
        <v>Weekend</v>
      </c>
      <c r="I2969" t="str">
        <f>_xlfn.IFS(B2969&lt;=5,"Night (0-5)",B2969&lt;=9,"Morning peak (6-9)",B2969&lt;=15,"Midday (10-15)",B2969&lt;=19,"Evening peak (16-19)",TRUE,"Late evening (20-23)")</f>
        <v>Midday (10-15)</v>
      </c>
    </row>
    <row r="2970" spans="1:9">
      <c r="A2970" s="32">
        <v>41853</v>
      </c>
      <c r="B2970">
        <v>16</v>
      </c>
      <c r="C2970">
        <v>1701</v>
      </c>
      <c r="D2970" t="s">
        <v>303</v>
      </c>
      <c r="E2970">
        <f>YEAR(A2970)</f>
        <v>2014</v>
      </c>
      <c r="F2970" s="33">
        <f>DATE(YEAR(A2970),MONTH(A2970),1)</f>
        <v>41852.0</v>
      </c>
      <c r="G2970" t="str">
        <f>CHOOSE(WEEKDAY(A2970,2),"Mon","Tue","Wed","Thu","Fri","Sat","Sun")</f>
        <v>Sat</v>
      </c>
      <c r="H2970" t="str">
        <f>IF(WEEKDAY(A2970,2)&gt;5,"Weekend","Weekday")</f>
        <v>Weekend</v>
      </c>
      <c r="I2970" t="str">
        <f>_xlfn.IFS(B2970&lt;=5,"Night (0-5)",B2970&lt;=9,"Morning peak (6-9)",B2970&lt;=15,"Midday (10-15)",B2970&lt;=19,"Evening peak (16-19)",TRUE,"Late evening (20-23)")</f>
        <v>Evening peak (16-19)</v>
      </c>
    </row>
    <row r="2971" spans="1:9">
      <c r="A2971" s="32">
        <v>41853</v>
      </c>
      <c r="B2971">
        <v>17</v>
      </c>
      <c r="C2971">
        <v>1756</v>
      </c>
      <c r="D2971" t="s">
        <v>303</v>
      </c>
      <c r="E2971">
        <f>YEAR(A2971)</f>
        <v>2014</v>
      </c>
      <c r="F2971" s="33">
        <f>DATE(YEAR(A2971),MONTH(A2971),1)</f>
        <v>41852.0</v>
      </c>
      <c r="G2971" t="str">
        <f>CHOOSE(WEEKDAY(A2971,2),"Mon","Tue","Wed","Thu","Fri","Sat","Sun")</f>
        <v>Sat</v>
      </c>
      <c r="H2971" t="str">
        <f>IF(WEEKDAY(A2971,2)&gt;5,"Weekend","Weekday")</f>
        <v>Weekend</v>
      </c>
      <c r="I2971" t="str">
        <f>_xlfn.IFS(B2971&lt;=5,"Night (0-5)",B2971&lt;=9,"Morning peak (6-9)",B2971&lt;=15,"Midday (10-15)",B2971&lt;=19,"Evening peak (16-19)",TRUE,"Late evening (20-23)")</f>
        <v>Evening peak (16-19)</v>
      </c>
    </row>
    <row r="2972" spans="1:9">
      <c r="A2972" s="32">
        <v>41853</v>
      </c>
      <c r="B2972">
        <v>18</v>
      </c>
      <c r="C2972">
        <v>1934</v>
      </c>
      <c r="D2972" t="s">
        <v>303</v>
      </c>
      <c r="E2972">
        <f>YEAR(A2972)</f>
        <v>2014</v>
      </c>
      <c r="F2972" s="33">
        <f>DATE(YEAR(A2972),MONTH(A2972),1)</f>
        <v>41852.0</v>
      </c>
      <c r="G2972" t="str">
        <f>CHOOSE(WEEKDAY(A2972,2),"Mon","Tue","Wed","Thu","Fri","Sat","Sun")</f>
        <v>Sat</v>
      </c>
      <c r="H2972" t="str">
        <f>IF(WEEKDAY(A2972,2)&gt;5,"Weekend","Weekday")</f>
        <v>Weekend</v>
      </c>
      <c r="I2972" t="str">
        <f>_xlfn.IFS(B2972&lt;=5,"Night (0-5)",B2972&lt;=9,"Morning peak (6-9)",B2972&lt;=15,"Midday (10-15)",B2972&lt;=19,"Evening peak (16-19)",TRUE,"Late evening (20-23)")</f>
        <v>Evening peak (16-19)</v>
      </c>
    </row>
    <row r="2973" spans="1:9">
      <c r="A2973" s="32">
        <v>41853</v>
      </c>
      <c r="B2973">
        <v>19</v>
      </c>
      <c r="C2973">
        <v>1844</v>
      </c>
      <c r="D2973" t="s">
        <v>303</v>
      </c>
      <c r="E2973">
        <f>YEAR(A2973)</f>
        <v>2014</v>
      </c>
      <c r="F2973" s="33">
        <f>DATE(YEAR(A2973),MONTH(A2973),1)</f>
        <v>41852.0</v>
      </c>
      <c r="G2973" t="str">
        <f>CHOOSE(WEEKDAY(A2973,2),"Mon","Tue","Wed","Thu","Fri","Sat","Sun")</f>
        <v>Sat</v>
      </c>
      <c r="H2973" t="str">
        <f>IF(WEEKDAY(A2973,2)&gt;5,"Weekend","Weekday")</f>
        <v>Weekend</v>
      </c>
      <c r="I2973" t="str">
        <f>_xlfn.IFS(B2973&lt;=5,"Night (0-5)",B2973&lt;=9,"Morning peak (6-9)",B2973&lt;=15,"Midday (10-15)",B2973&lt;=19,"Evening peak (16-19)",TRUE,"Late evening (20-23)")</f>
        <v>Evening peak (16-19)</v>
      </c>
    </row>
    <row r="2974" spans="1:9">
      <c r="A2974" s="32">
        <v>41853</v>
      </c>
      <c r="B2974">
        <v>20</v>
      </c>
      <c r="C2974">
        <v>1813</v>
      </c>
      <c r="D2974" t="s">
        <v>303</v>
      </c>
      <c r="E2974">
        <f>YEAR(A2974)</f>
        <v>2014</v>
      </c>
      <c r="F2974" s="33">
        <f>DATE(YEAR(A2974),MONTH(A2974),1)</f>
        <v>41852.0</v>
      </c>
      <c r="G2974" t="str">
        <f>CHOOSE(WEEKDAY(A2974,2),"Mon","Tue","Wed","Thu","Fri","Sat","Sun")</f>
        <v>Sat</v>
      </c>
      <c r="H2974" t="str">
        <f>IF(WEEKDAY(A2974,2)&gt;5,"Weekend","Weekday")</f>
        <v>Weekend</v>
      </c>
      <c r="I2974" t="str">
        <f>_xlfn.IFS(B2974&lt;=5,"Night (0-5)",B2974&lt;=9,"Morning peak (6-9)",B2974&lt;=15,"Midday (10-15)",B2974&lt;=19,"Evening peak (16-19)",TRUE,"Late evening (20-23)")</f>
        <v>Late evening (20-23)</v>
      </c>
    </row>
    <row r="2975" spans="1:9">
      <c r="A2975" s="32">
        <v>41853</v>
      </c>
      <c r="B2975">
        <v>21</v>
      </c>
      <c r="C2975">
        <v>1938</v>
      </c>
      <c r="D2975" t="s">
        <v>303</v>
      </c>
      <c r="E2975">
        <f>YEAR(A2975)</f>
        <v>2014</v>
      </c>
      <c r="F2975" s="33">
        <f>DATE(YEAR(A2975),MONTH(A2975),1)</f>
        <v>41852.0</v>
      </c>
      <c r="G2975" t="str">
        <f>CHOOSE(WEEKDAY(A2975,2),"Mon","Tue","Wed","Thu","Fri","Sat","Sun")</f>
        <v>Sat</v>
      </c>
      <c r="H2975" t="str">
        <f>IF(WEEKDAY(A2975,2)&gt;5,"Weekend","Weekday")</f>
        <v>Weekend</v>
      </c>
      <c r="I2975" t="str">
        <f>_xlfn.IFS(B2975&lt;=5,"Night (0-5)",B2975&lt;=9,"Morning peak (6-9)",B2975&lt;=15,"Midday (10-15)",B2975&lt;=19,"Evening peak (16-19)",TRUE,"Late evening (20-23)")</f>
        <v>Late evening (20-23)</v>
      </c>
    </row>
    <row r="2976" spans="1:9">
      <c r="A2976" s="32">
        <v>41853</v>
      </c>
      <c r="B2976">
        <v>22</v>
      </c>
      <c r="C2976">
        <v>2096</v>
      </c>
      <c r="D2976" t="s">
        <v>303</v>
      </c>
      <c r="E2976">
        <f>YEAR(A2976)</f>
        <v>2014</v>
      </c>
      <c r="F2976" s="33">
        <f>DATE(YEAR(A2976),MONTH(A2976),1)</f>
        <v>41852.0</v>
      </c>
      <c r="G2976" t="str">
        <f>CHOOSE(WEEKDAY(A2976,2),"Mon","Tue","Wed","Thu","Fri","Sat","Sun")</f>
        <v>Sat</v>
      </c>
      <c r="H2976" t="str">
        <f>IF(WEEKDAY(A2976,2)&gt;5,"Weekend","Weekday")</f>
        <v>Weekend</v>
      </c>
      <c r="I2976" t="str">
        <f>_xlfn.IFS(B2976&lt;=5,"Night (0-5)",B2976&lt;=9,"Morning peak (6-9)",B2976&lt;=15,"Midday (10-15)",B2976&lt;=19,"Evening peak (16-19)",TRUE,"Late evening (20-23)")</f>
        <v>Late evening (20-23)</v>
      </c>
    </row>
    <row r="2977" spans="1:9">
      <c r="A2977" s="32">
        <v>41853</v>
      </c>
      <c r="B2977">
        <v>23</v>
      </c>
      <c r="C2977">
        <v>1778</v>
      </c>
      <c r="D2977" t="s">
        <v>303</v>
      </c>
      <c r="E2977">
        <f>YEAR(A2977)</f>
        <v>2014</v>
      </c>
      <c r="F2977" s="33">
        <f>DATE(YEAR(A2977),MONTH(A2977),1)</f>
        <v>41852.0</v>
      </c>
      <c r="G2977" t="str">
        <f>CHOOSE(WEEKDAY(A2977,2),"Mon","Tue","Wed","Thu","Fri","Sat","Sun")</f>
        <v>Sat</v>
      </c>
      <c r="H2977" t="str">
        <f>IF(WEEKDAY(A2977,2)&gt;5,"Weekend","Weekday")</f>
        <v>Weekend</v>
      </c>
      <c r="I2977" t="str">
        <f>_xlfn.IFS(B2977&lt;=5,"Night (0-5)",B2977&lt;=9,"Morning peak (6-9)",B2977&lt;=15,"Midday (10-15)",B2977&lt;=19,"Evening peak (16-19)",TRUE,"Late evening (20-23)")</f>
        <v>Late evening (20-23)</v>
      </c>
    </row>
    <row r="2978" spans="1:9">
      <c r="A2978" s="32">
        <v>41854</v>
      </c>
      <c r="B2978">
        <v>0</v>
      </c>
      <c r="C2978">
        <v>1543</v>
      </c>
      <c r="D2978" t="s">
        <v>303</v>
      </c>
      <c r="E2978">
        <f>YEAR(A2978)</f>
        <v>2014</v>
      </c>
      <c r="F2978" s="33">
        <f>DATE(YEAR(A2978),MONTH(A2978),1)</f>
        <v>41852.0</v>
      </c>
      <c r="G2978" t="str">
        <f>CHOOSE(WEEKDAY(A2978,2),"Mon","Tue","Wed","Thu","Fri","Sat","Sun")</f>
        <v>Sun</v>
      </c>
      <c r="H2978" t="str">
        <f>IF(WEEKDAY(A2978,2)&gt;5,"Weekend","Weekday")</f>
        <v>Weekend</v>
      </c>
      <c r="I2978" t="str">
        <f>_xlfn.IFS(B2978&lt;=5,"Night (0-5)",B2978&lt;=9,"Morning peak (6-9)",B2978&lt;=15,"Midday (10-15)",B2978&lt;=19,"Evening peak (16-19)",TRUE,"Late evening (20-23)")</f>
        <v>Night (0-5)</v>
      </c>
    </row>
    <row r="2979" spans="1:9">
      <c r="A2979" s="32">
        <v>41854</v>
      </c>
      <c r="B2979">
        <v>1</v>
      </c>
      <c r="C2979">
        <v>1109</v>
      </c>
      <c r="D2979" t="s">
        <v>303</v>
      </c>
      <c r="E2979">
        <f>YEAR(A2979)</f>
        <v>2014</v>
      </c>
      <c r="F2979" s="33">
        <f>DATE(YEAR(A2979),MONTH(A2979),1)</f>
        <v>41852.0</v>
      </c>
      <c r="G2979" t="str">
        <f>CHOOSE(WEEKDAY(A2979,2),"Mon","Tue","Wed","Thu","Fri","Sat","Sun")</f>
        <v>Sun</v>
      </c>
      <c r="H2979" t="str">
        <f>IF(WEEKDAY(A2979,2)&gt;5,"Weekend","Weekday")</f>
        <v>Weekend</v>
      </c>
      <c r="I2979" t="str">
        <f>_xlfn.IFS(B2979&lt;=5,"Night (0-5)",B2979&lt;=9,"Morning peak (6-9)",B2979&lt;=15,"Midday (10-15)",B2979&lt;=19,"Evening peak (16-19)",TRUE,"Late evening (20-23)")</f>
        <v>Night (0-5)</v>
      </c>
    </row>
    <row r="2980" spans="1:9">
      <c r="A2980" s="32">
        <v>41854</v>
      </c>
      <c r="B2980">
        <v>2</v>
      </c>
      <c r="C2980">
        <v>736</v>
      </c>
      <c r="D2980" t="s">
        <v>303</v>
      </c>
      <c r="E2980">
        <f>YEAR(A2980)</f>
        <v>2014</v>
      </c>
      <c r="F2980" s="33">
        <f>DATE(YEAR(A2980),MONTH(A2980),1)</f>
        <v>41852.0</v>
      </c>
      <c r="G2980" t="str">
        <f>CHOOSE(WEEKDAY(A2980,2),"Mon","Tue","Wed","Thu","Fri","Sat","Sun")</f>
        <v>Sun</v>
      </c>
      <c r="H2980" t="str">
        <f>IF(WEEKDAY(A2980,2)&gt;5,"Weekend","Weekday")</f>
        <v>Weekend</v>
      </c>
      <c r="I2980" t="str">
        <f>_xlfn.IFS(B2980&lt;=5,"Night (0-5)",B2980&lt;=9,"Morning peak (6-9)",B2980&lt;=15,"Midday (10-15)",B2980&lt;=19,"Evening peak (16-19)",TRUE,"Late evening (20-23)")</f>
        <v>Night (0-5)</v>
      </c>
    </row>
    <row r="2981" spans="1:9">
      <c r="A2981" s="32">
        <v>41854</v>
      </c>
      <c r="B2981">
        <v>3</v>
      </c>
      <c r="C2981">
        <v>564</v>
      </c>
      <c r="D2981" t="s">
        <v>303</v>
      </c>
      <c r="E2981">
        <f>YEAR(A2981)</f>
        <v>2014</v>
      </c>
      <c r="F2981" s="33">
        <f>DATE(YEAR(A2981),MONTH(A2981),1)</f>
        <v>41852.0</v>
      </c>
      <c r="G2981" t="str">
        <f>CHOOSE(WEEKDAY(A2981,2),"Mon","Tue","Wed","Thu","Fri","Sat","Sun")</f>
        <v>Sun</v>
      </c>
      <c r="H2981" t="str">
        <f>IF(WEEKDAY(A2981,2)&gt;5,"Weekend","Weekday")</f>
        <v>Weekend</v>
      </c>
      <c r="I2981" t="str">
        <f>_xlfn.IFS(B2981&lt;=5,"Night (0-5)",B2981&lt;=9,"Morning peak (6-9)",B2981&lt;=15,"Midday (10-15)",B2981&lt;=19,"Evening peak (16-19)",TRUE,"Late evening (20-23)")</f>
        <v>Night (0-5)</v>
      </c>
    </row>
    <row r="2982" spans="1:9">
      <c r="A2982" s="32">
        <v>41854</v>
      </c>
      <c r="B2982">
        <v>4</v>
      </c>
      <c r="C2982">
        <v>315</v>
      </c>
      <c r="D2982" t="s">
        <v>303</v>
      </c>
      <c r="E2982">
        <f>YEAR(A2982)</f>
        <v>2014</v>
      </c>
      <c r="F2982" s="33">
        <f>DATE(YEAR(A2982),MONTH(A2982),1)</f>
        <v>41852.0</v>
      </c>
      <c r="G2982" t="str">
        <f>CHOOSE(WEEKDAY(A2982,2),"Mon","Tue","Wed","Thu","Fri","Sat","Sun")</f>
        <v>Sun</v>
      </c>
      <c r="H2982" t="str">
        <f>IF(WEEKDAY(A2982,2)&gt;5,"Weekend","Weekday")</f>
        <v>Weekend</v>
      </c>
      <c r="I2982" t="str">
        <f>_xlfn.IFS(B2982&lt;=5,"Night (0-5)",B2982&lt;=9,"Morning peak (6-9)",B2982&lt;=15,"Midday (10-15)",B2982&lt;=19,"Evening peak (16-19)",TRUE,"Late evening (20-23)")</f>
        <v>Night (0-5)</v>
      </c>
    </row>
    <row r="2983" spans="1:9">
      <c r="A2983" s="32">
        <v>41854</v>
      </c>
      <c r="B2983">
        <v>5</v>
      </c>
      <c r="C2983">
        <v>332</v>
      </c>
      <c r="D2983" t="s">
        <v>303</v>
      </c>
      <c r="E2983">
        <f>YEAR(A2983)</f>
        <v>2014</v>
      </c>
      <c r="F2983" s="33">
        <f>DATE(YEAR(A2983),MONTH(A2983),1)</f>
        <v>41852.0</v>
      </c>
      <c r="G2983" t="str">
        <f>CHOOSE(WEEKDAY(A2983,2),"Mon","Tue","Wed","Thu","Fri","Sat","Sun")</f>
        <v>Sun</v>
      </c>
      <c r="H2983" t="str">
        <f>IF(WEEKDAY(A2983,2)&gt;5,"Weekend","Weekday")</f>
        <v>Weekend</v>
      </c>
      <c r="I2983" t="str">
        <f>_xlfn.IFS(B2983&lt;=5,"Night (0-5)",B2983&lt;=9,"Morning peak (6-9)",B2983&lt;=15,"Midday (10-15)",B2983&lt;=19,"Evening peak (16-19)",TRUE,"Late evening (20-23)")</f>
        <v>Night (0-5)</v>
      </c>
    </row>
    <row r="2984" spans="1:9">
      <c r="A2984" s="32">
        <v>41854</v>
      </c>
      <c r="B2984">
        <v>6</v>
      </c>
      <c r="C2984">
        <v>323</v>
      </c>
      <c r="D2984" t="s">
        <v>303</v>
      </c>
      <c r="E2984">
        <f>YEAR(A2984)</f>
        <v>2014</v>
      </c>
      <c r="F2984" s="33">
        <f>DATE(YEAR(A2984),MONTH(A2984),1)</f>
        <v>41852.0</v>
      </c>
      <c r="G2984" t="str">
        <f>CHOOSE(WEEKDAY(A2984,2),"Mon","Tue","Wed","Thu","Fri","Sat","Sun")</f>
        <v>Sun</v>
      </c>
      <c r="H2984" t="str">
        <f>IF(WEEKDAY(A2984,2)&gt;5,"Weekend","Weekday")</f>
        <v>Weekend</v>
      </c>
      <c r="I2984" t="str">
        <f>_xlfn.IFS(B2984&lt;=5,"Night (0-5)",B2984&lt;=9,"Morning peak (6-9)",B2984&lt;=15,"Midday (10-15)",B2984&lt;=19,"Evening peak (16-19)",TRUE,"Late evening (20-23)")</f>
        <v>Morning peak (6-9)</v>
      </c>
    </row>
    <row r="2985" spans="1:9">
      <c r="A2985" s="32">
        <v>41854</v>
      </c>
      <c r="B2985">
        <v>7</v>
      </c>
      <c r="C2985">
        <v>468</v>
      </c>
      <c r="D2985" t="s">
        <v>303</v>
      </c>
      <c r="E2985">
        <f>YEAR(A2985)</f>
        <v>2014</v>
      </c>
      <c r="F2985" s="33">
        <f>DATE(YEAR(A2985),MONTH(A2985),1)</f>
        <v>41852.0</v>
      </c>
      <c r="G2985" t="str">
        <f>CHOOSE(WEEKDAY(A2985,2),"Mon","Tue","Wed","Thu","Fri","Sat","Sun")</f>
        <v>Sun</v>
      </c>
      <c r="H2985" t="str">
        <f>IF(WEEKDAY(A2985,2)&gt;5,"Weekend","Weekday")</f>
        <v>Weekend</v>
      </c>
      <c r="I2985" t="str">
        <f>_xlfn.IFS(B2985&lt;=5,"Night (0-5)",B2985&lt;=9,"Morning peak (6-9)",B2985&lt;=15,"Midday (10-15)",B2985&lt;=19,"Evening peak (16-19)",TRUE,"Late evening (20-23)")</f>
        <v>Morning peak (6-9)</v>
      </c>
    </row>
    <row r="2986" spans="1:9">
      <c r="A2986" s="32">
        <v>41854</v>
      </c>
      <c r="B2986">
        <v>8</v>
      </c>
      <c r="C2986">
        <v>556</v>
      </c>
      <c r="D2986" t="s">
        <v>303</v>
      </c>
      <c r="E2986">
        <f>YEAR(A2986)</f>
        <v>2014</v>
      </c>
      <c r="F2986" s="33">
        <f>DATE(YEAR(A2986),MONTH(A2986),1)</f>
        <v>41852.0</v>
      </c>
      <c r="G2986" t="str">
        <f>CHOOSE(WEEKDAY(A2986,2),"Mon","Tue","Wed","Thu","Fri","Sat","Sun")</f>
        <v>Sun</v>
      </c>
      <c r="H2986" t="str">
        <f>IF(WEEKDAY(A2986,2)&gt;5,"Weekend","Weekday")</f>
        <v>Weekend</v>
      </c>
      <c r="I2986" t="str">
        <f>_xlfn.IFS(B2986&lt;=5,"Night (0-5)",B2986&lt;=9,"Morning peak (6-9)",B2986&lt;=15,"Midday (10-15)",B2986&lt;=19,"Evening peak (16-19)",TRUE,"Late evening (20-23)")</f>
        <v>Morning peak (6-9)</v>
      </c>
    </row>
    <row r="2987" spans="1:9">
      <c r="A2987" s="32">
        <v>41854</v>
      </c>
      <c r="B2987">
        <v>9</v>
      </c>
      <c r="C2987">
        <v>732</v>
      </c>
      <c r="D2987" t="s">
        <v>303</v>
      </c>
      <c r="E2987">
        <f>YEAR(A2987)</f>
        <v>2014</v>
      </c>
      <c r="F2987" s="33">
        <f>DATE(YEAR(A2987),MONTH(A2987),1)</f>
        <v>41852.0</v>
      </c>
      <c r="G2987" t="str">
        <f>CHOOSE(WEEKDAY(A2987,2),"Mon","Tue","Wed","Thu","Fri","Sat","Sun")</f>
        <v>Sun</v>
      </c>
      <c r="H2987" t="str">
        <f>IF(WEEKDAY(A2987,2)&gt;5,"Weekend","Weekday")</f>
        <v>Weekend</v>
      </c>
      <c r="I2987" t="str">
        <f>_xlfn.IFS(B2987&lt;=5,"Night (0-5)",B2987&lt;=9,"Morning peak (6-9)",B2987&lt;=15,"Midday (10-15)",B2987&lt;=19,"Evening peak (16-19)",TRUE,"Late evening (20-23)")</f>
        <v>Morning peak (6-9)</v>
      </c>
    </row>
    <row r="2988" spans="1:9">
      <c r="A2988" s="32">
        <v>41854</v>
      </c>
      <c r="B2988">
        <v>10</v>
      </c>
      <c r="C2988">
        <v>1002</v>
      </c>
      <c r="D2988" t="s">
        <v>303</v>
      </c>
      <c r="E2988">
        <f>YEAR(A2988)</f>
        <v>2014</v>
      </c>
      <c r="F2988" s="33">
        <f>DATE(YEAR(A2988),MONTH(A2988),1)</f>
        <v>41852.0</v>
      </c>
      <c r="G2988" t="str">
        <f>CHOOSE(WEEKDAY(A2988,2),"Mon","Tue","Wed","Thu","Fri","Sat","Sun")</f>
        <v>Sun</v>
      </c>
      <c r="H2988" t="str">
        <f>IF(WEEKDAY(A2988,2)&gt;5,"Weekend","Weekday")</f>
        <v>Weekend</v>
      </c>
      <c r="I2988" t="str">
        <f>_xlfn.IFS(B2988&lt;=5,"Night (0-5)",B2988&lt;=9,"Morning peak (6-9)",B2988&lt;=15,"Midday (10-15)",B2988&lt;=19,"Evening peak (16-19)",TRUE,"Late evening (20-23)")</f>
        <v>Midday (10-15)</v>
      </c>
    </row>
    <row r="2989" spans="1:9">
      <c r="A2989" s="32">
        <v>41854</v>
      </c>
      <c r="B2989">
        <v>11</v>
      </c>
      <c r="C2989">
        <v>1118</v>
      </c>
      <c r="D2989" t="s">
        <v>303</v>
      </c>
      <c r="E2989">
        <f>YEAR(A2989)</f>
        <v>2014</v>
      </c>
      <c r="F2989" s="33">
        <f>DATE(YEAR(A2989),MONTH(A2989),1)</f>
        <v>41852.0</v>
      </c>
      <c r="G2989" t="str">
        <f>CHOOSE(WEEKDAY(A2989,2),"Mon","Tue","Wed","Thu","Fri","Sat","Sun")</f>
        <v>Sun</v>
      </c>
      <c r="H2989" t="str">
        <f>IF(WEEKDAY(A2989,2)&gt;5,"Weekend","Weekday")</f>
        <v>Weekend</v>
      </c>
      <c r="I2989" t="str">
        <f>_xlfn.IFS(B2989&lt;=5,"Night (0-5)",B2989&lt;=9,"Morning peak (6-9)",B2989&lt;=15,"Midday (10-15)",B2989&lt;=19,"Evening peak (16-19)",TRUE,"Late evening (20-23)")</f>
        <v>Midday (10-15)</v>
      </c>
    </row>
    <row r="2990" spans="1:9">
      <c r="A2990" s="32">
        <v>41854</v>
      </c>
      <c r="B2990">
        <v>12</v>
      </c>
      <c r="C2990">
        <v>1110</v>
      </c>
      <c r="D2990" t="s">
        <v>303</v>
      </c>
      <c r="E2990">
        <f>YEAR(A2990)</f>
        <v>2014</v>
      </c>
      <c r="F2990" s="33">
        <f>DATE(YEAR(A2990),MONTH(A2990),1)</f>
        <v>41852.0</v>
      </c>
      <c r="G2990" t="str">
        <f>CHOOSE(WEEKDAY(A2990,2),"Mon","Tue","Wed","Thu","Fri","Sat","Sun")</f>
        <v>Sun</v>
      </c>
      <c r="H2990" t="str">
        <f>IF(WEEKDAY(A2990,2)&gt;5,"Weekend","Weekday")</f>
        <v>Weekend</v>
      </c>
      <c r="I2990" t="str">
        <f>_xlfn.IFS(B2990&lt;=5,"Night (0-5)",B2990&lt;=9,"Morning peak (6-9)",B2990&lt;=15,"Midday (10-15)",B2990&lt;=19,"Evening peak (16-19)",TRUE,"Late evening (20-23)")</f>
        <v>Midday (10-15)</v>
      </c>
    </row>
    <row r="2991" spans="1:9">
      <c r="A2991" s="32">
        <v>41854</v>
      </c>
      <c r="B2991">
        <v>13</v>
      </c>
      <c r="C2991">
        <v>1144</v>
      </c>
      <c r="D2991" t="s">
        <v>303</v>
      </c>
      <c r="E2991">
        <f>YEAR(A2991)</f>
        <v>2014</v>
      </c>
      <c r="F2991" s="33">
        <f>DATE(YEAR(A2991),MONTH(A2991),1)</f>
        <v>41852.0</v>
      </c>
      <c r="G2991" t="str">
        <f>CHOOSE(WEEKDAY(A2991,2),"Mon","Tue","Wed","Thu","Fri","Sat","Sun")</f>
        <v>Sun</v>
      </c>
      <c r="H2991" t="str">
        <f>IF(WEEKDAY(A2991,2)&gt;5,"Weekend","Weekday")</f>
        <v>Weekend</v>
      </c>
      <c r="I2991" t="str">
        <f>_xlfn.IFS(B2991&lt;=5,"Night (0-5)",B2991&lt;=9,"Morning peak (6-9)",B2991&lt;=15,"Midday (10-15)",B2991&lt;=19,"Evening peak (16-19)",TRUE,"Late evening (20-23)")</f>
        <v>Midday (10-15)</v>
      </c>
    </row>
    <row r="2992" spans="1:9">
      <c r="A2992" s="32">
        <v>41854</v>
      </c>
      <c r="B2992">
        <v>14</v>
      </c>
      <c r="C2992">
        <v>1274</v>
      </c>
      <c r="D2992" t="s">
        <v>303</v>
      </c>
      <c r="E2992">
        <f>YEAR(A2992)</f>
        <v>2014</v>
      </c>
      <c r="F2992" s="33">
        <f>DATE(YEAR(A2992),MONTH(A2992),1)</f>
        <v>41852.0</v>
      </c>
      <c r="G2992" t="str">
        <f>CHOOSE(WEEKDAY(A2992,2),"Mon","Tue","Wed","Thu","Fri","Sat","Sun")</f>
        <v>Sun</v>
      </c>
      <c r="H2992" t="str">
        <f>IF(WEEKDAY(A2992,2)&gt;5,"Weekend","Weekday")</f>
        <v>Weekend</v>
      </c>
      <c r="I2992" t="str">
        <f>_xlfn.IFS(B2992&lt;=5,"Night (0-5)",B2992&lt;=9,"Morning peak (6-9)",B2992&lt;=15,"Midday (10-15)",B2992&lt;=19,"Evening peak (16-19)",TRUE,"Late evening (20-23)")</f>
        <v>Midday (10-15)</v>
      </c>
    </row>
    <row r="2993" spans="1:9">
      <c r="A2993" s="32">
        <v>41854</v>
      </c>
      <c r="B2993">
        <v>15</v>
      </c>
      <c r="C2993">
        <v>1394</v>
      </c>
      <c r="D2993" t="s">
        <v>303</v>
      </c>
      <c r="E2993">
        <f>YEAR(A2993)</f>
        <v>2014</v>
      </c>
      <c r="F2993" s="33">
        <f>DATE(YEAR(A2993),MONTH(A2993),1)</f>
        <v>41852.0</v>
      </c>
      <c r="G2993" t="str">
        <f>CHOOSE(WEEKDAY(A2993,2),"Mon","Tue","Wed","Thu","Fri","Sat","Sun")</f>
        <v>Sun</v>
      </c>
      <c r="H2993" t="str">
        <f>IF(WEEKDAY(A2993,2)&gt;5,"Weekend","Weekday")</f>
        <v>Weekend</v>
      </c>
      <c r="I2993" t="str">
        <f>_xlfn.IFS(B2993&lt;=5,"Night (0-5)",B2993&lt;=9,"Morning peak (6-9)",B2993&lt;=15,"Midday (10-15)",B2993&lt;=19,"Evening peak (16-19)",TRUE,"Late evening (20-23)")</f>
        <v>Midday (10-15)</v>
      </c>
    </row>
    <row r="2994" spans="1:9">
      <c r="A2994" s="32">
        <v>41854</v>
      </c>
      <c r="B2994">
        <v>16</v>
      </c>
      <c r="C2994">
        <v>1574</v>
      </c>
      <c r="D2994" t="s">
        <v>303</v>
      </c>
      <c r="E2994">
        <f>YEAR(A2994)</f>
        <v>2014</v>
      </c>
      <c r="F2994" s="33">
        <f>DATE(YEAR(A2994),MONTH(A2994),1)</f>
        <v>41852.0</v>
      </c>
      <c r="G2994" t="str">
        <f>CHOOSE(WEEKDAY(A2994,2),"Mon","Tue","Wed","Thu","Fri","Sat","Sun")</f>
        <v>Sun</v>
      </c>
      <c r="H2994" t="str">
        <f>IF(WEEKDAY(A2994,2)&gt;5,"Weekend","Weekday")</f>
        <v>Weekend</v>
      </c>
      <c r="I2994" t="str">
        <f>_xlfn.IFS(B2994&lt;=5,"Night (0-5)",B2994&lt;=9,"Morning peak (6-9)",B2994&lt;=15,"Midday (10-15)",B2994&lt;=19,"Evening peak (16-19)",TRUE,"Late evening (20-23)")</f>
        <v>Evening peak (16-19)</v>
      </c>
    </row>
    <row r="2995" spans="1:9">
      <c r="A2995" s="32">
        <v>41854</v>
      </c>
      <c r="B2995">
        <v>17</v>
      </c>
      <c r="C2995">
        <v>1540</v>
      </c>
      <c r="D2995" t="s">
        <v>303</v>
      </c>
      <c r="E2995">
        <f>YEAR(A2995)</f>
        <v>2014</v>
      </c>
      <c r="F2995" s="33">
        <f>DATE(YEAR(A2995),MONTH(A2995),1)</f>
        <v>41852.0</v>
      </c>
      <c r="G2995" t="str">
        <f>CHOOSE(WEEKDAY(A2995,2),"Mon","Tue","Wed","Thu","Fri","Sat","Sun")</f>
        <v>Sun</v>
      </c>
      <c r="H2995" t="str">
        <f>IF(WEEKDAY(A2995,2)&gt;5,"Weekend","Weekday")</f>
        <v>Weekend</v>
      </c>
      <c r="I2995" t="str">
        <f>_xlfn.IFS(B2995&lt;=5,"Night (0-5)",B2995&lt;=9,"Morning peak (6-9)",B2995&lt;=15,"Midday (10-15)",B2995&lt;=19,"Evening peak (16-19)",TRUE,"Late evening (20-23)")</f>
        <v>Evening peak (16-19)</v>
      </c>
    </row>
    <row r="2996" spans="1:9">
      <c r="A2996" s="32">
        <v>41854</v>
      </c>
      <c r="B2996">
        <v>18</v>
      </c>
      <c r="C2996">
        <v>1304</v>
      </c>
      <c r="D2996" t="s">
        <v>303</v>
      </c>
      <c r="E2996">
        <f>YEAR(A2996)</f>
        <v>2014</v>
      </c>
      <c r="F2996" s="33">
        <f>DATE(YEAR(A2996),MONTH(A2996),1)</f>
        <v>41852.0</v>
      </c>
      <c r="G2996" t="str">
        <f>CHOOSE(WEEKDAY(A2996,2),"Mon","Tue","Wed","Thu","Fri","Sat","Sun")</f>
        <v>Sun</v>
      </c>
      <c r="H2996" t="str">
        <f>IF(WEEKDAY(A2996,2)&gt;5,"Weekend","Weekday")</f>
        <v>Weekend</v>
      </c>
      <c r="I2996" t="str">
        <f>_xlfn.IFS(B2996&lt;=5,"Night (0-5)",B2996&lt;=9,"Morning peak (6-9)",B2996&lt;=15,"Midday (10-15)",B2996&lt;=19,"Evening peak (16-19)",TRUE,"Late evening (20-23)")</f>
        <v>Evening peak (16-19)</v>
      </c>
    </row>
    <row r="2997" spans="1:9">
      <c r="A2997" s="32">
        <v>41854</v>
      </c>
      <c r="B2997">
        <v>19</v>
      </c>
      <c r="C2997">
        <v>1232</v>
      </c>
      <c r="D2997" t="s">
        <v>303</v>
      </c>
      <c r="E2997">
        <f>YEAR(A2997)</f>
        <v>2014</v>
      </c>
      <c r="F2997" s="33">
        <f>DATE(YEAR(A2997),MONTH(A2997),1)</f>
        <v>41852.0</v>
      </c>
      <c r="G2997" t="str">
        <f>CHOOSE(WEEKDAY(A2997,2),"Mon","Tue","Wed","Thu","Fri","Sat","Sun")</f>
        <v>Sun</v>
      </c>
      <c r="H2997" t="str">
        <f>IF(WEEKDAY(A2997,2)&gt;5,"Weekend","Weekday")</f>
        <v>Weekend</v>
      </c>
      <c r="I2997" t="str">
        <f>_xlfn.IFS(B2997&lt;=5,"Night (0-5)",B2997&lt;=9,"Morning peak (6-9)",B2997&lt;=15,"Midday (10-15)",B2997&lt;=19,"Evening peak (16-19)",TRUE,"Late evening (20-23)")</f>
        <v>Evening peak (16-19)</v>
      </c>
    </row>
    <row r="2998" spans="1:9">
      <c r="A2998" s="32">
        <v>41854</v>
      </c>
      <c r="B2998">
        <v>20</v>
      </c>
      <c r="C2998">
        <v>1253</v>
      </c>
      <c r="D2998" t="s">
        <v>303</v>
      </c>
      <c r="E2998">
        <f>YEAR(A2998)</f>
        <v>2014</v>
      </c>
      <c r="F2998" s="33">
        <f>DATE(YEAR(A2998),MONTH(A2998),1)</f>
        <v>41852.0</v>
      </c>
      <c r="G2998" t="str">
        <f>CHOOSE(WEEKDAY(A2998,2),"Mon","Tue","Wed","Thu","Fri","Sat","Sun")</f>
        <v>Sun</v>
      </c>
      <c r="H2998" t="str">
        <f>IF(WEEKDAY(A2998,2)&gt;5,"Weekend","Weekday")</f>
        <v>Weekend</v>
      </c>
      <c r="I2998" t="str">
        <f>_xlfn.IFS(B2998&lt;=5,"Night (0-5)",B2998&lt;=9,"Morning peak (6-9)",B2998&lt;=15,"Midday (10-15)",B2998&lt;=19,"Evening peak (16-19)",TRUE,"Late evening (20-23)")</f>
        <v>Late evening (20-23)</v>
      </c>
    </row>
    <row r="2999" spans="1:9">
      <c r="A2999" s="32">
        <v>41854</v>
      </c>
      <c r="B2999">
        <v>21</v>
      </c>
      <c r="C2999">
        <v>1117</v>
      </c>
      <c r="D2999" t="s">
        <v>303</v>
      </c>
      <c r="E2999">
        <f>YEAR(A2999)</f>
        <v>2014</v>
      </c>
      <c r="F2999" s="33">
        <f>DATE(YEAR(A2999),MONTH(A2999),1)</f>
        <v>41852.0</v>
      </c>
      <c r="G2999" t="str">
        <f>CHOOSE(WEEKDAY(A2999,2),"Mon","Tue","Wed","Thu","Fri","Sat","Sun")</f>
        <v>Sun</v>
      </c>
      <c r="H2999" t="str">
        <f>IF(WEEKDAY(A2999,2)&gt;5,"Weekend","Weekday")</f>
        <v>Weekend</v>
      </c>
      <c r="I2999" t="str">
        <f>_xlfn.IFS(B2999&lt;=5,"Night (0-5)",B2999&lt;=9,"Morning peak (6-9)",B2999&lt;=15,"Midday (10-15)",B2999&lt;=19,"Evening peak (16-19)",TRUE,"Late evening (20-23)")</f>
        <v>Late evening (20-23)</v>
      </c>
    </row>
    <row r="3000" spans="1:9">
      <c r="A3000" s="32">
        <v>41854</v>
      </c>
      <c r="B3000">
        <v>22</v>
      </c>
      <c r="C3000">
        <v>847</v>
      </c>
      <c r="D3000" t="s">
        <v>303</v>
      </c>
      <c r="E3000">
        <f>YEAR(A3000)</f>
        <v>2014</v>
      </c>
      <c r="F3000" s="33">
        <f>DATE(YEAR(A3000),MONTH(A3000),1)</f>
        <v>41852.0</v>
      </c>
      <c r="G3000" t="str">
        <f>CHOOSE(WEEKDAY(A3000,2),"Mon","Tue","Wed","Thu","Fri","Sat","Sun")</f>
        <v>Sun</v>
      </c>
      <c r="H3000" t="str">
        <f>IF(WEEKDAY(A3000,2)&gt;5,"Weekend","Weekday")</f>
        <v>Weekend</v>
      </c>
      <c r="I3000" t="str">
        <f>_xlfn.IFS(B3000&lt;=5,"Night (0-5)",B3000&lt;=9,"Morning peak (6-9)",B3000&lt;=15,"Midday (10-15)",B3000&lt;=19,"Evening peak (16-19)",TRUE,"Late evening (20-23)")</f>
        <v>Late evening (20-23)</v>
      </c>
    </row>
    <row r="3001" spans="1:9">
      <c r="A3001" s="32">
        <v>41854</v>
      </c>
      <c r="B3001">
        <v>23</v>
      </c>
      <c r="C3001">
        <v>559</v>
      </c>
      <c r="D3001" t="s">
        <v>303</v>
      </c>
      <c r="E3001">
        <f>YEAR(A3001)</f>
        <v>2014</v>
      </c>
      <c r="F3001" s="33">
        <f>DATE(YEAR(A3001),MONTH(A3001),1)</f>
        <v>41852.0</v>
      </c>
      <c r="G3001" t="str">
        <f>CHOOSE(WEEKDAY(A3001,2),"Mon","Tue","Wed","Thu","Fri","Sat","Sun")</f>
        <v>Sun</v>
      </c>
      <c r="H3001" t="str">
        <f>IF(WEEKDAY(A3001,2)&gt;5,"Weekend","Weekday")</f>
        <v>Weekend</v>
      </c>
      <c r="I3001" t="str">
        <f>_xlfn.IFS(B3001&lt;=5,"Night (0-5)",B3001&lt;=9,"Morning peak (6-9)",B3001&lt;=15,"Midday (10-15)",B3001&lt;=19,"Evening peak (16-19)",TRUE,"Late evening (20-23)")</f>
        <v>Late evening (20-23)</v>
      </c>
    </row>
    <row r="3002" spans="1:9">
      <c r="A3002" s="32">
        <v>41855</v>
      </c>
      <c r="B3002">
        <v>0</v>
      </c>
      <c r="C3002">
        <v>304</v>
      </c>
      <c r="D3002" t="s">
        <v>303</v>
      </c>
      <c r="E3002">
        <f>YEAR(A3002)</f>
        <v>2014</v>
      </c>
      <c r="F3002" s="33">
        <f>DATE(YEAR(A3002),MONTH(A3002),1)</f>
        <v>41852.0</v>
      </c>
      <c r="G3002" t="str">
        <f>CHOOSE(WEEKDAY(A3002,2),"Mon","Tue","Wed","Thu","Fri","Sat","Sun")</f>
        <v>Mon</v>
      </c>
      <c r="H3002" t="str">
        <f>IF(WEEKDAY(A3002,2)&gt;5,"Weekend","Weekday")</f>
        <v>Weekday</v>
      </c>
      <c r="I3002" t="str">
        <f>_xlfn.IFS(B3002&lt;=5,"Night (0-5)",B3002&lt;=9,"Morning peak (6-9)",B3002&lt;=15,"Midday (10-15)",B3002&lt;=19,"Evening peak (16-19)",TRUE,"Late evening (20-23)")</f>
        <v>Night (0-5)</v>
      </c>
    </row>
    <row r="3003" spans="1:9">
      <c r="A3003" s="32">
        <v>41855</v>
      </c>
      <c r="B3003">
        <v>1</v>
      </c>
      <c r="C3003">
        <v>165</v>
      </c>
      <c r="D3003" t="s">
        <v>303</v>
      </c>
      <c r="E3003">
        <f>YEAR(A3003)</f>
        <v>2014</v>
      </c>
      <c r="F3003" s="33">
        <f>DATE(YEAR(A3003),MONTH(A3003),1)</f>
        <v>41852.0</v>
      </c>
      <c r="G3003" t="str">
        <f>CHOOSE(WEEKDAY(A3003,2),"Mon","Tue","Wed","Thu","Fri","Sat","Sun")</f>
        <v>Mon</v>
      </c>
      <c r="H3003" t="str">
        <f>IF(WEEKDAY(A3003,2)&gt;5,"Weekend","Weekday")</f>
        <v>Weekday</v>
      </c>
      <c r="I3003" t="str">
        <f>_xlfn.IFS(B3003&lt;=5,"Night (0-5)",B3003&lt;=9,"Morning peak (6-9)",B3003&lt;=15,"Midday (10-15)",B3003&lt;=19,"Evening peak (16-19)",TRUE,"Late evening (20-23)")</f>
        <v>Night (0-5)</v>
      </c>
    </row>
    <row r="3004" spans="1:9">
      <c r="A3004" s="32">
        <v>41855</v>
      </c>
      <c r="B3004">
        <v>2</v>
      </c>
      <c r="C3004">
        <v>126</v>
      </c>
      <c r="D3004" t="s">
        <v>303</v>
      </c>
      <c r="E3004">
        <f>YEAR(A3004)</f>
        <v>2014</v>
      </c>
      <c r="F3004" s="33">
        <f>DATE(YEAR(A3004),MONTH(A3004),1)</f>
        <v>41852.0</v>
      </c>
      <c r="G3004" t="str">
        <f>CHOOSE(WEEKDAY(A3004,2),"Mon","Tue","Wed","Thu","Fri","Sat","Sun")</f>
        <v>Mon</v>
      </c>
      <c r="H3004" t="str">
        <f>IF(WEEKDAY(A3004,2)&gt;5,"Weekend","Weekday")</f>
        <v>Weekday</v>
      </c>
      <c r="I3004" t="str">
        <f>_xlfn.IFS(B3004&lt;=5,"Night (0-5)",B3004&lt;=9,"Morning peak (6-9)",B3004&lt;=15,"Midday (10-15)",B3004&lt;=19,"Evening peak (16-19)",TRUE,"Late evening (20-23)")</f>
        <v>Night (0-5)</v>
      </c>
    </row>
    <row r="3005" spans="1:9">
      <c r="A3005" s="32">
        <v>41855</v>
      </c>
      <c r="B3005">
        <v>3</v>
      </c>
      <c r="C3005">
        <v>308</v>
      </c>
      <c r="D3005" t="s">
        <v>303</v>
      </c>
      <c r="E3005">
        <f>YEAR(A3005)</f>
        <v>2014</v>
      </c>
      <c r="F3005" s="33">
        <f>DATE(YEAR(A3005),MONTH(A3005),1)</f>
        <v>41852.0</v>
      </c>
      <c r="G3005" t="str">
        <f>CHOOSE(WEEKDAY(A3005,2),"Mon","Tue","Wed","Thu","Fri","Sat","Sun")</f>
        <v>Mon</v>
      </c>
      <c r="H3005" t="str">
        <f>IF(WEEKDAY(A3005,2)&gt;5,"Weekend","Weekday")</f>
        <v>Weekday</v>
      </c>
      <c r="I3005" t="str">
        <f>_xlfn.IFS(B3005&lt;=5,"Night (0-5)",B3005&lt;=9,"Morning peak (6-9)",B3005&lt;=15,"Midday (10-15)",B3005&lt;=19,"Evening peak (16-19)",TRUE,"Late evening (20-23)")</f>
        <v>Night (0-5)</v>
      </c>
    </row>
    <row r="3006" spans="1:9">
      <c r="A3006" s="32">
        <v>41855</v>
      </c>
      <c r="B3006">
        <v>4</v>
      </c>
      <c r="C3006">
        <v>425</v>
      </c>
      <c r="D3006" t="s">
        <v>303</v>
      </c>
      <c r="E3006">
        <f>YEAR(A3006)</f>
        <v>2014</v>
      </c>
      <c r="F3006" s="33">
        <f>DATE(YEAR(A3006),MONTH(A3006),1)</f>
        <v>41852.0</v>
      </c>
      <c r="G3006" t="str">
        <f>CHOOSE(WEEKDAY(A3006,2),"Mon","Tue","Wed","Thu","Fri","Sat","Sun")</f>
        <v>Mon</v>
      </c>
      <c r="H3006" t="str">
        <f>IF(WEEKDAY(A3006,2)&gt;5,"Weekend","Weekday")</f>
        <v>Weekday</v>
      </c>
      <c r="I3006" t="str">
        <f>_xlfn.IFS(B3006&lt;=5,"Night (0-5)",B3006&lt;=9,"Morning peak (6-9)",B3006&lt;=15,"Midday (10-15)",B3006&lt;=19,"Evening peak (16-19)",TRUE,"Late evening (20-23)")</f>
        <v>Night (0-5)</v>
      </c>
    </row>
    <row r="3007" spans="1:9">
      <c r="A3007" s="32">
        <v>41855</v>
      </c>
      <c r="B3007">
        <v>5</v>
      </c>
      <c r="C3007">
        <v>691</v>
      </c>
      <c r="D3007" t="s">
        <v>303</v>
      </c>
      <c r="E3007">
        <f>YEAR(A3007)</f>
        <v>2014</v>
      </c>
      <c r="F3007" s="33">
        <f>DATE(YEAR(A3007),MONTH(A3007),1)</f>
        <v>41852.0</v>
      </c>
      <c r="G3007" t="str">
        <f>CHOOSE(WEEKDAY(A3007,2),"Mon","Tue","Wed","Thu","Fri","Sat","Sun")</f>
        <v>Mon</v>
      </c>
      <c r="H3007" t="str">
        <f>IF(WEEKDAY(A3007,2)&gt;5,"Weekend","Weekday")</f>
        <v>Weekday</v>
      </c>
      <c r="I3007" t="str">
        <f>_xlfn.IFS(B3007&lt;=5,"Night (0-5)",B3007&lt;=9,"Morning peak (6-9)",B3007&lt;=15,"Midday (10-15)",B3007&lt;=19,"Evening peak (16-19)",TRUE,"Late evening (20-23)")</f>
        <v>Night (0-5)</v>
      </c>
    </row>
    <row r="3008" spans="1:9">
      <c r="A3008" s="32">
        <v>41855</v>
      </c>
      <c r="B3008">
        <v>6</v>
      </c>
      <c r="C3008">
        <v>1111</v>
      </c>
      <c r="D3008" t="s">
        <v>303</v>
      </c>
      <c r="E3008">
        <f>YEAR(A3008)</f>
        <v>2014</v>
      </c>
      <c r="F3008" s="33">
        <f>DATE(YEAR(A3008),MONTH(A3008),1)</f>
        <v>41852.0</v>
      </c>
      <c r="G3008" t="str">
        <f>CHOOSE(WEEKDAY(A3008,2),"Mon","Tue","Wed","Thu","Fri","Sat","Sun")</f>
        <v>Mon</v>
      </c>
      <c r="H3008" t="str">
        <f>IF(WEEKDAY(A3008,2)&gt;5,"Weekend","Weekday")</f>
        <v>Weekday</v>
      </c>
      <c r="I3008" t="str">
        <f>_xlfn.IFS(B3008&lt;=5,"Night (0-5)",B3008&lt;=9,"Morning peak (6-9)",B3008&lt;=15,"Midday (10-15)",B3008&lt;=19,"Evening peak (16-19)",TRUE,"Late evening (20-23)")</f>
        <v>Morning peak (6-9)</v>
      </c>
    </row>
    <row r="3009" spans="1:9">
      <c r="A3009" s="32">
        <v>41855</v>
      </c>
      <c r="B3009">
        <v>7</v>
      </c>
      <c r="C3009">
        <v>1420</v>
      </c>
      <c r="D3009" t="s">
        <v>303</v>
      </c>
      <c r="E3009">
        <f>YEAR(A3009)</f>
        <v>2014</v>
      </c>
      <c r="F3009" s="33">
        <f>DATE(YEAR(A3009),MONTH(A3009),1)</f>
        <v>41852.0</v>
      </c>
      <c r="G3009" t="str">
        <f>CHOOSE(WEEKDAY(A3009,2),"Mon","Tue","Wed","Thu","Fri","Sat","Sun")</f>
        <v>Mon</v>
      </c>
      <c r="H3009" t="str">
        <f>IF(WEEKDAY(A3009,2)&gt;5,"Weekend","Weekday")</f>
        <v>Weekday</v>
      </c>
      <c r="I3009" t="str">
        <f>_xlfn.IFS(B3009&lt;=5,"Night (0-5)",B3009&lt;=9,"Morning peak (6-9)",B3009&lt;=15,"Midday (10-15)",B3009&lt;=19,"Evening peak (16-19)",TRUE,"Late evening (20-23)")</f>
        <v>Morning peak (6-9)</v>
      </c>
    </row>
    <row r="3010" spans="1:9">
      <c r="A3010" s="32">
        <v>41855</v>
      </c>
      <c r="B3010">
        <v>8</v>
      </c>
      <c r="C3010">
        <v>1345</v>
      </c>
      <c r="D3010" t="s">
        <v>303</v>
      </c>
      <c r="E3010">
        <f>YEAR(A3010)</f>
        <v>2014</v>
      </c>
      <c r="F3010" s="33">
        <f>DATE(YEAR(A3010),MONTH(A3010),1)</f>
        <v>41852.0</v>
      </c>
      <c r="G3010" t="str">
        <f>CHOOSE(WEEKDAY(A3010,2),"Mon","Tue","Wed","Thu","Fri","Sat","Sun")</f>
        <v>Mon</v>
      </c>
      <c r="H3010" t="str">
        <f>IF(WEEKDAY(A3010,2)&gt;5,"Weekend","Weekday")</f>
        <v>Weekday</v>
      </c>
      <c r="I3010" t="str">
        <f>_xlfn.IFS(B3010&lt;=5,"Night (0-5)",B3010&lt;=9,"Morning peak (6-9)",B3010&lt;=15,"Midday (10-15)",B3010&lt;=19,"Evening peak (16-19)",TRUE,"Late evening (20-23)")</f>
        <v>Morning peak (6-9)</v>
      </c>
    </row>
    <row r="3011" spans="1:9">
      <c r="A3011" s="32">
        <v>41855</v>
      </c>
      <c r="B3011">
        <v>9</v>
      </c>
      <c r="C3011">
        <v>1022</v>
      </c>
      <c r="D3011" t="s">
        <v>303</v>
      </c>
      <c r="E3011">
        <f>YEAR(A3011)</f>
        <v>2014</v>
      </c>
      <c r="F3011" s="33">
        <f>DATE(YEAR(A3011),MONTH(A3011),1)</f>
        <v>41852.0</v>
      </c>
      <c r="G3011" t="str">
        <f>CHOOSE(WEEKDAY(A3011,2),"Mon","Tue","Wed","Thu","Fri","Sat","Sun")</f>
        <v>Mon</v>
      </c>
      <c r="H3011" t="str">
        <f>IF(WEEKDAY(A3011,2)&gt;5,"Weekend","Weekday")</f>
        <v>Weekday</v>
      </c>
      <c r="I3011" t="str">
        <f>_xlfn.IFS(B3011&lt;=5,"Night (0-5)",B3011&lt;=9,"Morning peak (6-9)",B3011&lt;=15,"Midday (10-15)",B3011&lt;=19,"Evening peak (16-19)",TRUE,"Late evening (20-23)")</f>
        <v>Morning peak (6-9)</v>
      </c>
    </row>
    <row r="3012" spans="1:9">
      <c r="A3012" s="32">
        <v>41855</v>
      </c>
      <c r="B3012">
        <v>10</v>
      </c>
      <c r="C3012">
        <v>1008</v>
      </c>
      <c r="D3012" t="s">
        <v>303</v>
      </c>
      <c r="E3012">
        <f>YEAR(A3012)</f>
        <v>2014</v>
      </c>
      <c r="F3012" s="33">
        <f>DATE(YEAR(A3012),MONTH(A3012),1)</f>
        <v>41852.0</v>
      </c>
      <c r="G3012" t="str">
        <f>CHOOSE(WEEKDAY(A3012,2),"Mon","Tue","Wed","Thu","Fri","Sat","Sun")</f>
        <v>Mon</v>
      </c>
      <c r="H3012" t="str">
        <f>IF(WEEKDAY(A3012,2)&gt;5,"Weekend","Weekday")</f>
        <v>Weekday</v>
      </c>
      <c r="I3012" t="str">
        <f>_xlfn.IFS(B3012&lt;=5,"Night (0-5)",B3012&lt;=9,"Morning peak (6-9)",B3012&lt;=15,"Midday (10-15)",B3012&lt;=19,"Evening peak (16-19)",TRUE,"Late evening (20-23)")</f>
        <v>Midday (10-15)</v>
      </c>
    </row>
    <row r="3013" spans="1:9">
      <c r="A3013" s="32">
        <v>41855</v>
      </c>
      <c r="B3013">
        <v>11</v>
      </c>
      <c r="C3013">
        <v>982</v>
      </c>
      <c r="D3013" t="s">
        <v>303</v>
      </c>
      <c r="E3013">
        <f>YEAR(A3013)</f>
        <v>2014</v>
      </c>
      <c r="F3013" s="33">
        <f>DATE(YEAR(A3013),MONTH(A3013),1)</f>
        <v>41852.0</v>
      </c>
      <c r="G3013" t="str">
        <f>CHOOSE(WEEKDAY(A3013,2),"Mon","Tue","Wed","Thu","Fri","Sat","Sun")</f>
        <v>Mon</v>
      </c>
      <c r="H3013" t="str">
        <f>IF(WEEKDAY(A3013,2)&gt;5,"Weekend","Weekday")</f>
        <v>Weekday</v>
      </c>
      <c r="I3013" t="str">
        <f>_xlfn.IFS(B3013&lt;=5,"Night (0-5)",B3013&lt;=9,"Morning peak (6-9)",B3013&lt;=15,"Midday (10-15)",B3013&lt;=19,"Evening peak (16-19)",TRUE,"Late evening (20-23)")</f>
        <v>Midday (10-15)</v>
      </c>
    </row>
    <row r="3014" spans="1:9">
      <c r="A3014" s="32">
        <v>41855</v>
      </c>
      <c r="B3014">
        <v>12</v>
      </c>
      <c r="C3014">
        <v>916</v>
      </c>
      <c r="D3014" t="s">
        <v>303</v>
      </c>
      <c r="E3014">
        <f>YEAR(A3014)</f>
        <v>2014</v>
      </c>
      <c r="F3014" s="33">
        <f>DATE(YEAR(A3014),MONTH(A3014),1)</f>
        <v>41852.0</v>
      </c>
      <c r="G3014" t="str">
        <f>CHOOSE(WEEKDAY(A3014,2),"Mon","Tue","Wed","Thu","Fri","Sat","Sun")</f>
        <v>Mon</v>
      </c>
      <c r="H3014" t="str">
        <f>IF(WEEKDAY(A3014,2)&gt;5,"Weekend","Weekday")</f>
        <v>Weekday</v>
      </c>
      <c r="I3014" t="str">
        <f>_xlfn.IFS(B3014&lt;=5,"Night (0-5)",B3014&lt;=9,"Morning peak (6-9)",B3014&lt;=15,"Midday (10-15)",B3014&lt;=19,"Evening peak (16-19)",TRUE,"Late evening (20-23)")</f>
        <v>Midday (10-15)</v>
      </c>
    </row>
    <row r="3015" spans="1:9">
      <c r="A3015" s="32">
        <v>41855</v>
      </c>
      <c r="B3015">
        <v>13</v>
      </c>
      <c r="C3015">
        <v>1103</v>
      </c>
      <c r="D3015" t="s">
        <v>303</v>
      </c>
      <c r="E3015">
        <f>YEAR(A3015)</f>
        <v>2014</v>
      </c>
      <c r="F3015" s="33">
        <f>DATE(YEAR(A3015),MONTH(A3015),1)</f>
        <v>41852.0</v>
      </c>
      <c r="G3015" t="str">
        <f>CHOOSE(WEEKDAY(A3015,2),"Mon","Tue","Wed","Thu","Fri","Sat","Sun")</f>
        <v>Mon</v>
      </c>
      <c r="H3015" t="str">
        <f>IF(WEEKDAY(A3015,2)&gt;5,"Weekend","Weekday")</f>
        <v>Weekday</v>
      </c>
      <c r="I3015" t="str">
        <f>_xlfn.IFS(B3015&lt;=5,"Night (0-5)",B3015&lt;=9,"Morning peak (6-9)",B3015&lt;=15,"Midday (10-15)",B3015&lt;=19,"Evening peak (16-19)",TRUE,"Late evening (20-23)")</f>
        <v>Midday (10-15)</v>
      </c>
    </row>
    <row r="3016" spans="1:9">
      <c r="A3016" s="32">
        <v>41855</v>
      </c>
      <c r="B3016">
        <v>14</v>
      </c>
      <c r="C3016">
        <v>1275</v>
      </c>
      <c r="D3016" t="s">
        <v>303</v>
      </c>
      <c r="E3016">
        <f>YEAR(A3016)</f>
        <v>2014</v>
      </c>
      <c r="F3016" s="33">
        <f>DATE(YEAR(A3016),MONTH(A3016),1)</f>
        <v>41852.0</v>
      </c>
      <c r="G3016" t="str">
        <f>CHOOSE(WEEKDAY(A3016,2),"Mon","Tue","Wed","Thu","Fri","Sat","Sun")</f>
        <v>Mon</v>
      </c>
      <c r="H3016" t="str">
        <f>IF(WEEKDAY(A3016,2)&gt;5,"Weekend","Weekday")</f>
        <v>Weekday</v>
      </c>
      <c r="I3016" t="str">
        <f>_xlfn.IFS(B3016&lt;=5,"Night (0-5)",B3016&lt;=9,"Morning peak (6-9)",B3016&lt;=15,"Midday (10-15)",B3016&lt;=19,"Evening peak (16-19)",TRUE,"Late evening (20-23)")</f>
        <v>Midday (10-15)</v>
      </c>
    </row>
    <row r="3017" spans="1:9">
      <c r="A3017" s="32">
        <v>41855</v>
      </c>
      <c r="B3017">
        <v>15</v>
      </c>
      <c r="C3017">
        <v>1424</v>
      </c>
      <c r="D3017" t="s">
        <v>303</v>
      </c>
      <c r="E3017">
        <f>YEAR(A3017)</f>
        <v>2014</v>
      </c>
      <c r="F3017" s="33">
        <f>DATE(YEAR(A3017),MONTH(A3017),1)</f>
        <v>41852.0</v>
      </c>
      <c r="G3017" t="str">
        <f>CHOOSE(WEEKDAY(A3017,2),"Mon","Tue","Wed","Thu","Fri","Sat","Sun")</f>
        <v>Mon</v>
      </c>
      <c r="H3017" t="str">
        <f>IF(WEEKDAY(A3017,2)&gt;5,"Weekend","Weekday")</f>
        <v>Weekday</v>
      </c>
      <c r="I3017" t="str">
        <f>_xlfn.IFS(B3017&lt;=5,"Night (0-5)",B3017&lt;=9,"Morning peak (6-9)",B3017&lt;=15,"Midday (10-15)",B3017&lt;=19,"Evening peak (16-19)",TRUE,"Late evening (20-23)")</f>
        <v>Midday (10-15)</v>
      </c>
    </row>
    <row r="3018" spans="1:9">
      <c r="A3018" s="32">
        <v>41855</v>
      </c>
      <c r="B3018">
        <v>16</v>
      </c>
      <c r="C3018">
        <v>1705</v>
      </c>
      <c r="D3018" t="s">
        <v>303</v>
      </c>
      <c r="E3018">
        <f>YEAR(A3018)</f>
        <v>2014</v>
      </c>
      <c r="F3018" s="33">
        <f>DATE(YEAR(A3018),MONTH(A3018),1)</f>
        <v>41852.0</v>
      </c>
      <c r="G3018" t="str">
        <f>CHOOSE(WEEKDAY(A3018,2),"Mon","Tue","Wed","Thu","Fri","Sat","Sun")</f>
        <v>Mon</v>
      </c>
      <c r="H3018" t="str">
        <f>IF(WEEKDAY(A3018,2)&gt;5,"Weekend","Weekday")</f>
        <v>Weekday</v>
      </c>
      <c r="I3018" t="str">
        <f>_xlfn.IFS(B3018&lt;=5,"Night (0-5)",B3018&lt;=9,"Morning peak (6-9)",B3018&lt;=15,"Midday (10-15)",B3018&lt;=19,"Evening peak (16-19)",TRUE,"Late evening (20-23)")</f>
        <v>Evening peak (16-19)</v>
      </c>
    </row>
    <row r="3019" spans="1:9">
      <c r="A3019" s="32">
        <v>41855</v>
      </c>
      <c r="B3019">
        <v>17</v>
      </c>
      <c r="C3019">
        <v>1885</v>
      </c>
      <c r="D3019" t="s">
        <v>303</v>
      </c>
      <c r="E3019">
        <f>YEAR(A3019)</f>
        <v>2014</v>
      </c>
      <c r="F3019" s="33">
        <f>DATE(YEAR(A3019),MONTH(A3019),1)</f>
        <v>41852.0</v>
      </c>
      <c r="G3019" t="str">
        <f>CHOOSE(WEEKDAY(A3019,2),"Mon","Tue","Wed","Thu","Fri","Sat","Sun")</f>
        <v>Mon</v>
      </c>
      <c r="H3019" t="str">
        <f>IF(WEEKDAY(A3019,2)&gt;5,"Weekend","Weekday")</f>
        <v>Weekday</v>
      </c>
      <c r="I3019" t="str">
        <f>_xlfn.IFS(B3019&lt;=5,"Night (0-5)",B3019&lt;=9,"Morning peak (6-9)",B3019&lt;=15,"Midday (10-15)",B3019&lt;=19,"Evening peak (16-19)",TRUE,"Late evening (20-23)")</f>
        <v>Evening peak (16-19)</v>
      </c>
    </row>
    <row r="3020" spans="1:9">
      <c r="A3020" s="32">
        <v>41855</v>
      </c>
      <c r="B3020">
        <v>18</v>
      </c>
      <c r="C3020">
        <v>1766</v>
      </c>
      <c r="D3020" t="s">
        <v>303</v>
      </c>
      <c r="E3020">
        <f>YEAR(A3020)</f>
        <v>2014</v>
      </c>
      <c r="F3020" s="33">
        <f>DATE(YEAR(A3020),MONTH(A3020),1)</f>
        <v>41852.0</v>
      </c>
      <c r="G3020" t="str">
        <f>CHOOSE(WEEKDAY(A3020,2),"Mon","Tue","Wed","Thu","Fri","Sat","Sun")</f>
        <v>Mon</v>
      </c>
      <c r="H3020" t="str">
        <f>IF(WEEKDAY(A3020,2)&gt;5,"Weekend","Weekday")</f>
        <v>Weekday</v>
      </c>
      <c r="I3020" t="str">
        <f>_xlfn.IFS(B3020&lt;=5,"Night (0-5)",B3020&lt;=9,"Morning peak (6-9)",B3020&lt;=15,"Midday (10-15)",B3020&lt;=19,"Evening peak (16-19)",TRUE,"Late evening (20-23)")</f>
        <v>Evening peak (16-19)</v>
      </c>
    </row>
    <row r="3021" spans="1:9">
      <c r="A3021" s="32">
        <v>41855</v>
      </c>
      <c r="B3021">
        <v>19</v>
      </c>
      <c r="C3021">
        <v>1572</v>
      </c>
      <c r="D3021" t="s">
        <v>303</v>
      </c>
      <c r="E3021">
        <f>YEAR(A3021)</f>
        <v>2014</v>
      </c>
      <c r="F3021" s="33">
        <f>DATE(YEAR(A3021),MONTH(A3021),1)</f>
        <v>41852.0</v>
      </c>
      <c r="G3021" t="str">
        <f>CHOOSE(WEEKDAY(A3021,2),"Mon","Tue","Wed","Thu","Fri","Sat","Sun")</f>
        <v>Mon</v>
      </c>
      <c r="H3021" t="str">
        <f>IF(WEEKDAY(A3021,2)&gt;5,"Weekend","Weekday")</f>
        <v>Weekday</v>
      </c>
      <c r="I3021" t="str">
        <f>_xlfn.IFS(B3021&lt;=5,"Night (0-5)",B3021&lt;=9,"Morning peak (6-9)",B3021&lt;=15,"Midday (10-15)",B3021&lt;=19,"Evening peak (16-19)",TRUE,"Late evening (20-23)")</f>
        <v>Evening peak (16-19)</v>
      </c>
    </row>
    <row r="3022" spans="1:9">
      <c r="A3022" s="32">
        <v>41855</v>
      </c>
      <c r="B3022">
        <v>20</v>
      </c>
      <c r="C3022">
        <v>1528</v>
      </c>
      <c r="D3022" t="s">
        <v>303</v>
      </c>
      <c r="E3022">
        <f>YEAR(A3022)</f>
        <v>2014</v>
      </c>
      <c r="F3022" s="33">
        <f>DATE(YEAR(A3022),MONTH(A3022),1)</f>
        <v>41852.0</v>
      </c>
      <c r="G3022" t="str">
        <f>CHOOSE(WEEKDAY(A3022,2),"Mon","Tue","Wed","Thu","Fri","Sat","Sun")</f>
        <v>Mon</v>
      </c>
      <c r="H3022" t="str">
        <f>IF(WEEKDAY(A3022,2)&gt;5,"Weekend","Weekday")</f>
        <v>Weekday</v>
      </c>
      <c r="I3022" t="str">
        <f>_xlfn.IFS(B3022&lt;=5,"Night (0-5)",B3022&lt;=9,"Morning peak (6-9)",B3022&lt;=15,"Midday (10-15)",B3022&lt;=19,"Evening peak (16-19)",TRUE,"Late evening (20-23)")</f>
        <v>Late evening (20-23)</v>
      </c>
    </row>
    <row r="3023" spans="1:9">
      <c r="A3023" s="32">
        <v>41855</v>
      </c>
      <c r="B3023">
        <v>21</v>
      </c>
      <c r="C3023">
        <v>1298</v>
      </c>
      <c r="D3023" t="s">
        <v>303</v>
      </c>
      <c r="E3023">
        <f>YEAR(A3023)</f>
        <v>2014</v>
      </c>
      <c r="F3023" s="33">
        <f>DATE(YEAR(A3023),MONTH(A3023),1)</f>
        <v>41852.0</v>
      </c>
      <c r="G3023" t="str">
        <f>CHOOSE(WEEKDAY(A3023,2),"Mon","Tue","Wed","Thu","Fri","Sat","Sun")</f>
        <v>Mon</v>
      </c>
      <c r="H3023" t="str">
        <f>IF(WEEKDAY(A3023,2)&gt;5,"Weekend","Weekday")</f>
        <v>Weekday</v>
      </c>
      <c r="I3023" t="str">
        <f>_xlfn.IFS(B3023&lt;=5,"Night (0-5)",B3023&lt;=9,"Morning peak (6-9)",B3023&lt;=15,"Midday (10-15)",B3023&lt;=19,"Evening peak (16-19)",TRUE,"Late evening (20-23)")</f>
        <v>Late evening (20-23)</v>
      </c>
    </row>
    <row r="3024" spans="1:9">
      <c r="A3024" s="32">
        <v>41855</v>
      </c>
      <c r="B3024">
        <v>22</v>
      </c>
      <c r="C3024">
        <v>953</v>
      </c>
      <c r="D3024" t="s">
        <v>303</v>
      </c>
      <c r="E3024">
        <f>YEAR(A3024)</f>
        <v>2014</v>
      </c>
      <c r="F3024" s="33">
        <f>DATE(YEAR(A3024),MONTH(A3024),1)</f>
        <v>41852.0</v>
      </c>
      <c r="G3024" t="str">
        <f>CHOOSE(WEEKDAY(A3024,2),"Mon","Tue","Wed","Thu","Fri","Sat","Sun")</f>
        <v>Mon</v>
      </c>
      <c r="H3024" t="str">
        <f>IF(WEEKDAY(A3024,2)&gt;5,"Weekend","Weekday")</f>
        <v>Weekday</v>
      </c>
      <c r="I3024" t="str">
        <f>_xlfn.IFS(B3024&lt;=5,"Night (0-5)",B3024&lt;=9,"Morning peak (6-9)",B3024&lt;=15,"Midday (10-15)",B3024&lt;=19,"Evening peak (16-19)",TRUE,"Late evening (20-23)")</f>
        <v>Late evening (20-23)</v>
      </c>
    </row>
    <row r="3025" spans="1:9">
      <c r="A3025" s="32">
        <v>41855</v>
      </c>
      <c r="B3025">
        <v>23</v>
      </c>
      <c r="C3025">
        <v>620</v>
      </c>
      <c r="D3025" t="s">
        <v>303</v>
      </c>
      <c r="E3025">
        <f>YEAR(A3025)</f>
        <v>2014</v>
      </c>
      <c r="F3025" s="33">
        <f>DATE(YEAR(A3025),MONTH(A3025),1)</f>
        <v>41852.0</v>
      </c>
      <c r="G3025" t="str">
        <f>CHOOSE(WEEKDAY(A3025,2),"Mon","Tue","Wed","Thu","Fri","Sat","Sun")</f>
        <v>Mon</v>
      </c>
      <c r="H3025" t="str">
        <f>IF(WEEKDAY(A3025,2)&gt;5,"Weekend","Weekday")</f>
        <v>Weekday</v>
      </c>
      <c r="I3025" t="str">
        <f>_xlfn.IFS(B3025&lt;=5,"Night (0-5)",B3025&lt;=9,"Morning peak (6-9)",B3025&lt;=15,"Midday (10-15)",B3025&lt;=19,"Evening peak (16-19)",TRUE,"Late evening (20-23)")</f>
        <v>Late evening (20-23)</v>
      </c>
    </row>
    <row r="3026" spans="1:9">
      <c r="A3026" s="32">
        <v>41856</v>
      </c>
      <c r="B3026">
        <v>0</v>
      </c>
      <c r="C3026">
        <v>310</v>
      </c>
      <c r="D3026" t="s">
        <v>303</v>
      </c>
      <c r="E3026">
        <f>YEAR(A3026)</f>
        <v>2014</v>
      </c>
      <c r="F3026" s="33">
        <f>DATE(YEAR(A3026),MONTH(A3026),1)</f>
        <v>41852.0</v>
      </c>
      <c r="G3026" t="str">
        <f>CHOOSE(WEEKDAY(A3026,2),"Mon","Tue","Wed","Thu","Fri","Sat","Sun")</f>
        <v>Tue</v>
      </c>
      <c r="H3026" t="str">
        <f>IF(WEEKDAY(A3026,2)&gt;5,"Weekend","Weekday")</f>
        <v>Weekday</v>
      </c>
      <c r="I3026" t="str">
        <f>_xlfn.IFS(B3026&lt;=5,"Night (0-5)",B3026&lt;=9,"Morning peak (6-9)",B3026&lt;=15,"Midday (10-15)",B3026&lt;=19,"Evening peak (16-19)",TRUE,"Late evening (20-23)")</f>
        <v>Night (0-5)</v>
      </c>
    </row>
    <row r="3027" spans="1:9">
      <c r="A3027" s="32">
        <v>41856</v>
      </c>
      <c r="B3027">
        <v>1</v>
      </c>
      <c r="C3027">
        <v>186</v>
      </c>
      <c r="D3027" t="s">
        <v>303</v>
      </c>
      <c r="E3027">
        <f>YEAR(A3027)</f>
        <v>2014</v>
      </c>
      <c r="F3027" s="33">
        <f>DATE(YEAR(A3027),MONTH(A3027),1)</f>
        <v>41852.0</v>
      </c>
      <c r="G3027" t="str">
        <f>CHOOSE(WEEKDAY(A3027,2),"Mon","Tue","Wed","Thu","Fri","Sat","Sun")</f>
        <v>Tue</v>
      </c>
      <c r="H3027" t="str">
        <f>IF(WEEKDAY(A3027,2)&gt;5,"Weekend","Weekday")</f>
        <v>Weekday</v>
      </c>
      <c r="I3027" t="str">
        <f>_xlfn.IFS(B3027&lt;=5,"Night (0-5)",B3027&lt;=9,"Morning peak (6-9)",B3027&lt;=15,"Midday (10-15)",B3027&lt;=19,"Evening peak (16-19)",TRUE,"Late evening (20-23)")</f>
        <v>Night (0-5)</v>
      </c>
    </row>
    <row r="3028" spans="1:9">
      <c r="A3028" s="32">
        <v>41856</v>
      </c>
      <c r="B3028">
        <v>2</v>
      </c>
      <c r="C3028">
        <v>134</v>
      </c>
      <c r="D3028" t="s">
        <v>303</v>
      </c>
      <c r="E3028">
        <f>YEAR(A3028)</f>
        <v>2014</v>
      </c>
      <c r="F3028" s="33">
        <f>DATE(YEAR(A3028),MONTH(A3028),1)</f>
        <v>41852.0</v>
      </c>
      <c r="G3028" t="str">
        <f>CHOOSE(WEEKDAY(A3028,2),"Mon","Tue","Wed","Thu","Fri","Sat","Sun")</f>
        <v>Tue</v>
      </c>
      <c r="H3028" t="str">
        <f>IF(WEEKDAY(A3028,2)&gt;5,"Weekend","Weekday")</f>
        <v>Weekday</v>
      </c>
      <c r="I3028" t="str">
        <f>_xlfn.IFS(B3028&lt;=5,"Night (0-5)",B3028&lt;=9,"Morning peak (6-9)",B3028&lt;=15,"Midday (10-15)",B3028&lt;=19,"Evening peak (16-19)",TRUE,"Late evening (20-23)")</f>
        <v>Night (0-5)</v>
      </c>
    </row>
    <row r="3029" spans="1:9">
      <c r="A3029" s="32">
        <v>41856</v>
      </c>
      <c r="B3029">
        <v>3</v>
      </c>
      <c r="C3029">
        <v>216</v>
      </c>
      <c r="D3029" t="s">
        <v>303</v>
      </c>
      <c r="E3029">
        <f>YEAR(A3029)</f>
        <v>2014</v>
      </c>
      <c r="F3029" s="33">
        <f>DATE(YEAR(A3029),MONTH(A3029),1)</f>
        <v>41852.0</v>
      </c>
      <c r="G3029" t="str">
        <f>CHOOSE(WEEKDAY(A3029,2),"Mon","Tue","Wed","Thu","Fri","Sat","Sun")</f>
        <v>Tue</v>
      </c>
      <c r="H3029" t="str">
        <f>IF(WEEKDAY(A3029,2)&gt;5,"Weekend","Weekday")</f>
        <v>Weekday</v>
      </c>
      <c r="I3029" t="str">
        <f>_xlfn.IFS(B3029&lt;=5,"Night (0-5)",B3029&lt;=9,"Morning peak (6-9)",B3029&lt;=15,"Midday (10-15)",B3029&lt;=19,"Evening peak (16-19)",TRUE,"Late evening (20-23)")</f>
        <v>Night (0-5)</v>
      </c>
    </row>
    <row r="3030" spans="1:9">
      <c r="A3030" s="32">
        <v>41856</v>
      </c>
      <c r="B3030">
        <v>4</v>
      </c>
      <c r="C3030">
        <v>351</v>
      </c>
      <c r="D3030" t="s">
        <v>303</v>
      </c>
      <c r="E3030">
        <f>YEAR(A3030)</f>
        <v>2014</v>
      </c>
      <c r="F3030" s="33">
        <f>DATE(YEAR(A3030),MONTH(A3030),1)</f>
        <v>41852.0</v>
      </c>
      <c r="G3030" t="str">
        <f>CHOOSE(WEEKDAY(A3030,2),"Mon","Tue","Wed","Thu","Fri","Sat","Sun")</f>
        <v>Tue</v>
      </c>
      <c r="H3030" t="str">
        <f>IF(WEEKDAY(A3030,2)&gt;5,"Weekend","Weekday")</f>
        <v>Weekday</v>
      </c>
      <c r="I3030" t="str">
        <f>_xlfn.IFS(B3030&lt;=5,"Night (0-5)",B3030&lt;=9,"Morning peak (6-9)",B3030&lt;=15,"Midday (10-15)",B3030&lt;=19,"Evening peak (16-19)",TRUE,"Late evening (20-23)")</f>
        <v>Night (0-5)</v>
      </c>
    </row>
    <row r="3031" spans="1:9">
      <c r="A3031" s="32">
        <v>41856</v>
      </c>
      <c r="B3031">
        <v>5</v>
      </c>
      <c r="C3031">
        <v>632</v>
      </c>
      <c r="D3031" t="s">
        <v>303</v>
      </c>
      <c r="E3031">
        <f>YEAR(A3031)</f>
        <v>2014</v>
      </c>
      <c r="F3031" s="33">
        <f>DATE(YEAR(A3031),MONTH(A3031),1)</f>
        <v>41852.0</v>
      </c>
      <c r="G3031" t="str">
        <f>CHOOSE(WEEKDAY(A3031,2),"Mon","Tue","Wed","Thu","Fri","Sat","Sun")</f>
        <v>Tue</v>
      </c>
      <c r="H3031" t="str">
        <f>IF(WEEKDAY(A3031,2)&gt;5,"Weekend","Weekday")</f>
        <v>Weekday</v>
      </c>
      <c r="I3031" t="str">
        <f>_xlfn.IFS(B3031&lt;=5,"Night (0-5)",B3031&lt;=9,"Morning peak (6-9)",B3031&lt;=15,"Midday (10-15)",B3031&lt;=19,"Evening peak (16-19)",TRUE,"Late evening (20-23)")</f>
        <v>Night (0-5)</v>
      </c>
    </row>
    <row r="3032" spans="1:9">
      <c r="A3032" s="32">
        <v>41856</v>
      </c>
      <c r="B3032">
        <v>6</v>
      </c>
      <c r="C3032">
        <v>1007</v>
      </c>
      <c r="D3032" t="s">
        <v>303</v>
      </c>
      <c r="E3032">
        <f>YEAR(A3032)</f>
        <v>2014</v>
      </c>
      <c r="F3032" s="33">
        <f>DATE(YEAR(A3032),MONTH(A3032),1)</f>
        <v>41852.0</v>
      </c>
      <c r="G3032" t="str">
        <f>CHOOSE(WEEKDAY(A3032,2),"Mon","Tue","Wed","Thu","Fri","Sat","Sun")</f>
        <v>Tue</v>
      </c>
      <c r="H3032" t="str">
        <f>IF(WEEKDAY(A3032,2)&gt;5,"Weekend","Weekday")</f>
        <v>Weekday</v>
      </c>
      <c r="I3032" t="str">
        <f>_xlfn.IFS(B3032&lt;=5,"Night (0-5)",B3032&lt;=9,"Morning peak (6-9)",B3032&lt;=15,"Midday (10-15)",B3032&lt;=19,"Evening peak (16-19)",TRUE,"Late evening (20-23)")</f>
        <v>Morning peak (6-9)</v>
      </c>
    </row>
    <row r="3033" spans="1:9">
      <c r="A3033" s="32">
        <v>41856</v>
      </c>
      <c r="B3033">
        <v>7</v>
      </c>
      <c r="C3033">
        <v>1432</v>
      </c>
      <c r="D3033" t="s">
        <v>303</v>
      </c>
      <c r="E3033">
        <f>YEAR(A3033)</f>
        <v>2014</v>
      </c>
      <c r="F3033" s="33">
        <f>DATE(YEAR(A3033),MONTH(A3033),1)</f>
        <v>41852.0</v>
      </c>
      <c r="G3033" t="str">
        <f>CHOOSE(WEEKDAY(A3033,2),"Mon","Tue","Wed","Thu","Fri","Sat","Sun")</f>
        <v>Tue</v>
      </c>
      <c r="H3033" t="str">
        <f>IF(WEEKDAY(A3033,2)&gt;5,"Weekend","Weekday")</f>
        <v>Weekday</v>
      </c>
      <c r="I3033" t="str">
        <f>_xlfn.IFS(B3033&lt;=5,"Night (0-5)",B3033&lt;=9,"Morning peak (6-9)",B3033&lt;=15,"Midday (10-15)",B3033&lt;=19,"Evening peak (16-19)",TRUE,"Late evening (20-23)")</f>
        <v>Morning peak (6-9)</v>
      </c>
    </row>
    <row r="3034" spans="1:9">
      <c r="A3034" s="32">
        <v>41856</v>
      </c>
      <c r="B3034">
        <v>8</v>
      </c>
      <c r="C3034">
        <v>1397</v>
      </c>
      <c r="D3034" t="s">
        <v>303</v>
      </c>
      <c r="E3034">
        <f>YEAR(A3034)</f>
        <v>2014</v>
      </c>
      <c r="F3034" s="33">
        <f>DATE(YEAR(A3034),MONTH(A3034),1)</f>
        <v>41852.0</v>
      </c>
      <c r="G3034" t="str">
        <f>CHOOSE(WEEKDAY(A3034,2),"Mon","Tue","Wed","Thu","Fri","Sat","Sun")</f>
        <v>Tue</v>
      </c>
      <c r="H3034" t="str">
        <f>IF(WEEKDAY(A3034,2)&gt;5,"Weekend","Weekday")</f>
        <v>Weekday</v>
      </c>
      <c r="I3034" t="str">
        <f>_xlfn.IFS(B3034&lt;=5,"Night (0-5)",B3034&lt;=9,"Morning peak (6-9)",B3034&lt;=15,"Midday (10-15)",B3034&lt;=19,"Evening peak (16-19)",TRUE,"Late evening (20-23)")</f>
        <v>Morning peak (6-9)</v>
      </c>
    </row>
    <row r="3035" spans="1:9">
      <c r="A3035" s="32">
        <v>41856</v>
      </c>
      <c r="B3035">
        <v>9</v>
      </c>
      <c r="C3035">
        <v>1109</v>
      </c>
      <c r="D3035" t="s">
        <v>303</v>
      </c>
      <c r="E3035">
        <f>YEAR(A3035)</f>
        <v>2014</v>
      </c>
      <c r="F3035" s="33">
        <f>DATE(YEAR(A3035),MONTH(A3035),1)</f>
        <v>41852.0</v>
      </c>
      <c r="G3035" t="str">
        <f>CHOOSE(WEEKDAY(A3035,2),"Mon","Tue","Wed","Thu","Fri","Sat","Sun")</f>
        <v>Tue</v>
      </c>
      <c r="H3035" t="str">
        <f>IF(WEEKDAY(A3035,2)&gt;5,"Weekend","Weekday")</f>
        <v>Weekday</v>
      </c>
      <c r="I3035" t="str">
        <f>_xlfn.IFS(B3035&lt;=5,"Night (0-5)",B3035&lt;=9,"Morning peak (6-9)",B3035&lt;=15,"Midday (10-15)",B3035&lt;=19,"Evening peak (16-19)",TRUE,"Late evening (20-23)")</f>
        <v>Morning peak (6-9)</v>
      </c>
    </row>
    <row r="3036" spans="1:9">
      <c r="A3036" s="32">
        <v>41856</v>
      </c>
      <c r="B3036">
        <v>10</v>
      </c>
      <c r="C3036">
        <v>1050</v>
      </c>
      <c r="D3036" t="s">
        <v>303</v>
      </c>
      <c r="E3036">
        <f>YEAR(A3036)</f>
        <v>2014</v>
      </c>
      <c r="F3036" s="33">
        <f>DATE(YEAR(A3036),MONTH(A3036),1)</f>
        <v>41852.0</v>
      </c>
      <c r="G3036" t="str">
        <f>CHOOSE(WEEKDAY(A3036,2),"Mon","Tue","Wed","Thu","Fri","Sat","Sun")</f>
        <v>Tue</v>
      </c>
      <c r="H3036" t="str">
        <f>IF(WEEKDAY(A3036,2)&gt;5,"Weekend","Weekday")</f>
        <v>Weekday</v>
      </c>
      <c r="I3036" t="str">
        <f>_xlfn.IFS(B3036&lt;=5,"Night (0-5)",B3036&lt;=9,"Morning peak (6-9)",B3036&lt;=15,"Midday (10-15)",B3036&lt;=19,"Evening peak (16-19)",TRUE,"Late evening (20-23)")</f>
        <v>Midday (10-15)</v>
      </c>
    </row>
    <row r="3037" spans="1:9">
      <c r="A3037" s="32">
        <v>41856</v>
      </c>
      <c r="B3037">
        <v>11</v>
      </c>
      <c r="C3037">
        <v>1109</v>
      </c>
      <c r="D3037" t="s">
        <v>303</v>
      </c>
      <c r="E3037">
        <f>YEAR(A3037)</f>
        <v>2014</v>
      </c>
      <c r="F3037" s="33">
        <f>DATE(YEAR(A3037),MONTH(A3037),1)</f>
        <v>41852.0</v>
      </c>
      <c r="G3037" t="str">
        <f>CHOOSE(WEEKDAY(A3037,2),"Mon","Tue","Wed","Thu","Fri","Sat","Sun")</f>
        <v>Tue</v>
      </c>
      <c r="H3037" t="str">
        <f>IF(WEEKDAY(A3037,2)&gt;5,"Weekend","Weekday")</f>
        <v>Weekday</v>
      </c>
      <c r="I3037" t="str">
        <f>_xlfn.IFS(B3037&lt;=5,"Night (0-5)",B3037&lt;=9,"Morning peak (6-9)",B3037&lt;=15,"Midday (10-15)",B3037&lt;=19,"Evening peak (16-19)",TRUE,"Late evening (20-23)")</f>
        <v>Midday (10-15)</v>
      </c>
    </row>
    <row r="3038" spans="1:9">
      <c r="A3038" s="32">
        <v>41856</v>
      </c>
      <c r="B3038">
        <v>12</v>
      </c>
      <c r="C3038">
        <v>1070</v>
      </c>
      <c r="D3038" t="s">
        <v>303</v>
      </c>
      <c r="E3038">
        <f>YEAR(A3038)</f>
        <v>2014</v>
      </c>
      <c r="F3038" s="33">
        <f>DATE(YEAR(A3038),MONTH(A3038),1)</f>
        <v>41852.0</v>
      </c>
      <c r="G3038" t="str">
        <f>CHOOSE(WEEKDAY(A3038,2),"Mon","Tue","Wed","Thu","Fri","Sat","Sun")</f>
        <v>Tue</v>
      </c>
      <c r="H3038" t="str">
        <f>IF(WEEKDAY(A3038,2)&gt;5,"Weekend","Weekday")</f>
        <v>Weekday</v>
      </c>
      <c r="I3038" t="str">
        <f>_xlfn.IFS(B3038&lt;=5,"Night (0-5)",B3038&lt;=9,"Morning peak (6-9)",B3038&lt;=15,"Midday (10-15)",B3038&lt;=19,"Evening peak (16-19)",TRUE,"Late evening (20-23)")</f>
        <v>Midday (10-15)</v>
      </c>
    </row>
    <row r="3039" spans="1:9">
      <c r="A3039" s="32">
        <v>41856</v>
      </c>
      <c r="B3039">
        <v>13</v>
      </c>
      <c r="C3039">
        <v>1166</v>
      </c>
      <c r="D3039" t="s">
        <v>303</v>
      </c>
      <c r="E3039">
        <f>YEAR(A3039)</f>
        <v>2014</v>
      </c>
      <c r="F3039" s="33">
        <f>DATE(YEAR(A3039),MONTH(A3039),1)</f>
        <v>41852.0</v>
      </c>
      <c r="G3039" t="str">
        <f>CHOOSE(WEEKDAY(A3039,2),"Mon","Tue","Wed","Thu","Fri","Sat","Sun")</f>
        <v>Tue</v>
      </c>
      <c r="H3039" t="str">
        <f>IF(WEEKDAY(A3039,2)&gt;5,"Weekend","Weekday")</f>
        <v>Weekday</v>
      </c>
      <c r="I3039" t="str">
        <f>_xlfn.IFS(B3039&lt;=5,"Night (0-5)",B3039&lt;=9,"Morning peak (6-9)",B3039&lt;=15,"Midday (10-15)",B3039&lt;=19,"Evening peak (16-19)",TRUE,"Late evening (20-23)")</f>
        <v>Midday (10-15)</v>
      </c>
    </row>
    <row r="3040" spans="1:9">
      <c r="A3040" s="32">
        <v>41856</v>
      </c>
      <c r="B3040">
        <v>14</v>
      </c>
      <c r="C3040">
        <v>1481</v>
      </c>
      <c r="D3040" t="s">
        <v>303</v>
      </c>
      <c r="E3040">
        <f>YEAR(A3040)</f>
        <v>2014</v>
      </c>
      <c r="F3040" s="33">
        <f>DATE(YEAR(A3040),MONTH(A3040),1)</f>
        <v>41852.0</v>
      </c>
      <c r="G3040" t="str">
        <f>CHOOSE(WEEKDAY(A3040,2),"Mon","Tue","Wed","Thu","Fri","Sat","Sun")</f>
        <v>Tue</v>
      </c>
      <c r="H3040" t="str">
        <f>IF(WEEKDAY(A3040,2)&gt;5,"Weekend","Weekday")</f>
        <v>Weekday</v>
      </c>
      <c r="I3040" t="str">
        <f>_xlfn.IFS(B3040&lt;=5,"Night (0-5)",B3040&lt;=9,"Morning peak (6-9)",B3040&lt;=15,"Midday (10-15)",B3040&lt;=19,"Evening peak (16-19)",TRUE,"Late evening (20-23)")</f>
        <v>Midday (10-15)</v>
      </c>
    </row>
    <row r="3041" spans="1:9">
      <c r="A3041" s="32">
        <v>41856</v>
      </c>
      <c r="B3041">
        <v>15</v>
      </c>
      <c r="C3041">
        <v>1677</v>
      </c>
      <c r="D3041" t="s">
        <v>303</v>
      </c>
      <c r="E3041">
        <f>YEAR(A3041)</f>
        <v>2014</v>
      </c>
      <c r="F3041" s="33">
        <f>DATE(YEAR(A3041),MONTH(A3041),1)</f>
        <v>41852.0</v>
      </c>
      <c r="G3041" t="str">
        <f>CHOOSE(WEEKDAY(A3041,2),"Mon","Tue","Wed","Thu","Fri","Sat","Sun")</f>
        <v>Tue</v>
      </c>
      <c r="H3041" t="str">
        <f>IF(WEEKDAY(A3041,2)&gt;5,"Weekend","Weekday")</f>
        <v>Weekday</v>
      </c>
      <c r="I3041" t="str">
        <f>_xlfn.IFS(B3041&lt;=5,"Night (0-5)",B3041&lt;=9,"Morning peak (6-9)",B3041&lt;=15,"Midday (10-15)",B3041&lt;=19,"Evening peak (16-19)",TRUE,"Late evening (20-23)")</f>
        <v>Midday (10-15)</v>
      </c>
    </row>
    <row r="3042" spans="1:9">
      <c r="A3042" s="32">
        <v>41856</v>
      </c>
      <c r="B3042">
        <v>16</v>
      </c>
      <c r="C3042">
        <v>1965</v>
      </c>
      <c r="D3042" t="s">
        <v>303</v>
      </c>
      <c r="E3042">
        <f>YEAR(A3042)</f>
        <v>2014</v>
      </c>
      <c r="F3042" s="33">
        <f>DATE(YEAR(A3042),MONTH(A3042),1)</f>
        <v>41852.0</v>
      </c>
      <c r="G3042" t="str">
        <f>CHOOSE(WEEKDAY(A3042,2),"Mon","Tue","Wed","Thu","Fri","Sat","Sun")</f>
        <v>Tue</v>
      </c>
      <c r="H3042" t="str">
        <f>IF(WEEKDAY(A3042,2)&gt;5,"Weekend","Weekday")</f>
        <v>Weekday</v>
      </c>
      <c r="I3042" t="str">
        <f>_xlfn.IFS(B3042&lt;=5,"Night (0-5)",B3042&lt;=9,"Morning peak (6-9)",B3042&lt;=15,"Midday (10-15)",B3042&lt;=19,"Evening peak (16-19)",TRUE,"Late evening (20-23)")</f>
        <v>Evening peak (16-19)</v>
      </c>
    </row>
    <row r="3043" spans="1:9">
      <c r="A3043" s="32">
        <v>41856</v>
      </c>
      <c r="B3043">
        <v>17</v>
      </c>
      <c r="C3043">
        <v>2205</v>
      </c>
      <c r="D3043" t="s">
        <v>303</v>
      </c>
      <c r="E3043">
        <f>YEAR(A3043)</f>
        <v>2014</v>
      </c>
      <c r="F3043" s="33">
        <f>DATE(YEAR(A3043),MONTH(A3043),1)</f>
        <v>41852.0</v>
      </c>
      <c r="G3043" t="str">
        <f>CHOOSE(WEEKDAY(A3043,2),"Mon","Tue","Wed","Thu","Fri","Sat","Sun")</f>
        <v>Tue</v>
      </c>
      <c r="H3043" t="str">
        <f>IF(WEEKDAY(A3043,2)&gt;5,"Weekend","Weekday")</f>
        <v>Weekday</v>
      </c>
      <c r="I3043" t="str">
        <f>_xlfn.IFS(B3043&lt;=5,"Night (0-5)",B3043&lt;=9,"Morning peak (6-9)",B3043&lt;=15,"Midday (10-15)",B3043&lt;=19,"Evening peak (16-19)",TRUE,"Late evening (20-23)")</f>
        <v>Evening peak (16-19)</v>
      </c>
    </row>
    <row r="3044" spans="1:9">
      <c r="A3044" s="32">
        <v>41856</v>
      </c>
      <c r="B3044">
        <v>18</v>
      </c>
      <c r="C3044">
        <v>2030</v>
      </c>
      <c r="D3044" t="s">
        <v>303</v>
      </c>
      <c r="E3044">
        <f>YEAR(A3044)</f>
        <v>2014</v>
      </c>
      <c r="F3044" s="33">
        <f>DATE(YEAR(A3044),MONTH(A3044),1)</f>
        <v>41852.0</v>
      </c>
      <c r="G3044" t="str">
        <f>CHOOSE(WEEKDAY(A3044,2),"Mon","Tue","Wed","Thu","Fri","Sat","Sun")</f>
        <v>Tue</v>
      </c>
      <c r="H3044" t="str">
        <f>IF(WEEKDAY(A3044,2)&gt;5,"Weekend","Weekday")</f>
        <v>Weekday</v>
      </c>
      <c r="I3044" t="str">
        <f>_xlfn.IFS(B3044&lt;=5,"Night (0-5)",B3044&lt;=9,"Morning peak (6-9)",B3044&lt;=15,"Midday (10-15)",B3044&lt;=19,"Evening peak (16-19)",TRUE,"Late evening (20-23)")</f>
        <v>Evening peak (16-19)</v>
      </c>
    </row>
    <row r="3045" spans="1:9">
      <c r="A3045" s="32">
        <v>41856</v>
      </c>
      <c r="B3045">
        <v>19</v>
      </c>
      <c r="C3045">
        <v>1873</v>
      </c>
      <c r="D3045" t="s">
        <v>303</v>
      </c>
      <c r="E3045">
        <f>YEAR(A3045)</f>
        <v>2014</v>
      </c>
      <c r="F3045" s="33">
        <f>DATE(YEAR(A3045),MONTH(A3045),1)</f>
        <v>41852.0</v>
      </c>
      <c r="G3045" t="str">
        <f>CHOOSE(WEEKDAY(A3045,2),"Mon","Tue","Wed","Thu","Fri","Sat","Sun")</f>
        <v>Tue</v>
      </c>
      <c r="H3045" t="str">
        <f>IF(WEEKDAY(A3045,2)&gt;5,"Weekend","Weekday")</f>
        <v>Weekday</v>
      </c>
      <c r="I3045" t="str">
        <f>_xlfn.IFS(B3045&lt;=5,"Night (0-5)",B3045&lt;=9,"Morning peak (6-9)",B3045&lt;=15,"Midday (10-15)",B3045&lt;=19,"Evening peak (16-19)",TRUE,"Late evening (20-23)")</f>
        <v>Evening peak (16-19)</v>
      </c>
    </row>
    <row r="3046" spans="1:9">
      <c r="A3046" s="32">
        <v>41856</v>
      </c>
      <c r="B3046">
        <v>20</v>
      </c>
      <c r="C3046">
        <v>1933</v>
      </c>
      <c r="D3046" t="s">
        <v>303</v>
      </c>
      <c r="E3046">
        <f>YEAR(A3046)</f>
        <v>2014</v>
      </c>
      <c r="F3046" s="33">
        <f>DATE(YEAR(A3046),MONTH(A3046),1)</f>
        <v>41852.0</v>
      </c>
      <c r="G3046" t="str">
        <f>CHOOSE(WEEKDAY(A3046,2),"Mon","Tue","Wed","Thu","Fri","Sat","Sun")</f>
        <v>Tue</v>
      </c>
      <c r="H3046" t="str">
        <f>IF(WEEKDAY(A3046,2)&gt;5,"Weekend","Weekday")</f>
        <v>Weekday</v>
      </c>
      <c r="I3046" t="str">
        <f>_xlfn.IFS(B3046&lt;=5,"Night (0-5)",B3046&lt;=9,"Morning peak (6-9)",B3046&lt;=15,"Midday (10-15)",B3046&lt;=19,"Evening peak (16-19)",TRUE,"Late evening (20-23)")</f>
        <v>Late evening (20-23)</v>
      </c>
    </row>
    <row r="3047" spans="1:9">
      <c r="A3047" s="32">
        <v>41856</v>
      </c>
      <c r="B3047">
        <v>21</v>
      </c>
      <c r="C3047">
        <v>1744</v>
      </c>
      <c r="D3047" t="s">
        <v>303</v>
      </c>
      <c r="E3047">
        <f>YEAR(A3047)</f>
        <v>2014</v>
      </c>
      <c r="F3047" s="33">
        <f>DATE(YEAR(A3047),MONTH(A3047),1)</f>
        <v>41852.0</v>
      </c>
      <c r="G3047" t="str">
        <f>CHOOSE(WEEKDAY(A3047,2),"Mon","Tue","Wed","Thu","Fri","Sat","Sun")</f>
        <v>Tue</v>
      </c>
      <c r="H3047" t="str">
        <f>IF(WEEKDAY(A3047,2)&gt;5,"Weekend","Weekday")</f>
        <v>Weekday</v>
      </c>
      <c r="I3047" t="str">
        <f>_xlfn.IFS(B3047&lt;=5,"Night (0-5)",B3047&lt;=9,"Morning peak (6-9)",B3047&lt;=15,"Midday (10-15)",B3047&lt;=19,"Evening peak (16-19)",TRUE,"Late evening (20-23)")</f>
        <v>Late evening (20-23)</v>
      </c>
    </row>
    <row r="3048" spans="1:9">
      <c r="A3048" s="32">
        <v>41856</v>
      </c>
      <c r="B3048">
        <v>22</v>
      </c>
      <c r="C3048">
        <v>1276</v>
      </c>
      <c r="D3048" t="s">
        <v>303</v>
      </c>
      <c r="E3048">
        <f>YEAR(A3048)</f>
        <v>2014</v>
      </c>
      <c r="F3048" s="33">
        <f>DATE(YEAR(A3048),MONTH(A3048),1)</f>
        <v>41852.0</v>
      </c>
      <c r="G3048" t="str">
        <f>CHOOSE(WEEKDAY(A3048,2),"Mon","Tue","Wed","Thu","Fri","Sat","Sun")</f>
        <v>Tue</v>
      </c>
      <c r="H3048" t="str">
        <f>IF(WEEKDAY(A3048,2)&gt;5,"Weekend","Weekday")</f>
        <v>Weekday</v>
      </c>
      <c r="I3048" t="str">
        <f>_xlfn.IFS(B3048&lt;=5,"Night (0-5)",B3048&lt;=9,"Morning peak (6-9)",B3048&lt;=15,"Midday (10-15)",B3048&lt;=19,"Evening peak (16-19)",TRUE,"Late evening (20-23)")</f>
        <v>Late evening (20-23)</v>
      </c>
    </row>
    <row r="3049" spans="1:9">
      <c r="A3049" s="32">
        <v>41856</v>
      </c>
      <c r="B3049">
        <v>23</v>
      </c>
      <c r="C3049">
        <v>741</v>
      </c>
      <c r="D3049" t="s">
        <v>303</v>
      </c>
      <c r="E3049">
        <f>YEAR(A3049)</f>
        <v>2014</v>
      </c>
      <c r="F3049" s="33">
        <f>DATE(YEAR(A3049),MONTH(A3049),1)</f>
        <v>41852.0</v>
      </c>
      <c r="G3049" t="str">
        <f>CHOOSE(WEEKDAY(A3049,2),"Mon","Tue","Wed","Thu","Fri","Sat","Sun")</f>
        <v>Tue</v>
      </c>
      <c r="H3049" t="str">
        <f>IF(WEEKDAY(A3049,2)&gt;5,"Weekend","Weekday")</f>
        <v>Weekday</v>
      </c>
      <c r="I3049" t="str">
        <f>_xlfn.IFS(B3049&lt;=5,"Night (0-5)",B3049&lt;=9,"Morning peak (6-9)",B3049&lt;=15,"Midday (10-15)",B3049&lt;=19,"Evening peak (16-19)",TRUE,"Late evening (20-23)")</f>
        <v>Late evening (20-23)</v>
      </c>
    </row>
    <row r="3050" spans="1:9">
      <c r="A3050" s="32">
        <v>41857</v>
      </c>
      <c r="B3050">
        <v>0</v>
      </c>
      <c r="C3050">
        <v>389</v>
      </c>
      <c r="D3050" t="s">
        <v>303</v>
      </c>
      <c r="E3050">
        <f>YEAR(A3050)</f>
        <v>2014</v>
      </c>
      <c r="F3050" s="33">
        <f>DATE(YEAR(A3050),MONTH(A3050),1)</f>
        <v>41852.0</v>
      </c>
      <c r="G3050" t="str">
        <f>CHOOSE(WEEKDAY(A3050,2),"Mon","Tue","Wed","Thu","Fri","Sat","Sun")</f>
        <v>Wed</v>
      </c>
      <c r="H3050" t="str">
        <f>IF(WEEKDAY(A3050,2)&gt;5,"Weekend","Weekday")</f>
        <v>Weekday</v>
      </c>
      <c r="I3050" t="str">
        <f>_xlfn.IFS(B3050&lt;=5,"Night (0-5)",B3050&lt;=9,"Morning peak (6-9)",B3050&lt;=15,"Midday (10-15)",B3050&lt;=19,"Evening peak (16-19)",TRUE,"Late evening (20-23)")</f>
        <v>Night (0-5)</v>
      </c>
    </row>
    <row r="3051" spans="1:9">
      <c r="A3051" s="32">
        <v>41857</v>
      </c>
      <c r="B3051">
        <v>1</v>
      </c>
      <c r="C3051">
        <v>213</v>
      </c>
      <c r="D3051" t="s">
        <v>303</v>
      </c>
      <c r="E3051">
        <f>YEAR(A3051)</f>
        <v>2014</v>
      </c>
      <c r="F3051" s="33">
        <f>DATE(YEAR(A3051),MONTH(A3051),1)</f>
        <v>41852.0</v>
      </c>
      <c r="G3051" t="str">
        <f>CHOOSE(WEEKDAY(A3051,2),"Mon","Tue","Wed","Thu","Fri","Sat","Sun")</f>
        <v>Wed</v>
      </c>
      <c r="H3051" t="str">
        <f>IF(WEEKDAY(A3051,2)&gt;5,"Weekend","Weekday")</f>
        <v>Weekday</v>
      </c>
      <c r="I3051" t="str">
        <f>_xlfn.IFS(B3051&lt;=5,"Night (0-5)",B3051&lt;=9,"Morning peak (6-9)",B3051&lt;=15,"Midday (10-15)",B3051&lt;=19,"Evening peak (16-19)",TRUE,"Late evening (20-23)")</f>
        <v>Night (0-5)</v>
      </c>
    </row>
    <row r="3052" spans="1:9">
      <c r="A3052" s="32">
        <v>41857</v>
      </c>
      <c r="B3052">
        <v>2</v>
      </c>
      <c r="C3052">
        <v>177</v>
      </c>
      <c r="D3052" t="s">
        <v>303</v>
      </c>
      <c r="E3052">
        <f>YEAR(A3052)</f>
        <v>2014</v>
      </c>
      <c r="F3052" s="33">
        <f>DATE(YEAR(A3052),MONTH(A3052),1)</f>
        <v>41852.0</v>
      </c>
      <c r="G3052" t="str">
        <f>CHOOSE(WEEKDAY(A3052,2),"Mon","Tue","Wed","Thu","Fri","Sat","Sun")</f>
        <v>Wed</v>
      </c>
      <c r="H3052" t="str">
        <f>IF(WEEKDAY(A3052,2)&gt;5,"Weekend","Weekday")</f>
        <v>Weekday</v>
      </c>
      <c r="I3052" t="str">
        <f>_xlfn.IFS(B3052&lt;=5,"Night (0-5)",B3052&lt;=9,"Morning peak (6-9)",B3052&lt;=15,"Midday (10-15)",B3052&lt;=19,"Evening peak (16-19)",TRUE,"Late evening (20-23)")</f>
        <v>Night (0-5)</v>
      </c>
    </row>
    <row r="3053" spans="1:9">
      <c r="A3053" s="32">
        <v>41857</v>
      </c>
      <c r="B3053">
        <v>3</v>
      </c>
      <c r="C3053">
        <v>270</v>
      </c>
      <c r="D3053" t="s">
        <v>303</v>
      </c>
      <c r="E3053">
        <f>YEAR(A3053)</f>
        <v>2014</v>
      </c>
      <c r="F3053" s="33">
        <f>DATE(YEAR(A3053),MONTH(A3053),1)</f>
        <v>41852.0</v>
      </c>
      <c r="G3053" t="str">
        <f>CHOOSE(WEEKDAY(A3053,2),"Mon","Tue","Wed","Thu","Fri","Sat","Sun")</f>
        <v>Wed</v>
      </c>
      <c r="H3053" t="str">
        <f>IF(WEEKDAY(A3053,2)&gt;5,"Weekend","Weekday")</f>
        <v>Weekday</v>
      </c>
      <c r="I3053" t="str">
        <f>_xlfn.IFS(B3053&lt;=5,"Night (0-5)",B3053&lt;=9,"Morning peak (6-9)",B3053&lt;=15,"Midday (10-15)",B3053&lt;=19,"Evening peak (16-19)",TRUE,"Late evening (20-23)")</f>
        <v>Night (0-5)</v>
      </c>
    </row>
    <row r="3054" spans="1:9">
      <c r="A3054" s="32">
        <v>41857</v>
      </c>
      <c r="B3054">
        <v>4</v>
      </c>
      <c r="C3054">
        <v>412</v>
      </c>
      <c r="D3054" t="s">
        <v>303</v>
      </c>
      <c r="E3054">
        <f>YEAR(A3054)</f>
        <v>2014</v>
      </c>
      <c r="F3054" s="33">
        <f>DATE(YEAR(A3054),MONTH(A3054),1)</f>
        <v>41852.0</v>
      </c>
      <c r="G3054" t="str">
        <f>CHOOSE(WEEKDAY(A3054,2),"Mon","Tue","Wed","Thu","Fri","Sat","Sun")</f>
        <v>Wed</v>
      </c>
      <c r="H3054" t="str">
        <f>IF(WEEKDAY(A3054,2)&gt;5,"Weekend","Weekday")</f>
        <v>Weekday</v>
      </c>
      <c r="I3054" t="str">
        <f>_xlfn.IFS(B3054&lt;=5,"Night (0-5)",B3054&lt;=9,"Morning peak (6-9)",B3054&lt;=15,"Midday (10-15)",B3054&lt;=19,"Evening peak (16-19)",TRUE,"Late evening (20-23)")</f>
        <v>Night (0-5)</v>
      </c>
    </row>
    <row r="3055" spans="1:9">
      <c r="A3055" s="32">
        <v>41857</v>
      </c>
      <c r="B3055">
        <v>5</v>
      </c>
      <c r="C3055">
        <v>709</v>
      </c>
      <c r="D3055" t="s">
        <v>303</v>
      </c>
      <c r="E3055">
        <f>YEAR(A3055)</f>
        <v>2014</v>
      </c>
      <c r="F3055" s="33">
        <f>DATE(YEAR(A3055),MONTH(A3055),1)</f>
        <v>41852.0</v>
      </c>
      <c r="G3055" t="str">
        <f>CHOOSE(WEEKDAY(A3055,2),"Mon","Tue","Wed","Thu","Fri","Sat","Sun")</f>
        <v>Wed</v>
      </c>
      <c r="H3055" t="str">
        <f>IF(WEEKDAY(A3055,2)&gt;5,"Weekend","Weekday")</f>
        <v>Weekday</v>
      </c>
      <c r="I3055" t="str">
        <f>_xlfn.IFS(B3055&lt;=5,"Night (0-5)",B3055&lt;=9,"Morning peak (6-9)",B3055&lt;=15,"Midday (10-15)",B3055&lt;=19,"Evening peak (16-19)",TRUE,"Late evening (20-23)")</f>
        <v>Night (0-5)</v>
      </c>
    </row>
    <row r="3056" spans="1:9">
      <c r="A3056" s="32">
        <v>41857</v>
      </c>
      <c r="B3056">
        <v>6</v>
      </c>
      <c r="C3056">
        <v>1130</v>
      </c>
      <c r="D3056" t="s">
        <v>303</v>
      </c>
      <c r="E3056">
        <f>YEAR(A3056)</f>
        <v>2014</v>
      </c>
      <c r="F3056" s="33">
        <f>DATE(YEAR(A3056),MONTH(A3056),1)</f>
        <v>41852.0</v>
      </c>
      <c r="G3056" t="str">
        <f>CHOOSE(WEEKDAY(A3056,2),"Mon","Tue","Wed","Thu","Fri","Sat","Sun")</f>
        <v>Wed</v>
      </c>
      <c r="H3056" t="str">
        <f>IF(WEEKDAY(A3056,2)&gt;5,"Weekend","Weekday")</f>
        <v>Weekday</v>
      </c>
      <c r="I3056" t="str">
        <f>_xlfn.IFS(B3056&lt;=5,"Night (0-5)",B3056&lt;=9,"Morning peak (6-9)",B3056&lt;=15,"Midday (10-15)",B3056&lt;=19,"Evening peak (16-19)",TRUE,"Late evening (20-23)")</f>
        <v>Morning peak (6-9)</v>
      </c>
    </row>
    <row r="3057" spans="1:9">
      <c r="A3057" s="32">
        <v>41857</v>
      </c>
      <c r="B3057">
        <v>7</v>
      </c>
      <c r="C3057">
        <v>1525</v>
      </c>
      <c r="D3057" t="s">
        <v>303</v>
      </c>
      <c r="E3057">
        <f>YEAR(A3057)</f>
        <v>2014</v>
      </c>
      <c r="F3057" s="33">
        <f>DATE(YEAR(A3057),MONTH(A3057),1)</f>
        <v>41852.0</v>
      </c>
      <c r="G3057" t="str">
        <f>CHOOSE(WEEKDAY(A3057,2),"Mon","Tue","Wed","Thu","Fri","Sat","Sun")</f>
        <v>Wed</v>
      </c>
      <c r="H3057" t="str">
        <f>IF(WEEKDAY(A3057,2)&gt;5,"Weekend","Weekday")</f>
        <v>Weekday</v>
      </c>
      <c r="I3057" t="str">
        <f>_xlfn.IFS(B3057&lt;=5,"Night (0-5)",B3057&lt;=9,"Morning peak (6-9)",B3057&lt;=15,"Midday (10-15)",B3057&lt;=19,"Evening peak (16-19)",TRUE,"Late evening (20-23)")</f>
        <v>Morning peak (6-9)</v>
      </c>
    </row>
    <row r="3058" spans="1:9">
      <c r="A3058" s="32">
        <v>41857</v>
      </c>
      <c r="B3058">
        <v>8</v>
      </c>
      <c r="C3058">
        <v>1461</v>
      </c>
      <c r="D3058" t="s">
        <v>303</v>
      </c>
      <c r="E3058">
        <f>YEAR(A3058)</f>
        <v>2014</v>
      </c>
      <c r="F3058" s="33">
        <f>DATE(YEAR(A3058),MONTH(A3058),1)</f>
        <v>41852.0</v>
      </c>
      <c r="G3058" t="str">
        <f>CHOOSE(WEEKDAY(A3058,2),"Mon","Tue","Wed","Thu","Fri","Sat","Sun")</f>
        <v>Wed</v>
      </c>
      <c r="H3058" t="str">
        <f>IF(WEEKDAY(A3058,2)&gt;5,"Weekend","Weekday")</f>
        <v>Weekday</v>
      </c>
      <c r="I3058" t="str">
        <f>_xlfn.IFS(B3058&lt;=5,"Night (0-5)",B3058&lt;=9,"Morning peak (6-9)",B3058&lt;=15,"Midday (10-15)",B3058&lt;=19,"Evening peak (16-19)",TRUE,"Late evening (20-23)")</f>
        <v>Morning peak (6-9)</v>
      </c>
    </row>
    <row r="3059" spans="1:9">
      <c r="A3059" s="32">
        <v>41857</v>
      </c>
      <c r="B3059">
        <v>9</v>
      </c>
      <c r="C3059">
        <v>1187</v>
      </c>
      <c r="D3059" t="s">
        <v>303</v>
      </c>
      <c r="E3059">
        <f>YEAR(A3059)</f>
        <v>2014</v>
      </c>
      <c r="F3059" s="33">
        <f>DATE(YEAR(A3059),MONTH(A3059),1)</f>
        <v>41852.0</v>
      </c>
      <c r="G3059" t="str">
        <f>CHOOSE(WEEKDAY(A3059,2),"Mon","Tue","Wed","Thu","Fri","Sat","Sun")</f>
        <v>Wed</v>
      </c>
      <c r="H3059" t="str">
        <f>IF(WEEKDAY(A3059,2)&gt;5,"Weekend","Weekday")</f>
        <v>Weekday</v>
      </c>
      <c r="I3059" t="str">
        <f>_xlfn.IFS(B3059&lt;=5,"Night (0-5)",B3059&lt;=9,"Morning peak (6-9)",B3059&lt;=15,"Midday (10-15)",B3059&lt;=19,"Evening peak (16-19)",TRUE,"Late evening (20-23)")</f>
        <v>Morning peak (6-9)</v>
      </c>
    </row>
    <row r="3060" spans="1:9">
      <c r="A3060" s="32">
        <v>41857</v>
      </c>
      <c r="B3060">
        <v>10</v>
      </c>
      <c r="C3060">
        <v>1102</v>
      </c>
      <c r="D3060" t="s">
        <v>303</v>
      </c>
      <c r="E3060">
        <f>YEAR(A3060)</f>
        <v>2014</v>
      </c>
      <c r="F3060" s="33">
        <f>DATE(YEAR(A3060),MONTH(A3060),1)</f>
        <v>41852.0</v>
      </c>
      <c r="G3060" t="str">
        <f>CHOOSE(WEEKDAY(A3060,2),"Mon","Tue","Wed","Thu","Fri","Sat","Sun")</f>
        <v>Wed</v>
      </c>
      <c r="H3060" t="str">
        <f>IF(WEEKDAY(A3060,2)&gt;5,"Weekend","Weekday")</f>
        <v>Weekday</v>
      </c>
      <c r="I3060" t="str">
        <f>_xlfn.IFS(B3060&lt;=5,"Night (0-5)",B3060&lt;=9,"Morning peak (6-9)",B3060&lt;=15,"Midday (10-15)",B3060&lt;=19,"Evening peak (16-19)",TRUE,"Late evening (20-23)")</f>
        <v>Midday (10-15)</v>
      </c>
    </row>
    <row r="3061" spans="1:9">
      <c r="A3061" s="32">
        <v>41857</v>
      </c>
      <c r="B3061">
        <v>11</v>
      </c>
      <c r="C3061">
        <v>1170</v>
      </c>
      <c r="D3061" t="s">
        <v>303</v>
      </c>
      <c r="E3061">
        <f>YEAR(A3061)</f>
        <v>2014</v>
      </c>
      <c r="F3061" s="33">
        <f>DATE(YEAR(A3061),MONTH(A3061),1)</f>
        <v>41852.0</v>
      </c>
      <c r="G3061" t="str">
        <f>CHOOSE(WEEKDAY(A3061,2),"Mon","Tue","Wed","Thu","Fri","Sat","Sun")</f>
        <v>Wed</v>
      </c>
      <c r="H3061" t="str">
        <f>IF(WEEKDAY(A3061,2)&gt;5,"Weekend","Weekday")</f>
        <v>Weekday</v>
      </c>
      <c r="I3061" t="str">
        <f>_xlfn.IFS(B3061&lt;=5,"Night (0-5)",B3061&lt;=9,"Morning peak (6-9)",B3061&lt;=15,"Midday (10-15)",B3061&lt;=19,"Evening peak (16-19)",TRUE,"Late evening (20-23)")</f>
        <v>Midday (10-15)</v>
      </c>
    </row>
    <row r="3062" spans="1:9">
      <c r="A3062" s="32">
        <v>41857</v>
      </c>
      <c r="B3062">
        <v>12</v>
      </c>
      <c r="C3062">
        <v>1142</v>
      </c>
      <c r="D3062" t="s">
        <v>303</v>
      </c>
      <c r="E3062">
        <f>YEAR(A3062)</f>
        <v>2014</v>
      </c>
      <c r="F3062" s="33">
        <f>DATE(YEAR(A3062),MONTH(A3062),1)</f>
        <v>41852.0</v>
      </c>
      <c r="G3062" t="str">
        <f>CHOOSE(WEEKDAY(A3062,2),"Mon","Tue","Wed","Thu","Fri","Sat","Sun")</f>
        <v>Wed</v>
      </c>
      <c r="H3062" t="str">
        <f>IF(WEEKDAY(A3062,2)&gt;5,"Weekend","Weekday")</f>
        <v>Weekday</v>
      </c>
      <c r="I3062" t="str">
        <f>_xlfn.IFS(B3062&lt;=5,"Night (0-5)",B3062&lt;=9,"Morning peak (6-9)",B3062&lt;=15,"Midday (10-15)",B3062&lt;=19,"Evening peak (16-19)",TRUE,"Late evening (20-23)")</f>
        <v>Midday (10-15)</v>
      </c>
    </row>
    <row r="3063" spans="1:9">
      <c r="A3063" s="32">
        <v>41857</v>
      </c>
      <c r="B3063">
        <v>13</v>
      </c>
      <c r="C3063">
        <v>1227</v>
      </c>
      <c r="D3063" t="s">
        <v>303</v>
      </c>
      <c r="E3063">
        <f>YEAR(A3063)</f>
        <v>2014</v>
      </c>
      <c r="F3063" s="33">
        <f>DATE(YEAR(A3063),MONTH(A3063),1)</f>
        <v>41852.0</v>
      </c>
      <c r="G3063" t="str">
        <f>CHOOSE(WEEKDAY(A3063,2),"Mon","Tue","Wed","Thu","Fri","Sat","Sun")</f>
        <v>Wed</v>
      </c>
      <c r="H3063" t="str">
        <f>IF(WEEKDAY(A3063,2)&gt;5,"Weekend","Weekday")</f>
        <v>Weekday</v>
      </c>
      <c r="I3063" t="str">
        <f>_xlfn.IFS(B3063&lt;=5,"Night (0-5)",B3063&lt;=9,"Morning peak (6-9)",B3063&lt;=15,"Midday (10-15)",B3063&lt;=19,"Evening peak (16-19)",TRUE,"Late evening (20-23)")</f>
        <v>Midday (10-15)</v>
      </c>
    </row>
    <row r="3064" spans="1:9">
      <c r="A3064" s="32">
        <v>41857</v>
      </c>
      <c r="B3064">
        <v>14</v>
      </c>
      <c r="C3064">
        <v>1456</v>
      </c>
      <c r="D3064" t="s">
        <v>303</v>
      </c>
      <c r="E3064">
        <f>YEAR(A3064)</f>
        <v>2014</v>
      </c>
      <c r="F3064" s="33">
        <f>DATE(YEAR(A3064),MONTH(A3064),1)</f>
        <v>41852.0</v>
      </c>
      <c r="G3064" t="str">
        <f>CHOOSE(WEEKDAY(A3064,2),"Mon","Tue","Wed","Thu","Fri","Sat","Sun")</f>
        <v>Wed</v>
      </c>
      <c r="H3064" t="str">
        <f>IF(WEEKDAY(A3064,2)&gt;5,"Weekend","Weekday")</f>
        <v>Weekday</v>
      </c>
      <c r="I3064" t="str">
        <f>_xlfn.IFS(B3064&lt;=5,"Night (0-5)",B3064&lt;=9,"Morning peak (6-9)",B3064&lt;=15,"Midday (10-15)",B3064&lt;=19,"Evening peak (16-19)",TRUE,"Late evening (20-23)")</f>
        <v>Midday (10-15)</v>
      </c>
    </row>
    <row r="3065" spans="1:9">
      <c r="A3065" s="32">
        <v>41857</v>
      </c>
      <c r="B3065">
        <v>15</v>
      </c>
      <c r="C3065">
        <v>1770</v>
      </c>
      <c r="D3065" t="s">
        <v>303</v>
      </c>
      <c r="E3065">
        <f>YEAR(A3065)</f>
        <v>2014</v>
      </c>
      <c r="F3065" s="33">
        <f>DATE(YEAR(A3065),MONTH(A3065),1)</f>
        <v>41852.0</v>
      </c>
      <c r="G3065" t="str">
        <f>CHOOSE(WEEKDAY(A3065,2),"Mon","Tue","Wed","Thu","Fri","Sat","Sun")</f>
        <v>Wed</v>
      </c>
      <c r="H3065" t="str">
        <f>IF(WEEKDAY(A3065,2)&gt;5,"Weekend","Weekday")</f>
        <v>Weekday</v>
      </c>
      <c r="I3065" t="str">
        <f>_xlfn.IFS(B3065&lt;=5,"Night (0-5)",B3065&lt;=9,"Morning peak (6-9)",B3065&lt;=15,"Midday (10-15)",B3065&lt;=19,"Evening peak (16-19)",TRUE,"Late evening (20-23)")</f>
        <v>Midday (10-15)</v>
      </c>
    </row>
    <row r="3066" spans="1:9">
      <c r="A3066" s="32">
        <v>41857</v>
      </c>
      <c r="B3066">
        <v>16</v>
      </c>
      <c r="C3066">
        <v>2052</v>
      </c>
      <c r="D3066" t="s">
        <v>303</v>
      </c>
      <c r="E3066">
        <f>YEAR(A3066)</f>
        <v>2014</v>
      </c>
      <c r="F3066" s="33">
        <f>DATE(YEAR(A3066),MONTH(A3066),1)</f>
        <v>41852.0</v>
      </c>
      <c r="G3066" t="str">
        <f>CHOOSE(WEEKDAY(A3066,2),"Mon","Tue","Wed","Thu","Fri","Sat","Sun")</f>
        <v>Wed</v>
      </c>
      <c r="H3066" t="str">
        <f>IF(WEEKDAY(A3066,2)&gt;5,"Weekend","Weekday")</f>
        <v>Weekday</v>
      </c>
      <c r="I3066" t="str">
        <f>_xlfn.IFS(B3066&lt;=5,"Night (0-5)",B3066&lt;=9,"Morning peak (6-9)",B3066&lt;=15,"Midday (10-15)",B3066&lt;=19,"Evening peak (16-19)",TRUE,"Late evening (20-23)")</f>
        <v>Evening peak (16-19)</v>
      </c>
    </row>
    <row r="3067" spans="1:9">
      <c r="A3067" s="32">
        <v>41857</v>
      </c>
      <c r="B3067">
        <v>17</v>
      </c>
      <c r="C3067">
        <v>2365</v>
      </c>
      <c r="D3067" t="s">
        <v>303</v>
      </c>
      <c r="E3067">
        <f>YEAR(A3067)</f>
        <v>2014</v>
      </c>
      <c r="F3067" s="33">
        <f>DATE(YEAR(A3067),MONTH(A3067),1)</f>
        <v>41852.0</v>
      </c>
      <c r="G3067" t="str">
        <f>CHOOSE(WEEKDAY(A3067,2),"Mon","Tue","Wed","Thu","Fri","Sat","Sun")</f>
        <v>Wed</v>
      </c>
      <c r="H3067" t="str">
        <f>IF(WEEKDAY(A3067,2)&gt;5,"Weekend","Weekday")</f>
        <v>Weekday</v>
      </c>
      <c r="I3067" t="str">
        <f>_xlfn.IFS(B3067&lt;=5,"Night (0-5)",B3067&lt;=9,"Morning peak (6-9)",B3067&lt;=15,"Midday (10-15)",B3067&lt;=19,"Evening peak (16-19)",TRUE,"Late evening (20-23)")</f>
        <v>Evening peak (16-19)</v>
      </c>
    </row>
    <row r="3068" spans="1:9">
      <c r="A3068" s="32">
        <v>41857</v>
      </c>
      <c r="B3068">
        <v>18</v>
      </c>
      <c r="C3068">
        <v>2164</v>
      </c>
      <c r="D3068" t="s">
        <v>303</v>
      </c>
      <c r="E3068">
        <f>YEAR(A3068)</f>
        <v>2014</v>
      </c>
      <c r="F3068" s="33">
        <f>DATE(YEAR(A3068),MONTH(A3068),1)</f>
        <v>41852.0</v>
      </c>
      <c r="G3068" t="str">
        <f>CHOOSE(WEEKDAY(A3068,2),"Mon","Tue","Wed","Thu","Fri","Sat","Sun")</f>
        <v>Wed</v>
      </c>
      <c r="H3068" t="str">
        <f>IF(WEEKDAY(A3068,2)&gt;5,"Weekend","Weekday")</f>
        <v>Weekday</v>
      </c>
      <c r="I3068" t="str">
        <f>_xlfn.IFS(B3068&lt;=5,"Night (0-5)",B3068&lt;=9,"Morning peak (6-9)",B3068&lt;=15,"Midday (10-15)",B3068&lt;=19,"Evening peak (16-19)",TRUE,"Late evening (20-23)")</f>
        <v>Evening peak (16-19)</v>
      </c>
    </row>
    <row r="3069" spans="1:9">
      <c r="A3069" s="32">
        <v>41857</v>
      </c>
      <c r="B3069">
        <v>19</v>
      </c>
      <c r="C3069">
        <v>2054</v>
      </c>
      <c r="D3069" t="s">
        <v>303</v>
      </c>
      <c r="E3069">
        <f>YEAR(A3069)</f>
        <v>2014</v>
      </c>
      <c r="F3069" s="33">
        <f>DATE(YEAR(A3069),MONTH(A3069),1)</f>
        <v>41852.0</v>
      </c>
      <c r="G3069" t="str">
        <f>CHOOSE(WEEKDAY(A3069,2),"Mon","Tue","Wed","Thu","Fri","Sat","Sun")</f>
        <v>Wed</v>
      </c>
      <c r="H3069" t="str">
        <f>IF(WEEKDAY(A3069,2)&gt;5,"Weekend","Weekday")</f>
        <v>Weekday</v>
      </c>
      <c r="I3069" t="str">
        <f>_xlfn.IFS(B3069&lt;=5,"Night (0-5)",B3069&lt;=9,"Morning peak (6-9)",B3069&lt;=15,"Midday (10-15)",B3069&lt;=19,"Evening peak (16-19)",TRUE,"Late evening (20-23)")</f>
        <v>Evening peak (16-19)</v>
      </c>
    </row>
    <row r="3070" spans="1:9">
      <c r="A3070" s="32">
        <v>41857</v>
      </c>
      <c r="B3070">
        <v>20</v>
      </c>
      <c r="C3070">
        <v>2098</v>
      </c>
      <c r="D3070" t="s">
        <v>303</v>
      </c>
      <c r="E3070">
        <f>YEAR(A3070)</f>
        <v>2014</v>
      </c>
      <c r="F3070" s="33">
        <f>DATE(YEAR(A3070),MONTH(A3070),1)</f>
        <v>41852.0</v>
      </c>
      <c r="G3070" t="str">
        <f>CHOOSE(WEEKDAY(A3070,2),"Mon","Tue","Wed","Thu","Fri","Sat","Sun")</f>
        <v>Wed</v>
      </c>
      <c r="H3070" t="str">
        <f>IF(WEEKDAY(A3070,2)&gt;5,"Weekend","Weekday")</f>
        <v>Weekday</v>
      </c>
      <c r="I3070" t="str">
        <f>_xlfn.IFS(B3070&lt;=5,"Night (0-5)",B3070&lt;=9,"Morning peak (6-9)",B3070&lt;=15,"Midday (10-15)",B3070&lt;=19,"Evening peak (16-19)",TRUE,"Late evening (20-23)")</f>
        <v>Late evening (20-23)</v>
      </c>
    </row>
    <row r="3071" spans="1:9">
      <c r="A3071" s="32">
        <v>41857</v>
      </c>
      <c r="B3071">
        <v>21</v>
      </c>
      <c r="C3071">
        <v>2006</v>
      </c>
      <c r="D3071" t="s">
        <v>303</v>
      </c>
      <c r="E3071">
        <f>YEAR(A3071)</f>
        <v>2014</v>
      </c>
      <c r="F3071" s="33">
        <f>DATE(YEAR(A3071),MONTH(A3071),1)</f>
        <v>41852.0</v>
      </c>
      <c r="G3071" t="str">
        <f>CHOOSE(WEEKDAY(A3071,2),"Mon","Tue","Wed","Thu","Fri","Sat","Sun")</f>
        <v>Wed</v>
      </c>
      <c r="H3071" t="str">
        <f>IF(WEEKDAY(A3071,2)&gt;5,"Weekend","Weekday")</f>
        <v>Weekday</v>
      </c>
      <c r="I3071" t="str">
        <f>_xlfn.IFS(B3071&lt;=5,"Night (0-5)",B3071&lt;=9,"Morning peak (6-9)",B3071&lt;=15,"Midday (10-15)",B3071&lt;=19,"Evening peak (16-19)",TRUE,"Late evening (20-23)")</f>
        <v>Late evening (20-23)</v>
      </c>
    </row>
    <row r="3072" spans="1:9">
      <c r="A3072" s="32">
        <v>41857</v>
      </c>
      <c r="B3072">
        <v>22</v>
      </c>
      <c r="C3072">
        <v>1547</v>
      </c>
      <c r="D3072" t="s">
        <v>303</v>
      </c>
      <c r="E3072">
        <f>YEAR(A3072)</f>
        <v>2014</v>
      </c>
      <c r="F3072" s="33">
        <f>DATE(YEAR(A3072),MONTH(A3072),1)</f>
        <v>41852.0</v>
      </c>
      <c r="G3072" t="str">
        <f>CHOOSE(WEEKDAY(A3072,2),"Mon","Tue","Wed","Thu","Fri","Sat","Sun")</f>
        <v>Wed</v>
      </c>
      <c r="H3072" t="str">
        <f>IF(WEEKDAY(A3072,2)&gt;5,"Weekend","Weekday")</f>
        <v>Weekday</v>
      </c>
      <c r="I3072" t="str">
        <f>_xlfn.IFS(B3072&lt;=5,"Night (0-5)",B3072&lt;=9,"Morning peak (6-9)",B3072&lt;=15,"Midday (10-15)",B3072&lt;=19,"Evening peak (16-19)",TRUE,"Late evening (20-23)")</f>
        <v>Late evening (20-23)</v>
      </c>
    </row>
    <row r="3073" spans="1:9">
      <c r="A3073" s="32">
        <v>41857</v>
      </c>
      <c r="B3073">
        <v>23</v>
      </c>
      <c r="C3073">
        <v>869</v>
      </c>
      <c r="D3073" t="s">
        <v>303</v>
      </c>
      <c r="E3073">
        <f>YEAR(A3073)</f>
        <v>2014</v>
      </c>
      <c r="F3073" s="33">
        <f>DATE(YEAR(A3073),MONTH(A3073),1)</f>
        <v>41852.0</v>
      </c>
      <c r="G3073" t="str">
        <f>CHOOSE(WEEKDAY(A3073,2),"Mon","Tue","Wed","Thu","Fri","Sat","Sun")</f>
        <v>Wed</v>
      </c>
      <c r="H3073" t="str">
        <f>IF(WEEKDAY(A3073,2)&gt;5,"Weekend","Weekday")</f>
        <v>Weekday</v>
      </c>
      <c r="I3073" t="str">
        <f>_xlfn.IFS(B3073&lt;=5,"Night (0-5)",B3073&lt;=9,"Morning peak (6-9)",B3073&lt;=15,"Midday (10-15)",B3073&lt;=19,"Evening peak (16-19)",TRUE,"Late evening (20-23)")</f>
        <v>Late evening (20-23)</v>
      </c>
    </row>
    <row r="3074" spans="1:9">
      <c r="A3074" s="32">
        <v>41858</v>
      </c>
      <c r="B3074">
        <v>0</v>
      </c>
      <c r="C3074">
        <v>476</v>
      </c>
      <c r="D3074" t="s">
        <v>303</v>
      </c>
      <c r="E3074">
        <f>YEAR(A3074)</f>
        <v>2014</v>
      </c>
      <c r="F3074" s="33">
        <f>DATE(YEAR(A3074),MONTH(A3074),1)</f>
        <v>41852.0</v>
      </c>
      <c r="G3074" t="str">
        <f>CHOOSE(WEEKDAY(A3074,2),"Mon","Tue","Wed","Thu","Fri","Sat","Sun")</f>
        <v>Thu</v>
      </c>
      <c r="H3074" t="str">
        <f>IF(WEEKDAY(A3074,2)&gt;5,"Weekend","Weekday")</f>
        <v>Weekday</v>
      </c>
      <c r="I3074" t="str">
        <f>_xlfn.IFS(B3074&lt;=5,"Night (0-5)",B3074&lt;=9,"Morning peak (6-9)",B3074&lt;=15,"Midday (10-15)",B3074&lt;=19,"Evening peak (16-19)",TRUE,"Late evening (20-23)")</f>
        <v>Night (0-5)</v>
      </c>
    </row>
    <row r="3075" spans="1:9">
      <c r="A3075" s="32">
        <v>41858</v>
      </c>
      <c r="B3075">
        <v>1</v>
      </c>
      <c r="C3075">
        <v>269</v>
      </c>
      <c r="D3075" t="s">
        <v>303</v>
      </c>
      <c r="E3075">
        <f>YEAR(A3075)</f>
        <v>2014</v>
      </c>
      <c r="F3075" s="33">
        <f>DATE(YEAR(A3075),MONTH(A3075),1)</f>
        <v>41852.0</v>
      </c>
      <c r="G3075" t="str">
        <f>CHOOSE(WEEKDAY(A3075,2),"Mon","Tue","Wed","Thu","Fri","Sat","Sun")</f>
        <v>Thu</v>
      </c>
      <c r="H3075" t="str">
        <f>IF(WEEKDAY(A3075,2)&gt;5,"Weekend","Weekday")</f>
        <v>Weekday</v>
      </c>
      <c r="I3075" t="str">
        <f>_xlfn.IFS(B3075&lt;=5,"Night (0-5)",B3075&lt;=9,"Morning peak (6-9)",B3075&lt;=15,"Midday (10-15)",B3075&lt;=19,"Evening peak (16-19)",TRUE,"Late evening (20-23)")</f>
        <v>Night (0-5)</v>
      </c>
    </row>
    <row r="3076" spans="1:9">
      <c r="A3076" s="32">
        <v>41858</v>
      </c>
      <c r="B3076">
        <v>2</v>
      </c>
      <c r="C3076">
        <v>190</v>
      </c>
      <c r="D3076" t="s">
        <v>303</v>
      </c>
      <c r="E3076">
        <f>YEAR(A3076)</f>
        <v>2014</v>
      </c>
      <c r="F3076" s="33">
        <f>DATE(YEAR(A3076),MONTH(A3076),1)</f>
        <v>41852.0</v>
      </c>
      <c r="G3076" t="str">
        <f>CHOOSE(WEEKDAY(A3076,2),"Mon","Tue","Wed","Thu","Fri","Sat","Sun")</f>
        <v>Thu</v>
      </c>
      <c r="H3076" t="str">
        <f>IF(WEEKDAY(A3076,2)&gt;5,"Weekend","Weekday")</f>
        <v>Weekday</v>
      </c>
      <c r="I3076" t="str">
        <f>_xlfn.IFS(B3076&lt;=5,"Night (0-5)",B3076&lt;=9,"Morning peak (6-9)",B3076&lt;=15,"Midday (10-15)",B3076&lt;=19,"Evening peak (16-19)",TRUE,"Late evening (20-23)")</f>
        <v>Night (0-5)</v>
      </c>
    </row>
    <row r="3077" spans="1:9">
      <c r="A3077" s="32">
        <v>41858</v>
      </c>
      <c r="B3077">
        <v>3</v>
      </c>
      <c r="C3077">
        <v>293</v>
      </c>
      <c r="D3077" t="s">
        <v>303</v>
      </c>
      <c r="E3077">
        <f>YEAR(A3077)</f>
        <v>2014</v>
      </c>
      <c r="F3077" s="33">
        <f>DATE(YEAR(A3077),MONTH(A3077),1)</f>
        <v>41852.0</v>
      </c>
      <c r="G3077" t="str">
        <f>CHOOSE(WEEKDAY(A3077,2),"Mon","Tue","Wed","Thu","Fri","Sat","Sun")</f>
        <v>Thu</v>
      </c>
      <c r="H3077" t="str">
        <f>IF(WEEKDAY(A3077,2)&gt;5,"Weekend","Weekday")</f>
        <v>Weekday</v>
      </c>
      <c r="I3077" t="str">
        <f>_xlfn.IFS(B3077&lt;=5,"Night (0-5)",B3077&lt;=9,"Morning peak (6-9)",B3077&lt;=15,"Midday (10-15)",B3077&lt;=19,"Evening peak (16-19)",TRUE,"Late evening (20-23)")</f>
        <v>Night (0-5)</v>
      </c>
    </row>
    <row r="3078" spans="1:9">
      <c r="A3078" s="32">
        <v>41858</v>
      </c>
      <c r="B3078">
        <v>4</v>
      </c>
      <c r="C3078">
        <v>440</v>
      </c>
      <c r="D3078" t="s">
        <v>303</v>
      </c>
      <c r="E3078">
        <f>YEAR(A3078)</f>
        <v>2014</v>
      </c>
      <c r="F3078" s="33">
        <f>DATE(YEAR(A3078),MONTH(A3078),1)</f>
        <v>41852.0</v>
      </c>
      <c r="G3078" t="str">
        <f>CHOOSE(WEEKDAY(A3078,2),"Mon","Tue","Wed","Thu","Fri","Sat","Sun")</f>
        <v>Thu</v>
      </c>
      <c r="H3078" t="str">
        <f>IF(WEEKDAY(A3078,2)&gt;5,"Weekend","Weekday")</f>
        <v>Weekday</v>
      </c>
      <c r="I3078" t="str">
        <f>_xlfn.IFS(B3078&lt;=5,"Night (0-5)",B3078&lt;=9,"Morning peak (6-9)",B3078&lt;=15,"Midday (10-15)",B3078&lt;=19,"Evening peak (16-19)",TRUE,"Late evening (20-23)")</f>
        <v>Night (0-5)</v>
      </c>
    </row>
    <row r="3079" spans="1:9">
      <c r="A3079" s="32">
        <v>41858</v>
      </c>
      <c r="B3079">
        <v>5</v>
      </c>
      <c r="C3079">
        <v>684</v>
      </c>
      <c r="D3079" t="s">
        <v>303</v>
      </c>
      <c r="E3079">
        <f>YEAR(A3079)</f>
        <v>2014</v>
      </c>
      <c r="F3079" s="33">
        <f>DATE(YEAR(A3079),MONTH(A3079),1)</f>
        <v>41852.0</v>
      </c>
      <c r="G3079" t="str">
        <f>CHOOSE(WEEKDAY(A3079,2),"Mon","Tue","Wed","Thu","Fri","Sat","Sun")</f>
        <v>Thu</v>
      </c>
      <c r="H3079" t="str">
        <f>IF(WEEKDAY(A3079,2)&gt;5,"Weekend","Weekday")</f>
        <v>Weekday</v>
      </c>
      <c r="I3079" t="str">
        <f>_xlfn.IFS(B3079&lt;=5,"Night (0-5)",B3079&lt;=9,"Morning peak (6-9)",B3079&lt;=15,"Midday (10-15)",B3079&lt;=19,"Evening peak (16-19)",TRUE,"Late evening (20-23)")</f>
        <v>Night (0-5)</v>
      </c>
    </row>
    <row r="3080" spans="1:9">
      <c r="A3080" s="32">
        <v>41858</v>
      </c>
      <c r="B3080">
        <v>6</v>
      </c>
      <c r="C3080">
        <v>1055</v>
      </c>
      <c r="D3080" t="s">
        <v>303</v>
      </c>
      <c r="E3080">
        <f>YEAR(A3080)</f>
        <v>2014</v>
      </c>
      <c r="F3080" s="33">
        <f>DATE(YEAR(A3080),MONTH(A3080),1)</f>
        <v>41852.0</v>
      </c>
      <c r="G3080" t="str">
        <f>CHOOSE(WEEKDAY(A3080,2),"Mon","Tue","Wed","Thu","Fri","Sat","Sun")</f>
        <v>Thu</v>
      </c>
      <c r="H3080" t="str">
        <f>IF(WEEKDAY(A3080,2)&gt;5,"Weekend","Weekday")</f>
        <v>Weekday</v>
      </c>
      <c r="I3080" t="str">
        <f>_xlfn.IFS(B3080&lt;=5,"Night (0-5)",B3080&lt;=9,"Morning peak (6-9)",B3080&lt;=15,"Midday (10-15)",B3080&lt;=19,"Evening peak (16-19)",TRUE,"Late evening (20-23)")</f>
        <v>Morning peak (6-9)</v>
      </c>
    </row>
    <row r="3081" spans="1:9">
      <c r="A3081" s="32">
        <v>41858</v>
      </c>
      <c r="B3081">
        <v>7</v>
      </c>
      <c r="C3081">
        <v>1426</v>
      </c>
      <c r="D3081" t="s">
        <v>303</v>
      </c>
      <c r="E3081">
        <f>YEAR(A3081)</f>
        <v>2014</v>
      </c>
      <c r="F3081" s="33">
        <f>DATE(YEAR(A3081),MONTH(A3081),1)</f>
        <v>41852.0</v>
      </c>
      <c r="G3081" t="str">
        <f>CHOOSE(WEEKDAY(A3081,2),"Mon","Tue","Wed","Thu","Fri","Sat","Sun")</f>
        <v>Thu</v>
      </c>
      <c r="H3081" t="str">
        <f>IF(WEEKDAY(A3081,2)&gt;5,"Weekend","Weekday")</f>
        <v>Weekday</v>
      </c>
      <c r="I3081" t="str">
        <f>_xlfn.IFS(B3081&lt;=5,"Night (0-5)",B3081&lt;=9,"Morning peak (6-9)",B3081&lt;=15,"Midday (10-15)",B3081&lt;=19,"Evening peak (16-19)",TRUE,"Late evening (20-23)")</f>
        <v>Morning peak (6-9)</v>
      </c>
    </row>
    <row r="3082" spans="1:9">
      <c r="A3082" s="32">
        <v>41858</v>
      </c>
      <c r="B3082">
        <v>8</v>
      </c>
      <c r="C3082">
        <v>1448</v>
      </c>
      <c r="D3082" t="s">
        <v>303</v>
      </c>
      <c r="E3082">
        <f>YEAR(A3082)</f>
        <v>2014</v>
      </c>
      <c r="F3082" s="33">
        <f>DATE(YEAR(A3082),MONTH(A3082),1)</f>
        <v>41852.0</v>
      </c>
      <c r="G3082" t="str">
        <f>CHOOSE(WEEKDAY(A3082,2),"Mon","Tue","Wed","Thu","Fri","Sat","Sun")</f>
        <v>Thu</v>
      </c>
      <c r="H3082" t="str">
        <f>IF(WEEKDAY(A3082,2)&gt;5,"Weekend","Weekday")</f>
        <v>Weekday</v>
      </c>
      <c r="I3082" t="str">
        <f>_xlfn.IFS(B3082&lt;=5,"Night (0-5)",B3082&lt;=9,"Morning peak (6-9)",B3082&lt;=15,"Midday (10-15)",B3082&lt;=19,"Evening peak (16-19)",TRUE,"Late evening (20-23)")</f>
        <v>Morning peak (6-9)</v>
      </c>
    </row>
    <row r="3083" spans="1:9">
      <c r="A3083" s="32">
        <v>41858</v>
      </c>
      <c r="B3083">
        <v>9</v>
      </c>
      <c r="C3083">
        <v>1156</v>
      </c>
      <c r="D3083" t="s">
        <v>303</v>
      </c>
      <c r="E3083">
        <f>YEAR(A3083)</f>
        <v>2014</v>
      </c>
      <c r="F3083" s="33">
        <f>DATE(YEAR(A3083),MONTH(A3083),1)</f>
        <v>41852.0</v>
      </c>
      <c r="G3083" t="str">
        <f>CHOOSE(WEEKDAY(A3083,2),"Mon","Tue","Wed","Thu","Fri","Sat","Sun")</f>
        <v>Thu</v>
      </c>
      <c r="H3083" t="str">
        <f>IF(WEEKDAY(A3083,2)&gt;5,"Weekend","Weekday")</f>
        <v>Weekday</v>
      </c>
      <c r="I3083" t="str">
        <f>_xlfn.IFS(B3083&lt;=5,"Night (0-5)",B3083&lt;=9,"Morning peak (6-9)",B3083&lt;=15,"Midday (10-15)",B3083&lt;=19,"Evening peak (16-19)",TRUE,"Late evening (20-23)")</f>
        <v>Morning peak (6-9)</v>
      </c>
    </row>
    <row r="3084" spans="1:9">
      <c r="A3084" s="32">
        <v>41858</v>
      </c>
      <c r="B3084">
        <v>10</v>
      </c>
      <c r="C3084">
        <v>1151</v>
      </c>
      <c r="D3084" t="s">
        <v>303</v>
      </c>
      <c r="E3084">
        <f>YEAR(A3084)</f>
        <v>2014</v>
      </c>
      <c r="F3084" s="33">
        <f>DATE(YEAR(A3084),MONTH(A3084),1)</f>
        <v>41852.0</v>
      </c>
      <c r="G3084" t="str">
        <f>CHOOSE(WEEKDAY(A3084,2),"Mon","Tue","Wed","Thu","Fri","Sat","Sun")</f>
        <v>Thu</v>
      </c>
      <c r="H3084" t="str">
        <f>IF(WEEKDAY(A3084,2)&gt;5,"Weekend","Weekday")</f>
        <v>Weekday</v>
      </c>
      <c r="I3084" t="str">
        <f>_xlfn.IFS(B3084&lt;=5,"Night (0-5)",B3084&lt;=9,"Morning peak (6-9)",B3084&lt;=15,"Midday (10-15)",B3084&lt;=19,"Evening peak (16-19)",TRUE,"Late evening (20-23)")</f>
        <v>Midday (10-15)</v>
      </c>
    </row>
    <row r="3085" spans="1:9">
      <c r="A3085" s="32">
        <v>41858</v>
      </c>
      <c r="B3085">
        <v>11</v>
      </c>
      <c r="C3085">
        <v>1227</v>
      </c>
      <c r="D3085" t="s">
        <v>303</v>
      </c>
      <c r="E3085">
        <f>YEAR(A3085)</f>
        <v>2014</v>
      </c>
      <c r="F3085" s="33">
        <f>DATE(YEAR(A3085),MONTH(A3085),1)</f>
        <v>41852.0</v>
      </c>
      <c r="G3085" t="str">
        <f>CHOOSE(WEEKDAY(A3085,2),"Mon","Tue","Wed","Thu","Fri","Sat","Sun")</f>
        <v>Thu</v>
      </c>
      <c r="H3085" t="str">
        <f>IF(WEEKDAY(A3085,2)&gt;5,"Weekend","Weekday")</f>
        <v>Weekday</v>
      </c>
      <c r="I3085" t="str">
        <f>_xlfn.IFS(B3085&lt;=5,"Night (0-5)",B3085&lt;=9,"Morning peak (6-9)",B3085&lt;=15,"Midday (10-15)",B3085&lt;=19,"Evening peak (16-19)",TRUE,"Late evening (20-23)")</f>
        <v>Midday (10-15)</v>
      </c>
    </row>
    <row r="3086" spans="1:9">
      <c r="A3086" s="32">
        <v>41858</v>
      </c>
      <c r="B3086">
        <v>12</v>
      </c>
      <c r="C3086">
        <v>1157</v>
      </c>
      <c r="D3086" t="s">
        <v>303</v>
      </c>
      <c r="E3086">
        <f>YEAR(A3086)</f>
        <v>2014</v>
      </c>
      <c r="F3086" s="33">
        <f>DATE(YEAR(A3086),MONTH(A3086),1)</f>
        <v>41852.0</v>
      </c>
      <c r="G3086" t="str">
        <f>CHOOSE(WEEKDAY(A3086,2),"Mon","Tue","Wed","Thu","Fri","Sat","Sun")</f>
        <v>Thu</v>
      </c>
      <c r="H3086" t="str">
        <f>IF(WEEKDAY(A3086,2)&gt;5,"Weekend","Weekday")</f>
        <v>Weekday</v>
      </c>
      <c r="I3086" t="str">
        <f>_xlfn.IFS(B3086&lt;=5,"Night (0-5)",B3086&lt;=9,"Morning peak (6-9)",B3086&lt;=15,"Midday (10-15)",B3086&lt;=19,"Evening peak (16-19)",TRUE,"Late evening (20-23)")</f>
        <v>Midday (10-15)</v>
      </c>
    </row>
    <row r="3087" spans="1:9">
      <c r="A3087" s="32">
        <v>41858</v>
      </c>
      <c r="B3087">
        <v>13</v>
      </c>
      <c r="C3087">
        <v>1279</v>
      </c>
      <c r="D3087" t="s">
        <v>303</v>
      </c>
      <c r="E3087">
        <f>YEAR(A3087)</f>
        <v>2014</v>
      </c>
      <c r="F3087" s="33">
        <f>DATE(YEAR(A3087),MONTH(A3087),1)</f>
        <v>41852.0</v>
      </c>
      <c r="G3087" t="str">
        <f>CHOOSE(WEEKDAY(A3087,2),"Mon","Tue","Wed","Thu","Fri","Sat","Sun")</f>
        <v>Thu</v>
      </c>
      <c r="H3087" t="str">
        <f>IF(WEEKDAY(A3087,2)&gt;5,"Weekend","Weekday")</f>
        <v>Weekday</v>
      </c>
      <c r="I3087" t="str">
        <f>_xlfn.IFS(B3087&lt;=5,"Night (0-5)",B3087&lt;=9,"Morning peak (6-9)",B3087&lt;=15,"Midday (10-15)",B3087&lt;=19,"Evening peak (16-19)",TRUE,"Late evening (20-23)")</f>
        <v>Midday (10-15)</v>
      </c>
    </row>
    <row r="3088" spans="1:9">
      <c r="A3088" s="32">
        <v>41858</v>
      </c>
      <c r="B3088">
        <v>14</v>
      </c>
      <c r="C3088">
        <v>1554</v>
      </c>
      <c r="D3088" t="s">
        <v>303</v>
      </c>
      <c r="E3088">
        <f>YEAR(A3088)</f>
        <v>2014</v>
      </c>
      <c r="F3088" s="33">
        <f>DATE(YEAR(A3088),MONTH(A3088),1)</f>
        <v>41852.0</v>
      </c>
      <c r="G3088" t="str">
        <f>CHOOSE(WEEKDAY(A3088,2),"Mon","Tue","Wed","Thu","Fri","Sat","Sun")</f>
        <v>Thu</v>
      </c>
      <c r="H3088" t="str">
        <f>IF(WEEKDAY(A3088,2)&gt;5,"Weekend","Weekday")</f>
        <v>Weekday</v>
      </c>
      <c r="I3088" t="str">
        <f>_xlfn.IFS(B3088&lt;=5,"Night (0-5)",B3088&lt;=9,"Morning peak (6-9)",B3088&lt;=15,"Midday (10-15)",B3088&lt;=19,"Evening peak (16-19)",TRUE,"Late evening (20-23)")</f>
        <v>Midday (10-15)</v>
      </c>
    </row>
    <row r="3089" spans="1:9">
      <c r="A3089" s="32">
        <v>41858</v>
      </c>
      <c r="B3089">
        <v>15</v>
      </c>
      <c r="C3089">
        <v>1827</v>
      </c>
      <c r="D3089" t="s">
        <v>303</v>
      </c>
      <c r="E3089">
        <f>YEAR(A3089)</f>
        <v>2014</v>
      </c>
      <c r="F3089" s="33">
        <f>DATE(YEAR(A3089),MONTH(A3089),1)</f>
        <v>41852.0</v>
      </c>
      <c r="G3089" t="str">
        <f>CHOOSE(WEEKDAY(A3089,2),"Mon","Tue","Wed","Thu","Fri","Sat","Sun")</f>
        <v>Thu</v>
      </c>
      <c r="H3089" t="str">
        <f>IF(WEEKDAY(A3089,2)&gt;5,"Weekend","Weekday")</f>
        <v>Weekday</v>
      </c>
      <c r="I3089" t="str">
        <f>_xlfn.IFS(B3089&lt;=5,"Night (0-5)",B3089&lt;=9,"Morning peak (6-9)",B3089&lt;=15,"Midday (10-15)",B3089&lt;=19,"Evening peak (16-19)",TRUE,"Late evening (20-23)")</f>
        <v>Midday (10-15)</v>
      </c>
    </row>
    <row r="3090" spans="1:9">
      <c r="A3090" s="32">
        <v>41858</v>
      </c>
      <c r="B3090">
        <v>16</v>
      </c>
      <c r="C3090">
        <v>2134</v>
      </c>
      <c r="D3090" t="s">
        <v>303</v>
      </c>
      <c r="E3090">
        <f>YEAR(A3090)</f>
        <v>2014</v>
      </c>
      <c r="F3090" s="33">
        <f>DATE(YEAR(A3090),MONTH(A3090),1)</f>
        <v>41852.0</v>
      </c>
      <c r="G3090" t="str">
        <f>CHOOSE(WEEKDAY(A3090,2),"Mon","Tue","Wed","Thu","Fri","Sat","Sun")</f>
        <v>Thu</v>
      </c>
      <c r="H3090" t="str">
        <f>IF(WEEKDAY(A3090,2)&gt;5,"Weekend","Weekday")</f>
        <v>Weekday</v>
      </c>
      <c r="I3090" t="str">
        <f>_xlfn.IFS(B3090&lt;=5,"Night (0-5)",B3090&lt;=9,"Morning peak (6-9)",B3090&lt;=15,"Midday (10-15)",B3090&lt;=19,"Evening peak (16-19)",TRUE,"Late evening (20-23)")</f>
        <v>Evening peak (16-19)</v>
      </c>
    </row>
    <row r="3091" spans="1:9">
      <c r="A3091" s="32">
        <v>41858</v>
      </c>
      <c r="B3091">
        <v>17</v>
      </c>
      <c r="C3091">
        <v>2407</v>
      </c>
      <c r="D3091" t="s">
        <v>303</v>
      </c>
      <c r="E3091">
        <f>YEAR(A3091)</f>
        <v>2014</v>
      </c>
      <c r="F3091" s="33">
        <f>DATE(YEAR(A3091),MONTH(A3091),1)</f>
        <v>41852.0</v>
      </c>
      <c r="G3091" t="str">
        <f>CHOOSE(WEEKDAY(A3091,2),"Mon","Tue","Wed","Thu","Fri","Sat","Sun")</f>
        <v>Thu</v>
      </c>
      <c r="H3091" t="str">
        <f>IF(WEEKDAY(A3091,2)&gt;5,"Weekend","Weekday")</f>
        <v>Weekday</v>
      </c>
      <c r="I3091" t="str">
        <f>_xlfn.IFS(B3091&lt;=5,"Night (0-5)",B3091&lt;=9,"Morning peak (6-9)",B3091&lt;=15,"Midday (10-15)",B3091&lt;=19,"Evening peak (16-19)",TRUE,"Late evening (20-23)")</f>
        <v>Evening peak (16-19)</v>
      </c>
    </row>
    <row r="3092" spans="1:9">
      <c r="A3092" s="32">
        <v>41858</v>
      </c>
      <c r="B3092">
        <v>18</v>
      </c>
      <c r="C3092">
        <v>2429</v>
      </c>
      <c r="D3092" t="s">
        <v>303</v>
      </c>
      <c r="E3092">
        <f>YEAR(A3092)</f>
        <v>2014</v>
      </c>
      <c r="F3092" s="33">
        <f>DATE(YEAR(A3092),MONTH(A3092),1)</f>
        <v>41852.0</v>
      </c>
      <c r="G3092" t="str">
        <f>CHOOSE(WEEKDAY(A3092,2),"Mon","Tue","Wed","Thu","Fri","Sat","Sun")</f>
        <v>Thu</v>
      </c>
      <c r="H3092" t="str">
        <f>IF(WEEKDAY(A3092,2)&gt;5,"Weekend","Weekday")</f>
        <v>Weekday</v>
      </c>
      <c r="I3092" t="str">
        <f>_xlfn.IFS(B3092&lt;=5,"Night (0-5)",B3092&lt;=9,"Morning peak (6-9)",B3092&lt;=15,"Midday (10-15)",B3092&lt;=19,"Evening peak (16-19)",TRUE,"Late evening (20-23)")</f>
        <v>Evening peak (16-19)</v>
      </c>
    </row>
    <row r="3093" spans="1:9">
      <c r="A3093" s="32">
        <v>41858</v>
      </c>
      <c r="B3093">
        <v>19</v>
      </c>
      <c r="C3093">
        <v>2242</v>
      </c>
      <c r="D3093" t="s">
        <v>303</v>
      </c>
      <c r="E3093">
        <f>YEAR(A3093)</f>
        <v>2014</v>
      </c>
      <c r="F3093" s="33">
        <f>DATE(YEAR(A3093),MONTH(A3093),1)</f>
        <v>41852.0</v>
      </c>
      <c r="G3093" t="str">
        <f>CHOOSE(WEEKDAY(A3093,2),"Mon","Tue","Wed","Thu","Fri","Sat","Sun")</f>
        <v>Thu</v>
      </c>
      <c r="H3093" t="str">
        <f>IF(WEEKDAY(A3093,2)&gt;5,"Weekend","Weekday")</f>
        <v>Weekday</v>
      </c>
      <c r="I3093" t="str">
        <f>_xlfn.IFS(B3093&lt;=5,"Night (0-5)",B3093&lt;=9,"Morning peak (6-9)",B3093&lt;=15,"Midday (10-15)",B3093&lt;=19,"Evening peak (16-19)",TRUE,"Late evening (20-23)")</f>
        <v>Evening peak (16-19)</v>
      </c>
    </row>
    <row r="3094" spans="1:9">
      <c r="A3094" s="32">
        <v>41858</v>
      </c>
      <c r="B3094">
        <v>20</v>
      </c>
      <c r="C3094">
        <v>2305</v>
      </c>
      <c r="D3094" t="s">
        <v>303</v>
      </c>
      <c r="E3094">
        <f>YEAR(A3094)</f>
        <v>2014</v>
      </c>
      <c r="F3094" s="33">
        <f>DATE(YEAR(A3094),MONTH(A3094),1)</f>
        <v>41852.0</v>
      </c>
      <c r="G3094" t="str">
        <f>CHOOSE(WEEKDAY(A3094,2),"Mon","Tue","Wed","Thu","Fri","Sat","Sun")</f>
        <v>Thu</v>
      </c>
      <c r="H3094" t="str">
        <f>IF(WEEKDAY(A3094,2)&gt;5,"Weekend","Weekday")</f>
        <v>Weekday</v>
      </c>
      <c r="I3094" t="str">
        <f>_xlfn.IFS(B3094&lt;=5,"Night (0-5)",B3094&lt;=9,"Morning peak (6-9)",B3094&lt;=15,"Midday (10-15)",B3094&lt;=19,"Evening peak (16-19)",TRUE,"Late evening (20-23)")</f>
        <v>Late evening (20-23)</v>
      </c>
    </row>
    <row r="3095" spans="1:9">
      <c r="A3095" s="32">
        <v>41858</v>
      </c>
      <c r="B3095">
        <v>21</v>
      </c>
      <c r="C3095">
        <v>2262</v>
      </c>
      <c r="D3095" t="s">
        <v>303</v>
      </c>
      <c r="E3095">
        <f>YEAR(A3095)</f>
        <v>2014</v>
      </c>
      <c r="F3095" s="33">
        <f>DATE(YEAR(A3095),MONTH(A3095),1)</f>
        <v>41852.0</v>
      </c>
      <c r="G3095" t="str">
        <f>CHOOSE(WEEKDAY(A3095,2),"Mon","Tue","Wed","Thu","Fri","Sat","Sun")</f>
        <v>Thu</v>
      </c>
      <c r="H3095" t="str">
        <f>IF(WEEKDAY(A3095,2)&gt;5,"Weekend","Weekday")</f>
        <v>Weekday</v>
      </c>
      <c r="I3095" t="str">
        <f>_xlfn.IFS(B3095&lt;=5,"Night (0-5)",B3095&lt;=9,"Morning peak (6-9)",B3095&lt;=15,"Midday (10-15)",B3095&lt;=19,"Evening peak (16-19)",TRUE,"Late evening (20-23)")</f>
        <v>Late evening (20-23)</v>
      </c>
    </row>
    <row r="3096" spans="1:9">
      <c r="A3096" s="32">
        <v>41858</v>
      </c>
      <c r="B3096">
        <v>22</v>
      </c>
      <c r="C3096">
        <v>2002</v>
      </c>
      <c r="D3096" t="s">
        <v>303</v>
      </c>
      <c r="E3096">
        <f>YEAR(A3096)</f>
        <v>2014</v>
      </c>
      <c r="F3096" s="33">
        <f>DATE(YEAR(A3096),MONTH(A3096),1)</f>
        <v>41852.0</v>
      </c>
      <c r="G3096" t="str">
        <f>CHOOSE(WEEKDAY(A3096,2),"Mon","Tue","Wed","Thu","Fri","Sat","Sun")</f>
        <v>Thu</v>
      </c>
      <c r="H3096" t="str">
        <f>IF(WEEKDAY(A3096,2)&gt;5,"Weekend","Weekday")</f>
        <v>Weekday</v>
      </c>
      <c r="I3096" t="str">
        <f>_xlfn.IFS(B3096&lt;=5,"Night (0-5)",B3096&lt;=9,"Morning peak (6-9)",B3096&lt;=15,"Midday (10-15)",B3096&lt;=19,"Evening peak (16-19)",TRUE,"Late evening (20-23)")</f>
        <v>Late evening (20-23)</v>
      </c>
    </row>
    <row r="3097" spans="1:9">
      <c r="A3097" s="32">
        <v>41858</v>
      </c>
      <c r="B3097">
        <v>23</v>
      </c>
      <c r="C3097">
        <v>1346</v>
      </c>
      <c r="D3097" t="s">
        <v>303</v>
      </c>
      <c r="E3097">
        <f>YEAR(A3097)</f>
        <v>2014</v>
      </c>
      <c r="F3097" s="33">
        <f>DATE(YEAR(A3097),MONTH(A3097),1)</f>
        <v>41852.0</v>
      </c>
      <c r="G3097" t="str">
        <f>CHOOSE(WEEKDAY(A3097,2),"Mon","Tue","Wed","Thu","Fri","Sat","Sun")</f>
        <v>Thu</v>
      </c>
      <c r="H3097" t="str">
        <f>IF(WEEKDAY(A3097,2)&gt;5,"Weekend","Weekday")</f>
        <v>Weekday</v>
      </c>
      <c r="I3097" t="str">
        <f>_xlfn.IFS(B3097&lt;=5,"Night (0-5)",B3097&lt;=9,"Morning peak (6-9)",B3097&lt;=15,"Midday (10-15)",B3097&lt;=19,"Evening peak (16-19)",TRUE,"Late evening (20-23)")</f>
        <v>Late evening (20-23)</v>
      </c>
    </row>
    <row r="3098" spans="1:9">
      <c r="A3098" s="32">
        <v>41859</v>
      </c>
      <c r="B3098">
        <v>0</v>
      </c>
      <c r="C3098">
        <v>700</v>
      </c>
      <c r="D3098" t="s">
        <v>303</v>
      </c>
      <c r="E3098">
        <f>YEAR(A3098)</f>
        <v>2014</v>
      </c>
      <c r="F3098" s="33">
        <f>DATE(YEAR(A3098),MONTH(A3098),1)</f>
        <v>41852.0</v>
      </c>
      <c r="G3098" t="str">
        <f>CHOOSE(WEEKDAY(A3098,2),"Mon","Tue","Wed","Thu","Fri","Sat","Sun")</f>
        <v>Fri</v>
      </c>
      <c r="H3098" t="str">
        <f>IF(WEEKDAY(A3098,2)&gt;5,"Weekend","Weekday")</f>
        <v>Weekday</v>
      </c>
      <c r="I3098" t="str">
        <f>_xlfn.IFS(B3098&lt;=5,"Night (0-5)",B3098&lt;=9,"Morning peak (6-9)",B3098&lt;=15,"Midday (10-15)",B3098&lt;=19,"Evening peak (16-19)",TRUE,"Late evening (20-23)")</f>
        <v>Night (0-5)</v>
      </c>
    </row>
    <row r="3099" spans="1:9">
      <c r="A3099" s="32">
        <v>41859</v>
      </c>
      <c r="B3099">
        <v>1</v>
      </c>
      <c r="C3099">
        <v>404</v>
      </c>
      <c r="D3099" t="s">
        <v>303</v>
      </c>
      <c r="E3099">
        <f>YEAR(A3099)</f>
        <v>2014</v>
      </c>
      <c r="F3099" s="33">
        <f>DATE(YEAR(A3099),MONTH(A3099),1)</f>
        <v>41852.0</v>
      </c>
      <c r="G3099" t="str">
        <f>CHOOSE(WEEKDAY(A3099,2),"Mon","Tue","Wed","Thu","Fri","Sat","Sun")</f>
        <v>Fri</v>
      </c>
      <c r="H3099" t="str">
        <f>IF(WEEKDAY(A3099,2)&gt;5,"Weekend","Weekday")</f>
        <v>Weekday</v>
      </c>
      <c r="I3099" t="str">
        <f>_xlfn.IFS(B3099&lt;=5,"Night (0-5)",B3099&lt;=9,"Morning peak (6-9)",B3099&lt;=15,"Midday (10-15)",B3099&lt;=19,"Evening peak (16-19)",TRUE,"Late evening (20-23)")</f>
        <v>Night (0-5)</v>
      </c>
    </row>
    <row r="3100" spans="1:9">
      <c r="A3100" s="32">
        <v>41859</v>
      </c>
      <c r="B3100">
        <v>2</v>
      </c>
      <c r="C3100">
        <v>288</v>
      </c>
      <c r="D3100" t="s">
        <v>303</v>
      </c>
      <c r="E3100">
        <f>YEAR(A3100)</f>
        <v>2014</v>
      </c>
      <c r="F3100" s="33">
        <f>DATE(YEAR(A3100),MONTH(A3100),1)</f>
        <v>41852.0</v>
      </c>
      <c r="G3100" t="str">
        <f>CHOOSE(WEEKDAY(A3100,2),"Mon","Tue","Wed","Thu","Fri","Sat","Sun")</f>
        <v>Fri</v>
      </c>
      <c r="H3100" t="str">
        <f>IF(WEEKDAY(A3100,2)&gt;5,"Weekend","Weekday")</f>
        <v>Weekday</v>
      </c>
      <c r="I3100" t="str">
        <f>_xlfn.IFS(B3100&lt;=5,"Night (0-5)",B3100&lt;=9,"Morning peak (6-9)",B3100&lt;=15,"Midday (10-15)",B3100&lt;=19,"Evening peak (16-19)",TRUE,"Late evening (20-23)")</f>
        <v>Night (0-5)</v>
      </c>
    </row>
    <row r="3101" spans="1:9">
      <c r="A3101" s="32">
        <v>41859</v>
      </c>
      <c r="B3101">
        <v>3</v>
      </c>
      <c r="C3101">
        <v>363</v>
      </c>
      <c r="D3101" t="s">
        <v>303</v>
      </c>
      <c r="E3101">
        <f>YEAR(A3101)</f>
        <v>2014</v>
      </c>
      <c r="F3101" s="33">
        <f>DATE(YEAR(A3101),MONTH(A3101),1)</f>
        <v>41852.0</v>
      </c>
      <c r="G3101" t="str">
        <f>CHOOSE(WEEKDAY(A3101,2),"Mon","Tue","Wed","Thu","Fri","Sat","Sun")</f>
        <v>Fri</v>
      </c>
      <c r="H3101" t="str">
        <f>IF(WEEKDAY(A3101,2)&gt;5,"Weekend","Weekday")</f>
        <v>Weekday</v>
      </c>
      <c r="I3101" t="str">
        <f>_xlfn.IFS(B3101&lt;=5,"Night (0-5)",B3101&lt;=9,"Morning peak (6-9)",B3101&lt;=15,"Midday (10-15)",B3101&lt;=19,"Evening peak (16-19)",TRUE,"Late evening (20-23)")</f>
        <v>Night (0-5)</v>
      </c>
    </row>
    <row r="3102" spans="1:9">
      <c r="A3102" s="32">
        <v>41859</v>
      </c>
      <c r="B3102">
        <v>4</v>
      </c>
      <c r="C3102">
        <v>467</v>
      </c>
      <c r="D3102" t="s">
        <v>303</v>
      </c>
      <c r="E3102">
        <f>YEAR(A3102)</f>
        <v>2014</v>
      </c>
      <c r="F3102" s="33">
        <f>DATE(YEAR(A3102),MONTH(A3102),1)</f>
        <v>41852.0</v>
      </c>
      <c r="G3102" t="str">
        <f>CHOOSE(WEEKDAY(A3102,2),"Mon","Tue","Wed","Thu","Fri","Sat","Sun")</f>
        <v>Fri</v>
      </c>
      <c r="H3102" t="str">
        <f>IF(WEEKDAY(A3102,2)&gt;5,"Weekend","Weekday")</f>
        <v>Weekday</v>
      </c>
      <c r="I3102" t="str">
        <f>_xlfn.IFS(B3102&lt;=5,"Night (0-5)",B3102&lt;=9,"Morning peak (6-9)",B3102&lt;=15,"Midday (10-15)",B3102&lt;=19,"Evening peak (16-19)",TRUE,"Late evening (20-23)")</f>
        <v>Night (0-5)</v>
      </c>
    </row>
    <row r="3103" spans="1:9">
      <c r="A3103" s="32">
        <v>41859</v>
      </c>
      <c r="B3103">
        <v>5</v>
      </c>
      <c r="C3103">
        <v>640</v>
      </c>
      <c r="D3103" t="s">
        <v>303</v>
      </c>
      <c r="E3103">
        <f>YEAR(A3103)</f>
        <v>2014</v>
      </c>
      <c r="F3103" s="33">
        <f>DATE(YEAR(A3103),MONTH(A3103),1)</f>
        <v>41852.0</v>
      </c>
      <c r="G3103" t="str">
        <f>CHOOSE(WEEKDAY(A3103,2),"Mon","Tue","Wed","Thu","Fri","Sat","Sun")</f>
        <v>Fri</v>
      </c>
      <c r="H3103" t="str">
        <f>IF(WEEKDAY(A3103,2)&gt;5,"Weekend","Weekday")</f>
        <v>Weekday</v>
      </c>
      <c r="I3103" t="str">
        <f>_xlfn.IFS(B3103&lt;=5,"Night (0-5)",B3103&lt;=9,"Morning peak (6-9)",B3103&lt;=15,"Midday (10-15)",B3103&lt;=19,"Evening peak (16-19)",TRUE,"Late evening (20-23)")</f>
        <v>Night (0-5)</v>
      </c>
    </row>
    <row r="3104" spans="1:9">
      <c r="A3104" s="32">
        <v>41859</v>
      </c>
      <c r="B3104">
        <v>6</v>
      </c>
      <c r="C3104">
        <v>967</v>
      </c>
      <c r="D3104" t="s">
        <v>303</v>
      </c>
      <c r="E3104">
        <f>YEAR(A3104)</f>
        <v>2014</v>
      </c>
      <c r="F3104" s="33">
        <f>DATE(YEAR(A3104),MONTH(A3104),1)</f>
        <v>41852.0</v>
      </c>
      <c r="G3104" t="str">
        <f>CHOOSE(WEEKDAY(A3104,2),"Mon","Tue","Wed","Thu","Fri","Sat","Sun")</f>
        <v>Fri</v>
      </c>
      <c r="H3104" t="str">
        <f>IF(WEEKDAY(A3104,2)&gt;5,"Weekend","Weekday")</f>
        <v>Weekday</v>
      </c>
      <c r="I3104" t="str">
        <f>_xlfn.IFS(B3104&lt;=5,"Night (0-5)",B3104&lt;=9,"Morning peak (6-9)",B3104&lt;=15,"Midday (10-15)",B3104&lt;=19,"Evening peak (16-19)",TRUE,"Late evening (20-23)")</f>
        <v>Morning peak (6-9)</v>
      </c>
    </row>
    <row r="3105" spans="1:9">
      <c r="A3105" s="32">
        <v>41859</v>
      </c>
      <c r="B3105">
        <v>7</v>
      </c>
      <c r="C3105">
        <v>1367</v>
      </c>
      <c r="D3105" t="s">
        <v>303</v>
      </c>
      <c r="E3105">
        <f>YEAR(A3105)</f>
        <v>2014</v>
      </c>
      <c r="F3105" s="33">
        <f>DATE(YEAR(A3105),MONTH(A3105),1)</f>
        <v>41852.0</v>
      </c>
      <c r="G3105" t="str">
        <f>CHOOSE(WEEKDAY(A3105,2),"Mon","Tue","Wed","Thu","Fri","Sat","Sun")</f>
        <v>Fri</v>
      </c>
      <c r="H3105" t="str">
        <f>IF(WEEKDAY(A3105,2)&gt;5,"Weekend","Weekday")</f>
        <v>Weekday</v>
      </c>
      <c r="I3105" t="str">
        <f>_xlfn.IFS(B3105&lt;=5,"Night (0-5)",B3105&lt;=9,"Morning peak (6-9)",B3105&lt;=15,"Midday (10-15)",B3105&lt;=19,"Evening peak (16-19)",TRUE,"Late evening (20-23)")</f>
        <v>Morning peak (6-9)</v>
      </c>
    </row>
    <row r="3106" spans="1:9">
      <c r="A3106" s="32">
        <v>41859</v>
      </c>
      <c r="B3106">
        <v>8</v>
      </c>
      <c r="C3106">
        <v>1355</v>
      </c>
      <c r="D3106" t="s">
        <v>303</v>
      </c>
      <c r="E3106">
        <f>YEAR(A3106)</f>
        <v>2014</v>
      </c>
      <c r="F3106" s="33">
        <f>DATE(YEAR(A3106),MONTH(A3106),1)</f>
        <v>41852.0</v>
      </c>
      <c r="G3106" t="str">
        <f>CHOOSE(WEEKDAY(A3106,2),"Mon","Tue","Wed","Thu","Fri","Sat","Sun")</f>
        <v>Fri</v>
      </c>
      <c r="H3106" t="str">
        <f>IF(WEEKDAY(A3106,2)&gt;5,"Weekend","Weekday")</f>
        <v>Weekday</v>
      </c>
      <c r="I3106" t="str">
        <f>_xlfn.IFS(B3106&lt;=5,"Night (0-5)",B3106&lt;=9,"Morning peak (6-9)",B3106&lt;=15,"Midday (10-15)",B3106&lt;=19,"Evening peak (16-19)",TRUE,"Late evening (20-23)")</f>
        <v>Morning peak (6-9)</v>
      </c>
    </row>
    <row r="3107" spans="1:9">
      <c r="A3107" s="32">
        <v>41859</v>
      </c>
      <c r="B3107">
        <v>9</v>
      </c>
      <c r="C3107">
        <v>1103</v>
      </c>
      <c r="D3107" t="s">
        <v>303</v>
      </c>
      <c r="E3107">
        <f>YEAR(A3107)</f>
        <v>2014</v>
      </c>
      <c r="F3107" s="33">
        <f>DATE(YEAR(A3107),MONTH(A3107),1)</f>
        <v>41852.0</v>
      </c>
      <c r="G3107" t="str">
        <f>CHOOSE(WEEKDAY(A3107,2),"Mon","Tue","Wed","Thu","Fri","Sat","Sun")</f>
        <v>Fri</v>
      </c>
      <c r="H3107" t="str">
        <f>IF(WEEKDAY(A3107,2)&gt;5,"Weekend","Weekday")</f>
        <v>Weekday</v>
      </c>
      <c r="I3107" t="str">
        <f>_xlfn.IFS(B3107&lt;=5,"Night (0-5)",B3107&lt;=9,"Morning peak (6-9)",B3107&lt;=15,"Midday (10-15)",B3107&lt;=19,"Evening peak (16-19)",TRUE,"Late evening (20-23)")</f>
        <v>Morning peak (6-9)</v>
      </c>
    </row>
    <row r="3108" spans="1:9">
      <c r="A3108" s="32">
        <v>41859</v>
      </c>
      <c r="B3108">
        <v>10</v>
      </c>
      <c r="C3108">
        <v>1078</v>
      </c>
      <c r="D3108" t="s">
        <v>303</v>
      </c>
      <c r="E3108">
        <f>YEAR(A3108)</f>
        <v>2014</v>
      </c>
      <c r="F3108" s="33">
        <f>DATE(YEAR(A3108),MONTH(A3108),1)</f>
        <v>41852.0</v>
      </c>
      <c r="G3108" t="str">
        <f>CHOOSE(WEEKDAY(A3108,2),"Mon","Tue","Wed","Thu","Fri","Sat","Sun")</f>
        <v>Fri</v>
      </c>
      <c r="H3108" t="str">
        <f>IF(WEEKDAY(A3108,2)&gt;5,"Weekend","Weekday")</f>
        <v>Weekday</v>
      </c>
      <c r="I3108" t="str">
        <f>_xlfn.IFS(B3108&lt;=5,"Night (0-5)",B3108&lt;=9,"Morning peak (6-9)",B3108&lt;=15,"Midday (10-15)",B3108&lt;=19,"Evening peak (16-19)",TRUE,"Late evening (20-23)")</f>
        <v>Midday (10-15)</v>
      </c>
    </row>
    <row r="3109" spans="1:9">
      <c r="A3109" s="32">
        <v>41859</v>
      </c>
      <c r="B3109">
        <v>11</v>
      </c>
      <c r="C3109">
        <v>1080</v>
      </c>
      <c r="D3109" t="s">
        <v>303</v>
      </c>
      <c r="E3109">
        <f>YEAR(A3109)</f>
        <v>2014</v>
      </c>
      <c r="F3109" s="33">
        <f>DATE(YEAR(A3109),MONTH(A3109),1)</f>
        <v>41852.0</v>
      </c>
      <c r="G3109" t="str">
        <f>CHOOSE(WEEKDAY(A3109,2),"Mon","Tue","Wed","Thu","Fri","Sat","Sun")</f>
        <v>Fri</v>
      </c>
      <c r="H3109" t="str">
        <f>IF(WEEKDAY(A3109,2)&gt;5,"Weekend","Weekday")</f>
        <v>Weekday</v>
      </c>
      <c r="I3109" t="str">
        <f>_xlfn.IFS(B3109&lt;=5,"Night (0-5)",B3109&lt;=9,"Morning peak (6-9)",B3109&lt;=15,"Midday (10-15)",B3109&lt;=19,"Evening peak (16-19)",TRUE,"Late evening (20-23)")</f>
        <v>Midday (10-15)</v>
      </c>
    </row>
    <row r="3110" spans="1:9">
      <c r="A3110" s="32">
        <v>41859</v>
      </c>
      <c r="B3110">
        <v>12</v>
      </c>
      <c r="C3110">
        <v>1034</v>
      </c>
      <c r="D3110" t="s">
        <v>303</v>
      </c>
      <c r="E3110">
        <f>YEAR(A3110)</f>
        <v>2014</v>
      </c>
      <c r="F3110" s="33">
        <f>DATE(YEAR(A3110),MONTH(A3110),1)</f>
        <v>41852.0</v>
      </c>
      <c r="G3110" t="str">
        <f>CHOOSE(WEEKDAY(A3110,2),"Mon","Tue","Wed","Thu","Fri","Sat","Sun")</f>
        <v>Fri</v>
      </c>
      <c r="H3110" t="str">
        <f>IF(WEEKDAY(A3110,2)&gt;5,"Weekend","Weekday")</f>
        <v>Weekday</v>
      </c>
      <c r="I3110" t="str">
        <f>_xlfn.IFS(B3110&lt;=5,"Night (0-5)",B3110&lt;=9,"Morning peak (6-9)",B3110&lt;=15,"Midday (10-15)",B3110&lt;=19,"Evening peak (16-19)",TRUE,"Late evening (20-23)")</f>
        <v>Midday (10-15)</v>
      </c>
    </row>
    <row r="3111" spans="1:9">
      <c r="A3111" s="32">
        <v>41859</v>
      </c>
      <c r="B3111">
        <v>13</v>
      </c>
      <c r="C3111">
        <v>1263</v>
      </c>
      <c r="D3111" t="s">
        <v>303</v>
      </c>
      <c r="E3111">
        <f>YEAR(A3111)</f>
        <v>2014</v>
      </c>
      <c r="F3111" s="33">
        <f>DATE(YEAR(A3111),MONTH(A3111),1)</f>
        <v>41852.0</v>
      </c>
      <c r="G3111" t="str">
        <f>CHOOSE(WEEKDAY(A3111,2),"Mon","Tue","Wed","Thu","Fri","Sat","Sun")</f>
        <v>Fri</v>
      </c>
      <c r="H3111" t="str">
        <f>IF(WEEKDAY(A3111,2)&gt;5,"Weekend","Weekday")</f>
        <v>Weekday</v>
      </c>
      <c r="I3111" t="str">
        <f>_xlfn.IFS(B3111&lt;=5,"Night (0-5)",B3111&lt;=9,"Morning peak (6-9)",B3111&lt;=15,"Midday (10-15)",B3111&lt;=19,"Evening peak (16-19)",TRUE,"Late evening (20-23)")</f>
        <v>Midday (10-15)</v>
      </c>
    </row>
    <row r="3112" spans="1:9">
      <c r="A3112" s="32">
        <v>41859</v>
      </c>
      <c r="B3112">
        <v>14</v>
      </c>
      <c r="C3112">
        <v>1357</v>
      </c>
      <c r="D3112" t="s">
        <v>303</v>
      </c>
      <c r="E3112">
        <f>YEAR(A3112)</f>
        <v>2014</v>
      </c>
      <c r="F3112" s="33">
        <f>DATE(YEAR(A3112),MONTH(A3112),1)</f>
        <v>41852.0</v>
      </c>
      <c r="G3112" t="str">
        <f>CHOOSE(WEEKDAY(A3112,2),"Mon","Tue","Wed","Thu","Fri","Sat","Sun")</f>
        <v>Fri</v>
      </c>
      <c r="H3112" t="str">
        <f>IF(WEEKDAY(A3112,2)&gt;5,"Weekend","Weekday")</f>
        <v>Weekday</v>
      </c>
      <c r="I3112" t="str">
        <f>_xlfn.IFS(B3112&lt;=5,"Night (0-5)",B3112&lt;=9,"Morning peak (6-9)",B3112&lt;=15,"Midday (10-15)",B3112&lt;=19,"Evening peak (16-19)",TRUE,"Late evening (20-23)")</f>
        <v>Midday (10-15)</v>
      </c>
    </row>
    <row r="3113" spans="1:9">
      <c r="A3113" s="32">
        <v>41859</v>
      </c>
      <c r="B3113">
        <v>15</v>
      </c>
      <c r="C3113">
        <v>1760</v>
      </c>
      <c r="D3113" t="s">
        <v>303</v>
      </c>
      <c r="E3113">
        <f>YEAR(A3113)</f>
        <v>2014</v>
      </c>
      <c r="F3113" s="33">
        <f>DATE(YEAR(A3113),MONTH(A3113),1)</f>
        <v>41852.0</v>
      </c>
      <c r="G3113" t="str">
        <f>CHOOSE(WEEKDAY(A3113,2),"Mon","Tue","Wed","Thu","Fri","Sat","Sun")</f>
        <v>Fri</v>
      </c>
      <c r="H3113" t="str">
        <f>IF(WEEKDAY(A3113,2)&gt;5,"Weekend","Weekday")</f>
        <v>Weekday</v>
      </c>
      <c r="I3113" t="str">
        <f>_xlfn.IFS(B3113&lt;=5,"Night (0-5)",B3113&lt;=9,"Morning peak (6-9)",B3113&lt;=15,"Midday (10-15)",B3113&lt;=19,"Evening peak (16-19)",TRUE,"Late evening (20-23)")</f>
        <v>Midday (10-15)</v>
      </c>
    </row>
    <row r="3114" spans="1:9">
      <c r="A3114" s="32">
        <v>41859</v>
      </c>
      <c r="B3114">
        <v>16</v>
      </c>
      <c r="C3114">
        <v>1874</v>
      </c>
      <c r="D3114" t="s">
        <v>303</v>
      </c>
      <c r="E3114">
        <f>YEAR(A3114)</f>
        <v>2014</v>
      </c>
      <c r="F3114" s="33">
        <f>DATE(YEAR(A3114),MONTH(A3114),1)</f>
        <v>41852.0</v>
      </c>
      <c r="G3114" t="str">
        <f>CHOOSE(WEEKDAY(A3114,2),"Mon","Tue","Wed","Thu","Fri","Sat","Sun")</f>
        <v>Fri</v>
      </c>
      <c r="H3114" t="str">
        <f>IF(WEEKDAY(A3114,2)&gt;5,"Weekend","Weekday")</f>
        <v>Weekday</v>
      </c>
      <c r="I3114" t="str">
        <f>_xlfn.IFS(B3114&lt;=5,"Night (0-5)",B3114&lt;=9,"Morning peak (6-9)",B3114&lt;=15,"Midday (10-15)",B3114&lt;=19,"Evening peak (16-19)",TRUE,"Late evening (20-23)")</f>
        <v>Evening peak (16-19)</v>
      </c>
    </row>
    <row r="3115" spans="1:9">
      <c r="A3115" s="32">
        <v>41859</v>
      </c>
      <c r="B3115">
        <v>17</v>
      </c>
      <c r="C3115">
        <v>2015</v>
      </c>
      <c r="D3115" t="s">
        <v>303</v>
      </c>
      <c r="E3115">
        <f>YEAR(A3115)</f>
        <v>2014</v>
      </c>
      <c r="F3115" s="33">
        <f>DATE(YEAR(A3115),MONTH(A3115),1)</f>
        <v>41852.0</v>
      </c>
      <c r="G3115" t="str">
        <f>CHOOSE(WEEKDAY(A3115,2),"Mon","Tue","Wed","Thu","Fri","Sat","Sun")</f>
        <v>Fri</v>
      </c>
      <c r="H3115" t="str">
        <f>IF(WEEKDAY(A3115,2)&gt;5,"Weekend","Weekday")</f>
        <v>Weekday</v>
      </c>
      <c r="I3115" t="str">
        <f>_xlfn.IFS(B3115&lt;=5,"Night (0-5)",B3115&lt;=9,"Morning peak (6-9)",B3115&lt;=15,"Midday (10-15)",B3115&lt;=19,"Evening peak (16-19)",TRUE,"Late evening (20-23)")</f>
        <v>Evening peak (16-19)</v>
      </c>
    </row>
    <row r="3116" spans="1:9">
      <c r="A3116" s="32">
        <v>41859</v>
      </c>
      <c r="B3116">
        <v>18</v>
      </c>
      <c r="C3116">
        <v>1978</v>
      </c>
      <c r="D3116" t="s">
        <v>303</v>
      </c>
      <c r="E3116">
        <f>YEAR(A3116)</f>
        <v>2014</v>
      </c>
      <c r="F3116" s="33">
        <f>DATE(YEAR(A3116),MONTH(A3116),1)</f>
        <v>41852.0</v>
      </c>
      <c r="G3116" t="str">
        <f>CHOOSE(WEEKDAY(A3116,2),"Mon","Tue","Wed","Thu","Fri","Sat","Sun")</f>
        <v>Fri</v>
      </c>
      <c r="H3116" t="str">
        <f>IF(WEEKDAY(A3116,2)&gt;5,"Weekend","Weekday")</f>
        <v>Weekday</v>
      </c>
      <c r="I3116" t="str">
        <f>_xlfn.IFS(B3116&lt;=5,"Night (0-5)",B3116&lt;=9,"Morning peak (6-9)",B3116&lt;=15,"Midday (10-15)",B3116&lt;=19,"Evening peak (16-19)",TRUE,"Late evening (20-23)")</f>
        <v>Evening peak (16-19)</v>
      </c>
    </row>
    <row r="3117" spans="1:9">
      <c r="A3117" s="32">
        <v>41859</v>
      </c>
      <c r="B3117">
        <v>19</v>
      </c>
      <c r="C3117">
        <v>1992</v>
      </c>
      <c r="D3117" t="s">
        <v>303</v>
      </c>
      <c r="E3117">
        <f>YEAR(A3117)</f>
        <v>2014</v>
      </c>
      <c r="F3117" s="33">
        <f>DATE(YEAR(A3117),MONTH(A3117),1)</f>
        <v>41852.0</v>
      </c>
      <c r="G3117" t="str">
        <f>CHOOSE(WEEKDAY(A3117,2),"Mon","Tue","Wed","Thu","Fri","Sat","Sun")</f>
        <v>Fri</v>
      </c>
      <c r="H3117" t="str">
        <f>IF(WEEKDAY(A3117,2)&gt;5,"Weekend","Weekday")</f>
        <v>Weekday</v>
      </c>
      <c r="I3117" t="str">
        <f>_xlfn.IFS(B3117&lt;=5,"Night (0-5)",B3117&lt;=9,"Morning peak (6-9)",B3117&lt;=15,"Midday (10-15)",B3117&lt;=19,"Evening peak (16-19)",TRUE,"Late evening (20-23)")</f>
        <v>Evening peak (16-19)</v>
      </c>
    </row>
    <row r="3118" spans="1:9">
      <c r="A3118" s="32">
        <v>41859</v>
      </c>
      <c r="B3118">
        <v>20</v>
      </c>
      <c r="C3118">
        <v>1746</v>
      </c>
      <c r="D3118" t="s">
        <v>303</v>
      </c>
      <c r="E3118">
        <f>YEAR(A3118)</f>
        <v>2014</v>
      </c>
      <c r="F3118" s="33">
        <f>DATE(YEAR(A3118),MONTH(A3118),1)</f>
        <v>41852.0</v>
      </c>
      <c r="G3118" t="str">
        <f>CHOOSE(WEEKDAY(A3118,2),"Mon","Tue","Wed","Thu","Fri","Sat","Sun")</f>
        <v>Fri</v>
      </c>
      <c r="H3118" t="str">
        <f>IF(WEEKDAY(A3118,2)&gt;5,"Weekend","Weekday")</f>
        <v>Weekday</v>
      </c>
      <c r="I3118" t="str">
        <f>_xlfn.IFS(B3118&lt;=5,"Night (0-5)",B3118&lt;=9,"Morning peak (6-9)",B3118&lt;=15,"Midday (10-15)",B3118&lt;=19,"Evening peak (16-19)",TRUE,"Late evening (20-23)")</f>
        <v>Late evening (20-23)</v>
      </c>
    </row>
    <row r="3119" spans="1:9">
      <c r="A3119" s="32">
        <v>41859</v>
      </c>
      <c r="B3119">
        <v>21</v>
      </c>
      <c r="C3119">
        <v>1929</v>
      </c>
      <c r="D3119" t="s">
        <v>303</v>
      </c>
      <c r="E3119">
        <f>YEAR(A3119)</f>
        <v>2014</v>
      </c>
      <c r="F3119" s="33">
        <f>DATE(YEAR(A3119),MONTH(A3119),1)</f>
        <v>41852.0</v>
      </c>
      <c r="G3119" t="str">
        <f>CHOOSE(WEEKDAY(A3119,2),"Mon","Tue","Wed","Thu","Fri","Sat","Sun")</f>
        <v>Fri</v>
      </c>
      <c r="H3119" t="str">
        <f>IF(WEEKDAY(A3119,2)&gt;5,"Weekend","Weekday")</f>
        <v>Weekday</v>
      </c>
      <c r="I3119" t="str">
        <f>_xlfn.IFS(B3119&lt;=5,"Night (0-5)",B3119&lt;=9,"Morning peak (6-9)",B3119&lt;=15,"Midday (10-15)",B3119&lt;=19,"Evening peak (16-19)",TRUE,"Late evening (20-23)")</f>
        <v>Late evening (20-23)</v>
      </c>
    </row>
    <row r="3120" spans="1:9">
      <c r="A3120" s="32">
        <v>41859</v>
      </c>
      <c r="B3120">
        <v>22</v>
      </c>
      <c r="C3120">
        <v>2001</v>
      </c>
      <c r="D3120" t="s">
        <v>303</v>
      </c>
      <c r="E3120">
        <f>YEAR(A3120)</f>
        <v>2014</v>
      </c>
      <c r="F3120" s="33">
        <f>DATE(YEAR(A3120),MONTH(A3120),1)</f>
        <v>41852.0</v>
      </c>
      <c r="G3120" t="str">
        <f>CHOOSE(WEEKDAY(A3120,2),"Mon","Tue","Wed","Thu","Fri","Sat","Sun")</f>
        <v>Fri</v>
      </c>
      <c r="H3120" t="str">
        <f>IF(WEEKDAY(A3120,2)&gt;5,"Weekend","Weekday")</f>
        <v>Weekday</v>
      </c>
      <c r="I3120" t="str">
        <f>_xlfn.IFS(B3120&lt;=5,"Night (0-5)",B3120&lt;=9,"Morning peak (6-9)",B3120&lt;=15,"Midday (10-15)",B3120&lt;=19,"Evening peak (16-19)",TRUE,"Late evening (20-23)")</f>
        <v>Late evening (20-23)</v>
      </c>
    </row>
    <row r="3121" spans="1:9">
      <c r="A3121" s="32">
        <v>41859</v>
      </c>
      <c r="B3121">
        <v>23</v>
      </c>
      <c r="C3121">
        <v>1650</v>
      </c>
      <c r="D3121" t="s">
        <v>303</v>
      </c>
      <c r="E3121">
        <f>YEAR(A3121)</f>
        <v>2014</v>
      </c>
      <c r="F3121" s="33">
        <f>DATE(YEAR(A3121),MONTH(A3121),1)</f>
        <v>41852.0</v>
      </c>
      <c r="G3121" t="str">
        <f>CHOOSE(WEEKDAY(A3121,2),"Mon","Tue","Wed","Thu","Fri","Sat","Sun")</f>
        <v>Fri</v>
      </c>
      <c r="H3121" t="str">
        <f>IF(WEEKDAY(A3121,2)&gt;5,"Weekend","Weekday")</f>
        <v>Weekday</v>
      </c>
      <c r="I3121" t="str">
        <f>_xlfn.IFS(B3121&lt;=5,"Night (0-5)",B3121&lt;=9,"Morning peak (6-9)",B3121&lt;=15,"Midday (10-15)",B3121&lt;=19,"Evening peak (16-19)",TRUE,"Late evening (20-23)")</f>
        <v>Late evening (20-23)</v>
      </c>
    </row>
    <row r="3122" spans="1:9">
      <c r="A3122" s="32">
        <v>41860</v>
      </c>
      <c r="B3122">
        <v>0</v>
      </c>
      <c r="C3122">
        <v>1248</v>
      </c>
      <c r="D3122" t="s">
        <v>303</v>
      </c>
      <c r="E3122">
        <f>YEAR(A3122)</f>
        <v>2014</v>
      </c>
      <c r="F3122" s="33">
        <f>DATE(YEAR(A3122),MONTH(A3122),1)</f>
        <v>41852.0</v>
      </c>
      <c r="G3122" t="str">
        <f>CHOOSE(WEEKDAY(A3122,2),"Mon","Tue","Wed","Thu","Fri","Sat","Sun")</f>
        <v>Sat</v>
      </c>
      <c r="H3122" t="str">
        <f>IF(WEEKDAY(A3122,2)&gt;5,"Weekend","Weekday")</f>
        <v>Weekend</v>
      </c>
      <c r="I3122" t="str">
        <f>_xlfn.IFS(B3122&lt;=5,"Night (0-5)",B3122&lt;=9,"Morning peak (6-9)",B3122&lt;=15,"Midday (10-15)",B3122&lt;=19,"Evening peak (16-19)",TRUE,"Late evening (20-23)")</f>
        <v>Night (0-5)</v>
      </c>
    </row>
    <row r="3123" spans="1:9">
      <c r="A3123" s="32">
        <v>41860</v>
      </c>
      <c r="B3123">
        <v>1</v>
      </c>
      <c r="C3123">
        <v>856</v>
      </c>
      <c r="D3123" t="s">
        <v>303</v>
      </c>
      <c r="E3123">
        <f>YEAR(A3123)</f>
        <v>2014</v>
      </c>
      <c r="F3123" s="33">
        <f>DATE(YEAR(A3123),MONTH(A3123),1)</f>
        <v>41852.0</v>
      </c>
      <c r="G3123" t="str">
        <f>CHOOSE(WEEKDAY(A3123,2),"Mon","Tue","Wed","Thu","Fri","Sat","Sun")</f>
        <v>Sat</v>
      </c>
      <c r="H3123" t="str">
        <f>IF(WEEKDAY(A3123,2)&gt;5,"Weekend","Weekday")</f>
        <v>Weekend</v>
      </c>
      <c r="I3123" t="str">
        <f>_xlfn.IFS(B3123&lt;=5,"Night (0-5)",B3123&lt;=9,"Morning peak (6-9)",B3123&lt;=15,"Midday (10-15)",B3123&lt;=19,"Evening peak (16-19)",TRUE,"Late evening (20-23)")</f>
        <v>Night (0-5)</v>
      </c>
    </row>
    <row r="3124" spans="1:9">
      <c r="A3124" s="32">
        <v>41860</v>
      </c>
      <c r="B3124">
        <v>2</v>
      </c>
      <c r="C3124">
        <v>618</v>
      </c>
      <c r="D3124" t="s">
        <v>303</v>
      </c>
      <c r="E3124">
        <f>YEAR(A3124)</f>
        <v>2014</v>
      </c>
      <c r="F3124" s="33">
        <f>DATE(YEAR(A3124),MONTH(A3124),1)</f>
        <v>41852.0</v>
      </c>
      <c r="G3124" t="str">
        <f>CHOOSE(WEEKDAY(A3124,2),"Mon","Tue","Wed","Thu","Fri","Sat","Sun")</f>
        <v>Sat</v>
      </c>
      <c r="H3124" t="str">
        <f>IF(WEEKDAY(A3124,2)&gt;5,"Weekend","Weekday")</f>
        <v>Weekend</v>
      </c>
      <c r="I3124" t="str">
        <f>_xlfn.IFS(B3124&lt;=5,"Night (0-5)",B3124&lt;=9,"Morning peak (6-9)",B3124&lt;=15,"Midday (10-15)",B3124&lt;=19,"Evening peak (16-19)",TRUE,"Late evening (20-23)")</f>
        <v>Night (0-5)</v>
      </c>
    </row>
    <row r="3125" spans="1:9">
      <c r="A3125" s="32">
        <v>41860</v>
      </c>
      <c r="B3125">
        <v>3</v>
      </c>
      <c r="C3125">
        <v>461</v>
      </c>
      <c r="D3125" t="s">
        <v>303</v>
      </c>
      <c r="E3125">
        <f>YEAR(A3125)</f>
        <v>2014</v>
      </c>
      <c r="F3125" s="33">
        <f>DATE(YEAR(A3125),MONTH(A3125),1)</f>
        <v>41852.0</v>
      </c>
      <c r="G3125" t="str">
        <f>CHOOSE(WEEKDAY(A3125,2),"Mon","Tue","Wed","Thu","Fri","Sat","Sun")</f>
        <v>Sat</v>
      </c>
      <c r="H3125" t="str">
        <f>IF(WEEKDAY(A3125,2)&gt;5,"Weekend","Weekday")</f>
        <v>Weekend</v>
      </c>
      <c r="I3125" t="str">
        <f>_xlfn.IFS(B3125&lt;=5,"Night (0-5)",B3125&lt;=9,"Morning peak (6-9)",B3125&lt;=15,"Midday (10-15)",B3125&lt;=19,"Evening peak (16-19)",TRUE,"Late evening (20-23)")</f>
        <v>Night (0-5)</v>
      </c>
    </row>
    <row r="3126" spans="1:9">
      <c r="A3126" s="32">
        <v>41860</v>
      </c>
      <c r="B3126">
        <v>4</v>
      </c>
      <c r="C3126">
        <v>333</v>
      </c>
      <c r="D3126" t="s">
        <v>303</v>
      </c>
      <c r="E3126">
        <f>YEAR(A3126)</f>
        <v>2014</v>
      </c>
      <c r="F3126" s="33">
        <f>DATE(YEAR(A3126),MONTH(A3126),1)</f>
        <v>41852.0</v>
      </c>
      <c r="G3126" t="str">
        <f>CHOOSE(WEEKDAY(A3126,2),"Mon","Tue","Wed","Thu","Fri","Sat","Sun")</f>
        <v>Sat</v>
      </c>
      <c r="H3126" t="str">
        <f>IF(WEEKDAY(A3126,2)&gt;5,"Weekend","Weekday")</f>
        <v>Weekend</v>
      </c>
      <c r="I3126" t="str">
        <f>_xlfn.IFS(B3126&lt;=5,"Night (0-5)",B3126&lt;=9,"Morning peak (6-9)",B3126&lt;=15,"Midday (10-15)",B3126&lt;=19,"Evening peak (16-19)",TRUE,"Late evening (20-23)")</f>
        <v>Night (0-5)</v>
      </c>
    </row>
    <row r="3127" spans="1:9">
      <c r="A3127" s="32">
        <v>41860</v>
      </c>
      <c r="B3127">
        <v>5</v>
      </c>
      <c r="C3127">
        <v>340</v>
      </c>
      <c r="D3127" t="s">
        <v>303</v>
      </c>
      <c r="E3127">
        <f>YEAR(A3127)</f>
        <v>2014</v>
      </c>
      <c r="F3127" s="33">
        <f>DATE(YEAR(A3127),MONTH(A3127),1)</f>
        <v>41852.0</v>
      </c>
      <c r="G3127" t="str">
        <f>CHOOSE(WEEKDAY(A3127,2),"Mon","Tue","Wed","Thu","Fri","Sat","Sun")</f>
        <v>Sat</v>
      </c>
      <c r="H3127" t="str">
        <f>IF(WEEKDAY(A3127,2)&gt;5,"Weekend","Weekday")</f>
        <v>Weekend</v>
      </c>
      <c r="I3127" t="str">
        <f>_xlfn.IFS(B3127&lt;=5,"Night (0-5)",B3127&lt;=9,"Morning peak (6-9)",B3127&lt;=15,"Midday (10-15)",B3127&lt;=19,"Evening peak (16-19)",TRUE,"Late evening (20-23)")</f>
        <v>Night (0-5)</v>
      </c>
    </row>
    <row r="3128" spans="1:9">
      <c r="A3128" s="32">
        <v>41860</v>
      </c>
      <c r="B3128">
        <v>6</v>
      </c>
      <c r="C3128">
        <v>379</v>
      </c>
      <c r="D3128" t="s">
        <v>303</v>
      </c>
      <c r="E3128">
        <f>YEAR(A3128)</f>
        <v>2014</v>
      </c>
      <c r="F3128" s="33">
        <f>DATE(YEAR(A3128),MONTH(A3128),1)</f>
        <v>41852.0</v>
      </c>
      <c r="G3128" t="str">
        <f>CHOOSE(WEEKDAY(A3128,2),"Mon","Tue","Wed","Thu","Fri","Sat","Sun")</f>
        <v>Sat</v>
      </c>
      <c r="H3128" t="str">
        <f>IF(WEEKDAY(A3128,2)&gt;5,"Weekend","Weekday")</f>
        <v>Weekend</v>
      </c>
      <c r="I3128" t="str">
        <f>_xlfn.IFS(B3128&lt;=5,"Night (0-5)",B3128&lt;=9,"Morning peak (6-9)",B3128&lt;=15,"Midday (10-15)",B3128&lt;=19,"Evening peak (16-19)",TRUE,"Late evening (20-23)")</f>
        <v>Morning peak (6-9)</v>
      </c>
    </row>
    <row r="3129" spans="1:9">
      <c r="A3129" s="32">
        <v>41860</v>
      </c>
      <c r="B3129">
        <v>7</v>
      </c>
      <c r="C3129">
        <v>482</v>
      </c>
      <c r="D3129" t="s">
        <v>303</v>
      </c>
      <c r="E3129">
        <f>YEAR(A3129)</f>
        <v>2014</v>
      </c>
      <c r="F3129" s="33">
        <f>DATE(YEAR(A3129),MONTH(A3129),1)</f>
        <v>41852.0</v>
      </c>
      <c r="G3129" t="str">
        <f>CHOOSE(WEEKDAY(A3129,2),"Mon","Tue","Wed","Thu","Fri","Sat","Sun")</f>
        <v>Sat</v>
      </c>
      <c r="H3129" t="str">
        <f>IF(WEEKDAY(A3129,2)&gt;5,"Weekend","Weekday")</f>
        <v>Weekend</v>
      </c>
      <c r="I3129" t="str">
        <f>_xlfn.IFS(B3129&lt;=5,"Night (0-5)",B3129&lt;=9,"Morning peak (6-9)",B3129&lt;=15,"Midday (10-15)",B3129&lt;=19,"Evening peak (16-19)",TRUE,"Late evening (20-23)")</f>
        <v>Morning peak (6-9)</v>
      </c>
    </row>
    <row r="3130" spans="1:9">
      <c r="A3130" s="32">
        <v>41860</v>
      </c>
      <c r="B3130">
        <v>8</v>
      </c>
      <c r="C3130">
        <v>555</v>
      </c>
      <c r="D3130" t="s">
        <v>303</v>
      </c>
      <c r="E3130">
        <f>YEAR(A3130)</f>
        <v>2014</v>
      </c>
      <c r="F3130" s="33">
        <f>DATE(YEAR(A3130),MONTH(A3130),1)</f>
        <v>41852.0</v>
      </c>
      <c r="G3130" t="str">
        <f>CHOOSE(WEEKDAY(A3130,2),"Mon","Tue","Wed","Thu","Fri","Sat","Sun")</f>
        <v>Sat</v>
      </c>
      <c r="H3130" t="str">
        <f>IF(WEEKDAY(A3130,2)&gt;5,"Weekend","Weekday")</f>
        <v>Weekend</v>
      </c>
      <c r="I3130" t="str">
        <f>_xlfn.IFS(B3130&lt;=5,"Night (0-5)",B3130&lt;=9,"Morning peak (6-9)",B3130&lt;=15,"Midday (10-15)",B3130&lt;=19,"Evening peak (16-19)",TRUE,"Late evening (20-23)")</f>
        <v>Morning peak (6-9)</v>
      </c>
    </row>
    <row r="3131" spans="1:9">
      <c r="A3131" s="32">
        <v>41860</v>
      </c>
      <c r="B3131">
        <v>9</v>
      </c>
      <c r="C3131">
        <v>690</v>
      </c>
      <c r="D3131" t="s">
        <v>303</v>
      </c>
      <c r="E3131">
        <f>YEAR(A3131)</f>
        <v>2014</v>
      </c>
      <c r="F3131" s="33">
        <f>DATE(YEAR(A3131),MONTH(A3131),1)</f>
        <v>41852.0</v>
      </c>
      <c r="G3131" t="str">
        <f>CHOOSE(WEEKDAY(A3131,2),"Mon","Tue","Wed","Thu","Fri","Sat","Sun")</f>
        <v>Sat</v>
      </c>
      <c r="H3131" t="str">
        <f>IF(WEEKDAY(A3131,2)&gt;5,"Weekend","Weekday")</f>
        <v>Weekend</v>
      </c>
      <c r="I3131" t="str">
        <f>_xlfn.IFS(B3131&lt;=5,"Night (0-5)",B3131&lt;=9,"Morning peak (6-9)",B3131&lt;=15,"Midday (10-15)",B3131&lt;=19,"Evening peak (16-19)",TRUE,"Late evening (20-23)")</f>
        <v>Morning peak (6-9)</v>
      </c>
    </row>
    <row r="3132" spans="1:9">
      <c r="A3132" s="32">
        <v>41860</v>
      </c>
      <c r="B3132">
        <v>10</v>
      </c>
      <c r="C3132">
        <v>793</v>
      </c>
      <c r="D3132" t="s">
        <v>303</v>
      </c>
      <c r="E3132">
        <f>YEAR(A3132)</f>
        <v>2014</v>
      </c>
      <c r="F3132" s="33">
        <f>DATE(YEAR(A3132),MONTH(A3132),1)</f>
        <v>41852.0</v>
      </c>
      <c r="G3132" t="str">
        <f>CHOOSE(WEEKDAY(A3132,2),"Mon","Tue","Wed","Thu","Fri","Sat","Sun")</f>
        <v>Sat</v>
      </c>
      <c r="H3132" t="str">
        <f>IF(WEEKDAY(A3132,2)&gt;5,"Weekend","Weekday")</f>
        <v>Weekend</v>
      </c>
      <c r="I3132" t="str">
        <f>_xlfn.IFS(B3132&lt;=5,"Night (0-5)",B3132&lt;=9,"Morning peak (6-9)",B3132&lt;=15,"Midday (10-15)",B3132&lt;=19,"Evening peak (16-19)",TRUE,"Late evening (20-23)")</f>
        <v>Midday (10-15)</v>
      </c>
    </row>
    <row r="3133" spans="1:9">
      <c r="A3133" s="32">
        <v>41860</v>
      </c>
      <c r="B3133">
        <v>11</v>
      </c>
      <c r="C3133">
        <v>874</v>
      </c>
      <c r="D3133" t="s">
        <v>303</v>
      </c>
      <c r="E3133">
        <f>YEAR(A3133)</f>
        <v>2014</v>
      </c>
      <c r="F3133" s="33">
        <f>DATE(YEAR(A3133),MONTH(A3133),1)</f>
        <v>41852.0</v>
      </c>
      <c r="G3133" t="str">
        <f>CHOOSE(WEEKDAY(A3133,2),"Mon","Tue","Wed","Thu","Fri","Sat","Sun")</f>
        <v>Sat</v>
      </c>
      <c r="H3133" t="str">
        <f>IF(WEEKDAY(A3133,2)&gt;5,"Weekend","Weekday")</f>
        <v>Weekend</v>
      </c>
      <c r="I3133" t="str">
        <f>_xlfn.IFS(B3133&lt;=5,"Night (0-5)",B3133&lt;=9,"Morning peak (6-9)",B3133&lt;=15,"Midday (10-15)",B3133&lt;=19,"Evening peak (16-19)",TRUE,"Late evening (20-23)")</f>
        <v>Midday (10-15)</v>
      </c>
    </row>
    <row r="3134" spans="1:9">
      <c r="A3134" s="32">
        <v>41860</v>
      </c>
      <c r="B3134">
        <v>12</v>
      </c>
      <c r="C3134">
        <v>1020</v>
      </c>
      <c r="D3134" t="s">
        <v>303</v>
      </c>
      <c r="E3134">
        <f>YEAR(A3134)</f>
        <v>2014</v>
      </c>
      <c r="F3134" s="33">
        <f>DATE(YEAR(A3134),MONTH(A3134),1)</f>
        <v>41852.0</v>
      </c>
      <c r="G3134" t="str">
        <f>CHOOSE(WEEKDAY(A3134,2),"Mon","Tue","Wed","Thu","Fri","Sat","Sun")</f>
        <v>Sat</v>
      </c>
      <c r="H3134" t="str">
        <f>IF(WEEKDAY(A3134,2)&gt;5,"Weekend","Weekday")</f>
        <v>Weekend</v>
      </c>
      <c r="I3134" t="str">
        <f>_xlfn.IFS(B3134&lt;=5,"Night (0-5)",B3134&lt;=9,"Morning peak (6-9)",B3134&lt;=15,"Midday (10-15)",B3134&lt;=19,"Evening peak (16-19)",TRUE,"Late evening (20-23)")</f>
        <v>Midday (10-15)</v>
      </c>
    </row>
    <row r="3135" spans="1:9">
      <c r="A3135" s="32">
        <v>41860</v>
      </c>
      <c r="B3135">
        <v>13</v>
      </c>
      <c r="C3135">
        <v>1103</v>
      </c>
      <c r="D3135" t="s">
        <v>303</v>
      </c>
      <c r="E3135">
        <f>YEAR(A3135)</f>
        <v>2014</v>
      </c>
      <c r="F3135" s="33">
        <f>DATE(YEAR(A3135),MONTH(A3135),1)</f>
        <v>41852.0</v>
      </c>
      <c r="G3135" t="str">
        <f>CHOOSE(WEEKDAY(A3135,2),"Mon","Tue","Wed","Thu","Fri","Sat","Sun")</f>
        <v>Sat</v>
      </c>
      <c r="H3135" t="str">
        <f>IF(WEEKDAY(A3135,2)&gt;5,"Weekend","Weekday")</f>
        <v>Weekend</v>
      </c>
      <c r="I3135" t="str">
        <f>_xlfn.IFS(B3135&lt;=5,"Night (0-5)",B3135&lt;=9,"Morning peak (6-9)",B3135&lt;=15,"Midday (10-15)",B3135&lt;=19,"Evening peak (16-19)",TRUE,"Late evening (20-23)")</f>
        <v>Midday (10-15)</v>
      </c>
    </row>
    <row r="3136" spans="1:9">
      <c r="A3136" s="32">
        <v>41860</v>
      </c>
      <c r="B3136">
        <v>14</v>
      </c>
      <c r="C3136">
        <v>1254</v>
      </c>
      <c r="D3136" t="s">
        <v>303</v>
      </c>
      <c r="E3136">
        <f>YEAR(A3136)</f>
        <v>2014</v>
      </c>
      <c r="F3136" s="33">
        <f>DATE(YEAR(A3136),MONTH(A3136),1)</f>
        <v>41852.0</v>
      </c>
      <c r="G3136" t="str">
        <f>CHOOSE(WEEKDAY(A3136,2),"Mon","Tue","Wed","Thu","Fri","Sat","Sun")</f>
        <v>Sat</v>
      </c>
      <c r="H3136" t="str">
        <f>IF(WEEKDAY(A3136,2)&gt;5,"Weekend","Weekday")</f>
        <v>Weekend</v>
      </c>
      <c r="I3136" t="str">
        <f>_xlfn.IFS(B3136&lt;=5,"Night (0-5)",B3136&lt;=9,"Morning peak (6-9)",B3136&lt;=15,"Midday (10-15)",B3136&lt;=19,"Evening peak (16-19)",TRUE,"Late evening (20-23)")</f>
        <v>Midday (10-15)</v>
      </c>
    </row>
    <row r="3137" spans="1:9">
      <c r="A3137" s="32">
        <v>41860</v>
      </c>
      <c r="B3137">
        <v>15</v>
      </c>
      <c r="C3137">
        <v>1476</v>
      </c>
      <c r="D3137" t="s">
        <v>303</v>
      </c>
      <c r="E3137">
        <f>YEAR(A3137)</f>
        <v>2014</v>
      </c>
      <c r="F3137" s="33">
        <f>DATE(YEAR(A3137),MONTH(A3137),1)</f>
        <v>41852.0</v>
      </c>
      <c r="G3137" t="str">
        <f>CHOOSE(WEEKDAY(A3137,2),"Mon","Tue","Wed","Thu","Fri","Sat","Sun")</f>
        <v>Sat</v>
      </c>
      <c r="H3137" t="str">
        <f>IF(WEEKDAY(A3137,2)&gt;5,"Weekend","Weekday")</f>
        <v>Weekend</v>
      </c>
      <c r="I3137" t="str">
        <f>_xlfn.IFS(B3137&lt;=5,"Night (0-5)",B3137&lt;=9,"Morning peak (6-9)",B3137&lt;=15,"Midday (10-15)",B3137&lt;=19,"Evening peak (16-19)",TRUE,"Late evening (20-23)")</f>
        <v>Midday (10-15)</v>
      </c>
    </row>
    <row r="3138" spans="1:9">
      <c r="A3138" s="32">
        <v>41860</v>
      </c>
      <c r="B3138">
        <v>16</v>
      </c>
      <c r="C3138">
        <v>1589</v>
      </c>
      <c r="D3138" t="s">
        <v>303</v>
      </c>
      <c r="E3138">
        <f>YEAR(A3138)</f>
        <v>2014</v>
      </c>
      <c r="F3138" s="33">
        <f>DATE(YEAR(A3138),MONTH(A3138),1)</f>
        <v>41852.0</v>
      </c>
      <c r="G3138" t="str">
        <f>CHOOSE(WEEKDAY(A3138,2),"Mon","Tue","Wed","Thu","Fri","Sat","Sun")</f>
        <v>Sat</v>
      </c>
      <c r="H3138" t="str">
        <f>IF(WEEKDAY(A3138,2)&gt;5,"Weekend","Weekday")</f>
        <v>Weekend</v>
      </c>
      <c r="I3138" t="str">
        <f>_xlfn.IFS(B3138&lt;=5,"Night (0-5)",B3138&lt;=9,"Morning peak (6-9)",B3138&lt;=15,"Midday (10-15)",B3138&lt;=19,"Evening peak (16-19)",TRUE,"Late evening (20-23)")</f>
        <v>Evening peak (16-19)</v>
      </c>
    </row>
    <row r="3139" spans="1:9">
      <c r="A3139" s="32">
        <v>41860</v>
      </c>
      <c r="B3139">
        <v>17</v>
      </c>
      <c r="C3139">
        <v>1743</v>
      </c>
      <c r="D3139" t="s">
        <v>303</v>
      </c>
      <c r="E3139">
        <f>YEAR(A3139)</f>
        <v>2014</v>
      </c>
      <c r="F3139" s="33">
        <f>DATE(YEAR(A3139),MONTH(A3139),1)</f>
        <v>41852.0</v>
      </c>
      <c r="G3139" t="str">
        <f>CHOOSE(WEEKDAY(A3139,2),"Mon","Tue","Wed","Thu","Fri","Sat","Sun")</f>
        <v>Sat</v>
      </c>
      <c r="H3139" t="str">
        <f>IF(WEEKDAY(A3139,2)&gt;5,"Weekend","Weekday")</f>
        <v>Weekend</v>
      </c>
      <c r="I3139" t="str">
        <f>_xlfn.IFS(B3139&lt;=5,"Night (0-5)",B3139&lt;=9,"Morning peak (6-9)",B3139&lt;=15,"Midday (10-15)",B3139&lt;=19,"Evening peak (16-19)",TRUE,"Late evening (20-23)")</f>
        <v>Evening peak (16-19)</v>
      </c>
    </row>
    <row r="3140" spans="1:9">
      <c r="A3140" s="32">
        <v>41860</v>
      </c>
      <c r="B3140">
        <v>18</v>
      </c>
      <c r="C3140">
        <v>1819</v>
      </c>
      <c r="D3140" t="s">
        <v>303</v>
      </c>
      <c r="E3140">
        <f>YEAR(A3140)</f>
        <v>2014</v>
      </c>
      <c r="F3140" s="33">
        <f>DATE(YEAR(A3140),MONTH(A3140),1)</f>
        <v>41852.0</v>
      </c>
      <c r="G3140" t="str">
        <f>CHOOSE(WEEKDAY(A3140,2),"Mon","Tue","Wed","Thu","Fri","Sat","Sun")</f>
        <v>Sat</v>
      </c>
      <c r="H3140" t="str">
        <f>IF(WEEKDAY(A3140,2)&gt;5,"Weekend","Weekday")</f>
        <v>Weekend</v>
      </c>
      <c r="I3140" t="str">
        <f>_xlfn.IFS(B3140&lt;=5,"Night (0-5)",B3140&lt;=9,"Morning peak (6-9)",B3140&lt;=15,"Midday (10-15)",B3140&lt;=19,"Evening peak (16-19)",TRUE,"Late evening (20-23)")</f>
        <v>Evening peak (16-19)</v>
      </c>
    </row>
    <row r="3141" spans="1:9">
      <c r="A3141" s="32">
        <v>41860</v>
      </c>
      <c r="B3141">
        <v>19</v>
      </c>
      <c r="C3141">
        <v>1634</v>
      </c>
      <c r="D3141" t="s">
        <v>303</v>
      </c>
      <c r="E3141">
        <f>YEAR(A3141)</f>
        <v>2014</v>
      </c>
      <c r="F3141" s="33">
        <f>DATE(YEAR(A3141),MONTH(A3141),1)</f>
        <v>41852.0</v>
      </c>
      <c r="G3141" t="str">
        <f>CHOOSE(WEEKDAY(A3141,2),"Mon","Tue","Wed","Thu","Fri","Sat","Sun")</f>
        <v>Sat</v>
      </c>
      <c r="H3141" t="str">
        <f>IF(WEEKDAY(A3141,2)&gt;5,"Weekend","Weekday")</f>
        <v>Weekend</v>
      </c>
      <c r="I3141" t="str">
        <f>_xlfn.IFS(B3141&lt;=5,"Night (0-5)",B3141&lt;=9,"Morning peak (6-9)",B3141&lt;=15,"Midday (10-15)",B3141&lt;=19,"Evening peak (16-19)",TRUE,"Late evening (20-23)")</f>
        <v>Evening peak (16-19)</v>
      </c>
    </row>
    <row r="3142" spans="1:9">
      <c r="A3142" s="32">
        <v>41860</v>
      </c>
      <c r="B3142">
        <v>20</v>
      </c>
      <c r="C3142">
        <v>1644</v>
      </c>
      <c r="D3142" t="s">
        <v>303</v>
      </c>
      <c r="E3142">
        <f>YEAR(A3142)</f>
        <v>2014</v>
      </c>
      <c r="F3142" s="33">
        <f>DATE(YEAR(A3142),MONTH(A3142),1)</f>
        <v>41852.0</v>
      </c>
      <c r="G3142" t="str">
        <f>CHOOSE(WEEKDAY(A3142,2),"Mon","Tue","Wed","Thu","Fri","Sat","Sun")</f>
        <v>Sat</v>
      </c>
      <c r="H3142" t="str">
        <f>IF(WEEKDAY(A3142,2)&gt;5,"Weekend","Weekday")</f>
        <v>Weekend</v>
      </c>
      <c r="I3142" t="str">
        <f>_xlfn.IFS(B3142&lt;=5,"Night (0-5)",B3142&lt;=9,"Morning peak (6-9)",B3142&lt;=15,"Midday (10-15)",B3142&lt;=19,"Evening peak (16-19)",TRUE,"Late evening (20-23)")</f>
        <v>Late evening (20-23)</v>
      </c>
    </row>
    <row r="3143" spans="1:9">
      <c r="A3143" s="32">
        <v>41860</v>
      </c>
      <c r="B3143">
        <v>21</v>
      </c>
      <c r="C3143">
        <v>1777</v>
      </c>
      <c r="D3143" t="s">
        <v>303</v>
      </c>
      <c r="E3143">
        <f>YEAR(A3143)</f>
        <v>2014</v>
      </c>
      <c r="F3143" s="33">
        <f>DATE(YEAR(A3143),MONTH(A3143),1)</f>
        <v>41852.0</v>
      </c>
      <c r="G3143" t="str">
        <f>CHOOSE(WEEKDAY(A3143,2),"Mon","Tue","Wed","Thu","Fri","Sat","Sun")</f>
        <v>Sat</v>
      </c>
      <c r="H3143" t="str">
        <f>IF(WEEKDAY(A3143,2)&gt;5,"Weekend","Weekday")</f>
        <v>Weekend</v>
      </c>
      <c r="I3143" t="str">
        <f>_xlfn.IFS(B3143&lt;=5,"Night (0-5)",B3143&lt;=9,"Morning peak (6-9)",B3143&lt;=15,"Midday (10-15)",B3143&lt;=19,"Evening peak (16-19)",TRUE,"Late evening (20-23)")</f>
        <v>Late evening (20-23)</v>
      </c>
    </row>
    <row r="3144" spans="1:9">
      <c r="A3144" s="32">
        <v>41860</v>
      </c>
      <c r="B3144">
        <v>22</v>
      </c>
      <c r="C3144">
        <v>1957</v>
      </c>
      <c r="D3144" t="s">
        <v>303</v>
      </c>
      <c r="E3144">
        <f>YEAR(A3144)</f>
        <v>2014</v>
      </c>
      <c r="F3144" s="33">
        <f>DATE(YEAR(A3144),MONTH(A3144),1)</f>
        <v>41852.0</v>
      </c>
      <c r="G3144" t="str">
        <f>CHOOSE(WEEKDAY(A3144,2),"Mon","Tue","Wed","Thu","Fri","Sat","Sun")</f>
        <v>Sat</v>
      </c>
      <c r="H3144" t="str">
        <f>IF(WEEKDAY(A3144,2)&gt;5,"Weekend","Weekday")</f>
        <v>Weekend</v>
      </c>
      <c r="I3144" t="str">
        <f>_xlfn.IFS(B3144&lt;=5,"Night (0-5)",B3144&lt;=9,"Morning peak (6-9)",B3144&lt;=15,"Midday (10-15)",B3144&lt;=19,"Evening peak (16-19)",TRUE,"Late evening (20-23)")</f>
        <v>Late evening (20-23)</v>
      </c>
    </row>
    <row r="3145" spans="1:9">
      <c r="A3145" s="32">
        <v>41860</v>
      </c>
      <c r="B3145">
        <v>23</v>
      </c>
      <c r="C3145">
        <v>1641</v>
      </c>
      <c r="D3145" t="s">
        <v>303</v>
      </c>
      <c r="E3145">
        <f>YEAR(A3145)</f>
        <v>2014</v>
      </c>
      <c r="F3145" s="33">
        <f>DATE(YEAR(A3145),MONTH(A3145),1)</f>
        <v>41852.0</v>
      </c>
      <c r="G3145" t="str">
        <f>CHOOSE(WEEKDAY(A3145,2),"Mon","Tue","Wed","Thu","Fri","Sat","Sun")</f>
        <v>Sat</v>
      </c>
      <c r="H3145" t="str">
        <f>IF(WEEKDAY(A3145,2)&gt;5,"Weekend","Weekday")</f>
        <v>Weekend</v>
      </c>
      <c r="I3145" t="str">
        <f>_xlfn.IFS(B3145&lt;=5,"Night (0-5)",B3145&lt;=9,"Morning peak (6-9)",B3145&lt;=15,"Midday (10-15)",B3145&lt;=19,"Evening peak (16-19)",TRUE,"Late evening (20-23)")</f>
        <v>Late evening (20-23)</v>
      </c>
    </row>
    <row r="3146" spans="1:9">
      <c r="A3146" s="32">
        <v>41861</v>
      </c>
      <c r="B3146">
        <v>0</v>
      </c>
      <c r="C3146">
        <v>1325</v>
      </c>
      <c r="D3146" t="s">
        <v>303</v>
      </c>
      <c r="E3146">
        <f>YEAR(A3146)</f>
        <v>2014</v>
      </c>
      <c r="F3146" s="33">
        <f>DATE(YEAR(A3146),MONTH(A3146),1)</f>
        <v>41852.0</v>
      </c>
      <c r="G3146" t="str">
        <f>CHOOSE(WEEKDAY(A3146,2),"Mon","Tue","Wed","Thu","Fri","Sat","Sun")</f>
        <v>Sun</v>
      </c>
      <c r="H3146" t="str">
        <f>IF(WEEKDAY(A3146,2)&gt;5,"Weekend","Weekday")</f>
        <v>Weekend</v>
      </c>
      <c r="I3146" t="str">
        <f>_xlfn.IFS(B3146&lt;=5,"Night (0-5)",B3146&lt;=9,"Morning peak (6-9)",B3146&lt;=15,"Midday (10-15)",B3146&lt;=19,"Evening peak (16-19)",TRUE,"Late evening (20-23)")</f>
        <v>Night (0-5)</v>
      </c>
    </row>
    <row r="3147" spans="1:9">
      <c r="A3147" s="32">
        <v>41861</v>
      </c>
      <c r="B3147">
        <v>1</v>
      </c>
      <c r="C3147">
        <v>956</v>
      </c>
      <c r="D3147" t="s">
        <v>303</v>
      </c>
      <c r="E3147">
        <f>YEAR(A3147)</f>
        <v>2014</v>
      </c>
      <c r="F3147" s="33">
        <f>DATE(YEAR(A3147),MONTH(A3147),1)</f>
        <v>41852.0</v>
      </c>
      <c r="G3147" t="str">
        <f>CHOOSE(WEEKDAY(A3147,2),"Mon","Tue","Wed","Thu","Fri","Sat","Sun")</f>
        <v>Sun</v>
      </c>
      <c r="H3147" t="str">
        <f>IF(WEEKDAY(A3147,2)&gt;5,"Weekend","Weekday")</f>
        <v>Weekend</v>
      </c>
      <c r="I3147" t="str">
        <f>_xlfn.IFS(B3147&lt;=5,"Night (0-5)",B3147&lt;=9,"Morning peak (6-9)",B3147&lt;=15,"Midday (10-15)",B3147&lt;=19,"Evening peak (16-19)",TRUE,"Late evening (20-23)")</f>
        <v>Night (0-5)</v>
      </c>
    </row>
    <row r="3148" spans="1:9">
      <c r="A3148" s="32">
        <v>41861</v>
      </c>
      <c r="B3148">
        <v>2</v>
      </c>
      <c r="C3148">
        <v>695</v>
      </c>
      <c r="D3148" t="s">
        <v>303</v>
      </c>
      <c r="E3148">
        <f>YEAR(A3148)</f>
        <v>2014</v>
      </c>
      <c r="F3148" s="33">
        <f>DATE(YEAR(A3148),MONTH(A3148),1)</f>
        <v>41852.0</v>
      </c>
      <c r="G3148" t="str">
        <f>CHOOSE(WEEKDAY(A3148,2),"Mon","Tue","Wed","Thu","Fri","Sat","Sun")</f>
        <v>Sun</v>
      </c>
      <c r="H3148" t="str">
        <f>IF(WEEKDAY(A3148,2)&gt;5,"Weekend","Weekday")</f>
        <v>Weekend</v>
      </c>
      <c r="I3148" t="str">
        <f>_xlfn.IFS(B3148&lt;=5,"Night (0-5)",B3148&lt;=9,"Morning peak (6-9)",B3148&lt;=15,"Midday (10-15)",B3148&lt;=19,"Evening peak (16-19)",TRUE,"Late evening (20-23)")</f>
        <v>Night (0-5)</v>
      </c>
    </row>
    <row r="3149" spans="1:9">
      <c r="A3149" s="32">
        <v>41861</v>
      </c>
      <c r="B3149">
        <v>3</v>
      </c>
      <c r="C3149">
        <v>480</v>
      </c>
      <c r="D3149" t="s">
        <v>303</v>
      </c>
      <c r="E3149">
        <f>YEAR(A3149)</f>
        <v>2014</v>
      </c>
      <c r="F3149" s="33">
        <f>DATE(YEAR(A3149),MONTH(A3149),1)</f>
        <v>41852.0</v>
      </c>
      <c r="G3149" t="str">
        <f>CHOOSE(WEEKDAY(A3149,2),"Mon","Tue","Wed","Thu","Fri","Sat","Sun")</f>
        <v>Sun</v>
      </c>
      <c r="H3149" t="str">
        <f>IF(WEEKDAY(A3149,2)&gt;5,"Weekend","Weekday")</f>
        <v>Weekend</v>
      </c>
      <c r="I3149" t="str">
        <f>_xlfn.IFS(B3149&lt;=5,"Night (0-5)",B3149&lt;=9,"Morning peak (6-9)",B3149&lt;=15,"Midday (10-15)",B3149&lt;=19,"Evening peak (16-19)",TRUE,"Late evening (20-23)")</f>
        <v>Night (0-5)</v>
      </c>
    </row>
    <row r="3150" spans="1:9">
      <c r="A3150" s="32">
        <v>41861</v>
      </c>
      <c r="B3150">
        <v>4</v>
      </c>
      <c r="C3150">
        <v>297</v>
      </c>
      <c r="D3150" t="s">
        <v>303</v>
      </c>
      <c r="E3150">
        <f>YEAR(A3150)</f>
        <v>2014</v>
      </c>
      <c r="F3150" s="33">
        <f>DATE(YEAR(A3150),MONTH(A3150),1)</f>
        <v>41852.0</v>
      </c>
      <c r="G3150" t="str">
        <f>CHOOSE(WEEKDAY(A3150,2),"Mon","Tue","Wed","Thu","Fri","Sat","Sun")</f>
        <v>Sun</v>
      </c>
      <c r="H3150" t="str">
        <f>IF(WEEKDAY(A3150,2)&gt;5,"Weekend","Weekday")</f>
        <v>Weekend</v>
      </c>
      <c r="I3150" t="str">
        <f>_xlfn.IFS(B3150&lt;=5,"Night (0-5)",B3150&lt;=9,"Morning peak (6-9)",B3150&lt;=15,"Midday (10-15)",B3150&lt;=19,"Evening peak (16-19)",TRUE,"Late evening (20-23)")</f>
        <v>Night (0-5)</v>
      </c>
    </row>
    <row r="3151" spans="1:9">
      <c r="A3151" s="32">
        <v>41861</v>
      </c>
      <c r="B3151">
        <v>5</v>
      </c>
      <c r="C3151">
        <v>270</v>
      </c>
      <c r="D3151" t="s">
        <v>303</v>
      </c>
      <c r="E3151">
        <f>YEAR(A3151)</f>
        <v>2014</v>
      </c>
      <c r="F3151" s="33">
        <f>DATE(YEAR(A3151),MONTH(A3151),1)</f>
        <v>41852.0</v>
      </c>
      <c r="G3151" t="str">
        <f>CHOOSE(WEEKDAY(A3151,2),"Mon","Tue","Wed","Thu","Fri","Sat","Sun")</f>
        <v>Sun</v>
      </c>
      <c r="H3151" t="str">
        <f>IF(WEEKDAY(A3151,2)&gt;5,"Weekend","Weekday")</f>
        <v>Weekend</v>
      </c>
      <c r="I3151" t="str">
        <f>_xlfn.IFS(B3151&lt;=5,"Night (0-5)",B3151&lt;=9,"Morning peak (6-9)",B3151&lt;=15,"Midday (10-15)",B3151&lt;=19,"Evening peak (16-19)",TRUE,"Late evening (20-23)")</f>
        <v>Night (0-5)</v>
      </c>
    </row>
    <row r="3152" spans="1:9">
      <c r="A3152" s="32">
        <v>41861</v>
      </c>
      <c r="B3152">
        <v>6</v>
      </c>
      <c r="C3152">
        <v>264</v>
      </c>
      <c r="D3152" t="s">
        <v>303</v>
      </c>
      <c r="E3152">
        <f>YEAR(A3152)</f>
        <v>2014</v>
      </c>
      <c r="F3152" s="33">
        <f>DATE(YEAR(A3152),MONTH(A3152),1)</f>
        <v>41852.0</v>
      </c>
      <c r="G3152" t="str">
        <f>CHOOSE(WEEKDAY(A3152,2),"Mon","Tue","Wed","Thu","Fri","Sat","Sun")</f>
        <v>Sun</v>
      </c>
      <c r="H3152" t="str">
        <f>IF(WEEKDAY(A3152,2)&gt;5,"Weekend","Weekday")</f>
        <v>Weekend</v>
      </c>
      <c r="I3152" t="str">
        <f>_xlfn.IFS(B3152&lt;=5,"Night (0-5)",B3152&lt;=9,"Morning peak (6-9)",B3152&lt;=15,"Midday (10-15)",B3152&lt;=19,"Evening peak (16-19)",TRUE,"Late evening (20-23)")</f>
        <v>Morning peak (6-9)</v>
      </c>
    </row>
    <row r="3153" spans="1:9">
      <c r="A3153" s="32">
        <v>41861</v>
      </c>
      <c r="B3153">
        <v>7</v>
      </c>
      <c r="C3153">
        <v>358</v>
      </c>
      <c r="D3153" t="s">
        <v>303</v>
      </c>
      <c r="E3153">
        <f>YEAR(A3153)</f>
        <v>2014</v>
      </c>
      <c r="F3153" s="33">
        <f>DATE(YEAR(A3153),MONTH(A3153),1)</f>
        <v>41852.0</v>
      </c>
      <c r="G3153" t="str">
        <f>CHOOSE(WEEKDAY(A3153,2),"Mon","Tue","Wed","Thu","Fri","Sat","Sun")</f>
        <v>Sun</v>
      </c>
      <c r="H3153" t="str">
        <f>IF(WEEKDAY(A3153,2)&gt;5,"Weekend","Weekday")</f>
        <v>Weekend</v>
      </c>
      <c r="I3153" t="str">
        <f>_xlfn.IFS(B3153&lt;=5,"Night (0-5)",B3153&lt;=9,"Morning peak (6-9)",B3153&lt;=15,"Midday (10-15)",B3153&lt;=19,"Evening peak (16-19)",TRUE,"Late evening (20-23)")</f>
        <v>Morning peak (6-9)</v>
      </c>
    </row>
    <row r="3154" spans="1:9">
      <c r="A3154" s="32">
        <v>41861</v>
      </c>
      <c r="B3154">
        <v>8</v>
      </c>
      <c r="C3154">
        <v>500</v>
      </c>
      <c r="D3154" t="s">
        <v>303</v>
      </c>
      <c r="E3154">
        <f>YEAR(A3154)</f>
        <v>2014</v>
      </c>
      <c r="F3154" s="33">
        <f>DATE(YEAR(A3154),MONTH(A3154),1)</f>
        <v>41852.0</v>
      </c>
      <c r="G3154" t="str">
        <f>CHOOSE(WEEKDAY(A3154,2),"Mon","Tue","Wed","Thu","Fri","Sat","Sun")</f>
        <v>Sun</v>
      </c>
      <c r="H3154" t="str">
        <f>IF(WEEKDAY(A3154,2)&gt;5,"Weekend","Weekday")</f>
        <v>Weekend</v>
      </c>
      <c r="I3154" t="str">
        <f>_xlfn.IFS(B3154&lt;=5,"Night (0-5)",B3154&lt;=9,"Morning peak (6-9)",B3154&lt;=15,"Midday (10-15)",B3154&lt;=19,"Evening peak (16-19)",TRUE,"Late evening (20-23)")</f>
        <v>Morning peak (6-9)</v>
      </c>
    </row>
    <row r="3155" spans="1:9">
      <c r="A3155" s="32">
        <v>41861</v>
      </c>
      <c r="B3155">
        <v>9</v>
      </c>
      <c r="C3155">
        <v>669</v>
      </c>
      <c r="D3155" t="s">
        <v>303</v>
      </c>
      <c r="E3155">
        <f>YEAR(A3155)</f>
        <v>2014</v>
      </c>
      <c r="F3155" s="33">
        <f>DATE(YEAR(A3155),MONTH(A3155),1)</f>
        <v>41852.0</v>
      </c>
      <c r="G3155" t="str">
        <f>CHOOSE(WEEKDAY(A3155,2),"Mon","Tue","Wed","Thu","Fri","Sat","Sun")</f>
        <v>Sun</v>
      </c>
      <c r="H3155" t="str">
        <f>IF(WEEKDAY(A3155,2)&gt;5,"Weekend","Weekday")</f>
        <v>Weekend</v>
      </c>
      <c r="I3155" t="str">
        <f>_xlfn.IFS(B3155&lt;=5,"Night (0-5)",B3155&lt;=9,"Morning peak (6-9)",B3155&lt;=15,"Midday (10-15)",B3155&lt;=19,"Evening peak (16-19)",TRUE,"Late evening (20-23)")</f>
        <v>Morning peak (6-9)</v>
      </c>
    </row>
    <row r="3156" spans="1:9">
      <c r="A3156" s="32">
        <v>41861</v>
      </c>
      <c r="B3156">
        <v>10</v>
      </c>
      <c r="C3156">
        <v>818</v>
      </c>
      <c r="D3156" t="s">
        <v>303</v>
      </c>
      <c r="E3156">
        <f>YEAR(A3156)</f>
        <v>2014</v>
      </c>
      <c r="F3156" s="33">
        <f>DATE(YEAR(A3156),MONTH(A3156),1)</f>
        <v>41852.0</v>
      </c>
      <c r="G3156" t="str">
        <f>CHOOSE(WEEKDAY(A3156,2),"Mon","Tue","Wed","Thu","Fri","Sat","Sun")</f>
        <v>Sun</v>
      </c>
      <c r="H3156" t="str">
        <f>IF(WEEKDAY(A3156,2)&gt;5,"Weekend","Weekday")</f>
        <v>Weekend</v>
      </c>
      <c r="I3156" t="str">
        <f>_xlfn.IFS(B3156&lt;=5,"Night (0-5)",B3156&lt;=9,"Morning peak (6-9)",B3156&lt;=15,"Midday (10-15)",B3156&lt;=19,"Evening peak (16-19)",TRUE,"Late evening (20-23)")</f>
        <v>Midday (10-15)</v>
      </c>
    </row>
    <row r="3157" spans="1:9">
      <c r="A3157" s="32">
        <v>41861</v>
      </c>
      <c r="B3157">
        <v>11</v>
      </c>
      <c r="C3157">
        <v>890</v>
      </c>
      <c r="D3157" t="s">
        <v>303</v>
      </c>
      <c r="E3157">
        <f>YEAR(A3157)</f>
        <v>2014</v>
      </c>
      <c r="F3157" s="33">
        <f>DATE(YEAR(A3157),MONTH(A3157),1)</f>
        <v>41852.0</v>
      </c>
      <c r="G3157" t="str">
        <f>CHOOSE(WEEKDAY(A3157,2),"Mon","Tue","Wed","Thu","Fri","Sat","Sun")</f>
        <v>Sun</v>
      </c>
      <c r="H3157" t="str">
        <f>IF(WEEKDAY(A3157,2)&gt;5,"Weekend","Weekday")</f>
        <v>Weekend</v>
      </c>
      <c r="I3157" t="str">
        <f>_xlfn.IFS(B3157&lt;=5,"Night (0-5)",B3157&lt;=9,"Morning peak (6-9)",B3157&lt;=15,"Midday (10-15)",B3157&lt;=19,"Evening peak (16-19)",TRUE,"Late evening (20-23)")</f>
        <v>Midday (10-15)</v>
      </c>
    </row>
    <row r="3158" spans="1:9">
      <c r="A3158" s="32">
        <v>41861</v>
      </c>
      <c r="B3158">
        <v>12</v>
      </c>
      <c r="C3158">
        <v>951</v>
      </c>
      <c r="D3158" t="s">
        <v>303</v>
      </c>
      <c r="E3158">
        <f>YEAR(A3158)</f>
        <v>2014</v>
      </c>
      <c r="F3158" s="33">
        <f>DATE(YEAR(A3158),MONTH(A3158),1)</f>
        <v>41852.0</v>
      </c>
      <c r="G3158" t="str">
        <f>CHOOSE(WEEKDAY(A3158,2),"Mon","Tue","Wed","Thu","Fri","Sat","Sun")</f>
        <v>Sun</v>
      </c>
      <c r="H3158" t="str">
        <f>IF(WEEKDAY(A3158,2)&gt;5,"Weekend","Weekday")</f>
        <v>Weekend</v>
      </c>
      <c r="I3158" t="str">
        <f>_xlfn.IFS(B3158&lt;=5,"Night (0-5)",B3158&lt;=9,"Morning peak (6-9)",B3158&lt;=15,"Midday (10-15)",B3158&lt;=19,"Evening peak (16-19)",TRUE,"Late evening (20-23)")</f>
        <v>Midday (10-15)</v>
      </c>
    </row>
    <row r="3159" spans="1:9">
      <c r="A3159" s="32">
        <v>41861</v>
      </c>
      <c r="B3159">
        <v>13</v>
      </c>
      <c r="C3159">
        <v>1070</v>
      </c>
      <c r="D3159" t="s">
        <v>303</v>
      </c>
      <c r="E3159">
        <f>YEAR(A3159)</f>
        <v>2014</v>
      </c>
      <c r="F3159" s="33">
        <f>DATE(YEAR(A3159),MONTH(A3159),1)</f>
        <v>41852.0</v>
      </c>
      <c r="G3159" t="str">
        <f>CHOOSE(WEEKDAY(A3159,2),"Mon","Tue","Wed","Thu","Fri","Sat","Sun")</f>
        <v>Sun</v>
      </c>
      <c r="H3159" t="str">
        <f>IF(WEEKDAY(A3159,2)&gt;5,"Weekend","Weekday")</f>
        <v>Weekend</v>
      </c>
      <c r="I3159" t="str">
        <f>_xlfn.IFS(B3159&lt;=5,"Night (0-5)",B3159&lt;=9,"Morning peak (6-9)",B3159&lt;=15,"Midday (10-15)",B3159&lt;=19,"Evening peak (16-19)",TRUE,"Late evening (20-23)")</f>
        <v>Midday (10-15)</v>
      </c>
    </row>
    <row r="3160" spans="1:9">
      <c r="A3160" s="32">
        <v>41861</v>
      </c>
      <c r="B3160">
        <v>14</v>
      </c>
      <c r="C3160">
        <v>1090</v>
      </c>
      <c r="D3160" t="s">
        <v>303</v>
      </c>
      <c r="E3160">
        <f>YEAR(A3160)</f>
        <v>2014</v>
      </c>
      <c r="F3160" s="33">
        <f>DATE(YEAR(A3160),MONTH(A3160),1)</f>
        <v>41852.0</v>
      </c>
      <c r="G3160" t="str">
        <f>CHOOSE(WEEKDAY(A3160,2),"Mon","Tue","Wed","Thu","Fri","Sat","Sun")</f>
        <v>Sun</v>
      </c>
      <c r="H3160" t="str">
        <f>IF(WEEKDAY(A3160,2)&gt;5,"Weekend","Weekday")</f>
        <v>Weekend</v>
      </c>
      <c r="I3160" t="str">
        <f>_xlfn.IFS(B3160&lt;=5,"Night (0-5)",B3160&lt;=9,"Morning peak (6-9)",B3160&lt;=15,"Midday (10-15)",B3160&lt;=19,"Evening peak (16-19)",TRUE,"Late evening (20-23)")</f>
        <v>Midday (10-15)</v>
      </c>
    </row>
    <row r="3161" spans="1:9">
      <c r="A3161" s="32">
        <v>41861</v>
      </c>
      <c r="B3161">
        <v>15</v>
      </c>
      <c r="C3161">
        <v>1206</v>
      </c>
      <c r="D3161" t="s">
        <v>303</v>
      </c>
      <c r="E3161">
        <f>YEAR(A3161)</f>
        <v>2014</v>
      </c>
      <c r="F3161" s="33">
        <f>DATE(YEAR(A3161),MONTH(A3161),1)</f>
        <v>41852.0</v>
      </c>
      <c r="G3161" t="str">
        <f>CHOOSE(WEEKDAY(A3161,2),"Mon","Tue","Wed","Thu","Fri","Sat","Sun")</f>
        <v>Sun</v>
      </c>
      <c r="H3161" t="str">
        <f>IF(WEEKDAY(A3161,2)&gt;5,"Weekend","Weekday")</f>
        <v>Weekend</v>
      </c>
      <c r="I3161" t="str">
        <f>_xlfn.IFS(B3161&lt;=5,"Night (0-5)",B3161&lt;=9,"Morning peak (6-9)",B3161&lt;=15,"Midday (10-15)",B3161&lt;=19,"Evening peak (16-19)",TRUE,"Late evening (20-23)")</f>
        <v>Midday (10-15)</v>
      </c>
    </row>
    <row r="3162" spans="1:9">
      <c r="A3162" s="32">
        <v>41861</v>
      </c>
      <c r="B3162">
        <v>16</v>
      </c>
      <c r="C3162">
        <v>1313</v>
      </c>
      <c r="D3162" t="s">
        <v>303</v>
      </c>
      <c r="E3162">
        <f>YEAR(A3162)</f>
        <v>2014</v>
      </c>
      <c r="F3162" s="33">
        <f>DATE(YEAR(A3162),MONTH(A3162),1)</f>
        <v>41852.0</v>
      </c>
      <c r="G3162" t="str">
        <f>CHOOSE(WEEKDAY(A3162,2),"Mon","Tue","Wed","Thu","Fri","Sat","Sun")</f>
        <v>Sun</v>
      </c>
      <c r="H3162" t="str">
        <f>IF(WEEKDAY(A3162,2)&gt;5,"Weekend","Weekday")</f>
        <v>Weekend</v>
      </c>
      <c r="I3162" t="str">
        <f>_xlfn.IFS(B3162&lt;=5,"Night (0-5)",B3162&lt;=9,"Morning peak (6-9)",B3162&lt;=15,"Midday (10-15)",B3162&lt;=19,"Evening peak (16-19)",TRUE,"Late evening (20-23)")</f>
        <v>Evening peak (16-19)</v>
      </c>
    </row>
    <row r="3163" spans="1:9">
      <c r="A3163" s="32">
        <v>41861</v>
      </c>
      <c r="B3163">
        <v>17</v>
      </c>
      <c r="C3163">
        <v>1369</v>
      </c>
      <c r="D3163" t="s">
        <v>303</v>
      </c>
      <c r="E3163">
        <f>YEAR(A3163)</f>
        <v>2014</v>
      </c>
      <c r="F3163" s="33">
        <f>DATE(YEAR(A3163),MONTH(A3163),1)</f>
        <v>41852.0</v>
      </c>
      <c r="G3163" t="str">
        <f>CHOOSE(WEEKDAY(A3163,2),"Mon","Tue","Wed","Thu","Fri","Sat","Sun")</f>
        <v>Sun</v>
      </c>
      <c r="H3163" t="str">
        <f>IF(WEEKDAY(A3163,2)&gt;5,"Weekend","Weekday")</f>
        <v>Weekend</v>
      </c>
      <c r="I3163" t="str">
        <f>_xlfn.IFS(B3163&lt;=5,"Night (0-5)",B3163&lt;=9,"Morning peak (6-9)",B3163&lt;=15,"Midday (10-15)",B3163&lt;=19,"Evening peak (16-19)",TRUE,"Late evening (20-23)")</f>
        <v>Evening peak (16-19)</v>
      </c>
    </row>
    <row r="3164" spans="1:9">
      <c r="A3164" s="32">
        <v>41861</v>
      </c>
      <c r="B3164">
        <v>18</v>
      </c>
      <c r="C3164">
        <v>1190</v>
      </c>
      <c r="D3164" t="s">
        <v>303</v>
      </c>
      <c r="E3164">
        <f>YEAR(A3164)</f>
        <v>2014</v>
      </c>
      <c r="F3164" s="33">
        <f>DATE(YEAR(A3164),MONTH(A3164),1)</f>
        <v>41852.0</v>
      </c>
      <c r="G3164" t="str">
        <f>CHOOSE(WEEKDAY(A3164,2),"Mon","Tue","Wed","Thu","Fri","Sat","Sun")</f>
        <v>Sun</v>
      </c>
      <c r="H3164" t="str">
        <f>IF(WEEKDAY(A3164,2)&gt;5,"Weekend","Weekday")</f>
        <v>Weekend</v>
      </c>
      <c r="I3164" t="str">
        <f>_xlfn.IFS(B3164&lt;=5,"Night (0-5)",B3164&lt;=9,"Morning peak (6-9)",B3164&lt;=15,"Midday (10-15)",B3164&lt;=19,"Evening peak (16-19)",TRUE,"Late evening (20-23)")</f>
        <v>Evening peak (16-19)</v>
      </c>
    </row>
    <row r="3165" spans="1:9">
      <c r="A3165" s="32">
        <v>41861</v>
      </c>
      <c r="B3165">
        <v>19</v>
      </c>
      <c r="C3165">
        <v>1237</v>
      </c>
      <c r="D3165" t="s">
        <v>303</v>
      </c>
      <c r="E3165">
        <f>YEAR(A3165)</f>
        <v>2014</v>
      </c>
      <c r="F3165" s="33">
        <f>DATE(YEAR(A3165),MONTH(A3165),1)</f>
        <v>41852.0</v>
      </c>
      <c r="G3165" t="str">
        <f>CHOOSE(WEEKDAY(A3165,2),"Mon","Tue","Wed","Thu","Fri","Sat","Sun")</f>
        <v>Sun</v>
      </c>
      <c r="H3165" t="str">
        <f>IF(WEEKDAY(A3165,2)&gt;5,"Weekend","Weekday")</f>
        <v>Weekend</v>
      </c>
      <c r="I3165" t="str">
        <f>_xlfn.IFS(B3165&lt;=5,"Night (0-5)",B3165&lt;=9,"Morning peak (6-9)",B3165&lt;=15,"Midday (10-15)",B3165&lt;=19,"Evening peak (16-19)",TRUE,"Late evening (20-23)")</f>
        <v>Evening peak (16-19)</v>
      </c>
    </row>
    <row r="3166" spans="1:9">
      <c r="A3166" s="32">
        <v>41861</v>
      </c>
      <c r="B3166">
        <v>20</v>
      </c>
      <c r="C3166">
        <v>1155</v>
      </c>
      <c r="D3166" t="s">
        <v>303</v>
      </c>
      <c r="E3166">
        <f>YEAR(A3166)</f>
        <v>2014</v>
      </c>
      <c r="F3166" s="33">
        <f>DATE(YEAR(A3166),MONTH(A3166),1)</f>
        <v>41852.0</v>
      </c>
      <c r="G3166" t="str">
        <f>CHOOSE(WEEKDAY(A3166,2),"Mon","Tue","Wed","Thu","Fri","Sat","Sun")</f>
        <v>Sun</v>
      </c>
      <c r="H3166" t="str">
        <f>IF(WEEKDAY(A3166,2)&gt;5,"Weekend","Weekday")</f>
        <v>Weekend</v>
      </c>
      <c r="I3166" t="str">
        <f>_xlfn.IFS(B3166&lt;=5,"Night (0-5)",B3166&lt;=9,"Morning peak (6-9)",B3166&lt;=15,"Midday (10-15)",B3166&lt;=19,"Evening peak (16-19)",TRUE,"Late evening (20-23)")</f>
        <v>Late evening (20-23)</v>
      </c>
    </row>
    <row r="3167" spans="1:9">
      <c r="A3167" s="32">
        <v>41861</v>
      </c>
      <c r="B3167">
        <v>21</v>
      </c>
      <c r="C3167">
        <v>1041</v>
      </c>
      <c r="D3167" t="s">
        <v>303</v>
      </c>
      <c r="E3167">
        <f>YEAR(A3167)</f>
        <v>2014</v>
      </c>
      <c r="F3167" s="33">
        <f>DATE(YEAR(A3167),MONTH(A3167),1)</f>
        <v>41852.0</v>
      </c>
      <c r="G3167" t="str">
        <f>CHOOSE(WEEKDAY(A3167,2),"Mon","Tue","Wed","Thu","Fri","Sat","Sun")</f>
        <v>Sun</v>
      </c>
      <c r="H3167" t="str">
        <f>IF(WEEKDAY(A3167,2)&gt;5,"Weekend","Weekday")</f>
        <v>Weekend</v>
      </c>
      <c r="I3167" t="str">
        <f>_xlfn.IFS(B3167&lt;=5,"Night (0-5)",B3167&lt;=9,"Morning peak (6-9)",B3167&lt;=15,"Midday (10-15)",B3167&lt;=19,"Evening peak (16-19)",TRUE,"Late evening (20-23)")</f>
        <v>Late evening (20-23)</v>
      </c>
    </row>
    <row r="3168" spans="1:9">
      <c r="A3168" s="32">
        <v>41861</v>
      </c>
      <c r="B3168">
        <v>22</v>
      </c>
      <c r="C3168">
        <v>868</v>
      </c>
      <c r="D3168" t="s">
        <v>303</v>
      </c>
      <c r="E3168">
        <f>YEAR(A3168)</f>
        <v>2014</v>
      </c>
      <c r="F3168" s="33">
        <f>DATE(YEAR(A3168),MONTH(A3168),1)</f>
        <v>41852.0</v>
      </c>
      <c r="G3168" t="str">
        <f>CHOOSE(WEEKDAY(A3168,2),"Mon","Tue","Wed","Thu","Fri","Sat","Sun")</f>
        <v>Sun</v>
      </c>
      <c r="H3168" t="str">
        <f>IF(WEEKDAY(A3168,2)&gt;5,"Weekend","Weekday")</f>
        <v>Weekend</v>
      </c>
      <c r="I3168" t="str">
        <f>_xlfn.IFS(B3168&lt;=5,"Night (0-5)",B3168&lt;=9,"Morning peak (6-9)",B3168&lt;=15,"Midday (10-15)",B3168&lt;=19,"Evening peak (16-19)",TRUE,"Late evening (20-23)")</f>
        <v>Late evening (20-23)</v>
      </c>
    </row>
    <row r="3169" spans="1:9">
      <c r="A3169" s="32">
        <v>41861</v>
      </c>
      <c r="B3169">
        <v>23</v>
      </c>
      <c r="C3169">
        <v>572</v>
      </c>
      <c r="D3169" t="s">
        <v>303</v>
      </c>
      <c r="E3169">
        <f>YEAR(A3169)</f>
        <v>2014</v>
      </c>
      <c r="F3169" s="33">
        <f>DATE(YEAR(A3169),MONTH(A3169),1)</f>
        <v>41852.0</v>
      </c>
      <c r="G3169" t="str">
        <f>CHOOSE(WEEKDAY(A3169,2),"Mon","Tue","Wed","Thu","Fri","Sat","Sun")</f>
        <v>Sun</v>
      </c>
      <c r="H3169" t="str">
        <f>IF(WEEKDAY(A3169,2)&gt;5,"Weekend","Weekday")</f>
        <v>Weekend</v>
      </c>
      <c r="I3169" t="str">
        <f>_xlfn.IFS(B3169&lt;=5,"Night (0-5)",B3169&lt;=9,"Morning peak (6-9)",B3169&lt;=15,"Midday (10-15)",B3169&lt;=19,"Evening peak (16-19)",TRUE,"Late evening (20-23)")</f>
        <v>Late evening (20-23)</v>
      </c>
    </row>
    <row r="3170" spans="1:9">
      <c r="A3170" s="32">
        <v>41862</v>
      </c>
      <c r="B3170">
        <v>0</v>
      </c>
      <c r="C3170">
        <v>288</v>
      </c>
      <c r="D3170" t="s">
        <v>303</v>
      </c>
      <c r="E3170">
        <f>YEAR(A3170)</f>
        <v>2014</v>
      </c>
      <c r="F3170" s="33">
        <f>DATE(YEAR(A3170),MONTH(A3170),1)</f>
        <v>41852.0</v>
      </c>
      <c r="G3170" t="str">
        <f>CHOOSE(WEEKDAY(A3170,2),"Mon","Tue","Wed","Thu","Fri","Sat","Sun")</f>
        <v>Mon</v>
      </c>
      <c r="H3170" t="str">
        <f>IF(WEEKDAY(A3170,2)&gt;5,"Weekend","Weekday")</f>
        <v>Weekday</v>
      </c>
      <c r="I3170" t="str">
        <f>_xlfn.IFS(B3170&lt;=5,"Night (0-5)",B3170&lt;=9,"Morning peak (6-9)",B3170&lt;=15,"Midday (10-15)",B3170&lt;=19,"Evening peak (16-19)",TRUE,"Late evening (20-23)")</f>
        <v>Night (0-5)</v>
      </c>
    </row>
    <row r="3171" spans="1:9">
      <c r="A3171" s="32">
        <v>41862</v>
      </c>
      <c r="B3171">
        <v>1</v>
      </c>
      <c r="C3171">
        <v>153</v>
      </c>
      <c r="D3171" t="s">
        <v>303</v>
      </c>
      <c r="E3171">
        <f>YEAR(A3171)</f>
        <v>2014</v>
      </c>
      <c r="F3171" s="33">
        <f>DATE(YEAR(A3171),MONTH(A3171),1)</f>
        <v>41852.0</v>
      </c>
      <c r="G3171" t="str">
        <f>CHOOSE(WEEKDAY(A3171,2),"Mon","Tue","Wed","Thu","Fri","Sat","Sun")</f>
        <v>Mon</v>
      </c>
      <c r="H3171" t="str">
        <f>IF(WEEKDAY(A3171,2)&gt;5,"Weekend","Weekday")</f>
        <v>Weekday</v>
      </c>
      <c r="I3171" t="str">
        <f>_xlfn.IFS(B3171&lt;=5,"Night (0-5)",B3171&lt;=9,"Morning peak (6-9)",B3171&lt;=15,"Midday (10-15)",B3171&lt;=19,"Evening peak (16-19)",TRUE,"Late evening (20-23)")</f>
        <v>Night (0-5)</v>
      </c>
    </row>
    <row r="3172" spans="1:9">
      <c r="A3172" s="32">
        <v>41862</v>
      </c>
      <c r="B3172">
        <v>2</v>
      </c>
      <c r="C3172">
        <v>153</v>
      </c>
      <c r="D3172" t="s">
        <v>303</v>
      </c>
      <c r="E3172">
        <f>YEAR(A3172)</f>
        <v>2014</v>
      </c>
      <c r="F3172" s="33">
        <f>DATE(YEAR(A3172),MONTH(A3172),1)</f>
        <v>41852.0</v>
      </c>
      <c r="G3172" t="str">
        <f>CHOOSE(WEEKDAY(A3172,2),"Mon","Tue","Wed","Thu","Fri","Sat","Sun")</f>
        <v>Mon</v>
      </c>
      <c r="H3172" t="str">
        <f>IF(WEEKDAY(A3172,2)&gt;5,"Weekend","Weekday")</f>
        <v>Weekday</v>
      </c>
      <c r="I3172" t="str">
        <f>_xlfn.IFS(B3172&lt;=5,"Night (0-5)",B3172&lt;=9,"Morning peak (6-9)",B3172&lt;=15,"Midday (10-15)",B3172&lt;=19,"Evening peak (16-19)",TRUE,"Late evening (20-23)")</f>
        <v>Night (0-5)</v>
      </c>
    </row>
    <row r="3173" spans="1:9">
      <c r="A3173" s="32">
        <v>41862</v>
      </c>
      <c r="B3173">
        <v>3</v>
      </c>
      <c r="C3173">
        <v>289</v>
      </c>
      <c r="D3173" t="s">
        <v>303</v>
      </c>
      <c r="E3173">
        <f>YEAR(A3173)</f>
        <v>2014</v>
      </c>
      <c r="F3173" s="33">
        <f>DATE(YEAR(A3173),MONTH(A3173),1)</f>
        <v>41852.0</v>
      </c>
      <c r="G3173" t="str">
        <f>CHOOSE(WEEKDAY(A3173,2),"Mon","Tue","Wed","Thu","Fri","Sat","Sun")</f>
        <v>Mon</v>
      </c>
      <c r="H3173" t="str">
        <f>IF(WEEKDAY(A3173,2)&gt;5,"Weekend","Weekday")</f>
        <v>Weekday</v>
      </c>
      <c r="I3173" t="str">
        <f>_xlfn.IFS(B3173&lt;=5,"Night (0-5)",B3173&lt;=9,"Morning peak (6-9)",B3173&lt;=15,"Midday (10-15)",B3173&lt;=19,"Evening peak (16-19)",TRUE,"Late evening (20-23)")</f>
        <v>Night (0-5)</v>
      </c>
    </row>
    <row r="3174" spans="1:9">
      <c r="A3174" s="32">
        <v>41862</v>
      </c>
      <c r="B3174">
        <v>4</v>
      </c>
      <c r="C3174">
        <v>469</v>
      </c>
      <c r="D3174" t="s">
        <v>303</v>
      </c>
      <c r="E3174">
        <f>YEAR(A3174)</f>
        <v>2014</v>
      </c>
      <c r="F3174" s="33">
        <f>DATE(YEAR(A3174),MONTH(A3174),1)</f>
        <v>41852.0</v>
      </c>
      <c r="G3174" t="str">
        <f>CHOOSE(WEEKDAY(A3174,2),"Mon","Tue","Wed","Thu","Fri","Sat","Sun")</f>
        <v>Mon</v>
      </c>
      <c r="H3174" t="str">
        <f>IF(WEEKDAY(A3174,2)&gt;5,"Weekend","Weekday")</f>
        <v>Weekday</v>
      </c>
      <c r="I3174" t="str">
        <f>_xlfn.IFS(B3174&lt;=5,"Night (0-5)",B3174&lt;=9,"Morning peak (6-9)",B3174&lt;=15,"Midday (10-15)",B3174&lt;=19,"Evening peak (16-19)",TRUE,"Late evening (20-23)")</f>
        <v>Night (0-5)</v>
      </c>
    </row>
    <row r="3175" spans="1:9">
      <c r="A3175" s="32">
        <v>41862</v>
      </c>
      <c r="B3175">
        <v>5</v>
      </c>
      <c r="C3175">
        <v>697</v>
      </c>
      <c r="D3175" t="s">
        <v>303</v>
      </c>
      <c r="E3175">
        <f>YEAR(A3175)</f>
        <v>2014</v>
      </c>
      <c r="F3175" s="33">
        <f>DATE(YEAR(A3175),MONTH(A3175),1)</f>
        <v>41852.0</v>
      </c>
      <c r="G3175" t="str">
        <f>CHOOSE(WEEKDAY(A3175,2),"Mon","Tue","Wed","Thu","Fri","Sat","Sun")</f>
        <v>Mon</v>
      </c>
      <c r="H3175" t="str">
        <f>IF(WEEKDAY(A3175,2)&gt;5,"Weekend","Weekday")</f>
        <v>Weekday</v>
      </c>
      <c r="I3175" t="str">
        <f>_xlfn.IFS(B3175&lt;=5,"Night (0-5)",B3175&lt;=9,"Morning peak (6-9)",B3175&lt;=15,"Midday (10-15)",B3175&lt;=19,"Evening peak (16-19)",TRUE,"Late evening (20-23)")</f>
        <v>Night (0-5)</v>
      </c>
    </row>
    <row r="3176" spans="1:9">
      <c r="A3176" s="32">
        <v>41862</v>
      </c>
      <c r="B3176">
        <v>6</v>
      </c>
      <c r="C3176">
        <v>985</v>
      </c>
      <c r="D3176" t="s">
        <v>303</v>
      </c>
      <c r="E3176">
        <f>YEAR(A3176)</f>
        <v>2014</v>
      </c>
      <c r="F3176" s="33">
        <f>DATE(YEAR(A3176),MONTH(A3176),1)</f>
        <v>41852.0</v>
      </c>
      <c r="G3176" t="str">
        <f>CHOOSE(WEEKDAY(A3176,2),"Mon","Tue","Wed","Thu","Fri","Sat","Sun")</f>
        <v>Mon</v>
      </c>
      <c r="H3176" t="str">
        <f>IF(WEEKDAY(A3176,2)&gt;5,"Weekend","Weekday")</f>
        <v>Weekday</v>
      </c>
      <c r="I3176" t="str">
        <f>_xlfn.IFS(B3176&lt;=5,"Night (0-5)",B3176&lt;=9,"Morning peak (6-9)",B3176&lt;=15,"Midday (10-15)",B3176&lt;=19,"Evening peak (16-19)",TRUE,"Late evening (20-23)")</f>
        <v>Morning peak (6-9)</v>
      </c>
    </row>
    <row r="3177" spans="1:9">
      <c r="A3177" s="32">
        <v>41862</v>
      </c>
      <c r="B3177">
        <v>7</v>
      </c>
      <c r="C3177">
        <v>1297</v>
      </c>
      <c r="D3177" t="s">
        <v>303</v>
      </c>
      <c r="E3177">
        <f>YEAR(A3177)</f>
        <v>2014</v>
      </c>
      <c r="F3177" s="33">
        <f>DATE(YEAR(A3177),MONTH(A3177),1)</f>
        <v>41852.0</v>
      </c>
      <c r="G3177" t="str">
        <f>CHOOSE(WEEKDAY(A3177,2),"Mon","Tue","Wed","Thu","Fri","Sat","Sun")</f>
        <v>Mon</v>
      </c>
      <c r="H3177" t="str">
        <f>IF(WEEKDAY(A3177,2)&gt;5,"Weekend","Weekday")</f>
        <v>Weekday</v>
      </c>
      <c r="I3177" t="str">
        <f>_xlfn.IFS(B3177&lt;=5,"Night (0-5)",B3177&lt;=9,"Morning peak (6-9)",B3177&lt;=15,"Midday (10-15)",B3177&lt;=19,"Evening peak (16-19)",TRUE,"Late evening (20-23)")</f>
        <v>Morning peak (6-9)</v>
      </c>
    </row>
    <row r="3178" spans="1:9">
      <c r="A3178" s="32">
        <v>41862</v>
      </c>
      <c r="B3178">
        <v>8</v>
      </c>
      <c r="C3178">
        <v>1230</v>
      </c>
      <c r="D3178" t="s">
        <v>303</v>
      </c>
      <c r="E3178">
        <f>YEAR(A3178)</f>
        <v>2014</v>
      </c>
      <c r="F3178" s="33">
        <f>DATE(YEAR(A3178),MONTH(A3178),1)</f>
        <v>41852.0</v>
      </c>
      <c r="G3178" t="str">
        <f>CHOOSE(WEEKDAY(A3178,2),"Mon","Tue","Wed","Thu","Fri","Sat","Sun")</f>
        <v>Mon</v>
      </c>
      <c r="H3178" t="str">
        <f>IF(WEEKDAY(A3178,2)&gt;5,"Weekend","Weekday")</f>
        <v>Weekday</v>
      </c>
      <c r="I3178" t="str">
        <f>_xlfn.IFS(B3178&lt;=5,"Night (0-5)",B3178&lt;=9,"Morning peak (6-9)",B3178&lt;=15,"Midday (10-15)",B3178&lt;=19,"Evening peak (16-19)",TRUE,"Late evening (20-23)")</f>
        <v>Morning peak (6-9)</v>
      </c>
    </row>
    <row r="3179" spans="1:9">
      <c r="A3179" s="32">
        <v>41862</v>
      </c>
      <c r="B3179">
        <v>9</v>
      </c>
      <c r="C3179">
        <v>932</v>
      </c>
      <c r="D3179" t="s">
        <v>303</v>
      </c>
      <c r="E3179">
        <f>YEAR(A3179)</f>
        <v>2014</v>
      </c>
      <c r="F3179" s="33">
        <f>DATE(YEAR(A3179),MONTH(A3179),1)</f>
        <v>41852.0</v>
      </c>
      <c r="G3179" t="str">
        <f>CHOOSE(WEEKDAY(A3179,2),"Mon","Tue","Wed","Thu","Fri","Sat","Sun")</f>
        <v>Mon</v>
      </c>
      <c r="H3179" t="str">
        <f>IF(WEEKDAY(A3179,2)&gt;5,"Weekend","Weekday")</f>
        <v>Weekday</v>
      </c>
      <c r="I3179" t="str">
        <f>_xlfn.IFS(B3179&lt;=5,"Night (0-5)",B3179&lt;=9,"Morning peak (6-9)",B3179&lt;=15,"Midday (10-15)",B3179&lt;=19,"Evening peak (16-19)",TRUE,"Late evening (20-23)")</f>
        <v>Morning peak (6-9)</v>
      </c>
    </row>
    <row r="3180" spans="1:9">
      <c r="A3180" s="32">
        <v>41862</v>
      </c>
      <c r="B3180">
        <v>10</v>
      </c>
      <c r="C3180">
        <v>963</v>
      </c>
      <c r="D3180" t="s">
        <v>303</v>
      </c>
      <c r="E3180">
        <f>YEAR(A3180)</f>
        <v>2014</v>
      </c>
      <c r="F3180" s="33">
        <f>DATE(YEAR(A3180),MONTH(A3180),1)</f>
        <v>41852.0</v>
      </c>
      <c r="G3180" t="str">
        <f>CHOOSE(WEEKDAY(A3180,2),"Mon","Tue","Wed","Thu","Fri","Sat","Sun")</f>
        <v>Mon</v>
      </c>
      <c r="H3180" t="str">
        <f>IF(WEEKDAY(A3180,2)&gt;5,"Weekend","Weekday")</f>
        <v>Weekday</v>
      </c>
      <c r="I3180" t="str">
        <f>_xlfn.IFS(B3180&lt;=5,"Night (0-5)",B3180&lt;=9,"Morning peak (6-9)",B3180&lt;=15,"Midday (10-15)",B3180&lt;=19,"Evening peak (16-19)",TRUE,"Late evening (20-23)")</f>
        <v>Midday (10-15)</v>
      </c>
    </row>
    <row r="3181" spans="1:9">
      <c r="A3181" s="32">
        <v>41862</v>
      </c>
      <c r="B3181">
        <v>11</v>
      </c>
      <c r="C3181">
        <v>891</v>
      </c>
      <c r="D3181" t="s">
        <v>303</v>
      </c>
      <c r="E3181">
        <f>YEAR(A3181)</f>
        <v>2014</v>
      </c>
      <c r="F3181" s="33">
        <f>DATE(YEAR(A3181),MONTH(A3181),1)</f>
        <v>41852.0</v>
      </c>
      <c r="G3181" t="str">
        <f>CHOOSE(WEEKDAY(A3181,2),"Mon","Tue","Wed","Thu","Fri","Sat","Sun")</f>
        <v>Mon</v>
      </c>
      <c r="H3181" t="str">
        <f>IF(WEEKDAY(A3181,2)&gt;5,"Weekend","Weekday")</f>
        <v>Weekday</v>
      </c>
      <c r="I3181" t="str">
        <f>_xlfn.IFS(B3181&lt;=5,"Night (0-5)",B3181&lt;=9,"Morning peak (6-9)",B3181&lt;=15,"Midday (10-15)",B3181&lt;=19,"Evening peak (16-19)",TRUE,"Late evening (20-23)")</f>
        <v>Midday (10-15)</v>
      </c>
    </row>
    <row r="3182" spans="1:9">
      <c r="A3182" s="32">
        <v>41862</v>
      </c>
      <c r="B3182">
        <v>12</v>
      </c>
      <c r="C3182">
        <v>908</v>
      </c>
      <c r="D3182" t="s">
        <v>303</v>
      </c>
      <c r="E3182">
        <f>YEAR(A3182)</f>
        <v>2014</v>
      </c>
      <c r="F3182" s="33">
        <f>DATE(YEAR(A3182),MONTH(A3182),1)</f>
        <v>41852.0</v>
      </c>
      <c r="G3182" t="str">
        <f>CHOOSE(WEEKDAY(A3182,2),"Mon","Tue","Wed","Thu","Fri","Sat","Sun")</f>
        <v>Mon</v>
      </c>
      <c r="H3182" t="str">
        <f>IF(WEEKDAY(A3182,2)&gt;5,"Weekend","Weekday")</f>
        <v>Weekday</v>
      </c>
      <c r="I3182" t="str">
        <f>_xlfn.IFS(B3182&lt;=5,"Night (0-5)",B3182&lt;=9,"Morning peak (6-9)",B3182&lt;=15,"Midday (10-15)",B3182&lt;=19,"Evening peak (16-19)",TRUE,"Late evening (20-23)")</f>
        <v>Midday (10-15)</v>
      </c>
    </row>
    <row r="3183" spans="1:9">
      <c r="A3183" s="32">
        <v>41862</v>
      </c>
      <c r="B3183">
        <v>13</v>
      </c>
      <c r="C3183">
        <v>971</v>
      </c>
      <c r="D3183" t="s">
        <v>303</v>
      </c>
      <c r="E3183">
        <f>YEAR(A3183)</f>
        <v>2014</v>
      </c>
      <c r="F3183" s="33">
        <f>DATE(YEAR(A3183),MONTH(A3183),1)</f>
        <v>41852.0</v>
      </c>
      <c r="G3183" t="str">
        <f>CHOOSE(WEEKDAY(A3183,2),"Mon","Tue","Wed","Thu","Fri","Sat","Sun")</f>
        <v>Mon</v>
      </c>
      <c r="H3183" t="str">
        <f>IF(WEEKDAY(A3183,2)&gt;5,"Weekend","Weekday")</f>
        <v>Weekday</v>
      </c>
      <c r="I3183" t="str">
        <f>_xlfn.IFS(B3183&lt;=5,"Night (0-5)",B3183&lt;=9,"Morning peak (6-9)",B3183&lt;=15,"Midday (10-15)",B3183&lt;=19,"Evening peak (16-19)",TRUE,"Late evening (20-23)")</f>
        <v>Midday (10-15)</v>
      </c>
    </row>
    <row r="3184" spans="1:9">
      <c r="A3184" s="32">
        <v>41862</v>
      </c>
      <c r="B3184">
        <v>14</v>
      </c>
      <c r="C3184">
        <v>1088</v>
      </c>
      <c r="D3184" t="s">
        <v>303</v>
      </c>
      <c r="E3184">
        <f>YEAR(A3184)</f>
        <v>2014</v>
      </c>
      <c r="F3184" s="33">
        <f>DATE(YEAR(A3184),MONTH(A3184),1)</f>
        <v>41852.0</v>
      </c>
      <c r="G3184" t="str">
        <f>CHOOSE(WEEKDAY(A3184,2),"Mon","Tue","Wed","Thu","Fri","Sat","Sun")</f>
        <v>Mon</v>
      </c>
      <c r="H3184" t="str">
        <f>IF(WEEKDAY(A3184,2)&gt;5,"Weekend","Weekday")</f>
        <v>Weekday</v>
      </c>
      <c r="I3184" t="str">
        <f>_xlfn.IFS(B3184&lt;=5,"Night (0-5)",B3184&lt;=9,"Morning peak (6-9)",B3184&lt;=15,"Midday (10-15)",B3184&lt;=19,"Evening peak (16-19)",TRUE,"Late evening (20-23)")</f>
        <v>Midday (10-15)</v>
      </c>
    </row>
    <row r="3185" spans="1:9">
      <c r="A3185" s="32">
        <v>41862</v>
      </c>
      <c r="B3185">
        <v>15</v>
      </c>
      <c r="C3185">
        <v>1243</v>
      </c>
      <c r="D3185" t="s">
        <v>303</v>
      </c>
      <c r="E3185">
        <f>YEAR(A3185)</f>
        <v>2014</v>
      </c>
      <c r="F3185" s="33">
        <f>DATE(YEAR(A3185),MONTH(A3185),1)</f>
        <v>41852.0</v>
      </c>
      <c r="G3185" t="str">
        <f>CHOOSE(WEEKDAY(A3185,2),"Mon","Tue","Wed","Thu","Fri","Sat","Sun")</f>
        <v>Mon</v>
      </c>
      <c r="H3185" t="str">
        <f>IF(WEEKDAY(A3185,2)&gt;5,"Weekend","Weekday")</f>
        <v>Weekday</v>
      </c>
      <c r="I3185" t="str">
        <f>_xlfn.IFS(B3185&lt;=5,"Night (0-5)",B3185&lt;=9,"Morning peak (6-9)",B3185&lt;=15,"Midday (10-15)",B3185&lt;=19,"Evening peak (16-19)",TRUE,"Late evening (20-23)")</f>
        <v>Midday (10-15)</v>
      </c>
    </row>
    <row r="3186" spans="1:9">
      <c r="A3186" s="32">
        <v>41862</v>
      </c>
      <c r="B3186">
        <v>16</v>
      </c>
      <c r="C3186">
        <v>1437</v>
      </c>
      <c r="D3186" t="s">
        <v>303</v>
      </c>
      <c r="E3186">
        <f>YEAR(A3186)</f>
        <v>2014</v>
      </c>
      <c r="F3186" s="33">
        <f>DATE(YEAR(A3186),MONTH(A3186),1)</f>
        <v>41852.0</v>
      </c>
      <c r="G3186" t="str">
        <f>CHOOSE(WEEKDAY(A3186,2),"Mon","Tue","Wed","Thu","Fri","Sat","Sun")</f>
        <v>Mon</v>
      </c>
      <c r="H3186" t="str">
        <f>IF(WEEKDAY(A3186,2)&gt;5,"Weekend","Weekday")</f>
        <v>Weekday</v>
      </c>
      <c r="I3186" t="str">
        <f>_xlfn.IFS(B3186&lt;=5,"Night (0-5)",B3186&lt;=9,"Morning peak (6-9)",B3186&lt;=15,"Midday (10-15)",B3186&lt;=19,"Evening peak (16-19)",TRUE,"Late evening (20-23)")</f>
        <v>Evening peak (16-19)</v>
      </c>
    </row>
    <row r="3187" spans="1:9">
      <c r="A3187" s="32">
        <v>41862</v>
      </c>
      <c r="B3187">
        <v>17</v>
      </c>
      <c r="C3187">
        <v>1627</v>
      </c>
      <c r="D3187" t="s">
        <v>303</v>
      </c>
      <c r="E3187">
        <f>YEAR(A3187)</f>
        <v>2014</v>
      </c>
      <c r="F3187" s="33">
        <f>DATE(YEAR(A3187),MONTH(A3187),1)</f>
        <v>41852.0</v>
      </c>
      <c r="G3187" t="str">
        <f>CHOOSE(WEEKDAY(A3187,2),"Mon","Tue","Wed","Thu","Fri","Sat","Sun")</f>
        <v>Mon</v>
      </c>
      <c r="H3187" t="str">
        <f>IF(WEEKDAY(A3187,2)&gt;5,"Weekend","Weekday")</f>
        <v>Weekday</v>
      </c>
      <c r="I3187" t="str">
        <f>_xlfn.IFS(B3187&lt;=5,"Night (0-5)",B3187&lt;=9,"Morning peak (6-9)",B3187&lt;=15,"Midday (10-15)",B3187&lt;=19,"Evening peak (16-19)",TRUE,"Late evening (20-23)")</f>
        <v>Evening peak (16-19)</v>
      </c>
    </row>
    <row r="3188" spans="1:9">
      <c r="A3188" s="32">
        <v>41862</v>
      </c>
      <c r="B3188">
        <v>18</v>
      </c>
      <c r="C3188">
        <v>1544</v>
      </c>
      <c r="D3188" t="s">
        <v>303</v>
      </c>
      <c r="E3188">
        <f>YEAR(A3188)</f>
        <v>2014</v>
      </c>
      <c r="F3188" s="33">
        <f>DATE(YEAR(A3188),MONTH(A3188),1)</f>
        <v>41852.0</v>
      </c>
      <c r="G3188" t="str">
        <f>CHOOSE(WEEKDAY(A3188,2),"Mon","Tue","Wed","Thu","Fri","Sat","Sun")</f>
        <v>Mon</v>
      </c>
      <c r="H3188" t="str">
        <f>IF(WEEKDAY(A3188,2)&gt;5,"Weekend","Weekday")</f>
        <v>Weekday</v>
      </c>
      <c r="I3188" t="str">
        <f>_xlfn.IFS(B3188&lt;=5,"Night (0-5)",B3188&lt;=9,"Morning peak (6-9)",B3188&lt;=15,"Midday (10-15)",B3188&lt;=19,"Evening peak (16-19)",TRUE,"Late evening (20-23)")</f>
        <v>Evening peak (16-19)</v>
      </c>
    </row>
    <row r="3189" spans="1:9">
      <c r="A3189" s="32">
        <v>41862</v>
      </c>
      <c r="B3189">
        <v>19</v>
      </c>
      <c r="C3189">
        <v>1458</v>
      </c>
      <c r="D3189" t="s">
        <v>303</v>
      </c>
      <c r="E3189">
        <f>YEAR(A3189)</f>
        <v>2014</v>
      </c>
      <c r="F3189" s="33">
        <f>DATE(YEAR(A3189),MONTH(A3189),1)</f>
        <v>41852.0</v>
      </c>
      <c r="G3189" t="str">
        <f>CHOOSE(WEEKDAY(A3189,2),"Mon","Tue","Wed","Thu","Fri","Sat","Sun")</f>
        <v>Mon</v>
      </c>
      <c r="H3189" t="str">
        <f>IF(WEEKDAY(A3189,2)&gt;5,"Weekend","Weekday")</f>
        <v>Weekday</v>
      </c>
      <c r="I3189" t="str">
        <f>_xlfn.IFS(B3189&lt;=5,"Night (0-5)",B3189&lt;=9,"Morning peak (6-9)",B3189&lt;=15,"Midday (10-15)",B3189&lt;=19,"Evening peak (16-19)",TRUE,"Late evening (20-23)")</f>
        <v>Evening peak (16-19)</v>
      </c>
    </row>
    <row r="3190" spans="1:9">
      <c r="A3190" s="32">
        <v>41862</v>
      </c>
      <c r="B3190">
        <v>20</v>
      </c>
      <c r="C3190">
        <v>1398</v>
      </c>
      <c r="D3190" t="s">
        <v>303</v>
      </c>
      <c r="E3190">
        <f>YEAR(A3190)</f>
        <v>2014</v>
      </c>
      <c r="F3190" s="33">
        <f>DATE(YEAR(A3190),MONTH(A3190),1)</f>
        <v>41852.0</v>
      </c>
      <c r="G3190" t="str">
        <f>CHOOSE(WEEKDAY(A3190,2),"Mon","Tue","Wed","Thu","Fri","Sat","Sun")</f>
        <v>Mon</v>
      </c>
      <c r="H3190" t="str">
        <f>IF(WEEKDAY(A3190,2)&gt;5,"Weekend","Weekday")</f>
        <v>Weekday</v>
      </c>
      <c r="I3190" t="str">
        <f>_xlfn.IFS(B3190&lt;=5,"Night (0-5)",B3190&lt;=9,"Morning peak (6-9)",B3190&lt;=15,"Midday (10-15)",B3190&lt;=19,"Evening peak (16-19)",TRUE,"Late evening (20-23)")</f>
        <v>Late evening (20-23)</v>
      </c>
    </row>
    <row r="3191" spans="1:9">
      <c r="A3191" s="32">
        <v>41862</v>
      </c>
      <c r="B3191">
        <v>21</v>
      </c>
      <c r="C3191">
        <v>1156</v>
      </c>
      <c r="D3191" t="s">
        <v>303</v>
      </c>
      <c r="E3191">
        <f>YEAR(A3191)</f>
        <v>2014</v>
      </c>
      <c r="F3191" s="33">
        <f>DATE(YEAR(A3191),MONTH(A3191),1)</f>
        <v>41852.0</v>
      </c>
      <c r="G3191" t="str">
        <f>CHOOSE(WEEKDAY(A3191,2),"Mon","Tue","Wed","Thu","Fri","Sat","Sun")</f>
        <v>Mon</v>
      </c>
      <c r="H3191" t="str">
        <f>IF(WEEKDAY(A3191,2)&gt;5,"Weekend","Weekday")</f>
        <v>Weekday</v>
      </c>
      <c r="I3191" t="str">
        <f>_xlfn.IFS(B3191&lt;=5,"Night (0-5)",B3191&lt;=9,"Morning peak (6-9)",B3191&lt;=15,"Midday (10-15)",B3191&lt;=19,"Evening peak (16-19)",TRUE,"Late evening (20-23)")</f>
        <v>Late evening (20-23)</v>
      </c>
    </row>
    <row r="3192" spans="1:9">
      <c r="A3192" s="32">
        <v>41862</v>
      </c>
      <c r="B3192">
        <v>22</v>
      </c>
      <c r="C3192">
        <v>926</v>
      </c>
      <c r="D3192" t="s">
        <v>303</v>
      </c>
      <c r="E3192">
        <f>YEAR(A3192)</f>
        <v>2014</v>
      </c>
      <c r="F3192" s="33">
        <f>DATE(YEAR(A3192),MONTH(A3192),1)</f>
        <v>41852.0</v>
      </c>
      <c r="G3192" t="str">
        <f>CHOOSE(WEEKDAY(A3192,2),"Mon","Tue","Wed","Thu","Fri","Sat","Sun")</f>
        <v>Mon</v>
      </c>
      <c r="H3192" t="str">
        <f>IF(WEEKDAY(A3192,2)&gt;5,"Weekend","Weekday")</f>
        <v>Weekday</v>
      </c>
      <c r="I3192" t="str">
        <f>_xlfn.IFS(B3192&lt;=5,"Night (0-5)",B3192&lt;=9,"Morning peak (6-9)",B3192&lt;=15,"Midday (10-15)",B3192&lt;=19,"Evening peak (16-19)",TRUE,"Late evening (20-23)")</f>
        <v>Late evening (20-23)</v>
      </c>
    </row>
    <row r="3193" spans="1:9">
      <c r="A3193" s="32">
        <v>41862</v>
      </c>
      <c r="B3193">
        <v>23</v>
      </c>
      <c r="C3193">
        <v>529</v>
      </c>
      <c r="D3193" t="s">
        <v>303</v>
      </c>
      <c r="E3193">
        <f>YEAR(A3193)</f>
        <v>2014</v>
      </c>
      <c r="F3193" s="33">
        <f>DATE(YEAR(A3193),MONTH(A3193),1)</f>
        <v>41852.0</v>
      </c>
      <c r="G3193" t="str">
        <f>CHOOSE(WEEKDAY(A3193,2),"Mon","Tue","Wed","Thu","Fri","Sat","Sun")</f>
        <v>Mon</v>
      </c>
      <c r="H3193" t="str">
        <f>IF(WEEKDAY(A3193,2)&gt;5,"Weekend","Weekday")</f>
        <v>Weekday</v>
      </c>
      <c r="I3193" t="str">
        <f>_xlfn.IFS(B3193&lt;=5,"Night (0-5)",B3193&lt;=9,"Morning peak (6-9)",B3193&lt;=15,"Midday (10-15)",B3193&lt;=19,"Evening peak (16-19)",TRUE,"Late evening (20-23)")</f>
        <v>Late evening (20-23)</v>
      </c>
    </row>
    <row r="3194" spans="1:9">
      <c r="A3194" s="32">
        <v>41863</v>
      </c>
      <c r="B3194">
        <v>0</v>
      </c>
      <c r="C3194">
        <v>290</v>
      </c>
      <c r="D3194" t="s">
        <v>303</v>
      </c>
      <c r="E3194">
        <f>YEAR(A3194)</f>
        <v>2014</v>
      </c>
      <c r="F3194" s="33">
        <f>DATE(YEAR(A3194),MONTH(A3194),1)</f>
        <v>41852.0</v>
      </c>
      <c r="G3194" t="str">
        <f>CHOOSE(WEEKDAY(A3194,2),"Mon","Tue","Wed","Thu","Fri","Sat","Sun")</f>
        <v>Tue</v>
      </c>
      <c r="H3194" t="str">
        <f>IF(WEEKDAY(A3194,2)&gt;5,"Weekend","Weekday")</f>
        <v>Weekday</v>
      </c>
      <c r="I3194" t="str">
        <f>_xlfn.IFS(B3194&lt;=5,"Night (0-5)",B3194&lt;=9,"Morning peak (6-9)",B3194&lt;=15,"Midday (10-15)",B3194&lt;=19,"Evening peak (16-19)",TRUE,"Late evening (20-23)")</f>
        <v>Night (0-5)</v>
      </c>
    </row>
    <row r="3195" spans="1:9">
      <c r="A3195" s="32">
        <v>41863</v>
      </c>
      <c r="B3195">
        <v>1</v>
      </c>
      <c r="C3195">
        <v>185</v>
      </c>
      <c r="D3195" t="s">
        <v>303</v>
      </c>
      <c r="E3195">
        <f>YEAR(A3195)</f>
        <v>2014</v>
      </c>
      <c r="F3195" s="33">
        <f>DATE(YEAR(A3195),MONTH(A3195),1)</f>
        <v>41852.0</v>
      </c>
      <c r="G3195" t="str">
        <f>CHOOSE(WEEKDAY(A3195,2),"Mon","Tue","Wed","Thu","Fri","Sat","Sun")</f>
        <v>Tue</v>
      </c>
      <c r="H3195" t="str">
        <f>IF(WEEKDAY(A3195,2)&gt;5,"Weekend","Weekday")</f>
        <v>Weekday</v>
      </c>
      <c r="I3195" t="str">
        <f>_xlfn.IFS(B3195&lt;=5,"Night (0-5)",B3195&lt;=9,"Morning peak (6-9)",B3195&lt;=15,"Midday (10-15)",B3195&lt;=19,"Evening peak (16-19)",TRUE,"Late evening (20-23)")</f>
        <v>Night (0-5)</v>
      </c>
    </row>
    <row r="3196" spans="1:9">
      <c r="A3196" s="32">
        <v>41863</v>
      </c>
      <c r="B3196">
        <v>2</v>
      </c>
      <c r="C3196">
        <v>111</v>
      </c>
      <c r="D3196" t="s">
        <v>303</v>
      </c>
      <c r="E3196">
        <f>YEAR(A3196)</f>
        <v>2014</v>
      </c>
      <c r="F3196" s="33">
        <f>DATE(YEAR(A3196),MONTH(A3196),1)</f>
        <v>41852.0</v>
      </c>
      <c r="G3196" t="str">
        <f>CHOOSE(WEEKDAY(A3196,2),"Mon","Tue","Wed","Thu","Fri","Sat","Sun")</f>
        <v>Tue</v>
      </c>
      <c r="H3196" t="str">
        <f>IF(WEEKDAY(A3196,2)&gt;5,"Weekend","Weekday")</f>
        <v>Weekday</v>
      </c>
      <c r="I3196" t="str">
        <f>_xlfn.IFS(B3196&lt;=5,"Night (0-5)",B3196&lt;=9,"Morning peak (6-9)",B3196&lt;=15,"Midday (10-15)",B3196&lt;=19,"Evening peak (16-19)",TRUE,"Late evening (20-23)")</f>
        <v>Night (0-5)</v>
      </c>
    </row>
    <row r="3197" spans="1:9">
      <c r="A3197" s="32">
        <v>41863</v>
      </c>
      <c r="B3197">
        <v>3</v>
      </c>
      <c r="C3197">
        <v>137</v>
      </c>
      <c r="D3197" t="s">
        <v>303</v>
      </c>
      <c r="E3197">
        <f>YEAR(A3197)</f>
        <v>2014</v>
      </c>
      <c r="F3197" s="33">
        <f>DATE(YEAR(A3197),MONTH(A3197),1)</f>
        <v>41852.0</v>
      </c>
      <c r="G3197" t="str">
        <f>CHOOSE(WEEKDAY(A3197,2),"Mon","Tue","Wed","Thu","Fri","Sat","Sun")</f>
        <v>Tue</v>
      </c>
      <c r="H3197" t="str">
        <f>IF(WEEKDAY(A3197,2)&gt;5,"Weekend","Weekday")</f>
        <v>Weekday</v>
      </c>
      <c r="I3197" t="str">
        <f>_xlfn.IFS(B3197&lt;=5,"Night (0-5)",B3197&lt;=9,"Morning peak (6-9)",B3197&lt;=15,"Midday (10-15)",B3197&lt;=19,"Evening peak (16-19)",TRUE,"Late evening (20-23)")</f>
        <v>Night (0-5)</v>
      </c>
    </row>
    <row r="3198" spans="1:9">
      <c r="A3198" s="32">
        <v>41863</v>
      </c>
      <c r="B3198">
        <v>4</v>
      </c>
      <c r="C3198">
        <v>353</v>
      </c>
      <c r="D3198" t="s">
        <v>303</v>
      </c>
      <c r="E3198">
        <f>YEAR(A3198)</f>
        <v>2014</v>
      </c>
      <c r="F3198" s="33">
        <f>DATE(YEAR(A3198),MONTH(A3198),1)</f>
        <v>41852.0</v>
      </c>
      <c r="G3198" t="str">
        <f>CHOOSE(WEEKDAY(A3198,2),"Mon","Tue","Wed","Thu","Fri","Sat","Sun")</f>
        <v>Tue</v>
      </c>
      <c r="H3198" t="str">
        <f>IF(WEEKDAY(A3198,2)&gt;5,"Weekend","Weekday")</f>
        <v>Weekday</v>
      </c>
      <c r="I3198" t="str">
        <f>_xlfn.IFS(B3198&lt;=5,"Night (0-5)",B3198&lt;=9,"Morning peak (6-9)",B3198&lt;=15,"Midday (10-15)",B3198&lt;=19,"Evening peak (16-19)",TRUE,"Late evening (20-23)")</f>
        <v>Night (0-5)</v>
      </c>
    </row>
    <row r="3199" spans="1:9">
      <c r="A3199" s="32">
        <v>41863</v>
      </c>
      <c r="B3199">
        <v>5</v>
      </c>
      <c r="C3199">
        <v>538</v>
      </c>
      <c r="D3199" t="s">
        <v>303</v>
      </c>
      <c r="E3199">
        <f>YEAR(A3199)</f>
        <v>2014</v>
      </c>
      <c r="F3199" s="33">
        <f>DATE(YEAR(A3199),MONTH(A3199),1)</f>
        <v>41852.0</v>
      </c>
      <c r="G3199" t="str">
        <f>CHOOSE(WEEKDAY(A3199,2),"Mon","Tue","Wed","Thu","Fri","Sat","Sun")</f>
        <v>Tue</v>
      </c>
      <c r="H3199" t="str">
        <f>IF(WEEKDAY(A3199,2)&gt;5,"Weekend","Weekday")</f>
        <v>Weekday</v>
      </c>
      <c r="I3199" t="str">
        <f>_xlfn.IFS(B3199&lt;=5,"Night (0-5)",B3199&lt;=9,"Morning peak (6-9)",B3199&lt;=15,"Midday (10-15)",B3199&lt;=19,"Evening peak (16-19)",TRUE,"Late evening (20-23)")</f>
        <v>Night (0-5)</v>
      </c>
    </row>
    <row r="3200" spans="1:9">
      <c r="A3200" s="32">
        <v>41863</v>
      </c>
      <c r="B3200">
        <v>6</v>
      </c>
      <c r="C3200">
        <v>987</v>
      </c>
      <c r="D3200" t="s">
        <v>303</v>
      </c>
      <c r="E3200">
        <f>YEAR(A3200)</f>
        <v>2014</v>
      </c>
      <c r="F3200" s="33">
        <f>DATE(YEAR(A3200),MONTH(A3200),1)</f>
        <v>41852.0</v>
      </c>
      <c r="G3200" t="str">
        <f>CHOOSE(WEEKDAY(A3200,2),"Mon","Tue","Wed","Thu","Fri","Sat","Sun")</f>
        <v>Tue</v>
      </c>
      <c r="H3200" t="str">
        <f>IF(WEEKDAY(A3200,2)&gt;5,"Weekend","Weekday")</f>
        <v>Weekday</v>
      </c>
      <c r="I3200" t="str">
        <f>_xlfn.IFS(B3200&lt;=5,"Night (0-5)",B3200&lt;=9,"Morning peak (6-9)",B3200&lt;=15,"Midday (10-15)",B3200&lt;=19,"Evening peak (16-19)",TRUE,"Late evening (20-23)")</f>
        <v>Morning peak (6-9)</v>
      </c>
    </row>
    <row r="3201" spans="1:9">
      <c r="A3201" s="32">
        <v>41863</v>
      </c>
      <c r="B3201">
        <v>7</v>
      </c>
      <c r="C3201">
        <v>1431</v>
      </c>
      <c r="D3201" t="s">
        <v>303</v>
      </c>
      <c r="E3201">
        <f>YEAR(A3201)</f>
        <v>2014</v>
      </c>
      <c r="F3201" s="33">
        <f>DATE(YEAR(A3201),MONTH(A3201),1)</f>
        <v>41852.0</v>
      </c>
      <c r="G3201" t="str">
        <f>CHOOSE(WEEKDAY(A3201,2),"Mon","Tue","Wed","Thu","Fri","Sat","Sun")</f>
        <v>Tue</v>
      </c>
      <c r="H3201" t="str">
        <f>IF(WEEKDAY(A3201,2)&gt;5,"Weekend","Weekday")</f>
        <v>Weekday</v>
      </c>
      <c r="I3201" t="str">
        <f>_xlfn.IFS(B3201&lt;=5,"Night (0-5)",B3201&lt;=9,"Morning peak (6-9)",B3201&lt;=15,"Midday (10-15)",B3201&lt;=19,"Evening peak (16-19)",TRUE,"Late evening (20-23)")</f>
        <v>Morning peak (6-9)</v>
      </c>
    </row>
    <row r="3202" spans="1:9">
      <c r="A3202" s="32">
        <v>41863</v>
      </c>
      <c r="B3202">
        <v>8</v>
      </c>
      <c r="C3202">
        <v>1410</v>
      </c>
      <c r="D3202" t="s">
        <v>303</v>
      </c>
      <c r="E3202">
        <f>YEAR(A3202)</f>
        <v>2014</v>
      </c>
      <c r="F3202" s="33">
        <f>DATE(YEAR(A3202),MONTH(A3202),1)</f>
        <v>41852.0</v>
      </c>
      <c r="G3202" t="str">
        <f>CHOOSE(WEEKDAY(A3202,2),"Mon","Tue","Wed","Thu","Fri","Sat","Sun")</f>
        <v>Tue</v>
      </c>
      <c r="H3202" t="str">
        <f>IF(WEEKDAY(A3202,2)&gt;5,"Weekend","Weekday")</f>
        <v>Weekday</v>
      </c>
      <c r="I3202" t="str">
        <f>_xlfn.IFS(B3202&lt;=5,"Night (0-5)",B3202&lt;=9,"Morning peak (6-9)",B3202&lt;=15,"Midday (10-15)",B3202&lt;=19,"Evening peak (16-19)",TRUE,"Late evening (20-23)")</f>
        <v>Morning peak (6-9)</v>
      </c>
    </row>
    <row r="3203" spans="1:9">
      <c r="A3203" s="32">
        <v>41863</v>
      </c>
      <c r="B3203">
        <v>9</v>
      </c>
      <c r="C3203">
        <v>1035</v>
      </c>
      <c r="D3203" t="s">
        <v>303</v>
      </c>
      <c r="E3203">
        <f>YEAR(A3203)</f>
        <v>2014</v>
      </c>
      <c r="F3203" s="33">
        <f>DATE(YEAR(A3203),MONTH(A3203),1)</f>
        <v>41852.0</v>
      </c>
      <c r="G3203" t="str">
        <f>CHOOSE(WEEKDAY(A3203,2),"Mon","Tue","Wed","Thu","Fri","Sat","Sun")</f>
        <v>Tue</v>
      </c>
      <c r="H3203" t="str">
        <f>IF(WEEKDAY(A3203,2)&gt;5,"Weekend","Weekday")</f>
        <v>Weekday</v>
      </c>
      <c r="I3203" t="str">
        <f>_xlfn.IFS(B3203&lt;=5,"Night (0-5)",B3203&lt;=9,"Morning peak (6-9)",B3203&lt;=15,"Midday (10-15)",B3203&lt;=19,"Evening peak (16-19)",TRUE,"Late evening (20-23)")</f>
        <v>Morning peak (6-9)</v>
      </c>
    </row>
    <row r="3204" spans="1:9">
      <c r="A3204" s="32">
        <v>41863</v>
      </c>
      <c r="B3204">
        <v>10</v>
      </c>
      <c r="C3204">
        <v>955</v>
      </c>
      <c r="D3204" t="s">
        <v>303</v>
      </c>
      <c r="E3204">
        <f>YEAR(A3204)</f>
        <v>2014</v>
      </c>
      <c r="F3204" s="33">
        <f>DATE(YEAR(A3204),MONTH(A3204),1)</f>
        <v>41852.0</v>
      </c>
      <c r="G3204" t="str">
        <f>CHOOSE(WEEKDAY(A3204,2),"Mon","Tue","Wed","Thu","Fri","Sat","Sun")</f>
        <v>Tue</v>
      </c>
      <c r="H3204" t="str">
        <f>IF(WEEKDAY(A3204,2)&gt;5,"Weekend","Weekday")</f>
        <v>Weekday</v>
      </c>
      <c r="I3204" t="str">
        <f>_xlfn.IFS(B3204&lt;=5,"Night (0-5)",B3204&lt;=9,"Morning peak (6-9)",B3204&lt;=15,"Midday (10-15)",B3204&lt;=19,"Evening peak (16-19)",TRUE,"Late evening (20-23)")</f>
        <v>Midday (10-15)</v>
      </c>
    </row>
    <row r="3205" spans="1:9">
      <c r="A3205" s="32">
        <v>41863</v>
      </c>
      <c r="B3205">
        <v>11</v>
      </c>
      <c r="C3205">
        <v>1066</v>
      </c>
      <c r="D3205" t="s">
        <v>303</v>
      </c>
      <c r="E3205">
        <f>YEAR(A3205)</f>
        <v>2014</v>
      </c>
      <c r="F3205" s="33">
        <f>DATE(YEAR(A3205),MONTH(A3205),1)</f>
        <v>41852.0</v>
      </c>
      <c r="G3205" t="str">
        <f>CHOOSE(WEEKDAY(A3205,2),"Mon","Tue","Wed","Thu","Fri","Sat","Sun")</f>
        <v>Tue</v>
      </c>
      <c r="H3205" t="str">
        <f>IF(WEEKDAY(A3205,2)&gt;5,"Weekend","Weekday")</f>
        <v>Weekday</v>
      </c>
      <c r="I3205" t="str">
        <f>_xlfn.IFS(B3205&lt;=5,"Night (0-5)",B3205&lt;=9,"Morning peak (6-9)",B3205&lt;=15,"Midday (10-15)",B3205&lt;=19,"Evening peak (16-19)",TRUE,"Late evening (20-23)")</f>
        <v>Midday (10-15)</v>
      </c>
    </row>
    <row r="3206" spans="1:9">
      <c r="A3206" s="32">
        <v>41863</v>
      </c>
      <c r="B3206">
        <v>12</v>
      </c>
      <c r="C3206">
        <v>979</v>
      </c>
      <c r="D3206" t="s">
        <v>303</v>
      </c>
      <c r="E3206">
        <f>YEAR(A3206)</f>
        <v>2014</v>
      </c>
      <c r="F3206" s="33">
        <f>DATE(YEAR(A3206),MONTH(A3206),1)</f>
        <v>41852.0</v>
      </c>
      <c r="G3206" t="str">
        <f>CHOOSE(WEEKDAY(A3206,2),"Mon","Tue","Wed","Thu","Fri","Sat","Sun")</f>
        <v>Tue</v>
      </c>
      <c r="H3206" t="str">
        <f>IF(WEEKDAY(A3206,2)&gt;5,"Weekend","Weekday")</f>
        <v>Weekday</v>
      </c>
      <c r="I3206" t="str">
        <f>_xlfn.IFS(B3206&lt;=5,"Night (0-5)",B3206&lt;=9,"Morning peak (6-9)",B3206&lt;=15,"Midday (10-15)",B3206&lt;=19,"Evening peak (16-19)",TRUE,"Late evening (20-23)")</f>
        <v>Midday (10-15)</v>
      </c>
    </row>
    <row r="3207" spans="1:9">
      <c r="A3207" s="32">
        <v>41863</v>
      </c>
      <c r="B3207">
        <v>13</v>
      </c>
      <c r="C3207">
        <v>1243</v>
      </c>
      <c r="D3207" t="s">
        <v>303</v>
      </c>
      <c r="E3207">
        <f>YEAR(A3207)</f>
        <v>2014</v>
      </c>
      <c r="F3207" s="33">
        <f>DATE(YEAR(A3207),MONTH(A3207),1)</f>
        <v>41852.0</v>
      </c>
      <c r="G3207" t="str">
        <f>CHOOSE(WEEKDAY(A3207,2),"Mon","Tue","Wed","Thu","Fri","Sat","Sun")</f>
        <v>Tue</v>
      </c>
      <c r="H3207" t="str">
        <f>IF(WEEKDAY(A3207,2)&gt;5,"Weekend","Weekday")</f>
        <v>Weekday</v>
      </c>
      <c r="I3207" t="str">
        <f>_xlfn.IFS(B3207&lt;=5,"Night (0-5)",B3207&lt;=9,"Morning peak (6-9)",B3207&lt;=15,"Midday (10-15)",B3207&lt;=19,"Evening peak (16-19)",TRUE,"Late evening (20-23)")</f>
        <v>Midday (10-15)</v>
      </c>
    </row>
    <row r="3208" spans="1:9">
      <c r="A3208" s="32">
        <v>41863</v>
      </c>
      <c r="B3208">
        <v>14</v>
      </c>
      <c r="C3208">
        <v>1579</v>
      </c>
      <c r="D3208" t="s">
        <v>303</v>
      </c>
      <c r="E3208">
        <f>YEAR(A3208)</f>
        <v>2014</v>
      </c>
      <c r="F3208" s="33">
        <f>DATE(YEAR(A3208),MONTH(A3208),1)</f>
        <v>41852.0</v>
      </c>
      <c r="G3208" t="str">
        <f>CHOOSE(WEEKDAY(A3208,2),"Mon","Tue","Wed","Thu","Fri","Sat","Sun")</f>
        <v>Tue</v>
      </c>
      <c r="H3208" t="str">
        <f>IF(WEEKDAY(A3208,2)&gt;5,"Weekend","Weekday")</f>
        <v>Weekday</v>
      </c>
      <c r="I3208" t="str">
        <f>_xlfn.IFS(B3208&lt;=5,"Night (0-5)",B3208&lt;=9,"Morning peak (6-9)",B3208&lt;=15,"Midday (10-15)",B3208&lt;=19,"Evening peak (16-19)",TRUE,"Late evening (20-23)")</f>
        <v>Midday (10-15)</v>
      </c>
    </row>
    <row r="3209" spans="1:9">
      <c r="A3209" s="32">
        <v>41863</v>
      </c>
      <c r="B3209">
        <v>15</v>
      </c>
      <c r="C3209">
        <v>1805</v>
      </c>
      <c r="D3209" t="s">
        <v>303</v>
      </c>
      <c r="E3209">
        <f>YEAR(A3209)</f>
        <v>2014</v>
      </c>
      <c r="F3209" s="33">
        <f>DATE(YEAR(A3209),MONTH(A3209),1)</f>
        <v>41852.0</v>
      </c>
      <c r="G3209" t="str">
        <f>CHOOSE(WEEKDAY(A3209,2),"Mon","Tue","Wed","Thu","Fri","Sat","Sun")</f>
        <v>Tue</v>
      </c>
      <c r="H3209" t="str">
        <f>IF(WEEKDAY(A3209,2)&gt;5,"Weekend","Weekday")</f>
        <v>Weekday</v>
      </c>
      <c r="I3209" t="str">
        <f>_xlfn.IFS(B3209&lt;=5,"Night (0-5)",B3209&lt;=9,"Morning peak (6-9)",B3209&lt;=15,"Midday (10-15)",B3209&lt;=19,"Evening peak (16-19)",TRUE,"Late evening (20-23)")</f>
        <v>Midday (10-15)</v>
      </c>
    </row>
    <row r="3210" spans="1:9">
      <c r="A3210" s="32">
        <v>41863</v>
      </c>
      <c r="B3210">
        <v>16</v>
      </c>
      <c r="C3210">
        <v>2114</v>
      </c>
      <c r="D3210" t="s">
        <v>303</v>
      </c>
      <c r="E3210">
        <f>YEAR(A3210)</f>
        <v>2014</v>
      </c>
      <c r="F3210" s="33">
        <f>DATE(YEAR(A3210),MONTH(A3210),1)</f>
        <v>41852.0</v>
      </c>
      <c r="G3210" t="str">
        <f>CHOOSE(WEEKDAY(A3210,2),"Mon","Tue","Wed","Thu","Fri","Sat","Sun")</f>
        <v>Tue</v>
      </c>
      <c r="H3210" t="str">
        <f>IF(WEEKDAY(A3210,2)&gt;5,"Weekend","Weekday")</f>
        <v>Weekday</v>
      </c>
      <c r="I3210" t="str">
        <f>_xlfn.IFS(B3210&lt;=5,"Night (0-5)",B3210&lt;=9,"Morning peak (6-9)",B3210&lt;=15,"Midday (10-15)",B3210&lt;=19,"Evening peak (16-19)",TRUE,"Late evening (20-23)")</f>
        <v>Evening peak (16-19)</v>
      </c>
    </row>
    <row r="3211" spans="1:9">
      <c r="A3211" s="32">
        <v>41863</v>
      </c>
      <c r="B3211">
        <v>17</v>
      </c>
      <c r="C3211">
        <v>2432</v>
      </c>
      <c r="D3211" t="s">
        <v>303</v>
      </c>
      <c r="E3211">
        <f>YEAR(A3211)</f>
        <v>2014</v>
      </c>
      <c r="F3211" s="33">
        <f>DATE(YEAR(A3211),MONTH(A3211),1)</f>
        <v>41852.0</v>
      </c>
      <c r="G3211" t="str">
        <f>CHOOSE(WEEKDAY(A3211,2),"Mon","Tue","Wed","Thu","Fri","Sat","Sun")</f>
        <v>Tue</v>
      </c>
      <c r="H3211" t="str">
        <f>IF(WEEKDAY(A3211,2)&gt;5,"Weekend","Weekday")</f>
        <v>Weekday</v>
      </c>
      <c r="I3211" t="str">
        <f>_xlfn.IFS(B3211&lt;=5,"Night (0-5)",B3211&lt;=9,"Morning peak (6-9)",B3211&lt;=15,"Midday (10-15)",B3211&lt;=19,"Evening peak (16-19)",TRUE,"Late evening (20-23)")</f>
        <v>Evening peak (16-19)</v>
      </c>
    </row>
    <row r="3212" spans="1:9">
      <c r="A3212" s="32">
        <v>41863</v>
      </c>
      <c r="B3212">
        <v>18</v>
      </c>
      <c r="C3212">
        <v>2831</v>
      </c>
      <c r="D3212" t="s">
        <v>303</v>
      </c>
      <c r="E3212">
        <f>YEAR(A3212)</f>
        <v>2014</v>
      </c>
      <c r="F3212" s="33">
        <f>DATE(YEAR(A3212),MONTH(A3212),1)</f>
        <v>41852.0</v>
      </c>
      <c r="G3212" t="str">
        <f>CHOOSE(WEEKDAY(A3212,2),"Mon","Tue","Wed","Thu","Fri","Sat","Sun")</f>
        <v>Tue</v>
      </c>
      <c r="H3212" t="str">
        <f>IF(WEEKDAY(A3212,2)&gt;5,"Weekend","Weekday")</f>
        <v>Weekday</v>
      </c>
      <c r="I3212" t="str">
        <f>_xlfn.IFS(B3212&lt;=5,"Night (0-5)",B3212&lt;=9,"Morning peak (6-9)",B3212&lt;=15,"Midday (10-15)",B3212&lt;=19,"Evening peak (16-19)",TRUE,"Late evening (20-23)")</f>
        <v>Evening peak (16-19)</v>
      </c>
    </row>
    <row r="3213" spans="1:9">
      <c r="A3213" s="32">
        <v>41863</v>
      </c>
      <c r="B3213">
        <v>19</v>
      </c>
      <c r="C3213">
        <v>2134</v>
      </c>
      <c r="D3213" t="s">
        <v>303</v>
      </c>
      <c r="E3213">
        <f>YEAR(A3213)</f>
        <v>2014</v>
      </c>
      <c r="F3213" s="33">
        <f>DATE(YEAR(A3213),MONTH(A3213),1)</f>
        <v>41852.0</v>
      </c>
      <c r="G3213" t="str">
        <f>CHOOSE(WEEKDAY(A3213,2),"Mon","Tue","Wed","Thu","Fri","Sat","Sun")</f>
        <v>Tue</v>
      </c>
      <c r="H3213" t="str">
        <f>IF(WEEKDAY(A3213,2)&gt;5,"Weekend","Weekday")</f>
        <v>Weekday</v>
      </c>
      <c r="I3213" t="str">
        <f>_xlfn.IFS(B3213&lt;=5,"Night (0-5)",B3213&lt;=9,"Morning peak (6-9)",B3213&lt;=15,"Midday (10-15)",B3213&lt;=19,"Evening peak (16-19)",TRUE,"Late evening (20-23)")</f>
        <v>Evening peak (16-19)</v>
      </c>
    </row>
    <row r="3214" spans="1:9">
      <c r="A3214" s="32">
        <v>41863</v>
      </c>
      <c r="B3214">
        <v>20</v>
      </c>
      <c r="C3214">
        <v>2096</v>
      </c>
      <c r="D3214" t="s">
        <v>303</v>
      </c>
      <c r="E3214">
        <f>YEAR(A3214)</f>
        <v>2014</v>
      </c>
      <c r="F3214" s="33">
        <f>DATE(YEAR(A3214),MONTH(A3214),1)</f>
        <v>41852.0</v>
      </c>
      <c r="G3214" t="str">
        <f>CHOOSE(WEEKDAY(A3214,2),"Mon","Tue","Wed","Thu","Fri","Sat","Sun")</f>
        <v>Tue</v>
      </c>
      <c r="H3214" t="str">
        <f>IF(WEEKDAY(A3214,2)&gt;5,"Weekend","Weekday")</f>
        <v>Weekday</v>
      </c>
      <c r="I3214" t="str">
        <f>_xlfn.IFS(B3214&lt;=5,"Night (0-5)",B3214&lt;=9,"Morning peak (6-9)",B3214&lt;=15,"Midday (10-15)",B3214&lt;=19,"Evening peak (16-19)",TRUE,"Late evening (20-23)")</f>
        <v>Late evening (20-23)</v>
      </c>
    </row>
    <row r="3215" spans="1:9">
      <c r="A3215" s="32">
        <v>41863</v>
      </c>
      <c r="B3215">
        <v>21</v>
      </c>
      <c r="C3215">
        <v>1758</v>
      </c>
      <c r="D3215" t="s">
        <v>303</v>
      </c>
      <c r="E3215">
        <f>YEAR(A3215)</f>
        <v>2014</v>
      </c>
      <c r="F3215" s="33">
        <f>DATE(YEAR(A3215),MONTH(A3215),1)</f>
        <v>41852.0</v>
      </c>
      <c r="G3215" t="str">
        <f>CHOOSE(WEEKDAY(A3215,2),"Mon","Tue","Wed","Thu","Fri","Sat","Sun")</f>
        <v>Tue</v>
      </c>
      <c r="H3215" t="str">
        <f>IF(WEEKDAY(A3215,2)&gt;5,"Weekend","Weekday")</f>
        <v>Weekday</v>
      </c>
      <c r="I3215" t="str">
        <f>_xlfn.IFS(B3215&lt;=5,"Night (0-5)",B3215&lt;=9,"Morning peak (6-9)",B3215&lt;=15,"Midday (10-15)",B3215&lt;=19,"Evening peak (16-19)",TRUE,"Late evening (20-23)")</f>
        <v>Late evening (20-23)</v>
      </c>
    </row>
    <row r="3216" spans="1:9">
      <c r="A3216" s="32">
        <v>41863</v>
      </c>
      <c r="B3216">
        <v>22</v>
      </c>
      <c r="C3216">
        <v>1346</v>
      </c>
      <c r="D3216" t="s">
        <v>303</v>
      </c>
      <c r="E3216">
        <f>YEAR(A3216)</f>
        <v>2014</v>
      </c>
      <c r="F3216" s="33">
        <f>DATE(YEAR(A3216),MONTH(A3216),1)</f>
        <v>41852.0</v>
      </c>
      <c r="G3216" t="str">
        <f>CHOOSE(WEEKDAY(A3216,2),"Mon","Tue","Wed","Thu","Fri","Sat","Sun")</f>
        <v>Tue</v>
      </c>
      <c r="H3216" t="str">
        <f>IF(WEEKDAY(A3216,2)&gt;5,"Weekend","Weekday")</f>
        <v>Weekday</v>
      </c>
      <c r="I3216" t="str">
        <f>_xlfn.IFS(B3216&lt;=5,"Night (0-5)",B3216&lt;=9,"Morning peak (6-9)",B3216&lt;=15,"Midday (10-15)",B3216&lt;=19,"Evening peak (16-19)",TRUE,"Late evening (20-23)")</f>
        <v>Late evening (20-23)</v>
      </c>
    </row>
    <row r="3217" spans="1:9">
      <c r="A3217" s="32">
        <v>41863</v>
      </c>
      <c r="B3217">
        <v>23</v>
      </c>
      <c r="C3217">
        <v>831</v>
      </c>
      <c r="D3217" t="s">
        <v>303</v>
      </c>
      <c r="E3217">
        <f>YEAR(A3217)</f>
        <v>2014</v>
      </c>
      <c r="F3217" s="33">
        <f>DATE(YEAR(A3217),MONTH(A3217),1)</f>
        <v>41852.0</v>
      </c>
      <c r="G3217" t="str">
        <f>CHOOSE(WEEKDAY(A3217,2),"Mon","Tue","Wed","Thu","Fri","Sat","Sun")</f>
        <v>Tue</v>
      </c>
      <c r="H3217" t="str">
        <f>IF(WEEKDAY(A3217,2)&gt;5,"Weekend","Weekday")</f>
        <v>Weekday</v>
      </c>
      <c r="I3217" t="str">
        <f>_xlfn.IFS(B3217&lt;=5,"Night (0-5)",B3217&lt;=9,"Morning peak (6-9)",B3217&lt;=15,"Midday (10-15)",B3217&lt;=19,"Evening peak (16-19)",TRUE,"Late evening (20-23)")</f>
        <v>Late evening (20-23)</v>
      </c>
    </row>
    <row r="3218" spans="1:9">
      <c r="A3218" s="32">
        <v>41864</v>
      </c>
      <c r="B3218">
        <v>0</v>
      </c>
      <c r="C3218">
        <v>567</v>
      </c>
      <c r="D3218" t="s">
        <v>303</v>
      </c>
      <c r="E3218">
        <f>YEAR(A3218)</f>
        <v>2014</v>
      </c>
      <c r="F3218" s="33">
        <f>DATE(YEAR(A3218),MONTH(A3218),1)</f>
        <v>41852.0</v>
      </c>
      <c r="G3218" t="str">
        <f>CHOOSE(WEEKDAY(A3218,2),"Mon","Tue","Wed","Thu","Fri","Sat","Sun")</f>
        <v>Wed</v>
      </c>
      <c r="H3218" t="str">
        <f>IF(WEEKDAY(A3218,2)&gt;5,"Weekend","Weekday")</f>
        <v>Weekday</v>
      </c>
      <c r="I3218" t="str">
        <f>_xlfn.IFS(B3218&lt;=5,"Night (0-5)",B3218&lt;=9,"Morning peak (6-9)",B3218&lt;=15,"Midday (10-15)",B3218&lt;=19,"Evening peak (16-19)",TRUE,"Late evening (20-23)")</f>
        <v>Night (0-5)</v>
      </c>
    </row>
    <row r="3219" spans="1:9">
      <c r="A3219" s="32">
        <v>41864</v>
      </c>
      <c r="B3219">
        <v>1</v>
      </c>
      <c r="C3219">
        <v>299</v>
      </c>
      <c r="D3219" t="s">
        <v>303</v>
      </c>
      <c r="E3219">
        <f>YEAR(A3219)</f>
        <v>2014</v>
      </c>
      <c r="F3219" s="33">
        <f>DATE(YEAR(A3219),MONTH(A3219),1)</f>
        <v>41852.0</v>
      </c>
      <c r="G3219" t="str">
        <f>CHOOSE(WEEKDAY(A3219,2),"Mon","Tue","Wed","Thu","Fri","Sat","Sun")</f>
        <v>Wed</v>
      </c>
      <c r="H3219" t="str">
        <f>IF(WEEKDAY(A3219,2)&gt;5,"Weekend","Weekday")</f>
        <v>Weekday</v>
      </c>
      <c r="I3219" t="str">
        <f>_xlfn.IFS(B3219&lt;=5,"Night (0-5)",B3219&lt;=9,"Morning peak (6-9)",B3219&lt;=15,"Midday (10-15)",B3219&lt;=19,"Evening peak (16-19)",TRUE,"Late evening (20-23)")</f>
        <v>Night (0-5)</v>
      </c>
    </row>
    <row r="3220" spans="1:9">
      <c r="A3220" s="32">
        <v>41864</v>
      </c>
      <c r="B3220">
        <v>2</v>
      </c>
      <c r="C3220">
        <v>197</v>
      </c>
      <c r="D3220" t="s">
        <v>303</v>
      </c>
      <c r="E3220">
        <f>YEAR(A3220)</f>
        <v>2014</v>
      </c>
      <c r="F3220" s="33">
        <f>DATE(YEAR(A3220),MONTH(A3220),1)</f>
        <v>41852.0</v>
      </c>
      <c r="G3220" t="str">
        <f>CHOOSE(WEEKDAY(A3220,2),"Mon","Tue","Wed","Thu","Fri","Sat","Sun")</f>
        <v>Wed</v>
      </c>
      <c r="H3220" t="str">
        <f>IF(WEEKDAY(A3220,2)&gt;5,"Weekend","Weekday")</f>
        <v>Weekday</v>
      </c>
      <c r="I3220" t="str">
        <f>_xlfn.IFS(B3220&lt;=5,"Night (0-5)",B3220&lt;=9,"Morning peak (6-9)",B3220&lt;=15,"Midday (10-15)",B3220&lt;=19,"Evening peak (16-19)",TRUE,"Late evening (20-23)")</f>
        <v>Night (0-5)</v>
      </c>
    </row>
    <row r="3221" spans="1:9">
      <c r="A3221" s="32">
        <v>41864</v>
      </c>
      <c r="B3221">
        <v>3</v>
      </c>
      <c r="C3221">
        <v>242</v>
      </c>
      <c r="D3221" t="s">
        <v>303</v>
      </c>
      <c r="E3221">
        <f>YEAR(A3221)</f>
        <v>2014</v>
      </c>
      <c r="F3221" s="33">
        <f>DATE(YEAR(A3221),MONTH(A3221),1)</f>
        <v>41852.0</v>
      </c>
      <c r="G3221" t="str">
        <f>CHOOSE(WEEKDAY(A3221,2),"Mon","Tue","Wed","Thu","Fri","Sat","Sun")</f>
        <v>Wed</v>
      </c>
      <c r="H3221" t="str">
        <f>IF(WEEKDAY(A3221,2)&gt;5,"Weekend","Weekday")</f>
        <v>Weekday</v>
      </c>
      <c r="I3221" t="str">
        <f>_xlfn.IFS(B3221&lt;=5,"Night (0-5)",B3221&lt;=9,"Morning peak (6-9)",B3221&lt;=15,"Midday (10-15)",B3221&lt;=19,"Evening peak (16-19)",TRUE,"Late evening (20-23)")</f>
        <v>Night (0-5)</v>
      </c>
    </row>
    <row r="3222" spans="1:9">
      <c r="A3222" s="32">
        <v>41864</v>
      </c>
      <c r="B3222">
        <v>4</v>
      </c>
      <c r="C3222">
        <v>402</v>
      </c>
      <c r="D3222" t="s">
        <v>303</v>
      </c>
      <c r="E3222">
        <f>YEAR(A3222)</f>
        <v>2014</v>
      </c>
      <c r="F3222" s="33">
        <f>DATE(YEAR(A3222),MONTH(A3222),1)</f>
        <v>41852.0</v>
      </c>
      <c r="G3222" t="str">
        <f>CHOOSE(WEEKDAY(A3222,2),"Mon","Tue","Wed","Thu","Fri","Sat","Sun")</f>
        <v>Wed</v>
      </c>
      <c r="H3222" t="str">
        <f>IF(WEEKDAY(A3222,2)&gt;5,"Weekend","Weekday")</f>
        <v>Weekday</v>
      </c>
      <c r="I3222" t="str">
        <f>_xlfn.IFS(B3222&lt;=5,"Night (0-5)",B3222&lt;=9,"Morning peak (6-9)",B3222&lt;=15,"Midday (10-15)",B3222&lt;=19,"Evening peak (16-19)",TRUE,"Late evening (20-23)")</f>
        <v>Night (0-5)</v>
      </c>
    </row>
    <row r="3223" spans="1:9">
      <c r="A3223" s="32">
        <v>41864</v>
      </c>
      <c r="B3223">
        <v>5</v>
      </c>
      <c r="C3223">
        <v>697</v>
      </c>
      <c r="D3223" t="s">
        <v>303</v>
      </c>
      <c r="E3223">
        <f>YEAR(A3223)</f>
        <v>2014</v>
      </c>
      <c r="F3223" s="33">
        <f>DATE(YEAR(A3223),MONTH(A3223),1)</f>
        <v>41852.0</v>
      </c>
      <c r="G3223" t="str">
        <f>CHOOSE(WEEKDAY(A3223,2),"Mon","Tue","Wed","Thu","Fri","Sat","Sun")</f>
        <v>Wed</v>
      </c>
      <c r="H3223" t="str">
        <f>IF(WEEKDAY(A3223,2)&gt;5,"Weekend","Weekday")</f>
        <v>Weekday</v>
      </c>
      <c r="I3223" t="str">
        <f>_xlfn.IFS(B3223&lt;=5,"Night (0-5)",B3223&lt;=9,"Morning peak (6-9)",B3223&lt;=15,"Midday (10-15)",B3223&lt;=19,"Evening peak (16-19)",TRUE,"Late evening (20-23)")</f>
        <v>Night (0-5)</v>
      </c>
    </row>
    <row r="3224" spans="1:9">
      <c r="A3224" s="32">
        <v>41864</v>
      </c>
      <c r="B3224">
        <v>6</v>
      </c>
      <c r="C3224">
        <v>1438</v>
      </c>
      <c r="D3224" t="s">
        <v>303</v>
      </c>
      <c r="E3224">
        <f>YEAR(A3224)</f>
        <v>2014</v>
      </c>
      <c r="F3224" s="33">
        <f>DATE(YEAR(A3224),MONTH(A3224),1)</f>
        <v>41852.0</v>
      </c>
      <c r="G3224" t="str">
        <f>CHOOSE(WEEKDAY(A3224,2),"Mon","Tue","Wed","Thu","Fri","Sat","Sun")</f>
        <v>Wed</v>
      </c>
      <c r="H3224" t="str">
        <f>IF(WEEKDAY(A3224,2)&gt;5,"Weekend","Weekday")</f>
        <v>Weekday</v>
      </c>
      <c r="I3224" t="str">
        <f>_xlfn.IFS(B3224&lt;=5,"Night (0-5)",B3224&lt;=9,"Morning peak (6-9)",B3224&lt;=15,"Midday (10-15)",B3224&lt;=19,"Evening peak (16-19)",TRUE,"Late evening (20-23)")</f>
        <v>Morning peak (6-9)</v>
      </c>
    </row>
    <row r="3225" spans="1:9">
      <c r="A3225" s="32">
        <v>41864</v>
      </c>
      <c r="B3225">
        <v>7</v>
      </c>
      <c r="C3225">
        <v>1763</v>
      </c>
      <c r="D3225" t="s">
        <v>303</v>
      </c>
      <c r="E3225">
        <f>YEAR(A3225)</f>
        <v>2014</v>
      </c>
      <c r="F3225" s="33">
        <f>DATE(YEAR(A3225),MONTH(A3225),1)</f>
        <v>41852.0</v>
      </c>
      <c r="G3225" t="str">
        <f>CHOOSE(WEEKDAY(A3225,2),"Mon","Tue","Wed","Thu","Fri","Sat","Sun")</f>
        <v>Wed</v>
      </c>
      <c r="H3225" t="str">
        <f>IF(WEEKDAY(A3225,2)&gt;5,"Weekend","Weekday")</f>
        <v>Weekday</v>
      </c>
      <c r="I3225" t="str">
        <f>_xlfn.IFS(B3225&lt;=5,"Night (0-5)",B3225&lt;=9,"Morning peak (6-9)",B3225&lt;=15,"Midday (10-15)",B3225&lt;=19,"Evening peak (16-19)",TRUE,"Late evening (20-23)")</f>
        <v>Morning peak (6-9)</v>
      </c>
    </row>
    <row r="3226" spans="1:9">
      <c r="A3226" s="32">
        <v>41864</v>
      </c>
      <c r="B3226">
        <v>8</v>
      </c>
      <c r="C3226">
        <v>1755</v>
      </c>
      <c r="D3226" t="s">
        <v>303</v>
      </c>
      <c r="E3226">
        <f>YEAR(A3226)</f>
        <v>2014</v>
      </c>
      <c r="F3226" s="33">
        <f>DATE(YEAR(A3226),MONTH(A3226),1)</f>
        <v>41852.0</v>
      </c>
      <c r="G3226" t="str">
        <f>CHOOSE(WEEKDAY(A3226,2),"Mon","Tue","Wed","Thu","Fri","Sat","Sun")</f>
        <v>Wed</v>
      </c>
      <c r="H3226" t="str">
        <f>IF(WEEKDAY(A3226,2)&gt;5,"Weekend","Weekday")</f>
        <v>Weekday</v>
      </c>
      <c r="I3226" t="str">
        <f>_xlfn.IFS(B3226&lt;=5,"Night (0-5)",B3226&lt;=9,"Morning peak (6-9)",B3226&lt;=15,"Midday (10-15)",B3226&lt;=19,"Evening peak (16-19)",TRUE,"Late evening (20-23)")</f>
        <v>Morning peak (6-9)</v>
      </c>
    </row>
    <row r="3227" spans="1:9">
      <c r="A3227" s="32">
        <v>41864</v>
      </c>
      <c r="B3227">
        <v>9</v>
      </c>
      <c r="C3227">
        <v>1254</v>
      </c>
      <c r="D3227" t="s">
        <v>303</v>
      </c>
      <c r="E3227">
        <f>YEAR(A3227)</f>
        <v>2014</v>
      </c>
      <c r="F3227" s="33">
        <f>DATE(YEAR(A3227),MONTH(A3227),1)</f>
        <v>41852.0</v>
      </c>
      <c r="G3227" t="str">
        <f>CHOOSE(WEEKDAY(A3227,2),"Mon","Tue","Wed","Thu","Fri","Sat","Sun")</f>
        <v>Wed</v>
      </c>
      <c r="H3227" t="str">
        <f>IF(WEEKDAY(A3227,2)&gt;5,"Weekend","Weekday")</f>
        <v>Weekday</v>
      </c>
      <c r="I3227" t="str">
        <f>_xlfn.IFS(B3227&lt;=5,"Night (0-5)",B3227&lt;=9,"Morning peak (6-9)",B3227&lt;=15,"Midday (10-15)",B3227&lt;=19,"Evening peak (16-19)",TRUE,"Late evening (20-23)")</f>
        <v>Morning peak (6-9)</v>
      </c>
    </row>
    <row r="3228" spans="1:9">
      <c r="A3228" s="32">
        <v>41864</v>
      </c>
      <c r="B3228">
        <v>10</v>
      </c>
      <c r="C3228">
        <v>1126</v>
      </c>
      <c r="D3228" t="s">
        <v>303</v>
      </c>
      <c r="E3228">
        <f>YEAR(A3228)</f>
        <v>2014</v>
      </c>
      <c r="F3228" s="33">
        <f>DATE(YEAR(A3228),MONTH(A3228),1)</f>
        <v>41852.0</v>
      </c>
      <c r="G3228" t="str">
        <f>CHOOSE(WEEKDAY(A3228,2),"Mon","Tue","Wed","Thu","Fri","Sat","Sun")</f>
        <v>Wed</v>
      </c>
      <c r="H3228" t="str">
        <f>IF(WEEKDAY(A3228,2)&gt;5,"Weekend","Weekday")</f>
        <v>Weekday</v>
      </c>
      <c r="I3228" t="str">
        <f>_xlfn.IFS(B3228&lt;=5,"Night (0-5)",B3228&lt;=9,"Morning peak (6-9)",B3228&lt;=15,"Midday (10-15)",B3228&lt;=19,"Evening peak (16-19)",TRUE,"Late evening (20-23)")</f>
        <v>Midday (10-15)</v>
      </c>
    </row>
    <row r="3229" spans="1:9">
      <c r="A3229" s="32">
        <v>41864</v>
      </c>
      <c r="B3229">
        <v>11</v>
      </c>
      <c r="C3229">
        <v>1089</v>
      </c>
      <c r="D3229" t="s">
        <v>303</v>
      </c>
      <c r="E3229">
        <f>YEAR(A3229)</f>
        <v>2014</v>
      </c>
      <c r="F3229" s="33">
        <f>DATE(YEAR(A3229),MONTH(A3229),1)</f>
        <v>41852.0</v>
      </c>
      <c r="G3229" t="str">
        <f>CHOOSE(WEEKDAY(A3229,2),"Mon","Tue","Wed","Thu","Fri","Sat","Sun")</f>
        <v>Wed</v>
      </c>
      <c r="H3229" t="str">
        <f>IF(WEEKDAY(A3229,2)&gt;5,"Weekend","Weekday")</f>
        <v>Weekday</v>
      </c>
      <c r="I3229" t="str">
        <f>_xlfn.IFS(B3229&lt;=5,"Night (0-5)",B3229&lt;=9,"Morning peak (6-9)",B3229&lt;=15,"Midday (10-15)",B3229&lt;=19,"Evening peak (16-19)",TRUE,"Late evening (20-23)")</f>
        <v>Midday (10-15)</v>
      </c>
    </row>
    <row r="3230" spans="1:9">
      <c r="A3230" s="32">
        <v>41864</v>
      </c>
      <c r="B3230">
        <v>12</v>
      </c>
      <c r="C3230">
        <v>1098</v>
      </c>
      <c r="D3230" t="s">
        <v>303</v>
      </c>
      <c r="E3230">
        <f>YEAR(A3230)</f>
        <v>2014</v>
      </c>
      <c r="F3230" s="33">
        <f>DATE(YEAR(A3230),MONTH(A3230),1)</f>
        <v>41852.0</v>
      </c>
      <c r="G3230" t="str">
        <f>CHOOSE(WEEKDAY(A3230,2),"Mon","Tue","Wed","Thu","Fri","Sat","Sun")</f>
        <v>Wed</v>
      </c>
      <c r="H3230" t="str">
        <f>IF(WEEKDAY(A3230,2)&gt;5,"Weekend","Weekday")</f>
        <v>Weekday</v>
      </c>
      <c r="I3230" t="str">
        <f>_xlfn.IFS(B3230&lt;=5,"Night (0-5)",B3230&lt;=9,"Morning peak (6-9)",B3230&lt;=15,"Midday (10-15)",B3230&lt;=19,"Evening peak (16-19)",TRUE,"Late evening (20-23)")</f>
        <v>Midday (10-15)</v>
      </c>
    </row>
    <row r="3231" spans="1:9">
      <c r="A3231" s="32">
        <v>41864</v>
      </c>
      <c r="B3231">
        <v>13</v>
      </c>
      <c r="C3231">
        <v>1133</v>
      </c>
      <c r="D3231" t="s">
        <v>303</v>
      </c>
      <c r="E3231">
        <f>YEAR(A3231)</f>
        <v>2014</v>
      </c>
      <c r="F3231" s="33">
        <f>DATE(YEAR(A3231),MONTH(A3231),1)</f>
        <v>41852.0</v>
      </c>
      <c r="G3231" t="str">
        <f>CHOOSE(WEEKDAY(A3231,2),"Mon","Tue","Wed","Thu","Fri","Sat","Sun")</f>
        <v>Wed</v>
      </c>
      <c r="H3231" t="str">
        <f>IF(WEEKDAY(A3231,2)&gt;5,"Weekend","Weekday")</f>
        <v>Weekday</v>
      </c>
      <c r="I3231" t="str">
        <f>_xlfn.IFS(B3231&lt;=5,"Night (0-5)",B3231&lt;=9,"Morning peak (6-9)",B3231&lt;=15,"Midday (10-15)",B3231&lt;=19,"Evening peak (16-19)",TRUE,"Late evening (20-23)")</f>
        <v>Midday (10-15)</v>
      </c>
    </row>
    <row r="3232" spans="1:9">
      <c r="A3232" s="32">
        <v>41864</v>
      </c>
      <c r="B3232">
        <v>14</v>
      </c>
      <c r="C3232">
        <v>1256</v>
      </c>
      <c r="D3232" t="s">
        <v>303</v>
      </c>
      <c r="E3232">
        <f>YEAR(A3232)</f>
        <v>2014</v>
      </c>
      <c r="F3232" s="33">
        <f>DATE(YEAR(A3232),MONTH(A3232),1)</f>
        <v>41852.0</v>
      </c>
      <c r="G3232" t="str">
        <f>CHOOSE(WEEKDAY(A3232,2),"Mon","Tue","Wed","Thu","Fri","Sat","Sun")</f>
        <v>Wed</v>
      </c>
      <c r="H3232" t="str">
        <f>IF(WEEKDAY(A3232,2)&gt;5,"Weekend","Weekday")</f>
        <v>Weekday</v>
      </c>
      <c r="I3232" t="str">
        <f>_xlfn.IFS(B3232&lt;=5,"Night (0-5)",B3232&lt;=9,"Morning peak (6-9)",B3232&lt;=15,"Midday (10-15)",B3232&lt;=19,"Evening peak (16-19)",TRUE,"Late evening (20-23)")</f>
        <v>Midday (10-15)</v>
      </c>
    </row>
    <row r="3233" spans="1:9">
      <c r="A3233" s="32">
        <v>41864</v>
      </c>
      <c r="B3233">
        <v>15</v>
      </c>
      <c r="C3233">
        <v>1524</v>
      </c>
      <c r="D3233" t="s">
        <v>303</v>
      </c>
      <c r="E3233">
        <f>YEAR(A3233)</f>
        <v>2014</v>
      </c>
      <c r="F3233" s="33">
        <f>DATE(YEAR(A3233),MONTH(A3233),1)</f>
        <v>41852.0</v>
      </c>
      <c r="G3233" t="str">
        <f>CHOOSE(WEEKDAY(A3233,2),"Mon","Tue","Wed","Thu","Fri","Sat","Sun")</f>
        <v>Wed</v>
      </c>
      <c r="H3233" t="str">
        <f>IF(WEEKDAY(A3233,2)&gt;5,"Weekend","Weekday")</f>
        <v>Weekday</v>
      </c>
      <c r="I3233" t="str">
        <f>_xlfn.IFS(B3233&lt;=5,"Night (0-5)",B3233&lt;=9,"Morning peak (6-9)",B3233&lt;=15,"Midday (10-15)",B3233&lt;=19,"Evening peak (16-19)",TRUE,"Late evening (20-23)")</f>
        <v>Midday (10-15)</v>
      </c>
    </row>
    <row r="3234" spans="1:9">
      <c r="A3234" s="32">
        <v>41864</v>
      </c>
      <c r="B3234">
        <v>16</v>
      </c>
      <c r="C3234">
        <v>1981</v>
      </c>
      <c r="D3234" t="s">
        <v>303</v>
      </c>
      <c r="E3234">
        <f>YEAR(A3234)</f>
        <v>2014</v>
      </c>
      <c r="F3234" s="33">
        <f>DATE(YEAR(A3234),MONTH(A3234),1)</f>
        <v>41852.0</v>
      </c>
      <c r="G3234" t="str">
        <f>CHOOSE(WEEKDAY(A3234,2),"Mon","Tue","Wed","Thu","Fri","Sat","Sun")</f>
        <v>Wed</v>
      </c>
      <c r="H3234" t="str">
        <f>IF(WEEKDAY(A3234,2)&gt;5,"Weekend","Weekday")</f>
        <v>Weekday</v>
      </c>
      <c r="I3234" t="str">
        <f>_xlfn.IFS(B3234&lt;=5,"Night (0-5)",B3234&lt;=9,"Morning peak (6-9)",B3234&lt;=15,"Midday (10-15)",B3234&lt;=19,"Evening peak (16-19)",TRUE,"Late evening (20-23)")</f>
        <v>Evening peak (16-19)</v>
      </c>
    </row>
    <row r="3235" spans="1:9">
      <c r="A3235" s="32">
        <v>41864</v>
      </c>
      <c r="B3235">
        <v>17</v>
      </c>
      <c r="C3235">
        <v>2164</v>
      </c>
      <c r="D3235" t="s">
        <v>303</v>
      </c>
      <c r="E3235">
        <f>YEAR(A3235)</f>
        <v>2014</v>
      </c>
      <c r="F3235" s="33">
        <f>DATE(YEAR(A3235),MONTH(A3235),1)</f>
        <v>41852.0</v>
      </c>
      <c r="G3235" t="str">
        <f>CHOOSE(WEEKDAY(A3235,2),"Mon","Tue","Wed","Thu","Fri","Sat","Sun")</f>
        <v>Wed</v>
      </c>
      <c r="H3235" t="str">
        <f>IF(WEEKDAY(A3235,2)&gt;5,"Weekend","Weekday")</f>
        <v>Weekday</v>
      </c>
      <c r="I3235" t="str">
        <f>_xlfn.IFS(B3235&lt;=5,"Night (0-5)",B3235&lt;=9,"Morning peak (6-9)",B3235&lt;=15,"Midday (10-15)",B3235&lt;=19,"Evening peak (16-19)",TRUE,"Late evening (20-23)")</f>
        <v>Evening peak (16-19)</v>
      </c>
    </row>
    <row r="3236" spans="1:9">
      <c r="A3236" s="32">
        <v>41864</v>
      </c>
      <c r="B3236">
        <v>18</v>
      </c>
      <c r="C3236">
        <v>1955</v>
      </c>
      <c r="D3236" t="s">
        <v>303</v>
      </c>
      <c r="E3236">
        <f>YEAR(A3236)</f>
        <v>2014</v>
      </c>
      <c r="F3236" s="33">
        <f>DATE(YEAR(A3236),MONTH(A3236),1)</f>
        <v>41852.0</v>
      </c>
      <c r="G3236" t="str">
        <f>CHOOSE(WEEKDAY(A3236,2),"Mon","Tue","Wed","Thu","Fri","Sat","Sun")</f>
        <v>Wed</v>
      </c>
      <c r="H3236" t="str">
        <f>IF(WEEKDAY(A3236,2)&gt;5,"Weekend","Weekday")</f>
        <v>Weekday</v>
      </c>
      <c r="I3236" t="str">
        <f>_xlfn.IFS(B3236&lt;=5,"Night (0-5)",B3236&lt;=9,"Morning peak (6-9)",B3236&lt;=15,"Midday (10-15)",B3236&lt;=19,"Evening peak (16-19)",TRUE,"Late evening (20-23)")</f>
        <v>Evening peak (16-19)</v>
      </c>
    </row>
    <row r="3237" spans="1:9">
      <c r="A3237" s="32">
        <v>41864</v>
      </c>
      <c r="B3237">
        <v>19</v>
      </c>
      <c r="C3237">
        <v>1852</v>
      </c>
      <c r="D3237" t="s">
        <v>303</v>
      </c>
      <c r="E3237">
        <f>YEAR(A3237)</f>
        <v>2014</v>
      </c>
      <c r="F3237" s="33">
        <f>DATE(YEAR(A3237),MONTH(A3237),1)</f>
        <v>41852.0</v>
      </c>
      <c r="G3237" t="str">
        <f>CHOOSE(WEEKDAY(A3237,2),"Mon","Tue","Wed","Thu","Fri","Sat","Sun")</f>
        <v>Wed</v>
      </c>
      <c r="H3237" t="str">
        <f>IF(WEEKDAY(A3237,2)&gt;5,"Weekend","Weekday")</f>
        <v>Weekday</v>
      </c>
      <c r="I3237" t="str">
        <f>_xlfn.IFS(B3237&lt;=5,"Night (0-5)",B3237&lt;=9,"Morning peak (6-9)",B3237&lt;=15,"Midday (10-15)",B3237&lt;=19,"Evening peak (16-19)",TRUE,"Late evening (20-23)")</f>
        <v>Evening peak (16-19)</v>
      </c>
    </row>
    <row r="3238" spans="1:9">
      <c r="A3238" s="32">
        <v>41864</v>
      </c>
      <c r="B3238">
        <v>20</v>
      </c>
      <c r="C3238">
        <v>1956</v>
      </c>
      <c r="D3238" t="s">
        <v>303</v>
      </c>
      <c r="E3238">
        <f>YEAR(A3238)</f>
        <v>2014</v>
      </c>
      <c r="F3238" s="33">
        <f>DATE(YEAR(A3238),MONTH(A3238),1)</f>
        <v>41852.0</v>
      </c>
      <c r="G3238" t="str">
        <f>CHOOSE(WEEKDAY(A3238,2),"Mon","Tue","Wed","Thu","Fri","Sat","Sun")</f>
        <v>Wed</v>
      </c>
      <c r="H3238" t="str">
        <f>IF(WEEKDAY(A3238,2)&gt;5,"Weekend","Weekday")</f>
        <v>Weekday</v>
      </c>
      <c r="I3238" t="str">
        <f>_xlfn.IFS(B3238&lt;=5,"Night (0-5)",B3238&lt;=9,"Morning peak (6-9)",B3238&lt;=15,"Midday (10-15)",B3238&lt;=19,"Evening peak (16-19)",TRUE,"Late evening (20-23)")</f>
        <v>Late evening (20-23)</v>
      </c>
    </row>
    <row r="3239" spans="1:9">
      <c r="A3239" s="32">
        <v>41864</v>
      </c>
      <c r="B3239">
        <v>21</v>
      </c>
      <c r="C3239">
        <v>1851</v>
      </c>
      <c r="D3239" t="s">
        <v>303</v>
      </c>
      <c r="E3239">
        <f>YEAR(A3239)</f>
        <v>2014</v>
      </c>
      <c r="F3239" s="33">
        <f>DATE(YEAR(A3239),MONTH(A3239),1)</f>
        <v>41852.0</v>
      </c>
      <c r="G3239" t="str">
        <f>CHOOSE(WEEKDAY(A3239,2),"Mon","Tue","Wed","Thu","Fri","Sat","Sun")</f>
        <v>Wed</v>
      </c>
      <c r="H3239" t="str">
        <f>IF(WEEKDAY(A3239,2)&gt;5,"Weekend","Weekday")</f>
        <v>Weekday</v>
      </c>
      <c r="I3239" t="str">
        <f>_xlfn.IFS(B3239&lt;=5,"Night (0-5)",B3239&lt;=9,"Morning peak (6-9)",B3239&lt;=15,"Midday (10-15)",B3239&lt;=19,"Evening peak (16-19)",TRUE,"Late evening (20-23)")</f>
        <v>Late evening (20-23)</v>
      </c>
    </row>
    <row r="3240" spans="1:9">
      <c r="A3240" s="32">
        <v>41864</v>
      </c>
      <c r="B3240">
        <v>22</v>
      </c>
      <c r="C3240">
        <v>1374</v>
      </c>
      <c r="D3240" t="s">
        <v>303</v>
      </c>
      <c r="E3240">
        <f>YEAR(A3240)</f>
        <v>2014</v>
      </c>
      <c r="F3240" s="33">
        <f>DATE(YEAR(A3240),MONTH(A3240),1)</f>
        <v>41852.0</v>
      </c>
      <c r="G3240" t="str">
        <f>CHOOSE(WEEKDAY(A3240,2),"Mon","Tue","Wed","Thu","Fri","Sat","Sun")</f>
        <v>Wed</v>
      </c>
      <c r="H3240" t="str">
        <f>IF(WEEKDAY(A3240,2)&gt;5,"Weekend","Weekday")</f>
        <v>Weekday</v>
      </c>
      <c r="I3240" t="str">
        <f>_xlfn.IFS(B3240&lt;=5,"Night (0-5)",B3240&lt;=9,"Morning peak (6-9)",B3240&lt;=15,"Midday (10-15)",B3240&lt;=19,"Evening peak (16-19)",TRUE,"Late evening (20-23)")</f>
        <v>Late evening (20-23)</v>
      </c>
    </row>
    <row r="3241" spans="1:9">
      <c r="A3241" s="32">
        <v>41864</v>
      </c>
      <c r="B3241">
        <v>23</v>
      </c>
      <c r="C3241">
        <v>815</v>
      </c>
      <c r="D3241" t="s">
        <v>303</v>
      </c>
      <c r="E3241">
        <f>YEAR(A3241)</f>
        <v>2014</v>
      </c>
      <c r="F3241" s="33">
        <f>DATE(YEAR(A3241),MONTH(A3241),1)</f>
        <v>41852.0</v>
      </c>
      <c r="G3241" t="str">
        <f>CHOOSE(WEEKDAY(A3241,2),"Mon","Tue","Wed","Thu","Fri","Sat","Sun")</f>
        <v>Wed</v>
      </c>
      <c r="H3241" t="str">
        <f>IF(WEEKDAY(A3241,2)&gt;5,"Weekend","Weekday")</f>
        <v>Weekday</v>
      </c>
      <c r="I3241" t="str">
        <f>_xlfn.IFS(B3241&lt;=5,"Night (0-5)",B3241&lt;=9,"Morning peak (6-9)",B3241&lt;=15,"Midday (10-15)",B3241&lt;=19,"Evening peak (16-19)",TRUE,"Late evening (20-23)")</f>
        <v>Late evening (20-23)</v>
      </c>
    </row>
    <row r="3242" spans="1:9">
      <c r="A3242" s="32">
        <v>41865</v>
      </c>
      <c r="B3242">
        <v>0</v>
      </c>
      <c r="C3242">
        <v>465</v>
      </c>
      <c r="D3242" t="s">
        <v>303</v>
      </c>
      <c r="E3242">
        <f>YEAR(A3242)</f>
        <v>2014</v>
      </c>
      <c r="F3242" s="33">
        <f>DATE(YEAR(A3242),MONTH(A3242),1)</f>
        <v>41852.0</v>
      </c>
      <c r="G3242" t="str">
        <f>CHOOSE(WEEKDAY(A3242,2),"Mon","Tue","Wed","Thu","Fri","Sat","Sun")</f>
        <v>Thu</v>
      </c>
      <c r="H3242" t="str">
        <f>IF(WEEKDAY(A3242,2)&gt;5,"Weekend","Weekday")</f>
        <v>Weekday</v>
      </c>
      <c r="I3242" t="str">
        <f>_xlfn.IFS(B3242&lt;=5,"Night (0-5)",B3242&lt;=9,"Morning peak (6-9)",B3242&lt;=15,"Midday (10-15)",B3242&lt;=19,"Evening peak (16-19)",TRUE,"Late evening (20-23)")</f>
        <v>Night (0-5)</v>
      </c>
    </row>
    <row r="3243" spans="1:9">
      <c r="A3243" s="32">
        <v>41865</v>
      </c>
      <c r="B3243">
        <v>1</v>
      </c>
      <c r="C3243">
        <v>264</v>
      </c>
      <c r="D3243" t="s">
        <v>303</v>
      </c>
      <c r="E3243">
        <f>YEAR(A3243)</f>
        <v>2014</v>
      </c>
      <c r="F3243" s="33">
        <f>DATE(YEAR(A3243),MONTH(A3243),1)</f>
        <v>41852.0</v>
      </c>
      <c r="G3243" t="str">
        <f>CHOOSE(WEEKDAY(A3243,2),"Mon","Tue","Wed","Thu","Fri","Sat","Sun")</f>
        <v>Thu</v>
      </c>
      <c r="H3243" t="str">
        <f>IF(WEEKDAY(A3243,2)&gt;5,"Weekend","Weekday")</f>
        <v>Weekday</v>
      </c>
      <c r="I3243" t="str">
        <f>_xlfn.IFS(B3243&lt;=5,"Night (0-5)",B3243&lt;=9,"Morning peak (6-9)",B3243&lt;=15,"Midday (10-15)",B3243&lt;=19,"Evening peak (16-19)",TRUE,"Late evening (20-23)")</f>
        <v>Night (0-5)</v>
      </c>
    </row>
    <row r="3244" spans="1:9">
      <c r="A3244" s="32">
        <v>41865</v>
      </c>
      <c r="B3244">
        <v>2</v>
      </c>
      <c r="C3244">
        <v>200</v>
      </c>
      <c r="D3244" t="s">
        <v>303</v>
      </c>
      <c r="E3244">
        <f>YEAR(A3244)</f>
        <v>2014</v>
      </c>
      <c r="F3244" s="33">
        <f>DATE(YEAR(A3244),MONTH(A3244),1)</f>
        <v>41852.0</v>
      </c>
      <c r="G3244" t="str">
        <f>CHOOSE(WEEKDAY(A3244,2),"Mon","Tue","Wed","Thu","Fri","Sat","Sun")</f>
        <v>Thu</v>
      </c>
      <c r="H3244" t="str">
        <f>IF(WEEKDAY(A3244,2)&gt;5,"Weekend","Weekday")</f>
        <v>Weekday</v>
      </c>
      <c r="I3244" t="str">
        <f>_xlfn.IFS(B3244&lt;=5,"Night (0-5)",B3244&lt;=9,"Morning peak (6-9)",B3244&lt;=15,"Midday (10-15)",B3244&lt;=19,"Evening peak (16-19)",TRUE,"Late evening (20-23)")</f>
        <v>Night (0-5)</v>
      </c>
    </row>
    <row r="3245" spans="1:9">
      <c r="A3245" s="32">
        <v>41865</v>
      </c>
      <c r="B3245">
        <v>3</v>
      </c>
      <c r="C3245">
        <v>279</v>
      </c>
      <c r="D3245" t="s">
        <v>303</v>
      </c>
      <c r="E3245">
        <f>YEAR(A3245)</f>
        <v>2014</v>
      </c>
      <c r="F3245" s="33">
        <f>DATE(YEAR(A3245),MONTH(A3245),1)</f>
        <v>41852.0</v>
      </c>
      <c r="G3245" t="str">
        <f>CHOOSE(WEEKDAY(A3245,2),"Mon","Tue","Wed","Thu","Fri","Sat","Sun")</f>
        <v>Thu</v>
      </c>
      <c r="H3245" t="str">
        <f>IF(WEEKDAY(A3245,2)&gt;5,"Weekend","Weekday")</f>
        <v>Weekday</v>
      </c>
      <c r="I3245" t="str">
        <f>_xlfn.IFS(B3245&lt;=5,"Night (0-5)",B3245&lt;=9,"Morning peak (6-9)",B3245&lt;=15,"Midday (10-15)",B3245&lt;=19,"Evening peak (16-19)",TRUE,"Late evening (20-23)")</f>
        <v>Night (0-5)</v>
      </c>
    </row>
    <row r="3246" spans="1:9">
      <c r="A3246" s="32">
        <v>41865</v>
      </c>
      <c r="B3246">
        <v>4</v>
      </c>
      <c r="C3246">
        <v>399</v>
      </c>
      <c r="D3246" t="s">
        <v>303</v>
      </c>
      <c r="E3246">
        <f>YEAR(A3246)</f>
        <v>2014</v>
      </c>
      <c r="F3246" s="33">
        <f>DATE(YEAR(A3246),MONTH(A3246),1)</f>
        <v>41852.0</v>
      </c>
      <c r="G3246" t="str">
        <f>CHOOSE(WEEKDAY(A3246,2),"Mon","Tue","Wed","Thu","Fri","Sat","Sun")</f>
        <v>Thu</v>
      </c>
      <c r="H3246" t="str">
        <f>IF(WEEKDAY(A3246,2)&gt;5,"Weekend","Weekday")</f>
        <v>Weekday</v>
      </c>
      <c r="I3246" t="str">
        <f>_xlfn.IFS(B3246&lt;=5,"Night (0-5)",B3246&lt;=9,"Morning peak (6-9)",B3246&lt;=15,"Midday (10-15)",B3246&lt;=19,"Evening peak (16-19)",TRUE,"Late evening (20-23)")</f>
        <v>Night (0-5)</v>
      </c>
    </row>
    <row r="3247" spans="1:9">
      <c r="A3247" s="32">
        <v>41865</v>
      </c>
      <c r="B3247">
        <v>5</v>
      </c>
      <c r="C3247">
        <v>596</v>
      </c>
      <c r="D3247" t="s">
        <v>303</v>
      </c>
      <c r="E3247">
        <f>YEAR(A3247)</f>
        <v>2014</v>
      </c>
      <c r="F3247" s="33">
        <f>DATE(YEAR(A3247),MONTH(A3247),1)</f>
        <v>41852.0</v>
      </c>
      <c r="G3247" t="str">
        <f>CHOOSE(WEEKDAY(A3247,2),"Mon","Tue","Wed","Thu","Fri","Sat","Sun")</f>
        <v>Thu</v>
      </c>
      <c r="H3247" t="str">
        <f>IF(WEEKDAY(A3247,2)&gt;5,"Weekend","Weekday")</f>
        <v>Weekday</v>
      </c>
      <c r="I3247" t="str">
        <f>_xlfn.IFS(B3247&lt;=5,"Night (0-5)",B3247&lt;=9,"Morning peak (6-9)",B3247&lt;=15,"Midday (10-15)",B3247&lt;=19,"Evening peak (16-19)",TRUE,"Late evening (20-23)")</f>
        <v>Night (0-5)</v>
      </c>
    </row>
    <row r="3248" spans="1:9">
      <c r="A3248" s="32">
        <v>41865</v>
      </c>
      <c r="B3248">
        <v>6</v>
      </c>
      <c r="C3248">
        <v>994</v>
      </c>
      <c r="D3248" t="s">
        <v>303</v>
      </c>
      <c r="E3248">
        <f>YEAR(A3248)</f>
        <v>2014</v>
      </c>
      <c r="F3248" s="33">
        <f>DATE(YEAR(A3248),MONTH(A3248),1)</f>
        <v>41852.0</v>
      </c>
      <c r="G3248" t="str">
        <f>CHOOSE(WEEKDAY(A3248,2),"Mon","Tue","Wed","Thu","Fri","Sat","Sun")</f>
        <v>Thu</v>
      </c>
      <c r="H3248" t="str">
        <f>IF(WEEKDAY(A3248,2)&gt;5,"Weekend","Weekday")</f>
        <v>Weekday</v>
      </c>
      <c r="I3248" t="str">
        <f>_xlfn.IFS(B3248&lt;=5,"Night (0-5)",B3248&lt;=9,"Morning peak (6-9)",B3248&lt;=15,"Midday (10-15)",B3248&lt;=19,"Evening peak (16-19)",TRUE,"Late evening (20-23)")</f>
        <v>Morning peak (6-9)</v>
      </c>
    </row>
    <row r="3249" spans="1:9">
      <c r="A3249" s="32">
        <v>41865</v>
      </c>
      <c r="B3249">
        <v>7</v>
      </c>
      <c r="C3249">
        <v>1382</v>
      </c>
      <c r="D3249" t="s">
        <v>303</v>
      </c>
      <c r="E3249">
        <f>YEAR(A3249)</f>
        <v>2014</v>
      </c>
      <c r="F3249" s="33">
        <f>DATE(YEAR(A3249),MONTH(A3249),1)</f>
        <v>41852.0</v>
      </c>
      <c r="G3249" t="str">
        <f>CHOOSE(WEEKDAY(A3249,2),"Mon","Tue","Wed","Thu","Fri","Sat","Sun")</f>
        <v>Thu</v>
      </c>
      <c r="H3249" t="str">
        <f>IF(WEEKDAY(A3249,2)&gt;5,"Weekend","Weekday")</f>
        <v>Weekday</v>
      </c>
      <c r="I3249" t="str">
        <f>_xlfn.IFS(B3249&lt;=5,"Night (0-5)",B3249&lt;=9,"Morning peak (6-9)",B3249&lt;=15,"Midday (10-15)",B3249&lt;=19,"Evening peak (16-19)",TRUE,"Late evening (20-23)")</f>
        <v>Morning peak (6-9)</v>
      </c>
    </row>
    <row r="3250" spans="1:9">
      <c r="A3250" s="32">
        <v>41865</v>
      </c>
      <c r="B3250">
        <v>8</v>
      </c>
      <c r="C3250">
        <v>1349</v>
      </c>
      <c r="D3250" t="s">
        <v>303</v>
      </c>
      <c r="E3250">
        <f>YEAR(A3250)</f>
        <v>2014</v>
      </c>
      <c r="F3250" s="33">
        <f>DATE(YEAR(A3250),MONTH(A3250),1)</f>
        <v>41852.0</v>
      </c>
      <c r="G3250" t="str">
        <f>CHOOSE(WEEKDAY(A3250,2),"Mon","Tue","Wed","Thu","Fri","Sat","Sun")</f>
        <v>Thu</v>
      </c>
      <c r="H3250" t="str">
        <f>IF(WEEKDAY(A3250,2)&gt;5,"Weekend","Weekday")</f>
        <v>Weekday</v>
      </c>
      <c r="I3250" t="str">
        <f>_xlfn.IFS(B3250&lt;=5,"Night (0-5)",B3250&lt;=9,"Morning peak (6-9)",B3250&lt;=15,"Midday (10-15)",B3250&lt;=19,"Evening peak (16-19)",TRUE,"Late evening (20-23)")</f>
        <v>Morning peak (6-9)</v>
      </c>
    </row>
    <row r="3251" spans="1:9">
      <c r="A3251" s="32">
        <v>41865</v>
      </c>
      <c r="B3251">
        <v>9</v>
      </c>
      <c r="C3251">
        <v>1104</v>
      </c>
      <c r="D3251" t="s">
        <v>303</v>
      </c>
      <c r="E3251">
        <f>YEAR(A3251)</f>
        <v>2014</v>
      </c>
      <c r="F3251" s="33">
        <f>DATE(YEAR(A3251),MONTH(A3251),1)</f>
        <v>41852.0</v>
      </c>
      <c r="G3251" t="str">
        <f>CHOOSE(WEEKDAY(A3251,2),"Mon","Tue","Wed","Thu","Fri","Sat","Sun")</f>
        <v>Thu</v>
      </c>
      <c r="H3251" t="str">
        <f>IF(WEEKDAY(A3251,2)&gt;5,"Weekend","Weekday")</f>
        <v>Weekday</v>
      </c>
      <c r="I3251" t="str">
        <f>_xlfn.IFS(B3251&lt;=5,"Night (0-5)",B3251&lt;=9,"Morning peak (6-9)",B3251&lt;=15,"Midday (10-15)",B3251&lt;=19,"Evening peak (16-19)",TRUE,"Late evening (20-23)")</f>
        <v>Morning peak (6-9)</v>
      </c>
    </row>
    <row r="3252" spans="1:9">
      <c r="A3252" s="32">
        <v>41865</v>
      </c>
      <c r="B3252">
        <v>10</v>
      </c>
      <c r="C3252">
        <v>1090</v>
      </c>
      <c r="D3252" t="s">
        <v>303</v>
      </c>
      <c r="E3252">
        <f>YEAR(A3252)</f>
        <v>2014</v>
      </c>
      <c r="F3252" s="33">
        <f>DATE(YEAR(A3252),MONTH(A3252),1)</f>
        <v>41852.0</v>
      </c>
      <c r="G3252" t="str">
        <f>CHOOSE(WEEKDAY(A3252,2),"Mon","Tue","Wed","Thu","Fri","Sat","Sun")</f>
        <v>Thu</v>
      </c>
      <c r="H3252" t="str">
        <f>IF(WEEKDAY(A3252,2)&gt;5,"Weekend","Weekday")</f>
        <v>Weekday</v>
      </c>
      <c r="I3252" t="str">
        <f>_xlfn.IFS(B3252&lt;=5,"Night (0-5)",B3252&lt;=9,"Morning peak (6-9)",B3252&lt;=15,"Midday (10-15)",B3252&lt;=19,"Evening peak (16-19)",TRUE,"Late evening (20-23)")</f>
        <v>Midday (10-15)</v>
      </c>
    </row>
    <row r="3253" spans="1:9">
      <c r="A3253" s="32">
        <v>41865</v>
      </c>
      <c r="B3253">
        <v>11</v>
      </c>
      <c r="C3253">
        <v>1033</v>
      </c>
      <c r="D3253" t="s">
        <v>303</v>
      </c>
      <c r="E3253">
        <f>YEAR(A3253)</f>
        <v>2014</v>
      </c>
      <c r="F3253" s="33">
        <f>DATE(YEAR(A3253),MONTH(A3253),1)</f>
        <v>41852.0</v>
      </c>
      <c r="G3253" t="str">
        <f>CHOOSE(WEEKDAY(A3253,2),"Mon","Tue","Wed","Thu","Fri","Sat","Sun")</f>
        <v>Thu</v>
      </c>
      <c r="H3253" t="str">
        <f>IF(WEEKDAY(A3253,2)&gt;5,"Weekend","Weekday")</f>
        <v>Weekday</v>
      </c>
      <c r="I3253" t="str">
        <f>_xlfn.IFS(B3253&lt;=5,"Night (0-5)",B3253&lt;=9,"Morning peak (6-9)",B3253&lt;=15,"Midday (10-15)",B3253&lt;=19,"Evening peak (16-19)",TRUE,"Late evening (20-23)")</f>
        <v>Midday (10-15)</v>
      </c>
    </row>
    <row r="3254" spans="1:9">
      <c r="A3254" s="32">
        <v>41865</v>
      </c>
      <c r="B3254">
        <v>12</v>
      </c>
      <c r="C3254">
        <v>1031</v>
      </c>
      <c r="D3254" t="s">
        <v>303</v>
      </c>
      <c r="E3254">
        <f>YEAR(A3254)</f>
        <v>2014</v>
      </c>
      <c r="F3254" s="33">
        <f>DATE(YEAR(A3254),MONTH(A3254),1)</f>
        <v>41852.0</v>
      </c>
      <c r="G3254" t="str">
        <f>CHOOSE(WEEKDAY(A3254,2),"Mon","Tue","Wed","Thu","Fri","Sat","Sun")</f>
        <v>Thu</v>
      </c>
      <c r="H3254" t="str">
        <f>IF(WEEKDAY(A3254,2)&gt;5,"Weekend","Weekday")</f>
        <v>Weekday</v>
      </c>
      <c r="I3254" t="str">
        <f>_xlfn.IFS(B3254&lt;=5,"Night (0-5)",B3254&lt;=9,"Morning peak (6-9)",B3254&lt;=15,"Midday (10-15)",B3254&lt;=19,"Evening peak (16-19)",TRUE,"Late evening (20-23)")</f>
        <v>Midday (10-15)</v>
      </c>
    </row>
    <row r="3255" spans="1:9">
      <c r="A3255" s="32">
        <v>41865</v>
      </c>
      <c r="B3255">
        <v>13</v>
      </c>
      <c r="C3255">
        <v>1128</v>
      </c>
      <c r="D3255" t="s">
        <v>303</v>
      </c>
      <c r="E3255">
        <f>YEAR(A3255)</f>
        <v>2014</v>
      </c>
      <c r="F3255" s="33">
        <f>DATE(YEAR(A3255),MONTH(A3255),1)</f>
        <v>41852.0</v>
      </c>
      <c r="G3255" t="str">
        <f>CHOOSE(WEEKDAY(A3255,2),"Mon","Tue","Wed","Thu","Fri","Sat","Sun")</f>
        <v>Thu</v>
      </c>
      <c r="H3255" t="str">
        <f>IF(WEEKDAY(A3255,2)&gt;5,"Weekend","Weekday")</f>
        <v>Weekday</v>
      </c>
      <c r="I3255" t="str">
        <f>_xlfn.IFS(B3255&lt;=5,"Night (0-5)",B3255&lt;=9,"Morning peak (6-9)",B3255&lt;=15,"Midday (10-15)",B3255&lt;=19,"Evening peak (16-19)",TRUE,"Late evening (20-23)")</f>
        <v>Midday (10-15)</v>
      </c>
    </row>
    <row r="3256" spans="1:9">
      <c r="A3256" s="32">
        <v>41865</v>
      </c>
      <c r="B3256">
        <v>14</v>
      </c>
      <c r="C3256">
        <v>1445</v>
      </c>
      <c r="D3256" t="s">
        <v>303</v>
      </c>
      <c r="E3256">
        <f>YEAR(A3256)</f>
        <v>2014</v>
      </c>
      <c r="F3256" s="33">
        <f>DATE(YEAR(A3256),MONTH(A3256),1)</f>
        <v>41852.0</v>
      </c>
      <c r="G3256" t="str">
        <f>CHOOSE(WEEKDAY(A3256,2),"Mon","Tue","Wed","Thu","Fri","Sat","Sun")</f>
        <v>Thu</v>
      </c>
      <c r="H3256" t="str">
        <f>IF(WEEKDAY(A3256,2)&gt;5,"Weekend","Weekday")</f>
        <v>Weekday</v>
      </c>
      <c r="I3256" t="str">
        <f>_xlfn.IFS(B3256&lt;=5,"Night (0-5)",B3256&lt;=9,"Morning peak (6-9)",B3256&lt;=15,"Midday (10-15)",B3256&lt;=19,"Evening peak (16-19)",TRUE,"Late evening (20-23)")</f>
        <v>Midday (10-15)</v>
      </c>
    </row>
    <row r="3257" spans="1:9">
      <c r="A3257" s="32">
        <v>41865</v>
      </c>
      <c r="B3257">
        <v>15</v>
      </c>
      <c r="C3257">
        <v>1651</v>
      </c>
      <c r="D3257" t="s">
        <v>303</v>
      </c>
      <c r="E3257">
        <f>YEAR(A3257)</f>
        <v>2014</v>
      </c>
      <c r="F3257" s="33">
        <f>DATE(YEAR(A3257),MONTH(A3257),1)</f>
        <v>41852.0</v>
      </c>
      <c r="G3257" t="str">
        <f>CHOOSE(WEEKDAY(A3257,2),"Mon","Tue","Wed","Thu","Fri","Sat","Sun")</f>
        <v>Thu</v>
      </c>
      <c r="H3257" t="str">
        <f>IF(WEEKDAY(A3257,2)&gt;5,"Weekend","Weekday")</f>
        <v>Weekday</v>
      </c>
      <c r="I3257" t="str">
        <f>_xlfn.IFS(B3257&lt;=5,"Night (0-5)",B3257&lt;=9,"Morning peak (6-9)",B3257&lt;=15,"Midday (10-15)",B3257&lt;=19,"Evening peak (16-19)",TRUE,"Late evening (20-23)")</f>
        <v>Midday (10-15)</v>
      </c>
    </row>
    <row r="3258" spans="1:9">
      <c r="A3258" s="32">
        <v>41865</v>
      </c>
      <c r="B3258">
        <v>16</v>
      </c>
      <c r="C3258">
        <v>1959</v>
      </c>
      <c r="D3258" t="s">
        <v>303</v>
      </c>
      <c r="E3258">
        <f>YEAR(A3258)</f>
        <v>2014</v>
      </c>
      <c r="F3258" s="33">
        <f>DATE(YEAR(A3258),MONTH(A3258),1)</f>
        <v>41852.0</v>
      </c>
      <c r="G3258" t="str">
        <f>CHOOSE(WEEKDAY(A3258,2),"Mon","Tue","Wed","Thu","Fri","Sat","Sun")</f>
        <v>Thu</v>
      </c>
      <c r="H3258" t="str">
        <f>IF(WEEKDAY(A3258,2)&gt;5,"Weekend","Weekday")</f>
        <v>Weekday</v>
      </c>
      <c r="I3258" t="str">
        <f>_xlfn.IFS(B3258&lt;=5,"Night (0-5)",B3258&lt;=9,"Morning peak (6-9)",B3258&lt;=15,"Midday (10-15)",B3258&lt;=19,"Evening peak (16-19)",TRUE,"Late evening (20-23)")</f>
        <v>Evening peak (16-19)</v>
      </c>
    </row>
    <row r="3259" spans="1:9">
      <c r="A3259" s="32">
        <v>41865</v>
      </c>
      <c r="B3259">
        <v>17</v>
      </c>
      <c r="C3259">
        <v>2187</v>
      </c>
      <c r="D3259" t="s">
        <v>303</v>
      </c>
      <c r="E3259">
        <f>YEAR(A3259)</f>
        <v>2014</v>
      </c>
      <c r="F3259" s="33">
        <f>DATE(YEAR(A3259),MONTH(A3259),1)</f>
        <v>41852.0</v>
      </c>
      <c r="G3259" t="str">
        <f>CHOOSE(WEEKDAY(A3259,2),"Mon","Tue","Wed","Thu","Fri","Sat","Sun")</f>
        <v>Thu</v>
      </c>
      <c r="H3259" t="str">
        <f>IF(WEEKDAY(A3259,2)&gt;5,"Weekend","Weekday")</f>
        <v>Weekday</v>
      </c>
      <c r="I3259" t="str">
        <f>_xlfn.IFS(B3259&lt;=5,"Night (0-5)",B3259&lt;=9,"Morning peak (6-9)",B3259&lt;=15,"Midday (10-15)",B3259&lt;=19,"Evening peak (16-19)",TRUE,"Late evening (20-23)")</f>
        <v>Evening peak (16-19)</v>
      </c>
    </row>
    <row r="3260" spans="1:9">
      <c r="A3260" s="32">
        <v>41865</v>
      </c>
      <c r="B3260">
        <v>18</v>
      </c>
      <c r="C3260">
        <v>2190</v>
      </c>
      <c r="D3260" t="s">
        <v>303</v>
      </c>
      <c r="E3260">
        <f>YEAR(A3260)</f>
        <v>2014</v>
      </c>
      <c r="F3260" s="33">
        <f>DATE(YEAR(A3260),MONTH(A3260),1)</f>
        <v>41852.0</v>
      </c>
      <c r="G3260" t="str">
        <f>CHOOSE(WEEKDAY(A3260,2),"Mon","Tue","Wed","Thu","Fri","Sat","Sun")</f>
        <v>Thu</v>
      </c>
      <c r="H3260" t="str">
        <f>IF(WEEKDAY(A3260,2)&gt;5,"Weekend","Weekday")</f>
        <v>Weekday</v>
      </c>
      <c r="I3260" t="str">
        <f>_xlfn.IFS(B3260&lt;=5,"Night (0-5)",B3260&lt;=9,"Morning peak (6-9)",B3260&lt;=15,"Midday (10-15)",B3260&lt;=19,"Evening peak (16-19)",TRUE,"Late evening (20-23)")</f>
        <v>Evening peak (16-19)</v>
      </c>
    </row>
    <row r="3261" spans="1:9">
      <c r="A3261" s="32">
        <v>41865</v>
      </c>
      <c r="B3261">
        <v>19</v>
      </c>
      <c r="C3261">
        <v>2154</v>
      </c>
      <c r="D3261" t="s">
        <v>303</v>
      </c>
      <c r="E3261">
        <f>YEAR(A3261)</f>
        <v>2014</v>
      </c>
      <c r="F3261" s="33">
        <f>DATE(YEAR(A3261),MONTH(A3261),1)</f>
        <v>41852.0</v>
      </c>
      <c r="G3261" t="str">
        <f>CHOOSE(WEEKDAY(A3261,2),"Mon","Tue","Wed","Thu","Fri","Sat","Sun")</f>
        <v>Thu</v>
      </c>
      <c r="H3261" t="str">
        <f>IF(WEEKDAY(A3261,2)&gt;5,"Weekend","Weekday")</f>
        <v>Weekday</v>
      </c>
      <c r="I3261" t="str">
        <f>_xlfn.IFS(B3261&lt;=5,"Night (0-5)",B3261&lt;=9,"Morning peak (6-9)",B3261&lt;=15,"Midday (10-15)",B3261&lt;=19,"Evening peak (16-19)",TRUE,"Late evening (20-23)")</f>
        <v>Evening peak (16-19)</v>
      </c>
    </row>
    <row r="3262" spans="1:9">
      <c r="A3262" s="32">
        <v>41865</v>
      </c>
      <c r="B3262">
        <v>20</v>
      </c>
      <c r="C3262">
        <v>2177</v>
      </c>
      <c r="D3262" t="s">
        <v>303</v>
      </c>
      <c r="E3262">
        <f>YEAR(A3262)</f>
        <v>2014</v>
      </c>
      <c r="F3262" s="33">
        <f>DATE(YEAR(A3262),MONTH(A3262),1)</f>
        <v>41852.0</v>
      </c>
      <c r="G3262" t="str">
        <f>CHOOSE(WEEKDAY(A3262,2),"Mon","Tue","Wed","Thu","Fri","Sat","Sun")</f>
        <v>Thu</v>
      </c>
      <c r="H3262" t="str">
        <f>IF(WEEKDAY(A3262,2)&gt;5,"Weekend","Weekday")</f>
        <v>Weekday</v>
      </c>
      <c r="I3262" t="str">
        <f>_xlfn.IFS(B3262&lt;=5,"Night (0-5)",B3262&lt;=9,"Morning peak (6-9)",B3262&lt;=15,"Midday (10-15)",B3262&lt;=19,"Evening peak (16-19)",TRUE,"Late evening (20-23)")</f>
        <v>Late evening (20-23)</v>
      </c>
    </row>
    <row r="3263" spans="1:9">
      <c r="A3263" s="32">
        <v>41865</v>
      </c>
      <c r="B3263">
        <v>21</v>
      </c>
      <c r="C3263">
        <v>2144</v>
      </c>
      <c r="D3263" t="s">
        <v>303</v>
      </c>
      <c r="E3263">
        <f>YEAR(A3263)</f>
        <v>2014</v>
      </c>
      <c r="F3263" s="33">
        <f>DATE(YEAR(A3263),MONTH(A3263),1)</f>
        <v>41852.0</v>
      </c>
      <c r="G3263" t="str">
        <f>CHOOSE(WEEKDAY(A3263,2),"Mon","Tue","Wed","Thu","Fri","Sat","Sun")</f>
        <v>Thu</v>
      </c>
      <c r="H3263" t="str">
        <f>IF(WEEKDAY(A3263,2)&gt;5,"Weekend","Weekday")</f>
        <v>Weekday</v>
      </c>
      <c r="I3263" t="str">
        <f>_xlfn.IFS(B3263&lt;=5,"Night (0-5)",B3263&lt;=9,"Morning peak (6-9)",B3263&lt;=15,"Midday (10-15)",B3263&lt;=19,"Evening peak (16-19)",TRUE,"Late evening (20-23)")</f>
        <v>Late evening (20-23)</v>
      </c>
    </row>
    <row r="3264" spans="1:9">
      <c r="A3264" s="32">
        <v>41865</v>
      </c>
      <c r="B3264">
        <v>22</v>
      </c>
      <c r="C3264">
        <v>1952</v>
      </c>
      <c r="D3264" t="s">
        <v>303</v>
      </c>
      <c r="E3264">
        <f>YEAR(A3264)</f>
        <v>2014</v>
      </c>
      <c r="F3264" s="33">
        <f>DATE(YEAR(A3264),MONTH(A3264),1)</f>
        <v>41852.0</v>
      </c>
      <c r="G3264" t="str">
        <f>CHOOSE(WEEKDAY(A3264,2),"Mon","Tue","Wed","Thu","Fri","Sat","Sun")</f>
        <v>Thu</v>
      </c>
      <c r="H3264" t="str">
        <f>IF(WEEKDAY(A3264,2)&gt;5,"Weekend","Weekday")</f>
        <v>Weekday</v>
      </c>
      <c r="I3264" t="str">
        <f>_xlfn.IFS(B3264&lt;=5,"Night (0-5)",B3264&lt;=9,"Morning peak (6-9)",B3264&lt;=15,"Midday (10-15)",B3264&lt;=19,"Evening peak (16-19)",TRUE,"Late evening (20-23)")</f>
        <v>Late evening (20-23)</v>
      </c>
    </row>
    <row r="3265" spans="1:9">
      <c r="A3265" s="32">
        <v>41865</v>
      </c>
      <c r="B3265">
        <v>23</v>
      </c>
      <c r="C3265">
        <v>1284</v>
      </c>
      <c r="D3265" t="s">
        <v>303</v>
      </c>
      <c r="E3265">
        <f>YEAR(A3265)</f>
        <v>2014</v>
      </c>
      <c r="F3265" s="33">
        <f>DATE(YEAR(A3265),MONTH(A3265),1)</f>
        <v>41852.0</v>
      </c>
      <c r="G3265" t="str">
        <f>CHOOSE(WEEKDAY(A3265,2),"Mon","Tue","Wed","Thu","Fri","Sat","Sun")</f>
        <v>Thu</v>
      </c>
      <c r="H3265" t="str">
        <f>IF(WEEKDAY(A3265,2)&gt;5,"Weekend","Weekday")</f>
        <v>Weekday</v>
      </c>
      <c r="I3265" t="str">
        <f>_xlfn.IFS(B3265&lt;=5,"Night (0-5)",B3265&lt;=9,"Morning peak (6-9)",B3265&lt;=15,"Midday (10-15)",B3265&lt;=19,"Evening peak (16-19)",TRUE,"Late evening (20-23)")</f>
        <v>Late evening (20-23)</v>
      </c>
    </row>
    <row r="3266" spans="1:9">
      <c r="A3266" s="32">
        <v>41866</v>
      </c>
      <c r="B3266">
        <v>0</v>
      </c>
      <c r="C3266">
        <v>627</v>
      </c>
      <c r="D3266" t="s">
        <v>303</v>
      </c>
      <c r="E3266">
        <f>YEAR(A3266)</f>
        <v>2014</v>
      </c>
      <c r="F3266" s="33">
        <f>DATE(YEAR(A3266),MONTH(A3266),1)</f>
        <v>41852.0</v>
      </c>
      <c r="G3266" t="str">
        <f>CHOOSE(WEEKDAY(A3266,2),"Mon","Tue","Wed","Thu","Fri","Sat","Sun")</f>
        <v>Fri</v>
      </c>
      <c r="H3266" t="str">
        <f>IF(WEEKDAY(A3266,2)&gt;5,"Weekend","Weekday")</f>
        <v>Weekday</v>
      </c>
      <c r="I3266" t="str">
        <f>_xlfn.IFS(B3266&lt;=5,"Night (0-5)",B3266&lt;=9,"Morning peak (6-9)",B3266&lt;=15,"Midday (10-15)",B3266&lt;=19,"Evening peak (16-19)",TRUE,"Late evening (20-23)")</f>
        <v>Night (0-5)</v>
      </c>
    </row>
    <row r="3267" spans="1:9">
      <c r="A3267" s="32">
        <v>41866</v>
      </c>
      <c r="B3267">
        <v>1</v>
      </c>
      <c r="C3267">
        <v>385</v>
      </c>
      <c r="D3267" t="s">
        <v>303</v>
      </c>
      <c r="E3267">
        <f>YEAR(A3267)</f>
        <v>2014</v>
      </c>
      <c r="F3267" s="33">
        <f>DATE(YEAR(A3267),MONTH(A3267),1)</f>
        <v>41852.0</v>
      </c>
      <c r="G3267" t="str">
        <f>CHOOSE(WEEKDAY(A3267,2),"Mon","Tue","Wed","Thu","Fri","Sat","Sun")</f>
        <v>Fri</v>
      </c>
      <c r="H3267" t="str">
        <f>IF(WEEKDAY(A3267,2)&gt;5,"Weekend","Weekday")</f>
        <v>Weekday</v>
      </c>
      <c r="I3267" t="str">
        <f>_xlfn.IFS(B3267&lt;=5,"Night (0-5)",B3267&lt;=9,"Morning peak (6-9)",B3267&lt;=15,"Midday (10-15)",B3267&lt;=19,"Evening peak (16-19)",TRUE,"Late evening (20-23)")</f>
        <v>Night (0-5)</v>
      </c>
    </row>
    <row r="3268" spans="1:9">
      <c r="A3268" s="32">
        <v>41866</v>
      </c>
      <c r="B3268">
        <v>2</v>
      </c>
      <c r="C3268">
        <v>255</v>
      </c>
      <c r="D3268" t="s">
        <v>303</v>
      </c>
      <c r="E3268">
        <f>YEAR(A3268)</f>
        <v>2014</v>
      </c>
      <c r="F3268" s="33">
        <f>DATE(YEAR(A3268),MONTH(A3268),1)</f>
        <v>41852.0</v>
      </c>
      <c r="G3268" t="str">
        <f>CHOOSE(WEEKDAY(A3268,2),"Mon","Tue","Wed","Thu","Fri","Sat","Sun")</f>
        <v>Fri</v>
      </c>
      <c r="H3268" t="str">
        <f>IF(WEEKDAY(A3268,2)&gt;5,"Weekend","Weekday")</f>
        <v>Weekday</v>
      </c>
      <c r="I3268" t="str">
        <f>_xlfn.IFS(B3268&lt;=5,"Night (0-5)",B3268&lt;=9,"Morning peak (6-9)",B3268&lt;=15,"Midday (10-15)",B3268&lt;=19,"Evening peak (16-19)",TRUE,"Late evening (20-23)")</f>
        <v>Night (0-5)</v>
      </c>
    </row>
    <row r="3269" spans="1:9">
      <c r="A3269" s="32">
        <v>41866</v>
      </c>
      <c r="B3269">
        <v>3</v>
      </c>
      <c r="C3269">
        <v>325</v>
      </c>
      <c r="D3269" t="s">
        <v>303</v>
      </c>
      <c r="E3269">
        <f>YEAR(A3269)</f>
        <v>2014</v>
      </c>
      <c r="F3269" s="33">
        <f>DATE(YEAR(A3269),MONTH(A3269),1)</f>
        <v>41852.0</v>
      </c>
      <c r="G3269" t="str">
        <f>CHOOSE(WEEKDAY(A3269,2),"Mon","Tue","Wed","Thu","Fri","Sat","Sun")</f>
        <v>Fri</v>
      </c>
      <c r="H3269" t="str">
        <f>IF(WEEKDAY(A3269,2)&gt;5,"Weekend","Weekday")</f>
        <v>Weekday</v>
      </c>
      <c r="I3269" t="str">
        <f>_xlfn.IFS(B3269&lt;=5,"Night (0-5)",B3269&lt;=9,"Morning peak (6-9)",B3269&lt;=15,"Midday (10-15)",B3269&lt;=19,"Evening peak (16-19)",TRUE,"Late evening (20-23)")</f>
        <v>Night (0-5)</v>
      </c>
    </row>
    <row r="3270" spans="1:9">
      <c r="A3270" s="32">
        <v>41866</v>
      </c>
      <c r="B3270">
        <v>4</v>
      </c>
      <c r="C3270">
        <v>409</v>
      </c>
      <c r="D3270" t="s">
        <v>303</v>
      </c>
      <c r="E3270">
        <f>YEAR(A3270)</f>
        <v>2014</v>
      </c>
      <c r="F3270" s="33">
        <f>DATE(YEAR(A3270),MONTH(A3270),1)</f>
        <v>41852.0</v>
      </c>
      <c r="G3270" t="str">
        <f>CHOOSE(WEEKDAY(A3270,2),"Mon","Tue","Wed","Thu","Fri","Sat","Sun")</f>
        <v>Fri</v>
      </c>
      <c r="H3270" t="str">
        <f>IF(WEEKDAY(A3270,2)&gt;5,"Weekend","Weekday")</f>
        <v>Weekday</v>
      </c>
      <c r="I3270" t="str">
        <f>_xlfn.IFS(B3270&lt;=5,"Night (0-5)",B3270&lt;=9,"Morning peak (6-9)",B3270&lt;=15,"Midday (10-15)",B3270&lt;=19,"Evening peak (16-19)",TRUE,"Late evening (20-23)")</f>
        <v>Night (0-5)</v>
      </c>
    </row>
    <row r="3271" spans="1:9">
      <c r="A3271" s="32">
        <v>41866</v>
      </c>
      <c r="B3271">
        <v>5</v>
      </c>
      <c r="C3271">
        <v>604</v>
      </c>
      <c r="D3271" t="s">
        <v>303</v>
      </c>
      <c r="E3271">
        <f>YEAR(A3271)</f>
        <v>2014</v>
      </c>
      <c r="F3271" s="33">
        <f>DATE(YEAR(A3271),MONTH(A3271),1)</f>
        <v>41852.0</v>
      </c>
      <c r="G3271" t="str">
        <f>CHOOSE(WEEKDAY(A3271,2),"Mon","Tue","Wed","Thu","Fri","Sat","Sun")</f>
        <v>Fri</v>
      </c>
      <c r="H3271" t="str">
        <f>IF(WEEKDAY(A3271,2)&gt;5,"Weekend","Weekday")</f>
        <v>Weekday</v>
      </c>
      <c r="I3271" t="str">
        <f>_xlfn.IFS(B3271&lt;=5,"Night (0-5)",B3271&lt;=9,"Morning peak (6-9)",B3271&lt;=15,"Midday (10-15)",B3271&lt;=19,"Evening peak (16-19)",TRUE,"Late evening (20-23)")</f>
        <v>Night (0-5)</v>
      </c>
    </row>
    <row r="3272" spans="1:9">
      <c r="A3272" s="32">
        <v>41866</v>
      </c>
      <c r="B3272">
        <v>6</v>
      </c>
      <c r="C3272">
        <v>909</v>
      </c>
      <c r="D3272" t="s">
        <v>303</v>
      </c>
      <c r="E3272">
        <f>YEAR(A3272)</f>
        <v>2014</v>
      </c>
      <c r="F3272" s="33">
        <f>DATE(YEAR(A3272),MONTH(A3272),1)</f>
        <v>41852.0</v>
      </c>
      <c r="G3272" t="str">
        <f>CHOOSE(WEEKDAY(A3272,2),"Mon","Tue","Wed","Thu","Fri","Sat","Sun")</f>
        <v>Fri</v>
      </c>
      <c r="H3272" t="str">
        <f>IF(WEEKDAY(A3272,2)&gt;5,"Weekend","Weekday")</f>
        <v>Weekday</v>
      </c>
      <c r="I3272" t="str">
        <f>_xlfn.IFS(B3272&lt;=5,"Night (0-5)",B3272&lt;=9,"Morning peak (6-9)",B3272&lt;=15,"Midday (10-15)",B3272&lt;=19,"Evening peak (16-19)",TRUE,"Late evening (20-23)")</f>
        <v>Morning peak (6-9)</v>
      </c>
    </row>
    <row r="3273" spans="1:9">
      <c r="A3273" s="32">
        <v>41866</v>
      </c>
      <c r="B3273">
        <v>7</v>
      </c>
      <c r="C3273">
        <v>1336</v>
      </c>
      <c r="D3273" t="s">
        <v>303</v>
      </c>
      <c r="E3273">
        <f>YEAR(A3273)</f>
        <v>2014</v>
      </c>
      <c r="F3273" s="33">
        <f>DATE(YEAR(A3273),MONTH(A3273),1)</f>
        <v>41852.0</v>
      </c>
      <c r="G3273" t="str">
        <f>CHOOSE(WEEKDAY(A3273,2),"Mon","Tue","Wed","Thu","Fri","Sat","Sun")</f>
        <v>Fri</v>
      </c>
      <c r="H3273" t="str">
        <f>IF(WEEKDAY(A3273,2)&gt;5,"Weekend","Weekday")</f>
        <v>Weekday</v>
      </c>
      <c r="I3273" t="str">
        <f>_xlfn.IFS(B3273&lt;=5,"Night (0-5)",B3273&lt;=9,"Morning peak (6-9)",B3273&lt;=15,"Midday (10-15)",B3273&lt;=19,"Evening peak (16-19)",TRUE,"Late evening (20-23)")</f>
        <v>Morning peak (6-9)</v>
      </c>
    </row>
    <row r="3274" spans="1:9">
      <c r="A3274" s="32">
        <v>41866</v>
      </c>
      <c r="B3274">
        <v>8</v>
      </c>
      <c r="C3274">
        <v>1342</v>
      </c>
      <c r="D3274" t="s">
        <v>303</v>
      </c>
      <c r="E3274">
        <f>YEAR(A3274)</f>
        <v>2014</v>
      </c>
      <c r="F3274" s="33">
        <f>DATE(YEAR(A3274),MONTH(A3274),1)</f>
        <v>41852.0</v>
      </c>
      <c r="G3274" t="str">
        <f>CHOOSE(WEEKDAY(A3274,2),"Mon","Tue","Wed","Thu","Fri","Sat","Sun")</f>
        <v>Fri</v>
      </c>
      <c r="H3274" t="str">
        <f>IF(WEEKDAY(A3274,2)&gt;5,"Weekend","Weekday")</f>
        <v>Weekday</v>
      </c>
      <c r="I3274" t="str">
        <f>_xlfn.IFS(B3274&lt;=5,"Night (0-5)",B3274&lt;=9,"Morning peak (6-9)",B3274&lt;=15,"Midday (10-15)",B3274&lt;=19,"Evening peak (16-19)",TRUE,"Late evening (20-23)")</f>
        <v>Morning peak (6-9)</v>
      </c>
    </row>
    <row r="3275" spans="1:9">
      <c r="A3275" s="32">
        <v>41866</v>
      </c>
      <c r="B3275">
        <v>9</v>
      </c>
      <c r="C3275">
        <v>1041</v>
      </c>
      <c r="D3275" t="s">
        <v>303</v>
      </c>
      <c r="E3275">
        <f>YEAR(A3275)</f>
        <v>2014</v>
      </c>
      <c r="F3275" s="33">
        <f>DATE(YEAR(A3275),MONTH(A3275),1)</f>
        <v>41852.0</v>
      </c>
      <c r="G3275" t="str">
        <f>CHOOSE(WEEKDAY(A3275,2),"Mon","Tue","Wed","Thu","Fri","Sat","Sun")</f>
        <v>Fri</v>
      </c>
      <c r="H3275" t="str">
        <f>IF(WEEKDAY(A3275,2)&gt;5,"Weekend","Weekday")</f>
        <v>Weekday</v>
      </c>
      <c r="I3275" t="str">
        <f>_xlfn.IFS(B3275&lt;=5,"Night (0-5)",B3275&lt;=9,"Morning peak (6-9)",B3275&lt;=15,"Midday (10-15)",B3275&lt;=19,"Evening peak (16-19)",TRUE,"Late evening (20-23)")</f>
        <v>Morning peak (6-9)</v>
      </c>
    </row>
    <row r="3276" spans="1:9">
      <c r="A3276" s="32">
        <v>41866</v>
      </c>
      <c r="B3276">
        <v>10</v>
      </c>
      <c r="C3276">
        <v>1052</v>
      </c>
      <c r="D3276" t="s">
        <v>303</v>
      </c>
      <c r="E3276">
        <f>YEAR(A3276)</f>
        <v>2014</v>
      </c>
      <c r="F3276" s="33">
        <f>DATE(YEAR(A3276),MONTH(A3276),1)</f>
        <v>41852.0</v>
      </c>
      <c r="G3276" t="str">
        <f>CHOOSE(WEEKDAY(A3276,2),"Mon","Tue","Wed","Thu","Fri","Sat","Sun")</f>
        <v>Fri</v>
      </c>
      <c r="H3276" t="str">
        <f>IF(WEEKDAY(A3276,2)&gt;5,"Weekend","Weekday")</f>
        <v>Weekday</v>
      </c>
      <c r="I3276" t="str">
        <f>_xlfn.IFS(B3276&lt;=5,"Night (0-5)",B3276&lt;=9,"Morning peak (6-9)",B3276&lt;=15,"Midday (10-15)",B3276&lt;=19,"Evening peak (16-19)",TRUE,"Late evening (20-23)")</f>
        <v>Midday (10-15)</v>
      </c>
    </row>
    <row r="3277" spans="1:9">
      <c r="A3277" s="32">
        <v>41866</v>
      </c>
      <c r="B3277">
        <v>11</v>
      </c>
      <c r="C3277">
        <v>1078</v>
      </c>
      <c r="D3277" t="s">
        <v>303</v>
      </c>
      <c r="E3277">
        <f>YEAR(A3277)</f>
        <v>2014</v>
      </c>
      <c r="F3277" s="33">
        <f>DATE(YEAR(A3277),MONTH(A3277),1)</f>
        <v>41852.0</v>
      </c>
      <c r="G3277" t="str">
        <f>CHOOSE(WEEKDAY(A3277,2),"Mon","Tue","Wed","Thu","Fri","Sat","Sun")</f>
        <v>Fri</v>
      </c>
      <c r="H3277" t="str">
        <f>IF(WEEKDAY(A3277,2)&gt;5,"Weekend","Weekday")</f>
        <v>Weekday</v>
      </c>
      <c r="I3277" t="str">
        <f>_xlfn.IFS(B3277&lt;=5,"Night (0-5)",B3277&lt;=9,"Morning peak (6-9)",B3277&lt;=15,"Midday (10-15)",B3277&lt;=19,"Evening peak (16-19)",TRUE,"Late evening (20-23)")</f>
        <v>Midday (10-15)</v>
      </c>
    </row>
    <row r="3278" spans="1:9">
      <c r="A3278" s="32">
        <v>41866</v>
      </c>
      <c r="B3278">
        <v>12</v>
      </c>
      <c r="C3278">
        <v>1068</v>
      </c>
      <c r="D3278" t="s">
        <v>303</v>
      </c>
      <c r="E3278">
        <f>YEAR(A3278)</f>
        <v>2014</v>
      </c>
      <c r="F3278" s="33">
        <f>DATE(YEAR(A3278),MONTH(A3278),1)</f>
        <v>41852.0</v>
      </c>
      <c r="G3278" t="str">
        <f>CHOOSE(WEEKDAY(A3278,2),"Mon","Tue","Wed","Thu","Fri","Sat","Sun")</f>
        <v>Fri</v>
      </c>
      <c r="H3278" t="str">
        <f>IF(WEEKDAY(A3278,2)&gt;5,"Weekend","Weekday")</f>
        <v>Weekday</v>
      </c>
      <c r="I3278" t="str">
        <f>_xlfn.IFS(B3278&lt;=5,"Night (0-5)",B3278&lt;=9,"Morning peak (6-9)",B3278&lt;=15,"Midday (10-15)",B3278&lt;=19,"Evening peak (16-19)",TRUE,"Late evening (20-23)")</f>
        <v>Midday (10-15)</v>
      </c>
    </row>
    <row r="3279" spans="1:9">
      <c r="A3279" s="32">
        <v>41866</v>
      </c>
      <c r="B3279">
        <v>13</v>
      </c>
      <c r="C3279">
        <v>1149</v>
      </c>
      <c r="D3279" t="s">
        <v>303</v>
      </c>
      <c r="E3279">
        <f>YEAR(A3279)</f>
        <v>2014</v>
      </c>
      <c r="F3279" s="33">
        <f>DATE(YEAR(A3279),MONTH(A3279),1)</f>
        <v>41852.0</v>
      </c>
      <c r="G3279" t="str">
        <f>CHOOSE(WEEKDAY(A3279,2),"Mon","Tue","Wed","Thu","Fri","Sat","Sun")</f>
        <v>Fri</v>
      </c>
      <c r="H3279" t="str">
        <f>IF(WEEKDAY(A3279,2)&gt;5,"Weekend","Weekday")</f>
        <v>Weekday</v>
      </c>
      <c r="I3279" t="str">
        <f>_xlfn.IFS(B3279&lt;=5,"Night (0-5)",B3279&lt;=9,"Morning peak (6-9)",B3279&lt;=15,"Midday (10-15)",B3279&lt;=19,"Evening peak (16-19)",TRUE,"Late evening (20-23)")</f>
        <v>Midday (10-15)</v>
      </c>
    </row>
    <row r="3280" spans="1:9">
      <c r="A3280" s="32">
        <v>41866</v>
      </c>
      <c r="B3280">
        <v>14</v>
      </c>
      <c r="C3280">
        <v>1331</v>
      </c>
      <c r="D3280" t="s">
        <v>303</v>
      </c>
      <c r="E3280">
        <f>YEAR(A3280)</f>
        <v>2014</v>
      </c>
      <c r="F3280" s="33">
        <f>DATE(YEAR(A3280),MONTH(A3280),1)</f>
        <v>41852.0</v>
      </c>
      <c r="G3280" t="str">
        <f>CHOOSE(WEEKDAY(A3280,2),"Mon","Tue","Wed","Thu","Fri","Sat","Sun")</f>
        <v>Fri</v>
      </c>
      <c r="H3280" t="str">
        <f>IF(WEEKDAY(A3280,2)&gt;5,"Weekend","Weekday")</f>
        <v>Weekday</v>
      </c>
      <c r="I3280" t="str">
        <f>_xlfn.IFS(B3280&lt;=5,"Night (0-5)",B3280&lt;=9,"Morning peak (6-9)",B3280&lt;=15,"Midday (10-15)",B3280&lt;=19,"Evening peak (16-19)",TRUE,"Late evening (20-23)")</f>
        <v>Midday (10-15)</v>
      </c>
    </row>
    <row r="3281" spans="1:9">
      <c r="A3281" s="32">
        <v>41866</v>
      </c>
      <c r="B3281">
        <v>15</v>
      </c>
      <c r="C3281">
        <v>1630</v>
      </c>
      <c r="D3281" t="s">
        <v>303</v>
      </c>
      <c r="E3281">
        <f>YEAR(A3281)</f>
        <v>2014</v>
      </c>
      <c r="F3281" s="33">
        <f>DATE(YEAR(A3281),MONTH(A3281),1)</f>
        <v>41852.0</v>
      </c>
      <c r="G3281" t="str">
        <f>CHOOSE(WEEKDAY(A3281,2),"Mon","Tue","Wed","Thu","Fri","Sat","Sun")</f>
        <v>Fri</v>
      </c>
      <c r="H3281" t="str">
        <f>IF(WEEKDAY(A3281,2)&gt;5,"Weekend","Weekday")</f>
        <v>Weekday</v>
      </c>
      <c r="I3281" t="str">
        <f>_xlfn.IFS(B3281&lt;=5,"Night (0-5)",B3281&lt;=9,"Morning peak (6-9)",B3281&lt;=15,"Midday (10-15)",B3281&lt;=19,"Evening peak (16-19)",TRUE,"Late evening (20-23)")</f>
        <v>Midday (10-15)</v>
      </c>
    </row>
    <row r="3282" spans="1:9">
      <c r="A3282" s="32">
        <v>41866</v>
      </c>
      <c r="B3282">
        <v>16</v>
      </c>
      <c r="C3282">
        <v>1806</v>
      </c>
      <c r="D3282" t="s">
        <v>303</v>
      </c>
      <c r="E3282">
        <f>YEAR(A3282)</f>
        <v>2014</v>
      </c>
      <c r="F3282" s="33">
        <f>DATE(YEAR(A3282),MONTH(A3282),1)</f>
        <v>41852.0</v>
      </c>
      <c r="G3282" t="str">
        <f>CHOOSE(WEEKDAY(A3282,2),"Mon","Tue","Wed","Thu","Fri","Sat","Sun")</f>
        <v>Fri</v>
      </c>
      <c r="H3282" t="str">
        <f>IF(WEEKDAY(A3282,2)&gt;5,"Weekend","Weekday")</f>
        <v>Weekday</v>
      </c>
      <c r="I3282" t="str">
        <f>_xlfn.IFS(B3282&lt;=5,"Night (0-5)",B3282&lt;=9,"Morning peak (6-9)",B3282&lt;=15,"Midday (10-15)",B3282&lt;=19,"Evening peak (16-19)",TRUE,"Late evening (20-23)")</f>
        <v>Evening peak (16-19)</v>
      </c>
    </row>
    <row r="3283" spans="1:9">
      <c r="A3283" s="32">
        <v>41866</v>
      </c>
      <c r="B3283">
        <v>17</v>
      </c>
      <c r="C3283">
        <v>1926</v>
      </c>
      <c r="D3283" t="s">
        <v>303</v>
      </c>
      <c r="E3283">
        <f>YEAR(A3283)</f>
        <v>2014</v>
      </c>
      <c r="F3283" s="33">
        <f>DATE(YEAR(A3283),MONTH(A3283),1)</f>
        <v>41852.0</v>
      </c>
      <c r="G3283" t="str">
        <f>CHOOSE(WEEKDAY(A3283,2),"Mon","Tue","Wed","Thu","Fri","Sat","Sun")</f>
        <v>Fri</v>
      </c>
      <c r="H3283" t="str">
        <f>IF(WEEKDAY(A3283,2)&gt;5,"Weekend","Weekday")</f>
        <v>Weekday</v>
      </c>
      <c r="I3283" t="str">
        <f>_xlfn.IFS(B3283&lt;=5,"Night (0-5)",B3283&lt;=9,"Morning peak (6-9)",B3283&lt;=15,"Midday (10-15)",B3283&lt;=19,"Evening peak (16-19)",TRUE,"Late evening (20-23)")</f>
        <v>Evening peak (16-19)</v>
      </c>
    </row>
    <row r="3284" spans="1:9">
      <c r="A3284" s="32">
        <v>41866</v>
      </c>
      <c r="B3284">
        <v>18</v>
      </c>
      <c r="C3284">
        <v>1939</v>
      </c>
      <c r="D3284" t="s">
        <v>303</v>
      </c>
      <c r="E3284">
        <f>YEAR(A3284)</f>
        <v>2014</v>
      </c>
      <c r="F3284" s="33">
        <f>DATE(YEAR(A3284),MONTH(A3284),1)</f>
        <v>41852.0</v>
      </c>
      <c r="G3284" t="str">
        <f>CHOOSE(WEEKDAY(A3284,2),"Mon","Tue","Wed","Thu","Fri","Sat","Sun")</f>
        <v>Fri</v>
      </c>
      <c r="H3284" t="str">
        <f>IF(WEEKDAY(A3284,2)&gt;5,"Weekend","Weekday")</f>
        <v>Weekday</v>
      </c>
      <c r="I3284" t="str">
        <f>_xlfn.IFS(B3284&lt;=5,"Night (0-5)",B3284&lt;=9,"Morning peak (6-9)",B3284&lt;=15,"Midday (10-15)",B3284&lt;=19,"Evening peak (16-19)",TRUE,"Late evening (20-23)")</f>
        <v>Evening peak (16-19)</v>
      </c>
    </row>
    <row r="3285" spans="1:9">
      <c r="A3285" s="32">
        <v>41866</v>
      </c>
      <c r="B3285">
        <v>19</v>
      </c>
      <c r="C3285">
        <v>1803</v>
      </c>
      <c r="D3285" t="s">
        <v>303</v>
      </c>
      <c r="E3285">
        <f>YEAR(A3285)</f>
        <v>2014</v>
      </c>
      <c r="F3285" s="33">
        <f>DATE(YEAR(A3285),MONTH(A3285),1)</f>
        <v>41852.0</v>
      </c>
      <c r="G3285" t="str">
        <f>CHOOSE(WEEKDAY(A3285,2),"Mon","Tue","Wed","Thu","Fri","Sat","Sun")</f>
        <v>Fri</v>
      </c>
      <c r="H3285" t="str">
        <f>IF(WEEKDAY(A3285,2)&gt;5,"Weekend","Weekday")</f>
        <v>Weekday</v>
      </c>
      <c r="I3285" t="str">
        <f>_xlfn.IFS(B3285&lt;=5,"Night (0-5)",B3285&lt;=9,"Morning peak (6-9)",B3285&lt;=15,"Midday (10-15)",B3285&lt;=19,"Evening peak (16-19)",TRUE,"Late evening (20-23)")</f>
        <v>Evening peak (16-19)</v>
      </c>
    </row>
    <row r="3286" spans="1:9">
      <c r="A3286" s="32">
        <v>41866</v>
      </c>
      <c r="B3286">
        <v>20</v>
      </c>
      <c r="C3286">
        <v>1647</v>
      </c>
      <c r="D3286" t="s">
        <v>303</v>
      </c>
      <c r="E3286">
        <f>YEAR(A3286)</f>
        <v>2014</v>
      </c>
      <c r="F3286" s="33">
        <f>DATE(YEAR(A3286),MONTH(A3286),1)</f>
        <v>41852.0</v>
      </c>
      <c r="G3286" t="str">
        <f>CHOOSE(WEEKDAY(A3286,2),"Mon","Tue","Wed","Thu","Fri","Sat","Sun")</f>
        <v>Fri</v>
      </c>
      <c r="H3286" t="str">
        <f>IF(WEEKDAY(A3286,2)&gt;5,"Weekend","Weekday")</f>
        <v>Weekday</v>
      </c>
      <c r="I3286" t="str">
        <f>_xlfn.IFS(B3286&lt;=5,"Night (0-5)",B3286&lt;=9,"Morning peak (6-9)",B3286&lt;=15,"Midday (10-15)",B3286&lt;=19,"Evening peak (16-19)",TRUE,"Late evening (20-23)")</f>
        <v>Late evening (20-23)</v>
      </c>
    </row>
    <row r="3287" spans="1:9">
      <c r="A3287" s="32">
        <v>41866</v>
      </c>
      <c r="B3287">
        <v>21</v>
      </c>
      <c r="C3287">
        <v>1801</v>
      </c>
      <c r="D3287" t="s">
        <v>303</v>
      </c>
      <c r="E3287">
        <f>YEAR(A3287)</f>
        <v>2014</v>
      </c>
      <c r="F3287" s="33">
        <f>DATE(YEAR(A3287),MONTH(A3287),1)</f>
        <v>41852.0</v>
      </c>
      <c r="G3287" t="str">
        <f>CHOOSE(WEEKDAY(A3287,2),"Mon","Tue","Wed","Thu","Fri","Sat","Sun")</f>
        <v>Fri</v>
      </c>
      <c r="H3287" t="str">
        <f>IF(WEEKDAY(A3287,2)&gt;5,"Weekend","Weekday")</f>
        <v>Weekday</v>
      </c>
      <c r="I3287" t="str">
        <f>_xlfn.IFS(B3287&lt;=5,"Night (0-5)",B3287&lt;=9,"Morning peak (6-9)",B3287&lt;=15,"Midday (10-15)",B3287&lt;=19,"Evening peak (16-19)",TRUE,"Late evening (20-23)")</f>
        <v>Late evening (20-23)</v>
      </c>
    </row>
    <row r="3288" spans="1:9">
      <c r="A3288" s="32">
        <v>41866</v>
      </c>
      <c r="B3288">
        <v>22</v>
      </c>
      <c r="C3288">
        <v>1888</v>
      </c>
      <c r="D3288" t="s">
        <v>303</v>
      </c>
      <c r="E3288">
        <f>YEAR(A3288)</f>
        <v>2014</v>
      </c>
      <c r="F3288" s="33">
        <f>DATE(YEAR(A3288),MONTH(A3288),1)</f>
        <v>41852.0</v>
      </c>
      <c r="G3288" t="str">
        <f>CHOOSE(WEEKDAY(A3288,2),"Mon","Tue","Wed","Thu","Fri","Sat","Sun")</f>
        <v>Fri</v>
      </c>
      <c r="H3288" t="str">
        <f>IF(WEEKDAY(A3288,2)&gt;5,"Weekend","Weekday")</f>
        <v>Weekday</v>
      </c>
      <c r="I3288" t="str">
        <f>_xlfn.IFS(B3288&lt;=5,"Night (0-5)",B3288&lt;=9,"Morning peak (6-9)",B3288&lt;=15,"Midday (10-15)",B3288&lt;=19,"Evening peak (16-19)",TRUE,"Late evening (20-23)")</f>
        <v>Late evening (20-23)</v>
      </c>
    </row>
    <row r="3289" spans="1:9">
      <c r="A3289" s="32">
        <v>41866</v>
      </c>
      <c r="B3289">
        <v>23</v>
      </c>
      <c r="C3289">
        <v>1623</v>
      </c>
      <c r="D3289" t="s">
        <v>303</v>
      </c>
      <c r="E3289">
        <f>YEAR(A3289)</f>
        <v>2014</v>
      </c>
      <c r="F3289" s="33">
        <f>DATE(YEAR(A3289),MONTH(A3289),1)</f>
        <v>41852.0</v>
      </c>
      <c r="G3289" t="str">
        <f>CHOOSE(WEEKDAY(A3289,2),"Mon","Tue","Wed","Thu","Fri","Sat","Sun")</f>
        <v>Fri</v>
      </c>
      <c r="H3289" t="str">
        <f>IF(WEEKDAY(A3289,2)&gt;5,"Weekend","Weekday")</f>
        <v>Weekday</v>
      </c>
      <c r="I3289" t="str">
        <f>_xlfn.IFS(B3289&lt;=5,"Night (0-5)",B3289&lt;=9,"Morning peak (6-9)",B3289&lt;=15,"Midday (10-15)",B3289&lt;=19,"Evening peak (16-19)",TRUE,"Late evening (20-23)")</f>
        <v>Late evening (20-23)</v>
      </c>
    </row>
    <row r="3290" spans="1:9">
      <c r="A3290" s="32">
        <v>41867</v>
      </c>
      <c r="B3290">
        <v>0</v>
      </c>
      <c r="C3290">
        <v>1141</v>
      </c>
      <c r="D3290" t="s">
        <v>303</v>
      </c>
      <c r="E3290">
        <f>YEAR(A3290)</f>
        <v>2014</v>
      </c>
      <c r="F3290" s="33">
        <f>DATE(YEAR(A3290),MONTH(A3290),1)</f>
        <v>41852.0</v>
      </c>
      <c r="G3290" t="str">
        <f>CHOOSE(WEEKDAY(A3290,2),"Mon","Tue","Wed","Thu","Fri","Sat","Sun")</f>
        <v>Sat</v>
      </c>
      <c r="H3290" t="str">
        <f>IF(WEEKDAY(A3290,2)&gt;5,"Weekend","Weekday")</f>
        <v>Weekend</v>
      </c>
      <c r="I3290" t="str">
        <f>_xlfn.IFS(B3290&lt;=5,"Night (0-5)",B3290&lt;=9,"Morning peak (6-9)",B3290&lt;=15,"Midday (10-15)",B3290&lt;=19,"Evening peak (16-19)",TRUE,"Late evening (20-23)")</f>
        <v>Night (0-5)</v>
      </c>
    </row>
    <row r="3291" spans="1:9">
      <c r="A3291" s="32">
        <v>41867</v>
      </c>
      <c r="B3291">
        <v>1</v>
      </c>
      <c r="C3291">
        <v>848</v>
      </c>
      <c r="D3291" t="s">
        <v>303</v>
      </c>
      <c r="E3291">
        <f>YEAR(A3291)</f>
        <v>2014</v>
      </c>
      <c r="F3291" s="33">
        <f>DATE(YEAR(A3291),MONTH(A3291),1)</f>
        <v>41852.0</v>
      </c>
      <c r="G3291" t="str">
        <f>CHOOSE(WEEKDAY(A3291,2),"Mon","Tue","Wed","Thu","Fri","Sat","Sun")</f>
        <v>Sat</v>
      </c>
      <c r="H3291" t="str">
        <f>IF(WEEKDAY(A3291,2)&gt;5,"Weekend","Weekday")</f>
        <v>Weekend</v>
      </c>
      <c r="I3291" t="str">
        <f>_xlfn.IFS(B3291&lt;=5,"Night (0-5)",B3291&lt;=9,"Morning peak (6-9)",B3291&lt;=15,"Midday (10-15)",B3291&lt;=19,"Evening peak (16-19)",TRUE,"Late evening (20-23)")</f>
        <v>Night (0-5)</v>
      </c>
    </row>
    <row r="3292" spans="1:9">
      <c r="A3292" s="32">
        <v>41867</v>
      </c>
      <c r="B3292">
        <v>2</v>
      </c>
      <c r="C3292">
        <v>550</v>
      </c>
      <c r="D3292" t="s">
        <v>303</v>
      </c>
      <c r="E3292">
        <f>YEAR(A3292)</f>
        <v>2014</v>
      </c>
      <c r="F3292" s="33">
        <f>DATE(YEAR(A3292),MONTH(A3292),1)</f>
        <v>41852.0</v>
      </c>
      <c r="G3292" t="str">
        <f>CHOOSE(WEEKDAY(A3292,2),"Mon","Tue","Wed","Thu","Fri","Sat","Sun")</f>
        <v>Sat</v>
      </c>
      <c r="H3292" t="str">
        <f>IF(WEEKDAY(A3292,2)&gt;5,"Weekend","Weekday")</f>
        <v>Weekend</v>
      </c>
      <c r="I3292" t="str">
        <f>_xlfn.IFS(B3292&lt;=5,"Night (0-5)",B3292&lt;=9,"Morning peak (6-9)",B3292&lt;=15,"Midday (10-15)",B3292&lt;=19,"Evening peak (16-19)",TRUE,"Late evening (20-23)")</f>
        <v>Night (0-5)</v>
      </c>
    </row>
    <row r="3293" spans="1:9">
      <c r="A3293" s="32">
        <v>41867</v>
      </c>
      <c r="B3293">
        <v>3</v>
      </c>
      <c r="C3293">
        <v>466</v>
      </c>
      <c r="D3293" t="s">
        <v>303</v>
      </c>
      <c r="E3293">
        <f>YEAR(A3293)</f>
        <v>2014</v>
      </c>
      <c r="F3293" s="33">
        <f>DATE(YEAR(A3293),MONTH(A3293),1)</f>
        <v>41852.0</v>
      </c>
      <c r="G3293" t="str">
        <f>CHOOSE(WEEKDAY(A3293,2),"Mon","Tue","Wed","Thu","Fri","Sat","Sun")</f>
        <v>Sat</v>
      </c>
      <c r="H3293" t="str">
        <f>IF(WEEKDAY(A3293,2)&gt;5,"Weekend","Weekday")</f>
        <v>Weekend</v>
      </c>
      <c r="I3293" t="str">
        <f>_xlfn.IFS(B3293&lt;=5,"Night (0-5)",B3293&lt;=9,"Morning peak (6-9)",B3293&lt;=15,"Midday (10-15)",B3293&lt;=19,"Evening peak (16-19)",TRUE,"Late evening (20-23)")</f>
        <v>Night (0-5)</v>
      </c>
    </row>
    <row r="3294" spans="1:9">
      <c r="A3294" s="32">
        <v>41867</v>
      </c>
      <c r="B3294">
        <v>4</v>
      </c>
      <c r="C3294">
        <v>370</v>
      </c>
      <c r="D3294" t="s">
        <v>303</v>
      </c>
      <c r="E3294">
        <f>YEAR(A3294)</f>
        <v>2014</v>
      </c>
      <c r="F3294" s="33">
        <f>DATE(YEAR(A3294),MONTH(A3294),1)</f>
        <v>41852.0</v>
      </c>
      <c r="G3294" t="str">
        <f>CHOOSE(WEEKDAY(A3294,2),"Mon","Tue","Wed","Thu","Fri","Sat","Sun")</f>
        <v>Sat</v>
      </c>
      <c r="H3294" t="str">
        <f>IF(WEEKDAY(A3294,2)&gt;5,"Weekend","Weekday")</f>
        <v>Weekend</v>
      </c>
      <c r="I3294" t="str">
        <f>_xlfn.IFS(B3294&lt;=5,"Night (0-5)",B3294&lt;=9,"Morning peak (6-9)",B3294&lt;=15,"Midday (10-15)",B3294&lt;=19,"Evening peak (16-19)",TRUE,"Late evening (20-23)")</f>
        <v>Night (0-5)</v>
      </c>
    </row>
    <row r="3295" spans="1:9">
      <c r="A3295" s="32">
        <v>41867</v>
      </c>
      <c r="B3295">
        <v>5</v>
      </c>
      <c r="C3295">
        <v>318</v>
      </c>
      <c r="D3295" t="s">
        <v>303</v>
      </c>
      <c r="E3295">
        <f>YEAR(A3295)</f>
        <v>2014</v>
      </c>
      <c r="F3295" s="33">
        <f>DATE(YEAR(A3295),MONTH(A3295),1)</f>
        <v>41852.0</v>
      </c>
      <c r="G3295" t="str">
        <f>CHOOSE(WEEKDAY(A3295,2),"Mon","Tue","Wed","Thu","Fri","Sat","Sun")</f>
        <v>Sat</v>
      </c>
      <c r="H3295" t="str">
        <f>IF(WEEKDAY(A3295,2)&gt;5,"Weekend","Weekday")</f>
        <v>Weekend</v>
      </c>
      <c r="I3295" t="str">
        <f>_xlfn.IFS(B3295&lt;=5,"Night (0-5)",B3295&lt;=9,"Morning peak (6-9)",B3295&lt;=15,"Midday (10-15)",B3295&lt;=19,"Evening peak (16-19)",TRUE,"Late evening (20-23)")</f>
        <v>Night (0-5)</v>
      </c>
    </row>
    <row r="3296" spans="1:9">
      <c r="A3296" s="32">
        <v>41867</v>
      </c>
      <c r="B3296">
        <v>6</v>
      </c>
      <c r="C3296">
        <v>402</v>
      </c>
      <c r="D3296" t="s">
        <v>303</v>
      </c>
      <c r="E3296">
        <f>YEAR(A3296)</f>
        <v>2014</v>
      </c>
      <c r="F3296" s="33">
        <f>DATE(YEAR(A3296),MONTH(A3296),1)</f>
        <v>41852.0</v>
      </c>
      <c r="G3296" t="str">
        <f>CHOOSE(WEEKDAY(A3296,2),"Mon","Tue","Wed","Thu","Fri","Sat","Sun")</f>
        <v>Sat</v>
      </c>
      <c r="H3296" t="str">
        <f>IF(WEEKDAY(A3296,2)&gt;5,"Weekend","Weekday")</f>
        <v>Weekend</v>
      </c>
      <c r="I3296" t="str">
        <f>_xlfn.IFS(B3296&lt;=5,"Night (0-5)",B3296&lt;=9,"Morning peak (6-9)",B3296&lt;=15,"Midday (10-15)",B3296&lt;=19,"Evening peak (16-19)",TRUE,"Late evening (20-23)")</f>
        <v>Morning peak (6-9)</v>
      </c>
    </row>
    <row r="3297" spans="1:9">
      <c r="A3297" s="32">
        <v>41867</v>
      </c>
      <c r="B3297">
        <v>7</v>
      </c>
      <c r="C3297">
        <v>468</v>
      </c>
      <c r="D3297" t="s">
        <v>303</v>
      </c>
      <c r="E3297">
        <f>YEAR(A3297)</f>
        <v>2014</v>
      </c>
      <c r="F3297" s="33">
        <f>DATE(YEAR(A3297),MONTH(A3297),1)</f>
        <v>41852.0</v>
      </c>
      <c r="G3297" t="str">
        <f>CHOOSE(WEEKDAY(A3297,2),"Mon","Tue","Wed","Thu","Fri","Sat","Sun")</f>
        <v>Sat</v>
      </c>
      <c r="H3297" t="str">
        <f>IF(WEEKDAY(A3297,2)&gt;5,"Weekend","Weekday")</f>
        <v>Weekend</v>
      </c>
      <c r="I3297" t="str">
        <f>_xlfn.IFS(B3297&lt;=5,"Night (0-5)",B3297&lt;=9,"Morning peak (6-9)",B3297&lt;=15,"Midday (10-15)",B3297&lt;=19,"Evening peak (16-19)",TRUE,"Late evening (20-23)")</f>
        <v>Morning peak (6-9)</v>
      </c>
    </row>
    <row r="3298" spans="1:9">
      <c r="A3298" s="32">
        <v>41867</v>
      </c>
      <c r="B3298">
        <v>8</v>
      </c>
      <c r="C3298">
        <v>608</v>
      </c>
      <c r="D3298" t="s">
        <v>303</v>
      </c>
      <c r="E3298">
        <f>YEAR(A3298)</f>
        <v>2014</v>
      </c>
      <c r="F3298" s="33">
        <f>DATE(YEAR(A3298),MONTH(A3298),1)</f>
        <v>41852.0</v>
      </c>
      <c r="G3298" t="str">
        <f>CHOOSE(WEEKDAY(A3298,2),"Mon","Tue","Wed","Thu","Fri","Sat","Sun")</f>
        <v>Sat</v>
      </c>
      <c r="H3298" t="str">
        <f>IF(WEEKDAY(A3298,2)&gt;5,"Weekend","Weekday")</f>
        <v>Weekend</v>
      </c>
      <c r="I3298" t="str">
        <f>_xlfn.IFS(B3298&lt;=5,"Night (0-5)",B3298&lt;=9,"Morning peak (6-9)",B3298&lt;=15,"Midday (10-15)",B3298&lt;=19,"Evening peak (16-19)",TRUE,"Late evening (20-23)")</f>
        <v>Morning peak (6-9)</v>
      </c>
    </row>
    <row r="3299" spans="1:9">
      <c r="A3299" s="32">
        <v>41867</v>
      </c>
      <c r="B3299">
        <v>9</v>
      </c>
      <c r="C3299">
        <v>737</v>
      </c>
      <c r="D3299" t="s">
        <v>303</v>
      </c>
      <c r="E3299">
        <f>YEAR(A3299)</f>
        <v>2014</v>
      </c>
      <c r="F3299" s="33">
        <f>DATE(YEAR(A3299),MONTH(A3299),1)</f>
        <v>41852.0</v>
      </c>
      <c r="G3299" t="str">
        <f>CHOOSE(WEEKDAY(A3299,2),"Mon","Tue","Wed","Thu","Fri","Sat","Sun")</f>
        <v>Sat</v>
      </c>
      <c r="H3299" t="str">
        <f>IF(WEEKDAY(A3299,2)&gt;5,"Weekend","Weekday")</f>
        <v>Weekend</v>
      </c>
      <c r="I3299" t="str">
        <f>_xlfn.IFS(B3299&lt;=5,"Night (0-5)",B3299&lt;=9,"Morning peak (6-9)",B3299&lt;=15,"Midday (10-15)",B3299&lt;=19,"Evening peak (16-19)",TRUE,"Late evening (20-23)")</f>
        <v>Morning peak (6-9)</v>
      </c>
    </row>
    <row r="3300" spans="1:9">
      <c r="A3300" s="32">
        <v>41867</v>
      </c>
      <c r="B3300">
        <v>10</v>
      </c>
      <c r="C3300">
        <v>820</v>
      </c>
      <c r="D3300" t="s">
        <v>303</v>
      </c>
      <c r="E3300">
        <f>YEAR(A3300)</f>
        <v>2014</v>
      </c>
      <c r="F3300" s="33">
        <f>DATE(YEAR(A3300),MONTH(A3300),1)</f>
        <v>41852.0</v>
      </c>
      <c r="G3300" t="str">
        <f>CHOOSE(WEEKDAY(A3300,2),"Mon","Tue","Wed","Thu","Fri","Sat","Sun")</f>
        <v>Sat</v>
      </c>
      <c r="H3300" t="str">
        <f>IF(WEEKDAY(A3300,2)&gt;5,"Weekend","Weekday")</f>
        <v>Weekend</v>
      </c>
      <c r="I3300" t="str">
        <f>_xlfn.IFS(B3300&lt;=5,"Night (0-5)",B3300&lt;=9,"Morning peak (6-9)",B3300&lt;=15,"Midday (10-15)",B3300&lt;=19,"Evening peak (16-19)",TRUE,"Late evening (20-23)")</f>
        <v>Midday (10-15)</v>
      </c>
    </row>
    <row r="3301" spans="1:9">
      <c r="A3301" s="32">
        <v>41867</v>
      </c>
      <c r="B3301">
        <v>11</v>
      </c>
      <c r="C3301">
        <v>942</v>
      </c>
      <c r="D3301" t="s">
        <v>303</v>
      </c>
      <c r="E3301">
        <f>YEAR(A3301)</f>
        <v>2014</v>
      </c>
      <c r="F3301" s="33">
        <f>DATE(YEAR(A3301),MONTH(A3301),1)</f>
        <v>41852.0</v>
      </c>
      <c r="G3301" t="str">
        <f>CHOOSE(WEEKDAY(A3301,2),"Mon","Tue","Wed","Thu","Fri","Sat","Sun")</f>
        <v>Sat</v>
      </c>
      <c r="H3301" t="str">
        <f>IF(WEEKDAY(A3301,2)&gt;5,"Weekend","Weekday")</f>
        <v>Weekend</v>
      </c>
      <c r="I3301" t="str">
        <f>_xlfn.IFS(B3301&lt;=5,"Night (0-5)",B3301&lt;=9,"Morning peak (6-9)",B3301&lt;=15,"Midday (10-15)",B3301&lt;=19,"Evening peak (16-19)",TRUE,"Late evening (20-23)")</f>
        <v>Midday (10-15)</v>
      </c>
    </row>
    <row r="3302" spans="1:9">
      <c r="A3302" s="32">
        <v>41867</v>
      </c>
      <c r="B3302">
        <v>12</v>
      </c>
      <c r="C3302">
        <v>934</v>
      </c>
      <c r="D3302" t="s">
        <v>303</v>
      </c>
      <c r="E3302">
        <f>YEAR(A3302)</f>
        <v>2014</v>
      </c>
      <c r="F3302" s="33">
        <f>DATE(YEAR(A3302),MONTH(A3302),1)</f>
        <v>41852.0</v>
      </c>
      <c r="G3302" t="str">
        <f>CHOOSE(WEEKDAY(A3302,2),"Mon","Tue","Wed","Thu","Fri","Sat","Sun")</f>
        <v>Sat</v>
      </c>
      <c r="H3302" t="str">
        <f>IF(WEEKDAY(A3302,2)&gt;5,"Weekend","Weekday")</f>
        <v>Weekend</v>
      </c>
      <c r="I3302" t="str">
        <f>_xlfn.IFS(B3302&lt;=5,"Night (0-5)",B3302&lt;=9,"Morning peak (6-9)",B3302&lt;=15,"Midday (10-15)",B3302&lt;=19,"Evening peak (16-19)",TRUE,"Late evening (20-23)")</f>
        <v>Midday (10-15)</v>
      </c>
    </row>
    <row r="3303" spans="1:9">
      <c r="A3303" s="32">
        <v>41867</v>
      </c>
      <c r="B3303">
        <v>13</v>
      </c>
      <c r="C3303">
        <v>1051</v>
      </c>
      <c r="D3303" t="s">
        <v>303</v>
      </c>
      <c r="E3303">
        <f>YEAR(A3303)</f>
        <v>2014</v>
      </c>
      <c r="F3303" s="33">
        <f>DATE(YEAR(A3303),MONTH(A3303),1)</f>
        <v>41852.0</v>
      </c>
      <c r="G3303" t="str">
        <f>CHOOSE(WEEKDAY(A3303,2),"Mon","Tue","Wed","Thu","Fri","Sat","Sun")</f>
        <v>Sat</v>
      </c>
      <c r="H3303" t="str">
        <f>IF(WEEKDAY(A3303,2)&gt;5,"Weekend","Weekday")</f>
        <v>Weekend</v>
      </c>
      <c r="I3303" t="str">
        <f>_xlfn.IFS(B3303&lt;=5,"Night (0-5)",B3303&lt;=9,"Morning peak (6-9)",B3303&lt;=15,"Midday (10-15)",B3303&lt;=19,"Evening peak (16-19)",TRUE,"Late evening (20-23)")</f>
        <v>Midday (10-15)</v>
      </c>
    </row>
    <row r="3304" spans="1:9">
      <c r="A3304" s="32">
        <v>41867</v>
      </c>
      <c r="B3304">
        <v>14</v>
      </c>
      <c r="C3304">
        <v>1212</v>
      </c>
      <c r="D3304" t="s">
        <v>303</v>
      </c>
      <c r="E3304">
        <f>YEAR(A3304)</f>
        <v>2014</v>
      </c>
      <c r="F3304" s="33">
        <f>DATE(YEAR(A3304),MONTH(A3304),1)</f>
        <v>41852.0</v>
      </c>
      <c r="G3304" t="str">
        <f>CHOOSE(WEEKDAY(A3304,2),"Mon","Tue","Wed","Thu","Fri","Sat","Sun")</f>
        <v>Sat</v>
      </c>
      <c r="H3304" t="str">
        <f>IF(WEEKDAY(A3304,2)&gt;5,"Weekend","Weekday")</f>
        <v>Weekend</v>
      </c>
      <c r="I3304" t="str">
        <f>_xlfn.IFS(B3304&lt;=5,"Night (0-5)",B3304&lt;=9,"Morning peak (6-9)",B3304&lt;=15,"Midday (10-15)",B3304&lt;=19,"Evening peak (16-19)",TRUE,"Late evening (20-23)")</f>
        <v>Midday (10-15)</v>
      </c>
    </row>
    <row r="3305" spans="1:9">
      <c r="A3305" s="32">
        <v>41867</v>
      </c>
      <c r="B3305">
        <v>15</v>
      </c>
      <c r="C3305">
        <v>1422</v>
      </c>
      <c r="D3305" t="s">
        <v>303</v>
      </c>
      <c r="E3305">
        <f>YEAR(A3305)</f>
        <v>2014</v>
      </c>
      <c r="F3305" s="33">
        <f>DATE(YEAR(A3305),MONTH(A3305),1)</f>
        <v>41852.0</v>
      </c>
      <c r="G3305" t="str">
        <f>CHOOSE(WEEKDAY(A3305,2),"Mon","Tue","Wed","Thu","Fri","Sat","Sun")</f>
        <v>Sat</v>
      </c>
      <c r="H3305" t="str">
        <f>IF(WEEKDAY(A3305,2)&gt;5,"Weekend","Weekday")</f>
        <v>Weekend</v>
      </c>
      <c r="I3305" t="str">
        <f>_xlfn.IFS(B3305&lt;=5,"Night (0-5)",B3305&lt;=9,"Morning peak (6-9)",B3305&lt;=15,"Midday (10-15)",B3305&lt;=19,"Evening peak (16-19)",TRUE,"Late evening (20-23)")</f>
        <v>Midday (10-15)</v>
      </c>
    </row>
    <row r="3306" spans="1:9">
      <c r="A3306" s="32">
        <v>41867</v>
      </c>
      <c r="B3306">
        <v>16</v>
      </c>
      <c r="C3306">
        <v>1586</v>
      </c>
      <c r="D3306" t="s">
        <v>303</v>
      </c>
      <c r="E3306">
        <f>YEAR(A3306)</f>
        <v>2014</v>
      </c>
      <c r="F3306" s="33">
        <f>DATE(YEAR(A3306),MONTH(A3306),1)</f>
        <v>41852.0</v>
      </c>
      <c r="G3306" t="str">
        <f>CHOOSE(WEEKDAY(A3306,2),"Mon","Tue","Wed","Thu","Fri","Sat","Sun")</f>
        <v>Sat</v>
      </c>
      <c r="H3306" t="str">
        <f>IF(WEEKDAY(A3306,2)&gt;5,"Weekend","Weekday")</f>
        <v>Weekend</v>
      </c>
      <c r="I3306" t="str">
        <f>_xlfn.IFS(B3306&lt;=5,"Night (0-5)",B3306&lt;=9,"Morning peak (6-9)",B3306&lt;=15,"Midday (10-15)",B3306&lt;=19,"Evening peak (16-19)",TRUE,"Late evening (20-23)")</f>
        <v>Evening peak (16-19)</v>
      </c>
    </row>
    <row r="3307" spans="1:9">
      <c r="A3307" s="32">
        <v>41867</v>
      </c>
      <c r="B3307">
        <v>17</v>
      </c>
      <c r="C3307">
        <v>1783</v>
      </c>
      <c r="D3307" t="s">
        <v>303</v>
      </c>
      <c r="E3307">
        <f>YEAR(A3307)</f>
        <v>2014</v>
      </c>
      <c r="F3307" s="33">
        <f>DATE(YEAR(A3307),MONTH(A3307),1)</f>
        <v>41852.0</v>
      </c>
      <c r="G3307" t="str">
        <f>CHOOSE(WEEKDAY(A3307,2),"Mon","Tue","Wed","Thu","Fri","Sat","Sun")</f>
        <v>Sat</v>
      </c>
      <c r="H3307" t="str">
        <f>IF(WEEKDAY(A3307,2)&gt;5,"Weekend","Weekday")</f>
        <v>Weekend</v>
      </c>
      <c r="I3307" t="str">
        <f>_xlfn.IFS(B3307&lt;=5,"Night (0-5)",B3307&lt;=9,"Morning peak (6-9)",B3307&lt;=15,"Midday (10-15)",B3307&lt;=19,"Evening peak (16-19)",TRUE,"Late evening (20-23)")</f>
        <v>Evening peak (16-19)</v>
      </c>
    </row>
    <row r="3308" spans="1:9">
      <c r="A3308" s="32">
        <v>41867</v>
      </c>
      <c r="B3308">
        <v>18</v>
      </c>
      <c r="C3308">
        <v>1827</v>
      </c>
      <c r="D3308" t="s">
        <v>303</v>
      </c>
      <c r="E3308">
        <f>YEAR(A3308)</f>
        <v>2014</v>
      </c>
      <c r="F3308" s="33">
        <f>DATE(YEAR(A3308),MONTH(A3308),1)</f>
        <v>41852.0</v>
      </c>
      <c r="G3308" t="str">
        <f>CHOOSE(WEEKDAY(A3308,2),"Mon","Tue","Wed","Thu","Fri","Sat","Sun")</f>
        <v>Sat</v>
      </c>
      <c r="H3308" t="str">
        <f>IF(WEEKDAY(A3308,2)&gt;5,"Weekend","Weekday")</f>
        <v>Weekend</v>
      </c>
      <c r="I3308" t="str">
        <f>_xlfn.IFS(B3308&lt;=5,"Night (0-5)",B3308&lt;=9,"Morning peak (6-9)",B3308&lt;=15,"Midday (10-15)",B3308&lt;=19,"Evening peak (16-19)",TRUE,"Late evening (20-23)")</f>
        <v>Evening peak (16-19)</v>
      </c>
    </row>
    <row r="3309" spans="1:9">
      <c r="A3309" s="32">
        <v>41867</v>
      </c>
      <c r="B3309">
        <v>19</v>
      </c>
      <c r="C3309">
        <v>1662</v>
      </c>
      <c r="D3309" t="s">
        <v>303</v>
      </c>
      <c r="E3309">
        <f>YEAR(A3309)</f>
        <v>2014</v>
      </c>
      <c r="F3309" s="33">
        <f>DATE(YEAR(A3309),MONTH(A3309),1)</f>
        <v>41852.0</v>
      </c>
      <c r="G3309" t="str">
        <f>CHOOSE(WEEKDAY(A3309,2),"Mon","Tue","Wed","Thu","Fri","Sat","Sun")</f>
        <v>Sat</v>
      </c>
      <c r="H3309" t="str">
        <f>IF(WEEKDAY(A3309,2)&gt;5,"Weekend","Weekday")</f>
        <v>Weekend</v>
      </c>
      <c r="I3309" t="str">
        <f>_xlfn.IFS(B3309&lt;=5,"Night (0-5)",B3309&lt;=9,"Morning peak (6-9)",B3309&lt;=15,"Midday (10-15)",B3309&lt;=19,"Evening peak (16-19)",TRUE,"Late evening (20-23)")</f>
        <v>Evening peak (16-19)</v>
      </c>
    </row>
    <row r="3310" spans="1:9">
      <c r="A3310" s="32">
        <v>41867</v>
      </c>
      <c r="B3310">
        <v>20</v>
      </c>
      <c r="C3310">
        <v>1625</v>
      </c>
      <c r="D3310" t="s">
        <v>303</v>
      </c>
      <c r="E3310">
        <f>YEAR(A3310)</f>
        <v>2014</v>
      </c>
      <c r="F3310" s="33">
        <f>DATE(YEAR(A3310),MONTH(A3310),1)</f>
        <v>41852.0</v>
      </c>
      <c r="G3310" t="str">
        <f>CHOOSE(WEEKDAY(A3310,2),"Mon","Tue","Wed","Thu","Fri","Sat","Sun")</f>
        <v>Sat</v>
      </c>
      <c r="H3310" t="str">
        <f>IF(WEEKDAY(A3310,2)&gt;5,"Weekend","Weekday")</f>
        <v>Weekend</v>
      </c>
      <c r="I3310" t="str">
        <f>_xlfn.IFS(B3310&lt;=5,"Night (0-5)",B3310&lt;=9,"Morning peak (6-9)",B3310&lt;=15,"Midday (10-15)",B3310&lt;=19,"Evening peak (16-19)",TRUE,"Late evening (20-23)")</f>
        <v>Late evening (20-23)</v>
      </c>
    </row>
    <row r="3311" spans="1:9">
      <c r="A3311" s="32">
        <v>41867</v>
      </c>
      <c r="B3311">
        <v>21</v>
      </c>
      <c r="C3311">
        <v>1803</v>
      </c>
      <c r="D3311" t="s">
        <v>303</v>
      </c>
      <c r="E3311">
        <f>YEAR(A3311)</f>
        <v>2014</v>
      </c>
      <c r="F3311" s="33">
        <f>DATE(YEAR(A3311),MONTH(A3311),1)</f>
        <v>41852.0</v>
      </c>
      <c r="G3311" t="str">
        <f>CHOOSE(WEEKDAY(A3311,2),"Mon","Tue","Wed","Thu","Fri","Sat","Sun")</f>
        <v>Sat</v>
      </c>
      <c r="H3311" t="str">
        <f>IF(WEEKDAY(A3311,2)&gt;5,"Weekend","Weekday")</f>
        <v>Weekend</v>
      </c>
      <c r="I3311" t="str">
        <f>_xlfn.IFS(B3311&lt;=5,"Night (0-5)",B3311&lt;=9,"Morning peak (6-9)",B3311&lt;=15,"Midday (10-15)",B3311&lt;=19,"Evening peak (16-19)",TRUE,"Late evening (20-23)")</f>
        <v>Late evening (20-23)</v>
      </c>
    </row>
    <row r="3312" spans="1:9">
      <c r="A3312" s="32">
        <v>41867</v>
      </c>
      <c r="B3312">
        <v>22</v>
      </c>
      <c r="C3312">
        <v>1917</v>
      </c>
      <c r="D3312" t="s">
        <v>303</v>
      </c>
      <c r="E3312">
        <f>YEAR(A3312)</f>
        <v>2014</v>
      </c>
      <c r="F3312" s="33">
        <f>DATE(YEAR(A3312),MONTH(A3312),1)</f>
        <v>41852.0</v>
      </c>
      <c r="G3312" t="str">
        <f>CHOOSE(WEEKDAY(A3312,2),"Mon","Tue","Wed","Thu","Fri","Sat","Sun")</f>
        <v>Sat</v>
      </c>
      <c r="H3312" t="str">
        <f>IF(WEEKDAY(A3312,2)&gt;5,"Weekend","Weekday")</f>
        <v>Weekend</v>
      </c>
      <c r="I3312" t="str">
        <f>_xlfn.IFS(B3312&lt;=5,"Night (0-5)",B3312&lt;=9,"Morning peak (6-9)",B3312&lt;=15,"Midday (10-15)",B3312&lt;=19,"Evening peak (16-19)",TRUE,"Late evening (20-23)")</f>
        <v>Late evening (20-23)</v>
      </c>
    </row>
    <row r="3313" spans="1:9">
      <c r="A3313" s="32">
        <v>41867</v>
      </c>
      <c r="B3313">
        <v>23</v>
      </c>
      <c r="C3313">
        <v>1742</v>
      </c>
      <c r="D3313" t="s">
        <v>303</v>
      </c>
      <c r="E3313">
        <f>YEAR(A3313)</f>
        <v>2014</v>
      </c>
      <c r="F3313" s="33">
        <f>DATE(YEAR(A3313),MONTH(A3313),1)</f>
        <v>41852.0</v>
      </c>
      <c r="G3313" t="str">
        <f>CHOOSE(WEEKDAY(A3313,2),"Mon","Tue","Wed","Thu","Fri","Sat","Sun")</f>
        <v>Sat</v>
      </c>
      <c r="H3313" t="str">
        <f>IF(WEEKDAY(A3313,2)&gt;5,"Weekend","Weekday")</f>
        <v>Weekend</v>
      </c>
      <c r="I3313" t="str">
        <f>_xlfn.IFS(B3313&lt;=5,"Night (0-5)",B3313&lt;=9,"Morning peak (6-9)",B3313&lt;=15,"Midday (10-15)",B3313&lt;=19,"Evening peak (16-19)",TRUE,"Late evening (20-23)")</f>
        <v>Late evening (20-23)</v>
      </c>
    </row>
    <row r="3314" spans="1:9">
      <c r="A3314" s="32">
        <v>41868</v>
      </c>
      <c r="B3314">
        <v>0</v>
      </c>
      <c r="C3314">
        <v>1259</v>
      </c>
      <c r="D3314" t="s">
        <v>303</v>
      </c>
      <c r="E3314">
        <f>YEAR(A3314)</f>
        <v>2014</v>
      </c>
      <c r="F3314" s="33">
        <f>DATE(YEAR(A3314),MONTH(A3314),1)</f>
        <v>41852.0</v>
      </c>
      <c r="G3314" t="str">
        <f>CHOOSE(WEEKDAY(A3314,2),"Mon","Tue","Wed","Thu","Fri","Sat","Sun")</f>
        <v>Sun</v>
      </c>
      <c r="H3314" t="str">
        <f>IF(WEEKDAY(A3314,2)&gt;5,"Weekend","Weekday")</f>
        <v>Weekend</v>
      </c>
      <c r="I3314" t="str">
        <f>_xlfn.IFS(B3314&lt;=5,"Night (0-5)",B3314&lt;=9,"Morning peak (6-9)",B3314&lt;=15,"Midday (10-15)",B3314&lt;=19,"Evening peak (16-19)",TRUE,"Late evening (20-23)")</f>
        <v>Night (0-5)</v>
      </c>
    </row>
    <row r="3315" spans="1:9">
      <c r="A3315" s="32">
        <v>41868</v>
      </c>
      <c r="B3315">
        <v>1</v>
      </c>
      <c r="C3315">
        <v>993</v>
      </c>
      <c r="D3315" t="s">
        <v>303</v>
      </c>
      <c r="E3315">
        <f>YEAR(A3315)</f>
        <v>2014</v>
      </c>
      <c r="F3315" s="33">
        <f>DATE(YEAR(A3315),MONTH(A3315),1)</f>
        <v>41852.0</v>
      </c>
      <c r="G3315" t="str">
        <f>CHOOSE(WEEKDAY(A3315,2),"Mon","Tue","Wed","Thu","Fri","Sat","Sun")</f>
        <v>Sun</v>
      </c>
      <c r="H3315" t="str">
        <f>IF(WEEKDAY(A3315,2)&gt;5,"Weekend","Weekday")</f>
        <v>Weekend</v>
      </c>
      <c r="I3315" t="str">
        <f>_xlfn.IFS(B3315&lt;=5,"Night (0-5)",B3315&lt;=9,"Morning peak (6-9)",B3315&lt;=15,"Midday (10-15)",B3315&lt;=19,"Evening peak (16-19)",TRUE,"Late evening (20-23)")</f>
        <v>Night (0-5)</v>
      </c>
    </row>
    <row r="3316" spans="1:9">
      <c r="A3316" s="32">
        <v>41868</v>
      </c>
      <c r="B3316">
        <v>2</v>
      </c>
      <c r="C3316">
        <v>714</v>
      </c>
      <c r="D3316" t="s">
        <v>303</v>
      </c>
      <c r="E3316">
        <f>YEAR(A3316)</f>
        <v>2014</v>
      </c>
      <c r="F3316" s="33">
        <f>DATE(YEAR(A3316),MONTH(A3316),1)</f>
        <v>41852.0</v>
      </c>
      <c r="G3316" t="str">
        <f>CHOOSE(WEEKDAY(A3316,2),"Mon","Tue","Wed","Thu","Fri","Sat","Sun")</f>
        <v>Sun</v>
      </c>
      <c r="H3316" t="str">
        <f>IF(WEEKDAY(A3316,2)&gt;5,"Weekend","Weekday")</f>
        <v>Weekend</v>
      </c>
      <c r="I3316" t="str">
        <f>_xlfn.IFS(B3316&lt;=5,"Night (0-5)",B3316&lt;=9,"Morning peak (6-9)",B3316&lt;=15,"Midday (10-15)",B3316&lt;=19,"Evening peak (16-19)",TRUE,"Late evening (20-23)")</f>
        <v>Night (0-5)</v>
      </c>
    </row>
    <row r="3317" spans="1:9">
      <c r="A3317" s="32">
        <v>41868</v>
      </c>
      <c r="B3317">
        <v>3</v>
      </c>
      <c r="C3317">
        <v>495</v>
      </c>
      <c r="D3317" t="s">
        <v>303</v>
      </c>
      <c r="E3317">
        <f>YEAR(A3317)</f>
        <v>2014</v>
      </c>
      <c r="F3317" s="33">
        <f>DATE(YEAR(A3317),MONTH(A3317),1)</f>
        <v>41852.0</v>
      </c>
      <c r="G3317" t="str">
        <f>CHOOSE(WEEKDAY(A3317,2),"Mon","Tue","Wed","Thu","Fri","Sat","Sun")</f>
        <v>Sun</v>
      </c>
      <c r="H3317" t="str">
        <f>IF(WEEKDAY(A3317,2)&gt;5,"Weekend","Weekday")</f>
        <v>Weekend</v>
      </c>
      <c r="I3317" t="str">
        <f>_xlfn.IFS(B3317&lt;=5,"Night (0-5)",B3317&lt;=9,"Morning peak (6-9)",B3317&lt;=15,"Midday (10-15)",B3317&lt;=19,"Evening peak (16-19)",TRUE,"Late evening (20-23)")</f>
        <v>Night (0-5)</v>
      </c>
    </row>
    <row r="3318" spans="1:9">
      <c r="A3318" s="32">
        <v>41868</v>
      </c>
      <c r="B3318">
        <v>4</v>
      </c>
      <c r="C3318">
        <v>354</v>
      </c>
      <c r="D3318" t="s">
        <v>303</v>
      </c>
      <c r="E3318">
        <f>YEAR(A3318)</f>
        <v>2014</v>
      </c>
      <c r="F3318" s="33">
        <f>DATE(YEAR(A3318),MONTH(A3318),1)</f>
        <v>41852.0</v>
      </c>
      <c r="G3318" t="str">
        <f>CHOOSE(WEEKDAY(A3318,2),"Mon","Tue","Wed","Thu","Fri","Sat","Sun")</f>
        <v>Sun</v>
      </c>
      <c r="H3318" t="str">
        <f>IF(WEEKDAY(A3318,2)&gt;5,"Weekend","Weekday")</f>
        <v>Weekend</v>
      </c>
      <c r="I3318" t="str">
        <f>_xlfn.IFS(B3318&lt;=5,"Night (0-5)",B3318&lt;=9,"Morning peak (6-9)",B3318&lt;=15,"Midday (10-15)",B3318&lt;=19,"Evening peak (16-19)",TRUE,"Late evening (20-23)")</f>
        <v>Night (0-5)</v>
      </c>
    </row>
    <row r="3319" spans="1:9">
      <c r="A3319" s="32">
        <v>41868</v>
      </c>
      <c r="B3319">
        <v>5</v>
      </c>
      <c r="C3319">
        <v>315</v>
      </c>
      <c r="D3319" t="s">
        <v>303</v>
      </c>
      <c r="E3319">
        <f>YEAR(A3319)</f>
        <v>2014</v>
      </c>
      <c r="F3319" s="33">
        <f>DATE(YEAR(A3319),MONTH(A3319),1)</f>
        <v>41852.0</v>
      </c>
      <c r="G3319" t="str">
        <f>CHOOSE(WEEKDAY(A3319,2),"Mon","Tue","Wed","Thu","Fri","Sat","Sun")</f>
        <v>Sun</v>
      </c>
      <c r="H3319" t="str">
        <f>IF(WEEKDAY(A3319,2)&gt;5,"Weekend","Weekday")</f>
        <v>Weekend</v>
      </c>
      <c r="I3319" t="str">
        <f>_xlfn.IFS(B3319&lt;=5,"Night (0-5)",B3319&lt;=9,"Morning peak (6-9)",B3319&lt;=15,"Midday (10-15)",B3319&lt;=19,"Evening peak (16-19)",TRUE,"Late evening (20-23)")</f>
        <v>Night (0-5)</v>
      </c>
    </row>
    <row r="3320" spans="1:9">
      <c r="A3320" s="32">
        <v>41868</v>
      </c>
      <c r="B3320">
        <v>6</v>
      </c>
      <c r="C3320">
        <v>291</v>
      </c>
      <c r="D3320" t="s">
        <v>303</v>
      </c>
      <c r="E3320">
        <f>YEAR(A3320)</f>
        <v>2014</v>
      </c>
      <c r="F3320" s="33">
        <f>DATE(YEAR(A3320),MONTH(A3320),1)</f>
        <v>41852.0</v>
      </c>
      <c r="G3320" t="str">
        <f>CHOOSE(WEEKDAY(A3320,2),"Mon","Tue","Wed","Thu","Fri","Sat","Sun")</f>
        <v>Sun</v>
      </c>
      <c r="H3320" t="str">
        <f>IF(WEEKDAY(A3320,2)&gt;5,"Weekend","Weekday")</f>
        <v>Weekend</v>
      </c>
      <c r="I3320" t="str">
        <f>_xlfn.IFS(B3320&lt;=5,"Night (0-5)",B3320&lt;=9,"Morning peak (6-9)",B3320&lt;=15,"Midday (10-15)",B3320&lt;=19,"Evening peak (16-19)",TRUE,"Late evening (20-23)")</f>
        <v>Morning peak (6-9)</v>
      </c>
    </row>
    <row r="3321" spans="1:9">
      <c r="A3321" s="32">
        <v>41868</v>
      </c>
      <c r="B3321">
        <v>7</v>
      </c>
      <c r="C3321">
        <v>440</v>
      </c>
      <c r="D3321" t="s">
        <v>303</v>
      </c>
      <c r="E3321">
        <f>YEAR(A3321)</f>
        <v>2014</v>
      </c>
      <c r="F3321" s="33">
        <f>DATE(YEAR(A3321),MONTH(A3321),1)</f>
        <v>41852.0</v>
      </c>
      <c r="G3321" t="str">
        <f>CHOOSE(WEEKDAY(A3321,2),"Mon","Tue","Wed","Thu","Fri","Sat","Sun")</f>
        <v>Sun</v>
      </c>
      <c r="H3321" t="str">
        <f>IF(WEEKDAY(A3321,2)&gt;5,"Weekend","Weekday")</f>
        <v>Weekend</v>
      </c>
      <c r="I3321" t="str">
        <f>_xlfn.IFS(B3321&lt;=5,"Night (0-5)",B3321&lt;=9,"Morning peak (6-9)",B3321&lt;=15,"Midday (10-15)",B3321&lt;=19,"Evening peak (16-19)",TRUE,"Late evening (20-23)")</f>
        <v>Morning peak (6-9)</v>
      </c>
    </row>
    <row r="3322" spans="1:9">
      <c r="A3322" s="32">
        <v>41868</v>
      </c>
      <c r="B3322">
        <v>8</v>
      </c>
      <c r="C3322">
        <v>569</v>
      </c>
      <c r="D3322" t="s">
        <v>303</v>
      </c>
      <c r="E3322">
        <f>YEAR(A3322)</f>
        <v>2014</v>
      </c>
      <c r="F3322" s="33">
        <f>DATE(YEAR(A3322),MONTH(A3322),1)</f>
        <v>41852.0</v>
      </c>
      <c r="G3322" t="str">
        <f>CHOOSE(WEEKDAY(A3322,2),"Mon","Tue","Wed","Thu","Fri","Sat","Sun")</f>
        <v>Sun</v>
      </c>
      <c r="H3322" t="str">
        <f>IF(WEEKDAY(A3322,2)&gt;5,"Weekend","Weekday")</f>
        <v>Weekend</v>
      </c>
      <c r="I3322" t="str">
        <f>_xlfn.IFS(B3322&lt;=5,"Night (0-5)",B3322&lt;=9,"Morning peak (6-9)",B3322&lt;=15,"Midday (10-15)",B3322&lt;=19,"Evening peak (16-19)",TRUE,"Late evening (20-23)")</f>
        <v>Morning peak (6-9)</v>
      </c>
    </row>
    <row r="3323" spans="1:9">
      <c r="A3323" s="32">
        <v>41868</v>
      </c>
      <c r="B3323">
        <v>9</v>
      </c>
      <c r="C3323">
        <v>709</v>
      </c>
      <c r="D3323" t="s">
        <v>303</v>
      </c>
      <c r="E3323">
        <f>YEAR(A3323)</f>
        <v>2014</v>
      </c>
      <c r="F3323" s="33">
        <f>DATE(YEAR(A3323),MONTH(A3323),1)</f>
        <v>41852.0</v>
      </c>
      <c r="G3323" t="str">
        <f>CHOOSE(WEEKDAY(A3323,2),"Mon","Tue","Wed","Thu","Fri","Sat","Sun")</f>
        <v>Sun</v>
      </c>
      <c r="H3323" t="str">
        <f>IF(WEEKDAY(A3323,2)&gt;5,"Weekend","Weekday")</f>
        <v>Weekend</v>
      </c>
      <c r="I3323" t="str">
        <f>_xlfn.IFS(B3323&lt;=5,"Night (0-5)",B3323&lt;=9,"Morning peak (6-9)",B3323&lt;=15,"Midday (10-15)",B3323&lt;=19,"Evening peak (16-19)",TRUE,"Late evening (20-23)")</f>
        <v>Morning peak (6-9)</v>
      </c>
    </row>
    <row r="3324" spans="1:9">
      <c r="A3324" s="32">
        <v>41868</v>
      </c>
      <c r="B3324">
        <v>10</v>
      </c>
      <c r="C3324">
        <v>936</v>
      </c>
      <c r="D3324" t="s">
        <v>303</v>
      </c>
      <c r="E3324">
        <f>YEAR(A3324)</f>
        <v>2014</v>
      </c>
      <c r="F3324" s="33">
        <f>DATE(YEAR(A3324),MONTH(A3324),1)</f>
        <v>41852.0</v>
      </c>
      <c r="G3324" t="str">
        <f>CHOOSE(WEEKDAY(A3324,2),"Mon","Tue","Wed","Thu","Fri","Sat","Sun")</f>
        <v>Sun</v>
      </c>
      <c r="H3324" t="str">
        <f>IF(WEEKDAY(A3324,2)&gt;5,"Weekend","Weekday")</f>
        <v>Weekend</v>
      </c>
      <c r="I3324" t="str">
        <f>_xlfn.IFS(B3324&lt;=5,"Night (0-5)",B3324&lt;=9,"Morning peak (6-9)",B3324&lt;=15,"Midday (10-15)",B3324&lt;=19,"Evening peak (16-19)",TRUE,"Late evening (20-23)")</f>
        <v>Midday (10-15)</v>
      </c>
    </row>
    <row r="3325" spans="1:9">
      <c r="A3325" s="32">
        <v>41868</v>
      </c>
      <c r="B3325">
        <v>11</v>
      </c>
      <c r="C3325">
        <v>1051</v>
      </c>
      <c r="D3325" t="s">
        <v>303</v>
      </c>
      <c r="E3325">
        <f>YEAR(A3325)</f>
        <v>2014</v>
      </c>
      <c r="F3325" s="33">
        <f>DATE(YEAR(A3325),MONTH(A3325),1)</f>
        <v>41852.0</v>
      </c>
      <c r="G3325" t="str">
        <f>CHOOSE(WEEKDAY(A3325,2),"Mon","Tue","Wed","Thu","Fri","Sat","Sun")</f>
        <v>Sun</v>
      </c>
      <c r="H3325" t="str">
        <f>IF(WEEKDAY(A3325,2)&gt;5,"Weekend","Weekday")</f>
        <v>Weekend</v>
      </c>
      <c r="I3325" t="str">
        <f>_xlfn.IFS(B3325&lt;=5,"Night (0-5)",B3325&lt;=9,"Morning peak (6-9)",B3325&lt;=15,"Midday (10-15)",B3325&lt;=19,"Evening peak (16-19)",TRUE,"Late evening (20-23)")</f>
        <v>Midday (10-15)</v>
      </c>
    </row>
    <row r="3326" spans="1:9">
      <c r="A3326" s="32">
        <v>41868</v>
      </c>
      <c r="B3326">
        <v>12</v>
      </c>
      <c r="C3326">
        <v>1049</v>
      </c>
      <c r="D3326" t="s">
        <v>303</v>
      </c>
      <c r="E3326">
        <f>YEAR(A3326)</f>
        <v>2014</v>
      </c>
      <c r="F3326" s="33">
        <f>DATE(YEAR(A3326),MONTH(A3326),1)</f>
        <v>41852.0</v>
      </c>
      <c r="G3326" t="str">
        <f>CHOOSE(WEEKDAY(A3326,2),"Mon","Tue","Wed","Thu","Fri","Sat","Sun")</f>
        <v>Sun</v>
      </c>
      <c r="H3326" t="str">
        <f>IF(WEEKDAY(A3326,2)&gt;5,"Weekend","Weekday")</f>
        <v>Weekend</v>
      </c>
      <c r="I3326" t="str">
        <f>_xlfn.IFS(B3326&lt;=5,"Night (0-5)",B3326&lt;=9,"Morning peak (6-9)",B3326&lt;=15,"Midday (10-15)",B3326&lt;=19,"Evening peak (16-19)",TRUE,"Late evening (20-23)")</f>
        <v>Midday (10-15)</v>
      </c>
    </row>
    <row r="3327" spans="1:9">
      <c r="A3327" s="32">
        <v>41868</v>
      </c>
      <c r="B3327">
        <v>13</v>
      </c>
      <c r="C3327">
        <v>1053</v>
      </c>
      <c r="D3327" t="s">
        <v>303</v>
      </c>
      <c r="E3327">
        <f>YEAR(A3327)</f>
        <v>2014</v>
      </c>
      <c r="F3327" s="33">
        <f>DATE(YEAR(A3327),MONTH(A3327),1)</f>
        <v>41852.0</v>
      </c>
      <c r="G3327" t="str">
        <f>CHOOSE(WEEKDAY(A3327,2),"Mon","Tue","Wed","Thu","Fri","Sat","Sun")</f>
        <v>Sun</v>
      </c>
      <c r="H3327" t="str">
        <f>IF(WEEKDAY(A3327,2)&gt;5,"Weekend","Weekday")</f>
        <v>Weekend</v>
      </c>
      <c r="I3327" t="str">
        <f>_xlfn.IFS(B3327&lt;=5,"Night (0-5)",B3327&lt;=9,"Morning peak (6-9)",B3327&lt;=15,"Midday (10-15)",B3327&lt;=19,"Evening peak (16-19)",TRUE,"Late evening (20-23)")</f>
        <v>Midday (10-15)</v>
      </c>
    </row>
    <row r="3328" spans="1:9">
      <c r="A3328" s="32">
        <v>41868</v>
      </c>
      <c r="B3328">
        <v>14</v>
      </c>
      <c r="C3328">
        <v>1117</v>
      </c>
      <c r="D3328" t="s">
        <v>303</v>
      </c>
      <c r="E3328">
        <f>YEAR(A3328)</f>
        <v>2014</v>
      </c>
      <c r="F3328" s="33">
        <f>DATE(YEAR(A3328),MONTH(A3328),1)</f>
        <v>41852.0</v>
      </c>
      <c r="G3328" t="str">
        <f>CHOOSE(WEEKDAY(A3328,2),"Mon","Tue","Wed","Thu","Fri","Sat","Sun")</f>
        <v>Sun</v>
      </c>
      <c r="H3328" t="str">
        <f>IF(WEEKDAY(A3328,2)&gt;5,"Weekend","Weekday")</f>
        <v>Weekend</v>
      </c>
      <c r="I3328" t="str">
        <f>_xlfn.IFS(B3328&lt;=5,"Night (0-5)",B3328&lt;=9,"Morning peak (6-9)",B3328&lt;=15,"Midday (10-15)",B3328&lt;=19,"Evening peak (16-19)",TRUE,"Late evening (20-23)")</f>
        <v>Midday (10-15)</v>
      </c>
    </row>
    <row r="3329" spans="1:9">
      <c r="A3329" s="32">
        <v>41868</v>
      </c>
      <c r="B3329">
        <v>15</v>
      </c>
      <c r="C3329">
        <v>1267</v>
      </c>
      <c r="D3329" t="s">
        <v>303</v>
      </c>
      <c r="E3329">
        <f>YEAR(A3329)</f>
        <v>2014</v>
      </c>
      <c r="F3329" s="33">
        <f>DATE(YEAR(A3329),MONTH(A3329),1)</f>
        <v>41852.0</v>
      </c>
      <c r="G3329" t="str">
        <f>CHOOSE(WEEKDAY(A3329,2),"Mon","Tue","Wed","Thu","Fri","Sat","Sun")</f>
        <v>Sun</v>
      </c>
      <c r="H3329" t="str">
        <f>IF(WEEKDAY(A3329,2)&gt;5,"Weekend","Weekday")</f>
        <v>Weekend</v>
      </c>
      <c r="I3329" t="str">
        <f>_xlfn.IFS(B3329&lt;=5,"Night (0-5)",B3329&lt;=9,"Morning peak (6-9)",B3329&lt;=15,"Midday (10-15)",B3329&lt;=19,"Evening peak (16-19)",TRUE,"Late evening (20-23)")</f>
        <v>Midday (10-15)</v>
      </c>
    </row>
    <row r="3330" spans="1:9">
      <c r="A3330" s="32">
        <v>41868</v>
      </c>
      <c r="B3330">
        <v>16</v>
      </c>
      <c r="C3330">
        <v>1254</v>
      </c>
      <c r="D3330" t="s">
        <v>303</v>
      </c>
      <c r="E3330">
        <f>YEAR(A3330)</f>
        <v>2014</v>
      </c>
      <c r="F3330" s="33">
        <f>DATE(YEAR(A3330),MONTH(A3330),1)</f>
        <v>41852.0</v>
      </c>
      <c r="G3330" t="str">
        <f>CHOOSE(WEEKDAY(A3330,2),"Mon","Tue","Wed","Thu","Fri","Sat","Sun")</f>
        <v>Sun</v>
      </c>
      <c r="H3330" t="str">
        <f>IF(WEEKDAY(A3330,2)&gt;5,"Weekend","Weekday")</f>
        <v>Weekend</v>
      </c>
      <c r="I3330" t="str">
        <f>_xlfn.IFS(B3330&lt;=5,"Night (0-5)",B3330&lt;=9,"Morning peak (6-9)",B3330&lt;=15,"Midday (10-15)",B3330&lt;=19,"Evening peak (16-19)",TRUE,"Late evening (20-23)")</f>
        <v>Evening peak (16-19)</v>
      </c>
    </row>
    <row r="3331" spans="1:9">
      <c r="A3331" s="32">
        <v>41868</v>
      </c>
      <c r="B3331">
        <v>17</v>
      </c>
      <c r="C3331">
        <v>1346</v>
      </c>
      <c r="D3331" t="s">
        <v>303</v>
      </c>
      <c r="E3331">
        <f>YEAR(A3331)</f>
        <v>2014</v>
      </c>
      <c r="F3331" s="33">
        <f>DATE(YEAR(A3331),MONTH(A3331),1)</f>
        <v>41852.0</v>
      </c>
      <c r="G3331" t="str">
        <f>CHOOSE(WEEKDAY(A3331,2),"Mon","Tue","Wed","Thu","Fri","Sat","Sun")</f>
        <v>Sun</v>
      </c>
      <c r="H3331" t="str">
        <f>IF(WEEKDAY(A3331,2)&gt;5,"Weekend","Weekday")</f>
        <v>Weekend</v>
      </c>
      <c r="I3331" t="str">
        <f>_xlfn.IFS(B3331&lt;=5,"Night (0-5)",B3331&lt;=9,"Morning peak (6-9)",B3331&lt;=15,"Midday (10-15)",B3331&lt;=19,"Evening peak (16-19)",TRUE,"Late evening (20-23)")</f>
        <v>Evening peak (16-19)</v>
      </c>
    </row>
    <row r="3332" spans="1:9">
      <c r="A3332" s="32">
        <v>41868</v>
      </c>
      <c r="B3332">
        <v>18</v>
      </c>
      <c r="C3332">
        <v>1269</v>
      </c>
      <c r="D3332" t="s">
        <v>303</v>
      </c>
      <c r="E3332">
        <f>YEAR(A3332)</f>
        <v>2014</v>
      </c>
      <c r="F3332" s="33">
        <f>DATE(YEAR(A3332),MONTH(A3332),1)</f>
        <v>41852.0</v>
      </c>
      <c r="G3332" t="str">
        <f>CHOOSE(WEEKDAY(A3332,2),"Mon","Tue","Wed","Thu","Fri","Sat","Sun")</f>
        <v>Sun</v>
      </c>
      <c r="H3332" t="str">
        <f>IF(WEEKDAY(A3332,2)&gt;5,"Weekend","Weekday")</f>
        <v>Weekend</v>
      </c>
      <c r="I3332" t="str">
        <f>_xlfn.IFS(B3332&lt;=5,"Night (0-5)",B3332&lt;=9,"Morning peak (6-9)",B3332&lt;=15,"Midday (10-15)",B3332&lt;=19,"Evening peak (16-19)",TRUE,"Late evening (20-23)")</f>
        <v>Evening peak (16-19)</v>
      </c>
    </row>
    <row r="3333" spans="1:9">
      <c r="A3333" s="32">
        <v>41868</v>
      </c>
      <c r="B3333">
        <v>19</v>
      </c>
      <c r="C3333">
        <v>1130</v>
      </c>
      <c r="D3333" t="s">
        <v>303</v>
      </c>
      <c r="E3333">
        <f>YEAR(A3333)</f>
        <v>2014</v>
      </c>
      <c r="F3333" s="33">
        <f>DATE(YEAR(A3333),MONTH(A3333),1)</f>
        <v>41852.0</v>
      </c>
      <c r="G3333" t="str">
        <f>CHOOSE(WEEKDAY(A3333,2),"Mon","Tue","Wed","Thu","Fri","Sat","Sun")</f>
        <v>Sun</v>
      </c>
      <c r="H3333" t="str">
        <f>IF(WEEKDAY(A3333,2)&gt;5,"Weekend","Weekday")</f>
        <v>Weekend</v>
      </c>
      <c r="I3333" t="str">
        <f>_xlfn.IFS(B3333&lt;=5,"Night (0-5)",B3333&lt;=9,"Morning peak (6-9)",B3333&lt;=15,"Midday (10-15)",B3333&lt;=19,"Evening peak (16-19)",TRUE,"Late evening (20-23)")</f>
        <v>Evening peak (16-19)</v>
      </c>
    </row>
    <row r="3334" spans="1:9">
      <c r="A3334" s="32">
        <v>41868</v>
      </c>
      <c r="B3334">
        <v>20</v>
      </c>
      <c r="C3334">
        <v>1184</v>
      </c>
      <c r="D3334" t="s">
        <v>303</v>
      </c>
      <c r="E3334">
        <f>YEAR(A3334)</f>
        <v>2014</v>
      </c>
      <c r="F3334" s="33">
        <f>DATE(YEAR(A3334),MONTH(A3334),1)</f>
        <v>41852.0</v>
      </c>
      <c r="G3334" t="str">
        <f>CHOOSE(WEEKDAY(A3334,2),"Mon","Tue","Wed","Thu","Fri","Sat","Sun")</f>
        <v>Sun</v>
      </c>
      <c r="H3334" t="str">
        <f>IF(WEEKDAY(A3334,2)&gt;5,"Weekend","Weekday")</f>
        <v>Weekend</v>
      </c>
      <c r="I3334" t="str">
        <f>_xlfn.IFS(B3334&lt;=5,"Night (0-5)",B3334&lt;=9,"Morning peak (6-9)",B3334&lt;=15,"Midday (10-15)",B3334&lt;=19,"Evening peak (16-19)",TRUE,"Late evening (20-23)")</f>
        <v>Late evening (20-23)</v>
      </c>
    </row>
    <row r="3335" spans="1:9">
      <c r="A3335" s="32">
        <v>41868</v>
      </c>
      <c r="B3335">
        <v>21</v>
      </c>
      <c r="C3335">
        <v>1013</v>
      </c>
      <c r="D3335" t="s">
        <v>303</v>
      </c>
      <c r="E3335">
        <f>YEAR(A3335)</f>
        <v>2014</v>
      </c>
      <c r="F3335" s="33">
        <f>DATE(YEAR(A3335),MONTH(A3335),1)</f>
        <v>41852.0</v>
      </c>
      <c r="G3335" t="str">
        <f>CHOOSE(WEEKDAY(A3335,2),"Mon","Tue","Wed","Thu","Fri","Sat","Sun")</f>
        <v>Sun</v>
      </c>
      <c r="H3335" t="str">
        <f>IF(WEEKDAY(A3335,2)&gt;5,"Weekend","Weekday")</f>
        <v>Weekend</v>
      </c>
      <c r="I3335" t="str">
        <f>_xlfn.IFS(B3335&lt;=5,"Night (0-5)",B3335&lt;=9,"Morning peak (6-9)",B3335&lt;=15,"Midday (10-15)",B3335&lt;=19,"Evening peak (16-19)",TRUE,"Late evening (20-23)")</f>
        <v>Late evening (20-23)</v>
      </c>
    </row>
    <row r="3336" spans="1:9">
      <c r="A3336" s="32">
        <v>41868</v>
      </c>
      <c r="B3336">
        <v>22</v>
      </c>
      <c r="C3336">
        <v>839</v>
      </c>
      <c r="D3336" t="s">
        <v>303</v>
      </c>
      <c r="E3336">
        <f>YEAR(A3336)</f>
        <v>2014</v>
      </c>
      <c r="F3336" s="33">
        <f>DATE(YEAR(A3336),MONTH(A3336),1)</f>
        <v>41852.0</v>
      </c>
      <c r="G3336" t="str">
        <f>CHOOSE(WEEKDAY(A3336,2),"Mon","Tue","Wed","Thu","Fri","Sat","Sun")</f>
        <v>Sun</v>
      </c>
      <c r="H3336" t="str">
        <f>IF(WEEKDAY(A3336,2)&gt;5,"Weekend","Weekday")</f>
        <v>Weekend</v>
      </c>
      <c r="I3336" t="str">
        <f>_xlfn.IFS(B3336&lt;=5,"Night (0-5)",B3336&lt;=9,"Morning peak (6-9)",B3336&lt;=15,"Midday (10-15)",B3336&lt;=19,"Evening peak (16-19)",TRUE,"Late evening (20-23)")</f>
        <v>Late evening (20-23)</v>
      </c>
    </row>
    <row r="3337" spans="1:9">
      <c r="A3337" s="32">
        <v>41868</v>
      </c>
      <c r="B3337">
        <v>23</v>
      </c>
      <c r="C3337">
        <v>562</v>
      </c>
      <c r="D3337" t="s">
        <v>303</v>
      </c>
      <c r="E3337">
        <f>YEAR(A3337)</f>
        <v>2014</v>
      </c>
      <c r="F3337" s="33">
        <f>DATE(YEAR(A3337),MONTH(A3337),1)</f>
        <v>41852.0</v>
      </c>
      <c r="G3337" t="str">
        <f>CHOOSE(WEEKDAY(A3337,2),"Mon","Tue","Wed","Thu","Fri","Sat","Sun")</f>
        <v>Sun</v>
      </c>
      <c r="H3337" t="str">
        <f>IF(WEEKDAY(A3337,2)&gt;5,"Weekend","Weekday")</f>
        <v>Weekend</v>
      </c>
      <c r="I3337" t="str">
        <f>_xlfn.IFS(B3337&lt;=5,"Night (0-5)",B3337&lt;=9,"Morning peak (6-9)",B3337&lt;=15,"Midday (10-15)",B3337&lt;=19,"Evening peak (16-19)",TRUE,"Late evening (20-23)")</f>
        <v>Late evening (20-23)</v>
      </c>
    </row>
    <row r="3338" spans="1:9">
      <c r="A3338" s="32">
        <v>41869</v>
      </c>
      <c r="B3338">
        <v>0</v>
      </c>
      <c r="C3338">
        <v>245</v>
      </c>
      <c r="D3338" t="s">
        <v>303</v>
      </c>
      <c r="E3338">
        <f>YEAR(A3338)</f>
        <v>2014</v>
      </c>
      <c r="F3338" s="33">
        <f>DATE(YEAR(A3338),MONTH(A3338),1)</f>
        <v>41852.0</v>
      </c>
      <c r="G3338" t="str">
        <f>CHOOSE(WEEKDAY(A3338,2),"Mon","Tue","Wed","Thu","Fri","Sat","Sun")</f>
        <v>Mon</v>
      </c>
      <c r="H3338" t="str">
        <f>IF(WEEKDAY(A3338,2)&gt;5,"Weekend","Weekday")</f>
        <v>Weekday</v>
      </c>
      <c r="I3338" t="str">
        <f>_xlfn.IFS(B3338&lt;=5,"Night (0-5)",B3338&lt;=9,"Morning peak (6-9)",B3338&lt;=15,"Midday (10-15)",B3338&lt;=19,"Evening peak (16-19)",TRUE,"Late evening (20-23)")</f>
        <v>Night (0-5)</v>
      </c>
    </row>
    <row r="3339" spans="1:9">
      <c r="A3339" s="32">
        <v>41869</v>
      </c>
      <c r="B3339">
        <v>1</v>
      </c>
      <c r="C3339">
        <v>196</v>
      </c>
      <c r="D3339" t="s">
        <v>303</v>
      </c>
      <c r="E3339">
        <f>YEAR(A3339)</f>
        <v>2014</v>
      </c>
      <c r="F3339" s="33">
        <f>DATE(YEAR(A3339),MONTH(A3339),1)</f>
        <v>41852.0</v>
      </c>
      <c r="G3339" t="str">
        <f>CHOOSE(WEEKDAY(A3339,2),"Mon","Tue","Wed","Thu","Fri","Sat","Sun")</f>
        <v>Mon</v>
      </c>
      <c r="H3339" t="str">
        <f>IF(WEEKDAY(A3339,2)&gt;5,"Weekend","Weekday")</f>
        <v>Weekday</v>
      </c>
      <c r="I3339" t="str">
        <f>_xlfn.IFS(B3339&lt;=5,"Night (0-5)",B3339&lt;=9,"Morning peak (6-9)",B3339&lt;=15,"Midday (10-15)",B3339&lt;=19,"Evening peak (16-19)",TRUE,"Late evening (20-23)")</f>
        <v>Night (0-5)</v>
      </c>
    </row>
    <row r="3340" spans="1:9">
      <c r="A3340" s="32">
        <v>41869</v>
      </c>
      <c r="B3340">
        <v>2</v>
      </c>
      <c r="C3340">
        <v>132</v>
      </c>
      <c r="D3340" t="s">
        <v>303</v>
      </c>
      <c r="E3340">
        <f>YEAR(A3340)</f>
        <v>2014</v>
      </c>
      <c r="F3340" s="33">
        <f>DATE(YEAR(A3340),MONTH(A3340),1)</f>
        <v>41852.0</v>
      </c>
      <c r="G3340" t="str">
        <f>CHOOSE(WEEKDAY(A3340,2),"Mon","Tue","Wed","Thu","Fri","Sat","Sun")</f>
        <v>Mon</v>
      </c>
      <c r="H3340" t="str">
        <f>IF(WEEKDAY(A3340,2)&gt;5,"Weekend","Weekday")</f>
        <v>Weekday</v>
      </c>
      <c r="I3340" t="str">
        <f>_xlfn.IFS(B3340&lt;=5,"Night (0-5)",B3340&lt;=9,"Morning peak (6-9)",B3340&lt;=15,"Midday (10-15)",B3340&lt;=19,"Evening peak (16-19)",TRUE,"Late evening (20-23)")</f>
        <v>Night (0-5)</v>
      </c>
    </row>
    <row r="3341" spans="1:9">
      <c r="A3341" s="32">
        <v>41869</v>
      </c>
      <c r="B3341">
        <v>3</v>
      </c>
      <c r="C3341">
        <v>284</v>
      </c>
      <c r="D3341" t="s">
        <v>303</v>
      </c>
      <c r="E3341">
        <f>YEAR(A3341)</f>
        <v>2014</v>
      </c>
      <c r="F3341" s="33">
        <f>DATE(YEAR(A3341),MONTH(A3341),1)</f>
        <v>41852.0</v>
      </c>
      <c r="G3341" t="str">
        <f>CHOOSE(WEEKDAY(A3341,2),"Mon","Tue","Wed","Thu","Fri","Sat","Sun")</f>
        <v>Mon</v>
      </c>
      <c r="H3341" t="str">
        <f>IF(WEEKDAY(A3341,2)&gt;5,"Weekend","Weekday")</f>
        <v>Weekday</v>
      </c>
      <c r="I3341" t="str">
        <f>_xlfn.IFS(B3341&lt;=5,"Night (0-5)",B3341&lt;=9,"Morning peak (6-9)",B3341&lt;=15,"Midday (10-15)",B3341&lt;=19,"Evening peak (16-19)",TRUE,"Late evening (20-23)")</f>
        <v>Night (0-5)</v>
      </c>
    </row>
    <row r="3342" spans="1:9">
      <c r="A3342" s="32">
        <v>41869</v>
      </c>
      <c r="B3342">
        <v>4</v>
      </c>
      <c r="C3342">
        <v>418</v>
      </c>
      <c r="D3342" t="s">
        <v>303</v>
      </c>
      <c r="E3342">
        <f>YEAR(A3342)</f>
        <v>2014</v>
      </c>
      <c r="F3342" s="33">
        <f>DATE(YEAR(A3342),MONTH(A3342),1)</f>
        <v>41852.0</v>
      </c>
      <c r="G3342" t="str">
        <f>CHOOSE(WEEKDAY(A3342,2),"Mon","Tue","Wed","Thu","Fri","Sat","Sun")</f>
        <v>Mon</v>
      </c>
      <c r="H3342" t="str">
        <f>IF(WEEKDAY(A3342,2)&gt;5,"Weekend","Weekday")</f>
        <v>Weekday</v>
      </c>
      <c r="I3342" t="str">
        <f>_xlfn.IFS(B3342&lt;=5,"Night (0-5)",B3342&lt;=9,"Morning peak (6-9)",B3342&lt;=15,"Midday (10-15)",B3342&lt;=19,"Evening peak (16-19)",TRUE,"Late evening (20-23)")</f>
        <v>Night (0-5)</v>
      </c>
    </row>
    <row r="3343" spans="1:9">
      <c r="A3343" s="32">
        <v>41869</v>
      </c>
      <c r="B3343">
        <v>5</v>
      </c>
      <c r="C3343">
        <v>688</v>
      </c>
      <c r="D3343" t="s">
        <v>303</v>
      </c>
      <c r="E3343">
        <f>YEAR(A3343)</f>
        <v>2014</v>
      </c>
      <c r="F3343" s="33">
        <f>DATE(YEAR(A3343),MONTH(A3343),1)</f>
        <v>41852.0</v>
      </c>
      <c r="G3343" t="str">
        <f>CHOOSE(WEEKDAY(A3343,2),"Mon","Tue","Wed","Thu","Fri","Sat","Sun")</f>
        <v>Mon</v>
      </c>
      <c r="H3343" t="str">
        <f>IF(WEEKDAY(A3343,2)&gt;5,"Weekend","Weekday")</f>
        <v>Weekday</v>
      </c>
      <c r="I3343" t="str">
        <f>_xlfn.IFS(B3343&lt;=5,"Night (0-5)",B3343&lt;=9,"Morning peak (6-9)",B3343&lt;=15,"Midday (10-15)",B3343&lt;=19,"Evening peak (16-19)",TRUE,"Late evening (20-23)")</f>
        <v>Night (0-5)</v>
      </c>
    </row>
    <row r="3344" spans="1:9">
      <c r="A3344" s="32">
        <v>41869</v>
      </c>
      <c r="B3344">
        <v>6</v>
      </c>
      <c r="C3344">
        <v>996</v>
      </c>
      <c r="D3344" t="s">
        <v>303</v>
      </c>
      <c r="E3344">
        <f>YEAR(A3344)</f>
        <v>2014</v>
      </c>
      <c r="F3344" s="33">
        <f>DATE(YEAR(A3344),MONTH(A3344),1)</f>
        <v>41852.0</v>
      </c>
      <c r="G3344" t="str">
        <f>CHOOSE(WEEKDAY(A3344,2),"Mon","Tue","Wed","Thu","Fri","Sat","Sun")</f>
        <v>Mon</v>
      </c>
      <c r="H3344" t="str">
        <f>IF(WEEKDAY(A3344,2)&gt;5,"Weekend","Weekday")</f>
        <v>Weekday</v>
      </c>
      <c r="I3344" t="str">
        <f>_xlfn.IFS(B3344&lt;=5,"Night (0-5)",B3344&lt;=9,"Morning peak (6-9)",B3344&lt;=15,"Midday (10-15)",B3344&lt;=19,"Evening peak (16-19)",TRUE,"Late evening (20-23)")</f>
        <v>Morning peak (6-9)</v>
      </c>
    </row>
    <row r="3345" spans="1:9">
      <c r="A3345" s="32">
        <v>41869</v>
      </c>
      <c r="B3345">
        <v>7</v>
      </c>
      <c r="C3345">
        <v>1347</v>
      </c>
      <c r="D3345" t="s">
        <v>303</v>
      </c>
      <c r="E3345">
        <f>YEAR(A3345)</f>
        <v>2014</v>
      </c>
      <c r="F3345" s="33">
        <f>DATE(YEAR(A3345),MONTH(A3345),1)</f>
        <v>41852.0</v>
      </c>
      <c r="G3345" t="str">
        <f>CHOOSE(WEEKDAY(A3345,2),"Mon","Tue","Wed","Thu","Fri","Sat","Sun")</f>
        <v>Mon</v>
      </c>
      <c r="H3345" t="str">
        <f>IF(WEEKDAY(A3345,2)&gt;5,"Weekend","Weekday")</f>
        <v>Weekday</v>
      </c>
      <c r="I3345" t="str">
        <f>_xlfn.IFS(B3345&lt;=5,"Night (0-5)",B3345&lt;=9,"Morning peak (6-9)",B3345&lt;=15,"Midday (10-15)",B3345&lt;=19,"Evening peak (16-19)",TRUE,"Late evening (20-23)")</f>
        <v>Morning peak (6-9)</v>
      </c>
    </row>
    <row r="3346" spans="1:9">
      <c r="A3346" s="32">
        <v>41869</v>
      </c>
      <c r="B3346">
        <v>8</v>
      </c>
      <c r="C3346">
        <v>1236</v>
      </c>
      <c r="D3346" t="s">
        <v>303</v>
      </c>
      <c r="E3346">
        <f>YEAR(A3346)</f>
        <v>2014</v>
      </c>
      <c r="F3346" s="33">
        <f>DATE(YEAR(A3346),MONTH(A3346),1)</f>
        <v>41852.0</v>
      </c>
      <c r="G3346" t="str">
        <f>CHOOSE(WEEKDAY(A3346,2),"Mon","Tue","Wed","Thu","Fri","Sat","Sun")</f>
        <v>Mon</v>
      </c>
      <c r="H3346" t="str">
        <f>IF(WEEKDAY(A3346,2)&gt;5,"Weekend","Weekday")</f>
        <v>Weekday</v>
      </c>
      <c r="I3346" t="str">
        <f>_xlfn.IFS(B3346&lt;=5,"Night (0-5)",B3346&lt;=9,"Morning peak (6-9)",B3346&lt;=15,"Midday (10-15)",B3346&lt;=19,"Evening peak (16-19)",TRUE,"Late evening (20-23)")</f>
        <v>Morning peak (6-9)</v>
      </c>
    </row>
    <row r="3347" spans="1:9">
      <c r="A3347" s="32">
        <v>41869</v>
      </c>
      <c r="B3347">
        <v>9</v>
      </c>
      <c r="C3347">
        <v>953</v>
      </c>
      <c r="D3347" t="s">
        <v>303</v>
      </c>
      <c r="E3347">
        <f>YEAR(A3347)</f>
        <v>2014</v>
      </c>
      <c r="F3347" s="33">
        <f>DATE(YEAR(A3347),MONTH(A3347),1)</f>
        <v>41852.0</v>
      </c>
      <c r="G3347" t="str">
        <f>CHOOSE(WEEKDAY(A3347,2),"Mon","Tue","Wed","Thu","Fri","Sat","Sun")</f>
        <v>Mon</v>
      </c>
      <c r="H3347" t="str">
        <f>IF(WEEKDAY(A3347,2)&gt;5,"Weekend","Weekday")</f>
        <v>Weekday</v>
      </c>
      <c r="I3347" t="str">
        <f>_xlfn.IFS(B3347&lt;=5,"Night (0-5)",B3347&lt;=9,"Morning peak (6-9)",B3347&lt;=15,"Midday (10-15)",B3347&lt;=19,"Evening peak (16-19)",TRUE,"Late evening (20-23)")</f>
        <v>Morning peak (6-9)</v>
      </c>
    </row>
    <row r="3348" spans="1:9">
      <c r="A3348" s="32">
        <v>41869</v>
      </c>
      <c r="B3348">
        <v>10</v>
      </c>
      <c r="C3348">
        <v>862</v>
      </c>
      <c r="D3348" t="s">
        <v>303</v>
      </c>
      <c r="E3348">
        <f>YEAR(A3348)</f>
        <v>2014</v>
      </c>
      <c r="F3348" s="33">
        <f>DATE(YEAR(A3348),MONTH(A3348),1)</f>
        <v>41852.0</v>
      </c>
      <c r="G3348" t="str">
        <f>CHOOSE(WEEKDAY(A3348,2),"Mon","Tue","Wed","Thu","Fri","Sat","Sun")</f>
        <v>Mon</v>
      </c>
      <c r="H3348" t="str">
        <f>IF(WEEKDAY(A3348,2)&gt;5,"Weekend","Weekday")</f>
        <v>Weekday</v>
      </c>
      <c r="I3348" t="str">
        <f>_xlfn.IFS(B3348&lt;=5,"Night (0-5)",B3348&lt;=9,"Morning peak (6-9)",B3348&lt;=15,"Midday (10-15)",B3348&lt;=19,"Evening peak (16-19)",TRUE,"Late evening (20-23)")</f>
        <v>Midday (10-15)</v>
      </c>
    </row>
    <row r="3349" spans="1:9">
      <c r="A3349" s="32">
        <v>41869</v>
      </c>
      <c r="B3349">
        <v>11</v>
      </c>
      <c r="C3349">
        <v>883</v>
      </c>
      <c r="D3349" t="s">
        <v>303</v>
      </c>
      <c r="E3349">
        <f>YEAR(A3349)</f>
        <v>2014</v>
      </c>
      <c r="F3349" s="33">
        <f>DATE(YEAR(A3349),MONTH(A3349),1)</f>
        <v>41852.0</v>
      </c>
      <c r="G3349" t="str">
        <f>CHOOSE(WEEKDAY(A3349,2),"Mon","Tue","Wed","Thu","Fri","Sat","Sun")</f>
        <v>Mon</v>
      </c>
      <c r="H3349" t="str">
        <f>IF(WEEKDAY(A3349,2)&gt;5,"Weekend","Weekday")</f>
        <v>Weekday</v>
      </c>
      <c r="I3349" t="str">
        <f>_xlfn.IFS(B3349&lt;=5,"Night (0-5)",B3349&lt;=9,"Morning peak (6-9)",B3349&lt;=15,"Midday (10-15)",B3349&lt;=19,"Evening peak (16-19)",TRUE,"Late evening (20-23)")</f>
        <v>Midday (10-15)</v>
      </c>
    </row>
    <row r="3350" spans="1:9">
      <c r="A3350" s="32">
        <v>41869</v>
      </c>
      <c r="B3350">
        <v>12</v>
      </c>
      <c r="C3350">
        <v>865</v>
      </c>
      <c r="D3350" t="s">
        <v>303</v>
      </c>
      <c r="E3350">
        <f>YEAR(A3350)</f>
        <v>2014</v>
      </c>
      <c r="F3350" s="33">
        <f>DATE(YEAR(A3350),MONTH(A3350),1)</f>
        <v>41852.0</v>
      </c>
      <c r="G3350" t="str">
        <f>CHOOSE(WEEKDAY(A3350,2),"Mon","Tue","Wed","Thu","Fri","Sat","Sun")</f>
        <v>Mon</v>
      </c>
      <c r="H3350" t="str">
        <f>IF(WEEKDAY(A3350,2)&gt;5,"Weekend","Weekday")</f>
        <v>Weekday</v>
      </c>
      <c r="I3350" t="str">
        <f>_xlfn.IFS(B3350&lt;=5,"Night (0-5)",B3350&lt;=9,"Morning peak (6-9)",B3350&lt;=15,"Midday (10-15)",B3350&lt;=19,"Evening peak (16-19)",TRUE,"Late evening (20-23)")</f>
        <v>Midday (10-15)</v>
      </c>
    </row>
    <row r="3351" spans="1:9">
      <c r="A3351" s="32">
        <v>41869</v>
      </c>
      <c r="B3351">
        <v>13</v>
      </c>
      <c r="C3351">
        <v>965</v>
      </c>
      <c r="D3351" t="s">
        <v>303</v>
      </c>
      <c r="E3351">
        <f>YEAR(A3351)</f>
        <v>2014</v>
      </c>
      <c r="F3351" s="33">
        <f>DATE(YEAR(A3351),MONTH(A3351),1)</f>
        <v>41852.0</v>
      </c>
      <c r="G3351" t="str">
        <f>CHOOSE(WEEKDAY(A3351,2),"Mon","Tue","Wed","Thu","Fri","Sat","Sun")</f>
        <v>Mon</v>
      </c>
      <c r="H3351" t="str">
        <f>IF(WEEKDAY(A3351,2)&gt;5,"Weekend","Weekday")</f>
        <v>Weekday</v>
      </c>
      <c r="I3351" t="str">
        <f>_xlfn.IFS(B3351&lt;=5,"Night (0-5)",B3351&lt;=9,"Morning peak (6-9)",B3351&lt;=15,"Midday (10-15)",B3351&lt;=19,"Evening peak (16-19)",TRUE,"Late evening (20-23)")</f>
        <v>Midday (10-15)</v>
      </c>
    </row>
    <row r="3352" spans="1:9">
      <c r="A3352" s="32">
        <v>41869</v>
      </c>
      <c r="B3352">
        <v>14</v>
      </c>
      <c r="C3352">
        <v>1121</v>
      </c>
      <c r="D3352" t="s">
        <v>303</v>
      </c>
      <c r="E3352">
        <f>YEAR(A3352)</f>
        <v>2014</v>
      </c>
      <c r="F3352" s="33">
        <f>DATE(YEAR(A3352),MONTH(A3352),1)</f>
        <v>41852.0</v>
      </c>
      <c r="G3352" t="str">
        <f>CHOOSE(WEEKDAY(A3352,2),"Mon","Tue","Wed","Thu","Fri","Sat","Sun")</f>
        <v>Mon</v>
      </c>
      <c r="H3352" t="str">
        <f>IF(WEEKDAY(A3352,2)&gt;5,"Weekend","Weekday")</f>
        <v>Weekday</v>
      </c>
      <c r="I3352" t="str">
        <f>_xlfn.IFS(B3352&lt;=5,"Night (0-5)",B3352&lt;=9,"Morning peak (6-9)",B3352&lt;=15,"Midday (10-15)",B3352&lt;=19,"Evening peak (16-19)",TRUE,"Late evening (20-23)")</f>
        <v>Midday (10-15)</v>
      </c>
    </row>
    <row r="3353" spans="1:9">
      <c r="A3353" s="32">
        <v>41869</v>
      </c>
      <c r="B3353">
        <v>15</v>
      </c>
      <c r="C3353">
        <v>1243</v>
      </c>
      <c r="D3353" t="s">
        <v>303</v>
      </c>
      <c r="E3353">
        <f>YEAR(A3353)</f>
        <v>2014</v>
      </c>
      <c r="F3353" s="33">
        <f>DATE(YEAR(A3353),MONTH(A3353),1)</f>
        <v>41852.0</v>
      </c>
      <c r="G3353" t="str">
        <f>CHOOSE(WEEKDAY(A3353,2),"Mon","Tue","Wed","Thu","Fri","Sat","Sun")</f>
        <v>Mon</v>
      </c>
      <c r="H3353" t="str">
        <f>IF(WEEKDAY(A3353,2)&gt;5,"Weekend","Weekday")</f>
        <v>Weekday</v>
      </c>
      <c r="I3353" t="str">
        <f>_xlfn.IFS(B3353&lt;=5,"Night (0-5)",B3353&lt;=9,"Morning peak (6-9)",B3353&lt;=15,"Midday (10-15)",B3353&lt;=19,"Evening peak (16-19)",TRUE,"Late evening (20-23)")</f>
        <v>Midday (10-15)</v>
      </c>
    </row>
    <row r="3354" spans="1:9">
      <c r="A3354" s="32">
        <v>41869</v>
      </c>
      <c r="B3354">
        <v>16</v>
      </c>
      <c r="C3354">
        <v>1420</v>
      </c>
      <c r="D3354" t="s">
        <v>303</v>
      </c>
      <c r="E3354">
        <f>YEAR(A3354)</f>
        <v>2014</v>
      </c>
      <c r="F3354" s="33">
        <f>DATE(YEAR(A3354),MONTH(A3354),1)</f>
        <v>41852.0</v>
      </c>
      <c r="G3354" t="str">
        <f>CHOOSE(WEEKDAY(A3354,2),"Mon","Tue","Wed","Thu","Fri","Sat","Sun")</f>
        <v>Mon</v>
      </c>
      <c r="H3354" t="str">
        <f>IF(WEEKDAY(A3354,2)&gt;5,"Weekend","Weekday")</f>
        <v>Weekday</v>
      </c>
      <c r="I3354" t="str">
        <f>_xlfn.IFS(B3354&lt;=5,"Night (0-5)",B3354&lt;=9,"Morning peak (6-9)",B3354&lt;=15,"Midday (10-15)",B3354&lt;=19,"Evening peak (16-19)",TRUE,"Late evening (20-23)")</f>
        <v>Evening peak (16-19)</v>
      </c>
    </row>
    <row r="3355" spans="1:9">
      <c r="A3355" s="32">
        <v>41869</v>
      </c>
      <c r="B3355">
        <v>17</v>
      </c>
      <c r="C3355">
        <v>1536</v>
      </c>
      <c r="D3355" t="s">
        <v>303</v>
      </c>
      <c r="E3355">
        <f>YEAR(A3355)</f>
        <v>2014</v>
      </c>
      <c r="F3355" s="33">
        <f>DATE(YEAR(A3355),MONTH(A3355),1)</f>
        <v>41852.0</v>
      </c>
      <c r="G3355" t="str">
        <f>CHOOSE(WEEKDAY(A3355,2),"Mon","Tue","Wed","Thu","Fri","Sat","Sun")</f>
        <v>Mon</v>
      </c>
      <c r="H3355" t="str">
        <f>IF(WEEKDAY(A3355,2)&gt;5,"Weekend","Weekday")</f>
        <v>Weekday</v>
      </c>
      <c r="I3355" t="str">
        <f>_xlfn.IFS(B3355&lt;=5,"Night (0-5)",B3355&lt;=9,"Morning peak (6-9)",B3355&lt;=15,"Midday (10-15)",B3355&lt;=19,"Evening peak (16-19)",TRUE,"Late evening (20-23)")</f>
        <v>Evening peak (16-19)</v>
      </c>
    </row>
    <row r="3356" spans="1:9">
      <c r="A3356" s="32">
        <v>41869</v>
      </c>
      <c r="B3356">
        <v>18</v>
      </c>
      <c r="C3356">
        <v>1425</v>
      </c>
      <c r="D3356" t="s">
        <v>303</v>
      </c>
      <c r="E3356">
        <f>YEAR(A3356)</f>
        <v>2014</v>
      </c>
      <c r="F3356" s="33">
        <f>DATE(YEAR(A3356),MONTH(A3356),1)</f>
        <v>41852.0</v>
      </c>
      <c r="G3356" t="str">
        <f>CHOOSE(WEEKDAY(A3356,2),"Mon","Tue","Wed","Thu","Fri","Sat","Sun")</f>
        <v>Mon</v>
      </c>
      <c r="H3356" t="str">
        <f>IF(WEEKDAY(A3356,2)&gt;5,"Weekend","Weekday")</f>
        <v>Weekday</v>
      </c>
      <c r="I3356" t="str">
        <f>_xlfn.IFS(B3356&lt;=5,"Night (0-5)",B3356&lt;=9,"Morning peak (6-9)",B3356&lt;=15,"Midday (10-15)",B3356&lt;=19,"Evening peak (16-19)",TRUE,"Late evening (20-23)")</f>
        <v>Evening peak (16-19)</v>
      </c>
    </row>
    <row r="3357" spans="1:9">
      <c r="A3357" s="32">
        <v>41869</v>
      </c>
      <c r="B3357">
        <v>19</v>
      </c>
      <c r="C3357">
        <v>1396</v>
      </c>
      <c r="D3357" t="s">
        <v>303</v>
      </c>
      <c r="E3357">
        <f>YEAR(A3357)</f>
        <v>2014</v>
      </c>
      <c r="F3357" s="33">
        <f>DATE(YEAR(A3357),MONTH(A3357),1)</f>
        <v>41852.0</v>
      </c>
      <c r="G3357" t="str">
        <f>CHOOSE(WEEKDAY(A3357,2),"Mon","Tue","Wed","Thu","Fri","Sat","Sun")</f>
        <v>Mon</v>
      </c>
      <c r="H3357" t="str">
        <f>IF(WEEKDAY(A3357,2)&gt;5,"Weekend","Weekday")</f>
        <v>Weekday</v>
      </c>
      <c r="I3357" t="str">
        <f>_xlfn.IFS(B3357&lt;=5,"Night (0-5)",B3357&lt;=9,"Morning peak (6-9)",B3357&lt;=15,"Midday (10-15)",B3357&lt;=19,"Evening peak (16-19)",TRUE,"Late evening (20-23)")</f>
        <v>Evening peak (16-19)</v>
      </c>
    </row>
    <row r="3358" spans="1:9">
      <c r="A3358" s="32">
        <v>41869</v>
      </c>
      <c r="B3358">
        <v>20</v>
      </c>
      <c r="C3358">
        <v>1340</v>
      </c>
      <c r="D3358" t="s">
        <v>303</v>
      </c>
      <c r="E3358">
        <f>YEAR(A3358)</f>
        <v>2014</v>
      </c>
      <c r="F3358" s="33">
        <f>DATE(YEAR(A3358),MONTH(A3358),1)</f>
        <v>41852.0</v>
      </c>
      <c r="G3358" t="str">
        <f>CHOOSE(WEEKDAY(A3358,2),"Mon","Tue","Wed","Thu","Fri","Sat","Sun")</f>
        <v>Mon</v>
      </c>
      <c r="H3358" t="str">
        <f>IF(WEEKDAY(A3358,2)&gt;5,"Weekend","Weekday")</f>
        <v>Weekday</v>
      </c>
      <c r="I3358" t="str">
        <f>_xlfn.IFS(B3358&lt;=5,"Night (0-5)",B3358&lt;=9,"Morning peak (6-9)",B3358&lt;=15,"Midday (10-15)",B3358&lt;=19,"Evening peak (16-19)",TRUE,"Late evening (20-23)")</f>
        <v>Late evening (20-23)</v>
      </c>
    </row>
    <row r="3359" spans="1:9">
      <c r="A3359" s="32">
        <v>41869</v>
      </c>
      <c r="B3359">
        <v>21</v>
      </c>
      <c r="C3359">
        <v>1119</v>
      </c>
      <c r="D3359" t="s">
        <v>303</v>
      </c>
      <c r="E3359">
        <f>YEAR(A3359)</f>
        <v>2014</v>
      </c>
      <c r="F3359" s="33">
        <f>DATE(YEAR(A3359),MONTH(A3359),1)</f>
        <v>41852.0</v>
      </c>
      <c r="G3359" t="str">
        <f>CHOOSE(WEEKDAY(A3359,2),"Mon","Tue","Wed","Thu","Fri","Sat","Sun")</f>
        <v>Mon</v>
      </c>
      <c r="H3359" t="str">
        <f>IF(WEEKDAY(A3359,2)&gt;5,"Weekend","Weekday")</f>
        <v>Weekday</v>
      </c>
      <c r="I3359" t="str">
        <f>_xlfn.IFS(B3359&lt;=5,"Night (0-5)",B3359&lt;=9,"Morning peak (6-9)",B3359&lt;=15,"Midday (10-15)",B3359&lt;=19,"Evening peak (16-19)",TRUE,"Late evening (20-23)")</f>
        <v>Late evening (20-23)</v>
      </c>
    </row>
    <row r="3360" spans="1:9">
      <c r="A3360" s="32">
        <v>41869</v>
      </c>
      <c r="B3360">
        <v>22</v>
      </c>
      <c r="C3360">
        <v>785</v>
      </c>
      <c r="D3360" t="s">
        <v>303</v>
      </c>
      <c r="E3360">
        <f>YEAR(A3360)</f>
        <v>2014</v>
      </c>
      <c r="F3360" s="33">
        <f>DATE(YEAR(A3360),MONTH(A3360),1)</f>
        <v>41852.0</v>
      </c>
      <c r="G3360" t="str">
        <f>CHOOSE(WEEKDAY(A3360,2),"Mon","Tue","Wed","Thu","Fri","Sat","Sun")</f>
        <v>Mon</v>
      </c>
      <c r="H3360" t="str">
        <f>IF(WEEKDAY(A3360,2)&gt;5,"Weekend","Weekday")</f>
        <v>Weekday</v>
      </c>
      <c r="I3360" t="str">
        <f>_xlfn.IFS(B3360&lt;=5,"Night (0-5)",B3360&lt;=9,"Morning peak (6-9)",B3360&lt;=15,"Midday (10-15)",B3360&lt;=19,"Evening peak (16-19)",TRUE,"Late evening (20-23)")</f>
        <v>Late evening (20-23)</v>
      </c>
    </row>
    <row r="3361" spans="1:9">
      <c r="A3361" s="32">
        <v>41869</v>
      </c>
      <c r="B3361">
        <v>23</v>
      </c>
      <c r="C3361">
        <v>501</v>
      </c>
      <c r="D3361" t="s">
        <v>303</v>
      </c>
      <c r="E3361">
        <f>YEAR(A3361)</f>
        <v>2014</v>
      </c>
      <c r="F3361" s="33">
        <f>DATE(YEAR(A3361),MONTH(A3361),1)</f>
        <v>41852.0</v>
      </c>
      <c r="G3361" t="str">
        <f>CHOOSE(WEEKDAY(A3361,2),"Mon","Tue","Wed","Thu","Fri","Sat","Sun")</f>
        <v>Mon</v>
      </c>
      <c r="H3361" t="str">
        <f>IF(WEEKDAY(A3361,2)&gt;5,"Weekend","Weekday")</f>
        <v>Weekday</v>
      </c>
      <c r="I3361" t="str">
        <f>_xlfn.IFS(B3361&lt;=5,"Night (0-5)",B3361&lt;=9,"Morning peak (6-9)",B3361&lt;=15,"Midday (10-15)",B3361&lt;=19,"Evening peak (16-19)",TRUE,"Late evening (20-23)")</f>
        <v>Late evening (20-23)</v>
      </c>
    </row>
    <row r="3362" spans="1:9">
      <c r="A3362" s="32">
        <v>41870</v>
      </c>
      <c r="B3362">
        <v>0</v>
      </c>
      <c r="C3362">
        <v>282</v>
      </c>
      <c r="D3362" t="s">
        <v>303</v>
      </c>
      <c r="E3362">
        <f>YEAR(A3362)</f>
        <v>2014</v>
      </c>
      <c r="F3362" s="33">
        <f>DATE(YEAR(A3362),MONTH(A3362),1)</f>
        <v>41852.0</v>
      </c>
      <c r="G3362" t="str">
        <f>CHOOSE(WEEKDAY(A3362,2),"Mon","Tue","Wed","Thu","Fri","Sat","Sun")</f>
        <v>Tue</v>
      </c>
      <c r="H3362" t="str">
        <f>IF(WEEKDAY(A3362,2)&gt;5,"Weekend","Weekday")</f>
        <v>Weekday</v>
      </c>
      <c r="I3362" t="str">
        <f>_xlfn.IFS(B3362&lt;=5,"Night (0-5)",B3362&lt;=9,"Morning peak (6-9)",B3362&lt;=15,"Midday (10-15)",B3362&lt;=19,"Evening peak (16-19)",TRUE,"Late evening (20-23)")</f>
        <v>Night (0-5)</v>
      </c>
    </row>
    <row r="3363" spans="1:9">
      <c r="A3363" s="32">
        <v>41870</v>
      </c>
      <c r="B3363">
        <v>1</v>
      </c>
      <c r="C3363">
        <v>190</v>
      </c>
      <c r="D3363" t="s">
        <v>303</v>
      </c>
      <c r="E3363">
        <f>YEAR(A3363)</f>
        <v>2014</v>
      </c>
      <c r="F3363" s="33">
        <f>DATE(YEAR(A3363),MONTH(A3363),1)</f>
        <v>41852.0</v>
      </c>
      <c r="G3363" t="str">
        <f>CHOOSE(WEEKDAY(A3363,2),"Mon","Tue","Wed","Thu","Fri","Sat","Sun")</f>
        <v>Tue</v>
      </c>
      <c r="H3363" t="str">
        <f>IF(WEEKDAY(A3363,2)&gt;5,"Weekend","Weekday")</f>
        <v>Weekday</v>
      </c>
      <c r="I3363" t="str">
        <f>_xlfn.IFS(B3363&lt;=5,"Night (0-5)",B3363&lt;=9,"Morning peak (6-9)",B3363&lt;=15,"Midday (10-15)",B3363&lt;=19,"Evening peak (16-19)",TRUE,"Late evening (20-23)")</f>
        <v>Night (0-5)</v>
      </c>
    </row>
    <row r="3364" spans="1:9">
      <c r="A3364" s="32">
        <v>41870</v>
      </c>
      <c r="B3364">
        <v>2</v>
      </c>
      <c r="C3364">
        <v>133</v>
      </c>
      <c r="D3364" t="s">
        <v>303</v>
      </c>
      <c r="E3364">
        <f>YEAR(A3364)</f>
        <v>2014</v>
      </c>
      <c r="F3364" s="33">
        <f>DATE(YEAR(A3364),MONTH(A3364),1)</f>
        <v>41852.0</v>
      </c>
      <c r="G3364" t="str">
        <f>CHOOSE(WEEKDAY(A3364,2),"Mon","Tue","Wed","Thu","Fri","Sat","Sun")</f>
        <v>Tue</v>
      </c>
      <c r="H3364" t="str">
        <f>IF(WEEKDAY(A3364,2)&gt;5,"Weekend","Weekday")</f>
        <v>Weekday</v>
      </c>
      <c r="I3364" t="str">
        <f>_xlfn.IFS(B3364&lt;=5,"Night (0-5)",B3364&lt;=9,"Morning peak (6-9)",B3364&lt;=15,"Midday (10-15)",B3364&lt;=19,"Evening peak (16-19)",TRUE,"Late evening (20-23)")</f>
        <v>Night (0-5)</v>
      </c>
    </row>
    <row r="3365" spans="1:9">
      <c r="A3365" s="32">
        <v>41870</v>
      </c>
      <c r="B3365">
        <v>3</v>
      </c>
      <c r="C3365">
        <v>219</v>
      </c>
      <c r="D3365" t="s">
        <v>303</v>
      </c>
      <c r="E3365">
        <f>YEAR(A3365)</f>
        <v>2014</v>
      </c>
      <c r="F3365" s="33">
        <f>DATE(YEAR(A3365),MONTH(A3365),1)</f>
        <v>41852.0</v>
      </c>
      <c r="G3365" t="str">
        <f>CHOOSE(WEEKDAY(A3365,2),"Mon","Tue","Wed","Thu","Fri","Sat","Sun")</f>
        <v>Tue</v>
      </c>
      <c r="H3365" t="str">
        <f>IF(WEEKDAY(A3365,2)&gt;5,"Weekend","Weekday")</f>
        <v>Weekday</v>
      </c>
      <c r="I3365" t="str">
        <f>_xlfn.IFS(B3365&lt;=5,"Night (0-5)",B3365&lt;=9,"Morning peak (6-9)",B3365&lt;=15,"Midday (10-15)",B3365&lt;=19,"Evening peak (16-19)",TRUE,"Late evening (20-23)")</f>
        <v>Night (0-5)</v>
      </c>
    </row>
    <row r="3366" spans="1:9">
      <c r="A3366" s="32">
        <v>41870</v>
      </c>
      <c r="B3366">
        <v>4</v>
      </c>
      <c r="C3366">
        <v>312</v>
      </c>
      <c r="D3366" t="s">
        <v>303</v>
      </c>
      <c r="E3366">
        <f>YEAR(A3366)</f>
        <v>2014</v>
      </c>
      <c r="F3366" s="33">
        <f>DATE(YEAR(A3366),MONTH(A3366),1)</f>
        <v>41852.0</v>
      </c>
      <c r="G3366" t="str">
        <f>CHOOSE(WEEKDAY(A3366,2),"Mon","Tue","Wed","Thu","Fri","Sat","Sun")</f>
        <v>Tue</v>
      </c>
      <c r="H3366" t="str">
        <f>IF(WEEKDAY(A3366,2)&gt;5,"Weekend","Weekday")</f>
        <v>Weekday</v>
      </c>
      <c r="I3366" t="str">
        <f>_xlfn.IFS(B3366&lt;=5,"Night (0-5)",B3366&lt;=9,"Morning peak (6-9)",B3366&lt;=15,"Midday (10-15)",B3366&lt;=19,"Evening peak (16-19)",TRUE,"Late evening (20-23)")</f>
        <v>Night (0-5)</v>
      </c>
    </row>
    <row r="3367" spans="1:9">
      <c r="A3367" s="32">
        <v>41870</v>
      </c>
      <c r="B3367">
        <v>5</v>
      </c>
      <c r="C3367">
        <v>529</v>
      </c>
      <c r="D3367" t="s">
        <v>303</v>
      </c>
      <c r="E3367">
        <f>YEAR(A3367)</f>
        <v>2014</v>
      </c>
      <c r="F3367" s="33">
        <f>DATE(YEAR(A3367),MONTH(A3367),1)</f>
        <v>41852.0</v>
      </c>
      <c r="G3367" t="str">
        <f>CHOOSE(WEEKDAY(A3367,2),"Mon","Tue","Wed","Thu","Fri","Sat","Sun")</f>
        <v>Tue</v>
      </c>
      <c r="H3367" t="str">
        <f>IF(WEEKDAY(A3367,2)&gt;5,"Weekend","Weekday")</f>
        <v>Weekday</v>
      </c>
      <c r="I3367" t="str">
        <f>_xlfn.IFS(B3367&lt;=5,"Night (0-5)",B3367&lt;=9,"Morning peak (6-9)",B3367&lt;=15,"Midday (10-15)",B3367&lt;=19,"Evening peak (16-19)",TRUE,"Late evening (20-23)")</f>
        <v>Night (0-5)</v>
      </c>
    </row>
    <row r="3368" spans="1:9">
      <c r="A3368" s="32">
        <v>41870</v>
      </c>
      <c r="B3368">
        <v>6</v>
      </c>
      <c r="C3368">
        <v>1007</v>
      </c>
      <c r="D3368" t="s">
        <v>303</v>
      </c>
      <c r="E3368">
        <f>YEAR(A3368)</f>
        <v>2014</v>
      </c>
      <c r="F3368" s="33">
        <f>DATE(YEAR(A3368),MONTH(A3368),1)</f>
        <v>41852.0</v>
      </c>
      <c r="G3368" t="str">
        <f>CHOOSE(WEEKDAY(A3368,2),"Mon","Tue","Wed","Thu","Fri","Sat","Sun")</f>
        <v>Tue</v>
      </c>
      <c r="H3368" t="str">
        <f>IF(WEEKDAY(A3368,2)&gt;5,"Weekend","Weekday")</f>
        <v>Weekday</v>
      </c>
      <c r="I3368" t="str">
        <f>_xlfn.IFS(B3368&lt;=5,"Night (0-5)",B3368&lt;=9,"Morning peak (6-9)",B3368&lt;=15,"Midday (10-15)",B3368&lt;=19,"Evening peak (16-19)",TRUE,"Late evening (20-23)")</f>
        <v>Morning peak (6-9)</v>
      </c>
    </row>
    <row r="3369" spans="1:9">
      <c r="A3369" s="32">
        <v>41870</v>
      </c>
      <c r="B3369">
        <v>7</v>
      </c>
      <c r="C3369">
        <v>1356</v>
      </c>
      <c r="D3369" t="s">
        <v>303</v>
      </c>
      <c r="E3369">
        <f>YEAR(A3369)</f>
        <v>2014</v>
      </c>
      <c r="F3369" s="33">
        <f>DATE(YEAR(A3369),MONTH(A3369),1)</f>
        <v>41852.0</v>
      </c>
      <c r="G3369" t="str">
        <f>CHOOSE(WEEKDAY(A3369,2),"Mon","Tue","Wed","Thu","Fri","Sat","Sun")</f>
        <v>Tue</v>
      </c>
      <c r="H3369" t="str">
        <f>IF(WEEKDAY(A3369,2)&gt;5,"Weekend","Weekday")</f>
        <v>Weekday</v>
      </c>
      <c r="I3369" t="str">
        <f>_xlfn.IFS(B3369&lt;=5,"Night (0-5)",B3369&lt;=9,"Morning peak (6-9)",B3369&lt;=15,"Midday (10-15)",B3369&lt;=19,"Evening peak (16-19)",TRUE,"Late evening (20-23)")</f>
        <v>Morning peak (6-9)</v>
      </c>
    </row>
    <row r="3370" spans="1:9">
      <c r="A3370" s="32">
        <v>41870</v>
      </c>
      <c r="B3370">
        <v>8</v>
      </c>
      <c r="C3370">
        <v>1262</v>
      </c>
      <c r="D3370" t="s">
        <v>303</v>
      </c>
      <c r="E3370">
        <f>YEAR(A3370)</f>
        <v>2014</v>
      </c>
      <c r="F3370" s="33">
        <f>DATE(YEAR(A3370),MONTH(A3370),1)</f>
        <v>41852.0</v>
      </c>
      <c r="G3370" t="str">
        <f>CHOOSE(WEEKDAY(A3370,2),"Mon","Tue","Wed","Thu","Fri","Sat","Sun")</f>
        <v>Tue</v>
      </c>
      <c r="H3370" t="str">
        <f>IF(WEEKDAY(A3370,2)&gt;5,"Weekend","Weekday")</f>
        <v>Weekday</v>
      </c>
      <c r="I3370" t="str">
        <f>_xlfn.IFS(B3370&lt;=5,"Night (0-5)",B3370&lt;=9,"Morning peak (6-9)",B3370&lt;=15,"Midday (10-15)",B3370&lt;=19,"Evening peak (16-19)",TRUE,"Late evening (20-23)")</f>
        <v>Morning peak (6-9)</v>
      </c>
    </row>
    <row r="3371" spans="1:9">
      <c r="A3371" s="32">
        <v>41870</v>
      </c>
      <c r="B3371">
        <v>9</v>
      </c>
      <c r="C3371">
        <v>991</v>
      </c>
      <c r="D3371" t="s">
        <v>303</v>
      </c>
      <c r="E3371">
        <f>YEAR(A3371)</f>
        <v>2014</v>
      </c>
      <c r="F3371" s="33">
        <f>DATE(YEAR(A3371),MONTH(A3371),1)</f>
        <v>41852.0</v>
      </c>
      <c r="G3371" t="str">
        <f>CHOOSE(WEEKDAY(A3371,2),"Mon","Tue","Wed","Thu","Fri","Sat","Sun")</f>
        <v>Tue</v>
      </c>
      <c r="H3371" t="str">
        <f>IF(WEEKDAY(A3371,2)&gt;5,"Weekend","Weekday")</f>
        <v>Weekday</v>
      </c>
      <c r="I3371" t="str">
        <f>_xlfn.IFS(B3371&lt;=5,"Night (0-5)",B3371&lt;=9,"Morning peak (6-9)",B3371&lt;=15,"Midday (10-15)",B3371&lt;=19,"Evening peak (16-19)",TRUE,"Late evening (20-23)")</f>
        <v>Morning peak (6-9)</v>
      </c>
    </row>
    <row r="3372" spans="1:9">
      <c r="A3372" s="32">
        <v>41870</v>
      </c>
      <c r="B3372">
        <v>10</v>
      </c>
      <c r="C3372">
        <v>927</v>
      </c>
      <c r="D3372" t="s">
        <v>303</v>
      </c>
      <c r="E3372">
        <f>YEAR(A3372)</f>
        <v>2014</v>
      </c>
      <c r="F3372" s="33">
        <f>DATE(YEAR(A3372),MONTH(A3372),1)</f>
        <v>41852.0</v>
      </c>
      <c r="G3372" t="str">
        <f>CHOOSE(WEEKDAY(A3372,2),"Mon","Tue","Wed","Thu","Fri","Sat","Sun")</f>
        <v>Tue</v>
      </c>
      <c r="H3372" t="str">
        <f>IF(WEEKDAY(A3372,2)&gt;5,"Weekend","Weekday")</f>
        <v>Weekday</v>
      </c>
      <c r="I3372" t="str">
        <f>_xlfn.IFS(B3372&lt;=5,"Night (0-5)",B3372&lt;=9,"Morning peak (6-9)",B3372&lt;=15,"Midday (10-15)",B3372&lt;=19,"Evening peak (16-19)",TRUE,"Late evening (20-23)")</f>
        <v>Midday (10-15)</v>
      </c>
    </row>
    <row r="3373" spans="1:9">
      <c r="A3373" s="32">
        <v>41870</v>
      </c>
      <c r="B3373">
        <v>11</v>
      </c>
      <c r="C3373">
        <v>934</v>
      </c>
      <c r="D3373" t="s">
        <v>303</v>
      </c>
      <c r="E3373">
        <f>YEAR(A3373)</f>
        <v>2014</v>
      </c>
      <c r="F3373" s="33">
        <f>DATE(YEAR(A3373),MONTH(A3373),1)</f>
        <v>41852.0</v>
      </c>
      <c r="G3373" t="str">
        <f>CHOOSE(WEEKDAY(A3373,2),"Mon","Tue","Wed","Thu","Fri","Sat","Sun")</f>
        <v>Tue</v>
      </c>
      <c r="H3373" t="str">
        <f>IF(WEEKDAY(A3373,2)&gt;5,"Weekend","Weekday")</f>
        <v>Weekday</v>
      </c>
      <c r="I3373" t="str">
        <f>_xlfn.IFS(B3373&lt;=5,"Night (0-5)",B3373&lt;=9,"Morning peak (6-9)",B3373&lt;=15,"Midday (10-15)",B3373&lt;=19,"Evening peak (16-19)",TRUE,"Late evening (20-23)")</f>
        <v>Midday (10-15)</v>
      </c>
    </row>
    <row r="3374" spans="1:9">
      <c r="A3374" s="32">
        <v>41870</v>
      </c>
      <c r="B3374">
        <v>12</v>
      </c>
      <c r="C3374">
        <v>973</v>
      </c>
      <c r="D3374" t="s">
        <v>303</v>
      </c>
      <c r="E3374">
        <f>YEAR(A3374)</f>
        <v>2014</v>
      </c>
      <c r="F3374" s="33">
        <f>DATE(YEAR(A3374),MONTH(A3374),1)</f>
        <v>41852.0</v>
      </c>
      <c r="G3374" t="str">
        <f>CHOOSE(WEEKDAY(A3374,2),"Mon","Tue","Wed","Thu","Fri","Sat","Sun")</f>
        <v>Tue</v>
      </c>
      <c r="H3374" t="str">
        <f>IF(WEEKDAY(A3374,2)&gt;5,"Weekend","Weekday")</f>
        <v>Weekday</v>
      </c>
      <c r="I3374" t="str">
        <f>_xlfn.IFS(B3374&lt;=5,"Night (0-5)",B3374&lt;=9,"Morning peak (6-9)",B3374&lt;=15,"Midday (10-15)",B3374&lt;=19,"Evening peak (16-19)",TRUE,"Late evening (20-23)")</f>
        <v>Midday (10-15)</v>
      </c>
    </row>
    <row r="3375" spans="1:9">
      <c r="A3375" s="32">
        <v>41870</v>
      </c>
      <c r="B3375">
        <v>13</v>
      </c>
      <c r="C3375">
        <v>1087</v>
      </c>
      <c r="D3375" t="s">
        <v>303</v>
      </c>
      <c r="E3375">
        <f>YEAR(A3375)</f>
        <v>2014</v>
      </c>
      <c r="F3375" s="33">
        <f>DATE(YEAR(A3375),MONTH(A3375),1)</f>
        <v>41852.0</v>
      </c>
      <c r="G3375" t="str">
        <f>CHOOSE(WEEKDAY(A3375,2),"Mon","Tue","Wed","Thu","Fri","Sat","Sun")</f>
        <v>Tue</v>
      </c>
      <c r="H3375" t="str">
        <f>IF(WEEKDAY(A3375,2)&gt;5,"Weekend","Weekday")</f>
        <v>Weekday</v>
      </c>
      <c r="I3375" t="str">
        <f>_xlfn.IFS(B3375&lt;=5,"Night (0-5)",B3375&lt;=9,"Morning peak (6-9)",B3375&lt;=15,"Midday (10-15)",B3375&lt;=19,"Evening peak (16-19)",TRUE,"Late evening (20-23)")</f>
        <v>Midday (10-15)</v>
      </c>
    </row>
    <row r="3376" spans="1:9">
      <c r="A3376" s="32">
        <v>41870</v>
      </c>
      <c r="B3376">
        <v>14</v>
      </c>
      <c r="C3376">
        <v>1225</v>
      </c>
      <c r="D3376" t="s">
        <v>303</v>
      </c>
      <c r="E3376">
        <f>YEAR(A3376)</f>
        <v>2014</v>
      </c>
      <c r="F3376" s="33">
        <f>DATE(YEAR(A3376),MONTH(A3376),1)</f>
        <v>41852.0</v>
      </c>
      <c r="G3376" t="str">
        <f>CHOOSE(WEEKDAY(A3376,2),"Mon","Tue","Wed","Thu","Fri","Sat","Sun")</f>
        <v>Tue</v>
      </c>
      <c r="H3376" t="str">
        <f>IF(WEEKDAY(A3376,2)&gt;5,"Weekend","Weekday")</f>
        <v>Weekday</v>
      </c>
      <c r="I3376" t="str">
        <f>_xlfn.IFS(B3376&lt;=5,"Night (0-5)",B3376&lt;=9,"Morning peak (6-9)",B3376&lt;=15,"Midday (10-15)",B3376&lt;=19,"Evening peak (16-19)",TRUE,"Late evening (20-23)")</f>
        <v>Midday (10-15)</v>
      </c>
    </row>
    <row r="3377" spans="1:9">
      <c r="A3377" s="32">
        <v>41870</v>
      </c>
      <c r="B3377">
        <v>15</v>
      </c>
      <c r="C3377">
        <v>1485</v>
      </c>
      <c r="D3377" t="s">
        <v>303</v>
      </c>
      <c r="E3377">
        <f>YEAR(A3377)</f>
        <v>2014</v>
      </c>
      <c r="F3377" s="33">
        <f>DATE(YEAR(A3377),MONTH(A3377),1)</f>
        <v>41852.0</v>
      </c>
      <c r="G3377" t="str">
        <f>CHOOSE(WEEKDAY(A3377,2),"Mon","Tue","Wed","Thu","Fri","Sat","Sun")</f>
        <v>Tue</v>
      </c>
      <c r="H3377" t="str">
        <f>IF(WEEKDAY(A3377,2)&gt;5,"Weekend","Weekday")</f>
        <v>Weekday</v>
      </c>
      <c r="I3377" t="str">
        <f>_xlfn.IFS(B3377&lt;=5,"Night (0-5)",B3377&lt;=9,"Morning peak (6-9)",B3377&lt;=15,"Midday (10-15)",B3377&lt;=19,"Evening peak (16-19)",TRUE,"Late evening (20-23)")</f>
        <v>Midday (10-15)</v>
      </c>
    </row>
    <row r="3378" spans="1:9">
      <c r="A3378" s="32">
        <v>41870</v>
      </c>
      <c r="B3378">
        <v>16</v>
      </c>
      <c r="C3378">
        <v>1685</v>
      </c>
      <c r="D3378" t="s">
        <v>303</v>
      </c>
      <c r="E3378">
        <f>YEAR(A3378)</f>
        <v>2014</v>
      </c>
      <c r="F3378" s="33">
        <f>DATE(YEAR(A3378),MONTH(A3378),1)</f>
        <v>41852.0</v>
      </c>
      <c r="G3378" t="str">
        <f>CHOOSE(WEEKDAY(A3378,2),"Mon","Tue","Wed","Thu","Fri","Sat","Sun")</f>
        <v>Tue</v>
      </c>
      <c r="H3378" t="str">
        <f>IF(WEEKDAY(A3378,2)&gt;5,"Weekend","Weekday")</f>
        <v>Weekday</v>
      </c>
      <c r="I3378" t="str">
        <f>_xlfn.IFS(B3378&lt;=5,"Night (0-5)",B3378&lt;=9,"Morning peak (6-9)",B3378&lt;=15,"Midday (10-15)",B3378&lt;=19,"Evening peak (16-19)",TRUE,"Late evening (20-23)")</f>
        <v>Evening peak (16-19)</v>
      </c>
    </row>
    <row r="3379" spans="1:9">
      <c r="A3379" s="32">
        <v>41870</v>
      </c>
      <c r="B3379">
        <v>17</v>
      </c>
      <c r="C3379">
        <v>1882</v>
      </c>
      <c r="D3379" t="s">
        <v>303</v>
      </c>
      <c r="E3379">
        <f>YEAR(A3379)</f>
        <v>2014</v>
      </c>
      <c r="F3379" s="33">
        <f>DATE(YEAR(A3379),MONTH(A3379),1)</f>
        <v>41852.0</v>
      </c>
      <c r="G3379" t="str">
        <f>CHOOSE(WEEKDAY(A3379,2),"Mon","Tue","Wed","Thu","Fri","Sat","Sun")</f>
        <v>Tue</v>
      </c>
      <c r="H3379" t="str">
        <f>IF(WEEKDAY(A3379,2)&gt;5,"Weekend","Weekday")</f>
        <v>Weekday</v>
      </c>
      <c r="I3379" t="str">
        <f>_xlfn.IFS(B3379&lt;=5,"Night (0-5)",B3379&lt;=9,"Morning peak (6-9)",B3379&lt;=15,"Midday (10-15)",B3379&lt;=19,"Evening peak (16-19)",TRUE,"Late evening (20-23)")</f>
        <v>Evening peak (16-19)</v>
      </c>
    </row>
    <row r="3380" spans="1:9">
      <c r="A3380" s="32">
        <v>41870</v>
      </c>
      <c r="B3380">
        <v>18</v>
      </c>
      <c r="C3380">
        <v>1577</v>
      </c>
      <c r="D3380" t="s">
        <v>303</v>
      </c>
      <c r="E3380">
        <f>YEAR(A3380)</f>
        <v>2014</v>
      </c>
      <c r="F3380" s="33">
        <f>DATE(YEAR(A3380),MONTH(A3380),1)</f>
        <v>41852.0</v>
      </c>
      <c r="G3380" t="str">
        <f>CHOOSE(WEEKDAY(A3380,2),"Mon","Tue","Wed","Thu","Fri","Sat","Sun")</f>
        <v>Tue</v>
      </c>
      <c r="H3380" t="str">
        <f>IF(WEEKDAY(A3380,2)&gt;5,"Weekend","Weekday")</f>
        <v>Weekday</v>
      </c>
      <c r="I3380" t="str">
        <f>_xlfn.IFS(B3380&lt;=5,"Night (0-5)",B3380&lt;=9,"Morning peak (6-9)",B3380&lt;=15,"Midday (10-15)",B3380&lt;=19,"Evening peak (16-19)",TRUE,"Late evening (20-23)")</f>
        <v>Evening peak (16-19)</v>
      </c>
    </row>
    <row r="3381" spans="1:9">
      <c r="A3381" s="32">
        <v>41870</v>
      </c>
      <c r="B3381">
        <v>19</v>
      </c>
      <c r="C3381">
        <v>1638</v>
      </c>
      <c r="D3381" t="s">
        <v>303</v>
      </c>
      <c r="E3381">
        <f>YEAR(A3381)</f>
        <v>2014</v>
      </c>
      <c r="F3381" s="33">
        <f>DATE(YEAR(A3381),MONTH(A3381),1)</f>
        <v>41852.0</v>
      </c>
      <c r="G3381" t="str">
        <f>CHOOSE(WEEKDAY(A3381,2),"Mon","Tue","Wed","Thu","Fri","Sat","Sun")</f>
        <v>Tue</v>
      </c>
      <c r="H3381" t="str">
        <f>IF(WEEKDAY(A3381,2)&gt;5,"Weekend","Weekday")</f>
        <v>Weekday</v>
      </c>
      <c r="I3381" t="str">
        <f>_xlfn.IFS(B3381&lt;=5,"Night (0-5)",B3381&lt;=9,"Morning peak (6-9)",B3381&lt;=15,"Midday (10-15)",B3381&lt;=19,"Evening peak (16-19)",TRUE,"Late evening (20-23)")</f>
        <v>Evening peak (16-19)</v>
      </c>
    </row>
    <row r="3382" spans="1:9">
      <c r="A3382" s="32">
        <v>41870</v>
      </c>
      <c r="B3382">
        <v>20</v>
      </c>
      <c r="C3382">
        <v>1672</v>
      </c>
      <c r="D3382" t="s">
        <v>303</v>
      </c>
      <c r="E3382">
        <f>YEAR(A3382)</f>
        <v>2014</v>
      </c>
      <c r="F3382" s="33">
        <f>DATE(YEAR(A3382),MONTH(A3382),1)</f>
        <v>41852.0</v>
      </c>
      <c r="G3382" t="str">
        <f>CHOOSE(WEEKDAY(A3382,2),"Mon","Tue","Wed","Thu","Fri","Sat","Sun")</f>
        <v>Tue</v>
      </c>
      <c r="H3382" t="str">
        <f>IF(WEEKDAY(A3382,2)&gt;5,"Weekend","Weekday")</f>
        <v>Weekday</v>
      </c>
      <c r="I3382" t="str">
        <f>_xlfn.IFS(B3382&lt;=5,"Night (0-5)",B3382&lt;=9,"Morning peak (6-9)",B3382&lt;=15,"Midday (10-15)",B3382&lt;=19,"Evening peak (16-19)",TRUE,"Late evening (20-23)")</f>
        <v>Late evening (20-23)</v>
      </c>
    </row>
    <row r="3383" spans="1:9">
      <c r="A3383" s="32">
        <v>41870</v>
      </c>
      <c r="B3383">
        <v>21</v>
      </c>
      <c r="C3383">
        <v>1568</v>
      </c>
      <c r="D3383" t="s">
        <v>303</v>
      </c>
      <c r="E3383">
        <f>YEAR(A3383)</f>
        <v>2014</v>
      </c>
      <c r="F3383" s="33">
        <f>DATE(YEAR(A3383),MONTH(A3383),1)</f>
        <v>41852.0</v>
      </c>
      <c r="G3383" t="str">
        <f>CHOOSE(WEEKDAY(A3383,2),"Mon","Tue","Wed","Thu","Fri","Sat","Sun")</f>
        <v>Tue</v>
      </c>
      <c r="H3383" t="str">
        <f>IF(WEEKDAY(A3383,2)&gt;5,"Weekend","Weekday")</f>
        <v>Weekday</v>
      </c>
      <c r="I3383" t="str">
        <f>_xlfn.IFS(B3383&lt;=5,"Night (0-5)",B3383&lt;=9,"Morning peak (6-9)",B3383&lt;=15,"Midday (10-15)",B3383&lt;=19,"Evening peak (16-19)",TRUE,"Late evening (20-23)")</f>
        <v>Late evening (20-23)</v>
      </c>
    </row>
    <row r="3384" spans="1:9">
      <c r="A3384" s="32">
        <v>41870</v>
      </c>
      <c r="B3384">
        <v>22</v>
      </c>
      <c r="C3384">
        <v>1186</v>
      </c>
      <c r="D3384" t="s">
        <v>303</v>
      </c>
      <c r="E3384">
        <f>YEAR(A3384)</f>
        <v>2014</v>
      </c>
      <c r="F3384" s="33">
        <f>DATE(YEAR(A3384),MONTH(A3384),1)</f>
        <v>41852.0</v>
      </c>
      <c r="G3384" t="str">
        <f>CHOOSE(WEEKDAY(A3384,2),"Mon","Tue","Wed","Thu","Fri","Sat","Sun")</f>
        <v>Tue</v>
      </c>
      <c r="H3384" t="str">
        <f>IF(WEEKDAY(A3384,2)&gt;5,"Weekend","Weekday")</f>
        <v>Weekday</v>
      </c>
      <c r="I3384" t="str">
        <f>_xlfn.IFS(B3384&lt;=5,"Night (0-5)",B3384&lt;=9,"Morning peak (6-9)",B3384&lt;=15,"Midday (10-15)",B3384&lt;=19,"Evening peak (16-19)",TRUE,"Late evening (20-23)")</f>
        <v>Late evening (20-23)</v>
      </c>
    </row>
    <row r="3385" spans="1:9">
      <c r="A3385" s="32">
        <v>41870</v>
      </c>
      <c r="B3385">
        <v>23</v>
      </c>
      <c r="C3385">
        <v>714</v>
      </c>
      <c r="D3385" t="s">
        <v>303</v>
      </c>
      <c r="E3385">
        <f>YEAR(A3385)</f>
        <v>2014</v>
      </c>
      <c r="F3385" s="33">
        <f>DATE(YEAR(A3385),MONTH(A3385),1)</f>
        <v>41852.0</v>
      </c>
      <c r="G3385" t="str">
        <f>CHOOSE(WEEKDAY(A3385,2),"Mon","Tue","Wed","Thu","Fri","Sat","Sun")</f>
        <v>Tue</v>
      </c>
      <c r="H3385" t="str">
        <f>IF(WEEKDAY(A3385,2)&gt;5,"Weekend","Weekday")</f>
        <v>Weekday</v>
      </c>
      <c r="I3385" t="str">
        <f>_xlfn.IFS(B3385&lt;=5,"Night (0-5)",B3385&lt;=9,"Morning peak (6-9)",B3385&lt;=15,"Midday (10-15)",B3385&lt;=19,"Evening peak (16-19)",TRUE,"Late evening (20-23)")</f>
        <v>Late evening (20-23)</v>
      </c>
    </row>
    <row r="3386" spans="1:9">
      <c r="A3386" s="32">
        <v>41871</v>
      </c>
      <c r="B3386">
        <v>0</v>
      </c>
      <c r="C3386">
        <v>377</v>
      </c>
      <c r="D3386" t="s">
        <v>303</v>
      </c>
      <c r="E3386">
        <f>YEAR(A3386)</f>
        <v>2014</v>
      </c>
      <c r="F3386" s="33">
        <f>DATE(YEAR(A3386),MONTH(A3386),1)</f>
        <v>41852.0</v>
      </c>
      <c r="G3386" t="str">
        <f>CHOOSE(WEEKDAY(A3386,2),"Mon","Tue","Wed","Thu","Fri","Sat","Sun")</f>
        <v>Wed</v>
      </c>
      <c r="H3386" t="str">
        <f>IF(WEEKDAY(A3386,2)&gt;5,"Weekend","Weekday")</f>
        <v>Weekday</v>
      </c>
      <c r="I3386" t="str">
        <f>_xlfn.IFS(B3386&lt;=5,"Night (0-5)",B3386&lt;=9,"Morning peak (6-9)",B3386&lt;=15,"Midday (10-15)",B3386&lt;=19,"Evening peak (16-19)",TRUE,"Late evening (20-23)")</f>
        <v>Night (0-5)</v>
      </c>
    </row>
    <row r="3387" spans="1:9">
      <c r="A3387" s="32">
        <v>41871</v>
      </c>
      <c r="B3387">
        <v>1</v>
      </c>
      <c r="C3387">
        <v>241</v>
      </c>
      <c r="D3387" t="s">
        <v>303</v>
      </c>
      <c r="E3387">
        <f>YEAR(A3387)</f>
        <v>2014</v>
      </c>
      <c r="F3387" s="33">
        <f>DATE(YEAR(A3387),MONTH(A3387),1)</f>
        <v>41852.0</v>
      </c>
      <c r="G3387" t="str">
        <f>CHOOSE(WEEKDAY(A3387,2),"Mon","Tue","Wed","Thu","Fri","Sat","Sun")</f>
        <v>Wed</v>
      </c>
      <c r="H3387" t="str">
        <f>IF(WEEKDAY(A3387,2)&gt;5,"Weekend","Weekday")</f>
        <v>Weekday</v>
      </c>
      <c r="I3387" t="str">
        <f>_xlfn.IFS(B3387&lt;=5,"Night (0-5)",B3387&lt;=9,"Morning peak (6-9)",B3387&lt;=15,"Midday (10-15)",B3387&lt;=19,"Evening peak (16-19)",TRUE,"Late evening (20-23)")</f>
        <v>Night (0-5)</v>
      </c>
    </row>
    <row r="3388" spans="1:9">
      <c r="A3388" s="32">
        <v>41871</v>
      </c>
      <c r="B3388">
        <v>2</v>
      </c>
      <c r="C3388">
        <v>156</v>
      </c>
      <c r="D3388" t="s">
        <v>303</v>
      </c>
      <c r="E3388">
        <f>YEAR(A3388)</f>
        <v>2014</v>
      </c>
      <c r="F3388" s="33">
        <f>DATE(YEAR(A3388),MONTH(A3388),1)</f>
        <v>41852.0</v>
      </c>
      <c r="G3388" t="str">
        <f>CHOOSE(WEEKDAY(A3388,2),"Mon","Tue","Wed","Thu","Fri","Sat","Sun")</f>
        <v>Wed</v>
      </c>
      <c r="H3388" t="str">
        <f>IF(WEEKDAY(A3388,2)&gt;5,"Weekend","Weekday")</f>
        <v>Weekday</v>
      </c>
      <c r="I3388" t="str">
        <f>_xlfn.IFS(B3388&lt;=5,"Night (0-5)",B3388&lt;=9,"Morning peak (6-9)",B3388&lt;=15,"Midday (10-15)",B3388&lt;=19,"Evening peak (16-19)",TRUE,"Late evening (20-23)")</f>
        <v>Night (0-5)</v>
      </c>
    </row>
    <row r="3389" spans="1:9">
      <c r="A3389" s="32">
        <v>41871</v>
      </c>
      <c r="B3389">
        <v>3</v>
      </c>
      <c r="C3389">
        <v>237</v>
      </c>
      <c r="D3389" t="s">
        <v>303</v>
      </c>
      <c r="E3389">
        <f>YEAR(A3389)</f>
        <v>2014</v>
      </c>
      <c r="F3389" s="33">
        <f>DATE(YEAR(A3389),MONTH(A3389),1)</f>
        <v>41852.0</v>
      </c>
      <c r="G3389" t="str">
        <f>CHOOSE(WEEKDAY(A3389,2),"Mon","Tue","Wed","Thu","Fri","Sat","Sun")</f>
        <v>Wed</v>
      </c>
      <c r="H3389" t="str">
        <f>IF(WEEKDAY(A3389,2)&gt;5,"Weekend","Weekday")</f>
        <v>Weekday</v>
      </c>
      <c r="I3389" t="str">
        <f>_xlfn.IFS(B3389&lt;=5,"Night (0-5)",B3389&lt;=9,"Morning peak (6-9)",B3389&lt;=15,"Midday (10-15)",B3389&lt;=19,"Evening peak (16-19)",TRUE,"Late evening (20-23)")</f>
        <v>Night (0-5)</v>
      </c>
    </row>
    <row r="3390" spans="1:9">
      <c r="A3390" s="32">
        <v>41871</v>
      </c>
      <c r="B3390">
        <v>4</v>
      </c>
      <c r="C3390">
        <v>346</v>
      </c>
      <c r="D3390" t="s">
        <v>303</v>
      </c>
      <c r="E3390">
        <f>YEAR(A3390)</f>
        <v>2014</v>
      </c>
      <c r="F3390" s="33">
        <f>DATE(YEAR(A3390),MONTH(A3390),1)</f>
        <v>41852.0</v>
      </c>
      <c r="G3390" t="str">
        <f>CHOOSE(WEEKDAY(A3390,2),"Mon","Tue","Wed","Thu","Fri","Sat","Sun")</f>
        <v>Wed</v>
      </c>
      <c r="H3390" t="str">
        <f>IF(WEEKDAY(A3390,2)&gt;5,"Weekend","Weekday")</f>
        <v>Weekday</v>
      </c>
      <c r="I3390" t="str">
        <f>_xlfn.IFS(B3390&lt;=5,"Night (0-5)",B3390&lt;=9,"Morning peak (6-9)",B3390&lt;=15,"Midday (10-15)",B3390&lt;=19,"Evening peak (16-19)",TRUE,"Late evening (20-23)")</f>
        <v>Night (0-5)</v>
      </c>
    </row>
    <row r="3391" spans="1:9">
      <c r="A3391" s="32">
        <v>41871</v>
      </c>
      <c r="B3391">
        <v>5</v>
      </c>
      <c r="C3391">
        <v>611</v>
      </c>
      <c r="D3391" t="s">
        <v>303</v>
      </c>
      <c r="E3391">
        <f>YEAR(A3391)</f>
        <v>2014</v>
      </c>
      <c r="F3391" s="33">
        <f>DATE(YEAR(A3391),MONTH(A3391),1)</f>
        <v>41852.0</v>
      </c>
      <c r="G3391" t="str">
        <f>CHOOSE(WEEKDAY(A3391,2),"Mon","Tue","Wed","Thu","Fri","Sat","Sun")</f>
        <v>Wed</v>
      </c>
      <c r="H3391" t="str">
        <f>IF(WEEKDAY(A3391,2)&gt;5,"Weekend","Weekday")</f>
        <v>Weekday</v>
      </c>
      <c r="I3391" t="str">
        <f>_xlfn.IFS(B3391&lt;=5,"Night (0-5)",B3391&lt;=9,"Morning peak (6-9)",B3391&lt;=15,"Midday (10-15)",B3391&lt;=19,"Evening peak (16-19)",TRUE,"Late evening (20-23)")</f>
        <v>Night (0-5)</v>
      </c>
    </row>
    <row r="3392" spans="1:9">
      <c r="A3392" s="32">
        <v>41871</v>
      </c>
      <c r="B3392">
        <v>6</v>
      </c>
      <c r="C3392">
        <v>1043</v>
      </c>
      <c r="D3392" t="s">
        <v>303</v>
      </c>
      <c r="E3392">
        <f>YEAR(A3392)</f>
        <v>2014</v>
      </c>
      <c r="F3392" s="33">
        <f>DATE(YEAR(A3392),MONTH(A3392),1)</f>
        <v>41852.0</v>
      </c>
      <c r="G3392" t="str">
        <f>CHOOSE(WEEKDAY(A3392,2),"Mon","Tue","Wed","Thu","Fri","Sat","Sun")</f>
        <v>Wed</v>
      </c>
      <c r="H3392" t="str">
        <f>IF(WEEKDAY(A3392,2)&gt;5,"Weekend","Weekday")</f>
        <v>Weekday</v>
      </c>
      <c r="I3392" t="str">
        <f>_xlfn.IFS(B3392&lt;=5,"Night (0-5)",B3392&lt;=9,"Morning peak (6-9)",B3392&lt;=15,"Midday (10-15)",B3392&lt;=19,"Evening peak (16-19)",TRUE,"Late evening (20-23)")</f>
        <v>Morning peak (6-9)</v>
      </c>
    </row>
    <row r="3393" spans="1:9">
      <c r="A3393" s="32">
        <v>41871</v>
      </c>
      <c r="B3393">
        <v>7</v>
      </c>
      <c r="C3393">
        <v>1448</v>
      </c>
      <c r="D3393" t="s">
        <v>303</v>
      </c>
      <c r="E3393">
        <f>YEAR(A3393)</f>
        <v>2014</v>
      </c>
      <c r="F3393" s="33">
        <f>DATE(YEAR(A3393),MONTH(A3393),1)</f>
        <v>41852.0</v>
      </c>
      <c r="G3393" t="str">
        <f>CHOOSE(WEEKDAY(A3393,2),"Mon","Tue","Wed","Thu","Fri","Sat","Sun")</f>
        <v>Wed</v>
      </c>
      <c r="H3393" t="str">
        <f>IF(WEEKDAY(A3393,2)&gt;5,"Weekend","Weekday")</f>
        <v>Weekday</v>
      </c>
      <c r="I3393" t="str">
        <f>_xlfn.IFS(B3393&lt;=5,"Night (0-5)",B3393&lt;=9,"Morning peak (6-9)",B3393&lt;=15,"Midday (10-15)",B3393&lt;=19,"Evening peak (16-19)",TRUE,"Late evening (20-23)")</f>
        <v>Morning peak (6-9)</v>
      </c>
    </row>
    <row r="3394" spans="1:9">
      <c r="A3394" s="32">
        <v>41871</v>
      </c>
      <c r="B3394">
        <v>8</v>
      </c>
      <c r="C3394">
        <v>1365</v>
      </c>
      <c r="D3394" t="s">
        <v>303</v>
      </c>
      <c r="E3394">
        <f>YEAR(A3394)</f>
        <v>2014</v>
      </c>
      <c r="F3394" s="33">
        <f>DATE(YEAR(A3394),MONTH(A3394),1)</f>
        <v>41852.0</v>
      </c>
      <c r="G3394" t="str">
        <f>CHOOSE(WEEKDAY(A3394,2),"Mon","Tue","Wed","Thu","Fri","Sat","Sun")</f>
        <v>Wed</v>
      </c>
      <c r="H3394" t="str">
        <f>IF(WEEKDAY(A3394,2)&gt;5,"Weekend","Weekday")</f>
        <v>Weekday</v>
      </c>
      <c r="I3394" t="str">
        <f>_xlfn.IFS(B3394&lt;=5,"Night (0-5)",B3394&lt;=9,"Morning peak (6-9)",B3394&lt;=15,"Midday (10-15)",B3394&lt;=19,"Evening peak (16-19)",TRUE,"Late evening (20-23)")</f>
        <v>Morning peak (6-9)</v>
      </c>
    </row>
    <row r="3395" spans="1:9">
      <c r="A3395" s="32">
        <v>41871</v>
      </c>
      <c r="B3395">
        <v>9</v>
      </c>
      <c r="C3395">
        <v>1060</v>
      </c>
      <c r="D3395" t="s">
        <v>303</v>
      </c>
      <c r="E3395">
        <f>YEAR(A3395)</f>
        <v>2014</v>
      </c>
      <c r="F3395" s="33">
        <f>DATE(YEAR(A3395),MONTH(A3395),1)</f>
        <v>41852.0</v>
      </c>
      <c r="G3395" t="str">
        <f>CHOOSE(WEEKDAY(A3395,2),"Mon","Tue","Wed","Thu","Fri","Sat","Sun")</f>
        <v>Wed</v>
      </c>
      <c r="H3395" t="str">
        <f>IF(WEEKDAY(A3395,2)&gt;5,"Weekend","Weekday")</f>
        <v>Weekday</v>
      </c>
      <c r="I3395" t="str">
        <f>_xlfn.IFS(B3395&lt;=5,"Night (0-5)",B3395&lt;=9,"Morning peak (6-9)",B3395&lt;=15,"Midday (10-15)",B3395&lt;=19,"Evening peak (16-19)",TRUE,"Late evening (20-23)")</f>
        <v>Morning peak (6-9)</v>
      </c>
    </row>
    <row r="3396" spans="1:9">
      <c r="A3396" s="32">
        <v>41871</v>
      </c>
      <c r="B3396">
        <v>10</v>
      </c>
      <c r="C3396">
        <v>1114</v>
      </c>
      <c r="D3396" t="s">
        <v>303</v>
      </c>
      <c r="E3396">
        <f>YEAR(A3396)</f>
        <v>2014</v>
      </c>
      <c r="F3396" s="33">
        <f>DATE(YEAR(A3396),MONTH(A3396),1)</f>
        <v>41852.0</v>
      </c>
      <c r="G3396" t="str">
        <f>CHOOSE(WEEKDAY(A3396,2),"Mon","Tue","Wed","Thu","Fri","Sat","Sun")</f>
        <v>Wed</v>
      </c>
      <c r="H3396" t="str">
        <f>IF(WEEKDAY(A3396,2)&gt;5,"Weekend","Weekday")</f>
        <v>Weekday</v>
      </c>
      <c r="I3396" t="str">
        <f>_xlfn.IFS(B3396&lt;=5,"Night (0-5)",B3396&lt;=9,"Morning peak (6-9)",B3396&lt;=15,"Midday (10-15)",B3396&lt;=19,"Evening peak (16-19)",TRUE,"Late evening (20-23)")</f>
        <v>Midday (10-15)</v>
      </c>
    </row>
    <row r="3397" spans="1:9">
      <c r="A3397" s="32">
        <v>41871</v>
      </c>
      <c r="B3397">
        <v>11</v>
      </c>
      <c r="C3397">
        <v>1058</v>
      </c>
      <c r="D3397" t="s">
        <v>303</v>
      </c>
      <c r="E3397">
        <f>YEAR(A3397)</f>
        <v>2014</v>
      </c>
      <c r="F3397" s="33">
        <f>DATE(YEAR(A3397),MONTH(A3397),1)</f>
        <v>41852.0</v>
      </c>
      <c r="G3397" t="str">
        <f>CHOOSE(WEEKDAY(A3397,2),"Mon","Tue","Wed","Thu","Fri","Sat","Sun")</f>
        <v>Wed</v>
      </c>
      <c r="H3397" t="str">
        <f>IF(WEEKDAY(A3397,2)&gt;5,"Weekend","Weekday")</f>
        <v>Weekday</v>
      </c>
      <c r="I3397" t="str">
        <f>_xlfn.IFS(B3397&lt;=5,"Night (0-5)",B3397&lt;=9,"Morning peak (6-9)",B3397&lt;=15,"Midday (10-15)",B3397&lt;=19,"Evening peak (16-19)",TRUE,"Late evening (20-23)")</f>
        <v>Midday (10-15)</v>
      </c>
    </row>
    <row r="3398" spans="1:9">
      <c r="A3398" s="32">
        <v>41871</v>
      </c>
      <c r="B3398">
        <v>12</v>
      </c>
      <c r="C3398">
        <v>1059</v>
      </c>
      <c r="D3398" t="s">
        <v>303</v>
      </c>
      <c r="E3398">
        <f>YEAR(A3398)</f>
        <v>2014</v>
      </c>
      <c r="F3398" s="33">
        <f>DATE(YEAR(A3398),MONTH(A3398),1)</f>
        <v>41852.0</v>
      </c>
      <c r="G3398" t="str">
        <f>CHOOSE(WEEKDAY(A3398,2),"Mon","Tue","Wed","Thu","Fri","Sat","Sun")</f>
        <v>Wed</v>
      </c>
      <c r="H3398" t="str">
        <f>IF(WEEKDAY(A3398,2)&gt;5,"Weekend","Weekday")</f>
        <v>Weekday</v>
      </c>
      <c r="I3398" t="str">
        <f>_xlfn.IFS(B3398&lt;=5,"Night (0-5)",B3398&lt;=9,"Morning peak (6-9)",B3398&lt;=15,"Midday (10-15)",B3398&lt;=19,"Evening peak (16-19)",TRUE,"Late evening (20-23)")</f>
        <v>Midday (10-15)</v>
      </c>
    </row>
    <row r="3399" spans="1:9">
      <c r="A3399" s="32">
        <v>41871</v>
      </c>
      <c r="B3399">
        <v>13</v>
      </c>
      <c r="C3399">
        <v>1229</v>
      </c>
      <c r="D3399" t="s">
        <v>303</v>
      </c>
      <c r="E3399">
        <f>YEAR(A3399)</f>
        <v>2014</v>
      </c>
      <c r="F3399" s="33">
        <f>DATE(YEAR(A3399),MONTH(A3399),1)</f>
        <v>41852.0</v>
      </c>
      <c r="G3399" t="str">
        <f>CHOOSE(WEEKDAY(A3399,2),"Mon","Tue","Wed","Thu","Fri","Sat","Sun")</f>
        <v>Wed</v>
      </c>
      <c r="H3399" t="str">
        <f>IF(WEEKDAY(A3399,2)&gt;5,"Weekend","Weekday")</f>
        <v>Weekday</v>
      </c>
      <c r="I3399" t="str">
        <f>_xlfn.IFS(B3399&lt;=5,"Night (0-5)",B3399&lt;=9,"Morning peak (6-9)",B3399&lt;=15,"Midday (10-15)",B3399&lt;=19,"Evening peak (16-19)",TRUE,"Late evening (20-23)")</f>
        <v>Midday (10-15)</v>
      </c>
    </row>
    <row r="3400" spans="1:9">
      <c r="A3400" s="32">
        <v>41871</v>
      </c>
      <c r="B3400">
        <v>14</v>
      </c>
      <c r="C3400">
        <v>1333</v>
      </c>
      <c r="D3400" t="s">
        <v>303</v>
      </c>
      <c r="E3400">
        <f>YEAR(A3400)</f>
        <v>2014</v>
      </c>
      <c r="F3400" s="33">
        <f>DATE(YEAR(A3400),MONTH(A3400),1)</f>
        <v>41852.0</v>
      </c>
      <c r="G3400" t="str">
        <f>CHOOSE(WEEKDAY(A3400,2),"Mon","Tue","Wed","Thu","Fri","Sat","Sun")</f>
        <v>Wed</v>
      </c>
      <c r="H3400" t="str">
        <f>IF(WEEKDAY(A3400,2)&gt;5,"Weekend","Weekday")</f>
        <v>Weekday</v>
      </c>
      <c r="I3400" t="str">
        <f>_xlfn.IFS(B3400&lt;=5,"Night (0-5)",B3400&lt;=9,"Morning peak (6-9)",B3400&lt;=15,"Midday (10-15)",B3400&lt;=19,"Evening peak (16-19)",TRUE,"Late evening (20-23)")</f>
        <v>Midday (10-15)</v>
      </c>
    </row>
    <row r="3401" spans="1:9">
      <c r="A3401" s="32">
        <v>41871</v>
      </c>
      <c r="B3401">
        <v>15</v>
      </c>
      <c r="C3401">
        <v>1643</v>
      </c>
      <c r="D3401" t="s">
        <v>303</v>
      </c>
      <c r="E3401">
        <f>YEAR(A3401)</f>
        <v>2014</v>
      </c>
      <c r="F3401" s="33">
        <f>DATE(YEAR(A3401),MONTH(A3401),1)</f>
        <v>41852.0</v>
      </c>
      <c r="G3401" t="str">
        <f>CHOOSE(WEEKDAY(A3401,2),"Mon","Tue","Wed","Thu","Fri","Sat","Sun")</f>
        <v>Wed</v>
      </c>
      <c r="H3401" t="str">
        <f>IF(WEEKDAY(A3401,2)&gt;5,"Weekend","Weekday")</f>
        <v>Weekday</v>
      </c>
      <c r="I3401" t="str">
        <f>_xlfn.IFS(B3401&lt;=5,"Night (0-5)",B3401&lt;=9,"Morning peak (6-9)",B3401&lt;=15,"Midday (10-15)",B3401&lt;=19,"Evening peak (16-19)",TRUE,"Late evening (20-23)")</f>
        <v>Midday (10-15)</v>
      </c>
    </row>
    <row r="3402" spans="1:9">
      <c r="A3402" s="32">
        <v>41871</v>
      </c>
      <c r="B3402">
        <v>16</v>
      </c>
      <c r="C3402">
        <v>1854</v>
      </c>
      <c r="D3402" t="s">
        <v>303</v>
      </c>
      <c r="E3402">
        <f>YEAR(A3402)</f>
        <v>2014</v>
      </c>
      <c r="F3402" s="33">
        <f>DATE(YEAR(A3402),MONTH(A3402),1)</f>
        <v>41852.0</v>
      </c>
      <c r="G3402" t="str">
        <f>CHOOSE(WEEKDAY(A3402,2),"Mon","Tue","Wed","Thu","Fri","Sat","Sun")</f>
        <v>Wed</v>
      </c>
      <c r="H3402" t="str">
        <f>IF(WEEKDAY(A3402,2)&gt;5,"Weekend","Weekday")</f>
        <v>Weekday</v>
      </c>
      <c r="I3402" t="str">
        <f>_xlfn.IFS(B3402&lt;=5,"Night (0-5)",B3402&lt;=9,"Morning peak (6-9)",B3402&lt;=15,"Midday (10-15)",B3402&lt;=19,"Evening peak (16-19)",TRUE,"Late evening (20-23)")</f>
        <v>Evening peak (16-19)</v>
      </c>
    </row>
    <row r="3403" spans="1:9">
      <c r="A3403" s="32">
        <v>41871</v>
      </c>
      <c r="B3403">
        <v>17</v>
      </c>
      <c r="C3403">
        <v>2085</v>
      </c>
      <c r="D3403" t="s">
        <v>303</v>
      </c>
      <c r="E3403">
        <f>YEAR(A3403)</f>
        <v>2014</v>
      </c>
      <c r="F3403" s="33">
        <f>DATE(YEAR(A3403),MONTH(A3403),1)</f>
        <v>41852.0</v>
      </c>
      <c r="G3403" t="str">
        <f>CHOOSE(WEEKDAY(A3403,2),"Mon","Tue","Wed","Thu","Fri","Sat","Sun")</f>
        <v>Wed</v>
      </c>
      <c r="H3403" t="str">
        <f>IF(WEEKDAY(A3403,2)&gt;5,"Weekend","Weekday")</f>
        <v>Weekday</v>
      </c>
      <c r="I3403" t="str">
        <f>_xlfn.IFS(B3403&lt;=5,"Night (0-5)",B3403&lt;=9,"Morning peak (6-9)",B3403&lt;=15,"Midday (10-15)",B3403&lt;=19,"Evening peak (16-19)",TRUE,"Late evening (20-23)")</f>
        <v>Evening peak (16-19)</v>
      </c>
    </row>
    <row r="3404" spans="1:9">
      <c r="A3404" s="32">
        <v>41871</v>
      </c>
      <c r="B3404">
        <v>18</v>
      </c>
      <c r="C3404">
        <v>1920</v>
      </c>
      <c r="D3404" t="s">
        <v>303</v>
      </c>
      <c r="E3404">
        <f>YEAR(A3404)</f>
        <v>2014</v>
      </c>
      <c r="F3404" s="33">
        <f>DATE(YEAR(A3404),MONTH(A3404),1)</f>
        <v>41852.0</v>
      </c>
      <c r="G3404" t="str">
        <f>CHOOSE(WEEKDAY(A3404,2),"Mon","Tue","Wed","Thu","Fri","Sat","Sun")</f>
        <v>Wed</v>
      </c>
      <c r="H3404" t="str">
        <f>IF(WEEKDAY(A3404,2)&gt;5,"Weekend","Weekday")</f>
        <v>Weekday</v>
      </c>
      <c r="I3404" t="str">
        <f>_xlfn.IFS(B3404&lt;=5,"Night (0-5)",B3404&lt;=9,"Morning peak (6-9)",B3404&lt;=15,"Midday (10-15)",B3404&lt;=19,"Evening peak (16-19)",TRUE,"Late evening (20-23)")</f>
        <v>Evening peak (16-19)</v>
      </c>
    </row>
    <row r="3405" spans="1:9">
      <c r="A3405" s="32">
        <v>41871</v>
      </c>
      <c r="B3405">
        <v>19</v>
      </c>
      <c r="C3405">
        <v>1806</v>
      </c>
      <c r="D3405" t="s">
        <v>303</v>
      </c>
      <c r="E3405">
        <f>YEAR(A3405)</f>
        <v>2014</v>
      </c>
      <c r="F3405" s="33">
        <f>DATE(YEAR(A3405),MONTH(A3405),1)</f>
        <v>41852.0</v>
      </c>
      <c r="G3405" t="str">
        <f>CHOOSE(WEEKDAY(A3405,2),"Mon","Tue","Wed","Thu","Fri","Sat","Sun")</f>
        <v>Wed</v>
      </c>
      <c r="H3405" t="str">
        <f>IF(WEEKDAY(A3405,2)&gt;5,"Weekend","Weekday")</f>
        <v>Weekday</v>
      </c>
      <c r="I3405" t="str">
        <f>_xlfn.IFS(B3405&lt;=5,"Night (0-5)",B3405&lt;=9,"Morning peak (6-9)",B3405&lt;=15,"Midday (10-15)",B3405&lt;=19,"Evening peak (16-19)",TRUE,"Late evening (20-23)")</f>
        <v>Evening peak (16-19)</v>
      </c>
    </row>
    <row r="3406" spans="1:9">
      <c r="A3406" s="32">
        <v>41871</v>
      </c>
      <c r="B3406">
        <v>20</v>
      </c>
      <c r="C3406">
        <v>1874</v>
      </c>
      <c r="D3406" t="s">
        <v>303</v>
      </c>
      <c r="E3406">
        <f>YEAR(A3406)</f>
        <v>2014</v>
      </c>
      <c r="F3406" s="33">
        <f>DATE(YEAR(A3406),MONTH(A3406),1)</f>
        <v>41852.0</v>
      </c>
      <c r="G3406" t="str">
        <f>CHOOSE(WEEKDAY(A3406,2),"Mon","Tue","Wed","Thu","Fri","Sat","Sun")</f>
        <v>Wed</v>
      </c>
      <c r="H3406" t="str">
        <f>IF(WEEKDAY(A3406,2)&gt;5,"Weekend","Weekday")</f>
        <v>Weekday</v>
      </c>
      <c r="I3406" t="str">
        <f>_xlfn.IFS(B3406&lt;=5,"Night (0-5)",B3406&lt;=9,"Morning peak (6-9)",B3406&lt;=15,"Midday (10-15)",B3406&lt;=19,"Evening peak (16-19)",TRUE,"Late evening (20-23)")</f>
        <v>Late evening (20-23)</v>
      </c>
    </row>
    <row r="3407" spans="1:9">
      <c r="A3407" s="32">
        <v>41871</v>
      </c>
      <c r="B3407">
        <v>21</v>
      </c>
      <c r="C3407">
        <v>1899</v>
      </c>
      <c r="D3407" t="s">
        <v>303</v>
      </c>
      <c r="E3407">
        <f>YEAR(A3407)</f>
        <v>2014</v>
      </c>
      <c r="F3407" s="33">
        <f>DATE(YEAR(A3407),MONTH(A3407),1)</f>
        <v>41852.0</v>
      </c>
      <c r="G3407" t="str">
        <f>CHOOSE(WEEKDAY(A3407,2),"Mon","Tue","Wed","Thu","Fri","Sat","Sun")</f>
        <v>Wed</v>
      </c>
      <c r="H3407" t="str">
        <f>IF(WEEKDAY(A3407,2)&gt;5,"Weekend","Weekday")</f>
        <v>Weekday</v>
      </c>
      <c r="I3407" t="str">
        <f>_xlfn.IFS(B3407&lt;=5,"Night (0-5)",B3407&lt;=9,"Morning peak (6-9)",B3407&lt;=15,"Midday (10-15)",B3407&lt;=19,"Evening peak (16-19)",TRUE,"Late evening (20-23)")</f>
        <v>Late evening (20-23)</v>
      </c>
    </row>
    <row r="3408" spans="1:9">
      <c r="A3408" s="32">
        <v>41871</v>
      </c>
      <c r="B3408">
        <v>22</v>
      </c>
      <c r="C3408">
        <v>1360</v>
      </c>
      <c r="D3408" t="s">
        <v>303</v>
      </c>
      <c r="E3408">
        <f>YEAR(A3408)</f>
        <v>2014</v>
      </c>
      <c r="F3408" s="33">
        <f>DATE(YEAR(A3408),MONTH(A3408),1)</f>
        <v>41852.0</v>
      </c>
      <c r="G3408" t="str">
        <f>CHOOSE(WEEKDAY(A3408,2),"Mon","Tue","Wed","Thu","Fri","Sat","Sun")</f>
        <v>Wed</v>
      </c>
      <c r="H3408" t="str">
        <f>IF(WEEKDAY(A3408,2)&gt;5,"Weekend","Weekday")</f>
        <v>Weekday</v>
      </c>
      <c r="I3408" t="str">
        <f>_xlfn.IFS(B3408&lt;=5,"Night (0-5)",B3408&lt;=9,"Morning peak (6-9)",B3408&lt;=15,"Midday (10-15)",B3408&lt;=19,"Evening peak (16-19)",TRUE,"Late evening (20-23)")</f>
        <v>Late evening (20-23)</v>
      </c>
    </row>
    <row r="3409" spans="1:9">
      <c r="A3409" s="32">
        <v>41871</v>
      </c>
      <c r="B3409">
        <v>23</v>
      </c>
      <c r="C3409">
        <v>837</v>
      </c>
      <c r="D3409" t="s">
        <v>303</v>
      </c>
      <c r="E3409">
        <f>YEAR(A3409)</f>
        <v>2014</v>
      </c>
      <c r="F3409" s="33">
        <f>DATE(YEAR(A3409),MONTH(A3409),1)</f>
        <v>41852.0</v>
      </c>
      <c r="G3409" t="str">
        <f>CHOOSE(WEEKDAY(A3409,2),"Mon","Tue","Wed","Thu","Fri","Sat","Sun")</f>
        <v>Wed</v>
      </c>
      <c r="H3409" t="str">
        <f>IF(WEEKDAY(A3409,2)&gt;5,"Weekend","Weekday")</f>
        <v>Weekday</v>
      </c>
      <c r="I3409" t="str">
        <f>_xlfn.IFS(B3409&lt;=5,"Night (0-5)",B3409&lt;=9,"Morning peak (6-9)",B3409&lt;=15,"Midday (10-15)",B3409&lt;=19,"Evening peak (16-19)",TRUE,"Late evening (20-23)")</f>
        <v>Late evening (20-23)</v>
      </c>
    </row>
    <row r="3410" spans="1:9">
      <c r="A3410" s="32">
        <v>41872</v>
      </c>
      <c r="B3410">
        <v>0</v>
      </c>
      <c r="C3410">
        <v>453</v>
      </c>
      <c r="D3410" t="s">
        <v>303</v>
      </c>
      <c r="E3410">
        <f>YEAR(A3410)</f>
        <v>2014</v>
      </c>
      <c r="F3410" s="33">
        <f>DATE(YEAR(A3410),MONTH(A3410),1)</f>
        <v>41852.0</v>
      </c>
      <c r="G3410" t="str">
        <f>CHOOSE(WEEKDAY(A3410,2),"Mon","Tue","Wed","Thu","Fri","Sat","Sun")</f>
        <v>Thu</v>
      </c>
      <c r="H3410" t="str">
        <f>IF(WEEKDAY(A3410,2)&gt;5,"Weekend","Weekday")</f>
        <v>Weekday</v>
      </c>
      <c r="I3410" t="str">
        <f>_xlfn.IFS(B3410&lt;=5,"Night (0-5)",B3410&lt;=9,"Morning peak (6-9)",B3410&lt;=15,"Midday (10-15)",B3410&lt;=19,"Evening peak (16-19)",TRUE,"Late evening (20-23)")</f>
        <v>Night (0-5)</v>
      </c>
    </row>
    <row r="3411" spans="1:9">
      <c r="A3411" s="32">
        <v>41872</v>
      </c>
      <c r="B3411">
        <v>1</v>
      </c>
      <c r="C3411">
        <v>288</v>
      </c>
      <c r="D3411" t="s">
        <v>303</v>
      </c>
      <c r="E3411">
        <f>YEAR(A3411)</f>
        <v>2014</v>
      </c>
      <c r="F3411" s="33">
        <f>DATE(YEAR(A3411),MONTH(A3411),1)</f>
        <v>41852.0</v>
      </c>
      <c r="G3411" t="str">
        <f>CHOOSE(WEEKDAY(A3411,2),"Mon","Tue","Wed","Thu","Fri","Sat","Sun")</f>
        <v>Thu</v>
      </c>
      <c r="H3411" t="str">
        <f>IF(WEEKDAY(A3411,2)&gt;5,"Weekend","Weekday")</f>
        <v>Weekday</v>
      </c>
      <c r="I3411" t="str">
        <f>_xlfn.IFS(B3411&lt;=5,"Night (0-5)",B3411&lt;=9,"Morning peak (6-9)",B3411&lt;=15,"Midday (10-15)",B3411&lt;=19,"Evening peak (16-19)",TRUE,"Late evening (20-23)")</f>
        <v>Night (0-5)</v>
      </c>
    </row>
    <row r="3412" spans="1:9">
      <c r="A3412" s="32">
        <v>41872</v>
      </c>
      <c r="B3412">
        <v>2</v>
      </c>
      <c r="C3412">
        <v>178</v>
      </c>
      <c r="D3412" t="s">
        <v>303</v>
      </c>
      <c r="E3412">
        <f>YEAR(A3412)</f>
        <v>2014</v>
      </c>
      <c r="F3412" s="33">
        <f>DATE(YEAR(A3412),MONTH(A3412),1)</f>
        <v>41852.0</v>
      </c>
      <c r="G3412" t="str">
        <f>CHOOSE(WEEKDAY(A3412,2),"Mon","Tue","Wed","Thu","Fri","Sat","Sun")</f>
        <v>Thu</v>
      </c>
      <c r="H3412" t="str">
        <f>IF(WEEKDAY(A3412,2)&gt;5,"Weekend","Weekday")</f>
        <v>Weekday</v>
      </c>
      <c r="I3412" t="str">
        <f>_xlfn.IFS(B3412&lt;=5,"Night (0-5)",B3412&lt;=9,"Morning peak (6-9)",B3412&lt;=15,"Midday (10-15)",B3412&lt;=19,"Evening peak (16-19)",TRUE,"Late evening (20-23)")</f>
        <v>Night (0-5)</v>
      </c>
    </row>
    <row r="3413" spans="1:9">
      <c r="A3413" s="32">
        <v>41872</v>
      </c>
      <c r="B3413">
        <v>3</v>
      </c>
      <c r="C3413">
        <v>270</v>
      </c>
      <c r="D3413" t="s">
        <v>303</v>
      </c>
      <c r="E3413">
        <f>YEAR(A3413)</f>
        <v>2014</v>
      </c>
      <c r="F3413" s="33">
        <f>DATE(YEAR(A3413),MONTH(A3413),1)</f>
        <v>41852.0</v>
      </c>
      <c r="G3413" t="str">
        <f>CHOOSE(WEEKDAY(A3413,2),"Mon","Tue","Wed","Thu","Fri","Sat","Sun")</f>
        <v>Thu</v>
      </c>
      <c r="H3413" t="str">
        <f>IF(WEEKDAY(A3413,2)&gt;5,"Weekend","Weekday")</f>
        <v>Weekday</v>
      </c>
      <c r="I3413" t="str">
        <f>_xlfn.IFS(B3413&lt;=5,"Night (0-5)",B3413&lt;=9,"Morning peak (6-9)",B3413&lt;=15,"Midday (10-15)",B3413&lt;=19,"Evening peak (16-19)",TRUE,"Late evening (20-23)")</f>
        <v>Night (0-5)</v>
      </c>
    </row>
    <row r="3414" spans="1:9">
      <c r="A3414" s="32">
        <v>41872</v>
      </c>
      <c r="B3414">
        <v>4</v>
      </c>
      <c r="C3414">
        <v>421</v>
      </c>
      <c r="D3414" t="s">
        <v>303</v>
      </c>
      <c r="E3414">
        <f>YEAR(A3414)</f>
        <v>2014</v>
      </c>
      <c r="F3414" s="33">
        <f>DATE(YEAR(A3414),MONTH(A3414),1)</f>
        <v>41852.0</v>
      </c>
      <c r="G3414" t="str">
        <f>CHOOSE(WEEKDAY(A3414,2),"Mon","Tue","Wed","Thu","Fri","Sat","Sun")</f>
        <v>Thu</v>
      </c>
      <c r="H3414" t="str">
        <f>IF(WEEKDAY(A3414,2)&gt;5,"Weekend","Weekday")</f>
        <v>Weekday</v>
      </c>
      <c r="I3414" t="str">
        <f>_xlfn.IFS(B3414&lt;=5,"Night (0-5)",B3414&lt;=9,"Morning peak (6-9)",B3414&lt;=15,"Midday (10-15)",B3414&lt;=19,"Evening peak (16-19)",TRUE,"Late evening (20-23)")</f>
        <v>Night (0-5)</v>
      </c>
    </row>
    <row r="3415" spans="1:9">
      <c r="A3415" s="32">
        <v>41872</v>
      </c>
      <c r="B3415">
        <v>5</v>
      </c>
      <c r="C3415">
        <v>587</v>
      </c>
      <c r="D3415" t="s">
        <v>303</v>
      </c>
      <c r="E3415">
        <f>YEAR(A3415)</f>
        <v>2014</v>
      </c>
      <c r="F3415" s="33">
        <f>DATE(YEAR(A3415),MONTH(A3415),1)</f>
        <v>41852.0</v>
      </c>
      <c r="G3415" t="str">
        <f>CHOOSE(WEEKDAY(A3415,2),"Mon","Tue","Wed","Thu","Fri","Sat","Sun")</f>
        <v>Thu</v>
      </c>
      <c r="H3415" t="str">
        <f>IF(WEEKDAY(A3415,2)&gt;5,"Weekend","Weekday")</f>
        <v>Weekday</v>
      </c>
      <c r="I3415" t="str">
        <f>_xlfn.IFS(B3415&lt;=5,"Night (0-5)",B3415&lt;=9,"Morning peak (6-9)",B3415&lt;=15,"Midday (10-15)",B3415&lt;=19,"Evening peak (16-19)",TRUE,"Late evening (20-23)")</f>
        <v>Night (0-5)</v>
      </c>
    </row>
    <row r="3416" spans="1:9">
      <c r="A3416" s="32">
        <v>41872</v>
      </c>
      <c r="B3416">
        <v>6</v>
      </c>
      <c r="C3416">
        <v>1016</v>
      </c>
      <c r="D3416" t="s">
        <v>303</v>
      </c>
      <c r="E3416">
        <f>YEAR(A3416)</f>
        <v>2014</v>
      </c>
      <c r="F3416" s="33">
        <f>DATE(YEAR(A3416),MONTH(A3416),1)</f>
        <v>41852.0</v>
      </c>
      <c r="G3416" t="str">
        <f>CHOOSE(WEEKDAY(A3416,2),"Mon","Tue","Wed","Thu","Fri","Sat","Sun")</f>
        <v>Thu</v>
      </c>
      <c r="H3416" t="str">
        <f>IF(WEEKDAY(A3416,2)&gt;5,"Weekend","Weekday")</f>
        <v>Weekday</v>
      </c>
      <c r="I3416" t="str">
        <f>_xlfn.IFS(B3416&lt;=5,"Night (0-5)",B3416&lt;=9,"Morning peak (6-9)",B3416&lt;=15,"Midday (10-15)",B3416&lt;=19,"Evening peak (16-19)",TRUE,"Late evening (20-23)")</f>
        <v>Morning peak (6-9)</v>
      </c>
    </row>
    <row r="3417" spans="1:9">
      <c r="A3417" s="32">
        <v>41872</v>
      </c>
      <c r="B3417">
        <v>7</v>
      </c>
      <c r="C3417">
        <v>1482</v>
      </c>
      <c r="D3417" t="s">
        <v>303</v>
      </c>
      <c r="E3417">
        <f>YEAR(A3417)</f>
        <v>2014</v>
      </c>
      <c r="F3417" s="33">
        <f>DATE(YEAR(A3417),MONTH(A3417),1)</f>
        <v>41852.0</v>
      </c>
      <c r="G3417" t="str">
        <f>CHOOSE(WEEKDAY(A3417,2),"Mon","Tue","Wed","Thu","Fri","Sat","Sun")</f>
        <v>Thu</v>
      </c>
      <c r="H3417" t="str">
        <f>IF(WEEKDAY(A3417,2)&gt;5,"Weekend","Weekday")</f>
        <v>Weekday</v>
      </c>
      <c r="I3417" t="str">
        <f>_xlfn.IFS(B3417&lt;=5,"Night (0-5)",B3417&lt;=9,"Morning peak (6-9)",B3417&lt;=15,"Midday (10-15)",B3417&lt;=19,"Evening peak (16-19)",TRUE,"Late evening (20-23)")</f>
        <v>Morning peak (6-9)</v>
      </c>
    </row>
    <row r="3418" spans="1:9">
      <c r="A3418" s="32">
        <v>41872</v>
      </c>
      <c r="B3418">
        <v>8</v>
      </c>
      <c r="C3418">
        <v>1394</v>
      </c>
      <c r="D3418" t="s">
        <v>303</v>
      </c>
      <c r="E3418">
        <f>YEAR(A3418)</f>
        <v>2014</v>
      </c>
      <c r="F3418" s="33">
        <f>DATE(YEAR(A3418),MONTH(A3418),1)</f>
        <v>41852.0</v>
      </c>
      <c r="G3418" t="str">
        <f>CHOOSE(WEEKDAY(A3418,2),"Mon","Tue","Wed","Thu","Fri","Sat","Sun")</f>
        <v>Thu</v>
      </c>
      <c r="H3418" t="str">
        <f>IF(WEEKDAY(A3418,2)&gt;5,"Weekend","Weekday")</f>
        <v>Weekday</v>
      </c>
      <c r="I3418" t="str">
        <f>_xlfn.IFS(B3418&lt;=5,"Night (0-5)",B3418&lt;=9,"Morning peak (6-9)",B3418&lt;=15,"Midday (10-15)",B3418&lt;=19,"Evening peak (16-19)",TRUE,"Late evening (20-23)")</f>
        <v>Morning peak (6-9)</v>
      </c>
    </row>
    <row r="3419" spans="1:9">
      <c r="A3419" s="32">
        <v>41872</v>
      </c>
      <c r="B3419">
        <v>9</v>
      </c>
      <c r="C3419">
        <v>1081</v>
      </c>
      <c r="D3419" t="s">
        <v>303</v>
      </c>
      <c r="E3419">
        <f>YEAR(A3419)</f>
        <v>2014</v>
      </c>
      <c r="F3419" s="33">
        <f>DATE(YEAR(A3419),MONTH(A3419),1)</f>
        <v>41852.0</v>
      </c>
      <c r="G3419" t="str">
        <f>CHOOSE(WEEKDAY(A3419,2),"Mon","Tue","Wed","Thu","Fri","Sat","Sun")</f>
        <v>Thu</v>
      </c>
      <c r="H3419" t="str">
        <f>IF(WEEKDAY(A3419,2)&gt;5,"Weekend","Weekday")</f>
        <v>Weekday</v>
      </c>
      <c r="I3419" t="str">
        <f>_xlfn.IFS(B3419&lt;=5,"Night (0-5)",B3419&lt;=9,"Morning peak (6-9)",B3419&lt;=15,"Midday (10-15)",B3419&lt;=19,"Evening peak (16-19)",TRUE,"Late evening (20-23)")</f>
        <v>Morning peak (6-9)</v>
      </c>
    </row>
    <row r="3420" spans="1:9">
      <c r="A3420" s="32">
        <v>41872</v>
      </c>
      <c r="B3420">
        <v>10</v>
      </c>
      <c r="C3420">
        <v>1063</v>
      </c>
      <c r="D3420" t="s">
        <v>303</v>
      </c>
      <c r="E3420">
        <f>YEAR(A3420)</f>
        <v>2014</v>
      </c>
      <c r="F3420" s="33">
        <f>DATE(YEAR(A3420),MONTH(A3420),1)</f>
        <v>41852.0</v>
      </c>
      <c r="G3420" t="str">
        <f>CHOOSE(WEEKDAY(A3420,2),"Mon","Tue","Wed","Thu","Fri","Sat","Sun")</f>
        <v>Thu</v>
      </c>
      <c r="H3420" t="str">
        <f>IF(WEEKDAY(A3420,2)&gt;5,"Weekend","Weekday")</f>
        <v>Weekday</v>
      </c>
      <c r="I3420" t="str">
        <f>_xlfn.IFS(B3420&lt;=5,"Night (0-5)",B3420&lt;=9,"Morning peak (6-9)",B3420&lt;=15,"Midday (10-15)",B3420&lt;=19,"Evening peak (16-19)",TRUE,"Late evening (20-23)")</f>
        <v>Midday (10-15)</v>
      </c>
    </row>
    <row r="3421" spans="1:9">
      <c r="A3421" s="32">
        <v>41872</v>
      </c>
      <c r="B3421">
        <v>11</v>
      </c>
      <c r="C3421">
        <v>1109</v>
      </c>
      <c r="D3421" t="s">
        <v>303</v>
      </c>
      <c r="E3421">
        <f>YEAR(A3421)</f>
        <v>2014</v>
      </c>
      <c r="F3421" s="33">
        <f>DATE(YEAR(A3421),MONTH(A3421),1)</f>
        <v>41852.0</v>
      </c>
      <c r="G3421" t="str">
        <f>CHOOSE(WEEKDAY(A3421,2),"Mon","Tue","Wed","Thu","Fri","Sat","Sun")</f>
        <v>Thu</v>
      </c>
      <c r="H3421" t="str">
        <f>IF(WEEKDAY(A3421,2)&gt;5,"Weekend","Weekday")</f>
        <v>Weekday</v>
      </c>
      <c r="I3421" t="str">
        <f>_xlfn.IFS(B3421&lt;=5,"Night (0-5)",B3421&lt;=9,"Morning peak (6-9)",B3421&lt;=15,"Midday (10-15)",B3421&lt;=19,"Evening peak (16-19)",TRUE,"Late evening (20-23)")</f>
        <v>Midday (10-15)</v>
      </c>
    </row>
    <row r="3422" spans="1:9">
      <c r="A3422" s="32">
        <v>41872</v>
      </c>
      <c r="B3422">
        <v>12</v>
      </c>
      <c r="C3422">
        <v>1121</v>
      </c>
      <c r="D3422" t="s">
        <v>303</v>
      </c>
      <c r="E3422">
        <f>YEAR(A3422)</f>
        <v>2014</v>
      </c>
      <c r="F3422" s="33">
        <f>DATE(YEAR(A3422),MONTH(A3422),1)</f>
        <v>41852.0</v>
      </c>
      <c r="G3422" t="str">
        <f>CHOOSE(WEEKDAY(A3422,2),"Mon","Tue","Wed","Thu","Fri","Sat","Sun")</f>
        <v>Thu</v>
      </c>
      <c r="H3422" t="str">
        <f>IF(WEEKDAY(A3422,2)&gt;5,"Weekend","Weekday")</f>
        <v>Weekday</v>
      </c>
      <c r="I3422" t="str">
        <f>_xlfn.IFS(B3422&lt;=5,"Night (0-5)",B3422&lt;=9,"Morning peak (6-9)",B3422&lt;=15,"Midday (10-15)",B3422&lt;=19,"Evening peak (16-19)",TRUE,"Late evening (20-23)")</f>
        <v>Midday (10-15)</v>
      </c>
    </row>
    <row r="3423" spans="1:9">
      <c r="A3423" s="32">
        <v>41872</v>
      </c>
      <c r="B3423">
        <v>13</v>
      </c>
      <c r="C3423">
        <v>1276</v>
      </c>
      <c r="D3423" t="s">
        <v>303</v>
      </c>
      <c r="E3423">
        <f>YEAR(A3423)</f>
        <v>2014</v>
      </c>
      <c r="F3423" s="33">
        <f>DATE(YEAR(A3423),MONTH(A3423),1)</f>
        <v>41852.0</v>
      </c>
      <c r="G3423" t="str">
        <f>CHOOSE(WEEKDAY(A3423,2),"Mon","Tue","Wed","Thu","Fri","Sat","Sun")</f>
        <v>Thu</v>
      </c>
      <c r="H3423" t="str">
        <f>IF(WEEKDAY(A3423,2)&gt;5,"Weekend","Weekday")</f>
        <v>Weekday</v>
      </c>
      <c r="I3423" t="str">
        <f>_xlfn.IFS(B3423&lt;=5,"Night (0-5)",B3423&lt;=9,"Morning peak (6-9)",B3423&lt;=15,"Midday (10-15)",B3423&lt;=19,"Evening peak (16-19)",TRUE,"Late evening (20-23)")</f>
        <v>Midday (10-15)</v>
      </c>
    </row>
    <row r="3424" spans="1:9">
      <c r="A3424" s="32">
        <v>41872</v>
      </c>
      <c r="B3424">
        <v>14</v>
      </c>
      <c r="C3424">
        <v>1403</v>
      </c>
      <c r="D3424" t="s">
        <v>303</v>
      </c>
      <c r="E3424">
        <f>YEAR(A3424)</f>
        <v>2014</v>
      </c>
      <c r="F3424" s="33">
        <f>DATE(YEAR(A3424),MONTH(A3424),1)</f>
        <v>41852.0</v>
      </c>
      <c r="G3424" t="str">
        <f>CHOOSE(WEEKDAY(A3424,2),"Mon","Tue","Wed","Thu","Fri","Sat","Sun")</f>
        <v>Thu</v>
      </c>
      <c r="H3424" t="str">
        <f>IF(WEEKDAY(A3424,2)&gt;5,"Weekend","Weekday")</f>
        <v>Weekday</v>
      </c>
      <c r="I3424" t="str">
        <f>_xlfn.IFS(B3424&lt;=5,"Night (0-5)",B3424&lt;=9,"Morning peak (6-9)",B3424&lt;=15,"Midday (10-15)",B3424&lt;=19,"Evening peak (16-19)",TRUE,"Late evening (20-23)")</f>
        <v>Midday (10-15)</v>
      </c>
    </row>
    <row r="3425" spans="1:9">
      <c r="A3425" s="32">
        <v>41872</v>
      </c>
      <c r="B3425">
        <v>15</v>
      </c>
      <c r="C3425">
        <v>1738</v>
      </c>
      <c r="D3425" t="s">
        <v>303</v>
      </c>
      <c r="E3425">
        <f>YEAR(A3425)</f>
        <v>2014</v>
      </c>
      <c r="F3425" s="33">
        <f>DATE(YEAR(A3425),MONTH(A3425),1)</f>
        <v>41852.0</v>
      </c>
      <c r="G3425" t="str">
        <f>CHOOSE(WEEKDAY(A3425,2),"Mon","Tue","Wed","Thu","Fri","Sat","Sun")</f>
        <v>Thu</v>
      </c>
      <c r="H3425" t="str">
        <f>IF(WEEKDAY(A3425,2)&gt;5,"Weekend","Weekday")</f>
        <v>Weekday</v>
      </c>
      <c r="I3425" t="str">
        <f>_xlfn.IFS(B3425&lt;=5,"Night (0-5)",B3425&lt;=9,"Morning peak (6-9)",B3425&lt;=15,"Midday (10-15)",B3425&lt;=19,"Evening peak (16-19)",TRUE,"Late evening (20-23)")</f>
        <v>Midday (10-15)</v>
      </c>
    </row>
    <row r="3426" spans="1:9">
      <c r="A3426" s="32">
        <v>41872</v>
      </c>
      <c r="B3426">
        <v>16</v>
      </c>
      <c r="C3426">
        <v>1896</v>
      </c>
      <c r="D3426" t="s">
        <v>303</v>
      </c>
      <c r="E3426">
        <f>YEAR(A3426)</f>
        <v>2014</v>
      </c>
      <c r="F3426" s="33">
        <f>DATE(YEAR(A3426),MONTH(A3426),1)</f>
        <v>41852.0</v>
      </c>
      <c r="G3426" t="str">
        <f>CHOOSE(WEEKDAY(A3426,2),"Mon","Tue","Wed","Thu","Fri","Sat","Sun")</f>
        <v>Thu</v>
      </c>
      <c r="H3426" t="str">
        <f>IF(WEEKDAY(A3426,2)&gt;5,"Weekend","Weekday")</f>
        <v>Weekday</v>
      </c>
      <c r="I3426" t="str">
        <f>_xlfn.IFS(B3426&lt;=5,"Night (0-5)",B3426&lt;=9,"Morning peak (6-9)",B3426&lt;=15,"Midday (10-15)",B3426&lt;=19,"Evening peak (16-19)",TRUE,"Late evening (20-23)")</f>
        <v>Evening peak (16-19)</v>
      </c>
    </row>
    <row r="3427" spans="1:9">
      <c r="A3427" s="32">
        <v>41872</v>
      </c>
      <c r="B3427">
        <v>17</v>
      </c>
      <c r="C3427">
        <v>2086</v>
      </c>
      <c r="D3427" t="s">
        <v>303</v>
      </c>
      <c r="E3427">
        <f>YEAR(A3427)</f>
        <v>2014</v>
      </c>
      <c r="F3427" s="33">
        <f>DATE(YEAR(A3427),MONTH(A3427),1)</f>
        <v>41852.0</v>
      </c>
      <c r="G3427" t="str">
        <f>CHOOSE(WEEKDAY(A3427,2),"Mon","Tue","Wed","Thu","Fri","Sat","Sun")</f>
        <v>Thu</v>
      </c>
      <c r="H3427" t="str">
        <f>IF(WEEKDAY(A3427,2)&gt;5,"Weekend","Weekday")</f>
        <v>Weekday</v>
      </c>
      <c r="I3427" t="str">
        <f>_xlfn.IFS(B3427&lt;=5,"Night (0-5)",B3427&lt;=9,"Morning peak (6-9)",B3427&lt;=15,"Midday (10-15)",B3427&lt;=19,"Evening peak (16-19)",TRUE,"Late evening (20-23)")</f>
        <v>Evening peak (16-19)</v>
      </c>
    </row>
    <row r="3428" spans="1:9">
      <c r="A3428" s="32">
        <v>41872</v>
      </c>
      <c r="B3428">
        <v>18</v>
      </c>
      <c r="C3428">
        <v>2143</v>
      </c>
      <c r="D3428" t="s">
        <v>303</v>
      </c>
      <c r="E3428">
        <f>YEAR(A3428)</f>
        <v>2014</v>
      </c>
      <c r="F3428" s="33">
        <f>DATE(YEAR(A3428),MONTH(A3428),1)</f>
        <v>41852.0</v>
      </c>
      <c r="G3428" t="str">
        <f>CHOOSE(WEEKDAY(A3428,2),"Mon","Tue","Wed","Thu","Fri","Sat","Sun")</f>
        <v>Thu</v>
      </c>
      <c r="H3428" t="str">
        <f>IF(WEEKDAY(A3428,2)&gt;5,"Weekend","Weekday")</f>
        <v>Weekday</v>
      </c>
      <c r="I3428" t="str">
        <f>_xlfn.IFS(B3428&lt;=5,"Night (0-5)",B3428&lt;=9,"Morning peak (6-9)",B3428&lt;=15,"Midday (10-15)",B3428&lt;=19,"Evening peak (16-19)",TRUE,"Late evening (20-23)")</f>
        <v>Evening peak (16-19)</v>
      </c>
    </row>
    <row r="3429" spans="1:9">
      <c r="A3429" s="32">
        <v>41872</v>
      </c>
      <c r="B3429">
        <v>19</v>
      </c>
      <c r="C3429">
        <v>2158</v>
      </c>
      <c r="D3429" t="s">
        <v>303</v>
      </c>
      <c r="E3429">
        <f>YEAR(A3429)</f>
        <v>2014</v>
      </c>
      <c r="F3429" s="33">
        <f>DATE(YEAR(A3429),MONTH(A3429),1)</f>
        <v>41852.0</v>
      </c>
      <c r="G3429" t="str">
        <f>CHOOSE(WEEKDAY(A3429,2),"Mon","Tue","Wed","Thu","Fri","Sat","Sun")</f>
        <v>Thu</v>
      </c>
      <c r="H3429" t="str">
        <f>IF(WEEKDAY(A3429,2)&gt;5,"Weekend","Weekday")</f>
        <v>Weekday</v>
      </c>
      <c r="I3429" t="str">
        <f>_xlfn.IFS(B3429&lt;=5,"Night (0-5)",B3429&lt;=9,"Morning peak (6-9)",B3429&lt;=15,"Midday (10-15)",B3429&lt;=19,"Evening peak (16-19)",TRUE,"Late evening (20-23)")</f>
        <v>Evening peak (16-19)</v>
      </c>
    </row>
    <row r="3430" spans="1:9">
      <c r="A3430" s="32">
        <v>41872</v>
      </c>
      <c r="B3430">
        <v>20</v>
      </c>
      <c r="C3430">
        <v>2146</v>
      </c>
      <c r="D3430" t="s">
        <v>303</v>
      </c>
      <c r="E3430">
        <f>YEAR(A3430)</f>
        <v>2014</v>
      </c>
      <c r="F3430" s="33">
        <f>DATE(YEAR(A3430),MONTH(A3430),1)</f>
        <v>41852.0</v>
      </c>
      <c r="G3430" t="str">
        <f>CHOOSE(WEEKDAY(A3430,2),"Mon","Tue","Wed","Thu","Fri","Sat","Sun")</f>
        <v>Thu</v>
      </c>
      <c r="H3430" t="str">
        <f>IF(WEEKDAY(A3430,2)&gt;5,"Weekend","Weekday")</f>
        <v>Weekday</v>
      </c>
      <c r="I3430" t="str">
        <f>_xlfn.IFS(B3430&lt;=5,"Night (0-5)",B3430&lt;=9,"Morning peak (6-9)",B3430&lt;=15,"Midday (10-15)",B3430&lt;=19,"Evening peak (16-19)",TRUE,"Late evening (20-23)")</f>
        <v>Late evening (20-23)</v>
      </c>
    </row>
    <row r="3431" spans="1:9">
      <c r="A3431" s="32">
        <v>41872</v>
      </c>
      <c r="B3431">
        <v>21</v>
      </c>
      <c r="C3431">
        <v>2407</v>
      </c>
      <c r="D3431" t="s">
        <v>303</v>
      </c>
      <c r="E3431">
        <f>YEAR(A3431)</f>
        <v>2014</v>
      </c>
      <c r="F3431" s="33">
        <f>DATE(YEAR(A3431),MONTH(A3431),1)</f>
        <v>41852.0</v>
      </c>
      <c r="G3431" t="str">
        <f>CHOOSE(WEEKDAY(A3431,2),"Mon","Tue","Wed","Thu","Fri","Sat","Sun")</f>
        <v>Thu</v>
      </c>
      <c r="H3431" t="str">
        <f>IF(WEEKDAY(A3431,2)&gt;5,"Weekend","Weekday")</f>
        <v>Weekday</v>
      </c>
      <c r="I3431" t="str">
        <f>_xlfn.IFS(B3431&lt;=5,"Night (0-5)",B3431&lt;=9,"Morning peak (6-9)",B3431&lt;=15,"Midday (10-15)",B3431&lt;=19,"Evening peak (16-19)",TRUE,"Late evening (20-23)")</f>
        <v>Late evening (20-23)</v>
      </c>
    </row>
    <row r="3432" spans="1:9">
      <c r="A3432" s="32">
        <v>41872</v>
      </c>
      <c r="B3432">
        <v>22</v>
      </c>
      <c r="C3432">
        <v>2547</v>
      </c>
      <c r="D3432" t="s">
        <v>303</v>
      </c>
      <c r="E3432">
        <f>YEAR(A3432)</f>
        <v>2014</v>
      </c>
      <c r="F3432" s="33">
        <f>DATE(YEAR(A3432),MONTH(A3432),1)</f>
        <v>41852.0</v>
      </c>
      <c r="G3432" t="str">
        <f>CHOOSE(WEEKDAY(A3432,2),"Mon","Tue","Wed","Thu","Fri","Sat","Sun")</f>
        <v>Thu</v>
      </c>
      <c r="H3432" t="str">
        <f>IF(WEEKDAY(A3432,2)&gt;5,"Weekend","Weekday")</f>
        <v>Weekday</v>
      </c>
      <c r="I3432" t="str">
        <f>_xlfn.IFS(B3432&lt;=5,"Night (0-5)",B3432&lt;=9,"Morning peak (6-9)",B3432&lt;=15,"Midday (10-15)",B3432&lt;=19,"Evening peak (16-19)",TRUE,"Late evening (20-23)")</f>
        <v>Late evening (20-23)</v>
      </c>
    </row>
    <row r="3433" spans="1:9">
      <c r="A3433" s="32">
        <v>41872</v>
      </c>
      <c r="B3433">
        <v>23</v>
      </c>
      <c r="C3433">
        <v>2041</v>
      </c>
      <c r="D3433" t="s">
        <v>303</v>
      </c>
      <c r="E3433">
        <f>YEAR(A3433)</f>
        <v>2014</v>
      </c>
      <c r="F3433" s="33">
        <f>DATE(YEAR(A3433),MONTH(A3433),1)</f>
        <v>41852.0</v>
      </c>
      <c r="G3433" t="str">
        <f>CHOOSE(WEEKDAY(A3433,2),"Mon","Tue","Wed","Thu","Fri","Sat","Sun")</f>
        <v>Thu</v>
      </c>
      <c r="H3433" t="str">
        <f>IF(WEEKDAY(A3433,2)&gt;5,"Weekend","Weekday")</f>
        <v>Weekday</v>
      </c>
      <c r="I3433" t="str">
        <f>_xlfn.IFS(B3433&lt;=5,"Night (0-5)",B3433&lt;=9,"Morning peak (6-9)",B3433&lt;=15,"Midday (10-15)",B3433&lt;=19,"Evening peak (16-19)",TRUE,"Late evening (20-23)")</f>
        <v>Late evening (20-23)</v>
      </c>
    </row>
    <row r="3434" spans="1:9">
      <c r="A3434" s="32">
        <v>41873</v>
      </c>
      <c r="B3434">
        <v>0</v>
      </c>
      <c r="C3434">
        <v>881</v>
      </c>
      <c r="D3434" t="s">
        <v>303</v>
      </c>
      <c r="E3434">
        <f>YEAR(A3434)</f>
        <v>2014</v>
      </c>
      <c r="F3434" s="33">
        <f>DATE(YEAR(A3434),MONTH(A3434),1)</f>
        <v>41852.0</v>
      </c>
      <c r="G3434" t="str">
        <f>CHOOSE(WEEKDAY(A3434,2),"Mon","Tue","Wed","Thu","Fri","Sat","Sun")</f>
        <v>Fri</v>
      </c>
      <c r="H3434" t="str">
        <f>IF(WEEKDAY(A3434,2)&gt;5,"Weekend","Weekday")</f>
        <v>Weekday</v>
      </c>
      <c r="I3434" t="str">
        <f>_xlfn.IFS(B3434&lt;=5,"Night (0-5)",B3434&lt;=9,"Morning peak (6-9)",B3434&lt;=15,"Midday (10-15)",B3434&lt;=19,"Evening peak (16-19)",TRUE,"Late evening (20-23)")</f>
        <v>Night (0-5)</v>
      </c>
    </row>
    <row r="3435" spans="1:9">
      <c r="A3435" s="32">
        <v>41873</v>
      </c>
      <c r="B3435">
        <v>1</v>
      </c>
      <c r="C3435">
        <v>422</v>
      </c>
      <c r="D3435" t="s">
        <v>303</v>
      </c>
      <c r="E3435">
        <f>YEAR(A3435)</f>
        <v>2014</v>
      </c>
      <c r="F3435" s="33">
        <f>DATE(YEAR(A3435),MONTH(A3435),1)</f>
        <v>41852.0</v>
      </c>
      <c r="G3435" t="str">
        <f>CHOOSE(WEEKDAY(A3435,2),"Mon","Tue","Wed","Thu","Fri","Sat","Sun")</f>
        <v>Fri</v>
      </c>
      <c r="H3435" t="str">
        <f>IF(WEEKDAY(A3435,2)&gt;5,"Weekend","Weekday")</f>
        <v>Weekday</v>
      </c>
      <c r="I3435" t="str">
        <f>_xlfn.IFS(B3435&lt;=5,"Night (0-5)",B3435&lt;=9,"Morning peak (6-9)",B3435&lt;=15,"Midday (10-15)",B3435&lt;=19,"Evening peak (16-19)",TRUE,"Late evening (20-23)")</f>
        <v>Night (0-5)</v>
      </c>
    </row>
    <row r="3436" spans="1:9">
      <c r="A3436" s="32">
        <v>41873</v>
      </c>
      <c r="B3436">
        <v>2</v>
      </c>
      <c r="C3436">
        <v>255</v>
      </c>
      <c r="D3436" t="s">
        <v>303</v>
      </c>
      <c r="E3436">
        <f>YEAR(A3436)</f>
        <v>2014</v>
      </c>
      <c r="F3436" s="33">
        <f>DATE(YEAR(A3436),MONTH(A3436),1)</f>
        <v>41852.0</v>
      </c>
      <c r="G3436" t="str">
        <f>CHOOSE(WEEKDAY(A3436,2),"Mon","Tue","Wed","Thu","Fri","Sat","Sun")</f>
        <v>Fri</v>
      </c>
      <c r="H3436" t="str">
        <f>IF(WEEKDAY(A3436,2)&gt;5,"Weekend","Weekday")</f>
        <v>Weekday</v>
      </c>
      <c r="I3436" t="str">
        <f>_xlfn.IFS(B3436&lt;=5,"Night (0-5)",B3436&lt;=9,"Morning peak (6-9)",B3436&lt;=15,"Midday (10-15)",B3436&lt;=19,"Evening peak (16-19)",TRUE,"Late evening (20-23)")</f>
        <v>Night (0-5)</v>
      </c>
    </row>
    <row r="3437" spans="1:9">
      <c r="A3437" s="32">
        <v>41873</v>
      </c>
      <c r="B3437">
        <v>3</v>
      </c>
      <c r="C3437">
        <v>309</v>
      </c>
      <c r="D3437" t="s">
        <v>303</v>
      </c>
      <c r="E3437">
        <f>YEAR(A3437)</f>
        <v>2014</v>
      </c>
      <c r="F3437" s="33">
        <f>DATE(YEAR(A3437),MONTH(A3437),1)</f>
        <v>41852.0</v>
      </c>
      <c r="G3437" t="str">
        <f>CHOOSE(WEEKDAY(A3437,2),"Mon","Tue","Wed","Thu","Fri","Sat","Sun")</f>
        <v>Fri</v>
      </c>
      <c r="H3437" t="str">
        <f>IF(WEEKDAY(A3437,2)&gt;5,"Weekend","Weekday")</f>
        <v>Weekday</v>
      </c>
      <c r="I3437" t="str">
        <f>_xlfn.IFS(B3437&lt;=5,"Night (0-5)",B3437&lt;=9,"Morning peak (6-9)",B3437&lt;=15,"Midday (10-15)",B3437&lt;=19,"Evening peak (16-19)",TRUE,"Late evening (20-23)")</f>
        <v>Night (0-5)</v>
      </c>
    </row>
    <row r="3438" spans="1:9">
      <c r="A3438" s="32">
        <v>41873</v>
      </c>
      <c r="B3438">
        <v>4</v>
      </c>
      <c r="C3438">
        <v>438</v>
      </c>
      <c r="D3438" t="s">
        <v>303</v>
      </c>
      <c r="E3438">
        <f>YEAR(A3438)</f>
        <v>2014</v>
      </c>
      <c r="F3438" s="33">
        <f>DATE(YEAR(A3438),MONTH(A3438),1)</f>
        <v>41852.0</v>
      </c>
      <c r="G3438" t="str">
        <f>CHOOSE(WEEKDAY(A3438,2),"Mon","Tue","Wed","Thu","Fri","Sat","Sun")</f>
        <v>Fri</v>
      </c>
      <c r="H3438" t="str">
        <f>IF(WEEKDAY(A3438,2)&gt;5,"Weekend","Weekday")</f>
        <v>Weekday</v>
      </c>
      <c r="I3438" t="str">
        <f>_xlfn.IFS(B3438&lt;=5,"Night (0-5)",B3438&lt;=9,"Morning peak (6-9)",B3438&lt;=15,"Midday (10-15)",B3438&lt;=19,"Evening peak (16-19)",TRUE,"Late evening (20-23)")</f>
        <v>Night (0-5)</v>
      </c>
    </row>
    <row r="3439" spans="1:9">
      <c r="A3439" s="32">
        <v>41873</v>
      </c>
      <c r="B3439">
        <v>5</v>
      </c>
      <c r="C3439">
        <v>614</v>
      </c>
      <c r="D3439" t="s">
        <v>303</v>
      </c>
      <c r="E3439">
        <f>YEAR(A3439)</f>
        <v>2014</v>
      </c>
      <c r="F3439" s="33">
        <f>DATE(YEAR(A3439),MONTH(A3439),1)</f>
        <v>41852.0</v>
      </c>
      <c r="G3439" t="str">
        <f>CHOOSE(WEEKDAY(A3439,2),"Mon","Tue","Wed","Thu","Fri","Sat","Sun")</f>
        <v>Fri</v>
      </c>
      <c r="H3439" t="str">
        <f>IF(WEEKDAY(A3439,2)&gt;5,"Weekend","Weekday")</f>
        <v>Weekday</v>
      </c>
      <c r="I3439" t="str">
        <f>_xlfn.IFS(B3439&lt;=5,"Night (0-5)",B3439&lt;=9,"Morning peak (6-9)",B3439&lt;=15,"Midday (10-15)",B3439&lt;=19,"Evening peak (16-19)",TRUE,"Late evening (20-23)")</f>
        <v>Night (0-5)</v>
      </c>
    </row>
    <row r="3440" spans="1:9">
      <c r="A3440" s="32">
        <v>41873</v>
      </c>
      <c r="B3440">
        <v>6</v>
      </c>
      <c r="C3440">
        <v>950</v>
      </c>
      <c r="D3440" t="s">
        <v>303</v>
      </c>
      <c r="E3440">
        <f>YEAR(A3440)</f>
        <v>2014</v>
      </c>
      <c r="F3440" s="33">
        <f>DATE(YEAR(A3440),MONTH(A3440),1)</f>
        <v>41852.0</v>
      </c>
      <c r="G3440" t="str">
        <f>CHOOSE(WEEKDAY(A3440,2),"Mon","Tue","Wed","Thu","Fri","Sat","Sun")</f>
        <v>Fri</v>
      </c>
      <c r="H3440" t="str">
        <f>IF(WEEKDAY(A3440,2)&gt;5,"Weekend","Weekday")</f>
        <v>Weekday</v>
      </c>
      <c r="I3440" t="str">
        <f>_xlfn.IFS(B3440&lt;=5,"Night (0-5)",B3440&lt;=9,"Morning peak (6-9)",B3440&lt;=15,"Midday (10-15)",B3440&lt;=19,"Evening peak (16-19)",TRUE,"Late evening (20-23)")</f>
        <v>Morning peak (6-9)</v>
      </c>
    </row>
    <row r="3441" spans="1:9">
      <c r="A3441" s="32">
        <v>41873</v>
      </c>
      <c r="B3441">
        <v>7</v>
      </c>
      <c r="C3441">
        <v>1351</v>
      </c>
      <c r="D3441" t="s">
        <v>303</v>
      </c>
      <c r="E3441">
        <f>YEAR(A3441)</f>
        <v>2014</v>
      </c>
      <c r="F3441" s="33">
        <f>DATE(YEAR(A3441),MONTH(A3441),1)</f>
        <v>41852.0</v>
      </c>
      <c r="G3441" t="str">
        <f>CHOOSE(WEEKDAY(A3441,2),"Mon","Tue","Wed","Thu","Fri","Sat","Sun")</f>
        <v>Fri</v>
      </c>
      <c r="H3441" t="str">
        <f>IF(WEEKDAY(A3441,2)&gt;5,"Weekend","Weekday")</f>
        <v>Weekday</v>
      </c>
      <c r="I3441" t="str">
        <f>_xlfn.IFS(B3441&lt;=5,"Night (0-5)",B3441&lt;=9,"Morning peak (6-9)",B3441&lt;=15,"Midday (10-15)",B3441&lt;=19,"Evening peak (16-19)",TRUE,"Late evening (20-23)")</f>
        <v>Morning peak (6-9)</v>
      </c>
    </row>
    <row r="3442" spans="1:9">
      <c r="A3442" s="32">
        <v>41873</v>
      </c>
      <c r="B3442">
        <v>8</v>
      </c>
      <c r="C3442">
        <v>1401</v>
      </c>
      <c r="D3442" t="s">
        <v>303</v>
      </c>
      <c r="E3442">
        <f>YEAR(A3442)</f>
        <v>2014</v>
      </c>
      <c r="F3442" s="33">
        <f>DATE(YEAR(A3442),MONTH(A3442),1)</f>
        <v>41852.0</v>
      </c>
      <c r="G3442" t="str">
        <f>CHOOSE(WEEKDAY(A3442,2),"Mon","Tue","Wed","Thu","Fri","Sat","Sun")</f>
        <v>Fri</v>
      </c>
      <c r="H3442" t="str">
        <f>IF(WEEKDAY(A3442,2)&gt;5,"Weekend","Weekday")</f>
        <v>Weekday</v>
      </c>
      <c r="I3442" t="str">
        <f>_xlfn.IFS(B3442&lt;=5,"Night (0-5)",B3442&lt;=9,"Morning peak (6-9)",B3442&lt;=15,"Midday (10-15)",B3442&lt;=19,"Evening peak (16-19)",TRUE,"Late evening (20-23)")</f>
        <v>Morning peak (6-9)</v>
      </c>
    </row>
    <row r="3443" spans="1:9">
      <c r="A3443" s="32">
        <v>41873</v>
      </c>
      <c r="B3443">
        <v>9</v>
      </c>
      <c r="C3443">
        <v>1080</v>
      </c>
      <c r="D3443" t="s">
        <v>303</v>
      </c>
      <c r="E3443">
        <f>YEAR(A3443)</f>
        <v>2014</v>
      </c>
      <c r="F3443" s="33">
        <f>DATE(YEAR(A3443),MONTH(A3443),1)</f>
        <v>41852.0</v>
      </c>
      <c r="G3443" t="str">
        <f>CHOOSE(WEEKDAY(A3443,2),"Mon","Tue","Wed","Thu","Fri","Sat","Sun")</f>
        <v>Fri</v>
      </c>
      <c r="H3443" t="str">
        <f>IF(WEEKDAY(A3443,2)&gt;5,"Weekend","Weekday")</f>
        <v>Weekday</v>
      </c>
      <c r="I3443" t="str">
        <f>_xlfn.IFS(B3443&lt;=5,"Night (0-5)",B3443&lt;=9,"Morning peak (6-9)",B3443&lt;=15,"Midday (10-15)",B3443&lt;=19,"Evening peak (16-19)",TRUE,"Late evening (20-23)")</f>
        <v>Morning peak (6-9)</v>
      </c>
    </row>
    <row r="3444" spans="1:9">
      <c r="A3444" s="32">
        <v>41873</v>
      </c>
      <c r="B3444">
        <v>10</v>
      </c>
      <c r="C3444">
        <v>1044</v>
      </c>
      <c r="D3444" t="s">
        <v>303</v>
      </c>
      <c r="E3444">
        <f>YEAR(A3444)</f>
        <v>2014</v>
      </c>
      <c r="F3444" s="33">
        <f>DATE(YEAR(A3444),MONTH(A3444),1)</f>
        <v>41852.0</v>
      </c>
      <c r="G3444" t="str">
        <f>CHOOSE(WEEKDAY(A3444,2),"Mon","Tue","Wed","Thu","Fri","Sat","Sun")</f>
        <v>Fri</v>
      </c>
      <c r="H3444" t="str">
        <f>IF(WEEKDAY(A3444,2)&gt;5,"Weekend","Weekday")</f>
        <v>Weekday</v>
      </c>
      <c r="I3444" t="str">
        <f>_xlfn.IFS(B3444&lt;=5,"Night (0-5)",B3444&lt;=9,"Morning peak (6-9)",B3444&lt;=15,"Midday (10-15)",B3444&lt;=19,"Evening peak (16-19)",TRUE,"Late evening (20-23)")</f>
        <v>Midday (10-15)</v>
      </c>
    </row>
    <row r="3445" spans="1:9">
      <c r="A3445" s="32">
        <v>41873</v>
      </c>
      <c r="B3445">
        <v>11</v>
      </c>
      <c r="C3445">
        <v>1076</v>
      </c>
      <c r="D3445" t="s">
        <v>303</v>
      </c>
      <c r="E3445">
        <f>YEAR(A3445)</f>
        <v>2014</v>
      </c>
      <c r="F3445" s="33">
        <f>DATE(YEAR(A3445),MONTH(A3445),1)</f>
        <v>41852.0</v>
      </c>
      <c r="G3445" t="str">
        <f>CHOOSE(WEEKDAY(A3445,2),"Mon","Tue","Wed","Thu","Fri","Sat","Sun")</f>
        <v>Fri</v>
      </c>
      <c r="H3445" t="str">
        <f>IF(WEEKDAY(A3445,2)&gt;5,"Weekend","Weekday")</f>
        <v>Weekday</v>
      </c>
      <c r="I3445" t="str">
        <f>_xlfn.IFS(B3445&lt;=5,"Night (0-5)",B3445&lt;=9,"Morning peak (6-9)",B3445&lt;=15,"Midday (10-15)",B3445&lt;=19,"Evening peak (16-19)",TRUE,"Late evening (20-23)")</f>
        <v>Midday (10-15)</v>
      </c>
    </row>
    <row r="3446" spans="1:9">
      <c r="A3446" s="32">
        <v>41873</v>
      </c>
      <c r="B3446">
        <v>12</v>
      </c>
      <c r="C3446">
        <v>1059</v>
      </c>
      <c r="D3446" t="s">
        <v>303</v>
      </c>
      <c r="E3446">
        <f>YEAR(A3446)</f>
        <v>2014</v>
      </c>
      <c r="F3446" s="33">
        <f>DATE(YEAR(A3446),MONTH(A3446),1)</f>
        <v>41852.0</v>
      </c>
      <c r="G3446" t="str">
        <f>CHOOSE(WEEKDAY(A3446,2),"Mon","Tue","Wed","Thu","Fri","Sat","Sun")</f>
        <v>Fri</v>
      </c>
      <c r="H3446" t="str">
        <f>IF(WEEKDAY(A3446,2)&gt;5,"Weekend","Weekday")</f>
        <v>Weekday</v>
      </c>
      <c r="I3446" t="str">
        <f>_xlfn.IFS(B3446&lt;=5,"Night (0-5)",B3446&lt;=9,"Morning peak (6-9)",B3446&lt;=15,"Midday (10-15)",B3446&lt;=19,"Evening peak (16-19)",TRUE,"Late evening (20-23)")</f>
        <v>Midday (10-15)</v>
      </c>
    </row>
    <row r="3447" spans="1:9">
      <c r="A3447" s="32">
        <v>41873</v>
      </c>
      <c r="B3447">
        <v>13</v>
      </c>
      <c r="C3447">
        <v>1284</v>
      </c>
      <c r="D3447" t="s">
        <v>303</v>
      </c>
      <c r="E3447">
        <f>YEAR(A3447)</f>
        <v>2014</v>
      </c>
      <c r="F3447" s="33">
        <f>DATE(YEAR(A3447),MONTH(A3447),1)</f>
        <v>41852.0</v>
      </c>
      <c r="G3447" t="str">
        <f>CHOOSE(WEEKDAY(A3447,2),"Mon","Tue","Wed","Thu","Fri","Sat","Sun")</f>
        <v>Fri</v>
      </c>
      <c r="H3447" t="str">
        <f>IF(WEEKDAY(A3447,2)&gt;5,"Weekend","Weekday")</f>
        <v>Weekday</v>
      </c>
      <c r="I3447" t="str">
        <f>_xlfn.IFS(B3447&lt;=5,"Night (0-5)",B3447&lt;=9,"Morning peak (6-9)",B3447&lt;=15,"Midday (10-15)",B3447&lt;=19,"Evening peak (16-19)",TRUE,"Late evening (20-23)")</f>
        <v>Midday (10-15)</v>
      </c>
    </row>
    <row r="3448" spans="1:9">
      <c r="A3448" s="32">
        <v>41873</v>
      </c>
      <c r="B3448">
        <v>14</v>
      </c>
      <c r="C3448">
        <v>1479</v>
      </c>
      <c r="D3448" t="s">
        <v>303</v>
      </c>
      <c r="E3448">
        <f>YEAR(A3448)</f>
        <v>2014</v>
      </c>
      <c r="F3448" s="33">
        <f>DATE(YEAR(A3448),MONTH(A3448),1)</f>
        <v>41852.0</v>
      </c>
      <c r="G3448" t="str">
        <f>CHOOSE(WEEKDAY(A3448,2),"Mon","Tue","Wed","Thu","Fri","Sat","Sun")</f>
        <v>Fri</v>
      </c>
      <c r="H3448" t="str">
        <f>IF(WEEKDAY(A3448,2)&gt;5,"Weekend","Weekday")</f>
        <v>Weekday</v>
      </c>
      <c r="I3448" t="str">
        <f>_xlfn.IFS(B3448&lt;=5,"Night (0-5)",B3448&lt;=9,"Morning peak (6-9)",B3448&lt;=15,"Midday (10-15)",B3448&lt;=19,"Evening peak (16-19)",TRUE,"Late evening (20-23)")</f>
        <v>Midday (10-15)</v>
      </c>
    </row>
    <row r="3449" spans="1:9">
      <c r="A3449" s="32">
        <v>41873</v>
      </c>
      <c r="B3449">
        <v>15</v>
      </c>
      <c r="C3449">
        <v>1846</v>
      </c>
      <c r="D3449" t="s">
        <v>303</v>
      </c>
      <c r="E3449">
        <f>YEAR(A3449)</f>
        <v>2014</v>
      </c>
      <c r="F3449" s="33">
        <f>DATE(YEAR(A3449),MONTH(A3449),1)</f>
        <v>41852.0</v>
      </c>
      <c r="G3449" t="str">
        <f>CHOOSE(WEEKDAY(A3449,2),"Mon","Tue","Wed","Thu","Fri","Sat","Sun")</f>
        <v>Fri</v>
      </c>
      <c r="H3449" t="str">
        <f>IF(WEEKDAY(A3449,2)&gt;5,"Weekend","Weekday")</f>
        <v>Weekday</v>
      </c>
      <c r="I3449" t="str">
        <f>_xlfn.IFS(B3449&lt;=5,"Night (0-5)",B3449&lt;=9,"Morning peak (6-9)",B3449&lt;=15,"Midday (10-15)",B3449&lt;=19,"Evening peak (16-19)",TRUE,"Late evening (20-23)")</f>
        <v>Midday (10-15)</v>
      </c>
    </row>
    <row r="3450" spans="1:9">
      <c r="A3450" s="32">
        <v>41873</v>
      </c>
      <c r="B3450">
        <v>16</v>
      </c>
      <c r="C3450">
        <v>1925</v>
      </c>
      <c r="D3450" t="s">
        <v>303</v>
      </c>
      <c r="E3450">
        <f>YEAR(A3450)</f>
        <v>2014</v>
      </c>
      <c r="F3450" s="33">
        <f>DATE(YEAR(A3450),MONTH(A3450),1)</f>
        <v>41852.0</v>
      </c>
      <c r="G3450" t="str">
        <f>CHOOSE(WEEKDAY(A3450,2),"Mon","Tue","Wed","Thu","Fri","Sat","Sun")</f>
        <v>Fri</v>
      </c>
      <c r="H3450" t="str">
        <f>IF(WEEKDAY(A3450,2)&gt;5,"Weekend","Weekday")</f>
        <v>Weekday</v>
      </c>
      <c r="I3450" t="str">
        <f>_xlfn.IFS(B3450&lt;=5,"Night (0-5)",B3450&lt;=9,"Morning peak (6-9)",B3450&lt;=15,"Midday (10-15)",B3450&lt;=19,"Evening peak (16-19)",TRUE,"Late evening (20-23)")</f>
        <v>Evening peak (16-19)</v>
      </c>
    </row>
    <row r="3451" spans="1:9">
      <c r="A3451" s="32">
        <v>41873</v>
      </c>
      <c r="B3451">
        <v>17</v>
      </c>
      <c r="C3451">
        <v>1857</v>
      </c>
      <c r="D3451" t="s">
        <v>303</v>
      </c>
      <c r="E3451">
        <f>YEAR(A3451)</f>
        <v>2014</v>
      </c>
      <c r="F3451" s="33">
        <f>DATE(YEAR(A3451),MONTH(A3451),1)</f>
        <v>41852.0</v>
      </c>
      <c r="G3451" t="str">
        <f>CHOOSE(WEEKDAY(A3451,2),"Mon","Tue","Wed","Thu","Fri","Sat","Sun")</f>
        <v>Fri</v>
      </c>
      <c r="H3451" t="str">
        <f>IF(WEEKDAY(A3451,2)&gt;5,"Weekend","Weekday")</f>
        <v>Weekday</v>
      </c>
      <c r="I3451" t="str">
        <f>_xlfn.IFS(B3451&lt;=5,"Night (0-5)",B3451&lt;=9,"Morning peak (6-9)",B3451&lt;=15,"Midday (10-15)",B3451&lt;=19,"Evening peak (16-19)",TRUE,"Late evening (20-23)")</f>
        <v>Evening peak (16-19)</v>
      </c>
    </row>
    <row r="3452" spans="1:9">
      <c r="A3452" s="32">
        <v>41873</v>
      </c>
      <c r="B3452">
        <v>18</v>
      </c>
      <c r="C3452">
        <v>1792</v>
      </c>
      <c r="D3452" t="s">
        <v>303</v>
      </c>
      <c r="E3452">
        <f>YEAR(A3452)</f>
        <v>2014</v>
      </c>
      <c r="F3452" s="33">
        <f>DATE(YEAR(A3452),MONTH(A3452),1)</f>
        <v>41852.0</v>
      </c>
      <c r="G3452" t="str">
        <f>CHOOSE(WEEKDAY(A3452,2),"Mon","Tue","Wed","Thu","Fri","Sat","Sun")</f>
        <v>Fri</v>
      </c>
      <c r="H3452" t="str">
        <f>IF(WEEKDAY(A3452,2)&gt;5,"Weekend","Weekday")</f>
        <v>Weekday</v>
      </c>
      <c r="I3452" t="str">
        <f>_xlfn.IFS(B3452&lt;=5,"Night (0-5)",B3452&lt;=9,"Morning peak (6-9)",B3452&lt;=15,"Midday (10-15)",B3452&lt;=19,"Evening peak (16-19)",TRUE,"Late evening (20-23)")</f>
        <v>Evening peak (16-19)</v>
      </c>
    </row>
    <row r="3453" spans="1:9">
      <c r="A3453" s="32">
        <v>41873</v>
      </c>
      <c r="B3453">
        <v>19</v>
      </c>
      <c r="C3453">
        <v>1741</v>
      </c>
      <c r="D3453" t="s">
        <v>303</v>
      </c>
      <c r="E3453">
        <f>YEAR(A3453)</f>
        <v>2014</v>
      </c>
      <c r="F3453" s="33">
        <f>DATE(YEAR(A3453),MONTH(A3453),1)</f>
        <v>41852.0</v>
      </c>
      <c r="G3453" t="str">
        <f>CHOOSE(WEEKDAY(A3453,2),"Mon","Tue","Wed","Thu","Fri","Sat","Sun")</f>
        <v>Fri</v>
      </c>
      <c r="H3453" t="str">
        <f>IF(WEEKDAY(A3453,2)&gt;5,"Weekend","Weekday")</f>
        <v>Weekday</v>
      </c>
      <c r="I3453" t="str">
        <f>_xlfn.IFS(B3453&lt;=5,"Night (0-5)",B3453&lt;=9,"Morning peak (6-9)",B3453&lt;=15,"Midday (10-15)",B3453&lt;=19,"Evening peak (16-19)",TRUE,"Late evening (20-23)")</f>
        <v>Evening peak (16-19)</v>
      </c>
    </row>
    <row r="3454" spans="1:9">
      <c r="A3454" s="32">
        <v>41873</v>
      </c>
      <c r="B3454">
        <v>20</v>
      </c>
      <c r="C3454">
        <v>1588</v>
      </c>
      <c r="D3454" t="s">
        <v>303</v>
      </c>
      <c r="E3454">
        <f>YEAR(A3454)</f>
        <v>2014</v>
      </c>
      <c r="F3454" s="33">
        <f>DATE(YEAR(A3454),MONTH(A3454),1)</f>
        <v>41852.0</v>
      </c>
      <c r="G3454" t="str">
        <f>CHOOSE(WEEKDAY(A3454,2),"Mon","Tue","Wed","Thu","Fri","Sat","Sun")</f>
        <v>Fri</v>
      </c>
      <c r="H3454" t="str">
        <f>IF(WEEKDAY(A3454,2)&gt;5,"Weekend","Weekday")</f>
        <v>Weekday</v>
      </c>
      <c r="I3454" t="str">
        <f>_xlfn.IFS(B3454&lt;=5,"Night (0-5)",B3454&lt;=9,"Morning peak (6-9)",B3454&lt;=15,"Midday (10-15)",B3454&lt;=19,"Evening peak (16-19)",TRUE,"Late evening (20-23)")</f>
        <v>Late evening (20-23)</v>
      </c>
    </row>
    <row r="3455" spans="1:9">
      <c r="A3455" s="32">
        <v>41873</v>
      </c>
      <c r="B3455">
        <v>21</v>
      </c>
      <c r="C3455">
        <v>1705</v>
      </c>
      <c r="D3455" t="s">
        <v>303</v>
      </c>
      <c r="E3455">
        <f>YEAR(A3455)</f>
        <v>2014</v>
      </c>
      <c r="F3455" s="33">
        <f>DATE(YEAR(A3455),MONTH(A3455),1)</f>
        <v>41852.0</v>
      </c>
      <c r="G3455" t="str">
        <f>CHOOSE(WEEKDAY(A3455,2),"Mon","Tue","Wed","Thu","Fri","Sat","Sun")</f>
        <v>Fri</v>
      </c>
      <c r="H3455" t="str">
        <f>IF(WEEKDAY(A3455,2)&gt;5,"Weekend","Weekday")</f>
        <v>Weekday</v>
      </c>
      <c r="I3455" t="str">
        <f>_xlfn.IFS(B3455&lt;=5,"Night (0-5)",B3455&lt;=9,"Morning peak (6-9)",B3455&lt;=15,"Midday (10-15)",B3455&lt;=19,"Evening peak (16-19)",TRUE,"Late evening (20-23)")</f>
        <v>Late evening (20-23)</v>
      </c>
    </row>
    <row r="3456" spans="1:9">
      <c r="A3456" s="32">
        <v>41873</v>
      </c>
      <c r="B3456">
        <v>22</v>
      </c>
      <c r="C3456">
        <v>1745</v>
      </c>
      <c r="D3456" t="s">
        <v>303</v>
      </c>
      <c r="E3456">
        <f>YEAR(A3456)</f>
        <v>2014</v>
      </c>
      <c r="F3456" s="33">
        <f>DATE(YEAR(A3456),MONTH(A3456),1)</f>
        <v>41852.0</v>
      </c>
      <c r="G3456" t="str">
        <f>CHOOSE(WEEKDAY(A3456,2),"Mon","Tue","Wed","Thu","Fri","Sat","Sun")</f>
        <v>Fri</v>
      </c>
      <c r="H3456" t="str">
        <f>IF(WEEKDAY(A3456,2)&gt;5,"Weekend","Weekday")</f>
        <v>Weekday</v>
      </c>
      <c r="I3456" t="str">
        <f>_xlfn.IFS(B3456&lt;=5,"Night (0-5)",B3456&lt;=9,"Morning peak (6-9)",B3456&lt;=15,"Midday (10-15)",B3456&lt;=19,"Evening peak (16-19)",TRUE,"Late evening (20-23)")</f>
        <v>Late evening (20-23)</v>
      </c>
    </row>
    <row r="3457" spans="1:9">
      <c r="A3457" s="32">
        <v>41873</v>
      </c>
      <c r="B3457">
        <v>23</v>
      </c>
      <c r="C3457">
        <v>1670</v>
      </c>
      <c r="D3457" t="s">
        <v>303</v>
      </c>
      <c r="E3457">
        <f>YEAR(A3457)</f>
        <v>2014</v>
      </c>
      <c r="F3457" s="33">
        <f>DATE(YEAR(A3457),MONTH(A3457),1)</f>
        <v>41852.0</v>
      </c>
      <c r="G3457" t="str">
        <f>CHOOSE(WEEKDAY(A3457,2),"Mon","Tue","Wed","Thu","Fri","Sat","Sun")</f>
        <v>Fri</v>
      </c>
      <c r="H3457" t="str">
        <f>IF(WEEKDAY(A3457,2)&gt;5,"Weekend","Weekday")</f>
        <v>Weekday</v>
      </c>
      <c r="I3457" t="str">
        <f>_xlfn.IFS(B3457&lt;=5,"Night (0-5)",B3457&lt;=9,"Morning peak (6-9)",B3457&lt;=15,"Midday (10-15)",B3457&lt;=19,"Evening peak (16-19)",TRUE,"Late evening (20-23)")</f>
        <v>Late evening (20-23)</v>
      </c>
    </row>
    <row r="3458" spans="1:9">
      <c r="A3458" s="32">
        <v>41874</v>
      </c>
      <c r="B3458">
        <v>0</v>
      </c>
      <c r="C3458">
        <v>1146</v>
      </c>
      <c r="D3458" t="s">
        <v>303</v>
      </c>
      <c r="E3458">
        <f>YEAR(A3458)</f>
        <v>2014</v>
      </c>
      <c r="F3458" s="33">
        <f>DATE(YEAR(A3458),MONTH(A3458),1)</f>
        <v>41852.0</v>
      </c>
      <c r="G3458" t="str">
        <f>CHOOSE(WEEKDAY(A3458,2),"Mon","Tue","Wed","Thu","Fri","Sat","Sun")</f>
        <v>Sat</v>
      </c>
      <c r="H3458" t="str">
        <f>IF(WEEKDAY(A3458,2)&gt;5,"Weekend","Weekday")</f>
        <v>Weekend</v>
      </c>
      <c r="I3458" t="str">
        <f>_xlfn.IFS(B3458&lt;=5,"Night (0-5)",B3458&lt;=9,"Morning peak (6-9)",B3458&lt;=15,"Midday (10-15)",B3458&lt;=19,"Evening peak (16-19)",TRUE,"Late evening (20-23)")</f>
        <v>Night (0-5)</v>
      </c>
    </row>
    <row r="3459" spans="1:9">
      <c r="A3459" s="32">
        <v>41874</v>
      </c>
      <c r="B3459">
        <v>1</v>
      </c>
      <c r="C3459">
        <v>781</v>
      </c>
      <c r="D3459" t="s">
        <v>303</v>
      </c>
      <c r="E3459">
        <f>YEAR(A3459)</f>
        <v>2014</v>
      </c>
      <c r="F3459" s="33">
        <f>DATE(YEAR(A3459),MONTH(A3459),1)</f>
        <v>41852.0</v>
      </c>
      <c r="G3459" t="str">
        <f>CHOOSE(WEEKDAY(A3459,2),"Mon","Tue","Wed","Thu","Fri","Sat","Sun")</f>
        <v>Sat</v>
      </c>
      <c r="H3459" t="str">
        <f>IF(WEEKDAY(A3459,2)&gt;5,"Weekend","Weekday")</f>
        <v>Weekend</v>
      </c>
      <c r="I3459" t="str">
        <f>_xlfn.IFS(B3459&lt;=5,"Night (0-5)",B3459&lt;=9,"Morning peak (6-9)",B3459&lt;=15,"Midday (10-15)",B3459&lt;=19,"Evening peak (16-19)",TRUE,"Late evening (20-23)")</f>
        <v>Night (0-5)</v>
      </c>
    </row>
    <row r="3460" spans="1:9">
      <c r="A3460" s="32">
        <v>41874</v>
      </c>
      <c r="B3460">
        <v>2</v>
      </c>
      <c r="C3460">
        <v>556</v>
      </c>
      <c r="D3460" t="s">
        <v>303</v>
      </c>
      <c r="E3460">
        <f>YEAR(A3460)</f>
        <v>2014</v>
      </c>
      <c r="F3460" s="33">
        <f>DATE(YEAR(A3460),MONTH(A3460),1)</f>
        <v>41852.0</v>
      </c>
      <c r="G3460" t="str">
        <f>CHOOSE(WEEKDAY(A3460,2),"Mon","Tue","Wed","Thu","Fri","Sat","Sun")</f>
        <v>Sat</v>
      </c>
      <c r="H3460" t="str">
        <f>IF(WEEKDAY(A3460,2)&gt;5,"Weekend","Weekday")</f>
        <v>Weekend</v>
      </c>
      <c r="I3460" t="str">
        <f>_xlfn.IFS(B3460&lt;=5,"Night (0-5)",B3460&lt;=9,"Morning peak (6-9)",B3460&lt;=15,"Midday (10-15)",B3460&lt;=19,"Evening peak (16-19)",TRUE,"Late evening (20-23)")</f>
        <v>Night (0-5)</v>
      </c>
    </row>
    <row r="3461" spans="1:9">
      <c r="A3461" s="32">
        <v>41874</v>
      </c>
      <c r="B3461">
        <v>3</v>
      </c>
      <c r="C3461">
        <v>432</v>
      </c>
      <c r="D3461" t="s">
        <v>303</v>
      </c>
      <c r="E3461">
        <f>YEAR(A3461)</f>
        <v>2014</v>
      </c>
      <c r="F3461" s="33">
        <f>DATE(YEAR(A3461),MONTH(A3461),1)</f>
        <v>41852.0</v>
      </c>
      <c r="G3461" t="str">
        <f>CHOOSE(WEEKDAY(A3461,2),"Mon","Tue","Wed","Thu","Fri","Sat","Sun")</f>
        <v>Sat</v>
      </c>
      <c r="H3461" t="str">
        <f>IF(WEEKDAY(A3461,2)&gt;5,"Weekend","Weekday")</f>
        <v>Weekend</v>
      </c>
      <c r="I3461" t="str">
        <f>_xlfn.IFS(B3461&lt;=5,"Night (0-5)",B3461&lt;=9,"Morning peak (6-9)",B3461&lt;=15,"Midday (10-15)",B3461&lt;=19,"Evening peak (16-19)",TRUE,"Late evening (20-23)")</f>
        <v>Night (0-5)</v>
      </c>
    </row>
    <row r="3462" spans="1:9">
      <c r="A3462" s="32">
        <v>41874</v>
      </c>
      <c r="B3462">
        <v>4</v>
      </c>
      <c r="C3462">
        <v>363</v>
      </c>
      <c r="D3462" t="s">
        <v>303</v>
      </c>
      <c r="E3462">
        <f>YEAR(A3462)</f>
        <v>2014</v>
      </c>
      <c r="F3462" s="33">
        <f>DATE(YEAR(A3462),MONTH(A3462),1)</f>
        <v>41852.0</v>
      </c>
      <c r="G3462" t="str">
        <f>CHOOSE(WEEKDAY(A3462,2),"Mon","Tue","Wed","Thu","Fri","Sat","Sun")</f>
        <v>Sat</v>
      </c>
      <c r="H3462" t="str">
        <f>IF(WEEKDAY(A3462,2)&gt;5,"Weekend","Weekday")</f>
        <v>Weekend</v>
      </c>
      <c r="I3462" t="str">
        <f>_xlfn.IFS(B3462&lt;=5,"Night (0-5)",B3462&lt;=9,"Morning peak (6-9)",B3462&lt;=15,"Midday (10-15)",B3462&lt;=19,"Evening peak (16-19)",TRUE,"Late evening (20-23)")</f>
        <v>Night (0-5)</v>
      </c>
    </row>
    <row r="3463" spans="1:9">
      <c r="A3463" s="32">
        <v>41874</v>
      </c>
      <c r="B3463">
        <v>5</v>
      </c>
      <c r="C3463">
        <v>349</v>
      </c>
      <c r="D3463" t="s">
        <v>303</v>
      </c>
      <c r="E3463">
        <f>YEAR(A3463)</f>
        <v>2014</v>
      </c>
      <c r="F3463" s="33">
        <f>DATE(YEAR(A3463),MONTH(A3463),1)</f>
        <v>41852.0</v>
      </c>
      <c r="G3463" t="str">
        <f>CHOOSE(WEEKDAY(A3463,2),"Mon","Tue","Wed","Thu","Fri","Sat","Sun")</f>
        <v>Sat</v>
      </c>
      <c r="H3463" t="str">
        <f>IF(WEEKDAY(A3463,2)&gt;5,"Weekend","Weekday")</f>
        <v>Weekend</v>
      </c>
      <c r="I3463" t="str">
        <f>_xlfn.IFS(B3463&lt;=5,"Night (0-5)",B3463&lt;=9,"Morning peak (6-9)",B3463&lt;=15,"Midday (10-15)",B3463&lt;=19,"Evening peak (16-19)",TRUE,"Late evening (20-23)")</f>
        <v>Night (0-5)</v>
      </c>
    </row>
    <row r="3464" spans="1:9">
      <c r="A3464" s="32">
        <v>41874</v>
      </c>
      <c r="B3464">
        <v>6</v>
      </c>
      <c r="C3464">
        <v>416</v>
      </c>
      <c r="D3464" t="s">
        <v>303</v>
      </c>
      <c r="E3464">
        <f>YEAR(A3464)</f>
        <v>2014</v>
      </c>
      <c r="F3464" s="33">
        <f>DATE(YEAR(A3464),MONTH(A3464),1)</f>
        <v>41852.0</v>
      </c>
      <c r="G3464" t="str">
        <f>CHOOSE(WEEKDAY(A3464,2),"Mon","Tue","Wed","Thu","Fri","Sat","Sun")</f>
        <v>Sat</v>
      </c>
      <c r="H3464" t="str">
        <f>IF(WEEKDAY(A3464,2)&gt;5,"Weekend","Weekday")</f>
        <v>Weekend</v>
      </c>
      <c r="I3464" t="str">
        <f>_xlfn.IFS(B3464&lt;=5,"Night (0-5)",B3464&lt;=9,"Morning peak (6-9)",B3464&lt;=15,"Midday (10-15)",B3464&lt;=19,"Evening peak (16-19)",TRUE,"Late evening (20-23)")</f>
        <v>Morning peak (6-9)</v>
      </c>
    </row>
    <row r="3465" spans="1:9">
      <c r="A3465" s="32">
        <v>41874</v>
      </c>
      <c r="B3465">
        <v>7</v>
      </c>
      <c r="C3465">
        <v>531</v>
      </c>
      <c r="D3465" t="s">
        <v>303</v>
      </c>
      <c r="E3465">
        <f>YEAR(A3465)</f>
        <v>2014</v>
      </c>
      <c r="F3465" s="33">
        <f>DATE(YEAR(A3465),MONTH(A3465),1)</f>
        <v>41852.0</v>
      </c>
      <c r="G3465" t="str">
        <f>CHOOSE(WEEKDAY(A3465,2),"Mon","Tue","Wed","Thu","Fri","Sat","Sun")</f>
        <v>Sat</v>
      </c>
      <c r="H3465" t="str">
        <f>IF(WEEKDAY(A3465,2)&gt;5,"Weekend","Weekday")</f>
        <v>Weekend</v>
      </c>
      <c r="I3465" t="str">
        <f>_xlfn.IFS(B3465&lt;=5,"Night (0-5)",B3465&lt;=9,"Morning peak (6-9)",B3465&lt;=15,"Midday (10-15)",B3465&lt;=19,"Evening peak (16-19)",TRUE,"Late evening (20-23)")</f>
        <v>Morning peak (6-9)</v>
      </c>
    </row>
    <row r="3466" spans="1:9">
      <c r="A3466" s="32">
        <v>41874</v>
      </c>
      <c r="B3466">
        <v>8</v>
      </c>
      <c r="C3466">
        <v>677</v>
      </c>
      <c r="D3466" t="s">
        <v>303</v>
      </c>
      <c r="E3466">
        <f>YEAR(A3466)</f>
        <v>2014</v>
      </c>
      <c r="F3466" s="33">
        <f>DATE(YEAR(A3466),MONTH(A3466),1)</f>
        <v>41852.0</v>
      </c>
      <c r="G3466" t="str">
        <f>CHOOSE(WEEKDAY(A3466,2),"Mon","Tue","Wed","Thu","Fri","Sat","Sun")</f>
        <v>Sat</v>
      </c>
      <c r="H3466" t="str">
        <f>IF(WEEKDAY(A3466,2)&gt;5,"Weekend","Weekday")</f>
        <v>Weekend</v>
      </c>
      <c r="I3466" t="str">
        <f>_xlfn.IFS(B3466&lt;=5,"Night (0-5)",B3466&lt;=9,"Morning peak (6-9)",B3466&lt;=15,"Midday (10-15)",B3466&lt;=19,"Evening peak (16-19)",TRUE,"Late evening (20-23)")</f>
        <v>Morning peak (6-9)</v>
      </c>
    </row>
    <row r="3467" spans="1:9">
      <c r="A3467" s="32">
        <v>41874</v>
      </c>
      <c r="B3467">
        <v>9</v>
      </c>
      <c r="C3467">
        <v>798</v>
      </c>
      <c r="D3467" t="s">
        <v>303</v>
      </c>
      <c r="E3467">
        <f>YEAR(A3467)</f>
        <v>2014</v>
      </c>
      <c r="F3467" s="33">
        <f>DATE(YEAR(A3467),MONTH(A3467),1)</f>
        <v>41852.0</v>
      </c>
      <c r="G3467" t="str">
        <f>CHOOSE(WEEKDAY(A3467,2),"Mon","Tue","Wed","Thu","Fri","Sat","Sun")</f>
        <v>Sat</v>
      </c>
      <c r="H3467" t="str">
        <f>IF(WEEKDAY(A3467,2)&gt;5,"Weekend","Weekday")</f>
        <v>Weekend</v>
      </c>
      <c r="I3467" t="str">
        <f>_xlfn.IFS(B3467&lt;=5,"Night (0-5)",B3467&lt;=9,"Morning peak (6-9)",B3467&lt;=15,"Midday (10-15)",B3467&lt;=19,"Evening peak (16-19)",TRUE,"Late evening (20-23)")</f>
        <v>Morning peak (6-9)</v>
      </c>
    </row>
    <row r="3468" spans="1:9">
      <c r="A3468" s="32">
        <v>41874</v>
      </c>
      <c r="B3468">
        <v>10</v>
      </c>
      <c r="C3468">
        <v>906</v>
      </c>
      <c r="D3468" t="s">
        <v>303</v>
      </c>
      <c r="E3468">
        <f>YEAR(A3468)</f>
        <v>2014</v>
      </c>
      <c r="F3468" s="33">
        <f>DATE(YEAR(A3468),MONTH(A3468),1)</f>
        <v>41852.0</v>
      </c>
      <c r="G3468" t="str">
        <f>CHOOSE(WEEKDAY(A3468,2),"Mon","Tue","Wed","Thu","Fri","Sat","Sun")</f>
        <v>Sat</v>
      </c>
      <c r="H3468" t="str">
        <f>IF(WEEKDAY(A3468,2)&gt;5,"Weekend","Weekday")</f>
        <v>Weekend</v>
      </c>
      <c r="I3468" t="str">
        <f>_xlfn.IFS(B3468&lt;=5,"Night (0-5)",B3468&lt;=9,"Morning peak (6-9)",B3468&lt;=15,"Midday (10-15)",B3468&lt;=19,"Evening peak (16-19)",TRUE,"Late evening (20-23)")</f>
        <v>Midday (10-15)</v>
      </c>
    </row>
    <row r="3469" spans="1:9">
      <c r="A3469" s="32">
        <v>41874</v>
      </c>
      <c r="B3469">
        <v>11</v>
      </c>
      <c r="C3469">
        <v>1027</v>
      </c>
      <c r="D3469" t="s">
        <v>303</v>
      </c>
      <c r="E3469">
        <f>YEAR(A3469)</f>
        <v>2014</v>
      </c>
      <c r="F3469" s="33">
        <f>DATE(YEAR(A3469),MONTH(A3469),1)</f>
        <v>41852.0</v>
      </c>
      <c r="G3469" t="str">
        <f>CHOOSE(WEEKDAY(A3469,2),"Mon","Tue","Wed","Thu","Fri","Sat","Sun")</f>
        <v>Sat</v>
      </c>
      <c r="H3469" t="str">
        <f>IF(WEEKDAY(A3469,2)&gt;5,"Weekend","Weekday")</f>
        <v>Weekend</v>
      </c>
      <c r="I3469" t="str">
        <f>_xlfn.IFS(B3469&lt;=5,"Night (0-5)",B3469&lt;=9,"Morning peak (6-9)",B3469&lt;=15,"Midday (10-15)",B3469&lt;=19,"Evening peak (16-19)",TRUE,"Late evening (20-23)")</f>
        <v>Midday (10-15)</v>
      </c>
    </row>
    <row r="3470" spans="1:9">
      <c r="A3470" s="32">
        <v>41874</v>
      </c>
      <c r="B3470">
        <v>12</v>
      </c>
      <c r="C3470">
        <v>1062</v>
      </c>
      <c r="D3470" t="s">
        <v>303</v>
      </c>
      <c r="E3470">
        <f>YEAR(A3470)</f>
        <v>2014</v>
      </c>
      <c r="F3470" s="33">
        <f>DATE(YEAR(A3470),MONTH(A3470),1)</f>
        <v>41852.0</v>
      </c>
      <c r="G3470" t="str">
        <f>CHOOSE(WEEKDAY(A3470,2),"Mon","Tue","Wed","Thu","Fri","Sat","Sun")</f>
        <v>Sat</v>
      </c>
      <c r="H3470" t="str">
        <f>IF(WEEKDAY(A3470,2)&gt;5,"Weekend","Weekday")</f>
        <v>Weekend</v>
      </c>
      <c r="I3470" t="str">
        <f>_xlfn.IFS(B3470&lt;=5,"Night (0-5)",B3470&lt;=9,"Morning peak (6-9)",B3470&lt;=15,"Midday (10-15)",B3470&lt;=19,"Evening peak (16-19)",TRUE,"Late evening (20-23)")</f>
        <v>Midday (10-15)</v>
      </c>
    </row>
    <row r="3471" spans="1:9">
      <c r="A3471" s="32">
        <v>41874</v>
      </c>
      <c r="B3471">
        <v>13</v>
      </c>
      <c r="C3471">
        <v>1116</v>
      </c>
      <c r="D3471" t="s">
        <v>303</v>
      </c>
      <c r="E3471">
        <f>YEAR(A3471)</f>
        <v>2014</v>
      </c>
      <c r="F3471" s="33">
        <f>DATE(YEAR(A3471),MONTH(A3471),1)</f>
        <v>41852.0</v>
      </c>
      <c r="G3471" t="str">
        <f>CHOOSE(WEEKDAY(A3471,2),"Mon","Tue","Wed","Thu","Fri","Sat","Sun")</f>
        <v>Sat</v>
      </c>
      <c r="H3471" t="str">
        <f>IF(WEEKDAY(A3471,2)&gt;5,"Weekend","Weekday")</f>
        <v>Weekend</v>
      </c>
      <c r="I3471" t="str">
        <f>_xlfn.IFS(B3471&lt;=5,"Night (0-5)",B3471&lt;=9,"Morning peak (6-9)",B3471&lt;=15,"Midday (10-15)",B3471&lt;=19,"Evening peak (16-19)",TRUE,"Late evening (20-23)")</f>
        <v>Midday (10-15)</v>
      </c>
    </row>
    <row r="3472" spans="1:9">
      <c r="A3472" s="32">
        <v>41874</v>
      </c>
      <c r="B3472">
        <v>14</v>
      </c>
      <c r="C3472">
        <v>1261</v>
      </c>
      <c r="D3472" t="s">
        <v>303</v>
      </c>
      <c r="E3472">
        <f>YEAR(A3472)</f>
        <v>2014</v>
      </c>
      <c r="F3472" s="33">
        <f>DATE(YEAR(A3472),MONTH(A3472),1)</f>
        <v>41852.0</v>
      </c>
      <c r="G3472" t="str">
        <f>CHOOSE(WEEKDAY(A3472,2),"Mon","Tue","Wed","Thu","Fri","Sat","Sun")</f>
        <v>Sat</v>
      </c>
      <c r="H3472" t="str">
        <f>IF(WEEKDAY(A3472,2)&gt;5,"Weekend","Weekday")</f>
        <v>Weekend</v>
      </c>
      <c r="I3472" t="str">
        <f>_xlfn.IFS(B3472&lt;=5,"Night (0-5)",B3472&lt;=9,"Morning peak (6-9)",B3472&lt;=15,"Midday (10-15)",B3472&lt;=19,"Evening peak (16-19)",TRUE,"Late evening (20-23)")</f>
        <v>Midday (10-15)</v>
      </c>
    </row>
    <row r="3473" spans="1:9">
      <c r="A3473" s="32">
        <v>41874</v>
      </c>
      <c r="B3473">
        <v>15</v>
      </c>
      <c r="C3473">
        <v>1574</v>
      </c>
      <c r="D3473" t="s">
        <v>303</v>
      </c>
      <c r="E3473">
        <f>YEAR(A3473)</f>
        <v>2014</v>
      </c>
      <c r="F3473" s="33">
        <f>DATE(YEAR(A3473),MONTH(A3473),1)</f>
        <v>41852.0</v>
      </c>
      <c r="G3473" t="str">
        <f>CHOOSE(WEEKDAY(A3473,2),"Mon","Tue","Wed","Thu","Fri","Sat","Sun")</f>
        <v>Sat</v>
      </c>
      <c r="H3473" t="str">
        <f>IF(WEEKDAY(A3473,2)&gt;5,"Weekend","Weekday")</f>
        <v>Weekend</v>
      </c>
      <c r="I3473" t="str">
        <f>_xlfn.IFS(B3473&lt;=5,"Night (0-5)",B3473&lt;=9,"Morning peak (6-9)",B3473&lt;=15,"Midday (10-15)",B3473&lt;=19,"Evening peak (16-19)",TRUE,"Late evening (20-23)")</f>
        <v>Midday (10-15)</v>
      </c>
    </row>
    <row r="3474" spans="1:9">
      <c r="A3474" s="32">
        <v>41874</v>
      </c>
      <c r="B3474">
        <v>16</v>
      </c>
      <c r="C3474">
        <v>1565</v>
      </c>
      <c r="D3474" t="s">
        <v>303</v>
      </c>
      <c r="E3474">
        <f>YEAR(A3474)</f>
        <v>2014</v>
      </c>
      <c r="F3474" s="33">
        <f>DATE(YEAR(A3474),MONTH(A3474),1)</f>
        <v>41852.0</v>
      </c>
      <c r="G3474" t="str">
        <f>CHOOSE(WEEKDAY(A3474,2),"Mon","Tue","Wed","Thu","Fri","Sat","Sun")</f>
        <v>Sat</v>
      </c>
      <c r="H3474" t="str">
        <f>IF(WEEKDAY(A3474,2)&gt;5,"Weekend","Weekday")</f>
        <v>Weekend</v>
      </c>
      <c r="I3474" t="str">
        <f>_xlfn.IFS(B3474&lt;=5,"Night (0-5)",B3474&lt;=9,"Morning peak (6-9)",B3474&lt;=15,"Midday (10-15)",B3474&lt;=19,"Evening peak (16-19)",TRUE,"Late evening (20-23)")</f>
        <v>Evening peak (16-19)</v>
      </c>
    </row>
    <row r="3475" spans="1:9">
      <c r="A3475" s="32">
        <v>41874</v>
      </c>
      <c r="B3475">
        <v>17</v>
      </c>
      <c r="C3475">
        <v>1595</v>
      </c>
      <c r="D3475" t="s">
        <v>303</v>
      </c>
      <c r="E3475">
        <f>YEAR(A3475)</f>
        <v>2014</v>
      </c>
      <c r="F3475" s="33">
        <f>DATE(YEAR(A3475),MONTH(A3475),1)</f>
        <v>41852.0</v>
      </c>
      <c r="G3475" t="str">
        <f>CHOOSE(WEEKDAY(A3475,2),"Mon","Tue","Wed","Thu","Fri","Sat","Sun")</f>
        <v>Sat</v>
      </c>
      <c r="H3475" t="str">
        <f>IF(WEEKDAY(A3475,2)&gt;5,"Weekend","Weekday")</f>
        <v>Weekend</v>
      </c>
      <c r="I3475" t="str">
        <f>_xlfn.IFS(B3475&lt;=5,"Night (0-5)",B3475&lt;=9,"Morning peak (6-9)",B3475&lt;=15,"Midday (10-15)",B3475&lt;=19,"Evening peak (16-19)",TRUE,"Late evening (20-23)")</f>
        <v>Evening peak (16-19)</v>
      </c>
    </row>
    <row r="3476" spans="1:9">
      <c r="A3476" s="32">
        <v>41874</v>
      </c>
      <c r="B3476">
        <v>18</v>
      </c>
      <c r="C3476">
        <v>1792</v>
      </c>
      <c r="D3476" t="s">
        <v>303</v>
      </c>
      <c r="E3476">
        <f>YEAR(A3476)</f>
        <v>2014</v>
      </c>
      <c r="F3476" s="33">
        <f>DATE(YEAR(A3476),MONTH(A3476),1)</f>
        <v>41852.0</v>
      </c>
      <c r="G3476" t="str">
        <f>CHOOSE(WEEKDAY(A3476,2),"Mon","Tue","Wed","Thu","Fri","Sat","Sun")</f>
        <v>Sat</v>
      </c>
      <c r="H3476" t="str">
        <f>IF(WEEKDAY(A3476,2)&gt;5,"Weekend","Weekday")</f>
        <v>Weekend</v>
      </c>
      <c r="I3476" t="str">
        <f>_xlfn.IFS(B3476&lt;=5,"Night (0-5)",B3476&lt;=9,"Morning peak (6-9)",B3476&lt;=15,"Midday (10-15)",B3476&lt;=19,"Evening peak (16-19)",TRUE,"Late evening (20-23)")</f>
        <v>Evening peak (16-19)</v>
      </c>
    </row>
    <row r="3477" spans="1:9">
      <c r="A3477" s="32">
        <v>41874</v>
      </c>
      <c r="B3477">
        <v>19</v>
      </c>
      <c r="C3477">
        <v>1971</v>
      </c>
      <c r="D3477" t="s">
        <v>303</v>
      </c>
      <c r="E3477">
        <f>YEAR(A3477)</f>
        <v>2014</v>
      </c>
      <c r="F3477" s="33">
        <f>DATE(YEAR(A3477),MONTH(A3477),1)</f>
        <v>41852.0</v>
      </c>
      <c r="G3477" t="str">
        <f>CHOOSE(WEEKDAY(A3477,2),"Mon","Tue","Wed","Thu","Fri","Sat","Sun")</f>
        <v>Sat</v>
      </c>
      <c r="H3477" t="str">
        <f>IF(WEEKDAY(A3477,2)&gt;5,"Weekend","Weekday")</f>
        <v>Weekend</v>
      </c>
      <c r="I3477" t="str">
        <f>_xlfn.IFS(B3477&lt;=5,"Night (0-5)",B3477&lt;=9,"Morning peak (6-9)",B3477&lt;=15,"Midday (10-15)",B3477&lt;=19,"Evening peak (16-19)",TRUE,"Late evening (20-23)")</f>
        <v>Evening peak (16-19)</v>
      </c>
    </row>
    <row r="3478" spans="1:9">
      <c r="A3478" s="32">
        <v>41874</v>
      </c>
      <c r="B3478">
        <v>20</v>
      </c>
      <c r="C3478">
        <v>1731</v>
      </c>
      <c r="D3478" t="s">
        <v>303</v>
      </c>
      <c r="E3478">
        <f>YEAR(A3478)</f>
        <v>2014</v>
      </c>
      <c r="F3478" s="33">
        <f>DATE(YEAR(A3478),MONTH(A3478),1)</f>
        <v>41852.0</v>
      </c>
      <c r="G3478" t="str">
        <f>CHOOSE(WEEKDAY(A3478,2),"Mon","Tue","Wed","Thu","Fri","Sat","Sun")</f>
        <v>Sat</v>
      </c>
      <c r="H3478" t="str">
        <f>IF(WEEKDAY(A3478,2)&gt;5,"Weekend","Weekday")</f>
        <v>Weekend</v>
      </c>
      <c r="I3478" t="str">
        <f>_xlfn.IFS(B3478&lt;=5,"Night (0-5)",B3478&lt;=9,"Morning peak (6-9)",B3478&lt;=15,"Midday (10-15)",B3478&lt;=19,"Evening peak (16-19)",TRUE,"Late evening (20-23)")</f>
        <v>Late evening (20-23)</v>
      </c>
    </row>
    <row r="3479" spans="1:9">
      <c r="A3479" s="32">
        <v>41874</v>
      </c>
      <c r="B3479">
        <v>21</v>
      </c>
      <c r="C3479">
        <v>1820</v>
      </c>
      <c r="D3479" t="s">
        <v>303</v>
      </c>
      <c r="E3479">
        <f>YEAR(A3479)</f>
        <v>2014</v>
      </c>
      <c r="F3479" s="33">
        <f>DATE(YEAR(A3479),MONTH(A3479),1)</f>
        <v>41852.0</v>
      </c>
      <c r="G3479" t="str">
        <f>CHOOSE(WEEKDAY(A3479,2),"Mon","Tue","Wed","Thu","Fri","Sat","Sun")</f>
        <v>Sat</v>
      </c>
      <c r="H3479" t="str">
        <f>IF(WEEKDAY(A3479,2)&gt;5,"Weekend","Weekday")</f>
        <v>Weekend</v>
      </c>
      <c r="I3479" t="str">
        <f>_xlfn.IFS(B3479&lt;=5,"Night (0-5)",B3479&lt;=9,"Morning peak (6-9)",B3479&lt;=15,"Midday (10-15)",B3479&lt;=19,"Evening peak (16-19)",TRUE,"Late evening (20-23)")</f>
        <v>Late evening (20-23)</v>
      </c>
    </row>
    <row r="3480" spans="1:9">
      <c r="A3480" s="32">
        <v>41874</v>
      </c>
      <c r="B3480">
        <v>22</v>
      </c>
      <c r="C3480">
        <v>1952</v>
      </c>
      <c r="D3480" t="s">
        <v>303</v>
      </c>
      <c r="E3480">
        <f>YEAR(A3480)</f>
        <v>2014</v>
      </c>
      <c r="F3480" s="33">
        <f>DATE(YEAR(A3480),MONTH(A3480),1)</f>
        <v>41852.0</v>
      </c>
      <c r="G3480" t="str">
        <f>CHOOSE(WEEKDAY(A3480,2),"Mon","Tue","Wed","Thu","Fri","Sat","Sun")</f>
        <v>Sat</v>
      </c>
      <c r="H3480" t="str">
        <f>IF(WEEKDAY(A3480,2)&gt;5,"Weekend","Weekday")</f>
        <v>Weekend</v>
      </c>
      <c r="I3480" t="str">
        <f>_xlfn.IFS(B3480&lt;=5,"Night (0-5)",B3480&lt;=9,"Morning peak (6-9)",B3480&lt;=15,"Midday (10-15)",B3480&lt;=19,"Evening peak (16-19)",TRUE,"Late evening (20-23)")</f>
        <v>Late evening (20-23)</v>
      </c>
    </row>
    <row r="3481" spans="1:9">
      <c r="A3481" s="32">
        <v>41874</v>
      </c>
      <c r="B3481">
        <v>23</v>
      </c>
      <c r="C3481">
        <v>1676</v>
      </c>
      <c r="D3481" t="s">
        <v>303</v>
      </c>
      <c r="E3481">
        <f>YEAR(A3481)</f>
        <v>2014</v>
      </c>
      <c r="F3481" s="33">
        <f>DATE(YEAR(A3481),MONTH(A3481),1)</f>
        <v>41852.0</v>
      </c>
      <c r="G3481" t="str">
        <f>CHOOSE(WEEKDAY(A3481,2),"Mon","Tue","Wed","Thu","Fri","Sat","Sun")</f>
        <v>Sat</v>
      </c>
      <c r="H3481" t="str">
        <f>IF(WEEKDAY(A3481,2)&gt;5,"Weekend","Weekday")</f>
        <v>Weekend</v>
      </c>
      <c r="I3481" t="str">
        <f>_xlfn.IFS(B3481&lt;=5,"Night (0-5)",B3481&lt;=9,"Morning peak (6-9)",B3481&lt;=15,"Midday (10-15)",B3481&lt;=19,"Evening peak (16-19)",TRUE,"Late evening (20-23)")</f>
        <v>Late evening (20-23)</v>
      </c>
    </row>
    <row r="3482" spans="1:9">
      <c r="A3482" s="32">
        <v>41875</v>
      </c>
      <c r="B3482">
        <v>0</v>
      </c>
      <c r="C3482">
        <v>1354</v>
      </c>
      <c r="D3482" t="s">
        <v>303</v>
      </c>
      <c r="E3482">
        <f>YEAR(A3482)</f>
        <v>2014</v>
      </c>
      <c r="F3482" s="33">
        <f>DATE(YEAR(A3482),MONTH(A3482),1)</f>
        <v>41852.0</v>
      </c>
      <c r="G3482" t="str">
        <f>CHOOSE(WEEKDAY(A3482,2),"Mon","Tue","Wed","Thu","Fri","Sat","Sun")</f>
        <v>Sun</v>
      </c>
      <c r="H3482" t="str">
        <f>IF(WEEKDAY(A3482,2)&gt;5,"Weekend","Weekday")</f>
        <v>Weekend</v>
      </c>
      <c r="I3482" t="str">
        <f>_xlfn.IFS(B3482&lt;=5,"Night (0-5)",B3482&lt;=9,"Morning peak (6-9)",B3482&lt;=15,"Midday (10-15)",B3482&lt;=19,"Evening peak (16-19)",TRUE,"Late evening (20-23)")</f>
        <v>Night (0-5)</v>
      </c>
    </row>
    <row r="3483" spans="1:9">
      <c r="A3483" s="32">
        <v>41875</v>
      </c>
      <c r="B3483">
        <v>1</v>
      </c>
      <c r="C3483">
        <v>1035</v>
      </c>
      <c r="D3483" t="s">
        <v>303</v>
      </c>
      <c r="E3483">
        <f>YEAR(A3483)</f>
        <v>2014</v>
      </c>
      <c r="F3483" s="33">
        <f>DATE(YEAR(A3483),MONTH(A3483),1)</f>
        <v>41852.0</v>
      </c>
      <c r="G3483" t="str">
        <f>CHOOSE(WEEKDAY(A3483,2),"Mon","Tue","Wed","Thu","Fri","Sat","Sun")</f>
        <v>Sun</v>
      </c>
      <c r="H3483" t="str">
        <f>IF(WEEKDAY(A3483,2)&gt;5,"Weekend","Weekday")</f>
        <v>Weekend</v>
      </c>
      <c r="I3483" t="str">
        <f>_xlfn.IFS(B3483&lt;=5,"Night (0-5)",B3483&lt;=9,"Morning peak (6-9)",B3483&lt;=15,"Midday (10-15)",B3483&lt;=19,"Evening peak (16-19)",TRUE,"Late evening (20-23)")</f>
        <v>Night (0-5)</v>
      </c>
    </row>
    <row r="3484" spans="1:9">
      <c r="A3484" s="32">
        <v>41875</v>
      </c>
      <c r="B3484">
        <v>2</v>
      </c>
      <c r="C3484">
        <v>736</v>
      </c>
      <c r="D3484" t="s">
        <v>303</v>
      </c>
      <c r="E3484">
        <f>YEAR(A3484)</f>
        <v>2014</v>
      </c>
      <c r="F3484" s="33">
        <f>DATE(YEAR(A3484),MONTH(A3484),1)</f>
        <v>41852.0</v>
      </c>
      <c r="G3484" t="str">
        <f>CHOOSE(WEEKDAY(A3484,2),"Mon","Tue","Wed","Thu","Fri","Sat","Sun")</f>
        <v>Sun</v>
      </c>
      <c r="H3484" t="str">
        <f>IF(WEEKDAY(A3484,2)&gt;5,"Weekend","Weekday")</f>
        <v>Weekend</v>
      </c>
      <c r="I3484" t="str">
        <f>_xlfn.IFS(B3484&lt;=5,"Night (0-5)",B3484&lt;=9,"Morning peak (6-9)",B3484&lt;=15,"Midday (10-15)",B3484&lt;=19,"Evening peak (16-19)",TRUE,"Late evening (20-23)")</f>
        <v>Night (0-5)</v>
      </c>
    </row>
    <row r="3485" spans="1:9">
      <c r="A3485" s="32">
        <v>41875</v>
      </c>
      <c r="B3485">
        <v>3</v>
      </c>
      <c r="C3485">
        <v>477</v>
      </c>
      <c r="D3485" t="s">
        <v>303</v>
      </c>
      <c r="E3485">
        <f>YEAR(A3485)</f>
        <v>2014</v>
      </c>
      <c r="F3485" s="33">
        <f>DATE(YEAR(A3485),MONTH(A3485),1)</f>
        <v>41852.0</v>
      </c>
      <c r="G3485" t="str">
        <f>CHOOSE(WEEKDAY(A3485,2),"Mon","Tue","Wed","Thu","Fri","Sat","Sun")</f>
        <v>Sun</v>
      </c>
      <c r="H3485" t="str">
        <f>IF(WEEKDAY(A3485,2)&gt;5,"Weekend","Weekday")</f>
        <v>Weekend</v>
      </c>
      <c r="I3485" t="str">
        <f>_xlfn.IFS(B3485&lt;=5,"Night (0-5)",B3485&lt;=9,"Morning peak (6-9)",B3485&lt;=15,"Midday (10-15)",B3485&lt;=19,"Evening peak (16-19)",TRUE,"Late evening (20-23)")</f>
        <v>Night (0-5)</v>
      </c>
    </row>
    <row r="3486" spans="1:9">
      <c r="A3486" s="32">
        <v>41875</v>
      </c>
      <c r="B3486">
        <v>4</v>
      </c>
      <c r="C3486">
        <v>338</v>
      </c>
      <c r="D3486" t="s">
        <v>303</v>
      </c>
      <c r="E3486">
        <f>YEAR(A3486)</f>
        <v>2014</v>
      </c>
      <c r="F3486" s="33">
        <f>DATE(YEAR(A3486),MONTH(A3486),1)</f>
        <v>41852.0</v>
      </c>
      <c r="G3486" t="str">
        <f>CHOOSE(WEEKDAY(A3486,2),"Mon","Tue","Wed","Thu","Fri","Sat","Sun")</f>
        <v>Sun</v>
      </c>
      <c r="H3486" t="str">
        <f>IF(WEEKDAY(A3486,2)&gt;5,"Weekend","Weekday")</f>
        <v>Weekend</v>
      </c>
      <c r="I3486" t="str">
        <f>_xlfn.IFS(B3486&lt;=5,"Night (0-5)",B3486&lt;=9,"Morning peak (6-9)",B3486&lt;=15,"Midday (10-15)",B3486&lt;=19,"Evening peak (16-19)",TRUE,"Late evening (20-23)")</f>
        <v>Night (0-5)</v>
      </c>
    </row>
    <row r="3487" spans="1:9">
      <c r="A3487" s="32">
        <v>41875</v>
      </c>
      <c r="B3487">
        <v>5</v>
      </c>
      <c r="C3487">
        <v>304</v>
      </c>
      <c r="D3487" t="s">
        <v>303</v>
      </c>
      <c r="E3487">
        <f>YEAR(A3487)</f>
        <v>2014</v>
      </c>
      <c r="F3487" s="33">
        <f>DATE(YEAR(A3487),MONTH(A3487),1)</f>
        <v>41852.0</v>
      </c>
      <c r="G3487" t="str">
        <f>CHOOSE(WEEKDAY(A3487,2),"Mon","Tue","Wed","Thu","Fri","Sat","Sun")</f>
        <v>Sun</v>
      </c>
      <c r="H3487" t="str">
        <f>IF(WEEKDAY(A3487,2)&gt;5,"Weekend","Weekday")</f>
        <v>Weekend</v>
      </c>
      <c r="I3487" t="str">
        <f>_xlfn.IFS(B3487&lt;=5,"Night (0-5)",B3487&lt;=9,"Morning peak (6-9)",B3487&lt;=15,"Midday (10-15)",B3487&lt;=19,"Evening peak (16-19)",TRUE,"Late evening (20-23)")</f>
        <v>Night (0-5)</v>
      </c>
    </row>
    <row r="3488" spans="1:9">
      <c r="A3488" s="32">
        <v>41875</v>
      </c>
      <c r="B3488">
        <v>6</v>
      </c>
      <c r="C3488">
        <v>350</v>
      </c>
      <c r="D3488" t="s">
        <v>303</v>
      </c>
      <c r="E3488">
        <f>YEAR(A3488)</f>
        <v>2014</v>
      </c>
      <c r="F3488" s="33">
        <f>DATE(YEAR(A3488),MONTH(A3488),1)</f>
        <v>41852.0</v>
      </c>
      <c r="G3488" t="str">
        <f>CHOOSE(WEEKDAY(A3488,2),"Mon","Tue","Wed","Thu","Fri","Sat","Sun")</f>
        <v>Sun</v>
      </c>
      <c r="H3488" t="str">
        <f>IF(WEEKDAY(A3488,2)&gt;5,"Weekend","Weekday")</f>
        <v>Weekend</v>
      </c>
      <c r="I3488" t="str">
        <f>_xlfn.IFS(B3488&lt;=5,"Night (0-5)",B3488&lt;=9,"Morning peak (6-9)",B3488&lt;=15,"Midday (10-15)",B3488&lt;=19,"Evening peak (16-19)",TRUE,"Late evening (20-23)")</f>
        <v>Morning peak (6-9)</v>
      </c>
    </row>
    <row r="3489" spans="1:9">
      <c r="A3489" s="32">
        <v>41875</v>
      </c>
      <c r="B3489">
        <v>7</v>
      </c>
      <c r="C3489">
        <v>456</v>
      </c>
      <c r="D3489" t="s">
        <v>303</v>
      </c>
      <c r="E3489">
        <f>YEAR(A3489)</f>
        <v>2014</v>
      </c>
      <c r="F3489" s="33">
        <f>DATE(YEAR(A3489),MONTH(A3489),1)</f>
        <v>41852.0</v>
      </c>
      <c r="G3489" t="str">
        <f>CHOOSE(WEEKDAY(A3489,2),"Mon","Tue","Wed","Thu","Fri","Sat","Sun")</f>
        <v>Sun</v>
      </c>
      <c r="H3489" t="str">
        <f>IF(WEEKDAY(A3489,2)&gt;5,"Weekend","Weekday")</f>
        <v>Weekend</v>
      </c>
      <c r="I3489" t="str">
        <f>_xlfn.IFS(B3489&lt;=5,"Night (0-5)",B3489&lt;=9,"Morning peak (6-9)",B3489&lt;=15,"Midday (10-15)",B3489&lt;=19,"Evening peak (16-19)",TRUE,"Late evening (20-23)")</f>
        <v>Morning peak (6-9)</v>
      </c>
    </row>
    <row r="3490" spans="1:9">
      <c r="A3490" s="32">
        <v>41875</v>
      </c>
      <c r="B3490">
        <v>8</v>
      </c>
      <c r="C3490">
        <v>622</v>
      </c>
      <c r="D3490" t="s">
        <v>303</v>
      </c>
      <c r="E3490">
        <f>YEAR(A3490)</f>
        <v>2014</v>
      </c>
      <c r="F3490" s="33">
        <f>DATE(YEAR(A3490),MONTH(A3490),1)</f>
        <v>41852.0</v>
      </c>
      <c r="G3490" t="str">
        <f>CHOOSE(WEEKDAY(A3490,2),"Mon","Tue","Wed","Thu","Fri","Sat","Sun")</f>
        <v>Sun</v>
      </c>
      <c r="H3490" t="str">
        <f>IF(WEEKDAY(A3490,2)&gt;5,"Weekend","Weekday")</f>
        <v>Weekend</v>
      </c>
      <c r="I3490" t="str">
        <f>_xlfn.IFS(B3490&lt;=5,"Night (0-5)",B3490&lt;=9,"Morning peak (6-9)",B3490&lt;=15,"Midday (10-15)",B3490&lt;=19,"Evening peak (16-19)",TRUE,"Late evening (20-23)")</f>
        <v>Morning peak (6-9)</v>
      </c>
    </row>
    <row r="3491" spans="1:9">
      <c r="A3491" s="32">
        <v>41875</v>
      </c>
      <c r="B3491">
        <v>9</v>
      </c>
      <c r="C3491">
        <v>792</v>
      </c>
      <c r="D3491" t="s">
        <v>303</v>
      </c>
      <c r="E3491">
        <f>YEAR(A3491)</f>
        <v>2014</v>
      </c>
      <c r="F3491" s="33">
        <f>DATE(YEAR(A3491),MONTH(A3491),1)</f>
        <v>41852.0</v>
      </c>
      <c r="G3491" t="str">
        <f>CHOOSE(WEEKDAY(A3491,2),"Mon","Tue","Wed","Thu","Fri","Sat","Sun")</f>
        <v>Sun</v>
      </c>
      <c r="H3491" t="str">
        <f>IF(WEEKDAY(A3491,2)&gt;5,"Weekend","Weekday")</f>
        <v>Weekend</v>
      </c>
      <c r="I3491" t="str">
        <f>_xlfn.IFS(B3491&lt;=5,"Night (0-5)",B3491&lt;=9,"Morning peak (6-9)",B3491&lt;=15,"Midday (10-15)",B3491&lt;=19,"Evening peak (16-19)",TRUE,"Late evening (20-23)")</f>
        <v>Morning peak (6-9)</v>
      </c>
    </row>
    <row r="3492" spans="1:9">
      <c r="A3492" s="32">
        <v>41875</v>
      </c>
      <c r="B3492">
        <v>10</v>
      </c>
      <c r="C3492">
        <v>924</v>
      </c>
      <c r="D3492" t="s">
        <v>303</v>
      </c>
      <c r="E3492">
        <f>YEAR(A3492)</f>
        <v>2014</v>
      </c>
      <c r="F3492" s="33">
        <f>DATE(YEAR(A3492),MONTH(A3492),1)</f>
        <v>41852.0</v>
      </c>
      <c r="G3492" t="str">
        <f>CHOOSE(WEEKDAY(A3492,2),"Mon","Tue","Wed","Thu","Fri","Sat","Sun")</f>
        <v>Sun</v>
      </c>
      <c r="H3492" t="str">
        <f>IF(WEEKDAY(A3492,2)&gt;5,"Weekend","Weekday")</f>
        <v>Weekend</v>
      </c>
      <c r="I3492" t="str">
        <f>_xlfn.IFS(B3492&lt;=5,"Night (0-5)",B3492&lt;=9,"Morning peak (6-9)",B3492&lt;=15,"Midday (10-15)",B3492&lt;=19,"Evening peak (16-19)",TRUE,"Late evening (20-23)")</f>
        <v>Midday (10-15)</v>
      </c>
    </row>
    <row r="3493" spans="1:9">
      <c r="A3493" s="32">
        <v>41875</v>
      </c>
      <c r="B3493">
        <v>11</v>
      </c>
      <c r="C3493">
        <v>1011</v>
      </c>
      <c r="D3493" t="s">
        <v>303</v>
      </c>
      <c r="E3493">
        <f>YEAR(A3493)</f>
        <v>2014</v>
      </c>
      <c r="F3493" s="33">
        <f>DATE(YEAR(A3493),MONTH(A3493),1)</f>
        <v>41852.0</v>
      </c>
      <c r="G3493" t="str">
        <f>CHOOSE(WEEKDAY(A3493,2),"Mon","Tue","Wed","Thu","Fri","Sat","Sun")</f>
        <v>Sun</v>
      </c>
      <c r="H3493" t="str">
        <f>IF(WEEKDAY(A3493,2)&gt;5,"Weekend","Weekday")</f>
        <v>Weekend</v>
      </c>
      <c r="I3493" t="str">
        <f>_xlfn.IFS(B3493&lt;=5,"Night (0-5)",B3493&lt;=9,"Morning peak (6-9)",B3493&lt;=15,"Midday (10-15)",B3493&lt;=19,"Evening peak (16-19)",TRUE,"Late evening (20-23)")</f>
        <v>Midday (10-15)</v>
      </c>
    </row>
    <row r="3494" spans="1:9">
      <c r="A3494" s="32">
        <v>41875</v>
      </c>
      <c r="B3494">
        <v>12</v>
      </c>
      <c r="C3494">
        <v>1024</v>
      </c>
      <c r="D3494" t="s">
        <v>303</v>
      </c>
      <c r="E3494">
        <f>YEAR(A3494)</f>
        <v>2014</v>
      </c>
      <c r="F3494" s="33">
        <f>DATE(YEAR(A3494),MONTH(A3494),1)</f>
        <v>41852.0</v>
      </c>
      <c r="G3494" t="str">
        <f>CHOOSE(WEEKDAY(A3494,2),"Mon","Tue","Wed","Thu","Fri","Sat","Sun")</f>
        <v>Sun</v>
      </c>
      <c r="H3494" t="str">
        <f>IF(WEEKDAY(A3494,2)&gt;5,"Weekend","Weekday")</f>
        <v>Weekend</v>
      </c>
      <c r="I3494" t="str">
        <f>_xlfn.IFS(B3494&lt;=5,"Night (0-5)",B3494&lt;=9,"Morning peak (6-9)",B3494&lt;=15,"Midday (10-15)",B3494&lt;=19,"Evening peak (16-19)",TRUE,"Late evening (20-23)")</f>
        <v>Midday (10-15)</v>
      </c>
    </row>
    <row r="3495" spans="1:9">
      <c r="A3495" s="32">
        <v>41875</v>
      </c>
      <c r="B3495">
        <v>13</v>
      </c>
      <c r="C3495">
        <v>1144</v>
      </c>
      <c r="D3495" t="s">
        <v>303</v>
      </c>
      <c r="E3495">
        <f>YEAR(A3495)</f>
        <v>2014</v>
      </c>
      <c r="F3495" s="33">
        <f>DATE(YEAR(A3495),MONTH(A3495),1)</f>
        <v>41852.0</v>
      </c>
      <c r="G3495" t="str">
        <f>CHOOSE(WEEKDAY(A3495,2),"Mon","Tue","Wed","Thu","Fri","Sat","Sun")</f>
        <v>Sun</v>
      </c>
      <c r="H3495" t="str">
        <f>IF(WEEKDAY(A3495,2)&gt;5,"Weekend","Weekday")</f>
        <v>Weekend</v>
      </c>
      <c r="I3495" t="str">
        <f>_xlfn.IFS(B3495&lt;=5,"Night (0-5)",B3495&lt;=9,"Morning peak (6-9)",B3495&lt;=15,"Midday (10-15)",B3495&lt;=19,"Evening peak (16-19)",TRUE,"Late evening (20-23)")</f>
        <v>Midday (10-15)</v>
      </c>
    </row>
    <row r="3496" spans="1:9">
      <c r="A3496" s="32">
        <v>41875</v>
      </c>
      <c r="B3496">
        <v>14</v>
      </c>
      <c r="C3496">
        <v>1185</v>
      </c>
      <c r="D3496" t="s">
        <v>303</v>
      </c>
      <c r="E3496">
        <f>YEAR(A3496)</f>
        <v>2014</v>
      </c>
      <c r="F3496" s="33">
        <f>DATE(YEAR(A3496),MONTH(A3496),1)</f>
        <v>41852.0</v>
      </c>
      <c r="G3496" t="str">
        <f>CHOOSE(WEEKDAY(A3496,2),"Mon","Tue","Wed","Thu","Fri","Sat","Sun")</f>
        <v>Sun</v>
      </c>
      <c r="H3496" t="str">
        <f>IF(WEEKDAY(A3496,2)&gt;5,"Weekend","Weekday")</f>
        <v>Weekend</v>
      </c>
      <c r="I3496" t="str">
        <f>_xlfn.IFS(B3496&lt;=5,"Night (0-5)",B3496&lt;=9,"Morning peak (6-9)",B3496&lt;=15,"Midday (10-15)",B3496&lt;=19,"Evening peak (16-19)",TRUE,"Late evening (20-23)")</f>
        <v>Midday (10-15)</v>
      </c>
    </row>
    <row r="3497" spans="1:9">
      <c r="A3497" s="32">
        <v>41875</v>
      </c>
      <c r="B3497">
        <v>15</v>
      </c>
      <c r="C3497">
        <v>1340</v>
      </c>
      <c r="D3497" t="s">
        <v>303</v>
      </c>
      <c r="E3497">
        <f>YEAR(A3497)</f>
        <v>2014</v>
      </c>
      <c r="F3497" s="33">
        <f>DATE(YEAR(A3497),MONTH(A3497),1)</f>
        <v>41852.0</v>
      </c>
      <c r="G3497" t="str">
        <f>CHOOSE(WEEKDAY(A3497,2),"Mon","Tue","Wed","Thu","Fri","Sat","Sun")</f>
        <v>Sun</v>
      </c>
      <c r="H3497" t="str">
        <f>IF(WEEKDAY(A3497,2)&gt;5,"Weekend","Weekday")</f>
        <v>Weekend</v>
      </c>
      <c r="I3497" t="str">
        <f>_xlfn.IFS(B3497&lt;=5,"Night (0-5)",B3497&lt;=9,"Morning peak (6-9)",B3497&lt;=15,"Midday (10-15)",B3497&lt;=19,"Evening peak (16-19)",TRUE,"Late evening (20-23)")</f>
        <v>Midday (10-15)</v>
      </c>
    </row>
    <row r="3498" spans="1:9">
      <c r="A3498" s="32">
        <v>41875</v>
      </c>
      <c r="B3498">
        <v>16</v>
      </c>
      <c r="C3498">
        <v>1377</v>
      </c>
      <c r="D3498" t="s">
        <v>303</v>
      </c>
      <c r="E3498">
        <f>YEAR(A3498)</f>
        <v>2014</v>
      </c>
      <c r="F3498" s="33">
        <f>DATE(YEAR(A3498),MONTH(A3498),1)</f>
        <v>41852.0</v>
      </c>
      <c r="G3498" t="str">
        <f>CHOOSE(WEEKDAY(A3498,2),"Mon","Tue","Wed","Thu","Fri","Sat","Sun")</f>
        <v>Sun</v>
      </c>
      <c r="H3498" t="str">
        <f>IF(WEEKDAY(A3498,2)&gt;5,"Weekend","Weekday")</f>
        <v>Weekend</v>
      </c>
      <c r="I3498" t="str">
        <f>_xlfn.IFS(B3498&lt;=5,"Night (0-5)",B3498&lt;=9,"Morning peak (6-9)",B3498&lt;=15,"Midday (10-15)",B3498&lt;=19,"Evening peak (16-19)",TRUE,"Late evening (20-23)")</f>
        <v>Evening peak (16-19)</v>
      </c>
    </row>
    <row r="3499" spans="1:9">
      <c r="A3499" s="32">
        <v>41875</v>
      </c>
      <c r="B3499">
        <v>17</v>
      </c>
      <c r="C3499">
        <v>1403</v>
      </c>
      <c r="D3499" t="s">
        <v>303</v>
      </c>
      <c r="E3499">
        <f>YEAR(A3499)</f>
        <v>2014</v>
      </c>
      <c r="F3499" s="33">
        <f>DATE(YEAR(A3499),MONTH(A3499),1)</f>
        <v>41852.0</v>
      </c>
      <c r="G3499" t="str">
        <f>CHOOSE(WEEKDAY(A3499,2),"Mon","Tue","Wed","Thu","Fri","Sat","Sun")</f>
        <v>Sun</v>
      </c>
      <c r="H3499" t="str">
        <f>IF(WEEKDAY(A3499,2)&gt;5,"Weekend","Weekday")</f>
        <v>Weekend</v>
      </c>
      <c r="I3499" t="str">
        <f>_xlfn.IFS(B3499&lt;=5,"Night (0-5)",B3499&lt;=9,"Morning peak (6-9)",B3499&lt;=15,"Midday (10-15)",B3499&lt;=19,"Evening peak (16-19)",TRUE,"Late evening (20-23)")</f>
        <v>Evening peak (16-19)</v>
      </c>
    </row>
    <row r="3500" spans="1:9">
      <c r="A3500" s="32">
        <v>41875</v>
      </c>
      <c r="B3500">
        <v>18</v>
      </c>
      <c r="C3500">
        <v>1247</v>
      </c>
      <c r="D3500" t="s">
        <v>303</v>
      </c>
      <c r="E3500">
        <f>YEAR(A3500)</f>
        <v>2014</v>
      </c>
      <c r="F3500" s="33">
        <f>DATE(YEAR(A3500),MONTH(A3500),1)</f>
        <v>41852.0</v>
      </c>
      <c r="G3500" t="str">
        <f>CHOOSE(WEEKDAY(A3500,2),"Mon","Tue","Wed","Thu","Fri","Sat","Sun")</f>
        <v>Sun</v>
      </c>
      <c r="H3500" t="str">
        <f>IF(WEEKDAY(A3500,2)&gt;5,"Weekend","Weekday")</f>
        <v>Weekend</v>
      </c>
      <c r="I3500" t="str">
        <f>_xlfn.IFS(B3500&lt;=5,"Night (0-5)",B3500&lt;=9,"Morning peak (6-9)",B3500&lt;=15,"Midday (10-15)",B3500&lt;=19,"Evening peak (16-19)",TRUE,"Late evening (20-23)")</f>
        <v>Evening peak (16-19)</v>
      </c>
    </row>
    <row r="3501" spans="1:9">
      <c r="A3501" s="32">
        <v>41875</v>
      </c>
      <c r="B3501">
        <v>19</v>
      </c>
      <c r="C3501">
        <v>1244</v>
      </c>
      <c r="D3501" t="s">
        <v>303</v>
      </c>
      <c r="E3501">
        <f>YEAR(A3501)</f>
        <v>2014</v>
      </c>
      <c r="F3501" s="33">
        <f>DATE(YEAR(A3501),MONTH(A3501),1)</f>
        <v>41852.0</v>
      </c>
      <c r="G3501" t="str">
        <f>CHOOSE(WEEKDAY(A3501,2),"Mon","Tue","Wed","Thu","Fri","Sat","Sun")</f>
        <v>Sun</v>
      </c>
      <c r="H3501" t="str">
        <f>IF(WEEKDAY(A3501,2)&gt;5,"Weekend","Weekday")</f>
        <v>Weekend</v>
      </c>
      <c r="I3501" t="str">
        <f>_xlfn.IFS(B3501&lt;=5,"Night (0-5)",B3501&lt;=9,"Morning peak (6-9)",B3501&lt;=15,"Midday (10-15)",B3501&lt;=19,"Evening peak (16-19)",TRUE,"Late evening (20-23)")</f>
        <v>Evening peak (16-19)</v>
      </c>
    </row>
    <row r="3502" spans="1:9">
      <c r="A3502" s="32">
        <v>41875</v>
      </c>
      <c r="B3502">
        <v>20</v>
      </c>
      <c r="C3502">
        <v>1138</v>
      </c>
      <c r="D3502" t="s">
        <v>303</v>
      </c>
      <c r="E3502">
        <f>YEAR(A3502)</f>
        <v>2014</v>
      </c>
      <c r="F3502" s="33">
        <f>DATE(YEAR(A3502),MONTH(A3502),1)</f>
        <v>41852.0</v>
      </c>
      <c r="G3502" t="str">
        <f>CHOOSE(WEEKDAY(A3502,2),"Mon","Tue","Wed","Thu","Fri","Sat","Sun")</f>
        <v>Sun</v>
      </c>
      <c r="H3502" t="str">
        <f>IF(WEEKDAY(A3502,2)&gt;5,"Weekend","Weekday")</f>
        <v>Weekend</v>
      </c>
      <c r="I3502" t="str">
        <f>_xlfn.IFS(B3502&lt;=5,"Night (0-5)",B3502&lt;=9,"Morning peak (6-9)",B3502&lt;=15,"Midday (10-15)",B3502&lt;=19,"Evening peak (16-19)",TRUE,"Late evening (20-23)")</f>
        <v>Late evening (20-23)</v>
      </c>
    </row>
    <row r="3503" spans="1:9">
      <c r="A3503" s="32">
        <v>41875</v>
      </c>
      <c r="B3503">
        <v>21</v>
      </c>
      <c r="C3503">
        <v>1058</v>
      </c>
      <c r="D3503" t="s">
        <v>303</v>
      </c>
      <c r="E3503">
        <f>YEAR(A3503)</f>
        <v>2014</v>
      </c>
      <c r="F3503" s="33">
        <f>DATE(YEAR(A3503),MONTH(A3503),1)</f>
        <v>41852.0</v>
      </c>
      <c r="G3503" t="str">
        <f>CHOOSE(WEEKDAY(A3503,2),"Mon","Tue","Wed","Thu","Fri","Sat","Sun")</f>
        <v>Sun</v>
      </c>
      <c r="H3503" t="str">
        <f>IF(WEEKDAY(A3503,2)&gt;5,"Weekend","Weekday")</f>
        <v>Weekend</v>
      </c>
      <c r="I3503" t="str">
        <f>_xlfn.IFS(B3503&lt;=5,"Night (0-5)",B3503&lt;=9,"Morning peak (6-9)",B3503&lt;=15,"Midday (10-15)",B3503&lt;=19,"Evening peak (16-19)",TRUE,"Late evening (20-23)")</f>
        <v>Late evening (20-23)</v>
      </c>
    </row>
    <row r="3504" spans="1:9">
      <c r="A3504" s="32">
        <v>41875</v>
      </c>
      <c r="B3504">
        <v>22</v>
      </c>
      <c r="C3504">
        <v>933</v>
      </c>
      <c r="D3504" t="s">
        <v>303</v>
      </c>
      <c r="E3504">
        <f>YEAR(A3504)</f>
        <v>2014</v>
      </c>
      <c r="F3504" s="33">
        <f>DATE(YEAR(A3504),MONTH(A3504),1)</f>
        <v>41852.0</v>
      </c>
      <c r="G3504" t="str">
        <f>CHOOSE(WEEKDAY(A3504,2),"Mon","Tue","Wed","Thu","Fri","Sat","Sun")</f>
        <v>Sun</v>
      </c>
      <c r="H3504" t="str">
        <f>IF(WEEKDAY(A3504,2)&gt;5,"Weekend","Weekday")</f>
        <v>Weekend</v>
      </c>
      <c r="I3504" t="str">
        <f>_xlfn.IFS(B3504&lt;=5,"Night (0-5)",B3504&lt;=9,"Morning peak (6-9)",B3504&lt;=15,"Midday (10-15)",B3504&lt;=19,"Evening peak (16-19)",TRUE,"Late evening (20-23)")</f>
        <v>Late evening (20-23)</v>
      </c>
    </row>
    <row r="3505" spans="1:9">
      <c r="A3505" s="32">
        <v>41875</v>
      </c>
      <c r="B3505">
        <v>23</v>
      </c>
      <c r="C3505">
        <v>544</v>
      </c>
      <c r="D3505" t="s">
        <v>303</v>
      </c>
      <c r="E3505">
        <f>YEAR(A3505)</f>
        <v>2014</v>
      </c>
      <c r="F3505" s="33">
        <f>DATE(YEAR(A3505),MONTH(A3505),1)</f>
        <v>41852.0</v>
      </c>
      <c r="G3505" t="str">
        <f>CHOOSE(WEEKDAY(A3505,2),"Mon","Tue","Wed","Thu","Fri","Sat","Sun")</f>
        <v>Sun</v>
      </c>
      <c r="H3505" t="str">
        <f>IF(WEEKDAY(A3505,2)&gt;5,"Weekend","Weekday")</f>
        <v>Weekend</v>
      </c>
      <c r="I3505" t="str">
        <f>_xlfn.IFS(B3505&lt;=5,"Night (0-5)",B3505&lt;=9,"Morning peak (6-9)",B3505&lt;=15,"Midday (10-15)",B3505&lt;=19,"Evening peak (16-19)",TRUE,"Late evening (20-23)")</f>
        <v>Late evening (20-23)</v>
      </c>
    </row>
    <row r="3506" spans="1:9">
      <c r="A3506" s="32">
        <v>41876</v>
      </c>
      <c r="B3506">
        <v>0</v>
      </c>
      <c r="C3506">
        <v>257</v>
      </c>
      <c r="D3506" t="s">
        <v>303</v>
      </c>
      <c r="E3506">
        <f>YEAR(A3506)</f>
        <v>2014</v>
      </c>
      <c r="F3506" s="33">
        <f>DATE(YEAR(A3506),MONTH(A3506),1)</f>
        <v>41852.0</v>
      </c>
      <c r="G3506" t="str">
        <f>CHOOSE(WEEKDAY(A3506,2),"Mon","Tue","Wed","Thu","Fri","Sat","Sun")</f>
        <v>Mon</v>
      </c>
      <c r="H3506" t="str">
        <f>IF(WEEKDAY(A3506,2)&gt;5,"Weekend","Weekday")</f>
        <v>Weekday</v>
      </c>
      <c r="I3506" t="str">
        <f>_xlfn.IFS(B3506&lt;=5,"Night (0-5)",B3506&lt;=9,"Morning peak (6-9)",B3506&lt;=15,"Midday (10-15)",B3506&lt;=19,"Evening peak (16-19)",TRUE,"Late evening (20-23)")</f>
        <v>Night (0-5)</v>
      </c>
    </row>
    <row r="3507" spans="1:9">
      <c r="A3507" s="32">
        <v>41876</v>
      </c>
      <c r="B3507">
        <v>1</v>
      </c>
      <c r="C3507">
        <v>170</v>
      </c>
      <c r="D3507" t="s">
        <v>303</v>
      </c>
      <c r="E3507">
        <f>YEAR(A3507)</f>
        <v>2014</v>
      </c>
      <c r="F3507" s="33">
        <f>DATE(YEAR(A3507),MONTH(A3507),1)</f>
        <v>41852.0</v>
      </c>
      <c r="G3507" t="str">
        <f>CHOOSE(WEEKDAY(A3507,2),"Mon","Tue","Wed","Thu","Fri","Sat","Sun")</f>
        <v>Mon</v>
      </c>
      <c r="H3507" t="str">
        <f>IF(WEEKDAY(A3507,2)&gt;5,"Weekend","Weekday")</f>
        <v>Weekday</v>
      </c>
      <c r="I3507" t="str">
        <f>_xlfn.IFS(B3507&lt;=5,"Night (0-5)",B3507&lt;=9,"Morning peak (6-9)",B3507&lt;=15,"Midday (10-15)",B3507&lt;=19,"Evening peak (16-19)",TRUE,"Late evening (20-23)")</f>
        <v>Night (0-5)</v>
      </c>
    </row>
    <row r="3508" spans="1:9">
      <c r="A3508" s="32">
        <v>41876</v>
      </c>
      <c r="B3508">
        <v>2</v>
      </c>
      <c r="C3508">
        <v>149</v>
      </c>
      <c r="D3508" t="s">
        <v>303</v>
      </c>
      <c r="E3508">
        <f>YEAR(A3508)</f>
        <v>2014</v>
      </c>
      <c r="F3508" s="33">
        <f>DATE(YEAR(A3508),MONTH(A3508),1)</f>
        <v>41852.0</v>
      </c>
      <c r="G3508" t="str">
        <f>CHOOSE(WEEKDAY(A3508,2),"Mon","Tue","Wed","Thu","Fri","Sat","Sun")</f>
        <v>Mon</v>
      </c>
      <c r="H3508" t="str">
        <f>IF(WEEKDAY(A3508,2)&gt;5,"Weekend","Weekday")</f>
        <v>Weekday</v>
      </c>
      <c r="I3508" t="str">
        <f>_xlfn.IFS(B3508&lt;=5,"Night (0-5)",B3508&lt;=9,"Morning peak (6-9)",B3508&lt;=15,"Midday (10-15)",B3508&lt;=19,"Evening peak (16-19)",TRUE,"Late evening (20-23)")</f>
        <v>Night (0-5)</v>
      </c>
    </row>
    <row r="3509" spans="1:9">
      <c r="A3509" s="32">
        <v>41876</v>
      </c>
      <c r="B3509">
        <v>3</v>
      </c>
      <c r="C3509">
        <v>305</v>
      </c>
      <c r="D3509" t="s">
        <v>303</v>
      </c>
      <c r="E3509">
        <f>YEAR(A3509)</f>
        <v>2014</v>
      </c>
      <c r="F3509" s="33">
        <f>DATE(YEAR(A3509),MONTH(A3509),1)</f>
        <v>41852.0</v>
      </c>
      <c r="G3509" t="str">
        <f>CHOOSE(WEEKDAY(A3509,2),"Mon","Tue","Wed","Thu","Fri","Sat","Sun")</f>
        <v>Mon</v>
      </c>
      <c r="H3509" t="str">
        <f>IF(WEEKDAY(A3509,2)&gt;5,"Weekend","Weekday")</f>
        <v>Weekday</v>
      </c>
      <c r="I3509" t="str">
        <f>_xlfn.IFS(B3509&lt;=5,"Night (0-5)",B3509&lt;=9,"Morning peak (6-9)",B3509&lt;=15,"Midday (10-15)",B3509&lt;=19,"Evening peak (16-19)",TRUE,"Late evening (20-23)")</f>
        <v>Night (0-5)</v>
      </c>
    </row>
    <row r="3510" spans="1:9">
      <c r="A3510" s="32">
        <v>41876</v>
      </c>
      <c r="B3510">
        <v>4</v>
      </c>
      <c r="C3510">
        <v>524</v>
      </c>
      <c r="D3510" t="s">
        <v>303</v>
      </c>
      <c r="E3510">
        <f>YEAR(A3510)</f>
        <v>2014</v>
      </c>
      <c r="F3510" s="33">
        <f>DATE(YEAR(A3510),MONTH(A3510),1)</f>
        <v>41852.0</v>
      </c>
      <c r="G3510" t="str">
        <f>CHOOSE(WEEKDAY(A3510,2),"Mon","Tue","Wed","Thu","Fri","Sat","Sun")</f>
        <v>Mon</v>
      </c>
      <c r="H3510" t="str">
        <f>IF(WEEKDAY(A3510,2)&gt;5,"Weekend","Weekday")</f>
        <v>Weekday</v>
      </c>
      <c r="I3510" t="str">
        <f>_xlfn.IFS(B3510&lt;=5,"Night (0-5)",B3510&lt;=9,"Morning peak (6-9)",B3510&lt;=15,"Midday (10-15)",B3510&lt;=19,"Evening peak (16-19)",TRUE,"Late evening (20-23)")</f>
        <v>Night (0-5)</v>
      </c>
    </row>
    <row r="3511" spans="1:9">
      <c r="A3511" s="32">
        <v>41876</v>
      </c>
      <c r="B3511">
        <v>5</v>
      </c>
      <c r="C3511">
        <v>710</v>
      </c>
      <c r="D3511" t="s">
        <v>303</v>
      </c>
      <c r="E3511">
        <f>YEAR(A3511)</f>
        <v>2014</v>
      </c>
      <c r="F3511" s="33">
        <f>DATE(YEAR(A3511),MONTH(A3511),1)</f>
        <v>41852.0</v>
      </c>
      <c r="G3511" t="str">
        <f>CHOOSE(WEEKDAY(A3511,2),"Mon","Tue","Wed","Thu","Fri","Sat","Sun")</f>
        <v>Mon</v>
      </c>
      <c r="H3511" t="str">
        <f>IF(WEEKDAY(A3511,2)&gt;5,"Weekend","Weekday")</f>
        <v>Weekday</v>
      </c>
      <c r="I3511" t="str">
        <f>_xlfn.IFS(B3511&lt;=5,"Night (0-5)",B3511&lt;=9,"Morning peak (6-9)",B3511&lt;=15,"Midday (10-15)",B3511&lt;=19,"Evening peak (16-19)",TRUE,"Late evening (20-23)")</f>
        <v>Night (0-5)</v>
      </c>
    </row>
    <row r="3512" spans="1:9">
      <c r="A3512" s="32">
        <v>41876</v>
      </c>
      <c r="B3512">
        <v>6</v>
      </c>
      <c r="C3512">
        <v>1006</v>
      </c>
      <c r="D3512" t="s">
        <v>303</v>
      </c>
      <c r="E3512">
        <f>YEAR(A3512)</f>
        <v>2014</v>
      </c>
      <c r="F3512" s="33">
        <f>DATE(YEAR(A3512),MONTH(A3512),1)</f>
        <v>41852.0</v>
      </c>
      <c r="G3512" t="str">
        <f>CHOOSE(WEEKDAY(A3512,2),"Mon","Tue","Wed","Thu","Fri","Sat","Sun")</f>
        <v>Mon</v>
      </c>
      <c r="H3512" t="str">
        <f>IF(WEEKDAY(A3512,2)&gt;5,"Weekend","Weekday")</f>
        <v>Weekday</v>
      </c>
      <c r="I3512" t="str">
        <f>_xlfn.IFS(B3512&lt;=5,"Night (0-5)",B3512&lt;=9,"Morning peak (6-9)",B3512&lt;=15,"Midday (10-15)",B3512&lt;=19,"Evening peak (16-19)",TRUE,"Late evening (20-23)")</f>
        <v>Morning peak (6-9)</v>
      </c>
    </row>
    <row r="3513" spans="1:9">
      <c r="A3513" s="32">
        <v>41876</v>
      </c>
      <c r="B3513">
        <v>7</v>
      </c>
      <c r="C3513">
        <v>1293</v>
      </c>
      <c r="D3513" t="s">
        <v>303</v>
      </c>
      <c r="E3513">
        <f>YEAR(A3513)</f>
        <v>2014</v>
      </c>
      <c r="F3513" s="33">
        <f>DATE(YEAR(A3513),MONTH(A3513),1)</f>
        <v>41852.0</v>
      </c>
      <c r="G3513" t="str">
        <f>CHOOSE(WEEKDAY(A3513,2),"Mon","Tue","Wed","Thu","Fri","Sat","Sun")</f>
        <v>Mon</v>
      </c>
      <c r="H3513" t="str">
        <f>IF(WEEKDAY(A3513,2)&gt;5,"Weekend","Weekday")</f>
        <v>Weekday</v>
      </c>
      <c r="I3513" t="str">
        <f>_xlfn.IFS(B3513&lt;=5,"Night (0-5)",B3513&lt;=9,"Morning peak (6-9)",B3513&lt;=15,"Midday (10-15)",B3513&lt;=19,"Evening peak (16-19)",TRUE,"Late evening (20-23)")</f>
        <v>Morning peak (6-9)</v>
      </c>
    </row>
    <row r="3514" spans="1:9">
      <c r="A3514" s="32">
        <v>41876</v>
      </c>
      <c r="B3514">
        <v>8</v>
      </c>
      <c r="C3514">
        <v>1249</v>
      </c>
      <c r="D3514" t="s">
        <v>303</v>
      </c>
      <c r="E3514">
        <f>YEAR(A3514)</f>
        <v>2014</v>
      </c>
      <c r="F3514" s="33">
        <f>DATE(YEAR(A3514),MONTH(A3514),1)</f>
        <v>41852.0</v>
      </c>
      <c r="G3514" t="str">
        <f>CHOOSE(WEEKDAY(A3514,2),"Mon","Tue","Wed","Thu","Fri","Sat","Sun")</f>
        <v>Mon</v>
      </c>
      <c r="H3514" t="str">
        <f>IF(WEEKDAY(A3514,2)&gt;5,"Weekend","Weekday")</f>
        <v>Weekday</v>
      </c>
      <c r="I3514" t="str">
        <f>_xlfn.IFS(B3514&lt;=5,"Night (0-5)",B3514&lt;=9,"Morning peak (6-9)",B3514&lt;=15,"Midday (10-15)",B3514&lt;=19,"Evening peak (16-19)",TRUE,"Late evening (20-23)")</f>
        <v>Morning peak (6-9)</v>
      </c>
    </row>
    <row r="3515" spans="1:9">
      <c r="A3515" s="32">
        <v>41876</v>
      </c>
      <c r="B3515">
        <v>9</v>
      </c>
      <c r="C3515">
        <v>937</v>
      </c>
      <c r="D3515" t="s">
        <v>303</v>
      </c>
      <c r="E3515">
        <f>YEAR(A3515)</f>
        <v>2014</v>
      </c>
      <c r="F3515" s="33">
        <f>DATE(YEAR(A3515),MONTH(A3515),1)</f>
        <v>41852.0</v>
      </c>
      <c r="G3515" t="str">
        <f>CHOOSE(WEEKDAY(A3515,2),"Mon","Tue","Wed","Thu","Fri","Sat","Sun")</f>
        <v>Mon</v>
      </c>
      <c r="H3515" t="str">
        <f>IF(WEEKDAY(A3515,2)&gt;5,"Weekend","Weekday")</f>
        <v>Weekday</v>
      </c>
      <c r="I3515" t="str">
        <f>_xlfn.IFS(B3515&lt;=5,"Night (0-5)",B3515&lt;=9,"Morning peak (6-9)",B3515&lt;=15,"Midday (10-15)",B3515&lt;=19,"Evening peak (16-19)",TRUE,"Late evening (20-23)")</f>
        <v>Morning peak (6-9)</v>
      </c>
    </row>
    <row r="3516" spans="1:9">
      <c r="A3516" s="32">
        <v>41876</v>
      </c>
      <c r="B3516">
        <v>10</v>
      </c>
      <c r="C3516">
        <v>833</v>
      </c>
      <c r="D3516" t="s">
        <v>303</v>
      </c>
      <c r="E3516">
        <f>YEAR(A3516)</f>
        <v>2014</v>
      </c>
      <c r="F3516" s="33">
        <f>DATE(YEAR(A3516),MONTH(A3516),1)</f>
        <v>41852.0</v>
      </c>
      <c r="G3516" t="str">
        <f>CHOOSE(WEEKDAY(A3516,2),"Mon","Tue","Wed","Thu","Fri","Sat","Sun")</f>
        <v>Mon</v>
      </c>
      <c r="H3516" t="str">
        <f>IF(WEEKDAY(A3516,2)&gt;5,"Weekend","Weekday")</f>
        <v>Weekday</v>
      </c>
      <c r="I3516" t="str">
        <f>_xlfn.IFS(B3516&lt;=5,"Night (0-5)",B3516&lt;=9,"Morning peak (6-9)",B3516&lt;=15,"Midday (10-15)",B3516&lt;=19,"Evening peak (16-19)",TRUE,"Late evening (20-23)")</f>
        <v>Midday (10-15)</v>
      </c>
    </row>
    <row r="3517" spans="1:9">
      <c r="A3517" s="32">
        <v>41876</v>
      </c>
      <c r="B3517">
        <v>11</v>
      </c>
      <c r="C3517">
        <v>836</v>
      </c>
      <c r="D3517" t="s">
        <v>303</v>
      </c>
      <c r="E3517">
        <f>YEAR(A3517)</f>
        <v>2014</v>
      </c>
      <c r="F3517" s="33">
        <f>DATE(YEAR(A3517),MONTH(A3517),1)</f>
        <v>41852.0</v>
      </c>
      <c r="G3517" t="str">
        <f>CHOOSE(WEEKDAY(A3517,2),"Mon","Tue","Wed","Thu","Fri","Sat","Sun")</f>
        <v>Mon</v>
      </c>
      <c r="H3517" t="str">
        <f>IF(WEEKDAY(A3517,2)&gt;5,"Weekend","Weekday")</f>
        <v>Weekday</v>
      </c>
      <c r="I3517" t="str">
        <f>_xlfn.IFS(B3517&lt;=5,"Night (0-5)",B3517&lt;=9,"Morning peak (6-9)",B3517&lt;=15,"Midday (10-15)",B3517&lt;=19,"Evening peak (16-19)",TRUE,"Late evening (20-23)")</f>
        <v>Midday (10-15)</v>
      </c>
    </row>
    <row r="3518" spans="1:9">
      <c r="A3518" s="32">
        <v>41876</v>
      </c>
      <c r="B3518">
        <v>12</v>
      </c>
      <c r="C3518">
        <v>875</v>
      </c>
      <c r="D3518" t="s">
        <v>303</v>
      </c>
      <c r="E3518">
        <f>YEAR(A3518)</f>
        <v>2014</v>
      </c>
      <c r="F3518" s="33">
        <f>DATE(YEAR(A3518),MONTH(A3518),1)</f>
        <v>41852.0</v>
      </c>
      <c r="G3518" t="str">
        <f>CHOOSE(WEEKDAY(A3518,2),"Mon","Tue","Wed","Thu","Fri","Sat","Sun")</f>
        <v>Mon</v>
      </c>
      <c r="H3518" t="str">
        <f>IF(WEEKDAY(A3518,2)&gt;5,"Weekend","Weekday")</f>
        <v>Weekday</v>
      </c>
      <c r="I3518" t="str">
        <f>_xlfn.IFS(B3518&lt;=5,"Night (0-5)",B3518&lt;=9,"Morning peak (6-9)",B3518&lt;=15,"Midday (10-15)",B3518&lt;=19,"Evening peak (16-19)",TRUE,"Late evening (20-23)")</f>
        <v>Midday (10-15)</v>
      </c>
    </row>
    <row r="3519" spans="1:9">
      <c r="A3519" s="32">
        <v>41876</v>
      </c>
      <c r="B3519">
        <v>13</v>
      </c>
      <c r="C3519">
        <v>956</v>
      </c>
      <c r="D3519" t="s">
        <v>303</v>
      </c>
      <c r="E3519">
        <f>YEAR(A3519)</f>
        <v>2014</v>
      </c>
      <c r="F3519" s="33">
        <f>DATE(YEAR(A3519),MONTH(A3519),1)</f>
        <v>41852.0</v>
      </c>
      <c r="G3519" t="str">
        <f>CHOOSE(WEEKDAY(A3519,2),"Mon","Tue","Wed","Thu","Fri","Sat","Sun")</f>
        <v>Mon</v>
      </c>
      <c r="H3519" t="str">
        <f>IF(WEEKDAY(A3519,2)&gt;5,"Weekend","Weekday")</f>
        <v>Weekday</v>
      </c>
      <c r="I3519" t="str">
        <f>_xlfn.IFS(B3519&lt;=5,"Night (0-5)",B3519&lt;=9,"Morning peak (6-9)",B3519&lt;=15,"Midday (10-15)",B3519&lt;=19,"Evening peak (16-19)",TRUE,"Late evening (20-23)")</f>
        <v>Midday (10-15)</v>
      </c>
    </row>
    <row r="3520" spans="1:9">
      <c r="A3520" s="32">
        <v>41876</v>
      </c>
      <c r="B3520">
        <v>14</v>
      </c>
      <c r="C3520">
        <v>1088</v>
      </c>
      <c r="D3520" t="s">
        <v>303</v>
      </c>
      <c r="E3520">
        <f>YEAR(A3520)</f>
        <v>2014</v>
      </c>
      <c r="F3520" s="33">
        <f>DATE(YEAR(A3520),MONTH(A3520),1)</f>
        <v>41852.0</v>
      </c>
      <c r="G3520" t="str">
        <f>CHOOSE(WEEKDAY(A3520,2),"Mon","Tue","Wed","Thu","Fri","Sat","Sun")</f>
        <v>Mon</v>
      </c>
      <c r="H3520" t="str">
        <f>IF(WEEKDAY(A3520,2)&gt;5,"Weekend","Weekday")</f>
        <v>Weekday</v>
      </c>
      <c r="I3520" t="str">
        <f>_xlfn.IFS(B3520&lt;=5,"Night (0-5)",B3520&lt;=9,"Morning peak (6-9)",B3520&lt;=15,"Midday (10-15)",B3520&lt;=19,"Evening peak (16-19)",TRUE,"Late evening (20-23)")</f>
        <v>Midday (10-15)</v>
      </c>
    </row>
    <row r="3521" spans="1:9">
      <c r="A3521" s="32">
        <v>41876</v>
      </c>
      <c r="B3521">
        <v>15</v>
      </c>
      <c r="C3521">
        <v>1341</v>
      </c>
      <c r="D3521" t="s">
        <v>303</v>
      </c>
      <c r="E3521">
        <f>YEAR(A3521)</f>
        <v>2014</v>
      </c>
      <c r="F3521" s="33">
        <f>DATE(YEAR(A3521),MONTH(A3521),1)</f>
        <v>41852.0</v>
      </c>
      <c r="G3521" t="str">
        <f>CHOOSE(WEEKDAY(A3521,2),"Mon","Tue","Wed","Thu","Fri","Sat","Sun")</f>
        <v>Mon</v>
      </c>
      <c r="H3521" t="str">
        <f>IF(WEEKDAY(A3521,2)&gt;5,"Weekend","Weekday")</f>
        <v>Weekday</v>
      </c>
      <c r="I3521" t="str">
        <f>_xlfn.IFS(B3521&lt;=5,"Night (0-5)",B3521&lt;=9,"Morning peak (6-9)",B3521&lt;=15,"Midday (10-15)",B3521&lt;=19,"Evening peak (16-19)",TRUE,"Late evening (20-23)")</f>
        <v>Midday (10-15)</v>
      </c>
    </row>
    <row r="3522" spans="1:9">
      <c r="A3522" s="32">
        <v>41876</v>
      </c>
      <c r="B3522">
        <v>16</v>
      </c>
      <c r="C3522">
        <v>1412</v>
      </c>
      <c r="D3522" t="s">
        <v>303</v>
      </c>
      <c r="E3522">
        <f>YEAR(A3522)</f>
        <v>2014</v>
      </c>
      <c r="F3522" s="33">
        <f>DATE(YEAR(A3522),MONTH(A3522),1)</f>
        <v>41852.0</v>
      </c>
      <c r="G3522" t="str">
        <f>CHOOSE(WEEKDAY(A3522,2),"Mon","Tue","Wed","Thu","Fri","Sat","Sun")</f>
        <v>Mon</v>
      </c>
      <c r="H3522" t="str">
        <f>IF(WEEKDAY(A3522,2)&gt;5,"Weekend","Weekday")</f>
        <v>Weekday</v>
      </c>
      <c r="I3522" t="str">
        <f>_xlfn.IFS(B3522&lt;=5,"Night (0-5)",B3522&lt;=9,"Morning peak (6-9)",B3522&lt;=15,"Midday (10-15)",B3522&lt;=19,"Evening peak (16-19)",TRUE,"Late evening (20-23)")</f>
        <v>Evening peak (16-19)</v>
      </c>
    </row>
    <row r="3523" spans="1:9">
      <c r="A3523" s="32">
        <v>41876</v>
      </c>
      <c r="B3523">
        <v>17</v>
      </c>
      <c r="C3523">
        <v>1460</v>
      </c>
      <c r="D3523" t="s">
        <v>303</v>
      </c>
      <c r="E3523">
        <f>YEAR(A3523)</f>
        <v>2014</v>
      </c>
      <c r="F3523" s="33">
        <f>DATE(YEAR(A3523),MONTH(A3523),1)</f>
        <v>41852.0</v>
      </c>
      <c r="G3523" t="str">
        <f>CHOOSE(WEEKDAY(A3523,2),"Mon","Tue","Wed","Thu","Fri","Sat","Sun")</f>
        <v>Mon</v>
      </c>
      <c r="H3523" t="str">
        <f>IF(WEEKDAY(A3523,2)&gt;5,"Weekend","Weekday")</f>
        <v>Weekday</v>
      </c>
      <c r="I3523" t="str">
        <f>_xlfn.IFS(B3523&lt;=5,"Night (0-5)",B3523&lt;=9,"Morning peak (6-9)",B3523&lt;=15,"Midday (10-15)",B3523&lt;=19,"Evening peak (16-19)",TRUE,"Late evening (20-23)")</f>
        <v>Evening peak (16-19)</v>
      </c>
    </row>
    <row r="3524" spans="1:9">
      <c r="A3524" s="32">
        <v>41876</v>
      </c>
      <c r="B3524">
        <v>18</v>
      </c>
      <c r="C3524">
        <v>1400</v>
      </c>
      <c r="D3524" t="s">
        <v>303</v>
      </c>
      <c r="E3524">
        <f>YEAR(A3524)</f>
        <v>2014</v>
      </c>
      <c r="F3524" s="33">
        <f>DATE(YEAR(A3524),MONTH(A3524),1)</f>
        <v>41852.0</v>
      </c>
      <c r="G3524" t="str">
        <f>CHOOSE(WEEKDAY(A3524,2),"Mon","Tue","Wed","Thu","Fri","Sat","Sun")</f>
        <v>Mon</v>
      </c>
      <c r="H3524" t="str">
        <f>IF(WEEKDAY(A3524,2)&gt;5,"Weekend","Weekday")</f>
        <v>Weekday</v>
      </c>
      <c r="I3524" t="str">
        <f>_xlfn.IFS(B3524&lt;=5,"Night (0-5)",B3524&lt;=9,"Morning peak (6-9)",B3524&lt;=15,"Midday (10-15)",B3524&lt;=19,"Evening peak (16-19)",TRUE,"Late evening (20-23)")</f>
        <v>Evening peak (16-19)</v>
      </c>
    </row>
    <row r="3525" spans="1:9">
      <c r="A3525" s="32">
        <v>41876</v>
      </c>
      <c r="B3525">
        <v>19</v>
      </c>
      <c r="C3525">
        <v>1347</v>
      </c>
      <c r="D3525" t="s">
        <v>303</v>
      </c>
      <c r="E3525">
        <f>YEAR(A3525)</f>
        <v>2014</v>
      </c>
      <c r="F3525" s="33">
        <f>DATE(YEAR(A3525),MONTH(A3525),1)</f>
        <v>41852.0</v>
      </c>
      <c r="G3525" t="str">
        <f>CHOOSE(WEEKDAY(A3525,2),"Mon","Tue","Wed","Thu","Fri","Sat","Sun")</f>
        <v>Mon</v>
      </c>
      <c r="H3525" t="str">
        <f>IF(WEEKDAY(A3525,2)&gt;5,"Weekend","Weekday")</f>
        <v>Weekday</v>
      </c>
      <c r="I3525" t="str">
        <f>_xlfn.IFS(B3525&lt;=5,"Night (0-5)",B3525&lt;=9,"Morning peak (6-9)",B3525&lt;=15,"Midday (10-15)",B3525&lt;=19,"Evening peak (16-19)",TRUE,"Late evening (20-23)")</f>
        <v>Evening peak (16-19)</v>
      </c>
    </row>
    <row r="3526" spans="1:9">
      <c r="A3526" s="32">
        <v>41876</v>
      </c>
      <c r="B3526">
        <v>20</v>
      </c>
      <c r="C3526">
        <v>1320</v>
      </c>
      <c r="D3526" t="s">
        <v>303</v>
      </c>
      <c r="E3526">
        <f>YEAR(A3526)</f>
        <v>2014</v>
      </c>
      <c r="F3526" s="33">
        <f>DATE(YEAR(A3526),MONTH(A3526),1)</f>
        <v>41852.0</v>
      </c>
      <c r="G3526" t="str">
        <f>CHOOSE(WEEKDAY(A3526,2),"Mon","Tue","Wed","Thu","Fri","Sat","Sun")</f>
        <v>Mon</v>
      </c>
      <c r="H3526" t="str">
        <f>IF(WEEKDAY(A3526,2)&gt;5,"Weekend","Weekday")</f>
        <v>Weekday</v>
      </c>
      <c r="I3526" t="str">
        <f>_xlfn.IFS(B3526&lt;=5,"Night (0-5)",B3526&lt;=9,"Morning peak (6-9)",B3526&lt;=15,"Midday (10-15)",B3526&lt;=19,"Evening peak (16-19)",TRUE,"Late evening (20-23)")</f>
        <v>Late evening (20-23)</v>
      </c>
    </row>
    <row r="3527" spans="1:9">
      <c r="A3527" s="32">
        <v>41876</v>
      </c>
      <c r="B3527">
        <v>21</v>
      </c>
      <c r="C3527">
        <v>1202</v>
      </c>
      <c r="D3527" t="s">
        <v>303</v>
      </c>
      <c r="E3527">
        <f>YEAR(A3527)</f>
        <v>2014</v>
      </c>
      <c r="F3527" s="33">
        <f>DATE(YEAR(A3527),MONTH(A3527),1)</f>
        <v>41852.0</v>
      </c>
      <c r="G3527" t="str">
        <f>CHOOSE(WEEKDAY(A3527,2),"Mon","Tue","Wed","Thu","Fri","Sat","Sun")</f>
        <v>Mon</v>
      </c>
      <c r="H3527" t="str">
        <f>IF(WEEKDAY(A3527,2)&gt;5,"Weekend","Weekday")</f>
        <v>Weekday</v>
      </c>
      <c r="I3527" t="str">
        <f>_xlfn.IFS(B3527&lt;=5,"Night (0-5)",B3527&lt;=9,"Morning peak (6-9)",B3527&lt;=15,"Midday (10-15)",B3527&lt;=19,"Evening peak (16-19)",TRUE,"Late evening (20-23)")</f>
        <v>Late evening (20-23)</v>
      </c>
    </row>
    <row r="3528" spans="1:9">
      <c r="A3528" s="32">
        <v>41876</v>
      </c>
      <c r="B3528">
        <v>22</v>
      </c>
      <c r="C3528">
        <v>895</v>
      </c>
      <c r="D3528" t="s">
        <v>303</v>
      </c>
      <c r="E3528">
        <f>YEAR(A3528)</f>
        <v>2014</v>
      </c>
      <c r="F3528" s="33">
        <f>DATE(YEAR(A3528),MONTH(A3528),1)</f>
        <v>41852.0</v>
      </c>
      <c r="G3528" t="str">
        <f>CHOOSE(WEEKDAY(A3528,2),"Mon","Tue","Wed","Thu","Fri","Sat","Sun")</f>
        <v>Mon</v>
      </c>
      <c r="H3528" t="str">
        <f>IF(WEEKDAY(A3528,2)&gt;5,"Weekend","Weekday")</f>
        <v>Weekday</v>
      </c>
      <c r="I3528" t="str">
        <f>_xlfn.IFS(B3528&lt;=5,"Night (0-5)",B3528&lt;=9,"Morning peak (6-9)",B3528&lt;=15,"Midday (10-15)",B3528&lt;=19,"Evening peak (16-19)",TRUE,"Late evening (20-23)")</f>
        <v>Late evening (20-23)</v>
      </c>
    </row>
    <row r="3529" spans="1:9">
      <c r="A3529" s="32">
        <v>41876</v>
      </c>
      <c r="B3529">
        <v>23</v>
      </c>
      <c r="C3529">
        <v>528</v>
      </c>
      <c r="D3529" t="s">
        <v>303</v>
      </c>
      <c r="E3529">
        <f>YEAR(A3529)</f>
        <v>2014</v>
      </c>
      <c r="F3529" s="33">
        <f>DATE(YEAR(A3529),MONTH(A3529),1)</f>
        <v>41852.0</v>
      </c>
      <c r="G3529" t="str">
        <f>CHOOSE(WEEKDAY(A3529,2),"Mon","Tue","Wed","Thu","Fri","Sat","Sun")</f>
        <v>Mon</v>
      </c>
      <c r="H3529" t="str">
        <f>IF(WEEKDAY(A3529,2)&gt;5,"Weekend","Weekday")</f>
        <v>Weekday</v>
      </c>
      <c r="I3529" t="str">
        <f>_xlfn.IFS(B3529&lt;=5,"Night (0-5)",B3529&lt;=9,"Morning peak (6-9)",B3529&lt;=15,"Midday (10-15)",B3529&lt;=19,"Evening peak (16-19)",TRUE,"Late evening (20-23)")</f>
        <v>Late evening (20-23)</v>
      </c>
    </row>
    <row r="3530" spans="1:9">
      <c r="A3530" s="32">
        <v>41877</v>
      </c>
      <c r="B3530">
        <v>0</v>
      </c>
      <c r="C3530">
        <v>233</v>
      </c>
      <c r="D3530" t="s">
        <v>303</v>
      </c>
      <c r="E3530">
        <f>YEAR(A3530)</f>
        <v>2014</v>
      </c>
      <c r="F3530" s="33">
        <f>DATE(YEAR(A3530),MONTH(A3530),1)</f>
        <v>41852.0</v>
      </c>
      <c r="G3530" t="str">
        <f>CHOOSE(WEEKDAY(A3530,2),"Mon","Tue","Wed","Thu","Fri","Sat","Sun")</f>
        <v>Tue</v>
      </c>
      <c r="H3530" t="str">
        <f>IF(WEEKDAY(A3530,2)&gt;5,"Weekend","Weekday")</f>
        <v>Weekday</v>
      </c>
      <c r="I3530" t="str">
        <f>_xlfn.IFS(B3530&lt;=5,"Night (0-5)",B3530&lt;=9,"Morning peak (6-9)",B3530&lt;=15,"Midday (10-15)",B3530&lt;=19,"Evening peak (16-19)",TRUE,"Late evening (20-23)")</f>
        <v>Night (0-5)</v>
      </c>
    </row>
    <row r="3531" spans="1:9">
      <c r="A3531" s="32">
        <v>41877</v>
      </c>
      <c r="B3531">
        <v>1</v>
      </c>
      <c r="C3531">
        <v>172</v>
      </c>
      <c r="D3531" t="s">
        <v>303</v>
      </c>
      <c r="E3531">
        <f>YEAR(A3531)</f>
        <v>2014</v>
      </c>
      <c r="F3531" s="33">
        <f>DATE(YEAR(A3531),MONTH(A3531),1)</f>
        <v>41852.0</v>
      </c>
      <c r="G3531" t="str">
        <f>CHOOSE(WEEKDAY(A3531,2),"Mon","Tue","Wed","Thu","Fri","Sat","Sun")</f>
        <v>Tue</v>
      </c>
      <c r="H3531" t="str">
        <f>IF(WEEKDAY(A3531,2)&gt;5,"Weekend","Weekday")</f>
        <v>Weekday</v>
      </c>
      <c r="I3531" t="str">
        <f>_xlfn.IFS(B3531&lt;=5,"Night (0-5)",B3531&lt;=9,"Morning peak (6-9)",B3531&lt;=15,"Midday (10-15)",B3531&lt;=19,"Evening peak (16-19)",TRUE,"Late evening (20-23)")</f>
        <v>Night (0-5)</v>
      </c>
    </row>
    <row r="3532" spans="1:9">
      <c r="A3532" s="32">
        <v>41877</v>
      </c>
      <c r="B3532">
        <v>2</v>
      </c>
      <c r="C3532">
        <v>130</v>
      </c>
      <c r="D3532" t="s">
        <v>303</v>
      </c>
      <c r="E3532">
        <f>YEAR(A3532)</f>
        <v>2014</v>
      </c>
      <c r="F3532" s="33">
        <f>DATE(YEAR(A3532),MONTH(A3532),1)</f>
        <v>41852.0</v>
      </c>
      <c r="G3532" t="str">
        <f>CHOOSE(WEEKDAY(A3532,2),"Mon","Tue","Wed","Thu","Fri","Sat","Sun")</f>
        <v>Tue</v>
      </c>
      <c r="H3532" t="str">
        <f>IF(WEEKDAY(A3532,2)&gt;5,"Weekend","Weekday")</f>
        <v>Weekday</v>
      </c>
      <c r="I3532" t="str">
        <f>_xlfn.IFS(B3532&lt;=5,"Night (0-5)",B3532&lt;=9,"Morning peak (6-9)",B3532&lt;=15,"Midday (10-15)",B3532&lt;=19,"Evening peak (16-19)",TRUE,"Late evening (20-23)")</f>
        <v>Night (0-5)</v>
      </c>
    </row>
    <row r="3533" spans="1:9">
      <c r="A3533" s="32">
        <v>41877</v>
      </c>
      <c r="B3533">
        <v>3</v>
      </c>
      <c r="C3533">
        <v>200</v>
      </c>
      <c r="D3533" t="s">
        <v>303</v>
      </c>
      <c r="E3533">
        <f>YEAR(A3533)</f>
        <v>2014</v>
      </c>
      <c r="F3533" s="33">
        <f>DATE(YEAR(A3533),MONTH(A3533),1)</f>
        <v>41852.0</v>
      </c>
      <c r="G3533" t="str">
        <f>CHOOSE(WEEKDAY(A3533,2),"Mon","Tue","Wed","Thu","Fri","Sat","Sun")</f>
        <v>Tue</v>
      </c>
      <c r="H3533" t="str">
        <f>IF(WEEKDAY(A3533,2)&gt;5,"Weekend","Weekday")</f>
        <v>Weekday</v>
      </c>
      <c r="I3533" t="str">
        <f>_xlfn.IFS(B3533&lt;=5,"Night (0-5)",B3533&lt;=9,"Morning peak (6-9)",B3533&lt;=15,"Midday (10-15)",B3533&lt;=19,"Evening peak (16-19)",TRUE,"Late evening (20-23)")</f>
        <v>Night (0-5)</v>
      </c>
    </row>
    <row r="3534" spans="1:9">
      <c r="A3534" s="32">
        <v>41877</v>
      </c>
      <c r="B3534">
        <v>4</v>
      </c>
      <c r="C3534">
        <v>321</v>
      </c>
      <c r="D3534" t="s">
        <v>303</v>
      </c>
      <c r="E3534">
        <f>YEAR(A3534)</f>
        <v>2014</v>
      </c>
      <c r="F3534" s="33">
        <f>DATE(YEAR(A3534),MONTH(A3534),1)</f>
        <v>41852.0</v>
      </c>
      <c r="G3534" t="str">
        <f>CHOOSE(WEEKDAY(A3534,2),"Mon","Tue","Wed","Thu","Fri","Sat","Sun")</f>
        <v>Tue</v>
      </c>
      <c r="H3534" t="str">
        <f>IF(WEEKDAY(A3534,2)&gt;5,"Weekend","Weekday")</f>
        <v>Weekday</v>
      </c>
      <c r="I3534" t="str">
        <f>_xlfn.IFS(B3534&lt;=5,"Night (0-5)",B3534&lt;=9,"Morning peak (6-9)",B3534&lt;=15,"Midday (10-15)",B3534&lt;=19,"Evening peak (16-19)",TRUE,"Late evening (20-23)")</f>
        <v>Night (0-5)</v>
      </c>
    </row>
    <row r="3535" spans="1:9">
      <c r="A3535" s="32">
        <v>41877</v>
      </c>
      <c r="B3535">
        <v>5</v>
      </c>
      <c r="C3535">
        <v>571</v>
      </c>
      <c r="D3535" t="s">
        <v>303</v>
      </c>
      <c r="E3535">
        <f>YEAR(A3535)</f>
        <v>2014</v>
      </c>
      <c r="F3535" s="33">
        <f>DATE(YEAR(A3535),MONTH(A3535),1)</f>
        <v>41852.0</v>
      </c>
      <c r="G3535" t="str">
        <f>CHOOSE(WEEKDAY(A3535,2),"Mon","Tue","Wed","Thu","Fri","Sat","Sun")</f>
        <v>Tue</v>
      </c>
      <c r="H3535" t="str">
        <f>IF(WEEKDAY(A3535,2)&gt;5,"Weekend","Weekday")</f>
        <v>Weekday</v>
      </c>
      <c r="I3535" t="str">
        <f>_xlfn.IFS(B3535&lt;=5,"Night (0-5)",B3535&lt;=9,"Morning peak (6-9)",B3535&lt;=15,"Midday (10-15)",B3535&lt;=19,"Evening peak (16-19)",TRUE,"Late evening (20-23)")</f>
        <v>Night (0-5)</v>
      </c>
    </row>
    <row r="3536" spans="1:9">
      <c r="A3536" s="32">
        <v>41877</v>
      </c>
      <c r="B3536">
        <v>6</v>
      </c>
      <c r="C3536">
        <v>974</v>
      </c>
      <c r="D3536" t="s">
        <v>303</v>
      </c>
      <c r="E3536">
        <f>YEAR(A3536)</f>
        <v>2014</v>
      </c>
      <c r="F3536" s="33">
        <f>DATE(YEAR(A3536),MONTH(A3536),1)</f>
        <v>41852.0</v>
      </c>
      <c r="G3536" t="str">
        <f>CHOOSE(WEEKDAY(A3536,2),"Mon","Tue","Wed","Thu","Fri","Sat","Sun")</f>
        <v>Tue</v>
      </c>
      <c r="H3536" t="str">
        <f>IF(WEEKDAY(A3536,2)&gt;5,"Weekend","Weekday")</f>
        <v>Weekday</v>
      </c>
      <c r="I3536" t="str">
        <f>_xlfn.IFS(B3536&lt;=5,"Night (0-5)",B3536&lt;=9,"Morning peak (6-9)",B3536&lt;=15,"Midday (10-15)",B3536&lt;=19,"Evening peak (16-19)",TRUE,"Late evening (20-23)")</f>
        <v>Morning peak (6-9)</v>
      </c>
    </row>
    <row r="3537" spans="1:9">
      <c r="A3537" s="32">
        <v>41877</v>
      </c>
      <c r="B3537">
        <v>7</v>
      </c>
      <c r="C3537">
        <v>1395</v>
      </c>
      <c r="D3537" t="s">
        <v>303</v>
      </c>
      <c r="E3537">
        <f>YEAR(A3537)</f>
        <v>2014</v>
      </c>
      <c r="F3537" s="33">
        <f>DATE(YEAR(A3537),MONTH(A3537),1)</f>
        <v>41852.0</v>
      </c>
      <c r="G3537" t="str">
        <f>CHOOSE(WEEKDAY(A3537,2),"Mon","Tue","Wed","Thu","Fri","Sat","Sun")</f>
        <v>Tue</v>
      </c>
      <c r="H3537" t="str">
        <f>IF(WEEKDAY(A3537,2)&gt;5,"Weekend","Weekday")</f>
        <v>Weekday</v>
      </c>
      <c r="I3537" t="str">
        <f>_xlfn.IFS(B3537&lt;=5,"Night (0-5)",B3537&lt;=9,"Morning peak (6-9)",B3537&lt;=15,"Midday (10-15)",B3537&lt;=19,"Evening peak (16-19)",TRUE,"Late evening (20-23)")</f>
        <v>Morning peak (6-9)</v>
      </c>
    </row>
    <row r="3538" spans="1:9">
      <c r="A3538" s="32">
        <v>41877</v>
      </c>
      <c r="B3538">
        <v>8</v>
      </c>
      <c r="C3538">
        <v>1281</v>
      </c>
      <c r="D3538" t="s">
        <v>303</v>
      </c>
      <c r="E3538">
        <f>YEAR(A3538)</f>
        <v>2014</v>
      </c>
      <c r="F3538" s="33">
        <f>DATE(YEAR(A3538),MONTH(A3538),1)</f>
        <v>41852.0</v>
      </c>
      <c r="G3538" t="str">
        <f>CHOOSE(WEEKDAY(A3538,2),"Mon","Tue","Wed","Thu","Fri","Sat","Sun")</f>
        <v>Tue</v>
      </c>
      <c r="H3538" t="str">
        <f>IF(WEEKDAY(A3538,2)&gt;5,"Weekend","Weekday")</f>
        <v>Weekday</v>
      </c>
      <c r="I3538" t="str">
        <f>_xlfn.IFS(B3538&lt;=5,"Night (0-5)",B3538&lt;=9,"Morning peak (6-9)",B3538&lt;=15,"Midday (10-15)",B3538&lt;=19,"Evening peak (16-19)",TRUE,"Late evening (20-23)")</f>
        <v>Morning peak (6-9)</v>
      </c>
    </row>
    <row r="3539" spans="1:9">
      <c r="A3539" s="32">
        <v>41877</v>
      </c>
      <c r="B3539">
        <v>9</v>
      </c>
      <c r="C3539">
        <v>1061</v>
      </c>
      <c r="D3539" t="s">
        <v>303</v>
      </c>
      <c r="E3539">
        <f>YEAR(A3539)</f>
        <v>2014</v>
      </c>
      <c r="F3539" s="33">
        <f>DATE(YEAR(A3539),MONTH(A3539),1)</f>
        <v>41852.0</v>
      </c>
      <c r="G3539" t="str">
        <f>CHOOSE(WEEKDAY(A3539,2),"Mon","Tue","Wed","Thu","Fri","Sat","Sun")</f>
        <v>Tue</v>
      </c>
      <c r="H3539" t="str">
        <f>IF(WEEKDAY(A3539,2)&gt;5,"Weekend","Weekday")</f>
        <v>Weekday</v>
      </c>
      <c r="I3539" t="str">
        <f>_xlfn.IFS(B3539&lt;=5,"Night (0-5)",B3539&lt;=9,"Morning peak (6-9)",B3539&lt;=15,"Midday (10-15)",B3539&lt;=19,"Evening peak (16-19)",TRUE,"Late evening (20-23)")</f>
        <v>Morning peak (6-9)</v>
      </c>
    </row>
    <row r="3540" spans="1:9">
      <c r="A3540" s="32">
        <v>41877</v>
      </c>
      <c r="B3540">
        <v>10</v>
      </c>
      <c r="C3540">
        <v>964</v>
      </c>
      <c r="D3540" t="s">
        <v>303</v>
      </c>
      <c r="E3540">
        <f>YEAR(A3540)</f>
        <v>2014</v>
      </c>
      <c r="F3540" s="33">
        <f>DATE(YEAR(A3540),MONTH(A3540),1)</f>
        <v>41852.0</v>
      </c>
      <c r="G3540" t="str">
        <f>CHOOSE(WEEKDAY(A3540,2),"Mon","Tue","Wed","Thu","Fri","Sat","Sun")</f>
        <v>Tue</v>
      </c>
      <c r="H3540" t="str">
        <f>IF(WEEKDAY(A3540,2)&gt;5,"Weekend","Weekday")</f>
        <v>Weekday</v>
      </c>
      <c r="I3540" t="str">
        <f>_xlfn.IFS(B3540&lt;=5,"Night (0-5)",B3540&lt;=9,"Morning peak (6-9)",B3540&lt;=15,"Midday (10-15)",B3540&lt;=19,"Evening peak (16-19)",TRUE,"Late evening (20-23)")</f>
        <v>Midday (10-15)</v>
      </c>
    </row>
    <row r="3541" spans="1:9">
      <c r="A3541" s="32">
        <v>41877</v>
      </c>
      <c r="B3541">
        <v>11</v>
      </c>
      <c r="C3541">
        <v>984</v>
      </c>
      <c r="D3541" t="s">
        <v>303</v>
      </c>
      <c r="E3541">
        <f>YEAR(A3541)</f>
        <v>2014</v>
      </c>
      <c r="F3541" s="33">
        <f>DATE(YEAR(A3541),MONTH(A3541),1)</f>
        <v>41852.0</v>
      </c>
      <c r="G3541" t="str">
        <f>CHOOSE(WEEKDAY(A3541,2),"Mon","Tue","Wed","Thu","Fri","Sat","Sun")</f>
        <v>Tue</v>
      </c>
      <c r="H3541" t="str">
        <f>IF(WEEKDAY(A3541,2)&gt;5,"Weekend","Weekday")</f>
        <v>Weekday</v>
      </c>
      <c r="I3541" t="str">
        <f>_xlfn.IFS(B3541&lt;=5,"Night (0-5)",B3541&lt;=9,"Morning peak (6-9)",B3541&lt;=15,"Midday (10-15)",B3541&lt;=19,"Evening peak (16-19)",TRUE,"Late evening (20-23)")</f>
        <v>Midday (10-15)</v>
      </c>
    </row>
    <row r="3542" spans="1:9">
      <c r="A3542" s="32">
        <v>41877</v>
      </c>
      <c r="B3542">
        <v>12</v>
      </c>
      <c r="C3542">
        <v>970</v>
      </c>
      <c r="D3542" t="s">
        <v>303</v>
      </c>
      <c r="E3542">
        <f>YEAR(A3542)</f>
        <v>2014</v>
      </c>
      <c r="F3542" s="33">
        <f>DATE(YEAR(A3542),MONTH(A3542),1)</f>
        <v>41852.0</v>
      </c>
      <c r="G3542" t="str">
        <f>CHOOSE(WEEKDAY(A3542,2),"Mon","Tue","Wed","Thu","Fri","Sat","Sun")</f>
        <v>Tue</v>
      </c>
      <c r="H3542" t="str">
        <f>IF(WEEKDAY(A3542,2)&gt;5,"Weekend","Weekday")</f>
        <v>Weekday</v>
      </c>
      <c r="I3542" t="str">
        <f>_xlfn.IFS(B3542&lt;=5,"Night (0-5)",B3542&lt;=9,"Morning peak (6-9)",B3542&lt;=15,"Midday (10-15)",B3542&lt;=19,"Evening peak (16-19)",TRUE,"Late evening (20-23)")</f>
        <v>Midday (10-15)</v>
      </c>
    </row>
    <row r="3543" spans="1:9">
      <c r="A3543" s="32">
        <v>41877</v>
      </c>
      <c r="B3543">
        <v>13</v>
      </c>
      <c r="C3543">
        <v>1136</v>
      </c>
      <c r="D3543" t="s">
        <v>303</v>
      </c>
      <c r="E3543">
        <f>YEAR(A3543)</f>
        <v>2014</v>
      </c>
      <c r="F3543" s="33">
        <f>DATE(YEAR(A3543),MONTH(A3543),1)</f>
        <v>41852.0</v>
      </c>
      <c r="G3543" t="str">
        <f>CHOOSE(WEEKDAY(A3543,2),"Mon","Tue","Wed","Thu","Fri","Sat","Sun")</f>
        <v>Tue</v>
      </c>
      <c r="H3543" t="str">
        <f>IF(WEEKDAY(A3543,2)&gt;5,"Weekend","Weekday")</f>
        <v>Weekday</v>
      </c>
      <c r="I3543" t="str">
        <f>_xlfn.IFS(B3543&lt;=5,"Night (0-5)",B3543&lt;=9,"Morning peak (6-9)",B3543&lt;=15,"Midday (10-15)",B3543&lt;=19,"Evening peak (16-19)",TRUE,"Late evening (20-23)")</f>
        <v>Midday (10-15)</v>
      </c>
    </row>
    <row r="3544" spans="1:9">
      <c r="A3544" s="32">
        <v>41877</v>
      </c>
      <c r="B3544">
        <v>14</v>
      </c>
      <c r="C3544">
        <v>1216</v>
      </c>
      <c r="D3544" t="s">
        <v>303</v>
      </c>
      <c r="E3544">
        <f>YEAR(A3544)</f>
        <v>2014</v>
      </c>
      <c r="F3544" s="33">
        <f>DATE(YEAR(A3544),MONTH(A3544),1)</f>
        <v>41852.0</v>
      </c>
      <c r="G3544" t="str">
        <f>CHOOSE(WEEKDAY(A3544,2),"Mon","Tue","Wed","Thu","Fri","Sat","Sun")</f>
        <v>Tue</v>
      </c>
      <c r="H3544" t="str">
        <f>IF(WEEKDAY(A3544,2)&gt;5,"Weekend","Weekday")</f>
        <v>Weekday</v>
      </c>
      <c r="I3544" t="str">
        <f>_xlfn.IFS(B3544&lt;=5,"Night (0-5)",B3544&lt;=9,"Morning peak (6-9)",B3544&lt;=15,"Midday (10-15)",B3544&lt;=19,"Evening peak (16-19)",TRUE,"Late evening (20-23)")</f>
        <v>Midday (10-15)</v>
      </c>
    </row>
    <row r="3545" spans="1:9">
      <c r="A3545" s="32">
        <v>41877</v>
      </c>
      <c r="B3545">
        <v>15</v>
      </c>
      <c r="C3545">
        <v>1394</v>
      </c>
      <c r="D3545" t="s">
        <v>303</v>
      </c>
      <c r="E3545">
        <f>YEAR(A3545)</f>
        <v>2014</v>
      </c>
      <c r="F3545" s="33">
        <f>DATE(YEAR(A3545),MONTH(A3545),1)</f>
        <v>41852.0</v>
      </c>
      <c r="G3545" t="str">
        <f>CHOOSE(WEEKDAY(A3545,2),"Mon","Tue","Wed","Thu","Fri","Sat","Sun")</f>
        <v>Tue</v>
      </c>
      <c r="H3545" t="str">
        <f>IF(WEEKDAY(A3545,2)&gt;5,"Weekend","Weekday")</f>
        <v>Weekday</v>
      </c>
      <c r="I3545" t="str">
        <f>_xlfn.IFS(B3545&lt;=5,"Night (0-5)",B3545&lt;=9,"Morning peak (6-9)",B3545&lt;=15,"Midday (10-15)",B3545&lt;=19,"Evening peak (16-19)",TRUE,"Late evening (20-23)")</f>
        <v>Midday (10-15)</v>
      </c>
    </row>
    <row r="3546" spans="1:9">
      <c r="A3546" s="32">
        <v>41877</v>
      </c>
      <c r="B3546">
        <v>16</v>
      </c>
      <c r="C3546">
        <v>1662</v>
      </c>
      <c r="D3546" t="s">
        <v>303</v>
      </c>
      <c r="E3546">
        <f>YEAR(A3546)</f>
        <v>2014</v>
      </c>
      <c r="F3546" s="33">
        <f>DATE(YEAR(A3546),MONTH(A3546),1)</f>
        <v>41852.0</v>
      </c>
      <c r="G3546" t="str">
        <f>CHOOSE(WEEKDAY(A3546,2),"Mon","Tue","Wed","Thu","Fri","Sat","Sun")</f>
        <v>Tue</v>
      </c>
      <c r="H3546" t="str">
        <f>IF(WEEKDAY(A3546,2)&gt;5,"Weekend","Weekday")</f>
        <v>Weekday</v>
      </c>
      <c r="I3546" t="str">
        <f>_xlfn.IFS(B3546&lt;=5,"Night (0-5)",B3546&lt;=9,"Morning peak (6-9)",B3546&lt;=15,"Midday (10-15)",B3546&lt;=19,"Evening peak (16-19)",TRUE,"Late evening (20-23)")</f>
        <v>Evening peak (16-19)</v>
      </c>
    </row>
    <row r="3547" spans="1:9">
      <c r="A3547" s="32">
        <v>41877</v>
      </c>
      <c r="B3547">
        <v>17</v>
      </c>
      <c r="C3547">
        <v>1778</v>
      </c>
      <c r="D3547" t="s">
        <v>303</v>
      </c>
      <c r="E3547">
        <f>YEAR(A3547)</f>
        <v>2014</v>
      </c>
      <c r="F3547" s="33">
        <f>DATE(YEAR(A3547),MONTH(A3547),1)</f>
        <v>41852.0</v>
      </c>
      <c r="G3547" t="str">
        <f>CHOOSE(WEEKDAY(A3547,2),"Mon","Tue","Wed","Thu","Fri","Sat","Sun")</f>
        <v>Tue</v>
      </c>
      <c r="H3547" t="str">
        <f>IF(WEEKDAY(A3547,2)&gt;5,"Weekend","Weekday")</f>
        <v>Weekday</v>
      </c>
      <c r="I3547" t="str">
        <f>_xlfn.IFS(B3547&lt;=5,"Night (0-5)",B3547&lt;=9,"Morning peak (6-9)",B3547&lt;=15,"Midday (10-15)",B3547&lt;=19,"Evening peak (16-19)",TRUE,"Late evening (20-23)")</f>
        <v>Evening peak (16-19)</v>
      </c>
    </row>
    <row r="3548" spans="1:9">
      <c r="A3548" s="32">
        <v>41877</v>
      </c>
      <c r="B3548">
        <v>18</v>
      </c>
      <c r="C3548">
        <v>1561</v>
      </c>
      <c r="D3548" t="s">
        <v>303</v>
      </c>
      <c r="E3548">
        <f>YEAR(A3548)</f>
        <v>2014</v>
      </c>
      <c r="F3548" s="33">
        <f>DATE(YEAR(A3548),MONTH(A3548),1)</f>
        <v>41852.0</v>
      </c>
      <c r="G3548" t="str">
        <f>CHOOSE(WEEKDAY(A3548,2),"Mon","Tue","Wed","Thu","Fri","Sat","Sun")</f>
        <v>Tue</v>
      </c>
      <c r="H3548" t="str">
        <f>IF(WEEKDAY(A3548,2)&gt;5,"Weekend","Weekday")</f>
        <v>Weekday</v>
      </c>
      <c r="I3548" t="str">
        <f>_xlfn.IFS(B3548&lt;=5,"Night (0-5)",B3548&lt;=9,"Morning peak (6-9)",B3548&lt;=15,"Midday (10-15)",B3548&lt;=19,"Evening peak (16-19)",TRUE,"Late evening (20-23)")</f>
        <v>Evening peak (16-19)</v>
      </c>
    </row>
    <row r="3549" spans="1:9">
      <c r="A3549" s="32">
        <v>41877</v>
      </c>
      <c r="B3549">
        <v>19</v>
      </c>
      <c r="C3549">
        <v>1628</v>
      </c>
      <c r="D3549" t="s">
        <v>303</v>
      </c>
      <c r="E3549">
        <f>YEAR(A3549)</f>
        <v>2014</v>
      </c>
      <c r="F3549" s="33">
        <f>DATE(YEAR(A3549),MONTH(A3549),1)</f>
        <v>41852.0</v>
      </c>
      <c r="G3549" t="str">
        <f>CHOOSE(WEEKDAY(A3549,2),"Mon","Tue","Wed","Thu","Fri","Sat","Sun")</f>
        <v>Tue</v>
      </c>
      <c r="H3549" t="str">
        <f>IF(WEEKDAY(A3549,2)&gt;5,"Weekend","Weekday")</f>
        <v>Weekday</v>
      </c>
      <c r="I3549" t="str">
        <f>_xlfn.IFS(B3549&lt;=5,"Night (0-5)",B3549&lt;=9,"Morning peak (6-9)",B3549&lt;=15,"Midday (10-15)",B3549&lt;=19,"Evening peak (16-19)",TRUE,"Late evening (20-23)")</f>
        <v>Evening peak (16-19)</v>
      </c>
    </row>
    <row r="3550" spans="1:9">
      <c r="A3550" s="32">
        <v>41877</v>
      </c>
      <c r="B3550">
        <v>20</v>
      </c>
      <c r="C3550">
        <v>1599</v>
      </c>
      <c r="D3550" t="s">
        <v>303</v>
      </c>
      <c r="E3550">
        <f>YEAR(A3550)</f>
        <v>2014</v>
      </c>
      <c r="F3550" s="33">
        <f>DATE(YEAR(A3550),MONTH(A3550),1)</f>
        <v>41852.0</v>
      </c>
      <c r="G3550" t="str">
        <f>CHOOSE(WEEKDAY(A3550,2),"Mon","Tue","Wed","Thu","Fri","Sat","Sun")</f>
        <v>Tue</v>
      </c>
      <c r="H3550" t="str">
        <f>IF(WEEKDAY(A3550,2)&gt;5,"Weekend","Weekday")</f>
        <v>Weekday</v>
      </c>
      <c r="I3550" t="str">
        <f>_xlfn.IFS(B3550&lt;=5,"Night (0-5)",B3550&lt;=9,"Morning peak (6-9)",B3550&lt;=15,"Midday (10-15)",B3550&lt;=19,"Evening peak (16-19)",TRUE,"Late evening (20-23)")</f>
        <v>Late evening (20-23)</v>
      </c>
    </row>
    <row r="3551" spans="1:9">
      <c r="A3551" s="32">
        <v>41877</v>
      </c>
      <c r="B3551">
        <v>21</v>
      </c>
      <c r="C3551">
        <v>1560</v>
      </c>
      <c r="D3551" t="s">
        <v>303</v>
      </c>
      <c r="E3551">
        <f>YEAR(A3551)</f>
        <v>2014</v>
      </c>
      <c r="F3551" s="33">
        <f>DATE(YEAR(A3551),MONTH(A3551),1)</f>
        <v>41852.0</v>
      </c>
      <c r="G3551" t="str">
        <f>CHOOSE(WEEKDAY(A3551,2),"Mon","Tue","Wed","Thu","Fri","Sat","Sun")</f>
        <v>Tue</v>
      </c>
      <c r="H3551" t="str">
        <f>IF(WEEKDAY(A3551,2)&gt;5,"Weekend","Weekday")</f>
        <v>Weekday</v>
      </c>
      <c r="I3551" t="str">
        <f>_xlfn.IFS(B3551&lt;=5,"Night (0-5)",B3551&lt;=9,"Morning peak (6-9)",B3551&lt;=15,"Midday (10-15)",B3551&lt;=19,"Evening peak (16-19)",TRUE,"Late evening (20-23)")</f>
        <v>Late evening (20-23)</v>
      </c>
    </row>
    <row r="3552" spans="1:9">
      <c r="A3552" s="32">
        <v>41877</v>
      </c>
      <c r="B3552">
        <v>22</v>
      </c>
      <c r="C3552">
        <v>1143</v>
      </c>
      <c r="D3552" t="s">
        <v>303</v>
      </c>
      <c r="E3552">
        <f>YEAR(A3552)</f>
        <v>2014</v>
      </c>
      <c r="F3552" s="33">
        <f>DATE(YEAR(A3552),MONTH(A3552),1)</f>
        <v>41852.0</v>
      </c>
      <c r="G3552" t="str">
        <f>CHOOSE(WEEKDAY(A3552,2),"Mon","Tue","Wed","Thu","Fri","Sat","Sun")</f>
        <v>Tue</v>
      </c>
      <c r="H3552" t="str">
        <f>IF(WEEKDAY(A3552,2)&gt;5,"Weekend","Weekday")</f>
        <v>Weekday</v>
      </c>
      <c r="I3552" t="str">
        <f>_xlfn.IFS(B3552&lt;=5,"Night (0-5)",B3552&lt;=9,"Morning peak (6-9)",B3552&lt;=15,"Midday (10-15)",B3552&lt;=19,"Evening peak (16-19)",TRUE,"Late evening (20-23)")</f>
        <v>Late evening (20-23)</v>
      </c>
    </row>
    <row r="3553" spans="1:9">
      <c r="A3553" s="32">
        <v>41877</v>
      </c>
      <c r="B3553">
        <v>23</v>
      </c>
      <c r="C3553">
        <v>617</v>
      </c>
      <c r="D3553" t="s">
        <v>303</v>
      </c>
      <c r="E3553">
        <f>YEAR(A3553)</f>
        <v>2014</v>
      </c>
      <c r="F3553" s="33">
        <f>DATE(YEAR(A3553),MONTH(A3553),1)</f>
        <v>41852.0</v>
      </c>
      <c r="G3553" t="str">
        <f>CHOOSE(WEEKDAY(A3553,2),"Mon","Tue","Wed","Thu","Fri","Sat","Sun")</f>
        <v>Tue</v>
      </c>
      <c r="H3553" t="str">
        <f>IF(WEEKDAY(A3553,2)&gt;5,"Weekend","Weekday")</f>
        <v>Weekday</v>
      </c>
      <c r="I3553" t="str">
        <f>_xlfn.IFS(B3553&lt;=5,"Night (0-5)",B3553&lt;=9,"Morning peak (6-9)",B3553&lt;=15,"Midday (10-15)",B3553&lt;=19,"Evening peak (16-19)",TRUE,"Late evening (20-23)")</f>
        <v>Late evening (20-23)</v>
      </c>
    </row>
    <row r="3554" spans="1:9">
      <c r="A3554" s="32">
        <v>41878</v>
      </c>
      <c r="B3554">
        <v>0</v>
      </c>
      <c r="C3554">
        <v>316</v>
      </c>
      <c r="D3554" t="s">
        <v>303</v>
      </c>
      <c r="E3554">
        <f>YEAR(A3554)</f>
        <v>2014</v>
      </c>
      <c r="F3554" s="33">
        <f>DATE(YEAR(A3554),MONTH(A3554),1)</f>
        <v>41852.0</v>
      </c>
      <c r="G3554" t="str">
        <f>CHOOSE(WEEKDAY(A3554,2),"Mon","Tue","Wed","Thu","Fri","Sat","Sun")</f>
        <v>Wed</v>
      </c>
      <c r="H3554" t="str">
        <f>IF(WEEKDAY(A3554,2)&gt;5,"Weekend","Weekday")</f>
        <v>Weekday</v>
      </c>
      <c r="I3554" t="str">
        <f>_xlfn.IFS(B3554&lt;=5,"Night (0-5)",B3554&lt;=9,"Morning peak (6-9)",B3554&lt;=15,"Midday (10-15)",B3554&lt;=19,"Evening peak (16-19)",TRUE,"Late evening (20-23)")</f>
        <v>Night (0-5)</v>
      </c>
    </row>
    <row r="3555" spans="1:9">
      <c r="A3555" s="32">
        <v>41878</v>
      </c>
      <c r="B3555">
        <v>1</v>
      </c>
      <c r="C3555">
        <v>214</v>
      </c>
      <c r="D3555" t="s">
        <v>303</v>
      </c>
      <c r="E3555">
        <f>YEAR(A3555)</f>
        <v>2014</v>
      </c>
      <c r="F3555" s="33">
        <f>DATE(YEAR(A3555),MONTH(A3555),1)</f>
        <v>41852.0</v>
      </c>
      <c r="G3555" t="str">
        <f>CHOOSE(WEEKDAY(A3555,2),"Mon","Tue","Wed","Thu","Fri","Sat","Sun")</f>
        <v>Wed</v>
      </c>
      <c r="H3555" t="str">
        <f>IF(WEEKDAY(A3555,2)&gt;5,"Weekend","Weekday")</f>
        <v>Weekday</v>
      </c>
      <c r="I3555" t="str">
        <f>_xlfn.IFS(B3555&lt;=5,"Night (0-5)",B3555&lt;=9,"Morning peak (6-9)",B3555&lt;=15,"Midday (10-15)",B3555&lt;=19,"Evening peak (16-19)",TRUE,"Late evening (20-23)")</f>
        <v>Night (0-5)</v>
      </c>
    </row>
    <row r="3556" spans="1:9">
      <c r="A3556" s="32">
        <v>41878</v>
      </c>
      <c r="B3556">
        <v>2</v>
      </c>
      <c r="C3556">
        <v>135</v>
      </c>
      <c r="D3556" t="s">
        <v>303</v>
      </c>
      <c r="E3556">
        <f>YEAR(A3556)</f>
        <v>2014</v>
      </c>
      <c r="F3556" s="33">
        <f>DATE(YEAR(A3556),MONTH(A3556),1)</f>
        <v>41852.0</v>
      </c>
      <c r="G3556" t="str">
        <f>CHOOSE(WEEKDAY(A3556,2),"Mon","Tue","Wed","Thu","Fri","Sat","Sun")</f>
        <v>Wed</v>
      </c>
      <c r="H3556" t="str">
        <f>IF(WEEKDAY(A3556,2)&gt;5,"Weekend","Weekday")</f>
        <v>Weekday</v>
      </c>
      <c r="I3556" t="str">
        <f>_xlfn.IFS(B3556&lt;=5,"Night (0-5)",B3556&lt;=9,"Morning peak (6-9)",B3556&lt;=15,"Midday (10-15)",B3556&lt;=19,"Evening peak (16-19)",TRUE,"Late evening (20-23)")</f>
        <v>Night (0-5)</v>
      </c>
    </row>
    <row r="3557" spans="1:9">
      <c r="A3557" s="32">
        <v>41878</v>
      </c>
      <c r="B3557">
        <v>3</v>
      </c>
      <c r="C3557">
        <v>218</v>
      </c>
      <c r="D3557" t="s">
        <v>303</v>
      </c>
      <c r="E3557">
        <f>YEAR(A3557)</f>
        <v>2014</v>
      </c>
      <c r="F3557" s="33">
        <f>DATE(YEAR(A3557),MONTH(A3557),1)</f>
        <v>41852.0</v>
      </c>
      <c r="G3557" t="str">
        <f>CHOOSE(WEEKDAY(A3557,2),"Mon","Tue","Wed","Thu","Fri","Sat","Sun")</f>
        <v>Wed</v>
      </c>
      <c r="H3557" t="str">
        <f>IF(WEEKDAY(A3557,2)&gt;5,"Weekend","Weekday")</f>
        <v>Weekday</v>
      </c>
      <c r="I3557" t="str">
        <f>_xlfn.IFS(B3557&lt;=5,"Night (0-5)",B3557&lt;=9,"Morning peak (6-9)",B3557&lt;=15,"Midday (10-15)",B3557&lt;=19,"Evening peak (16-19)",TRUE,"Late evening (20-23)")</f>
        <v>Night (0-5)</v>
      </c>
    </row>
    <row r="3558" spans="1:9">
      <c r="A3558" s="32">
        <v>41878</v>
      </c>
      <c r="B3558">
        <v>4</v>
      </c>
      <c r="C3558">
        <v>323</v>
      </c>
      <c r="D3558" t="s">
        <v>303</v>
      </c>
      <c r="E3558">
        <f>YEAR(A3558)</f>
        <v>2014</v>
      </c>
      <c r="F3558" s="33">
        <f>DATE(YEAR(A3558),MONTH(A3558),1)</f>
        <v>41852.0</v>
      </c>
      <c r="G3558" t="str">
        <f>CHOOSE(WEEKDAY(A3558,2),"Mon","Tue","Wed","Thu","Fri","Sat","Sun")</f>
        <v>Wed</v>
      </c>
      <c r="H3558" t="str">
        <f>IF(WEEKDAY(A3558,2)&gt;5,"Weekend","Weekday")</f>
        <v>Weekday</v>
      </c>
      <c r="I3558" t="str">
        <f>_xlfn.IFS(B3558&lt;=5,"Night (0-5)",B3558&lt;=9,"Morning peak (6-9)",B3558&lt;=15,"Midday (10-15)",B3558&lt;=19,"Evening peak (16-19)",TRUE,"Late evening (20-23)")</f>
        <v>Night (0-5)</v>
      </c>
    </row>
    <row r="3559" spans="1:9">
      <c r="A3559" s="32">
        <v>41878</v>
      </c>
      <c r="B3559">
        <v>5</v>
      </c>
      <c r="C3559">
        <v>594</v>
      </c>
      <c r="D3559" t="s">
        <v>303</v>
      </c>
      <c r="E3559">
        <f>YEAR(A3559)</f>
        <v>2014</v>
      </c>
      <c r="F3559" s="33">
        <f>DATE(YEAR(A3559),MONTH(A3559),1)</f>
        <v>41852.0</v>
      </c>
      <c r="G3559" t="str">
        <f>CHOOSE(WEEKDAY(A3559,2),"Mon","Tue","Wed","Thu","Fri","Sat","Sun")</f>
        <v>Wed</v>
      </c>
      <c r="H3559" t="str">
        <f>IF(WEEKDAY(A3559,2)&gt;5,"Weekend","Weekday")</f>
        <v>Weekday</v>
      </c>
      <c r="I3559" t="str">
        <f>_xlfn.IFS(B3559&lt;=5,"Night (0-5)",B3559&lt;=9,"Morning peak (6-9)",B3559&lt;=15,"Midday (10-15)",B3559&lt;=19,"Evening peak (16-19)",TRUE,"Late evening (20-23)")</f>
        <v>Night (0-5)</v>
      </c>
    </row>
    <row r="3560" spans="1:9">
      <c r="A3560" s="32">
        <v>41878</v>
      </c>
      <c r="B3560">
        <v>6</v>
      </c>
      <c r="C3560">
        <v>935</v>
      </c>
      <c r="D3560" t="s">
        <v>303</v>
      </c>
      <c r="E3560">
        <f>YEAR(A3560)</f>
        <v>2014</v>
      </c>
      <c r="F3560" s="33">
        <f>DATE(YEAR(A3560),MONTH(A3560),1)</f>
        <v>41852.0</v>
      </c>
      <c r="G3560" t="str">
        <f>CHOOSE(WEEKDAY(A3560,2),"Mon","Tue","Wed","Thu","Fri","Sat","Sun")</f>
        <v>Wed</v>
      </c>
      <c r="H3560" t="str">
        <f>IF(WEEKDAY(A3560,2)&gt;5,"Weekend","Weekday")</f>
        <v>Weekday</v>
      </c>
      <c r="I3560" t="str">
        <f>_xlfn.IFS(B3560&lt;=5,"Night (0-5)",B3560&lt;=9,"Morning peak (6-9)",B3560&lt;=15,"Midday (10-15)",B3560&lt;=19,"Evening peak (16-19)",TRUE,"Late evening (20-23)")</f>
        <v>Morning peak (6-9)</v>
      </c>
    </row>
    <row r="3561" spans="1:9">
      <c r="A3561" s="32">
        <v>41878</v>
      </c>
      <c r="B3561">
        <v>7</v>
      </c>
      <c r="C3561">
        <v>1425</v>
      </c>
      <c r="D3561" t="s">
        <v>303</v>
      </c>
      <c r="E3561">
        <f>YEAR(A3561)</f>
        <v>2014</v>
      </c>
      <c r="F3561" s="33">
        <f>DATE(YEAR(A3561),MONTH(A3561),1)</f>
        <v>41852.0</v>
      </c>
      <c r="G3561" t="str">
        <f>CHOOSE(WEEKDAY(A3561,2),"Mon","Tue","Wed","Thu","Fri","Sat","Sun")</f>
        <v>Wed</v>
      </c>
      <c r="H3561" t="str">
        <f>IF(WEEKDAY(A3561,2)&gt;5,"Weekend","Weekday")</f>
        <v>Weekday</v>
      </c>
      <c r="I3561" t="str">
        <f>_xlfn.IFS(B3561&lt;=5,"Night (0-5)",B3561&lt;=9,"Morning peak (6-9)",B3561&lt;=15,"Midday (10-15)",B3561&lt;=19,"Evening peak (16-19)",TRUE,"Late evening (20-23)")</f>
        <v>Morning peak (6-9)</v>
      </c>
    </row>
    <row r="3562" spans="1:9">
      <c r="A3562" s="32">
        <v>41878</v>
      </c>
      <c r="B3562">
        <v>8</v>
      </c>
      <c r="C3562">
        <v>1374</v>
      </c>
      <c r="D3562" t="s">
        <v>303</v>
      </c>
      <c r="E3562">
        <f>YEAR(A3562)</f>
        <v>2014</v>
      </c>
      <c r="F3562" s="33">
        <f>DATE(YEAR(A3562),MONTH(A3562),1)</f>
        <v>41852.0</v>
      </c>
      <c r="G3562" t="str">
        <f>CHOOSE(WEEKDAY(A3562,2),"Mon","Tue","Wed","Thu","Fri","Sat","Sun")</f>
        <v>Wed</v>
      </c>
      <c r="H3562" t="str">
        <f>IF(WEEKDAY(A3562,2)&gt;5,"Weekend","Weekday")</f>
        <v>Weekday</v>
      </c>
      <c r="I3562" t="str">
        <f>_xlfn.IFS(B3562&lt;=5,"Night (0-5)",B3562&lt;=9,"Morning peak (6-9)",B3562&lt;=15,"Midday (10-15)",B3562&lt;=19,"Evening peak (16-19)",TRUE,"Late evening (20-23)")</f>
        <v>Morning peak (6-9)</v>
      </c>
    </row>
    <row r="3563" spans="1:9">
      <c r="A3563" s="32">
        <v>41878</v>
      </c>
      <c r="B3563">
        <v>9</v>
      </c>
      <c r="C3563">
        <v>1074</v>
      </c>
      <c r="D3563" t="s">
        <v>303</v>
      </c>
      <c r="E3563">
        <f>YEAR(A3563)</f>
        <v>2014</v>
      </c>
      <c r="F3563" s="33">
        <f>DATE(YEAR(A3563),MONTH(A3563),1)</f>
        <v>41852.0</v>
      </c>
      <c r="G3563" t="str">
        <f>CHOOSE(WEEKDAY(A3563,2),"Mon","Tue","Wed","Thu","Fri","Sat","Sun")</f>
        <v>Wed</v>
      </c>
      <c r="H3563" t="str">
        <f>IF(WEEKDAY(A3563,2)&gt;5,"Weekend","Weekday")</f>
        <v>Weekday</v>
      </c>
      <c r="I3563" t="str">
        <f>_xlfn.IFS(B3563&lt;=5,"Night (0-5)",B3563&lt;=9,"Morning peak (6-9)",B3563&lt;=15,"Midday (10-15)",B3563&lt;=19,"Evening peak (16-19)",TRUE,"Late evening (20-23)")</f>
        <v>Morning peak (6-9)</v>
      </c>
    </row>
    <row r="3564" spans="1:9">
      <c r="A3564" s="32">
        <v>41878</v>
      </c>
      <c r="B3564">
        <v>10</v>
      </c>
      <c r="C3564">
        <v>1097</v>
      </c>
      <c r="D3564" t="s">
        <v>303</v>
      </c>
      <c r="E3564">
        <f>YEAR(A3564)</f>
        <v>2014</v>
      </c>
      <c r="F3564" s="33">
        <f>DATE(YEAR(A3564),MONTH(A3564),1)</f>
        <v>41852.0</v>
      </c>
      <c r="G3564" t="str">
        <f>CHOOSE(WEEKDAY(A3564,2),"Mon","Tue","Wed","Thu","Fri","Sat","Sun")</f>
        <v>Wed</v>
      </c>
      <c r="H3564" t="str">
        <f>IF(WEEKDAY(A3564,2)&gt;5,"Weekend","Weekday")</f>
        <v>Weekday</v>
      </c>
      <c r="I3564" t="str">
        <f>_xlfn.IFS(B3564&lt;=5,"Night (0-5)",B3564&lt;=9,"Morning peak (6-9)",B3564&lt;=15,"Midday (10-15)",B3564&lt;=19,"Evening peak (16-19)",TRUE,"Late evening (20-23)")</f>
        <v>Midday (10-15)</v>
      </c>
    </row>
    <row r="3565" spans="1:9">
      <c r="A3565" s="32">
        <v>41878</v>
      </c>
      <c r="B3565">
        <v>11</v>
      </c>
      <c r="C3565">
        <v>1052</v>
      </c>
      <c r="D3565" t="s">
        <v>303</v>
      </c>
      <c r="E3565">
        <f>YEAR(A3565)</f>
        <v>2014</v>
      </c>
      <c r="F3565" s="33">
        <f>DATE(YEAR(A3565),MONTH(A3565),1)</f>
        <v>41852.0</v>
      </c>
      <c r="G3565" t="str">
        <f>CHOOSE(WEEKDAY(A3565,2),"Mon","Tue","Wed","Thu","Fri","Sat","Sun")</f>
        <v>Wed</v>
      </c>
      <c r="H3565" t="str">
        <f>IF(WEEKDAY(A3565,2)&gt;5,"Weekend","Weekday")</f>
        <v>Weekday</v>
      </c>
      <c r="I3565" t="str">
        <f>_xlfn.IFS(B3565&lt;=5,"Night (0-5)",B3565&lt;=9,"Morning peak (6-9)",B3565&lt;=15,"Midday (10-15)",B3565&lt;=19,"Evening peak (16-19)",TRUE,"Late evening (20-23)")</f>
        <v>Midday (10-15)</v>
      </c>
    </row>
    <row r="3566" spans="1:9">
      <c r="A3566" s="32">
        <v>41878</v>
      </c>
      <c r="B3566">
        <v>12</v>
      </c>
      <c r="C3566">
        <v>1105</v>
      </c>
      <c r="D3566" t="s">
        <v>303</v>
      </c>
      <c r="E3566">
        <f>YEAR(A3566)</f>
        <v>2014</v>
      </c>
      <c r="F3566" s="33">
        <f>DATE(YEAR(A3566),MONTH(A3566),1)</f>
        <v>41852.0</v>
      </c>
      <c r="G3566" t="str">
        <f>CHOOSE(WEEKDAY(A3566,2),"Mon","Tue","Wed","Thu","Fri","Sat","Sun")</f>
        <v>Wed</v>
      </c>
      <c r="H3566" t="str">
        <f>IF(WEEKDAY(A3566,2)&gt;5,"Weekend","Weekday")</f>
        <v>Weekday</v>
      </c>
      <c r="I3566" t="str">
        <f>_xlfn.IFS(B3566&lt;=5,"Night (0-5)",B3566&lt;=9,"Morning peak (6-9)",B3566&lt;=15,"Midday (10-15)",B3566&lt;=19,"Evening peak (16-19)",TRUE,"Late evening (20-23)")</f>
        <v>Midday (10-15)</v>
      </c>
    </row>
    <row r="3567" spans="1:9">
      <c r="A3567" s="32">
        <v>41878</v>
      </c>
      <c r="B3567">
        <v>13</v>
      </c>
      <c r="C3567">
        <v>1190</v>
      </c>
      <c r="D3567" t="s">
        <v>303</v>
      </c>
      <c r="E3567">
        <f>YEAR(A3567)</f>
        <v>2014</v>
      </c>
      <c r="F3567" s="33">
        <f>DATE(YEAR(A3567),MONTH(A3567),1)</f>
        <v>41852.0</v>
      </c>
      <c r="G3567" t="str">
        <f>CHOOSE(WEEKDAY(A3567,2),"Mon","Tue","Wed","Thu","Fri","Sat","Sun")</f>
        <v>Wed</v>
      </c>
      <c r="H3567" t="str">
        <f>IF(WEEKDAY(A3567,2)&gt;5,"Weekend","Weekday")</f>
        <v>Weekday</v>
      </c>
      <c r="I3567" t="str">
        <f>_xlfn.IFS(B3567&lt;=5,"Night (0-5)",B3567&lt;=9,"Morning peak (6-9)",B3567&lt;=15,"Midday (10-15)",B3567&lt;=19,"Evening peak (16-19)",TRUE,"Late evening (20-23)")</f>
        <v>Midday (10-15)</v>
      </c>
    </row>
    <row r="3568" spans="1:9">
      <c r="A3568" s="32">
        <v>41878</v>
      </c>
      <c r="B3568">
        <v>14</v>
      </c>
      <c r="C3568">
        <v>1267</v>
      </c>
      <c r="D3568" t="s">
        <v>303</v>
      </c>
      <c r="E3568">
        <f>YEAR(A3568)</f>
        <v>2014</v>
      </c>
      <c r="F3568" s="33">
        <f>DATE(YEAR(A3568),MONTH(A3568),1)</f>
        <v>41852.0</v>
      </c>
      <c r="G3568" t="str">
        <f>CHOOSE(WEEKDAY(A3568,2),"Mon","Tue","Wed","Thu","Fri","Sat","Sun")</f>
        <v>Wed</v>
      </c>
      <c r="H3568" t="str">
        <f>IF(WEEKDAY(A3568,2)&gt;5,"Weekend","Weekday")</f>
        <v>Weekday</v>
      </c>
      <c r="I3568" t="str">
        <f>_xlfn.IFS(B3568&lt;=5,"Night (0-5)",B3568&lt;=9,"Morning peak (6-9)",B3568&lt;=15,"Midday (10-15)",B3568&lt;=19,"Evening peak (16-19)",TRUE,"Late evening (20-23)")</f>
        <v>Midday (10-15)</v>
      </c>
    </row>
    <row r="3569" spans="1:9">
      <c r="A3569" s="32">
        <v>41878</v>
      </c>
      <c r="B3569">
        <v>15</v>
      </c>
      <c r="C3569">
        <v>1558</v>
      </c>
      <c r="D3569" t="s">
        <v>303</v>
      </c>
      <c r="E3569">
        <f>YEAR(A3569)</f>
        <v>2014</v>
      </c>
      <c r="F3569" s="33">
        <f>DATE(YEAR(A3569),MONTH(A3569),1)</f>
        <v>41852.0</v>
      </c>
      <c r="G3569" t="str">
        <f>CHOOSE(WEEKDAY(A3569,2),"Mon","Tue","Wed","Thu","Fri","Sat","Sun")</f>
        <v>Wed</v>
      </c>
      <c r="H3569" t="str">
        <f>IF(WEEKDAY(A3569,2)&gt;5,"Weekend","Weekday")</f>
        <v>Weekday</v>
      </c>
      <c r="I3569" t="str">
        <f>_xlfn.IFS(B3569&lt;=5,"Night (0-5)",B3569&lt;=9,"Morning peak (6-9)",B3569&lt;=15,"Midday (10-15)",B3569&lt;=19,"Evening peak (16-19)",TRUE,"Late evening (20-23)")</f>
        <v>Midday (10-15)</v>
      </c>
    </row>
    <row r="3570" spans="1:9">
      <c r="A3570" s="32">
        <v>41878</v>
      </c>
      <c r="B3570">
        <v>16</v>
      </c>
      <c r="C3570">
        <v>1795</v>
      </c>
      <c r="D3570" t="s">
        <v>303</v>
      </c>
      <c r="E3570">
        <f>YEAR(A3570)</f>
        <v>2014</v>
      </c>
      <c r="F3570" s="33">
        <f>DATE(YEAR(A3570),MONTH(A3570),1)</f>
        <v>41852.0</v>
      </c>
      <c r="G3570" t="str">
        <f>CHOOSE(WEEKDAY(A3570,2),"Mon","Tue","Wed","Thu","Fri","Sat","Sun")</f>
        <v>Wed</v>
      </c>
      <c r="H3570" t="str">
        <f>IF(WEEKDAY(A3570,2)&gt;5,"Weekend","Weekday")</f>
        <v>Weekday</v>
      </c>
      <c r="I3570" t="str">
        <f>_xlfn.IFS(B3570&lt;=5,"Night (0-5)",B3570&lt;=9,"Morning peak (6-9)",B3570&lt;=15,"Midday (10-15)",B3570&lt;=19,"Evening peak (16-19)",TRUE,"Late evening (20-23)")</f>
        <v>Evening peak (16-19)</v>
      </c>
    </row>
    <row r="3571" spans="1:9">
      <c r="A3571" s="32">
        <v>41878</v>
      </c>
      <c r="B3571">
        <v>17</v>
      </c>
      <c r="C3571">
        <v>1906</v>
      </c>
      <c r="D3571" t="s">
        <v>303</v>
      </c>
      <c r="E3571">
        <f>YEAR(A3571)</f>
        <v>2014</v>
      </c>
      <c r="F3571" s="33">
        <f>DATE(YEAR(A3571),MONTH(A3571),1)</f>
        <v>41852.0</v>
      </c>
      <c r="G3571" t="str">
        <f>CHOOSE(WEEKDAY(A3571,2),"Mon","Tue","Wed","Thu","Fri","Sat","Sun")</f>
        <v>Wed</v>
      </c>
      <c r="H3571" t="str">
        <f>IF(WEEKDAY(A3571,2)&gt;5,"Weekend","Weekday")</f>
        <v>Weekday</v>
      </c>
      <c r="I3571" t="str">
        <f>_xlfn.IFS(B3571&lt;=5,"Night (0-5)",B3571&lt;=9,"Morning peak (6-9)",B3571&lt;=15,"Midday (10-15)",B3571&lt;=19,"Evening peak (16-19)",TRUE,"Late evening (20-23)")</f>
        <v>Evening peak (16-19)</v>
      </c>
    </row>
    <row r="3572" spans="1:9">
      <c r="A3572" s="32">
        <v>41878</v>
      </c>
      <c r="B3572">
        <v>18</v>
      </c>
      <c r="C3572">
        <v>1865</v>
      </c>
      <c r="D3572" t="s">
        <v>303</v>
      </c>
      <c r="E3572">
        <f>YEAR(A3572)</f>
        <v>2014</v>
      </c>
      <c r="F3572" s="33">
        <f>DATE(YEAR(A3572),MONTH(A3572),1)</f>
        <v>41852.0</v>
      </c>
      <c r="G3572" t="str">
        <f>CHOOSE(WEEKDAY(A3572,2),"Mon","Tue","Wed","Thu","Fri","Sat","Sun")</f>
        <v>Wed</v>
      </c>
      <c r="H3572" t="str">
        <f>IF(WEEKDAY(A3572,2)&gt;5,"Weekend","Weekday")</f>
        <v>Weekday</v>
      </c>
      <c r="I3572" t="str">
        <f>_xlfn.IFS(B3572&lt;=5,"Night (0-5)",B3572&lt;=9,"Morning peak (6-9)",B3572&lt;=15,"Midday (10-15)",B3572&lt;=19,"Evening peak (16-19)",TRUE,"Late evening (20-23)")</f>
        <v>Evening peak (16-19)</v>
      </c>
    </row>
    <row r="3573" spans="1:9">
      <c r="A3573" s="32">
        <v>41878</v>
      </c>
      <c r="B3573">
        <v>19</v>
      </c>
      <c r="C3573">
        <v>1795</v>
      </c>
      <c r="D3573" t="s">
        <v>303</v>
      </c>
      <c r="E3573">
        <f>YEAR(A3573)</f>
        <v>2014</v>
      </c>
      <c r="F3573" s="33">
        <f>DATE(YEAR(A3573),MONTH(A3573),1)</f>
        <v>41852.0</v>
      </c>
      <c r="G3573" t="str">
        <f>CHOOSE(WEEKDAY(A3573,2),"Mon","Tue","Wed","Thu","Fri","Sat","Sun")</f>
        <v>Wed</v>
      </c>
      <c r="H3573" t="str">
        <f>IF(WEEKDAY(A3573,2)&gt;5,"Weekend","Weekday")</f>
        <v>Weekday</v>
      </c>
      <c r="I3573" t="str">
        <f>_xlfn.IFS(B3573&lt;=5,"Night (0-5)",B3573&lt;=9,"Morning peak (6-9)",B3573&lt;=15,"Midday (10-15)",B3573&lt;=19,"Evening peak (16-19)",TRUE,"Late evening (20-23)")</f>
        <v>Evening peak (16-19)</v>
      </c>
    </row>
    <row r="3574" spans="1:9">
      <c r="A3574" s="32">
        <v>41878</v>
      </c>
      <c r="B3574">
        <v>20</v>
      </c>
      <c r="C3574">
        <v>1808</v>
      </c>
      <c r="D3574" t="s">
        <v>303</v>
      </c>
      <c r="E3574">
        <f>YEAR(A3574)</f>
        <v>2014</v>
      </c>
      <c r="F3574" s="33">
        <f>DATE(YEAR(A3574),MONTH(A3574),1)</f>
        <v>41852.0</v>
      </c>
      <c r="G3574" t="str">
        <f>CHOOSE(WEEKDAY(A3574,2),"Mon","Tue","Wed","Thu","Fri","Sat","Sun")</f>
        <v>Wed</v>
      </c>
      <c r="H3574" t="str">
        <f>IF(WEEKDAY(A3574,2)&gt;5,"Weekend","Weekday")</f>
        <v>Weekday</v>
      </c>
      <c r="I3574" t="str">
        <f>_xlfn.IFS(B3574&lt;=5,"Night (0-5)",B3574&lt;=9,"Morning peak (6-9)",B3574&lt;=15,"Midday (10-15)",B3574&lt;=19,"Evening peak (16-19)",TRUE,"Late evening (20-23)")</f>
        <v>Late evening (20-23)</v>
      </c>
    </row>
    <row r="3575" spans="1:9">
      <c r="A3575" s="32">
        <v>41878</v>
      </c>
      <c r="B3575">
        <v>21</v>
      </c>
      <c r="C3575">
        <v>1867</v>
      </c>
      <c r="D3575" t="s">
        <v>303</v>
      </c>
      <c r="E3575">
        <f>YEAR(A3575)</f>
        <v>2014</v>
      </c>
      <c r="F3575" s="33">
        <f>DATE(YEAR(A3575),MONTH(A3575),1)</f>
        <v>41852.0</v>
      </c>
      <c r="G3575" t="str">
        <f>CHOOSE(WEEKDAY(A3575,2),"Mon","Tue","Wed","Thu","Fri","Sat","Sun")</f>
        <v>Wed</v>
      </c>
      <c r="H3575" t="str">
        <f>IF(WEEKDAY(A3575,2)&gt;5,"Weekend","Weekday")</f>
        <v>Weekday</v>
      </c>
      <c r="I3575" t="str">
        <f>_xlfn.IFS(B3575&lt;=5,"Night (0-5)",B3575&lt;=9,"Morning peak (6-9)",B3575&lt;=15,"Midday (10-15)",B3575&lt;=19,"Evening peak (16-19)",TRUE,"Late evening (20-23)")</f>
        <v>Late evening (20-23)</v>
      </c>
    </row>
    <row r="3576" spans="1:9">
      <c r="A3576" s="32">
        <v>41878</v>
      </c>
      <c r="B3576">
        <v>22</v>
      </c>
      <c r="C3576">
        <v>1321</v>
      </c>
      <c r="D3576" t="s">
        <v>303</v>
      </c>
      <c r="E3576">
        <f>YEAR(A3576)</f>
        <v>2014</v>
      </c>
      <c r="F3576" s="33">
        <f>DATE(YEAR(A3576),MONTH(A3576),1)</f>
        <v>41852.0</v>
      </c>
      <c r="G3576" t="str">
        <f>CHOOSE(WEEKDAY(A3576,2),"Mon","Tue","Wed","Thu","Fri","Sat","Sun")</f>
        <v>Wed</v>
      </c>
      <c r="H3576" t="str">
        <f>IF(WEEKDAY(A3576,2)&gt;5,"Weekend","Weekday")</f>
        <v>Weekday</v>
      </c>
      <c r="I3576" t="str">
        <f>_xlfn.IFS(B3576&lt;=5,"Night (0-5)",B3576&lt;=9,"Morning peak (6-9)",B3576&lt;=15,"Midday (10-15)",B3576&lt;=19,"Evening peak (16-19)",TRUE,"Late evening (20-23)")</f>
        <v>Late evening (20-23)</v>
      </c>
    </row>
    <row r="3577" spans="1:9">
      <c r="A3577" s="32">
        <v>41878</v>
      </c>
      <c r="B3577">
        <v>23</v>
      </c>
      <c r="C3577">
        <v>784</v>
      </c>
      <c r="D3577" t="s">
        <v>303</v>
      </c>
      <c r="E3577">
        <f>YEAR(A3577)</f>
        <v>2014</v>
      </c>
      <c r="F3577" s="33">
        <f>DATE(YEAR(A3577),MONTH(A3577),1)</f>
        <v>41852.0</v>
      </c>
      <c r="G3577" t="str">
        <f>CHOOSE(WEEKDAY(A3577,2),"Mon","Tue","Wed","Thu","Fri","Sat","Sun")</f>
        <v>Wed</v>
      </c>
      <c r="H3577" t="str">
        <f>IF(WEEKDAY(A3577,2)&gt;5,"Weekend","Weekday")</f>
        <v>Weekday</v>
      </c>
      <c r="I3577" t="str">
        <f>_xlfn.IFS(B3577&lt;=5,"Night (0-5)",B3577&lt;=9,"Morning peak (6-9)",B3577&lt;=15,"Midday (10-15)",B3577&lt;=19,"Evening peak (16-19)",TRUE,"Late evening (20-23)")</f>
        <v>Late evening (20-23)</v>
      </c>
    </row>
    <row r="3578" spans="1:9">
      <c r="A3578" s="32">
        <v>41879</v>
      </c>
      <c r="B3578">
        <v>0</v>
      </c>
      <c r="C3578">
        <v>406</v>
      </c>
      <c r="D3578" t="s">
        <v>303</v>
      </c>
      <c r="E3578">
        <f>YEAR(A3578)</f>
        <v>2014</v>
      </c>
      <c r="F3578" s="33">
        <f>DATE(YEAR(A3578),MONTH(A3578),1)</f>
        <v>41852.0</v>
      </c>
      <c r="G3578" t="str">
        <f>CHOOSE(WEEKDAY(A3578,2),"Mon","Tue","Wed","Thu","Fri","Sat","Sun")</f>
        <v>Thu</v>
      </c>
      <c r="H3578" t="str">
        <f>IF(WEEKDAY(A3578,2)&gt;5,"Weekend","Weekday")</f>
        <v>Weekday</v>
      </c>
      <c r="I3578" t="str">
        <f>_xlfn.IFS(B3578&lt;=5,"Night (0-5)",B3578&lt;=9,"Morning peak (6-9)",B3578&lt;=15,"Midday (10-15)",B3578&lt;=19,"Evening peak (16-19)",TRUE,"Late evening (20-23)")</f>
        <v>Night (0-5)</v>
      </c>
    </row>
    <row r="3579" spans="1:9">
      <c r="A3579" s="32">
        <v>41879</v>
      </c>
      <c r="B3579">
        <v>1</v>
      </c>
      <c r="C3579">
        <v>234</v>
      </c>
      <c r="D3579" t="s">
        <v>303</v>
      </c>
      <c r="E3579">
        <f>YEAR(A3579)</f>
        <v>2014</v>
      </c>
      <c r="F3579" s="33">
        <f>DATE(YEAR(A3579),MONTH(A3579),1)</f>
        <v>41852.0</v>
      </c>
      <c r="G3579" t="str">
        <f>CHOOSE(WEEKDAY(A3579,2),"Mon","Tue","Wed","Thu","Fri","Sat","Sun")</f>
        <v>Thu</v>
      </c>
      <c r="H3579" t="str">
        <f>IF(WEEKDAY(A3579,2)&gt;5,"Weekend","Weekday")</f>
        <v>Weekday</v>
      </c>
      <c r="I3579" t="str">
        <f>_xlfn.IFS(B3579&lt;=5,"Night (0-5)",B3579&lt;=9,"Morning peak (6-9)",B3579&lt;=15,"Midday (10-15)",B3579&lt;=19,"Evening peak (16-19)",TRUE,"Late evening (20-23)")</f>
        <v>Night (0-5)</v>
      </c>
    </row>
    <row r="3580" spans="1:9">
      <c r="A3580" s="32">
        <v>41879</v>
      </c>
      <c r="B3580">
        <v>2</v>
      </c>
      <c r="C3580">
        <v>177</v>
      </c>
      <c r="D3580" t="s">
        <v>303</v>
      </c>
      <c r="E3580">
        <f>YEAR(A3580)</f>
        <v>2014</v>
      </c>
      <c r="F3580" s="33">
        <f>DATE(YEAR(A3580),MONTH(A3580),1)</f>
        <v>41852.0</v>
      </c>
      <c r="G3580" t="str">
        <f>CHOOSE(WEEKDAY(A3580,2),"Mon","Tue","Wed","Thu","Fri","Sat","Sun")</f>
        <v>Thu</v>
      </c>
      <c r="H3580" t="str">
        <f>IF(WEEKDAY(A3580,2)&gt;5,"Weekend","Weekday")</f>
        <v>Weekday</v>
      </c>
      <c r="I3580" t="str">
        <f>_xlfn.IFS(B3580&lt;=5,"Night (0-5)",B3580&lt;=9,"Morning peak (6-9)",B3580&lt;=15,"Midday (10-15)",B3580&lt;=19,"Evening peak (16-19)",TRUE,"Late evening (20-23)")</f>
        <v>Night (0-5)</v>
      </c>
    </row>
    <row r="3581" spans="1:9">
      <c r="A3581" s="32">
        <v>41879</v>
      </c>
      <c r="B3581">
        <v>3</v>
      </c>
      <c r="C3581">
        <v>257</v>
      </c>
      <c r="D3581" t="s">
        <v>303</v>
      </c>
      <c r="E3581">
        <f>YEAR(A3581)</f>
        <v>2014</v>
      </c>
      <c r="F3581" s="33">
        <f>DATE(YEAR(A3581),MONTH(A3581),1)</f>
        <v>41852.0</v>
      </c>
      <c r="G3581" t="str">
        <f>CHOOSE(WEEKDAY(A3581,2),"Mon","Tue","Wed","Thu","Fri","Sat","Sun")</f>
        <v>Thu</v>
      </c>
      <c r="H3581" t="str">
        <f>IF(WEEKDAY(A3581,2)&gt;5,"Weekend","Weekday")</f>
        <v>Weekday</v>
      </c>
      <c r="I3581" t="str">
        <f>_xlfn.IFS(B3581&lt;=5,"Night (0-5)",B3581&lt;=9,"Morning peak (6-9)",B3581&lt;=15,"Midday (10-15)",B3581&lt;=19,"Evening peak (16-19)",TRUE,"Late evening (20-23)")</f>
        <v>Night (0-5)</v>
      </c>
    </row>
    <row r="3582" spans="1:9">
      <c r="A3582" s="32">
        <v>41879</v>
      </c>
      <c r="B3582">
        <v>4</v>
      </c>
      <c r="C3582">
        <v>373</v>
      </c>
      <c r="D3582" t="s">
        <v>303</v>
      </c>
      <c r="E3582">
        <f>YEAR(A3582)</f>
        <v>2014</v>
      </c>
      <c r="F3582" s="33">
        <f>DATE(YEAR(A3582),MONTH(A3582),1)</f>
        <v>41852.0</v>
      </c>
      <c r="G3582" t="str">
        <f>CHOOSE(WEEKDAY(A3582,2),"Mon","Tue","Wed","Thu","Fri","Sat","Sun")</f>
        <v>Thu</v>
      </c>
      <c r="H3582" t="str">
        <f>IF(WEEKDAY(A3582,2)&gt;5,"Weekend","Weekday")</f>
        <v>Weekday</v>
      </c>
      <c r="I3582" t="str">
        <f>_xlfn.IFS(B3582&lt;=5,"Night (0-5)",B3582&lt;=9,"Morning peak (6-9)",B3582&lt;=15,"Midday (10-15)",B3582&lt;=19,"Evening peak (16-19)",TRUE,"Late evening (20-23)")</f>
        <v>Night (0-5)</v>
      </c>
    </row>
    <row r="3583" spans="1:9">
      <c r="A3583" s="32">
        <v>41879</v>
      </c>
      <c r="B3583">
        <v>5</v>
      </c>
      <c r="C3583">
        <v>630</v>
      </c>
      <c r="D3583" t="s">
        <v>303</v>
      </c>
      <c r="E3583">
        <f>YEAR(A3583)</f>
        <v>2014</v>
      </c>
      <c r="F3583" s="33">
        <f>DATE(YEAR(A3583),MONTH(A3583),1)</f>
        <v>41852.0</v>
      </c>
      <c r="G3583" t="str">
        <f>CHOOSE(WEEKDAY(A3583,2),"Mon","Tue","Wed","Thu","Fri","Sat","Sun")</f>
        <v>Thu</v>
      </c>
      <c r="H3583" t="str">
        <f>IF(WEEKDAY(A3583,2)&gt;5,"Weekend","Weekday")</f>
        <v>Weekday</v>
      </c>
      <c r="I3583" t="str">
        <f>_xlfn.IFS(B3583&lt;=5,"Night (0-5)",B3583&lt;=9,"Morning peak (6-9)",B3583&lt;=15,"Midday (10-15)",B3583&lt;=19,"Evening peak (16-19)",TRUE,"Late evening (20-23)")</f>
        <v>Night (0-5)</v>
      </c>
    </row>
    <row r="3584" spans="1:9">
      <c r="A3584" s="32">
        <v>41879</v>
      </c>
      <c r="B3584">
        <v>6</v>
      </c>
      <c r="C3584">
        <v>1004</v>
      </c>
      <c r="D3584" t="s">
        <v>303</v>
      </c>
      <c r="E3584">
        <f>YEAR(A3584)</f>
        <v>2014</v>
      </c>
      <c r="F3584" s="33">
        <f>DATE(YEAR(A3584),MONTH(A3584),1)</f>
        <v>41852.0</v>
      </c>
      <c r="G3584" t="str">
        <f>CHOOSE(WEEKDAY(A3584,2),"Mon","Tue","Wed","Thu","Fri","Sat","Sun")</f>
        <v>Thu</v>
      </c>
      <c r="H3584" t="str">
        <f>IF(WEEKDAY(A3584,2)&gt;5,"Weekend","Weekday")</f>
        <v>Weekday</v>
      </c>
      <c r="I3584" t="str">
        <f>_xlfn.IFS(B3584&lt;=5,"Night (0-5)",B3584&lt;=9,"Morning peak (6-9)",B3584&lt;=15,"Midday (10-15)",B3584&lt;=19,"Evening peak (16-19)",TRUE,"Late evening (20-23)")</f>
        <v>Morning peak (6-9)</v>
      </c>
    </row>
    <row r="3585" spans="1:9">
      <c r="A3585" s="32">
        <v>41879</v>
      </c>
      <c r="B3585">
        <v>7</v>
      </c>
      <c r="C3585">
        <v>1400</v>
      </c>
      <c r="D3585" t="s">
        <v>303</v>
      </c>
      <c r="E3585">
        <f>YEAR(A3585)</f>
        <v>2014</v>
      </c>
      <c r="F3585" s="33">
        <f>DATE(YEAR(A3585),MONTH(A3585),1)</f>
        <v>41852.0</v>
      </c>
      <c r="G3585" t="str">
        <f>CHOOSE(WEEKDAY(A3585,2),"Mon","Tue","Wed","Thu","Fri","Sat","Sun")</f>
        <v>Thu</v>
      </c>
      <c r="H3585" t="str">
        <f>IF(WEEKDAY(A3585,2)&gt;5,"Weekend","Weekday")</f>
        <v>Weekday</v>
      </c>
      <c r="I3585" t="str">
        <f>_xlfn.IFS(B3585&lt;=5,"Night (0-5)",B3585&lt;=9,"Morning peak (6-9)",B3585&lt;=15,"Midday (10-15)",B3585&lt;=19,"Evening peak (16-19)",TRUE,"Late evening (20-23)")</f>
        <v>Morning peak (6-9)</v>
      </c>
    </row>
    <row r="3586" spans="1:9">
      <c r="A3586" s="32">
        <v>41879</v>
      </c>
      <c r="B3586">
        <v>8</v>
      </c>
      <c r="C3586">
        <v>1263</v>
      </c>
      <c r="D3586" t="s">
        <v>303</v>
      </c>
      <c r="E3586">
        <f>YEAR(A3586)</f>
        <v>2014</v>
      </c>
      <c r="F3586" s="33">
        <f>DATE(YEAR(A3586),MONTH(A3586),1)</f>
        <v>41852.0</v>
      </c>
      <c r="G3586" t="str">
        <f>CHOOSE(WEEKDAY(A3586,2),"Mon","Tue","Wed","Thu","Fri","Sat","Sun")</f>
        <v>Thu</v>
      </c>
      <c r="H3586" t="str">
        <f>IF(WEEKDAY(A3586,2)&gt;5,"Weekend","Weekday")</f>
        <v>Weekday</v>
      </c>
      <c r="I3586" t="str">
        <f>_xlfn.IFS(B3586&lt;=5,"Night (0-5)",B3586&lt;=9,"Morning peak (6-9)",B3586&lt;=15,"Midday (10-15)",B3586&lt;=19,"Evening peak (16-19)",TRUE,"Late evening (20-23)")</f>
        <v>Morning peak (6-9)</v>
      </c>
    </row>
    <row r="3587" spans="1:9">
      <c r="A3587" s="32">
        <v>41879</v>
      </c>
      <c r="B3587">
        <v>9</v>
      </c>
      <c r="C3587">
        <v>1195</v>
      </c>
      <c r="D3587" t="s">
        <v>303</v>
      </c>
      <c r="E3587">
        <f>YEAR(A3587)</f>
        <v>2014</v>
      </c>
      <c r="F3587" s="33">
        <f>DATE(YEAR(A3587),MONTH(A3587),1)</f>
        <v>41852.0</v>
      </c>
      <c r="G3587" t="str">
        <f>CHOOSE(WEEKDAY(A3587,2),"Mon","Tue","Wed","Thu","Fri","Sat","Sun")</f>
        <v>Thu</v>
      </c>
      <c r="H3587" t="str">
        <f>IF(WEEKDAY(A3587,2)&gt;5,"Weekend","Weekday")</f>
        <v>Weekday</v>
      </c>
      <c r="I3587" t="str">
        <f>_xlfn.IFS(B3587&lt;=5,"Night (0-5)",B3587&lt;=9,"Morning peak (6-9)",B3587&lt;=15,"Midday (10-15)",B3587&lt;=19,"Evening peak (16-19)",TRUE,"Late evening (20-23)")</f>
        <v>Morning peak (6-9)</v>
      </c>
    </row>
    <row r="3588" spans="1:9">
      <c r="A3588" s="32">
        <v>41879</v>
      </c>
      <c r="B3588">
        <v>10</v>
      </c>
      <c r="C3588">
        <v>1130</v>
      </c>
      <c r="D3588" t="s">
        <v>303</v>
      </c>
      <c r="E3588">
        <f>YEAR(A3588)</f>
        <v>2014</v>
      </c>
      <c r="F3588" s="33">
        <f>DATE(YEAR(A3588),MONTH(A3588),1)</f>
        <v>41852.0</v>
      </c>
      <c r="G3588" t="str">
        <f>CHOOSE(WEEKDAY(A3588,2),"Mon","Tue","Wed","Thu","Fri","Sat","Sun")</f>
        <v>Thu</v>
      </c>
      <c r="H3588" t="str">
        <f>IF(WEEKDAY(A3588,2)&gt;5,"Weekend","Weekday")</f>
        <v>Weekday</v>
      </c>
      <c r="I3588" t="str">
        <f>_xlfn.IFS(B3588&lt;=5,"Night (0-5)",B3588&lt;=9,"Morning peak (6-9)",B3588&lt;=15,"Midday (10-15)",B3588&lt;=19,"Evening peak (16-19)",TRUE,"Late evening (20-23)")</f>
        <v>Midday (10-15)</v>
      </c>
    </row>
    <row r="3589" spans="1:9">
      <c r="A3589" s="32">
        <v>41879</v>
      </c>
      <c r="B3589">
        <v>11</v>
      </c>
      <c r="C3589">
        <v>1090</v>
      </c>
      <c r="D3589" t="s">
        <v>303</v>
      </c>
      <c r="E3589">
        <f>YEAR(A3589)</f>
        <v>2014</v>
      </c>
      <c r="F3589" s="33">
        <f>DATE(YEAR(A3589),MONTH(A3589),1)</f>
        <v>41852.0</v>
      </c>
      <c r="G3589" t="str">
        <f>CHOOSE(WEEKDAY(A3589,2),"Mon","Tue","Wed","Thu","Fri","Sat","Sun")</f>
        <v>Thu</v>
      </c>
      <c r="H3589" t="str">
        <f>IF(WEEKDAY(A3589,2)&gt;5,"Weekend","Weekday")</f>
        <v>Weekday</v>
      </c>
      <c r="I3589" t="str">
        <f>_xlfn.IFS(B3589&lt;=5,"Night (0-5)",B3589&lt;=9,"Morning peak (6-9)",B3589&lt;=15,"Midday (10-15)",B3589&lt;=19,"Evening peak (16-19)",TRUE,"Late evening (20-23)")</f>
        <v>Midday (10-15)</v>
      </c>
    </row>
    <row r="3590" spans="1:9">
      <c r="A3590" s="32">
        <v>41879</v>
      </c>
      <c r="B3590">
        <v>12</v>
      </c>
      <c r="C3590">
        <v>1101</v>
      </c>
      <c r="D3590" t="s">
        <v>303</v>
      </c>
      <c r="E3590">
        <f>YEAR(A3590)</f>
        <v>2014</v>
      </c>
      <c r="F3590" s="33">
        <f>DATE(YEAR(A3590),MONTH(A3590),1)</f>
        <v>41852.0</v>
      </c>
      <c r="G3590" t="str">
        <f>CHOOSE(WEEKDAY(A3590,2),"Mon","Tue","Wed","Thu","Fri","Sat","Sun")</f>
        <v>Thu</v>
      </c>
      <c r="H3590" t="str">
        <f>IF(WEEKDAY(A3590,2)&gt;5,"Weekend","Weekday")</f>
        <v>Weekday</v>
      </c>
      <c r="I3590" t="str">
        <f>_xlfn.IFS(B3590&lt;=5,"Night (0-5)",B3590&lt;=9,"Morning peak (6-9)",B3590&lt;=15,"Midday (10-15)",B3590&lt;=19,"Evening peak (16-19)",TRUE,"Late evening (20-23)")</f>
        <v>Midday (10-15)</v>
      </c>
    </row>
    <row r="3591" spans="1:9">
      <c r="A3591" s="32">
        <v>41879</v>
      </c>
      <c r="B3591">
        <v>13</v>
      </c>
      <c r="C3591">
        <v>1213</v>
      </c>
      <c r="D3591" t="s">
        <v>303</v>
      </c>
      <c r="E3591">
        <f>YEAR(A3591)</f>
        <v>2014</v>
      </c>
      <c r="F3591" s="33">
        <f>DATE(YEAR(A3591),MONTH(A3591),1)</f>
        <v>41852.0</v>
      </c>
      <c r="G3591" t="str">
        <f>CHOOSE(WEEKDAY(A3591,2),"Mon","Tue","Wed","Thu","Fri","Sat","Sun")</f>
        <v>Thu</v>
      </c>
      <c r="H3591" t="str">
        <f>IF(WEEKDAY(A3591,2)&gt;5,"Weekend","Weekday")</f>
        <v>Weekday</v>
      </c>
      <c r="I3591" t="str">
        <f>_xlfn.IFS(B3591&lt;=5,"Night (0-5)",B3591&lt;=9,"Morning peak (6-9)",B3591&lt;=15,"Midday (10-15)",B3591&lt;=19,"Evening peak (16-19)",TRUE,"Late evening (20-23)")</f>
        <v>Midday (10-15)</v>
      </c>
    </row>
    <row r="3592" spans="1:9">
      <c r="A3592" s="32">
        <v>41879</v>
      </c>
      <c r="B3592">
        <v>14</v>
      </c>
      <c r="C3592">
        <v>1407</v>
      </c>
      <c r="D3592" t="s">
        <v>303</v>
      </c>
      <c r="E3592">
        <f>YEAR(A3592)</f>
        <v>2014</v>
      </c>
      <c r="F3592" s="33">
        <f>DATE(YEAR(A3592),MONTH(A3592),1)</f>
        <v>41852.0</v>
      </c>
      <c r="G3592" t="str">
        <f>CHOOSE(WEEKDAY(A3592,2),"Mon","Tue","Wed","Thu","Fri","Sat","Sun")</f>
        <v>Thu</v>
      </c>
      <c r="H3592" t="str">
        <f>IF(WEEKDAY(A3592,2)&gt;5,"Weekend","Weekday")</f>
        <v>Weekday</v>
      </c>
      <c r="I3592" t="str">
        <f>_xlfn.IFS(B3592&lt;=5,"Night (0-5)",B3592&lt;=9,"Morning peak (6-9)",B3592&lt;=15,"Midday (10-15)",B3592&lt;=19,"Evening peak (16-19)",TRUE,"Late evening (20-23)")</f>
        <v>Midday (10-15)</v>
      </c>
    </row>
    <row r="3593" spans="1:9">
      <c r="A3593" s="32">
        <v>41879</v>
      </c>
      <c r="B3593">
        <v>15</v>
      </c>
      <c r="C3593">
        <v>1720</v>
      </c>
      <c r="D3593" t="s">
        <v>303</v>
      </c>
      <c r="E3593">
        <f>YEAR(A3593)</f>
        <v>2014</v>
      </c>
      <c r="F3593" s="33">
        <f>DATE(YEAR(A3593),MONTH(A3593),1)</f>
        <v>41852.0</v>
      </c>
      <c r="G3593" t="str">
        <f>CHOOSE(WEEKDAY(A3593,2),"Mon","Tue","Wed","Thu","Fri","Sat","Sun")</f>
        <v>Thu</v>
      </c>
      <c r="H3593" t="str">
        <f>IF(WEEKDAY(A3593,2)&gt;5,"Weekend","Weekday")</f>
        <v>Weekday</v>
      </c>
      <c r="I3593" t="str">
        <f>_xlfn.IFS(B3593&lt;=5,"Night (0-5)",B3593&lt;=9,"Morning peak (6-9)",B3593&lt;=15,"Midday (10-15)",B3593&lt;=19,"Evening peak (16-19)",TRUE,"Late evening (20-23)")</f>
        <v>Midday (10-15)</v>
      </c>
    </row>
    <row r="3594" spans="1:9">
      <c r="A3594" s="32">
        <v>41879</v>
      </c>
      <c r="B3594">
        <v>16</v>
      </c>
      <c r="C3594">
        <v>1829</v>
      </c>
      <c r="D3594" t="s">
        <v>303</v>
      </c>
      <c r="E3594">
        <f>YEAR(A3594)</f>
        <v>2014</v>
      </c>
      <c r="F3594" s="33">
        <f>DATE(YEAR(A3594),MONTH(A3594),1)</f>
        <v>41852.0</v>
      </c>
      <c r="G3594" t="str">
        <f>CHOOSE(WEEKDAY(A3594,2),"Mon","Tue","Wed","Thu","Fri","Sat","Sun")</f>
        <v>Thu</v>
      </c>
      <c r="H3594" t="str">
        <f>IF(WEEKDAY(A3594,2)&gt;5,"Weekend","Weekday")</f>
        <v>Weekday</v>
      </c>
      <c r="I3594" t="str">
        <f>_xlfn.IFS(B3594&lt;=5,"Night (0-5)",B3594&lt;=9,"Morning peak (6-9)",B3594&lt;=15,"Midday (10-15)",B3594&lt;=19,"Evening peak (16-19)",TRUE,"Late evening (20-23)")</f>
        <v>Evening peak (16-19)</v>
      </c>
    </row>
    <row r="3595" spans="1:9">
      <c r="A3595" s="32">
        <v>41879</v>
      </c>
      <c r="B3595">
        <v>17</v>
      </c>
      <c r="C3595">
        <v>1912</v>
      </c>
      <c r="D3595" t="s">
        <v>303</v>
      </c>
      <c r="E3595">
        <f>YEAR(A3595)</f>
        <v>2014</v>
      </c>
      <c r="F3595" s="33">
        <f>DATE(YEAR(A3595),MONTH(A3595),1)</f>
        <v>41852.0</v>
      </c>
      <c r="G3595" t="str">
        <f>CHOOSE(WEEKDAY(A3595,2),"Mon","Tue","Wed","Thu","Fri","Sat","Sun")</f>
        <v>Thu</v>
      </c>
      <c r="H3595" t="str">
        <f>IF(WEEKDAY(A3595,2)&gt;5,"Weekend","Weekday")</f>
        <v>Weekday</v>
      </c>
      <c r="I3595" t="str">
        <f>_xlfn.IFS(B3595&lt;=5,"Night (0-5)",B3595&lt;=9,"Morning peak (6-9)",B3595&lt;=15,"Midday (10-15)",B3595&lt;=19,"Evening peak (16-19)",TRUE,"Late evening (20-23)")</f>
        <v>Evening peak (16-19)</v>
      </c>
    </row>
    <row r="3596" spans="1:9">
      <c r="A3596" s="32">
        <v>41879</v>
      </c>
      <c r="B3596">
        <v>18</v>
      </c>
      <c r="C3596">
        <v>1801</v>
      </c>
      <c r="D3596" t="s">
        <v>303</v>
      </c>
      <c r="E3596">
        <f>YEAR(A3596)</f>
        <v>2014</v>
      </c>
      <c r="F3596" s="33">
        <f>DATE(YEAR(A3596),MONTH(A3596),1)</f>
        <v>41852.0</v>
      </c>
      <c r="G3596" t="str">
        <f>CHOOSE(WEEKDAY(A3596,2),"Mon","Tue","Wed","Thu","Fri","Sat","Sun")</f>
        <v>Thu</v>
      </c>
      <c r="H3596" t="str">
        <f>IF(WEEKDAY(A3596,2)&gt;5,"Weekend","Weekday")</f>
        <v>Weekday</v>
      </c>
      <c r="I3596" t="str">
        <f>_xlfn.IFS(B3596&lt;=5,"Night (0-5)",B3596&lt;=9,"Morning peak (6-9)",B3596&lt;=15,"Midday (10-15)",B3596&lt;=19,"Evening peak (16-19)",TRUE,"Late evening (20-23)")</f>
        <v>Evening peak (16-19)</v>
      </c>
    </row>
    <row r="3597" spans="1:9">
      <c r="A3597" s="32">
        <v>41879</v>
      </c>
      <c r="B3597">
        <v>19</v>
      </c>
      <c r="C3597">
        <v>1958</v>
      </c>
      <c r="D3597" t="s">
        <v>303</v>
      </c>
      <c r="E3597">
        <f>YEAR(A3597)</f>
        <v>2014</v>
      </c>
      <c r="F3597" s="33">
        <f>DATE(YEAR(A3597),MONTH(A3597),1)</f>
        <v>41852.0</v>
      </c>
      <c r="G3597" t="str">
        <f>CHOOSE(WEEKDAY(A3597,2),"Mon","Tue","Wed","Thu","Fri","Sat","Sun")</f>
        <v>Thu</v>
      </c>
      <c r="H3597" t="str">
        <f>IF(WEEKDAY(A3597,2)&gt;5,"Weekend","Weekday")</f>
        <v>Weekday</v>
      </c>
      <c r="I3597" t="str">
        <f>_xlfn.IFS(B3597&lt;=5,"Night (0-5)",B3597&lt;=9,"Morning peak (6-9)",B3597&lt;=15,"Midday (10-15)",B3597&lt;=19,"Evening peak (16-19)",TRUE,"Late evening (20-23)")</f>
        <v>Evening peak (16-19)</v>
      </c>
    </row>
    <row r="3598" spans="1:9">
      <c r="A3598" s="32">
        <v>41879</v>
      </c>
      <c r="B3598">
        <v>20</v>
      </c>
      <c r="C3598">
        <v>1921</v>
      </c>
      <c r="D3598" t="s">
        <v>303</v>
      </c>
      <c r="E3598">
        <f>YEAR(A3598)</f>
        <v>2014</v>
      </c>
      <c r="F3598" s="33">
        <f>DATE(YEAR(A3598),MONTH(A3598),1)</f>
        <v>41852.0</v>
      </c>
      <c r="G3598" t="str">
        <f>CHOOSE(WEEKDAY(A3598,2),"Mon","Tue","Wed","Thu","Fri","Sat","Sun")</f>
        <v>Thu</v>
      </c>
      <c r="H3598" t="str">
        <f>IF(WEEKDAY(A3598,2)&gt;5,"Weekend","Weekday")</f>
        <v>Weekday</v>
      </c>
      <c r="I3598" t="str">
        <f>_xlfn.IFS(B3598&lt;=5,"Night (0-5)",B3598&lt;=9,"Morning peak (6-9)",B3598&lt;=15,"Midday (10-15)",B3598&lt;=19,"Evening peak (16-19)",TRUE,"Late evening (20-23)")</f>
        <v>Late evening (20-23)</v>
      </c>
    </row>
    <row r="3599" spans="1:9">
      <c r="A3599" s="32">
        <v>41879</v>
      </c>
      <c r="B3599">
        <v>21</v>
      </c>
      <c r="C3599">
        <v>1949</v>
      </c>
      <c r="D3599" t="s">
        <v>303</v>
      </c>
      <c r="E3599">
        <f>YEAR(A3599)</f>
        <v>2014</v>
      </c>
      <c r="F3599" s="33">
        <f>DATE(YEAR(A3599),MONTH(A3599),1)</f>
        <v>41852.0</v>
      </c>
      <c r="G3599" t="str">
        <f>CHOOSE(WEEKDAY(A3599,2),"Mon","Tue","Wed","Thu","Fri","Sat","Sun")</f>
        <v>Thu</v>
      </c>
      <c r="H3599" t="str">
        <f>IF(WEEKDAY(A3599,2)&gt;5,"Weekend","Weekday")</f>
        <v>Weekday</v>
      </c>
      <c r="I3599" t="str">
        <f>_xlfn.IFS(B3599&lt;=5,"Night (0-5)",B3599&lt;=9,"Morning peak (6-9)",B3599&lt;=15,"Midday (10-15)",B3599&lt;=19,"Evening peak (16-19)",TRUE,"Late evening (20-23)")</f>
        <v>Late evening (20-23)</v>
      </c>
    </row>
    <row r="3600" spans="1:9">
      <c r="A3600" s="32">
        <v>41879</v>
      </c>
      <c r="B3600">
        <v>22</v>
      </c>
      <c r="C3600">
        <v>1562</v>
      </c>
      <c r="D3600" t="s">
        <v>303</v>
      </c>
      <c r="E3600">
        <f>YEAR(A3600)</f>
        <v>2014</v>
      </c>
      <c r="F3600" s="33">
        <f>DATE(YEAR(A3600),MONTH(A3600),1)</f>
        <v>41852.0</v>
      </c>
      <c r="G3600" t="str">
        <f>CHOOSE(WEEKDAY(A3600,2),"Mon","Tue","Wed","Thu","Fri","Sat","Sun")</f>
        <v>Thu</v>
      </c>
      <c r="H3600" t="str">
        <f>IF(WEEKDAY(A3600,2)&gt;5,"Weekend","Weekday")</f>
        <v>Weekday</v>
      </c>
      <c r="I3600" t="str">
        <f>_xlfn.IFS(B3600&lt;=5,"Night (0-5)",B3600&lt;=9,"Morning peak (6-9)",B3600&lt;=15,"Midday (10-15)",B3600&lt;=19,"Evening peak (16-19)",TRUE,"Late evening (20-23)")</f>
        <v>Late evening (20-23)</v>
      </c>
    </row>
    <row r="3601" spans="1:9">
      <c r="A3601" s="32">
        <v>41879</v>
      </c>
      <c r="B3601">
        <v>23</v>
      </c>
      <c r="C3601">
        <v>1065</v>
      </c>
      <c r="D3601" t="s">
        <v>303</v>
      </c>
      <c r="E3601">
        <f>YEAR(A3601)</f>
        <v>2014</v>
      </c>
      <c r="F3601" s="33">
        <f>DATE(YEAR(A3601),MONTH(A3601),1)</f>
        <v>41852.0</v>
      </c>
      <c r="G3601" t="str">
        <f>CHOOSE(WEEKDAY(A3601,2),"Mon","Tue","Wed","Thu","Fri","Sat","Sun")</f>
        <v>Thu</v>
      </c>
      <c r="H3601" t="str">
        <f>IF(WEEKDAY(A3601,2)&gt;5,"Weekend","Weekday")</f>
        <v>Weekday</v>
      </c>
      <c r="I3601" t="str">
        <f>_xlfn.IFS(B3601&lt;=5,"Night (0-5)",B3601&lt;=9,"Morning peak (6-9)",B3601&lt;=15,"Midday (10-15)",B3601&lt;=19,"Evening peak (16-19)",TRUE,"Late evening (20-23)")</f>
        <v>Late evening (20-23)</v>
      </c>
    </row>
    <row r="3602" spans="1:9">
      <c r="A3602" s="32">
        <v>41880</v>
      </c>
      <c r="B3602">
        <v>0</v>
      </c>
      <c r="C3602">
        <v>594</v>
      </c>
      <c r="D3602" t="s">
        <v>303</v>
      </c>
      <c r="E3602">
        <f>YEAR(A3602)</f>
        <v>2014</v>
      </c>
      <c r="F3602" s="33">
        <f>DATE(YEAR(A3602),MONTH(A3602),1)</f>
        <v>41852.0</v>
      </c>
      <c r="G3602" t="str">
        <f>CHOOSE(WEEKDAY(A3602,2),"Mon","Tue","Wed","Thu","Fri","Sat","Sun")</f>
        <v>Fri</v>
      </c>
      <c r="H3602" t="str">
        <f>IF(WEEKDAY(A3602,2)&gt;5,"Weekend","Weekday")</f>
        <v>Weekday</v>
      </c>
      <c r="I3602" t="str">
        <f>_xlfn.IFS(B3602&lt;=5,"Night (0-5)",B3602&lt;=9,"Morning peak (6-9)",B3602&lt;=15,"Midday (10-15)",B3602&lt;=19,"Evening peak (16-19)",TRUE,"Late evening (20-23)")</f>
        <v>Night (0-5)</v>
      </c>
    </row>
    <row r="3603" spans="1:9">
      <c r="A3603" s="32">
        <v>41880</v>
      </c>
      <c r="B3603">
        <v>1</v>
      </c>
      <c r="C3603">
        <v>402</v>
      </c>
      <c r="D3603" t="s">
        <v>303</v>
      </c>
      <c r="E3603">
        <f>YEAR(A3603)</f>
        <v>2014</v>
      </c>
      <c r="F3603" s="33">
        <f>DATE(YEAR(A3603),MONTH(A3603),1)</f>
        <v>41852.0</v>
      </c>
      <c r="G3603" t="str">
        <f>CHOOSE(WEEKDAY(A3603,2),"Mon","Tue","Wed","Thu","Fri","Sat","Sun")</f>
        <v>Fri</v>
      </c>
      <c r="H3603" t="str">
        <f>IF(WEEKDAY(A3603,2)&gt;5,"Weekend","Weekday")</f>
        <v>Weekday</v>
      </c>
      <c r="I3603" t="str">
        <f>_xlfn.IFS(B3603&lt;=5,"Night (0-5)",B3603&lt;=9,"Morning peak (6-9)",B3603&lt;=15,"Midday (10-15)",B3603&lt;=19,"Evening peak (16-19)",TRUE,"Late evening (20-23)")</f>
        <v>Night (0-5)</v>
      </c>
    </row>
    <row r="3604" spans="1:9">
      <c r="A3604" s="32">
        <v>41880</v>
      </c>
      <c r="B3604">
        <v>2</v>
      </c>
      <c r="C3604">
        <v>244</v>
      </c>
      <c r="D3604" t="s">
        <v>303</v>
      </c>
      <c r="E3604">
        <f>YEAR(A3604)</f>
        <v>2014</v>
      </c>
      <c r="F3604" s="33">
        <f>DATE(YEAR(A3604),MONTH(A3604),1)</f>
        <v>41852.0</v>
      </c>
      <c r="G3604" t="str">
        <f>CHOOSE(WEEKDAY(A3604,2),"Mon","Tue","Wed","Thu","Fri","Sat","Sun")</f>
        <v>Fri</v>
      </c>
      <c r="H3604" t="str">
        <f>IF(WEEKDAY(A3604,2)&gt;5,"Weekend","Weekday")</f>
        <v>Weekday</v>
      </c>
      <c r="I3604" t="str">
        <f>_xlfn.IFS(B3604&lt;=5,"Night (0-5)",B3604&lt;=9,"Morning peak (6-9)",B3604&lt;=15,"Midday (10-15)",B3604&lt;=19,"Evening peak (16-19)",TRUE,"Late evening (20-23)")</f>
        <v>Night (0-5)</v>
      </c>
    </row>
    <row r="3605" spans="1:9">
      <c r="A3605" s="32">
        <v>41880</v>
      </c>
      <c r="B3605">
        <v>3</v>
      </c>
      <c r="C3605">
        <v>345</v>
      </c>
      <c r="D3605" t="s">
        <v>303</v>
      </c>
      <c r="E3605">
        <f>YEAR(A3605)</f>
        <v>2014</v>
      </c>
      <c r="F3605" s="33">
        <f>DATE(YEAR(A3605),MONTH(A3605),1)</f>
        <v>41852.0</v>
      </c>
      <c r="G3605" t="str">
        <f>CHOOSE(WEEKDAY(A3605,2),"Mon","Tue","Wed","Thu","Fri","Sat","Sun")</f>
        <v>Fri</v>
      </c>
      <c r="H3605" t="str">
        <f>IF(WEEKDAY(A3605,2)&gt;5,"Weekend","Weekday")</f>
        <v>Weekday</v>
      </c>
      <c r="I3605" t="str">
        <f>_xlfn.IFS(B3605&lt;=5,"Night (0-5)",B3605&lt;=9,"Morning peak (6-9)",B3605&lt;=15,"Midday (10-15)",B3605&lt;=19,"Evening peak (16-19)",TRUE,"Late evening (20-23)")</f>
        <v>Night (0-5)</v>
      </c>
    </row>
    <row r="3606" spans="1:9">
      <c r="A3606" s="32">
        <v>41880</v>
      </c>
      <c r="B3606">
        <v>4</v>
      </c>
      <c r="C3606">
        <v>436</v>
      </c>
      <c r="D3606" t="s">
        <v>303</v>
      </c>
      <c r="E3606">
        <f>YEAR(A3606)</f>
        <v>2014</v>
      </c>
      <c r="F3606" s="33">
        <f>DATE(YEAR(A3606),MONTH(A3606),1)</f>
        <v>41852.0</v>
      </c>
      <c r="G3606" t="str">
        <f>CHOOSE(WEEKDAY(A3606,2),"Mon","Tue","Wed","Thu","Fri","Sat","Sun")</f>
        <v>Fri</v>
      </c>
      <c r="H3606" t="str">
        <f>IF(WEEKDAY(A3606,2)&gt;5,"Weekend","Weekday")</f>
        <v>Weekday</v>
      </c>
      <c r="I3606" t="str">
        <f>_xlfn.IFS(B3606&lt;=5,"Night (0-5)",B3606&lt;=9,"Morning peak (6-9)",B3606&lt;=15,"Midday (10-15)",B3606&lt;=19,"Evening peak (16-19)",TRUE,"Late evening (20-23)")</f>
        <v>Night (0-5)</v>
      </c>
    </row>
    <row r="3607" spans="1:9">
      <c r="A3607" s="32">
        <v>41880</v>
      </c>
      <c r="B3607">
        <v>5</v>
      </c>
      <c r="C3607">
        <v>639</v>
      </c>
      <c r="D3607" t="s">
        <v>303</v>
      </c>
      <c r="E3607">
        <f>YEAR(A3607)</f>
        <v>2014</v>
      </c>
      <c r="F3607" s="33">
        <f>DATE(YEAR(A3607),MONTH(A3607),1)</f>
        <v>41852.0</v>
      </c>
      <c r="G3607" t="str">
        <f>CHOOSE(WEEKDAY(A3607,2),"Mon","Tue","Wed","Thu","Fri","Sat","Sun")</f>
        <v>Fri</v>
      </c>
      <c r="H3607" t="str">
        <f>IF(WEEKDAY(A3607,2)&gt;5,"Weekend","Weekday")</f>
        <v>Weekday</v>
      </c>
      <c r="I3607" t="str">
        <f>_xlfn.IFS(B3607&lt;=5,"Night (0-5)",B3607&lt;=9,"Morning peak (6-9)",B3607&lt;=15,"Midday (10-15)",B3607&lt;=19,"Evening peak (16-19)",TRUE,"Late evening (20-23)")</f>
        <v>Night (0-5)</v>
      </c>
    </row>
    <row r="3608" spans="1:9">
      <c r="A3608" s="32">
        <v>41880</v>
      </c>
      <c r="B3608">
        <v>6</v>
      </c>
      <c r="C3608">
        <v>897</v>
      </c>
      <c r="D3608" t="s">
        <v>303</v>
      </c>
      <c r="E3608">
        <f>YEAR(A3608)</f>
        <v>2014</v>
      </c>
      <c r="F3608" s="33">
        <f>DATE(YEAR(A3608),MONTH(A3608),1)</f>
        <v>41852.0</v>
      </c>
      <c r="G3608" t="str">
        <f>CHOOSE(WEEKDAY(A3608,2),"Mon","Tue","Wed","Thu","Fri","Sat","Sun")</f>
        <v>Fri</v>
      </c>
      <c r="H3608" t="str">
        <f>IF(WEEKDAY(A3608,2)&gt;5,"Weekend","Weekday")</f>
        <v>Weekday</v>
      </c>
      <c r="I3608" t="str">
        <f>_xlfn.IFS(B3608&lt;=5,"Night (0-5)",B3608&lt;=9,"Morning peak (6-9)",B3608&lt;=15,"Midday (10-15)",B3608&lt;=19,"Evening peak (16-19)",TRUE,"Late evening (20-23)")</f>
        <v>Morning peak (6-9)</v>
      </c>
    </row>
    <row r="3609" spans="1:9">
      <c r="A3609" s="32">
        <v>41880</v>
      </c>
      <c r="B3609">
        <v>7</v>
      </c>
      <c r="C3609">
        <v>1240</v>
      </c>
      <c r="D3609" t="s">
        <v>303</v>
      </c>
      <c r="E3609">
        <f>YEAR(A3609)</f>
        <v>2014</v>
      </c>
      <c r="F3609" s="33">
        <f>DATE(YEAR(A3609),MONTH(A3609),1)</f>
        <v>41852.0</v>
      </c>
      <c r="G3609" t="str">
        <f>CHOOSE(WEEKDAY(A3609,2),"Mon","Tue","Wed","Thu","Fri","Sat","Sun")</f>
        <v>Fri</v>
      </c>
      <c r="H3609" t="str">
        <f>IF(WEEKDAY(A3609,2)&gt;5,"Weekend","Weekday")</f>
        <v>Weekday</v>
      </c>
      <c r="I3609" t="str">
        <f>_xlfn.IFS(B3609&lt;=5,"Night (0-5)",B3609&lt;=9,"Morning peak (6-9)",B3609&lt;=15,"Midday (10-15)",B3609&lt;=19,"Evening peak (16-19)",TRUE,"Late evening (20-23)")</f>
        <v>Morning peak (6-9)</v>
      </c>
    </row>
    <row r="3610" spans="1:9">
      <c r="A3610" s="32">
        <v>41880</v>
      </c>
      <c r="B3610">
        <v>8</v>
      </c>
      <c r="C3610">
        <v>1318</v>
      </c>
      <c r="D3610" t="s">
        <v>303</v>
      </c>
      <c r="E3610">
        <f>YEAR(A3610)</f>
        <v>2014</v>
      </c>
      <c r="F3610" s="33">
        <f>DATE(YEAR(A3610),MONTH(A3610),1)</f>
        <v>41852.0</v>
      </c>
      <c r="G3610" t="str">
        <f>CHOOSE(WEEKDAY(A3610,2),"Mon","Tue","Wed","Thu","Fri","Sat","Sun")</f>
        <v>Fri</v>
      </c>
      <c r="H3610" t="str">
        <f>IF(WEEKDAY(A3610,2)&gt;5,"Weekend","Weekday")</f>
        <v>Weekday</v>
      </c>
      <c r="I3610" t="str">
        <f>_xlfn.IFS(B3610&lt;=5,"Night (0-5)",B3610&lt;=9,"Morning peak (6-9)",B3610&lt;=15,"Midday (10-15)",B3610&lt;=19,"Evening peak (16-19)",TRUE,"Late evening (20-23)")</f>
        <v>Morning peak (6-9)</v>
      </c>
    </row>
    <row r="3611" spans="1:9">
      <c r="A3611" s="32">
        <v>41880</v>
      </c>
      <c r="B3611">
        <v>9</v>
      </c>
      <c r="C3611">
        <v>1135</v>
      </c>
      <c r="D3611" t="s">
        <v>303</v>
      </c>
      <c r="E3611">
        <f>YEAR(A3611)</f>
        <v>2014</v>
      </c>
      <c r="F3611" s="33">
        <f>DATE(YEAR(A3611),MONTH(A3611),1)</f>
        <v>41852.0</v>
      </c>
      <c r="G3611" t="str">
        <f>CHOOSE(WEEKDAY(A3611,2),"Mon","Tue","Wed","Thu","Fri","Sat","Sun")</f>
        <v>Fri</v>
      </c>
      <c r="H3611" t="str">
        <f>IF(WEEKDAY(A3611,2)&gt;5,"Weekend","Weekday")</f>
        <v>Weekday</v>
      </c>
      <c r="I3611" t="str">
        <f>_xlfn.IFS(B3611&lt;=5,"Night (0-5)",B3611&lt;=9,"Morning peak (6-9)",B3611&lt;=15,"Midday (10-15)",B3611&lt;=19,"Evening peak (16-19)",TRUE,"Late evening (20-23)")</f>
        <v>Morning peak (6-9)</v>
      </c>
    </row>
    <row r="3612" spans="1:9">
      <c r="A3612" s="32">
        <v>41880</v>
      </c>
      <c r="B3612">
        <v>10</v>
      </c>
      <c r="C3612">
        <v>1141</v>
      </c>
      <c r="D3612" t="s">
        <v>303</v>
      </c>
      <c r="E3612">
        <f>YEAR(A3612)</f>
        <v>2014</v>
      </c>
      <c r="F3612" s="33">
        <f>DATE(YEAR(A3612),MONTH(A3612),1)</f>
        <v>41852.0</v>
      </c>
      <c r="G3612" t="str">
        <f>CHOOSE(WEEKDAY(A3612,2),"Mon","Tue","Wed","Thu","Fri","Sat","Sun")</f>
        <v>Fri</v>
      </c>
      <c r="H3612" t="str">
        <f>IF(WEEKDAY(A3612,2)&gt;5,"Weekend","Weekday")</f>
        <v>Weekday</v>
      </c>
      <c r="I3612" t="str">
        <f>_xlfn.IFS(B3612&lt;=5,"Night (0-5)",B3612&lt;=9,"Morning peak (6-9)",B3612&lt;=15,"Midday (10-15)",B3612&lt;=19,"Evening peak (16-19)",TRUE,"Late evening (20-23)")</f>
        <v>Midday (10-15)</v>
      </c>
    </row>
    <row r="3613" spans="1:9">
      <c r="A3613" s="32">
        <v>41880</v>
      </c>
      <c r="B3613">
        <v>11</v>
      </c>
      <c r="C3613">
        <v>1111</v>
      </c>
      <c r="D3613" t="s">
        <v>303</v>
      </c>
      <c r="E3613">
        <f>YEAR(A3613)</f>
        <v>2014</v>
      </c>
      <c r="F3613" s="33">
        <f>DATE(YEAR(A3613),MONTH(A3613),1)</f>
        <v>41852.0</v>
      </c>
      <c r="G3613" t="str">
        <f>CHOOSE(WEEKDAY(A3613,2),"Mon","Tue","Wed","Thu","Fri","Sat","Sun")</f>
        <v>Fri</v>
      </c>
      <c r="H3613" t="str">
        <f>IF(WEEKDAY(A3613,2)&gt;5,"Weekend","Weekday")</f>
        <v>Weekday</v>
      </c>
      <c r="I3613" t="str">
        <f>_xlfn.IFS(B3613&lt;=5,"Night (0-5)",B3613&lt;=9,"Morning peak (6-9)",B3613&lt;=15,"Midday (10-15)",B3613&lt;=19,"Evening peak (16-19)",TRUE,"Late evening (20-23)")</f>
        <v>Midday (10-15)</v>
      </c>
    </row>
    <row r="3614" spans="1:9">
      <c r="A3614" s="32">
        <v>41880</v>
      </c>
      <c r="B3614">
        <v>12</v>
      </c>
      <c r="C3614">
        <v>1135</v>
      </c>
      <c r="D3614" t="s">
        <v>303</v>
      </c>
      <c r="E3614">
        <f>YEAR(A3614)</f>
        <v>2014</v>
      </c>
      <c r="F3614" s="33">
        <f>DATE(YEAR(A3614),MONTH(A3614),1)</f>
        <v>41852.0</v>
      </c>
      <c r="G3614" t="str">
        <f>CHOOSE(WEEKDAY(A3614,2),"Mon","Tue","Wed","Thu","Fri","Sat","Sun")</f>
        <v>Fri</v>
      </c>
      <c r="H3614" t="str">
        <f>IF(WEEKDAY(A3614,2)&gt;5,"Weekend","Weekday")</f>
        <v>Weekday</v>
      </c>
      <c r="I3614" t="str">
        <f>_xlfn.IFS(B3614&lt;=5,"Night (0-5)",B3614&lt;=9,"Morning peak (6-9)",B3614&lt;=15,"Midday (10-15)",B3614&lt;=19,"Evening peak (16-19)",TRUE,"Late evening (20-23)")</f>
        <v>Midday (10-15)</v>
      </c>
    </row>
    <row r="3615" spans="1:9">
      <c r="A3615" s="32">
        <v>41880</v>
      </c>
      <c r="B3615">
        <v>13</v>
      </c>
      <c r="C3615">
        <v>1273</v>
      </c>
      <c r="D3615" t="s">
        <v>303</v>
      </c>
      <c r="E3615">
        <f>YEAR(A3615)</f>
        <v>2014</v>
      </c>
      <c r="F3615" s="33">
        <f>DATE(YEAR(A3615),MONTH(A3615),1)</f>
        <v>41852.0</v>
      </c>
      <c r="G3615" t="str">
        <f>CHOOSE(WEEKDAY(A3615,2),"Mon","Tue","Wed","Thu","Fri","Sat","Sun")</f>
        <v>Fri</v>
      </c>
      <c r="H3615" t="str">
        <f>IF(WEEKDAY(A3615,2)&gt;5,"Weekend","Weekday")</f>
        <v>Weekday</v>
      </c>
      <c r="I3615" t="str">
        <f>_xlfn.IFS(B3615&lt;=5,"Night (0-5)",B3615&lt;=9,"Morning peak (6-9)",B3615&lt;=15,"Midday (10-15)",B3615&lt;=19,"Evening peak (16-19)",TRUE,"Late evening (20-23)")</f>
        <v>Midday (10-15)</v>
      </c>
    </row>
    <row r="3616" spans="1:9">
      <c r="A3616" s="32">
        <v>41880</v>
      </c>
      <c r="B3616">
        <v>14</v>
      </c>
      <c r="C3616">
        <v>1445</v>
      </c>
      <c r="D3616" t="s">
        <v>303</v>
      </c>
      <c r="E3616">
        <f>YEAR(A3616)</f>
        <v>2014</v>
      </c>
      <c r="F3616" s="33">
        <f>DATE(YEAR(A3616),MONTH(A3616),1)</f>
        <v>41852.0</v>
      </c>
      <c r="G3616" t="str">
        <f>CHOOSE(WEEKDAY(A3616,2),"Mon","Tue","Wed","Thu","Fri","Sat","Sun")</f>
        <v>Fri</v>
      </c>
      <c r="H3616" t="str">
        <f>IF(WEEKDAY(A3616,2)&gt;5,"Weekend","Weekday")</f>
        <v>Weekday</v>
      </c>
      <c r="I3616" t="str">
        <f>_xlfn.IFS(B3616&lt;=5,"Night (0-5)",B3616&lt;=9,"Morning peak (6-9)",B3616&lt;=15,"Midday (10-15)",B3616&lt;=19,"Evening peak (16-19)",TRUE,"Late evening (20-23)")</f>
        <v>Midday (10-15)</v>
      </c>
    </row>
    <row r="3617" spans="1:9">
      <c r="A3617" s="32">
        <v>41880</v>
      </c>
      <c r="B3617">
        <v>15</v>
      </c>
      <c r="C3617">
        <v>1682</v>
      </c>
      <c r="D3617" t="s">
        <v>303</v>
      </c>
      <c r="E3617">
        <f>YEAR(A3617)</f>
        <v>2014</v>
      </c>
      <c r="F3617" s="33">
        <f>DATE(YEAR(A3617),MONTH(A3617),1)</f>
        <v>41852.0</v>
      </c>
      <c r="G3617" t="str">
        <f>CHOOSE(WEEKDAY(A3617,2),"Mon","Tue","Wed","Thu","Fri","Sat","Sun")</f>
        <v>Fri</v>
      </c>
      <c r="H3617" t="str">
        <f>IF(WEEKDAY(A3617,2)&gt;5,"Weekend","Weekday")</f>
        <v>Weekday</v>
      </c>
      <c r="I3617" t="str">
        <f>_xlfn.IFS(B3617&lt;=5,"Night (0-5)",B3617&lt;=9,"Morning peak (6-9)",B3617&lt;=15,"Midday (10-15)",B3617&lt;=19,"Evening peak (16-19)",TRUE,"Late evening (20-23)")</f>
        <v>Midday (10-15)</v>
      </c>
    </row>
    <row r="3618" spans="1:9">
      <c r="A3618" s="32">
        <v>41880</v>
      </c>
      <c r="B3618">
        <v>16</v>
      </c>
      <c r="C3618">
        <v>1674</v>
      </c>
      <c r="D3618" t="s">
        <v>303</v>
      </c>
      <c r="E3618">
        <f>YEAR(A3618)</f>
        <v>2014</v>
      </c>
      <c r="F3618" s="33">
        <f>DATE(YEAR(A3618),MONTH(A3618),1)</f>
        <v>41852.0</v>
      </c>
      <c r="G3618" t="str">
        <f>CHOOSE(WEEKDAY(A3618,2),"Mon","Tue","Wed","Thu","Fri","Sat","Sun")</f>
        <v>Fri</v>
      </c>
      <c r="H3618" t="str">
        <f>IF(WEEKDAY(A3618,2)&gt;5,"Weekend","Weekday")</f>
        <v>Weekday</v>
      </c>
      <c r="I3618" t="str">
        <f>_xlfn.IFS(B3618&lt;=5,"Night (0-5)",B3618&lt;=9,"Morning peak (6-9)",B3618&lt;=15,"Midday (10-15)",B3618&lt;=19,"Evening peak (16-19)",TRUE,"Late evening (20-23)")</f>
        <v>Evening peak (16-19)</v>
      </c>
    </row>
    <row r="3619" spans="1:9">
      <c r="A3619" s="32">
        <v>41880</v>
      </c>
      <c r="B3619">
        <v>17</v>
      </c>
      <c r="C3619">
        <v>1615</v>
      </c>
      <c r="D3619" t="s">
        <v>303</v>
      </c>
      <c r="E3619">
        <f>YEAR(A3619)</f>
        <v>2014</v>
      </c>
      <c r="F3619" s="33">
        <f>DATE(YEAR(A3619),MONTH(A3619),1)</f>
        <v>41852.0</v>
      </c>
      <c r="G3619" t="str">
        <f>CHOOSE(WEEKDAY(A3619,2),"Mon","Tue","Wed","Thu","Fri","Sat","Sun")</f>
        <v>Fri</v>
      </c>
      <c r="H3619" t="str">
        <f>IF(WEEKDAY(A3619,2)&gt;5,"Weekend","Weekday")</f>
        <v>Weekday</v>
      </c>
      <c r="I3619" t="str">
        <f>_xlfn.IFS(B3619&lt;=5,"Night (0-5)",B3619&lt;=9,"Morning peak (6-9)",B3619&lt;=15,"Midday (10-15)",B3619&lt;=19,"Evening peak (16-19)",TRUE,"Late evening (20-23)")</f>
        <v>Evening peak (16-19)</v>
      </c>
    </row>
    <row r="3620" spans="1:9">
      <c r="A3620" s="32">
        <v>41880</v>
      </c>
      <c r="B3620">
        <v>18</v>
      </c>
      <c r="C3620">
        <v>1579</v>
      </c>
      <c r="D3620" t="s">
        <v>303</v>
      </c>
      <c r="E3620">
        <f>YEAR(A3620)</f>
        <v>2014</v>
      </c>
      <c r="F3620" s="33">
        <f>DATE(YEAR(A3620),MONTH(A3620),1)</f>
        <v>41852.0</v>
      </c>
      <c r="G3620" t="str">
        <f>CHOOSE(WEEKDAY(A3620,2),"Mon","Tue","Wed","Thu","Fri","Sat","Sun")</f>
        <v>Fri</v>
      </c>
      <c r="H3620" t="str">
        <f>IF(WEEKDAY(A3620,2)&gt;5,"Weekend","Weekday")</f>
        <v>Weekday</v>
      </c>
      <c r="I3620" t="str">
        <f>_xlfn.IFS(B3620&lt;=5,"Night (0-5)",B3620&lt;=9,"Morning peak (6-9)",B3620&lt;=15,"Midday (10-15)",B3620&lt;=19,"Evening peak (16-19)",TRUE,"Late evening (20-23)")</f>
        <v>Evening peak (16-19)</v>
      </c>
    </row>
    <row r="3621" spans="1:9">
      <c r="A3621" s="32">
        <v>41880</v>
      </c>
      <c r="B3621">
        <v>19</v>
      </c>
      <c r="C3621">
        <v>1571</v>
      </c>
      <c r="D3621" t="s">
        <v>303</v>
      </c>
      <c r="E3621">
        <f>YEAR(A3621)</f>
        <v>2014</v>
      </c>
      <c r="F3621" s="33">
        <f>DATE(YEAR(A3621),MONTH(A3621),1)</f>
        <v>41852.0</v>
      </c>
      <c r="G3621" t="str">
        <f>CHOOSE(WEEKDAY(A3621,2),"Mon","Tue","Wed","Thu","Fri","Sat","Sun")</f>
        <v>Fri</v>
      </c>
      <c r="H3621" t="str">
        <f>IF(WEEKDAY(A3621,2)&gt;5,"Weekend","Weekday")</f>
        <v>Weekday</v>
      </c>
      <c r="I3621" t="str">
        <f>_xlfn.IFS(B3621&lt;=5,"Night (0-5)",B3621&lt;=9,"Morning peak (6-9)",B3621&lt;=15,"Midday (10-15)",B3621&lt;=19,"Evening peak (16-19)",TRUE,"Late evening (20-23)")</f>
        <v>Evening peak (16-19)</v>
      </c>
    </row>
    <row r="3622" spans="1:9">
      <c r="A3622" s="32">
        <v>41880</v>
      </c>
      <c r="B3622">
        <v>20</v>
      </c>
      <c r="C3622">
        <v>1417</v>
      </c>
      <c r="D3622" t="s">
        <v>303</v>
      </c>
      <c r="E3622">
        <f>YEAR(A3622)</f>
        <v>2014</v>
      </c>
      <c r="F3622" s="33">
        <f>DATE(YEAR(A3622),MONTH(A3622),1)</f>
        <v>41852.0</v>
      </c>
      <c r="G3622" t="str">
        <f>CHOOSE(WEEKDAY(A3622,2),"Mon","Tue","Wed","Thu","Fri","Sat","Sun")</f>
        <v>Fri</v>
      </c>
      <c r="H3622" t="str">
        <f>IF(WEEKDAY(A3622,2)&gt;5,"Weekend","Weekday")</f>
        <v>Weekday</v>
      </c>
      <c r="I3622" t="str">
        <f>_xlfn.IFS(B3622&lt;=5,"Night (0-5)",B3622&lt;=9,"Morning peak (6-9)",B3622&lt;=15,"Midday (10-15)",B3622&lt;=19,"Evening peak (16-19)",TRUE,"Late evening (20-23)")</f>
        <v>Late evening (20-23)</v>
      </c>
    </row>
    <row r="3623" spans="1:9">
      <c r="A3623" s="32">
        <v>41880</v>
      </c>
      <c r="B3623">
        <v>21</v>
      </c>
      <c r="C3623">
        <v>1605</v>
      </c>
      <c r="D3623" t="s">
        <v>303</v>
      </c>
      <c r="E3623">
        <f>YEAR(A3623)</f>
        <v>2014</v>
      </c>
      <c r="F3623" s="33">
        <f>DATE(YEAR(A3623),MONTH(A3623),1)</f>
        <v>41852.0</v>
      </c>
      <c r="G3623" t="str">
        <f>CHOOSE(WEEKDAY(A3623,2),"Mon","Tue","Wed","Thu","Fri","Sat","Sun")</f>
        <v>Fri</v>
      </c>
      <c r="H3623" t="str">
        <f>IF(WEEKDAY(A3623,2)&gt;5,"Weekend","Weekday")</f>
        <v>Weekday</v>
      </c>
      <c r="I3623" t="str">
        <f>_xlfn.IFS(B3623&lt;=5,"Night (0-5)",B3623&lt;=9,"Morning peak (6-9)",B3623&lt;=15,"Midday (10-15)",B3623&lt;=19,"Evening peak (16-19)",TRUE,"Late evening (20-23)")</f>
        <v>Late evening (20-23)</v>
      </c>
    </row>
    <row r="3624" spans="1:9">
      <c r="A3624" s="32">
        <v>41880</v>
      </c>
      <c r="B3624">
        <v>22</v>
      </c>
      <c r="C3624">
        <v>1607</v>
      </c>
      <c r="D3624" t="s">
        <v>303</v>
      </c>
      <c r="E3624">
        <f>YEAR(A3624)</f>
        <v>2014</v>
      </c>
      <c r="F3624" s="33">
        <f>DATE(YEAR(A3624),MONTH(A3624),1)</f>
        <v>41852.0</v>
      </c>
      <c r="G3624" t="str">
        <f>CHOOSE(WEEKDAY(A3624,2),"Mon","Tue","Wed","Thu","Fri","Sat","Sun")</f>
        <v>Fri</v>
      </c>
      <c r="H3624" t="str">
        <f>IF(WEEKDAY(A3624,2)&gt;5,"Weekend","Weekday")</f>
        <v>Weekday</v>
      </c>
      <c r="I3624" t="str">
        <f>_xlfn.IFS(B3624&lt;=5,"Night (0-5)",B3624&lt;=9,"Morning peak (6-9)",B3624&lt;=15,"Midday (10-15)",B3624&lt;=19,"Evening peak (16-19)",TRUE,"Late evening (20-23)")</f>
        <v>Late evening (20-23)</v>
      </c>
    </row>
    <row r="3625" spans="1:9">
      <c r="A3625" s="32">
        <v>41880</v>
      </c>
      <c r="B3625">
        <v>23</v>
      </c>
      <c r="C3625">
        <v>1319</v>
      </c>
      <c r="D3625" t="s">
        <v>303</v>
      </c>
      <c r="E3625">
        <f>YEAR(A3625)</f>
        <v>2014</v>
      </c>
      <c r="F3625" s="33">
        <f>DATE(YEAR(A3625),MONTH(A3625),1)</f>
        <v>41852.0</v>
      </c>
      <c r="G3625" t="str">
        <f>CHOOSE(WEEKDAY(A3625,2),"Mon","Tue","Wed","Thu","Fri","Sat","Sun")</f>
        <v>Fri</v>
      </c>
      <c r="H3625" t="str">
        <f>IF(WEEKDAY(A3625,2)&gt;5,"Weekend","Weekday")</f>
        <v>Weekday</v>
      </c>
      <c r="I3625" t="str">
        <f>_xlfn.IFS(B3625&lt;=5,"Night (0-5)",B3625&lt;=9,"Morning peak (6-9)",B3625&lt;=15,"Midday (10-15)",B3625&lt;=19,"Evening peak (16-19)",TRUE,"Late evening (20-23)")</f>
        <v>Late evening (20-23)</v>
      </c>
    </row>
    <row r="3626" spans="1:9">
      <c r="A3626" s="32">
        <v>41881</v>
      </c>
      <c r="B3626">
        <v>0</v>
      </c>
      <c r="C3626">
        <v>965</v>
      </c>
      <c r="D3626" t="s">
        <v>303</v>
      </c>
      <c r="E3626">
        <f>YEAR(A3626)</f>
        <v>2014</v>
      </c>
      <c r="F3626" s="33">
        <f>DATE(YEAR(A3626),MONTH(A3626),1)</f>
        <v>41852.0</v>
      </c>
      <c r="G3626" t="str">
        <f>CHOOSE(WEEKDAY(A3626,2),"Mon","Tue","Wed","Thu","Fri","Sat","Sun")</f>
        <v>Sat</v>
      </c>
      <c r="H3626" t="str">
        <f>IF(WEEKDAY(A3626,2)&gt;5,"Weekend","Weekday")</f>
        <v>Weekend</v>
      </c>
      <c r="I3626" t="str">
        <f>_xlfn.IFS(B3626&lt;=5,"Night (0-5)",B3626&lt;=9,"Morning peak (6-9)",B3626&lt;=15,"Midday (10-15)",B3626&lt;=19,"Evening peak (16-19)",TRUE,"Late evening (20-23)")</f>
        <v>Night (0-5)</v>
      </c>
    </row>
    <row r="3627" spans="1:9">
      <c r="A3627" s="32">
        <v>41881</v>
      </c>
      <c r="B3627">
        <v>1</v>
      </c>
      <c r="C3627">
        <v>728</v>
      </c>
      <c r="D3627" t="s">
        <v>303</v>
      </c>
      <c r="E3627">
        <f>YEAR(A3627)</f>
        <v>2014</v>
      </c>
      <c r="F3627" s="33">
        <f>DATE(YEAR(A3627),MONTH(A3627),1)</f>
        <v>41852.0</v>
      </c>
      <c r="G3627" t="str">
        <f>CHOOSE(WEEKDAY(A3627,2),"Mon","Tue","Wed","Thu","Fri","Sat","Sun")</f>
        <v>Sat</v>
      </c>
      <c r="H3627" t="str">
        <f>IF(WEEKDAY(A3627,2)&gt;5,"Weekend","Weekday")</f>
        <v>Weekend</v>
      </c>
      <c r="I3627" t="str">
        <f>_xlfn.IFS(B3627&lt;=5,"Night (0-5)",B3627&lt;=9,"Morning peak (6-9)",B3627&lt;=15,"Midday (10-15)",B3627&lt;=19,"Evening peak (16-19)",TRUE,"Late evening (20-23)")</f>
        <v>Night (0-5)</v>
      </c>
    </row>
    <row r="3628" spans="1:9">
      <c r="A3628" s="32">
        <v>41881</v>
      </c>
      <c r="B3628">
        <v>2</v>
      </c>
      <c r="C3628">
        <v>488</v>
      </c>
      <c r="D3628" t="s">
        <v>303</v>
      </c>
      <c r="E3628">
        <f>YEAR(A3628)</f>
        <v>2014</v>
      </c>
      <c r="F3628" s="33">
        <f>DATE(YEAR(A3628),MONTH(A3628),1)</f>
        <v>41852.0</v>
      </c>
      <c r="G3628" t="str">
        <f>CHOOSE(WEEKDAY(A3628,2),"Mon","Tue","Wed","Thu","Fri","Sat","Sun")</f>
        <v>Sat</v>
      </c>
      <c r="H3628" t="str">
        <f>IF(WEEKDAY(A3628,2)&gt;5,"Weekend","Weekday")</f>
        <v>Weekend</v>
      </c>
      <c r="I3628" t="str">
        <f>_xlfn.IFS(B3628&lt;=5,"Night (0-5)",B3628&lt;=9,"Morning peak (6-9)",B3628&lt;=15,"Midday (10-15)",B3628&lt;=19,"Evening peak (16-19)",TRUE,"Late evening (20-23)")</f>
        <v>Night (0-5)</v>
      </c>
    </row>
    <row r="3629" spans="1:9">
      <c r="A3629" s="32">
        <v>41881</v>
      </c>
      <c r="B3629">
        <v>3</v>
      </c>
      <c r="C3629">
        <v>402</v>
      </c>
      <c r="D3629" t="s">
        <v>303</v>
      </c>
      <c r="E3629">
        <f>YEAR(A3629)</f>
        <v>2014</v>
      </c>
      <c r="F3629" s="33">
        <f>DATE(YEAR(A3629),MONTH(A3629),1)</f>
        <v>41852.0</v>
      </c>
      <c r="G3629" t="str">
        <f>CHOOSE(WEEKDAY(A3629,2),"Mon","Tue","Wed","Thu","Fri","Sat","Sun")</f>
        <v>Sat</v>
      </c>
      <c r="H3629" t="str">
        <f>IF(WEEKDAY(A3629,2)&gt;5,"Weekend","Weekday")</f>
        <v>Weekend</v>
      </c>
      <c r="I3629" t="str">
        <f>_xlfn.IFS(B3629&lt;=5,"Night (0-5)",B3629&lt;=9,"Morning peak (6-9)",B3629&lt;=15,"Midday (10-15)",B3629&lt;=19,"Evening peak (16-19)",TRUE,"Late evening (20-23)")</f>
        <v>Night (0-5)</v>
      </c>
    </row>
    <row r="3630" spans="1:9">
      <c r="A3630" s="32">
        <v>41881</v>
      </c>
      <c r="B3630">
        <v>4</v>
      </c>
      <c r="C3630">
        <v>320</v>
      </c>
      <c r="D3630" t="s">
        <v>303</v>
      </c>
      <c r="E3630">
        <f>YEAR(A3630)</f>
        <v>2014</v>
      </c>
      <c r="F3630" s="33">
        <f>DATE(YEAR(A3630),MONTH(A3630),1)</f>
        <v>41852.0</v>
      </c>
      <c r="G3630" t="str">
        <f>CHOOSE(WEEKDAY(A3630,2),"Mon","Tue","Wed","Thu","Fri","Sat","Sun")</f>
        <v>Sat</v>
      </c>
      <c r="H3630" t="str">
        <f>IF(WEEKDAY(A3630,2)&gt;5,"Weekend","Weekday")</f>
        <v>Weekend</v>
      </c>
      <c r="I3630" t="str">
        <f>_xlfn.IFS(B3630&lt;=5,"Night (0-5)",B3630&lt;=9,"Morning peak (6-9)",B3630&lt;=15,"Midday (10-15)",B3630&lt;=19,"Evening peak (16-19)",TRUE,"Late evening (20-23)")</f>
        <v>Night (0-5)</v>
      </c>
    </row>
    <row r="3631" spans="1:9">
      <c r="A3631" s="32">
        <v>41881</v>
      </c>
      <c r="B3631">
        <v>5</v>
      </c>
      <c r="C3631">
        <v>377</v>
      </c>
      <c r="D3631" t="s">
        <v>303</v>
      </c>
      <c r="E3631">
        <f>YEAR(A3631)</f>
        <v>2014</v>
      </c>
      <c r="F3631" s="33">
        <f>DATE(YEAR(A3631),MONTH(A3631),1)</f>
        <v>41852.0</v>
      </c>
      <c r="G3631" t="str">
        <f>CHOOSE(WEEKDAY(A3631,2),"Mon","Tue","Wed","Thu","Fri","Sat","Sun")</f>
        <v>Sat</v>
      </c>
      <c r="H3631" t="str">
        <f>IF(WEEKDAY(A3631,2)&gt;5,"Weekend","Weekday")</f>
        <v>Weekend</v>
      </c>
      <c r="I3631" t="str">
        <f>_xlfn.IFS(B3631&lt;=5,"Night (0-5)",B3631&lt;=9,"Morning peak (6-9)",B3631&lt;=15,"Midday (10-15)",B3631&lt;=19,"Evening peak (16-19)",TRUE,"Late evening (20-23)")</f>
        <v>Night (0-5)</v>
      </c>
    </row>
    <row r="3632" spans="1:9">
      <c r="A3632" s="32">
        <v>41881</v>
      </c>
      <c r="B3632">
        <v>6</v>
      </c>
      <c r="C3632">
        <v>428</v>
      </c>
      <c r="D3632" t="s">
        <v>303</v>
      </c>
      <c r="E3632">
        <f>YEAR(A3632)</f>
        <v>2014</v>
      </c>
      <c r="F3632" s="33">
        <f>DATE(YEAR(A3632),MONTH(A3632),1)</f>
        <v>41852.0</v>
      </c>
      <c r="G3632" t="str">
        <f>CHOOSE(WEEKDAY(A3632,2),"Mon","Tue","Wed","Thu","Fri","Sat","Sun")</f>
        <v>Sat</v>
      </c>
      <c r="H3632" t="str">
        <f>IF(WEEKDAY(A3632,2)&gt;5,"Weekend","Weekday")</f>
        <v>Weekend</v>
      </c>
      <c r="I3632" t="str">
        <f>_xlfn.IFS(B3632&lt;=5,"Night (0-5)",B3632&lt;=9,"Morning peak (6-9)",B3632&lt;=15,"Midday (10-15)",B3632&lt;=19,"Evening peak (16-19)",TRUE,"Late evening (20-23)")</f>
        <v>Morning peak (6-9)</v>
      </c>
    </row>
    <row r="3633" spans="1:9">
      <c r="A3633" s="32">
        <v>41881</v>
      </c>
      <c r="B3633">
        <v>7</v>
      </c>
      <c r="C3633">
        <v>507</v>
      </c>
      <c r="D3633" t="s">
        <v>303</v>
      </c>
      <c r="E3633">
        <f>YEAR(A3633)</f>
        <v>2014</v>
      </c>
      <c r="F3633" s="33">
        <f>DATE(YEAR(A3633),MONTH(A3633),1)</f>
        <v>41852.0</v>
      </c>
      <c r="G3633" t="str">
        <f>CHOOSE(WEEKDAY(A3633,2),"Mon","Tue","Wed","Thu","Fri","Sat","Sun")</f>
        <v>Sat</v>
      </c>
      <c r="H3633" t="str">
        <f>IF(WEEKDAY(A3633,2)&gt;5,"Weekend","Weekday")</f>
        <v>Weekend</v>
      </c>
      <c r="I3633" t="str">
        <f>_xlfn.IFS(B3633&lt;=5,"Night (0-5)",B3633&lt;=9,"Morning peak (6-9)",B3633&lt;=15,"Midday (10-15)",B3633&lt;=19,"Evening peak (16-19)",TRUE,"Late evening (20-23)")</f>
        <v>Morning peak (6-9)</v>
      </c>
    </row>
    <row r="3634" spans="1:9">
      <c r="A3634" s="32">
        <v>41881</v>
      </c>
      <c r="B3634">
        <v>8</v>
      </c>
      <c r="C3634">
        <v>669</v>
      </c>
      <c r="D3634" t="s">
        <v>303</v>
      </c>
      <c r="E3634">
        <f>YEAR(A3634)</f>
        <v>2014</v>
      </c>
      <c r="F3634" s="33">
        <f>DATE(YEAR(A3634),MONTH(A3634),1)</f>
        <v>41852.0</v>
      </c>
      <c r="G3634" t="str">
        <f>CHOOSE(WEEKDAY(A3634,2),"Mon","Tue","Wed","Thu","Fri","Sat","Sun")</f>
        <v>Sat</v>
      </c>
      <c r="H3634" t="str">
        <f>IF(WEEKDAY(A3634,2)&gt;5,"Weekend","Weekday")</f>
        <v>Weekend</v>
      </c>
      <c r="I3634" t="str">
        <f>_xlfn.IFS(B3634&lt;=5,"Night (0-5)",B3634&lt;=9,"Morning peak (6-9)",B3634&lt;=15,"Midday (10-15)",B3634&lt;=19,"Evening peak (16-19)",TRUE,"Late evening (20-23)")</f>
        <v>Morning peak (6-9)</v>
      </c>
    </row>
    <row r="3635" spans="1:9">
      <c r="A3635" s="32">
        <v>41881</v>
      </c>
      <c r="B3635">
        <v>9</v>
      </c>
      <c r="C3635">
        <v>841</v>
      </c>
      <c r="D3635" t="s">
        <v>303</v>
      </c>
      <c r="E3635">
        <f>YEAR(A3635)</f>
        <v>2014</v>
      </c>
      <c r="F3635" s="33">
        <f>DATE(YEAR(A3635),MONTH(A3635),1)</f>
        <v>41852.0</v>
      </c>
      <c r="G3635" t="str">
        <f>CHOOSE(WEEKDAY(A3635,2),"Mon","Tue","Wed","Thu","Fri","Sat","Sun")</f>
        <v>Sat</v>
      </c>
      <c r="H3635" t="str">
        <f>IF(WEEKDAY(A3635,2)&gt;5,"Weekend","Weekday")</f>
        <v>Weekend</v>
      </c>
      <c r="I3635" t="str">
        <f>_xlfn.IFS(B3635&lt;=5,"Night (0-5)",B3635&lt;=9,"Morning peak (6-9)",B3635&lt;=15,"Midday (10-15)",B3635&lt;=19,"Evening peak (16-19)",TRUE,"Late evening (20-23)")</f>
        <v>Morning peak (6-9)</v>
      </c>
    </row>
    <row r="3636" spans="1:9">
      <c r="A3636" s="32">
        <v>41881</v>
      </c>
      <c r="B3636">
        <v>10</v>
      </c>
      <c r="C3636">
        <v>931</v>
      </c>
      <c r="D3636" t="s">
        <v>303</v>
      </c>
      <c r="E3636">
        <f>YEAR(A3636)</f>
        <v>2014</v>
      </c>
      <c r="F3636" s="33">
        <f>DATE(YEAR(A3636),MONTH(A3636),1)</f>
        <v>41852.0</v>
      </c>
      <c r="G3636" t="str">
        <f>CHOOSE(WEEKDAY(A3636,2),"Mon","Tue","Wed","Thu","Fri","Sat","Sun")</f>
        <v>Sat</v>
      </c>
      <c r="H3636" t="str">
        <f>IF(WEEKDAY(A3636,2)&gt;5,"Weekend","Weekday")</f>
        <v>Weekend</v>
      </c>
      <c r="I3636" t="str">
        <f>_xlfn.IFS(B3636&lt;=5,"Night (0-5)",B3636&lt;=9,"Morning peak (6-9)",B3636&lt;=15,"Midday (10-15)",B3636&lt;=19,"Evening peak (16-19)",TRUE,"Late evening (20-23)")</f>
        <v>Midday (10-15)</v>
      </c>
    </row>
    <row r="3637" spans="1:9">
      <c r="A3637" s="32">
        <v>41881</v>
      </c>
      <c r="B3637">
        <v>11</v>
      </c>
      <c r="C3637">
        <v>966</v>
      </c>
      <c r="D3637" t="s">
        <v>303</v>
      </c>
      <c r="E3637">
        <f>YEAR(A3637)</f>
        <v>2014</v>
      </c>
      <c r="F3637" s="33">
        <f>DATE(YEAR(A3637),MONTH(A3637),1)</f>
        <v>41852.0</v>
      </c>
      <c r="G3637" t="str">
        <f>CHOOSE(WEEKDAY(A3637,2),"Mon","Tue","Wed","Thu","Fri","Sat","Sun")</f>
        <v>Sat</v>
      </c>
      <c r="H3637" t="str">
        <f>IF(WEEKDAY(A3637,2)&gt;5,"Weekend","Weekday")</f>
        <v>Weekend</v>
      </c>
      <c r="I3637" t="str">
        <f>_xlfn.IFS(B3637&lt;=5,"Night (0-5)",B3637&lt;=9,"Morning peak (6-9)",B3637&lt;=15,"Midday (10-15)",B3637&lt;=19,"Evening peak (16-19)",TRUE,"Late evening (20-23)")</f>
        <v>Midday (10-15)</v>
      </c>
    </row>
    <row r="3638" spans="1:9">
      <c r="A3638" s="32">
        <v>41881</v>
      </c>
      <c r="B3638">
        <v>12</v>
      </c>
      <c r="C3638">
        <v>1063</v>
      </c>
      <c r="D3638" t="s">
        <v>303</v>
      </c>
      <c r="E3638">
        <f>YEAR(A3638)</f>
        <v>2014</v>
      </c>
      <c r="F3638" s="33">
        <f>DATE(YEAR(A3638),MONTH(A3638),1)</f>
        <v>41852.0</v>
      </c>
      <c r="G3638" t="str">
        <f>CHOOSE(WEEKDAY(A3638,2),"Mon","Tue","Wed","Thu","Fri","Sat","Sun")</f>
        <v>Sat</v>
      </c>
      <c r="H3638" t="str">
        <f>IF(WEEKDAY(A3638,2)&gt;5,"Weekend","Weekday")</f>
        <v>Weekend</v>
      </c>
      <c r="I3638" t="str">
        <f>_xlfn.IFS(B3638&lt;=5,"Night (0-5)",B3638&lt;=9,"Morning peak (6-9)",B3638&lt;=15,"Midday (10-15)",B3638&lt;=19,"Evening peak (16-19)",TRUE,"Late evening (20-23)")</f>
        <v>Midday (10-15)</v>
      </c>
    </row>
    <row r="3639" spans="1:9">
      <c r="A3639" s="32">
        <v>41881</v>
      </c>
      <c r="B3639">
        <v>13</v>
      </c>
      <c r="C3639">
        <v>1142</v>
      </c>
      <c r="D3639" t="s">
        <v>303</v>
      </c>
      <c r="E3639">
        <f>YEAR(A3639)</f>
        <v>2014</v>
      </c>
      <c r="F3639" s="33">
        <f>DATE(YEAR(A3639),MONTH(A3639),1)</f>
        <v>41852.0</v>
      </c>
      <c r="G3639" t="str">
        <f>CHOOSE(WEEKDAY(A3639,2),"Mon","Tue","Wed","Thu","Fri","Sat","Sun")</f>
        <v>Sat</v>
      </c>
      <c r="H3639" t="str">
        <f>IF(WEEKDAY(A3639,2)&gt;5,"Weekend","Weekday")</f>
        <v>Weekend</v>
      </c>
      <c r="I3639" t="str">
        <f>_xlfn.IFS(B3639&lt;=5,"Night (0-5)",B3639&lt;=9,"Morning peak (6-9)",B3639&lt;=15,"Midday (10-15)",B3639&lt;=19,"Evening peak (16-19)",TRUE,"Late evening (20-23)")</f>
        <v>Midday (10-15)</v>
      </c>
    </row>
    <row r="3640" spans="1:9">
      <c r="A3640" s="32">
        <v>41881</v>
      </c>
      <c r="B3640">
        <v>14</v>
      </c>
      <c r="C3640">
        <v>1187</v>
      </c>
      <c r="D3640" t="s">
        <v>303</v>
      </c>
      <c r="E3640">
        <f>YEAR(A3640)</f>
        <v>2014</v>
      </c>
      <c r="F3640" s="33">
        <f>DATE(YEAR(A3640),MONTH(A3640),1)</f>
        <v>41852.0</v>
      </c>
      <c r="G3640" t="str">
        <f>CHOOSE(WEEKDAY(A3640,2),"Mon","Tue","Wed","Thu","Fri","Sat","Sun")</f>
        <v>Sat</v>
      </c>
      <c r="H3640" t="str">
        <f>IF(WEEKDAY(A3640,2)&gt;5,"Weekend","Weekday")</f>
        <v>Weekend</v>
      </c>
      <c r="I3640" t="str">
        <f>_xlfn.IFS(B3640&lt;=5,"Night (0-5)",B3640&lt;=9,"Morning peak (6-9)",B3640&lt;=15,"Midday (10-15)",B3640&lt;=19,"Evening peak (16-19)",TRUE,"Late evening (20-23)")</f>
        <v>Midday (10-15)</v>
      </c>
    </row>
    <row r="3641" spans="1:9">
      <c r="A3641" s="32">
        <v>41881</v>
      </c>
      <c r="B3641">
        <v>15</v>
      </c>
      <c r="C3641">
        <v>1391</v>
      </c>
      <c r="D3641" t="s">
        <v>303</v>
      </c>
      <c r="E3641">
        <f>YEAR(A3641)</f>
        <v>2014</v>
      </c>
      <c r="F3641" s="33">
        <f>DATE(YEAR(A3641),MONTH(A3641),1)</f>
        <v>41852.0</v>
      </c>
      <c r="G3641" t="str">
        <f>CHOOSE(WEEKDAY(A3641,2),"Mon","Tue","Wed","Thu","Fri","Sat","Sun")</f>
        <v>Sat</v>
      </c>
      <c r="H3641" t="str">
        <f>IF(WEEKDAY(A3641,2)&gt;5,"Weekend","Weekday")</f>
        <v>Weekend</v>
      </c>
      <c r="I3641" t="str">
        <f>_xlfn.IFS(B3641&lt;=5,"Night (0-5)",B3641&lt;=9,"Morning peak (6-9)",B3641&lt;=15,"Midday (10-15)",B3641&lt;=19,"Evening peak (16-19)",TRUE,"Late evening (20-23)")</f>
        <v>Midday (10-15)</v>
      </c>
    </row>
    <row r="3642" spans="1:9">
      <c r="A3642" s="32">
        <v>41881</v>
      </c>
      <c r="B3642">
        <v>16</v>
      </c>
      <c r="C3642">
        <v>1443</v>
      </c>
      <c r="D3642" t="s">
        <v>303</v>
      </c>
      <c r="E3642">
        <f>YEAR(A3642)</f>
        <v>2014</v>
      </c>
      <c r="F3642" s="33">
        <f>DATE(YEAR(A3642),MONTH(A3642),1)</f>
        <v>41852.0</v>
      </c>
      <c r="G3642" t="str">
        <f>CHOOSE(WEEKDAY(A3642,2),"Mon","Tue","Wed","Thu","Fri","Sat","Sun")</f>
        <v>Sat</v>
      </c>
      <c r="H3642" t="str">
        <f>IF(WEEKDAY(A3642,2)&gt;5,"Weekend","Weekday")</f>
        <v>Weekend</v>
      </c>
      <c r="I3642" t="str">
        <f>_xlfn.IFS(B3642&lt;=5,"Night (0-5)",B3642&lt;=9,"Morning peak (6-9)",B3642&lt;=15,"Midday (10-15)",B3642&lt;=19,"Evening peak (16-19)",TRUE,"Late evening (20-23)")</f>
        <v>Evening peak (16-19)</v>
      </c>
    </row>
    <row r="3643" spans="1:9">
      <c r="A3643" s="32">
        <v>41881</v>
      </c>
      <c r="B3643">
        <v>17</v>
      </c>
      <c r="C3643">
        <v>1414</v>
      </c>
      <c r="D3643" t="s">
        <v>303</v>
      </c>
      <c r="E3643">
        <f>YEAR(A3643)</f>
        <v>2014</v>
      </c>
      <c r="F3643" s="33">
        <f>DATE(YEAR(A3643),MONTH(A3643),1)</f>
        <v>41852.0</v>
      </c>
      <c r="G3643" t="str">
        <f>CHOOSE(WEEKDAY(A3643,2),"Mon","Tue","Wed","Thu","Fri","Sat","Sun")</f>
        <v>Sat</v>
      </c>
      <c r="H3643" t="str">
        <f>IF(WEEKDAY(A3643,2)&gt;5,"Weekend","Weekday")</f>
        <v>Weekend</v>
      </c>
      <c r="I3643" t="str">
        <f>_xlfn.IFS(B3643&lt;=5,"Night (0-5)",B3643&lt;=9,"Morning peak (6-9)",B3643&lt;=15,"Midday (10-15)",B3643&lt;=19,"Evening peak (16-19)",TRUE,"Late evening (20-23)")</f>
        <v>Evening peak (16-19)</v>
      </c>
    </row>
    <row r="3644" spans="1:9">
      <c r="A3644" s="32">
        <v>41881</v>
      </c>
      <c r="B3644">
        <v>18</v>
      </c>
      <c r="C3644">
        <v>1474</v>
      </c>
      <c r="D3644" t="s">
        <v>303</v>
      </c>
      <c r="E3644">
        <f>YEAR(A3644)</f>
        <v>2014</v>
      </c>
      <c r="F3644" s="33">
        <f>DATE(YEAR(A3644),MONTH(A3644),1)</f>
        <v>41852.0</v>
      </c>
      <c r="G3644" t="str">
        <f>CHOOSE(WEEKDAY(A3644,2),"Mon","Tue","Wed","Thu","Fri","Sat","Sun")</f>
        <v>Sat</v>
      </c>
      <c r="H3644" t="str">
        <f>IF(WEEKDAY(A3644,2)&gt;5,"Weekend","Weekday")</f>
        <v>Weekend</v>
      </c>
      <c r="I3644" t="str">
        <f>_xlfn.IFS(B3644&lt;=5,"Night (0-5)",B3644&lt;=9,"Morning peak (6-9)",B3644&lt;=15,"Midday (10-15)",B3644&lt;=19,"Evening peak (16-19)",TRUE,"Late evening (20-23)")</f>
        <v>Evening peak (16-19)</v>
      </c>
    </row>
    <row r="3645" spans="1:9">
      <c r="A3645" s="32">
        <v>41881</v>
      </c>
      <c r="B3645">
        <v>19</v>
      </c>
      <c r="C3645">
        <v>1410</v>
      </c>
      <c r="D3645" t="s">
        <v>303</v>
      </c>
      <c r="E3645">
        <f>YEAR(A3645)</f>
        <v>2014</v>
      </c>
      <c r="F3645" s="33">
        <f>DATE(YEAR(A3645),MONTH(A3645),1)</f>
        <v>41852.0</v>
      </c>
      <c r="G3645" t="str">
        <f>CHOOSE(WEEKDAY(A3645,2),"Mon","Tue","Wed","Thu","Fri","Sat","Sun")</f>
        <v>Sat</v>
      </c>
      <c r="H3645" t="str">
        <f>IF(WEEKDAY(A3645,2)&gt;5,"Weekend","Weekday")</f>
        <v>Weekend</v>
      </c>
      <c r="I3645" t="str">
        <f>_xlfn.IFS(B3645&lt;=5,"Night (0-5)",B3645&lt;=9,"Morning peak (6-9)",B3645&lt;=15,"Midday (10-15)",B3645&lt;=19,"Evening peak (16-19)",TRUE,"Late evening (20-23)")</f>
        <v>Evening peak (16-19)</v>
      </c>
    </row>
    <row r="3646" spans="1:9">
      <c r="A3646" s="32">
        <v>41881</v>
      </c>
      <c r="B3646">
        <v>20</v>
      </c>
      <c r="C3646">
        <v>1379</v>
      </c>
      <c r="D3646" t="s">
        <v>303</v>
      </c>
      <c r="E3646">
        <f>YEAR(A3646)</f>
        <v>2014</v>
      </c>
      <c r="F3646" s="33">
        <f>DATE(YEAR(A3646),MONTH(A3646),1)</f>
        <v>41852.0</v>
      </c>
      <c r="G3646" t="str">
        <f>CHOOSE(WEEKDAY(A3646,2),"Mon","Tue","Wed","Thu","Fri","Sat","Sun")</f>
        <v>Sat</v>
      </c>
      <c r="H3646" t="str">
        <f>IF(WEEKDAY(A3646,2)&gt;5,"Weekend","Weekday")</f>
        <v>Weekend</v>
      </c>
      <c r="I3646" t="str">
        <f>_xlfn.IFS(B3646&lt;=5,"Night (0-5)",B3646&lt;=9,"Morning peak (6-9)",B3646&lt;=15,"Midday (10-15)",B3646&lt;=19,"Evening peak (16-19)",TRUE,"Late evening (20-23)")</f>
        <v>Late evening (20-23)</v>
      </c>
    </row>
    <row r="3647" spans="1:9">
      <c r="A3647" s="32">
        <v>41881</v>
      </c>
      <c r="B3647">
        <v>21</v>
      </c>
      <c r="C3647">
        <v>1492</v>
      </c>
      <c r="D3647" t="s">
        <v>303</v>
      </c>
      <c r="E3647">
        <f>YEAR(A3647)</f>
        <v>2014</v>
      </c>
      <c r="F3647" s="33">
        <f>DATE(YEAR(A3647),MONTH(A3647),1)</f>
        <v>41852.0</v>
      </c>
      <c r="G3647" t="str">
        <f>CHOOSE(WEEKDAY(A3647,2),"Mon","Tue","Wed","Thu","Fri","Sat","Sun")</f>
        <v>Sat</v>
      </c>
      <c r="H3647" t="str">
        <f>IF(WEEKDAY(A3647,2)&gt;5,"Weekend","Weekday")</f>
        <v>Weekend</v>
      </c>
      <c r="I3647" t="str">
        <f>_xlfn.IFS(B3647&lt;=5,"Night (0-5)",B3647&lt;=9,"Morning peak (6-9)",B3647&lt;=15,"Midday (10-15)",B3647&lt;=19,"Evening peak (16-19)",TRUE,"Late evening (20-23)")</f>
        <v>Late evening (20-23)</v>
      </c>
    </row>
    <row r="3648" spans="1:9">
      <c r="A3648" s="32">
        <v>41881</v>
      </c>
      <c r="B3648">
        <v>22</v>
      </c>
      <c r="C3648">
        <v>1584</v>
      </c>
      <c r="D3648" t="s">
        <v>303</v>
      </c>
      <c r="E3648">
        <f>YEAR(A3648)</f>
        <v>2014</v>
      </c>
      <c r="F3648" s="33">
        <f>DATE(YEAR(A3648),MONTH(A3648),1)</f>
        <v>41852.0</v>
      </c>
      <c r="G3648" t="str">
        <f>CHOOSE(WEEKDAY(A3648,2),"Mon","Tue","Wed","Thu","Fri","Sat","Sun")</f>
        <v>Sat</v>
      </c>
      <c r="H3648" t="str">
        <f>IF(WEEKDAY(A3648,2)&gt;5,"Weekend","Weekday")</f>
        <v>Weekend</v>
      </c>
      <c r="I3648" t="str">
        <f>_xlfn.IFS(B3648&lt;=5,"Night (0-5)",B3648&lt;=9,"Morning peak (6-9)",B3648&lt;=15,"Midday (10-15)",B3648&lt;=19,"Evening peak (16-19)",TRUE,"Late evening (20-23)")</f>
        <v>Late evening (20-23)</v>
      </c>
    </row>
    <row r="3649" spans="1:9">
      <c r="A3649" s="32">
        <v>41881</v>
      </c>
      <c r="B3649">
        <v>23</v>
      </c>
      <c r="C3649">
        <v>1329</v>
      </c>
      <c r="D3649" t="s">
        <v>303</v>
      </c>
      <c r="E3649">
        <f>YEAR(A3649)</f>
        <v>2014</v>
      </c>
      <c r="F3649" s="33">
        <f>DATE(YEAR(A3649),MONTH(A3649),1)</f>
        <v>41852.0</v>
      </c>
      <c r="G3649" t="str">
        <f>CHOOSE(WEEKDAY(A3649,2),"Mon","Tue","Wed","Thu","Fri","Sat","Sun")</f>
        <v>Sat</v>
      </c>
      <c r="H3649" t="str">
        <f>IF(WEEKDAY(A3649,2)&gt;5,"Weekend","Weekday")</f>
        <v>Weekend</v>
      </c>
      <c r="I3649" t="str">
        <f>_xlfn.IFS(B3649&lt;=5,"Night (0-5)",B3649&lt;=9,"Morning peak (6-9)",B3649&lt;=15,"Midday (10-15)",B3649&lt;=19,"Evening peak (16-19)",TRUE,"Late evening (20-23)")</f>
        <v>Late evening (20-23)</v>
      </c>
    </row>
    <row r="3650" spans="1:9">
      <c r="A3650" s="32">
        <v>41882</v>
      </c>
      <c r="B3650">
        <v>0</v>
      </c>
      <c r="C3650">
        <v>948</v>
      </c>
      <c r="D3650" t="s">
        <v>303</v>
      </c>
      <c r="E3650">
        <f>YEAR(A3650)</f>
        <v>2014</v>
      </c>
      <c r="F3650" s="33">
        <f>DATE(YEAR(A3650),MONTH(A3650),1)</f>
        <v>41852.0</v>
      </c>
      <c r="G3650" t="str">
        <f>CHOOSE(WEEKDAY(A3650,2),"Mon","Tue","Wed","Thu","Fri","Sat","Sun")</f>
        <v>Sun</v>
      </c>
      <c r="H3650" t="str">
        <f>IF(WEEKDAY(A3650,2)&gt;5,"Weekend","Weekday")</f>
        <v>Weekend</v>
      </c>
      <c r="I3650" t="str">
        <f>_xlfn.IFS(B3650&lt;=5,"Night (0-5)",B3650&lt;=9,"Morning peak (6-9)",B3650&lt;=15,"Midday (10-15)",B3650&lt;=19,"Evening peak (16-19)",TRUE,"Late evening (20-23)")</f>
        <v>Night (0-5)</v>
      </c>
    </row>
    <row r="3651" spans="1:9">
      <c r="A3651" s="32">
        <v>41882</v>
      </c>
      <c r="B3651">
        <v>1</v>
      </c>
      <c r="C3651">
        <v>666</v>
      </c>
      <c r="D3651" t="s">
        <v>303</v>
      </c>
      <c r="E3651">
        <f>YEAR(A3651)</f>
        <v>2014</v>
      </c>
      <c r="F3651" s="33">
        <f>DATE(YEAR(A3651),MONTH(A3651),1)</f>
        <v>41852.0</v>
      </c>
      <c r="G3651" t="str">
        <f>CHOOSE(WEEKDAY(A3651,2),"Mon","Tue","Wed","Thu","Fri","Sat","Sun")</f>
        <v>Sun</v>
      </c>
      <c r="H3651" t="str">
        <f>IF(WEEKDAY(A3651,2)&gt;5,"Weekend","Weekday")</f>
        <v>Weekend</v>
      </c>
      <c r="I3651" t="str">
        <f>_xlfn.IFS(B3651&lt;=5,"Night (0-5)",B3651&lt;=9,"Morning peak (6-9)",B3651&lt;=15,"Midday (10-15)",B3651&lt;=19,"Evening peak (16-19)",TRUE,"Late evening (20-23)")</f>
        <v>Night (0-5)</v>
      </c>
    </row>
    <row r="3652" spans="1:9">
      <c r="A3652" s="32">
        <v>41882</v>
      </c>
      <c r="B3652">
        <v>2</v>
      </c>
      <c r="C3652">
        <v>558</v>
      </c>
      <c r="D3652" t="s">
        <v>303</v>
      </c>
      <c r="E3652">
        <f>YEAR(A3652)</f>
        <v>2014</v>
      </c>
      <c r="F3652" s="33">
        <f>DATE(YEAR(A3652),MONTH(A3652),1)</f>
        <v>41852.0</v>
      </c>
      <c r="G3652" t="str">
        <f>CHOOSE(WEEKDAY(A3652,2),"Mon","Tue","Wed","Thu","Fri","Sat","Sun")</f>
        <v>Sun</v>
      </c>
      <c r="H3652" t="str">
        <f>IF(WEEKDAY(A3652,2)&gt;5,"Weekend","Weekday")</f>
        <v>Weekend</v>
      </c>
      <c r="I3652" t="str">
        <f>_xlfn.IFS(B3652&lt;=5,"Night (0-5)",B3652&lt;=9,"Morning peak (6-9)",B3652&lt;=15,"Midday (10-15)",B3652&lt;=19,"Evening peak (16-19)",TRUE,"Late evening (20-23)")</f>
        <v>Night (0-5)</v>
      </c>
    </row>
    <row r="3653" spans="1:9">
      <c r="A3653" s="32">
        <v>41882</v>
      </c>
      <c r="B3653">
        <v>3</v>
      </c>
      <c r="C3653">
        <v>383</v>
      </c>
      <c r="D3653" t="s">
        <v>303</v>
      </c>
      <c r="E3653">
        <f>YEAR(A3653)</f>
        <v>2014</v>
      </c>
      <c r="F3653" s="33">
        <f>DATE(YEAR(A3653),MONTH(A3653),1)</f>
        <v>41852.0</v>
      </c>
      <c r="G3653" t="str">
        <f>CHOOSE(WEEKDAY(A3653,2),"Mon","Tue","Wed","Thu","Fri","Sat","Sun")</f>
        <v>Sun</v>
      </c>
      <c r="H3653" t="str">
        <f>IF(WEEKDAY(A3653,2)&gt;5,"Weekend","Weekday")</f>
        <v>Weekend</v>
      </c>
      <c r="I3653" t="str">
        <f>_xlfn.IFS(B3653&lt;=5,"Night (0-5)",B3653&lt;=9,"Morning peak (6-9)",B3653&lt;=15,"Midday (10-15)",B3653&lt;=19,"Evening peak (16-19)",TRUE,"Late evening (20-23)")</f>
        <v>Night (0-5)</v>
      </c>
    </row>
    <row r="3654" spans="1:9">
      <c r="A3654" s="32">
        <v>41882</v>
      </c>
      <c r="B3654">
        <v>4</v>
      </c>
      <c r="C3654">
        <v>226</v>
      </c>
      <c r="D3654" t="s">
        <v>303</v>
      </c>
      <c r="E3654">
        <f>YEAR(A3654)</f>
        <v>2014</v>
      </c>
      <c r="F3654" s="33">
        <f>DATE(YEAR(A3654),MONTH(A3654),1)</f>
        <v>41852.0</v>
      </c>
      <c r="G3654" t="str">
        <f>CHOOSE(WEEKDAY(A3654,2),"Mon","Tue","Wed","Thu","Fri","Sat","Sun")</f>
        <v>Sun</v>
      </c>
      <c r="H3654" t="str">
        <f>IF(WEEKDAY(A3654,2)&gt;5,"Weekend","Weekday")</f>
        <v>Weekend</v>
      </c>
      <c r="I3654" t="str">
        <f>_xlfn.IFS(B3654&lt;=5,"Night (0-5)",B3654&lt;=9,"Morning peak (6-9)",B3654&lt;=15,"Midday (10-15)",B3654&lt;=19,"Evening peak (16-19)",TRUE,"Late evening (20-23)")</f>
        <v>Night (0-5)</v>
      </c>
    </row>
    <row r="3655" spans="1:9">
      <c r="A3655" s="32">
        <v>41882</v>
      </c>
      <c r="B3655">
        <v>5</v>
      </c>
      <c r="C3655">
        <v>238</v>
      </c>
      <c r="D3655" t="s">
        <v>303</v>
      </c>
      <c r="E3655">
        <f>YEAR(A3655)</f>
        <v>2014</v>
      </c>
      <c r="F3655" s="33">
        <f>DATE(YEAR(A3655),MONTH(A3655),1)</f>
        <v>41852.0</v>
      </c>
      <c r="G3655" t="str">
        <f>CHOOSE(WEEKDAY(A3655,2),"Mon","Tue","Wed","Thu","Fri","Sat","Sun")</f>
        <v>Sun</v>
      </c>
      <c r="H3655" t="str">
        <f>IF(WEEKDAY(A3655,2)&gt;5,"Weekend","Weekday")</f>
        <v>Weekend</v>
      </c>
      <c r="I3655" t="str">
        <f>_xlfn.IFS(B3655&lt;=5,"Night (0-5)",B3655&lt;=9,"Morning peak (6-9)",B3655&lt;=15,"Midday (10-15)",B3655&lt;=19,"Evening peak (16-19)",TRUE,"Late evening (20-23)")</f>
        <v>Night (0-5)</v>
      </c>
    </row>
    <row r="3656" spans="1:9">
      <c r="A3656" s="32">
        <v>41882</v>
      </c>
      <c r="B3656">
        <v>6</v>
      </c>
      <c r="C3656">
        <v>251</v>
      </c>
      <c r="D3656" t="s">
        <v>303</v>
      </c>
      <c r="E3656">
        <f>YEAR(A3656)</f>
        <v>2014</v>
      </c>
      <c r="F3656" s="33">
        <f>DATE(YEAR(A3656),MONTH(A3656),1)</f>
        <v>41852.0</v>
      </c>
      <c r="G3656" t="str">
        <f>CHOOSE(WEEKDAY(A3656,2),"Mon","Tue","Wed","Thu","Fri","Sat","Sun")</f>
        <v>Sun</v>
      </c>
      <c r="H3656" t="str">
        <f>IF(WEEKDAY(A3656,2)&gt;5,"Weekend","Weekday")</f>
        <v>Weekend</v>
      </c>
      <c r="I3656" t="str">
        <f>_xlfn.IFS(B3656&lt;=5,"Night (0-5)",B3656&lt;=9,"Morning peak (6-9)",B3656&lt;=15,"Midday (10-15)",B3656&lt;=19,"Evening peak (16-19)",TRUE,"Late evening (20-23)")</f>
        <v>Morning peak (6-9)</v>
      </c>
    </row>
    <row r="3657" spans="1:9">
      <c r="A3657" s="32">
        <v>41882</v>
      </c>
      <c r="B3657">
        <v>7</v>
      </c>
      <c r="C3657">
        <v>378</v>
      </c>
      <c r="D3657" t="s">
        <v>303</v>
      </c>
      <c r="E3657">
        <f>YEAR(A3657)</f>
        <v>2014</v>
      </c>
      <c r="F3657" s="33">
        <f>DATE(YEAR(A3657),MONTH(A3657),1)</f>
        <v>41852.0</v>
      </c>
      <c r="G3657" t="str">
        <f>CHOOSE(WEEKDAY(A3657,2),"Mon","Tue","Wed","Thu","Fri","Sat","Sun")</f>
        <v>Sun</v>
      </c>
      <c r="H3657" t="str">
        <f>IF(WEEKDAY(A3657,2)&gt;5,"Weekend","Weekday")</f>
        <v>Weekend</v>
      </c>
      <c r="I3657" t="str">
        <f>_xlfn.IFS(B3657&lt;=5,"Night (0-5)",B3657&lt;=9,"Morning peak (6-9)",B3657&lt;=15,"Midday (10-15)",B3657&lt;=19,"Evening peak (16-19)",TRUE,"Late evening (20-23)")</f>
        <v>Morning peak (6-9)</v>
      </c>
    </row>
    <row r="3658" spans="1:9">
      <c r="A3658" s="32">
        <v>41882</v>
      </c>
      <c r="B3658">
        <v>8</v>
      </c>
      <c r="C3658">
        <v>519</v>
      </c>
      <c r="D3658" t="s">
        <v>303</v>
      </c>
      <c r="E3658">
        <f>YEAR(A3658)</f>
        <v>2014</v>
      </c>
      <c r="F3658" s="33">
        <f>DATE(YEAR(A3658),MONTH(A3658),1)</f>
        <v>41852.0</v>
      </c>
      <c r="G3658" t="str">
        <f>CHOOSE(WEEKDAY(A3658,2),"Mon","Tue","Wed","Thu","Fri","Sat","Sun")</f>
        <v>Sun</v>
      </c>
      <c r="H3658" t="str">
        <f>IF(WEEKDAY(A3658,2)&gt;5,"Weekend","Weekday")</f>
        <v>Weekend</v>
      </c>
      <c r="I3658" t="str">
        <f>_xlfn.IFS(B3658&lt;=5,"Night (0-5)",B3658&lt;=9,"Morning peak (6-9)",B3658&lt;=15,"Midday (10-15)",B3658&lt;=19,"Evening peak (16-19)",TRUE,"Late evening (20-23)")</f>
        <v>Morning peak (6-9)</v>
      </c>
    </row>
    <row r="3659" spans="1:9">
      <c r="A3659" s="32">
        <v>41882</v>
      </c>
      <c r="B3659">
        <v>9</v>
      </c>
      <c r="C3659">
        <v>767</v>
      </c>
      <c r="D3659" t="s">
        <v>303</v>
      </c>
      <c r="E3659">
        <f>YEAR(A3659)</f>
        <v>2014</v>
      </c>
      <c r="F3659" s="33">
        <f>DATE(YEAR(A3659),MONTH(A3659),1)</f>
        <v>41852.0</v>
      </c>
      <c r="G3659" t="str">
        <f>CHOOSE(WEEKDAY(A3659,2),"Mon","Tue","Wed","Thu","Fri","Sat","Sun")</f>
        <v>Sun</v>
      </c>
      <c r="H3659" t="str">
        <f>IF(WEEKDAY(A3659,2)&gt;5,"Weekend","Weekday")</f>
        <v>Weekend</v>
      </c>
      <c r="I3659" t="str">
        <f>_xlfn.IFS(B3659&lt;=5,"Night (0-5)",B3659&lt;=9,"Morning peak (6-9)",B3659&lt;=15,"Midday (10-15)",B3659&lt;=19,"Evening peak (16-19)",TRUE,"Late evening (20-23)")</f>
        <v>Morning peak (6-9)</v>
      </c>
    </row>
    <row r="3660" spans="1:9">
      <c r="A3660" s="32">
        <v>41882</v>
      </c>
      <c r="B3660">
        <v>10</v>
      </c>
      <c r="C3660">
        <v>850</v>
      </c>
      <c r="D3660" t="s">
        <v>303</v>
      </c>
      <c r="E3660">
        <f>YEAR(A3660)</f>
        <v>2014</v>
      </c>
      <c r="F3660" s="33">
        <f>DATE(YEAR(A3660),MONTH(A3660),1)</f>
        <v>41852.0</v>
      </c>
      <c r="G3660" t="str">
        <f>CHOOSE(WEEKDAY(A3660,2),"Mon","Tue","Wed","Thu","Fri","Sat","Sun")</f>
        <v>Sun</v>
      </c>
      <c r="H3660" t="str">
        <f>IF(WEEKDAY(A3660,2)&gt;5,"Weekend","Weekday")</f>
        <v>Weekend</v>
      </c>
      <c r="I3660" t="str">
        <f>_xlfn.IFS(B3660&lt;=5,"Night (0-5)",B3660&lt;=9,"Morning peak (6-9)",B3660&lt;=15,"Midday (10-15)",B3660&lt;=19,"Evening peak (16-19)",TRUE,"Late evening (20-23)")</f>
        <v>Midday (10-15)</v>
      </c>
    </row>
    <row r="3661" spans="1:9">
      <c r="A3661" s="32">
        <v>41882</v>
      </c>
      <c r="B3661">
        <v>11</v>
      </c>
      <c r="C3661">
        <v>1009</v>
      </c>
      <c r="D3661" t="s">
        <v>303</v>
      </c>
      <c r="E3661">
        <f>YEAR(A3661)</f>
        <v>2014</v>
      </c>
      <c r="F3661" s="33">
        <f>DATE(YEAR(A3661),MONTH(A3661),1)</f>
        <v>41852.0</v>
      </c>
      <c r="G3661" t="str">
        <f>CHOOSE(WEEKDAY(A3661,2),"Mon","Tue","Wed","Thu","Fri","Sat","Sun")</f>
        <v>Sun</v>
      </c>
      <c r="H3661" t="str">
        <f>IF(WEEKDAY(A3661,2)&gt;5,"Weekend","Weekday")</f>
        <v>Weekend</v>
      </c>
      <c r="I3661" t="str">
        <f>_xlfn.IFS(B3661&lt;=5,"Night (0-5)",B3661&lt;=9,"Morning peak (6-9)",B3661&lt;=15,"Midday (10-15)",B3661&lt;=19,"Evening peak (16-19)",TRUE,"Late evening (20-23)")</f>
        <v>Midday (10-15)</v>
      </c>
    </row>
    <row r="3662" spans="1:9">
      <c r="A3662" s="32">
        <v>41882</v>
      </c>
      <c r="B3662">
        <v>12</v>
      </c>
      <c r="C3662">
        <v>1089</v>
      </c>
      <c r="D3662" t="s">
        <v>303</v>
      </c>
      <c r="E3662">
        <f>YEAR(A3662)</f>
        <v>2014</v>
      </c>
      <c r="F3662" s="33">
        <f>DATE(YEAR(A3662),MONTH(A3662),1)</f>
        <v>41852.0</v>
      </c>
      <c r="G3662" t="str">
        <f>CHOOSE(WEEKDAY(A3662,2),"Mon","Tue","Wed","Thu","Fri","Sat","Sun")</f>
        <v>Sun</v>
      </c>
      <c r="H3662" t="str">
        <f>IF(WEEKDAY(A3662,2)&gt;5,"Weekend","Weekday")</f>
        <v>Weekend</v>
      </c>
      <c r="I3662" t="str">
        <f>_xlfn.IFS(B3662&lt;=5,"Night (0-5)",B3662&lt;=9,"Morning peak (6-9)",B3662&lt;=15,"Midday (10-15)",B3662&lt;=19,"Evening peak (16-19)",TRUE,"Late evening (20-23)")</f>
        <v>Midday (10-15)</v>
      </c>
    </row>
    <row r="3663" spans="1:9">
      <c r="A3663" s="32">
        <v>41882</v>
      </c>
      <c r="B3663">
        <v>13</v>
      </c>
      <c r="C3663">
        <v>1162</v>
      </c>
      <c r="D3663" t="s">
        <v>303</v>
      </c>
      <c r="E3663">
        <f>YEAR(A3663)</f>
        <v>2014</v>
      </c>
      <c r="F3663" s="33">
        <f>DATE(YEAR(A3663),MONTH(A3663),1)</f>
        <v>41852.0</v>
      </c>
      <c r="G3663" t="str">
        <f>CHOOSE(WEEKDAY(A3663,2),"Mon","Tue","Wed","Thu","Fri","Sat","Sun")</f>
        <v>Sun</v>
      </c>
      <c r="H3663" t="str">
        <f>IF(WEEKDAY(A3663,2)&gt;5,"Weekend","Weekday")</f>
        <v>Weekend</v>
      </c>
      <c r="I3663" t="str">
        <f>_xlfn.IFS(B3663&lt;=5,"Night (0-5)",B3663&lt;=9,"Morning peak (6-9)",B3663&lt;=15,"Midday (10-15)",B3663&lt;=19,"Evening peak (16-19)",TRUE,"Late evening (20-23)")</f>
        <v>Midday (10-15)</v>
      </c>
    </row>
    <row r="3664" spans="1:9">
      <c r="A3664" s="32">
        <v>41882</v>
      </c>
      <c r="B3664">
        <v>14</v>
      </c>
      <c r="C3664">
        <v>1311</v>
      </c>
      <c r="D3664" t="s">
        <v>303</v>
      </c>
      <c r="E3664">
        <f>YEAR(A3664)</f>
        <v>2014</v>
      </c>
      <c r="F3664" s="33">
        <f>DATE(YEAR(A3664),MONTH(A3664),1)</f>
        <v>41852.0</v>
      </c>
      <c r="G3664" t="str">
        <f>CHOOSE(WEEKDAY(A3664,2),"Mon","Tue","Wed","Thu","Fri","Sat","Sun")</f>
        <v>Sun</v>
      </c>
      <c r="H3664" t="str">
        <f>IF(WEEKDAY(A3664,2)&gt;5,"Weekend","Weekday")</f>
        <v>Weekend</v>
      </c>
      <c r="I3664" t="str">
        <f>_xlfn.IFS(B3664&lt;=5,"Night (0-5)",B3664&lt;=9,"Morning peak (6-9)",B3664&lt;=15,"Midday (10-15)",B3664&lt;=19,"Evening peak (16-19)",TRUE,"Late evening (20-23)")</f>
        <v>Midday (10-15)</v>
      </c>
    </row>
    <row r="3665" spans="1:9">
      <c r="A3665" s="32">
        <v>41882</v>
      </c>
      <c r="B3665">
        <v>15</v>
      </c>
      <c r="C3665">
        <v>1666</v>
      </c>
      <c r="D3665" t="s">
        <v>303</v>
      </c>
      <c r="E3665">
        <f>YEAR(A3665)</f>
        <v>2014</v>
      </c>
      <c r="F3665" s="33">
        <f>DATE(YEAR(A3665),MONTH(A3665),1)</f>
        <v>41852.0</v>
      </c>
      <c r="G3665" t="str">
        <f>CHOOSE(WEEKDAY(A3665,2),"Mon","Tue","Wed","Thu","Fri","Sat","Sun")</f>
        <v>Sun</v>
      </c>
      <c r="H3665" t="str">
        <f>IF(WEEKDAY(A3665,2)&gt;5,"Weekend","Weekday")</f>
        <v>Weekend</v>
      </c>
      <c r="I3665" t="str">
        <f>_xlfn.IFS(B3665&lt;=5,"Night (0-5)",B3665&lt;=9,"Morning peak (6-9)",B3665&lt;=15,"Midday (10-15)",B3665&lt;=19,"Evening peak (16-19)",TRUE,"Late evening (20-23)")</f>
        <v>Midday (10-15)</v>
      </c>
    </row>
    <row r="3666" spans="1:9">
      <c r="A3666" s="32">
        <v>41882</v>
      </c>
      <c r="B3666">
        <v>16</v>
      </c>
      <c r="C3666">
        <v>1778</v>
      </c>
      <c r="D3666" t="s">
        <v>303</v>
      </c>
      <c r="E3666">
        <f>YEAR(A3666)</f>
        <v>2014</v>
      </c>
      <c r="F3666" s="33">
        <f>DATE(YEAR(A3666),MONTH(A3666),1)</f>
        <v>41852.0</v>
      </c>
      <c r="G3666" t="str">
        <f>CHOOSE(WEEKDAY(A3666,2),"Mon","Tue","Wed","Thu","Fri","Sat","Sun")</f>
        <v>Sun</v>
      </c>
      <c r="H3666" t="str">
        <f>IF(WEEKDAY(A3666,2)&gt;5,"Weekend","Weekday")</f>
        <v>Weekend</v>
      </c>
      <c r="I3666" t="str">
        <f>_xlfn.IFS(B3666&lt;=5,"Night (0-5)",B3666&lt;=9,"Morning peak (6-9)",B3666&lt;=15,"Midday (10-15)",B3666&lt;=19,"Evening peak (16-19)",TRUE,"Late evening (20-23)")</f>
        <v>Evening peak (16-19)</v>
      </c>
    </row>
    <row r="3667" spans="1:9">
      <c r="A3667" s="32">
        <v>41882</v>
      </c>
      <c r="B3667">
        <v>17</v>
      </c>
      <c r="C3667">
        <v>1601</v>
      </c>
      <c r="D3667" t="s">
        <v>303</v>
      </c>
      <c r="E3667">
        <f>YEAR(A3667)</f>
        <v>2014</v>
      </c>
      <c r="F3667" s="33">
        <f>DATE(YEAR(A3667),MONTH(A3667),1)</f>
        <v>41852.0</v>
      </c>
      <c r="G3667" t="str">
        <f>CHOOSE(WEEKDAY(A3667,2),"Mon","Tue","Wed","Thu","Fri","Sat","Sun")</f>
        <v>Sun</v>
      </c>
      <c r="H3667" t="str">
        <f>IF(WEEKDAY(A3667,2)&gt;5,"Weekend","Weekday")</f>
        <v>Weekend</v>
      </c>
      <c r="I3667" t="str">
        <f>_xlfn.IFS(B3667&lt;=5,"Night (0-5)",B3667&lt;=9,"Morning peak (6-9)",B3667&lt;=15,"Midday (10-15)",B3667&lt;=19,"Evening peak (16-19)",TRUE,"Late evening (20-23)")</f>
        <v>Evening peak (16-19)</v>
      </c>
    </row>
    <row r="3668" spans="1:9">
      <c r="A3668" s="32">
        <v>41882</v>
      </c>
      <c r="B3668">
        <v>18</v>
      </c>
      <c r="C3668">
        <v>1449</v>
      </c>
      <c r="D3668" t="s">
        <v>303</v>
      </c>
      <c r="E3668">
        <f>YEAR(A3668)</f>
        <v>2014</v>
      </c>
      <c r="F3668" s="33">
        <f>DATE(YEAR(A3668),MONTH(A3668),1)</f>
        <v>41852.0</v>
      </c>
      <c r="G3668" t="str">
        <f>CHOOSE(WEEKDAY(A3668,2),"Mon","Tue","Wed","Thu","Fri","Sat","Sun")</f>
        <v>Sun</v>
      </c>
      <c r="H3668" t="str">
        <f>IF(WEEKDAY(A3668,2)&gt;5,"Weekend","Weekday")</f>
        <v>Weekend</v>
      </c>
      <c r="I3668" t="str">
        <f>_xlfn.IFS(B3668&lt;=5,"Night (0-5)",B3668&lt;=9,"Morning peak (6-9)",B3668&lt;=15,"Midday (10-15)",B3668&lt;=19,"Evening peak (16-19)",TRUE,"Late evening (20-23)")</f>
        <v>Evening peak (16-19)</v>
      </c>
    </row>
    <row r="3669" spans="1:9">
      <c r="A3669" s="32">
        <v>41882</v>
      </c>
      <c r="B3669">
        <v>19</v>
      </c>
      <c r="C3669">
        <v>1352</v>
      </c>
      <c r="D3669" t="s">
        <v>303</v>
      </c>
      <c r="E3669">
        <f>YEAR(A3669)</f>
        <v>2014</v>
      </c>
      <c r="F3669" s="33">
        <f>DATE(YEAR(A3669),MONTH(A3669),1)</f>
        <v>41852.0</v>
      </c>
      <c r="G3669" t="str">
        <f>CHOOSE(WEEKDAY(A3669,2),"Mon","Tue","Wed","Thu","Fri","Sat","Sun")</f>
        <v>Sun</v>
      </c>
      <c r="H3669" t="str">
        <f>IF(WEEKDAY(A3669,2)&gt;5,"Weekend","Weekday")</f>
        <v>Weekend</v>
      </c>
      <c r="I3669" t="str">
        <f>_xlfn.IFS(B3669&lt;=5,"Night (0-5)",B3669&lt;=9,"Morning peak (6-9)",B3669&lt;=15,"Midday (10-15)",B3669&lt;=19,"Evening peak (16-19)",TRUE,"Late evening (20-23)")</f>
        <v>Evening peak (16-19)</v>
      </c>
    </row>
    <row r="3670" spans="1:9">
      <c r="A3670" s="32">
        <v>41882</v>
      </c>
      <c r="B3670">
        <v>20</v>
      </c>
      <c r="C3670">
        <v>1260</v>
      </c>
      <c r="D3670" t="s">
        <v>303</v>
      </c>
      <c r="E3670">
        <f>YEAR(A3670)</f>
        <v>2014</v>
      </c>
      <c r="F3670" s="33">
        <f>DATE(YEAR(A3670),MONTH(A3670),1)</f>
        <v>41852.0</v>
      </c>
      <c r="G3670" t="str">
        <f>CHOOSE(WEEKDAY(A3670,2),"Mon","Tue","Wed","Thu","Fri","Sat","Sun")</f>
        <v>Sun</v>
      </c>
      <c r="H3670" t="str">
        <f>IF(WEEKDAY(A3670,2)&gt;5,"Weekend","Weekday")</f>
        <v>Weekend</v>
      </c>
      <c r="I3670" t="str">
        <f>_xlfn.IFS(B3670&lt;=5,"Night (0-5)",B3670&lt;=9,"Morning peak (6-9)",B3670&lt;=15,"Midday (10-15)",B3670&lt;=19,"Evening peak (16-19)",TRUE,"Late evening (20-23)")</f>
        <v>Late evening (20-23)</v>
      </c>
    </row>
    <row r="3671" spans="1:9">
      <c r="A3671" s="32">
        <v>41882</v>
      </c>
      <c r="B3671">
        <v>21</v>
      </c>
      <c r="C3671">
        <v>1430</v>
      </c>
      <c r="D3671" t="s">
        <v>303</v>
      </c>
      <c r="E3671">
        <f>YEAR(A3671)</f>
        <v>2014</v>
      </c>
      <c r="F3671" s="33">
        <f>DATE(YEAR(A3671),MONTH(A3671),1)</f>
        <v>41852.0</v>
      </c>
      <c r="G3671" t="str">
        <f>CHOOSE(WEEKDAY(A3671,2),"Mon","Tue","Wed","Thu","Fri","Sat","Sun")</f>
        <v>Sun</v>
      </c>
      <c r="H3671" t="str">
        <f>IF(WEEKDAY(A3671,2)&gt;5,"Weekend","Weekday")</f>
        <v>Weekend</v>
      </c>
      <c r="I3671" t="str">
        <f>_xlfn.IFS(B3671&lt;=5,"Night (0-5)",B3671&lt;=9,"Morning peak (6-9)",B3671&lt;=15,"Midday (10-15)",B3671&lt;=19,"Evening peak (16-19)",TRUE,"Late evening (20-23)")</f>
        <v>Late evening (20-23)</v>
      </c>
    </row>
    <row r="3672" spans="1:9">
      <c r="A3672" s="32">
        <v>41882</v>
      </c>
      <c r="B3672">
        <v>22</v>
      </c>
      <c r="C3672">
        <v>1352</v>
      </c>
      <c r="D3672" t="s">
        <v>303</v>
      </c>
      <c r="E3672">
        <f>YEAR(A3672)</f>
        <v>2014</v>
      </c>
      <c r="F3672" s="33">
        <f>DATE(YEAR(A3672),MONTH(A3672),1)</f>
        <v>41852.0</v>
      </c>
      <c r="G3672" t="str">
        <f>CHOOSE(WEEKDAY(A3672,2),"Mon","Tue","Wed","Thu","Fri","Sat","Sun")</f>
        <v>Sun</v>
      </c>
      <c r="H3672" t="str">
        <f>IF(WEEKDAY(A3672,2)&gt;5,"Weekend","Weekday")</f>
        <v>Weekend</v>
      </c>
      <c r="I3672" t="str">
        <f>_xlfn.IFS(B3672&lt;=5,"Night (0-5)",B3672&lt;=9,"Morning peak (6-9)",B3672&lt;=15,"Midday (10-15)",B3672&lt;=19,"Evening peak (16-19)",TRUE,"Late evening (20-23)")</f>
        <v>Late evening (20-23)</v>
      </c>
    </row>
    <row r="3673" spans="1:9">
      <c r="A3673" s="32">
        <v>41882</v>
      </c>
      <c r="B3673">
        <v>23</v>
      </c>
      <c r="C3673">
        <v>1028</v>
      </c>
      <c r="D3673" t="s">
        <v>303</v>
      </c>
      <c r="E3673">
        <f>YEAR(A3673)</f>
        <v>2014</v>
      </c>
      <c r="F3673" s="33">
        <f>DATE(YEAR(A3673),MONTH(A3673),1)</f>
        <v>41852.0</v>
      </c>
      <c r="G3673" t="str">
        <f>CHOOSE(WEEKDAY(A3673,2),"Mon","Tue","Wed","Thu","Fri","Sat","Sun")</f>
        <v>Sun</v>
      </c>
      <c r="H3673" t="str">
        <f>IF(WEEKDAY(A3673,2)&gt;5,"Weekend","Weekday")</f>
        <v>Weekend</v>
      </c>
      <c r="I3673" t="str">
        <f>_xlfn.IFS(B3673&lt;=5,"Night (0-5)",B3673&lt;=9,"Morning peak (6-9)",B3673&lt;=15,"Midday (10-15)",B3673&lt;=19,"Evening peak (16-19)",TRUE,"Late evening (20-23)")</f>
        <v>Late evening (20-23)</v>
      </c>
    </row>
    <row r="3674" spans="1:9">
      <c r="A3674" s="32">
        <v>41883</v>
      </c>
      <c r="B3674">
        <v>0</v>
      </c>
      <c r="C3674">
        <v>699</v>
      </c>
      <c r="D3674" t="s">
        <v>303</v>
      </c>
      <c r="E3674">
        <f>YEAR(A3674)</f>
        <v>2014</v>
      </c>
      <c r="F3674" s="33">
        <f>DATE(YEAR(A3674),MONTH(A3674),1)</f>
        <v>41883.0</v>
      </c>
      <c r="G3674" t="str">
        <f>CHOOSE(WEEKDAY(A3674,2),"Mon","Tue","Wed","Thu","Fri","Sat","Sun")</f>
        <v>Mon</v>
      </c>
      <c r="H3674" t="str">
        <f>IF(WEEKDAY(A3674,2)&gt;5,"Weekend","Weekday")</f>
        <v>Weekday</v>
      </c>
      <c r="I3674" t="str">
        <f>_xlfn.IFS(B3674&lt;=5,"Night (0-5)",B3674&lt;=9,"Morning peak (6-9)",B3674&lt;=15,"Midday (10-15)",B3674&lt;=19,"Evening peak (16-19)",TRUE,"Late evening (20-23)")</f>
        <v>Night (0-5)</v>
      </c>
    </row>
    <row r="3675" spans="1:9">
      <c r="A3675" s="32">
        <v>41883</v>
      </c>
      <c r="B3675">
        <v>1</v>
      </c>
      <c r="C3675">
        <v>490</v>
      </c>
      <c r="D3675" t="s">
        <v>303</v>
      </c>
      <c r="E3675">
        <f>YEAR(A3675)</f>
        <v>2014</v>
      </c>
      <c r="F3675" s="33">
        <f>DATE(YEAR(A3675),MONTH(A3675),1)</f>
        <v>41883.0</v>
      </c>
      <c r="G3675" t="str">
        <f>CHOOSE(WEEKDAY(A3675,2),"Mon","Tue","Wed","Thu","Fri","Sat","Sun")</f>
        <v>Mon</v>
      </c>
      <c r="H3675" t="str">
        <f>IF(WEEKDAY(A3675,2)&gt;5,"Weekend","Weekday")</f>
        <v>Weekday</v>
      </c>
      <c r="I3675" t="str">
        <f>_xlfn.IFS(B3675&lt;=5,"Night (0-5)",B3675&lt;=9,"Morning peak (6-9)",B3675&lt;=15,"Midday (10-15)",B3675&lt;=19,"Evening peak (16-19)",TRUE,"Late evening (20-23)")</f>
        <v>Night (0-5)</v>
      </c>
    </row>
    <row r="3676" spans="1:9">
      <c r="A3676" s="32">
        <v>41883</v>
      </c>
      <c r="B3676">
        <v>2</v>
      </c>
      <c r="C3676">
        <v>363</v>
      </c>
      <c r="D3676" t="s">
        <v>303</v>
      </c>
      <c r="E3676">
        <f>YEAR(A3676)</f>
        <v>2014</v>
      </c>
      <c r="F3676" s="33">
        <f>DATE(YEAR(A3676),MONTH(A3676),1)</f>
        <v>41883.0</v>
      </c>
      <c r="G3676" t="str">
        <f>CHOOSE(WEEKDAY(A3676,2),"Mon","Tue","Wed","Thu","Fri","Sat","Sun")</f>
        <v>Mon</v>
      </c>
      <c r="H3676" t="str">
        <f>IF(WEEKDAY(A3676,2)&gt;5,"Weekend","Weekday")</f>
        <v>Weekday</v>
      </c>
      <c r="I3676" t="str">
        <f>_xlfn.IFS(B3676&lt;=5,"Night (0-5)",B3676&lt;=9,"Morning peak (6-9)",B3676&lt;=15,"Midday (10-15)",B3676&lt;=19,"Evening peak (16-19)",TRUE,"Late evening (20-23)")</f>
        <v>Night (0-5)</v>
      </c>
    </row>
    <row r="3677" spans="1:9">
      <c r="A3677" s="32">
        <v>41883</v>
      </c>
      <c r="B3677">
        <v>3</v>
      </c>
      <c r="C3677">
        <v>333</v>
      </c>
      <c r="D3677" t="s">
        <v>303</v>
      </c>
      <c r="E3677">
        <f>YEAR(A3677)</f>
        <v>2014</v>
      </c>
      <c r="F3677" s="33">
        <f>DATE(YEAR(A3677),MONTH(A3677),1)</f>
        <v>41883.0</v>
      </c>
      <c r="G3677" t="str">
        <f>CHOOSE(WEEKDAY(A3677,2),"Mon","Tue","Wed","Thu","Fri","Sat","Sun")</f>
        <v>Mon</v>
      </c>
      <c r="H3677" t="str">
        <f>IF(WEEKDAY(A3677,2)&gt;5,"Weekend","Weekday")</f>
        <v>Weekday</v>
      </c>
      <c r="I3677" t="str">
        <f>_xlfn.IFS(B3677&lt;=5,"Night (0-5)",B3677&lt;=9,"Morning peak (6-9)",B3677&lt;=15,"Midday (10-15)",B3677&lt;=19,"Evening peak (16-19)",TRUE,"Late evening (20-23)")</f>
        <v>Night (0-5)</v>
      </c>
    </row>
    <row r="3678" spans="1:9">
      <c r="A3678" s="32">
        <v>41883</v>
      </c>
      <c r="B3678">
        <v>4</v>
      </c>
      <c r="C3678">
        <v>261</v>
      </c>
      <c r="D3678" t="s">
        <v>303</v>
      </c>
      <c r="E3678">
        <f>YEAR(A3678)</f>
        <v>2014</v>
      </c>
      <c r="F3678" s="33">
        <f>DATE(YEAR(A3678),MONTH(A3678),1)</f>
        <v>41883.0</v>
      </c>
      <c r="G3678" t="str">
        <f>CHOOSE(WEEKDAY(A3678,2),"Mon","Tue","Wed","Thu","Fri","Sat","Sun")</f>
        <v>Mon</v>
      </c>
      <c r="H3678" t="str">
        <f>IF(WEEKDAY(A3678,2)&gt;5,"Weekend","Weekday")</f>
        <v>Weekday</v>
      </c>
      <c r="I3678" t="str">
        <f>_xlfn.IFS(B3678&lt;=5,"Night (0-5)",B3678&lt;=9,"Morning peak (6-9)",B3678&lt;=15,"Midday (10-15)",B3678&lt;=19,"Evening peak (16-19)",TRUE,"Late evening (20-23)")</f>
        <v>Night (0-5)</v>
      </c>
    </row>
    <row r="3679" spans="1:9">
      <c r="A3679" s="32">
        <v>41883</v>
      </c>
      <c r="B3679">
        <v>5</v>
      </c>
      <c r="C3679">
        <v>283</v>
      </c>
      <c r="D3679" t="s">
        <v>303</v>
      </c>
      <c r="E3679">
        <f>YEAR(A3679)</f>
        <v>2014</v>
      </c>
      <c r="F3679" s="33">
        <f>DATE(YEAR(A3679),MONTH(A3679),1)</f>
        <v>41883.0</v>
      </c>
      <c r="G3679" t="str">
        <f>CHOOSE(WEEKDAY(A3679,2),"Mon","Tue","Wed","Thu","Fri","Sat","Sun")</f>
        <v>Mon</v>
      </c>
      <c r="H3679" t="str">
        <f>IF(WEEKDAY(A3679,2)&gt;5,"Weekend","Weekday")</f>
        <v>Weekday</v>
      </c>
      <c r="I3679" t="str">
        <f>_xlfn.IFS(B3679&lt;=5,"Night (0-5)",B3679&lt;=9,"Morning peak (6-9)",B3679&lt;=15,"Midday (10-15)",B3679&lt;=19,"Evening peak (16-19)",TRUE,"Late evening (20-23)")</f>
        <v>Night (0-5)</v>
      </c>
    </row>
    <row r="3680" spans="1:9">
      <c r="A3680" s="32">
        <v>41883</v>
      </c>
      <c r="B3680">
        <v>6</v>
      </c>
      <c r="C3680">
        <v>330</v>
      </c>
      <c r="D3680" t="s">
        <v>303</v>
      </c>
      <c r="E3680">
        <f>YEAR(A3680)</f>
        <v>2014</v>
      </c>
      <c r="F3680" s="33">
        <f>DATE(YEAR(A3680),MONTH(A3680),1)</f>
        <v>41883.0</v>
      </c>
      <c r="G3680" t="str">
        <f>CHOOSE(WEEKDAY(A3680,2),"Mon","Tue","Wed","Thu","Fri","Sat","Sun")</f>
        <v>Mon</v>
      </c>
      <c r="H3680" t="str">
        <f>IF(WEEKDAY(A3680,2)&gt;5,"Weekend","Weekday")</f>
        <v>Weekday</v>
      </c>
      <c r="I3680" t="str">
        <f>_xlfn.IFS(B3680&lt;=5,"Night (0-5)",B3680&lt;=9,"Morning peak (6-9)",B3680&lt;=15,"Midday (10-15)",B3680&lt;=19,"Evening peak (16-19)",TRUE,"Late evening (20-23)")</f>
        <v>Morning peak (6-9)</v>
      </c>
    </row>
    <row r="3681" spans="1:9">
      <c r="A3681" s="32">
        <v>41883</v>
      </c>
      <c r="B3681">
        <v>7</v>
      </c>
      <c r="C3681">
        <v>427</v>
      </c>
      <c r="D3681" t="s">
        <v>303</v>
      </c>
      <c r="E3681">
        <f>YEAR(A3681)</f>
        <v>2014</v>
      </c>
      <c r="F3681" s="33">
        <f>DATE(YEAR(A3681),MONTH(A3681),1)</f>
        <v>41883.0</v>
      </c>
      <c r="G3681" t="str">
        <f>CHOOSE(WEEKDAY(A3681,2),"Mon","Tue","Wed","Thu","Fri","Sat","Sun")</f>
        <v>Mon</v>
      </c>
      <c r="H3681" t="str">
        <f>IF(WEEKDAY(A3681,2)&gt;5,"Weekend","Weekday")</f>
        <v>Weekday</v>
      </c>
      <c r="I3681" t="str">
        <f>_xlfn.IFS(B3681&lt;=5,"Night (0-5)",B3681&lt;=9,"Morning peak (6-9)",B3681&lt;=15,"Midday (10-15)",B3681&lt;=19,"Evening peak (16-19)",TRUE,"Late evening (20-23)")</f>
        <v>Morning peak (6-9)</v>
      </c>
    </row>
    <row r="3682" spans="1:9">
      <c r="A3682" s="32">
        <v>41883</v>
      </c>
      <c r="B3682">
        <v>8</v>
      </c>
      <c r="C3682">
        <v>560</v>
      </c>
      <c r="D3682" t="s">
        <v>303</v>
      </c>
      <c r="E3682">
        <f>YEAR(A3682)</f>
        <v>2014</v>
      </c>
      <c r="F3682" s="33">
        <f>DATE(YEAR(A3682),MONTH(A3682),1)</f>
        <v>41883.0</v>
      </c>
      <c r="G3682" t="str">
        <f>CHOOSE(WEEKDAY(A3682,2),"Mon","Tue","Wed","Thu","Fri","Sat","Sun")</f>
        <v>Mon</v>
      </c>
      <c r="H3682" t="str">
        <f>IF(WEEKDAY(A3682,2)&gt;5,"Weekend","Weekday")</f>
        <v>Weekday</v>
      </c>
      <c r="I3682" t="str">
        <f>_xlfn.IFS(B3682&lt;=5,"Night (0-5)",B3682&lt;=9,"Morning peak (6-9)",B3682&lt;=15,"Midday (10-15)",B3682&lt;=19,"Evening peak (16-19)",TRUE,"Late evening (20-23)")</f>
        <v>Morning peak (6-9)</v>
      </c>
    </row>
    <row r="3683" spans="1:9">
      <c r="A3683" s="32">
        <v>41883</v>
      </c>
      <c r="B3683">
        <v>9</v>
      </c>
      <c r="C3683">
        <v>765</v>
      </c>
      <c r="D3683" t="s">
        <v>303</v>
      </c>
      <c r="E3683">
        <f>YEAR(A3683)</f>
        <v>2014</v>
      </c>
      <c r="F3683" s="33">
        <f>DATE(YEAR(A3683),MONTH(A3683),1)</f>
        <v>41883.0</v>
      </c>
      <c r="G3683" t="str">
        <f>CHOOSE(WEEKDAY(A3683,2),"Mon","Tue","Wed","Thu","Fri","Sat","Sun")</f>
        <v>Mon</v>
      </c>
      <c r="H3683" t="str">
        <f>IF(WEEKDAY(A3683,2)&gt;5,"Weekend","Weekday")</f>
        <v>Weekday</v>
      </c>
      <c r="I3683" t="str">
        <f>_xlfn.IFS(B3683&lt;=5,"Night (0-5)",B3683&lt;=9,"Morning peak (6-9)",B3683&lt;=15,"Midday (10-15)",B3683&lt;=19,"Evening peak (16-19)",TRUE,"Late evening (20-23)")</f>
        <v>Morning peak (6-9)</v>
      </c>
    </row>
    <row r="3684" spans="1:9">
      <c r="A3684" s="32">
        <v>41883</v>
      </c>
      <c r="B3684">
        <v>10</v>
      </c>
      <c r="C3684">
        <v>874</v>
      </c>
      <c r="D3684" t="s">
        <v>303</v>
      </c>
      <c r="E3684">
        <f>YEAR(A3684)</f>
        <v>2014</v>
      </c>
      <c r="F3684" s="33">
        <f>DATE(YEAR(A3684),MONTH(A3684),1)</f>
        <v>41883.0</v>
      </c>
      <c r="G3684" t="str">
        <f>CHOOSE(WEEKDAY(A3684,2),"Mon","Tue","Wed","Thu","Fri","Sat","Sun")</f>
        <v>Mon</v>
      </c>
      <c r="H3684" t="str">
        <f>IF(WEEKDAY(A3684,2)&gt;5,"Weekend","Weekday")</f>
        <v>Weekday</v>
      </c>
      <c r="I3684" t="str">
        <f>_xlfn.IFS(B3684&lt;=5,"Night (0-5)",B3684&lt;=9,"Morning peak (6-9)",B3684&lt;=15,"Midday (10-15)",B3684&lt;=19,"Evening peak (16-19)",TRUE,"Late evening (20-23)")</f>
        <v>Midday (10-15)</v>
      </c>
    </row>
    <row r="3685" spans="1:9">
      <c r="A3685" s="32">
        <v>41883</v>
      </c>
      <c r="B3685">
        <v>11</v>
      </c>
      <c r="C3685">
        <v>988</v>
      </c>
      <c r="D3685" t="s">
        <v>303</v>
      </c>
      <c r="E3685">
        <f>YEAR(A3685)</f>
        <v>2014</v>
      </c>
      <c r="F3685" s="33">
        <f>DATE(YEAR(A3685),MONTH(A3685),1)</f>
        <v>41883.0</v>
      </c>
      <c r="G3685" t="str">
        <f>CHOOSE(WEEKDAY(A3685,2),"Mon","Tue","Wed","Thu","Fri","Sat","Sun")</f>
        <v>Mon</v>
      </c>
      <c r="H3685" t="str">
        <f>IF(WEEKDAY(A3685,2)&gt;5,"Weekend","Weekday")</f>
        <v>Weekday</v>
      </c>
      <c r="I3685" t="str">
        <f>_xlfn.IFS(B3685&lt;=5,"Night (0-5)",B3685&lt;=9,"Morning peak (6-9)",B3685&lt;=15,"Midday (10-15)",B3685&lt;=19,"Evening peak (16-19)",TRUE,"Late evening (20-23)")</f>
        <v>Midday (10-15)</v>
      </c>
    </row>
    <row r="3686" spans="1:9">
      <c r="A3686" s="32">
        <v>41883</v>
      </c>
      <c r="B3686">
        <v>12</v>
      </c>
      <c r="C3686">
        <v>1021</v>
      </c>
      <c r="D3686" t="s">
        <v>303</v>
      </c>
      <c r="E3686">
        <f>YEAR(A3686)</f>
        <v>2014</v>
      </c>
      <c r="F3686" s="33">
        <f>DATE(YEAR(A3686),MONTH(A3686),1)</f>
        <v>41883.0</v>
      </c>
      <c r="G3686" t="str">
        <f>CHOOSE(WEEKDAY(A3686,2),"Mon","Tue","Wed","Thu","Fri","Sat","Sun")</f>
        <v>Mon</v>
      </c>
      <c r="H3686" t="str">
        <f>IF(WEEKDAY(A3686,2)&gt;5,"Weekend","Weekday")</f>
        <v>Weekday</v>
      </c>
      <c r="I3686" t="str">
        <f>_xlfn.IFS(B3686&lt;=5,"Night (0-5)",B3686&lt;=9,"Morning peak (6-9)",B3686&lt;=15,"Midday (10-15)",B3686&lt;=19,"Evening peak (16-19)",TRUE,"Late evening (20-23)")</f>
        <v>Midday (10-15)</v>
      </c>
    </row>
    <row r="3687" spans="1:9">
      <c r="A3687" s="32">
        <v>41883</v>
      </c>
      <c r="B3687">
        <v>13</v>
      </c>
      <c r="C3687">
        <v>1125</v>
      </c>
      <c r="D3687" t="s">
        <v>303</v>
      </c>
      <c r="E3687">
        <f>YEAR(A3687)</f>
        <v>2014</v>
      </c>
      <c r="F3687" s="33">
        <f>DATE(YEAR(A3687),MONTH(A3687),1)</f>
        <v>41883.0</v>
      </c>
      <c r="G3687" t="str">
        <f>CHOOSE(WEEKDAY(A3687,2),"Mon","Tue","Wed","Thu","Fri","Sat","Sun")</f>
        <v>Mon</v>
      </c>
      <c r="H3687" t="str">
        <f>IF(WEEKDAY(A3687,2)&gt;5,"Weekend","Weekday")</f>
        <v>Weekday</v>
      </c>
      <c r="I3687" t="str">
        <f>_xlfn.IFS(B3687&lt;=5,"Night (0-5)",B3687&lt;=9,"Morning peak (6-9)",B3687&lt;=15,"Midday (10-15)",B3687&lt;=19,"Evening peak (16-19)",TRUE,"Late evening (20-23)")</f>
        <v>Midday (10-15)</v>
      </c>
    </row>
    <row r="3688" spans="1:9">
      <c r="A3688" s="32">
        <v>41883</v>
      </c>
      <c r="B3688">
        <v>14</v>
      </c>
      <c r="C3688">
        <v>1222</v>
      </c>
      <c r="D3688" t="s">
        <v>303</v>
      </c>
      <c r="E3688">
        <f>YEAR(A3688)</f>
        <v>2014</v>
      </c>
      <c r="F3688" s="33">
        <f>DATE(YEAR(A3688),MONTH(A3688),1)</f>
        <v>41883.0</v>
      </c>
      <c r="G3688" t="str">
        <f>CHOOSE(WEEKDAY(A3688,2),"Mon","Tue","Wed","Thu","Fri","Sat","Sun")</f>
        <v>Mon</v>
      </c>
      <c r="H3688" t="str">
        <f>IF(WEEKDAY(A3688,2)&gt;5,"Weekend","Weekday")</f>
        <v>Weekday</v>
      </c>
      <c r="I3688" t="str">
        <f>_xlfn.IFS(B3688&lt;=5,"Night (0-5)",B3688&lt;=9,"Morning peak (6-9)",B3688&lt;=15,"Midday (10-15)",B3688&lt;=19,"Evening peak (16-19)",TRUE,"Late evening (20-23)")</f>
        <v>Midday (10-15)</v>
      </c>
    </row>
    <row r="3689" spans="1:9">
      <c r="A3689" s="32">
        <v>41883</v>
      </c>
      <c r="B3689">
        <v>15</v>
      </c>
      <c r="C3689">
        <v>1345</v>
      </c>
      <c r="D3689" t="s">
        <v>303</v>
      </c>
      <c r="E3689">
        <f>YEAR(A3689)</f>
        <v>2014</v>
      </c>
      <c r="F3689" s="33">
        <f>DATE(YEAR(A3689),MONTH(A3689),1)</f>
        <v>41883.0</v>
      </c>
      <c r="G3689" t="str">
        <f>CHOOSE(WEEKDAY(A3689,2),"Mon","Tue","Wed","Thu","Fri","Sat","Sun")</f>
        <v>Mon</v>
      </c>
      <c r="H3689" t="str">
        <f>IF(WEEKDAY(A3689,2)&gt;5,"Weekend","Weekday")</f>
        <v>Weekday</v>
      </c>
      <c r="I3689" t="str">
        <f>_xlfn.IFS(B3689&lt;=5,"Night (0-5)",B3689&lt;=9,"Morning peak (6-9)",B3689&lt;=15,"Midday (10-15)",B3689&lt;=19,"Evening peak (16-19)",TRUE,"Late evening (20-23)")</f>
        <v>Midday (10-15)</v>
      </c>
    </row>
    <row r="3690" spans="1:9">
      <c r="A3690" s="32">
        <v>41883</v>
      </c>
      <c r="B3690">
        <v>16</v>
      </c>
      <c r="C3690">
        <v>1473</v>
      </c>
      <c r="D3690" t="s">
        <v>303</v>
      </c>
      <c r="E3690">
        <f>YEAR(A3690)</f>
        <v>2014</v>
      </c>
      <c r="F3690" s="33">
        <f>DATE(YEAR(A3690),MONTH(A3690),1)</f>
        <v>41883.0</v>
      </c>
      <c r="G3690" t="str">
        <f>CHOOSE(WEEKDAY(A3690,2),"Mon","Tue","Wed","Thu","Fri","Sat","Sun")</f>
        <v>Mon</v>
      </c>
      <c r="H3690" t="str">
        <f>IF(WEEKDAY(A3690,2)&gt;5,"Weekend","Weekday")</f>
        <v>Weekday</v>
      </c>
      <c r="I3690" t="str">
        <f>_xlfn.IFS(B3690&lt;=5,"Night (0-5)",B3690&lt;=9,"Morning peak (6-9)",B3690&lt;=15,"Midday (10-15)",B3690&lt;=19,"Evening peak (16-19)",TRUE,"Late evening (20-23)")</f>
        <v>Evening peak (16-19)</v>
      </c>
    </row>
    <row r="3691" spans="1:9">
      <c r="A3691" s="32">
        <v>41883</v>
      </c>
      <c r="B3691">
        <v>17</v>
      </c>
      <c r="C3691">
        <v>1341</v>
      </c>
      <c r="D3691" t="s">
        <v>303</v>
      </c>
      <c r="E3691">
        <f>YEAR(A3691)</f>
        <v>2014</v>
      </c>
      <c r="F3691" s="33">
        <f>DATE(YEAR(A3691),MONTH(A3691),1)</f>
        <v>41883.0</v>
      </c>
      <c r="G3691" t="str">
        <f>CHOOSE(WEEKDAY(A3691,2),"Mon","Tue","Wed","Thu","Fri","Sat","Sun")</f>
        <v>Mon</v>
      </c>
      <c r="H3691" t="str">
        <f>IF(WEEKDAY(A3691,2)&gt;5,"Weekend","Weekday")</f>
        <v>Weekday</v>
      </c>
      <c r="I3691" t="str">
        <f>_xlfn.IFS(B3691&lt;=5,"Night (0-5)",B3691&lt;=9,"Morning peak (6-9)",B3691&lt;=15,"Midday (10-15)",B3691&lt;=19,"Evening peak (16-19)",TRUE,"Late evening (20-23)")</f>
        <v>Evening peak (16-19)</v>
      </c>
    </row>
    <row r="3692" spans="1:9">
      <c r="A3692" s="32">
        <v>41883</v>
      </c>
      <c r="B3692">
        <v>18</v>
      </c>
      <c r="C3692">
        <v>1248</v>
      </c>
      <c r="D3692" t="s">
        <v>303</v>
      </c>
      <c r="E3692">
        <f>YEAR(A3692)</f>
        <v>2014</v>
      </c>
      <c r="F3692" s="33">
        <f>DATE(YEAR(A3692),MONTH(A3692),1)</f>
        <v>41883.0</v>
      </c>
      <c r="G3692" t="str">
        <f>CHOOSE(WEEKDAY(A3692,2),"Mon","Tue","Wed","Thu","Fri","Sat","Sun")</f>
        <v>Mon</v>
      </c>
      <c r="H3692" t="str">
        <f>IF(WEEKDAY(A3692,2)&gt;5,"Weekend","Weekday")</f>
        <v>Weekday</v>
      </c>
      <c r="I3692" t="str">
        <f>_xlfn.IFS(B3692&lt;=5,"Night (0-5)",B3692&lt;=9,"Morning peak (6-9)",B3692&lt;=15,"Midday (10-15)",B3692&lt;=19,"Evening peak (16-19)",TRUE,"Late evening (20-23)")</f>
        <v>Evening peak (16-19)</v>
      </c>
    </row>
    <row r="3693" spans="1:9">
      <c r="A3693" s="32">
        <v>41883</v>
      </c>
      <c r="B3693">
        <v>19</v>
      </c>
      <c r="C3693">
        <v>1251</v>
      </c>
      <c r="D3693" t="s">
        <v>303</v>
      </c>
      <c r="E3693">
        <f>YEAR(A3693)</f>
        <v>2014</v>
      </c>
      <c r="F3693" s="33">
        <f>DATE(YEAR(A3693),MONTH(A3693),1)</f>
        <v>41883.0</v>
      </c>
      <c r="G3693" t="str">
        <f>CHOOSE(WEEKDAY(A3693,2),"Mon","Tue","Wed","Thu","Fri","Sat","Sun")</f>
        <v>Mon</v>
      </c>
      <c r="H3693" t="str">
        <f>IF(WEEKDAY(A3693,2)&gt;5,"Weekend","Weekday")</f>
        <v>Weekday</v>
      </c>
      <c r="I3693" t="str">
        <f>_xlfn.IFS(B3693&lt;=5,"Night (0-5)",B3693&lt;=9,"Morning peak (6-9)",B3693&lt;=15,"Midday (10-15)",B3693&lt;=19,"Evening peak (16-19)",TRUE,"Late evening (20-23)")</f>
        <v>Evening peak (16-19)</v>
      </c>
    </row>
    <row r="3694" spans="1:9">
      <c r="A3694" s="32">
        <v>41883</v>
      </c>
      <c r="B3694">
        <v>20</v>
      </c>
      <c r="C3694">
        <v>1181</v>
      </c>
      <c r="D3694" t="s">
        <v>303</v>
      </c>
      <c r="E3694">
        <f>YEAR(A3694)</f>
        <v>2014</v>
      </c>
      <c r="F3694" s="33">
        <f>DATE(YEAR(A3694),MONTH(A3694),1)</f>
        <v>41883.0</v>
      </c>
      <c r="G3694" t="str">
        <f>CHOOSE(WEEKDAY(A3694,2),"Mon","Tue","Wed","Thu","Fri","Sat","Sun")</f>
        <v>Mon</v>
      </c>
      <c r="H3694" t="str">
        <f>IF(WEEKDAY(A3694,2)&gt;5,"Weekend","Weekday")</f>
        <v>Weekday</v>
      </c>
      <c r="I3694" t="str">
        <f>_xlfn.IFS(B3694&lt;=5,"Night (0-5)",B3694&lt;=9,"Morning peak (6-9)",B3694&lt;=15,"Midday (10-15)",B3694&lt;=19,"Evening peak (16-19)",TRUE,"Late evening (20-23)")</f>
        <v>Late evening (20-23)</v>
      </c>
    </row>
    <row r="3695" spans="1:9">
      <c r="A3695" s="32">
        <v>41883</v>
      </c>
      <c r="B3695">
        <v>21</v>
      </c>
      <c r="C3695">
        <v>1055</v>
      </c>
      <c r="D3695" t="s">
        <v>303</v>
      </c>
      <c r="E3695">
        <f>YEAR(A3695)</f>
        <v>2014</v>
      </c>
      <c r="F3695" s="33">
        <f>DATE(YEAR(A3695),MONTH(A3695),1)</f>
        <v>41883.0</v>
      </c>
      <c r="G3695" t="str">
        <f>CHOOSE(WEEKDAY(A3695,2),"Mon","Tue","Wed","Thu","Fri","Sat","Sun")</f>
        <v>Mon</v>
      </c>
      <c r="H3695" t="str">
        <f>IF(WEEKDAY(A3695,2)&gt;5,"Weekend","Weekday")</f>
        <v>Weekday</v>
      </c>
      <c r="I3695" t="str">
        <f>_xlfn.IFS(B3695&lt;=5,"Night (0-5)",B3695&lt;=9,"Morning peak (6-9)",B3695&lt;=15,"Midday (10-15)",B3695&lt;=19,"Evening peak (16-19)",TRUE,"Late evening (20-23)")</f>
        <v>Late evening (20-23)</v>
      </c>
    </row>
    <row r="3696" spans="1:9">
      <c r="A3696" s="32">
        <v>41883</v>
      </c>
      <c r="B3696">
        <v>22</v>
      </c>
      <c r="C3696">
        <v>818</v>
      </c>
      <c r="D3696" t="s">
        <v>303</v>
      </c>
      <c r="E3696">
        <f>YEAR(A3696)</f>
        <v>2014</v>
      </c>
      <c r="F3696" s="33">
        <f>DATE(YEAR(A3696),MONTH(A3696),1)</f>
        <v>41883.0</v>
      </c>
      <c r="G3696" t="str">
        <f>CHOOSE(WEEKDAY(A3696,2),"Mon","Tue","Wed","Thu","Fri","Sat","Sun")</f>
        <v>Mon</v>
      </c>
      <c r="H3696" t="str">
        <f>IF(WEEKDAY(A3696,2)&gt;5,"Weekend","Weekday")</f>
        <v>Weekday</v>
      </c>
      <c r="I3696" t="str">
        <f>_xlfn.IFS(B3696&lt;=5,"Night (0-5)",B3696&lt;=9,"Morning peak (6-9)",B3696&lt;=15,"Midday (10-15)",B3696&lt;=19,"Evening peak (16-19)",TRUE,"Late evening (20-23)")</f>
        <v>Late evening (20-23)</v>
      </c>
    </row>
    <row r="3697" spans="1:9">
      <c r="A3697" s="32">
        <v>41883</v>
      </c>
      <c r="B3697">
        <v>23</v>
      </c>
      <c r="C3697">
        <v>508</v>
      </c>
      <c r="D3697" t="s">
        <v>303</v>
      </c>
      <c r="E3697">
        <f>YEAR(A3697)</f>
        <v>2014</v>
      </c>
      <c r="F3697" s="33">
        <f>DATE(YEAR(A3697),MONTH(A3697),1)</f>
        <v>41883.0</v>
      </c>
      <c r="G3697" t="str">
        <f>CHOOSE(WEEKDAY(A3697,2),"Mon","Tue","Wed","Thu","Fri","Sat","Sun")</f>
        <v>Mon</v>
      </c>
      <c r="H3697" t="str">
        <f>IF(WEEKDAY(A3697,2)&gt;5,"Weekend","Weekday")</f>
        <v>Weekday</v>
      </c>
      <c r="I3697" t="str">
        <f>_xlfn.IFS(B3697&lt;=5,"Night (0-5)",B3697&lt;=9,"Morning peak (6-9)",B3697&lt;=15,"Midday (10-15)",B3697&lt;=19,"Evening peak (16-19)",TRUE,"Late evening (20-23)")</f>
        <v>Late evening (20-23)</v>
      </c>
    </row>
    <row r="3698" spans="1:9">
      <c r="A3698" s="32">
        <v>41884</v>
      </c>
      <c r="B3698">
        <v>0</v>
      </c>
      <c r="C3698">
        <v>209</v>
      </c>
      <c r="D3698" t="s">
        <v>303</v>
      </c>
      <c r="E3698">
        <f>YEAR(A3698)</f>
        <v>2014</v>
      </c>
      <c r="F3698" s="33">
        <f>DATE(YEAR(A3698),MONTH(A3698),1)</f>
        <v>41883.0</v>
      </c>
      <c r="G3698" t="str">
        <f>CHOOSE(WEEKDAY(A3698,2),"Mon","Tue","Wed","Thu","Fri","Sat","Sun")</f>
        <v>Tue</v>
      </c>
      <c r="H3698" t="str">
        <f>IF(WEEKDAY(A3698,2)&gt;5,"Weekend","Weekday")</f>
        <v>Weekday</v>
      </c>
      <c r="I3698" t="str">
        <f>_xlfn.IFS(B3698&lt;=5,"Night (0-5)",B3698&lt;=9,"Morning peak (6-9)",B3698&lt;=15,"Midday (10-15)",B3698&lt;=19,"Evening peak (16-19)",TRUE,"Late evening (20-23)")</f>
        <v>Night (0-5)</v>
      </c>
    </row>
    <row r="3699" spans="1:9">
      <c r="A3699" s="32">
        <v>41884</v>
      </c>
      <c r="B3699">
        <v>1</v>
      </c>
      <c r="C3699">
        <v>111</v>
      </c>
      <c r="D3699" t="s">
        <v>303</v>
      </c>
      <c r="E3699">
        <f>YEAR(A3699)</f>
        <v>2014</v>
      </c>
      <c r="F3699" s="33">
        <f>DATE(YEAR(A3699),MONTH(A3699),1)</f>
        <v>41883.0</v>
      </c>
      <c r="G3699" t="str">
        <f>CHOOSE(WEEKDAY(A3699,2),"Mon","Tue","Wed","Thu","Fri","Sat","Sun")</f>
        <v>Tue</v>
      </c>
      <c r="H3699" t="str">
        <f>IF(WEEKDAY(A3699,2)&gt;5,"Weekend","Weekday")</f>
        <v>Weekday</v>
      </c>
      <c r="I3699" t="str">
        <f>_xlfn.IFS(B3699&lt;=5,"Night (0-5)",B3699&lt;=9,"Morning peak (6-9)",B3699&lt;=15,"Midday (10-15)",B3699&lt;=19,"Evening peak (16-19)",TRUE,"Late evening (20-23)")</f>
        <v>Night (0-5)</v>
      </c>
    </row>
    <row r="3700" spans="1:9">
      <c r="A3700" s="32">
        <v>41884</v>
      </c>
      <c r="B3700">
        <v>2</v>
      </c>
      <c r="C3700">
        <v>84</v>
      </c>
      <c r="D3700" t="s">
        <v>303</v>
      </c>
      <c r="E3700">
        <f>YEAR(A3700)</f>
        <v>2014</v>
      </c>
      <c r="F3700" s="33">
        <f>DATE(YEAR(A3700),MONTH(A3700),1)</f>
        <v>41883.0</v>
      </c>
      <c r="G3700" t="str">
        <f>CHOOSE(WEEKDAY(A3700,2),"Mon","Tue","Wed","Thu","Fri","Sat","Sun")</f>
        <v>Tue</v>
      </c>
      <c r="H3700" t="str">
        <f>IF(WEEKDAY(A3700,2)&gt;5,"Weekend","Weekday")</f>
        <v>Weekday</v>
      </c>
      <c r="I3700" t="str">
        <f>_xlfn.IFS(B3700&lt;=5,"Night (0-5)",B3700&lt;=9,"Morning peak (6-9)",B3700&lt;=15,"Midday (10-15)",B3700&lt;=19,"Evening peak (16-19)",TRUE,"Late evening (20-23)")</f>
        <v>Night (0-5)</v>
      </c>
    </row>
    <row r="3701" spans="1:9">
      <c r="A3701" s="32">
        <v>41884</v>
      </c>
      <c r="B3701">
        <v>3</v>
      </c>
      <c r="C3701">
        <v>293</v>
      </c>
      <c r="D3701" t="s">
        <v>303</v>
      </c>
      <c r="E3701">
        <f>YEAR(A3701)</f>
        <v>2014</v>
      </c>
      <c r="F3701" s="33">
        <f>DATE(YEAR(A3701),MONTH(A3701),1)</f>
        <v>41883.0</v>
      </c>
      <c r="G3701" t="str">
        <f>CHOOSE(WEEKDAY(A3701,2),"Mon","Tue","Wed","Thu","Fri","Sat","Sun")</f>
        <v>Tue</v>
      </c>
      <c r="H3701" t="str">
        <f>IF(WEEKDAY(A3701,2)&gt;5,"Weekend","Weekday")</f>
        <v>Weekday</v>
      </c>
      <c r="I3701" t="str">
        <f>_xlfn.IFS(B3701&lt;=5,"Night (0-5)",B3701&lt;=9,"Morning peak (6-9)",B3701&lt;=15,"Midday (10-15)",B3701&lt;=19,"Evening peak (16-19)",TRUE,"Late evening (20-23)")</f>
        <v>Night (0-5)</v>
      </c>
    </row>
    <row r="3702" spans="1:9">
      <c r="A3702" s="32">
        <v>41884</v>
      </c>
      <c r="B3702">
        <v>4</v>
      </c>
      <c r="C3702">
        <v>518</v>
      </c>
      <c r="D3702" t="s">
        <v>303</v>
      </c>
      <c r="E3702">
        <f>YEAR(A3702)</f>
        <v>2014</v>
      </c>
      <c r="F3702" s="33">
        <f>DATE(YEAR(A3702),MONTH(A3702),1)</f>
        <v>41883.0</v>
      </c>
      <c r="G3702" t="str">
        <f>CHOOSE(WEEKDAY(A3702,2),"Mon","Tue","Wed","Thu","Fri","Sat","Sun")</f>
        <v>Tue</v>
      </c>
      <c r="H3702" t="str">
        <f>IF(WEEKDAY(A3702,2)&gt;5,"Weekend","Weekday")</f>
        <v>Weekday</v>
      </c>
      <c r="I3702" t="str">
        <f>_xlfn.IFS(B3702&lt;=5,"Night (0-5)",B3702&lt;=9,"Morning peak (6-9)",B3702&lt;=15,"Midday (10-15)",B3702&lt;=19,"Evening peak (16-19)",TRUE,"Late evening (20-23)")</f>
        <v>Night (0-5)</v>
      </c>
    </row>
    <row r="3703" spans="1:9">
      <c r="A3703" s="32">
        <v>41884</v>
      </c>
      <c r="B3703">
        <v>5</v>
      </c>
      <c r="C3703">
        <v>858</v>
      </c>
      <c r="D3703" t="s">
        <v>303</v>
      </c>
      <c r="E3703">
        <f>YEAR(A3703)</f>
        <v>2014</v>
      </c>
      <c r="F3703" s="33">
        <f>DATE(YEAR(A3703),MONTH(A3703),1)</f>
        <v>41883.0</v>
      </c>
      <c r="G3703" t="str">
        <f>CHOOSE(WEEKDAY(A3703,2),"Mon","Tue","Wed","Thu","Fri","Sat","Sun")</f>
        <v>Tue</v>
      </c>
      <c r="H3703" t="str">
        <f>IF(WEEKDAY(A3703,2)&gt;5,"Weekend","Weekday")</f>
        <v>Weekday</v>
      </c>
      <c r="I3703" t="str">
        <f>_xlfn.IFS(B3703&lt;=5,"Night (0-5)",B3703&lt;=9,"Morning peak (6-9)",B3703&lt;=15,"Midday (10-15)",B3703&lt;=19,"Evening peak (16-19)",TRUE,"Late evening (20-23)")</f>
        <v>Night (0-5)</v>
      </c>
    </row>
    <row r="3704" spans="1:9">
      <c r="A3704" s="32">
        <v>41884</v>
      </c>
      <c r="B3704">
        <v>6</v>
      </c>
      <c r="C3704">
        <v>1271</v>
      </c>
      <c r="D3704" t="s">
        <v>303</v>
      </c>
      <c r="E3704">
        <f>YEAR(A3704)</f>
        <v>2014</v>
      </c>
      <c r="F3704" s="33">
        <f>DATE(YEAR(A3704),MONTH(A3704),1)</f>
        <v>41883.0</v>
      </c>
      <c r="G3704" t="str">
        <f>CHOOSE(WEEKDAY(A3704,2),"Mon","Tue","Wed","Thu","Fri","Sat","Sun")</f>
        <v>Tue</v>
      </c>
      <c r="H3704" t="str">
        <f>IF(WEEKDAY(A3704,2)&gt;5,"Weekend","Weekday")</f>
        <v>Weekday</v>
      </c>
      <c r="I3704" t="str">
        <f>_xlfn.IFS(B3704&lt;=5,"Night (0-5)",B3704&lt;=9,"Morning peak (6-9)",B3704&lt;=15,"Midday (10-15)",B3704&lt;=19,"Evening peak (16-19)",TRUE,"Late evening (20-23)")</f>
        <v>Morning peak (6-9)</v>
      </c>
    </row>
    <row r="3705" spans="1:9">
      <c r="A3705" s="32">
        <v>41884</v>
      </c>
      <c r="B3705">
        <v>7</v>
      </c>
      <c r="C3705">
        <v>1596</v>
      </c>
      <c r="D3705" t="s">
        <v>303</v>
      </c>
      <c r="E3705">
        <f>YEAR(A3705)</f>
        <v>2014</v>
      </c>
      <c r="F3705" s="33">
        <f>DATE(YEAR(A3705),MONTH(A3705),1)</f>
        <v>41883.0</v>
      </c>
      <c r="G3705" t="str">
        <f>CHOOSE(WEEKDAY(A3705,2),"Mon","Tue","Wed","Thu","Fri","Sat","Sun")</f>
        <v>Tue</v>
      </c>
      <c r="H3705" t="str">
        <f>IF(WEEKDAY(A3705,2)&gt;5,"Weekend","Weekday")</f>
        <v>Weekday</v>
      </c>
      <c r="I3705" t="str">
        <f>_xlfn.IFS(B3705&lt;=5,"Night (0-5)",B3705&lt;=9,"Morning peak (6-9)",B3705&lt;=15,"Midday (10-15)",B3705&lt;=19,"Evening peak (16-19)",TRUE,"Late evening (20-23)")</f>
        <v>Morning peak (6-9)</v>
      </c>
    </row>
    <row r="3706" spans="1:9">
      <c r="A3706" s="32">
        <v>41884</v>
      </c>
      <c r="B3706">
        <v>8</v>
      </c>
      <c r="C3706">
        <v>1728</v>
      </c>
      <c r="D3706" t="s">
        <v>303</v>
      </c>
      <c r="E3706">
        <f>YEAR(A3706)</f>
        <v>2014</v>
      </c>
      <c r="F3706" s="33">
        <f>DATE(YEAR(A3706),MONTH(A3706),1)</f>
        <v>41883.0</v>
      </c>
      <c r="G3706" t="str">
        <f>CHOOSE(WEEKDAY(A3706,2),"Mon","Tue","Wed","Thu","Fri","Sat","Sun")</f>
        <v>Tue</v>
      </c>
      <c r="H3706" t="str">
        <f>IF(WEEKDAY(A3706,2)&gt;5,"Weekend","Weekday")</f>
        <v>Weekday</v>
      </c>
      <c r="I3706" t="str">
        <f>_xlfn.IFS(B3706&lt;=5,"Night (0-5)",B3706&lt;=9,"Morning peak (6-9)",B3706&lt;=15,"Midday (10-15)",B3706&lt;=19,"Evening peak (16-19)",TRUE,"Late evening (20-23)")</f>
        <v>Morning peak (6-9)</v>
      </c>
    </row>
    <row r="3707" spans="1:9">
      <c r="A3707" s="32">
        <v>41884</v>
      </c>
      <c r="B3707">
        <v>9</v>
      </c>
      <c r="C3707">
        <v>1256</v>
      </c>
      <c r="D3707" t="s">
        <v>303</v>
      </c>
      <c r="E3707">
        <f>YEAR(A3707)</f>
        <v>2014</v>
      </c>
      <c r="F3707" s="33">
        <f>DATE(YEAR(A3707),MONTH(A3707),1)</f>
        <v>41883.0</v>
      </c>
      <c r="G3707" t="str">
        <f>CHOOSE(WEEKDAY(A3707,2),"Mon","Tue","Wed","Thu","Fri","Sat","Sun")</f>
        <v>Tue</v>
      </c>
      <c r="H3707" t="str">
        <f>IF(WEEKDAY(A3707,2)&gt;5,"Weekend","Weekday")</f>
        <v>Weekday</v>
      </c>
      <c r="I3707" t="str">
        <f>_xlfn.IFS(B3707&lt;=5,"Night (0-5)",B3707&lt;=9,"Morning peak (6-9)",B3707&lt;=15,"Midday (10-15)",B3707&lt;=19,"Evening peak (16-19)",TRUE,"Late evening (20-23)")</f>
        <v>Morning peak (6-9)</v>
      </c>
    </row>
    <row r="3708" spans="1:9">
      <c r="A3708" s="32">
        <v>41884</v>
      </c>
      <c r="B3708">
        <v>10</v>
      </c>
      <c r="C3708">
        <v>1162</v>
      </c>
      <c r="D3708" t="s">
        <v>303</v>
      </c>
      <c r="E3708">
        <f>YEAR(A3708)</f>
        <v>2014</v>
      </c>
      <c r="F3708" s="33">
        <f>DATE(YEAR(A3708),MONTH(A3708),1)</f>
        <v>41883.0</v>
      </c>
      <c r="G3708" t="str">
        <f>CHOOSE(WEEKDAY(A3708,2),"Mon","Tue","Wed","Thu","Fri","Sat","Sun")</f>
        <v>Tue</v>
      </c>
      <c r="H3708" t="str">
        <f>IF(WEEKDAY(A3708,2)&gt;5,"Weekend","Weekday")</f>
        <v>Weekday</v>
      </c>
      <c r="I3708" t="str">
        <f>_xlfn.IFS(B3708&lt;=5,"Night (0-5)",B3708&lt;=9,"Morning peak (6-9)",B3708&lt;=15,"Midday (10-15)",B3708&lt;=19,"Evening peak (16-19)",TRUE,"Late evening (20-23)")</f>
        <v>Midday (10-15)</v>
      </c>
    </row>
    <row r="3709" spans="1:9">
      <c r="A3709" s="32">
        <v>41884</v>
      </c>
      <c r="B3709">
        <v>11</v>
      </c>
      <c r="C3709">
        <v>1138</v>
      </c>
      <c r="D3709" t="s">
        <v>303</v>
      </c>
      <c r="E3709">
        <f>YEAR(A3709)</f>
        <v>2014</v>
      </c>
      <c r="F3709" s="33">
        <f>DATE(YEAR(A3709),MONTH(A3709),1)</f>
        <v>41883.0</v>
      </c>
      <c r="G3709" t="str">
        <f>CHOOSE(WEEKDAY(A3709,2),"Mon","Tue","Wed","Thu","Fri","Sat","Sun")</f>
        <v>Tue</v>
      </c>
      <c r="H3709" t="str">
        <f>IF(WEEKDAY(A3709,2)&gt;5,"Weekend","Weekday")</f>
        <v>Weekday</v>
      </c>
      <c r="I3709" t="str">
        <f>_xlfn.IFS(B3709&lt;=5,"Night (0-5)",B3709&lt;=9,"Morning peak (6-9)",B3709&lt;=15,"Midday (10-15)",B3709&lt;=19,"Evening peak (16-19)",TRUE,"Late evening (20-23)")</f>
        <v>Midday (10-15)</v>
      </c>
    </row>
    <row r="3710" spans="1:9">
      <c r="A3710" s="32">
        <v>41884</v>
      </c>
      <c r="B3710">
        <v>12</v>
      </c>
      <c r="C3710">
        <v>1188</v>
      </c>
      <c r="D3710" t="s">
        <v>303</v>
      </c>
      <c r="E3710">
        <f>YEAR(A3710)</f>
        <v>2014</v>
      </c>
      <c r="F3710" s="33">
        <f>DATE(YEAR(A3710),MONTH(A3710),1)</f>
        <v>41883.0</v>
      </c>
      <c r="G3710" t="str">
        <f>CHOOSE(WEEKDAY(A3710,2),"Mon","Tue","Wed","Thu","Fri","Sat","Sun")</f>
        <v>Tue</v>
      </c>
      <c r="H3710" t="str">
        <f>IF(WEEKDAY(A3710,2)&gt;5,"Weekend","Weekday")</f>
        <v>Weekday</v>
      </c>
      <c r="I3710" t="str">
        <f>_xlfn.IFS(B3710&lt;=5,"Night (0-5)",B3710&lt;=9,"Morning peak (6-9)",B3710&lt;=15,"Midday (10-15)",B3710&lt;=19,"Evening peak (16-19)",TRUE,"Late evening (20-23)")</f>
        <v>Midday (10-15)</v>
      </c>
    </row>
    <row r="3711" spans="1:9">
      <c r="A3711" s="32">
        <v>41884</v>
      </c>
      <c r="B3711">
        <v>13</v>
      </c>
      <c r="C3711">
        <v>1288</v>
      </c>
      <c r="D3711" t="s">
        <v>303</v>
      </c>
      <c r="E3711">
        <f>YEAR(A3711)</f>
        <v>2014</v>
      </c>
      <c r="F3711" s="33">
        <f>DATE(YEAR(A3711),MONTH(A3711),1)</f>
        <v>41883.0</v>
      </c>
      <c r="G3711" t="str">
        <f>CHOOSE(WEEKDAY(A3711,2),"Mon","Tue","Wed","Thu","Fri","Sat","Sun")</f>
        <v>Tue</v>
      </c>
      <c r="H3711" t="str">
        <f>IF(WEEKDAY(A3711,2)&gt;5,"Weekend","Weekday")</f>
        <v>Weekday</v>
      </c>
      <c r="I3711" t="str">
        <f>_xlfn.IFS(B3711&lt;=5,"Night (0-5)",B3711&lt;=9,"Morning peak (6-9)",B3711&lt;=15,"Midday (10-15)",B3711&lt;=19,"Evening peak (16-19)",TRUE,"Late evening (20-23)")</f>
        <v>Midday (10-15)</v>
      </c>
    </row>
    <row r="3712" spans="1:9">
      <c r="A3712" s="32">
        <v>41884</v>
      </c>
      <c r="B3712">
        <v>14</v>
      </c>
      <c r="C3712">
        <v>1401</v>
      </c>
      <c r="D3712" t="s">
        <v>303</v>
      </c>
      <c r="E3712">
        <f>YEAR(A3712)</f>
        <v>2014</v>
      </c>
      <c r="F3712" s="33">
        <f>DATE(YEAR(A3712),MONTH(A3712),1)</f>
        <v>41883.0</v>
      </c>
      <c r="G3712" t="str">
        <f>CHOOSE(WEEKDAY(A3712,2),"Mon","Tue","Wed","Thu","Fri","Sat","Sun")</f>
        <v>Tue</v>
      </c>
      <c r="H3712" t="str">
        <f>IF(WEEKDAY(A3712,2)&gt;5,"Weekend","Weekday")</f>
        <v>Weekday</v>
      </c>
      <c r="I3712" t="str">
        <f>_xlfn.IFS(B3712&lt;=5,"Night (0-5)",B3712&lt;=9,"Morning peak (6-9)",B3712&lt;=15,"Midday (10-15)",B3712&lt;=19,"Evening peak (16-19)",TRUE,"Late evening (20-23)")</f>
        <v>Midday (10-15)</v>
      </c>
    </row>
    <row r="3713" spans="1:9">
      <c r="A3713" s="32">
        <v>41884</v>
      </c>
      <c r="B3713">
        <v>15</v>
      </c>
      <c r="C3713">
        <v>1719</v>
      </c>
      <c r="D3713" t="s">
        <v>303</v>
      </c>
      <c r="E3713">
        <f>YEAR(A3713)</f>
        <v>2014</v>
      </c>
      <c r="F3713" s="33">
        <f>DATE(YEAR(A3713),MONTH(A3713),1)</f>
        <v>41883.0</v>
      </c>
      <c r="G3713" t="str">
        <f>CHOOSE(WEEKDAY(A3713,2),"Mon","Tue","Wed","Thu","Fri","Sat","Sun")</f>
        <v>Tue</v>
      </c>
      <c r="H3713" t="str">
        <f>IF(WEEKDAY(A3713,2)&gt;5,"Weekend","Weekday")</f>
        <v>Weekday</v>
      </c>
      <c r="I3713" t="str">
        <f>_xlfn.IFS(B3713&lt;=5,"Night (0-5)",B3713&lt;=9,"Morning peak (6-9)",B3713&lt;=15,"Midday (10-15)",B3713&lt;=19,"Evening peak (16-19)",TRUE,"Late evening (20-23)")</f>
        <v>Midday (10-15)</v>
      </c>
    </row>
    <row r="3714" spans="1:9">
      <c r="A3714" s="32">
        <v>41884</v>
      </c>
      <c r="B3714">
        <v>16</v>
      </c>
      <c r="C3714">
        <v>2046</v>
      </c>
      <c r="D3714" t="s">
        <v>303</v>
      </c>
      <c r="E3714">
        <f>YEAR(A3714)</f>
        <v>2014</v>
      </c>
      <c r="F3714" s="33">
        <f>DATE(YEAR(A3714),MONTH(A3714),1)</f>
        <v>41883.0</v>
      </c>
      <c r="G3714" t="str">
        <f>CHOOSE(WEEKDAY(A3714,2),"Mon","Tue","Wed","Thu","Fri","Sat","Sun")</f>
        <v>Tue</v>
      </c>
      <c r="H3714" t="str">
        <f>IF(WEEKDAY(A3714,2)&gt;5,"Weekend","Weekday")</f>
        <v>Weekday</v>
      </c>
      <c r="I3714" t="str">
        <f>_xlfn.IFS(B3714&lt;=5,"Night (0-5)",B3714&lt;=9,"Morning peak (6-9)",B3714&lt;=15,"Midday (10-15)",B3714&lt;=19,"Evening peak (16-19)",TRUE,"Late evening (20-23)")</f>
        <v>Evening peak (16-19)</v>
      </c>
    </row>
    <row r="3715" spans="1:9">
      <c r="A3715" s="32">
        <v>41884</v>
      </c>
      <c r="B3715">
        <v>17</v>
      </c>
      <c r="C3715">
        <v>2146</v>
      </c>
      <c r="D3715" t="s">
        <v>303</v>
      </c>
      <c r="E3715">
        <f>YEAR(A3715)</f>
        <v>2014</v>
      </c>
      <c r="F3715" s="33">
        <f>DATE(YEAR(A3715),MONTH(A3715),1)</f>
        <v>41883.0</v>
      </c>
      <c r="G3715" t="str">
        <f>CHOOSE(WEEKDAY(A3715,2),"Mon","Tue","Wed","Thu","Fri","Sat","Sun")</f>
        <v>Tue</v>
      </c>
      <c r="H3715" t="str">
        <f>IF(WEEKDAY(A3715,2)&gt;5,"Weekend","Weekday")</f>
        <v>Weekday</v>
      </c>
      <c r="I3715" t="str">
        <f>_xlfn.IFS(B3715&lt;=5,"Night (0-5)",B3715&lt;=9,"Morning peak (6-9)",B3715&lt;=15,"Midday (10-15)",B3715&lt;=19,"Evening peak (16-19)",TRUE,"Late evening (20-23)")</f>
        <v>Evening peak (16-19)</v>
      </c>
    </row>
    <row r="3716" spans="1:9">
      <c r="A3716" s="32">
        <v>41884</v>
      </c>
      <c r="B3716">
        <v>18</v>
      </c>
      <c r="C3716">
        <v>1960</v>
      </c>
      <c r="D3716" t="s">
        <v>303</v>
      </c>
      <c r="E3716">
        <f>YEAR(A3716)</f>
        <v>2014</v>
      </c>
      <c r="F3716" s="33">
        <f>DATE(YEAR(A3716),MONTH(A3716),1)</f>
        <v>41883.0</v>
      </c>
      <c r="G3716" t="str">
        <f>CHOOSE(WEEKDAY(A3716,2),"Mon","Tue","Wed","Thu","Fri","Sat","Sun")</f>
        <v>Tue</v>
      </c>
      <c r="H3716" t="str">
        <f>IF(WEEKDAY(A3716,2)&gt;5,"Weekend","Weekday")</f>
        <v>Weekday</v>
      </c>
      <c r="I3716" t="str">
        <f>_xlfn.IFS(B3716&lt;=5,"Night (0-5)",B3716&lt;=9,"Morning peak (6-9)",B3716&lt;=15,"Midday (10-15)",B3716&lt;=19,"Evening peak (16-19)",TRUE,"Late evening (20-23)")</f>
        <v>Evening peak (16-19)</v>
      </c>
    </row>
    <row r="3717" spans="1:9">
      <c r="A3717" s="32">
        <v>41884</v>
      </c>
      <c r="B3717">
        <v>19</v>
      </c>
      <c r="C3717">
        <v>1765</v>
      </c>
      <c r="D3717" t="s">
        <v>303</v>
      </c>
      <c r="E3717">
        <f>YEAR(A3717)</f>
        <v>2014</v>
      </c>
      <c r="F3717" s="33">
        <f>DATE(YEAR(A3717),MONTH(A3717),1)</f>
        <v>41883.0</v>
      </c>
      <c r="G3717" t="str">
        <f>CHOOSE(WEEKDAY(A3717,2),"Mon","Tue","Wed","Thu","Fri","Sat","Sun")</f>
        <v>Tue</v>
      </c>
      <c r="H3717" t="str">
        <f>IF(WEEKDAY(A3717,2)&gt;5,"Weekend","Weekday")</f>
        <v>Weekday</v>
      </c>
      <c r="I3717" t="str">
        <f>_xlfn.IFS(B3717&lt;=5,"Night (0-5)",B3717&lt;=9,"Morning peak (6-9)",B3717&lt;=15,"Midday (10-15)",B3717&lt;=19,"Evening peak (16-19)",TRUE,"Late evening (20-23)")</f>
        <v>Evening peak (16-19)</v>
      </c>
    </row>
    <row r="3718" spans="1:9">
      <c r="A3718" s="32">
        <v>41884</v>
      </c>
      <c r="B3718">
        <v>20</v>
      </c>
      <c r="C3718">
        <v>1758</v>
      </c>
      <c r="D3718" t="s">
        <v>303</v>
      </c>
      <c r="E3718">
        <f>YEAR(A3718)</f>
        <v>2014</v>
      </c>
      <c r="F3718" s="33">
        <f>DATE(YEAR(A3718),MONTH(A3718),1)</f>
        <v>41883.0</v>
      </c>
      <c r="G3718" t="str">
        <f>CHOOSE(WEEKDAY(A3718,2),"Mon","Tue","Wed","Thu","Fri","Sat","Sun")</f>
        <v>Tue</v>
      </c>
      <c r="H3718" t="str">
        <f>IF(WEEKDAY(A3718,2)&gt;5,"Weekend","Weekday")</f>
        <v>Weekday</v>
      </c>
      <c r="I3718" t="str">
        <f>_xlfn.IFS(B3718&lt;=5,"Night (0-5)",B3718&lt;=9,"Morning peak (6-9)",B3718&lt;=15,"Midday (10-15)",B3718&lt;=19,"Evening peak (16-19)",TRUE,"Late evening (20-23)")</f>
        <v>Late evening (20-23)</v>
      </c>
    </row>
    <row r="3719" spans="1:9">
      <c r="A3719" s="32">
        <v>41884</v>
      </c>
      <c r="B3719">
        <v>21</v>
      </c>
      <c r="C3719">
        <v>1515</v>
      </c>
      <c r="D3719" t="s">
        <v>303</v>
      </c>
      <c r="E3719">
        <f>YEAR(A3719)</f>
        <v>2014</v>
      </c>
      <c r="F3719" s="33">
        <f>DATE(YEAR(A3719),MONTH(A3719),1)</f>
        <v>41883.0</v>
      </c>
      <c r="G3719" t="str">
        <f>CHOOSE(WEEKDAY(A3719,2),"Mon","Tue","Wed","Thu","Fri","Sat","Sun")</f>
        <v>Tue</v>
      </c>
      <c r="H3719" t="str">
        <f>IF(WEEKDAY(A3719,2)&gt;5,"Weekend","Weekday")</f>
        <v>Weekday</v>
      </c>
      <c r="I3719" t="str">
        <f>_xlfn.IFS(B3719&lt;=5,"Night (0-5)",B3719&lt;=9,"Morning peak (6-9)",B3719&lt;=15,"Midday (10-15)",B3719&lt;=19,"Evening peak (16-19)",TRUE,"Late evening (20-23)")</f>
        <v>Late evening (20-23)</v>
      </c>
    </row>
    <row r="3720" spans="1:9">
      <c r="A3720" s="32">
        <v>41884</v>
      </c>
      <c r="B3720">
        <v>22</v>
      </c>
      <c r="C3720">
        <v>1122</v>
      </c>
      <c r="D3720" t="s">
        <v>303</v>
      </c>
      <c r="E3720">
        <f>YEAR(A3720)</f>
        <v>2014</v>
      </c>
      <c r="F3720" s="33">
        <f>DATE(YEAR(A3720),MONTH(A3720),1)</f>
        <v>41883.0</v>
      </c>
      <c r="G3720" t="str">
        <f>CHOOSE(WEEKDAY(A3720,2),"Mon","Tue","Wed","Thu","Fri","Sat","Sun")</f>
        <v>Tue</v>
      </c>
      <c r="H3720" t="str">
        <f>IF(WEEKDAY(A3720,2)&gt;5,"Weekend","Weekday")</f>
        <v>Weekday</v>
      </c>
      <c r="I3720" t="str">
        <f>_xlfn.IFS(B3720&lt;=5,"Night (0-5)",B3720&lt;=9,"Morning peak (6-9)",B3720&lt;=15,"Midday (10-15)",B3720&lt;=19,"Evening peak (16-19)",TRUE,"Late evening (20-23)")</f>
        <v>Late evening (20-23)</v>
      </c>
    </row>
    <row r="3721" spans="1:9">
      <c r="A3721" s="32">
        <v>41884</v>
      </c>
      <c r="B3721">
        <v>23</v>
      </c>
      <c r="C3721">
        <v>699</v>
      </c>
      <c r="D3721" t="s">
        <v>303</v>
      </c>
      <c r="E3721">
        <f>YEAR(A3721)</f>
        <v>2014</v>
      </c>
      <c r="F3721" s="33">
        <f>DATE(YEAR(A3721),MONTH(A3721),1)</f>
        <v>41883.0</v>
      </c>
      <c r="G3721" t="str">
        <f>CHOOSE(WEEKDAY(A3721,2),"Mon","Tue","Wed","Thu","Fri","Sat","Sun")</f>
        <v>Tue</v>
      </c>
      <c r="H3721" t="str">
        <f>IF(WEEKDAY(A3721,2)&gt;5,"Weekend","Weekday")</f>
        <v>Weekday</v>
      </c>
      <c r="I3721" t="str">
        <f>_xlfn.IFS(B3721&lt;=5,"Night (0-5)",B3721&lt;=9,"Morning peak (6-9)",B3721&lt;=15,"Midday (10-15)",B3721&lt;=19,"Evening peak (16-19)",TRUE,"Late evening (20-23)")</f>
        <v>Late evening (20-23)</v>
      </c>
    </row>
    <row r="3722" spans="1:9">
      <c r="A3722" s="32">
        <v>41885</v>
      </c>
      <c r="B3722">
        <v>0</v>
      </c>
      <c r="C3722">
        <v>284</v>
      </c>
      <c r="D3722" t="s">
        <v>303</v>
      </c>
      <c r="E3722">
        <f>YEAR(A3722)</f>
        <v>2014</v>
      </c>
      <c r="F3722" s="33">
        <f>DATE(YEAR(A3722),MONTH(A3722),1)</f>
        <v>41883.0</v>
      </c>
      <c r="G3722" t="str">
        <f>CHOOSE(WEEKDAY(A3722,2),"Mon","Tue","Wed","Thu","Fri","Sat","Sun")</f>
        <v>Wed</v>
      </c>
      <c r="H3722" t="str">
        <f>IF(WEEKDAY(A3722,2)&gt;5,"Weekend","Weekday")</f>
        <v>Weekday</v>
      </c>
      <c r="I3722" t="str">
        <f>_xlfn.IFS(B3722&lt;=5,"Night (0-5)",B3722&lt;=9,"Morning peak (6-9)",B3722&lt;=15,"Midday (10-15)",B3722&lt;=19,"Evening peak (16-19)",TRUE,"Late evening (20-23)")</f>
        <v>Night (0-5)</v>
      </c>
    </row>
    <row r="3723" spans="1:9">
      <c r="A3723" s="32">
        <v>41885</v>
      </c>
      <c r="B3723">
        <v>1</v>
      </c>
      <c r="C3723">
        <v>151</v>
      </c>
      <c r="D3723" t="s">
        <v>303</v>
      </c>
      <c r="E3723">
        <f>YEAR(A3723)</f>
        <v>2014</v>
      </c>
      <c r="F3723" s="33">
        <f>DATE(YEAR(A3723),MONTH(A3723),1)</f>
        <v>41883.0</v>
      </c>
      <c r="G3723" t="str">
        <f>CHOOSE(WEEKDAY(A3723,2),"Mon","Tue","Wed","Thu","Fri","Sat","Sun")</f>
        <v>Wed</v>
      </c>
      <c r="H3723" t="str">
        <f>IF(WEEKDAY(A3723,2)&gt;5,"Weekend","Weekday")</f>
        <v>Weekday</v>
      </c>
      <c r="I3723" t="str">
        <f>_xlfn.IFS(B3723&lt;=5,"Night (0-5)",B3723&lt;=9,"Morning peak (6-9)",B3723&lt;=15,"Midday (10-15)",B3723&lt;=19,"Evening peak (16-19)",TRUE,"Late evening (20-23)")</f>
        <v>Night (0-5)</v>
      </c>
    </row>
    <row r="3724" spans="1:9">
      <c r="A3724" s="32">
        <v>41885</v>
      </c>
      <c r="B3724">
        <v>2</v>
      </c>
      <c r="C3724">
        <v>116</v>
      </c>
      <c r="D3724" t="s">
        <v>303</v>
      </c>
      <c r="E3724">
        <f>YEAR(A3724)</f>
        <v>2014</v>
      </c>
      <c r="F3724" s="33">
        <f>DATE(YEAR(A3724),MONTH(A3724),1)</f>
        <v>41883.0</v>
      </c>
      <c r="G3724" t="str">
        <f>CHOOSE(WEEKDAY(A3724,2),"Mon","Tue","Wed","Thu","Fri","Sat","Sun")</f>
        <v>Wed</v>
      </c>
      <c r="H3724" t="str">
        <f>IF(WEEKDAY(A3724,2)&gt;5,"Weekend","Weekday")</f>
        <v>Weekday</v>
      </c>
      <c r="I3724" t="str">
        <f>_xlfn.IFS(B3724&lt;=5,"Night (0-5)",B3724&lt;=9,"Morning peak (6-9)",B3724&lt;=15,"Midday (10-15)",B3724&lt;=19,"Evening peak (16-19)",TRUE,"Late evening (20-23)")</f>
        <v>Night (0-5)</v>
      </c>
    </row>
    <row r="3725" spans="1:9">
      <c r="A3725" s="32">
        <v>41885</v>
      </c>
      <c r="B3725">
        <v>3</v>
      </c>
      <c r="C3725">
        <v>204</v>
      </c>
      <c r="D3725" t="s">
        <v>303</v>
      </c>
      <c r="E3725">
        <f>YEAR(A3725)</f>
        <v>2014</v>
      </c>
      <c r="F3725" s="33">
        <f>DATE(YEAR(A3725),MONTH(A3725),1)</f>
        <v>41883.0</v>
      </c>
      <c r="G3725" t="str">
        <f>CHOOSE(WEEKDAY(A3725,2),"Mon","Tue","Wed","Thu","Fri","Sat","Sun")</f>
        <v>Wed</v>
      </c>
      <c r="H3725" t="str">
        <f>IF(WEEKDAY(A3725,2)&gt;5,"Weekend","Weekday")</f>
        <v>Weekday</v>
      </c>
      <c r="I3725" t="str">
        <f>_xlfn.IFS(B3725&lt;=5,"Night (0-5)",B3725&lt;=9,"Morning peak (6-9)",B3725&lt;=15,"Midday (10-15)",B3725&lt;=19,"Evening peak (16-19)",TRUE,"Late evening (20-23)")</f>
        <v>Night (0-5)</v>
      </c>
    </row>
    <row r="3726" spans="1:9">
      <c r="A3726" s="32">
        <v>41885</v>
      </c>
      <c r="B3726">
        <v>4</v>
      </c>
      <c r="C3726">
        <v>356</v>
      </c>
      <c r="D3726" t="s">
        <v>303</v>
      </c>
      <c r="E3726">
        <f>YEAR(A3726)</f>
        <v>2014</v>
      </c>
      <c r="F3726" s="33">
        <f>DATE(YEAR(A3726),MONTH(A3726),1)</f>
        <v>41883.0</v>
      </c>
      <c r="G3726" t="str">
        <f>CHOOSE(WEEKDAY(A3726,2),"Mon","Tue","Wed","Thu","Fri","Sat","Sun")</f>
        <v>Wed</v>
      </c>
      <c r="H3726" t="str">
        <f>IF(WEEKDAY(A3726,2)&gt;5,"Weekend","Weekday")</f>
        <v>Weekday</v>
      </c>
      <c r="I3726" t="str">
        <f>_xlfn.IFS(B3726&lt;=5,"Night (0-5)",B3726&lt;=9,"Morning peak (6-9)",B3726&lt;=15,"Midday (10-15)",B3726&lt;=19,"Evening peak (16-19)",TRUE,"Late evening (20-23)")</f>
        <v>Night (0-5)</v>
      </c>
    </row>
    <row r="3727" spans="1:9">
      <c r="A3727" s="32">
        <v>41885</v>
      </c>
      <c r="B3727">
        <v>5</v>
      </c>
      <c r="C3727">
        <v>760</v>
      </c>
      <c r="D3727" t="s">
        <v>303</v>
      </c>
      <c r="E3727">
        <f>YEAR(A3727)</f>
        <v>2014</v>
      </c>
      <c r="F3727" s="33">
        <f>DATE(YEAR(A3727),MONTH(A3727),1)</f>
        <v>41883.0</v>
      </c>
      <c r="G3727" t="str">
        <f>CHOOSE(WEEKDAY(A3727,2),"Mon","Tue","Wed","Thu","Fri","Sat","Sun")</f>
        <v>Wed</v>
      </c>
      <c r="H3727" t="str">
        <f>IF(WEEKDAY(A3727,2)&gt;5,"Weekend","Weekday")</f>
        <v>Weekday</v>
      </c>
      <c r="I3727" t="str">
        <f>_xlfn.IFS(B3727&lt;=5,"Night (0-5)",B3727&lt;=9,"Morning peak (6-9)",B3727&lt;=15,"Midday (10-15)",B3727&lt;=19,"Evening peak (16-19)",TRUE,"Late evening (20-23)")</f>
        <v>Night (0-5)</v>
      </c>
    </row>
    <row r="3728" spans="1:9">
      <c r="A3728" s="32">
        <v>41885</v>
      </c>
      <c r="B3728">
        <v>6</v>
      </c>
      <c r="C3728">
        <v>1383</v>
      </c>
      <c r="D3728" t="s">
        <v>303</v>
      </c>
      <c r="E3728">
        <f>YEAR(A3728)</f>
        <v>2014</v>
      </c>
      <c r="F3728" s="33">
        <f>DATE(YEAR(A3728),MONTH(A3728),1)</f>
        <v>41883.0</v>
      </c>
      <c r="G3728" t="str">
        <f>CHOOSE(WEEKDAY(A3728,2),"Mon","Tue","Wed","Thu","Fri","Sat","Sun")</f>
        <v>Wed</v>
      </c>
      <c r="H3728" t="str">
        <f>IF(WEEKDAY(A3728,2)&gt;5,"Weekend","Weekday")</f>
        <v>Weekday</v>
      </c>
      <c r="I3728" t="str">
        <f>_xlfn.IFS(B3728&lt;=5,"Night (0-5)",B3728&lt;=9,"Morning peak (6-9)",B3728&lt;=15,"Midday (10-15)",B3728&lt;=19,"Evening peak (16-19)",TRUE,"Late evening (20-23)")</f>
        <v>Morning peak (6-9)</v>
      </c>
    </row>
    <row r="3729" spans="1:9">
      <c r="A3729" s="32">
        <v>41885</v>
      </c>
      <c r="B3729">
        <v>7</v>
      </c>
      <c r="C3729">
        <v>1676</v>
      </c>
      <c r="D3729" t="s">
        <v>303</v>
      </c>
      <c r="E3729">
        <f>YEAR(A3729)</f>
        <v>2014</v>
      </c>
      <c r="F3729" s="33">
        <f>DATE(YEAR(A3729),MONTH(A3729),1)</f>
        <v>41883.0</v>
      </c>
      <c r="G3729" t="str">
        <f>CHOOSE(WEEKDAY(A3729,2),"Mon","Tue","Wed","Thu","Fri","Sat","Sun")</f>
        <v>Wed</v>
      </c>
      <c r="H3729" t="str">
        <f>IF(WEEKDAY(A3729,2)&gt;5,"Weekend","Weekday")</f>
        <v>Weekday</v>
      </c>
      <c r="I3729" t="str">
        <f>_xlfn.IFS(B3729&lt;=5,"Night (0-5)",B3729&lt;=9,"Morning peak (6-9)",B3729&lt;=15,"Midday (10-15)",B3729&lt;=19,"Evening peak (16-19)",TRUE,"Late evening (20-23)")</f>
        <v>Morning peak (6-9)</v>
      </c>
    </row>
    <row r="3730" spans="1:9">
      <c r="A3730" s="32">
        <v>41885</v>
      </c>
      <c r="B3730">
        <v>8</v>
      </c>
      <c r="C3730">
        <v>1669</v>
      </c>
      <c r="D3730" t="s">
        <v>303</v>
      </c>
      <c r="E3730">
        <f>YEAR(A3730)</f>
        <v>2014</v>
      </c>
      <c r="F3730" s="33">
        <f>DATE(YEAR(A3730),MONTH(A3730),1)</f>
        <v>41883.0</v>
      </c>
      <c r="G3730" t="str">
        <f>CHOOSE(WEEKDAY(A3730,2),"Mon","Tue","Wed","Thu","Fri","Sat","Sun")</f>
        <v>Wed</v>
      </c>
      <c r="H3730" t="str">
        <f>IF(WEEKDAY(A3730,2)&gt;5,"Weekend","Weekday")</f>
        <v>Weekday</v>
      </c>
      <c r="I3730" t="str">
        <f>_xlfn.IFS(B3730&lt;=5,"Night (0-5)",B3730&lt;=9,"Morning peak (6-9)",B3730&lt;=15,"Midday (10-15)",B3730&lt;=19,"Evening peak (16-19)",TRUE,"Late evening (20-23)")</f>
        <v>Morning peak (6-9)</v>
      </c>
    </row>
    <row r="3731" spans="1:9">
      <c r="A3731" s="32">
        <v>41885</v>
      </c>
      <c r="B3731">
        <v>9</v>
      </c>
      <c r="C3731">
        <v>1394</v>
      </c>
      <c r="D3731" t="s">
        <v>303</v>
      </c>
      <c r="E3731">
        <f>YEAR(A3731)</f>
        <v>2014</v>
      </c>
      <c r="F3731" s="33">
        <f>DATE(YEAR(A3731),MONTH(A3731),1)</f>
        <v>41883.0</v>
      </c>
      <c r="G3731" t="str">
        <f>CHOOSE(WEEKDAY(A3731,2),"Mon","Tue","Wed","Thu","Fri","Sat","Sun")</f>
        <v>Wed</v>
      </c>
      <c r="H3731" t="str">
        <f>IF(WEEKDAY(A3731,2)&gt;5,"Weekend","Weekday")</f>
        <v>Weekday</v>
      </c>
      <c r="I3731" t="str">
        <f>_xlfn.IFS(B3731&lt;=5,"Night (0-5)",B3731&lt;=9,"Morning peak (6-9)",B3731&lt;=15,"Midday (10-15)",B3731&lt;=19,"Evening peak (16-19)",TRUE,"Late evening (20-23)")</f>
        <v>Morning peak (6-9)</v>
      </c>
    </row>
    <row r="3732" spans="1:9">
      <c r="A3732" s="32">
        <v>41885</v>
      </c>
      <c r="B3732">
        <v>10</v>
      </c>
      <c r="C3732">
        <v>1232</v>
      </c>
      <c r="D3732" t="s">
        <v>303</v>
      </c>
      <c r="E3732">
        <f>YEAR(A3732)</f>
        <v>2014</v>
      </c>
      <c r="F3732" s="33">
        <f>DATE(YEAR(A3732),MONTH(A3732),1)</f>
        <v>41883.0</v>
      </c>
      <c r="G3732" t="str">
        <f>CHOOSE(WEEKDAY(A3732,2),"Mon","Tue","Wed","Thu","Fri","Sat","Sun")</f>
        <v>Wed</v>
      </c>
      <c r="H3732" t="str">
        <f>IF(WEEKDAY(A3732,2)&gt;5,"Weekend","Weekday")</f>
        <v>Weekday</v>
      </c>
      <c r="I3732" t="str">
        <f>_xlfn.IFS(B3732&lt;=5,"Night (0-5)",B3732&lt;=9,"Morning peak (6-9)",B3732&lt;=15,"Midday (10-15)",B3732&lt;=19,"Evening peak (16-19)",TRUE,"Late evening (20-23)")</f>
        <v>Midday (10-15)</v>
      </c>
    </row>
    <row r="3733" spans="1:9">
      <c r="A3733" s="32">
        <v>41885</v>
      </c>
      <c r="B3733">
        <v>11</v>
      </c>
      <c r="C3733">
        <v>1182</v>
      </c>
      <c r="D3733" t="s">
        <v>303</v>
      </c>
      <c r="E3733">
        <f>YEAR(A3733)</f>
        <v>2014</v>
      </c>
      <c r="F3733" s="33">
        <f>DATE(YEAR(A3733),MONTH(A3733),1)</f>
        <v>41883.0</v>
      </c>
      <c r="G3733" t="str">
        <f>CHOOSE(WEEKDAY(A3733,2),"Mon","Tue","Wed","Thu","Fri","Sat","Sun")</f>
        <v>Wed</v>
      </c>
      <c r="H3733" t="str">
        <f>IF(WEEKDAY(A3733,2)&gt;5,"Weekend","Weekday")</f>
        <v>Weekday</v>
      </c>
      <c r="I3733" t="str">
        <f>_xlfn.IFS(B3733&lt;=5,"Night (0-5)",B3733&lt;=9,"Morning peak (6-9)",B3733&lt;=15,"Midday (10-15)",B3733&lt;=19,"Evening peak (16-19)",TRUE,"Late evening (20-23)")</f>
        <v>Midday (10-15)</v>
      </c>
    </row>
    <row r="3734" spans="1:9">
      <c r="A3734" s="32">
        <v>41885</v>
      </c>
      <c r="B3734">
        <v>12</v>
      </c>
      <c r="C3734">
        <v>1205</v>
      </c>
      <c r="D3734" t="s">
        <v>303</v>
      </c>
      <c r="E3734">
        <f>YEAR(A3734)</f>
        <v>2014</v>
      </c>
      <c r="F3734" s="33">
        <f>DATE(YEAR(A3734),MONTH(A3734),1)</f>
        <v>41883.0</v>
      </c>
      <c r="G3734" t="str">
        <f>CHOOSE(WEEKDAY(A3734,2),"Mon","Tue","Wed","Thu","Fri","Sat","Sun")</f>
        <v>Wed</v>
      </c>
      <c r="H3734" t="str">
        <f>IF(WEEKDAY(A3734,2)&gt;5,"Weekend","Weekday")</f>
        <v>Weekday</v>
      </c>
      <c r="I3734" t="str">
        <f>_xlfn.IFS(B3734&lt;=5,"Night (0-5)",B3734&lt;=9,"Morning peak (6-9)",B3734&lt;=15,"Midday (10-15)",B3734&lt;=19,"Evening peak (16-19)",TRUE,"Late evening (20-23)")</f>
        <v>Midday (10-15)</v>
      </c>
    </row>
    <row r="3735" spans="1:9">
      <c r="A3735" s="32">
        <v>41885</v>
      </c>
      <c r="B3735">
        <v>13</v>
      </c>
      <c r="C3735">
        <v>1376</v>
      </c>
      <c r="D3735" t="s">
        <v>303</v>
      </c>
      <c r="E3735">
        <f>YEAR(A3735)</f>
        <v>2014</v>
      </c>
      <c r="F3735" s="33">
        <f>DATE(YEAR(A3735),MONTH(A3735),1)</f>
        <v>41883.0</v>
      </c>
      <c r="G3735" t="str">
        <f>CHOOSE(WEEKDAY(A3735,2),"Mon","Tue","Wed","Thu","Fri","Sat","Sun")</f>
        <v>Wed</v>
      </c>
      <c r="H3735" t="str">
        <f>IF(WEEKDAY(A3735,2)&gt;5,"Weekend","Weekday")</f>
        <v>Weekday</v>
      </c>
      <c r="I3735" t="str">
        <f>_xlfn.IFS(B3735&lt;=5,"Night (0-5)",B3735&lt;=9,"Morning peak (6-9)",B3735&lt;=15,"Midday (10-15)",B3735&lt;=19,"Evening peak (16-19)",TRUE,"Late evening (20-23)")</f>
        <v>Midday (10-15)</v>
      </c>
    </row>
    <row r="3736" spans="1:9">
      <c r="A3736" s="32">
        <v>41885</v>
      </c>
      <c r="B3736">
        <v>14</v>
      </c>
      <c r="C3736">
        <v>1626</v>
      </c>
      <c r="D3736" t="s">
        <v>303</v>
      </c>
      <c r="E3736">
        <f>YEAR(A3736)</f>
        <v>2014</v>
      </c>
      <c r="F3736" s="33">
        <f>DATE(YEAR(A3736),MONTH(A3736),1)</f>
        <v>41883.0</v>
      </c>
      <c r="G3736" t="str">
        <f>CHOOSE(WEEKDAY(A3736,2),"Mon","Tue","Wed","Thu","Fri","Sat","Sun")</f>
        <v>Wed</v>
      </c>
      <c r="H3736" t="str">
        <f>IF(WEEKDAY(A3736,2)&gt;5,"Weekend","Weekday")</f>
        <v>Weekday</v>
      </c>
      <c r="I3736" t="str">
        <f>_xlfn.IFS(B3736&lt;=5,"Night (0-5)",B3736&lt;=9,"Morning peak (6-9)",B3736&lt;=15,"Midday (10-15)",B3736&lt;=19,"Evening peak (16-19)",TRUE,"Late evening (20-23)")</f>
        <v>Midday (10-15)</v>
      </c>
    </row>
    <row r="3737" spans="1:9">
      <c r="A3737" s="32">
        <v>41885</v>
      </c>
      <c r="B3737">
        <v>15</v>
      </c>
      <c r="C3737">
        <v>2035</v>
      </c>
      <c r="D3737" t="s">
        <v>303</v>
      </c>
      <c r="E3737">
        <f>YEAR(A3737)</f>
        <v>2014</v>
      </c>
      <c r="F3737" s="33">
        <f>DATE(YEAR(A3737),MONTH(A3737),1)</f>
        <v>41883.0</v>
      </c>
      <c r="G3737" t="str">
        <f>CHOOSE(WEEKDAY(A3737,2),"Mon","Tue","Wed","Thu","Fri","Sat","Sun")</f>
        <v>Wed</v>
      </c>
      <c r="H3737" t="str">
        <f>IF(WEEKDAY(A3737,2)&gt;5,"Weekend","Weekday")</f>
        <v>Weekday</v>
      </c>
      <c r="I3737" t="str">
        <f>_xlfn.IFS(B3737&lt;=5,"Night (0-5)",B3737&lt;=9,"Morning peak (6-9)",B3737&lt;=15,"Midday (10-15)",B3737&lt;=19,"Evening peak (16-19)",TRUE,"Late evening (20-23)")</f>
        <v>Midday (10-15)</v>
      </c>
    </row>
    <row r="3738" spans="1:9">
      <c r="A3738" s="32">
        <v>41885</v>
      </c>
      <c r="B3738">
        <v>16</v>
      </c>
      <c r="C3738">
        <v>2336</v>
      </c>
      <c r="D3738" t="s">
        <v>303</v>
      </c>
      <c r="E3738">
        <f>YEAR(A3738)</f>
        <v>2014</v>
      </c>
      <c r="F3738" s="33">
        <f>DATE(YEAR(A3738),MONTH(A3738),1)</f>
        <v>41883.0</v>
      </c>
      <c r="G3738" t="str">
        <f>CHOOSE(WEEKDAY(A3738,2),"Mon","Tue","Wed","Thu","Fri","Sat","Sun")</f>
        <v>Wed</v>
      </c>
      <c r="H3738" t="str">
        <f>IF(WEEKDAY(A3738,2)&gt;5,"Weekend","Weekday")</f>
        <v>Weekday</v>
      </c>
      <c r="I3738" t="str">
        <f>_xlfn.IFS(B3738&lt;=5,"Night (0-5)",B3738&lt;=9,"Morning peak (6-9)",B3738&lt;=15,"Midday (10-15)",B3738&lt;=19,"Evening peak (16-19)",TRUE,"Late evening (20-23)")</f>
        <v>Evening peak (16-19)</v>
      </c>
    </row>
    <row r="3739" spans="1:9">
      <c r="A3739" s="32">
        <v>41885</v>
      </c>
      <c r="B3739">
        <v>17</v>
      </c>
      <c r="C3739">
        <v>2458</v>
      </c>
      <c r="D3739" t="s">
        <v>303</v>
      </c>
      <c r="E3739">
        <f>YEAR(A3739)</f>
        <v>2014</v>
      </c>
      <c r="F3739" s="33">
        <f>DATE(YEAR(A3739),MONTH(A3739),1)</f>
        <v>41883.0</v>
      </c>
      <c r="G3739" t="str">
        <f>CHOOSE(WEEKDAY(A3739,2),"Mon","Tue","Wed","Thu","Fri","Sat","Sun")</f>
        <v>Wed</v>
      </c>
      <c r="H3739" t="str">
        <f>IF(WEEKDAY(A3739,2)&gt;5,"Weekend","Weekday")</f>
        <v>Weekday</v>
      </c>
      <c r="I3739" t="str">
        <f>_xlfn.IFS(B3739&lt;=5,"Night (0-5)",B3739&lt;=9,"Morning peak (6-9)",B3739&lt;=15,"Midday (10-15)",B3739&lt;=19,"Evening peak (16-19)",TRUE,"Late evening (20-23)")</f>
        <v>Evening peak (16-19)</v>
      </c>
    </row>
    <row r="3740" spans="1:9">
      <c r="A3740" s="32">
        <v>41885</v>
      </c>
      <c r="B3740">
        <v>18</v>
      </c>
      <c r="C3740">
        <v>2376</v>
      </c>
      <c r="D3740" t="s">
        <v>303</v>
      </c>
      <c r="E3740">
        <f>YEAR(A3740)</f>
        <v>2014</v>
      </c>
      <c r="F3740" s="33">
        <f>DATE(YEAR(A3740),MONTH(A3740),1)</f>
        <v>41883.0</v>
      </c>
      <c r="G3740" t="str">
        <f>CHOOSE(WEEKDAY(A3740,2),"Mon","Tue","Wed","Thu","Fri","Sat","Sun")</f>
        <v>Wed</v>
      </c>
      <c r="H3740" t="str">
        <f>IF(WEEKDAY(A3740,2)&gt;5,"Weekend","Weekday")</f>
        <v>Weekday</v>
      </c>
      <c r="I3740" t="str">
        <f>_xlfn.IFS(B3740&lt;=5,"Night (0-5)",B3740&lt;=9,"Morning peak (6-9)",B3740&lt;=15,"Midday (10-15)",B3740&lt;=19,"Evening peak (16-19)",TRUE,"Late evening (20-23)")</f>
        <v>Evening peak (16-19)</v>
      </c>
    </row>
    <row r="3741" spans="1:9">
      <c r="A3741" s="32">
        <v>41885</v>
      </c>
      <c r="B3741">
        <v>19</v>
      </c>
      <c r="C3741">
        <v>2189</v>
      </c>
      <c r="D3741" t="s">
        <v>303</v>
      </c>
      <c r="E3741">
        <f>YEAR(A3741)</f>
        <v>2014</v>
      </c>
      <c r="F3741" s="33">
        <f>DATE(YEAR(A3741),MONTH(A3741),1)</f>
        <v>41883.0</v>
      </c>
      <c r="G3741" t="str">
        <f>CHOOSE(WEEKDAY(A3741,2),"Mon","Tue","Wed","Thu","Fri","Sat","Sun")</f>
        <v>Wed</v>
      </c>
      <c r="H3741" t="str">
        <f>IF(WEEKDAY(A3741,2)&gt;5,"Weekend","Weekday")</f>
        <v>Weekday</v>
      </c>
      <c r="I3741" t="str">
        <f>_xlfn.IFS(B3741&lt;=5,"Night (0-5)",B3741&lt;=9,"Morning peak (6-9)",B3741&lt;=15,"Midday (10-15)",B3741&lt;=19,"Evening peak (16-19)",TRUE,"Late evening (20-23)")</f>
        <v>Evening peak (16-19)</v>
      </c>
    </row>
    <row r="3742" spans="1:9">
      <c r="A3742" s="32">
        <v>41885</v>
      </c>
      <c r="B3742">
        <v>20</v>
      </c>
      <c r="C3742">
        <v>2208</v>
      </c>
      <c r="D3742" t="s">
        <v>303</v>
      </c>
      <c r="E3742">
        <f>YEAR(A3742)</f>
        <v>2014</v>
      </c>
      <c r="F3742" s="33">
        <f>DATE(YEAR(A3742),MONTH(A3742),1)</f>
        <v>41883.0</v>
      </c>
      <c r="G3742" t="str">
        <f>CHOOSE(WEEKDAY(A3742,2),"Mon","Tue","Wed","Thu","Fri","Sat","Sun")</f>
        <v>Wed</v>
      </c>
      <c r="H3742" t="str">
        <f>IF(WEEKDAY(A3742,2)&gt;5,"Weekend","Weekday")</f>
        <v>Weekday</v>
      </c>
      <c r="I3742" t="str">
        <f>_xlfn.IFS(B3742&lt;=5,"Night (0-5)",B3742&lt;=9,"Morning peak (6-9)",B3742&lt;=15,"Midday (10-15)",B3742&lt;=19,"Evening peak (16-19)",TRUE,"Late evening (20-23)")</f>
        <v>Late evening (20-23)</v>
      </c>
    </row>
    <row r="3743" spans="1:9">
      <c r="A3743" s="32">
        <v>41885</v>
      </c>
      <c r="B3743">
        <v>21</v>
      </c>
      <c r="C3743">
        <v>1917</v>
      </c>
      <c r="D3743" t="s">
        <v>303</v>
      </c>
      <c r="E3743">
        <f>YEAR(A3743)</f>
        <v>2014</v>
      </c>
      <c r="F3743" s="33">
        <f>DATE(YEAR(A3743),MONTH(A3743),1)</f>
        <v>41883.0</v>
      </c>
      <c r="G3743" t="str">
        <f>CHOOSE(WEEKDAY(A3743,2),"Mon","Tue","Wed","Thu","Fri","Sat","Sun")</f>
        <v>Wed</v>
      </c>
      <c r="H3743" t="str">
        <f>IF(WEEKDAY(A3743,2)&gt;5,"Weekend","Weekday")</f>
        <v>Weekday</v>
      </c>
      <c r="I3743" t="str">
        <f>_xlfn.IFS(B3743&lt;=5,"Night (0-5)",B3743&lt;=9,"Morning peak (6-9)",B3743&lt;=15,"Midday (10-15)",B3743&lt;=19,"Evening peak (16-19)",TRUE,"Late evening (20-23)")</f>
        <v>Late evening (20-23)</v>
      </c>
    </row>
    <row r="3744" spans="1:9">
      <c r="A3744" s="32">
        <v>41885</v>
      </c>
      <c r="B3744">
        <v>22</v>
      </c>
      <c r="C3744">
        <v>1574</v>
      </c>
      <c r="D3744" t="s">
        <v>303</v>
      </c>
      <c r="E3744">
        <f>YEAR(A3744)</f>
        <v>2014</v>
      </c>
      <c r="F3744" s="33">
        <f>DATE(YEAR(A3744),MONTH(A3744),1)</f>
        <v>41883.0</v>
      </c>
      <c r="G3744" t="str">
        <f>CHOOSE(WEEKDAY(A3744,2),"Mon","Tue","Wed","Thu","Fri","Sat","Sun")</f>
        <v>Wed</v>
      </c>
      <c r="H3744" t="str">
        <f>IF(WEEKDAY(A3744,2)&gt;5,"Weekend","Weekday")</f>
        <v>Weekday</v>
      </c>
      <c r="I3744" t="str">
        <f>_xlfn.IFS(B3744&lt;=5,"Night (0-5)",B3744&lt;=9,"Morning peak (6-9)",B3744&lt;=15,"Midday (10-15)",B3744&lt;=19,"Evening peak (16-19)",TRUE,"Late evening (20-23)")</f>
        <v>Late evening (20-23)</v>
      </c>
    </row>
    <row r="3745" spans="1:9">
      <c r="A3745" s="32">
        <v>41885</v>
      </c>
      <c r="B3745">
        <v>23</v>
      </c>
      <c r="C3745">
        <v>924</v>
      </c>
      <c r="D3745" t="s">
        <v>303</v>
      </c>
      <c r="E3745">
        <f>YEAR(A3745)</f>
        <v>2014</v>
      </c>
      <c r="F3745" s="33">
        <f>DATE(YEAR(A3745),MONTH(A3745),1)</f>
        <v>41883.0</v>
      </c>
      <c r="G3745" t="str">
        <f>CHOOSE(WEEKDAY(A3745,2),"Mon","Tue","Wed","Thu","Fri","Sat","Sun")</f>
        <v>Wed</v>
      </c>
      <c r="H3745" t="str">
        <f>IF(WEEKDAY(A3745,2)&gt;5,"Weekend","Weekday")</f>
        <v>Weekday</v>
      </c>
      <c r="I3745" t="str">
        <f>_xlfn.IFS(B3745&lt;=5,"Night (0-5)",B3745&lt;=9,"Morning peak (6-9)",B3745&lt;=15,"Midday (10-15)",B3745&lt;=19,"Evening peak (16-19)",TRUE,"Late evening (20-23)")</f>
        <v>Late evening (20-23)</v>
      </c>
    </row>
    <row r="3746" spans="1:9">
      <c r="A3746" s="32">
        <v>41886</v>
      </c>
      <c r="B3746">
        <v>0</v>
      </c>
      <c r="C3746">
        <v>492</v>
      </c>
      <c r="D3746" t="s">
        <v>303</v>
      </c>
      <c r="E3746">
        <f>YEAR(A3746)</f>
        <v>2014</v>
      </c>
      <c r="F3746" s="33">
        <f>DATE(YEAR(A3746),MONTH(A3746),1)</f>
        <v>41883.0</v>
      </c>
      <c r="G3746" t="str">
        <f>CHOOSE(WEEKDAY(A3746,2),"Mon","Tue","Wed","Thu","Fri","Sat","Sun")</f>
        <v>Thu</v>
      </c>
      <c r="H3746" t="str">
        <f>IF(WEEKDAY(A3746,2)&gt;5,"Weekend","Weekday")</f>
        <v>Weekday</v>
      </c>
      <c r="I3746" t="str">
        <f>_xlfn.IFS(B3746&lt;=5,"Night (0-5)",B3746&lt;=9,"Morning peak (6-9)",B3746&lt;=15,"Midday (10-15)",B3746&lt;=19,"Evening peak (16-19)",TRUE,"Late evening (20-23)")</f>
        <v>Night (0-5)</v>
      </c>
    </row>
    <row r="3747" spans="1:9">
      <c r="A3747" s="32">
        <v>41886</v>
      </c>
      <c r="B3747">
        <v>1</v>
      </c>
      <c r="C3747">
        <v>266</v>
      </c>
      <c r="D3747" t="s">
        <v>303</v>
      </c>
      <c r="E3747">
        <f>YEAR(A3747)</f>
        <v>2014</v>
      </c>
      <c r="F3747" s="33">
        <f>DATE(YEAR(A3747),MONTH(A3747),1)</f>
        <v>41883.0</v>
      </c>
      <c r="G3747" t="str">
        <f>CHOOSE(WEEKDAY(A3747,2),"Mon","Tue","Wed","Thu","Fri","Sat","Sun")</f>
        <v>Thu</v>
      </c>
      <c r="H3747" t="str">
        <f>IF(WEEKDAY(A3747,2)&gt;5,"Weekend","Weekday")</f>
        <v>Weekday</v>
      </c>
      <c r="I3747" t="str">
        <f>_xlfn.IFS(B3747&lt;=5,"Night (0-5)",B3747&lt;=9,"Morning peak (6-9)",B3747&lt;=15,"Midday (10-15)",B3747&lt;=19,"Evening peak (16-19)",TRUE,"Late evening (20-23)")</f>
        <v>Night (0-5)</v>
      </c>
    </row>
    <row r="3748" spans="1:9">
      <c r="A3748" s="32">
        <v>41886</v>
      </c>
      <c r="B3748">
        <v>2</v>
      </c>
      <c r="C3748">
        <v>180</v>
      </c>
      <c r="D3748" t="s">
        <v>303</v>
      </c>
      <c r="E3748">
        <f>YEAR(A3748)</f>
        <v>2014</v>
      </c>
      <c r="F3748" s="33">
        <f>DATE(YEAR(A3748),MONTH(A3748),1)</f>
        <v>41883.0</v>
      </c>
      <c r="G3748" t="str">
        <f>CHOOSE(WEEKDAY(A3748,2),"Mon","Tue","Wed","Thu","Fri","Sat","Sun")</f>
        <v>Thu</v>
      </c>
      <c r="H3748" t="str">
        <f>IF(WEEKDAY(A3748,2)&gt;5,"Weekend","Weekday")</f>
        <v>Weekday</v>
      </c>
      <c r="I3748" t="str">
        <f>_xlfn.IFS(B3748&lt;=5,"Night (0-5)",B3748&lt;=9,"Morning peak (6-9)",B3748&lt;=15,"Midday (10-15)",B3748&lt;=19,"Evening peak (16-19)",TRUE,"Late evening (20-23)")</f>
        <v>Night (0-5)</v>
      </c>
    </row>
    <row r="3749" spans="1:9">
      <c r="A3749" s="32">
        <v>41886</v>
      </c>
      <c r="B3749">
        <v>3</v>
      </c>
      <c r="C3749">
        <v>247</v>
      </c>
      <c r="D3749" t="s">
        <v>303</v>
      </c>
      <c r="E3749">
        <f>YEAR(A3749)</f>
        <v>2014</v>
      </c>
      <c r="F3749" s="33">
        <f>DATE(YEAR(A3749),MONTH(A3749),1)</f>
        <v>41883.0</v>
      </c>
      <c r="G3749" t="str">
        <f>CHOOSE(WEEKDAY(A3749,2),"Mon","Tue","Wed","Thu","Fri","Sat","Sun")</f>
        <v>Thu</v>
      </c>
      <c r="H3749" t="str">
        <f>IF(WEEKDAY(A3749,2)&gt;5,"Weekend","Weekday")</f>
        <v>Weekday</v>
      </c>
      <c r="I3749" t="str">
        <f>_xlfn.IFS(B3749&lt;=5,"Night (0-5)",B3749&lt;=9,"Morning peak (6-9)",B3749&lt;=15,"Midday (10-15)",B3749&lt;=19,"Evening peak (16-19)",TRUE,"Late evening (20-23)")</f>
        <v>Night (0-5)</v>
      </c>
    </row>
    <row r="3750" spans="1:9">
      <c r="A3750" s="32">
        <v>41886</v>
      </c>
      <c r="B3750">
        <v>4</v>
      </c>
      <c r="C3750">
        <v>384</v>
      </c>
      <c r="D3750" t="s">
        <v>303</v>
      </c>
      <c r="E3750">
        <f>YEAR(A3750)</f>
        <v>2014</v>
      </c>
      <c r="F3750" s="33">
        <f>DATE(YEAR(A3750),MONTH(A3750),1)</f>
        <v>41883.0</v>
      </c>
      <c r="G3750" t="str">
        <f>CHOOSE(WEEKDAY(A3750,2),"Mon","Tue","Wed","Thu","Fri","Sat","Sun")</f>
        <v>Thu</v>
      </c>
      <c r="H3750" t="str">
        <f>IF(WEEKDAY(A3750,2)&gt;5,"Weekend","Weekday")</f>
        <v>Weekday</v>
      </c>
      <c r="I3750" t="str">
        <f>_xlfn.IFS(B3750&lt;=5,"Night (0-5)",B3750&lt;=9,"Morning peak (6-9)",B3750&lt;=15,"Midday (10-15)",B3750&lt;=19,"Evening peak (16-19)",TRUE,"Late evening (20-23)")</f>
        <v>Night (0-5)</v>
      </c>
    </row>
    <row r="3751" spans="1:9">
      <c r="A3751" s="32">
        <v>41886</v>
      </c>
      <c r="B3751">
        <v>5</v>
      </c>
      <c r="C3751">
        <v>760</v>
      </c>
      <c r="D3751" t="s">
        <v>303</v>
      </c>
      <c r="E3751">
        <f>YEAR(A3751)</f>
        <v>2014</v>
      </c>
      <c r="F3751" s="33">
        <f>DATE(YEAR(A3751),MONTH(A3751),1)</f>
        <v>41883.0</v>
      </c>
      <c r="G3751" t="str">
        <f>CHOOSE(WEEKDAY(A3751,2),"Mon","Tue","Wed","Thu","Fri","Sat","Sun")</f>
        <v>Thu</v>
      </c>
      <c r="H3751" t="str">
        <f>IF(WEEKDAY(A3751,2)&gt;5,"Weekend","Weekday")</f>
        <v>Weekday</v>
      </c>
      <c r="I3751" t="str">
        <f>_xlfn.IFS(B3751&lt;=5,"Night (0-5)",B3751&lt;=9,"Morning peak (6-9)",B3751&lt;=15,"Midday (10-15)",B3751&lt;=19,"Evening peak (16-19)",TRUE,"Late evening (20-23)")</f>
        <v>Night (0-5)</v>
      </c>
    </row>
    <row r="3752" spans="1:9">
      <c r="A3752" s="32">
        <v>41886</v>
      </c>
      <c r="B3752">
        <v>6</v>
      </c>
      <c r="C3752">
        <v>1368</v>
      </c>
      <c r="D3752" t="s">
        <v>303</v>
      </c>
      <c r="E3752">
        <f>YEAR(A3752)</f>
        <v>2014</v>
      </c>
      <c r="F3752" s="33">
        <f>DATE(YEAR(A3752),MONTH(A3752),1)</f>
        <v>41883.0</v>
      </c>
      <c r="G3752" t="str">
        <f>CHOOSE(WEEKDAY(A3752,2),"Mon","Tue","Wed","Thu","Fri","Sat","Sun")</f>
        <v>Thu</v>
      </c>
      <c r="H3752" t="str">
        <f>IF(WEEKDAY(A3752,2)&gt;5,"Weekend","Weekday")</f>
        <v>Weekday</v>
      </c>
      <c r="I3752" t="str">
        <f>_xlfn.IFS(B3752&lt;=5,"Night (0-5)",B3752&lt;=9,"Morning peak (6-9)",B3752&lt;=15,"Midday (10-15)",B3752&lt;=19,"Evening peak (16-19)",TRUE,"Late evening (20-23)")</f>
        <v>Morning peak (6-9)</v>
      </c>
    </row>
    <row r="3753" spans="1:9">
      <c r="A3753" s="32">
        <v>41886</v>
      </c>
      <c r="B3753">
        <v>7</v>
      </c>
      <c r="C3753">
        <v>1753</v>
      </c>
      <c r="D3753" t="s">
        <v>303</v>
      </c>
      <c r="E3753">
        <f>YEAR(A3753)</f>
        <v>2014</v>
      </c>
      <c r="F3753" s="33">
        <f>DATE(YEAR(A3753),MONTH(A3753),1)</f>
        <v>41883.0</v>
      </c>
      <c r="G3753" t="str">
        <f>CHOOSE(WEEKDAY(A3753,2),"Mon","Tue","Wed","Thu","Fri","Sat","Sun")</f>
        <v>Thu</v>
      </c>
      <c r="H3753" t="str">
        <f>IF(WEEKDAY(A3753,2)&gt;5,"Weekend","Weekday")</f>
        <v>Weekday</v>
      </c>
      <c r="I3753" t="str">
        <f>_xlfn.IFS(B3753&lt;=5,"Night (0-5)",B3753&lt;=9,"Morning peak (6-9)",B3753&lt;=15,"Midday (10-15)",B3753&lt;=19,"Evening peak (16-19)",TRUE,"Late evening (20-23)")</f>
        <v>Morning peak (6-9)</v>
      </c>
    </row>
    <row r="3754" spans="1:9">
      <c r="A3754" s="32">
        <v>41886</v>
      </c>
      <c r="B3754">
        <v>8</v>
      </c>
      <c r="C3754">
        <v>1801</v>
      </c>
      <c r="D3754" t="s">
        <v>303</v>
      </c>
      <c r="E3754">
        <f>YEAR(A3754)</f>
        <v>2014</v>
      </c>
      <c r="F3754" s="33">
        <f>DATE(YEAR(A3754),MONTH(A3754),1)</f>
        <v>41883.0</v>
      </c>
      <c r="G3754" t="str">
        <f>CHOOSE(WEEKDAY(A3754,2),"Mon","Tue","Wed","Thu","Fri","Sat","Sun")</f>
        <v>Thu</v>
      </c>
      <c r="H3754" t="str">
        <f>IF(WEEKDAY(A3754,2)&gt;5,"Weekend","Weekday")</f>
        <v>Weekday</v>
      </c>
      <c r="I3754" t="str">
        <f>_xlfn.IFS(B3754&lt;=5,"Night (0-5)",B3754&lt;=9,"Morning peak (6-9)",B3754&lt;=15,"Midday (10-15)",B3754&lt;=19,"Evening peak (16-19)",TRUE,"Late evening (20-23)")</f>
        <v>Morning peak (6-9)</v>
      </c>
    </row>
    <row r="3755" spans="1:9">
      <c r="A3755" s="32">
        <v>41886</v>
      </c>
      <c r="B3755">
        <v>9</v>
      </c>
      <c r="C3755">
        <v>1455</v>
      </c>
      <c r="D3755" t="s">
        <v>303</v>
      </c>
      <c r="E3755">
        <f>YEAR(A3755)</f>
        <v>2014</v>
      </c>
      <c r="F3755" s="33">
        <f>DATE(YEAR(A3755),MONTH(A3755),1)</f>
        <v>41883.0</v>
      </c>
      <c r="G3755" t="str">
        <f>CHOOSE(WEEKDAY(A3755,2),"Mon","Tue","Wed","Thu","Fri","Sat","Sun")</f>
        <v>Thu</v>
      </c>
      <c r="H3755" t="str">
        <f>IF(WEEKDAY(A3755,2)&gt;5,"Weekend","Weekday")</f>
        <v>Weekday</v>
      </c>
      <c r="I3755" t="str">
        <f>_xlfn.IFS(B3755&lt;=5,"Night (0-5)",B3755&lt;=9,"Morning peak (6-9)",B3755&lt;=15,"Midday (10-15)",B3755&lt;=19,"Evening peak (16-19)",TRUE,"Late evening (20-23)")</f>
        <v>Morning peak (6-9)</v>
      </c>
    </row>
    <row r="3756" spans="1:9">
      <c r="A3756" s="32">
        <v>41886</v>
      </c>
      <c r="B3756">
        <v>10</v>
      </c>
      <c r="C3756">
        <v>1384</v>
      </c>
      <c r="D3756" t="s">
        <v>303</v>
      </c>
      <c r="E3756">
        <f>YEAR(A3756)</f>
        <v>2014</v>
      </c>
      <c r="F3756" s="33">
        <f>DATE(YEAR(A3756),MONTH(A3756),1)</f>
        <v>41883.0</v>
      </c>
      <c r="G3756" t="str">
        <f>CHOOSE(WEEKDAY(A3756,2),"Mon","Tue","Wed","Thu","Fri","Sat","Sun")</f>
        <v>Thu</v>
      </c>
      <c r="H3756" t="str">
        <f>IF(WEEKDAY(A3756,2)&gt;5,"Weekend","Weekday")</f>
        <v>Weekday</v>
      </c>
      <c r="I3756" t="str">
        <f>_xlfn.IFS(B3756&lt;=5,"Night (0-5)",B3756&lt;=9,"Morning peak (6-9)",B3756&lt;=15,"Midday (10-15)",B3756&lt;=19,"Evening peak (16-19)",TRUE,"Late evening (20-23)")</f>
        <v>Midday (10-15)</v>
      </c>
    </row>
    <row r="3757" spans="1:9">
      <c r="A3757" s="32">
        <v>41886</v>
      </c>
      <c r="B3757">
        <v>11</v>
      </c>
      <c r="C3757">
        <v>1399</v>
      </c>
      <c r="D3757" t="s">
        <v>303</v>
      </c>
      <c r="E3757">
        <f>YEAR(A3757)</f>
        <v>2014</v>
      </c>
      <c r="F3757" s="33">
        <f>DATE(YEAR(A3757),MONTH(A3757),1)</f>
        <v>41883.0</v>
      </c>
      <c r="G3757" t="str">
        <f>CHOOSE(WEEKDAY(A3757,2),"Mon","Tue","Wed","Thu","Fri","Sat","Sun")</f>
        <v>Thu</v>
      </c>
      <c r="H3757" t="str">
        <f>IF(WEEKDAY(A3757,2)&gt;5,"Weekend","Weekday")</f>
        <v>Weekday</v>
      </c>
      <c r="I3757" t="str">
        <f>_xlfn.IFS(B3757&lt;=5,"Night (0-5)",B3757&lt;=9,"Morning peak (6-9)",B3757&lt;=15,"Midday (10-15)",B3757&lt;=19,"Evening peak (16-19)",TRUE,"Late evening (20-23)")</f>
        <v>Midday (10-15)</v>
      </c>
    </row>
    <row r="3758" spans="1:9">
      <c r="A3758" s="32">
        <v>41886</v>
      </c>
      <c r="B3758">
        <v>12</v>
      </c>
      <c r="C3758">
        <v>1422</v>
      </c>
      <c r="D3758" t="s">
        <v>303</v>
      </c>
      <c r="E3758">
        <f>YEAR(A3758)</f>
        <v>2014</v>
      </c>
      <c r="F3758" s="33">
        <f>DATE(YEAR(A3758),MONTH(A3758),1)</f>
        <v>41883.0</v>
      </c>
      <c r="G3758" t="str">
        <f>CHOOSE(WEEKDAY(A3758,2),"Mon","Tue","Wed","Thu","Fri","Sat","Sun")</f>
        <v>Thu</v>
      </c>
      <c r="H3758" t="str">
        <f>IF(WEEKDAY(A3758,2)&gt;5,"Weekend","Weekday")</f>
        <v>Weekday</v>
      </c>
      <c r="I3758" t="str">
        <f>_xlfn.IFS(B3758&lt;=5,"Night (0-5)",B3758&lt;=9,"Morning peak (6-9)",B3758&lt;=15,"Midday (10-15)",B3758&lt;=19,"Evening peak (16-19)",TRUE,"Late evening (20-23)")</f>
        <v>Midday (10-15)</v>
      </c>
    </row>
    <row r="3759" spans="1:9">
      <c r="A3759" s="32">
        <v>41886</v>
      </c>
      <c r="B3759">
        <v>13</v>
      </c>
      <c r="C3759">
        <v>1552</v>
      </c>
      <c r="D3759" t="s">
        <v>303</v>
      </c>
      <c r="E3759">
        <f>YEAR(A3759)</f>
        <v>2014</v>
      </c>
      <c r="F3759" s="33">
        <f>DATE(YEAR(A3759),MONTH(A3759),1)</f>
        <v>41883.0</v>
      </c>
      <c r="G3759" t="str">
        <f>CHOOSE(WEEKDAY(A3759,2),"Mon","Tue","Wed","Thu","Fri","Sat","Sun")</f>
        <v>Thu</v>
      </c>
      <c r="H3759" t="str">
        <f>IF(WEEKDAY(A3759,2)&gt;5,"Weekend","Weekday")</f>
        <v>Weekday</v>
      </c>
      <c r="I3759" t="str">
        <f>_xlfn.IFS(B3759&lt;=5,"Night (0-5)",B3759&lt;=9,"Morning peak (6-9)",B3759&lt;=15,"Midday (10-15)",B3759&lt;=19,"Evening peak (16-19)",TRUE,"Late evening (20-23)")</f>
        <v>Midday (10-15)</v>
      </c>
    </row>
    <row r="3760" spans="1:9">
      <c r="A3760" s="32">
        <v>41886</v>
      </c>
      <c r="B3760">
        <v>14</v>
      </c>
      <c r="C3760">
        <v>1874</v>
      </c>
      <c r="D3760" t="s">
        <v>303</v>
      </c>
      <c r="E3760">
        <f>YEAR(A3760)</f>
        <v>2014</v>
      </c>
      <c r="F3760" s="33">
        <f>DATE(YEAR(A3760),MONTH(A3760),1)</f>
        <v>41883.0</v>
      </c>
      <c r="G3760" t="str">
        <f>CHOOSE(WEEKDAY(A3760,2),"Mon","Tue","Wed","Thu","Fri","Sat","Sun")</f>
        <v>Thu</v>
      </c>
      <c r="H3760" t="str">
        <f>IF(WEEKDAY(A3760,2)&gt;5,"Weekend","Weekday")</f>
        <v>Weekday</v>
      </c>
      <c r="I3760" t="str">
        <f>_xlfn.IFS(B3760&lt;=5,"Night (0-5)",B3760&lt;=9,"Morning peak (6-9)",B3760&lt;=15,"Midday (10-15)",B3760&lt;=19,"Evening peak (16-19)",TRUE,"Late evening (20-23)")</f>
        <v>Midday (10-15)</v>
      </c>
    </row>
    <row r="3761" spans="1:9">
      <c r="A3761" s="32">
        <v>41886</v>
      </c>
      <c r="B3761">
        <v>15</v>
      </c>
      <c r="C3761">
        <v>2346</v>
      </c>
      <c r="D3761" t="s">
        <v>303</v>
      </c>
      <c r="E3761">
        <f>YEAR(A3761)</f>
        <v>2014</v>
      </c>
      <c r="F3761" s="33">
        <f>DATE(YEAR(A3761),MONTH(A3761),1)</f>
        <v>41883.0</v>
      </c>
      <c r="G3761" t="str">
        <f>CHOOSE(WEEKDAY(A3761,2),"Mon","Tue","Wed","Thu","Fri","Sat","Sun")</f>
        <v>Thu</v>
      </c>
      <c r="H3761" t="str">
        <f>IF(WEEKDAY(A3761,2)&gt;5,"Weekend","Weekday")</f>
        <v>Weekday</v>
      </c>
      <c r="I3761" t="str">
        <f>_xlfn.IFS(B3761&lt;=5,"Night (0-5)",B3761&lt;=9,"Morning peak (6-9)",B3761&lt;=15,"Midday (10-15)",B3761&lt;=19,"Evening peak (16-19)",TRUE,"Late evening (20-23)")</f>
        <v>Midday (10-15)</v>
      </c>
    </row>
    <row r="3762" spans="1:9">
      <c r="A3762" s="32">
        <v>41886</v>
      </c>
      <c r="B3762">
        <v>16</v>
      </c>
      <c r="C3762">
        <v>2493</v>
      </c>
      <c r="D3762" t="s">
        <v>303</v>
      </c>
      <c r="E3762">
        <f>YEAR(A3762)</f>
        <v>2014</v>
      </c>
      <c r="F3762" s="33">
        <f>DATE(YEAR(A3762),MONTH(A3762),1)</f>
        <v>41883.0</v>
      </c>
      <c r="G3762" t="str">
        <f>CHOOSE(WEEKDAY(A3762,2),"Mon","Tue","Wed","Thu","Fri","Sat","Sun")</f>
        <v>Thu</v>
      </c>
      <c r="H3762" t="str">
        <f>IF(WEEKDAY(A3762,2)&gt;5,"Weekend","Weekday")</f>
        <v>Weekday</v>
      </c>
      <c r="I3762" t="str">
        <f>_xlfn.IFS(B3762&lt;=5,"Night (0-5)",B3762&lt;=9,"Morning peak (6-9)",B3762&lt;=15,"Midday (10-15)",B3762&lt;=19,"Evening peak (16-19)",TRUE,"Late evening (20-23)")</f>
        <v>Evening peak (16-19)</v>
      </c>
    </row>
    <row r="3763" spans="1:9">
      <c r="A3763" s="32">
        <v>41886</v>
      </c>
      <c r="B3763">
        <v>17</v>
      </c>
      <c r="C3763">
        <v>2735</v>
      </c>
      <c r="D3763" t="s">
        <v>303</v>
      </c>
      <c r="E3763">
        <f>YEAR(A3763)</f>
        <v>2014</v>
      </c>
      <c r="F3763" s="33">
        <f>DATE(YEAR(A3763),MONTH(A3763),1)</f>
        <v>41883.0</v>
      </c>
      <c r="G3763" t="str">
        <f>CHOOSE(WEEKDAY(A3763,2),"Mon","Tue","Wed","Thu","Fri","Sat","Sun")</f>
        <v>Thu</v>
      </c>
      <c r="H3763" t="str">
        <f>IF(WEEKDAY(A3763,2)&gt;5,"Weekend","Weekday")</f>
        <v>Weekday</v>
      </c>
      <c r="I3763" t="str">
        <f>_xlfn.IFS(B3763&lt;=5,"Night (0-5)",B3763&lt;=9,"Morning peak (6-9)",B3763&lt;=15,"Midday (10-15)",B3763&lt;=19,"Evening peak (16-19)",TRUE,"Late evening (20-23)")</f>
        <v>Evening peak (16-19)</v>
      </c>
    </row>
    <row r="3764" spans="1:9">
      <c r="A3764" s="32">
        <v>41886</v>
      </c>
      <c r="B3764">
        <v>18</v>
      </c>
      <c r="C3764">
        <v>3087</v>
      </c>
      <c r="D3764" t="s">
        <v>303</v>
      </c>
      <c r="E3764">
        <f>YEAR(A3764)</f>
        <v>2014</v>
      </c>
      <c r="F3764" s="33">
        <f>DATE(YEAR(A3764),MONTH(A3764),1)</f>
        <v>41883.0</v>
      </c>
      <c r="G3764" t="str">
        <f>CHOOSE(WEEKDAY(A3764,2),"Mon","Tue","Wed","Thu","Fri","Sat","Sun")</f>
        <v>Thu</v>
      </c>
      <c r="H3764" t="str">
        <f>IF(WEEKDAY(A3764,2)&gt;5,"Weekend","Weekday")</f>
        <v>Weekday</v>
      </c>
      <c r="I3764" t="str">
        <f>_xlfn.IFS(B3764&lt;=5,"Night (0-5)",B3764&lt;=9,"Morning peak (6-9)",B3764&lt;=15,"Midday (10-15)",B3764&lt;=19,"Evening peak (16-19)",TRUE,"Late evening (20-23)")</f>
        <v>Evening peak (16-19)</v>
      </c>
    </row>
    <row r="3765" spans="1:9">
      <c r="A3765" s="32">
        <v>41886</v>
      </c>
      <c r="B3765">
        <v>19</v>
      </c>
      <c r="C3765">
        <v>2808</v>
      </c>
      <c r="D3765" t="s">
        <v>303</v>
      </c>
      <c r="E3765">
        <f>YEAR(A3765)</f>
        <v>2014</v>
      </c>
      <c r="F3765" s="33">
        <f>DATE(YEAR(A3765),MONTH(A3765),1)</f>
        <v>41883.0</v>
      </c>
      <c r="G3765" t="str">
        <f>CHOOSE(WEEKDAY(A3765,2),"Mon","Tue","Wed","Thu","Fri","Sat","Sun")</f>
        <v>Thu</v>
      </c>
      <c r="H3765" t="str">
        <f>IF(WEEKDAY(A3765,2)&gt;5,"Weekend","Weekday")</f>
        <v>Weekday</v>
      </c>
      <c r="I3765" t="str">
        <f>_xlfn.IFS(B3765&lt;=5,"Night (0-5)",B3765&lt;=9,"Morning peak (6-9)",B3765&lt;=15,"Midday (10-15)",B3765&lt;=19,"Evening peak (16-19)",TRUE,"Late evening (20-23)")</f>
        <v>Evening peak (16-19)</v>
      </c>
    </row>
    <row r="3766" spans="1:9">
      <c r="A3766" s="32">
        <v>41886</v>
      </c>
      <c r="B3766">
        <v>20</v>
      </c>
      <c r="C3766">
        <v>2617</v>
      </c>
      <c r="D3766" t="s">
        <v>303</v>
      </c>
      <c r="E3766">
        <f>YEAR(A3766)</f>
        <v>2014</v>
      </c>
      <c r="F3766" s="33">
        <f>DATE(YEAR(A3766),MONTH(A3766),1)</f>
        <v>41883.0</v>
      </c>
      <c r="G3766" t="str">
        <f>CHOOSE(WEEKDAY(A3766,2),"Mon","Tue","Wed","Thu","Fri","Sat","Sun")</f>
        <v>Thu</v>
      </c>
      <c r="H3766" t="str">
        <f>IF(WEEKDAY(A3766,2)&gt;5,"Weekend","Weekday")</f>
        <v>Weekday</v>
      </c>
      <c r="I3766" t="str">
        <f>_xlfn.IFS(B3766&lt;=5,"Night (0-5)",B3766&lt;=9,"Morning peak (6-9)",B3766&lt;=15,"Midday (10-15)",B3766&lt;=19,"Evening peak (16-19)",TRUE,"Late evening (20-23)")</f>
        <v>Late evening (20-23)</v>
      </c>
    </row>
    <row r="3767" spans="1:9">
      <c r="A3767" s="32">
        <v>41886</v>
      </c>
      <c r="B3767">
        <v>21</v>
      </c>
      <c r="C3767">
        <v>2446</v>
      </c>
      <c r="D3767" t="s">
        <v>303</v>
      </c>
      <c r="E3767">
        <f>YEAR(A3767)</f>
        <v>2014</v>
      </c>
      <c r="F3767" s="33">
        <f>DATE(YEAR(A3767),MONTH(A3767),1)</f>
        <v>41883.0</v>
      </c>
      <c r="G3767" t="str">
        <f>CHOOSE(WEEKDAY(A3767,2),"Mon","Tue","Wed","Thu","Fri","Sat","Sun")</f>
        <v>Thu</v>
      </c>
      <c r="H3767" t="str">
        <f>IF(WEEKDAY(A3767,2)&gt;5,"Weekend","Weekday")</f>
        <v>Weekday</v>
      </c>
      <c r="I3767" t="str">
        <f>_xlfn.IFS(B3767&lt;=5,"Night (0-5)",B3767&lt;=9,"Morning peak (6-9)",B3767&lt;=15,"Midday (10-15)",B3767&lt;=19,"Evening peak (16-19)",TRUE,"Late evening (20-23)")</f>
        <v>Late evening (20-23)</v>
      </c>
    </row>
    <row r="3768" spans="1:9">
      <c r="A3768" s="32">
        <v>41886</v>
      </c>
      <c r="B3768">
        <v>22</v>
      </c>
      <c r="C3768">
        <v>2074</v>
      </c>
      <c r="D3768" t="s">
        <v>303</v>
      </c>
      <c r="E3768">
        <f>YEAR(A3768)</f>
        <v>2014</v>
      </c>
      <c r="F3768" s="33">
        <f>DATE(YEAR(A3768),MONTH(A3768),1)</f>
        <v>41883.0</v>
      </c>
      <c r="G3768" t="str">
        <f>CHOOSE(WEEKDAY(A3768,2),"Mon","Tue","Wed","Thu","Fri","Sat","Sun")</f>
        <v>Thu</v>
      </c>
      <c r="H3768" t="str">
        <f>IF(WEEKDAY(A3768,2)&gt;5,"Weekend","Weekday")</f>
        <v>Weekday</v>
      </c>
      <c r="I3768" t="str">
        <f>_xlfn.IFS(B3768&lt;=5,"Night (0-5)",B3768&lt;=9,"Morning peak (6-9)",B3768&lt;=15,"Midday (10-15)",B3768&lt;=19,"Evening peak (16-19)",TRUE,"Late evening (20-23)")</f>
        <v>Late evening (20-23)</v>
      </c>
    </row>
    <row r="3769" spans="1:9">
      <c r="A3769" s="32">
        <v>41886</v>
      </c>
      <c r="B3769">
        <v>23</v>
      </c>
      <c r="C3769">
        <v>1417</v>
      </c>
      <c r="D3769" t="s">
        <v>303</v>
      </c>
      <c r="E3769">
        <f>YEAR(A3769)</f>
        <v>2014</v>
      </c>
      <c r="F3769" s="33">
        <f>DATE(YEAR(A3769),MONTH(A3769),1)</f>
        <v>41883.0</v>
      </c>
      <c r="G3769" t="str">
        <f>CHOOSE(WEEKDAY(A3769,2),"Mon","Tue","Wed","Thu","Fri","Sat","Sun")</f>
        <v>Thu</v>
      </c>
      <c r="H3769" t="str">
        <f>IF(WEEKDAY(A3769,2)&gt;5,"Weekend","Weekday")</f>
        <v>Weekday</v>
      </c>
      <c r="I3769" t="str">
        <f>_xlfn.IFS(B3769&lt;=5,"Night (0-5)",B3769&lt;=9,"Morning peak (6-9)",B3769&lt;=15,"Midday (10-15)",B3769&lt;=19,"Evening peak (16-19)",TRUE,"Late evening (20-23)")</f>
        <v>Late evening (20-23)</v>
      </c>
    </row>
    <row r="3770" spans="1:9">
      <c r="A3770" s="32">
        <v>41887</v>
      </c>
      <c r="B3770">
        <v>0</v>
      </c>
      <c r="C3770">
        <v>651</v>
      </c>
      <c r="D3770" t="s">
        <v>303</v>
      </c>
      <c r="E3770">
        <f>YEAR(A3770)</f>
        <v>2014</v>
      </c>
      <c r="F3770" s="33">
        <f>DATE(YEAR(A3770),MONTH(A3770),1)</f>
        <v>41883.0</v>
      </c>
      <c r="G3770" t="str">
        <f>CHOOSE(WEEKDAY(A3770,2),"Mon","Tue","Wed","Thu","Fri","Sat","Sun")</f>
        <v>Fri</v>
      </c>
      <c r="H3770" t="str">
        <f>IF(WEEKDAY(A3770,2)&gt;5,"Weekend","Weekday")</f>
        <v>Weekday</v>
      </c>
      <c r="I3770" t="str">
        <f>_xlfn.IFS(B3770&lt;=5,"Night (0-5)",B3770&lt;=9,"Morning peak (6-9)",B3770&lt;=15,"Midday (10-15)",B3770&lt;=19,"Evening peak (16-19)",TRUE,"Late evening (20-23)")</f>
        <v>Night (0-5)</v>
      </c>
    </row>
    <row r="3771" spans="1:9">
      <c r="A3771" s="32">
        <v>41887</v>
      </c>
      <c r="B3771">
        <v>1</v>
      </c>
      <c r="C3771">
        <v>362</v>
      </c>
      <c r="D3771" t="s">
        <v>303</v>
      </c>
      <c r="E3771">
        <f>YEAR(A3771)</f>
        <v>2014</v>
      </c>
      <c r="F3771" s="33">
        <f>DATE(YEAR(A3771),MONTH(A3771),1)</f>
        <v>41883.0</v>
      </c>
      <c r="G3771" t="str">
        <f>CHOOSE(WEEKDAY(A3771,2),"Mon","Tue","Wed","Thu","Fri","Sat","Sun")</f>
        <v>Fri</v>
      </c>
      <c r="H3771" t="str">
        <f>IF(WEEKDAY(A3771,2)&gt;5,"Weekend","Weekday")</f>
        <v>Weekday</v>
      </c>
      <c r="I3771" t="str">
        <f>_xlfn.IFS(B3771&lt;=5,"Night (0-5)",B3771&lt;=9,"Morning peak (6-9)",B3771&lt;=15,"Midday (10-15)",B3771&lt;=19,"Evening peak (16-19)",TRUE,"Late evening (20-23)")</f>
        <v>Night (0-5)</v>
      </c>
    </row>
    <row r="3772" spans="1:9">
      <c r="A3772" s="32">
        <v>41887</v>
      </c>
      <c r="B3772">
        <v>2</v>
      </c>
      <c r="C3772">
        <v>233</v>
      </c>
      <c r="D3772" t="s">
        <v>303</v>
      </c>
      <c r="E3772">
        <f>YEAR(A3772)</f>
        <v>2014</v>
      </c>
      <c r="F3772" s="33">
        <f>DATE(YEAR(A3772),MONTH(A3772),1)</f>
        <v>41883.0</v>
      </c>
      <c r="G3772" t="str">
        <f>CHOOSE(WEEKDAY(A3772,2),"Mon","Tue","Wed","Thu","Fri","Sat","Sun")</f>
        <v>Fri</v>
      </c>
      <c r="H3772" t="str">
        <f>IF(WEEKDAY(A3772,2)&gt;5,"Weekend","Weekday")</f>
        <v>Weekday</v>
      </c>
      <c r="I3772" t="str">
        <f>_xlfn.IFS(B3772&lt;=5,"Night (0-5)",B3772&lt;=9,"Morning peak (6-9)",B3772&lt;=15,"Midday (10-15)",B3772&lt;=19,"Evening peak (16-19)",TRUE,"Late evening (20-23)")</f>
        <v>Night (0-5)</v>
      </c>
    </row>
    <row r="3773" spans="1:9">
      <c r="A3773" s="32">
        <v>41887</v>
      </c>
      <c r="B3773">
        <v>3</v>
      </c>
      <c r="C3773">
        <v>303</v>
      </c>
      <c r="D3773" t="s">
        <v>303</v>
      </c>
      <c r="E3773">
        <f>YEAR(A3773)</f>
        <v>2014</v>
      </c>
      <c r="F3773" s="33">
        <f>DATE(YEAR(A3773),MONTH(A3773),1)</f>
        <v>41883.0</v>
      </c>
      <c r="G3773" t="str">
        <f>CHOOSE(WEEKDAY(A3773,2),"Mon","Tue","Wed","Thu","Fri","Sat","Sun")</f>
        <v>Fri</v>
      </c>
      <c r="H3773" t="str">
        <f>IF(WEEKDAY(A3773,2)&gt;5,"Weekend","Weekday")</f>
        <v>Weekday</v>
      </c>
      <c r="I3773" t="str">
        <f>_xlfn.IFS(B3773&lt;=5,"Night (0-5)",B3773&lt;=9,"Morning peak (6-9)",B3773&lt;=15,"Midday (10-15)",B3773&lt;=19,"Evening peak (16-19)",TRUE,"Late evening (20-23)")</f>
        <v>Night (0-5)</v>
      </c>
    </row>
    <row r="3774" spans="1:9">
      <c r="A3774" s="32">
        <v>41887</v>
      </c>
      <c r="B3774">
        <v>4</v>
      </c>
      <c r="C3774">
        <v>468</v>
      </c>
      <c r="D3774" t="s">
        <v>303</v>
      </c>
      <c r="E3774">
        <f>YEAR(A3774)</f>
        <v>2014</v>
      </c>
      <c r="F3774" s="33">
        <f>DATE(YEAR(A3774),MONTH(A3774),1)</f>
        <v>41883.0</v>
      </c>
      <c r="G3774" t="str">
        <f>CHOOSE(WEEKDAY(A3774,2),"Mon","Tue","Wed","Thu","Fri","Sat","Sun")</f>
        <v>Fri</v>
      </c>
      <c r="H3774" t="str">
        <f>IF(WEEKDAY(A3774,2)&gt;5,"Weekend","Weekday")</f>
        <v>Weekday</v>
      </c>
      <c r="I3774" t="str">
        <f>_xlfn.IFS(B3774&lt;=5,"Night (0-5)",B3774&lt;=9,"Morning peak (6-9)",B3774&lt;=15,"Midday (10-15)",B3774&lt;=19,"Evening peak (16-19)",TRUE,"Late evening (20-23)")</f>
        <v>Night (0-5)</v>
      </c>
    </row>
    <row r="3775" spans="1:9">
      <c r="A3775" s="32">
        <v>41887</v>
      </c>
      <c r="B3775">
        <v>5</v>
      </c>
      <c r="C3775">
        <v>827</v>
      </c>
      <c r="D3775" t="s">
        <v>303</v>
      </c>
      <c r="E3775">
        <f>YEAR(A3775)</f>
        <v>2014</v>
      </c>
      <c r="F3775" s="33">
        <f>DATE(YEAR(A3775),MONTH(A3775),1)</f>
        <v>41883.0</v>
      </c>
      <c r="G3775" t="str">
        <f>CHOOSE(WEEKDAY(A3775,2),"Mon","Tue","Wed","Thu","Fri","Sat","Sun")</f>
        <v>Fri</v>
      </c>
      <c r="H3775" t="str">
        <f>IF(WEEKDAY(A3775,2)&gt;5,"Weekend","Weekday")</f>
        <v>Weekday</v>
      </c>
      <c r="I3775" t="str">
        <f>_xlfn.IFS(B3775&lt;=5,"Night (0-5)",B3775&lt;=9,"Morning peak (6-9)",B3775&lt;=15,"Midday (10-15)",B3775&lt;=19,"Evening peak (16-19)",TRUE,"Late evening (20-23)")</f>
        <v>Night (0-5)</v>
      </c>
    </row>
    <row r="3776" spans="1:9">
      <c r="A3776" s="32">
        <v>41887</v>
      </c>
      <c r="B3776">
        <v>6</v>
      </c>
      <c r="C3776">
        <v>1333</v>
      </c>
      <c r="D3776" t="s">
        <v>303</v>
      </c>
      <c r="E3776">
        <f>YEAR(A3776)</f>
        <v>2014</v>
      </c>
      <c r="F3776" s="33">
        <f>DATE(YEAR(A3776),MONTH(A3776),1)</f>
        <v>41883.0</v>
      </c>
      <c r="G3776" t="str">
        <f>CHOOSE(WEEKDAY(A3776,2),"Mon","Tue","Wed","Thu","Fri","Sat","Sun")</f>
        <v>Fri</v>
      </c>
      <c r="H3776" t="str">
        <f>IF(WEEKDAY(A3776,2)&gt;5,"Weekend","Weekday")</f>
        <v>Weekday</v>
      </c>
      <c r="I3776" t="str">
        <f>_xlfn.IFS(B3776&lt;=5,"Night (0-5)",B3776&lt;=9,"Morning peak (6-9)",B3776&lt;=15,"Midday (10-15)",B3776&lt;=19,"Evening peak (16-19)",TRUE,"Late evening (20-23)")</f>
        <v>Morning peak (6-9)</v>
      </c>
    </row>
    <row r="3777" spans="1:9">
      <c r="A3777" s="32">
        <v>41887</v>
      </c>
      <c r="B3777">
        <v>7</v>
      </c>
      <c r="C3777">
        <v>1707</v>
      </c>
      <c r="D3777" t="s">
        <v>303</v>
      </c>
      <c r="E3777">
        <f>YEAR(A3777)</f>
        <v>2014</v>
      </c>
      <c r="F3777" s="33">
        <f>DATE(YEAR(A3777),MONTH(A3777),1)</f>
        <v>41883.0</v>
      </c>
      <c r="G3777" t="str">
        <f>CHOOSE(WEEKDAY(A3777,2),"Mon","Tue","Wed","Thu","Fri","Sat","Sun")</f>
        <v>Fri</v>
      </c>
      <c r="H3777" t="str">
        <f>IF(WEEKDAY(A3777,2)&gt;5,"Weekend","Weekday")</f>
        <v>Weekday</v>
      </c>
      <c r="I3777" t="str">
        <f>_xlfn.IFS(B3777&lt;=5,"Night (0-5)",B3777&lt;=9,"Morning peak (6-9)",B3777&lt;=15,"Midday (10-15)",B3777&lt;=19,"Evening peak (16-19)",TRUE,"Late evening (20-23)")</f>
        <v>Morning peak (6-9)</v>
      </c>
    </row>
    <row r="3778" spans="1:9">
      <c r="A3778" s="32">
        <v>41887</v>
      </c>
      <c r="B3778">
        <v>8</v>
      </c>
      <c r="C3778">
        <v>1859</v>
      </c>
      <c r="D3778" t="s">
        <v>303</v>
      </c>
      <c r="E3778">
        <f>YEAR(A3778)</f>
        <v>2014</v>
      </c>
      <c r="F3778" s="33">
        <f>DATE(YEAR(A3778),MONTH(A3778),1)</f>
        <v>41883.0</v>
      </c>
      <c r="G3778" t="str">
        <f>CHOOSE(WEEKDAY(A3778,2),"Mon","Tue","Wed","Thu","Fri","Sat","Sun")</f>
        <v>Fri</v>
      </c>
      <c r="H3778" t="str">
        <f>IF(WEEKDAY(A3778,2)&gt;5,"Weekend","Weekday")</f>
        <v>Weekday</v>
      </c>
      <c r="I3778" t="str">
        <f>_xlfn.IFS(B3778&lt;=5,"Night (0-5)",B3778&lt;=9,"Morning peak (6-9)",B3778&lt;=15,"Midday (10-15)",B3778&lt;=19,"Evening peak (16-19)",TRUE,"Late evening (20-23)")</f>
        <v>Morning peak (6-9)</v>
      </c>
    </row>
    <row r="3779" spans="1:9">
      <c r="A3779" s="32">
        <v>41887</v>
      </c>
      <c r="B3779">
        <v>9</v>
      </c>
      <c r="C3779">
        <v>1609</v>
      </c>
      <c r="D3779" t="s">
        <v>303</v>
      </c>
      <c r="E3779">
        <f>YEAR(A3779)</f>
        <v>2014</v>
      </c>
      <c r="F3779" s="33">
        <f>DATE(YEAR(A3779),MONTH(A3779),1)</f>
        <v>41883.0</v>
      </c>
      <c r="G3779" t="str">
        <f>CHOOSE(WEEKDAY(A3779,2),"Mon","Tue","Wed","Thu","Fri","Sat","Sun")</f>
        <v>Fri</v>
      </c>
      <c r="H3779" t="str">
        <f>IF(WEEKDAY(A3779,2)&gt;5,"Weekend","Weekday")</f>
        <v>Weekday</v>
      </c>
      <c r="I3779" t="str">
        <f>_xlfn.IFS(B3779&lt;=5,"Night (0-5)",B3779&lt;=9,"Morning peak (6-9)",B3779&lt;=15,"Midday (10-15)",B3779&lt;=19,"Evening peak (16-19)",TRUE,"Late evening (20-23)")</f>
        <v>Morning peak (6-9)</v>
      </c>
    </row>
    <row r="3780" spans="1:9">
      <c r="A3780" s="32">
        <v>41887</v>
      </c>
      <c r="B3780">
        <v>10</v>
      </c>
      <c r="C3780">
        <v>1485</v>
      </c>
      <c r="D3780" t="s">
        <v>303</v>
      </c>
      <c r="E3780">
        <f>YEAR(A3780)</f>
        <v>2014</v>
      </c>
      <c r="F3780" s="33">
        <f>DATE(YEAR(A3780),MONTH(A3780),1)</f>
        <v>41883.0</v>
      </c>
      <c r="G3780" t="str">
        <f>CHOOSE(WEEKDAY(A3780,2),"Mon","Tue","Wed","Thu","Fri","Sat","Sun")</f>
        <v>Fri</v>
      </c>
      <c r="H3780" t="str">
        <f>IF(WEEKDAY(A3780,2)&gt;5,"Weekend","Weekday")</f>
        <v>Weekday</v>
      </c>
      <c r="I3780" t="str">
        <f>_xlfn.IFS(B3780&lt;=5,"Night (0-5)",B3780&lt;=9,"Morning peak (6-9)",B3780&lt;=15,"Midday (10-15)",B3780&lt;=19,"Evening peak (16-19)",TRUE,"Late evening (20-23)")</f>
        <v>Midday (10-15)</v>
      </c>
    </row>
    <row r="3781" spans="1:9">
      <c r="A3781" s="32">
        <v>41887</v>
      </c>
      <c r="B3781">
        <v>11</v>
      </c>
      <c r="C3781">
        <v>1432</v>
      </c>
      <c r="D3781" t="s">
        <v>303</v>
      </c>
      <c r="E3781">
        <f>YEAR(A3781)</f>
        <v>2014</v>
      </c>
      <c r="F3781" s="33">
        <f>DATE(YEAR(A3781),MONTH(A3781),1)</f>
        <v>41883.0</v>
      </c>
      <c r="G3781" t="str">
        <f>CHOOSE(WEEKDAY(A3781,2),"Mon","Tue","Wed","Thu","Fri","Sat","Sun")</f>
        <v>Fri</v>
      </c>
      <c r="H3781" t="str">
        <f>IF(WEEKDAY(A3781,2)&gt;5,"Weekend","Weekday")</f>
        <v>Weekday</v>
      </c>
      <c r="I3781" t="str">
        <f>_xlfn.IFS(B3781&lt;=5,"Night (0-5)",B3781&lt;=9,"Morning peak (6-9)",B3781&lt;=15,"Midday (10-15)",B3781&lt;=19,"Evening peak (16-19)",TRUE,"Late evening (20-23)")</f>
        <v>Midday (10-15)</v>
      </c>
    </row>
    <row r="3782" spans="1:9">
      <c r="A3782" s="32">
        <v>41887</v>
      </c>
      <c r="B3782">
        <v>12</v>
      </c>
      <c r="C3782">
        <v>1445</v>
      </c>
      <c r="D3782" t="s">
        <v>303</v>
      </c>
      <c r="E3782">
        <f>YEAR(A3782)</f>
        <v>2014</v>
      </c>
      <c r="F3782" s="33">
        <f>DATE(YEAR(A3782),MONTH(A3782),1)</f>
        <v>41883.0</v>
      </c>
      <c r="G3782" t="str">
        <f>CHOOSE(WEEKDAY(A3782,2),"Mon","Tue","Wed","Thu","Fri","Sat","Sun")</f>
        <v>Fri</v>
      </c>
      <c r="H3782" t="str">
        <f>IF(WEEKDAY(A3782,2)&gt;5,"Weekend","Weekday")</f>
        <v>Weekday</v>
      </c>
      <c r="I3782" t="str">
        <f>_xlfn.IFS(B3782&lt;=5,"Night (0-5)",B3782&lt;=9,"Morning peak (6-9)",B3782&lt;=15,"Midday (10-15)",B3782&lt;=19,"Evening peak (16-19)",TRUE,"Late evening (20-23)")</f>
        <v>Midday (10-15)</v>
      </c>
    </row>
    <row r="3783" spans="1:9">
      <c r="A3783" s="32">
        <v>41887</v>
      </c>
      <c r="B3783">
        <v>13</v>
      </c>
      <c r="C3783">
        <v>1713</v>
      </c>
      <c r="D3783" t="s">
        <v>303</v>
      </c>
      <c r="E3783">
        <f>YEAR(A3783)</f>
        <v>2014</v>
      </c>
      <c r="F3783" s="33">
        <f>DATE(YEAR(A3783),MONTH(A3783),1)</f>
        <v>41883.0</v>
      </c>
      <c r="G3783" t="str">
        <f>CHOOSE(WEEKDAY(A3783,2),"Mon","Tue","Wed","Thu","Fri","Sat","Sun")</f>
        <v>Fri</v>
      </c>
      <c r="H3783" t="str">
        <f>IF(WEEKDAY(A3783,2)&gt;5,"Weekend","Weekday")</f>
        <v>Weekday</v>
      </c>
      <c r="I3783" t="str">
        <f>_xlfn.IFS(B3783&lt;=5,"Night (0-5)",B3783&lt;=9,"Morning peak (6-9)",B3783&lt;=15,"Midday (10-15)",B3783&lt;=19,"Evening peak (16-19)",TRUE,"Late evening (20-23)")</f>
        <v>Midday (10-15)</v>
      </c>
    </row>
    <row r="3784" spans="1:9">
      <c r="A3784" s="32">
        <v>41887</v>
      </c>
      <c r="B3784">
        <v>14</v>
      </c>
      <c r="C3784">
        <v>2057</v>
      </c>
      <c r="D3784" t="s">
        <v>303</v>
      </c>
      <c r="E3784">
        <f>YEAR(A3784)</f>
        <v>2014</v>
      </c>
      <c r="F3784" s="33">
        <f>DATE(YEAR(A3784),MONTH(A3784),1)</f>
        <v>41883.0</v>
      </c>
      <c r="G3784" t="str">
        <f>CHOOSE(WEEKDAY(A3784,2),"Mon","Tue","Wed","Thu","Fri","Sat","Sun")</f>
        <v>Fri</v>
      </c>
      <c r="H3784" t="str">
        <f>IF(WEEKDAY(A3784,2)&gt;5,"Weekend","Weekday")</f>
        <v>Weekday</v>
      </c>
      <c r="I3784" t="str">
        <f>_xlfn.IFS(B3784&lt;=5,"Night (0-5)",B3784&lt;=9,"Morning peak (6-9)",B3784&lt;=15,"Midday (10-15)",B3784&lt;=19,"Evening peak (16-19)",TRUE,"Late evening (20-23)")</f>
        <v>Midday (10-15)</v>
      </c>
    </row>
    <row r="3785" spans="1:9">
      <c r="A3785" s="32">
        <v>41887</v>
      </c>
      <c r="B3785">
        <v>15</v>
      </c>
      <c r="C3785">
        <v>2323</v>
      </c>
      <c r="D3785" t="s">
        <v>303</v>
      </c>
      <c r="E3785">
        <f>YEAR(A3785)</f>
        <v>2014</v>
      </c>
      <c r="F3785" s="33">
        <f>DATE(YEAR(A3785),MONTH(A3785),1)</f>
        <v>41883.0</v>
      </c>
      <c r="G3785" t="str">
        <f>CHOOSE(WEEKDAY(A3785,2),"Mon","Tue","Wed","Thu","Fri","Sat","Sun")</f>
        <v>Fri</v>
      </c>
      <c r="H3785" t="str">
        <f>IF(WEEKDAY(A3785,2)&gt;5,"Weekend","Weekday")</f>
        <v>Weekday</v>
      </c>
      <c r="I3785" t="str">
        <f>_xlfn.IFS(B3785&lt;=5,"Night (0-5)",B3785&lt;=9,"Morning peak (6-9)",B3785&lt;=15,"Midday (10-15)",B3785&lt;=19,"Evening peak (16-19)",TRUE,"Late evening (20-23)")</f>
        <v>Midday (10-15)</v>
      </c>
    </row>
    <row r="3786" spans="1:9">
      <c r="A3786" s="32">
        <v>41887</v>
      </c>
      <c r="B3786">
        <v>16</v>
      </c>
      <c r="C3786">
        <v>2655</v>
      </c>
      <c r="D3786" t="s">
        <v>303</v>
      </c>
      <c r="E3786">
        <f>YEAR(A3786)</f>
        <v>2014</v>
      </c>
      <c r="F3786" s="33">
        <f>DATE(YEAR(A3786),MONTH(A3786),1)</f>
        <v>41883.0</v>
      </c>
      <c r="G3786" t="str">
        <f>CHOOSE(WEEKDAY(A3786,2),"Mon","Tue","Wed","Thu","Fri","Sat","Sun")</f>
        <v>Fri</v>
      </c>
      <c r="H3786" t="str">
        <f>IF(WEEKDAY(A3786,2)&gt;5,"Weekend","Weekday")</f>
        <v>Weekday</v>
      </c>
      <c r="I3786" t="str">
        <f>_xlfn.IFS(B3786&lt;=5,"Night (0-5)",B3786&lt;=9,"Morning peak (6-9)",B3786&lt;=15,"Midday (10-15)",B3786&lt;=19,"Evening peak (16-19)",TRUE,"Late evening (20-23)")</f>
        <v>Evening peak (16-19)</v>
      </c>
    </row>
    <row r="3787" spans="1:9">
      <c r="A3787" s="32">
        <v>41887</v>
      </c>
      <c r="B3787">
        <v>17</v>
      </c>
      <c r="C3787">
        <v>2961</v>
      </c>
      <c r="D3787" t="s">
        <v>303</v>
      </c>
      <c r="E3787">
        <f>YEAR(A3787)</f>
        <v>2014</v>
      </c>
      <c r="F3787" s="33">
        <f>DATE(YEAR(A3787),MONTH(A3787),1)</f>
        <v>41883.0</v>
      </c>
      <c r="G3787" t="str">
        <f>CHOOSE(WEEKDAY(A3787,2),"Mon","Tue","Wed","Thu","Fri","Sat","Sun")</f>
        <v>Fri</v>
      </c>
      <c r="H3787" t="str">
        <f>IF(WEEKDAY(A3787,2)&gt;5,"Weekend","Weekday")</f>
        <v>Weekday</v>
      </c>
      <c r="I3787" t="str">
        <f>_xlfn.IFS(B3787&lt;=5,"Night (0-5)",B3787&lt;=9,"Morning peak (6-9)",B3787&lt;=15,"Midday (10-15)",B3787&lt;=19,"Evening peak (16-19)",TRUE,"Late evening (20-23)")</f>
        <v>Evening peak (16-19)</v>
      </c>
    </row>
    <row r="3788" spans="1:9">
      <c r="A3788" s="32">
        <v>41887</v>
      </c>
      <c r="B3788">
        <v>18</v>
      </c>
      <c r="C3788">
        <v>3151</v>
      </c>
      <c r="D3788" t="s">
        <v>303</v>
      </c>
      <c r="E3788">
        <f>YEAR(A3788)</f>
        <v>2014</v>
      </c>
      <c r="F3788" s="33">
        <f>DATE(YEAR(A3788),MONTH(A3788),1)</f>
        <v>41883.0</v>
      </c>
      <c r="G3788" t="str">
        <f>CHOOSE(WEEKDAY(A3788,2),"Mon","Tue","Wed","Thu","Fri","Sat","Sun")</f>
        <v>Fri</v>
      </c>
      <c r="H3788" t="str">
        <f>IF(WEEKDAY(A3788,2)&gt;5,"Weekend","Weekday")</f>
        <v>Weekday</v>
      </c>
      <c r="I3788" t="str">
        <f>_xlfn.IFS(B3788&lt;=5,"Night (0-5)",B3788&lt;=9,"Morning peak (6-9)",B3788&lt;=15,"Midday (10-15)",B3788&lt;=19,"Evening peak (16-19)",TRUE,"Late evening (20-23)")</f>
        <v>Evening peak (16-19)</v>
      </c>
    </row>
    <row r="3789" spans="1:9">
      <c r="A3789" s="32">
        <v>41887</v>
      </c>
      <c r="B3789">
        <v>19</v>
      </c>
      <c r="C3789">
        <v>3157</v>
      </c>
      <c r="D3789" t="s">
        <v>303</v>
      </c>
      <c r="E3789">
        <f>YEAR(A3789)</f>
        <v>2014</v>
      </c>
      <c r="F3789" s="33">
        <f>DATE(YEAR(A3789),MONTH(A3789),1)</f>
        <v>41883.0</v>
      </c>
      <c r="G3789" t="str">
        <f>CHOOSE(WEEKDAY(A3789,2),"Mon","Tue","Wed","Thu","Fri","Sat","Sun")</f>
        <v>Fri</v>
      </c>
      <c r="H3789" t="str">
        <f>IF(WEEKDAY(A3789,2)&gt;5,"Weekend","Weekday")</f>
        <v>Weekday</v>
      </c>
      <c r="I3789" t="str">
        <f>_xlfn.IFS(B3789&lt;=5,"Night (0-5)",B3789&lt;=9,"Morning peak (6-9)",B3789&lt;=15,"Midday (10-15)",B3789&lt;=19,"Evening peak (16-19)",TRUE,"Late evening (20-23)")</f>
        <v>Evening peak (16-19)</v>
      </c>
    </row>
    <row r="3790" spans="1:9">
      <c r="A3790" s="32">
        <v>41887</v>
      </c>
      <c r="B3790">
        <v>20</v>
      </c>
      <c r="C3790">
        <v>2738</v>
      </c>
      <c r="D3790" t="s">
        <v>303</v>
      </c>
      <c r="E3790">
        <f>YEAR(A3790)</f>
        <v>2014</v>
      </c>
      <c r="F3790" s="33">
        <f>DATE(YEAR(A3790),MONTH(A3790),1)</f>
        <v>41883.0</v>
      </c>
      <c r="G3790" t="str">
        <f>CHOOSE(WEEKDAY(A3790,2),"Mon","Tue","Wed","Thu","Fri","Sat","Sun")</f>
        <v>Fri</v>
      </c>
      <c r="H3790" t="str">
        <f>IF(WEEKDAY(A3790,2)&gt;5,"Weekend","Weekday")</f>
        <v>Weekday</v>
      </c>
      <c r="I3790" t="str">
        <f>_xlfn.IFS(B3790&lt;=5,"Night (0-5)",B3790&lt;=9,"Morning peak (6-9)",B3790&lt;=15,"Midday (10-15)",B3790&lt;=19,"Evening peak (16-19)",TRUE,"Late evening (20-23)")</f>
        <v>Late evening (20-23)</v>
      </c>
    </row>
    <row r="3791" spans="1:9">
      <c r="A3791" s="32">
        <v>41887</v>
      </c>
      <c r="B3791">
        <v>21</v>
      </c>
      <c r="C3791">
        <v>2793</v>
      </c>
      <c r="D3791" t="s">
        <v>303</v>
      </c>
      <c r="E3791">
        <f>YEAR(A3791)</f>
        <v>2014</v>
      </c>
      <c r="F3791" s="33">
        <f>DATE(YEAR(A3791),MONTH(A3791),1)</f>
        <v>41883.0</v>
      </c>
      <c r="G3791" t="str">
        <f>CHOOSE(WEEKDAY(A3791,2),"Mon","Tue","Wed","Thu","Fri","Sat","Sun")</f>
        <v>Fri</v>
      </c>
      <c r="H3791" t="str">
        <f>IF(WEEKDAY(A3791,2)&gt;5,"Weekend","Weekday")</f>
        <v>Weekday</v>
      </c>
      <c r="I3791" t="str">
        <f>_xlfn.IFS(B3791&lt;=5,"Night (0-5)",B3791&lt;=9,"Morning peak (6-9)",B3791&lt;=15,"Midday (10-15)",B3791&lt;=19,"Evening peak (16-19)",TRUE,"Late evening (20-23)")</f>
        <v>Late evening (20-23)</v>
      </c>
    </row>
    <row r="3792" spans="1:9">
      <c r="A3792" s="32">
        <v>41887</v>
      </c>
      <c r="B3792">
        <v>22</v>
      </c>
      <c r="C3792">
        <v>2763</v>
      </c>
      <c r="D3792" t="s">
        <v>303</v>
      </c>
      <c r="E3792">
        <f>YEAR(A3792)</f>
        <v>2014</v>
      </c>
      <c r="F3792" s="33">
        <f>DATE(YEAR(A3792),MONTH(A3792),1)</f>
        <v>41883.0</v>
      </c>
      <c r="G3792" t="str">
        <f>CHOOSE(WEEKDAY(A3792,2),"Mon","Tue","Wed","Thu","Fri","Sat","Sun")</f>
        <v>Fri</v>
      </c>
      <c r="H3792" t="str">
        <f>IF(WEEKDAY(A3792,2)&gt;5,"Weekend","Weekday")</f>
        <v>Weekday</v>
      </c>
      <c r="I3792" t="str">
        <f>_xlfn.IFS(B3792&lt;=5,"Night (0-5)",B3792&lt;=9,"Morning peak (6-9)",B3792&lt;=15,"Midday (10-15)",B3792&lt;=19,"Evening peak (16-19)",TRUE,"Late evening (20-23)")</f>
        <v>Late evening (20-23)</v>
      </c>
    </row>
    <row r="3793" spans="1:9">
      <c r="A3793" s="32">
        <v>41887</v>
      </c>
      <c r="B3793">
        <v>23</v>
      </c>
      <c r="C3793">
        <v>2294</v>
      </c>
      <c r="D3793" t="s">
        <v>303</v>
      </c>
      <c r="E3793">
        <f>YEAR(A3793)</f>
        <v>2014</v>
      </c>
      <c r="F3793" s="33">
        <f>DATE(YEAR(A3793),MONTH(A3793),1)</f>
        <v>41883.0</v>
      </c>
      <c r="G3793" t="str">
        <f>CHOOSE(WEEKDAY(A3793,2),"Mon","Tue","Wed","Thu","Fri","Sat","Sun")</f>
        <v>Fri</v>
      </c>
      <c r="H3793" t="str">
        <f>IF(WEEKDAY(A3793,2)&gt;5,"Weekend","Weekday")</f>
        <v>Weekday</v>
      </c>
      <c r="I3793" t="str">
        <f>_xlfn.IFS(B3793&lt;=5,"Night (0-5)",B3793&lt;=9,"Morning peak (6-9)",B3793&lt;=15,"Midday (10-15)",B3793&lt;=19,"Evening peak (16-19)",TRUE,"Late evening (20-23)")</f>
        <v>Late evening (20-23)</v>
      </c>
    </row>
    <row r="3794" spans="1:9">
      <c r="A3794" s="32">
        <v>41888</v>
      </c>
      <c r="B3794">
        <v>0</v>
      </c>
      <c r="C3794">
        <v>1706</v>
      </c>
      <c r="D3794" t="s">
        <v>303</v>
      </c>
      <c r="E3794">
        <f>YEAR(A3794)</f>
        <v>2014</v>
      </c>
      <c r="F3794" s="33">
        <f>DATE(YEAR(A3794),MONTH(A3794),1)</f>
        <v>41883.0</v>
      </c>
      <c r="G3794" t="str">
        <f>CHOOSE(WEEKDAY(A3794,2),"Mon","Tue","Wed","Thu","Fri","Sat","Sun")</f>
        <v>Sat</v>
      </c>
      <c r="H3794" t="str">
        <f>IF(WEEKDAY(A3794,2)&gt;5,"Weekend","Weekday")</f>
        <v>Weekend</v>
      </c>
      <c r="I3794" t="str">
        <f>_xlfn.IFS(B3794&lt;=5,"Night (0-5)",B3794&lt;=9,"Morning peak (6-9)",B3794&lt;=15,"Midday (10-15)",B3794&lt;=19,"Evening peak (16-19)",TRUE,"Late evening (20-23)")</f>
        <v>Night (0-5)</v>
      </c>
    </row>
    <row r="3795" spans="1:9">
      <c r="A3795" s="32">
        <v>41888</v>
      </c>
      <c r="B3795">
        <v>1</v>
      </c>
      <c r="C3795">
        <v>1122</v>
      </c>
      <c r="D3795" t="s">
        <v>303</v>
      </c>
      <c r="E3795">
        <f>YEAR(A3795)</f>
        <v>2014</v>
      </c>
      <c r="F3795" s="33">
        <f>DATE(YEAR(A3795),MONTH(A3795),1)</f>
        <v>41883.0</v>
      </c>
      <c r="G3795" t="str">
        <f>CHOOSE(WEEKDAY(A3795,2),"Mon","Tue","Wed","Thu","Fri","Sat","Sun")</f>
        <v>Sat</v>
      </c>
      <c r="H3795" t="str">
        <f>IF(WEEKDAY(A3795,2)&gt;5,"Weekend","Weekday")</f>
        <v>Weekend</v>
      </c>
      <c r="I3795" t="str">
        <f>_xlfn.IFS(B3795&lt;=5,"Night (0-5)",B3795&lt;=9,"Morning peak (6-9)",B3795&lt;=15,"Midday (10-15)",B3795&lt;=19,"Evening peak (16-19)",TRUE,"Late evening (20-23)")</f>
        <v>Night (0-5)</v>
      </c>
    </row>
    <row r="3796" spans="1:9">
      <c r="A3796" s="32">
        <v>41888</v>
      </c>
      <c r="B3796">
        <v>2</v>
      </c>
      <c r="C3796">
        <v>706</v>
      </c>
      <c r="D3796" t="s">
        <v>303</v>
      </c>
      <c r="E3796">
        <f>YEAR(A3796)</f>
        <v>2014</v>
      </c>
      <c r="F3796" s="33">
        <f>DATE(YEAR(A3796),MONTH(A3796),1)</f>
        <v>41883.0</v>
      </c>
      <c r="G3796" t="str">
        <f>CHOOSE(WEEKDAY(A3796,2),"Mon","Tue","Wed","Thu","Fri","Sat","Sun")</f>
        <v>Sat</v>
      </c>
      <c r="H3796" t="str">
        <f>IF(WEEKDAY(A3796,2)&gt;5,"Weekend","Weekday")</f>
        <v>Weekend</v>
      </c>
      <c r="I3796" t="str">
        <f>_xlfn.IFS(B3796&lt;=5,"Night (0-5)",B3796&lt;=9,"Morning peak (6-9)",B3796&lt;=15,"Midday (10-15)",B3796&lt;=19,"Evening peak (16-19)",TRUE,"Late evening (20-23)")</f>
        <v>Night (0-5)</v>
      </c>
    </row>
    <row r="3797" spans="1:9">
      <c r="A3797" s="32">
        <v>41888</v>
      </c>
      <c r="B3797">
        <v>3</v>
      </c>
      <c r="C3797">
        <v>476</v>
      </c>
      <c r="D3797" t="s">
        <v>303</v>
      </c>
      <c r="E3797">
        <f>YEAR(A3797)</f>
        <v>2014</v>
      </c>
      <c r="F3797" s="33">
        <f>DATE(YEAR(A3797),MONTH(A3797),1)</f>
        <v>41883.0</v>
      </c>
      <c r="G3797" t="str">
        <f>CHOOSE(WEEKDAY(A3797,2),"Mon","Tue","Wed","Thu","Fri","Sat","Sun")</f>
        <v>Sat</v>
      </c>
      <c r="H3797" t="str">
        <f>IF(WEEKDAY(A3797,2)&gt;5,"Weekend","Weekday")</f>
        <v>Weekend</v>
      </c>
      <c r="I3797" t="str">
        <f>_xlfn.IFS(B3797&lt;=5,"Night (0-5)",B3797&lt;=9,"Morning peak (6-9)",B3797&lt;=15,"Midday (10-15)",B3797&lt;=19,"Evening peak (16-19)",TRUE,"Late evening (20-23)")</f>
        <v>Night (0-5)</v>
      </c>
    </row>
    <row r="3798" spans="1:9">
      <c r="A3798" s="32">
        <v>41888</v>
      </c>
      <c r="B3798">
        <v>4</v>
      </c>
      <c r="C3798">
        <v>348</v>
      </c>
      <c r="D3798" t="s">
        <v>303</v>
      </c>
      <c r="E3798">
        <f>YEAR(A3798)</f>
        <v>2014</v>
      </c>
      <c r="F3798" s="33">
        <f>DATE(YEAR(A3798),MONTH(A3798),1)</f>
        <v>41883.0</v>
      </c>
      <c r="G3798" t="str">
        <f>CHOOSE(WEEKDAY(A3798,2),"Mon","Tue","Wed","Thu","Fri","Sat","Sun")</f>
        <v>Sat</v>
      </c>
      <c r="H3798" t="str">
        <f>IF(WEEKDAY(A3798,2)&gt;5,"Weekend","Weekday")</f>
        <v>Weekend</v>
      </c>
      <c r="I3798" t="str">
        <f>_xlfn.IFS(B3798&lt;=5,"Night (0-5)",B3798&lt;=9,"Morning peak (6-9)",B3798&lt;=15,"Midday (10-15)",B3798&lt;=19,"Evening peak (16-19)",TRUE,"Late evening (20-23)")</f>
        <v>Night (0-5)</v>
      </c>
    </row>
    <row r="3799" spans="1:9">
      <c r="A3799" s="32">
        <v>41888</v>
      </c>
      <c r="B3799">
        <v>5</v>
      </c>
      <c r="C3799">
        <v>340</v>
      </c>
      <c r="D3799" t="s">
        <v>303</v>
      </c>
      <c r="E3799">
        <f>YEAR(A3799)</f>
        <v>2014</v>
      </c>
      <c r="F3799" s="33">
        <f>DATE(YEAR(A3799),MONTH(A3799),1)</f>
        <v>41883.0</v>
      </c>
      <c r="G3799" t="str">
        <f>CHOOSE(WEEKDAY(A3799,2),"Mon","Tue","Wed","Thu","Fri","Sat","Sun")</f>
        <v>Sat</v>
      </c>
      <c r="H3799" t="str">
        <f>IF(WEEKDAY(A3799,2)&gt;5,"Weekend","Weekday")</f>
        <v>Weekend</v>
      </c>
      <c r="I3799" t="str">
        <f>_xlfn.IFS(B3799&lt;=5,"Night (0-5)",B3799&lt;=9,"Morning peak (6-9)",B3799&lt;=15,"Midday (10-15)",B3799&lt;=19,"Evening peak (16-19)",TRUE,"Late evening (20-23)")</f>
        <v>Night (0-5)</v>
      </c>
    </row>
    <row r="3800" spans="1:9">
      <c r="A3800" s="32">
        <v>41888</v>
      </c>
      <c r="B3800">
        <v>6</v>
      </c>
      <c r="C3800">
        <v>526</v>
      </c>
      <c r="D3800" t="s">
        <v>303</v>
      </c>
      <c r="E3800">
        <f>YEAR(A3800)</f>
        <v>2014</v>
      </c>
      <c r="F3800" s="33">
        <f>DATE(YEAR(A3800),MONTH(A3800),1)</f>
        <v>41883.0</v>
      </c>
      <c r="G3800" t="str">
        <f>CHOOSE(WEEKDAY(A3800,2),"Mon","Tue","Wed","Thu","Fri","Sat","Sun")</f>
        <v>Sat</v>
      </c>
      <c r="H3800" t="str">
        <f>IF(WEEKDAY(A3800,2)&gt;5,"Weekend","Weekday")</f>
        <v>Weekend</v>
      </c>
      <c r="I3800" t="str">
        <f>_xlfn.IFS(B3800&lt;=5,"Night (0-5)",B3800&lt;=9,"Morning peak (6-9)",B3800&lt;=15,"Midday (10-15)",B3800&lt;=19,"Evening peak (16-19)",TRUE,"Late evening (20-23)")</f>
        <v>Morning peak (6-9)</v>
      </c>
    </row>
    <row r="3801" spans="1:9">
      <c r="A3801" s="32">
        <v>41888</v>
      </c>
      <c r="B3801">
        <v>7</v>
      </c>
      <c r="C3801">
        <v>710</v>
      </c>
      <c r="D3801" t="s">
        <v>303</v>
      </c>
      <c r="E3801">
        <f>YEAR(A3801)</f>
        <v>2014</v>
      </c>
      <c r="F3801" s="33">
        <f>DATE(YEAR(A3801),MONTH(A3801),1)</f>
        <v>41883.0</v>
      </c>
      <c r="G3801" t="str">
        <f>CHOOSE(WEEKDAY(A3801,2),"Mon","Tue","Wed","Thu","Fri","Sat","Sun")</f>
        <v>Sat</v>
      </c>
      <c r="H3801" t="str">
        <f>IF(WEEKDAY(A3801,2)&gt;5,"Weekend","Weekday")</f>
        <v>Weekend</v>
      </c>
      <c r="I3801" t="str">
        <f>_xlfn.IFS(B3801&lt;=5,"Night (0-5)",B3801&lt;=9,"Morning peak (6-9)",B3801&lt;=15,"Midday (10-15)",B3801&lt;=19,"Evening peak (16-19)",TRUE,"Late evening (20-23)")</f>
        <v>Morning peak (6-9)</v>
      </c>
    </row>
    <row r="3802" spans="1:9">
      <c r="A3802" s="32">
        <v>41888</v>
      </c>
      <c r="B3802">
        <v>8</v>
      </c>
      <c r="C3802">
        <v>953</v>
      </c>
      <c r="D3802" t="s">
        <v>303</v>
      </c>
      <c r="E3802">
        <f>YEAR(A3802)</f>
        <v>2014</v>
      </c>
      <c r="F3802" s="33">
        <f>DATE(YEAR(A3802),MONTH(A3802),1)</f>
        <v>41883.0</v>
      </c>
      <c r="G3802" t="str">
        <f>CHOOSE(WEEKDAY(A3802,2),"Mon","Tue","Wed","Thu","Fri","Sat","Sun")</f>
        <v>Sat</v>
      </c>
      <c r="H3802" t="str">
        <f>IF(WEEKDAY(A3802,2)&gt;5,"Weekend","Weekday")</f>
        <v>Weekend</v>
      </c>
      <c r="I3802" t="str">
        <f>_xlfn.IFS(B3802&lt;=5,"Night (0-5)",B3802&lt;=9,"Morning peak (6-9)",B3802&lt;=15,"Midday (10-15)",B3802&lt;=19,"Evening peak (16-19)",TRUE,"Late evening (20-23)")</f>
        <v>Morning peak (6-9)</v>
      </c>
    </row>
    <row r="3803" spans="1:9">
      <c r="A3803" s="32">
        <v>41888</v>
      </c>
      <c r="B3803">
        <v>9</v>
      </c>
      <c r="C3803">
        <v>1085</v>
      </c>
      <c r="D3803" t="s">
        <v>303</v>
      </c>
      <c r="E3803">
        <f>YEAR(A3803)</f>
        <v>2014</v>
      </c>
      <c r="F3803" s="33">
        <f>DATE(YEAR(A3803),MONTH(A3803),1)</f>
        <v>41883.0</v>
      </c>
      <c r="G3803" t="str">
        <f>CHOOSE(WEEKDAY(A3803,2),"Mon","Tue","Wed","Thu","Fri","Sat","Sun")</f>
        <v>Sat</v>
      </c>
      <c r="H3803" t="str">
        <f>IF(WEEKDAY(A3803,2)&gt;5,"Weekend","Weekday")</f>
        <v>Weekend</v>
      </c>
      <c r="I3803" t="str">
        <f>_xlfn.IFS(B3803&lt;=5,"Night (0-5)",B3803&lt;=9,"Morning peak (6-9)",B3803&lt;=15,"Midday (10-15)",B3803&lt;=19,"Evening peak (16-19)",TRUE,"Late evening (20-23)")</f>
        <v>Morning peak (6-9)</v>
      </c>
    </row>
    <row r="3804" spans="1:9">
      <c r="A3804" s="32">
        <v>41888</v>
      </c>
      <c r="B3804">
        <v>10</v>
      </c>
      <c r="C3804">
        <v>1286</v>
      </c>
      <c r="D3804" t="s">
        <v>303</v>
      </c>
      <c r="E3804">
        <f>YEAR(A3804)</f>
        <v>2014</v>
      </c>
      <c r="F3804" s="33">
        <f>DATE(YEAR(A3804),MONTH(A3804),1)</f>
        <v>41883.0</v>
      </c>
      <c r="G3804" t="str">
        <f>CHOOSE(WEEKDAY(A3804,2),"Mon","Tue","Wed","Thu","Fri","Sat","Sun")</f>
        <v>Sat</v>
      </c>
      <c r="H3804" t="str">
        <f>IF(WEEKDAY(A3804,2)&gt;5,"Weekend","Weekday")</f>
        <v>Weekend</v>
      </c>
      <c r="I3804" t="str">
        <f>_xlfn.IFS(B3804&lt;=5,"Night (0-5)",B3804&lt;=9,"Morning peak (6-9)",B3804&lt;=15,"Midday (10-15)",B3804&lt;=19,"Evening peak (16-19)",TRUE,"Late evening (20-23)")</f>
        <v>Midday (10-15)</v>
      </c>
    </row>
    <row r="3805" spans="1:9">
      <c r="A3805" s="32">
        <v>41888</v>
      </c>
      <c r="B3805">
        <v>11</v>
      </c>
      <c r="C3805">
        <v>1475</v>
      </c>
      <c r="D3805" t="s">
        <v>303</v>
      </c>
      <c r="E3805">
        <f>YEAR(A3805)</f>
        <v>2014</v>
      </c>
      <c r="F3805" s="33">
        <f>DATE(YEAR(A3805),MONTH(A3805),1)</f>
        <v>41883.0</v>
      </c>
      <c r="G3805" t="str">
        <f>CHOOSE(WEEKDAY(A3805,2),"Mon","Tue","Wed","Thu","Fri","Sat","Sun")</f>
        <v>Sat</v>
      </c>
      <c r="H3805" t="str">
        <f>IF(WEEKDAY(A3805,2)&gt;5,"Weekend","Weekday")</f>
        <v>Weekend</v>
      </c>
      <c r="I3805" t="str">
        <f>_xlfn.IFS(B3805&lt;=5,"Night (0-5)",B3805&lt;=9,"Morning peak (6-9)",B3805&lt;=15,"Midday (10-15)",B3805&lt;=19,"Evening peak (16-19)",TRUE,"Late evening (20-23)")</f>
        <v>Midday (10-15)</v>
      </c>
    </row>
    <row r="3806" spans="1:9">
      <c r="A3806" s="32">
        <v>41888</v>
      </c>
      <c r="B3806">
        <v>12</v>
      </c>
      <c r="C3806">
        <v>1600</v>
      </c>
      <c r="D3806" t="s">
        <v>303</v>
      </c>
      <c r="E3806">
        <f>YEAR(A3806)</f>
        <v>2014</v>
      </c>
      <c r="F3806" s="33">
        <f>DATE(YEAR(A3806),MONTH(A3806),1)</f>
        <v>41883.0</v>
      </c>
      <c r="G3806" t="str">
        <f>CHOOSE(WEEKDAY(A3806,2),"Mon","Tue","Wed","Thu","Fri","Sat","Sun")</f>
        <v>Sat</v>
      </c>
      <c r="H3806" t="str">
        <f>IF(WEEKDAY(A3806,2)&gt;5,"Weekend","Weekday")</f>
        <v>Weekend</v>
      </c>
      <c r="I3806" t="str">
        <f>_xlfn.IFS(B3806&lt;=5,"Night (0-5)",B3806&lt;=9,"Morning peak (6-9)",B3806&lt;=15,"Midday (10-15)",B3806&lt;=19,"Evening peak (16-19)",TRUE,"Late evening (20-23)")</f>
        <v>Midday (10-15)</v>
      </c>
    </row>
    <row r="3807" spans="1:9">
      <c r="A3807" s="32">
        <v>41888</v>
      </c>
      <c r="B3807">
        <v>13</v>
      </c>
      <c r="C3807">
        <v>1871</v>
      </c>
      <c r="D3807" t="s">
        <v>303</v>
      </c>
      <c r="E3807">
        <f>YEAR(A3807)</f>
        <v>2014</v>
      </c>
      <c r="F3807" s="33">
        <f>DATE(YEAR(A3807),MONTH(A3807),1)</f>
        <v>41883.0</v>
      </c>
      <c r="G3807" t="str">
        <f>CHOOSE(WEEKDAY(A3807,2),"Mon","Tue","Wed","Thu","Fri","Sat","Sun")</f>
        <v>Sat</v>
      </c>
      <c r="H3807" t="str">
        <f>IF(WEEKDAY(A3807,2)&gt;5,"Weekend","Weekday")</f>
        <v>Weekend</v>
      </c>
      <c r="I3807" t="str">
        <f>_xlfn.IFS(B3807&lt;=5,"Night (0-5)",B3807&lt;=9,"Morning peak (6-9)",B3807&lt;=15,"Midday (10-15)",B3807&lt;=19,"Evening peak (16-19)",TRUE,"Late evening (20-23)")</f>
        <v>Midday (10-15)</v>
      </c>
    </row>
    <row r="3808" spans="1:9">
      <c r="A3808" s="32">
        <v>41888</v>
      </c>
      <c r="B3808">
        <v>14</v>
      </c>
      <c r="C3808">
        <v>2133</v>
      </c>
      <c r="D3808" t="s">
        <v>303</v>
      </c>
      <c r="E3808">
        <f>YEAR(A3808)</f>
        <v>2014</v>
      </c>
      <c r="F3808" s="33">
        <f>DATE(YEAR(A3808),MONTH(A3808),1)</f>
        <v>41883.0</v>
      </c>
      <c r="G3808" t="str">
        <f>CHOOSE(WEEKDAY(A3808,2),"Mon","Tue","Wed","Thu","Fri","Sat","Sun")</f>
        <v>Sat</v>
      </c>
      <c r="H3808" t="str">
        <f>IF(WEEKDAY(A3808,2)&gt;5,"Weekend","Weekday")</f>
        <v>Weekend</v>
      </c>
      <c r="I3808" t="str">
        <f>_xlfn.IFS(B3808&lt;=5,"Night (0-5)",B3808&lt;=9,"Morning peak (6-9)",B3808&lt;=15,"Midday (10-15)",B3808&lt;=19,"Evening peak (16-19)",TRUE,"Late evening (20-23)")</f>
        <v>Midday (10-15)</v>
      </c>
    </row>
    <row r="3809" spans="1:9">
      <c r="A3809" s="32">
        <v>41888</v>
      </c>
      <c r="B3809">
        <v>15</v>
      </c>
      <c r="C3809">
        <v>2414</v>
      </c>
      <c r="D3809" t="s">
        <v>303</v>
      </c>
      <c r="E3809">
        <f>YEAR(A3809)</f>
        <v>2014</v>
      </c>
      <c r="F3809" s="33">
        <f>DATE(YEAR(A3809),MONTH(A3809),1)</f>
        <v>41883.0</v>
      </c>
      <c r="G3809" t="str">
        <f>CHOOSE(WEEKDAY(A3809,2),"Mon","Tue","Wed","Thu","Fri","Sat","Sun")</f>
        <v>Sat</v>
      </c>
      <c r="H3809" t="str">
        <f>IF(WEEKDAY(A3809,2)&gt;5,"Weekend","Weekday")</f>
        <v>Weekend</v>
      </c>
      <c r="I3809" t="str">
        <f>_xlfn.IFS(B3809&lt;=5,"Night (0-5)",B3809&lt;=9,"Morning peak (6-9)",B3809&lt;=15,"Midday (10-15)",B3809&lt;=19,"Evening peak (16-19)",TRUE,"Late evening (20-23)")</f>
        <v>Midday (10-15)</v>
      </c>
    </row>
    <row r="3810" spans="1:9">
      <c r="A3810" s="32">
        <v>41888</v>
      </c>
      <c r="B3810">
        <v>16</v>
      </c>
      <c r="C3810">
        <v>2579</v>
      </c>
      <c r="D3810" t="s">
        <v>303</v>
      </c>
      <c r="E3810">
        <f>YEAR(A3810)</f>
        <v>2014</v>
      </c>
      <c r="F3810" s="33">
        <f>DATE(YEAR(A3810),MONTH(A3810),1)</f>
        <v>41883.0</v>
      </c>
      <c r="G3810" t="str">
        <f>CHOOSE(WEEKDAY(A3810,2),"Mon","Tue","Wed","Thu","Fri","Sat","Sun")</f>
        <v>Sat</v>
      </c>
      <c r="H3810" t="str">
        <f>IF(WEEKDAY(A3810,2)&gt;5,"Weekend","Weekday")</f>
        <v>Weekend</v>
      </c>
      <c r="I3810" t="str">
        <f>_xlfn.IFS(B3810&lt;=5,"Night (0-5)",B3810&lt;=9,"Morning peak (6-9)",B3810&lt;=15,"Midday (10-15)",B3810&lt;=19,"Evening peak (16-19)",TRUE,"Late evening (20-23)")</f>
        <v>Evening peak (16-19)</v>
      </c>
    </row>
    <row r="3811" spans="1:9">
      <c r="A3811" s="32">
        <v>41888</v>
      </c>
      <c r="B3811">
        <v>17</v>
      </c>
      <c r="C3811">
        <v>2776</v>
      </c>
      <c r="D3811" t="s">
        <v>303</v>
      </c>
      <c r="E3811">
        <f>YEAR(A3811)</f>
        <v>2014</v>
      </c>
      <c r="F3811" s="33">
        <f>DATE(YEAR(A3811),MONTH(A3811),1)</f>
        <v>41883.0</v>
      </c>
      <c r="G3811" t="str">
        <f>CHOOSE(WEEKDAY(A3811,2),"Mon","Tue","Wed","Thu","Fri","Sat","Sun")</f>
        <v>Sat</v>
      </c>
      <c r="H3811" t="str">
        <f>IF(WEEKDAY(A3811,2)&gt;5,"Weekend","Weekday")</f>
        <v>Weekend</v>
      </c>
      <c r="I3811" t="str">
        <f>_xlfn.IFS(B3811&lt;=5,"Night (0-5)",B3811&lt;=9,"Morning peak (6-9)",B3811&lt;=15,"Midday (10-15)",B3811&lt;=19,"Evening peak (16-19)",TRUE,"Late evening (20-23)")</f>
        <v>Evening peak (16-19)</v>
      </c>
    </row>
    <row r="3812" spans="1:9">
      <c r="A3812" s="32">
        <v>41888</v>
      </c>
      <c r="B3812">
        <v>18</v>
      </c>
      <c r="C3812">
        <v>2854</v>
      </c>
      <c r="D3812" t="s">
        <v>303</v>
      </c>
      <c r="E3812">
        <f>YEAR(A3812)</f>
        <v>2014</v>
      </c>
      <c r="F3812" s="33">
        <f>DATE(YEAR(A3812),MONTH(A3812),1)</f>
        <v>41883.0</v>
      </c>
      <c r="G3812" t="str">
        <f>CHOOSE(WEEKDAY(A3812,2),"Mon","Tue","Wed","Thu","Fri","Sat","Sun")</f>
        <v>Sat</v>
      </c>
      <c r="H3812" t="str">
        <f>IF(WEEKDAY(A3812,2)&gt;5,"Weekend","Weekday")</f>
        <v>Weekend</v>
      </c>
      <c r="I3812" t="str">
        <f>_xlfn.IFS(B3812&lt;=5,"Night (0-5)",B3812&lt;=9,"Morning peak (6-9)",B3812&lt;=15,"Midday (10-15)",B3812&lt;=19,"Evening peak (16-19)",TRUE,"Late evening (20-23)")</f>
        <v>Evening peak (16-19)</v>
      </c>
    </row>
    <row r="3813" spans="1:9">
      <c r="A3813" s="32">
        <v>41888</v>
      </c>
      <c r="B3813">
        <v>19</v>
      </c>
      <c r="C3813">
        <v>2742</v>
      </c>
      <c r="D3813" t="s">
        <v>303</v>
      </c>
      <c r="E3813">
        <f>YEAR(A3813)</f>
        <v>2014</v>
      </c>
      <c r="F3813" s="33">
        <f>DATE(YEAR(A3813),MONTH(A3813),1)</f>
        <v>41883.0</v>
      </c>
      <c r="G3813" t="str">
        <f>CHOOSE(WEEKDAY(A3813,2),"Mon","Tue","Wed","Thu","Fri","Sat","Sun")</f>
        <v>Sat</v>
      </c>
      <c r="H3813" t="str">
        <f>IF(WEEKDAY(A3813,2)&gt;5,"Weekend","Weekday")</f>
        <v>Weekend</v>
      </c>
      <c r="I3813" t="str">
        <f>_xlfn.IFS(B3813&lt;=5,"Night (0-5)",B3813&lt;=9,"Morning peak (6-9)",B3813&lt;=15,"Midday (10-15)",B3813&lt;=19,"Evening peak (16-19)",TRUE,"Late evening (20-23)")</f>
        <v>Evening peak (16-19)</v>
      </c>
    </row>
    <row r="3814" spans="1:9">
      <c r="A3814" s="32">
        <v>41888</v>
      </c>
      <c r="B3814">
        <v>20</v>
      </c>
      <c r="C3814">
        <v>2422</v>
      </c>
      <c r="D3814" t="s">
        <v>303</v>
      </c>
      <c r="E3814">
        <f>YEAR(A3814)</f>
        <v>2014</v>
      </c>
      <c r="F3814" s="33">
        <f>DATE(YEAR(A3814),MONTH(A3814),1)</f>
        <v>41883.0</v>
      </c>
      <c r="G3814" t="str">
        <f>CHOOSE(WEEKDAY(A3814,2),"Mon","Tue","Wed","Thu","Fri","Sat","Sun")</f>
        <v>Sat</v>
      </c>
      <c r="H3814" t="str">
        <f>IF(WEEKDAY(A3814,2)&gt;5,"Weekend","Weekday")</f>
        <v>Weekend</v>
      </c>
      <c r="I3814" t="str">
        <f>_xlfn.IFS(B3814&lt;=5,"Night (0-5)",B3814&lt;=9,"Morning peak (6-9)",B3814&lt;=15,"Midday (10-15)",B3814&lt;=19,"Evening peak (16-19)",TRUE,"Late evening (20-23)")</f>
        <v>Late evening (20-23)</v>
      </c>
    </row>
    <row r="3815" spans="1:9">
      <c r="A3815" s="32">
        <v>41888</v>
      </c>
      <c r="B3815">
        <v>21</v>
      </c>
      <c r="C3815">
        <v>2713</v>
      </c>
      <c r="D3815" t="s">
        <v>303</v>
      </c>
      <c r="E3815">
        <f>YEAR(A3815)</f>
        <v>2014</v>
      </c>
      <c r="F3815" s="33">
        <f>DATE(YEAR(A3815),MONTH(A3815),1)</f>
        <v>41883.0</v>
      </c>
      <c r="G3815" t="str">
        <f>CHOOSE(WEEKDAY(A3815,2),"Mon","Tue","Wed","Thu","Fri","Sat","Sun")</f>
        <v>Sat</v>
      </c>
      <c r="H3815" t="str">
        <f>IF(WEEKDAY(A3815,2)&gt;5,"Weekend","Weekday")</f>
        <v>Weekend</v>
      </c>
      <c r="I3815" t="str">
        <f>_xlfn.IFS(B3815&lt;=5,"Night (0-5)",B3815&lt;=9,"Morning peak (6-9)",B3815&lt;=15,"Midday (10-15)",B3815&lt;=19,"Evening peak (16-19)",TRUE,"Late evening (20-23)")</f>
        <v>Late evening (20-23)</v>
      </c>
    </row>
    <row r="3816" spans="1:9">
      <c r="A3816" s="32">
        <v>41888</v>
      </c>
      <c r="B3816">
        <v>22</v>
      </c>
      <c r="C3816">
        <v>3034</v>
      </c>
      <c r="D3816" t="s">
        <v>303</v>
      </c>
      <c r="E3816">
        <f>YEAR(A3816)</f>
        <v>2014</v>
      </c>
      <c r="F3816" s="33">
        <f>DATE(YEAR(A3816),MONTH(A3816),1)</f>
        <v>41883.0</v>
      </c>
      <c r="G3816" t="str">
        <f>CHOOSE(WEEKDAY(A3816,2),"Mon","Tue","Wed","Thu","Fri","Sat","Sun")</f>
        <v>Sat</v>
      </c>
      <c r="H3816" t="str">
        <f>IF(WEEKDAY(A3816,2)&gt;5,"Weekend","Weekday")</f>
        <v>Weekend</v>
      </c>
      <c r="I3816" t="str">
        <f>_xlfn.IFS(B3816&lt;=5,"Night (0-5)",B3816&lt;=9,"Morning peak (6-9)",B3816&lt;=15,"Midday (10-15)",B3816&lt;=19,"Evening peak (16-19)",TRUE,"Late evening (20-23)")</f>
        <v>Late evening (20-23)</v>
      </c>
    </row>
    <row r="3817" spans="1:9">
      <c r="A3817" s="32">
        <v>41888</v>
      </c>
      <c r="B3817">
        <v>23</v>
      </c>
      <c r="C3817">
        <v>2649</v>
      </c>
      <c r="D3817" t="s">
        <v>303</v>
      </c>
      <c r="E3817">
        <f>YEAR(A3817)</f>
        <v>2014</v>
      </c>
      <c r="F3817" s="33">
        <f>DATE(YEAR(A3817),MONTH(A3817),1)</f>
        <v>41883.0</v>
      </c>
      <c r="G3817" t="str">
        <f>CHOOSE(WEEKDAY(A3817,2),"Mon","Tue","Wed","Thu","Fri","Sat","Sun")</f>
        <v>Sat</v>
      </c>
      <c r="H3817" t="str">
        <f>IF(WEEKDAY(A3817,2)&gt;5,"Weekend","Weekday")</f>
        <v>Weekend</v>
      </c>
      <c r="I3817" t="str">
        <f>_xlfn.IFS(B3817&lt;=5,"Night (0-5)",B3817&lt;=9,"Morning peak (6-9)",B3817&lt;=15,"Midday (10-15)",B3817&lt;=19,"Evening peak (16-19)",TRUE,"Late evening (20-23)")</f>
        <v>Late evening (20-23)</v>
      </c>
    </row>
    <row r="3818" spans="1:9">
      <c r="A3818" s="32">
        <v>41889</v>
      </c>
      <c r="B3818">
        <v>0</v>
      </c>
      <c r="C3818">
        <v>1830</v>
      </c>
      <c r="D3818" t="s">
        <v>303</v>
      </c>
      <c r="E3818">
        <f>YEAR(A3818)</f>
        <v>2014</v>
      </c>
      <c r="F3818" s="33">
        <f>DATE(YEAR(A3818),MONTH(A3818),1)</f>
        <v>41883.0</v>
      </c>
      <c r="G3818" t="str">
        <f>CHOOSE(WEEKDAY(A3818,2),"Mon","Tue","Wed","Thu","Fri","Sat","Sun")</f>
        <v>Sun</v>
      </c>
      <c r="H3818" t="str">
        <f>IF(WEEKDAY(A3818,2)&gt;5,"Weekend","Weekday")</f>
        <v>Weekend</v>
      </c>
      <c r="I3818" t="str">
        <f>_xlfn.IFS(B3818&lt;=5,"Night (0-5)",B3818&lt;=9,"Morning peak (6-9)",B3818&lt;=15,"Midday (10-15)",B3818&lt;=19,"Evening peak (16-19)",TRUE,"Late evening (20-23)")</f>
        <v>Night (0-5)</v>
      </c>
    </row>
    <row r="3819" spans="1:9">
      <c r="A3819" s="32">
        <v>41889</v>
      </c>
      <c r="B3819">
        <v>1</v>
      </c>
      <c r="C3819">
        <v>1237</v>
      </c>
      <c r="D3819" t="s">
        <v>303</v>
      </c>
      <c r="E3819">
        <f>YEAR(A3819)</f>
        <v>2014</v>
      </c>
      <c r="F3819" s="33">
        <f>DATE(YEAR(A3819),MONTH(A3819),1)</f>
        <v>41883.0</v>
      </c>
      <c r="G3819" t="str">
        <f>CHOOSE(WEEKDAY(A3819,2),"Mon","Tue","Wed","Thu","Fri","Sat","Sun")</f>
        <v>Sun</v>
      </c>
      <c r="H3819" t="str">
        <f>IF(WEEKDAY(A3819,2)&gt;5,"Weekend","Weekday")</f>
        <v>Weekend</v>
      </c>
      <c r="I3819" t="str">
        <f>_xlfn.IFS(B3819&lt;=5,"Night (0-5)",B3819&lt;=9,"Morning peak (6-9)",B3819&lt;=15,"Midday (10-15)",B3819&lt;=19,"Evening peak (16-19)",TRUE,"Late evening (20-23)")</f>
        <v>Night (0-5)</v>
      </c>
    </row>
    <row r="3820" spans="1:9">
      <c r="A3820" s="32">
        <v>41889</v>
      </c>
      <c r="B3820">
        <v>2</v>
      </c>
      <c r="C3820">
        <v>823</v>
      </c>
      <c r="D3820" t="s">
        <v>303</v>
      </c>
      <c r="E3820">
        <f>YEAR(A3820)</f>
        <v>2014</v>
      </c>
      <c r="F3820" s="33">
        <f>DATE(YEAR(A3820),MONTH(A3820),1)</f>
        <v>41883.0</v>
      </c>
      <c r="G3820" t="str">
        <f>CHOOSE(WEEKDAY(A3820,2),"Mon","Tue","Wed","Thu","Fri","Sat","Sun")</f>
        <v>Sun</v>
      </c>
      <c r="H3820" t="str">
        <f>IF(WEEKDAY(A3820,2)&gt;5,"Weekend","Weekday")</f>
        <v>Weekend</v>
      </c>
      <c r="I3820" t="str">
        <f>_xlfn.IFS(B3820&lt;=5,"Night (0-5)",B3820&lt;=9,"Morning peak (6-9)",B3820&lt;=15,"Midday (10-15)",B3820&lt;=19,"Evening peak (16-19)",TRUE,"Late evening (20-23)")</f>
        <v>Night (0-5)</v>
      </c>
    </row>
    <row r="3821" spans="1:9">
      <c r="A3821" s="32">
        <v>41889</v>
      </c>
      <c r="B3821">
        <v>3</v>
      </c>
      <c r="C3821">
        <v>566</v>
      </c>
      <c r="D3821" t="s">
        <v>303</v>
      </c>
      <c r="E3821">
        <f>YEAR(A3821)</f>
        <v>2014</v>
      </c>
      <c r="F3821" s="33">
        <f>DATE(YEAR(A3821),MONTH(A3821),1)</f>
        <v>41883.0</v>
      </c>
      <c r="G3821" t="str">
        <f>CHOOSE(WEEKDAY(A3821,2),"Mon","Tue","Wed","Thu","Fri","Sat","Sun")</f>
        <v>Sun</v>
      </c>
      <c r="H3821" t="str">
        <f>IF(WEEKDAY(A3821,2)&gt;5,"Weekend","Weekday")</f>
        <v>Weekend</v>
      </c>
      <c r="I3821" t="str">
        <f>_xlfn.IFS(B3821&lt;=5,"Night (0-5)",B3821&lt;=9,"Morning peak (6-9)",B3821&lt;=15,"Midday (10-15)",B3821&lt;=19,"Evening peak (16-19)",TRUE,"Late evening (20-23)")</f>
        <v>Night (0-5)</v>
      </c>
    </row>
    <row r="3822" spans="1:9">
      <c r="A3822" s="32">
        <v>41889</v>
      </c>
      <c r="B3822">
        <v>4</v>
      </c>
      <c r="C3822">
        <v>334</v>
      </c>
      <c r="D3822" t="s">
        <v>303</v>
      </c>
      <c r="E3822">
        <f>YEAR(A3822)</f>
        <v>2014</v>
      </c>
      <c r="F3822" s="33">
        <f>DATE(YEAR(A3822),MONTH(A3822),1)</f>
        <v>41883.0</v>
      </c>
      <c r="G3822" t="str">
        <f>CHOOSE(WEEKDAY(A3822,2),"Mon","Tue","Wed","Thu","Fri","Sat","Sun")</f>
        <v>Sun</v>
      </c>
      <c r="H3822" t="str">
        <f>IF(WEEKDAY(A3822,2)&gt;5,"Weekend","Weekday")</f>
        <v>Weekend</v>
      </c>
      <c r="I3822" t="str">
        <f>_xlfn.IFS(B3822&lt;=5,"Night (0-5)",B3822&lt;=9,"Morning peak (6-9)",B3822&lt;=15,"Midday (10-15)",B3822&lt;=19,"Evening peak (16-19)",TRUE,"Late evening (20-23)")</f>
        <v>Night (0-5)</v>
      </c>
    </row>
    <row r="3823" spans="1:9">
      <c r="A3823" s="32">
        <v>41889</v>
      </c>
      <c r="B3823">
        <v>5</v>
      </c>
      <c r="C3823">
        <v>358</v>
      </c>
      <c r="D3823" t="s">
        <v>303</v>
      </c>
      <c r="E3823">
        <f>YEAR(A3823)</f>
        <v>2014</v>
      </c>
      <c r="F3823" s="33">
        <f>DATE(YEAR(A3823),MONTH(A3823),1)</f>
        <v>41883.0</v>
      </c>
      <c r="G3823" t="str">
        <f>CHOOSE(WEEKDAY(A3823,2),"Mon","Tue","Wed","Thu","Fri","Sat","Sun")</f>
        <v>Sun</v>
      </c>
      <c r="H3823" t="str">
        <f>IF(WEEKDAY(A3823,2)&gt;5,"Weekend","Weekday")</f>
        <v>Weekend</v>
      </c>
      <c r="I3823" t="str">
        <f>_xlfn.IFS(B3823&lt;=5,"Night (0-5)",B3823&lt;=9,"Morning peak (6-9)",B3823&lt;=15,"Midday (10-15)",B3823&lt;=19,"Evening peak (16-19)",TRUE,"Late evening (20-23)")</f>
        <v>Night (0-5)</v>
      </c>
    </row>
    <row r="3824" spans="1:9">
      <c r="A3824" s="32">
        <v>41889</v>
      </c>
      <c r="B3824">
        <v>6</v>
      </c>
      <c r="C3824">
        <v>387</v>
      </c>
      <c r="D3824" t="s">
        <v>303</v>
      </c>
      <c r="E3824">
        <f>YEAR(A3824)</f>
        <v>2014</v>
      </c>
      <c r="F3824" s="33">
        <f>DATE(YEAR(A3824),MONTH(A3824),1)</f>
        <v>41883.0</v>
      </c>
      <c r="G3824" t="str">
        <f>CHOOSE(WEEKDAY(A3824,2),"Mon","Tue","Wed","Thu","Fri","Sat","Sun")</f>
        <v>Sun</v>
      </c>
      <c r="H3824" t="str">
        <f>IF(WEEKDAY(A3824,2)&gt;5,"Weekend","Weekday")</f>
        <v>Weekend</v>
      </c>
      <c r="I3824" t="str">
        <f>_xlfn.IFS(B3824&lt;=5,"Night (0-5)",B3824&lt;=9,"Morning peak (6-9)",B3824&lt;=15,"Midday (10-15)",B3824&lt;=19,"Evening peak (16-19)",TRUE,"Late evening (20-23)")</f>
        <v>Morning peak (6-9)</v>
      </c>
    </row>
    <row r="3825" spans="1:9">
      <c r="A3825" s="32">
        <v>41889</v>
      </c>
      <c r="B3825">
        <v>7</v>
      </c>
      <c r="C3825">
        <v>564</v>
      </c>
      <c r="D3825" t="s">
        <v>303</v>
      </c>
      <c r="E3825">
        <f>YEAR(A3825)</f>
        <v>2014</v>
      </c>
      <c r="F3825" s="33">
        <f>DATE(YEAR(A3825),MONTH(A3825),1)</f>
        <v>41883.0</v>
      </c>
      <c r="G3825" t="str">
        <f>CHOOSE(WEEKDAY(A3825,2),"Mon","Tue","Wed","Thu","Fri","Sat","Sun")</f>
        <v>Sun</v>
      </c>
      <c r="H3825" t="str">
        <f>IF(WEEKDAY(A3825,2)&gt;5,"Weekend","Weekday")</f>
        <v>Weekend</v>
      </c>
      <c r="I3825" t="str">
        <f>_xlfn.IFS(B3825&lt;=5,"Night (0-5)",B3825&lt;=9,"Morning peak (6-9)",B3825&lt;=15,"Midday (10-15)",B3825&lt;=19,"Evening peak (16-19)",TRUE,"Late evening (20-23)")</f>
        <v>Morning peak (6-9)</v>
      </c>
    </row>
    <row r="3826" spans="1:9">
      <c r="A3826" s="32">
        <v>41889</v>
      </c>
      <c r="B3826">
        <v>8</v>
      </c>
      <c r="C3826">
        <v>813</v>
      </c>
      <c r="D3826" t="s">
        <v>303</v>
      </c>
      <c r="E3826">
        <f>YEAR(A3826)</f>
        <v>2014</v>
      </c>
      <c r="F3826" s="33">
        <f>DATE(YEAR(A3826),MONTH(A3826),1)</f>
        <v>41883.0</v>
      </c>
      <c r="G3826" t="str">
        <f>CHOOSE(WEEKDAY(A3826,2),"Mon","Tue","Wed","Thu","Fri","Sat","Sun")</f>
        <v>Sun</v>
      </c>
      <c r="H3826" t="str">
        <f>IF(WEEKDAY(A3826,2)&gt;5,"Weekend","Weekday")</f>
        <v>Weekend</v>
      </c>
      <c r="I3826" t="str">
        <f>_xlfn.IFS(B3826&lt;=5,"Night (0-5)",B3826&lt;=9,"Morning peak (6-9)",B3826&lt;=15,"Midday (10-15)",B3826&lt;=19,"Evening peak (16-19)",TRUE,"Late evening (20-23)")</f>
        <v>Morning peak (6-9)</v>
      </c>
    </row>
    <row r="3827" spans="1:9">
      <c r="A3827" s="32">
        <v>41889</v>
      </c>
      <c r="B3827">
        <v>9</v>
      </c>
      <c r="C3827">
        <v>1024</v>
      </c>
      <c r="D3827" t="s">
        <v>303</v>
      </c>
      <c r="E3827">
        <f>YEAR(A3827)</f>
        <v>2014</v>
      </c>
      <c r="F3827" s="33">
        <f>DATE(YEAR(A3827),MONTH(A3827),1)</f>
        <v>41883.0</v>
      </c>
      <c r="G3827" t="str">
        <f>CHOOSE(WEEKDAY(A3827,2),"Mon","Tue","Wed","Thu","Fri","Sat","Sun")</f>
        <v>Sun</v>
      </c>
      <c r="H3827" t="str">
        <f>IF(WEEKDAY(A3827,2)&gt;5,"Weekend","Weekday")</f>
        <v>Weekend</v>
      </c>
      <c r="I3827" t="str">
        <f>_xlfn.IFS(B3827&lt;=5,"Night (0-5)",B3827&lt;=9,"Morning peak (6-9)",B3827&lt;=15,"Midday (10-15)",B3827&lt;=19,"Evening peak (16-19)",TRUE,"Late evening (20-23)")</f>
        <v>Morning peak (6-9)</v>
      </c>
    </row>
    <row r="3828" spans="1:9">
      <c r="A3828" s="32">
        <v>41889</v>
      </c>
      <c r="B3828">
        <v>10</v>
      </c>
      <c r="C3828">
        <v>1227</v>
      </c>
      <c r="D3828" t="s">
        <v>303</v>
      </c>
      <c r="E3828">
        <f>YEAR(A3828)</f>
        <v>2014</v>
      </c>
      <c r="F3828" s="33">
        <f>DATE(YEAR(A3828),MONTH(A3828),1)</f>
        <v>41883.0</v>
      </c>
      <c r="G3828" t="str">
        <f>CHOOSE(WEEKDAY(A3828,2),"Mon","Tue","Wed","Thu","Fri","Sat","Sun")</f>
        <v>Sun</v>
      </c>
      <c r="H3828" t="str">
        <f>IF(WEEKDAY(A3828,2)&gt;5,"Weekend","Weekday")</f>
        <v>Weekend</v>
      </c>
      <c r="I3828" t="str">
        <f>_xlfn.IFS(B3828&lt;=5,"Night (0-5)",B3828&lt;=9,"Morning peak (6-9)",B3828&lt;=15,"Midday (10-15)",B3828&lt;=19,"Evening peak (16-19)",TRUE,"Late evening (20-23)")</f>
        <v>Midday (10-15)</v>
      </c>
    </row>
    <row r="3829" spans="1:9">
      <c r="A3829" s="32">
        <v>41889</v>
      </c>
      <c r="B3829">
        <v>11</v>
      </c>
      <c r="C3829">
        <v>1397</v>
      </c>
      <c r="D3829" t="s">
        <v>303</v>
      </c>
      <c r="E3829">
        <f>YEAR(A3829)</f>
        <v>2014</v>
      </c>
      <c r="F3829" s="33">
        <f>DATE(YEAR(A3829),MONTH(A3829),1)</f>
        <v>41883.0</v>
      </c>
      <c r="G3829" t="str">
        <f>CHOOSE(WEEKDAY(A3829,2),"Mon","Tue","Wed","Thu","Fri","Sat","Sun")</f>
        <v>Sun</v>
      </c>
      <c r="H3829" t="str">
        <f>IF(WEEKDAY(A3829,2)&gt;5,"Weekend","Weekday")</f>
        <v>Weekend</v>
      </c>
      <c r="I3829" t="str">
        <f>_xlfn.IFS(B3829&lt;=5,"Night (0-5)",B3829&lt;=9,"Morning peak (6-9)",B3829&lt;=15,"Midday (10-15)",B3829&lt;=19,"Evening peak (16-19)",TRUE,"Late evening (20-23)")</f>
        <v>Midday (10-15)</v>
      </c>
    </row>
    <row r="3830" spans="1:9">
      <c r="A3830" s="32">
        <v>41889</v>
      </c>
      <c r="B3830">
        <v>12</v>
      </c>
      <c r="C3830">
        <v>1485</v>
      </c>
      <c r="D3830" t="s">
        <v>303</v>
      </c>
      <c r="E3830">
        <f>YEAR(A3830)</f>
        <v>2014</v>
      </c>
      <c r="F3830" s="33">
        <f>DATE(YEAR(A3830),MONTH(A3830),1)</f>
        <v>41883.0</v>
      </c>
      <c r="G3830" t="str">
        <f>CHOOSE(WEEKDAY(A3830,2),"Mon","Tue","Wed","Thu","Fri","Sat","Sun")</f>
        <v>Sun</v>
      </c>
      <c r="H3830" t="str">
        <f>IF(WEEKDAY(A3830,2)&gt;5,"Weekend","Weekday")</f>
        <v>Weekend</v>
      </c>
      <c r="I3830" t="str">
        <f>_xlfn.IFS(B3830&lt;=5,"Night (0-5)",B3830&lt;=9,"Morning peak (6-9)",B3830&lt;=15,"Midday (10-15)",B3830&lt;=19,"Evening peak (16-19)",TRUE,"Late evening (20-23)")</f>
        <v>Midday (10-15)</v>
      </c>
    </row>
    <row r="3831" spans="1:9">
      <c r="A3831" s="32">
        <v>41889</v>
      </c>
      <c r="B3831">
        <v>13</v>
      </c>
      <c r="C3831">
        <v>1639</v>
      </c>
      <c r="D3831" t="s">
        <v>303</v>
      </c>
      <c r="E3831">
        <f>YEAR(A3831)</f>
        <v>2014</v>
      </c>
      <c r="F3831" s="33">
        <f>DATE(YEAR(A3831),MONTH(A3831),1)</f>
        <v>41883.0</v>
      </c>
      <c r="G3831" t="str">
        <f>CHOOSE(WEEKDAY(A3831,2),"Mon","Tue","Wed","Thu","Fri","Sat","Sun")</f>
        <v>Sun</v>
      </c>
      <c r="H3831" t="str">
        <f>IF(WEEKDAY(A3831,2)&gt;5,"Weekend","Weekday")</f>
        <v>Weekend</v>
      </c>
      <c r="I3831" t="str">
        <f>_xlfn.IFS(B3831&lt;=5,"Night (0-5)",B3831&lt;=9,"Morning peak (6-9)",B3831&lt;=15,"Midday (10-15)",B3831&lt;=19,"Evening peak (16-19)",TRUE,"Late evening (20-23)")</f>
        <v>Midday (10-15)</v>
      </c>
    </row>
    <row r="3832" spans="1:9">
      <c r="A3832" s="32">
        <v>41889</v>
      </c>
      <c r="B3832">
        <v>14</v>
      </c>
      <c r="C3832">
        <v>1811</v>
      </c>
      <c r="D3832" t="s">
        <v>303</v>
      </c>
      <c r="E3832">
        <f>YEAR(A3832)</f>
        <v>2014</v>
      </c>
      <c r="F3832" s="33">
        <f>DATE(YEAR(A3832),MONTH(A3832),1)</f>
        <v>41883.0</v>
      </c>
      <c r="G3832" t="str">
        <f>CHOOSE(WEEKDAY(A3832,2),"Mon","Tue","Wed","Thu","Fri","Sat","Sun")</f>
        <v>Sun</v>
      </c>
      <c r="H3832" t="str">
        <f>IF(WEEKDAY(A3832,2)&gt;5,"Weekend","Weekday")</f>
        <v>Weekend</v>
      </c>
      <c r="I3832" t="str">
        <f>_xlfn.IFS(B3832&lt;=5,"Night (0-5)",B3832&lt;=9,"Morning peak (6-9)",B3832&lt;=15,"Midday (10-15)",B3832&lt;=19,"Evening peak (16-19)",TRUE,"Late evening (20-23)")</f>
        <v>Midday (10-15)</v>
      </c>
    </row>
    <row r="3833" spans="1:9">
      <c r="A3833" s="32">
        <v>41889</v>
      </c>
      <c r="B3833">
        <v>15</v>
      </c>
      <c r="C3833">
        <v>1988</v>
      </c>
      <c r="D3833" t="s">
        <v>303</v>
      </c>
      <c r="E3833">
        <f>YEAR(A3833)</f>
        <v>2014</v>
      </c>
      <c r="F3833" s="33">
        <f>DATE(YEAR(A3833),MONTH(A3833),1)</f>
        <v>41883.0</v>
      </c>
      <c r="G3833" t="str">
        <f>CHOOSE(WEEKDAY(A3833,2),"Mon","Tue","Wed","Thu","Fri","Sat","Sun")</f>
        <v>Sun</v>
      </c>
      <c r="H3833" t="str">
        <f>IF(WEEKDAY(A3833,2)&gt;5,"Weekend","Weekday")</f>
        <v>Weekend</v>
      </c>
      <c r="I3833" t="str">
        <f>_xlfn.IFS(B3833&lt;=5,"Night (0-5)",B3833&lt;=9,"Morning peak (6-9)",B3833&lt;=15,"Midday (10-15)",B3833&lt;=19,"Evening peak (16-19)",TRUE,"Late evening (20-23)")</f>
        <v>Midday (10-15)</v>
      </c>
    </row>
    <row r="3834" spans="1:9">
      <c r="A3834" s="32">
        <v>41889</v>
      </c>
      <c r="B3834">
        <v>16</v>
      </c>
      <c r="C3834">
        <v>2147</v>
      </c>
      <c r="D3834" t="s">
        <v>303</v>
      </c>
      <c r="E3834">
        <f>YEAR(A3834)</f>
        <v>2014</v>
      </c>
      <c r="F3834" s="33">
        <f>DATE(YEAR(A3834),MONTH(A3834),1)</f>
        <v>41883.0</v>
      </c>
      <c r="G3834" t="str">
        <f>CHOOSE(WEEKDAY(A3834,2),"Mon","Tue","Wed","Thu","Fri","Sat","Sun")</f>
        <v>Sun</v>
      </c>
      <c r="H3834" t="str">
        <f>IF(WEEKDAY(A3834,2)&gt;5,"Weekend","Weekday")</f>
        <v>Weekend</v>
      </c>
      <c r="I3834" t="str">
        <f>_xlfn.IFS(B3834&lt;=5,"Night (0-5)",B3834&lt;=9,"Morning peak (6-9)",B3834&lt;=15,"Midday (10-15)",B3834&lt;=19,"Evening peak (16-19)",TRUE,"Late evening (20-23)")</f>
        <v>Evening peak (16-19)</v>
      </c>
    </row>
    <row r="3835" spans="1:9">
      <c r="A3835" s="32">
        <v>41889</v>
      </c>
      <c r="B3835">
        <v>17</v>
      </c>
      <c r="C3835">
        <v>2036</v>
      </c>
      <c r="D3835" t="s">
        <v>303</v>
      </c>
      <c r="E3835">
        <f>YEAR(A3835)</f>
        <v>2014</v>
      </c>
      <c r="F3835" s="33">
        <f>DATE(YEAR(A3835),MONTH(A3835),1)</f>
        <v>41883.0</v>
      </c>
      <c r="G3835" t="str">
        <f>CHOOSE(WEEKDAY(A3835,2),"Mon","Tue","Wed","Thu","Fri","Sat","Sun")</f>
        <v>Sun</v>
      </c>
      <c r="H3835" t="str">
        <f>IF(WEEKDAY(A3835,2)&gt;5,"Weekend","Weekday")</f>
        <v>Weekend</v>
      </c>
      <c r="I3835" t="str">
        <f>_xlfn.IFS(B3835&lt;=5,"Night (0-5)",B3835&lt;=9,"Morning peak (6-9)",B3835&lt;=15,"Midday (10-15)",B3835&lt;=19,"Evening peak (16-19)",TRUE,"Late evening (20-23)")</f>
        <v>Evening peak (16-19)</v>
      </c>
    </row>
    <row r="3836" spans="1:9">
      <c r="A3836" s="32">
        <v>41889</v>
      </c>
      <c r="B3836">
        <v>18</v>
      </c>
      <c r="C3836">
        <v>1909</v>
      </c>
      <c r="D3836" t="s">
        <v>303</v>
      </c>
      <c r="E3836">
        <f>YEAR(A3836)</f>
        <v>2014</v>
      </c>
      <c r="F3836" s="33">
        <f>DATE(YEAR(A3836),MONTH(A3836),1)</f>
        <v>41883.0</v>
      </c>
      <c r="G3836" t="str">
        <f>CHOOSE(WEEKDAY(A3836,2),"Mon","Tue","Wed","Thu","Fri","Sat","Sun")</f>
        <v>Sun</v>
      </c>
      <c r="H3836" t="str">
        <f>IF(WEEKDAY(A3836,2)&gt;5,"Weekend","Weekday")</f>
        <v>Weekend</v>
      </c>
      <c r="I3836" t="str">
        <f>_xlfn.IFS(B3836&lt;=5,"Night (0-5)",B3836&lt;=9,"Morning peak (6-9)",B3836&lt;=15,"Midday (10-15)",B3836&lt;=19,"Evening peak (16-19)",TRUE,"Late evening (20-23)")</f>
        <v>Evening peak (16-19)</v>
      </c>
    </row>
    <row r="3837" spans="1:9">
      <c r="A3837" s="32">
        <v>41889</v>
      </c>
      <c r="B3837">
        <v>19</v>
      </c>
      <c r="C3837">
        <v>1708</v>
      </c>
      <c r="D3837" t="s">
        <v>303</v>
      </c>
      <c r="E3837">
        <f>YEAR(A3837)</f>
        <v>2014</v>
      </c>
      <c r="F3837" s="33">
        <f>DATE(YEAR(A3837),MONTH(A3837),1)</f>
        <v>41883.0</v>
      </c>
      <c r="G3837" t="str">
        <f>CHOOSE(WEEKDAY(A3837,2),"Mon","Tue","Wed","Thu","Fri","Sat","Sun")</f>
        <v>Sun</v>
      </c>
      <c r="H3837" t="str">
        <f>IF(WEEKDAY(A3837,2)&gt;5,"Weekend","Weekday")</f>
        <v>Weekend</v>
      </c>
      <c r="I3837" t="str">
        <f>_xlfn.IFS(B3837&lt;=5,"Night (0-5)",B3837&lt;=9,"Morning peak (6-9)",B3837&lt;=15,"Midday (10-15)",B3837&lt;=19,"Evening peak (16-19)",TRUE,"Late evening (20-23)")</f>
        <v>Evening peak (16-19)</v>
      </c>
    </row>
    <row r="3838" spans="1:9">
      <c r="A3838" s="32">
        <v>41889</v>
      </c>
      <c r="B3838">
        <v>20</v>
      </c>
      <c r="C3838">
        <v>1616</v>
      </c>
      <c r="D3838" t="s">
        <v>303</v>
      </c>
      <c r="E3838">
        <f>YEAR(A3838)</f>
        <v>2014</v>
      </c>
      <c r="F3838" s="33">
        <f>DATE(YEAR(A3838),MONTH(A3838),1)</f>
        <v>41883.0</v>
      </c>
      <c r="G3838" t="str">
        <f>CHOOSE(WEEKDAY(A3838,2),"Mon","Tue","Wed","Thu","Fri","Sat","Sun")</f>
        <v>Sun</v>
      </c>
      <c r="H3838" t="str">
        <f>IF(WEEKDAY(A3838,2)&gt;5,"Weekend","Weekday")</f>
        <v>Weekend</v>
      </c>
      <c r="I3838" t="str">
        <f>_xlfn.IFS(B3838&lt;=5,"Night (0-5)",B3838&lt;=9,"Morning peak (6-9)",B3838&lt;=15,"Midday (10-15)",B3838&lt;=19,"Evening peak (16-19)",TRUE,"Late evening (20-23)")</f>
        <v>Late evening (20-23)</v>
      </c>
    </row>
    <row r="3839" spans="1:9">
      <c r="A3839" s="32">
        <v>41889</v>
      </c>
      <c r="B3839">
        <v>21</v>
      </c>
      <c r="C3839">
        <v>1444</v>
      </c>
      <c r="D3839" t="s">
        <v>303</v>
      </c>
      <c r="E3839">
        <f>YEAR(A3839)</f>
        <v>2014</v>
      </c>
      <c r="F3839" s="33">
        <f>DATE(YEAR(A3839),MONTH(A3839),1)</f>
        <v>41883.0</v>
      </c>
      <c r="G3839" t="str">
        <f>CHOOSE(WEEKDAY(A3839,2),"Mon","Tue","Wed","Thu","Fri","Sat","Sun")</f>
        <v>Sun</v>
      </c>
      <c r="H3839" t="str">
        <f>IF(WEEKDAY(A3839,2)&gt;5,"Weekend","Weekday")</f>
        <v>Weekend</v>
      </c>
      <c r="I3839" t="str">
        <f>_xlfn.IFS(B3839&lt;=5,"Night (0-5)",B3839&lt;=9,"Morning peak (6-9)",B3839&lt;=15,"Midday (10-15)",B3839&lt;=19,"Evening peak (16-19)",TRUE,"Late evening (20-23)")</f>
        <v>Late evening (20-23)</v>
      </c>
    </row>
    <row r="3840" spans="1:9">
      <c r="A3840" s="32">
        <v>41889</v>
      </c>
      <c r="B3840">
        <v>22</v>
      </c>
      <c r="C3840">
        <v>1162</v>
      </c>
      <c r="D3840" t="s">
        <v>303</v>
      </c>
      <c r="E3840">
        <f>YEAR(A3840)</f>
        <v>2014</v>
      </c>
      <c r="F3840" s="33">
        <f>DATE(YEAR(A3840),MONTH(A3840),1)</f>
        <v>41883.0</v>
      </c>
      <c r="G3840" t="str">
        <f>CHOOSE(WEEKDAY(A3840,2),"Mon","Tue","Wed","Thu","Fri","Sat","Sun")</f>
        <v>Sun</v>
      </c>
      <c r="H3840" t="str">
        <f>IF(WEEKDAY(A3840,2)&gt;5,"Weekend","Weekday")</f>
        <v>Weekend</v>
      </c>
      <c r="I3840" t="str">
        <f>_xlfn.IFS(B3840&lt;=5,"Night (0-5)",B3840&lt;=9,"Morning peak (6-9)",B3840&lt;=15,"Midday (10-15)",B3840&lt;=19,"Evening peak (16-19)",TRUE,"Late evening (20-23)")</f>
        <v>Late evening (20-23)</v>
      </c>
    </row>
    <row r="3841" spans="1:9">
      <c r="A3841" s="32">
        <v>41889</v>
      </c>
      <c r="B3841">
        <v>23</v>
      </c>
      <c r="C3841">
        <v>629</v>
      </c>
      <c r="D3841" t="s">
        <v>303</v>
      </c>
      <c r="E3841">
        <f>YEAR(A3841)</f>
        <v>2014</v>
      </c>
      <c r="F3841" s="33">
        <f>DATE(YEAR(A3841),MONTH(A3841),1)</f>
        <v>41883.0</v>
      </c>
      <c r="G3841" t="str">
        <f>CHOOSE(WEEKDAY(A3841,2),"Mon","Tue","Wed","Thu","Fri","Sat","Sun")</f>
        <v>Sun</v>
      </c>
      <c r="H3841" t="str">
        <f>IF(WEEKDAY(A3841,2)&gt;5,"Weekend","Weekday")</f>
        <v>Weekend</v>
      </c>
      <c r="I3841" t="str">
        <f>_xlfn.IFS(B3841&lt;=5,"Night (0-5)",B3841&lt;=9,"Morning peak (6-9)",B3841&lt;=15,"Midday (10-15)",B3841&lt;=19,"Evening peak (16-19)",TRUE,"Late evening (20-23)")</f>
        <v>Late evening (20-23)</v>
      </c>
    </row>
    <row r="3842" spans="1:9">
      <c r="A3842" s="32">
        <v>41890</v>
      </c>
      <c r="B3842">
        <v>0</v>
      </c>
      <c r="C3842">
        <v>323</v>
      </c>
      <c r="D3842" t="s">
        <v>303</v>
      </c>
      <c r="E3842">
        <f>YEAR(A3842)</f>
        <v>2014</v>
      </c>
      <c r="F3842" s="33">
        <f>DATE(YEAR(A3842),MONTH(A3842),1)</f>
        <v>41883.0</v>
      </c>
      <c r="G3842" t="str">
        <f>CHOOSE(WEEKDAY(A3842,2),"Mon","Tue","Wed","Thu","Fri","Sat","Sun")</f>
        <v>Mon</v>
      </c>
      <c r="H3842" t="str">
        <f>IF(WEEKDAY(A3842,2)&gt;5,"Weekend","Weekday")</f>
        <v>Weekday</v>
      </c>
      <c r="I3842" t="str">
        <f>_xlfn.IFS(B3842&lt;=5,"Night (0-5)",B3842&lt;=9,"Morning peak (6-9)",B3842&lt;=15,"Midday (10-15)",B3842&lt;=19,"Evening peak (16-19)",TRUE,"Late evening (20-23)")</f>
        <v>Night (0-5)</v>
      </c>
    </row>
    <row r="3843" spans="1:9">
      <c r="A3843" s="32">
        <v>41890</v>
      </c>
      <c r="B3843">
        <v>1</v>
      </c>
      <c r="C3843">
        <v>201</v>
      </c>
      <c r="D3843" t="s">
        <v>303</v>
      </c>
      <c r="E3843">
        <f>YEAR(A3843)</f>
        <v>2014</v>
      </c>
      <c r="F3843" s="33">
        <f>DATE(YEAR(A3843),MONTH(A3843),1)</f>
        <v>41883.0</v>
      </c>
      <c r="G3843" t="str">
        <f>CHOOSE(WEEKDAY(A3843,2),"Mon","Tue","Wed","Thu","Fri","Sat","Sun")</f>
        <v>Mon</v>
      </c>
      <c r="H3843" t="str">
        <f>IF(WEEKDAY(A3843,2)&gt;5,"Weekend","Weekday")</f>
        <v>Weekday</v>
      </c>
      <c r="I3843" t="str">
        <f>_xlfn.IFS(B3843&lt;=5,"Night (0-5)",B3843&lt;=9,"Morning peak (6-9)",B3843&lt;=15,"Midday (10-15)",B3843&lt;=19,"Evening peak (16-19)",TRUE,"Late evening (20-23)")</f>
        <v>Night (0-5)</v>
      </c>
    </row>
    <row r="3844" spans="1:9">
      <c r="A3844" s="32">
        <v>41890</v>
      </c>
      <c r="B3844">
        <v>2</v>
      </c>
      <c r="C3844">
        <v>157</v>
      </c>
      <c r="D3844" t="s">
        <v>303</v>
      </c>
      <c r="E3844">
        <f>YEAR(A3844)</f>
        <v>2014</v>
      </c>
      <c r="F3844" s="33">
        <f>DATE(YEAR(A3844),MONTH(A3844),1)</f>
        <v>41883.0</v>
      </c>
      <c r="G3844" t="str">
        <f>CHOOSE(WEEKDAY(A3844,2),"Mon","Tue","Wed","Thu","Fri","Sat","Sun")</f>
        <v>Mon</v>
      </c>
      <c r="H3844" t="str">
        <f>IF(WEEKDAY(A3844,2)&gt;5,"Weekend","Weekday")</f>
        <v>Weekday</v>
      </c>
      <c r="I3844" t="str">
        <f>_xlfn.IFS(B3844&lt;=5,"Night (0-5)",B3844&lt;=9,"Morning peak (6-9)",B3844&lt;=15,"Midday (10-15)",B3844&lt;=19,"Evening peak (16-19)",TRUE,"Late evening (20-23)")</f>
        <v>Night (0-5)</v>
      </c>
    </row>
    <row r="3845" spans="1:9">
      <c r="A3845" s="32">
        <v>41890</v>
      </c>
      <c r="B3845">
        <v>3</v>
      </c>
      <c r="C3845">
        <v>369</v>
      </c>
      <c r="D3845" t="s">
        <v>303</v>
      </c>
      <c r="E3845">
        <f>YEAR(A3845)</f>
        <v>2014</v>
      </c>
      <c r="F3845" s="33">
        <f>DATE(YEAR(A3845),MONTH(A3845),1)</f>
        <v>41883.0</v>
      </c>
      <c r="G3845" t="str">
        <f>CHOOSE(WEEKDAY(A3845,2),"Mon","Tue","Wed","Thu","Fri","Sat","Sun")</f>
        <v>Mon</v>
      </c>
      <c r="H3845" t="str">
        <f>IF(WEEKDAY(A3845,2)&gt;5,"Weekend","Weekday")</f>
        <v>Weekday</v>
      </c>
      <c r="I3845" t="str">
        <f>_xlfn.IFS(B3845&lt;=5,"Night (0-5)",B3845&lt;=9,"Morning peak (6-9)",B3845&lt;=15,"Midday (10-15)",B3845&lt;=19,"Evening peak (16-19)",TRUE,"Late evening (20-23)")</f>
        <v>Night (0-5)</v>
      </c>
    </row>
    <row r="3846" spans="1:9">
      <c r="A3846" s="32">
        <v>41890</v>
      </c>
      <c r="B3846">
        <v>4</v>
      </c>
      <c r="C3846">
        <v>515</v>
      </c>
      <c r="D3846" t="s">
        <v>303</v>
      </c>
      <c r="E3846">
        <f>YEAR(A3846)</f>
        <v>2014</v>
      </c>
      <c r="F3846" s="33">
        <f>DATE(YEAR(A3846),MONTH(A3846),1)</f>
        <v>41883.0</v>
      </c>
      <c r="G3846" t="str">
        <f>CHOOSE(WEEKDAY(A3846,2),"Mon","Tue","Wed","Thu","Fri","Sat","Sun")</f>
        <v>Mon</v>
      </c>
      <c r="H3846" t="str">
        <f>IF(WEEKDAY(A3846,2)&gt;5,"Weekend","Weekday")</f>
        <v>Weekday</v>
      </c>
      <c r="I3846" t="str">
        <f>_xlfn.IFS(B3846&lt;=5,"Night (0-5)",B3846&lt;=9,"Morning peak (6-9)",B3846&lt;=15,"Midday (10-15)",B3846&lt;=19,"Evening peak (16-19)",TRUE,"Late evening (20-23)")</f>
        <v>Night (0-5)</v>
      </c>
    </row>
    <row r="3847" spans="1:9">
      <c r="A3847" s="32">
        <v>41890</v>
      </c>
      <c r="B3847">
        <v>5</v>
      </c>
      <c r="C3847">
        <v>910</v>
      </c>
      <c r="D3847" t="s">
        <v>303</v>
      </c>
      <c r="E3847">
        <f>YEAR(A3847)</f>
        <v>2014</v>
      </c>
      <c r="F3847" s="33">
        <f>DATE(YEAR(A3847),MONTH(A3847),1)</f>
        <v>41883.0</v>
      </c>
      <c r="G3847" t="str">
        <f>CHOOSE(WEEKDAY(A3847,2),"Mon","Tue","Wed","Thu","Fri","Sat","Sun")</f>
        <v>Mon</v>
      </c>
      <c r="H3847" t="str">
        <f>IF(WEEKDAY(A3847,2)&gt;5,"Weekend","Weekday")</f>
        <v>Weekday</v>
      </c>
      <c r="I3847" t="str">
        <f>_xlfn.IFS(B3847&lt;=5,"Night (0-5)",B3847&lt;=9,"Morning peak (6-9)",B3847&lt;=15,"Midday (10-15)",B3847&lt;=19,"Evening peak (16-19)",TRUE,"Late evening (20-23)")</f>
        <v>Night (0-5)</v>
      </c>
    </row>
    <row r="3848" spans="1:9">
      <c r="A3848" s="32">
        <v>41890</v>
      </c>
      <c r="B3848">
        <v>6</v>
      </c>
      <c r="C3848">
        <v>1222</v>
      </c>
      <c r="D3848" t="s">
        <v>303</v>
      </c>
      <c r="E3848">
        <f>YEAR(A3848)</f>
        <v>2014</v>
      </c>
      <c r="F3848" s="33">
        <f>DATE(YEAR(A3848),MONTH(A3848),1)</f>
        <v>41883.0</v>
      </c>
      <c r="G3848" t="str">
        <f>CHOOSE(WEEKDAY(A3848,2),"Mon","Tue","Wed","Thu","Fri","Sat","Sun")</f>
        <v>Mon</v>
      </c>
      <c r="H3848" t="str">
        <f>IF(WEEKDAY(A3848,2)&gt;5,"Weekend","Weekday")</f>
        <v>Weekday</v>
      </c>
      <c r="I3848" t="str">
        <f>_xlfn.IFS(B3848&lt;=5,"Night (0-5)",B3848&lt;=9,"Morning peak (6-9)",B3848&lt;=15,"Midday (10-15)",B3848&lt;=19,"Evening peak (16-19)",TRUE,"Late evening (20-23)")</f>
        <v>Morning peak (6-9)</v>
      </c>
    </row>
    <row r="3849" spans="1:9">
      <c r="A3849" s="32">
        <v>41890</v>
      </c>
      <c r="B3849">
        <v>7</v>
      </c>
      <c r="C3849">
        <v>1673</v>
      </c>
      <c r="D3849" t="s">
        <v>303</v>
      </c>
      <c r="E3849">
        <f>YEAR(A3849)</f>
        <v>2014</v>
      </c>
      <c r="F3849" s="33">
        <f>DATE(YEAR(A3849),MONTH(A3849),1)</f>
        <v>41883.0</v>
      </c>
      <c r="G3849" t="str">
        <f>CHOOSE(WEEKDAY(A3849,2),"Mon","Tue","Wed","Thu","Fri","Sat","Sun")</f>
        <v>Mon</v>
      </c>
      <c r="H3849" t="str">
        <f>IF(WEEKDAY(A3849,2)&gt;5,"Weekend","Weekday")</f>
        <v>Weekday</v>
      </c>
      <c r="I3849" t="str">
        <f>_xlfn.IFS(B3849&lt;=5,"Night (0-5)",B3849&lt;=9,"Morning peak (6-9)",B3849&lt;=15,"Midday (10-15)",B3849&lt;=19,"Evening peak (16-19)",TRUE,"Late evening (20-23)")</f>
        <v>Morning peak (6-9)</v>
      </c>
    </row>
    <row r="3850" spans="1:9">
      <c r="A3850" s="32">
        <v>41890</v>
      </c>
      <c r="B3850">
        <v>8</v>
      </c>
      <c r="C3850">
        <v>1725</v>
      </c>
      <c r="D3850" t="s">
        <v>303</v>
      </c>
      <c r="E3850">
        <f>YEAR(A3850)</f>
        <v>2014</v>
      </c>
      <c r="F3850" s="33">
        <f>DATE(YEAR(A3850),MONTH(A3850),1)</f>
        <v>41883.0</v>
      </c>
      <c r="G3850" t="str">
        <f>CHOOSE(WEEKDAY(A3850,2),"Mon","Tue","Wed","Thu","Fri","Sat","Sun")</f>
        <v>Mon</v>
      </c>
      <c r="H3850" t="str">
        <f>IF(WEEKDAY(A3850,2)&gt;5,"Weekend","Weekday")</f>
        <v>Weekday</v>
      </c>
      <c r="I3850" t="str">
        <f>_xlfn.IFS(B3850&lt;=5,"Night (0-5)",B3850&lt;=9,"Morning peak (6-9)",B3850&lt;=15,"Midday (10-15)",B3850&lt;=19,"Evening peak (16-19)",TRUE,"Late evening (20-23)")</f>
        <v>Morning peak (6-9)</v>
      </c>
    </row>
    <row r="3851" spans="1:9">
      <c r="A3851" s="32">
        <v>41890</v>
      </c>
      <c r="B3851">
        <v>9</v>
      </c>
      <c r="C3851">
        <v>1288</v>
      </c>
      <c r="D3851" t="s">
        <v>303</v>
      </c>
      <c r="E3851">
        <f>YEAR(A3851)</f>
        <v>2014</v>
      </c>
      <c r="F3851" s="33">
        <f>DATE(YEAR(A3851),MONTH(A3851),1)</f>
        <v>41883.0</v>
      </c>
      <c r="G3851" t="str">
        <f>CHOOSE(WEEKDAY(A3851,2),"Mon","Tue","Wed","Thu","Fri","Sat","Sun")</f>
        <v>Mon</v>
      </c>
      <c r="H3851" t="str">
        <f>IF(WEEKDAY(A3851,2)&gt;5,"Weekend","Weekday")</f>
        <v>Weekday</v>
      </c>
      <c r="I3851" t="str">
        <f>_xlfn.IFS(B3851&lt;=5,"Night (0-5)",B3851&lt;=9,"Morning peak (6-9)",B3851&lt;=15,"Midday (10-15)",B3851&lt;=19,"Evening peak (16-19)",TRUE,"Late evening (20-23)")</f>
        <v>Morning peak (6-9)</v>
      </c>
    </row>
    <row r="3852" spans="1:9">
      <c r="A3852" s="32">
        <v>41890</v>
      </c>
      <c r="B3852">
        <v>10</v>
      </c>
      <c r="C3852">
        <v>1204</v>
      </c>
      <c r="D3852" t="s">
        <v>303</v>
      </c>
      <c r="E3852">
        <f>YEAR(A3852)</f>
        <v>2014</v>
      </c>
      <c r="F3852" s="33">
        <f>DATE(YEAR(A3852),MONTH(A3852),1)</f>
        <v>41883.0</v>
      </c>
      <c r="G3852" t="str">
        <f>CHOOSE(WEEKDAY(A3852,2),"Mon","Tue","Wed","Thu","Fri","Sat","Sun")</f>
        <v>Mon</v>
      </c>
      <c r="H3852" t="str">
        <f>IF(WEEKDAY(A3852,2)&gt;5,"Weekend","Weekday")</f>
        <v>Weekday</v>
      </c>
      <c r="I3852" t="str">
        <f>_xlfn.IFS(B3852&lt;=5,"Night (0-5)",B3852&lt;=9,"Morning peak (6-9)",B3852&lt;=15,"Midday (10-15)",B3852&lt;=19,"Evening peak (16-19)",TRUE,"Late evening (20-23)")</f>
        <v>Midday (10-15)</v>
      </c>
    </row>
    <row r="3853" spans="1:9">
      <c r="A3853" s="32">
        <v>41890</v>
      </c>
      <c r="B3853">
        <v>11</v>
      </c>
      <c r="C3853">
        <v>1211</v>
      </c>
      <c r="D3853" t="s">
        <v>303</v>
      </c>
      <c r="E3853">
        <f>YEAR(A3853)</f>
        <v>2014</v>
      </c>
      <c r="F3853" s="33">
        <f>DATE(YEAR(A3853),MONTH(A3853),1)</f>
        <v>41883.0</v>
      </c>
      <c r="G3853" t="str">
        <f>CHOOSE(WEEKDAY(A3853,2),"Mon","Tue","Wed","Thu","Fri","Sat","Sun")</f>
        <v>Mon</v>
      </c>
      <c r="H3853" t="str">
        <f>IF(WEEKDAY(A3853,2)&gt;5,"Weekend","Weekday")</f>
        <v>Weekday</v>
      </c>
      <c r="I3853" t="str">
        <f>_xlfn.IFS(B3853&lt;=5,"Night (0-5)",B3853&lt;=9,"Morning peak (6-9)",B3853&lt;=15,"Midday (10-15)",B3853&lt;=19,"Evening peak (16-19)",TRUE,"Late evening (20-23)")</f>
        <v>Midday (10-15)</v>
      </c>
    </row>
    <row r="3854" spans="1:9">
      <c r="A3854" s="32">
        <v>41890</v>
      </c>
      <c r="B3854">
        <v>12</v>
      </c>
      <c r="C3854">
        <v>1190</v>
      </c>
      <c r="D3854" t="s">
        <v>303</v>
      </c>
      <c r="E3854">
        <f>YEAR(A3854)</f>
        <v>2014</v>
      </c>
      <c r="F3854" s="33">
        <f>DATE(YEAR(A3854),MONTH(A3854),1)</f>
        <v>41883.0</v>
      </c>
      <c r="G3854" t="str">
        <f>CHOOSE(WEEKDAY(A3854,2),"Mon","Tue","Wed","Thu","Fri","Sat","Sun")</f>
        <v>Mon</v>
      </c>
      <c r="H3854" t="str">
        <f>IF(WEEKDAY(A3854,2)&gt;5,"Weekend","Weekday")</f>
        <v>Weekday</v>
      </c>
      <c r="I3854" t="str">
        <f>_xlfn.IFS(B3854&lt;=5,"Night (0-5)",B3854&lt;=9,"Morning peak (6-9)",B3854&lt;=15,"Midday (10-15)",B3854&lt;=19,"Evening peak (16-19)",TRUE,"Late evening (20-23)")</f>
        <v>Midday (10-15)</v>
      </c>
    </row>
    <row r="3855" spans="1:9">
      <c r="A3855" s="32">
        <v>41890</v>
      </c>
      <c r="B3855">
        <v>13</v>
      </c>
      <c r="C3855">
        <v>1345</v>
      </c>
      <c r="D3855" t="s">
        <v>303</v>
      </c>
      <c r="E3855">
        <f>YEAR(A3855)</f>
        <v>2014</v>
      </c>
      <c r="F3855" s="33">
        <f>DATE(YEAR(A3855),MONTH(A3855),1)</f>
        <v>41883.0</v>
      </c>
      <c r="G3855" t="str">
        <f>CHOOSE(WEEKDAY(A3855,2),"Mon","Tue","Wed","Thu","Fri","Sat","Sun")</f>
        <v>Mon</v>
      </c>
      <c r="H3855" t="str">
        <f>IF(WEEKDAY(A3855,2)&gt;5,"Weekend","Weekday")</f>
        <v>Weekday</v>
      </c>
      <c r="I3855" t="str">
        <f>_xlfn.IFS(B3855&lt;=5,"Night (0-5)",B3855&lt;=9,"Morning peak (6-9)",B3855&lt;=15,"Midday (10-15)",B3855&lt;=19,"Evening peak (16-19)",TRUE,"Late evening (20-23)")</f>
        <v>Midday (10-15)</v>
      </c>
    </row>
    <row r="3856" spans="1:9">
      <c r="A3856" s="32">
        <v>41890</v>
      </c>
      <c r="B3856">
        <v>14</v>
      </c>
      <c r="C3856">
        <v>1577</v>
      </c>
      <c r="D3856" t="s">
        <v>303</v>
      </c>
      <c r="E3856">
        <f>YEAR(A3856)</f>
        <v>2014</v>
      </c>
      <c r="F3856" s="33">
        <f>DATE(YEAR(A3856),MONTH(A3856),1)</f>
        <v>41883.0</v>
      </c>
      <c r="G3856" t="str">
        <f>CHOOSE(WEEKDAY(A3856,2),"Mon","Tue","Wed","Thu","Fri","Sat","Sun")</f>
        <v>Mon</v>
      </c>
      <c r="H3856" t="str">
        <f>IF(WEEKDAY(A3856,2)&gt;5,"Weekend","Weekday")</f>
        <v>Weekday</v>
      </c>
      <c r="I3856" t="str">
        <f>_xlfn.IFS(B3856&lt;=5,"Night (0-5)",B3856&lt;=9,"Morning peak (6-9)",B3856&lt;=15,"Midday (10-15)",B3856&lt;=19,"Evening peak (16-19)",TRUE,"Late evening (20-23)")</f>
        <v>Midday (10-15)</v>
      </c>
    </row>
    <row r="3857" spans="1:9">
      <c r="A3857" s="32">
        <v>41890</v>
      </c>
      <c r="B3857">
        <v>15</v>
      </c>
      <c r="C3857">
        <v>1895</v>
      </c>
      <c r="D3857" t="s">
        <v>303</v>
      </c>
      <c r="E3857">
        <f>YEAR(A3857)</f>
        <v>2014</v>
      </c>
      <c r="F3857" s="33">
        <f>DATE(YEAR(A3857),MONTH(A3857),1)</f>
        <v>41883.0</v>
      </c>
      <c r="G3857" t="str">
        <f>CHOOSE(WEEKDAY(A3857,2),"Mon","Tue","Wed","Thu","Fri","Sat","Sun")</f>
        <v>Mon</v>
      </c>
      <c r="H3857" t="str">
        <f>IF(WEEKDAY(A3857,2)&gt;5,"Weekend","Weekday")</f>
        <v>Weekday</v>
      </c>
      <c r="I3857" t="str">
        <f>_xlfn.IFS(B3857&lt;=5,"Night (0-5)",B3857&lt;=9,"Morning peak (6-9)",B3857&lt;=15,"Midday (10-15)",B3857&lt;=19,"Evening peak (16-19)",TRUE,"Late evening (20-23)")</f>
        <v>Midday (10-15)</v>
      </c>
    </row>
    <row r="3858" spans="1:9">
      <c r="A3858" s="32">
        <v>41890</v>
      </c>
      <c r="B3858">
        <v>16</v>
      </c>
      <c r="C3858">
        <v>2092</v>
      </c>
      <c r="D3858" t="s">
        <v>303</v>
      </c>
      <c r="E3858">
        <f>YEAR(A3858)</f>
        <v>2014</v>
      </c>
      <c r="F3858" s="33">
        <f>DATE(YEAR(A3858),MONTH(A3858),1)</f>
        <v>41883.0</v>
      </c>
      <c r="G3858" t="str">
        <f>CHOOSE(WEEKDAY(A3858,2),"Mon","Tue","Wed","Thu","Fri","Sat","Sun")</f>
        <v>Mon</v>
      </c>
      <c r="H3858" t="str">
        <f>IF(WEEKDAY(A3858,2)&gt;5,"Weekend","Weekday")</f>
        <v>Weekday</v>
      </c>
      <c r="I3858" t="str">
        <f>_xlfn.IFS(B3858&lt;=5,"Night (0-5)",B3858&lt;=9,"Morning peak (6-9)",B3858&lt;=15,"Midday (10-15)",B3858&lt;=19,"Evening peak (16-19)",TRUE,"Late evening (20-23)")</f>
        <v>Evening peak (16-19)</v>
      </c>
    </row>
    <row r="3859" spans="1:9">
      <c r="A3859" s="32">
        <v>41890</v>
      </c>
      <c r="B3859">
        <v>17</v>
      </c>
      <c r="C3859">
        <v>2254</v>
      </c>
      <c r="D3859" t="s">
        <v>303</v>
      </c>
      <c r="E3859">
        <f>YEAR(A3859)</f>
        <v>2014</v>
      </c>
      <c r="F3859" s="33">
        <f>DATE(YEAR(A3859),MONTH(A3859),1)</f>
        <v>41883.0</v>
      </c>
      <c r="G3859" t="str">
        <f>CHOOSE(WEEKDAY(A3859,2),"Mon","Tue","Wed","Thu","Fri","Sat","Sun")</f>
        <v>Mon</v>
      </c>
      <c r="H3859" t="str">
        <f>IF(WEEKDAY(A3859,2)&gt;5,"Weekend","Weekday")</f>
        <v>Weekday</v>
      </c>
      <c r="I3859" t="str">
        <f>_xlfn.IFS(B3859&lt;=5,"Night (0-5)",B3859&lt;=9,"Morning peak (6-9)",B3859&lt;=15,"Midday (10-15)",B3859&lt;=19,"Evening peak (16-19)",TRUE,"Late evening (20-23)")</f>
        <v>Evening peak (16-19)</v>
      </c>
    </row>
    <row r="3860" spans="1:9">
      <c r="A3860" s="32">
        <v>41890</v>
      </c>
      <c r="B3860">
        <v>18</v>
      </c>
      <c r="C3860">
        <v>2221</v>
      </c>
      <c r="D3860" t="s">
        <v>303</v>
      </c>
      <c r="E3860">
        <f>YEAR(A3860)</f>
        <v>2014</v>
      </c>
      <c r="F3860" s="33">
        <f>DATE(YEAR(A3860),MONTH(A3860),1)</f>
        <v>41883.0</v>
      </c>
      <c r="G3860" t="str">
        <f>CHOOSE(WEEKDAY(A3860,2),"Mon","Tue","Wed","Thu","Fri","Sat","Sun")</f>
        <v>Mon</v>
      </c>
      <c r="H3860" t="str">
        <f>IF(WEEKDAY(A3860,2)&gt;5,"Weekend","Weekday")</f>
        <v>Weekday</v>
      </c>
      <c r="I3860" t="str">
        <f>_xlfn.IFS(B3860&lt;=5,"Night (0-5)",B3860&lt;=9,"Morning peak (6-9)",B3860&lt;=15,"Midday (10-15)",B3860&lt;=19,"Evening peak (16-19)",TRUE,"Late evening (20-23)")</f>
        <v>Evening peak (16-19)</v>
      </c>
    </row>
    <row r="3861" spans="1:9">
      <c r="A3861" s="32">
        <v>41890</v>
      </c>
      <c r="B3861">
        <v>19</v>
      </c>
      <c r="C3861">
        <v>1971</v>
      </c>
      <c r="D3861" t="s">
        <v>303</v>
      </c>
      <c r="E3861">
        <f>YEAR(A3861)</f>
        <v>2014</v>
      </c>
      <c r="F3861" s="33">
        <f>DATE(YEAR(A3861),MONTH(A3861),1)</f>
        <v>41883.0</v>
      </c>
      <c r="G3861" t="str">
        <f>CHOOSE(WEEKDAY(A3861,2),"Mon","Tue","Wed","Thu","Fri","Sat","Sun")</f>
        <v>Mon</v>
      </c>
      <c r="H3861" t="str">
        <f>IF(WEEKDAY(A3861,2)&gt;5,"Weekend","Weekday")</f>
        <v>Weekday</v>
      </c>
      <c r="I3861" t="str">
        <f>_xlfn.IFS(B3861&lt;=5,"Night (0-5)",B3861&lt;=9,"Morning peak (6-9)",B3861&lt;=15,"Midday (10-15)",B3861&lt;=19,"Evening peak (16-19)",TRUE,"Late evening (20-23)")</f>
        <v>Evening peak (16-19)</v>
      </c>
    </row>
    <row r="3862" spans="1:9">
      <c r="A3862" s="32">
        <v>41890</v>
      </c>
      <c r="B3862">
        <v>20</v>
      </c>
      <c r="C3862">
        <v>1823</v>
      </c>
      <c r="D3862" t="s">
        <v>303</v>
      </c>
      <c r="E3862">
        <f>YEAR(A3862)</f>
        <v>2014</v>
      </c>
      <c r="F3862" s="33">
        <f>DATE(YEAR(A3862),MONTH(A3862),1)</f>
        <v>41883.0</v>
      </c>
      <c r="G3862" t="str">
        <f>CHOOSE(WEEKDAY(A3862,2),"Mon","Tue","Wed","Thu","Fri","Sat","Sun")</f>
        <v>Mon</v>
      </c>
      <c r="H3862" t="str">
        <f>IF(WEEKDAY(A3862,2)&gt;5,"Weekend","Weekday")</f>
        <v>Weekday</v>
      </c>
      <c r="I3862" t="str">
        <f>_xlfn.IFS(B3862&lt;=5,"Night (0-5)",B3862&lt;=9,"Morning peak (6-9)",B3862&lt;=15,"Midday (10-15)",B3862&lt;=19,"Evening peak (16-19)",TRUE,"Late evening (20-23)")</f>
        <v>Late evening (20-23)</v>
      </c>
    </row>
    <row r="3863" spans="1:9">
      <c r="A3863" s="32">
        <v>41890</v>
      </c>
      <c r="B3863">
        <v>21</v>
      </c>
      <c r="C3863">
        <v>1487</v>
      </c>
      <c r="D3863" t="s">
        <v>303</v>
      </c>
      <c r="E3863">
        <f>YEAR(A3863)</f>
        <v>2014</v>
      </c>
      <c r="F3863" s="33">
        <f>DATE(YEAR(A3863),MONTH(A3863),1)</f>
        <v>41883.0</v>
      </c>
      <c r="G3863" t="str">
        <f>CHOOSE(WEEKDAY(A3863,2),"Mon","Tue","Wed","Thu","Fri","Sat","Sun")</f>
        <v>Mon</v>
      </c>
      <c r="H3863" t="str">
        <f>IF(WEEKDAY(A3863,2)&gt;5,"Weekend","Weekday")</f>
        <v>Weekday</v>
      </c>
      <c r="I3863" t="str">
        <f>_xlfn.IFS(B3863&lt;=5,"Night (0-5)",B3863&lt;=9,"Morning peak (6-9)",B3863&lt;=15,"Midday (10-15)",B3863&lt;=19,"Evening peak (16-19)",TRUE,"Late evening (20-23)")</f>
        <v>Late evening (20-23)</v>
      </c>
    </row>
    <row r="3864" spans="1:9">
      <c r="A3864" s="32">
        <v>41890</v>
      </c>
      <c r="B3864">
        <v>22</v>
      </c>
      <c r="C3864">
        <v>1117</v>
      </c>
      <c r="D3864" t="s">
        <v>303</v>
      </c>
      <c r="E3864">
        <f>YEAR(A3864)</f>
        <v>2014</v>
      </c>
      <c r="F3864" s="33">
        <f>DATE(YEAR(A3864),MONTH(A3864),1)</f>
        <v>41883.0</v>
      </c>
      <c r="G3864" t="str">
        <f>CHOOSE(WEEKDAY(A3864,2),"Mon","Tue","Wed","Thu","Fri","Sat","Sun")</f>
        <v>Mon</v>
      </c>
      <c r="H3864" t="str">
        <f>IF(WEEKDAY(A3864,2)&gt;5,"Weekend","Weekday")</f>
        <v>Weekday</v>
      </c>
      <c r="I3864" t="str">
        <f>_xlfn.IFS(B3864&lt;=5,"Night (0-5)",B3864&lt;=9,"Morning peak (6-9)",B3864&lt;=15,"Midday (10-15)",B3864&lt;=19,"Evening peak (16-19)",TRUE,"Late evening (20-23)")</f>
        <v>Late evening (20-23)</v>
      </c>
    </row>
    <row r="3865" spans="1:9">
      <c r="A3865" s="32">
        <v>41890</v>
      </c>
      <c r="B3865">
        <v>23</v>
      </c>
      <c r="C3865">
        <v>590</v>
      </c>
      <c r="D3865" t="s">
        <v>303</v>
      </c>
      <c r="E3865">
        <f>YEAR(A3865)</f>
        <v>2014</v>
      </c>
      <c r="F3865" s="33">
        <f>DATE(YEAR(A3865),MONTH(A3865),1)</f>
        <v>41883.0</v>
      </c>
      <c r="G3865" t="str">
        <f>CHOOSE(WEEKDAY(A3865,2),"Mon","Tue","Wed","Thu","Fri","Sat","Sun")</f>
        <v>Mon</v>
      </c>
      <c r="H3865" t="str">
        <f>IF(WEEKDAY(A3865,2)&gt;5,"Weekend","Weekday")</f>
        <v>Weekday</v>
      </c>
      <c r="I3865" t="str">
        <f>_xlfn.IFS(B3865&lt;=5,"Night (0-5)",B3865&lt;=9,"Morning peak (6-9)",B3865&lt;=15,"Midday (10-15)",B3865&lt;=19,"Evening peak (16-19)",TRUE,"Late evening (20-23)")</f>
        <v>Late evening (20-23)</v>
      </c>
    </row>
    <row r="3866" spans="1:9">
      <c r="A3866" s="32">
        <v>41891</v>
      </c>
      <c r="B3866">
        <v>0</v>
      </c>
      <c r="C3866">
        <v>312</v>
      </c>
      <c r="D3866" t="s">
        <v>303</v>
      </c>
      <c r="E3866">
        <f>YEAR(A3866)</f>
        <v>2014</v>
      </c>
      <c r="F3866" s="33">
        <f>DATE(YEAR(A3866),MONTH(A3866),1)</f>
        <v>41883.0</v>
      </c>
      <c r="G3866" t="str">
        <f>CHOOSE(WEEKDAY(A3866,2),"Mon","Tue","Wed","Thu","Fri","Sat","Sun")</f>
        <v>Tue</v>
      </c>
      <c r="H3866" t="str">
        <f>IF(WEEKDAY(A3866,2)&gt;5,"Weekend","Weekday")</f>
        <v>Weekday</v>
      </c>
      <c r="I3866" t="str">
        <f>_xlfn.IFS(B3866&lt;=5,"Night (0-5)",B3866&lt;=9,"Morning peak (6-9)",B3866&lt;=15,"Midday (10-15)",B3866&lt;=19,"Evening peak (16-19)",TRUE,"Late evening (20-23)")</f>
        <v>Night (0-5)</v>
      </c>
    </row>
    <row r="3867" spans="1:9">
      <c r="A3867" s="32">
        <v>41891</v>
      </c>
      <c r="B3867">
        <v>1</v>
      </c>
      <c r="C3867">
        <v>194</v>
      </c>
      <c r="D3867" t="s">
        <v>303</v>
      </c>
      <c r="E3867">
        <f>YEAR(A3867)</f>
        <v>2014</v>
      </c>
      <c r="F3867" s="33">
        <f>DATE(YEAR(A3867),MONTH(A3867),1)</f>
        <v>41883.0</v>
      </c>
      <c r="G3867" t="str">
        <f>CHOOSE(WEEKDAY(A3867,2),"Mon","Tue","Wed","Thu","Fri","Sat","Sun")</f>
        <v>Tue</v>
      </c>
      <c r="H3867" t="str">
        <f>IF(WEEKDAY(A3867,2)&gt;5,"Weekend","Weekday")</f>
        <v>Weekday</v>
      </c>
      <c r="I3867" t="str">
        <f>_xlfn.IFS(B3867&lt;=5,"Night (0-5)",B3867&lt;=9,"Morning peak (6-9)",B3867&lt;=15,"Midday (10-15)",B3867&lt;=19,"Evening peak (16-19)",TRUE,"Late evening (20-23)")</f>
        <v>Night (0-5)</v>
      </c>
    </row>
    <row r="3868" spans="1:9">
      <c r="A3868" s="32">
        <v>41891</v>
      </c>
      <c r="B3868">
        <v>2</v>
      </c>
      <c r="C3868">
        <v>146</v>
      </c>
      <c r="D3868" t="s">
        <v>303</v>
      </c>
      <c r="E3868">
        <f>YEAR(A3868)</f>
        <v>2014</v>
      </c>
      <c r="F3868" s="33">
        <f>DATE(YEAR(A3868),MONTH(A3868),1)</f>
        <v>41883.0</v>
      </c>
      <c r="G3868" t="str">
        <f>CHOOSE(WEEKDAY(A3868,2),"Mon","Tue","Wed","Thu","Fri","Sat","Sun")</f>
        <v>Tue</v>
      </c>
      <c r="H3868" t="str">
        <f>IF(WEEKDAY(A3868,2)&gt;5,"Weekend","Weekday")</f>
        <v>Weekday</v>
      </c>
      <c r="I3868" t="str">
        <f>_xlfn.IFS(B3868&lt;=5,"Night (0-5)",B3868&lt;=9,"Morning peak (6-9)",B3868&lt;=15,"Midday (10-15)",B3868&lt;=19,"Evening peak (16-19)",TRUE,"Late evening (20-23)")</f>
        <v>Night (0-5)</v>
      </c>
    </row>
    <row r="3869" spans="1:9">
      <c r="A3869" s="32">
        <v>41891</v>
      </c>
      <c r="B3869">
        <v>3</v>
      </c>
      <c r="C3869">
        <v>242</v>
      </c>
      <c r="D3869" t="s">
        <v>303</v>
      </c>
      <c r="E3869">
        <f>YEAR(A3869)</f>
        <v>2014</v>
      </c>
      <c r="F3869" s="33">
        <f>DATE(YEAR(A3869),MONTH(A3869),1)</f>
        <v>41883.0</v>
      </c>
      <c r="G3869" t="str">
        <f>CHOOSE(WEEKDAY(A3869,2),"Mon","Tue","Wed","Thu","Fri","Sat","Sun")</f>
        <v>Tue</v>
      </c>
      <c r="H3869" t="str">
        <f>IF(WEEKDAY(A3869,2)&gt;5,"Weekend","Weekday")</f>
        <v>Weekday</v>
      </c>
      <c r="I3869" t="str">
        <f>_xlfn.IFS(B3869&lt;=5,"Night (0-5)",B3869&lt;=9,"Morning peak (6-9)",B3869&lt;=15,"Midday (10-15)",B3869&lt;=19,"Evening peak (16-19)",TRUE,"Late evening (20-23)")</f>
        <v>Night (0-5)</v>
      </c>
    </row>
    <row r="3870" spans="1:9">
      <c r="A3870" s="32">
        <v>41891</v>
      </c>
      <c r="B3870">
        <v>4</v>
      </c>
      <c r="C3870">
        <v>407</v>
      </c>
      <c r="D3870" t="s">
        <v>303</v>
      </c>
      <c r="E3870">
        <f>YEAR(A3870)</f>
        <v>2014</v>
      </c>
      <c r="F3870" s="33">
        <f>DATE(YEAR(A3870),MONTH(A3870),1)</f>
        <v>41883.0</v>
      </c>
      <c r="G3870" t="str">
        <f>CHOOSE(WEEKDAY(A3870,2),"Mon","Tue","Wed","Thu","Fri","Sat","Sun")</f>
        <v>Tue</v>
      </c>
      <c r="H3870" t="str">
        <f>IF(WEEKDAY(A3870,2)&gt;5,"Weekend","Weekday")</f>
        <v>Weekday</v>
      </c>
      <c r="I3870" t="str">
        <f>_xlfn.IFS(B3870&lt;=5,"Night (0-5)",B3870&lt;=9,"Morning peak (6-9)",B3870&lt;=15,"Midday (10-15)",B3870&lt;=19,"Evening peak (16-19)",TRUE,"Late evening (20-23)")</f>
        <v>Night (0-5)</v>
      </c>
    </row>
    <row r="3871" spans="1:9">
      <c r="A3871" s="32">
        <v>41891</v>
      </c>
      <c r="B3871">
        <v>5</v>
      </c>
      <c r="C3871">
        <v>826</v>
      </c>
      <c r="D3871" t="s">
        <v>303</v>
      </c>
      <c r="E3871">
        <f>YEAR(A3871)</f>
        <v>2014</v>
      </c>
      <c r="F3871" s="33">
        <f>DATE(YEAR(A3871),MONTH(A3871),1)</f>
        <v>41883.0</v>
      </c>
      <c r="G3871" t="str">
        <f>CHOOSE(WEEKDAY(A3871,2),"Mon","Tue","Wed","Thu","Fri","Sat","Sun")</f>
        <v>Tue</v>
      </c>
      <c r="H3871" t="str">
        <f>IF(WEEKDAY(A3871,2)&gt;5,"Weekend","Weekday")</f>
        <v>Weekday</v>
      </c>
      <c r="I3871" t="str">
        <f>_xlfn.IFS(B3871&lt;=5,"Night (0-5)",B3871&lt;=9,"Morning peak (6-9)",B3871&lt;=15,"Midday (10-15)",B3871&lt;=19,"Evening peak (16-19)",TRUE,"Late evening (20-23)")</f>
        <v>Night (0-5)</v>
      </c>
    </row>
    <row r="3872" spans="1:9">
      <c r="A3872" s="32">
        <v>41891</v>
      </c>
      <c r="B3872">
        <v>6</v>
      </c>
      <c r="C3872">
        <v>1443</v>
      </c>
      <c r="D3872" t="s">
        <v>303</v>
      </c>
      <c r="E3872">
        <f>YEAR(A3872)</f>
        <v>2014</v>
      </c>
      <c r="F3872" s="33">
        <f>DATE(YEAR(A3872),MONTH(A3872),1)</f>
        <v>41883.0</v>
      </c>
      <c r="G3872" t="str">
        <f>CHOOSE(WEEKDAY(A3872,2),"Mon","Tue","Wed","Thu","Fri","Sat","Sun")</f>
        <v>Tue</v>
      </c>
      <c r="H3872" t="str">
        <f>IF(WEEKDAY(A3872,2)&gt;5,"Weekend","Weekday")</f>
        <v>Weekday</v>
      </c>
      <c r="I3872" t="str">
        <f>_xlfn.IFS(B3872&lt;=5,"Night (0-5)",B3872&lt;=9,"Morning peak (6-9)",B3872&lt;=15,"Midday (10-15)",B3872&lt;=19,"Evening peak (16-19)",TRUE,"Late evening (20-23)")</f>
        <v>Morning peak (6-9)</v>
      </c>
    </row>
    <row r="3873" spans="1:9">
      <c r="A3873" s="32">
        <v>41891</v>
      </c>
      <c r="B3873">
        <v>7</v>
      </c>
      <c r="C3873">
        <v>1778</v>
      </c>
      <c r="D3873" t="s">
        <v>303</v>
      </c>
      <c r="E3873">
        <f>YEAR(A3873)</f>
        <v>2014</v>
      </c>
      <c r="F3873" s="33">
        <f>DATE(YEAR(A3873),MONTH(A3873),1)</f>
        <v>41883.0</v>
      </c>
      <c r="G3873" t="str">
        <f>CHOOSE(WEEKDAY(A3873,2),"Mon","Tue","Wed","Thu","Fri","Sat","Sun")</f>
        <v>Tue</v>
      </c>
      <c r="H3873" t="str">
        <f>IF(WEEKDAY(A3873,2)&gt;5,"Weekend","Weekday")</f>
        <v>Weekday</v>
      </c>
      <c r="I3873" t="str">
        <f>_xlfn.IFS(B3873&lt;=5,"Night (0-5)",B3873&lt;=9,"Morning peak (6-9)",B3873&lt;=15,"Midday (10-15)",B3873&lt;=19,"Evening peak (16-19)",TRUE,"Late evening (20-23)")</f>
        <v>Morning peak (6-9)</v>
      </c>
    </row>
    <row r="3874" spans="1:9">
      <c r="A3874" s="32">
        <v>41891</v>
      </c>
      <c r="B3874">
        <v>8</v>
      </c>
      <c r="C3874">
        <v>1785</v>
      </c>
      <c r="D3874" t="s">
        <v>303</v>
      </c>
      <c r="E3874">
        <f>YEAR(A3874)</f>
        <v>2014</v>
      </c>
      <c r="F3874" s="33">
        <f>DATE(YEAR(A3874),MONTH(A3874),1)</f>
        <v>41883.0</v>
      </c>
      <c r="G3874" t="str">
        <f>CHOOSE(WEEKDAY(A3874,2),"Mon","Tue","Wed","Thu","Fri","Sat","Sun")</f>
        <v>Tue</v>
      </c>
      <c r="H3874" t="str">
        <f>IF(WEEKDAY(A3874,2)&gt;5,"Weekend","Weekday")</f>
        <v>Weekday</v>
      </c>
      <c r="I3874" t="str">
        <f>_xlfn.IFS(B3874&lt;=5,"Night (0-5)",B3874&lt;=9,"Morning peak (6-9)",B3874&lt;=15,"Midday (10-15)",B3874&lt;=19,"Evening peak (16-19)",TRUE,"Late evening (20-23)")</f>
        <v>Morning peak (6-9)</v>
      </c>
    </row>
    <row r="3875" spans="1:9">
      <c r="A3875" s="32">
        <v>41891</v>
      </c>
      <c r="B3875">
        <v>9</v>
      </c>
      <c r="C3875">
        <v>1330</v>
      </c>
      <c r="D3875" t="s">
        <v>303</v>
      </c>
      <c r="E3875">
        <f>YEAR(A3875)</f>
        <v>2014</v>
      </c>
      <c r="F3875" s="33">
        <f>DATE(YEAR(A3875),MONTH(A3875),1)</f>
        <v>41883.0</v>
      </c>
      <c r="G3875" t="str">
        <f>CHOOSE(WEEKDAY(A3875,2),"Mon","Tue","Wed","Thu","Fri","Sat","Sun")</f>
        <v>Tue</v>
      </c>
      <c r="H3875" t="str">
        <f>IF(WEEKDAY(A3875,2)&gt;5,"Weekend","Weekday")</f>
        <v>Weekday</v>
      </c>
      <c r="I3875" t="str">
        <f>_xlfn.IFS(B3875&lt;=5,"Night (0-5)",B3875&lt;=9,"Morning peak (6-9)",B3875&lt;=15,"Midday (10-15)",B3875&lt;=19,"Evening peak (16-19)",TRUE,"Late evening (20-23)")</f>
        <v>Morning peak (6-9)</v>
      </c>
    </row>
    <row r="3876" spans="1:9">
      <c r="A3876" s="32">
        <v>41891</v>
      </c>
      <c r="B3876">
        <v>10</v>
      </c>
      <c r="C3876">
        <v>1293</v>
      </c>
      <c r="D3876" t="s">
        <v>303</v>
      </c>
      <c r="E3876">
        <f>YEAR(A3876)</f>
        <v>2014</v>
      </c>
      <c r="F3876" s="33">
        <f>DATE(YEAR(A3876),MONTH(A3876),1)</f>
        <v>41883.0</v>
      </c>
      <c r="G3876" t="str">
        <f>CHOOSE(WEEKDAY(A3876,2),"Mon","Tue","Wed","Thu","Fri","Sat","Sun")</f>
        <v>Tue</v>
      </c>
      <c r="H3876" t="str">
        <f>IF(WEEKDAY(A3876,2)&gt;5,"Weekend","Weekday")</f>
        <v>Weekday</v>
      </c>
      <c r="I3876" t="str">
        <f>_xlfn.IFS(B3876&lt;=5,"Night (0-5)",B3876&lt;=9,"Morning peak (6-9)",B3876&lt;=15,"Midday (10-15)",B3876&lt;=19,"Evening peak (16-19)",TRUE,"Late evening (20-23)")</f>
        <v>Midday (10-15)</v>
      </c>
    </row>
    <row r="3877" spans="1:9">
      <c r="A3877" s="32">
        <v>41891</v>
      </c>
      <c r="B3877">
        <v>11</v>
      </c>
      <c r="C3877">
        <v>1294</v>
      </c>
      <c r="D3877" t="s">
        <v>303</v>
      </c>
      <c r="E3877">
        <f>YEAR(A3877)</f>
        <v>2014</v>
      </c>
      <c r="F3877" s="33">
        <f>DATE(YEAR(A3877),MONTH(A3877),1)</f>
        <v>41883.0</v>
      </c>
      <c r="G3877" t="str">
        <f>CHOOSE(WEEKDAY(A3877,2),"Mon","Tue","Wed","Thu","Fri","Sat","Sun")</f>
        <v>Tue</v>
      </c>
      <c r="H3877" t="str">
        <f>IF(WEEKDAY(A3877,2)&gt;5,"Weekend","Weekday")</f>
        <v>Weekday</v>
      </c>
      <c r="I3877" t="str">
        <f>_xlfn.IFS(B3877&lt;=5,"Night (0-5)",B3877&lt;=9,"Morning peak (6-9)",B3877&lt;=15,"Midday (10-15)",B3877&lt;=19,"Evening peak (16-19)",TRUE,"Late evening (20-23)")</f>
        <v>Midday (10-15)</v>
      </c>
    </row>
    <row r="3878" spans="1:9">
      <c r="A3878" s="32">
        <v>41891</v>
      </c>
      <c r="B3878">
        <v>12</v>
      </c>
      <c r="C3878">
        <v>1319</v>
      </c>
      <c r="D3878" t="s">
        <v>303</v>
      </c>
      <c r="E3878">
        <f>YEAR(A3878)</f>
        <v>2014</v>
      </c>
      <c r="F3878" s="33">
        <f>DATE(YEAR(A3878),MONTH(A3878),1)</f>
        <v>41883.0</v>
      </c>
      <c r="G3878" t="str">
        <f>CHOOSE(WEEKDAY(A3878,2),"Mon","Tue","Wed","Thu","Fri","Sat","Sun")</f>
        <v>Tue</v>
      </c>
      <c r="H3878" t="str">
        <f>IF(WEEKDAY(A3878,2)&gt;5,"Weekend","Weekday")</f>
        <v>Weekday</v>
      </c>
      <c r="I3878" t="str">
        <f>_xlfn.IFS(B3878&lt;=5,"Night (0-5)",B3878&lt;=9,"Morning peak (6-9)",B3878&lt;=15,"Midday (10-15)",B3878&lt;=19,"Evening peak (16-19)",TRUE,"Late evening (20-23)")</f>
        <v>Midday (10-15)</v>
      </c>
    </row>
    <row r="3879" spans="1:9">
      <c r="A3879" s="32">
        <v>41891</v>
      </c>
      <c r="B3879">
        <v>13</v>
      </c>
      <c r="C3879">
        <v>1639</v>
      </c>
      <c r="D3879" t="s">
        <v>303</v>
      </c>
      <c r="E3879">
        <f>YEAR(A3879)</f>
        <v>2014</v>
      </c>
      <c r="F3879" s="33">
        <f>DATE(YEAR(A3879),MONTH(A3879),1)</f>
        <v>41883.0</v>
      </c>
      <c r="G3879" t="str">
        <f>CHOOSE(WEEKDAY(A3879,2),"Mon","Tue","Wed","Thu","Fri","Sat","Sun")</f>
        <v>Tue</v>
      </c>
      <c r="H3879" t="str">
        <f>IF(WEEKDAY(A3879,2)&gt;5,"Weekend","Weekday")</f>
        <v>Weekday</v>
      </c>
      <c r="I3879" t="str">
        <f>_xlfn.IFS(B3879&lt;=5,"Night (0-5)",B3879&lt;=9,"Morning peak (6-9)",B3879&lt;=15,"Midday (10-15)",B3879&lt;=19,"Evening peak (16-19)",TRUE,"Late evening (20-23)")</f>
        <v>Midday (10-15)</v>
      </c>
    </row>
    <row r="3880" spans="1:9">
      <c r="A3880" s="32">
        <v>41891</v>
      </c>
      <c r="B3880">
        <v>14</v>
      </c>
      <c r="C3880">
        <v>2028</v>
      </c>
      <c r="D3880" t="s">
        <v>303</v>
      </c>
      <c r="E3880">
        <f>YEAR(A3880)</f>
        <v>2014</v>
      </c>
      <c r="F3880" s="33">
        <f>DATE(YEAR(A3880),MONTH(A3880),1)</f>
        <v>41883.0</v>
      </c>
      <c r="G3880" t="str">
        <f>CHOOSE(WEEKDAY(A3880,2),"Mon","Tue","Wed","Thu","Fri","Sat","Sun")</f>
        <v>Tue</v>
      </c>
      <c r="H3880" t="str">
        <f>IF(WEEKDAY(A3880,2)&gt;5,"Weekend","Weekday")</f>
        <v>Weekday</v>
      </c>
      <c r="I3880" t="str">
        <f>_xlfn.IFS(B3880&lt;=5,"Night (0-5)",B3880&lt;=9,"Morning peak (6-9)",B3880&lt;=15,"Midday (10-15)",B3880&lt;=19,"Evening peak (16-19)",TRUE,"Late evening (20-23)")</f>
        <v>Midday (10-15)</v>
      </c>
    </row>
    <row r="3881" spans="1:9">
      <c r="A3881" s="32">
        <v>41891</v>
      </c>
      <c r="B3881">
        <v>15</v>
      </c>
      <c r="C3881">
        <v>2234</v>
      </c>
      <c r="D3881" t="s">
        <v>303</v>
      </c>
      <c r="E3881">
        <f>YEAR(A3881)</f>
        <v>2014</v>
      </c>
      <c r="F3881" s="33">
        <f>DATE(YEAR(A3881),MONTH(A3881),1)</f>
        <v>41883.0</v>
      </c>
      <c r="G3881" t="str">
        <f>CHOOSE(WEEKDAY(A3881,2),"Mon","Tue","Wed","Thu","Fri","Sat","Sun")</f>
        <v>Tue</v>
      </c>
      <c r="H3881" t="str">
        <f>IF(WEEKDAY(A3881,2)&gt;5,"Weekend","Weekday")</f>
        <v>Weekday</v>
      </c>
      <c r="I3881" t="str">
        <f>_xlfn.IFS(B3881&lt;=5,"Night (0-5)",B3881&lt;=9,"Morning peak (6-9)",B3881&lt;=15,"Midday (10-15)",B3881&lt;=19,"Evening peak (16-19)",TRUE,"Late evening (20-23)")</f>
        <v>Midday (10-15)</v>
      </c>
    </row>
    <row r="3882" spans="1:9">
      <c r="A3882" s="32">
        <v>41891</v>
      </c>
      <c r="B3882">
        <v>16</v>
      </c>
      <c r="C3882">
        <v>2237</v>
      </c>
      <c r="D3882" t="s">
        <v>303</v>
      </c>
      <c r="E3882">
        <f>YEAR(A3882)</f>
        <v>2014</v>
      </c>
      <c r="F3882" s="33">
        <f>DATE(YEAR(A3882),MONTH(A3882),1)</f>
        <v>41883.0</v>
      </c>
      <c r="G3882" t="str">
        <f>CHOOSE(WEEKDAY(A3882,2),"Mon","Tue","Wed","Thu","Fri","Sat","Sun")</f>
        <v>Tue</v>
      </c>
      <c r="H3882" t="str">
        <f>IF(WEEKDAY(A3882,2)&gt;5,"Weekend","Weekday")</f>
        <v>Weekday</v>
      </c>
      <c r="I3882" t="str">
        <f>_xlfn.IFS(B3882&lt;=5,"Night (0-5)",B3882&lt;=9,"Morning peak (6-9)",B3882&lt;=15,"Midday (10-15)",B3882&lt;=19,"Evening peak (16-19)",TRUE,"Late evening (20-23)")</f>
        <v>Evening peak (16-19)</v>
      </c>
    </row>
    <row r="3883" spans="1:9">
      <c r="A3883" s="32">
        <v>41891</v>
      </c>
      <c r="B3883">
        <v>17</v>
      </c>
      <c r="C3883">
        <v>2616</v>
      </c>
      <c r="D3883" t="s">
        <v>303</v>
      </c>
      <c r="E3883">
        <f>YEAR(A3883)</f>
        <v>2014</v>
      </c>
      <c r="F3883" s="33">
        <f>DATE(YEAR(A3883),MONTH(A3883),1)</f>
        <v>41883.0</v>
      </c>
      <c r="G3883" t="str">
        <f>CHOOSE(WEEKDAY(A3883,2),"Mon","Tue","Wed","Thu","Fri","Sat","Sun")</f>
        <v>Tue</v>
      </c>
      <c r="H3883" t="str">
        <f>IF(WEEKDAY(A3883,2)&gt;5,"Weekend","Weekday")</f>
        <v>Weekday</v>
      </c>
      <c r="I3883" t="str">
        <f>_xlfn.IFS(B3883&lt;=5,"Night (0-5)",B3883&lt;=9,"Morning peak (6-9)",B3883&lt;=15,"Midday (10-15)",B3883&lt;=19,"Evening peak (16-19)",TRUE,"Late evening (20-23)")</f>
        <v>Evening peak (16-19)</v>
      </c>
    </row>
    <row r="3884" spans="1:9">
      <c r="A3884" s="32">
        <v>41891</v>
      </c>
      <c r="B3884">
        <v>18</v>
      </c>
      <c r="C3884">
        <v>2682</v>
      </c>
      <c r="D3884" t="s">
        <v>303</v>
      </c>
      <c r="E3884">
        <f>YEAR(A3884)</f>
        <v>2014</v>
      </c>
      <c r="F3884" s="33">
        <f>DATE(YEAR(A3884),MONTH(A3884),1)</f>
        <v>41883.0</v>
      </c>
      <c r="G3884" t="str">
        <f>CHOOSE(WEEKDAY(A3884,2),"Mon","Tue","Wed","Thu","Fri","Sat","Sun")</f>
        <v>Tue</v>
      </c>
      <c r="H3884" t="str">
        <f>IF(WEEKDAY(A3884,2)&gt;5,"Weekend","Weekday")</f>
        <v>Weekday</v>
      </c>
      <c r="I3884" t="str">
        <f>_xlfn.IFS(B3884&lt;=5,"Night (0-5)",B3884&lt;=9,"Morning peak (6-9)",B3884&lt;=15,"Midday (10-15)",B3884&lt;=19,"Evening peak (16-19)",TRUE,"Late evening (20-23)")</f>
        <v>Evening peak (16-19)</v>
      </c>
    </row>
    <row r="3885" spans="1:9">
      <c r="A3885" s="32">
        <v>41891</v>
      </c>
      <c r="B3885">
        <v>19</v>
      </c>
      <c r="C3885">
        <v>2379</v>
      </c>
      <c r="D3885" t="s">
        <v>303</v>
      </c>
      <c r="E3885">
        <f>YEAR(A3885)</f>
        <v>2014</v>
      </c>
      <c r="F3885" s="33">
        <f>DATE(YEAR(A3885),MONTH(A3885),1)</f>
        <v>41883.0</v>
      </c>
      <c r="G3885" t="str">
        <f>CHOOSE(WEEKDAY(A3885,2),"Mon","Tue","Wed","Thu","Fri","Sat","Sun")</f>
        <v>Tue</v>
      </c>
      <c r="H3885" t="str">
        <f>IF(WEEKDAY(A3885,2)&gt;5,"Weekend","Weekday")</f>
        <v>Weekday</v>
      </c>
      <c r="I3885" t="str">
        <f>_xlfn.IFS(B3885&lt;=5,"Night (0-5)",B3885&lt;=9,"Morning peak (6-9)",B3885&lt;=15,"Midday (10-15)",B3885&lt;=19,"Evening peak (16-19)",TRUE,"Late evening (20-23)")</f>
        <v>Evening peak (16-19)</v>
      </c>
    </row>
    <row r="3886" spans="1:9">
      <c r="A3886" s="32">
        <v>41891</v>
      </c>
      <c r="B3886">
        <v>20</v>
      </c>
      <c r="C3886">
        <v>2181</v>
      </c>
      <c r="D3886" t="s">
        <v>303</v>
      </c>
      <c r="E3886">
        <f>YEAR(A3886)</f>
        <v>2014</v>
      </c>
      <c r="F3886" s="33">
        <f>DATE(YEAR(A3886),MONTH(A3886),1)</f>
        <v>41883.0</v>
      </c>
      <c r="G3886" t="str">
        <f>CHOOSE(WEEKDAY(A3886,2),"Mon","Tue","Wed","Thu","Fri","Sat","Sun")</f>
        <v>Tue</v>
      </c>
      <c r="H3886" t="str">
        <f>IF(WEEKDAY(A3886,2)&gt;5,"Weekend","Weekday")</f>
        <v>Weekday</v>
      </c>
      <c r="I3886" t="str">
        <f>_xlfn.IFS(B3886&lt;=5,"Night (0-5)",B3886&lt;=9,"Morning peak (6-9)",B3886&lt;=15,"Midday (10-15)",B3886&lt;=19,"Evening peak (16-19)",TRUE,"Late evening (20-23)")</f>
        <v>Late evening (20-23)</v>
      </c>
    </row>
    <row r="3887" spans="1:9">
      <c r="A3887" s="32">
        <v>41891</v>
      </c>
      <c r="B3887">
        <v>21</v>
      </c>
      <c r="C3887">
        <v>1908</v>
      </c>
      <c r="D3887" t="s">
        <v>303</v>
      </c>
      <c r="E3887">
        <f>YEAR(A3887)</f>
        <v>2014</v>
      </c>
      <c r="F3887" s="33">
        <f>DATE(YEAR(A3887),MONTH(A3887),1)</f>
        <v>41883.0</v>
      </c>
      <c r="G3887" t="str">
        <f>CHOOSE(WEEKDAY(A3887,2),"Mon","Tue","Wed","Thu","Fri","Sat","Sun")</f>
        <v>Tue</v>
      </c>
      <c r="H3887" t="str">
        <f>IF(WEEKDAY(A3887,2)&gt;5,"Weekend","Weekday")</f>
        <v>Weekday</v>
      </c>
      <c r="I3887" t="str">
        <f>_xlfn.IFS(B3887&lt;=5,"Night (0-5)",B3887&lt;=9,"Morning peak (6-9)",B3887&lt;=15,"Midday (10-15)",B3887&lt;=19,"Evening peak (16-19)",TRUE,"Late evening (20-23)")</f>
        <v>Late evening (20-23)</v>
      </c>
    </row>
    <row r="3888" spans="1:9">
      <c r="A3888" s="32">
        <v>41891</v>
      </c>
      <c r="B3888">
        <v>22</v>
      </c>
      <c r="C3888">
        <v>1427</v>
      </c>
      <c r="D3888" t="s">
        <v>303</v>
      </c>
      <c r="E3888">
        <f>YEAR(A3888)</f>
        <v>2014</v>
      </c>
      <c r="F3888" s="33">
        <f>DATE(YEAR(A3888),MONTH(A3888),1)</f>
        <v>41883.0</v>
      </c>
      <c r="G3888" t="str">
        <f>CHOOSE(WEEKDAY(A3888,2),"Mon","Tue","Wed","Thu","Fri","Sat","Sun")</f>
        <v>Tue</v>
      </c>
      <c r="H3888" t="str">
        <f>IF(WEEKDAY(A3888,2)&gt;5,"Weekend","Weekday")</f>
        <v>Weekday</v>
      </c>
      <c r="I3888" t="str">
        <f>_xlfn.IFS(B3888&lt;=5,"Night (0-5)",B3888&lt;=9,"Morning peak (6-9)",B3888&lt;=15,"Midday (10-15)",B3888&lt;=19,"Evening peak (16-19)",TRUE,"Late evening (20-23)")</f>
        <v>Late evening (20-23)</v>
      </c>
    </row>
    <row r="3889" spans="1:9">
      <c r="A3889" s="32">
        <v>41891</v>
      </c>
      <c r="B3889">
        <v>23</v>
      </c>
      <c r="C3889">
        <v>860</v>
      </c>
      <c r="D3889" t="s">
        <v>303</v>
      </c>
      <c r="E3889">
        <f>YEAR(A3889)</f>
        <v>2014</v>
      </c>
      <c r="F3889" s="33">
        <f>DATE(YEAR(A3889),MONTH(A3889),1)</f>
        <v>41883.0</v>
      </c>
      <c r="G3889" t="str">
        <f>CHOOSE(WEEKDAY(A3889,2),"Mon","Tue","Wed","Thu","Fri","Sat","Sun")</f>
        <v>Tue</v>
      </c>
      <c r="H3889" t="str">
        <f>IF(WEEKDAY(A3889,2)&gt;5,"Weekend","Weekday")</f>
        <v>Weekday</v>
      </c>
      <c r="I3889" t="str">
        <f>_xlfn.IFS(B3889&lt;=5,"Night (0-5)",B3889&lt;=9,"Morning peak (6-9)",B3889&lt;=15,"Midday (10-15)",B3889&lt;=19,"Evening peak (16-19)",TRUE,"Late evening (20-23)")</f>
        <v>Late evening (20-23)</v>
      </c>
    </row>
    <row r="3890" spans="1:9">
      <c r="A3890" s="32">
        <v>41892</v>
      </c>
      <c r="B3890">
        <v>0</v>
      </c>
      <c r="C3890">
        <v>429</v>
      </c>
      <c r="D3890" t="s">
        <v>303</v>
      </c>
      <c r="E3890">
        <f>YEAR(A3890)</f>
        <v>2014</v>
      </c>
      <c r="F3890" s="33">
        <f>DATE(YEAR(A3890),MONTH(A3890),1)</f>
        <v>41883.0</v>
      </c>
      <c r="G3890" t="str">
        <f>CHOOSE(WEEKDAY(A3890,2),"Mon","Tue","Wed","Thu","Fri","Sat","Sun")</f>
        <v>Wed</v>
      </c>
      <c r="H3890" t="str">
        <f>IF(WEEKDAY(A3890,2)&gt;5,"Weekend","Weekday")</f>
        <v>Weekday</v>
      </c>
      <c r="I3890" t="str">
        <f>_xlfn.IFS(B3890&lt;=5,"Night (0-5)",B3890&lt;=9,"Morning peak (6-9)",B3890&lt;=15,"Midday (10-15)",B3890&lt;=19,"Evening peak (16-19)",TRUE,"Late evening (20-23)")</f>
        <v>Night (0-5)</v>
      </c>
    </row>
    <row r="3891" spans="1:9">
      <c r="A3891" s="32">
        <v>41892</v>
      </c>
      <c r="B3891">
        <v>1</v>
      </c>
      <c r="C3891">
        <v>310</v>
      </c>
      <c r="D3891" t="s">
        <v>303</v>
      </c>
      <c r="E3891">
        <f>YEAR(A3891)</f>
        <v>2014</v>
      </c>
      <c r="F3891" s="33">
        <f>DATE(YEAR(A3891),MONTH(A3891),1)</f>
        <v>41883.0</v>
      </c>
      <c r="G3891" t="str">
        <f>CHOOSE(WEEKDAY(A3891,2),"Mon","Tue","Wed","Thu","Fri","Sat","Sun")</f>
        <v>Wed</v>
      </c>
      <c r="H3891" t="str">
        <f>IF(WEEKDAY(A3891,2)&gt;5,"Weekend","Weekday")</f>
        <v>Weekday</v>
      </c>
      <c r="I3891" t="str">
        <f>_xlfn.IFS(B3891&lt;=5,"Night (0-5)",B3891&lt;=9,"Morning peak (6-9)",B3891&lt;=15,"Midday (10-15)",B3891&lt;=19,"Evening peak (16-19)",TRUE,"Late evening (20-23)")</f>
        <v>Night (0-5)</v>
      </c>
    </row>
    <row r="3892" spans="1:9">
      <c r="A3892" s="32">
        <v>41892</v>
      </c>
      <c r="B3892">
        <v>2</v>
      </c>
      <c r="C3892">
        <v>180</v>
      </c>
      <c r="D3892" t="s">
        <v>303</v>
      </c>
      <c r="E3892">
        <f>YEAR(A3892)</f>
        <v>2014</v>
      </c>
      <c r="F3892" s="33">
        <f>DATE(YEAR(A3892),MONTH(A3892),1)</f>
        <v>41883.0</v>
      </c>
      <c r="G3892" t="str">
        <f>CHOOSE(WEEKDAY(A3892,2),"Mon","Tue","Wed","Thu","Fri","Sat","Sun")</f>
        <v>Wed</v>
      </c>
      <c r="H3892" t="str">
        <f>IF(WEEKDAY(A3892,2)&gt;5,"Weekend","Weekday")</f>
        <v>Weekday</v>
      </c>
      <c r="I3892" t="str">
        <f>_xlfn.IFS(B3892&lt;=5,"Night (0-5)",B3892&lt;=9,"Morning peak (6-9)",B3892&lt;=15,"Midday (10-15)",B3892&lt;=19,"Evening peak (16-19)",TRUE,"Late evening (20-23)")</f>
        <v>Night (0-5)</v>
      </c>
    </row>
    <row r="3893" spans="1:9">
      <c r="A3893" s="32">
        <v>41892</v>
      </c>
      <c r="B3893">
        <v>3</v>
      </c>
      <c r="C3893">
        <v>238</v>
      </c>
      <c r="D3893" t="s">
        <v>303</v>
      </c>
      <c r="E3893">
        <f>YEAR(A3893)</f>
        <v>2014</v>
      </c>
      <c r="F3893" s="33">
        <f>DATE(YEAR(A3893),MONTH(A3893),1)</f>
        <v>41883.0</v>
      </c>
      <c r="G3893" t="str">
        <f>CHOOSE(WEEKDAY(A3893,2),"Mon","Tue","Wed","Thu","Fri","Sat","Sun")</f>
        <v>Wed</v>
      </c>
      <c r="H3893" t="str">
        <f>IF(WEEKDAY(A3893,2)&gt;5,"Weekend","Weekday")</f>
        <v>Weekday</v>
      </c>
      <c r="I3893" t="str">
        <f>_xlfn.IFS(B3893&lt;=5,"Night (0-5)",B3893&lt;=9,"Morning peak (6-9)",B3893&lt;=15,"Midday (10-15)",B3893&lt;=19,"Evening peak (16-19)",TRUE,"Late evening (20-23)")</f>
        <v>Night (0-5)</v>
      </c>
    </row>
    <row r="3894" spans="1:9">
      <c r="A3894" s="32">
        <v>41892</v>
      </c>
      <c r="B3894">
        <v>4</v>
      </c>
      <c r="C3894">
        <v>396</v>
      </c>
      <c r="D3894" t="s">
        <v>303</v>
      </c>
      <c r="E3894">
        <f>YEAR(A3894)</f>
        <v>2014</v>
      </c>
      <c r="F3894" s="33">
        <f>DATE(YEAR(A3894),MONTH(A3894),1)</f>
        <v>41883.0</v>
      </c>
      <c r="G3894" t="str">
        <f>CHOOSE(WEEKDAY(A3894,2),"Mon","Tue","Wed","Thu","Fri","Sat","Sun")</f>
        <v>Wed</v>
      </c>
      <c r="H3894" t="str">
        <f>IF(WEEKDAY(A3894,2)&gt;5,"Weekend","Weekday")</f>
        <v>Weekday</v>
      </c>
      <c r="I3894" t="str">
        <f>_xlfn.IFS(B3894&lt;=5,"Night (0-5)",B3894&lt;=9,"Morning peak (6-9)",B3894&lt;=15,"Midday (10-15)",B3894&lt;=19,"Evening peak (16-19)",TRUE,"Late evening (20-23)")</f>
        <v>Night (0-5)</v>
      </c>
    </row>
    <row r="3895" spans="1:9">
      <c r="A3895" s="32">
        <v>41892</v>
      </c>
      <c r="B3895">
        <v>5</v>
      </c>
      <c r="C3895">
        <v>792</v>
      </c>
      <c r="D3895" t="s">
        <v>303</v>
      </c>
      <c r="E3895">
        <f>YEAR(A3895)</f>
        <v>2014</v>
      </c>
      <c r="F3895" s="33">
        <f>DATE(YEAR(A3895),MONTH(A3895),1)</f>
        <v>41883.0</v>
      </c>
      <c r="G3895" t="str">
        <f>CHOOSE(WEEKDAY(A3895,2),"Mon","Tue","Wed","Thu","Fri","Sat","Sun")</f>
        <v>Wed</v>
      </c>
      <c r="H3895" t="str">
        <f>IF(WEEKDAY(A3895,2)&gt;5,"Weekend","Weekday")</f>
        <v>Weekday</v>
      </c>
      <c r="I3895" t="str">
        <f>_xlfn.IFS(B3895&lt;=5,"Night (0-5)",B3895&lt;=9,"Morning peak (6-9)",B3895&lt;=15,"Midday (10-15)",B3895&lt;=19,"Evening peak (16-19)",TRUE,"Late evening (20-23)")</f>
        <v>Night (0-5)</v>
      </c>
    </row>
    <row r="3896" spans="1:9">
      <c r="A3896" s="32">
        <v>41892</v>
      </c>
      <c r="B3896">
        <v>6</v>
      </c>
      <c r="C3896">
        <v>1353</v>
      </c>
      <c r="D3896" t="s">
        <v>303</v>
      </c>
      <c r="E3896">
        <f>YEAR(A3896)</f>
        <v>2014</v>
      </c>
      <c r="F3896" s="33">
        <f>DATE(YEAR(A3896),MONTH(A3896),1)</f>
        <v>41883.0</v>
      </c>
      <c r="G3896" t="str">
        <f>CHOOSE(WEEKDAY(A3896,2),"Mon","Tue","Wed","Thu","Fri","Sat","Sun")</f>
        <v>Wed</v>
      </c>
      <c r="H3896" t="str">
        <f>IF(WEEKDAY(A3896,2)&gt;5,"Weekend","Weekday")</f>
        <v>Weekday</v>
      </c>
      <c r="I3896" t="str">
        <f>_xlfn.IFS(B3896&lt;=5,"Night (0-5)",B3896&lt;=9,"Morning peak (6-9)",B3896&lt;=15,"Midday (10-15)",B3896&lt;=19,"Evening peak (16-19)",TRUE,"Late evening (20-23)")</f>
        <v>Morning peak (6-9)</v>
      </c>
    </row>
    <row r="3897" spans="1:9">
      <c r="A3897" s="32">
        <v>41892</v>
      </c>
      <c r="B3897">
        <v>7</v>
      </c>
      <c r="C3897">
        <v>1687</v>
      </c>
      <c r="D3897" t="s">
        <v>303</v>
      </c>
      <c r="E3897">
        <f>YEAR(A3897)</f>
        <v>2014</v>
      </c>
      <c r="F3897" s="33">
        <f>DATE(YEAR(A3897),MONTH(A3897),1)</f>
        <v>41883.0</v>
      </c>
      <c r="G3897" t="str">
        <f>CHOOSE(WEEKDAY(A3897,2),"Mon","Tue","Wed","Thu","Fri","Sat","Sun")</f>
        <v>Wed</v>
      </c>
      <c r="H3897" t="str">
        <f>IF(WEEKDAY(A3897,2)&gt;5,"Weekend","Weekday")</f>
        <v>Weekday</v>
      </c>
      <c r="I3897" t="str">
        <f>_xlfn.IFS(B3897&lt;=5,"Night (0-5)",B3897&lt;=9,"Morning peak (6-9)",B3897&lt;=15,"Midday (10-15)",B3897&lt;=19,"Evening peak (16-19)",TRUE,"Late evening (20-23)")</f>
        <v>Morning peak (6-9)</v>
      </c>
    </row>
    <row r="3898" spans="1:9">
      <c r="A3898" s="32">
        <v>41892</v>
      </c>
      <c r="B3898">
        <v>8</v>
      </c>
      <c r="C3898">
        <v>1785</v>
      </c>
      <c r="D3898" t="s">
        <v>303</v>
      </c>
      <c r="E3898">
        <f>YEAR(A3898)</f>
        <v>2014</v>
      </c>
      <c r="F3898" s="33">
        <f>DATE(YEAR(A3898),MONTH(A3898),1)</f>
        <v>41883.0</v>
      </c>
      <c r="G3898" t="str">
        <f>CHOOSE(WEEKDAY(A3898,2),"Mon","Tue","Wed","Thu","Fri","Sat","Sun")</f>
        <v>Wed</v>
      </c>
      <c r="H3898" t="str">
        <f>IF(WEEKDAY(A3898,2)&gt;5,"Weekend","Weekday")</f>
        <v>Weekday</v>
      </c>
      <c r="I3898" t="str">
        <f>_xlfn.IFS(B3898&lt;=5,"Night (0-5)",B3898&lt;=9,"Morning peak (6-9)",B3898&lt;=15,"Midday (10-15)",B3898&lt;=19,"Evening peak (16-19)",TRUE,"Late evening (20-23)")</f>
        <v>Morning peak (6-9)</v>
      </c>
    </row>
    <row r="3899" spans="1:9">
      <c r="A3899" s="32">
        <v>41892</v>
      </c>
      <c r="B3899">
        <v>9</v>
      </c>
      <c r="C3899">
        <v>1434</v>
      </c>
      <c r="D3899" t="s">
        <v>303</v>
      </c>
      <c r="E3899">
        <f>YEAR(A3899)</f>
        <v>2014</v>
      </c>
      <c r="F3899" s="33">
        <f>DATE(YEAR(A3899),MONTH(A3899),1)</f>
        <v>41883.0</v>
      </c>
      <c r="G3899" t="str">
        <f>CHOOSE(WEEKDAY(A3899,2),"Mon","Tue","Wed","Thu","Fri","Sat","Sun")</f>
        <v>Wed</v>
      </c>
      <c r="H3899" t="str">
        <f>IF(WEEKDAY(A3899,2)&gt;5,"Weekend","Weekday")</f>
        <v>Weekday</v>
      </c>
      <c r="I3899" t="str">
        <f>_xlfn.IFS(B3899&lt;=5,"Night (0-5)",B3899&lt;=9,"Morning peak (6-9)",B3899&lt;=15,"Midday (10-15)",B3899&lt;=19,"Evening peak (16-19)",TRUE,"Late evening (20-23)")</f>
        <v>Morning peak (6-9)</v>
      </c>
    </row>
    <row r="3900" spans="1:9">
      <c r="A3900" s="32">
        <v>41892</v>
      </c>
      <c r="B3900">
        <v>10</v>
      </c>
      <c r="C3900">
        <v>1286</v>
      </c>
      <c r="D3900" t="s">
        <v>303</v>
      </c>
      <c r="E3900">
        <f>YEAR(A3900)</f>
        <v>2014</v>
      </c>
      <c r="F3900" s="33">
        <f>DATE(YEAR(A3900),MONTH(A3900),1)</f>
        <v>41883.0</v>
      </c>
      <c r="G3900" t="str">
        <f>CHOOSE(WEEKDAY(A3900,2),"Mon","Tue","Wed","Thu","Fri","Sat","Sun")</f>
        <v>Wed</v>
      </c>
      <c r="H3900" t="str">
        <f>IF(WEEKDAY(A3900,2)&gt;5,"Weekend","Weekday")</f>
        <v>Weekday</v>
      </c>
      <c r="I3900" t="str">
        <f>_xlfn.IFS(B3900&lt;=5,"Night (0-5)",B3900&lt;=9,"Morning peak (6-9)",B3900&lt;=15,"Midday (10-15)",B3900&lt;=19,"Evening peak (16-19)",TRUE,"Late evening (20-23)")</f>
        <v>Midday (10-15)</v>
      </c>
    </row>
    <row r="3901" spans="1:9">
      <c r="A3901" s="32">
        <v>41892</v>
      </c>
      <c r="B3901">
        <v>11</v>
      </c>
      <c r="C3901">
        <v>1408</v>
      </c>
      <c r="D3901" t="s">
        <v>303</v>
      </c>
      <c r="E3901">
        <f>YEAR(A3901)</f>
        <v>2014</v>
      </c>
      <c r="F3901" s="33">
        <f>DATE(YEAR(A3901),MONTH(A3901),1)</f>
        <v>41883.0</v>
      </c>
      <c r="G3901" t="str">
        <f>CHOOSE(WEEKDAY(A3901,2),"Mon","Tue","Wed","Thu","Fri","Sat","Sun")</f>
        <v>Wed</v>
      </c>
      <c r="H3901" t="str">
        <f>IF(WEEKDAY(A3901,2)&gt;5,"Weekend","Weekday")</f>
        <v>Weekday</v>
      </c>
      <c r="I3901" t="str">
        <f>_xlfn.IFS(B3901&lt;=5,"Night (0-5)",B3901&lt;=9,"Morning peak (6-9)",B3901&lt;=15,"Midday (10-15)",B3901&lt;=19,"Evening peak (16-19)",TRUE,"Late evening (20-23)")</f>
        <v>Midday (10-15)</v>
      </c>
    </row>
    <row r="3902" spans="1:9">
      <c r="A3902" s="32">
        <v>41892</v>
      </c>
      <c r="B3902">
        <v>12</v>
      </c>
      <c r="C3902">
        <v>1372</v>
      </c>
      <c r="D3902" t="s">
        <v>303</v>
      </c>
      <c r="E3902">
        <f>YEAR(A3902)</f>
        <v>2014</v>
      </c>
      <c r="F3902" s="33">
        <f>DATE(YEAR(A3902),MONTH(A3902),1)</f>
        <v>41883.0</v>
      </c>
      <c r="G3902" t="str">
        <f>CHOOSE(WEEKDAY(A3902,2),"Mon","Tue","Wed","Thu","Fri","Sat","Sun")</f>
        <v>Wed</v>
      </c>
      <c r="H3902" t="str">
        <f>IF(WEEKDAY(A3902,2)&gt;5,"Weekend","Weekday")</f>
        <v>Weekday</v>
      </c>
      <c r="I3902" t="str">
        <f>_xlfn.IFS(B3902&lt;=5,"Night (0-5)",B3902&lt;=9,"Morning peak (6-9)",B3902&lt;=15,"Midday (10-15)",B3902&lt;=19,"Evening peak (16-19)",TRUE,"Late evening (20-23)")</f>
        <v>Midday (10-15)</v>
      </c>
    </row>
    <row r="3903" spans="1:9">
      <c r="A3903" s="32">
        <v>41892</v>
      </c>
      <c r="B3903">
        <v>13</v>
      </c>
      <c r="C3903">
        <v>1551</v>
      </c>
      <c r="D3903" t="s">
        <v>303</v>
      </c>
      <c r="E3903">
        <f>YEAR(A3903)</f>
        <v>2014</v>
      </c>
      <c r="F3903" s="33">
        <f>DATE(YEAR(A3903),MONTH(A3903),1)</f>
        <v>41883.0</v>
      </c>
      <c r="G3903" t="str">
        <f>CHOOSE(WEEKDAY(A3903,2),"Mon","Tue","Wed","Thu","Fri","Sat","Sun")</f>
        <v>Wed</v>
      </c>
      <c r="H3903" t="str">
        <f>IF(WEEKDAY(A3903,2)&gt;5,"Weekend","Weekday")</f>
        <v>Weekday</v>
      </c>
      <c r="I3903" t="str">
        <f>_xlfn.IFS(B3903&lt;=5,"Night (0-5)",B3903&lt;=9,"Morning peak (6-9)",B3903&lt;=15,"Midday (10-15)",B3903&lt;=19,"Evening peak (16-19)",TRUE,"Late evening (20-23)")</f>
        <v>Midday (10-15)</v>
      </c>
    </row>
    <row r="3904" spans="1:9">
      <c r="A3904" s="32">
        <v>41892</v>
      </c>
      <c r="B3904">
        <v>14</v>
      </c>
      <c r="C3904">
        <v>1814</v>
      </c>
      <c r="D3904" t="s">
        <v>303</v>
      </c>
      <c r="E3904">
        <f>YEAR(A3904)</f>
        <v>2014</v>
      </c>
      <c r="F3904" s="33">
        <f>DATE(YEAR(A3904),MONTH(A3904),1)</f>
        <v>41883.0</v>
      </c>
      <c r="G3904" t="str">
        <f>CHOOSE(WEEKDAY(A3904,2),"Mon","Tue","Wed","Thu","Fri","Sat","Sun")</f>
        <v>Wed</v>
      </c>
      <c r="H3904" t="str">
        <f>IF(WEEKDAY(A3904,2)&gt;5,"Weekend","Weekday")</f>
        <v>Weekday</v>
      </c>
      <c r="I3904" t="str">
        <f>_xlfn.IFS(B3904&lt;=5,"Night (0-5)",B3904&lt;=9,"Morning peak (6-9)",B3904&lt;=15,"Midday (10-15)",B3904&lt;=19,"Evening peak (16-19)",TRUE,"Late evening (20-23)")</f>
        <v>Midday (10-15)</v>
      </c>
    </row>
    <row r="3905" spans="1:9">
      <c r="A3905" s="32">
        <v>41892</v>
      </c>
      <c r="B3905">
        <v>15</v>
      </c>
      <c r="C3905">
        <v>2218</v>
      </c>
      <c r="D3905" t="s">
        <v>303</v>
      </c>
      <c r="E3905">
        <f>YEAR(A3905)</f>
        <v>2014</v>
      </c>
      <c r="F3905" s="33">
        <f>DATE(YEAR(A3905),MONTH(A3905),1)</f>
        <v>41883.0</v>
      </c>
      <c r="G3905" t="str">
        <f>CHOOSE(WEEKDAY(A3905,2),"Mon","Tue","Wed","Thu","Fri","Sat","Sun")</f>
        <v>Wed</v>
      </c>
      <c r="H3905" t="str">
        <f>IF(WEEKDAY(A3905,2)&gt;5,"Weekend","Weekday")</f>
        <v>Weekday</v>
      </c>
      <c r="I3905" t="str">
        <f>_xlfn.IFS(B3905&lt;=5,"Night (0-5)",B3905&lt;=9,"Morning peak (6-9)",B3905&lt;=15,"Midday (10-15)",B3905&lt;=19,"Evening peak (16-19)",TRUE,"Late evening (20-23)")</f>
        <v>Midday (10-15)</v>
      </c>
    </row>
    <row r="3906" spans="1:9">
      <c r="A3906" s="32">
        <v>41892</v>
      </c>
      <c r="B3906">
        <v>16</v>
      </c>
      <c r="C3906">
        <v>2469</v>
      </c>
      <c r="D3906" t="s">
        <v>303</v>
      </c>
      <c r="E3906">
        <f>YEAR(A3906)</f>
        <v>2014</v>
      </c>
      <c r="F3906" s="33">
        <f>DATE(YEAR(A3906),MONTH(A3906),1)</f>
        <v>41883.0</v>
      </c>
      <c r="G3906" t="str">
        <f>CHOOSE(WEEKDAY(A3906,2),"Mon","Tue","Wed","Thu","Fri","Sat","Sun")</f>
        <v>Wed</v>
      </c>
      <c r="H3906" t="str">
        <f>IF(WEEKDAY(A3906,2)&gt;5,"Weekend","Weekday")</f>
        <v>Weekday</v>
      </c>
      <c r="I3906" t="str">
        <f>_xlfn.IFS(B3906&lt;=5,"Night (0-5)",B3906&lt;=9,"Morning peak (6-9)",B3906&lt;=15,"Midday (10-15)",B3906&lt;=19,"Evening peak (16-19)",TRUE,"Late evening (20-23)")</f>
        <v>Evening peak (16-19)</v>
      </c>
    </row>
    <row r="3907" spans="1:9">
      <c r="A3907" s="32">
        <v>41892</v>
      </c>
      <c r="B3907">
        <v>17</v>
      </c>
      <c r="C3907">
        <v>2784</v>
      </c>
      <c r="D3907" t="s">
        <v>303</v>
      </c>
      <c r="E3907">
        <f>YEAR(A3907)</f>
        <v>2014</v>
      </c>
      <c r="F3907" s="33">
        <f>DATE(YEAR(A3907),MONTH(A3907),1)</f>
        <v>41883.0</v>
      </c>
      <c r="G3907" t="str">
        <f>CHOOSE(WEEKDAY(A3907,2),"Mon","Tue","Wed","Thu","Fri","Sat","Sun")</f>
        <v>Wed</v>
      </c>
      <c r="H3907" t="str">
        <f>IF(WEEKDAY(A3907,2)&gt;5,"Weekend","Weekday")</f>
        <v>Weekday</v>
      </c>
      <c r="I3907" t="str">
        <f>_xlfn.IFS(B3907&lt;=5,"Night (0-5)",B3907&lt;=9,"Morning peak (6-9)",B3907&lt;=15,"Midday (10-15)",B3907&lt;=19,"Evening peak (16-19)",TRUE,"Late evening (20-23)")</f>
        <v>Evening peak (16-19)</v>
      </c>
    </row>
    <row r="3908" spans="1:9">
      <c r="A3908" s="32">
        <v>41892</v>
      </c>
      <c r="B3908">
        <v>18</v>
      </c>
      <c r="C3908">
        <v>2839</v>
      </c>
      <c r="D3908" t="s">
        <v>303</v>
      </c>
      <c r="E3908">
        <f>YEAR(A3908)</f>
        <v>2014</v>
      </c>
      <c r="F3908" s="33">
        <f>DATE(YEAR(A3908),MONTH(A3908),1)</f>
        <v>41883.0</v>
      </c>
      <c r="G3908" t="str">
        <f>CHOOSE(WEEKDAY(A3908,2),"Mon","Tue","Wed","Thu","Fri","Sat","Sun")</f>
        <v>Wed</v>
      </c>
      <c r="H3908" t="str">
        <f>IF(WEEKDAY(A3908,2)&gt;5,"Weekend","Weekday")</f>
        <v>Weekday</v>
      </c>
      <c r="I3908" t="str">
        <f>_xlfn.IFS(B3908&lt;=5,"Night (0-5)",B3908&lt;=9,"Morning peak (6-9)",B3908&lt;=15,"Midday (10-15)",B3908&lt;=19,"Evening peak (16-19)",TRUE,"Late evening (20-23)")</f>
        <v>Evening peak (16-19)</v>
      </c>
    </row>
    <row r="3909" spans="1:9">
      <c r="A3909" s="32">
        <v>41892</v>
      </c>
      <c r="B3909">
        <v>19</v>
      </c>
      <c r="C3909">
        <v>2567</v>
      </c>
      <c r="D3909" t="s">
        <v>303</v>
      </c>
      <c r="E3909">
        <f>YEAR(A3909)</f>
        <v>2014</v>
      </c>
      <c r="F3909" s="33">
        <f>DATE(YEAR(A3909),MONTH(A3909),1)</f>
        <v>41883.0</v>
      </c>
      <c r="G3909" t="str">
        <f>CHOOSE(WEEKDAY(A3909,2),"Mon","Tue","Wed","Thu","Fri","Sat","Sun")</f>
        <v>Wed</v>
      </c>
      <c r="H3909" t="str">
        <f>IF(WEEKDAY(A3909,2)&gt;5,"Weekend","Weekday")</f>
        <v>Weekday</v>
      </c>
      <c r="I3909" t="str">
        <f>_xlfn.IFS(B3909&lt;=5,"Night (0-5)",B3909&lt;=9,"Morning peak (6-9)",B3909&lt;=15,"Midday (10-15)",B3909&lt;=19,"Evening peak (16-19)",TRUE,"Late evening (20-23)")</f>
        <v>Evening peak (16-19)</v>
      </c>
    </row>
    <row r="3910" spans="1:9">
      <c r="A3910" s="32">
        <v>41892</v>
      </c>
      <c r="B3910">
        <v>20</v>
      </c>
      <c r="C3910">
        <v>2416</v>
      </c>
      <c r="D3910" t="s">
        <v>303</v>
      </c>
      <c r="E3910">
        <f>YEAR(A3910)</f>
        <v>2014</v>
      </c>
      <c r="F3910" s="33">
        <f>DATE(YEAR(A3910),MONTH(A3910),1)</f>
        <v>41883.0</v>
      </c>
      <c r="G3910" t="str">
        <f>CHOOSE(WEEKDAY(A3910,2),"Mon","Tue","Wed","Thu","Fri","Sat","Sun")</f>
        <v>Wed</v>
      </c>
      <c r="H3910" t="str">
        <f>IF(WEEKDAY(A3910,2)&gt;5,"Weekend","Weekday")</f>
        <v>Weekday</v>
      </c>
      <c r="I3910" t="str">
        <f>_xlfn.IFS(B3910&lt;=5,"Night (0-5)",B3910&lt;=9,"Morning peak (6-9)",B3910&lt;=15,"Midday (10-15)",B3910&lt;=19,"Evening peak (16-19)",TRUE,"Late evening (20-23)")</f>
        <v>Late evening (20-23)</v>
      </c>
    </row>
    <row r="3911" spans="1:9">
      <c r="A3911" s="32">
        <v>41892</v>
      </c>
      <c r="B3911">
        <v>21</v>
      </c>
      <c r="C3911">
        <v>2050</v>
      </c>
      <c r="D3911" t="s">
        <v>303</v>
      </c>
      <c r="E3911">
        <f>YEAR(A3911)</f>
        <v>2014</v>
      </c>
      <c r="F3911" s="33">
        <f>DATE(YEAR(A3911),MONTH(A3911),1)</f>
        <v>41883.0</v>
      </c>
      <c r="G3911" t="str">
        <f>CHOOSE(WEEKDAY(A3911,2),"Mon","Tue","Wed","Thu","Fri","Sat","Sun")</f>
        <v>Wed</v>
      </c>
      <c r="H3911" t="str">
        <f>IF(WEEKDAY(A3911,2)&gt;5,"Weekend","Weekday")</f>
        <v>Weekday</v>
      </c>
      <c r="I3911" t="str">
        <f>_xlfn.IFS(B3911&lt;=5,"Night (0-5)",B3911&lt;=9,"Morning peak (6-9)",B3911&lt;=15,"Midday (10-15)",B3911&lt;=19,"Evening peak (16-19)",TRUE,"Late evening (20-23)")</f>
        <v>Late evening (20-23)</v>
      </c>
    </row>
    <row r="3912" spans="1:9">
      <c r="A3912" s="32">
        <v>41892</v>
      </c>
      <c r="B3912">
        <v>22</v>
      </c>
      <c r="C3912">
        <v>1638</v>
      </c>
      <c r="D3912" t="s">
        <v>303</v>
      </c>
      <c r="E3912">
        <f>YEAR(A3912)</f>
        <v>2014</v>
      </c>
      <c r="F3912" s="33">
        <f>DATE(YEAR(A3912),MONTH(A3912),1)</f>
        <v>41883.0</v>
      </c>
      <c r="G3912" t="str">
        <f>CHOOSE(WEEKDAY(A3912,2),"Mon","Tue","Wed","Thu","Fri","Sat","Sun")</f>
        <v>Wed</v>
      </c>
      <c r="H3912" t="str">
        <f>IF(WEEKDAY(A3912,2)&gt;5,"Weekend","Weekday")</f>
        <v>Weekday</v>
      </c>
      <c r="I3912" t="str">
        <f>_xlfn.IFS(B3912&lt;=5,"Night (0-5)",B3912&lt;=9,"Morning peak (6-9)",B3912&lt;=15,"Midday (10-15)",B3912&lt;=19,"Evening peak (16-19)",TRUE,"Late evening (20-23)")</f>
        <v>Late evening (20-23)</v>
      </c>
    </row>
    <row r="3913" spans="1:9">
      <c r="A3913" s="32">
        <v>41892</v>
      </c>
      <c r="B3913">
        <v>23</v>
      </c>
      <c r="C3913">
        <v>894</v>
      </c>
      <c r="D3913" t="s">
        <v>303</v>
      </c>
      <c r="E3913">
        <f>YEAR(A3913)</f>
        <v>2014</v>
      </c>
      <c r="F3913" s="33">
        <f>DATE(YEAR(A3913),MONTH(A3913),1)</f>
        <v>41883.0</v>
      </c>
      <c r="G3913" t="str">
        <f>CHOOSE(WEEKDAY(A3913,2),"Mon","Tue","Wed","Thu","Fri","Sat","Sun")</f>
        <v>Wed</v>
      </c>
      <c r="H3913" t="str">
        <f>IF(WEEKDAY(A3913,2)&gt;5,"Weekend","Weekday")</f>
        <v>Weekday</v>
      </c>
      <c r="I3913" t="str">
        <f>_xlfn.IFS(B3913&lt;=5,"Night (0-5)",B3913&lt;=9,"Morning peak (6-9)",B3913&lt;=15,"Midday (10-15)",B3913&lt;=19,"Evening peak (16-19)",TRUE,"Late evening (20-23)")</f>
        <v>Late evening (20-23)</v>
      </c>
    </row>
    <row r="3914" spans="1:9">
      <c r="A3914" s="32">
        <v>41893</v>
      </c>
      <c r="B3914">
        <v>0</v>
      </c>
      <c r="C3914">
        <v>480</v>
      </c>
      <c r="D3914" t="s">
        <v>303</v>
      </c>
      <c r="E3914">
        <f>YEAR(A3914)</f>
        <v>2014</v>
      </c>
      <c r="F3914" s="33">
        <f>DATE(YEAR(A3914),MONTH(A3914),1)</f>
        <v>41883.0</v>
      </c>
      <c r="G3914" t="str">
        <f>CHOOSE(WEEKDAY(A3914,2),"Mon","Tue","Wed","Thu","Fri","Sat","Sun")</f>
        <v>Thu</v>
      </c>
      <c r="H3914" t="str">
        <f>IF(WEEKDAY(A3914,2)&gt;5,"Weekend","Weekday")</f>
        <v>Weekday</v>
      </c>
      <c r="I3914" t="str">
        <f>_xlfn.IFS(B3914&lt;=5,"Night (0-5)",B3914&lt;=9,"Morning peak (6-9)",B3914&lt;=15,"Midday (10-15)",B3914&lt;=19,"Evening peak (16-19)",TRUE,"Late evening (20-23)")</f>
        <v>Night (0-5)</v>
      </c>
    </row>
    <row r="3915" spans="1:9">
      <c r="A3915" s="32">
        <v>41893</v>
      </c>
      <c r="B3915">
        <v>1</v>
      </c>
      <c r="C3915">
        <v>296</v>
      </c>
      <c r="D3915" t="s">
        <v>303</v>
      </c>
      <c r="E3915">
        <f>YEAR(A3915)</f>
        <v>2014</v>
      </c>
      <c r="F3915" s="33">
        <f>DATE(YEAR(A3915),MONTH(A3915),1)</f>
        <v>41883.0</v>
      </c>
      <c r="G3915" t="str">
        <f>CHOOSE(WEEKDAY(A3915,2),"Mon","Tue","Wed","Thu","Fri","Sat","Sun")</f>
        <v>Thu</v>
      </c>
      <c r="H3915" t="str">
        <f>IF(WEEKDAY(A3915,2)&gt;5,"Weekend","Weekday")</f>
        <v>Weekday</v>
      </c>
      <c r="I3915" t="str">
        <f>_xlfn.IFS(B3915&lt;=5,"Night (0-5)",B3915&lt;=9,"Morning peak (6-9)",B3915&lt;=15,"Midday (10-15)",B3915&lt;=19,"Evening peak (16-19)",TRUE,"Late evening (20-23)")</f>
        <v>Night (0-5)</v>
      </c>
    </row>
    <row r="3916" spans="1:9">
      <c r="A3916" s="32">
        <v>41893</v>
      </c>
      <c r="B3916">
        <v>2</v>
      </c>
      <c r="C3916">
        <v>185</v>
      </c>
      <c r="D3916" t="s">
        <v>303</v>
      </c>
      <c r="E3916">
        <f>YEAR(A3916)</f>
        <v>2014</v>
      </c>
      <c r="F3916" s="33">
        <f>DATE(YEAR(A3916),MONTH(A3916),1)</f>
        <v>41883.0</v>
      </c>
      <c r="G3916" t="str">
        <f>CHOOSE(WEEKDAY(A3916,2),"Mon","Tue","Wed","Thu","Fri","Sat","Sun")</f>
        <v>Thu</v>
      </c>
      <c r="H3916" t="str">
        <f>IF(WEEKDAY(A3916,2)&gt;5,"Weekend","Weekday")</f>
        <v>Weekday</v>
      </c>
      <c r="I3916" t="str">
        <f>_xlfn.IFS(B3916&lt;=5,"Night (0-5)",B3916&lt;=9,"Morning peak (6-9)",B3916&lt;=15,"Midday (10-15)",B3916&lt;=19,"Evening peak (16-19)",TRUE,"Late evening (20-23)")</f>
        <v>Night (0-5)</v>
      </c>
    </row>
    <row r="3917" spans="1:9">
      <c r="A3917" s="32">
        <v>41893</v>
      </c>
      <c r="B3917">
        <v>3</v>
      </c>
      <c r="C3917">
        <v>279</v>
      </c>
      <c r="D3917" t="s">
        <v>303</v>
      </c>
      <c r="E3917">
        <f>YEAR(A3917)</f>
        <v>2014</v>
      </c>
      <c r="F3917" s="33">
        <f>DATE(YEAR(A3917),MONTH(A3917),1)</f>
        <v>41883.0</v>
      </c>
      <c r="G3917" t="str">
        <f>CHOOSE(WEEKDAY(A3917,2),"Mon","Tue","Wed","Thu","Fri","Sat","Sun")</f>
        <v>Thu</v>
      </c>
      <c r="H3917" t="str">
        <f>IF(WEEKDAY(A3917,2)&gt;5,"Weekend","Weekday")</f>
        <v>Weekday</v>
      </c>
      <c r="I3917" t="str">
        <f>_xlfn.IFS(B3917&lt;=5,"Night (0-5)",B3917&lt;=9,"Morning peak (6-9)",B3917&lt;=15,"Midday (10-15)",B3917&lt;=19,"Evening peak (16-19)",TRUE,"Late evening (20-23)")</f>
        <v>Night (0-5)</v>
      </c>
    </row>
    <row r="3918" spans="1:9">
      <c r="A3918" s="32">
        <v>41893</v>
      </c>
      <c r="B3918">
        <v>4</v>
      </c>
      <c r="C3918">
        <v>445</v>
      </c>
      <c r="D3918" t="s">
        <v>303</v>
      </c>
      <c r="E3918">
        <f>YEAR(A3918)</f>
        <v>2014</v>
      </c>
      <c r="F3918" s="33">
        <f>DATE(YEAR(A3918),MONTH(A3918),1)</f>
        <v>41883.0</v>
      </c>
      <c r="G3918" t="str">
        <f>CHOOSE(WEEKDAY(A3918,2),"Mon","Tue","Wed","Thu","Fri","Sat","Sun")</f>
        <v>Thu</v>
      </c>
      <c r="H3918" t="str">
        <f>IF(WEEKDAY(A3918,2)&gt;5,"Weekend","Weekday")</f>
        <v>Weekday</v>
      </c>
      <c r="I3918" t="str">
        <f>_xlfn.IFS(B3918&lt;=5,"Night (0-5)",B3918&lt;=9,"Morning peak (6-9)",B3918&lt;=15,"Midday (10-15)",B3918&lt;=19,"Evening peak (16-19)",TRUE,"Late evening (20-23)")</f>
        <v>Night (0-5)</v>
      </c>
    </row>
    <row r="3919" spans="1:9">
      <c r="A3919" s="32">
        <v>41893</v>
      </c>
      <c r="B3919">
        <v>5</v>
      </c>
      <c r="C3919">
        <v>326</v>
      </c>
      <c r="D3919" t="s">
        <v>303</v>
      </c>
      <c r="E3919">
        <f>YEAR(A3919)</f>
        <v>2014</v>
      </c>
      <c r="F3919" s="33">
        <f>DATE(YEAR(A3919),MONTH(A3919),1)</f>
        <v>41883.0</v>
      </c>
      <c r="G3919" t="str">
        <f>CHOOSE(WEEKDAY(A3919,2),"Mon","Tue","Wed","Thu","Fri","Sat","Sun")</f>
        <v>Thu</v>
      </c>
      <c r="H3919" t="str">
        <f>IF(WEEKDAY(A3919,2)&gt;5,"Weekend","Weekday")</f>
        <v>Weekday</v>
      </c>
      <c r="I3919" t="str">
        <f>_xlfn.IFS(B3919&lt;=5,"Night (0-5)",B3919&lt;=9,"Morning peak (6-9)",B3919&lt;=15,"Midday (10-15)",B3919&lt;=19,"Evening peak (16-19)",TRUE,"Late evening (20-23)")</f>
        <v>Night (0-5)</v>
      </c>
    </row>
    <row r="3920" spans="1:9">
      <c r="A3920" s="32">
        <v>41893</v>
      </c>
      <c r="B3920">
        <v>6</v>
      </c>
      <c r="C3920">
        <v>1042</v>
      </c>
      <c r="D3920" t="s">
        <v>303</v>
      </c>
      <c r="E3920">
        <f>YEAR(A3920)</f>
        <v>2014</v>
      </c>
      <c r="F3920" s="33">
        <f>DATE(YEAR(A3920),MONTH(A3920),1)</f>
        <v>41883.0</v>
      </c>
      <c r="G3920" t="str">
        <f>CHOOSE(WEEKDAY(A3920,2),"Mon","Tue","Wed","Thu","Fri","Sat","Sun")</f>
        <v>Thu</v>
      </c>
      <c r="H3920" t="str">
        <f>IF(WEEKDAY(A3920,2)&gt;5,"Weekend","Weekday")</f>
        <v>Weekday</v>
      </c>
      <c r="I3920" t="str">
        <f>_xlfn.IFS(B3920&lt;=5,"Night (0-5)",B3920&lt;=9,"Morning peak (6-9)",B3920&lt;=15,"Midday (10-15)",B3920&lt;=19,"Evening peak (16-19)",TRUE,"Late evening (20-23)")</f>
        <v>Morning peak (6-9)</v>
      </c>
    </row>
    <row r="3921" spans="1:9">
      <c r="A3921" s="32">
        <v>41893</v>
      </c>
      <c r="B3921">
        <v>7</v>
      </c>
      <c r="C3921">
        <v>1563</v>
      </c>
      <c r="D3921" t="s">
        <v>303</v>
      </c>
      <c r="E3921">
        <f>YEAR(A3921)</f>
        <v>2014</v>
      </c>
      <c r="F3921" s="33">
        <f>DATE(YEAR(A3921),MONTH(A3921),1)</f>
        <v>41883.0</v>
      </c>
      <c r="G3921" t="str">
        <f>CHOOSE(WEEKDAY(A3921,2),"Mon","Tue","Wed","Thu","Fri","Sat","Sun")</f>
        <v>Thu</v>
      </c>
      <c r="H3921" t="str">
        <f>IF(WEEKDAY(A3921,2)&gt;5,"Weekend","Weekday")</f>
        <v>Weekday</v>
      </c>
      <c r="I3921" t="str">
        <f>_xlfn.IFS(B3921&lt;=5,"Night (0-5)",B3921&lt;=9,"Morning peak (6-9)",B3921&lt;=15,"Midday (10-15)",B3921&lt;=19,"Evening peak (16-19)",TRUE,"Late evening (20-23)")</f>
        <v>Morning peak (6-9)</v>
      </c>
    </row>
    <row r="3922" spans="1:9">
      <c r="A3922" s="32">
        <v>41893</v>
      </c>
      <c r="B3922">
        <v>8</v>
      </c>
      <c r="C3922">
        <v>1742</v>
      </c>
      <c r="D3922" t="s">
        <v>303</v>
      </c>
      <c r="E3922">
        <f>YEAR(A3922)</f>
        <v>2014</v>
      </c>
      <c r="F3922" s="33">
        <f>DATE(YEAR(A3922),MONTH(A3922),1)</f>
        <v>41883.0</v>
      </c>
      <c r="G3922" t="str">
        <f>CHOOSE(WEEKDAY(A3922,2),"Mon","Tue","Wed","Thu","Fri","Sat","Sun")</f>
        <v>Thu</v>
      </c>
      <c r="H3922" t="str">
        <f>IF(WEEKDAY(A3922,2)&gt;5,"Weekend","Weekday")</f>
        <v>Weekday</v>
      </c>
      <c r="I3922" t="str">
        <f>_xlfn.IFS(B3922&lt;=5,"Night (0-5)",B3922&lt;=9,"Morning peak (6-9)",B3922&lt;=15,"Midday (10-15)",B3922&lt;=19,"Evening peak (16-19)",TRUE,"Late evening (20-23)")</f>
        <v>Morning peak (6-9)</v>
      </c>
    </row>
    <row r="3923" spans="1:9">
      <c r="A3923" s="32">
        <v>41893</v>
      </c>
      <c r="B3923">
        <v>9</v>
      </c>
      <c r="C3923">
        <v>1408</v>
      </c>
      <c r="D3923" t="s">
        <v>303</v>
      </c>
      <c r="E3923">
        <f>YEAR(A3923)</f>
        <v>2014</v>
      </c>
      <c r="F3923" s="33">
        <f>DATE(YEAR(A3923),MONTH(A3923),1)</f>
        <v>41883.0</v>
      </c>
      <c r="G3923" t="str">
        <f>CHOOSE(WEEKDAY(A3923,2),"Mon","Tue","Wed","Thu","Fri","Sat","Sun")</f>
        <v>Thu</v>
      </c>
      <c r="H3923" t="str">
        <f>IF(WEEKDAY(A3923,2)&gt;5,"Weekend","Weekday")</f>
        <v>Weekday</v>
      </c>
      <c r="I3923" t="str">
        <f>_xlfn.IFS(B3923&lt;=5,"Night (0-5)",B3923&lt;=9,"Morning peak (6-9)",B3923&lt;=15,"Midday (10-15)",B3923&lt;=19,"Evening peak (16-19)",TRUE,"Late evening (20-23)")</f>
        <v>Morning peak (6-9)</v>
      </c>
    </row>
    <row r="3924" spans="1:9">
      <c r="A3924" s="32">
        <v>41893</v>
      </c>
      <c r="B3924">
        <v>10</v>
      </c>
      <c r="C3924">
        <v>1251</v>
      </c>
      <c r="D3924" t="s">
        <v>303</v>
      </c>
      <c r="E3924">
        <f>YEAR(A3924)</f>
        <v>2014</v>
      </c>
      <c r="F3924" s="33">
        <f>DATE(YEAR(A3924),MONTH(A3924),1)</f>
        <v>41883.0</v>
      </c>
      <c r="G3924" t="str">
        <f>CHOOSE(WEEKDAY(A3924,2),"Mon","Tue","Wed","Thu","Fri","Sat","Sun")</f>
        <v>Thu</v>
      </c>
      <c r="H3924" t="str">
        <f>IF(WEEKDAY(A3924,2)&gt;5,"Weekend","Weekday")</f>
        <v>Weekday</v>
      </c>
      <c r="I3924" t="str">
        <f>_xlfn.IFS(B3924&lt;=5,"Night (0-5)",B3924&lt;=9,"Morning peak (6-9)",B3924&lt;=15,"Midday (10-15)",B3924&lt;=19,"Evening peak (16-19)",TRUE,"Late evening (20-23)")</f>
        <v>Midday (10-15)</v>
      </c>
    </row>
    <row r="3925" spans="1:9">
      <c r="A3925" s="32">
        <v>41893</v>
      </c>
      <c r="B3925">
        <v>11</v>
      </c>
      <c r="C3925">
        <v>1332</v>
      </c>
      <c r="D3925" t="s">
        <v>303</v>
      </c>
      <c r="E3925">
        <f>YEAR(A3925)</f>
        <v>2014</v>
      </c>
      <c r="F3925" s="33">
        <f>DATE(YEAR(A3925),MONTH(A3925),1)</f>
        <v>41883.0</v>
      </c>
      <c r="G3925" t="str">
        <f>CHOOSE(WEEKDAY(A3925,2),"Mon","Tue","Wed","Thu","Fri","Sat","Sun")</f>
        <v>Thu</v>
      </c>
      <c r="H3925" t="str">
        <f>IF(WEEKDAY(A3925,2)&gt;5,"Weekend","Weekday")</f>
        <v>Weekday</v>
      </c>
      <c r="I3925" t="str">
        <f>_xlfn.IFS(B3925&lt;=5,"Night (0-5)",B3925&lt;=9,"Morning peak (6-9)",B3925&lt;=15,"Midday (10-15)",B3925&lt;=19,"Evening peak (16-19)",TRUE,"Late evening (20-23)")</f>
        <v>Midday (10-15)</v>
      </c>
    </row>
    <row r="3926" spans="1:9">
      <c r="A3926" s="32">
        <v>41893</v>
      </c>
      <c r="B3926">
        <v>12</v>
      </c>
      <c r="C3926">
        <v>1331</v>
      </c>
      <c r="D3926" t="s">
        <v>303</v>
      </c>
      <c r="E3926">
        <f>YEAR(A3926)</f>
        <v>2014</v>
      </c>
      <c r="F3926" s="33">
        <f>DATE(YEAR(A3926),MONTH(A3926),1)</f>
        <v>41883.0</v>
      </c>
      <c r="G3926" t="str">
        <f>CHOOSE(WEEKDAY(A3926,2),"Mon","Tue","Wed","Thu","Fri","Sat","Sun")</f>
        <v>Thu</v>
      </c>
      <c r="H3926" t="str">
        <f>IF(WEEKDAY(A3926,2)&gt;5,"Weekend","Weekday")</f>
        <v>Weekday</v>
      </c>
      <c r="I3926" t="str">
        <f>_xlfn.IFS(B3926&lt;=5,"Night (0-5)",B3926&lt;=9,"Morning peak (6-9)",B3926&lt;=15,"Midday (10-15)",B3926&lt;=19,"Evening peak (16-19)",TRUE,"Late evening (20-23)")</f>
        <v>Midday (10-15)</v>
      </c>
    </row>
    <row r="3927" spans="1:9">
      <c r="A3927" s="32">
        <v>41893</v>
      </c>
      <c r="B3927">
        <v>13</v>
      </c>
      <c r="C3927">
        <v>1577</v>
      </c>
      <c r="D3927" t="s">
        <v>303</v>
      </c>
      <c r="E3927">
        <f>YEAR(A3927)</f>
        <v>2014</v>
      </c>
      <c r="F3927" s="33">
        <f>DATE(YEAR(A3927),MONTH(A3927),1)</f>
        <v>41883.0</v>
      </c>
      <c r="G3927" t="str">
        <f>CHOOSE(WEEKDAY(A3927,2),"Mon","Tue","Wed","Thu","Fri","Sat","Sun")</f>
        <v>Thu</v>
      </c>
      <c r="H3927" t="str">
        <f>IF(WEEKDAY(A3927,2)&gt;5,"Weekend","Weekday")</f>
        <v>Weekday</v>
      </c>
      <c r="I3927" t="str">
        <f>_xlfn.IFS(B3927&lt;=5,"Night (0-5)",B3927&lt;=9,"Morning peak (6-9)",B3927&lt;=15,"Midday (10-15)",B3927&lt;=19,"Evening peak (16-19)",TRUE,"Late evening (20-23)")</f>
        <v>Midday (10-15)</v>
      </c>
    </row>
    <row r="3928" spans="1:9">
      <c r="A3928" s="32">
        <v>41893</v>
      </c>
      <c r="B3928">
        <v>14</v>
      </c>
      <c r="C3928">
        <v>1903</v>
      </c>
      <c r="D3928" t="s">
        <v>303</v>
      </c>
      <c r="E3928">
        <f>YEAR(A3928)</f>
        <v>2014</v>
      </c>
      <c r="F3928" s="33">
        <f>DATE(YEAR(A3928),MONTH(A3928),1)</f>
        <v>41883.0</v>
      </c>
      <c r="G3928" t="str">
        <f>CHOOSE(WEEKDAY(A3928,2),"Mon","Tue","Wed","Thu","Fri","Sat","Sun")</f>
        <v>Thu</v>
      </c>
      <c r="H3928" t="str">
        <f>IF(WEEKDAY(A3928,2)&gt;5,"Weekend","Weekday")</f>
        <v>Weekday</v>
      </c>
      <c r="I3928" t="str">
        <f>_xlfn.IFS(B3928&lt;=5,"Night (0-5)",B3928&lt;=9,"Morning peak (6-9)",B3928&lt;=15,"Midday (10-15)",B3928&lt;=19,"Evening peak (16-19)",TRUE,"Late evening (20-23)")</f>
        <v>Midday (10-15)</v>
      </c>
    </row>
    <row r="3929" spans="1:9">
      <c r="A3929" s="32">
        <v>41893</v>
      </c>
      <c r="B3929">
        <v>15</v>
      </c>
      <c r="C3929">
        <v>2200</v>
      </c>
      <c r="D3929" t="s">
        <v>303</v>
      </c>
      <c r="E3929">
        <f>YEAR(A3929)</f>
        <v>2014</v>
      </c>
      <c r="F3929" s="33">
        <f>DATE(YEAR(A3929),MONTH(A3929),1)</f>
        <v>41883.0</v>
      </c>
      <c r="G3929" t="str">
        <f>CHOOSE(WEEKDAY(A3929,2),"Mon","Tue","Wed","Thu","Fri","Sat","Sun")</f>
        <v>Thu</v>
      </c>
      <c r="H3929" t="str">
        <f>IF(WEEKDAY(A3929,2)&gt;5,"Weekend","Weekday")</f>
        <v>Weekday</v>
      </c>
      <c r="I3929" t="str">
        <f>_xlfn.IFS(B3929&lt;=5,"Night (0-5)",B3929&lt;=9,"Morning peak (6-9)",B3929&lt;=15,"Midday (10-15)",B3929&lt;=19,"Evening peak (16-19)",TRUE,"Late evening (20-23)")</f>
        <v>Midday (10-15)</v>
      </c>
    </row>
    <row r="3930" spans="1:9">
      <c r="A3930" s="32">
        <v>41893</v>
      </c>
      <c r="B3930">
        <v>16</v>
      </c>
      <c r="C3930">
        <v>2596</v>
      </c>
      <c r="D3930" t="s">
        <v>303</v>
      </c>
      <c r="E3930">
        <f>YEAR(A3930)</f>
        <v>2014</v>
      </c>
      <c r="F3930" s="33">
        <f>DATE(YEAR(A3930),MONTH(A3930),1)</f>
        <v>41883.0</v>
      </c>
      <c r="G3930" t="str">
        <f>CHOOSE(WEEKDAY(A3930,2),"Mon","Tue","Wed","Thu","Fri","Sat","Sun")</f>
        <v>Thu</v>
      </c>
      <c r="H3930" t="str">
        <f>IF(WEEKDAY(A3930,2)&gt;5,"Weekend","Weekday")</f>
        <v>Weekday</v>
      </c>
      <c r="I3930" t="str">
        <f>_xlfn.IFS(B3930&lt;=5,"Night (0-5)",B3930&lt;=9,"Morning peak (6-9)",B3930&lt;=15,"Midday (10-15)",B3930&lt;=19,"Evening peak (16-19)",TRUE,"Late evening (20-23)")</f>
        <v>Evening peak (16-19)</v>
      </c>
    </row>
    <row r="3931" spans="1:9">
      <c r="A3931" s="32">
        <v>41893</v>
      </c>
      <c r="B3931">
        <v>17</v>
      </c>
      <c r="C3931">
        <v>2852</v>
      </c>
      <c r="D3931" t="s">
        <v>303</v>
      </c>
      <c r="E3931">
        <f>YEAR(A3931)</f>
        <v>2014</v>
      </c>
      <c r="F3931" s="33">
        <f>DATE(YEAR(A3931),MONTH(A3931),1)</f>
        <v>41883.0</v>
      </c>
      <c r="G3931" t="str">
        <f>CHOOSE(WEEKDAY(A3931,2),"Mon","Tue","Wed","Thu","Fri","Sat","Sun")</f>
        <v>Thu</v>
      </c>
      <c r="H3931" t="str">
        <f>IF(WEEKDAY(A3931,2)&gt;5,"Weekend","Weekday")</f>
        <v>Weekday</v>
      </c>
      <c r="I3931" t="str">
        <f>_xlfn.IFS(B3931&lt;=5,"Night (0-5)",B3931&lt;=9,"Morning peak (6-9)",B3931&lt;=15,"Midday (10-15)",B3931&lt;=19,"Evening peak (16-19)",TRUE,"Late evening (20-23)")</f>
        <v>Evening peak (16-19)</v>
      </c>
    </row>
    <row r="3932" spans="1:9">
      <c r="A3932" s="32">
        <v>41893</v>
      </c>
      <c r="B3932">
        <v>18</v>
      </c>
      <c r="C3932">
        <v>2908</v>
      </c>
      <c r="D3932" t="s">
        <v>303</v>
      </c>
      <c r="E3932">
        <f>YEAR(A3932)</f>
        <v>2014</v>
      </c>
      <c r="F3932" s="33">
        <f>DATE(YEAR(A3932),MONTH(A3932),1)</f>
        <v>41883.0</v>
      </c>
      <c r="G3932" t="str">
        <f>CHOOSE(WEEKDAY(A3932,2),"Mon","Tue","Wed","Thu","Fri","Sat","Sun")</f>
        <v>Thu</v>
      </c>
      <c r="H3932" t="str">
        <f>IF(WEEKDAY(A3932,2)&gt;5,"Weekend","Weekday")</f>
        <v>Weekday</v>
      </c>
      <c r="I3932" t="str">
        <f>_xlfn.IFS(B3932&lt;=5,"Night (0-5)",B3932&lt;=9,"Morning peak (6-9)",B3932&lt;=15,"Midday (10-15)",B3932&lt;=19,"Evening peak (16-19)",TRUE,"Late evening (20-23)")</f>
        <v>Evening peak (16-19)</v>
      </c>
    </row>
    <row r="3933" spans="1:9">
      <c r="A3933" s="32">
        <v>41893</v>
      </c>
      <c r="B3933">
        <v>19</v>
      </c>
      <c r="C3933">
        <v>2724</v>
      </c>
      <c r="D3933" t="s">
        <v>303</v>
      </c>
      <c r="E3933">
        <f>YEAR(A3933)</f>
        <v>2014</v>
      </c>
      <c r="F3933" s="33">
        <f>DATE(YEAR(A3933),MONTH(A3933),1)</f>
        <v>41883.0</v>
      </c>
      <c r="G3933" t="str">
        <f>CHOOSE(WEEKDAY(A3933,2),"Mon","Tue","Wed","Thu","Fri","Sat","Sun")</f>
        <v>Thu</v>
      </c>
      <c r="H3933" t="str">
        <f>IF(WEEKDAY(A3933,2)&gt;5,"Weekend","Weekday")</f>
        <v>Weekday</v>
      </c>
      <c r="I3933" t="str">
        <f>_xlfn.IFS(B3933&lt;=5,"Night (0-5)",B3933&lt;=9,"Morning peak (6-9)",B3933&lt;=15,"Midday (10-15)",B3933&lt;=19,"Evening peak (16-19)",TRUE,"Late evening (20-23)")</f>
        <v>Evening peak (16-19)</v>
      </c>
    </row>
    <row r="3934" spans="1:9">
      <c r="A3934" s="32">
        <v>41893</v>
      </c>
      <c r="B3934">
        <v>20</v>
      </c>
      <c r="C3934">
        <v>2537</v>
      </c>
      <c r="D3934" t="s">
        <v>303</v>
      </c>
      <c r="E3934">
        <f>YEAR(A3934)</f>
        <v>2014</v>
      </c>
      <c r="F3934" s="33">
        <f>DATE(YEAR(A3934),MONTH(A3934),1)</f>
        <v>41883.0</v>
      </c>
      <c r="G3934" t="str">
        <f>CHOOSE(WEEKDAY(A3934,2),"Mon","Tue","Wed","Thu","Fri","Sat","Sun")</f>
        <v>Thu</v>
      </c>
      <c r="H3934" t="str">
        <f>IF(WEEKDAY(A3934,2)&gt;5,"Weekend","Weekday")</f>
        <v>Weekday</v>
      </c>
      <c r="I3934" t="str">
        <f>_xlfn.IFS(B3934&lt;=5,"Night (0-5)",B3934&lt;=9,"Morning peak (6-9)",B3934&lt;=15,"Midday (10-15)",B3934&lt;=19,"Evening peak (16-19)",TRUE,"Late evening (20-23)")</f>
        <v>Late evening (20-23)</v>
      </c>
    </row>
    <row r="3935" spans="1:9">
      <c r="A3935" s="32">
        <v>41893</v>
      </c>
      <c r="B3935">
        <v>21</v>
      </c>
      <c r="C3935">
        <v>2430</v>
      </c>
      <c r="D3935" t="s">
        <v>303</v>
      </c>
      <c r="E3935">
        <f>YEAR(A3935)</f>
        <v>2014</v>
      </c>
      <c r="F3935" s="33">
        <f>DATE(YEAR(A3935),MONTH(A3935),1)</f>
        <v>41883.0</v>
      </c>
      <c r="G3935" t="str">
        <f>CHOOSE(WEEKDAY(A3935,2),"Mon","Tue","Wed","Thu","Fri","Sat","Sun")</f>
        <v>Thu</v>
      </c>
      <c r="H3935" t="str">
        <f>IF(WEEKDAY(A3935,2)&gt;5,"Weekend","Weekday")</f>
        <v>Weekday</v>
      </c>
      <c r="I3935" t="str">
        <f>_xlfn.IFS(B3935&lt;=5,"Night (0-5)",B3935&lt;=9,"Morning peak (6-9)",B3935&lt;=15,"Midday (10-15)",B3935&lt;=19,"Evening peak (16-19)",TRUE,"Late evening (20-23)")</f>
        <v>Late evening (20-23)</v>
      </c>
    </row>
    <row r="3936" spans="1:9">
      <c r="A3936" s="32">
        <v>41893</v>
      </c>
      <c r="B3936">
        <v>22</v>
      </c>
      <c r="C3936">
        <v>1812</v>
      </c>
      <c r="D3936" t="s">
        <v>303</v>
      </c>
      <c r="E3936">
        <f>YEAR(A3936)</f>
        <v>2014</v>
      </c>
      <c r="F3936" s="33">
        <f>DATE(YEAR(A3936),MONTH(A3936),1)</f>
        <v>41883.0</v>
      </c>
      <c r="G3936" t="str">
        <f>CHOOSE(WEEKDAY(A3936,2),"Mon","Tue","Wed","Thu","Fri","Sat","Sun")</f>
        <v>Thu</v>
      </c>
      <c r="H3936" t="str">
        <f>IF(WEEKDAY(A3936,2)&gt;5,"Weekend","Weekday")</f>
        <v>Weekday</v>
      </c>
      <c r="I3936" t="str">
        <f>_xlfn.IFS(B3936&lt;=5,"Night (0-5)",B3936&lt;=9,"Morning peak (6-9)",B3936&lt;=15,"Midday (10-15)",B3936&lt;=19,"Evening peak (16-19)",TRUE,"Late evening (20-23)")</f>
        <v>Late evening (20-23)</v>
      </c>
    </row>
    <row r="3937" spans="1:9">
      <c r="A3937" s="32">
        <v>41893</v>
      </c>
      <c r="B3937">
        <v>23</v>
      </c>
      <c r="C3937">
        <v>1220</v>
      </c>
      <c r="D3937" t="s">
        <v>303</v>
      </c>
      <c r="E3937">
        <f>YEAR(A3937)</f>
        <v>2014</v>
      </c>
      <c r="F3937" s="33">
        <f>DATE(YEAR(A3937),MONTH(A3937),1)</f>
        <v>41883.0</v>
      </c>
      <c r="G3937" t="str">
        <f>CHOOSE(WEEKDAY(A3937,2),"Mon","Tue","Wed","Thu","Fri","Sat","Sun")</f>
        <v>Thu</v>
      </c>
      <c r="H3937" t="str">
        <f>IF(WEEKDAY(A3937,2)&gt;5,"Weekend","Weekday")</f>
        <v>Weekday</v>
      </c>
      <c r="I3937" t="str">
        <f>_xlfn.IFS(B3937&lt;=5,"Night (0-5)",B3937&lt;=9,"Morning peak (6-9)",B3937&lt;=15,"Midday (10-15)",B3937&lt;=19,"Evening peak (16-19)",TRUE,"Late evening (20-23)")</f>
        <v>Late evening (20-23)</v>
      </c>
    </row>
    <row r="3938" spans="1:9">
      <c r="A3938" s="32">
        <v>41894</v>
      </c>
      <c r="B3938">
        <v>0</v>
      </c>
      <c r="C3938">
        <v>600</v>
      </c>
      <c r="D3938" t="s">
        <v>303</v>
      </c>
      <c r="E3938">
        <f>YEAR(A3938)</f>
        <v>2014</v>
      </c>
      <c r="F3938" s="33">
        <f>DATE(YEAR(A3938),MONTH(A3938),1)</f>
        <v>41883.0</v>
      </c>
      <c r="G3938" t="str">
        <f>CHOOSE(WEEKDAY(A3938,2),"Mon","Tue","Wed","Thu","Fri","Sat","Sun")</f>
        <v>Fri</v>
      </c>
      <c r="H3938" t="str">
        <f>IF(WEEKDAY(A3938,2)&gt;5,"Weekend","Weekday")</f>
        <v>Weekday</v>
      </c>
      <c r="I3938" t="str">
        <f>_xlfn.IFS(B3938&lt;=5,"Night (0-5)",B3938&lt;=9,"Morning peak (6-9)",B3938&lt;=15,"Midday (10-15)",B3938&lt;=19,"Evening peak (16-19)",TRUE,"Late evening (20-23)")</f>
        <v>Night (0-5)</v>
      </c>
    </row>
    <row r="3939" spans="1:9">
      <c r="A3939" s="32">
        <v>41894</v>
      </c>
      <c r="B3939">
        <v>1</v>
      </c>
      <c r="C3939">
        <v>390</v>
      </c>
      <c r="D3939" t="s">
        <v>303</v>
      </c>
      <c r="E3939">
        <f>YEAR(A3939)</f>
        <v>2014</v>
      </c>
      <c r="F3939" s="33">
        <f>DATE(YEAR(A3939),MONTH(A3939),1)</f>
        <v>41883.0</v>
      </c>
      <c r="G3939" t="str">
        <f>CHOOSE(WEEKDAY(A3939,2),"Mon","Tue","Wed","Thu","Fri","Sat","Sun")</f>
        <v>Fri</v>
      </c>
      <c r="H3939" t="str">
        <f>IF(WEEKDAY(A3939,2)&gt;5,"Weekend","Weekday")</f>
        <v>Weekday</v>
      </c>
      <c r="I3939" t="str">
        <f>_xlfn.IFS(B3939&lt;=5,"Night (0-5)",B3939&lt;=9,"Morning peak (6-9)",B3939&lt;=15,"Midday (10-15)",B3939&lt;=19,"Evening peak (16-19)",TRUE,"Late evening (20-23)")</f>
        <v>Night (0-5)</v>
      </c>
    </row>
    <row r="3940" spans="1:9">
      <c r="A3940" s="32">
        <v>41894</v>
      </c>
      <c r="B3940">
        <v>2</v>
      </c>
      <c r="C3940">
        <v>262</v>
      </c>
      <c r="D3940" t="s">
        <v>303</v>
      </c>
      <c r="E3940">
        <f>YEAR(A3940)</f>
        <v>2014</v>
      </c>
      <c r="F3940" s="33">
        <f>DATE(YEAR(A3940),MONTH(A3940),1)</f>
        <v>41883.0</v>
      </c>
      <c r="G3940" t="str">
        <f>CHOOSE(WEEKDAY(A3940,2),"Mon","Tue","Wed","Thu","Fri","Sat","Sun")</f>
        <v>Fri</v>
      </c>
      <c r="H3940" t="str">
        <f>IF(WEEKDAY(A3940,2)&gt;5,"Weekend","Weekday")</f>
        <v>Weekday</v>
      </c>
      <c r="I3940" t="str">
        <f>_xlfn.IFS(B3940&lt;=5,"Night (0-5)",B3940&lt;=9,"Morning peak (6-9)",B3940&lt;=15,"Midday (10-15)",B3940&lt;=19,"Evening peak (16-19)",TRUE,"Late evening (20-23)")</f>
        <v>Night (0-5)</v>
      </c>
    </row>
    <row r="3941" spans="1:9">
      <c r="A3941" s="32">
        <v>41894</v>
      </c>
      <c r="B3941">
        <v>3</v>
      </c>
      <c r="C3941">
        <v>330</v>
      </c>
      <c r="D3941" t="s">
        <v>303</v>
      </c>
      <c r="E3941">
        <f>YEAR(A3941)</f>
        <v>2014</v>
      </c>
      <c r="F3941" s="33">
        <f>DATE(YEAR(A3941),MONTH(A3941),1)</f>
        <v>41883.0</v>
      </c>
      <c r="G3941" t="str">
        <f>CHOOSE(WEEKDAY(A3941,2),"Mon","Tue","Wed","Thu","Fri","Sat","Sun")</f>
        <v>Fri</v>
      </c>
      <c r="H3941" t="str">
        <f>IF(WEEKDAY(A3941,2)&gt;5,"Weekend","Weekday")</f>
        <v>Weekday</v>
      </c>
      <c r="I3941" t="str">
        <f>_xlfn.IFS(B3941&lt;=5,"Night (0-5)",B3941&lt;=9,"Morning peak (6-9)",B3941&lt;=15,"Midday (10-15)",B3941&lt;=19,"Evening peak (16-19)",TRUE,"Late evening (20-23)")</f>
        <v>Night (0-5)</v>
      </c>
    </row>
    <row r="3942" spans="1:9">
      <c r="A3942" s="32">
        <v>41894</v>
      </c>
      <c r="B3942">
        <v>4</v>
      </c>
      <c r="C3942">
        <v>478</v>
      </c>
      <c r="D3942" t="s">
        <v>303</v>
      </c>
      <c r="E3942">
        <f>YEAR(A3942)</f>
        <v>2014</v>
      </c>
      <c r="F3942" s="33">
        <f>DATE(YEAR(A3942),MONTH(A3942),1)</f>
        <v>41883.0</v>
      </c>
      <c r="G3942" t="str">
        <f>CHOOSE(WEEKDAY(A3942,2),"Mon","Tue","Wed","Thu","Fri","Sat","Sun")</f>
        <v>Fri</v>
      </c>
      <c r="H3942" t="str">
        <f>IF(WEEKDAY(A3942,2)&gt;5,"Weekend","Weekday")</f>
        <v>Weekday</v>
      </c>
      <c r="I3942" t="str">
        <f>_xlfn.IFS(B3942&lt;=5,"Night (0-5)",B3942&lt;=9,"Morning peak (6-9)",B3942&lt;=15,"Midday (10-15)",B3942&lt;=19,"Evening peak (16-19)",TRUE,"Late evening (20-23)")</f>
        <v>Night (0-5)</v>
      </c>
    </row>
    <row r="3943" spans="1:9">
      <c r="A3943" s="32">
        <v>41894</v>
      </c>
      <c r="B3943">
        <v>5</v>
      </c>
      <c r="C3943">
        <v>820</v>
      </c>
      <c r="D3943" t="s">
        <v>303</v>
      </c>
      <c r="E3943">
        <f>YEAR(A3943)</f>
        <v>2014</v>
      </c>
      <c r="F3943" s="33">
        <f>DATE(YEAR(A3943),MONTH(A3943),1)</f>
        <v>41883.0</v>
      </c>
      <c r="G3943" t="str">
        <f>CHOOSE(WEEKDAY(A3943,2),"Mon","Tue","Wed","Thu","Fri","Sat","Sun")</f>
        <v>Fri</v>
      </c>
      <c r="H3943" t="str">
        <f>IF(WEEKDAY(A3943,2)&gt;5,"Weekend","Weekday")</f>
        <v>Weekday</v>
      </c>
      <c r="I3943" t="str">
        <f>_xlfn.IFS(B3943&lt;=5,"Night (0-5)",B3943&lt;=9,"Morning peak (6-9)",B3943&lt;=15,"Midday (10-15)",B3943&lt;=19,"Evening peak (16-19)",TRUE,"Late evening (20-23)")</f>
        <v>Night (0-5)</v>
      </c>
    </row>
    <row r="3944" spans="1:9">
      <c r="A3944" s="32">
        <v>41894</v>
      </c>
      <c r="B3944">
        <v>6</v>
      </c>
      <c r="C3944">
        <v>1287</v>
      </c>
      <c r="D3944" t="s">
        <v>303</v>
      </c>
      <c r="E3944">
        <f>YEAR(A3944)</f>
        <v>2014</v>
      </c>
      <c r="F3944" s="33">
        <f>DATE(YEAR(A3944),MONTH(A3944),1)</f>
        <v>41883.0</v>
      </c>
      <c r="G3944" t="str">
        <f>CHOOSE(WEEKDAY(A3944,2),"Mon","Tue","Wed","Thu","Fri","Sat","Sun")</f>
        <v>Fri</v>
      </c>
      <c r="H3944" t="str">
        <f>IF(WEEKDAY(A3944,2)&gt;5,"Weekend","Weekday")</f>
        <v>Weekday</v>
      </c>
      <c r="I3944" t="str">
        <f>_xlfn.IFS(B3944&lt;=5,"Night (0-5)",B3944&lt;=9,"Morning peak (6-9)",B3944&lt;=15,"Midday (10-15)",B3944&lt;=19,"Evening peak (16-19)",TRUE,"Late evening (20-23)")</f>
        <v>Morning peak (6-9)</v>
      </c>
    </row>
    <row r="3945" spans="1:9">
      <c r="A3945" s="32">
        <v>41894</v>
      </c>
      <c r="B3945">
        <v>7</v>
      </c>
      <c r="C3945">
        <v>1667</v>
      </c>
      <c r="D3945" t="s">
        <v>303</v>
      </c>
      <c r="E3945">
        <f>YEAR(A3945)</f>
        <v>2014</v>
      </c>
      <c r="F3945" s="33">
        <f>DATE(YEAR(A3945),MONTH(A3945),1)</f>
        <v>41883.0</v>
      </c>
      <c r="G3945" t="str">
        <f>CHOOSE(WEEKDAY(A3945,2),"Mon","Tue","Wed","Thu","Fri","Sat","Sun")</f>
        <v>Fri</v>
      </c>
      <c r="H3945" t="str">
        <f>IF(WEEKDAY(A3945,2)&gt;5,"Weekend","Weekday")</f>
        <v>Weekday</v>
      </c>
      <c r="I3945" t="str">
        <f>_xlfn.IFS(B3945&lt;=5,"Night (0-5)",B3945&lt;=9,"Morning peak (6-9)",B3945&lt;=15,"Midday (10-15)",B3945&lt;=19,"Evening peak (16-19)",TRUE,"Late evening (20-23)")</f>
        <v>Morning peak (6-9)</v>
      </c>
    </row>
    <row r="3946" spans="1:9">
      <c r="A3946" s="32">
        <v>41894</v>
      </c>
      <c r="B3946">
        <v>8</v>
      </c>
      <c r="C3946">
        <v>1746</v>
      </c>
      <c r="D3946" t="s">
        <v>303</v>
      </c>
      <c r="E3946">
        <f>YEAR(A3946)</f>
        <v>2014</v>
      </c>
      <c r="F3946" s="33">
        <f>DATE(YEAR(A3946),MONTH(A3946),1)</f>
        <v>41883.0</v>
      </c>
      <c r="G3946" t="str">
        <f>CHOOSE(WEEKDAY(A3946,2),"Mon","Tue","Wed","Thu","Fri","Sat","Sun")</f>
        <v>Fri</v>
      </c>
      <c r="H3946" t="str">
        <f>IF(WEEKDAY(A3946,2)&gt;5,"Weekend","Weekday")</f>
        <v>Weekday</v>
      </c>
      <c r="I3946" t="str">
        <f>_xlfn.IFS(B3946&lt;=5,"Night (0-5)",B3946&lt;=9,"Morning peak (6-9)",B3946&lt;=15,"Midday (10-15)",B3946&lt;=19,"Evening peak (16-19)",TRUE,"Late evening (20-23)")</f>
        <v>Morning peak (6-9)</v>
      </c>
    </row>
    <row r="3947" spans="1:9">
      <c r="A3947" s="32">
        <v>41894</v>
      </c>
      <c r="B3947">
        <v>9</v>
      </c>
      <c r="C3947">
        <v>1394</v>
      </c>
      <c r="D3947" t="s">
        <v>303</v>
      </c>
      <c r="E3947">
        <f>YEAR(A3947)</f>
        <v>2014</v>
      </c>
      <c r="F3947" s="33">
        <f>DATE(YEAR(A3947),MONTH(A3947),1)</f>
        <v>41883.0</v>
      </c>
      <c r="G3947" t="str">
        <f>CHOOSE(WEEKDAY(A3947,2),"Mon","Tue","Wed","Thu","Fri","Sat","Sun")</f>
        <v>Fri</v>
      </c>
      <c r="H3947" t="str">
        <f>IF(WEEKDAY(A3947,2)&gt;5,"Weekend","Weekday")</f>
        <v>Weekday</v>
      </c>
      <c r="I3947" t="str">
        <f>_xlfn.IFS(B3947&lt;=5,"Night (0-5)",B3947&lt;=9,"Morning peak (6-9)",B3947&lt;=15,"Midday (10-15)",B3947&lt;=19,"Evening peak (16-19)",TRUE,"Late evening (20-23)")</f>
        <v>Morning peak (6-9)</v>
      </c>
    </row>
    <row r="3948" spans="1:9">
      <c r="A3948" s="32">
        <v>41894</v>
      </c>
      <c r="B3948">
        <v>10</v>
      </c>
      <c r="C3948">
        <v>1358</v>
      </c>
      <c r="D3948" t="s">
        <v>303</v>
      </c>
      <c r="E3948">
        <f>YEAR(A3948)</f>
        <v>2014</v>
      </c>
      <c r="F3948" s="33">
        <f>DATE(YEAR(A3948),MONTH(A3948),1)</f>
        <v>41883.0</v>
      </c>
      <c r="G3948" t="str">
        <f>CHOOSE(WEEKDAY(A3948,2),"Mon","Tue","Wed","Thu","Fri","Sat","Sun")</f>
        <v>Fri</v>
      </c>
      <c r="H3948" t="str">
        <f>IF(WEEKDAY(A3948,2)&gt;5,"Weekend","Weekday")</f>
        <v>Weekday</v>
      </c>
      <c r="I3948" t="str">
        <f>_xlfn.IFS(B3948&lt;=5,"Night (0-5)",B3948&lt;=9,"Morning peak (6-9)",B3948&lt;=15,"Midday (10-15)",B3948&lt;=19,"Evening peak (16-19)",TRUE,"Late evening (20-23)")</f>
        <v>Midday (10-15)</v>
      </c>
    </row>
    <row r="3949" spans="1:9">
      <c r="A3949" s="32">
        <v>41894</v>
      </c>
      <c r="B3949">
        <v>11</v>
      </c>
      <c r="C3949">
        <v>1284</v>
      </c>
      <c r="D3949" t="s">
        <v>303</v>
      </c>
      <c r="E3949">
        <f>YEAR(A3949)</f>
        <v>2014</v>
      </c>
      <c r="F3949" s="33">
        <f>DATE(YEAR(A3949),MONTH(A3949),1)</f>
        <v>41883.0</v>
      </c>
      <c r="G3949" t="str">
        <f>CHOOSE(WEEKDAY(A3949,2),"Mon","Tue","Wed","Thu","Fri","Sat","Sun")</f>
        <v>Fri</v>
      </c>
      <c r="H3949" t="str">
        <f>IF(WEEKDAY(A3949,2)&gt;5,"Weekend","Weekday")</f>
        <v>Weekday</v>
      </c>
      <c r="I3949" t="str">
        <f>_xlfn.IFS(B3949&lt;=5,"Night (0-5)",B3949&lt;=9,"Morning peak (6-9)",B3949&lt;=15,"Midday (10-15)",B3949&lt;=19,"Evening peak (16-19)",TRUE,"Late evening (20-23)")</f>
        <v>Midday (10-15)</v>
      </c>
    </row>
    <row r="3950" spans="1:9">
      <c r="A3950" s="32">
        <v>41894</v>
      </c>
      <c r="B3950">
        <v>12</v>
      </c>
      <c r="C3950">
        <v>1321</v>
      </c>
      <c r="D3950" t="s">
        <v>303</v>
      </c>
      <c r="E3950">
        <f>YEAR(A3950)</f>
        <v>2014</v>
      </c>
      <c r="F3950" s="33">
        <f>DATE(YEAR(A3950),MONTH(A3950),1)</f>
        <v>41883.0</v>
      </c>
      <c r="G3950" t="str">
        <f>CHOOSE(WEEKDAY(A3950,2),"Mon","Tue","Wed","Thu","Fri","Sat","Sun")</f>
        <v>Fri</v>
      </c>
      <c r="H3950" t="str">
        <f>IF(WEEKDAY(A3950,2)&gt;5,"Weekend","Weekday")</f>
        <v>Weekday</v>
      </c>
      <c r="I3950" t="str">
        <f>_xlfn.IFS(B3950&lt;=5,"Night (0-5)",B3950&lt;=9,"Morning peak (6-9)",B3950&lt;=15,"Midday (10-15)",B3950&lt;=19,"Evening peak (16-19)",TRUE,"Late evening (20-23)")</f>
        <v>Midday (10-15)</v>
      </c>
    </row>
    <row r="3951" spans="1:9">
      <c r="A3951" s="32">
        <v>41894</v>
      </c>
      <c r="B3951">
        <v>13</v>
      </c>
      <c r="C3951">
        <v>1545</v>
      </c>
      <c r="D3951" t="s">
        <v>303</v>
      </c>
      <c r="E3951">
        <f>YEAR(A3951)</f>
        <v>2014</v>
      </c>
      <c r="F3951" s="33">
        <f>DATE(YEAR(A3951),MONTH(A3951),1)</f>
        <v>41883.0</v>
      </c>
      <c r="G3951" t="str">
        <f>CHOOSE(WEEKDAY(A3951,2),"Mon","Tue","Wed","Thu","Fri","Sat","Sun")</f>
        <v>Fri</v>
      </c>
      <c r="H3951" t="str">
        <f>IF(WEEKDAY(A3951,2)&gt;5,"Weekend","Weekday")</f>
        <v>Weekday</v>
      </c>
      <c r="I3951" t="str">
        <f>_xlfn.IFS(B3951&lt;=5,"Night (0-5)",B3951&lt;=9,"Morning peak (6-9)",B3951&lt;=15,"Midday (10-15)",B3951&lt;=19,"Evening peak (16-19)",TRUE,"Late evening (20-23)")</f>
        <v>Midday (10-15)</v>
      </c>
    </row>
    <row r="3952" spans="1:9">
      <c r="A3952" s="32">
        <v>41894</v>
      </c>
      <c r="B3952">
        <v>14</v>
      </c>
      <c r="C3952">
        <v>1717</v>
      </c>
      <c r="D3952" t="s">
        <v>303</v>
      </c>
      <c r="E3952">
        <f>YEAR(A3952)</f>
        <v>2014</v>
      </c>
      <c r="F3952" s="33">
        <f>DATE(YEAR(A3952),MONTH(A3952),1)</f>
        <v>41883.0</v>
      </c>
      <c r="G3952" t="str">
        <f>CHOOSE(WEEKDAY(A3952,2),"Mon","Tue","Wed","Thu","Fri","Sat","Sun")</f>
        <v>Fri</v>
      </c>
      <c r="H3952" t="str">
        <f>IF(WEEKDAY(A3952,2)&gt;5,"Weekend","Weekday")</f>
        <v>Weekday</v>
      </c>
      <c r="I3952" t="str">
        <f>_xlfn.IFS(B3952&lt;=5,"Night (0-5)",B3952&lt;=9,"Morning peak (6-9)",B3952&lt;=15,"Midday (10-15)",B3952&lt;=19,"Evening peak (16-19)",TRUE,"Late evening (20-23)")</f>
        <v>Midday (10-15)</v>
      </c>
    </row>
    <row r="3953" spans="1:9">
      <c r="A3953" s="32">
        <v>41894</v>
      </c>
      <c r="B3953">
        <v>15</v>
      </c>
      <c r="C3953">
        <v>2068</v>
      </c>
      <c r="D3953" t="s">
        <v>303</v>
      </c>
      <c r="E3953">
        <f>YEAR(A3953)</f>
        <v>2014</v>
      </c>
      <c r="F3953" s="33">
        <f>DATE(YEAR(A3953),MONTH(A3953),1)</f>
        <v>41883.0</v>
      </c>
      <c r="G3953" t="str">
        <f>CHOOSE(WEEKDAY(A3953,2),"Mon","Tue","Wed","Thu","Fri","Sat","Sun")</f>
        <v>Fri</v>
      </c>
      <c r="H3953" t="str">
        <f>IF(WEEKDAY(A3953,2)&gt;5,"Weekend","Weekday")</f>
        <v>Weekday</v>
      </c>
      <c r="I3953" t="str">
        <f>_xlfn.IFS(B3953&lt;=5,"Night (0-5)",B3953&lt;=9,"Morning peak (6-9)",B3953&lt;=15,"Midday (10-15)",B3953&lt;=19,"Evening peak (16-19)",TRUE,"Late evening (20-23)")</f>
        <v>Midday (10-15)</v>
      </c>
    </row>
    <row r="3954" spans="1:9">
      <c r="A3954" s="32">
        <v>41894</v>
      </c>
      <c r="B3954">
        <v>16</v>
      </c>
      <c r="C3954">
        <v>2328</v>
      </c>
      <c r="D3954" t="s">
        <v>303</v>
      </c>
      <c r="E3954">
        <f>YEAR(A3954)</f>
        <v>2014</v>
      </c>
      <c r="F3954" s="33">
        <f>DATE(YEAR(A3954),MONTH(A3954),1)</f>
        <v>41883.0</v>
      </c>
      <c r="G3954" t="str">
        <f>CHOOSE(WEEKDAY(A3954,2),"Mon","Tue","Wed","Thu","Fri","Sat","Sun")</f>
        <v>Fri</v>
      </c>
      <c r="H3954" t="str">
        <f>IF(WEEKDAY(A3954,2)&gt;5,"Weekend","Weekday")</f>
        <v>Weekday</v>
      </c>
      <c r="I3954" t="str">
        <f>_xlfn.IFS(B3954&lt;=5,"Night (0-5)",B3954&lt;=9,"Morning peak (6-9)",B3954&lt;=15,"Midday (10-15)",B3954&lt;=19,"Evening peak (16-19)",TRUE,"Late evening (20-23)")</f>
        <v>Evening peak (16-19)</v>
      </c>
    </row>
    <row r="3955" spans="1:9">
      <c r="A3955" s="32">
        <v>41894</v>
      </c>
      <c r="B3955">
        <v>17</v>
      </c>
      <c r="C3955">
        <v>2692</v>
      </c>
      <c r="D3955" t="s">
        <v>303</v>
      </c>
      <c r="E3955">
        <f>YEAR(A3955)</f>
        <v>2014</v>
      </c>
      <c r="F3955" s="33">
        <f>DATE(YEAR(A3955),MONTH(A3955),1)</f>
        <v>41883.0</v>
      </c>
      <c r="G3955" t="str">
        <f>CHOOSE(WEEKDAY(A3955,2),"Mon","Tue","Wed","Thu","Fri","Sat","Sun")</f>
        <v>Fri</v>
      </c>
      <c r="H3955" t="str">
        <f>IF(WEEKDAY(A3955,2)&gt;5,"Weekend","Weekday")</f>
        <v>Weekday</v>
      </c>
      <c r="I3955" t="str">
        <f>_xlfn.IFS(B3955&lt;=5,"Night (0-5)",B3955&lt;=9,"Morning peak (6-9)",B3955&lt;=15,"Midday (10-15)",B3955&lt;=19,"Evening peak (16-19)",TRUE,"Late evening (20-23)")</f>
        <v>Evening peak (16-19)</v>
      </c>
    </row>
    <row r="3956" spans="1:9">
      <c r="A3956" s="32">
        <v>41894</v>
      </c>
      <c r="B3956">
        <v>18</v>
      </c>
      <c r="C3956">
        <v>2915</v>
      </c>
      <c r="D3956" t="s">
        <v>303</v>
      </c>
      <c r="E3956">
        <f>YEAR(A3956)</f>
        <v>2014</v>
      </c>
      <c r="F3956" s="33">
        <f>DATE(YEAR(A3956),MONTH(A3956),1)</f>
        <v>41883.0</v>
      </c>
      <c r="G3956" t="str">
        <f>CHOOSE(WEEKDAY(A3956,2),"Mon","Tue","Wed","Thu","Fri","Sat","Sun")</f>
        <v>Fri</v>
      </c>
      <c r="H3956" t="str">
        <f>IF(WEEKDAY(A3956,2)&gt;5,"Weekend","Weekday")</f>
        <v>Weekday</v>
      </c>
      <c r="I3956" t="str">
        <f>_xlfn.IFS(B3956&lt;=5,"Night (0-5)",B3956&lt;=9,"Morning peak (6-9)",B3956&lt;=15,"Midday (10-15)",B3956&lt;=19,"Evening peak (16-19)",TRUE,"Late evening (20-23)")</f>
        <v>Evening peak (16-19)</v>
      </c>
    </row>
    <row r="3957" spans="1:9">
      <c r="A3957" s="32">
        <v>41894</v>
      </c>
      <c r="B3957">
        <v>19</v>
      </c>
      <c r="C3957">
        <v>2890</v>
      </c>
      <c r="D3957" t="s">
        <v>303</v>
      </c>
      <c r="E3957">
        <f>YEAR(A3957)</f>
        <v>2014</v>
      </c>
      <c r="F3957" s="33">
        <f>DATE(YEAR(A3957),MONTH(A3957),1)</f>
        <v>41883.0</v>
      </c>
      <c r="G3957" t="str">
        <f>CHOOSE(WEEKDAY(A3957,2),"Mon","Tue","Wed","Thu","Fri","Sat","Sun")</f>
        <v>Fri</v>
      </c>
      <c r="H3957" t="str">
        <f>IF(WEEKDAY(A3957,2)&gt;5,"Weekend","Weekday")</f>
        <v>Weekday</v>
      </c>
      <c r="I3957" t="str">
        <f>_xlfn.IFS(B3957&lt;=5,"Night (0-5)",B3957&lt;=9,"Morning peak (6-9)",B3957&lt;=15,"Midday (10-15)",B3957&lt;=19,"Evening peak (16-19)",TRUE,"Late evening (20-23)")</f>
        <v>Evening peak (16-19)</v>
      </c>
    </row>
    <row r="3958" spans="1:9">
      <c r="A3958" s="32">
        <v>41894</v>
      </c>
      <c r="B3958">
        <v>20</v>
      </c>
      <c r="C3958">
        <v>2542</v>
      </c>
      <c r="D3958" t="s">
        <v>303</v>
      </c>
      <c r="E3958">
        <f>YEAR(A3958)</f>
        <v>2014</v>
      </c>
      <c r="F3958" s="33">
        <f>DATE(YEAR(A3958),MONTH(A3958),1)</f>
        <v>41883.0</v>
      </c>
      <c r="G3958" t="str">
        <f>CHOOSE(WEEKDAY(A3958,2),"Mon","Tue","Wed","Thu","Fri","Sat","Sun")</f>
        <v>Fri</v>
      </c>
      <c r="H3958" t="str">
        <f>IF(WEEKDAY(A3958,2)&gt;5,"Weekend","Weekday")</f>
        <v>Weekday</v>
      </c>
      <c r="I3958" t="str">
        <f>_xlfn.IFS(B3958&lt;=5,"Night (0-5)",B3958&lt;=9,"Morning peak (6-9)",B3958&lt;=15,"Midday (10-15)",B3958&lt;=19,"Evening peak (16-19)",TRUE,"Late evening (20-23)")</f>
        <v>Late evening (20-23)</v>
      </c>
    </row>
    <row r="3959" spans="1:9">
      <c r="A3959" s="32">
        <v>41894</v>
      </c>
      <c r="B3959">
        <v>21</v>
      </c>
      <c r="C3959">
        <v>2710</v>
      </c>
      <c r="D3959" t="s">
        <v>303</v>
      </c>
      <c r="E3959">
        <f>YEAR(A3959)</f>
        <v>2014</v>
      </c>
      <c r="F3959" s="33">
        <f>DATE(YEAR(A3959),MONTH(A3959),1)</f>
        <v>41883.0</v>
      </c>
      <c r="G3959" t="str">
        <f>CHOOSE(WEEKDAY(A3959,2),"Mon","Tue","Wed","Thu","Fri","Sat","Sun")</f>
        <v>Fri</v>
      </c>
      <c r="H3959" t="str">
        <f>IF(WEEKDAY(A3959,2)&gt;5,"Weekend","Weekday")</f>
        <v>Weekday</v>
      </c>
      <c r="I3959" t="str">
        <f>_xlfn.IFS(B3959&lt;=5,"Night (0-5)",B3959&lt;=9,"Morning peak (6-9)",B3959&lt;=15,"Midday (10-15)",B3959&lt;=19,"Evening peak (16-19)",TRUE,"Late evening (20-23)")</f>
        <v>Late evening (20-23)</v>
      </c>
    </row>
    <row r="3960" spans="1:9">
      <c r="A3960" s="32">
        <v>41894</v>
      </c>
      <c r="B3960">
        <v>22</v>
      </c>
      <c r="C3960">
        <v>2778</v>
      </c>
      <c r="D3960" t="s">
        <v>303</v>
      </c>
      <c r="E3960">
        <f>YEAR(A3960)</f>
        <v>2014</v>
      </c>
      <c r="F3960" s="33">
        <f>DATE(YEAR(A3960),MONTH(A3960),1)</f>
        <v>41883.0</v>
      </c>
      <c r="G3960" t="str">
        <f>CHOOSE(WEEKDAY(A3960,2),"Mon","Tue","Wed","Thu","Fri","Sat","Sun")</f>
        <v>Fri</v>
      </c>
      <c r="H3960" t="str">
        <f>IF(WEEKDAY(A3960,2)&gt;5,"Weekend","Weekday")</f>
        <v>Weekday</v>
      </c>
      <c r="I3960" t="str">
        <f>_xlfn.IFS(B3960&lt;=5,"Night (0-5)",B3960&lt;=9,"Morning peak (6-9)",B3960&lt;=15,"Midday (10-15)",B3960&lt;=19,"Evening peak (16-19)",TRUE,"Late evening (20-23)")</f>
        <v>Late evening (20-23)</v>
      </c>
    </row>
    <row r="3961" spans="1:9">
      <c r="A3961" s="32">
        <v>41894</v>
      </c>
      <c r="B3961">
        <v>23</v>
      </c>
      <c r="C3961">
        <v>2418</v>
      </c>
      <c r="D3961" t="s">
        <v>303</v>
      </c>
      <c r="E3961">
        <f>YEAR(A3961)</f>
        <v>2014</v>
      </c>
      <c r="F3961" s="33">
        <f>DATE(YEAR(A3961),MONTH(A3961),1)</f>
        <v>41883.0</v>
      </c>
      <c r="G3961" t="str">
        <f>CHOOSE(WEEKDAY(A3961,2),"Mon","Tue","Wed","Thu","Fri","Sat","Sun")</f>
        <v>Fri</v>
      </c>
      <c r="H3961" t="str">
        <f>IF(WEEKDAY(A3961,2)&gt;5,"Weekend","Weekday")</f>
        <v>Weekday</v>
      </c>
      <c r="I3961" t="str">
        <f>_xlfn.IFS(B3961&lt;=5,"Night (0-5)",B3961&lt;=9,"Morning peak (6-9)",B3961&lt;=15,"Midday (10-15)",B3961&lt;=19,"Evening peak (16-19)",TRUE,"Late evening (20-23)")</f>
        <v>Late evening (20-23)</v>
      </c>
    </row>
    <row r="3962" spans="1:9">
      <c r="A3962" s="32">
        <v>41895</v>
      </c>
      <c r="B3962">
        <v>0</v>
      </c>
      <c r="C3962">
        <v>1816</v>
      </c>
      <c r="D3962" t="s">
        <v>303</v>
      </c>
      <c r="E3962">
        <f>YEAR(A3962)</f>
        <v>2014</v>
      </c>
      <c r="F3962" s="33">
        <f>DATE(YEAR(A3962),MONTH(A3962),1)</f>
        <v>41883.0</v>
      </c>
      <c r="G3962" t="str">
        <f>CHOOSE(WEEKDAY(A3962,2),"Mon","Tue","Wed","Thu","Fri","Sat","Sun")</f>
        <v>Sat</v>
      </c>
      <c r="H3962" t="str">
        <f>IF(WEEKDAY(A3962,2)&gt;5,"Weekend","Weekday")</f>
        <v>Weekend</v>
      </c>
      <c r="I3962" t="str">
        <f>_xlfn.IFS(B3962&lt;=5,"Night (0-5)",B3962&lt;=9,"Morning peak (6-9)",B3962&lt;=15,"Midday (10-15)",B3962&lt;=19,"Evening peak (16-19)",TRUE,"Late evening (20-23)")</f>
        <v>Night (0-5)</v>
      </c>
    </row>
    <row r="3963" spans="1:9">
      <c r="A3963" s="32">
        <v>41895</v>
      </c>
      <c r="B3963">
        <v>1</v>
      </c>
      <c r="C3963">
        <v>1219</v>
      </c>
      <c r="D3963" t="s">
        <v>303</v>
      </c>
      <c r="E3963">
        <f>YEAR(A3963)</f>
        <v>2014</v>
      </c>
      <c r="F3963" s="33">
        <f>DATE(YEAR(A3963),MONTH(A3963),1)</f>
        <v>41883.0</v>
      </c>
      <c r="G3963" t="str">
        <f>CHOOSE(WEEKDAY(A3963,2),"Mon","Tue","Wed","Thu","Fri","Sat","Sun")</f>
        <v>Sat</v>
      </c>
      <c r="H3963" t="str">
        <f>IF(WEEKDAY(A3963,2)&gt;5,"Weekend","Weekday")</f>
        <v>Weekend</v>
      </c>
      <c r="I3963" t="str">
        <f>_xlfn.IFS(B3963&lt;=5,"Night (0-5)",B3963&lt;=9,"Morning peak (6-9)",B3963&lt;=15,"Midday (10-15)",B3963&lt;=19,"Evening peak (16-19)",TRUE,"Late evening (20-23)")</f>
        <v>Night (0-5)</v>
      </c>
    </row>
    <row r="3964" spans="1:9">
      <c r="A3964" s="32">
        <v>41895</v>
      </c>
      <c r="B3964">
        <v>2</v>
      </c>
      <c r="C3964">
        <v>783</v>
      </c>
      <c r="D3964" t="s">
        <v>303</v>
      </c>
      <c r="E3964">
        <f>YEAR(A3964)</f>
        <v>2014</v>
      </c>
      <c r="F3964" s="33">
        <f>DATE(YEAR(A3964),MONTH(A3964),1)</f>
        <v>41883.0</v>
      </c>
      <c r="G3964" t="str">
        <f>CHOOSE(WEEKDAY(A3964,2),"Mon","Tue","Wed","Thu","Fri","Sat","Sun")</f>
        <v>Sat</v>
      </c>
      <c r="H3964" t="str">
        <f>IF(WEEKDAY(A3964,2)&gt;5,"Weekend","Weekday")</f>
        <v>Weekend</v>
      </c>
      <c r="I3964" t="str">
        <f>_xlfn.IFS(B3964&lt;=5,"Night (0-5)",B3964&lt;=9,"Morning peak (6-9)",B3964&lt;=15,"Midday (10-15)",B3964&lt;=19,"Evening peak (16-19)",TRUE,"Late evening (20-23)")</f>
        <v>Night (0-5)</v>
      </c>
    </row>
    <row r="3965" spans="1:9">
      <c r="A3965" s="32">
        <v>41895</v>
      </c>
      <c r="B3965">
        <v>3</v>
      </c>
      <c r="C3965">
        <v>527</v>
      </c>
      <c r="D3965" t="s">
        <v>303</v>
      </c>
      <c r="E3965">
        <f>YEAR(A3965)</f>
        <v>2014</v>
      </c>
      <c r="F3965" s="33">
        <f>DATE(YEAR(A3965),MONTH(A3965),1)</f>
        <v>41883.0</v>
      </c>
      <c r="G3965" t="str">
        <f>CHOOSE(WEEKDAY(A3965,2),"Mon","Tue","Wed","Thu","Fri","Sat","Sun")</f>
        <v>Sat</v>
      </c>
      <c r="H3965" t="str">
        <f>IF(WEEKDAY(A3965,2)&gt;5,"Weekend","Weekday")</f>
        <v>Weekend</v>
      </c>
      <c r="I3965" t="str">
        <f>_xlfn.IFS(B3965&lt;=5,"Night (0-5)",B3965&lt;=9,"Morning peak (6-9)",B3965&lt;=15,"Midday (10-15)",B3965&lt;=19,"Evening peak (16-19)",TRUE,"Late evening (20-23)")</f>
        <v>Night (0-5)</v>
      </c>
    </row>
    <row r="3966" spans="1:9">
      <c r="A3966" s="32">
        <v>41895</v>
      </c>
      <c r="B3966">
        <v>4</v>
      </c>
      <c r="C3966">
        <v>363</v>
      </c>
      <c r="D3966" t="s">
        <v>303</v>
      </c>
      <c r="E3966">
        <f>YEAR(A3966)</f>
        <v>2014</v>
      </c>
      <c r="F3966" s="33">
        <f>DATE(YEAR(A3966),MONTH(A3966),1)</f>
        <v>41883.0</v>
      </c>
      <c r="G3966" t="str">
        <f>CHOOSE(WEEKDAY(A3966,2),"Mon","Tue","Wed","Thu","Fri","Sat","Sun")</f>
        <v>Sat</v>
      </c>
      <c r="H3966" t="str">
        <f>IF(WEEKDAY(A3966,2)&gt;5,"Weekend","Weekday")</f>
        <v>Weekend</v>
      </c>
      <c r="I3966" t="str">
        <f>_xlfn.IFS(B3966&lt;=5,"Night (0-5)",B3966&lt;=9,"Morning peak (6-9)",B3966&lt;=15,"Midday (10-15)",B3966&lt;=19,"Evening peak (16-19)",TRUE,"Late evening (20-23)")</f>
        <v>Night (0-5)</v>
      </c>
    </row>
    <row r="3967" spans="1:9">
      <c r="A3967" s="32">
        <v>41895</v>
      </c>
      <c r="B3967">
        <v>5</v>
      </c>
      <c r="C3967">
        <v>409</v>
      </c>
      <c r="D3967" t="s">
        <v>303</v>
      </c>
      <c r="E3967">
        <f>YEAR(A3967)</f>
        <v>2014</v>
      </c>
      <c r="F3967" s="33">
        <f>DATE(YEAR(A3967),MONTH(A3967),1)</f>
        <v>41883.0</v>
      </c>
      <c r="G3967" t="str">
        <f>CHOOSE(WEEKDAY(A3967,2),"Mon","Tue","Wed","Thu","Fri","Sat","Sun")</f>
        <v>Sat</v>
      </c>
      <c r="H3967" t="str">
        <f>IF(WEEKDAY(A3967,2)&gt;5,"Weekend","Weekday")</f>
        <v>Weekend</v>
      </c>
      <c r="I3967" t="str">
        <f>_xlfn.IFS(B3967&lt;=5,"Night (0-5)",B3967&lt;=9,"Morning peak (6-9)",B3967&lt;=15,"Midday (10-15)",B3967&lt;=19,"Evening peak (16-19)",TRUE,"Late evening (20-23)")</f>
        <v>Night (0-5)</v>
      </c>
    </row>
    <row r="3968" spans="1:9">
      <c r="A3968" s="32">
        <v>41895</v>
      </c>
      <c r="B3968">
        <v>6</v>
      </c>
      <c r="C3968">
        <v>489</v>
      </c>
      <c r="D3968" t="s">
        <v>303</v>
      </c>
      <c r="E3968">
        <f>YEAR(A3968)</f>
        <v>2014</v>
      </c>
      <c r="F3968" s="33">
        <f>DATE(YEAR(A3968),MONTH(A3968),1)</f>
        <v>41883.0</v>
      </c>
      <c r="G3968" t="str">
        <f>CHOOSE(WEEKDAY(A3968,2),"Mon","Tue","Wed","Thu","Fri","Sat","Sun")</f>
        <v>Sat</v>
      </c>
      <c r="H3968" t="str">
        <f>IF(WEEKDAY(A3968,2)&gt;5,"Weekend","Weekday")</f>
        <v>Weekend</v>
      </c>
      <c r="I3968" t="str">
        <f>_xlfn.IFS(B3968&lt;=5,"Night (0-5)",B3968&lt;=9,"Morning peak (6-9)",B3968&lt;=15,"Midday (10-15)",B3968&lt;=19,"Evening peak (16-19)",TRUE,"Late evening (20-23)")</f>
        <v>Morning peak (6-9)</v>
      </c>
    </row>
    <row r="3969" spans="1:9">
      <c r="A3969" s="32">
        <v>41895</v>
      </c>
      <c r="B3969">
        <v>7</v>
      </c>
      <c r="C3969">
        <v>660</v>
      </c>
      <c r="D3969" t="s">
        <v>303</v>
      </c>
      <c r="E3969">
        <f>YEAR(A3969)</f>
        <v>2014</v>
      </c>
      <c r="F3969" s="33">
        <f>DATE(YEAR(A3969),MONTH(A3969),1)</f>
        <v>41883.0</v>
      </c>
      <c r="G3969" t="str">
        <f>CHOOSE(WEEKDAY(A3969,2),"Mon","Tue","Wed","Thu","Fri","Sat","Sun")</f>
        <v>Sat</v>
      </c>
      <c r="H3969" t="str">
        <f>IF(WEEKDAY(A3969,2)&gt;5,"Weekend","Weekday")</f>
        <v>Weekend</v>
      </c>
      <c r="I3969" t="str">
        <f>_xlfn.IFS(B3969&lt;=5,"Night (0-5)",B3969&lt;=9,"Morning peak (6-9)",B3969&lt;=15,"Midday (10-15)",B3969&lt;=19,"Evening peak (16-19)",TRUE,"Late evening (20-23)")</f>
        <v>Morning peak (6-9)</v>
      </c>
    </row>
    <row r="3970" spans="1:9">
      <c r="A3970" s="32">
        <v>41895</v>
      </c>
      <c r="B3970">
        <v>8</v>
      </c>
      <c r="C3970">
        <v>934</v>
      </c>
      <c r="D3970" t="s">
        <v>303</v>
      </c>
      <c r="E3970">
        <f>YEAR(A3970)</f>
        <v>2014</v>
      </c>
      <c r="F3970" s="33">
        <f>DATE(YEAR(A3970),MONTH(A3970),1)</f>
        <v>41883.0</v>
      </c>
      <c r="G3970" t="str">
        <f>CHOOSE(WEEKDAY(A3970,2),"Mon","Tue","Wed","Thu","Fri","Sat","Sun")</f>
        <v>Sat</v>
      </c>
      <c r="H3970" t="str">
        <f>IF(WEEKDAY(A3970,2)&gt;5,"Weekend","Weekday")</f>
        <v>Weekend</v>
      </c>
      <c r="I3970" t="str">
        <f>_xlfn.IFS(B3970&lt;=5,"Night (0-5)",B3970&lt;=9,"Morning peak (6-9)",B3970&lt;=15,"Midday (10-15)",B3970&lt;=19,"Evening peak (16-19)",TRUE,"Late evening (20-23)")</f>
        <v>Morning peak (6-9)</v>
      </c>
    </row>
    <row r="3971" spans="1:9">
      <c r="A3971" s="32">
        <v>41895</v>
      </c>
      <c r="B3971">
        <v>9</v>
      </c>
      <c r="C3971">
        <v>1062</v>
      </c>
      <c r="D3971" t="s">
        <v>303</v>
      </c>
      <c r="E3971">
        <f>YEAR(A3971)</f>
        <v>2014</v>
      </c>
      <c r="F3971" s="33">
        <f>DATE(YEAR(A3971),MONTH(A3971),1)</f>
        <v>41883.0</v>
      </c>
      <c r="G3971" t="str">
        <f>CHOOSE(WEEKDAY(A3971,2),"Mon","Tue","Wed","Thu","Fri","Sat","Sun")</f>
        <v>Sat</v>
      </c>
      <c r="H3971" t="str">
        <f>IF(WEEKDAY(A3971,2)&gt;5,"Weekend","Weekday")</f>
        <v>Weekend</v>
      </c>
      <c r="I3971" t="str">
        <f>_xlfn.IFS(B3971&lt;=5,"Night (0-5)",B3971&lt;=9,"Morning peak (6-9)",B3971&lt;=15,"Midday (10-15)",B3971&lt;=19,"Evening peak (16-19)",TRUE,"Late evening (20-23)")</f>
        <v>Morning peak (6-9)</v>
      </c>
    </row>
    <row r="3972" spans="1:9">
      <c r="A3972" s="32">
        <v>41895</v>
      </c>
      <c r="B3972">
        <v>10</v>
      </c>
      <c r="C3972">
        <v>1301</v>
      </c>
      <c r="D3972" t="s">
        <v>303</v>
      </c>
      <c r="E3972">
        <f>YEAR(A3972)</f>
        <v>2014</v>
      </c>
      <c r="F3972" s="33">
        <f>DATE(YEAR(A3972),MONTH(A3972),1)</f>
        <v>41883.0</v>
      </c>
      <c r="G3972" t="str">
        <f>CHOOSE(WEEKDAY(A3972,2),"Mon","Tue","Wed","Thu","Fri","Sat","Sun")</f>
        <v>Sat</v>
      </c>
      <c r="H3972" t="str">
        <f>IF(WEEKDAY(A3972,2)&gt;5,"Weekend","Weekday")</f>
        <v>Weekend</v>
      </c>
      <c r="I3972" t="str">
        <f>_xlfn.IFS(B3972&lt;=5,"Night (0-5)",B3972&lt;=9,"Morning peak (6-9)",B3972&lt;=15,"Midday (10-15)",B3972&lt;=19,"Evening peak (16-19)",TRUE,"Late evening (20-23)")</f>
        <v>Midday (10-15)</v>
      </c>
    </row>
    <row r="3973" spans="1:9">
      <c r="A3973" s="32">
        <v>41895</v>
      </c>
      <c r="B3973">
        <v>11</v>
      </c>
      <c r="C3973">
        <v>1458</v>
      </c>
      <c r="D3973" t="s">
        <v>303</v>
      </c>
      <c r="E3973">
        <f>YEAR(A3973)</f>
        <v>2014</v>
      </c>
      <c r="F3973" s="33">
        <f>DATE(YEAR(A3973),MONTH(A3973),1)</f>
        <v>41883.0</v>
      </c>
      <c r="G3973" t="str">
        <f>CHOOSE(WEEKDAY(A3973,2),"Mon","Tue","Wed","Thu","Fri","Sat","Sun")</f>
        <v>Sat</v>
      </c>
      <c r="H3973" t="str">
        <f>IF(WEEKDAY(A3973,2)&gt;5,"Weekend","Weekday")</f>
        <v>Weekend</v>
      </c>
      <c r="I3973" t="str">
        <f>_xlfn.IFS(B3973&lt;=5,"Night (0-5)",B3973&lt;=9,"Morning peak (6-9)",B3973&lt;=15,"Midday (10-15)",B3973&lt;=19,"Evening peak (16-19)",TRUE,"Late evening (20-23)")</f>
        <v>Midday (10-15)</v>
      </c>
    </row>
    <row r="3974" spans="1:9">
      <c r="A3974" s="32">
        <v>41895</v>
      </c>
      <c r="B3974">
        <v>12</v>
      </c>
      <c r="C3974">
        <v>1523</v>
      </c>
      <c r="D3974" t="s">
        <v>303</v>
      </c>
      <c r="E3974">
        <f>YEAR(A3974)</f>
        <v>2014</v>
      </c>
      <c r="F3974" s="33">
        <f>DATE(YEAR(A3974),MONTH(A3974),1)</f>
        <v>41883.0</v>
      </c>
      <c r="G3974" t="str">
        <f>CHOOSE(WEEKDAY(A3974,2),"Mon","Tue","Wed","Thu","Fri","Sat","Sun")</f>
        <v>Sat</v>
      </c>
      <c r="H3974" t="str">
        <f>IF(WEEKDAY(A3974,2)&gt;5,"Weekend","Weekday")</f>
        <v>Weekend</v>
      </c>
      <c r="I3974" t="str">
        <f>_xlfn.IFS(B3974&lt;=5,"Night (0-5)",B3974&lt;=9,"Morning peak (6-9)",B3974&lt;=15,"Midday (10-15)",B3974&lt;=19,"Evening peak (16-19)",TRUE,"Late evening (20-23)")</f>
        <v>Midday (10-15)</v>
      </c>
    </row>
    <row r="3975" spans="1:9">
      <c r="A3975" s="32">
        <v>41895</v>
      </c>
      <c r="B3975">
        <v>13</v>
      </c>
      <c r="C3975">
        <v>1794</v>
      </c>
      <c r="D3975" t="s">
        <v>303</v>
      </c>
      <c r="E3975">
        <f>YEAR(A3975)</f>
        <v>2014</v>
      </c>
      <c r="F3975" s="33">
        <f>DATE(YEAR(A3975),MONTH(A3975),1)</f>
        <v>41883.0</v>
      </c>
      <c r="G3975" t="str">
        <f>CHOOSE(WEEKDAY(A3975,2),"Mon","Tue","Wed","Thu","Fri","Sat","Sun")</f>
        <v>Sat</v>
      </c>
      <c r="H3975" t="str">
        <f>IF(WEEKDAY(A3975,2)&gt;5,"Weekend","Weekday")</f>
        <v>Weekend</v>
      </c>
      <c r="I3975" t="str">
        <f>_xlfn.IFS(B3975&lt;=5,"Night (0-5)",B3975&lt;=9,"Morning peak (6-9)",B3975&lt;=15,"Midday (10-15)",B3975&lt;=19,"Evening peak (16-19)",TRUE,"Late evening (20-23)")</f>
        <v>Midday (10-15)</v>
      </c>
    </row>
    <row r="3976" spans="1:9">
      <c r="A3976" s="32">
        <v>41895</v>
      </c>
      <c r="B3976">
        <v>14</v>
      </c>
      <c r="C3976">
        <v>2733</v>
      </c>
      <c r="D3976" t="s">
        <v>303</v>
      </c>
      <c r="E3976">
        <f>YEAR(A3976)</f>
        <v>2014</v>
      </c>
      <c r="F3976" s="33">
        <f>DATE(YEAR(A3976),MONTH(A3976),1)</f>
        <v>41883.0</v>
      </c>
      <c r="G3976" t="str">
        <f>CHOOSE(WEEKDAY(A3976,2),"Mon","Tue","Wed","Thu","Fri","Sat","Sun")</f>
        <v>Sat</v>
      </c>
      <c r="H3976" t="str">
        <f>IF(WEEKDAY(A3976,2)&gt;5,"Weekend","Weekday")</f>
        <v>Weekend</v>
      </c>
      <c r="I3976" t="str">
        <f>_xlfn.IFS(B3976&lt;=5,"Night (0-5)",B3976&lt;=9,"Morning peak (6-9)",B3976&lt;=15,"Midday (10-15)",B3976&lt;=19,"Evening peak (16-19)",TRUE,"Late evening (20-23)")</f>
        <v>Midday (10-15)</v>
      </c>
    </row>
    <row r="3977" spans="1:9">
      <c r="A3977" s="32">
        <v>41895</v>
      </c>
      <c r="B3977">
        <v>15</v>
      </c>
      <c r="C3977">
        <v>3056</v>
      </c>
      <c r="D3977" t="s">
        <v>303</v>
      </c>
      <c r="E3977">
        <f>YEAR(A3977)</f>
        <v>2014</v>
      </c>
      <c r="F3977" s="33">
        <f>DATE(YEAR(A3977),MONTH(A3977),1)</f>
        <v>41883.0</v>
      </c>
      <c r="G3977" t="str">
        <f>CHOOSE(WEEKDAY(A3977,2),"Mon","Tue","Wed","Thu","Fri","Sat","Sun")</f>
        <v>Sat</v>
      </c>
      <c r="H3977" t="str">
        <f>IF(WEEKDAY(A3977,2)&gt;5,"Weekend","Weekday")</f>
        <v>Weekend</v>
      </c>
      <c r="I3977" t="str">
        <f>_xlfn.IFS(B3977&lt;=5,"Night (0-5)",B3977&lt;=9,"Morning peak (6-9)",B3977&lt;=15,"Midday (10-15)",B3977&lt;=19,"Evening peak (16-19)",TRUE,"Late evening (20-23)")</f>
        <v>Midday (10-15)</v>
      </c>
    </row>
    <row r="3978" spans="1:9">
      <c r="A3978" s="32">
        <v>41895</v>
      </c>
      <c r="B3978">
        <v>16</v>
      </c>
      <c r="C3978">
        <v>3024</v>
      </c>
      <c r="D3978" t="s">
        <v>303</v>
      </c>
      <c r="E3978">
        <f>YEAR(A3978)</f>
        <v>2014</v>
      </c>
      <c r="F3978" s="33">
        <f>DATE(YEAR(A3978),MONTH(A3978),1)</f>
        <v>41883.0</v>
      </c>
      <c r="G3978" t="str">
        <f>CHOOSE(WEEKDAY(A3978,2),"Mon","Tue","Wed","Thu","Fri","Sat","Sun")</f>
        <v>Sat</v>
      </c>
      <c r="H3978" t="str">
        <f>IF(WEEKDAY(A3978,2)&gt;5,"Weekend","Weekday")</f>
        <v>Weekend</v>
      </c>
      <c r="I3978" t="str">
        <f>_xlfn.IFS(B3978&lt;=5,"Night (0-5)",B3978&lt;=9,"Morning peak (6-9)",B3978&lt;=15,"Midday (10-15)",B3978&lt;=19,"Evening peak (16-19)",TRUE,"Late evening (20-23)")</f>
        <v>Evening peak (16-19)</v>
      </c>
    </row>
    <row r="3979" spans="1:9">
      <c r="A3979" s="32">
        <v>41895</v>
      </c>
      <c r="B3979">
        <v>17</v>
      </c>
      <c r="C3979">
        <v>3023</v>
      </c>
      <c r="D3979" t="s">
        <v>303</v>
      </c>
      <c r="E3979">
        <f>YEAR(A3979)</f>
        <v>2014</v>
      </c>
      <c r="F3979" s="33">
        <f>DATE(YEAR(A3979),MONTH(A3979),1)</f>
        <v>41883.0</v>
      </c>
      <c r="G3979" t="str">
        <f>CHOOSE(WEEKDAY(A3979,2),"Mon","Tue","Wed","Thu","Fri","Sat","Sun")</f>
        <v>Sat</v>
      </c>
      <c r="H3979" t="str">
        <f>IF(WEEKDAY(A3979,2)&gt;5,"Weekend","Weekday")</f>
        <v>Weekend</v>
      </c>
      <c r="I3979" t="str">
        <f>_xlfn.IFS(B3979&lt;=5,"Night (0-5)",B3979&lt;=9,"Morning peak (6-9)",B3979&lt;=15,"Midday (10-15)",B3979&lt;=19,"Evening peak (16-19)",TRUE,"Late evening (20-23)")</f>
        <v>Evening peak (16-19)</v>
      </c>
    </row>
    <row r="3980" spans="1:9">
      <c r="A3980" s="32">
        <v>41895</v>
      </c>
      <c r="B3980">
        <v>18</v>
      </c>
      <c r="C3980">
        <v>3437</v>
      </c>
      <c r="D3980" t="s">
        <v>303</v>
      </c>
      <c r="E3980">
        <f>YEAR(A3980)</f>
        <v>2014</v>
      </c>
      <c r="F3980" s="33">
        <f>DATE(YEAR(A3980),MONTH(A3980),1)</f>
        <v>41883.0</v>
      </c>
      <c r="G3980" t="str">
        <f>CHOOSE(WEEKDAY(A3980,2),"Mon","Tue","Wed","Thu","Fri","Sat","Sun")</f>
        <v>Sat</v>
      </c>
      <c r="H3980" t="str">
        <f>IF(WEEKDAY(A3980,2)&gt;5,"Weekend","Weekday")</f>
        <v>Weekend</v>
      </c>
      <c r="I3980" t="str">
        <f>_xlfn.IFS(B3980&lt;=5,"Night (0-5)",B3980&lt;=9,"Morning peak (6-9)",B3980&lt;=15,"Midday (10-15)",B3980&lt;=19,"Evening peak (16-19)",TRUE,"Late evening (20-23)")</f>
        <v>Evening peak (16-19)</v>
      </c>
    </row>
    <row r="3981" spans="1:9">
      <c r="A3981" s="32">
        <v>41895</v>
      </c>
      <c r="B3981">
        <v>19</v>
      </c>
      <c r="C3981">
        <v>3332</v>
      </c>
      <c r="D3981" t="s">
        <v>303</v>
      </c>
      <c r="E3981">
        <f>YEAR(A3981)</f>
        <v>2014</v>
      </c>
      <c r="F3981" s="33">
        <f>DATE(YEAR(A3981),MONTH(A3981),1)</f>
        <v>41883.0</v>
      </c>
      <c r="G3981" t="str">
        <f>CHOOSE(WEEKDAY(A3981,2),"Mon","Tue","Wed","Thu","Fri","Sat","Sun")</f>
        <v>Sat</v>
      </c>
      <c r="H3981" t="str">
        <f>IF(WEEKDAY(A3981,2)&gt;5,"Weekend","Weekday")</f>
        <v>Weekend</v>
      </c>
      <c r="I3981" t="str">
        <f>_xlfn.IFS(B3981&lt;=5,"Night (0-5)",B3981&lt;=9,"Morning peak (6-9)",B3981&lt;=15,"Midday (10-15)",B3981&lt;=19,"Evening peak (16-19)",TRUE,"Late evening (20-23)")</f>
        <v>Evening peak (16-19)</v>
      </c>
    </row>
    <row r="3982" spans="1:9">
      <c r="A3982" s="32">
        <v>41895</v>
      </c>
      <c r="B3982">
        <v>20</v>
      </c>
      <c r="C3982">
        <v>2601</v>
      </c>
      <c r="D3982" t="s">
        <v>303</v>
      </c>
      <c r="E3982">
        <f>YEAR(A3982)</f>
        <v>2014</v>
      </c>
      <c r="F3982" s="33">
        <f>DATE(YEAR(A3982),MONTH(A3982),1)</f>
        <v>41883.0</v>
      </c>
      <c r="G3982" t="str">
        <f>CHOOSE(WEEKDAY(A3982,2),"Mon","Tue","Wed","Thu","Fri","Sat","Sun")</f>
        <v>Sat</v>
      </c>
      <c r="H3982" t="str">
        <f>IF(WEEKDAY(A3982,2)&gt;5,"Weekend","Weekday")</f>
        <v>Weekend</v>
      </c>
      <c r="I3982" t="str">
        <f>_xlfn.IFS(B3982&lt;=5,"Night (0-5)",B3982&lt;=9,"Morning peak (6-9)",B3982&lt;=15,"Midday (10-15)",B3982&lt;=19,"Evening peak (16-19)",TRUE,"Late evening (20-23)")</f>
        <v>Late evening (20-23)</v>
      </c>
    </row>
    <row r="3983" spans="1:9">
      <c r="A3983" s="32">
        <v>41895</v>
      </c>
      <c r="B3983">
        <v>21</v>
      </c>
      <c r="C3983">
        <v>2625</v>
      </c>
      <c r="D3983" t="s">
        <v>303</v>
      </c>
      <c r="E3983">
        <f>YEAR(A3983)</f>
        <v>2014</v>
      </c>
      <c r="F3983" s="33">
        <f>DATE(YEAR(A3983),MONTH(A3983),1)</f>
        <v>41883.0</v>
      </c>
      <c r="G3983" t="str">
        <f>CHOOSE(WEEKDAY(A3983,2),"Mon","Tue","Wed","Thu","Fri","Sat","Sun")</f>
        <v>Sat</v>
      </c>
      <c r="H3983" t="str">
        <f>IF(WEEKDAY(A3983,2)&gt;5,"Weekend","Weekday")</f>
        <v>Weekend</v>
      </c>
      <c r="I3983" t="str">
        <f>_xlfn.IFS(B3983&lt;=5,"Night (0-5)",B3983&lt;=9,"Morning peak (6-9)",B3983&lt;=15,"Midday (10-15)",B3983&lt;=19,"Evening peak (16-19)",TRUE,"Late evening (20-23)")</f>
        <v>Late evening (20-23)</v>
      </c>
    </row>
    <row r="3984" spans="1:9">
      <c r="A3984" s="32">
        <v>41895</v>
      </c>
      <c r="B3984">
        <v>22</v>
      </c>
      <c r="C3984">
        <v>2577</v>
      </c>
      <c r="D3984" t="s">
        <v>303</v>
      </c>
      <c r="E3984">
        <f>YEAR(A3984)</f>
        <v>2014</v>
      </c>
      <c r="F3984" s="33">
        <f>DATE(YEAR(A3984),MONTH(A3984),1)</f>
        <v>41883.0</v>
      </c>
      <c r="G3984" t="str">
        <f>CHOOSE(WEEKDAY(A3984,2),"Mon","Tue","Wed","Thu","Fri","Sat","Sun")</f>
        <v>Sat</v>
      </c>
      <c r="H3984" t="str">
        <f>IF(WEEKDAY(A3984,2)&gt;5,"Weekend","Weekday")</f>
        <v>Weekend</v>
      </c>
      <c r="I3984" t="str">
        <f>_xlfn.IFS(B3984&lt;=5,"Night (0-5)",B3984&lt;=9,"Morning peak (6-9)",B3984&lt;=15,"Midday (10-15)",B3984&lt;=19,"Evening peak (16-19)",TRUE,"Late evening (20-23)")</f>
        <v>Late evening (20-23)</v>
      </c>
    </row>
    <row r="3985" spans="1:9">
      <c r="A3985" s="32">
        <v>41895</v>
      </c>
      <c r="B3985">
        <v>23</v>
      </c>
      <c r="C3985">
        <v>2459</v>
      </c>
      <c r="D3985" t="s">
        <v>303</v>
      </c>
      <c r="E3985">
        <f>YEAR(A3985)</f>
        <v>2014</v>
      </c>
      <c r="F3985" s="33">
        <f>DATE(YEAR(A3985),MONTH(A3985),1)</f>
        <v>41883.0</v>
      </c>
      <c r="G3985" t="str">
        <f>CHOOSE(WEEKDAY(A3985,2),"Mon","Tue","Wed","Thu","Fri","Sat","Sun")</f>
        <v>Sat</v>
      </c>
      <c r="H3985" t="str">
        <f>IF(WEEKDAY(A3985,2)&gt;5,"Weekend","Weekday")</f>
        <v>Weekend</v>
      </c>
      <c r="I3985" t="str">
        <f>_xlfn.IFS(B3985&lt;=5,"Night (0-5)",B3985&lt;=9,"Morning peak (6-9)",B3985&lt;=15,"Midday (10-15)",B3985&lt;=19,"Evening peak (16-19)",TRUE,"Late evening (20-23)")</f>
        <v>Late evening (20-23)</v>
      </c>
    </row>
    <row r="3986" spans="1:9">
      <c r="A3986" s="32">
        <v>41896</v>
      </c>
      <c r="B3986">
        <v>0</v>
      </c>
      <c r="C3986">
        <v>1804</v>
      </c>
      <c r="D3986" t="s">
        <v>303</v>
      </c>
      <c r="E3986">
        <f>YEAR(A3986)</f>
        <v>2014</v>
      </c>
      <c r="F3986" s="33">
        <f>DATE(YEAR(A3986),MONTH(A3986),1)</f>
        <v>41883.0</v>
      </c>
      <c r="G3986" t="str">
        <f>CHOOSE(WEEKDAY(A3986,2),"Mon","Tue","Wed","Thu","Fri","Sat","Sun")</f>
        <v>Sun</v>
      </c>
      <c r="H3986" t="str">
        <f>IF(WEEKDAY(A3986,2)&gt;5,"Weekend","Weekday")</f>
        <v>Weekend</v>
      </c>
      <c r="I3986" t="str">
        <f>_xlfn.IFS(B3986&lt;=5,"Night (0-5)",B3986&lt;=9,"Morning peak (6-9)",B3986&lt;=15,"Midday (10-15)",B3986&lt;=19,"Evening peak (16-19)",TRUE,"Late evening (20-23)")</f>
        <v>Night (0-5)</v>
      </c>
    </row>
    <row r="3987" spans="1:9">
      <c r="A3987" s="32">
        <v>41896</v>
      </c>
      <c r="B3987">
        <v>1</v>
      </c>
      <c r="C3987">
        <v>1261</v>
      </c>
      <c r="D3987" t="s">
        <v>303</v>
      </c>
      <c r="E3987">
        <f>YEAR(A3987)</f>
        <v>2014</v>
      </c>
      <c r="F3987" s="33">
        <f>DATE(YEAR(A3987),MONTH(A3987),1)</f>
        <v>41883.0</v>
      </c>
      <c r="G3987" t="str">
        <f>CHOOSE(WEEKDAY(A3987,2),"Mon","Tue","Wed","Thu","Fri","Sat","Sun")</f>
        <v>Sun</v>
      </c>
      <c r="H3987" t="str">
        <f>IF(WEEKDAY(A3987,2)&gt;5,"Weekend","Weekday")</f>
        <v>Weekend</v>
      </c>
      <c r="I3987" t="str">
        <f>_xlfn.IFS(B3987&lt;=5,"Night (0-5)",B3987&lt;=9,"Morning peak (6-9)",B3987&lt;=15,"Midday (10-15)",B3987&lt;=19,"Evening peak (16-19)",TRUE,"Late evening (20-23)")</f>
        <v>Night (0-5)</v>
      </c>
    </row>
    <row r="3988" spans="1:9">
      <c r="A3988" s="32">
        <v>41896</v>
      </c>
      <c r="B3988">
        <v>2</v>
      </c>
      <c r="C3988">
        <v>877</v>
      </c>
      <c r="D3988" t="s">
        <v>303</v>
      </c>
      <c r="E3988">
        <f>YEAR(A3988)</f>
        <v>2014</v>
      </c>
      <c r="F3988" s="33">
        <f>DATE(YEAR(A3988),MONTH(A3988),1)</f>
        <v>41883.0</v>
      </c>
      <c r="G3988" t="str">
        <f>CHOOSE(WEEKDAY(A3988,2),"Mon","Tue","Wed","Thu","Fri","Sat","Sun")</f>
        <v>Sun</v>
      </c>
      <c r="H3988" t="str">
        <f>IF(WEEKDAY(A3988,2)&gt;5,"Weekend","Weekday")</f>
        <v>Weekend</v>
      </c>
      <c r="I3988" t="str">
        <f>_xlfn.IFS(B3988&lt;=5,"Night (0-5)",B3988&lt;=9,"Morning peak (6-9)",B3988&lt;=15,"Midday (10-15)",B3988&lt;=19,"Evening peak (16-19)",TRUE,"Late evening (20-23)")</f>
        <v>Night (0-5)</v>
      </c>
    </row>
    <row r="3989" spans="1:9">
      <c r="A3989" s="32">
        <v>41896</v>
      </c>
      <c r="B3989">
        <v>3</v>
      </c>
      <c r="C3989">
        <v>550</v>
      </c>
      <c r="D3989" t="s">
        <v>303</v>
      </c>
      <c r="E3989">
        <f>YEAR(A3989)</f>
        <v>2014</v>
      </c>
      <c r="F3989" s="33">
        <f>DATE(YEAR(A3989),MONTH(A3989),1)</f>
        <v>41883.0</v>
      </c>
      <c r="G3989" t="str">
        <f>CHOOSE(WEEKDAY(A3989,2),"Mon","Tue","Wed","Thu","Fri","Sat","Sun")</f>
        <v>Sun</v>
      </c>
      <c r="H3989" t="str">
        <f>IF(WEEKDAY(A3989,2)&gt;5,"Weekend","Weekday")</f>
        <v>Weekend</v>
      </c>
      <c r="I3989" t="str">
        <f>_xlfn.IFS(B3989&lt;=5,"Night (0-5)",B3989&lt;=9,"Morning peak (6-9)",B3989&lt;=15,"Midday (10-15)",B3989&lt;=19,"Evening peak (16-19)",TRUE,"Late evening (20-23)")</f>
        <v>Night (0-5)</v>
      </c>
    </row>
    <row r="3990" spans="1:9">
      <c r="A3990" s="32">
        <v>41896</v>
      </c>
      <c r="B3990">
        <v>4</v>
      </c>
      <c r="C3990">
        <v>365</v>
      </c>
      <c r="D3990" t="s">
        <v>303</v>
      </c>
      <c r="E3990">
        <f>YEAR(A3990)</f>
        <v>2014</v>
      </c>
      <c r="F3990" s="33">
        <f>DATE(YEAR(A3990),MONTH(A3990),1)</f>
        <v>41883.0</v>
      </c>
      <c r="G3990" t="str">
        <f>CHOOSE(WEEKDAY(A3990,2),"Mon","Tue","Wed","Thu","Fri","Sat","Sun")</f>
        <v>Sun</v>
      </c>
      <c r="H3990" t="str">
        <f>IF(WEEKDAY(A3990,2)&gt;5,"Weekend","Weekday")</f>
        <v>Weekend</v>
      </c>
      <c r="I3990" t="str">
        <f>_xlfn.IFS(B3990&lt;=5,"Night (0-5)",B3990&lt;=9,"Morning peak (6-9)",B3990&lt;=15,"Midday (10-15)",B3990&lt;=19,"Evening peak (16-19)",TRUE,"Late evening (20-23)")</f>
        <v>Night (0-5)</v>
      </c>
    </row>
    <row r="3991" spans="1:9">
      <c r="A3991" s="32">
        <v>41896</v>
      </c>
      <c r="B3991">
        <v>5</v>
      </c>
      <c r="C3991">
        <v>383</v>
      </c>
      <c r="D3991" t="s">
        <v>303</v>
      </c>
      <c r="E3991">
        <f>YEAR(A3991)</f>
        <v>2014</v>
      </c>
      <c r="F3991" s="33">
        <f>DATE(YEAR(A3991),MONTH(A3991),1)</f>
        <v>41883.0</v>
      </c>
      <c r="G3991" t="str">
        <f>CHOOSE(WEEKDAY(A3991,2),"Mon","Tue","Wed","Thu","Fri","Sat","Sun")</f>
        <v>Sun</v>
      </c>
      <c r="H3991" t="str">
        <f>IF(WEEKDAY(A3991,2)&gt;5,"Weekend","Weekday")</f>
        <v>Weekend</v>
      </c>
      <c r="I3991" t="str">
        <f>_xlfn.IFS(B3991&lt;=5,"Night (0-5)",B3991&lt;=9,"Morning peak (6-9)",B3991&lt;=15,"Midday (10-15)",B3991&lt;=19,"Evening peak (16-19)",TRUE,"Late evening (20-23)")</f>
        <v>Night (0-5)</v>
      </c>
    </row>
    <row r="3992" spans="1:9">
      <c r="A3992" s="32">
        <v>41896</v>
      </c>
      <c r="B3992">
        <v>6</v>
      </c>
      <c r="C3992">
        <v>419</v>
      </c>
      <c r="D3992" t="s">
        <v>303</v>
      </c>
      <c r="E3992">
        <f>YEAR(A3992)</f>
        <v>2014</v>
      </c>
      <c r="F3992" s="33">
        <f>DATE(YEAR(A3992),MONTH(A3992),1)</f>
        <v>41883.0</v>
      </c>
      <c r="G3992" t="str">
        <f>CHOOSE(WEEKDAY(A3992,2),"Mon","Tue","Wed","Thu","Fri","Sat","Sun")</f>
        <v>Sun</v>
      </c>
      <c r="H3992" t="str">
        <f>IF(WEEKDAY(A3992,2)&gt;5,"Weekend","Weekday")</f>
        <v>Weekend</v>
      </c>
      <c r="I3992" t="str">
        <f>_xlfn.IFS(B3992&lt;=5,"Night (0-5)",B3992&lt;=9,"Morning peak (6-9)",B3992&lt;=15,"Midday (10-15)",B3992&lt;=19,"Evening peak (16-19)",TRUE,"Late evening (20-23)")</f>
        <v>Morning peak (6-9)</v>
      </c>
    </row>
    <row r="3993" spans="1:9">
      <c r="A3993" s="32">
        <v>41896</v>
      </c>
      <c r="B3993">
        <v>7</v>
      </c>
      <c r="C3993">
        <v>566</v>
      </c>
      <c r="D3993" t="s">
        <v>303</v>
      </c>
      <c r="E3993">
        <f>YEAR(A3993)</f>
        <v>2014</v>
      </c>
      <c r="F3993" s="33">
        <f>DATE(YEAR(A3993),MONTH(A3993),1)</f>
        <v>41883.0</v>
      </c>
      <c r="G3993" t="str">
        <f>CHOOSE(WEEKDAY(A3993,2),"Mon","Tue","Wed","Thu","Fri","Sat","Sun")</f>
        <v>Sun</v>
      </c>
      <c r="H3993" t="str">
        <f>IF(WEEKDAY(A3993,2)&gt;5,"Weekend","Weekday")</f>
        <v>Weekend</v>
      </c>
      <c r="I3993" t="str">
        <f>_xlfn.IFS(B3993&lt;=5,"Night (0-5)",B3993&lt;=9,"Morning peak (6-9)",B3993&lt;=15,"Midday (10-15)",B3993&lt;=19,"Evening peak (16-19)",TRUE,"Late evening (20-23)")</f>
        <v>Morning peak (6-9)</v>
      </c>
    </row>
    <row r="3994" spans="1:9">
      <c r="A3994" s="32">
        <v>41896</v>
      </c>
      <c r="B3994">
        <v>8</v>
      </c>
      <c r="C3994">
        <v>770</v>
      </c>
      <c r="D3994" t="s">
        <v>303</v>
      </c>
      <c r="E3994">
        <f>YEAR(A3994)</f>
        <v>2014</v>
      </c>
      <c r="F3994" s="33">
        <f>DATE(YEAR(A3994),MONTH(A3994),1)</f>
        <v>41883.0</v>
      </c>
      <c r="G3994" t="str">
        <f>CHOOSE(WEEKDAY(A3994,2),"Mon","Tue","Wed","Thu","Fri","Sat","Sun")</f>
        <v>Sun</v>
      </c>
      <c r="H3994" t="str">
        <f>IF(WEEKDAY(A3994,2)&gt;5,"Weekend","Weekday")</f>
        <v>Weekend</v>
      </c>
      <c r="I3994" t="str">
        <f>_xlfn.IFS(B3994&lt;=5,"Night (0-5)",B3994&lt;=9,"Morning peak (6-9)",B3994&lt;=15,"Midday (10-15)",B3994&lt;=19,"Evening peak (16-19)",TRUE,"Late evening (20-23)")</f>
        <v>Morning peak (6-9)</v>
      </c>
    </row>
    <row r="3995" spans="1:9">
      <c r="A3995" s="32">
        <v>41896</v>
      </c>
      <c r="B3995">
        <v>9</v>
      </c>
      <c r="C3995">
        <v>969</v>
      </c>
      <c r="D3995" t="s">
        <v>303</v>
      </c>
      <c r="E3995">
        <f>YEAR(A3995)</f>
        <v>2014</v>
      </c>
      <c r="F3995" s="33">
        <f>DATE(YEAR(A3995),MONTH(A3995),1)</f>
        <v>41883.0</v>
      </c>
      <c r="G3995" t="str">
        <f>CHOOSE(WEEKDAY(A3995,2),"Mon","Tue","Wed","Thu","Fri","Sat","Sun")</f>
        <v>Sun</v>
      </c>
      <c r="H3995" t="str">
        <f>IF(WEEKDAY(A3995,2)&gt;5,"Weekend","Weekday")</f>
        <v>Weekend</v>
      </c>
      <c r="I3995" t="str">
        <f>_xlfn.IFS(B3995&lt;=5,"Night (0-5)",B3995&lt;=9,"Morning peak (6-9)",B3995&lt;=15,"Midday (10-15)",B3995&lt;=19,"Evening peak (16-19)",TRUE,"Late evening (20-23)")</f>
        <v>Morning peak (6-9)</v>
      </c>
    </row>
    <row r="3996" spans="1:9">
      <c r="A3996" s="32">
        <v>41896</v>
      </c>
      <c r="B3996">
        <v>10</v>
      </c>
      <c r="C3996">
        <v>1123</v>
      </c>
      <c r="D3996" t="s">
        <v>303</v>
      </c>
      <c r="E3996">
        <f>YEAR(A3996)</f>
        <v>2014</v>
      </c>
      <c r="F3996" s="33">
        <f>DATE(YEAR(A3996),MONTH(A3996),1)</f>
        <v>41883.0</v>
      </c>
      <c r="G3996" t="str">
        <f>CHOOSE(WEEKDAY(A3996,2),"Mon","Tue","Wed","Thu","Fri","Sat","Sun")</f>
        <v>Sun</v>
      </c>
      <c r="H3996" t="str">
        <f>IF(WEEKDAY(A3996,2)&gt;5,"Weekend","Weekday")</f>
        <v>Weekend</v>
      </c>
      <c r="I3996" t="str">
        <f>_xlfn.IFS(B3996&lt;=5,"Night (0-5)",B3996&lt;=9,"Morning peak (6-9)",B3996&lt;=15,"Midday (10-15)",B3996&lt;=19,"Evening peak (16-19)",TRUE,"Late evening (20-23)")</f>
        <v>Midday (10-15)</v>
      </c>
    </row>
    <row r="3997" spans="1:9">
      <c r="A3997" s="32">
        <v>41896</v>
      </c>
      <c r="B3997">
        <v>11</v>
      </c>
      <c r="C3997">
        <v>1359</v>
      </c>
      <c r="D3997" t="s">
        <v>303</v>
      </c>
      <c r="E3997">
        <f>YEAR(A3997)</f>
        <v>2014</v>
      </c>
      <c r="F3997" s="33">
        <f>DATE(YEAR(A3997),MONTH(A3997),1)</f>
        <v>41883.0</v>
      </c>
      <c r="G3997" t="str">
        <f>CHOOSE(WEEKDAY(A3997,2),"Mon","Tue","Wed","Thu","Fri","Sat","Sun")</f>
        <v>Sun</v>
      </c>
      <c r="H3997" t="str">
        <f>IF(WEEKDAY(A3997,2)&gt;5,"Weekend","Weekday")</f>
        <v>Weekend</v>
      </c>
      <c r="I3997" t="str">
        <f>_xlfn.IFS(B3997&lt;=5,"Night (0-5)",B3997&lt;=9,"Morning peak (6-9)",B3997&lt;=15,"Midday (10-15)",B3997&lt;=19,"Evening peak (16-19)",TRUE,"Late evening (20-23)")</f>
        <v>Midday (10-15)</v>
      </c>
    </row>
    <row r="3998" spans="1:9">
      <c r="A3998" s="32">
        <v>41896</v>
      </c>
      <c r="B3998">
        <v>12</v>
      </c>
      <c r="C3998">
        <v>1323</v>
      </c>
      <c r="D3998" t="s">
        <v>303</v>
      </c>
      <c r="E3998">
        <f>YEAR(A3998)</f>
        <v>2014</v>
      </c>
      <c r="F3998" s="33">
        <f>DATE(YEAR(A3998),MONTH(A3998),1)</f>
        <v>41883.0</v>
      </c>
      <c r="G3998" t="str">
        <f>CHOOSE(WEEKDAY(A3998,2),"Mon","Tue","Wed","Thu","Fri","Sat","Sun")</f>
        <v>Sun</v>
      </c>
      <c r="H3998" t="str">
        <f>IF(WEEKDAY(A3998,2)&gt;5,"Weekend","Weekday")</f>
        <v>Weekend</v>
      </c>
      <c r="I3998" t="str">
        <f>_xlfn.IFS(B3998&lt;=5,"Night (0-5)",B3998&lt;=9,"Morning peak (6-9)",B3998&lt;=15,"Midday (10-15)",B3998&lt;=19,"Evening peak (16-19)",TRUE,"Late evening (20-23)")</f>
        <v>Midday (10-15)</v>
      </c>
    </row>
    <row r="3999" spans="1:9">
      <c r="A3999" s="32">
        <v>41896</v>
      </c>
      <c r="B3999">
        <v>13</v>
      </c>
      <c r="C3999">
        <v>1512</v>
      </c>
      <c r="D3999" t="s">
        <v>303</v>
      </c>
      <c r="E3999">
        <f>YEAR(A3999)</f>
        <v>2014</v>
      </c>
      <c r="F3999" s="33">
        <f>DATE(YEAR(A3999),MONTH(A3999),1)</f>
        <v>41883.0</v>
      </c>
      <c r="G3999" t="str">
        <f>CHOOSE(WEEKDAY(A3999,2),"Mon","Tue","Wed","Thu","Fri","Sat","Sun")</f>
        <v>Sun</v>
      </c>
      <c r="H3999" t="str">
        <f>IF(WEEKDAY(A3999,2)&gt;5,"Weekend","Weekday")</f>
        <v>Weekend</v>
      </c>
      <c r="I3999" t="str">
        <f>_xlfn.IFS(B3999&lt;=5,"Night (0-5)",B3999&lt;=9,"Morning peak (6-9)",B3999&lt;=15,"Midday (10-15)",B3999&lt;=19,"Evening peak (16-19)",TRUE,"Late evening (20-23)")</f>
        <v>Midday (10-15)</v>
      </c>
    </row>
    <row r="4000" spans="1:9">
      <c r="A4000" s="32">
        <v>41896</v>
      </c>
      <c r="B4000">
        <v>14</v>
      </c>
      <c r="C4000">
        <v>1587</v>
      </c>
      <c r="D4000" t="s">
        <v>303</v>
      </c>
      <c r="E4000">
        <f>YEAR(A4000)</f>
        <v>2014</v>
      </c>
      <c r="F4000" s="33">
        <f>DATE(YEAR(A4000),MONTH(A4000),1)</f>
        <v>41883.0</v>
      </c>
      <c r="G4000" t="str">
        <f>CHOOSE(WEEKDAY(A4000,2),"Mon","Tue","Wed","Thu","Fri","Sat","Sun")</f>
        <v>Sun</v>
      </c>
      <c r="H4000" t="str">
        <f>IF(WEEKDAY(A4000,2)&gt;5,"Weekend","Weekday")</f>
        <v>Weekend</v>
      </c>
      <c r="I4000" t="str">
        <f>_xlfn.IFS(B4000&lt;=5,"Night (0-5)",B4000&lt;=9,"Morning peak (6-9)",B4000&lt;=15,"Midday (10-15)",B4000&lt;=19,"Evening peak (16-19)",TRUE,"Late evening (20-23)")</f>
        <v>Midday (10-15)</v>
      </c>
    </row>
    <row r="4001" spans="1:9">
      <c r="A4001" s="32">
        <v>41896</v>
      </c>
      <c r="B4001">
        <v>15</v>
      </c>
      <c r="C4001">
        <v>1786</v>
      </c>
      <c r="D4001" t="s">
        <v>303</v>
      </c>
      <c r="E4001">
        <f>YEAR(A4001)</f>
        <v>2014</v>
      </c>
      <c r="F4001" s="33">
        <f>DATE(YEAR(A4001),MONTH(A4001),1)</f>
        <v>41883.0</v>
      </c>
      <c r="G4001" t="str">
        <f>CHOOSE(WEEKDAY(A4001,2),"Mon","Tue","Wed","Thu","Fri","Sat","Sun")</f>
        <v>Sun</v>
      </c>
      <c r="H4001" t="str">
        <f>IF(WEEKDAY(A4001,2)&gt;5,"Weekend","Weekday")</f>
        <v>Weekend</v>
      </c>
      <c r="I4001" t="str">
        <f>_xlfn.IFS(B4001&lt;=5,"Night (0-5)",B4001&lt;=9,"Morning peak (6-9)",B4001&lt;=15,"Midday (10-15)",B4001&lt;=19,"Evening peak (16-19)",TRUE,"Late evening (20-23)")</f>
        <v>Midday (10-15)</v>
      </c>
    </row>
    <row r="4002" spans="1:9">
      <c r="A4002" s="32">
        <v>41896</v>
      </c>
      <c r="B4002">
        <v>16</v>
      </c>
      <c r="C4002">
        <v>1903</v>
      </c>
      <c r="D4002" t="s">
        <v>303</v>
      </c>
      <c r="E4002">
        <f>YEAR(A4002)</f>
        <v>2014</v>
      </c>
      <c r="F4002" s="33">
        <f>DATE(YEAR(A4002),MONTH(A4002),1)</f>
        <v>41883.0</v>
      </c>
      <c r="G4002" t="str">
        <f>CHOOSE(WEEKDAY(A4002,2),"Mon","Tue","Wed","Thu","Fri","Sat","Sun")</f>
        <v>Sun</v>
      </c>
      <c r="H4002" t="str">
        <f>IF(WEEKDAY(A4002,2)&gt;5,"Weekend","Weekday")</f>
        <v>Weekend</v>
      </c>
      <c r="I4002" t="str">
        <f>_xlfn.IFS(B4002&lt;=5,"Night (0-5)",B4002&lt;=9,"Morning peak (6-9)",B4002&lt;=15,"Midday (10-15)",B4002&lt;=19,"Evening peak (16-19)",TRUE,"Late evening (20-23)")</f>
        <v>Evening peak (16-19)</v>
      </c>
    </row>
    <row r="4003" spans="1:9">
      <c r="A4003" s="32">
        <v>41896</v>
      </c>
      <c r="B4003">
        <v>17</v>
      </c>
      <c r="C4003">
        <v>1870</v>
      </c>
      <c r="D4003" t="s">
        <v>303</v>
      </c>
      <c r="E4003">
        <f>YEAR(A4003)</f>
        <v>2014</v>
      </c>
      <c r="F4003" s="33">
        <f>DATE(YEAR(A4003),MONTH(A4003),1)</f>
        <v>41883.0</v>
      </c>
      <c r="G4003" t="str">
        <f>CHOOSE(WEEKDAY(A4003,2),"Mon","Tue","Wed","Thu","Fri","Sat","Sun")</f>
        <v>Sun</v>
      </c>
      <c r="H4003" t="str">
        <f>IF(WEEKDAY(A4003,2)&gt;5,"Weekend","Weekday")</f>
        <v>Weekend</v>
      </c>
      <c r="I4003" t="str">
        <f>_xlfn.IFS(B4003&lt;=5,"Night (0-5)",B4003&lt;=9,"Morning peak (6-9)",B4003&lt;=15,"Midday (10-15)",B4003&lt;=19,"Evening peak (16-19)",TRUE,"Late evening (20-23)")</f>
        <v>Evening peak (16-19)</v>
      </c>
    </row>
    <row r="4004" spans="1:9">
      <c r="A4004" s="32">
        <v>41896</v>
      </c>
      <c r="B4004">
        <v>18</v>
      </c>
      <c r="C4004">
        <v>1796</v>
      </c>
      <c r="D4004" t="s">
        <v>303</v>
      </c>
      <c r="E4004">
        <f>YEAR(A4004)</f>
        <v>2014</v>
      </c>
      <c r="F4004" s="33">
        <f>DATE(YEAR(A4004),MONTH(A4004),1)</f>
        <v>41883.0</v>
      </c>
      <c r="G4004" t="str">
        <f>CHOOSE(WEEKDAY(A4004,2),"Mon","Tue","Wed","Thu","Fri","Sat","Sun")</f>
        <v>Sun</v>
      </c>
      <c r="H4004" t="str">
        <f>IF(WEEKDAY(A4004,2)&gt;5,"Weekend","Weekday")</f>
        <v>Weekend</v>
      </c>
      <c r="I4004" t="str">
        <f>_xlfn.IFS(B4004&lt;=5,"Night (0-5)",B4004&lt;=9,"Morning peak (6-9)",B4004&lt;=15,"Midday (10-15)",B4004&lt;=19,"Evening peak (16-19)",TRUE,"Late evening (20-23)")</f>
        <v>Evening peak (16-19)</v>
      </c>
    </row>
    <row r="4005" spans="1:9">
      <c r="A4005" s="32">
        <v>41896</v>
      </c>
      <c r="B4005">
        <v>19</v>
      </c>
      <c r="C4005">
        <v>1624</v>
      </c>
      <c r="D4005" t="s">
        <v>303</v>
      </c>
      <c r="E4005">
        <f>YEAR(A4005)</f>
        <v>2014</v>
      </c>
      <c r="F4005" s="33">
        <f>DATE(YEAR(A4005),MONTH(A4005),1)</f>
        <v>41883.0</v>
      </c>
      <c r="G4005" t="str">
        <f>CHOOSE(WEEKDAY(A4005,2),"Mon","Tue","Wed","Thu","Fri","Sat","Sun")</f>
        <v>Sun</v>
      </c>
      <c r="H4005" t="str">
        <f>IF(WEEKDAY(A4005,2)&gt;5,"Weekend","Weekday")</f>
        <v>Weekend</v>
      </c>
      <c r="I4005" t="str">
        <f>_xlfn.IFS(B4005&lt;=5,"Night (0-5)",B4005&lt;=9,"Morning peak (6-9)",B4005&lt;=15,"Midday (10-15)",B4005&lt;=19,"Evening peak (16-19)",TRUE,"Late evening (20-23)")</f>
        <v>Evening peak (16-19)</v>
      </c>
    </row>
    <row r="4006" spans="1:9">
      <c r="A4006" s="32">
        <v>41896</v>
      </c>
      <c r="B4006">
        <v>20</v>
      </c>
      <c r="C4006">
        <v>1521</v>
      </c>
      <c r="D4006" t="s">
        <v>303</v>
      </c>
      <c r="E4006">
        <f>YEAR(A4006)</f>
        <v>2014</v>
      </c>
      <c r="F4006" s="33">
        <f>DATE(YEAR(A4006),MONTH(A4006),1)</f>
        <v>41883.0</v>
      </c>
      <c r="G4006" t="str">
        <f>CHOOSE(WEEKDAY(A4006,2),"Mon","Tue","Wed","Thu","Fri","Sat","Sun")</f>
        <v>Sun</v>
      </c>
      <c r="H4006" t="str">
        <f>IF(WEEKDAY(A4006,2)&gt;5,"Weekend","Weekday")</f>
        <v>Weekend</v>
      </c>
      <c r="I4006" t="str">
        <f>_xlfn.IFS(B4006&lt;=5,"Night (0-5)",B4006&lt;=9,"Morning peak (6-9)",B4006&lt;=15,"Midday (10-15)",B4006&lt;=19,"Evening peak (16-19)",TRUE,"Late evening (20-23)")</f>
        <v>Late evening (20-23)</v>
      </c>
    </row>
    <row r="4007" spans="1:9">
      <c r="A4007" s="32">
        <v>41896</v>
      </c>
      <c r="B4007">
        <v>21</v>
      </c>
      <c r="C4007">
        <v>1237</v>
      </c>
      <c r="D4007" t="s">
        <v>303</v>
      </c>
      <c r="E4007">
        <f>YEAR(A4007)</f>
        <v>2014</v>
      </c>
      <c r="F4007" s="33">
        <f>DATE(YEAR(A4007),MONTH(A4007),1)</f>
        <v>41883.0</v>
      </c>
      <c r="G4007" t="str">
        <f>CHOOSE(WEEKDAY(A4007,2),"Mon","Tue","Wed","Thu","Fri","Sat","Sun")</f>
        <v>Sun</v>
      </c>
      <c r="H4007" t="str">
        <f>IF(WEEKDAY(A4007,2)&gt;5,"Weekend","Weekday")</f>
        <v>Weekend</v>
      </c>
      <c r="I4007" t="str">
        <f>_xlfn.IFS(B4007&lt;=5,"Night (0-5)",B4007&lt;=9,"Morning peak (6-9)",B4007&lt;=15,"Midday (10-15)",B4007&lt;=19,"Evening peak (16-19)",TRUE,"Late evening (20-23)")</f>
        <v>Late evening (20-23)</v>
      </c>
    </row>
    <row r="4008" spans="1:9">
      <c r="A4008" s="32">
        <v>41896</v>
      </c>
      <c r="B4008">
        <v>22</v>
      </c>
      <c r="C4008">
        <v>1012</v>
      </c>
      <c r="D4008" t="s">
        <v>303</v>
      </c>
      <c r="E4008">
        <f>YEAR(A4008)</f>
        <v>2014</v>
      </c>
      <c r="F4008" s="33">
        <f>DATE(YEAR(A4008),MONTH(A4008),1)</f>
        <v>41883.0</v>
      </c>
      <c r="G4008" t="str">
        <f>CHOOSE(WEEKDAY(A4008,2),"Mon","Tue","Wed","Thu","Fri","Sat","Sun")</f>
        <v>Sun</v>
      </c>
      <c r="H4008" t="str">
        <f>IF(WEEKDAY(A4008,2)&gt;5,"Weekend","Weekday")</f>
        <v>Weekend</v>
      </c>
      <c r="I4008" t="str">
        <f>_xlfn.IFS(B4008&lt;=5,"Night (0-5)",B4008&lt;=9,"Morning peak (6-9)",B4008&lt;=15,"Midday (10-15)",B4008&lt;=19,"Evening peak (16-19)",TRUE,"Late evening (20-23)")</f>
        <v>Late evening (20-23)</v>
      </c>
    </row>
    <row r="4009" spans="1:9">
      <c r="A4009" s="32">
        <v>41896</v>
      </c>
      <c r="B4009">
        <v>23</v>
      </c>
      <c r="C4009">
        <v>505</v>
      </c>
      <c r="D4009" t="s">
        <v>303</v>
      </c>
      <c r="E4009">
        <f>YEAR(A4009)</f>
        <v>2014</v>
      </c>
      <c r="F4009" s="33">
        <f>DATE(YEAR(A4009),MONTH(A4009),1)</f>
        <v>41883.0</v>
      </c>
      <c r="G4009" t="str">
        <f>CHOOSE(WEEKDAY(A4009,2),"Mon","Tue","Wed","Thu","Fri","Sat","Sun")</f>
        <v>Sun</v>
      </c>
      <c r="H4009" t="str">
        <f>IF(WEEKDAY(A4009,2)&gt;5,"Weekend","Weekday")</f>
        <v>Weekend</v>
      </c>
      <c r="I4009" t="str">
        <f>_xlfn.IFS(B4009&lt;=5,"Night (0-5)",B4009&lt;=9,"Morning peak (6-9)",B4009&lt;=15,"Midday (10-15)",B4009&lt;=19,"Evening peak (16-19)",TRUE,"Late evening (20-23)")</f>
        <v>Late evening (20-23)</v>
      </c>
    </row>
    <row r="4010" spans="1:9">
      <c r="A4010" s="32">
        <v>41897</v>
      </c>
      <c r="B4010">
        <v>0</v>
      </c>
      <c r="C4010">
        <v>257</v>
      </c>
      <c r="D4010" t="s">
        <v>303</v>
      </c>
      <c r="E4010">
        <f>YEAR(A4010)</f>
        <v>2014</v>
      </c>
      <c r="F4010" s="33">
        <f>DATE(YEAR(A4010),MONTH(A4010),1)</f>
        <v>41883.0</v>
      </c>
      <c r="G4010" t="str">
        <f>CHOOSE(WEEKDAY(A4010,2),"Mon","Tue","Wed","Thu","Fri","Sat","Sun")</f>
        <v>Mon</v>
      </c>
      <c r="H4010" t="str">
        <f>IF(WEEKDAY(A4010,2)&gt;5,"Weekend","Weekday")</f>
        <v>Weekday</v>
      </c>
      <c r="I4010" t="str">
        <f>_xlfn.IFS(B4010&lt;=5,"Night (0-5)",B4010&lt;=9,"Morning peak (6-9)",B4010&lt;=15,"Midday (10-15)",B4010&lt;=19,"Evening peak (16-19)",TRUE,"Late evening (20-23)")</f>
        <v>Night (0-5)</v>
      </c>
    </row>
    <row r="4011" spans="1:9">
      <c r="A4011" s="32">
        <v>41897</v>
      </c>
      <c r="B4011">
        <v>1</v>
      </c>
      <c r="C4011">
        <v>172</v>
      </c>
      <c r="D4011" t="s">
        <v>303</v>
      </c>
      <c r="E4011">
        <f>YEAR(A4011)</f>
        <v>2014</v>
      </c>
      <c r="F4011" s="33">
        <f>DATE(YEAR(A4011),MONTH(A4011),1)</f>
        <v>41883.0</v>
      </c>
      <c r="G4011" t="str">
        <f>CHOOSE(WEEKDAY(A4011,2),"Mon","Tue","Wed","Thu","Fri","Sat","Sun")</f>
        <v>Mon</v>
      </c>
      <c r="H4011" t="str">
        <f>IF(WEEKDAY(A4011,2)&gt;5,"Weekend","Weekday")</f>
        <v>Weekday</v>
      </c>
      <c r="I4011" t="str">
        <f>_xlfn.IFS(B4011&lt;=5,"Night (0-5)",B4011&lt;=9,"Morning peak (6-9)",B4011&lt;=15,"Midday (10-15)",B4011&lt;=19,"Evening peak (16-19)",TRUE,"Late evening (20-23)")</f>
        <v>Night (0-5)</v>
      </c>
    </row>
    <row r="4012" spans="1:9">
      <c r="A4012" s="32">
        <v>41897</v>
      </c>
      <c r="B4012">
        <v>2</v>
      </c>
      <c r="C4012">
        <v>158</v>
      </c>
      <c r="D4012" t="s">
        <v>303</v>
      </c>
      <c r="E4012">
        <f>YEAR(A4012)</f>
        <v>2014</v>
      </c>
      <c r="F4012" s="33">
        <f>DATE(YEAR(A4012),MONTH(A4012),1)</f>
        <v>41883.0</v>
      </c>
      <c r="G4012" t="str">
        <f>CHOOSE(WEEKDAY(A4012,2),"Mon","Tue","Wed","Thu","Fri","Sat","Sun")</f>
        <v>Mon</v>
      </c>
      <c r="H4012" t="str">
        <f>IF(WEEKDAY(A4012,2)&gt;5,"Weekend","Weekday")</f>
        <v>Weekday</v>
      </c>
      <c r="I4012" t="str">
        <f>_xlfn.IFS(B4012&lt;=5,"Night (0-5)",B4012&lt;=9,"Morning peak (6-9)",B4012&lt;=15,"Midday (10-15)",B4012&lt;=19,"Evening peak (16-19)",TRUE,"Late evening (20-23)")</f>
        <v>Night (0-5)</v>
      </c>
    </row>
    <row r="4013" spans="1:9">
      <c r="A4013" s="32">
        <v>41897</v>
      </c>
      <c r="B4013">
        <v>3</v>
      </c>
      <c r="C4013">
        <v>346</v>
      </c>
      <c r="D4013" t="s">
        <v>303</v>
      </c>
      <c r="E4013">
        <f>YEAR(A4013)</f>
        <v>2014</v>
      </c>
      <c r="F4013" s="33">
        <f>DATE(YEAR(A4013),MONTH(A4013),1)</f>
        <v>41883.0</v>
      </c>
      <c r="G4013" t="str">
        <f>CHOOSE(WEEKDAY(A4013,2),"Mon","Tue","Wed","Thu","Fri","Sat","Sun")</f>
        <v>Mon</v>
      </c>
      <c r="H4013" t="str">
        <f>IF(WEEKDAY(A4013,2)&gt;5,"Weekend","Weekday")</f>
        <v>Weekday</v>
      </c>
      <c r="I4013" t="str">
        <f>_xlfn.IFS(B4013&lt;=5,"Night (0-5)",B4013&lt;=9,"Morning peak (6-9)",B4013&lt;=15,"Midday (10-15)",B4013&lt;=19,"Evening peak (16-19)",TRUE,"Late evening (20-23)")</f>
        <v>Night (0-5)</v>
      </c>
    </row>
    <row r="4014" spans="1:9">
      <c r="A4014" s="32">
        <v>41897</v>
      </c>
      <c r="B4014">
        <v>4</v>
      </c>
      <c r="C4014">
        <v>571</v>
      </c>
      <c r="D4014" t="s">
        <v>303</v>
      </c>
      <c r="E4014">
        <f>YEAR(A4014)</f>
        <v>2014</v>
      </c>
      <c r="F4014" s="33">
        <f>DATE(YEAR(A4014),MONTH(A4014),1)</f>
        <v>41883.0</v>
      </c>
      <c r="G4014" t="str">
        <f>CHOOSE(WEEKDAY(A4014,2),"Mon","Tue","Wed","Thu","Fri","Sat","Sun")</f>
        <v>Mon</v>
      </c>
      <c r="H4014" t="str">
        <f>IF(WEEKDAY(A4014,2)&gt;5,"Weekend","Weekday")</f>
        <v>Weekday</v>
      </c>
      <c r="I4014" t="str">
        <f>_xlfn.IFS(B4014&lt;=5,"Night (0-5)",B4014&lt;=9,"Morning peak (6-9)",B4014&lt;=15,"Midday (10-15)",B4014&lt;=19,"Evening peak (16-19)",TRUE,"Late evening (20-23)")</f>
        <v>Night (0-5)</v>
      </c>
    </row>
    <row r="4015" spans="1:9">
      <c r="A4015" s="32">
        <v>41897</v>
      </c>
      <c r="B4015">
        <v>5</v>
      </c>
      <c r="C4015">
        <v>883</v>
      </c>
      <c r="D4015" t="s">
        <v>303</v>
      </c>
      <c r="E4015">
        <f>YEAR(A4015)</f>
        <v>2014</v>
      </c>
      <c r="F4015" s="33">
        <f>DATE(YEAR(A4015),MONTH(A4015),1)</f>
        <v>41883.0</v>
      </c>
      <c r="G4015" t="str">
        <f>CHOOSE(WEEKDAY(A4015,2),"Mon","Tue","Wed","Thu","Fri","Sat","Sun")</f>
        <v>Mon</v>
      </c>
      <c r="H4015" t="str">
        <f>IF(WEEKDAY(A4015,2)&gt;5,"Weekend","Weekday")</f>
        <v>Weekday</v>
      </c>
      <c r="I4015" t="str">
        <f>_xlfn.IFS(B4015&lt;=5,"Night (0-5)",B4015&lt;=9,"Morning peak (6-9)",B4015&lt;=15,"Midday (10-15)",B4015&lt;=19,"Evening peak (16-19)",TRUE,"Late evening (20-23)")</f>
        <v>Night (0-5)</v>
      </c>
    </row>
    <row r="4016" spans="1:9">
      <c r="A4016" s="32">
        <v>41897</v>
      </c>
      <c r="B4016">
        <v>6</v>
      </c>
      <c r="C4016">
        <v>1357</v>
      </c>
      <c r="D4016" t="s">
        <v>303</v>
      </c>
      <c r="E4016">
        <f>YEAR(A4016)</f>
        <v>2014</v>
      </c>
      <c r="F4016" s="33">
        <f>DATE(YEAR(A4016),MONTH(A4016),1)</f>
        <v>41883.0</v>
      </c>
      <c r="G4016" t="str">
        <f>CHOOSE(WEEKDAY(A4016,2),"Mon","Tue","Wed","Thu","Fri","Sat","Sun")</f>
        <v>Mon</v>
      </c>
      <c r="H4016" t="str">
        <f>IF(WEEKDAY(A4016,2)&gt;5,"Weekend","Weekday")</f>
        <v>Weekday</v>
      </c>
      <c r="I4016" t="str">
        <f>_xlfn.IFS(B4016&lt;=5,"Night (0-5)",B4016&lt;=9,"Morning peak (6-9)",B4016&lt;=15,"Midday (10-15)",B4016&lt;=19,"Evening peak (16-19)",TRUE,"Late evening (20-23)")</f>
        <v>Morning peak (6-9)</v>
      </c>
    </row>
    <row r="4017" spans="1:9">
      <c r="A4017" s="32">
        <v>41897</v>
      </c>
      <c r="B4017">
        <v>7</v>
      </c>
      <c r="C4017">
        <v>1694</v>
      </c>
      <c r="D4017" t="s">
        <v>303</v>
      </c>
      <c r="E4017">
        <f>YEAR(A4017)</f>
        <v>2014</v>
      </c>
      <c r="F4017" s="33">
        <f>DATE(YEAR(A4017),MONTH(A4017),1)</f>
        <v>41883.0</v>
      </c>
      <c r="G4017" t="str">
        <f>CHOOSE(WEEKDAY(A4017,2),"Mon","Tue","Wed","Thu","Fri","Sat","Sun")</f>
        <v>Mon</v>
      </c>
      <c r="H4017" t="str">
        <f>IF(WEEKDAY(A4017,2)&gt;5,"Weekend","Weekday")</f>
        <v>Weekday</v>
      </c>
      <c r="I4017" t="str">
        <f>_xlfn.IFS(B4017&lt;=5,"Night (0-5)",B4017&lt;=9,"Morning peak (6-9)",B4017&lt;=15,"Midday (10-15)",B4017&lt;=19,"Evening peak (16-19)",TRUE,"Late evening (20-23)")</f>
        <v>Morning peak (6-9)</v>
      </c>
    </row>
    <row r="4018" spans="1:9">
      <c r="A4018" s="32">
        <v>41897</v>
      </c>
      <c r="B4018">
        <v>8</v>
      </c>
      <c r="C4018">
        <v>1706</v>
      </c>
      <c r="D4018" t="s">
        <v>303</v>
      </c>
      <c r="E4018">
        <f>YEAR(A4018)</f>
        <v>2014</v>
      </c>
      <c r="F4018" s="33">
        <f>DATE(YEAR(A4018),MONTH(A4018),1)</f>
        <v>41883.0</v>
      </c>
      <c r="G4018" t="str">
        <f>CHOOSE(WEEKDAY(A4018,2),"Mon","Tue","Wed","Thu","Fri","Sat","Sun")</f>
        <v>Mon</v>
      </c>
      <c r="H4018" t="str">
        <f>IF(WEEKDAY(A4018,2)&gt;5,"Weekend","Weekday")</f>
        <v>Weekday</v>
      </c>
      <c r="I4018" t="str">
        <f>_xlfn.IFS(B4018&lt;=5,"Night (0-5)",B4018&lt;=9,"Morning peak (6-9)",B4018&lt;=15,"Midday (10-15)",B4018&lt;=19,"Evening peak (16-19)",TRUE,"Late evening (20-23)")</f>
        <v>Morning peak (6-9)</v>
      </c>
    </row>
    <row r="4019" spans="1:9">
      <c r="A4019" s="32">
        <v>41897</v>
      </c>
      <c r="B4019">
        <v>9</v>
      </c>
      <c r="C4019">
        <v>1249</v>
      </c>
      <c r="D4019" t="s">
        <v>303</v>
      </c>
      <c r="E4019">
        <f>YEAR(A4019)</f>
        <v>2014</v>
      </c>
      <c r="F4019" s="33">
        <f>DATE(YEAR(A4019),MONTH(A4019),1)</f>
        <v>41883.0</v>
      </c>
      <c r="G4019" t="str">
        <f>CHOOSE(WEEKDAY(A4019,2),"Mon","Tue","Wed","Thu","Fri","Sat","Sun")</f>
        <v>Mon</v>
      </c>
      <c r="H4019" t="str">
        <f>IF(WEEKDAY(A4019,2)&gt;5,"Weekend","Weekday")</f>
        <v>Weekday</v>
      </c>
      <c r="I4019" t="str">
        <f>_xlfn.IFS(B4019&lt;=5,"Night (0-5)",B4019&lt;=9,"Morning peak (6-9)",B4019&lt;=15,"Midday (10-15)",B4019&lt;=19,"Evening peak (16-19)",TRUE,"Late evening (20-23)")</f>
        <v>Morning peak (6-9)</v>
      </c>
    </row>
    <row r="4020" spans="1:9">
      <c r="A4020" s="32">
        <v>41897</v>
      </c>
      <c r="B4020">
        <v>10</v>
      </c>
      <c r="C4020">
        <v>1032</v>
      </c>
      <c r="D4020" t="s">
        <v>303</v>
      </c>
      <c r="E4020">
        <f>YEAR(A4020)</f>
        <v>2014</v>
      </c>
      <c r="F4020" s="33">
        <f>DATE(YEAR(A4020),MONTH(A4020),1)</f>
        <v>41883.0</v>
      </c>
      <c r="G4020" t="str">
        <f>CHOOSE(WEEKDAY(A4020,2),"Mon","Tue","Wed","Thu","Fri","Sat","Sun")</f>
        <v>Mon</v>
      </c>
      <c r="H4020" t="str">
        <f>IF(WEEKDAY(A4020,2)&gt;5,"Weekend","Weekday")</f>
        <v>Weekday</v>
      </c>
      <c r="I4020" t="str">
        <f>_xlfn.IFS(B4020&lt;=5,"Night (0-5)",B4020&lt;=9,"Morning peak (6-9)",B4020&lt;=15,"Midday (10-15)",B4020&lt;=19,"Evening peak (16-19)",TRUE,"Late evening (20-23)")</f>
        <v>Midday (10-15)</v>
      </c>
    </row>
    <row r="4021" spans="1:9">
      <c r="A4021" s="32">
        <v>41897</v>
      </c>
      <c r="B4021">
        <v>11</v>
      </c>
      <c r="C4021">
        <v>1055</v>
      </c>
      <c r="D4021" t="s">
        <v>303</v>
      </c>
      <c r="E4021">
        <f>YEAR(A4021)</f>
        <v>2014</v>
      </c>
      <c r="F4021" s="33">
        <f>DATE(YEAR(A4021),MONTH(A4021),1)</f>
        <v>41883.0</v>
      </c>
      <c r="G4021" t="str">
        <f>CHOOSE(WEEKDAY(A4021,2),"Mon","Tue","Wed","Thu","Fri","Sat","Sun")</f>
        <v>Mon</v>
      </c>
      <c r="H4021" t="str">
        <f>IF(WEEKDAY(A4021,2)&gt;5,"Weekend","Weekday")</f>
        <v>Weekday</v>
      </c>
      <c r="I4021" t="str">
        <f>_xlfn.IFS(B4021&lt;=5,"Night (0-5)",B4021&lt;=9,"Morning peak (6-9)",B4021&lt;=15,"Midday (10-15)",B4021&lt;=19,"Evening peak (16-19)",TRUE,"Late evening (20-23)")</f>
        <v>Midday (10-15)</v>
      </c>
    </row>
    <row r="4022" spans="1:9">
      <c r="A4022" s="32">
        <v>41897</v>
      </c>
      <c r="B4022">
        <v>12</v>
      </c>
      <c r="C4022">
        <v>1060</v>
      </c>
      <c r="D4022" t="s">
        <v>303</v>
      </c>
      <c r="E4022">
        <f>YEAR(A4022)</f>
        <v>2014</v>
      </c>
      <c r="F4022" s="33">
        <f>DATE(YEAR(A4022),MONTH(A4022),1)</f>
        <v>41883.0</v>
      </c>
      <c r="G4022" t="str">
        <f>CHOOSE(WEEKDAY(A4022,2),"Mon","Tue","Wed","Thu","Fri","Sat","Sun")</f>
        <v>Mon</v>
      </c>
      <c r="H4022" t="str">
        <f>IF(WEEKDAY(A4022,2)&gt;5,"Weekend","Weekday")</f>
        <v>Weekday</v>
      </c>
      <c r="I4022" t="str">
        <f>_xlfn.IFS(B4022&lt;=5,"Night (0-5)",B4022&lt;=9,"Morning peak (6-9)",B4022&lt;=15,"Midday (10-15)",B4022&lt;=19,"Evening peak (16-19)",TRUE,"Late evening (20-23)")</f>
        <v>Midday (10-15)</v>
      </c>
    </row>
    <row r="4023" spans="1:9">
      <c r="A4023" s="32">
        <v>41897</v>
      </c>
      <c r="B4023">
        <v>13</v>
      </c>
      <c r="C4023">
        <v>1277</v>
      </c>
      <c r="D4023" t="s">
        <v>303</v>
      </c>
      <c r="E4023">
        <f>YEAR(A4023)</f>
        <v>2014</v>
      </c>
      <c r="F4023" s="33">
        <f>DATE(YEAR(A4023),MONTH(A4023),1)</f>
        <v>41883.0</v>
      </c>
      <c r="G4023" t="str">
        <f>CHOOSE(WEEKDAY(A4023,2),"Mon","Tue","Wed","Thu","Fri","Sat","Sun")</f>
        <v>Mon</v>
      </c>
      <c r="H4023" t="str">
        <f>IF(WEEKDAY(A4023,2)&gt;5,"Weekend","Weekday")</f>
        <v>Weekday</v>
      </c>
      <c r="I4023" t="str">
        <f>_xlfn.IFS(B4023&lt;=5,"Night (0-5)",B4023&lt;=9,"Morning peak (6-9)",B4023&lt;=15,"Midday (10-15)",B4023&lt;=19,"Evening peak (16-19)",TRUE,"Late evening (20-23)")</f>
        <v>Midday (10-15)</v>
      </c>
    </row>
    <row r="4024" spans="1:9">
      <c r="A4024" s="32">
        <v>41897</v>
      </c>
      <c r="B4024">
        <v>14</v>
      </c>
      <c r="C4024">
        <v>1454</v>
      </c>
      <c r="D4024" t="s">
        <v>303</v>
      </c>
      <c r="E4024">
        <f>YEAR(A4024)</f>
        <v>2014</v>
      </c>
      <c r="F4024" s="33">
        <f>DATE(YEAR(A4024),MONTH(A4024),1)</f>
        <v>41883.0</v>
      </c>
      <c r="G4024" t="str">
        <f>CHOOSE(WEEKDAY(A4024,2),"Mon","Tue","Wed","Thu","Fri","Sat","Sun")</f>
        <v>Mon</v>
      </c>
      <c r="H4024" t="str">
        <f>IF(WEEKDAY(A4024,2)&gt;5,"Weekend","Weekday")</f>
        <v>Weekday</v>
      </c>
      <c r="I4024" t="str">
        <f>_xlfn.IFS(B4024&lt;=5,"Night (0-5)",B4024&lt;=9,"Morning peak (6-9)",B4024&lt;=15,"Midday (10-15)",B4024&lt;=19,"Evening peak (16-19)",TRUE,"Late evening (20-23)")</f>
        <v>Midday (10-15)</v>
      </c>
    </row>
    <row r="4025" spans="1:9">
      <c r="A4025" s="32">
        <v>41897</v>
      </c>
      <c r="B4025">
        <v>15</v>
      </c>
      <c r="C4025">
        <v>1766</v>
      </c>
      <c r="D4025" t="s">
        <v>303</v>
      </c>
      <c r="E4025">
        <f>YEAR(A4025)</f>
        <v>2014</v>
      </c>
      <c r="F4025" s="33">
        <f>DATE(YEAR(A4025),MONTH(A4025),1)</f>
        <v>41883.0</v>
      </c>
      <c r="G4025" t="str">
        <f>CHOOSE(WEEKDAY(A4025,2),"Mon","Tue","Wed","Thu","Fri","Sat","Sun")</f>
        <v>Mon</v>
      </c>
      <c r="H4025" t="str">
        <f>IF(WEEKDAY(A4025,2)&gt;5,"Weekend","Weekday")</f>
        <v>Weekday</v>
      </c>
      <c r="I4025" t="str">
        <f>_xlfn.IFS(B4025&lt;=5,"Night (0-5)",B4025&lt;=9,"Morning peak (6-9)",B4025&lt;=15,"Midday (10-15)",B4025&lt;=19,"Evening peak (16-19)",TRUE,"Late evening (20-23)")</f>
        <v>Midday (10-15)</v>
      </c>
    </row>
    <row r="4026" spans="1:9">
      <c r="A4026" s="32">
        <v>41897</v>
      </c>
      <c r="B4026">
        <v>16</v>
      </c>
      <c r="C4026">
        <v>2186</v>
      </c>
      <c r="D4026" t="s">
        <v>303</v>
      </c>
      <c r="E4026">
        <f>YEAR(A4026)</f>
        <v>2014</v>
      </c>
      <c r="F4026" s="33">
        <f>DATE(YEAR(A4026),MONTH(A4026),1)</f>
        <v>41883.0</v>
      </c>
      <c r="G4026" t="str">
        <f>CHOOSE(WEEKDAY(A4026,2),"Mon","Tue","Wed","Thu","Fri","Sat","Sun")</f>
        <v>Mon</v>
      </c>
      <c r="H4026" t="str">
        <f>IF(WEEKDAY(A4026,2)&gt;5,"Weekend","Weekday")</f>
        <v>Weekday</v>
      </c>
      <c r="I4026" t="str">
        <f>_xlfn.IFS(B4026&lt;=5,"Night (0-5)",B4026&lt;=9,"Morning peak (6-9)",B4026&lt;=15,"Midday (10-15)",B4026&lt;=19,"Evening peak (16-19)",TRUE,"Late evening (20-23)")</f>
        <v>Evening peak (16-19)</v>
      </c>
    </row>
    <row r="4027" spans="1:9">
      <c r="A4027" s="32">
        <v>41897</v>
      </c>
      <c r="B4027">
        <v>17</v>
      </c>
      <c r="C4027">
        <v>2348</v>
      </c>
      <c r="D4027" t="s">
        <v>303</v>
      </c>
      <c r="E4027">
        <f>YEAR(A4027)</f>
        <v>2014</v>
      </c>
      <c r="F4027" s="33">
        <f>DATE(YEAR(A4027),MONTH(A4027),1)</f>
        <v>41883.0</v>
      </c>
      <c r="G4027" t="str">
        <f>CHOOSE(WEEKDAY(A4027,2),"Mon","Tue","Wed","Thu","Fri","Sat","Sun")</f>
        <v>Mon</v>
      </c>
      <c r="H4027" t="str">
        <f>IF(WEEKDAY(A4027,2)&gt;5,"Weekend","Weekday")</f>
        <v>Weekday</v>
      </c>
      <c r="I4027" t="str">
        <f>_xlfn.IFS(B4027&lt;=5,"Night (0-5)",B4027&lt;=9,"Morning peak (6-9)",B4027&lt;=15,"Midday (10-15)",B4027&lt;=19,"Evening peak (16-19)",TRUE,"Late evening (20-23)")</f>
        <v>Evening peak (16-19)</v>
      </c>
    </row>
    <row r="4028" spans="1:9">
      <c r="A4028" s="32">
        <v>41897</v>
      </c>
      <c r="B4028">
        <v>18</v>
      </c>
      <c r="C4028">
        <v>2155</v>
      </c>
      <c r="D4028" t="s">
        <v>303</v>
      </c>
      <c r="E4028">
        <f>YEAR(A4028)</f>
        <v>2014</v>
      </c>
      <c r="F4028" s="33">
        <f>DATE(YEAR(A4028),MONTH(A4028),1)</f>
        <v>41883.0</v>
      </c>
      <c r="G4028" t="str">
        <f>CHOOSE(WEEKDAY(A4028,2),"Mon","Tue","Wed","Thu","Fri","Sat","Sun")</f>
        <v>Mon</v>
      </c>
      <c r="H4028" t="str">
        <f>IF(WEEKDAY(A4028,2)&gt;5,"Weekend","Weekday")</f>
        <v>Weekday</v>
      </c>
      <c r="I4028" t="str">
        <f>_xlfn.IFS(B4028&lt;=5,"Night (0-5)",B4028&lt;=9,"Morning peak (6-9)",B4028&lt;=15,"Midday (10-15)",B4028&lt;=19,"Evening peak (16-19)",TRUE,"Late evening (20-23)")</f>
        <v>Evening peak (16-19)</v>
      </c>
    </row>
    <row r="4029" spans="1:9">
      <c r="A4029" s="32">
        <v>41897</v>
      </c>
      <c r="B4029">
        <v>19</v>
      </c>
      <c r="C4029">
        <v>1910</v>
      </c>
      <c r="D4029" t="s">
        <v>303</v>
      </c>
      <c r="E4029">
        <f>YEAR(A4029)</f>
        <v>2014</v>
      </c>
      <c r="F4029" s="33">
        <f>DATE(YEAR(A4029),MONTH(A4029),1)</f>
        <v>41883.0</v>
      </c>
      <c r="G4029" t="str">
        <f>CHOOSE(WEEKDAY(A4029,2),"Mon","Tue","Wed","Thu","Fri","Sat","Sun")</f>
        <v>Mon</v>
      </c>
      <c r="H4029" t="str">
        <f>IF(WEEKDAY(A4029,2)&gt;5,"Weekend","Weekday")</f>
        <v>Weekday</v>
      </c>
      <c r="I4029" t="str">
        <f>_xlfn.IFS(B4029&lt;=5,"Night (0-5)",B4029&lt;=9,"Morning peak (6-9)",B4029&lt;=15,"Midday (10-15)",B4029&lt;=19,"Evening peak (16-19)",TRUE,"Late evening (20-23)")</f>
        <v>Evening peak (16-19)</v>
      </c>
    </row>
    <row r="4030" spans="1:9">
      <c r="A4030" s="32">
        <v>41897</v>
      </c>
      <c r="B4030">
        <v>20</v>
      </c>
      <c r="C4030">
        <v>1847</v>
      </c>
      <c r="D4030" t="s">
        <v>303</v>
      </c>
      <c r="E4030">
        <f>YEAR(A4030)</f>
        <v>2014</v>
      </c>
      <c r="F4030" s="33">
        <f>DATE(YEAR(A4030),MONTH(A4030),1)</f>
        <v>41883.0</v>
      </c>
      <c r="G4030" t="str">
        <f>CHOOSE(WEEKDAY(A4030,2),"Mon","Tue","Wed","Thu","Fri","Sat","Sun")</f>
        <v>Mon</v>
      </c>
      <c r="H4030" t="str">
        <f>IF(WEEKDAY(A4030,2)&gt;5,"Weekend","Weekday")</f>
        <v>Weekday</v>
      </c>
      <c r="I4030" t="str">
        <f>_xlfn.IFS(B4030&lt;=5,"Night (0-5)",B4030&lt;=9,"Morning peak (6-9)",B4030&lt;=15,"Midday (10-15)",B4030&lt;=19,"Evening peak (16-19)",TRUE,"Late evening (20-23)")</f>
        <v>Late evening (20-23)</v>
      </c>
    </row>
    <row r="4031" spans="1:9">
      <c r="A4031" s="32">
        <v>41897</v>
      </c>
      <c r="B4031">
        <v>21</v>
      </c>
      <c r="C4031">
        <v>1378</v>
      </c>
      <c r="D4031" t="s">
        <v>303</v>
      </c>
      <c r="E4031">
        <f>YEAR(A4031)</f>
        <v>2014</v>
      </c>
      <c r="F4031" s="33">
        <f>DATE(YEAR(A4031),MONTH(A4031),1)</f>
        <v>41883.0</v>
      </c>
      <c r="G4031" t="str">
        <f>CHOOSE(WEEKDAY(A4031,2),"Mon","Tue","Wed","Thu","Fri","Sat","Sun")</f>
        <v>Mon</v>
      </c>
      <c r="H4031" t="str">
        <f>IF(WEEKDAY(A4031,2)&gt;5,"Weekend","Weekday")</f>
        <v>Weekday</v>
      </c>
      <c r="I4031" t="str">
        <f>_xlfn.IFS(B4031&lt;=5,"Night (0-5)",B4031&lt;=9,"Morning peak (6-9)",B4031&lt;=15,"Midday (10-15)",B4031&lt;=19,"Evening peak (16-19)",TRUE,"Late evening (20-23)")</f>
        <v>Late evening (20-23)</v>
      </c>
    </row>
    <row r="4032" spans="1:9">
      <c r="A4032" s="32">
        <v>41897</v>
      </c>
      <c r="B4032">
        <v>22</v>
      </c>
      <c r="C4032">
        <v>1020</v>
      </c>
      <c r="D4032" t="s">
        <v>303</v>
      </c>
      <c r="E4032">
        <f>YEAR(A4032)</f>
        <v>2014</v>
      </c>
      <c r="F4032" s="33">
        <f>DATE(YEAR(A4032),MONTH(A4032),1)</f>
        <v>41883.0</v>
      </c>
      <c r="G4032" t="str">
        <f>CHOOSE(WEEKDAY(A4032,2),"Mon","Tue","Wed","Thu","Fri","Sat","Sun")</f>
        <v>Mon</v>
      </c>
      <c r="H4032" t="str">
        <f>IF(WEEKDAY(A4032,2)&gt;5,"Weekend","Weekday")</f>
        <v>Weekday</v>
      </c>
      <c r="I4032" t="str">
        <f>_xlfn.IFS(B4032&lt;=5,"Night (0-5)",B4032&lt;=9,"Morning peak (6-9)",B4032&lt;=15,"Midday (10-15)",B4032&lt;=19,"Evening peak (16-19)",TRUE,"Late evening (20-23)")</f>
        <v>Late evening (20-23)</v>
      </c>
    </row>
    <row r="4033" spans="1:9">
      <c r="A4033" s="32">
        <v>41897</v>
      </c>
      <c r="B4033">
        <v>23</v>
      </c>
      <c r="C4033">
        <v>573</v>
      </c>
      <c r="D4033" t="s">
        <v>303</v>
      </c>
      <c r="E4033">
        <f>YEAR(A4033)</f>
        <v>2014</v>
      </c>
      <c r="F4033" s="33">
        <f>DATE(YEAR(A4033),MONTH(A4033),1)</f>
        <v>41883.0</v>
      </c>
      <c r="G4033" t="str">
        <f>CHOOSE(WEEKDAY(A4033,2),"Mon","Tue","Wed","Thu","Fri","Sat","Sun")</f>
        <v>Mon</v>
      </c>
      <c r="H4033" t="str">
        <f>IF(WEEKDAY(A4033,2)&gt;5,"Weekend","Weekday")</f>
        <v>Weekday</v>
      </c>
      <c r="I4033" t="str">
        <f>_xlfn.IFS(B4033&lt;=5,"Night (0-5)",B4033&lt;=9,"Morning peak (6-9)",B4033&lt;=15,"Midday (10-15)",B4033&lt;=19,"Evening peak (16-19)",TRUE,"Late evening (20-23)")</f>
        <v>Late evening (20-23)</v>
      </c>
    </row>
    <row r="4034" spans="1:9">
      <c r="A4034" s="32">
        <v>41898</v>
      </c>
      <c r="B4034">
        <v>0</v>
      </c>
      <c r="C4034">
        <v>268</v>
      </c>
      <c r="D4034" t="s">
        <v>303</v>
      </c>
      <c r="E4034">
        <f>YEAR(A4034)</f>
        <v>2014</v>
      </c>
      <c r="F4034" s="33">
        <f>DATE(YEAR(A4034),MONTH(A4034),1)</f>
        <v>41883.0</v>
      </c>
      <c r="G4034" t="str">
        <f>CHOOSE(WEEKDAY(A4034,2),"Mon","Tue","Wed","Thu","Fri","Sat","Sun")</f>
        <v>Tue</v>
      </c>
      <c r="H4034" t="str">
        <f>IF(WEEKDAY(A4034,2)&gt;5,"Weekend","Weekday")</f>
        <v>Weekday</v>
      </c>
      <c r="I4034" t="str">
        <f>_xlfn.IFS(B4034&lt;=5,"Night (0-5)",B4034&lt;=9,"Morning peak (6-9)",B4034&lt;=15,"Midday (10-15)",B4034&lt;=19,"Evening peak (16-19)",TRUE,"Late evening (20-23)")</f>
        <v>Night (0-5)</v>
      </c>
    </row>
    <row r="4035" spans="1:9">
      <c r="A4035" s="32">
        <v>41898</v>
      </c>
      <c r="B4035">
        <v>1</v>
      </c>
      <c r="C4035">
        <v>139</v>
      </c>
      <c r="D4035" t="s">
        <v>303</v>
      </c>
      <c r="E4035">
        <f>YEAR(A4035)</f>
        <v>2014</v>
      </c>
      <c r="F4035" s="33">
        <f>DATE(YEAR(A4035),MONTH(A4035),1)</f>
        <v>41883.0</v>
      </c>
      <c r="G4035" t="str">
        <f>CHOOSE(WEEKDAY(A4035,2),"Mon","Tue","Wed","Thu","Fri","Sat","Sun")</f>
        <v>Tue</v>
      </c>
      <c r="H4035" t="str">
        <f>IF(WEEKDAY(A4035,2)&gt;5,"Weekend","Weekday")</f>
        <v>Weekday</v>
      </c>
      <c r="I4035" t="str">
        <f>_xlfn.IFS(B4035&lt;=5,"Night (0-5)",B4035&lt;=9,"Morning peak (6-9)",B4035&lt;=15,"Midday (10-15)",B4035&lt;=19,"Evening peak (16-19)",TRUE,"Late evening (20-23)")</f>
        <v>Night (0-5)</v>
      </c>
    </row>
    <row r="4036" spans="1:9">
      <c r="A4036" s="32">
        <v>41898</v>
      </c>
      <c r="B4036">
        <v>2</v>
      </c>
      <c r="C4036">
        <v>125</v>
      </c>
      <c r="D4036" t="s">
        <v>303</v>
      </c>
      <c r="E4036">
        <f>YEAR(A4036)</f>
        <v>2014</v>
      </c>
      <c r="F4036" s="33">
        <f>DATE(YEAR(A4036),MONTH(A4036),1)</f>
        <v>41883.0</v>
      </c>
      <c r="G4036" t="str">
        <f>CHOOSE(WEEKDAY(A4036,2),"Mon","Tue","Wed","Thu","Fri","Sat","Sun")</f>
        <v>Tue</v>
      </c>
      <c r="H4036" t="str">
        <f>IF(WEEKDAY(A4036,2)&gt;5,"Weekend","Weekday")</f>
        <v>Weekday</v>
      </c>
      <c r="I4036" t="str">
        <f>_xlfn.IFS(B4036&lt;=5,"Night (0-5)",B4036&lt;=9,"Morning peak (6-9)",B4036&lt;=15,"Midday (10-15)",B4036&lt;=19,"Evening peak (16-19)",TRUE,"Late evening (20-23)")</f>
        <v>Night (0-5)</v>
      </c>
    </row>
    <row r="4037" spans="1:9">
      <c r="A4037" s="32">
        <v>41898</v>
      </c>
      <c r="B4037">
        <v>3</v>
      </c>
      <c r="C4037">
        <v>220</v>
      </c>
      <c r="D4037" t="s">
        <v>303</v>
      </c>
      <c r="E4037">
        <f>YEAR(A4037)</f>
        <v>2014</v>
      </c>
      <c r="F4037" s="33">
        <f>DATE(YEAR(A4037),MONTH(A4037),1)</f>
        <v>41883.0</v>
      </c>
      <c r="G4037" t="str">
        <f>CHOOSE(WEEKDAY(A4037,2),"Mon","Tue","Wed","Thu","Fri","Sat","Sun")</f>
        <v>Tue</v>
      </c>
      <c r="H4037" t="str">
        <f>IF(WEEKDAY(A4037,2)&gt;5,"Weekend","Weekday")</f>
        <v>Weekday</v>
      </c>
      <c r="I4037" t="str">
        <f>_xlfn.IFS(B4037&lt;=5,"Night (0-5)",B4037&lt;=9,"Morning peak (6-9)",B4037&lt;=15,"Midday (10-15)",B4037&lt;=19,"Evening peak (16-19)",TRUE,"Late evening (20-23)")</f>
        <v>Night (0-5)</v>
      </c>
    </row>
    <row r="4038" spans="1:9">
      <c r="A4038" s="32">
        <v>41898</v>
      </c>
      <c r="B4038">
        <v>4</v>
      </c>
      <c r="C4038">
        <v>370</v>
      </c>
      <c r="D4038" t="s">
        <v>303</v>
      </c>
      <c r="E4038">
        <f>YEAR(A4038)</f>
        <v>2014</v>
      </c>
      <c r="F4038" s="33">
        <f>DATE(YEAR(A4038),MONTH(A4038),1)</f>
        <v>41883.0</v>
      </c>
      <c r="G4038" t="str">
        <f>CHOOSE(WEEKDAY(A4038,2),"Mon","Tue","Wed","Thu","Fri","Sat","Sun")</f>
        <v>Tue</v>
      </c>
      <c r="H4038" t="str">
        <f>IF(WEEKDAY(A4038,2)&gt;5,"Weekend","Weekday")</f>
        <v>Weekday</v>
      </c>
      <c r="I4038" t="str">
        <f>_xlfn.IFS(B4038&lt;=5,"Night (0-5)",B4038&lt;=9,"Morning peak (6-9)",B4038&lt;=15,"Midday (10-15)",B4038&lt;=19,"Evening peak (16-19)",TRUE,"Late evening (20-23)")</f>
        <v>Night (0-5)</v>
      </c>
    </row>
    <row r="4039" spans="1:9">
      <c r="A4039" s="32">
        <v>41898</v>
      </c>
      <c r="B4039">
        <v>5</v>
      </c>
      <c r="C4039">
        <v>797</v>
      </c>
      <c r="D4039" t="s">
        <v>303</v>
      </c>
      <c r="E4039">
        <f>YEAR(A4039)</f>
        <v>2014</v>
      </c>
      <c r="F4039" s="33">
        <f>DATE(YEAR(A4039),MONTH(A4039),1)</f>
        <v>41883.0</v>
      </c>
      <c r="G4039" t="str">
        <f>CHOOSE(WEEKDAY(A4039,2),"Mon","Tue","Wed","Thu","Fri","Sat","Sun")</f>
        <v>Tue</v>
      </c>
      <c r="H4039" t="str">
        <f>IF(WEEKDAY(A4039,2)&gt;5,"Weekend","Weekday")</f>
        <v>Weekday</v>
      </c>
      <c r="I4039" t="str">
        <f>_xlfn.IFS(B4039&lt;=5,"Night (0-5)",B4039&lt;=9,"Morning peak (6-9)",B4039&lt;=15,"Midday (10-15)",B4039&lt;=19,"Evening peak (16-19)",TRUE,"Late evening (20-23)")</f>
        <v>Night (0-5)</v>
      </c>
    </row>
    <row r="4040" spans="1:9">
      <c r="A4040" s="32">
        <v>41898</v>
      </c>
      <c r="B4040">
        <v>6</v>
      </c>
      <c r="C4040">
        <v>1668</v>
      </c>
      <c r="D4040" t="s">
        <v>303</v>
      </c>
      <c r="E4040">
        <f>YEAR(A4040)</f>
        <v>2014</v>
      </c>
      <c r="F4040" s="33">
        <f>DATE(YEAR(A4040),MONTH(A4040),1)</f>
        <v>41883.0</v>
      </c>
      <c r="G4040" t="str">
        <f>CHOOSE(WEEKDAY(A4040,2),"Mon","Tue","Wed","Thu","Fri","Sat","Sun")</f>
        <v>Tue</v>
      </c>
      <c r="H4040" t="str">
        <f>IF(WEEKDAY(A4040,2)&gt;5,"Weekend","Weekday")</f>
        <v>Weekday</v>
      </c>
      <c r="I4040" t="str">
        <f>_xlfn.IFS(B4040&lt;=5,"Night (0-5)",B4040&lt;=9,"Morning peak (6-9)",B4040&lt;=15,"Midday (10-15)",B4040&lt;=19,"Evening peak (16-19)",TRUE,"Late evening (20-23)")</f>
        <v>Morning peak (6-9)</v>
      </c>
    </row>
    <row r="4041" spans="1:9">
      <c r="A4041" s="32">
        <v>41898</v>
      </c>
      <c r="B4041">
        <v>7</v>
      </c>
      <c r="C4041">
        <v>2308</v>
      </c>
      <c r="D4041" t="s">
        <v>303</v>
      </c>
      <c r="E4041">
        <f>YEAR(A4041)</f>
        <v>2014</v>
      </c>
      <c r="F4041" s="33">
        <f>DATE(YEAR(A4041),MONTH(A4041),1)</f>
        <v>41883.0</v>
      </c>
      <c r="G4041" t="str">
        <f>CHOOSE(WEEKDAY(A4041,2),"Mon","Tue","Wed","Thu","Fri","Sat","Sun")</f>
        <v>Tue</v>
      </c>
      <c r="H4041" t="str">
        <f>IF(WEEKDAY(A4041,2)&gt;5,"Weekend","Weekday")</f>
        <v>Weekday</v>
      </c>
      <c r="I4041" t="str">
        <f>_xlfn.IFS(B4041&lt;=5,"Night (0-5)",B4041&lt;=9,"Morning peak (6-9)",B4041&lt;=15,"Midday (10-15)",B4041&lt;=19,"Evening peak (16-19)",TRUE,"Late evening (20-23)")</f>
        <v>Morning peak (6-9)</v>
      </c>
    </row>
    <row r="4042" spans="1:9">
      <c r="A4042" s="32">
        <v>41898</v>
      </c>
      <c r="B4042">
        <v>8</v>
      </c>
      <c r="C4042">
        <v>2511</v>
      </c>
      <c r="D4042" t="s">
        <v>303</v>
      </c>
      <c r="E4042">
        <f>YEAR(A4042)</f>
        <v>2014</v>
      </c>
      <c r="F4042" s="33">
        <f>DATE(YEAR(A4042),MONTH(A4042),1)</f>
        <v>41883.0</v>
      </c>
      <c r="G4042" t="str">
        <f>CHOOSE(WEEKDAY(A4042,2),"Mon","Tue","Wed","Thu","Fri","Sat","Sun")</f>
        <v>Tue</v>
      </c>
      <c r="H4042" t="str">
        <f>IF(WEEKDAY(A4042,2)&gt;5,"Weekend","Weekday")</f>
        <v>Weekday</v>
      </c>
      <c r="I4042" t="str">
        <f>_xlfn.IFS(B4042&lt;=5,"Night (0-5)",B4042&lt;=9,"Morning peak (6-9)",B4042&lt;=15,"Midday (10-15)",B4042&lt;=19,"Evening peak (16-19)",TRUE,"Late evening (20-23)")</f>
        <v>Morning peak (6-9)</v>
      </c>
    </row>
    <row r="4043" spans="1:9">
      <c r="A4043" s="32">
        <v>41898</v>
      </c>
      <c r="B4043">
        <v>9</v>
      </c>
      <c r="C4043">
        <v>2021</v>
      </c>
      <c r="D4043" t="s">
        <v>303</v>
      </c>
      <c r="E4043">
        <f>YEAR(A4043)</f>
        <v>2014</v>
      </c>
      <c r="F4043" s="33">
        <f>DATE(YEAR(A4043),MONTH(A4043),1)</f>
        <v>41883.0</v>
      </c>
      <c r="G4043" t="str">
        <f>CHOOSE(WEEKDAY(A4043,2),"Mon","Tue","Wed","Thu","Fri","Sat","Sun")</f>
        <v>Tue</v>
      </c>
      <c r="H4043" t="str">
        <f>IF(WEEKDAY(A4043,2)&gt;5,"Weekend","Weekday")</f>
        <v>Weekday</v>
      </c>
      <c r="I4043" t="str">
        <f>_xlfn.IFS(B4043&lt;=5,"Night (0-5)",B4043&lt;=9,"Morning peak (6-9)",B4043&lt;=15,"Midday (10-15)",B4043&lt;=19,"Evening peak (16-19)",TRUE,"Late evening (20-23)")</f>
        <v>Morning peak (6-9)</v>
      </c>
    </row>
    <row r="4044" spans="1:9">
      <c r="A4044" s="32">
        <v>41898</v>
      </c>
      <c r="B4044">
        <v>10</v>
      </c>
      <c r="C4044">
        <v>1804</v>
      </c>
      <c r="D4044" t="s">
        <v>303</v>
      </c>
      <c r="E4044">
        <f>YEAR(A4044)</f>
        <v>2014</v>
      </c>
      <c r="F4044" s="33">
        <f>DATE(YEAR(A4044),MONTH(A4044),1)</f>
        <v>41883.0</v>
      </c>
      <c r="G4044" t="str">
        <f>CHOOSE(WEEKDAY(A4044,2),"Mon","Tue","Wed","Thu","Fri","Sat","Sun")</f>
        <v>Tue</v>
      </c>
      <c r="H4044" t="str">
        <f>IF(WEEKDAY(A4044,2)&gt;5,"Weekend","Weekday")</f>
        <v>Weekday</v>
      </c>
      <c r="I4044" t="str">
        <f>_xlfn.IFS(B4044&lt;=5,"Night (0-5)",B4044&lt;=9,"Morning peak (6-9)",B4044&lt;=15,"Midday (10-15)",B4044&lt;=19,"Evening peak (16-19)",TRUE,"Late evening (20-23)")</f>
        <v>Midday (10-15)</v>
      </c>
    </row>
    <row r="4045" spans="1:9">
      <c r="A4045" s="32">
        <v>41898</v>
      </c>
      <c r="B4045">
        <v>11</v>
      </c>
      <c r="C4045">
        <v>1360</v>
      </c>
      <c r="D4045" t="s">
        <v>303</v>
      </c>
      <c r="E4045">
        <f>YEAR(A4045)</f>
        <v>2014</v>
      </c>
      <c r="F4045" s="33">
        <f>DATE(YEAR(A4045),MONTH(A4045),1)</f>
        <v>41883.0</v>
      </c>
      <c r="G4045" t="str">
        <f>CHOOSE(WEEKDAY(A4045,2),"Mon","Tue","Wed","Thu","Fri","Sat","Sun")</f>
        <v>Tue</v>
      </c>
      <c r="H4045" t="str">
        <f>IF(WEEKDAY(A4045,2)&gt;5,"Weekend","Weekday")</f>
        <v>Weekday</v>
      </c>
      <c r="I4045" t="str">
        <f>_xlfn.IFS(B4045&lt;=5,"Night (0-5)",B4045&lt;=9,"Morning peak (6-9)",B4045&lt;=15,"Midday (10-15)",B4045&lt;=19,"Evening peak (16-19)",TRUE,"Late evening (20-23)")</f>
        <v>Midday (10-15)</v>
      </c>
    </row>
    <row r="4046" spans="1:9">
      <c r="A4046" s="32">
        <v>41898</v>
      </c>
      <c r="B4046">
        <v>12</v>
      </c>
      <c r="C4046">
        <v>1265</v>
      </c>
      <c r="D4046" t="s">
        <v>303</v>
      </c>
      <c r="E4046">
        <f>YEAR(A4046)</f>
        <v>2014</v>
      </c>
      <c r="F4046" s="33">
        <f>DATE(YEAR(A4046),MONTH(A4046),1)</f>
        <v>41883.0</v>
      </c>
      <c r="G4046" t="str">
        <f>CHOOSE(WEEKDAY(A4046,2),"Mon","Tue","Wed","Thu","Fri","Sat","Sun")</f>
        <v>Tue</v>
      </c>
      <c r="H4046" t="str">
        <f>IF(WEEKDAY(A4046,2)&gt;5,"Weekend","Weekday")</f>
        <v>Weekday</v>
      </c>
      <c r="I4046" t="str">
        <f>_xlfn.IFS(B4046&lt;=5,"Night (0-5)",B4046&lt;=9,"Morning peak (6-9)",B4046&lt;=15,"Midday (10-15)",B4046&lt;=19,"Evening peak (16-19)",TRUE,"Late evening (20-23)")</f>
        <v>Midday (10-15)</v>
      </c>
    </row>
    <row r="4047" spans="1:9">
      <c r="A4047" s="32">
        <v>41898</v>
      </c>
      <c r="B4047">
        <v>13</v>
      </c>
      <c r="C4047">
        <v>1407</v>
      </c>
      <c r="D4047" t="s">
        <v>303</v>
      </c>
      <c r="E4047">
        <f>YEAR(A4047)</f>
        <v>2014</v>
      </c>
      <c r="F4047" s="33">
        <f>DATE(YEAR(A4047),MONTH(A4047),1)</f>
        <v>41883.0</v>
      </c>
      <c r="G4047" t="str">
        <f>CHOOSE(WEEKDAY(A4047,2),"Mon","Tue","Wed","Thu","Fri","Sat","Sun")</f>
        <v>Tue</v>
      </c>
      <c r="H4047" t="str">
        <f>IF(WEEKDAY(A4047,2)&gt;5,"Weekend","Weekday")</f>
        <v>Weekday</v>
      </c>
      <c r="I4047" t="str">
        <f>_xlfn.IFS(B4047&lt;=5,"Night (0-5)",B4047&lt;=9,"Morning peak (6-9)",B4047&lt;=15,"Midday (10-15)",B4047&lt;=19,"Evening peak (16-19)",TRUE,"Late evening (20-23)")</f>
        <v>Midday (10-15)</v>
      </c>
    </row>
    <row r="4048" spans="1:9">
      <c r="A4048" s="32">
        <v>41898</v>
      </c>
      <c r="B4048">
        <v>14</v>
      </c>
      <c r="C4048">
        <v>1757</v>
      </c>
      <c r="D4048" t="s">
        <v>303</v>
      </c>
      <c r="E4048">
        <f>YEAR(A4048)</f>
        <v>2014</v>
      </c>
      <c r="F4048" s="33">
        <f>DATE(YEAR(A4048),MONTH(A4048),1)</f>
        <v>41883.0</v>
      </c>
      <c r="G4048" t="str">
        <f>CHOOSE(WEEKDAY(A4048,2),"Mon","Tue","Wed","Thu","Fri","Sat","Sun")</f>
        <v>Tue</v>
      </c>
      <c r="H4048" t="str">
        <f>IF(WEEKDAY(A4048,2)&gt;5,"Weekend","Weekday")</f>
        <v>Weekday</v>
      </c>
      <c r="I4048" t="str">
        <f>_xlfn.IFS(B4048&lt;=5,"Night (0-5)",B4048&lt;=9,"Morning peak (6-9)",B4048&lt;=15,"Midday (10-15)",B4048&lt;=19,"Evening peak (16-19)",TRUE,"Late evening (20-23)")</f>
        <v>Midday (10-15)</v>
      </c>
    </row>
    <row r="4049" spans="1:9">
      <c r="A4049" s="32">
        <v>41898</v>
      </c>
      <c r="B4049">
        <v>15</v>
      </c>
      <c r="C4049">
        <v>2129</v>
      </c>
      <c r="D4049" t="s">
        <v>303</v>
      </c>
      <c r="E4049">
        <f>YEAR(A4049)</f>
        <v>2014</v>
      </c>
      <c r="F4049" s="33">
        <f>DATE(YEAR(A4049),MONTH(A4049),1)</f>
        <v>41883.0</v>
      </c>
      <c r="G4049" t="str">
        <f>CHOOSE(WEEKDAY(A4049,2),"Mon","Tue","Wed","Thu","Fri","Sat","Sun")</f>
        <v>Tue</v>
      </c>
      <c r="H4049" t="str">
        <f>IF(WEEKDAY(A4049,2)&gt;5,"Weekend","Weekday")</f>
        <v>Weekday</v>
      </c>
      <c r="I4049" t="str">
        <f>_xlfn.IFS(B4049&lt;=5,"Night (0-5)",B4049&lt;=9,"Morning peak (6-9)",B4049&lt;=15,"Midday (10-15)",B4049&lt;=19,"Evening peak (16-19)",TRUE,"Late evening (20-23)")</f>
        <v>Midday (10-15)</v>
      </c>
    </row>
    <row r="4050" spans="1:9">
      <c r="A4050" s="32">
        <v>41898</v>
      </c>
      <c r="B4050">
        <v>16</v>
      </c>
      <c r="C4050">
        <v>2542</v>
      </c>
      <c r="D4050" t="s">
        <v>303</v>
      </c>
      <c r="E4050">
        <f>YEAR(A4050)</f>
        <v>2014</v>
      </c>
      <c r="F4050" s="33">
        <f>DATE(YEAR(A4050),MONTH(A4050),1)</f>
        <v>41883.0</v>
      </c>
      <c r="G4050" t="str">
        <f>CHOOSE(WEEKDAY(A4050,2),"Mon","Tue","Wed","Thu","Fri","Sat","Sun")</f>
        <v>Tue</v>
      </c>
      <c r="H4050" t="str">
        <f>IF(WEEKDAY(A4050,2)&gt;5,"Weekend","Weekday")</f>
        <v>Weekday</v>
      </c>
      <c r="I4050" t="str">
        <f>_xlfn.IFS(B4050&lt;=5,"Night (0-5)",B4050&lt;=9,"Morning peak (6-9)",B4050&lt;=15,"Midday (10-15)",B4050&lt;=19,"Evening peak (16-19)",TRUE,"Late evening (20-23)")</f>
        <v>Evening peak (16-19)</v>
      </c>
    </row>
    <row r="4051" spans="1:9">
      <c r="A4051" s="32">
        <v>41898</v>
      </c>
      <c r="B4051">
        <v>17</v>
      </c>
      <c r="C4051">
        <v>2744</v>
      </c>
      <c r="D4051" t="s">
        <v>303</v>
      </c>
      <c r="E4051">
        <f>YEAR(A4051)</f>
        <v>2014</v>
      </c>
      <c r="F4051" s="33">
        <f>DATE(YEAR(A4051),MONTH(A4051),1)</f>
        <v>41883.0</v>
      </c>
      <c r="G4051" t="str">
        <f>CHOOSE(WEEKDAY(A4051,2),"Mon","Tue","Wed","Thu","Fri","Sat","Sun")</f>
        <v>Tue</v>
      </c>
      <c r="H4051" t="str">
        <f>IF(WEEKDAY(A4051,2)&gt;5,"Weekend","Weekday")</f>
        <v>Weekday</v>
      </c>
      <c r="I4051" t="str">
        <f>_xlfn.IFS(B4051&lt;=5,"Night (0-5)",B4051&lt;=9,"Morning peak (6-9)",B4051&lt;=15,"Midday (10-15)",B4051&lt;=19,"Evening peak (16-19)",TRUE,"Late evening (20-23)")</f>
        <v>Evening peak (16-19)</v>
      </c>
    </row>
    <row r="4052" spans="1:9">
      <c r="A4052" s="32">
        <v>41898</v>
      </c>
      <c r="B4052">
        <v>18</v>
      </c>
      <c r="C4052">
        <v>2582</v>
      </c>
      <c r="D4052" t="s">
        <v>303</v>
      </c>
      <c r="E4052">
        <f>YEAR(A4052)</f>
        <v>2014</v>
      </c>
      <c r="F4052" s="33">
        <f>DATE(YEAR(A4052),MONTH(A4052),1)</f>
        <v>41883.0</v>
      </c>
      <c r="G4052" t="str">
        <f>CHOOSE(WEEKDAY(A4052,2),"Mon","Tue","Wed","Thu","Fri","Sat","Sun")</f>
        <v>Tue</v>
      </c>
      <c r="H4052" t="str">
        <f>IF(WEEKDAY(A4052,2)&gt;5,"Weekend","Weekday")</f>
        <v>Weekday</v>
      </c>
      <c r="I4052" t="str">
        <f>_xlfn.IFS(B4052&lt;=5,"Night (0-5)",B4052&lt;=9,"Morning peak (6-9)",B4052&lt;=15,"Midday (10-15)",B4052&lt;=19,"Evening peak (16-19)",TRUE,"Late evening (20-23)")</f>
        <v>Evening peak (16-19)</v>
      </c>
    </row>
    <row r="4053" spans="1:9">
      <c r="A4053" s="32">
        <v>41898</v>
      </c>
      <c r="B4053">
        <v>19</v>
      </c>
      <c r="C4053">
        <v>2279</v>
      </c>
      <c r="D4053" t="s">
        <v>303</v>
      </c>
      <c r="E4053">
        <f>YEAR(A4053)</f>
        <v>2014</v>
      </c>
      <c r="F4053" s="33">
        <f>DATE(YEAR(A4053),MONTH(A4053),1)</f>
        <v>41883.0</v>
      </c>
      <c r="G4053" t="str">
        <f>CHOOSE(WEEKDAY(A4053,2),"Mon","Tue","Wed","Thu","Fri","Sat","Sun")</f>
        <v>Tue</v>
      </c>
      <c r="H4053" t="str">
        <f>IF(WEEKDAY(A4053,2)&gt;5,"Weekend","Weekday")</f>
        <v>Weekday</v>
      </c>
      <c r="I4053" t="str">
        <f>_xlfn.IFS(B4053&lt;=5,"Night (0-5)",B4053&lt;=9,"Morning peak (6-9)",B4053&lt;=15,"Midday (10-15)",B4053&lt;=19,"Evening peak (16-19)",TRUE,"Late evening (20-23)")</f>
        <v>Evening peak (16-19)</v>
      </c>
    </row>
    <row r="4054" spans="1:9">
      <c r="A4054" s="32">
        <v>41898</v>
      </c>
      <c r="B4054">
        <v>20</v>
      </c>
      <c r="C4054">
        <v>2123</v>
      </c>
      <c r="D4054" t="s">
        <v>303</v>
      </c>
      <c r="E4054">
        <f>YEAR(A4054)</f>
        <v>2014</v>
      </c>
      <c r="F4054" s="33">
        <f>DATE(YEAR(A4054),MONTH(A4054),1)</f>
        <v>41883.0</v>
      </c>
      <c r="G4054" t="str">
        <f>CHOOSE(WEEKDAY(A4054,2),"Mon","Tue","Wed","Thu","Fri","Sat","Sun")</f>
        <v>Tue</v>
      </c>
      <c r="H4054" t="str">
        <f>IF(WEEKDAY(A4054,2)&gt;5,"Weekend","Weekday")</f>
        <v>Weekday</v>
      </c>
      <c r="I4054" t="str">
        <f>_xlfn.IFS(B4054&lt;=5,"Night (0-5)",B4054&lt;=9,"Morning peak (6-9)",B4054&lt;=15,"Midday (10-15)",B4054&lt;=19,"Evening peak (16-19)",TRUE,"Late evening (20-23)")</f>
        <v>Late evening (20-23)</v>
      </c>
    </row>
    <row r="4055" spans="1:9">
      <c r="A4055" s="32">
        <v>41898</v>
      </c>
      <c r="B4055">
        <v>21</v>
      </c>
      <c r="C4055">
        <v>1793</v>
      </c>
      <c r="D4055" t="s">
        <v>303</v>
      </c>
      <c r="E4055">
        <f>YEAR(A4055)</f>
        <v>2014</v>
      </c>
      <c r="F4055" s="33">
        <f>DATE(YEAR(A4055),MONTH(A4055),1)</f>
        <v>41883.0</v>
      </c>
      <c r="G4055" t="str">
        <f>CHOOSE(WEEKDAY(A4055,2),"Mon","Tue","Wed","Thu","Fri","Sat","Sun")</f>
        <v>Tue</v>
      </c>
      <c r="H4055" t="str">
        <f>IF(WEEKDAY(A4055,2)&gt;5,"Weekend","Weekday")</f>
        <v>Weekday</v>
      </c>
      <c r="I4055" t="str">
        <f>_xlfn.IFS(B4055&lt;=5,"Night (0-5)",B4055&lt;=9,"Morning peak (6-9)",B4055&lt;=15,"Midday (10-15)",B4055&lt;=19,"Evening peak (16-19)",TRUE,"Late evening (20-23)")</f>
        <v>Late evening (20-23)</v>
      </c>
    </row>
    <row r="4056" spans="1:9">
      <c r="A4056" s="32">
        <v>41898</v>
      </c>
      <c r="B4056">
        <v>22</v>
      </c>
      <c r="C4056">
        <v>1233</v>
      </c>
      <c r="D4056" t="s">
        <v>303</v>
      </c>
      <c r="E4056">
        <f>YEAR(A4056)</f>
        <v>2014</v>
      </c>
      <c r="F4056" s="33">
        <f>DATE(YEAR(A4056),MONTH(A4056),1)</f>
        <v>41883.0</v>
      </c>
      <c r="G4056" t="str">
        <f>CHOOSE(WEEKDAY(A4056,2),"Mon","Tue","Wed","Thu","Fri","Sat","Sun")</f>
        <v>Tue</v>
      </c>
      <c r="H4056" t="str">
        <f>IF(WEEKDAY(A4056,2)&gt;5,"Weekend","Weekday")</f>
        <v>Weekday</v>
      </c>
      <c r="I4056" t="str">
        <f>_xlfn.IFS(B4056&lt;=5,"Night (0-5)",B4056&lt;=9,"Morning peak (6-9)",B4056&lt;=15,"Midday (10-15)",B4056&lt;=19,"Evening peak (16-19)",TRUE,"Late evening (20-23)")</f>
        <v>Late evening (20-23)</v>
      </c>
    </row>
    <row r="4057" spans="1:9">
      <c r="A4057" s="32">
        <v>41898</v>
      </c>
      <c r="B4057">
        <v>23</v>
      </c>
      <c r="C4057">
        <v>647</v>
      </c>
      <c r="D4057" t="s">
        <v>303</v>
      </c>
      <c r="E4057">
        <f>YEAR(A4057)</f>
        <v>2014</v>
      </c>
      <c r="F4057" s="33">
        <f>DATE(YEAR(A4057),MONTH(A4057),1)</f>
        <v>41883.0</v>
      </c>
      <c r="G4057" t="str">
        <f>CHOOSE(WEEKDAY(A4057,2),"Mon","Tue","Wed","Thu","Fri","Sat","Sun")</f>
        <v>Tue</v>
      </c>
      <c r="H4057" t="str">
        <f>IF(WEEKDAY(A4057,2)&gt;5,"Weekend","Weekday")</f>
        <v>Weekday</v>
      </c>
      <c r="I4057" t="str">
        <f>_xlfn.IFS(B4057&lt;=5,"Night (0-5)",B4057&lt;=9,"Morning peak (6-9)",B4057&lt;=15,"Midday (10-15)",B4057&lt;=19,"Evening peak (16-19)",TRUE,"Late evening (20-23)")</f>
        <v>Late evening (20-23)</v>
      </c>
    </row>
    <row r="4058" spans="1:9">
      <c r="A4058" s="32">
        <v>41899</v>
      </c>
      <c r="B4058">
        <v>0</v>
      </c>
      <c r="C4058">
        <v>363</v>
      </c>
      <c r="D4058" t="s">
        <v>303</v>
      </c>
      <c r="E4058">
        <f>YEAR(A4058)</f>
        <v>2014</v>
      </c>
      <c r="F4058" s="33">
        <f>DATE(YEAR(A4058),MONTH(A4058),1)</f>
        <v>41883.0</v>
      </c>
      <c r="G4058" t="str">
        <f>CHOOSE(WEEKDAY(A4058,2),"Mon","Tue","Wed","Thu","Fri","Sat","Sun")</f>
        <v>Wed</v>
      </c>
      <c r="H4058" t="str">
        <f>IF(WEEKDAY(A4058,2)&gt;5,"Weekend","Weekday")</f>
        <v>Weekday</v>
      </c>
      <c r="I4058" t="str">
        <f>_xlfn.IFS(B4058&lt;=5,"Night (0-5)",B4058&lt;=9,"Morning peak (6-9)",B4058&lt;=15,"Midday (10-15)",B4058&lt;=19,"Evening peak (16-19)",TRUE,"Late evening (20-23)")</f>
        <v>Night (0-5)</v>
      </c>
    </row>
    <row r="4059" spans="1:9">
      <c r="A4059" s="32">
        <v>41899</v>
      </c>
      <c r="B4059">
        <v>1</v>
      </c>
      <c r="C4059">
        <v>204</v>
      </c>
      <c r="D4059" t="s">
        <v>303</v>
      </c>
      <c r="E4059">
        <f>YEAR(A4059)</f>
        <v>2014</v>
      </c>
      <c r="F4059" s="33">
        <f>DATE(YEAR(A4059),MONTH(A4059),1)</f>
        <v>41883.0</v>
      </c>
      <c r="G4059" t="str">
        <f>CHOOSE(WEEKDAY(A4059,2),"Mon","Tue","Wed","Thu","Fri","Sat","Sun")</f>
        <v>Wed</v>
      </c>
      <c r="H4059" t="str">
        <f>IF(WEEKDAY(A4059,2)&gt;5,"Weekend","Weekday")</f>
        <v>Weekday</v>
      </c>
      <c r="I4059" t="str">
        <f>_xlfn.IFS(B4059&lt;=5,"Night (0-5)",B4059&lt;=9,"Morning peak (6-9)",B4059&lt;=15,"Midday (10-15)",B4059&lt;=19,"Evening peak (16-19)",TRUE,"Late evening (20-23)")</f>
        <v>Night (0-5)</v>
      </c>
    </row>
    <row r="4060" spans="1:9">
      <c r="A4060" s="32">
        <v>41899</v>
      </c>
      <c r="B4060">
        <v>2</v>
      </c>
      <c r="C4060">
        <v>156</v>
      </c>
      <c r="D4060" t="s">
        <v>303</v>
      </c>
      <c r="E4060">
        <f>YEAR(A4060)</f>
        <v>2014</v>
      </c>
      <c r="F4060" s="33">
        <f>DATE(YEAR(A4060),MONTH(A4060),1)</f>
        <v>41883.0</v>
      </c>
      <c r="G4060" t="str">
        <f>CHOOSE(WEEKDAY(A4060,2),"Mon","Tue","Wed","Thu","Fri","Sat","Sun")</f>
        <v>Wed</v>
      </c>
      <c r="H4060" t="str">
        <f>IF(WEEKDAY(A4060,2)&gt;5,"Weekend","Weekday")</f>
        <v>Weekday</v>
      </c>
      <c r="I4060" t="str">
        <f>_xlfn.IFS(B4060&lt;=5,"Night (0-5)",B4060&lt;=9,"Morning peak (6-9)",B4060&lt;=15,"Midday (10-15)",B4060&lt;=19,"Evening peak (16-19)",TRUE,"Late evening (20-23)")</f>
        <v>Night (0-5)</v>
      </c>
    </row>
    <row r="4061" spans="1:9">
      <c r="A4061" s="32">
        <v>41899</v>
      </c>
      <c r="B4061">
        <v>3</v>
      </c>
      <c r="C4061">
        <v>257</v>
      </c>
      <c r="D4061" t="s">
        <v>303</v>
      </c>
      <c r="E4061">
        <f>YEAR(A4061)</f>
        <v>2014</v>
      </c>
      <c r="F4061" s="33">
        <f>DATE(YEAR(A4061),MONTH(A4061),1)</f>
        <v>41883.0</v>
      </c>
      <c r="G4061" t="str">
        <f>CHOOSE(WEEKDAY(A4061,2),"Mon","Tue","Wed","Thu","Fri","Sat","Sun")</f>
        <v>Wed</v>
      </c>
      <c r="H4061" t="str">
        <f>IF(WEEKDAY(A4061,2)&gt;5,"Weekend","Weekday")</f>
        <v>Weekday</v>
      </c>
      <c r="I4061" t="str">
        <f>_xlfn.IFS(B4061&lt;=5,"Night (0-5)",B4061&lt;=9,"Morning peak (6-9)",B4061&lt;=15,"Midday (10-15)",B4061&lt;=19,"Evening peak (16-19)",TRUE,"Late evening (20-23)")</f>
        <v>Night (0-5)</v>
      </c>
    </row>
    <row r="4062" spans="1:9">
      <c r="A4062" s="32">
        <v>41899</v>
      </c>
      <c r="B4062">
        <v>4</v>
      </c>
      <c r="C4062">
        <v>437</v>
      </c>
      <c r="D4062" t="s">
        <v>303</v>
      </c>
      <c r="E4062">
        <f>YEAR(A4062)</f>
        <v>2014</v>
      </c>
      <c r="F4062" s="33">
        <f>DATE(YEAR(A4062),MONTH(A4062),1)</f>
        <v>41883.0</v>
      </c>
      <c r="G4062" t="str">
        <f>CHOOSE(WEEKDAY(A4062,2),"Mon","Tue","Wed","Thu","Fri","Sat","Sun")</f>
        <v>Wed</v>
      </c>
      <c r="H4062" t="str">
        <f>IF(WEEKDAY(A4062,2)&gt;5,"Weekend","Weekday")</f>
        <v>Weekday</v>
      </c>
      <c r="I4062" t="str">
        <f>_xlfn.IFS(B4062&lt;=5,"Night (0-5)",B4062&lt;=9,"Morning peak (6-9)",B4062&lt;=15,"Midday (10-15)",B4062&lt;=19,"Evening peak (16-19)",TRUE,"Late evening (20-23)")</f>
        <v>Night (0-5)</v>
      </c>
    </row>
    <row r="4063" spans="1:9">
      <c r="A4063" s="32">
        <v>41899</v>
      </c>
      <c r="B4063">
        <v>5</v>
      </c>
      <c r="C4063">
        <v>774</v>
      </c>
      <c r="D4063" t="s">
        <v>303</v>
      </c>
      <c r="E4063">
        <f>YEAR(A4063)</f>
        <v>2014</v>
      </c>
      <c r="F4063" s="33">
        <f>DATE(YEAR(A4063),MONTH(A4063),1)</f>
        <v>41883.0</v>
      </c>
      <c r="G4063" t="str">
        <f>CHOOSE(WEEKDAY(A4063,2),"Mon","Tue","Wed","Thu","Fri","Sat","Sun")</f>
        <v>Wed</v>
      </c>
      <c r="H4063" t="str">
        <f>IF(WEEKDAY(A4063,2)&gt;5,"Weekend","Weekday")</f>
        <v>Weekday</v>
      </c>
      <c r="I4063" t="str">
        <f>_xlfn.IFS(B4063&lt;=5,"Night (0-5)",B4063&lt;=9,"Morning peak (6-9)",B4063&lt;=15,"Midday (10-15)",B4063&lt;=19,"Evening peak (16-19)",TRUE,"Late evening (20-23)")</f>
        <v>Night (0-5)</v>
      </c>
    </row>
    <row r="4064" spans="1:9">
      <c r="A4064" s="32">
        <v>41899</v>
      </c>
      <c r="B4064">
        <v>6</v>
      </c>
      <c r="C4064">
        <v>1553</v>
      </c>
      <c r="D4064" t="s">
        <v>303</v>
      </c>
      <c r="E4064">
        <f>YEAR(A4064)</f>
        <v>2014</v>
      </c>
      <c r="F4064" s="33">
        <f>DATE(YEAR(A4064),MONTH(A4064),1)</f>
        <v>41883.0</v>
      </c>
      <c r="G4064" t="str">
        <f>CHOOSE(WEEKDAY(A4064,2),"Mon","Tue","Wed","Thu","Fri","Sat","Sun")</f>
        <v>Wed</v>
      </c>
      <c r="H4064" t="str">
        <f>IF(WEEKDAY(A4064,2)&gt;5,"Weekend","Weekday")</f>
        <v>Weekday</v>
      </c>
      <c r="I4064" t="str">
        <f>_xlfn.IFS(B4064&lt;=5,"Night (0-5)",B4064&lt;=9,"Morning peak (6-9)",B4064&lt;=15,"Midday (10-15)",B4064&lt;=19,"Evening peak (16-19)",TRUE,"Late evening (20-23)")</f>
        <v>Morning peak (6-9)</v>
      </c>
    </row>
    <row r="4065" spans="1:9">
      <c r="A4065" s="32">
        <v>41899</v>
      </c>
      <c r="B4065">
        <v>7</v>
      </c>
      <c r="C4065">
        <v>1963</v>
      </c>
      <c r="D4065" t="s">
        <v>303</v>
      </c>
      <c r="E4065">
        <f>YEAR(A4065)</f>
        <v>2014</v>
      </c>
      <c r="F4065" s="33">
        <f>DATE(YEAR(A4065),MONTH(A4065),1)</f>
        <v>41883.0</v>
      </c>
      <c r="G4065" t="str">
        <f>CHOOSE(WEEKDAY(A4065,2),"Mon","Tue","Wed","Thu","Fri","Sat","Sun")</f>
        <v>Wed</v>
      </c>
      <c r="H4065" t="str">
        <f>IF(WEEKDAY(A4065,2)&gt;5,"Weekend","Weekday")</f>
        <v>Weekday</v>
      </c>
      <c r="I4065" t="str">
        <f>_xlfn.IFS(B4065&lt;=5,"Night (0-5)",B4065&lt;=9,"Morning peak (6-9)",B4065&lt;=15,"Midday (10-15)",B4065&lt;=19,"Evening peak (16-19)",TRUE,"Late evening (20-23)")</f>
        <v>Morning peak (6-9)</v>
      </c>
    </row>
    <row r="4066" spans="1:9">
      <c r="A4066" s="32">
        <v>41899</v>
      </c>
      <c r="B4066">
        <v>8</v>
      </c>
      <c r="C4066">
        <v>1675</v>
      </c>
      <c r="D4066" t="s">
        <v>303</v>
      </c>
      <c r="E4066">
        <f>YEAR(A4066)</f>
        <v>2014</v>
      </c>
      <c r="F4066" s="33">
        <f>DATE(YEAR(A4066),MONTH(A4066),1)</f>
        <v>41883.0</v>
      </c>
      <c r="G4066" t="str">
        <f>CHOOSE(WEEKDAY(A4066,2),"Mon","Tue","Wed","Thu","Fri","Sat","Sun")</f>
        <v>Wed</v>
      </c>
      <c r="H4066" t="str">
        <f>IF(WEEKDAY(A4066,2)&gt;5,"Weekend","Weekday")</f>
        <v>Weekday</v>
      </c>
      <c r="I4066" t="str">
        <f>_xlfn.IFS(B4066&lt;=5,"Night (0-5)",B4066&lt;=9,"Morning peak (6-9)",B4066&lt;=15,"Midday (10-15)",B4066&lt;=19,"Evening peak (16-19)",TRUE,"Late evening (20-23)")</f>
        <v>Morning peak (6-9)</v>
      </c>
    </row>
    <row r="4067" spans="1:9">
      <c r="A4067" s="32">
        <v>41899</v>
      </c>
      <c r="B4067">
        <v>9</v>
      </c>
      <c r="C4067">
        <v>1283</v>
      </c>
      <c r="D4067" t="s">
        <v>303</v>
      </c>
      <c r="E4067">
        <f>YEAR(A4067)</f>
        <v>2014</v>
      </c>
      <c r="F4067" s="33">
        <f>DATE(YEAR(A4067),MONTH(A4067),1)</f>
        <v>41883.0</v>
      </c>
      <c r="G4067" t="str">
        <f>CHOOSE(WEEKDAY(A4067,2),"Mon","Tue","Wed","Thu","Fri","Sat","Sun")</f>
        <v>Wed</v>
      </c>
      <c r="H4067" t="str">
        <f>IF(WEEKDAY(A4067,2)&gt;5,"Weekend","Weekday")</f>
        <v>Weekday</v>
      </c>
      <c r="I4067" t="str">
        <f>_xlfn.IFS(B4067&lt;=5,"Night (0-5)",B4067&lt;=9,"Morning peak (6-9)",B4067&lt;=15,"Midday (10-15)",B4067&lt;=19,"Evening peak (16-19)",TRUE,"Late evening (20-23)")</f>
        <v>Morning peak (6-9)</v>
      </c>
    </row>
    <row r="4068" spans="1:9">
      <c r="A4068" s="32">
        <v>41899</v>
      </c>
      <c r="B4068">
        <v>10</v>
      </c>
      <c r="C4068">
        <v>1235</v>
      </c>
      <c r="D4068" t="s">
        <v>303</v>
      </c>
      <c r="E4068">
        <f>YEAR(A4068)</f>
        <v>2014</v>
      </c>
      <c r="F4068" s="33">
        <f>DATE(YEAR(A4068),MONTH(A4068),1)</f>
        <v>41883.0</v>
      </c>
      <c r="G4068" t="str">
        <f>CHOOSE(WEEKDAY(A4068,2),"Mon","Tue","Wed","Thu","Fri","Sat","Sun")</f>
        <v>Wed</v>
      </c>
      <c r="H4068" t="str">
        <f>IF(WEEKDAY(A4068,2)&gt;5,"Weekend","Weekday")</f>
        <v>Weekday</v>
      </c>
      <c r="I4068" t="str">
        <f>_xlfn.IFS(B4068&lt;=5,"Night (0-5)",B4068&lt;=9,"Morning peak (6-9)",B4068&lt;=15,"Midday (10-15)",B4068&lt;=19,"Evening peak (16-19)",TRUE,"Late evening (20-23)")</f>
        <v>Midday (10-15)</v>
      </c>
    </row>
    <row r="4069" spans="1:9">
      <c r="A4069" s="32">
        <v>41899</v>
      </c>
      <c r="B4069">
        <v>11</v>
      </c>
      <c r="C4069">
        <v>1195</v>
      </c>
      <c r="D4069" t="s">
        <v>303</v>
      </c>
      <c r="E4069">
        <f>YEAR(A4069)</f>
        <v>2014</v>
      </c>
      <c r="F4069" s="33">
        <f>DATE(YEAR(A4069),MONTH(A4069),1)</f>
        <v>41883.0</v>
      </c>
      <c r="G4069" t="str">
        <f>CHOOSE(WEEKDAY(A4069,2),"Mon","Tue","Wed","Thu","Fri","Sat","Sun")</f>
        <v>Wed</v>
      </c>
      <c r="H4069" t="str">
        <f>IF(WEEKDAY(A4069,2)&gt;5,"Weekend","Weekday")</f>
        <v>Weekday</v>
      </c>
      <c r="I4069" t="str">
        <f>_xlfn.IFS(B4069&lt;=5,"Night (0-5)",B4069&lt;=9,"Morning peak (6-9)",B4069&lt;=15,"Midday (10-15)",B4069&lt;=19,"Evening peak (16-19)",TRUE,"Late evening (20-23)")</f>
        <v>Midday (10-15)</v>
      </c>
    </row>
    <row r="4070" spans="1:9">
      <c r="A4070" s="32">
        <v>41899</v>
      </c>
      <c r="B4070">
        <v>12</v>
      </c>
      <c r="C4070">
        <v>1312</v>
      </c>
      <c r="D4070" t="s">
        <v>303</v>
      </c>
      <c r="E4070">
        <f>YEAR(A4070)</f>
        <v>2014</v>
      </c>
      <c r="F4070" s="33">
        <f>DATE(YEAR(A4070),MONTH(A4070),1)</f>
        <v>41883.0</v>
      </c>
      <c r="G4070" t="str">
        <f>CHOOSE(WEEKDAY(A4070,2),"Mon","Tue","Wed","Thu","Fri","Sat","Sun")</f>
        <v>Wed</v>
      </c>
      <c r="H4070" t="str">
        <f>IF(WEEKDAY(A4070,2)&gt;5,"Weekend","Weekday")</f>
        <v>Weekday</v>
      </c>
      <c r="I4070" t="str">
        <f>_xlfn.IFS(B4070&lt;=5,"Night (0-5)",B4070&lt;=9,"Morning peak (6-9)",B4070&lt;=15,"Midday (10-15)",B4070&lt;=19,"Evening peak (16-19)",TRUE,"Late evening (20-23)")</f>
        <v>Midday (10-15)</v>
      </c>
    </row>
    <row r="4071" spans="1:9">
      <c r="A4071" s="32">
        <v>41899</v>
      </c>
      <c r="B4071">
        <v>13</v>
      </c>
      <c r="C4071">
        <v>1557</v>
      </c>
      <c r="D4071" t="s">
        <v>303</v>
      </c>
      <c r="E4071">
        <f>YEAR(A4071)</f>
        <v>2014</v>
      </c>
      <c r="F4071" s="33">
        <f>DATE(YEAR(A4071),MONTH(A4071),1)</f>
        <v>41883.0</v>
      </c>
      <c r="G4071" t="str">
        <f>CHOOSE(WEEKDAY(A4071,2),"Mon","Tue","Wed","Thu","Fri","Sat","Sun")</f>
        <v>Wed</v>
      </c>
      <c r="H4071" t="str">
        <f>IF(WEEKDAY(A4071,2)&gt;5,"Weekend","Weekday")</f>
        <v>Weekday</v>
      </c>
      <c r="I4071" t="str">
        <f>_xlfn.IFS(B4071&lt;=5,"Night (0-5)",B4071&lt;=9,"Morning peak (6-9)",B4071&lt;=15,"Midday (10-15)",B4071&lt;=19,"Evening peak (16-19)",TRUE,"Late evening (20-23)")</f>
        <v>Midday (10-15)</v>
      </c>
    </row>
    <row r="4072" spans="1:9">
      <c r="A4072" s="32">
        <v>41899</v>
      </c>
      <c r="B4072">
        <v>14</v>
      </c>
      <c r="C4072">
        <v>1768</v>
      </c>
      <c r="D4072" t="s">
        <v>303</v>
      </c>
      <c r="E4072">
        <f>YEAR(A4072)</f>
        <v>2014</v>
      </c>
      <c r="F4072" s="33">
        <f>DATE(YEAR(A4072),MONTH(A4072),1)</f>
        <v>41883.0</v>
      </c>
      <c r="G4072" t="str">
        <f>CHOOSE(WEEKDAY(A4072,2),"Mon","Tue","Wed","Thu","Fri","Sat","Sun")</f>
        <v>Wed</v>
      </c>
      <c r="H4072" t="str">
        <f>IF(WEEKDAY(A4072,2)&gt;5,"Weekend","Weekday")</f>
        <v>Weekday</v>
      </c>
      <c r="I4072" t="str">
        <f>_xlfn.IFS(B4072&lt;=5,"Night (0-5)",B4072&lt;=9,"Morning peak (6-9)",B4072&lt;=15,"Midday (10-15)",B4072&lt;=19,"Evening peak (16-19)",TRUE,"Late evening (20-23)")</f>
        <v>Midday (10-15)</v>
      </c>
    </row>
    <row r="4073" spans="1:9">
      <c r="A4073" s="32">
        <v>41899</v>
      </c>
      <c r="B4073">
        <v>15</v>
      </c>
      <c r="C4073">
        <v>2154</v>
      </c>
      <c r="D4073" t="s">
        <v>303</v>
      </c>
      <c r="E4073">
        <f>YEAR(A4073)</f>
        <v>2014</v>
      </c>
      <c r="F4073" s="33">
        <f>DATE(YEAR(A4073),MONTH(A4073),1)</f>
        <v>41883.0</v>
      </c>
      <c r="G4073" t="str">
        <f>CHOOSE(WEEKDAY(A4073,2),"Mon","Tue","Wed","Thu","Fri","Sat","Sun")</f>
        <v>Wed</v>
      </c>
      <c r="H4073" t="str">
        <f>IF(WEEKDAY(A4073,2)&gt;5,"Weekend","Weekday")</f>
        <v>Weekday</v>
      </c>
      <c r="I4073" t="str">
        <f>_xlfn.IFS(B4073&lt;=5,"Night (0-5)",B4073&lt;=9,"Morning peak (6-9)",B4073&lt;=15,"Midday (10-15)",B4073&lt;=19,"Evening peak (16-19)",TRUE,"Late evening (20-23)")</f>
        <v>Midday (10-15)</v>
      </c>
    </row>
    <row r="4074" spans="1:9">
      <c r="A4074" s="32">
        <v>41899</v>
      </c>
      <c r="B4074">
        <v>16</v>
      </c>
      <c r="C4074">
        <v>2519</v>
      </c>
      <c r="D4074" t="s">
        <v>303</v>
      </c>
      <c r="E4074">
        <f>YEAR(A4074)</f>
        <v>2014</v>
      </c>
      <c r="F4074" s="33">
        <f>DATE(YEAR(A4074),MONTH(A4074),1)</f>
        <v>41883.0</v>
      </c>
      <c r="G4074" t="str">
        <f>CHOOSE(WEEKDAY(A4074,2),"Mon","Tue","Wed","Thu","Fri","Sat","Sun")</f>
        <v>Wed</v>
      </c>
      <c r="H4074" t="str">
        <f>IF(WEEKDAY(A4074,2)&gt;5,"Weekend","Weekday")</f>
        <v>Weekday</v>
      </c>
      <c r="I4074" t="str">
        <f>_xlfn.IFS(B4074&lt;=5,"Night (0-5)",B4074&lt;=9,"Morning peak (6-9)",B4074&lt;=15,"Midday (10-15)",B4074&lt;=19,"Evening peak (16-19)",TRUE,"Late evening (20-23)")</f>
        <v>Evening peak (16-19)</v>
      </c>
    </row>
    <row r="4075" spans="1:9">
      <c r="A4075" s="32">
        <v>41899</v>
      </c>
      <c r="B4075">
        <v>17</v>
      </c>
      <c r="C4075">
        <v>2750</v>
      </c>
      <c r="D4075" t="s">
        <v>303</v>
      </c>
      <c r="E4075">
        <f>YEAR(A4075)</f>
        <v>2014</v>
      </c>
      <c r="F4075" s="33">
        <f>DATE(YEAR(A4075),MONTH(A4075),1)</f>
        <v>41883.0</v>
      </c>
      <c r="G4075" t="str">
        <f>CHOOSE(WEEKDAY(A4075,2),"Mon","Tue","Wed","Thu","Fri","Sat","Sun")</f>
        <v>Wed</v>
      </c>
      <c r="H4075" t="str">
        <f>IF(WEEKDAY(A4075,2)&gt;5,"Weekend","Weekday")</f>
        <v>Weekday</v>
      </c>
      <c r="I4075" t="str">
        <f>_xlfn.IFS(B4075&lt;=5,"Night (0-5)",B4075&lt;=9,"Morning peak (6-9)",B4075&lt;=15,"Midday (10-15)",B4075&lt;=19,"Evening peak (16-19)",TRUE,"Late evening (20-23)")</f>
        <v>Evening peak (16-19)</v>
      </c>
    </row>
    <row r="4076" spans="1:9">
      <c r="A4076" s="32">
        <v>41899</v>
      </c>
      <c r="B4076">
        <v>18</v>
      </c>
      <c r="C4076">
        <v>2764</v>
      </c>
      <c r="D4076" t="s">
        <v>303</v>
      </c>
      <c r="E4076">
        <f>YEAR(A4076)</f>
        <v>2014</v>
      </c>
      <c r="F4076" s="33">
        <f>DATE(YEAR(A4076),MONTH(A4076),1)</f>
        <v>41883.0</v>
      </c>
      <c r="G4076" t="str">
        <f>CHOOSE(WEEKDAY(A4076,2),"Mon","Tue","Wed","Thu","Fri","Sat","Sun")</f>
        <v>Wed</v>
      </c>
      <c r="H4076" t="str">
        <f>IF(WEEKDAY(A4076,2)&gt;5,"Weekend","Weekday")</f>
        <v>Weekday</v>
      </c>
      <c r="I4076" t="str">
        <f>_xlfn.IFS(B4076&lt;=5,"Night (0-5)",B4076&lt;=9,"Morning peak (6-9)",B4076&lt;=15,"Midday (10-15)",B4076&lt;=19,"Evening peak (16-19)",TRUE,"Late evening (20-23)")</f>
        <v>Evening peak (16-19)</v>
      </c>
    </row>
    <row r="4077" spans="1:9">
      <c r="A4077" s="32">
        <v>41899</v>
      </c>
      <c r="B4077">
        <v>19</v>
      </c>
      <c r="C4077">
        <v>2511</v>
      </c>
      <c r="D4077" t="s">
        <v>303</v>
      </c>
      <c r="E4077">
        <f>YEAR(A4077)</f>
        <v>2014</v>
      </c>
      <c r="F4077" s="33">
        <f>DATE(YEAR(A4077),MONTH(A4077),1)</f>
        <v>41883.0</v>
      </c>
      <c r="G4077" t="str">
        <f>CHOOSE(WEEKDAY(A4077,2),"Mon","Tue","Wed","Thu","Fri","Sat","Sun")</f>
        <v>Wed</v>
      </c>
      <c r="H4077" t="str">
        <f>IF(WEEKDAY(A4077,2)&gt;5,"Weekend","Weekday")</f>
        <v>Weekday</v>
      </c>
      <c r="I4077" t="str">
        <f>_xlfn.IFS(B4077&lt;=5,"Night (0-5)",B4077&lt;=9,"Morning peak (6-9)",B4077&lt;=15,"Midday (10-15)",B4077&lt;=19,"Evening peak (16-19)",TRUE,"Late evening (20-23)")</f>
        <v>Evening peak (16-19)</v>
      </c>
    </row>
    <row r="4078" spans="1:9">
      <c r="A4078" s="32">
        <v>41899</v>
      </c>
      <c r="B4078">
        <v>20</v>
      </c>
      <c r="C4078">
        <v>2479</v>
      </c>
      <c r="D4078" t="s">
        <v>303</v>
      </c>
      <c r="E4078">
        <f>YEAR(A4078)</f>
        <v>2014</v>
      </c>
      <c r="F4078" s="33">
        <f>DATE(YEAR(A4078),MONTH(A4078),1)</f>
        <v>41883.0</v>
      </c>
      <c r="G4078" t="str">
        <f>CHOOSE(WEEKDAY(A4078,2),"Mon","Tue","Wed","Thu","Fri","Sat","Sun")</f>
        <v>Wed</v>
      </c>
      <c r="H4078" t="str">
        <f>IF(WEEKDAY(A4078,2)&gt;5,"Weekend","Weekday")</f>
        <v>Weekday</v>
      </c>
      <c r="I4078" t="str">
        <f>_xlfn.IFS(B4078&lt;=5,"Night (0-5)",B4078&lt;=9,"Morning peak (6-9)",B4078&lt;=15,"Midday (10-15)",B4078&lt;=19,"Evening peak (16-19)",TRUE,"Late evening (20-23)")</f>
        <v>Late evening (20-23)</v>
      </c>
    </row>
    <row r="4079" spans="1:9">
      <c r="A4079" s="32">
        <v>41899</v>
      </c>
      <c r="B4079">
        <v>21</v>
      </c>
      <c r="C4079">
        <v>2168</v>
      </c>
      <c r="D4079" t="s">
        <v>303</v>
      </c>
      <c r="E4079">
        <f>YEAR(A4079)</f>
        <v>2014</v>
      </c>
      <c r="F4079" s="33">
        <f>DATE(YEAR(A4079),MONTH(A4079),1)</f>
        <v>41883.0</v>
      </c>
      <c r="G4079" t="str">
        <f>CHOOSE(WEEKDAY(A4079,2),"Mon","Tue","Wed","Thu","Fri","Sat","Sun")</f>
        <v>Wed</v>
      </c>
      <c r="H4079" t="str">
        <f>IF(WEEKDAY(A4079,2)&gt;5,"Weekend","Weekday")</f>
        <v>Weekday</v>
      </c>
      <c r="I4079" t="str">
        <f>_xlfn.IFS(B4079&lt;=5,"Night (0-5)",B4079&lt;=9,"Morning peak (6-9)",B4079&lt;=15,"Midday (10-15)",B4079&lt;=19,"Evening peak (16-19)",TRUE,"Late evening (20-23)")</f>
        <v>Late evening (20-23)</v>
      </c>
    </row>
    <row r="4080" spans="1:9">
      <c r="A4080" s="32">
        <v>41899</v>
      </c>
      <c r="B4080">
        <v>22</v>
      </c>
      <c r="C4080">
        <v>1617</v>
      </c>
      <c r="D4080" t="s">
        <v>303</v>
      </c>
      <c r="E4080">
        <f>YEAR(A4080)</f>
        <v>2014</v>
      </c>
      <c r="F4080" s="33">
        <f>DATE(YEAR(A4080),MONTH(A4080),1)</f>
        <v>41883.0</v>
      </c>
      <c r="G4080" t="str">
        <f>CHOOSE(WEEKDAY(A4080,2),"Mon","Tue","Wed","Thu","Fri","Sat","Sun")</f>
        <v>Wed</v>
      </c>
      <c r="H4080" t="str">
        <f>IF(WEEKDAY(A4080,2)&gt;5,"Weekend","Weekday")</f>
        <v>Weekday</v>
      </c>
      <c r="I4080" t="str">
        <f>_xlfn.IFS(B4080&lt;=5,"Night (0-5)",B4080&lt;=9,"Morning peak (6-9)",B4080&lt;=15,"Midday (10-15)",B4080&lt;=19,"Evening peak (16-19)",TRUE,"Late evening (20-23)")</f>
        <v>Late evening (20-23)</v>
      </c>
    </row>
    <row r="4081" spans="1:9">
      <c r="A4081" s="32">
        <v>41899</v>
      </c>
      <c r="B4081">
        <v>23</v>
      </c>
      <c r="C4081">
        <v>837</v>
      </c>
      <c r="D4081" t="s">
        <v>303</v>
      </c>
      <c r="E4081">
        <f>YEAR(A4081)</f>
        <v>2014</v>
      </c>
      <c r="F4081" s="33">
        <f>DATE(YEAR(A4081),MONTH(A4081),1)</f>
        <v>41883.0</v>
      </c>
      <c r="G4081" t="str">
        <f>CHOOSE(WEEKDAY(A4081,2),"Mon","Tue","Wed","Thu","Fri","Sat","Sun")</f>
        <v>Wed</v>
      </c>
      <c r="H4081" t="str">
        <f>IF(WEEKDAY(A4081,2)&gt;5,"Weekend","Weekday")</f>
        <v>Weekday</v>
      </c>
      <c r="I4081" t="str">
        <f>_xlfn.IFS(B4081&lt;=5,"Night (0-5)",B4081&lt;=9,"Morning peak (6-9)",B4081&lt;=15,"Midday (10-15)",B4081&lt;=19,"Evening peak (16-19)",TRUE,"Late evening (20-23)")</f>
        <v>Late evening (20-23)</v>
      </c>
    </row>
    <row r="4082" spans="1:9">
      <c r="A4082" s="32">
        <v>41900</v>
      </c>
      <c r="B4082">
        <v>0</v>
      </c>
      <c r="C4082">
        <v>408</v>
      </c>
      <c r="D4082" t="s">
        <v>303</v>
      </c>
      <c r="E4082">
        <f>YEAR(A4082)</f>
        <v>2014</v>
      </c>
      <c r="F4082" s="33">
        <f>DATE(YEAR(A4082),MONTH(A4082),1)</f>
        <v>41883.0</v>
      </c>
      <c r="G4082" t="str">
        <f>CHOOSE(WEEKDAY(A4082,2),"Mon","Tue","Wed","Thu","Fri","Sat","Sun")</f>
        <v>Thu</v>
      </c>
      <c r="H4082" t="str">
        <f>IF(WEEKDAY(A4082,2)&gt;5,"Weekend","Weekday")</f>
        <v>Weekday</v>
      </c>
      <c r="I4082" t="str">
        <f>_xlfn.IFS(B4082&lt;=5,"Night (0-5)",B4082&lt;=9,"Morning peak (6-9)",B4082&lt;=15,"Midday (10-15)",B4082&lt;=19,"Evening peak (16-19)",TRUE,"Late evening (20-23)")</f>
        <v>Night (0-5)</v>
      </c>
    </row>
    <row r="4083" spans="1:9">
      <c r="A4083" s="32">
        <v>41900</v>
      </c>
      <c r="B4083">
        <v>1</v>
      </c>
      <c r="C4083">
        <v>242</v>
      </c>
      <c r="D4083" t="s">
        <v>303</v>
      </c>
      <c r="E4083">
        <f>YEAR(A4083)</f>
        <v>2014</v>
      </c>
      <c r="F4083" s="33">
        <f>DATE(YEAR(A4083),MONTH(A4083),1)</f>
        <v>41883.0</v>
      </c>
      <c r="G4083" t="str">
        <f>CHOOSE(WEEKDAY(A4083,2),"Mon","Tue","Wed","Thu","Fri","Sat","Sun")</f>
        <v>Thu</v>
      </c>
      <c r="H4083" t="str">
        <f>IF(WEEKDAY(A4083,2)&gt;5,"Weekend","Weekday")</f>
        <v>Weekday</v>
      </c>
      <c r="I4083" t="str">
        <f>_xlfn.IFS(B4083&lt;=5,"Night (0-5)",B4083&lt;=9,"Morning peak (6-9)",B4083&lt;=15,"Midday (10-15)",B4083&lt;=19,"Evening peak (16-19)",TRUE,"Late evening (20-23)")</f>
        <v>Night (0-5)</v>
      </c>
    </row>
    <row r="4084" spans="1:9">
      <c r="A4084" s="32">
        <v>41900</v>
      </c>
      <c r="B4084">
        <v>2</v>
      </c>
      <c r="C4084">
        <v>168</v>
      </c>
      <c r="D4084" t="s">
        <v>303</v>
      </c>
      <c r="E4084">
        <f>YEAR(A4084)</f>
        <v>2014</v>
      </c>
      <c r="F4084" s="33">
        <f>DATE(YEAR(A4084),MONTH(A4084),1)</f>
        <v>41883.0</v>
      </c>
      <c r="G4084" t="str">
        <f>CHOOSE(WEEKDAY(A4084,2),"Mon","Tue","Wed","Thu","Fri","Sat","Sun")</f>
        <v>Thu</v>
      </c>
      <c r="H4084" t="str">
        <f>IF(WEEKDAY(A4084,2)&gt;5,"Weekend","Weekday")</f>
        <v>Weekday</v>
      </c>
      <c r="I4084" t="str">
        <f>_xlfn.IFS(B4084&lt;=5,"Night (0-5)",B4084&lt;=9,"Morning peak (6-9)",B4084&lt;=15,"Midday (10-15)",B4084&lt;=19,"Evening peak (16-19)",TRUE,"Late evening (20-23)")</f>
        <v>Night (0-5)</v>
      </c>
    </row>
    <row r="4085" spans="1:9">
      <c r="A4085" s="32">
        <v>41900</v>
      </c>
      <c r="B4085">
        <v>3</v>
      </c>
      <c r="C4085">
        <v>273</v>
      </c>
      <c r="D4085" t="s">
        <v>303</v>
      </c>
      <c r="E4085">
        <f>YEAR(A4085)</f>
        <v>2014</v>
      </c>
      <c r="F4085" s="33">
        <f>DATE(YEAR(A4085),MONTH(A4085),1)</f>
        <v>41883.0</v>
      </c>
      <c r="G4085" t="str">
        <f>CHOOSE(WEEKDAY(A4085,2),"Mon","Tue","Wed","Thu","Fri","Sat","Sun")</f>
        <v>Thu</v>
      </c>
      <c r="H4085" t="str">
        <f>IF(WEEKDAY(A4085,2)&gt;5,"Weekend","Weekday")</f>
        <v>Weekday</v>
      </c>
      <c r="I4085" t="str">
        <f>_xlfn.IFS(B4085&lt;=5,"Night (0-5)",B4085&lt;=9,"Morning peak (6-9)",B4085&lt;=15,"Midday (10-15)",B4085&lt;=19,"Evening peak (16-19)",TRUE,"Late evening (20-23)")</f>
        <v>Night (0-5)</v>
      </c>
    </row>
    <row r="4086" spans="1:9">
      <c r="A4086" s="32">
        <v>41900</v>
      </c>
      <c r="B4086">
        <v>4</v>
      </c>
      <c r="C4086">
        <v>455</v>
      </c>
      <c r="D4086" t="s">
        <v>303</v>
      </c>
      <c r="E4086">
        <f>YEAR(A4086)</f>
        <v>2014</v>
      </c>
      <c r="F4086" s="33">
        <f>DATE(YEAR(A4086),MONTH(A4086),1)</f>
        <v>41883.0</v>
      </c>
      <c r="G4086" t="str">
        <f>CHOOSE(WEEKDAY(A4086,2),"Mon","Tue","Wed","Thu","Fri","Sat","Sun")</f>
        <v>Thu</v>
      </c>
      <c r="H4086" t="str">
        <f>IF(WEEKDAY(A4086,2)&gt;5,"Weekend","Weekday")</f>
        <v>Weekday</v>
      </c>
      <c r="I4086" t="str">
        <f>_xlfn.IFS(B4086&lt;=5,"Night (0-5)",B4086&lt;=9,"Morning peak (6-9)",B4086&lt;=15,"Midday (10-15)",B4086&lt;=19,"Evening peak (16-19)",TRUE,"Late evening (20-23)")</f>
        <v>Night (0-5)</v>
      </c>
    </row>
    <row r="4087" spans="1:9">
      <c r="A4087" s="32">
        <v>41900</v>
      </c>
      <c r="B4087">
        <v>5</v>
      </c>
      <c r="C4087">
        <v>857</v>
      </c>
      <c r="D4087" t="s">
        <v>303</v>
      </c>
      <c r="E4087">
        <f>YEAR(A4087)</f>
        <v>2014</v>
      </c>
      <c r="F4087" s="33">
        <f>DATE(YEAR(A4087),MONTH(A4087),1)</f>
        <v>41883.0</v>
      </c>
      <c r="G4087" t="str">
        <f>CHOOSE(WEEKDAY(A4087,2),"Mon","Tue","Wed","Thu","Fri","Sat","Sun")</f>
        <v>Thu</v>
      </c>
      <c r="H4087" t="str">
        <f>IF(WEEKDAY(A4087,2)&gt;5,"Weekend","Weekday")</f>
        <v>Weekday</v>
      </c>
      <c r="I4087" t="str">
        <f>_xlfn.IFS(B4087&lt;=5,"Night (0-5)",B4087&lt;=9,"Morning peak (6-9)",B4087&lt;=15,"Midday (10-15)",B4087&lt;=19,"Evening peak (16-19)",TRUE,"Late evening (20-23)")</f>
        <v>Night (0-5)</v>
      </c>
    </row>
    <row r="4088" spans="1:9">
      <c r="A4088" s="32">
        <v>41900</v>
      </c>
      <c r="B4088">
        <v>6</v>
      </c>
      <c r="C4088">
        <v>1439</v>
      </c>
      <c r="D4088" t="s">
        <v>303</v>
      </c>
      <c r="E4088">
        <f>YEAR(A4088)</f>
        <v>2014</v>
      </c>
      <c r="F4088" s="33">
        <f>DATE(YEAR(A4088),MONTH(A4088),1)</f>
        <v>41883.0</v>
      </c>
      <c r="G4088" t="str">
        <f>CHOOSE(WEEKDAY(A4088,2),"Mon","Tue","Wed","Thu","Fri","Sat","Sun")</f>
        <v>Thu</v>
      </c>
      <c r="H4088" t="str">
        <f>IF(WEEKDAY(A4088,2)&gt;5,"Weekend","Weekday")</f>
        <v>Weekday</v>
      </c>
      <c r="I4088" t="str">
        <f>_xlfn.IFS(B4088&lt;=5,"Night (0-5)",B4088&lt;=9,"Morning peak (6-9)",B4088&lt;=15,"Midday (10-15)",B4088&lt;=19,"Evening peak (16-19)",TRUE,"Late evening (20-23)")</f>
        <v>Morning peak (6-9)</v>
      </c>
    </row>
    <row r="4089" spans="1:9">
      <c r="A4089" s="32">
        <v>41900</v>
      </c>
      <c r="B4089">
        <v>7</v>
      </c>
      <c r="C4089">
        <v>1914</v>
      </c>
      <c r="D4089" t="s">
        <v>303</v>
      </c>
      <c r="E4089">
        <f>YEAR(A4089)</f>
        <v>2014</v>
      </c>
      <c r="F4089" s="33">
        <f>DATE(YEAR(A4089),MONTH(A4089),1)</f>
        <v>41883.0</v>
      </c>
      <c r="G4089" t="str">
        <f>CHOOSE(WEEKDAY(A4089,2),"Mon","Tue","Wed","Thu","Fri","Sat","Sun")</f>
        <v>Thu</v>
      </c>
      <c r="H4089" t="str">
        <f>IF(WEEKDAY(A4089,2)&gt;5,"Weekend","Weekday")</f>
        <v>Weekday</v>
      </c>
      <c r="I4089" t="str">
        <f>_xlfn.IFS(B4089&lt;=5,"Night (0-5)",B4089&lt;=9,"Morning peak (6-9)",B4089&lt;=15,"Midday (10-15)",B4089&lt;=19,"Evening peak (16-19)",TRUE,"Late evening (20-23)")</f>
        <v>Morning peak (6-9)</v>
      </c>
    </row>
    <row r="4090" spans="1:9">
      <c r="A4090" s="32">
        <v>41900</v>
      </c>
      <c r="B4090">
        <v>8</v>
      </c>
      <c r="C4090">
        <v>1820</v>
      </c>
      <c r="D4090" t="s">
        <v>303</v>
      </c>
      <c r="E4090">
        <f>YEAR(A4090)</f>
        <v>2014</v>
      </c>
      <c r="F4090" s="33">
        <f>DATE(YEAR(A4090),MONTH(A4090),1)</f>
        <v>41883.0</v>
      </c>
      <c r="G4090" t="str">
        <f>CHOOSE(WEEKDAY(A4090,2),"Mon","Tue","Wed","Thu","Fri","Sat","Sun")</f>
        <v>Thu</v>
      </c>
      <c r="H4090" t="str">
        <f>IF(WEEKDAY(A4090,2)&gt;5,"Weekend","Weekday")</f>
        <v>Weekday</v>
      </c>
      <c r="I4090" t="str">
        <f>_xlfn.IFS(B4090&lt;=5,"Night (0-5)",B4090&lt;=9,"Morning peak (6-9)",B4090&lt;=15,"Midday (10-15)",B4090&lt;=19,"Evening peak (16-19)",TRUE,"Late evening (20-23)")</f>
        <v>Morning peak (6-9)</v>
      </c>
    </row>
    <row r="4091" spans="1:9">
      <c r="A4091" s="32">
        <v>41900</v>
      </c>
      <c r="B4091">
        <v>9</v>
      </c>
      <c r="C4091">
        <v>1349</v>
      </c>
      <c r="D4091" t="s">
        <v>303</v>
      </c>
      <c r="E4091">
        <f>YEAR(A4091)</f>
        <v>2014</v>
      </c>
      <c r="F4091" s="33">
        <f>DATE(YEAR(A4091),MONTH(A4091),1)</f>
        <v>41883.0</v>
      </c>
      <c r="G4091" t="str">
        <f>CHOOSE(WEEKDAY(A4091,2),"Mon","Tue","Wed","Thu","Fri","Sat","Sun")</f>
        <v>Thu</v>
      </c>
      <c r="H4091" t="str">
        <f>IF(WEEKDAY(A4091,2)&gt;5,"Weekend","Weekday")</f>
        <v>Weekday</v>
      </c>
      <c r="I4091" t="str">
        <f>_xlfn.IFS(B4091&lt;=5,"Night (0-5)",B4091&lt;=9,"Morning peak (6-9)",B4091&lt;=15,"Midday (10-15)",B4091&lt;=19,"Evening peak (16-19)",TRUE,"Late evening (20-23)")</f>
        <v>Morning peak (6-9)</v>
      </c>
    </row>
    <row r="4092" spans="1:9">
      <c r="A4092" s="32">
        <v>41900</v>
      </c>
      <c r="B4092">
        <v>10</v>
      </c>
      <c r="C4092">
        <v>1280</v>
      </c>
      <c r="D4092" t="s">
        <v>303</v>
      </c>
      <c r="E4092">
        <f>YEAR(A4092)</f>
        <v>2014</v>
      </c>
      <c r="F4092" s="33">
        <f>DATE(YEAR(A4092),MONTH(A4092),1)</f>
        <v>41883.0</v>
      </c>
      <c r="G4092" t="str">
        <f>CHOOSE(WEEKDAY(A4092,2),"Mon","Tue","Wed","Thu","Fri","Sat","Sun")</f>
        <v>Thu</v>
      </c>
      <c r="H4092" t="str">
        <f>IF(WEEKDAY(A4092,2)&gt;5,"Weekend","Weekday")</f>
        <v>Weekday</v>
      </c>
      <c r="I4092" t="str">
        <f>_xlfn.IFS(B4092&lt;=5,"Night (0-5)",B4092&lt;=9,"Morning peak (6-9)",B4092&lt;=15,"Midday (10-15)",B4092&lt;=19,"Evening peak (16-19)",TRUE,"Late evening (20-23)")</f>
        <v>Midday (10-15)</v>
      </c>
    </row>
    <row r="4093" spans="1:9">
      <c r="A4093" s="32">
        <v>41900</v>
      </c>
      <c r="B4093">
        <v>11</v>
      </c>
      <c r="C4093">
        <v>1319</v>
      </c>
      <c r="D4093" t="s">
        <v>303</v>
      </c>
      <c r="E4093">
        <f>YEAR(A4093)</f>
        <v>2014</v>
      </c>
      <c r="F4093" s="33">
        <f>DATE(YEAR(A4093),MONTH(A4093),1)</f>
        <v>41883.0</v>
      </c>
      <c r="G4093" t="str">
        <f>CHOOSE(WEEKDAY(A4093,2),"Mon","Tue","Wed","Thu","Fri","Sat","Sun")</f>
        <v>Thu</v>
      </c>
      <c r="H4093" t="str">
        <f>IF(WEEKDAY(A4093,2)&gt;5,"Weekend","Weekday")</f>
        <v>Weekday</v>
      </c>
      <c r="I4093" t="str">
        <f>_xlfn.IFS(B4093&lt;=5,"Night (0-5)",B4093&lt;=9,"Morning peak (6-9)",B4093&lt;=15,"Midday (10-15)",B4093&lt;=19,"Evening peak (16-19)",TRUE,"Late evening (20-23)")</f>
        <v>Midday (10-15)</v>
      </c>
    </row>
    <row r="4094" spans="1:9">
      <c r="A4094" s="32">
        <v>41900</v>
      </c>
      <c r="B4094">
        <v>12</v>
      </c>
      <c r="C4094">
        <v>1303</v>
      </c>
      <c r="D4094" t="s">
        <v>303</v>
      </c>
      <c r="E4094">
        <f>YEAR(A4094)</f>
        <v>2014</v>
      </c>
      <c r="F4094" s="33">
        <f>DATE(YEAR(A4094),MONTH(A4094),1)</f>
        <v>41883.0</v>
      </c>
      <c r="G4094" t="str">
        <f>CHOOSE(WEEKDAY(A4094,2),"Mon","Tue","Wed","Thu","Fri","Sat","Sun")</f>
        <v>Thu</v>
      </c>
      <c r="H4094" t="str">
        <f>IF(WEEKDAY(A4094,2)&gt;5,"Weekend","Weekday")</f>
        <v>Weekday</v>
      </c>
      <c r="I4094" t="str">
        <f>_xlfn.IFS(B4094&lt;=5,"Night (0-5)",B4094&lt;=9,"Morning peak (6-9)",B4094&lt;=15,"Midday (10-15)",B4094&lt;=19,"Evening peak (16-19)",TRUE,"Late evening (20-23)")</f>
        <v>Midday (10-15)</v>
      </c>
    </row>
    <row r="4095" spans="1:9">
      <c r="A4095" s="32">
        <v>41900</v>
      </c>
      <c r="B4095">
        <v>13</v>
      </c>
      <c r="C4095">
        <v>1603</v>
      </c>
      <c r="D4095" t="s">
        <v>303</v>
      </c>
      <c r="E4095">
        <f>YEAR(A4095)</f>
        <v>2014</v>
      </c>
      <c r="F4095" s="33">
        <f>DATE(YEAR(A4095),MONTH(A4095),1)</f>
        <v>41883.0</v>
      </c>
      <c r="G4095" t="str">
        <f>CHOOSE(WEEKDAY(A4095,2),"Mon","Tue","Wed","Thu","Fri","Sat","Sun")</f>
        <v>Thu</v>
      </c>
      <c r="H4095" t="str">
        <f>IF(WEEKDAY(A4095,2)&gt;5,"Weekend","Weekday")</f>
        <v>Weekday</v>
      </c>
      <c r="I4095" t="str">
        <f>_xlfn.IFS(B4095&lt;=5,"Night (0-5)",B4095&lt;=9,"Morning peak (6-9)",B4095&lt;=15,"Midday (10-15)",B4095&lt;=19,"Evening peak (16-19)",TRUE,"Late evening (20-23)")</f>
        <v>Midday (10-15)</v>
      </c>
    </row>
    <row r="4096" spans="1:9">
      <c r="A4096" s="32">
        <v>41900</v>
      </c>
      <c r="B4096">
        <v>14</v>
      </c>
      <c r="C4096">
        <v>1866</v>
      </c>
      <c r="D4096" t="s">
        <v>303</v>
      </c>
      <c r="E4096">
        <f>YEAR(A4096)</f>
        <v>2014</v>
      </c>
      <c r="F4096" s="33">
        <f>DATE(YEAR(A4096),MONTH(A4096),1)</f>
        <v>41883.0</v>
      </c>
      <c r="G4096" t="str">
        <f>CHOOSE(WEEKDAY(A4096,2),"Mon","Tue","Wed","Thu","Fri","Sat","Sun")</f>
        <v>Thu</v>
      </c>
      <c r="H4096" t="str">
        <f>IF(WEEKDAY(A4096,2)&gt;5,"Weekend","Weekday")</f>
        <v>Weekday</v>
      </c>
      <c r="I4096" t="str">
        <f>_xlfn.IFS(B4096&lt;=5,"Night (0-5)",B4096&lt;=9,"Morning peak (6-9)",B4096&lt;=15,"Midday (10-15)",B4096&lt;=19,"Evening peak (16-19)",TRUE,"Late evening (20-23)")</f>
        <v>Midday (10-15)</v>
      </c>
    </row>
    <row r="4097" spans="1:9">
      <c r="A4097" s="32">
        <v>41900</v>
      </c>
      <c r="B4097">
        <v>15</v>
      </c>
      <c r="C4097">
        <v>2272</v>
      </c>
      <c r="D4097" t="s">
        <v>303</v>
      </c>
      <c r="E4097">
        <f>YEAR(A4097)</f>
        <v>2014</v>
      </c>
      <c r="F4097" s="33">
        <f>DATE(YEAR(A4097),MONTH(A4097),1)</f>
        <v>41883.0</v>
      </c>
      <c r="G4097" t="str">
        <f>CHOOSE(WEEKDAY(A4097,2),"Mon","Tue","Wed","Thu","Fri","Sat","Sun")</f>
        <v>Thu</v>
      </c>
      <c r="H4097" t="str">
        <f>IF(WEEKDAY(A4097,2)&gt;5,"Weekend","Weekday")</f>
        <v>Weekday</v>
      </c>
      <c r="I4097" t="str">
        <f>_xlfn.IFS(B4097&lt;=5,"Night (0-5)",B4097&lt;=9,"Morning peak (6-9)",B4097&lt;=15,"Midday (10-15)",B4097&lt;=19,"Evening peak (16-19)",TRUE,"Late evening (20-23)")</f>
        <v>Midday (10-15)</v>
      </c>
    </row>
    <row r="4098" spans="1:9">
      <c r="A4098" s="32">
        <v>41900</v>
      </c>
      <c r="B4098">
        <v>16</v>
      </c>
      <c r="C4098">
        <v>2685</v>
      </c>
      <c r="D4098" t="s">
        <v>303</v>
      </c>
      <c r="E4098">
        <f>YEAR(A4098)</f>
        <v>2014</v>
      </c>
      <c r="F4098" s="33">
        <f>DATE(YEAR(A4098),MONTH(A4098),1)</f>
        <v>41883.0</v>
      </c>
      <c r="G4098" t="str">
        <f>CHOOSE(WEEKDAY(A4098,2),"Mon","Tue","Wed","Thu","Fri","Sat","Sun")</f>
        <v>Thu</v>
      </c>
      <c r="H4098" t="str">
        <f>IF(WEEKDAY(A4098,2)&gt;5,"Weekend","Weekday")</f>
        <v>Weekday</v>
      </c>
      <c r="I4098" t="str">
        <f>_xlfn.IFS(B4098&lt;=5,"Night (0-5)",B4098&lt;=9,"Morning peak (6-9)",B4098&lt;=15,"Midday (10-15)",B4098&lt;=19,"Evening peak (16-19)",TRUE,"Late evening (20-23)")</f>
        <v>Evening peak (16-19)</v>
      </c>
    </row>
    <row r="4099" spans="1:9">
      <c r="A4099" s="32">
        <v>41900</v>
      </c>
      <c r="B4099">
        <v>17</v>
      </c>
      <c r="C4099">
        <v>3133</v>
      </c>
      <c r="D4099" t="s">
        <v>303</v>
      </c>
      <c r="E4099">
        <f>YEAR(A4099)</f>
        <v>2014</v>
      </c>
      <c r="F4099" s="33">
        <f>DATE(YEAR(A4099),MONTH(A4099),1)</f>
        <v>41883.0</v>
      </c>
      <c r="G4099" t="str">
        <f>CHOOSE(WEEKDAY(A4099,2),"Mon","Tue","Wed","Thu","Fri","Sat","Sun")</f>
        <v>Thu</v>
      </c>
      <c r="H4099" t="str">
        <f>IF(WEEKDAY(A4099,2)&gt;5,"Weekend","Weekday")</f>
        <v>Weekday</v>
      </c>
      <c r="I4099" t="str">
        <f>_xlfn.IFS(B4099&lt;=5,"Night (0-5)",B4099&lt;=9,"Morning peak (6-9)",B4099&lt;=15,"Midday (10-15)",B4099&lt;=19,"Evening peak (16-19)",TRUE,"Late evening (20-23)")</f>
        <v>Evening peak (16-19)</v>
      </c>
    </row>
    <row r="4100" spans="1:9">
      <c r="A4100" s="32">
        <v>41900</v>
      </c>
      <c r="B4100">
        <v>18</v>
      </c>
      <c r="C4100">
        <v>3225</v>
      </c>
      <c r="D4100" t="s">
        <v>303</v>
      </c>
      <c r="E4100">
        <f>YEAR(A4100)</f>
        <v>2014</v>
      </c>
      <c r="F4100" s="33">
        <f>DATE(YEAR(A4100),MONTH(A4100),1)</f>
        <v>41883.0</v>
      </c>
      <c r="G4100" t="str">
        <f>CHOOSE(WEEKDAY(A4100,2),"Mon","Tue","Wed","Thu","Fri","Sat","Sun")</f>
        <v>Thu</v>
      </c>
      <c r="H4100" t="str">
        <f>IF(WEEKDAY(A4100,2)&gt;5,"Weekend","Weekday")</f>
        <v>Weekday</v>
      </c>
      <c r="I4100" t="str">
        <f>_xlfn.IFS(B4100&lt;=5,"Night (0-5)",B4100&lt;=9,"Morning peak (6-9)",B4100&lt;=15,"Midday (10-15)",B4100&lt;=19,"Evening peak (16-19)",TRUE,"Late evening (20-23)")</f>
        <v>Evening peak (16-19)</v>
      </c>
    </row>
    <row r="4101" spans="1:9">
      <c r="A4101" s="32">
        <v>41900</v>
      </c>
      <c r="B4101">
        <v>19</v>
      </c>
      <c r="C4101">
        <v>3206</v>
      </c>
      <c r="D4101" t="s">
        <v>303</v>
      </c>
      <c r="E4101">
        <f>YEAR(A4101)</f>
        <v>2014</v>
      </c>
      <c r="F4101" s="33">
        <f>DATE(YEAR(A4101),MONTH(A4101),1)</f>
        <v>41883.0</v>
      </c>
      <c r="G4101" t="str">
        <f>CHOOSE(WEEKDAY(A4101,2),"Mon","Tue","Wed","Thu","Fri","Sat","Sun")</f>
        <v>Thu</v>
      </c>
      <c r="H4101" t="str">
        <f>IF(WEEKDAY(A4101,2)&gt;5,"Weekend","Weekday")</f>
        <v>Weekday</v>
      </c>
      <c r="I4101" t="str">
        <f>_xlfn.IFS(B4101&lt;=5,"Night (0-5)",B4101&lt;=9,"Morning peak (6-9)",B4101&lt;=15,"Midday (10-15)",B4101&lt;=19,"Evening peak (16-19)",TRUE,"Late evening (20-23)")</f>
        <v>Evening peak (16-19)</v>
      </c>
    </row>
    <row r="4102" spans="1:9">
      <c r="A4102" s="32">
        <v>41900</v>
      </c>
      <c r="B4102">
        <v>20</v>
      </c>
      <c r="C4102">
        <v>2877</v>
      </c>
      <c r="D4102" t="s">
        <v>303</v>
      </c>
      <c r="E4102">
        <f>YEAR(A4102)</f>
        <v>2014</v>
      </c>
      <c r="F4102" s="33">
        <f>DATE(YEAR(A4102),MONTH(A4102),1)</f>
        <v>41883.0</v>
      </c>
      <c r="G4102" t="str">
        <f>CHOOSE(WEEKDAY(A4102,2),"Mon","Tue","Wed","Thu","Fri","Sat","Sun")</f>
        <v>Thu</v>
      </c>
      <c r="H4102" t="str">
        <f>IF(WEEKDAY(A4102,2)&gt;5,"Weekend","Weekday")</f>
        <v>Weekday</v>
      </c>
      <c r="I4102" t="str">
        <f>_xlfn.IFS(B4102&lt;=5,"Night (0-5)",B4102&lt;=9,"Morning peak (6-9)",B4102&lt;=15,"Midday (10-15)",B4102&lt;=19,"Evening peak (16-19)",TRUE,"Late evening (20-23)")</f>
        <v>Late evening (20-23)</v>
      </c>
    </row>
    <row r="4103" spans="1:9">
      <c r="A4103" s="32">
        <v>41900</v>
      </c>
      <c r="B4103">
        <v>21</v>
      </c>
      <c r="C4103">
        <v>2836</v>
      </c>
      <c r="D4103" t="s">
        <v>303</v>
      </c>
      <c r="E4103">
        <f>YEAR(A4103)</f>
        <v>2014</v>
      </c>
      <c r="F4103" s="33">
        <f>DATE(YEAR(A4103),MONTH(A4103),1)</f>
        <v>41883.0</v>
      </c>
      <c r="G4103" t="str">
        <f>CHOOSE(WEEKDAY(A4103,2),"Mon","Tue","Wed","Thu","Fri","Sat","Sun")</f>
        <v>Thu</v>
      </c>
      <c r="H4103" t="str">
        <f>IF(WEEKDAY(A4103,2)&gt;5,"Weekend","Weekday")</f>
        <v>Weekday</v>
      </c>
      <c r="I4103" t="str">
        <f>_xlfn.IFS(B4103&lt;=5,"Night (0-5)",B4103&lt;=9,"Morning peak (6-9)",B4103&lt;=15,"Midday (10-15)",B4103&lt;=19,"Evening peak (16-19)",TRUE,"Late evening (20-23)")</f>
        <v>Late evening (20-23)</v>
      </c>
    </row>
    <row r="4104" spans="1:9">
      <c r="A4104" s="32">
        <v>41900</v>
      </c>
      <c r="B4104">
        <v>22</v>
      </c>
      <c r="C4104">
        <v>2271</v>
      </c>
      <c r="D4104" t="s">
        <v>303</v>
      </c>
      <c r="E4104">
        <f>YEAR(A4104)</f>
        <v>2014</v>
      </c>
      <c r="F4104" s="33">
        <f>DATE(YEAR(A4104),MONTH(A4104),1)</f>
        <v>41883.0</v>
      </c>
      <c r="G4104" t="str">
        <f>CHOOSE(WEEKDAY(A4104,2),"Mon","Tue","Wed","Thu","Fri","Sat","Sun")</f>
        <v>Thu</v>
      </c>
      <c r="H4104" t="str">
        <f>IF(WEEKDAY(A4104,2)&gt;5,"Weekend","Weekday")</f>
        <v>Weekday</v>
      </c>
      <c r="I4104" t="str">
        <f>_xlfn.IFS(B4104&lt;=5,"Night (0-5)",B4104&lt;=9,"Morning peak (6-9)",B4104&lt;=15,"Midday (10-15)",B4104&lt;=19,"Evening peak (16-19)",TRUE,"Late evening (20-23)")</f>
        <v>Late evening (20-23)</v>
      </c>
    </row>
    <row r="4105" spans="1:9">
      <c r="A4105" s="32">
        <v>41900</v>
      </c>
      <c r="B4105">
        <v>23</v>
      </c>
      <c r="C4105">
        <v>1473</v>
      </c>
      <c r="D4105" t="s">
        <v>303</v>
      </c>
      <c r="E4105">
        <f>YEAR(A4105)</f>
        <v>2014</v>
      </c>
      <c r="F4105" s="33">
        <f>DATE(YEAR(A4105),MONTH(A4105),1)</f>
        <v>41883.0</v>
      </c>
      <c r="G4105" t="str">
        <f>CHOOSE(WEEKDAY(A4105,2),"Mon","Tue","Wed","Thu","Fri","Sat","Sun")</f>
        <v>Thu</v>
      </c>
      <c r="H4105" t="str">
        <f>IF(WEEKDAY(A4105,2)&gt;5,"Weekend","Weekday")</f>
        <v>Weekday</v>
      </c>
      <c r="I4105" t="str">
        <f>_xlfn.IFS(B4105&lt;=5,"Night (0-5)",B4105&lt;=9,"Morning peak (6-9)",B4105&lt;=15,"Midday (10-15)",B4105&lt;=19,"Evening peak (16-19)",TRUE,"Late evening (20-23)")</f>
        <v>Late evening (20-23)</v>
      </c>
    </row>
    <row r="4106" spans="1:9">
      <c r="A4106" s="32">
        <v>41901</v>
      </c>
      <c r="B4106">
        <v>0</v>
      </c>
      <c r="C4106">
        <v>656</v>
      </c>
      <c r="D4106" t="s">
        <v>303</v>
      </c>
      <c r="E4106">
        <f>YEAR(A4106)</f>
        <v>2014</v>
      </c>
      <c r="F4106" s="33">
        <f>DATE(YEAR(A4106),MONTH(A4106),1)</f>
        <v>41883.0</v>
      </c>
      <c r="G4106" t="str">
        <f>CHOOSE(WEEKDAY(A4106,2),"Mon","Tue","Wed","Thu","Fri","Sat","Sun")</f>
        <v>Fri</v>
      </c>
      <c r="H4106" t="str">
        <f>IF(WEEKDAY(A4106,2)&gt;5,"Weekend","Weekday")</f>
        <v>Weekday</v>
      </c>
      <c r="I4106" t="str">
        <f>_xlfn.IFS(B4106&lt;=5,"Night (0-5)",B4106&lt;=9,"Morning peak (6-9)",B4106&lt;=15,"Midday (10-15)",B4106&lt;=19,"Evening peak (16-19)",TRUE,"Late evening (20-23)")</f>
        <v>Night (0-5)</v>
      </c>
    </row>
    <row r="4107" spans="1:9">
      <c r="A4107" s="32">
        <v>41901</v>
      </c>
      <c r="B4107">
        <v>1</v>
      </c>
      <c r="C4107">
        <v>432</v>
      </c>
      <c r="D4107" t="s">
        <v>303</v>
      </c>
      <c r="E4107">
        <f>YEAR(A4107)</f>
        <v>2014</v>
      </c>
      <c r="F4107" s="33">
        <f>DATE(YEAR(A4107),MONTH(A4107),1)</f>
        <v>41883.0</v>
      </c>
      <c r="G4107" t="str">
        <f>CHOOSE(WEEKDAY(A4107,2),"Mon","Tue","Wed","Thu","Fri","Sat","Sun")</f>
        <v>Fri</v>
      </c>
      <c r="H4107" t="str">
        <f>IF(WEEKDAY(A4107,2)&gt;5,"Weekend","Weekday")</f>
        <v>Weekday</v>
      </c>
      <c r="I4107" t="str">
        <f>_xlfn.IFS(B4107&lt;=5,"Night (0-5)",B4107&lt;=9,"Morning peak (6-9)",B4107&lt;=15,"Midday (10-15)",B4107&lt;=19,"Evening peak (16-19)",TRUE,"Late evening (20-23)")</f>
        <v>Night (0-5)</v>
      </c>
    </row>
    <row r="4108" spans="1:9">
      <c r="A4108" s="32">
        <v>41901</v>
      </c>
      <c r="B4108">
        <v>2</v>
      </c>
      <c r="C4108">
        <v>268</v>
      </c>
      <c r="D4108" t="s">
        <v>303</v>
      </c>
      <c r="E4108">
        <f>YEAR(A4108)</f>
        <v>2014</v>
      </c>
      <c r="F4108" s="33">
        <f>DATE(YEAR(A4108),MONTH(A4108),1)</f>
        <v>41883.0</v>
      </c>
      <c r="G4108" t="str">
        <f>CHOOSE(WEEKDAY(A4108,2),"Mon","Tue","Wed","Thu","Fri","Sat","Sun")</f>
        <v>Fri</v>
      </c>
      <c r="H4108" t="str">
        <f>IF(WEEKDAY(A4108,2)&gt;5,"Weekend","Weekday")</f>
        <v>Weekday</v>
      </c>
      <c r="I4108" t="str">
        <f>_xlfn.IFS(B4108&lt;=5,"Night (0-5)",B4108&lt;=9,"Morning peak (6-9)",B4108&lt;=15,"Midday (10-15)",B4108&lt;=19,"Evening peak (16-19)",TRUE,"Late evening (20-23)")</f>
        <v>Night (0-5)</v>
      </c>
    </row>
    <row r="4109" spans="1:9">
      <c r="A4109" s="32">
        <v>41901</v>
      </c>
      <c r="B4109">
        <v>3</v>
      </c>
      <c r="C4109">
        <v>374</v>
      </c>
      <c r="D4109" t="s">
        <v>303</v>
      </c>
      <c r="E4109">
        <f>YEAR(A4109)</f>
        <v>2014</v>
      </c>
      <c r="F4109" s="33">
        <f>DATE(YEAR(A4109),MONTH(A4109),1)</f>
        <v>41883.0</v>
      </c>
      <c r="G4109" t="str">
        <f>CHOOSE(WEEKDAY(A4109,2),"Mon","Tue","Wed","Thu","Fri","Sat","Sun")</f>
        <v>Fri</v>
      </c>
      <c r="H4109" t="str">
        <f>IF(WEEKDAY(A4109,2)&gt;5,"Weekend","Weekday")</f>
        <v>Weekday</v>
      </c>
      <c r="I4109" t="str">
        <f>_xlfn.IFS(B4109&lt;=5,"Night (0-5)",B4109&lt;=9,"Morning peak (6-9)",B4109&lt;=15,"Midday (10-15)",B4109&lt;=19,"Evening peak (16-19)",TRUE,"Late evening (20-23)")</f>
        <v>Night (0-5)</v>
      </c>
    </row>
    <row r="4110" spans="1:9">
      <c r="A4110" s="32">
        <v>41901</v>
      </c>
      <c r="B4110">
        <v>4</v>
      </c>
      <c r="C4110">
        <v>467</v>
      </c>
      <c r="D4110" t="s">
        <v>303</v>
      </c>
      <c r="E4110">
        <f>YEAR(A4110)</f>
        <v>2014</v>
      </c>
      <c r="F4110" s="33">
        <f>DATE(YEAR(A4110),MONTH(A4110),1)</f>
        <v>41883.0</v>
      </c>
      <c r="G4110" t="str">
        <f>CHOOSE(WEEKDAY(A4110,2),"Mon","Tue","Wed","Thu","Fri","Sat","Sun")</f>
        <v>Fri</v>
      </c>
      <c r="H4110" t="str">
        <f>IF(WEEKDAY(A4110,2)&gt;5,"Weekend","Weekday")</f>
        <v>Weekday</v>
      </c>
      <c r="I4110" t="str">
        <f>_xlfn.IFS(B4110&lt;=5,"Night (0-5)",B4110&lt;=9,"Morning peak (6-9)",B4110&lt;=15,"Midday (10-15)",B4110&lt;=19,"Evening peak (16-19)",TRUE,"Late evening (20-23)")</f>
        <v>Night (0-5)</v>
      </c>
    </row>
    <row r="4111" spans="1:9">
      <c r="A4111" s="32">
        <v>41901</v>
      </c>
      <c r="B4111">
        <v>5</v>
      </c>
      <c r="C4111">
        <v>784</v>
      </c>
      <c r="D4111" t="s">
        <v>303</v>
      </c>
      <c r="E4111">
        <f>YEAR(A4111)</f>
        <v>2014</v>
      </c>
      <c r="F4111" s="33">
        <f>DATE(YEAR(A4111),MONTH(A4111),1)</f>
        <v>41883.0</v>
      </c>
      <c r="G4111" t="str">
        <f>CHOOSE(WEEKDAY(A4111,2),"Mon","Tue","Wed","Thu","Fri","Sat","Sun")</f>
        <v>Fri</v>
      </c>
      <c r="H4111" t="str">
        <f>IF(WEEKDAY(A4111,2)&gt;5,"Weekend","Weekday")</f>
        <v>Weekday</v>
      </c>
      <c r="I4111" t="str">
        <f>_xlfn.IFS(B4111&lt;=5,"Night (0-5)",B4111&lt;=9,"Morning peak (6-9)",B4111&lt;=15,"Midday (10-15)",B4111&lt;=19,"Evening peak (16-19)",TRUE,"Late evening (20-23)")</f>
        <v>Night (0-5)</v>
      </c>
    </row>
    <row r="4112" spans="1:9">
      <c r="A4112" s="32">
        <v>41901</v>
      </c>
      <c r="B4112">
        <v>6</v>
      </c>
      <c r="C4112">
        <v>1403</v>
      </c>
      <c r="D4112" t="s">
        <v>303</v>
      </c>
      <c r="E4112">
        <f>YEAR(A4112)</f>
        <v>2014</v>
      </c>
      <c r="F4112" s="33">
        <f>DATE(YEAR(A4112),MONTH(A4112),1)</f>
        <v>41883.0</v>
      </c>
      <c r="G4112" t="str">
        <f>CHOOSE(WEEKDAY(A4112,2),"Mon","Tue","Wed","Thu","Fri","Sat","Sun")</f>
        <v>Fri</v>
      </c>
      <c r="H4112" t="str">
        <f>IF(WEEKDAY(A4112,2)&gt;5,"Weekend","Weekday")</f>
        <v>Weekday</v>
      </c>
      <c r="I4112" t="str">
        <f>_xlfn.IFS(B4112&lt;=5,"Night (0-5)",B4112&lt;=9,"Morning peak (6-9)",B4112&lt;=15,"Midday (10-15)",B4112&lt;=19,"Evening peak (16-19)",TRUE,"Late evening (20-23)")</f>
        <v>Morning peak (6-9)</v>
      </c>
    </row>
    <row r="4113" spans="1:9">
      <c r="A4113" s="32">
        <v>41901</v>
      </c>
      <c r="B4113">
        <v>7</v>
      </c>
      <c r="C4113">
        <v>1799</v>
      </c>
      <c r="D4113" t="s">
        <v>303</v>
      </c>
      <c r="E4113">
        <f>YEAR(A4113)</f>
        <v>2014</v>
      </c>
      <c r="F4113" s="33">
        <f>DATE(YEAR(A4113),MONTH(A4113),1)</f>
        <v>41883.0</v>
      </c>
      <c r="G4113" t="str">
        <f>CHOOSE(WEEKDAY(A4113,2),"Mon","Tue","Wed","Thu","Fri","Sat","Sun")</f>
        <v>Fri</v>
      </c>
      <c r="H4113" t="str">
        <f>IF(WEEKDAY(A4113,2)&gt;5,"Weekend","Weekday")</f>
        <v>Weekday</v>
      </c>
      <c r="I4113" t="str">
        <f>_xlfn.IFS(B4113&lt;=5,"Night (0-5)",B4113&lt;=9,"Morning peak (6-9)",B4113&lt;=15,"Midday (10-15)",B4113&lt;=19,"Evening peak (16-19)",TRUE,"Late evening (20-23)")</f>
        <v>Morning peak (6-9)</v>
      </c>
    </row>
    <row r="4114" spans="1:9">
      <c r="A4114" s="32">
        <v>41901</v>
      </c>
      <c r="B4114">
        <v>8</v>
      </c>
      <c r="C4114">
        <v>1770</v>
      </c>
      <c r="D4114" t="s">
        <v>303</v>
      </c>
      <c r="E4114">
        <f>YEAR(A4114)</f>
        <v>2014</v>
      </c>
      <c r="F4114" s="33">
        <f>DATE(YEAR(A4114),MONTH(A4114),1)</f>
        <v>41883.0</v>
      </c>
      <c r="G4114" t="str">
        <f>CHOOSE(WEEKDAY(A4114,2),"Mon","Tue","Wed","Thu","Fri","Sat","Sun")</f>
        <v>Fri</v>
      </c>
      <c r="H4114" t="str">
        <f>IF(WEEKDAY(A4114,2)&gt;5,"Weekend","Weekday")</f>
        <v>Weekday</v>
      </c>
      <c r="I4114" t="str">
        <f>_xlfn.IFS(B4114&lt;=5,"Night (0-5)",B4114&lt;=9,"Morning peak (6-9)",B4114&lt;=15,"Midday (10-15)",B4114&lt;=19,"Evening peak (16-19)",TRUE,"Late evening (20-23)")</f>
        <v>Morning peak (6-9)</v>
      </c>
    </row>
    <row r="4115" spans="1:9">
      <c r="A4115" s="32">
        <v>41901</v>
      </c>
      <c r="B4115">
        <v>9</v>
      </c>
      <c r="C4115">
        <v>1380</v>
      </c>
      <c r="D4115" t="s">
        <v>303</v>
      </c>
      <c r="E4115">
        <f>YEAR(A4115)</f>
        <v>2014</v>
      </c>
      <c r="F4115" s="33">
        <f>DATE(YEAR(A4115),MONTH(A4115),1)</f>
        <v>41883.0</v>
      </c>
      <c r="G4115" t="str">
        <f>CHOOSE(WEEKDAY(A4115,2),"Mon","Tue","Wed","Thu","Fri","Sat","Sun")</f>
        <v>Fri</v>
      </c>
      <c r="H4115" t="str">
        <f>IF(WEEKDAY(A4115,2)&gt;5,"Weekend","Weekday")</f>
        <v>Weekday</v>
      </c>
      <c r="I4115" t="str">
        <f>_xlfn.IFS(B4115&lt;=5,"Night (0-5)",B4115&lt;=9,"Morning peak (6-9)",B4115&lt;=15,"Midday (10-15)",B4115&lt;=19,"Evening peak (16-19)",TRUE,"Late evening (20-23)")</f>
        <v>Morning peak (6-9)</v>
      </c>
    </row>
    <row r="4116" spans="1:9">
      <c r="A4116" s="32">
        <v>41901</v>
      </c>
      <c r="B4116">
        <v>10</v>
      </c>
      <c r="C4116">
        <v>1322</v>
      </c>
      <c r="D4116" t="s">
        <v>303</v>
      </c>
      <c r="E4116">
        <f>YEAR(A4116)</f>
        <v>2014</v>
      </c>
      <c r="F4116" s="33">
        <f>DATE(YEAR(A4116),MONTH(A4116),1)</f>
        <v>41883.0</v>
      </c>
      <c r="G4116" t="str">
        <f>CHOOSE(WEEKDAY(A4116,2),"Mon","Tue","Wed","Thu","Fri","Sat","Sun")</f>
        <v>Fri</v>
      </c>
      <c r="H4116" t="str">
        <f>IF(WEEKDAY(A4116,2)&gt;5,"Weekend","Weekday")</f>
        <v>Weekday</v>
      </c>
      <c r="I4116" t="str">
        <f>_xlfn.IFS(B4116&lt;=5,"Night (0-5)",B4116&lt;=9,"Morning peak (6-9)",B4116&lt;=15,"Midday (10-15)",B4116&lt;=19,"Evening peak (16-19)",TRUE,"Late evening (20-23)")</f>
        <v>Midday (10-15)</v>
      </c>
    </row>
    <row r="4117" spans="1:9">
      <c r="A4117" s="32">
        <v>41901</v>
      </c>
      <c r="B4117">
        <v>11</v>
      </c>
      <c r="C4117">
        <v>1307</v>
      </c>
      <c r="D4117" t="s">
        <v>303</v>
      </c>
      <c r="E4117">
        <f>YEAR(A4117)</f>
        <v>2014</v>
      </c>
      <c r="F4117" s="33">
        <f>DATE(YEAR(A4117),MONTH(A4117),1)</f>
        <v>41883.0</v>
      </c>
      <c r="G4117" t="str">
        <f>CHOOSE(WEEKDAY(A4117,2),"Mon","Tue","Wed","Thu","Fri","Sat","Sun")</f>
        <v>Fri</v>
      </c>
      <c r="H4117" t="str">
        <f>IF(WEEKDAY(A4117,2)&gt;5,"Weekend","Weekday")</f>
        <v>Weekday</v>
      </c>
      <c r="I4117" t="str">
        <f>_xlfn.IFS(B4117&lt;=5,"Night (0-5)",B4117&lt;=9,"Morning peak (6-9)",B4117&lt;=15,"Midday (10-15)",B4117&lt;=19,"Evening peak (16-19)",TRUE,"Late evening (20-23)")</f>
        <v>Midday (10-15)</v>
      </c>
    </row>
    <row r="4118" spans="1:9">
      <c r="A4118" s="32">
        <v>41901</v>
      </c>
      <c r="B4118">
        <v>12</v>
      </c>
      <c r="C4118">
        <v>1356</v>
      </c>
      <c r="D4118" t="s">
        <v>303</v>
      </c>
      <c r="E4118">
        <f>YEAR(A4118)</f>
        <v>2014</v>
      </c>
      <c r="F4118" s="33">
        <f>DATE(YEAR(A4118),MONTH(A4118),1)</f>
        <v>41883.0</v>
      </c>
      <c r="G4118" t="str">
        <f>CHOOSE(WEEKDAY(A4118,2),"Mon","Tue","Wed","Thu","Fri","Sat","Sun")</f>
        <v>Fri</v>
      </c>
      <c r="H4118" t="str">
        <f>IF(WEEKDAY(A4118,2)&gt;5,"Weekend","Weekday")</f>
        <v>Weekday</v>
      </c>
      <c r="I4118" t="str">
        <f>_xlfn.IFS(B4118&lt;=5,"Night (0-5)",B4118&lt;=9,"Morning peak (6-9)",B4118&lt;=15,"Midday (10-15)",B4118&lt;=19,"Evening peak (16-19)",TRUE,"Late evening (20-23)")</f>
        <v>Midday (10-15)</v>
      </c>
    </row>
    <row r="4119" spans="1:9">
      <c r="A4119" s="32">
        <v>41901</v>
      </c>
      <c r="B4119">
        <v>13</v>
      </c>
      <c r="C4119">
        <v>1570</v>
      </c>
      <c r="D4119" t="s">
        <v>303</v>
      </c>
      <c r="E4119">
        <f>YEAR(A4119)</f>
        <v>2014</v>
      </c>
      <c r="F4119" s="33">
        <f>DATE(YEAR(A4119),MONTH(A4119),1)</f>
        <v>41883.0</v>
      </c>
      <c r="G4119" t="str">
        <f>CHOOSE(WEEKDAY(A4119,2),"Mon","Tue","Wed","Thu","Fri","Sat","Sun")</f>
        <v>Fri</v>
      </c>
      <c r="H4119" t="str">
        <f>IF(WEEKDAY(A4119,2)&gt;5,"Weekend","Weekday")</f>
        <v>Weekday</v>
      </c>
      <c r="I4119" t="str">
        <f>_xlfn.IFS(B4119&lt;=5,"Night (0-5)",B4119&lt;=9,"Morning peak (6-9)",B4119&lt;=15,"Midday (10-15)",B4119&lt;=19,"Evening peak (16-19)",TRUE,"Late evening (20-23)")</f>
        <v>Midday (10-15)</v>
      </c>
    </row>
    <row r="4120" spans="1:9">
      <c r="A4120" s="32">
        <v>41901</v>
      </c>
      <c r="B4120">
        <v>14</v>
      </c>
      <c r="C4120">
        <v>1919</v>
      </c>
      <c r="D4120" t="s">
        <v>303</v>
      </c>
      <c r="E4120">
        <f>YEAR(A4120)</f>
        <v>2014</v>
      </c>
      <c r="F4120" s="33">
        <f>DATE(YEAR(A4120),MONTH(A4120),1)</f>
        <v>41883.0</v>
      </c>
      <c r="G4120" t="str">
        <f>CHOOSE(WEEKDAY(A4120,2),"Mon","Tue","Wed","Thu","Fri","Sat","Sun")</f>
        <v>Fri</v>
      </c>
      <c r="H4120" t="str">
        <f>IF(WEEKDAY(A4120,2)&gt;5,"Weekend","Weekday")</f>
        <v>Weekday</v>
      </c>
      <c r="I4120" t="str">
        <f>_xlfn.IFS(B4120&lt;=5,"Night (0-5)",B4120&lt;=9,"Morning peak (6-9)",B4120&lt;=15,"Midday (10-15)",B4120&lt;=19,"Evening peak (16-19)",TRUE,"Late evening (20-23)")</f>
        <v>Midday (10-15)</v>
      </c>
    </row>
    <row r="4121" spans="1:9">
      <c r="A4121" s="32">
        <v>41901</v>
      </c>
      <c r="B4121">
        <v>15</v>
      </c>
      <c r="C4121">
        <v>2267</v>
      </c>
      <c r="D4121" t="s">
        <v>303</v>
      </c>
      <c r="E4121">
        <f>YEAR(A4121)</f>
        <v>2014</v>
      </c>
      <c r="F4121" s="33">
        <f>DATE(YEAR(A4121),MONTH(A4121),1)</f>
        <v>41883.0</v>
      </c>
      <c r="G4121" t="str">
        <f>CHOOSE(WEEKDAY(A4121,2),"Mon","Tue","Wed","Thu","Fri","Sat","Sun")</f>
        <v>Fri</v>
      </c>
      <c r="H4121" t="str">
        <f>IF(WEEKDAY(A4121,2)&gt;5,"Weekend","Weekday")</f>
        <v>Weekday</v>
      </c>
      <c r="I4121" t="str">
        <f>_xlfn.IFS(B4121&lt;=5,"Night (0-5)",B4121&lt;=9,"Morning peak (6-9)",B4121&lt;=15,"Midday (10-15)",B4121&lt;=19,"Evening peak (16-19)",TRUE,"Late evening (20-23)")</f>
        <v>Midday (10-15)</v>
      </c>
    </row>
    <row r="4122" spans="1:9">
      <c r="A4122" s="32">
        <v>41901</v>
      </c>
      <c r="B4122">
        <v>16</v>
      </c>
      <c r="C4122">
        <v>2510</v>
      </c>
      <c r="D4122" t="s">
        <v>303</v>
      </c>
      <c r="E4122">
        <f>YEAR(A4122)</f>
        <v>2014</v>
      </c>
      <c r="F4122" s="33">
        <f>DATE(YEAR(A4122),MONTH(A4122),1)</f>
        <v>41883.0</v>
      </c>
      <c r="G4122" t="str">
        <f>CHOOSE(WEEKDAY(A4122,2),"Mon","Tue","Wed","Thu","Fri","Sat","Sun")</f>
        <v>Fri</v>
      </c>
      <c r="H4122" t="str">
        <f>IF(WEEKDAY(A4122,2)&gt;5,"Weekend","Weekday")</f>
        <v>Weekday</v>
      </c>
      <c r="I4122" t="str">
        <f>_xlfn.IFS(B4122&lt;=5,"Night (0-5)",B4122&lt;=9,"Morning peak (6-9)",B4122&lt;=15,"Midday (10-15)",B4122&lt;=19,"Evening peak (16-19)",TRUE,"Late evening (20-23)")</f>
        <v>Evening peak (16-19)</v>
      </c>
    </row>
    <row r="4123" spans="1:9">
      <c r="A4123" s="32">
        <v>41901</v>
      </c>
      <c r="B4123">
        <v>17</v>
      </c>
      <c r="C4123">
        <v>2896</v>
      </c>
      <c r="D4123" t="s">
        <v>303</v>
      </c>
      <c r="E4123">
        <f>YEAR(A4123)</f>
        <v>2014</v>
      </c>
      <c r="F4123" s="33">
        <f>DATE(YEAR(A4123),MONTH(A4123),1)</f>
        <v>41883.0</v>
      </c>
      <c r="G4123" t="str">
        <f>CHOOSE(WEEKDAY(A4123,2),"Mon","Tue","Wed","Thu","Fri","Sat","Sun")</f>
        <v>Fri</v>
      </c>
      <c r="H4123" t="str">
        <f>IF(WEEKDAY(A4123,2)&gt;5,"Weekend","Weekday")</f>
        <v>Weekday</v>
      </c>
      <c r="I4123" t="str">
        <f>_xlfn.IFS(B4123&lt;=5,"Night (0-5)",B4123&lt;=9,"Morning peak (6-9)",B4123&lt;=15,"Midday (10-15)",B4123&lt;=19,"Evening peak (16-19)",TRUE,"Late evening (20-23)")</f>
        <v>Evening peak (16-19)</v>
      </c>
    </row>
    <row r="4124" spans="1:9">
      <c r="A4124" s="32">
        <v>41901</v>
      </c>
      <c r="B4124">
        <v>18</v>
      </c>
      <c r="C4124">
        <v>3210</v>
      </c>
      <c r="D4124" t="s">
        <v>303</v>
      </c>
      <c r="E4124">
        <f>YEAR(A4124)</f>
        <v>2014</v>
      </c>
      <c r="F4124" s="33">
        <f>DATE(YEAR(A4124),MONTH(A4124),1)</f>
        <v>41883.0</v>
      </c>
      <c r="G4124" t="str">
        <f>CHOOSE(WEEKDAY(A4124,2),"Mon","Tue","Wed","Thu","Fri","Sat","Sun")</f>
        <v>Fri</v>
      </c>
      <c r="H4124" t="str">
        <f>IF(WEEKDAY(A4124,2)&gt;5,"Weekend","Weekday")</f>
        <v>Weekday</v>
      </c>
      <c r="I4124" t="str">
        <f>_xlfn.IFS(B4124&lt;=5,"Night (0-5)",B4124&lt;=9,"Morning peak (6-9)",B4124&lt;=15,"Midday (10-15)",B4124&lt;=19,"Evening peak (16-19)",TRUE,"Late evening (20-23)")</f>
        <v>Evening peak (16-19)</v>
      </c>
    </row>
    <row r="4125" spans="1:9">
      <c r="A4125" s="32">
        <v>41901</v>
      </c>
      <c r="B4125">
        <v>19</v>
      </c>
      <c r="C4125">
        <v>2936</v>
      </c>
      <c r="D4125" t="s">
        <v>303</v>
      </c>
      <c r="E4125">
        <f>YEAR(A4125)</f>
        <v>2014</v>
      </c>
      <c r="F4125" s="33">
        <f>DATE(YEAR(A4125),MONTH(A4125),1)</f>
        <v>41883.0</v>
      </c>
      <c r="G4125" t="str">
        <f>CHOOSE(WEEKDAY(A4125,2),"Mon","Tue","Wed","Thu","Fri","Sat","Sun")</f>
        <v>Fri</v>
      </c>
      <c r="H4125" t="str">
        <f>IF(WEEKDAY(A4125,2)&gt;5,"Weekend","Weekday")</f>
        <v>Weekday</v>
      </c>
      <c r="I4125" t="str">
        <f>_xlfn.IFS(B4125&lt;=5,"Night (0-5)",B4125&lt;=9,"Morning peak (6-9)",B4125&lt;=15,"Midday (10-15)",B4125&lt;=19,"Evening peak (16-19)",TRUE,"Late evening (20-23)")</f>
        <v>Evening peak (16-19)</v>
      </c>
    </row>
    <row r="4126" spans="1:9">
      <c r="A4126" s="32">
        <v>41901</v>
      </c>
      <c r="B4126">
        <v>20</v>
      </c>
      <c r="C4126">
        <v>2625</v>
      </c>
      <c r="D4126" t="s">
        <v>303</v>
      </c>
      <c r="E4126">
        <f>YEAR(A4126)</f>
        <v>2014</v>
      </c>
      <c r="F4126" s="33">
        <f>DATE(YEAR(A4126),MONTH(A4126),1)</f>
        <v>41883.0</v>
      </c>
      <c r="G4126" t="str">
        <f>CHOOSE(WEEKDAY(A4126,2),"Mon","Tue","Wed","Thu","Fri","Sat","Sun")</f>
        <v>Fri</v>
      </c>
      <c r="H4126" t="str">
        <f>IF(WEEKDAY(A4126,2)&gt;5,"Weekend","Weekday")</f>
        <v>Weekday</v>
      </c>
      <c r="I4126" t="str">
        <f>_xlfn.IFS(B4126&lt;=5,"Night (0-5)",B4126&lt;=9,"Morning peak (6-9)",B4126&lt;=15,"Midday (10-15)",B4126&lt;=19,"Evening peak (16-19)",TRUE,"Late evening (20-23)")</f>
        <v>Late evening (20-23)</v>
      </c>
    </row>
    <row r="4127" spans="1:9">
      <c r="A4127" s="32">
        <v>41901</v>
      </c>
      <c r="B4127">
        <v>21</v>
      </c>
      <c r="C4127">
        <v>2758</v>
      </c>
      <c r="D4127" t="s">
        <v>303</v>
      </c>
      <c r="E4127">
        <f>YEAR(A4127)</f>
        <v>2014</v>
      </c>
      <c r="F4127" s="33">
        <f>DATE(YEAR(A4127),MONTH(A4127),1)</f>
        <v>41883.0</v>
      </c>
      <c r="G4127" t="str">
        <f>CHOOSE(WEEKDAY(A4127,2),"Mon","Tue","Wed","Thu","Fri","Sat","Sun")</f>
        <v>Fri</v>
      </c>
      <c r="H4127" t="str">
        <f>IF(WEEKDAY(A4127,2)&gt;5,"Weekend","Weekday")</f>
        <v>Weekday</v>
      </c>
      <c r="I4127" t="str">
        <f>_xlfn.IFS(B4127&lt;=5,"Night (0-5)",B4127&lt;=9,"Morning peak (6-9)",B4127&lt;=15,"Midday (10-15)",B4127&lt;=19,"Evening peak (16-19)",TRUE,"Late evening (20-23)")</f>
        <v>Late evening (20-23)</v>
      </c>
    </row>
    <row r="4128" spans="1:9">
      <c r="A4128" s="32">
        <v>41901</v>
      </c>
      <c r="B4128">
        <v>22</v>
      </c>
      <c r="C4128">
        <v>2709</v>
      </c>
      <c r="D4128" t="s">
        <v>303</v>
      </c>
      <c r="E4128">
        <f>YEAR(A4128)</f>
        <v>2014</v>
      </c>
      <c r="F4128" s="33">
        <f>DATE(YEAR(A4128),MONTH(A4128),1)</f>
        <v>41883.0</v>
      </c>
      <c r="G4128" t="str">
        <f>CHOOSE(WEEKDAY(A4128,2),"Mon","Tue","Wed","Thu","Fri","Sat","Sun")</f>
        <v>Fri</v>
      </c>
      <c r="H4128" t="str">
        <f>IF(WEEKDAY(A4128,2)&gt;5,"Weekend","Weekday")</f>
        <v>Weekday</v>
      </c>
      <c r="I4128" t="str">
        <f>_xlfn.IFS(B4128&lt;=5,"Night (0-5)",B4128&lt;=9,"Morning peak (6-9)",B4128&lt;=15,"Midday (10-15)",B4128&lt;=19,"Evening peak (16-19)",TRUE,"Late evening (20-23)")</f>
        <v>Late evening (20-23)</v>
      </c>
    </row>
    <row r="4129" spans="1:9">
      <c r="A4129" s="32">
        <v>41901</v>
      </c>
      <c r="B4129">
        <v>23</v>
      </c>
      <c r="C4129">
        <v>2299</v>
      </c>
      <c r="D4129" t="s">
        <v>303</v>
      </c>
      <c r="E4129">
        <f>YEAR(A4129)</f>
        <v>2014</v>
      </c>
      <c r="F4129" s="33">
        <f>DATE(YEAR(A4129),MONTH(A4129),1)</f>
        <v>41883.0</v>
      </c>
      <c r="G4129" t="str">
        <f>CHOOSE(WEEKDAY(A4129,2),"Mon","Tue","Wed","Thu","Fri","Sat","Sun")</f>
        <v>Fri</v>
      </c>
      <c r="H4129" t="str">
        <f>IF(WEEKDAY(A4129,2)&gt;5,"Weekend","Weekday")</f>
        <v>Weekday</v>
      </c>
      <c r="I4129" t="str">
        <f>_xlfn.IFS(B4129&lt;=5,"Night (0-5)",B4129&lt;=9,"Morning peak (6-9)",B4129&lt;=15,"Midday (10-15)",B4129&lt;=19,"Evening peak (16-19)",TRUE,"Late evening (20-23)")</f>
        <v>Late evening (20-23)</v>
      </c>
    </row>
    <row r="4130" spans="1:9">
      <c r="A4130" s="32">
        <v>41902</v>
      </c>
      <c r="B4130">
        <v>0</v>
      </c>
      <c r="C4130">
        <v>1701</v>
      </c>
      <c r="D4130" t="s">
        <v>303</v>
      </c>
      <c r="E4130">
        <f>YEAR(A4130)</f>
        <v>2014</v>
      </c>
      <c r="F4130" s="33">
        <f>DATE(YEAR(A4130),MONTH(A4130),1)</f>
        <v>41883.0</v>
      </c>
      <c r="G4130" t="str">
        <f>CHOOSE(WEEKDAY(A4130,2),"Mon","Tue","Wed","Thu","Fri","Sat","Sun")</f>
        <v>Sat</v>
      </c>
      <c r="H4130" t="str">
        <f>IF(WEEKDAY(A4130,2)&gt;5,"Weekend","Weekday")</f>
        <v>Weekend</v>
      </c>
      <c r="I4130" t="str">
        <f>_xlfn.IFS(B4130&lt;=5,"Night (0-5)",B4130&lt;=9,"Morning peak (6-9)",B4130&lt;=15,"Midday (10-15)",B4130&lt;=19,"Evening peak (16-19)",TRUE,"Late evening (20-23)")</f>
        <v>Night (0-5)</v>
      </c>
    </row>
    <row r="4131" spans="1:9">
      <c r="A4131" s="32">
        <v>41902</v>
      </c>
      <c r="B4131">
        <v>1</v>
      </c>
      <c r="C4131">
        <v>1164</v>
      </c>
      <c r="D4131" t="s">
        <v>303</v>
      </c>
      <c r="E4131">
        <f>YEAR(A4131)</f>
        <v>2014</v>
      </c>
      <c r="F4131" s="33">
        <f>DATE(YEAR(A4131),MONTH(A4131),1)</f>
        <v>41883.0</v>
      </c>
      <c r="G4131" t="str">
        <f>CHOOSE(WEEKDAY(A4131,2),"Mon","Tue","Wed","Thu","Fri","Sat","Sun")</f>
        <v>Sat</v>
      </c>
      <c r="H4131" t="str">
        <f>IF(WEEKDAY(A4131,2)&gt;5,"Weekend","Weekday")</f>
        <v>Weekend</v>
      </c>
      <c r="I4131" t="str">
        <f>_xlfn.IFS(B4131&lt;=5,"Night (0-5)",B4131&lt;=9,"Morning peak (6-9)",B4131&lt;=15,"Midday (10-15)",B4131&lt;=19,"Evening peak (16-19)",TRUE,"Late evening (20-23)")</f>
        <v>Night (0-5)</v>
      </c>
    </row>
    <row r="4132" spans="1:9">
      <c r="A4132" s="32">
        <v>41902</v>
      </c>
      <c r="B4132">
        <v>2</v>
      </c>
      <c r="C4132">
        <v>717</v>
      </c>
      <c r="D4132" t="s">
        <v>303</v>
      </c>
      <c r="E4132">
        <f>YEAR(A4132)</f>
        <v>2014</v>
      </c>
      <c r="F4132" s="33">
        <f>DATE(YEAR(A4132),MONTH(A4132),1)</f>
        <v>41883.0</v>
      </c>
      <c r="G4132" t="str">
        <f>CHOOSE(WEEKDAY(A4132,2),"Mon","Tue","Wed","Thu","Fri","Sat","Sun")</f>
        <v>Sat</v>
      </c>
      <c r="H4132" t="str">
        <f>IF(WEEKDAY(A4132,2)&gt;5,"Weekend","Weekday")</f>
        <v>Weekend</v>
      </c>
      <c r="I4132" t="str">
        <f>_xlfn.IFS(B4132&lt;=5,"Night (0-5)",B4132&lt;=9,"Morning peak (6-9)",B4132&lt;=15,"Midday (10-15)",B4132&lt;=19,"Evening peak (16-19)",TRUE,"Late evening (20-23)")</f>
        <v>Night (0-5)</v>
      </c>
    </row>
    <row r="4133" spans="1:9">
      <c r="A4133" s="32">
        <v>41902</v>
      </c>
      <c r="B4133">
        <v>3</v>
      </c>
      <c r="C4133">
        <v>499</v>
      </c>
      <c r="D4133" t="s">
        <v>303</v>
      </c>
      <c r="E4133">
        <f>YEAR(A4133)</f>
        <v>2014</v>
      </c>
      <c r="F4133" s="33">
        <f>DATE(YEAR(A4133),MONTH(A4133),1)</f>
        <v>41883.0</v>
      </c>
      <c r="G4133" t="str">
        <f>CHOOSE(WEEKDAY(A4133,2),"Mon","Tue","Wed","Thu","Fri","Sat","Sun")</f>
        <v>Sat</v>
      </c>
      <c r="H4133" t="str">
        <f>IF(WEEKDAY(A4133,2)&gt;5,"Weekend","Weekday")</f>
        <v>Weekend</v>
      </c>
      <c r="I4133" t="str">
        <f>_xlfn.IFS(B4133&lt;=5,"Night (0-5)",B4133&lt;=9,"Morning peak (6-9)",B4133&lt;=15,"Midday (10-15)",B4133&lt;=19,"Evening peak (16-19)",TRUE,"Late evening (20-23)")</f>
        <v>Night (0-5)</v>
      </c>
    </row>
    <row r="4134" spans="1:9">
      <c r="A4134" s="32">
        <v>41902</v>
      </c>
      <c r="B4134">
        <v>4</v>
      </c>
      <c r="C4134">
        <v>386</v>
      </c>
      <c r="D4134" t="s">
        <v>303</v>
      </c>
      <c r="E4134">
        <f>YEAR(A4134)</f>
        <v>2014</v>
      </c>
      <c r="F4134" s="33">
        <f>DATE(YEAR(A4134),MONTH(A4134),1)</f>
        <v>41883.0</v>
      </c>
      <c r="G4134" t="str">
        <f>CHOOSE(WEEKDAY(A4134,2),"Mon","Tue","Wed","Thu","Fri","Sat","Sun")</f>
        <v>Sat</v>
      </c>
      <c r="H4134" t="str">
        <f>IF(WEEKDAY(A4134,2)&gt;5,"Weekend","Weekday")</f>
        <v>Weekend</v>
      </c>
      <c r="I4134" t="str">
        <f>_xlfn.IFS(B4134&lt;=5,"Night (0-5)",B4134&lt;=9,"Morning peak (6-9)",B4134&lt;=15,"Midday (10-15)",B4134&lt;=19,"Evening peak (16-19)",TRUE,"Late evening (20-23)")</f>
        <v>Night (0-5)</v>
      </c>
    </row>
    <row r="4135" spans="1:9">
      <c r="A4135" s="32">
        <v>41902</v>
      </c>
      <c r="B4135">
        <v>5</v>
      </c>
      <c r="C4135">
        <v>373</v>
      </c>
      <c r="D4135" t="s">
        <v>303</v>
      </c>
      <c r="E4135">
        <f>YEAR(A4135)</f>
        <v>2014</v>
      </c>
      <c r="F4135" s="33">
        <f>DATE(YEAR(A4135),MONTH(A4135),1)</f>
        <v>41883.0</v>
      </c>
      <c r="G4135" t="str">
        <f>CHOOSE(WEEKDAY(A4135,2),"Mon","Tue","Wed","Thu","Fri","Sat","Sun")</f>
        <v>Sat</v>
      </c>
      <c r="H4135" t="str">
        <f>IF(WEEKDAY(A4135,2)&gt;5,"Weekend","Weekday")</f>
        <v>Weekend</v>
      </c>
      <c r="I4135" t="str">
        <f>_xlfn.IFS(B4135&lt;=5,"Night (0-5)",B4135&lt;=9,"Morning peak (6-9)",B4135&lt;=15,"Midday (10-15)",B4135&lt;=19,"Evening peak (16-19)",TRUE,"Late evening (20-23)")</f>
        <v>Night (0-5)</v>
      </c>
    </row>
    <row r="4136" spans="1:9">
      <c r="A4136" s="32">
        <v>41902</v>
      </c>
      <c r="B4136">
        <v>6</v>
      </c>
      <c r="C4136">
        <v>547</v>
      </c>
      <c r="D4136" t="s">
        <v>303</v>
      </c>
      <c r="E4136">
        <f>YEAR(A4136)</f>
        <v>2014</v>
      </c>
      <c r="F4136" s="33">
        <f>DATE(YEAR(A4136),MONTH(A4136),1)</f>
        <v>41883.0</v>
      </c>
      <c r="G4136" t="str">
        <f>CHOOSE(WEEKDAY(A4136,2),"Mon","Tue","Wed","Thu","Fri","Sat","Sun")</f>
        <v>Sat</v>
      </c>
      <c r="H4136" t="str">
        <f>IF(WEEKDAY(A4136,2)&gt;5,"Weekend","Weekday")</f>
        <v>Weekend</v>
      </c>
      <c r="I4136" t="str">
        <f>_xlfn.IFS(B4136&lt;=5,"Night (0-5)",B4136&lt;=9,"Morning peak (6-9)",B4136&lt;=15,"Midday (10-15)",B4136&lt;=19,"Evening peak (16-19)",TRUE,"Late evening (20-23)")</f>
        <v>Morning peak (6-9)</v>
      </c>
    </row>
    <row r="4137" spans="1:9">
      <c r="A4137" s="32">
        <v>41902</v>
      </c>
      <c r="B4137">
        <v>7</v>
      </c>
      <c r="C4137">
        <v>741</v>
      </c>
      <c r="D4137" t="s">
        <v>303</v>
      </c>
      <c r="E4137">
        <f>YEAR(A4137)</f>
        <v>2014</v>
      </c>
      <c r="F4137" s="33">
        <f>DATE(YEAR(A4137),MONTH(A4137),1)</f>
        <v>41883.0</v>
      </c>
      <c r="G4137" t="str">
        <f>CHOOSE(WEEKDAY(A4137,2),"Mon","Tue","Wed","Thu","Fri","Sat","Sun")</f>
        <v>Sat</v>
      </c>
      <c r="H4137" t="str">
        <f>IF(WEEKDAY(A4137,2)&gt;5,"Weekend","Weekday")</f>
        <v>Weekend</v>
      </c>
      <c r="I4137" t="str">
        <f>_xlfn.IFS(B4137&lt;=5,"Night (0-5)",B4137&lt;=9,"Morning peak (6-9)",B4137&lt;=15,"Midday (10-15)",B4137&lt;=19,"Evening peak (16-19)",TRUE,"Late evening (20-23)")</f>
        <v>Morning peak (6-9)</v>
      </c>
    </row>
    <row r="4138" spans="1:9">
      <c r="A4138" s="32">
        <v>41902</v>
      </c>
      <c r="B4138">
        <v>8</v>
      </c>
      <c r="C4138">
        <v>906</v>
      </c>
      <c r="D4138" t="s">
        <v>303</v>
      </c>
      <c r="E4138">
        <f>YEAR(A4138)</f>
        <v>2014</v>
      </c>
      <c r="F4138" s="33">
        <f>DATE(YEAR(A4138),MONTH(A4138),1)</f>
        <v>41883.0</v>
      </c>
      <c r="G4138" t="str">
        <f>CHOOSE(WEEKDAY(A4138,2),"Mon","Tue","Wed","Thu","Fri","Sat","Sun")</f>
        <v>Sat</v>
      </c>
      <c r="H4138" t="str">
        <f>IF(WEEKDAY(A4138,2)&gt;5,"Weekend","Weekday")</f>
        <v>Weekend</v>
      </c>
      <c r="I4138" t="str">
        <f>_xlfn.IFS(B4138&lt;=5,"Night (0-5)",B4138&lt;=9,"Morning peak (6-9)",B4138&lt;=15,"Midday (10-15)",B4138&lt;=19,"Evening peak (16-19)",TRUE,"Late evening (20-23)")</f>
        <v>Morning peak (6-9)</v>
      </c>
    </row>
    <row r="4139" spans="1:9">
      <c r="A4139" s="32">
        <v>41902</v>
      </c>
      <c r="B4139">
        <v>9</v>
      </c>
      <c r="C4139">
        <v>1114</v>
      </c>
      <c r="D4139" t="s">
        <v>303</v>
      </c>
      <c r="E4139">
        <f>YEAR(A4139)</f>
        <v>2014</v>
      </c>
      <c r="F4139" s="33">
        <f>DATE(YEAR(A4139),MONTH(A4139),1)</f>
        <v>41883.0</v>
      </c>
      <c r="G4139" t="str">
        <f>CHOOSE(WEEKDAY(A4139,2),"Mon","Tue","Wed","Thu","Fri","Sat","Sun")</f>
        <v>Sat</v>
      </c>
      <c r="H4139" t="str">
        <f>IF(WEEKDAY(A4139,2)&gt;5,"Weekend","Weekday")</f>
        <v>Weekend</v>
      </c>
      <c r="I4139" t="str">
        <f>_xlfn.IFS(B4139&lt;=5,"Night (0-5)",B4139&lt;=9,"Morning peak (6-9)",B4139&lt;=15,"Midday (10-15)",B4139&lt;=19,"Evening peak (16-19)",TRUE,"Late evening (20-23)")</f>
        <v>Morning peak (6-9)</v>
      </c>
    </row>
    <row r="4140" spans="1:9">
      <c r="A4140" s="32">
        <v>41902</v>
      </c>
      <c r="B4140">
        <v>10</v>
      </c>
      <c r="C4140">
        <v>1269</v>
      </c>
      <c r="D4140" t="s">
        <v>303</v>
      </c>
      <c r="E4140">
        <f>YEAR(A4140)</f>
        <v>2014</v>
      </c>
      <c r="F4140" s="33">
        <f>DATE(YEAR(A4140),MONTH(A4140),1)</f>
        <v>41883.0</v>
      </c>
      <c r="G4140" t="str">
        <f>CHOOSE(WEEKDAY(A4140,2),"Mon","Tue","Wed","Thu","Fri","Sat","Sun")</f>
        <v>Sat</v>
      </c>
      <c r="H4140" t="str">
        <f>IF(WEEKDAY(A4140,2)&gt;5,"Weekend","Weekday")</f>
        <v>Weekend</v>
      </c>
      <c r="I4140" t="str">
        <f>_xlfn.IFS(B4140&lt;=5,"Night (0-5)",B4140&lt;=9,"Morning peak (6-9)",B4140&lt;=15,"Midday (10-15)",B4140&lt;=19,"Evening peak (16-19)",TRUE,"Late evening (20-23)")</f>
        <v>Midday (10-15)</v>
      </c>
    </row>
    <row r="4141" spans="1:9">
      <c r="A4141" s="32">
        <v>41902</v>
      </c>
      <c r="B4141">
        <v>11</v>
      </c>
      <c r="C4141">
        <v>1434</v>
      </c>
      <c r="D4141" t="s">
        <v>303</v>
      </c>
      <c r="E4141">
        <f>YEAR(A4141)</f>
        <v>2014</v>
      </c>
      <c r="F4141" s="33">
        <f>DATE(YEAR(A4141),MONTH(A4141),1)</f>
        <v>41883.0</v>
      </c>
      <c r="G4141" t="str">
        <f>CHOOSE(WEEKDAY(A4141,2),"Mon","Tue","Wed","Thu","Fri","Sat","Sun")</f>
        <v>Sat</v>
      </c>
      <c r="H4141" t="str">
        <f>IF(WEEKDAY(A4141,2)&gt;5,"Weekend","Weekday")</f>
        <v>Weekend</v>
      </c>
      <c r="I4141" t="str">
        <f>_xlfn.IFS(B4141&lt;=5,"Night (0-5)",B4141&lt;=9,"Morning peak (6-9)",B4141&lt;=15,"Midday (10-15)",B4141&lt;=19,"Evening peak (16-19)",TRUE,"Late evening (20-23)")</f>
        <v>Midday (10-15)</v>
      </c>
    </row>
    <row r="4142" spans="1:9">
      <c r="A4142" s="32">
        <v>41902</v>
      </c>
      <c r="B4142">
        <v>12</v>
      </c>
      <c r="C4142">
        <v>1532</v>
      </c>
      <c r="D4142" t="s">
        <v>303</v>
      </c>
      <c r="E4142">
        <f>YEAR(A4142)</f>
        <v>2014</v>
      </c>
      <c r="F4142" s="33">
        <f>DATE(YEAR(A4142),MONTH(A4142),1)</f>
        <v>41883.0</v>
      </c>
      <c r="G4142" t="str">
        <f>CHOOSE(WEEKDAY(A4142,2),"Mon","Tue","Wed","Thu","Fri","Sat","Sun")</f>
        <v>Sat</v>
      </c>
      <c r="H4142" t="str">
        <f>IF(WEEKDAY(A4142,2)&gt;5,"Weekend","Weekday")</f>
        <v>Weekend</v>
      </c>
      <c r="I4142" t="str">
        <f>_xlfn.IFS(B4142&lt;=5,"Night (0-5)",B4142&lt;=9,"Morning peak (6-9)",B4142&lt;=15,"Midday (10-15)",B4142&lt;=19,"Evening peak (16-19)",TRUE,"Late evening (20-23)")</f>
        <v>Midday (10-15)</v>
      </c>
    </row>
    <row r="4143" spans="1:9">
      <c r="A4143" s="32">
        <v>41902</v>
      </c>
      <c r="B4143">
        <v>13</v>
      </c>
      <c r="C4143">
        <v>1672</v>
      </c>
      <c r="D4143" t="s">
        <v>303</v>
      </c>
      <c r="E4143">
        <f>YEAR(A4143)</f>
        <v>2014</v>
      </c>
      <c r="F4143" s="33">
        <f>DATE(YEAR(A4143),MONTH(A4143),1)</f>
        <v>41883.0</v>
      </c>
      <c r="G4143" t="str">
        <f>CHOOSE(WEEKDAY(A4143,2),"Mon","Tue","Wed","Thu","Fri","Sat","Sun")</f>
        <v>Sat</v>
      </c>
      <c r="H4143" t="str">
        <f>IF(WEEKDAY(A4143,2)&gt;5,"Weekend","Weekday")</f>
        <v>Weekend</v>
      </c>
      <c r="I4143" t="str">
        <f>_xlfn.IFS(B4143&lt;=5,"Night (0-5)",B4143&lt;=9,"Morning peak (6-9)",B4143&lt;=15,"Midday (10-15)",B4143&lt;=19,"Evening peak (16-19)",TRUE,"Late evening (20-23)")</f>
        <v>Midday (10-15)</v>
      </c>
    </row>
    <row r="4144" spans="1:9">
      <c r="A4144" s="32">
        <v>41902</v>
      </c>
      <c r="B4144">
        <v>14</v>
      </c>
      <c r="C4144">
        <v>1977</v>
      </c>
      <c r="D4144" t="s">
        <v>303</v>
      </c>
      <c r="E4144">
        <f>YEAR(A4144)</f>
        <v>2014</v>
      </c>
      <c r="F4144" s="33">
        <f>DATE(YEAR(A4144),MONTH(A4144),1)</f>
        <v>41883.0</v>
      </c>
      <c r="G4144" t="str">
        <f>CHOOSE(WEEKDAY(A4144,2),"Mon","Tue","Wed","Thu","Fri","Sat","Sun")</f>
        <v>Sat</v>
      </c>
      <c r="H4144" t="str">
        <f>IF(WEEKDAY(A4144,2)&gt;5,"Weekend","Weekday")</f>
        <v>Weekend</v>
      </c>
      <c r="I4144" t="str">
        <f>_xlfn.IFS(B4144&lt;=5,"Night (0-5)",B4144&lt;=9,"Morning peak (6-9)",B4144&lt;=15,"Midday (10-15)",B4144&lt;=19,"Evening peak (16-19)",TRUE,"Late evening (20-23)")</f>
        <v>Midday (10-15)</v>
      </c>
    </row>
    <row r="4145" spans="1:9">
      <c r="A4145" s="32">
        <v>41902</v>
      </c>
      <c r="B4145">
        <v>15</v>
      </c>
      <c r="C4145">
        <v>2157</v>
      </c>
      <c r="D4145" t="s">
        <v>303</v>
      </c>
      <c r="E4145">
        <f>YEAR(A4145)</f>
        <v>2014</v>
      </c>
      <c r="F4145" s="33">
        <f>DATE(YEAR(A4145),MONTH(A4145),1)</f>
        <v>41883.0</v>
      </c>
      <c r="G4145" t="str">
        <f>CHOOSE(WEEKDAY(A4145,2),"Mon","Tue","Wed","Thu","Fri","Sat","Sun")</f>
        <v>Sat</v>
      </c>
      <c r="H4145" t="str">
        <f>IF(WEEKDAY(A4145,2)&gt;5,"Weekend","Weekday")</f>
        <v>Weekend</v>
      </c>
      <c r="I4145" t="str">
        <f>_xlfn.IFS(B4145&lt;=5,"Night (0-5)",B4145&lt;=9,"Morning peak (6-9)",B4145&lt;=15,"Midday (10-15)",B4145&lt;=19,"Evening peak (16-19)",TRUE,"Late evening (20-23)")</f>
        <v>Midday (10-15)</v>
      </c>
    </row>
    <row r="4146" spans="1:9">
      <c r="A4146" s="32">
        <v>41902</v>
      </c>
      <c r="B4146">
        <v>16</v>
      </c>
      <c r="C4146">
        <v>2453</v>
      </c>
      <c r="D4146" t="s">
        <v>303</v>
      </c>
      <c r="E4146">
        <f>YEAR(A4146)</f>
        <v>2014</v>
      </c>
      <c r="F4146" s="33">
        <f>DATE(YEAR(A4146),MONTH(A4146),1)</f>
        <v>41883.0</v>
      </c>
      <c r="G4146" t="str">
        <f>CHOOSE(WEEKDAY(A4146,2),"Mon","Tue","Wed","Thu","Fri","Sat","Sun")</f>
        <v>Sat</v>
      </c>
      <c r="H4146" t="str">
        <f>IF(WEEKDAY(A4146,2)&gt;5,"Weekend","Weekday")</f>
        <v>Weekend</v>
      </c>
      <c r="I4146" t="str">
        <f>_xlfn.IFS(B4146&lt;=5,"Night (0-5)",B4146&lt;=9,"Morning peak (6-9)",B4146&lt;=15,"Midday (10-15)",B4146&lt;=19,"Evening peak (16-19)",TRUE,"Late evening (20-23)")</f>
        <v>Evening peak (16-19)</v>
      </c>
    </row>
    <row r="4147" spans="1:9">
      <c r="A4147" s="32">
        <v>41902</v>
      </c>
      <c r="B4147">
        <v>17</v>
      </c>
      <c r="C4147">
        <v>2660</v>
      </c>
      <c r="D4147" t="s">
        <v>303</v>
      </c>
      <c r="E4147">
        <f>YEAR(A4147)</f>
        <v>2014</v>
      </c>
      <c r="F4147" s="33">
        <f>DATE(YEAR(A4147),MONTH(A4147),1)</f>
        <v>41883.0</v>
      </c>
      <c r="G4147" t="str">
        <f>CHOOSE(WEEKDAY(A4147,2),"Mon","Tue","Wed","Thu","Fri","Sat","Sun")</f>
        <v>Sat</v>
      </c>
      <c r="H4147" t="str">
        <f>IF(WEEKDAY(A4147,2)&gt;5,"Weekend","Weekday")</f>
        <v>Weekend</v>
      </c>
      <c r="I4147" t="str">
        <f>_xlfn.IFS(B4147&lt;=5,"Night (0-5)",B4147&lt;=9,"Morning peak (6-9)",B4147&lt;=15,"Midday (10-15)",B4147&lt;=19,"Evening peak (16-19)",TRUE,"Late evening (20-23)")</f>
        <v>Evening peak (16-19)</v>
      </c>
    </row>
    <row r="4148" spans="1:9">
      <c r="A4148" s="32">
        <v>41902</v>
      </c>
      <c r="B4148">
        <v>18</v>
      </c>
      <c r="C4148">
        <v>2675</v>
      </c>
      <c r="D4148" t="s">
        <v>303</v>
      </c>
      <c r="E4148">
        <f>YEAR(A4148)</f>
        <v>2014</v>
      </c>
      <c r="F4148" s="33">
        <f>DATE(YEAR(A4148),MONTH(A4148),1)</f>
        <v>41883.0</v>
      </c>
      <c r="G4148" t="str">
        <f>CHOOSE(WEEKDAY(A4148,2),"Mon","Tue","Wed","Thu","Fri","Sat","Sun")</f>
        <v>Sat</v>
      </c>
      <c r="H4148" t="str">
        <f>IF(WEEKDAY(A4148,2)&gt;5,"Weekend","Weekday")</f>
        <v>Weekend</v>
      </c>
      <c r="I4148" t="str">
        <f>_xlfn.IFS(B4148&lt;=5,"Night (0-5)",B4148&lt;=9,"Morning peak (6-9)",B4148&lt;=15,"Midday (10-15)",B4148&lt;=19,"Evening peak (16-19)",TRUE,"Late evening (20-23)")</f>
        <v>Evening peak (16-19)</v>
      </c>
    </row>
    <row r="4149" spans="1:9">
      <c r="A4149" s="32">
        <v>41902</v>
      </c>
      <c r="B4149">
        <v>19</v>
      </c>
      <c r="C4149">
        <v>2666</v>
      </c>
      <c r="D4149" t="s">
        <v>303</v>
      </c>
      <c r="E4149">
        <f>YEAR(A4149)</f>
        <v>2014</v>
      </c>
      <c r="F4149" s="33">
        <f>DATE(YEAR(A4149),MONTH(A4149),1)</f>
        <v>41883.0</v>
      </c>
      <c r="G4149" t="str">
        <f>CHOOSE(WEEKDAY(A4149,2),"Mon","Tue","Wed","Thu","Fri","Sat","Sun")</f>
        <v>Sat</v>
      </c>
      <c r="H4149" t="str">
        <f>IF(WEEKDAY(A4149,2)&gt;5,"Weekend","Weekday")</f>
        <v>Weekend</v>
      </c>
      <c r="I4149" t="str">
        <f>_xlfn.IFS(B4149&lt;=5,"Night (0-5)",B4149&lt;=9,"Morning peak (6-9)",B4149&lt;=15,"Midday (10-15)",B4149&lt;=19,"Evening peak (16-19)",TRUE,"Late evening (20-23)")</f>
        <v>Evening peak (16-19)</v>
      </c>
    </row>
    <row r="4150" spans="1:9">
      <c r="A4150" s="32">
        <v>41902</v>
      </c>
      <c r="B4150">
        <v>20</v>
      </c>
      <c r="C4150">
        <v>2452</v>
      </c>
      <c r="D4150" t="s">
        <v>303</v>
      </c>
      <c r="E4150">
        <f>YEAR(A4150)</f>
        <v>2014</v>
      </c>
      <c r="F4150" s="33">
        <f>DATE(YEAR(A4150),MONTH(A4150),1)</f>
        <v>41883.0</v>
      </c>
      <c r="G4150" t="str">
        <f>CHOOSE(WEEKDAY(A4150,2),"Mon","Tue","Wed","Thu","Fri","Sat","Sun")</f>
        <v>Sat</v>
      </c>
      <c r="H4150" t="str">
        <f>IF(WEEKDAY(A4150,2)&gt;5,"Weekend","Weekday")</f>
        <v>Weekend</v>
      </c>
      <c r="I4150" t="str">
        <f>_xlfn.IFS(B4150&lt;=5,"Night (0-5)",B4150&lt;=9,"Morning peak (6-9)",B4150&lt;=15,"Midday (10-15)",B4150&lt;=19,"Evening peak (16-19)",TRUE,"Late evening (20-23)")</f>
        <v>Late evening (20-23)</v>
      </c>
    </row>
    <row r="4151" spans="1:9">
      <c r="A4151" s="32">
        <v>41902</v>
      </c>
      <c r="B4151">
        <v>21</v>
      </c>
      <c r="C4151">
        <v>2522</v>
      </c>
      <c r="D4151" t="s">
        <v>303</v>
      </c>
      <c r="E4151">
        <f>YEAR(A4151)</f>
        <v>2014</v>
      </c>
      <c r="F4151" s="33">
        <f>DATE(YEAR(A4151),MONTH(A4151),1)</f>
        <v>41883.0</v>
      </c>
      <c r="G4151" t="str">
        <f>CHOOSE(WEEKDAY(A4151,2),"Mon","Tue","Wed","Thu","Fri","Sat","Sun")</f>
        <v>Sat</v>
      </c>
      <c r="H4151" t="str">
        <f>IF(WEEKDAY(A4151,2)&gt;5,"Weekend","Weekday")</f>
        <v>Weekend</v>
      </c>
      <c r="I4151" t="str">
        <f>_xlfn.IFS(B4151&lt;=5,"Night (0-5)",B4151&lt;=9,"Morning peak (6-9)",B4151&lt;=15,"Midday (10-15)",B4151&lt;=19,"Evening peak (16-19)",TRUE,"Late evening (20-23)")</f>
        <v>Late evening (20-23)</v>
      </c>
    </row>
    <row r="4152" spans="1:9">
      <c r="A4152" s="32">
        <v>41902</v>
      </c>
      <c r="B4152">
        <v>22</v>
      </c>
      <c r="C4152">
        <v>2653</v>
      </c>
      <c r="D4152" t="s">
        <v>303</v>
      </c>
      <c r="E4152">
        <f>YEAR(A4152)</f>
        <v>2014</v>
      </c>
      <c r="F4152" s="33">
        <f>DATE(YEAR(A4152),MONTH(A4152),1)</f>
        <v>41883.0</v>
      </c>
      <c r="G4152" t="str">
        <f>CHOOSE(WEEKDAY(A4152,2),"Mon","Tue","Wed","Thu","Fri","Sat","Sun")</f>
        <v>Sat</v>
      </c>
      <c r="H4152" t="str">
        <f>IF(WEEKDAY(A4152,2)&gt;5,"Weekend","Weekday")</f>
        <v>Weekend</v>
      </c>
      <c r="I4152" t="str">
        <f>_xlfn.IFS(B4152&lt;=5,"Night (0-5)",B4152&lt;=9,"Morning peak (6-9)",B4152&lt;=15,"Midday (10-15)",B4152&lt;=19,"Evening peak (16-19)",TRUE,"Late evening (20-23)")</f>
        <v>Late evening (20-23)</v>
      </c>
    </row>
    <row r="4153" spans="1:9">
      <c r="A4153" s="32">
        <v>41902</v>
      </c>
      <c r="B4153">
        <v>23</v>
      </c>
      <c r="C4153">
        <v>2594</v>
      </c>
      <c r="D4153" t="s">
        <v>303</v>
      </c>
      <c r="E4153">
        <f>YEAR(A4153)</f>
        <v>2014</v>
      </c>
      <c r="F4153" s="33">
        <f>DATE(YEAR(A4153),MONTH(A4153),1)</f>
        <v>41883.0</v>
      </c>
      <c r="G4153" t="str">
        <f>CHOOSE(WEEKDAY(A4153,2),"Mon","Tue","Wed","Thu","Fri","Sat","Sun")</f>
        <v>Sat</v>
      </c>
      <c r="H4153" t="str">
        <f>IF(WEEKDAY(A4153,2)&gt;5,"Weekend","Weekday")</f>
        <v>Weekend</v>
      </c>
      <c r="I4153" t="str">
        <f>_xlfn.IFS(B4153&lt;=5,"Night (0-5)",B4153&lt;=9,"Morning peak (6-9)",B4153&lt;=15,"Midday (10-15)",B4153&lt;=19,"Evening peak (16-19)",TRUE,"Late evening (20-23)")</f>
        <v>Late evening (20-23)</v>
      </c>
    </row>
    <row r="4154" spans="1:9">
      <c r="A4154" s="32">
        <v>41903</v>
      </c>
      <c r="B4154">
        <v>0</v>
      </c>
      <c r="C4154">
        <v>2443</v>
      </c>
      <c r="D4154" t="s">
        <v>303</v>
      </c>
      <c r="E4154">
        <f>YEAR(A4154)</f>
        <v>2014</v>
      </c>
      <c r="F4154" s="33">
        <f>DATE(YEAR(A4154),MONTH(A4154),1)</f>
        <v>41883.0</v>
      </c>
      <c r="G4154" t="str">
        <f>CHOOSE(WEEKDAY(A4154,2),"Mon","Tue","Wed","Thu","Fri","Sat","Sun")</f>
        <v>Sun</v>
      </c>
      <c r="H4154" t="str">
        <f>IF(WEEKDAY(A4154,2)&gt;5,"Weekend","Weekday")</f>
        <v>Weekend</v>
      </c>
      <c r="I4154" t="str">
        <f>_xlfn.IFS(B4154&lt;=5,"Night (0-5)",B4154&lt;=9,"Morning peak (6-9)",B4154&lt;=15,"Midday (10-15)",B4154&lt;=19,"Evening peak (16-19)",TRUE,"Late evening (20-23)")</f>
        <v>Night (0-5)</v>
      </c>
    </row>
    <row r="4155" spans="1:9">
      <c r="A4155" s="32">
        <v>41903</v>
      </c>
      <c r="B4155">
        <v>1</v>
      </c>
      <c r="C4155">
        <v>2025</v>
      </c>
      <c r="D4155" t="s">
        <v>303</v>
      </c>
      <c r="E4155">
        <f>YEAR(A4155)</f>
        <v>2014</v>
      </c>
      <c r="F4155" s="33">
        <f>DATE(YEAR(A4155),MONTH(A4155),1)</f>
        <v>41883.0</v>
      </c>
      <c r="G4155" t="str">
        <f>CHOOSE(WEEKDAY(A4155,2),"Mon","Tue","Wed","Thu","Fri","Sat","Sun")</f>
        <v>Sun</v>
      </c>
      <c r="H4155" t="str">
        <f>IF(WEEKDAY(A4155,2)&gt;5,"Weekend","Weekday")</f>
        <v>Weekend</v>
      </c>
      <c r="I4155" t="str">
        <f>_xlfn.IFS(B4155&lt;=5,"Night (0-5)",B4155&lt;=9,"Morning peak (6-9)",B4155&lt;=15,"Midday (10-15)",B4155&lt;=19,"Evening peak (16-19)",TRUE,"Late evening (20-23)")</f>
        <v>Night (0-5)</v>
      </c>
    </row>
    <row r="4156" spans="1:9">
      <c r="A4156" s="32">
        <v>41903</v>
      </c>
      <c r="B4156">
        <v>2</v>
      </c>
      <c r="C4156">
        <v>1164</v>
      </c>
      <c r="D4156" t="s">
        <v>303</v>
      </c>
      <c r="E4156">
        <f>YEAR(A4156)</f>
        <v>2014</v>
      </c>
      <c r="F4156" s="33">
        <f>DATE(YEAR(A4156),MONTH(A4156),1)</f>
        <v>41883.0</v>
      </c>
      <c r="G4156" t="str">
        <f>CHOOSE(WEEKDAY(A4156,2),"Mon","Tue","Wed","Thu","Fri","Sat","Sun")</f>
        <v>Sun</v>
      </c>
      <c r="H4156" t="str">
        <f>IF(WEEKDAY(A4156,2)&gt;5,"Weekend","Weekday")</f>
        <v>Weekend</v>
      </c>
      <c r="I4156" t="str">
        <f>_xlfn.IFS(B4156&lt;=5,"Night (0-5)",B4156&lt;=9,"Morning peak (6-9)",B4156&lt;=15,"Midday (10-15)",B4156&lt;=19,"Evening peak (16-19)",TRUE,"Late evening (20-23)")</f>
        <v>Night (0-5)</v>
      </c>
    </row>
    <row r="4157" spans="1:9">
      <c r="A4157" s="32">
        <v>41903</v>
      </c>
      <c r="B4157">
        <v>3</v>
      </c>
      <c r="C4157">
        <v>583</v>
      </c>
      <c r="D4157" t="s">
        <v>303</v>
      </c>
      <c r="E4157">
        <f>YEAR(A4157)</f>
        <v>2014</v>
      </c>
      <c r="F4157" s="33">
        <f>DATE(YEAR(A4157),MONTH(A4157),1)</f>
        <v>41883.0</v>
      </c>
      <c r="G4157" t="str">
        <f>CHOOSE(WEEKDAY(A4157,2),"Mon","Tue","Wed","Thu","Fri","Sat","Sun")</f>
        <v>Sun</v>
      </c>
      <c r="H4157" t="str">
        <f>IF(WEEKDAY(A4157,2)&gt;5,"Weekend","Weekday")</f>
        <v>Weekend</v>
      </c>
      <c r="I4157" t="str">
        <f>_xlfn.IFS(B4157&lt;=5,"Night (0-5)",B4157&lt;=9,"Morning peak (6-9)",B4157&lt;=15,"Midday (10-15)",B4157&lt;=19,"Evening peak (16-19)",TRUE,"Late evening (20-23)")</f>
        <v>Night (0-5)</v>
      </c>
    </row>
    <row r="4158" spans="1:9">
      <c r="A4158" s="32">
        <v>41903</v>
      </c>
      <c r="B4158">
        <v>4</v>
      </c>
      <c r="C4158">
        <v>379</v>
      </c>
      <c r="D4158" t="s">
        <v>303</v>
      </c>
      <c r="E4158">
        <f>YEAR(A4158)</f>
        <v>2014</v>
      </c>
      <c r="F4158" s="33">
        <f>DATE(YEAR(A4158),MONTH(A4158),1)</f>
        <v>41883.0</v>
      </c>
      <c r="G4158" t="str">
        <f>CHOOSE(WEEKDAY(A4158,2),"Mon","Tue","Wed","Thu","Fri","Sat","Sun")</f>
        <v>Sun</v>
      </c>
      <c r="H4158" t="str">
        <f>IF(WEEKDAY(A4158,2)&gt;5,"Weekend","Weekday")</f>
        <v>Weekend</v>
      </c>
      <c r="I4158" t="str">
        <f>_xlfn.IFS(B4158&lt;=5,"Night (0-5)",B4158&lt;=9,"Morning peak (6-9)",B4158&lt;=15,"Midday (10-15)",B4158&lt;=19,"Evening peak (16-19)",TRUE,"Late evening (20-23)")</f>
        <v>Night (0-5)</v>
      </c>
    </row>
    <row r="4159" spans="1:9">
      <c r="A4159" s="32">
        <v>41903</v>
      </c>
      <c r="B4159">
        <v>5</v>
      </c>
      <c r="C4159">
        <v>400</v>
      </c>
      <c r="D4159" t="s">
        <v>303</v>
      </c>
      <c r="E4159">
        <f>YEAR(A4159)</f>
        <v>2014</v>
      </c>
      <c r="F4159" s="33">
        <f>DATE(YEAR(A4159),MONTH(A4159),1)</f>
        <v>41883.0</v>
      </c>
      <c r="G4159" t="str">
        <f>CHOOSE(WEEKDAY(A4159,2),"Mon","Tue","Wed","Thu","Fri","Sat","Sun")</f>
        <v>Sun</v>
      </c>
      <c r="H4159" t="str">
        <f>IF(WEEKDAY(A4159,2)&gt;5,"Weekend","Weekday")</f>
        <v>Weekend</v>
      </c>
      <c r="I4159" t="str">
        <f>_xlfn.IFS(B4159&lt;=5,"Night (0-5)",B4159&lt;=9,"Morning peak (6-9)",B4159&lt;=15,"Midday (10-15)",B4159&lt;=19,"Evening peak (16-19)",TRUE,"Late evening (20-23)")</f>
        <v>Night (0-5)</v>
      </c>
    </row>
    <row r="4160" spans="1:9">
      <c r="A4160" s="32">
        <v>41903</v>
      </c>
      <c r="B4160">
        <v>6</v>
      </c>
      <c r="C4160">
        <v>432</v>
      </c>
      <c r="D4160" t="s">
        <v>303</v>
      </c>
      <c r="E4160">
        <f>YEAR(A4160)</f>
        <v>2014</v>
      </c>
      <c r="F4160" s="33">
        <f>DATE(YEAR(A4160),MONTH(A4160),1)</f>
        <v>41883.0</v>
      </c>
      <c r="G4160" t="str">
        <f>CHOOSE(WEEKDAY(A4160,2),"Mon","Tue","Wed","Thu","Fri","Sat","Sun")</f>
        <v>Sun</v>
      </c>
      <c r="H4160" t="str">
        <f>IF(WEEKDAY(A4160,2)&gt;5,"Weekend","Weekday")</f>
        <v>Weekend</v>
      </c>
      <c r="I4160" t="str">
        <f>_xlfn.IFS(B4160&lt;=5,"Night (0-5)",B4160&lt;=9,"Morning peak (6-9)",B4160&lt;=15,"Midday (10-15)",B4160&lt;=19,"Evening peak (16-19)",TRUE,"Late evening (20-23)")</f>
        <v>Morning peak (6-9)</v>
      </c>
    </row>
    <row r="4161" spans="1:9">
      <c r="A4161" s="32">
        <v>41903</v>
      </c>
      <c r="B4161">
        <v>7</v>
      </c>
      <c r="C4161">
        <v>561</v>
      </c>
      <c r="D4161" t="s">
        <v>303</v>
      </c>
      <c r="E4161">
        <f>YEAR(A4161)</f>
        <v>2014</v>
      </c>
      <c r="F4161" s="33">
        <f>DATE(YEAR(A4161),MONTH(A4161),1)</f>
        <v>41883.0</v>
      </c>
      <c r="G4161" t="str">
        <f>CHOOSE(WEEKDAY(A4161,2),"Mon","Tue","Wed","Thu","Fri","Sat","Sun")</f>
        <v>Sun</v>
      </c>
      <c r="H4161" t="str">
        <f>IF(WEEKDAY(A4161,2)&gt;5,"Weekend","Weekday")</f>
        <v>Weekend</v>
      </c>
      <c r="I4161" t="str">
        <f>_xlfn.IFS(B4161&lt;=5,"Night (0-5)",B4161&lt;=9,"Morning peak (6-9)",B4161&lt;=15,"Midday (10-15)",B4161&lt;=19,"Evening peak (16-19)",TRUE,"Late evening (20-23)")</f>
        <v>Morning peak (6-9)</v>
      </c>
    </row>
    <row r="4162" spans="1:9">
      <c r="A4162" s="32">
        <v>41903</v>
      </c>
      <c r="B4162">
        <v>8</v>
      </c>
      <c r="C4162">
        <v>723</v>
      </c>
      <c r="D4162" t="s">
        <v>303</v>
      </c>
      <c r="E4162">
        <f>YEAR(A4162)</f>
        <v>2014</v>
      </c>
      <c r="F4162" s="33">
        <f>DATE(YEAR(A4162),MONTH(A4162),1)</f>
        <v>41883.0</v>
      </c>
      <c r="G4162" t="str">
        <f>CHOOSE(WEEKDAY(A4162,2),"Mon","Tue","Wed","Thu","Fri","Sat","Sun")</f>
        <v>Sun</v>
      </c>
      <c r="H4162" t="str">
        <f>IF(WEEKDAY(A4162,2)&gt;5,"Weekend","Weekday")</f>
        <v>Weekend</v>
      </c>
      <c r="I4162" t="str">
        <f>_xlfn.IFS(B4162&lt;=5,"Night (0-5)",B4162&lt;=9,"Morning peak (6-9)",B4162&lt;=15,"Midday (10-15)",B4162&lt;=19,"Evening peak (16-19)",TRUE,"Late evening (20-23)")</f>
        <v>Morning peak (6-9)</v>
      </c>
    </row>
    <row r="4163" spans="1:9">
      <c r="A4163" s="32">
        <v>41903</v>
      </c>
      <c r="B4163">
        <v>9</v>
      </c>
      <c r="C4163">
        <v>932</v>
      </c>
      <c r="D4163" t="s">
        <v>303</v>
      </c>
      <c r="E4163">
        <f>YEAR(A4163)</f>
        <v>2014</v>
      </c>
      <c r="F4163" s="33">
        <f>DATE(YEAR(A4163),MONTH(A4163),1)</f>
        <v>41883.0</v>
      </c>
      <c r="G4163" t="str">
        <f>CHOOSE(WEEKDAY(A4163,2),"Mon","Tue","Wed","Thu","Fri","Sat","Sun")</f>
        <v>Sun</v>
      </c>
      <c r="H4163" t="str">
        <f>IF(WEEKDAY(A4163,2)&gt;5,"Weekend","Weekday")</f>
        <v>Weekend</v>
      </c>
      <c r="I4163" t="str">
        <f>_xlfn.IFS(B4163&lt;=5,"Night (0-5)",B4163&lt;=9,"Morning peak (6-9)",B4163&lt;=15,"Midday (10-15)",B4163&lt;=19,"Evening peak (16-19)",TRUE,"Late evening (20-23)")</f>
        <v>Morning peak (6-9)</v>
      </c>
    </row>
    <row r="4164" spans="1:9">
      <c r="A4164" s="32">
        <v>41903</v>
      </c>
      <c r="B4164">
        <v>10</v>
      </c>
      <c r="C4164">
        <v>1122</v>
      </c>
      <c r="D4164" t="s">
        <v>303</v>
      </c>
      <c r="E4164">
        <f>YEAR(A4164)</f>
        <v>2014</v>
      </c>
      <c r="F4164" s="33">
        <f>DATE(YEAR(A4164),MONTH(A4164),1)</f>
        <v>41883.0</v>
      </c>
      <c r="G4164" t="str">
        <f>CHOOSE(WEEKDAY(A4164,2),"Mon","Tue","Wed","Thu","Fri","Sat","Sun")</f>
        <v>Sun</v>
      </c>
      <c r="H4164" t="str">
        <f>IF(WEEKDAY(A4164,2)&gt;5,"Weekend","Weekday")</f>
        <v>Weekend</v>
      </c>
      <c r="I4164" t="str">
        <f>_xlfn.IFS(B4164&lt;=5,"Night (0-5)",B4164&lt;=9,"Morning peak (6-9)",B4164&lt;=15,"Midday (10-15)",B4164&lt;=19,"Evening peak (16-19)",TRUE,"Late evening (20-23)")</f>
        <v>Midday (10-15)</v>
      </c>
    </row>
    <row r="4165" spans="1:9">
      <c r="A4165" s="32">
        <v>41903</v>
      </c>
      <c r="B4165">
        <v>11</v>
      </c>
      <c r="C4165">
        <v>1258</v>
      </c>
      <c r="D4165" t="s">
        <v>303</v>
      </c>
      <c r="E4165">
        <f>YEAR(A4165)</f>
        <v>2014</v>
      </c>
      <c r="F4165" s="33">
        <f>DATE(YEAR(A4165),MONTH(A4165),1)</f>
        <v>41883.0</v>
      </c>
      <c r="G4165" t="str">
        <f>CHOOSE(WEEKDAY(A4165,2),"Mon","Tue","Wed","Thu","Fri","Sat","Sun")</f>
        <v>Sun</v>
      </c>
      <c r="H4165" t="str">
        <f>IF(WEEKDAY(A4165,2)&gt;5,"Weekend","Weekday")</f>
        <v>Weekend</v>
      </c>
      <c r="I4165" t="str">
        <f>_xlfn.IFS(B4165&lt;=5,"Night (0-5)",B4165&lt;=9,"Morning peak (6-9)",B4165&lt;=15,"Midday (10-15)",B4165&lt;=19,"Evening peak (16-19)",TRUE,"Late evening (20-23)")</f>
        <v>Midday (10-15)</v>
      </c>
    </row>
    <row r="4166" spans="1:9">
      <c r="A4166" s="32">
        <v>41903</v>
      </c>
      <c r="B4166">
        <v>12</v>
      </c>
      <c r="C4166">
        <v>1348</v>
      </c>
      <c r="D4166" t="s">
        <v>303</v>
      </c>
      <c r="E4166">
        <f>YEAR(A4166)</f>
        <v>2014</v>
      </c>
      <c r="F4166" s="33">
        <f>DATE(YEAR(A4166),MONTH(A4166),1)</f>
        <v>41883.0</v>
      </c>
      <c r="G4166" t="str">
        <f>CHOOSE(WEEKDAY(A4166,2),"Mon","Tue","Wed","Thu","Fri","Sat","Sun")</f>
        <v>Sun</v>
      </c>
      <c r="H4166" t="str">
        <f>IF(WEEKDAY(A4166,2)&gt;5,"Weekend","Weekday")</f>
        <v>Weekend</v>
      </c>
      <c r="I4166" t="str">
        <f>_xlfn.IFS(B4166&lt;=5,"Night (0-5)",B4166&lt;=9,"Morning peak (6-9)",B4166&lt;=15,"Midday (10-15)",B4166&lt;=19,"Evening peak (16-19)",TRUE,"Late evening (20-23)")</f>
        <v>Midday (10-15)</v>
      </c>
    </row>
    <row r="4167" spans="1:9">
      <c r="A4167" s="32">
        <v>41903</v>
      </c>
      <c r="B4167">
        <v>13</v>
      </c>
      <c r="C4167">
        <v>1474</v>
      </c>
      <c r="D4167" t="s">
        <v>303</v>
      </c>
      <c r="E4167">
        <f>YEAR(A4167)</f>
        <v>2014</v>
      </c>
      <c r="F4167" s="33">
        <f>DATE(YEAR(A4167),MONTH(A4167),1)</f>
        <v>41883.0</v>
      </c>
      <c r="G4167" t="str">
        <f>CHOOSE(WEEKDAY(A4167,2),"Mon","Tue","Wed","Thu","Fri","Sat","Sun")</f>
        <v>Sun</v>
      </c>
      <c r="H4167" t="str">
        <f>IF(WEEKDAY(A4167,2)&gt;5,"Weekend","Weekday")</f>
        <v>Weekend</v>
      </c>
      <c r="I4167" t="str">
        <f>_xlfn.IFS(B4167&lt;=5,"Night (0-5)",B4167&lt;=9,"Morning peak (6-9)",B4167&lt;=15,"Midday (10-15)",B4167&lt;=19,"Evening peak (16-19)",TRUE,"Late evening (20-23)")</f>
        <v>Midday (10-15)</v>
      </c>
    </row>
    <row r="4168" spans="1:9">
      <c r="A4168" s="32">
        <v>41903</v>
      </c>
      <c r="B4168">
        <v>14</v>
      </c>
      <c r="C4168">
        <v>1549</v>
      </c>
      <c r="D4168" t="s">
        <v>303</v>
      </c>
      <c r="E4168">
        <f>YEAR(A4168)</f>
        <v>2014</v>
      </c>
      <c r="F4168" s="33">
        <f>DATE(YEAR(A4168),MONTH(A4168),1)</f>
        <v>41883.0</v>
      </c>
      <c r="G4168" t="str">
        <f>CHOOSE(WEEKDAY(A4168,2),"Mon","Tue","Wed","Thu","Fri","Sat","Sun")</f>
        <v>Sun</v>
      </c>
      <c r="H4168" t="str">
        <f>IF(WEEKDAY(A4168,2)&gt;5,"Weekend","Weekday")</f>
        <v>Weekend</v>
      </c>
      <c r="I4168" t="str">
        <f>_xlfn.IFS(B4168&lt;=5,"Night (0-5)",B4168&lt;=9,"Morning peak (6-9)",B4168&lt;=15,"Midday (10-15)",B4168&lt;=19,"Evening peak (16-19)",TRUE,"Late evening (20-23)")</f>
        <v>Midday (10-15)</v>
      </c>
    </row>
    <row r="4169" spans="1:9">
      <c r="A4169" s="32">
        <v>41903</v>
      </c>
      <c r="B4169">
        <v>15</v>
      </c>
      <c r="C4169">
        <v>1565</v>
      </c>
      <c r="D4169" t="s">
        <v>303</v>
      </c>
      <c r="E4169">
        <f>YEAR(A4169)</f>
        <v>2014</v>
      </c>
      <c r="F4169" s="33">
        <f>DATE(YEAR(A4169),MONTH(A4169),1)</f>
        <v>41883.0</v>
      </c>
      <c r="G4169" t="str">
        <f>CHOOSE(WEEKDAY(A4169,2),"Mon","Tue","Wed","Thu","Fri","Sat","Sun")</f>
        <v>Sun</v>
      </c>
      <c r="H4169" t="str">
        <f>IF(WEEKDAY(A4169,2)&gt;5,"Weekend","Weekday")</f>
        <v>Weekend</v>
      </c>
      <c r="I4169" t="str">
        <f>_xlfn.IFS(B4169&lt;=5,"Night (0-5)",B4169&lt;=9,"Morning peak (6-9)",B4169&lt;=15,"Midday (10-15)",B4169&lt;=19,"Evening peak (16-19)",TRUE,"Late evening (20-23)")</f>
        <v>Midday (10-15)</v>
      </c>
    </row>
    <row r="4170" spans="1:9">
      <c r="A4170" s="32">
        <v>41903</v>
      </c>
      <c r="B4170">
        <v>16</v>
      </c>
      <c r="C4170">
        <v>1683</v>
      </c>
      <c r="D4170" t="s">
        <v>303</v>
      </c>
      <c r="E4170">
        <f>YEAR(A4170)</f>
        <v>2014</v>
      </c>
      <c r="F4170" s="33">
        <f>DATE(YEAR(A4170),MONTH(A4170),1)</f>
        <v>41883.0</v>
      </c>
      <c r="G4170" t="str">
        <f>CHOOSE(WEEKDAY(A4170,2),"Mon","Tue","Wed","Thu","Fri","Sat","Sun")</f>
        <v>Sun</v>
      </c>
      <c r="H4170" t="str">
        <f>IF(WEEKDAY(A4170,2)&gt;5,"Weekend","Weekday")</f>
        <v>Weekend</v>
      </c>
      <c r="I4170" t="str">
        <f>_xlfn.IFS(B4170&lt;=5,"Night (0-5)",B4170&lt;=9,"Morning peak (6-9)",B4170&lt;=15,"Midday (10-15)",B4170&lt;=19,"Evening peak (16-19)",TRUE,"Late evening (20-23)")</f>
        <v>Evening peak (16-19)</v>
      </c>
    </row>
    <row r="4171" spans="1:9">
      <c r="A4171" s="32">
        <v>41903</v>
      </c>
      <c r="B4171">
        <v>17</v>
      </c>
      <c r="C4171">
        <v>1654</v>
      </c>
      <c r="D4171" t="s">
        <v>303</v>
      </c>
      <c r="E4171">
        <f>YEAR(A4171)</f>
        <v>2014</v>
      </c>
      <c r="F4171" s="33">
        <f>DATE(YEAR(A4171),MONTH(A4171),1)</f>
        <v>41883.0</v>
      </c>
      <c r="G4171" t="str">
        <f>CHOOSE(WEEKDAY(A4171,2),"Mon","Tue","Wed","Thu","Fri","Sat","Sun")</f>
        <v>Sun</v>
      </c>
      <c r="H4171" t="str">
        <f>IF(WEEKDAY(A4171,2)&gt;5,"Weekend","Weekday")</f>
        <v>Weekend</v>
      </c>
      <c r="I4171" t="str">
        <f>_xlfn.IFS(B4171&lt;=5,"Night (0-5)",B4171&lt;=9,"Morning peak (6-9)",B4171&lt;=15,"Midday (10-15)",B4171&lt;=19,"Evening peak (16-19)",TRUE,"Late evening (20-23)")</f>
        <v>Evening peak (16-19)</v>
      </c>
    </row>
    <row r="4172" spans="1:9">
      <c r="A4172" s="32">
        <v>41903</v>
      </c>
      <c r="B4172">
        <v>18</v>
      </c>
      <c r="C4172">
        <v>1684</v>
      </c>
      <c r="D4172" t="s">
        <v>303</v>
      </c>
      <c r="E4172">
        <f>YEAR(A4172)</f>
        <v>2014</v>
      </c>
      <c r="F4172" s="33">
        <f>DATE(YEAR(A4172),MONTH(A4172),1)</f>
        <v>41883.0</v>
      </c>
      <c r="G4172" t="str">
        <f>CHOOSE(WEEKDAY(A4172,2),"Mon","Tue","Wed","Thu","Fri","Sat","Sun")</f>
        <v>Sun</v>
      </c>
      <c r="H4172" t="str">
        <f>IF(WEEKDAY(A4172,2)&gt;5,"Weekend","Weekday")</f>
        <v>Weekend</v>
      </c>
      <c r="I4172" t="str">
        <f>_xlfn.IFS(B4172&lt;=5,"Night (0-5)",B4172&lt;=9,"Morning peak (6-9)",B4172&lt;=15,"Midday (10-15)",B4172&lt;=19,"Evening peak (16-19)",TRUE,"Late evening (20-23)")</f>
        <v>Evening peak (16-19)</v>
      </c>
    </row>
    <row r="4173" spans="1:9">
      <c r="A4173" s="32">
        <v>41903</v>
      </c>
      <c r="B4173">
        <v>19</v>
      </c>
      <c r="C4173">
        <v>1530</v>
      </c>
      <c r="D4173" t="s">
        <v>303</v>
      </c>
      <c r="E4173">
        <f>YEAR(A4173)</f>
        <v>2014</v>
      </c>
      <c r="F4173" s="33">
        <f>DATE(YEAR(A4173),MONTH(A4173),1)</f>
        <v>41883.0</v>
      </c>
      <c r="G4173" t="str">
        <f>CHOOSE(WEEKDAY(A4173,2),"Mon","Tue","Wed","Thu","Fri","Sat","Sun")</f>
        <v>Sun</v>
      </c>
      <c r="H4173" t="str">
        <f>IF(WEEKDAY(A4173,2)&gt;5,"Weekend","Weekday")</f>
        <v>Weekend</v>
      </c>
      <c r="I4173" t="str">
        <f>_xlfn.IFS(B4173&lt;=5,"Night (0-5)",B4173&lt;=9,"Morning peak (6-9)",B4173&lt;=15,"Midday (10-15)",B4173&lt;=19,"Evening peak (16-19)",TRUE,"Late evening (20-23)")</f>
        <v>Evening peak (16-19)</v>
      </c>
    </row>
    <row r="4174" spans="1:9">
      <c r="A4174" s="32">
        <v>41903</v>
      </c>
      <c r="B4174">
        <v>20</v>
      </c>
      <c r="C4174">
        <v>1378</v>
      </c>
      <c r="D4174" t="s">
        <v>303</v>
      </c>
      <c r="E4174">
        <f>YEAR(A4174)</f>
        <v>2014</v>
      </c>
      <c r="F4174" s="33">
        <f>DATE(YEAR(A4174),MONTH(A4174),1)</f>
        <v>41883.0</v>
      </c>
      <c r="G4174" t="str">
        <f>CHOOSE(WEEKDAY(A4174,2),"Mon","Tue","Wed","Thu","Fri","Sat","Sun")</f>
        <v>Sun</v>
      </c>
      <c r="H4174" t="str">
        <f>IF(WEEKDAY(A4174,2)&gt;5,"Weekend","Weekday")</f>
        <v>Weekend</v>
      </c>
      <c r="I4174" t="str">
        <f>_xlfn.IFS(B4174&lt;=5,"Night (0-5)",B4174&lt;=9,"Morning peak (6-9)",B4174&lt;=15,"Midday (10-15)",B4174&lt;=19,"Evening peak (16-19)",TRUE,"Late evening (20-23)")</f>
        <v>Late evening (20-23)</v>
      </c>
    </row>
    <row r="4175" spans="1:9">
      <c r="A4175" s="32">
        <v>41903</v>
      </c>
      <c r="B4175">
        <v>21</v>
      </c>
      <c r="C4175">
        <v>1230</v>
      </c>
      <c r="D4175" t="s">
        <v>303</v>
      </c>
      <c r="E4175">
        <f>YEAR(A4175)</f>
        <v>2014</v>
      </c>
      <c r="F4175" s="33">
        <f>DATE(YEAR(A4175),MONTH(A4175),1)</f>
        <v>41883.0</v>
      </c>
      <c r="G4175" t="str">
        <f>CHOOSE(WEEKDAY(A4175,2),"Mon","Tue","Wed","Thu","Fri","Sat","Sun")</f>
        <v>Sun</v>
      </c>
      <c r="H4175" t="str">
        <f>IF(WEEKDAY(A4175,2)&gt;5,"Weekend","Weekday")</f>
        <v>Weekend</v>
      </c>
      <c r="I4175" t="str">
        <f>_xlfn.IFS(B4175&lt;=5,"Night (0-5)",B4175&lt;=9,"Morning peak (6-9)",B4175&lt;=15,"Midday (10-15)",B4175&lt;=19,"Evening peak (16-19)",TRUE,"Late evening (20-23)")</f>
        <v>Late evening (20-23)</v>
      </c>
    </row>
    <row r="4176" spans="1:9">
      <c r="A4176" s="32">
        <v>41903</v>
      </c>
      <c r="B4176">
        <v>22</v>
      </c>
      <c r="C4176">
        <v>932</v>
      </c>
      <c r="D4176" t="s">
        <v>303</v>
      </c>
      <c r="E4176">
        <f>YEAR(A4176)</f>
        <v>2014</v>
      </c>
      <c r="F4176" s="33">
        <f>DATE(YEAR(A4176),MONTH(A4176),1)</f>
        <v>41883.0</v>
      </c>
      <c r="G4176" t="str">
        <f>CHOOSE(WEEKDAY(A4176,2),"Mon","Tue","Wed","Thu","Fri","Sat","Sun")</f>
        <v>Sun</v>
      </c>
      <c r="H4176" t="str">
        <f>IF(WEEKDAY(A4176,2)&gt;5,"Weekend","Weekday")</f>
        <v>Weekend</v>
      </c>
      <c r="I4176" t="str">
        <f>_xlfn.IFS(B4176&lt;=5,"Night (0-5)",B4176&lt;=9,"Morning peak (6-9)",B4176&lt;=15,"Midday (10-15)",B4176&lt;=19,"Evening peak (16-19)",TRUE,"Late evening (20-23)")</f>
        <v>Late evening (20-23)</v>
      </c>
    </row>
    <row r="4177" spans="1:9">
      <c r="A4177" s="32">
        <v>41903</v>
      </c>
      <c r="B4177">
        <v>23</v>
      </c>
      <c r="C4177">
        <v>571</v>
      </c>
      <c r="D4177" t="s">
        <v>303</v>
      </c>
      <c r="E4177">
        <f>YEAR(A4177)</f>
        <v>2014</v>
      </c>
      <c r="F4177" s="33">
        <f>DATE(YEAR(A4177),MONTH(A4177),1)</f>
        <v>41883.0</v>
      </c>
      <c r="G4177" t="str">
        <f>CHOOSE(WEEKDAY(A4177,2),"Mon","Tue","Wed","Thu","Fri","Sat","Sun")</f>
        <v>Sun</v>
      </c>
      <c r="H4177" t="str">
        <f>IF(WEEKDAY(A4177,2)&gt;5,"Weekend","Weekday")</f>
        <v>Weekend</v>
      </c>
      <c r="I4177" t="str">
        <f>_xlfn.IFS(B4177&lt;=5,"Night (0-5)",B4177&lt;=9,"Morning peak (6-9)",B4177&lt;=15,"Midday (10-15)",B4177&lt;=19,"Evening peak (16-19)",TRUE,"Late evening (20-23)")</f>
        <v>Late evening (20-23)</v>
      </c>
    </row>
    <row r="4178" spans="1:9">
      <c r="A4178" s="32">
        <v>41904</v>
      </c>
      <c r="B4178">
        <v>0</v>
      </c>
      <c r="C4178">
        <v>277</v>
      </c>
      <c r="D4178" t="s">
        <v>303</v>
      </c>
      <c r="E4178">
        <f>YEAR(A4178)</f>
        <v>2014</v>
      </c>
      <c r="F4178" s="33">
        <f>DATE(YEAR(A4178),MONTH(A4178),1)</f>
        <v>41883.0</v>
      </c>
      <c r="G4178" t="str">
        <f>CHOOSE(WEEKDAY(A4178,2),"Mon","Tue","Wed","Thu","Fri","Sat","Sun")</f>
        <v>Mon</v>
      </c>
      <c r="H4178" t="str">
        <f>IF(WEEKDAY(A4178,2)&gt;5,"Weekend","Weekday")</f>
        <v>Weekday</v>
      </c>
      <c r="I4178" t="str">
        <f>_xlfn.IFS(B4178&lt;=5,"Night (0-5)",B4178&lt;=9,"Morning peak (6-9)",B4178&lt;=15,"Midday (10-15)",B4178&lt;=19,"Evening peak (16-19)",TRUE,"Late evening (20-23)")</f>
        <v>Night (0-5)</v>
      </c>
    </row>
    <row r="4179" spans="1:9">
      <c r="A4179" s="32">
        <v>41904</v>
      </c>
      <c r="B4179">
        <v>1</v>
      </c>
      <c r="C4179">
        <v>165</v>
      </c>
      <c r="D4179" t="s">
        <v>303</v>
      </c>
      <c r="E4179">
        <f>YEAR(A4179)</f>
        <v>2014</v>
      </c>
      <c r="F4179" s="33">
        <f>DATE(YEAR(A4179),MONTH(A4179),1)</f>
        <v>41883.0</v>
      </c>
      <c r="G4179" t="str">
        <f>CHOOSE(WEEKDAY(A4179,2),"Mon","Tue","Wed","Thu","Fri","Sat","Sun")</f>
        <v>Mon</v>
      </c>
      <c r="H4179" t="str">
        <f>IF(WEEKDAY(A4179,2)&gt;5,"Weekend","Weekday")</f>
        <v>Weekday</v>
      </c>
      <c r="I4179" t="str">
        <f>_xlfn.IFS(B4179&lt;=5,"Night (0-5)",B4179&lt;=9,"Morning peak (6-9)",B4179&lt;=15,"Midday (10-15)",B4179&lt;=19,"Evening peak (16-19)",TRUE,"Late evening (20-23)")</f>
        <v>Night (0-5)</v>
      </c>
    </row>
    <row r="4180" spans="1:9">
      <c r="A4180" s="32">
        <v>41904</v>
      </c>
      <c r="B4180">
        <v>2</v>
      </c>
      <c r="C4180">
        <v>149</v>
      </c>
      <c r="D4180" t="s">
        <v>303</v>
      </c>
      <c r="E4180">
        <f>YEAR(A4180)</f>
        <v>2014</v>
      </c>
      <c r="F4180" s="33">
        <f>DATE(YEAR(A4180),MONTH(A4180),1)</f>
        <v>41883.0</v>
      </c>
      <c r="G4180" t="str">
        <f>CHOOSE(WEEKDAY(A4180,2),"Mon","Tue","Wed","Thu","Fri","Sat","Sun")</f>
        <v>Mon</v>
      </c>
      <c r="H4180" t="str">
        <f>IF(WEEKDAY(A4180,2)&gt;5,"Weekend","Weekday")</f>
        <v>Weekday</v>
      </c>
      <c r="I4180" t="str">
        <f>_xlfn.IFS(B4180&lt;=5,"Night (0-5)",B4180&lt;=9,"Morning peak (6-9)",B4180&lt;=15,"Midday (10-15)",B4180&lt;=19,"Evening peak (16-19)",TRUE,"Late evening (20-23)")</f>
        <v>Night (0-5)</v>
      </c>
    </row>
    <row r="4181" spans="1:9">
      <c r="A4181" s="32">
        <v>41904</v>
      </c>
      <c r="B4181">
        <v>3</v>
      </c>
      <c r="C4181">
        <v>346</v>
      </c>
      <c r="D4181" t="s">
        <v>303</v>
      </c>
      <c r="E4181">
        <f>YEAR(A4181)</f>
        <v>2014</v>
      </c>
      <c r="F4181" s="33">
        <f>DATE(YEAR(A4181),MONTH(A4181),1)</f>
        <v>41883.0</v>
      </c>
      <c r="G4181" t="str">
        <f>CHOOSE(WEEKDAY(A4181,2),"Mon","Tue","Wed","Thu","Fri","Sat","Sun")</f>
        <v>Mon</v>
      </c>
      <c r="H4181" t="str">
        <f>IF(WEEKDAY(A4181,2)&gt;5,"Weekend","Weekday")</f>
        <v>Weekday</v>
      </c>
      <c r="I4181" t="str">
        <f>_xlfn.IFS(B4181&lt;=5,"Night (0-5)",B4181&lt;=9,"Morning peak (6-9)",B4181&lt;=15,"Midday (10-15)",B4181&lt;=19,"Evening peak (16-19)",TRUE,"Late evening (20-23)")</f>
        <v>Night (0-5)</v>
      </c>
    </row>
    <row r="4182" spans="1:9">
      <c r="A4182" s="32">
        <v>41904</v>
      </c>
      <c r="B4182">
        <v>4</v>
      </c>
      <c r="C4182">
        <v>550</v>
      </c>
      <c r="D4182" t="s">
        <v>303</v>
      </c>
      <c r="E4182">
        <f>YEAR(A4182)</f>
        <v>2014</v>
      </c>
      <c r="F4182" s="33">
        <f>DATE(YEAR(A4182),MONTH(A4182),1)</f>
        <v>41883.0</v>
      </c>
      <c r="G4182" t="str">
        <f>CHOOSE(WEEKDAY(A4182,2),"Mon","Tue","Wed","Thu","Fri","Sat","Sun")</f>
        <v>Mon</v>
      </c>
      <c r="H4182" t="str">
        <f>IF(WEEKDAY(A4182,2)&gt;5,"Weekend","Weekday")</f>
        <v>Weekday</v>
      </c>
      <c r="I4182" t="str">
        <f>_xlfn.IFS(B4182&lt;=5,"Night (0-5)",B4182&lt;=9,"Morning peak (6-9)",B4182&lt;=15,"Midday (10-15)",B4182&lt;=19,"Evening peak (16-19)",TRUE,"Late evening (20-23)")</f>
        <v>Night (0-5)</v>
      </c>
    </row>
    <row r="4183" spans="1:9">
      <c r="A4183" s="32">
        <v>41904</v>
      </c>
      <c r="B4183">
        <v>5</v>
      </c>
      <c r="C4183">
        <v>943</v>
      </c>
      <c r="D4183" t="s">
        <v>303</v>
      </c>
      <c r="E4183">
        <f>YEAR(A4183)</f>
        <v>2014</v>
      </c>
      <c r="F4183" s="33">
        <f>DATE(YEAR(A4183),MONTH(A4183),1)</f>
        <v>41883.0</v>
      </c>
      <c r="G4183" t="str">
        <f>CHOOSE(WEEKDAY(A4183,2),"Mon","Tue","Wed","Thu","Fri","Sat","Sun")</f>
        <v>Mon</v>
      </c>
      <c r="H4183" t="str">
        <f>IF(WEEKDAY(A4183,2)&gt;5,"Weekend","Weekday")</f>
        <v>Weekday</v>
      </c>
      <c r="I4183" t="str">
        <f>_xlfn.IFS(B4183&lt;=5,"Night (0-5)",B4183&lt;=9,"Morning peak (6-9)",B4183&lt;=15,"Midday (10-15)",B4183&lt;=19,"Evening peak (16-19)",TRUE,"Late evening (20-23)")</f>
        <v>Night (0-5)</v>
      </c>
    </row>
    <row r="4184" spans="1:9">
      <c r="A4184" s="32">
        <v>41904</v>
      </c>
      <c r="B4184">
        <v>6</v>
      </c>
      <c r="C4184">
        <v>1357</v>
      </c>
      <c r="D4184" t="s">
        <v>303</v>
      </c>
      <c r="E4184">
        <f>YEAR(A4184)</f>
        <v>2014</v>
      </c>
      <c r="F4184" s="33">
        <f>DATE(YEAR(A4184),MONTH(A4184),1)</f>
        <v>41883.0</v>
      </c>
      <c r="G4184" t="str">
        <f>CHOOSE(WEEKDAY(A4184,2),"Mon","Tue","Wed","Thu","Fri","Sat","Sun")</f>
        <v>Mon</v>
      </c>
      <c r="H4184" t="str">
        <f>IF(WEEKDAY(A4184,2)&gt;5,"Weekend","Weekday")</f>
        <v>Weekday</v>
      </c>
      <c r="I4184" t="str">
        <f>_xlfn.IFS(B4184&lt;=5,"Night (0-5)",B4184&lt;=9,"Morning peak (6-9)",B4184&lt;=15,"Midday (10-15)",B4184&lt;=19,"Evening peak (16-19)",TRUE,"Late evening (20-23)")</f>
        <v>Morning peak (6-9)</v>
      </c>
    </row>
    <row r="4185" spans="1:9">
      <c r="A4185" s="32">
        <v>41904</v>
      </c>
      <c r="B4185">
        <v>7</v>
      </c>
      <c r="C4185">
        <v>1671</v>
      </c>
      <c r="D4185" t="s">
        <v>303</v>
      </c>
      <c r="E4185">
        <f>YEAR(A4185)</f>
        <v>2014</v>
      </c>
      <c r="F4185" s="33">
        <f>DATE(YEAR(A4185),MONTH(A4185),1)</f>
        <v>41883.0</v>
      </c>
      <c r="G4185" t="str">
        <f>CHOOSE(WEEKDAY(A4185,2),"Mon","Tue","Wed","Thu","Fri","Sat","Sun")</f>
        <v>Mon</v>
      </c>
      <c r="H4185" t="str">
        <f>IF(WEEKDAY(A4185,2)&gt;5,"Weekend","Weekday")</f>
        <v>Weekday</v>
      </c>
      <c r="I4185" t="str">
        <f>_xlfn.IFS(B4185&lt;=5,"Night (0-5)",B4185&lt;=9,"Morning peak (6-9)",B4185&lt;=15,"Midday (10-15)",B4185&lt;=19,"Evening peak (16-19)",TRUE,"Late evening (20-23)")</f>
        <v>Morning peak (6-9)</v>
      </c>
    </row>
    <row r="4186" spans="1:9">
      <c r="A4186" s="32">
        <v>41904</v>
      </c>
      <c r="B4186">
        <v>8</v>
      </c>
      <c r="C4186">
        <v>1606</v>
      </c>
      <c r="D4186" t="s">
        <v>303</v>
      </c>
      <c r="E4186">
        <f>YEAR(A4186)</f>
        <v>2014</v>
      </c>
      <c r="F4186" s="33">
        <f>DATE(YEAR(A4186),MONTH(A4186),1)</f>
        <v>41883.0</v>
      </c>
      <c r="G4186" t="str">
        <f>CHOOSE(WEEKDAY(A4186,2),"Mon","Tue","Wed","Thu","Fri","Sat","Sun")</f>
        <v>Mon</v>
      </c>
      <c r="H4186" t="str">
        <f>IF(WEEKDAY(A4186,2)&gt;5,"Weekend","Weekday")</f>
        <v>Weekday</v>
      </c>
      <c r="I4186" t="str">
        <f>_xlfn.IFS(B4186&lt;=5,"Night (0-5)",B4186&lt;=9,"Morning peak (6-9)",B4186&lt;=15,"Midday (10-15)",B4186&lt;=19,"Evening peak (16-19)",TRUE,"Late evening (20-23)")</f>
        <v>Morning peak (6-9)</v>
      </c>
    </row>
    <row r="4187" spans="1:9">
      <c r="A4187" s="32">
        <v>41904</v>
      </c>
      <c r="B4187">
        <v>9</v>
      </c>
      <c r="C4187">
        <v>1186</v>
      </c>
      <c r="D4187" t="s">
        <v>303</v>
      </c>
      <c r="E4187">
        <f>YEAR(A4187)</f>
        <v>2014</v>
      </c>
      <c r="F4187" s="33">
        <f>DATE(YEAR(A4187),MONTH(A4187),1)</f>
        <v>41883.0</v>
      </c>
      <c r="G4187" t="str">
        <f>CHOOSE(WEEKDAY(A4187,2),"Mon","Tue","Wed","Thu","Fri","Sat","Sun")</f>
        <v>Mon</v>
      </c>
      <c r="H4187" t="str">
        <f>IF(WEEKDAY(A4187,2)&gt;5,"Weekend","Weekday")</f>
        <v>Weekday</v>
      </c>
      <c r="I4187" t="str">
        <f>_xlfn.IFS(B4187&lt;=5,"Night (0-5)",B4187&lt;=9,"Morning peak (6-9)",B4187&lt;=15,"Midday (10-15)",B4187&lt;=19,"Evening peak (16-19)",TRUE,"Late evening (20-23)")</f>
        <v>Morning peak (6-9)</v>
      </c>
    </row>
    <row r="4188" spans="1:9">
      <c r="A4188" s="32">
        <v>41904</v>
      </c>
      <c r="B4188">
        <v>10</v>
      </c>
      <c r="C4188">
        <v>1135</v>
      </c>
      <c r="D4188" t="s">
        <v>303</v>
      </c>
      <c r="E4188">
        <f>YEAR(A4188)</f>
        <v>2014</v>
      </c>
      <c r="F4188" s="33">
        <f>DATE(YEAR(A4188),MONTH(A4188),1)</f>
        <v>41883.0</v>
      </c>
      <c r="G4188" t="str">
        <f>CHOOSE(WEEKDAY(A4188,2),"Mon","Tue","Wed","Thu","Fri","Sat","Sun")</f>
        <v>Mon</v>
      </c>
      <c r="H4188" t="str">
        <f>IF(WEEKDAY(A4188,2)&gt;5,"Weekend","Weekday")</f>
        <v>Weekday</v>
      </c>
      <c r="I4188" t="str">
        <f>_xlfn.IFS(B4188&lt;=5,"Night (0-5)",B4188&lt;=9,"Morning peak (6-9)",B4188&lt;=15,"Midday (10-15)",B4188&lt;=19,"Evening peak (16-19)",TRUE,"Late evening (20-23)")</f>
        <v>Midday (10-15)</v>
      </c>
    </row>
    <row r="4189" spans="1:9">
      <c r="A4189" s="32">
        <v>41904</v>
      </c>
      <c r="B4189">
        <v>11</v>
      </c>
      <c r="C4189">
        <v>1069</v>
      </c>
      <c r="D4189" t="s">
        <v>303</v>
      </c>
      <c r="E4189">
        <f>YEAR(A4189)</f>
        <v>2014</v>
      </c>
      <c r="F4189" s="33">
        <f>DATE(YEAR(A4189),MONTH(A4189),1)</f>
        <v>41883.0</v>
      </c>
      <c r="G4189" t="str">
        <f>CHOOSE(WEEKDAY(A4189,2),"Mon","Tue","Wed","Thu","Fri","Sat","Sun")</f>
        <v>Mon</v>
      </c>
      <c r="H4189" t="str">
        <f>IF(WEEKDAY(A4189,2)&gt;5,"Weekend","Weekday")</f>
        <v>Weekday</v>
      </c>
      <c r="I4189" t="str">
        <f>_xlfn.IFS(B4189&lt;=5,"Night (0-5)",B4189&lt;=9,"Morning peak (6-9)",B4189&lt;=15,"Midday (10-15)",B4189&lt;=19,"Evening peak (16-19)",TRUE,"Late evening (20-23)")</f>
        <v>Midday (10-15)</v>
      </c>
    </row>
    <row r="4190" spans="1:9">
      <c r="A4190" s="32">
        <v>41904</v>
      </c>
      <c r="B4190">
        <v>12</v>
      </c>
      <c r="C4190">
        <v>1048</v>
      </c>
      <c r="D4190" t="s">
        <v>303</v>
      </c>
      <c r="E4190">
        <f>YEAR(A4190)</f>
        <v>2014</v>
      </c>
      <c r="F4190" s="33">
        <f>DATE(YEAR(A4190),MONTH(A4190),1)</f>
        <v>41883.0</v>
      </c>
      <c r="G4190" t="str">
        <f>CHOOSE(WEEKDAY(A4190,2),"Mon","Tue","Wed","Thu","Fri","Sat","Sun")</f>
        <v>Mon</v>
      </c>
      <c r="H4190" t="str">
        <f>IF(WEEKDAY(A4190,2)&gt;5,"Weekend","Weekday")</f>
        <v>Weekday</v>
      </c>
      <c r="I4190" t="str">
        <f>_xlfn.IFS(B4190&lt;=5,"Night (0-5)",B4190&lt;=9,"Morning peak (6-9)",B4190&lt;=15,"Midday (10-15)",B4190&lt;=19,"Evening peak (16-19)",TRUE,"Late evening (20-23)")</f>
        <v>Midday (10-15)</v>
      </c>
    </row>
    <row r="4191" spans="1:9">
      <c r="A4191" s="32">
        <v>41904</v>
      </c>
      <c r="B4191">
        <v>13</v>
      </c>
      <c r="C4191">
        <v>1201</v>
      </c>
      <c r="D4191" t="s">
        <v>303</v>
      </c>
      <c r="E4191">
        <f>YEAR(A4191)</f>
        <v>2014</v>
      </c>
      <c r="F4191" s="33">
        <f>DATE(YEAR(A4191),MONTH(A4191),1)</f>
        <v>41883.0</v>
      </c>
      <c r="G4191" t="str">
        <f>CHOOSE(WEEKDAY(A4191,2),"Mon","Tue","Wed","Thu","Fri","Sat","Sun")</f>
        <v>Mon</v>
      </c>
      <c r="H4191" t="str">
        <f>IF(WEEKDAY(A4191,2)&gt;5,"Weekend","Weekday")</f>
        <v>Weekday</v>
      </c>
      <c r="I4191" t="str">
        <f>_xlfn.IFS(B4191&lt;=5,"Night (0-5)",B4191&lt;=9,"Morning peak (6-9)",B4191&lt;=15,"Midday (10-15)",B4191&lt;=19,"Evening peak (16-19)",TRUE,"Late evening (20-23)")</f>
        <v>Midday (10-15)</v>
      </c>
    </row>
    <row r="4192" spans="1:9">
      <c r="A4192" s="32">
        <v>41904</v>
      </c>
      <c r="B4192">
        <v>14</v>
      </c>
      <c r="C4192">
        <v>1391</v>
      </c>
      <c r="D4192" t="s">
        <v>303</v>
      </c>
      <c r="E4192">
        <f>YEAR(A4192)</f>
        <v>2014</v>
      </c>
      <c r="F4192" s="33">
        <f>DATE(YEAR(A4192),MONTH(A4192),1)</f>
        <v>41883.0</v>
      </c>
      <c r="G4192" t="str">
        <f>CHOOSE(WEEKDAY(A4192,2),"Mon","Tue","Wed","Thu","Fri","Sat","Sun")</f>
        <v>Mon</v>
      </c>
      <c r="H4192" t="str">
        <f>IF(WEEKDAY(A4192,2)&gt;5,"Weekend","Weekday")</f>
        <v>Weekday</v>
      </c>
      <c r="I4192" t="str">
        <f>_xlfn.IFS(B4192&lt;=5,"Night (0-5)",B4192&lt;=9,"Morning peak (6-9)",B4192&lt;=15,"Midday (10-15)",B4192&lt;=19,"Evening peak (16-19)",TRUE,"Late evening (20-23)")</f>
        <v>Midday (10-15)</v>
      </c>
    </row>
    <row r="4193" spans="1:9">
      <c r="A4193" s="32">
        <v>41904</v>
      </c>
      <c r="B4193">
        <v>15</v>
      </c>
      <c r="C4193">
        <v>1643</v>
      </c>
      <c r="D4193" t="s">
        <v>303</v>
      </c>
      <c r="E4193">
        <f>YEAR(A4193)</f>
        <v>2014</v>
      </c>
      <c r="F4193" s="33">
        <f>DATE(YEAR(A4193),MONTH(A4193),1)</f>
        <v>41883.0</v>
      </c>
      <c r="G4193" t="str">
        <f>CHOOSE(WEEKDAY(A4193,2),"Mon","Tue","Wed","Thu","Fri","Sat","Sun")</f>
        <v>Mon</v>
      </c>
      <c r="H4193" t="str">
        <f>IF(WEEKDAY(A4193,2)&gt;5,"Weekend","Weekday")</f>
        <v>Weekday</v>
      </c>
      <c r="I4193" t="str">
        <f>_xlfn.IFS(B4193&lt;=5,"Night (0-5)",B4193&lt;=9,"Morning peak (6-9)",B4193&lt;=15,"Midday (10-15)",B4193&lt;=19,"Evening peak (16-19)",TRUE,"Late evening (20-23)")</f>
        <v>Midday (10-15)</v>
      </c>
    </row>
    <row r="4194" spans="1:9">
      <c r="A4194" s="32">
        <v>41904</v>
      </c>
      <c r="B4194">
        <v>16</v>
      </c>
      <c r="C4194">
        <v>1879</v>
      </c>
      <c r="D4194" t="s">
        <v>303</v>
      </c>
      <c r="E4194">
        <f>YEAR(A4194)</f>
        <v>2014</v>
      </c>
      <c r="F4194" s="33">
        <f>DATE(YEAR(A4194),MONTH(A4194),1)</f>
        <v>41883.0</v>
      </c>
      <c r="G4194" t="str">
        <f>CHOOSE(WEEKDAY(A4194,2),"Mon","Tue","Wed","Thu","Fri","Sat","Sun")</f>
        <v>Mon</v>
      </c>
      <c r="H4194" t="str">
        <f>IF(WEEKDAY(A4194,2)&gt;5,"Weekend","Weekday")</f>
        <v>Weekday</v>
      </c>
      <c r="I4194" t="str">
        <f>_xlfn.IFS(B4194&lt;=5,"Night (0-5)",B4194&lt;=9,"Morning peak (6-9)",B4194&lt;=15,"Midday (10-15)",B4194&lt;=19,"Evening peak (16-19)",TRUE,"Late evening (20-23)")</f>
        <v>Evening peak (16-19)</v>
      </c>
    </row>
    <row r="4195" spans="1:9">
      <c r="A4195" s="32">
        <v>41904</v>
      </c>
      <c r="B4195">
        <v>17</v>
      </c>
      <c r="C4195">
        <v>1943</v>
      </c>
      <c r="D4195" t="s">
        <v>303</v>
      </c>
      <c r="E4195">
        <f>YEAR(A4195)</f>
        <v>2014</v>
      </c>
      <c r="F4195" s="33">
        <f>DATE(YEAR(A4195),MONTH(A4195),1)</f>
        <v>41883.0</v>
      </c>
      <c r="G4195" t="str">
        <f>CHOOSE(WEEKDAY(A4195,2),"Mon","Tue","Wed","Thu","Fri","Sat","Sun")</f>
        <v>Mon</v>
      </c>
      <c r="H4195" t="str">
        <f>IF(WEEKDAY(A4195,2)&gt;5,"Weekend","Weekday")</f>
        <v>Weekday</v>
      </c>
      <c r="I4195" t="str">
        <f>_xlfn.IFS(B4195&lt;=5,"Night (0-5)",B4195&lt;=9,"Morning peak (6-9)",B4195&lt;=15,"Midday (10-15)",B4195&lt;=19,"Evening peak (16-19)",TRUE,"Late evening (20-23)")</f>
        <v>Evening peak (16-19)</v>
      </c>
    </row>
    <row r="4196" spans="1:9">
      <c r="A4196" s="32">
        <v>41904</v>
      </c>
      <c r="B4196">
        <v>18</v>
      </c>
      <c r="C4196">
        <v>1934</v>
      </c>
      <c r="D4196" t="s">
        <v>303</v>
      </c>
      <c r="E4196">
        <f>YEAR(A4196)</f>
        <v>2014</v>
      </c>
      <c r="F4196" s="33">
        <f>DATE(YEAR(A4196),MONTH(A4196),1)</f>
        <v>41883.0</v>
      </c>
      <c r="G4196" t="str">
        <f>CHOOSE(WEEKDAY(A4196,2),"Mon","Tue","Wed","Thu","Fri","Sat","Sun")</f>
        <v>Mon</v>
      </c>
      <c r="H4196" t="str">
        <f>IF(WEEKDAY(A4196,2)&gt;5,"Weekend","Weekday")</f>
        <v>Weekday</v>
      </c>
      <c r="I4196" t="str">
        <f>_xlfn.IFS(B4196&lt;=5,"Night (0-5)",B4196&lt;=9,"Morning peak (6-9)",B4196&lt;=15,"Midday (10-15)",B4196&lt;=19,"Evening peak (16-19)",TRUE,"Late evening (20-23)")</f>
        <v>Evening peak (16-19)</v>
      </c>
    </row>
    <row r="4197" spans="1:9">
      <c r="A4197" s="32">
        <v>41904</v>
      </c>
      <c r="B4197">
        <v>19</v>
      </c>
      <c r="C4197">
        <v>1801</v>
      </c>
      <c r="D4197" t="s">
        <v>303</v>
      </c>
      <c r="E4197">
        <f>YEAR(A4197)</f>
        <v>2014</v>
      </c>
      <c r="F4197" s="33">
        <f>DATE(YEAR(A4197),MONTH(A4197),1)</f>
        <v>41883.0</v>
      </c>
      <c r="G4197" t="str">
        <f>CHOOSE(WEEKDAY(A4197,2),"Mon","Tue","Wed","Thu","Fri","Sat","Sun")</f>
        <v>Mon</v>
      </c>
      <c r="H4197" t="str">
        <f>IF(WEEKDAY(A4197,2)&gt;5,"Weekend","Weekday")</f>
        <v>Weekday</v>
      </c>
      <c r="I4197" t="str">
        <f>_xlfn.IFS(B4197&lt;=5,"Night (0-5)",B4197&lt;=9,"Morning peak (6-9)",B4197&lt;=15,"Midday (10-15)",B4197&lt;=19,"Evening peak (16-19)",TRUE,"Late evening (20-23)")</f>
        <v>Evening peak (16-19)</v>
      </c>
    </row>
    <row r="4198" spans="1:9">
      <c r="A4198" s="32">
        <v>41904</v>
      </c>
      <c r="B4198">
        <v>20</v>
      </c>
      <c r="C4198">
        <v>1740</v>
      </c>
      <c r="D4198" t="s">
        <v>303</v>
      </c>
      <c r="E4198">
        <f>YEAR(A4198)</f>
        <v>2014</v>
      </c>
      <c r="F4198" s="33">
        <f>DATE(YEAR(A4198),MONTH(A4198),1)</f>
        <v>41883.0</v>
      </c>
      <c r="G4198" t="str">
        <f>CHOOSE(WEEKDAY(A4198,2),"Mon","Tue","Wed","Thu","Fri","Sat","Sun")</f>
        <v>Mon</v>
      </c>
      <c r="H4198" t="str">
        <f>IF(WEEKDAY(A4198,2)&gt;5,"Weekend","Weekday")</f>
        <v>Weekday</v>
      </c>
      <c r="I4198" t="str">
        <f>_xlfn.IFS(B4198&lt;=5,"Night (0-5)",B4198&lt;=9,"Morning peak (6-9)",B4198&lt;=15,"Midday (10-15)",B4198&lt;=19,"Evening peak (16-19)",TRUE,"Late evening (20-23)")</f>
        <v>Late evening (20-23)</v>
      </c>
    </row>
    <row r="4199" spans="1:9">
      <c r="A4199" s="32">
        <v>41904</v>
      </c>
      <c r="B4199">
        <v>21</v>
      </c>
      <c r="C4199">
        <v>1550</v>
      </c>
      <c r="D4199" t="s">
        <v>303</v>
      </c>
      <c r="E4199">
        <f>YEAR(A4199)</f>
        <v>2014</v>
      </c>
      <c r="F4199" s="33">
        <f>DATE(YEAR(A4199),MONTH(A4199),1)</f>
        <v>41883.0</v>
      </c>
      <c r="G4199" t="str">
        <f>CHOOSE(WEEKDAY(A4199,2),"Mon","Tue","Wed","Thu","Fri","Sat","Sun")</f>
        <v>Mon</v>
      </c>
      <c r="H4199" t="str">
        <f>IF(WEEKDAY(A4199,2)&gt;5,"Weekend","Weekday")</f>
        <v>Weekday</v>
      </c>
      <c r="I4199" t="str">
        <f>_xlfn.IFS(B4199&lt;=5,"Night (0-5)",B4199&lt;=9,"Morning peak (6-9)",B4199&lt;=15,"Midday (10-15)",B4199&lt;=19,"Evening peak (16-19)",TRUE,"Late evening (20-23)")</f>
        <v>Late evening (20-23)</v>
      </c>
    </row>
    <row r="4200" spans="1:9">
      <c r="A4200" s="32">
        <v>41904</v>
      </c>
      <c r="B4200">
        <v>22</v>
      </c>
      <c r="C4200">
        <v>1072</v>
      </c>
      <c r="D4200" t="s">
        <v>303</v>
      </c>
      <c r="E4200">
        <f>YEAR(A4200)</f>
        <v>2014</v>
      </c>
      <c r="F4200" s="33">
        <f>DATE(YEAR(A4200),MONTH(A4200),1)</f>
        <v>41883.0</v>
      </c>
      <c r="G4200" t="str">
        <f>CHOOSE(WEEKDAY(A4200,2),"Mon","Tue","Wed","Thu","Fri","Sat","Sun")</f>
        <v>Mon</v>
      </c>
      <c r="H4200" t="str">
        <f>IF(WEEKDAY(A4200,2)&gt;5,"Weekend","Weekday")</f>
        <v>Weekday</v>
      </c>
      <c r="I4200" t="str">
        <f>_xlfn.IFS(B4200&lt;=5,"Night (0-5)",B4200&lt;=9,"Morning peak (6-9)",B4200&lt;=15,"Midday (10-15)",B4200&lt;=19,"Evening peak (16-19)",TRUE,"Late evening (20-23)")</f>
        <v>Late evening (20-23)</v>
      </c>
    </row>
    <row r="4201" spans="1:9">
      <c r="A4201" s="32">
        <v>41904</v>
      </c>
      <c r="B4201">
        <v>23</v>
      </c>
      <c r="C4201">
        <v>656</v>
      </c>
      <c r="D4201" t="s">
        <v>303</v>
      </c>
      <c r="E4201">
        <f>YEAR(A4201)</f>
        <v>2014</v>
      </c>
      <c r="F4201" s="33">
        <f>DATE(YEAR(A4201),MONTH(A4201),1)</f>
        <v>41883.0</v>
      </c>
      <c r="G4201" t="str">
        <f>CHOOSE(WEEKDAY(A4201,2),"Mon","Tue","Wed","Thu","Fri","Sat","Sun")</f>
        <v>Mon</v>
      </c>
      <c r="H4201" t="str">
        <f>IF(WEEKDAY(A4201,2)&gt;5,"Weekend","Weekday")</f>
        <v>Weekday</v>
      </c>
      <c r="I4201" t="str">
        <f>_xlfn.IFS(B4201&lt;=5,"Night (0-5)",B4201&lt;=9,"Morning peak (6-9)",B4201&lt;=15,"Midday (10-15)",B4201&lt;=19,"Evening peak (16-19)",TRUE,"Late evening (20-23)")</f>
        <v>Late evening (20-23)</v>
      </c>
    </row>
    <row r="4202" spans="1:9">
      <c r="A4202" s="32">
        <v>41905</v>
      </c>
      <c r="B4202">
        <v>0</v>
      </c>
      <c r="C4202">
        <v>332</v>
      </c>
      <c r="D4202" t="s">
        <v>303</v>
      </c>
      <c r="E4202">
        <f>YEAR(A4202)</f>
        <v>2014</v>
      </c>
      <c r="F4202" s="33">
        <f>DATE(YEAR(A4202),MONTH(A4202),1)</f>
        <v>41883.0</v>
      </c>
      <c r="G4202" t="str">
        <f>CHOOSE(WEEKDAY(A4202,2),"Mon","Tue","Wed","Thu","Fri","Sat","Sun")</f>
        <v>Tue</v>
      </c>
      <c r="H4202" t="str">
        <f>IF(WEEKDAY(A4202,2)&gt;5,"Weekend","Weekday")</f>
        <v>Weekday</v>
      </c>
      <c r="I4202" t="str">
        <f>_xlfn.IFS(B4202&lt;=5,"Night (0-5)",B4202&lt;=9,"Morning peak (6-9)",B4202&lt;=15,"Midday (10-15)",B4202&lt;=19,"Evening peak (16-19)",TRUE,"Late evening (20-23)")</f>
        <v>Night (0-5)</v>
      </c>
    </row>
    <row r="4203" spans="1:9">
      <c r="A4203" s="32">
        <v>41905</v>
      </c>
      <c r="B4203">
        <v>1</v>
      </c>
      <c r="C4203">
        <v>175</v>
      </c>
      <c r="D4203" t="s">
        <v>303</v>
      </c>
      <c r="E4203">
        <f>YEAR(A4203)</f>
        <v>2014</v>
      </c>
      <c r="F4203" s="33">
        <f>DATE(YEAR(A4203),MONTH(A4203),1)</f>
        <v>41883.0</v>
      </c>
      <c r="G4203" t="str">
        <f>CHOOSE(WEEKDAY(A4203,2),"Mon","Tue","Wed","Thu","Fri","Sat","Sun")</f>
        <v>Tue</v>
      </c>
      <c r="H4203" t="str">
        <f>IF(WEEKDAY(A4203,2)&gt;5,"Weekend","Weekday")</f>
        <v>Weekday</v>
      </c>
      <c r="I4203" t="str">
        <f>_xlfn.IFS(B4203&lt;=5,"Night (0-5)",B4203&lt;=9,"Morning peak (6-9)",B4203&lt;=15,"Midday (10-15)",B4203&lt;=19,"Evening peak (16-19)",TRUE,"Late evening (20-23)")</f>
        <v>Night (0-5)</v>
      </c>
    </row>
    <row r="4204" spans="1:9">
      <c r="A4204" s="32">
        <v>41905</v>
      </c>
      <c r="B4204">
        <v>2</v>
      </c>
      <c r="C4204">
        <v>125</v>
      </c>
      <c r="D4204" t="s">
        <v>303</v>
      </c>
      <c r="E4204">
        <f>YEAR(A4204)</f>
        <v>2014</v>
      </c>
      <c r="F4204" s="33">
        <f>DATE(YEAR(A4204),MONTH(A4204),1)</f>
        <v>41883.0</v>
      </c>
      <c r="G4204" t="str">
        <f>CHOOSE(WEEKDAY(A4204,2),"Mon","Tue","Wed","Thu","Fri","Sat","Sun")</f>
        <v>Tue</v>
      </c>
      <c r="H4204" t="str">
        <f>IF(WEEKDAY(A4204,2)&gt;5,"Weekend","Weekday")</f>
        <v>Weekday</v>
      </c>
      <c r="I4204" t="str">
        <f>_xlfn.IFS(B4204&lt;=5,"Night (0-5)",B4204&lt;=9,"Morning peak (6-9)",B4204&lt;=15,"Midday (10-15)",B4204&lt;=19,"Evening peak (16-19)",TRUE,"Late evening (20-23)")</f>
        <v>Night (0-5)</v>
      </c>
    </row>
    <row r="4205" spans="1:9">
      <c r="A4205" s="32">
        <v>41905</v>
      </c>
      <c r="B4205">
        <v>3</v>
      </c>
      <c r="C4205">
        <v>231</v>
      </c>
      <c r="D4205" t="s">
        <v>303</v>
      </c>
      <c r="E4205">
        <f>YEAR(A4205)</f>
        <v>2014</v>
      </c>
      <c r="F4205" s="33">
        <f>DATE(YEAR(A4205),MONTH(A4205),1)</f>
        <v>41883.0</v>
      </c>
      <c r="G4205" t="str">
        <f>CHOOSE(WEEKDAY(A4205,2),"Mon","Tue","Wed","Thu","Fri","Sat","Sun")</f>
        <v>Tue</v>
      </c>
      <c r="H4205" t="str">
        <f>IF(WEEKDAY(A4205,2)&gt;5,"Weekend","Weekday")</f>
        <v>Weekday</v>
      </c>
      <c r="I4205" t="str">
        <f>_xlfn.IFS(B4205&lt;=5,"Night (0-5)",B4205&lt;=9,"Morning peak (6-9)",B4205&lt;=15,"Midday (10-15)",B4205&lt;=19,"Evening peak (16-19)",TRUE,"Late evening (20-23)")</f>
        <v>Night (0-5)</v>
      </c>
    </row>
    <row r="4206" spans="1:9">
      <c r="A4206" s="32">
        <v>41905</v>
      </c>
      <c r="B4206">
        <v>4</v>
      </c>
      <c r="C4206">
        <v>383</v>
      </c>
      <c r="D4206" t="s">
        <v>303</v>
      </c>
      <c r="E4206">
        <f>YEAR(A4206)</f>
        <v>2014</v>
      </c>
      <c r="F4206" s="33">
        <f>DATE(YEAR(A4206),MONTH(A4206),1)</f>
        <v>41883.0</v>
      </c>
      <c r="G4206" t="str">
        <f>CHOOSE(WEEKDAY(A4206,2),"Mon","Tue","Wed","Thu","Fri","Sat","Sun")</f>
        <v>Tue</v>
      </c>
      <c r="H4206" t="str">
        <f>IF(WEEKDAY(A4206,2)&gt;5,"Weekend","Weekday")</f>
        <v>Weekday</v>
      </c>
      <c r="I4206" t="str">
        <f>_xlfn.IFS(B4206&lt;=5,"Night (0-5)",B4206&lt;=9,"Morning peak (6-9)",B4206&lt;=15,"Midday (10-15)",B4206&lt;=19,"Evening peak (16-19)",TRUE,"Late evening (20-23)")</f>
        <v>Night (0-5)</v>
      </c>
    </row>
    <row r="4207" spans="1:9">
      <c r="A4207" s="32">
        <v>41905</v>
      </c>
      <c r="B4207">
        <v>5</v>
      </c>
      <c r="C4207">
        <v>848</v>
      </c>
      <c r="D4207" t="s">
        <v>303</v>
      </c>
      <c r="E4207">
        <f>YEAR(A4207)</f>
        <v>2014</v>
      </c>
      <c r="F4207" s="33">
        <f>DATE(YEAR(A4207),MONTH(A4207),1)</f>
        <v>41883.0</v>
      </c>
      <c r="G4207" t="str">
        <f>CHOOSE(WEEKDAY(A4207,2),"Mon","Tue","Wed","Thu","Fri","Sat","Sun")</f>
        <v>Tue</v>
      </c>
      <c r="H4207" t="str">
        <f>IF(WEEKDAY(A4207,2)&gt;5,"Weekend","Weekday")</f>
        <v>Weekday</v>
      </c>
      <c r="I4207" t="str">
        <f>_xlfn.IFS(B4207&lt;=5,"Night (0-5)",B4207&lt;=9,"Morning peak (6-9)",B4207&lt;=15,"Midday (10-15)",B4207&lt;=19,"Evening peak (16-19)",TRUE,"Late evening (20-23)")</f>
        <v>Night (0-5)</v>
      </c>
    </row>
    <row r="4208" spans="1:9">
      <c r="A4208" s="32">
        <v>41905</v>
      </c>
      <c r="B4208">
        <v>6</v>
      </c>
      <c r="C4208">
        <v>1429</v>
      </c>
      <c r="D4208" t="s">
        <v>303</v>
      </c>
      <c r="E4208">
        <f>YEAR(A4208)</f>
        <v>2014</v>
      </c>
      <c r="F4208" s="33">
        <f>DATE(YEAR(A4208),MONTH(A4208),1)</f>
        <v>41883.0</v>
      </c>
      <c r="G4208" t="str">
        <f>CHOOSE(WEEKDAY(A4208,2),"Mon","Tue","Wed","Thu","Fri","Sat","Sun")</f>
        <v>Tue</v>
      </c>
      <c r="H4208" t="str">
        <f>IF(WEEKDAY(A4208,2)&gt;5,"Weekend","Weekday")</f>
        <v>Weekday</v>
      </c>
      <c r="I4208" t="str">
        <f>_xlfn.IFS(B4208&lt;=5,"Night (0-5)",B4208&lt;=9,"Morning peak (6-9)",B4208&lt;=15,"Midday (10-15)",B4208&lt;=19,"Evening peak (16-19)",TRUE,"Late evening (20-23)")</f>
        <v>Morning peak (6-9)</v>
      </c>
    </row>
    <row r="4209" spans="1:9">
      <c r="A4209" s="32">
        <v>41905</v>
      </c>
      <c r="B4209">
        <v>7</v>
      </c>
      <c r="C4209">
        <v>1754</v>
      </c>
      <c r="D4209" t="s">
        <v>303</v>
      </c>
      <c r="E4209">
        <f>YEAR(A4209)</f>
        <v>2014</v>
      </c>
      <c r="F4209" s="33">
        <f>DATE(YEAR(A4209),MONTH(A4209),1)</f>
        <v>41883.0</v>
      </c>
      <c r="G4209" t="str">
        <f>CHOOSE(WEEKDAY(A4209,2),"Mon","Tue","Wed","Thu","Fri","Sat","Sun")</f>
        <v>Tue</v>
      </c>
      <c r="H4209" t="str">
        <f>IF(WEEKDAY(A4209,2)&gt;5,"Weekend","Weekday")</f>
        <v>Weekday</v>
      </c>
      <c r="I4209" t="str">
        <f>_xlfn.IFS(B4209&lt;=5,"Night (0-5)",B4209&lt;=9,"Morning peak (6-9)",B4209&lt;=15,"Midday (10-15)",B4209&lt;=19,"Evening peak (16-19)",TRUE,"Late evening (20-23)")</f>
        <v>Morning peak (6-9)</v>
      </c>
    </row>
    <row r="4210" spans="1:9">
      <c r="A4210" s="32">
        <v>41905</v>
      </c>
      <c r="B4210">
        <v>8</v>
      </c>
      <c r="C4210">
        <v>1484</v>
      </c>
      <c r="D4210" t="s">
        <v>303</v>
      </c>
      <c r="E4210">
        <f>YEAR(A4210)</f>
        <v>2014</v>
      </c>
      <c r="F4210" s="33">
        <f>DATE(YEAR(A4210),MONTH(A4210),1)</f>
        <v>41883.0</v>
      </c>
      <c r="G4210" t="str">
        <f>CHOOSE(WEEKDAY(A4210,2),"Mon","Tue","Wed","Thu","Fri","Sat","Sun")</f>
        <v>Tue</v>
      </c>
      <c r="H4210" t="str">
        <f>IF(WEEKDAY(A4210,2)&gt;5,"Weekend","Weekday")</f>
        <v>Weekday</v>
      </c>
      <c r="I4210" t="str">
        <f>_xlfn.IFS(B4210&lt;=5,"Night (0-5)",B4210&lt;=9,"Morning peak (6-9)",B4210&lt;=15,"Midday (10-15)",B4210&lt;=19,"Evening peak (16-19)",TRUE,"Late evening (20-23)")</f>
        <v>Morning peak (6-9)</v>
      </c>
    </row>
    <row r="4211" spans="1:9">
      <c r="A4211" s="32">
        <v>41905</v>
      </c>
      <c r="B4211">
        <v>9</v>
      </c>
      <c r="C4211">
        <v>1201</v>
      </c>
      <c r="D4211" t="s">
        <v>303</v>
      </c>
      <c r="E4211">
        <f>YEAR(A4211)</f>
        <v>2014</v>
      </c>
      <c r="F4211" s="33">
        <f>DATE(YEAR(A4211),MONTH(A4211),1)</f>
        <v>41883.0</v>
      </c>
      <c r="G4211" t="str">
        <f>CHOOSE(WEEKDAY(A4211,2),"Mon","Tue","Wed","Thu","Fri","Sat","Sun")</f>
        <v>Tue</v>
      </c>
      <c r="H4211" t="str">
        <f>IF(WEEKDAY(A4211,2)&gt;5,"Weekend","Weekday")</f>
        <v>Weekday</v>
      </c>
      <c r="I4211" t="str">
        <f>_xlfn.IFS(B4211&lt;=5,"Night (0-5)",B4211&lt;=9,"Morning peak (6-9)",B4211&lt;=15,"Midday (10-15)",B4211&lt;=19,"Evening peak (16-19)",TRUE,"Late evening (20-23)")</f>
        <v>Morning peak (6-9)</v>
      </c>
    </row>
    <row r="4212" spans="1:9">
      <c r="A4212" s="32">
        <v>41905</v>
      </c>
      <c r="B4212">
        <v>10</v>
      </c>
      <c r="C4212">
        <v>1075</v>
      </c>
      <c r="D4212" t="s">
        <v>303</v>
      </c>
      <c r="E4212">
        <f>YEAR(A4212)</f>
        <v>2014</v>
      </c>
      <c r="F4212" s="33">
        <f>DATE(YEAR(A4212),MONTH(A4212),1)</f>
        <v>41883.0</v>
      </c>
      <c r="G4212" t="str">
        <f>CHOOSE(WEEKDAY(A4212,2),"Mon","Tue","Wed","Thu","Fri","Sat","Sun")</f>
        <v>Tue</v>
      </c>
      <c r="H4212" t="str">
        <f>IF(WEEKDAY(A4212,2)&gt;5,"Weekend","Weekday")</f>
        <v>Weekday</v>
      </c>
      <c r="I4212" t="str">
        <f>_xlfn.IFS(B4212&lt;=5,"Night (0-5)",B4212&lt;=9,"Morning peak (6-9)",B4212&lt;=15,"Midday (10-15)",B4212&lt;=19,"Evening peak (16-19)",TRUE,"Late evening (20-23)")</f>
        <v>Midday (10-15)</v>
      </c>
    </row>
    <row r="4213" spans="1:9">
      <c r="A4213" s="32">
        <v>41905</v>
      </c>
      <c r="B4213">
        <v>11</v>
      </c>
      <c r="C4213">
        <v>1065</v>
      </c>
      <c r="D4213" t="s">
        <v>303</v>
      </c>
      <c r="E4213">
        <f>YEAR(A4213)</f>
        <v>2014</v>
      </c>
      <c r="F4213" s="33">
        <f>DATE(YEAR(A4213),MONTH(A4213),1)</f>
        <v>41883.0</v>
      </c>
      <c r="G4213" t="str">
        <f>CHOOSE(WEEKDAY(A4213,2),"Mon","Tue","Wed","Thu","Fri","Sat","Sun")</f>
        <v>Tue</v>
      </c>
      <c r="H4213" t="str">
        <f>IF(WEEKDAY(A4213,2)&gt;5,"Weekend","Weekday")</f>
        <v>Weekday</v>
      </c>
      <c r="I4213" t="str">
        <f>_xlfn.IFS(B4213&lt;=5,"Night (0-5)",B4213&lt;=9,"Morning peak (6-9)",B4213&lt;=15,"Midday (10-15)",B4213&lt;=19,"Evening peak (16-19)",TRUE,"Late evening (20-23)")</f>
        <v>Midday (10-15)</v>
      </c>
    </row>
    <row r="4214" spans="1:9">
      <c r="A4214" s="32">
        <v>41905</v>
      </c>
      <c r="B4214">
        <v>12</v>
      </c>
      <c r="C4214">
        <v>1039</v>
      </c>
      <c r="D4214" t="s">
        <v>303</v>
      </c>
      <c r="E4214">
        <f>YEAR(A4214)</f>
        <v>2014</v>
      </c>
      <c r="F4214" s="33">
        <f>DATE(YEAR(A4214),MONTH(A4214),1)</f>
        <v>41883.0</v>
      </c>
      <c r="G4214" t="str">
        <f>CHOOSE(WEEKDAY(A4214,2),"Mon","Tue","Wed","Thu","Fri","Sat","Sun")</f>
        <v>Tue</v>
      </c>
      <c r="H4214" t="str">
        <f>IF(WEEKDAY(A4214,2)&gt;5,"Weekend","Weekday")</f>
        <v>Weekday</v>
      </c>
      <c r="I4214" t="str">
        <f>_xlfn.IFS(B4214&lt;=5,"Night (0-5)",B4214&lt;=9,"Morning peak (6-9)",B4214&lt;=15,"Midday (10-15)",B4214&lt;=19,"Evening peak (16-19)",TRUE,"Late evening (20-23)")</f>
        <v>Midday (10-15)</v>
      </c>
    </row>
    <row r="4215" spans="1:9">
      <c r="A4215" s="32">
        <v>41905</v>
      </c>
      <c r="B4215">
        <v>13</v>
      </c>
      <c r="C4215">
        <v>1207</v>
      </c>
      <c r="D4215" t="s">
        <v>303</v>
      </c>
      <c r="E4215">
        <f>YEAR(A4215)</f>
        <v>2014</v>
      </c>
      <c r="F4215" s="33">
        <f>DATE(YEAR(A4215),MONTH(A4215),1)</f>
        <v>41883.0</v>
      </c>
      <c r="G4215" t="str">
        <f>CHOOSE(WEEKDAY(A4215,2),"Mon","Tue","Wed","Thu","Fri","Sat","Sun")</f>
        <v>Tue</v>
      </c>
      <c r="H4215" t="str">
        <f>IF(WEEKDAY(A4215,2)&gt;5,"Weekend","Weekday")</f>
        <v>Weekday</v>
      </c>
      <c r="I4215" t="str">
        <f>_xlfn.IFS(B4215&lt;=5,"Night (0-5)",B4215&lt;=9,"Morning peak (6-9)",B4215&lt;=15,"Midday (10-15)",B4215&lt;=19,"Evening peak (16-19)",TRUE,"Late evening (20-23)")</f>
        <v>Midday (10-15)</v>
      </c>
    </row>
    <row r="4216" spans="1:9">
      <c r="A4216" s="32">
        <v>41905</v>
      </c>
      <c r="B4216">
        <v>14</v>
      </c>
      <c r="C4216">
        <v>1484</v>
      </c>
      <c r="D4216" t="s">
        <v>303</v>
      </c>
      <c r="E4216">
        <f>YEAR(A4216)</f>
        <v>2014</v>
      </c>
      <c r="F4216" s="33">
        <f>DATE(YEAR(A4216),MONTH(A4216),1)</f>
        <v>41883.0</v>
      </c>
      <c r="G4216" t="str">
        <f>CHOOSE(WEEKDAY(A4216,2),"Mon","Tue","Wed","Thu","Fri","Sat","Sun")</f>
        <v>Tue</v>
      </c>
      <c r="H4216" t="str">
        <f>IF(WEEKDAY(A4216,2)&gt;5,"Weekend","Weekday")</f>
        <v>Weekday</v>
      </c>
      <c r="I4216" t="str">
        <f>_xlfn.IFS(B4216&lt;=5,"Night (0-5)",B4216&lt;=9,"Morning peak (6-9)",B4216&lt;=15,"Midday (10-15)",B4216&lt;=19,"Evening peak (16-19)",TRUE,"Late evening (20-23)")</f>
        <v>Midday (10-15)</v>
      </c>
    </row>
    <row r="4217" spans="1:9">
      <c r="A4217" s="32">
        <v>41905</v>
      </c>
      <c r="B4217">
        <v>15</v>
      </c>
      <c r="C4217">
        <v>1725</v>
      </c>
      <c r="D4217" t="s">
        <v>303</v>
      </c>
      <c r="E4217">
        <f>YEAR(A4217)</f>
        <v>2014</v>
      </c>
      <c r="F4217" s="33">
        <f>DATE(YEAR(A4217),MONTH(A4217),1)</f>
        <v>41883.0</v>
      </c>
      <c r="G4217" t="str">
        <f>CHOOSE(WEEKDAY(A4217,2),"Mon","Tue","Wed","Thu","Fri","Sat","Sun")</f>
        <v>Tue</v>
      </c>
      <c r="H4217" t="str">
        <f>IF(WEEKDAY(A4217,2)&gt;5,"Weekend","Weekday")</f>
        <v>Weekday</v>
      </c>
      <c r="I4217" t="str">
        <f>_xlfn.IFS(B4217&lt;=5,"Night (0-5)",B4217&lt;=9,"Morning peak (6-9)",B4217&lt;=15,"Midday (10-15)",B4217&lt;=19,"Evening peak (16-19)",TRUE,"Late evening (20-23)")</f>
        <v>Midday (10-15)</v>
      </c>
    </row>
    <row r="4218" spans="1:9">
      <c r="A4218" s="32">
        <v>41905</v>
      </c>
      <c r="B4218">
        <v>16</v>
      </c>
      <c r="C4218">
        <v>1913</v>
      </c>
      <c r="D4218" t="s">
        <v>303</v>
      </c>
      <c r="E4218">
        <f>YEAR(A4218)</f>
        <v>2014</v>
      </c>
      <c r="F4218" s="33">
        <f>DATE(YEAR(A4218),MONTH(A4218),1)</f>
        <v>41883.0</v>
      </c>
      <c r="G4218" t="str">
        <f>CHOOSE(WEEKDAY(A4218,2),"Mon","Tue","Wed","Thu","Fri","Sat","Sun")</f>
        <v>Tue</v>
      </c>
      <c r="H4218" t="str">
        <f>IF(WEEKDAY(A4218,2)&gt;5,"Weekend","Weekday")</f>
        <v>Weekday</v>
      </c>
      <c r="I4218" t="str">
        <f>_xlfn.IFS(B4218&lt;=5,"Night (0-5)",B4218&lt;=9,"Morning peak (6-9)",B4218&lt;=15,"Midday (10-15)",B4218&lt;=19,"Evening peak (16-19)",TRUE,"Late evening (20-23)")</f>
        <v>Evening peak (16-19)</v>
      </c>
    </row>
    <row r="4219" spans="1:9">
      <c r="A4219" s="32">
        <v>41905</v>
      </c>
      <c r="B4219">
        <v>17</v>
      </c>
      <c r="C4219">
        <v>2181</v>
      </c>
      <c r="D4219" t="s">
        <v>303</v>
      </c>
      <c r="E4219">
        <f>YEAR(A4219)</f>
        <v>2014</v>
      </c>
      <c r="F4219" s="33">
        <f>DATE(YEAR(A4219),MONTH(A4219),1)</f>
        <v>41883.0</v>
      </c>
      <c r="G4219" t="str">
        <f>CHOOSE(WEEKDAY(A4219,2),"Mon","Tue","Wed","Thu","Fri","Sat","Sun")</f>
        <v>Tue</v>
      </c>
      <c r="H4219" t="str">
        <f>IF(WEEKDAY(A4219,2)&gt;5,"Weekend","Weekday")</f>
        <v>Weekday</v>
      </c>
      <c r="I4219" t="str">
        <f>_xlfn.IFS(B4219&lt;=5,"Night (0-5)",B4219&lt;=9,"Morning peak (6-9)",B4219&lt;=15,"Midday (10-15)",B4219&lt;=19,"Evening peak (16-19)",TRUE,"Late evening (20-23)")</f>
        <v>Evening peak (16-19)</v>
      </c>
    </row>
    <row r="4220" spans="1:9">
      <c r="A4220" s="32">
        <v>41905</v>
      </c>
      <c r="B4220">
        <v>18</v>
      </c>
      <c r="C4220">
        <v>2335</v>
      </c>
      <c r="D4220" t="s">
        <v>303</v>
      </c>
      <c r="E4220">
        <f>YEAR(A4220)</f>
        <v>2014</v>
      </c>
      <c r="F4220" s="33">
        <f>DATE(YEAR(A4220),MONTH(A4220),1)</f>
        <v>41883.0</v>
      </c>
      <c r="G4220" t="str">
        <f>CHOOSE(WEEKDAY(A4220,2),"Mon","Tue","Wed","Thu","Fri","Sat","Sun")</f>
        <v>Tue</v>
      </c>
      <c r="H4220" t="str">
        <f>IF(WEEKDAY(A4220,2)&gt;5,"Weekend","Weekday")</f>
        <v>Weekday</v>
      </c>
      <c r="I4220" t="str">
        <f>_xlfn.IFS(B4220&lt;=5,"Night (0-5)",B4220&lt;=9,"Morning peak (6-9)",B4220&lt;=15,"Midday (10-15)",B4220&lt;=19,"Evening peak (16-19)",TRUE,"Late evening (20-23)")</f>
        <v>Evening peak (16-19)</v>
      </c>
    </row>
    <row r="4221" spans="1:9">
      <c r="A4221" s="32">
        <v>41905</v>
      </c>
      <c r="B4221">
        <v>19</v>
      </c>
      <c r="C4221">
        <v>2264</v>
      </c>
      <c r="D4221" t="s">
        <v>303</v>
      </c>
      <c r="E4221">
        <f>YEAR(A4221)</f>
        <v>2014</v>
      </c>
      <c r="F4221" s="33">
        <f>DATE(YEAR(A4221),MONTH(A4221),1)</f>
        <v>41883.0</v>
      </c>
      <c r="G4221" t="str">
        <f>CHOOSE(WEEKDAY(A4221,2),"Mon","Tue","Wed","Thu","Fri","Sat","Sun")</f>
        <v>Tue</v>
      </c>
      <c r="H4221" t="str">
        <f>IF(WEEKDAY(A4221,2)&gt;5,"Weekend","Weekday")</f>
        <v>Weekday</v>
      </c>
      <c r="I4221" t="str">
        <f>_xlfn.IFS(B4221&lt;=5,"Night (0-5)",B4221&lt;=9,"Morning peak (6-9)",B4221&lt;=15,"Midday (10-15)",B4221&lt;=19,"Evening peak (16-19)",TRUE,"Late evening (20-23)")</f>
        <v>Evening peak (16-19)</v>
      </c>
    </row>
    <row r="4222" spans="1:9">
      <c r="A4222" s="32">
        <v>41905</v>
      </c>
      <c r="B4222">
        <v>20</v>
      </c>
      <c r="C4222">
        <v>2062</v>
      </c>
      <c r="D4222" t="s">
        <v>303</v>
      </c>
      <c r="E4222">
        <f>YEAR(A4222)</f>
        <v>2014</v>
      </c>
      <c r="F4222" s="33">
        <f>DATE(YEAR(A4222),MONTH(A4222),1)</f>
        <v>41883.0</v>
      </c>
      <c r="G4222" t="str">
        <f>CHOOSE(WEEKDAY(A4222,2),"Mon","Tue","Wed","Thu","Fri","Sat","Sun")</f>
        <v>Tue</v>
      </c>
      <c r="H4222" t="str">
        <f>IF(WEEKDAY(A4222,2)&gt;5,"Weekend","Weekday")</f>
        <v>Weekday</v>
      </c>
      <c r="I4222" t="str">
        <f>_xlfn.IFS(B4222&lt;=5,"Night (0-5)",B4222&lt;=9,"Morning peak (6-9)",B4222&lt;=15,"Midday (10-15)",B4222&lt;=19,"Evening peak (16-19)",TRUE,"Late evening (20-23)")</f>
        <v>Late evening (20-23)</v>
      </c>
    </row>
    <row r="4223" spans="1:9">
      <c r="A4223" s="32">
        <v>41905</v>
      </c>
      <c r="B4223">
        <v>21</v>
      </c>
      <c r="C4223">
        <v>1845</v>
      </c>
      <c r="D4223" t="s">
        <v>303</v>
      </c>
      <c r="E4223">
        <f>YEAR(A4223)</f>
        <v>2014</v>
      </c>
      <c r="F4223" s="33">
        <f>DATE(YEAR(A4223),MONTH(A4223),1)</f>
        <v>41883.0</v>
      </c>
      <c r="G4223" t="str">
        <f>CHOOSE(WEEKDAY(A4223,2),"Mon","Tue","Wed","Thu","Fri","Sat","Sun")</f>
        <v>Tue</v>
      </c>
      <c r="H4223" t="str">
        <f>IF(WEEKDAY(A4223,2)&gt;5,"Weekend","Weekday")</f>
        <v>Weekday</v>
      </c>
      <c r="I4223" t="str">
        <f>_xlfn.IFS(B4223&lt;=5,"Night (0-5)",B4223&lt;=9,"Morning peak (6-9)",B4223&lt;=15,"Midday (10-15)",B4223&lt;=19,"Evening peak (16-19)",TRUE,"Late evening (20-23)")</f>
        <v>Late evening (20-23)</v>
      </c>
    </row>
    <row r="4224" spans="1:9">
      <c r="A4224" s="32">
        <v>41905</v>
      </c>
      <c r="B4224">
        <v>22</v>
      </c>
      <c r="C4224">
        <v>1409</v>
      </c>
      <c r="D4224" t="s">
        <v>303</v>
      </c>
      <c r="E4224">
        <f>YEAR(A4224)</f>
        <v>2014</v>
      </c>
      <c r="F4224" s="33">
        <f>DATE(YEAR(A4224),MONTH(A4224),1)</f>
        <v>41883.0</v>
      </c>
      <c r="G4224" t="str">
        <f>CHOOSE(WEEKDAY(A4224,2),"Mon","Tue","Wed","Thu","Fri","Sat","Sun")</f>
        <v>Tue</v>
      </c>
      <c r="H4224" t="str">
        <f>IF(WEEKDAY(A4224,2)&gt;5,"Weekend","Weekday")</f>
        <v>Weekday</v>
      </c>
      <c r="I4224" t="str">
        <f>_xlfn.IFS(B4224&lt;=5,"Night (0-5)",B4224&lt;=9,"Morning peak (6-9)",B4224&lt;=15,"Midday (10-15)",B4224&lt;=19,"Evening peak (16-19)",TRUE,"Late evening (20-23)")</f>
        <v>Late evening (20-23)</v>
      </c>
    </row>
    <row r="4225" spans="1:9">
      <c r="A4225" s="32">
        <v>41905</v>
      </c>
      <c r="B4225">
        <v>23</v>
      </c>
      <c r="C4225">
        <v>750</v>
      </c>
      <c r="D4225" t="s">
        <v>303</v>
      </c>
      <c r="E4225">
        <f>YEAR(A4225)</f>
        <v>2014</v>
      </c>
      <c r="F4225" s="33">
        <f>DATE(YEAR(A4225),MONTH(A4225),1)</f>
        <v>41883.0</v>
      </c>
      <c r="G4225" t="str">
        <f>CHOOSE(WEEKDAY(A4225,2),"Mon","Tue","Wed","Thu","Fri","Sat","Sun")</f>
        <v>Tue</v>
      </c>
      <c r="H4225" t="str">
        <f>IF(WEEKDAY(A4225,2)&gt;5,"Weekend","Weekday")</f>
        <v>Weekday</v>
      </c>
      <c r="I4225" t="str">
        <f>_xlfn.IFS(B4225&lt;=5,"Night (0-5)",B4225&lt;=9,"Morning peak (6-9)",B4225&lt;=15,"Midday (10-15)",B4225&lt;=19,"Evening peak (16-19)",TRUE,"Late evening (20-23)")</f>
        <v>Late evening (20-23)</v>
      </c>
    </row>
    <row r="4226" spans="1:9">
      <c r="A4226" s="32">
        <v>41906</v>
      </c>
      <c r="B4226">
        <v>0</v>
      </c>
      <c r="C4226">
        <v>413</v>
      </c>
      <c r="D4226" t="s">
        <v>303</v>
      </c>
      <c r="E4226">
        <f>YEAR(A4226)</f>
        <v>2014</v>
      </c>
      <c r="F4226" s="33">
        <f>DATE(YEAR(A4226),MONTH(A4226),1)</f>
        <v>41883.0</v>
      </c>
      <c r="G4226" t="str">
        <f>CHOOSE(WEEKDAY(A4226,2),"Mon","Tue","Wed","Thu","Fri","Sat","Sun")</f>
        <v>Wed</v>
      </c>
      <c r="H4226" t="str">
        <f>IF(WEEKDAY(A4226,2)&gt;5,"Weekend","Weekday")</f>
        <v>Weekday</v>
      </c>
      <c r="I4226" t="str">
        <f>_xlfn.IFS(B4226&lt;=5,"Night (0-5)",B4226&lt;=9,"Morning peak (6-9)",B4226&lt;=15,"Midday (10-15)",B4226&lt;=19,"Evening peak (16-19)",TRUE,"Late evening (20-23)")</f>
        <v>Night (0-5)</v>
      </c>
    </row>
    <row r="4227" spans="1:9">
      <c r="A4227" s="32">
        <v>41906</v>
      </c>
      <c r="B4227">
        <v>1</v>
      </c>
      <c r="C4227">
        <v>220</v>
      </c>
      <c r="D4227" t="s">
        <v>303</v>
      </c>
      <c r="E4227">
        <f>YEAR(A4227)</f>
        <v>2014</v>
      </c>
      <c r="F4227" s="33">
        <f>DATE(YEAR(A4227),MONTH(A4227),1)</f>
        <v>41883.0</v>
      </c>
      <c r="G4227" t="str">
        <f>CHOOSE(WEEKDAY(A4227,2),"Mon","Tue","Wed","Thu","Fri","Sat","Sun")</f>
        <v>Wed</v>
      </c>
      <c r="H4227" t="str">
        <f>IF(WEEKDAY(A4227,2)&gt;5,"Weekend","Weekday")</f>
        <v>Weekday</v>
      </c>
      <c r="I4227" t="str">
        <f>_xlfn.IFS(B4227&lt;=5,"Night (0-5)",B4227&lt;=9,"Morning peak (6-9)",B4227&lt;=15,"Midday (10-15)",B4227&lt;=19,"Evening peak (16-19)",TRUE,"Late evening (20-23)")</f>
        <v>Night (0-5)</v>
      </c>
    </row>
    <row r="4228" spans="1:9">
      <c r="A4228" s="32">
        <v>41906</v>
      </c>
      <c r="B4228">
        <v>2</v>
      </c>
      <c r="C4228">
        <v>145</v>
      </c>
      <c r="D4228" t="s">
        <v>303</v>
      </c>
      <c r="E4228">
        <f>YEAR(A4228)</f>
        <v>2014</v>
      </c>
      <c r="F4228" s="33">
        <f>DATE(YEAR(A4228),MONTH(A4228),1)</f>
        <v>41883.0</v>
      </c>
      <c r="G4228" t="str">
        <f>CHOOSE(WEEKDAY(A4228,2),"Mon","Tue","Wed","Thu","Fri","Sat","Sun")</f>
        <v>Wed</v>
      </c>
      <c r="H4228" t="str">
        <f>IF(WEEKDAY(A4228,2)&gt;5,"Weekend","Weekday")</f>
        <v>Weekday</v>
      </c>
      <c r="I4228" t="str">
        <f>_xlfn.IFS(B4228&lt;=5,"Night (0-5)",B4228&lt;=9,"Morning peak (6-9)",B4228&lt;=15,"Midday (10-15)",B4228&lt;=19,"Evening peak (16-19)",TRUE,"Late evening (20-23)")</f>
        <v>Night (0-5)</v>
      </c>
    </row>
    <row r="4229" spans="1:9">
      <c r="A4229" s="32">
        <v>41906</v>
      </c>
      <c r="B4229">
        <v>3</v>
      </c>
      <c r="C4229">
        <v>267</v>
      </c>
      <c r="D4229" t="s">
        <v>303</v>
      </c>
      <c r="E4229">
        <f>YEAR(A4229)</f>
        <v>2014</v>
      </c>
      <c r="F4229" s="33">
        <f>DATE(YEAR(A4229),MONTH(A4229),1)</f>
        <v>41883.0</v>
      </c>
      <c r="G4229" t="str">
        <f>CHOOSE(WEEKDAY(A4229,2),"Mon","Tue","Wed","Thu","Fri","Sat","Sun")</f>
        <v>Wed</v>
      </c>
      <c r="H4229" t="str">
        <f>IF(WEEKDAY(A4229,2)&gt;5,"Weekend","Weekday")</f>
        <v>Weekday</v>
      </c>
      <c r="I4229" t="str">
        <f>_xlfn.IFS(B4229&lt;=5,"Night (0-5)",B4229&lt;=9,"Morning peak (6-9)",B4229&lt;=15,"Midday (10-15)",B4229&lt;=19,"Evening peak (16-19)",TRUE,"Late evening (20-23)")</f>
        <v>Night (0-5)</v>
      </c>
    </row>
    <row r="4230" spans="1:9">
      <c r="A4230" s="32">
        <v>41906</v>
      </c>
      <c r="B4230">
        <v>4</v>
      </c>
      <c r="C4230">
        <v>423</v>
      </c>
      <c r="D4230" t="s">
        <v>303</v>
      </c>
      <c r="E4230">
        <f>YEAR(A4230)</f>
        <v>2014</v>
      </c>
      <c r="F4230" s="33">
        <f>DATE(YEAR(A4230),MONTH(A4230),1)</f>
        <v>41883.0</v>
      </c>
      <c r="G4230" t="str">
        <f>CHOOSE(WEEKDAY(A4230,2),"Mon","Tue","Wed","Thu","Fri","Sat","Sun")</f>
        <v>Wed</v>
      </c>
      <c r="H4230" t="str">
        <f>IF(WEEKDAY(A4230,2)&gt;5,"Weekend","Weekday")</f>
        <v>Weekday</v>
      </c>
      <c r="I4230" t="str">
        <f>_xlfn.IFS(B4230&lt;=5,"Night (0-5)",B4230&lt;=9,"Morning peak (6-9)",B4230&lt;=15,"Midday (10-15)",B4230&lt;=19,"Evening peak (16-19)",TRUE,"Late evening (20-23)")</f>
        <v>Night (0-5)</v>
      </c>
    </row>
    <row r="4231" spans="1:9">
      <c r="A4231" s="32">
        <v>41906</v>
      </c>
      <c r="B4231">
        <v>5</v>
      </c>
      <c r="C4231">
        <v>804</v>
      </c>
      <c r="D4231" t="s">
        <v>303</v>
      </c>
      <c r="E4231">
        <f>YEAR(A4231)</f>
        <v>2014</v>
      </c>
      <c r="F4231" s="33">
        <f>DATE(YEAR(A4231),MONTH(A4231),1)</f>
        <v>41883.0</v>
      </c>
      <c r="G4231" t="str">
        <f>CHOOSE(WEEKDAY(A4231,2),"Mon","Tue","Wed","Thu","Fri","Sat","Sun")</f>
        <v>Wed</v>
      </c>
      <c r="H4231" t="str">
        <f>IF(WEEKDAY(A4231,2)&gt;5,"Weekend","Weekday")</f>
        <v>Weekday</v>
      </c>
      <c r="I4231" t="str">
        <f>_xlfn.IFS(B4231&lt;=5,"Night (0-5)",B4231&lt;=9,"Morning peak (6-9)",B4231&lt;=15,"Midday (10-15)",B4231&lt;=19,"Evening peak (16-19)",TRUE,"Late evening (20-23)")</f>
        <v>Night (0-5)</v>
      </c>
    </row>
    <row r="4232" spans="1:9">
      <c r="A4232" s="32">
        <v>41906</v>
      </c>
      <c r="B4232">
        <v>6</v>
      </c>
      <c r="C4232">
        <v>1410</v>
      </c>
      <c r="D4232" t="s">
        <v>303</v>
      </c>
      <c r="E4232">
        <f>YEAR(A4232)</f>
        <v>2014</v>
      </c>
      <c r="F4232" s="33">
        <f>DATE(YEAR(A4232),MONTH(A4232),1)</f>
        <v>41883.0</v>
      </c>
      <c r="G4232" t="str">
        <f>CHOOSE(WEEKDAY(A4232,2),"Mon","Tue","Wed","Thu","Fri","Sat","Sun")</f>
        <v>Wed</v>
      </c>
      <c r="H4232" t="str">
        <f>IF(WEEKDAY(A4232,2)&gt;5,"Weekend","Weekday")</f>
        <v>Weekday</v>
      </c>
      <c r="I4232" t="str">
        <f>_xlfn.IFS(B4232&lt;=5,"Night (0-5)",B4232&lt;=9,"Morning peak (6-9)",B4232&lt;=15,"Midday (10-15)",B4232&lt;=19,"Evening peak (16-19)",TRUE,"Late evening (20-23)")</f>
        <v>Morning peak (6-9)</v>
      </c>
    </row>
    <row r="4233" spans="1:9">
      <c r="A4233" s="32">
        <v>41906</v>
      </c>
      <c r="B4233">
        <v>7</v>
      </c>
      <c r="C4233">
        <v>1741</v>
      </c>
      <c r="D4233" t="s">
        <v>303</v>
      </c>
      <c r="E4233">
        <f>YEAR(A4233)</f>
        <v>2014</v>
      </c>
      <c r="F4233" s="33">
        <f>DATE(YEAR(A4233),MONTH(A4233),1)</f>
        <v>41883.0</v>
      </c>
      <c r="G4233" t="str">
        <f>CHOOSE(WEEKDAY(A4233,2),"Mon","Tue","Wed","Thu","Fri","Sat","Sun")</f>
        <v>Wed</v>
      </c>
      <c r="H4233" t="str">
        <f>IF(WEEKDAY(A4233,2)&gt;5,"Weekend","Weekday")</f>
        <v>Weekday</v>
      </c>
      <c r="I4233" t="str">
        <f>_xlfn.IFS(B4233&lt;=5,"Night (0-5)",B4233&lt;=9,"Morning peak (6-9)",B4233&lt;=15,"Midday (10-15)",B4233&lt;=19,"Evening peak (16-19)",TRUE,"Late evening (20-23)")</f>
        <v>Morning peak (6-9)</v>
      </c>
    </row>
    <row r="4234" spans="1:9">
      <c r="A4234" s="32">
        <v>41906</v>
      </c>
      <c r="B4234">
        <v>8</v>
      </c>
      <c r="C4234">
        <v>1536</v>
      </c>
      <c r="D4234" t="s">
        <v>303</v>
      </c>
      <c r="E4234">
        <f>YEAR(A4234)</f>
        <v>2014</v>
      </c>
      <c r="F4234" s="33">
        <f>DATE(YEAR(A4234),MONTH(A4234),1)</f>
        <v>41883.0</v>
      </c>
      <c r="G4234" t="str">
        <f>CHOOSE(WEEKDAY(A4234,2),"Mon","Tue","Wed","Thu","Fri","Sat","Sun")</f>
        <v>Wed</v>
      </c>
      <c r="H4234" t="str">
        <f>IF(WEEKDAY(A4234,2)&gt;5,"Weekend","Weekday")</f>
        <v>Weekday</v>
      </c>
      <c r="I4234" t="str">
        <f>_xlfn.IFS(B4234&lt;=5,"Night (0-5)",B4234&lt;=9,"Morning peak (6-9)",B4234&lt;=15,"Midday (10-15)",B4234&lt;=19,"Evening peak (16-19)",TRUE,"Late evening (20-23)")</f>
        <v>Morning peak (6-9)</v>
      </c>
    </row>
    <row r="4235" spans="1:9">
      <c r="A4235" s="32">
        <v>41906</v>
      </c>
      <c r="B4235">
        <v>9</v>
      </c>
      <c r="C4235">
        <v>1245</v>
      </c>
      <c r="D4235" t="s">
        <v>303</v>
      </c>
      <c r="E4235">
        <f>YEAR(A4235)</f>
        <v>2014</v>
      </c>
      <c r="F4235" s="33">
        <f>DATE(YEAR(A4235),MONTH(A4235),1)</f>
        <v>41883.0</v>
      </c>
      <c r="G4235" t="str">
        <f>CHOOSE(WEEKDAY(A4235,2),"Mon","Tue","Wed","Thu","Fri","Sat","Sun")</f>
        <v>Wed</v>
      </c>
      <c r="H4235" t="str">
        <f>IF(WEEKDAY(A4235,2)&gt;5,"Weekend","Weekday")</f>
        <v>Weekday</v>
      </c>
      <c r="I4235" t="str">
        <f>_xlfn.IFS(B4235&lt;=5,"Night (0-5)",B4235&lt;=9,"Morning peak (6-9)",B4235&lt;=15,"Midday (10-15)",B4235&lt;=19,"Evening peak (16-19)",TRUE,"Late evening (20-23)")</f>
        <v>Morning peak (6-9)</v>
      </c>
    </row>
    <row r="4236" spans="1:9">
      <c r="A4236" s="32">
        <v>41906</v>
      </c>
      <c r="B4236">
        <v>10</v>
      </c>
      <c r="C4236">
        <v>1176</v>
      </c>
      <c r="D4236" t="s">
        <v>303</v>
      </c>
      <c r="E4236">
        <f>YEAR(A4236)</f>
        <v>2014</v>
      </c>
      <c r="F4236" s="33">
        <f>DATE(YEAR(A4236),MONTH(A4236),1)</f>
        <v>41883.0</v>
      </c>
      <c r="G4236" t="str">
        <f>CHOOSE(WEEKDAY(A4236,2),"Mon","Tue","Wed","Thu","Fri","Sat","Sun")</f>
        <v>Wed</v>
      </c>
      <c r="H4236" t="str">
        <f>IF(WEEKDAY(A4236,2)&gt;5,"Weekend","Weekday")</f>
        <v>Weekday</v>
      </c>
      <c r="I4236" t="str">
        <f>_xlfn.IFS(B4236&lt;=5,"Night (0-5)",B4236&lt;=9,"Morning peak (6-9)",B4236&lt;=15,"Midday (10-15)",B4236&lt;=19,"Evening peak (16-19)",TRUE,"Late evening (20-23)")</f>
        <v>Midday (10-15)</v>
      </c>
    </row>
    <row r="4237" spans="1:9">
      <c r="A4237" s="32">
        <v>41906</v>
      </c>
      <c r="B4237">
        <v>11</v>
      </c>
      <c r="C4237">
        <v>1242</v>
      </c>
      <c r="D4237" t="s">
        <v>303</v>
      </c>
      <c r="E4237">
        <f>YEAR(A4237)</f>
        <v>2014</v>
      </c>
      <c r="F4237" s="33">
        <f>DATE(YEAR(A4237),MONTH(A4237),1)</f>
        <v>41883.0</v>
      </c>
      <c r="G4237" t="str">
        <f>CHOOSE(WEEKDAY(A4237,2),"Mon","Tue","Wed","Thu","Fri","Sat","Sun")</f>
        <v>Wed</v>
      </c>
      <c r="H4237" t="str">
        <f>IF(WEEKDAY(A4237,2)&gt;5,"Weekend","Weekday")</f>
        <v>Weekday</v>
      </c>
      <c r="I4237" t="str">
        <f>_xlfn.IFS(B4237&lt;=5,"Night (0-5)",B4237&lt;=9,"Morning peak (6-9)",B4237&lt;=15,"Midday (10-15)",B4237&lt;=19,"Evening peak (16-19)",TRUE,"Late evening (20-23)")</f>
        <v>Midday (10-15)</v>
      </c>
    </row>
    <row r="4238" spans="1:9">
      <c r="A4238" s="32">
        <v>41906</v>
      </c>
      <c r="B4238">
        <v>12</v>
      </c>
      <c r="C4238">
        <v>1122</v>
      </c>
      <c r="D4238" t="s">
        <v>303</v>
      </c>
      <c r="E4238">
        <f>YEAR(A4238)</f>
        <v>2014</v>
      </c>
      <c r="F4238" s="33">
        <f>DATE(YEAR(A4238),MONTH(A4238),1)</f>
        <v>41883.0</v>
      </c>
      <c r="G4238" t="str">
        <f>CHOOSE(WEEKDAY(A4238,2),"Mon","Tue","Wed","Thu","Fri","Sat","Sun")</f>
        <v>Wed</v>
      </c>
      <c r="H4238" t="str">
        <f>IF(WEEKDAY(A4238,2)&gt;5,"Weekend","Weekday")</f>
        <v>Weekday</v>
      </c>
      <c r="I4238" t="str">
        <f>_xlfn.IFS(B4238&lt;=5,"Night (0-5)",B4238&lt;=9,"Morning peak (6-9)",B4238&lt;=15,"Midday (10-15)",B4238&lt;=19,"Evening peak (16-19)",TRUE,"Late evening (20-23)")</f>
        <v>Midday (10-15)</v>
      </c>
    </row>
    <row r="4239" spans="1:9">
      <c r="A4239" s="32">
        <v>41906</v>
      </c>
      <c r="B4239">
        <v>13</v>
      </c>
      <c r="C4239">
        <v>1349</v>
      </c>
      <c r="D4239" t="s">
        <v>303</v>
      </c>
      <c r="E4239">
        <f>YEAR(A4239)</f>
        <v>2014</v>
      </c>
      <c r="F4239" s="33">
        <f>DATE(YEAR(A4239),MONTH(A4239),1)</f>
        <v>41883.0</v>
      </c>
      <c r="G4239" t="str">
        <f>CHOOSE(WEEKDAY(A4239,2),"Mon","Tue","Wed","Thu","Fri","Sat","Sun")</f>
        <v>Wed</v>
      </c>
      <c r="H4239" t="str">
        <f>IF(WEEKDAY(A4239,2)&gt;5,"Weekend","Weekday")</f>
        <v>Weekday</v>
      </c>
      <c r="I4239" t="str">
        <f>_xlfn.IFS(B4239&lt;=5,"Night (0-5)",B4239&lt;=9,"Morning peak (6-9)",B4239&lt;=15,"Midday (10-15)",B4239&lt;=19,"Evening peak (16-19)",TRUE,"Late evening (20-23)")</f>
        <v>Midday (10-15)</v>
      </c>
    </row>
    <row r="4240" spans="1:9">
      <c r="A4240" s="32">
        <v>41906</v>
      </c>
      <c r="B4240">
        <v>14</v>
      </c>
      <c r="C4240">
        <v>1659</v>
      </c>
      <c r="D4240" t="s">
        <v>303</v>
      </c>
      <c r="E4240">
        <f>YEAR(A4240)</f>
        <v>2014</v>
      </c>
      <c r="F4240" s="33">
        <f>DATE(YEAR(A4240),MONTH(A4240),1)</f>
        <v>41883.0</v>
      </c>
      <c r="G4240" t="str">
        <f>CHOOSE(WEEKDAY(A4240,2),"Mon","Tue","Wed","Thu","Fri","Sat","Sun")</f>
        <v>Wed</v>
      </c>
      <c r="H4240" t="str">
        <f>IF(WEEKDAY(A4240,2)&gt;5,"Weekend","Weekday")</f>
        <v>Weekday</v>
      </c>
      <c r="I4240" t="str">
        <f>_xlfn.IFS(B4240&lt;=5,"Night (0-5)",B4240&lt;=9,"Morning peak (6-9)",B4240&lt;=15,"Midday (10-15)",B4240&lt;=19,"Evening peak (16-19)",TRUE,"Late evening (20-23)")</f>
        <v>Midday (10-15)</v>
      </c>
    </row>
    <row r="4241" spans="1:9">
      <c r="A4241" s="32">
        <v>41906</v>
      </c>
      <c r="B4241">
        <v>15</v>
      </c>
      <c r="C4241">
        <v>1924</v>
      </c>
      <c r="D4241" t="s">
        <v>303</v>
      </c>
      <c r="E4241">
        <f>YEAR(A4241)</f>
        <v>2014</v>
      </c>
      <c r="F4241" s="33">
        <f>DATE(YEAR(A4241),MONTH(A4241),1)</f>
        <v>41883.0</v>
      </c>
      <c r="G4241" t="str">
        <f>CHOOSE(WEEKDAY(A4241,2),"Mon","Tue","Wed","Thu","Fri","Sat","Sun")</f>
        <v>Wed</v>
      </c>
      <c r="H4241" t="str">
        <f>IF(WEEKDAY(A4241,2)&gt;5,"Weekend","Weekday")</f>
        <v>Weekday</v>
      </c>
      <c r="I4241" t="str">
        <f>_xlfn.IFS(B4241&lt;=5,"Night (0-5)",B4241&lt;=9,"Morning peak (6-9)",B4241&lt;=15,"Midday (10-15)",B4241&lt;=19,"Evening peak (16-19)",TRUE,"Late evening (20-23)")</f>
        <v>Midday (10-15)</v>
      </c>
    </row>
    <row r="4242" spans="1:9">
      <c r="A4242" s="32">
        <v>41906</v>
      </c>
      <c r="B4242">
        <v>16</v>
      </c>
      <c r="C4242">
        <v>2127</v>
      </c>
      <c r="D4242" t="s">
        <v>303</v>
      </c>
      <c r="E4242">
        <f>YEAR(A4242)</f>
        <v>2014</v>
      </c>
      <c r="F4242" s="33">
        <f>DATE(YEAR(A4242),MONTH(A4242),1)</f>
        <v>41883.0</v>
      </c>
      <c r="G4242" t="str">
        <f>CHOOSE(WEEKDAY(A4242,2),"Mon","Tue","Wed","Thu","Fri","Sat","Sun")</f>
        <v>Wed</v>
      </c>
      <c r="H4242" t="str">
        <f>IF(WEEKDAY(A4242,2)&gt;5,"Weekend","Weekday")</f>
        <v>Weekday</v>
      </c>
      <c r="I4242" t="str">
        <f>_xlfn.IFS(B4242&lt;=5,"Night (0-5)",B4242&lt;=9,"Morning peak (6-9)",B4242&lt;=15,"Midday (10-15)",B4242&lt;=19,"Evening peak (16-19)",TRUE,"Late evening (20-23)")</f>
        <v>Evening peak (16-19)</v>
      </c>
    </row>
    <row r="4243" spans="1:9">
      <c r="A4243" s="32">
        <v>41906</v>
      </c>
      <c r="B4243">
        <v>17</v>
      </c>
      <c r="C4243">
        <v>2302</v>
      </c>
      <c r="D4243" t="s">
        <v>303</v>
      </c>
      <c r="E4243">
        <f>YEAR(A4243)</f>
        <v>2014</v>
      </c>
      <c r="F4243" s="33">
        <f>DATE(YEAR(A4243),MONTH(A4243),1)</f>
        <v>41883.0</v>
      </c>
      <c r="G4243" t="str">
        <f>CHOOSE(WEEKDAY(A4243,2),"Mon","Tue","Wed","Thu","Fri","Sat","Sun")</f>
        <v>Wed</v>
      </c>
      <c r="H4243" t="str">
        <f>IF(WEEKDAY(A4243,2)&gt;5,"Weekend","Weekday")</f>
        <v>Weekday</v>
      </c>
      <c r="I4243" t="str">
        <f>_xlfn.IFS(B4243&lt;=5,"Night (0-5)",B4243&lt;=9,"Morning peak (6-9)",B4243&lt;=15,"Midday (10-15)",B4243&lt;=19,"Evening peak (16-19)",TRUE,"Late evening (20-23)")</f>
        <v>Evening peak (16-19)</v>
      </c>
    </row>
    <row r="4244" spans="1:9">
      <c r="A4244" s="32">
        <v>41906</v>
      </c>
      <c r="B4244">
        <v>18</v>
      </c>
      <c r="C4244">
        <v>2271</v>
      </c>
      <c r="D4244" t="s">
        <v>303</v>
      </c>
      <c r="E4244">
        <f>YEAR(A4244)</f>
        <v>2014</v>
      </c>
      <c r="F4244" s="33">
        <f>DATE(YEAR(A4244),MONTH(A4244),1)</f>
        <v>41883.0</v>
      </c>
      <c r="G4244" t="str">
        <f>CHOOSE(WEEKDAY(A4244,2),"Mon","Tue","Wed","Thu","Fri","Sat","Sun")</f>
        <v>Wed</v>
      </c>
      <c r="H4244" t="str">
        <f>IF(WEEKDAY(A4244,2)&gt;5,"Weekend","Weekday")</f>
        <v>Weekday</v>
      </c>
      <c r="I4244" t="str">
        <f>_xlfn.IFS(B4244&lt;=5,"Night (0-5)",B4244&lt;=9,"Morning peak (6-9)",B4244&lt;=15,"Midday (10-15)",B4244&lt;=19,"Evening peak (16-19)",TRUE,"Late evening (20-23)")</f>
        <v>Evening peak (16-19)</v>
      </c>
    </row>
    <row r="4245" spans="1:9">
      <c r="A4245" s="32">
        <v>41906</v>
      </c>
      <c r="B4245">
        <v>19</v>
      </c>
      <c r="C4245">
        <v>2001</v>
      </c>
      <c r="D4245" t="s">
        <v>303</v>
      </c>
      <c r="E4245">
        <f>YEAR(A4245)</f>
        <v>2014</v>
      </c>
      <c r="F4245" s="33">
        <f>DATE(YEAR(A4245),MONTH(A4245),1)</f>
        <v>41883.0</v>
      </c>
      <c r="G4245" t="str">
        <f>CHOOSE(WEEKDAY(A4245,2),"Mon","Tue","Wed","Thu","Fri","Sat","Sun")</f>
        <v>Wed</v>
      </c>
      <c r="H4245" t="str">
        <f>IF(WEEKDAY(A4245,2)&gt;5,"Weekend","Weekday")</f>
        <v>Weekday</v>
      </c>
      <c r="I4245" t="str">
        <f>_xlfn.IFS(B4245&lt;=5,"Night (0-5)",B4245&lt;=9,"Morning peak (6-9)",B4245&lt;=15,"Midday (10-15)",B4245&lt;=19,"Evening peak (16-19)",TRUE,"Late evening (20-23)")</f>
        <v>Evening peak (16-19)</v>
      </c>
    </row>
    <row r="4246" spans="1:9">
      <c r="A4246" s="32">
        <v>41906</v>
      </c>
      <c r="B4246">
        <v>20</v>
      </c>
      <c r="C4246">
        <v>2005</v>
      </c>
      <c r="D4246" t="s">
        <v>303</v>
      </c>
      <c r="E4246">
        <f>YEAR(A4246)</f>
        <v>2014</v>
      </c>
      <c r="F4246" s="33">
        <f>DATE(YEAR(A4246),MONTH(A4246),1)</f>
        <v>41883.0</v>
      </c>
      <c r="G4246" t="str">
        <f>CHOOSE(WEEKDAY(A4246,2),"Mon","Tue","Wed","Thu","Fri","Sat","Sun")</f>
        <v>Wed</v>
      </c>
      <c r="H4246" t="str">
        <f>IF(WEEKDAY(A4246,2)&gt;5,"Weekend","Weekday")</f>
        <v>Weekday</v>
      </c>
      <c r="I4246" t="str">
        <f>_xlfn.IFS(B4246&lt;=5,"Night (0-5)",B4246&lt;=9,"Morning peak (6-9)",B4246&lt;=15,"Midday (10-15)",B4246&lt;=19,"Evening peak (16-19)",TRUE,"Late evening (20-23)")</f>
        <v>Late evening (20-23)</v>
      </c>
    </row>
    <row r="4247" spans="1:9">
      <c r="A4247" s="32">
        <v>41906</v>
      </c>
      <c r="B4247">
        <v>21</v>
      </c>
      <c r="C4247">
        <v>1816</v>
      </c>
      <c r="D4247" t="s">
        <v>303</v>
      </c>
      <c r="E4247">
        <f>YEAR(A4247)</f>
        <v>2014</v>
      </c>
      <c r="F4247" s="33">
        <f>DATE(YEAR(A4247),MONTH(A4247),1)</f>
        <v>41883.0</v>
      </c>
      <c r="G4247" t="str">
        <f>CHOOSE(WEEKDAY(A4247,2),"Mon","Tue","Wed","Thu","Fri","Sat","Sun")</f>
        <v>Wed</v>
      </c>
      <c r="H4247" t="str">
        <f>IF(WEEKDAY(A4247,2)&gt;5,"Weekend","Weekday")</f>
        <v>Weekday</v>
      </c>
      <c r="I4247" t="str">
        <f>_xlfn.IFS(B4247&lt;=5,"Night (0-5)",B4247&lt;=9,"Morning peak (6-9)",B4247&lt;=15,"Midday (10-15)",B4247&lt;=19,"Evening peak (16-19)",TRUE,"Late evening (20-23)")</f>
        <v>Late evening (20-23)</v>
      </c>
    </row>
    <row r="4248" spans="1:9">
      <c r="A4248" s="32">
        <v>41906</v>
      </c>
      <c r="B4248">
        <v>22</v>
      </c>
      <c r="C4248">
        <v>1350</v>
      </c>
      <c r="D4248" t="s">
        <v>303</v>
      </c>
      <c r="E4248">
        <f>YEAR(A4248)</f>
        <v>2014</v>
      </c>
      <c r="F4248" s="33">
        <f>DATE(YEAR(A4248),MONTH(A4248),1)</f>
        <v>41883.0</v>
      </c>
      <c r="G4248" t="str">
        <f>CHOOSE(WEEKDAY(A4248,2),"Mon","Tue","Wed","Thu","Fri","Sat","Sun")</f>
        <v>Wed</v>
      </c>
      <c r="H4248" t="str">
        <f>IF(WEEKDAY(A4248,2)&gt;5,"Weekend","Weekday")</f>
        <v>Weekday</v>
      </c>
      <c r="I4248" t="str">
        <f>_xlfn.IFS(B4248&lt;=5,"Night (0-5)",B4248&lt;=9,"Morning peak (6-9)",B4248&lt;=15,"Midday (10-15)",B4248&lt;=19,"Evening peak (16-19)",TRUE,"Late evening (20-23)")</f>
        <v>Late evening (20-23)</v>
      </c>
    </row>
    <row r="4249" spans="1:9">
      <c r="A4249" s="32">
        <v>41906</v>
      </c>
      <c r="B4249">
        <v>23</v>
      </c>
      <c r="C4249">
        <v>753</v>
      </c>
      <c r="D4249" t="s">
        <v>303</v>
      </c>
      <c r="E4249">
        <f>YEAR(A4249)</f>
        <v>2014</v>
      </c>
      <c r="F4249" s="33">
        <f>DATE(YEAR(A4249),MONTH(A4249),1)</f>
        <v>41883.0</v>
      </c>
      <c r="G4249" t="str">
        <f>CHOOSE(WEEKDAY(A4249,2),"Mon","Tue","Wed","Thu","Fri","Sat","Sun")</f>
        <v>Wed</v>
      </c>
      <c r="H4249" t="str">
        <f>IF(WEEKDAY(A4249,2)&gt;5,"Weekend","Weekday")</f>
        <v>Weekday</v>
      </c>
      <c r="I4249" t="str">
        <f>_xlfn.IFS(B4249&lt;=5,"Night (0-5)",B4249&lt;=9,"Morning peak (6-9)",B4249&lt;=15,"Midday (10-15)",B4249&lt;=19,"Evening peak (16-19)",TRUE,"Late evening (20-23)")</f>
        <v>Late evening (20-23)</v>
      </c>
    </row>
    <row r="4250" spans="1:9">
      <c r="A4250" s="32">
        <v>41907</v>
      </c>
      <c r="B4250">
        <v>0</v>
      </c>
      <c r="C4250">
        <v>382</v>
      </c>
      <c r="D4250" t="s">
        <v>303</v>
      </c>
      <c r="E4250">
        <f>YEAR(A4250)</f>
        <v>2014</v>
      </c>
      <c r="F4250" s="33">
        <f>DATE(YEAR(A4250),MONTH(A4250),1)</f>
        <v>41883.0</v>
      </c>
      <c r="G4250" t="str">
        <f>CHOOSE(WEEKDAY(A4250,2),"Mon","Tue","Wed","Thu","Fri","Sat","Sun")</f>
        <v>Thu</v>
      </c>
      <c r="H4250" t="str">
        <f>IF(WEEKDAY(A4250,2)&gt;5,"Weekend","Weekday")</f>
        <v>Weekday</v>
      </c>
      <c r="I4250" t="str">
        <f>_xlfn.IFS(B4250&lt;=5,"Night (0-5)",B4250&lt;=9,"Morning peak (6-9)",B4250&lt;=15,"Midday (10-15)",B4250&lt;=19,"Evening peak (16-19)",TRUE,"Late evening (20-23)")</f>
        <v>Night (0-5)</v>
      </c>
    </row>
    <row r="4251" spans="1:9">
      <c r="A4251" s="32">
        <v>41907</v>
      </c>
      <c r="B4251">
        <v>1</v>
      </c>
      <c r="C4251">
        <v>233</v>
      </c>
      <c r="D4251" t="s">
        <v>303</v>
      </c>
      <c r="E4251">
        <f>YEAR(A4251)</f>
        <v>2014</v>
      </c>
      <c r="F4251" s="33">
        <f>DATE(YEAR(A4251),MONTH(A4251),1)</f>
        <v>41883.0</v>
      </c>
      <c r="G4251" t="str">
        <f>CHOOSE(WEEKDAY(A4251,2),"Mon","Tue","Wed","Thu","Fri","Sat","Sun")</f>
        <v>Thu</v>
      </c>
      <c r="H4251" t="str">
        <f>IF(WEEKDAY(A4251,2)&gt;5,"Weekend","Weekday")</f>
        <v>Weekday</v>
      </c>
      <c r="I4251" t="str">
        <f>_xlfn.IFS(B4251&lt;=5,"Night (0-5)",B4251&lt;=9,"Morning peak (6-9)",B4251&lt;=15,"Midday (10-15)",B4251&lt;=19,"Evening peak (16-19)",TRUE,"Late evening (20-23)")</f>
        <v>Night (0-5)</v>
      </c>
    </row>
    <row r="4252" spans="1:9">
      <c r="A4252" s="32">
        <v>41907</v>
      </c>
      <c r="B4252">
        <v>2</v>
      </c>
      <c r="C4252">
        <v>181</v>
      </c>
      <c r="D4252" t="s">
        <v>303</v>
      </c>
      <c r="E4252">
        <f>YEAR(A4252)</f>
        <v>2014</v>
      </c>
      <c r="F4252" s="33">
        <f>DATE(YEAR(A4252),MONTH(A4252),1)</f>
        <v>41883.0</v>
      </c>
      <c r="G4252" t="str">
        <f>CHOOSE(WEEKDAY(A4252,2),"Mon","Tue","Wed","Thu","Fri","Sat","Sun")</f>
        <v>Thu</v>
      </c>
      <c r="H4252" t="str">
        <f>IF(WEEKDAY(A4252,2)&gt;5,"Weekend","Weekday")</f>
        <v>Weekday</v>
      </c>
      <c r="I4252" t="str">
        <f>_xlfn.IFS(B4252&lt;=5,"Night (0-5)",B4252&lt;=9,"Morning peak (6-9)",B4252&lt;=15,"Midday (10-15)",B4252&lt;=19,"Evening peak (16-19)",TRUE,"Late evening (20-23)")</f>
        <v>Night (0-5)</v>
      </c>
    </row>
    <row r="4253" spans="1:9">
      <c r="A4253" s="32">
        <v>41907</v>
      </c>
      <c r="B4253">
        <v>3</v>
      </c>
      <c r="C4253">
        <v>289</v>
      </c>
      <c r="D4253" t="s">
        <v>303</v>
      </c>
      <c r="E4253">
        <f>YEAR(A4253)</f>
        <v>2014</v>
      </c>
      <c r="F4253" s="33">
        <f>DATE(YEAR(A4253),MONTH(A4253),1)</f>
        <v>41883.0</v>
      </c>
      <c r="G4253" t="str">
        <f>CHOOSE(WEEKDAY(A4253,2),"Mon","Tue","Wed","Thu","Fri","Sat","Sun")</f>
        <v>Thu</v>
      </c>
      <c r="H4253" t="str">
        <f>IF(WEEKDAY(A4253,2)&gt;5,"Weekend","Weekday")</f>
        <v>Weekday</v>
      </c>
      <c r="I4253" t="str">
        <f>_xlfn.IFS(B4253&lt;=5,"Night (0-5)",B4253&lt;=9,"Morning peak (6-9)",B4253&lt;=15,"Midday (10-15)",B4253&lt;=19,"Evening peak (16-19)",TRUE,"Late evening (20-23)")</f>
        <v>Night (0-5)</v>
      </c>
    </row>
    <row r="4254" spans="1:9">
      <c r="A4254" s="32">
        <v>41907</v>
      </c>
      <c r="B4254">
        <v>4</v>
      </c>
      <c r="C4254">
        <v>436</v>
      </c>
      <c r="D4254" t="s">
        <v>303</v>
      </c>
      <c r="E4254">
        <f>YEAR(A4254)</f>
        <v>2014</v>
      </c>
      <c r="F4254" s="33">
        <f>DATE(YEAR(A4254),MONTH(A4254),1)</f>
        <v>41883.0</v>
      </c>
      <c r="G4254" t="str">
        <f>CHOOSE(WEEKDAY(A4254,2),"Mon","Tue","Wed","Thu","Fri","Sat","Sun")</f>
        <v>Thu</v>
      </c>
      <c r="H4254" t="str">
        <f>IF(WEEKDAY(A4254,2)&gt;5,"Weekend","Weekday")</f>
        <v>Weekday</v>
      </c>
      <c r="I4254" t="str">
        <f>_xlfn.IFS(B4254&lt;=5,"Night (0-5)",B4254&lt;=9,"Morning peak (6-9)",B4254&lt;=15,"Midday (10-15)",B4254&lt;=19,"Evening peak (16-19)",TRUE,"Late evening (20-23)")</f>
        <v>Night (0-5)</v>
      </c>
    </row>
    <row r="4255" spans="1:9">
      <c r="A4255" s="32">
        <v>41907</v>
      </c>
      <c r="B4255">
        <v>5</v>
      </c>
      <c r="C4255">
        <v>811</v>
      </c>
      <c r="D4255" t="s">
        <v>303</v>
      </c>
      <c r="E4255">
        <f>YEAR(A4255)</f>
        <v>2014</v>
      </c>
      <c r="F4255" s="33">
        <f>DATE(YEAR(A4255),MONTH(A4255),1)</f>
        <v>41883.0</v>
      </c>
      <c r="G4255" t="str">
        <f>CHOOSE(WEEKDAY(A4255,2),"Mon","Tue","Wed","Thu","Fri","Sat","Sun")</f>
        <v>Thu</v>
      </c>
      <c r="H4255" t="str">
        <f>IF(WEEKDAY(A4255,2)&gt;5,"Weekend","Weekday")</f>
        <v>Weekday</v>
      </c>
      <c r="I4255" t="str">
        <f>_xlfn.IFS(B4255&lt;=5,"Night (0-5)",B4255&lt;=9,"Morning peak (6-9)",B4255&lt;=15,"Midday (10-15)",B4255&lt;=19,"Evening peak (16-19)",TRUE,"Late evening (20-23)")</f>
        <v>Night (0-5)</v>
      </c>
    </row>
    <row r="4256" spans="1:9">
      <c r="A4256" s="32">
        <v>41907</v>
      </c>
      <c r="B4256">
        <v>6</v>
      </c>
      <c r="C4256">
        <v>1737</v>
      </c>
      <c r="D4256" t="s">
        <v>303</v>
      </c>
      <c r="E4256">
        <f>YEAR(A4256)</f>
        <v>2014</v>
      </c>
      <c r="F4256" s="33">
        <f>DATE(YEAR(A4256),MONTH(A4256),1)</f>
        <v>41883.0</v>
      </c>
      <c r="G4256" t="str">
        <f>CHOOSE(WEEKDAY(A4256,2),"Mon","Tue","Wed","Thu","Fri","Sat","Sun")</f>
        <v>Thu</v>
      </c>
      <c r="H4256" t="str">
        <f>IF(WEEKDAY(A4256,2)&gt;5,"Weekend","Weekday")</f>
        <v>Weekday</v>
      </c>
      <c r="I4256" t="str">
        <f>_xlfn.IFS(B4256&lt;=5,"Night (0-5)",B4256&lt;=9,"Morning peak (6-9)",B4256&lt;=15,"Midday (10-15)",B4256&lt;=19,"Evening peak (16-19)",TRUE,"Late evening (20-23)")</f>
        <v>Morning peak (6-9)</v>
      </c>
    </row>
    <row r="4257" spans="1:9">
      <c r="A4257" s="32">
        <v>41907</v>
      </c>
      <c r="B4257">
        <v>7</v>
      </c>
      <c r="C4257">
        <v>2560</v>
      </c>
      <c r="D4257" t="s">
        <v>303</v>
      </c>
      <c r="E4257">
        <f>YEAR(A4257)</f>
        <v>2014</v>
      </c>
      <c r="F4257" s="33">
        <f>DATE(YEAR(A4257),MONTH(A4257),1)</f>
        <v>41883.0</v>
      </c>
      <c r="G4257" t="str">
        <f>CHOOSE(WEEKDAY(A4257,2),"Mon","Tue","Wed","Thu","Fri","Sat","Sun")</f>
        <v>Thu</v>
      </c>
      <c r="H4257" t="str">
        <f>IF(WEEKDAY(A4257,2)&gt;5,"Weekend","Weekday")</f>
        <v>Weekday</v>
      </c>
      <c r="I4257" t="str">
        <f>_xlfn.IFS(B4257&lt;=5,"Night (0-5)",B4257&lt;=9,"Morning peak (6-9)",B4257&lt;=15,"Midday (10-15)",B4257&lt;=19,"Evening peak (16-19)",TRUE,"Late evening (20-23)")</f>
        <v>Morning peak (6-9)</v>
      </c>
    </row>
    <row r="4258" spans="1:9">
      <c r="A4258" s="32">
        <v>41907</v>
      </c>
      <c r="B4258">
        <v>8</v>
      </c>
      <c r="C4258">
        <v>2300</v>
      </c>
      <c r="D4258" t="s">
        <v>303</v>
      </c>
      <c r="E4258">
        <f>YEAR(A4258)</f>
        <v>2014</v>
      </c>
      <c r="F4258" s="33">
        <f>DATE(YEAR(A4258),MONTH(A4258),1)</f>
        <v>41883.0</v>
      </c>
      <c r="G4258" t="str">
        <f>CHOOSE(WEEKDAY(A4258,2),"Mon","Tue","Wed","Thu","Fri","Sat","Sun")</f>
        <v>Thu</v>
      </c>
      <c r="H4258" t="str">
        <f>IF(WEEKDAY(A4258,2)&gt;5,"Weekend","Weekday")</f>
        <v>Weekday</v>
      </c>
      <c r="I4258" t="str">
        <f>_xlfn.IFS(B4258&lt;=5,"Night (0-5)",B4258&lt;=9,"Morning peak (6-9)",B4258&lt;=15,"Midday (10-15)",B4258&lt;=19,"Evening peak (16-19)",TRUE,"Late evening (20-23)")</f>
        <v>Morning peak (6-9)</v>
      </c>
    </row>
    <row r="4259" spans="1:9">
      <c r="A4259" s="32">
        <v>41907</v>
      </c>
      <c r="B4259">
        <v>9</v>
      </c>
      <c r="C4259">
        <v>2118</v>
      </c>
      <c r="D4259" t="s">
        <v>303</v>
      </c>
      <c r="E4259">
        <f>YEAR(A4259)</f>
        <v>2014</v>
      </c>
      <c r="F4259" s="33">
        <f>DATE(YEAR(A4259),MONTH(A4259),1)</f>
        <v>41883.0</v>
      </c>
      <c r="G4259" t="str">
        <f>CHOOSE(WEEKDAY(A4259,2),"Mon","Tue","Wed","Thu","Fri","Sat","Sun")</f>
        <v>Thu</v>
      </c>
      <c r="H4259" t="str">
        <f>IF(WEEKDAY(A4259,2)&gt;5,"Weekend","Weekday")</f>
        <v>Weekday</v>
      </c>
      <c r="I4259" t="str">
        <f>_xlfn.IFS(B4259&lt;=5,"Night (0-5)",B4259&lt;=9,"Morning peak (6-9)",B4259&lt;=15,"Midday (10-15)",B4259&lt;=19,"Evening peak (16-19)",TRUE,"Late evening (20-23)")</f>
        <v>Morning peak (6-9)</v>
      </c>
    </row>
    <row r="4260" spans="1:9">
      <c r="A4260" s="32">
        <v>41907</v>
      </c>
      <c r="B4260">
        <v>10</v>
      </c>
      <c r="C4260">
        <v>1740</v>
      </c>
      <c r="D4260" t="s">
        <v>303</v>
      </c>
      <c r="E4260">
        <f>YEAR(A4260)</f>
        <v>2014</v>
      </c>
      <c r="F4260" s="33">
        <f>DATE(YEAR(A4260),MONTH(A4260),1)</f>
        <v>41883.0</v>
      </c>
      <c r="G4260" t="str">
        <f>CHOOSE(WEEKDAY(A4260,2),"Mon","Tue","Wed","Thu","Fri","Sat","Sun")</f>
        <v>Thu</v>
      </c>
      <c r="H4260" t="str">
        <f>IF(WEEKDAY(A4260,2)&gt;5,"Weekend","Weekday")</f>
        <v>Weekday</v>
      </c>
      <c r="I4260" t="str">
        <f>_xlfn.IFS(B4260&lt;=5,"Night (0-5)",B4260&lt;=9,"Morning peak (6-9)",B4260&lt;=15,"Midday (10-15)",B4260&lt;=19,"Evening peak (16-19)",TRUE,"Late evening (20-23)")</f>
        <v>Midday (10-15)</v>
      </c>
    </row>
    <row r="4261" spans="1:9">
      <c r="A4261" s="32">
        <v>41907</v>
      </c>
      <c r="B4261">
        <v>11</v>
      </c>
      <c r="C4261">
        <v>1673</v>
      </c>
      <c r="D4261" t="s">
        <v>303</v>
      </c>
      <c r="E4261">
        <f>YEAR(A4261)</f>
        <v>2014</v>
      </c>
      <c r="F4261" s="33">
        <f>DATE(YEAR(A4261),MONTH(A4261),1)</f>
        <v>41883.0</v>
      </c>
      <c r="G4261" t="str">
        <f>CHOOSE(WEEKDAY(A4261,2),"Mon","Tue","Wed","Thu","Fri","Sat","Sun")</f>
        <v>Thu</v>
      </c>
      <c r="H4261" t="str">
        <f>IF(WEEKDAY(A4261,2)&gt;5,"Weekend","Weekday")</f>
        <v>Weekday</v>
      </c>
      <c r="I4261" t="str">
        <f>_xlfn.IFS(B4261&lt;=5,"Night (0-5)",B4261&lt;=9,"Morning peak (6-9)",B4261&lt;=15,"Midday (10-15)",B4261&lt;=19,"Evening peak (16-19)",TRUE,"Late evening (20-23)")</f>
        <v>Midday (10-15)</v>
      </c>
    </row>
    <row r="4262" spans="1:9">
      <c r="A4262" s="32">
        <v>41907</v>
      </c>
      <c r="B4262">
        <v>12</v>
      </c>
      <c r="C4262">
        <v>1585</v>
      </c>
      <c r="D4262" t="s">
        <v>303</v>
      </c>
      <c r="E4262">
        <f>YEAR(A4262)</f>
        <v>2014</v>
      </c>
      <c r="F4262" s="33">
        <f>DATE(YEAR(A4262),MONTH(A4262),1)</f>
        <v>41883.0</v>
      </c>
      <c r="G4262" t="str">
        <f>CHOOSE(WEEKDAY(A4262,2),"Mon","Tue","Wed","Thu","Fri","Sat","Sun")</f>
        <v>Thu</v>
      </c>
      <c r="H4262" t="str">
        <f>IF(WEEKDAY(A4262,2)&gt;5,"Weekend","Weekday")</f>
        <v>Weekday</v>
      </c>
      <c r="I4262" t="str">
        <f>_xlfn.IFS(B4262&lt;=5,"Night (0-5)",B4262&lt;=9,"Morning peak (6-9)",B4262&lt;=15,"Midday (10-15)",B4262&lt;=19,"Evening peak (16-19)",TRUE,"Late evening (20-23)")</f>
        <v>Midday (10-15)</v>
      </c>
    </row>
    <row r="4263" spans="1:9">
      <c r="A4263" s="32">
        <v>41907</v>
      </c>
      <c r="B4263">
        <v>13</v>
      </c>
      <c r="C4263">
        <v>1636</v>
      </c>
      <c r="D4263" t="s">
        <v>303</v>
      </c>
      <c r="E4263">
        <f>YEAR(A4263)</f>
        <v>2014</v>
      </c>
      <c r="F4263" s="33">
        <f>DATE(YEAR(A4263),MONTH(A4263),1)</f>
        <v>41883.0</v>
      </c>
      <c r="G4263" t="str">
        <f>CHOOSE(WEEKDAY(A4263,2),"Mon","Tue","Wed","Thu","Fri","Sat","Sun")</f>
        <v>Thu</v>
      </c>
      <c r="H4263" t="str">
        <f>IF(WEEKDAY(A4263,2)&gt;5,"Weekend","Weekday")</f>
        <v>Weekday</v>
      </c>
      <c r="I4263" t="str">
        <f>_xlfn.IFS(B4263&lt;=5,"Night (0-5)",B4263&lt;=9,"Morning peak (6-9)",B4263&lt;=15,"Midday (10-15)",B4263&lt;=19,"Evening peak (16-19)",TRUE,"Late evening (20-23)")</f>
        <v>Midday (10-15)</v>
      </c>
    </row>
    <row r="4264" spans="1:9">
      <c r="A4264" s="32">
        <v>41907</v>
      </c>
      <c r="B4264">
        <v>14</v>
      </c>
      <c r="C4264">
        <v>1776</v>
      </c>
      <c r="D4264" t="s">
        <v>303</v>
      </c>
      <c r="E4264">
        <f>YEAR(A4264)</f>
        <v>2014</v>
      </c>
      <c r="F4264" s="33">
        <f>DATE(YEAR(A4264),MONTH(A4264),1)</f>
        <v>41883.0</v>
      </c>
      <c r="G4264" t="str">
        <f>CHOOSE(WEEKDAY(A4264,2),"Mon","Tue","Wed","Thu","Fri","Sat","Sun")</f>
        <v>Thu</v>
      </c>
      <c r="H4264" t="str">
        <f>IF(WEEKDAY(A4264,2)&gt;5,"Weekend","Weekday")</f>
        <v>Weekday</v>
      </c>
      <c r="I4264" t="str">
        <f>_xlfn.IFS(B4264&lt;=5,"Night (0-5)",B4264&lt;=9,"Morning peak (6-9)",B4264&lt;=15,"Midday (10-15)",B4264&lt;=19,"Evening peak (16-19)",TRUE,"Late evening (20-23)")</f>
        <v>Midday (10-15)</v>
      </c>
    </row>
    <row r="4265" spans="1:9">
      <c r="A4265" s="32">
        <v>41907</v>
      </c>
      <c r="B4265">
        <v>15</v>
      </c>
      <c r="C4265">
        <v>2069</v>
      </c>
      <c r="D4265" t="s">
        <v>303</v>
      </c>
      <c r="E4265">
        <f>YEAR(A4265)</f>
        <v>2014</v>
      </c>
      <c r="F4265" s="33">
        <f>DATE(YEAR(A4265),MONTH(A4265),1)</f>
        <v>41883.0</v>
      </c>
      <c r="G4265" t="str">
        <f>CHOOSE(WEEKDAY(A4265,2),"Mon","Tue","Wed","Thu","Fri","Sat","Sun")</f>
        <v>Thu</v>
      </c>
      <c r="H4265" t="str">
        <f>IF(WEEKDAY(A4265,2)&gt;5,"Weekend","Weekday")</f>
        <v>Weekday</v>
      </c>
      <c r="I4265" t="str">
        <f>_xlfn.IFS(B4265&lt;=5,"Night (0-5)",B4265&lt;=9,"Morning peak (6-9)",B4265&lt;=15,"Midday (10-15)",B4265&lt;=19,"Evening peak (16-19)",TRUE,"Late evening (20-23)")</f>
        <v>Midday (10-15)</v>
      </c>
    </row>
    <row r="4266" spans="1:9">
      <c r="A4266" s="32">
        <v>41907</v>
      </c>
      <c r="B4266">
        <v>16</v>
      </c>
      <c r="C4266">
        <v>2422</v>
      </c>
      <c r="D4266" t="s">
        <v>303</v>
      </c>
      <c r="E4266">
        <f>YEAR(A4266)</f>
        <v>2014</v>
      </c>
      <c r="F4266" s="33">
        <f>DATE(YEAR(A4266),MONTH(A4266),1)</f>
        <v>41883.0</v>
      </c>
      <c r="G4266" t="str">
        <f>CHOOSE(WEEKDAY(A4266,2),"Mon","Tue","Wed","Thu","Fri","Sat","Sun")</f>
        <v>Thu</v>
      </c>
      <c r="H4266" t="str">
        <f>IF(WEEKDAY(A4266,2)&gt;5,"Weekend","Weekday")</f>
        <v>Weekday</v>
      </c>
      <c r="I4266" t="str">
        <f>_xlfn.IFS(B4266&lt;=5,"Night (0-5)",B4266&lt;=9,"Morning peak (6-9)",B4266&lt;=15,"Midday (10-15)",B4266&lt;=19,"Evening peak (16-19)",TRUE,"Late evening (20-23)")</f>
        <v>Evening peak (16-19)</v>
      </c>
    </row>
    <row r="4267" spans="1:9">
      <c r="A4267" s="32">
        <v>41907</v>
      </c>
      <c r="B4267">
        <v>17</v>
      </c>
      <c r="C4267">
        <v>2582</v>
      </c>
      <c r="D4267" t="s">
        <v>303</v>
      </c>
      <c r="E4267">
        <f>YEAR(A4267)</f>
        <v>2014</v>
      </c>
      <c r="F4267" s="33">
        <f>DATE(YEAR(A4267),MONTH(A4267),1)</f>
        <v>41883.0</v>
      </c>
      <c r="G4267" t="str">
        <f>CHOOSE(WEEKDAY(A4267,2),"Mon","Tue","Wed","Thu","Fri","Sat","Sun")</f>
        <v>Thu</v>
      </c>
      <c r="H4267" t="str">
        <f>IF(WEEKDAY(A4267,2)&gt;5,"Weekend","Weekday")</f>
        <v>Weekday</v>
      </c>
      <c r="I4267" t="str">
        <f>_xlfn.IFS(B4267&lt;=5,"Night (0-5)",B4267&lt;=9,"Morning peak (6-9)",B4267&lt;=15,"Midday (10-15)",B4267&lt;=19,"Evening peak (16-19)",TRUE,"Late evening (20-23)")</f>
        <v>Evening peak (16-19)</v>
      </c>
    </row>
    <row r="4268" spans="1:9">
      <c r="A4268" s="32">
        <v>41907</v>
      </c>
      <c r="B4268">
        <v>18</v>
      </c>
      <c r="C4268">
        <v>2518</v>
      </c>
      <c r="D4268" t="s">
        <v>303</v>
      </c>
      <c r="E4268">
        <f>YEAR(A4268)</f>
        <v>2014</v>
      </c>
      <c r="F4268" s="33">
        <f>DATE(YEAR(A4268),MONTH(A4268),1)</f>
        <v>41883.0</v>
      </c>
      <c r="G4268" t="str">
        <f>CHOOSE(WEEKDAY(A4268,2),"Mon","Tue","Wed","Thu","Fri","Sat","Sun")</f>
        <v>Thu</v>
      </c>
      <c r="H4268" t="str">
        <f>IF(WEEKDAY(A4268,2)&gt;5,"Weekend","Weekday")</f>
        <v>Weekday</v>
      </c>
      <c r="I4268" t="str">
        <f>_xlfn.IFS(B4268&lt;=5,"Night (0-5)",B4268&lt;=9,"Morning peak (6-9)",B4268&lt;=15,"Midday (10-15)",B4268&lt;=19,"Evening peak (16-19)",TRUE,"Late evening (20-23)")</f>
        <v>Evening peak (16-19)</v>
      </c>
    </row>
    <row r="4269" spans="1:9">
      <c r="A4269" s="32">
        <v>41907</v>
      </c>
      <c r="B4269">
        <v>19</v>
      </c>
      <c r="C4269">
        <v>2220</v>
      </c>
      <c r="D4269" t="s">
        <v>303</v>
      </c>
      <c r="E4269">
        <f>YEAR(A4269)</f>
        <v>2014</v>
      </c>
      <c r="F4269" s="33">
        <f>DATE(YEAR(A4269),MONTH(A4269),1)</f>
        <v>41883.0</v>
      </c>
      <c r="G4269" t="str">
        <f>CHOOSE(WEEKDAY(A4269,2),"Mon","Tue","Wed","Thu","Fri","Sat","Sun")</f>
        <v>Thu</v>
      </c>
      <c r="H4269" t="str">
        <f>IF(WEEKDAY(A4269,2)&gt;5,"Weekend","Weekday")</f>
        <v>Weekday</v>
      </c>
      <c r="I4269" t="str">
        <f>_xlfn.IFS(B4269&lt;=5,"Night (0-5)",B4269&lt;=9,"Morning peak (6-9)",B4269&lt;=15,"Midday (10-15)",B4269&lt;=19,"Evening peak (16-19)",TRUE,"Late evening (20-23)")</f>
        <v>Evening peak (16-19)</v>
      </c>
    </row>
    <row r="4270" spans="1:9">
      <c r="A4270" s="32">
        <v>41907</v>
      </c>
      <c r="B4270">
        <v>20</v>
      </c>
      <c r="C4270">
        <v>2045</v>
      </c>
      <c r="D4270" t="s">
        <v>303</v>
      </c>
      <c r="E4270">
        <f>YEAR(A4270)</f>
        <v>2014</v>
      </c>
      <c r="F4270" s="33">
        <f>DATE(YEAR(A4270),MONTH(A4270),1)</f>
        <v>41883.0</v>
      </c>
      <c r="G4270" t="str">
        <f>CHOOSE(WEEKDAY(A4270,2),"Mon","Tue","Wed","Thu","Fri","Sat","Sun")</f>
        <v>Thu</v>
      </c>
      <c r="H4270" t="str">
        <f>IF(WEEKDAY(A4270,2)&gt;5,"Weekend","Weekday")</f>
        <v>Weekday</v>
      </c>
      <c r="I4270" t="str">
        <f>_xlfn.IFS(B4270&lt;=5,"Night (0-5)",B4270&lt;=9,"Morning peak (6-9)",B4270&lt;=15,"Midday (10-15)",B4270&lt;=19,"Evening peak (16-19)",TRUE,"Late evening (20-23)")</f>
        <v>Late evening (20-23)</v>
      </c>
    </row>
    <row r="4271" spans="1:9">
      <c r="A4271" s="32">
        <v>41907</v>
      </c>
      <c r="B4271">
        <v>21</v>
      </c>
      <c r="C4271">
        <v>2108</v>
      </c>
      <c r="D4271" t="s">
        <v>303</v>
      </c>
      <c r="E4271">
        <f>YEAR(A4271)</f>
        <v>2014</v>
      </c>
      <c r="F4271" s="33">
        <f>DATE(YEAR(A4271),MONTH(A4271),1)</f>
        <v>41883.0</v>
      </c>
      <c r="G4271" t="str">
        <f>CHOOSE(WEEKDAY(A4271,2),"Mon","Tue","Wed","Thu","Fri","Sat","Sun")</f>
        <v>Thu</v>
      </c>
      <c r="H4271" t="str">
        <f>IF(WEEKDAY(A4271,2)&gt;5,"Weekend","Weekday")</f>
        <v>Weekday</v>
      </c>
      <c r="I4271" t="str">
        <f>_xlfn.IFS(B4271&lt;=5,"Night (0-5)",B4271&lt;=9,"Morning peak (6-9)",B4271&lt;=15,"Midday (10-15)",B4271&lt;=19,"Evening peak (16-19)",TRUE,"Late evening (20-23)")</f>
        <v>Late evening (20-23)</v>
      </c>
    </row>
    <row r="4272" spans="1:9">
      <c r="A4272" s="32">
        <v>41907</v>
      </c>
      <c r="B4272">
        <v>22</v>
      </c>
      <c r="C4272">
        <v>1728</v>
      </c>
      <c r="D4272" t="s">
        <v>303</v>
      </c>
      <c r="E4272">
        <f>YEAR(A4272)</f>
        <v>2014</v>
      </c>
      <c r="F4272" s="33">
        <f>DATE(YEAR(A4272),MONTH(A4272),1)</f>
        <v>41883.0</v>
      </c>
      <c r="G4272" t="str">
        <f>CHOOSE(WEEKDAY(A4272,2),"Mon","Tue","Wed","Thu","Fri","Sat","Sun")</f>
        <v>Thu</v>
      </c>
      <c r="H4272" t="str">
        <f>IF(WEEKDAY(A4272,2)&gt;5,"Weekend","Weekday")</f>
        <v>Weekday</v>
      </c>
      <c r="I4272" t="str">
        <f>_xlfn.IFS(B4272&lt;=5,"Night (0-5)",B4272&lt;=9,"Morning peak (6-9)",B4272&lt;=15,"Midday (10-15)",B4272&lt;=19,"Evening peak (16-19)",TRUE,"Late evening (20-23)")</f>
        <v>Late evening (20-23)</v>
      </c>
    </row>
    <row r="4273" spans="1:9">
      <c r="A4273" s="32">
        <v>41907</v>
      </c>
      <c r="B4273">
        <v>23</v>
      </c>
      <c r="C4273">
        <v>1054</v>
      </c>
      <c r="D4273" t="s">
        <v>303</v>
      </c>
      <c r="E4273">
        <f>YEAR(A4273)</f>
        <v>2014</v>
      </c>
      <c r="F4273" s="33">
        <f>DATE(YEAR(A4273),MONTH(A4273),1)</f>
        <v>41883.0</v>
      </c>
      <c r="G4273" t="str">
        <f>CHOOSE(WEEKDAY(A4273,2),"Mon","Tue","Wed","Thu","Fri","Sat","Sun")</f>
        <v>Thu</v>
      </c>
      <c r="H4273" t="str">
        <f>IF(WEEKDAY(A4273,2)&gt;5,"Weekend","Weekday")</f>
        <v>Weekday</v>
      </c>
      <c r="I4273" t="str">
        <f>_xlfn.IFS(B4273&lt;=5,"Night (0-5)",B4273&lt;=9,"Morning peak (6-9)",B4273&lt;=15,"Midday (10-15)",B4273&lt;=19,"Evening peak (16-19)",TRUE,"Late evening (20-23)")</f>
        <v>Late evening (20-23)</v>
      </c>
    </row>
    <row r="4274" spans="1:9">
      <c r="A4274" s="32">
        <v>41908</v>
      </c>
      <c r="B4274">
        <v>0</v>
      </c>
      <c r="C4274">
        <v>606</v>
      </c>
      <c r="D4274" t="s">
        <v>303</v>
      </c>
      <c r="E4274">
        <f>YEAR(A4274)</f>
        <v>2014</v>
      </c>
      <c r="F4274" s="33">
        <f>DATE(YEAR(A4274),MONTH(A4274),1)</f>
        <v>41883.0</v>
      </c>
      <c r="G4274" t="str">
        <f>CHOOSE(WEEKDAY(A4274,2),"Mon","Tue","Wed","Thu","Fri","Sat","Sun")</f>
        <v>Fri</v>
      </c>
      <c r="H4274" t="str">
        <f>IF(WEEKDAY(A4274,2)&gt;5,"Weekend","Weekday")</f>
        <v>Weekday</v>
      </c>
      <c r="I4274" t="str">
        <f>_xlfn.IFS(B4274&lt;=5,"Night (0-5)",B4274&lt;=9,"Morning peak (6-9)",B4274&lt;=15,"Midday (10-15)",B4274&lt;=19,"Evening peak (16-19)",TRUE,"Late evening (20-23)")</f>
        <v>Night (0-5)</v>
      </c>
    </row>
    <row r="4275" spans="1:9">
      <c r="A4275" s="32">
        <v>41908</v>
      </c>
      <c r="B4275">
        <v>1</v>
      </c>
      <c r="C4275">
        <v>346</v>
      </c>
      <c r="D4275" t="s">
        <v>303</v>
      </c>
      <c r="E4275">
        <f>YEAR(A4275)</f>
        <v>2014</v>
      </c>
      <c r="F4275" s="33">
        <f>DATE(YEAR(A4275),MONTH(A4275),1)</f>
        <v>41883.0</v>
      </c>
      <c r="G4275" t="str">
        <f>CHOOSE(WEEKDAY(A4275,2),"Mon","Tue","Wed","Thu","Fri","Sat","Sun")</f>
        <v>Fri</v>
      </c>
      <c r="H4275" t="str">
        <f>IF(WEEKDAY(A4275,2)&gt;5,"Weekend","Weekday")</f>
        <v>Weekday</v>
      </c>
      <c r="I4275" t="str">
        <f>_xlfn.IFS(B4275&lt;=5,"Night (0-5)",B4275&lt;=9,"Morning peak (6-9)",B4275&lt;=15,"Midday (10-15)",B4275&lt;=19,"Evening peak (16-19)",TRUE,"Late evening (20-23)")</f>
        <v>Night (0-5)</v>
      </c>
    </row>
    <row r="4276" spans="1:9">
      <c r="A4276" s="32">
        <v>41908</v>
      </c>
      <c r="B4276">
        <v>2</v>
      </c>
      <c r="C4276">
        <v>239</v>
      </c>
      <c r="D4276" t="s">
        <v>303</v>
      </c>
      <c r="E4276">
        <f>YEAR(A4276)</f>
        <v>2014</v>
      </c>
      <c r="F4276" s="33">
        <f>DATE(YEAR(A4276),MONTH(A4276),1)</f>
        <v>41883.0</v>
      </c>
      <c r="G4276" t="str">
        <f>CHOOSE(WEEKDAY(A4276,2),"Mon","Tue","Wed","Thu","Fri","Sat","Sun")</f>
        <v>Fri</v>
      </c>
      <c r="H4276" t="str">
        <f>IF(WEEKDAY(A4276,2)&gt;5,"Weekend","Weekday")</f>
        <v>Weekday</v>
      </c>
      <c r="I4276" t="str">
        <f>_xlfn.IFS(B4276&lt;=5,"Night (0-5)",B4276&lt;=9,"Morning peak (6-9)",B4276&lt;=15,"Midday (10-15)",B4276&lt;=19,"Evening peak (16-19)",TRUE,"Late evening (20-23)")</f>
        <v>Night (0-5)</v>
      </c>
    </row>
    <row r="4277" spans="1:9">
      <c r="A4277" s="32">
        <v>41908</v>
      </c>
      <c r="B4277">
        <v>3</v>
      </c>
      <c r="C4277">
        <v>340</v>
      </c>
      <c r="D4277" t="s">
        <v>303</v>
      </c>
      <c r="E4277">
        <f>YEAR(A4277)</f>
        <v>2014</v>
      </c>
      <c r="F4277" s="33">
        <f>DATE(YEAR(A4277),MONTH(A4277),1)</f>
        <v>41883.0</v>
      </c>
      <c r="G4277" t="str">
        <f>CHOOSE(WEEKDAY(A4277,2),"Mon","Tue","Wed","Thu","Fri","Sat","Sun")</f>
        <v>Fri</v>
      </c>
      <c r="H4277" t="str">
        <f>IF(WEEKDAY(A4277,2)&gt;5,"Weekend","Weekday")</f>
        <v>Weekday</v>
      </c>
      <c r="I4277" t="str">
        <f>_xlfn.IFS(B4277&lt;=5,"Night (0-5)",B4277&lt;=9,"Morning peak (6-9)",B4277&lt;=15,"Midday (10-15)",B4277&lt;=19,"Evening peak (16-19)",TRUE,"Late evening (20-23)")</f>
        <v>Night (0-5)</v>
      </c>
    </row>
    <row r="4278" spans="1:9">
      <c r="A4278" s="32">
        <v>41908</v>
      </c>
      <c r="B4278">
        <v>4</v>
      </c>
      <c r="C4278">
        <v>406</v>
      </c>
      <c r="D4278" t="s">
        <v>303</v>
      </c>
      <c r="E4278">
        <f>YEAR(A4278)</f>
        <v>2014</v>
      </c>
      <c r="F4278" s="33">
        <f>DATE(YEAR(A4278),MONTH(A4278),1)</f>
        <v>41883.0</v>
      </c>
      <c r="G4278" t="str">
        <f>CHOOSE(WEEKDAY(A4278,2),"Mon","Tue","Wed","Thu","Fri","Sat","Sun")</f>
        <v>Fri</v>
      </c>
      <c r="H4278" t="str">
        <f>IF(WEEKDAY(A4278,2)&gt;5,"Weekend","Weekday")</f>
        <v>Weekday</v>
      </c>
      <c r="I4278" t="str">
        <f>_xlfn.IFS(B4278&lt;=5,"Night (0-5)",B4278&lt;=9,"Morning peak (6-9)",B4278&lt;=15,"Midday (10-15)",B4278&lt;=19,"Evening peak (16-19)",TRUE,"Late evening (20-23)")</f>
        <v>Night (0-5)</v>
      </c>
    </row>
    <row r="4279" spans="1:9">
      <c r="A4279" s="32">
        <v>41908</v>
      </c>
      <c r="B4279">
        <v>5</v>
      </c>
      <c r="C4279">
        <v>684</v>
      </c>
      <c r="D4279" t="s">
        <v>303</v>
      </c>
      <c r="E4279">
        <f>YEAR(A4279)</f>
        <v>2014</v>
      </c>
      <c r="F4279" s="33">
        <f>DATE(YEAR(A4279),MONTH(A4279),1)</f>
        <v>41883.0</v>
      </c>
      <c r="G4279" t="str">
        <f>CHOOSE(WEEKDAY(A4279,2),"Mon","Tue","Wed","Thu","Fri","Sat","Sun")</f>
        <v>Fri</v>
      </c>
      <c r="H4279" t="str">
        <f>IF(WEEKDAY(A4279,2)&gt;5,"Weekend","Weekday")</f>
        <v>Weekday</v>
      </c>
      <c r="I4279" t="str">
        <f>_xlfn.IFS(B4279&lt;=5,"Night (0-5)",B4279&lt;=9,"Morning peak (6-9)",B4279&lt;=15,"Midday (10-15)",B4279&lt;=19,"Evening peak (16-19)",TRUE,"Late evening (20-23)")</f>
        <v>Night (0-5)</v>
      </c>
    </row>
    <row r="4280" spans="1:9">
      <c r="A4280" s="32">
        <v>41908</v>
      </c>
      <c r="B4280">
        <v>6</v>
      </c>
      <c r="C4280">
        <v>1163</v>
      </c>
      <c r="D4280" t="s">
        <v>303</v>
      </c>
      <c r="E4280">
        <f>YEAR(A4280)</f>
        <v>2014</v>
      </c>
      <c r="F4280" s="33">
        <f>DATE(YEAR(A4280),MONTH(A4280),1)</f>
        <v>41883.0</v>
      </c>
      <c r="G4280" t="str">
        <f>CHOOSE(WEEKDAY(A4280,2),"Mon","Tue","Wed","Thu","Fri","Sat","Sun")</f>
        <v>Fri</v>
      </c>
      <c r="H4280" t="str">
        <f>IF(WEEKDAY(A4280,2)&gt;5,"Weekend","Weekday")</f>
        <v>Weekday</v>
      </c>
      <c r="I4280" t="str">
        <f>_xlfn.IFS(B4280&lt;=5,"Night (0-5)",B4280&lt;=9,"Morning peak (6-9)",B4280&lt;=15,"Midday (10-15)",B4280&lt;=19,"Evening peak (16-19)",TRUE,"Late evening (20-23)")</f>
        <v>Morning peak (6-9)</v>
      </c>
    </row>
    <row r="4281" spans="1:9">
      <c r="A4281" s="32">
        <v>41908</v>
      </c>
      <c r="B4281">
        <v>7</v>
      </c>
      <c r="C4281">
        <v>1525</v>
      </c>
      <c r="D4281" t="s">
        <v>303</v>
      </c>
      <c r="E4281">
        <f>YEAR(A4281)</f>
        <v>2014</v>
      </c>
      <c r="F4281" s="33">
        <f>DATE(YEAR(A4281),MONTH(A4281),1)</f>
        <v>41883.0</v>
      </c>
      <c r="G4281" t="str">
        <f>CHOOSE(WEEKDAY(A4281,2),"Mon","Tue","Wed","Thu","Fri","Sat","Sun")</f>
        <v>Fri</v>
      </c>
      <c r="H4281" t="str">
        <f>IF(WEEKDAY(A4281,2)&gt;5,"Weekend","Weekday")</f>
        <v>Weekday</v>
      </c>
      <c r="I4281" t="str">
        <f>_xlfn.IFS(B4281&lt;=5,"Night (0-5)",B4281&lt;=9,"Morning peak (6-9)",B4281&lt;=15,"Midday (10-15)",B4281&lt;=19,"Evening peak (16-19)",TRUE,"Late evening (20-23)")</f>
        <v>Morning peak (6-9)</v>
      </c>
    </row>
    <row r="4282" spans="1:9">
      <c r="A4282" s="32">
        <v>41908</v>
      </c>
      <c r="B4282">
        <v>8</v>
      </c>
      <c r="C4282">
        <v>1340</v>
      </c>
      <c r="D4282" t="s">
        <v>303</v>
      </c>
      <c r="E4282">
        <f>YEAR(A4282)</f>
        <v>2014</v>
      </c>
      <c r="F4282" s="33">
        <f>DATE(YEAR(A4282),MONTH(A4282),1)</f>
        <v>41883.0</v>
      </c>
      <c r="G4282" t="str">
        <f>CHOOSE(WEEKDAY(A4282,2),"Mon","Tue","Wed","Thu","Fri","Sat","Sun")</f>
        <v>Fri</v>
      </c>
      <c r="H4282" t="str">
        <f>IF(WEEKDAY(A4282,2)&gt;5,"Weekend","Weekday")</f>
        <v>Weekday</v>
      </c>
      <c r="I4282" t="str">
        <f>_xlfn.IFS(B4282&lt;=5,"Night (0-5)",B4282&lt;=9,"Morning peak (6-9)",B4282&lt;=15,"Midday (10-15)",B4282&lt;=19,"Evening peak (16-19)",TRUE,"Late evening (20-23)")</f>
        <v>Morning peak (6-9)</v>
      </c>
    </row>
    <row r="4283" spans="1:9">
      <c r="A4283" s="32">
        <v>41908</v>
      </c>
      <c r="B4283">
        <v>9</v>
      </c>
      <c r="C4283">
        <v>1232</v>
      </c>
      <c r="D4283" t="s">
        <v>303</v>
      </c>
      <c r="E4283">
        <f>YEAR(A4283)</f>
        <v>2014</v>
      </c>
      <c r="F4283" s="33">
        <f>DATE(YEAR(A4283),MONTH(A4283),1)</f>
        <v>41883.0</v>
      </c>
      <c r="G4283" t="str">
        <f>CHOOSE(WEEKDAY(A4283,2),"Mon","Tue","Wed","Thu","Fri","Sat","Sun")</f>
        <v>Fri</v>
      </c>
      <c r="H4283" t="str">
        <f>IF(WEEKDAY(A4283,2)&gt;5,"Weekend","Weekday")</f>
        <v>Weekday</v>
      </c>
      <c r="I4283" t="str">
        <f>_xlfn.IFS(B4283&lt;=5,"Night (0-5)",B4283&lt;=9,"Morning peak (6-9)",B4283&lt;=15,"Midday (10-15)",B4283&lt;=19,"Evening peak (16-19)",TRUE,"Late evening (20-23)")</f>
        <v>Morning peak (6-9)</v>
      </c>
    </row>
    <row r="4284" spans="1:9">
      <c r="A4284" s="32">
        <v>41908</v>
      </c>
      <c r="B4284">
        <v>10</v>
      </c>
      <c r="C4284">
        <v>1190</v>
      </c>
      <c r="D4284" t="s">
        <v>303</v>
      </c>
      <c r="E4284">
        <f>YEAR(A4284)</f>
        <v>2014</v>
      </c>
      <c r="F4284" s="33">
        <f>DATE(YEAR(A4284),MONTH(A4284),1)</f>
        <v>41883.0</v>
      </c>
      <c r="G4284" t="str">
        <f>CHOOSE(WEEKDAY(A4284,2),"Mon","Tue","Wed","Thu","Fri","Sat","Sun")</f>
        <v>Fri</v>
      </c>
      <c r="H4284" t="str">
        <f>IF(WEEKDAY(A4284,2)&gt;5,"Weekend","Weekday")</f>
        <v>Weekday</v>
      </c>
      <c r="I4284" t="str">
        <f>_xlfn.IFS(B4284&lt;=5,"Night (0-5)",B4284&lt;=9,"Morning peak (6-9)",B4284&lt;=15,"Midday (10-15)",B4284&lt;=19,"Evening peak (16-19)",TRUE,"Late evening (20-23)")</f>
        <v>Midday (10-15)</v>
      </c>
    </row>
    <row r="4285" spans="1:9">
      <c r="A4285" s="32">
        <v>41908</v>
      </c>
      <c r="B4285">
        <v>11</v>
      </c>
      <c r="C4285">
        <v>1207</v>
      </c>
      <c r="D4285" t="s">
        <v>303</v>
      </c>
      <c r="E4285">
        <f>YEAR(A4285)</f>
        <v>2014</v>
      </c>
      <c r="F4285" s="33">
        <f>DATE(YEAR(A4285),MONTH(A4285),1)</f>
        <v>41883.0</v>
      </c>
      <c r="G4285" t="str">
        <f>CHOOSE(WEEKDAY(A4285,2),"Mon","Tue","Wed","Thu","Fri","Sat","Sun")</f>
        <v>Fri</v>
      </c>
      <c r="H4285" t="str">
        <f>IF(WEEKDAY(A4285,2)&gt;5,"Weekend","Weekday")</f>
        <v>Weekday</v>
      </c>
      <c r="I4285" t="str">
        <f>_xlfn.IFS(B4285&lt;=5,"Night (0-5)",B4285&lt;=9,"Morning peak (6-9)",B4285&lt;=15,"Midday (10-15)",B4285&lt;=19,"Evening peak (16-19)",TRUE,"Late evening (20-23)")</f>
        <v>Midday (10-15)</v>
      </c>
    </row>
    <row r="4286" spans="1:9">
      <c r="A4286" s="32">
        <v>41908</v>
      </c>
      <c r="B4286">
        <v>12</v>
      </c>
      <c r="C4286">
        <v>1266</v>
      </c>
      <c r="D4286" t="s">
        <v>303</v>
      </c>
      <c r="E4286">
        <f>YEAR(A4286)</f>
        <v>2014</v>
      </c>
      <c r="F4286" s="33">
        <f>DATE(YEAR(A4286),MONTH(A4286),1)</f>
        <v>41883.0</v>
      </c>
      <c r="G4286" t="str">
        <f>CHOOSE(WEEKDAY(A4286,2),"Mon","Tue","Wed","Thu","Fri","Sat","Sun")</f>
        <v>Fri</v>
      </c>
      <c r="H4286" t="str">
        <f>IF(WEEKDAY(A4286,2)&gt;5,"Weekend","Weekday")</f>
        <v>Weekday</v>
      </c>
      <c r="I4286" t="str">
        <f>_xlfn.IFS(B4286&lt;=5,"Night (0-5)",B4286&lt;=9,"Morning peak (6-9)",B4286&lt;=15,"Midday (10-15)",B4286&lt;=19,"Evening peak (16-19)",TRUE,"Late evening (20-23)")</f>
        <v>Midday (10-15)</v>
      </c>
    </row>
    <row r="4287" spans="1:9">
      <c r="A4287" s="32">
        <v>41908</v>
      </c>
      <c r="B4287">
        <v>13</v>
      </c>
      <c r="C4287">
        <v>1410</v>
      </c>
      <c r="D4287" t="s">
        <v>303</v>
      </c>
      <c r="E4287">
        <f>YEAR(A4287)</f>
        <v>2014</v>
      </c>
      <c r="F4287" s="33">
        <f>DATE(YEAR(A4287),MONTH(A4287),1)</f>
        <v>41883.0</v>
      </c>
      <c r="G4287" t="str">
        <f>CHOOSE(WEEKDAY(A4287,2),"Mon","Tue","Wed","Thu","Fri","Sat","Sun")</f>
        <v>Fri</v>
      </c>
      <c r="H4287" t="str">
        <f>IF(WEEKDAY(A4287,2)&gt;5,"Weekend","Weekday")</f>
        <v>Weekday</v>
      </c>
      <c r="I4287" t="str">
        <f>_xlfn.IFS(B4287&lt;=5,"Night (0-5)",B4287&lt;=9,"Morning peak (6-9)",B4287&lt;=15,"Midday (10-15)",B4287&lt;=19,"Evening peak (16-19)",TRUE,"Late evening (20-23)")</f>
        <v>Midday (10-15)</v>
      </c>
    </row>
    <row r="4288" spans="1:9">
      <c r="A4288" s="32">
        <v>41908</v>
      </c>
      <c r="B4288">
        <v>14</v>
      </c>
      <c r="C4288">
        <v>1738</v>
      </c>
      <c r="D4288" t="s">
        <v>303</v>
      </c>
      <c r="E4288">
        <f>YEAR(A4288)</f>
        <v>2014</v>
      </c>
      <c r="F4288" s="33">
        <f>DATE(YEAR(A4288),MONTH(A4288),1)</f>
        <v>41883.0</v>
      </c>
      <c r="G4288" t="str">
        <f>CHOOSE(WEEKDAY(A4288,2),"Mon","Tue","Wed","Thu","Fri","Sat","Sun")</f>
        <v>Fri</v>
      </c>
      <c r="H4288" t="str">
        <f>IF(WEEKDAY(A4288,2)&gt;5,"Weekend","Weekday")</f>
        <v>Weekday</v>
      </c>
      <c r="I4288" t="str">
        <f>_xlfn.IFS(B4288&lt;=5,"Night (0-5)",B4288&lt;=9,"Morning peak (6-9)",B4288&lt;=15,"Midday (10-15)",B4288&lt;=19,"Evening peak (16-19)",TRUE,"Late evening (20-23)")</f>
        <v>Midday (10-15)</v>
      </c>
    </row>
    <row r="4289" spans="1:9">
      <c r="A4289" s="32">
        <v>41908</v>
      </c>
      <c r="B4289">
        <v>15</v>
      </c>
      <c r="C4289">
        <v>2038</v>
      </c>
      <c r="D4289" t="s">
        <v>303</v>
      </c>
      <c r="E4289">
        <f>YEAR(A4289)</f>
        <v>2014</v>
      </c>
      <c r="F4289" s="33">
        <f>DATE(YEAR(A4289),MONTH(A4289),1)</f>
        <v>41883.0</v>
      </c>
      <c r="G4289" t="str">
        <f>CHOOSE(WEEKDAY(A4289,2),"Mon","Tue","Wed","Thu","Fri","Sat","Sun")</f>
        <v>Fri</v>
      </c>
      <c r="H4289" t="str">
        <f>IF(WEEKDAY(A4289,2)&gt;5,"Weekend","Weekday")</f>
        <v>Weekday</v>
      </c>
      <c r="I4289" t="str">
        <f>_xlfn.IFS(B4289&lt;=5,"Night (0-5)",B4289&lt;=9,"Morning peak (6-9)",B4289&lt;=15,"Midday (10-15)",B4289&lt;=19,"Evening peak (16-19)",TRUE,"Late evening (20-23)")</f>
        <v>Midday (10-15)</v>
      </c>
    </row>
    <row r="4290" spans="1:9">
      <c r="A4290" s="32">
        <v>41908</v>
      </c>
      <c r="B4290">
        <v>16</v>
      </c>
      <c r="C4290">
        <v>2299</v>
      </c>
      <c r="D4290" t="s">
        <v>303</v>
      </c>
      <c r="E4290">
        <f>YEAR(A4290)</f>
        <v>2014</v>
      </c>
      <c r="F4290" s="33">
        <f>DATE(YEAR(A4290),MONTH(A4290),1)</f>
        <v>41883.0</v>
      </c>
      <c r="G4290" t="str">
        <f>CHOOSE(WEEKDAY(A4290,2),"Mon","Tue","Wed","Thu","Fri","Sat","Sun")</f>
        <v>Fri</v>
      </c>
      <c r="H4290" t="str">
        <f>IF(WEEKDAY(A4290,2)&gt;5,"Weekend","Weekday")</f>
        <v>Weekday</v>
      </c>
      <c r="I4290" t="str">
        <f>_xlfn.IFS(B4290&lt;=5,"Night (0-5)",B4290&lt;=9,"Morning peak (6-9)",B4290&lt;=15,"Midday (10-15)",B4290&lt;=19,"Evening peak (16-19)",TRUE,"Late evening (20-23)")</f>
        <v>Evening peak (16-19)</v>
      </c>
    </row>
    <row r="4291" spans="1:9">
      <c r="A4291" s="32">
        <v>41908</v>
      </c>
      <c r="B4291">
        <v>17</v>
      </c>
      <c r="C4291">
        <v>2626</v>
      </c>
      <c r="D4291" t="s">
        <v>303</v>
      </c>
      <c r="E4291">
        <f>YEAR(A4291)</f>
        <v>2014</v>
      </c>
      <c r="F4291" s="33">
        <f>DATE(YEAR(A4291),MONTH(A4291),1)</f>
        <v>41883.0</v>
      </c>
      <c r="G4291" t="str">
        <f>CHOOSE(WEEKDAY(A4291,2),"Mon","Tue","Wed","Thu","Fri","Sat","Sun")</f>
        <v>Fri</v>
      </c>
      <c r="H4291" t="str">
        <f>IF(WEEKDAY(A4291,2)&gt;5,"Weekend","Weekday")</f>
        <v>Weekday</v>
      </c>
      <c r="I4291" t="str">
        <f>_xlfn.IFS(B4291&lt;=5,"Night (0-5)",B4291&lt;=9,"Morning peak (6-9)",B4291&lt;=15,"Midday (10-15)",B4291&lt;=19,"Evening peak (16-19)",TRUE,"Late evening (20-23)")</f>
        <v>Evening peak (16-19)</v>
      </c>
    </row>
    <row r="4292" spans="1:9">
      <c r="A4292" s="32">
        <v>41908</v>
      </c>
      <c r="B4292">
        <v>18</v>
      </c>
      <c r="C4292">
        <v>3039</v>
      </c>
      <c r="D4292" t="s">
        <v>303</v>
      </c>
      <c r="E4292">
        <f>YEAR(A4292)</f>
        <v>2014</v>
      </c>
      <c r="F4292" s="33">
        <f>DATE(YEAR(A4292),MONTH(A4292),1)</f>
        <v>41883.0</v>
      </c>
      <c r="G4292" t="str">
        <f>CHOOSE(WEEKDAY(A4292,2),"Mon","Tue","Wed","Thu","Fri","Sat","Sun")</f>
        <v>Fri</v>
      </c>
      <c r="H4292" t="str">
        <f>IF(WEEKDAY(A4292,2)&gt;5,"Weekend","Weekday")</f>
        <v>Weekday</v>
      </c>
      <c r="I4292" t="str">
        <f>_xlfn.IFS(B4292&lt;=5,"Night (0-5)",B4292&lt;=9,"Morning peak (6-9)",B4292&lt;=15,"Midday (10-15)",B4292&lt;=19,"Evening peak (16-19)",TRUE,"Late evening (20-23)")</f>
        <v>Evening peak (16-19)</v>
      </c>
    </row>
    <row r="4293" spans="1:9">
      <c r="A4293" s="32">
        <v>41908</v>
      </c>
      <c r="B4293">
        <v>19</v>
      </c>
      <c r="C4293">
        <v>2782</v>
      </c>
      <c r="D4293" t="s">
        <v>303</v>
      </c>
      <c r="E4293">
        <f>YEAR(A4293)</f>
        <v>2014</v>
      </c>
      <c r="F4293" s="33">
        <f>DATE(YEAR(A4293),MONTH(A4293),1)</f>
        <v>41883.0</v>
      </c>
      <c r="G4293" t="str">
        <f>CHOOSE(WEEKDAY(A4293,2),"Mon","Tue","Wed","Thu","Fri","Sat","Sun")</f>
        <v>Fri</v>
      </c>
      <c r="H4293" t="str">
        <f>IF(WEEKDAY(A4293,2)&gt;5,"Weekend","Weekday")</f>
        <v>Weekday</v>
      </c>
      <c r="I4293" t="str">
        <f>_xlfn.IFS(B4293&lt;=5,"Night (0-5)",B4293&lt;=9,"Morning peak (6-9)",B4293&lt;=15,"Midday (10-15)",B4293&lt;=19,"Evening peak (16-19)",TRUE,"Late evening (20-23)")</f>
        <v>Evening peak (16-19)</v>
      </c>
    </row>
    <row r="4294" spans="1:9">
      <c r="A4294" s="32">
        <v>41908</v>
      </c>
      <c r="B4294">
        <v>20</v>
      </c>
      <c r="C4294">
        <v>2440</v>
      </c>
      <c r="D4294" t="s">
        <v>303</v>
      </c>
      <c r="E4294">
        <f>YEAR(A4294)</f>
        <v>2014</v>
      </c>
      <c r="F4294" s="33">
        <f>DATE(YEAR(A4294),MONTH(A4294),1)</f>
        <v>41883.0</v>
      </c>
      <c r="G4294" t="str">
        <f>CHOOSE(WEEKDAY(A4294,2),"Mon","Tue","Wed","Thu","Fri","Sat","Sun")</f>
        <v>Fri</v>
      </c>
      <c r="H4294" t="str">
        <f>IF(WEEKDAY(A4294,2)&gt;5,"Weekend","Weekday")</f>
        <v>Weekday</v>
      </c>
      <c r="I4294" t="str">
        <f>_xlfn.IFS(B4294&lt;=5,"Night (0-5)",B4294&lt;=9,"Morning peak (6-9)",B4294&lt;=15,"Midday (10-15)",B4294&lt;=19,"Evening peak (16-19)",TRUE,"Late evening (20-23)")</f>
        <v>Late evening (20-23)</v>
      </c>
    </row>
    <row r="4295" spans="1:9">
      <c r="A4295" s="32">
        <v>41908</v>
      </c>
      <c r="B4295">
        <v>21</v>
      </c>
      <c r="C4295">
        <v>2686</v>
      </c>
      <c r="D4295" t="s">
        <v>303</v>
      </c>
      <c r="E4295">
        <f>YEAR(A4295)</f>
        <v>2014</v>
      </c>
      <c r="F4295" s="33">
        <f>DATE(YEAR(A4295),MONTH(A4295),1)</f>
        <v>41883.0</v>
      </c>
      <c r="G4295" t="str">
        <f>CHOOSE(WEEKDAY(A4295,2),"Mon","Tue","Wed","Thu","Fri","Sat","Sun")</f>
        <v>Fri</v>
      </c>
      <c r="H4295" t="str">
        <f>IF(WEEKDAY(A4295,2)&gt;5,"Weekend","Weekday")</f>
        <v>Weekday</v>
      </c>
      <c r="I4295" t="str">
        <f>_xlfn.IFS(B4295&lt;=5,"Night (0-5)",B4295&lt;=9,"Morning peak (6-9)",B4295&lt;=15,"Midday (10-15)",B4295&lt;=19,"Evening peak (16-19)",TRUE,"Late evening (20-23)")</f>
        <v>Late evening (20-23)</v>
      </c>
    </row>
    <row r="4296" spans="1:9">
      <c r="A4296" s="32">
        <v>41908</v>
      </c>
      <c r="B4296">
        <v>22</v>
      </c>
      <c r="C4296">
        <v>2547</v>
      </c>
      <c r="D4296" t="s">
        <v>303</v>
      </c>
      <c r="E4296">
        <f>YEAR(A4296)</f>
        <v>2014</v>
      </c>
      <c r="F4296" s="33">
        <f>DATE(YEAR(A4296),MONTH(A4296),1)</f>
        <v>41883.0</v>
      </c>
      <c r="G4296" t="str">
        <f>CHOOSE(WEEKDAY(A4296,2),"Mon","Tue","Wed","Thu","Fri","Sat","Sun")</f>
        <v>Fri</v>
      </c>
      <c r="H4296" t="str">
        <f>IF(WEEKDAY(A4296,2)&gt;5,"Weekend","Weekday")</f>
        <v>Weekday</v>
      </c>
      <c r="I4296" t="str">
        <f>_xlfn.IFS(B4296&lt;=5,"Night (0-5)",B4296&lt;=9,"Morning peak (6-9)",B4296&lt;=15,"Midday (10-15)",B4296&lt;=19,"Evening peak (16-19)",TRUE,"Late evening (20-23)")</f>
        <v>Late evening (20-23)</v>
      </c>
    </row>
    <row r="4297" spans="1:9">
      <c r="A4297" s="32">
        <v>41908</v>
      </c>
      <c r="B4297">
        <v>23</v>
      </c>
      <c r="C4297">
        <v>2355</v>
      </c>
      <c r="D4297" t="s">
        <v>303</v>
      </c>
      <c r="E4297">
        <f>YEAR(A4297)</f>
        <v>2014</v>
      </c>
      <c r="F4297" s="33">
        <f>DATE(YEAR(A4297),MONTH(A4297),1)</f>
        <v>41883.0</v>
      </c>
      <c r="G4297" t="str">
        <f>CHOOSE(WEEKDAY(A4297,2),"Mon","Tue","Wed","Thu","Fri","Sat","Sun")</f>
        <v>Fri</v>
      </c>
      <c r="H4297" t="str">
        <f>IF(WEEKDAY(A4297,2)&gt;5,"Weekend","Weekday")</f>
        <v>Weekday</v>
      </c>
      <c r="I4297" t="str">
        <f>_xlfn.IFS(B4297&lt;=5,"Night (0-5)",B4297&lt;=9,"Morning peak (6-9)",B4297&lt;=15,"Midday (10-15)",B4297&lt;=19,"Evening peak (16-19)",TRUE,"Late evening (20-23)")</f>
        <v>Late evening (20-23)</v>
      </c>
    </row>
    <row r="4298" spans="1:9">
      <c r="A4298" s="32">
        <v>41909</v>
      </c>
      <c r="B4298">
        <v>0</v>
      </c>
      <c r="C4298">
        <v>1686</v>
      </c>
      <c r="D4298" t="s">
        <v>303</v>
      </c>
      <c r="E4298">
        <f>YEAR(A4298)</f>
        <v>2014</v>
      </c>
      <c r="F4298" s="33">
        <f>DATE(YEAR(A4298),MONTH(A4298),1)</f>
        <v>41883.0</v>
      </c>
      <c r="G4298" t="str">
        <f>CHOOSE(WEEKDAY(A4298,2),"Mon","Tue","Wed","Thu","Fri","Sat","Sun")</f>
        <v>Sat</v>
      </c>
      <c r="H4298" t="str">
        <f>IF(WEEKDAY(A4298,2)&gt;5,"Weekend","Weekday")</f>
        <v>Weekend</v>
      </c>
      <c r="I4298" t="str">
        <f>_xlfn.IFS(B4298&lt;=5,"Night (0-5)",B4298&lt;=9,"Morning peak (6-9)",B4298&lt;=15,"Midday (10-15)",B4298&lt;=19,"Evening peak (16-19)",TRUE,"Late evening (20-23)")</f>
        <v>Night (0-5)</v>
      </c>
    </row>
    <row r="4299" spans="1:9">
      <c r="A4299" s="32">
        <v>41909</v>
      </c>
      <c r="B4299">
        <v>1</v>
      </c>
      <c r="C4299">
        <v>1232</v>
      </c>
      <c r="D4299" t="s">
        <v>303</v>
      </c>
      <c r="E4299">
        <f>YEAR(A4299)</f>
        <v>2014</v>
      </c>
      <c r="F4299" s="33">
        <f>DATE(YEAR(A4299),MONTH(A4299),1)</f>
        <v>41883.0</v>
      </c>
      <c r="G4299" t="str">
        <f>CHOOSE(WEEKDAY(A4299,2),"Mon","Tue","Wed","Thu","Fri","Sat","Sun")</f>
        <v>Sat</v>
      </c>
      <c r="H4299" t="str">
        <f>IF(WEEKDAY(A4299,2)&gt;5,"Weekend","Weekday")</f>
        <v>Weekend</v>
      </c>
      <c r="I4299" t="str">
        <f>_xlfn.IFS(B4299&lt;=5,"Night (0-5)",B4299&lt;=9,"Morning peak (6-9)",B4299&lt;=15,"Midday (10-15)",B4299&lt;=19,"Evening peak (16-19)",TRUE,"Late evening (20-23)")</f>
        <v>Night (0-5)</v>
      </c>
    </row>
    <row r="4300" spans="1:9">
      <c r="A4300" s="32">
        <v>41909</v>
      </c>
      <c r="B4300">
        <v>2</v>
      </c>
      <c r="C4300">
        <v>751</v>
      </c>
      <c r="D4300" t="s">
        <v>303</v>
      </c>
      <c r="E4300">
        <f>YEAR(A4300)</f>
        <v>2014</v>
      </c>
      <c r="F4300" s="33">
        <f>DATE(YEAR(A4300),MONTH(A4300),1)</f>
        <v>41883.0</v>
      </c>
      <c r="G4300" t="str">
        <f>CHOOSE(WEEKDAY(A4300,2),"Mon","Tue","Wed","Thu","Fri","Sat","Sun")</f>
        <v>Sat</v>
      </c>
      <c r="H4300" t="str">
        <f>IF(WEEKDAY(A4300,2)&gt;5,"Weekend","Weekday")</f>
        <v>Weekend</v>
      </c>
      <c r="I4300" t="str">
        <f>_xlfn.IFS(B4300&lt;=5,"Night (0-5)",B4300&lt;=9,"Morning peak (6-9)",B4300&lt;=15,"Midday (10-15)",B4300&lt;=19,"Evening peak (16-19)",TRUE,"Late evening (20-23)")</f>
        <v>Night (0-5)</v>
      </c>
    </row>
    <row r="4301" spans="1:9">
      <c r="A4301" s="32">
        <v>41909</v>
      </c>
      <c r="B4301">
        <v>3</v>
      </c>
      <c r="C4301">
        <v>527</v>
      </c>
      <c r="D4301" t="s">
        <v>303</v>
      </c>
      <c r="E4301">
        <f>YEAR(A4301)</f>
        <v>2014</v>
      </c>
      <c r="F4301" s="33">
        <f>DATE(YEAR(A4301),MONTH(A4301),1)</f>
        <v>41883.0</v>
      </c>
      <c r="G4301" t="str">
        <f>CHOOSE(WEEKDAY(A4301,2),"Mon","Tue","Wed","Thu","Fri","Sat","Sun")</f>
        <v>Sat</v>
      </c>
      <c r="H4301" t="str">
        <f>IF(WEEKDAY(A4301,2)&gt;5,"Weekend","Weekday")</f>
        <v>Weekend</v>
      </c>
      <c r="I4301" t="str">
        <f>_xlfn.IFS(B4301&lt;=5,"Night (0-5)",B4301&lt;=9,"Morning peak (6-9)",B4301&lt;=15,"Midday (10-15)",B4301&lt;=19,"Evening peak (16-19)",TRUE,"Late evening (20-23)")</f>
        <v>Night (0-5)</v>
      </c>
    </row>
    <row r="4302" spans="1:9">
      <c r="A4302" s="32">
        <v>41909</v>
      </c>
      <c r="B4302">
        <v>4</v>
      </c>
      <c r="C4302">
        <v>361</v>
      </c>
      <c r="D4302" t="s">
        <v>303</v>
      </c>
      <c r="E4302">
        <f>YEAR(A4302)</f>
        <v>2014</v>
      </c>
      <c r="F4302" s="33">
        <f>DATE(YEAR(A4302),MONTH(A4302),1)</f>
        <v>41883.0</v>
      </c>
      <c r="G4302" t="str">
        <f>CHOOSE(WEEKDAY(A4302,2),"Mon","Tue","Wed","Thu","Fri","Sat","Sun")</f>
        <v>Sat</v>
      </c>
      <c r="H4302" t="str">
        <f>IF(WEEKDAY(A4302,2)&gt;5,"Weekend","Weekday")</f>
        <v>Weekend</v>
      </c>
      <c r="I4302" t="str">
        <f>_xlfn.IFS(B4302&lt;=5,"Night (0-5)",B4302&lt;=9,"Morning peak (6-9)",B4302&lt;=15,"Midday (10-15)",B4302&lt;=19,"Evening peak (16-19)",TRUE,"Late evening (20-23)")</f>
        <v>Night (0-5)</v>
      </c>
    </row>
    <row r="4303" spans="1:9">
      <c r="A4303" s="32">
        <v>41909</v>
      </c>
      <c r="B4303">
        <v>5</v>
      </c>
      <c r="C4303">
        <v>422</v>
      </c>
      <c r="D4303" t="s">
        <v>303</v>
      </c>
      <c r="E4303">
        <f>YEAR(A4303)</f>
        <v>2014</v>
      </c>
      <c r="F4303" s="33">
        <f>DATE(YEAR(A4303),MONTH(A4303),1)</f>
        <v>41883.0</v>
      </c>
      <c r="G4303" t="str">
        <f>CHOOSE(WEEKDAY(A4303,2),"Mon","Tue","Wed","Thu","Fri","Sat","Sun")</f>
        <v>Sat</v>
      </c>
      <c r="H4303" t="str">
        <f>IF(WEEKDAY(A4303,2)&gt;5,"Weekend","Weekday")</f>
        <v>Weekend</v>
      </c>
      <c r="I4303" t="str">
        <f>_xlfn.IFS(B4303&lt;=5,"Night (0-5)",B4303&lt;=9,"Morning peak (6-9)",B4303&lt;=15,"Midday (10-15)",B4303&lt;=19,"Evening peak (16-19)",TRUE,"Late evening (20-23)")</f>
        <v>Night (0-5)</v>
      </c>
    </row>
    <row r="4304" spans="1:9">
      <c r="A4304" s="32">
        <v>41909</v>
      </c>
      <c r="B4304">
        <v>6</v>
      </c>
      <c r="C4304">
        <v>530</v>
      </c>
      <c r="D4304" t="s">
        <v>303</v>
      </c>
      <c r="E4304">
        <f>YEAR(A4304)</f>
        <v>2014</v>
      </c>
      <c r="F4304" s="33">
        <f>DATE(YEAR(A4304),MONTH(A4304),1)</f>
        <v>41883.0</v>
      </c>
      <c r="G4304" t="str">
        <f>CHOOSE(WEEKDAY(A4304,2),"Mon","Tue","Wed","Thu","Fri","Sat","Sun")</f>
        <v>Sat</v>
      </c>
      <c r="H4304" t="str">
        <f>IF(WEEKDAY(A4304,2)&gt;5,"Weekend","Weekday")</f>
        <v>Weekend</v>
      </c>
      <c r="I4304" t="str">
        <f>_xlfn.IFS(B4304&lt;=5,"Night (0-5)",B4304&lt;=9,"Morning peak (6-9)",B4304&lt;=15,"Midday (10-15)",B4304&lt;=19,"Evening peak (16-19)",TRUE,"Late evening (20-23)")</f>
        <v>Morning peak (6-9)</v>
      </c>
    </row>
    <row r="4305" spans="1:9">
      <c r="A4305" s="32">
        <v>41909</v>
      </c>
      <c r="B4305">
        <v>7</v>
      </c>
      <c r="C4305">
        <v>679</v>
      </c>
      <c r="D4305" t="s">
        <v>303</v>
      </c>
      <c r="E4305">
        <f>YEAR(A4305)</f>
        <v>2014</v>
      </c>
      <c r="F4305" s="33">
        <f>DATE(YEAR(A4305),MONTH(A4305),1)</f>
        <v>41883.0</v>
      </c>
      <c r="G4305" t="str">
        <f>CHOOSE(WEEKDAY(A4305,2),"Mon","Tue","Wed","Thu","Fri","Sat","Sun")</f>
        <v>Sat</v>
      </c>
      <c r="H4305" t="str">
        <f>IF(WEEKDAY(A4305,2)&gt;5,"Weekend","Weekday")</f>
        <v>Weekend</v>
      </c>
      <c r="I4305" t="str">
        <f>_xlfn.IFS(B4305&lt;=5,"Night (0-5)",B4305&lt;=9,"Morning peak (6-9)",B4305&lt;=15,"Midday (10-15)",B4305&lt;=19,"Evening peak (16-19)",TRUE,"Late evening (20-23)")</f>
        <v>Morning peak (6-9)</v>
      </c>
    </row>
    <row r="4306" spans="1:9">
      <c r="A4306" s="32">
        <v>41909</v>
      </c>
      <c r="B4306">
        <v>8</v>
      </c>
      <c r="C4306">
        <v>871</v>
      </c>
      <c r="D4306" t="s">
        <v>303</v>
      </c>
      <c r="E4306">
        <f>YEAR(A4306)</f>
        <v>2014</v>
      </c>
      <c r="F4306" s="33">
        <f>DATE(YEAR(A4306),MONTH(A4306),1)</f>
        <v>41883.0</v>
      </c>
      <c r="G4306" t="str">
        <f>CHOOSE(WEEKDAY(A4306,2),"Mon","Tue","Wed","Thu","Fri","Sat","Sun")</f>
        <v>Sat</v>
      </c>
      <c r="H4306" t="str">
        <f>IF(WEEKDAY(A4306,2)&gt;5,"Weekend","Weekday")</f>
        <v>Weekend</v>
      </c>
      <c r="I4306" t="str">
        <f>_xlfn.IFS(B4306&lt;=5,"Night (0-5)",B4306&lt;=9,"Morning peak (6-9)",B4306&lt;=15,"Midday (10-15)",B4306&lt;=19,"Evening peak (16-19)",TRUE,"Late evening (20-23)")</f>
        <v>Morning peak (6-9)</v>
      </c>
    </row>
    <row r="4307" spans="1:9">
      <c r="A4307" s="32">
        <v>41909</v>
      </c>
      <c r="B4307">
        <v>9</v>
      </c>
      <c r="C4307">
        <v>1091</v>
      </c>
      <c r="D4307" t="s">
        <v>303</v>
      </c>
      <c r="E4307">
        <f>YEAR(A4307)</f>
        <v>2014</v>
      </c>
      <c r="F4307" s="33">
        <f>DATE(YEAR(A4307),MONTH(A4307),1)</f>
        <v>41883.0</v>
      </c>
      <c r="G4307" t="str">
        <f>CHOOSE(WEEKDAY(A4307,2),"Mon","Tue","Wed","Thu","Fri","Sat","Sun")</f>
        <v>Sat</v>
      </c>
      <c r="H4307" t="str">
        <f>IF(WEEKDAY(A4307,2)&gt;5,"Weekend","Weekday")</f>
        <v>Weekend</v>
      </c>
      <c r="I4307" t="str">
        <f>_xlfn.IFS(B4307&lt;=5,"Night (0-5)",B4307&lt;=9,"Morning peak (6-9)",B4307&lt;=15,"Midday (10-15)",B4307&lt;=19,"Evening peak (16-19)",TRUE,"Late evening (20-23)")</f>
        <v>Morning peak (6-9)</v>
      </c>
    </row>
    <row r="4308" spans="1:9">
      <c r="A4308" s="32">
        <v>41909</v>
      </c>
      <c r="B4308">
        <v>10</v>
      </c>
      <c r="C4308">
        <v>1276</v>
      </c>
      <c r="D4308" t="s">
        <v>303</v>
      </c>
      <c r="E4308">
        <f>YEAR(A4308)</f>
        <v>2014</v>
      </c>
      <c r="F4308" s="33">
        <f>DATE(YEAR(A4308),MONTH(A4308),1)</f>
        <v>41883.0</v>
      </c>
      <c r="G4308" t="str">
        <f>CHOOSE(WEEKDAY(A4308,2),"Mon","Tue","Wed","Thu","Fri","Sat","Sun")</f>
        <v>Sat</v>
      </c>
      <c r="H4308" t="str">
        <f>IF(WEEKDAY(A4308,2)&gt;5,"Weekend","Weekday")</f>
        <v>Weekend</v>
      </c>
      <c r="I4308" t="str">
        <f>_xlfn.IFS(B4308&lt;=5,"Night (0-5)",B4308&lt;=9,"Morning peak (6-9)",B4308&lt;=15,"Midday (10-15)",B4308&lt;=19,"Evening peak (16-19)",TRUE,"Late evening (20-23)")</f>
        <v>Midday (10-15)</v>
      </c>
    </row>
    <row r="4309" spans="1:9">
      <c r="A4309" s="32">
        <v>41909</v>
      </c>
      <c r="B4309">
        <v>11</v>
      </c>
      <c r="C4309">
        <v>1434</v>
      </c>
      <c r="D4309" t="s">
        <v>303</v>
      </c>
      <c r="E4309">
        <f>YEAR(A4309)</f>
        <v>2014</v>
      </c>
      <c r="F4309" s="33">
        <f>DATE(YEAR(A4309),MONTH(A4309),1)</f>
        <v>41883.0</v>
      </c>
      <c r="G4309" t="str">
        <f>CHOOSE(WEEKDAY(A4309,2),"Mon","Tue","Wed","Thu","Fri","Sat","Sun")</f>
        <v>Sat</v>
      </c>
      <c r="H4309" t="str">
        <f>IF(WEEKDAY(A4309,2)&gt;5,"Weekend","Weekday")</f>
        <v>Weekend</v>
      </c>
      <c r="I4309" t="str">
        <f>_xlfn.IFS(B4309&lt;=5,"Night (0-5)",B4309&lt;=9,"Morning peak (6-9)",B4309&lt;=15,"Midday (10-15)",B4309&lt;=19,"Evening peak (16-19)",TRUE,"Late evening (20-23)")</f>
        <v>Midday (10-15)</v>
      </c>
    </row>
    <row r="4310" spans="1:9">
      <c r="A4310" s="32">
        <v>41909</v>
      </c>
      <c r="B4310">
        <v>12</v>
      </c>
      <c r="C4310">
        <v>1459</v>
      </c>
      <c r="D4310" t="s">
        <v>303</v>
      </c>
      <c r="E4310">
        <f>YEAR(A4310)</f>
        <v>2014</v>
      </c>
      <c r="F4310" s="33">
        <f>DATE(YEAR(A4310),MONTH(A4310),1)</f>
        <v>41883.0</v>
      </c>
      <c r="G4310" t="str">
        <f>CHOOSE(WEEKDAY(A4310,2),"Mon","Tue","Wed","Thu","Fri","Sat","Sun")</f>
        <v>Sat</v>
      </c>
      <c r="H4310" t="str">
        <f>IF(WEEKDAY(A4310,2)&gt;5,"Weekend","Weekday")</f>
        <v>Weekend</v>
      </c>
      <c r="I4310" t="str">
        <f>_xlfn.IFS(B4310&lt;=5,"Night (0-5)",B4310&lt;=9,"Morning peak (6-9)",B4310&lt;=15,"Midday (10-15)",B4310&lt;=19,"Evening peak (16-19)",TRUE,"Late evening (20-23)")</f>
        <v>Midday (10-15)</v>
      </c>
    </row>
    <row r="4311" spans="1:9">
      <c r="A4311" s="32">
        <v>41909</v>
      </c>
      <c r="B4311">
        <v>13</v>
      </c>
      <c r="C4311">
        <v>1712</v>
      </c>
      <c r="D4311" t="s">
        <v>303</v>
      </c>
      <c r="E4311">
        <f>YEAR(A4311)</f>
        <v>2014</v>
      </c>
      <c r="F4311" s="33">
        <f>DATE(YEAR(A4311),MONTH(A4311),1)</f>
        <v>41883.0</v>
      </c>
      <c r="G4311" t="str">
        <f>CHOOSE(WEEKDAY(A4311,2),"Mon","Tue","Wed","Thu","Fri","Sat","Sun")</f>
        <v>Sat</v>
      </c>
      <c r="H4311" t="str">
        <f>IF(WEEKDAY(A4311,2)&gt;5,"Weekend","Weekday")</f>
        <v>Weekend</v>
      </c>
      <c r="I4311" t="str">
        <f>_xlfn.IFS(B4311&lt;=5,"Night (0-5)",B4311&lt;=9,"Morning peak (6-9)",B4311&lt;=15,"Midday (10-15)",B4311&lt;=19,"Evening peak (16-19)",TRUE,"Late evening (20-23)")</f>
        <v>Midday (10-15)</v>
      </c>
    </row>
    <row r="4312" spans="1:9">
      <c r="A4312" s="32">
        <v>41909</v>
      </c>
      <c r="B4312">
        <v>14</v>
      </c>
      <c r="C4312">
        <v>1889</v>
      </c>
      <c r="D4312" t="s">
        <v>303</v>
      </c>
      <c r="E4312">
        <f>YEAR(A4312)</f>
        <v>2014</v>
      </c>
      <c r="F4312" s="33">
        <f>DATE(YEAR(A4312),MONTH(A4312),1)</f>
        <v>41883.0</v>
      </c>
      <c r="G4312" t="str">
        <f>CHOOSE(WEEKDAY(A4312,2),"Mon","Tue","Wed","Thu","Fri","Sat","Sun")</f>
        <v>Sat</v>
      </c>
      <c r="H4312" t="str">
        <f>IF(WEEKDAY(A4312,2)&gt;5,"Weekend","Weekday")</f>
        <v>Weekend</v>
      </c>
      <c r="I4312" t="str">
        <f>_xlfn.IFS(B4312&lt;=5,"Night (0-5)",B4312&lt;=9,"Morning peak (6-9)",B4312&lt;=15,"Midday (10-15)",B4312&lt;=19,"Evening peak (16-19)",TRUE,"Late evening (20-23)")</f>
        <v>Midday (10-15)</v>
      </c>
    </row>
    <row r="4313" spans="1:9">
      <c r="A4313" s="32">
        <v>41909</v>
      </c>
      <c r="B4313">
        <v>15</v>
      </c>
      <c r="C4313">
        <v>2230</v>
      </c>
      <c r="D4313" t="s">
        <v>303</v>
      </c>
      <c r="E4313">
        <f>YEAR(A4313)</f>
        <v>2014</v>
      </c>
      <c r="F4313" s="33">
        <f>DATE(YEAR(A4313),MONTH(A4313),1)</f>
        <v>41883.0</v>
      </c>
      <c r="G4313" t="str">
        <f>CHOOSE(WEEKDAY(A4313,2),"Mon","Tue","Wed","Thu","Fri","Sat","Sun")</f>
        <v>Sat</v>
      </c>
      <c r="H4313" t="str">
        <f>IF(WEEKDAY(A4313,2)&gt;5,"Weekend","Weekday")</f>
        <v>Weekend</v>
      </c>
      <c r="I4313" t="str">
        <f>_xlfn.IFS(B4313&lt;=5,"Night (0-5)",B4313&lt;=9,"Morning peak (6-9)",B4313&lt;=15,"Midday (10-15)",B4313&lt;=19,"Evening peak (16-19)",TRUE,"Late evening (20-23)")</f>
        <v>Midday (10-15)</v>
      </c>
    </row>
    <row r="4314" spans="1:9">
      <c r="A4314" s="32">
        <v>41909</v>
      </c>
      <c r="B4314">
        <v>16</v>
      </c>
      <c r="C4314">
        <v>2438</v>
      </c>
      <c r="D4314" t="s">
        <v>303</v>
      </c>
      <c r="E4314">
        <f>YEAR(A4314)</f>
        <v>2014</v>
      </c>
      <c r="F4314" s="33">
        <f>DATE(YEAR(A4314),MONTH(A4314),1)</f>
        <v>41883.0</v>
      </c>
      <c r="G4314" t="str">
        <f>CHOOSE(WEEKDAY(A4314,2),"Mon","Tue","Wed","Thu","Fri","Sat","Sun")</f>
        <v>Sat</v>
      </c>
      <c r="H4314" t="str">
        <f>IF(WEEKDAY(A4314,2)&gt;5,"Weekend","Weekday")</f>
        <v>Weekend</v>
      </c>
      <c r="I4314" t="str">
        <f>_xlfn.IFS(B4314&lt;=5,"Night (0-5)",B4314&lt;=9,"Morning peak (6-9)",B4314&lt;=15,"Midday (10-15)",B4314&lt;=19,"Evening peak (16-19)",TRUE,"Late evening (20-23)")</f>
        <v>Evening peak (16-19)</v>
      </c>
    </row>
    <row r="4315" spans="1:9">
      <c r="A4315" s="32">
        <v>41909</v>
      </c>
      <c r="B4315">
        <v>17</v>
      </c>
      <c r="C4315">
        <v>2562</v>
      </c>
      <c r="D4315" t="s">
        <v>303</v>
      </c>
      <c r="E4315">
        <f>YEAR(A4315)</f>
        <v>2014</v>
      </c>
      <c r="F4315" s="33">
        <f>DATE(YEAR(A4315),MONTH(A4315),1)</f>
        <v>41883.0</v>
      </c>
      <c r="G4315" t="str">
        <f>CHOOSE(WEEKDAY(A4315,2),"Mon","Tue","Wed","Thu","Fri","Sat","Sun")</f>
        <v>Sat</v>
      </c>
      <c r="H4315" t="str">
        <f>IF(WEEKDAY(A4315,2)&gt;5,"Weekend","Weekday")</f>
        <v>Weekend</v>
      </c>
      <c r="I4315" t="str">
        <f>_xlfn.IFS(B4315&lt;=5,"Night (0-5)",B4315&lt;=9,"Morning peak (6-9)",B4315&lt;=15,"Midday (10-15)",B4315&lt;=19,"Evening peak (16-19)",TRUE,"Late evening (20-23)")</f>
        <v>Evening peak (16-19)</v>
      </c>
    </row>
    <row r="4316" spans="1:9">
      <c r="A4316" s="32">
        <v>41909</v>
      </c>
      <c r="B4316">
        <v>18</v>
      </c>
      <c r="C4316">
        <v>2787</v>
      </c>
      <c r="D4316" t="s">
        <v>303</v>
      </c>
      <c r="E4316">
        <f>YEAR(A4316)</f>
        <v>2014</v>
      </c>
      <c r="F4316" s="33">
        <f>DATE(YEAR(A4316),MONTH(A4316),1)</f>
        <v>41883.0</v>
      </c>
      <c r="G4316" t="str">
        <f>CHOOSE(WEEKDAY(A4316,2),"Mon","Tue","Wed","Thu","Fri","Sat","Sun")</f>
        <v>Sat</v>
      </c>
      <c r="H4316" t="str">
        <f>IF(WEEKDAY(A4316,2)&gt;5,"Weekend","Weekday")</f>
        <v>Weekend</v>
      </c>
      <c r="I4316" t="str">
        <f>_xlfn.IFS(B4316&lt;=5,"Night (0-5)",B4316&lt;=9,"Morning peak (6-9)",B4316&lt;=15,"Midday (10-15)",B4316&lt;=19,"Evening peak (16-19)",TRUE,"Late evening (20-23)")</f>
        <v>Evening peak (16-19)</v>
      </c>
    </row>
    <row r="4317" spans="1:9">
      <c r="A4317" s="32">
        <v>41909</v>
      </c>
      <c r="B4317">
        <v>19</v>
      </c>
      <c r="C4317">
        <v>2683</v>
      </c>
      <c r="D4317" t="s">
        <v>303</v>
      </c>
      <c r="E4317">
        <f>YEAR(A4317)</f>
        <v>2014</v>
      </c>
      <c r="F4317" s="33">
        <f>DATE(YEAR(A4317),MONTH(A4317),1)</f>
        <v>41883.0</v>
      </c>
      <c r="G4317" t="str">
        <f>CHOOSE(WEEKDAY(A4317,2),"Mon","Tue","Wed","Thu","Fri","Sat","Sun")</f>
        <v>Sat</v>
      </c>
      <c r="H4317" t="str">
        <f>IF(WEEKDAY(A4317,2)&gt;5,"Weekend","Weekday")</f>
        <v>Weekend</v>
      </c>
      <c r="I4317" t="str">
        <f>_xlfn.IFS(B4317&lt;=5,"Night (0-5)",B4317&lt;=9,"Morning peak (6-9)",B4317&lt;=15,"Midday (10-15)",B4317&lt;=19,"Evening peak (16-19)",TRUE,"Late evening (20-23)")</f>
        <v>Evening peak (16-19)</v>
      </c>
    </row>
    <row r="4318" spans="1:9">
      <c r="A4318" s="32">
        <v>41909</v>
      </c>
      <c r="B4318">
        <v>20</v>
      </c>
      <c r="C4318">
        <v>2366</v>
      </c>
      <c r="D4318" t="s">
        <v>303</v>
      </c>
      <c r="E4318">
        <f>YEAR(A4318)</f>
        <v>2014</v>
      </c>
      <c r="F4318" s="33">
        <f>DATE(YEAR(A4318),MONTH(A4318),1)</f>
        <v>41883.0</v>
      </c>
      <c r="G4318" t="str">
        <f>CHOOSE(WEEKDAY(A4318,2),"Mon","Tue","Wed","Thu","Fri","Sat","Sun")</f>
        <v>Sat</v>
      </c>
      <c r="H4318" t="str">
        <f>IF(WEEKDAY(A4318,2)&gt;5,"Weekend","Weekday")</f>
        <v>Weekend</v>
      </c>
      <c r="I4318" t="str">
        <f>_xlfn.IFS(B4318&lt;=5,"Night (0-5)",B4318&lt;=9,"Morning peak (6-9)",B4318&lt;=15,"Midday (10-15)",B4318&lt;=19,"Evening peak (16-19)",TRUE,"Late evening (20-23)")</f>
        <v>Late evening (20-23)</v>
      </c>
    </row>
    <row r="4319" spans="1:9">
      <c r="A4319" s="32">
        <v>41909</v>
      </c>
      <c r="B4319">
        <v>21</v>
      </c>
      <c r="C4319">
        <v>2863</v>
      </c>
      <c r="D4319" t="s">
        <v>303</v>
      </c>
      <c r="E4319">
        <f>YEAR(A4319)</f>
        <v>2014</v>
      </c>
      <c r="F4319" s="33">
        <f>DATE(YEAR(A4319),MONTH(A4319),1)</f>
        <v>41883.0</v>
      </c>
      <c r="G4319" t="str">
        <f>CHOOSE(WEEKDAY(A4319,2),"Mon","Tue","Wed","Thu","Fri","Sat","Sun")</f>
        <v>Sat</v>
      </c>
      <c r="H4319" t="str">
        <f>IF(WEEKDAY(A4319,2)&gt;5,"Weekend","Weekday")</f>
        <v>Weekend</v>
      </c>
      <c r="I4319" t="str">
        <f>_xlfn.IFS(B4319&lt;=5,"Night (0-5)",B4319&lt;=9,"Morning peak (6-9)",B4319&lt;=15,"Midday (10-15)",B4319&lt;=19,"Evening peak (16-19)",TRUE,"Late evening (20-23)")</f>
        <v>Late evening (20-23)</v>
      </c>
    </row>
    <row r="4320" spans="1:9">
      <c r="A4320" s="32">
        <v>41909</v>
      </c>
      <c r="B4320">
        <v>22</v>
      </c>
      <c r="C4320">
        <v>2909</v>
      </c>
      <c r="D4320" t="s">
        <v>303</v>
      </c>
      <c r="E4320">
        <f>YEAR(A4320)</f>
        <v>2014</v>
      </c>
      <c r="F4320" s="33">
        <f>DATE(YEAR(A4320),MONTH(A4320),1)</f>
        <v>41883.0</v>
      </c>
      <c r="G4320" t="str">
        <f>CHOOSE(WEEKDAY(A4320,2),"Mon","Tue","Wed","Thu","Fri","Sat","Sun")</f>
        <v>Sat</v>
      </c>
      <c r="H4320" t="str">
        <f>IF(WEEKDAY(A4320,2)&gt;5,"Weekend","Weekday")</f>
        <v>Weekend</v>
      </c>
      <c r="I4320" t="str">
        <f>_xlfn.IFS(B4320&lt;=5,"Night (0-5)",B4320&lt;=9,"Morning peak (6-9)",B4320&lt;=15,"Midday (10-15)",B4320&lt;=19,"Evening peak (16-19)",TRUE,"Late evening (20-23)")</f>
        <v>Late evening (20-23)</v>
      </c>
    </row>
    <row r="4321" spans="1:9">
      <c r="A4321" s="32">
        <v>41909</v>
      </c>
      <c r="B4321">
        <v>23</v>
      </c>
      <c r="C4321">
        <v>2710</v>
      </c>
      <c r="D4321" t="s">
        <v>303</v>
      </c>
      <c r="E4321">
        <f>YEAR(A4321)</f>
        <v>2014</v>
      </c>
      <c r="F4321" s="33">
        <f>DATE(YEAR(A4321),MONTH(A4321),1)</f>
        <v>41883.0</v>
      </c>
      <c r="G4321" t="str">
        <f>CHOOSE(WEEKDAY(A4321,2),"Mon","Tue","Wed","Thu","Fri","Sat","Sun")</f>
        <v>Sat</v>
      </c>
      <c r="H4321" t="str">
        <f>IF(WEEKDAY(A4321,2)&gt;5,"Weekend","Weekday")</f>
        <v>Weekend</v>
      </c>
      <c r="I4321" t="str">
        <f>_xlfn.IFS(B4321&lt;=5,"Night (0-5)",B4321&lt;=9,"Morning peak (6-9)",B4321&lt;=15,"Midday (10-15)",B4321&lt;=19,"Evening peak (16-19)",TRUE,"Late evening (20-23)")</f>
        <v>Late evening (20-23)</v>
      </c>
    </row>
    <row r="4322" spans="1:9">
      <c r="A4322" s="32">
        <v>41910</v>
      </c>
      <c r="B4322">
        <v>0</v>
      </c>
      <c r="C4322">
        <v>2087</v>
      </c>
      <c r="D4322" t="s">
        <v>303</v>
      </c>
      <c r="E4322">
        <f>YEAR(A4322)</f>
        <v>2014</v>
      </c>
      <c r="F4322" s="33">
        <f>DATE(YEAR(A4322),MONTH(A4322),1)</f>
        <v>41883.0</v>
      </c>
      <c r="G4322" t="str">
        <f>CHOOSE(WEEKDAY(A4322,2),"Mon","Tue","Wed","Thu","Fri","Sat","Sun")</f>
        <v>Sun</v>
      </c>
      <c r="H4322" t="str">
        <f>IF(WEEKDAY(A4322,2)&gt;5,"Weekend","Weekday")</f>
        <v>Weekend</v>
      </c>
      <c r="I4322" t="str">
        <f>_xlfn.IFS(B4322&lt;=5,"Night (0-5)",B4322&lt;=9,"Morning peak (6-9)",B4322&lt;=15,"Midday (10-15)",B4322&lt;=19,"Evening peak (16-19)",TRUE,"Late evening (20-23)")</f>
        <v>Night (0-5)</v>
      </c>
    </row>
    <row r="4323" spans="1:9">
      <c r="A4323" s="32">
        <v>41910</v>
      </c>
      <c r="B4323">
        <v>1</v>
      </c>
      <c r="C4323">
        <v>1410</v>
      </c>
      <c r="D4323" t="s">
        <v>303</v>
      </c>
      <c r="E4323">
        <f>YEAR(A4323)</f>
        <v>2014</v>
      </c>
      <c r="F4323" s="33">
        <f>DATE(YEAR(A4323),MONTH(A4323),1)</f>
        <v>41883.0</v>
      </c>
      <c r="G4323" t="str">
        <f>CHOOSE(WEEKDAY(A4323,2),"Mon","Tue","Wed","Thu","Fri","Sat","Sun")</f>
        <v>Sun</v>
      </c>
      <c r="H4323" t="str">
        <f>IF(WEEKDAY(A4323,2)&gt;5,"Weekend","Weekday")</f>
        <v>Weekend</v>
      </c>
      <c r="I4323" t="str">
        <f>_xlfn.IFS(B4323&lt;=5,"Night (0-5)",B4323&lt;=9,"Morning peak (6-9)",B4323&lt;=15,"Midday (10-15)",B4323&lt;=19,"Evening peak (16-19)",TRUE,"Late evening (20-23)")</f>
        <v>Night (0-5)</v>
      </c>
    </row>
    <row r="4324" spans="1:9">
      <c r="A4324" s="32">
        <v>41910</v>
      </c>
      <c r="B4324">
        <v>2</v>
      </c>
      <c r="C4324">
        <v>982</v>
      </c>
      <c r="D4324" t="s">
        <v>303</v>
      </c>
      <c r="E4324">
        <f>YEAR(A4324)</f>
        <v>2014</v>
      </c>
      <c r="F4324" s="33">
        <f>DATE(YEAR(A4324),MONTH(A4324),1)</f>
        <v>41883.0</v>
      </c>
      <c r="G4324" t="str">
        <f>CHOOSE(WEEKDAY(A4324,2),"Mon","Tue","Wed","Thu","Fri","Sat","Sun")</f>
        <v>Sun</v>
      </c>
      <c r="H4324" t="str">
        <f>IF(WEEKDAY(A4324,2)&gt;5,"Weekend","Weekday")</f>
        <v>Weekend</v>
      </c>
      <c r="I4324" t="str">
        <f>_xlfn.IFS(B4324&lt;=5,"Night (0-5)",B4324&lt;=9,"Morning peak (6-9)",B4324&lt;=15,"Midday (10-15)",B4324&lt;=19,"Evening peak (16-19)",TRUE,"Late evening (20-23)")</f>
        <v>Night (0-5)</v>
      </c>
    </row>
    <row r="4325" spans="1:9">
      <c r="A4325" s="32">
        <v>41910</v>
      </c>
      <c r="B4325">
        <v>3</v>
      </c>
      <c r="C4325">
        <v>659</v>
      </c>
      <c r="D4325" t="s">
        <v>303</v>
      </c>
      <c r="E4325">
        <f>YEAR(A4325)</f>
        <v>2014</v>
      </c>
      <c r="F4325" s="33">
        <f>DATE(YEAR(A4325),MONTH(A4325),1)</f>
        <v>41883.0</v>
      </c>
      <c r="G4325" t="str">
        <f>CHOOSE(WEEKDAY(A4325,2),"Mon","Tue","Wed","Thu","Fri","Sat","Sun")</f>
        <v>Sun</v>
      </c>
      <c r="H4325" t="str">
        <f>IF(WEEKDAY(A4325,2)&gt;5,"Weekend","Weekday")</f>
        <v>Weekend</v>
      </c>
      <c r="I4325" t="str">
        <f>_xlfn.IFS(B4325&lt;=5,"Night (0-5)",B4325&lt;=9,"Morning peak (6-9)",B4325&lt;=15,"Midday (10-15)",B4325&lt;=19,"Evening peak (16-19)",TRUE,"Late evening (20-23)")</f>
        <v>Night (0-5)</v>
      </c>
    </row>
    <row r="4326" spans="1:9">
      <c r="A4326" s="32">
        <v>41910</v>
      </c>
      <c r="B4326">
        <v>4</v>
      </c>
      <c r="C4326">
        <v>416</v>
      </c>
      <c r="D4326" t="s">
        <v>303</v>
      </c>
      <c r="E4326">
        <f>YEAR(A4326)</f>
        <v>2014</v>
      </c>
      <c r="F4326" s="33">
        <f>DATE(YEAR(A4326),MONTH(A4326),1)</f>
        <v>41883.0</v>
      </c>
      <c r="G4326" t="str">
        <f>CHOOSE(WEEKDAY(A4326,2),"Mon","Tue","Wed","Thu","Fri","Sat","Sun")</f>
        <v>Sun</v>
      </c>
      <c r="H4326" t="str">
        <f>IF(WEEKDAY(A4326,2)&gt;5,"Weekend","Weekday")</f>
        <v>Weekend</v>
      </c>
      <c r="I4326" t="str">
        <f>_xlfn.IFS(B4326&lt;=5,"Night (0-5)",B4326&lt;=9,"Morning peak (6-9)",B4326&lt;=15,"Midday (10-15)",B4326&lt;=19,"Evening peak (16-19)",TRUE,"Late evening (20-23)")</f>
        <v>Night (0-5)</v>
      </c>
    </row>
    <row r="4327" spans="1:9">
      <c r="A4327" s="32">
        <v>41910</v>
      </c>
      <c r="B4327">
        <v>5</v>
      </c>
      <c r="C4327">
        <v>477</v>
      </c>
      <c r="D4327" t="s">
        <v>303</v>
      </c>
      <c r="E4327">
        <f>YEAR(A4327)</f>
        <v>2014</v>
      </c>
      <c r="F4327" s="33">
        <f>DATE(YEAR(A4327),MONTH(A4327),1)</f>
        <v>41883.0</v>
      </c>
      <c r="G4327" t="str">
        <f>CHOOSE(WEEKDAY(A4327,2),"Mon","Tue","Wed","Thu","Fri","Sat","Sun")</f>
        <v>Sun</v>
      </c>
      <c r="H4327" t="str">
        <f>IF(WEEKDAY(A4327,2)&gt;5,"Weekend","Weekday")</f>
        <v>Weekend</v>
      </c>
      <c r="I4327" t="str">
        <f>_xlfn.IFS(B4327&lt;=5,"Night (0-5)",B4327&lt;=9,"Morning peak (6-9)",B4327&lt;=15,"Midday (10-15)",B4327&lt;=19,"Evening peak (16-19)",TRUE,"Late evening (20-23)")</f>
        <v>Night (0-5)</v>
      </c>
    </row>
    <row r="4328" spans="1:9">
      <c r="A4328" s="32">
        <v>41910</v>
      </c>
      <c r="B4328">
        <v>6</v>
      </c>
      <c r="C4328">
        <v>445</v>
      </c>
      <c r="D4328" t="s">
        <v>303</v>
      </c>
      <c r="E4328">
        <f>YEAR(A4328)</f>
        <v>2014</v>
      </c>
      <c r="F4328" s="33">
        <f>DATE(YEAR(A4328),MONTH(A4328),1)</f>
        <v>41883.0</v>
      </c>
      <c r="G4328" t="str">
        <f>CHOOSE(WEEKDAY(A4328,2),"Mon","Tue","Wed","Thu","Fri","Sat","Sun")</f>
        <v>Sun</v>
      </c>
      <c r="H4328" t="str">
        <f>IF(WEEKDAY(A4328,2)&gt;5,"Weekend","Weekday")</f>
        <v>Weekend</v>
      </c>
      <c r="I4328" t="str">
        <f>_xlfn.IFS(B4328&lt;=5,"Night (0-5)",B4328&lt;=9,"Morning peak (6-9)",B4328&lt;=15,"Midday (10-15)",B4328&lt;=19,"Evening peak (16-19)",TRUE,"Late evening (20-23)")</f>
        <v>Morning peak (6-9)</v>
      </c>
    </row>
    <row r="4329" spans="1:9">
      <c r="A4329" s="32">
        <v>41910</v>
      </c>
      <c r="B4329">
        <v>7</v>
      </c>
      <c r="C4329">
        <v>589</v>
      </c>
      <c r="D4329" t="s">
        <v>303</v>
      </c>
      <c r="E4329">
        <f>YEAR(A4329)</f>
        <v>2014</v>
      </c>
      <c r="F4329" s="33">
        <f>DATE(YEAR(A4329),MONTH(A4329),1)</f>
        <v>41883.0</v>
      </c>
      <c r="G4329" t="str">
        <f>CHOOSE(WEEKDAY(A4329,2),"Mon","Tue","Wed","Thu","Fri","Sat","Sun")</f>
        <v>Sun</v>
      </c>
      <c r="H4329" t="str">
        <f>IF(WEEKDAY(A4329,2)&gt;5,"Weekend","Weekday")</f>
        <v>Weekend</v>
      </c>
      <c r="I4329" t="str">
        <f>_xlfn.IFS(B4329&lt;=5,"Night (0-5)",B4329&lt;=9,"Morning peak (6-9)",B4329&lt;=15,"Midday (10-15)",B4329&lt;=19,"Evening peak (16-19)",TRUE,"Late evening (20-23)")</f>
        <v>Morning peak (6-9)</v>
      </c>
    </row>
    <row r="4330" spans="1:9">
      <c r="A4330" s="32">
        <v>41910</v>
      </c>
      <c r="B4330">
        <v>8</v>
      </c>
      <c r="C4330">
        <v>803</v>
      </c>
      <c r="D4330" t="s">
        <v>303</v>
      </c>
      <c r="E4330">
        <f>YEAR(A4330)</f>
        <v>2014</v>
      </c>
      <c r="F4330" s="33">
        <f>DATE(YEAR(A4330),MONTH(A4330),1)</f>
        <v>41883.0</v>
      </c>
      <c r="G4330" t="str">
        <f>CHOOSE(WEEKDAY(A4330,2),"Mon","Tue","Wed","Thu","Fri","Sat","Sun")</f>
        <v>Sun</v>
      </c>
      <c r="H4330" t="str">
        <f>IF(WEEKDAY(A4330,2)&gt;5,"Weekend","Weekday")</f>
        <v>Weekend</v>
      </c>
      <c r="I4330" t="str">
        <f>_xlfn.IFS(B4330&lt;=5,"Night (0-5)",B4330&lt;=9,"Morning peak (6-9)",B4330&lt;=15,"Midday (10-15)",B4330&lt;=19,"Evening peak (16-19)",TRUE,"Late evening (20-23)")</f>
        <v>Morning peak (6-9)</v>
      </c>
    </row>
    <row r="4331" spans="1:9">
      <c r="A4331" s="32">
        <v>41910</v>
      </c>
      <c r="B4331">
        <v>9</v>
      </c>
      <c r="C4331">
        <v>990</v>
      </c>
      <c r="D4331" t="s">
        <v>303</v>
      </c>
      <c r="E4331">
        <f>YEAR(A4331)</f>
        <v>2014</v>
      </c>
      <c r="F4331" s="33">
        <f>DATE(YEAR(A4331),MONTH(A4331),1)</f>
        <v>41883.0</v>
      </c>
      <c r="G4331" t="str">
        <f>CHOOSE(WEEKDAY(A4331,2),"Mon","Tue","Wed","Thu","Fri","Sat","Sun")</f>
        <v>Sun</v>
      </c>
      <c r="H4331" t="str">
        <f>IF(WEEKDAY(A4331,2)&gt;5,"Weekend","Weekday")</f>
        <v>Weekend</v>
      </c>
      <c r="I4331" t="str">
        <f>_xlfn.IFS(B4331&lt;=5,"Night (0-5)",B4331&lt;=9,"Morning peak (6-9)",B4331&lt;=15,"Midday (10-15)",B4331&lt;=19,"Evening peak (16-19)",TRUE,"Late evening (20-23)")</f>
        <v>Morning peak (6-9)</v>
      </c>
    </row>
    <row r="4332" spans="1:9">
      <c r="A4332" s="32">
        <v>41910</v>
      </c>
      <c r="B4332">
        <v>10</v>
      </c>
      <c r="C4332">
        <v>1216</v>
      </c>
      <c r="D4332" t="s">
        <v>303</v>
      </c>
      <c r="E4332">
        <f>YEAR(A4332)</f>
        <v>2014</v>
      </c>
      <c r="F4332" s="33">
        <f>DATE(YEAR(A4332),MONTH(A4332),1)</f>
        <v>41883.0</v>
      </c>
      <c r="G4332" t="str">
        <f>CHOOSE(WEEKDAY(A4332,2),"Mon","Tue","Wed","Thu","Fri","Sat","Sun")</f>
        <v>Sun</v>
      </c>
      <c r="H4332" t="str">
        <f>IF(WEEKDAY(A4332,2)&gt;5,"Weekend","Weekday")</f>
        <v>Weekend</v>
      </c>
      <c r="I4332" t="str">
        <f>_xlfn.IFS(B4332&lt;=5,"Night (0-5)",B4332&lt;=9,"Morning peak (6-9)",B4332&lt;=15,"Midday (10-15)",B4332&lt;=19,"Evening peak (16-19)",TRUE,"Late evening (20-23)")</f>
        <v>Midday (10-15)</v>
      </c>
    </row>
    <row r="4333" spans="1:9">
      <c r="A4333" s="32">
        <v>41910</v>
      </c>
      <c r="B4333">
        <v>11</v>
      </c>
      <c r="C4333">
        <v>1494</v>
      </c>
      <c r="D4333" t="s">
        <v>303</v>
      </c>
      <c r="E4333">
        <f>YEAR(A4333)</f>
        <v>2014</v>
      </c>
      <c r="F4333" s="33">
        <f>DATE(YEAR(A4333),MONTH(A4333),1)</f>
        <v>41883.0</v>
      </c>
      <c r="G4333" t="str">
        <f>CHOOSE(WEEKDAY(A4333,2),"Mon","Tue","Wed","Thu","Fri","Sat","Sun")</f>
        <v>Sun</v>
      </c>
      <c r="H4333" t="str">
        <f>IF(WEEKDAY(A4333,2)&gt;5,"Weekend","Weekday")</f>
        <v>Weekend</v>
      </c>
      <c r="I4333" t="str">
        <f>_xlfn.IFS(B4333&lt;=5,"Night (0-5)",B4333&lt;=9,"Morning peak (6-9)",B4333&lt;=15,"Midday (10-15)",B4333&lt;=19,"Evening peak (16-19)",TRUE,"Late evening (20-23)")</f>
        <v>Midday (10-15)</v>
      </c>
    </row>
    <row r="4334" spans="1:9">
      <c r="A4334" s="32">
        <v>41910</v>
      </c>
      <c r="B4334">
        <v>12</v>
      </c>
      <c r="C4334">
        <v>1481</v>
      </c>
      <c r="D4334" t="s">
        <v>303</v>
      </c>
      <c r="E4334">
        <f>YEAR(A4334)</f>
        <v>2014</v>
      </c>
      <c r="F4334" s="33">
        <f>DATE(YEAR(A4334),MONTH(A4334),1)</f>
        <v>41883.0</v>
      </c>
      <c r="G4334" t="str">
        <f>CHOOSE(WEEKDAY(A4334,2),"Mon","Tue","Wed","Thu","Fri","Sat","Sun")</f>
        <v>Sun</v>
      </c>
      <c r="H4334" t="str">
        <f>IF(WEEKDAY(A4334,2)&gt;5,"Weekend","Weekday")</f>
        <v>Weekend</v>
      </c>
      <c r="I4334" t="str">
        <f>_xlfn.IFS(B4334&lt;=5,"Night (0-5)",B4334&lt;=9,"Morning peak (6-9)",B4334&lt;=15,"Midday (10-15)",B4334&lt;=19,"Evening peak (16-19)",TRUE,"Late evening (20-23)")</f>
        <v>Midday (10-15)</v>
      </c>
    </row>
    <row r="4335" spans="1:9">
      <c r="A4335" s="32">
        <v>41910</v>
      </c>
      <c r="B4335">
        <v>13</v>
      </c>
      <c r="C4335">
        <v>1605</v>
      </c>
      <c r="D4335" t="s">
        <v>303</v>
      </c>
      <c r="E4335">
        <f>YEAR(A4335)</f>
        <v>2014</v>
      </c>
      <c r="F4335" s="33">
        <f>DATE(YEAR(A4335),MONTH(A4335),1)</f>
        <v>41883.0</v>
      </c>
      <c r="G4335" t="str">
        <f>CHOOSE(WEEKDAY(A4335,2),"Mon","Tue","Wed","Thu","Fri","Sat","Sun")</f>
        <v>Sun</v>
      </c>
      <c r="H4335" t="str">
        <f>IF(WEEKDAY(A4335,2)&gt;5,"Weekend","Weekday")</f>
        <v>Weekend</v>
      </c>
      <c r="I4335" t="str">
        <f>_xlfn.IFS(B4335&lt;=5,"Night (0-5)",B4335&lt;=9,"Morning peak (6-9)",B4335&lt;=15,"Midday (10-15)",B4335&lt;=19,"Evening peak (16-19)",TRUE,"Late evening (20-23)")</f>
        <v>Midday (10-15)</v>
      </c>
    </row>
    <row r="4336" spans="1:9">
      <c r="A4336" s="32">
        <v>41910</v>
      </c>
      <c r="B4336">
        <v>14</v>
      </c>
      <c r="C4336">
        <v>1760</v>
      </c>
      <c r="D4336" t="s">
        <v>303</v>
      </c>
      <c r="E4336">
        <f>YEAR(A4336)</f>
        <v>2014</v>
      </c>
      <c r="F4336" s="33">
        <f>DATE(YEAR(A4336),MONTH(A4336),1)</f>
        <v>41883.0</v>
      </c>
      <c r="G4336" t="str">
        <f>CHOOSE(WEEKDAY(A4336,2),"Mon","Tue","Wed","Thu","Fri","Sat","Sun")</f>
        <v>Sun</v>
      </c>
      <c r="H4336" t="str">
        <f>IF(WEEKDAY(A4336,2)&gt;5,"Weekend","Weekday")</f>
        <v>Weekend</v>
      </c>
      <c r="I4336" t="str">
        <f>_xlfn.IFS(B4336&lt;=5,"Night (0-5)",B4336&lt;=9,"Morning peak (6-9)",B4336&lt;=15,"Midday (10-15)",B4336&lt;=19,"Evening peak (16-19)",TRUE,"Late evening (20-23)")</f>
        <v>Midday (10-15)</v>
      </c>
    </row>
    <row r="4337" spans="1:9">
      <c r="A4337" s="32">
        <v>41910</v>
      </c>
      <c r="B4337">
        <v>15</v>
      </c>
      <c r="C4337">
        <v>1828</v>
      </c>
      <c r="D4337" t="s">
        <v>303</v>
      </c>
      <c r="E4337">
        <f>YEAR(A4337)</f>
        <v>2014</v>
      </c>
      <c r="F4337" s="33">
        <f>DATE(YEAR(A4337),MONTH(A4337),1)</f>
        <v>41883.0</v>
      </c>
      <c r="G4337" t="str">
        <f>CHOOSE(WEEKDAY(A4337,2),"Mon","Tue","Wed","Thu","Fri","Sat","Sun")</f>
        <v>Sun</v>
      </c>
      <c r="H4337" t="str">
        <f>IF(WEEKDAY(A4337,2)&gt;5,"Weekend","Weekday")</f>
        <v>Weekend</v>
      </c>
      <c r="I4337" t="str">
        <f>_xlfn.IFS(B4337&lt;=5,"Night (0-5)",B4337&lt;=9,"Morning peak (6-9)",B4337&lt;=15,"Midday (10-15)",B4337&lt;=19,"Evening peak (16-19)",TRUE,"Late evening (20-23)")</f>
        <v>Midday (10-15)</v>
      </c>
    </row>
    <row r="4338" spans="1:9">
      <c r="A4338" s="32">
        <v>41910</v>
      </c>
      <c r="B4338">
        <v>16</v>
      </c>
      <c r="C4338">
        <v>1937</v>
      </c>
      <c r="D4338" t="s">
        <v>303</v>
      </c>
      <c r="E4338">
        <f>YEAR(A4338)</f>
        <v>2014</v>
      </c>
      <c r="F4338" s="33">
        <f>DATE(YEAR(A4338),MONTH(A4338),1)</f>
        <v>41883.0</v>
      </c>
      <c r="G4338" t="str">
        <f>CHOOSE(WEEKDAY(A4338,2),"Mon","Tue","Wed","Thu","Fri","Sat","Sun")</f>
        <v>Sun</v>
      </c>
      <c r="H4338" t="str">
        <f>IF(WEEKDAY(A4338,2)&gt;5,"Weekend","Weekday")</f>
        <v>Weekend</v>
      </c>
      <c r="I4338" t="str">
        <f>_xlfn.IFS(B4338&lt;=5,"Night (0-5)",B4338&lt;=9,"Morning peak (6-9)",B4338&lt;=15,"Midday (10-15)",B4338&lt;=19,"Evening peak (16-19)",TRUE,"Late evening (20-23)")</f>
        <v>Evening peak (16-19)</v>
      </c>
    </row>
    <row r="4339" spans="1:9">
      <c r="A4339" s="32">
        <v>41910</v>
      </c>
      <c r="B4339">
        <v>17</v>
      </c>
      <c r="C4339">
        <v>1811</v>
      </c>
      <c r="D4339" t="s">
        <v>303</v>
      </c>
      <c r="E4339">
        <f>YEAR(A4339)</f>
        <v>2014</v>
      </c>
      <c r="F4339" s="33">
        <f>DATE(YEAR(A4339),MONTH(A4339),1)</f>
        <v>41883.0</v>
      </c>
      <c r="G4339" t="str">
        <f>CHOOSE(WEEKDAY(A4339,2),"Mon","Tue","Wed","Thu","Fri","Sat","Sun")</f>
        <v>Sun</v>
      </c>
      <c r="H4339" t="str">
        <f>IF(WEEKDAY(A4339,2)&gt;5,"Weekend","Weekday")</f>
        <v>Weekend</v>
      </c>
      <c r="I4339" t="str">
        <f>_xlfn.IFS(B4339&lt;=5,"Night (0-5)",B4339&lt;=9,"Morning peak (6-9)",B4339&lt;=15,"Midday (10-15)",B4339&lt;=19,"Evening peak (16-19)",TRUE,"Late evening (20-23)")</f>
        <v>Evening peak (16-19)</v>
      </c>
    </row>
    <row r="4340" spans="1:9">
      <c r="A4340" s="32">
        <v>41910</v>
      </c>
      <c r="B4340">
        <v>18</v>
      </c>
      <c r="C4340">
        <v>1800</v>
      </c>
      <c r="D4340" t="s">
        <v>303</v>
      </c>
      <c r="E4340">
        <f>YEAR(A4340)</f>
        <v>2014</v>
      </c>
      <c r="F4340" s="33">
        <f>DATE(YEAR(A4340),MONTH(A4340),1)</f>
        <v>41883.0</v>
      </c>
      <c r="G4340" t="str">
        <f>CHOOSE(WEEKDAY(A4340,2),"Mon","Tue","Wed","Thu","Fri","Sat","Sun")</f>
        <v>Sun</v>
      </c>
      <c r="H4340" t="str">
        <f>IF(WEEKDAY(A4340,2)&gt;5,"Weekend","Weekday")</f>
        <v>Weekend</v>
      </c>
      <c r="I4340" t="str">
        <f>_xlfn.IFS(B4340&lt;=5,"Night (0-5)",B4340&lt;=9,"Morning peak (6-9)",B4340&lt;=15,"Midday (10-15)",B4340&lt;=19,"Evening peak (16-19)",TRUE,"Late evening (20-23)")</f>
        <v>Evening peak (16-19)</v>
      </c>
    </row>
    <row r="4341" spans="1:9">
      <c r="A4341" s="32">
        <v>41910</v>
      </c>
      <c r="B4341">
        <v>19</v>
      </c>
      <c r="C4341">
        <v>1568</v>
      </c>
      <c r="D4341" t="s">
        <v>303</v>
      </c>
      <c r="E4341">
        <f>YEAR(A4341)</f>
        <v>2014</v>
      </c>
      <c r="F4341" s="33">
        <f>DATE(YEAR(A4341),MONTH(A4341),1)</f>
        <v>41883.0</v>
      </c>
      <c r="G4341" t="str">
        <f>CHOOSE(WEEKDAY(A4341,2),"Mon","Tue","Wed","Thu","Fri","Sat","Sun")</f>
        <v>Sun</v>
      </c>
      <c r="H4341" t="str">
        <f>IF(WEEKDAY(A4341,2)&gt;5,"Weekend","Weekday")</f>
        <v>Weekend</v>
      </c>
      <c r="I4341" t="str">
        <f>_xlfn.IFS(B4341&lt;=5,"Night (0-5)",B4341&lt;=9,"Morning peak (6-9)",B4341&lt;=15,"Midday (10-15)",B4341&lt;=19,"Evening peak (16-19)",TRUE,"Late evening (20-23)")</f>
        <v>Evening peak (16-19)</v>
      </c>
    </row>
    <row r="4342" spans="1:9">
      <c r="A4342" s="32">
        <v>41910</v>
      </c>
      <c r="B4342">
        <v>20</v>
      </c>
      <c r="C4342">
        <v>1415</v>
      </c>
      <c r="D4342" t="s">
        <v>303</v>
      </c>
      <c r="E4342">
        <f>YEAR(A4342)</f>
        <v>2014</v>
      </c>
      <c r="F4342" s="33">
        <f>DATE(YEAR(A4342),MONTH(A4342),1)</f>
        <v>41883.0</v>
      </c>
      <c r="G4342" t="str">
        <f>CHOOSE(WEEKDAY(A4342,2),"Mon","Tue","Wed","Thu","Fri","Sat","Sun")</f>
        <v>Sun</v>
      </c>
      <c r="H4342" t="str">
        <f>IF(WEEKDAY(A4342,2)&gt;5,"Weekend","Weekday")</f>
        <v>Weekend</v>
      </c>
      <c r="I4342" t="str">
        <f>_xlfn.IFS(B4342&lt;=5,"Night (0-5)",B4342&lt;=9,"Morning peak (6-9)",B4342&lt;=15,"Midday (10-15)",B4342&lt;=19,"Evening peak (16-19)",TRUE,"Late evening (20-23)")</f>
        <v>Late evening (20-23)</v>
      </c>
    </row>
    <row r="4343" spans="1:9">
      <c r="A4343" s="32">
        <v>41910</v>
      </c>
      <c r="B4343">
        <v>21</v>
      </c>
      <c r="C4343">
        <v>1253</v>
      </c>
      <c r="D4343" t="s">
        <v>303</v>
      </c>
      <c r="E4343">
        <f>YEAR(A4343)</f>
        <v>2014</v>
      </c>
      <c r="F4343" s="33">
        <f>DATE(YEAR(A4343),MONTH(A4343),1)</f>
        <v>41883.0</v>
      </c>
      <c r="G4343" t="str">
        <f>CHOOSE(WEEKDAY(A4343,2),"Mon","Tue","Wed","Thu","Fri","Sat","Sun")</f>
        <v>Sun</v>
      </c>
      <c r="H4343" t="str">
        <f>IF(WEEKDAY(A4343,2)&gt;5,"Weekend","Weekday")</f>
        <v>Weekend</v>
      </c>
      <c r="I4343" t="str">
        <f>_xlfn.IFS(B4343&lt;=5,"Night (0-5)",B4343&lt;=9,"Morning peak (6-9)",B4343&lt;=15,"Midday (10-15)",B4343&lt;=19,"Evening peak (16-19)",TRUE,"Late evening (20-23)")</f>
        <v>Late evening (20-23)</v>
      </c>
    </row>
    <row r="4344" spans="1:9">
      <c r="A4344" s="32">
        <v>41910</v>
      </c>
      <c r="B4344">
        <v>22</v>
      </c>
      <c r="C4344">
        <v>1009</v>
      </c>
      <c r="D4344" t="s">
        <v>303</v>
      </c>
      <c r="E4344">
        <f>YEAR(A4344)</f>
        <v>2014</v>
      </c>
      <c r="F4344" s="33">
        <f>DATE(YEAR(A4344),MONTH(A4344),1)</f>
        <v>41883.0</v>
      </c>
      <c r="G4344" t="str">
        <f>CHOOSE(WEEKDAY(A4344,2),"Mon","Tue","Wed","Thu","Fri","Sat","Sun")</f>
        <v>Sun</v>
      </c>
      <c r="H4344" t="str">
        <f>IF(WEEKDAY(A4344,2)&gt;5,"Weekend","Weekday")</f>
        <v>Weekend</v>
      </c>
      <c r="I4344" t="str">
        <f>_xlfn.IFS(B4344&lt;=5,"Night (0-5)",B4344&lt;=9,"Morning peak (6-9)",B4344&lt;=15,"Midday (10-15)",B4344&lt;=19,"Evening peak (16-19)",TRUE,"Late evening (20-23)")</f>
        <v>Late evening (20-23)</v>
      </c>
    </row>
    <row r="4345" spans="1:9">
      <c r="A4345" s="32">
        <v>41910</v>
      </c>
      <c r="B4345">
        <v>23</v>
      </c>
      <c r="C4345">
        <v>621</v>
      </c>
      <c r="D4345" t="s">
        <v>303</v>
      </c>
      <c r="E4345">
        <f>YEAR(A4345)</f>
        <v>2014</v>
      </c>
      <c r="F4345" s="33">
        <f>DATE(YEAR(A4345),MONTH(A4345),1)</f>
        <v>41883.0</v>
      </c>
      <c r="G4345" t="str">
        <f>CHOOSE(WEEKDAY(A4345,2),"Mon","Tue","Wed","Thu","Fri","Sat","Sun")</f>
        <v>Sun</v>
      </c>
      <c r="H4345" t="str">
        <f>IF(WEEKDAY(A4345,2)&gt;5,"Weekend","Weekday")</f>
        <v>Weekend</v>
      </c>
      <c r="I4345" t="str">
        <f>_xlfn.IFS(B4345&lt;=5,"Night (0-5)",B4345&lt;=9,"Morning peak (6-9)",B4345&lt;=15,"Midday (10-15)",B4345&lt;=19,"Evening peak (16-19)",TRUE,"Late evening (20-23)")</f>
        <v>Late evening (20-23)</v>
      </c>
    </row>
    <row r="4346" spans="1:9">
      <c r="A4346" s="32">
        <v>41911</v>
      </c>
      <c r="B4346">
        <v>0</v>
      </c>
      <c r="C4346">
        <v>329</v>
      </c>
      <c r="D4346" t="s">
        <v>303</v>
      </c>
      <c r="E4346">
        <f>YEAR(A4346)</f>
        <v>2014</v>
      </c>
      <c r="F4346" s="33">
        <f>DATE(YEAR(A4346),MONTH(A4346),1)</f>
        <v>41883.0</v>
      </c>
      <c r="G4346" t="str">
        <f>CHOOSE(WEEKDAY(A4346,2),"Mon","Tue","Wed","Thu","Fri","Sat","Sun")</f>
        <v>Mon</v>
      </c>
      <c r="H4346" t="str">
        <f>IF(WEEKDAY(A4346,2)&gt;5,"Weekend","Weekday")</f>
        <v>Weekday</v>
      </c>
      <c r="I4346" t="str">
        <f>_xlfn.IFS(B4346&lt;=5,"Night (0-5)",B4346&lt;=9,"Morning peak (6-9)",B4346&lt;=15,"Midday (10-15)",B4346&lt;=19,"Evening peak (16-19)",TRUE,"Late evening (20-23)")</f>
        <v>Night (0-5)</v>
      </c>
    </row>
    <row r="4347" spans="1:9">
      <c r="A4347" s="32">
        <v>41911</v>
      </c>
      <c r="B4347">
        <v>1</v>
      </c>
      <c r="C4347">
        <v>173</v>
      </c>
      <c r="D4347" t="s">
        <v>303</v>
      </c>
      <c r="E4347">
        <f>YEAR(A4347)</f>
        <v>2014</v>
      </c>
      <c r="F4347" s="33">
        <f>DATE(YEAR(A4347),MONTH(A4347),1)</f>
        <v>41883.0</v>
      </c>
      <c r="G4347" t="str">
        <f>CHOOSE(WEEKDAY(A4347,2),"Mon","Tue","Wed","Thu","Fri","Sat","Sun")</f>
        <v>Mon</v>
      </c>
      <c r="H4347" t="str">
        <f>IF(WEEKDAY(A4347,2)&gt;5,"Weekend","Weekday")</f>
        <v>Weekday</v>
      </c>
      <c r="I4347" t="str">
        <f>_xlfn.IFS(B4347&lt;=5,"Night (0-5)",B4347&lt;=9,"Morning peak (6-9)",B4347&lt;=15,"Midday (10-15)",B4347&lt;=19,"Evening peak (16-19)",TRUE,"Late evening (20-23)")</f>
        <v>Night (0-5)</v>
      </c>
    </row>
    <row r="4348" spans="1:9">
      <c r="A4348" s="32">
        <v>41911</v>
      </c>
      <c r="B4348">
        <v>2</v>
      </c>
      <c r="C4348">
        <v>150</v>
      </c>
      <c r="D4348" t="s">
        <v>303</v>
      </c>
      <c r="E4348">
        <f>YEAR(A4348)</f>
        <v>2014</v>
      </c>
      <c r="F4348" s="33">
        <f>DATE(YEAR(A4348),MONTH(A4348),1)</f>
        <v>41883.0</v>
      </c>
      <c r="G4348" t="str">
        <f>CHOOSE(WEEKDAY(A4348,2),"Mon","Tue","Wed","Thu","Fri","Sat","Sun")</f>
        <v>Mon</v>
      </c>
      <c r="H4348" t="str">
        <f>IF(WEEKDAY(A4348,2)&gt;5,"Weekend","Weekday")</f>
        <v>Weekday</v>
      </c>
      <c r="I4348" t="str">
        <f>_xlfn.IFS(B4348&lt;=5,"Night (0-5)",B4348&lt;=9,"Morning peak (6-9)",B4348&lt;=15,"Midday (10-15)",B4348&lt;=19,"Evening peak (16-19)",TRUE,"Late evening (20-23)")</f>
        <v>Night (0-5)</v>
      </c>
    </row>
    <row r="4349" spans="1:9">
      <c r="A4349" s="32">
        <v>41911</v>
      </c>
      <c r="B4349">
        <v>3</v>
      </c>
      <c r="C4349">
        <v>386</v>
      </c>
      <c r="D4349" t="s">
        <v>303</v>
      </c>
      <c r="E4349">
        <f>YEAR(A4349)</f>
        <v>2014</v>
      </c>
      <c r="F4349" s="33">
        <f>DATE(YEAR(A4349),MONTH(A4349),1)</f>
        <v>41883.0</v>
      </c>
      <c r="G4349" t="str">
        <f>CHOOSE(WEEKDAY(A4349,2),"Mon","Tue","Wed","Thu","Fri","Sat","Sun")</f>
        <v>Mon</v>
      </c>
      <c r="H4349" t="str">
        <f>IF(WEEKDAY(A4349,2)&gt;5,"Weekend","Weekday")</f>
        <v>Weekday</v>
      </c>
      <c r="I4349" t="str">
        <f>_xlfn.IFS(B4349&lt;=5,"Night (0-5)",B4349&lt;=9,"Morning peak (6-9)",B4349&lt;=15,"Midday (10-15)",B4349&lt;=19,"Evening peak (16-19)",TRUE,"Late evening (20-23)")</f>
        <v>Night (0-5)</v>
      </c>
    </row>
    <row r="4350" spans="1:9">
      <c r="A4350" s="32">
        <v>41911</v>
      </c>
      <c r="B4350">
        <v>4</v>
      </c>
      <c r="C4350">
        <v>582</v>
      </c>
      <c r="D4350" t="s">
        <v>303</v>
      </c>
      <c r="E4350">
        <f>YEAR(A4350)</f>
        <v>2014</v>
      </c>
      <c r="F4350" s="33">
        <f>DATE(YEAR(A4350),MONTH(A4350),1)</f>
        <v>41883.0</v>
      </c>
      <c r="G4350" t="str">
        <f>CHOOSE(WEEKDAY(A4350,2),"Mon","Tue","Wed","Thu","Fri","Sat","Sun")</f>
        <v>Mon</v>
      </c>
      <c r="H4350" t="str">
        <f>IF(WEEKDAY(A4350,2)&gt;5,"Weekend","Weekday")</f>
        <v>Weekday</v>
      </c>
      <c r="I4350" t="str">
        <f>_xlfn.IFS(B4350&lt;=5,"Night (0-5)",B4350&lt;=9,"Morning peak (6-9)",B4350&lt;=15,"Midday (10-15)",B4350&lt;=19,"Evening peak (16-19)",TRUE,"Late evening (20-23)")</f>
        <v>Night (0-5)</v>
      </c>
    </row>
    <row r="4351" spans="1:9">
      <c r="A4351" s="32">
        <v>41911</v>
      </c>
      <c r="B4351">
        <v>5</v>
      </c>
      <c r="C4351">
        <v>886</v>
      </c>
      <c r="D4351" t="s">
        <v>303</v>
      </c>
      <c r="E4351">
        <f>YEAR(A4351)</f>
        <v>2014</v>
      </c>
      <c r="F4351" s="33">
        <f>DATE(YEAR(A4351),MONTH(A4351),1)</f>
        <v>41883.0</v>
      </c>
      <c r="G4351" t="str">
        <f>CHOOSE(WEEKDAY(A4351,2),"Mon","Tue","Wed","Thu","Fri","Sat","Sun")</f>
        <v>Mon</v>
      </c>
      <c r="H4351" t="str">
        <f>IF(WEEKDAY(A4351,2)&gt;5,"Weekend","Weekday")</f>
        <v>Weekday</v>
      </c>
      <c r="I4351" t="str">
        <f>_xlfn.IFS(B4351&lt;=5,"Night (0-5)",B4351&lt;=9,"Morning peak (6-9)",B4351&lt;=15,"Midday (10-15)",B4351&lt;=19,"Evening peak (16-19)",TRUE,"Late evening (20-23)")</f>
        <v>Night (0-5)</v>
      </c>
    </row>
    <row r="4352" spans="1:9">
      <c r="A4352" s="32">
        <v>41911</v>
      </c>
      <c r="B4352">
        <v>6</v>
      </c>
      <c r="C4352">
        <v>1402</v>
      </c>
      <c r="D4352" t="s">
        <v>303</v>
      </c>
      <c r="E4352">
        <f>YEAR(A4352)</f>
        <v>2014</v>
      </c>
      <c r="F4352" s="33">
        <f>DATE(YEAR(A4352),MONTH(A4352),1)</f>
        <v>41883.0</v>
      </c>
      <c r="G4352" t="str">
        <f>CHOOSE(WEEKDAY(A4352,2),"Mon","Tue","Wed","Thu","Fri","Sat","Sun")</f>
        <v>Mon</v>
      </c>
      <c r="H4352" t="str">
        <f>IF(WEEKDAY(A4352,2)&gt;5,"Weekend","Weekday")</f>
        <v>Weekday</v>
      </c>
      <c r="I4352" t="str">
        <f>_xlfn.IFS(B4352&lt;=5,"Night (0-5)",B4352&lt;=9,"Morning peak (6-9)",B4352&lt;=15,"Midday (10-15)",B4352&lt;=19,"Evening peak (16-19)",TRUE,"Late evening (20-23)")</f>
        <v>Morning peak (6-9)</v>
      </c>
    </row>
    <row r="4353" spans="1:9">
      <c r="A4353" s="32">
        <v>41911</v>
      </c>
      <c r="B4353">
        <v>7</v>
      </c>
      <c r="C4353">
        <v>1758</v>
      </c>
      <c r="D4353" t="s">
        <v>303</v>
      </c>
      <c r="E4353">
        <f>YEAR(A4353)</f>
        <v>2014</v>
      </c>
      <c r="F4353" s="33">
        <f>DATE(YEAR(A4353),MONTH(A4353),1)</f>
        <v>41883.0</v>
      </c>
      <c r="G4353" t="str">
        <f>CHOOSE(WEEKDAY(A4353,2),"Mon","Tue","Wed","Thu","Fri","Sat","Sun")</f>
        <v>Mon</v>
      </c>
      <c r="H4353" t="str">
        <f>IF(WEEKDAY(A4353,2)&gt;5,"Weekend","Weekday")</f>
        <v>Weekday</v>
      </c>
      <c r="I4353" t="str">
        <f>_xlfn.IFS(B4353&lt;=5,"Night (0-5)",B4353&lt;=9,"Morning peak (6-9)",B4353&lt;=15,"Midday (10-15)",B4353&lt;=19,"Evening peak (16-19)",TRUE,"Late evening (20-23)")</f>
        <v>Morning peak (6-9)</v>
      </c>
    </row>
    <row r="4354" spans="1:9">
      <c r="A4354" s="32">
        <v>41911</v>
      </c>
      <c r="B4354">
        <v>8</v>
      </c>
      <c r="C4354">
        <v>1690</v>
      </c>
      <c r="D4354" t="s">
        <v>303</v>
      </c>
      <c r="E4354">
        <f>YEAR(A4354)</f>
        <v>2014</v>
      </c>
      <c r="F4354" s="33">
        <f>DATE(YEAR(A4354),MONTH(A4354),1)</f>
        <v>41883.0</v>
      </c>
      <c r="G4354" t="str">
        <f>CHOOSE(WEEKDAY(A4354,2),"Mon","Tue","Wed","Thu","Fri","Sat","Sun")</f>
        <v>Mon</v>
      </c>
      <c r="H4354" t="str">
        <f>IF(WEEKDAY(A4354,2)&gt;5,"Weekend","Weekday")</f>
        <v>Weekday</v>
      </c>
      <c r="I4354" t="str">
        <f>_xlfn.IFS(B4354&lt;=5,"Night (0-5)",B4354&lt;=9,"Morning peak (6-9)",B4354&lt;=15,"Midday (10-15)",B4354&lt;=19,"Evening peak (16-19)",TRUE,"Late evening (20-23)")</f>
        <v>Morning peak (6-9)</v>
      </c>
    </row>
    <row r="4355" spans="1:9">
      <c r="A4355" s="32">
        <v>41911</v>
      </c>
      <c r="B4355">
        <v>9</v>
      </c>
      <c r="C4355">
        <v>1404</v>
      </c>
      <c r="D4355" t="s">
        <v>303</v>
      </c>
      <c r="E4355">
        <f>YEAR(A4355)</f>
        <v>2014</v>
      </c>
      <c r="F4355" s="33">
        <f>DATE(YEAR(A4355),MONTH(A4355),1)</f>
        <v>41883.0</v>
      </c>
      <c r="G4355" t="str">
        <f>CHOOSE(WEEKDAY(A4355,2),"Mon","Tue","Wed","Thu","Fri","Sat","Sun")</f>
        <v>Mon</v>
      </c>
      <c r="H4355" t="str">
        <f>IF(WEEKDAY(A4355,2)&gt;5,"Weekend","Weekday")</f>
        <v>Weekday</v>
      </c>
      <c r="I4355" t="str">
        <f>_xlfn.IFS(B4355&lt;=5,"Night (0-5)",B4355&lt;=9,"Morning peak (6-9)",B4355&lt;=15,"Midday (10-15)",B4355&lt;=19,"Evening peak (16-19)",TRUE,"Late evening (20-23)")</f>
        <v>Morning peak (6-9)</v>
      </c>
    </row>
    <row r="4356" spans="1:9">
      <c r="A4356" s="32">
        <v>41911</v>
      </c>
      <c r="B4356">
        <v>10</v>
      </c>
      <c r="C4356">
        <v>1113</v>
      </c>
      <c r="D4356" t="s">
        <v>303</v>
      </c>
      <c r="E4356">
        <f>YEAR(A4356)</f>
        <v>2014</v>
      </c>
      <c r="F4356" s="33">
        <f>DATE(YEAR(A4356),MONTH(A4356),1)</f>
        <v>41883.0</v>
      </c>
      <c r="G4356" t="str">
        <f>CHOOSE(WEEKDAY(A4356,2),"Mon","Tue","Wed","Thu","Fri","Sat","Sun")</f>
        <v>Mon</v>
      </c>
      <c r="H4356" t="str">
        <f>IF(WEEKDAY(A4356,2)&gt;5,"Weekend","Weekday")</f>
        <v>Weekday</v>
      </c>
      <c r="I4356" t="str">
        <f>_xlfn.IFS(B4356&lt;=5,"Night (0-5)",B4356&lt;=9,"Morning peak (6-9)",B4356&lt;=15,"Midday (10-15)",B4356&lt;=19,"Evening peak (16-19)",TRUE,"Late evening (20-23)")</f>
        <v>Midday (10-15)</v>
      </c>
    </row>
    <row r="4357" spans="1:9">
      <c r="A4357" s="32">
        <v>41911</v>
      </c>
      <c r="B4357">
        <v>11</v>
      </c>
      <c r="C4357">
        <v>1138</v>
      </c>
      <c r="D4357" t="s">
        <v>303</v>
      </c>
      <c r="E4357">
        <f>YEAR(A4357)</f>
        <v>2014</v>
      </c>
      <c r="F4357" s="33">
        <f>DATE(YEAR(A4357),MONTH(A4357),1)</f>
        <v>41883.0</v>
      </c>
      <c r="G4357" t="str">
        <f>CHOOSE(WEEKDAY(A4357,2),"Mon","Tue","Wed","Thu","Fri","Sat","Sun")</f>
        <v>Mon</v>
      </c>
      <c r="H4357" t="str">
        <f>IF(WEEKDAY(A4357,2)&gt;5,"Weekend","Weekday")</f>
        <v>Weekday</v>
      </c>
      <c r="I4357" t="str">
        <f>_xlfn.IFS(B4357&lt;=5,"Night (0-5)",B4357&lt;=9,"Morning peak (6-9)",B4357&lt;=15,"Midday (10-15)",B4357&lt;=19,"Evening peak (16-19)",TRUE,"Late evening (20-23)")</f>
        <v>Midday (10-15)</v>
      </c>
    </row>
    <row r="4358" spans="1:9">
      <c r="A4358" s="32">
        <v>41911</v>
      </c>
      <c r="B4358">
        <v>12</v>
      </c>
      <c r="C4358">
        <v>1096</v>
      </c>
      <c r="D4358" t="s">
        <v>303</v>
      </c>
      <c r="E4358">
        <f>YEAR(A4358)</f>
        <v>2014</v>
      </c>
      <c r="F4358" s="33">
        <f>DATE(YEAR(A4358),MONTH(A4358),1)</f>
        <v>41883.0</v>
      </c>
      <c r="G4358" t="str">
        <f>CHOOSE(WEEKDAY(A4358,2),"Mon","Tue","Wed","Thu","Fri","Sat","Sun")</f>
        <v>Mon</v>
      </c>
      <c r="H4358" t="str">
        <f>IF(WEEKDAY(A4358,2)&gt;5,"Weekend","Weekday")</f>
        <v>Weekday</v>
      </c>
      <c r="I4358" t="str">
        <f>_xlfn.IFS(B4358&lt;=5,"Night (0-5)",B4358&lt;=9,"Morning peak (6-9)",B4358&lt;=15,"Midday (10-15)",B4358&lt;=19,"Evening peak (16-19)",TRUE,"Late evening (20-23)")</f>
        <v>Midday (10-15)</v>
      </c>
    </row>
    <row r="4359" spans="1:9">
      <c r="A4359" s="32">
        <v>41911</v>
      </c>
      <c r="B4359">
        <v>13</v>
      </c>
      <c r="C4359">
        <v>1297</v>
      </c>
      <c r="D4359" t="s">
        <v>303</v>
      </c>
      <c r="E4359">
        <f>YEAR(A4359)</f>
        <v>2014</v>
      </c>
      <c r="F4359" s="33">
        <f>DATE(YEAR(A4359),MONTH(A4359),1)</f>
        <v>41883.0</v>
      </c>
      <c r="G4359" t="str">
        <f>CHOOSE(WEEKDAY(A4359,2),"Mon","Tue","Wed","Thu","Fri","Sat","Sun")</f>
        <v>Mon</v>
      </c>
      <c r="H4359" t="str">
        <f>IF(WEEKDAY(A4359,2)&gt;5,"Weekend","Weekday")</f>
        <v>Weekday</v>
      </c>
      <c r="I4359" t="str">
        <f>_xlfn.IFS(B4359&lt;=5,"Night (0-5)",B4359&lt;=9,"Morning peak (6-9)",B4359&lt;=15,"Midday (10-15)",B4359&lt;=19,"Evening peak (16-19)",TRUE,"Late evening (20-23)")</f>
        <v>Midday (10-15)</v>
      </c>
    </row>
    <row r="4360" spans="1:9">
      <c r="A4360" s="32">
        <v>41911</v>
      </c>
      <c r="B4360">
        <v>14</v>
      </c>
      <c r="C4360">
        <v>1469</v>
      </c>
      <c r="D4360" t="s">
        <v>303</v>
      </c>
      <c r="E4360">
        <f>YEAR(A4360)</f>
        <v>2014</v>
      </c>
      <c r="F4360" s="33">
        <f>DATE(YEAR(A4360),MONTH(A4360),1)</f>
        <v>41883.0</v>
      </c>
      <c r="G4360" t="str">
        <f>CHOOSE(WEEKDAY(A4360,2),"Mon","Tue","Wed","Thu","Fri","Sat","Sun")</f>
        <v>Mon</v>
      </c>
      <c r="H4360" t="str">
        <f>IF(WEEKDAY(A4360,2)&gt;5,"Weekend","Weekday")</f>
        <v>Weekday</v>
      </c>
      <c r="I4360" t="str">
        <f>_xlfn.IFS(B4360&lt;=5,"Night (0-5)",B4360&lt;=9,"Morning peak (6-9)",B4360&lt;=15,"Midday (10-15)",B4360&lt;=19,"Evening peak (16-19)",TRUE,"Late evening (20-23)")</f>
        <v>Midday (10-15)</v>
      </c>
    </row>
    <row r="4361" spans="1:9">
      <c r="A4361" s="32">
        <v>41911</v>
      </c>
      <c r="B4361">
        <v>15</v>
      </c>
      <c r="C4361">
        <v>1697</v>
      </c>
      <c r="D4361" t="s">
        <v>303</v>
      </c>
      <c r="E4361">
        <f>YEAR(A4361)</f>
        <v>2014</v>
      </c>
      <c r="F4361" s="33">
        <f>DATE(YEAR(A4361),MONTH(A4361),1)</f>
        <v>41883.0</v>
      </c>
      <c r="G4361" t="str">
        <f>CHOOSE(WEEKDAY(A4361,2),"Mon","Tue","Wed","Thu","Fri","Sat","Sun")</f>
        <v>Mon</v>
      </c>
      <c r="H4361" t="str">
        <f>IF(WEEKDAY(A4361,2)&gt;5,"Weekend","Weekday")</f>
        <v>Weekday</v>
      </c>
      <c r="I4361" t="str">
        <f>_xlfn.IFS(B4361&lt;=5,"Night (0-5)",B4361&lt;=9,"Morning peak (6-9)",B4361&lt;=15,"Midday (10-15)",B4361&lt;=19,"Evening peak (16-19)",TRUE,"Late evening (20-23)")</f>
        <v>Midday (10-15)</v>
      </c>
    </row>
    <row r="4362" spans="1:9">
      <c r="A4362" s="32">
        <v>41911</v>
      </c>
      <c r="B4362">
        <v>16</v>
      </c>
      <c r="C4362">
        <v>1883</v>
      </c>
      <c r="D4362" t="s">
        <v>303</v>
      </c>
      <c r="E4362">
        <f>YEAR(A4362)</f>
        <v>2014</v>
      </c>
      <c r="F4362" s="33">
        <f>DATE(YEAR(A4362),MONTH(A4362),1)</f>
        <v>41883.0</v>
      </c>
      <c r="G4362" t="str">
        <f>CHOOSE(WEEKDAY(A4362,2),"Mon","Tue","Wed","Thu","Fri","Sat","Sun")</f>
        <v>Mon</v>
      </c>
      <c r="H4362" t="str">
        <f>IF(WEEKDAY(A4362,2)&gt;5,"Weekend","Weekday")</f>
        <v>Weekday</v>
      </c>
      <c r="I4362" t="str">
        <f>_xlfn.IFS(B4362&lt;=5,"Night (0-5)",B4362&lt;=9,"Morning peak (6-9)",B4362&lt;=15,"Midday (10-15)",B4362&lt;=19,"Evening peak (16-19)",TRUE,"Late evening (20-23)")</f>
        <v>Evening peak (16-19)</v>
      </c>
    </row>
    <row r="4363" spans="1:9">
      <c r="A4363" s="32">
        <v>41911</v>
      </c>
      <c r="B4363">
        <v>17</v>
      </c>
      <c r="C4363">
        <v>1955</v>
      </c>
      <c r="D4363" t="s">
        <v>303</v>
      </c>
      <c r="E4363">
        <f>YEAR(A4363)</f>
        <v>2014</v>
      </c>
      <c r="F4363" s="33">
        <f>DATE(YEAR(A4363),MONTH(A4363),1)</f>
        <v>41883.0</v>
      </c>
      <c r="G4363" t="str">
        <f>CHOOSE(WEEKDAY(A4363,2),"Mon","Tue","Wed","Thu","Fri","Sat","Sun")</f>
        <v>Mon</v>
      </c>
      <c r="H4363" t="str">
        <f>IF(WEEKDAY(A4363,2)&gt;5,"Weekend","Weekday")</f>
        <v>Weekday</v>
      </c>
      <c r="I4363" t="str">
        <f>_xlfn.IFS(B4363&lt;=5,"Night (0-5)",B4363&lt;=9,"Morning peak (6-9)",B4363&lt;=15,"Midday (10-15)",B4363&lt;=19,"Evening peak (16-19)",TRUE,"Late evening (20-23)")</f>
        <v>Evening peak (16-19)</v>
      </c>
    </row>
    <row r="4364" spans="1:9">
      <c r="A4364" s="32">
        <v>41911</v>
      </c>
      <c r="B4364">
        <v>18</v>
      </c>
      <c r="C4364">
        <v>2053</v>
      </c>
      <c r="D4364" t="s">
        <v>303</v>
      </c>
      <c r="E4364">
        <f>YEAR(A4364)</f>
        <v>2014</v>
      </c>
      <c r="F4364" s="33">
        <f>DATE(YEAR(A4364),MONTH(A4364),1)</f>
        <v>41883.0</v>
      </c>
      <c r="G4364" t="str">
        <f>CHOOSE(WEEKDAY(A4364,2),"Mon","Tue","Wed","Thu","Fri","Sat","Sun")</f>
        <v>Mon</v>
      </c>
      <c r="H4364" t="str">
        <f>IF(WEEKDAY(A4364,2)&gt;5,"Weekend","Weekday")</f>
        <v>Weekday</v>
      </c>
      <c r="I4364" t="str">
        <f>_xlfn.IFS(B4364&lt;=5,"Night (0-5)",B4364&lt;=9,"Morning peak (6-9)",B4364&lt;=15,"Midday (10-15)",B4364&lt;=19,"Evening peak (16-19)",TRUE,"Late evening (20-23)")</f>
        <v>Evening peak (16-19)</v>
      </c>
    </row>
    <row r="4365" spans="1:9">
      <c r="A4365" s="32">
        <v>41911</v>
      </c>
      <c r="B4365">
        <v>19</v>
      </c>
      <c r="C4365">
        <v>1792</v>
      </c>
      <c r="D4365" t="s">
        <v>303</v>
      </c>
      <c r="E4365">
        <f>YEAR(A4365)</f>
        <v>2014</v>
      </c>
      <c r="F4365" s="33">
        <f>DATE(YEAR(A4365),MONTH(A4365),1)</f>
        <v>41883.0</v>
      </c>
      <c r="G4365" t="str">
        <f>CHOOSE(WEEKDAY(A4365,2),"Mon","Tue","Wed","Thu","Fri","Sat","Sun")</f>
        <v>Mon</v>
      </c>
      <c r="H4365" t="str">
        <f>IF(WEEKDAY(A4365,2)&gt;5,"Weekend","Weekday")</f>
        <v>Weekday</v>
      </c>
      <c r="I4365" t="str">
        <f>_xlfn.IFS(B4365&lt;=5,"Night (0-5)",B4365&lt;=9,"Morning peak (6-9)",B4365&lt;=15,"Midday (10-15)",B4365&lt;=19,"Evening peak (16-19)",TRUE,"Late evening (20-23)")</f>
        <v>Evening peak (16-19)</v>
      </c>
    </row>
    <row r="4366" spans="1:9">
      <c r="A4366" s="32">
        <v>41911</v>
      </c>
      <c r="B4366">
        <v>20</v>
      </c>
      <c r="C4366">
        <v>1727</v>
      </c>
      <c r="D4366" t="s">
        <v>303</v>
      </c>
      <c r="E4366">
        <f>YEAR(A4366)</f>
        <v>2014</v>
      </c>
      <c r="F4366" s="33">
        <f>DATE(YEAR(A4366),MONTH(A4366),1)</f>
        <v>41883.0</v>
      </c>
      <c r="G4366" t="str">
        <f>CHOOSE(WEEKDAY(A4366,2),"Mon","Tue","Wed","Thu","Fri","Sat","Sun")</f>
        <v>Mon</v>
      </c>
      <c r="H4366" t="str">
        <f>IF(WEEKDAY(A4366,2)&gt;5,"Weekend","Weekday")</f>
        <v>Weekday</v>
      </c>
      <c r="I4366" t="str">
        <f>_xlfn.IFS(B4366&lt;=5,"Night (0-5)",B4366&lt;=9,"Morning peak (6-9)",B4366&lt;=15,"Midday (10-15)",B4366&lt;=19,"Evening peak (16-19)",TRUE,"Late evening (20-23)")</f>
        <v>Late evening (20-23)</v>
      </c>
    </row>
    <row r="4367" spans="1:9">
      <c r="A4367" s="32">
        <v>41911</v>
      </c>
      <c r="B4367">
        <v>21</v>
      </c>
      <c r="C4367">
        <v>1509</v>
      </c>
      <c r="D4367" t="s">
        <v>303</v>
      </c>
      <c r="E4367">
        <f>YEAR(A4367)</f>
        <v>2014</v>
      </c>
      <c r="F4367" s="33">
        <f>DATE(YEAR(A4367),MONTH(A4367),1)</f>
        <v>41883.0</v>
      </c>
      <c r="G4367" t="str">
        <f>CHOOSE(WEEKDAY(A4367,2),"Mon","Tue","Wed","Thu","Fri","Sat","Sun")</f>
        <v>Mon</v>
      </c>
      <c r="H4367" t="str">
        <f>IF(WEEKDAY(A4367,2)&gt;5,"Weekend","Weekday")</f>
        <v>Weekday</v>
      </c>
      <c r="I4367" t="str">
        <f>_xlfn.IFS(B4367&lt;=5,"Night (0-5)",B4367&lt;=9,"Morning peak (6-9)",B4367&lt;=15,"Midday (10-15)",B4367&lt;=19,"Evening peak (16-19)",TRUE,"Late evening (20-23)")</f>
        <v>Late evening (20-23)</v>
      </c>
    </row>
    <row r="4368" spans="1:9">
      <c r="A4368" s="32">
        <v>41911</v>
      </c>
      <c r="B4368">
        <v>22</v>
      </c>
      <c r="C4368">
        <v>1103</v>
      </c>
      <c r="D4368" t="s">
        <v>303</v>
      </c>
      <c r="E4368">
        <f>YEAR(A4368)</f>
        <v>2014</v>
      </c>
      <c r="F4368" s="33">
        <f>DATE(YEAR(A4368),MONTH(A4368),1)</f>
        <v>41883.0</v>
      </c>
      <c r="G4368" t="str">
        <f>CHOOSE(WEEKDAY(A4368,2),"Mon","Tue","Wed","Thu","Fri","Sat","Sun")</f>
        <v>Mon</v>
      </c>
      <c r="H4368" t="str">
        <f>IF(WEEKDAY(A4368,2)&gt;5,"Weekend","Weekday")</f>
        <v>Weekday</v>
      </c>
      <c r="I4368" t="str">
        <f>_xlfn.IFS(B4368&lt;=5,"Night (0-5)",B4368&lt;=9,"Morning peak (6-9)",B4368&lt;=15,"Midday (10-15)",B4368&lt;=19,"Evening peak (16-19)",TRUE,"Late evening (20-23)")</f>
        <v>Late evening (20-23)</v>
      </c>
    </row>
    <row r="4369" spans="1:9">
      <c r="A4369" s="32">
        <v>41911</v>
      </c>
      <c r="B4369">
        <v>23</v>
      </c>
      <c r="C4369">
        <v>609</v>
      </c>
      <c r="D4369" t="s">
        <v>303</v>
      </c>
      <c r="E4369">
        <f>YEAR(A4369)</f>
        <v>2014</v>
      </c>
      <c r="F4369" s="33">
        <f>DATE(YEAR(A4369),MONTH(A4369),1)</f>
        <v>41883.0</v>
      </c>
      <c r="G4369" t="str">
        <f>CHOOSE(WEEKDAY(A4369,2),"Mon","Tue","Wed","Thu","Fri","Sat","Sun")</f>
        <v>Mon</v>
      </c>
      <c r="H4369" t="str">
        <f>IF(WEEKDAY(A4369,2)&gt;5,"Weekend","Weekday")</f>
        <v>Weekday</v>
      </c>
      <c r="I4369" t="str">
        <f>_xlfn.IFS(B4369&lt;=5,"Night (0-5)",B4369&lt;=9,"Morning peak (6-9)",B4369&lt;=15,"Midday (10-15)",B4369&lt;=19,"Evening peak (16-19)",TRUE,"Late evening (20-23)")</f>
        <v>Late evening (20-23)</v>
      </c>
    </row>
    <row r="4370" spans="1:9">
      <c r="A4370" s="32">
        <v>41912</v>
      </c>
      <c r="B4370">
        <v>0</v>
      </c>
      <c r="C4370">
        <v>290</v>
      </c>
      <c r="D4370" t="s">
        <v>303</v>
      </c>
      <c r="E4370">
        <f>YEAR(A4370)</f>
        <v>2014</v>
      </c>
      <c r="F4370" s="33">
        <f>DATE(YEAR(A4370),MONTH(A4370),1)</f>
        <v>41883.0</v>
      </c>
      <c r="G4370" t="str">
        <f>CHOOSE(WEEKDAY(A4370,2),"Mon","Tue","Wed","Thu","Fri","Sat","Sun")</f>
        <v>Tue</v>
      </c>
      <c r="H4370" t="str">
        <f>IF(WEEKDAY(A4370,2)&gt;5,"Weekend","Weekday")</f>
        <v>Weekday</v>
      </c>
      <c r="I4370" t="str">
        <f>_xlfn.IFS(B4370&lt;=5,"Night (0-5)",B4370&lt;=9,"Morning peak (6-9)",B4370&lt;=15,"Midday (10-15)",B4370&lt;=19,"Evening peak (16-19)",TRUE,"Late evening (20-23)")</f>
        <v>Night (0-5)</v>
      </c>
    </row>
    <row r="4371" spans="1:9">
      <c r="A4371" s="32">
        <v>41912</v>
      </c>
      <c r="B4371">
        <v>1</v>
      </c>
      <c r="C4371">
        <v>165</v>
      </c>
      <c r="D4371" t="s">
        <v>303</v>
      </c>
      <c r="E4371">
        <f>YEAR(A4371)</f>
        <v>2014</v>
      </c>
      <c r="F4371" s="33">
        <f>DATE(YEAR(A4371),MONTH(A4371),1)</f>
        <v>41883.0</v>
      </c>
      <c r="G4371" t="str">
        <f>CHOOSE(WEEKDAY(A4371,2),"Mon","Tue","Wed","Thu","Fri","Sat","Sun")</f>
        <v>Tue</v>
      </c>
      <c r="H4371" t="str">
        <f>IF(WEEKDAY(A4371,2)&gt;5,"Weekend","Weekday")</f>
        <v>Weekday</v>
      </c>
      <c r="I4371" t="str">
        <f>_xlfn.IFS(B4371&lt;=5,"Night (0-5)",B4371&lt;=9,"Morning peak (6-9)",B4371&lt;=15,"Midday (10-15)",B4371&lt;=19,"Evening peak (16-19)",TRUE,"Late evening (20-23)")</f>
        <v>Night (0-5)</v>
      </c>
    </row>
    <row r="4372" spans="1:9">
      <c r="A4372" s="32">
        <v>41912</v>
      </c>
      <c r="B4372">
        <v>2</v>
      </c>
      <c r="C4372">
        <v>129</v>
      </c>
      <c r="D4372" t="s">
        <v>303</v>
      </c>
      <c r="E4372">
        <f>YEAR(A4372)</f>
        <v>2014</v>
      </c>
      <c r="F4372" s="33">
        <f>DATE(YEAR(A4372),MONTH(A4372),1)</f>
        <v>41883.0</v>
      </c>
      <c r="G4372" t="str">
        <f>CHOOSE(WEEKDAY(A4372,2),"Mon","Tue","Wed","Thu","Fri","Sat","Sun")</f>
        <v>Tue</v>
      </c>
      <c r="H4372" t="str">
        <f>IF(WEEKDAY(A4372,2)&gt;5,"Weekend","Weekday")</f>
        <v>Weekday</v>
      </c>
      <c r="I4372" t="str">
        <f>_xlfn.IFS(B4372&lt;=5,"Night (0-5)",B4372&lt;=9,"Morning peak (6-9)",B4372&lt;=15,"Midday (10-15)",B4372&lt;=19,"Evening peak (16-19)",TRUE,"Late evening (20-23)")</f>
        <v>Night (0-5)</v>
      </c>
    </row>
    <row r="4373" spans="1:9">
      <c r="A4373" s="32">
        <v>41912</v>
      </c>
      <c r="B4373">
        <v>3</v>
      </c>
      <c r="C4373">
        <v>235</v>
      </c>
      <c r="D4373" t="s">
        <v>303</v>
      </c>
      <c r="E4373">
        <f>YEAR(A4373)</f>
        <v>2014</v>
      </c>
      <c r="F4373" s="33">
        <f>DATE(YEAR(A4373),MONTH(A4373),1)</f>
        <v>41883.0</v>
      </c>
      <c r="G4373" t="str">
        <f>CHOOSE(WEEKDAY(A4373,2),"Mon","Tue","Wed","Thu","Fri","Sat","Sun")</f>
        <v>Tue</v>
      </c>
      <c r="H4373" t="str">
        <f>IF(WEEKDAY(A4373,2)&gt;5,"Weekend","Weekday")</f>
        <v>Weekday</v>
      </c>
      <c r="I4373" t="str">
        <f>_xlfn.IFS(B4373&lt;=5,"Night (0-5)",B4373&lt;=9,"Morning peak (6-9)",B4373&lt;=15,"Midday (10-15)",B4373&lt;=19,"Evening peak (16-19)",TRUE,"Late evening (20-23)")</f>
        <v>Night (0-5)</v>
      </c>
    </row>
    <row r="4374" spans="1:9">
      <c r="A4374" s="32">
        <v>41912</v>
      </c>
      <c r="B4374">
        <v>4</v>
      </c>
      <c r="C4374">
        <v>415</v>
      </c>
      <c r="D4374" t="s">
        <v>303</v>
      </c>
      <c r="E4374">
        <f>YEAR(A4374)</f>
        <v>2014</v>
      </c>
      <c r="F4374" s="33">
        <f>DATE(YEAR(A4374),MONTH(A4374),1)</f>
        <v>41883.0</v>
      </c>
      <c r="G4374" t="str">
        <f>CHOOSE(WEEKDAY(A4374,2),"Mon","Tue","Wed","Thu","Fri","Sat","Sun")</f>
        <v>Tue</v>
      </c>
      <c r="H4374" t="str">
        <f>IF(WEEKDAY(A4374,2)&gt;5,"Weekend","Weekday")</f>
        <v>Weekday</v>
      </c>
      <c r="I4374" t="str">
        <f>_xlfn.IFS(B4374&lt;=5,"Night (0-5)",B4374&lt;=9,"Morning peak (6-9)",B4374&lt;=15,"Midday (10-15)",B4374&lt;=19,"Evening peak (16-19)",TRUE,"Late evening (20-23)")</f>
        <v>Night (0-5)</v>
      </c>
    </row>
    <row r="4375" spans="1:9">
      <c r="A4375" s="32">
        <v>41912</v>
      </c>
      <c r="B4375">
        <v>5</v>
      </c>
      <c r="C4375">
        <v>867</v>
      </c>
      <c r="D4375" t="s">
        <v>303</v>
      </c>
      <c r="E4375">
        <f>YEAR(A4375)</f>
        <v>2014</v>
      </c>
      <c r="F4375" s="33">
        <f>DATE(YEAR(A4375),MONTH(A4375),1)</f>
        <v>41883.0</v>
      </c>
      <c r="G4375" t="str">
        <f>CHOOSE(WEEKDAY(A4375,2),"Mon","Tue","Wed","Thu","Fri","Sat","Sun")</f>
        <v>Tue</v>
      </c>
      <c r="H4375" t="str">
        <f>IF(WEEKDAY(A4375,2)&gt;5,"Weekend","Weekday")</f>
        <v>Weekday</v>
      </c>
      <c r="I4375" t="str">
        <f>_xlfn.IFS(B4375&lt;=5,"Night (0-5)",B4375&lt;=9,"Morning peak (6-9)",B4375&lt;=15,"Midday (10-15)",B4375&lt;=19,"Evening peak (16-19)",TRUE,"Late evening (20-23)")</f>
        <v>Night (0-5)</v>
      </c>
    </row>
    <row r="4376" spans="1:9">
      <c r="A4376" s="32">
        <v>41912</v>
      </c>
      <c r="B4376">
        <v>6</v>
      </c>
      <c r="C4376">
        <v>1582</v>
      </c>
      <c r="D4376" t="s">
        <v>303</v>
      </c>
      <c r="E4376">
        <f>YEAR(A4376)</f>
        <v>2014</v>
      </c>
      <c r="F4376" s="33">
        <f>DATE(YEAR(A4376),MONTH(A4376),1)</f>
        <v>41883.0</v>
      </c>
      <c r="G4376" t="str">
        <f>CHOOSE(WEEKDAY(A4376,2),"Mon","Tue","Wed","Thu","Fri","Sat","Sun")</f>
        <v>Tue</v>
      </c>
      <c r="H4376" t="str">
        <f>IF(WEEKDAY(A4376,2)&gt;5,"Weekend","Weekday")</f>
        <v>Weekday</v>
      </c>
      <c r="I4376" t="str">
        <f>_xlfn.IFS(B4376&lt;=5,"Night (0-5)",B4376&lt;=9,"Morning peak (6-9)",B4376&lt;=15,"Midday (10-15)",B4376&lt;=19,"Evening peak (16-19)",TRUE,"Late evening (20-23)")</f>
        <v>Morning peak (6-9)</v>
      </c>
    </row>
    <row r="4377" spans="1:9">
      <c r="A4377" s="32">
        <v>41912</v>
      </c>
      <c r="B4377">
        <v>7</v>
      </c>
      <c r="C4377">
        <v>2030</v>
      </c>
      <c r="D4377" t="s">
        <v>303</v>
      </c>
      <c r="E4377">
        <f>YEAR(A4377)</f>
        <v>2014</v>
      </c>
      <c r="F4377" s="33">
        <f>DATE(YEAR(A4377),MONTH(A4377),1)</f>
        <v>41883.0</v>
      </c>
      <c r="G4377" t="str">
        <f>CHOOSE(WEEKDAY(A4377,2),"Mon","Tue","Wed","Thu","Fri","Sat","Sun")</f>
        <v>Tue</v>
      </c>
      <c r="H4377" t="str">
        <f>IF(WEEKDAY(A4377,2)&gt;5,"Weekend","Weekday")</f>
        <v>Weekday</v>
      </c>
      <c r="I4377" t="str">
        <f>_xlfn.IFS(B4377&lt;=5,"Night (0-5)",B4377&lt;=9,"Morning peak (6-9)",B4377&lt;=15,"Midday (10-15)",B4377&lt;=19,"Evening peak (16-19)",TRUE,"Late evening (20-23)")</f>
        <v>Morning peak (6-9)</v>
      </c>
    </row>
    <row r="4378" spans="1:9">
      <c r="A4378" s="32">
        <v>41912</v>
      </c>
      <c r="B4378">
        <v>8</v>
      </c>
      <c r="C4378">
        <v>1866</v>
      </c>
      <c r="D4378" t="s">
        <v>303</v>
      </c>
      <c r="E4378">
        <f>YEAR(A4378)</f>
        <v>2014</v>
      </c>
      <c r="F4378" s="33">
        <f>DATE(YEAR(A4378),MONTH(A4378),1)</f>
        <v>41883.0</v>
      </c>
      <c r="G4378" t="str">
        <f>CHOOSE(WEEKDAY(A4378,2),"Mon","Tue","Wed","Thu","Fri","Sat","Sun")</f>
        <v>Tue</v>
      </c>
      <c r="H4378" t="str">
        <f>IF(WEEKDAY(A4378,2)&gt;5,"Weekend","Weekday")</f>
        <v>Weekday</v>
      </c>
      <c r="I4378" t="str">
        <f>_xlfn.IFS(B4378&lt;=5,"Night (0-5)",B4378&lt;=9,"Morning peak (6-9)",B4378&lt;=15,"Midday (10-15)",B4378&lt;=19,"Evening peak (16-19)",TRUE,"Late evening (20-23)")</f>
        <v>Morning peak (6-9)</v>
      </c>
    </row>
    <row r="4379" spans="1:9">
      <c r="A4379" s="32">
        <v>41912</v>
      </c>
      <c r="B4379">
        <v>9</v>
      </c>
      <c r="C4379">
        <v>1274</v>
      </c>
      <c r="D4379" t="s">
        <v>303</v>
      </c>
      <c r="E4379">
        <f>YEAR(A4379)</f>
        <v>2014</v>
      </c>
      <c r="F4379" s="33">
        <f>DATE(YEAR(A4379),MONTH(A4379),1)</f>
        <v>41883.0</v>
      </c>
      <c r="G4379" t="str">
        <f>CHOOSE(WEEKDAY(A4379,2),"Mon","Tue","Wed","Thu","Fri","Sat","Sun")</f>
        <v>Tue</v>
      </c>
      <c r="H4379" t="str">
        <f>IF(WEEKDAY(A4379,2)&gt;5,"Weekend","Weekday")</f>
        <v>Weekday</v>
      </c>
      <c r="I4379" t="str">
        <f>_xlfn.IFS(B4379&lt;=5,"Night (0-5)",B4379&lt;=9,"Morning peak (6-9)",B4379&lt;=15,"Midday (10-15)",B4379&lt;=19,"Evening peak (16-19)",TRUE,"Late evening (20-23)")</f>
        <v>Morning peak (6-9)</v>
      </c>
    </row>
    <row r="4380" spans="1:9">
      <c r="A4380" s="32">
        <v>41912</v>
      </c>
      <c r="B4380">
        <v>10</v>
      </c>
      <c r="C4380">
        <v>1183</v>
      </c>
      <c r="D4380" t="s">
        <v>303</v>
      </c>
      <c r="E4380">
        <f>YEAR(A4380)</f>
        <v>2014</v>
      </c>
      <c r="F4380" s="33">
        <f>DATE(YEAR(A4380),MONTH(A4380),1)</f>
        <v>41883.0</v>
      </c>
      <c r="G4380" t="str">
        <f>CHOOSE(WEEKDAY(A4380,2),"Mon","Tue","Wed","Thu","Fri","Sat","Sun")</f>
        <v>Tue</v>
      </c>
      <c r="H4380" t="str">
        <f>IF(WEEKDAY(A4380,2)&gt;5,"Weekend","Weekday")</f>
        <v>Weekday</v>
      </c>
      <c r="I4380" t="str">
        <f>_xlfn.IFS(B4380&lt;=5,"Night (0-5)",B4380&lt;=9,"Morning peak (6-9)",B4380&lt;=15,"Midday (10-15)",B4380&lt;=19,"Evening peak (16-19)",TRUE,"Late evening (20-23)")</f>
        <v>Midday (10-15)</v>
      </c>
    </row>
    <row r="4381" spans="1:9">
      <c r="A4381" s="32">
        <v>41912</v>
      </c>
      <c r="B4381">
        <v>11</v>
      </c>
      <c r="C4381">
        <v>1214</v>
      </c>
      <c r="D4381" t="s">
        <v>303</v>
      </c>
      <c r="E4381">
        <f>YEAR(A4381)</f>
        <v>2014</v>
      </c>
      <c r="F4381" s="33">
        <f>DATE(YEAR(A4381),MONTH(A4381),1)</f>
        <v>41883.0</v>
      </c>
      <c r="G4381" t="str">
        <f>CHOOSE(WEEKDAY(A4381,2),"Mon","Tue","Wed","Thu","Fri","Sat","Sun")</f>
        <v>Tue</v>
      </c>
      <c r="H4381" t="str">
        <f>IF(WEEKDAY(A4381,2)&gt;5,"Weekend","Weekday")</f>
        <v>Weekday</v>
      </c>
      <c r="I4381" t="str">
        <f>_xlfn.IFS(B4381&lt;=5,"Night (0-5)",B4381&lt;=9,"Morning peak (6-9)",B4381&lt;=15,"Midday (10-15)",B4381&lt;=19,"Evening peak (16-19)",TRUE,"Late evening (20-23)")</f>
        <v>Midday (10-15)</v>
      </c>
    </row>
    <row r="4382" spans="1:9">
      <c r="A4382" s="32">
        <v>41912</v>
      </c>
      <c r="B4382">
        <v>12</v>
      </c>
      <c r="C4382">
        <v>1176</v>
      </c>
      <c r="D4382" t="s">
        <v>303</v>
      </c>
      <c r="E4382">
        <f>YEAR(A4382)</f>
        <v>2014</v>
      </c>
      <c r="F4382" s="33">
        <f>DATE(YEAR(A4382),MONTH(A4382),1)</f>
        <v>41883.0</v>
      </c>
      <c r="G4382" t="str">
        <f>CHOOSE(WEEKDAY(A4382,2),"Mon","Tue","Wed","Thu","Fri","Sat","Sun")</f>
        <v>Tue</v>
      </c>
      <c r="H4382" t="str">
        <f>IF(WEEKDAY(A4382,2)&gt;5,"Weekend","Weekday")</f>
        <v>Weekday</v>
      </c>
      <c r="I4382" t="str">
        <f>_xlfn.IFS(B4382&lt;=5,"Night (0-5)",B4382&lt;=9,"Morning peak (6-9)",B4382&lt;=15,"Midday (10-15)",B4382&lt;=19,"Evening peak (16-19)",TRUE,"Late evening (20-23)")</f>
        <v>Midday (10-15)</v>
      </c>
    </row>
    <row r="4383" spans="1:9">
      <c r="A4383" s="32">
        <v>41912</v>
      </c>
      <c r="B4383">
        <v>13</v>
      </c>
      <c r="C4383">
        <v>1538</v>
      </c>
      <c r="D4383" t="s">
        <v>303</v>
      </c>
      <c r="E4383">
        <f>YEAR(A4383)</f>
        <v>2014</v>
      </c>
      <c r="F4383" s="33">
        <f>DATE(YEAR(A4383),MONTH(A4383),1)</f>
        <v>41883.0</v>
      </c>
      <c r="G4383" t="str">
        <f>CHOOSE(WEEKDAY(A4383,2),"Mon","Tue","Wed","Thu","Fri","Sat","Sun")</f>
        <v>Tue</v>
      </c>
      <c r="H4383" t="str">
        <f>IF(WEEKDAY(A4383,2)&gt;5,"Weekend","Weekday")</f>
        <v>Weekday</v>
      </c>
      <c r="I4383" t="str">
        <f>_xlfn.IFS(B4383&lt;=5,"Night (0-5)",B4383&lt;=9,"Morning peak (6-9)",B4383&lt;=15,"Midday (10-15)",B4383&lt;=19,"Evening peak (16-19)",TRUE,"Late evening (20-23)")</f>
        <v>Midday (10-15)</v>
      </c>
    </row>
    <row r="4384" spans="1:9">
      <c r="A4384" s="32">
        <v>41912</v>
      </c>
      <c r="B4384">
        <v>14</v>
      </c>
      <c r="C4384">
        <v>1704</v>
      </c>
      <c r="D4384" t="s">
        <v>303</v>
      </c>
      <c r="E4384">
        <f>YEAR(A4384)</f>
        <v>2014</v>
      </c>
      <c r="F4384" s="33">
        <f>DATE(YEAR(A4384),MONTH(A4384),1)</f>
        <v>41883.0</v>
      </c>
      <c r="G4384" t="str">
        <f>CHOOSE(WEEKDAY(A4384,2),"Mon","Tue","Wed","Thu","Fri","Sat","Sun")</f>
        <v>Tue</v>
      </c>
      <c r="H4384" t="str">
        <f>IF(WEEKDAY(A4384,2)&gt;5,"Weekend","Weekday")</f>
        <v>Weekday</v>
      </c>
      <c r="I4384" t="str">
        <f>_xlfn.IFS(B4384&lt;=5,"Night (0-5)",B4384&lt;=9,"Morning peak (6-9)",B4384&lt;=15,"Midday (10-15)",B4384&lt;=19,"Evening peak (16-19)",TRUE,"Late evening (20-23)")</f>
        <v>Midday (10-15)</v>
      </c>
    </row>
    <row r="4385" spans="1:9">
      <c r="A4385" s="32">
        <v>41912</v>
      </c>
      <c r="B4385">
        <v>15</v>
      </c>
      <c r="C4385">
        <v>2128</v>
      </c>
      <c r="D4385" t="s">
        <v>303</v>
      </c>
      <c r="E4385">
        <f>YEAR(A4385)</f>
        <v>2014</v>
      </c>
      <c r="F4385" s="33">
        <f>DATE(YEAR(A4385),MONTH(A4385),1)</f>
        <v>41883.0</v>
      </c>
      <c r="G4385" t="str">
        <f>CHOOSE(WEEKDAY(A4385,2),"Mon","Tue","Wed","Thu","Fri","Sat","Sun")</f>
        <v>Tue</v>
      </c>
      <c r="H4385" t="str">
        <f>IF(WEEKDAY(A4385,2)&gt;5,"Weekend","Weekday")</f>
        <v>Weekday</v>
      </c>
      <c r="I4385" t="str">
        <f>_xlfn.IFS(B4385&lt;=5,"Night (0-5)",B4385&lt;=9,"Morning peak (6-9)",B4385&lt;=15,"Midday (10-15)",B4385&lt;=19,"Evening peak (16-19)",TRUE,"Late evening (20-23)")</f>
        <v>Midday (10-15)</v>
      </c>
    </row>
    <row r="4386" spans="1:9">
      <c r="A4386" s="32">
        <v>41912</v>
      </c>
      <c r="B4386">
        <v>16</v>
      </c>
      <c r="C4386">
        <v>2370</v>
      </c>
      <c r="D4386" t="s">
        <v>303</v>
      </c>
      <c r="E4386">
        <f>YEAR(A4386)</f>
        <v>2014</v>
      </c>
      <c r="F4386" s="33">
        <f>DATE(YEAR(A4386),MONTH(A4386),1)</f>
        <v>41883.0</v>
      </c>
      <c r="G4386" t="str">
        <f>CHOOSE(WEEKDAY(A4386,2),"Mon","Tue","Wed","Thu","Fri","Sat","Sun")</f>
        <v>Tue</v>
      </c>
      <c r="H4386" t="str">
        <f>IF(WEEKDAY(A4386,2)&gt;5,"Weekend","Weekday")</f>
        <v>Weekday</v>
      </c>
      <c r="I4386" t="str">
        <f>_xlfn.IFS(B4386&lt;=5,"Night (0-5)",B4386&lt;=9,"Morning peak (6-9)",B4386&lt;=15,"Midday (10-15)",B4386&lt;=19,"Evening peak (16-19)",TRUE,"Late evening (20-23)")</f>
        <v>Evening peak (16-19)</v>
      </c>
    </row>
    <row r="4387" spans="1:9">
      <c r="A4387" s="32">
        <v>41912</v>
      </c>
      <c r="B4387">
        <v>17</v>
      </c>
      <c r="C4387">
        <v>2682</v>
      </c>
      <c r="D4387" t="s">
        <v>303</v>
      </c>
      <c r="E4387">
        <f>YEAR(A4387)</f>
        <v>2014</v>
      </c>
      <c r="F4387" s="33">
        <f>DATE(YEAR(A4387),MONTH(A4387),1)</f>
        <v>41883.0</v>
      </c>
      <c r="G4387" t="str">
        <f>CHOOSE(WEEKDAY(A4387,2),"Mon","Tue","Wed","Thu","Fri","Sat","Sun")</f>
        <v>Tue</v>
      </c>
      <c r="H4387" t="str">
        <f>IF(WEEKDAY(A4387,2)&gt;5,"Weekend","Weekday")</f>
        <v>Weekday</v>
      </c>
      <c r="I4387" t="str">
        <f>_xlfn.IFS(B4387&lt;=5,"Night (0-5)",B4387&lt;=9,"Morning peak (6-9)",B4387&lt;=15,"Midday (10-15)",B4387&lt;=19,"Evening peak (16-19)",TRUE,"Late evening (20-23)")</f>
        <v>Evening peak (16-19)</v>
      </c>
    </row>
    <row r="4388" spans="1:9">
      <c r="A4388" s="32">
        <v>41912</v>
      </c>
      <c r="B4388">
        <v>18</v>
      </c>
      <c r="C4388">
        <v>2625</v>
      </c>
      <c r="D4388" t="s">
        <v>303</v>
      </c>
      <c r="E4388">
        <f>YEAR(A4388)</f>
        <v>2014</v>
      </c>
      <c r="F4388" s="33">
        <f>DATE(YEAR(A4388),MONTH(A4388),1)</f>
        <v>41883.0</v>
      </c>
      <c r="G4388" t="str">
        <f>CHOOSE(WEEKDAY(A4388,2),"Mon","Tue","Wed","Thu","Fri","Sat","Sun")</f>
        <v>Tue</v>
      </c>
      <c r="H4388" t="str">
        <f>IF(WEEKDAY(A4388,2)&gt;5,"Weekend","Weekday")</f>
        <v>Weekday</v>
      </c>
      <c r="I4388" t="str">
        <f>_xlfn.IFS(B4388&lt;=5,"Night (0-5)",B4388&lt;=9,"Morning peak (6-9)",B4388&lt;=15,"Midday (10-15)",B4388&lt;=19,"Evening peak (16-19)",TRUE,"Late evening (20-23)")</f>
        <v>Evening peak (16-19)</v>
      </c>
    </row>
    <row r="4389" spans="1:9">
      <c r="A4389" s="32">
        <v>41912</v>
      </c>
      <c r="B4389">
        <v>19</v>
      </c>
      <c r="C4389">
        <v>2404</v>
      </c>
      <c r="D4389" t="s">
        <v>303</v>
      </c>
      <c r="E4389">
        <f>YEAR(A4389)</f>
        <v>2014</v>
      </c>
      <c r="F4389" s="33">
        <f>DATE(YEAR(A4389),MONTH(A4389),1)</f>
        <v>41883.0</v>
      </c>
      <c r="G4389" t="str">
        <f>CHOOSE(WEEKDAY(A4389,2),"Mon","Tue","Wed","Thu","Fri","Sat","Sun")</f>
        <v>Tue</v>
      </c>
      <c r="H4389" t="str">
        <f>IF(WEEKDAY(A4389,2)&gt;5,"Weekend","Weekday")</f>
        <v>Weekday</v>
      </c>
      <c r="I4389" t="str">
        <f>_xlfn.IFS(B4389&lt;=5,"Night (0-5)",B4389&lt;=9,"Morning peak (6-9)",B4389&lt;=15,"Midday (10-15)",B4389&lt;=19,"Evening peak (16-19)",TRUE,"Late evening (20-23)")</f>
        <v>Evening peak (16-19)</v>
      </c>
    </row>
    <row r="4390" spans="1:9">
      <c r="A4390" s="32">
        <v>41912</v>
      </c>
      <c r="B4390">
        <v>20</v>
      </c>
      <c r="C4390">
        <v>2246</v>
      </c>
      <c r="D4390" t="s">
        <v>303</v>
      </c>
      <c r="E4390">
        <f>YEAR(A4390)</f>
        <v>2014</v>
      </c>
      <c r="F4390" s="33">
        <f>DATE(YEAR(A4390),MONTH(A4390),1)</f>
        <v>41883.0</v>
      </c>
      <c r="G4390" t="str">
        <f>CHOOSE(WEEKDAY(A4390,2),"Mon","Tue","Wed","Thu","Fri","Sat","Sun")</f>
        <v>Tue</v>
      </c>
      <c r="H4390" t="str">
        <f>IF(WEEKDAY(A4390,2)&gt;5,"Weekend","Weekday")</f>
        <v>Weekday</v>
      </c>
      <c r="I4390" t="str">
        <f>_xlfn.IFS(B4390&lt;=5,"Night (0-5)",B4390&lt;=9,"Morning peak (6-9)",B4390&lt;=15,"Midday (10-15)",B4390&lt;=19,"Evening peak (16-19)",TRUE,"Late evening (20-23)")</f>
        <v>Late evening (20-23)</v>
      </c>
    </row>
    <row r="4391" spans="1:9">
      <c r="A4391" s="32">
        <v>41912</v>
      </c>
      <c r="B4391">
        <v>21</v>
      </c>
      <c r="C4391">
        <v>1961</v>
      </c>
      <c r="D4391" t="s">
        <v>303</v>
      </c>
      <c r="E4391">
        <f>YEAR(A4391)</f>
        <v>2014</v>
      </c>
      <c r="F4391" s="33">
        <f>DATE(YEAR(A4391),MONTH(A4391),1)</f>
        <v>41883.0</v>
      </c>
      <c r="G4391" t="str">
        <f>CHOOSE(WEEKDAY(A4391,2),"Mon","Tue","Wed","Thu","Fri","Sat","Sun")</f>
        <v>Tue</v>
      </c>
      <c r="H4391" t="str">
        <f>IF(WEEKDAY(A4391,2)&gt;5,"Weekend","Weekday")</f>
        <v>Weekday</v>
      </c>
      <c r="I4391" t="str">
        <f>_xlfn.IFS(B4391&lt;=5,"Night (0-5)",B4391&lt;=9,"Morning peak (6-9)",B4391&lt;=15,"Midday (10-15)",B4391&lt;=19,"Evening peak (16-19)",TRUE,"Late evening (20-23)")</f>
        <v>Late evening (20-23)</v>
      </c>
    </row>
    <row r="4392" spans="1:9">
      <c r="A4392" s="32">
        <v>41912</v>
      </c>
      <c r="B4392">
        <v>22</v>
      </c>
      <c r="C4392">
        <v>1347</v>
      </c>
      <c r="D4392" t="s">
        <v>303</v>
      </c>
      <c r="E4392">
        <f>YEAR(A4392)</f>
        <v>2014</v>
      </c>
      <c r="F4392" s="33">
        <f>DATE(YEAR(A4392),MONTH(A4392),1)</f>
        <v>41883.0</v>
      </c>
      <c r="G4392" t="str">
        <f>CHOOSE(WEEKDAY(A4392,2),"Mon","Tue","Wed","Thu","Fri","Sat","Sun")</f>
        <v>Tue</v>
      </c>
      <c r="H4392" t="str">
        <f>IF(WEEKDAY(A4392,2)&gt;5,"Weekend","Weekday")</f>
        <v>Weekday</v>
      </c>
      <c r="I4392" t="str">
        <f>_xlfn.IFS(B4392&lt;=5,"Night (0-5)",B4392&lt;=9,"Morning peak (6-9)",B4392&lt;=15,"Midday (10-15)",B4392&lt;=19,"Evening peak (16-19)",TRUE,"Late evening (20-23)")</f>
        <v>Late evening (20-23)</v>
      </c>
    </row>
    <row r="4393" spans="1:9">
      <c r="A4393" s="32">
        <v>42005</v>
      </c>
      <c r="B4393">
        <v>0</v>
      </c>
      <c r="C4393">
        <v>6465</v>
      </c>
      <c r="D4393" t="s">
        <v>304</v>
      </c>
      <c r="E4393">
        <f>YEAR(A4393)</f>
        <v>2015</v>
      </c>
      <c r="F4393" s="33">
        <f>DATE(YEAR(A4393),MONTH(A4393),1)</f>
        <v>42005.0</v>
      </c>
      <c r="G4393" t="str">
        <f>CHOOSE(WEEKDAY(A4393,2),"Mon","Tue","Wed","Thu","Fri","Sat","Sun")</f>
        <v>Thu</v>
      </c>
      <c r="H4393" t="str">
        <f>IF(WEEKDAY(A4393,2)&gt;5,"Weekend","Weekday")</f>
        <v>Weekday</v>
      </c>
      <c r="I4393" t="str">
        <f>_xlfn.IFS(B4393&lt;=5,"Night (0-5)",B4393&lt;=9,"Morning peak (6-9)",B4393&lt;=15,"Midday (10-15)",B4393&lt;=19,"Evening peak (16-19)",TRUE,"Late evening (20-23)")</f>
        <v>Night (0-5)</v>
      </c>
    </row>
    <row r="4394" spans="1:9">
      <c r="A4394" s="32">
        <v>42005</v>
      </c>
      <c r="B4394">
        <v>1</v>
      </c>
      <c r="C4394">
        <v>6001</v>
      </c>
      <c r="D4394" t="s">
        <v>304</v>
      </c>
      <c r="E4394">
        <f>YEAR(A4394)</f>
        <v>2015</v>
      </c>
      <c r="F4394" s="33">
        <f>DATE(YEAR(A4394),MONTH(A4394),1)</f>
        <v>42005.0</v>
      </c>
      <c r="G4394" t="str">
        <f>CHOOSE(WEEKDAY(A4394,2),"Mon","Tue","Wed","Thu","Fri","Sat","Sun")</f>
        <v>Thu</v>
      </c>
      <c r="H4394" t="str">
        <f>IF(WEEKDAY(A4394,2)&gt;5,"Weekend","Weekday")</f>
        <v>Weekday</v>
      </c>
      <c r="I4394" t="str">
        <f>_xlfn.IFS(B4394&lt;=5,"Night (0-5)",B4394&lt;=9,"Morning peak (6-9)",B4394&lt;=15,"Midday (10-15)",B4394&lt;=19,"Evening peak (16-19)",TRUE,"Late evening (20-23)")</f>
        <v>Night (0-5)</v>
      </c>
    </row>
    <row r="4395" spans="1:9">
      <c r="A4395" s="32">
        <v>42005</v>
      </c>
      <c r="B4395">
        <v>2</v>
      </c>
      <c r="C4395">
        <v>7171</v>
      </c>
      <c r="D4395" t="s">
        <v>304</v>
      </c>
      <c r="E4395">
        <f>YEAR(A4395)</f>
        <v>2015</v>
      </c>
      <c r="F4395" s="33">
        <f>DATE(YEAR(A4395),MONTH(A4395),1)</f>
        <v>42005.0</v>
      </c>
      <c r="G4395" t="str">
        <f>CHOOSE(WEEKDAY(A4395,2),"Mon","Tue","Wed","Thu","Fri","Sat","Sun")</f>
        <v>Thu</v>
      </c>
      <c r="H4395" t="str">
        <f>IF(WEEKDAY(A4395,2)&gt;5,"Weekend","Weekday")</f>
        <v>Weekday</v>
      </c>
      <c r="I4395" t="str">
        <f>_xlfn.IFS(B4395&lt;=5,"Night (0-5)",B4395&lt;=9,"Morning peak (6-9)",B4395&lt;=15,"Midday (10-15)",B4395&lt;=19,"Evening peak (16-19)",TRUE,"Late evening (20-23)")</f>
        <v>Night (0-5)</v>
      </c>
    </row>
    <row r="4396" spans="1:9">
      <c r="A4396" s="32">
        <v>42005</v>
      </c>
      <c r="B4396">
        <v>3</v>
      </c>
      <c r="C4396">
        <v>5874</v>
      </c>
      <c r="D4396" t="s">
        <v>304</v>
      </c>
      <c r="E4396">
        <f>YEAR(A4396)</f>
        <v>2015</v>
      </c>
      <c r="F4396" s="33">
        <f>DATE(YEAR(A4396),MONTH(A4396),1)</f>
        <v>42005.0</v>
      </c>
      <c r="G4396" t="str">
        <f>CHOOSE(WEEKDAY(A4396,2),"Mon","Tue","Wed","Thu","Fri","Sat","Sun")</f>
        <v>Thu</v>
      </c>
      <c r="H4396" t="str">
        <f>IF(WEEKDAY(A4396,2)&gt;5,"Weekend","Weekday")</f>
        <v>Weekday</v>
      </c>
      <c r="I4396" t="str">
        <f>_xlfn.IFS(B4396&lt;=5,"Night (0-5)",B4396&lt;=9,"Morning peak (6-9)",B4396&lt;=15,"Midday (10-15)",B4396&lt;=19,"Evening peak (16-19)",TRUE,"Late evening (20-23)")</f>
        <v>Night (0-5)</v>
      </c>
    </row>
    <row r="4397" spans="1:9">
      <c r="A4397" s="32">
        <v>42005</v>
      </c>
      <c r="B4397">
        <v>4</v>
      </c>
      <c r="C4397">
        <v>3529</v>
      </c>
      <c r="D4397" t="s">
        <v>304</v>
      </c>
      <c r="E4397">
        <f>YEAR(A4397)</f>
        <v>2015</v>
      </c>
      <c r="F4397" s="33">
        <f>DATE(YEAR(A4397),MONTH(A4397),1)</f>
        <v>42005.0</v>
      </c>
      <c r="G4397" t="str">
        <f>CHOOSE(WEEKDAY(A4397,2),"Mon","Tue","Wed","Thu","Fri","Sat","Sun")</f>
        <v>Thu</v>
      </c>
      <c r="H4397" t="str">
        <f>IF(WEEKDAY(A4397,2)&gt;5,"Weekend","Weekday")</f>
        <v>Weekday</v>
      </c>
      <c r="I4397" t="str">
        <f>_xlfn.IFS(B4397&lt;=5,"Night (0-5)",B4397&lt;=9,"Morning peak (6-9)",B4397&lt;=15,"Midday (10-15)",B4397&lt;=19,"Evening peak (16-19)",TRUE,"Late evening (20-23)")</f>
        <v>Night (0-5)</v>
      </c>
    </row>
    <row r="4398" spans="1:9">
      <c r="A4398" s="32">
        <v>42005</v>
      </c>
      <c r="B4398">
        <v>5</v>
      </c>
      <c r="C4398">
        <v>1766</v>
      </c>
      <c r="D4398" t="s">
        <v>304</v>
      </c>
      <c r="E4398">
        <f>YEAR(A4398)</f>
        <v>2015</v>
      </c>
      <c r="F4398" s="33">
        <f>DATE(YEAR(A4398),MONTH(A4398),1)</f>
        <v>42005.0</v>
      </c>
      <c r="G4398" t="str">
        <f>CHOOSE(WEEKDAY(A4398,2),"Mon","Tue","Wed","Thu","Fri","Sat","Sun")</f>
        <v>Thu</v>
      </c>
      <c r="H4398" t="str">
        <f>IF(WEEKDAY(A4398,2)&gt;5,"Weekend","Weekday")</f>
        <v>Weekday</v>
      </c>
      <c r="I4398" t="str">
        <f>_xlfn.IFS(B4398&lt;=5,"Night (0-5)",B4398&lt;=9,"Morning peak (6-9)",B4398&lt;=15,"Midday (10-15)",B4398&lt;=19,"Evening peak (16-19)",TRUE,"Late evening (20-23)")</f>
        <v>Night (0-5)</v>
      </c>
    </row>
    <row r="4399" spans="1:9">
      <c r="A4399" s="32">
        <v>42005</v>
      </c>
      <c r="B4399">
        <v>6</v>
      </c>
      <c r="C4399">
        <v>1067</v>
      </c>
      <c r="D4399" t="s">
        <v>304</v>
      </c>
      <c r="E4399">
        <f>YEAR(A4399)</f>
        <v>2015</v>
      </c>
      <c r="F4399" s="33">
        <f>DATE(YEAR(A4399),MONTH(A4399),1)</f>
        <v>42005.0</v>
      </c>
      <c r="G4399" t="str">
        <f>CHOOSE(WEEKDAY(A4399,2),"Mon","Tue","Wed","Thu","Fri","Sat","Sun")</f>
        <v>Thu</v>
      </c>
      <c r="H4399" t="str">
        <f>IF(WEEKDAY(A4399,2)&gt;5,"Weekend","Weekday")</f>
        <v>Weekday</v>
      </c>
      <c r="I4399" t="str">
        <f>_xlfn.IFS(B4399&lt;=5,"Night (0-5)",B4399&lt;=9,"Morning peak (6-9)",B4399&lt;=15,"Midday (10-15)",B4399&lt;=19,"Evening peak (16-19)",TRUE,"Late evening (20-23)")</f>
        <v>Morning peak (6-9)</v>
      </c>
    </row>
    <row r="4400" spans="1:9">
      <c r="A4400" s="32">
        <v>42005</v>
      </c>
      <c r="B4400">
        <v>7</v>
      </c>
      <c r="C4400">
        <v>642</v>
      </c>
      <c r="D4400" t="s">
        <v>304</v>
      </c>
      <c r="E4400">
        <f>YEAR(A4400)</f>
        <v>2015</v>
      </c>
      <c r="F4400" s="33">
        <f>DATE(YEAR(A4400),MONTH(A4400),1)</f>
        <v>42005.0</v>
      </c>
      <c r="G4400" t="str">
        <f>CHOOSE(WEEKDAY(A4400,2),"Mon","Tue","Wed","Thu","Fri","Sat","Sun")</f>
        <v>Thu</v>
      </c>
      <c r="H4400" t="str">
        <f>IF(WEEKDAY(A4400,2)&gt;5,"Weekend","Weekday")</f>
        <v>Weekday</v>
      </c>
      <c r="I4400" t="str">
        <f>_xlfn.IFS(B4400&lt;=5,"Night (0-5)",B4400&lt;=9,"Morning peak (6-9)",B4400&lt;=15,"Midday (10-15)",B4400&lt;=19,"Evening peak (16-19)",TRUE,"Late evening (20-23)")</f>
        <v>Morning peak (6-9)</v>
      </c>
    </row>
    <row r="4401" spans="1:9">
      <c r="A4401" s="32">
        <v>42005</v>
      </c>
      <c r="B4401">
        <v>8</v>
      </c>
      <c r="C4401">
        <v>565</v>
      </c>
      <c r="D4401" t="s">
        <v>304</v>
      </c>
      <c r="E4401">
        <f>YEAR(A4401)</f>
        <v>2015</v>
      </c>
      <c r="F4401" s="33">
        <f>DATE(YEAR(A4401),MONTH(A4401),1)</f>
        <v>42005.0</v>
      </c>
      <c r="G4401" t="str">
        <f>CHOOSE(WEEKDAY(A4401,2),"Mon","Tue","Wed","Thu","Fri","Sat","Sun")</f>
        <v>Thu</v>
      </c>
      <c r="H4401" t="str">
        <f>IF(WEEKDAY(A4401,2)&gt;5,"Weekend","Weekday")</f>
        <v>Weekday</v>
      </c>
      <c r="I4401" t="str">
        <f>_xlfn.IFS(B4401&lt;=5,"Night (0-5)",B4401&lt;=9,"Morning peak (6-9)",B4401&lt;=15,"Midday (10-15)",B4401&lt;=19,"Evening peak (16-19)",TRUE,"Late evening (20-23)")</f>
        <v>Morning peak (6-9)</v>
      </c>
    </row>
    <row r="4402" spans="1:9">
      <c r="A4402" s="32">
        <v>42005</v>
      </c>
      <c r="B4402">
        <v>9</v>
      </c>
      <c r="C4402">
        <v>584</v>
      </c>
      <c r="D4402" t="s">
        <v>304</v>
      </c>
      <c r="E4402">
        <f>YEAR(A4402)</f>
        <v>2015</v>
      </c>
      <c r="F4402" s="33">
        <f>DATE(YEAR(A4402),MONTH(A4402),1)</f>
        <v>42005.0</v>
      </c>
      <c r="G4402" t="str">
        <f>CHOOSE(WEEKDAY(A4402,2),"Mon","Tue","Wed","Thu","Fri","Sat","Sun")</f>
        <v>Thu</v>
      </c>
      <c r="H4402" t="str">
        <f>IF(WEEKDAY(A4402,2)&gt;5,"Weekend","Weekday")</f>
        <v>Weekday</v>
      </c>
      <c r="I4402" t="str">
        <f>_xlfn.IFS(B4402&lt;=5,"Night (0-5)",B4402&lt;=9,"Morning peak (6-9)",B4402&lt;=15,"Midday (10-15)",B4402&lt;=19,"Evening peak (16-19)",TRUE,"Late evening (20-23)")</f>
        <v>Morning peak (6-9)</v>
      </c>
    </row>
    <row r="4403" spans="1:9">
      <c r="A4403" s="32">
        <v>42005</v>
      </c>
      <c r="B4403">
        <v>10</v>
      </c>
      <c r="C4403">
        <v>775</v>
      </c>
      <c r="D4403" t="s">
        <v>304</v>
      </c>
      <c r="E4403">
        <f>YEAR(A4403)</f>
        <v>2015</v>
      </c>
      <c r="F4403" s="33">
        <f>DATE(YEAR(A4403),MONTH(A4403),1)</f>
        <v>42005.0</v>
      </c>
      <c r="G4403" t="str">
        <f>CHOOSE(WEEKDAY(A4403,2),"Mon","Tue","Wed","Thu","Fri","Sat","Sun")</f>
        <v>Thu</v>
      </c>
      <c r="H4403" t="str">
        <f>IF(WEEKDAY(A4403,2)&gt;5,"Weekend","Weekday")</f>
        <v>Weekday</v>
      </c>
      <c r="I4403" t="str">
        <f>_xlfn.IFS(B4403&lt;=5,"Night (0-5)",B4403&lt;=9,"Morning peak (6-9)",B4403&lt;=15,"Midday (10-15)",B4403&lt;=19,"Evening peak (16-19)",TRUE,"Late evening (20-23)")</f>
        <v>Midday (10-15)</v>
      </c>
    </row>
    <row r="4404" spans="1:9">
      <c r="A4404" s="32">
        <v>42005</v>
      </c>
      <c r="B4404">
        <v>11</v>
      </c>
      <c r="C4404">
        <v>1041</v>
      </c>
      <c r="D4404" t="s">
        <v>304</v>
      </c>
      <c r="E4404">
        <f>YEAR(A4404)</f>
        <v>2015</v>
      </c>
      <c r="F4404" s="33">
        <f>DATE(YEAR(A4404),MONTH(A4404),1)</f>
        <v>42005.0</v>
      </c>
      <c r="G4404" t="str">
        <f>CHOOSE(WEEKDAY(A4404,2),"Mon","Tue","Wed","Thu","Fri","Sat","Sun")</f>
        <v>Thu</v>
      </c>
      <c r="H4404" t="str">
        <f>IF(WEEKDAY(A4404,2)&gt;5,"Weekend","Weekday")</f>
        <v>Weekday</v>
      </c>
      <c r="I4404" t="str">
        <f>_xlfn.IFS(B4404&lt;=5,"Night (0-5)",B4404&lt;=9,"Morning peak (6-9)",B4404&lt;=15,"Midday (10-15)",B4404&lt;=19,"Evening peak (16-19)",TRUE,"Late evening (20-23)")</f>
        <v>Midday (10-15)</v>
      </c>
    </row>
    <row r="4405" spans="1:9">
      <c r="A4405" s="32">
        <v>42005</v>
      </c>
      <c r="B4405">
        <v>12</v>
      </c>
      <c r="C4405">
        <v>1229</v>
      </c>
      <c r="D4405" t="s">
        <v>304</v>
      </c>
      <c r="E4405">
        <f>YEAR(A4405)</f>
        <v>2015</v>
      </c>
      <c r="F4405" s="33">
        <f>DATE(YEAR(A4405),MONTH(A4405),1)</f>
        <v>42005.0</v>
      </c>
      <c r="G4405" t="str">
        <f>CHOOSE(WEEKDAY(A4405,2),"Mon","Tue","Wed","Thu","Fri","Sat","Sun")</f>
        <v>Thu</v>
      </c>
      <c r="H4405" t="str">
        <f>IF(WEEKDAY(A4405,2)&gt;5,"Weekend","Weekday")</f>
        <v>Weekday</v>
      </c>
      <c r="I4405" t="str">
        <f>_xlfn.IFS(B4405&lt;=5,"Night (0-5)",B4405&lt;=9,"Morning peak (6-9)",B4405&lt;=15,"Midday (10-15)",B4405&lt;=19,"Evening peak (16-19)",TRUE,"Late evening (20-23)")</f>
        <v>Midday (10-15)</v>
      </c>
    </row>
    <row r="4406" spans="1:9">
      <c r="A4406" s="32">
        <v>42005</v>
      </c>
      <c r="B4406">
        <v>13</v>
      </c>
      <c r="C4406">
        <v>1503</v>
      </c>
      <c r="D4406" t="s">
        <v>304</v>
      </c>
      <c r="E4406">
        <f>YEAR(A4406)</f>
        <v>2015</v>
      </c>
      <c r="F4406" s="33">
        <f>DATE(YEAR(A4406),MONTH(A4406),1)</f>
        <v>42005.0</v>
      </c>
      <c r="G4406" t="str">
        <f>CHOOSE(WEEKDAY(A4406,2),"Mon","Tue","Wed","Thu","Fri","Sat","Sun")</f>
        <v>Thu</v>
      </c>
      <c r="H4406" t="str">
        <f>IF(WEEKDAY(A4406,2)&gt;5,"Weekend","Weekday")</f>
        <v>Weekday</v>
      </c>
      <c r="I4406" t="str">
        <f>_xlfn.IFS(B4406&lt;=5,"Night (0-5)",B4406&lt;=9,"Morning peak (6-9)",B4406&lt;=15,"Midday (10-15)",B4406&lt;=19,"Evening peak (16-19)",TRUE,"Late evening (20-23)")</f>
        <v>Midday (10-15)</v>
      </c>
    </row>
    <row r="4407" spans="1:9">
      <c r="A4407" s="32">
        <v>42005</v>
      </c>
      <c r="B4407">
        <v>14</v>
      </c>
      <c r="C4407">
        <v>1653</v>
      </c>
      <c r="D4407" t="s">
        <v>304</v>
      </c>
      <c r="E4407">
        <f>YEAR(A4407)</f>
        <v>2015</v>
      </c>
      <c r="F4407" s="33">
        <f>DATE(YEAR(A4407),MONTH(A4407),1)</f>
        <v>42005.0</v>
      </c>
      <c r="G4407" t="str">
        <f>CHOOSE(WEEKDAY(A4407,2),"Mon","Tue","Wed","Thu","Fri","Sat","Sun")</f>
        <v>Thu</v>
      </c>
      <c r="H4407" t="str">
        <f>IF(WEEKDAY(A4407,2)&gt;5,"Weekend","Weekday")</f>
        <v>Weekday</v>
      </c>
      <c r="I4407" t="str">
        <f>_xlfn.IFS(B4407&lt;=5,"Night (0-5)",B4407&lt;=9,"Morning peak (6-9)",B4407&lt;=15,"Midday (10-15)",B4407&lt;=19,"Evening peak (16-19)",TRUE,"Late evening (20-23)")</f>
        <v>Midday (10-15)</v>
      </c>
    </row>
    <row r="4408" spans="1:9">
      <c r="A4408" s="32">
        <v>42005</v>
      </c>
      <c r="B4408">
        <v>15</v>
      </c>
      <c r="C4408">
        <v>1878</v>
      </c>
      <c r="D4408" t="s">
        <v>304</v>
      </c>
      <c r="E4408">
        <f>YEAR(A4408)</f>
        <v>2015</v>
      </c>
      <c r="F4408" s="33">
        <f>DATE(YEAR(A4408),MONTH(A4408),1)</f>
        <v>42005.0</v>
      </c>
      <c r="G4408" t="str">
        <f>CHOOSE(WEEKDAY(A4408,2),"Mon","Tue","Wed","Thu","Fri","Sat","Sun")</f>
        <v>Thu</v>
      </c>
      <c r="H4408" t="str">
        <f>IF(WEEKDAY(A4408,2)&gt;5,"Weekend","Weekday")</f>
        <v>Weekday</v>
      </c>
      <c r="I4408" t="str">
        <f>_xlfn.IFS(B4408&lt;=5,"Night (0-5)",B4408&lt;=9,"Morning peak (6-9)",B4408&lt;=15,"Midday (10-15)",B4408&lt;=19,"Evening peak (16-19)",TRUE,"Late evening (20-23)")</f>
        <v>Midday (10-15)</v>
      </c>
    </row>
    <row r="4409" spans="1:9">
      <c r="A4409" s="32">
        <v>42005</v>
      </c>
      <c r="B4409">
        <v>16</v>
      </c>
      <c r="C4409">
        <v>2153</v>
      </c>
      <c r="D4409" t="s">
        <v>304</v>
      </c>
      <c r="E4409">
        <f>YEAR(A4409)</f>
        <v>2015</v>
      </c>
      <c r="F4409" s="33">
        <f>DATE(YEAR(A4409),MONTH(A4409),1)</f>
        <v>42005.0</v>
      </c>
      <c r="G4409" t="str">
        <f>CHOOSE(WEEKDAY(A4409,2),"Mon","Tue","Wed","Thu","Fri","Sat","Sun")</f>
        <v>Thu</v>
      </c>
      <c r="H4409" t="str">
        <f>IF(WEEKDAY(A4409,2)&gt;5,"Weekend","Weekday")</f>
        <v>Weekday</v>
      </c>
      <c r="I4409" t="str">
        <f>_xlfn.IFS(B4409&lt;=5,"Night (0-5)",B4409&lt;=9,"Morning peak (6-9)",B4409&lt;=15,"Midday (10-15)",B4409&lt;=19,"Evening peak (16-19)",TRUE,"Late evening (20-23)")</f>
        <v>Evening peak (16-19)</v>
      </c>
    </row>
    <row r="4410" spans="1:9">
      <c r="A4410" s="32">
        <v>42005</v>
      </c>
      <c r="B4410">
        <v>17</v>
      </c>
      <c r="C4410">
        <v>2316</v>
      </c>
      <c r="D4410" t="s">
        <v>304</v>
      </c>
      <c r="E4410">
        <f>YEAR(A4410)</f>
        <v>2015</v>
      </c>
      <c r="F4410" s="33">
        <f>DATE(YEAR(A4410),MONTH(A4410),1)</f>
        <v>42005.0</v>
      </c>
      <c r="G4410" t="str">
        <f>CHOOSE(WEEKDAY(A4410,2),"Mon","Tue","Wed","Thu","Fri","Sat","Sun")</f>
        <v>Thu</v>
      </c>
      <c r="H4410" t="str">
        <f>IF(WEEKDAY(A4410,2)&gt;5,"Weekend","Weekday")</f>
        <v>Weekday</v>
      </c>
      <c r="I4410" t="str">
        <f>_xlfn.IFS(B4410&lt;=5,"Night (0-5)",B4410&lt;=9,"Morning peak (6-9)",B4410&lt;=15,"Midday (10-15)",B4410&lt;=19,"Evening peak (16-19)",TRUE,"Late evening (20-23)")</f>
        <v>Evening peak (16-19)</v>
      </c>
    </row>
    <row r="4411" spans="1:9">
      <c r="A4411" s="32">
        <v>42005</v>
      </c>
      <c r="B4411">
        <v>18</v>
      </c>
      <c r="C4411">
        <v>2246</v>
      </c>
      <c r="D4411" t="s">
        <v>304</v>
      </c>
      <c r="E4411">
        <f>YEAR(A4411)</f>
        <v>2015</v>
      </c>
      <c r="F4411" s="33">
        <f>DATE(YEAR(A4411),MONTH(A4411),1)</f>
        <v>42005.0</v>
      </c>
      <c r="G4411" t="str">
        <f>CHOOSE(WEEKDAY(A4411,2),"Mon","Tue","Wed","Thu","Fri","Sat","Sun")</f>
        <v>Thu</v>
      </c>
      <c r="H4411" t="str">
        <f>IF(WEEKDAY(A4411,2)&gt;5,"Weekend","Weekday")</f>
        <v>Weekday</v>
      </c>
      <c r="I4411" t="str">
        <f>_xlfn.IFS(B4411&lt;=5,"Night (0-5)",B4411&lt;=9,"Morning peak (6-9)",B4411&lt;=15,"Midday (10-15)",B4411&lt;=19,"Evening peak (16-19)",TRUE,"Late evening (20-23)")</f>
        <v>Evening peak (16-19)</v>
      </c>
    </row>
    <row r="4412" spans="1:9">
      <c r="A4412" s="32">
        <v>42005</v>
      </c>
      <c r="B4412">
        <v>19</v>
      </c>
      <c r="C4412">
        <v>2230</v>
      </c>
      <c r="D4412" t="s">
        <v>304</v>
      </c>
      <c r="E4412">
        <f>YEAR(A4412)</f>
        <v>2015</v>
      </c>
      <c r="F4412" s="33">
        <f>DATE(YEAR(A4412),MONTH(A4412),1)</f>
        <v>42005.0</v>
      </c>
      <c r="G4412" t="str">
        <f>CHOOSE(WEEKDAY(A4412,2),"Mon","Tue","Wed","Thu","Fri","Sat","Sun")</f>
        <v>Thu</v>
      </c>
      <c r="H4412" t="str">
        <f>IF(WEEKDAY(A4412,2)&gt;5,"Weekend","Weekday")</f>
        <v>Weekday</v>
      </c>
      <c r="I4412" t="str">
        <f>_xlfn.IFS(B4412&lt;=5,"Night (0-5)",B4412&lt;=9,"Morning peak (6-9)",B4412&lt;=15,"Midday (10-15)",B4412&lt;=19,"Evening peak (16-19)",TRUE,"Late evening (20-23)")</f>
        <v>Evening peak (16-19)</v>
      </c>
    </row>
    <row r="4413" spans="1:9">
      <c r="A4413" s="32">
        <v>42005</v>
      </c>
      <c r="B4413">
        <v>20</v>
      </c>
      <c r="C4413">
        <v>2027</v>
      </c>
      <c r="D4413" t="s">
        <v>304</v>
      </c>
      <c r="E4413">
        <f>YEAR(A4413)</f>
        <v>2015</v>
      </c>
      <c r="F4413" s="33">
        <f>DATE(YEAR(A4413),MONTH(A4413),1)</f>
        <v>42005.0</v>
      </c>
      <c r="G4413" t="str">
        <f>CHOOSE(WEEKDAY(A4413,2),"Mon","Tue","Wed","Thu","Fri","Sat","Sun")</f>
        <v>Thu</v>
      </c>
      <c r="H4413" t="str">
        <f>IF(WEEKDAY(A4413,2)&gt;5,"Weekend","Weekday")</f>
        <v>Weekday</v>
      </c>
      <c r="I4413" t="str">
        <f>_xlfn.IFS(B4413&lt;=5,"Night (0-5)",B4413&lt;=9,"Morning peak (6-9)",B4413&lt;=15,"Midday (10-15)",B4413&lt;=19,"Evening peak (16-19)",TRUE,"Late evening (20-23)")</f>
        <v>Late evening (20-23)</v>
      </c>
    </row>
    <row r="4414" spans="1:9">
      <c r="A4414" s="32">
        <v>42005</v>
      </c>
      <c r="B4414">
        <v>21</v>
      </c>
      <c r="C4414">
        <v>1934</v>
      </c>
      <c r="D4414" t="s">
        <v>304</v>
      </c>
      <c r="E4414">
        <f>YEAR(A4414)</f>
        <v>2015</v>
      </c>
      <c r="F4414" s="33">
        <f>DATE(YEAR(A4414),MONTH(A4414),1)</f>
        <v>42005.0</v>
      </c>
      <c r="G4414" t="str">
        <f>CHOOSE(WEEKDAY(A4414,2),"Mon","Tue","Wed","Thu","Fri","Sat","Sun")</f>
        <v>Thu</v>
      </c>
      <c r="H4414" t="str">
        <f>IF(WEEKDAY(A4414,2)&gt;5,"Weekend","Weekday")</f>
        <v>Weekday</v>
      </c>
      <c r="I4414" t="str">
        <f>_xlfn.IFS(B4414&lt;=5,"Night (0-5)",B4414&lt;=9,"Morning peak (6-9)",B4414&lt;=15,"Midday (10-15)",B4414&lt;=19,"Evening peak (16-19)",TRUE,"Late evening (20-23)")</f>
        <v>Late evening (20-23)</v>
      </c>
    </row>
    <row r="4415" spans="1:9">
      <c r="A4415" s="32">
        <v>42005</v>
      </c>
      <c r="B4415">
        <v>22</v>
      </c>
      <c r="C4415">
        <v>1817</v>
      </c>
      <c r="D4415" t="s">
        <v>304</v>
      </c>
      <c r="E4415">
        <f>YEAR(A4415)</f>
        <v>2015</v>
      </c>
      <c r="F4415" s="33">
        <f>DATE(YEAR(A4415),MONTH(A4415),1)</f>
        <v>42005.0</v>
      </c>
      <c r="G4415" t="str">
        <f>CHOOSE(WEEKDAY(A4415,2),"Mon","Tue","Wed","Thu","Fri","Sat","Sun")</f>
        <v>Thu</v>
      </c>
      <c r="H4415" t="str">
        <f>IF(WEEKDAY(A4415,2)&gt;5,"Weekend","Weekday")</f>
        <v>Weekday</v>
      </c>
      <c r="I4415" t="str">
        <f>_xlfn.IFS(B4415&lt;=5,"Night (0-5)",B4415&lt;=9,"Morning peak (6-9)",B4415&lt;=15,"Midday (10-15)",B4415&lt;=19,"Evening peak (16-19)",TRUE,"Late evening (20-23)")</f>
        <v>Late evening (20-23)</v>
      </c>
    </row>
    <row r="4416" spans="1:9">
      <c r="A4416" s="32">
        <v>42005</v>
      </c>
      <c r="B4416">
        <v>23</v>
      </c>
      <c r="C4416">
        <v>1579</v>
      </c>
      <c r="D4416" t="s">
        <v>304</v>
      </c>
      <c r="E4416">
        <f>YEAR(A4416)</f>
        <v>2015</v>
      </c>
      <c r="F4416" s="33">
        <f>DATE(YEAR(A4416),MONTH(A4416),1)</f>
        <v>42005.0</v>
      </c>
      <c r="G4416" t="str">
        <f>CHOOSE(WEEKDAY(A4416,2),"Mon","Tue","Wed","Thu","Fri","Sat","Sun")</f>
        <v>Thu</v>
      </c>
      <c r="H4416" t="str">
        <f>IF(WEEKDAY(A4416,2)&gt;5,"Weekend","Weekday")</f>
        <v>Weekday</v>
      </c>
      <c r="I4416" t="str">
        <f>_xlfn.IFS(B4416&lt;=5,"Night (0-5)",B4416&lt;=9,"Morning peak (6-9)",B4416&lt;=15,"Midday (10-15)",B4416&lt;=19,"Evening peak (16-19)",TRUE,"Late evening (20-23)")</f>
        <v>Late evening (20-23)</v>
      </c>
    </row>
    <row r="4417" spans="1:9">
      <c r="A4417" s="32">
        <v>42006</v>
      </c>
      <c r="B4417">
        <v>0</v>
      </c>
      <c r="C4417">
        <v>1284</v>
      </c>
      <c r="D4417" t="s">
        <v>304</v>
      </c>
      <c r="E4417">
        <f>YEAR(A4417)</f>
        <v>2015</v>
      </c>
      <c r="F4417" s="33">
        <f>DATE(YEAR(A4417),MONTH(A4417),1)</f>
        <v>42005.0</v>
      </c>
      <c r="G4417" t="str">
        <f>CHOOSE(WEEKDAY(A4417,2),"Mon","Tue","Wed","Thu","Fri","Sat","Sun")</f>
        <v>Fri</v>
      </c>
      <c r="H4417" t="str">
        <f>IF(WEEKDAY(A4417,2)&gt;5,"Weekend","Weekday")</f>
        <v>Weekday</v>
      </c>
      <c r="I4417" t="str">
        <f>_xlfn.IFS(B4417&lt;=5,"Night (0-5)",B4417&lt;=9,"Morning peak (6-9)",B4417&lt;=15,"Midday (10-15)",B4417&lt;=19,"Evening peak (16-19)",TRUE,"Late evening (20-23)")</f>
        <v>Night (0-5)</v>
      </c>
    </row>
    <row r="4418" spans="1:9">
      <c r="A4418" s="32">
        <v>42006</v>
      </c>
      <c r="B4418">
        <v>1</v>
      </c>
      <c r="C4418">
        <v>751</v>
      </c>
      <c r="D4418" t="s">
        <v>304</v>
      </c>
      <c r="E4418">
        <f>YEAR(A4418)</f>
        <v>2015</v>
      </c>
      <c r="F4418" s="33">
        <f>DATE(YEAR(A4418),MONTH(A4418),1)</f>
        <v>42005.0</v>
      </c>
      <c r="G4418" t="str">
        <f>CHOOSE(WEEKDAY(A4418,2),"Mon","Tue","Wed","Thu","Fri","Sat","Sun")</f>
        <v>Fri</v>
      </c>
      <c r="H4418" t="str">
        <f>IF(WEEKDAY(A4418,2)&gt;5,"Weekend","Weekday")</f>
        <v>Weekday</v>
      </c>
      <c r="I4418" t="str">
        <f>_xlfn.IFS(B4418&lt;=5,"Night (0-5)",B4418&lt;=9,"Morning peak (6-9)",B4418&lt;=15,"Midday (10-15)",B4418&lt;=19,"Evening peak (16-19)",TRUE,"Late evening (20-23)")</f>
        <v>Night (0-5)</v>
      </c>
    </row>
    <row r="4419" spans="1:9">
      <c r="A4419" s="32">
        <v>42006</v>
      </c>
      <c r="B4419">
        <v>2</v>
      </c>
      <c r="C4419">
        <v>435</v>
      </c>
      <c r="D4419" t="s">
        <v>304</v>
      </c>
      <c r="E4419">
        <f>YEAR(A4419)</f>
        <v>2015</v>
      </c>
      <c r="F4419" s="33">
        <f>DATE(YEAR(A4419),MONTH(A4419),1)</f>
        <v>42005.0</v>
      </c>
      <c r="G4419" t="str">
        <f>CHOOSE(WEEKDAY(A4419,2),"Mon","Tue","Wed","Thu","Fri","Sat","Sun")</f>
        <v>Fri</v>
      </c>
      <c r="H4419" t="str">
        <f>IF(WEEKDAY(A4419,2)&gt;5,"Weekend","Weekday")</f>
        <v>Weekday</v>
      </c>
      <c r="I4419" t="str">
        <f>_xlfn.IFS(B4419&lt;=5,"Night (0-5)",B4419&lt;=9,"Morning peak (6-9)",B4419&lt;=15,"Midday (10-15)",B4419&lt;=19,"Evening peak (16-19)",TRUE,"Late evening (20-23)")</f>
        <v>Night (0-5)</v>
      </c>
    </row>
    <row r="4420" spans="1:9">
      <c r="A4420" s="32">
        <v>42006</v>
      </c>
      <c r="B4420">
        <v>3</v>
      </c>
      <c r="C4420">
        <v>366</v>
      </c>
      <c r="D4420" t="s">
        <v>304</v>
      </c>
      <c r="E4420">
        <f>YEAR(A4420)</f>
        <v>2015</v>
      </c>
      <c r="F4420" s="33">
        <f>DATE(YEAR(A4420),MONTH(A4420),1)</f>
        <v>42005.0</v>
      </c>
      <c r="G4420" t="str">
        <f>CHOOSE(WEEKDAY(A4420,2),"Mon","Tue","Wed","Thu","Fri","Sat","Sun")</f>
        <v>Fri</v>
      </c>
      <c r="H4420" t="str">
        <f>IF(WEEKDAY(A4420,2)&gt;5,"Weekend","Weekday")</f>
        <v>Weekday</v>
      </c>
      <c r="I4420" t="str">
        <f>_xlfn.IFS(B4420&lt;=5,"Night (0-5)",B4420&lt;=9,"Morning peak (6-9)",B4420&lt;=15,"Midday (10-15)",B4420&lt;=19,"Evening peak (16-19)",TRUE,"Late evening (20-23)")</f>
        <v>Night (0-5)</v>
      </c>
    </row>
    <row r="4421" spans="1:9">
      <c r="A4421" s="32">
        <v>42006</v>
      </c>
      <c r="B4421">
        <v>4</v>
      </c>
      <c r="C4421">
        <v>428</v>
      </c>
      <c r="D4421" t="s">
        <v>304</v>
      </c>
      <c r="E4421">
        <f>YEAR(A4421)</f>
        <v>2015</v>
      </c>
      <c r="F4421" s="33">
        <f>DATE(YEAR(A4421),MONTH(A4421),1)</f>
        <v>42005.0</v>
      </c>
      <c r="G4421" t="str">
        <f>CHOOSE(WEEKDAY(A4421,2),"Mon","Tue","Wed","Thu","Fri","Sat","Sun")</f>
        <v>Fri</v>
      </c>
      <c r="H4421" t="str">
        <f>IF(WEEKDAY(A4421,2)&gt;5,"Weekend","Weekday")</f>
        <v>Weekday</v>
      </c>
      <c r="I4421" t="str">
        <f>_xlfn.IFS(B4421&lt;=5,"Night (0-5)",B4421&lt;=9,"Morning peak (6-9)",B4421&lt;=15,"Midday (10-15)",B4421&lt;=19,"Evening peak (16-19)",TRUE,"Late evening (20-23)")</f>
        <v>Night (0-5)</v>
      </c>
    </row>
    <row r="4422" spans="1:9">
      <c r="A4422" s="32">
        <v>42006</v>
      </c>
      <c r="B4422">
        <v>5</v>
      </c>
      <c r="C4422">
        <v>460</v>
      </c>
      <c r="D4422" t="s">
        <v>304</v>
      </c>
      <c r="E4422">
        <f>YEAR(A4422)</f>
        <v>2015</v>
      </c>
      <c r="F4422" s="33">
        <f>DATE(YEAR(A4422),MONTH(A4422),1)</f>
        <v>42005.0</v>
      </c>
      <c r="G4422" t="str">
        <f>CHOOSE(WEEKDAY(A4422,2),"Mon","Tue","Wed","Thu","Fri","Sat","Sun")</f>
        <v>Fri</v>
      </c>
      <c r="H4422" t="str">
        <f>IF(WEEKDAY(A4422,2)&gt;5,"Weekend","Weekday")</f>
        <v>Weekday</v>
      </c>
      <c r="I4422" t="str">
        <f>_xlfn.IFS(B4422&lt;=5,"Night (0-5)",B4422&lt;=9,"Morning peak (6-9)",B4422&lt;=15,"Midday (10-15)",B4422&lt;=19,"Evening peak (16-19)",TRUE,"Late evening (20-23)")</f>
        <v>Night (0-5)</v>
      </c>
    </row>
    <row r="4423" spans="1:9">
      <c r="A4423" s="32">
        <v>42006</v>
      </c>
      <c r="B4423">
        <v>6</v>
      </c>
      <c r="C4423">
        <v>605</v>
      </c>
      <c r="D4423" t="s">
        <v>304</v>
      </c>
      <c r="E4423">
        <f>YEAR(A4423)</f>
        <v>2015</v>
      </c>
      <c r="F4423" s="33">
        <f>DATE(YEAR(A4423),MONTH(A4423),1)</f>
        <v>42005.0</v>
      </c>
      <c r="G4423" t="str">
        <f>CHOOSE(WEEKDAY(A4423,2),"Mon","Tue","Wed","Thu","Fri","Sat","Sun")</f>
        <v>Fri</v>
      </c>
      <c r="H4423" t="str">
        <f>IF(WEEKDAY(A4423,2)&gt;5,"Weekend","Weekday")</f>
        <v>Weekday</v>
      </c>
      <c r="I4423" t="str">
        <f>_xlfn.IFS(B4423&lt;=5,"Night (0-5)",B4423&lt;=9,"Morning peak (6-9)",B4423&lt;=15,"Midday (10-15)",B4423&lt;=19,"Evening peak (16-19)",TRUE,"Late evening (20-23)")</f>
        <v>Morning peak (6-9)</v>
      </c>
    </row>
    <row r="4424" spans="1:9">
      <c r="A4424" s="32">
        <v>42006</v>
      </c>
      <c r="B4424">
        <v>7</v>
      </c>
      <c r="C4424">
        <v>855</v>
      </c>
      <c r="D4424" t="s">
        <v>304</v>
      </c>
      <c r="E4424">
        <f>YEAR(A4424)</f>
        <v>2015</v>
      </c>
      <c r="F4424" s="33">
        <f>DATE(YEAR(A4424),MONTH(A4424),1)</f>
        <v>42005.0</v>
      </c>
      <c r="G4424" t="str">
        <f>CHOOSE(WEEKDAY(A4424,2),"Mon","Tue","Wed","Thu","Fri","Sat","Sun")</f>
        <v>Fri</v>
      </c>
      <c r="H4424" t="str">
        <f>IF(WEEKDAY(A4424,2)&gt;5,"Weekend","Weekday")</f>
        <v>Weekday</v>
      </c>
      <c r="I4424" t="str">
        <f>_xlfn.IFS(B4424&lt;=5,"Night (0-5)",B4424&lt;=9,"Morning peak (6-9)",B4424&lt;=15,"Midday (10-15)",B4424&lt;=19,"Evening peak (16-19)",TRUE,"Late evening (20-23)")</f>
        <v>Morning peak (6-9)</v>
      </c>
    </row>
    <row r="4425" spans="1:9">
      <c r="A4425" s="32">
        <v>42006</v>
      </c>
      <c r="B4425">
        <v>8</v>
      </c>
      <c r="C4425">
        <v>1156</v>
      </c>
      <c r="D4425" t="s">
        <v>304</v>
      </c>
      <c r="E4425">
        <f>YEAR(A4425)</f>
        <v>2015</v>
      </c>
      <c r="F4425" s="33">
        <f>DATE(YEAR(A4425),MONTH(A4425),1)</f>
        <v>42005.0</v>
      </c>
      <c r="G4425" t="str">
        <f>CHOOSE(WEEKDAY(A4425,2),"Mon","Tue","Wed","Thu","Fri","Sat","Sun")</f>
        <v>Fri</v>
      </c>
      <c r="H4425" t="str">
        <f>IF(WEEKDAY(A4425,2)&gt;5,"Weekend","Weekday")</f>
        <v>Weekday</v>
      </c>
      <c r="I4425" t="str">
        <f>_xlfn.IFS(B4425&lt;=5,"Night (0-5)",B4425&lt;=9,"Morning peak (6-9)",B4425&lt;=15,"Midday (10-15)",B4425&lt;=19,"Evening peak (16-19)",TRUE,"Late evening (20-23)")</f>
        <v>Morning peak (6-9)</v>
      </c>
    </row>
    <row r="4426" spans="1:9">
      <c r="A4426" s="32">
        <v>42006</v>
      </c>
      <c r="B4426">
        <v>9</v>
      </c>
      <c r="C4426">
        <v>1317</v>
      </c>
      <c r="D4426" t="s">
        <v>304</v>
      </c>
      <c r="E4426">
        <f>YEAR(A4426)</f>
        <v>2015</v>
      </c>
      <c r="F4426" s="33">
        <f>DATE(YEAR(A4426),MONTH(A4426),1)</f>
        <v>42005.0</v>
      </c>
      <c r="G4426" t="str">
        <f>CHOOSE(WEEKDAY(A4426,2),"Mon","Tue","Wed","Thu","Fri","Sat","Sun")</f>
        <v>Fri</v>
      </c>
      <c r="H4426" t="str">
        <f>IF(WEEKDAY(A4426,2)&gt;5,"Weekend","Weekday")</f>
        <v>Weekday</v>
      </c>
      <c r="I4426" t="str">
        <f>_xlfn.IFS(B4426&lt;=5,"Night (0-5)",B4426&lt;=9,"Morning peak (6-9)",B4426&lt;=15,"Midday (10-15)",B4426&lt;=19,"Evening peak (16-19)",TRUE,"Late evening (20-23)")</f>
        <v>Morning peak (6-9)</v>
      </c>
    </row>
    <row r="4427" spans="1:9">
      <c r="A4427" s="32">
        <v>42006</v>
      </c>
      <c r="B4427">
        <v>10</v>
      </c>
      <c r="C4427">
        <v>1385</v>
      </c>
      <c r="D4427" t="s">
        <v>304</v>
      </c>
      <c r="E4427">
        <f>YEAR(A4427)</f>
        <v>2015</v>
      </c>
      <c r="F4427" s="33">
        <f>DATE(YEAR(A4427),MONTH(A4427),1)</f>
        <v>42005.0</v>
      </c>
      <c r="G4427" t="str">
        <f>CHOOSE(WEEKDAY(A4427,2),"Mon","Tue","Wed","Thu","Fri","Sat","Sun")</f>
        <v>Fri</v>
      </c>
      <c r="H4427" t="str">
        <f>IF(WEEKDAY(A4427,2)&gt;5,"Weekend","Weekday")</f>
        <v>Weekday</v>
      </c>
      <c r="I4427" t="str">
        <f>_xlfn.IFS(B4427&lt;=5,"Night (0-5)",B4427&lt;=9,"Morning peak (6-9)",B4427&lt;=15,"Midday (10-15)",B4427&lt;=19,"Evening peak (16-19)",TRUE,"Late evening (20-23)")</f>
        <v>Midday (10-15)</v>
      </c>
    </row>
    <row r="4428" spans="1:9">
      <c r="A4428" s="32">
        <v>42006</v>
      </c>
      <c r="B4428">
        <v>11</v>
      </c>
      <c r="C4428">
        <v>1642</v>
      </c>
      <c r="D4428" t="s">
        <v>304</v>
      </c>
      <c r="E4428">
        <f>YEAR(A4428)</f>
        <v>2015</v>
      </c>
      <c r="F4428" s="33">
        <f>DATE(YEAR(A4428),MONTH(A4428),1)</f>
        <v>42005.0</v>
      </c>
      <c r="G4428" t="str">
        <f>CHOOSE(WEEKDAY(A4428,2),"Mon","Tue","Wed","Thu","Fri","Sat","Sun")</f>
        <v>Fri</v>
      </c>
      <c r="H4428" t="str">
        <f>IF(WEEKDAY(A4428,2)&gt;5,"Weekend","Weekday")</f>
        <v>Weekday</v>
      </c>
      <c r="I4428" t="str">
        <f>_xlfn.IFS(B4428&lt;=5,"Night (0-5)",B4428&lt;=9,"Morning peak (6-9)",B4428&lt;=15,"Midday (10-15)",B4428&lt;=19,"Evening peak (16-19)",TRUE,"Late evening (20-23)")</f>
        <v>Midday (10-15)</v>
      </c>
    </row>
    <row r="4429" spans="1:9">
      <c r="A4429" s="32">
        <v>42006</v>
      </c>
      <c r="B4429">
        <v>12</v>
      </c>
      <c r="C4429">
        <v>1773</v>
      </c>
      <c r="D4429" t="s">
        <v>304</v>
      </c>
      <c r="E4429">
        <f>YEAR(A4429)</f>
        <v>2015</v>
      </c>
      <c r="F4429" s="33">
        <f>DATE(YEAR(A4429),MONTH(A4429),1)</f>
        <v>42005.0</v>
      </c>
      <c r="G4429" t="str">
        <f>CHOOSE(WEEKDAY(A4429,2),"Mon","Tue","Wed","Thu","Fri","Sat","Sun")</f>
        <v>Fri</v>
      </c>
      <c r="H4429" t="str">
        <f>IF(WEEKDAY(A4429,2)&gt;5,"Weekend","Weekday")</f>
        <v>Weekday</v>
      </c>
      <c r="I4429" t="str">
        <f>_xlfn.IFS(B4429&lt;=5,"Night (0-5)",B4429&lt;=9,"Morning peak (6-9)",B4429&lt;=15,"Midday (10-15)",B4429&lt;=19,"Evening peak (16-19)",TRUE,"Late evening (20-23)")</f>
        <v>Midday (10-15)</v>
      </c>
    </row>
    <row r="4430" spans="1:9">
      <c r="A4430" s="32">
        <v>42006</v>
      </c>
      <c r="B4430">
        <v>13</v>
      </c>
      <c r="C4430">
        <v>1800</v>
      </c>
      <c r="D4430" t="s">
        <v>304</v>
      </c>
      <c r="E4430">
        <f>YEAR(A4430)</f>
        <v>2015</v>
      </c>
      <c r="F4430" s="33">
        <f>DATE(YEAR(A4430),MONTH(A4430),1)</f>
        <v>42005.0</v>
      </c>
      <c r="G4430" t="str">
        <f>CHOOSE(WEEKDAY(A4430,2),"Mon","Tue","Wed","Thu","Fri","Sat","Sun")</f>
        <v>Fri</v>
      </c>
      <c r="H4430" t="str">
        <f>IF(WEEKDAY(A4430,2)&gt;5,"Weekend","Weekday")</f>
        <v>Weekday</v>
      </c>
      <c r="I4430" t="str">
        <f>_xlfn.IFS(B4430&lt;=5,"Night (0-5)",B4430&lt;=9,"Morning peak (6-9)",B4430&lt;=15,"Midday (10-15)",B4430&lt;=19,"Evening peak (16-19)",TRUE,"Late evening (20-23)")</f>
        <v>Midday (10-15)</v>
      </c>
    </row>
    <row r="4431" spans="1:9">
      <c r="A4431" s="32">
        <v>42006</v>
      </c>
      <c r="B4431">
        <v>14</v>
      </c>
      <c r="C4431">
        <v>1845</v>
      </c>
      <c r="D4431" t="s">
        <v>304</v>
      </c>
      <c r="E4431">
        <f>YEAR(A4431)</f>
        <v>2015</v>
      </c>
      <c r="F4431" s="33">
        <f>DATE(YEAR(A4431),MONTH(A4431),1)</f>
        <v>42005.0</v>
      </c>
      <c r="G4431" t="str">
        <f>CHOOSE(WEEKDAY(A4431,2),"Mon","Tue","Wed","Thu","Fri","Sat","Sun")</f>
        <v>Fri</v>
      </c>
      <c r="H4431" t="str">
        <f>IF(WEEKDAY(A4431,2)&gt;5,"Weekend","Weekday")</f>
        <v>Weekday</v>
      </c>
      <c r="I4431" t="str">
        <f>_xlfn.IFS(B4431&lt;=5,"Night (0-5)",B4431&lt;=9,"Morning peak (6-9)",B4431&lt;=15,"Midday (10-15)",B4431&lt;=19,"Evening peak (16-19)",TRUE,"Late evening (20-23)")</f>
        <v>Midday (10-15)</v>
      </c>
    </row>
    <row r="4432" spans="1:9">
      <c r="A4432" s="32">
        <v>42006</v>
      </c>
      <c r="B4432">
        <v>15</v>
      </c>
      <c r="C4432">
        <v>2015</v>
      </c>
      <c r="D4432" t="s">
        <v>304</v>
      </c>
      <c r="E4432">
        <f>YEAR(A4432)</f>
        <v>2015</v>
      </c>
      <c r="F4432" s="33">
        <f>DATE(YEAR(A4432),MONTH(A4432),1)</f>
        <v>42005.0</v>
      </c>
      <c r="G4432" t="str">
        <f>CHOOSE(WEEKDAY(A4432,2),"Mon","Tue","Wed","Thu","Fri","Sat","Sun")</f>
        <v>Fri</v>
      </c>
      <c r="H4432" t="str">
        <f>IF(WEEKDAY(A4432,2)&gt;5,"Weekend","Weekday")</f>
        <v>Weekday</v>
      </c>
      <c r="I4432" t="str">
        <f>_xlfn.IFS(B4432&lt;=5,"Night (0-5)",B4432&lt;=9,"Morning peak (6-9)",B4432&lt;=15,"Midday (10-15)",B4432&lt;=19,"Evening peak (16-19)",TRUE,"Late evening (20-23)")</f>
        <v>Midday (10-15)</v>
      </c>
    </row>
    <row r="4433" spans="1:9">
      <c r="A4433" s="32">
        <v>42006</v>
      </c>
      <c r="B4433">
        <v>16</v>
      </c>
      <c r="C4433">
        <v>2460</v>
      </c>
      <c r="D4433" t="s">
        <v>304</v>
      </c>
      <c r="E4433">
        <f>YEAR(A4433)</f>
        <v>2015</v>
      </c>
      <c r="F4433" s="33">
        <f>DATE(YEAR(A4433),MONTH(A4433),1)</f>
        <v>42005.0</v>
      </c>
      <c r="G4433" t="str">
        <f>CHOOSE(WEEKDAY(A4433,2),"Mon","Tue","Wed","Thu","Fri","Sat","Sun")</f>
        <v>Fri</v>
      </c>
      <c r="H4433" t="str">
        <f>IF(WEEKDAY(A4433,2)&gt;5,"Weekend","Weekday")</f>
        <v>Weekday</v>
      </c>
      <c r="I4433" t="str">
        <f>_xlfn.IFS(B4433&lt;=5,"Night (0-5)",B4433&lt;=9,"Morning peak (6-9)",B4433&lt;=15,"Midday (10-15)",B4433&lt;=19,"Evening peak (16-19)",TRUE,"Late evening (20-23)")</f>
        <v>Evening peak (16-19)</v>
      </c>
    </row>
    <row r="4434" spans="1:9">
      <c r="A4434" s="32">
        <v>42006</v>
      </c>
      <c r="B4434">
        <v>17</v>
      </c>
      <c r="C4434">
        <v>2712</v>
      </c>
      <c r="D4434" t="s">
        <v>304</v>
      </c>
      <c r="E4434">
        <f>YEAR(A4434)</f>
        <v>2015</v>
      </c>
      <c r="F4434" s="33">
        <f>DATE(YEAR(A4434),MONTH(A4434),1)</f>
        <v>42005.0</v>
      </c>
      <c r="G4434" t="str">
        <f>CHOOSE(WEEKDAY(A4434,2),"Mon","Tue","Wed","Thu","Fri","Sat","Sun")</f>
        <v>Fri</v>
      </c>
      <c r="H4434" t="str">
        <f>IF(WEEKDAY(A4434,2)&gt;5,"Weekend","Weekday")</f>
        <v>Weekday</v>
      </c>
      <c r="I4434" t="str">
        <f>_xlfn.IFS(B4434&lt;=5,"Night (0-5)",B4434&lt;=9,"Morning peak (6-9)",B4434&lt;=15,"Midday (10-15)",B4434&lt;=19,"Evening peak (16-19)",TRUE,"Late evening (20-23)")</f>
        <v>Evening peak (16-19)</v>
      </c>
    </row>
    <row r="4435" spans="1:9">
      <c r="A4435" s="32">
        <v>42006</v>
      </c>
      <c r="B4435">
        <v>18</v>
      </c>
      <c r="C4435">
        <v>2922</v>
      </c>
      <c r="D4435" t="s">
        <v>304</v>
      </c>
      <c r="E4435">
        <f>YEAR(A4435)</f>
        <v>2015</v>
      </c>
      <c r="F4435" s="33">
        <f>DATE(YEAR(A4435),MONTH(A4435),1)</f>
        <v>42005.0</v>
      </c>
      <c r="G4435" t="str">
        <f>CHOOSE(WEEKDAY(A4435,2),"Mon","Tue","Wed","Thu","Fri","Sat","Sun")</f>
        <v>Fri</v>
      </c>
      <c r="H4435" t="str">
        <f>IF(WEEKDAY(A4435,2)&gt;5,"Weekend","Weekday")</f>
        <v>Weekday</v>
      </c>
      <c r="I4435" t="str">
        <f>_xlfn.IFS(B4435&lt;=5,"Night (0-5)",B4435&lt;=9,"Morning peak (6-9)",B4435&lt;=15,"Midday (10-15)",B4435&lt;=19,"Evening peak (16-19)",TRUE,"Late evening (20-23)")</f>
        <v>Evening peak (16-19)</v>
      </c>
    </row>
    <row r="4436" spans="1:9">
      <c r="A4436" s="32">
        <v>42006</v>
      </c>
      <c r="B4436">
        <v>19</v>
      </c>
      <c r="C4436">
        <v>3154</v>
      </c>
      <c r="D4436" t="s">
        <v>304</v>
      </c>
      <c r="E4436">
        <f>YEAR(A4436)</f>
        <v>2015</v>
      </c>
      <c r="F4436" s="33">
        <f>DATE(YEAR(A4436),MONTH(A4436),1)</f>
        <v>42005.0</v>
      </c>
      <c r="G4436" t="str">
        <f>CHOOSE(WEEKDAY(A4436,2),"Mon","Tue","Wed","Thu","Fri","Sat","Sun")</f>
        <v>Fri</v>
      </c>
      <c r="H4436" t="str">
        <f>IF(WEEKDAY(A4436,2)&gt;5,"Weekend","Weekday")</f>
        <v>Weekday</v>
      </c>
      <c r="I4436" t="str">
        <f>_xlfn.IFS(B4436&lt;=5,"Night (0-5)",B4436&lt;=9,"Morning peak (6-9)",B4436&lt;=15,"Midday (10-15)",B4436&lt;=19,"Evening peak (16-19)",TRUE,"Late evening (20-23)")</f>
        <v>Evening peak (16-19)</v>
      </c>
    </row>
    <row r="4437" spans="1:9">
      <c r="A4437" s="32">
        <v>42006</v>
      </c>
      <c r="B4437">
        <v>20</v>
      </c>
      <c r="C4437">
        <v>2732</v>
      </c>
      <c r="D4437" t="s">
        <v>304</v>
      </c>
      <c r="E4437">
        <f>YEAR(A4437)</f>
        <v>2015</v>
      </c>
      <c r="F4437" s="33">
        <f>DATE(YEAR(A4437),MONTH(A4437),1)</f>
        <v>42005.0</v>
      </c>
      <c r="G4437" t="str">
        <f>CHOOSE(WEEKDAY(A4437,2),"Mon","Tue","Wed","Thu","Fri","Sat","Sun")</f>
        <v>Fri</v>
      </c>
      <c r="H4437" t="str">
        <f>IF(WEEKDAY(A4437,2)&gt;5,"Weekend","Weekday")</f>
        <v>Weekday</v>
      </c>
      <c r="I4437" t="str">
        <f>_xlfn.IFS(B4437&lt;=5,"Night (0-5)",B4437&lt;=9,"Morning peak (6-9)",B4437&lt;=15,"Midday (10-15)",B4437&lt;=19,"Evening peak (16-19)",TRUE,"Late evening (20-23)")</f>
        <v>Late evening (20-23)</v>
      </c>
    </row>
    <row r="4438" spans="1:9">
      <c r="A4438" s="32">
        <v>42006</v>
      </c>
      <c r="B4438">
        <v>21</v>
      </c>
      <c r="C4438">
        <v>2593</v>
      </c>
      <c r="D4438" t="s">
        <v>304</v>
      </c>
      <c r="E4438">
        <f>YEAR(A4438)</f>
        <v>2015</v>
      </c>
      <c r="F4438" s="33">
        <f>DATE(YEAR(A4438),MONTH(A4438),1)</f>
        <v>42005.0</v>
      </c>
      <c r="G4438" t="str">
        <f>CHOOSE(WEEKDAY(A4438,2),"Mon","Tue","Wed","Thu","Fri","Sat","Sun")</f>
        <v>Fri</v>
      </c>
      <c r="H4438" t="str">
        <f>IF(WEEKDAY(A4438,2)&gt;5,"Weekend","Weekday")</f>
        <v>Weekday</v>
      </c>
      <c r="I4438" t="str">
        <f>_xlfn.IFS(B4438&lt;=5,"Night (0-5)",B4438&lt;=9,"Morning peak (6-9)",B4438&lt;=15,"Midday (10-15)",B4438&lt;=19,"Evening peak (16-19)",TRUE,"Late evening (20-23)")</f>
        <v>Late evening (20-23)</v>
      </c>
    </row>
    <row r="4439" spans="1:9">
      <c r="A4439" s="32">
        <v>42006</v>
      </c>
      <c r="B4439">
        <v>22</v>
      </c>
      <c r="C4439">
        <v>2896</v>
      </c>
      <c r="D4439" t="s">
        <v>304</v>
      </c>
      <c r="E4439">
        <f>YEAR(A4439)</f>
        <v>2015</v>
      </c>
      <c r="F4439" s="33">
        <f>DATE(YEAR(A4439),MONTH(A4439),1)</f>
        <v>42005.0</v>
      </c>
      <c r="G4439" t="str">
        <f>CHOOSE(WEEKDAY(A4439,2),"Mon","Tue","Wed","Thu","Fri","Sat","Sun")</f>
        <v>Fri</v>
      </c>
      <c r="H4439" t="str">
        <f>IF(WEEKDAY(A4439,2)&gt;5,"Weekend","Weekday")</f>
        <v>Weekday</v>
      </c>
      <c r="I4439" t="str">
        <f>_xlfn.IFS(B4439&lt;=5,"Night (0-5)",B4439&lt;=9,"Morning peak (6-9)",B4439&lt;=15,"Midday (10-15)",B4439&lt;=19,"Evening peak (16-19)",TRUE,"Late evening (20-23)")</f>
        <v>Late evening (20-23)</v>
      </c>
    </row>
    <row r="4440" spans="1:9">
      <c r="A4440" s="32">
        <v>42006</v>
      </c>
      <c r="B4440">
        <v>23</v>
      </c>
      <c r="C4440">
        <v>2701</v>
      </c>
      <c r="D4440" t="s">
        <v>304</v>
      </c>
      <c r="E4440">
        <f>YEAR(A4440)</f>
        <v>2015</v>
      </c>
      <c r="F4440" s="33">
        <f>DATE(YEAR(A4440),MONTH(A4440),1)</f>
        <v>42005.0</v>
      </c>
      <c r="G4440" t="str">
        <f>CHOOSE(WEEKDAY(A4440,2),"Mon","Tue","Wed","Thu","Fri","Sat","Sun")</f>
        <v>Fri</v>
      </c>
      <c r="H4440" t="str">
        <f>IF(WEEKDAY(A4440,2)&gt;5,"Weekend","Weekday")</f>
        <v>Weekday</v>
      </c>
      <c r="I4440" t="str">
        <f>_xlfn.IFS(B4440&lt;=5,"Night (0-5)",B4440&lt;=9,"Morning peak (6-9)",B4440&lt;=15,"Midday (10-15)",B4440&lt;=19,"Evening peak (16-19)",TRUE,"Late evening (20-23)")</f>
        <v>Late evening (20-23)</v>
      </c>
    </row>
    <row r="4441" spans="1:9">
      <c r="A4441" s="32">
        <v>42007</v>
      </c>
      <c r="B4441">
        <v>0</v>
      </c>
      <c r="C4441">
        <v>2294</v>
      </c>
      <c r="D4441" t="s">
        <v>304</v>
      </c>
      <c r="E4441">
        <f>YEAR(A4441)</f>
        <v>2015</v>
      </c>
      <c r="F4441" s="33">
        <f>DATE(YEAR(A4441),MONTH(A4441),1)</f>
        <v>42005.0</v>
      </c>
      <c r="G4441" t="str">
        <f>CHOOSE(WEEKDAY(A4441,2),"Mon","Tue","Wed","Thu","Fri","Sat","Sun")</f>
        <v>Sat</v>
      </c>
      <c r="H4441" t="str">
        <f>IF(WEEKDAY(A4441,2)&gt;5,"Weekend","Weekday")</f>
        <v>Weekend</v>
      </c>
      <c r="I4441" t="str">
        <f>_xlfn.IFS(B4441&lt;=5,"Night (0-5)",B4441&lt;=9,"Morning peak (6-9)",B4441&lt;=15,"Midday (10-15)",B4441&lt;=19,"Evening peak (16-19)",TRUE,"Late evening (20-23)")</f>
        <v>Night (0-5)</v>
      </c>
    </row>
    <row r="4442" spans="1:9">
      <c r="A4442" s="32">
        <v>42007</v>
      </c>
      <c r="B4442">
        <v>1</v>
      </c>
      <c r="C4442">
        <v>1699</v>
      </c>
      <c r="D4442" t="s">
        <v>304</v>
      </c>
      <c r="E4442">
        <f>YEAR(A4442)</f>
        <v>2015</v>
      </c>
      <c r="F4442" s="33">
        <f>DATE(YEAR(A4442),MONTH(A4442),1)</f>
        <v>42005.0</v>
      </c>
      <c r="G4442" t="str">
        <f>CHOOSE(WEEKDAY(A4442,2),"Mon","Tue","Wed","Thu","Fri","Sat","Sun")</f>
        <v>Sat</v>
      </c>
      <c r="H4442" t="str">
        <f>IF(WEEKDAY(A4442,2)&gt;5,"Weekend","Weekday")</f>
        <v>Weekend</v>
      </c>
      <c r="I4442" t="str">
        <f>_xlfn.IFS(B4442&lt;=5,"Night (0-5)",B4442&lt;=9,"Morning peak (6-9)",B4442&lt;=15,"Midday (10-15)",B4442&lt;=19,"Evening peak (16-19)",TRUE,"Late evening (20-23)")</f>
        <v>Night (0-5)</v>
      </c>
    </row>
    <row r="4443" spans="1:9">
      <c r="A4443" s="32">
        <v>42007</v>
      </c>
      <c r="B4443">
        <v>2</v>
      </c>
      <c r="C4443">
        <v>1261</v>
      </c>
      <c r="D4443" t="s">
        <v>304</v>
      </c>
      <c r="E4443">
        <f>YEAR(A4443)</f>
        <v>2015</v>
      </c>
      <c r="F4443" s="33">
        <f>DATE(YEAR(A4443),MONTH(A4443),1)</f>
        <v>42005.0</v>
      </c>
      <c r="G4443" t="str">
        <f>CHOOSE(WEEKDAY(A4443,2),"Mon","Tue","Wed","Thu","Fri","Sat","Sun")</f>
        <v>Sat</v>
      </c>
      <c r="H4443" t="str">
        <f>IF(WEEKDAY(A4443,2)&gt;5,"Weekend","Weekday")</f>
        <v>Weekend</v>
      </c>
      <c r="I4443" t="str">
        <f>_xlfn.IFS(B4443&lt;=5,"Night (0-5)",B4443&lt;=9,"Morning peak (6-9)",B4443&lt;=15,"Midday (10-15)",B4443&lt;=19,"Evening peak (16-19)",TRUE,"Late evening (20-23)")</f>
        <v>Night (0-5)</v>
      </c>
    </row>
    <row r="4444" spans="1:9">
      <c r="A4444" s="32">
        <v>42007</v>
      </c>
      <c r="B4444">
        <v>3</v>
      </c>
      <c r="C4444">
        <v>981</v>
      </c>
      <c r="D4444" t="s">
        <v>304</v>
      </c>
      <c r="E4444">
        <f>YEAR(A4444)</f>
        <v>2015</v>
      </c>
      <c r="F4444" s="33">
        <f>DATE(YEAR(A4444),MONTH(A4444),1)</f>
        <v>42005.0</v>
      </c>
      <c r="G4444" t="str">
        <f>CHOOSE(WEEKDAY(A4444,2),"Mon","Tue","Wed","Thu","Fri","Sat","Sun")</f>
        <v>Sat</v>
      </c>
      <c r="H4444" t="str">
        <f>IF(WEEKDAY(A4444,2)&gt;5,"Weekend","Weekday")</f>
        <v>Weekend</v>
      </c>
      <c r="I4444" t="str">
        <f>_xlfn.IFS(B4444&lt;=5,"Night (0-5)",B4444&lt;=9,"Morning peak (6-9)",B4444&lt;=15,"Midday (10-15)",B4444&lt;=19,"Evening peak (16-19)",TRUE,"Late evening (20-23)")</f>
        <v>Night (0-5)</v>
      </c>
    </row>
    <row r="4445" spans="1:9">
      <c r="A4445" s="32">
        <v>42007</v>
      </c>
      <c r="B4445">
        <v>4</v>
      </c>
      <c r="C4445">
        <v>794</v>
      </c>
      <c r="D4445" t="s">
        <v>304</v>
      </c>
      <c r="E4445">
        <f>YEAR(A4445)</f>
        <v>2015</v>
      </c>
      <c r="F4445" s="33">
        <f>DATE(YEAR(A4445),MONTH(A4445),1)</f>
        <v>42005.0</v>
      </c>
      <c r="G4445" t="str">
        <f>CHOOSE(WEEKDAY(A4445,2),"Mon","Tue","Wed","Thu","Fri","Sat","Sun")</f>
        <v>Sat</v>
      </c>
      <c r="H4445" t="str">
        <f>IF(WEEKDAY(A4445,2)&gt;5,"Weekend","Weekday")</f>
        <v>Weekend</v>
      </c>
      <c r="I4445" t="str">
        <f>_xlfn.IFS(B4445&lt;=5,"Night (0-5)",B4445&lt;=9,"Morning peak (6-9)",B4445&lt;=15,"Midday (10-15)",B4445&lt;=19,"Evening peak (16-19)",TRUE,"Late evening (20-23)")</f>
        <v>Night (0-5)</v>
      </c>
    </row>
    <row r="4446" spans="1:9">
      <c r="A4446" s="32">
        <v>42007</v>
      </c>
      <c r="B4446">
        <v>5</v>
      </c>
      <c r="C4446">
        <v>548</v>
      </c>
      <c r="D4446" t="s">
        <v>304</v>
      </c>
      <c r="E4446">
        <f>YEAR(A4446)</f>
        <v>2015</v>
      </c>
      <c r="F4446" s="33">
        <f>DATE(YEAR(A4446),MONTH(A4446),1)</f>
        <v>42005.0</v>
      </c>
      <c r="G4446" t="str">
        <f>CHOOSE(WEEKDAY(A4446,2),"Mon","Tue","Wed","Thu","Fri","Sat","Sun")</f>
        <v>Sat</v>
      </c>
      <c r="H4446" t="str">
        <f>IF(WEEKDAY(A4446,2)&gt;5,"Weekend","Weekday")</f>
        <v>Weekend</v>
      </c>
      <c r="I4446" t="str">
        <f>_xlfn.IFS(B4446&lt;=5,"Night (0-5)",B4446&lt;=9,"Morning peak (6-9)",B4446&lt;=15,"Midday (10-15)",B4446&lt;=19,"Evening peak (16-19)",TRUE,"Late evening (20-23)")</f>
        <v>Night (0-5)</v>
      </c>
    </row>
    <row r="4447" spans="1:9">
      <c r="A4447" s="32">
        <v>42007</v>
      </c>
      <c r="B4447">
        <v>6</v>
      </c>
      <c r="C4447">
        <v>564</v>
      </c>
      <c r="D4447" t="s">
        <v>304</v>
      </c>
      <c r="E4447">
        <f>YEAR(A4447)</f>
        <v>2015</v>
      </c>
      <c r="F4447" s="33">
        <f>DATE(YEAR(A4447),MONTH(A4447),1)</f>
        <v>42005.0</v>
      </c>
      <c r="G4447" t="str">
        <f>CHOOSE(WEEKDAY(A4447,2),"Mon","Tue","Wed","Thu","Fri","Sat","Sun")</f>
        <v>Sat</v>
      </c>
      <c r="H4447" t="str">
        <f>IF(WEEKDAY(A4447,2)&gt;5,"Weekend","Weekday")</f>
        <v>Weekend</v>
      </c>
      <c r="I4447" t="str">
        <f>_xlfn.IFS(B4447&lt;=5,"Night (0-5)",B4447&lt;=9,"Morning peak (6-9)",B4447&lt;=15,"Midday (10-15)",B4447&lt;=19,"Evening peak (16-19)",TRUE,"Late evening (20-23)")</f>
        <v>Morning peak (6-9)</v>
      </c>
    </row>
    <row r="4448" spans="1:9">
      <c r="A4448" s="32">
        <v>42007</v>
      </c>
      <c r="B4448">
        <v>7</v>
      </c>
      <c r="C4448">
        <v>549</v>
      </c>
      <c r="D4448" t="s">
        <v>304</v>
      </c>
      <c r="E4448">
        <f>YEAR(A4448)</f>
        <v>2015</v>
      </c>
      <c r="F4448" s="33">
        <f>DATE(YEAR(A4448),MONTH(A4448),1)</f>
        <v>42005.0</v>
      </c>
      <c r="G4448" t="str">
        <f>CHOOSE(WEEKDAY(A4448,2),"Mon","Tue","Wed","Thu","Fri","Sat","Sun")</f>
        <v>Sat</v>
      </c>
      <c r="H4448" t="str">
        <f>IF(WEEKDAY(A4448,2)&gt;5,"Weekend","Weekday")</f>
        <v>Weekend</v>
      </c>
      <c r="I4448" t="str">
        <f>_xlfn.IFS(B4448&lt;=5,"Night (0-5)",B4448&lt;=9,"Morning peak (6-9)",B4448&lt;=15,"Midday (10-15)",B4448&lt;=19,"Evening peak (16-19)",TRUE,"Late evening (20-23)")</f>
        <v>Morning peak (6-9)</v>
      </c>
    </row>
    <row r="4449" spans="1:9">
      <c r="A4449" s="32">
        <v>42007</v>
      </c>
      <c r="B4449">
        <v>8</v>
      </c>
      <c r="C4449">
        <v>682</v>
      </c>
      <c r="D4449" t="s">
        <v>304</v>
      </c>
      <c r="E4449">
        <f>YEAR(A4449)</f>
        <v>2015</v>
      </c>
      <c r="F4449" s="33">
        <f>DATE(YEAR(A4449),MONTH(A4449),1)</f>
        <v>42005.0</v>
      </c>
      <c r="G4449" t="str">
        <f>CHOOSE(WEEKDAY(A4449,2),"Mon","Tue","Wed","Thu","Fri","Sat","Sun")</f>
        <v>Sat</v>
      </c>
      <c r="H4449" t="str">
        <f>IF(WEEKDAY(A4449,2)&gt;5,"Weekend","Weekday")</f>
        <v>Weekend</v>
      </c>
      <c r="I4449" t="str">
        <f>_xlfn.IFS(B4449&lt;=5,"Night (0-5)",B4449&lt;=9,"Morning peak (6-9)",B4449&lt;=15,"Midday (10-15)",B4449&lt;=19,"Evening peak (16-19)",TRUE,"Late evening (20-23)")</f>
        <v>Morning peak (6-9)</v>
      </c>
    </row>
    <row r="4450" spans="1:9">
      <c r="A4450" s="32">
        <v>42007</v>
      </c>
      <c r="B4450">
        <v>9</v>
      </c>
      <c r="C4450">
        <v>1063</v>
      </c>
      <c r="D4450" t="s">
        <v>304</v>
      </c>
      <c r="E4450">
        <f>YEAR(A4450)</f>
        <v>2015</v>
      </c>
      <c r="F4450" s="33">
        <f>DATE(YEAR(A4450),MONTH(A4450),1)</f>
        <v>42005.0</v>
      </c>
      <c r="G4450" t="str">
        <f>CHOOSE(WEEKDAY(A4450,2),"Mon","Tue","Wed","Thu","Fri","Sat","Sun")</f>
        <v>Sat</v>
      </c>
      <c r="H4450" t="str">
        <f>IF(WEEKDAY(A4450,2)&gt;5,"Weekend","Weekday")</f>
        <v>Weekend</v>
      </c>
      <c r="I4450" t="str">
        <f>_xlfn.IFS(B4450&lt;=5,"Night (0-5)",B4450&lt;=9,"Morning peak (6-9)",B4450&lt;=15,"Midday (10-15)",B4450&lt;=19,"Evening peak (16-19)",TRUE,"Late evening (20-23)")</f>
        <v>Morning peak (6-9)</v>
      </c>
    </row>
    <row r="4451" spans="1:9">
      <c r="A4451" s="32">
        <v>42007</v>
      </c>
      <c r="B4451">
        <v>10</v>
      </c>
      <c r="C4451">
        <v>1334</v>
      </c>
      <c r="D4451" t="s">
        <v>304</v>
      </c>
      <c r="E4451">
        <f>YEAR(A4451)</f>
        <v>2015</v>
      </c>
      <c r="F4451" s="33">
        <f>DATE(YEAR(A4451),MONTH(A4451),1)</f>
        <v>42005.0</v>
      </c>
      <c r="G4451" t="str">
        <f>CHOOSE(WEEKDAY(A4451,2),"Mon","Tue","Wed","Thu","Fri","Sat","Sun")</f>
        <v>Sat</v>
      </c>
      <c r="H4451" t="str">
        <f>IF(WEEKDAY(A4451,2)&gt;5,"Weekend","Weekday")</f>
        <v>Weekend</v>
      </c>
      <c r="I4451" t="str">
        <f>_xlfn.IFS(B4451&lt;=5,"Night (0-5)",B4451&lt;=9,"Morning peak (6-9)",B4451&lt;=15,"Midday (10-15)",B4451&lt;=19,"Evening peak (16-19)",TRUE,"Late evening (20-23)")</f>
        <v>Midday (10-15)</v>
      </c>
    </row>
    <row r="4452" spans="1:9">
      <c r="A4452" s="32">
        <v>42007</v>
      </c>
      <c r="B4452">
        <v>11</v>
      </c>
      <c r="C4452">
        <v>1824</v>
      </c>
      <c r="D4452" t="s">
        <v>304</v>
      </c>
      <c r="E4452">
        <f>YEAR(A4452)</f>
        <v>2015</v>
      </c>
      <c r="F4452" s="33">
        <f>DATE(YEAR(A4452),MONTH(A4452),1)</f>
        <v>42005.0</v>
      </c>
      <c r="G4452" t="str">
        <f>CHOOSE(WEEKDAY(A4452,2),"Mon","Tue","Wed","Thu","Fri","Sat","Sun")</f>
        <v>Sat</v>
      </c>
      <c r="H4452" t="str">
        <f>IF(WEEKDAY(A4452,2)&gt;5,"Weekend","Weekday")</f>
        <v>Weekend</v>
      </c>
      <c r="I4452" t="str">
        <f>_xlfn.IFS(B4452&lt;=5,"Night (0-5)",B4452&lt;=9,"Morning peak (6-9)",B4452&lt;=15,"Midday (10-15)",B4452&lt;=19,"Evening peak (16-19)",TRUE,"Late evening (20-23)")</f>
        <v>Midday (10-15)</v>
      </c>
    </row>
    <row r="4453" spans="1:9">
      <c r="A4453" s="32">
        <v>42007</v>
      </c>
      <c r="B4453">
        <v>12</v>
      </c>
      <c r="C4453">
        <v>2238</v>
      </c>
      <c r="D4453" t="s">
        <v>304</v>
      </c>
      <c r="E4453">
        <f>YEAR(A4453)</f>
        <v>2015</v>
      </c>
      <c r="F4453" s="33">
        <f>DATE(YEAR(A4453),MONTH(A4453),1)</f>
        <v>42005.0</v>
      </c>
      <c r="G4453" t="str">
        <f>CHOOSE(WEEKDAY(A4453,2),"Mon","Tue","Wed","Thu","Fri","Sat","Sun")</f>
        <v>Sat</v>
      </c>
      <c r="H4453" t="str">
        <f>IF(WEEKDAY(A4453,2)&gt;5,"Weekend","Weekday")</f>
        <v>Weekend</v>
      </c>
      <c r="I4453" t="str">
        <f>_xlfn.IFS(B4453&lt;=5,"Night (0-5)",B4453&lt;=9,"Morning peak (6-9)",B4453&lt;=15,"Midday (10-15)",B4453&lt;=19,"Evening peak (16-19)",TRUE,"Late evening (20-23)")</f>
        <v>Midday (10-15)</v>
      </c>
    </row>
    <row r="4454" spans="1:9">
      <c r="A4454" s="32">
        <v>42007</v>
      </c>
      <c r="B4454">
        <v>13</v>
      </c>
      <c r="C4454">
        <v>2754</v>
      </c>
      <c r="D4454" t="s">
        <v>304</v>
      </c>
      <c r="E4454">
        <f>YEAR(A4454)</f>
        <v>2015</v>
      </c>
      <c r="F4454" s="33">
        <f>DATE(YEAR(A4454),MONTH(A4454),1)</f>
        <v>42005.0</v>
      </c>
      <c r="G4454" t="str">
        <f>CHOOSE(WEEKDAY(A4454,2),"Mon","Tue","Wed","Thu","Fri","Sat","Sun")</f>
        <v>Sat</v>
      </c>
      <c r="H4454" t="str">
        <f>IF(WEEKDAY(A4454,2)&gt;5,"Weekend","Weekday")</f>
        <v>Weekend</v>
      </c>
      <c r="I4454" t="str">
        <f>_xlfn.IFS(B4454&lt;=5,"Night (0-5)",B4454&lt;=9,"Morning peak (6-9)",B4454&lt;=15,"Midday (10-15)",B4454&lt;=19,"Evening peak (16-19)",TRUE,"Late evening (20-23)")</f>
        <v>Midday (10-15)</v>
      </c>
    </row>
    <row r="4455" spans="1:9">
      <c r="A4455" s="32">
        <v>42007</v>
      </c>
      <c r="B4455">
        <v>14</v>
      </c>
      <c r="C4455">
        <v>3164</v>
      </c>
      <c r="D4455" t="s">
        <v>304</v>
      </c>
      <c r="E4455">
        <f>YEAR(A4455)</f>
        <v>2015</v>
      </c>
      <c r="F4455" s="33">
        <f>DATE(YEAR(A4455),MONTH(A4455),1)</f>
        <v>42005.0</v>
      </c>
      <c r="G4455" t="str">
        <f>CHOOSE(WEEKDAY(A4455,2),"Mon","Tue","Wed","Thu","Fri","Sat","Sun")</f>
        <v>Sat</v>
      </c>
      <c r="H4455" t="str">
        <f>IF(WEEKDAY(A4455,2)&gt;5,"Weekend","Weekday")</f>
        <v>Weekend</v>
      </c>
      <c r="I4455" t="str">
        <f>_xlfn.IFS(B4455&lt;=5,"Night (0-5)",B4455&lt;=9,"Morning peak (6-9)",B4455&lt;=15,"Midday (10-15)",B4455&lt;=19,"Evening peak (16-19)",TRUE,"Late evening (20-23)")</f>
        <v>Midday (10-15)</v>
      </c>
    </row>
    <row r="4456" spans="1:9">
      <c r="A4456" s="32">
        <v>42007</v>
      </c>
      <c r="B4456">
        <v>15</v>
      </c>
      <c r="C4456">
        <v>3244</v>
      </c>
      <c r="D4456" t="s">
        <v>304</v>
      </c>
      <c r="E4456">
        <f>YEAR(A4456)</f>
        <v>2015</v>
      </c>
      <c r="F4456" s="33">
        <f>DATE(YEAR(A4456),MONTH(A4456),1)</f>
        <v>42005.0</v>
      </c>
      <c r="G4456" t="str">
        <f>CHOOSE(WEEKDAY(A4456,2),"Mon","Tue","Wed","Thu","Fri","Sat","Sun")</f>
        <v>Sat</v>
      </c>
      <c r="H4456" t="str">
        <f>IF(WEEKDAY(A4456,2)&gt;5,"Weekend","Weekday")</f>
        <v>Weekend</v>
      </c>
      <c r="I4456" t="str">
        <f>_xlfn.IFS(B4456&lt;=5,"Night (0-5)",B4456&lt;=9,"Morning peak (6-9)",B4456&lt;=15,"Midday (10-15)",B4456&lt;=19,"Evening peak (16-19)",TRUE,"Late evening (20-23)")</f>
        <v>Midday (10-15)</v>
      </c>
    </row>
    <row r="4457" spans="1:9">
      <c r="A4457" s="32">
        <v>42007</v>
      </c>
      <c r="B4457">
        <v>16</v>
      </c>
      <c r="C4457">
        <v>3838</v>
      </c>
      <c r="D4457" t="s">
        <v>304</v>
      </c>
      <c r="E4457">
        <f>YEAR(A4457)</f>
        <v>2015</v>
      </c>
      <c r="F4457" s="33">
        <f>DATE(YEAR(A4457),MONTH(A4457),1)</f>
        <v>42005.0</v>
      </c>
      <c r="G4457" t="str">
        <f>CHOOSE(WEEKDAY(A4457,2),"Mon","Tue","Wed","Thu","Fri","Sat","Sun")</f>
        <v>Sat</v>
      </c>
      <c r="H4457" t="str">
        <f>IF(WEEKDAY(A4457,2)&gt;5,"Weekend","Weekday")</f>
        <v>Weekend</v>
      </c>
      <c r="I4457" t="str">
        <f>_xlfn.IFS(B4457&lt;=5,"Night (0-5)",B4457&lt;=9,"Morning peak (6-9)",B4457&lt;=15,"Midday (10-15)",B4457&lt;=19,"Evening peak (16-19)",TRUE,"Late evening (20-23)")</f>
        <v>Evening peak (16-19)</v>
      </c>
    </row>
    <row r="4458" spans="1:9">
      <c r="A4458" s="32">
        <v>42007</v>
      </c>
      <c r="B4458">
        <v>17</v>
      </c>
      <c r="C4458">
        <v>4693</v>
      </c>
      <c r="D4458" t="s">
        <v>304</v>
      </c>
      <c r="E4458">
        <f>YEAR(A4458)</f>
        <v>2015</v>
      </c>
      <c r="F4458" s="33">
        <f>DATE(YEAR(A4458),MONTH(A4458),1)</f>
        <v>42005.0</v>
      </c>
      <c r="G4458" t="str">
        <f>CHOOSE(WEEKDAY(A4458,2),"Mon","Tue","Wed","Thu","Fri","Sat","Sun")</f>
        <v>Sat</v>
      </c>
      <c r="H4458" t="str">
        <f>IF(WEEKDAY(A4458,2)&gt;5,"Weekend","Weekday")</f>
        <v>Weekend</v>
      </c>
      <c r="I4458" t="str">
        <f>_xlfn.IFS(B4458&lt;=5,"Night (0-5)",B4458&lt;=9,"Morning peak (6-9)",B4458&lt;=15,"Midday (10-15)",B4458&lt;=19,"Evening peak (16-19)",TRUE,"Late evening (20-23)")</f>
        <v>Evening peak (16-19)</v>
      </c>
    </row>
    <row r="4459" spans="1:9">
      <c r="A4459" s="32">
        <v>42007</v>
      </c>
      <c r="B4459">
        <v>18</v>
      </c>
      <c r="C4459">
        <v>5035</v>
      </c>
      <c r="D4459" t="s">
        <v>304</v>
      </c>
      <c r="E4459">
        <f>YEAR(A4459)</f>
        <v>2015</v>
      </c>
      <c r="F4459" s="33">
        <f>DATE(YEAR(A4459),MONTH(A4459),1)</f>
        <v>42005.0</v>
      </c>
      <c r="G4459" t="str">
        <f>CHOOSE(WEEKDAY(A4459,2),"Mon","Tue","Wed","Thu","Fri","Sat","Sun")</f>
        <v>Sat</v>
      </c>
      <c r="H4459" t="str">
        <f>IF(WEEKDAY(A4459,2)&gt;5,"Weekend","Weekday")</f>
        <v>Weekend</v>
      </c>
      <c r="I4459" t="str">
        <f>_xlfn.IFS(B4459&lt;=5,"Night (0-5)",B4459&lt;=9,"Morning peak (6-9)",B4459&lt;=15,"Midday (10-15)",B4459&lt;=19,"Evening peak (16-19)",TRUE,"Late evening (20-23)")</f>
        <v>Evening peak (16-19)</v>
      </c>
    </row>
    <row r="4460" spans="1:9">
      <c r="A4460" s="32">
        <v>42007</v>
      </c>
      <c r="B4460">
        <v>19</v>
      </c>
      <c r="C4460">
        <v>5444</v>
      </c>
      <c r="D4460" t="s">
        <v>304</v>
      </c>
      <c r="E4460">
        <f>YEAR(A4460)</f>
        <v>2015</v>
      </c>
      <c r="F4460" s="33">
        <f>DATE(YEAR(A4460),MONTH(A4460),1)</f>
        <v>42005.0</v>
      </c>
      <c r="G4460" t="str">
        <f>CHOOSE(WEEKDAY(A4460,2),"Mon","Tue","Wed","Thu","Fri","Sat","Sun")</f>
        <v>Sat</v>
      </c>
      <c r="H4460" t="str">
        <f>IF(WEEKDAY(A4460,2)&gt;5,"Weekend","Weekday")</f>
        <v>Weekend</v>
      </c>
      <c r="I4460" t="str">
        <f>_xlfn.IFS(B4460&lt;=5,"Night (0-5)",B4460&lt;=9,"Morning peak (6-9)",B4460&lt;=15,"Midday (10-15)",B4460&lt;=19,"Evening peak (16-19)",TRUE,"Late evening (20-23)")</f>
        <v>Evening peak (16-19)</v>
      </c>
    </row>
    <row r="4461" spans="1:9">
      <c r="A4461" s="32">
        <v>42007</v>
      </c>
      <c r="B4461">
        <v>20</v>
      </c>
      <c r="C4461">
        <v>4183</v>
      </c>
      <c r="D4461" t="s">
        <v>304</v>
      </c>
      <c r="E4461">
        <f>YEAR(A4461)</f>
        <v>2015</v>
      </c>
      <c r="F4461" s="33">
        <f>DATE(YEAR(A4461),MONTH(A4461),1)</f>
        <v>42005.0</v>
      </c>
      <c r="G4461" t="str">
        <f>CHOOSE(WEEKDAY(A4461,2),"Mon","Tue","Wed","Thu","Fri","Sat","Sun")</f>
        <v>Sat</v>
      </c>
      <c r="H4461" t="str">
        <f>IF(WEEKDAY(A4461,2)&gt;5,"Weekend","Weekday")</f>
        <v>Weekend</v>
      </c>
      <c r="I4461" t="str">
        <f>_xlfn.IFS(B4461&lt;=5,"Night (0-5)",B4461&lt;=9,"Morning peak (6-9)",B4461&lt;=15,"Midday (10-15)",B4461&lt;=19,"Evening peak (16-19)",TRUE,"Late evening (20-23)")</f>
        <v>Late evening (20-23)</v>
      </c>
    </row>
    <row r="4462" spans="1:9">
      <c r="A4462" s="32">
        <v>42007</v>
      </c>
      <c r="B4462">
        <v>21</v>
      </c>
      <c r="C4462">
        <v>3819</v>
      </c>
      <c r="D4462" t="s">
        <v>304</v>
      </c>
      <c r="E4462">
        <f>YEAR(A4462)</f>
        <v>2015</v>
      </c>
      <c r="F4462" s="33">
        <f>DATE(YEAR(A4462),MONTH(A4462),1)</f>
        <v>42005.0</v>
      </c>
      <c r="G4462" t="str">
        <f>CHOOSE(WEEKDAY(A4462,2),"Mon","Tue","Wed","Thu","Fri","Sat","Sun")</f>
        <v>Sat</v>
      </c>
      <c r="H4462" t="str">
        <f>IF(WEEKDAY(A4462,2)&gt;5,"Weekend","Weekday")</f>
        <v>Weekend</v>
      </c>
      <c r="I4462" t="str">
        <f>_xlfn.IFS(B4462&lt;=5,"Night (0-5)",B4462&lt;=9,"Morning peak (6-9)",B4462&lt;=15,"Midday (10-15)",B4462&lt;=19,"Evening peak (16-19)",TRUE,"Late evening (20-23)")</f>
        <v>Late evening (20-23)</v>
      </c>
    </row>
    <row r="4463" spans="1:9">
      <c r="A4463" s="32">
        <v>42007</v>
      </c>
      <c r="B4463">
        <v>22</v>
      </c>
      <c r="C4463">
        <v>3906</v>
      </c>
      <c r="D4463" t="s">
        <v>304</v>
      </c>
      <c r="E4463">
        <f>YEAR(A4463)</f>
        <v>2015</v>
      </c>
      <c r="F4463" s="33">
        <f>DATE(YEAR(A4463),MONTH(A4463),1)</f>
        <v>42005.0</v>
      </c>
      <c r="G4463" t="str">
        <f>CHOOSE(WEEKDAY(A4463,2),"Mon","Tue","Wed","Thu","Fri","Sat","Sun")</f>
        <v>Sat</v>
      </c>
      <c r="H4463" t="str">
        <f>IF(WEEKDAY(A4463,2)&gt;5,"Weekend","Weekday")</f>
        <v>Weekend</v>
      </c>
      <c r="I4463" t="str">
        <f>_xlfn.IFS(B4463&lt;=5,"Night (0-5)",B4463&lt;=9,"Morning peak (6-9)",B4463&lt;=15,"Midday (10-15)",B4463&lt;=19,"Evening peak (16-19)",TRUE,"Late evening (20-23)")</f>
        <v>Late evening (20-23)</v>
      </c>
    </row>
    <row r="4464" spans="1:9">
      <c r="A4464" s="32">
        <v>42007</v>
      </c>
      <c r="B4464">
        <v>23</v>
      </c>
      <c r="C4464">
        <v>3933</v>
      </c>
      <c r="D4464" t="s">
        <v>304</v>
      </c>
      <c r="E4464">
        <f>YEAR(A4464)</f>
        <v>2015</v>
      </c>
      <c r="F4464" s="33">
        <f>DATE(YEAR(A4464),MONTH(A4464),1)</f>
        <v>42005.0</v>
      </c>
      <c r="G4464" t="str">
        <f>CHOOSE(WEEKDAY(A4464,2),"Mon","Tue","Wed","Thu","Fri","Sat","Sun")</f>
        <v>Sat</v>
      </c>
      <c r="H4464" t="str">
        <f>IF(WEEKDAY(A4464,2)&gt;5,"Weekend","Weekday")</f>
        <v>Weekend</v>
      </c>
      <c r="I4464" t="str">
        <f>_xlfn.IFS(B4464&lt;=5,"Night (0-5)",B4464&lt;=9,"Morning peak (6-9)",B4464&lt;=15,"Midday (10-15)",B4464&lt;=19,"Evening peak (16-19)",TRUE,"Late evening (20-23)")</f>
        <v>Late evening (20-23)</v>
      </c>
    </row>
    <row r="4465" spans="1:9">
      <c r="A4465" s="32">
        <v>42008</v>
      </c>
      <c r="B4465">
        <v>0</v>
      </c>
      <c r="C4465">
        <v>3465</v>
      </c>
      <c r="D4465" t="s">
        <v>304</v>
      </c>
      <c r="E4465">
        <f>YEAR(A4465)</f>
        <v>2015</v>
      </c>
      <c r="F4465" s="33">
        <f>DATE(YEAR(A4465),MONTH(A4465),1)</f>
        <v>42005.0</v>
      </c>
      <c r="G4465" t="str">
        <f>CHOOSE(WEEKDAY(A4465,2),"Mon","Tue","Wed","Thu","Fri","Sat","Sun")</f>
        <v>Sun</v>
      </c>
      <c r="H4465" t="str">
        <f>IF(WEEKDAY(A4465,2)&gt;5,"Weekend","Weekday")</f>
        <v>Weekend</v>
      </c>
      <c r="I4465" t="str">
        <f>_xlfn.IFS(B4465&lt;=5,"Night (0-5)",B4465&lt;=9,"Morning peak (6-9)",B4465&lt;=15,"Midday (10-15)",B4465&lt;=19,"Evening peak (16-19)",TRUE,"Late evening (20-23)")</f>
        <v>Night (0-5)</v>
      </c>
    </row>
    <row r="4466" spans="1:9">
      <c r="A4466" s="32">
        <v>42008</v>
      </c>
      <c r="B4466">
        <v>1</v>
      </c>
      <c r="C4466">
        <v>2276</v>
      </c>
      <c r="D4466" t="s">
        <v>304</v>
      </c>
      <c r="E4466">
        <f>YEAR(A4466)</f>
        <v>2015</v>
      </c>
      <c r="F4466" s="33">
        <f>DATE(YEAR(A4466),MONTH(A4466),1)</f>
        <v>42005.0</v>
      </c>
      <c r="G4466" t="str">
        <f>CHOOSE(WEEKDAY(A4466,2),"Mon","Tue","Wed","Thu","Fri","Sat","Sun")</f>
        <v>Sun</v>
      </c>
      <c r="H4466" t="str">
        <f>IF(WEEKDAY(A4466,2)&gt;5,"Weekend","Weekday")</f>
        <v>Weekend</v>
      </c>
      <c r="I4466" t="str">
        <f>_xlfn.IFS(B4466&lt;=5,"Night (0-5)",B4466&lt;=9,"Morning peak (6-9)",B4466&lt;=15,"Midday (10-15)",B4466&lt;=19,"Evening peak (16-19)",TRUE,"Late evening (20-23)")</f>
        <v>Night (0-5)</v>
      </c>
    </row>
    <row r="4467" spans="1:9">
      <c r="A4467" s="32">
        <v>42008</v>
      </c>
      <c r="B4467">
        <v>2</v>
      </c>
      <c r="C4467">
        <v>1497</v>
      </c>
      <c r="D4467" t="s">
        <v>304</v>
      </c>
      <c r="E4467">
        <f>YEAR(A4467)</f>
        <v>2015</v>
      </c>
      <c r="F4467" s="33">
        <f>DATE(YEAR(A4467),MONTH(A4467),1)</f>
        <v>42005.0</v>
      </c>
      <c r="G4467" t="str">
        <f>CHOOSE(WEEKDAY(A4467,2),"Mon","Tue","Wed","Thu","Fri","Sat","Sun")</f>
        <v>Sun</v>
      </c>
      <c r="H4467" t="str">
        <f>IF(WEEKDAY(A4467,2)&gt;5,"Weekend","Weekday")</f>
        <v>Weekend</v>
      </c>
      <c r="I4467" t="str">
        <f>_xlfn.IFS(B4467&lt;=5,"Night (0-5)",B4467&lt;=9,"Morning peak (6-9)",B4467&lt;=15,"Midday (10-15)",B4467&lt;=19,"Evening peak (16-19)",TRUE,"Late evening (20-23)")</f>
        <v>Night (0-5)</v>
      </c>
    </row>
    <row r="4468" spans="1:9">
      <c r="A4468" s="32">
        <v>42008</v>
      </c>
      <c r="B4468">
        <v>3</v>
      </c>
      <c r="C4468">
        <v>1110</v>
      </c>
      <c r="D4468" t="s">
        <v>304</v>
      </c>
      <c r="E4468">
        <f>YEAR(A4468)</f>
        <v>2015</v>
      </c>
      <c r="F4468" s="33">
        <f>DATE(YEAR(A4468),MONTH(A4468),1)</f>
        <v>42005.0</v>
      </c>
      <c r="G4468" t="str">
        <f>CHOOSE(WEEKDAY(A4468,2),"Mon","Tue","Wed","Thu","Fri","Sat","Sun")</f>
        <v>Sun</v>
      </c>
      <c r="H4468" t="str">
        <f>IF(WEEKDAY(A4468,2)&gt;5,"Weekend","Weekday")</f>
        <v>Weekend</v>
      </c>
      <c r="I4468" t="str">
        <f>_xlfn.IFS(B4468&lt;=5,"Night (0-5)",B4468&lt;=9,"Morning peak (6-9)",B4468&lt;=15,"Midday (10-15)",B4468&lt;=19,"Evening peak (16-19)",TRUE,"Late evening (20-23)")</f>
        <v>Night (0-5)</v>
      </c>
    </row>
    <row r="4469" spans="1:9">
      <c r="A4469" s="32">
        <v>42008</v>
      </c>
      <c r="B4469">
        <v>4</v>
      </c>
      <c r="C4469">
        <v>713</v>
      </c>
      <c r="D4469" t="s">
        <v>304</v>
      </c>
      <c r="E4469">
        <f>YEAR(A4469)</f>
        <v>2015</v>
      </c>
      <c r="F4469" s="33">
        <f>DATE(YEAR(A4469),MONTH(A4469),1)</f>
        <v>42005.0</v>
      </c>
      <c r="G4469" t="str">
        <f>CHOOSE(WEEKDAY(A4469,2),"Mon","Tue","Wed","Thu","Fri","Sat","Sun")</f>
        <v>Sun</v>
      </c>
      <c r="H4469" t="str">
        <f>IF(WEEKDAY(A4469,2)&gt;5,"Weekend","Weekday")</f>
        <v>Weekend</v>
      </c>
      <c r="I4469" t="str">
        <f>_xlfn.IFS(B4469&lt;=5,"Night (0-5)",B4469&lt;=9,"Morning peak (6-9)",B4469&lt;=15,"Midday (10-15)",B4469&lt;=19,"Evening peak (16-19)",TRUE,"Late evening (20-23)")</f>
        <v>Night (0-5)</v>
      </c>
    </row>
    <row r="4470" spans="1:9">
      <c r="A4470" s="32">
        <v>42008</v>
      </c>
      <c r="B4470">
        <v>5</v>
      </c>
      <c r="C4470">
        <v>565</v>
      </c>
      <c r="D4470" t="s">
        <v>304</v>
      </c>
      <c r="E4470">
        <f>YEAR(A4470)</f>
        <v>2015</v>
      </c>
      <c r="F4470" s="33">
        <f>DATE(YEAR(A4470),MONTH(A4470),1)</f>
        <v>42005.0</v>
      </c>
      <c r="G4470" t="str">
        <f>CHOOSE(WEEKDAY(A4470,2),"Mon","Tue","Wed","Thu","Fri","Sat","Sun")</f>
        <v>Sun</v>
      </c>
      <c r="H4470" t="str">
        <f>IF(WEEKDAY(A4470,2)&gt;5,"Weekend","Weekday")</f>
        <v>Weekend</v>
      </c>
      <c r="I4470" t="str">
        <f>_xlfn.IFS(B4470&lt;=5,"Night (0-5)",B4470&lt;=9,"Morning peak (6-9)",B4470&lt;=15,"Midday (10-15)",B4470&lt;=19,"Evening peak (16-19)",TRUE,"Late evening (20-23)")</f>
        <v>Night (0-5)</v>
      </c>
    </row>
    <row r="4471" spans="1:9">
      <c r="A4471" s="32">
        <v>42008</v>
      </c>
      <c r="B4471">
        <v>6</v>
      </c>
      <c r="C4471">
        <v>625</v>
      </c>
      <c r="D4471" t="s">
        <v>304</v>
      </c>
      <c r="E4471">
        <f>YEAR(A4471)</f>
        <v>2015</v>
      </c>
      <c r="F4471" s="33">
        <f>DATE(YEAR(A4471),MONTH(A4471),1)</f>
        <v>42005.0</v>
      </c>
      <c r="G4471" t="str">
        <f>CHOOSE(WEEKDAY(A4471,2),"Mon","Tue","Wed","Thu","Fri","Sat","Sun")</f>
        <v>Sun</v>
      </c>
      <c r="H4471" t="str">
        <f>IF(WEEKDAY(A4471,2)&gt;5,"Weekend","Weekday")</f>
        <v>Weekend</v>
      </c>
      <c r="I4471" t="str">
        <f>_xlfn.IFS(B4471&lt;=5,"Night (0-5)",B4471&lt;=9,"Morning peak (6-9)",B4471&lt;=15,"Midday (10-15)",B4471&lt;=19,"Evening peak (16-19)",TRUE,"Late evening (20-23)")</f>
        <v>Morning peak (6-9)</v>
      </c>
    </row>
    <row r="4472" spans="1:9">
      <c r="A4472" s="32">
        <v>42008</v>
      </c>
      <c r="B4472">
        <v>7</v>
      </c>
      <c r="C4472">
        <v>609</v>
      </c>
      <c r="D4472" t="s">
        <v>304</v>
      </c>
      <c r="E4472">
        <f>YEAR(A4472)</f>
        <v>2015</v>
      </c>
      <c r="F4472" s="33">
        <f>DATE(YEAR(A4472),MONTH(A4472),1)</f>
        <v>42005.0</v>
      </c>
      <c r="G4472" t="str">
        <f>CHOOSE(WEEKDAY(A4472,2),"Mon","Tue","Wed","Thu","Fri","Sat","Sun")</f>
        <v>Sun</v>
      </c>
      <c r="H4472" t="str">
        <f>IF(WEEKDAY(A4472,2)&gt;5,"Weekend","Weekday")</f>
        <v>Weekend</v>
      </c>
      <c r="I4472" t="str">
        <f>_xlfn.IFS(B4472&lt;=5,"Night (0-5)",B4472&lt;=9,"Morning peak (6-9)",B4472&lt;=15,"Midday (10-15)",B4472&lt;=19,"Evening peak (16-19)",TRUE,"Late evening (20-23)")</f>
        <v>Morning peak (6-9)</v>
      </c>
    </row>
    <row r="4473" spans="1:9">
      <c r="A4473" s="32">
        <v>42008</v>
      </c>
      <c r="B4473">
        <v>8</v>
      </c>
      <c r="C4473">
        <v>765</v>
      </c>
      <c r="D4473" t="s">
        <v>304</v>
      </c>
      <c r="E4473">
        <f>YEAR(A4473)</f>
        <v>2015</v>
      </c>
      <c r="F4473" s="33">
        <f>DATE(YEAR(A4473),MONTH(A4473),1)</f>
        <v>42005.0</v>
      </c>
      <c r="G4473" t="str">
        <f>CHOOSE(WEEKDAY(A4473,2),"Mon","Tue","Wed","Thu","Fri","Sat","Sun")</f>
        <v>Sun</v>
      </c>
      <c r="H4473" t="str">
        <f>IF(WEEKDAY(A4473,2)&gt;5,"Weekend","Weekday")</f>
        <v>Weekend</v>
      </c>
      <c r="I4473" t="str">
        <f>_xlfn.IFS(B4473&lt;=5,"Night (0-5)",B4473&lt;=9,"Morning peak (6-9)",B4473&lt;=15,"Midday (10-15)",B4473&lt;=19,"Evening peak (16-19)",TRUE,"Late evening (20-23)")</f>
        <v>Morning peak (6-9)</v>
      </c>
    </row>
    <row r="4474" spans="1:9">
      <c r="A4474" s="32">
        <v>42008</v>
      </c>
      <c r="B4474">
        <v>9</v>
      </c>
      <c r="C4474">
        <v>1092</v>
      </c>
      <c r="D4474" t="s">
        <v>304</v>
      </c>
      <c r="E4474">
        <f>YEAR(A4474)</f>
        <v>2015</v>
      </c>
      <c r="F4474" s="33">
        <f>DATE(YEAR(A4474),MONTH(A4474),1)</f>
        <v>42005.0</v>
      </c>
      <c r="G4474" t="str">
        <f>CHOOSE(WEEKDAY(A4474,2),"Mon","Tue","Wed","Thu","Fri","Sat","Sun")</f>
        <v>Sun</v>
      </c>
      <c r="H4474" t="str">
        <f>IF(WEEKDAY(A4474,2)&gt;5,"Weekend","Weekday")</f>
        <v>Weekend</v>
      </c>
      <c r="I4474" t="str">
        <f>_xlfn.IFS(B4474&lt;=5,"Night (0-5)",B4474&lt;=9,"Morning peak (6-9)",B4474&lt;=15,"Midday (10-15)",B4474&lt;=19,"Evening peak (16-19)",TRUE,"Late evening (20-23)")</f>
        <v>Morning peak (6-9)</v>
      </c>
    </row>
    <row r="4475" spans="1:9">
      <c r="A4475" s="32">
        <v>42008</v>
      </c>
      <c r="B4475">
        <v>10</v>
      </c>
      <c r="C4475">
        <v>1517</v>
      </c>
      <c r="D4475" t="s">
        <v>304</v>
      </c>
      <c r="E4475">
        <f>YEAR(A4475)</f>
        <v>2015</v>
      </c>
      <c r="F4475" s="33">
        <f>DATE(YEAR(A4475),MONTH(A4475),1)</f>
        <v>42005.0</v>
      </c>
      <c r="G4475" t="str">
        <f>CHOOSE(WEEKDAY(A4475,2),"Mon","Tue","Wed","Thu","Fri","Sat","Sun")</f>
        <v>Sun</v>
      </c>
      <c r="H4475" t="str">
        <f>IF(WEEKDAY(A4475,2)&gt;5,"Weekend","Weekday")</f>
        <v>Weekend</v>
      </c>
      <c r="I4475" t="str">
        <f>_xlfn.IFS(B4475&lt;=5,"Night (0-5)",B4475&lt;=9,"Morning peak (6-9)",B4475&lt;=15,"Midday (10-15)",B4475&lt;=19,"Evening peak (16-19)",TRUE,"Late evening (20-23)")</f>
        <v>Midday (10-15)</v>
      </c>
    </row>
    <row r="4476" spans="1:9">
      <c r="A4476" s="32">
        <v>42008</v>
      </c>
      <c r="B4476">
        <v>11</v>
      </c>
      <c r="C4476">
        <v>1884</v>
      </c>
      <c r="D4476" t="s">
        <v>304</v>
      </c>
      <c r="E4476">
        <f>YEAR(A4476)</f>
        <v>2015</v>
      </c>
      <c r="F4476" s="33">
        <f>DATE(YEAR(A4476),MONTH(A4476),1)</f>
        <v>42005.0</v>
      </c>
      <c r="G4476" t="str">
        <f>CHOOSE(WEEKDAY(A4476,2),"Mon","Tue","Wed","Thu","Fri","Sat","Sun")</f>
        <v>Sun</v>
      </c>
      <c r="H4476" t="str">
        <f>IF(WEEKDAY(A4476,2)&gt;5,"Weekend","Weekday")</f>
        <v>Weekend</v>
      </c>
      <c r="I4476" t="str">
        <f>_xlfn.IFS(B4476&lt;=5,"Night (0-5)",B4476&lt;=9,"Morning peak (6-9)",B4476&lt;=15,"Midday (10-15)",B4476&lt;=19,"Evening peak (16-19)",TRUE,"Late evening (20-23)")</f>
        <v>Midday (10-15)</v>
      </c>
    </row>
    <row r="4477" spans="1:9">
      <c r="A4477" s="32">
        <v>42008</v>
      </c>
      <c r="B4477">
        <v>12</v>
      </c>
      <c r="C4477">
        <v>2005</v>
      </c>
      <c r="D4477" t="s">
        <v>304</v>
      </c>
      <c r="E4477">
        <f>YEAR(A4477)</f>
        <v>2015</v>
      </c>
      <c r="F4477" s="33">
        <f>DATE(YEAR(A4477),MONTH(A4477),1)</f>
        <v>42005.0</v>
      </c>
      <c r="G4477" t="str">
        <f>CHOOSE(WEEKDAY(A4477,2),"Mon","Tue","Wed","Thu","Fri","Sat","Sun")</f>
        <v>Sun</v>
      </c>
      <c r="H4477" t="str">
        <f>IF(WEEKDAY(A4477,2)&gt;5,"Weekend","Weekday")</f>
        <v>Weekend</v>
      </c>
      <c r="I4477" t="str">
        <f>_xlfn.IFS(B4477&lt;=5,"Night (0-5)",B4477&lt;=9,"Morning peak (6-9)",B4477&lt;=15,"Midday (10-15)",B4477&lt;=19,"Evening peak (16-19)",TRUE,"Late evening (20-23)")</f>
        <v>Midday (10-15)</v>
      </c>
    </row>
    <row r="4478" spans="1:9">
      <c r="A4478" s="32">
        <v>42008</v>
      </c>
      <c r="B4478">
        <v>13</v>
      </c>
      <c r="C4478">
        <v>2096</v>
      </c>
      <c r="D4478" t="s">
        <v>304</v>
      </c>
      <c r="E4478">
        <f>YEAR(A4478)</f>
        <v>2015</v>
      </c>
      <c r="F4478" s="33">
        <f>DATE(YEAR(A4478),MONTH(A4478),1)</f>
        <v>42005.0</v>
      </c>
      <c r="G4478" t="str">
        <f>CHOOSE(WEEKDAY(A4478,2),"Mon","Tue","Wed","Thu","Fri","Sat","Sun")</f>
        <v>Sun</v>
      </c>
      <c r="H4478" t="str">
        <f>IF(WEEKDAY(A4478,2)&gt;5,"Weekend","Weekday")</f>
        <v>Weekend</v>
      </c>
      <c r="I4478" t="str">
        <f>_xlfn.IFS(B4478&lt;=5,"Night (0-5)",B4478&lt;=9,"Morning peak (6-9)",B4478&lt;=15,"Midday (10-15)",B4478&lt;=19,"Evening peak (16-19)",TRUE,"Late evening (20-23)")</f>
        <v>Midday (10-15)</v>
      </c>
    </row>
    <row r="4479" spans="1:9">
      <c r="A4479" s="32">
        <v>42008</v>
      </c>
      <c r="B4479">
        <v>14</v>
      </c>
      <c r="C4479">
        <v>2203</v>
      </c>
      <c r="D4479" t="s">
        <v>304</v>
      </c>
      <c r="E4479">
        <f>YEAR(A4479)</f>
        <v>2015</v>
      </c>
      <c r="F4479" s="33">
        <f>DATE(YEAR(A4479),MONTH(A4479),1)</f>
        <v>42005.0</v>
      </c>
      <c r="G4479" t="str">
        <f>CHOOSE(WEEKDAY(A4479,2),"Mon","Tue","Wed","Thu","Fri","Sat","Sun")</f>
        <v>Sun</v>
      </c>
      <c r="H4479" t="str">
        <f>IF(WEEKDAY(A4479,2)&gt;5,"Weekend","Weekday")</f>
        <v>Weekend</v>
      </c>
      <c r="I4479" t="str">
        <f>_xlfn.IFS(B4479&lt;=5,"Night (0-5)",B4479&lt;=9,"Morning peak (6-9)",B4479&lt;=15,"Midday (10-15)",B4479&lt;=19,"Evening peak (16-19)",TRUE,"Late evening (20-23)")</f>
        <v>Midday (10-15)</v>
      </c>
    </row>
    <row r="4480" spans="1:9">
      <c r="A4480" s="32">
        <v>42008</v>
      </c>
      <c r="B4480">
        <v>15</v>
      </c>
      <c r="C4480">
        <v>2124</v>
      </c>
      <c r="D4480" t="s">
        <v>304</v>
      </c>
      <c r="E4480">
        <f>YEAR(A4480)</f>
        <v>2015</v>
      </c>
      <c r="F4480" s="33">
        <f>DATE(YEAR(A4480),MONTH(A4480),1)</f>
        <v>42005.0</v>
      </c>
      <c r="G4480" t="str">
        <f>CHOOSE(WEEKDAY(A4480,2),"Mon","Tue","Wed","Thu","Fri","Sat","Sun")</f>
        <v>Sun</v>
      </c>
      <c r="H4480" t="str">
        <f>IF(WEEKDAY(A4480,2)&gt;5,"Weekend","Weekday")</f>
        <v>Weekend</v>
      </c>
      <c r="I4480" t="str">
        <f>_xlfn.IFS(B4480&lt;=5,"Night (0-5)",B4480&lt;=9,"Morning peak (6-9)",B4480&lt;=15,"Midday (10-15)",B4480&lt;=19,"Evening peak (16-19)",TRUE,"Late evening (20-23)")</f>
        <v>Midday (10-15)</v>
      </c>
    </row>
    <row r="4481" spans="1:9">
      <c r="A4481" s="32">
        <v>42008</v>
      </c>
      <c r="B4481">
        <v>16</v>
      </c>
      <c r="C4481">
        <v>2471</v>
      </c>
      <c r="D4481" t="s">
        <v>304</v>
      </c>
      <c r="E4481">
        <f>YEAR(A4481)</f>
        <v>2015</v>
      </c>
      <c r="F4481" s="33">
        <f>DATE(YEAR(A4481),MONTH(A4481),1)</f>
        <v>42005.0</v>
      </c>
      <c r="G4481" t="str">
        <f>CHOOSE(WEEKDAY(A4481,2),"Mon","Tue","Wed","Thu","Fri","Sat","Sun")</f>
        <v>Sun</v>
      </c>
      <c r="H4481" t="str">
        <f>IF(WEEKDAY(A4481,2)&gt;5,"Weekend","Weekday")</f>
        <v>Weekend</v>
      </c>
      <c r="I4481" t="str">
        <f>_xlfn.IFS(B4481&lt;=5,"Night (0-5)",B4481&lt;=9,"Morning peak (6-9)",B4481&lt;=15,"Midday (10-15)",B4481&lt;=19,"Evening peak (16-19)",TRUE,"Late evening (20-23)")</f>
        <v>Evening peak (16-19)</v>
      </c>
    </row>
    <row r="4482" spans="1:9">
      <c r="A4482" s="32">
        <v>42008</v>
      </c>
      <c r="B4482">
        <v>17</v>
      </c>
      <c r="C4482">
        <v>2439</v>
      </c>
      <c r="D4482" t="s">
        <v>304</v>
      </c>
      <c r="E4482">
        <f>YEAR(A4482)</f>
        <v>2015</v>
      </c>
      <c r="F4482" s="33">
        <f>DATE(YEAR(A4482),MONTH(A4482),1)</f>
        <v>42005.0</v>
      </c>
      <c r="G4482" t="str">
        <f>CHOOSE(WEEKDAY(A4482,2),"Mon","Tue","Wed","Thu","Fri","Sat","Sun")</f>
        <v>Sun</v>
      </c>
      <c r="H4482" t="str">
        <f>IF(WEEKDAY(A4482,2)&gt;5,"Weekend","Weekday")</f>
        <v>Weekend</v>
      </c>
      <c r="I4482" t="str">
        <f>_xlfn.IFS(B4482&lt;=5,"Night (0-5)",B4482&lt;=9,"Morning peak (6-9)",B4482&lt;=15,"Midday (10-15)",B4482&lt;=19,"Evening peak (16-19)",TRUE,"Late evening (20-23)")</f>
        <v>Evening peak (16-19)</v>
      </c>
    </row>
    <row r="4483" spans="1:9">
      <c r="A4483" s="32">
        <v>42008</v>
      </c>
      <c r="B4483">
        <v>18</v>
      </c>
      <c r="C4483">
        <v>2459</v>
      </c>
      <c r="D4483" t="s">
        <v>304</v>
      </c>
      <c r="E4483">
        <f>YEAR(A4483)</f>
        <v>2015</v>
      </c>
      <c r="F4483" s="33">
        <f>DATE(YEAR(A4483),MONTH(A4483),1)</f>
        <v>42005.0</v>
      </c>
      <c r="G4483" t="str">
        <f>CHOOSE(WEEKDAY(A4483,2),"Mon","Tue","Wed","Thu","Fri","Sat","Sun")</f>
        <v>Sun</v>
      </c>
      <c r="H4483" t="str">
        <f>IF(WEEKDAY(A4483,2)&gt;5,"Weekend","Weekday")</f>
        <v>Weekend</v>
      </c>
      <c r="I4483" t="str">
        <f>_xlfn.IFS(B4483&lt;=5,"Night (0-5)",B4483&lt;=9,"Morning peak (6-9)",B4483&lt;=15,"Midday (10-15)",B4483&lt;=19,"Evening peak (16-19)",TRUE,"Late evening (20-23)")</f>
        <v>Evening peak (16-19)</v>
      </c>
    </row>
    <row r="4484" spans="1:9">
      <c r="A4484" s="32">
        <v>42008</v>
      </c>
      <c r="B4484">
        <v>19</v>
      </c>
      <c r="C4484">
        <v>2442</v>
      </c>
      <c r="D4484" t="s">
        <v>304</v>
      </c>
      <c r="E4484">
        <f>YEAR(A4484)</f>
        <v>2015</v>
      </c>
      <c r="F4484" s="33">
        <f>DATE(YEAR(A4484),MONTH(A4484),1)</f>
        <v>42005.0</v>
      </c>
      <c r="G4484" t="str">
        <f>CHOOSE(WEEKDAY(A4484,2),"Mon","Tue","Wed","Thu","Fri","Sat","Sun")</f>
        <v>Sun</v>
      </c>
      <c r="H4484" t="str">
        <f>IF(WEEKDAY(A4484,2)&gt;5,"Weekend","Weekday")</f>
        <v>Weekend</v>
      </c>
      <c r="I4484" t="str">
        <f>_xlfn.IFS(B4484&lt;=5,"Night (0-5)",B4484&lt;=9,"Morning peak (6-9)",B4484&lt;=15,"Midday (10-15)",B4484&lt;=19,"Evening peak (16-19)",TRUE,"Late evening (20-23)")</f>
        <v>Evening peak (16-19)</v>
      </c>
    </row>
    <row r="4485" spans="1:9">
      <c r="A4485" s="32">
        <v>42008</v>
      </c>
      <c r="B4485">
        <v>20</v>
      </c>
      <c r="C4485">
        <v>2408</v>
      </c>
      <c r="D4485" t="s">
        <v>304</v>
      </c>
      <c r="E4485">
        <f>YEAR(A4485)</f>
        <v>2015</v>
      </c>
      <c r="F4485" s="33">
        <f>DATE(YEAR(A4485),MONTH(A4485),1)</f>
        <v>42005.0</v>
      </c>
      <c r="G4485" t="str">
        <f>CHOOSE(WEEKDAY(A4485,2),"Mon","Tue","Wed","Thu","Fri","Sat","Sun")</f>
        <v>Sun</v>
      </c>
      <c r="H4485" t="str">
        <f>IF(WEEKDAY(A4485,2)&gt;5,"Weekend","Weekday")</f>
        <v>Weekend</v>
      </c>
      <c r="I4485" t="str">
        <f>_xlfn.IFS(B4485&lt;=5,"Night (0-5)",B4485&lt;=9,"Morning peak (6-9)",B4485&lt;=15,"Midday (10-15)",B4485&lt;=19,"Evening peak (16-19)",TRUE,"Late evening (20-23)")</f>
        <v>Late evening (20-23)</v>
      </c>
    </row>
    <row r="4486" spans="1:9">
      <c r="A4486" s="32">
        <v>42008</v>
      </c>
      <c r="B4486">
        <v>21</v>
      </c>
      <c r="C4486">
        <v>1948</v>
      </c>
      <c r="D4486" t="s">
        <v>304</v>
      </c>
      <c r="E4486">
        <f>YEAR(A4486)</f>
        <v>2015</v>
      </c>
      <c r="F4486" s="33">
        <f>DATE(YEAR(A4486),MONTH(A4486),1)</f>
        <v>42005.0</v>
      </c>
      <c r="G4486" t="str">
        <f>CHOOSE(WEEKDAY(A4486,2),"Mon","Tue","Wed","Thu","Fri","Sat","Sun")</f>
        <v>Sun</v>
      </c>
      <c r="H4486" t="str">
        <f>IF(WEEKDAY(A4486,2)&gt;5,"Weekend","Weekday")</f>
        <v>Weekend</v>
      </c>
      <c r="I4486" t="str">
        <f>_xlfn.IFS(B4486&lt;=5,"Night (0-5)",B4486&lt;=9,"Morning peak (6-9)",B4486&lt;=15,"Midday (10-15)",B4486&lt;=19,"Evening peak (16-19)",TRUE,"Late evening (20-23)")</f>
        <v>Late evening (20-23)</v>
      </c>
    </row>
    <row r="4487" spans="1:9">
      <c r="A4487" s="32">
        <v>42008</v>
      </c>
      <c r="B4487">
        <v>22</v>
      </c>
      <c r="C4487">
        <v>1787</v>
      </c>
      <c r="D4487" t="s">
        <v>304</v>
      </c>
      <c r="E4487">
        <f>YEAR(A4487)</f>
        <v>2015</v>
      </c>
      <c r="F4487" s="33">
        <f>DATE(YEAR(A4487),MONTH(A4487),1)</f>
        <v>42005.0</v>
      </c>
      <c r="G4487" t="str">
        <f>CHOOSE(WEEKDAY(A4487,2),"Mon","Tue","Wed","Thu","Fri","Sat","Sun")</f>
        <v>Sun</v>
      </c>
      <c r="H4487" t="str">
        <f>IF(WEEKDAY(A4487,2)&gt;5,"Weekend","Weekday")</f>
        <v>Weekend</v>
      </c>
      <c r="I4487" t="str">
        <f>_xlfn.IFS(B4487&lt;=5,"Night (0-5)",B4487&lt;=9,"Morning peak (6-9)",B4487&lt;=15,"Midday (10-15)",B4487&lt;=19,"Evening peak (16-19)",TRUE,"Late evening (20-23)")</f>
        <v>Late evening (20-23)</v>
      </c>
    </row>
    <row r="4488" spans="1:9">
      <c r="A4488" s="32">
        <v>42008</v>
      </c>
      <c r="B4488">
        <v>23</v>
      </c>
      <c r="C4488">
        <v>1443</v>
      </c>
      <c r="D4488" t="s">
        <v>304</v>
      </c>
      <c r="E4488">
        <f>YEAR(A4488)</f>
        <v>2015</v>
      </c>
      <c r="F4488" s="33">
        <f>DATE(YEAR(A4488),MONTH(A4488),1)</f>
        <v>42005.0</v>
      </c>
      <c r="G4488" t="str">
        <f>CHOOSE(WEEKDAY(A4488,2),"Mon","Tue","Wed","Thu","Fri","Sat","Sun")</f>
        <v>Sun</v>
      </c>
      <c r="H4488" t="str">
        <f>IF(WEEKDAY(A4488,2)&gt;5,"Weekend","Weekday")</f>
        <v>Weekend</v>
      </c>
      <c r="I4488" t="str">
        <f>_xlfn.IFS(B4488&lt;=5,"Night (0-5)",B4488&lt;=9,"Morning peak (6-9)",B4488&lt;=15,"Midday (10-15)",B4488&lt;=19,"Evening peak (16-19)",TRUE,"Late evening (20-23)")</f>
        <v>Late evening (20-23)</v>
      </c>
    </row>
    <row r="4489" spans="1:9">
      <c r="A4489" s="32">
        <v>42009</v>
      </c>
      <c r="B4489">
        <v>0</v>
      </c>
      <c r="C4489">
        <v>1053</v>
      </c>
      <c r="D4489" t="s">
        <v>304</v>
      </c>
      <c r="E4489">
        <f>YEAR(A4489)</f>
        <v>2015</v>
      </c>
      <c r="F4489" s="33">
        <f>DATE(YEAR(A4489),MONTH(A4489),1)</f>
        <v>42005.0</v>
      </c>
      <c r="G4489" t="str">
        <f>CHOOSE(WEEKDAY(A4489,2),"Mon","Tue","Wed","Thu","Fri","Sat","Sun")</f>
        <v>Mon</v>
      </c>
      <c r="H4489" t="str">
        <f>IF(WEEKDAY(A4489,2)&gt;5,"Weekend","Weekday")</f>
        <v>Weekday</v>
      </c>
      <c r="I4489" t="str">
        <f>_xlfn.IFS(B4489&lt;=5,"Night (0-5)",B4489&lt;=9,"Morning peak (6-9)",B4489&lt;=15,"Midday (10-15)",B4489&lt;=19,"Evening peak (16-19)",TRUE,"Late evening (20-23)")</f>
        <v>Night (0-5)</v>
      </c>
    </row>
    <row r="4490" spans="1:9">
      <c r="A4490" s="32">
        <v>42009</v>
      </c>
      <c r="B4490">
        <v>1</v>
      </c>
      <c r="C4490">
        <v>648</v>
      </c>
      <c r="D4490" t="s">
        <v>304</v>
      </c>
      <c r="E4490">
        <f>YEAR(A4490)</f>
        <v>2015</v>
      </c>
      <c r="F4490" s="33">
        <f>DATE(YEAR(A4490),MONTH(A4490),1)</f>
        <v>42005.0</v>
      </c>
      <c r="G4490" t="str">
        <f>CHOOSE(WEEKDAY(A4490,2),"Mon","Tue","Wed","Thu","Fri","Sat","Sun")</f>
        <v>Mon</v>
      </c>
      <c r="H4490" t="str">
        <f>IF(WEEKDAY(A4490,2)&gt;5,"Weekend","Weekday")</f>
        <v>Weekday</v>
      </c>
      <c r="I4490" t="str">
        <f>_xlfn.IFS(B4490&lt;=5,"Night (0-5)",B4490&lt;=9,"Morning peak (6-9)",B4490&lt;=15,"Midday (10-15)",B4490&lt;=19,"Evening peak (16-19)",TRUE,"Late evening (20-23)")</f>
        <v>Night (0-5)</v>
      </c>
    </row>
    <row r="4491" spans="1:9">
      <c r="A4491" s="32">
        <v>42009</v>
      </c>
      <c r="B4491">
        <v>2</v>
      </c>
      <c r="C4491">
        <v>283</v>
      </c>
      <c r="D4491" t="s">
        <v>304</v>
      </c>
      <c r="E4491">
        <f>YEAR(A4491)</f>
        <v>2015</v>
      </c>
      <c r="F4491" s="33">
        <f>DATE(YEAR(A4491),MONTH(A4491),1)</f>
        <v>42005.0</v>
      </c>
      <c r="G4491" t="str">
        <f>CHOOSE(WEEKDAY(A4491,2),"Mon","Tue","Wed","Thu","Fri","Sat","Sun")</f>
        <v>Mon</v>
      </c>
      <c r="H4491" t="str">
        <f>IF(WEEKDAY(A4491,2)&gt;5,"Weekend","Weekday")</f>
        <v>Weekday</v>
      </c>
      <c r="I4491" t="str">
        <f>_xlfn.IFS(B4491&lt;=5,"Night (0-5)",B4491&lt;=9,"Morning peak (6-9)",B4491&lt;=15,"Midday (10-15)",B4491&lt;=19,"Evening peak (16-19)",TRUE,"Late evening (20-23)")</f>
        <v>Night (0-5)</v>
      </c>
    </row>
    <row r="4492" spans="1:9">
      <c r="A4492" s="32">
        <v>42009</v>
      </c>
      <c r="B4492">
        <v>3</v>
      </c>
      <c r="C4492">
        <v>217</v>
      </c>
      <c r="D4492" t="s">
        <v>304</v>
      </c>
      <c r="E4492">
        <f>YEAR(A4492)</f>
        <v>2015</v>
      </c>
      <c r="F4492" s="33">
        <f>DATE(YEAR(A4492),MONTH(A4492),1)</f>
        <v>42005.0</v>
      </c>
      <c r="G4492" t="str">
        <f>CHOOSE(WEEKDAY(A4492,2),"Mon","Tue","Wed","Thu","Fri","Sat","Sun")</f>
        <v>Mon</v>
      </c>
      <c r="H4492" t="str">
        <f>IF(WEEKDAY(A4492,2)&gt;5,"Weekend","Weekday")</f>
        <v>Weekday</v>
      </c>
      <c r="I4492" t="str">
        <f>_xlfn.IFS(B4492&lt;=5,"Night (0-5)",B4492&lt;=9,"Morning peak (6-9)",B4492&lt;=15,"Midday (10-15)",B4492&lt;=19,"Evening peak (16-19)",TRUE,"Late evening (20-23)")</f>
        <v>Night (0-5)</v>
      </c>
    </row>
    <row r="4493" spans="1:9">
      <c r="A4493" s="32">
        <v>42009</v>
      </c>
      <c r="B4493">
        <v>4</v>
      </c>
      <c r="C4493">
        <v>500</v>
      </c>
      <c r="D4493" t="s">
        <v>304</v>
      </c>
      <c r="E4493">
        <f>YEAR(A4493)</f>
        <v>2015</v>
      </c>
      <c r="F4493" s="33">
        <f>DATE(YEAR(A4493),MONTH(A4493),1)</f>
        <v>42005.0</v>
      </c>
      <c r="G4493" t="str">
        <f>CHOOSE(WEEKDAY(A4493,2),"Mon","Tue","Wed","Thu","Fri","Sat","Sun")</f>
        <v>Mon</v>
      </c>
      <c r="H4493" t="str">
        <f>IF(WEEKDAY(A4493,2)&gt;5,"Weekend","Weekday")</f>
        <v>Weekday</v>
      </c>
      <c r="I4493" t="str">
        <f>_xlfn.IFS(B4493&lt;=5,"Night (0-5)",B4493&lt;=9,"Morning peak (6-9)",B4493&lt;=15,"Midday (10-15)",B4493&lt;=19,"Evening peak (16-19)",TRUE,"Late evening (20-23)")</f>
        <v>Night (0-5)</v>
      </c>
    </row>
    <row r="4494" spans="1:9">
      <c r="A4494" s="32">
        <v>42009</v>
      </c>
      <c r="B4494">
        <v>5</v>
      </c>
      <c r="C4494">
        <v>883</v>
      </c>
      <c r="D4494" t="s">
        <v>304</v>
      </c>
      <c r="E4494">
        <f>YEAR(A4494)</f>
        <v>2015</v>
      </c>
      <c r="F4494" s="33">
        <f>DATE(YEAR(A4494),MONTH(A4494),1)</f>
        <v>42005.0</v>
      </c>
      <c r="G4494" t="str">
        <f>CHOOSE(WEEKDAY(A4494,2),"Mon","Tue","Wed","Thu","Fri","Sat","Sun")</f>
        <v>Mon</v>
      </c>
      <c r="H4494" t="str">
        <f>IF(WEEKDAY(A4494,2)&gt;5,"Weekend","Weekday")</f>
        <v>Weekday</v>
      </c>
      <c r="I4494" t="str">
        <f>_xlfn.IFS(B4494&lt;=5,"Night (0-5)",B4494&lt;=9,"Morning peak (6-9)",B4494&lt;=15,"Midday (10-15)",B4494&lt;=19,"Evening peak (16-19)",TRUE,"Late evening (20-23)")</f>
        <v>Night (0-5)</v>
      </c>
    </row>
    <row r="4495" spans="1:9">
      <c r="A4495" s="32">
        <v>42009</v>
      </c>
      <c r="B4495">
        <v>6</v>
      </c>
      <c r="C4495">
        <v>1493</v>
      </c>
      <c r="D4495" t="s">
        <v>304</v>
      </c>
      <c r="E4495">
        <f>YEAR(A4495)</f>
        <v>2015</v>
      </c>
      <c r="F4495" s="33">
        <f>DATE(YEAR(A4495),MONTH(A4495),1)</f>
        <v>42005.0</v>
      </c>
      <c r="G4495" t="str">
        <f>CHOOSE(WEEKDAY(A4495,2),"Mon","Tue","Wed","Thu","Fri","Sat","Sun")</f>
        <v>Mon</v>
      </c>
      <c r="H4495" t="str">
        <f>IF(WEEKDAY(A4495,2)&gt;5,"Weekend","Weekday")</f>
        <v>Weekday</v>
      </c>
      <c r="I4495" t="str">
        <f>_xlfn.IFS(B4495&lt;=5,"Night (0-5)",B4495&lt;=9,"Morning peak (6-9)",B4495&lt;=15,"Midday (10-15)",B4495&lt;=19,"Evening peak (16-19)",TRUE,"Late evening (20-23)")</f>
        <v>Morning peak (6-9)</v>
      </c>
    </row>
    <row r="4496" spans="1:9">
      <c r="A4496" s="32">
        <v>42009</v>
      </c>
      <c r="B4496">
        <v>7</v>
      </c>
      <c r="C4496">
        <v>2306</v>
      </c>
      <c r="D4496" t="s">
        <v>304</v>
      </c>
      <c r="E4496">
        <f>YEAR(A4496)</f>
        <v>2015</v>
      </c>
      <c r="F4496" s="33">
        <f>DATE(YEAR(A4496),MONTH(A4496),1)</f>
        <v>42005.0</v>
      </c>
      <c r="G4496" t="str">
        <f>CHOOSE(WEEKDAY(A4496,2),"Mon","Tue","Wed","Thu","Fri","Sat","Sun")</f>
        <v>Mon</v>
      </c>
      <c r="H4496" t="str">
        <f>IF(WEEKDAY(A4496,2)&gt;5,"Weekend","Weekday")</f>
        <v>Weekday</v>
      </c>
      <c r="I4496" t="str">
        <f>_xlfn.IFS(B4496&lt;=5,"Night (0-5)",B4496&lt;=9,"Morning peak (6-9)",B4496&lt;=15,"Midday (10-15)",B4496&lt;=19,"Evening peak (16-19)",TRUE,"Late evening (20-23)")</f>
        <v>Morning peak (6-9)</v>
      </c>
    </row>
    <row r="4497" spans="1:9">
      <c r="A4497" s="32">
        <v>42009</v>
      </c>
      <c r="B4497">
        <v>8</v>
      </c>
      <c r="C4497">
        <v>2921</v>
      </c>
      <c r="D4497" t="s">
        <v>304</v>
      </c>
      <c r="E4497">
        <f>YEAR(A4497)</f>
        <v>2015</v>
      </c>
      <c r="F4497" s="33">
        <f>DATE(YEAR(A4497),MONTH(A4497),1)</f>
        <v>42005.0</v>
      </c>
      <c r="G4497" t="str">
        <f>CHOOSE(WEEKDAY(A4497,2),"Mon","Tue","Wed","Thu","Fri","Sat","Sun")</f>
        <v>Mon</v>
      </c>
      <c r="H4497" t="str">
        <f>IF(WEEKDAY(A4497,2)&gt;5,"Weekend","Weekday")</f>
        <v>Weekday</v>
      </c>
      <c r="I4497" t="str">
        <f>_xlfn.IFS(B4497&lt;=5,"Night (0-5)",B4497&lt;=9,"Morning peak (6-9)",B4497&lt;=15,"Midday (10-15)",B4497&lt;=19,"Evening peak (16-19)",TRUE,"Late evening (20-23)")</f>
        <v>Morning peak (6-9)</v>
      </c>
    </row>
    <row r="4498" spans="1:9">
      <c r="A4498" s="32">
        <v>42009</v>
      </c>
      <c r="B4498">
        <v>9</v>
      </c>
      <c r="C4498">
        <v>2178</v>
      </c>
      <c r="D4498" t="s">
        <v>304</v>
      </c>
      <c r="E4498">
        <f>YEAR(A4498)</f>
        <v>2015</v>
      </c>
      <c r="F4498" s="33">
        <f>DATE(YEAR(A4498),MONTH(A4498),1)</f>
        <v>42005.0</v>
      </c>
      <c r="G4498" t="str">
        <f>CHOOSE(WEEKDAY(A4498,2),"Mon","Tue","Wed","Thu","Fri","Sat","Sun")</f>
        <v>Mon</v>
      </c>
      <c r="H4498" t="str">
        <f>IF(WEEKDAY(A4498,2)&gt;5,"Weekend","Weekday")</f>
        <v>Weekday</v>
      </c>
      <c r="I4498" t="str">
        <f>_xlfn.IFS(B4498&lt;=5,"Night (0-5)",B4498&lt;=9,"Morning peak (6-9)",B4498&lt;=15,"Midday (10-15)",B4498&lt;=19,"Evening peak (16-19)",TRUE,"Late evening (20-23)")</f>
        <v>Morning peak (6-9)</v>
      </c>
    </row>
    <row r="4499" spans="1:9">
      <c r="A4499" s="32">
        <v>42009</v>
      </c>
      <c r="B4499">
        <v>10</v>
      </c>
      <c r="C4499">
        <v>1534</v>
      </c>
      <c r="D4499" t="s">
        <v>304</v>
      </c>
      <c r="E4499">
        <f>YEAR(A4499)</f>
        <v>2015</v>
      </c>
      <c r="F4499" s="33">
        <f>DATE(YEAR(A4499),MONTH(A4499),1)</f>
        <v>42005.0</v>
      </c>
      <c r="G4499" t="str">
        <f>CHOOSE(WEEKDAY(A4499,2),"Mon","Tue","Wed","Thu","Fri","Sat","Sun")</f>
        <v>Mon</v>
      </c>
      <c r="H4499" t="str">
        <f>IF(WEEKDAY(A4499,2)&gt;5,"Weekend","Weekday")</f>
        <v>Weekday</v>
      </c>
      <c r="I4499" t="str">
        <f>_xlfn.IFS(B4499&lt;=5,"Night (0-5)",B4499&lt;=9,"Morning peak (6-9)",B4499&lt;=15,"Midday (10-15)",B4499&lt;=19,"Evening peak (16-19)",TRUE,"Late evening (20-23)")</f>
        <v>Midday (10-15)</v>
      </c>
    </row>
    <row r="4500" spans="1:9">
      <c r="A4500" s="32">
        <v>42009</v>
      </c>
      <c r="B4500">
        <v>11</v>
      </c>
      <c r="C4500">
        <v>1426</v>
      </c>
      <c r="D4500" t="s">
        <v>304</v>
      </c>
      <c r="E4500">
        <f>YEAR(A4500)</f>
        <v>2015</v>
      </c>
      <c r="F4500" s="33">
        <f>DATE(YEAR(A4500),MONTH(A4500),1)</f>
        <v>42005.0</v>
      </c>
      <c r="G4500" t="str">
        <f>CHOOSE(WEEKDAY(A4500,2),"Mon","Tue","Wed","Thu","Fri","Sat","Sun")</f>
        <v>Mon</v>
      </c>
      <c r="H4500" t="str">
        <f>IF(WEEKDAY(A4500,2)&gt;5,"Weekend","Weekday")</f>
        <v>Weekday</v>
      </c>
      <c r="I4500" t="str">
        <f>_xlfn.IFS(B4500&lt;=5,"Night (0-5)",B4500&lt;=9,"Morning peak (6-9)",B4500&lt;=15,"Midday (10-15)",B4500&lt;=19,"Evening peak (16-19)",TRUE,"Late evening (20-23)")</f>
        <v>Midday (10-15)</v>
      </c>
    </row>
    <row r="4501" spans="1:9">
      <c r="A4501" s="32">
        <v>42009</v>
      </c>
      <c r="B4501">
        <v>12</v>
      </c>
      <c r="C4501">
        <v>1544</v>
      </c>
      <c r="D4501" t="s">
        <v>304</v>
      </c>
      <c r="E4501">
        <f>YEAR(A4501)</f>
        <v>2015</v>
      </c>
      <c r="F4501" s="33">
        <f>DATE(YEAR(A4501),MONTH(A4501),1)</f>
        <v>42005.0</v>
      </c>
      <c r="G4501" t="str">
        <f>CHOOSE(WEEKDAY(A4501,2),"Mon","Tue","Wed","Thu","Fri","Sat","Sun")</f>
        <v>Mon</v>
      </c>
      <c r="H4501" t="str">
        <f>IF(WEEKDAY(A4501,2)&gt;5,"Weekend","Weekday")</f>
        <v>Weekday</v>
      </c>
      <c r="I4501" t="str">
        <f>_xlfn.IFS(B4501&lt;=5,"Night (0-5)",B4501&lt;=9,"Morning peak (6-9)",B4501&lt;=15,"Midday (10-15)",B4501&lt;=19,"Evening peak (16-19)",TRUE,"Late evening (20-23)")</f>
        <v>Midday (10-15)</v>
      </c>
    </row>
    <row r="4502" spans="1:9">
      <c r="A4502" s="32">
        <v>42009</v>
      </c>
      <c r="B4502">
        <v>13</v>
      </c>
      <c r="C4502">
        <v>1468</v>
      </c>
      <c r="D4502" t="s">
        <v>304</v>
      </c>
      <c r="E4502">
        <f>YEAR(A4502)</f>
        <v>2015</v>
      </c>
      <c r="F4502" s="33">
        <f>DATE(YEAR(A4502),MONTH(A4502),1)</f>
        <v>42005.0</v>
      </c>
      <c r="G4502" t="str">
        <f>CHOOSE(WEEKDAY(A4502,2),"Mon","Tue","Wed","Thu","Fri","Sat","Sun")</f>
        <v>Mon</v>
      </c>
      <c r="H4502" t="str">
        <f>IF(WEEKDAY(A4502,2)&gt;5,"Weekend","Weekday")</f>
        <v>Weekday</v>
      </c>
      <c r="I4502" t="str">
        <f>_xlfn.IFS(B4502&lt;=5,"Night (0-5)",B4502&lt;=9,"Morning peak (6-9)",B4502&lt;=15,"Midday (10-15)",B4502&lt;=19,"Evening peak (16-19)",TRUE,"Late evening (20-23)")</f>
        <v>Midday (10-15)</v>
      </c>
    </row>
    <row r="4503" spans="1:9">
      <c r="A4503" s="32">
        <v>42009</v>
      </c>
      <c r="B4503">
        <v>14</v>
      </c>
      <c r="C4503">
        <v>1742</v>
      </c>
      <c r="D4503" t="s">
        <v>304</v>
      </c>
      <c r="E4503">
        <f>YEAR(A4503)</f>
        <v>2015</v>
      </c>
      <c r="F4503" s="33">
        <f>DATE(YEAR(A4503),MONTH(A4503),1)</f>
        <v>42005.0</v>
      </c>
      <c r="G4503" t="str">
        <f>CHOOSE(WEEKDAY(A4503,2),"Mon","Tue","Wed","Thu","Fri","Sat","Sun")</f>
        <v>Mon</v>
      </c>
      <c r="H4503" t="str">
        <f>IF(WEEKDAY(A4503,2)&gt;5,"Weekend","Weekday")</f>
        <v>Weekday</v>
      </c>
      <c r="I4503" t="str">
        <f>_xlfn.IFS(B4503&lt;=5,"Night (0-5)",B4503&lt;=9,"Morning peak (6-9)",B4503&lt;=15,"Midday (10-15)",B4503&lt;=19,"Evening peak (16-19)",TRUE,"Late evening (20-23)")</f>
        <v>Midday (10-15)</v>
      </c>
    </row>
    <row r="4504" spans="1:9">
      <c r="A4504" s="32">
        <v>42009</v>
      </c>
      <c r="B4504">
        <v>15</v>
      </c>
      <c r="C4504">
        <v>1938</v>
      </c>
      <c r="D4504" t="s">
        <v>304</v>
      </c>
      <c r="E4504">
        <f>YEAR(A4504)</f>
        <v>2015</v>
      </c>
      <c r="F4504" s="33">
        <f>DATE(YEAR(A4504),MONTH(A4504),1)</f>
        <v>42005.0</v>
      </c>
      <c r="G4504" t="str">
        <f>CHOOSE(WEEKDAY(A4504,2),"Mon","Tue","Wed","Thu","Fri","Sat","Sun")</f>
        <v>Mon</v>
      </c>
      <c r="H4504" t="str">
        <f>IF(WEEKDAY(A4504,2)&gt;5,"Weekend","Weekday")</f>
        <v>Weekday</v>
      </c>
      <c r="I4504" t="str">
        <f>_xlfn.IFS(B4504&lt;=5,"Night (0-5)",B4504&lt;=9,"Morning peak (6-9)",B4504&lt;=15,"Midday (10-15)",B4504&lt;=19,"Evening peak (16-19)",TRUE,"Late evening (20-23)")</f>
        <v>Midday (10-15)</v>
      </c>
    </row>
    <row r="4505" spans="1:9">
      <c r="A4505" s="32">
        <v>42009</v>
      </c>
      <c r="B4505">
        <v>16</v>
      </c>
      <c r="C4505">
        <v>2170</v>
      </c>
      <c r="D4505" t="s">
        <v>304</v>
      </c>
      <c r="E4505">
        <f>YEAR(A4505)</f>
        <v>2015</v>
      </c>
      <c r="F4505" s="33">
        <f>DATE(YEAR(A4505),MONTH(A4505),1)</f>
        <v>42005.0</v>
      </c>
      <c r="G4505" t="str">
        <f>CHOOSE(WEEKDAY(A4505,2),"Mon","Tue","Wed","Thu","Fri","Sat","Sun")</f>
        <v>Mon</v>
      </c>
      <c r="H4505" t="str">
        <f>IF(WEEKDAY(A4505,2)&gt;5,"Weekend","Weekday")</f>
        <v>Weekday</v>
      </c>
      <c r="I4505" t="str">
        <f>_xlfn.IFS(B4505&lt;=5,"Night (0-5)",B4505&lt;=9,"Morning peak (6-9)",B4505&lt;=15,"Midday (10-15)",B4505&lt;=19,"Evening peak (16-19)",TRUE,"Late evening (20-23)")</f>
        <v>Evening peak (16-19)</v>
      </c>
    </row>
    <row r="4506" spans="1:9">
      <c r="A4506" s="32">
        <v>42009</v>
      </c>
      <c r="B4506">
        <v>17</v>
      </c>
      <c r="C4506">
        <v>2931</v>
      </c>
      <c r="D4506" t="s">
        <v>304</v>
      </c>
      <c r="E4506">
        <f>YEAR(A4506)</f>
        <v>2015</v>
      </c>
      <c r="F4506" s="33">
        <f>DATE(YEAR(A4506),MONTH(A4506),1)</f>
        <v>42005.0</v>
      </c>
      <c r="G4506" t="str">
        <f>CHOOSE(WEEKDAY(A4506,2),"Mon","Tue","Wed","Thu","Fri","Sat","Sun")</f>
        <v>Mon</v>
      </c>
      <c r="H4506" t="str">
        <f>IF(WEEKDAY(A4506,2)&gt;5,"Weekend","Weekday")</f>
        <v>Weekday</v>
      </c>
      <c r="I4506" t="str">
        <f>_xlfn.IFS(B4506&lt;=5,"Night (0-5)",B4506&lt;=9,"Morning peak (6-9)",B4506&lt;=15,"Midday (10-15)",B4506&lt;=19,"Evening peak (16-19)",TRUE,"Late evening (20-23)")</f>
        <v>Evening peak (16-19)</v>
      </c>
    </row>
    <row r="4507" spans="1:9">
      <c r="A4507" s="32">
        <v>42009</v>
      </c>
      <c r="B4507">
        <v>18</v>
      </c>
      <c r="C4507">
        <v>3683</v>
      </c>
      <c r="D4507" t="s">
        <v>304</v>
      </c>
      <c r="E4507">
        <f>YEAR(A4507)</f>
        <v>2015</v>
      </c>
      <c r="F4507" s="33">
        <f>DATE(YEAR(A4507),MONTH(A4507),1)</f>
        <v>42005.0</v>
      </c>
      <c r="G4507" t="str">
        <f>CHOOSE(WEEKDAY(A4507,2),"Mon","Tue","Wed","Thu","Fri","Sat","Sun")</f>
        <v>Mon</v>
      </c>
      <c r="H4507" t="str">
        <f>IF(WEEKDAY(A4507,2)&gt;5,"Weekend","Weekday")</f>
        <v>Weekday</v>
      </c>
      <c r="I4507" t="str">
        <f>_xlfn.IFS(B4507&lt;=5,"Night (0-5)",B4507&lt;=9,"Morning peak (6-9)",B4507&lt;=15,"Midday (10-15)",B4507&lt;=19,"Evening peak (16-19)",TRUE,"Late evening (20-23)")</f>
        <v>Evening peak (16-19)</v>
      </c>
    </row>
    <row r="4508" spans="1:9">
      <c r="A4508" s="32">
        <v>42009</v>
      </c>
      <c r="B4508">
        <v>19</v>
      </c>
      <c r="C4508">
        <v>3256</v>
      </c>
      <c r="D4508" t="s">
        <v>304</v>
      </c>
      <c r="E4508">
        <f>YEAR(A4508)</f>
        <v>2015</v>
      </c>
      <c r="F4508" s="33">
        <f>DATE(YEAR(A4508),MONTH(A4508),1)</f>
        <v>42005.0</v>
      </c>
      <c r="G4508" t="str">
        <f>CHOOSE(WEEKDAY(A4508,2),"Mon","Tue","Wed","Thu","Fri","Sat","Sun")</f>
        <v>Mon</v>
      </c>
      <c r="H4508" t="str">
        <f>IF(WEEKDAY(A4508,2)&gt;5,"Weekend","Weekday")</f>
        <v>Weekday</v>
      </c>
      <c r="I4508" t="str">
        <f>_xlfn.IFS(B4508&lt;=5,"Night (0-5)",B4508&lt;=9,"Morning peak (6-9)",B4508&lt;=15,"Midday (10-15)",B4508&lt;=19,"Evening peak (16-19)",TRUE,"Late evening (20-23)")</f>
        <v>Evening peak (16-19)</v>
      </c>
    </row>
    <row r="4509" spans="1:9">
      <c r="A4509" s="32">
        <v>42009</v>
      </c>
      <c r="B4509">
        <v>20</v>
      </c>
      <c r="C4509">
        <v>2907</v>
      </c>
      <c r="D4509" t="s">
        <v>304</v>
      </c>
      <c r="E4509">
        <f>YEAR(A4509)</f>
        <v>2015</v>
      </c>
      <c r="F4509" s="33">
        <f>DATE(YEAR(A4509),MONTH(A4509),1)</f>
        <v>42005.0</v>
      </c>
      <c r="G4509" t="str">
        <f>CHOOSE(WEEKDAY(A4509,2),"Mon","Tue","Wed","Thu","Fri","Sat","Sun")</f>
        <v>Mon</v>
      </c>
      <c r="H4509" t="str">
        <f>IF(WEEKDAY(A4509,2)&gt;5,"Weekend","Weekday")</f>
        <v>Weekday</v>
      </c>
      <c r="I4509" t="str">
        <f>_xlfn.IFS(B4509&lt;=5,"Night (0-5)",B4509&lt;=9,"Morning peak (6-9)",B4509&lt;=15,"Midday (10-15)",B4509&lt;=19,"Evening peak (16-19)",TRUE,"Late evening (20-23)")</f>
        <v>Late evening (20-23)</v>
      </c>
    </row>
    <row r="4510" spans="1:9">
      <c r="A4510" s="32">
        <v>42009</v>
      </c>
      <c r="B4510">
        <v>21</v>
      </c>
      <c r="C4510">
        <v>2611</v>
      </c>
      <c r="D4510" t="s">
        <v>304</v>
      </c>
      <c r="E4510">
        <f>YEAR(A4510)</f>
        <v>2015</v>
      </c>
      <c r="F4510" s="33">
        <f>DATE(YEAR(A4510),MONTH(A4510),1)</f>
        <v>42005.0</v>
      </c>
      <c r="G4510" t="str">
        <f>CHOOSE(WEEKDAY(A4510,2),"Mon","Tue","Wed","Thu","Fri","Sat","Sun")</f>
        <v>Mon</v>
      </c>
      <c r="H4510" t="str">
        <f>IF(WEEKDAY(A4510,2)&gt;5,"Weekend","Weekday")</f>
        <v>Weekday</v>
      </c>
      <c r="I4510" t="str">
        <f>_xlfn.IFS(B4510&lt;=5,"Night (0-5)",B4510&lt;=9,"Morning peak (6-9)",B4510&lt;=15,"Midday (10-15)",B4510&lt;=19,"Evening peak (16-19)",TRUE,"Late evening (20-23)")</f>
        <v>Late evening (20-23)</v>
      </c>
    </row>
    <row r="4511" spans="1:9">
      <c r="A4511" s="32">
        <v>42009</v>
      </c>
      <c r="B4511">
        <v>22</v>
      </c>
      <c r="C4511">
        <v>2239</v>
      </c>
      <c r="D4511" t="s">
        <v>304</v>
      </c>
      <c r="E4511">
        <f>YEAR(A4511)</f>
        <v>2015</v>
      </c>
      <c r="F4511" s="33">
        <f>DATE(YEAR(A4511),MONTH(A4511),1)</f>
        <v>42005.0</v>
      </c>
      <c r="G4511" t="str">
        <f>CHOOSE(WEEKDAY(A4511,2),"Mon","Tue","Wed","Thu","Fri","Sat","Sun")</f>
        <v>Mon</v>
      </c>
      <c r="H4511" t="str">
        <f>IF(WEEKDAY(A4511,2)&gt;5,"Weekend","Weekday")</f>
        <v>Weekday</v>
      </c>
      <c r="I4511" t="str">
        <f>_xlfn.IFS(B4511&lt;=5,"Night (0-5)",B4511&lt;=9,"Morning peak (6-9)",B4511&lt;=15,"Midday (10-15)",B4511&lt;=19,"Evening peak (16-19)",TRUE,"Late evening (20-23)")</f>
        <v>Late evening (20-23)</v>
      </c>
    </row>
    <row r="4512" spans="1:9">
      <c r="A4512" s="32">
        <v>42009</v>
      </c>
      <c r="B4512">
        <v>23</v>
      </c>
      <c r="C4512">
        <v>1747</v>
      </c>
      <c r="D4512" t="s">
        <v>304</v>
      </c>
      <c r="E4512">
        <f>YEAR(A4512)</f>
        <v>2015</v>
      </c>
      <c r="F4512" s="33">
        <f>DATE(YEAR(A4512),MONTH(A4512),1)</f>
        <v>42005.0</v>
      </c>
      <c r="G4512" t="str">
        <f>CHOOSE(WEEKDAY(A4512,2),"Mon","Tue","Wed","Thu","Fri","Sat","Sun")</f>
        <v>Mon</v>
      </c>
      <c r="H4512" t="str">
        <f>IF(WEEKDAY(A4512,2)&gt;5,"Weekend","Weekday")</f>
        <v>Weekday</v>
      </c>
      <c r="I4512" t="str">
        <f>_xlfn.IFS(B4512&lt;=5,"Night (0-5)",B4512&lt;=9,"Morning peak (6-9)",B4512&lt;=15,"Midday (10-15)",B4512&lt;=19,"Evening peak (16-19)",TRUE,"Late evening (20-23)")</f>
        <v>Late evening (20-23)</v>
      </c>
    </row>
    <row r="4513" spans="1:9">
      <c r="A4513" s="32">
        <v>42010</v>
      </c>
      <c r="B4513">
        <v>0</v>
      </c>
      <c r="C4513">
        <v>1075</v>
      </c>
      <c r="D4513" t="s">
        <v>304</v>
      </c>
      <c r="E4513">
        <f>YEAR(A4513)</f>
        <v>2015</v>
      </c>
      <c r="F4513" s="33">
        <f>DATE(YEAR(A4513),MONTH(A4513),1)</f>
        <v>42005.0</v>
      </c>
      <c r="G4513" t="str">
        <f>CHOOSE(WEEKDAY(A4513,2),"Mon","Tue","Wed","Thu","Fri","Sat","Sun")</f>
        <v>Tue</v>
      </c>
      <c r="H4513" t="str">
        <f>IF(WEEKDAY(A4513,2)&gt;5,"Weekend","Weekday")</f>
        <v>Weekday</v>
      </c>
      <c r="I4513" t="str">
        <f>_xlfn.IFS(B4513&lt;=5,"Night (0-5)",B4513&lt;=9,"Morning peak (6-9)",B4513&lt;=15,"Midday (10-15)",B4513&lt;=19,"Evening peak (16-19)",TRUE,"Late evening (20-23)")</f>
        <v>Night (0-5)</v>
      </c>
    </row>
    <row r="4514" spans="1:9">
      <c r="A4514" s="32">
        <v>42010</v>
      </c>
      <c r="B4514">
        <v>1</v>
      </c>
      <c r="C4514">
        <v>548</v>
      </c>
      <c r="D4514" t="s">
        <v>304</v>
      </c>
      <c r="E4514">
        <f>YEAR(A4514)</f>
        <v>2015</v>
      </c>
      <c r="F4514" s="33">
        <f>DATE(YEAR(A4514),MONTH(A4514),1)</f>
        <v>42005.0</v>
      </c>
      <c r="G4514" t="str">
        <f>CHOOSE(WEEKDAY(A4514,2),"Mon","Tue","Wed","Thu","Fri","Sat","Sun")</f>
        <v>Tue</v>
      </c>
      <c r="H4514" t="str">
        <f>IF(WEEKDAY(A4514,2)&gt;5,"Weekend","Weekday")</f>
        <v>Weekday</v>
      </c>
      <c r="I4514" t="str">
        <f>_xlfn.IFS(B4514&lt;=5,"Night (0-5)",B4514&lt;=9,"Morning peak (6-9)",B4514&lt;=15,"Midday (10-15)",B4514&lt;=19,"Evening peak (16-19)",TRUE,"Late evening (20-23)")</f>
        <v>Night (0-5)</v>
      </c>
    </row>
    <row r="4515" spans="1:9">
      <c r="A4515" s="32">
        <v>42010</v>
      </c>
      <c r="B4515">
        <v>2</v>
      </c>
      <c r="C4515">
        <v>346</v>
      </c>
      <c r="D4515" t="s">
        <v>304</v>
      </c>
      <c r="E4515">
        <f>YEAR(A4515)</f>
        <v>2015</v>
      </c>
      <c r="F4515" s="33">
        <f>DATE(YEAR(A4515),MONTH(A4515),1)</f>
        <v>42005.0</v>
      </c>
      <c r="G4515" t="str">
        <f>CHOOSE(WEEKDAY(A4515,2),"Mon","Tue","Wed","Thu","Fri","Sat","Sun")</f>
        <v>Tue</v>
      </c>
      <c r="H4515" t="str">
        <f>IF(WEEKDAY(A4515,2)&gt;5,"Weekend","Weekday")</f>
        <v>Weekday</v>
      </c>
      <c r="I4515" t="str">
        <f>_xlfn.IFS(B4515&lt;=5,"Night (0-5)",B4515&lt;=9,"Morning peak (6-9)",B4515&lt;=15,"Midday (10-15)",B4515&lt;=19,"Evening peak (16-19)",TRUE,"Late evening (20-23)")</f>
        <v>Night (0-5)</v>
      </c>
    </row>
    <row r="4516" spans="1:9">
      <c r="A4516" s="32">
        <v>42010</v>
      </c>
      <c r="B4516">
        <v>3</v>
      </c>
      <c r="C4516">
        <v>264</v>
      </c>
      <c r="D4516" t="s">
        <v>304</v>
      </c>
      <c r="E4516">
        <f>YEAR(A4516)</f>
        <v>2015</v>
      </c>
      <c r="F4516" s="33">
        <f>DATE(YEAR(A4516),MONTH(A4516),1)</f>
        <v>42005.0</v>
      </c>
      <c r="G4516" t="str">
        <f>CHOOSE(WEEKDAY(A4516,2),"Mon","Tue","Wed","Thu","Fri","Sat","Sun")</f>
        <v>Tue</v>
      </c>
      <c r="H4516" t="str">
        <f>IF(WEEKDAY(A4516,2)&gt;5,"Weekend","Weekday")</f>
        <v>Weekday</v>
      </c>
      <c r="I4516" t="str">
        <f>_xlfn.IFS(B4516&lt;=5,"Night (0-5)",B4516&lt;=9,"Morning peak (6-9)",B4516&lt;=15,"Midday (10-15)",B4516&lt;=19,"Evening peak (16-19)",TRUE,"Late evening (20-23)")</f>
        <v>Night (0-5)</v>
      </c>
    </row>
    <row r="4517" spans="1:9">
      <c r="A4517" s="32">
        <v>42010</v>
      </c>
      <c r="B4517">
        <v>4</v>
      </c>
      <c r="C4517">
        <v>409</v>
      </c>
      <c r="D4517" t="s">
        <v>304</v>
      </c>
      <c r="E4517">
        <f>YEAR(A4517)</f>
        <v>2015</v>
      </c>
      <c r="F4517" s="33">
        <f>DATE(YEAR(A4517),MONTH(A4517),1)</f>
        <v>42005.0</v>
      </c>
      <c r="G4517" t="str">
        <f>CHOOSE(WEEKDAY(A4517,2),"Mon","Tue","Wed","Thu","Fri","Sat","Sun")</f>
        <v>Tue</v>
      </c>
      <c r="H4517" t="str">
        <f>IF(WEEKDAY(A4517,2)&gt;5,"Weekend","Weekday")</f>
        <v>Weekday</v>
      </c>
      <c r="I4517" t="str">
        <f>_xlfn.IFS(B4517&lt;=5,"Night (0-5)",B4517&lt;=9,"Morning peak (6-9)",B4517&lt;=15,"Midday (10-15)",B4517&lt;=19,"Evening peak (16-19)",TRUE,"Late evening (20-23)")</f>
        <v>Night (0-5)</v>
      </c>
    </row>
    <row r="4518" spans="1:9">
      <c r="A4518" s="32">
        <v>42010</v>
      </c>
      <c r="B4518">
        <v>5</v>
      </c>
      <c r="C4518">
        <v>718</v>
      </c>
      <c r="D4518" t="s">
        <v>304</v>
      </c>
      <c r="E4518">
        <f>YEAR(A4518)</f>
        <v>2015</v>
      </c>
      <c r="F4518" s="33">
        <f>DATE(YEAR(A4518),MONTH(A4518),1)</f>
        <v>42005.0</v>
      </c>
      <c r="G4518" t="str">
        <f>CHOOSE(WEEKDAY(A4518,2),"Mon","Tue","Wed","Thu","Fri","Sat","Sun")</f>
        <v>Tue</v>
      </c>
      <c r="H4518" t="str">
        <f>IF(WEEKDAY(A4518,2)&gt;5,"Weekend","Weekday")</f>
        <v>Weekday</v>
      </c>
      <c r="I4518" t="str">
        <f>_xlfn.IFS(B4518&lt;=5,"Night (0-5)",B4518&lt;=9,"Morning peak (6-9)",B4518&lt;=15,"Midday (10-15)",B4518&lt;=19,"Evening peak (16-19)",TRUE,"Late evening (20-23)")</f>
        <v>Night (0-5)</v>
      </c>
    </row>
    <row r="4519" spans="1:9">
      <c r="A4519" s="32">
        <v>42010</v>
      </c>
      <c r="B4519">
        <v>6</v>
      </c>
      <c r="C4519">
        <v>1305</v>
      </c>
      <c r="D4519" t="s">
        <v>304</v>
      </c>
      <c r="E4519">
        <f>YEAR(A4519)</f>
        <v>2015</v>
      </c>
      <c r="F4519" s="33">
        <f>DATE(YEAR(A4519),MONTH(A4519),1)</f>
        <v>42005.0</v>
      </c>
      <c r="G4519" t="str">
        <f>CHOOSE(WEEKDAY(A4519,2),"Mon","Tue","Wed","Thu","Fri","Sat","Sun")</f>
        <v>Tue</v>
      </c>
      <c r="H4519" t="str">
        <f>IF(WEEKDAY(A4519,2)&gt;5,"Weekend","Weekday")</f>
        <v>Weekday</v>
      </c>
      <c r="I4519" t="str">
        <f>_xlfn.IFS(B4519&lt;=5,"Night (0-5)",B4519&lt;=9,"Morning peak (6-9)",B4519&lt;=15,"Midday (10-15)",B4519&lt;=19,"Evening peak (16-19)",TRUE,"Late evening (20-23)")</f>
        <v>Morning peak (6-9)</v>
      </c>
    </row>
    <row r="4520" spans="1:9">
      <c r="A4520" s="32">
        <v>42010</v>
      </c>
      <c r="B4520">
        <v>7</v>
      </c>
      <c r="C4520">
        <v>2457</v>
      </c>
      <c r="D4520" t="s">
        <v>304</v>
      </c>
      <c r="E4520">
        <f>YEAR(A4520)</f>
        <v>2015</v>
      </c>
      <c r="F4520" s="33">
        <f>DATE(YEAR(A4520),MONTH(A4520),1)</f>
        <v>42005.0</v>
      </c>
      <c r="G4520" t="str">
        <f>CHOOSE(WEEKDAY(A4520,2),"Mon","Tue","Wed","Thu","Fri","Sat","Sun")</f>
        <v>Tue</v>
      </c>
      <c r="H4520" t="str">
        <f>IF(WEEKDAY(A4520,2)&gt;5,"Weekend","Weekday")</f>
        <v>Weekday</v>
      </c>
      <c r="I4520" t="str">
        <f>_xlfn.IFS(B4520&lt;=5,"Night (0-5)",B4520&lt;=9,"Morning peak (6-9)",B4520&lt;=15,"Midday (10-15)",B4520&lt;=19,"Evening peak (16-19)",TRUE,"Late evening (20-23)")</f>
        <v>Morning peak (6-9)</v>
      </c>
    </row>
    <row r="4521" spans="1:9">
      <c r="A4521" s="32">
        <v>42010</v>
      </c>
      <c r="B4521">
        <v>8</v>
      </c>
      <c r="C4521">
        <v>3216</v>
      </c>
      <c r="D4521" t="s">
        <v>304</v>
      </c>
      <c r="E4521">
        <f>YEAR(A4521)</f>
        <v>2015</v>
      </c>
      <c r="F4521" s="33">
        <f>DATE(YEAR(A4521),MONTH(A4521),1)</f>
        <v>42005.0</v>
      </c>
      <c r="G4521" t="str">
        <f>CHOOSE(WEEKDAY(A4521,2),"Mon","Tue","Wed","Thu","Fri","Sat","Sun")</f>
        <v>Tue</v>
      </c>
      <c r="H4521" t="str">
        <f>IF(WEEKDAY(A4521,2)&gt;5,"Weekend","Weekday")</f>
        <v>Weekday</v>
      </c>
      <c r="I4521" t="str">
        <f>_xlfn.IFS(B4521&lt;=5,"Night (0-5)",B4521&lt;=9,"Morning peak (6-9)",B4521&lt;=15,"Midday (10-15)",B4521&lt;=19,"Evening peak (16-19)",TRUE,"Late evening (20-23)")</f>
        <v>Morning peak (6-9)</v>
      </c>
    </row>
    <row r="4522" spans="1:9">
      <c r="A4522" s="32">
        <v>42010</v>
      </c>
      <c r="B4522">
        <v>9</v>
      </c>
      <c r="C4522">
        <v>3076</v>
      </c>
      <c r="D4522" t="s">
        <v>304</v>
      </c>
      <c r="E4522">
        <f>YEAR(A4522)</f>
        <v>2015</v>
      </c>
      <c r="F4522" s="33">
        <f>DATE(YEAR(A4522),MONTH(A4522),1)</f>
        <v>42005.0</v>
      </c>
      <c r="G4522" t="str">
        <f>CHOOSE(WEEKDAY(A4522,2),"Mon","Tue","Wed","Thu","Fri","Sat","Sun")</f>
        <v>Tue</v>
      </c>
      <c r="H4522" t="str">
        <f>IF(WEEKDAY(A4522,2)&gt;5,"Weekend","Weekday")</f>
        <v>Weekday</v>
      </c>
      <c r="I4522" t="str">
        <f>_xlfn.IFS(B4522&lt;=5,"Night (0-5)",B4522&lt;=9,"Morning peak (6-9)",B4522&lt;=15,"Midday (10-15)",B4522&lt;=19,"Evening peak (16-19)",TRUE,"Late evening (20-23)")</f>
        <v>Morning peak (6-9)</v>
      </c>
    </row>
    <row r="4523" spans="1:9">
      <c r="A4523" s="32">
        <v>42010</v>
      </c>
      <c r="B4523">
        <v>10</v>
      </c>
      <c r="C4523">
        <v>2373</v>
      </c>
      <c r="D4523" t="s">
        <v>304</v>
      </c>
      <c r="E4523">
        <f>YEAR(A4523)</f>
        <v>2015</v>
      </c>
      <c r="F4523" s="33">
        <f>DATE(YEAR(A4523),MONTH(A4523),1)</f>
        <v>42005.0</v>
      </c>
      <c r="G4523" t="str">
        <f>CHOOSE(WEEKDAY(A4523,2),"Mon","Tue","Wed","Thu","Fri","Sat","Sun")</f>
        <v>Tue</v>
      </c>
      <c r="H4523" t="str">
        <f>IF(WEEKDAY(A4523,2)&gt;5,"Weekend","Weekday")</f>
        <v>Weekday</v>
      </c>
      <c r="I4523" t="str">
        <f>_xlfn.IFS(B4523&lt;=5,"Night (0-5)",B4523&lt;=9,"Morning peak (6-9)",B4523&lt;=15,"Midday (10-15)",B4523&lt;=19,"Evening peak (16-19)",TRUE,"Late evening (20-23)")</f>
        <v>Midday (10-15)</v>
      </c>
    </row>
    <row r="4524" spans="1:9">
      <c r="A4524" s="32">
        <v>42010</v>
      </c>
      <c r="B4524">
        <v>11</v>
      </c>
      <c r="C4524">
        <v>2146</v>
      </c>
      <c r="D4524" t="s">
        <v>304</v>
      </c>
      <c r="E4524">
        <f>YEAR(A4524)</f>
        <v>2015</v>
      </c>
      <c r="F4524" s="33">
        <f>DATE(YEAR(A4524),MONTH(A4524),1)</f>
        <v>42005.0</v>
      </c>
      <c r="G4524" t="str">
        <f>CHOOSE(WEEKDAY(A4524,2),"Mon","Tue","Wed","Thu","Fri","Sat","Sun")</f>
        <v>Tue</v>
      </c>
      <c r="H4524" t="str">
        <f>IF(WEEKDAY(A4524,2)&gt;5,"Weekend","Weekday")</f>
        <v>Weekday</v>
      </c>
      <c r="I4524" t="str">
        <f>_xlfn.IFS(B4524&lt;=5,"Night (0-5)",B4524&lt;=9,"Morning peak (6-9)",B4524&lt;=15,"Midday (10-15)",B4524&lt;=19,"Evening peak (16-19)",TRUE,"Late evening (20-23)")</f>
        <v>Midday (10-15)</v>
      </c>
    </row>
    <row r="4525" spans="1:9">
      <c r="A4525" s="32">
        <v>42010</v>
      </c>
      <c r="B4525">
        <v>12</v>
      </c>
      <c r="C4525">
        <v>2076</v>
      </c>
      <c r="D4525" t="s">
        <v>304</v>
      </c>
      <c r="E4525">
        <f>YEAR(A4525)</f>
        <v>2015</v>
      </c>
      <c r="F4525" s="33">
        <f>DATE(YEAR(A4525),MONTH(A4525),1)</f>
        <v>42005.0</v>
      </c>
      <c r="G4525" t="str">
        <f>CHOOSE(WEEKDAY(A4525,2),"Mon","Tue","Wed","Thu","Fri","Sat","Sun")</f>
        <v>Tue</v>
      </c>
      <c r="H4525" t="str">
        <f>IF(WEEKDAY(A4525,2)&gt;5,"Weekend","Weekday")</f>
        <v>Weekday</v>
      </c>
      <c r="I4525" t="str">
        <f>_xlfn.IFS(B4525&lt;=5,"Night (0-5)",B4525&lt;=9,"Morning peak (6-9)",B4525&lt;=15,"Midday (10-15)",B4525&lt;=19,"Evening peak (16-19)",TRUE,"Late evening (20-23)")</f>
        <v>Midday (10-15)</v>
      </c>
    </row>
    <row r="4526" spans="1:9">
      <c r="A4526" s="32">
        <v>42010</v>
      </c>
      <c r="B4526">
        <v>13</v>
      </c>
      <c r="C4526">
        <v>1906</v>
      </c>
      <c r="D4526" t="s">
        <v>304</v>
      </c>
      <c r="E4526">
        <f>YEAR(A4526)</f>
        <v>2015</v>
      </c>
      <c r="F4526" s="33">
        <f>DATE(YEAR(A4526),MONTH(A4526),1)</f>
        <v>42005.0</v>
      </c>
      <c r="G4526" t="str">
        <f>CHOOSE(WEEKDAY(A4526,2),"Mon","Tue","Wed","Thu","Fri","Sat","Sun")</f>
        <v>Tue</v>
      </c>
      <c r="H4526" t="str">
        <f>IF(WEEKDAY(A4526,2)&gt;5,"Weekend","Weekday")</f>
        <v>Weekday</v>
      </c>
      <c r="I4526" t="str">
        <f>_xlfn.IFS(B4526&lt;=5,"Night (0-5)",B4526&lt;=9,"Morning peak (6-9)",B4526&lt;=15,"Midday (10-15)",B4526&lt;=19,"Evening peak (16-19)",TRUE,"Late evening (20-23)")</f>
        <v>Midday (10-15)</v>
      </c>
    </row>
    <row r="4527" spans="1:9">
      <c r="A4527" s="32">
        <v>42010</v>
      </c>
      <c r="B4527">
        <v>14</v>
      </c>
      <c r="C4527">
        <v>2206</v>
      </c>
      <c r="D4527" t="s">
        <v>304</v>
      </c>
      <c r="E4527">
        <f>YEAR(A4527)</f>
        <v>2015</v>
      </c>
      <c r="F4527" s="33">
        <f>DATE(YEAR(A4527),MONTH(A4527),1)</f>
        <v>42005.0</v>
      </c>
      <c r="G4527" t="str">
        <f>CHOOSE(WEEKDAY(A4527,2),"Mon","Tue","Wed","Thu","Fri","Sat","Sun")</f>
        <v>Tue</v>
      </c>
      <c r="H4527" t="str">
        <f>IF(WEEKDAY(A4527,2)&gt;5,"Weekend","Weekday")</f>
        <v>Weekday</v>
      </c>
      <c r="I4527" t="str">
        <f>_xlfn.IFS(B4527&lt;=5,"Night (0-5)",B4527&lt;=9,"Morning peak (6-9)",B4527&lt;=15,"Midday (10-15)",B4527&lt;=19,"Evening peak (16-19)",TRUE,"Late evening (20-23)")</f>
        <v>Midday (10-15)</v>
      </c>
    </row>
    <row r="4528" spans="1:9">
      <c r="A4528" s="32">
        <v>42010</v>
      </c>
      <c r="B4528">
        <v>15</v>
      </c>
      <c r="C4528">
        <v>2381</v>
      </c>
      <c r="D4528" t="s">
        <v>304</v>
      </c>
      <c r="E4528">
        <f>YEAR(A4528)</f>
        <v>2015</v>
      </c>
      <c r="F4528" s="33">
        <f>DATE(YEAR(A4528),MONTH(A4528),1)</f>
        <v>42005.0</v>
      </c>
      <c r="G4528" t="str">
        <f>CHOOSE(WEEKDAY(A4528,2),"Mon","Tue","Wed","Thu","Fri","Sat","Sun")</f>
        <v>Tue</v>
      </c>
      <c r="H4528" t="str">
        <f>IF(WEEKDAY(A4528,2)&gt;5,"Weekend","Weekday")</f>
        <v>Weekday</v>
      </c>
      <c r="I4528" t="str">
        <f>_xlfn.IFS(B4528&lt;=5,"Night (0-5)",B4528&lt;=9,"Morning peak (6-9)",B4528&lt;=15,"Midday (10-15)",B4528&lt;=19,"Evening peak (16-19)",TRUE,"Late evening (20-23)")</f>
        <v>Midday (10-15)</v>
      </c>
    </row>
    <row r="4529" spans="1:9">
      <c r="A4529" s="32">
        <v>42010</v>
      </c>
      <c r="B4529">
        <v>16</v>
      </c>
      <c r="C4529">
        <v>2759</v>
      </c>
      <c r="D4529" t="s">
        <v>304</v>
      </c>
      <c r="E4529">
        <f>YEAR(A4529)</f>
        <v>2015</v>
      </c>
      <c r="F4529" s="33">
        <f>DATE(YEAR(A4529),MONTH(A4529),1)</f>
        <v>42005.0</v>
      </c>
      <c r="G4529" t="str">
        <f>CHOOSE(WEEKDAY(A4529,2),"Mon","Tue","Wed","Thu","Fri","Sat","Sun")</f>
        <v>Tue</v>
      </c>
      <c r="H4529" t="str">
        <f>IF(WEEKDAY(A4529,2)&gt;5,"Weekend","Weekday")</f>
        <v>Weekday</v>
      </c>
      <c r="I4529" t="str">
        <f>_xlfn.IFS(B4529&lt;=5,"Night (0-5)",B4529&lt;=9,"Morning peak (6-9)",B4529&lt;=15,"Midday (10-15)",B4529&lt;=19,"Evening peak (16-19)",TRUE,"Late evening (20-23)")</f>
        <v>Evening peak (16-19)</v>
      </c>
    </row>
    <row r="4530" spans="1:9">
      <c r="A4530" s="32">
        <v>42010</v>
      </c>
      <c r="B4530">
        <v>17</v>
      </c>
      <c r="C4530">
        <v>3827</v>
      </c>
      <c r="D4530" t="s">
        <v>304</v>
      </c>
      <c r="E4530">
        <f>YEAR(A4530)</f>
        <v>2015</v>
      </c>
      <c r="F4530" s="33">
        <f>DATE(YEAR(A4530),MONTH(A4530),1)</f>
        <v>42005.0</v>
      </c>
      <c r="G4530" t="str">
        <f>CHOOSE(WEEKDAY(A4530,2),"Mon","Tue","Wed","Thu","Fri","Sat","Sun")</f>
        <v>Tue</v>
      </c>
      <c r="H4530" t="str">
        <f>IF(WEEKDAY(A4530,2)&gt;5,"Weekend","Weekday")</f>
        <v>Weekday</v>
      </c>
      <c r="I4530" t="str">
        <f>_xlfn.IFS(B4530&lt;=5,"Night (0-5)",B4530&lt;=9,"Morning peak (6-9)",B4530&lt;=15,"Midday (10-15)",B4530&lt;=19,"Evening peak (16-19)",TRUE,"Late evening (20-23)")</f>
        <v>Evening peak (16-19)</v>
      </c>
    </row>
    <row r="4531" spans="1:9">
      <c r="A4531" s="32">
        <v>42010</v>
      </c>
      <c r="B4531">
        <v>18</v>
      </c>
      <c r="C4531">
        <v>4586</v>
      </c>
      <c r="D4531" t="s">
        <v>304</v>
      </c>
      <c r="E4531">
        <f>YEAR(A4531)</f>
        <v>2015</v>
      </c>
      <c r="F4531" s="33">
        <f>DATE(YEAR(A4531),MONTH(A4531),1)</f>
        <v>42005.0</v>
      </c>
      <c r="G4531" t="str">
        <f>CHOOSE(WEEKDAY(A4531,2),"Mon","Tue","Wed","Thu","Fri","Sat","Sun")</f>
        <v>Tue</v>
      </c>
      <c r="H4531" t="str">
        <f>IF(WEEKDAY(A4531,2)&gt;5,"Weekend","Weekday")</f>
        <v>Weekday</v>
      </c>
      <c r="I4531" t="str">
        <f>_xlfn.IFS(B4531&lt;=5,"Night (0-5)",B4531&lt;=9,"Morning peak (6-9)",B4531&lt;=15,"Midday (10-15)",B4531&lt;=19,"Evening peak (16-19)",TRUE,"Late evening (20-23)")</f>
        <v>Evening peak (16-19)</v>
      </c>
    </row>
    <row r="4532" spans="1:9">
      <c r="A4532" s="32">
        <v>42010</v>
      </c>
      <c r="B4532">
        <v>19</v>
      </c>
      <c r="C4532">
        <v>3932</v>
      </c>
      <c r="D4532" t="s">
        <v>304</v>
      </c>
      <c r="E4532">
        <f>YEAR(A4532)</f>
        <v>2015</v>
      </c>
      <c r="F4532" s="33">
        <f>DATE(YEAR(A4532),MONTH(A4532),1)</f>
        <v>42005.0</v>
      </c>
      <c r="G4532" t="str">
        <f>CHOOSE(WEEKDAY(A4532,2),"Mon","Tue","Wed","Thu","Fri","Sat","Sun")</f>
        <v>Tue</v>
      </c>
      <c r="H4532" t="str">
        <f>IF(WEEKDAY(A4532,2)&gt;5,"Weekend","Weekday")</f>
        <v>Weekday</v>
      </c>
      <c r="I4532" t="str">
        <f>_xlfn.IFS(B4532&lt;=5,"Night (0-5)",B4532&lt;=9,"Morning peak (6-9)",B4532&lt;=15,"Midday (10-15)",B4532&lt;=19,"Evening peak (16-19)",TRUE,"Late evening (20-23)")</f>
        <v>Evening peak (16-19)</v>
      </c>
    </row>
    <row r="4533" spans="1:9">
      <c r="A4533" s="32">
        <v>42010</v>
      </c>
      <c r="B4533">
        <v>20</v>
      </c>
      <c r="C4533">
        <v>3647</v>
      </c>
      <c r="D4533" t="s">
        <v>304</v>
      </c>
      <c r="E4533">
        <f>YEAR(A4533)</f>
        <v>2015</v>
      </c>
      <c r="F4533" s="33">
        <f>DATE(YEAR(A4533),MONTH(A4533),1)</f>
        <v>42005.0</v>
      </c>
      <c r="G4533" t="str">
        <f>CHOOSE(WEEKDAY(A4533,2),"Mon","Tue","Wed","Thu","Fri","Sat","Sun")</f>
        <v>Tue</v>
      </c>
      <c r="H4533" t="str">
        <f>IF(WEEKDAY(A4533,2)&gt;5,"Weekend","Weekday")</f>
        <v>Weekday</v>
      </c>
      <c r="I4533" t="str">
        <f>_xlfn.IFS(B4533&lt;=5,"Night (0-5)",B4533&lt;=9,"Morning peak (6-9)",B4533&lt;=15,"Midday (10-15)",B4533&lt;=19,"Evening peak (16-19)",TRUE,"Late evening (20-23)")</f>
        <v>Late evening (20-23)</v>
      </c>
    </row>
    <row r="4534" spans="1:9">
      <c r="A4534" s="32">
        <v>42010</v>
      </c>
      <c r="B4534">
        <v>21</v>
      </c>
      <c r="C4534">
        <v>3442</v>
      </c>
      <c r="D4534" t="s">
        <v>304</v>
      </c>
      <c r="E4534">
        <f>YEAR(A4534)</f>
        <v>2015</v>
      </c>
      <c r="F4534" s="33">
        <f>DATE(YEAR(A4534),MONTH(A4534),1)</f>
        <v>42005.0</v>
      </c>
      <c r="G4534" t="str">
        <f>CHOOSE(WEEKDAY(A4534,2),"Mon","Tue","Wed","Thu","Fri","Sat","Sun")</f>
        <v>Tue</v>
      </c>
      <c r="H4534" t="str">
        <f>IF(WEEKDAY(A4534,2)&gt;5,"Weekend","Weekday")</f>
        <v>Weekday</v>
      </c>
      <c r="I4534" t="str">
        <f>_xlfn.IFS(B4534&lt;=5,"Night (0-5)",B4534&lt;=9,"Morning peak (6-9)",B4534&lt;=15,"Midday (10-15)",B4534&lt;=19,"Evening peak (16-19)",TRUE,"Late evening (20-23)")</f>
        <v>Late evening (20-23)</v>
      </c>
    </row>
    <row r="4535" spans="1:9">
      <c r="A4535" s="32">
        <v>42010</v>
      </c>
      <c r="B4535">
        <v>22</v>
      </c>
      <c r="C4535">
        <v>2816</v>
      </c>
      <c r="D4535" t="s">
        <v>304</v>
      </c>
      <c r="E4535">
        <f>YEAR(A4535)</f>
        <v>2015</v>
      </c>
      <c r="F4535" s="33">
        <f>DATE(YEAR(A4535),MONTH(A4535),1)</f>
        <v>42005.0</v>
      </c>
      <c r="G4535" t="str">
        <f>CHOOSE(WEEKDAY(A4535,2),"Mon","Tue","Wed","Thu","Fri","Sat","Sun")</f>
        <v>Tue</v>
      </c>
      <c r="H4535" t="str">
        <f>IF(WEEKDAY(A4535,2)&gt;5,"Weekend","Weekday")</f>
        <v>Weekday</v>
      </c>
      <c r="I4535" t="str">
        <f>_xlfn.IFS(B4535&lt;=5,"Night (0-5)",B4535&lt;=9,"Morning peak (6-9)",B4535&lt;=15,"Midday (10-15)",B4535&lt;=19,"Evening peak (16-19)",TRUE,"Late evening (20-23)")</f>
        <v>Late evening (20-23)</v>
      </c>
    </row>
    <row r="4536" spans="1:9">
      <c r="A4536" s="32">
        <v>42010</v>
      </c>
      <c r="B4536">
        <v>23</v>
      </c>
      <c r="C4536">
        <v>2028</v>
      </c>
      <c r="D4536" t="s">
        <v>304</v>
      </c>
      <c r="E4536">
        <f>YEAR(A4536)</f>
        <v>2015</v>
      </c>
      <c r="F4536" s="33">
        <f>DATE(YEAR(A4536),MONTH(A4536),1)</f>
        <v>42005.0</v>
      </c>
      <c r="G4536" t="str">
        <f>CHOOSE(WEEKDAY(A4536,2),"Mon","Tue","Wed","Thu","Fri","Sat","Sun")</f>
        <v>Tue</v>
      </c>
      <c r="H4536" t="str">
        <f>IF(WEEKDAY(A4536,2)&gt;5,"Weekend","Weekday")</f>
        <v>Weekday</v>
      </c>
      <c r="I4536" t="str">
        <f>_xlfn.IFS(B4536&lt;=5,"Night (0-5)",B4536&lt;=9,"Morning peak (6-9)",B4536&lt;=15,"Midday (10-15)",B4536&lt;=19,"Evening peak (16-19)",TRUE,"Late evening (20-23)")</f>
        <v>Late evening (20-23)</v>
      </c>
    </row>
    <row r="4537" spans="1:9">
      <c r="A4537" s="32">
        <v>42011</v>
      </c>
      <c r="B4537">
        <v>0</v>
      </c>
      <c r="C4537">
        <v>1226</v>
      </c>
      <c r="D4537" t="s">
        <v>304</v>
      </c>
      <c r="E4537">
        <f>YEAR(A4537)</f>
        <v>2015</v>
      </c>
      <c r="F4537" s="33">
        <f>DATE(YEAR(A4537),MONTH(A4537),1)</f>
        <v>42005.0</v>
      </c>
      <c r="G4537" t="str">
        <f>CHOOSE(WEEKDAY(A4537,2),"Mon","Tue","Wed","Thu","Fri","Sat","Sun")</f>
        <v>Wed</v>
      </c>
      <c r="H4537" t="str">
        <f>IF(WEEKDAY(A4537,2)&gt;5,"Weekend","Weekday")</f>
        <v>Weekday</v>
      </c>
      <c r="I4537" t="str">
        <f>_xlfn.IFS(B4537&lt;=5,"Night (0-5)",B4537&lt;=9,"Morning peak (6-9)",B4537&lt;=15,"Midday (10-15)",B4537&lt;=19,"Evening peak (16-19)",TRUE,"Late evening (20-23)")</f>
        <v>Night (0-5)</v>
      </c>
    </row>
    <row r="4538" spans="1:9">
      <c r="A4538" s="32">
        <v>42011</v>
      </c>
      <c r="B4538">
        <v>1</v>
      </c>
      <c r="C4538">
        <v>641</v>
      </c>
      <c r="D4538" t="s">
        <v>304</v>
      </c>
      <c r="E4538">
        <f>YEAR(A4538)</f>
        <v>2015</v>
      </c>
      <c r="F4538" s="33">
        <f>DATE(YEAR(A4538),MONTH(A4538),1)</f>
        <v>42005.0</v>
      </c>
      <c r="G4538" t="str">
        <f>CHOOSE(WEEKDAY(A4538,2),"Mon","Tue","Wed","Thu","Fri","Sat","Sun")</f>
        <v>Wed</v>
      </c>
      <c r="H4538" t="str">
        <f>IF(WEEKDAY(A4538,2)&gt;5,"Weekend","Weekday")</f>
        <v>Weekday</v>
      </c>
      <c r="I4538" t="str">
        <f>_xlfn.IFS(B4538&lt;=5,"Night (0-5)",B4538&lt;=9,"Morning peak (6-9)",B4538&lt;=15,"Midday (10-15)",B4538&lt;=19,"Evening peak (16-19)",TRUE,"Late evening (20-23)")</f>
        <v>Night (0-5)</v>
      </c>
    </row>
    <row r="4539" spans="1:9">
      <c r="A4539" s="32">
        <v>42011</v>
      </c>
      <c r="B4539">
        <v>2</v>
      </c>
      <c r="C4539">
        <v>376</v>
      </c>
      <c r="D4539" t="s">
        <v>304</v>
      </c>
      <c r="E4539">
        <f>YEAR(A4539)</f>
        <v>2015</v>
      </c>
      <c r="F4539" s="33">
        <f>DATE(YEAR(A4539),MONTH(A4539),1)</f>
        <v>42005.0</v>
      </c>
      <c r="G4539" t="str">
        <f>CHOOSE(WEEKDAY(A4539,2),"Mon","Tue","Wed","Thu","Fri","Sat","Sun")</f>
        <v>Wed</v>
      </c>
      <c r="H4539" t="str">
        <f>IF(WEEKDAY(A4539,2)&gt;5,"Weekend","Weekday")</f>
        <v>Weekday</v>
      </c>
      <c r="I4539" t="str">
        <f>_xlfn.IFS(B4539&lt;=5,"Night (0-5)",B4539&lt;=9,"Morning peak (6-9)",B4539&lt;=15,"Midday (10-15)",B4539&lt;=19,"Evening peak (16-19)",TRUE,"Late evening (20-23)")</f>
        <v>Night (0-5)</v>
      </c>
    </row>
    <row r="4540" spans="1:9">
      <c r="A4540" s="32">
        <v>42011</v>
      </c>
      <c r="B4540">
        <v>3</v>
      </c>
      <c r="C4540">
        <v>273</v>
      </c>
      <c r="D4540" t="s">
        <v>304</v>
      </c>
      <c r="E4540">
        <f>YEAR(A4540)</f>
        <v>2015</v>
      </c>
      <c r="F4540" s="33">
        <f>DATE(YEAR(A4540),MONTH(A4540),1)</f>
        <v>42005.0</v>
      </c>
      <c r="G4540" t="str">
        <f>CHOOSE(WEEKDAY(A4540,2),"Mon","Tue","Wed","Thu","Fri","Sat","Sun")</f>
        <v>Wed</v>
      </c>
      <c r="H4540" t="str">
        <f>IF(WEEKDAY(A4540,2)&gt;5,"Weekend","Weekday")</f>
        <v>Weekday</v>
      </c>
      <c r="I4540" t="str">
        <f>_xlfn.IFS(B4540&lt;=5,"Night (0-5)",B4540&lt;=9,"Morning peak (6-9)",B4540&lt;=15,"Midday (10-15)",B4540&lt;=19,"Evening peak (16-19)",TRUE,"Late evening (20-23)")</f>
        <v>Night (0-5)</v>
      </c>
    </row>
    <row r="4541" spans="1:9">
      <c r="A4541" s="32">
        <v>42011</v>
      </c>
      <c r="B4541">
        <v>4</v>
      </c>
      <c r="C4541">
        <v>415</v>
      </c>
      <c r="D4541" t="s">
        <v>304</v>
      </c>
      <c r="E4541">
        <f>YEAR(A4541)</f>
        <v>2015</v>
      </c>
      <c r="F4541" s="33">
        <f>DATE(YEAR(A4541),MONTH(A4541),1)</f>
        <v>42005.0</v>
      </c>
      <c r="G4541" t="str">
        <f>CHOOSE(WEEKDAY(A4541,2),"Mon","Tue","Wed","Thu","Fri","Sat","Sun")</f>
        <v>Wed</v>
      </c>
      <c r="H4541" t="str">
        <f>IF(WEEKDAY(A4541,2)&gt;5,"Weekend","Weekday")</f>
        <v>Weekday</v>
      </c>
      <c r="I4541" t="str">
        <f>_xlfn.IFS(B4541&lt;=5,"Night (0-5)",B4541&lt;=9,"Morning peak (6-9)",B4541&lt;=15,"Midday (10-15)",B4541&lt;=19,"Evening peak (16-19)",TRUE,"Late evening (20-23)")</f>
        <v>Night (0-5)</v>
      </c>
    </row>
    <row r="4542" spans="1:9">
      <c r="A4542" s="32">
        <v>42011</v>
      </c>
      <c r="B4542">
        <v>5</v>
      </c>
      <c r="C4542">
        <v>611</v>
      </c>
      <c r="D4542" t="s">
        <v>304</v>
      </c>
      <c r="E4542">
        <f>YEAR(A4542)</f>
        <v>2015</v>
      </c>
      <c r="F4542" s="33">
        <f>DATE(YEAR(A4542),MONTH(A4542),1)</f>
        <v>42005.0</v>
      </c>
      <c r="G4542" t="str">
        <f>CHOOSE(WEEKDAY(A4542,2),"Mon","Tue","Wed","Thu","Fri","Sat","Sun")</f>
        <v>Wed</v>
      </c>
      <c r="H4542" t="str">
        <f>IF(WEEKDAY(A4542,2)&gt;5,"Weekend","Weekday")</f>
        <v>Weekday</v>
      </c>
      <c r="I4542" t="str">
        <f>_xlfn.IFS(B4542&lt;=5,"Night (0-5)",B4542&lt;=9,"Morning peak (6-9)",B4542&lt;=15,"Midday (10-15)",B4542&lt;=19,"Evening peak (16-19)",TRUE,"Late evening (20-23)")</f>
        <v>Night (0-5)</v>
      </c>
    </row>
    <row r="4543" spans="1:9">
      <c r="A4543" s="32">
        <v>42011</v>
      </c>
      <c r="B4543">
        <v>6</v>
      </c>
      <c r="C4543">
        <v>1380</v>
      </c>
      <c r="D4543" t="s">
        <v>304</v>
      </c>
      <c r="E4543">
        <f>YEAR(A4543)</f>
        <v>2015</v>
      </c>
      <c r="F4543" s="33">
        <f>DATE(YEAR(A4543),MONTH(A4543),1)</f>
        <v>42005.0</v>
      </c>
      <c r="G4543" t="str">
        <f>CHOOSE(WEEKDAY(A4543,2),"Mon","Tue","Wed","Thu","Fri","Sat","Sun")</f>
        <v>Wed</v>
      </c>
      <c r="H4543" t="str">
        <f>IF(WEEKDAY(A4543,2)&gt;5,"Weekend","Weekday")</f>
        <v>Weekday</v>
      </c>
      <c r="I4543" t="str">
        <f>_xlfn.IFS(B4543&lt;=5,"Night (0-5)",B4543&lt;=9,"Morning peak (6-9)",B4543&lt;=15,"Midday (10-15)",B4543&lt;=19,"Evening peak (16-19)",TRUE,"Late evening (20-23)")</f>
        <v>Morning peak (6-9)</v>
      </c>
    </row>
    <row r="4544" spans="1:9">
      <c r="A4544" s="32">
        <v>42011</v>
      </c>
      <c r="B4544">
        <v>7</v>
      </c>
      <c r="C4544">
        <v>2459</v>
      </c>
      <c r="D4544" t="s">
        <v>304</v>
      </c>
      <c r="E4544">
        <f>YEAR(A4544)</f>
        <v>2015</v>
      </c>
      <c r="F4544" s="33">
        <f>DATE(YEAR(A4544),MONTH(A4544),1)</f>
        <v>42005.0</v>
      </c>
      <c r="G4544" t="str">
        <f>CHOOSE(WEEKDAY(A4544,2),"Mon","Tue","Wed","Thu","Fri","Sat","Sun")</f>
        <v>Wed</v>
      </c>
      <c r="H4544" t="str">
        <f>IF(WEEKDAY(A4544,2)&gt;5,"Weekend","Weekday")</f>
        <v>Weekday</v>
      </c>
      <c r="I4544" t="str">
        <f>_xlfn.IFS(B4544&lt;=5,"Night (0-5)",B4544&lt;=9,"Morning peak (6-9)",B4544&lt;=15,"Midday (10-15)",B4544&lt;=19,"Evening peak (16-19)",TRUE,"Late evening (20-23)")</f>
        <v>Morning peak (6-9)</v>
      </c>
    </row>
    <row r="4545" spans="1:9">
      <c r="A4545" s="32">
        <v>42011</v>
      </c>
      <c r="B4545">
        <v>8</v>
      </c>
      <c r="C4545">
        <v>3379</v>
      </c>
      <c r="D4545" t="s">
        <v>304</v>
      </c>
      <c r="E4545">
        <f>YEAR(A4545)</f>
        <v>2015</v>
      </c>
      <c r="F4545" s="33">
        <f>DATE(YEAR(A4545),MONTH(A4545),1)</f>
        <v>42005.0</v>
      </c>
      <c r="G4545" t="str">
        <f>CHOOSE(WEEKDAY(A4545,2),"Mon","Tue","Wed","Thu","Fri","Sat","Sun")</f>
        <v>Wed</v>
      </c>
      <c r="H4545" t="str">
        <f>IF(WEEKDAY(A4545,2)&gt;5,"Weekend","Weekday")</f>
        <v>Weekday</v>
      </c>
      <c r="I4545" t="str">
        <f>_xlfn.IFS(B4545&lt;=5,"Night (0-5)",B4545&lt;=9,"Morning peak (6-9)",B4545&lt;=15,"Midday (10-15)",B4545&lt;=19,"Evening peak (16-19)",TRUE,"Late evening (20-23)")</f>
        <v>Morning peak (6-9)</v>
      </c>
    </row>
    <row r="4546" spans="1:9">
      <c r="A4546" s="32">
        <v>42011</v>
      </c>
      <c r="B4546">
        <v>9</v>
      </c>
      <c r="C4546">
        <v>2999</v>
      </c>
      <c r="D4546" t="s">
        <v>304</v>
      </c>
      <c r="E4546">
        <f>YEAR(A4546)</f>
        <v>2015</v>
      </c>
      <c r="F4546" s="33">
        <f>DATE(YEAR(A4546),MONTH(A4546),1)</f>
        <v>42005.0</v>
      </c>
      <c r="G4546" t="str">
        <f>CHOOSE(WEEKDAY(A4546,2),"Mon","Tue","Wed","Thu","Fri","Sat","Sun")</f>
        <v>Wed</v>
      </c>
      <c r="H4546" t="str">
        <f>IF(WEEKDAY(A4546,2)&gt;5,"Weekend","Weekday")</f>
        <v>Weekday</v>
      </c>
      <c r="I4546" t="str">
        <f>_xlfn.IFS(B4546&lt;=5,"Night (0-5)",B4546&lt;=9,"Morning peak (6-9)",B4546&lt;=15,"Midday (10-15)",B4546&lt;=19,"Evening peak (16-19)",TRUE,"Late evening (20-23)")</f>
        <v>Morning peak (6-9)</v>
      </c>
    </row>
    <row r="4547" spans="1:9">
      <c r="A4547" s="32">
        <v>42011</v>
      </c>
      <c r="B4547">
        <v>10</v>
      </c>
      <c r="C4547">
        <v>2158</v>
      </c>
      <c r="D4547" t="s">
        <v>304</v>
      </c>
      <c r="E4547">
        <f>YEAR(A4547)</f>
        <v>2015</v>
      </c>
      <c r="F4547" s="33">
        <f>DATE(YEAR(A4547),MONTH(A4547),1)</f>
        <v>42005.0</v>
      </c>
      <c r="G4547" t="str">
        <f>CHOOSE(WEEKDAY(A4547,2),"Mon","Tue","Wed","Thu","Fri","Sat","Sun")</f>
        <v>Wed</v>
      </c>
      <c r="H4547" t="str">
        <f>IF(WEEKDAY(A4547,2)&gt;5,"Weekend","Weekday")</f>
        <v>Weekday</v>
      </c>
      <c r="I4547" t="str">
        <f>_xlfn.IFS(B4547&lt;=5,"Night (0-5)",B4547&lt;=9,"Morning peak (6-9)",B4547&lt;=15,"Midday (10-15)",B4547&lt;=19,"Evening peak (16-19)",TRUE,"Late evening (20-23)")</f>
        <v>Midday (10-15)</v>
      </c>
    </row>
    <row r="4548" spans="1:9">
      <c r="A4548" s="32">
        <v>42011</v>
      </c>
      <c r="B4548">
        <v>11</v>
      </c>
      <c r="C4548">
        <v>1914</v>
      </c>
      <c r="D4548" t="s">
        <v>304</v>
      </c>
      <c r="E4548">
        <f>YEAR(A4548)</f>
        <v>2015</v>
      </c>
      <c r="F4548" s="33">
        <f>DATE(YEAR(A4548),MONTH(A4548),1)</f>
        <v>42005.0</v>
      </c>
      <c r="G4548" t="str">
        <f>CHOOSE(WEEKDAY(A4548,2),"Mon","Tue","Wed","Thu","Fri","Sat","Sun")</f>
        <v>Wed</v>
      </c>
      <c r="H4548" t="str">
        <f>IF(WEEKDAY(A4548,2)&gt;5,"Weekend","Weekday")</f>
        <v>Weekday</v>
      </c>
      <c r="I4548" t="str">
        <f>_xlfn.IFS(B4548&lt;=5,"Night (0-5)",B4548&lt;=9,"Morning peak (6-9)",B4548&lt;=15,"Midday (10-15)",B4548&lt;=19,"Evening peak (16-19)",TRUE,"Late evening (20-23)")</f>
        <v>Midday (10-15)</v>
      </c>
    </row>
    <row r="4549" spans="1:9">
      <c r="A4549" s="32">
        <v>42011</v>
      </c>
      <c r="B4549">
        <v>12</v>
      </c>
      <c r="C4549">
        <v>1970</v>
      </c>
      <c r="D4549" t="s">
        <v>304</v>
      </c>
      <c r="E4549">
        <f>YEAR(A4549)</f>
        <v>2015</v>
      </c>
      <c r="F4549" s="33">
        <f>DATE(YEAR(A4549),MONTH(A4549),1)</f>
        <v>42005.0</v>
      </c>
      <c r="G4549" t="str">
        <f>CHOOSE(WEEKDAY(A4549,2),"Mon","Tue","Wed","Thu","Fri","Sat","Sun")</f>
        <v>Wed</v>
      </c>
      <c r="H4549" t="str">
        <f>IF(WEEKDAY(A4549,2)&gt;5,"Weekend","Weekday")</f>
        <v>Weekday</v>
      </c>
      <c r="I4549" t="str">
        <f>_xlfn.IFS(B4549&lt;=5,"Night (0-5)",B4549&lt;=9,"Morning peak (6-9)",B4549&lt;=15,"Midday (10-15)",B4549&lt;=19,"Evening peak (16-19)",TRUE,"Late evening (20-23)")</f>
        <v>Midday (10-15)</v>
      </c>
    </row>
    <row r="4550" spans="1:9">
      <c r="A4550" s="32">
        <v>42011</v>
      </c>
      <c r="B4550">
        <v>13</v>
      </c>
      <c r="C4550">
        <v>2015</v>
      </c>
      <c r="D4550" t="s">
        <v>304</v>
      </c>
      <c r="E4550">
        <f>YEAR(A4550)</f>
        <v>2015</v>
      </c>
      <c r="F4550" s="33">
        <f>DATE(YEAR(A4550),MONTH(A4550),1)</f>
        <v>42005.0</v>
      </c>
      <c r="G4550" t="str">
        <f>CHOOSE(WEEKDAY(A4550,2),"Mon","Tue","Wed","Thu","Fri","Sat","Sun")</f>
        <v>Wed</v>
      </c>
      <c r="H4550" t="str">
        <f>IF(WEEKDAY(A4550,2)&gt;5,"Weekend","Weekday")</f>
        <v>Weekday</v>
      </c>
      <c r="I4550" t="str">
        <f>_xlfn.IFS(B4550&lt;=5,"Night (0-5)",B4550&lt;=9,"Morning peak (6-9)",B4550&lt;=15,"Midday (10-15)",B4550&lt;=19,"Evening peak (16-19)",TRUE,"Late evening (20-23)")</f>
        <v>Midday (10-15)</v>
      </c>
    </row>
    <row r="4551" spans="1:9">
      <c r="A4551" s="32">
        <v>42011</v>
      </c>
      <c r="B4551">
        <v>14</v>
      </c>
      <c r="C4551">
        <v>2341</v>
      </c>
      <c r="D4551" t="s">
        <v>304</v>
      </c>
      <c r="E4551">
        <f>YEAR(A4551)</f>
        <v>2015</v>
      </c>
      <c r="F4551" s="33">
        <f>DATE(YEAR(A4551),MONTH(A4551),1)</f>
        <v>42005.0</v>
      </c>
      <c r="G4551" t="str">
        <f>CHOOSE(WEEKDAY(A4551,2),"Mon","Tue","Wed","Thu","Fri","Sat","Sun")</f>
        <v>Wed</v>
      </c>
      <c r="H4551" t="str">
        <f>IF(WEEKDAY(A4551,2)&gt;5,"Weekend","Weekday")</f>
        <v>Weekday</v>
      </c>
      <c r="I4551" t="str">
        <f>_xlfn.IFS(B4551&lt;=5,"Night (0-5)",B4551&lt;=9,"Morning peak (6-9)",B4551&lt;=15,"Midday (10-15)",B4551&lt;=19,"Evening peak (16-19)",TRUE,"Late evening (20-23)")</f>
        <v>Midday (10-15)</v>
      </c>
    </row>
    <row r="4552" spans="1:9">
      <c r="A4552" s="32">
        <v>42011</v>
      </c>
      <c r="B4552">
        <v>15</v>
      </c>
      <c r="C4552">
        <v>2631</v>
      </c>
      <c r="D4552" t="s">
        <v>304</v>
      </c>
      <c r="E4552">
        <f>YEAR(A4552)</f>
        <v>2015</v>
      </c>
      <c r="F4552" s="33">
        <f>DATE(YEAR(A4552),MONTH(A4552),1)</f>
        <v>42005.0</v>
      </c>
      <c r="G4552" t="str">
        <f>CHOOSE(WEEKDAY(A4552,2),"Mon","Tue","Wed","Thu","Fri","Sat","Sun")</f>
        <v>Wed</v>
      </c>
      <c r="H4552" t="str">
        <f>IF(WEEKDAY(A4552,2)&gt;5,"Weekend","Weekday")</f>
        <v>Weekday</v>
      </c>
      <c r="I4552" t="str">
        <f>_xlfn.IFS(B4552&lt;=5,"Night (0-5)",B4552&lt;=9,"Morning peak (6-9)",B4552&lt;=15,"Midday (10-15)",B4552&lt;=19,"Evening peak (16-19)",TRUE,"Late evening (20-23)")</f>
        <v>Midday (10-15)</v>
      </c>
    </row>
    <row r="4553" spans="1:9">
      <c r="A4553" s="32">
        <v>42011</v>
      </c>
      <c r="B4553">
        <v>16</v>
      </c>
      <c r="C4553">
        <v>3303</v>
      </c>
      <c r="D4553" t="s">
        <v>304</v>
      </c>
      <c r="E4553">
        <f>YEAR(A4553)</f>
        <v>2015</v>
      </c>
      <c r="F4553" s="33">
        <f>DATE(YEAR(A4553),MONTH(A4553),1)</f>
        <v>42005.0</v>
      </c>
      <c r="G4553" t="str">
        <f>CHOOSE(WEEKDAY(A4553,2),"Mon","Tue","Wed","Thu","Fri","Sat","Sun")</f>
        <v>Wed</v>
      </c>
      <c r="H4553" t="str">
        <f>IF(WEEKDAY(A4553,2)&gt;5,"Weekend","Weekday")</f>
        <v>Weekday</v>
      </c>
      <c r="I4553" t="str">
        <f>_xlfn.IFS(B4553&lt;=5,"Night (0-5)",B4553&lt;=9,"Morning peak (6-9)",B4553&lt;=15,"Midday (10-15)",B4553&lt;=19,"Evening peak (16-19)",TRUE,"Late evening (20-23)")</f>
        <v>Evening peak (16-19)</v>
      </c>
    </row>
    <row r="4554" spans="1:9">
      <c r="A4554" s="32">
        <v>42011</v>
      </c>
      <c r="B4554">
        <v>17</v>
      </c>
      <c r="C4554">
        <v>4738</v>
      </c>
      <c r="D4554" t="s">
        <v>304</v>
      </c>
      <c r="E4554">
        <f>YEAR(A4554)</f>
        <v>2015</v>
      </c>
      <c r="F4554" s="33">
        <f>DATE(YEAR(A4554),MONTH(A4554),1)</f>
        <v>42005.0</v>
      </c>
      <c r="G4554" t="str">
        <f>CHOOSE(WEEKDAY(A4554,2),"Mon","Tue","Wed","Thu","Fri","Sat","Sun")</f>
        <v>Wed</v>
      </c>
      <c r="H4554" t="str">
        <f>IF(WEEKDAY(A4554,2)&gt;5,"Weekend","Weekday")</f>
        <v>Weekday</v>
      </c>
      <c r="I4554" t="str">
        <f>_xlfn.IFS(B4554&lt;=5,"Night (0-5)",B4554&lt;=9,"Morning peak (6-9)",B4554&lt;=15,"Midday (10-15)",B4554&lt;=19,"Evening peak (16-19)",TRUE,"Late evening (20-23)")</f>
        <v>Evening peak (16-19)</v>
      </c>
    </row>
    <row r="4555" spans="1:9">
      <c r="A4555" s="32">
        <v>42011</v>
      </c>
      <c r="B4555">
        <v>18</v>
      </c>
      <c r="C4555">
        <v>5848</v>
      </c>
      <c r="D4555" t="s">
        <v>304</v>
      </c>
      <c r="E4555">
        <f>YEAR(A4555)</f>
        <v>2015</v>
      </c>
      <c r="F4555" s="33">
        <f>DATE(YEAR(A4555),MONTH(A4555),1)</f>
        <v>42005.0</v>
      </c>
      <c r="G4555" t="str">
        <f>CHOOSE(WEEKDAY(A4555,2),"Mon","Tue","Wed","Thu","Fri","Sat","Sun")</f>
        <v>Wed</v>
      </c>
      <c r="H4555" t="str">
        <f>IF(WEEKDAY(A4555,2)&gt;5,"Weekend","Weekday")</f>
        <v>Weekday</v>
      </c>
      <c r="I4555" t="str">
        <f>_xlfn.IFS(B4555&lt;=5,"Night (0-5)",B4555&lt;=9,"Morning peak (6-9)",B4555&lt;=15,"Midday (10-15)",B4555&lt;=19,"Evening peak (16-19)",TRUE,"Late evening (20-23)")</f>
        <v>Evening peak (16-19)</v>
      </c>
    </row>
    <row r="4556" spans="1:9">
      <c r="A4556" s="32">
        <v>42011</v>
      </c>
      <c r="B4556">
        <v>19</v>
      </c>
      <c r="C4556">
        <v>5713</v>
      </c>
      <c r="D4556" t="s">
        <v>304</v>
      </c>
      <c r="E4556">
        <f>YEAR(A4556)</f>
        <v>2015</v>
      </c>
      <c r="F4556" s="33">
        <f>DATE(YEAR(A4556),MONTH(A4556),1)</f>
        <v>42005.0</v>
      </c>
      <c r="G4556" t="str">
        <f>CHOOSE(WEEKDAY(A4556,2),"Mon","Tue","Wed","Thu","Fri","Sat","Sun")</f>
        <v>Wed</v>
      </c>
      <c r="H4556" t="str">
        <f>IF(WEEKDAY(A4556,2)&gt;5,"Weekend","Weekday")</f>
        <v>Weekday</v>
      </c>
      <c r="I4556" t="str">
        <f>_xlfn.IFS(B4556&lt;=5,"Night (0-5)",B4556&lt;=9,"Morning peak (6-9)",B4556&lt;=15,"Midday (10-15)",B4556&lt;=19,"Evening peak (16-19)",TRUE,"Late evening (20-23)")</f>
        <v>Evening peak (16-19)</v>
      </c>
    </row>
    <row r="4557" spans="1:9">
      <c r="A4557" s="32">
        <v>42011</v>
      </c>
      <c r="B4557">
        <v>20</v>
      </c>
      <c r="C4557">
        <v>5009</v>
      </c>
      <c r="D4557" t="s">
        <v>304</v>
      </c>
      <c r="E4557">
        <f>YEAR(A4557)</f>
        <v>2015</v>
      </c>
      <c r="F4557" s="33">
        <f>DATE(YEAR(A4557),MONTH(A4557),1)</f>
        <v>42005.0</v>
      </c>
      <c r="G4557" t="str">
        <f>CHOOSE(WEEKDAY(A4557,2),"Mon","Tue","Wed","Thu","Fri","Sat","Sun")</f>
        <v>Wed</v>
      </c>
      <c r="H4557" t="str">
        <f>IF(WEEKDAY(A4557,2)&gt;5,"Weekend","Weekday")</f>
        <v>Weekday</v>
      </c>
      <c r="I4557" t="str">
        <f>_xlfn.IFS(B4557&lt;=5,"Night (0-5)",B4557&lt;=9,"Morning peak (6-9)",B4557&lt;=15,"Midday (10-15)",B4557&lt;=19,"Evening peak (16-19)",TRUE,"Late evening (20-23)")</f>
        <v>Late evening (20-23)</v>
      </c>
    </row>
    <row r="4558" spans="1:9">
      <c r="A4558" s="32">
        <v>42011</v>
      </c>
      <c r="B4558">
        <v>21</v>
      </c>
      <c r="C4558">
        <v>4815</v>
      </c>
      <c r="D4558" t="s">
        <v>304</v>
      </c>
      <c r="E4558">
        <f>YEAR(A4558)</f>
        <v>2015</v>
      </c>
      <c r="F4558" s="33">
        <f>DATE(YEAR(A4558),MONTH(A4558),1)</f>
        <v>42005.0</v>
      </c>
      <c r="G4558" t="str">
        <f>CHOOSE(WEEKDAY(A4558,2),"Mon","Tue","Wed","Thu","Fri","Sat","Sun")</f>
        <v>Wed</v>
      </c>
      <c r="H4558" t="str">
        <f>IF(WEEKDAY(A4558,2)&gt;5,"Weekend","Weekday")</f>
        <v>Weekday</v>
      </c>
      <c r="I4558" t="str">
        <f>_xlfn.IFS(B4558&lt;=5,"Night (0-5)",B4558&lt;=9,"Morning peak (6-9)",B4558&lt;=15,"Midday (10-15)",B4558&lt;=19,"Evening peak (16-19)",TRUE,"Late evening (20-23)")</f>
        <v>Late evening (20-23)</v>
      </c>
    </row>
    <row r="4559" spans="1:9">
      <c r="A4559" s="32">
        <v>42011</v>
      </c>
      <c r="B4559">
        <v>22</v>
      </c>
      <c r="C4559">
        <v>4205</v>
      </c>
      <c r="D4559" t="s">
        <v>304</v>
      </c>
      <c r="E4559">
        <f>YEAR(A4559)</f>
        <v>2015</v>
      </c>
      <c r="F4559" s="33">
        <f>DATE(YEAR(A4559),MONTH(A4559),1)</f>
        <v>42005.0</v>
      </c>
      <c r="G4559" t="str">
        <f>CHOOSE(WEEKDAY(A4559,2),"Mon","Tue","Wed","Thu","Fri","Sat","Sun")</f>
        <v>Wed</v>
      </c>
      <c r="H4559" t="str">
        <f>IF(WEEKDAY(A4559,2)&gt;5,"Weekend","Weekday")</f>
        <v>Weekday</v>
      </c>
      <c r="I4559" t="str">
        <f>_xlfn.IFS(B4559&lt;=5,"Night (0-5)",B4559&lt;=9,"Morning peak (6-9)",B4559&lt;=15,"Midday (10-15)",B4559&lt;=19,"Evening peak (16-19)",TRUE,"Late evening (20-23)")</f>
        <v>Late evening (20-23)</v>
      </c>
    </row>
    <row r="4560" spans="1:9">
      <c r="A4560" s="32">
        <v>42011</v>
      </c>
      <c r="B4560">
        <v>23</v>
      </c>
      <c r="C4560">
        <v>2956</v>
      </c>
      <c r="D4560" t="s">
        <v>304</v>
      </c>
      <c r="E4560">
        <f>YEAR(A4560)</f>
        <v>2015</v>
      </c>
      <c r="F4560" s="33">
        <f>DATE(YEAR(A4560),MONTH(A4560),1)</f>
        <v>42005.0</v>
      </c>
      <c r="G4560" t="str">
        <f>CHOOSE(WEEKDAY(A4560,2),"Mon","Tue","Wed","Thu","Fri","Sat","Sun")</f>
        <v>Wed</v>
      </c>
      <c r="H4560" t="str">
        <f>IF(WEEKDAY(A4560,2)&gt;5,"Weekend","Weekday")</f>
        <v>Weekday</v>
      </c>
      <c r="I4560" t="str">
        <f>_xlfn.IFS(B4560&lt;=5,"Night (0-5)",B4560&lt;=9,"Morning peak (6-9)",B4560&lt;=15,"Midday (10-15)",B4560&lt;=19,"Evening peak (16-19)",TRUE,"Late evening (20-23)")</f>
        <v>Late evening (20-23)</v>
      </c>
    </row>
    <row r="4561" spans="1:9">
      <c r="A4561" s="32">
        <v>42012</v>
      </c>
      <c r="B4561">
        <v>0</v>
      </c>
      <c r="C4561">
        <v>1654</v>
      </c>
      <c r="D4561" t="s">
        <v>304</v>
      </c>
      <c r="E4561">
        <f>YEAR(A4561)</f>
        <v>2015</v>
      </c>
      <c r="F4561" s="33">
        <f>DATE(YEAR(A4561),MONTH(A4561),1)</f>
        <v>42005.0</v>
      </c>
      <c r="G4561" t="str">
        <f>CHOOSE(WEEKDAY(A4561,2),"Mon","Tue","Wed","Thu","Fri","Sat","Sun")</f>
        <v>Thu</v>
      </c>
      <c r="H4561" t="str">
        <f>IF(WEEKDAY(A4561,2)&gt;5,"Weekend","Weekday")</f>
        <v>Weekday</v>
      </c>
      <c r="I4561" t="str">
        <f>_xlfn.IFS(B4561&lt;=5,"Night (0-5)",B4561&lt;=9,"Morning peak (6-9)",B4561&lt;=15,"Midday (10-15)",B4561&lt;=19,"Evening peak (16-19)",TRUE,"Late evening (20-23)")</f>
        <v>Night (0-5)</v>
      </c>
    </row>
    <row r="4562" spans="1:9">
      <c r="A4562" s="32">
        <v>42012</v>
      </c>
      <c r="B4562">
        <v>1</v>
      </c>
      <c r="C4562">
        <v>838</v>
      </c>
      <c r="D4562" t="s">
        <v>304</v>
      </c>
      <c r="E4562">
        <f>YEAR(A4562)</f>
        <v>2015</v>
      </c>
      <c r="F4562" s="33">
        <f>DATE(YEAR(A4562),MONTH(A4562),1)</f>
        <v>42005.0</v>
      </c>
      <c r="G4562" t="str">
        <f>CHOOSE(WEEKDAY(A4562,2),"Mon","Tue","Wed","Thu","Fri","Sat","Sun")</f>
        <v>Thu</v>
      </c>
      <c r="H4562" t="str">
        <f>IF(WEEKDAY(A4562,2)&gt;5,"Weekend","Weekday")</f>
        <v>Weekday</v>
      </c>
      <c r="I4562" t="str">
        <f>_xlfn.IFS(B4562&lt;=5,"Night (0-5)",B4562&lt;=9,"Morning peak (6-9)",B4562&lt;=15,"Midday (10-15)",B4562&lt;=19,"Evening peak (16-19)",TRUE,"Late evening (20-23)")</f>
        <v>Night (0-5)</v>
      </c>
    </row>
    <row r="4563" spans="1:9">
      <c r="A4563" s="32">
        <v>42012</v>
      </c>
      <c r="B4563">
        <v>2</v>
      </c>
      <c r="C4563">
        <v>482</v>
      </c>
      <c r="D4563" t="s">
        <v>304</v>
      </c>
      <c r="E4563">
        <f>YEAR(A4563)</f>
        <v>2015</v>
      </c>
      <c r="F4563" s="33">
        <f>DATE(YEAR(A4563),MONTH(A4563),1)</f>
        <v>42005.0</v>
      </c>
      <c r="G4563" t="str">
        <f>CHOOSE(WEEKDAY(A4563,2),"Mon","Tue","Wed","Thu","Fri","Sat","Sun")</f>
        <v>Thu</v>
      </c>
      <c r="H4563" t="str">
        <f>IF(WEEKDAY(A4563,2)&gt;5,"Weekend","Weekday")</f>
        <v>Weekday</v>
      </c>
      <c r="I4563" t="str">
        <f>_xlfn.IFS(B4563&lt;=5,"Night (0-5)",B4563&lt;=9,"Morning peak (6-9)",B4563&lt;=15,"Midday (10-15)",B4563&lt;=19,"Evening peak (16-19)",TRUE,"Late evening (20-23)")</f>
        <v>Night (0-5)</v>
      </c>
    </row>
    <row r="4564" spans="1:9">
      <c r="A4564" s="32">
        <v>42012</v>
      </c>
      <c r="B4564">
        <v>3</v>
      </c>
      <c r="C4564">
        <v>325</v>
      </c>
      <c r="D4564" t="s">
        <v>304</v>
      </c>
      <c r="E4564">
        <f>YEAR(A4564)</f>
        <v>2015</v>
      </c>
      <c r="F4564" s="33">
        <f>DATE(YEAR(A4564),MONTH(A4564),1)</f>
        <v>42005.0</v>
      </c>
      <c r="G4564" t="str">
        <f>CHOOSE(WEEKDAY(A4564,2),"Mon","Tue","Wed","Thu","Fri","Sat","Sun")</f>
        <v>Thu</v>
      </c>
      <c r="H4564" t="str">
        <f>IF(WEEKDAY(A4564,2)&gt;5,"Weekend","Weekday")</f>
        <v>Weekday</v>
      </c>
      <c r="I4564" t="str">
        <f>_xlfn.IFS(B4564&lt;=5,"Night (0-5)",B4564&lt;=9,"Morning peak (6-9)",B4564&lt;=15,"Midday (10-15)",B4564&lt;=19,"Evening peak (16-19)",TRUE,"Late evening (20-23)")</f>
        <v>Night (0-5)</v>
      </c>
    </row>
    <row r="4565" spans="1:9">
      <c r="A4565" s="32">
        <v>42012</v>
      </c>
      <c r="B4565">
        <v>4</v>
      </c>
      <c r="C4565">
        <v>412</v>
      </c>
      <c r="D4565" t="s">
        <v>304</v>
      </c>
      <c r="E4565">
        <f>YEAR(A4565)</f>
        <v>2015</v>
      </c>
      <c r="F4565" s="33">
        <f>DATE(YEAR(A4565),MONTH(A4565),1)</f>
        <v>42005.0</v>
      </c>
      <c r="G4565" t="str">
        <f>CHOOSE(WEEKDAY(A4565,2),"Mon","Tue","Wed","Thu","Fri","Sat","Sun")</f>
        <v>Thu</v>
      </c>
      <c r="H4565" t="str">
        <f>IF(WEEKDAY(A4565,2)&gt;5,"Weekend","Weekday")</f>
        <v>Weekday</v>
      </c>
      <c r="I4565" t="str">
        <f>_xlfn.IFS(B4565&lt;=5,"Night (0-5)",B4565&lt;=9,"Morning peak (6-9)",B4565&lt;=15,"Midday (10-15)",B4565&lt;=19,"Evening peak (16-19)",TRUE,"Late evening (20-23)")</f>
        <v>Night (0-5)</v>
      </c>
    </row>
    <row r="4566" spans="1:9">
      <c r="A4566" s="32">
        <v>42012</v>
      </c>
      <c r="B4566">
        <v>5</v>
      </c>
      <c r="C4566">
        <v>749</v>
      </c>
      <c r="D4566" t="s">
        <v>304</v>
      </c>
      <c r="E4566">
        <f>YEAR(A4566)</f>
        <v>2015</v>
      </c>
      <c r="F4566" s="33">
        <f>DATE(YEAR(A4566),MONTH(A4566),1)</f>
        <v>42005.0</v>
      </c>
      <c r="G4566" t="str">
        <f>CHOOSE(WEEKDAY(A4566,2),"Mon","Tue","Wed","Thu","Fri","Sat","Sun")</f>
        <v>Thu</v>
      </c>
      <c r="H4566" t="str">
        <f>IF(WEEKDAY(A4566,2)&gt;5,"Weekend","Weekday")</f>
        <v>Weekday</v>
      </c>
      <c r="I4566" t="str">
        <f>_xlfn.IFS(B4566&lt;=5,"Night (0-5)",B4566&lt;=9,"Morning peak (6-9)",B4566&lt;=15,"Midday (10-15)",B4566&lt;=19,"Evening peak (16-19)",TRUE,"Late evening (20-23)")</f>
        <v>Night (0-5)</v>
      </c>
    </row>
    <row r="4567" spans="1:9">
      <c r="A4567" s="32">
        <v>42012</v>
      </c>
      <c r="B4567">
        <v>6</v>
      </c>
      <c r="C4567">
        <v>1652</v>
      </c>
      <c r="D4567" t="s">
        <v>304</v>
      </c>
      <c r="E4567">
        <f>YEAR(A4567)</f>
        <v>2015</v>
      </c>
      <c r="F4567" s="33">
        <f>DATE(YEAR(A4567),MONTH(A4567),1)</f>
        <v>42005.0</v>
      </c>
      <c r="G4567" t="str">
        <f>CHOOSE(WEEKDAY(A4567,2),"Mon","Tue","Wed","Thu","Fri","Sat","Sun")</f>
        <v>Thu</v>
      </c>
      <c r="H4567" t="str">
        <f>IF(WEEKDAY(A4567,2)&gt;5,"Weekend","Weekday")</f>
        <v>Weekday</v>
      </c>
      <c r="I4567" t="str">
        <f>_xlfn.IFS(B4567&lt;=5,"Night (0-5)",B4567&lt;=9,"Morning peak (6-9)",B4567&lt;=15,"Midday (10-15)",B4567&lt;=19,"Evening peak (16-19)",TRUE,"Late evening (20-23)")</f>
        <v>Morning peak (6-9)</v>
      </c>
    </row>
    <row r="4568" spans="1:9">
      <c r="A4568" s="32">
        <v>42012</v>
      </c>
      <c r="B4568">
        <v>7</v>
      </c>
      <c r="C4568">
        <v>3093</v>
      </c>
      <c r="D4568" t="s">
        <v>304</v>
      </c>
      <c r="E4568">
        <f>YEAR(A4568)</f>
        <v>2015</v>
      </c>
      <c r="F4568" s="33">
        <f>DATE(YEAR(A4568),MONTH(A4568),1)</f>
        <v>42005.0</v>
      </c>
      <c r="G4568" t="str">
        <f>CHOOSE(WEEKDAY(A4568,2),"Mon","Tue","Wed","Thu","Fri","Sat","Sun")</f>
        <v>Thu</v>
      </c>
      <c r="H4568" t="str">
        <f>IF(WEEKDAY(A4568,2)&gt;5,"Weekend","Weekday")</f>
        <v>Weekday</v>
      </c>
      <c r="I4568" t="str">
        <f>_xlfn.IFS(B4568&lt;=5,"Night (0-5)",B4568&lt;=9,"Morning peak (6-9)",B4568&lt;=15,"Midday (10-15)",B4568&lt;=19,"Evening peak (16-19)",TRUE,"Late evening (20-23)")</f>
        <v>Morning peak (6-9)</v>
      </c>
    </row>
    <row r="4569" spans="1:9">
      <c r="A4569" s="32">
        <v>42012</v>
      </c>
      <c r="B4569">
        <v>8</v>
      </c>
      <c r="C4569">
        <v>4122</v>
      </c>
      <c r="D4569" t="s">
        <v>304</v>
      </c>
      <c r="E4569">
        <f>YEAR(A4569)</f>
        <v>2015</v>
      </c>
      <c r="F4569" s="33">
        <f>DATE(YEAR(A4569),MONTH(A4569),1)</f>
        <v>42005.0</v>
      </c>
      <c r="G4569" t="str">
        <f>CHOOSE(WEEKDAY(A4569,2),"Mon","Tue","Wed","Thu","Fri","Sat","Sun")</f>
        <v>Thu</v>
      </c>
      <c r="H4569" t="str">
        <f>IF(WEEKDAY(A4569,2)&gt;5,"Weekend","Weekday")</f>
        <v>Weekday</v>
      </c>
      <c r="I4569" t="str">
        <f>_xlfn.IFS(B4569&lt;=5,"Night (0-5)",B4569&lt;=9,"Morning peak (6-9)",B4569&lt;=15,"Midday (10-15)",B4569&lt;=19,"Evening peak (16-19)",TRUE,"Late evening (20-23)")</f>
        <v>Morning peak (6-9)</v>
      </c>
    </row>
    <row r="4570" spans="1:9">
      <c r="A4570" s="32">
        <v>42012</v>
      </c>
      <c r="B4570">
        <v>9</v>
      </c>
      <c r="C4570">
        <v>3774</v>
      </c>
      <c r="D4570" t="s">
        <v>304</v>
      </c>
      <c r="E4570">
        <f>YEAR(A4570)</f>
        <v>2015</v>
      </c>
      <c r="F4570" s="33">
        <f>DATE(YEAR(A4570),MONTH(A4570),1)</f>
        <v>42005.0</v>
      </c>
      <c r="G4570" t="str">
        <f>CHOOSE(WEEKDAY(A4570,2),"Mon","Tue","Wed","Thu","Fri","Sat","Sun")</f>
        <v>Thu</v>
      </c>
      <c r="H4570" t="str">
        <f>IF(WEEKDAY(A4570,2)&gt;5,"Weekend","Weekday")</f>
        <v>Weekday</v>
      </c>
      <c r="I4570" t="str">
        <f>_xlfn.IFS(B4570&lt;=5,"Night (0-5)",B4570&lt;=9,"Morning peak (6-9)",B4570&lt;=15,"Midday (10-15)",B4570&lt;=19,"Evening peak (16-19)",TRUE,"Late evening (20-23)")</f>
        <v>Morning peak (6-9)</v>
      </c>
    </row>
    <row r="4571" spans="1:9">
      <c r="A4571" s="32">
        <v>42012</v>
      </c>
      <c r="B4571">
        <v>10</v>
      </c>
      <c r="C4571">
        <v>2672</v>
      </c>
      <c r="D4571" t="s">
        <v>304</v>
      </c>
      <c r="E4571">
        <f>YEAR(A4571)</f>
        <v>2015</v>
      </c>
      <c r="F4571" s="33">
        <f>DATE(YEAR(A4571),MONTH(A4571),1)</f>
        <v>42005.0</v>
      </c>
      <c r="G4571" t="str">
        <f>CHOOSE(WEEKDAY(A4571,2),"Mon","Tue","Wed","Thu","Fri","Sat","Sun")</f>
        <v>Thu</v>
      </c>
      <c r="H4571" t="str">
        <f>IF(WEEKDAY(A4571,2)&gt;5,"Weekend","Weekday")</f>
        <v>Weekday</v>
      </c>
      <c r="I4571" t="str">
        <f>_xlfn.IFS(B4571&lt;=5,"Night (0-5)",B4571&lt;=9,"Morning peak (6-9)",B4571&lt;=15,"Midday (10-15)",B4571&lt;=19,"Evening peak (16-19)",TRUE,"Late evening (20-23)")</f>
        <v>Midday (10-15)</v>
      </c>
    </row>
    <row r="4572" spans="1:9">
      <c r="A4572" s="32">
        <v>42012</v>
      </c>
      <c r="B4572">
        <v>11</v>
      </c>
      <c r="C4572">
        <v>2448</v>
      </c>
      <c r="D4572" t="s">
        <v>304</v>
      </c>
      <c r="E4572">
        <f>YEAR(A4572)</f>
        <v>2015</v>
      </c>
      <c r="F4572" s="33">
        <f>DATE(YEAR(A4572),MONTH(A4572),1)</f>
        <v>42005.0</v>
      </c>
      <c r="G4572" t="str">
        <f>CHOOSE(WEEKDAY(A4572,2),"Mon","Tue","Wed","Thu","Fri","Sat","Sun")</f>
        <v>Thu</v>
      </c>
      <c r="H4572" t="str">
        <f>IF(WEEKDAY(A4572,2)&gt;5,"Weekend","Weekday")</f>
        <v>Weekday</v>
      </c>
      <c r="I4572" t="str">
        <f>_xlfn.IFS(B4572&lt;=5,"Night (0-5)",B4572&lt;=9,"Morning peak (6-9)",B4572&lt;=15,"Midday (10-15)",B4572&lt;=19,"Evening peak (16-19)",TRUE,"Late evening (20-23)")</f>
        <v>Midday (10-15)</v>
      </c>
    </row>
    <row r="4573" spans="1:9">
      <c r="A4573" s="32">
        <v>42012</v>
      </c>
      <c r="B4573">
        <v>12</v>
      </c>
      <c r="C4573">
        <v>2377</v>
      </c>
      <c r="D4573" t="s">
        <v>304</v>
      </c>
      <c r="E4573">
        <f>YEAR(A4573)</f>
        <v>2015</v>
      </c>
      <c r="F4573" s="33">
        <f>DATE(YEAR(A4573),MONTH(A4573),1)</f>
        <v>42005.0</v>
      </c>
      <c r="G4573" t="str">
        <f>CHOOSE(WEEKDAY(A4573,2),"Mon","Tue","Wed","Thu","Fri","Sat","Sun")</f>
        <v>Thu</v>
      </c>
      <c r="H4573" t="str">
        <f>IF(WEEKDAY(A4573,2)&gt;5,"Weekend","Weekday")</f>
        <v>Weekday</v>
      </c>
      <c r="I4573" t="str">
        <f>_xlfn.IFS(B4573&lt;=5,"Night (0-5)",B4573&lt;=9,"Morning peak (6-9)",B4573&lt;=15,"Midday (10-15)",B4573&lt;=19,"Evening peak (16-19)",TRUE,"Late evening (20-23)")</f>
        <v>Midday (10-15)</v>
      </c>
    </row>
    <row r="4574" spans="1:9">
      <c r="A4574" s="32">
        <v>42012</v>
      </c>
      <c r="B4574">
        <v>13</v>
      </c>
      <c r="C4574">
        <v>2457</v>
      </c>
      <c r="D4574" t="s">
        <v>304</v>
      </c>
      <c r="E4574">
        <f>YEAR(A4574)</f>
        <v>2015</v>
      </c>
      <c r="F4574" s="33">
        <f>DATE(YEAR(A4574),MONTH(A4574),1)</f>
        <v>42005.0</v>
      </c>
      <c r="G4574" t="str">
        <f>CHOOSE(WEEKDAY(A4574,2),"Mon","Tue","Wed","Thu","Fri","Sat","Sun")</f>
        <v>Thu</v>
      </c>
      <c r="H4574" t="str">
        <f>IF(WEEKDAY(A4574,2)&gt;5,"Weekend","Weekday")</f>
        <v>Weekday</v>
      </c>
      <c r="I4574" t="str">
        <f>_xlfn.IFS(B4574&lt;=5,"Night (0-5)",B4574&lt;=9,"Morning peak (6-9)",B4574&lt;=15,"Midday (10-15)",B4574&lt;=19,"Evening peak (16-19)",TRUE,"Late evening (20-23)")</f>
        <v>Midday (10-15)</v>
      </c>
    </row>
    <row r="4575" spans="1:9">
      <c r="A4575" s="32">
        <v>42012</v>
      </c>
      <c r="B4575">
        <v>14</v>
      </c>
      <c r="C4575">
        <v>2726</v>
      </c>
      <c r="D4575" t="s">
        <v>304</v>
      </c>
      <c r="E4575">
        <f>YEAR(A4575)</f>
        <v>2015</v>
      </c>
      <c r="F4575" s="33">
        <f>DATE(YEAR(A4575),MONTH(A4575),1)</f>
        <v>42005.0</v>
      </c>
      <c r="G4575" t="str">
        <f>CHOOSE(WEEKDAY(A4575,2),"Mon","Tue","Wed","Thu","Fri","Sat","Sun")</f>
        <v>Thu</v>
      </c>
      <c r="H4575" t="str">
        <f>IF(WEEKDAY(A4575,2)&gt;5,"Weekend","Weekday")</f>
        <v>Weekday</v>
      </c>
      <c r="I4575" t="str">
        <f>_xlfn.IFS(B4575&lt;=5,"Night (0-5)",B4575&lt;=9,"Morning peak (6-9)",B4575&lt;=15,"Midday (10-15)",B4575&lt;=19,"Evening peak (16-19)",TRUE,"Late evening (20-23)")</f>
        <v>Midday (10-15)</v>
      </c>
    </row>
    <row r="4576" spans="1:9">
      <c r="A4576" s="32">
        <v>42012</v>
      </c>
      <c r="B4576">
        <v>15</v>
      </c>
      <c r="C4576">
        <v>3296</v>
      </c>
      <c r="D4576" t="s">
        <v>304</v>
      </c>
      <c r="E4576">
        <f>YEAR(A4576)</f>
        <v>2015</v>
      </c>
      <c r="F4576" s="33">
        <f>DATE(YEAR(A4576),MONTH(A4576),1)</f>
        <v>42005.0</v>
      </c>
      <c r="G4576" t="str">
        <f>CHOOSE(WEEKDAY(A4576,2),"Mon","Tue","Wed","Thu","Fri","Sat","Sun")</f>
        <v>Thu</v>
      </c>
      <c r="H4576" t="str">
        <f>IF(WEEKDAY(A4576,2)&gt;5,"Weekend","Weekday")</f>
        <v>Weekday</v>
      </c>
      <c r="I4576" t="str">
        <f>_xlfn.IFS(B4576&lt;=5,"Night (0-5)",B4576&lt;=9,"Morning peak (6-9)",B4576&lt;=15,"Midday (10-15)",B4576&lt;=19,"Evening peak (16-19)",TRUE,"Late evening (20-23)")</f>
        <v>Midday (10-15)</v>
      </c>
    </row>
    <row r="4577" spans="1:9">
      <c r="A4577" s="32">
        <v>42012</v>
      </c>
      <c r="B4577">
        <v>16</v>
      </c>
      <c r="C4577">
        <v>3797</v>
      </c>
      <c r="D4577" t="s">
        <v>304</v>
      </c>
      <c r="E4577">
        <f>YEAR(A4577)</f>
        <v>2015</v>
      </c>
      <c r="F4577" s="33">
        <f>DATE(YEAR(A4577),MONTH(A4577),1)</f>
        <v>42005.0</v>
      </c>
      <c r="G4577" t="str">
        <f>CHOOSE(WEEKDAY(A4577,2),"Mon","Tue","Wed","Thu","Fri","Sat","Sun")</f>
        <v>Thu</v>
      </c>
      <c r="H4577" t="str">
        <f>IF(WEEKDAY(A4577,2)&gt;5,"Weekend","Weekday")</f>
        <v>Weekday</v>
      </c>
      <c r="I4577" t="str">
        <f>_xlfn.IFS(B4577&lt;=5,"Night (0-5)",B4577&lt;=9,"Morning peak (6-9)",B4577&lt;=15,"Midday (10-15)",B4577&lt;=19,"Evening peak (16-19)",TRUE,"Late evening (20-23)")</f>
        <v>Evening peak (16-19)</v>
      </c>
    </row>
    <row r="4578" spans="1:9">
      <c r="A4578" s="32">
        <v>42012</v>
      </c>
      <c r="B4578">
        <v>17</v>
      </c>
      <c r="C4578">
        <v>5084</v>
      </c>
      <c r="D4578" t="s">
        <v>304</v>
      </c>
      <c r="E4578">
        <f>YEAR(A4578)</f>
        <v>2015</v>
      </c>
      <c r="F4578" s="33">
        <f>DATE(YEAR(A4578),MONTH(A4578),1)</f>
        <v>42005.0</v>
      </c>
      <c r="G4578" t="str">
        <f>CHOOSE(WEEKDAY(A4578,2),"Mon","Tue","Wed","Thu","Fri","Sat","Sun")</f>
        <v>Thu</v>
      </c>
      <c r="H4578" t="str">
        <f>IF(WEEKDAY(A4578,2)&gt;5,"Weekend","Weekday")</f>
        <v>Weekday</v>
      </c>
      <c r="I4578" t="str">
        <f>_xlfn.IFS(B4578&lt;=5,"Night (0-5)",B4578&lt;=9,"Morning peak (6-9)",B4578&lt;=15,"Midday (10-15)",B4578&lt;=19,"Evening peak (16-19)",TRUE,"Late evening (20-23)")</f>
        <v>Evening peak (16-19)</v>
      </c>
    </row>
    <row r="4579" spans="1:9">
      <c r="A4579" s="32">
        <v>42012</v>
      </c>
      <c r="B4579">
        <v>18</v>
      </c>
      <c r="C4579">
        <v>6083</v>
      </c>
      <c r="D4579" t="s">
        <v>304</v>
      </c>
      <c r="E4579">
        <f>YEAR(A4579)</f>
        <v>2015</v>
      </c>
      <c r="F4579" s="33">
        <f>DATE(YEAR(A4579),MONTH(A4579),1)</f>
        <v>42005.0</v>
      </c>
      <c r="G4579" t="str">
        <f>CHOOSE(WEEKDAY(A4579,2),"Mon","Tue","Wed","Thu","Fri","Sat","Sun")</f>
        <v>Thu</v>
      </c>
      <c r="H4579" t="str">
        <f>IF(WEEKDAY(A4579,2)&gt;5,"Weekend","Weekday")</f>
        <v>Weekday</v>
      </c>
      <c r="I4579" t="str">
        <f>_xlfn.IFS(B4579&lt;=5,"Night (0-5)",B4579&lt;=9,"Morning peak (6-9)",B4579&lt;=15,"Midday (10-15)",B4579&lt;=19,"Evening peak (16-19)",TRUE,"Late evening (20-23)")</f>
        <v>Evening peak (16-19)</v>
      </c>
    </row>
    <row r="4580" spans="1:9">
      <c r="A4580" s="32">
        <v>42012</v>
      </c>
      <c r="B4580">
        <v>19</v>
      </c>
      <c r="C4580">
        <v>6168</v>
      </c>
      <c r="D4580" t="s">
        <v>304</v>
      </c>
      <c r="E4580">
        <f>YEAR(A4580)</f>
        <v>2015</v>
      </c>
      <c r="F4580" s="33">
        <f>DATE(YEAR(A4580),MONTH(A4580),1)</f>
        <v>42005.0</v>
      </c>
      <c r="G4580" t="str">
        <f>CHOOSE(WEEKDAY(A4580,2),"Mon","Tue","Wed","Thu","Fri","Sat","Sun")</f>
        <v>Thu</v>
      </c>
      <c r="H4580" t="str">
        <f>IF(WEEKDAY(A4580,2)&gt;5,"Weekend","Weekday")</f>
        <v>Weekday</v>
      </c>
      <c r="I4580" t="str">
        <f>_xlfn.IFS(B4580&lt;=5,"Night (0-5)",B4580&lt;=9,"Morning peak (6-9)",B4580&lt;=15,"Midday (10-15)",B4580&lt;=19,"Evening peak (16-19)",TRUE,"Late evening (20-23)")</f>
        <v>Evening peak (16-19)</v>
      </c>
    </row>
    <row r="4581" spans="1:9">
      <c r="A4581" s="32">
        <v>42012</v>
      </c>
      <c r="B4581">
        <v>20</v>
      </c>
      <c r="C4581">
        <v>5441</v>
      </c>
      <c r="D4581" t="s">
        <v>304</v>
      </c>
      <c r="E4581">
        <f>YEAR(A4581)</f>
        <v>2015</v>
      </c>
      <c r="F4581" s="33">
        <f>DATE(YEAR(A4581),MONTH(A4581),1)</f>
        <v>42005.0</v>
      </c>
      <c r="G4581" t="str">
        <f>CHOOSE(WEEKDAY(A4581,2),"Mon","Tue","Wed","Thu","Fri","Sat","Sun")</f>
        <v>Thu</v>
      </c>
      <c r="H4581" t="str">
        <f>IF(WEEKDAY(A4581,2)&gt;5,"Weekend","Weekday")</f>
        <v>Weekday</v>
      </c>
      <c r="I4581" t="str">
        <f>_xlfn.IFS(B4581&lt;=5,"Night (0-5)",B4581&lt;=9,"Morning peak (6-9)",B4581&lt;=15,"Midday (10-15)",B4581&lt;=19,"Evening peak (16-19)",TRUE,"Late evening (20-23)")</f>
        <v>Late evening (20-23)</v>
      </c>
    </row>
    <row r="4582" spans="1:9">
      <c r="A4582" s="32">
        <v>42012</v>
      </c>
      <c r="B4582">
        <v>21</v>
      </c>
      <c r="C4582">
        <v>5116</v>
      </c>
      <c r="D4582" t="s">
        <v>304</v>
      </c>
      <c r="E4582">
        <f>YEAR(A4582)</f>
        <v>2015</v>
      </c>
      <c r="F4582" s="33">
        <f>DATE(YEAR(A4582),MONTH(A4582),1)</f>
        <v>42005.0</v>
      </c>
      <c r="G4582" t="str">
        <f>CHOOSE(WEEKDAY(A4582,2),"Mon","Tue","Wed","Thu","Fri","Sat","Sun")</f>
        <v>Thu</v>
      </c>
      <c r="H4582" t="str">
        <f>IF(WEEKDAY(A4582,2)&gt;5,"Weekend","Weekday")</f>
        <v>Weekday</v>
      </c>
      <c r="I4582" t="str">
        <f>_xlfn.IFS(B4582&lt;=5,"Night (0-5)",B4582&lt;=9,"Morning peak (6-9)",B4582&lt;=15,"Midday (10-15)",B4582&lt;=19,"Evening peak (16-19)",TRUE,"Late evening (20-23)")</f>
        <v>Late evening (20-23)</v>
      </c>
    </row>
    <row r="4583" spans="1:9">
      <c r="A4583" s="32">
        <v>42012</v>
      </c>
      <c r="B4583">
        <v>22</v>
      </c>
      <c r="C4583">
        <v>4905</v>
      </c>
      <c r="D4583" t="s">
        <v>304</v>
      </c>
      <c r="E4583">
        <f>YEAR(A4583)</f>
        <v>2015</v>
      </c>
      <c r="F4583" s="33">
        <f>DATE(YEAR(A4583),MONTH(A4583),1)</f>
        <v>42005.0</v>
      </c>
      <c r="G4583" t="str">
        <f>CHOOSE(WEEKDAY(A4583,2),"Mon","Tue","Wed","Thu","Fri","Sat","Sun")</f>
        <v>Thu</v>
      </c>
      <c r="H4583" t="str">
        <f>IF(WEEKDAY(A4583,2)&gt;5,"Weekend","Weekday")</f>
        <v>Weekday</v>
      </c>
      <c r="I4583" t="str">
        <f>_xlfn.IFS(B4583&lt;=5,"Night (0-5)",B4583&lt;=9,"Morning peak (6-9)",B4583&lt;=15,"Midday (10-15)",B4583&lt;=19,"Evening peak (16-19)",TRUE,"Late evening (20-23)")</f>
        <v>Late evening (20-23)</v>
      </c>
    </row>
    <row r="4584" spans="1:9">
      <c r="A4584" s="32">
        <v>42012</v>
      </c>
      <c r="B4584">
        <v>23</v>
      </c>
      <c r="C4584">
        <v>3345</v>
      </c>
      <c r="D4584" t="s">
        <v>304</v>
      </c>
      <c r="E4584">
        <f>YEAR(A4584)</f>
        <v>2015</v>
      </c>
      <c r="F4584" s="33">
        <f>DATE(YEAR(A4584),MONTH(A4584),1)</f>
        <v>42005.0</v>
      </c>
      <c r="G4584" t="str">
        <f>CHOOSE(WEEKDAY(A4584,2),"Mon","Tue","Wed","Thu","Fri","Sat","Sun")</f>
        <v>Thu</v>
      </c>
      <c r="H4584" t="str">
        <f>IF(WEEKDAY(A4584,2)&gt;5,"Weekend","Weekday")</f>
        <v>Weekday</v>
      </c>
      <c r="I4584" t="str">
        <f>_xlfn.IFS(B4584&lt;=5,"Night (0-5)",B4584&lt;=9,"Morning peak (6-9)",B4584&lt;=15,"Midday (10-15)",B4584&lt;=19,"Evening peak (16-19)",TRUE,"Late evening (20-23)")</f>
        <v>Late evening (20-23)</v>
      </c>
    </row>
    <row r="4585" spans="1:9">
      <c r="A4585" s="32">
        <v>42013</v>
      </c>
      <c r="B4585">
        <v>0</v>
      </c>
      <c r="C4585">
        <v>2101</v>
      </c>
      <c r="D4585" t="s">
        <v>304</v>
      </c>
      <c r="E4585">
        <f>YEAR(A4585)</f>
        <v>2015</v>
      </c>
      <c r="F4585" s="33">
        <f>DATE(YEAR(A4585),MONTH(A4585),1)</f>
        <v>42005.0</v>
      </c>
      <c r="G4585" t="str">
        <f>CHOOSE(WEEKDAY(A4585,2),"Mon","Tue","Wed","Thu","Fri","Sat","Sun")</f>
        <v>Fri</v>
      </c>
      <c r="H4585" t="str">
        <f>IF(WEEKDAY(A4585,2)&gt;5,"Weekend","Weekday")</f>
        <v>Weekday</v>
      </c>
      <c r="I4585" t="str">
        <f>_xlfn.IFS(B4585&lt;=5,"Night (0-5)",B4585&lt;=9,"Morning peak (6-9)",B4585&lt;=15,"Midday (10-15)",B4585&lt;=19,"Evening peak (16-19)",TRUE,"Late evening (20-23)")</f>
        <v>Night (0-5)</v>
      </c>
    </row>
    <row r="4586" spans="1:9">
      <c r="A4586" s="32">
        <v>42013</v>
      </c>
      <c r="B4586">
        <v>1</v>
      </c>
      <c r="C4586">
        <v>1109</v>
      </c>
      <c r="D4586" t="s">
        <v>304</v>
      </c>
      <c r="E4586">
        <f>YEAR(A4586)</f>
        <v>2015</v>
      </c>
      <c r="F4586" s="33">
        <f>DATE(YEAR(A4586),MONTH(A4586),1)</f>
        <v>42005.0</v>
      </c>
      <c r="G4586" t="str">
        <f>CHOOSE(WEEKDAY(A4586,2),"Mon","Tue","Wed","Thu","Fri","Sat","Sun")</f>
        <v>Fri</v>
      </c>
      <c r="H4586" t="str">
        <f>IF(WEEKDAY(A4586,2)&gt;5,"Weekend","Weekday")</f>
        <v>Weekday</v>
      </c>
      <c r="I4586" t="str">
        <f>_xlfn.IFS(B4586&lt;=5,"Night (0-5)",B4586&lt;=9,"Morning peak (6-9)",B4586&lt;=15,"Midday (10-15)",B4586&lt;=19,"Evening peak (16-19)",TRUE,"Late evening (20-23)")</f>
        <v>Night (0-5)</v>
      </c>
    </row>
    <row r="4587" spans="1:9">
      <c r="A4587" s="32">
        <v>42013</v>
      </c>
      <c r="B4587">
        <v>2</v>
      </c>
      <c r="C4587">
        <v>589</v>
      </c>
      <c r="D4587" t="s">
        <v>304</v>
      </c>
      <c r="E4587">
        <f>YEAR(A4587)</f>
        <v>2015</v>
      </c>
      <c r="F4587" s="33">
        <f>DATE(YEAR(A4587),MONTH(A4587),1)</f>
        <v>42005.0</v>
      </c>
      <c r="G4587" t="str">
        <f>CHOOSE(WEEKDAY(A4587,2),"Mon","Tue","Wed","Thu","Fri","Sat","Sun")</f>
        <v>Fri</v>
      </c>
      <c r="H4587" t="str">
        <f>IF(WEEKDAY(A4587,2)&gt;5,"Weekend","Weekday")</f>
        <v>Weekday</v>
      </c>
      <c r="I4587" t="str">
        <f>_xlfn.IFS(B4587&lt;=5,"Night (0-5)",B4587&lt;=9,"Morning peak (6-9)",B4587&lt;=15,"Midday (10-15)",B4587&lt;=19,"Evening peak (16-19)",TRUE,"Late evening (20-23)")</f>
        <v>Night (0-5)</v>
      </c>
    </row>
    <row r="4588" spans="1:9">
      <c r="A4588" s="32">
        <v>42013</v>
      </c>
      <c r="B4588">
        <v>3</v>
      </c>
      <c r="C4588">
        <v>435</v>
      </c>
      <c r="D4588" t="s">
        <v>304</v>
      </c>
      <c r="E4588">
        <f>YEAR(A4588)</f>
        <v>2015</v>
      </c>
      <c r="F4588" s="33">
        <f>DATE(YEAR(A4588),MONTH(A4588),1)</f>
        <v>42005.0</v>
      </c>
      <c r="G4588" t="str">
        <f>CHOOSE(WEEKDAY(A4588,2),"Mon","Tue","Wed","Thu","Fri","Sat","Sun")</f>
        <v>Fri</v>
      </c>
      <c r="H4588" t="str">
        <f>IF(WEEKDAY(A4588,2)&gt;5,"Weekend","Weekday")</f>
        <v>Weekday</v>
      </c>
      <c r="I4588" t="str">
        <f>_xlfn.IFS(B4588&lt;=5,"Night (0-5)",B4588&lt;=9,"Morning peak (6-9)",B4588&lt;=15,"Midday (10-15)",B4588&lt;=19,"Evening peak (16-19)",TRUE,"Late evening (20-23)")</f>
        <v>Night (0-5)</v>
      </c>
    </row>
    <row r="4589" spans="1:9">
      <c r="A4589" s="32">
        <v>42013</v>
      </c>
      <c r="B4589">
        <v>4</v>
      </c>
      <c r="C4589">
        <v>451</v>
      </c>
      <c r="D4589" t="s">
        <v>304</v>
      </c>
      <c r="E4589">
        <f>YEAR(A4589)</f>
        <v>2015</v>
      </c>
      <c r="F4589" s="33">
        <f>DATE(YEAR(A4589),MONTH(A4589),1)</f>
        <v>42005.0</v>
      </c>
      <c r="G4589" t="str">
        <f>CHOOSE(WEEKDAY(A4589,2),"Mon","Tue","Wed","Thu","Fri","Sat","Sun")</f>
        <v>Fri</v>
      </c>
      <c r="H4589" t="str">
        <f>IF(WEEKDAY(A4589,2)&gt;5,"Weekend","Weekday")</f>
        <v>Weekday</v>
      </c>
      <c r="I4589" t="str">
        <f>_xlfn.IFS(B4589&lt;=5,"Night (0-5)",B4589&lt;=9,"Morning peak (6-9)",B4589&lt;=15,"Midday (10-15)",B4589&lt;=19,"Evening peak (16-19)",TRUE,"Late evening (20-23)")</f>
        <v>Night (0-5)</v>
      </c>
    </row>
    <row r="4590" spans="1:9">
      <c r="A4590" s="32">
        <v>42013</v>
      </c>
      <c r="B4590">
        <v>5</v>
      </c>
      <c r="C4590">
        <v>766</v>
      </c>
      <c r="D4590" t="s">
        <v>304</v>
      </c>
      <c r="E4590">
        <f>YEAR(A4590)</f>
        <v>2015</v>
      </c>
      <c r="F4590" s="33">
        <f>DATE(YEAR(A4590),MONTH(A4590),1)</f>
        <v>42005.0</v>
      </c>
      <c r="G4590" t="str">
        <f>CHOOSE(WEEKDAY(A4590,2),"Mon","Tue","Wed","Thu","Fri","Sat","Sun")</f>
        <v>Fri</v>
      </c>
      <c r="H4590" t="str">
        <f>IF(WEEKDAY(A4590,2)&gt;5,"Weekend","Weekday")</f>
        <v>Weekday</v>
      </c>
      <c r="I4590" t="str">
        <f>_xlfn.IFS(B4590&lt;=5,"Night (0-5)",B4590&lt;=9,"Morning peak (6-9)",B4590&lt;=15,"Midday (10-15)",B4590&lt;=19,"Evening peak (16-19)",TRUE,"Late evening (20-23)")</f>
        <v>Night (0-5)</v>
      </c>
    </row>
    <row r="4591" spans="1:9">
      <c r="A4591" s="32">
        <v>42013</v>
      </c>
      <c r="B4591">
        <v>6</v>
      </c>
      <c r="C4591">
        <v>1537</v>
      </c>
      <c r="D4591" t="s">
        <v>304</v>
      </c>
      <c r="E4591">
        <f>YEAR(A4591)</f>
        <v>2015</v>
      </c>
      <c r="F4591" s="33">
        <f>DATE(YEAR(A4591),MONTH(A4591),1)</f>
        <v>42005.0</v>
      </c>
      <c r="G4591" t="str">
        <f>CHOOSE(WEEKDAY(A4591,2),"Mon","Tue","Wed","Thu","Fri","Sat","Sun")</f>
        <v>Fri</v>
      </c>
      <c r="H4591" t="str">
        <f>IF(WEEKDAY(A4591,2)&gt;5,"Weekend","Weekday")</f>
        <v>Weekday</v>
      </c>
      <c r="I4591" t="str">
        <f>_xlfn.IFS(B4591&lt;=5,"Night (0-5)",B4591&lt;=9,"Morning peak (6-9)",B4591&lt;=15,"Midday (10-15)",B4591&lt;=19,"Evening peak (16-19)",TRUE,"Late evening (20-23)")</f>
        <v>Morning peak (6-9)</v>
      </c>
    </row>
    <row r="4592" spans="1:9">
      <c r="A4592" s="32">
        <v>42013</v>
      </c>
      <c r="B4592">
        <v>7</v>
      </c>
      <c r="C4592">
        <v>2449</v>
      </c>
      <c r="D4592" t="s">
        <v>304</v>
      </c>
      <c r="E4592">
        <f>YEAR(A4592)</f>
        <v>2015</v>
      </c>
      <c r="F4592" s="33">
        <f>DATE(YEAR(A4592),MONTH(A4592),1)</f>
        <v>42005.0</v>
      </c>
      <c r="G4592" t="str">
        <f>CHOOSE(WEEKDAY(A4592,2),"Mon","Tue","Wed","Thu","Fri","Sat","Sun")</f>
        <v>Fri</v>
      </c>
      <c r="H4592" t="str">
        <f>IF(WEEKDAY(A4592,2)&gt;5,"Weekend","Weekday")</f>
        <v>Weekday</v>
      </c>
      <c r="I4592" t="str">
        <f>_xlfn.IFS(B4592&lt;=5,"Night (0-5)",B4592&lt;=9,"Morning peak (6-9)",B4592&lt;=15,"Midday (10-15)",B4592&lt;=19,"Evening peak (16-19)",TRUE,"Late evening (20-23)")</f>
        <v>Morning peak (6-9)</v>
      </c>
    </row>
    <row r="4593" spans="1:9">
      <c r="A4593" s="32">
        <v>42013</v>
      </c>
      <c r="B4593">
        <v>8</v>
      </c>
      <c r="C4593">
        <v>2943</v>
      </c>
      <c r="D4593" t="s">
        <v>304</v>
      </c>
      <c r="E4593">
        <f>YEAR(A4593)</f>
        <v>2015</v>
      </c>
      <c r="F4593" s="33">
        <f>DATE(YEAR(A4593),MONTH(A4593),1)</f>
        <v>42005.0</v>
      </c>
      <c r="G4593" t="str">
        <f>CHOOSE(WEEKDAY(A4593,2),"Mon","Tue","Wed","Thu","Fri","Sat","Sun")</f>
        <v>Fri</v>
      </c>
      <c r="H4593" t="str">
        <f>IF(WEEKDAY(A4593,2)&gt;5,"Weekend","Weekday")</f>
        <v>Weekday</v>
      </c>
      <c r="I4593" t="str">
        <f>_xlfn.IFS(B4593&lt;=5,"Night (0-5)",B4593&lt;=9,"Morning peak (6-9)",B4593&lt;=15,"Midday (10-15)",B4593&lt;=19,"Evening peak (16-19)",TRUE,"Late evening (20-23)")</f>
        <v>Morning peak (6-9)</v>
      </c>
    </row>
    <row r="4594" spans="1:9">
      <c r="A4594" s="32">
        <v>42013</v>
      </c>
      <c r="B4594">
        <v>9</v>
      </c>
      <c r="C4594">
        <v>3317</v>
      </c>
      <c r="D4594" t="s">
        <v>304</v>
      </c>
      <c r="E4594">
        <f>YEAR(A4594)</f>
        <v>2015</v>
      </c>
      <c r="F4594" s="33">
        <f>DATE(YEAR(A4594),MONTH(A4594),1)</f>
        <v>42005.0</v>
      </c>
      <c r="G4594" t="str">
        <f>CHOOSE(WEEKDAY(A4594,2),"Mon","Tue","Wed","Thu","Fri","Sat","Sun")</f>
        <v>Fri</v>
      </c>
      <c r="H4594" t="str">
        <f>IF(WEEKDAY(A4594,2)&gt;5,"Weekend","Weekday")</f>
        <v>Weekday</v>
      </c>
      <c r="I4594" t="str">
        <f>_xlfn.IFS(B4594&lt;=5,"Night (0-5)",B4594&lt;=9,"Morning peak (6-9)",B4594&lt;=15,"Midday (10-15)",B4594&lt;=19,"Evening peak (16-19)",TRUE,"Late evening (20-23)")</f>
        <v>Morning peak (6-9)</v>
      </c>
    </row>
    <row r="4595" spans="1:9">
      <c r="A4595" s="32">
        <v>42013</v>
      </c>
      <c r="B4595">
        <v>10</v>
      </c>
      <c r="C4595">
        <v>2577</v>
      </c>
      <c r="D4595" t="s">
        <v>304</v>
      </c>
      <c r="E4595">
        <f>YEAR(A4595)</f>
        <v>2015</v>
      </c>
      <c r="F4595" s="33">
        <f>DATE(YEAR(A4595),MONTH(A4595),1)</f>
        <v>42005.0</v>
      </c>
      <c r="G4595" t="str">
        <f>CHOOSE(WEEKDAY(A4595,2),"Mon","Tue","Wed","Thu","Fri","Sat","Sun")</f>
        <v>Fri</v>
      </c>
      <c r="H4595" t="str">
        <f>IF(WEEKDAY(A4595,2)&gt;5,"Weekend","Weekday")</f>
        <v>Weekday</v>
      </c>
      <c r="I4595" t="str">
        <f>_xlfn.IFS(B4595&lt;=5,"Night (0-5)",B4595&lt;=9,"Morning peak (6-9)",B4595&lt;=15,"Midday (10-15)",B4595&lt;=19,"Evening peak (16-19)",TRUE,"Late evening (20-23)")</f>
        <v>Midday (10-15)</v>
      </c>
    </row>
    <row r="4596" spans="1:9">
      <c r="A4596" s="32">
        <v>42013</v>
      </c>
      <c r="B4596">
        <v>11</v>
      </c>
      <c r="C4596">
        <v>2362</v>
      </c>
      <c r="D4596" t="s">
        <v>304</v>
      </c>
      <c r="E4596">
        <f>YEAR(A4596)</f>
        <v>2015</v>
      </c>
      <c r="F4596" s="33">
        <f>DATE(YEAR(A4596),MONTH(A4596),1)</f>
        <v>42005.0</v>
      </c>
      <c r="G4596" t="str">
        <f>CHOOSE(WEEKDAY(A4596,2),"Mon","Tue","Wed","Thu","Fri","Sat","Sun")</f>
        <v>Fri</v>
      </c>
      <c r="H4596" t="str">
        <f>IF(WEEKDAY(A4596,2)&gt;5,"Weekend","Weekday")</f>
        <v>Weekday</v>
      </c>
      <c r="I4596" t="str">
        <f>_xlfn.IFS(B4596&lt;=5,"Night (0-5)",B4596&lt;=9,"Morning peak (6-9)",B4596&lt;=15,"Midday (10-15)",B4596&lt;=19,"Evening peak (16-19)",TRUE,"Late evening (20-23)")</f>
        <v>Midday (10-15)</v>
      </c>
    </row>
    <row r="4597" spans="1:9">
      <c r="A4597" s="32">
        <v>42013</v>
      </c>
      <c r="B4597">
        <v>12</v>
      </c>
      <c r="C4597">
        <v>2397</v>
      </c>
      <c r="D4597" t="s">
        <v>304</v>
      </c>
      <c r="E4597">
        <f>YEAR(A4597)</f>
        <v>2015</v>
      </c>
      <c r="F4597" s="33">
        <f>DATE(YEAR(A4597),MONTH(A4597),1)</f>
        <v>42005.0</v>
      </c>
      <c r="G4597" t="str">
        <f>CHOOSE(WEEKDAY(A4597,2),"Mon","Tue","Wed","Thu","Fri","Sat","Sun")</f>
        <v>Fri</v>
      </c>
      <c r="H4597" t="str">
        <f>IF(WEEKDAY(A4597,2)&gt;5,"Weekend","Weekday")</f>
        <v>Weekday</v>
      </c>
      <c r="I4597" t="str">
        <f>_xlfn.IFS(B4597&lt;=5,"Night (0-5)",B4597&lt;=9,"Morning peak (6-9)",B4597&lt;=15,"Midday (10-15)",B4597&lt;=19,"Evening peak (16-19)",TRUE,"Late evening (20-23)")</f>
        <v>Midday (10-15)</v>
      </c>
    </row>
    <row r="4598" spans="1:9">
      <c r="A4598" s="32">
        <v>42013</v>
      </c>
      <c r="B4598">
        <v>13</v>
      </c>
      <c r="C4598">
        <v>2334</v>
      </c>
      <c r="D4598" t="s">
        <v>304</v>
      </c>
      <c r="E4598">
        <f>YEAR(A4598)</f>
        <v>2015</v>
      </c>
      <c r="F4598" s="33">
        <f>DATE(YEAR(A4598),MONTH(A4598),1)</f>
        <v>42005.0</v>
      </c>
      <c r="G4598" t="str">
        <f>CHOOSE(WEEKDAY(A4598,2),"Mon","Tue","Wed","Thu","Fri","Sat","Sun")</f>
        <v>Fri</v>
      </c>
      <c r="H4598" t="str">
        <f>IF(WEEKDAY(A4598,2)&gt;5,"Weekend","Weekday")</f>
        <v>Weekday</v>
      </c>
      <c r="I4598" t="str">
        <f>_xlfn.IFS(B4598&lt;=5,"Night (0-5)",B4598&lt;=9,"Morning peak (6-9)",B4598&lt;=15,"Midday (10-15)",B4598&lt;=19,"Evening peak (16-19)",TRUE,"Late evening (20-23)")</f>
        <v>Midday (10-15)</v>
      </c>
    </row>
    <row r="4599" spans="1:9">
      <c r="A4599" s="32">
        <v>42013</v>
      </c>
      <c r="B4599">
        <v>14</v>
      </c>
      <c r="C4599">
        <v>2554</v>
      </c>
      <c r="D4599" t="s">
        <v>304</v>
      </c>
      <c r="E4599">
        <f>YEAR(A4599)</f>
        <v>2015</v>
      </c>
      <c r="F4599" s="33">
        <f>DATE(YEAR(A4599),MONTH(A4599),1)</f>
        <v>42005.0</v>
      </c>
      <c r="G4599" t="str">
        <f>CHOOSE(WEEKDAY(A4599,2),"Mon","Tue","Wed","Thu","Fri","Sat","Sun")</f>
        <v>Fri</v>
      </c>
      <c r="H4599" t="str">
        <f>IF(WEEKDAY(A4599,2)&gt;5,"Weekend","Weekday")</f>
        <v>Weekday</v>
      </c>
      <c r="I4599" t="str">
        <f>_xlfn.IFS(B4599&lt;=5,"Night (0-5)",B4599&lt;=9,"Morning peak (6-9)",B4599&lt;=15,"Midday (10-15)",B4599&lt;=19,"Evening peak (16-19)",TRUE,"Late evening (20-23)")</f>
        <v>Midday (10-15)</v>
      </c>
    </row>
    <row r="4600" spans="1:9">
      <c r="A4600" s="32">
        <v>42013</v>
      </c>
      <c r="B4600">
        <v>15</v>
      </c>
      <c r="C4600">
        <v>2810</v>
      </c>
      <c r="D4600" t="s">
        <v>304</v>
      </c>
      <c r="E4600">
        <f>YEAR(A4600)</f>
        <v>2015</v>
      </c>
      <c r="F4600" s="33">
        <f>DATE(YEAR(A4600),MONTH(A4600),1)</f>
        <v>42005.0</v>
      </c>
      <c r="G4600" t="str">
        <f>CHOOSE(WEEKDAY(A4600,2),"Mon","Tue","Wed","Thu","Fri","Sat","Sun")</f>
        <v>Fri</v>
      </c>
      <c r="H4600" t="str">
        <f>IF(WEEKDAY(A4600,2)&gt;5,"Weekend","Weekday")</f>
        <v>Weekday</v>
      </c>
      <c r="I4600" t="str">
        <f>_xlfn.IFS(B4600&lt;=5,"Night (0-5)",B4600&lt;=9,"Morning peak (6-9)",B4600&lt;=15,"Midday (10-15)",B4600&lt;=19,"Evening peak (16-19)",TRUE,"Late evening (20-23)")</f>
        <v>Midday (10-15)</v>
      </c>
    </row>
    <row r="4601" spans="1:9">
      <c r="A4601" s="32">
        <v>42013</v>
      </c>
      <c r="B4601">
        <v>16</v>
      </c>
      <c r="C4601">
        <v>3437</v>
      </c>
      <c r="D4601" t="s">
        <v>304</v>
      </c>
      <c r="E4601">
        <f>YEAR(A4601)</f>
        <v>2015</v>
      </c>
      <c r="F4601" s="33">
        <f>DATE(YEAR(A4601),MONTH(A4601),1)</f>
        <v>42005.0</v>
      </c>
      <c r="G4601" t="str">
        <f>CHOOSE(WEEKDAY(A4601,2),"Mon","Tue","Wed","Thu","Fri","Sat","Sun")</f>
        <v>Fri</v>
      </c>
      <c r="H4601" t="str">
        <f>IF(WEEKDAY(A4601,2)&gt;5,"Weekend","Weekday")</f>
        <v>Weekday</v>
      </c>
      <c r="I4601" t="str">
        <f>_xlfn.IFS(B4601&lt;=5,"Night (0-5)",B4601&lt;=9,"Morning peak (6-9)",B4601&lt;=15,"Midday (10-15)",B4601&lt;=19,"Evening peak (16-19)",TRUE,"Late evening (20-23)")</f>
        <v>Evening peak (16-19)</v>
      </c>
    </row>
    <row r="4602" spans="1:9">
      <c r="A4602" s="32">
        <v>42013</v>
      </c>
      <c r="B4602">
        <v>17</v>
      </c>
      <c r="C4602">
        <v>4636</v>
      </c>
      <c r="D4602" t="s">
        <v>304</v>
      </c>
      <c r="E4602">
        <f>YEAR(A4602)</f>
        <v>2015</v>
      </c>
      <c r="F4602" s="33">
        <f>DATE(YEAR(A4602),MONTH(A4602),1)</f>
        <v>42005.0</v>
      </c>
      <c r="G4602" t="str">
        <f>CHOOSE(WEEKDAY(A4602,2),"Mon","Tue","Wed","Thu","Fri","Sat","Sun")</f>
        <v>Fri</v>
      </c>
      <c r="H4602" t="str">
        <f>IF(WEEKDAY(A4602,2)&gt;5,"Weekend","Weekday")</f>
        <v>Weekday</v>
      </c>
      <c r="I4602" t="str">
        <f>_xlfn.IFS(B4602&lt;=5,"Night (0-5)",B4602&lt;=9,"Morning peak (6-9)",B4602&lt;=15,"Midday (10-15)",B4602&lt;=19,"Evening peak (16-19)",TRUE,"Late evening (20-23)")</f>
        <v>Evening peak (16-19)</v>
      </c>
    </row>
    <row r="4603" spans="1:9">
      <c r="A4603" s="32">
        <v>42013</v>
      </c>
      <c r="B4603">
        <v>18</v>
      </c>
      <c r="C4603">
        <v>5766</v>
      </c>
      <c r="D4603" t="s">
        <v>304</v>
      </c>
      <c r="E4603">
        <f>YEAR(A4603)</f>
        <v>2015</v>
      </c>
      <c r="F4603" s="33">
        <f>DATE(YEAR(A4603),MONTH(A4603),1)</f>
        <v>42005.0</v>
      </c>
      <c r="G4603" t="str">
        <f>CHOOSE(WEEKDAY(A4603,2),"Mon","Tue","Wed","Thu","Fri","Sat","Sun")</f>
        <v>Fri</v>
      </c>
      <c r="H4603" t="str">
        <f>IF(WEEKDAY(A4603,2)&gt;5,"Weekend","Weekday")</f>
        <v>Weekday</v>
      </c>
      <c r="I4603" t="str">
        <f>_xlfn.IFS(B4603&lt;=5,"Night (0-5)",B4603&lt;=9,"Morning peak (6-9)",B4603&lt;=15,"Midday (10-15)",B4603&lt;=19,"Evening peak (16-19)",TRUE,"Late evening (20-23)")</f>
        <v>Evening peak (16-19)</v>
      </c>
    </row>
    <row r="4604" spans="1:9">
      <c r="A4604" s="32">
        <v>42013</v>
      </c>
      <c r="B4604">
        <v>19</v>
      </c>
      <c r="C4604">
        <v>6592</v>
      </c>
      <c r="D4604" t="s">
        <v>304</v>
      </c>
      <c r="E4604">
        <f>YEAR(A4604)</f>
        <v>2015</v>
      </c>
      <c r="F4604" s="33">
        <f>DATE(YEAR(A4604),MONTH(A4604),1)</f>
        <v>42005.0</v>
      </c>
      <c r="G4604" t="str">
        <f>CHOOSE(WEEKDAY(A4604,2),"Mon","Tue","Wed","Thu","Fri","Sat","Sun")</f>
        <v>Fri</v>
      </c>
      <c r="H4604" t="str">
        <f>IF(WEEKDAY(A4604,2)&gt;5,"Weekend","Weekday")</f>
        <v>Weekday</v>
      </c>
      <c r="I4604" t="str">
        <f>_xlfn.IFS(B4604&lt;=5,"Night (0-5)",B4604&lt;=9,"Morning peak (6-9)",B4604&lt;=15,"Midday (10-15)",B4604&lt;=19,"Evening peak (16-19)",TRUE,"Late evening (20-23)")</f>
        <v>Evening peak (16-19)</v>
      </c>
    </row>
    <row r="4605" spans="1:9">
      <c r="A4605" s="32">
        <v>42013</v>
      </c>
      <c r="B4605">
        <v>20</v>
      </c>
      <c r="C4605">
        <v>5629</v>
      </c>
      <c r="D4605" t="s">
        <v>304</v>
      </c>
      <c r="E4605">
        <f>YEAR(A4605)</f>
        <v>2015</v>
      </c>
      <c r="F4605" s="33">
        <f>DATE(YEAR(A4605),MONTH(A4605),1)</f>
        <v>42005.0</v>
      </c>
      <c r="G4605" t="str">
        <f>CHOOSE(WEEKDAY(A4605,2),"Mon","Tue","Wed","Thu","Fri","Sat","Sun")</f>
        <v>Fri</v>
      </c>
      <c r="H4605" t="str">
        <f>IF(WEEKDAY(A4605,2)&gt;5,"Weekend","Weekday")</f>
        <v>Weekday</v>
      </c>
      <c r="I4605" t="str">
        <f>_xlfn.IFS(B4605&lt;=5,"Night (0-5)",B4605&lt;=9,"Morning peak (6-9)",B4605&lt;=15,"Midday (10-15)",B4605&lt;=19,"Evening peak (16-19)",TRUE,"Late evening (20-23)")</f>
        <v>Late evening (20-23)</v>
      </c>
    </row>
    <row r="4606" spans="1:9">
      <c r="A4606" s="32">
        <v>42013</v>
      </c>
      <c r="B4606">
        <v>21</v>
      </c>
      <c r="C4606">
        <v>4918</v>
      </c>
      <c r="D4606" t="s">
        <v>304</v>
      </c>
      <c r="E4606">
        <f>YEAR(A4606)</f>
        <v>2015</v>
      </c>
      <c r="F4606" s="33">
        <f>DATE(YEAR(A4606),MONTH(A4606),1)</f>
        <v>42005.0</v>
      </c>
      <c r="G4606" t="str">
        <f>CHOOSE(WEEKDAY(A4606,2),"Mon","Tue","Wed","Thu","Fri","Sat","Sun")</f>
        <v>Fri</v>
      </c>
      <c r="H4606" t="str">
        <f>IF(WEEKDAY(A4606,2)&gt;5,"Weekend","Weekday")</f>
        <v>Weekday</v>
      </c>
      <c r="I4606" t="str">
        <f>_xlfn.IFS(B4606&lt;=5,"Night (0-5)",B4606&lt;=9,"Morning peak (6-9)",B4606&lt;=15,"Midday (10-15)",B4606&lt;=19,"Evening peak (16-19)",TRUE,"Late evening (20-23)")</f>
        <v>Late evening (20-23)</v>
      </c>
    </row>
    <row r="4607" spans="1:9">
      <c r="A4607" s="32">
        <v>42013</v>
      </c>
      <c r="B4607">
        <v>22</v>
      </c>
      <c r="C4607">
        <v>5098</v>
      </c>
      <c r="D4607" t="s">
        <v>304</v>
      </c>
      <c r="E4607">
        <f>YEAR(A4607)</f>
        <v>2015</v>
      </c>
      <c r="F4607" s="33">
        <f>DATE(YEAR(A4607),MONTH(A4607),1)</f>
        <v>42005.0</v>
      </c>
      <c r="G4607" t="str">
        <f>CHOOSE(WEEKDAY(A4607,2),"Mon","Tue","Wed","Thu","Fri","Sat","Sun")</f>
        <v>Fri</v>
      </c>
      <c r="H4607" t="str">
        <f>IF(WEEKDAY(A4607,2)&gt;5,"Weekend","Weekday")</f>
        <v>Weekday</v>
      </c>
      <c r="I4607" t="str">
        <f>_xlfn.IFS(B4607&lt;=5,"Night (0-5)",B4607&lt;=9,"Morning peak (6-9)",B4607&lt;=15,"Midday (10-15)",B4607&lt;=19,"Evening peak (16-19)",TRUE,"Late evening (20-23)")</f>
        <v>Late evening (20-23)</v>
      </c>
    </row>
    <row r="4608" spans="1:9">
      <c r="A4608" s="32">
        <v>42013</v>
      </c>
      <c r="B4608">
        <v>23</v>
      </c>
      <c r="C4608">
        <v>5317</v>
      </c>
      <c r="D4608" t="s">
        <v>304</v>
      </c>
      <c r="E4608">
        <f>YEAR(A4608)</f>
        <v>2015</v>
      </c>
      <c r="F4608" s="33">
        <f>DATE(YEAR(A4608),MONTH(A4608),1)</f>
        <v>42005.0</v>
      </c>
      <c r="G4608" t="str">
        <f>CHOOSE(WEEKDAY(A4608,2),"Mon","Tue","Wed","Thu","Fri","Sat","Sun")</f>
        <v>Fri</v>
      </c>
      <c r="H4608" t="str">
        <f>IF(WEEKDAY(A4608,2)&gt;5,"Weekend","Weekday")</f>
        <v>Weekday</v>
      </c>
      <c r="I4608" t="str">
        <f>_xlfn.IFS(B4608&lt;=5,"Night (0-5)",B4608&lt;=9,"Morning peak (6-9)",B4608&lt;=15,"Midday (10-15)",B4608&lt;=19,"Evening peak (16-19)",TRUE,"Late evening (20-23)")</f>
        <v>Late evening (20-23)</v>
      </c>
    </row>
    <row r="4609" spans="1:9">
      <c r="A4609" s="32">
        <v>42014</v>
      </c>
      <c r="B4609">
        <v>0</v>
      </c>
      <c r="C4609">
        <v>4278</v>
      </c>
      <c r="D4609" t="s">
        <v>304</v>
      </c>
      <c r="E4609">
        <f>YEAR(A4609)</f>
        <v>2015</v>
      </c>
      <c r="F4609" s="33">
        <f>DATE(YEAR(A4609),MONTH(A4609),1)</f>
        <v>42005.0</v>
      </c>
      <c r="G4609" t="str">
        <f>CHOOSE(WEEKDAY(A4609,2),"Mon","Tue","Wed","Thu","Fri","Sat","Sun")</f>
        <v>Sat</v>
      </c>
      <c r="H4609" t="str">
        <f>IF(WEEKDAY(A4609,2)&gt;5,"Weekend","Weekday")</f>
        <v>Weekend</v>
      </c>
      <c r="I4609" t="str">
        <f>_xlfn.IFS(B4609&lt;=5,"Night (0-5)",B4609&lt;=9,"Morning peak (6-9)",B4609&lt;=15,"Midday (10-15)",B4609&lt;=19,"Evening peak (16-19)",TRUE,"Late evening (20-23)")</f>
        <v>Night (0-5)</v>
      </c>
    </row>
    <row r="4610" spans="1:9">
      <c r="A4610" s="32">
        <v>42014</v>
      </c>
      <c r="B4610">
        <v>1</v>
      </c>
      <c r="C4610">
        <v>2983</v>
      </c>
      <c r="D4610" t="s">
        <v>304</v>
      </c>
      <c r="E4610">
        <f>YEAR(A4610)</f>
        <v>2015</v>
      </c>
      <c r="F4610" s="33">
        <f>DATE(YEAR(A4610),MONTH(A4610),1)</f>
        <v>42005.0</v>
      </c>
      <c r="G4610" t="str">
        <f>CHOOSE(WEEKDAY(A4610,2),"Mon","Tue","Wed","Thu","Fri","Sat","Sun")</f>
        <v>Sat</v>
      </c>
      <c r="H4610" t="str">
        <f>IF(WEEKDAY(A4610,2)&gt;5,"Weekend","Weekday")</f>
        <v>Weekend</v>
      </c>
      <c r="I4610" t="str">
        <f>_xlfn.IFS(B4610&lt;=5,"Night (0-5)",B4610&lt;=9,"Morning peak (6-9)",B4610&lt;=15,"Midday (10-15)",B4610&lt;=19,"Evening peak (16-19)",TRUE,"Late evening (20-23)")</f>
        <v>Night (0-5)</v>
      </c>
    </row>
    <row r="4611" spans="1:9">
      <c r="A4611" s="32">
        <v>42014</v>
      </c>
      <c r="B4611">
        <v>2</v>
      </c>
      <c r="C4611">
        <v>2051</v>
      </c>
      <c r="D4611" t="s">
        <v>304</v>
      </c>
      <c r="E4611">
        <f>YEAR(A4611)</f>
        <v>2015</v>
      </c>
      <c r="F4611" s="33">
        <f>DATE(YEAR(A4611),MONTH(A4611),1)</f>
        <v>42005.0</v>
      </c>
      <c r="G4611" t="str">
        <f>CHOOSE(WEEKDAY(A4611,2),"Mon","Tue","Wed","Thu","Fri","Sat","Sun")</f>
        <v>Sat</v>
      </c>
      <c r="H4611" t="str">
        <f>IF(WEEKDAY(A4611,2)&gt;5,"Weekend","Weekday")</f>
        <v>Weekend</v>
      </c>
      <c r="I4611" t="str">
        <f>_xlfn.IFS(B4611&lt;=5,"Night (0-5)",B4611&lt;=9,"Morning peak (6-9)",B4611&lt;=15,"Midday (10-15)",B4611&lt;=19,"Evening peak (16-19)",TRUE,"Late evening (20-23)")</f>
        <v>Night (0-5)</v>
      </c>
    </row>
    <row r="4612" spans="1:9">
      <c r="A4612" s="32">
        <v>42014</v>
      </c>
      <c r="B4612">
        <v>3</v>
      </c>
      <c r="C4612">
        <v>1302</v>
      </c>
      <c r="D4612" t="s">
        <v>304</v>
      </c>
      <c r="E4612">
        <f>YEAR(A4612)</f>
        <v>2015</v>
      </c>
      <c r="F4612" s="33">
        <f>DATE(YEAR(A4612),MONTH(A4612),1)</f>
        <v>42005.0</v>
      </c>
      <c r="G4612" t="str">
        <f>CHOOSE(WEEKDAY(A4612,2),"Mon","Tue","Wed","Thu","Fri","Sat","Sun")</f>
        <v>Sat</v>
      </c>
      <c r="H4612" t="str">
        <f>IF(WEEKDAY(A4612,2)&gt;5,"Weekend","Weekday")</f>
        <v>Weekend</v>
      </c>
      <c r="I4612" t="str">
        <f>_xlfn.IFS(B4612&lt;=5,"Night (0-5)",B4612&lt;=9,"Morning peak (6-9)",B4612&lt;=15,"Midday (10-15)",B4612&lt;=19,"Evening peak (16-19)",TRUE,"Late evening (20-23)")</f>
        <v>Night (0-5)</v>
      </c>
    </row>
    <row r="4613" spans="1:9">
      <c r="A4613" s="32">
        <v>42014</v>
      </c>
      <c r="B4613">
        <v>4</v>
      </c>
      <c r="C4613">
        <v>905</v>
      </c>
      <c r="D4613" t="s">
        <v>304</v>
      </c>
      <c r="E4613">
        <f>YEAR(A4613)</f>
        <v>2015</v>
      </c>
      <c r="F4613" s="33">
        <f>DATE(YEAR(A4613),MONTH(A4613),1)</f>
        <v>42005.0</v>
      </c>
      <c r="G4613" t="str">
        <f>CHOOSE(WEEKDAY(A4613,2),"Mon","Tue","Wed","Thu","Fri","Sat","Sun")</f>
        <v>Sat</v>
      </c>
      <c r="H4613" t="str">
        <f>IF(WEEKDAY(A4613,2)&gt;5,"Weekend","Weekday")</f>
        <v>Weekend</v>
      </c>
      <c r="I4613" t="str">
        <f>_xlfn.IFS(B4613&lt;=5,"Night (0-5)",B4613&lt;=9,"Morning peak (6-9)",B4613&lt;=15,"Midday (10-15)",B4613&lt;=19,"Evening peak (16-19)",TRUE,"Late evening (20-23)")</f>
        <v>Night (0-5)</v>
      </c>
    </row>
    <row r="4614" spans="1:9">
      <c r="A4614" s="32">
        <v>42014</v>
      </c>
      <c r="B4614">
        <v>5</v>
      </c>
      <c r="C4614">
        <v>619</v>
      </c>
      <c r="D4614" t="s">
        <v>304</v>
      </c>
      <c r="E4614">
        <f>YEAR(A4614)</f>
        <v>2015</v>
      </c>
      <c r="F4614" s="33">
        <f>DATE(YEAR(A4614),MONTH(A4614),1)</f>
        <v>42005.0</v>
      </c>
      <c r="G4614" t="str">
        <f>CHOOSE(WEEKDAY(A4614,2),"Mon","Tue","Wed","Thu","Fri","Sat","Sun")</f>
        <v>Sat</v>
      </c>
      <c r="H4614" t="str">
        <f>IF(WEEKDAY(A4614,2)&gt;5,"Weekend","Weekday")</f>
        <v>Weekend</v>
      </c>
      <c r="I4614" t="str">
        <f>_xlfn.IFS(B4614&lt;=5,"Night (0-5)",B4614&lt;=9,"Morning peak (6-9)",B4614&lt;=15,"Midday (10-15)",B4614&lt;=19,"Evening peak (16-19)",TRUE,"Late evening (20-23)")</f>
        <v>Night (0-5)</v>
      </c>
    </row>
    <row r="4615" spans="1:9">
      <c r="A4615" s="32">
        <v>42014</v>
      </c>
      <c r="B4615">
        <v>6</v>
      </c>
      <c r="C4615">
        <v>746</v>
      </c>
      <c r="D4615" t="s">
        <v>304</v>
      </c>
      <c r="E4615">
        <f>YEAR(A4615)</f>
        <v>2015</v>
      </c>
      <c r="F4615" s="33">
        <f>DATE(YEAR(A4615),MONTH(A4615),1)</f>
        <v>42005.0</v>
      </c>
      <c r="G4615" t="str">
        <f>CHOOSE(WEEKDAY(A4615,2),"Mon","Tue","Wed","Thu","Fri","Sat","Sun")</f>
        <v>Sat</v>
      </c>
      <c r="H4615" t="str">
        <f>IF(WEEKDAY(A4615,2)&gt;5,"Weekend","Weekday")</f>
        <v>Weekend</v>
      </c>
      <c r="I4615" t="str">
        <f>_xlfn.IFS(B4615&lt;=5,"Night (0-5)",B4615&lt;=9,"Morning peak (6-9)",B4615&lt;=15,"Midday (10-15)",B4615&lt;=19,"Evening peak (16-19)",TRUE,"Late evening (20-23)")</f>
        <v>Morning peak (6-9)</v>
      </c>
    </row>
    <row r="4616" spans="1:9">
      <c r="A4616" s="32">
        <v>42014</v>
      </c>
      <c r="B4616">
        <v>7</v>
      </c>
      <c r="C4616">
        <v>908</v>
      </c>
      <c r="D4616" t="s">
        <v>304</v>
      </c>
      <c r="E4616">
        <f>YEAR(A4616)</f>
        <v>2015</v>
      </c>
      <c r="F4616" s="33">
        <f>DATE(YEAR(A4616),MONTH(A4616),1)</f>
        <v>42005.0</v>
      </c>
      <c r="G4616" t="str">
        <f>CHOOSE(WEEKDAY(A4616,2),"Mon","Tue","Wed","Thu","Fri","Sat","Sun")</f>
        <v>Sat</v>
      </c>
      <c r="H4616" t="str">
        <f>IF(WEEKDAY(A4616,2)&gt;5,"Weekend","Weekday")</f>
        <v>Weekend</v>
      </c>
      <c r="I4616" t="str">
        <f>_xlfn.IFS(B4616&lt;=5,"Night (0-5)",B4616&lt;=9,"Morning peak (6-9)",B4616&lt;=15,"Midday (10-15)",B4616&lt;=19,"Evening peak (16-19)",TRUE,"Late evening (20-23)")</f>
        <v>Morning peak (6-9)</v>
      </c>
    </row>
    <row r="4617" spans="1:9">
      <c r="A4617" s="32">
        <v>42014</v>
      </c>
      <c r="B4617">
        <v>8</v>
      </c>
      <c r="C4617">
        <v>1230</v>
      </c>
      <c r="D4617" t="s">
        <v>304</v>
      </c>
      <c r="E4617">
        <f>YEAR(A4617)</f>
        <v>2015</v>
      </c>
      <c r="F4617" s="33">
        <f>DATE(YEAR(A4617),MONTH(A4617),1)</f>
        <v>42005.0</v>
      </c>
      <c r="G4617" t="str">
        <f>CHOOSE(WEEKDAY(A4617,2),"Mon","Tue","Wed","Thu","Fri","Sat","Sun")</f>
        <v>Sat</v>
      </c>
      <c r="H4617" t="str">
        <f>IF(WEEKDAY(A4617,2)&gt;5,"Weekend","Weekday")</f>
        <v>Weekend</v>
      </c>
      <c r="I4617" t="str">
        <f>_xlfn.IFS(B4617&lt;=5,"Night (0-5)",B4617&lt;=9,"Morning peak (6-9)",B4617&lt;=15,"Midday (10-15)",B4617&lt;=19,"Evening peak (16-19)",TRUE,"Late evening (20-23)")</f>
        <v>Morning peak (6-9)</v>
      </c>
    </row>
    <row r="4618" spans="1:9">
      <c r="A4618" s="32">
        <v>42014</v>
      </c>
      <c r="B4618">
        <v>9</v>
      </c>
      <c r="C4618">
        <v>1833</v>
      </c>
      <c r="D4618" t="s">
        <v>304</v>
      </c>
      <c r="E4618">
        <f>YEAR(A4618)</f>
        <v>2015</v>
      </c>
      <c r="F4618" s="33">
        <f>DATE(YEAR(A4618),MONTH(A4618),1)</f>
        <v>42005.0</v>
      </c>
      <c r="G4618" t="str">
        <f>CHOOSE(WEEKDAY(A4618,2),"Mon","Tue","Wed","Thu","Fri","Sat","Sun")</f>
        <v>Sat</v>
      </c>
      <c r="H4618" t="str">
        <f>IF(WEEKDAY(A4618,2)&gt;5,"Weekend","Weekday")</f>
        <v>Weekend</v>
      </c>
      <c r="I4618" t="str">
        <f>_xlfn.IFS(B4618&lt;=5,"Night (0-5)",B4618&lt;=9,"Morning peak (6-9)",B4618&lt;=15,"Midday (10-15)",B4618&lt;=19,"Evening peak (16-19)",TRUE,"Late evening (20-23)")</f>
        <v>Morning peak (6-9)</v>
      </c>
    </row>
    <row r="4619" spans="1:9">
      <c r="A4619" s="32">
        <v>42014</v>
      </c>
      <c r="B4619">
        <v>10</v>
      </c>
      <c r="C4619">
        <v>2237</v>
      </c>
      <c r="D4619" t="s">
        <v>304</v>
      </c>
      <c r="E4619">
        <f>YEAR(A4619)</f>
        <v>2015</v>
      </c>
      <c r="F4619" s="33">
        <f>DATE(YEAR(A4619),MONTH(A4619),1)</f>
        <v>42005.0</v>
      </c>
      <c r="G4619" t="str">
        <f>CHOOSE(WEEKDAY(A4619,2),"Mon","Tue","Wed","Thu","Fri","Sat","Sun")</f>
        <v>Sat</v>
      </c>
      <c r="H4619" t="str">
        <f>IF(WEEKDAY(A4619,2)&gt;5,"Weekend","Weekday")</f>
        <v>Weekend</v>
      </c>
      <c r="I4619" t="str">
        <f>_xlfn.IFS(B4619&lt;=5,"Night (0-5)",B4619&lt;=9,"Morning peak (6-9)",B4619&lt;=15,"Midday (10-15)",B4619&lt;=19,"Evening peak (16-19)",TRUE,"Late evening (20-23)")</f>
        <v>Midday (10-15)</v>
      </c>
    </row>
    <row r="4620" spans="1:9">
      <c r="A4620" s="32">
        <v>42014</v>
      </c>
      <c r="B4620">
        <v>11</v>
      </c>
      <c r="C4620">
        <v>2645</v>
      </c>
      <c r="D4620" t="s">
        <v>304</v>
      </c>
      <c r="E4620">
        <f>YEAR(A4620)</f>
        <v>2015</v>
      </c>
      <c r="F4620" s="33">
        <f>DATE(YEAR(A4620),MONTH(A4620),1)</f>
        <v>42005.0</v>
      </c>
      <c r="G4620" t="str">
        <f>CHOOSE(WEEKDAY(A4620,2),"Mon","Tue","Wed","Thu","Fri","Sat","Sun")</f>
        <v>Sat</v>
      </c>
      <c r="H4620" t="str">
        <f>IF(WEEKDAY(A4620,2)&gt;5,"Weekend","Weekday")</f>
        <v>Weekend</v>
      </c>
      <c r="I4620" t="str">
        <f>_xlfn.IFS(B4620&lt;=5,"Night (0-5)",B4620&lt;=9,"Morning peak (6-9)",B4620&lt;=15,"Midday (10-15)",B4620&lt;=19,"Evening peak (16-19)",TRUE,"Late evening (20-23)")</f>
        <v>Midday (10-15)</v>
      </c>
    </row>
    <row r="4621" spans="1:9">
      <c r="A4621" s="32">
        <v>42014</v>
      </c>
      <c r="B4621">
        <v>12</v>
      </c>
      <c r="C4621">
        <v>2984</v>
      </c>
      <c r="D4621" t="s">
        <v>304</v>
      </c>
      <c r="E4621">
        <f>YEAR(A4621)</f>
        <v>2015</v>
      </c>
      <c r="F4621" s="33">
        <f>DATE(YEAR(A4621),MONTH(A4621),1)</f>
        <v>42005.0</v>
      </c>
      <c r="G4621" t="str">
        <f>CHOOSE(WEEKDAY(A4621,2),"Mon","Tue","Wed","Thu","Fri","Sat","Sun")</f>
        <v>Sat</v>
      </c>
      <c r="H4621" t="str">
        <f>IF(WEEKDAY(A4621,2)&gt;5,"Weekend","Weekday")</f>
        <v>Weekend</v>
      </c>
      <c r="I4621" t="str">
        <f>_xlfn.IFS(B4621&lt;=5,"Night (0-5)",B4621&lt;=9,"Morning peak (6-9)",B4621&lt;=15,"Midday (10-15)",B4621&lt;=19,"Evening peak (16-19)",TRUE,"Late evening (20-23)")</f>
        <v>Midday (10-15)</v>
      </c>
    </row>
    <row r="4622" spans="1:9">
      <c r="A4622" s="32">
        <v>42014</v>
      </c>
      <c r="B4622">
        <v>13</v>
      </c>
      <c r="C4622">
        <v>3110</v>
      </c>
      <c r="D4622" t="s">
        <v>304</v>
      </c>
      <c r="E4622">
        <f>YEAR(A4622)</f>
        <v>2015</v>
      </c>
      <c r="F4622" s="33">
        <f>DATE(YEAR(A4622),MONTH(A4622),1)</f>
        <v>42005.0</v>
      </c>
      <c r="G4622" t="str">
        <f>CHOOSE(WEEKDAY(A4622,2),"Mon","Tue","Wed","Thu","Fri","Sat","Sun")</f>
        <v>Sat</v>
      </c>
      <c r="H4622" t="str">
        <f>IF(WEEKDAY(A4622,2)&gt;5,"Weekend","Weekday")</f>
        <v>Weekend</v>
      </c>
      <c r="I4622" t="str">
        <f>_xlfn.IFS(B4622&lt;=5,"Night (0-5)",B4622&lt;=9,"Morning peak (6-9)",B4622&lt;=15,"Midday (10-15)",B4622&lt;=19,"Evening peak (16-19)",TRUE,"Late evening (20-23)")</f>
        <v>Midday (10-15)</v>
      </c>
    </row>
    <row r="4623" spans="1:9">
      <c r="A4623" s="32">
        <v>42014</v>
      </c>
      <c r="B4623">
        <v>14</v>
      </c>
      <c r="C4623">
        <v>3097</v>
      </c>
      <c r="D4623" t="s">
        <v>304</v>
      </c>
      <c r="E4623">
        <f>YEAR(A4623)</f>
        <v>2015</v>
      </c>
      <c r="F4623" s="33">
        <f>DATE(YEAR(A4623),MONTH(A4623),1)</f>
        <v>42005.0</v>
      </c>
      <c r="G4623" t="str">
        <f>CHOOSE(WEEKDAY(A4623,2),"Mon","Tue","Wed","Thu","Fri","Sat","Sun")</f>
        <v>Sat</v>
      </c>
      <c r="H4623" t="str">
        <f>IF(WEEKDAY(A4623,2)&gt;5,"Weekend","Weekday")</f>
        <v>Weekend</v>
      </c>
      <c r="I4623" t="str">
        <f>_xlfn.IFS(B4623&lt;=5,"Night (0-5)",B4623&lt;=9,"Morning peak (6-9)",B4623&lt;=15,"Midday (10-15)",B4623&lt;=19,"Evening peak (16-19)",TRUE,"Late evening (20-23)")</f>
        <v>Midday (10-15)</v>
      </c>
    </row>
    <row r="4624" spans="1:9">
      <c r="A4624" s="32">
        <v>42014</v>
      </c>
      <c r="B4624">
        <v>15</v>
      </c>
      <c r="C4624">
        <v>3781</v>
      </c>
      <c r="D4624" t="s">
        <v>304</v>
      </c>
      <c r="E4624">
        <f>YEAR(A4624)</f>
        <v>2015</v>
      </c>
      <c r="F4624" s="33">
        <f>DATE(YEAR(A4624),MONTH(A4624),1)</f>
        <v>42005.0</v>
      </c>
      <c r="G4624" t="str">
        <f>CHOOSE(WEEKDAY(A4624,2),"Mon","Tue","Wed","Thu","Fri","Sat","Sun")</f>
        <v>Sat</v>
      </c>
      <c r="H4624" t="str">
        <f>IF(WEEKDAY(A4624,2)&gt;5,"Weekend","Weekday")</f>
        <v>Weekend</v>
      </c>
      <c r="I4624" t="str">
        <f>_xlfn.IFS(B4624&lt;=5,"Night (0-5)",B4624&lt;=9,"Morning peak (6-9)",B4624&lt;=15,"Midday (10-15)",B4624&lt;=19,"Evening peak (16-19)",TRUE,"Late evening (20-23)")</f>
        <v>Midday (10-15)</v>
      </c>
    </row>
    <row r="4625" spans="1:9">
      <c r="A4625" s="32">
        <v>42014</v>
      </c>
      <c r="B4625">
        <v>16</v>
      </c>
      <c r="C4625">
        <v>4426</v>
      </c>
      <c r="D4625" t="s">
        <v>304</v>
      </c>
      <c r="E4625">
        <f>YEAR(A4625)</f>
        <v>2015</v>
      </c>
      <c r="F4625" s="33">
        <f>DATE(YEAR(A4625),MONTH(A4625),1)</f>
        <v>42005.0</v>
      </c>
      <c r="G4625" t="str">
        <f>CHOOSE(WEEKDAY(A4625,2),"Mon","Tue","Wed","Thu","Fri","Sat","Sun")</f>
        <v>Sat</v>
      </c>
      <c r="H4625" t="str">
        <f>IF(WEEKDAY(A4625,2)&gt;5,"Weekend","Weekday")</f>
        <v>Weekend</v>
      </c>
      <c r="I4625" t="str">
        <f>_xlfn.IFS(B4625&lt;=5,"Night (0-5)",B4625&lt;=9,"Morning peak (6-9)",B4625&lt;=15,"Midday (10-15)",B4625&lt;=19,"Evening peak (16-19)",TRUE,"Late evening (20-23)")</f>
        <v>Evening peak (16-19)</v>
      </c>
    </row>
    <row r="4626" spans="1:9">
      <c r="A4626" s="32">
        <v>42014</v>
      </c>
      <c r="B4626">
        <v>17</v>
      </c>
      <c r="C4626">
        <v>5252</v>
      </c>
      <c r="D4626" t="s">
        <v>304</v>
      </c>
      <c r="E4626">
        <f>YEAR(A4626)</f>
        <v>2015</v>
      </c>
      <c r="F4626" s="33">
        <f>DATE(YEAR(A4626),MONTH(A4626),1)</f>
        <v>42005.0</v>
      </c>
      <c r="G4626" t="str">
        <f>CHOOSE(WEEKDAY(A4626,2),"Mon","Tue","Wed","Thu","Fri","Sat","Sun")</f>
        <v>Sat</v>
      </c>
      <c r="H4626" t="str">
        <f>IF(WEEKDAY(A4626,2)&gt;5,"Weekend","Weekday")</f>
        <v>Weekend</v>
      </c>
      <c r="I4626" t="str">
        <f>_xlfn.IFS(B4626&lt;=5,"Night (0-5)",B4626&lt;=9,"Morning peak (6-9)",B4626&lt;=15,"Midday (10-15)",B4626&lt;=19,"Evening peak (16-19)",TRUE,"Late evening (20-23)")</f>
        <v>Evening peak (16-19)</v>
      </c>
    </row>
    <row r="4627" spans="1:9">
      <c r="A4627" s="32">
        <v>42014</v>
      </c>
      <c r="B4627">
        <v>18</v>
      </c>
      <c r="C4627">
        <v>5610</v>
      </c>
      <c r="D4627" t="s">
        <v>304</v>
      </c>
      <c r="E4627">
        <f>YEAR(A4627)</f>
        <v>2015</v>
      </c>
      <c r="F4627" s="33">
        <f>DATE(YEAR(A4627),MONTH(A4627),1)</f>
        <v>42005.0</v>
      </c>
      <c r="G4627" t="str">
        <f>CHOOSE(WEEKDAY(A4627,2),"Mon","Tue","Wed","Thu","Fri","Sat","Sun")</f>
        <v>Sat</v>
      </c>
      <c r="H4627" t="str">
        <f>IF(WEEKDAY(A4627,2)&gt;5,"Weekend","Weekday")</f>
        <v>Weekend</v>
      </c>
      <c r="I4627" t="str">
        <f>_xlfn.IFS(B4627&lt;=5,"Night (0-5)",B4627&lt;=9,"Morning peak (6-9)",B4627&lt;=15,"Midday (10-15)",B4627&lt;=19,"Evening peak (16-19)",TRUE,"Late evening (20-23)")</f>
        <v>Evening peak (16-19)</v>
      </c>
    </row>
    <row r="4628" spans="1:9">
      <c r="A4628" s="32">
        <v>42014</v>
      </c>
      <c r="B4628">
        <v>19</v>
      </c>
      <c r="C4628">
        <v>6430</v>
      </c>
      <c r="D4628" t="s">
        <v>304</v>
      </c>
      <c r="E4628">
        <f>YEAR(A4628)</f>
        <v>2015</v>
      </c>
      <c r="F4628" s="33">
        <f>DATE(YEAR(A4628),MONTH(A4628),1)</f>
        <v>42005.0</v>
      </c>
      <c r="G4628" t="str">
        <f>CHOOSE(WEEKDAY(A4628,2),"Mon","Tue","Wed","Thu","Fri","Sat","Sun")</f>
        <v>Sat</v>
      </c>
      <c r="H4628" t="str">
        <f>IF(WEEKDAY(A4628,2)&gt;5,"Weekend","Weekday")</f>
        <v>Weekend</v>
      </c>
      <c r="I4628" t="str">
        <f>_xlfn.IFS(B4628&lt;=5,"Night (0-5)",B4628&lt;=9,"Morning peak (6-9)",B4628&lt;=15,"Midday (10-15)",B4628&lt;=19,"Evening peak (16-19)",TRUE,"Late evening (20-23)")</f>
        <v>Evening peak (16-19)</v>
      </c>
    </row>
    <row r="4629" spans="1:9">
      <c r="A4629" s="32">
        <v>42014</v>
      </c>
      <c r="B4629">
        <v>20</v>
      </c>
      <c r="C4629">
        <v>6348</v>
      </c>
      <c r="D4629" t="s">
        <v>304</v>
      </c>
      <c r="E4629">
        <f>YEAR(A4629)</f>
        <v>2015</v>
      </c>
      <c r="F4629" s="33">
        <f>DATE(YEAR(A4629),MONTH(A4629),1)</f>
        <v>42005.0</v>
      </c>
      <c r="G4629" t="str">
        <f>CHOOSE(WEEKDAY(A4629,2),"Mon","Tue","Wed","Thu","Fri","Sat","Sun")</f>
        <v>Sat</v>
      </c>
      <c r="H4629" t="str">
        <f>IF(WEEKDAY(A4629,2)&gt;5,"Weekend","Weekday")</f>
        <v>Weekend</v>
      </c>
      <c r="I4629" t="str">
        <f>_xlfn.IFS(B4629&lt;=5,"Night (0-5)",B4629&lt;=9,"Morning peak (6-9)",B4629&lt;=15,"Midday (10-15)",B4629&lt;=19,"Evening peak (16-19)",TRUE,"Late evening (20-23)")</f>
        <v>Late evening (20-23)</v>
      </c>
    </row>
    <row r="4630" spans="1:9">
      <c r="A4630" s="32">
        <v>42014</v>
      </c>
      <c r="B4630">
        <v>21</v>
      </c>
      <c r="C4630">
        <v>5486</v>
      </c>
      <c r="D4630" t="s">
        <v>304</v>
      </c>
      <c r="E4630">
        <f>YEAR(A4630)</f>
        <v>2015</v>
      </c>
      <c r="F4630" s="33">
        <f>DATE(YEAR(A4630),MONTH(A4630),1)</f>
        <v>42005.0</v>
      </c>
      <c r="G4630" t="str">
        <f>CHOOSE(WEEKDAY(A4630,2),"Mon","Tue","Wed","Thu","Fri","Sat","Sun")</f>
        <v>Sat</v>
      </c>
      <c r="H4630" t="str">
        <f>IF(WEEKDAY(A4630,2)&gt;5,"Weekend","Weekday")</f>
        <v>Weekend</v>
      </c>
      <c r="I4630" t="str">
        <f>_xlfn.IFS(B4630&lt;=5,"Night (0-5)",B4630&lt;=9,"Morning peak (6-9)",B4630&lt;=15,"Midday (10-15)",B4630&lt;=19,"Evening peak (16-19)",TRUE,"Late evening (20-23)")</f>
        <v>Late evening (20-23)</v>
      </c>
    </row>
    <row r="4631" spans="1:9">
      <c r="A4631" s="32">
        <v>42014</v>
      </c>
      <c r="B4631">
        <v>22</v>
      </c>
      <c r="C4631">
        <v>6057</v>
      </c>
      <c r="D4631" t="s">
        <v>304</v>
      </c>
      <c r="E4631">
        <f>YEAR(A4631)</f>
        <v>2015</v>
      </c>
      <c r="F4631" s="33">
        <f>DATE(YEAR(A4631),MONTH(A4631),1)</f>
        <v>42005.0</v>
      </c>
      <c r="G4631" t="str">
        <f>CHOOSE(WEEKDAY(A4631,2),"Mon","Tue","Wed","Thu","Fri","Sat","Sun")</f>
        <v>Sat</v>
      </c>
      <c r="H4631" t="str">
        <f>IF(WEEKDAY(A4631,2)&gt;5,"Weekend","Weekday")</f>
        <v>Weekend</v>
      </c>
      <c r="I4631" t="str">
        <f>_xlfn.IFS(B4631&lt;=5,"Night (0-5)",B4631&lt;=9,"Morning peak (6-9)",B4631&lt;=15,"Midday (10-15)",B4631&lt;=19,"Evening peak (16-19)",TRUE,"Late evening (20-23)")</f>
        <v>Late evening (20-23)</v>
      </c>
    </row>
    <row r="4632" spans="1:9">
      <c r="A4632" s="32">
        <v>42014</v>
      </c>
      <c r="B4632">
        <v>23</v>
      </c>
      <c r="C4632">
        <v>6338</v>
      </c>
      <c r="D4632" t="s">
        <v>304</v>
      </c>
      <c r="E4632">
        <f>YEAR(A4632)</f>
        <v>2015</v>
      </c>
      <c r="F4632" s="33">
        <f>DATE(YEAR(A4632),MONTH(A4632),1)</f>
        <v>42005.0</v>
      </c>
      <c r="G4632" t="str">
        <f>CHOOSE(WEEKDAY(A4632,2),"Mon","Tue","Wed","Thu","Fri","Sat","Sun")</f>
        <v>Sat</v>
      </c>
      <c r="H4632" t="str">
        <f>IF(WEEKDAY(A4632,2)&gt;5,"Weekend","Weekday")</f>
        <v>Weekend</v>
      </c>
      <c r="I4632" t="str">
        <f>_xlfn.IFS(B4632&lt;=5,"Night (0-5)",B4632&lt;=9,"Morning peak (6-9)",B4632&lt;=15,"Midday (10-15)",B4632&lt;=19,"Evening peak (16-19)",TRUE,"Late evening (20-23)")</f>
        <v>Late evening (20-23)</v>
      </c>
    </row>
    <row r="4633" spans="1:9">
      <c r="A4633" s="32">
        <v>42015</v>
      </c>
      <c r="B4633">
        <v>0</v>
      </c>
      <c r="C4633">
        <v>5537</v>
      </c>
      <c r="D4633" t="s">
        <v>304</v>
      </c>
      <c r="E4633">
        <f>YEAR(A4633)</f>
        <v>2015</v>
      </c>
      <c r="F4633" s="33">
        <f>DATE(YEAR(A4633),MONTH(A4633),1)</f>
        <v>42005.0</v>
      </c>
      <c r="G4633" t="str">
        <f>CHOOSE(WEEKDAY(A4633,2),"Mon","Tue","Wed","Thu","Fri","Sat","Sun")</f>
        <v>Sun</v>
      </c>
      <c r="H4633" t="str">
        <f>IF(WEEKDAY(A4633,2)&gt;5,"Weekend","Weekday")</f>
        <v>Weekend</v>
      </c>
      <c r="I4633" t="str">
        <f>_xlfn.IFS(B4633&lt;=5,"Night (0-5)",B4633&lt;=9,"Morning peak (6-9)",B4633&lt;=15,"Midday (10-15)",B4633&lt;=19,"Evening peak (16-19)",TRUE,"Late evening (20-23)")</f>
        <v>Night (0-5)</v>
      </c>
    </row>
    <row r="4634" spans="1:9">
      <c r="A4634" s="32">
        <v>42015</v>
      </c>
      <c r="B4634">
        <v>1</v>
      </c>
      <c r="C4634">
        <v>4167</v>
      </c>
      <c r="D4634" t="s">
        <v>304</v>
      </c>
      <c r="E4634">
        <f>YEAR(A4634)</f>
        <v>2015</v>
      </c>
      <c r="F4634" s="33">
        <f>DATE(YEAR(A4634),MONTH(A4634),1)</f>
        <v>42005.0</v>
      </c>
      <c r="G4634" t="str">
        <f>CHOOSE(WEEKDAY(A4634,2),"Mon","Tue","Wed","Thu","Fri","Sat","Sun")</f>
        <v>Sun</v>
      </c>
      <c r="H4634" t="str">
        <f>IF(WEEKDAY(A4634,2)&gt;5,"Weekend","Weekday")</f>
        <v>Weekend</v>
      </c>
      <c r="I4634" t="str">
        <f>_xlfn.IFS(B4634&lt;=5,"Night (0-5)",B4634&lt;=9,"Morning peak (6-9)",B4634&lt;=15,"Midday (10-15)",B4634&lt;=19,"Evening peak (16-19)",TRUE,"Late evening (20-23)")</f>
        <v>Night (0-5)</v>
      </c>
    </row>
    <row r="4635" spans="1:9">
      <c r="A4635" s="32">
        <v>42015</v>
      </c>
      <c r="B4635">
        <v>2</v>
      </c>
      <c r="C4635">
        <v>2925</v>
      </c>
      <c r="D4635" t="s">
        <v>304</v>
      </c>
      <c r="E4635">
        <f>YEAR(A4635)</f>
        <v>2015</v>
      </c>
      <c r="F4635" s="33">
        <f>DATE(YEAR(A4635),MONTH(A4635),1)</f>
        <v>42005.0</v>
      </c>
      <c r="G4635" t="str">
        <f>CHOOSE(WEEKDAY(A4635,2),"Mon","Tue","Wed","Thu","Fri","Sat","Sun")</f>
        <v>Sun</v>
      </c>
      <c r="H4635" t="str">
        <f>IF(WEEKDAY(A4635,2)&gt;5,"Weekend","Weekday")</f>
        <v>Weekend</v>
      </c>
      <c r="I4635" t="str">
        <f>_xlfn.IFS(B4635&lt;=5,"Night (0-5)",B4635&lt;=9,"Morning peak (6-9)",B4635&lt;=15,"Midday (10-15)",B4635&lt;=19,"Evening peak (16-19)",TRUE,"Late evening (20-23)")</f>
        <v>Night (0-5)</v>
      </c>
    </row>
    <row r="4636" spans="1:9">
      <c r="A4636" s="32">
        <v>42015</v>
      </c>
      <c r="B4636">
        <v>3</v>
      </c>
      <c r="C4636">
        <v>1782</v>
      </c>
      <c r="D4636" t="s">
        <v>304</v>
      </c>
      <c r="E4636">
        <f>YEAR(A4636)</f>
        <v>2015</v>
      </c>
      <c r="F4636" s="33">
        <f>DATE(YEAR(A4636),MONTH(A4636),1)</f>
        <v>42005.0</v>
      </c>
      <c r="G4636" t="str">
        <f>CHOOSE(WEEKDAY(A4636,2),"Mon","Tue","Wed","Thu","Fri","Sat","Sun")</f>
        <v>Sun</v>
      </c>
      <c r="H4636" t="str">
        <f>IF(WEEKDAY(A4636,2)&gt;5,"Weekend","Weekday")</f>
        <v>Weekend</v>
      </c>
      <c r="I4636" t="str">
        <f>_xlfn.IFS(B4636&lt;=5,"Night (0-5)",B4636&lt;=9,"Morning peak (6-9)",B4636&lt;=15,"Midday (10-15)",B4636&lt;=19,"Evening peak (16-19)",TRUE,"Late evening (20-23)")</f>
        <v>Night (0-5)</v>
      </c>
    </row>
    <row r="4637" spans="1:9">
      <c r="A4637" s="32">
        <v>42015</v>
      </c>
      <c r="B4637">
        <v>4</v>
      </c>
      <c r="C4637">
        <v>1040</v>
      </c>
      <c r="D4637" t="s">
        <v>304</v>
      </c>
      <c r="E4637">
        <f>YEAR(A4637)</f>
        <v>2015</v>
      </c>
      <c r="F4637" s="33">
        <f>DATE(YEAR(A4637),MONTH(A4637),1)</f>
        <v>42005.0</v>
      </c>
      <c r="G4637" t="str">
        <f>CHOOSE(WEEKDAY(A4637,2),"Mon","Tue","Wed","Thu","Fri","Sat","Sun")</f>
        <v>Sun</v>
      </c>
      <c r="H4637" t="str">
        <f>IF(WEEKDAY(A4637,2)&gt;5,"Weekend","Weekday")</f>
        <v>Weekend</v>
      </c>
      <c r="I4637" t="str">
        <f>_xlfn.IFS(B4637&lt;=5,"Night (0-5)",B4637&lt;=9,"Morning peak (6-9)",B4637&lt;=15,"Midday (10-15)",B4637&lt;=19,"Evening peak (16-19)",TRUE,"Late evening (20-23)")</f>
        <v>Night (0-5)</v>
      </c>
    </row>
    <row r="4638" spans="1:9">
      <c r="A4638" s="32">
        <v>42015</v>
      </c>
      <c r="B4638">
        <v>5</v>
      </c>
      <c r="C4638">
        <v>683</v>
      </c>
      <c r="D4638" t="s">
        <v>304</v>
      </c>
      <c r="E4638">
        <f>YEAR(A4638)</f>
        <v>2015</v>
      </c>
      <c r="F4638" s="33">
        <f>DATE(YEAR(A4638),MONTH(A4638),1)</f>
        <v>42005.0</v>
      </c>
      <c r="G4638" t="str">
        <f>CHOOSE(WEEKDAY(A4638,2),"Mon","Tue","Wed","Thu","Fri","Sat","Sun")</f>
        <v>Sun</v>
      </c>
      <c r="H4638" t="str">
        <f>IF(WEEKDAY(A4638,2)&gt;5,"Weekend","Weekday")</f>
        <v>Weekend</v>
      </c>
      <c r="I4638" t="str">
        <f>_xlfn.IFS(B4638&lt;=5,"Night (0-5)",B4638&lt;=9,"Morning peak (6-9)",B4638&lt;=15,"Midday (10-15)",B4638&lt;=19,"Evening peak (16-19)",TRUE,"Late evening (20-23)")</f>
        <v>Night (0-5)</v>
      </c>
    </row>
    <row r="4639" spans="1:9">
      <c r="A4639" s="32">
        <v>42015</v>
      </c>
      <c r="B4639">
        <v>6</v>
      </c>
      <c r="C4639">
        <v>606</v>
      </c>
      <c r="D4639" t="s">
        <v>304</v>
      </c>
      <c r="E4639">
        <f>YEAR(A4639)</f>
        <v>2015</v>
      </c>
      <c r="F4639" s="33">
        <f>DATE(YEAR(A4639),MONTH(A4639),1)</f>
        <v>42005.0</v>
      </c>
      <c r="G4639" t="str">
        <f>CHOOSE(WEEKDAY(A4639,2),"Mon","Tue","Wed","Thu","Fri","Sat","Sun")</f>
        <v>Sun</v>
      </c>
      <c r="H4639" t="str">
        <f>IF(WEEKDAY(A4639,2)&gt;5,"Weekend","Weekday")</f>
        <v>Weekend</v>
      </c>
      <c r="I4639" t="str">
        <f>_xlfn.IFS(B4639&lt;=5,"Night (0-5)",B4639&lt;=9,"Morning peak (6-9)",B4639&lt;=15,"Midday (10-15)",B4639&lt;=19,"Evening peak (16-19)",TRUE,"Late evening (20-23)")</f>
        <v>Morning peak (6-9)</v>
      </c>
    </row>
    <row r="4640" spans="1:9">
      <c r="A4640" s="32">
        <v>42015</v>
      </c>
      <c r="B4640">
        <v>7</v>
      </c>
      <c r="C4640">
        <v>711</v>
      </c>
      <c r="D4640" t="s">
        <v>304</v>
      </c>
      <c r="E4640">
        <f>YEAR(A4640)</f>
        <v>2015</v>
      </c>
      <c r="F4640" s="33">
        <f>DATE(YEAR(A4640),MONTH(A4640),1)</f>
        <v>42005.0</v>
      </c>
      <c r="G4640" t="str">
        <f>CHOOSE(WEEKDAY(A4640,2),"Mon","Tue","Wed","Thu","Fri","Sat","Sun")</f>
        <v>Sun</v>
      </c>
      <c r="H4640" t="str">
        <f>IF(WEEKDAY(A4640,2)&gt;5,"Weekend","Weekday")</f>
        <v>Weekend</v>
      </c>
      <c r="I4640" t="str">
        <f>_xlfn.IFS(B4640&lt;=5,"Night (0-5)",B4640&lt;=9,"Morning peak (6-9)",B4640&lt;=15,"Midday (10-15)",B4640&lt;=19,"Evening peak (16-19)",TRUE,"Late evening (20-23)")</f>
        <v>Morning peak (6-9)</v>
      </c>
    </row>
    <row r="4641" spans="1:9">
      <c r="A4641" s="32">
        <v>42015</v>
      </c>
      <c r="B4641">
        <v>8</v>
      </c>
      <c r="C4641">
        <v>1043</v>
      </c>
      <c r="D4641" t="s">
        <v>304</v>
      </c>
      <c r="E4641">
        <f>YEAR(A4641)</f>
        <v>2015</v>
      </c>
      <c r="F4641" s="33">
        <f>DATE(YEAR(A4641),MONTH(A4641),1)</f>
        <v>42005.0</v>
      </c>
      <c r="G4641" t="str">
        <f>CHOOSE(WEEKDAY(A4641,2),"Mon","Tue","Wed","Thu","Fri","Sat","Sun")</f>
        <v>Sun</v>
      </c>
      <c r="H4641" t="str">
        <f>IF(WEEKDAY(A4641,2)&gt;5,"Weekend","Weekday")</f>
        <v>Weekend</v>
      </c>
      <c r="I4641" t="str">
        <f>_xlfn.IFS(B4641&lt;=5,"Night (0-5)",B4641&lt;=9,"Morning peak (6-9)",B4641&lt;=15,"Midday (10-15)",B4641&lt;=19,"Evening peak (16-19)",TRUE,"Late evening (20-23)")</f>
        <v>Morning peak (6-9)</v>
      </c>
    </row>
    <row r="4642" spans="1:9">
      <c r="A4642" s="32">
        <v>42015</v>
      </c>
      <c r="B4642">
        <v>9</v>
      </c>
      <c r="C4642">
        <v>1463</v>
      </c>
      <c r="D4642" t="s">
        <v>304</v>
      </c>
      <c r="E4642">
        <f>YEAR(A4642)</f>
        <v>2015</v>
      </c>
      <c r="F4642" s="33">
        <f>DATE(YEAR(A4642),MONTH(A4642),1)</f>
        <v>42005.0</v>
      </c>
      <c r="G4642" t="str">
        <f>CHOOSE(WEEKDAY(A4642,2),"Mon","Tue","Wed","Thu","Fri","Sat","Sun")</f>
        <v>Sun</v>
      </c>
      <c r="H4642" t="str">
        <f>IF(WEEKDAY(A4642,2)&gt;5,"Weekend","Weekday")</f>
        <v>Weekend</v>
      </c>
      <c r="I4642" t="str">
        <f>_xlfn.IFS(B4642&lt;=5,"Night (0-5)",B4642&lt;=9,"Morning peak (6-9)",B4642&lt;=15,"Midday (10-15)",B4642&lt;=19,"Evening peak (16-19)",TRUE,"Late evening (20-23)")</f>
        <v>Morning peak (6-9)</v>
      </c>
    </row>
    <row r="4643" spans="1:9">
      <c r="A4643" s="32">
        <v>42015</v>
      </c>
      <c r="B4643">
        <v>10</v>
      </c>
      <c r="C4643">
        <v>1924</v>
      </c>
      <c r="D4643" t="s">
        <v>304</v>
      </c>
      <c r="E4643">
        <f>YEAR(A4643)</f>
        <v>2015</v>
      </c>
      <c r="F4643" s="33">
        <f>DATE(YEAR(A4643),MONTH(A4643),1)</f>
        <v>42005.0</v>
      </c>
      <c r="G4643" t="str">
        <f>CHOOSE(WEEKDAY(A4643,2),"Mon","Tue","Wed","Thu","Fri","Sat","Sun")</f>
        <v>Sun</v>
      </c>
      <c r="H4643" t="str">
        <f>IF(WEEKDAY(A4643,2)&gt;5,"Weekend","Weekday")</f>
        <v>Weekend</v>
      </c>
      <c r="I4643" t="str">
        <f>_xlfn.IFS(B4643&lt;=5,"Night (0-5)",B4643&lt;=9,"Morning peak (6-9)",B4643&lt;=15,"Midday (10-15)",B4643&lt;=19,"Evening peak (16-19)",TRUE,"Late evening (20-23)")</f>
        <v>Midday (10-15)</v>
      </c>
    </row>
    <row r="4644" spans="1:9">
      <c r="A4644" s="32">
        <v>42015</v>
      </c>
      <c r="B4644">
        <v>11</v>
      </c>
      <c r="C4644">
        <v>2473</v>
      </c>
      <c r="D4644" t="s">
        <v>304</v>
      </c>
      <c r="E4644">
        <f>YEAR(A4644)</f>
        <v>2015</v>
      </c>
      <c r="F4644" s="33">
        <f>DATE(YEAR(A4644),MONTH(A4644),1)</f>
        <v>42005.0</v>
      </c>
      <c r="G4644" t="str">
        <f>CHOOSE(WEEKDAY(A4644,2),"Mon","Tue","Wed","Thu","Fri","Sat","Sun")</f>
        <v>Sun</v>
      </c>
      <c r="H4644" t="str">
        <f>IF(WEEKDAY(A4644,2)&gt;5,"Weekend","Weekday")</f>
        <v>Weekend</v>
      </c>
      <c r="I4644" t="str">
        <f>_xlfn.IFS(B4644&lt;=5,"Night (0-5)",B4644&lt;=9,"Morning peak (6-9)",B4644&lt;=15,"Midday (10-15)",B4644&lt;=19,"Evening peak (16-19)",TRUE,"Late evening (20-23)")</f>
        <v>Midday (10-15)</v>
      </c>
    </row>
    <row r="4645" spans="1:9">
      <c r="A4645" s="32">
        <v>42015</v>
      </c>
      <c r="B4645">
        <v>12</v>
      </c>
      <c r="C4645">
        <v>2699</v>
      </c>
      <c r="D4645" t="s">
        <v>304</v>
      </c>
      <c r="E4645">
        <f>YEAR(A4645)</f>
        <v>2015</v>
      </c>
      <c r="F4645" s="33">
        <f>DATE(YEAR(A4645),MONTH(A4645),1)</f>
        <v>42005.0</v>
      </c>
      <c r="G4645" t="str">
        <f>CHOOSE(WEEKDAY(A4645,2),"Mon","Tue","Wed","Thu","Fri","Sat","Sun")</f>
        <v>Sun</v>
      </c>
      <c r="H4645" t="str">
        <f>IF(WEEKDAY(A4645,2)&gt;5,"Weekend","Weekday")</f>
        <v>Weekend</v>
      </c>
      <c r="I4645" t="str">
        <f>_xlfn.IFS(B4645&lt;=5,"Night (0-5)",B4645&lt;=9,"Morning peak (6-9)",B4645&lt;=15,"Midday (10-15)",B4645&lt;=19,"Evening peak (16-19)",TRUE,"Late evening (20-23)")</f>
        <v>Midday (10-15)</v>
      </c>
    </row>
    <row r="4646" spans="1:9">
      <c r="A4646" s="32">
        <v>42015</v>
      </c>
      <c r="B4646">
        <v>13</v>
      </c>
      <c r="C4646">
        <v>2904</v>
      </c>
      <c r="D4646" t="s">
        <v>304</v>
      </c>
      <c r="E4646">
        <f>YEAR(A4646)</f>
        <v>2015</v>
      </c>
      <c r="F4646" s="33">
        <f>DATE(YEAR(A4646),MONTH(A4646),1)</f>
        <v>42005.0</v>
      </c>
      <c r="G4646" t="str">
        <f>CHOOSE(WEEKDAY(A4646,2),"Mon","Tue","Wed","Thu","Fri","Sat","Sun")</f>
        <v>Sun</v>
      </c>
      <c r="H4646" t="str">
        <f>IF(WEEKDAY(A4646,2)&gt;5,"Weekend","Weekday")</f>
        <v>Weekend</v>
      </c>
      <c r="I4646" t="str">
        <f>_xlfn.IFS(B4646&lt;=5,"Night (0-5)",B4646&lt;=9,"Morning peak (6-9)",B4646&lt;=15,"Midday (10-15)",B4646&lt;=19,"Evening peak (16-19)",TRUE,"Late evening (20-23)")</f>
        <v>Midday (10-15)</v>
      </c>
    </row>
    <row r="4647" spans="1:9">
      <c r="A4647" s="32">
        <v>42015</v>
      </c>
      <c r="B4647">
        <v>14</v>
      </c>
      <c r="C4647">
        <v>2852</v>
      </c>
      <c r="D4647" t="s">
        <v>304</v>
      </c>
      <c r="E4647">
        <f>YEAR(A4647)</f>
        <v>2015</v>
      </c>
      <c r="F4647" s="33">
        <f>DATE(YEAR(A4647),MONTH(A4647),1)</f>
        <v>42005.0</v>
      </c>
      <c r="G4647" t="str">
        <f>CHOOSE(WEEKDAY(A4647,2),"Mon","Tue","Wed","Thu","Fri","Sat","Sun")</f>
        <v>Sun</v>
      </c>
      <c r="H4647" t="str">
        <f>IF(WEEKDAY(A4647,2)&gt;5,"Weekend","Weekday")</f>
        <v>Weekend</v>
      </c>
      <c r="I4647" t="str">
        <f>_xlfn.IFS(B4647&lt;=5,"Night (0-5)",B4647&lt;=9,"Morning peak (6-9)",B4647&lt;=15,"Midday (10-15)",B4647&lt;=19,"Evening peak (16-19)",TRUE,"Late evening (20-23)")</f>
        <v>Midday (10-15)</v>
      </c>
    </row>
    <row r="4648" spans="1:9">
      <c r="A4648" s="32">
        <v>42015</v>
      </c>
      <c r="B4648">
        <v>15</v>
      </c>
      <c r="C4648">
        <v>2948</v>
      </c>
      <c r="D4648" t="s">
        <v>304</v>
      </c>
      <c r="E4648">
        <f>YEAR(A4648)</f>
        <v>2015</v>
      </c>
      <c r="F4648" s="33">
        <f>DATE(YEAR(A4648),MONTH(A4648),1)</f>
        <v>42005.0</v>
      </c>
      <c r="G4648" t="str">
        <f>CHOOSE(WEEKDAY(A4648,2),"Mon","Tue","Wed","Thu","Fri","Sat","Sun")</f>
        <v>Sun</v>
      </c>
      <c r="H4648" t="str">
        <f>IF(WEEKDAY(A4648,2)&gt;5,"Weekend","Weekday")</f>
        <v>Weekend</v>
      </c>
      <c r="I4648" t="str">
        <f>_xlfn.IFS(B4648&lt;=5,"Night (0-5)",B4648&lt;=9,"Morning peak (6-9)",B4648&lt;=15,"Midday (10-15)",B4648&lt;=19,"Evening peak (16-19)",TRUE,"Late evening (20-23)")</f>
        <v>Midday (10-15)</v>
      </c>
    </row>
    <row r="4649" spans="1:9">
      <c r="A4649" s="32">
        <v>42015</v>
      </c>
      <c r="B4649">
        <v>16</v>
      </c>
      <c r="C4649">
        <v>3388</v>
      </c>
      <c r="D4649" t="s">
        <v>304</v>
      </c>
      <c r="E4649">
        <f>YEAR(A4649)</f>
        <v>2015</v>
      </c>
      <c r="F4649" s="33">
        <f>DATE(YEAR(A4649),MONTH(A4649),1)</f>
        <v>42005.0</v>
      </c>
      <c r="G4649" t="str">
        <f>CHOOSE(WEEKDAY(A4649,2),"Mon","Tue","Wed","Thu","Fri","Sat","Sun")</f>
        <v>Sun</v>
      </c>
      <c r="H4649" t="str">
        <f>IF(WEEKDAY(A4649,2)&gt;5,"Weekend","Weekday")</f>
        <v>Weekend</v>
      </c>
      <c r="I4649" t="str">
        <f>_xlfn.IFS(B4649&lt;=5,"Night (0-5)",B4649&lt;=9,"Morning peak (6-9)",B4649&lt;=15,"Midday (10-15)",B4649&lt;=19,"Evening peak (16-19)",TRUE,"Late evening (20-23)")</f>
        <v>Evening peak (16-19)</v>
      </c>
    </row>
    <row r="4650" spans="1:9">
      <c r="A4650" s="32">
        <v>42015</v>
      </c>
      <c r="B4650">
        <v>17</v>
      </c>
      <c r="C4650">
        <v>3582</v>
      </c>
      <c r="D4650" t="s">
        <v>304</v>
      </c>
      <c r="E4650">
        <f>YEAR(A4650)</f>
        <v>2015</v>
      </c>
      <c r="F4650" s="33">
        <f>DATE(YEAR(A4650),MONTH(A4650),1)</f>
        <v>42005.0</v>
      </c>
      <c r="G4650" t="str">
        <f>CHOOSE(WEEKDAY(A4650,2),"Mon","Tue","Wed","Thu","Fri","Sat","Sun")</f>
        <v>Sun</v>
      </c>
      <c r="H4650" t="str">
        <f>IF(WEEKDAY(A4650,2)&gt;5,"Weekend","Weekday")</f>
        <v>Weekend</v>
      </c>
      <c r="I4650" t="str">
        <f>_xlfn.IFS(B4650&lt;=5,"Night (0-5)",B4650&lt;=9,"Morning peak (6-9)",B4650&lt;=15,"Midday (10-15)",B4650&lt;=19,"Evening peak (16-19)",TRUE,"Late evening (20-23)")</f>
        <v>Evening peak (16-19)</v>
      </c>
    </row>
    <row r="4651" spans="1:9">
      <c r="A4651" s="32">
        <v>42015</v>
      </c>
      <c r="B4651">
        <v>18</v>
      </c>
      <c r="C4651">
        <v>3506</v>
      </c>
      <c r="D4651" t="s">
        <v>304</v>
      </c>
      <c r="E4651">
        <f>YEAR(A4651)</f>
        <v>2015</v>
      </c>
      <c r="F4651" s="33">
        <f>DATE(YEAR(A4651),MONTH(A4651),1)</f>
        <v>42005.0</v>
      </c>
      <c r="G4651" t="str">
        <f>CHOOSE(WEEKDAY(A4651,2),"Mon","Tue","Wed","Thu","Fri","Sat","Sun")</f>
        <v>Sun</v>
      </c>
      <c r="H4651" t="str">
        <f>IF(WEEKDAY(A4651,2)&gt;5,"Weekend","Weekday")</f>
        <v>Weekend</v>
      </c>
      <c r="I4651" t="str">
        <f>_xlfn.IFS(B4651&lt;=5,"Night (0-5)",B4651&lt;=9,"Morning peak (6-9)",B4651&lt;=15,"Midday (10-15)",B4651&lt;=19,"Evening peak (16-19)",TRUE,"Late evening (20-23)")</f>
        <v>Evening peak (16-19)</v>
      </c>
    </row>
    <row r="4652" spans="1:9">
      <c r="A4652" s="32">
        <v>42015</v>
      </c>
      <c r="B4652">
        <v>19</v>
      </c>
      <c r="C4652">
        <v>3182</v>
      </c>
      <c r="D4652" t="s">
        <v>304</v>
      </c>
      <c r="E4652">
        <f>YEAR(A4652)</f>
        <v>2015</v>
      </c>
      <c r="F4652" s="33">
        <f>DATE(YEAR(A4652),MONTH(A4652),1)</f>
        <v>42005.0</v>
      </c>
      <c r="G4652" t="str">
        <f>CHOOSE(WEEKDAY(A4652,2),"Mon","Tue","Wed","Thu","Fri","Sat","Sun")</f>
        <v>Sun</v>
      </c>
      <c r="H4652" t="str">
        <f>IF(WEEKDAY(A4652,2)&gt;5,"Weekend","Weekday")</f>
        <v>Weekend</v>
      </c>
      <c r="I4652" t="str">
        <f>_xlfn.IFS(B4652&lt;=5,"Night (0-5)",B4652&lt;=9,"Morning peak (6-9)",B4652&lt;=15,"Midday (10-15)",B4652&lt;=19,"Evening peak (16-19)",TRUE,"Late evening (20-23)")</f>
        <v>Evening peak (16-19)</v>
      </c>
    </row>
    <row r="4653" spans="1:9">
      <c r="A4653" s="32">
        <v>42015</v>
      </c>
      <c r="B4653">
        <v>20</v>
      </c>
      <c r="C4653">
        <v>2487</v>
      </c>
      <c r="D4653" t="s">
        <v>304</v>
      </c>
      <c r="E4653">
        <f>YEAR(A4653)</f>
        <v>2015</v>
      </c>
      <c r="F4653" s="33">
        <f>DATE(YEAR(A4653),MONTH(A4653),1)</f>
        <v>42005.0</v>
      </c>
      <c r="G4653" t="str">
        <f>CHOOSE(WEEKDAY(A4653,2),"Mon","Tue","Wed","Thu","Fri","Sat","Sun")</f>
        <v>Sun</v>
      </c>
      <c r="H4653" t="str">
        <f>IF(WEEKDAY(A4653,2)&gt;5,"Weekend","Weekday")</f>
        <v>Weekend</v>
      </c>
      <c r="I4653" t="str">
        <f>_xlfn.IFS(B4653&lt;=5,"Night (0-5)",B4653&lt;=9,"Morning peak (6-9)",B4653&lt;=15,"Midday (10-15)",B4653&lt;=19,"Evening peak (16-19)",TRUE,"Late evening (20-23)")</f>
        <v>Late evening (20-23)</v>
      </c>
    </row>
    <row r="4654" spans="1:9">
      <c r="A4654" s="32">
        <v>42015</v>
      </c>
      <c r="B4654">
        <v>21</v>
      </c>
      <c r="C4654">
        <v>2537</v>
      </c>
      <c r="D4654" t="s">
        <v>304</v>
      </c>
      <c r="E4654">
        <f>YEAR(A4654)</f>
        <v>2015</v>
      </c>
      <c r="F4654" s="33">
        <f>DATE(YEAR(A4654),MONTH(A4654),1)</f>
        <v>42005.0</v>
      </c>
      <c r="G4654" t="str">
        <f>CHOOSE(WEEKDAY(A4654,2),"Mon","Tue","Wed","Thu","Fri","Sat","Sun")</f>
        <v>Sun</v>
      </c>
      <c r="H4654" t="str">
        <f>IF(WEEKDAY(A4654,2)&gt;5,"Weekend","Weekday")</f>
        <v>Weekend</v>
      </c>
      <c r="I4654" t="str">
        <f>_xlfn.IFS(B4654&lt;=5,"Night (0-5)",B4654&lt;=9,"Morning peak (6-9)",B4654&lt;=15,"Midday (10-15)",B4654&lt;=19,"Evening peak (16-19)",TRUE,"Late evening (20-23)")</f>
        <v>Late evening (20-23)</v>
      </c>
    </row>
    <row r="4655" spans="1:9">
      <c r="A4655" s="32">
        <v>42015</v>
      </c>
      <c r="B4655">
        <v>22</v>
      </c>
      <c r="C4655">
        <v>2359</v>
      </c>
      <c r="D4655" t="s">
        <v>304</v>
      </c>
      <c r="E4655">
        <f>YEAR(A4655)</f>
        <v>2015</v>
      </c>
      <c r="F4655" s="33">
        <f>DATE(YEAR(A4655),MONTH(A4655),1)</f>
        <v>42005.0</v>
      </c>
      <c r="G4655" t="str">
        <f>CHOOSE(WEEKDAY(A4655,2),"Mon","Tue","Wed","Thu","Fri","Sat","Sun")</f>
        <v>Sun</v>
      </c>
      <c r="H4655" t="str">
        <f>IF(WEEKDAY(A4655,2)&gt;5,"Weekend","Weekday")</f>
        <v>Weekend</v>
      </c>
      <c r="I4655" t="str">
        <f>_xlfn.IFS(B4655&lt;=5,"Night (0-5)",B4655&lt;=9,"Morning peak (6-9)",B4655&lt;=15,"Midday (10-15)",B4655&lt;=19,"Evening peak (16-19)",TRUE,"Late evening (20-23)")</f>
        <v>Late evening (20-23)</v>
      </c>
    </row>
    <row r="4656" spans="1:9">
      <c r="A4656" s="32">
        <v>42015</v>
      </c>
      <c r="B4656">
        <v>23</v>
      </c>
      <c r="C4656">
        <v>1953</v>
      </c>
      <c r="D4656" t="s">
        <v>304</v>
      </c>
      <c r="E4656">
        <f>YEAR(A4656)</f>
        <v>2015</v>
      </c>
      <c r="F4656" s="33">
        <f>DATE(YEAR(A4656),MONTH(A4656),1)</f>
        <v>42005.0</v>
      </c>
      <c r="G4656" t="str">
        <f>CHOOSE(WEEKDAY(A4656,2),"Mon","Tue","Wed","Thu","Fri","Sat","Sun")</f>
        <v>Sun</v>
      </c>
      <c r="H4656" t="str">
        <f>IF(WEEKDAY(A4656,2)&gt;5,"Weekend","Weekday")</f>
        <v>Weekend</v>
      </c>
      <c r="I4656" t="str">
        <f>_xlfn.IFS(B4656&lt;=5,"Night (0-5)",B4656&lt;=9,"Morning peak (6-9)",B4656&lt;=15,"Midday (10-15)",B4656&lt;=19,"Evening peak (16-19)",TRUE,"Late evening (20-23)")</f>
        <v>Late evening (20-23)</v>
      </c>
    </row>
    <row r="4657" spans="1:9">
      <c r="A4657" s="32">
        <v>42016</v>
      </c>
      <c r="B4657">
        <v>0</v>
      </c>
      <c r="C4657">
        <v>1026</v>
      </c>
      <c r="D4657" t="s">
        <v>304</v>
      </c>
      <c r="E4657">
        <f>YEAR(A4657)</f>
        <v>2015</v>
      </c>
      <c r="F4657" s="33">
        <f>DATE(YEAR(A4657),MONTH(A4657),1)</f>
        <v>42005.0</v>
      </c>
      <c r="G4657" t="str">
        <f>CHOOSE(WEEKDAY(A4657,2),"Mon","Tue","Wed","Thu","Fri","Sat","Sun")</f>
        <v>Mon</v>
      </c>
      <c r="H4657" t="str">
        <f>IF(WEEKDAY(A4657,2)&gt;5,"Weekend","Weekday")</f>
        <v>Weekday</v>
      </c>
      <c r="I4657" t="str">
        <f>_xlfn.IFS(B4657&lt;=5,"Night (0-5)",B4657&lt;=9,"Morning peak (6-9)",B4657&lt;=15,"Midday (10-15)",B4657&lt;=19,"Evening peak (16-19)",TRUE,"Late evening (20-23)")</f>
        <v>Night (0-5)</v>
      </c>
    </row>
    <row r="4658" spans="1:9">
      <c r="A4658" s="32">
        <v>42016</v>
      </c>
      <c r="B4658">
        <v>1</v>
      </c>
      <c r="C4658">
        <v>524</v>
      </c>
      <c r="D4658" t="s">
        <v>304</v>
      </c>
      <c r="E4658">
        <f>YEAR(A4658)</f>
        <v>2015</v>
      </c>
      <c r="F4658" s="33">
        <f>DATE(YEAR(A4658),MONTH(A4658),1)</f>
        <v>42005.0</v>
      </c>
      <c r="G4658" t="str">
        <f>CHOOSE(WEEKDAY(A4658,2),"Mon","Tue","Wed","Thu","Fri","Sat","Sun")</f>
        <v>Mon</v>
      </c>
      <c r="H4658" t="str">
        <f>IF(WEEKDAY(A4658,2)&gt;5,"Weekend","Weekday")</f>
        <v>Weekday</v>
      </c>
      <c r="I4658" t="str">
        <f>_xlfn.IFS(B4658&lt;=5,"Night (0-5)",B4658&lt;=9,"Morning peak (6-9)",B4658&lt;=15,"Midday (10-15)",B4658&lt;=19,"Evening peak (16-19)",TRUE,"Late evening (20-23)")</f>
        <v>Night (0-5)</v>
      </c>
    </row>
    <row r="4659" spans="1:9">
      <c r="A4659" s="32">
        <v>42016</v>
      </c>
      <c r="B4659">
        <v>2</v>
      </c>
      <c r="C4659">
        <v>304</v>
      </c>
      <c r="D4659" t="s">
        <v>304</v>
      </c>
      <c r="E4659">
        <f>YEAR(A4659)</f>
        <v>2015</v>
      </c>
      <c r="F4659" s="33">
        <f>DATE(YEAR(A4659),MONTH(A4659),1)</f>
        <v>42005.0</v>
      </c>
      <c r="G4659" t="str">
        <f>CHOOSE(WEEKDAY(A4659,2),"Mon","Tue","Wed","Thu","Fri","Sat","Sun")</f>
        <v>Mon</v>
      </c>
      <c r="H4659" t="str">
        <f>IF(WEEKDAY(A4659,2)&gt;5,"Weekend","Weekday")</f>
        <v>Weekday</v>
      </c>
      <c r="I4659" t="str">
        <f>_xlfn.IFS(B4659&lt;=5,"Night (0-5)",B4659&lt;=9,"Morning peak (6-9)",B4659&lt;=15,"Midday (10-15)",B4659&lt;=19,"Evening peak (16-19)",TRUE,"Late evening (20-23)")</f>
        <v>Night (0-5)</v>
      </c>
    </row>
    <row r="4660" spans="1:9">
      <c r="A4660" s="32">
        <v>42016</v>
      </c>
      <c r="B4660">
        <v>3</v>
      </c>
      <c r="C4660">
        <v>236</v>
      </c>
      <c r="D4660" t="s">
        <v>304</v>
      </c>
      <c r="E4660">
        <f>YEAR(A4660)</f>
        <v>2015</v>
      </c>
      <c r="F4660" s="33">
        <f>DATE(YEAR(A4660),MONTH(A4660),1)</f>
        <v>42005.0</v>
      </c>
      <c r="G4660" t="str">
        <f>CHOOSE(WEEKDAY(A4660,2),"Mon","Tue","Wed","Thu","Fri","Sat","Sun")</f>
        <v>Mon</v>
      </c>
      <c r="H4660" t="str">
        <f>IF(WEEKDAY(A4660,2)&gt;5,"Weekend","Weekday")</f>
        <v>Weekday</v>
      </c>
      <c r="I4660" t="str">
        <f>_xlfn.IFS(B4660&lt;=5,"Night (0-5)",B4660&lt;=9,"Morning peak (6-9)",B4660&lt;=15,"Midday (10-15)",B4660&lt;=19,"Evening peak (16-19)",TRUE,"Late evening (20-23)")</f>
        <v>Night (0-5)</v>
      </c>
    </row>
    <row r="4661" spans="1:9">
      <c r="A4661" s="32">
        <v>42016</v>
      </c>
      <c r="B4661">
        <v>4</v>
      </c>
      <c r="C4661">
        <v>518</v>
      </c>
      <c r="D4661" t="s">
        <v>304</v>
      </c>
      <c r="E4661">
        <f>YEAR(A4661)</f>
        <v>2015</v>
      </c>
      <c r="F4661" s="33">
        <f>DATE(YEAR(A4661),MONTH(A4661),1)</f>
        <v>42005.0</v>
      </c>
      <c r="G4661" t="str">
        <f>CHOOSE(WEEKDAY(A4661,2),"Mon","Tue","Wed","Thu","Fri","Sat","Sun")</f>
        <v>Mon</v>
      </c>
      <c r="H4661" t="str">
        <f>IF(WEEKDAY(A4661,2)&gt;5,"Weekend","Weekday")</f>
        <v>Weekday</v>
      </c>
      <c r="I4661" t="str">
        <f>_xlfn.IFS(B4661&lt;=5,"Night (0-5)",B4661&lt;=9,"Morning peak (6-9)",B4661&lt;=15,"Midday (10-15)",B4661&lt;=19,"Evening peak (16-19)",TRUE,"Late evening (20-23)")</f>
        <v>Night (0-5)</v>
      </c>
    </row>
    <row r="4662" spans="1:9">
      <c r="A4662" s="32">
        <v>42016</v>
      </c>
      <c r="B4662">
        <v>5</v>
      </c>
      <c r="C4662">
        <v>1026</v>
      </c>
      <c r="D4662" t="s">
        <v>304</v>
      </c>
      <c r="E4662">
        <f>YEAR(A4662)</f>
        <v>2015</v>
      </c>
      <c r="F4662" s="33">
        <f>DATE(YEAR(A4662),MONTH(A4662),1)</f>
        <v>42005.0</v>
      </c>
      <c r="G4662" t="str">
        <f>CHOOSE(WEEKDAY(A4662,2),"Mon","Tue","Wed","Thu","Fri","Sat","Sun")</f>
        <v>Mon</v>
      </c>
      <c r="H4662" t="str">
        <f>IF(WEEKDAY(A4662,2)&gt;5,"Weekend","Weekday")</f>
        <v>Weekday</v>
      </c>
      <c r="I4662" t="str">
        <f>_xlfn.IFS(B4662&lt;=5,"Night (0-5)",B4662&lt;=9,"Morning peak (6-9)",B4662&lt;=15,"Midday (10-15)",B4662&lt;=19,"Evening peak (16-19)",TRUE,"Late evening (20-23)")</f>
        <v>Night (0-5)</v>
      </c>
    </row>
    <row r="4663" spans="1:9">
      <c r="A4663" s="32">
        <v>42016</v>
      </c>
      <c r="B4663">
        <v>6</v>
      </c>
      <c r="C4663">
        <v>1621</v>
      </c>
      <c r="D4663" t="s">
        <v>304</v>
      </c>
      <c r="E4663">
        <f>YEAR(A4663)</f>
        <v>2015</v>
      </c>
      <c r="F4663" s="33">
        <f>DATE(YEAR(A4663),MONTH(A4663),1)</f>
        <v>42005.0</v>
      </c>
      <c r="G4663" t="str">
        <f>CHOOSE(WEEKDAY(A4663,2),"Mon","Tue","Wed","Thu","Fri","Sat","Sun")</f>
        <v>Mon</v>
      </c>
      <c r="H4663" t="str">
        <f>IF(WEEKDAY(A4663,2)&gt;5,"Weekend","Weekday")</f>
        <v>Weekday</v>
      </c>
      <c r="I4663" t="str">
        <f>_xlfn.IFS(B4663&lt;=5,"Night (0-5)",B4663&lt;=9,"Morning peak (6-9)",B4663&lt;=15,"Midday (10-15)",B4663&lt;=19,"Evening peak (16-19)",TRUE,"Late evening (20-23)")</f>
        <v>Morning peak (6-9)</v>
      </c>
    </row>
    <row r="4664" spans="1:9">
      <c r="A4664" s="32">
        <v>42016</v>
      </c>
      <c r="B4664">
        <v>7</v>
      </c>
      <c r="C4664">
        <v>2832</v>
      </c>
      <c r="D4664" t="s">
        <v>304</v>
      </c>
      <c r="E4664">
        <f>YEAR(A4664)</f>
        <v>2015</v>
      </c>
      <c r="F4664" s="33">
        <f>DATE(YEAR(A4664),MONTH(A4664),1)</f>
        <v>42005.0</v>
      </c>
      <c r="G4664" t="str">
        <f>CHOOSE(WEEKDAY(A4664,2),"Mon","Tue","Wed","Thu","Fri","Sat","Sun")</f>
        <v>Mon</v>
      </c>
      <c r="H4664" t="str">
        <f>IF(WEEKDAY(A4664,2)&gt;5,"Weekend","Weekday")</f>
        <v>Weekday</v>
      </c>
      <c r="I4664" t="str">
        <f>_xlfn.IFS(B4664&lt;=5,"Night (0-5)",B4664&lt;=9,"Morning peak (6-9)",B4664&lt;=15,"Midday (10-15)",B4664&lt;=19,"Evening peak (16-19)",TRUE,"Late evening (20-23)")</f>
        <v>Morning peak (6-9)</v>
      </c>
    </row>
    <row r="4665" spans="1:9">
      <c r="A4665" s="32">
        <v>42016</v>
      </c>
      <c r="B4665">
        <v>8</v>
      </c>
      <c r="C4665">
        <v>3958</v>
      </c>
      <c r="D4665" t="s">
        <v>304</v>
      </c>
      <c r="E4665">
        <f>YEAR(A4665)</f>
        <v>2015</v>
      </c>
      <c r="F4665" s="33">
        <f>DATE(YEAR(A4665),MONTH(A4665),1)</f>
        <v>42005.0</v>
      </c>
      <c r="G4665" t="str">
        <f>CHOOSE(WEEKDAY(A4665,2),"Mon","Tue","Wed","Thu","Fri","Sat","Sun")</f>
        <v>Mon</v>
      </c>
      <c r="H4665" t="str">
        <f>IF(WEEKDAY(A4665,2)&gt;5,"Weekend","Weekday")</f>
        <v>Weekday</v>
      </c>
      <c r="I4665" t="str">
        <f>_xlfn.IFS(B4665&lt;=5,"Night (0-5)",B4665&lt;=9,"Morning peak (6-9)",B4665&lt;=15,"Midday (10-15)",B4665&lt;=19,"Evening peak (16-19)",TRUE,"Late evening (20-23)")</f>
        <v>Morning peak (6-9)</v>
      </c>
    </row>
    <row r="4666" spans="1:9">
      <c r="A4666" s="32">
        <v>42016</v>
      </c>
      <c r="B4666">
        <v>9</v>
      </c>
      <c r="C4666">
        <v>3659</v>
      </c>
      <c r="D4666" t="s">
        <v>304</v>
      </c>
      <c r="E4666">
        <f>YEAR(A4666)</f>
        <v>2015</v>
      </c>
      <c r="F4666" s="33">
        <f>DATE(YEAR(A4666),MONTH(A4666),1)</f>
        <v>42005.0</v>
      </c>
      <c r="G4666" t="str">
        <f>CHOOSE(WEEKDAY(A4666,2),"Mon","Tue","Wed","Thu","Fri","Sat","Sun")</f>
        <v>Mon</v>
      </c>
      <c r="H4666" t="str">
        <f>IF(WEEKDAY(A4666,2)&gt;5,"Weekend","Weekday")</f>
        <v>Weekday</v>
      </c>
      <c r="I4666" t="str">
        <f>_xlfn.IFS(B4666&lt;=5,"Night (0-5)",B4666&lt;=9,"Morning peak (6-9)",B4666&lt;=15,"Midday (10-15)",B4666&lt;=19,"Evening peak (16-19)",TRUE,"Late evening (20-23)")</f>
        <v>Morning peak (6-9)</v>
      </c>
    </row>
    <row r="4667" spans="1:9">
      <c r="A4667" s="32">
        <v>42016</v>
      </c>
      <c r="B4667">
        <v>10</v>
      </c>
      <c r="C4667">
        <v>2742</v>
      </c>
      <c r="D4667" t="s">
        <v>304</v>
      </c>
      <c r="E4667">
        <f>YEAR(A4667)</f>
        <v>2015</v>
      </c>
      <c r="F4667" s="33">
        <f>DATE(YEAR(A4667),MONTH(A4667),1)</f>
        <v>42005.0</v>
      </c>
      <c r="G4667" t="str">
        <f>CHOOSE(WEEKDAY(A4667,2),"Mon","Tue","Wed","Thu","Fri","Sat","Sun")</f>
        <v>Mon</v>
      </c>
      <c r="H4667" t="str">
        <f>IF(WEEKDAY(A4667,2)&gt;5,"Weekend","Weekday")</f>
        <v>Weekday</v>
      </c>
      <c r="I4667" t="str">
        <f>_xlfn.IFS(B4667&lt;=5,"Night (0-5)",B4667&lt;=9,"Morning peak (6-9)",B4667&lt;=15,"Midday (10-15)",B4667&lt;=19,"Evening peak (16-19)",TRUE,"Late evening (20-23)")</f>
        <v>Midday (10-15)</v>
      </c>
    </row>
    <row r="4668" spans="1:9">
      <c r="A4668" s="32">
        <v>42016</v>
      </c>
      <c r="B4668">
        <v>11</v>
      </c>
      <c r="C4668">
        <v>2471</v>
      </c>
      <c r="D4668" t="s">
        <v>304</v>
      </c>
      <c r="E4668">
        <f>YEAR(A4668)</f>
        <v>2015</v>
      </c>
      <c r="F4668" s="33">
        <f>DATE(YEAR(A4668),MONTH(A4668),1)</f>
        <v>42005.0</v>
      </c>
      <c r="G4668" t="str">
        <f>CHOOSE(WEEKDAY(A4668,2),"Mon","Tue","Wed","Thu","Fri","Sat","Sun")</f>
        <v>Mon</v>
      </c>
      <c r="H4668" t="str">
        <f>IF(WEEKDAY(A4668,2)&gt;5,"Weekend","Weekday")</f>
        <v>Weekday</v>
      </c>
      <c r="I4668" t="str">
        <f>_xlfn.IFS(B4668&lt;=5,"Night (0-5)",B4668&lt;=9,"Morning peak (6-9)",B4668&lt;=15,"Midday (10-15)",B4668&lt;=19,"Evening peak (16-19)",TRUE,"Late evening (20-23)")</f>
        <v>Midday (10-15)</v>
      </c>
    </row>
    <row r="4669" spans="1:9">
      <c r="A4669" s="32">
        <v>42016</v>
      </c>
      <c r="B4669">
        <v>12</v>
      </c>
      <c r="C4669">
        <v>2591</v>
      </c>
      <c r="D4669" t="s">
        <v>304</v>
      </c>
      <c r="E4669">
        <f>YEAR(A4669)</f>
        <v>2015</v>
      </c>
      <c r="F4669" s="33">
        <f>DATE(YEAR(A4669),MONTH(A4669),1)</f>
        <v>42005.0</v>
      </c>
      <c r="G4669" t="str">
        <f>CHOOSE(WEEKDAY(A4669,2),"Mon","Tue","Wed","Thu","Fri","Sat","Sun")</f>
        <v>Mon</v>
      </c>
      <c r="H4669" t="str">
        <f>IF(WEEKDAY(A4669,2)&gt;5,"Weekend","Weekday")</f>
        <v>Weekday</v>
      </c>
      <c r="I4669" t="str">
        <f>_xlfn.IFS(B4669&lt;=5,"Night (0-5)",B4669&lt;=9,"Morning peak (6-9)",B4669&lt;=15,"Midday (10-15)",B4669&lt;=19,"Evening peak (16-19)",TRUE,"Late evening (20-23)")</f>
        <v>Midday (10-15)</v>
      </c>
    </row>
    <row r="4670" spans="1:9">
      <c r="A4670" s="32">
        <v>42016</v>
      </c>
      <c r="B4670">
        <v>13</v>
      </c>
      <c r="C4670">
        <v>2561</v>
      </c>
      <c r="D4670" t="s">
        <v>304</v>
      </c>
      <c r="E4670">
        <f>YEAR(A4670)</f>
        <v>2015</v>
      </c>
      <c r="F4670" s="33">
        <f>DATE(YEAR(A4670),MONTH(A4670),1)</f>
        <v>42005.0</v>
      </c>
      <c r="G4670" t="str">
        <f>CHOOSE(WEEKDAY(A4670,2),"Mon","Tue","Wed","Thu","Fri","Sat","Sun")</f>
        <v>Mon</v>
      </c>
      <c r="H4670" t="str">
        <f>IF(WEEKDAY(A4670,2)&gt;5,"Weekend","Weekday")</f>
        <v>Weekday</v>
      </c>
      <c r="I4670" t="str">
        <f>_xlfn.IFS(B4670&lt;=5,"Night (0-5)",B4670&lt;=9,"Morning peak (6-9)",B4670&lt;=15,"Midday (10-15)",B4670&lt;=19,"Evening peak (16-19)",TRUE,"Late evening (20-23)")</f>
        <v>Midday (10-15)</v>
      </c>
    </row>
    <row r="4671" spans="1:9">
      <c r="A4671" s="32">
        <v>42016</v>
      </c>
      <c r="B4671">
        <v>14</v>
      </c>
      <c r="C4671">
        <v>2973</v>
      </c>
      <c r="D4671" t="s">
        <v>304</v>
      </c>
      <c r="E4671">
        <f>YEAR(A4671)</f>
        <v>2015</v>
      </c>
      <c r="F4671" s="33">
        <f>DATE(YEAR(A4671),MONTH(A4671),1)</f>
        <v>42005.0</v>
      </c>
      <c r="G4671" t="str">
        <f>CHOOSE(WEEKDAY(A4671,2),"Mon","Tue","Wed","Thu","Fri","Sat","Sun")</f>
        <v>Mon</v>
      </c>
      <c r="H4671" t="str">
        <f>IF(WEEKDAY(A4671,2)&gt;5,"Weekend","Weekday")</f>
        <v>Weekday</v>
      </c>
      <c r="I4671" t="str">
        <f>_xlfn.IFS(B4671&lt;=5,"Night (0-5)",B4671&lt;=9,"Morning peak (6-9)",B4671&lt;=15,"Midday (10-15)",B4671&lt;=19,"Evening peak (16-19)",TRUE,"Late evening (20-23)")</f>
        <v>Midday (10-15)</v>
      </c>
    </row>
    <row r="4672" spans="1:9">
      <c r="A4672" s="32">
        <v>42016</v>
      </c>
      <c r="B4672">
        <v>15</v>
      </c>
      <c r="C4672">
        <v>3163</v>
      </c>
      <c r="D4672" t="s">
        <v>304</v>
      </c>
      <c r="E4672">
        <f>YEAR(A4672)</f>
        <v>2015</v>
      </c>
      <c r="F4672" s="33">
        <f>DATE(YEAR(A4672),MONTH(A4672),1)</f>
        <v>42005.0</v>
      </c>
      <c r="G4672" t="str">
        <f>CHOOSE(WEEKDAY(A4672,2),"Mon","Tue","Wed","Thu","Fri","Sat","Sun")</f>
        <v>Mon</v>
      </c>
      <c r="H4672" t="str">
        <f>IF(WEEKDAY(A4672,2)&gt;5,"Weekend","Weekday")</f>
        <v>Weekday</v>
      </c>
      <c r="I4672" t="str">
        <f>_xlfn.IFS(B4672&lt;=5,"Night (0-5)",B4672&lt;=9,"Morning peak (6-9)",B4672&lt;=15,"Midday (10-15)",B4672&lt;=19,"Evening peak (16-19)",TRUE,"Late evening (20-23)")</f>
        <v>Midday (10-15)</v>
      </c>
    </row>
    <row r="4673" spans="1:9">
      <c r="A4673" s="32">
        <v>42016</v>
      </c>
      <c r="B4673">
        <v>16</v>
      </c>
      <c r="C4673">
        <v>3283</v>
      </c>
      <c r="D4673" t="s">
        <v>304</v>
      </c>
      <c r="E4673">
        <f>YEAR(A4673)</f>
        <v>2015</v>
      </c>
      <c r="F4673" s="33">
        <f>DATE(YEAR(A4673),MONTH(A4673),1)</f>
        <v>42005.0</v>
      </c>
      <c r="G4673" t="str">
        <f>CHOOSE(WEEKDAY(A4673,2),"Mon","Tue","Wed","Thu","Fri","Sat","Sun")</f>
        <v>Mon</v>
      </c>
      <c r="H4673" t="str">
        <f>IF(WEEKDAY(A4673,2)&gt;5,"Weekend","Weekday")</f>
        <v>Weekday</v>
      </c>
      <c r="I4673" t="str">
        <f>_xlfn.IFS(B4673&lt;=5,"Night (0-5)",B4673&lt;=9,"Morning peak (6-9)",B4673&lt;=15,"Midday (10-15)",B4673&lt;=19,"Evening peak (16-19)",TRUE,"Late evening (20-23)")</f>
        <v>Evening peak (16-19)</v>
      </c>
    </row>
    <row r="4674" spans="1:9">
      <c r="A4674" s="32">
        <v>42016</v>
      </c>
      <c r="B4674">
        <v>17</v>
      </c>
      <c r="C4674">
        <v>3898</v>
      </c>
      <c r="D4674" t="s">
        <v>304</v>
      </c>
      <c r="E4674">
        <f>YEAR(A4674)</f>
        <v>2015</v>
      </c>
      <c r="F4674" s="33">
        <f>DATE(YEAR(A4674),MONTH(A4674),1)</f>
        <v>42005.0</v>
      </c>
      <c r="G4674" t="str">
        <f>CHOOSE(WEEKDAY(A4674,2),"Mon","Tue","Wed","Thu","Fri","Sat","Sun")</f>
        <v>Mon</v>
      </c>
      <c r="H4674" t="str">
        <f>IF(WEEKDAY(A4674,2)&gt;5,"Weekend","Weekday")</f>
        <v>Weekday</v>
      </c>
      <c r="I4674" t="str">
        <f>_xlfn.IFS(B4674&lt;=5,"Night (0-5)",B4674&lt;=9,"Morning peak (6-9)",B4674&lt;=15,"Midday (10-15)",B4674&lt;=19,"Evening peak (16-19)",TRUE,"Late evening (20-23)")</f>
        <v>Evening peak (16-19)</v>
      </c>
    </row>
    <row r="4675" spans="1:9">
      <c r="A4675" s="32">
        <v>42016</v>
      </c>
      <c r="B4675">
        <v>18</v>
      </c>
      <c r="C4675">
        <v>4395</v>
      </c>
      <c r="D4675" t="s">
        <v>304</v>
      </c>
      <c r="E4675">
        <f>YEAR(A4675)</f>
        <v>2015</v>
      </c>
      <c r="F4675" s="33">
        <f>DATE(YEAR(A4675),MONTH(A4675),1)</f>
        <v>42005.0</v>
      </c>
      <c r="G4675" t="str">
        <f>CHOOSE(WEEKDAY(A4675,2),"Mon","Tue","Wed","Thu","Fri","Sat","Sun")</f>
        <v>Mon</v>
      </c>
      <c r="H4675" t="str">
        <f>IF(WEEKDAY(A4675,2)&gt;5,"Weekend","Weekday")</f>
        <v>Weekday</v>
      </c>
      <c r="I4675" t="str">
        <f>_xlfn.IFS(B4675&lt;=5,"Night (0-5)",B4675&lt;=9,"Morning peak (6-9)",B4675&lt;=15,"Midday (10-15)",B4675&lt;=19,"Evening peak (16-19)",TRUE,"Late evening (20-23)")</f>
        <v>Evening peak (16-19)</v>
      </c>
    </row>
    <row r="4676" spans="1:9">
      <c r="A4676" s="32">
        <v>42016</v>
      </c>
      <c r="B4676">
        <v>19</v>
      </c>
      <c r="C4676">
        <v>3912</v>
      </c>
      <c r="D4676" t="s">
        <v>304</v>
      </c>
      <c r="E4676">
        <f>YEAR(A4676)</f>
        <v>2015</v>
      </c>
      <c r="F4676" s="33">
        <f>DATE(YEAR(A4676),MONTH(A4676),1)</f>
        <v>42005.0</v>
      </c>
      <c r="G4676" t="str">
        <f>CHOOSE(WEEKDAY(A4676,2),"Mon","Tue","Wed","Thu","Fri","Sat","Sun")</f>
        <v>Mon</v>
      </c>
      <c r="H4676" t="str">
        <f>IF(WEEKDAY(A4676,2)&gt;5,"Weekend","Weekday")</f>
        <v>Weekday</v>
      </c>
      <c r="I4676" t="str">
        <f>_xlfn.IFS(B4676&lt;=5,"Night (0-5)",B4676&lt;=9,"Morning peak (6-9)",B4676&lt;=15,"Midday (10-15)",B4676&lt;=19,"Evening peak (16-19)",TRUE,"Late evening (20-23)")</f>
        <v>Evening peak (16-19)</v>
      </c>
    </row>
    <row r="4677" spans="1:9">
      <c r="A4677" s="32">
        <v>42016</v>
      </c>
      <c r="B4677">
        <v>20</v>
      </c>
      <c r="C4677">
        <v>3461</v>
      </c>
      <c r="D4677" t="s">
        <v>304</v>
      </c>
      <c r="E4677">
        <f>YEAR(A4677)</f>
        <v>2015</v>
      </c>
      <c r="F4677" s="33">
        <f>DATE(YEAR(A4677),MONTH(A4677),1)</f>
        <v>42005.0</v>
      </c>
      <c r="G4677" t="str">
        <f>CHOOSE(WEEKDAY(A4677,2),"Mon","Tue","Wed","Thu","Fri","Sat","Sun")</f>
        <v>Mon</v>
      </c>
      <c r="H4677" t="str">
        <f>IF(WEEKDAY(A4677,2)&gt;5,"Weekend","Weekday")</f>
        <v>Weekday</v>
      </c>
      <c r="I4677" t="str">
        <f>_xlfn.IFS(B4677&lt;=5,"Night (0-5)",B4677&lt;=9,"Morning peak (6-9)",B4677&lt;=15,"Midday (10-15)",B4677&lt;=19,"Evening peak (16-19)",TRUE,"Late evening (20-23)")</f>
        <v>Late evening (20-23)</v>
      </c>
    </row>
    <row r="4678" spans="1:9">
      <c r="A4678" s="32">
        <v>42016</v>
      </c>
      <c r="B4678">
        <v>21</v>
      </c>
      <c r="C4678">
        <v>3225</v>
      </c>
      <c r="D4678" t="s">
        <v>304</v>
      </c>
      <c r="E4678">
        <f>YEAR(A4678)</f>
        <v>2015</v>
      </c>
      <c r="F4678" s="33">
        <f>DATE(YEAR(A4678),MONTH(A4678),1)</f>
        <v>42005.0</v>
      </c>
      <c r="G4678" t="str">
        <f>CHOOSE(WEEKDAY(A4678,2),"Mon","Tue","Wed","Thu","Fri","Sat","Sun")</f>
        <v>Mon</v>
      </c>
      <c r="H4678" t="str">
        <f>IF(WEEKDAY(A4678,2)&gt;5,"Weekend","Weekday")</f>
        <v>Weekday</v>
      </c>
      <c r="I4678" t="str">
        <f>_xlfn.IFS(B4678&lt;=5,"Night (0-5)",B4678&lt;=9,"Morning peak (6-9)",B4678&lt;=15,"Midday (10-15)",B4678&lt;=19,"Evening peak (16-19)",TRUE,"Late evening (20-23)")</f>
        <v>Late evening (20-23)</v>
      </c>
    </row>
    <row r="4679" spans="1:9">
      <c r="A4679" s="32">
        <v>42016</v>
      </c>
      <c r="B4679">
        <v>22</v>
      </c>
      <c r="C4679">
        <v>2785</v>
      </c>
      <c r="D4679" t="s">
        <v>304</v>
      </c>
      <c r="E4679">
        <f>YEAR(A4679)</f>
        <v>2015</v>
      </c>
      <c r="F4679" s="33">
        <f>DATE(YEAR(A4679),MONTH(A4679),1)</f>
        <v>42005.0</v>
      </c>
      <c r="G4679" t="str">
        <f>CHOOSE(WEEKDAY(A4679,2),"Mon","Tue","Wed","Thu","Fri","Sat","Sun")</f>
        <v>Mon</v>
      </c>
      <c r="H4679" t="str">
        <f>IF(WEEKDAY(A4679,2)&gt;5,"Weekend","Weekday")</f>
        <v>Weekday</v>
      </c>
      <c r="I4679" t="str">
        <f>_xlfn.IFS(B4679&lt;=5,"Night (0-5)",B4679&lt;=9,"Morning peak (6-9)",B4679&lt;=15,"Midday (10-15)",B4679&lt;=19,"Evening peak (16-19)",TRUE,"Late evening (20-23)")</f>
        <v>Late evening (20-23)</v>
      </c>
    </row>
    <row r="4680" spans="1:9">
      <c r="A4680" s="32">
        <v>42016</v>
      </c>
      <c r="B4680">
        <v>23</v>
      </c>
      <c r="C4680">
        <v>1827</v>
      </c>
      <c r="D4680" t="s">
        <v>304</v>
      </c>
      <c r="E4680">
        <f>YEAR(A4680)</f>
        <v>2015</v>
      </c>
      <c r="F4680" s="33">
        <f>DATE(YEAR(A4680),MONTH(A4680),1)</f>
        <v>42005.0</v>
      </c>
      <c r="G4680" t="str">
        <f>CHOOSE(WEEKDAY(A4680,2),"Mon","Tue","Wed","Thu","Fri","Sat","Sun")</f>
        <v>Mon</v>
      </c>
      <c r="H4680" t="str">
        <f>IF(WEEKDAY(A4680,2)&gt;5,"Weekend","Weekday")</f>
        <v>Weekday</v>
      </c>
      <c r="I4680" t="str">
        <f>_xlfn.IFS(B4680&lt;=5,"Night (0-5)",B4680&lt;=9,"Morning peak (6-9)",B4680&lt;=15,"Midday (10-15)",B4680&lt;=19,"Evening peak (16-19)",TRUE,"Late evening (20-23)")</f>
        <v>Late evening (20-23)</v>
      </c>
    </row>
    <row r="4681" spans="1:9">
      <c r="A4681" s="32">
        <v>42017</v>
      </c>
      <c r="B4681">
        <v>0</v>
      </c>
      <c r="C4681">
        <v>1490</v>
      </c>
      <c r="D4681" t="s">
        <v>304</v>
      </c>
      <c r="E4681">
        <f>YEAR(A4681)</f>
        <v>2015</v>
      </c>
      <c r="F4681" s="33">
        <f>DATE(YEAR(A4681),MONTH(A4681),1)</f>
        <v>42005.0</v>
      </c>
      <c r="G4681" t="str">
        <f>CHOOSE(WEEKDAY(A4681,2),"Mon","Tue","Wed","Thu","Fri","Sat","Sun")</f>
        <v>Tue</v>
      </c>
      <c r="H4681" t="str">
        <f>IF(WEEKDAY(A4681,2)&gt;5,"Weekend","Weekday")</f>
        <v>Weekday</v>
      </c>
      <c r="I4681" t="str">
        <f>_xlfn.IFS(B4681&lt;=5,"Night (0-5)",B4681&lt;=9,"Morning peak (6-9)",B4681&lt;=15,"Midday (10-15)",B4681&lt;=19,"Evening peak (16-19)",TRUE,"Late evening (20-23)")</f>
        <v>Night (0-5)</v>
      </c>
    </row>
    <row r="4682" spans="1:9">
      <c r="A4682" s="32">
        <v>42017</v>
      </c>
      <c r="B4682">
        <v>1</v>
      </c>
      <c r="C4682">
        <v>596</v>
      </c>
      <c r="D4682" t="s">
        <v>304</v>
      </c>
      <c r="E4682">
        <f>YEAR(A4682)</f>
        <v>2015</v>
      </c>
      <c r="F4682" s="33">
        <f>DATE(YEAR(A4682),MONTH(A4682),1)</f>
        <v>42005.0</v>
      </c>
      <c r="G4682" t="str">
        <f>CHOOSE(WEEKDAY(A4682,2),"Mon","Tue","Wed","Thu","Fri","Sat","Sun")</f>
        <v>Tue</v>
      </c>
      <c r="H4682" t="str">
        <f>IF(WEEKDAY(A4682,2)&gt;5,"Weekend","Weekday")</f>
        <v>Weekday</v>
      </c>
      <c r="I4682" t="str">
        <f>_xlfn.IFS(B4682&lt;=5,"Night (0-5)",B4682&lt;=9,"Morning peak (6-9)",B4682&lt;=15,"Midday (10-15)",B4682&lt;=19,"Evening peak (16-19)",TRUE,"Late evening (20-23)")</f>
        <v>Night (0-5)</v>
      </c>
    </row>
    <row r="4683" spans="1:9">
      <c r="A4683" s="32">
        <v>42017</v>
      </c>
      <c r="B4683">
        <v>2</v>
      </c>
      <c r="C4683">
        <v>345</v>
      </c>
      <c r="D4683" t="s">
        <v>304</v>
      </c>
      <c r="E4683">
        <f>YEAR(A4683)</f>
        <v>2015</v>
      </c>
      <c r="F4683" s="33">
        <f>DATE(YEAR(A4683),MONTH(A4683),1)</f>
        <v>42005.0</v>
      </c>
      <c r="G4683" t="str">
        <f>CHOOSE(WEEKDAY(A4683,2),"Mon","Tue","Wed","Thu","Fri","Sat","Sun")</f>
        <v>Tue</v>
      </c>
      <c r="H4683" t="str">
        <f>IF(WEEKDAY(A4683,2)&gt;5,"Weekend","Weekday")</f>
        <v>Weekday</v>
      </c>
      <c r="I4683" t="str">
        <f>_xlfn.IFS(B4683&lt;=5,"Night (0-5)",B4683&lt;=9,"Morning peak (6-9)",B4683&lt;=15,"Midday (10-15)",B4683&lt;=19,"Evening peak (16-19)",TRUE,"Late evening (20-23)")</f>
        <v>Night (0-5)</v>
      </c>
    </row>
    <row r="4684" spans="1:9">
      <c r="A4684" s="32">
        <v>42017</v>
      </c>
      <c r="B4684">
        <v>3</v>
      </c>
      <c r="C4684">
        <v>241</v>
      </c>
      <c r="D4684" t="s">
        <v>304</v>
      </c>
      <c r="E4684">
        <f>YEAR(A4684)</f>
        <v>2015</v>
      </c>
      <c r="F4684" s="33">
        <f>DATE(YEAR(A4684),MONTH(A4684),1)</f>
        <v>42005.0</v>
      </c>
      <c r="G4684" t="str">
        <f>CHOOSE(WEEKDAY(A4684,2),"Mon","Tue","Wed","Thu","Fri","Sat","Sun")</f>
        <v>Tue</v>
      </c>
      <c r="H4684" t="str">
        <f>IF(WEEKDAY(A4684,2)&gt;5,"Weekend","Weekday")</f>
        <v>Weekday</v>
      </c>
      <c r="I4684" t="str">
        <f>_xlfn.IFS(B4684&lt;=5,"Night (0-5)",B4684&lt;=9,"Morning peak (6-9)",B4684&lt;=15,"Midday (10-15)",B4684&lt;=19,"Evening peak (16-19)",TRUE,"Late evening (20-23)")</f>
        <v>Night (0-5)</v>
      </c>
    </row>
    <row r="4685" spans="1:9">
      <c r="A4685" s="32">
        <v>42017</v>
      </c>
      <c r="B4685">
        <v>4</v>
      </c>
      <c r="C4685">
        <v>378</v>
      </c>
      <c r="D4685" t="s">
        <v>304</v>
      </c>
      <c r="E4685">
        <f>YEAR(A4685)</f>
        <v>2015</v>
      </c>
      <c r="F4685" s="33">
        <f>DATE(YEAR(A4685),MONTH(A4685),1)</f>
        <v>42005.0</v>
      </c>
      <c r="G4685" t="str">
        <f>CHOOSE(WEEKDAY(A4685,2),"Mon","Tue","Wed","Thu","Fri","Sat","Sun")</f>
        <v>Tue</v>
      </c>
      <c r="H4685" t="str">
        <f>IF(WEEKDAY(A4685,2)&gt;5,"Weekend","Weekday")</f>
        <v>Weekday</v>
      </c>
      <c r="I4685" t="str">
        <f>_xlfn.IFS(B4685&lt;=5,"Night (0-5)",B4685&lt;=9,"Morning peak (6-9)",B4685&lt;=15,"Midday (10-15)",B4685&lt;=19,"Evening peak (16-19)",TRUE,"Late evening (20-23)")</f>
        <v>Night (0-5)</v>
      </c>
    </row>
    <row r="4686" spans="1:9">
      <c r="A4686" s="32">
        <v>42017</v>
      </c>
      <c r="B4686">
        <v>5</v>
      </c>
      <c r="C4686">
        <v>692</v>
      </c>
      <c r="D4686" t="s">
        <v>304</v>
      </c>
      <c r="E4686">
        <f>YEAR(A4686)</f>
        <v>2015</v>
      </c>
      <c r="F4686" s="33">
        <f>DATE(YEAR(A4686),MONTH(A4686),1)</f>
        <v>42005.0</v>
      </c>
      <c r="G4686" t="str">
        <f>CHOOSE(WEEKDAY(A4686,2),"Mon","Tue","Wed","Thu","Fri","Sat","Sun")</f>
        <v>Tue</v>
      </c>
      <c r="H4686" t="str">
        <f>IF(WEEKDAY(A4686,2)&gt;5,"Weekend","Weekday")</f>
        <v>Weekday</v>
      </c>
      <c r="I4686" t="str">
        <f>_xlfn.IFS(B4686&lt;=5,"Night (0-5)",B4686&lt;=9,"Morning peak (6-9)",B4686&lt;=15,"Midday (10-15)",B4686&lt;=19,"Evening peak (16-19)",TRUE,"Late evening (20-23)")</f>
        <v>Night (0-5)</v>
      </c>
    </row>
    <row r="4687" spans="1:9">
      <c r="A4687" s="32">
        <v>42017</v>
      </c>
      <c r="B4687">
        <v>6</v>
      </c>
      <c r="C4687">
        <v>1413</v>
      </c>
      <c r="D4687" t="s">
        <v>304</v>
      </c>
      <c r="E4687">
        <f>YEAR(A4687)</f>
        <v>2015</v>
      </c>
      <c r="F4687" s="33">
        <f>DATE(YEAR(A4687),MONTH(A4687),1)</f>
        <v>42005.0</v>
      </c>
      <c r="G4687" t="str">
        <f>CHOOSE(WEEKDAY(A4687,2),"Mon","Tue","Wed","Thu","Fri","Sat","Sun")</f>
        <v>Tue</v>
      </c>
      <c r="H4687" t="str">
        <f>IF(WEEKDAY(A4687,2)&gt;5,"Weekend","Weekday")</f>
        <v>Weekday</v>
      </c>
      <c r="I4687" t="str">
        <f>_xlfn.IFS(B4687&lt;=5,"Night (0-5)",B4687&lt;=9,"Morning peak (6-9)",B4687&lt;=15,"Midday (10-15)",B4687&lt;=19,"Evening peak (16-19)",TRUE,"Late evening (20-23)")</f>
        <v>Morning peak (6-9)</v>
      </c>
    </row>
    <row r="4688" spans="1:9">
      <c r="A4688" s="32">
        <v>42017</v>
      </c>
      <c r="B4688">
        <v>7</v>
      </c>
      <c r="C4688">
        <v>2595</v>
      </c>
      <c r="D4688" t="s">
        <v>304</v>
      </c>
      <c r="E4688">
        <f>YEAR(A4688)</f>
        <v>2015</v>
      </c>
      <c r="F4688" s="33">
        <f>DATE(YEAR(A4688),MONTH(A4688),1)</f>
        <v>42005.0</v>
      </c>
      <c r="G4688" t="str">
        <f>CHOOSE(WEEKDAY(A4688,2),"Mon","Tue","Wed","Thu","Fri","Sat","Sun")</f>
        <v>Tue</v>
      </c>
      <c r="H4688" t="str">
        <f>IF(WEEKDAY(A4688,2)&gt;5,"Weekend","Weekday")</f>
        <v>Weekday</v>
      </c>
      <c r="I4688" t="str">
        <f>_xlfn.IFS(B4688&lt;=5,"Night (0-5)",B4688&lt;=9,"Morning peak (6-9)",B4688&lt;=15,"Midday (10-15)",B4688&lt;=19,"Evening peak (16-19)",TRUE,"Late evening (20-23)")</f>
        <v>Morning peak (6-9)</v>
      </c>
    </row>
    <row r="4689" spans="1:9">
      <c r="A4689" s="32">
        <v>42017</v>
      </c>
      <c r="B4689">
        <v>8</v>
      </c>
      <c r="C4689">
        <v>3540</v>
      </c>
      <c r="D4689" t="s">
        <v>304</v>
      </c>
      <c r="E4689">
        <f>YEAR(A4689)</f>
        <v>2015</v>
      </c>
      <c r="F4689" s="33">
        <f>DATE(YEAR(A4689),MONTH(A4689),1)</f>
        <v>42005.0</v>
      </c>
      <c r="G4689" t="str">
        <f>CHOOSE(WEEKDAY(A4689,2),"Mon","Tue","Wed","Thu","Fri","Sat","Sun")</f>
        <v>Tue</v>
      </c>
      <c r="H4689" t="str">
        <f>IF(WEEKDAY(A4689,2)&gt;5,"Weekend","Weekday")</f>
        <v>Weekday</v>
      </c>
      <c r="I4689" t="str">
        <f>_xlfn.IFS(B4689&lt;=5,"Night (0-5)",B4689&lt;=9,"Morning peak (6-9)",B4689&lt;=15,"Midday (10-15)",B4689&lt;=19,"Evening peak (16-19)",TRUE,"Late evening (20-23)")</f>
        <v>Morning peak (6-9)</v>
      </c>
    </row>
    <row r="4690" spans="1:9">
      <c r="A4690" s="32">
        <v>42017</v>
      </c>
      <c r="B4690">
        <v>9</v>
      </c>
      <c r="C4690">
        <v>3269</v>
      </c>
      <c r="D4690" t="s">
        <v>304</v>
      </c>
      <c r="E4690">
        <f>YEAR(A4690)</f>
        <v>2015</v>
      </c>
      <c r="F4690" s="33">
        <f>DATE(YEAR(A4690),MONTH(A4690),1)</f>
        <v>42005.0</v>
      </c>
      <c r="G4690" t="str">
        <f>CHOOSE(WEEKDAY(A4690,2),"Mon","Tue","Wed","Thu","Fri","Sat","Sun")</f>
        <v>Tue</v>
      </c>
      <c r="H4690" t="str">
        <f>IF(WEEKDAY(A4690,2)&gt;5,"Weekend","Weekday")</f>
        <v>Weekday</v>
      </c>
      <c r="I4690" t="str">
        <f>_xlfn.IFS(B4690&lt;=5,"Night (0-5)",B4690&lt;=9,"Morning peak (6-9)",B4690&lt;=15,"Midday (10-15)",B4690&lt;=19,"Evening peak (16-19)",TRUE,"Late evening (20-23)")</f>
        <v>Morning peak (6-9)</v>
      </c>
    </row>
    <row r="4691" spans="1:9">
      <c r="A4691" s="32">
        <v>42017</v>
      </c>
      <c r="B4691">
        <v>10</v>
      </c>
      <c r="C4691">
        <v>2332</v>
      </c>
      <c r="D4691" t="s">
        <v>304</v>
      </c>
      <c r="E4691">
        <f>YEAR(A4691)</f>
        <v>2015</v>
      </c>
      <c r="F4691" s="33">
        <f>DATE(YEAR(A4691),MONTH(A4691),1)</f>
        <v>42005.0</v>
      </c>
      <c r="G4691" t="str">
        <f>CHOOSE(WEEKDAY(A4691,2),"Mon","Tue","Wed","Thu","Fri","Sat","Sun")</f>
        <v>Tue</v>
      </c>
      <c r="H4691" t="str">
        <f>IF(WEEKDAY(A4691,2)&gt;5,"Weekend","Weekday")</f>
        <v>Weekday</v>
      </c>
      <c r="I4691" t="str">
        <f>_xlfn.IFS(B4691&lt;=5,"Night (0-5)",B4691&lt;=9,"Morning peak (6-9)",B4691&lt;=15,"Midday (10-15)",B4691&lt;=19,"Evening peak (16-19)",TRUE,"Late evening (20-23)")</f>
        <v>Midday (10-15)</v>
      </c>
    </row>
    <row r="4692" spans="1:9">
      <c r="A4692" s="32">
        <v>42017</v>
      </c>
      <c r="B4692">
        <v>11</v>
      </c>
      <c r="C4692">
        <v>2262</v>
      </c>
      <c r="D4692" t="s">
        <v>304</v>
      </c>
      <c r="E4692">
        <f>YEAR(A4692)</f>
        <v>2015</v>
      </c>
      <c r="F4692" s="33">
        <f>DATE(YEAR(A4692),MONTH(A4692),1)</f>
        <v>42005.0</v>
      </c>
      <c r="G4692" t="str">
        <f>CHOOSE(WEEKDAY(A4692,2),"Mon","Tue","Wed","Thu","Fri","Sat","Sun")</f>
        <v>Tue</v>
      </c>
      <c r="H4692" t="str">
        <f>IF(WEEKDAY(A4692,2)&gt;5,"Weekend","Weekday")</f>
        <v>Weekday</v>
      </c>
      <c r="I4692" t="str">
        <f>_xlfn.IFS(B4692&lt;=5,"Night (0-5)",B4692&lt;=9,"Morning peak (6-9)",B4692&lt;=15,"Midday (10-15)",B4692&lt;=19,"Evening peak (16-19)",TRUE,"Late evening (20-23)")</f>
        <v>Midday (10-15)</v>
      </c>
    </row>
    <row r="4693" spans="1:9">
      <c r="A4693" s="32">
        <v>42017</v>
      </c>
      <c r="B4693">
        <v>12</v>
      </c>
      <c r="C4693">
        <v>2233</v>
      </c>
      <c r="D4693" t="s">
        <v>304</v>
      </c>
      <c r="E4693">
        <f>YEAR(A4693)</f>
        <v>2015</v>
      </c>
      <c r="F4693" s="33">
        <f>DATE(YEAR(A4693),MONTH(A4693),1)</f>
        <v>42005.0</v>
      </c>
      <c r="G4693" t="str">
        <f>CHOOSE(WEEKDAY(A4693,2),"Mon","Tue","Wed","Thu","Fri","Sat","Sun")</f>
        <v>Tue</v>
      </c>
      <c r="H4693" t="str">
        <f>IF(WEEKDAY(A4693,2)&gt;5,"Weekend","Weekday")</f>
        <v>Weekday</v>
      </c>
      <c r="I4693" t="str">
        <f>_xlfn.IFS(B4693&lt;=5,"Night (0-5)",B4693&lt;=9,"Morning peak (6-9)",B4693&lt;=15,"Midday (10-15)",B4693&lt;=19,"Evening peak (16-19)",TRUE,"Late evening (20-23)")</f>
        <v>Midday (10-15)</v>
      </c>
    </row>
    <row r="4694" spans="1:9">
      <c r="A4694" s="32">
        <v>42017</v>
      </c>
      <c r="B4694">
        <v>13</v>
      </c>
      <c r="C4694">
        <v>2267</v>
      </c>
      <c r="D4694" t="s">
        <v>304</v>
      </c>
      <c r="E4694">
        <f>YEAR(A4694)</f>
        <v>2015</v>
      </c>
      <c r="F4694" s="33">
        <f>DATE(YEAR(A4694),MONTH(A4694),1)</f>
        <v>42005.0</v>
      </c>
      <c r="G4694" t="str">
        <f>CHOOSE(WEEKDAY(A4694,2),"Mon","Tue","Wed","Thu","Fri","Sat","Sun")</f>
        <v>Tue</v>
      </c>
      <c r="H4694" t="str">
        <f>IF(WEEKDAY(A4694,2)&gt;5,"Weekend","Weekday")</f>
        <v>Weekday</v>
      </c>
      <c r="I4694" t="str">
        <f>_xlfn.IFS(B4694&lt;=5,"Night (0-5)",B4694&lt;=9,"Morning peak (6-9)",B4694&lt;=15,"Midday (10-15)",B4694&lt;=19,"Evening peak (16-19)",TRUE,"Late evening (20-23)")</f>
        <v>Midday (10-15)</v>
      </c>
    </row>
    <row r="4695" spans="1:9">
      <c r="A4695" s="32">
        <v>42017</v>
      </c>
      <c r="B4695">
        <v>14</v>
      </c>
      <c r="C4695">
        <v>2744</v>
      </c>
      <c r="D4695" t="s">
        <v>304</v>
      </c>
      <c r="E4695">
        <f>YEAR(A4695)</f>
        <v>2015</v>
      </c>
      <c r="F4695" s="33">
        <f>DATE(YEAR(A4695),MONTH(A4695),1)</f>
        <v>42005.0</v>
      </c>
      <c r="G4695" t="str">
        <f>CHOOSE(WEEKDAY(A4695,2),"Mon","Tue","Wed","Thu","Fri","Sat","Sun")</f>
        <v>Tue</v>
      </c>
      <c r="H4695" t="str">
        <f>IF(WEEKDAY(A4695,2)&gt;5,"Weekend","Weekday")</f>
        <v>Weekday</v>
      </c>
      <c r="I4695" t="str">
        <f>_xlfn.IFS(B4695&lt;=5,"Night (0-5)",B4695&lt;=9,"Morning peak (6-9)",B4695&lt;=15,"Midday (10-15)",B4695&lt;=19,"Evening peak (16-19)",TRUE,"Late evening (20-23)")</f>
        <v>Midday (10-15)</v>
      </c>
    </row>
    <row r="4696" spans="1:9">
      <c r="A4696" s="32">
        <v>42017</v>
      </c>
      <c r="B4696">
        <v>15</v>
      </c>
      <c r="C4696">
        <v>3128</v>
      </c>
      <c r="D4696" t="s">
        <v>304</v>
      </c>
      <c r="E4696">
        <f>YEAR(A4696)</f>
        <v>2015</v>
      </c>
      <c r="F4696" s="33">
        <f>DATE(YEAR(A4696),MONTH(A4696),1)</f>
        <v>42005.0</v>
      </c>
      <c r="G4696" t="str">
        <f>CHOOSE(WEEKDAY(A4696,2),"Mon","Tue","Wed","Thu","Fri","Sat","Sun")</f>
        <v>Tue</v>
      </c>
      <c r="H4696" t="str">
        <f>IF(WEEKDAY(A4696,2)&gt;5,"Weekend","Weekday")</f>
        <v>Weekday</v>
      </c>
      <c r="I4696" t="str">
        <f>_xlfn.IFS(B4696&lt;=5,"Night (0-5)",B4696&lt;=9,"Morning peak (6-9)",B4696&lt;=15,"Midday (10-15)",B4696&lt;=19,"Evening peak (16-19)",TRUE,"Late evening (20-23)")</f>
        <v>Midday (10-15)</v>
      </c>
    </row>
    <row r="4697" spans="1:9">
      <c r="A4697" s="32">
        <v>42017</v>
      </c>
      <c r="B4697">
        <v>16</v>
      </c>
      <c r="C4697">
        <v>3582</v>
      </c>
      <c r="D4697" t="s">
        <v>304</v>
      </c>
      <c r="E4697">
        <f>YEAR(A4697)</f>
        <v>2015</v>
      </c>
      <c r="F4697" s="33">
        <f>DATE(YEAR(A4697),MONTH(A4697),1)</f>
        <v>42005.0</v>
      </c>
      <c r="G4697" t="str">
        <f>CHOOSE(WEEKDAY(A4697,2),"Mon","Tue","Wed","Thu","Fri","Sat","Sun")</f>
        <v>Tue</v>
      </c>
      <c r="H4697" t="str">
        <f>IF(WEEKDAY(A4697,2)&gt;5,"Weekend","Weekday")</f>
        <v>Weekday</v>
      </c>
      <c r="I4697" t="str">
        <f>_xlfn.IFS(B4697&lt;=5,"Night (0-5)",B4697&lt;=9,"Morning peak (6-9)",B4697&lt;=15,"Midday (10-15)",B4697&lt;=19,"Evening peak (16-19)",TRUE,"Late evening (20-23)")</f>
        <v>Evening peak (16-19)</v>
      </c>
    </row>
    <row r="4698" spans="1:9">
      <c r="A4698" s="32">
        <v>42017</v>
      </c>
      <c r="B4698">
        <v>17</v>
      </c>
      <c r="C4698">
        <v>4773</v>
      </c>
      <c r="D4698" t="s">
        <v>304</v>
      </c>
      <c r="E4698">
        <f>YEAR(A4698)</f>
        <v>2015</v>
      </c>
      <c r="F4698" s="33">
        <f>DATE(YEAR(A4698),MONTH(A4698),1)</f>
        <v>42005.0</v>
      </c>
      <c r="G4698" t="str">
        <f>CHOOSE(WEEKDAY(A4698,2),"Mon","Tue","Wed","Thu","Fri","Sat","Sun")</f>
        <v>Tue</v>
      </c>
      <c r="H4698" t="str">
        <f>IF(WEEKDAY(A4698,2)&gt;5,"Weekend","Weekday")</f>
        <v>Weekday</v>
      </c>
      <c r="I4698" t="str">
        <f>_xlfn.IFS(B4698&lt;=5,"Night (0-5)",B4698&lt;=9,"Morning peak (6-9)",B4698&lt;=15,"Midday (10-15)",B4698&lt;=19,"Evening peak (16-19)",TRUE,"Late evening (20-23)")</f>
        <v>Evening peak (16-19)</v>
      </c>
    </row>
    <row r="4699" spans="1:9">
      <c r="A4699" s="32">
        <v>42017</v>
      </c>
      <c r="B4699">
        <v>18</v>
      </c>
      <c r="C4699">
        <v>5769</v>
      </c>
      <c r="D4699" t="s">
        <v>304</v>
      </c>
      <c r="E4699">
        <f>YEAR(A4699)</f>
        <v>2015</v>
      </c>
      <c r="F4699" s="33">
        <f>DATE(YEAR(A4699),MONTH(A4699),1)</f>
        <v>42005.0</v>
      </c>
      <c r="G4699" t="str">
        <f>CHOOSE(WEEKDAY(A4699,2),"Mon","Tue","Wed","Thu","Fri","Sat","Sun")</f>
        <v>Tue</v>
      </c>
      <c r="H4699" t="str">
        <f>IF(WEEKDAY(A4699,2)&gt;5,"Weekend","Weekday")</f>
        <v>Weekday</v>
      </c>
      <c r="I4699" t="str">
        <f>_xlfn.IFS(B4699&lt;=5,"Night (0-5)",B4699&lt;=9,"Morning peak (6-9)",B4699&lt;=15,"Midday (10-15)",B4699&lt;=19,"Evening peak (16-19)",TRUE,"Late evening (20-23)")</f>
        <v>Evening peak (16-19)</v>
      </c>
    </row>
    <row r="4700" spans="1:9">
      <c r="A4700" s="32">
        <v>42017</v>
      </c>
      <c r="B4700">
        <v>19</v>
      </c>
      <c r="C4700">
        <v>5234</v>
      </c>
      <c r="D4700" t="s">
        <v>304</v>
      </c>
      <c r="E4700">
        <f>YEAR(A4700)</f>
        <v>2015</v>
      </c>
      <c r="F4700" s="33">
        <f>DATE(YEAR(A4700),MONTH(A4700),1)</f>
        <v>42005.0</v>
      </c>
      <c r="G4700" t="str">
        <f>CHOOSE(WEEKDAY(A4700,2),"Mon","Tue","Wed","Thu","Fri","Sat","Sun")</f>
        <v>Tue</v>
      </c>
      <c r="H4700" t="str">
        <f>IF(WEEKDAY(A4700,2)&gt;5,"Weekend","Weekday")</f>
        <v>Weekday</v>
      </c>
      <c r="I4700" t="str">
        <f>_xlfn.IFS(B4700&lt;=5,"Night (0-5)",B4700&lt;=9,"Morning peak (6-9)",B4700&lt;=15,"Midday (10-15)",B4700&lt;=19,"Evening peak (16-19)",TRUE,"Late evening (20-23)")</f>
        <v>Evening peak (16-19)</v>
      </c>
    </row>
    <row r="4701" spans="1:9">
      <c r="A4701" s="32">
        <v>42017</v>
      </c>
      <c r="B4701">
        <v>20</v>
      </c>
      <c r="C4701">
        <v>4768</v>
      </c>
      <c r="D4701" t="s">
        <v>304</v>
      </c>
      <c r="E4701">
        <f>YEAR(A4701)</f>
        <v>2015</v>
      </c>
      <c r="F4701" s="33">
        <f>DATE(YEAR(A4701),MONTH(A4701),1)</f>
        <v>42005.0</v>
      </c>
      <c r="G4701" t="str">
        <f>CHOOSE(WEEKDAY(A4701,2),"Mon","Tue","Wed","Thu","Fri","Sat","Sun")</f>
        <v>Tue</v>
      </c>
      <c r="H4701" t="str">
        <f>IF(WEEKDAY(A4701,2)&gt;5,"Weekend","Weekday")</f>
        <v>Weekday</v>
      </c>
      <c r="I4701" t="str">
        <f>_xlfn.IFS(B4701&lt;=5,"Night (0-5)",B4701&lt;=9,"Morning peak (6-9)",B4701&lt;=15,"Midday (10-15)",B4701&lt;=19,"Evening peak (16-19)",TRUE,"Late evening (20-23)")</f>
        <v>Late evening (20-23)</v>
      </c>
    </row>
    <row r="4702" spans="1:9">
      <c r="A4702" s="32">
        <v>42017</v>
      </c>
      <c r="B4702">
        <v>21</v>
      </c>
      <c r="C4702">
        <v>4635</v>
      </c>
      <c r="D4702" t="s">
        <v>304</v>
      </c>
      <c r="E4702">
        <f>YEAR(A4702)</f>
        <v>2015</v>
      </c>
      <c r="F4702" s="33">
        <f>DATE(YEAR(A4702),MONTH(A4702),1)</f>
        <v>42005.0</v>
      </c>
      <c r="G4702" t="str">
        <f>CHOOSE(WEEKDAY(A4702,2),"Mon","Tue","Wed","Thu","Fri","Sat","Sun")</f>
        <v>Tue</v>
      </c>
      <c r="H4702" t="str">
        <f>IF(WEEKDAY(A4702,2)&gt;5,"Weekend","Weekday")</f>
        <v>Weekday</v>
      </c>
      <c r="I4702" t="str">
        <f>_xlfn.IFS(B4702&lt;=5,"Night (0-5)",B4702&lt;=9,"Morning peak (6-9)",B4702&lt;=15,"Midday (10-15)",B4702&lt;=19,"Evening peak (16-19)",TRUE,"Late evening (20-23)")</f>
        <v>Late evening (20-23)</v>
      </c>
    </row>
    <row r="4703" spans="1:9">
      <c r="A4703" s="32">
        <v>42017</v>
      </c>
      <c r="B4703">
        <v>22</v>
      </c>
      <c r="C4703">
        <v>3854</v>
      </c>
      <c r="D4703" t="s">
        <v>304</v>
      </c>
      <c r="E4703">
        <f>YEAR(A4703)</f>
        <v>2015</v>
      </c>
      <c r="F4703" s="33">
        <f>DATE(YEAR(A4703),MONTH(A4703),1)</f>
        <v>42005.0</v>
      </c>
      <c r="G4703" t="str">
        <f>CHOOSE(WEEKDAY(A4703,2),"Mon","Tue","Wed","Thu","Fri","Sat","Sun")</f>
        <v>Tue</v>
      </c>
      <c r="H4703" t="str">
        <f>IF(WEEKDAY(A4703,2)&gt;5,"Weekend","Weekday")</f>
        <v>Weekday</v>
      </c>
      <c r="I4703" t="str">
        <f>_xlfn.IFS(B4703&lt;=5,"Night (0-5)",B4703&lt;=9,"Morning peak (6-9)",B4703&lt;=15,"Midday (10-15)",B4703&lt;=19,"Evening peak (16-19)",TRUE,"Late evening (20-23)")</f>
        <v>Late evening (20-23)</v>
      </c>
    </row>
    <row r="4704" spans="1:9">
      <c r="A4704" s="32">
        <v>42017</v>
      </c>
      <c r="B4704">
        <v>23</v>
      </c>
      <c r="C4704">
        <v>2625</v>
      </c>
      <c r="D4704" t="s">
        <v>304</v>
      </c>
      <c r="E4704">
        <f>YEAR(A4704)</f>
        <v>2015</v>
      </c>
      <c r="F4704" s="33">
        <f>DATE(YEAR(A4704),MONTH(A4704),1)</f>
        <v>42005.0</v>
      </c>
      <c r="G4704" t="str">
        <f>CHOOSE(WEEKDAY(A4704,2),"Mon","Tue","Wed","Thu","Fri","Sat","Sun")</f>
        <v>Tue</v>
      </c>
      <c r="H4704" t="str">
        <f>IF(WEEKDAY(A4704,2)&gt;5,"Weekend","Weekday")</f>
        <v>Weekday</v>
      </c>
      <c r="I4704" t="str">
        <f>_xlfn.IFS(B4704&lt;=5,"Night (0-5)",B4704&lt;=9,"Morning peak (6-9)",B4704&lt;=15,"Midday (10-15)",B4704&lt;=19,"Evening peak (16-19)",TRUE,"Late evening (20-23)")</f>
        <v>Late evening (20-23)</v>
      </c>
    </row>
    <row r="4705" spans="1:9">
      <c r="A4705" s="32">
        <v>42018</v>
      </c>
      <c r="B4705">
        <v>0</v>
      </c>
      <c r="C4705">
        <v>1457</v>
      </c>
      <c r="D4705" t="s">
        <v>304</v>
      </c>
      <c r="E4705">
        <f>YEAR(A4705)</f>
        <v>2015</v>
      </c>
      <c r="F4705" s="33">
        <f>DATE(YEAR(A4705),MONTH(A4705),1)</f>
        <v>42005.0</v>
      </c>
      <c r="G4705" t="str">
        <f>CHOOSE(WEEKDAY(A4705,2),"Mon","Tue","Wed","Thu","Fri","Sat","Sun")</f>
        <v>Wed</v>
      </c>
      <c r="H4705" t="str">
        <f>IF(WEEKDAY(A4705,2)&gt;5,"Weekend","Weekday")</f>
        <v>Weekday</v>
      </c>
      <c r="I4705" t="str">
        <f>_xlfn.IFS(B4705&lt;=5,"Night (0-5)",B4705&lt;=9,"Morning peak (6-9)",B4705&lt;=15,"Midday (10-15)",B4705&lt;=19,"Evening peak (16-19)",TRUE,"Late evening (20-23)")</f>
        <v>Night (0-5)</v>
      </c>
    </row>
    <row r="4706" spans="1:9">
      <c r="A4706" s="32">
        <v>42018</v>
      </c>
      <c r="B4706">
        <v>1</v>
      </c>
      <c r="C4706">
        <v>786</v>
      </c>
      <c r="D4706" t="s">
        <v>304</v>
      </c>
      <c r="E4706">
        <f>YEAR(A4706)</f>
        <v>2015</v>
      </c>
      <c r="F4706" s="33">
        <f>DATE(YEAR(A4706),MONTH(A4706),1)</f>
        <v>42005.0</v>
      </c>
      <c r="G4706" t="str">
        <f>CHOOSE(WEEKDAY(A4706,2),"Mon","Tue","Wed","Thu","Fri","Sat","Sun")</f>
        <v>Wed</v>
      </c>
      <c r="H4706" t="str">
        <f>IF(WEEKDAY(A4706,2)&gt;5,"Weekend","Weekday")</f>
        <v>Weekday</v>
      </c>
      <c r="I4706" t="str">
        <f>_xlfn.IFS(B4706&lt;=5,"Night (0-5)",B4706&lt;=9,"Morning peak (6-9)",B4706&lt;=15,"Midday (10-15)",B4706&lt;=19,"Evening peak (16-19)",TRUE,"Late evening (20-23)")</f>
        <v>Night (0-5)</v>
      </c>
    </row>
    <row r="4707" spans="1:9">
      <c r="A4707" s="32">
        <v>42018</v>
      </c>
      <c r="B4707">
        <v>2</v>
      </c>
      <c r="C4707">
        <v>466</v>
      </c>
      <c r="D4707" t="s">
        <v>304</v>
      </c>
      <c r="E4707">
        <f>YEAR(A4707)</f>
        <v>2015</v>
      </c>
      <c r="F4707" s="33">
        <f>DATE(YEAR(A4707),MONTH(A4707),1)</f>
        <v>42005.0</v>
      </c>
      <c r="G4707" t="str">
        <f>CHOOSE(WEEKDAY(A4707,2),"Mon","Tue","Wed","Thu","Fri","Sat","Sun")</f>
        <v>Wed</v>
      </c>
      <c r="H4707" t="str">
        <f>IF(WEEKDAY(A4707,2)&gt;5,"Weekend","Weekday")</f>
        <v>Weekday</v>
      </c>
      <c r="I4707" t="str">
        <f>_xlfn.IFS(B4707&lt;=5,"Night (0-5)",B4707&lt;=9,"Morning peak (6-9)",B4707&lt;=15,"Midday (10-15)",B4707&lt;=19,"Evening peak (16-19)",TRUE,"Late evening (20-23)")</f>
        <v>Night (0-5)</v>
      </c>
    </row>
    <row r="4708" spans="1:9">
      <c r="A4708" s="32">
        <v>42018</v>
      </c>
      <c r="B4708">
        <v>3</v>
      </c>
      <c r="C4708">
        <v>318</v>
      </c>
      <c r="D4708" t="s">
        <v>304</v>
      </c>
      <c r="E4708">
        <f>YEAR(A4708)</f>
        <v>2015</v>
      </c>
      <c r="F4708" s="33">
        <f>DATE(YEAR(A4708),MONTH(A4708),1)</f>
        <v>42005.0</v>
      </c>
      <c r="G4708" t="str">
        <f>CHOOSE(WEEKDAY(A4708,2),"Mon","Tue","Wed","Thu","Fri","Sat","Sun")</f>
        <v>Wed</v>
      </c>
      <c r="H4708" t="str">
        <f>IF(WEEKDAY(A4708,2)&gt;5,"Weekend","Weekday")</f>
        <v>Weekday</v>
      </c>
      <c r="I4708" t="str">
        <f>_xlfn.IFS(B4708&lt;=5,"Night (0-5)",B4708&lt;=9,"Morning peak (6-9)",B4708&lt;=15,"Midday (10-15)",B4708&lt;=19,"Evening peak (16-19)",TRUE,"Late evening (20-23)")</f>
        <v>Night (0-5)</v>
      </c>
    </row>
    <row r="4709" spans="1:9">
      <c r="A4709" s="32">
        <v>42018</v>
      </c>
      <c r="B4709">
        <v>4</v>
      </c>
      <c r="C4709">
        <v>509</v>
      </c>
      <c r="D4709" t="s">
        <v>304</v>
      </c>
      <c r="E4709">
        <f>YEAR(A4709)</f>
        <v>2015</v>
      </c>
      <c r="F4709" s="33">
        <f>DATE(YEAR(A4709),MONTH(A4709),1)</f>
        <v>42005.0</v>
      </c>
      <c r="G4709" t="str">
        <f>CHOOSE(WEEKDAY(A4709,2),"Mon","Tue","Wed","Thu","Fri","Sat","Sun")</f>
        <v>Wed</v>
      </c>
      <c r="H4709" t="str">
        <f>IF(WEEKDAY(A4709,2)&gt;5,"Weekend","Weekday")</f>
        <v>Weekday</v>
      </c>
      <c r="I4709" t="str">
        <f>_xlfn.IFS(B4709&lt;=5,"Night (0-5)",B4709&lt;=9,"Morning peak (6-9)",B4709&lt;=15,"Midday (10-15)",B4709&lt;=19,"Evening peak (16-19)",TRUE,"Late evening (20-23)")</f>
        <v>Night (0-5)</v>
      </c>
    </row>
    <row r="4710" spans="1:9">
      <c r="A4710" s="32">
        <v>42018</v>
      </c>
      <c r="B4710">
        <v>5</v>
      </c>
      <c r="C4710">
        <v>819</v>
      </c>
      <c r="D4710" t="s">
        <v>304</v>
      </c>
      <c r="E4710">
        <f>YEAR(A4710)</f>
        <v>2015</v>
      </c>
      <c r="F4710" s="33">
        <f>DATE(YEAR(A4710),MONTH(A4710),1)</f>
        <v>42005.0</v>
      </c>
      <c r="G4710" t="str">
        <f>CHOOSE(WEEKDAY(A4710,2),"Mon","Tue","Wed","Thu","Fri","Sat","Sun")</f>
        <v>Wed</v>
      </c>
      <c r="H4710" t="str">
        <f>IF(WEEKDAY(A4710,2)&gt;5,"Weekend","Weekday")</f>
        <v>Weekday</v>
      </c>
      <c r="I4710" t="str">
        <f>_xlfn.IFS(B4710&lt;=5,"Night (0-5)",B4710&lt;=9,"Morning peak (6-9)",B4710&lt;=15,"Midday (10-15)",B4710&lt;=19,"Evening peak (16-19)",TRUE,"Late evening (20-23)")</f>
        <v>Night (0-5)</v>
      </c>
    </row>
    <row r="4711" spans="1:9">
      <c r="A4711" s="32">
        <v>42018</v>
      </c>
      <c r="B4711">
        <v>6</v>
      </c>
      <c r="C4711">
        <v>1620</v>
      </c>
      <c r="D4711" t="s">
        <v>304</v>
      </c>
      <c r="E4711">
        <f>YEAR(A4711)</f>
        <v>2015</v>
      </c>
      <c r="F4711" s="33">
        <f>DATE(YEAR(A4711),MONTH(A4711),1)</f>
        <v>42005.0</v>
      </c>
      <c r="G4711" t="str">
        <f>CHOOSE(WEEKDAY(A4711,2),"Mon","Tue","Wed","Thu","Fri","Sat","Sun")</f>
        <v>Wed</v>
      </c>
      <c r="H4711" t="str">
        <f>IF(WEEKDAY(A4711,2)&gt;5,"Weekend","Weekday")</f>
        <v>Weekday</v>
      </c>
      <c r="I4711" t="str">
        <f>_xlfn.IFS(B4711&lt;=5,"Night (0-5)",B4711&lt;=9,"Morning peak (6-9)",B4711&lt;=15,"Midday (10-15)",B4711&lt;=19,"Evening peak (16-19)",TRUE,"Late evening (20-23)")</f>
        <v>Morning peak (6-9)</v>
      </c>
    </row>
    <row r="4712" spans="1:9">
      <c r="A4712" s="32">
        <v>42018</v>
      </c>
      <c r="B4712">
        <v>7</v>
      </c>
      <c r="C4712">
        <v>2945</v>
      </c>
      <c r="D4712" t="s">
        <v>304</v>
      </c>
      <c r="E4712">
        <f>YEAR(A4712)</f>
        <v>2015</v>
      </c>
      <c r="F4712" s="33">
        <f>DATE(YEAR(A4712),MONTH(A4712),1)</f>
        <v>42005.0</v>
      </c>
      <c r="G4712" t="str">
        <f>CHOOSE(WEEKDAY(A4712,2),"Mon","Tue","Wed","Thu","Fri","Sat","Sun")</f>
        <v>Wed</v>
      </c>
      <c r="H4712" t="str">
        <f>IF(WEEKDAY(A4712,2)&gt;5,"Weekend","Weekday")</f>
        <v>Weekday</v>
      </c>
      <c r="I4712" t="str">
        <f>_xlfn.IFS(B4712&lt;=5,"Night (0-5)",B4712&lt;=9,"Morning peak (6-9)",B4712&lt;=15,"Midday (10-15)",B4712&lt;=19,"Evening peak (16-19)",TRUE,"Late evening (20-23)")</f>
        <v>Morning peak (6-9)</v>
      </c>
    </row>
    <row r="4713" spans="1:9">
      <c r="A4713" s="32">
        <v>42018</v>
      </c>
      <c r="B4713">
        <v>8</v>
      </c>
      <c r="C4713">
        <v>3848</v>
      </c>
      <c r="D4713" t="s">
        <v>304</v>
      </c>
      <c r="E4713">
        <f>YEAR(A4713)</f>
        <v>2015</v>
      </c>
      <c r="F4713" s="33">
        <f>DATE(YEAR(A4713),MONTH(A4713),1)</f>
        <v>42005.0</v>
      </c>
      <c r="G4713" t="str">
        <f>CHOOSE(WEEKDAY(A4713,2),"Mon","Tue","Wed","Thu","Fri","Sat","Sun")</f>
        <v>Wed</v>
      </c>
      <c r="H4713" t="str">
        <f>IF(WEEKDAY(A4713,2)&gt;5,"Weekend","Weekday")</f>
        <v>Weekday</v>
      </c>
      <c r="I4713" t="str">
        <f>_xlfn.IFS(B4713&lt;=5,"Night (0-5)",B4713&lt;=9,"Morning peak (6-9)",B4713&lt;=15,"Midday (10-15)",B4713&lt;=19,"Evening peak (16-19)",TRUE,"Late evening (20-23)")</f>
        <v>Morning peak (6-9)</v>
      </c>
    </row>
    <row r="4714" spans="1:9">
      <c r="A4714" s="32">
        <v>42018</v>
      </c>
      <c r="B4714">
        <v>9</v>
      </c>
      <c r="C4714">
        <v>3492</v>
      </c>
      <c r="D4714" t="s">
        <v>304</v>
      </c>
      <c r="E4714">
        <f>YEAR(A4714)</f>
        <v>2015</v>
      </c>
      <c r="F4714" s="33">
        <f>DATE(YEAR(A4714),MONTH(A4714),1)</f>
        <v>42005.0</v>
      </c>
      <c r="G4714" t="str">
        <f>CHOOSE(WEEKDAY(A4714,2),"Mon","Tue","Wed","Thu","Fri","Sat","Sun")</f>
        <v>Wed</v>
      </c>
      <c r="H4714" t="str">
        <f>IF(WEEKDAY(A4714,2)&gt;5,"Weekend","Weekday")</f>
        <v>Weekday</v>
      </c>
      <c r="I4714" t="str">
        <f>_xlfn.IFS(B4714&lt;=5,"Night (0-5)",B4714&lt;=9,"Morning peak (6-9)",B4714&lt;=15,"Midday (10-15)",B4714&lt;=19,"Evening peak (16-19)",TRUE,"Late evening (20-23)")</f>
        <v>Morning peak (6-9)</v>
      </c>
    </row>
    <row r="4715" spans="1:9">
      <c r="A4715" s="32">
        <v>42018</v>
      </c>
      <c r="B4715">
        <v>10</v>
      </c>
      <c r="C4715">
        <v>2409</v>
      </c>
      <c r="D4715" t="s">
        <v>304</v>
      </c>
      <c r="E4715">
        <f>YEAR(A4715)</f>
        <v>2015</v>
      </c>
      <c r="F4715" s="33">
        <f>DATE(YEAR(A4715),MONTH(A4715),1)</f>
        <v>42005.0</v>
      </c>
      <c r="G4715" t="str">
        <f>CHOOSE(WEEKDAY(A4715,2),"Mon","Tue","Wed","Thu","Fri","Sat","Sun")</f>
        <v>Wed</v>
      </c>
      <c r="H4715" t="str">
        <f>IF(WEEKDAY(A4715,2)&gt;5,"Weekend","Weekday")</f>
        <v>Weekday</v>
      </c>
      <c r="I4715" t="str">
        <f>_xlfn.IFS(B4715&lt;=5,"Night (0-5)",B4715&lt;=9,"Morning peak (6-9)",B4715&lt;=15,"Midday (10-15)",B4715&lt;=19,"Evening peak (16-19)",TRUE,"Late evening (20-23)")</f>
        <v>Midday (10-15)</v>
      </c>
    </row>
    <row r="4716" spans="1:9">
      <c r="A4716" s="32">
        <v>42018</v>
      </c>
      <c r="B4716">
        <v>11</v>
      </c>
      <c r="C4716">
        <v>2380</v>
      </c>
      <c r="D4716" t="s">
        <v>304</v>
      </c>
      <c r="E4716">
        <f>YEAR(A4716)</f>
        <v>2015</v>
      </c>
      <c r="F4716" s="33">
        <f>DATE(YEAR(A4716),MONTH(A4716),1)</f>
        <v>42005.0</v>
      </c>
      <c r="G4716" t="str">
        <f>CHOOSE(WEEKDAY(A4716,2),"Mon","Tue","Wed","Thu","Fri","Sat","Sun")</f>
        <v>Wed</v>
      </c>
      <c r="H4716" t="str">
        <f>IF(WEEKDAY(A4716,2)&gt;5,"Weekend","Weekday")</f>
        <v>Weekday</v>
      </c>
      <c r="I4716" t="str">
        <f>_xlfn.IFS(B4716&lt;=5,"Night (0-5)",B4716&lt;=9,"Morning peak (6-9)",B4716&lt;=15,"Midday (10-15)",B4716&lt;=19,"Evening peak (16-19)",TRUE,"Late evening (20-23)")</f>
        <v>Midday (10-15)</v>
      </c>
    </row>
    <row r="4717" spans="1:9">
      <c r="A4717" s="32">
        <v>42018</v>
      </c>
      <c r="B4717">
        <v>12</v>
      </c>
      <c r="C4717">
        <v>2386</v>
      </c>
      <c r="D4717" t="s">
        <v>304</v>
      </c>
      <c r="E4717">
        <f>YEAR(A4717)</f>
        <v>2015</v>
      </c>
      <c r="F4717" s="33">
        <f>DATE(YEAR(A4717),MONTH(A4717),1)</f>
        <v>42005.0</v>
      </c>
      <c r="G4717" t="str">
        <f>CHOOSE(WEEKDAY(A4717,2),"Mon","Tue","Wed","Thu","Fri","Sat","Sun")</f>
        <v>Wed</v>
      </c>
      <c r="H4717" t="str">
        <f>IF(WEEKDAY(A4717,2)&gt;5,"Weekend","Weekday")</f>
        <v>Weekday</v>
      </c>
      <c r="I4717" t="str">
        <f>_xlfn.IFS(B4717&lt;=5,"Night (0-5)",B4717&lt;=9,"Morning peak (6-9)",B4717&lt;=15,"Midday (10-15)",B4717&lt;=19,"Evening peak (16-19)",TRUE,"Late evening (20-23)")</f>
        <v>Midday (10-15)</v>
      </c>
    </row>
    <row r="4718" spans="1:9">
      <c r="A4718" s="32">
        <v>42018</v>
      </c>
      <c r="B4718">
        <v>13</v>
      </c>
      <c r="C4718">
        <v>2222</v>
      </c>
      <c r="D4718" t="s">
        <v>304</v>
      </c>
      <c r="E4718">
        <f>YEAR(A4718)</f>
        <v>2015</v>
      </c>
      <c r="F4718" s="33">
        <f>DATE(YEAR(A4718),MONTH(A4718),1)</f>
        <v>42005.0</v>
      </c>
      <c r="G4718" t="str">
        <f>CHOOSE(WEEKDAY(A4718,2),"Mon","Tue","Wed","Thu","Fri","Sat","Sun")</f>
        <v>Wed</v>
      </c>
      <c r="H4718" t="str">
        <f>IF(WEEKDAY(A4718,2)&gt;5,"Weekend","Weekday")</f>
        <v>Weekday</v>
      </c>
      <c r="I4718" t="str">
        <f>_xlfn.IFS(B4718&lt;=5,"Night (0-5)",B4718&lt;=9,"Morning peak (6-9)",B4718&lt;=15,"Midday (10-15)",B4718&lt;=19,"Evening peak (16-19)",TRUE,"Late evening (20-23)")</f>
        <v>Midday (10-15)</v>
      </c>
    </row>
    <row r="4719" spans="1:9">
      <c r="A4719" s="32">
        <v>42018</v>
      </c>
      <c r="B4719">
        <v>14</v>
      </c>
      <c r="C4719">
        <v>2667</v>
      </c>
      <c r="D4719" t="s">
        <v>304</v>
      </c>
      <c r="E4719">
        <f>YEAR(A4719)</f>
        <v>2015</v>
      </c>
      <c r="F4719" s="33">
        <f>DATE(YEAR(A4719),MONTH(A4719),1)</f>
        <v>42005.0</v>
      </c>
      <c r="G4719" t="str">
        <f>CHOOSE(WEEKDAY(A4719,2),"Mon","Tue","Wed","Thu","Fri","Sat","Sun")</f>
        <v>Wed</v>
      </c>
      <c r="H4719" t="str">
        <f>IF(WEEKDAY(A4719,2)&gt;5,"Weekend","Weekday")</f>
        <v>Weekday</v>
      </c>
      <c r="I4719" t="str">
        <f>_xlfn.IFS(B4719&lt;=5,"Night (0-5)",B4719&lt;=9,"Morning peak (6-9)",B4719&lt;=15,"Midday (10-15)",B4719&lt;=19,"Evening peak (16-19)",TRUE,"Late evening (20-23)")</f>
        <v>Midday (10-15)</v>
      </c>
    </row>
    <row r="4720" spans="1:9">
      <c r="A4720" s="32">
        <v>42018</v>
      </c>
      <c r="B4720">
        <v>15</v>
      </c>
      <c r="C4720">
        <v>2930</v>
      </c>
      <c r="D4720" t="s">
        <v>304</v>
      </c>
      <c r="E4720">
        <f>YEAR(A4720)</f>
        <v>2015</v>
      </c>
      <c r="F4720" s="33">
        <f>DATE(YEAR(A4720),MONTH(A4720),1)</f>
        <v>42005.0</v>
      </c>
      <c r="G4720" t="str">
        <f>CHOOSE(WEEKDAY(A4720,2),"Mon","Tue","Wed","Thu","Fri","Sat","Sun")</f>
        <v>Wed</v>
      </c>
      <c r="H4720" t="str">
        <f>IF(WEEKDAY(A4720,2)&gt;5,"Weekend","Weekday")</f>
        <v>Weekday</v>
      </c>
      <c r="I4720" t="str">
        <f>_xlfn.IFS(B4720&lt;=5,"Night (0-5)",B4720&lt;=9,"Morning peak (6-9)",B4720&lt;=15,"Midday (10-15)",B4720&lt;=19,"Evening peak (16-19)",TRUE,"Late evening (20-23)")</f>
        <v>Midday (10-15)</v>
      </c>
    </row>
    <row r="4721" spans="1:9">
      <c r="A4721" s="32">
        <v>42018</v>
      </c>
      <c r="B4721">
        <v>16</v>
      </c>
      <c r="C4721">
        <v>3524</v>
      </c>
      <c r="D4721" t="s">
        <v>304</v>
      </c>
      <c r="E4721">
        <f>YEAR(A4721)</f>
        <v>2015</v>
      </c>
      <c r="F4721" s="33">
        <f>DATE(YEAR(A4721),MONTH(A4721),1)</f>
        <v>42005.0</v>
      </c>
      <c r="G4721" t="str">
        <f>CHOOSE(WEEKDAY(A4721,2),"Mon","Tue","Wed","Thu","Fri","Sat","Sun")</f>
        <v>Wed</v>
      </c>
      <c r="H4721" t="str">
        <f>IF(WEEKDAY(A4721,2)&gt;5,"Weekend","Weekday")</f>
        <v>Weekday</v>
      </c>
      <c r="I4721" t="str">
        <f>_xlfn.IFS(B4721&lt;=5,"Night (0-5)",B4721&lt;=9,"Morning peak (6-9)",B4721&lt;=15,"Midday (10-15)",B4721&lt;=19,"Evening peak (16-19)",TRUE,"Late evening (20-23)")</f>
        <v>Evening peak (16-19)</v>
      </c>
    </row>
    <row r="4722" spans="1:9">
      <c r="A4722" s="32">
        <v>42018</v>
      </c>
      <c r="B4722">
        <v>17</v>
      </c>
      <c r="C4722">
        <v>4463</v>
      </c>
      <c r="D4722" t="s">
        <v>304</v>
      </c>
      <c r="E4722">
        <f>YEAR(A4722)</f>
        <v>2015</v>
      </c>
      <c r="F4722" s="33">
        <f>DATE(YEAR(A4722),MONTH(A4722),1)</f>
        <v>42005.0</v>
      </c>
      <c r="G4722" t="str">
        <f>CHOOSE(WEEKDAY(A4722,2),"Mon","Tue","Wed","Thu","Fri","Sat","Sun")</f>
        <v>Wed</v>
      </c>
      <c r="H4722" t="str">
        <f>IF(WEEKDAY(A4722,2)&gt;5,"Weekend","Weekday")</f>
        <v>Weekday</v>
      </c>
      <c r="I4722" t="str">
        <f>_xlfn.IFS(B4722&lt;=5,"Night (0-5)",B4722&lt;=9,"Morning peak (6-9)",B4722&lt;=15,"Midday (10-15)",B4722&lt;=19,"Evening peak (16-19)",TRUE,"Late evening (20-23)")</f>
        <v>Evening peak (16-19)</v>
      </c>
    </row>
    <row r="4723" spans="1:9">
      <c r="A4723" s="32">
        <v>42018</v>
      </c>
      <c r="B4723">
        <v>18</v>
      </c>
      <c r="C4723">
        <v>5323</v>
      </c>
      <c r="D4723" t="s">
        <v>304</v>
      </c>
      <c r="E4723">
        <f>YEAR(A4723)</f>
        <v>2015</v>
      </c>
      <c r="F4723" s="33">
        <f>DATE(YEAR(A4723),MONTH(A4723),1)</f>
        <v>42005.0</v>
      </c>
      <c r="G4723" t="str">
        <f>CHOOSE(WEEKDAY(A4723,2),"Mon","Tue","Wed","Thu","Fri","Sat","Sun")</f>
        <v>Wed</v>
      </c>
      <c r="H4723" t="str">
        <f>IF(WEEKDAY(A4723,2)&gt;5,"Weekend","Weekday")</f>
        <v>Weekday</v>
      </c>
      <c r="I4723" t="str">
        <f>_xlfn.IFS(B4723&lt;=5,"Night (0-5)",B4723&lt;=9,"Morning peak (6-9)",B4723&lt;=15,"Midday (10-15)",B4723&lt;=19,"Evening peak (16-19)",TRUE,"Late evening (20-23)")</f>
        <v>Evening peak (16-19)</v>
      </c>
    </row>
    <row r="4724" spans="1:9">
      <c r="A4724" s="32">
        <v>42018</v>
      </c>
      <c r="B4724">
        <v>19</v>
      </c>
      <c r="C4724">
        <v>5033</v>
      </c>
      <c r="D4724" t="s">
        <v>304</v>
      </c>
      <c r="E4724">
        <f>YEAR(A4724)</f>
        <v>2015</v>
      </c>
      <c r="F4724" s="33">
        <f>DATE(YEAR(A4724),MONTH(A4724),1)</f>
        <v>42005.0</v>
      </c>
      <c r="G4724" t="str">
        <f>CHOOSE(WEEKDAY(A4724,2),"Mon","Tue","Wed","Thu","Fri","Sat","Sun")</f>
        <v>Wed</v>
      </c>
      <c r="H4724" t="str">
        <f>IF(WEEKDAY(A4724,2)&gt;5,"Weekend","Weekday")</f>
        <v>Weekday</v>
      </c>
      <c r="I4724" t="str">
        <f>_xlfn.IFS(B4724&lt;=5,"Night (0-5)",B4724&lt;=9,"Morning peak (6-9)",B4724&lt;=15,"Midday (10-15)",B4724&lt;=19,"Evening peak (16-19)",TRUE,"Late evening (20-23)")</f>
        <v>Evening peak (16-19)</v>
      </c>
    </row>
    <row r="4725" spans="1:9">
      <c r="A4725" s="32">
        <v>42018</v>
      </c>
      <c r="B4725">
        <v>20</v>
      </c>
      <c r="C4725">
        <v>4326</v>
      </c>
      <c r="D4725" t="s">
        <v>304</v>
      </c>
      <c r="E4725">
        <f>YEAR(A4725)</f>
        <v>2015</v>
      </c>
      <c r="F4725" s="33">
        <f>DATE(YEAR(A4725),MONTH(A4725),1)</f>
        <v>42005.0</v>
      </c>
      <c r="G4725" t="str">
        <f>CHOOSE(WEEKDAY(A4725,2),"Mon","Tue","Wed","Thu","Fri","Sat","Sun")</f>
        <v>Wed</v>
      </c>
      <c r="H4725" t="str">
        <f>IF(WEEKDAY(A4725,2)&gt;5,"Weekend","Weekday")</f>
        <v>Weekday</v>
      </c>
      <c r="I4725" t="str">
        <f>_xlfn.IFS(B4725&lt;=5,"Night (0-5)",B4725&lt;=9,"Morning peak (6-9)",B4725&lt;=15,"Midday (10-15)",B4725&lt;=19,"Evening peak (16-19)",TRUE,"Late evening (20-23)")</f>
        <v>Late evening (20-23)</v>
      </c>
    </row>
    <row r="4726" spans="1:9">
      <c r="A4726" s="32">
        <v>42018</v>
      </c>
      <c r="B4726">
        <v>21</v>
      </c>
      <c r="C4726">
        <v>4341</v>
      </c>
      <c r="D4726" t="s">
        <v>304</v>
      </c>
      <c r="E4726">
        <f>YEAR(A4726)</f>
        <v>2015</v>
      </c>
      <c r="F4726" s="33">
        <f>DATE(YEAR(A4726),MONTH(A4726),1)</f>
        <v>42005.0</v>
      </c>
      <c r="G4726" t="str">
        <f>CHOOSE(WEEKDAY(A4726,2),"Mon","Tue","Wed","Thu","Fri","Sat","Sun")</f>
        <v>Wed</v>
      </c>
      <c r="H4726" t="str">
        <f>IF(WEEKDAY(A4726,2)&gt;5,"Weekend","Weekday")</f>
        <v>Weekday</v>
      </c>
      <c r="I4726" t="str">
        <f>_xlfn.IFS(B4726&lt;=5,"Night (0-5)",B4726&lt;=9,"Morning peak (6-9)",B4726&lt;=15,"Midday (10-15)",B4726&lt;=19,"Evening peak (16-19)",TRUE,"Late evening (20-23)")</f>
        <v>Late evening (20-23)</v>
      </c>
    </row>
    <row r="4727" spans="1:9">
      <c r="A4727" s="32">
        <v>42018</v>
      </c>
      <c r="B4727">
        <v>22</v>
      </c>
      <c r="C4727">
        <v>3756</v>
      </c>
      <c r="D4727" t="s">
        <v>304</v>
      </c>
      <c r="E4727">
        <f>YEAR(A4727)</f>
        <v>2015</v>
      </c>
      <c r="F4727" s="33">
        <f>DATE(YEAR(A4727),MONTH(A4727),1)</f>
        <v>42005.0</v>
      </c>
      <c r="G4727" t="str">
        <f>CHOOSE(WEEKDAY(A4727,2),"Mon","Tue","Wed","Thu","Fri","Sat","Sun")</f>
        <v>Wed</v>
      </c>
      <c r="H4727" t="str">
        <f>IF(WEEKDAY(A4727,2)&gt;5,"Weekend","Weekday")</f>
        <v>Weekday</v>
      </c>
      <c r="I4727" t="str">
        <f>_xlfn.IFS(B4727&lt;=5,"Night (0-5)",B4727&lt;=9,"Morning peak (6-9)",B4727&lt;=15,"Midday (10-15)",B4727&lt;=19,"Evening peak (16-19)",TRUE,"Late evening (20-23)")</f>
        <v>Late evening (20-23)</v>
      </c>
    </row>
    <row r="4728" spans="1:9">
      <c r="A4728" s="32">
        <v>42018</v>
      </c>
      <c r="B4728">
        <v>23</v>
      </c>
      <c r="C4728">
        <v>2705</v>
      </c>
      <c r="D4728" t="s">
        <v>304</v>
      </c>
      <c r="E4728">
        <f>YEAR(A4728)</f>
        <v>2015</v>
      </c>
      <c r="F4728" s="33">
        <f>DATE(YEAR(A4728),MONTH(A4728),1)</f>
        <v>42005.0</v>
      </c>
      <c r="G4728" t="str">
        <f>CHOOSE(WEEKDAY(A4728,2),"Mon","Tue","Wed","Thu","Fri","Sat","Sun")</f>
        <v>Wed</v>
      </c>
      <c r="H4728" t="str">
        <f>IF(WEEKDAY(A4728,2)&gt;5,"Weekend","Weekday")</f>
        <v>Weekday</v>
      </c>
      <c r="I4728" t="str">
        <f>_xlfn.IFS(B4728&lt;=5,"Night (0-5)",B4728&lt;=9,"Morning peak (6-9)",B4728&lt;=15,"Midday (10-15)",B4728&lt;=19,"Evening peak (16-19)",TRUE,"Late evening (20-23)")</f>
        <v>Late evening (20-23)</v>
      </c>
    </row>
    <row r="4729" spans="1:9">
      <c r="A4729" s="32">
        <v>42019</v>
      </c>
      <c r="B4729">
        <v>0</v>
      </c>
      <c r="C4729">
        <v>1517</v>
      </c>
      <c r="D4729" t="s">
        <v>304</v>
      </c>
      <c r="E4729">
        <f>YEAR(A4729)</f>
        <v>2015</v>
      </c>
      <c r="F4729" s="33">
        <f>DATE(YEAR(A4729),MONTH(A4729),1)</f>
        <v>42005.0</v>
      </c>
      <c r="G4729" t="str">
        <f>CHOOSE(WEEKDAY(A4729,2),"Mon","Tue","Wed","Thu","Fri","Sat","Sun")</f>
        <v>Thu</v>
      </c>
      <c r="H4729" t="str">
        <f>IF(WEEKDAY(A4729,2)&gt;5,"Weekend","Weekday")</f>
        <v>Weekday</v>
      </c>
      <c r="I4729" t="str">
        <f>_xlfn.IFS(B4729&lt;=5,"Night (0-5)",B4729&lt;=9,"Morning peak (6-9)",B4729&lt;=15,"Midday (10-15)",B4729&lt;=19,"Evening peak (16-19)",TRUE,"Late evening (20-23)")</f>
        <v>Night (0-5)</v>
      </c>
    </row>
    <row r="4730" spans="1:9">
      <c r="A4730" s="32">
        <v>42019</v>
      </c>
      <c r="B4730">
        <v>1</v>
      </c>
      <c r="C4730">
        <v>850</v>
      </c>
      <c r="D4730" t="s">
        <v>304</v>
      </c>
      <c r="E4730">
        <f>YEAR(A4730)</f>
        <v>2015</v>
      </c>
      <c r="F4730" s="33">
        <f>DATE(YEAR(A4730),MONTH(A4730),1)</f>
        <v>42005.0</v>
      </c>
      <c r="G4730" t="str">
        <f>CHOOSE(WEEKDAY(A4730,2),"Mon","Tue","Wed","Thu","Fri","Sat","Sun")</f>
        <v>Thu</v>
      </c>
      <c r="H4730" t="str">
        <f>IF(WEEKDAY(A4730,2)&gt;5,"Weekend","Weekday")</f>
        <v>Weekday</v>
      </c>
      <c r="I4730" t="str">
        <f>_xlfn.IFS(B4730&lt;=5,"Night (0-5)",B4730&lt;=9,"Morning peak (6-9)",B4730&lt;=15,"Midday (10-15)",B4730&lt;=19,"Evening peak (16-19)",TRUE,"Late evening (20-23)")</f>
        <v>Night (0-5)</v>
      </c>
    </row>
    <row r="4731" spans="1:9">
      <c r="A4731" s="32">
        <v>42019</v>
      </c>
      <c r="B4731">
        <v>2</v>
      </c>
      <c r="C4731">
        <v>467</v>
      </c>
      <c r="D4731" t="s">
        <v>304</v>
      </c>
      <c r="E4731">
        <f>YEAR(A4731)</f>
        <v>2015</v>
      </c>
      <c r="F4731" s="33">
        <f>DATE(YEAR(A4731),MONTH(A4731),1)</f>
        <v>42005.0</v>
      </c>
      <c r="G4731" t="str">
        <f>CHOOSE(WEEKDAY(A4731,2),"Mon","Tue","Wed","Thu","Fri","Sat","Sun")</f>
        <v>Thu</v>
      </c>
      <c r="H4731" t="str">
        <f>IF(WEEKDAY(A4731,2)&gt;5,"Weekend","Weekday")</f>
        <v>Weekday</v>
      </c>
      <c r="I4731" t="str">
        <f>_xlfn.IFS(B4731&lt;=5,"Night (0-5)",B4731&lt;=9,"Morning peak (6-9)",B4731&lt;=15,"Midday (10-15)",B4731&lt;=19,"Evening peak (16-19)",TRUE,"Late evening (20-23)")</f>
        <v>Night (0-5)</v>
      </c>
    </row>
    <row r="4732" spans="1:9">
      <c r="A4732" s="32">
        <v>42019</v>
      </c>
      <c r="B4732">
        <v>3</v>
      </c>
      <c r="C4732">
        <v>347</v>
      </c>
      <c r="D4732" t="s">
        <v>304</v>
      </c>
      <c r="E4732">
        <f>YEAR(A4732)</f>
        <v>2015</v>
      </c>
      <c r="F4732" s="33">
        <f>DATE(YEAR(A4732),MONTH(A4732),1)</f>
        <v>42005.0</v>
      </c>
      <c r="G4732" t="str">
        <f>CHOOSE(WEEKDAY(A4732,2),"Mon","Tue","Wed","Thu","Fri","Sat","Sun")</f>
        <v>Thu</v>
      </c>
      <c r="H4732" t="str">
        <f>IF(WEEKDAY(A4732,2)&gt;5,"Weekend","Weekday")</f>
        <v>Weekday</v>
      </c>
      <c r="I4732" t="str">
        <f>_xlfn.IFS(B4732&lt;=5,"Night (0-5)",B4732&lt;=9,"Morning peak (6-9)",B4732&lt;=15,"Midday (10-15)",B4732&lt;=19,"Evening peak (16-19)",TRUE,"Late evening (20-23)")</f>
        <v>Night (0-5)</v>
      </c>
    </row>
    <row r="4733" spans="1:9">
      <c r="A4733" s="32">
        <v>42019</v>
      </c>
      <c r="B4733">
        <v>4</v>
      </c>
      <c r="C4733">
        <v>492</v>
      </c>
      <c r="D4733" t="s">
        <v>304</v>
      </c>
      <c r="E4733">
        <f>YEAR(A4733)</f>
        <v>2015</v>
      </c>
      <c r="F4733" s="33">
        <f>DATE(YEAR(A4733),MONTH(A4733),1)</f>
        <v>42005.0</v>
      </c>
      <c r="G4733" t="str">
        <f>CHOOSE(WEEKDAY(A4733,2),"Mon","Tue","Wed","Thu","Fri","Sat","Sun")</f>
        <v>Thu</v>
      </c>
      <c r="H4733" t="str">
        <f>IF(WEEKDAY(A4733,2)&gt;5,"Weekend","Weekday")</f>
        <v>Weekday</v>
      </c>
      <c r="I4733" t="str">
        <f>_xlfn.IFS(B4733&lt;=5,"Night (0-5)",B4733&lt;=9,"Morning peak (6-9)",B4733&lt;=15,"Midday (10-15)",B4733&lt;=19,"Evening peak (16-19)",TRUE,"Late evening (20-23)")</f>
        <v>Night (0-5)</v>
      </c>
    </row>
    <row r="4734" spans="1:9">
      <c r="A4734" s="32">
        <v>42019</v>
      </c>
      <c r="B4734">
        <v>5</v>
      </c>
      <c r="C4734">
        <v>875</v>
      </c>
      <c r="D4734" t="s">
        <v>304</v>
      </c>
      <c r="E4734">
        <f>YEAR(A4734)</f>
        <v>2015</v>
      </c>
      <c r="F4734" s="33">
        <f>DATE(YEAR(A4734),MONTH(A4734),1)</f>
        <v>42005.0</v>
      </c>
      <c r="G4734" t="str">
        <f>CHOOSE(WEEKDAY(A4734,2),"Mon","Tue","Wed","Thu","Fri","Sat","Sun")</f>
        <v>Thu</v>
      </c>
      <c r="H4734" t="str">
        <f>IF(WEEKDAY(A4734,2)&gt;5,"Weekend","Weekday")</f>
        <v>Weekday</v>
      </c>
      <c r="I4734" t="str">
        <f>_xlfn.IFS(B4734&lt;=5,"Night (0-5)",B4734&lt;=9,"Morning peak (6-9)",B4734&lt;=15,"Midday (10-15)",B4734&lt;=19,"Evening peak (16-19)",TRUE,"Late evening (20-23)")</f>
        <v>Night (0-5)</v>
      </c>
    </row>
    <row r="4735" spans="1:9">
      <c r="A4735" s="32">
        <v>42019</v>
      </c>
      <c r="B4735">
        <v>6</v>
      </c>
      <c r="C4735">
        <v>1620</v>
      </c>
      <c r="D4735" t="s">
        <v>304</v>
      </c>
      <c r="E4735">
        <f>YEAR(A4735)</f>
        <v>2015</v>
      </c>
      <c r="F4735" s="33">
        <f>DATE(YEAR(A4735),MONTH(A4735),1)</f>
        <v>42005.0</v>
      </c>
      <c r="G4735" t="str">
        <f>CHOOSE(WEEKDAY(A4735,2),"Mon","Tue","Wed","Thu","Fri","Sat","Sun")</f>
        <v>Thu</v>
      </c>
      <c r="H4735" t="str">
        <f>IF(WEEKDAY(A4735,2)&gt;5,"Weekend","Weekday")</f>
        <v>Weekday</v>
      </c>
      <c r="I4735" t="str">
        <f>_xlfn.IFS(B4735&lt;=5,"Night (0-5)",B4735&lt;=9,"Morning peak (6-9)",B4735&lt;=15,"Midday (10-15)",B4735&lt;=19,"Evening peak (16-19)",TRUE,"Late evening (20-23)")</f>
        <v>Morning peak (6-9)</v>
      </c>
    </row>
    <row r="4736" spans="1:9">
      <c r="A4736" s="32">
        <v>42019</v>
      </c>
      <c r="B4736">
        <v>7</v>
      </c>
      <c r="C4736">
        <v>2799</v>
      </c>
      <c r="D4736" t="s">
        <v>304</v>
      </c>
      <c r="E4736">
        <f>YEAR(A4736)</f>
        <v>2015</v>
      </c>
      <c r="F4736" s="33">
        <f>DATE(YEAR(A4736),MONTH(A4736),1)</f>
        <v>42005.0</v>
      </c>
      <c r="G4736" t="str">
        <f>CHOOSE(WEEKDAY(A4736,2),"Mon","Tue","Wed","Thu","Fri","Sat","Sun")</f>
        <v>Thu</v>
      </c>
      <c r="H4736" t="str">
        <f>IF(WEEKDAY(A4736,2)&gt;5,"Weekend","Weekday")</f>
        <v>Weekday</v>
      </c>
      <c r="I4736" t="str">
        <f>_xlfn.IFS(B4736&lt;=5,"Night (0-5)",B4736&lt;=9,"Morning peak (6-9)",B4736&lt;=15,"Midday (10-15)",B4736&lt;=19,"Evening peak (16-19)",TRUE,"Late evening (20-23)")</f>
        <v>Morning peak (6-9)</v>
      </c>
    </row>
    <row r="4737" spans="1:9">
      <c r="A4737" s="32">
        <v>42019</v>
      </c>
      <c r="B4737">
        <v>8</v>
      </c>
      <c r="C4737">
        <v>3748</v>
      </c>
      <c r="D4737" t="s">
        <v>304</v>
      </c>
      <c r="E4737">
        <f>YEAR(A4737)</f>
        <v>2015</v>
      </c>
      <c r="F4737" s="33">
        <f>DATE(YEAR(A4737),MONTH(A4737),1)</f>
        <v>42005.0</v>
      </c>
      <c r="G4737" t="str">
        <f>CHOOSE(WEEKDAY(A4737,2),"Mon","Tue","Wed","Thu","Fri","Sat","Sun")</f>
        <v>Thu</v>
      </c>
      <c r="H4737" t="str">
        <f>IF(WEEKDAY(A4737,2)&gt;5,"Weekend","Weekday")</f>
        <v>Weekday</v>
      </c>
      <c r="I4737" t="str">
        <f>_xlfn.IFS(B4737&lt;=5,"Night (0-5)",B4737&lt;=9,"Morning peak (6-9)",B4737&lt;=15,"Midday (10-15)",B4737&lt;=19,"Evening peak (16-19)",TRUE,"Late evening (20-23)")</f>
        <v>Morning peak (6-9)</v>
      </c>
    </row>
    <row r="4738" spans="1:9">
      <c r="A4738" s="32">
        <v>42019</v>
      </c>
      <c r="B4738">
        <v>9</v>
      </c>
      <c r="C4738">
        <v>3338</v>
      </c>
      <c r="D4738" t="s">
        <v>304</v>
      </c>
      <c r="E4738">
        <f>YEAR(A4738)</f>
        <v>2015</v>
      </c>
      <c r="F4738" s="33">
        <f>DATE(YEAR(A4738),MONTH(A4738),1)</f>
        <v>42005.0</v>
      </c>
      <c r="G4738" t="str">
        <f>CHOOSE(WEEKDAY(A4738,2),"Mon","Tue","Wed","Thu","Fri","Sat","Sun")</f>
        <v>Thu</v>
      </c>
      <c r="H4738" t="str">
        <f>IF(WEEKDAY(A4738,2)&gt;5,"Weekend","Weekday")</f>
        <v>Weekday</v>
      </c>
      <c r="I4738" t="str">
        <f>_xlfn.IFS(B4738&lt;=5,"Night (0-5)",B4738&lt;=9,"Morning peak (6-9)",B4738&lt;=15,"Midday (10-15)",B4738&lt;=19,"Evening peak (16-19)",TRUE,"Late evening (20-23)")</f>
        <v>Morning peak (6-9)</v>
      </c>
    </row>
    <row r="4739" spans="1:9">
      <c r="A4739" s="32">
        <v>42019</v>
      </c>
      <c r="B4739">
        <v>10</v>
      </c>
      <c r="C4739">
        <v>2350</v>
      </c>
      <c r="D4739" t="s">
        <v>304</v>
      </c>
      <c r="E4739">
        <f>YEAR(A4739)</f>
        <v>2015</v>
      </c>
      <c r="F4739" s="33">
        <f>DATE(YEAR(A4739),MONTH(A4739),1)</f>
        <v>42005.0</v>
      </c>
      <c r="G4739" t="str">
        <f>CHOOSE(WEEKDAY(A4739,2),"Mon","Tue","Wed","Thu","Fri","Sat","Sun")</f>
        <v>Thu</v>
      </c>
      <c r="H4739" t="str">
        <f>IF(WEEKDAY(A4739,2)&gt;5,"Weekend","Weekday")</f>
        <v>Weekday</v>
      </c>
      <c r="I4739" t="str">
        <f>_xlfn.IFS(B4739&lt;=5,"Night (0-5)",B4739&lt;=9,"Morning peak (6-9)",B4739&lt;=15,"Midday (10-15)",B4739&lt;=19,"Evening peak (16-19)",TRUE,"Late evening (20-23)")</f>
        <v>Midday (10-15)</v>
      </c>
    </row>
    <row r="4740" spans="1:9">
      <c r="A4740" s="32">
        <v>42019</v>
      </c>
      <c r="B4740">
        <v>11</v>
      </c>
      <c r="C4740">
        <v>2158</v>
      </c>
      <c r="D4740" t="s">
        <v>304</v>
      </c>
      <c r="E4740">
        <f>YEAR(A4740)</f>
        <v>2015</v>
      </c>
      <c r="F4740" s="33">
        <f>DATE(YEAR(A4740),MONTH(A4740),1)</f>
        <v>42005.0</v>
      </c>
      <c r="G4740" t="str">
        <f>CHOOSE(WEEKDAY(A4740,2),"Mon","Tue","Wed","Thu","Fri","Sat","Sun")</f>
        <v>Thu</v>
      </c>
      <c r="H4740" t="str">
        <f>IF(WEEKDAY(A4740,2)&gt;5,"Weekend","Weekday")</f>
        <v>Weekday</v>
      </c>
      <c r="I4740" t="str">
        <f>_xlfn.IFS(B4740&lt;=5,"Night (0-5)",B4740&lt;=9,"Morning peak (6-9)",B4740&lt;=15,"Midday (10-15)",B4740&lt;=19,"Evening peak (16-19)",TRUE,"Late evening (20-23)")</f>
        <v>Midday (10-15)</v>
      </c>
    </row>
    <row r="4741" spans="1:9">
      <c r="A4741" s="32">
        <v>42019</v>
      </c>
      <c r="B4741">
        <v>12</v>
      </c>
      <c r="C4741">
        <v>2265</v>
      </c>
      <c r="D4741" t="s">
        <v>304</v>
      </c>
      <c r="E4741">
        <f>YEAR(A4741)</f>
        <v>2015</v>
      </c>
      <c r="F4741" s="33">
        <f>DATE(YEAR(A4741),MONTH(A4741),1)</f>
        <v>42005.0</v>
      </c>
      <c r="G4741" t="str">
        <f>CHOOSE(WEEKDAY(A4741,2),"Mon","Tue","Wed","Thu","Fri","Sat","Sun")</f>
        <v>Thu</v>
      </c>
      <c r="H4741" t="str">
        <f>IF(WEEKDAY(A4741,2)&gt;5,"Weekend","Weekday")</f>
        <v>Weekday</v>
      </c>
      <c r="I4741" t="str">
        <f>_xlfn.IFS(B4741&lt;=5,"Night (0-5)",B4741&lt;=9,"Morning peak (6-9)",B4741&lt;=15,"Midday (10-15)",B4741&lt;=19,"Evening peak (16-19)",TRUE,"Late evening (20-23)")</f>
        <v>Midday (10-15)</v>
      </c>
    </row>
    <row r="4742" spans="1:9">
      <c r="A4742" s="32">
        <v>42019</v>
      </c>
      <c r="B4742">
        <v>13</v>
      </c>
      <c r="C4742">
        <v>2251</v>
      </c>
      <c r="D4742" t="s">
        <v>304</v>
      </c>
      <c r="E4742">
        <f>YEAR(A4742)</f>
        <v>2015</v>
      </c>
      <c r="F4742" s="33">
        <f>DATE(YEAR(A4742),MONTH(A4742),1)</f>
        <v>42005.0</v>
      </c>
      <c r="G4742" t="str">
        <f>CHOOSE(WEEKDAY(A4742,2),"Mon","Tue","Wed","Thu","Fri","Sat","Sun")</f>
        <v>Thu</v>
      </c>
      <c r="H4742" t="str">
        <f>IF(WEEKDAY(A4742,2)&gt;5,"Weekend","Weekday")</f>
        <v>Weekday</v>
      </c>
      <c r="I4742" t="str">
        <f>_xlfn.IFS(B4742&lt;=5,"Night (0-5)",B4742&lt;=9,"Morning peak (6-9)",B4742&lt;=15,"Midday (10-15)",B4742&lt;=19,"Evening peak (16-19)",TRUE,"Late evening (20-23)")</f>
        <v>Midday (10-15)</v>
      </c>
    </row>
    <row r="4743" spans="1:9">
      <c r="A4743" s="32">
        <v>42019</v>
      </c>
      <c r="B4743">
        <v>14</v>
      </c>
      <c r="C4743">
        <v>2524</v>
      </c>
      <c r="D4743" t="s">
        <v>304</v>
      </c>
      <c r="E4743">
        <f>YEAR(A4743)</f>
        <v>2015</v>
      </c>
      <c r="F4743" s="33">
        <f>DATE(YEAR(A4743),MONTH(A4743),1)</f>
        <v>42005.0</v>
      </c>
      <c r="G4743" t="str">
        <f>CHOOSE(WEEKDAY(A4743,2),"Mon","Tue","Wed","Thu","Fri","Sat","Sun")</f>
        <v>Thu</v>
      </c>
      <c r="H4743" t="str">
        <f>IF(WEEKDAY(A4743,2)&gt;5,"Weekend","Weekday")</f>
        <v>Weekday</v>
      </c>
      <c r="I4743" t="str">
        <f>_xlfn.IFS(B4743&lt;=5,"Night (0-5)",B4743&lt;=9,"Morning peak (6-9)",B4743&lt;=15,"Midday (10-15)",B4743&lt;=19,"Evening peak (16-19)",TRUE,"Late evening (20-23)")</f>
        <v>Midday (10-15)</v>
      </c>
    </row>
    <row r="4744" spans="1:9">
      <c r="A4744" s="32">
        <v>42019</v>
      </c>
      <c r="B4744">
        <v>15</v>
      </c>
      <c r="C4744">
        <v>3047</v>
      </c>
      <c r="D4744" t="s">
        <v>304</v>
      </c>
      <c r="E4744">
        <f>YEAR(A4744)</f>
        <v>2015</v>
      </c>
      <c r="F4744" s="33">
        <f>DATE(YEAR(A4744),MONTH(A4744),1)</f>
        <v>42005.0</v>
      </c>
      <c r="G4744" t="str">
        <f>CHOOSE(WEEKDAY(A4744,2),"Mon","Tue","Wed","Thu","Fri","Sat","Sun")</f>
        <v>Thu</v>
      </c>
      <c r="H4744" t="str">
        <f>IF(WEEKDAY(A4744,2)&gt;5,"Weekend","Weekday")</f>
        <v>Weekday</v>
      </c>
      <c r="I4744" t="str">
        <f>_xlfn.IFS(B4744&lt;=5,"Night (0-5)",B4744&lt;=9,"Morning peak (6-9)",B4744&lt;=15,"Midday (10-15)",B4744&lt;=19,"Evening peak (16-19)",TRUE,"Late evening (20-23)")</f>
        <v>Midday (10-15)</v>
      </c>
    </row>
    <row r="4745" spans="1:9">
      <c r="A4745" s="32">
        <v>42019</v>
      </c>
      <c r="B4745">
        <v>16</v>
      </c>
      <c r="C4745">
        <v>3659</v>
      </c>
      <c r="D4745" t="s">
        <v>304</v>
      </c>
      <c r="E4745">
        <f>YEAR(A4745)</f>
        <v>2015</v>
      </c>
      <c r="F4745" s="33">
        <f>DATE(YEAR(A4745),MONTH(A4745),1)</f>
        <v>42005.0</v>
      </c>
      <c r="G4745" t="str">
        <f>CHOOSE(WEEKDAY(A4745,2),"Mon","Tue","Wed","Thu","Fri","Sat","Sun")</f>
        <v>Thu</v>
      </c>
      <c r="H4745" t="str">
        <f>IF(WEEKDAY(A4745,2)&gt;5,"Weekend","Weekday")</f>
        <v>Weekday</v>
      </c>
      <c r="I4745" t="str">
        <f>_xlfn.IFS(B4745&lt;=5,"Night (0-5)",B4745&lt;=9,"Morning peak (6-9)",B4745&lt;=15,"Midday (10-15)",B4745&lt;=19,"Evening peak (16-19)",TRUE,"Late evening (20-23)")</f>
        <v>Evening peak (16-19)</v>
      </c>
    </row>
    <row r="4746" spans="1:9">
      <c r="A4746" s="32">
        <v>42019</v>
      </c>
      <c r="B4746">
        <v>17</v>
      </c>
      <c r="C4746">
        <v>4600</v>
      </c>
      <c r="D4746" t="s">
        <v>304</v>
      </c>
      <c r="E4746">
        <f>YEAR(A4746)</f>
        <v>2015</v>
      </c>
      <c r="F4746" s="33">
        <f>DATE(YEAR(A4746),MONTH(A4746),1)</f>
        <v>42005.0</v>
      </c>
      <c r="G4746" t="str">
        <f>CHOOSE(WEEKDAY(A4746,2),"Mon","Tue","Wed","Thu","Fri","Sat","Sun")</f>
        <v>Thu</v>
      </c>
      <c r="H4746" t="str">
        <f>IF(WEEKDAY(A4746,2)&gt;5,"Weekend","Weekday")</f>
        <v>Weekday</v>
      </c>
      <c r="I4746" t="str">
        <f>_xlfn.IFS(B4746&lt;=5,"Night (0-5)",B4746&lt;=9,"Morning peak (6-9)",B4746&lt;=15,"Midday (10-15)",B4746&lt;=19,"Evening peak (16-19)",TRUE,"Late evening (20-23)")</f>
        <v>Evening peak (16-19)</v>
      </c>
    </row>
    <row r="4747" spans="1:9">
      <c r="A4747" s="32">
        <v>42019</v>
      </c>
      <c r="B4747">
        <v>18</v>
      </c>
      <c r="C4747">
        <v>5579</v>
      </c>
      <c r="D4747" t="s">
        <v>304</v>
      </c>
      <c r="E4747">
        <f>YEAR(A4747)</f>
        <v>2015</v>
      </c>
      <c r="F4747" s="33">
        <f>DATE(YEAR(A4747),MONTH(A4747),1)</f>
        <v>42005.0</v>
      </c>
      <c r="G4747" t="str">
        <f>CHOOSE(WEEKDAY(A4747,2),"Mon","Tue","Wed","Thu","Fri","Sat","Sun")</f>
        <v>Thu</v>
      </c>
      <c r="H4747" t="str">
        <f>IF(WEEKDAY(A4747,2)&gt;5,"Weekend","Weekday")</f>
        <v>Weekday</v>
      </c>
      <c r="I4747" t="str">
        <f>_xlfn.IFS(B4747&lt;=5,"Night (0-5)",B4747&lt;=9,"Morning peak (6-9)",B4747&lt;=15,"Midday (10-15)",B4747&lt;=19,"Evening peak (16-19)",TRUE,"Late evening (20-23)")</f>
        <v>Evening peak (16-19)</v>
      </c>
    </row>
    <row r="4748" spans="1:9">
      <c r="A4748" s="32">
        <v>42019</v>
      </c>
      <c r="B4748">
        <v>19</v>
      </c>
      <c r="C4748">
        <v>5518</v>
      </c>
      <c r="D4748" t="s">
        <v>304</v>
      </c>
      <c r="E4748">
        <f>YEAR(A4748)</f>
        <v>2015</v>
      </c>
      <c r="F4748" s="33">
        <f>DATE(YEAR(A4748),MONTH(A4748),1)</f>
        <v>42005.0</v>
      </c>
      <c r="G4748" t="str">
        <f>CHOOSE(WEEKDAY(A4748,2),"Mon","Tue","Wed","Thu","Fri","Sat","Sun")</f>
        <v>Thu</v>
      </c>
      <c r="H4748" t="str">
        <f>IF(WEEKDAY(A4748,2)&gt;5,"Weekend","Weekday")</f>
        <v>Weekday</v>
      </c>
      <c r="I4748" t="str">
        <f>_xlfn.IFS(B4748&lt;=5,"Night (0-5)",B4748&lt;=9,"Morning peak (6-9)",B4748&lt;=15,"Midday (10-15)",B4748&lt;=19,"Evening peak (16-19)",TRUE,"Late evening (20-23)")</f>
        <v>Evening peak (16-19)</v>
      </c>
    </row>
    <row r="4749" spans="1:9">
      <c r="A4749" s="32">
        <v>42019</v>
      </c>
      <c r="B4749">
        <v>20</v>
      </c>
      <c r="C4749">
        <v>4958</v>
      </c>
      <c r="D4749" t="s">
        <v>304</v>
      </c>
      <c r="E4749">
        <f>YEAR(A4749)</f>
        <v>2015</v>
      </c>
      <c r="F4749" s="33">
        <f>DATE(YEAR(A4749),MONTH(A4749),1)</f>
        <v>42005.0</v>
      </c>
      <c r="G4749" t="str">
        <f>CHOOSE(WEEKDAY(A4749,2),"Mon","Tue","Wed","Thu","Fri","Sat","Sun")</f>
        <v>Thu</v>
      </c>
      <c r="H4749" t="str">
        <f>IF(WEEKDAY(A4749,2)&gt;5,"Weekend","Weekday")</f>
        <v>Weekday</v>
      </c>
      <c r="I4749" t="str">
        <f>_xlfn.IFS(B4749&lt;=5,"Night (0-5)",B4749&lt;=9,"Morning peak (6-9)",B4749&lt;=15,"Midday (10-15)",B4749&lt;=19,"Evening peak (16-19)",TRUE,"Late evening (20-23)")</f>
        <v>Late evening (20-23)</v>
      </c>
    </row>
    <row r="4750" spans="1:9">
      <c r="A4750" s="32">
        <v>42019</v>
      </c>
      <c r="B4750">
        <v>21</v>
      </c>
      <c r="C4750">
        <v>5076</v>
      </c>
      <c r="D4750" t="s">
        <v>304</v>
      </c>
      <c r="E4750">
        <f>YEAR(A4750)</f>
        <v>2015</v>
      </c>
      <c r="F4750" s="33">
        <f>DATE(YEAR(A4750),MONTH(A4750),1)</f>
        <v>42005.0</v>
      </c>
      <c r="G4750" t="str">
        <f>CHOOSE(WEEKDAY(A4750,2),"Mon","Tue","Wed","Thu","Fri","Sat","Sun")</f>
        <v>Thu</v>
      </c>
      <c r="H4750" t="str">
        <f>IF(WEEKDAY(A4750,2)&gt;5,"Weekend","Weekday")</f>
        <v>Weekday</v>
      </c>
      <c r="I4750" t="str">
        <f>_xlfn.IFS(B4750&lt;=5,"Night (0-5)",B4750&lt;=9,"Morning peak (6-9)",B4750&lt;=15,"Midday (10-15)",B4750&lt;=19,"Evening peak (16-19)",TRUE,"Late evening (20-23)")</f>
        <v>Late evening (20-23)</v>
      </c>
    </row>
    <row r="4751" spans="1:9">
      <c r="A4751" s="32">
        <v>42019</v>
      </c>
      <c r="B4751">
        <v>22</v>
      </c>
      <c r="C4751">
        <v>4631</v>
      </c>
      <c r="D4751" t="s">
        <v>304</v>
      </c>
      <c r="E4751">
        <f>YEAR(A4751)</f>
        <v>2015</v>
      </c>
      <c r="F4751" s="33">
        <f>DATE(YEAR(A4751),MONTH(A4751),1)</f>
        <v>42005.0</v>
      </c>
      <c r="G4751" t="str">
        <f>CHOOSE(WEEKDAY(A4751,2),"Mon","Tue","Wed","Thu","Fri","Sat","Sun")</f>
        <v>Thu</v>
      </c>
      <c r="H4751" t="str">
        <f>IF(WEEKDAY(A4751,2)&gt;5,"Weekend","Weekday")</f>
        <v>Weekday</v>
      </c>
      <c r="I4751" t="str">
        <f>_xlfn.IFS(B4751&lt;=5,"Night (0-5)",B4751&lt;=9,"Morning peak (6-9)",B4751&lt;=15,"Midday (10-15)",B4751&lt;=19,"Evening peak (16-19)",TRUE,"Late evening (20-23)")</f>
        <v>Late evening (20-23)</v>
      </c>
    </row>
    <row r="4752" spans="1:9">
      <c r="A4752" s="32">
        <v>42019</v>
      </c>
      <c r="B4752">
        <v>23</v>
      </c>
      <c r="C4752">
        <v>3542</v>
      </c>
      <c r="D4752" t="s">
        <v>304</v>
      </c>
      <c r="E4752">
        <f>YEAR(A4752)</f>
        <v>2015</v>
      </c>
      <c r="F4752" s="33">
        <f>DATE(YEAR(A4752),MONTH(A4752),1)</f>
        <v>42005.0</v>
      </c>
      <c r="G4752" t="str">
        <f>CHOOSE(WEEKDAY(A4752,2),"Mon","Tue","Wed","Thu","Fri","Sat","Sun")</f>
        <v>Thu</v>
      </c>
      <c r="H4752" t="str">
        <f>IF(WEEKDAY(A4752,2)&gt;5,"Weekend","Weekday")</f>
        <v>Weekday</v>
      </c>
      <c r="I4752" t="str">
        <f>_xlfn.IFS(B4752&lt;=5,"Night (0-5)",B4752&lt;=9,"Morning peak (6-9)",B4752&lt;=15,"Midday (10-15)",B4752&lt;=19,"Evening peak (16-19)",TRUE,"Late evening (20-23)")</f>
        <v>Late evening (20-23)</v>
      </c>
    </row>
    <row r="4753" spans="1:9">
      <c r="A4753" s="32">
        <v>42020</v>
      </c>
      <c r="B4753">
        <v>0</v>
      </c>
      <c r="C4753">
        <v>2126</v>
      </c>
      <c r="D4753" t="s">
        <v>304</v>
      </c>
      <c r="E4753">
        <f>YEAR(A4753)</f>
        <v>2015</v>
      </c>
      <c r="F4753" s="33">
        <f>DATE(YEAR(A4753),MONTH(A4753),1)</f>
        <v>42005.0</v>
      </c>
      <c r="G4753" t="str">
        <f>CHOOSE(WEEKDAY(A4753,2),"Mon","Tue","Wed","Thu","Fri","Sat","Sun")</f>
        <v>Fri</v>
      </c>
      <c r="H4753" t="str">
        <f>IF(WEEKDAY(A4753,2)&gt;5,"Weekend","Weekday")</f>
        <v>Weekday</v>
      </c>
      <c r="I4753" t="str">
        <f>_xlfn.IFS(B4753&lt;=5,"Night (0-5)",B4753&lt;=9,"Morning peak (6-9)",B4753&lt;=15,"Midday (10-15)",B4753&lt;=19,"Evening peak (16-19)",TRUE,"Late evening (20-23)")</f>
        <v>Night (0-5)</v>
      </c>
    </row>
    <row r="4754" spans="1:9">
      <c r="A4754" s="32">
        <v>42020</v>
      </c>
      <c r="B4754">
        <v>1</v>
      </c>
      <c r="C4754">
        <v>1156</v>
      </c>
      <c r="D4754" t="s">
        <v>304</v>
      </c>
      <c r="E4754">
        <f>YEAR(A4754)</f>
        <v>2015</v>
      </c>
      <c r="F4754" s="33">
        <f>DATE(YEAR(A4754),MONTH(A4754),1)</f>
        <v>42005.0</v>
      </c>
      <c r="G4754" t="str">
        <f>CHOOSE(WEEKDAY(A4754,2),"Mon","Tue","Wed","Thu","Fri","Sat","Sun")</f>
        <v>Fri</v>
      </c>
      <c r="H4754" t="str">
        <f>IF(WEEKDAY(A4754,2)&gt;5,"Weekend","Weekday")</f>
        <v>Weekday</v>
      </c>
      <c r="I4754" t="str">
        <f>_xlfn.IFS(B4754&lt;=5,"Night (0-5)",B4754&lt;=9,"Morning peak (6-9)",B4754&lt;=15,"Midday (10-15)",B4754&lt;=19,"Evening peak (16-19)",TRUE,"Late evening (20-23)")</f>
        <v>Night (0-5)</v>
      </c>
    </row>
    <row r="4755" spans="1:9">
      <c r="A4755" s="32">
        <v>42020</v>
      </c>
      <c r="B4755">
        <v>2</v>
      </c>
      <c r="C4755">
        <v>712</v>
      </c>
      <c r="D4755" t="s">
        <v>304</v>
      </c>
      <c r="E4755">
        <f>YEAR(A4755)</f>
        <v>2015</v>
      </c>
      <c r="F4755" s="33">
        <f>DATE(YEAR(A4755),MONTH(A4755),1)</f>
        <v>42005.0</v>
      </c>
      <c r="G4755" t="str">
        <f>CHOOSE(WEEKDAY(A4755,2),"Mon","Tue","Wed","Thu","Fri","Sat","Sun")</f>
        <v>Fri</v>
      </c>
      <c r="H4755" t="str">
        <f>IF(WEEKDAY(A4755,2)&gt;5,"Weekend","Weekday")</f>
        <v>Weekday</v>
      </c>
      <c r="I4755" t="str">
        <f>_xlfn.IFS(B4755&lt;=5,"Night (0-5)",B4755&lt;=9,"Morning peak (6-9)",B4755&lt;=15,"Midday (10-15)",B4755&lt;=19,"Evening peak (16-19)",TRUE,"Late evening (20-23)")</f>
        <v>Night (0-5)</v>
      </c>
    </row>
    <row r="4756" spans="1:9">
      <c r="A4756" s="32">
        <v>42020</v>
      </c>
      <c r="B4756">
        <v>3</v>
      </c>
      <c r="C4756">
        <v>527</v>
      </c>
      <c r="D4756" t="s">
        <v>304</v>
      </c>
      <c r="E4756">
        <f>YEAR(A4756)</f>
        <v>2015</v>
      </c>
      <c r="F4756" s="33">
        <f>DATE(YEAR(A4756),MONTH(A4756),1)</f>
        <v>42005.0</v>
      </c>
      <c r="G4756" t="str">
        <f>CHOOSE(WEEKDAY(A4756,2),"Mon","Tue","Wed","Thu","Fri","Sat","Sun")</f>
        <v>Fri</v>
      </c>
      <c r="H4756" t="str">
        <f>IF(WEEKDAY(A4756,2)&gt;5,"Weekend","Weekday")</f>
        <v>Weekday</v>
      </c>
      <c r="I4756" t="str">
        <f>_xlfn.IFS(B4756&lt;=5,"Night (0-5)",B4756&lt;=9,"Morning peak (6-9)",B4756&lt;=15,"Midday (10-15)",B4756&lt;=19,"Evening peak (16-19)",TRUE,"Late evening (20-23)")</f>
        <v>Night (0-5)</v>
      </c>
    </row>
    <row r="4757" spans="1:9">
      <c r="A4757" s="32">
        <v>42020</v>
      </c>
      <c r="B4757">
        <v>4</v>
      </c>
      <c r="C4757">
        <v>686</v>
      </c>
      <c r="D4757" t="s">
        <v>304</v>
      </c>
      <c r="E4757">
        <f>YEAR(A4757)</f>
        <v>2015</v>
      </c>
      <c r="F4757" s="33">
        <f>DATE(YEAR(A4757),MONTH(A4757),1)</f>
        <v>42005.0</v>
      </c>
      <c r="G4757" t="str">
        <f>CHOOSE(WEEKDAY(A4757,2),"Mon","Tue","Wed","Thu","Fri","Sat","Sun")</f>
        <v>Fri</v>
      </c>
      <c r="H4757" t="str">
        <f>IF(WEEKDAY(A4757,2)&gt;5,"Weekend","Weekday")</f>
        <v>Weekday</v>
      </c>
      <c r="I4757" t="str">
        <f>_xlfn.IFS(B4757&lt;=5,"Night (0-5)",B4757&lt;=9,"Morning peak (6-9)",B4757&lt;=15,"Midday (10-15)",B4757&lt;=19,"Evening peak (16-19)",TRUE,"Late evening (20-23)")</f>
        <v>Night (0-5)</v>
      </c>
    </row>
    <row r="4758" spans="1:9">
      <c r="A4758" s="32">
        <v>42020</v>
      </c>
      <c r="B4758">
        <v>5</v>
      </c>
      <c r="C4758">
        <v>995</v>
      </c>
      <c r="D4758" t="s">
        <v>304</v>
      </c>
      <c r="E4758">
        <f>YEAR(A4758)</f>
        <v>2015</v>
      </c>
      <c r="F4758" s="33">
        <f>DATE(YEAR(A4758),MONTH(A4758),1)</f>
        <v>42005.0</v>
      </c>
      <c r="G4758" t="str">
        <f>CHOOSE(WEEKDAY(A4758,2),"Mon","Tue","Wed","Thu","Fri","Sat","Sun")</f>
        <v>Fri</v>
      </c>
      <c r="H4758" t="str">
        <f>IF(WEEKDAY(A4758,2)&gt;5,"Weekend","Weekday")</f>
        <v>Weekday</v>
      </c>
      <c r="I4758" t="str">
        <f>_xlfn.IFS(B4758&lt;=5,"Night (0-5)",B4758&lt;=9,"Morning peak (6-9)",B4758&lt;=15,"Midday (10-15)",B4758&lt;=19,"Evening peak (16-19)",TRUE,"Late evening (20-23)")</f>
        <v>Night (0-5)</v>
      </c>
    </row>
    <row r="4759" spans="1:9">
      <c r="A4759" s="32">
        <v>42020</v>
      </c>
      <c r="B4759">
        <v>6</v>
      </c>
      <c r="C4759">
        <v>1545</v>
      </c>
      <c r="D4759" t="s">
        <v>304</v>
      </c>
      <c r="E4759">
        <f>YEAR(A4759)</f>
        <v>2015</v>
      </c>
      <c r="F4759" s="33">
        <f>DATE(YEAR(A4759),MONTH(A4759),1)</f>
        <v>42005.0</v>
      </c>
      <c r="G4759" t="str">
        <f>CHOOSE(WEEKDAY(A4759,2),"Mon","Tue","Wed","Thu","Fri","Sat","Sun")</f>
        <v>Fri</v>
      </c>
      <c r="H4759" t="str">
        <f>IF(WEEKDAY(A4759,2)&gt;5,"Weekend","Weekday")</f>
        <v>Weekday</v>
      </c>
      <c r="I4759" t="str">
        <f>_xlfn.IFS(B4759&lt;=5,"Night (0-5)",B4759&lt;=9,"Morning peak (6-9)",B4759&lt;=15,"Midday (10-15)",B4759&lt;=19,"Evening peak (16-19)",TRUE,"Late evening (20-23)")</f>
        <v>Morning peak (6-9)</v>
      </c>
    </row>
    <row r="4760" spans="1:9">
      <c r="A4760" s="32">
        <v>42020</v>
      </c>
      <c r="B4760">
        <v>7</v>
      </c>
      <c r="C4760">
        <v>2562</v>
      </c>
      <c r="D4760" t="s">
        <v>304</v>
      </c>
      <c r="E4760">
        <f>YEAR(A4760)</f>
        <v>2015</v>
      </c>
      <c r="F4760" s="33">
        <f>DATE(YEAR(A4760),MONTH(A4760),1)</f>
        <v>42005.0</v>
      </c>
      <c r="G4760" t="str">
        <f>CHOOSE(WEEKDAY(A4760,2),"Mon","Tue","Wed","Thu","Fri","Sat","Sun")</f>
        <v>Fri</v>
      </c>
      <c r="H4760" t="str">
        <f>IF(WEEKDAY(A4760,2)&gt;5,"Weekend","Weekday")</f>
        <v>Weekday</v>
      </c>
      <c r="I4760" t="str">
        <f>_xlfn.IFS(B4760&lt;=5,"Night (0-5)",B4760&lt;=9,"Morning peak (6-9)",B4760&lt;=15,"Midday (10-15)",B4760&lt;=19,"Evening peak (16-19)",TRUE,"Late evening (20-23)")</f>
        <v>Morning peak (6-9)</v>
      </c>
    </row>
    <row r="4761" spans="1:9">
      <c r="A4761" s="32">
        <v>42020</v>
      </c>
      <c r="B4761">
        <v>8</v>
      </c>
      <c r="C4761">
        <v>3424</v>
      </c>
      <c r="D4761" t="s">
        <v>304</v>
      </c>
      <c r="E4761">
        <f>YEAR(A4761)</f>
        <v>2015</v>
      </c>
      <c r="F4761" s="33">
        <f>DATE(YEAR(A4761),MONTH(A4761),1)</f>
        <v>42005.0</v>
      </c>
      <c r="G4761" t="str">
        <f>CHOOSE(WEEKDAY(A4761,2),"Mon","Tue","Wed","Thu","Fri","Sat","Sun")</f>
        <v>Fri</v>
      </c>
      <c r="H4761" t="str">
        <f>IF(WEEKDAY(A4761,2)&gt;5,"Weekend","Weekday")</f>
        <v>Weekday</v>
      </c>
      <c r="I4761" t="str">
        <f>_xlfn.IFS(B4761&lt;=5,"Night (0-5)",B4761&lt;=9,"Morning peak (6-9)",B4761&lt;=15,"Midday (10-15)",B4761&lt;=19,"Evening peak (16-19)",TRUE,"Late evening (20-23)")</f>
        <v>Morning peak (6-9)</v>
      </c>
    </row>
    <row r="4762" spans="1:9">
      <c r="A4762" s="32">
        <v>42020</v>
      </c>
      <c r="B4762">
        <v>9</v>
      </c>
      <c r="C4762">
        <v>3183</v>
      </c>
      <c r="D4762" t="s">
        <v>304</v>
      </c>
      <c r="E4762">
        <f>YEAR(A4762)</f>
        <v>2015</v>
      </c>
      <c r="F4762" s="33">
        <f>DATE(YEAR(A4762),MONTH(A4762),1)</f>
        <v>42005.0</v>
      </c>
      <c r="G4762" t="str">
        <f>CHOOSE(WEEKDAY(A4762,2),"Mon","Tue","Wed","Thu","Fri","Sat","Sun")</f>
        <v>Fri</v>
      </c>
      <c r="H4762" t="str">
        <f>IF(WEEKDAY(A4762,2)&gt;5,"Weekend","Weekday")</f>
        <v>Weekday</v>
      </c>
      <c r="I4762" t="str">
        <f>_xlfn.IFS(B4762&lt;=5,"Night (0-5)",B4762&lt;=9,"Morning peak (6-9)",B4762&lt;=15,"Midday (10-15)",B4762&lt;=19,"Evening peak (16-19)",TRUE,"Late evening (20-23)")</f>
        <v>Morning peak (6-9)</v>
      </c>
    </row>
    <row r="4763" spans="1:9">
      <c r="A4763" s="32">
        <v>42020</v>
      </c>
      <c r="B4763">
        <v>10</v>
      </c>
      <c r="C4763">
        <v>2393</v>
      </c>
      <c r="D4763" t="s">
        <v>304</v>
      </c>
      <c r="E4763">
        <f>YEAR(A4763)</f>
        <v>2015</v>
      </c>
      <c r="F4763" s="33">
        <f>DATE(YEAR(A4763),MONTH(A4763),1)</f>
        <v>42005.0</v>
      </c>
      <c r="G4763" t="str">
        <f>CHOOSE(WEEKDAY(A4763,2),"Mon","Tue","Wed","Thu","Fri","Sat","Sun")</f>
        <v>Fri</v>
      </c>
      <c r="H4763" t="str">
        <f>IF(WEEKDAY(A4763,2)&gt;5,"Weekend","Weekday")</f>
        <v>Weekday</v>
      </c>
      <c r="I4763" t="str">
        <f>_xlfn.IFS(B4763&lt;=5,"Night (0-5)",B4763&lt;=9,"Morning peak (6-9)",B4763&lt;=15,"Midday (10-15)",B4763&lt;=19,"Evening peak (16-19)",TRUE,"Late evening (20-23)")</f>
        <v>Midday (10-15)</v>
      </c>
    </row>
    <row r="4764" spans="1:9">
      <c r="A4764" s="32">
        <v>42020</v>
      </c>
      <c r="B4764">
        <v>11</v>
      </c>
      <c r="C4764">
        <v>2167</v>
      </c>
      <c r="D4764" t="s">
        <v>304</v>
      </c>
      <c r="E4764">
        <f>YEAR(A4764)</f>
        <v>2015</v>
      </c>
      <c r="F4764" s="33">
        <f>DATE(YEAR(A4764),MONTH(A4764),1)</f>
        <v>42005.0</v>
      </c>
      <c r="G4764" t="str">
        <f>CHOOSE(WEEKDAY(A4764,2),"Mon","Tue","Wed","Thu","Fri","Sat","Sun")</f>
        <v>Fri</v>
      </c>
      <c r="H4764" t="str">
        <f>IF(WEEKDAY(A4764,2)&gt;5,"Weekend","Weekday")</f>
        <v>Weekday</v>
      </c>
      <c r="I4764" t="str">
        <f>_xlfn.IFS(B4764&lt;=5,"Night (0-5)",B4764&lt;=9,"Morning peak (6-9)",B4764&lt;=15,"Midday (10-15)",B4764&lt;=19,"Evening peak (16-19)",TRUE,"Late evening (20-23)")</f>
        <v>Midday (10-15)</v>
      </c>
    </row>
    <row r="4765" spans="1:9">
      <c r="A4765" s="32">
        <v>42020</v>
      </c>
      <c r="B4765">
        <v>12</v>
      </c>
      <c r="C4765">
        <v>2334</v>
      </c>
      <c r="D4765" t="s">
        <v>304</v>
      </c>
      <c r="E4765">
        <f>YEAR(A4765)</f>
        <v>2015</v>
      </c>
      <c r="F4765" s="33">
        <f>DATE(YEAR(A4765),MONTH(A4765),1)</f>
        <v>42005.0</v>
      </c>
      <c r="G4765" t="str">
        <f>CHOOSE(WEEKDAY(A4765,2),"Mon","Tue","Wed","Thu","Fri","Sat","Sun")</f>
        <v>Fri</v>
      </c>
      <c r="H4765" t="str">
        <f>IF(WEEKDAY(A4765,2)&gt;5,"Weekend","Weekday")</f>
        <v>Weekday</v>
      </c>
      <c r="I4765" t="str">
        <f>_xlfn.IFS(B4765&lt;=5,"Night (0-5)",B4765&lt;=9,"Morning peak (6-9)",B4765&lt;=15,"Midday (10-15)",B4765&lt;=19,"Evening peak (16-19)",TRUE,"Late evening (20-23)")</f>
        <v>Midday (10-15)</v>
      </c>
    </row>
    <row r="4766" spans="1:9">
      <c r="A4766" s="32">
        <v>42020</v>
      </c>
      <c r="B4766">
        <v>13</v>
      </c>
      <c r="C4766">
        <v>2246</v>
      </c>
      <c r="D4766" t="s">
        <v>304</v>
      </c>
      <c r="E4766">
        <f>YEAR(A4766)</f>
        <v>2015</v>
      </c>
      <c r="F4766" s="33">
        <f>DATE(YEAR(A4766),MONTH(A4766),1)</f>
        <v>42005.0</v>
      </c>
      <c r="G4766" t="str">
        <f>CHOOSE(WEEKDAY(A4766,2),"Mon","Tue","Wed","Thu","Fri","Sat","Sun")</f>
        <v>Fri</v>
      </c>
      <c r="H4766" t="str">
        <f>IF(WEEKDAY(A4766,2)&gt;5,"Weekend","Weekday")</f>
        <v>Weekday</v>
      </c>
      <c r="I4766" t="str">
        <f>_xlfn.IFS(B4766&lt;=5,"Night (0-5)",B4766&lt;=9,"Morning peak (6-9)",B4766&lt;=15,"Midday (10-15)",B4766&lt;=19,"Evening peak (16-19)",TRUE,"Late evening (20-23)")</f>
        <v>Midday (10-15)</v>
      </c>
    </row>
    <row r="4767" spans="1:9">
      <c r="A4767" s="32">
        <v>42020</v>
      </c>
      <c r="B4767">
        <v>14</v>
      </c>
      <c r="C4767">
        <v>2658</v>
      </c>
      <c r="D4767" t="s">
        <v>304</v>
      </c>
      <c r="E4767">
        <f>YEAR(A4767)</f>
        <v>2015</v>
      </c>
      <c r="F4767" s="33">
        <f>DATE(YEAR(A4767),MONTH(A4767),1)</f>
        <v>42005.0</v>
      </c>
      <c r="G4767" t="str">
        <f>CHOOSE(WEEKDAY(A4767,2),"Mon","Tue","Wed","Thu","Fri","Sat","Sun")</f>
        <v>Fri</v>
      </c>
      <c r="H4767" t="str">
        <f>IF(WEEKDAY(A4767,2)&gt;5,"Weekend","Weekday")</f>
        <v>Weekday</v>
      </c>
      <c r="I4767" t="str">
        <f>_xlfn.IFS(B4767&lt;=5,"Night (0-5)",B4767&lt;=9,"Morning peak (6-9)",B4767&lt;=15,"Midday (10-15)",B4767&lt;=19,"Evening peak (16-19)",TRUE,"Late evening (20-23)")</f>
        <v>Midday (10-15)</v>
      </c>
    </row>
    <row r="4768" spans="1:9">
      <c r="A4768" s="32">
        <v>42020</v>
      </c>
      <c r="B4768">
        <v>15</v>
      </c>
      <c r="C4768">
        <v>3017</v>
      </c>
      <c r="D4768" t="s">
        <v>304</v>
      </c>
      <c r="E4768">
        <f>YEAR(A4768)</f>
        <v>2015</v>
      </c>
      <c r="F4768" s="33">
        <f>DATE(YEAR(A4768),MONTH(A4768),1)</f>
        <v>42005.0</v>
      </c>
      <c r="G4768" t="str">
        <f>CHOOSE(WEEKDAY(A4768,2),"Mon","Tue","Wed","Thu","Fri","Sat","Sun")</f>
        <v>Fri</v>
      </c>
      <c r="H4768" t="str">
        <f>IF(WEEKDAY(A4768,2)&gt;5,"Weekend","Weekday")</f>
        <v>Weekday</v>
      </c>
      <c r="I4768" t="str">
        <f>_xlfn.IFS(B4768&lt;=5,"Night (0-5)",B4768&lt;=9,"Morning peak (6-9)",B4768&lt;=15,"Midday (10-15)",B4768&lt;=19,"Evening peak (16-19)",TRUE,"Late evening (20-23)")</f>
        <v>Midday (10-15)</v>
      </c>
    </row>
    <row r="4769" spans="1:9">
      <c r="A4769" s="32">
        <v>42020</v>
      </c>
      <c r="B4769">
        <v>16</v>
      </c>
      <c r="C4769">
        <v>3758</v>
      </c>
      <c r="D4769" t="s">
        <v>304</v>
      </c>
      <c r="E4769">
        <f>YEAR(A4769)</f>
        <v>2015</v>
      </c>
      <c r="F4769" s="33">
        <f>DATE(YEAR(A4769),MONTH(A4769),1)</f>
        <v>42005.0</v>
      </c>
      <c r="G4769" t="str">
        <f>CHOOSE(WEEKDAY(A4769,2),"Mon","Tue","Wed","Thu","Fri","Sat","Sun")</f>
        <v>Fri</v>
      </c>
      <c r="H4769" t="str">
        <f>IF(WEEKDAY(A4769,2)&gt;5,"Weekend","Weekday")</f>
        <v>Weekday</v>
      </c>
      <c r="I4769" t="str">
        <f>_xlfn.IFS(B4769&lt;=5,"Night (0-5)",B4769&lt;=9,"Morning peak (6-9)",B4769&lt;=15,"Midday (10-15)",B4769&lt;=19,"Evening peak (16-19)",TRUE,"Late evening (20-23)")</f>
        <v>Evening peak (16-19)</v>
      </c>
    </row>
    <row r="4770" spans="1:9">
      <c r="A4770" s="32">
        <v>42020</v>
      </c>
      <c r="B4770">
        <v>17</v>
      </c>
      <c r="C4770">
        <v>4841</v>
      </c>
      <c r="D4770" t="s">
        <v>304</v>
      </c>
      <c r="E4770">
        <f>YEAR(A4770)</f>
        <v>2015</v>
      </c>
      <c r="F4770" s="33">
        <f>DATE(YEAR(A4770),MONTH(A4770),1)</f>
        <v>42005.0</v>
      </c>
      <c r="G4770" t="str">
        <f>CHOOSE(WEEKDAY(A4770,2),"Mon","Tue","Wed","Thu","Fri","Sat","Sun")</f>
        <v>Fri</v>
      </c>
      <c r="H4770" t="str">
        <f>IF(WEEKDAY(A4770,2)&gt;5,"Weekend","Weekday")</f>
        <v>Weekday</v>
      </c>
      <c r="I4770" t="str">
        <f>_xlfn.IFS(B4770&lt;=5,"Night (0-5)",B4770&lt;=9,"Morning peak (6-9)",B4770&lt;=15,"Midday (10-15)",B4770&lt;=19,"Evening peak (16-19)",TRUE,"Late evening (20-23)")</f>
        <v>Evening peak (16-19)</v>
      </c>
    </row>
    <row r="4771" spans="1:9">
      <c r="A4771" s="32">
        <v>42020</v>
      </c>
      <c r="B4771">
        <v>18</v>
      </c>
      <c r="C4771">
        <v>5703</v>
      </c>
      <c r="D4771" t="s">
        <v>304</v>
      </c>
      <c r="E4771">
        <f>YEAR(A4771)</f>
        <v>2015</v>
      </c>
      <c r="F4771" s="33">
        <f>DATE(YEAR(A4771),MONTH(A4771),1)</f>
        <v>42005.0</v>
      </c>
      <c r="G4771" t="str">
        <f>CHOOSE(WEEKDAY(A4771,2),"Mon","Tue","Wed","Thu","Fri","Sat","Sun")</f>
        <v>Fri</v>
      </c>
      <c r="H4771" t="str">
        <f>IF(WEEKDAY(A4771,2)&gt;5,"Weekend","Weekday")</f>
        <v>Weekday</v>
      </c>
      <c r="I4771" t="str">
        <f>_xlfn.IFS(B4771&lt;=5,"Night (0-5)",B4771&lt;=9,"Morning peak (6-9)",B4771&lt;=15,"Midday (10-15)",B4771&lt;=19,"Evening peak (16-19)",TRUE,"Late evening (20-23)")</f>
        <v>Evening peak (16-19)</v>
      </c>
    </row>
    <row r="4772" spans="1:9">
      <c r="A4772" s="32">
        <v>42020</v>
      </c>
      <c r="B4772">
        <v>19</v>
      </c>
      <c r="C4772">
        <v>6389</v>
      </c>
      <c r="D4772" t="s">
        <v>304</v>
      </c>
      <c r="E4772">
        <f>YEAR(A4772)</f>
        <v>2015</v>
      </c>
      <c r="F4772" s="33">
        <f>DATE(YEAR(A4772),MONTH(A4772),1)</f>
        <v>42005.0</v>
      </c>
      <c r="G4772" t="str">
        <f>CHOOSE(WEEKDAY(A4772,2),"Mon","Tue","Wed","Thu","Fri","Sat","Sun")</f>
        <v>Fri</v>
      </c>
      <c r="H4772" t="str">
        <f>IF(WEEKDAY(A4772,2)&gt;5,"Weekend","Weekday")</f>
        <v>Weekday</v>
      </c>
      <c r="I4772" t="str">
        <f>_xlfn.IFS(B4772&lt;=5,"Night (0-5)",B4772&lt;=9,"Morning peak (6-9)",B4772&lt;=15,"Midday (10-15)",B4772&lt;=19,"Evening peak (16-19)",TRUE,"Late evening (20-23)")</f>
        <v>Evening peak (16-19)</v>
      </c>
    </row>
    <row r="4773" spans="1:9">
      <c r="A4773" s="32">
        <v>42020</v>
      </c>
      <c r="B4773">
        <v>20</v>
      </c>
      <c r="C4773">
        <v>5690</v>
      </c>
      <c r="D4773" t="s">
        <v>304</v>
      </c>
      <c r="E4773">
        <f>YEAR(A4773)</f>
        <v>2015</v>
      </c>
      <c r="F4773" s="33">
        <f>DATE(YEAR(A4773),MONTH(A4773),1)</f>
        <v>42005.0</v>
      </c>
      <c r="G4773" t="str">
        <f>CHOOSE(WEEKDAY(A4773,2),"Mon","Tue","Wed","Thu","Fri","Sat","Sun")</f>
        <v>Fri</v>
      </c>
      <c r="H4773" t="str">
        <f>IF(WEEKDAY(A4773,2)&gt;5,"Weekend","Weekday")</f>
        <v>Weekday</v>
      </c>
      <c r="I4773" t="str">
        <f>_xlfn.IFS(B4773&lt;=5,"Night (0-5)",B4773&lt;=9,"Morning peak (6-9)",B4773&lt;=15,"Midday (10-15)",B4773&lt;=19,"Evening peak (16-19)",TRUE,"Late evening (20-23)")</f>
        <v>Late evening (20-23)</v>
      </c>
    </row>
    <row r="4774" spans="1:9">
      <c r="A4774" s="32">
        <v>42020</v>
      </c>
      <c r="B4774">
        <v>21</v>
      </c>
      <c r="C4774">
        <v>5199</v>
      </c>
      <c r="D4774" t="s">
        <v>304</v>
      </c>
      <c r="E4774">
        <f>YEAR(A4774)</f>
        <v>2015</v>
      </c>
      <c r="F4774" s="33">
        <f>DATE(YEAR(A4774),MONTH(A4774),1)</f>
        <v>42005.0</v>
      </c>
      <c r="G4774" t="str">
        <f>CHOOSE(WEEKDAY(A4774,2),"Mon","Tue","Wed","Thu","Fri","Sat","Sun")</f>
        <v>Fri</v>
      </c>
      <c r="H4774" t="str">
        <f>IF(WEEKDAY(A4774,2)&gt;5,"Weekend","Weekday")</f>
        <v>Weekday</v>
      </c>
      <c r="I4774" t="str">
        <f>_xlfn.IFS(B4774&lt;=5,"Night (0-5)",B4774&lt;=9,"Morning peak (6-9)",B4774&lt;=15,"Midday (10-15)",B4774&lt;=19,"Evening peak (16-19)",TRUE,"Late evening (20-23)")</f>
        <v>Late evening (20-23)</v>
      </c>
    </row>
    <row r="4775" spans="1:9">
      <c r="A4775" s="32">
        <v>42020</v>
      </c>
      <c r="B4775">
        <v>22</v>
      </c>
      <c r="C4775">
        <v>5415</v>
      </c>
      <c r="D4775" t="s">
        <v>304</v>
      </c>
      <c r="E4775">
        <f>YEAR(A4775)</f>
        <v>2015</v>
      </c>
      <c r="F4775" s="33">
        <f>DATE(YEAR(A4775),MONTH(A4775),1)</f>
        <v>42005.0</v>
      </c>
      <c r="G4775" t="str">
        <f>CHOOSE(WEEKDAY(A4775,2),"Mon","Tue","Wed","Thu","Fri","Sat","Sun")</f>
        <v>Fri</v>
      </c>
      <c r="H4775" t="str">
        <f>IF(WEEKDAY(A4775,2)&gt;5,"Weekend","Weekday")</f>
        <v>Weekday</v>
      </c>
      <c r="I4775" t="str">
        <f>_xlfn.IFS(B4775&lt;=5,"Night (0-5)",B4775&lt;=9,"Morning peak (6-9)",B4775&lt;=15,"Midday (10-15)",B4775&lt;=19,"Evening peak (16-19)",TRUE,"Late evening (20-23)")</f>
        <v>Late evening (20-23)</v>
      </c>
    </row>
    <row r="4776" spans="1:9">
      <c r="A4776" s="32">
        <v>42020</v>
      </c>
      <c r="B4776">
        <v>23</v>
      </c>
      <c r="C4776">
        <v>5467</v>
      </c>
      <c r="D4776" t="s">
        <v>304</v>
      </c>
      <c r="E4776">
        <f>YEAR(A4776)</f>
        <v>2015</v>
      </c>
      <c r="F4776" s="33">
        <f>DATE(YEAR(A4776),MONTH(A4776),1)</f>
        <v>42005.0</v>
      </c>
      <c r="G4776" t="str">
        <f>CHOOSE(WEEKDAY(A4776,2),"Mon","Tue","Wed","Thu","Fri","Sat","Sun")</f>
        <v>Fri</v>
      </c>
      <c r="H4776" t="str">
        <f>IF(WEEKDAY(A4776,2)&gt;5,"Weekend","Weekday")</f>
        <v>Weekday</v>
      </c>
      <c r="I4776" t="str">
        <f>_xlfn.IFS(B4776&lt;=5,"Night (0-5)",B4776&lt;=9,"Morning peak (6-9)",B4776&lt;=15,"Midday (10-15)",B4776&lt;=19,"Evening peak (16-19)",TRUE,"Late evening (20-23)")</f>
        <v>Late evening (20-23)</v>
      </c>
    </row>
    <row r="4777" spans="1:9">
      <c r="A4777" s="32">
        <v>42021</v>
      </c>
      <c r="B4777">
        <v>0</v>
      </c>
      <c r="C4777">
        <v>4643</v>
      </c>
      <c r="D4777" t="s">
        <v>304</v>
      </c>
      <c r="E4777">
        <f>YEAR(A4777)</f>
        <v>2015</v>
      </c>
      <c r="F4777" s="33">
        <f>DATE(YEAR(A4777),MONTH(A4777),1)</f>
        <v>42005.0</v>
      </c>
      <c r="G4777" t="str">
        <f>CHOOSE(WEEKDAY(A4777,2),"Mon","Tue","Wed","Thu","Fri","Sat","Sun")</f>
        <v>Sat</v>
      </c>
      <c r="H4777" t="str">
        <f>IF(WEEKDAY(A4777,2)&gt;5,"Weekend","Weekday")</f>
        <v>Weekend</v>
      </c>
      <c r="I4777" t="str">
        <f>_xlfn.IFS(B4777&lt;=5,"Night (0-5)",B4777&lt;=9,"Morning peak (6-9)",B4777&lt;=15,"Midday (10-15)",B4777&lt;=19,"Evening peak (16-19)",TRUE,"Late evening (20-23)")</f>
        <v>Night (0-5)</v>
      </c>
    </row>
    <row r="4778" spans="1:9">
      <c r="A4778" s="32">
        <v>42021</v>
      </c>
      <c r="B4778">
        <v>1</v>
      </c>
      <c r="C4778">
        <v>3032</v>
      </c>
      <c r="D4778" t="s">
        <v>304</v>
      </c>
      <c r="E4778">
        <f>YEAR(A4778)</f>
        <v>2015</v>
      </c>
      <c r="F4778" s="33">
        <f>DATE(YEAR(A4778),MONTH(A4778),1)</f>
        <v>42005.0</v>
      </c>
      <c r="G4778" t="str">
        <f>CHOOSE(WEEKDAY(A4778,2),"Mon","Tue","Wed","Thu","Fri","Sat","Sun")</f>
        <v>Sat</v>
      </c>
      <c r="H4778" t="str">
        <f>IF(WEEKDAY(A4778,2)&gt;5,"Weekend","Weekday")</f>
        <v>Weekend</v>
      </c>
      <c r="I4778" t="str">
        <f>_xlfn.IFS(B4778&lt;=5,"Night (0-5)",B4778&lt;=9,"Morning peak (6-9)",B4778&lt;=15,"Midday (10-15)",B4778&lt;=19,"Evening peak (16-19)",TRUE,"Late evening (20-23)")</f>
        <v>Night (0-5)</v>
      </c>
    </row>
    <row r="4779" spans="1:9">
      <c r="A4779" s="32">
        <v>42021</v>
      </c>
      <c r="B4779">
        <v>2</v>
      </c>
      <c r="C4779">
        <v>2144</v>
      </c>
      <c r="D4779" t="s">
        <v>304</v>
      </c>
      <c r="E4779">
        <f>YEAR(A4779)</f>
        <v>2015</v>
      </c>
      <c r="F4779" s="33">
        <f>DATE(YEAR(A4779),MONTH(A4779),1)</f>
        <v>42005.0</v>
      </c>
      <c r="G4779" t="str">
        <f>CHOOSE(WEEKDAY(A4779,2),"Mon","Tue","Wed","Thu","Fri","Sat","Sun")</f>
        <v>Sat</v>
      </c>
      <c r="H4779" t="str">
        <f>IF(WEEKDAY(A4779,2)&gt;5,"Weekend","Weekday")</f>
        <v>Weekend</v>
      </c>
      <c r="I4779" t="str">
        <f>_xlfn.IFS(B4779&lt;=5,"Night (0-5)",B4779&lt;=9,"Morning peak (6-9)",B4779&lt;=15,"Midday (10-15)",B4779&lt;=19,"Evening peak (16-19)",TRUE,"Late evening (20-23)")</f>
        <v>Night (0-5)</v>
      </c>
    </row>
    <row r="4780" spans="1:9">
      <c r="A4780" s="32">
        <v>42021</v>
      </c>
      <c r="B4780">
        <v>3</v>
      </c>
      <c r="C4780">
        <v>1413</v>
      </c>
      <c r="D4780" t="s">
        <v>304</v>
      </c>
      <c r="E4780">
        <f>YEAR(A4780)</f>
        <v>2015</v>
      </c>
      <c r="F4780" s="33">
        <f>DATE(YEAR(A4780),MONTH(A4780),1)</f>
        <v>42005.0</v>
      </c>
      <c r="G4780" t="str">
        <f>CHOOSE(WEEKDAY(A4780,2),"Mon","Tue","Wed","Thu","Fri","Sat","Sun")</f>
        <v>Sat</v>
      </c>
      <c r="H4780" t="str">
        <f>IF(WEEKDAY(A4780,2)&gt;5,"Weekend","Weekday")</f>
        <v>Weekend</v>
      </c>
      <c r="I4780" t="str">
        <f>_xlfn.IFS(B4780&lt;=5,"Night (0-5)",B4780&lt;=9,"Morning peak (6-9)",B4780&lt;=15,"Midday (10-15)",B4780&lt;=19,"Evening peak (16-19)",TRUE,"Late evening (20-23)")</f>
        <v>Night (0-5)</v>
      </c>
    </row>
    <row r="4781" spans="1:9">
      <c r="A4781" s="32">
        <v>42021</v>
      </c>
      <c r="B4781">
        <v>4</v>
      </c>
      <c r="C4781">
        <v>1073</v>
      </c>
      <c r="D4781" t="s">
        <v>304</v>
      </c>
      <c r="E4781">
        <f>YEAR(A4781)</f>
        <v>2015</v>
      </c>
      <c r="F4781" s="33">
        <f>DATE(YEAR(A4781),MONTH(A4781),1)</f>
        <v>42005.0</v>
      </c>
      <c r="G4781" t="str">
        <f>CHOOSE(WEEKDAY(A4781,2),"Mon","Tue","Wed","Thu","Fri","Sat","Sun")</f>
        <v>Sat</v>
      </c>
      <c r="H4781" t="str">
        <f>IF(WEEKDAY(A4781,2)&gt;5,"Weekend","Weekday")</f>
        <v>Weekend</v>
      </c>
      <c r="I4781" t="str">
        <f>_xlfn.IFS(B4781&lt;=5,"Night (0-5)",B4781&lt;=9,"Morning peak (6-9)",B4781&lt;=15,"Midday (10-15)",B4781&lt;=19,"Evening peak (16-19)",TRUE,"Late evening (20-23)")</f>
        <v>Night (0-5)</v>
      </c>
    </row>
    <row r="4782" spans="1:9">
      <c r="A4782" s="32">
        <v>42021</v>
      </c>
      <c r="B4782">
        <v>5</v>
      </c>
      <c r="C4782">
        <v>815</v>
      </c>
      <c r="D4782" t="s">
        <v>304</v>
      </c>
      <c r="E4782">
        <f>YEAR(A4782)</f>
        <v>2015</v>
      </c>
      <c r="F4782" s="33">
        <f>DATE(YEAR(A4782),MONTH(A4782),1)</f>
        <v>42005.0</v>
      </c>
      <c r="G4782" t="str">
        <f>CHOOSE(WEEKDAY(A4782,2),"Mon","Tue","Wed","Thu","Fri","Sat","Sun")</f>
        <v>Sat</v>
      </c>
      <c r="H4782" t="str">
        <f>IF(WEEKDAY(A4782,2)&gt;5,"Weekend","Weekday")</f>
        <v>Weekend</v>
      </c>
      <c r="I4782" t="str">
        <f>_xlfn.IFS(B4782&lt;=5,"Night (0-5)",B4782&lt;=9,"Morning peak (6-9)",B4782&lt;=15,"Midday (10-15)",B4782&lt;=19,"Evening peak (16-19)",TRUE,"Late evening (20-23)")</f>
        <v>Night (0-5)</v>
      </c>
    </row>
    <row r="4783" spans="1:9">
      <c r="A4783" s="32">
        <v>42021</v>
      </c>
      <c r="B4783">
        <v>6</v>
      </c>
      <c r="C4783">
        <v>848</v>
      </c>
      <c r="D4783" t="s">
        <v>304</v>
      </c>
      <c r="E4783">
        <f>YEAR(A4783)</f>
        <v>2015</v>
      </c>
      <c r="F4783" s="33">
        <f>DATE(YEAR(A4783),MONTH(A4783),1)</f>
        <v>42005.0</v>
      </c>
      <c r="G4783" t="str">
        <f>CHOOSE(WEEKDAY(A4783,2),"Mon","Tue","Wed","Thu","Fri","Sat","Sun")</f>
        <v>Sat</v>
      </c>
      <c r="H4783" t="str">
        <f>IF(WEEKDAY(A4783,2)&gt;5,"Weekend","Weekday")</f>
        <v>Weekend</v>
      </c>
      <c r="I4783" t="str">
        <f>_xlfn.IFS(B4783&lt;=5,"Night (0-5)",B4783&lt;=9,"Morning peak (6-9)",B4783&lt;=15,"Midday (10-15)",B4783&lt;=19,"Evening peak (16-19)",TRUE,"Late evening (20-23)")</f>
        <v>Morning peak (6-9)</v>
      </c>
    </row>
    <row r="4784" spans="1:9">
      <c r="A4784" s="32">
        <v>42021</v>
      </c>
      <c r="B4784">
        <v>7</v>
      </c>
      <c r="C4784">
        <v>932</v>
      </c>
      <c r="D4784" t="s">
        <v>304</v>
      </c>
      <c r="E4784">
        <f>YEAR(A4784)</f>
        <v>2015</v>
      </c>
      <c r="F4784" s="33">
        <f>DATE(YEAR(A4784),MONTH(A4784),1)</f>
        <v>42005.0</v>
      </c>
      <c r="G4784" t="str">
        <f>CHOOSE(WEEKDAY(A4784,2),"Mon","Tue","Wed","Thu","Fri","Sat","Sun")</f>
        <v>Sat</v>
      </c>
      <c r="H4784" t="str">
        <f>IF(WEEKDAY(A4784,2)&gt;5,"Weekend","Weekday")</f>
        <v>Weekend</v>
      </c>
      <c r="I4784" t="str">
        <f>_xlfn.IFS(B4784&lt;=5,"Night (0-5)",B4784&lt;=9,"Morning peak (6-9)",B4784&lt;=15,"Midday (10-15)",B4784&lt;=19,"Evening peak (16-19)",TRUE,"Late evening (20-23)")</f>
        <v>Morning peak (6-9)</v>
      </c>
    </row>
    <row r="4785" spans="1:9">
      <c r="A4785" s="32">
        <v>42021</v>
      </c>
      <c r="B4785">
        <v>8</v>
      </c>
      <c r="C4785">
        <v>1310</v>
      </c>
      <c r="D4785" t="s">
        <v>304</v>
      </c>
      <c r="E4785">
        <f>YEAR(A4785)</f>
        <v>2015</v>
      </c>
      <c r="F4785" s="33">
        <f>DATE(YEAR(A4785),MONTH(A4785),1)</f>
        <v>42005.0</v>
      </c>
      <c r="G4785" t="str">
        <f>CHOOSE(WEEKDAY(A4785,2),"Mon","Tue","Wed","Thu","Fri","Sat","Sun")</f>
        <v>Sat</v>
      </c>
      <c r="H4785" t="str">
        <f>IF(WEEKDAY(A4785,2)&gt;5,"Weekend","Weekday")</f>
        <v>Weekend</v>
      </c>
      <c r="I4785" t="str">
        <f>_xlfn.IFS(B4785&lt;=5,"Night (0-5)",B4785&lt;=9,"Morning peak (6-9)",B4785&lt;=15,"Midday (10-15)",B4785&lt;=19,"Evening peak (16-19)",TRUE,"Late evening (20-23)")</f>
        <v>Morning peak (6-9)</v>
      </c>
    </row>
    <row r="4786" spans="1:9">
      <c r="A4786" s="32">
        <v>42021</v>
      </c>
      <c r="B4786">
        <v>9</v>
      </c>
      <c r="C4786">
        <v>1820</v>
      </c>
      <c r="D4786" t="s">
        <v>304</v>
      </c>
      <c r="E4786">
        <f>YEAR(A4786)</f>
        <v>2015</v>
      </c>
      <c r="F4786" s="33">
        <f>DATE(YEAR(A4786),MONTH(A4786),1)</f>
        <v>42005.0</v>
      </c>
      <c r="G4786" t="str">
        <f>CHOOSE(WEEKDAY(A4786,2),"Mon","Tue","Wed","Thu","Fri","Sat","Sun")</f>
        <v>Sat</v>
      </c>
      <c r="H4786" t="str">
        <f>IF(WEEKDAY(A4786,2)&gt;5,"Weekend","Weekday")</f>
        <v>Weekend</v>
      </c>
      <c r="I4786" t="str">
        <f>_xlfn.IFS(B4786&lt;=5,"Night (0-5)",B4786&lt;=9,"Morning peak (6-9)",B4786&lt;=15,"Midday (10-15)",B4786&lt;=19,"Evening peak (16-19)",TRUE,"Late evening (20-23)")</f>
        <v>Morning peak (6-9)</v>
      </c>
    </row>
    <row r="4787" spans="1:9">
      <c r="A4787" s="32">
        <v>42021</v>
      </c>
      <c r="B4787">
        <v>10</v>
      </c>
      <c r="C4787">
        <v>2232</v>
      </c>
      <c r="D4787" t="s">
        <v>304</v>
      </c>
      <c r="E4787">
        <f>YEAR(A4787)</f>
        <v>2015</v>
      </c>
      <c r="F4787" s="33">
        <f>DATE(YEAR(A4787),MONTH(A4787),1)</f>
        <v>42005.0</v>
      </c>
      <c r="G4787" t="str">
        <f>CHOOSE(WEEKDAY(A4787,2),"Mon","Tue","Wed","Thu","Fri","Sat","Sun")</f>
        <v>Sat</v>
      </c>
      <c r="H4787" t="str">
        <f>IF(WEEKDAY(A4787,2)&gt;5,"Weekend","Weekday")</f>
        <v>Weekend</v>
      </c>
      <c r="I4787" t="str">
        <f>_xlfn.IFS(B4787&lt;=5,"Night (0-5)",B4787&lt;=9,"Morning peak (6-9)",B4787&lt;=15,"Midday (10-15)",B4787&lt;=19,"Evening peak (16-19)",TRUE,"Late evening (20-23)")</f>
        <v>Midday (10-15)</v>
      </c>
    </row>
    <row r="4788" spans="1:9">
      <c r="A4788" s="32">
        <v>42021</v>
      </c>
      <c r="B4788">
        <v>11</v>
      </c>
      <c r="C4788">
        <v>2637</v>
      </c>
      <c r="D4788" t="s">
        <v>304</v>
      </c>
      <c r="E4788">
        <f>YEAR(A4788)</f>
        <v>2015</v>
      </c>
      <c r="F4788" s="33">
        <f>DATE(YEAR(A4788),MONTH(A4788),1)</f>
        <v>42005.0</v>
      </c>
      <c r="G4788" t="str">
        <f>CHOOSE(WEEKDAY(A4788,2),"Mon","Tue","Wed","Thu","Fri","Sat","Sun")</f>
        <v>Sat</v>
      </c>
      <c r="H4788" t="str">
        <f>IF(WEEKDAY(A4788,2)&gt;5,"Weekend","Weekday")</f>
        <v>Weekend</v>
      </c>
      <c r="I4788" t="str">
        <f>_xlfn.IFS(B4788&lt;=5,"Night (0-5)",B4788&lt;=9,"Morning peak (6-9)",B4788&lt;=15,"Midday (10-15)",B4788&lt;=19,"Evening peak (16-19)",TRUE,"Late evening (20-23)")</f>
        <v>Midday (10-15)</v>
      </c>
    </row>
    <row r="4789" spans="1:9">
      <c r="A4789" s="32">
        <v>42021</v>
      </c>
      <c r="B4789">
        <v>12</v>
      </c>
      <c r="C4789">
        <v>2899</v>
      </c>
      <c r="D4789" t="s">
        <v>304</v>
      </c>
      <c r="E4789">
        <f>YEAR(A4789)</f>
        <v>2015</v>
      </c>
      <c r="F4789" s="33">
        <f>DATE(YEAR(A4789),MONTH(A4789),1)</f>
        <v>42005.0</v>
      </c>
      <c r="G4789" t="str">
        <f>CHOOSE(WEEKDAY(A4789,2),"Mon","Tue","Wed","Thu","Fri","Sat","Sun")</f>
        <v>Sat</v>
      </c>
      <c r="H4789" t="str">
        <f>IF(WEEKDAY(A4789,2)&gt;5,"Weekend","Weekday")</f>
        <v>Weekend</v>
      </c>
      <c r="I4789" t="str">
        <f>_xlfn.IFS(B4789&lt;=5,"Night (0-5)",B4789&lt;=9,"Morning peak (6-9)",B4789&lt;=15,"Midday (10-15)",B4789&lt;=19,"Evening peak (16-19)",TRUE,"Late evening (20-23)")</f>
        <v>Midday (10-15)</v>
      </c>
    </row>
    <row r="4790" spans="1:9">
      <c r="A4790" s="32">
        <v>42021</v>
      </c>
      <c r="B4790">
        <v>13</v>
      </c>
      <c r="C4790">
        <v>2957</v>
      </c>
      <c r="D4790" t="s">
        <v>304</v>
      </c>
      <c r="E4790">
        <f>YEAR(A4790)</f>
        <v>2015</v>
      </c>
      <c r="F4790" s="33">
        <f>DATE(YEAR(A4790),MONTH(A4790),1)</f>
        <v>42005.0</v>
      </c>
      <c r="G4790" t="str">
        <f>CHOOSE(WEEKDAY(A4790,2),"Mon","Tue","Wed","Thu","Fri","Sat","Sun")</f>
        <v>Sat</v>
      </c>
      <c r="H4790" t="str">
        <f>IF(WEEKDAY(A4790,2)&gt;5,"Weekend","Weekday")</f>
        <v>Weekend</v>
      </c>
      <c r="I4790" t="str">
        <f>_xlfn.IFS(B4790&lt;=5,"Night (0-5)",B4790&lt;=9,"Morning peak (6-9)",B4790&lt;=15,"Midday (10-15)",B4790&lt;=19,"Evening peak (16-19)",TRUE,"Late evening (20-23)")</f>
        <v>Midday (10-15)</v>
      </c>
    </row>
    <row r="4791" spans="1:9">
      <c r="A4791" s="32">
        <v>42021</v>
      </c>
      <c r="B4791">
        <v>14</v>
      </c>
      <c r="C4791">
        <v>2902</v>
      </c>
      <c r="D4791" t="s">
        <v>304</v>
      </c>
      <c r="E4791">
        <f>YEAR(A4791)</f>
        <v>2015</v>
      </c>
      <c r="F4791" s="33">
        <f>DATE(YEAR(A4791),MONTH(A4791),1)</f>
        <v>42005.0</v>
      </c>
      <c r="G4791" t="str">
        <f>CHOOSE(WEEKDAY(A4791,2),"Mon","Tue","Wed","Thu","Fri","Sat","Sun")</f>
        <v>Sat</v>
      </c>
      <c r="H4791" t="str">
        <f>IF(WEEKDAY(A4791,2)&gt;5,"Weekend","Weekday")</f>
        <v>Weekend</v>
      </c>
      <c r="I4791" t="str">
        <f>_xlfn.IFS(B4791&lt;=5,"Night (0-5)",B4791&lt;=9,"Morning peak (6-9)",B4791&lt;=15,"Midday (10-15)",B4791&lt;=19,"Evening peak (16-19)",TRUE,"Late evening (20-23)")</f>
        <v>Midday (10-15)</v>
      </c>
    </row>
    <row r="4792" spans="1:9">
      <c r="A4792" s="32">
        <v>42021</v>
      </c>
      <c r="B4792">
        <v>15</v>
      </c>
      <c r="C4792">
        <v>3102</v>
      </c>
      <c r="D4792" t="s">
        <v>304</v>
      </c>
      <c r="E4792">
        <f>YEAR(A4792)</f>
        <v>2015</v>
      </c>
      <c r="F4792" s="33">
        <f>DATE(YEAR(A4792),MONTH(A4792),1)</f>
        <v>42005.0</v>
      </c>
      <c r="G4792" t="str">
        <f>CHOOSE(WEEKDAY(A4792,2),"Mon","Tue","Wed","Thu","Fri","Sat","Sun")</f>
        <v>Sat</v>
      </c>
      <c r="H4792" t="str">
        <f>IF(WEEKDAY(A4792,2)&gt;5,"Weekend","Weekday")</f>
        <v>Weekend</v>
      </c>
      <c r="I4792" t="str">
        <f>_xlfn.IFS(B4792&lt;=5,"Night (0-5)",B4792&lt;=9,"Morning peak (6-9)",B4792&lt;=15,"Midday (10-15)",B4792&lt;=19,"Evening peak (16-19)",TRUE,"Late evening (20-23)")</f>
        <v>Midday (10-15)</v>
      </c>
    </row>
    <row r="4793" spans="1:9">
      <c r="A4793" s="32">
        <v>42021</v>
      </c>
      <c r="B4793">
        <v>16</v>
      </c>
      <c r="C4793">
        <v>3798</v>
      </c>
      <c r="D4793" t="s">
        <v>304</v>
      </c>
      <c r="E4793">
        <f>YEAR(A4793)</f>
        <v>2015</v>
      </c>
      <c r="F4793" s="33">
        <f>DATE(YEAR(A4793),MONTH(A4793),1)</f>
        <v>42005.0</v>
      </c>
      <c r="G4793" t="str">
        <f>CHOOSE(WEEKDAY(A4793,2),"Mon","Tue","Wed","Thu","Fri","Sat","Sun")</f>
        <v>Sat</v>
      </c>
      <c r="H4793" t="str">
        <f>IF(WEEKDAY(A4793,2)&gt;5,"Weekend","Weekday")</f>
        <v>Weekend</v>
      </c>
      <c r="I4793" t="str">
        <f>_xlfn.IFS(B4793&lt;=5,"Night (0-5)",B4793&lt;=9,"Morning peak (6-9)",B4793&lt;=15,"Midday (10-15)",B4793&lt;=19,"Evening peak (16-19)",TRUE,"Late evening (20-23)")</f>
        <v>Evening peak (16-19)</v>
      </c>
    </row>
    <row r="4794" spans="1:9">
      <c r="A4794" s="32">
        <v>42021</v>
      </c>
      <c r="B4794">
        <v>17</v>
      </c>
      <c r="C4794">
        <v>4708</v>
      </c>
      <c r="D4794" t="s">
        <v>304</v>
      </c>
      <c r="E4794">
        <f>YEAR(A4794)</f>
        <v>2015</v>
      </c>
      <c r="F4794" s="33">
        <f>DATE(YEAR(A4794),MONTH(A4794),1)</f>
        <v>42005.0</v>
      </c>
      <c r="G4794" t="str">
        <f>CHOOSE(WEEKDAY(A4794,2),"Mon","Tue","Wed","Thu","Fri","Sat","Sun")</f>
        <v>Sat</v>
      </c>
      <c r="H4794" t="str">
        <f>IF(WEEKDAY(A4794,2)&gt;5,"Weekend","Weekday")</f>
        <v>Weekend</v>
      </c>
      <c r="I4794" t="str">
        <f>_xlfn.IFS(B4794&lt;=5,"Night (0-5)",B4794&lt;=9,"Morning peak (6-9)",B4794&lt;=15,"Midday (10-15)",B4794&lt;=19,"Evening peak (16-19)",TRUE,"Late evening (20-23)")</f>
        <v>Evening peak (16-19)</v>
      </c>
    </row>
    <row r="4795" spans="1:9">
      <c r="A4795" s="32">
        <v>42021</v>
      </c>
      <c r="B4795">
        <v>18</v>
      </c>
      <c r="C4795">
        <v>5380</v>
      </c>
      <c r="D4795" t="s">
        <v>304</v>
      </c>
      <c r="E4795">
        <f>YEAR(A4795)</f>
        <v>2015</v>
      </c>
      <c r="F4795" s="33">
        <f>DATE(YEAR(A4795),MONTH(A4795),1)</f>
        <v>42005.0</v>
      </c>
      <c r="G4795" t="str">
        <f>CHOOSE(WEEKDAY(A4795,2),"Mon","Tue","Wed","Thu","Fri","Sat","Sun")</f>
        <v>Sat</v>
      </c>
      <c r="H4795" t="str">
        <f>IF(WEEKDAY(A4795,2)&gt;5,"Weekend","Weekday")</f>
        <v>Weekend</v>
      </c>
      <c r="I4795" t="str">
        <f>_xlfn.IFS(B4795&lt;=5,"Night (0-5)",B4795&lt;=9,"Morning peak (6-9)",B4795&lt;=15,"Midday (10-15)",B4795&lt;=19,"Evening peak (16-19)",TRUE,"Late evening (20-23)")</f>
        <v>Evening peak (16-19)</v>
      </c>
    </row>
    <row r="4796" spans="1:9">
      <c r="A4796" s="32">
        <v>42021</v>
      </c>
      <c r="B4796">
        <v>19</v>
      </c>
      <c r="C4796">
        <v>5957</v>
      </c>
      <c r="D4796" t="s">
        <v>304</v>
      </c>
      <c r="E4796">
        <f>YEAR(A4796)</f>
        <v>2015</v>
      </c>
      <c r="F4796" s="33">
        <f>DATE(YEAR(A4796),MONTH(A4796),1)</f>
        <v>42005.0</v>
      </c>
      <c r="G4796" t="str">
        <f>CHOOSE(WEEKDAY(A4796,2),"Mon","Tue","Wed","Thu","Fri","Sat","Sun")</f>
        <v>Sat</v>
      </c>
      <c r="H4796" t="str">
        <f>IF(WEEKDAY(A4796,2)&gt;5,"Weekend","Weekday")</f>
        <v>Weekend</v>
      </c>
      <c r="I4796" t="str">
        <f>_xlfn.IFS(B4796&lt;=5,"Night (0-5)",B4796&lt;=9,"Morning peak (6-9)",B4796&lt;=15,"Midday (10-15)",B4796&lt;=19,"Evening peak (16-19)",TRUE,"Late evening (20-23)")</f>
        <v>Evening peak (16-19)</v>
      </c>
    </row>
    <row r="4797" spans="1:9">
      <c r="A4797" s="32">
        <v>42021</v>
      </c>
      <c r="B4797">
        <v>20</v>
      </c>
      <c r="C4797">
        <v>5274</v>
      </c>
      <c r="D4797" t="s">
        <v>304</v>
      </c>
      <c r="E4797">
        <f>YEAR(A4797)</f>
        <v>2015</v>
      </c>
      <c r="F4797" s="33">
        <f>DATE(YEAR(A4797),MONTH(A4797),1)</f>
        <v>42005.0</v>
      </c>
      <c r="G4797" t="str">
        <f>CHOOSE(WEEKDAY(A4797,2),"Mon","Tue","Wed","Thu","Fri","Sat","Sun")</f>
        <v>Sat</v>
      </c>
      <c r="H4797" t="str">
        <f>IF(WEEKDAY(A4797,2)&gt;5,"Weekend","Weekday")</f>
        <v>Weekend</v>
      </c>
      <c r="I4797" t="str">
        <f>_xlfn.IFS(B4797&lt;=5,"Night (0-5)",B4797&lt;=9,"Morning peak (6-9)",B4797&lt;=15,"Midday (10-15)",B4797&lt;=19,"Evening peak (16-19)",TRUE,"Late evening (20-23)")</f>
        <v>Late evening (20-23)</v>
      </c>
    </row>
    <row r="4798" spans="1:9">
      <c r="A4798" s="32">
        <v>42021</v>
      </c>
      <c r="B4798">
        <v>21</v>
      </c>
      <c r="C4798">
        <v>4719</v>
      </c>
      <c r="D4798" t="s">
        <v>304</v>
      </c>
      <c r="E4798">
        <f>YEAR(A4798)</f>
        <v>2015</v>
      </c>
      <c r="F4798" s="33">
        <f>DATE(YEAR(A4798),MONTH(A4798),1)</f>
        <v>42005.0</v>
      </c>
      <c r="G4798" t="str">
        <f>CHOOSE(WEEKDAY(A4798,2),"Mon","Tue","Wed","Thu","Fri","Sat","Sun")</f>
        <v>Sat</v>
      </c>
      <c r="H4798" t="str">
        <f>IF(WEEKDAY(A4798,2)&gt;5,"Weekend","Weekday")</f>
        <v>Weekend</v>
      </c>
      <c r="I4798" t="str">
        <f>_xlfn.IFS(B4798&lt;=5,"Night (0-5)",B4798&lt;=9,"Morning peak (6-9)",B4798&lt;=15,"Midday (10-15)",B4798&lt;=19,"Evening peak (16-19)",TRUE,"Late evening (20-23)")</f>
        <v>Late evening (20-23)</v>
      </c>
    </row>
    <row r="4799" spans="1:9">
      <c r="A4799" s="32">
        <v>42021</v>
      </c>
      <c r="B4799">
        <v>22</v>
      </c>
      <c r="C4799">
        <v>5310</v>
      </c>
      <c r="D4799" t="s">
        <v>304</v>
      </c>
      <c r="E4799">
        <f>YEAR(A4799)</f>
        <v>2015</v>
      </c>
      <c r="F4799" s="33">
        <f>DATE(YEAR(A4799),MONTH(A4799),1)</f>
        <v>42005.0</v>
      </c>
      <c r="G4799" t="str">
        <f>CHOOSE(WEEKDAY(A4799,2),"Mon","Tue","Wed","Thu","Fri","Sat","Sun")</f>
        <v>Sat</v>
      </c>
      <c r="H4799" t="str">
        <f>IF(WEEKDAY(A4799,2)&gt;5,"Weekend","Weekday")</f>
        <v>Weekend</v>
      </c>
      <c r="I4799" t="str">
        <f>_xlfn.IFS(B4799&lt;=5,"Night (0-5)",B4799&lt;=9,"Morning peak (6-9)",B4799&lt;=15,"Midday (10-15)",B4799&lt;=19,"Evening peak (16-19)",TRUE,"Late evening (20-23)")</f>
        <v>Late evening (20-23)</v>
      </c>
    </row>
    <row r="4800" spans="1:9">
      <c r="A4800" s="32">
        <v>42021</v>
      </c>
      <c r="B4800">
        <v>23</v>
      </c>
      <c r="C4800">
        <v>5459</v>
      </c>
      <c r="D4800" t="s">
        <v>304</v>
      </c>
      <c r="E4800">
        <f>YEAR(A4800)</f>
        <v>2015</v>
      </c>
      <c r="F4800" s="33">
        <f>DATE(YEAR(A4800),MONTH(A4800),1)</f>
        <v>42005.0</v>
      </c>
      <c r="G4800" t="str">
        <f>CHOOSE(WEEKDAY(A4800,2),"Mon","Tue","Wed","Thu","Fri","Sat","Sun")</f>
        <v>Sat</v>
      </c>
      <c r="H4800" t="str">
        <f>IF(WEEKDAY(A4800,2)&gt;5,"Weekend","Weekday")</f>
        <v>Weekend</v>
      </c>
      <c r="I4800" t="str">
        <f>_xlfn.IFS(B4800&lt;=5,"Night (0-5)",B4800&lt;=9,"Morning peak (6-9)",B4800&lt;=15,"Midday (10-15)",B4800&lt;=19,"Evening peak (16-19)",TRUE,"Late evening (20-23)")</f>
        <v>Late evening (20-23)</v>
      </c>
    </row>
    <row r="4801" spans="1:9">
      <c r="A4801" s="32">
        <v>42022</v>
      </c>
      <c r="B4801">
        <v>0</v>
      </c>
      <c r="C4801">
        <v>4787</v>
      </c>
      <c r="D4801" t="s">
        <v>304</v>
      </c>
      <c r="E4801">
        <f>YEAR(A4801)</f>
        <v>2015</v>
      </c>
      <c r="F4801" s="33">
        <f>DATE(YEAR(A4801),MONTH(A4801),1)</f>
        <v>42005.0</v>
      </c>
      <c r="G4801" t="str">
        <f>CHOOSE(WEEKDAY(A4801,2),"Mon","Tue","Wed","Thu","Fri","Sat","Sun")</f>
        <v>Sun</v>
      </c>
      <c r="H4801" t="str">
        <f>IF(WEEKDAY(A4801,2)&gt;5,"Weekend","Weekday")</f>
        <v>Weekend</v>
      </c>
      <c r="I4801" t="str">
        <f>_xlfn.IFS(B4801&lt;=5,"Night (0-5)",B4801&lt;=9,"Morning peak (6-9)",B4801&lt;=15,"Midday (10-15)",B4801&lt;=19,"Evening peak (16-19)",TRUE,"Late evening (20-23)")</f>
        <v>Night (0-5)</v>
      </c>
    </row>
    <row r="4802" spans="1:9">
      <c r="A4802" s="32">
        <v>42022</v>
      </c>
      <c r="B4802">
        <v>1</v>
      </c>
      <c r="C4802">
        <v>3514</v>
      </c>
      <c r="D4802" t="s">
        <v>304</v>
      </c>
      <c r="E4802">
        <f>YEAR(A4802)</f>
        <v>2015</v>
      </c>
      <c r="F4802" s="33">
        <f>DATE(YEAR(A4802),MONTH(A4802),1)</f>
        <v>42005.0</v>
      </c>
      <c r="G4802" t="str">
        <f>CHOOSE(WEEKDAY(A4802,2),"Mon","Tue","Wed","Thu","Fri","Sat","Sun")</f>
        <v>Sun</v>
      </c>
      <c r="H4802" t="str">
        <f>IF(WEEKDAY(A4802,2)&gt;5,"Weekend","Weekday")</f>
        <v>Weekend</v>
      </c>
      <c r="I4802" t="str">
        <f>_xlfn.IFS(B4802&lt;=5,"Night (0-5)",B4802&lt;=9,"Morning peak (6-9)",B4802&lt;=15,"Midday (10-15)",B4802&lt;=19,"Evening peak (16-19)",TRUE,"Late evening (20-23)")</f>
        <v>Night (0-5)</v>
      </c>
    </row>
    <row r="4803" spans="1:9">
      <c r="A4803" s="32">
        <v>42022</v>
      </c>
      <c r="B4803">
        <v>2</v>
      </c>
      <c r="C4803">
        <v>2679</v>
      </c>
      <c r="D4803" t="s">
        <v>304</v>
      </c>
      <c r="E4803">
        <f>YEAR(A4803)</f>
        <v>2015</v>
      </c>
      <c r="F4803" s="33">
        <f>DATE(YEAR(A4803),MONTH(A4803),1)</f>
        <v>42005.0</v>
      </c>
      <c r="G4803" t="str">
        <f>CHOOSE(WEEKDAY(A4803,2),"Mon","Tue","Wed","Thu","Fri","Sat","Sun")</f>
        <v>Sun</v>
      </c>
      <c r="H4803" t="str">
        <f>IF(WEEKDAY(A4803,2)&gt;5,"Weekend","Weekday")</f>
        <v>Weekend</v>
      </c>
      <c r="I4803" t="str">
        <f>_xlfn.IFS(B4803&lt;=5,"Night (0-5)",B4803&lt;=9,"Morning peak (6-9)",B4803&lt;=15,"Midday (10-15)",B4803&lt;=19,"Evening peak (16-19)",TRUE,"Late evening (20-23)")</f>
        <v>Night (0-5)</v>
      </c>
    </row>
    <row r="4804" spans="1:9">
      <c r="A4804" s="32">
        <v>42022</v>
      </c>
      <c r="B4804">
        <v>3</v>
      </c>
      <c r="C4804">
        <v>1828</v>
      </c>
      <c r="D4804" t="s">
        <v>304</v>
      </c>
      <c r="E4804">
        <f>YEAR(A4804)</f>
        <v>2015</v>
      </c>
      <c r="F4804" s="33">
        <f>DATE(YEAR(A4804),MONTH(A4804),1)</f>
        <v>42005.0</v>
      </c>
      <c r="G4804" t="str">
        <f>CHOOSE(WEEKDAY(A4804,2),"Mon","Tue","Wed","Thu","Fri","Sat","Sun")</f>
        <v>Sun</v>
      </c>
      <c r="H4804" t="str">
        <f>IF(WEEKDAY(A4804,2)&gt;5,"Weekend","Weekday")</f>
        <v>Weekend</v>
      </c>
      <c r="I4804" t="str">
        <f>_xlfn.IFS(B4804&lt;=5,"Night (0-5)",B4804&lt;=9,"Morning peak (6-9)",B4804&lt;=15,"Midday (10-15)",B4804&lt;=19,"Evening peak (16-19)",TRUE,"Late evening (20-23)")</f>
        <v>Night (0-5)</v>
      </c>
    </row>
    <row r="4805" spans="1:9">
      <c r="A4805" s="32">
        <v>42022</v>
      </c>
      <c r="B4805">
        <v>4</v>
      </c>
      <c r="C4805">
        <v>1108</v>
      </c>
      <c r="D4805" t="s">
        <v>304</v>
      </c>
      <c r="E4805">
        <f>YEAR(A4805)</f>
        <v>2015</v>
      </c>
      <c r="F4805" s="33">
        <f>DATE(YEAR(A4805),MONTH(A4805),1)</f>
        <v>42005.0</v>
      </c>
      <c r="G4805" t="str">
        <f>CHOOSE(WEEKDAY(A4805,2),"Mon","Tue","Wed","Thu","Fri","Sat","Sun")</f>
        <v>Sun</v>
      </c>
      <c r="H4805" t="str">
        <f>IF(WEEKDAY(A4805,2)&gt;5,"Weekend","Weekday")</f>
        <v>Weekend</v>
      </c>
      <c r="I4805" t="str">
        <f>_xlfn.IFS(B4805&lt;=5,"Night (0-5)",B4805&lt;=9,"Morning peak (6-9)",B4805&lt;=15,"Midday (10-15)",B4805&lt;=19,"Evening peak (16-19)",TRUE,"Late evening (20-23)")</f>
        <v>Night (0-5)</v>
      </c>
    </row>
    <row r="4806" spans="1:9">
      <c r="A4806" s="32">
        <v>42022</v>
      </c>
      <c r="B4806">
        <v>5</v>
      </c>
      <c r="C4806">
        <v>697</v>
      </c>
      <c r="D4806" t="s">
        <v>304</v>
      </c>
      <c r="E4806">
        <f>YEAR(A4806)</f>
        <v>2015</v>
      </c>
      <c r="F4806" s="33">
        <f>DATE(YEAR(A4806),MONTH(A4806),1)</f>
        <v>42005.0</v>
      </c>
      <c r="G4806" t="str">
        <f>CHOOSE(WEEKDAY(A4806,2),"Mon","Tue","Wed","Thu","Fri","Sat","Sun")</f>
        <v>Sun</v>
      </c>
      <c r="H4806" t="str">
        <f>IF(WEEKDAY(A4806,2)&gt;5,"Weekend","Weekday")</f>
        <v>Weekend</v>
      </c>
      <c r="I4806" t="str">
        <f>_xlfn.IFS(B4806&lt;=5,"Night (0-5)",B4806&lt;=9,"Morning peak (6-9)",B4806&lt;=15,"Midday (10-15)",B4806&lt;=19,"Evening peak (16-19)",TRUE,"Late evening (20-23)")</f>
        <v>Night (0-5)</v>
      </c>
    </row>
    <row r="4807" spans="1:9">
      <c r="A4807" s="32">
        <v>42022</v>
      </c>
      <c r="B4807">
        <v>6</v>
      </c>
      <c r="C4807">
        <v>566</v>
      </c>
      <c r="D4807" t="s">
        <v>304</v>
      </c>
      <c r="E4807">
        <f>YEAR(A4807)</f>
        <v>2015</v>
      </c>
      <c r="F4807" s="33">
        <f>DATE(YEAR(A4807),MONTH(A4807),1)</f>
        <v>42005.0</v>
      </c>
      <c r="G4807" t="str">
        <f>CHOOSE(WEEKDAY(A4807,2),"Mon","Tue","Wed","Thu","Fri","Sat","Sun")</f>
        <v>Sun</v>
      </c>
      <c r="H4807" t="str">
        <f>IF(WEEKDAY(A4807,2)&gt;5,"Weekend","Weekday")</f>
        <v>Weekend</v>
      </c>
      <c r="I4807" t="str">
        <f>_xlfn.IFS(B4807&lt;=5,"Night (0-5)",B4807&lt;=9,"Morning peak (6-9)",B4807&lt;=15,"Midday (10-15)",B4807&lt;=19,"Evening peak (16-19)",TRUE,"Late evening (20-23)")</f>
        <v>Morning peak (6-9)</v>
      </c>
    </row>
    <row r="4808" spans="1:9">
      <c r="A4808" s="32">
        <v>42022</v>
      </c>
      <c r="B4808">
        <v>7</v>
      </c>
      <c r="C4808">
        <v>698</v>
      </c>
      <c r="D4808" t="s">
        <v>304</v>
      </c>
      <c r="E4808">
        <f>YEAR(A4808)</f>
        <v>2015</v>
      </c>
      <c r="F4808" s="33">
        <f>DATE(YEAR(A4808),MONTH(A4808),1)</f>
        <v>42005.0</v>
      </c>
      <c r="G4808" t="str">
        <f>CHOOSE(WEEKDAY(A4808,2),"Mon","Tue","Wed","Thu","Fri","Sat","Sun")</f>
        <v>Sun</v>
      </c>
      <c r="H4808" t="str">
        <f>IF(WEEKDAY(A4808,2)&gt;5,"Weekend","Weekday")</f>
        <v>Weekend</v>
      </c>
      <c r="I4808" t="str">
        <f>_xlfn.IFS(B4808&lt;=5,"Night (0-5)",B4808&lt;=9,"Morning peak (6-9)",B4808&lt;=15,"Midday (10-15)",B4808&lt;=19,"Evening peak (16-19)",TRUE,"Late evening (20-23)")</f>
        <v>Morning peak (6-9)</v>
      </c>
    </row>
    <row r="4809" spans="1:9">
      <c r="A4809" s="32">
        <v>42022</v>
      </c>
      <c r="B4809">
        <v>8</v>
      </c>
      <c r="C4809">
        <v>1011</v>
      </c>
      <c r="D4809" t="s">
        <v>304</v>
      </c>
      <c r="E4809">
        <f>YEAR(A4809)</f>
        <v>2015</v>
      </c>
      <c r="F4809" s="33">
        <f>DATE(YEAR(A4809),MONTH(A4809),1)</f>
        <v>42005.0</v>
      </c>
      <c r="G4809" t="str">
        <f>CHOOSE(WEEKDAY(A4809,2),"Mon","Tue","Wed","Thu","Fri","Sat","Sun")</f>
        <v>Sun</v>
      </c>
      <c r="H4809" t="str">
        <f>IF(WEEKDAY(A4809,2)&gt;5,"Weekend","Weekday")</f>
        <v>Weekend</v>
      </c>
      <c r="I4809" t="str">
        <f>_xlfn.IFS(B4809&lt;=5,"Night (0-5)",B4809&lt;=9,"Morning peak (6-9)",B4809&lt;=15,"Midday (10-15)",B4809&lt;=19,"Evening peak (16-19)",TRUE,"Late evening (20-23)")</f>
        <v>Morning peak (6-9)</v>
      </c>
    </row>
    <row r="4810" spans="1:9">
      <c r="A4810" s="32">
        <v>42022</v>
      </c>
      <c r="B4810">
        <v>9</v>
      </c>
      <c r="C4810">
        <v>1641</v>
      </c>
      <c r="D4810" t="s">
        <v>304</v>
      </c>
      <c r="E4810">
        <f>YEAR(A4810)</f>
        <v>2015</v>
      </c>
      <c r="F4810" s="33">
        <f>DATE(YEAR(A4810),MONTH(A4810),1)</f>
        <v>42005.0</v>
      </c>
      <c r="G4810" t="str">
        <f>CHOOSE(WEEKDAY(A4810,2),"Mon","Tue","Wed","Thu","Fri","Sat","Sun")</f>
        <v>Sun</v>
      </c>
      <c r="H4810" t="str">
        <f>IF(WEEKDAY(A4810,2)&gt;5,"Weekend","Weekday")</f>
        <v>Weekend</v>
      </c>
      <c r="I4810" t="str">
        <f>_xlfn.IFS(B4810&lt;=5,"Night (0-5)",B4810&lt;=9,"Morning peak (6-9)",B4810&lt;=15,"Midday (10-15)",B4810&lt;=19,"Evening peak (16-19)",TRUE,"Late evening (20-23)")</f>
        <v>Morning peak (6-9)</v>
      </c>
    </row>
    <row r="4811" spans="1:9">
      <c r="A4811" s="32">
        <v>42022</v>
      </c>
      <c r="B4811">
        <v>10</v>
      </c>
      <c r="C4811">
        <v>2589</v>
      </c>
      <c r="D4811" t="s">
        <v>304</v>
      </c>
      <c r="E4811">
        <f>YEAR(A4811)</f>
        <v>2015</v>
      </c>
      <c r="F4811" s="33">
        <f>DATE(YEAR(A4811),MONTH(A4811),1)</f>
        <v>42005.0</v>
      </c>
      <c r="G4811" t="str">
        <f>CHOOSE(WEEKDAY(A4811,2),"Mon","Tue","Wed","Thu","Fri","Sat","Sun")</f>
        <v>Sun</v>
      </c>
      <c r="H4811" t="str">
        <f>IF(WEEKDAY(A4811,2)&gt;5,"Weekend","Weekday")</f>
        <v>Weekend</v>
      </c>
      <c r="I4811" t="str">
        <f>_xlfn.IFS(B4811&lt;=5,"Night (0-5)",B4811&lt;=9,"Morning peak (6-9)",B4811&lt;=15,"Midday (10-15)",B4811&lt;=19,"Evening peak (16-19)",TRUE,"Late evening (20-23)")</f>
        <v>Midday (10-15)</v>
      </c>
    </row>
    <row r="4812" spans="1:9">
      <c r="A4812" s="32">
        <v>42022</v>
      </c>
      <c r="B4812">
        <v>11</v>
      </c>
      <c r="C4812">
        <v>3594</v>
      </c>
      <c r="D4812" t="s">
        <v>304</v>
      </c>
      <c r="E4812">
        <f>YEAR(A4812)</f>
        <v>2015</v>
      </c>
      <c r="F4812" s="33">
        <f>DATE(YEAR(A4812),MONTH(A4812),1)</f>
        <v>42005.0</v>
      </c>
      <c r="G4812" t="str">
        <f>CHOOSE(WEEKDAY(A4812,2),"Mon","Tue","Wed","Thu","Fri","Sat","Sun")</f>
        <v>Sun</v>
      </c>
      <c r="H4812" t="str">
        <f>IF(WEEKDAY(A4812,2)&gt;5,"Weekend","Weekday")</f>
        <v>Weekend</v>
      </c>
      <c r="I4812" t="str">
        <f>_xlfn.IFS(B4812&lt;=5,"Night (0-5)",B4812&lt;=9,"Morning peak (6-9)",B4812&lt;=15,"Midday (10-15)",B4812&lt;=19,"Evening peak (16-19)",TRUE,"Late evening (20-23)")</f>
        <v>Midday (10-15)</v>
      </c>
    </row>
    <row r="4813" spans="1:9">
      <c r="A4813" s="32">
        <v>42022</v>
      </c>
      <c r="B4813">
        <v>12</v>
      </c>
      <c r="C4813">
        <v>4367</v>
      </c>
      <c r="D4813" t="s">
        <v>304</v>
      </c>
      <c r="E4813">
        <f>YEAR(A4813)</f>
        <v>2015</v>
      </c>
      <c r="F4813" s="33">
        <f>DATE(YEAR(A4813),MONTH(A4813),1)</f>
        <v>42005.0</v>
      </c>
      <c r="G4813" t="str">
        <f>CHOOSE(WEEKDAY(A4813,2),"Mon","Tue","Wed","Thu","Fri","Sat","Sun")</f>
        <v>Sun</v>
      </c>
      <c r="H4813" t="str">
        <f>IF(WEEKDAY(A4813,2)&gt;5,"Weekend","Weekday")</f>
        <v>Weekend</v>
      </c>
      <c r="I4813" t="str">
        <f>_xlfn.IFS(B4813&lt;=5,"Night (0-5)",B4813&lt;=9,"Morning peak (6-9)",B4813&lt;=15,"Midday (10-15)",B4813&lt;=19,"Evening peak (16-19)",TRUE,"Late evening (20-23)")</f>
        <v>Midday (10-15)</v>
      </c>
    </row>
    <row r="4814" spans="1:9">
      <c r="A4814" s="32">
        <v>42022</v>
      </c>
      <c r="B4814">
        <v>13</v>
      </c>
      <c r="C4814">
        <v>4575</v>
      </c>
      <c r="D4814" t="s">
        <v>304</v>
      </c>
      <c r="E4814">
        <f>YEAR(A4814)</f>
        <v>2015</v>
      </c>
      <c r="F4814" s="33">
        <f>DATE(YEAR(A4814),MONTH(A4814),1)</f>
        <v>42005.0</v>
      </c>
      <c r="G4814" t="str">
        <f>CHOOSE(WEEKDAY(A4814,2),"Mon","Tue","Wed","Thu","Fri","Sat","Sun")</f>
        <v>Sun</v>
      </c>
      <c r="H4814" t="str">
        <f>IF(WEEKDAY(A4814,2)&gt;5,"Weekend","Weekday")</f>
        <v>Weekend</v>
      </c>
      <c r="I4814" t="str">
        <f>_xlfn.IFS(B4814&lt;=5,"Night (0-5)",B4814&lt;=9,"Morning peak (6-9)",B4814&lt;=15,"Midday (10-15)",B4814&lt;=19,"Evening peak (16-19)",TRUE,"Late evening (20-23)")</f>
        <v>Midday (10-15)</v>
      </c>
    </row>
    <row r="4815" spans="1:9">
      <c r="A4815" s="32">
        <v>42022</v>
      </c>
      <c r="B4815">
        <v>14</v>
      </c>
      <c r="C4815">
        <v>5186</v>
      </c>
      <c r="D4815" t="s">
        <v>304</v>
      </c>
      <c r="E4815">
        <f>YEAR(A4815)</f>
        <v>2015</v>
      </c>
      <c r="F4815" s="33">
        <f>DATE(YEAR(A4815),MONTH(A4815),1)</f>
        <v>42005.0</v>
      </c>
      <c r="G4815" t="str">
        <f>CHOOSE(WEEKDAY(A4815,2),"Mon","Tue","Wed","Thu","Fri","Sat","Sun")</f>
        <v>Sun</v>
      </c>
      <c r="H4815" t="str">
        <f>IF(WEEKDAY(A4815,2)&gt;5,"Weekend","Weekday")</f>
        <v>Weekend</v>
      </c>
      <c r="I4815" t="str">
        <f>_xlfn.IFS(B4815&lt;=5,"Night (0-5)",B4815&lt;=9,"Morning peak (6-9)",B4815&lt;=15,"Midday (10-15)",B4815&lt;=19,"Evening peak (16-19)",TRUE,"Late evening (20-23)")</f>
        <v>Midday (10-15)</v>
      </c>
    </row>
    <row r="4816" spans="1:9">
      <c r="A4816" s="32">
        <v>42022</v>
      </c>
      <c r="B4816">
        <v>15</v>
      </c>
      <c r="C4816">
        <v>5118</v>
      </c>
      <c r="D4816" t="s">
        <v>304</v>
      </c>
      <c r="E4816">
        <f>YEAR(A4816)</f>
        <v>2015</v>
      </c>
      <c r="F4816" s="33">
        <f>DATE(YEAR(A4816),MONTH(A4816),1)</f>
        <v>42005.0</v>
      </c>
      <c r="G4816" t="str">
        <f>CHOOSE(WEEKDAY(A4816,2),"Mon","Tue","Wed","Thu","Fri","Sat","Sun")</f>
        <v>Sun</v>
      </c>
      <c r="H4816" t="str">
        <f>IF(WEEKDAY(A4816,2)&gt;5,"Weekend","Weekday")</f>
        <v>Weekend</v>
      </c>
      <c r="I4816" t="str">
        <f>_xlfn.IFS(B4816&lt;=5,"Night (0-5)",B4816&lt;=9,"Morning peak (6-9)",B4816&lt;=15,"Midday (10-15)",B4816&lt;=19,"Evening peak (16-19)",TRUE,"Late evening (20-23)")</f>
        <v>Midday (10-15)</v>
      </c>
    </row>
    <row r="4817" spans="1:9">
      <c r="A4817" s="32">
        <v>42022</v>
      </c>
      <c r="B4817">
        <v>16</v>
      </c>
      <c r="C4817">
        <v>4909</v>
      </c>
      <c r="D4817" t="s">
        <v>304</v>
      </c>
      <c r="E4817">
        <f>YEAR(A4817)</f>
        <v>2015</v>
      </c>
      <c r="F4817" s="33">
        <f>DATE(YEAR(A4817),MONTH(A4817),1)</f>
        <v>42005.0</v>
      </c>
      <c r="G4817" t="str">
        <f>CHOOSE(WEEKDAY(A4817,2),"Mon","Tue","Wed","Thu","Fri","Sat","Sun")</f>
        <v>Sun</v>
      </c>
      <c r="H4817" t="str">
        <f>IF(WEEKDAY(A4817,2)&gt;5,"Weekend","Weekday")</f>
        <v>Weekend</v>
      </c>
      <c r="I4817" t="str">
        <f>_xlfn.IFS(B4817&lt;=5,"Night (0-5)",B4817&lt;=9,"Morning peak (6-9)",B4817&lt;=15,"Midday (10-15)",B4817&lt;=19,"Evening peak (16-19)",TRUE,"Late evening (20-23)")</f>
        <v>Evening peak (16-19)</v>
      </c>
    </row>
    <row r="4818" spans="1:9">
      <c r="A4818" s="32">
        <v>42022</v>
      </c>
      <c r="B4818">
        <v>17</v>
      </c>
      <c r="C4818">
        <v>4839</v>
      </c>
      <c r="D4818" t="s">
        <v>304</v>
      </c>
      <c r="E4818">
        <f>YEAR(A4818)</f>
        <v>2015</v>
      </c>
      <c r="F4818" s="33">
        <f>DATE(YEAR(A4818),MONTH(A4818),1)</f>
        <v>42005.0</v>
      </c>
      <c r="G4818" t="str">
        <f>CHOOSE(WEEKDAY(A4818,2),"Mon","Tue","Wed","Thu","Fri","Sat","Sun")</f>
        <v>Sun</v>
      </c>
      <c r="H4818" t="str">
        <f>IF(WEEKDAY(A4818,2)&gt;5,"Weekend","Weekday")</f>
        <v>Weekend</v>
      </c>
      <c r="I4818" t="str">
        <f>_xlfn.IFS(B4818&lt;=5,"Night (0-5)",B4818&lt;=9,"Morning peak (6-9)",B4818&lt;=15,"Midday (10-15)",B4818&lt;=19,"Evening peak (16-19)",TRUE,"Late evening (20-23)")</f>
        <v>Evening peak (16-19)</v>
      </c>
    </row>
    <row r="4819" spans="1:9">
      <c r="A4819" s="32">
        <v>42022</v>
      </c>
      <c r="B4819">
        <v>18</v>
      </c>
      <c r="C4819">
        <v>4929</v>
      </c>
      <c r="D4819" t="s">
        <v>304</v>
      </c>
      <c r="E4819">
        <f>YEAR(A4819)</f>
        <v>2015</v>
      </c>
      <c r="F4819" s="33">
        <f>DATE(YEAR(A4819),MONTH(A4819),1)</f>
        <v>42005.0</v>
      </c>
      <c r="G4819" t="str">
        <f>CHOOSE(WEEKDAY(A4819,2),"Mon","Tue","Wed","Thu","Fri","Sat","Sun")</f>
        <v>Sun</v>
      </c>
      <c r="H4819" t="str">
        <f>IF(WEEKDAY(A4819,2)&gt;5,"Weekend","Weekday")</f>
        <v>Weekend</v>
      </c>
      <c r="I4819" t="str">
        <f>_xlfn.IFS(B4819&lt;=5,"Night (0-5)",B4819&lt;=9,"Morning peak (6-9)",B4819&lt;=15,"Midday (10-15)",B4819&lt;=19,"Evening peak (16-19)",TRUE,"Late evening (20-23)")</f>
        <v>Evening peak (16-19)</v>
      </c>
    </row>
    <row r="4820" spans="1:9">
      <c r="A4820" s="32">
        <v>42022</v>
      </c>
      <c r="B4820">
        <v>19</v>
      </c>
      <c r="C4820">
        <v>3897</v>
      </c>
      <c r="D4820" t="s">
        <v>304</v>
      </c>
      <c r="E4820">
        <f>YEAR(A4820)</f>
        <v>2015</v>
      </c>
      <c r="F4820" s="33">
        <f>DATE(YEAR(A4820),MONTH(A4820),1)</f>
        <v>42005.0</v>
      </c>
      <c r="G4820" t="str">
        <f>CHOOSE(WEEKDAY(A4820,2),"Mon","Tue","Wed","Thu","Fri","Sat","Sun")</f>
        <v>Sun</v>
      </c>
      <c r="H4820" t="str">
        <f>IF(WEEKDAY(A4820,2)&gt;5,"Weekend","Weekday")</f>
        <v>Weekend</v>
      </c>
      <c r="I4820" t="str">
        <f>_xlfn.IFS(B4820&lt;=5,"Night (0-5)",B4820&lt;=9,"Morning peak (6-9)",B4820&lt;=15,"Midday (10-15)",B4820&lt;=19,"Evening peak (16-19)",TRUE,"Late evening (20-23)")</f>
        <v>Evening peak (16-19)</v>
      </c>
    </row>
    <row r="4821" spans="1:9">
      <c r="A4821" s="32">
        <v>42022</v>
      </c>
      <c r="B4821">
        <v>20</v>
      </c>
      <c r="C4821">
        <v>3212</v>
      </c>
      <c r="D4821" t="s">
        <v>304</v>
      </c>
      <c r="E4821">
        <f>YEAR(A4821)</f>
        <v>2015</v>
      </c>
      <c r="F4821" s="33">
        <f>DATE(YEAR(A4821),MONTH(A4821),1)</f>
        <v>42005.0</v>
      </c>
      <c r="G4821" t="str">
        <f>CHOOSE(WEEKDAY(A4821,2),"Mon","Tue","Wed","Thu","Fri","Sat","Sun")</f>
        <v>Sun</v>
      </c>
      <c r="H4821" t="str">
        <f>IF(WEEKDAY(A4821,2)&gt;5,"Weekend","Weekday")</f>
        <v>Weekend</v>
      </c>
      <c r="I4821" t="str">
        <f>_xlfn.IFS(B4821&lt;=5,"Night (0-5)",B4821&lt;=9,"Morning peak (6-9)",B4821&lt;=15,"Midday (10-15)",B4821&lt;=19,"Evening peak (16-19)",TRUE,"Late evening (20-23)")</f>
        <v>Late evening (20-23)</v>
      </c>
    </row>
    <row r="4822" spans="1:9">
      <c r="A4822" s="32">
        <v>42022</v>
      </c>
      <c r="B4822">
        <v>21</v>
      </c>
      <c r="C4822">
        <v>3229</v>
      </c>
      <c r="D4822" t="s">
        <v>304</v>
      </c>
      <c r="E4822">
        <f>YEAR(A4822)</f>
        <v>2015</v>
      </c>
      <c r="F4822" s="33">
        <f>DATE(YEAR(A4822),MONTH(A4822),1)</f>
        <v>42005.0</v>
      </c>
      <c r="G4822" t="str">
        <f>CHOOSE(WEEKDAY(A4822,2),"Mon","Tue","Wed","Thu","Fri","Sat","Sun")</f>
        <v>Sun</v>
      </c>
      <c r="H4822" t="str">
        <f>IF(WEEKDAY(A4822,2)&gt;5,"Weekend","Weekday")</f>
        <v>Weekend</v>
      </c>
      <c r="I4822" t="str">
        <f>_xlfn.IFS(B4822&lt;=5,"Night (0-5)",B4822&lt;=9,"Morning peak (6-9)",B4822&lt;=15,"Midday (10-15)",B4822&lt;=19,"Evening peak (16-19)",TRUE,"Late evening (20-23)")</f>
        <v>Late evening (20-23)</v>
      </c>
    </row>
    <row r="4823" spans="1:9">
      <c r="A4823" s="32">
        <v>42022</v>
      </c>
      <c r="B4823">
        <v>22</v>
      </c>
      <c r="C4823">
        <v>3145</v>
      </c>
      <c r="D4823" t="s">
        <v>304</v>
      </c>
      <c r="E4823">
        <f>YEAR(A4823)</f>
        <v>2015</v>
      </c>
      <c r="F4823" s="33">
        <f>DATE(YEAR(A4823),MONTH(A4823),1)</f>
        <v>42005.0</v>
      </c>
      <c r="G4823" t="str">
        <f>CHOOSE(WEEKDAY(A4823,2),"Mon","Tue","Wed","Thu","Fri","Sat","Sun")</f>
        <v>Sun</v>
      </c>
      <c r="H4823" t="str">
        <f>IF(WEEKDAY(A4823,2)&gt;5,"Weekend","Weekday")</f>
        <v>Weekend</v>
      </c>
      <c r="I4823" t="str">
        <f>_xlfn.IFS(B4823&lt;=5,"Night (0-5)",B4823&lt;=9,"Morning peak (6-9)",B4823&lt;=15,"Midday (10-15)",B4823&lt;=19,"Evening peak (16-19)",TRUE,"Late evening (20-23)")</f>
        <v>Late evening (20-23)</v>
      </c>
    </row>
    <row r="4824" spans="1:9">
      <c r="A4824" s="32">
        <v>42022</v>
      </c>
      <c r="B4824">
        <v>23</v>
      </c>
      <c r="C4824">
        <v>2405</v>
      </c>
      <c r="D4824" t="s">
        <v>304</v>
      </c>
      <c r="E4824">
        <f>YEAR(A4824)</f>
        <v>2015</v>
      </c>
      <c r="F4824" s="33">
        <f>DATE(YEAR(A4824),MONTH(A4824),1)</f>
        <v>42005.0</v>
      </c>
      <c r="G4824" t="str">
        <f>CHOOSE(WEEKDAY(A4824,2),"Mon","Tue","Wed","Thu","Fri","Sat","Sun")</f>
        <v>Sun</v>
      </c>
      <c r="H4824" t="str">
        <f>IF(WEEKDAY(A4824,2)&gt;5,"Weekend","Weekday")</f>
        <v>Weekend</v>
      </c>
      <c r="I4824" t="str">
        <f>_xlfn.IFS(B4824&lt;=5,"Night (0-5)",B4824&lt;=9,"Morning peak (6-9)",B4824&lt;=15,"Midday (10-15)",B4824&lt;=19,"Evening peak (16-19)",TRUE,"Late evening (20-23)")</f>
        <v>Late evening (20-23)</v>
      </c>
    </row>
    <row r="4825" spans="1:9">
      <c r="A4825" s="32">
        <v>42023</v>
      </c>
      <c r="B4825">
        <v>0</v>
      </c>
      <c r="C4825">
        <v>1772</v>
      </c>
      <c r="D4825" t="s">
        <v>304</v>
      </c>
      <c r="E4825">
        <f>YEAR(A4825)</f>
        <v>2015</v>
      </c>
      <c r="F4825" s="33">
        <f>DATE(YEAR(A4825),MONTH(A4825),1)</f>
        <v>42005.0</v>
      </c>
      <c r="G4825" t="str">
        <f>CHOOSE(WEEKDAY(A4825,2),"Mon","Tue","Wed","Thu","Fri","Sat","Sun")</f>
        <v>Mon</v>
      </c>
      <c r="H4825" t="str">
        <f>IF(WEEKDAY(A4825,2)&gt;5,"Weekend","Weekday")</f>
        <v>Weekday</v>
      </c>
      <c r="I4825" t="str">
        <f>_xlfn.IFS(B4825&lt;=5,"Night (0-5)",B4825&lt;=9,"Morning peak (6-9)",B4825&lt;=15,"Midday (10-15)",B4825&lt;=19,"Evening peak (16-19)",TRUE,"Late evening (20-23)")</f>
        <v>Night (0-5)</v>
      </c>
    </row>
    <row r="4826" spans="1:9">
      <c r="A4826" s="32">
        <v>42023</v>
      </c>
      <c r="B4826">
        <v>1</v>
      </c>
      <c r="C4826">
        <v>1171</v>
      </c>
      <c r="D4826" t="s">
        <v>304</v>
      </c>
      <c r="E4826">
        <f>YEAR(A4826)</f>
        <v>2015</v>
      </c>
      <c r="F4826" s="33">
        <f>DATE(YEAR(A4826),MONTH(A4826),1)</f>
        <v>42005.0</v>
      </c>
      <c r="G4826" t="str">
        <f>CHOOSE(WEEKDAY(A4826,2),"Mon","Tue","Wed","Thu","Fri","Sat","Sun")</f>
        <v>Mon</v>
      </c>
      <c r="H4826" t="str">
        <f>IF(WEEKDAY(A4826,2)&gt;5,"Weekend","Weekday")</f>
        <v>Weekday</v>
      </c>
      <c r="I4826" t="str">
        <f>_xlfn.IFS(B4826&lt;=5,"Night (0-5)",B4826&lt;=9,"Morning peak (6-9)",B4826&lt;=15,"Midday (10-15)",B4826&lt;=19,"Evening peak (16-19)",TRUE,"Late evening (20-23)")</f>
        <v>Night (0-5)</v>
      </c>
    </row>
    <row r="4827" spans="1:9">
      <c r="A4827" s="32">
        <v>42023</v>
      </c>
      <c r="B4827">
        <v>2</v>
      </c>
      <c r="C4827">
        <v>783</v>
      </c>
      <c r="D4827" t="s">
        <v>304</v>
      </c>
      <c r="E4827">
        <f>YEAR(A4827)</f>
        <v>2015</v>
      </c>
      <c r="F4827" s="33">
        <f>DATE(YEAR(A4827),MONTH(A4827),1)</f>
        <v>42005.0</v>
      </c>
      <c r="G4827" t="str">
        <f>CHOOSE(WEEKDAY(A4827,2),"Mon","Tue","Wed","Thu","Fri","Sat","Sun")</f>
        <v>Mon</v>
      </c>
      <c r="H4827" t="str">
        <f>IF(WEEKDAY(A4827,2)&gt;5,"Weekend","Weekday")</f>
        <v>Weekday</v>
      </c>
      <c r="I4827" t="str">
        <f>_xlfn.IFS(B4827&lt;=5,"Night (0-5)",B4827&lt;=9,"Morning peak (6-9)",B4827&lt;=15,"Midday (10-15)",B4827&lt;=19,"Evening peak (16-19)",TRUE,"Late evening (20-23)")</f>
        <v>Night (0-5)</v>
      </c>
    </row>
    <row r="4828" spans="1:9">
      <c r="A4828" s="32">
        <v>42023</v>
      </c>
      <c r="B4828">
        <v>3</v>
      </c>
      <c r="C4828">
        <v>539</v>
      </c>
      <c r="D4828" t="s">
        <v>304</v>
      </c>
      <c r="E4828">
        <f>YEAR(A4828)</f>
        <v>2015</v>
      </c>
      <c r="F4828" s="33">
        <f>DATE(YEAR(A4828),MONTH(A4828),1)</f>
        <v>42005.0</v>
      </c>
      <c r="G4828" t="str">
        <f>CHOOSE(WEEKDAY(A4828,2),"Mon","Tue","Wed","Thu","Fri","Sat","Sun")</f>
        <v>Mon</v>
      </c>
      <c r="H4828" t="str">
        <f>IF(WEEKDAY(A4828,2)&gt;5,"Weekend","Weekday")</f>
        <v>Weekday</v>
      </c>
      <c r="I4828" t="str">
        <f>_xlfn.IFS(B4828&lt;=5,"Night (0-5)",B4828&lt;=9,"Morning peak (6-9)",B4828&lt;=15,"Midday (10-15)",B4828&lt;=19,"Evening peak (16-19)",TRUE,"Late evening (20-23)")</f>
        <v>Night (0-5)</v>
      </c>
    </row>
    <row r="4829" spans="1:9">
      <c r="A4829" s="32">
        <v>42023</v>
      </c>
      <c r="B4829">
        <v>4</v>
      </c>
      <c r="C4829">
        <v>537</v>
      </c>
      <c r="D4829" t="s">
        <v>304</v>
      </c>
      <c r="E4829">
        <f>YEAR(A4829)</f>
        <v>2015</v>
      </c>
      <c r="F4829" s="33">
        <f>DATE(YEAR(A4829),MONTH(A4829),1)</f>
        <v>42005.0</v>
      </c>
      <c r="G4829" t="str">
        <f>CHOOSE(WEEKDAY(A4829,2),"Mon","Tue","Wed","Thu","Fri","Sat","Sun")</f>
        <v>Mon</v>
      </c>
      <c r="H4829" t="str">
        <f>IF(WEEKDAY(A4829,2)&gt;5,"Weekend","Weekday")</f>
        <v>Weekday</v>
      </c>
      <c r="I4829" t="str">
        <f>_xlfn.IFS(B4829&lt;=5,"Night (0-5)",B4829&lt;=9,"Morning peak (6-9)",B4829&lt;=15,"Midday (10-15)",B4829&lt;=19,"Evening peak (16-19)",TRUE,"Late evening (20-23)")</f>
        <v>Night (0-5)</v>
      </c>
    </row>
    <row r="4830" spans="1:9">
      <c r="A4830" s="32">
        <v>42023</v>
      </c>
      <c r="B4830">
        <v>5</v>
      </c>
      <c r="C4830">
        <v>653</v>
      </c>
      <c r="D4830" t="s">
        <v>304</v>
      </c>
      <c r="E4830">
        <f>YEAR(A4830)</f>
        <v>2015</v>
      </c>
      <c r="F4830" s="33">
        <f>DATE(YEAR(A4830),MONTH(A4830),1)</f>
        <v>42005.0</v>
      </c>
      <c r="G4830" t="str">
        <f>CHOOSE(WEEKDAY(A4830,2),"Mon","Tue","Wed","Thu","Fri","Sat","Sun")</f>
        <v>Mon</v>
      </c>
      <c r="H4830" t="str">
        <f>IF(WEEKDAY(A4830,2)&gt;5,"Weekend","Weekday")</f>
        <v>Weekday</v>
      </c>
      <c r="I4830" t="str">
        <f>_xlfn.IFS(B4830&lt;=5,"Night (0-5)",B4830&lt;=9,"Morning peak (6-9)",B4830&lt;=15,"Midday (10-15)",B4830&lt;=19,"Evening peak (16-19)",TRUE,"Late evening (20-23)")</f>
        <v>Night (0-5)</v>
      </c>
    </row>
    <row r="4831" spans="1:9">
      <c r="A4831" s="32">
        <v>42023</v>
      </c>
      <c r="B4831">
        <v>6</v>
      </c>
      <c r="C4831">
        <v>861</v>
      </c>
      <c r="D4831" t="s">
        <v>304</v>
      </c>
      <c r="E4831">
        <f>YEAR(A4831)</f>
        <v>2015</v>
      </c>
      <c r="F4831" s="33">
        <f>DATE(YEAR(A4831),MONTH(A4831),1)</f>
        <v>42005.0</v>
      </c>
      <c r="G4831" t="str">
        <f>CHOOSE(WEEKDAY(A4831,2),"Mon","Tue","Wed","Thu","Fri","Sat","Sun")</f>
        <v>Mon</v>
      </c>
      <c r="H4831" t="str">
        <f>IF(WEEKDAY(A4831,2)&gt;5,"Weekend","Weekday")</f>
        <v>Weekday</v>
      </c>
      <c r="I4831" t="str">
        <f>_xlfn.IFS(B4831&lt;=5,"Night (0-5)",B4831&lt;=9,"Morning peak (6-9)",B4831&lt;=15,"Midday (10-15)",B4831&lt;=19,"Evening peak (16-19)",TRUE,"Late evening (20-23)")</f>
        <v>Morning peak (6-9)</v>
      </c>
    </row>
    <row r="4832" spans="1:9">
      <c r="A4832" s="32">
        <v>42023</v>
      </c>
      <c r="B4832">
        <v>7</v>
      </c>
      <c r="C4832">
        <v>1137</v>
      </c>
      <c r="D4832" t="s">
        <v>304</v>
      </c>
      <c r="E4832">
        <f>YEAR(A4832)</f>
        <v>2015</v>
      </c>
      <c r="F4832" s="33">
        <f>DATE(YEAR(A4832),MONTH(A4832),1)</f>
        <v>42005.0</v>
      </c>
      <c r="G4832" t="str">
        <f>CHOOSE(WEEKDAY(A4832,2),"Mon","Tue","Wed","Thu","Fri","Sat","Sun")</f>
        <v>Mon</v>
      </c>
      <c r="H4832" t="str">
        <f>IF(WEEKDAY(A4832,2)&gt;5,"Weekend","Weekday")</f>
        <v>Weekday</v>
      </c>
      <c r="I4832" t="str">
        <f>_xlfn.IFS(B4832&lt;=5,"Night (0-5)",B4832&lt;=9,"Morning peak (6-9)",B4832&lt;=15,"Midday (10-15)",B4832&lt;=19,"Evening peak (16-19)",TRUE,"Late evening (20-23)")</f>
        <v>Morning peak (6-9)</v>
      </c>
    </row>
    <row r="4833" spans="1:9">
      <c r="A4833" s="32">
        <v>42023</v>
      </c>
      <c r="B4833">
        <v>8</v>
      </c>
      <c r="C4833">
        <v>1709</v>
      </c>
      <c r="D4833" t="s">
        <v>304</v>
      </c>
      <c r="E4833">
        <f>YEAR(A4833)</f>
        <v>2015</v>
      </c>
      <c r="F4833" s="33">
        <f>DATE(YEAR(A4833),MONTH(A4833),1)</f>
        <v>42005.0</v>
      </c>
      <c r="G4833" t="str">
        <f>CHOOSE(WEEKDAY(A4833,2),"Mon","Tue","Wed","Thu","Fri","Sat","Sun")</f>
        <v>Mon</v>
      </c>
      <c r="H4833" t="str">
        <f>IF(WEEKDAY(A4833,2)&gt;5,"Weekend","Weekday")</f>
        <v>Weekday</v>
      </c>
      <c r="I4833" t="str">
        <f>_xlfn.IFS(B4833&lt;=5,"Night (0-5)",B4833&lt;=9,"Morning peak (6-9)",B4833&lt;=15,"Midday (10-15)",B4833&lt;=19,"Evening peak (16-19)",TRUE,"Late evening (20-23)")</f>
        <v>Morning peak (6-9)</v>
      </c>
    </row>
    <row r="4834" spans="1:9">
      <c r="A4834" s="32">
        <v>42023</v>
      </c>
      <c r="B4834">
        <v>9</v>
      </c>
      <c r="C4834">
        <v>1940</v>
      </c>
      <c r="D4834" t="s">
        <v>304</v>
      </c>
      <c r="E4834">
        <f>YEAR(A4834)</f>
        <v>2015</v>
      </c>
      <c r="F4834" s="33">
        <f>DATE(YEAR(A4834),MONTH(A4834),1)</f>
        <v>42005.0</v>
      </c>
      <c r="G4834" t="str">
        <f>CHOOSE(WEEKDAY(A4834,2),"Mon","Tue","Wed","Thu","Fri","Sat","Sun")</f>
        <v>Mon</v>
      </c>
      <c r="H4834" t="str">
        <f>IF(WEEKDAY(A4834,2)&gt;5,"Weekend","Weekday")</f>
        <v>Weekday</v>
      </c>
      <c r="I4834" t="str">
        <f>_xlfn.IFS(B4834&lt;=5,"Night (0-5)",B4834&lt;=9,"Morning peak (6-9)",B4834&lt;=15,"Midday (10-15)",B4834&lt;=19,"Evening peak (16-19)",TRUE,"Late evening (20-23)")</f>
        <v>Morning peak (6-9)</v>
      </c>
    </row>
    <row r="4835" spans="1:9">
      <c r="A4835" s="32">
        <v>42023</v>
      </c>
      <c r="B4835">
        <v>10</v>
      </c>
      <c r="C4835">
        <v>1994</v>
      </c>
      <c r="D4835" t="s">
        <v>304</v>
      </c>
      <c r="E4835">
        <f>YEAR(A4835)</f>
        <v>2015</v>
      </c>
      <c r="F4835" s="33">
        <f>DATE(YEAR(A4835),MONTH(A4835),1)</f>
        <v>42005.0</v>
      </c>
      <c r="G4835" t="str">
        <f>CHOOSE(WEEKDAY(A4835,2),"Mon","Tue","Wed","Thu","Fri","Sat","Sun")</f>
        <v>Mon</v>
      </c>
      <c r="H4835" t="str">
        <f>IF(WEEKDAY(A4835,2)&gt;5,"Weekend","Weekday")</f>
        <v>Weekday</v>
      </c>
      <c r="I4835" t="str">
        <f>_xlfn.IFS(B4835&lt;=5,"Night (0-5)",B4835&lt;=9,"Morning peak (6-9)",B4835&lt;=15,"Midday (10-15)",B4835&lt;=19,"Evening peak (16-19)",TRUE,"Late evening (20-23)")</f>
        <v>Midday (10-15)</v>
      </c>
    </row>
    <row r="4836" spans="1:9">
      <c r="A4836" s="32">
        <v>42023</v>
      </c>
      <c r="B4836">
        <v>11</v>
      </c>
      <c r="C4836">
        <v>2146</v>
      </c>
      <c r="D4836" t="s">
        <v>304</v>
      </c>
      <c r="E4836">
        <f>YEAR(A4836)</f>
        <v>2015</v>
      </c>
      <c r="F4836" s="33">
        <f>DATE(YEAR(A4836),MONTH(A4836),1)</f>
        <v>42005.0</v>
      </c>
      <c r="G4836" t="str">
        <f>CHOOSE(WEEKDAY(A4836,2),"Mon","Tue","Wed","Thu","Fri","Sat","Sun")</f>
        <v>Mon</v>
      </c>
      <c r="H4836" t="str">
        <f>IF(WEEKDAY(A4836,2)&gt;5,"Weekend","Weekday")</f>
        <v>Weekday</v>
      </c>
      <c r="I4836" t="str">
        <f>_xlfn.IFS(B4836&lt;=5,"Night (0-5)",B4836&lt;=9,"Morning peak (6-9)",B4836&lt;=15,"Midday (10-15)",B4836&lt;=19,"Evening peak (16-19)",TRUE,"Late evening (20-23)")</f>
        <v>Midday (10-15)</v>
      </c>
    </row>
    <row r="4837" spans="1:9">
      <c r="A4837" s="32">
        <v>42023</v>
      </c>
      <c r="B4837">
        <v>12</v>
      </c>
      <c r="C4837">
        <v>2237</v>
      </c>
      <c r="D4837" t="s">
        <v>304</v>
      </c>
      <c r="E4837">
        <f>YEAR(A4837)</f>
        <v>2015</v>
      </c>
      <c r="F4837" s="33">
        <f>DATE(YEAR(A4837),MONTH(A4837),1)</f>
        <v>42005.0</v>
      </c>
      <c r="G4837" t="str">
        <f>CHOOSE(WEEKDAY(A4837,2),"Mon","Tue","Wed","Thu","Fri","Sat","Sun")</f>
        <v>Mon</v>
      </c>
      <c r="H4837" t="str">
        <f>IF(WEEKDAY(A4837,2)&gt;5,"Weekend","Weekday")</f>
        <v>Weekday</v>
      </c>
      <c r="I4837" t="str">
        <f>_xlfn.IFS(B4837&lt;=5,"Night (0-5)",B4837&lt;=9,"Morning peak (6-9)",B4837&lt;=15,"Midday (10-15)",B4837&lt;=19,"Evening peak (16-19)",TRUE,"Late evening (20-23)")</f>
        <v>Midday (10-15)</v>
      </c>
    </row>
    <row r="4838" spans="1:9">
      <c r="A4838" s="32">
        <v>42023</v>
      </c>
      <c r="B4838">
        <v>13</v>
      </c>
      <c r="C4838">
        <v>2270</v>
      </c>
      <c r="D4838" t="s">
        <v>304</v>
      </c>
      <c r="E4838">
        <f>YEAR(A4838)</f>
        <v>2015</v>
      </c>
      <c r="F4838" s="33">
        <f>DATE(YEAR(A4838),MONTH(A4838),1)</f>
        <v>42005.0</v>
      </c>
      <c r="G4838" t="str">
        <f>CHOOSE(WEEKDAY(A4838,2),"Mon","Tue","Wed","Thu","Fri","Sat","Sun")</f>
        <v>Mon</v>
      </c>
      <c r="H4838" t="str">
        <f>IF(WEEKDAY(A4838,2)&gt;5,"Weekend","Weekday")</f>
        <v>Weekday</v>
      </c>
      <c r="I4838" t="str">
        <f>_xlfn.IFS(B4838&lt;=5,"Night (0-5)",B4838&lt;=9,"Morning peak (6-9)",B4838&lt;=15,"Midday (10-15)",B4838&lt;=19,"Evening peak (16-19)",TRUE,"Late evening (20-23)")</f>
        <v>Midday (10-15)</v>
      </c>
    </row>
    <row r="4839" spans="1:9">
      <c r="A4839" s="32">
        <v>42023</v>
      </c>
      <c r="B4839">
        <v>14</v>
      </c>
      <c r="C4839">
        <v>2456</v>
      </c>
      <c r="D4839" t="s">
        <v>304</v>
      </c>
      <c r="E4839">
        <f>YEAR(A4839)</f>
        <v>2015</v>
      </c>
      <c r="F4839" s="33">
        <f>DATE(YEAR(A4839),MONTH(A4839),1)</f>
        <v>42005.0</v>
      </c>
      <c r="G4839" t="str">
        <f>CHOOSE(WEEKDAY(A4839,2),"Mon","Tue","Wed","Thu","Fri","Sat","Sun")</f>
        <v>Mon</v>
      </c>
      <c r="H4839" t="str">
        <f>IF(WEEKDAY(A4839,2)&gt;5,"Weekend","Weekday")</f>
        <v>Weekday</v>
      </c>
      <c r="I4839" t="str">
        <f>_xlfn.IFS(B4839&lt;=5,"Night (0-5)",B4839&lt;=9,"Morning peak (6-9)",B4839&lt;=15,"Midday (10-15)",B4839&lt;=19,"Evening peak (16-19)",TRUE,"Late evening (20-23)")</f>
        <v>Midday (10-15)</v>
      </c>
    </row>
    <row r="4840" spans="1:9">
      <c r="A4840" s="32">
        <v>42023</v>
      </c>
      <c r="B4840">
        <v>15</v>
      </c>
      <c r="C4840">
        <v>2679</v>
      </c>
      <c r="D4840" t="s">
        <v>304</v>
      </c>
      <c r="E4840">
        <f>YEAR(A4840)</f>
        <v>2015</v>
      </c>
      <c r="F4840" s="33">
        <f>DATE(YEAR(A4840),MONTH(A4840),1)</f>
        <v>42005.0</v>
      </c>
      <c r="G4840" t="str">
        <f>CHOOSE(WEEKDAY(A4840,2),"Mon","Tue","Wed","Thu","Fri","Sat","Sun")</f>
        <v>Mon</v>
      </c>
      <c r="H4840" t="str">
        <f>IF(WEEKDAY(A4840,2)&gt;5,"Weekend","Weekday")</f>
        <v>Weekday</v>
      </c>
      <c r="I4840" t="str">
        <f>_xlfn.IFS(B4840&lt;=5,"Night (0-5)",B4840&lt;=9,"Morning peak (6-9)",B4840&lt;=15,"Midday (10-15)",B4840&lt;=19,"Evening peak (16-19)",TRUE,"Late evening (20-23)")</f>
        <v>Midday (10-15)</v>
      </c>
    </row>
    <row r="4841" spans="1:9">
      <c r="A4841" s="32">
        <v>42023</v>
      </c>
      <c r="B4841">
        <v>16</v>
      </c>
      <c r="C4841">
        <v>2976</v>
      </c>
      <c r="D4841" t="s">
        <v>304</v>
      </c>
      <c r="E4841">
        <f>YEAR(A4841)</f>
        <v>2015</v>
      </c>
      <c r="F4841" s="33">
        <f>DATE(YEAR(A4841),MONTH(A4841),1)</f>
        <v>42005.0</v>
      </c>
      <c r="G4841" t="str">
        <f>CHOOSE(WEEKDAY(A4841,2),"Mon","Tue","Wed","Thu","Fri","Sat","Sun")</f>
        <v>Mon</v>
      </c>
      <c r="H4841" t="str">
        <f>IF(WEEKDAY(A4841,2)&gt;5,"Weekend","Weekday")</f>
        <v>Weekday</v>
      </c>
      <c r="I4841" t="str">
        <f>_xlfn.IFS(B4841&lt;=5,"Night (0-5)",B4841&lt;=9,"Morning peak (6-9)",B4841&lt;=15,"Midday (10-15)",B4841&lt;=19,"Evening peak (16-19)",TRUE,"Late evening (20-23)")</f>
        <v>Evening peak (16-19)</v>
      </c>
    </row>
    <row r="4842" spans="1:9">
      <c r="A4842" s="32">
        <v>42023</v>
      </c>
      <c r="B4842">
        <v>17</v>
      </c>
      <c r="C4842">
        <v>3168</v>
      </c>
      <c r="D4842" t="s">
        <v>304</v>
      </c>
      <c r="E4842">
        <f>YEAR(A4842)</f>
        <v>2015</v>
      </c>
      <c r="F4842" s="33">
        <f>DATE(YEAR(A4842),MONTH(A4842),1)</f>
        <v>42005.0</v>
      </c>
      <c r="G4842" t="str">
        <f>CHOOSE(WEEKDAY(A4842,2),"Mon","Tue","Wed","Thu","Fri","Sat","Sun")</f>
        <v>Mon</v>
      </c>
      <c r="H4842" t="str">
        <f>IF(WEEKDAY(A4842,2)&gt;5,"Weekend","Weekday")</f>
        <v>Weekday</v>
      </c>
      <c r="I4842" t="str">
        <f>_xlfn.IFS(B4842&lt;=5,"Night (0-5)",B4842&lt;=9,"Morning peak (6-9)",B4842&lt;=15,"Midday (10-15)",B4842&lt;=19,"Evening peak (16-19)",TRUE,"Late evening (20-23)")</f>
        <v>Evening peak (16-19)</v>
      </c>
    </row>
    <row r="4843" spans="1:9">
      <c r="A4843" s="32">
        <v>42023</v>
      </c>
      <c r="B4843">
        <v>18</v>
      </c>
      <c r="C4843">
        <v>3432</v>
      </c>
      <c r="D4843" t="s">
        <v>304</v>
      </c>
      <c r="E4843">
        <f>YEAR(A4843)</f>
        <v>2015</v>
      </c>
      <c r="F4843" s="33">
        <f>DATE(YEAR(A4843),MONTH(A4843),1)</f>
        <v>42005.0</v>
      </c>
      <c r="G4843" t="str">
        <f>CHOOSE(WEEKDAY(A4843,2),"Mon","Tue","Wed","Thu","Fri","Sat","Sun")</f>
        <v>Mon</v>
      </c>
      <c r="H4843" t="str">
        <f>IF(WEEKDAY(A4843,2)&gt;5,"Weekend","Weekday")</f>
        <v>Weekday</v>
      </c>
      <c r="I4843" t="str">
        <f>_xlfn.IFS(B4843&lt;=5,"Night (0-5)",B4843&lt;=9,"Morning peak (6-9)",B4843&lt;=15,"Midday (10-15)",B4843&lt;=19,"Evening peak (16-19)",TRUE,"Late evening (20-23)")</f>
        <v>Evening peak (16-19)</v>
      </c>
    </row>
    <row r="4844" spans="1:9">
      <c r="A4844" s="32">
        <v>42023</v>
      </c>
      <c r="B4844">
        <v>19</v>
      </c>
      <c r="C4844">
        <v>3234</v>
      </c>
      <c r="D4844" t="s">
        <v>304</v>
      </c>
      <c r="E4844">
        <f>YEAR(A4844)</f>
        <v>2015</v>
      </c>
      <c r="F4844" s="33">
        <f>DATE(YEAR(A4844),MONTH(A4844),1)</f>
        <v>42005.0</v>
      </c>
      <c r="G4844" t="str">
        <f>CHOOSE(WEEKDAY(A4844,2),"Mon","Tue","Wed","Thu","Fri","Sat","Sun")</f>
        <v>Mon</v>
      </c>
      <c r="H4844" t="str">
        <f>IF(WEEKDAY(A4844,2)&gt;5,"Weekend","Weekday")</f>
        <v>Weekday</v>
      </c>
      <c r="I4844" t="str">
        <f>_xlfn.IFS(B4844&lt;=5,"Night (0-5)",B4844&lt;=9,"Morning peak (6-9)",B4844&lt;=15,"Midday (10-15)",B4844&lt;=19,"Evening peak (16-19)",TRUE,"Late evening (20-23)")</f>
        <v>Evening peak (16-19)</v>
      </c>
    </row>
    <row r="4845" spans="1:9">
      <c r="A4845" s="32">
        <v>42023</v>
      </c>
      <c r="B4845">
        <v>20</v>
      </c>
      <c r="C4845">
        <v>2710</v>
      </c>
      <c r="D4845" t="s">
        <v>304</v>
      </c>
      <c r="E4845">
        <f>YEAR(A4845)</f>
        <v>2015</v>
      </c>
      <c r="F4845" s="33">
        <f>DATE(YEAR(A4845),MONTH(A4845),1)</f>
        <v>42005.0</v>
      </c>
      <c r="G4845" t="str">
        <f>CHOOSE(WEEKDAY(A4845,2),"Mon","Tue","Wed","Thu","Fri","Sat","Sun")</f>
        <v>Mon</v>
      </c>
      <c r="H4845" t="str">
        <f>IF(WEEKDAY(A4845,2)&gt;5,"Weekend","Weekday")</f>
        <v>Weekday</v>
      </c>
      <c r="I4845" t="str">
        <f>_xlfn.IFS(B4845&lt;=5,"Night (0-5)",B4845&lt;=9,"Morning peak (6-9)",B4845&lt;=15,"Midday (10-15)",B4845&lt;=19,"Evening peak (16-19)",TRUE,"Late evening (20-23)")</f>
        <v>Late evening (20-23)</v>
      </c>
    </row>
    <row r="4846" spans="1:9">
      <c r="A4846" s="32">
        <v>42023</v>
      </c>
      <c r="B4846">
        <v>21</v>
      </c>
      <c r="C4846">
        <v>2560</v>
      </c>
      <c r="D4846" t="s">
        <v>304</v>
      </c>
      <c r="E4846">
        <f>YEAR(A4846)</f>
        <v>2015</v>
      </c>
      <c r="F4846" s="33">
        <f>DATE(YEAR(A4846),MONTH(A4846),1)</f>
        <v>42005.0</v>
      </c>
      <c r="G4846" t="str">
        <f>CHOOSE(WEEKDAY(A4846,2),"Mon","Tue","Wed","Thu","Fri","Sat","Sun")</f>
        <v>Mon</v>
      </c>
      <c r="H4846" t="str">
        <f>IF(WEEKDAY(A4846,2)&gt;5,"Weekend","Weekday")</f>
        <v>Weekday</v>
      </c>
      <c r="I4846" t="str">
        <f>_xlfn.IFS(B4846&lt;=5,"Night (0-5)",B4846&lt;=9,"Morning peak (6-9)",B4846&lt;=15,"Midday (10-15)",B4846&lt;=19,"Evening peak (16-19)",TRUE,"Late evening (20-23)")</f>
        <v>Late evening (20-23)</v>
      </c>
    </row>
    <row r="4847" spans="1:9">
      <c r="A4847" s="32">
        <v>42023</v>
      </c>
      <c r="B4847">
        <v>22</v>
      </c>
      <c r="C4847">
        <v>2445</v>
      </c>
      <c r="D4847" t="s">
        <v>304</v>
      </c>
      <c r="E4847">
        <f>YEAR(A4847)</f>
        <v>2015</v>
      </c>
      <c r="F4847" s="33">
        <f>DATE(YEAR(A4847),MONTH(A4847),1)</f>
        <v>42005.0</v>
      </c>
      <c r="G4847" t="str">
        <f>CHOOSE(WEEKDAY(A4847,2),"Mon","Tue","Wed","Thu","Fri","Sat","Sun")</f>
        <v>Mon</v>
      </c>
      <c r="H4847" t="str">
        <f>IF(WEEKDAY(A4847,2)&gt;5,"Weekend","Weekday")</f>
        <v>Weekday</v>
      </c>
      <c r="I4847" t="str">
        <f>_xlfn.IFS(B4847&lt;=5,"Night (0-5)",B4847&lt;=9,"Morning peak (6-9)",B4847&lt;=15,"Midday (10-15)",B4847&lt;=19,"Evening peak (16-19)",TRUE,"Late evening (20-23)")</f>
        <v>Late evening (20-23)</v>
      </c>
    </row>
    <row r="4848" spans="1:9">
      <c r="A4848" s="32">
        <v>42023</v>
      </c>
      <c r="B4848">
        <v>23</v>
      </c>
      <c r="C4848">
        <v>1616</v>
      </c>
      <c r="D4848" t="s">
        <v>304</v>
      </c>
      <c r="E4848">
        <f>YEAR(A4848)</f>
        <v>2015</v>
      </c>
      <c r="F4848" s="33">
        <f>DATE(YEAR(A4848),MONTH(A4848),1)</f>
        <v>42005.0</v>
      </c>
      <c r="G4848" t="str">
        <f>CHOOSE(WEEKDAY(A4848,2),"Mon","Tue","Wed","Thu","Fri","Sat","Sun")</f>
        <v>Mon</v>
      </c>
      <c r="H4848" t="str">
        <f>IF(WEEKDAY(A4848,2)&gt;5,"Weekend","Weekday")</f>
        <v>Weekday</v>
      </c>
      <c r="I4848" t="str">
        <f>_xlfn.IFS(B4848&lt;=5,"Night (0-5)",B4848&lt;=9,"Morning peak (6-9)",B4848&lt;=15,"Midday (10-15)",B4848&lt;=19,"Evening peak (16-19)",TRUE,"Late evening (20-23)")</f>
        <v>Late evening (20-23)</v>
      </c>
    </row>
    <row r="4849" spans="1:9">
      <c r="A4849" s="32">
        <v>42024</v>
      </c>
      <c r="B4849">
        <v>0</v>
      </c>
      <c r="C4849">
        <v>989</v>
      </c>
      <c r="D4849" t="s">
        <v>304</v>
      </c>
      <c r="E4849">
        <f>YEAR(A4849)</f>
        <v>2015</v>
      </c>
      <c r="F4849" s="33">
        <f>DATE(YEAR(A4849),MONTH(A4849),1)</f>
        <v>42005.0</v>
      </c>
      <c r="G4849" t="str">
        <f>CHOOSE(WEEKDAY(A4849,2),"Mon","Tue","Wed","Thu","Fri","Sat","Sun")</f>
        <v>Tue</v>
      </c>
      <c r="H4849" t="str">
        <f>IF(WEEKDAY(A4849,2)&gt;5,"Weekend","Weekday")</f>
        <v>Weekday</v>
      </c>
      <c r="I4849" t="str">
        <f>_xlfn.IFS(B4849&lt;=5,"Night (0-5)",B4849&lt;=9,"Morning peak (6-9)",B4849&lt;=15,"Midday (10-15)",B4849&lt;=19,"Evening peak (16-19)",TRUE,"Late evening (20-23)")</f>
        <v>Night (0-5)</v>
      </c>
    </row>
    <row r="4850" spans="1:9">
      <c r="A4850" s="32">
        <v>42024</v>
      </c>
      <c r="B4850">
        <v>1</v>
      </c>
      <c r="C4850">
        <v>500</v>
      </c>
      <c r="D4850" t="s">
        <v>304</v>
      </c>
      <c r="E4850">
        <f>YEAR(A4850)</f>
        <v>2015</v>
      </c>
      <c r="F4850" s="33">
        <f>DATE(YEAR(A4850),MONTH(A4850),1)</f>
        <v>42005.0</v>
      </c>
      <c r="G4850" t="str">
        <f>CHOOSE(WEEKDAY(A4850,2),"Mon","Tue","Wed","Thu","Fri","Sat","Sun")</f>
        <v>Tue</v>
      </c>
      <c r="H4850" t="str">
        <f>IF(WEEKDAY(A4850,2)&gt;5,"Weekend","Weekday")</f>
        <v>Weekday</v>
      </c>
      <c r="I4850" t="str">
        <f>_xlfn.IFS(B4850&lt;=5,"Night (0-5)",B4850&lt;=9,"Morning peak (6-9)",B4850&lt;=15,"Midday (10-15)",B4850&lt;=19,"Evening peak (16-19)",TRUE,"Late evening (20-23)")</f>
        <v>Night (0-5)</v>
      </c>
    </row>
    <row r="4851" spans="1:9">
      <c r="A4851" s="32">
        <v>42024</v>
      </c>
      <c r="B4851">
        <v>2</v>
      </c>
      <c r="C4851">
        <v>367</v>
      </c>
      <c r="D4851" t="s">
        <v>304</v>
      </c>
      <c r="E4851">
        <f>YEAR(A4851)</f>
        <v>2015</v>
      </c>
      <c r="F4851" s="33">
        <f>DATE(YEAR(A4851),MONTH(A4851),1)</f>
        <v>42005.0</v>
      </c>
      <c r="G4851" t="str">
        <f>CHOOSE(WEEKDAY(A4851,2),"Mon","Tue","Wed","Thu","Fri","Sat","Sun")</f>
        <v>Tue</v>
      </c>
      <c r="H4851" t="str">
        <f>IF(WEEKDAY(A4851,2)&gt;5,"Weekend","Weekday")</f>
        <v>Weekday</v>
      </c>
      <c r="I4851" t="str">
        <f>_xlfn.IFS(B4851&lt;=5,"Night (0-5)",B4851&lt;=9,"Morning peak (6-9)",B4851&lt;=15,"Midday (10-15)",B4851&lt;=19,"Evening peak (16-19)",TRUE,"Late evening (20-23)")</f>
        <v>Night (0-5)</v>
      </c>
    </row>
    <row r="4852" spans="1:9">
      <c r="A4852" s="32">
        <v>42024</v>
      </c>
      <c r="B4852">
        <v>3</v>
      </c>
      <c r="C4852">
        <v>223</v>
      </c>
      <c r="D4852" t="s">
        <v>304</v>
      </c>
      <c r="E4852">
        <f>YEAR(A4852)</f>
        <v>2015</v>
      </c>
      <c r="F4852" s="33">
        <f>DATE(YEAR(A4852),MONTH(A4852),1)</f>
        <v>42005.0</v>
      </c>
      <c r="G4852" t="str">
        <f>CHOOSE(WEEKDAY(A4852,2),"Mon","Tue","Wed","Thu","Fri","Sat","Sun")</f>
        <v>Tue</v>
      </c>
      <c r="H4852" t="str">
        <f>IF(WEEKDAY(A4852,2)&gt;5,"Weekend","Weekday")</f>
        <v>Weekday</v>
      </c>
      <c r="I4852" t="str">
        <f>_xlfn.IFS(B4852&lt;=5,"Night (0-5)",B4852&lt;=9,"Morning peak (6-9)",B4852&lt;=15,"Midday (10-15)",B4852&lt;=19,"Evening peak (16-19)",TRUE,"Late evening (20-23)")</f>
        <v>Night (0-5)</v>
      </c>
    </row>
    <row r="4853" spans="1:9">
      <c r="A4853" s="32">
        <v>42024</v>
      </c>
      <c r="B4853">
        <v>4</v>
      </c>
      <c r="C4853">
        <v>503</v>
      </c>
      <c r="D4853" t="s">
        <v>304</v>
      </c>
      <c r="E4853">
        <f>YEAR(A4853)</f>
        <v>2015</v>
      </c>
      <c r="F4853" s="33">
        <f>DATE(YEAR(A4853),MONTH(A4853),1)</f>
        <v>42005.0</v>
      </c>
      <c r="G4853" t="str">
        <f>CHOOSE(WEEKDAY(A4853,2),"Mon","Tue","Wed","Thu","Fri","Sat","Sun")</f>
        <v>Tue</v>
      </c>
      <c r="H4853" t="str">
        <f>IF(WEEKDAY(A4853,2)&gt;5,"Weekend","Weekday")</f>
        <v>Weekday</v>
      </c>
      <c r="I4853" t="str">
        <f>_xlfn.IFS(B4853&lt;=5,"Night (0-5)",B4853&lt;=9,"Morning peak (6-9)",B4853&lt;=15,"Midday (10-15)",B4853&lt;=19,"Evening peak (16-19)",TRUE,"Late evening (20-23)")</f>
        <v>Night (0-5)</v>
      </c>
    </row>
    <row r="4854" spans="1:9">
      <c r="A4854" s="32">
        <v>42024</v>
      </c>
      <c r="B4854">
        <v>5</v>
      </c>
      <c r="C4854">
        <v>917</v>
      </c>
      <c r="D4854" t="s">
        <v>304</v>
      </c>
      <c r="E4854">
        <f>YEAR(A4854)</f>
        <v>2015</v>
      </c>
      <c r="F4854" s="33">
        <f>DATE(YEAR(A4854),MONTH(A4854),1)</f>
        <v>42005.0</v>
      </c>
      <c r="G4854" t="str">
        <f>CHOOSE(WEEKDAY(A4854,2),"Mon","Tue","Wed","Thu","Fri","Sat","Sun")</f>
        <v>Tue</v>
      </c>
      <c r="H4854" t="str">
        <f>IF(WEEKDAY(A4854,2)&gt;5,"Weekend","Weekday")</f>
        <v>Weekday</v>
      </c>
      <c r="I4854" t="str">
        <f>_xlfn.IFS(B4854&lt;=5,"Night (0-5)",B4854&lt;=9,"Morning peak (6-9)",B4854&lt;=15,"Midday (10-15)",B4854&lt;=19,"Evening peak (16-19)",TRUE,"Late evening (20-23)")</f>
        <v>Night (0-5)</v>
      </c>
    </row>
    <row r="4855" spans="1:9">
      <c r="A4855" s="32">
        <v>42024</v>
      </c>
      <c r="B4855">
        <v>6</v>
      </c>
      <c r="C4855">
        <v>1638</v>
      </c>
      <c r="D4855" t="s">
        <v>304</v>
      </c>
      <c r="E4855">
        <f>YEAR(A4855)</f>
        <v>2015</v>
      </c>
      <c r="F4855" s="33">
        <f>DATE(YEAR(A4855),MONTH(A4855),1)</f>
        <v>42005.0</v>
      </c>
      <c r="G4855" t="str">
        <f>CHOOSE(WEEKDAY(A4855,2),"Mon","Tue","Wed","Thu","Fri","Sat","Sun")</f>
        <v>Tue</v>
      </c>
      <c r="H4855" t="str">
        <f>IF(WEEKDAY(A4855,2)&gt;5,"Weekend","Weekday")</f>
        <v>Weekday</v>
      </c>
      <c r="I4855" t="str">
        <f>_xlfn.IFS(B4855&lt;=5,"Night (0-5)",B4855&lt;=9,"Morning peak (6-9)",B4855&lt;=15,"Midday (10-15)",B4855&lt;=19,"Evening peak (16-19)",TRUE,"Late evening (20-23)")</f>
        <v>Morning peak (6-9)</v>
      </c>
    </row>
    <row r="4856" spans="1:9">
      <c r="A4856" s="32">
        <v>42024</v>
      </c>
      <c r="B4856">
        <v>7</v>
      </c>
      <c r="C4856">
        <v>2818</v>
      </c>
      <c r="D4856" t="s">
        <v>304</v>
      </c>
      <c r="E4856">
        <f>YEAR(A4856)</f>
        <v>2015</v>
      </c>
      <c r="F4856" s="33">
        <f>DATE(YEAR(A4856),MONTH(A4856),1)</f>
        <v>42005.0</v>
      </c>
      <c r="G4856" t="str">
        <f>CHOOSE(WEEKDAY(A4856,2),"Mon","Tue","Wed","Thu","Fri","Sat","Sun")</f>
        <v>Tue</v>
      </c>
      <c r="H4856" t="str">
        <f>IF(WEEKDAY(A4856,2)&gt;5,"Weekend","Weekday")</f>
        <v>Weekday</v>
      </c>
      <c r="I4856" t="str">
        <f>_xlfn.IFS(B4856&lt;=5,"Night (0-5)",B4856&lt;=9,"Morning peak (6-9)",B4856&lt;=15,"Midday (10-15)",B4856&lt;=19,"Evening peak (16-19)",TRUE,"Late evening (20-23)")</f>
        <v>Morning peak (6-9)</v>
      </c>
    </row>
    <row r="4857" spans="1:9">
      <c r="A4857" s="32">
        <v>42024</v>
      </c>
      <c r="B4857">
        <v>8</v>
      </c>
      <c r="C4857">
        <v>3445</v>
      </c>
      <c r="D4857" t="s">
        <v>304</v>
      </c>
      <c r="E4857">
        <f>YEAR(A4857)</f>
        <v>2015</v>
      </c>
      <c r="F4857" s="33">
        <f>DATE(YEAR(A4857),MONTH(A4857),1)</f>
        <v>42005.0</v>
      </c>
      <c r="G4857" t="str">
        <f>CHOOSE(WEEKDAY(A4857,2),"Mon","Tue","Wed","Thu","Fri","Sat","Sun")</f>
        <v>Tue</v>
      </c>
      <c r="H4857" t="str">
        <f>IF(WEEKDAY(A4857,2)&gt;5,"Weekend","Weekday")</f>
        <v>Weekday</v>
      </c>
      <c r="I4857" t="str">
        <f>_xlfn.IFS(B4857&lt;=5,"Night (0-5)",B4857&lt;=9,"Morning peak (6-9)",B4857&lt;=15,"Midday (10-15)",B4857&lt;=19,"Evening peak (16-19)",TRUE,"Late evening (20-23)")</f>
        <v>Morning peak (6-9)</v>
      </c>
    </row>
    <row r="4858" spans="1:9">
      <c r="A4858" s="32">
        <v>42024</v>
      </c>
      <c r="B4858">
        <v>9</v>
      </c>
      <c r="C4858">
        <v>3037</v>
      </c>
      <c r="D4858" t="s">
        <v>304</v>
      </c>
      <c r="E4858">
        <f>YEAR(A4858)</f>
        <v>2015</v>
      </c>
      <c r="F4858" s="33">
        <f>DATE(YEAR(A4858),MONTH(A4858),1)</f>
        <v>42005.0</v>
      </c>
      <c r="G4858" t="str">
        <f>CHOOSE(WEEKDAY(A4858,2),"Mon","Tue","Wed","Thu","Fri","Sat","Sun")</f>
        <v>Tue</v>
      </c>
      <c r="H4858" t="str">
        <f>IF(WEEKDAY(A4858,2)&gt;5,"Weekend","Weekday")</f>
        <v>Weekday</v>
      </c>
      <c r="I4858" t="str">
        <f>_xlfn.IFS(B4858&lt;=5,"Night (0-5)",B4858&lt;=9,"Morning peak (6-9)",B4858&lt;=15,"Midday (10-15)",B4858&lt;=19,"Evening peak (16-19)",TRUE,"Late evening (20-23)")</f>
        <v>Morning peak (6-9)</v>
      </c>
    </row>
    <row r="4859" spans="1:9">
      <c r="A4859" s="32">
        <v>42024</v>
      </c>
      <c r="B4859">
        <v>10</v>
      </c>
      <c r="C4859">
        <v>2174</v>
      </c>
      <c r="D4859" t="s">
        <v>304</v>
      </c>
      <c r="E4859">
        <f>YEAR(A4859)</f>
        <v>2015</v>
      </c>
      <c r="F4859" s="33">
        <f>DATE(YEAR(A4859),MONTH(A4859),1)</f>
        <v>42005.0</v>
      </c>
      <c r="G4859" t="str">
        <f>CHOOSE(WEEKDAY(A4859,2),"Mon","Tue","Wed","Thu","Fri","Sat","Sun")</f>
        <v>Tue</v>
      </c>
      <c r="H4859" t="str">
        <f>IF(WEEKDAY(A4859,2)&gt;5,"Weekend","Weekday")</f>
        <v>Weekday</v>
      </c>
      <c r="I4859" t="str">
        <f>_xlfn.IFS(B4859&lt;=5,"Night (0-5)",B4859&lt;=9,"Morning peak (6-9)",B4859&lt;=15,"Midday (10-15)",B4859&lt;=19,"Evening peak (16-19)",TRUE,"Late evening (20-23)")</f>
        <v>Midday (10-15)</v>
      </c>
    </row>
    <row r="4860" spans="1:9">
      <c r="A4860" s="32">
        <v>42024</v>
      </c>
      <c r="B4860">
        <v>11</v>
      </c>
      <c r="C4860">
        <v>1866</v>
      </c>
      <c r="D4860" t="s">
        <v>304</v>
      </c>
      <c r="E4860">
        <f>YEAR(A4860)</f>
        <v>2015</v>
      </c>
      <c r="F4860" s="33">
        <f>DATE(YEAR(A4860),MONTH(A4860),1)</f>
        <v>42005.0</v>
      </c>
      <c r="G4860" t="str">
        <f>CHOOSE(WEEKDAY(A4860,2),"Mon","Tue","Wed","Thu","Fri","Sat","Sun")</f>
        <v>Tue</v>
      </c>
      <c r="H4860" t="str">
        <f>IF(WEEKDAY(A4860,2)&gt;5,"Weekend","Weekday")</f>
        <v>Weekday</v>
      </c>
      <c r="I4860" t="str">
        <f>_xlfn.IFS(B4860&lt;=5,"Night (0-5)",B4860&lt;=9,"Morning peak (6-9)",B4860&lt;=15,"Midday (10-15)",B4860&lt;=19,"Evening peak (16-19)",TRUE,"Late evening (20-23)")</f>
        <v>Midday (10-15)</v>
      </c>
    </row>
    <row r="4861" spans="1:9">
      <c r="A4861" s="32">
        <v>42024</v>
      </c>
      <c r="B4861">
        <v>12</v>
      </c>
      <c r="C4861">
        <v>1921</v>
      </c>
      <c r="D4861" t="s">
        <v>304</v>
      </c>
      <c r="E4861">
        <f>YEAR(A4861)</f>
        <v>2015</v>
      </c>
      <c r="F4861" s="33">
        <f>DATE(YEAR(A4861),MONTH(A4861),1)</f>
        <v>42005.0</v>
      </c>
      <c r="G4861" t="str">
        <f>CHOOSE(WEEKDAY(A4861,2),"Mon","Tue","Wed","Thu","Fri","Sat","Sun")</f>
        <v>Tue</v>
      </c>
      <c r="H4861" t="str">
        <f>IF(WEEKDAY(A4861,2)&gt;5,"Weekend","Weekday")</f>
        <v>Weekday</v>
      </c>
      <c r="I4861" t="str">
        <f>_xlfn.IFS(B4861&lt;=5,"Night (0-5)",B4861&lt;=9,"Morning peak (6-9)",B4861&lt;=15,"Midday (10-15)",B4861&lt;=19,"Evening peak (16-19)",TRUE,"Late evening (20-23)")</f>
        <v>Midday (10-15)</v>
      </c>
    </row>
    <row r="4862" spans="1:9">
      <c r="A4862" s="32">
        <v>42024</v>
      </c>
      <c r="B4862">
        <v>13</v>
      </c>
      <c r="C4862">
        <v>1927</v>
      </c>
      <c r="D4862" t="s">
        <v>304</v>
      </c>
      <c r="E4862">
        <f>YEAR(A4862)</f>
        <v>2015</v>
      </c>
      <c r="F4862" s="33">
        <f>DATE(YEAR(A4862),MONTH(A4862),1)</f>
        <v>42005.0</v>
      </c>
      <c r="G4862" t="str">
        <f>CHOOSE(WEEKDAY(A4862,2),"Mon","Tue","Wed","Thu","Fri","Sat","Sun")</f>
        <v>Tue</v>
      </c>
      <c r="H4862" t="str">
        <f>IF(WEEKDAY(A4862,2)&gt;5,"Weekend","Weekday")</f>
        <v>Weekday</v>
      </c>
      <c r="I4862" t="str">
        <f>_xlfn.IFS(B4862&lt;=5,"Night (0-5)",B4862&lt;=9,"Morning peak (6-9)",B4862&lt;=15,"Midday (10-15)",B4862&lt;=19,"Evening peak (16-19)",TRUE,"Late evening (20-23)")</f>
        <v>Midday (10-15)</v>
      </c>
    </row>
    <row r="4863" spans="1:9">
      <c r="A4863" s="32">
        <v>42024</v>
      </c>
      <c r="B4863">
        <v>14</v>
      </c>
      <c r="C4863">
        <v>2238</v>
      </c>
      <c r="D4863" t="s">
        <v>304</v>
      </c>
      <c r="E4863">
        <f>YEAR(A4863)</f>
        <v>2015</v>
      </c>
      <c r="F4863" s="33">
        <f>DATE(YEAR(A4863),MONTH(A4863),1)</f>
        <v>42005.0</v>
      </c>
      <c r="G4863" t="str">
        <f>CHOOSE(WEEKDAY(A4863,2),"Mon","Tue","Wed","Thu","Fri","Sat","Sun")</f>
        <v>Tue</v>
      </c>
      <c r="H4863" t="str">
        <f>IF(WEEKDAY(A4863,2)&gt;5,"Weekend","Weekday")</f>
        <v>Weekday</v>
      </c>
      <c r="I4863" t="str">
        <f>_xlfn.IFS(B4863&lt;=5,"Night (0-5)",B4863&lt;=9,"Morning peak (6-9)",B4863&lt;=15,"Midday (10-15)",B4863&lt;=19,"Evening peak (16-19)",TRUE,"Late evening (20-23)")</f>
        <v>Midday (10-15)</v>
      </c>
    </row>
    <row r="4864" spans="1:9">
      <c r="A4864" s="32">
        <v>42024</v>
      </c>
      <c r="B4864">
        <v>15</v>
      </c>
      <c r="C4864">
        <v>2532</v>
      </c>
      <c r="D4864" t="s">
        <v>304</v>
      </c>
      <c r="E4864">
        <f>YEAR(A4864)</f>
        <v>2015</v>
      </c>
      <c r="F4864" s="33">
        <f>DATE(YEAR(A4864),MONTH(A4864),1)</f>
        <v>42005.0</v>
      </c>
      <c r="G4864" t="str">
        <f>CHOOSE(WEEKDAY(A4864,2),"Mon","Tue","Wed","Thu","Fri","Sat","Sun")</f>
        <v>Tue</v>
      </c>
      <c r="H4864" t="str">
        <f>IF(WEEKDAY(A4864,2)&gt;5,"Weekend","Weekday")</f>
        <v>Weekday</v>
      </c>
      <c r="I4864" t="str">
        <f>_xlfn.IFS(B4864&lt;=5,"Night (0-5)",B4864&lt;=9,"Morning peak (6-9)",B4864&lt;=15,"Midday (10-15)",B4864&lt;=19,"Evening peak (16-19)",TRUE,"Late evening (20-23)")</f>
        <v>Midday (10-15)</v>
      </c>
    </row>
    <row r="4865" spans="1:9">
      <c r="A4865" s="32">
        <v>42024</v>
      </c>
      <c r="B4865">
        <v>16</v>
      </c>
      <c r="C4865">
        <v>3067</v>
      </c>
      <c r="D4865" t="s">
        <v>304</v>
      </c>
      <c r="E4865">
        <f>YEAR(A4865)</f>
        <v>2015</v>
      </c>
      <c r="F4865" s="33">
        <f>DATE(YEAR(A4865),MONTH(A4865),1)</f>
        <v>42005.0</v>
      </c>
      <c r="G4865" t="str">
        <f>CHOOSE(WEEKDAY(A4865,2),"Mon","Tue","Wed","Thu","Fri","Sat","Sun")</f>
        <v>Tue</v>
      </c>
      <c r="H4865" t="str">
        <f>IF(WEEKDAY(A4865,2)&gt;5,"Weekend","Weekday")</f>
        <v>Weekday</v>
      </c>
      <c r="I4865" t="str">
        <f>_xlfn.IFS(B4865&lt;=5,"Night (0-5)",B4865&lt;=9,"Morning peak (6-9)",B4865&lt;=15,"Midday (10-15)",B4865&lt;=19,"Evening peak (16-19)",TRUE,"Late evening (20-23)")</f>
        <v>Evening peak (16-19)</v>
      </c>
    </row>
    <row r="4866" spans="1:9">
      <c r="A4866" s="32">
        <v>42024</v>
      </c>
      <c r="B4866">
        <v>17</v>
      </c>
      <c r="C4866">
        <v>3864</v>
      </c>
      <c r="D4866" t="s">
        <v>304</v>
      </c>
      <c r="E4866">
        <f>YEAR(A4866)</f>
        <v>2015</v>
      </c>
      <c r="F4866" s="33">
        <f>DATE(YEAR(A4866),MONTH(A4866),1)</f>
        <v>42005.0</v>
      </c>
      <c r="G4866" t="str">
        <f>CHOOSE(WEEKDAY(A4866,2),"Mon","Tue","Wed","Thu","Fri","Sat","Sun")</f>
        <v>Tue</v>
      </c>
      <c r="H4866" t="str">
        <f>IF(WEEKDAY(A4866,2)&gt;5,"Weekend","Weekday")</f>
        <v>Weekday</v>
      </c>
      <c r="I4866" t="str">
        <f>_xlfn.IFS(B4866&lt;=5,"Night (0-5)",B4866&lt;=9,"Morning peak (6-9)",B4866&lt;=15,"Midday (10-15)",B4866&lt;=19,"Evening peak (16-19)",TRUE,"Late evening (20-23)")</f>
        <v>Evening peak (16-19)</v>
      </c>
    </row>
    <row r="4867" spans="1:9">
      <c r="A4867" s="32">
        <v>42024</v>
      </c>
      <c r="B4867">
        <v>18</v>
      </c>
      <c r="C4867">
        <v>4713</v>
      </c>
      <c r="D4867" t="s">
        <v>304</v>
      </c>
      <c r="E4867">
        <f>YEAR(A4867)</f>
        <v>2015</v>
      </c>
      <c r="F4867" s="33">
        <f>DATE(YEAR(A4867),MONTH(A4867),1)</f>
        <v>42005.0</v>
      </c>
      <c r="G4867" t="str">
        <f>CHOOSE(WEEKDAY(A4867,2),"Mon","Tue","Wed","Thu","Fri","Sat","Sun")</f>
        <v>Tue</v>
      </c>
      <c r="H4867" t="str">
        <f>IF(WEEKDAY(A4867,2)&gt;5,"Weekend","Weekday")</f>
        <v>Weekday</v>
      </c>
      <c r="I4867" t="str">
        <f>_xlfn.IFS(B4867&lt;=5,"Night (0-5)",B4867&lt;=9,"Morning peak (6-9)",B4867&lt;=15,"Midday (10-15)",B4867&lt;=19,"Evening peak (16-19)",TRUE,"Late evening (20-23)")</f>
        <v>Evening peak (16-19)</v>
      </c>
    </row>
    <row r="4868" spans="1:9">
      <c r="A4868" s="32">
        <v>42024</v>
      </c>
      <c r="B4868">
        <v>19</v>
      </c>
      <c r="C4868">
        <v>4150</v>
      </c>
      <c r="D4868" t="s">
        <v>304</v>
      </c>
      <c r="E4868">
        <f>YEAR(A4868)</f>
        <v>2015</v>
      </c>
      <c r="F4868" s="33">
        <f>DATE(YEAR(A4868),MONTH(A4868),1)</f>
        <v>42005.0</v>
      </c>
      <c r="G4868" t="str">
        <f>CHOOSE(WEEKDAY(A4868,2),"Mon","Tue","Wed","Thu","Fri","Sat","Sun")</f>
        <v>Tue</v>
      </c>
      <c r="H4868" t="str">
        <f>IF(WEEKDAY(A4868,2)&gt;5,"Weekend","Weekday")</f>
        <v>Weekday</v>
      </c>
      <c r="I4868" t="str">
        <f>_xlfn.IFS(B4868&lt;=5,"Night (0-5)",B4868&lt;=9,"Morning peak (6-9)",B4868&lt;=15,"Midday (10-15)",B4868&lt;=19,"Evening peak (16-19)",TRUE,"Late evening (20-23)")</f>
        <v>Evening peak (16-19)</v>
      </c>
    </row>
    <row r="4869" spans="1:9">
      <c r="A4869" s="32">
        <v>42024</v>
      </c>
      <c r="B4869">
        <v>20</v>
      </c>
      <c r="C4869">
        <v>3853</v>
      </c>
      <c r="D4869" t="s">
        <v>304</v>
      </c>
      <c r="E4869">
        <f>YEAR(A4869)</f>
        <v>2015</v>
      </c>
      <c r="F4869" s="33">
        <f>DATE(YEAR(A4869),MONTH(A4869),1)</f>
        <v>42005.0</v>
      </c>
      <c r="G4869" t="str">
        <f>CHOOSE(WEEKDAY(A4869,2),"Mon","Tue","Wed","Thu","Fri","Sat","Sun")</f>
        <v>Tue</v>
      </c>
      <c r="H4869" t="str">
        <f>IF(WEEKDAY(A4869,2)&gt;5,"Weekend","Weekday")</f>
        <v>Weekday</v>
      </c>
      <c r="I4869" t="str">
        <f>_xlfn.IFS(B4869&lt;=5,"Night (0-5)",B4869&lt;=9,"Morning peak (6-9)",B4869&lt;=15,"Midday (10-15)",B4869&lt;=19,"Evening peak (16-19)",TRUE,"Late evening (20-23)")</f>
        <v>Late evening (20-23)</v>
      </c>
    </row>
    <row r="4870" spans="1:9">
      <c r="A4870" s="32">
        <v>42024</v>
      </c>
      <c r="B4870">
        <v>21</v>
      </c>
      <c r="C4870">
        <v>3698</v>
      </c>
      <c r="D4870" t="s">
        <v>304</v>
      </c>
      <c r="E4870">
        <f>YEAR(A4870)</f>
        <v>2015</v>
      </c>
      <c r="F4870" s="33">
        <f>DATE(YEAR(A4870),MONTH(A4870),1)</f>
        <v>42005.0</v>
      </c>
      <c r="G4870" t="str">
        <f>CHOOSE(WEEKDAY(A4870,2),"Mon","Tue","Wed","Thu","Fri","Sat","Sun")</f>
        <v>Tue</v>
      </c>
      <c r="H4870" t="str">
        <f>IF(WEEKDAY(A4870,2)&gt;5,"Weekend","Weekday")</f>
        <v>Weekday</v>
      </c>
      <c r="I4870" t="str">
        <f>_xlfn.IFS(B4870&lt;=5,"Night (0-5)",B4870&lt;=9,"Morning peak (6-9)",B4870&lt;=15,"Midday (10-15)",B4870&lt;=19,"Evening peak (16-19)",TRUE,"Late evening (20-23)")</f>
        <v>Late evening (20-23)</v>
      </c>
    </row>
    <row r="4871" spans="1:9">
      <c r="A4871" s="32">
        <v>42024</v>
      </c>
      <c r="B4871">
        <v>22</v>
      </c>
      <c r="C4871">
        <v>3245</v>
      </c>
      <c r="D4871" t="s">
        <v>304</v>
      </c>
      <c r="E4871">
        <f>YEAR(A4871)</f>
        <v>2015</v>
      </c>
      <c r="F4871" s="33">
        <f>DATE(YEAR(A4871),MONTH(A4871),1)</f>
        <v>42005.0</v>
      </c>
      <c r="G4871" t="str">
        <f>CHOOSE(WEEKDAY(A4871,2),"Mon","Tue","Wed","Thu","Fri","Sat","Sun")</f>
        <v>Tue</v>
      </c>
      <c r="H4871" t="str">
        <f>IF(WEEKDAY(A4871,2)&gt;5,"Weekend","Weekday")</f>
        <v>Weekday</v>
      </c>
      <c r="I4871" t="str">
        <f>_xlfn.IFS(B4871&lt;=5,"Night (0-5)",B4871&lt;=9,"Morning peak (6-9)",B4871&lt;=15,"Midday (10-15)",B4871&lt;=19,"Evening peak (16-19)",TRUE,"Late evening (20-23)")</f>
        <v>Late evening (20-23)</v>
      </c>
    </row>
    <row r="4872" spans="1:9">
      <c r="A4872" s="32">
        <v>42024</v>
      </c>
      <c r="B4872">
        <v>23</v>
      </c>
      <c r="C4872">
        <v>2182</v>
      </c>
      <c r="D4872" t="s">
        <v>304</v>
      </c>
      <c r="E4872">
        <f>YEAR(A4872)</f>
        <v>2015</v>
      </c>
      <c r="F4872" s="33">
        <f>DATE(YEAR(A4872),MONTH(A4872),1)</f>
        <v>42005.0</v>
      </c>
      <c r="G4872" t="str">
        <f>CHOOSE(WEEKDAY(A4872,2),"Mon","Tue","Wed","Thu","Fri","Sat","Sun")</f>
        <v>Tue</v>
      </c>
      <c r="H4872" t="str">
        <f>IF(WEEKDAY(A4872,2)&gt;5,"Weekend","Weekday")</f>
        <v>Weekday</v>
      </c>
      <c r="I4872" t="str">
        <f>_xlfn.IFS(B4872&lt;=5,"Night (0-5)",B4872&lt;=9,"Morning peak (6-9)",B4872&lt;=15,"Midday (10-15)",B4872&lt;=19,"Evening peak (16-19)",TRUE,"Late evening (20-23)")</f>
        <v>Late evening (20-23)</v>
      </c>
    </row>
    <row r="4873" spans="1:9">
      <c r="A4873" s="32">
        <v>42025</v>
      </c>
      <c r="B4873">
        <v>0</v>
      </c>
      <c r="C4873">
        <v>1291</v>
      </c>
      <c r="D4873" t="s">
        <v>304</v>
      </c>
      <c r="E4873">
        <f>YEAR(A4873)</f>
        <v>2015</v>
      </c>
      <c r="F4873" s="33">
        <f>DATE(YEAR(A4873),MONTH(A4873),1)</f>
        <v>42005.0</v>
      </c>
      <c r="G4873" t="str">
        <f>CHOOSE(WEEKDAY(A4873,2),"Mon","Tue","Wed","Thu","Fri","Sat","Sun")</f>
        <v>Wed</v>
      </c>
      <c r="H4873" t="str">
        <f>IF(WEEKDAY(A4873,2)&gt;5,"Weekend","Weekday")</f>
        <v>Weekday</v>
      </c>
      <c r="I4873" t="str">
        <f>_xlfn.IFS(B4873&lt;=5,"Night (0-5)",B4873&lt;=9,"Morning peak (6-9)",B4873&lt;=15,"Midday (10-15)",B4873&lt;=19,"Evening peak (16-19)",TRUE,"Late evening (20-23)")</f>
        <v>Night (0-5)</v>
      </c>
    </row>
    <row r="4874" spans="1:9">
      <c r="A4874" s="32">
        <v>42025</v>
      </c>
      <c r="B4874">
        <v>1</v>
      </c>
      <c r="C4874">
        <v>750</v>
      </c>
      <c r="D4874" t="s">
        <v>304</v>
      </c>
      <c r="E4874">
        <f>YEAR(A4874)</f>
        <v>2015</v>
      </c>
      <c r="F4874" s="33">
        <f>DATE(YEAR(A4874),MONTH(A4874),1)</f>
        <v>42005.0</v>
      </c>
      <c r="G4874" t="str">
        <f>CHOOSE(WEEKDAY(A4874,2),"Mon","Tue","Wed","Thu","Fri","Sat","Sun")</f>
        <v>Wed</v>
      </c>
      <c r="H4874" t="str">
        <f>IF(WEEKDAY(A4874,2)&gt;5,"Weekend","Weekday")</f>
        <v>Weekday</v>
      </c>
      <c r="I4874" t="str">
        <f>_xlfn.IFS(B4874&lt;=5,"Night (0-5)",B4874&lt;=9,"Morning peak (6-9)",B4874&lt;=15,"Midday (10-15)",B4874&lt;=19,"Evening peak (16-19)",TRUE,"Late evening (20-23)")</f>
        <v>Night (0-5)</v>
      </c>
    </row>
    <row r="4875" spans="1:9">
      <c r="A4875" s="32">
        <v>42025</v>
      </c>
      <c r="B4875">
        <v>2</v>
      </c>
      <c r="C4875">
        <v>455</v>
      </c>
      <c r="D4875" t="s">
        <v>304</v>
      </c>
      <c r="E4875">
        <f>YEAR(A4875)</f>
        <v>2015</v>
      </c>
      <c r="F4875" s="33">
        <f>DATE(YEAR(A4875),MONTH(A4875),1)</f>
        <v>42005.0</v>
      </c>
      <c r="G4875" t="str">
        <f>CHOOSE(WEEKDAY(A4875,2),"Mon","Tue","Wed","Thu","Fri","Sat","Sun")</f>
        <v>Wed</v>
      </c>
      <c r="H4875" t="str">
        <f>IF(WEEKDAY(A4875,2)&gt;5,"Weekend","Weekday")</f>
        <v>Weekday</v>
      </c>
      <c r="I4875" t="str">
        <f>_xlfn.IFS(B4875&lt;=5,"Night (0-5)",B4875&lt;=9,"Morning peak (6-9)",B4875&lt;=15,"Midday (10-15)",B4875&lt;=19,"Evening peak (16-19)",TRUE,"Late evening (20-23)")</f>
        <v>Night (0-5)</v>
      </c>
    </row>
    <row r="4876" spans="1:9">
      <c r="A4876" s="32">
        <v>42025</v>
      </c>
      <c r="B4876">
        <v>3</v>
      </c>
      <c r="C4876">
        <v>256</v>
      </c>
      <c r="D4876" t="s">
        <v>304</v>
      </c>
      <c r="E4876">
        <f>YEAR(A4876)</f>
        <v>2015</v>
      </c>
      <c r="F4876" s="33">
        <f>DATE(YEAR(A4876),MONTH(A4876),1)</f>
        <v>42005.0</v>
      </c>
      <c r="G4876" t="str">
        <f>CHOOSE(WEEKDAY(A4876,2),"Mon","Tue","Wed","Thu","Fri","Sat","Sun")</f>
        <v>Wed</v>
      </c>
      <c r="H4876" t="str">
        <f>IF(WEEKDAY(A4876,2)&gt;5,"Weekend","Weekday")</f>
        <v>Weekday</v>
      </c>
      <c r="I4876" t="str">
        <f>_xlfn.IFS(B4876&lt;=5,"Night (0-5)",B4876&lt;=9,"Morning peak (6-9)",B4876&lt;=15,"Midday (10-15)",B4876&lt;=19,"Evening peak (16-19)",TRUE,"Late evening (20-23)")</f>
        <v>Night (0-5)</v>
      </c>
    </row>
    <row r="4877" spans="1:9">
      <c r="A4877" s="32">
        <v>42025</v>
      </c>
      <c r="B4877">
        <v>4</v>
      </c>
      <c r="C4877">
        <v>510</v>
      </c>
      <c r="D4877" t="s">
        <v>304</v>
      </c>
      <c r="E4877">
        <f>YEAR(A4877)</f>
        <v>2015</v>
      </c>
      <c r="F4877" s="33">
        <f>DATE(YEAR(A4877),MONTH(A4877),1)</f>
        <v>42005.0</v>
      </c>
      <c r="G4877" t="str">
        <f>CHOOSE(WEEKDAY(A4877,2),"Mon","Tue","Wed","Thu","Fri","Sat","Sun")</f>
        <v>Wed</v>
      </c>
      <c r="H4877" t="str">
        <f>IF(WEEKDAY(A4877,2)&gt;5,"Weekend","Weekday")</f>
        <v>Weekday</v>
      </c>
      <c r="I4877" t="str">
        <f>_xlfn.IFS(B4877&lt;=5,"Night (0-5)",B4877&lt;=9,"Morning peak (6-9)",B4877&lt;=15,"Midday (10-15)",B4877&lt;=19,"Evening peak (16-19)",TRUE,"Late evening (20-23)")</f>
        <v>Night (0-5)</v>
      </c>
    </row>
    <row r="4878" spans="1:9">
      <c r="A4878" s="32">
        <v>42025</v>
      </c>
      <c r="B4878">
        <v>5</v>
      </c>
      <c r="C4878">
        <v>841</v>
      </c>
      <c r="D4878" t="s">
        <v>304</v>
      </c>
      <c r="E4878">
        <f>YEAR(A4878)</f>
        <v>2015</v>
      </c>
      <c r="F4878" s="33">
        <f>DATE(YEAR(A4878),MONTH(A4878),1)</f>
        <v>42005.0</v>
      </c>
      <c r="G4878" t="str">
        <f>CHOOSE(WEEKDAY(A4878,2),"Mon","Tue","Wed","Thu","Fri","Sat","Sun")</f>
        <v>Wed</v>
      </c>
      <c r="H4878" t="str">
        <f>IF(WEEKDAY(A4878,2)&gt;5,"Weekend","Weekday")</f>
        <v>Weekday</v>
      </c>
      <c r="I4878" t="str">
        <f>_xlfn.IFS(B4878&lt;=5,"Night (0-5)",B4878&lt;=9,"Morning peak (6-9)",B4878&lt;=15,"Midday (10-15)",B4878&lt;=19,"Evening peak (16-19)",TRUE,"Late evening (20-23)")</f>
        <v>Night (0-5)</v>
      </c>
    </row>
    <row r="4879" spans="1:9">
      <c r="A4879" s="32">
        <v>42025</v>
      </c>
      <c r="B4879">
        <v>6</v>
      </c>
      <c r="C4879">
        <v>1532</v>
      </c>
      <c r="D4879" t="s">
        <v>304</v>
      </c>
      <c r="E4879">
        <f>YEAR(A4879)</f>
        <v>2015</v>
      </c>
      <c r="F4879" s="33">
        <f>DATE(YEAR(A4879),MONTH(A4879),1)</f>
        <v>42005.0</v>
      </c>
      <c r="G4879" t="str">
        <f>CHOOSE(WEEKDAY(A4879,2),"Mon","Tue","Wed","Thu","Fri","Sat","Sun")</f>
        <v>Wed</v>
      </c>
      <c r="H4879" t="str">
        <f>IF(WEEKDAY(A4879,2)&gt;5,"Weekend","Weekday")</f>
        <v>Weekday</v>
      </c>
      <c r="I4879" t="str">
        <f>_xlfn.IFS(B4879&lt;=5,"Night (0-5)",B4879&lt;=9,"Morning peak (6-9)",B4879&lt;=15,"Midday (10-15)",B4879&lt;=19,"Evening peak (16-19)",TRUE,"Late evening (20-23)")</f>
        <v>Morning peak (6-9)</v>
      </c>
    </row>
    <row r="4880" spans="1:9">
      <c r="A4880" s="32">
        <v>42025</v>
      </c>
      <c r="B4880">
        <v>7</v>
      </c>
      <c r="C4880">
        <v>2777</v>
      </c>
      <c r="D4880" t="s">
        <v>304</v>
      </c>
      <c r="E4880">
        <f>YEAR(A4880)</f>
        <v>2015</v>
      </c>
      <c r="F4880" s="33">
        <f>DATE(YEAR(A4880),MONTH(A4880),1)</f>
        <v>42005.0</v>
      </c>
      <c r="G4880" t="str">
        <f>CHOOSE(WEEKDAY(A4880,2),"Mon","Tue","Wed","Thu","Fri","Sat","Sun")</f>
        <v>Wed</v>
      </c>
      <c r="H4880" t="str">
        <f>IF(WEEKDAY(A4880,2)&gt;5,"Weekend","Weekday")</f>
        <v>Weekday</v>
      </c>
      <c r="I4880" t="str">
        <f>_xlfn.IFS(B4880&lt;=5,"Night (0-5)",B4880&lt;=9,"Morning peak (6-9)",B4880&lt;=15,"Midday (10-15)",B4880&lt;=19,"Evening peak (16-19)",TRUE,"Late evening (20-23)")</f>
        <v>Morning peak (6-9)</v>
      </c>
    </row>
    <row r="4881" spans="1:9">
      <c r="A4881" s="32">
        <v>42025</v>
      </c>
      <c r="B4881">
        <v>8</v>
      </c>
      <c r="C4881">
        <v>3592</v>
      </c>
      <c r="D4881" t="s">
        <v>304</v>
      </c>
      <c r="E4881">
        <f>YEAR(A4881)</f>
        <v>2015</v>
      </c>
      <c r="F4881" s="33">
        <f>DATE(YEAR(A4881),MONTH(A4881),1)</f>
        <v>42005.0</v>
      </c>
      <c r="G4881" t="str">
        <f>CHOOSE(WEEKDAY(A4881,2),"Mon","Tue","Wed","Thu","Fri","Sat","Sun")</f>
        <v>Wed</v>
      </c>
      <c r="H4881" t="str">
        <f>IF(WEEKDAY(A4881,2)&gt;5,"Weekend","Weekday")</f>
        <v>Weekday</v>
      </c>
      <c r="I4881" t="str">
        <f>_xlfn.IFS(B4881&lt;=5,"Night (0-5)",B4881&lt;=9,"Morning peak (6-9)",B4881&lt;=15,"Midday (10-15)",B4881&lt;=19,"Evening peak (16-19)",TRUE,"Late evening (20-23)")</f>
        <v>Morning peak (6-9)</v>
      </c>
    </row>
    <row r="4882" spans="1:9">
      <c r="A4882" s="32">
        <v>42025</v>
      </c>
      <c r="B4882">
        <v>9</v>
      </c>
      <c r="C4882">
        <v>3107</v>
      </c>
      <c r="D4882" t="s">
        <v>304</v>
      </c>
      <c r="E4882">
        <f>YEAR(A4882)</f>
        <v>2015</v>
      </c>
      <c r="F4882" s="33">
        <f>DATE(YEAR(A4882),MONTH(A4882),1)</f>
        <v>42005.0</v>
      </c>
      <c r="G4882" t="str">
        <f>CHOOSE(WEEKDAY(A4882,2),"Mon","Tue","Wed","Thu","Fri","Sat","Sun")</f>
        <v>Wed</v>
      </c>
      <c r="H4882" t="str">
        <f>IF(WEEKDAY(A4882,2)&gt;5,"Weekend","Weekday")</f>
        <v>Weekday</v>
      </c>
      <c r="I4882" t="str">
        <f>_xlfn.IFS(B4882&lt;=5,"Night (0-5)",B4882&lt;=9,"Morning peak (6-9)",B4882&lt;=15,"Midday (10-15)",B4882&lt;=19,"Evening peak (16-19)",TRUE,"Late evening (20-23)")</f>
        <v>Morning peak (6-9)</v>
      </c>
    </row>
    <row r="4883" spans="1:9">
      <c r="A4883" s="32">
        <v>42025</v>
      </c>
      <c r="B4883">
        <v>10</v>
      </c>
      <c r="C4883">
        <v>2283</v>
      </c>
      <c r="D4883" t="s">
        <v>304</v>
      </c>
      <c r="E4883">
        <f>YEAR(A4883)</f>
        <v>2015</v>
      </c>
      <c r="F4883" s="33">
        <f>DATE(YEAR(A4883),MONTH(A4883),1)</f>
        <v>42005.0</v>
      </c>
      <c r="G4883" t="str">
        <f>CHOOSE(WEEKDAY(A4883,2),"Mon","Tue","Wed","Thu","Fri","Sat","Sun")</f>
        <v>Wed</v>
      </c>
      <c r="H4883" t="str">
        <f>IF(WEEKDAY(A4883,2)&gt;5,"Weekend","Weekday")</f>
        <v>Weekday</v>
      </c>
      <c r="I4883" t="str">
        <f>_xlfn.IFS(B4883&lt;=5,"Night (0-5)",B4883&lt;=9,"Morning peak (6-9)",B4883&lt;=15,"Midday (10-15)",B4883&lt;=19,"Evening peak (16-19)",TRUE,"Late evening (20-23)")</f>
        <v>Midday (10-15)</v>
      </c>
    </row>
    <row r="4884" spans="1:9">
      <c r="A4884" s="32">
        <v>42025</v>
      </c>
      <c r="B4884">
        <v>11</v>
      </c>
      <c r="C4884">
        <v>2142</v>
      </c>
      <c r="D4884" t="s">
        <v>304</v>
      </c>
      <c r="E4884">
        <f>YEAR(A4884)</f>
        <v>2015</v>
      </c>
      <c r="F4884" s="33">
        <f>DATE(YEAR(A4884),MONTH(A4884),1)</f>
        <v>42005.0</v>
      </c>
      <c r="G4884" t="str">
        <f>CHOOSE(WEEKDAY(A4884,2),"Mon","Tue","Wed","Thu","Fri","Sat","Sun")</f>
        <v>Wed</v>
      </c>
      <c r="H4884" t="str">
        <f>IF(WEEKDAY(A4884,2)&gt;5,"Weekend","Weekday")</f>
        <v>Weekday</v>
      </c>
      <c r="I4884" t="str">
        <f>_xlfn.IFS(B4884&lt;=5,"Night (0-5)",B4884&lt;=9,"Morning peak (6-9)",B4884&lt;=15,"Midday (10-15)",B4884&lt;=19,"Evening peak (16-19)",TRUE,"Late evening (20-23)")</f>
        <v>Midday (10-15)</v>
      </c>
    </row>
    <row r="4885" spans="1:9">
      <c r="A4885" s="32">
        <v>42025</v>
      </c>
      <c r="B4885">
        <v>12</v>
      </c>
      <c r="C4885">
        <v>2114</v>
      </c>
      <c r="D4885" t="s">
        <v>304</v>
      </c>
      <c r="E4885">
        <f>YEAR(A4885)</f>
        <v>2015</v>
      </c>
      <c r="F4885" s="33">
        <f>DATE(YEAR(A4885),MONTH(A4885),1)</f>
        <v>42005.0</v>
      </c>
      <c r="G4885" t="str">
        <f>CHOOSE(WEEKDAY(A4885,2),"Mon","Tue","Wed","Thu","Fri","Sat","Sun")</f>
        <v>Wed</v>
      </c>
      <c r="H4885" t="str">
        <f>IF(WEEKDAY(A4885,2)&gt;5,"Weekend","Weekday")</f>
        <v>Weekday</v>
      </c>
      <c r="I4885" t="str">
        <f>_xlfn.IFS(B4885&lt;=5,"Night (0-5)",B4885&lt;=9,"Morning peak (6-9)",B4885&lt;=15,"Midday (10-15)",B4885&lt;=19,"Evening peak (16-19)",TRUE,"Late evening (20-23)")</f>
        <v>Midday (10-15)</v>
      </c>
    </row>
    <row r="4886" spans="1:9">
      <c r="A4886" s="32">
        <v>42025</v>
      </c>
      <c r="B4886">
        <v>13</v>
      </c>
      <c r="C4886">
        <v>2030</v>
      </c>
      <c r="D4886" t="s">
        <v>304</v>
      </c>
      <c r="E4886">
        <f>YEAR(A4886)</f>
        <v>2015</v>
      </c>
      <c r="F4886" s="33">
        <f>DATE(YEAR(A4886),MONTH(A4886),1)</f>
        <v>42005.0</v>
      </c>
      <c r="G4886" t="str">
        <f>CHOOSE(WEEKDAY(A4886,2),"Mon","Tue","Wed","Thu","Fri","Sat","Sun")</f>
        <v>Wed</v>
      </c>
      <c r="H4886" t="str">
        <f>IF(WEEKDAY(A4886,2)&gt;5,"Weekend","Weekday")</f>
        <v>Weekday</v>
      </c>
      <c r="I4886" t="str">
        <f>_xlfn.IFS(B4886&lt;=5,"Night (0-5)",B4886&lt;=9,"Morning peak (6-9)",B4886&lt;=15,"Midday (10-15)",B4886&lt;=19,"Evening peak (16-19)",TRUE,"Late evening (20-23)")</f>
        <v>Midday (10-15)</v>
      </c>
    </row>
    <row r="4887" spans="1:9">
      <c r="A4887" s="32">
        <v>42025</v>
      </c>
      <c r="B4887">
        <v>14</v>
      </c>
      <c r="C4887">
        <v>2333</v>
      </c>
      <c r="D4887" t="s">
        <v>304</v>
      </c>
      <c r="E4887">
        <f>YEAR(A4887)</f>
        <v>2015</v>
      </c>
      <c r="F4887" s="33">
        <f>DATE(YEAR(A4887),MONTH(A4887),1)</f>
        <v>42005.0</v>
      </c>
      <c r="G4887" t="str">
        <f>CHOOSE(WEEKDAY(A4887,2),"Mon","Tue","Wed","Thu","Fri","Sat","Sun")</f>
        <v>Wed</v>
      </c>
      <c r="H4887" t="str">
        <f>IF(WEEKDAY(A4887,2)&gt;5,"Weekend","Weekday")</f>
        <v>Weekday</v>
      </c>
      <c r="I4887" t="str">
        <f>_xlfn.IFS(B4887&lt;=5,"Night (0-5)",B4887&lt;=9,"Morning peak (6-9)",B4887&lt;=15,"Midday (10-15)",B4887&lt;=19,"Evening peak (16-19)",TRUE,"Late evening (20-23)")</f>
        <v>Midday (10-15)</v>
      </c>
    </row>
    <row r="4888" spans="1:9">
      <c r="A4888" s="32">
        <v>42025</v>
      </c>
      <c r="B4888">
        <v>15</v>
      </c>
      <c r="C4888">
        <v>2695</v>
      </c>
      <c r="D4888" t="s">
        <v>304</v>
      </c>
      <c r="E4888">
        <f>YEAR(A4888)</f>
        <v>2015</v>
      </c>
      <c r="F4888" s="33">
        <f>DATE(YEAR(A4888),MONTH(A4888),1)</f>
        <v>42005.0</v>
      </c>
      <c r="G4888" t="str">
        <f>CHOOSE(WEEKDAY(A4888,2),"Mon","Tue","Wed","Thu","Fri","Sat","Sun")</f>
        <v>Wed</v>
      </c>
      <c r="H4888" t="str">
        <f>IF(WEEKDAY(A4888,2)&gt;5,"Weekend","Weekday")</f>
        <v>Weekday</v>
      </c>
      <c r="I4888" t="str">
        <f>_xlfn.IFS(B4888&lt;=5,"Night (0-5)",B4888&lt;=9,"Morning peak (6-9)",B4888&lt;=15,"Midday (10-15)",B4888&lt;=19,"Evening peak (16-19)",TRUE,"Late evening (20-23)")</f>
        <v>Midday (10-15)</v>
      </c>
    </row>
    <row r="4889" spans="1:9">
      <c r="A4889" s="32">
        <v>42025</v>
      </c>
      <c r="B4889">
        <v>16</v>
      </c>
      <c r="C4889">
        <v>3212</v>
      </c>
      <c r="D4889" t="s">
        <v>304</v>
      </c>
      <c r="E4889">
        <f>YEAR(A4889)</f>
        <v>2015</v>
      </c>
      <c r="F4889" s="33">
        <f>DATE(YEAR(A4889),MONTH(A4889),1)</f>
        <v>42005.0</v>
      </c>
      <c r="G4889" t="str">
        <f>CHOOSE(WEEKDAY(A4889,2),"Mon","Tue","Wed","Thu","Fri","Sat","Sun")</f>
        <v>Wed</v>
      </c>
      <c r="H4889" t="str">
        <f>IF(WEEKDAY(A4889,2)&gt;5,"Weekend","Weekday")</f>
        <v>Weekday</v>
      </c>
      <c r="I4889" t="str">
        <f>_xlfn.IFS(B4889&lt;=5,"Night (0-5)",B4889&lt;=9,"Morning peak (6-9)",B4889&lt;=15,"Midday (10-15)",B4889&lt;=19,"Evening peak (16-19)",TRUE,"Late evening (20-23)")</f>
        <v>Evening peak (16-19)</v>
      </c>
    </row>
    <row r="4890" spans="1:9">
      <c r="A4890" s="32">
        <v>42025</v>
      </c>
      <c r="B4890">
        <v>17</v>
      </c>
      <c r="C4890">
        <v>4258</v>
      </c>
      <c r="D4890" t="s">
        <v>304</v>
      </c>
      <c r="E4890">
        <f>YEAR(A4890)</f>
        <v>2015</v>
      </c>
      <c r="F4890" s="33">
        <f>DATE(YEAR(A4890),MONTH(A4890),1)</f>
        <v>42005.0</v>
      </c>
      <c r="G4890" t="str">
        <f>CHOOSE(WEEKDAY(A4890,2),"Mon","Tue","Wed","Thu","Fri","Sat","Sun")</f>
        <v>Wed</v>
      </c>
      <c r="H4890" t="str">
        <f>IF(WEEKDAY(A4890,2)&gt;5,"Weekend","Weekday")</f>
        <v>Weekday</v>
      </c>
      <c r="I4890" t="str">
        <f>_xlfn.IFS(B4890&lt;=5,"Night (0-5)",B4890&lt;=9,"Morning peak (6-9)",B4890&lt;=15,"Midday (10-15)",B4890&lt;=19,"Evening peak (16-19)",TRUE,"Late evening (20-23)")</f>
        <v>Evening peak (16-19)</v>
      </c>
    </row>
    <row r="4891" spans="1:9">
      <c r="A4891" s="32">
        <v>42025</v>
      </c>
      <c r="B4891">
        <v>18</v>
      </c>
      <c r="C4891">
        <v>5047</v>
      </c>
      <c r="D4891" t="s">
        <v>304</v>
      </c>
      <c r="E4891">
        <f>YEAR(A4891)</f>
        <v>2015</v>
      </c>
      <c r="F4891" s="33">
        <f>DATE(YEAR(A4891),MONTH(A4891),1)</f>
        <v>42005.0</v>
      </c>
      <c r="G4891" t="str">
        <f>CHOOSE(WEEKDAY(A4891,2),"Mon","Tue","Wed","Thu","Fri","Sat","Sun")</f>
        <v>Wed</v>
      </c>
      <c r="H4891" t="str">
        <f>IF(WEEKDAY(A4891,2)&gt;5,"Weekend","Weekday")</f>
        <v>Weekday</v>
      </c>
      <c r="I4891" t="str">
        <f>_xlfn.IFS(B4891&lt;=5,"Night (0-5)",B4891&lt;=9,"Morning peak (6-9)",B4891&lt;=15,"Midday (10-15)",B4891&lt;=19,"Evening peak (16-19)",TRUE,"Late evening (20-23)")</f>
        <v>Evening peak (16-19)</v>
      </c>
    </row>
    <row r="4892" spans="1:9">
      <c r="A4892" s="32">
        <v>42025</v>
      </c>
      <c r="B4892">
        <v>19</v>
      </c>
      <c r="C4892">
        <v>4598</v>
      </c>
      <c r="D4892" t="s">
        <v>304</v>
      </c>
      <c r="E4892">
        <f>YEAR(A4892)</f>
        <v>2015</v>
      </c>
      <c r="F4892" s="33">
        <f>DATE(YEAR(A4892),MONTH(A4892),1)</f>
        <v>42005.0</v>
      </c>
      <c r="G4892" t="str">
        <f>CHOOSE(WEEKDAY(A4892,2),"Mon","Tue","Wed","Thu","Fri","Sat","Sun")</f>
        <v>Wed</v>
      </c>
      <c r="H4892" t="str">
        <f>IF(WEEKDAY(A4892,2)&gt;5,"Weekend","Weekday")</f>
        <v>Weekday</v>
      </c>
      <c r="I4892" t="str">
        <f>_xlfn.IFS(B4892&lt;=5,"Night (0-5)",B4892&lt;=9,"Morning peak (6-9)",B4892&lt;=15,"Midday (10-15)",B4892&lt;=19,"Evening peak (16-19)",TRUE,"Late evening (20-23)")</f>
        <v>Evening peak (16-19)</v>
      </c>
    </row>
    <row r="4893" spans="1:9">
      <c r="A4893" s="32">
        <v>42025</v>
      </c>
      <c r="B4893">
        <v>20</v>
      </c>
      <c r="C4893">
        <v>4269</v>
      </c>
      <c r="D4893" t="s">
        <v>304</v>
      </c>
      <c r="E4893">
        <f>YEAR(A4893)</f>
        <v>2015</v>
      </c>
      <c r="F4893" s="33">
        <f>DATE(YEAR(A4893),MONTH(A4893),1)</f>
        <v>42005.0</v>
      </c>
      <c r="G4893" t="str">
        <f>CHOOSE(WEEKDAY(A4893,2),"Mon","Tue","Wed","Thu","Fri","Sat","Sun")</f>
        <v>Wed</v>
      </c>
      <c r="H4893" t="str">
        <f>IF(WEEKDAY(A4893,2)&gt;5,"Weekend","Weekday")</f>
        <v>Weekday</v>
      </c>
      <c r="I4893" t="str">
        <f>_xlfn.IFS(B4893&lt;=5,"Night (0-5)",B4893&lt;=9,"Morning peak (6-9)",B4893&lt;=15,"Midday (10-15)",B4893&lt;=19,"Evening peak (16-19)",TRUE,"Late evening (20-23)")</f>
        <v>Late evening (20-23)</v>
      </c>
    </row>
    <row r="4894" spans="1:9">
      <c r="A4894" s="32">
        <v>42025</v>
      </c>
      <c r="B4894">
        <v>21</v>
      </c>
      <c r="C4894">
        <v>4133</v>
      </c>
      <c r="D4894" t="s">
        <v>304</v>
      </c>
      <c r="E4894">
        <f>YEAR(A4894)</f>
        <v>2015</v>
      </c>
      <c r="F4894" s="33">
        <f>DATE(YEAR(A4894),MONTH(A4894),1)</f>
        <v>42005.0</v>
      </c>
      <c r="G4894" t="str">
        <f>CHOOSE(WEEKDAY(A4894,2),"Mon","Tue","Wed","Thu","Fri","Sat","Sun")</f>
        <v>Wed</v>
      </c>
      <c r="H4894" t="str">
        <f>IF(WEEKDAY(A4894,2)&gt;5,"Weekend","Weekday")</f>
        <v>Weekday</v>
      </c>
      <c r="I4894" t="str">
        <f>_xlfn.IFS(B4894&lt;=5,"Night (0-5)",B4894&lt;=9,"Morning peak (6-9)",B4894&lt;=15,"Midday (10-15)",B4894&lt;=19,"Evening peak (16-19)",TRUE,"Late evening (20-23)")</f>
        <v>Late evening (20-23)</v>
      </c>
    </row>
    <row r="4895" spans="1:9">
      <c r="A4895" s="32">
        <v>42025</v>
      </c>
      <c r="B4895">
        <v>22</v>
      </c>
      <c r="C4895">
        <v>3658</v>
      </c>
      <c r="D4895" t="s">
        <v>304</v>
      </c>
      <c r="E4895">
        <f>YEAR(A4895)</f>
        <v>2015</v>
      </c>
      <c r="F4895" s="33">
        <f>DATE(YEAR(A4895),MONTH(A4895),1)</f>
        <v>42005.0</v>
      </c>
      <c r="G4895" t="str">
        <f>CHOOSE(WEEKDAY(A4895,2),"Mon","Tue","Wed","Thu","Fri","Sat","Sun")</f>
        <v>Wed</v>
      </c>
      <c r="H4895" t="str">
        <f>IF(WEEKDAY(A4895,2)&gt;5,"Weekend","Weekday")</f>
        <v>Weekday</v>
      </c>
      <c r="I4895" t="str">
        <f>_xlfn.IFS(B4895&lt;=5,"Night (0-5)",B4895&lt;=9,"Morning peak (6-9)",B4895&lt;=15,"Midday (10-15)",B4895&lt;=19,"Evening peak (16-19)",TRUE,"Late evening (20-23)")</f>
        <v>Late evening (20-23)</v>
      </c>
    </row>
    <row r="4896" spans="1:9">
      <c r="A4896" s="32">
        <v>42025</v>
      </c>
      <c r="B4896">
        <v>23</v>
      </c>
      <c r="C4896">
        <v>2500</v>
      </c>
      <c r="D4896" t="s">
        <v>304</v>
      </c>
      <c r="E4896">
        <f>YEAR(A4896)</f>
        <v>2015</v>
      </c>
      <c r="F4896" s="33">
        <f>DATE(YEAR(A4896),MONTH(A4896),1)</f>
        <v>42005.0</v>
      </c>
      <c r="G4896" t="str">
        <f>CHOOSE(WEEKDAY(A4896,2),"Mon","Tue","Wed","Thu","Fri","Sat","Sun")</f>
        <v>Wed</v>
      </c>
      <c r="H4896" t="str">
        <f>IF(WEEKDAY(A4896,2)&gt;5,"Weekend","Weekday")</f>
        <v>Weekday</v>
      </c>
      <c r="I4896" t="str">
        <f>_xlfn.IFS(B4896&lt;=5,"Night (0-5)",B4896&lt;=9,"Morning peak (6-9)",B4896&lt;=15,"Midday (10-15)",B4896&lt;=19,"Evening peak (16-19)",TRUE,"Late evening (20-23)")</f>
        <v>Late evening (20-23)</v>
      </c>
    </row>
    <row r="4897" spans="1:9">
      <c r="A4897" s="32">
        <v>42026</v>
      </c>
      <c r="B4897">
        <v>0</v>
      </c>
      <c r="C4897">
        <v>1518</v>
      </c>
      <c r="D4897" t="s">
        <v>304</v>
      </c>
      <c r="E4897">
        <f>YEAR(A4897)</f>
        <v>2015</v>
      </c>
      <c r="F4897" s="33">
        <f>DATE(YEAR(A4897),MONTH(A4897),1)</f>
        <v>42005.0</v>
      </c>
      <c r="G4897" t="str">
        <f>CHOOSE(WEEKDAY(A4897,2),"Mon","Tue","Wed","Thu","Fri","Sat","Sun")</f>
        <v>Thu</v>
      </c>
      <c r="H4897" t="str">
        <f>IF(WEEKDAY(A4897,2)&gt;5,"Weekend","Weekday")</f>
        <v>Weekday</v>
      </c>
      <c r="I4897" t="str">
        <f>_xlfn.IFS(B4897&lt;=5,"Night (0-5)",B4897&lt;=9,"Morning peak (6-9)",B4897&lt;=15,"Midday (10-15)",B4897&lt;=19,"Evening peak (16-19)",TRUE,"Late evening (20-23)")</f>
        <v>Night (0-5)</v>
      </c>
    </row>
    <row r="4898" spans="1:9">
      <c r="A4898" s="32">
        <v>42026</v>
      </c>
      <c r="B4898">
        <v>1</v>
      </c>
      <c r="C4898">
        <v>764</v>
      </c>
      <c r="D4898" t="s">
        <v>304</v>
      </c>
      <c r="E4898">
        <f>YEAR(A4898)</f>
        <v>2015</v>
      </c>
      <c r="F4898" s="33">
        <f>DATE(YEAR(A4898),MONTH(A4898),1)</f>
        <v>42005.0</v>
      </c>
      <c r="G4898" t="str">
        <f>CHOOSE(WEEKDAY(A4898,2),"Mon","Tue","Wed","Thu","Fri","Sat","Sun")</f>
        <v>Thu</v>
      </c>
      <c r="H4898" t="str">
        <f>IF(WEEKDAY(A4898,2)&gt;5,"Weekend","Weekday")</f>
        <v>Weekday</v>
      </c>
      <c r="I4898" t="str">
        <f>_xlfn.IFS(B4898&lt;=5,"Night (0-5)",B4898&lt;=9,"Morning peak (6-9)",B4898&lt;=15,"Midday (10-15)",B4898&lt;=19,"Evening peak (16-19)",TRUE,"Late evening (20-23)")</f>
        <v>Night (0-5)</v>
      </c>
    </row>
    <row r="4899" spans="1:9">
      <c r="A4899" s="32">
        <v>42026</v>
      </c>
      <c r="B4899">
        <v>2</v>
      </c>
      <c r="C4899">
        <v>433</v>
      </c>
      <c r="D4899" t="s">
        <v>304</v>
      </c>
      <c r="E4899">
        <f>YEAR(A4899)</f>
        <v>2015</v>
      </c>
      <c r="F4899" s="33">
        <f>DATE(YEAR(A4899),MONTH(A4899),1)</f>
        <v>42005.0</v>
      </c>
      <c r="G4899" t="str">
        <f>CHOOSE(WEEKDAY(A4899,2),"Mon","Tue","Wed","Thu","Fri","Sat","Sun")</f>
        <v>Thu</v>
      </c>
      <c r="H4899" t="str">
        <f>IF(WEEKDAY(A4899,2)&gt;5,"Weekend","Weekday")</f>
        <v>Weekday</v>
      </c>
      <c r="I4899" t="str">
        <f>_xlfn.IFS(B4899&lt;=5,"Night (0-5)",B4899&lt;=9,"Morning peak (6-9)",B4899&lt;=15,"Midday (10-15)",B4899&lt;=19,"Evening peak (16-19)",TRUE,"Late evening (20-23)")</f>
        <v>Night (0-5)</v>
      </c>
    </row>
    <row r="4900" spans="1:9">
      <c r="A4900" s="32">
        <v>42026</v>
      </c>
      <c r="B4900">
        <v>3</v>
      </c>
      <c r="C4900">
        <v>323</v>
      </c>
      <c r="D4900" t="s">
        <v>304</v>
      </c>
      <c r="E4900">
        <f>YEAR(A4900)</f>
        <v>2015</v>
      </c>
      <c r="F4900" s="33">
        <f>DATE(YEAR(A4900),MONTH(A4900),1)</f>
        <v>42005.0</v>
      </c>
      <c r="G4900" t="str">
        <f>CHOOSE(WEEKDAY(A4900,2),"Mon","Tue","Wed","Thu","Fri","Sat","Sun")</f>
        <v>Thu</v>
      </c>
      <c r="H4900" t="str">
        <f>IF(WEEKDAY(A4900,2)&gt;5,"Weekend","Weekday")</f>
        <v>Weekday</v>
      </c>
      <c r="I4900" t="str">
        <f>_xlfn.IFS(B4900&lt;=5,"Night (0-5)",B4900&lt;=9,"Morning peak (6-9)",B4900&lt;=15,"Midday (10-15)",B4900&lt;=19,"Evening peak (16-19)",TRUE,"Late evening (20-23)")</f>
        <v>Night (0-5)</v>
      </c>
    </row>
    <row r="4901" spans="1:9">
      <c r="A4901" s="32">
        <v>42026</v>
      </c>
      <c r="B4901">
        <v>4</v>
      </c>
      <c r="C4901">
        <v>452</v>
      </c>
      <c r="D4901" t="s">
        <v>304</v>
      </c>
      <c r="E4901">
        <f>YEAR(A4901)</f>
        <v>2015</v>
      </c>
      <c r="F4901" s="33">
        <f>DATE(YEAR(A4901),MONTH(A4901),1)</f>
        <v>42005.0</v>
      </c>
      <c r="G4901" t="str">
        <f>CHOOSE(WEEKDAY(A4901,2),"Mon","Tue","Wed","Thu","Fri","Sat","Sun")</f>
        <v>Thu</v>
      </c>
      <c r="H4901" t="str">
        <f>IF(WEEKDAY(A4901,2)&gt;5,"Weekend","Weekday")</f>
        <v>Weekday</v>
      </c>
      <c r="I4901" t="str">
        <f>_xlfn.IFS(B4901&lt;=5,"Night (0-5)",B4901&lt;=9,"Morning peak (6-9)",B4901&lt;=15,"Midday (10-15)",B4901&lt;=19,"Evening peak (16-19)",TRUE,"Late evening (20-23)")</f>
        <v>Night (0-5)</v>
      </c>
    </row>
    <row r="4902" spans="1:9">
      <c r="A4902" s="32">
        <v>42026</v>
      </c>
      <c r="B4902">
        <v>5</v>
      </c>
      <c r="C4902">
        <v>815</v>
      </c>
      <c r="D4902" t="s">
        <v>304</v>
      </c>
      <c r="E4902">
        <f>YEAR(A4902)</f>
        <v>2015</v>
      </c>
      <c r="F4902" s="33">
        <f>DATE(YEAR(A4902),MONTH(A4902),1)</f>
        <v>42005.0</v>
      </c>
      <c r="G4902" t="str">
        <f>CHOOSE(WEEKDAY(A4902,2),"Mon","Tue","Wed","Thu","Fri","Sat","Sun")</f>
        <v>Thu</v>
      </c>
      <c r="H4902" t="str">
        <f>IF(WEEKDAY(A4902,2)&gt;5,"Weekend","Weekday")</f>
        <v>Weekday</v>
      </c>
      <c r="I4902" t="str">
        <f>_xlfn.IFS(B4902&lt;=5,"Night (0-5)",B4902&lt;=9,"Morning peak (6-9)",B4902&lt;=15,"Midday (10-15)",B4902&lt;=19,"Evening peak (16-19)",TRUE,"Late evening (20-23)")</f>
        <v>Night (0-5)</v>
      </c>
    </row>
    <row r="4903" spans="1:9">
      <c r="A4903" s="32">
        <v>42026</v>
      </c>
      <c r="B4903">
        <v>6</v>
      </c>
      <c r="C4903">
        <v>1557</v>
      </c>
      <c r="D4903" t="s">
        <v>304</v>
      </c>
      <c r="E4903">
        <f>YEAR(A4903)</f>
        <v>2015</v>
      </c>
      <c r="F4903" s="33">
        <f>DATE(YEAR(A4903),MONTH(A4903),1)</f>
        <v>42005.0</v>
      </c>
      <c r="G4903" t="str">
        <f>CHOOSE(WEEKDAY(A4903,2),"Mon","Tue","Wed","Thu","Fri","Sat","Sun")</f>
        <v>Thu</v>
      </c>
      <c r="H4903" t="str">
        <f>IF(WEEKDAY(A4903,2)&gt;5,"Weekend","Weekday")</f>
        <v>Weekday</v>
      </c>
      <c r="I4903" t="str">
        <f>_xlfn.IFS(B4903&lt;=5,"Night (0-5)",B4903&lt;=9,"Morning peak (6-9)",B4903&lt;=15,"Midday (10-15)",B4903&lt;=19,"Evening peak (16-19)",TRUE,"Late evening (20-23)")</f>
        <v>Morning peak (6-9)</v>
      </c>
    </row>
    <row r="4904" spans="1:9">
      <c r="A4904" s="32">
        <v>42026</v>
      </c>
      <c r="B4904">
        <v>7</v>
      </c>
      <c r="C4904">
        <v>2868</v>
      </c>
      <c r="D4904" t="s">
        <v>304</v>
      </c>
      <c r="E4904">
        <f>YEAR(A4904)</f>
        <v>2015</v>
      </c>
      <c r="F4904" s="33">
        <f>DATE(YEAR(A4904),MONTH(A4904),1)</f>
        <v>42005.0</v>
      </c>
      <c r="G4904" t="str">
        <f>CHOOSE(WEEKDAY(A4904,2),"Mon","Tue","Wed","Thu","Fri","Sat","Sun")</f>
        <v>Thu</v>
      </c>
      <c r="H4904" t="str">
        <f>IF(WEEKDAY(A4904,2)&gt;5,"Weekend","Weekday")</f>
        <v>Weekday</v>
      </c>
      <c r="I4904" t="str">
        <f>_xlfn.IFS(B4904&lt;=5,"Night (0-5)",B4904&lt;=9,"Morning peak (6-9)",B4904&lt;=15,"Midday (10-15)",B4904&lt;=19,"Evening peak (16-19)",TRUE,"Late evening (20-23)")</f>
        <v>Morning peak (6-9)</v>
      </c>
    </row>
    <row r="4905" spans="1:9">
      <c r="A4905" s="32">
        <v>42026</v>
      </c>
      <c r="B4905">
        <v>8</v>
      </c>
      <c r="C4905">
        <v>3611</v>
      </c>
      <c r="D4905" t="s">
        <v>304</v>
      </c>
      <c r="E4905">
        <f>YEAR(A4905)</f>
        <v>2015</v>
      </c>
      <c r="F4905" s="33">
        <f>DATE(YEAR(A4905),MONTH(A4905),1)</f>
        <v>42005.0</v>
      </c>
      <c r="G4905" t="str">
        <f>CHOOSE(WEEKDAY(A4905,2),"Mon","Tue","Wed","Thu","Fri","Sat","Sun")</f>
        <v>Thu</v>
      </c>
      <c r="H4905" t="str">
        <f>IF(WEEKDAY(A4905,2)&gt;5,"Weekend","Weekday")</f>
        <v>Weekday</v>
      </c>
      <c r="I4905" t="str">
        <f>_xlfn.IFS(B4905&lt;=5,"Night (0-5)",B4905&lt;=9,"Morning peak (6-9)",B4905&lt;=15,"Midday (10-15)",B4905&lt;=19,"Evening peak (16-19)",TRUE,"Late evening (20-23)")</f>
        <v>Morning peak (6-9)</v>
      </c>
    </row>
    <row r="4906" spans="1:9">
      <c r="A4906" s="32">
        <v>42026</v>
      </c>
      <c r="B4906">
        <v>9</v>
      </c>
      <c r="C4906">
        <v>3113</v>
      </c>
      <c r="D4906" t="s">
        <v>304</v>
      </c>
      <c r="E4906">
        <f>YEAR(A4906)</f>
        <v>2015</v>
      </c>
      <c r="F4906" s="33">
        <f>DATE(YEAR(A4906),MONTH(A4906),1)</f>
        <v>42005.0</v>
      </c>
      <c r="G4906" t="str">
        <f>CHOOSE(WEEKDAY(A4906,2),"Mon","Tue","Wed","Thu","Fri","Sat","Sun")</f>
        <v>Thu</v>
      </c>
      <c r="H4906" t="str">
        <f>IF(WEEKDAY(A4906,2)&gt;5,"Weekend","Weekday")</f>
        <v>Weekday</v>
      </c>
      <c r="I4906" t="str">
        <f>_xlfn.IFS(B4906&lt;=5,"Night (0-5)",B4906&lt;=9,"Morning peak (6-9)",B4906&lt;=15,"Midday (10-15)",B4906&lt;=19,"Evening peak (16-19)",TRUE,"Late evening (20-23)")</f>
        <v>Morning peak (6-9)</v>
      </c>
    </row>
    <row r="4907" spans="1:9">
      <c r="A4907" s="32">
        <v>42026</v>
      </c>
      <c r="B4907">
        <v>10</v>
      </c>
      <c r="C4907">
        <v>2254</v>
      </c>
      <c r="D4907" t="s">
        <v>304</v>
      </c>
      <c r="E4907">
        <f>YEAR(A4907)</f>
        <v>2015</v>
      </c>
      <c r="F4907" s="33">
        <f>DATE(YEAR(A4907),MONTH(A4907),1)</f>
        <v>42005.0</v>
      </c>
      <c r="G4907" t="str">
        <f>CHOOSE(WEEKDAY(A4907,2),"Mon","Tue","Wed","Thu","Fri","Sat","Sun")</f>
        <v>Thu</v>
      </c>
      <c r="H4907" t="str">
        <f>IF(WEEKDAY(A4907,2)&gt;5,"Weekend","Weekday")</f>
        <v>Weekday</v>
      </c>
      <c r="I4907" t="str">
        <f>_xlfn.IFS(B4907&lt;=5,"Night (0-5)",B4907&lt;=9,"Morning peak (6-9)",B4907&lt;=15,"Midday (10-15)",B4907&lt;=19,"Evening peak (16-19)",TRUE,"Late evening (20-23)")</f>
        <v>Midday (10-15)</v>
      </c>
    </row>
    <row r="4908" spans="1:9">
      <c r="A4908" s="32">
        <v>42026</v>
      </c>
      <c r="B4908">
        <v>11</v>
      </c>
      <c r="C4908">
        <v>2134</v>
      </c>
      <c r="D4908" t="s">
        <v>304</v>
      </c>
      <c r="E4908">
        <f>YEAR(A4908)</f>
        <v>2015</v>
      </c>
      <c r="F4908" s="33">
        <f>DATE(YEAR(A4908),MONTH(A4908),1)</f>
        <v>42005.0</v>
      </c>
      <c r="G4908" t="str">
        <f>CHOOSE(WEEKDAY(A4908,2),"Mon","Tue","Wed","Thu","Fri","Sat","Sun")</f>
        <v>Thu</v>
      </c>
      <c r="H4908" t="str">
        <f>IF(WEEKDAY(A4908,2)&gt;5,"Weekend","Weekday")</f>
        <v>Weekday</v>
      </c>
      <c r="I4908" t="str">
        <f>_xlfn.IFS(B4908&lt;=5,"Night (0-5)",B4908&lt;=9,"Morning peak (6-9)",B4908&lt;=15,"Midday (10-15)",B4908&lt;=19,"Evening peak (16-19)",TRUE,"Late evening (20-23)")</f>
        <v>Midday (10-15)</v>
      </c>
    </row>
    <row r="4909" spans="1:9">
      <c r="A4909" s="32">
        <v>42026</v>
      </c>
      <c r="B4909">
        <v>12</v>
      </c>
      <c r="C4909">
        <v>2161</v>
      </c>
      <c r="D4909" t="s">
        <v>304</v>
      </c>
      <c r="E4909">
        <f>YEAR(A4909)</f>
        <v>2015</v>
      </c>
      <c r="F4909" s="33">
        <f>DATE(YEAR(A4909),MONTH(A4909),1)</f>
        <v>42005.0</v>
      </c>
      <c r="G4909" t="str">
        <f>CHOOSE(WEEKDAY(A4909,2),"Mon","Tue","Wed","Thu","Fri","Sat","Sun")</f>
        <v>Thu</v>
      </c>
      <c r="H4909" t="str">
        <f>IF(WEEKDAY(A4909,2)&gt;5,"Weekend","Weekday")</f>
        <v>Weekday</v>
      </c>
      <c r="I4909" t="str">
        <f>_xlfn.IFS(B4909&lt;=5,"Night (0-5)",B4909&lt;=9,"Morning peak (6-9)",B4909&lt;=15,"Midday (10-15)",B4909&lt;=19,"Evening peak (16-19)",TRUE,"Late evening (20-23)")</f>
        <v>Midday (10-15)</v>
      </c>
    </row>
    <row r="4910" spans="1:9">
      <c r="A4910" s="32">
        <v>42026</v>
      </c>
      <c r="B4910">
        <v>13</v>
      </c>
      <c r="C4910">
        <v>2121</v>
      </c>
      <c r="D4910" t="s">
        <v>304</v>
      </c>
      <c r="E4910">
        <f>YEAR(A4910)</f>
        <v>2015</v>
      </c>
      <c r="F4910" s="33">
        <f>DATE(YEAR(A4910),MONTH(A4910),1)</f>
        <v>42005.0</v>
      </c>
      <c r="G4910" t="str">
        <f>CHOOSE(WEEKDAY(A4910,2),"Mon","Tue","Wed","Thu","Fri","Sat","Sun")</f>
        <v>Thu</v>
      </c>
      <c r="H4910" t="str">
        <f>IF(WEEKDAY(A4910,2)&gt;5,"Weekend","Weekday")</f>
        <v>Weekday</v>
      </c>
      <c r="I4910" t="str">
        <f>_xlfn.IFS(B4910&lt;=5,"Night (0-5)",B4910&lt;=9,"Morning peak (6-9)",B4910&lt;=15,"Midday (10-15)",B4910&lt;=19,"Evening peak (16-19)",TRUE,"Late evening (20-23)")</f>
        <v>Midday (10-15)</v>
      </c>
    </row>
    <row r="4911" spans="1:9">
      <c r="A4911" s="32">
        <v>42026</v>
      </c>
      <c r="B4911">
        <v>14</v>
      </c>
      <c r="C4911">
        <v>2470</v>
      </c>
      <c r="D4911" t="s">
        <v>304</v>
      </c>
      <c r="E4911">
        <f>YEAR(A4911)</f>
        <v>2015</v>
      </c>
      <c r="F4911" s="33">
        <f>DATE(YEAR(A4911),MONTH(A4911),1)</f>
        <v>42005.0</v>
      </c>
      <c r="G4911" t="str">
        <f>CHOOSE(WEEKDAY(A4911,2),"Mon","Tue","Wed","Thu","Fri","Sat","Sun")</f>
        <v>Thu</v>
      </c>
      <c r="H4911" t="str">
        <f>IF(WEEKDAY(A4911,2)&gt;5,"Weekend","Weekday")</f>
        <v>Weekday</v>
      </c>
      <c r="I4911" t="str">
        <f>_xlfn.IFS(B4911&lt;=5,"Night (0-5)",B4911&lt;=9,"Morning peak (6-9)",B4911&lt;=15,"Midday (10-15)",B4911&lt;=19,"Evening peak (16-19)",TRUE,"Late evening (20-23)")</f>
        <v>Midday (10-15)</v>
      </c>
    </row>
    <row r="4912" spans="1:9">
      <c r="A4912" s="32">
        <v>42026</v>
      </c>
      <c r="B4912">
        <v>15</v>
      </c>
      <c r="C4912">
        <v>2908</v>
      </c>
      <c r="D4912" t="s">
        <v>304</v>
      </c>
      <c r="E4912">
        <f>YEAR(A4912)</f>
        <v>2015</v>
      </c>
      <c r="F4912" s="33">
        <f>DATE(YEAR(A4912),MONTH(A4912),1)</f>
        <v>42005.0</v>
      </c>
      <c r="G4912" t="str">
        <f>CHOOSE(WEEKDAY(A4912,2),"Mon","Tue","Wed","Thu","Fri","Sat","Sun")</f>
        <v>Thu</v>
      </c>
      <c r="H4912" t="str">
        <f>IF(WEEKDAY(A4912,2)&gt;5,"Weekend","Weekday")</f>
        <v>Weekday</v>
      </c>
      <c r="I4912" t="str">
        <f>_xlfn.IFS(B4912&lt;=5,"Night (0-5)",B4912&lt;=9,"Morning peak (6-9)",B4912&lt;=15,"Midday (10-15)",B4912&lt;=19,"Evening peak (16-19)",TRUE,"Late evening (20-23)")</f>
        <v>Midday (10-15)</v>
      </c>
    </row>
    <row r="4913" spans="1:9">
      <c r="A4913" s="32">
        <v>42026</v>
      </c>
      <c r="B4913">
        <v>16</v>
      </c>
      <c r="C4913">
        <v>3344</v>
      </c>
      <c r="D4913" t="s">
        <v>304</v>
      </c>
      <c r="E4913">
        <f>YEAR(A4913)</f>
        <v>2015</v>
      </c>
      <c r="F4913" s="33">
        <f>DATE(YEAR(A4913),MONTH(A4913),1)</f>
        <v>42005.0</v>
      </c>
      <c r="G4913" t="str">
        <f>CHOOSE(WEEKDAY(A4913,2),"Mon","Tue","Wed","Thu","Fri","Sat","Sun")</f>
        <v>Thu</v>
      </c>
      <c r="H4913" t="str">
        <f>IF(WEEKDAY(A4913,2)&gt;5,"Weekend","Weekday")</f>
        <v>Weekday</v>
      </c>
      <c r="I4913" t="str">
        <f>_xlfn.IFS(B4913&lt;=5,"Night (0-5)",B4913&lt;=9,"Morning peak (6-9)",B4913&lt;=15,"Midday (10-15)",B4913&lt;=19,"Evening peak (16-19)",TRUE,"Late evening (20-23)")</f>
        <v>Evening peak (16-19)</v>
      </c>
    </row>
    <row r="4914" spans="1:9">
      <c r="A4914" s="32">
        <v>42026</v>
      </c>
      <c r="B4914">
        <v>17</v>
      </c>
      <c r="C4914">
        <v>4540</v>
      </c>
      <c r="D4914" t="s">
        <v>304</v>
      </c>
      <c r="E4914">
        <f>YEAR(A4914)</f>
        <v>2015</v>
      </c>
      <c r="F4914" s="33">
        <f>DATE(YEAR(A4914),MONTH(A4914),1)</f>
        <v>42005.0</v>
      </c>
      <c r="G4914" t="str">
        <f>CHOOSE(WEEKDAY(A4914,2),"Mon","Tue","Wed","Thu","Fri","Sat","Sun")</f>
        <v>Thu</v>
      </c>
      <c r="H4914" t="str">
        <f>IF(WEEKDAY(A4914,2)&gt;5,"Weekend","Weekday")</f>
        <v>Weekday</v>
      </c>
      <c r="I4914" t="str">
        <f>_xlfn.IFS(B4914&lt;=5,"Night (0-5)",B4914&lt;=9,"Morning peak (6-9)",B4914&lt;=15,"Midday (10-15)",B4914&lt;=19,"Evening peak (16-19)",TRUE,"Late evening (20-23)")</f>
        <v>Evening peak (16-19)</v>
      </c>
    </row>
    <row r="4915" spans="1:9">
      <c r="A4915" s="32">
        <v>42026</v>
      </c>
      <c r="B4915">
        <v>18</v>
      </c>
      <c r="C4915">
        <v>5623</v>
      </c>
      <c r="D4915" t="s">
        <v>304</v>
      </c>
      <c r="E4915">
        <f>YEAR(A4915)</f>
        <v>2015</v>
      </c>
      <c r="F4915" s="33">
        <f>DATE(YEAR(A4915),MONTH(A4915),1)</f>
        <v>42005.0</v>
      </c>
      <c r="G4915" t="str">
        <f>CHOOSE(WEEKDAY(A4915,2),"Mon","Tue","Wed","Thu","Fri","Sat","Sun")</f>
        <v>Thu</v>
      </c>
      <c r="H4915" t="str">
        <f>IF(WEEKDAY(A4915,2)&gt;5,"Weekend","Weekday")</f>
        <v>Weekday</v>
      </c>
      <c r="I4915" t="str">
        <f>_xlfn.IFS(B4915&lt;=5,"Night (0-5)",B4915&lt;=9,"Morning peak (6-9)",B4915&lt;=15,"Midday (10-15)",B4915&lt;=19,"Evening peak (16-19)",TRUE,"Late evening (20-23)")</f>
        <v>Evening peak (16-19)</v>
      </c>
    </row>
    <row r="4916" spans="1:9">
      <c r="A4916" s="32">
        <v>42026</v>
      </c>
      <c r="B4916">
        <v>19</v>
      </c>
      <c r="C4916">
        <v>5482</v>
      </c>
      <c r="D4916" t="s">
        <v>304</v>
      </c>
      <c r="E4916">
        <f>YEAR(A4916)</f>
        <v>2015</v>
      </c>
      <c r="F4916" s="33">
        <f>DATE(YEAR(A4916),MONTH(A4916),1)</f>
        <v>42005.0</v>
      </c>
      <c r="G4916" t="str">
        <f>CHOOSE(WEEKDAY(A4916,2),"Mon","Tue","Wed","Thu","Fri","Sat","Sun")</f>
        <v>Thu</v>
      </c>
      <c r="H4916" t="str">
        <f>IF(WEEKDAY(A4916,2)&gt;5,"Weekend","Weekday")</f>
        <v>Weekday</v>
      </c>
      <c r="I4916" t="str">
        <f>_xlfn.IFS(B4916&lt;=5,"Night (0-5)",B4916&lt;=9,"Morning peak (6-9)",B4916&lt;=15,"Midday (10-15)",B4916&lt;=19,"Evening peak (16-19)",TRUE,"Late evening (20-23)")</f>
        <v>Evening peak (16-19)</v>
      </c>
    </row>
    <row r="4917" spans="1:9">
      <c r="A4917" s="32">
        <v>42026</v>
      </c>
      <c r="B4917">
        <v>20</v>
      </c>
      <c r="C4917">
        <v>4786</v>
      </c>
      <c r="D4917" t="s">
        <v>304</v>
      </c>
      <c r="E4917">
        <f>YEAR(A4917)</f>
        <v>2015</v>
      </c>
      <c r="F4917" s="33">
        <f>DATE(YEAR(A4917),MONTH(A4917),1)</f>
        <v>42005.0</v>
      </c>
      <c r="G4917" t="str">
        <f>CHOOSE(WEEKDAY(A4917,2),"Mon","Tue","Wed","Thu","Fri","Sat","Sun")</f>
        <v>Thu</v>
      </c>
      <c r="H4917" t="str">
        <f>IF(WEEKDAY(A4917,2)&gt;5,"Weekend","Weekday")</f>
        <v>Weekday</v>
      </c>
      <c r="I4917" t="str">
        <f>_xlfn.IFS(B4917&lt;=5,"Night (0-5)",B4917&lt;=9,"Morning peak (6-9)",B4917&lt;=15,"Midday (10-15)",B4917&lt;=19,"Evening peak (16-19)",TRUE,"Late evening (20-23)")</f>
        <v>Late evening (20-23)</v>
      </c>
    </row>
    <row r="4918" spans="1:9">
      <c r="A4918" s="32">
        <v>42026</v>
      </c>
      <c r="B4918">
        <v>21</v>
      </c>
      <c r="C4918">
        <v>5201</v>
      </c>
      <c r="D4918" t="s">
        <v>304</v>
      </c>
      <c r="E4918">
        <f>YEAR(A4918)</f>
        <v>2015</v>
      </c>
      <c r="F4918" s="33">
        <f>DATE(YEAR(A4918),MONTH(A4918),1)</f>
        <v>42005.0</v>
      </c>
      <c r="G4918" t="str">
        <f>CHOOSE(WEEKDAY(A4918,2),"Mon","Tue","Wed","Thu","Fri","Sat","Sun")</f>
        <v>Thu</v>
      </c>
      <c r="H4918" t="str">
        <f>IF(WEEKDAY(A4918,2)&gt;5,"Weekend","Weekday")</f>
        <v>Weekday</v>
      </c>
      <c r="I4918" t="str">
        <f>_xlfn.IFS(B4918&lt;=5,"Night (0-5)",B4918&lt;=9,"Morning peak (6-9)",B4918&lt;=15,"Midday (10-15)",B4918&lt;=19,"Evening peak (16-19)",TRUE,"Late evening (20-23)")</f>
        <v>Late evening (20-23)</v>
      </c>
    </row>
    <row r="4919" spans="1:9">
      <c r="A4919" s="32">
        <v>42026</v>
      </c>
      <c r="B4919">
        <v>22</v>
      </c>
      <c r="C4919">
        <v>4716</v>
      </c>
      <c r="D4919" t="s">
        <v>304</v>
      </c>
      <c r="E4919">
        <f>YEAR(A4919)</f>
        <v>2015</v>
      </c>
      <c r="F4919" s="33">
        <f>DATE(YEAR(A4919),MONTH(A4919),1)</f>
        <v>42005.0</v>
      </c>
      <c r="G4919" t="str">
        <f>CHOOSE(WEEKDAY(A4919,2),"Mon","Tue","Wed","Thu","Fri","Sat","Sun")</f>
        <v>Thu</v>
      </c>
      <c r="H4919" t="str">
        <f>IF(WEEKDAY(A4919,2)&gt;5,"Weekend","Weekday")</f>
        <v>Weekday</v>
      </c>
      <c r="I4919" t="str">
        <f>_xlfn.IFS(B4919&lt;=5,"Night (0-5)",B4919&lt;=9,"Morning peak (6-9)",B4919&lt;=15,"Midday (10-15)",B4919&lt;=19,"Evening peak (16-19)",TRUE,"Late evening (20-23)")</f>
        <v>Late evening (20-23)</v>
      </c>
    </row>
    <row r="4920" spans="1:9">
      <c r="A4920" s="32">
        <v>42026</v>
      </c>
      <c r="B4920">
        <v>23</v>
      </c>
      <c r="C4920">
        <v>3625</v>
      </c>
      <c r="D4920" t="s">
        <v>304</v>
      </c>
      <c r="E4920">
        <f>YEAR(A4920)</f>
        <v>2015</v>
      </c>
      <c r="F4920" s="33">
        <f>DATE(YEAR(A4920),MONTH(A4920),1)</f>
        <v>42005.0</v>
      </c>
      <c r="G4920" t="str">
        <f>CHOOSE(WEEKDAY(A4920,2),"Mon","Tue","Wed","Thu","Fri","Sat","Sun")</f>
        <v>Thu</v>
      </c>
      <c r="H4920" t="str">
        <f>IF(WEEKDAY(A4920,2)&gt;5,"Weekend","Weekday")</f>
        <v>Weekday</v>
      </c>
      <c r="I4920" t="str">
        <f>_xlfn.IFS(B4920&lt;=5,"Night (0-5)",B4920&lt;=9,"Morning peak (6-9)",B4920&lt;=15,"Midday (10-15)",B4920&lt;=19,"Evening peak (16-19)",TRUE,"Late evening (20-23)")</f>
        <v>Late evening (20-23)</v>
      </c>
    </row>
    <row r="4921" spans="1:9">
      <c r="A4921" s="32">
        <v>42027</v>
      </c>
      <c r="B4921">
        <v>0</v>
      </c>
      <c r="C4921">
        <v>2168</v>
      </c>
      <c r="D4921" t="s">
        <v>304</v>
      </c>
      <c r="E4921">
        <f>YEAR(A4921)</f>
        <v>2015</v>
      </c>
      <c r="F4921" s="33">
        <f>DATE(YEAR(A4921),MONTH(A4921),1)</f>
        <v>42005.0</v>
      </c>
      <c r="G4921" t="str">
        <f>CHOOSE(WEEKDAY(A4921,2),"Mon","Tue","Wed","Thu","Fri","Sat","Sun")</f>
        <v>Fri</v>
      </c>
      <c r="H4921" t="str">
        <f>IF(WEEKDAY(A4921,2)&gt;5,"Weekend","Weekday")</f>
        <v>Weekday</v>
      </c>
      <c r="I4921" t="str">
        <f>_xlfn.IFS(B4921&lt;=5,"Night (0-5)",B4921&lt;=9,"Morning peak (6-9)",B4921&lt;=15,"Midday (10-15)",B4921&lt;=19,"Evening peak (16-19)",TRUE,"Late evening (20-23)")</f>
        <v>Night (0-5)</v>
      </c>
    </row>
    <row r="4922" spans="1:9">
      <c r="A4922" s="32">
        <v>42027</v>
      </c>
      <c r="B4922">
        <v>1</v>
      </c>
      <c r="C4922">
        <v>1175</v>
      </c>
      <c r="D4922" t="s">
        <v>304</v>
      </c>
      <c r="E4922">
        <f>YEAR(A4922)</f>
        <v>2015</v>
      </c>
      <c r="F4922" s="33">
        <f>DATE(YEAR(A4922),MONTH(A4922),1)</f>
        <v>42005.0</v>
      </c>
      <c r="G4922" t="str">
        <f>CHOOSE(WEEKDAY(A4922,2),"Mon","Tue","Wed","Thu","Fri","Sat","Sun")</f>
        <v>Fri</v>
      </c>
      <c r="H4922" t="str">
        <f>IF(WEEKDAY(A4922,2)&gt;5,"Weekend","Weekday")</f>
        <v>Weekday</v>
      </c>
      <c r="I4922" t="str">
        <f>_xlfn.IFS(B4922&lt;=5,"Night (0-5)",B4922&lt;=9,"Morning peak (6-9)",B4922&lt;=15,"Midday (10-15)",B4922&lt;=19,"Evening peak (16-19)",TRUE,"Late evening (20-23)")</f>
        <v>Night (0-5)</v>
      </c>
    </row>
    <row r="4923" spans="1:9">
      <c r="A4923" s="32">
        <v>42027</v>
      </c>
      <c r="B4923">
        <v>2</v>
      </c>
      <c r="C4923">
        <v>737</v>
      </c>
      <c r="D4923" t="s">
        <v>304</v>
      </c>
      <c r="E4923">
        <f>YEAR(A4923)</f>
        <v>2015</v>
      </c>
      <c r="F4923" s="33">
        <f>DATE(YEAR(A4923),MONTH(A4923),1)</f>
        <v>42005.0</v>
      </c>
      <c r="G4923" t="str">
        <f>CHOOSE(WEEKDAY(A4923,2),"Mon","Tue","Wed","Thu","Fri","Sat","Sun")</f>
        <v>Fri</v>
      </c>
      <c r="H4923" t="str">
        <f>IF(WEEKDAY(A4923,2)&gt;5,"Weekend","Weekday")</f>
        <v>Weekday</v>
      </c>
      <c r="I4923" t="str">
        <f>_xlfn.IFS(B4923&lt;=5,"Night (0-5)",B4923&lt;=9,"Morning peak (6-9)",B4923&lt;=15,"Midday (10-15)",B4923&lt;=19,"Evening peak (16-19)",TRUE,"Late evening (20-23)")</f>
        <v>Night (0-5)</v>
      </c>
    </row>
    <row r="4924" spans="1:9">
      <c r="A4924" s="32">
        <v>42027</v>
      </c>
      <c r="B4924">
        <v>3</v>
      </c>
      <c r="C4924">
        <v>496</v>
      </c>
      <c r="D4924" t="s">
        <v>304</v>
      </c>
      <c r="E4924">
        <f>YEAR(A4924)</f>
        <v>2015</v>
      </c>
      <c r="F4924" s="33">
        <f>DATE(YEAR(A4924),MONTH(A4924),1)</f>
        <v>42005.0</v>
      </c>
      <c r="G4924" t="str">
        <f>CHOOSE(WEEKDAY(A4924,2),"Mon","Tue","Wed","Thu","Fri","Sat","Sun")</f>
        <v>Fri</v>
      </c>
      <c r="H4924" t="str">
        <f>IF(WEEKDAY(A4924,2)&gt;5,"Weekend","Weekday")</f>
        <v>Weekday</v>
      </c>
      <c r="I4924" t="str">
        <f>_xlfn.IFS(B4924&lt;=5,"Night (0-5)",B4924&lt;=9,"Morning peak (6-9)",B4924&lt;=15,"Midday (10-15)",B4924&lt;=19,"Evening peak (16-19)",TRUE,"Late evening (20-23)")</f>
        <v>Night (0-5)</v>
      </c>
    </row>
    <row r="4925" spans="1:9">
      <c r="A4925" s="32">
        <v>42027</v>
      </c>
      <c r="B4925">
        <v>4</v>
      </c>
      <c r="C4925">
        <v>567</v>
      </c>
      <c r="D4925" t="s">
        <v>304</v>
      </c>
      <c r="E4925">
        <f>YEAR(A4925)</f>
        <v>2015</v>
      </c>
      <c r="F4925" s="33">
        <f>DATE(YEAR(A4925),MONTH(A4925),1)</f>
        <v>42005.0</v>
      </c>
      <c r="G4925" t="str">
        <f>CHOOSE(WEEKDAY(A4925,2),"Mon","Tue","Wed","Thu","Fri","Sat","Sun")</f>
        <v>Fri</v>
      </c>
      <c r="H4925" t="str">
        <f>IF(WEEKDAY(A4925,2)&gt;5,"Weekend","Weekday")</f>
        <v>Weekday</v>
      </c>
      <c r="I4925" t="str">
        <f>_xlfn.IFS(B4925&lt;=5,"Night (0-5)",B4925&lt;=9,"Morning peak (6-9)",B4925&lt;=15,"Midday (10-15)",B4925&lt;=19,"Evening peak (16-19)",TRUE,"Late evening (20-23)")</f>
        <v>Night (0-5)</v>
      </c>
    </row>
    <row r="4926" spans="1:9">
      <c r="A4926" s="32">
        <v>42027</v>
      </c>
      <c r="B4926">
        <v>5</v>
      </c>
      <c r="C4926">
        <v>832</v>
      </c>
      <c r="D4926" t="s">
        <v>304</v>
      </c>
      <c r="E4926">
        <f>YEAR(A4926)</f>
        <v>2015</v>
      </c>
      <c r="F4926" s="33">
        <f>DATE(YEAR(A4926),MONTH(A4926),1)</f>
        <v>42005.0</v>
      </c>
      <c r="G4926" t="str">
        <f>CHOOSE(WEEKDAY(A4926,2),"Mon","Tue","Wed","Thu","Fri","Sat","Sun")</f>
        <v>Fri</v>
      </c>
      <c r="H4926" t="str">
        <f>IF(WEEKDAY(A4926,2)&gt;5,"Weekend","Weekday")</f>
        <v>Weekday</v>
      </c>
      <c r="I4926" t="str">
        <f>_xlfn.IFS(B4926&lt;=5,"Night (0-5)",B4926&lt;=9,"Morning peak (6-9)",B4926&lt;=15,"Midday (10-15)",B4926&lt;=19,"Evening peak (16-19)",TRUE,"Late evening (20-23)")</f>
        <v>Night (0-5)</v>
      </c>
    </row>
    <row r="4927" spans="1:9">
      <c r="A4927" s="32">
        <v>42027</v>
      </c>
      <c r="B4927">
        <v>6</v>
      </c>
      <c r="C4927">
        <v>1579</v>
      </c>
      <c r="D4927" t="s">
        <v>304</v>
      </c>
      <c r="E4927">
        <f>YEAR(A4927)</f>
        <v>2015</v>
      </c>
      <c r="F4927" s="33">
        <f>DATE(YEAR(A4927),MONTH(A4927),1)</f>
        <v>42005.0</v>
      </c>
      <c r="G4927" t="str">
        <f>CHOOSE(WEEKDAY(A4927,2),"Mon","Tue","Wed","Thu","Fri","Sat","Sun")</f>
        <v>Fri</v>
      </c>
      <c r="H4927" t="str">
        <f>IF(WEEKDAY(A4927,2)&gt;5,"Weekend","Weekday")</f>
        <v>Weekday</v>
      </c>
      <c r="I4927" t="str">
        <f>_xlfn.IFS(B4927&lt;=5,"Night (0-5)",B4927&lt;=9,"Morning peak (6-9)",B4927&lt;=15,"Midday (10-15)",B4927&lt;=19,"Evening peak (16-19)",TRUE,"Late evening (20-23)")</f>
        <v>Morning peak (6-9)</v>
      </c>
    </row>
    <row r="4928" spans="1:9">
      <c r="A4928" s="32">
        <v>42027</v>
      </c>
      <c r="B4928">
        <v>7</v>
      </c>
      <c r="C4928">
        <v>2732</v>
      </c>
      <c r="D4928" t="s">
        <v>304</v>
      </c>
      <c r="E4928">
        <f>YEAR(A4928)</f>
        <v>2015</v>
      </c>
      <c r="F4928" s="33">
        <f>DATE(YEAR(A4928),MONTH(A4928),1)</f>
        <v>42005.0</v>
      </c>
      <c r="G4928" t="str">
        <f>CHOOSE(WEEKDAY(A4928,2),"Mon","Tue","Wed","Thu","Fri","Sat","Sun")</f>
        <v>Fri</v>
      </c>
      <c r="H4928" t="str">
        <f>IF(WEEKDAY(A4928,2)&gt;5,"Weekend","Weekday")</f>
        <v>Weekday</v>
      </c>
      <c r="I4928" t="str">
        <f>_xlfn.IFS(B4928&lt;=5,"Night (0-5)",B4928&lt;=9,"Morning peak (6-9)",B4928&lt;=15,"Midday (10-15)",B4928&lt;=19,"Evening peak (16-19)",TRUE,"Late evening (20-23)")</f>
        <v>Morning peak (6-9)</v>
      </c>
    </row>
    <row r="4929" spans="1:9">
      <c r="A4929" s="32">
        <v>42027</v>
      </c>
      <c r="B4929">
        <v>8</v>
      </c>
      <c r="C4929">
        <v>3425</v>
      </c>
      <c r="D4929" t="s">
        <v>304</v>
      </c>
      <c r="E4929">
        <f>YEAR(A4929)</f>
        <v>2015</v>
      </c>
      <c r="F4929" s="33">
        <f>DATE(YEAR(A4929),MONTH(A4929),1)</f>
        <v>42005.0</v>
      </c>
      <c r="G4929" t="str">
        <f>CHOOSE(WEEKDAY(A4929,2),"Mon","Tue","Wed","Thu","Fri","Sat","Sun")</f>
        <v>Fri</v>
      </c>
      <c r="H4929" t="str">
        <f>IF(WEEKDAY(A4929,2)&gt;5,"Weekend","Weekday")</f>
        <v>Weekday</v>
      </c>
      <c r="I4929" t="str">
        <f>_xlfn.IFS(B4929&lt;=5,"Night (0-5)",B4929&lt;=9,"Morning peak (6-9)",B4929&lt;=15,"Midday (10-15)",B4929&lt;=19,"Evening peak (16-19)",TRUE,"Late evening (20-23)")</f>
        <v>Morning peak (6-9)</v>
      </c>
    </row>
    <row r="4930" spans="1:9">
      <c r="A4930" s="32">
        <v>42027</v>
      </c>
      <c r="B4930">
        <v>9</v>
      </c>
      <c r="C4930">
        <v>3229</v>
      </c>
      <c r="D4930" t="s">
        <v>304</v>
      </c>
      <c r="E4930">
        <f>YEAR(A4930)</f>
        <v>2015</v>
      </c>
      <c r="F4930" s="33">
        <f>DATE(YEAR(A4930),MONTH(A4930),1)</f>
        <v>42005.0</v>
      </c>
      <c r="G4930" t="str">
        <f>CHOOSE(WEEKDAY(A4930,2),"Mon","Tue","Wed","Thu","Fri","Sat","Sun")</f>
        <v>Fri</v>
      </c>
      <c r="H4930" t="str">
        <f>IF(WEEKDAY(A4930,2)&gt;5,"Weekend","Weekday")</f>
        <v>Weekday</v>
      </c>
      <c r="I4930" t="str">
        <f>_xlfn.IFS(B4930&lt;=5,"Night (0-5)",B4930&lt;=9,"Morning peak (6-9)",B4930&lt;=15,"Midday (10-15)",B4930&lt;=19,"Evening peak (16-19)",TRUE,"Late evening (20-23)")</f>
        <v>Morning peak (6-9)</v>
      </c>
    </row>
    <row r="4931" spans="1:9">
      <c r="A4931" s="32">
        <v>42027</v>
      </c>
      <c r="B4931">
        <v>10</v>
      </c>
      <c r="C4931">
        <v>2345</v>
      </c>
      <c r="D4931" t="s">
        <v>304</v>
      </c>
      <c r="E4931">
        <f>YEAR(A4931)</f>
        <v>2015</v>
      </c>
      <c r="F4931" s="33">
        <f>DATE(YEAR(A4931),MONTH(A4931),1)</f>
        <v>42005.0</v>
      </c>
      <c r="G4931" t="str">
        <f>CHOOSE(WEEKDAY(A4931,2),"Mon","Tue","Wed","Thu","Fri","Sat","Sun")</f>
        <v>Fri</v>
      </c>
      <c r="H4931" t="str">
        <f>IF(WEEKDAY(A4931,2)&gt;5,"Weekend","Weekday")</f>
        <v>Weekday</v>
      </c>
      <c r="I4931" t="str">
        <f>_xlfn.IFS(B4931&lt;=5,"Night (0-5)",B4931&lt;=9,"Morning peak (6-9)",B4931&lt;=15,"Midday (10-15)",B4931&lt;=19,"Evening peak (16-19)",TRUE,"Late evening (20-23)")</f>
        <v>Midday (10-15)</v>
      </c>
    </row>
    <row r="4932" spans="1:9">
      <c r="A4932" s="32">
        <v>42027</v>
      </c>
      <c r="B4932">
        <v>11</v>
      </c>
      <c r="C4932">
        <v>2249</v>
      </c>
      <c r="D4932" t="s">
        <v>304</v>
      </c>
      <c r="E4932">
        <f>YEAR(A4932)</f>
        <v>2015</v>
      </c>
      <c r="F4932" s="33">
        <f>DATE(YEAR(A4932),MONTH(A4932),1)</f>
        <v>42005.0</v>
      </c>
      <c r="G4932" t="str">
        <f>CHOOSE(WEEKDAY(A4932,2),"Mon","Tue","Wed","Thu","Fri","Sat","Sun")</f>
        <v>Fri</v>
      </c>
      <c r="H4932" t="str">
        <f>IF(WEEKDAY(A4932,2)&gt;5,"Weekend","Weekday")</f>
        <v>Weekday</v>
      </c>
      <c r="I4932" t="str">
        <f>_xlfn.IFS(B4932&lt;=5,"Night (0-5)",B4932&lt;=9,"Morning peak (6-9)",B4932&lt;=15,"Midday (10-15)",B4932&lt;=19,"Evening peak (16-19)",TRUE,"Late evening (20-23)")</f>
        <v>Midday (10-15)</v>
      </c>
    </row>
    <row r="4933" spans="1:9">
      <c r="A4933" s="32">
        <v>42027</v>
      </c>
      <c r="B4933">
        <v>12</v>
      </c>
      <c r="C4933">
        <v>2370</v>
      </c>
      <c r="D4933" t="s">
        <v>304</v>
      </c>
      <c r="E4933">
        <f>YEAR(A4933)</f>
        <v>2015</v>
      </c>
      <c r="F4933" s="33">
        <f>DATE(YEAR(A4933),MONTH(A4933),1)</f>
        <v>42005.0</v>
      </c>
      <c r="G4933" t="str">
        <f>CHOOSE(WEEKDAY(A4933,2),"Mon","Tue","Wed","Thu","Fri","Sat","Sun")</f>
        <v>Fri</v>
      </c>
      <c r="H4933" t="str">
        <f>IF(WEEKDAY(A4933,2)&gt;5,"Weekend","Weekday")</f>
        <v>Weekday</v>
      </c>
      <c r="I4933" t="str">
        <f>_xlfn.IFS(B4933&lt;=5,"Night (0-5)",B4933&lt;=9,"Morning peak (6-9)",B4933&lt;=15,"Midday (10-15)",B4933&lt;=19,"Evening peak (16-19)",TRUE,"Late evening (20-23)")</f>
        <v>Midday (10-15)</v>
      </c>
    </row>
    <row r="4934" spans="1:9">
      <c r="A4934" s="32">
        <v>42027</v>
      </c>
      <c r="B4934">
        <v>13</v>
      </c>
      <c r="C4934">
        <v>2377</v>
      </c>
      <c r="D4934" t="s">
        <v>304</v>
      </c>
      <c r="E4934">
        <f>YEAR(A4934)</f>
        <v>2015</v>
      </c>
      <c r="F4934" s="33">
        <f>DATE(YEAR(A4934),MONTH(A4934),1)</f>
        <v>42005.0</v>
      </c>
      <c r="G4934" t="str">
        <f>CHOOSE(WEEKDAY(A4934,2),"Mon","Tue","Wed","Thu","Fri","Sat","Sun")</f>
        <v>Fri</v>
      </c>
      <c r="H4934" t="str">
        <f>IF(WEEKDAY(A4934,2)&gt;5,"Weekend","Weekday")</f>
        <v>Weekday</v>
      </c>
      <c r="I4934" t="str">
        <f>_xlfn.IFS(B4934&lt;=5,"Night (0-5)",B4934&lt;=9,"Morning peak (6-9)",B4934&lt;=15,"Midday (10-15)",B4934&lt;=19,"Evening peak (16-19)",TRUE,"Late evening (20-23)")</f>
        <v>Midday (10-15)</v>
      </c>
    </row>
    <row r="4935" spans="1:9">
      <c r="A4935" s="32">
        <v>42027</v>
      </c>
      <c r="B4935">
        <v>14</v>
      </c>
      <c r="C4935">
        <v>2672</v>
      </c>
      <c r="D4935" t="s">
        <v>304</v>
      </c>
      <c r="E4935">
        <f>YEAR(A4935)</f>
        <v>2015</v>
      </c>
      <c r="F4935" s="33">
        <f>DATE(YEAR(A4935),MONTH(A4935),1)</f>
        <v>42005.0</v>
      </c>
      <c r="G4935" t="str">
        <f>CHOOSE(WEEKDAY(A4935,2),"Mon","Tue","Wed","Thu","Fri","Sat","Sun")</f>
        <v>Fri</v>
      </c>
      <c r="H4935" t="str">
        <f>IF(WEEKDAY(A4935,2)&gt;5,"Weekend","Weekday")</f>
        <v>Weekday</v>
      </c>
      <c r="I4935" t="str">
        <f>_xlfn.IFS(B4935&lt;=5,"Night (0-5)",B4935&lt;=9,"Morning peak (6-9)",B4935&lt;=15,"Midday (10-15)",B4935&lt;=19,"Evening peak (16-19)",TRUE,"Late evening (20-23)")</f>
        <v>Midday (10-15)</v>
      </c>
    </row>
    <row r="4936" spans="1:9">
      <c r="A4936" s="32">
        <v>42027</v>
      </c>
      <c r="B4936">
        <v>15</v>
      </c>
      <c r="C4936">
        <v>3032</v>
      </c>
      <c r="D4936" t="s">
        <v>304</v>
      </c>
      <c r="E4936">
        <f>YEAR(A4936)</f>
        <v>2015</v>
      </c>
      <c r="F4936" s="33">
        <f>DATE(YEAR(A4936),MONTH(A4936),1)</f>
        <v>42005.0</v>
      </c>
      <c r="G4936" t="str">
        <f>CHOOSE(WEEKDAY(A4936,2),"Mon","Tue","Wed","Thu","Fri","Sat","Sun")</f>
        <v>Fri</v>
      </c>
      <c r="H4936" t="str">
        <f>IF(WEEKDAY(A4936,2)&gt;5,"Weekend","Weekday")</f>
        <v>Weekday</v>
      </c>
      <c r="I4936" t="str">
        <f>_xlfn.IFS(B4936&lt;=5,"Night (0-5)",B4936&lt;=9,"Morning peak (6-9)",B4936&lt;=15,"Midday (10-15)",B4936&lt;=19,"Evening peak (16-19)",TRUE,"Late evening (20-23)")</f>
        <v>Midday (10-15)</v>
      </c>
    </row>
    <row r="4937" spans="1:9">
      <c r="A4937" s="32">
        <v>42027</v>
      </c>
      <c r="B4937">
        <v>16</v>
      </c>
      <c r="C4937">
        <v>3756</v>
      </c>
      <c r="D4937" t="s">
        <v>304</v>
      </c>
      <c r="E4937">
        <f>YEAR(A4937)</f>
        <v>2015</v>
      </c>
      <c r="F4937" s="33">
        <f>DATE(YEAR(A4937),MONTH(A4937),1)</f>
        <v>42005.0</v>
      </c>
      <c r="G4937" t="str">
        <f>CHOOSE(WEEKDAY(A4937,2),"Mon","Tue","Wed","Thu","Fri","Sat","Sun")</f>
        <v>Fri</v>
      </c>
      <c r="H4937" t="str">
        <f>IF(WEEKDAY(A4937,2)&gt;5,"Weekend","Weekday")</f>
        <v>Weekday</v>
      </c>
      <c r="I4937" t="str">
        <f>_xlfn.IFS(B4937&lt;=5,"Night (0-5)",B4937&lt;=9,"Morning peak (6-9)",B4937&lt;=15,"Midday (10-15)",B4937&lt;=19,"Evening peak (16-19)",TRUE,"Late evening (20-23)")</f>
        <v>Evening peak (16-19)</v>
      </c>
    </row>
    <row r="4938" spans="1:9">
      <c r="A4938" s="32">
        <v>42027</v>
      </c>
      <c r="B4938">
        <v>17</v>
      </c>
      <c r="C4938">
        <v>4706</v>
      </c>
      <c r="D4938" t="s">
        <v>304</v>
      </c>
      <c r="E4938">
        <f>YEAR(A4938)</f>
        <v>2015</v>
      </c>
      <c r="F4938" s="33">
        <f>DATE(YEAR(A4938),MONTH(A4938),1)</f>
        <v>42005.0</v>
      </c>
      <c r="G4938" t="str">
        <f>CHOOSE(WEEKDAY(A4938,2),"Mon","Tue","Wed","Thu","Fri","Sat","Sun")</f>
        <v>Fri</v>
      </c>
      <c r="H4938" t="str">
        <f>IF(WEEKDAY(A4938,2)&gt;5,"Weekend","Weekday")</f>
        <v>Weekday</v>
      </c>
      <c r="I4938" t="str">
        <f>_xlfn.IFS(B4938&lt;=5,"Night (0-5)",B4938&lt;=9,"Morning peak (6-9)",B4938&lt;=15,"Midday (10-15)",B4938&lt;=19,"Evening peak (16-19)",TRUE,"Late evening (20-23)")</f>
        <v>Evening peak (16-19)</v>
      </c>
    </row>
    <row r="4939" spans="1:9">
      <c r="A4939" s="32">
        <v>42027</v>
      </c>
      <c r="B4939">
        <v>18</v>
      </c>
      <c r="C4939">
        <v>5716</v>
      </c>
      <c r="D4939" t="s">
        <v>304</v>
      </c>
      <c r="E4939">
        <f>YEAR(A4939)</f>
        <v>2015</v>
      </c>
      <c r="F4939" s="33">
        <f>DATE(YEAR(A4939),MONTH(A4939),1)</f>
        <v>42005.0</v>
      </c>
      <c r="G4939" t="str">
        <f>CHOOSE(WEEKDAY(A4939,2),"Mon","Tue","Wed","Thu","Fri","Sat","Sun")</f>
        <v>Fri</v>
      </c>
      <c r="H4939" t="str">
        <f>IF(WEEKDAY(A4939,2)&gt;5,"Weekend","Weekday")</f>
        <v>Weekday</v>
      </c>
      <c r="I4939" t="str">
        <f>_xlfn.IFS(B4939&lt;=5,"Night (0-5)",B4939&lt;=9,"Morning peak (6-9)",B4939&lt;=15,"Midday (10-15)",B4939&lt;=19,"Evening peak (16-19)",TRUE,"Late evening (20-23)")</f>
        <v>Evening peak (16-19)</v>
      </c>
    </row>
    <row r="4940" spans="1:9">
      <c r="A4940" s="32">
        <v>42027</v>
      </c>
      <c r="B4940">
        <v>19</v>
      </c>
      <c r="C4940">
        <v>6390</v>
      </c>
      <c r="D4940" t="s">
        <v>304</v>
      </c>
      <c r="E4940">
        <f>YEAR(A4940)</f>
        <v>2015</v>
      </c>
      <c r="F4940" s="33">
        <f>DATE(YEAR(A4940),MONTH(A4940),1)</f>
        <v>42005.0</v>
      </c>
      <c r="G4940" t="str">
        <f>CHOOSE(WEEKDAY(A4940,2),"Mon","Tue","Wed","Thu","Fri","Sat","Sun")</f>
        <v>Fri</v>
      </c>
      <c r="H4940" t="str">
        <f>IF(WEEKDAY(A4940,2)&gt;5,"Weekend","Weekday")</f>
        <v>Weekday</v>
      </c>
      <c r="I4940" t="str">
        <f>_xlfn.IFS(B4940&lt;=5,"Night (0-5)",B4940&lt;=9,"Morning peak (6-9)",B4940&lt;=15,"Midday (10-15)",B4940&lt;=19,"Evening peak (16-19)",TRUE,"Late evening (20-23)")</f>
        <v>Evening peak (16-19)</v>
      </c>
    </row>
    <row r="4941" spans="1:9">
      <c r="A4941" s="32">
        <v>42027</v>
      </c>
      <c r="B4941">
        <v>20</v>
      </c>
      <c r="C4941">
        <v>5611</v>
      </c>
      <c r="D4941" t="s">
        <v>304</v>
      </c>
      <c r="E4941">
        <f>YEAR(A4941)</f>
        <v>2015</v>
      </c>
      <c r="F4941" s="33">
        <f>DATE(YEAR(A4941),MONTH(A4941),1)</f>
        <v>42005.0</v>
      </c>
      <c r="G4941" t="str">
        <f>CHOOSE(WEEKDAY(A4941,2),"Mon","Tue","Wed","Thu","Fri","Sat","Sun")</f>
        <v>Fri</v>
      </c>
      <c r="H4941" t="str">
        <f>IF(WEEKDAY(A4941,2)&gt;5,"Weekend","Weekday")</f>
        <v>Weekday</v>
      </c>
      <c r="I4941" t="str">
        <f>_xlfn.IFS(B4941&lt;=5,"Night (0-5)",B4941&lt;=9,"Morning peak (6-9)",B4941&lt;=15,"Midday (10-15)",B4941&lt;=19,"Evening peak (16-19)",TRUE,"Late evening (20-23)")</f>
        <v>Late evening (20-23)</v>
      </c>
    </row>
    <row r="4942" spans="1:9">
      <c r="A4942" s="32">
        <v>42027</v>
      </c>
      <c r="B4942">
        <v>21</v>
      </c>
      <c r="C4942">
        <v>4818</v>
      </c>
      <c r="D4942" t="s">
        <v>304</v>
      </c>
      <c r="E4942">
        <f>YEAR(A4942)</f>
        <v>2015</v>
      </c>
      <c r="F4942" s="33">
        <f>DATE(YEAR(A4942),MONTH(A4942),1)</f>
        <v>42005.0</v>
      </c>
      <c r="G4942" t="str">
        <f>CHOOSE(WEEKDAY(A4942,2),"Mon","Tue","Wed","Thu","Fri","Sat","Sun")</f>
        <v>Fri</v>
      </c>
      <c r="H4942" t="str">
        <f>IF(WEEKDAY(A4942,2)&gt;5,"Weekend","Weekday")</f>
        <v>Weekday</v>
      </c>
      <c r="I4942" t="str">
        <f>_xlfn.IFS(B4942&lt;=5,"Night (0-5)",B4942&lt;=9,"Morning peak (6-9)",B4942&lt;=15,"Midday (10-15)",B4942&lt;=19,"Evening peak (16-19)",TRUE,"Late evening (20-23)")</f>
        <v>Late evening (20-23)</v>
      </c>
    </row>
    <row r="4943" spans="1:9">
      <c r="A4943" s="32">
        <v>42027</v>
      </c>
      <c r="B4943">
        <v>22</v>
      </c>
      <c r="C4943">
        <v>5112</v>
      </c>
      <c r="D4943" t="s">
        <v>304</v>
      </c>
      <c r="E4943">
        <f>YEAR(A4943)</f>
        <v>2015</v>
      </c>
      <c r="F4943" s="33">
        <f>DATE(YEAR(A4943),MONTH(A4943),1)</f>
        <v>42005.0</v>
      </c>
      <c r="G4943" t="str">
        <f>CHOOSE(WEEKDAY(A4943,2),"Mon","Tue","Wed","Thu","Fri","Sat","Sun")</f>
        <v>Fri</v>
      </c>
      <c r="H4943" t="str">
        <f>IF(WEEKDAY(A4943,2)&gt;5,"Weekend","Weekday")</f>
        <v>Weekday</v>
      </c>
      <c r="I4943" t="str">
        <f>_xlfn.IFS(B4943&lt;=5,"Night (0-5)",B4943&lt;=9,"Morning peak (6-9)",B4943&lt;=15,"Midday (10-15)",B4943&lt;=19,"Evening peak (16-19)",TRUE,"Late evening (20-23)")</f>
        <v>Late evening (20-23)</v>
      </c>
    </row>
    <row r="4944" spans="1:9">
      <c r="A4944" s="32">
        <v>42027</v>
      </c>
      <c r="B4944">
        <v>23</v>
      </c>
      <c r="C4944">
        <v>5269</v>
      </c>
      <c r="D4944" t="s">
        <v>304</v>
      </c>
      <c r="E4944">
        <f>YEAR(A4944)</f>
        <v>2015</v>
      </c>
      <c r="F4944" s="33">
        <f>DATE(YEAR(A4944),MONTH(A4944),1)</f>
        <v>42005.0</v>
      </c>
      <c r="G4944" t="str">
        <f>CHOOSE(WEEKDAY(A4944,2),"Mon","Tue","Wed","Thu","Fri","Sat","Sun")</f>
        <v>Fri</v>
      </c>
      <c r="H4944" t="str">
        <f>IF(WEEKDAY(A4944,2)&gt;5,"Weekend","Weekday")</f>
        <v>Weekday</v>
      </c>
      <c r="I4944" t="str">
        <f>_xlfn.IFS(B4944&lt;=5,"Night (0-5)",B4944&lt;=9,"Morning peak (6-9)",B4944&lt;=15,"Midday (10-15)",B4944&lt;=19,"Evening peak (16-19)",TRUE,"Late evening (20-23)")</f>
        <v>Late evening (20-23)</v>
      </c>
    </row>
    <row r="4945" spans="1:9">
      <c r="A4945" s="32">
        <v>42028</v>
      </c>
      <c r="B4945">
        <v>0</v>
      </c>
      <c r="C4945">
        <v>4660</v>
      </c>
      <c r="D4945" t="s">
        <v>304</v>
      </c>
      <c r="E4945">
        <f>YEAR(A4945)</f>
        <v>2015</v>
      </c>
      <c r="F4945" s="33">
        <f>DATE(YEAR(A4945),MONTH(A4945),1)</f>
        <v>42005.0</v>
      </c>
      <c r="G4945" t="str">
        <f>CHOOSE(WEEKDAY(A4945,2),"Mon","Tue","Wed","Thu","Fri","Sat","Sun")</f>
        <v>Sat</v>
      </c>
      <c r="H4945" t="str">
        <f>IF(WEEKDAY(A4945,2)&gt;5,"Weekend","Weekday")</f>
        <v>Weekend</v>
      </c>
      <c r="I4945" t="str">
        <f>_xlfn.IFS(B4945&lt;=5,"Night (0-5)",B4945&lt;=9,"Morning peak (6-9)",B4945&lt;=15,"Midday (10-15)",B4945&lt;=19,"Evening peak (16-19)",TRUE,"Late evening (20-23)")</f>
        <v>Night (0-5)</v>
      </c>
    </row>
    <row r="4946" spans="1:9">
      <c r="A4946" s="32">
        <v>42028</v>
      </c>
      <c r="B4946">
        <v>1</v>
      </c>
      <c r="C4946">
        <v>3746</v>
      </c>
      <c r="D4946" t="s">
        <v>304</v>
      </c>
      <c r="E4946">
        <f>YEAR(A4946)</f>
        <v>2015</v>
      </c>
      <c r="F4946" s="33">
        <f>DATE(YEAR(A4946),MONTH(A4946),1)</f>
        <v>42005.0</v>
      </c>
      <c r="G4946" t="str">
        <f>CHOOSE(WEEKDAY(A4946,2),"Mon","Tue","Wed","Thu","Fri","Sat","Sun")</f>
        <v>Sat</v>
      </c>
      <c r="H4946" t="str">
        <f>IF(WEEKDAY(A4946,2)&gt;5,"Weekend","Weekday")</f>
        <v>Weekend</v>
      </c>
      <c r="I4946" t="str">
        <f>_xlfn.IFS(B4946&lt;=5,"Night (0-5)",B4946&lt;=9,"Morning peak (6-9)",B4946&lt;=15,"Midday (10-15)",B4946&lt;=19,"Evening peak (16-19)",TRUE,"Late evening (20-23)")</f>
        <v>Night (0-5)</v>
      </c>
    </row>
    <row r="4947" spans="1:9">
      <c r="A4947" s="32">
        <v>42028</v>
      </c>
      <c r="B4947">
        <v>2</v>
      </c>
      <c r="C4947">
        <v>3050</v>
      </c>
      <c r="D4947" t="s">
        <v>304</v>
      </c>
      <c r="E4947">
        <f>YEAR(A4947)</f>
        <v>2015</v>
      </c>
      <c r="F4947" s="33">
        <f>DATE(YEAR(A4947),MONTH(A4947),1)</f>
        <v>42005.0</v>
      </c>
      <c r="G4947" t="str">
        <f>CHOOSE(WEEKDAY(A4947,2),"Mon","Tue","Wed","Thu","Fri","Sat","Sun")</f>
        <v>Sat</v>
      </c>
      <c r="H4947" t="str">
        <f>IF(WEEKDAY(A4947,2)&gt;5,"Weekend","Weekday")</f>
        <v>Weekend</v>
      </c>
      <c r="I4947" t="str">
        <f>_xlfn.IFS(B4947&lt;=5,"Night (0-5)",B4947&lt;=9,"Morning peak (6-9)",B4947&lt;=15,"Midday (10-15)",B4947&lt;=19,"Evening peak (16-19)",TRUE,"Late evening (20-23)")</f>
        <v>Night (0-5)</v>
      </c>
    </row>
    <row r="4948" spans="1:9">
      <c r="A4948" s="32">
        <v>42028</v>
      </c>
      <c r="B4948">
        <v>3</v>
      </c>
      <c r="C4948">
        <v>2455</v>
      </c>
      <c r="D4948" t="s">
        <v>304</v>
      </c>
      <c r="E4948">
        <f>YEAR(A4948)</f>
        <v>2015</v>
      </c>
      <c r="F4948" s="33">
        <f>DATE(YEAR(A4948),MONTH(A4948),1)</f>
        <v>42005.0</v>
      </c>
      <c r="G4948" t="str">
        <f>CHOOSE(WEEKDAY(A4948,2),"Mon","Tue","Wed","Thu","Fri","Sat","Sun")</f>
        <v>Sat</v>
      </c>
      <c r="H4948" t="str">
        <f>IF(WEEKDAY(A4948,2)&gt;5,"Weekend","Weekday")</f>
        <v>Weekend</v>
      </c>
      <c r="I4948" t="str">
        <f>_xlfn.IFS(B4948&lt;=5,"Night (0-5)",B4948&lt;=9,"Morning peak (6-9)",B4948&lt;=15,"Midday (10-15)",B4948&lt;=19,"Evening peak (16-19)",TRUE,"Late evening (20-23)")</f>
        <v>Night (0-5)</v>
      </c>
    </row>
    <row r="4949" spans="1:9">
      <c r="A4949" s="32">
        <v>42028</v>
      </c>
      <c r="B4949">
        <v>4</v>
      </c>
      <c r="C4949">
        <v>1569</v>
      </c>
      <c r="D4949" t="s">
        <v>304</v>
      </c>
      <c r="E4949">
        <f>YEAR(A4949)</f>
        <v>2015</v>
      </c>
      <c r="F4949" s="33">
        <f>DATE(YEAR(A4949),MONTH(A4949),1)</f>
        <v>42005.0</v>
      </c>
      <c r="G4949" t="str">
        <f>CHOOSE(WEEKDAY(A4949,2),"Mon","Tue","Wed","Thu","Fri","Sat","Sun")</f>
        <v>Sat</v>
      </c>
      <c r="H4949" t="str">
        <f>IF(WEEKDAY(A4949,2)&gt;5,"Weekend","Weekday")</f>
        <v>Weekend</v>
      </c>
      <c r="I4949" t="str">
        <f>_xlfn.IFS(B4949&lt;=5,"Night (0-5)",B4949&lt;=9,"Morning peak (6-9)",B4949&lt;=15,"Midday (10-15)",B4949&lt;=19,"Evening peak (16-19)",TRUE,"Late evening (20-23)")</f>
        <v>Night (0-5)</v>
      </c>
    </row>
    <row r="4950" spans="1:9">
      <c r="A4950" s="32">
        <v>42028</v>
      </c>
      <c r="B4950">
        <v>5</v>
      </c>
      <c r="C4950">
        <v>911</v>
      </c>
      <c r="D4950" t="s">
        <v>304</v>
      </c>
      <c r="E4950">
        <f>YEAR(A4950)</f>
        <v>2015</v>
      </c>
      <c r="F4950" s="33">
        <f>DATE(YEAR(A4950),MONTH(A4950),1)</f>
        <v>42005.0</v>
      </c>
      <c r="G4950" t="str">
        <f>CHOOSE(WEEKDAY(A4950,2),"Mon","Tue","Wed","Thu","Fri","Sat","Sun")</f>
        <v>Sat</v>
      </c>
      <c r="H4950" t="str">
        <f>IF(WEEKDAY(A4950,2)&gt;5,"Weekend","Weekday")</f>
        <v>Weekend</v>
      </c>
      <c r="I4950" t="str">
        <f>_xlfn.IFS(B4950&lt;=5,"Night (0-5)",B4950&lt;=9,"Morning peak (6-9)",B4950&lt;=15,"Midday (10-15)",B4950&lt;=19,"Evening peak (16-19)",TRUE,"Late evening (20-23)")</f>
        <v>Night (0-5)</v>
      </c>
    </row>
    <row r="4951" spans="1:9">
      <c r="A4951" s="32">
        <v>42028</v>
      </c>
      <c r="B4951">
        <v>6</v>
      </c>
      <c r="C4951">
        <v>887</v>
      </c>
      <c r="D4951" t="s">
        <v>304</v>
      </c>
      <c r="E4951">
        <f>YEAR(A4951)</f>
        <v>2015</v>
      </c>
      <c r="F4951" s="33">
        <f>DATE(YEAR(A4951),MONTH(A4951),1)</f>
        <v>42005.0</v>
      </c>
      <c r="G4951" t="str">
        <f>CHOOSE(WEEKDAY(A4951,2),"Mon","Tue","Wed","Thu","Fri","Sat","Sun")</f>
        <v>Sat</v>
      </c>
      <c r="H4951" t="str">
        <f>IF(WEEKDAY(A4951,2)&gt;5,"Weekend","Weekday")</f>
        <v>Weekend</v>
      </c>
      <c r="I4951" t="str">
        <f>_xlfn.IFS(B4951&lt;=5,"Night (0-5)",B4951&lt;=9,"Morning peak (6-9)",B4951&lt;=15,"Midday (10-15)",B4951&lt;=19,"Evening peak (16-19)",TRUE,"Late evening (20-23)")</f>
        <v>Morning peak (6-9)</v>
      </c>
    </row>
    <row r="4952" spans="1:9">
      <c r="A4952" s="32">
        <v>42028</v>
      </c>
      <c r="B4952">
        <v>7</v>
      </c>
      <c r="C4952">
        <v>1033</v>
      </c>
      <c r="D4952" t="s">
        <v>304</v>
      </c>
      <c r="E4952">
        <f>YEAR(A4952)</f>
        <v>2015</v>
      </c>
      <c r="F4952" s="33">
        <f>DATE(YEAR(A4952),MONTH(A4952),1)</f>
        <v>42005.0</v>
      </c>
      <c r="G4952" t="str">
        <f>CHOOSE(WEEKDAY(A4952,2),"Mon","Tue","Wed","Thu","Fri","Sat","Sun")</f>
        <v>Sat</v>
      </c>
      <c r="H4952" t="str">
        <f>IF(WEEKDAY(A4952,2)&gt;5,"Weekend","Weekday")</f>
        <v>Weekend</v>
      </c>
      <c r="I4952" t="str">
        <f>_xlfn.IFS(B4952&lt;=5,"Night (0-5)",B4952&lt;=9,"Morning peak (6-9)",B4952&lt;=15,"Midday (10-15)",B4952&lt;=19,"Evening peak (16-19)",TRUE,"Late evening (20-23)")</f>
        <v>Morning peak (6-9)</v>
      </c>
    </row>
    <row r="4953" spans="1:9">
      <c r="A4953" s="32">
        <v>42028</v>
      </c>
      <c r="B4953">
        <v>8</v>
      </c>
      <c r="C4953">
        <v>1572</v>
      </c>
      <c r="D4953" t="s">
        <v>304</v>
      </c>
      <c r="E4953">
        <f>YEAR(A4953)</f>
        <v>2015</v>
      </c>
      <c r="F4953" s="33">
        <f>DATE(YEAR(A4953),MONTH(A4953),1)</f>
        <v>42005.0</v>
      </c>
      <c r="G4953" t="str">
        <f>CHOOSE(WEEKDAY(A4953,2),"Mon","Tue","Wed","Thu","Fri","Sat","Sun")</f>
        <v>Sat</v>
      </c>
      <c r="H4953" t="str">
        <f>IF(WEEKDAY(A4953,2)&gt;5,"Weekend","Weekday")</f>
        <v>Weekend</v>
      </c>
      <c r="I4953" t="str">
        <f>_xlfn.IFS(B4953&lt;=5,"Night (0-5)",B4953&lt;=9,"Morning peak (6-9)",B4953&lt;=15,"Midday (10-15)",B4953&lt;=19,"Evening peak (16-19)",TRUE,"Late evening (20-23)")</f>
        <v>Morning peak (6-9)</v>
      </c>
    </row>
    <row r="4954" spans="1:9">
      <c r="A4954" s="32">
        <v>42028</v>
      </c>
      <c r="B4954">
        <v>9</v>
      </c>
      <c r="C4954">
        <v>2252</v>
      </c>
      <c r="D4954" t="s">
        <v>304</v>
      </c>
      <c r="E4954">
        <f>YEAR(A4954)</f>
        <v>2015</v>
      </c>
      <c r="F4954" s="33">
        <f>DATE(YEAR(A4954),MONTH(A4954),1)</f>
        <v>42005.0</v>
      </c>
      <c r="G4954" t="str">
        <f>CHOOSE(WEEKDAY(A4954,2),"Mon","Tue","Wed","Thu","Fri","Sat","Sun")</f>
        <v>Sat</v>
      </c>
      <c r="H4954" t="str">
        <f>IF(WEEKDAY(A4954,2)&gt;5,"Weekend","Weekday")</f>
        <v>Weekend</v>
      </c>
      <c r="I4954" t="str">
        <f>_xlfn.IFS(B4954&lt;=5,"Night (0-5)",B4954&lt;=9,"Morning peak (6-9)",B4954&lt;=15,"Midday (10-15)",B4954&lt;=19,"Evening peak (16-19)",TRUE,"Late evening (20-23)")</f>
        <v>Morning peak (6-9)</v>
      </c>
    </row>
    <row r="4955" spans="1:9">
      <c r="A4955" s="32">
        <v>42028</v>
      </c>
      <c r="B4955">
        <v>10</v>
      </c>
      <c r="C4955">
        <v>2814</v>
      </c>
      <c r="D4955" t="s">
        <v>304</v>
      </c>
      <c r="E4955">
        <f>YEAR(A4955)</f>
        <v>2015</v>
      </c>
      <c r="F4955" s="33">
        <f>DATE(YEAR(A4955),MONTH(A4955),1)</f>
        <v>42005.0</v>
      </c>
      <c r="G4955" t="str">
        <f>CHOOSE(WEEKDAY(A4955,2),"Mon","Tue","Wed","Thu","Fri","Sat","Sun")</f>
        <v>Sat</v>
      </c>
      <c r="H4955" t="str">
        <f>IF(WEEKDAY(A4955,2)&gt;5,"Weekend","Weekday")</f>
        <v>Weekend</v>
      </c>
      <c r="I4955" t="str">
        <f>_xlfn.IFS(B4955&lt;=5,"Night (0-5)",B4955&lt;=9,"Morning peak (6-9)",B4955&lt;=15,"Midday (10-15)",B4955&lt;=19,"Evening peak (16-19)",TRUE,"Late evening (20-23)")</f>
        <v>Midday (10-15)</v>
      </c>
    </row>
    <row r="4956" spans="1:9">
      <c r="A4956" s="32">
        <v>42028</v>
      </c>
      <c r="B4956">
        <v>11</v>
      </c>
      <c r="C4956">
        <v>3179</v>
      </c>
      <c r="D4956" t="s">
        <v>304</v>
      </c>
      <c r="E4956">
        <f>YEAR(A4956)</f>
        <v>2015</v>
      </c>
      <c r="F4956" s="33">
        <f>DATE(YEAR(A4956),MONTH(A4956),1)</f>
        <v>42005.0</v>
      </c>
      <c r="G4956" t="str">
        <f>CHOOSE(WEEKDAY(A4956,2),"Mon","Tue","Wed","Thu","Fri","Sat","Sun")</f>
        <v>Sat</v>
      </c>
      <c r="H4956" t="str">
        <f>IF(WEEKDAY(A4956,2)&gt;5,"Weekend","Weekday")</f>
        <v>Weekend</v>
      </c>
      <c r="I4956" t="str">
        <f>_xlfn.IFS(B4956&lt;=5,"Night (0-5)",B4956&lt;=9,"Morning peak (6-9)",B4956&lt;=15,"Midday (10-15)",B4956&lt;=19,"Evening peak (16-19)",TRUE,"Late evening (20-23)")</f>
        <v>Midday (10-15)</v>
      </c>
    </row>
    <row r="4957" spans="1:9">
      <c r="A4957" s="32">
        <v>42028</v>
      </c>
      <c r="B4957">
        <v>12</v>
      </c>
      <c r="C4957">
        <v>3541</v>
      </c>
      <c r="D4957" t="s">
        <v>304</v>
      </c>
      <c r="E4957">
        <f>YEAR(A4957)</f>
        <v>2015</v>
      </c>
      <c r="F4957" s="33">
        <f>DATE(YEAR(A4957),MONTH(A4957),1)</f>
        <v>42005.0</v>
      </c>
      <c r="G4957" t="str">
        <f>CHOOSE(WEEKDAY(A4957,2),"Mon","Tue","Wed","Thu","Fri","Sat","Sun")</f>
        <v>Sat</v>
      </c>
      <c r="H4957" t="str">
        <f>IF(WEEKDAY(A4957,2)&gt;5,"Weekend","Weekday")</f>
        <v>Weekend</v>
      </c>
      <c r="I4957" t="str">
        <f>_xlfn.IFS(B4957&lt;=5,"Night (0-5)",B4957&lt;=9,"Morning peak (6-9)",B4957&lt;=15,"Midday (10-15)",B4957&lt;=19,"Evening peak (16-19)",TRUE,"Late evening (20-23)")</f>
        <v>Midday (10-15)</v>
      </c>
    </row>
    <row r="4958" spans="1:9">
      <c r="A4958" s="32">
        <v>42028</v>
      </c>
      <c r="B4958">
        <v>13</v>
      </c>
      <c r="C4958">
        <v>3534</v>
      </c>
      <c r="D4958" t="s">
        <v>304</v>
      </c>
      <c r="E4958">
        <f>YEAR(A4958)</f>
        <v>2015</v>
      </c>
      <c r="F4958" s="33">
        <f>DATE(YEAR(A4958),MONTH(A4958),1)</f>
        <v>42005.0</v>
      </c>
      <c r="G4958" t="str">
        <f>CHOOSE(WEEKDAY(A4958,2),"Mon","Tue","Wed","Thu","Fri","Sat","Sun")</f>
        <v>Sat</v>
      </c>
      <c r="H4958" t="str">
        <f>IF(WEEKDAY(A4958,2)&gt;5,"Weekend","Weekday")</f>
        <v>Weekend</v>
      </c>
      <c r="I4958" t="str">
        <f>_xlfn.IFS(B4958&lt;=5,"Night (0-5)",B4958&lt;=9,"Morning peak (6-9)",B4958&lt;=15,"Midday (10-15)",B4958&lt;=19,"Evening peak (16-19)",TRUE,"Late evening (20-23)")</f>
        <v>Midday (10-15)</v>
      </c>
    </row>
    <row r="4959" spans="1:9">
      <c r="A4959" s="32">
        <v>42028</v>
      </c>
      <c r="B4959">
        <v>14</v>
      </c>
      <c r="C4959">
        <v>3184</v>
      </c>
      <c r="D4959" t="s">
        <v>304</v>
      </c>
      <c r="E4959">
        <f>YEAR(A4959)</f>
        <v>2015</v>
      </c>
      <c r="F4959" s="33">
        <f>DATE(YEAR(A4959),MONTH(A4959),1)</f>
        <v>42005.0</v>
      </c>
      <c r="G4959" t="str">
        <f>CHOOSE(WEEKDAY(A4959,2),"Mon","Tue","Wed","Thu","Fri","Sat","Sun")</f>
        <v>Sat</v>
      </c>
      <c r="H4959" t="str">
        <f>IF(WEEKDAY(A4959,2)&gt;5,"Weekend","Weekday")</f>
        <v>Weekend</v>
      </c>
      <c r="I4959" t="str">
        <f>_xlfn.IFS(B4959&lt;=5,"Night (0-5)",B4959&lt;=9,"Morning peak (6-9)",B4959&lt;=15,"Midday (10-15)",B4959&lt;=19,"Evening peak (16-19)",TRUE,"Late evening (20-23)")</f>
        <v>Midday (10-15)</v>
      </c>
    </row>
    <row r="4960" spans="1:9">
      <c r="A4960" s="32">
        <v>42028</v>
      </c>
      <c r="B4960">
        <v>15</v>
      </c>
      <c r="C4960">
        <v>3242</v>
      </c>
      <c r="D4960" t="s">
        <v>304</v>
      </c>
      <c r="E4960">
        <f>YEAR(A4960)</f>
        <v>2015</v>
      </c>
      <c r="F4960" s="33">
        <f>DATE(YEAR(A4960),MONTH(A4960),1)</f>
        <v>42005.0</v>
      </c>
      <c r="G4960" t="str">
        <f>CHOOSE(WEEKDAY(A4960,2),"Mon","Tue","Wed","Thu","Fri","Sat","Sun")</f>
        <v>Sat</v>
      </c>
      <c r="H4960" t="str">
        <f>IF(WEEKDAY(A4960,2)&gt;5,"Weekend","Weekday")</f>
        <v>Weekend</v>
      </c>
      <c r="I4960" t="str">
        <f>_xlfn.IFS(B4960&lt;=5,"Night (0-5)",B4960&lt;=9,"Morning peak (6-9)",B4960&lt;=15,"Midday (10-15)",B4960&lt;=19,"Evening peak (16-19)",TRUE,"Late evening (20-23)")</f>
        <v>Midday (10-15)</v>
      </c>
    </row>
    <row r="4961" spans="1:9">
      <c r="A4961" s="32">
        <v>42028</v>
      </c>
      <c r="B4961">
        <v>16</v>
      </c>
      <c r="C4961">
        <v>3790</v>
      </c>
      <c r="D4961" t="s">
        <v>304</v>
      </c>
      <c r="E4961">
        <f>YEAR(A4961)</f>
        <v>2015</v>
      </c>
      <c r="F4961" s="33">
        <f>DATE(YEAR(A4961),MONTH(A4961),1)</f>
        <v>42005.0</v>
      </c>
      <c r="G4961" t="str">
        <f>CHOOSE(WEEKDAY(A4961,2),"Mon","Tue","Wed","Thu","Fri","Sat","Sun")</f>
        <v>Sat</v>
      </c>
      <c r="H4961" t="str">
        <f>IF(WEEKDAY(A4961,2)&gt;5,"Weekend","Weekday")</f>
        <v>Weekend</v>
      </c>
      <c r="I4961" t="str">
        <f>_xlfn.IFS(B4961&lt;=5,"Night (0-5)",B4961&lt;=9,"Morning peak (6-9)",B4961&lt;=15,"Midday (10-15)",B4961&lt;=19,"Evening peak (16-19)",TRUE,"Late evening (20-23)")</f>
        <v>Evening peak (16-19)</v>
      </c>
    </row>
    <row r="4962" spans="1:9">
      <c r="A4962" s="32">
        <v>42028</v>
      </c>
      <c r="B4962">
        <v>17</v>
      </c>
      <c r="C4962">
        <v>4840</v>
      </c>
      <c r="D4962" t="s">
        <v>304</v>
      </c>
      <c r="E4962">
        <f>YEAR(A4962)</f>
        <v>2015</v>
      </c>
      <c r="F4962" s="33">
        <f>DATE(YEAR(A4962),MONTH(A4962),1)</f>
        <v>42005.0</v>
      </c>
      <c r="G4962" t="str">
        <f>CHOOSE(WEEKDAY(A4962,2),"Mon","Tue","Wed","Thu","Fri","Sat","Sun")</f>
        <v>Sat</v>
      </c>
      <c r="H4962" t="str">
        <f>IF(WEEKDAY(A4962,2)&gt;5,"Weekend","Weekday")</f>
        <v>Weekend</v>
      </c>
      <c r="I4962" t="str">
        <f>_xlfn.IFS(B4962&lt;=5,"Night (0-5)",B4962&lt;=9,"Morning peak (6-9)",B4962&lt;=15,"Midday (10-15)",B4962&lt;=19,"Evening peak (16-19)",TRUE,"Late evening (20-23)")</f>
        <v>Evening peak (16-19)</v>
      </c>
    </row>
    <row r="4963" spans="1:9">
      <c r="A4963" s="32">
        <v>42028</v>
      </c>
      <c r="B4963">
        <v>18</v>
      </c>
      <c r="C4963">
        <v>5413</v>
      </c>
      <c r="D4963" t="s">
        <v>304</v>
      </c>
      <c r="E4963">
        <f>YEAR(A4963)</f>
        <v>2015</v>
      </c>
      <c r="F4963" s="33">
        <f>DATE(YEAR(A4963),MONTH(A4963),1)</f>
        <v>42005.0</v>
      </c>
      <c r="G4963" t="str">
        <f>CHOOSE(WEEKDAY(A4963,2),"Mon","Tue","Wed","Thu","Fri","Sat","Sun")</f>
        <v>Sat</v>
      </c>
      <c r="H4963" t="str">
        <f>IF(WEEKDAY(A4963,2)&gt;5,"Weekend","Weekday")</f>
        <v>Weekend</v>
      </c>
      <c r="I4963" t="str">
        <f>_xlfn.IFS(B4963&lt;=5,"Night (0-5)",B4963&lt;=9,"Morning peak (6-9)",B4963&lt;=15,"Midday (10-15)",B4963&lt;=19,"Evening peak (16-19)",TRUE,"Late evening (20-23)")</f>
        <v>Evening peak (16-19)</v>
      </c>
    </row>
    <row r="4964" spans="1:9">
      <c r="A4964" s="32">
        <v>42028</v>
      </c>
      <c r="B4964">
        <v>19</v>
      </c>
      <c r="C4964">
        <v>6276</v>
      </c>
      <c r="D4964" t="s">
        <v>304</v>
      </c>
      <c r="E4964">
        <f>YEAR(A4964)</f>
        <v>2015</v>
      </c>
      <c r="F4964" s="33">
        <f>DATE(YEAR(A4964),MONTH(A4964),1)</f>
        <v>42005.0</v>
      </c>
      <c r="G4964" t="str">
        <f>CHOOSE(WEEKDAY(A4964,2),"Mon","Tue","Wed","Thu","Fri","Sat","Sun")</f>
        <v>Sat</v>
      </c>
      <c r="H4964" t="str">
        <f>IF(WEEKDAY(A4964,2)&gt;5,"Weekend","Weekday")</f>
        <v>Weekend</v>
      </c>
      <c r="I4964" t="str">
        <f>_xlfn.IFS(B4964&lt;=5,"Night (0-5)",B4964&lt;=9,"Morning peak (6-9)",B4964&lt;=15,"Midday (10-15)",B4964&lt;=19,"Evening peak (16-19)",TRUE,"Late evening (20-23)")</f>
        <v>Evening peak (16-19)</v>
      </c>
    </row>
    <row r="4965" spans="1:9">
      <c r="A4965" s="32">
        <v>42028</v>
      </c>
      <c r="B4965">
        <v>20</v>
      </c>
      <c r="C4965">
        <v>5230</v>
      </c>
      <c r="D4965" t="s">
        <v>304</v>
      </c>
      <c r="E4965">
        <f>YEAR(A4965)</f>
        <v>2015</v>
      </c>
      <c r="F4965" s="33">
        <f>DATE(YEAR(A4965),MONTH(A4965),1)</f>
        <v>42005.0</v>
      </c>
      <c r="G4965" t="str">
        <f>CHOOSE(WEEKDAY(A4965,2),"Mon","Tue","Wed","Thu","Fri","Sat","Sun")</f>
        <v>Sat</v>
      </c>
      <c r="H4965" t="str">
        <f>IF(WEEKDAY(A4965,2)&gt;5,"Weekend","Weekday")</f>
        <v>Weekend</v>
      </c>
      <c r="I4965" t="str">
        <f>_xlfn.IFS(B4965&lt;=5,"Night (0-5)",B4965&lt;=9,"Morning peak (6-9)",B4965&lt;=15,"Midday (10-15)",B4965&lt;=19,"Evening peak (16-19)",TRUE,"Late evening (20-23)")</f>
        <v>Late evening (20-23)</v>
      </c>
    </row>
    <row r="4966" spans="1:9">
      <c r="A4966" s="32">
        <v>42028</v>
      </c>
      <c r="B4966">
        <v>21</v>
      </c>
      <c r="C4966">
        <v>4702</v>
      </c>
      <c r="D4966" t="s">
        <v>304</v>
      </c>
      <c r="E4966">
        <f>YEAR(A4966)</f>
        <v>2015</v>
      </c>
      <c r="F4966" s="33">
        <f>DATE(YEAR(A4966),MONTH(A4966),1)</f>
        <v>42005.0</v>
      </c>
      <c r="G4966" t="str">
        <f>CHOOSE(WEEKDAY(A4966,2),"Mon","Tue","Wed","Thu","Fri","Sat","Sun")</f>
        <v>Sat</v>
      </c>
      <c r="H4966" t="str">
        <f>IF(WEEKDAY(A4966,2)&gt;5,"Weekend","Weekday")</f>
        <v>Weekend</v>
      </c>
      <c r="I4966" t="str">
        <f>_xlfn.IFS(B4966&lt;=5,"Night (0-5)",B4966&lt;=9,"Morning peak (6-9)",B4966&lt;=15,"Midday (10-15)",B4966&lt;=19,"Evening peak (16-19)",TRUE,"Late evening (20-23)")</f>
        <v>Late evening (20-23)</v>
      </c>
    </row>
    <row r="4967" spans="1:9">
      <c r="A4967" s="32">
        <v>42028</v>
      </c>
      <c r="B4967">
        <v>22</v>
      </c>
      <c r="C4967">
        <v>5115</v>
      </c>
      <c r="D4967" t="s">
        <v>304</v>
      </c>
      <c r="E4967">
        <f>YEAR(A4967)</f>
        <v>2015</v>
      </c>
      <c r="F4967" s="33">
        <f>DATE(YEAR(A4967),MONTH(A4967),1)</f>
        <v>42005.0</v>
      </c>
      <c r="G4967" t="str">
        <f>CHOOSE(WEEKDAY(A4967,2),"Mon","Tue","Wed","Thu","Fri","Sat","Sun")</f>
        <v>Sat</v>
      </c>
      <c r="H4967" t="str">
        <f>IF(WEEKDAY(A4967,2)&gt;5,"Weekend","Weekday")</f>
        <v>Weekend</v>
      </c>
      <c r="I4967" t="str">
        <f>_xlfn.IFS(B4967&lt;=5,"Night (0-5)",B4967&lt;=9,"Morning peak (6-9)",B4967&lt;=15,"Midday (10-15)",B4967&lt;=19,"Evening peak (16-19)",TRUE,"Late evening (20-23)")</f>
        <v>Late evening (20-23)</v>
      </c>
    </row>
    <row r="4968" spans="1:9">
      <c r="A4968" s="32">
        <v>42028</v>
      </c>
      <c r="B4968">
        <v>23</v>
      </c>
      <c r="C4968">
        <v>5593</v>
      </c>
      <c r="D4968" t="s">
        <v>304</v>
      </c>
      <c r="E4968">
        <f>YEAR(A4968)</f>
        <v>2015</v>
      </c>
      <c r="F4968" s="33">
        <f>DATE(YEAR(A4968),MONTH(A4968),1)</f>
        <v>42005.0</v>
      </c>
      <c r="G4968" t="str">
        <f>CHOOSE(WEEKDAY(A4968,2),"Mon","Tue","Wed","Thu","Fri","Sat","Sun")</f>
        <v>Sat</v>
      </c>
      <c r="H4968" t="str">
        <f>IF(WEEKDAY(A4968,2)&gt;5,"Weekend","Weekday")</f>
        <v>Weekend</v>
      </c>
      <c r="I4968" t="str">
        <f>_xlfn.IFS(B4968&lt;=5,"Night (0-5)",B4968&lt;=9,"Morning peak (6-9)",B4968&lt;=15,"Midday (10-15)",B4968&lt;=19,"Evening peak (16-19)",TRUE,"Late evening (20-23)")</f>
        <v>Late evening (20-23)</v>
      </c>
    </row>
    <row r="4969" spans="1:9">
      <c r="A4969" s="32">
        <v>42029</v>
      </c>
      <c r="B4969">
        <v>0</v>
      </c>
      <c r="C4969">
        <v>4834</v>
      </c>
      <c r="D4969" t="s">
        <v>304</v>
      </c>
      <c r="E4969">
        <f>YEAR(A4969)</f>
        <v>2015</v>
      </c>
      <c r="F4969" s="33">
        <f>DATE(YEAR(A4969),MONTH(A4969),1)</f>
        <v>42005.0</v>
      </c>
      <c r="G4969" t="str">
        <f>CHOOSE(WEEKDAY(A4969,2),"Mon","Tue","Wed","Thu","Fri","Sat","Sun")</f>
        <v>Sun</v>
      </c>
      <c r="H4969" t="str">
        <f>IF(WEEKDAY(A4969,2)&gt;5,"Weekend","Weekday")</f>
        <v>Weekend</v>
      </c>
      <c r="I4969" t="str">
        <f>_xlfn.IFS(B4969&lt;=5,"Night (0-5)",B4969&lt;=9,"Morning peak (6-9)",B4969&lt;=15,"Midday (10-15)",B4969&lt;=19,"Evening peak (16-19)",TRUE,"Late evening (20-23)")</f>
        <v>Night (0-5)</v>
      </c>
    </row>
    <row r="4970" spans="1:9">
      <c r="A4970" s="32">
        <v>42029</v>
      </c>
      <c r="B4970">
        <v>1</v>
      </c>
      <c r="C4970">
        <v>3636</v>
      </c>
      <c r="D4970" t="s">
        <v>304</v>
      </c>
      <c r="E4970">
        <f>YEAR(A4970)</f>
        <v>2015</v>
      </c>
      <c r="F4970" s="33">
        <f>DATE(YEAR(A4970),MONTH(A4970),1)</f>
        <v>42005.0</v>
      </c>
      <c r="G4970" t="str">
        <f>CHOOSE(WEEKDAY(A4970,2),"Mon","Tue","Wed","Thu","Fri","Sat","Sun")</f>
        <v>Sun</v>
      </c>
      <c r="H4970" t="str">
        <f>IF(WEEKDAY(A4970,2)&gt;5,"Weekend","Weekday")</f>
        <v>Weekend</v>
      </c>
      <c r="I4970" t="str">
        <f>_xlfn.IFS(B4970&lt;=5,"Night (0-5)",B4970&lt;=9,"Morning peak (6-9)",B4970&lt;=15,"Midday (10-15)",B4970&lt;=19,"Evening peak (16-19)",TRUE,"Late evening (20-23)")</f>
        <v>Night (0-5)</v>
      </c>
    </row>
    <row r="4971" spans="1:9">
      <c r="A4971" s="32">
        <v>42029</v>
      </c>
      <c r="B4971">
        <v>2</v>
      </c>
      <c r="C4971">
        <v>2903</v>
      </c>
      <c r="D4971" t="s">
        <v>304</v>
      </c>
      <c r="E4971">
        <f>YEAR(A4971)</f>
        <v>2015</v>
      </c>
      <c r="F4971" s="33">
        <f>DATE(YEAR(A4971),MONTH(A4971),1)</f>
        <v>42005.0</v>
      </c>
      <c r="G4971" t="str">
        <f>CHOOSE(WEEKDAY(A4971,2),"Mon","Tue","Wed","Thu","Fri","Sat","Sun")</f>
        <v>Sun</v>
      </c>
      <c r="H4971" t="str">
        <f>IF(WEEKDAY(A4971,2)&gt;5,"Weekend","Weekday")</f>
        <v>Weekend</v>
      </c>
      <c r="I4971" t="str">
        <f>_xlfn.IFS(B4971&lt;=5,"Night (0-5)",B4971&lt;=9,"Morning peak (6-9)",B4971&lt;=15,"Midday (10-15)",B4971&lt;=19,"Evening peak (16-19)",TRUE,"Late evening (20-23)")</f>
        <v>Night (0-5)</v>
      </c>
    </row>
    <row r="4972" spans="1:9">
      <c r="A4972" s="32">
        <v>42029</v>
      </c>
      <c r="B4972">
        <v>3</v>
      </c>
      <c r="C4972">
        <v>1906</v>
      </c>
      <c r="D4972" t="s">
        <v>304</v>
      </c>
      <c r="E4972">
        <f>YEAR(A4972)</f>
        <v>2015</v>
      </c>
      <c r="F4972" s="33">
        <f>DATE(YEAR(A4972),MONTH(A4972),1)</f>
        <v>42005.0</v>
      </c>
      <c r="G4972" t="str">
        <f>CHOOSE(WEEKDAY(A4972,2),"Mon","Tue","Wed","Thu","Fri","Sat","Sun")</f>
        <v>Sun</v>
      </c>
      <c r="H4972" t="str">
        <f>IF(WEEKDAY(A4972,2)&gt;5,"Weekend","Weekday")</f>
        <v>Weekend</v>
      </c>
      <c r="I4972" t="str">
        <f>_xlfn.IFS(B4972&lt;=5,"Night (0-5)",B4972&lt;=9,"Morning peak (6-9)",B4972&lt;=15,"Midday (10-15)",B4972&lt;=19,"Evening peak (16-19)",TRUE,"Late evening (20-23)")</f>
        <v>Night (0-5)</v>
      </c>
    </row>
    <row r="4973" spans="1:9">
      <c r="A4973" s="32">
        <v>42029</v>
      </c>
      <c r="B4973">
        <v>4</v>
      </c>
      <c r="C4973">
        <v>1167</v>
      </c>
      <c r="D4973" t="s">
        <v>304</v>
      </c>
      <c r="E4973">
        <f>YEAR(A4973)</f>
        <v>2015</v>
      </c>
      <c r="F4973" s="33">
        <f>DATE(YEAR(A4973),MONTH(A4973),1)</f>
        <v>42005.0</v>
      </c>
      <c r="G4973" t="str">
        <f>CHOOSE(WEEKDAY(A4973,2),"Mon","Tue","Wed","Thu","Fri","Sat","Sun")</f>
        <v>Sun</v>
      </c>
      <c r="H4973" t="str">
        <f>IF(WEEKDAY(A4973,2)&gt;5,"Weekend","Weekday")</f>
        <v>Weekend</v>
      </c>
      <c r="I4973" t="str">
        <f>_xlfn.IFS(B4973&lt;=5,"Night (0-5)",B4973&lt;=9,"Morning peak (6-9)",B4973&lt;=15,"Midday (10-15)",B4973&lt;=19,"Evening peak (16-19)",TRUE,"Late evening (20-23)")</f>
        <v>Night (0-5)</v>
      </c>
    </row>
    <row r="4974" spans="1:9">
      <c r="A4974" s="32">
        <v>42029</v>
      </c>
      <c r="B4974">
        <v>5</v>
      </c>
      <c r="C4974">
        <v>724</v>
      </c>
      <c r="D4974" t="s">
        <v>304</v>
      </c>
      <c r="E4974">
        <f>YEAR(A4974)</f>
        <v>2015</v>
      </c>
      <c r="F4974" s="33">
        <f>DATE(YEAR(A4974),MONTH(A4974),1)</f>
        <v>42005.0</v>
      </c>
      <c r="G4974" t="str">
        <f>CHOOSE(WEEKDAY(A4974,2),"Mon","Tue","Wed","Thu","Fri","Sat","Sun")</f>
        <v>Sun</v>
      </c>
      <c r="H4974" t="str">
        <f>IF(WEEKDAY(A4974,2)&gt;5,"Weekend","Weekday")</f>
        <v>Weekend</v>
      </c>
      <c r="I4974" t="str">
        <f>_xlfn.IFS(B4974&lt;=5,"Night (0-5)",B4974&lt;=9,"Morning peak (6-9)",B4974&lt;=15,"Midday (10-15)",B4974&lt;=19,"Evening peak (16-19)",TRUE,"Late evening (20-23)")</f>
        <v>Night (0-5)</v>
      </c>
    </row>
    <row r="4975" spans="1:9">
      <c r="A4975" s="32">
        <v>42029</v>
      </c>
      <c r="B4975">
        <v>6</v>
      </c>
      <c r="C4975">
        <v>696</v>
      </c>
      <c r="D4975" t="s">
        <v>304</v>
      </c>
      <c r="E4975">
        <f>YEAR(A4975)</f>
        <v>2015</v>
      </c>
      <c r="F4975" s="33">
        <f>DATE(YEAR(A4975),MONTH(A4975),1)</f>
        <v>42005.0</v>
      </c>
      <c r="G4975" t="str">
        <f>CHOOSE(WEEKDAY(A4975,2),"Mon","Tue","Wed","Thu","Fri","Sat","Sun")</f>
        <v>Sun</v>
      </c>
      <c r="H4975" t="str">
        <f>IF(WEEKDAY(A4975,2)&gt;5,"Weekend","Weekday")</f>
        <v>Weekend</v>
      </c>
      <c r="I4975" t="str">
        <f>_xlfn.IFS(B4975&lt;=5,"Night (0-5)",B4975&lt;=9,"Morning peak (6-9)",B4975&lt;=15,"Midday (10-15)",B4975&lt;=19,"Evening peak (16-19)",TRUE,"Late evening (20-23)")</f>
        <v>Morning peak (6-9)</v>
      </c>
    </row>
    <row r="4976" spans="1:9">
      <c r="A4976" s="32">
        <v>42029</v>
      </c>
      <c r="B4976">
        <v>7</v>
      </c>
      <c r="C4976">
        <v>743</v>
      </c>
      <c r="D4976" t="s">
        <v>304</v>
      </c>
      <c r="E4976">
        <f>YEAR(A4976)</f>
        <v>2015</v>
      </c>
      <c r="F4976" s="33">
        <f>DATE(YEAR(A4976),MONTH(A4976),1)</f>
        <v>42005.0</v>
      </c>
      <c r="G4976" t="str">
        <f>CHOOSE(WEEKDAY(A4976,2),"Mon","Tue","Wed","Thu","Fri","Sat","Sun")</f>
        <v>Sun</v>
      </c>
      <c r="H4976" t="str">
        <f>IF(WEEKDAY(A4976,2)&gt;5,"Weekend","Weekday")</f>
        <v>Weekend</v>
      </c>
      <c r="I4976" t="str">
        <f>_xlfn.IFS(B4976&lt;=5,"Night (0-5)",B4976&lt;=9,"Morning peak (6-9)",B4976&lt;=15,"Midday (10-15)",B4976&lt;=19,"Evening peak (16-19)",TRUE,"Late evening (20-23)")</f>
        <v>Morning peak (6-9)</v>
      </c>
    </row>
    <row r="4977" spans="1:9">
      <c r="A4977" s="32">
        <v>42029</v>
      </c>
      <c r="B4977">
        <v>8</v>
      </c>
      <c r="C4977">
        <v>1031</v>
      </c>
      <c r="D4977" t="s">
        <v>304</v>
      </c>
      <c r="E4977">
        <f>YEAR(A4977)</f>
        <v>2015</v>
      </c>
      <c r="F4977" s="33">
        <f>DATE(YEAR(A4977),MONTH(A4977),1)</f>
        <v>42005.0</v>
      </c>
      <c r="G4977" t="str">
        <f>CHOOSE(WEEKDAY(A4977,2),"Mon","Tue","Wed","Thu","Fri","Sat","Sun")</f>
        <v>Sun</v>
      </c>
      <c r="H4977" t="str">
        <f>IF(WEEKDAY(A4977,2)&gt;5,"Weekend","Weekday")</f>
        <v>Weekend</v>
      </c>
      <c r="I4977" t="str">
        <f>_xlfn.IFS(B4977&lt;=5,"Night (0-5)",B4977&lt;=9,"Morning peak (6-9)",B4977&lt;=15,"Midday (10-15)",B4977&lt;=19,"Evening peak (16-19)",TRUE,"Late evening (20-23)")</f>
        <v>Morning peak (6-9)</v>
      </c>
    </row>
    <row r="4978" spans="1:9">
      <c r="A4978" s="32">
        <v>42029</v>
      </c>
      <c r="B4978">
        <v>9</v>
      </c>
      <c r="C4978">
        <v>1556</v>
      </c>
      <c r="D4978" t="s">
        <v>304</v>
      </c>
      <c r="E4978">
        <f>YEAR(A4978)</f>
        <v>2015</v>
      </c>
      <c r="F4978" s="33">
        <f>DATE(YEAR(A4978),MONTH(A4978),1)</f>
        <v>42005.0</v>
      </c>
      <c r="G4978" t="str">
        <f>CHOOSE(WEEKDAY(A4978,2),"Mon","Tue","Wed","Thu","Fri","Sat","Sun")</f>
        <v>Sun</v>
      </c>
      <c r="H4978" t="str">
        <f>IF(WEEKDAY(A4978,2)&gt;5,"Weekend","Weekday")</f>
        <v>Weekend</v>
      </c>
      <c r="I4978" t="str">
        <f>_xlfn.IFS(B4978&lt;=5,"Night (0-5)",B4978&lt;=9,"Morning peak (6-9)",B4978&lt;=15,"Midday (10-15)",B4978&lt;=19,"Evening peak (16-19)",TRUE,"Late evening (20-23)")</f>
        <v>Morning peak (6-9)</v>
      </c>
    </row>
    <row r="4979" spans="1:9">
      <c r="A4979" s="32">
        <v>42029</v>
      </c>
      <c r="B4979">
        <v>10</v>
      </c>
      <c r="C4979">
        <v>2201</v>
      </c>
      <c r="D4979" t="s">
        <v>304</v>
      </c>
      <c r="E4979">
        <f>YEAR(A4979)</f>
        <v>2015</v>
      </c>
      <c r="F4979" s="33">
        <f>DATE(YEAR(A4979),MONTH(A4979),1)</f>
        <v>42005.0</v>
      </c>
      <c r="G4979" t="str">
        <f>CHOOSE(WEEKDAY(A4979,2),"Mon","Tue","Wed","Thu","Fri","Sat","Sun")</f>
        <v>Sun</v>
      </c>
      <c r="H4979" t="str">
        <f>IF(WEEKDAY(A4979,2)&gt;5,"Weekend","Weekday")</f>
        <v>Weekend</v>
      </c>
      <c r="I4979" t="str">
        <f>_xlfn.IFS(B4979&lt;=5,"Night (0-5)",B4979&lt;=9,"Morning peak (6-9)",B4979&lt;=15,"Midday (10-15)",B4979&lt;=19,"Evening peak (16-19)",TRUE,"Late evening (20-23)")</f>
        <v>Midday (10-15)</v>
      </c>
    </row>
    <row r="4980" spans="1:9">
      <c r="A4980" s="32">
        <v>42029</v>
      </c>
      <c r="B4980">
        <v>11</v>
      </c>
      <c r="C4980">
        <v>2666</v>
      </c>
      <c r="D4980" t="s">
        <v>304</v>
      </c>
      <c r="E4980">
        <f>YEAR(A4980)</f>
        <v>2015</v>
      </c>
      <c r="F4980" s="33">
        <f>DATE(YEAR(A4980),MONTH(A4980),1)</f>
        <v>42005.0</v>
      </c>
      <c r="G4980" t="str">
        <f>CHOOSE(WEEKDAY(A4980,2),"Mon","Tue","Wed","Thu","Fri","Sat","Sun")</f>
        <v>Sun</v>
      </c>
      <c r="H4980" t="str">
        <f>IF(WEEKDAY(A4980,2)&gt;5,"Weekend","Weekday")</f>
        <v>Weekend</v>
      </c>
      <c r="I4980" t="str">
        <f>_xlfn.IFS(B4980&lt;=5,"Night (0-5)",B4980&lt;=9,"Morning peak (6-9)",B4980&lt;=15,"Midday (10-15)",B4980&lt;=19,"Evening peak (16-19)",TRUE,"Late evening (20-23)")</f>
        <v>Midday (10-15)</v>
      </c>
    </row>
    <row r="4981" spans="1:9">
      <c r="A4981" s="32">
        <v>42029</v>
      </c>
      <c r="B4981">
        <v>12</v>
      </c>
      <c r="C4981">
        <v>2817</v>
      </c>
      <c r="D4981" t="s">
        <v>304</v>
      </c>
      <c r="E4981">
        <f>YEAR(A4981)</f>
        <v>2015</v>
      </c>
      <c r="F4981" s="33">
        <f>DATE(YEAR(A4981),MONTH(A4981),1)</f>
        <v>42005.0</v>
      </c>
      <c r="G4981" t="str">
        <f>CHOOSE(WEEKDAY(A4981,2),"Mon","Tue","Wed","Thu","Fri","Sat","Sun")</f>
        <v>Sun</v>
      </c>
      <c r="H4981" t="str">
        <f>IF(WEEKDAY(A4981,2)&gt;5,"Weekend","Weekday")</f>
        <v>Weekend</v>
      </c>
      <c r="I4981" t="str">
        <f>_xlfn.IFS(B4981&lt;=5,"Night (0-5)",B4981&lt;=9,"Morning peak (6-9)",B4981&lt;=15,"Midday (10-15)",B4981&lt;=19,"Evening peak (16-19)",TRUE,"Late evening (20-23)")</f>
        <v>Midday (10-15)</v>
      </c>
    </row>
    <row r="4982" spans="1:9">
      <c r="A4982" s="32">
        <v>42029</v>
      </c>
      <c r="B4982">
        <v>13</v>
      </c>
      <c r="C4982">
        <v>2953</v>
      </c>
      <c r="D4982" t="s">
        <v>304</v>
      </c>
      <c r="E4982">
        <f>YEAR(A4982)</f>
        <v>2015</v>
      </c>
      <c r="F4982" s="33">
        <f>DATE(YEAR(A4982),MONTH(A4982),1)</f>
        <v>42005.0</v>
      </c>
      <c r="G4982" t="str">
        <f>CHOOSE(WEEKDAY(A4982,2),"Mon","Tue","Wed","Thu","Fri","Sat","Sun")</f>
        <v>Sun</v>
      </c>
      <c r="H4982" t="str">
        <f>IF(WEEKDAY(A4982,2)&gt;5,"Weekend","Weekday")</f>
        <v>Weekend</v>
      </c>
      <c r="I4982" t="str">
        <f>_xlfn.IFS(B4982&lt;=5,"Night (0-5)",B4982&lt;=9,"Morning peak (6-9)",B4982&lt;=15,"Midday (10-15)",B4982&lt;=19,"Evening peak (16-19)",TRUE,"Late evening (20-23)")</f>
        <v>Midday (10-15)</v>
      </c>
    </row>
    <row r="4983" spans="1:9">
      <c r="A4983" s="32">
        <v>42029</v>
      </c>
      <c r="B4983">
        <v>14</v>
      </c>
      <c r="C4983">
        <v>2915</v>
      </c>
      <c r="D4983" t="s">
        <v>304</v>
      </c>
      <c r="E4983">
        <f>YEAR(A4983)</f>
        <v>2015</v>
      </c>
      <c r="F4983" s="33">
        <f>DATE(YEAR(A4983),MONTH(A4983),1)</f>
        <v>42005.0</v>
      </c>
      <c r="G4983" t="str">
        <f>CHOOSE(WEEKDAY(A4983,2),"Mon","Tue","Wed","Thu","Fri","Sat","Sun")</f>
        <v>Sun</v>
      </c>
      <c r="H4983" t="str">
        <f>IF(WEEKDAY(A4983,2)&gt;5,"Weekend","Weekday")</f>
        <v>Weekend</v>
      </c>
      <c r="I4983" t="str">
        <f>_xlfn.IFS(B4983&lt;=5,"Night (0-5)",B4983&lt;=9,"Morning peak (6-9)",B4983&lt;=15,"Midday (10-15)",B4983&lt;=19,"Evening peak (16-19)",TRUE,"Late evening (20-23)")</f>
        <v>Midday (10-15)</v>
      </c>
    </row>
    <row r="4984" spans="1:9">
      <c r="A4984" s="32">
        <v>42029</v>
      </c>
      <c r="B4984">
        <v>15</v>
      </c>
      <c r="C4984">
        <v>3088</v>
      </c>
      <c r="D4984" t="s">
        <v>304</v>
      </c>
      <c r="E4984">
        <f>YEAR(A4984)</f>
        <v>2015</v>
      </c>
      <c r="F4984" s="33">
        <f>DATE(YEAR(A4984),MONTH(A4984),1)</f>
        <v>42005.0</v>
      </c>
      <c r="G4984" t="str">
        <f>CHOOSE(WEEKDAY(A4984,2),"Mon","Tue","Wed","Thu","Fri","Sat","Sun")</f>
        <v>Sun</v>
      </c>
      <c r="H4984" t="str">
        <f>IF(WEEKDAY(A4984,2)&gt;5,"Weekend","Weekday")</f>
        <v>Weekend</v>
      </c>
      <c r="I4984" t="str">
        <f>_xlfn.IFS(B4984&lt;=5,"Night (0-5)",B4984&lt;=9,"Morning peak (6-9)",B4984&lt;=15,"Midday (10-15)",B4984&lt;=19,"Evening peak (16-19)",TRUE,"Late evening (20-23)")</f>
        <v>Midday (10-15)</v>
      </c>
    </row>
    <row r="4985" spans="1:9">
      <c r="A4985" s="32">
        <v>42029</v>
      </c>
      <c r="B4985">
        <v>16</v>
      </c>
      <c r="C4985">
        <v>3421</v>
      </c>
      <c r="D4985" t="s">
        <v>304</v>
      </c>
      <c r="E4985">
        <f>YEAR(A4985)</f>
        <v>2015</v>
      </c>
      <c r="F4985" s="33">
        <f>DATE(YEAR(A4985),MONTH(A4985),1)</f>
        <v>42005.0</v>
      </c>
      <c r="G4985" t="str">
        <f>CHOOSE(WEEKDAY(A4985,2),"Mon","Tue","Wed","Thu","Fri","Sat","Sun")</f>
        <v>Sun</v>
      </c>
      <c r="H4985" t="str">
        <f>IF(WEEKDAY(A4985,2)&gt;5,"Weekend","Weekday")</f>
        <v>Weekend</v>
      </c>
      <c r="I4985" t="str">
        <f>_xlfn.IFS(B4985&lt;=5,"Night (0-5)",B4985&lt;=9,"Morning peak (6-9)",B4985&lt;=15,"Midday (10-15)",B4985&lt;=19,"Evening peak (16-19)",TRUE,"Late evening (20-23)")</f>
        <v>Evening peak (16-19)</v>
      </c>
    </row>
    <row r="4986" spans="1:9">
      <c r="A4986" s="32">
        <v>42029</v>
      </c>
      <c r="B4986">
        <v>17</v>
      </c>
      <c r="C4986">
        <v>3728</v>
      </c>
      <c r="D4986" t="s">
        <v>304</v>
      </c>
      <c r="E4986">
        <f>YEAR(A4986)</f>
        <v>2015</v>
      </c>
      <c r="F4986" s="33">
        <f>DATE(YEAR(A4986),MONTH(A4986),1)</f>
        <v>42005.0</v>
      </c>
      <c r="G4986" t="str">
        <f>CHOOSE(WEEKDAY(A4986,2),"Mon","Tue","Wed","Thu","Fri","Sat","Sun")</f>
        <v>Sun</v>
      </c>
      <c r="H4986" t="str">
        <f>IF(WEEKDAY(A4986,2)&gt;5,"Weekend","Weekday")</f>
        <v>Weekend</v>
      </c>
      <c r="I4986" t="str">
        <f>_xlfn.IFS(B4986&lt;=5,"Night (0-5)",B4986&lt;=9,"Morning peak (6-9)",B4986&lt;=15,"Midday (10-15)",B4986&lt;=19,"Evening peak (16-19)",TRUE,"Late evening (20-23)")</f>
        <v>Evening peak (16-19)</v>
      </c>
    </row>
    <row r="4987" spans="1:9">
      <c r="A4987" s="32">
        <v>42029</v>
      </c>
      <c r="B4987">
        <v>18</v>
      </c>
      <c r="C4987">
        <v>3727</v>
      </c>
      <c r="D4987" t="s">
        <v>304</v>
      </c>
      <c r="E4987">
        <f>YEAR(A4987)</f>
        <v>2015</v>
      </c>
      <c r="F4987" s="33">
        <f>DATE(YEAR(A4987),MONTH(A4987),1)</f>
        <v>42005.0</v>
      </c>
      <c r="G4987" t="str">
        <f>CHOOSE(WEEKDAY(A4987,2),"Mon","Tue","Wed","Thu","Fri","Sat","Sun")</f>
        <v>Sun</v>
      </c>
      <c r="H4987" t="str">
        <f>IF(WEEKDAY(A4987,2)&gt;5,"Weekend","Weekday")</f>
        <v>Weekend</v>
      </c>
      <c r="I4987" t="str">
        <f>_xlfn.IFS(B4987&lt;=5,"Night (0-5)",B4987&lt;=9,"Morning peak (6-9)",B4987&lt;=15,"Midday (10-15)",B4987&lt;=19,"Evening peak (16-19)",TRUE,"Late evening (20-23)")</f>
        <v>Evening peak (16-19)</v>
      </c>
    </row>
    <row r="4988" spans="1:9">
      <c r="A4988" s="32">
        <v>42029</v>
      </c>
      <c r="B4988">
        <v>19</v>
      </c>
      <c r="C4988">
        <v>3244</v>
      </c>
      <c r="D4988" t="s">
        <v>304</v>
      </c>
      <c r="E4988">
        <f>YEAR(A4988)</f>
        <v>2015</v>
      </c>
      <c r="F4988" s="33">
        <f>DATE(YEAR(A4988),MONTH(A4988),1)</f>
        <v>42005.0</v>
      </c>
      <c r="G4988" t="str">
        <f>CHOOSE(WEEKDAY(A4988,2),"Mon","Tue","Wed","Thu","Fri","Sat","Sun")</f>
        <v>Sun</v>
      </c>
      <c r="H4988" t="str">
        <f>IF(WEEKDAY(A4988,2)&gt;5,"Weekend","Weekday")</f>
        <v>Weekend</v>
      </c>
      <c r="I4988" t="str">
        <f>_xlfn.IFS(B4988&lt;=5,"Night (0-5)",B4988&lt;=9,"Morning peak (6-9)",B4988&lt;=15,"Midday (10-15)",B4988&lt;=19,"Evening peak (16-19)",TRUE,"Late evening (20-23)")</f>
        <v>Evening peak (16-19)</v>
      </c>
    </row>
    <row r="4989" spans="1:9">
      <c r="A4989" s="32">
        <v>42029</v>
      </c>
      <c r="B4989">
        <v>20</v>
      </c>
      <c r="C4989">
        <v>2788</v>
      </c>
      <c r="D4989" t="s">
        <v>304</v>
      </c>
      <c r="E4989">
        <f>YEAR(A4989)</f>
        <v>2015</v>
      </c>
      <c r="F4989" s="33">
        <f>DATE(YEAR(A4989),MONTH(A4989),1)</f>
        <v>42005.0</v>
      </c>
      <c r="G4989" t="str">
        <f>CHOOSE(WEEKDAY(A4989,2),"Mon","Tue","Wed","Thu","Fri","Sat","Sun")</f>
        <v>Sun</v>
      </c>
      <c r="H4989" t="str">
        <f>IF(WEEKDAY(A4989,2)&gt;5,"Weekend","Weekday")</f>
        <v>Weekend</v>
      </c>
      <c r="I4989" t="str">
        <f>_xlfn.IFS(B4989&lt;=5,"Night (0-5)",B4989&lt;=9,"Morning peak (6-9)",B4989&lt;=15,"Midday (10-15)",B4989&lt;=19,"Evening peak (16-19)",TRUE,"Late evening (20-23)")</f>
        <v>Late evening (20-23)</v>
      </c>
    </row>
    <row r="4990" spans="1:9">
      <c r="A4990" s="32">
        <v>42029</v>
      </c>
      <c r="B4990">
        <v>21</v>
      </c>
      <c r="C4990">
        <v>2545</v>
      </c>
      <c r="D4990" t="s">
        <v>304</v>
      </c>
      <c r="E4990">
        <f>YEAR(A4990)</f>
        <v>2015</v>
      </c>
      <c r="F4990" s="33">
        <f>DATE(YEAR(A4990),MONTH(A4990),1)</f>
        <v>42005.0</v>
      </c>
      <c r="G4990" t="str">
        <f>CHOOSE(WEEKDAY(A4990,2),"Mon","Tue","Wed","Thu","Fri","Sat","Sun")</f>
        <v>Sun</v>
      </c>
      <c r="H4990" t="str">
        <f>IF(WEEKDAY(A4990,2)&gt;5,"Weekend","Weekday")</f>
        <v>Weekend</v>
      </c>
      <c r="I4990" t="str">
        <f>_xlfn.IFS(B4990&lt;=5,"Night (0-5)",B4990&lt;=9,"Morning peak (6-9)",B4990&lt;=15,"Midday (10-15)",B4990&lt;=19,"Evening peak (16-19)",TRUE,"Late evening (20-23)")</f>
        <v>Late evening (20-23)</v>
      </c>
    </row>
    <row r="4991" spans="1:9">
      <c r="A4991" s="32">
        <v>42029</v>
      </c>
      <c r="B4991">
        <v>22</v>
      </c>
      <c r="C4991">
        <v>2306</v>
      </c>
      <c r="D4991" t="s">
        <v>304</v>
      </c>
      <c r="E4991">
        <f>YEAR(A4991)</f>
        <v>2015</v>
      </c>
      <c r="F4991" s="33">
        <f>DATE(YEAR(A4991),MONTH(A4991),1)</f>
        <v>42005.0</v>
      </c>
      <c r="G4991" t="str">
        <f>CHOOSE(WEEKDAY(A4991,2),"Mon","Tue","Wed","Thu","Fri","Sat","Sun")</f>
        <v>Sun</v>
      </c>
      <c r="H4991" t="str">
        <f>IF(WEEKDAY(A4991,2)&gt;5,"Weekend","Weekday")</f>
        <v>Weekend</v>
      </c>
      <c r="I4991" t="str">
        <f>_xlfn.IFS(B4991&lt;=5,"Night (0-5)",B4991&lt;=9,"Morning peak (6-9)",B4991&lt;=15,"Midday (10-15)",B4991&lt;=19,"Evening peak (16-19)",TRUE,"Late evening (20-23)")</f>
        <v>Late evening (20-23)</v>
      </c>
    </row>
    <row r="4992" spans="1:9">
      <c r="A4992" s="32">
        <v>42029</v>
      </c>
      <c r="B4992">
        <v>23</v>
      </c>
      <c r="C4992">
        <v>1787</v>
      </c>
      <c r="D4992" t="s">
        <v>304</v>
      </c>
      <c r="E4992">
        <f>YEAR(A4992)</f>
        <v>2015</v>
      </c>
      <c r="F4992" s="33">
        <f>DATE(YEAR(A4992),MONTH(A4992),1)</f>
        <v>42005.0</v>
      </c>
      <c r="G4992" t="str">
        <f>CHOOSE(WEEKDAY(A4992,2),"Mon","Tue","Wed","Thu","Fri","Sat","Sun")</f>
        <v>Sun</v>
      </c>
      <c r="H4992" t="str">
        <f>IF(WEEKDAY(A4992,2)&gt;5,"Weekend","Weekday")</f>
        <v>Weekend</v>
      </c>
      <c r="I4992" t="str">
        <f>_xlfn.IFS(B4992&lt;=5,"Night (0-5)",B4992&lt;=9,"Morning peak (6-9)",B4992&lt;=15,"Midday (10-15)",B4992&lt;=19,"Evening peak (16-19)",TRUE,"Late evening (20-23)")</f>
        <v>Late evening (20-23)</v>
      </c>
    </row>
    <row r="4993" spans="1:9">
      <c r="A4993" s="32">
        <v>42030</v>
      </c>
      <c r="B4993">
        <v>0</v>
      </c>
      <c r="C4993">
        <v>1110</v>
      </c>
      <c r="D4993" t="s">
        <v>304</v>
      </c>
      <c r="E4993">
        <f>YEAR(A4993)</f>
        <v>2015</v>
      </c>
      <c r="F4993" s="33">
        <f>DATE(YEAR(A4993),MONTH(A4993),1)</f>
        <v>42005.0</v>
      </c>
      <c r="G4993" t="str">
        <f>CHOOSE(WEEKDAY(A4993,2),"Mon","Tue","Wed","Thu","Fri","Sat","Sun")</f>
        <v>Mon</v>
      </c>
      <c r="H4993" t="str">
        <f>IF(WEEKDAY(A4993,2)&gt;5,"Weekend","Weekday")</f>
        <v>Weekday</v>
      </c>
      <c r="I4993" t="str">
        <f>_xlfn.IFS(B4993&lt;=5,"Night (0-5)",B4993&lt;=9,"Morning peak (6-9)",B4993&lt;=15,"Midday (10-15)",B4993&lt;=19,"Evening peak (16-19)",TRUE,"Late evening (20-23)")</f>
        <v>Night (0-5)</v>
      </c>
    </row>
    <row r="4994" spans="1:9">
      <c r="A4994" s="32">
        <v>42030</v>
      </c>
      <c r="B4994">
        <v>1</v>
      </c>
      <c r="C4994">
        <v>544</v>
      </c>
      <c r="D4994" t="s">
        <v>304</v>
      </c>
      <c r="E4994">
        <f>YEAR(A4994)</f>
        <v>2015</v>
      </c>
      <c r="F4994" s="33">
        <f>DATE(YEAR(A4994),MONTH(A4994),1)</f>
        <v>42005.0</v>
      </c>
      <c r="G4994" t="str">
        <f>CHOOSE(WEEKDAY(A4994,2),"Mon","Tue","Wed","Thu","Fri","Sat","Sun")</f>
        <v>Mon</v>
      </c>
      <c r="H4994" t="str">
        <f>IF(WEEKDAY(A4994,2)&gt;5,"Weekend","Weekday")</f>
        <v>Weekday</v>
      </c>
      <c r="I4994" t="str">
        <f>_xlfn.IFS(B4994&lt;=5,"Night (0-5)",B4994&lt;=9,"Morning peak (6-9)",B4994&lt;=15,"Midday (10-15)",B4994&lt;=19,"Evening peak (16-19)",TRUE,"Late evening (20-23)")</f>
        <v>Night (0-5)</v>
      </c>
    </row>
    <row r="4995" spans="1:9">
      <c r="A4995" s="32">
        <v>42030</v>
      </c>
      <c r="B4995">
        <v>2</v>
      </c>
      <c r="C4995">
        <v>331</v>
      </c>
      <c r="D4995" t="s">
        <v>304</v>
      </c>
      <c r="E4995">
        <f>YEAR(A4995)</f>
        <v>2015</v>
      </c>
      <c r="F4995" s="33">
        <f>DATE(YEAR(A4995),MONTH(A4995),1)</f>
        <v>42005.0</v>
      </c>
      <c r="G4995" t="str">
        <f>CHOOSE(WEEKDAY(A4995,2),"Mon","Tue","Wed","Thu","Fri","Sat","Sun")</f>
        <v>Mon</v>
      </c>
      <c r="H4995" t="str">
        <f>IF(WEEKDAY(A4995,2)&gt;5,"Weekend","Weekday")</f>
        <v>Weekday</v>
      </c>
      <c r="I4995" t="str">
        <f>_xlfn.IFS(B4995&lt;=5,"Night (0-5)",B4995&lt;=9,"Morning peak (6-9)",B4995&lt;=15,"Midday (10-15)",B4995&lt;=19,"Evening peak (16-19)",TRUE,"Late evening (20-23)")</f>
        <v>Night (0-5)</v>
      </c>
    </row>
    <row r="4996" spans="1:9">
      <c r="A4996" s="32">
        <v>42030</v>
      </c>
      <c r="B4996">
        <v>3</v>
      </c>
      <c r="C4996">
        <v>341</v>
      </c>
      <c r="D4996" t="s">
        <v>304</v>
      </c>
      <c r="E4996">
        <f>YEAR(A4996)</f>
        <v>2015</v>
      </c>
      <c r="F4996" s="33">
        <f>DATE(YEAR(A4996),MONTH(A4996),1)</f>
        <v>42005.0</v>
      </c>
      <c r="G4996" t="str">
        <f>CHOOSE(WEEKDAY(A4996,2),"Mon","Tue","Wed","Thu","Fri","Sat","Sun")</f>
        <v>Mon</v>
      </c>
      <c r="H4996" t="str">
        <f>IF(WEEKDAY(A4996,2)&gt;5,"Weekend","Weekday")</f>
        <v>Weekday</v>
      </c>
      <c r="I4996" t="str">
        <f>_xlfn.IFS(B4996&lt;=5,"Night (0-5)",B4996&lt;=9,"Morning peak (6-9)",B4996&lt;=15,"Midday (10-15)",B4996&lt;=19,"Evening peak (16-19)",TRUE,"Late evening (20-23)")</f>
        <v>Night (0-5)</v>
      </c>
    </row>
    <row r="4997" spans="1:9">
      <c r="A4997" s="32">
        <v>42030</v>
      </c>
      <c r="B4997">
        <v>4</v>
      </c>
      <c r="C4997">
        <v>674</v>
      </c>
      <c r="D4997" t="s">
        <v>304</v>
      </c>
      <c r="E4997">
        <f>YEAR(A4997)</f>
        <v>2015</v>
      </c>
      <c r="F4997" s="33">
        <f>DATE(YEAR(A4997),MONTH(A4997),1)</f>
        <v>42005.0</v>
      </c>
      <c r="G4997" t="str">
        <f>CHOOSE(WEEKDAY(A4997,2),"Mon","Tue","Wed","Thu","Fri","Sat","Sun")</f>
        <v>Mon</v>
      </c>
      <c r="H4997" t="str">
        <f>IF(WEEKDAY(A4997,2)&gt;5,"Weekend","Weekday")</f>
        <v>Weekday</v>
      </c>
      <c r="I4997" t="str">
        <f>_xlfn.IFS(B4997&lt;=5,"Night (0-5)",B4997&lt;=9,"Morning peak (6-9)",B4997&lt;=15,"Midday (10-15)",B4997&lt;=19,"Evening peak (16-19)",TRUE,"Late evening (20-23)")</f>
        <v>Night (0-5)</v>
      </c>
    </row>
    <row r="4998" spans="1:9">
      <c r="A4998" s="32">
        <v>42030</v>
      </c>
      <c r="B4998">
        <v>5</v>
      </c>
      <c r="C4998">
        <v>1108</v>
      </c>
      <c r="D4998" t="s">
        <v>304</v>
      </c>
      <c r="E4998">
        <f>YEAR(A4998)</f>
        <v>2015</v>
      </c>
      <c r="F4998" s="33">
        <f>DATE(YEAR(A4998),MONTH(A4998),1)</f>
        <v>42005.0</v>
      </c>
      <c r="G4998" t="str">
        <f>CHOOSE(WEEKDAY(A4998,2),"Mon","Tue","Wed","Thu","Fri","Sat","Sun")</f>
        <v>Mon</v>
      </c>
      <c r="H4998" t="str">
        <f>IF(WEEKDAY(A4998,2)&gt;5,"Weekend","Weekday")</f>
        <v>Weekday</v>
      </c>
      <c r="I4998" t="str">
        <f>_xlfn.IFS(B4998&lt;=5,"Night (0-5)",B4998&lt;=9,"Morning peak (6-9)",B4998&lt;=15,"Midday (10-15)",B4998&lt;=19,"Evening peak (16-19)",TRUE,"Late evening (20-23)")</f>
        <v>Night (0-5)</v>
      </c>
    </row>
    <row r="4999" spans="1:9">
      <c r="A4999" s="32">
        <v>42030</v>
      </c>
      <c r="B4999">
        <v>6</v>
      </c>
      <c r="C4999">
        <v>1859</v>
      </c>
      <c r="D4999" t="s">
        <v>304</v>
      </c>
      <c r="E4999">
        <f>YEAR(A4999)</f>
        <v>2015</v>
      </c>
      <c r="F4999" s="33">
        <f>DATE(YEAR(A4999),MONTH(A4999),1)</f>
        <v>42005.0</v>
      </c>
      <c r="G4999" t="str">
        <f>CHOOSE(WEEKDAY(A4999,2),"Mon","Tue","Wed","Thu","Fri","Sat","Sun")</f>
        <v>Mon</v>
      </c>
      <c r="H4999" t="str">
        <f>IF(WEEKDAY(A4999,2)&gt;5,"Weekend","Weekday")</f>
        <v>Weekday</v>
      </c>
      <c r="I4999" t="str">
        <f>_xlfn.IFS(B4999&lt;=5,"Night (0-5)",B4999&lt;=9,"Morning peak (6-9)",B4999&lt;=15,"Midday (10-15)",B4999&lt;=19,"Evening peak (16-19)",TRUE,"Late evening (20-23)")</f>
        <v>Morning peak (6-9)</v>
      </c>
    </row>
    <row r="5000" spans="1:9">
      <c r="A5000" s="32">
        <v>42030</v>
      </c>
      <c r="B5000">
        <v>7</v>
      </c>
      <c r="C5000">
        <v>3154</v>
      </c>
      <c r="D5000" t="s">
        <v>304</v>
      </c>
      <c r="E5000">
        <f>YEAR(A5000)</f>
        <v>2015</v>
      </c>
      <c r="F5000" s="33">
        <f>DATE(YEAR(A5000),MONTH(A5000),1)</f>
        <v>42005.0</v>
      </c>
      <c r="G5000" t="str">
        <f>CHOOSE(WEEKDAY(A5000,2),"Mon","Tue","Wed","Thu","Fri","Sat","Sun")</f>
        <v>Mon</v>
      </c>
      <c r="H5000" t="str">
        <f>IF(WEEKDAY(A5000,2)&gt;5,"Weekend","Weekday")</f>
        <v>Weekday</v>
      </c>
      <c r="I5000" t="str">
        <f>_xlfn.IFS(B5000&lt;=5,"Night (0-5)",B5000&lt;=9,"Morning peak (6-9)",B5000&lt;=15,"Midday (10-15)",B5000&lt;=19,"Evening peak (16-19)",TRUE,"Late evening (20-23)")</f>
        <v>Morning peak (6-9)</v>
      </c>
    </row>
    <row r="5001" spans="1:9">
      <c r="A5001" s="32">
        <v>42030</v>
      </c>
      <c r="B5001">
        <v>8</v>
      </c>
      <c r="C5001">
        <v>4038</v>
      </c>
      <c r="D5001" t="s">
        <v>304</v>
      </c>
      <c r="E5001">
        <f>YEAR(A5001)</f>
        <v>2015</v>
      </c>
      <c r="F5001" s="33">
        <f>DATE(YEAR(A5001),MONTH(A5001),1)</f>
        <v>42005.0</v>
      </c>
      <c r="G5001" t="str">
        <f>CHOOSE(WEEKDAY(A5001,2),"Mon","Tue","Wed","Thu","Fri","Sat","Sun")</f>
        <v>Mon</v>
      </c>
      <c r="H5001" t="str">
        <f>IF(WEEKDAY(A5001,2)&gt;5,"Weekend","Weekday")</f>
        <v>Weekday</v>
      </c>
      <c r="I5001" t="str">
        <f>_xlfn.IFS(B5001&lt;=5,"Night (0-5)",B5001&lt;=9,"Morning peak (6-9)",B5001&lt;=15,"Midday (10-15)",B5001&lt;=19,"Evening peak (16-19)",TRUE,"Late evening (20-23)")</f>
        <v>Morning peak (6-9)</v>
      </c>
    </row>
    <row r="5002" spans="1:9">
      <c r="A5002" s="32">
        <v>42030</v>
      </c>
      <c r="B5002">
        <v>9</v>
      </c>
      <c r="C5002">
        <v>3431</v>
      </c>
      <c r="D5002" t="s">
        <v>304</v>
      </c>
      <c r="E5002">
        <f>YEAR(A5002)</f>
        <v>2015</v>
      </c>
      <c r="F5002" s="33">
        <f>DATE(YEAR(A5002),MONTH(A5002),1)</f>
        <v>42005.0</v>
      </c>
      <c r="G5002" t="str">
        <f>CHOOSE(WEEKDAY(A5002,2),"Mon","Tue","Wed","Thu","Fri","Sat","Sun")</f>
        <v>Mon</v>
      </c>
      <c r="H5002" t="str">
        <f>IF(WEEKDAY(A5002,2)&gt;5,"Weekend","Weekday")</f>
        <v>Weekday</v>
      </c>
      <c r="I5002" t="str">
        <f>_xlfn.IFS(B5002&lt;=5,"Night (0-5)",B5002&lt;=9,"Morning peak (6-9)",B5002&lt;=15,"Midday (10-15)",B5002&lt;=19,"Evening peak (16-19)",TRUE,"Late evening (20-23)")</f>
        <v>Morning peak (6-9)</v>
      </c>
    </row>
    <row r="5003" spans="1:9">
      <c r="A5003" s="32">
        <v>42030</v>
      </c>
      <c r="B5003">
        <v>10</v>
      </c>
      <c r="C5003">
        <v>2559</v>
      </c>
      <c r="D5003" t="s">
        <v>304</v>
      </c>
      <c r="E5003">
        <f>YEAR(A5003)</f>
        <v>2015</v>
      </c>
      <c r="F5003" s="33">
        <f>DATE(YEAR(A5003),MONTH(A5003),1)</f>
        <v>42005.0</v>
      </c>
      <c r="G5003" t="str">
        <f>CHOOSE(WEEKDAY(A5003,2),"Mon","Tue","Wed","Thu","Fri","Sat","Sun")</f>
        <v>Mon</v>
      </c>
      <c r="H5003" t="str">
        <f>IF(WEEKDAY(A5003,2)&gt;5,"Weekend","Weekday")</f>
        <v>Weekday</v>
      </c>
      <c r="I5003" t="str">
        <f>_xlfn.IFS(B5003&lt;=5,"Night (0-5)",B5003&lt;=9,"Morning peak (6-9)",B5003&lt;=15,"Midday (10-15)",B5003&lt;=19,"Evening peak (16-19)",TRUE,"Late evening (20-23)")</f>
        <v>Midday (10-15)</v>
      </c>
    </row>
    <row r="5004" spans="1:9">
      <c r="A5004" s="32">
        <v>42030</v>
      </c>
      <c r="B5004">
        <v>11</v>
      </c>
      <c r="C5004">
        <v>2319</v>
      </c>
      <c r="D5004" t="s">
        <v>304</v>
      </c>
      <c r="E5004">
        <f>YEAR(A5004)</f>
        <v>2015</v>
      </c>
      <c r="F5004" s="33">
        <f>DATE(YEAR(A5004),MONTH(A5004),1)</f>
        <v>42005.0</v>
      </c>
      <c r="G5004" t="str">
        <f>CHOOSE(WEEKDAY(A5004,2),"Mon","Tue","Wed","Thu","Fri","Sat","Sun")</f>
        <v>Mon</v>
      </c>
      <c r="H5004" t="str">
        <f>IF(WEEKDAY(A5004,2)&gt;5,"Weekend","Weekday")</f>
        <v>Weekday</v>
      </c>
      <c r="I5004" t="str">
        <f>_xlfn.IFS(B5004&lt;=5,"Night (0-5)",B5004&lt;=9,"Morning peak (6-9)",B5004&lt;=15,"Midday (10-15)",B5004&lt;=19,"Evening peak (16-19)",TRUE,"Late evening (20-23)")</f>
        <v>Midday (10-15)</v>
      </c>
    </row>
    <row r="5005" spans="1:9">
      <c r="A5005" s="32">
        <v>42030</v>
      </c>
      <c r="B5005">
        <v>12</v>
      </c>
      <c r="C5005">
        <v>2379</v>
      </c>
      <c r="D5005" t="s">
        <v>304</v>
      </c>
      <c r="E5005">
        <f>YEAR(A5005)</f>
        <v>2015</v>
      </c>
      <c r="F5005" s="33">
        <f>DATE(YEAR(A5005),MONTH(A5005),1)</f>
        <v>42005.0</v>
      </c>
      <c r="G5005" t="str">
        <f>CHOOSE(WEEKDAY(A5005,2),"Mon","Tue","Wed","Thu","Fri","Sat","Sun")</f>
        <v>Mon</v>
      </c>
      <c r="H5005" t="str">
        <f>IF(WEEKDAY(A5005,2)&gt;5,"Weekend","Weekday")</f>
        <v>Weekday</v>
      </c>
      <c r="I5005" t="str">
        <f>_xlfn.IFS(B5005&lt;=5,"Night (0-5)",B5005&lt;=9,"Morning peak (6-9)",B5005&lt;=15,"Midday (10-15)",B5005&lt;=19,"Evening peak (16-19)",TRUE,"Late evening (20-23)")</f>
        <v>Midday (10-15)</v>
      </c>
    </row>
    <row r="5006" spans="1:9">
      <c r="A5006" s="32">
        <v>42030</v>
      </c>
      <c r="B5006">
        <v>13</v>
      </c>
      <c r="C5006">
        <v>2737</v>
      </c>
      <c r="D5006" t="s">
        <v>304</v>
      </c>
      <c r="E5006">
        <f>YEAR(A5006)</f>
        <v>2015</v>
      </c>
      <c r="F5006" s="33">
        <f>DATE(YEAR(A5006),MONTH(A5006),1)</f>
        <v>42005.0</v>
      </c>
      <c r="G5006" t="str">
        <f>CHOOSE(WEEKDAY(A5006,2),"Mon","Tue","Wed","Thu","Fri","Sat","Sun")</f>
        <v>Mon</v>
      </c>
      <c r="H5006" t="str">
        <f>IF(WEEKDAY(A5006,2)&gt;5,"Weekend","Weekday")</f>
        <v>Weekday</v>
      </c>
      <c r="I5006" t="str">
        <f>_xlfn.IFS(B5006&lt;=5,"Night (0-5)",B5006&lt;=9,"Morning peak (6-9)",B5006&lt;=15,"Midday (10-15)",B5006&lt;=19,"Evening peak (16-19)",TRUE,"Late evening (20-23)")</f>
        <v>Midday (10-15)</v>
      </c>
    </row>
    <row r="5007" spans="1:9">
      <c r="A5007" s="32">
        <v>42030</v>
      </c>
      <c r="B5007">
        <v>14</v>
      </c>
      <c r="C5007">
        <v>2956</v>
      </c>
      <c r="D5007" t="s">
        <v>304</v>
      </c>
      <c r="E5007">
        <f>YEAR(A5007)</f>
        <v>2015</v>
      </c>
      <c r="F5007" s="33">
        <f>DATE(YEAR(A5007),MONTH(A5007),1)</f>
        <v>42005.0</v>
      </c>
      <c r="G5007" t="str">
        <f>CHOOSE(WEEKDAY(A5007,2),"Mon","Tue","Wed","Thu","Fri","Sat","Sun")</f>
        <v>Mon</v>
      </c>
      <c r="H5007" t="str">
        <f>IF(WEEKDAY(A5007,2)&gt;5,"Weekend","Weekday")</f>
        <v>Weekday</v>
      </c>
      <c r="I5007" t="str">
        <f>_xlfn.IFS(B5007&lt;=5,"Night (0-5)",B5007&lt;=9,"Morning peak (6-9)",B5007&lt;=15,"Midday (10-15)",B5007&lt;=19,"Evening peak (16-19)",TRUE,"Late evening (20-23)")</f>
        <v>Midday (10-15)</v>
      </c>
    </row>
    <row r="5008" spans="1:9">
      <c r="A5008" s="32">
        <v>42030</v>
      </c>
      <c r="B5008">
        <v>15</v>
      </c>
      <c r="C5008">
        <v>2978</v>
      </c>
      <c r="D5008" t="s">
        <v>304</v>
      </c>
      <c r="E5008">
        <f>YEAR(A5008)</f>
        <v>2015</v>
      </c>
      <c r="F5008" s="33">
        <f>DATE(YEAR(A5008),MONTH(A5008),1)</f>
        <v>42005.0</v>
      </c>
      <c r="G5008" t="str">
        <f>CHOOSE(WEEKDAY(A5008,2),"Mon","Tue","Wed","Thu","Fri","Sat","Sun")</f>
        <v>Mon</v>
      </c>
      <c r="H5008" t="str">
        <f>IF(WEEKDAY(A5008,2)&gt;5,"Weekend","Weekday")</f>
        <v>Weekday</v>
      </c>
      <c r="I5008" t="str">
        <f>_xlfn.IFS(B5008&lt;=5,"Night (0-5)",B5008&lt;=9,"Morning peak (6-9)",B5008&lt;=15,"Midday (10-15)",B5008&lt;=19,"Evening peak (16-19)",TRUE,"Late evening (20-23)")</f>
        <v>Midday (10-15)</v>
      </c>
    </row>
    <row r="5009" spans="1:9">
      <c r="A5009" s="32">
        <v>42030</v>
      </c>
      <c r="B5009">
        <v>16</v>
      </c>
      <c r="C5009">
        <v>2964</v>
      </c>
      <c r="D5009" t="s">
        <v>304</v>
      </c>
      <c r="E5009">
        <f>YEAR(A5009)</f>
        <v>2015</v>
      </c>
      <c r="F5009" s="33">
        <f>DATE(YEAR(A5009),MONTH(A5009),1)</f>
        <v>42005.0</v>
      </c>
      <c r="G5009" t="str">
        <f>CHOOSE(WEEKDAY(A5009,2),"Mon","Tue","Wed","Thu","Fri","Sat","Sun")</f>
        <v>Mon</v>
      </c>
      <c r="H5009" t="str">
        <f>IF(WEEKDAY(A5009,2)&gt;5,"Weekend","Weekday")</f>
        <v>Weekday</v>
      </c>
      <c r="I5009" t="str">
        <f>_xlfn.IFS(B5009&lt;=5,"Night (0-5)",B5009&lt;=9,"Morning peak (6-9)",B5009&lt;=15,"Midday (10-15)",B5009&lt;=19,"Evening peak (16-19)",TRUE,"Late evening (20-23)")</f>
        <v>Evening peak (16-19)</v>
      </c>
    </row>
    <row r="5010" spans="1:9">
      <c r="A5010" s="32">
        <v>42030</v>
      </c>
      <c r="B5010">
        <v>17</v>
      </c>
      <c r="C5010">
        <v>2634</v>
      </c>
      <c r="D5010" t="s">
        <v>304</v>
      </c>
      <c r="E5010">
        <f>YEAR(A5010)</f>
        <v>2015</v>
      </c>
      <c r="F5010" s="33">
        <f>DATE(YEAR(A5010),MONTH(A5010),1)</f>
        <v>42005.0</v>
      </c>
      <c r="G5010" t="str">
        <f>CHOOSE(WEEKDAY(A5010,2),"Mon","Tue","Wed","Thu","Fri","Sat","Sun")</f>
        <v>Mon</v>
      </c>
      <c r="H5010" t="str">
        <f>IF(WEEKDAY(A5010,2)&gt;5,"Weekend","Weekday")</f>
        <v>Weekday</v>
      </c>
      <c r="I5010" t="str">
        <f>_xlfn.IFS(B5010&lt;=5,"Night (0-5)",B5010&lt;=9,"Morning peak (6-9)",B5010&lt;=15,"Midday (10-15)",B5010&lt;=19,"Evening peak (16-19)",TRUE,"Late evening (20-23)")</f>
        <v>Evening peak (16-19)</v>
      </c>
    </row>
    <row r="5011" spans="1:9">
      <c r="A5011" s="32">
        <v>42030</v>
      </c>
      <c r="B5011">
        <v>18</v>
      </c>
      <c r="C5011">
        <v>2127</v>
      </c>
      <c r="D5011" t="s">
        <v>304</v>
      </c>
      <c r="E5011">
        <f>YEAR(A5011)</f>
        <v>2015</v>
      </c>
      <c r="F5011" s="33">
        <f>DATE(YEAR(A5011),MONTH(A5011),1)</f>
        <v>42005.0</v>
      </c>
      <c r="G5011" t="str">
        <f>CHOOSE(WEEKDAY(A5011,2),"Mon","Tue","Wed","Thu","Fri","Sat","Sun")</f>
        <v>Mon</v>
      </c>
      <c r="H5011" t="str">
        <f>IF(WEEKDAY(A5011,2)&gt;5,"Weekend","Weekday")</f>
        <v>Weekday</v>
      </c>
      <c r="I5011" t="str">
        <f>_xlfn.IFS(B5011&lt;=5,"Night (0-5)",B5011&lt;=9,"Morning peak (6-9)",B5011&lt;=15,"Midday (10-15)",B5011&lt;=19,"Evening peak (16-19)",TRUE,"Late evening (20-23)")</f>
        <v>Evening peak (16-19)</v>
      </c>
    </row>
    <row r="5012" spans="1:9">
      <c r="A5012" s="32">
        <v>42030</v>
      </c>
      <c r="B5012">
        <v>19</v>
      </c>
      <c r="C5012">
        <v>1442</v>
      </c>
      <c r="D5012" t="s">
        <v>304</v>
      </c>
      <c r="E5012">
        <f>YEAR(A5012)</f>
        <v>2015</v>
      </c>
      <c r="F5012" s="33">
        <f>DATE(YEAR(A5012),MONTH(A5012),1)</f>
        <v>42005.0</v>
      </c>
      <c r="G5012" t="str">
        <f>CHOOSE(WEEKDAY(A5012,2),"Mon","Tue","Wed","Thu","Fri","Sat","Sun")</f>
        <v>Mon</v>
      </c>
      <c r="H5012" t="str">
        <f>IF(WEEKDAY(A5012,2)&gt;5,"Weekend","Weekday")</f>
        <v>Weekday</v>
      </c>
      <c r="I5012" t="str">
        <f>_xlfn.IFS(B5012&lt;=5,"Night (0-5)",B5012&lt;=9,"Morning peak (6-9)",B5012&lt;=15,"Midday (10-15)",B5012&lt;=19,"Evening peak (16-19)",TRUE,"Late evening (20-23)")</f>
        <v>Evening peak (16-19)</v>
      </c>
    </row>
    <row r="5013" spans="1:9">
      <c r="A5013" s="32">
        <v>42030</v>
      </c>
      <c r="B5013">
        <v>20</v>
      </c>
      <c r="C5013">
        <v>1202</v>
      </c>
      <c r="D5013" t="s">
        <v>304</v>
      </c>
      <c r="E5013">
        <f>YEAR(A5013)</f>
        <v>2015</v>
      </c>
      <c r="F5013" s="33">
        <f>DATE(YEAR(A5013),MONTH(A5013),1)</f>
        <v>42005.0</v>
      </c>
      <c r="G5013" t="str">
        <f>CHOOSE(WEEKDAY(A5013,2),"Mon","Tue","Wed","Thu","Fri","Sat","Sun")</f>
        <v>Mon</v>
      </c>
      <c r="H5013" t="str">
        <f>IF(WEEKDAY(A5013,2)&gt;5,"Weekend","Weekday")</f>
        <v>Weekday</v>
      </c>
      <c r="I5013" t="str">
        <f>_xlfn.IFS(B5013&lt;=5,"Night (0-5)",B5013&lt;=9,"Morning peak (6-9)",B5013&lt;=15,"Midday (10-15)",B5013&lt;=19,"Evening peak (16-19)",TRUE,"Late evening (20-23)")</f>
        <v>Late evening (20-23)</v>
      </c>
    </row>
    <row r="5014" spans="1:9">
      <c r="A5014" s="32">
        <v>42030</v>
      </c>
      <c r="B5014">
        <v>21</v>
      </c>
      <c r="C5014">
        <v>932</v>
      </c>
      <c r="D5014" t="s">
        <v>304</v>
      </c>
      <c r="E5014">
        <f>YEAR(A5014)</f>
        <v>2015</v>
      </c>
      <c r="F5014" s="33">
        <f>DATE(YEAR(A5014),MONTH(A5014),1)</f>
        <v>42005.0</v>
      </c>
      <c r="G5014" t="str">
        <f>CHOOSE(WEEKDAY(A5014,2),"Mon","Tue","Wed","Thu","Fri","Sat","Sun")</f>
        <v>Mon</v>
      </c>
      <c r="H5014" t="str">
        <f>IF(WEEKDAY(A5014,2)&gt;5,"Weekend","Weekday")</f>
        <v>Weekday</v>
      </c>
      <c r="I5014" t="str">
        <f>_xlfn.IFS(B5014&lt;=5,"Night (0-5)",B5014&lt;=9,"Morning peak (6-9)",B5014&lt;=15,"Midday (10-15)",B5014&lt;=19,"Evening peak (16-19)",TRUE,"Late evening (20-23)")</f>
        <v>Late evening (20-23)</v>
      </c>
    </row>
    <row r="5015" spans="1:9">
      <c r="A5015" s="32">
        <v>42030</v>
      </c>
      <c r="B5015">
        <v>22</v>
      </c>
      <c r="C5015">
        <v>491</v>
      </c>
      <c r="D5015" t="s">
        <v>304</v>
      </c>
      <c r="E5015">
        <f>YEAR(A5015)</f>
        <v>2015</v>
      </c>
      <c r="F5015" s="33">
        <f>DATE(YEAR(A5015),MONTH(A5015),1)</f>
        <v>42005.0</v>
      </c>
      <c r="G5015" t="str">
        <f>CHOOSE(WEEKDAY(A5015,2),"Mon","Tue","Wed","Thu","Fri","Sat","Sun")</f>
        <v>Mon</v>
      </c>
      <c r="H5015" t="str">
        <f>IF(WEEKDAY(A5015,2)&gt;5,"Weekend","Weekday")</f>
        <v>Weekday</v>
      </c>
      <c r="I5015" t="str">
        <f>_xlfn.IFS(B5015&lt;=5,"Night (0-5)",B5015&lt;=9,"Morning peak (6-9)",B5015&lt;=15,"Midday (10-15)",B5015&lt;=19,"Evening peak (16-19)",TRUE,"Late evening (20-23)")</f>
        <v>Late evening (20-23)</v>
      </c>
    </row>
    <row r="5016" spans="1:9">
      <c r="A5016" s="32">
        <v>42031</v>
      </c>
      <c r="B5016">
        <v>8</v>
      </c>
      <c r="C5016">
        <v>159</v>
      </c>
      <c r="D5016" t="s">
        <v>304</v>
      </c>
      <c r="E5016">
        <f>YEAR(A5016)</f>
        <v>2015</v>
      </c>
      <c r="F5016" s="33">
        <f>DATE(YEAR(A5016),MONTH(A5016),1)</f>
        <v>42005.0</v>
      </c>
      <c r="G5016" t="str">
        <f>CHOOSE(WEEKDAY(A5016,2),"Mon","Tue","Wed","Thu","Fri","Sat","Sun")</f>
        <v>Tue</v>
      </c>
      <c r="H5016" t="str">
        <f>IF(WEEKDAY(A5016,2)&gt;5,"Weekend","Weekday")</f>
        <v>Weekday</v>
      </c>
      <c r="I5016" t="str">
        <f>_xlfn.IFS(B5016&lt;=5,"Night (0-5)",B5016&lt;=9,"Morning peak (6-9)",B5016&lt;=15,"Midday (10-15)",B5016&lt;=19,"Evening peak (16-19)",TRUE,"Late evening (20-23)")</f>
        <v>Morning peak (6-9)</v>
      </c>
    </row>
    <row r="5017" spans="1:9">
      <c r="A5017" s="32">
        <v>42031</v>
      </c>
      <c r="B5017">
        <v>9</v>
      </c>
      <c r="C5017">
        <v>834</v>
      </c>
      <c r="D5017" t="s">
        <v>304</v>
      </c>
      <c r="E5017">
        <f>YEAR(A5017)</f>
        <v>2015</v>
      </c>
      <c r="F5017" s="33">
        <f>DATE(YEAR(A5017),MONTH(A5017),1)</f>
        <v>42005.0</v>
      </c>
      <c r="G5017" t="str">
        <f>CHOOSE(WEEKDAY(A5017,2),"Mon","Tue","Wed","Thu","Fri","Sat","Sun")</f>
        <v>Tue</v>
      </c>
      <c r="H5017" t="str">
        <f>IF(WEEKDAY(A5017,2)&gt;5,"Weekend","Weekday")</f>
        <v>Weekday</v>
      </c>
      <c r="I5017" t="str">
        <f>_xlfn.IFS(B5017&lt;=5,"Night (0-5)",B5017&lt;=9,"Morning peak (6-9)",B5017&lt;=15,"Midday (10-15)",B5017&lt;=19,"Evening peak (16-19)",TRUE,"Late evening (20-23)")</f>
        <v>Morning peak (6-9)</v>
      </c>
    </row>
    <row r="5018" spans="1:9">
      <c r="A5018" s="32">
        <v>42031</v>
      </c>
      <c r="B5018">
        <v>10</v>
      </c>
      <c r="C5018">
        <v>1429</v>
      </c>
      <c r="D5018" t="s">
        <v>304</v>
      </c>
      <c r="E5018">
        <f>YEAR(A5018)</f>
        <v>2015</v>
      </c>
      <c r="F5018" s="33">
        <f>DATE(YEAR(A5018),MONTH(A5018),1)</f>
        <v>42005.0</v>
      </c>
      <c r="G5018" t="str">
        <f>CHOOSE(WEEKDAY(A5018,2),"Mon","Tue","Wed","Thu","Fri","Sat","Sun")</f>
        <v>Tue</v>
      </c>
      <c r="H5018" t="str">
        <f>IF(WEEKDAY(A5018,2)&gt;5,"Weekend","Weekday")</f>
        <v>Weekday</v>
      </c>
      <c r="I5018" t="str">
        <f>_xlfn.IFS(B5018&lt;=5,"Night (0-5)",B5018&lt;=9,"Morning peak (6-9)",B5018&lt;=15,"Midday (10-15)",B5018&lt;=19,"Evening peak (16-19)",TRUE,"Late evening (20-23)")</f>
        <v>Midday (10-15)</v>
      </c>
    </row>
    <row r="5019" spans="1:9">
      <c r="A5019" s="32">
        <v>42031</v>
      </c>
      <c r="B5019">
        <v>11</v>
      </c>
      <c r="C5019">
        <v>1414</v>
      </c>
      <c r="D5019" t="s">
        <v>304</v>
      </c>
      <c r="E5019">
        <f>YEAR(A5019)</f>
        <v>2015</v>
      </c>
      <c r="F5019" s="33">
        <f>DATE(YEAR(A5019),MONTH(A5019),1)</f>
        <v>42005.0</v>
      </c>
      <c r="G5019" t="str">
        <f>CHOOSE(WEEKDAY(A5019,2),"Mon","Tue","Wed","Thu","Fri","Sat","Sun")</f>
        <v>Tue</v>
      </c>
      <c r="H5019" t="str">
        <f>IF(WEEKDAY(A5019,2)&gt;5,"Weekend","Weekday")</f>
        <v>Weekday</v>
      </c>
      <c r="I5019" t="str">
        <f>_xlfn.IFS(B5019&lt;=5,"Night (0-5)",B5019&lt;=9,"Morning peak (6-9)",B5019&lt;=15,"Midday (10-15)",B5019&lt;=19,"Evening peak (16-19)",TRUE,"Late evening (20-23)")</f>
        <v>Midday (10-15)</v>
      </c>
    </row>
    <row r="5020" spans="1:9">
      <c r="A5020" s="32">
        <v>42031</v>
      </c>
      <c r="B5020">
        <v>12</v>
      </c>
      <c r="C5020">
        <v>1327</v>
      </c>
      <c r="D5020" t="s">
        <v>304</v>
      </c>
      <c r="E5020">
        <f>YEAR(A5020)</f>
        <v>2015</v>
      </c>
      <c r="F5020" s="33">
        <f>DATE(YEAR(A5020),MONTH(A5020),1)</f>
        <v>42005.0</v>
      </c>
      <c r="G5020" t="str">
        <f>CHOOSE(WEEKDAY(A5020,2),"Mon","Tue","Wed","Thu","Fri","Sat","Sun")</f>
        <v>Tue</v>
      </c>
      <c r="H5020" t="str">
        <f>IF(WEEKDAY(A5020,2)&gt;5,"Weekend","Weekday")</f>
        <v>Weekday</v>
      </c>
      <c r="I5020" t="str">
        <f>_xlfn.IFS(B5020&lt;=5,"Night (0-5)",B5020&lt;=9,"Morning peak (6-9)",B5020&lt;=15,"Midday (10-15)",B5020&lt;=19,"Evening peak (16-19)",TRUE,"Late evening (20-23)")</f>
        <v>Midday (10-15)</v>
      </c>
    </row>
    <row r="5021" spans="1:9">
      <c r="A5021" s="32">
        <v>42031</v>
      </c>
      <c r="B5021">
        <v>13</v>
      </c>
      <c r="C5021">
        <v>1232</v>
      </c>
      <c r="D5021" t="s">
        <v>304</v>
      </c>
      <c r="E5021">
        <f>YEAR(A5021)</f>
        <v>2015</v>
      </c>
      <c r="F5021" s="33">
        <f>DATE(YEAR(A5021),MONTH(A5021),1)</f>
        <v>42005.0</v>
      </c>
      <c r="G5021" t="str">
        <f>CHOOSE(WEEKDAY(A5021,2),"Mon","Tue","Wed","Thu","Fri","Sat","Sun")</f>
        <v>Tue</v>
      </c>
      <c r="H5021" t="str">
        <f>IF(WEEKDAY(A5021,2)&gt;5,"Weekend","Weekday")</f>
        <v>Weekday</v>
      </c>
      <c r="I5021" t="str">
        <f>_xlfn.IFS(B5021&lt;=5,"Night (0-5)",B5021&lt;=9,"Morning peak (6-9)",B5021&lt;=15,"Midday (10-15)",B5021&lt;=19,"Evening peak (16-19)",TRUE,"Late evening (20-23)")</f>
        <v>Midday (10-15)</v>
      </c>
    </row>
    <row r="5022" spans="1:9">
      <c r="A5022" s="32">
        <v>42031</v>
      </c>
      <c r="B5022">
        <v>14</v>
      </c>
      <c r="C5022">
        <v>1148</v>
      </c>
      <c r="D5022" t="s">
        <v>304</v>
      </c>
      <c r="E5022">
        <f>YEAR(A5022)</f>
        <v>2015</v>
      </c>
      <c r="F5022" s="33">
        <f>DATE(YEAR(A5022),MONTH(A5022),1)</f>
        <v>42005.0</v>
      </c>
      <c r="G5022" t="str">
        <f>CHOOSE(WEEKDAY(A5022,2),"Mon","Tue","Wed","Thu","Fri","Sat","Sun")</f>
        <v>Tue</v>
      </c>
      <c r="H5022" t="str">
        <f>IF(WEEKDAY(A5022,2)&gt;5,"Weekend","Weekday")</f>
        <v>Weekday</v>
      </c>
      <c r="I5022" t="str">
        <f>_xlfn.IFS(B5022&lt;=5,"Night (0-5)",B5022&lt;=9,"Morning peak (6-9)",B5022&lt;=15,"Midday (10-15)",B5022&lt;=19,"Evening peak (16-19)",TRUE,"Late evening (20-23)")</f>
        <v>Midday (10-15)</v>
      </c>
    </row>
    <row r="5023" spans="1:9">
      <c r="A5023" s="32">
        <v>42031</v>
      </c>
      <c r="B5023">
        <v>15</v>
      </c>
      <c r="C5023">
        <v>1252</v>
      </c>
      <c r="D5023" t="s">
        <v>304</v>
      </c>
      <c r="E5023">
        <f>YEAR(A5023)</f>
        <v>2015</v>
      </c>
      <c r="F5023" s="33">
        <f>DATE(YEAR(A5023),MONTH(A5023),1)</f>
        <v>42005.0</v>
      </c>
      <c r="G5023" t="str">
        <f>CHOOSE(WEEKDAY(A5023,2),"Mon","Tue","Wed","Thu","Fri","Sat","Sun")</f>
        <v>Tue</v>
      </c>
      <c r="H5023" t="str">
        <f>IF(WEEKDAY(A5023,2)&gt;5,"Weekend","Weekday")</f>
        <v>Weekday</v>
      </c>
      <c r="I5023" t="str">
        <f>_xlfn.IFS(B5023&lt;=5,"Night (0-5)",B5023&lt;=9,"Morning peak (6-9)",B5023&lt;=15,"Midday (10-15)",B5023&lt;=19,"Evening peak (16-19)",TRUE,"Late evening (20-23)")</f>
        <v>Midday (10-15)</v>
      </c>
    </row>
    <row r="5024" spans="1:9">
      <c r="A5024" s="32">
        <v>42031</v>
      </c>
      <c r="B5024">
        <v>16</v>
      </c>
      <c r="C5024">
        <v>1625</v>
      </c>
      <c r="D5024" t="s">
        <v>304</v>
      </c>
      <c r="E5024">
        <f>YEAR(A5024)</f>
        <v>2015</v>
      </c>
      <c r="F5024" s="33">
        <f>DATE(YEAR(A5024),MONTH(A5024),1)</f>
        <v>42005.0</v>
      </c>
      <c r="G5024" t="str">
        <f>CHOOSE(WEEKDAY(A5024,2),"Mon","Tue","Wed","Thu","Fri","Sat","Sun")</f>
        <v>Tue</v>
      </c>
      <c r="H5024" t="str">
        <f>IF(WEEKDAY(A5024,2)&gt;5,"Weekend","Weekday")</f>
        <v>Weekday</v>
      </c>
      <c r="I5024" t="str">
        <f>_xlfn.IFS(B5024&lt;=5,"Night (0-5)",B5024&lt;=9,"Morning peak (6-9)",B5024&lt;=15,"Midday (10-15)",B5024&lt;=19,"Evening peak (16-19)",TRUE,"Late evening (20-23)")</f>
        <v>Evening peak (16-19)</v>
      </c>
    </row>
    <row r="5025" spans="1:9">
      <c r="A5025" s="32">
        <v>42031</v>
      </c>
      <c r="B5025">
        <v>17</v>
      </c>
      <c r="C5025">
        <v>2140</v>
      </c>
      <c r="D5025" t="s">
        <v>304</v>
      </c>
      <c r="E5025">
        <f>YEAR(A5025)</f>
        <v>2015</v>
      </c>
      <c r="F5025" s="33">
        <f>DATE(YEAR(A5025),MONTH(A5025),1)</f>
        <v>42005.0</v>
      </c>
      <c r="G5025" t="str">
        <f>CHOOSE(WEEKDAY(A5025,2),"Mon","Tue","Wed","Thu","Fri","Sat","Sun")</f>
        <v>Tue</v>
      </c>
      <c r="H5025" t="str">
        <f>IF(WEEKDAY(A5025,2)&gt;5,"Weekend","Weekday")</f>
        <v>Weekday</v>
      </c>
      <c r="I5025" t="str">
        <f>_xlfn.IFS(B5025&lt;=5,"Night (0-5)",B5025&lt;=9,"Morning peak (6-9)",B5025&lt;=15,"Midday (10-15)",B5025&lt;=19,"Evening peak (16-19)",TRUE,"Late evening (20-23)")</f>
        <v>Evening peak (16-19)</v>
      </c>
    </row>
    <row r="5026" spans="1:9">
      <c r="A5026" s="32">
        <v>42031</v>
      </c>
      <c r="B5026">
        <v>18</v>
      </c>
      <c r="C5026">
        <v>2716</v>
      </c>
      <c r="D5026" t="s">
        <v>304</v>
      </c>
      <c r="E5026">
        <f>YEAR(A5026)</f>
        <v>2015</v>
      </c>
      <c r="F5026" s="33">
        <f>DATE(YEAR(A5026),MONTH(A5026),1)</f>
        <v>42005.0</v>
      </c>
      <c r="G5026" t="str">
        <f>CHOOSE(WEEKDAY(A5026,2),"Mon","Tue","Wed","Thu","Fri","Sat","Sun")</f>
        <v>Tue</v>
      </c>
      <c r="H5026" t="str">
        <f>IF(WEEKDAY(A5026,2)&gt;5,"Weekend","Weekday")</f>
        <v>Weekday</v>
      </c>
      <c r="I5026" t="str">
        <f>_xlfn.IFS(B5026&lt;=5,"Night (0-5)",B5026&lt;=9,"Morning peak (6-9)",B5026&lt;=15,"Midday (10-15)",B5026&lt;=19,"Evening peak (16-19)",TRUE,"Late evening (20-23)")</f>
        <v>Evening peak (16-19)</v>
      </c>
    </row>
    <row r="5027" spans="1:9">
      <c r="A5027" s="32">
        <v>42031</v>
      </c>
      <c r="B5027">
        <v>19</v>
      </c>
      <c r="C5027">
        <v>2631</v>
      </c>
      <c r="D5027" t="s">
        <v>304</v>
      </c>
      <c r="E5027">
        <f>YEAR(A5027)</f>
        <v>2015</v>
      </c>
      <c r="F5027" s="33">
        <f>DATE(YEAR(A5027),MONTH(A5027),1)</f>
        <v>42005.0</v>
      </c>
      <c r="G5027" t="str">
        <f>CHOOSE(WEEKDAY(A5027,2),"Mon","Tue","Wed","Thu","Fri","Sat","Sun")</f>
        <v>Tue</v>
      </c>
      <c r="H5027" t="str">
        <f>IF(WEEKDAY(A5027,2)&gt;5,"Weekend","Weekday")</f>
        <v>Weekday</v>
      </c>
      <c r="I5027" t="str">
        <f>_xlfn.IFS(B5027&lt;=5,"Night (0-5)",B5027&lt;=9,"Morning peak (6-9)",B5027&lt;=15,"Midday (10-15)",B5027&lt;=19,"Evening peak (16-19)",TRUE,"Late evening (20-23)")</f>
        <v>Evening peak (16-19)</v>
      </c>
    </row>
    <row r="5028" spans="1:9">
      <c r="A5028" s="32">
        <v>42031</v>
      </c>
      <c r="B5028">
        <v>20</v>
      </c>
      <c r="C5028">
        <v>2289</v>
      </c>
      <c r="D5028" t="s">
        <v>304</v>
      </c>
      <c r="E5028">
        <f>YEAR(A5028)</f>
        <v>2015</v>
      </c>
      <c r="F5028" s="33">
        <f>DATE(YEAR(A5028),MONTH(A5028),1)</f>
        <v>42005.0</v>
      </c>
      <c r="G5028" t="str">
        <f>CHOOSE(WEEKDAY(A5028,2),"Mon","Tue","Wed","Thu","Fri","Sat","Sun")</f>
        <v>Tue</v>
      </c>
      <c r="H5028" t="str">
        <f>IF(WEEKDAY(A5028,2)&gt;5,"Weekend","Weekday")</f>
        <v>Weekday</v>
      </c>
      <c r="I5028" t="str">
        <f>_xlfn.IFS(B5028&lt;=5,"Night (0-5)",B5028&lt;=9,"Morning peak (6-9)",B5028&lt;=15,"Midday (10-15)",B5028&lt;=19,"Evening peak (16-19)",TRUE,"Late evening (20-23)")</f>
        <v>Late evening (20-23)</v>
      </c>
    </row>
    <row r="5029" spans="1:9">
      <c r="A5029" s="32">
        <v>42031</v>
      </c>
      <c r="B5029">
        <v>21</v>
      </c>
      <c r="C5029">
        <v>2195</v>
      </c>
      <c r="D5029" t="s">
        <v>304</v>
      </c>
      <c r="E5029">
        <f>YEAR(A5029)</f>
        <v>2015</v>
      </c>
      <c r="F5029" s="33">
        <f>DATE(YEAR(A5029),MONTH(A5029),1)</f>
        <v>42005.0</v>
      </c>
      <c r="G5029" t="str">
        <f>CHOOSE(WEEKDAY(A5029,2),"Mon","Tue","Wed","Thu","Fri","Sat","Sun")</f>
        <v>Tue</v>
      </c>
      <c r="H5029" t="str">
        <f>IF(WEEKDAY(A5029,2)&gt;5,"Weekend","Weekday")</f>
        <v>Weekday</v>
      </c>
      <c r="I5029" t="str">
        <f>_xlfn.IFS(B5029&lt;=5,"Night (0-5)",B5029&lt;=9,"Morning peak (6-9)",B5029&lt;=15,"Midday (10-15)",B5029&lt;=19,"Evening peak (16-19)",TRUE,"Late evening (20-23)")</f>
        <v>Late evening (20-23)</v>
      </c>
    </row>
    <row r="5030" spans="1:9">
      <c r="A5030" s="32">
        <v>42031</v>
      </c>
      <c r="B5030">
        <v>22</v>
      </c>
      <c r="C5030">
        <v>2015</v>
      </c>
      <c r="D5030" t="s">
        <v>304</v>
      </c>
      <c r="E5030">
        <f>YEAR(A5030)</f>
        <v>2015</v>
      </c>
      <c r="F5030" s="33">
        <f>DATE(YEAR(A5030),MONTH(A5030),1)</f>
        <v>42005.0</v>
      </c>
      <c r="G5030" t="str">
        <f>CHOOSE(WEEKDAY(A5030,2),"Mon","Tue","Wed","Thu","Fri","Sat","Sun")</f>
        <v>Tue</v>
      </c>
      <c r="H5030" t="str">
        <f>IF(WEEKDAY(A5030,2)&gt;5,"Weekend","Weekday")</f>
        <v>Weekday</v>
      </c>
      <c r="I5030" t="str">
        <f>_xlfn.IFS(B5030&lt;=5,"Night (0-5)",B5030&lt;=9,"Morning peak (6-9)",B5030&lt;=15,"Midday (10-15)",B5030&lt;=19,"Evening peak (16-19)",TRUE,"Late evening (20-23)")</f>
        <v>Late evening (20-23)</v>
      </c>
    </row>
    <row r="5031" spans="1:9">
      <c r="A5031" s="32">
        <v>42031</v>
      </c>
      <c r="B5031">
        <v>23</v>
      </c>
      <c r="C5031">
        <v>1548</v>
      </c>
      <c r="D5031" t="s">
        <v>304</v>
      </c>
      <c r="E5031">
        <f>YEAR(A5031)</f>
        <v>2015</v>
      </c>
      <c r="F5031" s="33">
        <f>DATE(YEAR(A5031),MONTH(A5031),1)</f>
        <v>42005.0</v>
      </c>
      <c r="G5031" t="str">
        <f>CHOOSE(WEEKDAY(A5031,2),"Mon","Tue","Wed","Thu","Fri","Sat","Sun")</f>
        <v>Tue</v>
      </c>
      <c r="H5031" t="str">
        <f>IF(WEEKDAY(A5031,2)&gt;5,"Weekend","Weekday")</f>
        <v>Weekday</v>
      </c>
      <c r="I5031" t="str">
        <f>_xlfn.IFS(B5031&lt;=5,"Night (0-5)",B5031&lt;=9,"Morning peak (6-9)",B5031&lt;=15,"Midday (10-15)",B5031&lt;=19,"Evening peak (16-19)",TRUE,"Late evening (20-23)")</f>
        <v>Late evening (20-23)</v>
      </c>
    </row>
    <row r="5032" spans="1:9">
      <c r="A5032" s="32">
        <v>42032</v>
      </c>
      <c r="B5032">
        <v>0</v>
      </c>
      <c r="C5032">
        <v>916</v>
      </c>
      <c r="D5032" t="s">
        <v>304</v>
      </c>
      <c r="E5032">
        <f>YEAR(A5032)</f>
        <v>2015</v>
      </c>
      <c r="F5032" s="33">
        <f>DATE(YEAR(A5032),MONTH(A5032),1)</f>
        <v>42005.0</v>
      </c>
      <c r="G5032" t="str">
        <f>CHOOSE(WEEKDAY(A5032,2),"Mon","Tue","Wed","Thu","Fri","Sat","Sun")</f>
        <v>Wed</v>
      </c>
      <c r="H5032" t="str">
        <f>IF(WEEKDAY(A5032,2)&gt;5,"Weekend","Weekday")</f>
        <v>Weekday</v>
      </c>
      <c r="I5032" t="str">
        <f>_xlfn.IFS(B5032&lt;=5,"Night (0-5)",B5032&lt;=9,"Morning peak (6-9)",B5032&lt;=15,"Midday (10-15)",B5032&lt;=19,"Evening peak (16-19)",TRUE,"Late evening (20-23)")</f>
        <v>Night (0-5)</v>
      </c>
    </row>
    <row r="5033" spans="1:9">
      <c r="A5033" s="32">
        <v>42032</v>
      </c>
      <c r="B5033">
        <v>1</v>
      </c>
      <c r="C5033">
        <v>554</v>
      </c>
      <c r="D5033" t="s">
        <v>304</v>
      </c>
      <c r="E5033">
        <f>YEAR(A5033)</f>
        <v>2015</v>
      </c>
      <c r="F5033" s="33">
        <f>DATE(YEAR(A5033),MONTH(A5033),1)</f>
        <v>42005.0</v>
      </c>
      <c r="G5033" t="str">
        <f>CHOOSE(WEEKDAY(A5033,2),"Mon","Tue","Wed","Thu","Fri","Sat","Sun")</f>
        <v>Wed</v>
      </c>
      <c r="H5033" t="str">
        <f>IF(WEEKDAY(A5033,2)&gt;5,"Weekend","Weekday")</f>
        <v>Weekday</v>
      </c>
      <c r="I5033" t="str">
        <f>_xlfn.IFS(B5033&lt;=5,"Night (0-5)",B5033&lt;=9,"Morning peak (6-9)",B5033&lt;=15,"Midday (10-15)",B5033&lt;=19,"Evening peak (16-19)",TRUE,"Late evening (20-23)")</f>
        <v>Night (0-5)</v>
      </c>
    </row>
    <row r="5034" spans="1:9">
      <c r="A5034" s="32">
        <v>42032</v>
      </c>
      <c r="B5034">
        <v>2</v>
      </c>
      <c r="C5034">
        <v>335</v>
      </c>
      <c r="D5034" t="s">
        <v>304</v>
      </c>
      <c r="E5034">
        <f>YEAR(A5034)</f>
        <v>2015</v>
      </c>
      <c r="F5034" s="33">
        <f>DATE(YEAR(A5034),MONTH(A5034),1)</f>
        <v>42005.0</v>
      </c>
      <c r="G5034" t="str">
        <f>CHOOSE(WEEKDAY(A5034,2),"Mon","Tue","Wed","Thu","Fri","Sat","Sun")</f>
        <v>Wed</v>
      </c>
      <c r="H5034" t="str">
        <f>IF(WEEKDAY(A5034,2)&gt;5,"Weekend","Weekday")</f>
        <v>Weekday</v>
      </c>
      <c r="I5034" t="str">
        <f>_xlfn.IFS(B5034&lt;=5,"Night (0-5)",B5034&lt;=9,"Morning peak (6-9)",B5034&lt;=15,"Midday (10-15)",B5034&lt;=19,"Evening peak (16-19)",TRUE,"Late evening (20-23)")</f>
        <v>Night (0-5)</v>
      </c>
    </row>
    <row r="5035" spans="1:9">
      <c r="A5035" s="32">
        <v>42032</v>
      </c>
      <c r="B5035">
        <v>3</v>
      </c>
      <c r="C5035">
        <v>231</v>
      </c>
      <c r="D5035" t="s">
        <v>304</v>
      </c>
      <c r="E5035">
        <f>YEAR(A5035)</f>
        <v>2015</v>
      </c>
      <c r="F5035" s="33">
        <f>DATE(YEAR(A5035),MONTH(A5035),1)</f>
        <v>42005.0</v>
      </c>
      <c r="G5035" t="str">
        <f>CHOOSE(WEEKDAY(A5035,2),"Mon","Tue","Wed","Thu","Fri","Sat","Sun")</f>
        <v>Wed</v>
      </c>
      <c r="H5035" t="str">
        <f>IF(WEEKDAY(A5035,2)&gt;5,"Weekend","Weekday")</f>
        <v>Weekday</v>
      </c>
      <c r="I5035" t="str">
        <f>_xlfn.IFS(B5035&lt;=5,"Night (0-5)",B5035&lt;=9,"Morning peak (6-9)",B5035&lt;=15,"Midday (10-15)",B5035&lt;=19,"Evening peak (16-19)",TRUE,"Late evening (20-23)")</f>
        <v>Night (0-5)</v>
      </c>
    </row>
    <row r="5036" spans="1:9">
      <c r="A5036" s="32">
        <v>42032</v>
      </c>
      <c r="B5036">
        <v>4</v>
      </c>
      <c r="C5036">
        <v>326</v>
      </c>
      <c r="D5036" t="s">
        <v>304</v>
      </c>
      <c r="E5036">
        <f>YEAR(A5036)</f>
        <v>2015</v>
      </c>
      <c r="F5036" s="33">
        <f>DATE(YEAR(A5036),MONTH(A5036),1)</f>
        <v>42005.0</v>
      </c>
      <c r="G5036" t="str">
        <f>CHOOSE(WEEKDAY(A5036,2),"Mon","Tue","Wed","Thu","Fri","Sat","Sun")</f>
        <v>Wed</v>
      </c>
      <c r="H5036" t="str">
        <f>IF(WEEKDAY(A5036,2)&gt;5,"Weekend","Weekday")</f>
        <v>Weekday</v>
      </c>
      <c r="I5036" t="str">
        <f>_xlfn.IFS(B5036&lt;=5,"Night (0-5)",B5036&lt;=9,"Morning peak (6-9)",B5036&lt;=15,"Midday (10-15)",B5036&lt;=19,"Evening peak (16-19)",TRUE,"Late evening (20-23)")</f>
        <v>Night (0-5)</v>
      </c>
    </row>
    <row r="5037" spans="1:9">
      <c r="A5037" s="32">
        <v>42032</v>
      </c>
      <c r="B5037">
        <v>5</v>
      </c>
      <c r="C5037">
        <v>715</v>
      </c>
      <c r="D5037" t="s">
        <v>304</v>
      </c>
      <c r="E5037">
        <f>YEAR(A5037)</f>
        <v>2015</v>
      </c>
      <c r="F5037" s="33">
        <f>DATE(YEAR(A5037),MONTH(A5037),1)</f>
        <v>42005.0</v>
      </c>
      <c r="G5037" t="str">
        <f>CHOOSE(WEEKDAY(A5037,2),"Mon","Tue","Wed","Thu","Fri","Sat","Sun")</f>
        <v>Wed</v>
      </c>
      <c r="H5037" t="str">
        <f>IF(WEEKDAY(A5037,2)&gt;5,"Weekend","Weekday")</f>
        <v>Weekday</v>
      </c>
      <c r="I5037" t="str">
        <f>_xlfn.IFS(B5037&lt;=5,"Night (0-5)",B5037&lt;=9,"Morning peak (6-9)",B5037&lt;=15,"Midday (10-15)",B5037&lt;=19,"Evening peak (16-19)",TRUE,"Late evening (20-23)")</f>
        <v>Night (0-5)</v>
      </c>
    </row>
    <row r="5038" spans="1:9">
      <c r="A5038" s="32">
        <v>42032</v>
      </c>
      <c r="B5038">
        <v>6</v>
      </c>
      <c r="C5038">
        <v>1734</v>
      </c>
      <c r="D5038" t="s">
        <v>304</v>
      </c>
      <c r="E5038">
        <f>YEAR(A5038)</f>
        <v>2015</v>
      </c>
      <c r="F5038" s="33">
        <f>DATE(YEAR(A5038),MONTH(A5038),1)</f>
        <v>42005.0</v>
      </c>
      <c r="G5038" t="str">
        <f>CHOOSE(WEEKDAY(A5038,2),"Mon","Tue","Wed","Thu","Fri","Sat","Sun")</f>
        <v>Wed</v>
      </c>
      <c r="H5038" t="str">
        <f>IF(WEEKDAY(A5038,2)&gt;5,"Weekend","Weekday")</f>
        <v>Weekday</v>
      </c>
      <c r="I5038" t="str">
        <f>_xlfn.IFS(B5038&lt;=5,"Night (0-5)",B5038&lt;=9,"Morning peak (6-9)",B5038&lt;=15,"Midday (10-15)",B5038&lt;=19,"Evening peak (16-19)",TRUE,"Late evening (20-23)")</f>
        <v>Morning peak (6-9)</v>
      </c>
    </row>
    <row r="5039" spans="1:9">
      <c r="A5039" s="32">
        <v>42032</v>
      </c>
      <c r="B5039">
        <v>7</v>
      </c>
      <c r="C5039">
        <v>3098</v>
      </c>
      <c r="D5039" t="s">
        <v>304</v>
      </c>
      <c r="E5039">
        <f>YEAR(A5039)</f>
        <v>2015</v>
      </c>
      <c r="F5039" s="33">
        <f>DATE(YEAR(A5039),MONTH(A5039),1)</f>
        <v>42005.0</v>
      </c>
      <c r="G5039" t="str">
        <f>CHOOSE(WEEKDAY(A5039,2),"Mon","Tue","Wed","Thu","Fri","Sat","Sun")</f>
        <v>Wed</v>
      </c>
      <c r="H5039" t="str">
        <f>IF(WEEKDAY(A5039,2)&gt;5,"Weekend","Weekday")</f>
        <v>Weekday</v>
      </c>
      <c r="I5039" t="str">
        <f>_xlfn.IFS(B5039&lt;=5,"Night (0-5)",B5039&lt;=9,"Morning peak (6-9)",B5039&lt;=15,"Midday (10-15)",B5039&lt;=19,"Evening peak (16-19)",TRUE,"Late evening (20-23)")</f>
        <v>Morning peak (6-9)</v>
      </c>
    </row>
    <row r="5040" spans="1:9">
      <c r="A5040" s="32">
        <v>42032</v>
      </c>
      <c r="B5040">
        <v>8</v>
      </c>
      <c r="C5040">
        <v>4033</v>
      </c>
      <c r="D5040" t="s">
        <v>304</v>
      </c>
      <c r="E5040">
        <f>YEAR(A5040)</f>
        <v>2015</v>
      </c>
      <c r="F5040" s="33">
        <f>DATE(YEAR(A5040),MONTH(A5040),1)</f>
        <v>42005.0</v>
      </c>
      <c r="G5040" t="str">
        <f>CHOOSE(WEEKDAY(A5040,2),"Mon","Tue","Wed","Thu","Fri","Sat","Sun")</f>
        <v>Wed</v>
      </c>
      <c r="H5040" t="str">
        <f>IF(WEEKDAY(A5040,2)&gt;5,"Weekend","Weekday")</f>
        <v>Weekday</v>
      </c>
      <c r="I5040" t="str">
        <f>_xlfn.IFS(B5040&lt;=5,"Night (0-5)",B5040&lt;=9,"Morning peak (6-9)",B5040&lt;=15,"Midday (10-15)",B5040&lt;=19,"Evening peak (16-19)",TRUE,"Late evening (20-23)")</f>
        <v>Morning peak (6-9)</v>
      </c>
    </row>
    <row r="5041" spans="1:9">
      <c r="A5041" s="32">
        <v>42032</v>
      </c>
      <c r="B5041">
        <v>9</v>
      </c>
      <c r="C5041">
        <v>3514</v>
      </c>
      <c r="D5041" t="s">
        <v>304</v>
      </c>
      <c r="E5041">
        <f>YEAR(A5041)</f>
        <v>2015</v>
      </c>
      <c r="F5041" s="33">
        <f>DATE(YEAR(A5041),MONTH(A5041),1)</f>
        <v>42005.0</v>
      </c>
      <c r="G5041" t="str">
        <f>CHOOSE(WEEKDAY(A5041,2),"Mon","Tue","Wed","Thu","Fri","Sat","Sun")</f>
        <v>Wed</v>
      </c>
      <c r="H5041" t="str">
        <f>IF(WEEKDAY(A5041,2)&gt;5,"Weekend","Weekday")</f>
        <v>Weekday</v>
      </c>
      <c r="I5041" t="str">
        <f>_xlfn.IFS(B5041&lt;=5,"Night (0-5)",B5041&lt;=9,"Morning peak (6-9)",B5041&lt;=15,"Midday (10-15)",B5041&lt;=19,"Evening peak (16-19)",TRUE,"Late evening (20-23)")</f>
        <v>Morning peak (6-9)</v>
      </c>
    </row>
    <row r="5042" spans="1:9">
      <c r="A5042" s="32">
        <v>42032</v>
      </c>
      <c r="B5042">
        <v>10</v>
      </c>
      <c r="C5042">
        <v>2500</v>
      </c>
      <c r="D5042" t="s">
        <v>304</v>
      </c>
      <c r="E5042">
        <f>YEAR(A5042)</f>
        <v>2015</v>
      </c>
      <c r="F5042" s="33">
        <f>DATE(YEAR(A5042),MONTH(A5042),1)</f>
        <v>42005.0</v>
      </c>
      <c r="G5042" t="str">
        <f>CHOOSE(WEEKDAY(A5042,2),"Mon","Tue","Wed","Thu","Fri","Sat","Sun")</f>
        <v>Wed</v>
      </c>
      <c r="H5042" t="str">
        <f>IF(WEEKDAY(A5042,2)&gt;5,"Weekend","Weekday")</f>
        <v>Weekday</v>
      </c>
      <c r="I5042" t="str">
        <f>_xlfn.IFS(B5042&lt;=5,"Night (0-5)",B5042&lt;=9,"Morning peak (6-9)",B5042&lt;=15,"Midday (10-15)",B5042&lt;=19,"Evening peak (16-19)",TRUE,"Late evening (20-23)")</f>
        <v>Midday (10-15)</v>
      </c>
    </row>
    <row r="5043" spans="1:9">
      <c r="A5043" s="32">
        <v>42032</v>
      </c>
      <c r="B5043">
        <v>11</v>
      </c>
      <c r="C5043">
        <v>2228</v>
      </c>
      <c r="D5043" t="s">
        <v>304</v>
      </c>
      <c r="E5043">
        <f>YEAR(A5043)</f>
        <v>2015</v>
      </c>
      <c r="F5043" s="33">
        <f>DATE(YEAR(A5043),MONTH(A5043),1)</f>
        <v>42005.0</v>
      </c>
      <c r="G5043" t="str">
        <f>CHOOSE(WEEKDAY(A5043,2),"Mon","Tue","Wed","Thu","Fri","Sat","Sun")</f>
        <v>Wed</v>
      </c>
      <c r="H5043" t="str">
        <f>IF(WEEKDAY(A5043,2)&gt;5,"Weekend","Weekday")</f>
        <v>Weekday</v>
      </c>
      <c r="I5043" t="str">
        <f>_xlfn.IFS(B5043&lt;=5,"Night (0-5)",B5043&lt;=9,"Morning peak (6-9)",B5043&lt;=15,"Midday (10-15)",B5043&lt;=19,"Evening peak (16-19)",TRUE,"Late evening (20-23)")</f>
        <v>Midday (10-15)</v>
      </c>
    </row>
    <row r="5044" spans="1:9">
      <c r="A5044" s="32">
        <v>42032</v>
      </c>
      <c r="B5044">
        <v>12</v>
      </c>
      <c r="C5044">
        <v>2142</v>
      </c>
      <c r="D5044" t="s">
        <v>304</v>
      </c>
      <c r="E5044">
        <f>YEAR(A5044)</f>
        <v>2015</v>
      </c>
      <c r="F5044" s="33">
        <f>DATE(YEAR(A5044),MONTH(A5044),1)</f>
        <v>42005.0</v>
      </c>
      <c r="G5044" t="str">
        <f>CHOOSE(WEEKDAY(A5044,2),"Mon","Tue","Wed","Thu","Fri","Sat","Sun")</f>
        <v>Wed</v>
      </c>
      <c r="H5044" t="str">
        <f>IF(WEEKDAY(A5044,2)&gt;5,"Weekend","Weekday")</f>
        <v>Weekday</v>
      </c>
      <c r="I5044" t="str">
        <f>_xlfn.IFS(B5044&lt;=5,"Night (0-5)",B5044&lt;=9,"Morning peak (6-9)",B5044&lt;=15,"Midday (10-15)",B5044&lt;=19,"Evening peak (16-19)",TRUE,"Late evening (20-23)")</f>
        <v>Midday (10-15)</v>
      </c>
    </row>
    <row r="5045" spans="1:9">
      <c r="A5045" s="32">
        <v>42032</v>
      </c>
      <c r="B5045">
        <v>13</v>
      </c>
      <c r="C5045">
        <v>2152</v>
      </c>
      <c r="D5045" t="s">
        <v>304</v>
      </c>
      <c r="E5045">
        <f>YEAR(A5045)</f>
        <v>2015</v>
      </c>
      <c r="F5045" s="33">
        <f>DATE(YEAR(A5045),MONTH(A5045),1)</f>
        <v>42005.0</v>
      </c>
      <c r="G5045" t="str">
        <f>CHOOSE(WEEKDAY(A5045,2),"Mon","Tue","Wed","Thu","Fri","Sat","Sun")</f>
        <v>Wed</v>
      </c>
      <c r="H5045" t="str">
        <f>IF(WEEKDAY(A5045,2)&gt;5,"Weekend","Weekday")</f>
        <v>Weekday</v>
      </c>
      <c r="I5045" t="str">
        <f>_xlfn.IFS(B5045&lt;=5,"Night (0-5)",B5045&lt;=9,"Morning peak (6-9)",B5045&lt;=15,"Midday (10-15)",B5045&lt;=19,"Evening peak (16-19)",TRUE,"Late evening (20-23)")</f>
        <v>Midday (10-15)</v>
      </c>
    </row>
    <row r="5046" spans="1:9">
      <c r="A5046" s="32">
        <v>42032</v>
      </c>
      <c r="B5046">
        <v>14</v>
      </c>
      <c r="C5046">
        <v>2346</v>
      </c>
      <c r="D5046" t="s">
        <v>304</v>
      </c>
      <c r="E5046">
        <f>YEAR(A5046)</f>
        <v>2015</v>
      </c>
      <c r="F5046" s="33">
        <f>DATE(YEAR(A5046),MONTH(A5046),1)</f>
        <v>42005.0</v>
      </c>
      <c r="G5046" t="str">
        <f>CHOOSE(WEEKDAY(A5046,2),"Mon","Tue","Wed","Thu","Fri","Sat","Sun")</f>
        <v>Wed</v>
      </c>
      <c r="H5046" t="str">
        <f>IF(WEEKDAY(A5046,2)&gt;5,"Weekend","Weekday")</f>
        <v>Weekday</v>
      </c>
      <c r="I5046" t="str">
        <f>_xlfn.IFS(B5046&lt;=5,"Night (0-5)",B5046&lt;=9,"Morning peak (6-9)",B5046&lt;=15,"Midday (10-15)",B5046&lt;=19,"Evening peak (16-19)",TRUE,"Late evening (20-23)")</f>
        <v>Midday (10-15)</v>
      </c>
    </row>
    <row r="5047" spans="1:9">
      <c r="A5047" s="32">
        <v>42032</v>
      </c>
      <c r="B5047">
        <v>15</v>
      </c>
      <c r="C5047">
        <v>2821</v>
      </c>
      <c r="D5047" t="s">
        <v>304</v>
      </c>
      <c r="E5047">
        <f>YEAR(A5047)</f>
        <v>2015</v>
      </c>
      <c r="F5047" s="33">
        <f>DATE(YEAR(A5047),MONTH(A5047),1)</f>
        <v>42005.0</v>
      </c>
      <c r="G5047" t="str">
        <f>CHOOSE(WEEKDAY(A5047,2),"Mon","Tue","Wed","Thu","Fri","Sat","Sun")</f>
        <v>Wed</v>
      </c>
      <c r="H5047" t="str">
        <f>IF(WEEKDAY(A5047,2)&gt;5,"Weekend","Weekday")</f>
        <v>Weekday</v>
      </c>
      <c r="I5047" t="str">
        <f>_xlfn.IFS(B5047&lt;=5,"Night (0-5)",B5047&lt;=9,"Morning peak (6-9)",B5047&lt;=15,"Midday (10-15)",B5047&lt;=19,"Evening peak (16-19)",TRUE,"Late evening (20-23)")</f>
        <v>Midday (10-15)</v>
      </c>
    </row>
    <row r="5048" spans="1:9">
      <c r="A5048" s="32">
        <v>42032</v>
      </c>
      <c r="B5048">
        <v>16</v>
      </c>
      <c r="C5048">
        <v>3030</v>
      </c>
      <c r="D5048" t="s">
        <v>304</v>
      </c>
      <c r="E5048">
        <f>YEAR(A5048)</f>
        <v>2015</v>
      </c>
      <c r="F5048" s="33">
        <f>DATE(YEAR(A5048),MONTH(A5048),1)</f>
        <v>42005.0</v>
      </c>
      <c r="G5048" t="str">
        <f>CHOOSE(WEEKDAY(A5048,2),"Mon","Tue","Wed","Thu","Fri","Sat","Sun")</f>
        <v>Wed</v>
      </c>
      <c r="H5048" t="str">
        <f>IF(WEEKDAY(A5048,2)&gt;5,"Weekend","Weekday")</f>
        <v>Weekday</v>
      </c>
      <c r="I5048" t="str">
        <f>_xlfn.IFS(B5048&lt;=5,"Night (0-5)",B5048&lt;=9,"Morning peak (6-9)",B5048&lt;=15,"Midday (10-15)",B5048&lt;=19,"Evening peak (16-19)",TRUE,"Late evening (20-23)")</f>
        <v>Evening peak (16-19)</v>
      </c>
    </row>
    <row r="5049" spans="1:9">
      <c r="A5049" s="32">
        <v>42032</v>
      </c>
      <c r="B5049">
        <v>17</v>
      </c>
      <c r="C5049">
        <v>4080</v>
      </c>
      <c r="D5049" t="s">
        <v>304</v>
      </c>
      <c r="E5049">
        <f>YEAR(A5049)</f>
        <v>2015</v>
      </c>
      <c r="F5049" s="33">
        <f>DATE(YEAR(A5049),MONTH(A5049),1)</f>
        <v>42005.0</v>
      </c>
      <c r="G5049" t="str">
        <f>CHOOSE(WEEKDAY(A5049,2),"Mon","Tue","Wed","Thu","Fri","Sat","Sun")</f>
        <v>Wed</v>
      </c>
      <c r="H5049" t="str">
        <f>IF(WEEKDAY(A5049,2)&gt;5,"Weekend","Weekday")</f>
        <v>Weekday</v>
      </c>
      <c r="I5049" t="str">
        <f>_xlfn.IFS(B5049&lt;=5,"Night (0-5)",B5049&lt;=9,"Morning peak (6-9)",B5049&lt;=15,"Midday (10-15)",B5049&lt;=19,"Evening peak (16-19)",TRUE,"Late evening (20-23)")</f>
        <v>Evening peak (16-19)</v>
      </c>
    </row>
    <row r="5050" spans="1:9">
      <c r="A5050" s="32">
        <v>42032</v>
      </c>
      <c r="B5050">
        <v>18</v>
      </c>
      <c r="C5050">
        <v>5062</v>
      </c>
      <c r="D5050" t="s">
        <v>304</v>
      </c>
      <c r="E5050">
        <f>YEAR(A5050)</f>
        <v>2015</v>
      </c>
      <c r="F5050" s="33">
        <f>DATE(YEAR(A5050),MONTH(A5050),1)</f>
        <v>42005.0</v>
      </c>
      <c r="G5050" t="str">
        <f>CHOOSE(WEEKDAY(A5050,2),"Mon","Tue","Wed","Thu","Fri","Sat","Sun")</f>
        <v>Wed</v>
      </c>
      <c r="H5050" t="str">
        <f>IF(WEEKDAY(A5050,2)&gt;5,"Weekend","Weekday")</f>
        <v>Weekday</v>
      </c>
      <c r="I5050" t="str">
        <f>_xlfn.IFS(B5050&lt;=5,"Night (0-5)",B5050&lt;=9,"Morning peak (6-9)",B5050&lt;=15,"Midday (10-15)",B5050&lt;=19,"Evening peak (16-19)",TRUE,"Late evening (20-23)")</f>
        <v>Evening peak (16-19)</v>
      </c>
    </row>
    <row r="5051" spans="1:9">
      <c r="A5051" s="32">
        <v>42032</v>
      </c>
      <c r="B5051">
        <v>19</v>
      </c>
      <c r="C5051">
        <v>5016</v>
      </c>
      <c r="D5051" t="s">
        <v>304</v>
      </c>
      <c r="E5051">
        <f>YEAR(A5051)</f>
        <v>2015</v>
      </c>
      <c r="F5051" s="33">
        <f>DATE(YEAR(A5051),MONTH(A5051),1)</f>
        <v>42005.0</v>
      </c>
      <c r="G5051" t="str">
        <f>CHOOSE(WEEKDAY(A5051,2),"Mon","Tue","Wed","Thu","Fri","Sat","Sun")</f>
        <v>Wed</v>
      </c>
      <c r="H5051" t="str">
        <f>IF(WEEKDAY(A5051,2)&gt;5,"Weekend","Weekday")</f>
        <v>Weekday</v>
      </c>
      <c r="I5051" t="str">
        <f>_xlfn.IFS(B5051&lt;=5,"Night (0-5)",B5051&lt;=9,"Morning peak (6-9)",B5051&lt;=15,"Midday (10-15)",B5051&lt;=19,"Evening peak (16-19)",TRUE,"Late evening (20-23)")</f>
        <v>Evening peak (16-19)</v>
      </c>
    </row>
    <row r="5052" spans="1:9">
      <c r="A5052" s="32">
        <v>42032</v>
      </c>
      <c r="B5052">
        <v>20</v>
      </c>
      <c r="C5052">
        <v>4406</v>
      </c>
      <c r="D5052" t="s">
        <v>304</v>
      </c>
      <c r="E5052">
        <f>YEAR(A5052)</f>
        <v>2015</v>
      </c>
      <c r="F5052" s="33">
        <f>DATE(YEAR(A5052),MONTH(A5052),1)</f>
        <v>42005.0</v>
      </c>
      <c r="G5052" t="str">
        <f>CHOOSE(WEEKDAY(A5052,2),"Mon","Tue","Wed","Thu","Fri","Sat","Sun")</f>
        <v>Wed</v>
      </c>
      <c r="H5052" t="str">
        <f>IF(WEEKDAY(A5052,2)&gt;5,"Weekend","Weekday")</f>
        <v>Weekday</v>
      </c>
      <c r="I5052" t="str">
        <f>_xlfn.IFS(B5052&lt;=5,"Night (0-5)",B5052&lt;=9,"Morning peak (6-9)",B5052&lt;=15,"Midday (10-15)",B5052&lt;=19,"Evening peak (16-19)",TRUE,"Late evening (20-23)")</f>
        <v>Late evening (20-23)</v>
      </c>
    </row>
    <row r="5053" spans="1:9">
      <c r="A5053" s="32">
        <v>42032</v>
      </c>
      <c r="B5053">
        <v>21</v>
      </c>
      <c r="C5053">
        <v>4134</v>
      </c>
      <c r="D5053" t="s">
        <v>304</v>
      </c>
      <c r="E5053">
        <f>YEAR(A5053)</f>
        <v>2015</v>
      </c>
      <c r="F5053" s="33">
        <f>DATE(YEAR(A5053),MONTH(A5053),1)</f>
        <v>42005.0</v>
      </c>
      <c r="G5053" t="str">
        <f>CHOOSE(WEEKDAY(A5053,2),"Mon","Tue","Wed","Thu","Fri","Sat","Sun")</f>
        <v>Wed</v>
      </c>
      <c r="H5053" t="str">
        <f>IF(WEEKDAY(A5053,2)&gt;5,"Weekend","Weekday")</f>
        <v>Weekday</v>
      </c>
      <c r="I5053" t="str">
        <f>_xlfn.IFS(B5053&lt;=5,"Night (0-5)",B5053&lt;=9,"Morning peak (6-9)",B5053&lt;=15,"Midday (10-15)",B5053&lt;=19,"Evening peak (16-19)",TRUE,"Late evening (20-23)")</f>
        <v>Late evening (20-23)</v>
      </c>
    </row>
    <row r="5054" spans="1:9">
      <c r="A5054" s="32">
        <v>42032</v>
      </c>
      <c r="B5054">
        <v>22</v>
      </c>
      <c r="C5054">
        <v>3713</v>
      </c>
      <c r="D5054" t="s">
        <v>304</v>
      </c>
      <c r="E5054">
        <f>YEAR(A5054)</f>
        <v>2015</v>
      </c>
      <c r="F5054" s="33">
        <f>DATE(YEAR(A5054),MONTH(A5054),1)</f>
        <v>42005.0</v>
      </c>
      <c r="G5054" t="str">
        <f>CHOOSE(WEEKDAY(A5054,2),"Mon","Tue","Wed","Thu","Fri","Sat","Sun")</f>
        <v>Wed</v>
      </c>
      <c r="H5054" t="str">
        <f>IF(WEEKDAY(A5054,2)&gt;5,"Weekend","Weekday")</f>
        <v>Weekday</v>
      </c>
      <c r="I5054" t="str">
        <f>_xlfn.IFS(B5054&lt;=5,"Night (0-5)",B5054&lt;=9,"Morning peak (6-9)",B5054&lt;=15,"Midday (10-15)",B5054&lt;=19,"Evening peak (16-19)",TRUE,"Late evening (20-23)")</f>
        <v>Late evening (20-23)</v>
      </c>
    </row>
    <row r="5055" spans="1:9">
      <c r="A5055" s="32">
        <v>42032</v>
      </c>
      <c r="B5055">
        <v>23</v>
      </c>
      <c r="C5055">
        <v>2540</v>
      </c>
      <c r="D5055" t="s">
        <v>304</v>
      </c>
      <c r="E5055">
        <f>YEAR(A5055)</f>
        <v>2015</v>
      </c>
      <c r="F5055" s="33">
        <f>DATE(YEAR(A5055),MONTH(A5055),1)</f>
        <v>42005.0</v>
      </c>
      <c r="G5055" t="str">
        <f>CHOOSE(WEEKDAY(A5055,2),"Mon","Tue","Wed","Thu","Fri","Sat","Sun")</f>
        <v>Wed</v>
      </c>
      <c r="H5055" t="str">
        <f>IF(WEEKDAY(A5055,2)&gt;5,"Weekend","Weekday")</f>
        <v>Weekday</v>
      </c>
      <c r="I5055" t="str">
        <f>_xlfn.IFS(B5055&lt;=5,"Night (0-5)",B5055&lt;=9,"Morning peak (6-9)",B5055&lt;=15,"Midday (10-15)",B5055&lt;=19,"Evening peak (16-19)",TRUE,"Late evening (20-23)")</f>
        <v>Late evening (20-23)</v>
      </c>
    </row>
    <row r="5056" spans="1:9">
      <c r="A5056" s="32">
        <v>42033</v>
      </c>
      <c r="B5056">
        <v>0</v>
      </c>
      <c r="C5056">
        <v>1526</v>
      </c>
      <c r="D5056" t="s">
        <v>304</v>
      </c>
      <c r="E5056">
        <f>YEAR(A5056)</f>
        <v>2015</v>
      </c>
      <c r="F5056" s="33">
        <f>DATE(YEAR(A5056),MONTH(A5056),1)</f>
        <v>42005.0</v>
      </c>
      <c r="G5056" t="str">
        <f>CHOOSE(WEEKDAY(A5056,2),"Mon","Tue","Wed","Thu","Fri","Sat","Sun")</f>
        <v>Thu</v>
      </c>
      <c r="H5056" t="str">
        <f>IF(WEEKDAY(A5056,2)&gt;5,"Weekend","Weekday")</f>
        <v>Weekday</v>
      </c>
      <c r="I5056" t="str">
        <f>_xlfn.IFS(B5056&lt;=5,"Night (0-5)",B5056&lt;=9,"Morning peak (6-9)",B5056&lt;=15,"Midday (10-15)",B5056&lt;=19,"Evening peak (16-19)",TRUE,"Late evening (20-23)")</f>
        <v>Night (0-5)</v>
      </c>
    </row>
    <row r="5057" spans="1:9">
      <c r="A5057" s="32">
        <v>42033</v>
      </c>
      <c r="B5057">
        <v>1</v>
      </c>
      <c r="C5057">
        <v>771</v>
      </c>
      <c r="D5057" t="s">
        <v>304</v>
      </c>
      <c r="E5057">
        <f>YEAR(A5057)</f>
        <v>2015</v>
      </c>
      <c r="F5057" s="33">
        <f>DATE(YEAR(A5057),MONTH(A5057),1)</f>
        <v>42005.0</v>
      </c>
      <c r="G5057" t="str">
        <f>CHOOSE(WEEKDAY(A5057,2),"Mon","Tue","Wed","Thu","Fri","Sat","Sun")</f>
        <v>Thu</v>
      </c>
      <c r="H5057" t="str">
        <f>IF(WEEKDAY(A5057,2)&gt;5,"Weekend","Weekday")</f>
        <v>Weekday</v>
      </c>
      <c r="I5057" t="str">
        <f>_xlfn.IFS(B5057&lt;=5,"Night (0-5)",B5057&lt;=9,"Morning peak (6-9)",B5057&lt;=15,"Midday (10-15)",B5057&lt;=19,"Evening peak (16-19)",TRUE,"Late evening (20-23)")</f>
        <v>Night (0-5)</v>
      </c>
    </row>
    <row r="5058" spans="1:9">
      <c r="A5058" s="32">
        <v>42033</v>
      </c>
      <c r="B5058">
        <v>2</v>
      </c>
      <c r="C5058">
        <v>423</v>
      </c>
      <c r="D5058" t="s">
        <v>304</v>
      </c>
      <c r="E5058">
        <f>YEAR(A5058)</f>
        <v>2015</v>
      </c>
      <c r="F5058" s="33">
        <f>DATE(YEAR(A5058),MONTH(A5058),1)</f>
        <v>42005.0</v>
      </c>
      <c r="G5058" t="str">
        <f>CHOOSE(WEEKDAY(A5058,2),"Mon","Tue","Wed","Thu","Fri","Sat","Sun")</f>
        <v>Thu</v>
      </c>
      <c r="H5058" t="str">
        <f>IF(WEEKDAY(A5058,2)&gt;5,"Weekend","Weekday")</f>
        <v>Weekday</v>
      </c>
      <c r="I5058" t="str">
        <f>_xlfn.IFS(B5058&lt;=5,"Night (0-5)",B5058&lt;=9,"Morning peak (6-9)",B5058&lt;=15,"Midday (10-15)",B5058&lt;=19,"Evening peak (16-19)",TRUE,"Late evening (20-23)")</f>
        <v>Night (0-5)</v>
      </c>
    </row>
    <row r="5059" spans="1:9">
      <c r="A5059" s="32">
        <v>42033</v>
      </c>
      <c r="B5059">
        <v>3</v>
      </c>
      <c r="C5059">
        <v>339</v>
      </c>
      <c r="D5059" t="s">
        <v>304</v>
      </c>
      <c r="E5059">
        <f>YEAR(A5059)</f>
        <v>2015</v>
      </c>
      <c r="F5059" s="33">
        <f>DATE(YEAR(A5059),MONTH(A5059),1)</f>
        <v>42005.0</v>
      </c>
      <c r="G5059" t="str">
        <f>CHOOSE(WEEKDAY(A5059,2),"Mon","Tue","Wed","Thu","Fri","Sat","Sun")</f>
        <v>Thu</v>
      </c>
      <c r="H5059" t="str">
        <f>IF(WEEKDAY(A5059,2)&gt;5,"Weekend","Weekday")</f>
        <v>Weekday</v>
      </c>
      <c r="I5059" t="str">
        <f>_xlfn.IFS(B5059&lt;=5,"Night (0-5)",B5059&lt;=9,"Morning peak (6-9)",B5059&lt;=15,"Midday (10-15)",B5059&lt;=19,"Evening peak (16-19)",TRUE,"Late evening (20-23)")</f>
        <v>Night (0-5)</v>
      </c>
    </row>
    <row r="5060" spans="1:9">
      <c r="A5060" s="32">
        <v>42033</v>
      </c>
      <c r="B5060">
        <v>4</v>
      </c>
      <c r="C5060">
        <v>512</v>
      </c>
      <c r="D5060" t="s">
        <v>304</v>
      </c>
      <c r="E5060">
        <f>YEAR(A5060)</f>
        <v>2015</v>
      </c>
      <c r="F5060" s="33">
        <f>DATE(YEAR(A5060),MONTH(A5060),1)</f>
        <v>42005.0</v>
      </c>
      <c r="G5060" t="str">
        <f>CHOOSE(WEEKDAY(A5060,2),"Mon","Tue","Wed","Thu","Fri","Sat","Sun")</f>
        <v>Thu</v>
      </c>
      <c r="H5060" t="str">
        <f>IF(WEEKDAY(A5060,2)&gt;5,"Weekend","Weekday")</f>
        <v>Weekday</v>
      </c>
      <c r="I5060" t="str">
        <f>_xlfn.IFS(B5060&lt;=5,"Night (0-5)",B5060&lt;=9,"Morning peak (6-9)",B5060&lt;=15,"Midday (10-15)",B5060&lt;=19,"Evening peak (16-19)",TRUE,"Late evening (20-23)")</f>
        <v>Night (0-5)</v>
      </c>
    </row>
    <row r="5061" spans="1:9">
      <c r="A5061" s="32">
        <v>42033</v>
      </c>
      <c r="B5061">
        <v>5</v>
      </c>
      <c r="C5061">
        <v>899</v>
      </c>
      <c r="D5061" t="s">
        <v>304</v>
      </c>
      <c r="E5061">
        <f>YEAR(A5061)</f>
        <v>2015</v>
      </c>
      <c r="F5061" s="33">
        <f>DATE(YEAR(A5061),MONTH(A5061),1)</f>
        <v>42005.0</v>
      </c>
      <c r="G5061" t="str">
        <f>CHOOSE(WEEKDAY(A5061,2),"Mon","Tue","Wed","Thu","Fri","Sat","Sun")</f>
        <v>Thu</v>
      </c>
      <c r="H5061" t="str">
        <f>IF(WEEKDAY(A5061,2)&gt;5,"Weekend","Weekday")</f>
        <v>Weekday</v>
      </c>
      <c r="I5061" t="str">
        <f>_xlfn.IFS(B5061&lt;=5,"Night (0-5)",B5061&lt;=9,"Morning peak (6-9)",B5061&lt;=15,"Midday (10-15)",B5061&lt;=19,"Evening peak (16-19)",TRUE,"Late evening (20-23)")</f>
        <v>Night (0-5)</v>
      </c>
    </row>
    <row r="5062" spans="1:9">
      <c r="A5062" s="32">
        <v>42033</v>
      </c>
      <c r="B5062">
        <v>6</v>
      </c>
      <c r="C5062">
        <v>1649</v>
      </c>
      <c r="D5062" t="s">
        <v>304</v>
      </c>
      <c r="E5062">
        <f>YEAR(A5062)</f>
        <v>2015</v>
      </c>
      <c r="F5062" s="33">
        <f>DATE(YEAR(A5062),MONTH(A5062),1)</f>
        <v>42005.0</v>
      </c>
      <c r="G5062" t="str">
        <f>CHOOSE(WEEKDAY(A5062,2),"Mon","Tue","Wed","Thu","Fri","Sat","Sun")</f>
        <v>Thu</v>
      </c>
      <c r="H5062" t="str">
        <f>IF(WEEKDAY(A5062,2)&gt;5,"Weekend","Weekday")</f>
        <v>Weekday</v>
      </c>
      <c r="I5062" t="str">
        <f>_xlfn.IFS(B5062&lt;=5,"Night (0-5)",B5062&lt;=9,"Morning peak (6-9)",B5062&lt;=15,"Midday (10-15)",B5062&lt;=19,"Evening peak (16-19)",TRUE,"Late evening (20-23)")</f>
        <v>Morning peak (6-9)</v>
      </c>
    </row>
    <row r="5063" spans="1:9">
      <c r="A5063" s="32">
        <v>42033</v>
      </c>
      <c r="B5063">
        <v>7</v>
      </c>
      <c r="C5063">
        <v>3008</v>
      </c>
      <c r="D5063" t="s">
        <v>304</v>
      </c>
      <c r="E5063">
        <f>YEAR(A5063)</f>
        <v>2015</v>
      </c>
      <c r="F5063" s="33">
        <f>DATE(YEAR(A5063),MONTH(A5063),1)</f>
        <v>42005.0</v>
      </c>
      <c r="G5063" t="str">
        <f>CHOOSE(WEEKDAY(A5063,2),"Mon","Tue","Wed","Thu","Fri","Sat","Sun")</f>
        <v>Thu</v>
      </c>
      <c r="H5063" t="str">
        <f>IF(WEEKDAY(A5063,2)&gt;5,"Weekend","Weekday")</f>
        <v>Weekday</v>
      </c>
      <c r="I5063" t="str">
        <f>_xlfn.IFS(B5063&lt;=5,"Night (0-5)",B5063&lt;=9,"Morning peak (6-9)",B5063&lt;=15,"Midday (10-15)",B5063&lt;=19,"Evening peak (16-19)",TRUE,"Late evening (20-23)")</f>
        <v>Morning peak (6-9)</v>
      </c>
    </row>
    <row r="5064" spans="1:9">
      <c r="A5064" s="32">
        <v>42033</v>
      </c>
      <c r="B5064">
        <v>8</v>
      </c>
      <c r="C5064">
        <v>3725</v>
      </c>
      <c r="D5064" t="s">
        <v>304</v>
      </c>
      <c r="E5064">
        <f>YEAR(A5064)</f>
        <v>2015</v>
      </c>
      <c r="F5064" s="33">
        <f>DATE(YEAR(A5064),MONTH(A5064),1)</f>
        <v>42005.0</v>
      </c>
      <c r="G5064" t="str">
        <f>CHOOSE(WEEKDAY(A5064,2),"Mon","Tue","Wed","Thu","Fri","Sat","Sun")</f>
        <v>Thu</v>
      </c>
      <c r="H5064" t="str">
        <f>IF(WEEKDAY(A5064,2)&gt;5,"Weekend","Weekday")</f>
        <v>Weekday</v>
      </c>
      <c r="I5064" t="str">
        <f>_xlfn.IFS(B5064&lt;=5,"Night (0-5)",B5064&lt;=9,"Morning peak (6-9)",B5064&lt;=15,"Midday (10-15)",B5064&lt;=19,"Evening peak (16-19)",TRUE,"Late evening (20-23)")</f>
        <v>Morning peak (6-9)</v>
      </c>
    </row>
    <row r="5065" spans="1:9">
      <c r="A5065" s="32">
        <v>42033</v>
      </c>
      <c r="B5065">
        <v>9</v>
      </c>
      <c r="C5065">
        <v>3460</v>
      </c>
      <c r="D5065" t="s">
        <v>304</v>
      </c>
      <c r="E5065">
        <f>YEAR(A5065)</f>
        <v>2015</v>
      </c>
      <c r="F5065" s="33">
        <f>DATE(YEAR(A5065),MONTH(A5065),1)</f>
        <v>42005.0</v>
      </c>
      <c r="G5065" t="str">
        <f>CHOOSE(WEEKDAY(A5065,2),"Mon","Tue","Wed","Thu","Fri","Sat","Sun")</f>
        <v>Thu</v>
      </c>
      <c r="H5065" t="str">
        <f>IF(WEEKDAY(A5065,2)&gt;5,"Weekend","Weekday")</f>
        <v>Weekday</v>
      </c>
      <c r="I5065" t="str">
        <f>_xlfn.IFS(B5065&lt;=5,"Night (0-5)",B5065&lt;=9,"Morning peak (6-9)",B5065&lt;=15,"Midday (10-15)",B5065&lt;=19,"Evening peak (16-19)",TRUE,"Late evening (20-23)")</f>
        <v>Morning peak (6-9)</v>
      </c>
    </row>
    <row r="5066" spans="1:9">
      <c r="A5066" s="32">
        <v>42033</v>
      </c>
      <c r="B5066">
        <v>10</v>
      </c>
      <c r="C5066">
        <v>2600</v>
      </c>
      <c r="D5066" t="s">
        <v>304</v>
      </c>
      <c r="E5066">
        <f>YEAR(A5066)</f>
        <v>2015</v>
      </c>
      <c r="F5066" s="33">
        <f>DATE(YEAR(A5066),MONTH(A5066),1)</f>
        <v>42005.0</v>
      </c>
      <c r="G5066" t="str">
        <f>CHOOSE(WEEKDAY(A5066,2),"Mon","Tue","Wed","Thu","Fri","Sat","Sun")</f>
        <v>Thu</v>
      </c>
      <c r="H5066" t="str">
        <f>IF(WEEKDAY(A5066,2)&gt;5,"Weekend","Weekday")</f>
        <v>Weekday</v>
      </c>
      <c r="I5066" t="str">
        <f>_xlfn.IFS(B5066&lt;=5,"Night (0-5)",B5066&lt;=9,"Morning peak (6-9)",B5066&lt;=15,"Midday (10-15)",B5066&lt;=19,"Evening peak (16-19)",TRUE,"Late evening (20-23)")</f>
        <v>Midday (10-15)</v>
      </c>
    </row>
    <row r="5067" spans="1:9">
      <c r="A5067" s="32">
        <v>42033</v>
      </c>
      <c r="B5067">
        <v>11</v>
      </c>
      <c r="C5067">
        <v>2229</v>
      </c>
      <c r="D5067" t="s">
        <v>304</v>
      </c>
      <c r="E5067">
        <f>YEAR(A5067)</f>
        <v>2015</v>
      </c>
      <c r="F5067" s="33">
        <f>DATE(YEAR(A5067),MONTH(A5067),1)</f>
        <v>42005.0</v>
      </c>
      <c r="G5067" t="str">
        <f>CHOOSE(WEEKDAY(A5067,2),"Mon","Tue","Wed","Thu","Fri","Sat","Sun")</f>
        <v>Thu</v>
      </c>
      <c r="H5067" t="str">
        <f>IF(WEEKDAY(A5067,2)&gt;5,"Weekend","Weekday")</f>
        <v>Weekday</v>
      </c>
      <c r="I5067" t="str">
        <f>_xlfn.IFS(B5067&lt;=5,"Night (0-5)",B5067&lt;=9,"Morning peak (6-9)",B5067&lt;=15,"Midday (10-15)",B5067&lt;=19,"Evening peak (16-19)",TRUE,"Late evening (20-23)")</f>
        <v>Midday (10-15)</v>
      </c>
    </row>
    <row r="5068" spans="1:9">
      <c r="A5068" s="32">
        <v>42033</v>
      </c>
      <c r="B5068">
        <v>12</v>
      </c>
      <c r="C5068">
        <v>2253</v>
      </c>
      <c r="D5068" t="s">
        <v>304</v>
      </c>
      <c r="E5068">
        <f>YEAR(A5068)</f>
        <v>2015</v>
      </c>
      <c r="F5068" s="33">
        <f>DATE(YEAR(A5068),MONTH(A5068),1)</f>
        <v>42005.0</v>
      </c>
      <c r="G5068" t="str">
        <f>CHOOSE(WEEKDAY(A5068,2),"Mon","Tue","Wed","Thu","Fri","Sat","Sun")</f>
        <v>Thu</v>
      </c>
      <c r="H5068" t="str">
        <f>IF(WEEKDAY(A5068,2)&gt;5,"Weekend","Weekday")</f>
        <v>Weekday</v>
      </c>
      <c r="I5068" t="str">
        <f>_xlfn.IFS(B5068&lt;=5,"Night (0-5)",B5068&lt;=9,"Morning peak (6-9)",B5068&lt;=15,"Midday (10-15)",B5068&lt;=19,"Evening peak (16-19)",TRUE,"Late evening (20-23)")</f>
        <v>Midday (10-15)</v>
      </c>
    </row>
    <row r="5069" spans="1:9">
      <c r="A5069" s="32">
        <v>42033</v>
      </c>
      <c r="B5069">
        <v>13</v>
      </c>
      <c r="C5069">
        <v>2149</v>
      </c>
      <c r="D5069" t="s">
        <v>304</v>
      </c>
      <c r="E5069">
        <f>YEAR(A5069)</f>
        <v>2015</v>
      </c>
      <c r="F5069" s="33">
        <f>DATE(YEAR(A5069),MONTH(A5069),1)</f>
        <v>42005.0</v>
      </c>
      <c r="G5069" t="str">
        <f>CHOOSE(WEEKDAY(A5069,2),"Mon","Tue","Wed","Thu","Fri","Sat","Sun")</f>
        <v>Thu</v>
      </c>
      <c r="H5069" t="str">
        <f>IF(WEEKDAY(A5069,2)&gt;5,"Weekend","Weekday")</f>
        <v>Weekday</v>
      </c>
      <c r="I5069" t="str">
        <f>_xlfn.IFS(B5069&lt;=5,"Night (0-5)",B5069&lt;=9,"Morning peak (6-9)",B5069&lt;=15,"Midday (10-15)",B5069&lt;=19,"Evening peak (16-19)",TRUE,"Late evening (20-23)")</f>
        <v>Midday (10-15)</v>
      </c>
    </row>
    <row r="5070" spans="1:9">
      <c r="A5070" s="32">
        <v>42033</v>
      </c>
      <c r="B5070">
        <v>14</v>
      </c>
      <c r="C5070">
        <v>2708</v>
      </c>
      <c r="D5070" t="s">
        <v>304</v>
      </c>
      <c r="E5070">
        <f>YEAR(A5070)</f>
        <v>2015</v>
      </c>
      <c r="F5070" s="33">
        <f>DATE(YEAR(A5070),MONTH(A5070),1)</f>
        <v>42005.0</v>
      </c>
      <c r="G5070" t="str">
        <f>CHOOSE(WEEKDAY(A5070,2),"Mon","Tue","Wed","Thu","Fri","Sat","Sun")</f>
        <v>Thu</v>
      </c>
      <c r="H5070" t="str">
        <f>IF(WEEKDAY(A5070,2)&gt;5,"Weekend","Weekday")</f>
        <v>Weekday</v>
      </c>
      <c r="I5070" t="str">
        <f>_xlfn.IFS(B5070&lt;=5,"Night (0-5)",B5070&lt;=9,"Morning peak (6-9)",B5070&lt;=15,"Midday (10-15)",B5070&lt;=19,"Evening peak (16-19)",TRUE,"Late evening (20-23)")</f>
        <v>Midday (10-15)</v>
      </c>
    </row>
    <row r="5071" spans="1:9">
      <c r="A5071" s="32">
        <v>42033</v>
      </c>
      <c r="B5071">
        <v>15</v>
      </c>
      <c r="C5071">
        <v>3164</v>
      </c>
      <c r="D5071" t="s">
        <v>304</v>
      </c>
      <c r="E5071">
        <f>YEAR(A5071)</f>
        <v>2015</v>
      </c>
      <c r="F5071" s="33">
        <f>DATE(YEAR(A5071),MONTH(A5071),1)</f>
        <v>42005.0</v>
      </c>
      <c r="G5071" t="str">
        <f>CHOOSE(WEEKDAY(A5071,2),"Mon","Tue","Wed","Thu","Fri","Sat","Sun")</f>
        <v>Thu</v>
      </c>
      <c r="H5071" t="str">
        <f>IF(WEEKDAY(A5071,2)&gt;5,"Weekend","Weekday")</f>
        <v>Weekday</v>
      </c>
      <c r="I5071" t="str">
        <f>_xlfn.IFS(B5071&lt;=5,"Night (0-5)",B5071&lt;=9,"Morning peak (6-9)",B5071&lt;=15,"Midday (10-15)",B5071&lt;=19,"Evening peak (16-19)",TRUE,"Late evening (20-23)")</f>
        <v>Midday (10-15)</v>
      </c>
    </row>
    <row r="5072" spans="1:9">
      <c r="A5072" s="32">
        <v>42033</v>
      </c>
      <c r="B5072">
        <v>16</v>
      </c>
      <c r="C5072">
        <v>3684</v>
      </c>
      <c r="D5072" t="s">
        <v>304</v>
      </c>
      <c r="E5072">
        <f>YEAR(A5072)</f>
        <v>2015</v>
      </c>
      <c r="F5072" s="33">
        <f>DATE(YEAR(A5072),MONTH(A5072),1)</f>
        <v>42005.0</v>
      </c>
      <c r="G5072" t="str">
        <f>CHOOSE(WEEKDAY(A5072,2),"Mon","Tue","Wed","Thu","Fri","Sat","Sun")</f>
        <v>Thu</v>
      </c>
      <c r="H5072" t="str">
        <f>IF(WEEKDAY(A5072,2)&gt;5,"Weekend","Weekday")</f>
        <v>Weekday</v>
      </c>
      <c r="I5072" t="str">
        <f>_xlfn.IFS(B5072&lt;=5,"Night (0-5)",B5072&lt;=9,"Morning peak (6-9)",B5072&lt;=15,"Midday (10-15)",B5072&lt;=19,"Evening peak (16-19)",TRUE,"Late evening (20-23)")</f>
        <v>Evening peak (16-19)</v>
      </c>
    </row>
    <row r="5073" spans="1:9">
      <c r="A5073" s="32">
        <v>42033</v>
      </c>
      <c r="B5073">
        <v>17</v>
      </c>
      <c r="C5073">
        <v>4824</v>
      </c>
      <c r="D5073" t="s">
        <v>304</v>
      </c>
      <c r="E5073">
        <f>YEAR(A5073)</f>
        <v>2015</v>
      </c>
      <c r="F5073" s="33">
        <f>DATE(YEAR(A5073),MONTH(A5073),1)</f>
        <v>42005.0</v>
      </c>
      <c r="G5073" t="str">
        <f>CHOOSE(WEEKDAY(A5073,2),"Mon","Tue","Wed","Thu","Fri","Sat","Sun")</f>
        <v>Thu</v>
      </c>
      <c r="H5073" t="str">
        <f>IF(WEEKDAY(A5073,2)&gt;5,"Weekend","Weekday")</f>
        <v>Weekday</v>
      </c>
      <c r="I5073" t="str">
        <f>_xlfn.IFS(B5073&lt;=5,"Night (0-5)",B5073&lt;=9,"Morning peak (6-9)",B5073&lt;=15,"Midday (10-15)",B5073&lt;=19,"Evening peak (16-19)",TRUE,"Late evening (20-23)")</f>
        <v>Evening peak (16-19)</v>
      </c>
    </row>
    <row r="5074" spans="1:9">
      <c r="A5074" s="32">
        <v>42033</v>
      </c>
      <c r="B5074">
        <v>18</v>
      </c>
      <c r="C5074">
        <v>5668</v>
      </c>
      <c r="D5074" t="s">
        <v>304</v>
      </c>
      <c r="E5074">
        <f>YEAR(A5074)</f>
        <v>2015</v>
      </c>
      <c r="F5074" s="33">
        <f>DATE(YEAR(A5074),MONTH(A5074),1)</f>
        <v>42005.0</v>
      </c>
      <c r="G5074" t="str">
        <f>CHOOSE(WEEKDAY(A5074,2),"Mon","Tue","Wed","Thu","Fri","Sat","Sun")</f>
        <v>Thu</v>
      </c>
      <c r="H5074" t="str">
        <f>IF(WEEKDAY(A5074,2)&gt;5,"Weekend","Weekday")</f>
        <v>Weekday</v>
      </c>
      <c r="I5074" t="str">
        <f>_xlfn.IFS(B5074&lt;=5,"Night (0-5)",B5074&lt;=9,"Morning peak (6-9)",B5074&lt;=15,"Midday (10-15)",B5074&lt;=19,"Evening peak (16-19)",TRUE,"Late evening (20-23)")</f>
        <v>Evening peak (16-19)</v>
      </c>
    </row>
    <row r="5075" spans="1:9">
      <c r="A5075" s="32">
        <v>42033</v>
      </c>
      <c r="B5075">
        <v>19</v>
      </c>
      <c r="C5075">
        <v>5620</v>
      </c>
      <c r="D5075" t="s">
        <v>304</v>
      </c>
      <c r="E5075">
        <f>YEAR(A5075)</f>
        <v>2015</v>
      </c>
      <c r="F5075" s="33">
        <f>DATE(YEAR(A5075),MONTH(A5075),1)</f>
        <v>42005.0</v>
      </c>
      <c r="G5075" t="str">
        <f>CHOOSE(WEEKDAY(A5075,2),"Mon","Tue","Wed","Thu","Fri","Sat","Sun")</f>
        <v>Thu</v>
      </c>
      <c r="H5075" t="str">
        <f>IF(WEEKDAY(A5075,2)&gt;5,"Weekend","Weekday")</f>
        <v>Weekday</v>
      </c>
      <c r="I5075" t="str">
        <f>_xlfn.IFS(B5075&lt;=5,"Night (0-5)",B5075&lt;=9,"Morning peak (6-9)",B5075&lt;=15,"Midday (10-15)",B5075&lt;=19,"Evening peak (16-19)",TRUE,"Late evening (20-23)")</f>
        <v>Evening peak (16-19)</v>
      </c>
    </row>
    <row r="5076" spans="1:9">
      <c r="A5076" s="32">
        <v>42033</v>
      </c>
      <c r="B5076">
        <v>20</v>
      </c>
      <c r="C5076">
        <v>5393</v>
      </c>
      <c r="D5076" t="s">
        <v>304</v>
      </c>
      <c r="E5076">
        <f>YEAR(A5076)</f>
        <v>2015</v>
      </c>
      <c r="F5076" s="33">
        <f>DATE(YEAR(A5076),MONTH(A5076),1)</f>
        <v>42005.0</v>
      </c>
      <c r="G5076" t="str">
        <f>CHOOSE(WEEKDAY(A5076,2),"Mon","Tue","Wed","Thu","Fri","Sat","Sun")</f>
        <v>Thu</v>
      </c>
      <c r="H5076" t="str">
        <f>IF(WEEKDAY(A5076,2)&gt;5,"Weekend","Weekday")</f>
        <v>Weekday</v>
      </c>
      <c r="I5076" t="str">
        <f>_xlfn.IFS(B5076&lt;=5,"Night (0-5)",B5076&lt;=9,"Morning peak (6-9)",B5076&lt;=15,"Midday (10-15)",B5076&lt;=19,"Evening peak (16-19)",TRUE,"Late evening (20-23)")</f>
        <v>Late evening (20-23)</v>
      </c>
    </row>
    <row r="5077" spans="1:9">
      <c r="A5077" s="32">
        <v>42033</v>
      </c>
      <c r="B5077">
        <v>21</v>
      </c>
      <c r="C5077">
        <v>5180</v>
      </c>
      <c r="D5077" t="s">
        <v>304</v>
      </c>
      <c r="E5077">
        <f>YEAR(A5077)</f>
        <v>2015</v>
      </c>
      <c r="F5077" s="33">
        <f>DATE(YEAR(A5077),MONTH(A5077),1)</f>
        <v>42005.0</v>
      </c>
      <c r="G5077" t="str">
        <f>CHOOSE(WEEKDAY(A5077,2),"Mon","Tue","Wed","Thu","Fri","Sat","Sun")</f>
        <v>Thu</v>
      </c>
      <c r="H5077" t="str">
        <f>IF(WEEKDAY(A5077,2)&gt;5,"Weekend","Weekday")</f>
        <v>Weekday</v>
      </c>
      <c r="I5077" t="str">
        <f>_xlfn.IFS(B5077&lt;=5,"Night (0-5)",B5077&lt;=9,"Morning peak (6-9)",B5077&lt;=15,"Midday (10-15)",B5077&lt;=19,"Evening peak (16-19)",TRUE,"Late evening (20-23)")</f>
        <v>Late evening (20-23)</v>
      </c>
    </row>
    <row r="5078" spans="1:9">
      <c r="A5078" s="32">
        <v>42033</v>
      </c>
      <c r="B5078">
        <v>22</v>
      </c>
      <c r="C5078">
        <v>4738</v>
      </c>
      <c r="D5078" t="s">
        <v>304</v>
      </c>
      <c r="E5078">
        <f>YEAR(A5078)</f>
        <v>2015</v>
      </c>
      <c r="F5078" s="33">
        <f>DATE(YEAR(A5078),MONTH(A5078),1)</f>
        <v>42005.0</v>
      </c>
      <c r="G5078" t="str">
        <f>CHOOSE(WEEKDAY(A5078,2),"Mon","Tue","Wed","Thu","Fri","Sat","Sun")</f>
        <v>Thu</v>
      </c>
      <c r="H5078" t="str">
        <f>IF(WEEKDAY(A5078,2)&gt;5,"Weekend","Weekday")</f>
        <v>Weekday</v>
      </c>
      <c r="I5078" t="str">
        <f>_xlfn.IFS(B5078&lt;=5,"Night (0-5)",B5078&lt;=9,"Morning peak (6-9)",B5078&lt;=15,"Midday (10-15)",B5078&lt;=19,"Evening peak (16-19)",TRUE,"Late evening (20-23)")</f>
        <v>Late evening (20-23)</v>
      </c>
    </row>
    <row r="5079" spans="1:9">
      <c r="A5079" s="32">
        <v>42033</v>
      </c>
      <c r="B5079">
        <v>23</v>
      </c>
      <c r="C5079">
        <v>3919</v>
      </c>
      <c r="D5079" t="s">
        <v>304</v>
      </c>
      <c r="E5079">
        <f>YEAR(A5079)</f>
        <v>2015</v>
      </c>
      <c r="F5079" s="33">
        <f>DATE(YEAR(A5079),MONTH(A5079),1)</f>
        <v>42005.0</v>
      </c>
      <c r="G5079" t="str">
        <f>CHOOSE(WEEKDAY(A5079,2),"Mon","Tue","Wed","Thu","Fri","Sat","Sun")</f>
        <v>Thu</v>
      </c>
      <c r="H5079" t="str">
        <f>IF(WEEKDAY(A5079,2)&gt;5,"Weekend","Weekday")</f>
        <v>Weekday</v>
      </c>
      <c r="I5079" t="str">
        <f>_xlfn.IFS(B5079&lt;=5,"Night (0-5)",B5079&lt;=9,"Morning peak (6-9)",B5079&lt;=15,"Midday (10-15)",B5079&lt;=19,"Evening peak (16-19)",TRUE,"Late evening (20-23)")</f>
        <v>Late evening (20-23)</v>
      </c>
    </row>
    <row r="5080" spans="1:9">
      <c r="A5080" s="32">
        <v>42034</v>
      </c>
      <c r="B5080">
        <v>0</v>
      </c>
      <c r="C5080">
        <v>2551</v>
      </c>
      <c r="D5080" t="s">
        <v>304</v>
      </c>
      <c r="E5080">
        <f>YEAR(A5080)</f>
        <v>2015</v>
      </c>
      <c r="F5080" s="33">
        <f>DATE(YEAR(A5080),MONTH(A5080),1)</f>
        <v>42005.0</v>
      </c>
      <c r="G5080" t="str">
        <f>CHOOSE(WEEKDAY(A5080,2),"Mon","Tue","Wed","Thu","Fri","Sat","Sun")</f>
        <v>Fri</v>
      </c>
      <c r="H5080" t="str">
        <f>IF(WEEKDAY(A5080,2)&gt;5,"Weekend","Weekday")</f>
        <v>Weekday</v>
      </c>
      <c r="I5080" t="str">
        <f>_xlfn.IFS(B5080&lt;=5,"Night (0-5)",B5080&lt;=9,"Morning peak (6-9)",B5080&lt;=15,"Midday (10-15)",B5080&lt;=19,"Evening peak (16-19)",TRUE,"Late evening (20-23)")</f>
        <v>Night (0-5)</v>
      </c>
    </row>
    <row r="5081" spans="1:9">
      <c r="A5081" s="32">
        <v>42034</v>
      </c>
      <c r="B5081">
        <v>1</v>
      </c>
      <c r="C5081">
        <v>1263</v>
      </c>
      <c r="D5081" t="s">
        <v>304</v>
      </c>
      <c r="E5081">
        <f>YEAR(A5081)</f>
        <v>2015</v>
      </c>
      <c r="F5081" s="33">
        <f>DATE(YEAR(A5081),MONTH(A5081),1)</f>
        <v>42005.0</v>
      </c>
      <c r="G5081" t="str">
        <f>CHOOSE(WEEKDAY(A5081,2),"Mon","Tue","Wed","Thu","Fri","Sat","Sun")</f>
        <v>Fri</v>
      </c>
      <c r="H5081" t="str">
        <f>IF(WEEKDAY(A5081,2)&gt;5,"Weekend","Weekday")</f>
        <v>Weekday</v>
      </c>
      <c r="I5081" t="str">
        <f>_xlfn.IFS(B5081&lt;=5,"Night (0-5)",B5081&lt;=9,"Morning peak (6-9)",B5081&lt;=15,"Midday (10-15)",B5081&lt;=19,"Evening peak (16-19)",TRUE,"Late evening (20-23)")</f>
        <v>Night (0-5)</v>
      </c>
    </row>
    <row r="5082" spans="1:9">
      <c r="A5082" s="32">
        <v>42034</v>
      </c>
      <c r="B5082">
        <v>2</v>
      </c>
      <c r="C5082">
        <v>800</v>
      </c>
      <c r="D5082" t="s">
        <v>304</v>
      </c>
      <c r="E5082">
        <f>YEAR(A5082)</f>
        <v>2015</v>
      </c>
      <c r="F5082" s="33">
        <f>DATE(YEAR(A5082),MONTH(A5082),1)</f>
        <v>42005.0</v>
      </c>
      <c r="G5082" t="str">
        <f>CHOOSE(WEEKDAY(A5082,2),"Mon","Tue","Wed","Thu","Fri","Sat","Sun")</f>
        <v>Fri</v>
      </c>
      <c r="H5082" t="str">
        <f>IF(WEEKDAY(A5082,2)&gt;5,"Weekend","Weekday")</f>
        <v>Weekday</v>
      </c>
      <c r="I5082" t="str">
        <f>_xlfn.IFS(B5082&lt;=5,"Night (0-5)",B5082&lt;=9,"Morning peak (6-9)",B5082&lt;=15,"Midday (10-15)",B5082&lt;=19,"Evening peak (16-19)",TRUE,"Late evening (20-23)")</f>
        <v>Night (0-5)</v>
      </c>
    </row>
    <row r="5083" spans="1:9">
      <c r="A5083" s="32">
        <v>42034</v>
      </c>
      <c r="B5083">
        <v>3</v>
      </c>
      <c r="C5083">
        <v>467</v>
      </c>
      <c r="D5083" t="s">
        <v>304</v>
      </c>
      <c r="E5083">
        <f>YEAR(A5083)</f>
        <v>2015</v>
      </c>
      <c r="F5083" s="33">
        <f>DATE(YEAR(A5083),MONTH(A5083),1)</f>
        <v>42005.0</v>
      </c>
      <c r="G5083" t="str">
        <f>CHOOSE(WEEKDAY(A5083,2),"Mon","Tue","Wed","Thu","Fri","Sat","Sun")</f>
        <v>Fri</v>
      </c>
      <c r="H5083" t="str">
        <f>IF(WEEKDAY(A5083,2)&gt;5,"Weekend","Weekday")</f>
        <v>Weekday</v>
      </c>
      <c r="I5083" t="str">
        <f>_xlfn.IFS(B5083&lt;=5,"Night (0-5)",B5083&lt;=9,"Morning peak (6-9)",B5083&lt;=15,"Midday (10-15)",B5083&lt;=19,"Evening peak (16-19)",TRUE,"Late evening (20-23)")</f>
        <v>Night (0-5)</v>
      </c>
    </row>
    <row r="5084" spans="1:9">
      <c r="A5084" s="32">
        <v>42034</v>
      </c>
      <c r="B5084">
        <v>4</v>
      </c>
      <c r="C5084">
        <v>635</v>
      </c>
      <c r="D5084" t="s">
        <v>304</v>
      </c>
      <c r="E5084">
        <f>YEAR(A5084)</f>
        <v>2015</v>
      </c>
      <c r="F5084" s="33">
        <f>DATE(YEAR(A5084),MONTH(A5084),1)</f>
        <v>42005.0</v>
      </c>
      <c r="G5084" t="str">
        <f>CHOOSE(WEEKDAY(A5084,2),"Mon","Tue","Wed","Thu","Fri","Sat","Sun")</f>
        <v>Fri</v>
      </c>
      <c r="H5084" t="str">
        <f>IF(WEEKDAY(A5084,2)&gt;5,"Weekend","Weekday")</f>
        <v>Weekday</v>
      </c>
      <c r="I5084" t="str">
        <f>_xlfn.IFS(B5084&lt;=5,"Night (0-5)",B5084&lt;=9,"Morning peak (6-9)",B5084&lt;=15,"Midday (10-15)",B5084&lt;=19,"Evening peak (16-19)",TRUE,"Late evening (20-23)")</f>
        <v>Night (0-5)</v>
      </c>
    </row>
    <row r="5085" spans="1:9">
      <c r="A5085" s="32">
        <v>42034</v>
      </c>
      <c r="B5085">
        <v>5</v>
      </c>
      <c r="C5085">
        <v>944</v>
      </c>
      <c r="D5085" t="s">
        <v>304</v>
      </c>
      <c r="E5085">
        <f>YEAR(A5085)</f>
        <v>2015</v>
      </c>
      <c r="F5085" s="33">
        <f>DATE(YEAR(A5085),MONTH(A5085),1)</f>
        <v>42005.0</v>
      </c>
      <c r="G5085" t="str">
        <f>CHOOSE(WEEKDAY(A5085,2),"Mon","Tue","Wed","Thu","Fri","Sat","Sun")</f>
        <v>Fri</v>
      </c>
      <c r="H5085" t="str">
        <f>IF(WEEKDAY(A5085,2)&gt;5,"Weekend","Weekday")</f>
        <v>Weekday</v>
      </c>
      <c r="I5085" t="str">
        <f>_xlfn.IFS(B5085&lt;=5,"Night (0-5)",B5085&lt;=9,"Morning peak (6-9)",B5085&lt;=15,"Midday (10-15)",B5085&lt;=19,"Evening peak (16-19)",TRUE,"Late evening (20-23)")</f>
        <v>Night (0-5)</v>
      </c>
    </row>
    <row r="5086" spans="1:9">
      <c r="A5086" s="32">
        <v>42034</v>
      </c>
      <c r="B5086">
        <v>6</v>
      </c>
      <c r="C5086">
        <v>1660</v>
      </c>
      <c r="D5086" t="s">
        <v>304</v>
      </c>
      <c r="E5086">
        <f>YEAR(A5086)</f>
        <v>2015</v>
      </c>
      <c r="F5086" s="33">
        <f>DATE(YEAR(A5086),MONTH(A5086),1)</f>
        <v>42005.0</v>
      </c>
      <c r="G5086" t="str">
        <f>CHOOSE(WEEKDAY(A5086,2),"Mon","Tue","Wed","Thu","Fri","Sat","Sun")</f>
        <v>Fri</v>
      </c>
      <c r="H5086" t="str">
        <f>IF(WEEKDAY(A5086,2)&gt;5,"Weekend","Weekday")</f>
        <v>Weekday</v>
      </c>
      <c r="I5086" t="str">
        <f>_xlfn.IFS(B5086&lt;=5,"Night (0-5)",B5086&lt;=9,"Morning peak (6-9)",B5086&lt;=15,"Midday (10-15)",B5086&lt;=19,"Evening peak (16-19)",TRUE,"Late evening (20-23)")</f>
        <v>Morning peak (6-9)</v>
      </c>
    </row>
    <row r="5087" spans="1:9">
      <c r="A5087" s="32">
        <v>42034</v>
      </c>
      <c r="B5087">
        <v>7</v>
      </c>
      <c r="C5087">
        <v>3170</v>
      </c>
      <c r="D5087" t="s">
        <v>304</v>
      </c>
      <c r="E5087">
        <f>YEAR(A5087)</f>
        <v>2015</v>
      </c>
      <c r="F5087" s="33">
        <f>DATE(YEAR(A5087),MONTH(A5087),1)</f>
        <v>42005.0</v>
      </c>
      <c r="G5087" t="str">
        <f>CHOOSE(WEEKDAY(A5087,2),"Mon","Tue","Wed","Thu","Fri","Sat","Sun")</f>
        <v>Fri</v>
      </c>
      <c r="H5087" t="str">
        <f>IF(WEEKDAY(A5087,2)&gt;5,"Weekend","Weekday")</f>
        <v>Weekday</v>
      </c>
      <c r="I5087" t="str">
        <f>_xlfn.IFS(B5087&lt;=5,"Night (0-5)",B5087&lt;=9,"Morning peak (6-9)",B5087&lt;=15,"Midday (10-15)",B5087&lt;=19,"Evening peak (16-19)",TRUE,"Late evening (20-23)")</f>
        <v>Morning peak (6-9)</v>
      </c>
    </row>
    <row r="5088" spans="1:9">
      <c r="A5088" s="32">
        <v>42034</v>
      </c>
      <c r="B5088">
        <v>8</v>
      </c>
      <c r="C5088">
        <v>4145</v>
      </c>
      <c r="D5088" t="s">
        <v>304</v>
      </c>
      <c r="E5088">
        <f>YEAR(A5088)</f>
        <v>2015</v>
      </c>
      <c r="F5088" s="33">
        <f>DATE(YEAR(A5088),MONTH(A5088),1)</f>
        <v>42005.0</v>
      </c>
      <c r="G5088" t="str">
        <f>CHOOSE(WEEKDAY(A5088,2),"Mon","Tue","Wed","Thu","Fri","Sat","Sun")</f>
        <v>Fri</v>
      </c>
      <c r="H5088" t="str">
        <f>IF(WEEKDAY(A5088,2)&gt;5,"Weekend","Weekday")</f>
        <v>Weekday</v>
      </c>
      <c r="I5088" t="str">
        <f>_xlfn.IFS(B5088&lt;=5,"Night (0-5)",B5088&lt;=9,"Morning peak (6-9)",B5088&lt;=15,"Midday (10-15)",B5088&lt;=19,"Evening peak (16-19)",TRUE,"Late evening (20-23)")</f>
        <v>Morning peak (6-9)</v>
      </c>
    </row>
    <row r="5089" spans="1:9">
      <c r="A5089" s="32">
        <v>42034</v>
      </c>
      <c r="B5089">
        <v>9</v>
      </c>
      <c r="C5089">
        <v>3830</v>
      </c>
      <c r="D5089" t="s">
        <v>304</v>
      </c>
      <c r="E5089">
        <f>YEAR(A5089)</f>
        <v>2015</v>
      </c>
      <c r="F5089" s="33">
        <f>DATE(YEAR(A5089),MONTH(A5089),1)</f>
        <v>42005.0</v>
      </c>
      <c r="G5089" t="str">
        <f>CHOOSE(WEEKDAY(A5089,2),"Mon","Tue","Wed","Thu","Fri","Sat","Sun")</f>
        <v>Fri</v>
      </c>
      <c r="H5089" t="str">
        <f>IF(WEEKDAY(A5089,2)&gt;5,"Weekend","Weekday")</f>
        <v>Weekday</v>
      </c>
      <c r="I5089" t="str">
        <f>_xlfn.IFS(B5089&lt;=5,"Night (0-5)",B5089&lt;=9,"Morning peak (6-9)",B5089&lt;=15,"Midday (10-15)",B5089&lt;=19,"Evening peak (16-19)",TRUE,"Late evening (20-23)")</f>
        <v>Morning peak (6-9)</v>
      </c>
    </row>
    <row r="5090" spans="1:9">
      <c r="A5090" s="32">
        <v>42034</v>
      </c>
      <c r="B5090">
        <v>10</v>
      </c>
      <c r="C5090">
        <v>2853</v>
      </c>
      <c r="D5090" t="s">
        <v>304</v>
      </c>
      <c r="E5090">
        <f>YEAR(A5090)</f>
        <v>2015</v>
      </c>
      <c r="F5090" s="33">
        <f>DATE(YEAR(A5090),MONTH(A5090),1)</f>
        <v>42005.0</v>
      </c>
      <c r="G5090" t="str">
        <f>CHOOSE(WEEKDAY(A5090,2),"Mon","Tue","Wed","Thu","Fri","Sat","Sun")</f>
        <v>Fri</v>
      </c>
      <c r="H5090" t="str">
        <f>IF(WEEKDAY(A5090,2)&gt;5,"Weekend","Weekday")</f>
        <v>Weekday</v>
      </c>
      <c r="I5090" t="str">
        <f>_xlfn.IFS(B5090&lt;=5,"Night (0-5)",B5090&lt;=9,"Morning peak (6-9)",B5090&lt;=15,"Midday (10-15)",B5090&lt;=19,"Evening peak (16-19)",TRUE,"Late evening (20-23)")</f>
        <v>Midday (10-15)</v>
      </c>
    </row>
    <row r="5091" spans="1:9">
      <c r="A5091" s="32">
        <v>42034</v>
      </c>
      <c r="B5091">
        <v>11</v>
      </c>
      <c r="C5091">
        <v>2590</v>
      </c>
      <c r="D5091" t="s">
        <v>304</v>
      </c>
      <c r="E5091">
        <f>YEAR(A5091)</f>
        <v>2015</v>
      </c>
      <c r="F5091" s="33">
        <f>DATE(YEAR(A5091),MONTH(A5091),1)</f>
        <v>42005.0</v>
      </c>
      <c r="G5091" t="str">
        <f>CHOOSE(WEEKDAY(A5091,2),"Mon","Tue","Wed","Thu","Fri","Sat","Sun")</f>
        <v>Fri</v>
      </c>
      <c r="H5091" t="str">
        <f>IF(WEEKDAY(A5091,2)&gt;5,"Weekend","Weekday")</f>
        <v>Weekday</v>
      </c>
      <c r="I5091" t="str">
        <f>_xlfn.IFS(B5091&lt;=5,"Night (0-5)",B5091&lt;=9,"Morning peak (6-9)",B5091&lt;=15,"Midday (10-15)",B5091&lt;=19,"Evening peak (16-19)",TRUE,"Late evening (20-23)")</f>
        <v>Midday (10-15)</v>
      </c>
    </row>
    <row r="5092" spans="1:9">
      <c r="A5092" s="32">
        <v>42034</v>
      </c>
      <c r="B5092">
        <v>12</v>
      </c>
      <c r="C5092">
        <v>2520</v>
      </c>
      <c r="D5092" t="s">
        <v>304</v>
      </c>
      <c r="E5092">
        <f>YEAR(A5092)</f>
        <v>2015</v>
      </c>
      <c r="F5092" s="33">
        <f>DATE(YEAR(A5092),MONTH(A5092),1)</f>
        <v>42005.0</v>
      </c>
      <c r="G5092" t="str">
        <f>CHOOSE(WEEKDAY(A5092,2),"Mon","Tue","Wed","Thu","Fri","Sat","Sun")</f>
        <v>Fri</v>
      </c>
      <c r="H5092" t="str">
        <f>IF(WEEKDAY(A5092,2)&gt;5,"Weekend","Weekday")</f>
        <v>Weekday</v>
      </c>
      <c r="I5092" t="str">
        <f>_xlfn.IFS(B5092&lt;=5,"Night (0-5)",B5092&lt;=9,"Morning peak (6-9)",B5092&lt;=15,"Midday (10-15)",B5092&lt;=19,"Evening peak (16-19)",TRUE,"Late evening (20-23)")</f>
        <v>Midday (10-15)</v>
      </c>
    </row>
    <row r="5093" spans="1:9">
      <c r="A5093" s="32">
        <v>42034</v>
      </c>
      <c r="B5093">
        <v>13</v>
      </c>
      <c r="C5093">
        <v>2449</v>
      </c>
      <c r="D5093" t="s">
        <v>304</v>
      </c>
      <c r="E5093">
        <f>YEAR(A5093)</f>
        <v>2015</v>
      </c>
      <c r="F5093" s="33">
        <f>DATE(YEAR(A5093),MONTH(A5093),1)</f>
        <v>42005.0</v>
      </c>
      <c r="G5093" t="str">
        <f>CHOOSE(WEEKDAY(A5093,2),"Mon","Tue","Wed","Thu","Fri","Sat","Sun")</f>
        <v>Fri</v>
      </c>
      <c r="H5093" t="str">
        <f>IF(WEEKDAY(A5093,2)&gt;5,"Weekend","Weekday")</f>
        <v>Weekday</v>
      </c>
      <c r="I5093" t="str">
        <f>_xlfn.IFS(B5093&lt;=5,"Night (0-5)",B5093&lt;=9,"Morning peak (6-9)",B5093&lt;=15,"Midday (10-15)",B5093&lt;=19,"Evening peak (16-19)",TRUE,"Late evening (20-23)")</f>
        <v>Midday (10-15)</v>
      </c>
    </row>
    <row r="5094" spans="1:9">
      <c r="A5094" s="32">
        <v>42034</v>
      </c>
      <c r="B5094">
        <v>14</v>
      </c>
      <c r="C5094">
        <v>2868</v>
      </c>
      <c r="D5094" t="s">
        <v>304</v>
      </c>
      <c r="E5094">
        <f>YEAR(A5094)</f>
        <v>2015</v>
      </c>
      <c r="F5094" s="33">
        <f>DATE(YEAR(A5094),MONTH(A5094),1)</f>
        <v>42005.0</v>
      </c>
      <c r="G5094" t="str">
        <f>CHOOSE(WEEKDAY(A5094,2),"Mon","Tue","Wed","Thu","Fri","Sat","Sun")</f>
        <v>Fri</v>
      </c>
      <c r="H5094" t="str">
        <f>IF(WEEKDAY(A5094,2)&gt;5,"Weekend","Weekday")</f>
        <v>Weekday</v>
      </c>
      <c r="I5094" t="str">
        <f>_xlfn.IFS(B5094&lt;=5,"Night (0-5)",B5094&lt;=9,"Morning peak (6-9)",B5094&lt;=15,"Midday (10-15)",B5094&lt;=19,"Evening peak (16-19)",TRUE,"Late evening (20-23)")</f>
        <v>Midday (10-15)</v>
      </c>
    </row>
    <row r="5095" spans="1:9">
      <c r="A5095" s="32">
        <v>42034</v>
      </c>
      <c r="B5095">
        <v>15</v>
      </c>
      <c r="C5095">
        <v>3337</v>
      </c>
      <c r="D5095" t="s">
        <v>304</v>
      </c>
      <c r="E5095">
        <f>YEAR(A5095)</f>
        <v>2015</v>
      </c>
      <c r="F5095" s="33">
        <f>DATE(YEAR(A5095),MONTH(A5095),1)</f>
        <v>42005.0</v>
      </c>
      <c r="G5095" t="str">
        <f>CHOOSE(WEEKDAY(A5095,2),"Mon","Tue","Wed","Thu","Fri","Sat","Sun")</f>
        <v>Fri</v>
      </c>
      <c r="H5095" t="str">
        <f>IF(WEEKDAY(A5095,2)&gt;5,"Weekend","Weekday")</f>
        <v>Weekday</v>
      </c>
      <c r="I5095" t="str">
        <f>_xlfn.IFS(B5095&lt;=5,"Night (0-5)",B5095&lt;=9,"Morning peak (6-9)",B5095&lt;=15,"Midday (10-15)",B5095&lt;=19,"Evening peak (16-19)",TRUE,"Late evening (20-23)")</f>
        <v>Midday (10-15)</v>
      </c>
    </row>
    <row r="5096" spans="1:9">
      <c r="A5096" s="32">
        <v>42034</v>
      </c>
      <c r="B5096">
        <v>16</v>
      </c>
      <c r="C5096">
        <v>3892</v>
      </c>
      <c r="D5096" t="s">
        <v>304</v>
      </c>
      <c r="E5096">
        <f>YEAR(A5096)</f>
        <v>2015</v>
      </c>
      <c r="F5096" s="33">
        <f>DATE(YEAR(A5096),MONTH(A5096),1)</f>
        <v>42005.0</v>
      </c>
      <c r="G5096" t="str">
        <f>CHOOSE(WEEKDAY(A5096,2),"Mon","Tue","Wed","Thu","Fri","Sat","Sun")</f>
        <v>Fri</v>
      </c>
      <c r="H5096" t="str">
        <f>IF(WEEKDAY(A5096,2)&gt;5,"Weekend","Weekday")</f>
        <v>Weekday</v>
      </c>
      <c r="I5096" t="str">
        <f>_xlfn.IFS(B5096&lt;=5,"Night (0-5)",B5096&lt;=9,"Morning peak (6-9)",B5096&lt;=15,"Midday (10-15)",B5096&lt;=19,"Evening peak (16-19)",TRUE,"Late evening (20-23)")</f>
        <v>Evening peak (16-19)</v>
      </c>
    </row>
    <row r="5097" spans="1:9">
      <c r="A5097" s="32">
        <v>42034</v>
      </c>
      <c r="B5097">
        <v>17</v>
      </c>
      <c r="C5097">
        <v>4958</v>
      </c>
      <c r="D5097" t="s">
        <v>304</v>
      </c>
      <c r="E5097">
        <f>YEAR(A5097)</f>
        <v>2015</v>
      </c>
      <c r="F5097" s="33">
        <f>DATE(YEAR(A5097),MONTH(A5097),1)</f>
        <v>42005.0</v>
      </c>
      <c r="G5097" t="str">
        <f>CHOOSE(WEEKDAY(A5097,2),"Mon","Tue","Wed","Thu","Fri","Sat","Sun")</f>
        <v>Fri</v>
      </c>
      <c r="H5097" t="str">
        <f>IF(WEEKDAY(A5097,2)&gt;5,"Weekend","Weekday")</f>
        <v>Weekday</v>
      </c>
      <c r="I5097" t="str">
        <f>_xlfn.IFS(B5097&lt;=5,"Night (0-5)",B5097&lt;=9,"Morning peak (6-9)",B5097&lt;=15,"Midday (10-15)",B5097&lt;=19,"Evening peak (16-19)",TRUE,"Late evening (20-23)")</f>
        <v>Evening peak (16-19)</v>
      </c>
    </row>
    <row r="5098" spans="1:9">
      <c r="A5098" s="32">
        <v>42034</v>
      </c>
      <c r="B5098">
        <v>18</v>
      </c>
      <c r="C5098">
        <v>6322</v>
      </c>
      <c r="D5098" t="s">
        <v>304</v>
      </c>
      <c r="E5098">
        <f>YEAR(A5098)</f>
        <v>2015</v>
      </c>
      <c r="F5098" s="33">
        <f>DATE(YEAR(A5098),MONTH(A5098),1)</f>
        <v>42005.0</v>
      </c>
      <c r="G5098" t="str">
        <f>CHOOSE(WEEKDAY(A5098,2),"Mon","Tue","Wed","Thu","Fri","Sat","Sun")</f>
        <v>Fri</v>
      </c>
      <c r="H5098" t="str">
        <f>IF(WEEKDAY(A5098,2)&gt;5,"Weekend","Weekday")</f>
        <v>Weekday</v>
      </c>
      <c r="I5098" t="str">
        <f>_xlfn.IFS(B5098&lt;=5,"Night (0-5)",B5098&lt;=9,"Morning peak (6-9)",B5098&lt;=15,"Midday (10-15)",B5098&lt;=19,"Evening peak (16-19)",TRUE,"Late evening (20-23)")</f>
        <v>Evening peak (16-19)</v>
      </c>
    </row>
    <row r="5099" spans="1:9">
      <c r="A5099" s="32">
        <v>42034</v>
      </c>
      <c r="B5099">
        <v>19</v>
      </c>
      <c r="C5099">
        <v>7247</v>
      </c>
      <c r="D5099" t="s">
        <v>304</v>
      </c>
      <c r="E5099">
        <f>YEAR(A5099)</f>
        <v>2015</v>
      </c>
      <c r="F5099" s="33">
        <f>DATE(YEAR(A5099),MONTH(A5099),1)</f>
        <v>42005.0</v>
      </c>
      <c r="G5099" t="str">
        <f>CHOOSE(WEEKDAY(A5099,2),"Mon","Tue","Wed","Thu","Fri","Sat","Sun")</f>
        <v>Fri</v>
      </c>
      <c r="H5099" t="str">
        <f>IF(WEEKDAY(A5099,2)&gt;5,"Weekend","Weekday")</f>
        <v>Weekday</v>
      </c>
      <c r="I5099" t="str">
        <f>_xlfn.IFS(B5099&lt;=5,"Night (0-5)",B5099&lt;=9,"Morning peak (6-9)",B5099&lt;=15,"Midday (10-15)",B5099&lt;=19,"Evening peak (16-19)",TRUE,"Late evening (20-23)")</f>
        <v>Evening peak (16-19)</v>
      </c>
    </row>
    <row r="5100" spans="1:9">
      <c r="A5100" s="32">
        <v>42034</v>
      </c>
      <c r="B5100">
        <v>20</v>
      </c>
      <c r="C5100">
        <v>7117</v>
      </c>
      <c r="D5100" t="s">
        <v>304</v>
      </c>
      <c r="E5100">
        <f>YEAR(A5100)</f>
        <v>2015</v>
      </c>
      <c r="F5100" s="33">
        <f>DATE(YEAR(A5100),MONTH(A5100),1)</f>
        <v>42005.0</v>
      </c>
      <c r="G5100" t="str">
        <f>CHOOSE(WEEKDAY(A5100,2),"Mon","Tue","Wed","Thu","Fri","Sat","Sun")</f>
        <v>Fri</v>
      </c>
      <c r="H5100" t="str">
        <f>IF(WEEKDAY(A5100,2)&gt;5,"Weekend","Weekday")</f>
        <v>Weekday</v>
      </c>
      <c r="I5100" t="str">
        <f>_xlfn.IFS(B5100&lt;=5,"Night (0-5)",B5100&lt;=9,"Morning peak (6-9)",B5100&lt;=15,"Midday (10-15)",B5100&lt;=19,"Evening peak (16-19)",TRUE,"Late evening (20-23)")</f>
        <v>Late evening (20-23)</v>
      </c>
    </row>
    <row r="5101" spans="1:9">
      <c r="A5101" s="32">
        <v>42034</v>
      </c>
      <c r="B5101">
        <v>21</v>
      </c>
      <c r="C5101">
        <v>6367</v>
      </c>
      <c r="D5101" t="s">
        <v>304</v>
      </c>
      <c r="E5101">
        <f>YEAR(A5101)</f>
        <v>2015</v>
      </c>
      <c r="F5101" s="33">
        <f>DATE(YEAR(A5101),MONTH(A5101),1)</f>
        <v>42005.0</v>
      </c>
      <c r="G5101" t="str">
        <f>CHOOSE(WEEKDAY(A5101,2),"Mon","Tue","Wed","Thu","Fri","Sat","Sun")</f>
        <v>Fri</v>
      </c>
      <c r="H5101" t="str">
        <f>IF(WEEKDAY(A5101,2)&gt;5,"Weekend","Weekday")</f>
        <v>Weekday</v>
      </c>
      <c r="I5101" t="str">
        <f>_xlfn.IFS(B5101&lt;=5,"Night (0-5)",B5101&lt;=9,"Morning peak (6-9)",B5101&lt;=15,"Midday (10-15)",B5101&lt;=19,"Evening peak (16-19)",TRUE,"Late evening (20-23)")</f>
        <v>Late evening (20-23)</v>
      </c>
    </row>
    <row r="5102" spans="1:9">
      <c r="A5102" s="32">
        <v>42034</v>
      </c>
      <c r="B5102">
        <v>22</v>
      </c>
      <c r="C5102">
        <v>6858</v>
      </c>
      <c r="D5102" t="s">
        <v>304</v>
      </c>
      <c r="E5102">
        <f>YEAR(A5102)</f>
        <v>2015</v>
      </c>
      <c r="F5102" s="33">
        <f>DATE(YEAR(A5102),MONTH(A5102),1)</f>
        <v>42005.0</v>
      </c>
      <c r="G5102" t="str">
        <f>CHOOSE(WEEKDAY(A5102,2),"Mon","Tue","Wed","Thu","Fri","Sat","Sun")</f>
        <v>Fri</v>
      </c>
      <c r="H5102" t="str">
        <f>IF(WEEKDAY(A5102,2)&gt;5,"Weekend","Weekday")</f>
        <v>Weekday</v>
      </c>
      <c r="I5102" t="str">
        <f>_xlfn.IFS(B5102&lt;=5,"Night (0-5)",B5102&lt;=9,"Morning peak (6-9)",B5102&lt;=15,"Midday (10-15)",B5102&lt;=19,"Evening peak (16-19)",TRUE,"Late evening (20-23)")</f>
        <v>Late evening (20-23)</v>
      </c>
    </row>
    <row r="5103" spans="1:9">
      <c r="A5103" s="32">
        <v>42034</v>
      </c>
      <c r="B5103">
        <v>23</v>
      </c>
      <c r="C5103">
        <v>6722</v>
      </c>
      <c r="D5103" t="s">
        <v>304</v>
      </c>
      <c r="E5103">
        <f>YEAR(A5103)</f>
        <v>2015</v>
      </c>
      <c r="F5103" s="33">
        <f>DATE(YEAR(A5103),MONTH(A5103),1)</f>
        <v>42005.0</v>
      </c>
      <c r="G5103" t="str">
        <f>CHOOSE(WEEKDAY(A5103,2),"Mon","Tue","Wed","Thu","Fri","Sat","Sun")</f>
        <v>Fri</v>
      </c>
      <c r="H5103" t="str">
        <f>IF(WEEKDAY(A5103,2)&gt;5,"Weekend","Weekday")</f>
        <v>Weekday</v>
      </c>
      <c r="I5103" t="str">
        <f>_xlfn.IFS(B5103&lt;=5,"Night (0-5)",B5103&lt;=9,"Morning peak (6-9)",B5103&lt;=15,"Midday (10-15)",B5103&lt;=19,"Evening peak (16-19)",TRUE,"Late evening (20-23)")</f>
        <v>Late evening (20-23)</v>
      </c>
    </row>
    <row r="5104" spans="1:9">
      <c r="A5104" s="32">
        <v>42035</v>
      </c>
      <c r="B5104">
        <v>0</v>
      </c>
      <c r="C5104">
        <v>5711</v>
      </c>
      <c r="D5104" t="s">
        <v>304</v>
      </c>
      <c r="E5104">
        <f>YEAR(A5104)</f>
        <v>2015</v>
      </c>
      <c r="F5104" s="33">
        <f>DATE(YEAR(A5104),MONTH(A5104),1)</f>
        <v>42005.0</v>
      </c>
      <c r="G5104" t="str">
        <f>CHOOSE(WEEKDAY(A5104,2),"Mon","Tue","Wed","Thu","Fri","Sat","Sun")</f>
        <v>Sat</v>
      </c>
      <c r="H5104" t="str">
        <f>IF(WEEKDAY(A5104,2)&gt;5,"Weekend","Weekday")</f>
        <v>Weekend</v>
      </c>
      <c r="I5104" t="str">
        <f>_xlfn.IFS(B5104&lt;=5,"Night (0-5)",B5104&lt;=9,"Morning peak (6-9)",B5104&lt;=15,"Midday (10-15)",B5104&lt;=19,"Evening peak (16-19)",TRUE,"Late evening (20-23)")</f>
        <v>Night (0-5)</v>
      </c>
    </row>
    <row r="5105" spans="1:9">
      <c r="A5105" s="32">
        <v>42035</v>
      </c>
      <c r="B5105">
        <v>1</v>
      </c>
      <c r="C5105">
        <v>4008</v>
      </c>
      <c r="D5105" t="s">
        <v>304</v>
      </c>
      <c r="E5105">
        <f>YEAR(A5105)</f>
        <v>2015</v>
      </c>
      <c r="F5105" s="33">
        <f>DATE(YEAR(A5105),MONTH(A5105),1)</f>
        <v>42005.0</v>
      </c>
      <c r="G5105" t="str">
        <f>CHOOSE(WEEKDAY(A5105,2),"Mon","Tue","Wed","Thu","Fri","Sat","Sun")</f>
        <v>Sat</v>
      </c>
      <c r="H5105" t="str">
        <f>IF(WEEKDAY(A5105,2)&gt;5,"Weekend","Weekday")</f>
        <v>Weekend</v>
      </c>
      <c r="I5105" t="str">
        <f>_xlfn.IFS(B5105&lt;=5,"Night (0-5)",B5105&lt;=9,"Morning peak (6-9)",B5105&lt;=15,"Midday (10-15)",B5105&lt;=19,"Evening peak (16-19)",TRUE,"Late evening (20-23)")</f>
        <v>Night (0-5)</v>
      </c>
    </row>
    <row r="5106" spans="1:9">
      <c r="A5106" s="32">
        <v>42035</v>
      </c>
      <c r="B5106">
        <v>2</v>
      </c>
      <c r="C5106">
        <v>2615</v>
      </c>
      <c r="D5106" t="s">
        <v>304</v>
      </c>
      <c r="E5106">
        <f>YEAR(A5106)</f>
        <v>2015</v>
      </c>
      <c r="F5106" s="33">
        <f>DATE(YEAR(A5106),MONTH(A5106),1)</f>
        <v>42005.0</v>
      </c>
      <c r="G5106" t="str">
        <f>CHOOSE(WEEKDAY(A5106,2),"Mon","Tue","Wed","Thu","Fri","Sat","Sun")</f>
        <v>Sat</v>
      </c>
      <c r="H5106" t="str">
        <f>IF(WEEKDAY(A5106,2)&gt;5,"Weekend","Weekday")</f>
        <v>Weekend</v>
      </c>
      <c r="I5106" t="str">
        <f>_xlfn.IFS(B5106&lt;=5,"Night (0-5)",B5106&lt;=9,"Morning peak (6-9)",B5106&lt;=15,"Midday (10-15)",B5106&lt;=19,"Evening peak (16-19)",TRUE,"Late evening (20-23)")</f>
        <v>Night (0-5)</v>
      </c>
    </row>
    <row r="5107" spans="1:9">
      <c r="A5107" s="32">
        <v>42035</v>
      </c>
      <c r="B5107">
        <v>3</v>
      </c>
      <c r="C5107">
        <v>1717</v>
      </c>
      <c r="D5107" t="s">
        <v>304</v>
      </c>
      <c r="E5107">
        <f>YEAR(A5107)</f>
        <v>2015</v>
      </c>
      <c r="F5107" s="33">
        <f>DATE(YEAR(A5107),MONTH(A5107),1)</f>
        <v>42005.0</v>
      </c>
      <c r="G5107" t="str">
        <f>CHOOSE(WEEKDAY(A5107,2),"Mon","Tue","Wed","Thu","Fri","Sat","Sun")</f>
        <v>Sat</v>
      </c>
      <c r="H5107" t="str">
        <f>IF(WEEKDAY(A5107,2)&gt;5,"Weekend","Weekday")</f>
        <v>Weekend</v>
      </c>
      <c r="I5107" t="str">
        <f>_xlfn.IFS(B5107&lt;=5,"Night (0-5)",B5107&lt;=9,"Morning peak (6-9)",B5107&lt;=15,"Midday (10-15)",B5107&lt;=19,"Evening peak (16-19)",TRUE,"Late evening (20-23)")</f>
        <v>Night (0-5)</v>
      </c>
    </row>
    <row r="5108" spans="1:9">
      <c r="A5108" s="32">
        <v>42035</v>
      </c>
      <c r="B5108">
        <v>4</v>
      </c>
      <c r="C5108">
        <v>1161</v>
      </c>
      <c r="D5108" t="s">
        <v>304</v>
      </c>
      <c r="E5108">
        <f>YEAR(A5108)</f>
        <v>2015</v>
      </c>
      <c r="F5108" s="33">
        <f>DATE(YEAR(A5108),MONTH(A5108),1)</f>
        <v>42005.0</v>
      </c>
      <c r="G5108" t="str">
        <f>CHOOSE(WEEKDAY(A5108,2),"Mon","Tue","Wed","Thu","Fri","Sat","Sun")</f>
        <v>Sat</v>
      </c>
      <c r="H5108" t="str">
        <f>IF(WEEKDAY(A5108,2)&gt;5,"Weekend","Weekday")</f>
        <v>Weekend</v>
      </c>
      <c r="I5108" t="str">
        <f>_xlfn.IFS(B5108&lt;=5,"Night (0-5)",B5108&lt;=9,"Morning peak (6-9)",B5108&lt;=15,"Midday (10-15)",B5108&lt;=19,"Evening peak (16-19)",TRUE,"Late evening (20-23)")</f>
        <v>Night (0-5)</v>
      </c>
    </row>
    <row r="5109" spans="1:9">
      <c r="A5109" s="32">
        <v>42035</v>
      </c>
      <c r="B5109">
        <v>5</v>
      </c>
      <c r="C5109">
        <v>875</v>
      </c>
      <c r="D5109" t="s">
        <v>304</v>
      </c>
      <c r="E5109">
        <f>YEAR(A5109)</f>
        <v>2015</v>
      </c>
      <c r="F5109" s="33">
        <f>DATE(YEAR(A5109),MONTH(A5109),1)</f>
        <v>42005.0</v>
      </c>
      <c r="G5109" t="str">
        <f>CHOOSE(WEEKDAY(A5109,2),"Mon","Tue","Wed","Thu","Fri","Sat","Sun")</f>
        <v>Sat</v>
      </c>
      <c r="H5109" t="str">
        <f>IF(WEEKDAY(A5109,2)&gt;5,"Weekend","Weekday")</f>
        <v>Weekend</v>
      </c>
      <c r="I5109" t="str">
        <f>_xlfn.IFS(B5109&lt;=5,"Night (0-5)",B5109&lt;=9,"Morning peak (6-9)",B5109&lt;=15,"Midday (10-15)",B5109&lt;=19,"Evening peak (16-19)",TRUE,"Late evening (20-23)")</f>
        <v>Night (0-5)</v>
      </c>
    </row>
    <row r="5110" spans="1:9">
      <c r="A5110" s="32">
        <v>42035</v>
      </c>
      <c r="B5110">
        <v>6</v>
      </c>
      <c r="C5110">
        <v>864</v>
      </c>
      <c r="D5110" t="s">
        <v>304</v>
      </c>
      <c r="E5110">
        <f>YEAR(A5110)</f>
        <v>2015</v>
      </c>
      <c r="F5110" s="33">
        <f>DATE(YEAR(A5110),MONTH(A5110),1)</f>
        <v>42005.0</v>
      </c>
      <c r="G5110" t="str">
        <f>CHOOSE(WEEKDAY(A5110,2),"Mon","Tue","Wed","Thu","Fri","Sat","Sun")</f>
        <v>Sat</v>
      </c>
      <c r="H5110" t="str">
        <f>IF(WEEKDAY(A5110,2)&gt;5,"Weekend","Weekday")</f>
        <v>Weekend</v>
      </c>
      <c r="I5110" t="str">
        <f>_xlfn.IFS(B5110&lt;=5,"Night (0-5)",B5110&lt;=9,"Morning peak (6-9)",B5110&lt;=15,"Midday (10-15)",B5110&lt;=19,"Evening peak (16-19)",TRUE,"Late evening (20-23)")</f>
        <v>Morning peak (6-9)</v>
      </c>
    </row>
    <row r="5111" spans="1:9">
      <c r="A5111" s="32">
        <v>42035</v>
      </c>
      <c r="B5111">
        <v>7</v>
      </c>
      <c r="C5111">
        <v>1094</v>
      </c>
      <c r="D5111" t="s">
        <v>304</v>
      </c>
      <c r="E5111">
        <f>YEAR(A5111)</f>
        <v>2015</v>
      </c>
      <c r="F5111" s="33">
        <f>DATE(YEAR(A5111),MONTH(A5111),1)</f>
        <v>42005.0</v>
      </c>
      <c r="G5111" t="str">
        <f>CHOOSE(WEEKDAY(A5111,2),"Mon","Tue","Wed","Thu","Fri","Sat","Sun")</f>
        <v>Sat</v>
      </c>
      <c r="H5111" t="str">
        <f>IF(WEEKDAY(A5111,2)&gt;5,"Weekend","Weekday")</f>
        <v>Weekend</v>
      </c>
      <c r="I5111" t="str">
        <f>_xlfn.IFS(B5111&lt;=5,"Night (0-5)",B5111&lt;=9,"Morning peak (6-9)",B5111&lt;=15,"Midday (10-15)",B5111&lt;=19,"Evening peak (16-19)",TRUE,"Late evening (20-23)")</f>
        <v>Morning peak (6-9)</v>
      </c>
    </row>
    <row r="5112" spans="1:9">
      <c r="A5112" s="32">
        <v>42035</v>
      </c>
      <c r="B5112">
        <v>8</v>
      </c>
      <c r="C5112">
        <v>1615</v>
      </c>
      <c r="D5112" t="s">
        <v>304</v>
      </c>
      <c r="E5112">
        <f>YEAR(A5112)</f>
        <v>2015</v>
      </c>
      <c r="F5112" s="33">
        <f>DATE(YEAR(A5112),MONTH(A5112),1)</f>
        <v>42005.0</v>
      </c>
      <c r="G5112" t="str">
        <f>CHOOSE(WEEKDAY(A5112,2),"Mon","Tue","Wed","Thu","Fri","Sat","Sun")</f>
        <v>Sat</v>
      </c>
      <c r="H5112" t="str">
        <f>IF(WEEKDAY(A5112,2)&gt;5,"Weekend","Weekday")</f>
        <v>Weekend</v>
      </c>
      <c r="I5112" t="str">
        <f>_xlfn.IFS(B5112&lt;=5,"Night (0-5)",B5112&lt;=9,"Morning peak (6-9)",B5112&lt;=15,"Midday (10-15)",B5112&lt;=19,"Evening peak (16-19)",TRUE,"Late evening (20-23)")</f>
        <v>Morning peak (6-9)</v>
      </c>
    </row>
    <row r="5113" spans="1:9">
      <c r="A5113" s="32">
        <v>42035</v>
      </c>
      <c r="B5113">
        <v>9</v>
      </c>
      <c r="C5113">
        <v>2305</v>
      </c>
      <c r="D5113" t="s">
        <v>304</v>
      </c>
      <c r="E5113">
        <f>YEAR(A5113)</f>
        <v>2015</v>
      </c>
      <c r="F5113" s="33">
        <f>DATE(YEAR(A5113),MONTH(A5113),1)</f>
        <v>42005.0</v>
      </c>
      <c r="G5113" t="str">
        <f>CHOOSE(WEEKDAY(A5113,2),"Mon","Tue","Wed","Thu","Fri","Sat","Sun")</f>
        <v>Sat</v>
      </c>
      <c r="H5113" t="str">
        <f>IF(WEEKDAY(A5113,2)&gt;5,"Weekend","Weekday")</f>
        <v>Weekend</v>
      </c>
      <c r="I5113" t="str">
        <f>_xlfn.IFS(B5113&lt;=5,"Night (0-5)",B5113&lt;=9,"Morning peak (6-9)",B5113&lt;=15,"Midday (10-15)",B5113&lt;=19,"Evening peak (16-19)",TRUE,"Late evening (20-23)")</f>
        <v>Morning peak (6-9)</v>
      </c>
    </row>
    <row r="5114" spans="1:9">
      <c r="A5114" s="32">
        <v>42035</v>
      </c>
      <c r="B5114">
        <v>10</v>
      </c>
      <c r="C5114">
        <v>2772</v>
      </c>
      <c r="D5114" t="s">
        <v>304</v>
      </c>
      <c r="E5114">
        <f>YEAR(A5114)</f>
        <v>2015</v>
      </c>
      <c r="F5114" s="33">
        <f>DATE(YEAR(A5114),MONTH(A5114),1)</f>
        <v>42005.0</v>
      </c>
      <c r="G5114" t="str">
        <f>CHOOSE(WEEKDAY(A5114,2),"Mon","Tue","Wed","Thu","Fri","Sat","Sun")</f>
        <v>Sat</v>
      </c>
      <c r="H5114" t="str">
        <f>IF(WEEKDAY(A5114,2)&gt;5,"Weekend","Weekday")</f>
        <v>Weekend</v>
      </c>
      <c r="I5114" t="str">
        <f>_xlfn.IFS(B5114&lt;=5,"Night (0-5)",B5114&lt;=9,"Morning peak (6-9)",B5114&lt;=15,"Midday (10-15)",B5114&lt;=19,"Evening peak (16-19)",TRUE,"Late evening (20-23)")</f>
        <v>Midday (10-15)</v>
      </c>
    </row>
    <row r="5115" spans="1:9">
      <c r="A5115" s="32">
        <v>42035</v>
      </c>
      <c r="B5115">
        <v>11</v>
      </c>
      <c r="C5115">
        <v>3260</v>
      </c>
      <c r="D5115" t="s">
        <v>304</v>
      </c>
      <c r="E5115">
        <f>YEAR(A5115)</f>
        <v>2015</v>
      </c>
      <c r="F5115" s="33">
        <f>DATE(YEAR(A5115),MONTH(A5115),1)</f>
        <v>42005.0</v>
      </c>
      <c r="G5115" t="str">
        <f>CHOOSE(WEEKDAY(A5115,2),"Mon","Tue","Wed","Thu","Fri","Sat","Sun")</f>
        <v>Sat</v>
      </c>
      <c r="H5115" t="str">
        <f>IF(WEEKDAY(A5115,2)&gt;5,"Weekend","Weekday")</f>
        <v>Weekend</v>
      </c>
      <c r="I5115" t="str">
        <f>_xlfn.IFS(B5115&lt;=5,"Night (0-5)",B5115&lt;=9,"Morning peak (6-9)",B5115&lt;=15,"Midday (10-15)",B5115&lt;=19,"Evening peak (16-19)",TRUE,"Late evening (20-23)")</f>
        <v>Midday (10-15)</v>
      </c>
    </row>
    <row r="5116" spans="1:9">
      <c r="A5116" s="32">
        <v>42035</v>
      </c>
      <c r="B5116">
        <v>12</v>
      </c>
      <c r="C5116">
        <v>3588</v>
      </c>
      <c r="D5116" t="s">
        <v>304</v>
      </c>
      <c r="E5116">
        <f>YEAR(A5116)</f>
        <v>2015</v>
      </c>
      <c r="F5116" s="33">
        <f>DATE(YEAR(A5116),MONTH(A5116),1)</f>
        <v>42005.0</v>
      </c>
      <c r="G5116" t="str">
        <f>CHOOSE(WEEKDAY(A5116,2),"Mon","Tue","Wed","Thu","Fri","Sat","Sun")</f>
        <v>Sat</v>
      </c>
      <c r="H5116" t="str">
        <f>IF(WEEKDAY(A5116,2)&gt;5,"Weekend","Weekday")</f>
        <v>Weekend</v>
      </c>
      <c r="I5116" t="str">
        <f>_xlfn.IFS(B5116&lt;=5,"Night (0-5)",B5116&lt;=9,"Morning peak (6-9)",B5116&lt;=15,"Midday (10-15)",B5116&lt;=19,"Evening peak (16-19)",TRUE,"Late evening (20-23)")</f>
        <v>Midday (10-15)</v>
      </c>
    </row>
    <row r="5117" spans="1:9">
      <c r="A5117" s="32">
        <v>42035</v>
      </c>
      <c r="B5117">
        <v>13</v>
      </c>
      <c r="C5117">
        <v>3829</v>
      </c>
      <c r="D5117" t="s">
        <v>304</v>
      </c>
      <c r="E5117">
        <f>YEAR(A5117)</f>
        <v>2015</v>
      </c>
      <c r="F5117" s="33">
        <f>DATE(YEAR(A5117),MONTH(A5117),1)</f>
        <v>42005.0</v>
      </c>
      <c r="G5117" t="str">
        <f>CHOOSE(WEEKDAY(A5117,2),"Mon","Tue","Wed","Thu","Fri","Sat","Sun")</f>
        <v>Sat</v>
      </c>
      <c r="H5117" t="str">
        <f>IF(WEEKDAY(A5117,2)&gt;5,"Weekend","Weekday")</f>
        <v>Weekend</v>
      </c>
      <c r="I5117" t="str">
        <f>_xlfn.IFS(B5117&lt;=5,"Night (0-5)",B5117&lt;=9,"Morning peak (6-9)",B5117&lt;=15,"Midday (10-15)",B5117&lt;=19,"Evening peak (16-19)",TRUE,"Late evening (20-23)")</f>
        <v>Midday (10-15)</v>
      </c>
    </row>
    <row r="5118" spans="1:9">
      <c r="A5118" s="32">
        <v>42035</v>
      </c>
      <c r="B5118">
        <v>14</v>
      </c>
      <c r="C5118">
        <v>3750</v>
      </c>
      <c r="D5118" t="s">
        <v>304</v>
      </c>
      <c r="E5118">
        <f>YEAR(A5118)</f>
        <v>2015</v>
      </c>
      <c r="F5118" s="33">
        <f>DATE(YEAR(A5118),MONTH(A5118),1)</f>
        <v>42005.0</v>
      </c>
      <c r="G5118" t="str">
        <f>CHOOSE(WEEKDAY(A5118,2),"Mon","Tue","Wed","Thu","Fri","Sat","Sun")</f>
        <v>Sat</v>
      </c>
      <c r="H5118" t="str">
        <f>IF(WEEKDAY(A5118,2)&gt;5,"Weekend","Weekday")</f>
        <v>Weekend</v>
      </c>
      <c r="I5118" t="str">
        <f>_xlfn.IFS(B5118&lt;=5,"Night (0-5)",B5118&lt;=9,"Morning peak (6-9)",B5118&lt;=15,"Midday (10-15)",B5118&lt;=19,"Evening peak (16-19)",TRUE,"Late evening (20-23)")</f>
        <v>Midday (10-15)</v>
      </c>
    </row>
    <row r="5119" spans="1:9">
      <c r="A5119" s="32">
        <v>42035</v>
      </c>
      <c r="B5119">
        <v>15</v>
      </c>
      <c r="C5119">
        <v>4152</v>
      </c>
      <c r="D5119" t="s">
        <v>304</v>
      </c>
      <c r="E5119">
        <f>YEAR(A5119)</f>
        <v>2015</v>
      </c>
      <c r="F5119" s="33">
        <f>DATE(YEAR(A5119),MONTH(A5119),1)</f>
        <v>42005.0</v>
      </c>
      <c r="G5119" t="str">
        <f>CHOOSE(WEEKDAY(A5119,2),"Mon","Tue","Wed","Thu","Fri","Sat","Sun")</f>
        <v>Sat</v>
      </c>
      <c r="H5119" t="str">
        <f>IF(WEEKDAY(A5119,2)&gt;5,"Weekend","Weekday")</f>
        <v>Weekend</v>
      </c>
      <c r="I5119" t="str">
        <f>_xlfn.IFS(B5119&lt;=5,"Night (0-5)",B5119&lt;=9,"Morning peak (6-9)",B5119&lt;=15,"Midday (10-15)",B5119&lt;=19,"Evening peak (16-19)",TRUE,"Late evening (20-23)")</f>
        <v>Midday (10-15)</v>
      </c>
    </row>
    <row r="5120" spans="1:9">
      <c r="A5120" s="32">
        <v>42035</v>
      </c>
      <c r="B5120">
        <v>16</v>
      </c>
      <c r="C5120">
        <v>4693</v>
      </c>
      <c r="D5120" t="s">
        <v>304</v>
      </c>
      <c r="E5120">
        <f>YEAR(A5120)</f>
        <v>2015</v>
      </c>
      <c r="F5120" s="33">
        <f>DATE(YEAR(A5120),MONTH(A5120),1)</f>
        <v>42005.0</v>
      </c>
      <c r="G5120" t="str">
        <f>CHOOSE(WEEKDAY(A5120,2),"Mon","Tue","Wed","Thu","Fri","Sat","Sun")</f>
        <v>Sat</v>
      </c>
      <c r="H5120" t="str">
        <f>IF(WEEKDAY(A5120,2)&gt;5,"Weekend","Weekday")</f>
        <v>Weekend</v>
      </c>
      <c r="I5120" t="str">
        <f>_xlfn.IFS(B5120&lt;=5,"Night (0-5)",B5120&lt;=9,"Morning peak (6-9)",B5120&lt;=15,"Midday (10-15)",B5120&lt;=19,"Evening peak (16-19)",TRUE,"Late evening (20-23)")</f>
        <v>Evening peak (16-19)</v>
      </c>
    </row>
    <row r="5121" spans="1:9">
      <c r="A5121" s="32">
        <v>42035</v>
      </c>
      <c r="B5121">
        <v>17</v>
      </c>
      <c r="C5121">
        <v>5680</v>
      </c>
      <c r="D5121" t="s">
        <v>304</v>
      </c>
      <c r="E5121">
        <f>YEAR(A5121)</f>
        <v>2015</v>
      </c>
      <c r="F5121" s="33">
        <f>DATE(YEAR(A5121),MONTH(A5121),1)</f>
        <v>42005.0</v>
      </c>
      <c r="G5121" t="str">
        <f>CHOOSE(WEEKDAY(A5121,2),"Mon","Tue","Wed","Thu","Fri","Sat","Sun")</f>
        <v>Sat</v>
      </c>
      <c r="H5121" t="str">
        <f>IF(WEEKDAY(A5121,2)&gt;5,"Weekend","Weekday")</f>
        <v>Weekend</v>
      </c>
      <c r="I5121" t="str">
        <f>_xlfn.IFS(B5121&lt;=5,"Night (0-5)",B5121&lt;=9,"Morning peak (6-9)",B5121&lt;=15,"Midday (10-15)",B5121&lt;=19,"Evening peak (16-19)",TRUE,"Late evening (20-23)")</f>
        <v>Evening peak (16-19)</v>
      </c>
    </row>
    <row r="5122" spans="1:9">
      <c r="A5122" s="32">
        <v>42035</v>
      </c>
      <c r="B5122">
        <v>18</v>
      </c>
      <c r="C5122">
        <v>6335</v>
      </c>
      <c r="D5122" t="s">
        <v>304</v>
      </c>
      <c r="E5122">
        <f>YEAR(A5122)</f>
        <v>2015</v>
      </c>
      <c r="F5122" s="33">
        <f>DATE(YEAR(A5122),MONTH(A5122),1)</f>
        <v>42005.0</v>
      </c>
      <c r="G5122" t="str">
        <f>CHOOSE(WEEKDAY(A5122,2),"Mon","Tue","Wed","Thu","Fri","Sat","Sun")</f>
        <v>Sat</v>
      </c>
      <c r="H5122" t="str">
        <f>IF(WEEKDAY(A5122,2)&gt;5,"Weekend","Weekday")</f>
        <v>Weekend</v>
      </c>
      <c r="I5122" t="str">
        <f>_xlfn.IFS(B5122&lt;=5,"Night (0-5)",B5122&lt;=9,"Morning peak (6-9)",B5122&lt;=15,"Midday (10-15)",B5122&lt;=19,"Evening peak (16-19)",TRUE,"Late evening (20-23)")</f>
        <v>Evening peak (16-19)</v>
      </c>
    </row>
    <row r="5123" spans="1:9">
      <c r="A5123" s="32">
        <v>42035</v>
      </c>
      <c r="B5123">
        <v>19</v>
      </c>
      <c r="C5123">
        <v>7245</v>
      </c>
      <c r="D5123" t="s">
        <v>304</v>
      </c>
      <c r="E5123">
        <f>YEAR(A5123)</f>
        <v>2015</v>
      </c>
      <c r="F5123" s="33">
        <f>DATE(YEAR(A5123),MONTH(A5123),1)</f>
        <v>42005.0</v>
      </c>
      <c r="G5123" t="str">
        <f>CHOOSE(WEEKDAY(A5123,2),"Mon","Tue","Wed","Thu","Fri","Sat","Sun")</f>
        <v>Sat</v>
      </c>
      <c r="H5123" t="str">
        <f>IF(WEEKDAY(A5123,2)&gt;5,"Weekend","Weekday")</f>
        <v>Weekend</v>
      </c>
      <c r="I5123" t="str">
        <f>_xlfn.IFS(B5123&lt;=5,"Night (0-5)",B5123&lt;=9,"Morning peak (6-9)",B5123&lt;=15,"Midday (10-15)",B5123&lt;=19,"Evening peak (16-19)",TRUE,"Late evening (20-23)")</f>
        <v>Evening peak (16-19)</v>
      </c>
    </row>
    <row r="5124" spans="1:9">
      <c r="A5124" s="32">
        <v>42035</v>
      </c>
      <c r="B5124">
        <v>20</v>
      </c>
      <c r="C5124">
        <v>6838</v>
      </c>
      <c r="D5124" t="s">
        <v>304</v>
      </c>
      <c r="E5124">
        <f>YEAR(A5124)</f>
        <v>2015</v>
      </c>
      <c r="F5124" s="33">
        <f>DATE(YEAR(A5124),MONTH(A5124),1)</f>
        <v>42005.0</v>
      </c>
      <c r="G5124" t="str">
        <f>CHOOSE(WEEKDAY(A5124,2),"Mon","Tue","Wed","Thu","Fri","Sat","Sun")</f>
        <v>Sat</v>
      </c>
      <c r="H5124" t="str">
        <f>IF(WEEKDAY(A5124,2)&gt;5,"Weekend","Weekday")</f>
        <v>Weekend</v>
      </c>
      <c r="I5124" t="str">
        <f>_xlfn.IFS(B5124&lt;=5,"Night (0-5)",B5124&lt;=9,"Morning peak (6-9)",B5124&lt;=15,"Midday (10-15)",B5124&lt;=19,"Evening peak (16-19)",TRUE,"Late evening (20-23)")</f>
        <v>Late evening (20-23)</v>
      </c>
    </row>
    <row r="5125" spans="1:9">
      <c r="A5125" s="32">
        <v>42035</v>
      </c>
      <c r="B5125">
        <v>21</v>
      </c>
      <c r="C5125">
        <v>6574</v>
      </c>
      <c r="D5125" t="s">
        <v>304</v>
      </c>
      <c r="E5125">
        <f>YEAR(A5125)</f>
        <v>2015</v>
      </c>
      <c r="F5125" s="33">
        <f>DATE(YEAR(A5125),MONTH(A5125),1)</f>
        <v>42005.0</v>
      </c>
      <c r="G5125" t="str">
        <f>CHOOSE(WEEKDAY(A5125,2),"Mon","Tue","Wed","Thu","Fri","Sat","Sun")</f>
        <v>Sat</v>
      </c>
      <c r="H5125" t="str">
        <f>IF(WEEKDAY(A5125,2)&gt;5,"Weekend","Weekday")</f>
        <v>Weekend</v>
      </c>
      <c r="I5125" t="str">
        <f>_xlfn.IFS(B5125&lt;=5,"Night (0-5)",B5125&lt;=9,"Morning peak (6-9)",B5125&lt;=15,"Midday (10-15)",B5125&lt;=19,"Evening peak (16-19)",TRUE,"Late evening (20-23)")</f>
        <v>Late evening (20-23)</v>
      </c>
    </row>
    <row r="5126" spans="1:9">
      <c r="A5126" s="32">
        <v>42035</v>
      </c>
      <c r="B5126">
        <v>22</v>
      </c>
      <c r="C5126">
        <v>6897</v>
      </c>
      <c r="D5126" t="s">
        <v>304</v>
      </c>
      <c r="E5126">
        <f>YEAR(A5126)</f>
        <v>2015</v>
      </c>
      <c r="F5126" s="33">
        <f>DATE(YEAR(A5126),MONTH(A5126),1)</f>
        <v>42005.0</v>
      </c>
      <c r="G5126" t="str">
        <f>CHOOSE(WEEKDAY(A5126,2),"Mon","Tue","Wed","Thu","Fri","Sat","Sun")</f>
        <v>Sat</v>
      </c>
      <c r="H5126" t="str">
        <f>IF(WEEKDAY(A5126,2)&gt;5,"Weekend","Weekday")</f>
        <v>Weekend</v>
      </c>
      <c r="I5126" t="str">
        <f>_xlfn.IFS(B5126&lt;=5,"Night (0-5)",B5126&lt;=9,"Morning peak (6-9)",B5126&lt;=15,"Midday (10-15)",B5126&lt;=19,"Evening peak (16-19)",TRUE,"Late evening (20-23)")</f>
        <v>Late evening (20-23)</v>
      </c>
    </row>
    <row r="5127" spans="1:9">
      <c r="A5127" s="32">
        <v>42035</v>
      </c>
      <c r="B5127">
        <v>23</v>
      </c>
      <c r="C5127">
        <v>6870</v>
      </c>
      <c r="D5127" t="s">
        <v>304</v>
      </c>
      <c r="E5127">
        <f>YEAR(A5127)</f>
        <v>2015</v>
      </c>
      <c r="F5127" s="33">
        <f>DATE(YEAR(A5127),MONTH(A5127),1)</f>
        <v>42005.0</v>
      </c>
      <c r="G5127" t="str">
        <f>CHOOSE(WEEKDAY(A5127,2),"Mon","Tue","Wed","Thu","Fri","Sat","Sun")</f>
        <v>Sat</v>
      </c>
      <c r="H5127" t="str">
        <f>IF(WEEKDAY(A5127,2)&gt;5,"Weekend","Weekday")</f>
        <v>Weekend</v>
      </c>
      <c r="I5127" t="str">
        <f>_xlfn.IFS(B5127&lt;=5,"Night (0-5)",B5127&lt;=9,"Morning peak (6-9)",B5127&lt;=15,"Midday (10-15)",B5127&lt;=19,"Evening peak (16-19)",TRUE,"Late evening (20-23)")</f>
        <v>Late evening (20-23)</v>
      </c>
    </row>
    <row r="5128" spans="1:9">
      <c r="A5128" s="32">
        <v>42036</v>
      </c>
      <c r="B5128">
        <v>0</v>
      </c>
      <c r="C5128">
        <v>5940</v>
      </c>
      <c r="D5128" t="s">
        <v>304</v>
      </c>
      <c r="E5128">
        <f>YEAR(A5128)</f>
        <v>2015</v>
      </c>
      <c r="F5128" s="33">
        <f>DATE(YEAR(A5128),MONTH(A5128),1)</f>
        <v>42036.0</v>
      </c>
      <c r="G5128" t="str">
        <f>CHOOSE(WEEKDAY(A5128,2),"Mon","Tue","Wed","Thu","Fri","Sat","Sun")</f>
        <v>Sun</v>
      </c>
      <c r="H5128" t="str">
        <f>IF(WEEKDAY(A5128,2)&gt;5,"Weekend","Weekday")</f>
        <v>Weekend</v>
      </c>
      <c r="I5128" t="str">
        <f>_xlfn.IFS(B5128&lt;=5,"Night (0-5)",B5128&lt;=9,"Morning peak (6-9)",B5128&lt;=15,"Midday (10-15)",B5128&lt;=19,"Evening peak (16-19)",TRUE,"Late evening (20-23)")</f>
        <v>Night (0-5)</v>
      </c>
    </row>
    <row r="5129" spans="1:9">
      <c r="A5129" s="32">
        <v>42036</v>
      </c>
      <c r="B5129">
        <v>1</v>
      </c>
      <c r="C5129">
        <v>4469</v>
      </c>
      <c r="D5129" t="s">
        <v>304</v>
      </c>
      <c r="E5129">
        <f>YEAR(A5129)</f>
        <v>2015</v>
      </c>
      <c r="F5129" s="33">
        <f>DATE(YEAR(A5129),MONTH(A5129),1)</f>
        <v>42036.0</v>
      </c>
      <c r="G5129" t="str">
        <f>CHOOSE(WEEKDAY(A5129,2),"Mon","Tue","Wed","Thu","Fri","Sat","Sun")</f>
        <v>Sun</v>
      </c>
      <c r="H5129" t="str">
        <f>IF(WEEKDAY(A5129,2)&gt;5,"Weekend","Weekday")</f>
        <v>Weekend</v>
      </c>
      <c r="I5129" t="str">
        <f>_xlfn.IFS(B5129&lt;=5,"Night (0-5)",B5129&lt;=9,"Morning peak (6-9)",B5129&lt;=15,"Midday (10-15)",B5129&lt;=19,"Evening peak (16-19)",TRUE,"Late evening (20-23)")</f>
        <v>Night (0-5)</v>
      </c>
    </row>
    <row r="5130" spans="1:9">
      <c r="A5130" s="32">
        <v>42036</v>
      </c>
      <c r="B5130">
        <v>2</v>
      </c>
      <c r="C5130">
        <v>3279</v>
      </c>
      <c r="D5130" t="s">
        <v>304</v>
      </c>
      <c r="E5130">
        <f>YEAR(A5130)</f>
        <v>2015</v>
      </c>
      <c r="F5130" s="33">
        <f>DATE(YEAR(A5130),MONTH(A5130),1)</f>
        <v>42036.0</v>
      </c>
      <c r="G5130" t="str">
        <f>CHOOSE(WEEKDAY(A5130,2),"Mon","Tue","Wed","Thu","Fri","Sat","Sun")</f>
        <v>Sun</v>
      </c>
      <c r="H5130" t="str">
        <f>IF(WEEKDAY(A5130,2)&gt;5,"Weekend","Weekday")</f>
        <v>Weekend</v>
      </c>
      <c r="I5130" t="str">
        <f>_xlfn.IFS(B5130&lt;=5,"Night (0-5)",B5130&lt;=9,"Morning peak (6-9)",B5130&lt;=15,"Midday (10-15)",B5130&lt;=19,"Evening peak (16-19)",TRUE,"Late evening (20-23)")</f>
        <v>Night (0-5)</v>
      </c>
    </row>
    <row r="5131" spans="1:9">
      <c r="A5131" s="32">
        <v>42036</v>
      </c>
      <c r="B5131">
        <v>3</v>
      </c>
      <c r="C5131">
        <v>2067</v>
      </c>
      <c r="D5131" t="s">
        <v>304</v>
      </c>
      <c r="E5131">
        <f>YEAR(A5131)</f>
        <v>2015</v>
      </c>
      <c r="F5131" s="33">
        <f>DATE(YEAR(A5131),MONTH(A5131),1)</f>
        <v>42036.0</v>
      </c>
      <c r="G5131" t="str">
        <f>CHOOSE(WEEKDAY(A5131,2),"Mon","Tue","Wed","Thu","Fri","Sat","Sun")</f>
        <v>Sun</v>
      </c>
      <c r="H5131" t="str">
        <f>IF(WEEKDAY(A5131,2)&gt;5,"Weekend","Weekday")</f>
        <v>Weekend</v>
      </c>
      <c r="I5131" t="str">
        <f>_xlfn.IFS(B5131&lt;=5,"Night (0-5)",B5131&lt;=9,"Morning peak (6-9)",B5131&lt;=15,"Midday (10-15)",B5131&lt;=19,"Evening peak (16-19)",TRUE,"Late evening (20-23)")</f>
        <v>Night (0-5)</v>
      </c>
    </row>
    <row r="5132" spans="1:9">
      <c r="A5132" s="32">
        <v>42036</v>
      </c>
      <c r="B5132">
        <v>4</v>
      </c>
      <c r="C5132">
        <v>1222</v>
      </c>
      <c r="D5132" t="s">
        <v>304</v>
      </c>
      <c r="E5132">
        <f>YEAR(A5132)</f>
        <v>2015</v>
      </c>
      <c r="F5132" s="33">
        <f>DATE(YEAR(A5132),MONTH(A5132),1)</f>
        <v>42036.0</v>
      </c>
      <c r="G5132" t="str">
        <f>CHOOSE(WEEKDAY(A5132,2),"Mon","Tue","Wed","Thu","Fri","Sat","Sun")</f>
        <v>Sun</v>
      </c>
      <c r="H5132" t="str">
        <f>IF(WEEKDAY(A5132,2)&gt;5,"Weekend","Weekday")</f>
        <v>Weekend</v>
      </c>
      <c r="I5132" t="str">
        <f>_xlfn.IFS(B5132&lt;=5,"Night (0-5)",B5132&lt;=9,"Morning peak (6-9)",B5132&lt;=15,"Midday (10-15)",B5132&lt;=19,"Evening peak (16-19)",TRUE,"Late evening (20-23)")</f>
        <v>Night (0-5)</v>
      </c>
    </row>
    <row r="5133" spans="1:9">
      <c r="A5133" s="32">
        <v>42036</v>
      </c>
      <c r="B5133">
        <v>5</v>
      </c>
      <c r="C5133">
        <v>783</v>
      </c>
      <c r="D5133" t="s">
        <v>304</v>
      </c>
      <c r="E5133">
        <f>YEAR(A5133)</f>
        <v>2015</v>
      </c>
      <c r="F5133" s="33">
        <f>DATE(YEAR(A5133),MONTH(A5133),1)</f>
        <v>42036.0</v>
      </c>
      <c r="G5133" t="str">
        <f>CHOOSE(WEEKDAY(A5133,2),"Mon","Tue","Wed","Thu","Fri","Sat","Sun")</f>
        <v>Sun</v>
      </c>
      <c r="H5133" t="str">
        <f>IF(WEEKDAY(A5133,2)&gt;5,"Weekend","Weekday")</f>
        <v>Weekend</v>
      </c>
      <c r="I5133" t="str">
        <f>_xlfn.IFS(B5133&lt;=5,"Night (0-5)",B5133&lt;=9,"Morning peak (6-9)",B5133&lt;=15,"Midday (10-15)",B5133&lt;=19,"Evening peak (16-19)",TRUE,"Late evening (20-23)")</f>
        <v>Night (0-5)</v>
      </c>
    </row>
    <row r="5134" spans="1:9">
      <c r="A5134" s="32">
        <v>42036</v>
      </c>
      <c r="B5134">
        <v>6</v>
      </c>
      <c r="C5134">
        <v>729</v>
      </c>
      <c r="D5134" t="s">
        <v>304</v>
      </c>
      <c r="E5134">
        <f>YEAR(A5134)</f>
        <v>2015</v>
      </c>
      <c r="F5134" s="33">
        <f>DATE(YEAR(A5134),MONTH(A5134),1)</f>
        <v>42036.0</v>
      </c>
      <c r="G5134" t="str">
        <f>CHOOSE(WEEKDAY(A5134,2),"Mon","Tue","Wed","Thu","Fri","Sat","Sun")</f>
        <v>Sun</v>
      </c>
      <c r="H5134" t="str">
        <f>IF(WEEKDAY(A5134,2)&gt;5,"Weekend","Weekday")</f>
        <v>Weekend</v>
      </c>
      <c r="I5134" t="str">
        <f>_xlfn.IFS(B5134&lt;=5,"Night (0-5)",B5134&lt;=9,"Morning peak (6-9)",B5134&lt;=15,"Midday (10-15)",B5134&lt;=19,"Evening peak (16-19)",TRUE,"Late evening (20-23)")</f>
        <v>Morning peak (6-9)</v>
      </c>
    </row>
    <row r="5135" spans="1:9">
      <c r="A5135" s="32">
        <v>42036</v>
      </c>
      <c r="B5135">
        <v>7</v>
      </c>
      <c r="C5135">
        <v>872</v>
      </c>
      <c r="D5135" t="s">
        <v>304</v>
      </c>
      <c r="E5135">
        <f>YEAR(A5135)</f>
        <v>2015</v>
      </c>
      <c r="F5135" s="33">
        <f>DATE(YEAR(A5135),MONTH(A5135),1)</f>
        <v>42036.0</v>
      </c>
      <c r="G5135" t="str">
        <f>CHOOSE(WEEKDAY(A5135,2),"Mon","Tue","Wed","Thu","Fri","Sat","Sun")</f>
        <v>Sun</v>
      </c>
      <c r="H5135" t="str">
        <f>IF(WEEKDAY(A5135,2)&gt;5,"Weekend","Weekday")</f>
        <v>Weekend</v>
      </c>
      <c r="I5135" t="str">
        <f>_xlfn.IFS(B5135&lt;=5,"Night (0-5)",B5135&lt;=9,"Morning peak (6-9)",B5135&lt;=15,"Midday (10-15)",B5135&lt;=19,"Evening peak (16-19)",TRUE,"Late evening (20-23)")</f>
        <v>Morning peak (6-9)</v>
      </c>
    </row>
    <row r="5136" spans="1:9">
      <c r="A5136" s="32">
        <v>42036</v>
      </c>
      <c r="B5136">
        <v>8</v>
      </c>
      <c r="C5136">
        <v>1311</v>
      </c>
      <c r="D5136" t="s">
        <v>304</v>
      </c>
      <c r="E5136">
        <f>YEAR(A5136)</f>
        <v>2015</v>
      </c>
      <c r="F5136" s="33">
        <f>DATE(YEAR(A5136),MONTH(A5136),1)</f>
        <v>42036.0</v>
      </c>
      <c r="G5136" t="str">
        <f>CHOOSE(WEEKDAY(A5136,2),"Mon","Tue","Wed","Thu","Fri","Sat","Sun")</f>
        <v>Sun</v>
      </c>
      <c r="H5136" t="str">
        <f>IF(WEEKDAY(A5136,2)&gt;5,"Weekend","Weekday")</f>
        <v>Weekend</v>
      </c>
      <c r="I5136" t="str">
        <f>_xlfn.IFS(B5136&lt;=5,"Night (0-5)",B5136&lt;=9,"Morning peak (6-9)",B5136&lt;=15,"Midday (10-15)",B5136&lt;=19,"Evening peak (16-19)",TRUE,"Late evening (20-23)")</f>
        <v>Morning peak (6-9)</v>
      </c>
    </row>
    <row r="5137" spans="1:9">
      <c r="A5137" s="32">
        <v>42036</v>
      </c>
      <c r="B5137">
        <v>9</v>
      </c>
      <c r="C5137">
        <v>1775</v>
      </c>
      <c r="D5137" t="s">
        <v>304</v>
      </c>
      <c r="E5137">
        <f>YEAR(A5137)</f>
        <v>2015</v>
      </c>
      <c r="F5137" s="33">
        <f>DATE(YEAR(A5137),MONTH(A5137),1)</f>
        <v>42036.0</v>
      </c>
      <c r="G5137" t="str">
        <f>CHOOSE(WEEKDAY(A5137,2),"Mon","Tue","Wed","Thu","Fri","Sat","Sun")</f>
        <v>Sun</v>
      </c>
      <c r="H5137" t="str">
        <f>IF(WEEKDAY(A5137,2)&gt;5,"Weekend","Weekday")</f>
        <v>Weekend</v>
      </c>
      <c r="I5137" t="str">
        <f>_xlfn.IFS(B5137&lt;=5,"Night (0-5)",B5137&lt;=9,"Morning peak (6-9)",B5137&lt;=15,"Midday (10-15)",B5137&lt;=19,"Evening peak (16-19)",TRUE,"Late evening (20-23)")</f>
        <v>Morning peak (6-9)</v>
      </c>
    </row>
    <row r="5138" spans="1:9">
      <c r="A5138" s="32">
        <v>42036</v>
      </c>
      <c r="B5138">
        <v>10</v>
      </c>
      <c r="C5138">
        <v>2419</v>
      </c>
      <c r="D5138" t="s">
        <v>304</v>
      </c>
      <c r="E5138">
        <f>YEAR(A5138)</f>
        <v>2015</v>
      </c>
      <c r="F5138" s="33">
        <f>DATE(YEAR(A5138),MONTH(A5138),1)</f>
        <v>42036.0</v>
      </c>
      <c r="G5138" t="str">
        <f>CHOOSE(WEEKDAY(A5138,2),"Mon","Tue","Wed","Thu","Fri","Sat","Sun")</f>
        <v>Sun</v>
      </c>
      <c r="H5138" t="str">
        <f>IF(WEEKDAY(A5138,2)&gt;5,"Weekend","Weekday")</f>
        <v>Weekend</v>
      </c>
      <c r="I5138" t="str">
        <f>_xlfn.IFS(B5138&lt;=5,"Night (0-5)",B5138&lt;=9,"Morning peak (6-9)",B5138&lt;=15,"Midday (10-15)",B5138&lt;=19,"Evening peak (16-19)",TRUE,"Late evening (20-23)")</f>
        <v>Midday (10-15)</v>
      </c>
    </row>
    <row r="5139" spans="1:9">
      <c r="A5139" s="32">
        <v>42036</v>
      </c>
      <c r="B5139">
        <v>11</v>
      </c>
      <c r="C5139">
        <v>2890</v>
      </c>
      <c r="D5139" t="s">
        <v>304</v>
      </c>
      <c r="E5139">
        <f>YEAR(A5139)</f>
        <v>2015</v>
      </c>
      <c r="F5139" s="33">
        <f>DATE(YEAR(A5139),MONTH(A5139),1)</f>
        <v>42036.0</v>
      </c>
      <c r="G5139" t="str">
        <f>CHOOSE(WEEKDAY(A5139,2),"Mon","Tue","Wed","Thu","Fri","Sat","Sun")</f>
        <v>Sun</v>
      </c>
      <c r="H5139" t="str">
        <f>IF(WEEKDAY(A5139,2)&gt;5,"Weekend","Weekday")</f>
        <v>Weekend</v>
      </c>
      <c r="I5139" t="str">
        <f>_xlfn.IFS(B5139&lt;=5,"Night (0-5)",B5139&lt;=9,"Morning peak (6-9)",B5139&lt;=15,"Midday (10-15)",B5139&lt;=19,"Evening peak (16-19)",TRUE,"Late evening (20-23)")</f>
        <v>Midday (10-15)</v>
      </c>
    </row>
    <row r="5140" spans="1:9">
      <c r="A5140" s="32">
        <v>42036</v>
      </c>
      <c r="B5140">
        <v>12</v>
      </c>
      <c r="C5140">
        <v>3168</v>
      </c>
      <c r="D5140" t="s">
        <v>304</v>
      </c>
      <c r="E5140">
        <f>YEAR(A5140)</f>
        <v>2015</v>
      </c>
      <c r="F5140" s="33">
        <f>DATE(YEAR(A5140),MONTH(A5140),1)</f>
        <v>42036.0</v>
      </c>
      <c r="G5140" t="str">
        <f>CHOOSE(WEEKDAY(A5140,2),"Mon","Tue","Wed","Thu","Fri","Sat","Sun")</f>
        <v>Sun</v>
      </c>
      <c r="H5140" t="str">
        <f>IF(WEEKDAY(A5140,2)&gt;5,"Weekend","Weekday")</f>
        <v>Weekend</v>
      </c>
      <c r="I5140" t="str">
        <f>_xlfn.IFS(B5140&lt;=5,"Night (0-5)",B5140&lt;=9,"Morning peak (6-9)",B5140&lt;=15,"Midday (10-15)",B5140&lt;=19,"Evening peak (16-19)",TRUE,"Late evening (20-23)")</f>
        <v>Midday (10-15)</v>
      </c>
    </row>
    <row r="5141" spans="1:9">
      <c r="A5141" s="32">
        <v>42036</v>
      </c>
      <c r="B5141">
        <v>13</v>
      </c>
      <c r="C5141">
        <v>3276</v>
      </c>
      <c r="D5141" t="s">
        <v>304</v>
      </c>
      <c r="E5141">
        <f>YEAR(A5141)</f>
        <v>2015</v>
      </c>
      <c r="F5141" s="33">
        <f>DATE(YEAR(A5141),MONTH(A5141),1)</f>
        <v>42036.0</v>
      </c>
      <c r="G5141" t="str">
        <f>CHOOSE(WEEKDAY(A5141,2),"Mon","Tue","Wed","Thu","Fri","Sat","Sun")</f>
        <v>Sun</v>
      </c>
      <c r="H5141" t="str">
        <f>IF(WEEKDAY(A5141,2)&gt;5,"Weekend","Weekday")</f>
        <v>Weekend</v>
      </c>
      <c r="I5141" t="str">
        <f>_xlfn.IFS(B5141&lt;=5,"Night (0-5)",B5141&lt;=9,"Morning peak (6-9)",B5141&lt;=15,"Midday (10-15)",B5141&lt;=19,"Evening peak (16-19)",TRUE,"Late evening (20-23)")</f>
        <v>Midday (10-15)</v>
      </c>
    </row>
    <row r="5142" spans="1:9">
      <c r="A5142" s="32">
        <v>42036</v>
      </c>
      <c r="B5142">
        <v>14</v>
      </c>
      <c r="C5142">
        <v>3226</v>
      </c>
      <c r="D5142" t="s">
        <v>304</v>
      </c>
      <c r="E5142">
        <f>YEAR(A5142)</f>
        <v>2015</v>
      </c>
      <c r="F5142" s="33">
        <f>DATE(YEAR(A5142),MONTH(A5142),1)</f>
        <v>42036.0</v>
      </c>
      <c r="G5142" t="str">
        <f>CHOOSE(WEEKDAY(A5142,2),"Mon","Tue","Wed","Thu","Fri","Sat","Sun")</f>
        <v>Sun</v>
      </c>
      <c r="H5142" t="str">
        <f>IF(WEEKDAY(A5142,2)&gt;5,"Weekend","Weekday")</f>
        <v>Weekend</v>
      </c>
      <c r="I5142" t="str">
        <f>_xlfn.IFS(B5142&lt;=5,"Night (0-5)",B5142&lt;=9,"Morning peak (6-9)",B5142&lt;=15,"Midday (10-15)",B5142&lt;=19,"Evening peak (16-19)",TRUE,"Late evening (20-23)")</f>
        <v>Midday (10-15)</v>
      </c>
    </row>
    <row r="5143" spans="1:9">
      <c r="A5143" s="32">
        <v>42036</v>
      </c>
      <c r="B5143">
        <v>15</v>
      </c>
      <c r="C5143">
        <v>3610</v>
      </c>
      <c r="D5143" t="s">
        <v>304</v>
      </c>
      <c r="E5143">
        <f>YEAR(A5143)</f>
        <v>2015</v>
      </c>
      <c r="F5143" s="33">
        <f>DATE(YEAR(A5143),MONTH(A5143),1)</f>
        <v>42036.0</v>
      </c>
      <c r="G5143" t="str">
        <f>CHOOSE(WEEKDAY(A5143,2),"Mon","Tue","Wed","Thu","Fri","Sat","Sun")</f>
        <v>Sun</v>
      </c>
      <c r="H5143" t="str">
        <f>IF(WEEKDAY(A5143,2)&gt;5,"Weekend","Weekday")</f>
        <v>Weekend</v>
      </c>
      <c r="I5143" t="str">
        <f>_xlfn.IFS(B5143&lt;=5,"Night (0-5)",B5143&lt;=9,"Morning peak (6-9)",B5143&lt;=15,"Midday (10-15)",B5143&lt;=19,"Evening peak (16-19)",TRUE,"Late evening (20-23)")</f>
        <v>Midday (10-15)</v>
      </c>
    </row>
    <row r="5144" spans="1:9">
      <c r="A5144" s="32">
        <v>42036</v>
      </c>
      <c r="B5144">
        <v>16</v>
      </c>
      <c r="C5144">
        <v>4735</v>
      </c>
      <c r="D5144" t="s">
        <v>304</v>
      </c>
      <c r="E5144">
        <f>YEAR(A5144)</f>
        <v>2015</v>
      </c>
      <c r="F5144" s="33">
        <f>DATE(YEAR(A5144),MONTH(A5144),1)</f>
        <v>42036.0</v>
      </c>
      <c r="G5144" t="str">
        <f>CHOOSE(WEEKDAY(A5144,2),"Mon","Tue","Wed","Thu","Fri","Sat","Sun")</f>
        <v>Sun</v>
      </c>
      <c r="H5144" t="str">
        <f>IF(WEEKDAY(A5144,2)&gt;5,"Weekend","Weekday")</f>
        <v>Weekend</v>
      </c>
      <c r="I5144" t="str">
        <f>_xlfn.IFS(B5144&lt;=5,"Night (0-5)",B5144&lt;=9,"Morning peak (6-9)",B5144&lt;=15,"Midday (10-15)",B5144&lt;=19,"Evening peak (16-19)",TRUE,"Late evening (20-23)")</f>
        <v>Evening peak (16-19)</v>
      </c>
    </row>
    <row r="5145" spans="1:9">
      <c r="A5145" s="32">
        <v>42036</v>
      </c>
      <c r="B5145">
        <v>17</v>
      </c>
      <c r="C5145">
        <v>6143</v>
      </c>
      <c r="D5145" t="s">
        <v>304</v>
      </c>
      <c r="E5145">
        <f>YEAR(A5145)</f>
        <v>2015</v>
      </c>
      <c r="F5145" s="33">
        <f>DATE(YEAR(A5145),MONTH(A5145),1)</f>
        <v>42036.0</v>
      </c>
      <c r="G5145" t="str">
        <f>CHOOSE(WEEKDAY(A5145,2),"Mon","Tue","Wed","Thu","Fri","Sat","Sun")</f>
        <v>Sun</v>
      </c>
      <c r="H5145" t="str">
        <f>IF(WEEKDAY(A5145,2)&gt;5,"Weekend","Weekday")</f>
        <v>Weekend</v>
      </c>
      <c r="I5145" t="str">
        <f>_xlfn.IFS(B5145&lt;=5,"Night (0-5)",B5145&lt;=9,"Morning peak (6-9)",B5145&lt;=15,"Midday (10-15)",B5145&lt;=19,"Evening peak (16-19)",TRUE,"Late evening (20-23)")</f>
        <v>Evening peak (16-19)</v>
      </c>
    </row>
    <row r="5146" spans="1:9">
      <c r="A5146" s="32">
        <v>42036</v>
      </c>
      <c r="B5146">
        <v>18</v>
      </c>
      <c r="C5146">
        <v>5621</v>
      </c>
      <c r="D5146" t="s">
        <v>304</v>
      </c>
      <c r="E5146">
        <f>YEAR(A5146)</f>
        <v>2015</v>
      </c>
      <c r="F5146" s="33">
        <f>DATE(YEAR(A5146),MONTH(A5146),1)</f>
        <v>42036.0</v>
      </c>
      <c r="G5146" t="str">
        <f>CHOOSE(WEEKDAY(A5146,2),"Mon","Tue","Wed","Thu","Fri","Sat","Sun")</f>
        <v>Sun</v>
      </c>
      <c r="H5146" t="str">
        <f>IF(WEEKDAY(A5146,2)&gt;5,"Weekend","Weekday")</f>
        <v>Weekend</v>
      </c>
      <c r="I5146" t="str">
        <f>_xlfn.IFS(B5146&lt;=5,"Night (0-5)",B5146&lt;=9,"Morning peak (6-9)",B5146&lt;=15,"Midday (10-15)",B5146&lt;=19,"Evening peak (16-19)",TRUE,"Late evening (20-23)")</f>
        <v>Evening peak (16-19)</v>
      </c>
    </row>
    <row r="5147" spans="1:9">
      <c r="A5147" s="32">
        <v>42036</v>
      </c>
      <c r="B5147">
        <v>19</v>
      </c>
      <c r="C5147">
        <v>3022</v>
      </c>
      <c r="D5147" t="s">
        <v>304</v>
      </c>
      <c r="E5147">
        <f>YEAR(A5147)</f>
        <v>2015</v>
      </c>
      <c r="F5147" s="33">
        <f>DATE(YEAR(A5147),MONTH(A5147),1)</f>
        <v>42036.0</v>
      </c>
      <c r="G5147" t="str">
        <f>CHOOSE(WEEKDAY(A5147,2),"Mon","Tue","Wed","Thu","Fri","Sat","Sun")</f>
        <v>Sun</v>
      </c>
      <c r="H5147" t="str">
        <f>IF(WEEKDAY(A5147,2)&gt;5,"Weekend","Weekday")</f>
        <v>Weekend</v>
      </c>
      <c r="I5147" t="str">
        <f>_xlfn.IFS(B5147&lt;=5,"Night (0-5)",B5147&lt;=9,"Morning peak (6-9)",B5147&lt;=15,"Midday (10-15)",B5147&lt;=19,"Evening peak (16-19)",TRUE,"Late evening (20-23)")</f>
        <v>Evening peak (16-19)</v>
      </c>
    </row>
    <row r="5148" spans="1:9">
      <c r="A5148" s="32">
        <v>42036</v>
      </c>
      <c r="B5148">
        <v>20</v>
      </c>
      <c r="C5148">
        <v>3112</v>
      </c>
      <c r="D5148" t="s">
        <v>304</v>
      </c>
      <c r="E5148">
        <f>YEAR(A5148)</f>
        <v>2015</v>
      </c>
      <c r="F5148" s="33">
        <f>DATE(YEAR(A5148),MONTH(A5148),1)</f>
        <v>42036.0</v>
      </c>
      <c r="G5148" t="str">
        <f>CHOOSE(WEEKDAY(A5148,2),"Mon","Tue","Wed","Thu","Fri","Sat","Sun")</f>
        <v>Sun</v>
      </c>
      <c r="H5148" t="str">
        <f>IF(WEEKDAY(A5148,2)&gt;5,"Weekend","Weekday")</f>
        <v>Weekend</v>
      </c>
      <c r="I5148" t="str">
        <f>_xlfn.IFS(B5148&lt;=5,"Night (0-5)",B5148&lt;=9,"Morning peak (6-9)",B5148&lt;=15,"Midday (10-15)",B5148&lt;=19,"Evening peak (16-19)",TRUE,"Late evening (20-23)")</f>
        <v>Late evening (20-23)</v>
      </c>
    </row>
    <row r="5149" spans="1:9">
      <c r="A5149" s="32">
        <v>42036</v>
      </c>
      <c r="B5149">
        <v>21</v>
      </c>
      <c r="C5149">
        <v>3245</v>
      </c>
      <c r="D5149" t="s">
        <v>304</v>
      </c>
      <c r="E5149">
        <f>YEAR(A5149)</f>
        <v>2015</v>
      </c>
      <c r="F5149" s="33">
        <f>DATE(YEAR(A5149),MONTH(A5149),1)</f>
        <v>42036.0</v>
      </c>
      <c r="G5149" t="str">
        <f>CHOOSE(WEEKDAY(A5149,2),"Mon","Tue","Wed","Thu","Fri","Sat","Sun")</f>
        <v>Sun</v>
      </c>
      <c r="H5149" t="str">
        <f>IF(WEEKDAY(A5149,2)&gt;5,"Weekend","Weekday")</f>
        <v>Weekend</v>
      </c>
      <c r="I5149" t="str">
        <f>_xlfn.IFS(B5149&lt;=5,"Night (0-5)",B5149&lt;=9,"Morning peak (6-9)",B5149&lt;=15,"Midday (10-15)",B5149&lt;=19,"Evening peak (16-19)",TRUE,"Late evening (20-23)")</f>
        <v>Late evening (20-23)</v>
      </c>
    </row>
    <row r="5150" spans="1:9">
      <c r="A5150" s="32">
        <v>42036</v>
      </c>
      <c r="B5150">
        <v>22</v>
      </c>
      <c r="C5150">
        <v>7418</v>
      </c>
      <c r="D5150" t="s">
        <v>304</v>
      </c>
      <c r="E5150">
        <f>YEAR(A5150)</f>
        <v>2015</v>
      </c>
      <c r="F5150" s="33">
        <f>DATE(YEAR(A5150),MONTH(A5150),1)</f>
        <v>42036.0</v>
      </c>
      <c r="G5150" t="str">
        <f>CHOOSE(WEEKDAY(A5150,2),"Mon","Tue","Wed","Thu","Fri","Sat","Sun")</f>
        <v>Sun</v>
      </c>
      <c r="H5150" t="str">
        <f>IF(WEEKDAY(A5150,2)&gt;5,"Weekend","Weekday")</f>
        <v>Weekend</v>
      </c>
      <c r="I5150" t="str">
        <f>_xlfn.IFS(B5150&lt;=5,"Night (0-5)",B5150&lt;=9,"Morning peak (6-9)",B5150&lt;=15,"Midday (10-15)",B5150&lt;=19,"Evening peak (16-19)",TRUE,"Late evening (20-23)")</f>
        <v>Late evening (20-23)</v>
      </c>
    </row>
    <row r="5151" spans="1:9">
      <c r="A5151" s="32">
        <v>42036</v>
      </c>
      <c r="B5151">
        <v>23</v>
      </c>
      <c r="C5151">
        <v>4260</v>
      </c>
      <c r="D5151" t="s">
        <v>304</v>
      </c>
      <c r="E5151">
        <f>YEAR(A5151)</f>
        <v>2015</v>
      </c>
      <c r="F5151" s="33">
        <f>DATE(YEAR(A5151),MONTH(A5151),1)</f>
        <v>42036.0</v>
      </c>
      <c r="G5151" t="str">
        <f>CHOOSE(WEEKDAY(A5151,2),"Mon","Tue","Wed","Thu","Fri","Sat","Sun")</f>
        <v>Sun</v>
      </c>
      <c r="H5151" t="str">
        <f>IF(WEEKDAY(A5151,2)&gt;5,"Weekend","Weekday")</f>
        <v>Weekend</v>
      </c>
      <c r="I5151" t="str">
        <f>_xlfn.IFS(B5151&lt;=5,"Night (0-5)",B5151&lt;=9,"Morning peak (6-9)",B5151&lt;=15,"Midday (10-15)",B5151&lt;=19,"Evening peak (16-19)",TRUE,"Late evening (20-23)")</f>
        <v>Late evening (20-23)</v>
      </c>
    </row>
    <row r="5152" spans="1:9">
      <c r="A5152" s="32">
        <v>42037</v>
      </c>
      <c r="B5152">
        <v>0</v>
      </c>
      <c r="C5152">
        <v>1751</v>
      </c>
      <c r="D5152" t="s">
        <v>304</v>
      </c>
      <c r="E5152">
        <f>YEAR(A5152)</f>
        <v>2015</v>
      </c>
      <c r="F5152" s="33">
        <f>DATE(YEAR(A5152),MONTH(A5152),1)</f>
        <v>42036.0</v>
      </c>
      <c r="G5152" t="str">
        <f>CHOOSE(WEEKDAY(A5152,2),"Mon","Tue","Wed","Thu","Fri","Sat","Sun")</f>
        <v>Mon</v>
      </c>
      <c r="H5152" t="str">
        <f>IF(WEEKDAY(A5152,2)&gt;5,"Weekend","Weekday")</f>
        <v>Weekday</v>
      </c>
      <c r="I5152" t="str">
        <f>_xlfn.IFS(B5152&lt;=5,"Night (0-5)",B5152&lt;=9,"Morning peak (6-9)",B5152&lt;=15,"Midday (10-15)",B5152&lt;=19,"Evening peak (16-19)",TRUE,"Late evening (20-23)")</f>
        <v>Night (0-5)</v>
      </c>
    </row>
    <row r="5153" spans="1:9">
      <c r="A5153" s="32">
        <v>42037</v>
      </c>
      <c r="B5153">
        <v>1</v>
      </c>
      <c r="C5153">
        <v>904</v>
      </c>
      <c r="D5153" t="s">
        <v>304</v>
      </c>
      <c r="E5153">
        <f>YEAR(A5153)</f>
        <v>2015</v>
      </c>
      <c r="F5153" s="33">
        <f>DATE(YEAR(A5153),MONTH(A5153),1)</f>
        <v>42036.0</v>
      </c>
      <c r="G5153" t="str">
        <f>CHOOSE(WEEKDAY(A5153,2),"Mon","Tue","Wed","Thu","Fri","Sat","Sun")</f>
        <v>Mon</v>
      </c>
      <c r="H5153" t="str">
        <f>IF(WEEKDAY(A5153,2)&gt;5,"Weekend","Weekday")</f>
        <v>Weekday</v>
      </c>
      <c r="I5153" t="str">
        <f>_xlfn.IFS(B5153&lt;=5,"Night (0-5)",B5153&lt;=9,"Morning peak (6-9)",B5153&lt;=15,"Midday (10-15)",B5153&lt;=19,"Evening peak (16-19)",TRUE,"Late evening (20-23)")</f>
        <v>Night (0-5)</v>
      </c>
    </row>
    <row r="5154" spans="1:9">
      <c r="A5154" s="32">
        <v>42037</v>
      </c>
      <c r="B5154">
        <v>2</v>
      </c>
      <c r="C5154">
        <v>534</v>
      </c>
      <c r="D5154" t="s">
        <v>304</v>
      </c>
      <c r="E5154">
        <f>YEAR(A5154)</f>
        <v>2015</v>
      </c>
      <c r="F5154" s="33">
        <f>DATE(YEAR(A5154),MONTH(A5154),1)</f>
        <v>42036.0</v>
      </c>
      <c r="G5154" t="str">
        <f>CHOOSE(WEEKDAY(A5154,2),"Mon","Tue","Wed","Thu","Fri","Sat","Sun")</f>
        <v>Mon</v>
      </c>
      <c r="H5154" t="str">
        <f>IF(WEEKDAY(A5154,2)&gt;5,"Weekend","Weekday")</f>
        <v>Weekday</v>
      </c>
      <c r="I5154" t="str">
        <f>_xlfn.IFS(B5154&lt;=5,"Night (0-5)",B5154&lt;=9,"Morning peak (6-9)",B5154&lt;=15,"Midday (10-15)",B5154&lt;=19,"Evening peak (16-19)",TRUE,"Late evening (20-23)")</f>
        <v>Night (0-5)</v>
      </c>
    </row>
    <row r="5155" spans="1:9">
      <c r="A5155" s="32">
        <v>42037</v>
      </c>
      <c r="B5155">
        <v>3</v>
      </c>
      <c r="C5155">
        <v>386</v>
      </c>
      <c r="D5155" t="s">
        <v>304</v>
      </c>
      <c r="E5155">
        <f>YEAR(A5155)</f>
        <v>2015</v>
      </c>
      <c r="F5155" s="33">
        <f>DATE(YEAR(A5155),MONTH(A5155),1)</f>
        <v>42036.0</v>
      </c>
      <c r="G5155" t="str">
        <f>CHOOSE(WEEKDAY(A5155,2),"Mon","Tue","Wed","Thu","Fri","Sat","Sun")</f>
        <v>Mon</v>
      </c>
      <c r="H5155" t="str">
        <f>IF(WEEKDAY(A5155,2)&gt;5,"Weekend","Weekday")</f>
        <v>Weekday</v>
      </c>
      <c r="I5155" t="str">
        <f>_xlfn.IFS(B5155&lt;=5,"Night (0-5)",B5155&lt;=9,"Morning peak (6-9)",B5155&lt;=15,"Midday (10-15)",B5155&lt;=19,"Evening peak (16-19)",TRUE,"Late evening (20-23)")</f>
        <v>Night (0-5)</v>
      </c>
    </row>
    <row r="5156" spans="1:9">
      <c r="A5156" s="32">
        <v>42037</v>
      </c>
      <c r="B5156">
        <v>4</v>
      </c>
      <c r="C5156">
        <v>509</v>
      </c>
      <c r="D5156" t="s">
        <v>304</v>
      </c>
      <c r="E5156">
        <f>YEAR(A5156)</f>
        <v>2015</v>
      </c>
      <c r="F5156" s="33">
        <f>DATE(YEAR(A5156),MONTH(A5156),1)</f>
        <v>42036.0</v>
      </c>
      <c r="G5156" t="str">
        <f>CHOOSE(WEEKDAY(A5156,2),"Mon","Tue","Wed","Thu","Fri","Sat","Sun")</f>
        <v>Mon</v>
      </c>
      <c r="H5156" t="str">
        <f>IF(WEEKDAY(A5156,2)&gt;5,"Weekend","Weekday")</f>
        <v>Weekday</v>
      </c>
      <c r="I5156" t="str">
        <f>_xlfn.IFS(B5156&lt;=5,"Night (0-5)",B5156&lt;=9,"Morning peak (6-9)",B5156&lt;=15,"Midday (10-15)",B5156&lt;=19,"Evening peak (16-19)",TRUE,"Late evening (20-23)")</f>
        <v>Night (0-5)</v>
      </c>
    </row>
    <row r="5157" spans="1:9">
      <c r="A5157" s="32">
        <v>42037</v>
      </c>
      <c r="B5157">
        <v>5</v>
      </c>
      <c r="C5157">
        <v>963</v>
      </c>
      <c r="D5157" t="s">
        <v>304</v>
      </c>
      <c r="E5157">
        <f>YEAR(A5157)</f>
        <v>2015</v>
      </c>
      <c r="F5157" s="33">
        <f>DATE(YEAR(A5157),MONTH(A5157),1)</f>
        <v>42036.0</v>
      </c>
      <c r="G5157" t="str">
        <f>CHOOSE(WEEKDAY(A5157,2),"Mon","Tue","Wed","Thu","Fri","Sat","Sun")</f>
        <v>Mon</v>
      </c>
      <c r="H5157" t="str">
        <f>IF(WEEKDAY(A5157,2)&gt;5,"Weekend","Weekday")</f>
        <v>Weekday</v>
      </c>
      <c r="I5157" t="str">
        <f>_xlfn.IFS(B5157&lt;=5,"Night (0-5)",B5157&lt;=9,"Morning peak (6-9)",B5157&lt;=15,"Midday (10-15)",B5157&lt;=19,"Evening peak (16-19)",TRUE,"Late evening (20-23)")</f>
        <v>Night (0-5)</v>
      </c>
    </row>
    <row r="5158" spans="1:9">
      <c r="A5158" s="32">
        <v>42037</v>
      </c>
      <c r="B5158">
        <v>6</v>
      </c>
      <c r="C5158">
        <v>1975</v>
      </c>
      <c r="D5158" t="s">
        <v>304</v>
      </c>
      <c r="E5158">
        <f>YEAR(A5158)</f>
        <v>2015</v>
      </c>
      <c r="F5158" s="33">
        <f>DATE(YEAR(A5158),MONTH(A5158),1)</f>
        <v>42036.0</v>
      </c>
      <c r="G5158" t="str">
        <f>CHOOSE(WEEKDAY(A5158,2),"Mon","Tue","Wed","Thu","Fri","Sat","Sun")</f>
        <v>Mon</v>
      </c>
      <c r="H5158" t="str">
        <f>IF(WEEKDAY(A5158,2)&gt;5,"Weekend","Weekday")</f>
        <v>Weekday</v>
      </c>
      <c r="I5158" t="str">
        <f>_xlfn.IFS(B5158&lt;=5,"Night (0-5)",B5158&lt;=9,"Morning peak (6-9)",B5158&lt;=15,"Midday (10-15)",B5158&lt;=19,"Evening peak (16-19)",TRUE,"Late evening (20-23)")</f>
        <v>Morning peak (6-9)</v>
      </c>
    </row>
    <row r="5159" spans="1:9">
      <c r="A5159" s="32">
        <v>42037</v>
      </c>
      <c r="B5159">
        <v>7</v>
      </c>
      <c r="C5159">
        <v>3460</v>
      </c>
      <c r="D5159" t="s">
        <v>304</v>
      </c>
      <c r="E5159">
        <f>YEAR(A5159)</f>
        <v>2015</v>
      </c>
      <c r="F5159" s="33">
        <f>DATE(YEAR(A5159),MONTH(A5159),1)</f>
        <v>42036.0</v>
      </c>
      <c r="G5159" t="str">
        <f>CHOOSE(WEEKDAY(A5159,2),"Mon","Tue","Wed","Thu","Fri","Sat","Sun")</f>
        <v>Mon</v>
      </c>
      <c r="H5159" t="str">
        <f>IF(WEEKDAY(A5159,2)&gt;5,"Weekend","Weekday")</f>
        <v>Weekday</v>
      </c>
      <c r="I5159" t="str">
        <f>_xlfn.IFS(B5159&lt;=5,"Night (0-5)",B5159&lt;=9,"Morning peak (6-9)",B5159&lt;=15,"Midday (10-15)",B5159&lt;=19,"Evening peak (16-19)",TRUE,"Late evening (20-23)")</f>
        <v>Morning peak (6-9)</v>
      </c>
    </row>
    <row r="5160" spans="1:9">
      <c r="A5160" s="32">
        <v>42037</v>
      </c>
      <c r="B5160">
        <v>8</v>
      </c>
      <c r="C5160">
        <v>4596</v>
      </c>
      <c r="D5160" t="s">
        <v>304</v>
      </c>
      <c r="E5160">
        <f>YEAR(A5160)</f>
        <v>2015</v>
      </c>
      <c r="F5160" s="33">
        <f>DATE(YEAR(A5160),MONTH(A5160),1)</f>
        <v>42036.0</v>
      </c>
      <c r="G5160" t="str">
        <f>CHOOSE(WEEKDAY(A5160,2),"Mon","Tue","Wed","Thu","Fri","Sat","Sun")</f>
        <v>Mon</v>
      </c>
      <c r="H5160" t="str">
        <f>IF(WEEKDAY(A5160,2)&gt;5,"Weekend","Weekday")</f>
        <v>Weekday</v>
      </c>
      <c r="I5160" t="str">
        <f>_xlfn.IFS(B5160&lt;=5,"Night (0-5)",B5160&lt;=9,"Morning peak (6-9)",B5160&lt;=15,"Midday (10-15)",B5160&lt;=19,"Evening peak (16-19)",TRUE,"Late evening (20-23)")</f>
        <v>Morning peak (6-9)</v>
      </c>
    </row>
    <row r="5161" spans="1:9">
      <c r="A5161" s="32">
        <v>42037</v>
      </c>
      <c r="B5161">
        <v>9</v>
      </c>
      <c r="C5161">
        <v>4516</v>
      </c>
      <c r="D5161" t="s">
        <v>304</v>
      </c>
      <c r="E5161">
        <f>YEAR(A5161)</f>
        <v>2015</v>
      </c>
      <c r="F5161" s="33">
        <f>DATE(YEAR(A5161),MONTH(A5161),1)</f>
        <v>42036.0</v>
      </c>
      <c r="G5161" t="str">
        <f>CHOOSE(WEEKDAY(A5161,2),"Mon","Tue","Wed","Thu","Fri","Sat","Sun")</f>
        <v>Mon</v>
      </c>
      <c r="H5161" t="str">
        <f>IF(WEEKDAY(A5161,2)&gt;5,"Weekend","Weekday")</f>
        <v>Weekday</v>
      </c>
      <c r="I5161" t="str">
        <f>_xlfn.IFS(B5161&lt;=5,"Night (0-5)",B5161&lt;=9,"Morning peak (6-9)",B5161&lt;=15,"Midday (10-15)",B5161&lt;=19,"Evening peak (16-19)",TRUE,"Late evening (20-23)")</f>
        <v>Morning peak (6-9)</v>
      </c>
    </row>
    <row r="5162" spans="1:9">
      <c r="A5162" s="32">
        <v>42037</v>
      </c>
      <c r="B5162">
        <v>10</v>
      </c>
      <c r="C5162">
        <v>3344</v>
      </c>
      <c r="D5162" t="s">
        <v>304</v>
      </c>
      <c r="E5162">
        <f>YEAR(A5162)</f>
        <v>2015</v>
      </c>
      <c r="F5162" s="33">
        <f>DATE(YEAR(A5162),MONTH(A5162),1)</f>
        <v>42036.0</v>
      </c>
      <c r="G5162" t="str">
        <f>CHOOSE(WEEKDAY(A5162,2),"Mon","Tue","Wed","Thu","Fri","Sat","Sun")</f>
        <v>Mon</v>
      </c>
      <c r="H5162" t="str">
        <f>IF(WEEKDAY(A5162,2)&gt;5,"Weekend","Weekday")</f>
        <v>Weekday</v>
      </c>
      <c r="I5162" t="str">
        <f>_xlfn.IFS(B5162&lt;=5,"Night (0-5)",B5162&lt;=9,"Morning peak (6-9)",B5162&lt;=15,"Midday (10-15)",B5162&lt;=19,"Evening peak (16-19)",TRUE,"Late evening (20-23)")</f>
        <v>Midday (10-15)</v>
      </c>
    </row>
    <row r="5163" spans="1:9">
      <c r="A5163" s="32">
        <v>42037</v>
      </c>
      <c r="B5163">
        <v>11</v>
      </c>
      <c r="C5163">
        <v>2984</v>
      </c>
      <c r="D5163" t="s">
        <v>304</v>
      </c>
      <c r="E5163">
        <f>YEAR(A5163)</f>
        <v>2015</v>
      </c>
      <c r="F5163" s="33">
        <f>DATE(YEAR(A5163),MONTH(A5163),1)</f>
        <v>42036.0</v>
      </c>
      <c r="G5163" t="str">
        <f>CHOOSE(WEEKDAY(A5163,2),"Mon","Tue","Wed","Thu","Fri","Sat","Sun")</f>
        <v>Mon</v>
      </c>
      <c r="H5163" t="str">
        <f>IF(WEEKDAY(A5163,2)&gt;5,"Weekend","Weekday")</f>
        <v>Weekday</v>
      </c>
      <c r="I5163" t="str">
        <f>_xlfn.IFS(B5163&lt;=5,"Night (0-5)",B5163&lt;=9,"Morning peak (6-9)",B5163&lt;=15,"Midday (10-15)",B5163&lt;=19,"Evening peak (16-19)",TRUE,"Late evening (20-23)")</f>
        <v>Midday (10-15)</v>
      </c>
    </row>
    <row r="5164" spans="1:9">
      <c r="A5164" s="32">
        <v>42037</v>
      </c>
      <c r="B5164">
        <v>12</v>
      </c>
      <c r="C5164">
        <v>2855</v>
      </c>
      <c r="D5164" t="s">
        <v>304</v>
      </c>
      <c r="E5164">
        <f>YEAR(A5164)</f>
        <v>2015</v>
      </c>
      <c r="F5164" s="33">
        <f>DATE(YEAR(A5164),MONTH(A5164),1)</f>
        <v>42036.0</v>
      </c>
      <c r="G5164" t="str">
        <f>CHOOSE(WEEKDAY(A5164,2),"Mon","Tue","Wed","Thu","Fri","Sat","Sun")</f>
        <v>Mon</v>
      </c>
      <c r="H5164" t="str">
        <f>IF(WEEKDAY(A5164,2)&gt;5,"Weekend","Weekday")</f>
        <v>Weekday</v>
      </c>
      <c r="I5164" t="str">
        <f>_xlfn.IFS(B5164&lt;=5,"Night (0-5)",B5164&lt;=9,"Morning peak (6-9)",B5164&lt;=15,"Midday (10-15)",B5164&lt;=19,"Evening peak (16-19)",TRUE,"Late evening (20-23)")</f>
        <v>Midday (10-15)</v>
      </c>
    </row>
    <row r="5165" spans="1:9">
      <c r="A5165" s="32">
        <v>42037</v>
      </c>
      <c r="B5165">
        <v>13</v>
      </c>
      <c r="C5165">
        <v>2752</v>
      </c>
      <c r="D5165" t="s">
        <v>304</v>
      </c>
      <c r="E5165">
        <f>YEAR(A5165)</f>
        <v>2015</v>
      </c>
      <c r="F5165" s="33">
        <f>DATE(YEAR(A5165),MONTH(A5165),1)</f>
        <v>42036.0</v>
      </c>
      <c r="G5165" t="str">
        <f>CHOOSE(WEEKDAY(A5165,2),"Mon","Tue","Wed","Thu","Fri","Sat","Sun")</f>
        <v>Mon</v>
      </c>
      <c r="H5165" t="str">
        <f>IF(WEEKDAY(A5165,2)&gt;5,"Weekend","Weekday")</f>
        <v>Weekday</v>
      </c>
      <c r="I5165" t="str">
        <f>_xlfn.IFS(B5165&lt;=5,"Night (0-5)",B5165&lt;=9,"Morning peak (6-9)",B5165&lt;=15,"Midday (10-15)",B5165&lt;=19,"Evening peak (16-19)",TRUE,"Late evening (20-23)")</f>
        <v>Midday (10-15)</v>
      </c>
    </row>
    <row r="5166" spans="1:9">
      <c r="A5166" s="32">
        <v>42037</v>
      </c>
      <c r="B5166">
        <v>14</v>
      </c>
      <c r="C5166">
        <v>3221</v>
      </c>
      <c r="D5166" t="s">
        <v>304</v>
      </c>
      <c r="E5166">
        <f>YEAR(A5166)</f>
        <v>2015</v>
      </c>
      <c r="F5166" s="33">
        <f>DATE(YEAR(A5166),MONTH(A5166),1)</f>
        <v>42036.0</v>
      </c>
      <c r="G5166" t="str">
        <f>CHOOSE(WEEKDAY(A5166,2),"Mon","Tue","Wed","Thu","Fri","Sat","Sun")</f>
        <v>Mon</v>
      </c>
      <c r="H5166" t="str">
        <f>IF(WEEKDAY(A5166,2)&gt;5,"Weekend","Weekday")</f>
        <v>Weekday</v>
      </c>
      <c r="I5166" t="str">
        <f>_xlfn.IFS(B5166&lt;=5,"Night (0-5)",B5166&lt;=9,"Morning peak (6-9)",B5166&lt;=15,"Midday (10-15)",B5166&lt;=19,"Evening peak (16-19)",TRUE,"Late evening (20-23)")</f>
        <v>Midday (10-15)</v>
      </c>
    </row>
    <row r="5167" spans="1:9">
      <c r="A5167" s="32">
        <v>42037</v>
      </c>
      <c r="B5167">
        <v>15</v>
      </c>
      <c r="C5167">
        <v>3411</v>
      </c>
      <c r="D5167" t="s">
        <v>304</v>
      </c>
      <c r="E5167">
        <f>YEAR(A5167)</f>
        <v>2015</v>
      </c>
      <c r="F5167" s="33">
        <f>DATE(YEAR(A5167),MONTH(A5167),1)</f>
        <v>42036.0</v>
      </c>
      <c r="G5167" t="str">
        <f>CHOOSE(WEEKDAY(A5167,2),"Mon","Tue","Wed","Thu","Fri","Sat","Sun")</f>
        <v>Mon</v>
      </c>
      <c r="H5167" t="str">
        <f>IF(WEEKDAY(A5167,2)&gt;5,"Weekend","Weekday")</f>
        <v>Weekday</v>
      </c>
      <c r="I5167" t="str">
        <f>_xlfn.IFS(B5167&lt;=5,"Night (0-5)",B5167&lt;=9,"Morning peak (6-9)",B5167&lt;=15,"Midday (10-15)",B5167&lt;=19,"Evening peak (16-19)",TRUE,"Late evening (20-23)")</f>
        <v>Midday (10-15)</v>
      </c>
    </row>
    <row r="5168" spans="1:9">
      <c r="A5168" s="32">
        <v>42037</v>
      </c>
      <c r="B5168">
        <v>16</v>
      </c>
      <c r="C5168">
        <v>3887</v>
      </c>
      <c r="D5168" t="s">
        <v>304</v>
      </c>
      <c r="E5168">
        <f>YEAR(A5168)</f>
        <v>2015</v>
      </c>
      <c r="F5168" s="33">
        <f>DATE(YEAR(A5168),MONTH(A5168),1)</f>
        <v>42036.0</v>
      </c>
      <c r="G5168" t="str">
        <f>CHOOSE(WEEKDAY(A5168,2),"Mon","Tue","Wed","Thu","Fri","Sat","Sun")</f>
        <v>Mon</v>
      </c>
      <c r="H5168" t="str">
        <f>IF(WEEKDAY(A5168,2)&gt;5,"Weekend","Weekday")</f>
        <v>Weekday</v>
      </c>
      <c r="I5168" t="str">
        <f>_xlfn.IFS(B5168&lt;=5,"Night (0-5)",B5168&lt;=9,"Morning peak (6-9)",B5168&lt;=15,"Midday (10-15)",B5168&lt;=19,"Evening peak (16-19)",TRUE,"Late evening (20-23)")</f>
        <v>Evening peak (16-19)</v>
      </c>
    </row>
    <row r="5169" spans="1:9">
      <c r="A5169" s="32">
        <v>42037</v>
      </c>
      <c r="B5169">
        <v>17</v>
      </c>
      <c r="C5169">
        <v>4741</v>
      </c>
      <c r="D5169" t="s">
        <v>304</v>
      </c>
      <c r="E5169">
        <f>YEAR(A5169)</f>
        <v>2015</v>
      </c>
      <c r="F5169" s="33">
        <f>DATE(YEAR(A5169),MONTH(A5169),1)</f>
        <v>42036.0</v>
      </c>
      <c r="G5169" t="str">
        <f>CHOOSE(WEEKDAY(A5169,2),"Mon","Tue","Wed","Thu","Fri","Sat","Sun")</f>
        <v>Mon</v>
      </c>
      <c r="H5169" t="str">
        <f>IF(WEEKDAY(A5169,2)&gt;5,"Weekend","Weekday")</f>
        <v>Weekday</v>
      </c>
      <c r="I5169" t="str">
        <f>_xlfn.IFS(B5169&lt;=5,"Night (0-5)",B5169&lt;=9,"Morning peak (6-9)",B5169&lt;=15,"Midday (10-15)",B5169&lt;=19,"Evening peak (16-19)",TRUE,"Late evening (20-23)")</f>
        <v>Evening peak (16-19)</v>
      </c>
    </row>
    <row r="5170" spans="1:9">
      <c r="A5170" s="32">
        <v>42037</v>
      </c>
      <c r="B5170">
        <v>18</v>
      </c>
      <c r="C5170">
        <v>5420</v>
      </c>
      <c r="D5170" t="s">
        <v>304</v>
      </c>
      <c r="E5170">
        <f>YEAR(A5170)</f>
        <v>2015</v>
      </c>
      <c r="F5170" s="33">
        <f>DATE(YEAR(A5170),MONTH(A5170),1)</f>
        <v>42036.0</v>
      </c>
      <c r="G5170" t="str">
        <f>CHOOSE(WEEKDAY(A5170,2),"Mon","Tue","Wed","Thu","Fri","Sat","Sun")</f>
        <v>Mon</v>
      </c>
      <c r="H5170" t="str">
        <f>IF(WEEKDAY(A5170,2)&gt;5,"Weekend","Weekday")</f>
        <v>Weekday</v>
      </c>
      <c r="I5170" t="str">
        <f>_xlfn.IFS(B5170&lt;=5,"Night (0-5)",B5170&lt;=9,"Morning peak (6-9)",B5170&lt;=15,"Midday (10-15)",B5170&lt;=19,"Evening peak (16-19)",TRUE,"Late evening (20-23)")</f>
        <v>Evening peak (16-19)</v>
      </c>
    </row>
    <row r="5171" spans="1:9">
      <c r="A5171" s="32">
        <v>42037</v>
      </c>
      <c r="B5171">
        <v>19</v>
      </c>
      <c r="C5171">
        <v>4844</v>
      </c>
      <c r="D5171" t="s">
        <v>304</v>
      </c>
      <c r="E5171">
        <f>YEAR(A5171)</f>
        <v>2015</v>
      </c>
      <c r="F5171" s="33">
        <f>DATE(YEAR(A5171),MONTH(A5171),1)</f>
        <v>42036.0</v>
      </c>
      <c r="G5171" t="str">
        <f>CHOOSE(WEEKDAY(A5171,2),"Mon","Tue","Wed","Thu","Fri","Sat","Sun")</f>
        <v>Mon</v>
      </c>
      <c r="H5171" t="str">
        <f>IF(WEEKDAY(A5171,2)&gt;5,"Weekend","Weekday")</f>
        <v>Weekday</v>
      </c>
      <c r="I5171" t="str">
        <f>_xlfn.IFS(B5171&lt;=5,"Night (0-5)",B5171&lt;=9,"Morning peak (6-9)",B5171&lt;=15,"Midday (10-15)",B5171&lt;=19,"Evening peak (16-19)",TRUE,"Late evening (20-23)")</f>
        <v>Evening peak (16-19)</v>
      </c>
    </row>
    <row r="5172" spans="1:9">
      <c r="A5172" s="32">
        <v>42037</v>
      </c>
      <c r="B5172">
        <v>20</v>
      </c>
      <c r="C5172">
        <v>4154</v>
      </c>
      <c r="D5172" t="s">
        <v>304</v>
      </c>
      <c r="E5172">
        <f>YEAR(A5172)</f>
        <v>2015</v>
      </c>
      <c r="F5172" s="33">
        <f>DATE(YEAR(A5172),MONTH(A5172),1)</f>
        <v>42036.0</v>
      </c>
      <c r="G5172" t="str">
        <f>CHOOSE(WEEKDAY(A5172,2),"Mon","Tue","Wed","Thu","Fri","Sat","Sun")</f>
        <v>Mon</v>
      </c>
      <c r="H5172" t="str">
        <f>IF(WEEKDAY(A5172,2)&gt;5,"Weekend","Weekday")</f>
        <v>Weekday</v>
      </c>
      <c r="I5172" t="str">
        <f>_xlfn.IFS(B5172&lt;=5,"Night (0-5)",B5172&lt;=9,"Morning peak (6-9)",B5172&lt;=15,"Midday (10-15)",B5172&lt;=19,"Evening peak (16-19)",TRUE,"Late evening (20-23)")</f>
        <v>Late evening (20-23)</v>
      </c>
    </row>
    <row r="5173" spans="1:9">
      <c r="A5173" s="32">
        <v>42037</v>
      </c>
      <c r="B5173">
        <v>21</v>
      </c>
      <c r="C5173">
        <v>3721</v>
      </c>
      <c r="D5173" t="s">
        <v>304</v>
      </c>
      <c r="E5173">
        <f>YEAR(A5173)</f>
        <v>2015</v>
      </c>
      <c r="F5173" s="33">
        <f>DATE(YEAR(A5173),MONTH(A5173),1)</f>
        <v>42036.0</v>
      </c>
      <c r="G5173" t="str">
        <f>CHOOSE(WEEKDAY(A5173,2),"Mon","Tue","Wed","Thu","Fri","Sat","Sun")</f>
        <v>Mon</v>
      </c>
      <c r="H5173" t="str">
        <f>IF(WEEKDAY(A5173,2)&gt;5,"Weekend","Weekday")</f>
        <v>Weekday</v>
      </c>
      <c r="I5173" t="str">
        <f>_xlfn.IFS(B5173&lt;=5,"Night (0-5)",B5173&lt;=9,"Morning peak (6-9)",B5173&lt;=15,"Midday (10-15)",B5173&lt;=19,"Evening peak (16-19)",TRUE,"Late evening (20-23)")</f>
        <v>Late evening (20-23)</v>
      </c>
    </row>
    <row r="5174" spans="1:9">
      <c r="A5174" s="32">
        <v>42037</v>
      </c>
      <c r="B5174">
        <v>22</v>
      </c>
      <c r="C5174">
        <v>3126</v>
      </c>
      <c r="D5174" t="s">
        <v>304</v>
      </c>
      <c r="E5174">
        <f>YEAR(A5174)</f>
        <v>2015</v>
      </c>
      <c r="F5174" s="33">
        <f>DATE(YEAR(A5174),MONTH(A5174),1)</f>
        <v>42036.0</v>
      </c>
      <c r="G5174" t="str">
        <f>CHOOSE(WEEKDAY(A5174,2),"Mon","Tue","Wed","Thu","Fri","Sat","Sun")</f>
        <v>Mon</v>
      </c>
      <c r="H5174" t="str">
        <f>IF(WEEKDAY(A5174,2)&gt;5,"Weekend","Weekday")</f>
        <v>Weekday</v>
      </c>
      <c r="I5174" t="str">
        <f>_xlfn.IFS(B5174&lt;=5,"Night (0-5)",B5174&lt;=9,"Morning peak (6-9)",B5174&lt;=15,"Midday (10-15)",B5174&lt;=19,"Evening peak (16-19)",TRUE,"Late evening (20-23)")</f>
        <v>Late evening (20-23)</v>
      </c>
    </row>
    <row r="5175" spans="1:9">
      <c r="A5175" s="32">
        <v>42037</v>
      </c>
      <c r="B5175">
        <v>23</v>
      </c>
      <c r="C5175">
        <v>2139</v>
      </c>
      <c r="D5175" t="s">
        <v>304</v>
      </c>
      <c r="E5175">
        <f>YEAR(A5175)</f>
        <v>2015</v>
      </c>
      <c r="F5175" s="33">
        <f>DATE(YEAR(A5175),MONTH(A5175),1)</f>
        <v>42036.0</v>
      </c>
      <c r="G5175" t="str">
        <f>CHOOSE(WEEKDAY(A5175,2),"Mon","Tue","Wed","Thu","Fri","Sat","Sun")</f>
        <v>Mon</v>
      </c>
      <c r="H5175" t="str">
        <f>IF(WEEKDAY(A5175,2)&gt;5,"Weekend","Weekday")</f>
        <v>Weekday</v>
      </c>
      <c r="I5175" t="str">
        <f>_xlfn.IFS(B5175&lt;=5,"Night (0-5)",B5175&lt;=9,"Morning peak (6-9)",B5175&lt;=15,"Midday (10-15)",B5175&lt;=19,"Evening peak (16-19)",TRUE,"Late evening (20-23)")</f>
        <v>Late evening (20-23)</v>
      </c>
    </row>
    <row r="5176" spans="1:9">
      <c r="A5176" s="32">
        <v>42038</v>
      </c>
      <c r="B5176">
        <v>0</v>
      </c>
      <c r="C5176">
        <v>1355</v>
      </c>
      <c r="D5176" t="s">
        <v>304</v>
      </c>
      <c r="E5176">
        <f>YEAR(A5176)</f>
        <v>2015</v>
      </c>
      <c r="F5176" s="33">
        <f>DATE(YEAR(A5176),MONTH(A5176),1)</f>
        <v>42036.0</v>
      </c>
      <c r="G5176" t="str">
        <f>CHOOSE(WEEKDAY(A5176,2),"Mon","Tue","Wed","Thu","Fri","Sat","Sun")</f>
        <v>Tue</v>
      </c>
      <c r="H5176" t="str">
        <f>IF(WEEKDAY(A5176,2)&gt;5,"Weekend","Weekday")</f>
        <v>Weekday</v>
      </c>
      <c r="I5176" t="str">
        <f>_xlfn.IFS(B5176&lt;=5,"Night (0-5)",B5176&lt;=9,"Morning peak (6-9)",B5176&lt;=15,"Midday (10-15)",B5176&lt;=19,"Evening peak (16-19)",TRUE,"Late evening (20-23)")</f>
        <v>Night (0-5)</v>
      </c>
    </row>
    <row r="5177" spans="1:9">
      <c r="A5177" s="32">
        <v>42038</v>
      </c>
      <c r="B5177">
        <v>1</v>
      </c>
      <c r="C5177">
        <v>803</v>
      </c>
      <c r="D5177" t="s">
        <v>304</v>
      </c>
      <c r="E5177">
        <f>YEAR(A5177)</f>
        <v>2015</v>
      </c>
      <c r="F5177" s="33">
        <f>DATE(YEAR(A5177),MONTH(A5177),1)</f>
        <v>42036.0</v>
      </c>
      <c r="G5177" t="str">
        <f>CHOOSE(WEEKDAY(A5177,2),"Mon","Tue","Wed","Thu","Fri","Sat","Sun")</f>
        <v>Tue</v>
      </c>
      <c r="H5177" t="str">
        <f>IF(WEEKDAY(A5177,2)&gt;5,"Weekend","Weekday")</f>
        <v>Weekday</v>
      </c>
      <c r="I5177" t="str">
        <f>_xlfn.IFS(B5177&lt;=5,"Night (0-5)",B5177&lt;=9,"Morning peak (6-9)",B5177&lt;=15,"Midday (10-15)",B5177&lt;=19,"Evening peak (16-19)",TRUE,"Late evening (20-23)")</f>
        <v>Night (0-5)</v>
      </c>
    </row>
    <row r="5178" spans="1:9">
      <c r="A5178" s="32">
        <v>42038</v>
      </c>
      <c r="B5178">
        <v>2</v>
      </c>
      <c r="C5178">
        <v>472</v>
      </c>
      <c r="D5178" t="s">
        <v>304</v>
      </c>
      <c r="E5178">
        <f>YEAR(A5178)</f>
        <v>2015</v>
      </c>
      <c r="F5178" s="33">
        <f>DATE(YEAR(A5178),MONTH(A5178),1)</f>
        <v>42036.0</v>
      </c>
      <c r="G5178" t="str">
        <f>CHOOSE(WEEKDAY(A5178,2),"Mon","Tue","Wed","Thu","Fri","Sat","Sun")</f>
        <v>Tue</v>
      </c>
      <c r="H5178" t="str">
        <f>IF(WEEKDAY(A5178,2)&gt;5,"Weekend","Weekday")</f>
        <v>Weekday</v>
      </c>
      <c r="I5178" t="str">
        <f>_xlfn.IFS(B5178&lt;=5,"Night (0-5)",B5178&lt;=9,"Morning peak (6-9)",B5178&lt;=15,"Midday (10-15)",B5178&lt;=19,"Evening peak (16-19)",TRUE,"Late evening (20-23)")</f>
        <v>Night (0-5)</v>
      </c>
    </row>
    <row r="5179" spans="1:9">
      <c r="A5179" s="32">
        <v>42038</v>
      </c>
      <c r="B5179">
        <v>3</v>
      </c>
      <c r="C5179">
        <v>343</v>
      </c>
      <c r="D5179" t="s">
        <v>304</v>
      </c>
      <c r="E5179">
        <f>YEAR(A5179)</f>
        <v>2015</v>
      </c>
      <c r="F5179" s="33">
        <f>DATE(YEAR(A5179),MONTH(A5179),1)</f>
        <v>42036.0</v>
      </c>
      <c r="G5179" t="str">
        <f>CHOOSE(WEEKDAY(A5179,2),"Mon","Tue","Wed","Thu","Fri","Sat","Sun")</f>
        <v>Tue</v>
      </c>
      <c r="H5179" t="str">
        <f>IF(WEEKDAY(A5179,2)&gt;5,"Weekend","Weekday")</f>
        <v>Weekday</v>
      </c>
      <c r="I5179" t="str">
        <f>_xlfn.IFS(B5179&lt;=5,"Night (0-5)",B5179&lt;=9,"Morning peak (6-9)",B5179&lt;=15,"Midday (10-15)",B5179&lt;=19,"Evening peak (16-19)",TRUE,"Late evening (20-23)")</f>
        <v>Night (0-5)</v>
      </c>
    </row>
    <row r="5180" spans="1:9">
      <c r="A5180" s="32">
        <v>42038</v>
      </c>
      <c r="B5180">
        <v>4</v>
      </c>
      <c r="C5180">
        <v>512</v>
      </c>
      <c r="D5180" t="s">
        <v>304</v>
      </c>
      <c r="E5180">
        <f>YEAR(A5180)</f>
        <v>2015</v>
      </c>
      <c r="F5180" s="33">
        <f>DATE(YEAR(A5180),MONTH(A5180),1)</f>
        <v>42036.0</v>
      </c>
      <c r="G5180" t="str">
        <f>CHOOSE(WEEKDAY(A5180,2),"Mon","Tue","Wed","Thu","Fri","Sat","Sun")</f>
        <v>Tue</v>
      </c>
      <c r="H5180" t="str">
        <f>IF(WEEKDAY(A5180,2)&gt;5,"Weekend","Weekday")</f>
        <v>Weekday</v>
      </c>
      <c r="I5180" t="str">
        <f>_xlfn.IFS(B5180&lt;=5,"Night (0-5)",B5180&lt;=9,"Morning peak (6-9)",B5180&lt;=15,"Midday (10-15)",B5180&lt;=19,"Evening peak (16-19)",TRUE,"Late evening (20-23)")</f>
        <v>Night (0-5)</v>
      </c>
    </row>
    <row r="5181" spans="1:9">
      <c r="A5181" s="32">
        <v>42038</v>
      </c>
      <c r="B5181">
        <v>5</v>
      </c>
      <c r="C5181">
        <v>857</v>
      </c>
      <c r="D5181" t="s">
        <v>304</v>
      </c>
      <c r="E5181">
        <f>YEAR(A5181)</f>
        <v>2015</v>
      </c>
      <c r="F5181" s="33">
        <f>DATE(YEAR(A5181),MONTH(A5181),1)</f>
        <v>42036.0</v>
      </c>
      <c r="G5181" t="str">
        <f>CHOOSE(WEEKDAY(A5181,2),"Mon","Tue","Wed","Thu","Fri","Sat","Sun")</f>
        <v>Tue</v>
      </c>
      <c r="H5181" t="str">
        <f>IF(WEEKDAY(A5181,2)&gt;5,"Weekend","Weekday")</f>
        <v>Weekday</v>
      </c>
      <c r="I5181" t="str">
        <f>_xlfn.IFS(B5181&lt;=5,"Night (0-5)",B5181&lt;=9,"Morning peak (6-9)",B5181&lt;=15,"Midday (10-15)",B5181&lt;=19,"Evening peak (16-19)",TRUE,"Late evening (20-23)")</f>
        <v>Night (0-5)</v>
      </c>
    </row>
    <row r="5182" spans="1:9">
      <c r="A5182" s="32">
        <v>42038</v>
      </c>
      <c r="B5182">
        <v>6</v>
      </c>
      <c r="C5182">
        <v>1659</v>
      </c>
      <c r="D5182" t="s">
        <v>304</v>
      </c>
      <c r="E5182">
        <f>YEAR(A5182)</f>
        <v>2015</v>
      </c>
      <c r="F5182" s="33">
        <f>DATE(YEAR(A5182),MONTH(A5182),1)</f>
        <v>42036.0</v>
      </c>
      <c r="G5182" t="str">
        <f>CHOOSE(WEEKDAY(A5182,2),"Mon","Tue","Wed","Thu","Fri","Sat","Sun")</f>
        <v>Tue</v>
      </c>
      <c r="H5182" t="str">
        <f>IF(WEEKDAY(A5182,2)&gt;5,"Weekend","Weekday")</f>
        <v>Weekday</v>
      </c>
      <c r="I5182" t="str">
        <f>_xlfn.IFS(B5182&lt;=5,"Night (0-5)",B5182&lt;=9,"Morning peak (6-9)",B5182&lt;=15,"Midday (10-15)",B5182&lt;=19,"Evening peak (16-19)",TRUE,"Late evening (20-23)")</f>
        <v>Morning peak (6-9)</v>
      </c>
    </row>
    <row r="5183" spans="1:9">
      <c r="A5183" s="32">
        <v>42038</v>
      </c>
      <c r="B5183">
        <v>7</v>
      </c>
      <c r="C5183">
        <v>2933</v>
      </c>
      <c r="D5183" t="s">
        <v>304</v>
      </c>
      <c r="E5183">
        <f>YEAR(A5183)</f>
        <v>2015</v>
      </c>
      <c r="F5183" s="33">
        <f>DATE(YEAR(A5183),MONTH(A5183),1)</f>
        <v>42036.0</v>
      </c>
      <c r="G5183" t="str">
        <f>CHOOSE(WEEKDAY(A5183,2),"Mon","Tue","Wed","Thu","Fri","Sat","Sun")</f>
        <v>Tue</v>
      </c>
      <c r="H5183" t="str">
        <f>IF(WEEKDAY(A5183,2)&gt;5,"Weekend","Weekday")</f>
        <v>Weekday</v>
      </c>
      <c r="I5183" t="str">
        <f>_xlfn.IFS(B5183&lt;=5,"Night (0-5)",B5183&lt;=9,"Morning peak (6-9)",B5183&lt;=15,"Midday (10-15)",B5183&lt;=19,"Evening peak (16-19)",TRUE,"Late evening (20-23)")</f>
        <v>Morning peak (6-9)</v>
      </c>
    </row>
    <row r="5184" spans="1:9">
      <c r="A5184" s="32">
        <v>42038</v>
      </c>
      <c r="B5184">
        <v>8</v>
      </c>
      <c r="C5184">
        <v>3825</v>
      </c>
      <c r="D5184" t="s">
        <v>304</v>
      </c>
      <c r="E5184">
        <f>YEAR(A5184)</f>
        <v>2015</v>
      </c>
      <c r="F5184" s="33">
        <f>DATE(YEAR(A5184),MONTH(A5184),1)</f>
        <v>42036.0</v>
      </c>
      <c r="G5184" t="str">
        <f>CHOOSE(WEEKDAY(A5184,2),"Mon","Tue","Wed","Thu","Fri","Sat","Sun")</f>
        <v>Tue</v>
      </c>
      <c r="H5184" t="str">
        <f>IF(WEEKDAY(A5184,2)&gt;5,"Weekend","Weekday")</f>
        <v>Weekday</v>
      </c>
      <c r="I5184" t="str">
        <f>_xlfn.IFS(B5184&lt;=5,"Night (0-5)",B5184&lt;=9,"Morning peak (6-9)",B5184&lt;=15,"Midday (10-15)",B5184&lt;=19,"Evening peak (16-19)",TRUE,"Late evening (20-23)")</f>
        <v>Morning peak (6-9)</v>
      </c>
    </row>
    <row r="5185" spans="1:9">
      <c r="A5185" s="32">
        <v>42038</v>
      </c>
      <c r="B5185">
        <v>9</v>
      </c>
      <c r="C5185">
        <v>4143</v>
      </c>
      <c r="D5185" t="s">
        <v>304</v>
      </c>
      <c r="E5185">
        <f>YEAR(A5185)</f>
        <v>2015</v>
      </c>
      <c r="F5185" s="33">
        <f>DATE(YEAR(A5185),MONTH(A5185),1)</f>
        <v>42036.0</v>
      </c>
      <c r="G5185" t="str">
        <f>CHOOSE(WEEKDAY(A5185,2),"Mon","Tue","Wed","Thu","Fri","Sat","Sun")</f>
        <v>Tue</v>
      </c>
      <c r="H5185" t="str">
        <f>IF(WEEKDAY(A5185,2)&gt;5,"Weekend","Weekday")</f>
        <v>Weekday</v>
      </c>
      <c r="I5185" t="str">
        <f>_xlfn.IFS(B5185&lt;=5,"Night (0-5)",B5185&lt;=9,"Morning peak (6-9)",B5185&lt;=15,"Midday (10-15)",B5185&lt;=19,"Evening peak (16-19)",TRUE,"Late evening (20-23)")</f>
        <v>Morning peak (6-9)</v>
      </c>
    </row>
    <row r="5186" spans="1:9">
      <c r="A5186" s="32">
        <v>42038</v>
      </c>
      <c r="B5186">
        <v>10</v>
      </c>
      <c r="C5186">
        <v>3520</v>
      </c>
      <c r="D5186" t="s">
        <v>304</v>
      </c>
      <c r="E5186">
        <f>YEAR(A5186)</f>
        <v>2015</v>
      </c>
      <c r="F5186" s="33">
        <f>DATE(YEAR(A5186),MONTH(A5186),1)</f>
        <v>42036.0</v>
      </c>
      <c r="G5186" t="str">
        <f>CHOOSE(WEEKDAY(A5186,2),"Mon","Tue","Wed","Thu","Fri","Sat","Sun")</f>
        <v>Tue</v>
      </c>
      <c r="H5186" t="str">
        <f>IF(WEEKDAY(A5186,2)&gt;5,"Weekend","Weekday")</f>
        <v>Weekday</v>
      </c>
      <c r="I5186" t="str">
        <f>_xlfn.IFS(B5186&lt;=5,"Night (0-5)",B5186&lt;=9,"Morning peak (6-9)",B5186&lt;=15,"Midday (10-15)",B5186&lt;=19,"Evening peak (16-19)",TRUE,"Late evening (20-23)")</f>
        <v>Midday (10-15)</v>
      </c>
    </row>
    <row r="5187" spans="1:9">
      <c r="A5187" s="32">
        <v>42038</v>
      </c>
      <c r="B5187">
        <v>11</v>
      </c>
      <c r="C5187">
        <v>2843</v>
      </c>
      <c r="D5187" t="s">
        <v>304</v>
      </c>
      <c r="E5187">
        <f>YEAR(A5187)</f>
        <v>2015</v>
      </c>
      <c r="F5187" s="33">
        <f>DATE(YEAR(A5187),MONTH(A5187),1)</f>
        <v>42036.0</v>
      </c>
      <c r="G5187" t="str">
        <f>CHOOSE(WEEKDAY(A5187,2),"Mon","Tue","Wed","Thu","Fri","Sat","Sun")</f>
        <v>Tue</v>
      </c>
      <c r="H5187" t="str">
        <f>IF(WEEKDAY(A5187,2)&gt;5,"Weekend","Weekday")</f>
        <v>Weekday</v>
      </c>
      <c r="I5187" t="str">
        <f>_xlfn.IFS(B5187&lt;=5,"Night (0-5)",B5187&lt;=9,"Morning peak (6-9)",B5187&lt;=15,"Midday (10-15)",B5187&lt;=19,"Evening peak (16-19)",TRUE,"Late evening (20-23)")</f>
        <v>Midday (10-15)</v>
      </c>
    </row>
    <row r="5188" spans="1:9">
      <c r="A5188" s="32">
        <v>42038</v>
      </c>
      <c r="B5188">
        <v>12</v>
      </c>
      <c r="C5188">
        <v>2655</v>
      </c>
      <c r="D5188" t="s">
        <v>304</v>
      </c>
      <c r="E5188">
        <f>YEAR(A5188)</f>
        <v>2015</v>
      </c>
      <c r="F5188" s="33">
        <f>DATE(YEAR(A5188),MONTH(A5188),1)</f>
        <v>42036.0</v>
      </c>
      <c r="G5188" t="str">
        <f>CHOOSE(WEEKDAY(A5188,2),"Mon","Tue","Wed","Thu","Fri","Sat","Sun")</f>
        <v>Tue</v>
      </c>
      <c r="H5188" t="str">
        <f>IF(WEEKDAY(A5188,2)&gt;5,"Weekend","Weekday")</f>
        <v>Weekday</v>
      </c>
      <c r="I5188" t="str">
        <f>_xlfn.IFS(B5188&lt;=5,"Night (0-5)",B5188&lt;=9,"Morning peak (6-9)",B5188&lt;=15,"Midday (10-15)",B5188&lt;=19,"Evening peak (16-19)",TRUE,"Late evening (20-23)")</f>
        <v>Midday (10-15)</v>
      </c>
    </row>
    <row r="5189" spans="1:9">
      <c r="A5189" s="32">
        <v>42038</v>
      </c>
      <c r="B5189">
        <v>13</v>
      </c>
      <c r="C5189">
        <v>2478</v>
      </c>
      <c r="D5189" t="s">
        <v>304</v>
      </c>
      <c r="E5189">
        <f>YEAR(A5189)</f>
        <v>2015</v>
      </c>
      <c r="F5189" s="33">
        <f>DATE(YEAR(A5189),MONTH(A5189),1)</f>
        <v>42036.0</v>
      </c>
      <c r="G5189" t="str">
        <f>CHOOSE(WEEKDAY(A5189,2),"Mon","Tue","Wed","Thu","Fri","Sat","Sun")</f>
        <v>Tue</v>
      </c>
      <c r="H5189" t="str">
        <f>IF(WEEKDAY(A5189,2)&gt;5,"Weekend","Weekday")</f>
        <v>Weekday</v>
      </c>
      <c r="I5189" t="str">
        <f>_xlfn.IFS(B5189&lt;=5,"Night (0-5)",B5189&lt;=9,"Morning peak (6-9)",B5189&lt;=15,"Midday (10-15)",B5189&lt;=19,"Evening peak (16-19)",TRUE,"Late evening (20-23)")</f>
        <v>Midday (10-15)</v>
      </c>
    </row>
    <row r="5190" spans="1:9">
      <c r="A5190" s="32">
        <v>42038</v>
      </c>
      <c r="B5190">
        <v>14</v>
      </c>
      <c r="C5190">
        <v>2777</v>
      </c>
      <c r="D5190" t="s">
        <v>304</v>
      </c>
      <c r="E5190">
        <f>YEAR(A5190)</f>
        <v>2015</v>
      </c>
      <c r="F5190" s="33">
        <f>DATE(YEAR(A5190),MONTH(A5190),1)</f>
        <v>42036.0</v>
      </c>
      <c r="G5190" t="str">
        <f>CHOOSE(WEEKDAY(A5190,2),"Mon","Tue","Wed","Thu","Fri","Sat","Sun")</f>
        <v>Tue</v>
      </c>
      <c r="H5190" t="str">
        <f>IF(WEEKDAY(A5190,2)&gt;5,"Weekend","Weekday")</f>
        <v>Weekday</v>
      </c>
      <c r="I5190" t="str">
        <f>_xlfn.IFS(B5190&lt;=5,"Night (0-5)",B5190&lt;=9,"Morning peak (6-9)",B5190&lt;=15,"Midday (10-15)",B5190&lt;=19,"Evening peak (16-19)",TRUE,"Late evening (20-23)")</f>
        <v>Midday (10-15)</v>
      </c>
    </row>
    <row r="5191" spans="1:9">
      <c r="A5191" s="32">
        <v>42038</v>
      </c>
      <c r="B5191">
        <v>15</v>
      </c>
      <c r="C5191">
        <v>3259</v>
      </c>
      <c r="D5191" t="s">
        <v>304</v>
      </c>
      <c r="E5191">
        <f>YEAR(A5191)</f>
        <v>2015</v>
      </c>
      <c r="F5191" s="33">
        <f>DATE(YEAR(A5191),MONTH(A5191),1)</f>
        <v>42036.0</v>
      </c>
      <c r="G5191" t="str">
        <f>CHOOSE(WEEKDAY(A5191,2),"Mon","Tue","Wed","Thu","Fri","Sat","Sun")</f>
        <v>Tue</v>
      </c>
      <c r="H5191" t="str">
        <f>IF(WEEKDAY(A5191,2)&gt;5,"Weekend","Weekday")</f>
        <v>Weekday</v>
      </c>
      <c r="I5191" t="str">
        <f>_xlfn.IFS(B5191&lt;=5,"Night (0-5)",B5191&lt;=9,"Morning peak (6-9)",B5191&lt;=15,"Midday (10-15)",B5191&lt;=19,"Evening peak (16-19)",TRUE,"Late evening (20-23)")</f>
        <v>Midday (10-15)</v>
      </c>
    </row>
    <row r="5192" spans="1:9">
      <c r="A5192" s="32">
        <v>42038</v>
      </c>
      <c r="B5192">
        <v>16</v>
      </c>
      <c r="C5192">
        <v>3848</v>
      </c>
      <c r="D5192" t="s">
        <v>304</v>
      </c>
      <c r="E5192">
        <f>YEAR(A5192)</f>
        <v>2015</v>
      </c>
      <c r="F5192" s="33">
        <f>DATE(YEAR(A5192),MONTH(A5192),1)</f>
        <v>42036.0</v>
      </c>
      <c r="G5192" t="str">
        <f>CHOOSE(WEEKDAY(A5192,2),"Mon","Tue","Wed","Thu","Fri","Sat","Sun")</f>
        <v>Tue</v>
      </c>
      <c r="H5192" t="str">
        <f>IF(WEEKDAY(A5192,2)&gt;5,"Weekend","Weekday")</f>
        <v>Weekday</v>
      </c>
      <c r="I5192" t="str">
        <f>_xlfn.IFS(B5192&lt;=5,"Night (0-5)",B5192&lt;=9,"Morning peak (6-9)",B5192&lt;=15,"Midday (10-15)",B5192&lt;=19,"Evening peak (16-19)",TRUE,"Late evening (20-23)")</f>
        <v>Evening peak (16-19)</v>
      </c>
    </row>
    <row r="5193" spans="1:9">
      <c r="A5193" s="32">
        <v>42038</v>
      </c>
      <c r="B5193">
        <v>17</v>
      </c>
      <c r="C5193">
        <v>4934</v>
      </c>
      <c r="D5193" t="s">
        <v>304</v>
      </c>
      <c r="E5193">
        <f>YEAR(A5193)</f>
        <v>2015</v>
      </c>
      <c r="F5193" s="33">
        <f>DATE(YEAR(A5193),MONTH(A5193),1)</f>
        <v>42036.0</v>
      </c>
      <c r="G5193" t="str">
        <f>CHOOSE(WEEKDAY(A5193,2),"Mon","Tue","Wed","Thu","Fri","Sat","Sun")</f>
        <v>Tue</v>
      </c>
      <c r="H5193" t="str">
        <f>IF(WEEKDAY(A5193,2)&gt;5,"Weekend","Weekday")</f>
        <v>Weekday</v>
      </c>
      <c r="I5193" t="str">
        <f>_xlfn.IFS(B5193&lt;=5,"Night (0-5)",B5193&lt;=9,"Morning peak (6-9)",B5193&lt;=15,"Midday (10-15)",B5193&lt;=19,"Evening peak (16-19)",TRUE,"Late evening (20-23)")</f>
        <v>Evening peak (16-19)</v>
      </c>
    </row>
    <row r="5194" spans="1:9">
      <c r="A5194" s="32">
        <v>42038</v>
      </c>
      <c r="B5194">
        <v>18</v>
      </c>
      <c r="C5194">
        <v>5793</v>
      </c>
      <c r="D5194" t="s">
        <v>304</v>
      </c>
      <c r="E5194">
        <f>YEAR(A5194)</f>
        <v>2015</v>
      </c>
      <c r="F5194" s="33">
        <f>DATE(YEAR(A5194),MONTH(A5194),1)</f>
        <v>42036.0</v>
      </c>
      <c r="G5194" t="str">
        <f>CHOOSE(WEEKDAY(A5194,2),"Mon","Tue","Wed","Thu","Fri","Sat","Sun")</f>
        <v>Tue</v>
      </c>
      <c r="H5194" t="str">
        <f>IF(WEEKDAY(A5194,2)&gt;5,"Weekend","Weekday")</f>
        <v>Weekday</v>
      </c>
      <c r="I5194" t="str">
        <f>_xlfn.IFS(B5194&lt;=5,"Night (0-5)",B5194&lt;=9,"Morning peak (6-9)",B5194&lt;=15,"Midday (10-15)",B5194&lt;=19,"Evening peak (16-19)",TRUE,"Late evening (20-23)")</f>
        <v>Evening peak (16-19)</v>
      </c>
    </row>
    <row r="5195" spans="1:9">
      <c r="A5195" s="32">
        <v>42038</v>
      </c>
      <c r="B5195">
        <v>19</v>
      </c>
      <c r="C5195">
        <v>5733</v>
      </c>
      <c r="D5195" t="s">
        <v>304</v>
      </c>
      <c r="E5195">
        <f>YEAR(A5195)</f>
        <v>2015</v>
      </c>
      <c r="F5195" s="33">
        <f>DATE(YEAR(A5195),MONTH(A5195),1)</f>
        <v>42036.0</v>
      </c>
      <c r="G5195" t="str">
        <f>CHOOSE(WEEKDAY(A5195,2),"Mon","Tue","Wed","Thu","Fri","Sat","Sun")</f>
        <v>Tue</v>
      </c>
      <c r="H5195" t="str">
        <f>IF(WEEKDAY(A5195,2)&gt;5,"Weekend","Weekday")</f>
        <v>Weekday</v>
      </c>
      <c r="I5195" t="str">
        <f>_xlfn.IFS(B5195&lt;=5,"Night (0-5)",B5195&lt;=9,"Morning peak (6-9)",B5195&lt;=15,"Midday (10-15)",B5195&lt;=19,"Evening peak (16-19)",TRUE,"Late evening (20-23)")</f>
        <v>Evening peak (16-19)</v>
      </c>
    </row>
    <row r="5196" spans="1:9">
      <c r="A5196" s="32">
        <v>42038</v>
      </c>
      <c r="B5196">
        <v>20</v>
      </c>
      <c r="C5196">
        <v>5067</v>
      </c>
      <c r="D5196" t="s">
        <v>304</v>
      </c>
      <c r="E5196">
        <f>YEAR(A5196)</f>
        <v>2015</v>
      </c>
      <c r="F5196" s="33">
        <f>DATE(YEAR(A5196),MONTH(A5196),1)</f>
        <v>42036.0</v>
      </c>
      <c r="G5196" t="str">
        <f>CHOOSE(WEEKDAY(A5196,2),"Mon","Tue","Wed","Thu","Fri","Sat","Sun")</f>
        <v>Tue</v>
      </c>
      <c r="H5196" t="str">
        <f>IF(WEEKDAY(A5196,2)&gt;5,"Weekend","Weekday")</f>
        <v>Weekday</v>
      </c>
      <c r="I5196" t="str">
        <f>_xlfn.IFS(B5196&lt;=5,"Night (0-5)",B5196&lt;=9,"Morning peak (6-9)",B5196&lt;=15,"Midday (10-15)",B5196&lt;=19,"Evening peak (16-19)",TRUE,"Late evening (20-23)")</f>
        <v>Late evening (20-23)</v>
      </c>
    </row>
    <row r="5197" spans="1:9">
      <c r="A5197" s="32">
        <v>42038</v>
      </c>
      <c r="B5197">
        <v>21</v>
      </c>
      <c r="C5197">
        <v>4699</v>
      </c>
      <c r="D5197" t="s">
        <v>304</v>
      </c>
      <c r="E5197">
        <f>YEAR(A5197)</f>
        <v>2015</v>
      </c>
      <c r="F5197" s="33">
        <f>DATE(YEAR(A5197),MONTH(A5197),1)</f>
        <v>42036.0</v>
      </c>
      <c r="G5197" t="str">
        <f>CHOOSE(WEEKDAY(A5197,2),"Mon","Tue","Wed","Thu","Fri","Sat","Sun")</f>
        <v>Tue</v>
      </c>
      <c r="H5197" t="str">
        <f>IF(WEEKDAY(A5197,2)&gt;5,"Weekend","Weekday")</f>
        <v>Weekday</v>
      </c>
      <c r="I5197" t="str">
        <f>_xlfn.IFS(B5197&lt;=5,"Night (0-5)",B5197&lt;=9,"Morning peak (6-9)",B5197&lt;=15,"Midday (10-15)",B5197&lt;=19,"Evening peak (16-19)",TRUE,"Late evening (20-23)")</f>
        <v>Late evening (20-23)</v>
      </c>
    </row>
    <row r="5198" spans="1:9">
      <c r="A5198" s="32">
        <v>42038</v>
      </c>
      <c r="B5198">
        <v>22</v>
      </c>
      <c r="C5198">
        <v>4129</v>
      </c>
      <c r="D5198" t="s">
        <v>304</v>
      </c>
      <c r="E5198">
        <f>YEAR(A5198)</f>
        <v>2015</v>
      </c>
      <c r="F5198" s="33">
        <f>DATE(YEAR(A5198),MONTH(A5198),1)</f>
        <v>42036.0</v>
      </c>
      <c r="G5198" t="str">
        <f>CHOOSE(WEEKDAY(A5198,2),"Mon","Tue","Wed","Thu","Fri","Sat","Sun")</f>
        <v>Tue</v>
      </c>
      <c r="H5198" t="str">
        <f>IF(WEEKDAY(A5198,2)&gt;5,"Weekend","Weekday")</f>
        <v>Weekday</v>
      </c>
      <c r="I5198" t="str">
        <f>_xlfn.IFS(B5198&lt;=5,"Night (0-5)",B5198&lt;=9,"Morning peak (6-9)",B5198&lt;=15,"Midday (10-15)",B5198&lt;=19,"Evening peak (16-19)",TRUE,"Late evening (20-23)")</f>
        <v>Late evening (20-23)</v>
      </c>
    </row>
    <row r="5199" spans="1:9">
      <c r="A5199" s="32">
        <v>42038</v>
      </c>
      <c r="B5199">
        <v>23</v>
      </c>
      <c r="C5199">
        <v>2895</v>
      </c>
      <c r="D5199" t="s">
        <v>304</v>
      </c>
      <c r="E5199">
        <f>YEAR(A5199)</f>
        <v>2015</v>
      </c>
      <c r="F5199" s="33">
        <f>DATE(YEAR(A5199),MONTH(A5199),1)</f>
        <v>42036.0</v>
      </c>
      <c r="G5199" t="str">
        <f>CHOOSE(WEEKDAY(A5199,2),"Mon","Tue","Wed","Thu","Fri","Sat","Sun")</f>
        <v>Tue</v>
      </c>
      <c r="H5199" t="str">
        <f>IF(WEEKDAY(A5199,2)&gt;5,"Weekend","Weekday")</f>
        <v>Weekday</v>
      </c>
      <c r="I5199" t="str">
        <f>_xlfn.IFS(B5199&lt;=5,"Night (0-5)",B5199&lt;=9,"Morning peak (6-9)",B5199&lt;=15,"Midday (10-15)",B5199&lt;=19,"Evening peak (16-19)",TRUE,"Late evening (20-23)")</f>
        <v>Late evening (20-23)</v>
      </c>
    </row>
    <row r="5200" spans="1:9">
      <c r="A5200" s="32">
        <v>42039</v>
      </c>
      <c r="B5200">
        <v>0</v>
      </c>
      <c r="C5200">
        <v>1663</v>
      </c>
      <c r="D5200" t="s">
        <v>304</v>
      </c>
      <c r="E5200">
        <f>YEAR(A5200)</f>
        <v>2015</v>
      </c>
      <c r="F5200" s="33">
        <f>DATE(YEAR(A5200),MONTH(A5200),1)</f>
        <v>42036.0</v>
      </c>
      <c r="G5200" t="str">
        <f>CHOOSE(WEEKDAY(A5200,2),"Mon","Tue","Wed","Thu","Fri","Sat","Sun")</f>
        <v>Wed</v>
      </c>
      <c r="H5200" t="str">
        <f>IF(WEEKDAY(A5200,2)&gt;5,"Weekend","Weekday")</f>
        <v>Weekday</v>
      </c>
      <c r="I5200" t="str">
        <f>_xlfn.IFS(B5200&lt;=5,"Night (0-5)",B5200&lt;=9,"Morning peak (6-9)",B5200&lt;=15,"Midday (10-15)",B5200&lt;=19,"Evening peak (16-19)",TRUE,"Late evening (20-23)")</f>
        <v>Night (0-5)</v>
      </c>
    </row>
    <row r="5201" spans="1:9">
      <c r="A5201" s="32">
        <v>42039</v>
      </c>
      <c r="B5201">
        <v>1</v>
      </c>
      <c r="C5201">
        <v>868</v>
      </c>
      <c r="D5201" t="s">
        <v>304</v>
      </c>
      <c r="E5201">
        <f>YEAR(A5201)</f>
        <v>2015</v>
      </c>
      <c r="F5201" s="33">
        <f>DATE(YEAR(A5201),MONTH(A5201),1)</f>
        <v>42036.0</v>
      </c>
      <c r="G5201" t="str">
        <f>CHOOSE(WEEKDAY(A5201,2),"Mon","Tue","Wed","Thu","Fri","Sat","Sun")</f>
        <v>Wed</v>
      </c>
      <c r="H5201" t="str">
        <f>IF(WEEKDAY(A5201,2)&gt;5,"Weekend","Weekday")</f>
        <v>Weekday</v>
      </c>
      <c r="I5201" t="str">
        <f>_xlfn.IFS(B5201&lt;=5,"Night (0-5)",B5201&lt;=9,"Morning peak (6-9)",B5201&lt;=15,"Midday (10-15)",B5201&lt;=19,"Evening peak (16-19)",TRUE,"Late evening (20-23)")</f>
        <v>Night (0-5)</v>
      </c>
    </row>
    <row r="5202" spans="1:9">
      <c r="A5202" s="32">
        <v>42039</v>
      </c>
      <c r="B5202">
        <v>2</v>
      </c>
      <c r="C5202">
        <v>476</v>
      </c>
      <c r="D5202" t="s">
        <v>304</v>
      </c>
      <c r="E5202">
        <f>YEAR(A5202)</f>
        <v>2015</v>
      </c>
      <c r="F5202" s="33">
        <f>DATE(YEAR(A5202),MONTH(A5202),1)</f>
        <v>42036.0</v>
      </c>
      <c r="G5202" t="str">
        <f>CHOOSE(WEEKDAY(A5202,2),"Mon","Tue","Wed","Thu","Fri","Sat","Sun")</f>
        <v>Wed</v>
      </c>
      <c r="H5202" t="str">
        <f>IF(WEEKDAY(A5202,2)&gt;5,"Weekend","Weekday")</f>
        <v>Weekday</v>
      </c>
      <c r="I5202" t="str">
        <f>_xlfn.IFS(B5202&lt;=5,"Night (0-5)",B5202&lt;=9,"Morning peak (6-9)",B5202&lt;=15,"Midday (10-15)",B5202&lt;=19,"Evening peak (16-19)",TRUE,"Late evening (20-23)")</f>
        <v>Night (0-5)</v>
      </c>
    </row>
    <row r="5203" spans="1:9">
      <c r="A5203" s="32">
        <v>42039</v>
      </c>
      <c r="B5203">
        <v>3</v>
      </c>
      <c r="C5203">
        <v>354</v>
      </c>
      <c r="D5203" t="s">
        <v>304</v>
      </c>
      <c r="E5203">
        <f>YEAR(A5203)</f>
        <v>2015</v>
      </c>
      <c r="F5203" s="33">
        <f>DATE(YEAR(A5203),MONTH(A5203),1)</f>
        <v>42036.0</v>
      </c>
      <c r="G5203" t="str">
        <f>CHOOSE(WEEKDAY(A5203,2),"Mon","Tue","Wed","Thu","Fri","Sat","Sun")</f>
        <v>Wed</v>
      </c>
      <c r="H5203" t="str">
        <f>IF(WEEKDAY(A5203,2)&gt;5,"Weekend","Weekday")</f>
        <v>Weekday</v>
      </c>
      <c r="I5203" t="str">
        <f>_xlfn.IFS(B5203&lt;=5,"Night (0-5)",B5203&lt;=9,"Morning peak (6-9)",B5203&lt;=15,"Midday (10-15)",B5203&lt;=19,"Evening peak (16-19)",TRUE,"Late evening (20-23)")</f>
        <v>Night (0-5)</v>
      </c>
    </row>
    <row r="5204" spans="1:9">
      <c r="A5204" s="32">
        <v>42039</v>
      </c>
      <c r="B5204">
        <v>4</v>
      </c>
      <c r="C5204">
        <v>551</v>
      </c>
      <c r="D5204" t="s">
        <v>304</v>
      </c>
      <c r="E5204">
        <f>YEAR(A5204)</f>
        <v>2015</v>
      </c>
      <c r="F5204" s="33">
        <f>DATE(YEAR(A5204),MONTH(A5204),1)</f>
        <v>42036.0</v>
      </c>
      <c r="G5204" t="str">
        <f>CHOOSE(WEEKDAY(A5204,2),"Mon","Tue","Wed","Thu","Fri","Sat","Sun")</f>
        <v>Wed</v>
      </c>
      <c r="H5204" t="str">
        <f>IF(WEEKDAY(A5204,2)&gt;5,"Weekend","Weekday")</f>
        <v>Weekday</v>
      </c>
      <c r="I5204" t="str">
        <f>_xlfn.IFS(B5204&lt;=5,"Night (0-5)",B5204&lt;=9,"Morning peak (6-9)",B5204&lt;=15,"Midday (10-15)",B5204&lt;=19,"Evening peak (16-19)",TRUE,"Late evening (20-23)")</f>
        <v>Night (0-5)</v>
      </c>
    </row>
    <row r="5205" spans="1:9">
      <c r="A5205" s="32">
        <v>42039</v>
      </c>
      <c r="B5205">
        <v>5</v>
      </c>
      <c r="C5205">
        <v>971</v>
      </c>
      <c r="D5205" t="s">
        <v>304</v>
      </c>
      <c r="E5205">
        <f>YEAR(A5205)</f>
        <v>2015</v>
      </c>
      <c r="F5205" s="33">
        <f>DATE(YEAR(A5205),MONTH(A5205),1)</f>
        <v>42036.0</v>
      </c>
      <c r="G5205" t="str">
        <f>CHOOSE(WEEKDAY(A5205,2),"Mon","Tue","Wed","Thu","Fri","Sat","Sun")</f>
        <v>Wed</v>
      </c>
      <c r="H5205" t="str">
        <f>IF(WEEKDAY(A5205,2)&gt;5,"Weekend","Weekday")</f>
        <v>Weekday</v>
      </c>
      <c r="I5205" t="str">
        <f>_xlfn.IFS(B5205&lt;=5,"Night (0-5)",B5205&lt;=9,"Morning peak (6-9)",B5205&lt;=15,"Midday (10-15)",B5205&lt;=19,"Evening peak (16-19)",TRUE,"Late evening (20-23)")</f>
        <v>Night (0-5)</v>
      </c>
    </row>
    <row r="5206" spans="1:9">
      <c r="A5206" s="32">
        <v>42039</v>
      </c>
      <c r="B5206">
        <v>6</v>
      </c>
      <c r="C5206">
        <v>1759</v>
      </c>
      <c r="D5206" t="s">
        <v>304</v>
      </c>
      <c r="E5206">
        <f>YEAR(A5206)</f>
        <v>2015</v>
      </c>
      <c r="F5206" s="33">
        <f>DATE(YEAR(A5206),MONTH(A5206),1)</f>
        <v>42036.0</v>
      </c>
      <c r="G5206" t="str">
        <f>CHOOSE(WEEKDAY(A5206,2),"Mon","Tue","Wed","Thu","Fri","Sat","Sun")</f>
        <v>Wed</v>
      </c>
      <c r="H5206" t="str">
        <f>IF(WEEKDAY(A5206,2)&gt;5,"Weekend","Weekday")</f>
        <v>Weekday</v>
      </c>
      <c r="I5206" t="str">
        <f>_xlfn.IFS(B5206&lt;=5,"Night (0-5)",B5206&lt;=9,"Morning peak (6-9)",B5206&lt;=15,"Midday (10-15)",B5206&lt;=19,"Evening peak (16-19)",TRUE,"Late evening (20-23)")</f>
        <v>Morning peak (6-9)</v>
      </c>
    </row>
    <row r="5207" spans="1:9">
      <c r="A5207" s="32">
        <v>42039</v>
      </c>
      <c r="B5207">
        <v>7</v>
      </c>
      <c r="C5207">
        <v>3213</v>
      </c>
      <c r="D5207" t="s">
        <v>304</v>
      </c>
      <c r="E5207">
        <f>YEAR(A5207)</f>
        <v>2015</v>
      </c>
      <c r="F5207" s="33">
        <f>DATE(YEAR(A5207),MONTH(A5207),1)</f>
        <v>42036.0</v>
      </c>
      <c r="G5207" t="str">
        <f>CHOOSE(WEEKDAY(A5207,2),"Mon","Tue","Wed","Thu","Fri","Sat","Sun")</f>
        <v>Wed</v>
      </c>
      <c r="H5207" t="str">
        <f>IF(WEEKDAY(A5207,2)&gt;5,"Weekend","Weekday")</f>
        <v>Weekday</v>
      </c>
      <c r="I5207" t="str">
        <f>_xlfn.IFS(B5207&lt;=5,"Night (0-5)",B5207&lt;=9,"Morning peak (6-9)",B5207&lt;=15,"Midday (10-15)",B5207&lt;=19,"Evening peak (16-19)",TRUE,"Late evening (20-23)")</f>
        <v>Morning peak (6-9)</v>
      </c>
    </row>
    <row r="5208" spans="1:9">
      <c r="A5208" s="32">
        <v>42039</v>
      </c>
      <c r="B5208">
        <v>8</v>
      </c>
      <c r="C5208">
        <v>3992</v>
      </c>
      <c r="D5208" t="s">
        <v>304</v>
      </c>
      <c r="E5208">
        <f>YEAR(A5208)</f>
        <v>2015</v>
      </c>
      <c r="F5208" s="33">
        <f>DATE(YEAR(A5208),MONTH(A5208),1)</f>
        <v>42036.0</v>
      </c>
      <c r="G5208" t="str">
        <f>CHOOSE(WEEKDAY(A5208,2),"Mon","Tue","Wed","Thu","Fri","Sat","Sun")</f>
        <v>Wed</v>
      </c>
      <c r="H5208" t="str">
        <f>IF(WEEKDAY(A5208,2)&gt;5,"Weekend","Weekday")</f>
        <v>Weekday</v>
      </c>
      <c r="I5208" t="str">
        <f>_xlfn.IFS(B5208&lt;=5,"Night (0-5)",B5208&lt;=9,"Morning peak (6-9)",B5208&lt;=15,"Midday (10-15)",B5208&lt;=19,"Evening peak (16-19)",TRUE,"Late evening (20-23)")</f>
        <v>Morning peak (6-9)</v>
      </c>
    </row>
    <row r="5209" spans="1:9">
      <c r="A5209" s="32">
        <v>42039</v>
      </c>
      <c r="B5209">
        <v>9</v>
      </c>
      <c r="C5209">
        <v>3845</v>
      </c>
      <c r="D5209" t="s">
        <v>304</v>
      </c>
      <c r="E5209">
        <f>YEAR(A5209)</f>
        <v>2015</v>
      </c>
      <c r="F5209" s="33">
        <f>DATE(YEAR(A5209),MONTH(A5209),1)</f>
        <v>42036.0</v>
      </c>
      <c r="G5209" t="str">
        <f>CHOOSE(WEEKDAY(A5209,2),"Mon","Tue","Wed","Thu","Fri","Sat","Sun")</f>
        <v>Wed</v>
      </c>
      <c r="H5209" t="str">
        <f>IF(WEEKDAY(A5209,2)&gt;5,"Weekend","Weekday")</f>
        <v>Weekday</v>
      </c>
      <c r="I5209" t="str">
        <f>_xlfn.IFS(B5209&lt;=5,"Night (0-5)",B5209&lt;=9,"Morning peak (6-9)",B5209&lt;=15,"Midday (10-15)",B5209&lt;=19,"Evening peak (16-19)",TRUE,"Late evening (20-23)")</f>
        <v>Morning peak (6-9)</v>
      </c>
    </row>
    <row r="5210" spans="1:9">
      <c r="A5210" s="32">
        <v>42039</v>
      </c>
      <c r="B5210">
        <v>10</v>
      </c>
      <c r="C5210">
        <v>2737</v>
      </c>
      <c r="D5210" t="s">
        <v>304</v>
      </c>
      <c r="E5210">
        <f>YEAR(A5210)</f>
        <v>2015</v>
      </c>
      <c r="F5210" s="33">
        <f>DATE(YEAR(A5210),MONTH(A5210),1)</f>
        <v>42036.0</v>
      </c>
      <c r="G5210" t="str">
        <f>CHOOSE(WEEKDAY(A5210,2),"Mon","Tue","Wed","Thu","Fri","Sat","Sun")</f>
        <v>Wed</v>
      </c>
      <c r="H5210" t="str">
        <f>IF(WEEKDAY(A5210,2)&gt;5,"Weekend","Weekday")</f>
        <v>Weekday</v>
      </c>
      <c r="I5210" t="str">
        <f>_xlfn.IFS(B5210&lt;=5,"Night (0-5)",B5210&lt;=9,"Morning peak (6-9)",B5210&lt;=15,"Midday (10-15)",B5210&lt;=19,"Evening peak (16-19)",TRUE,"Late evening (20-23)")</f>
        <v>Midday (10-15)</v>
      </c>
    </row>
    <row r="5211" spans="1:9">
      <c r="A5211" s="32">
        <v>42039</v>
      </c>
      <c r="B5211">
        <v>11</v>
      </c>
      <c r="C5211">
        <v>2553</v>
      </c>
      <c r="D5211" t="s">
        <v>304</v>
      </c>
      <c r="E5211">
        <f>YEAR(A5211)</f>
        <v>2015</v>
      </c>
      <c r="F5211" s="33">
        <f>DATE(YEAR(A5211),MONTH(A5211),1)</f>
        <v>42036.0</v>
      </c>
      <c r="G5211" t="str">
        <f>CHOOSE(WEEKDAY(A5211,2),"Mon","Tue","Wed","Thu","Fri","Sat","Sun")</f>
        <v>Wed</v>
      </c>
      <c r="H5211" t="str">
        <f>IF(WEEKDAY(A5211,2)&gt;5,"Weekend","Weekday")</f>
        <v>Weekday</v>
      </c>
      <c r="I5211" t="str">
        <f>_xlfn.IFS(B5211&lt;=5,"Night (0-5)",B5211&lt;=9,"Morning peak (6-9)",B5211&lt;=15,"Midday (10-15)",B5211&lt;=19,"Evening peak (16-19)",TRUE,"Late evening (20-23)")</f>
        <v>Midday (10-15)</v>
      </c>
    </row>
    <row r="5212" spans="1:9">
      <c r="A5212" s="32">
        <v>42039</v>
      </c>
      <c r="B5212">
        <v>12</v>
      </c>
      <c r="C5212">
        <v>2415</v>
      </c>
      <c r="D5212" t="s">
        <v>304</v>
      </c>
      <c r="E5212">
        <f>YEAR(A5212)</f>
        <v>2015</v>
      </c>
      <c r="F5212" s="33">
        <f>DATE(YEAR(A5212),MONTH(A5212),1)</f>
        <v>42036.0</v>
      </c>
      <c r="G5212" t="str">
        <f>CHOOSE(WEEKDAY(A5212,2),"Mon","Tue","Wed","Thu","Fri","Sat","Sun")</f>
        <v>Wed</v>
      </c>
      <c r="H5212" t="str">
        <f>IF(WEEKDAY(A5212,2)&gt;5,"Weekend","Weekday")</f>
        <v>Weekday</v>
      </c>
      <c r="I5212" t="str">
        <f>_xlfn.IFS(B5212&lt;=5,"Night (0-5)",B5212&lt;=9,"Morning peak (6-9)",B5212&lt;=15,"Midday (10-15)",B5212&lt;=19,"Evening peak (16-19)",TRUE,"Late evening (20-23)")</f>
        <v>Midday (10-15)</v>
      </c>
    </row>
    <row r="5213" spans="1:9">
      <c r="A5213" s="32">
        <v>42039</v>
      </c>
      <c r="B5213">
        <v>13</v>
      </c>
      <c r="C5213">
        <v>2406</v>
      </c>
      <c r="D5213" t="s">
        <v>304</v>
      </c>
      <c r="E5213">
        <f>YEAR(A5213)</f>
        <v>2015</v>
      </c>
      <c r="F5213" s="33">
        <f>DATE(YEAR(A5213),MONTH(A5213),1)</f>
        <v>42036.0</v>
      </c>
      <c r="G5213" t="str">
        <f>CHOOSE(WEEKDAY(A5213,2),"Mon","Tue","Wed","Thu","Fri","Sat","Sun")</f>
        <v>Wed</v>
      </c>
      <c r="H5213" t="str">
        <f>IF(WEEKDAY(A5213,2)&gt;5,"Weekend","Weekday")</f>
        <v>Weekday</v>
      </c>
      <c r="I5213" t="str">
        <f>_xlfn.IFS(B5213&lt;=5,"Night (0-5)",B5213&lt;=9,"Morning peak (6-9)",B5213&lt;=15,"Midday (10-15)",B5213&lt;=19,"Evening peak (16-19)",TRUE,"Late evening (20-23)")</f>
        <v>Midday (10-15)</v>
      </c>
    </row>
    <row r="5214" spans="1:9">
      <c r="A5214" s="32">
        <v>42039</v>
      </c>
      <c r="B5214">
        <v>14</v>
      </c>
      <c r="C5214">
        <v>2721</v>
      </c>
      <c r="D5214" t="s">
        <v>304</v>
      </c>
      <c r="E5214">
        <f>YEAR(A5214)</f>
        <v>2015</v>
      </c>
      <c r="F5214" s="33">
        <f>DATE(YEAR(A5214),MONTH(A5214),1)</f>
        <v>42036.0</v>
      </c>
      <c r="G5214" t="str">
        <f>CHOOSE(WEEKDAY(A5214,2),"Mon","Tue","Wed","Thu","Fri","Sat","Sun")</f>
        <v>Wed</v>
      </c>
      <c r="H5214" t="str">
        <f>IF(WEEKDAY(A5214,2)&gt;5,"Weekend","Weekday")</f>
        <v>Weekday</v>
      </c>
      <c r="I5214" t="str">
        <f>_xlfn.IFS(B5214&lt;=5,"Night (0-5)",B5214&lt;=9,"Morning peak (6-9)",B5214&lt;=15,"Midday (10-15)",B5214&lt;=19,"Evening peak (16-19)",TRUE,"Late evening (20-23)")</f>
        <v>Midday (10-15)</v>
      </c>
    </row>
    <row r="5215" spans="1:9">
      <c r="A5215" s="32">
        <v>42039</v>
      </c>
      <c r="B5215">
        <v>15</v>
      </c>
      <c r="C5215">
        <v>2962</v>
      </c>
      <c r="D5215" t="s">
        <v>304</v>
      </c>
      <c r="E5215">
        <f>YEAR(A5215)</f>
        <v>2015</v>
      </c>
      <c r="F5215" s="33">
        <f>DATE(YEAR(A5215),MONTH(A5215),1)</f>
        <v>42036.0</v>
      </c>
      <c r="G5215" t="str">
        <f>CHOOSE(WEEKDAY(A5215,2),"Mon","Tue","Wed","Thu","Fri","Sat","Sun")</f>
        <v>Wed</v>
      </c>
      <c r="H5215" t="str">
        <f>IF(WEEKDAY(A5215,2)&gt;5,"Weekend","Weekday")</f>
        <v>Weekday</v>
      </c>
      <c r="I5215" t="str">
        <f>_xlfn.IFS(B5215&lt;=5,"Night (0-5)",B5215&lt;=9,"Morning peak (6-9)",B5215&lt;=15,"Midday (10-15)",B5215&lt;=19,"Evening peak (16-19)",TRUE,"Late evening (20-23)")</f>
        <v>Midday (10-15)</v>
      </c>
    </row>
    <row r="5216" spans="1:9">
      <c r="A5216" s="32">
        <v>42039</v>
      </c>
      <c r="B5216">
        <v>16</v>
      </c>
      <c r="C5216">
        <v>3599</v>
      </c>
      <c r="D5216" t="s">
        <v>304</v>
      </c>
      <c r="E5216">
        <f>YEAR(A5216)</f>
        <v>2015</v>
      </c>
      <c r="F5216" s="33">
        <f>DATE(YEAR(A5216),MONTH(A5216),1)</f>
        <v>42036.0</v>
      </c>
      <c r="G5216" t="str">
        <f>CHOOSE(WEEKDAY(A5216,2),"Mon","Tue","Wed","Thu","Fri","Sat","Sun")</f>
        <v>Wed</v>
      </c>
      <c r="H5216" t="str">
        <f>IF(WEEKDAY(A5216,2)&gt;5,"Weekend","Weekday")</f>
        <v>Weekday</v>
      </c>
      <c r="I5216" t="str">
        <f>_xlfn.IFS(B5216&lt;=5,"Night (0-5)",B5216&lt;=9,"Morning peak (6-9)",B5216&lt;=15,"Midday (10-15)",B5216&lt;=19,"Evening peak (16-19)",TRUE,"Late evening (20-23)")</f>
        <v>Evening peak (16-19)</v>
      </c>
    </row>
    <row r="5217" spans="1:9">
      <c r="A5217" s="32">
        <v>42039</v>
      </c>
      <c r="B5217">
        <v>17</v>
      </c>
      <c r="C5217">
        <v>4377</v>
      </c>
      <c r="D5217" t="s">
        <v>304</v>
      </c>
      <c r="E5217">
        <f>YEAR(A5217)</f>
        <v>2015</v>
      </c>
      <c r="F5217" s="33">
        <f>DATE(YEAR(A5217),MONTH(A5217),1)</f>
        <v>42036.0</v>
      </c>
      <c r="G5217" t="str">
        <f>CHOOSE(WEEKDAY(A5217,2),"Mon","Tue","Wed","Thu","Fri","Sat","Sun")</f>
        <v>Wed</v>
      </c>
      <c r="H5217" t="str">
        <f>IF(WEEKDAY(A5217,2)&gt;5,"Weekend","Weekday")</f>
        <v>Weekday</v>
      </c>
      <c r="I5217" t="str">
        <f>_xlfn.IFS(B5217&lt;=5,"Night (0-5)",B5217&lt;=9,"Morning peak (6-9)",B5217&lt;=15,"Midday (10-15)",B5217&lt;=19,"Evening peak (16-19)",TRUE,"Late evening (20-23)")</f>
        <v>Evening peak (16-19)</v>
      </c>
    </row>
    <row r="5218" spans="1:9">
      <c r="A5218" s="32">
        <v>42039</v>
      </c>
      <c r="B5218">
        <v>18</v>
      </c>
      <c r="C5218">
        <v>5268</v>
      </c>
      <c r="D5218" t="s">
        <v>304</v>
      </c>
      <c r="E5218">
        <f>YEAR(A5218)</f>
        <v>2015</v>
      </c>
      <c r="F5218" s="33">
        <f>DATE(YEAR(A5218),MONTH(A5218),1)</f>
        <v>42036.0</v>
      </c>
      <c r="G5218" t="str">
        <f>CHOOSE(WEEKDAY(A5218,2),"Mon","Tue","Wed","Thu","Fri","Sat","Sun")</f>
        <v>Wed</v>
      </c>
      <c r="H5218" t="str">
        <f>IF(WEEKDAY(A5218,2)&gt;5,"Weekend","Weekday")</f>
        <v>Weekday</v>
      </c>
      <c r="I5218" t="str">
        <f>_xlfn.IFS(B5218&lt;=5,"Night (0-5)",B5218&lt;=9,"Morning peak (6-9)",B5218&lt;=15,"Midday (10-15)",B5218&lt;=19,"Evening peak (16-19)",TRUE,"Late evening (20-23)")</f>
        <v>Evening peak (16-19)</v>
      </c>
    </row>
    <row r="5219" spans="1:9">
      <c r="A5219" s="32">
        <v>42039</v>
      </c>
      <c r="B5219">
        <v>19</v>
      </c>
      <c r="C5219">
        <v>5334</v>
      </c>
      <c r="D5219" t="s">
        <v>304</v>
      </c>
      <c r="E5219">
        <f>YEAR(A5219)</f>
        <v>2015</v>
      </c>
      <c r="F5219" s="33">
        <f>DATE(YEAR(A5219),MONTH(A5219),1)</f>
        <v>42036.0</v>
      </c>
      <c r="G5219" t="str">
        <f>CHOOSE(WEEKDAY(A5219,2),"Mon","Tue","Wed","Thu","Fri","Sat","Sun")</f>
        <v>Wed</v>
      </c>
      <c r="H5219" t="str">
        <f>IF(WEEKDAY(A5219,2)&gt;5,"Weekend","Weekday")</f>
        <v>Weekday</v>
      </c>
      <c r="I5219" t="str">
        <f>_xlfn.IFS(B5219&lt;=5,"Night (0-5)",B5219&lt;=9,"Morning peak (6-9)",B5219&lt;=15,"Midday (10-15)",B5219&lt;=19,"Evening peak (16-19)",TRUE,"Late evening (20-23)")</f>
        <v>Evening peak (16-19)</v>
      </c>
    </row>
    <row r="5220" spans="1:9">
      <c r="A5220" s="32">
        <v>42039</v>
      </c>
      <c r="B5220">
        <v>20</v>
      </c>
      <c r="C5220">
        <v>4759</v>
      </c>
      <c r="D5220" t="s">
        <v>304</v>
      </c>
      <c r="E5220">
        <f>YEAR(A5220)</f>
        <v>2015</v>
      </c>
      <c r="F5220" s="33">
        <f>DATE(YEAR(A5220),MONTH(A5220),1)</f>
        <v>42036.0</v>
      </c>
      <c r="G5220" t="str">
        <f>CHOOSE(WEEKDAY(A5220,2),"Mon","Tue","Wed","Thu","Fri","Sat","Sun")</f>
        <v>Wed</v>
      </c>
      <c r="H5220" t="str">
        <f>IF(WEEKDAY(A5220,2)&gt;5,"Weekend","Weekday")</f>
        <v>Weekday</v>
      </c>
      <c r="I5220" t="str">
        <f>_xlfn.IFS(B5220&lt;=5,"Night (0-5)",B5220&lt;=9,"Morning peak (6-9)",B5220&lt;=15,"Midday (10-15)",B5220&lt;=19,"Evening peak (16-19)",TRUE,"Late evening (20-23)")</f>
        <v>Late evening (20-23)</v>
      </c>
    </row>
    <row r="5221" spans="1:9">
      <c r="A5221" s="32">
        <v>42039</v>
      </c>
      <c r="B5221">
        <v>21</v>
      </c>
      <c r="C5221">
        <v>4511</v>
      </c>
      <c r="D5221" t="s">
        <v>304</v>
      </c>
      <c r="E5221">
        <f>YEAR(A5221)</f>
        <v>2015</v>
      </c>
      <c r="F5221" s="33">
        <f>DATE(YEAR(A5221),MONTH(A5221),1)</f>
        <v>42036.0</v>
      </c>
      <c r="G5221" t="str">
        <f>CHOOSE(WEEKDAY(A5221,2),"Mon","Tue","Wed","Thu","Fri","Sat","Sun")</f>
        <v>Wed</v>
      </c>
      <c r="H5221" t="str">
        <f>IF(WEEKDAY(A5221,2)&gt;5,"Weekend","Weekday")</f>
        <v>Weekday</v>
      </c>
      <c r="I5221" t="str">
        <f>_xlfn.IFS(B5221&lt;=5,"Night (0-5)",B5221&lt;=9,"Morning peak (6-9)",B5221&lt;=15,"Midday (10-15)",B5221&lt;=19,"Evening peak (16-19)",TRUE,"Late evening (20-23)")</f>
        <v>Late evening (20-23)</v>
      </c>
    </row>
    <row r="5222" spans="1:9">
      <c r="A5222" s="32">
        <v>42039</v>
      </c>
      <c r="B5222">
        <v>22</v>
      </c>
      <c r="C5222">
        <v>3944</v>
      </c>
      <c r="D5222" t="s">
        <v>304</v>
      </c>
      <c r="E5222">
        <f>YEAR(A5222)</f>
        <v>2015</v>
      </c>
      <c r="F5222" s="33">
        <f>DATE(YEAR(A5222),MONTH(A5222),1)</f>
        <v>42036.0</v>
      </c>
      <c r="G5222" t="str">
        <f>CHOOSE(WEEKDAY(A5222,2),"Mon","Tue","Wed","Thu","Fri","Sat","Sun")</f>
        <v>Wed</v>
      </c>
      <c r="H5222" t="str">
        <f>IF(WEEKDAY(A5222,2)&gt;5,"Weekend","Weekday")</f>
        <v>Weekday</v>
      </c>
      <c r="I5222" t="str">
        <f>_xlfn.IFS(B5222&lt;=5,"Night (0-5)",B5222&lt;=9,"Morning peak (6-9)",B5222&lt;=15,"Midday (10-15)",B5222&lt;=19,"Evening peak (16-19)",TRUE,"Late evening (20-23)")</f>
        <v>Late evening (20-23)</v>
      </c>
    </row>
    <row r="5223" spans="1:9">
      <c r="A5223" s="32">
        <v>42039</v>
      </c>
      <c r="B5223">
        <v>23</v>
      </c>
      <c r="C5223">
        <v>2959</v>
      </c>
      <c r="D5223" t="s">
        <v>304</v>
      </c>
      <c r="E5223">
        <f>YEAR(A5223)</f>
        <v>2015</v>
      </c>
      <c r="F5223" s="33">
        <f>DATE(YEAR(A5223),MONTH(A5223),1)</f>
        <v>42036.0</v>
      </c>
      <c r="G5223" t="str">
        <f>CHOOSE(WEEKDAY(A5223,2),"Mon","Tue","Wed","Thu","Fri","Sat","Sun")</f>
        <v>Wed</v>
      </c>
      <c r="H5223" t="str">
        <f>IF(WEEKDAY(A5223,2)&gt;5,"Weekend","Weekday")</f>
        <v>Weekday</v>
      </c>
      <c r="I5223" t="str">
        <f>_xlfn.IFS(B5223&lt;=5,"Night (0-5)",B5223&lt;=9,"Morning peak (6-9)",B5223&lt;=15,"Midday (10-15)",B5223&lt;=19,"Evening peak (16-19)",TRUE,"Late evening (20-23)")</f>
        <v>Late evening (20-23)</v>
      </c>
    </row>
    <row r="5224" spans="1:9">
      <c r="A5224" s="32">
        <v>42040</v>
      </c>
      <c r="B5224">
        <v>0</v>
      </c>
      <c r="C5224">
        <v>1723</v>
      </c>
      <c r="D5224" t="s">
        <v>304</v>
      </c>
      <c r="E5224">
        <f>YEAR(A5224)</f>
        <v>2015</v>
      </c>
      <c r="F5224" s="33">
        <f>DATE(YEAR(A5224),MONTH(A5224),1)</f>
        <v>42036.0</v>
      </c>
      <c r="G5224" t="str">
        <f>CHOOSE(WEEKDAY(A5224,2),"Mon","Tue","Wed","Thu","Fri","Sat","Sun")</f>
        <v>Thu</v>
      </c>
      <c r="H5224" t="str">
        <f>IF(WEEKDAY(A5224,2)&gt;5,"Weekend","Weekday")</f>
        <v>Weekday</v>
      </c>
      <c r="I5224" t="str">
        <f>_xlfn.IFS(B5224&lt;=5,"Night (0-5)",B5224&lt;=9,"Morning peak (6-9)",B5224&lt;=15,"Midday (10-15)",B5224&lt;=19,"Evening peak (16-19)",TRUE,"Late evening (20-23)")</f>
        <v>Night (0-5)</v>
      </c>
    </row>
    <row r="5225" spans="1:9">
      <c r="A5225" s="32">
        <v>42040</v>
      </c>
      <c r="B5225">
        <v>1</v>
      </c>
      <c r="C5225">
        <v>865</v>
      </c>
      <c r="D5225" t="s">
        <v>304</v>
      </c>
      <c r="E5225">
        <f>YEAR(A5225)</f>
        <v>2015</v>
      </c>
      <c r="F5225" s="33">
        <f>DATE(YEAR(A5225),MONTH(A5225),1)</f>
        <v>42036.0</v>
      </c>
      <c r="G5225" t="str">
        <f>CHOOSE(WEEKDAY(A5225,2),"Mon","Tue","Wed","Thu","Fri","Sat","Sun")</f>
        <v>Thu</v>
      </c>
      <c r="H5225" t="str">
        <f>IF(WEEKDAY(A5225,2)&gt;5,"Weekend","Weekday")</f>
        <v>Weekday</v>
      </c>
      <c r="I5225" t="str">
        <f>_xlfn.IFS(B5225&lt;=5,"Night (0-5)",B5225&lt;=9,"Morning peak (6-9)",B5225&lt;=15,"Midday (10-15)",B5225&lt;=19,"Evening peak (16-19)",TRUE,"Late evening (20-23)")</f>
        <v>Night (0-5)</v>
      </c>
    </row>
    <row r="5226" spans="1:9">
      <c r="A5226" s="32">
        <v>42040</v>
      </c>
      <c r="B5226">
        <v>2</v>
      </c>
      <c r="C5226">
        <v>538</v>
      </c>
      <c r="D5226" t="s">
        <v>304</v>
      </c>
      <c r="E5226">
        <f>YEAR(A5226)</f>
        <v>2015</v>
      </c>
      <c r="F5226" s="33">
        <f>DATE(YEAR(A5226),MONTH(A5226),1)</f>
        <v>42036.0</v>
      </c>
      <c r="G5226" t="str">
        <f>CHOOSE(WEEKDAY(A5226,2),"Mon","Tue","Wed","Thu","Fri","Sat","Sun")</f>
        <v>Thu</v>
      </c>
      <c r="H5226" t="str">
        <f>IF(WEEKDAY(A5226,2)&gt;5,"Weekend","Weekday")</f>
        <v>Weekday</v>
      </c>
      <c r="I5226" t="str">
        <f>_xlfn.IFS(B5226&lt;=5,"Night (0-5)",B5226&lt;=9,"Morning peak (6-9)",B5226&lt;=15,"Midday (10-15)",B5226&lt;=19,"Evening peak (16-19)",TRUE,"Late evening (20-23)")</f>
        <v>Night (0-5)</v>
      </c>
    </row>
    <row r="5227" spans="1:9">
      <c r="A5227" s="32">
        <v>42040</v>
      </c>
      <c r="B5227">
        <v>3</v>
      </c>
      <c r="C5227">
        <v>381</v>
      </c>
      <c r="D5227" t="s">
        <v>304</v>
      </c>
      <c r="E5227">
        <f>YEAR(A5227)</f>
        <v>2015</v>
      </c>
      <c r="F5227" s="33">
        <f>DATE(YEAR(A5227),MONTH(A5227),1)</f>
        <v>42036.0</v>
      </c>
      <c r="G5227" t="str">
        <f>CHOOSE(WEEKDAY(A5227,2),"Mon","Tue","Wed","Thu","Fri","Sat","Sun")</f>
        <v>Thu</v>
      </c>
      <c r="H5227" t="str">
        <f>IF(WEEKDAY(A5227,2)&gt;5,"Weekend","Weekday")</f>
        <v>Weekday</v>
      </c>
      <c r="I5227" t="str">
        <f>_xlfn.IFS(B5227&lt;=5,"Night (0-5)",B5227&lt;=9,"Morning peak (6-9)",B5227&lt;=15,"Midday (10-15)",B5227&lt;=19,"Evening peak (16-19)",TRUE,"Late evening (20-23)")</f>
        <v>Night (0-5)</v>
      </c>
    </row>
    <row r="5228" spans="1:9">
      <c r="A5228" s="32">
        <v>42040</v>
      </c>
      <c r="B5228">
        <v>4</v>
      </c>
      <c r="C5228">
        <v>568</v>
      </c>
      <c r="D5228" t="s">
        <v>304</v>
      </c>
      <c r="E5228">
        <f>YEAR(A5228)</f>
        <v>2015</v>
      </c>
      <c r="F5228" s="33">
        <f>DATE(YEAR(A5228),MONTH(A5228),1)</f>
        <v>42036.0</v>
      </c>
      <c r="G5228" t="str">
        <f>CHOOSE(WEEKDAY(A5228,2),"Mon","Tue","Wed","Thu","Fri","Sat","Sun")</f>
        <v>Thu</v>
      </c>
      <c r="H5228" t="str">
        <f>IF(WEEKDAY(A5228,2)&gt;5,"Weekend","Weekday")</f>
        <v>Weekday</v>
      </c>
      <c r="I5228" t="str">
        <f>_xlfn.IFS(B5228&lt;=5,"Night (0-5)",B5228&lt;=9,"Morning peak (6-9)",B5228&lt;=15,"Midday (10-15)",B5228&lt;=19,"Evening peak (16-19)",TRUE,"Late evening (20-23)")</f>
        <v>Night (0-5)</v>
      </c>
    </row>
    <row r="5229" spans="1:9">
      <c r="A5229" s="32">
        <v>42040</v>
      </c>
      <c r="B5229">
        <v>5</v>
      </c>
      <c r="C5229">
        <v>1009</v>
      </c>
      <c r="D5229" t="s">
        <v>304</v>
      </c>
      <c r="E5229">
        <f>YEAR(A5229)</f>
        <v>2015</v>
      </c>
      <c r="F5229" s="33">
        <f>DATE(YEAR(A5229),MONTH(A5229),1)</f>
        <v>42036.0</v>
      </c>
      <c r="G5229" t="str">
        <f>CHOOSE(WEEKDAY(A5229,2),"Mon","Tue","Wed","Thu","Fri","Sat","Sun")</f>
        <v>Thu</v>
      </c>
      <c r="H5229" t="str">
        <f>IF(WEEKDAY(A5229,2)&gt;5,"Weekend","Weekday")</f>
        <v>Weekday</v>
      </c>
      <c r="I5229" t="str">
        <f>_xlfn.IFS(B5229&lt;=5,"Night (0-5)",B5229&lt;=9,"Morning peak (6-9)",B5229&lt;=15,"Midday (10-15)",B5229&lt;=19,"Evening peak (16-19)",TRUE,"Late evening (20-23)")</f>
        <v>Night (0-5)</v>
      </c>
    </row>
    <row r="5230" spans="1:9">
      <c r="A5230" s="32">
        <v>42040</v>
      </c>
      <c r="B5230">
        <v>6</v>
      </c>
      <c r="C5230">
        <v>1759</v>
      </c>
      <c r="D5230" t="s">
        <v>304</v>
      </c>
      <c r="E5230">
        <f>YEAR(A5230)</f>
        <v>2015</v>
      </c>
      <c r="F5230" s="33">
        <f>DATE(YEAR(A5230),MONTH(A5230),1)</f>
        <v>42036.0</v>
      </c>
      <c r="G5230" t="str">
        <f>CHOOSE(WEEKDAY(A5230,2),"Mon","Tue","Wed","Thu","Fri","Sat","Sun")</f>
        <v>Thu</v>
      </c>
      <c r="H5230" t="str">
        <f>IF(WEEKDAY(A5230,2)&gt;5,"Weekend","Weekday")</f>
        <v>Weekday</v>
      </c>
      <c r="I5230" t="str">
        <f>_xlfn.IFS(B5230&lt;=5,"Night (0-5)",B5230&lt;=9,"Morning peak (6-9)",B5230&lt;=15,"Midday (10-15)",B5230&lt;=19,"Evening peak (16-19)",TRUE,"Late evening (20-23)")</f>
        <v>Morning peak (6-9)</v>
      </c>
    </row>
    <row r="5231" spans="1:9">
      <c r="A5231" s="32">
        <v>42040</v>
      </c>
      <c r="B5231">
        <v>7</v>
      </c>
      <c r="C5231">
        <v>3225</v>
      </c>
      <c r="D5231" t="s">
        <v>304</v>
      </c>
      <c r="E5231">
        <f>YEAR(A5231)</f>
        <v>2015</v>
      </c>
      <c r="F5231" s="33">
        <f>DATE(YEAR(A5231),MONTH(A5231),1)</f>
        <v>42036.0</v>
      </c>
      <c r="G5231" t="str">
        <f>CHOOSE(WEEKDAY(A5231,2),"Mon","Tue","Wed","Thu","Fri","Sat","Sun")</f>
        <v>Thu</v>
      </c>
      <c r="H5231" t="str">
        <f>IF(WEEKDAY(A5231,2)&gt;5,"Weekend","Weekday")</f>
        <v>Weekday</v>
      </c>
      <c r="I5231" t="str">
        <f>_xlfn.IFS(B5231&lt;=5,"Night (0-5)",B5231&lt;=9,"Morning peak (6-9)",B5231&lt;=15,"Midday (10-15)",B5231&lt;=19,"Evening peak (16-19)",TRUE,"Late evening (20-23)")</f>
        <v>Morning peak (6-9)</v>
      </c>
    </row>
    <row r="5232" spans="1:9">
      <c r="A5232" s="32">
        <v>42040</v>
      </c>
      <c r="B5232">
        <v>8</v>
      </c>
      <c r="C5232">
        <v>4101</v>
      </c>
      <c r="D5232" t="s">
        <v>304</v>
      </c>
      <c r="E5232">
        <f>YEAR(A5232)</f>
        <v>2015</v>
      </c>
      <c r="F5232" s="33">
        <f>DATE(YEAR(A5232),MONTH(A5232),1)</f>
        <v>42036.0</v>
      </c>
      <c r="G5232" t="str">
        <f>CHOOSE(WEEKDAY(A5232,2),"Mon","Tue","Wed","Thu","Fri","Sat","Sun")</f>
        <v>Thu</v>
      </c>
      <c r="H5232" t="str">
        <f>IF(WEEKDAY(A5232,2)&gt;5,"Weekend","Weekday")</f>
        <v>Weekday</v>
      </c>
      <c r="I5232" t="str">
        <f>_xlfn.IFS(B5232&lt;=5,"Night (0-5)",B5232&lt;=9,"Morning peak (6-9)",B5232&lt;=15,"Midday (10-15)",B5232&lt;=19,"Evening peak (16-19)",TRUE,"Late evening (20-23)")</f>
        <v>Morning peak (6-9)</v>
      </c>
    </row>
    <row r="5233" spans="1:9">
      <c r="A5233" s="32">
        <v>42040</v>
      </c>
      <c r="B5233">
        <v>9</v>
      </c>
      <c r="C5233">
        <v>3882</v>
      </c>
      <c r="D5233" t="s">
        <v>304</v>
      </c>
      <c r="E5233">
        <f>YEAR(A5233)</f>
        <v>2015</v>
      </c>
      <c r="F5233" s="33">
        <f>DATE(YEAR(A5233),MONTH(A5233),1)</f>
        <v>42036.0</v>
      </c>
      <c r="G5233" t="str">
        <f>CHOOSE(WEEKDAY(A5233,2),"Mon","Tue","Wed","Thu","Fri","Sat","Sun")</f>
        <v>Thu</v>
      </c>
      <c r="H5233" t="str">
        <f>IF(WEEKDAY(A5233,2)&gt;5,"Weekend","Weekday")</f>
        <v>Weekday</v>
      </c>
      <c r="I5233" t="str">
        <f>_xlfn.IFS(B5233&lt;=5,"Night (0-5)",B5233&lt;=9,"Morning peak (6-9)",B5233&lt;=15,"Midday (10-15)",B5233&lt;=19,"Evening peak (16-19)",TRUE,"Late evening (20-23)")</f>
        <v>Morning peak (6-9)</v>
      </c>
    </row>
    <row r="5234" spans="1:9">
      <c r="A5234" s="32">
        <v>42040</v>
      </c>
      <c r="B5234">
        <v>10</v>
      </c>
      <c r="C5234">
        <v>2762</v>
      </c>
      <c r="D5234" t="s">
        <v>304</v>
      </c>
      <c r="E5234">
        <f>YEAR(A5234)</f>
        <v>2015</v>
      </c>
      <c r="F5234" s="33">
        <f>DATE(YEAR(A5234),MONTH(A5234),1)</f>
        <v>42036.0</v>
      </c>
      <c r="G5234" t="str">
        <f>CHOOSE(WEEKDAY(A5234,2),"Mon","Tue","Wed","Thu","Fri","Sat","Sun")</f>
        <v>Thu</v>
      </c>
      <c r="H5234" t="str">
        <f>IF(WEEKDAY(A5234,2)&gt;5,"Weekend","Weekday")</f>
        <v>Weekday</v>
      </c>
      <c r="I5234" t="str">
        <f>_xlfn.IFS(B5234&lt;=5,"Night (0-5)",B5234&lt;=9,"Morning peak (6-9)",B5234&lt;=15,"Midday (10-15)",B5234&lt;=19,"Evening peak (16-19)",TRUE,"Late evening (20-23)")</f>
        <v>Midday (10-15)</v>
      </c>
    </row>
    <row r="5235" spans="1:9">
      <c r="A5235" s="32">
        <v>42040</v>
      </c>
      <c r="B5235">
        <v>11</v>
      </c>
      <c r="C5235">
        <v>2675</v>
      </c>
      <c r="D5235" t="s">
        <v>304</v>
      </c>
      <c r="E5235">
        <f>YEAR(A5235)</f>
        <v>2015</v>
      </c>
      <c r="F5235" s="33">
        <f>DATE(YEAR(A5235),MONTH(A5235),1)</f>
        <v>42036.0</v>
      </c>
      <c r="G5235" t="str">
        <f>CHOOSE(WEEKDAY(A5235,2),"Mon","Tue","Wed","Thu","Fri","Sat","Sun")</f>
        <v>Thu</v>
      </c>
      <c r="H5235" t="str">
        <f>IF(WEEKDAY(A5235,2)&gt;5,"Weekend","Weekday")</f>
        <v>Weekday</v>
      </c>
      <c r="I5235" t="str">
        <f>_xlfn.IFS(B5235&lt;=5,"Night (0-5)",B5235&lt;=9,"Morning peak (6-9)",B5235&lt;=15,"Midday (10-15)",B5235&lt;=19,"Evening peak (16-19)",TRUE,"Late evening (20-23)")</f>
        <v>Midday (10-15)</v>
      </c>
    </row>
    <row r="5236" spans="1:9">
      <c r="A5236" s="32">
        <v>42040</v>
      </c>
      <c r="B5236">
        <v>12</v>
      </c>
      <c r="C5236">
        <v>2570</v>
      </c>
      <c r="D5236" t="s">
        <v>304</v>
      </c>
      <c r="E5236">
        <f>YEAR(A5236)</f>
        <v>2015</v>
      </c>
      <c r="F5236" s="33">
        <f>DATE(YEAR(A5236),MONTH(A5236),1)</f>
        <v>42036.0</v>
      </c>
      <c r="G5236" t="str">
        <f>CHOOSE(WEEKDAY(A5236,2),"Mon","Tue","Wed","Thu","Fri","Sat","Sun")</f>
        <v>Thu</v>
      </c>
      <c r="H5236" t="str">
        <f>IF(WEEKDAY(A5236,2)&gt;5,"Weekend","Weekday")</f>
        <v>Weekday</v>
      </c>
      <c r="I5236" t="str">
        <f>_xlfn.IFS(B5236&lt;=5,"Night (0-5)",B5236&lt;=9,"Morning peak (6-9)",B5236&lt;=15,"Midday (10-15)",B5236&lt;=19,"Evening peak (16-19)",TRUE,"Late evening (20-23)")</f>
        <v>Midday (10-15)</v>
      </c>
    </row>
    <row r="5237" spans="1:9">
      <c r="A5237" s="32">
        <v>42040</v>
      </c>
      <c r="B5237">
        <v>13</v>
      </c>
      <c r="C5237">
        <v>2565</v>
      </c>
      <c r="D5237" t="s">
        <v>304</v>
      </c>
      <c r="E5237">
        <f>YEAR(A5237)</f>
        <v>2015</v>
      </c>
      <c r="F5237" s="33">
        <f>DATE(YEAR(A5237),MONTH(A5237),1)</f>
        <v>42036.0</v>
      </c>
      <c r="G5237" t="str">
        <f>CHOOSE(WEEKDAY(A5237,2),"Mon","Tue","Wed","Thu","Fri","Sat","Sun")</f>
        <v>Thu</v>
      </c>
      <c r="H5237" t="str">
        <f>IF(WEEKDAY(A5237,2)&gt;5,"Weekend","Weekday")</f>
        <v>Weekday</v>
      </c>
      <c r="I5237" t="str">
        <f>_xlfn.IFS(B5237&lt;=5,"Night (0-5)",B5237&lt;=9,"Morning peak (6-9)",B5237&lt;=15,"Midday (10-15)",B5237&lt;=19,"Evening peak (16-19)",TRUE,"Late evening (20-23)")</f>
        <v>Midday (10-15)</v>
      </c>
    </row>
    <row r="5238" spans="1:9">
      <c r="A5238" s="32">
        <v>42040</v>
      </c>
      <c r="B5238">
        <v>14</v>
      </c>
      <c r="C5238">
        <v>2890</v>
      </c>
      <c r="D5238" t="s">
        <v>304</v>
      </c>
      <c r="E5238">
        <f>YEAR(A5238)</f>
        <v>2015</v>
      </c>
      <c r="F5238" s="33">
        <f>DATE(YEAR(A5238),MONTH(A5238),1)</f>
        <v>42036.0</v>
      </c>
      <c r="G5238" t="str">
        <f>CHOOSE(WEEKDAY(A5238,2),"Mon","Tue","Wed","Thu","Fri","Sat","Sun")</f>
        <v>Thu</v>
      </c>
      <c r="H5238" t="str">
        <f>IF(WEEKDAY(A5238,2)&gt;5,"Weekend","Weekday")</f>
        <v>Weekday</v>
      </c>
      <c r="I5238" t="str">
        <f>_xlfn.IFS(B5238&lt;=5,"Night (0-5)",B5238&lt;=9,"Morning peak (6-9)",B5238&lt;=15,"Midday (10-15)",B5238&lt;=19,"Evening peak (16-19)",TRUE,"Late evening (20-23)")</f>
        <v>Midday (10-15)</v>
      </c>
    </row>
    <row r="5239" spans="1:9">
      <c r="A5239" s="32">
        <v>42040</v>
      </c>
      <c r="B5239">
        <v>15</v>
      </c>
      <c r="C5239">
        <v>3430</v>
      </c>
      <c r="D5239" t="s">
        <v>304</v>
      </c>
      <c r="E5239">
        <f>YEAR(A5239)</f>
        <v>2015</v>
      </c>
      <c r="F5239" s="33">
        <f>DATE(YEAR(A5239),MONTH(A5239),1)</f>
        <v>42036.0</v>
      </c>
      <c r="G5239" t="str">
        <f>CHOOSE(WEEKDAY(A5239,2),"Mon","Tue","Wed","Thu","Fri","Sat","Sun")</f>
        <v>Thu</v>
      </c>
      <c r="H5239" t="str">
        <f>IF(WEEKDAY(A5239,2)&gt;5,"Weekend","Weekday")</f>
        <v>Weekday</v>
      </c>
      <c r="I5239" t="str">
        <f>_xlfn.IFS(B5239&lt;=5,"Night (0-5)",B5239&lt;=9,"Morning peak (6-9)",B5239&lt;=15,"Midday (10-15)",B5239&lt;=19,"Evening peak (16-19)",TRUE,"Late evening (20-23)")</f>
        <v>Midday (10-15)</v>
      </c>
    </row>
    <row r="5240" spans="1:9">
      <c r="A5240" s="32">
        <v>42040</v>
      </c>
      <c r="B5240">
        <v>16</v>
      </c>
      <c r="C5240">
        <v>4131</v>
      </c>
      <c r="D5240" t="s">
        <v>304</v>
      </c>
      <c r="E5240">
        <f>YEAR(A5240)</f>
        <v>2015</v>
      </c>
      <c r="F5240" s="33">
        <f>DATE(YEAR(A5240),MONTH(A5240),1)</f>
        <v>42036.0</v>
      </c>
      <c r="G5240" t="str">
        <f>CHOOSE(WEEKDAY(A5240,2),"Mon","Tue","Wed","Thu","Fri","Sat","Sun")</f>
        <v>Thu</v>
      </c>
      <c r="H5240" t="str">
        <f>IF(WEEKDAY(A5240,2)&gt;5,"Weekend","Weekday")</f>
        <v>Weekday</v>
      </c>
      <c r="I5240" t="str">
        <f>_xlfn.IFS(B5240&lt;=5,"Night (0-5)",B5240&lt;=9,"Morning peak (6-9)",B5240&lt;=15,"Midday (10-15)",B5240&lt;=19,"Evening peak (16-19)",TRUE,"Late evening (20-23)")</f>
        <v>Evening peak (16-19)</v>
      </c>
    </row>
    <row r="5241" spans="1:9">
      <c r="A5241" s="32">
        <v>42040</v>
      </c>
      <c r="B5241">
        <v>17</v>
      </c>
      <c r="C5241">
        <v>5253</v>
      </c>
      <c r="D5241" t="s">
        <v>304</v>
      </c>
      <c r="E5241">
        <f>YEAR(A5241)</f>
        <v>2015</v>
      </c>
      <c r="F5241" s="33">
        <f>DATE(YEAR(A5241),MONTH(A5241),1)</f>
        <v>42036.0</v>
      </c>
      <c r="G5241" t="str">
        <f>CHOOSE(WEEKDAY(A5241,2),"Mon","Tue","Wed","Thu","Fri","Sat","Sun")</f>
        <v>Thu</v>
      </c>
      <c r="H5241" t="str">
        <f>IF(WEEKDAY(A5241,2)&gt;5,"Weekend","Weekday")</f>
        <v>Weekday</v>
      </c>
      <c r="I5241" t="str">
        <f>_xlfn.IFS(B5241&lt;=5,"Night (0-5)",B5241&lt;=9,"Morning peak (6-9)",B5241&lt;=15,"Midday (10-15)",B5241&lt;=19,"Evening peak (16-19)",TRUE,"Late evening (20-23)")</f>
        <v>Evening peak (16-19)</v>
      </c>
    </row>
    <row r="5242" spans="1:9">
      <c r="A5242" s="32">
        <v>42040</v>
      </c>
      <c r="B5242">
        <v>18</v>
      </c>
      <c r="C5242">
        <v>6650</v>
      </c>
      <c r="D5242" t="s">
        <v>304</v>
      </c>
      <c r="E5242">
        <f>YEAR(A5242)</f>
        <v>2015</v>
      </c>
      <c r="F5242" s="33">
        <f>DATE(YEAR(A5242),MONTH(A5242),1)</f>
        <v>42036.0</v>
      </c>
      <c r="G5242" t="str">
        <f>CHOOSE(WEEKDAY(A5242,2),"Mon","Tue","Wed","Thu","Fri","Sat","Sun")</f>
        <v>Thu</v>
      </c>
      <c r="H5242" t="str">
        <f>IF(WEEKDAY(A5242,2)&gt;5,"Weekend","Weekday")</f>
        <v>Weekday</v>
      </c>
      <c r="I5242" t="str">
        <f>_xlfn.IFS(B5242&lt;=5,"Night (0-5)",B5242&lt;=9,"Morning peak (6-9)",B5242&lt;=15,"Midday (10-15)",B5242&lt;=19,"Evening peak (16-19)",TRUE,"Late evening (20-23)")</f>
        <v>Evening peak (16-19)</v>
      </c>
    </row>
    <row r="5243" spans="1:9">
      <c r="A5243" s="32">
        <v>42040</v>
      </c>
      <c r="B5243">
        <v>19</v>
      </c>
      <c r="C5243">
        <v>7274</v>
      </c>
      <c r="D5243" t="s">
        <v>304</v>
      </c>
      <c r="E5243">
        <f>YEAR(A5243)</f>
        <v>2015</v>
      </c>
      <c r="F5243" s="33">
        <f>DATE(YEAR(A5243),MONTH(A5243),1)</f>
        <v>42036.0</v>
      </c>
      <c r="G5243" t="str">
        <f>CHOOSE(WEEKDAY(A5243,2),"Mon","Tue","Wed","Thu","Fri","Sat","Sun")</f>
        <v>Thu</v>
      </c>
      <c r="H5243" t="str">
        <f>IF(WEEKDAY(A5243,2)&gt;5,"Weekend","Weekday")</f>
        <v>Weekday</v>
      </c>
      <c r="I5243" t="str">
        <f>_xlfn.IFS(B5243&lt;=5,"Night (0-5)",B5243&lt;=9,"Morning peak (6-9)",B5243&lt;=15,"Midday (10-15)",B5243&lt;=19,"Evening peak (16-19)",TRUE,"Late evening (20-23)")</f>
        <v>Evening peak (16-19)</v>
      </c>
    </row>
    <row r="5244" spans="1:9">
      <c r="A5244" s="32">
        <v>42040</v>
      </c>
      <c r="B5244">
        <v>20</v>
      </c>
      <c r="C5244">
        <v>6793</v>
      </c>
      <c r="D5244" t="s">
        <v>304</v>
      </c>
      <c r="E5244">
        <f>YEAR(A5244)</f>
        <v>2015</v>
      </c>
      <c r="F5244" s="33">
        <f>DATE(YEAR(A5244),MONTH(A5244),1)</f>
        <v>42036.0</v>
      </c>
      <c r="G5244" t="str">
        <f>CHOOSE(WEEKDAY(A5244,2),"Mon","Tue","Wed","Thu","Fri","Sat","Sun")</f>
        <v>Thu</v>
      </c>
      <c r="H5244" t="str">
        <f>IF(WEEKDAY(A5244,2)&gt;5,"Weekend","Weekday")</f>
        <v>Weekday</v>
      </c>
      <c r="I5244" t="str">
        <f>_xlfn.IFS(B5244&lt;=5,"Night (0-5)",B5244&lt;=9,"Morning peak (6-9)",B5244&lt;=15,"Midday (10-15)",B5244&lt;=19,"Evening peak (16-19)",TRUE,"Late evening (20-23)")</f>
        <v>Late evening (20-23)</v>
      </c>
    </row>
    <row r="5245" spans="1:9">
      <c r="A5245" s="32">
        <v>42040</v>
      </c>
      <c r="B5245">
        <v>21</v>
      </c>
      <c r="C5245">
        <v>6637</v>
      </c>
      <c r="D5245" t="s">
        <v>304</v>
      </c>
      <c r="E5245">
        <f>YEAR(A5245)</f>
        <v>2015</v>
      </c>
      <c r="F5245" s="33">
        <f>DATE(YEAR(A5245),MONTH(A5245),1)</f>
        <v>42036.0</v>
      </c>
      <c r="G5245" t="str">
        <f>CHOOSE(WEEKDAY(A5245,2),"Mon","Tue","Wed","Thu","Fri","Sat","Sun")</f>
        <v>Thu</v>
      </c>
      <c r="H5245" t="str">
        <f>IF(WEEKDAY(A5245,2)&gt;5,"Weekend","Weekday")</f>
        <v>Weekday</v>
      </c>
      <c r="I5245" t="str">
        <f>_xlfn.IFS(B5245&lt;=5,"Night (0-5)",B5245&lt;=9,"Morning peak (6-9)",B5245&lt;=15,"Midday (10-15)",B5245&lt;=19,"Evening peak (16-19)",TRUE,"Late evening (20-23)")</f>
        <v>Late evening (20-23)</v>
      </c>
    </row>
    <row r="5246" spans="1:9">
      <c r="A5246" s="32">
        <v>42040</v>
      </c>
      <c r="B5246">
        <v>22</v>
      </c>
      <c r="C5246">
        <v>5991</v>
      </c>
      <c r="D5246" t="s">
        <v>304</v>
      </c>
      <c r="E5246">
        <f>YEAR(A5246)</f>
        <v>2015</v>
      </c>
      <c r="F5246" s="33">
        <f>DATE(YEAR(A5246),MONTH(A5246),1)</f>
        <v>42036.0</v>
      </c>
      <c r="G5246" t="str">
        <f>CHOOSE(WEEKDAY(A5246,2),"Mon","Tue","Wed","Thu","Fri","Sat","Sun")</f>
        <v>Thu</v>
      </c>
      <c r="H5246" t="str">
        <f>IF(WEEKDAY(A5246,2)&gt;5,"Weekend","Weekday")</f>
        <v>Weekday</v>
      </c>
      <c r="I5246" t="str">
        <f>_xlfn.IFS(B5246&lt;=5,"Night (0-5)",B5246&lt;=9,"Morning peak (6-9)",B5246&lt;=15,"Midday (10-15)",B5246&lt;=19,"Evening peak (16-19)",TRUE,"Late evening (20-23)")</f>
        <v>Late evening (20-23)</v>
      </c>
    </row>
    <row r="5247" spans="1:9">
      <c r="A5247" s="32">
        <v>42040</v>
      </c>
      <c r="B5247">
        <v>23</v>
      </c>
      <c r="C5247">
        <v>4664</v>
      </c>
      <c r="D5247" t="s">
        <v>304</v>
      </c>
      <c r="E5247">
        <f>YEAR(A5247)</f>
        <v>2015</v>
      </c>
      <c r="F5247" s="33">
        <f>DATE(YEAR(A5247),MONTH(A5247),1)</f>
        <v>42036.0</v>
      </c>
      <c r="G5247" t="str">
        <f>CHOOSE(WEEKDAY(A5247,2),"Mon","Tue","Wed","Thu","Fri","Sat","Sun")</f>
        <v>Thu</v>
      </c>
      <c r="H5247" t="str">
        <f>IF(WEEKDAY(A5247,2)&gt;5,"Weekend","Weekday")</f>
        <v>Weekday</v>
      </c>
      <c r="I5247" t="str">
        <f>_xlfn.IFS(B5247&lt;=5,"Night (0-5)",B5247&lt;=9,"Morning peak (6-9)",B5247&lt;=15,"Midday (10-15)",B5247&lt;=19,"Evening peak (16-19)",TRUE,"Late evening (20-23)")</f>
        <v>Late evening (20-23)</v>
      </c>
    </row>
    <row r="5248" spans="1:9">
      <c r="A5248" s="32">
        <v>42041</v>
      </c>
      <c r="B5248">
        <v>0</v>
      </c>
      <c r="C5248">
        <v>2721</v>
      </c>
      <c r="D5248" t="s">
        <v>304</v>
      </c>
      <c r="E5248">
        <f>YEAR(A5248)</f>
        <v>2015</v>
      </c>
      <c r="F5248" s="33">
        <f>DATE(YEAR(A5248),MONTH(A5248),1)</f>
        <v>42036.0</v>
      </c>
      <c r="G5248" t="str">
        <f>CHOOSE(WEEKDAY(A5248,2),"Mon","Tue","Wed","Thu","Fri","Sat","Sun")</f>
        <v>Fri</v>
      </c>
      <c r="H5248" t="str">
        <f>IF(WEEKDAY(A5248,2)&gt;5,"Weekend","Weekday")</f>
        <v>Weekday</v>
      </c>
      <c r="I5248" t="str">
        <f>_xlfn.IFS(B5248&lt;=5,"Night (0-5)",B5248&lt;=9,"Morning peak (6-9)",B5248&lt;=15,"Midday (10-15)",B5248&lt;=19,"Evening peak (16-19)",TRUE,"Late evening (20-23)")</f>
        <v>Night (0-5)</v>
      </c>
    </row>
    <row r="5249" spans="1:9">
      <c r="A5249" s="32">
        <v>42041</v>
      </c>
      <c r="B5249">
        <v>1</v>
      </c>
      <c r="C5249">
        <v>1501</v>
      </c>
      <c r="D5249" t="s">
        <v>304</v>
      </c>
      <c r="E5249">
        <f>YEAR(A5249)</f>
        <v>2015</v>
      </c>
      <c r="F5249" s="33">
        <f>DATE(YEAR(A5249),MONTH(A5249),1)</f>
        <v>42036.0</v>
      </c>
      <c r="G5249" t="str">
        <f>CHOOSE(WEEKDAY(A5249,2),"Mon","Tue","Wed","Thu","Fri","Sat","Sun")</f>
        <v>Fri</v>
      </c>
      <c r="H5249" t="str">
        <f>IF(WEEKDAY(A5249,2)&gt;5,"Weekend","Weekday")</f>
        <v>Weekday</v>
      </c>
      <c r="I5249" t="str">
        <f>_xlfn.IFS(B5249&lt;=5,"Night (0-5)",B5249&lt;=9,"Morning peak (6-9)",B5249&lt;=15,"Midday (10-15)",B5249&lt;=19,"Evening peak (16-19)",TRUE,"Late evening (20-23)")</f>
        <v>Night (0-5)</v>
      </c>
    </row>
    <row r="5250" spans="1:9">
      <c r="A5250" s="32">
        <v>42041</v>
      </c>
      <c r="B5250">
        <v>2</v>
      </c>
      <c r="C5250">
        <v>895</v>
      </c>
      <c r="D5250" t="s">
        <v>304</v>
      </c>
      <c r="E5250">
        <f>YEAR(A5250)</f>
        <v>2015</v>
      </c>
      <c r="F5250" s="33">
        <f>DATE(YEAR(A5250),MONTH(A5250),1)</f>
        <v>42036.0</v>
      </c>
      <c r="G5250" t="str">
        <f>CHOOSE(WEEKDAY(A5250,2),"Mon","Tue","Wed","Thu","Fri","Sat","Sun")</f>
        <v>Fri</v>
      </c>
      <c r="H5250" t="str">
        <f>IF(WEEKDAY(A5250,2)&gt;5,"Weekend","Weekday")</f>
        <v>Weekday</v>
      </c>
      <c r="I5250" t="str">
        <f>_xlfn.IFS(B5250&lt;=5,"Night (0-5)",B5250&lt;=9,"Morning peak (6-9)",B5250&lt;=15,"Midday (10-15)",B5250&lt;=19,"Evening peak (16-19)",TRUE,"Late evening (20-23)")</f>
        <v>Night (0-5)</v>
      </c>
    </row>
    <row r="5251" spans="1:9">
      <c r="A5251" s="32">
        <v>42041</v>
      </c>
      <c r="B5251">
        <v>3</v>
      </c>
      <c r="C5251">
        <v>587</v>
      </c>
      <c r="D5251" t="s">
        <v>304</v>
      </c>
      <c r="E5251">
        <f>YEAR(A5251)</f>
        <v>2015</v>
      </c>
      <c r="F5251" s="33">
        <f>DATE(YEAR(A5251),MONTH(A5251),1)</f>
        <v>42036.0</v>
      </c>
      <c r="G5251" t="str">
        <f>CHOOSE(WEEKDAY(A5251,2),"Mon","Tue","Wed","Thu","Fri","Sat","Sun")</f>
        <v>Fri</v>
      </c>
      <c r="H5251" t="str">
        <f>IF(WEEKDAY(A5251,2)&gt;5,"Weekend","Weekday")</f>
        <v>Weekday</v>
      </c>
      <c r="I5251" t="str">
        <f>_xlfn.IFS(B5251&lt;=5,"Night (0-5)",B5251&lt;=9,"Morning peak (6-9)",B5251&lt;=15,"Midday (10-15)",B5251&lt;=19,"Evening peak (16-19)",TRUE,"Late evening (20-23)")</f>
        <v>Night (0-5)</v>
      </c>
    </row>
    <row r="5252" spans="1:9">
      <c r="A5252" s="32">
        <v>42041</v>
      </c>
      <c r="B5252">
        <v>4</v>
      </c>
      <c r="C5252">
        <v>723</v>
      </c>
      <c r="D5252" t="s">
        <v>304</v>
      </c>
      <c r="E5252">
        <f>YEAR(A5252)</f>
        <v>2015</v>
      </c>
      <c r="F5252" s="33">
        <f>DATE(YEAR(A5252),MONTH(A5252),1)</f>
        <v>42036.0</v>
      </c>
      <c r="G5252" t="str">
        <f>CHOOSE(WEEKDAY(A5252,2),"Mon","Tue","Wed","Thu","Fri","Sat","Sun")</f>
        <v>Fri</v>
      </c>
      <c r="H5252" t="str">
        <f>IF(WEEKDAY(A5252,2)&gt;5,"Weekend","Weekday")</f>
        <v>Weekday</v>
      </c>
      <c r="I5252" t="str">
        <f>_xlfn.IFS(B5252&lt;=5,"Night (0-5)",B5252&lt;=9,"Morning peak (6-9)",B5252&lt;=15,"Midday (10-15)",B5252&lt;=19,"Evening peak (16-19)",TRUE,"Late evening (20-23)")</f>
        <v>Night (0-5)</v>
      </c>
    </row>
    <row r="5253" spans="1:9">
      <c r="A5253" s="32">
        <v>42041</v>
      </c>
      <c r="B5253">
        <v>5</v>
      </c>
      <c r="C5253">
        <v>1058</v>
      </c>
      <c r="D5253" t="s">
        <v>304</v>
      </c>
      <c r="E5253">
        <f>YEAR(A5253)</f>
        <v>2015</v>
      </c>
      <c r="F5253" s="33">
        <f>DATE(YEAR(A5253),MONTH(A5253),1)</f>
        <v>42036.0</v>
      </c>
      <c r="G5253" t="str">
        <f>CHOOSE(WEEKDAY(A5253,2),"Mon","Tue","Wed","Thu","Fri","Sat","Sun")</f>
        <v>Fri</v>
      </c>
      <c r="H5253" t="str">
        <f>IF(WEEKDAY(A5253,2)&gt;5,"Weekend","Weekday")</f>
        <v>Weekday</v>
      </c>
      <c r="I5253" t="str">
        <f>_xlfn.IFS(B5253&lt;=5,"Night (0-5)",B5253&lt;=9,"Morning peak (6-9)",B5253&lt;=15,"Midday (10-15)",B5253&lt;=19,"Evening peak (16-19)",TRUE,"Late evening (20-23)")</f>
        <v>Night (0-5)</v>
      </c>
    </row>
    <row r="5254" spans="1:9">
      <c r="A5254" s="32">
        <v>42041</v>
      </c>
      <c r="B5254">
        <v>6</v>
      </c>
      <c r="C5254">
        <v>1725</v>
      </c>
      <c r="D5254" t="s">
        <v>304</v>
      </c>
      <c r="E5254">
        <f>YEAR(A5254)</f>
        <v>2015</v>
      </c>
      <c r="F5254" s="33">
        <f>DATE(YEAR(A5254),MONTH(A5254),1)</f>
        <v>42036.0</v>
      </c>
      <c r="G5254" t="str">
        <f>CHOOSE(WEEKDAY(A5254,2),"Mon","Tue","Wed","Thu","Fri","Sat","Sun")</f>
        <v>Fri</v>
      </c>
      <c r="H5254" t="str">
        <f>IF(WEEKDAY(A5254,2)&gt;5,"Weekend","Weekday")</f>
        <v>Weekday</v>
      </c>
      <c r="I5254" t="str">
        <f>_xlfn.IFS(B5254&lt;=5,"Night (0-5)",B5254&lt;=9,"Morning peak (6-9)",B5254&lt;=15,"Midday (10-15)",B5254&lt;=19,"Evening peak (16-19)",TRUE,"Late evening (20-23)")</f>
        <v>Morning peak (6-9)</v>
      </c>
    </row>
    <row r="5255" spans="1:9">
      <c r="A5255" s="32">
        <v>42041</v>
      </c>
      <c r="B5255">
        <v>7</v>
      </c>
      <c r="C5255">
        <v>3158</v>
      </c>
      <c r="D5255" t="s">
        <v>304</v>
      </c>
      <c r="E5255">
        <f>YEAR(A5255)</f>
        <v>2015</v>
      </c>
      <c r="F5255" s="33">
        <f>DATE(YEAR(A5255),MONTH(A5255),1)</f>
        <v>42036.0</v>
      </c>
      <c r="G5255" t="str">
        <f>CHOOSE(WEEKDAY(A5255,2),"Mon","Tue","Wed","Thu","Fri","Sat","Sun")</f>
        <v>Fri</v>
      </c>
      <c r="H5255" t="str">
        <f>IF(WEEKDAY(A5255,2)&gt;5,"Weekend","Weekday")</f>
        <v>Weekday</v>
      </c>
      <c r="I5255" t="str">
        <f>_xlfn.IFS(B5255&lt;=5,"Night (0-5)",B5255&lt;=9,"Morning peak (6-9)",B5255&lt;=15,"Midday (10-15)",B5255&lt;=19,"Evening peak (16-19)",TRUE,"Late evening (20-23)")</f>
        <v>Morning peak (6-9)</v>
      </c>
    </row>
    <row r="5256" spans="1:9">
      <c r="A5256" s="32">
        <v>42041</v>
      </c>
      <c r="B5256">
        <v>8</v>
      </c>
      <c r="C5256">
        <v>3928</v>
      </c>
      <c r="D5256" t="s">
        <v>304</v>
      </c>
      <c r="E5256">
        <f>YEAR(A5256)</f>
        <v>2015</v>
      </c>
      <c r="F5256" s="33">
        <f>DATE(YEAR(A5256),MONTH(A5256),1)</f>
        <v>42036.0</v>
      </c>
      <c r="G5256" t="str">
        <f>CHOOSE(WEEKDAY(A5256,2),"Mon","Tue","Wed","Thu","Fri","Sat","Sun")</f>
        <v>Fri</v>
      </c>
      <c r="H5256" t="str">
        <f>IF(WEEKDAY(A5256,2)&gt;5,"Weekend","Weekday")</f>
        <v>Weekday</v>
      </c>
      <c r="I5256" t="str">
        <f>_xlfn.IFS(B5256&lt;=5,"Night (0-5)",B5256&lt;=9,"Morning peak (6-9)",B5256&lt;=15,"Midday (10-15)",B5256&lt;=19,"Evening peak (16-19)",TRUE,"Late evening (20-23)")</f>
        <v>Morning peak (6-9)</v>
      </c>
    </row>
    <row r="5257" spans="1:9">
      <c r="A5257" s="32">
        <v>42041</v>
      </c>
      <c r="B5257">
        <v>9</v>
      </c>
      <c r="C5257">
        <v>3955</v>
      </c>
      <c r="D5257" t="s">
        <v>304</v>
      </c>
      <c r="E5257">
        <f>YEAR(A5257)</f>
        <v>2015</v>
      </c>
      <c r="F5257" s="33">
        <f>DATE(YEAR(A5257),MONTH(A5257),1)</f>
        <v>42036.0</v>
      </c>
      <c r="G5257" t="str">
        <f>CHOOSE(WEEKDAY(A5257,2),"Mon","Tue","Wed","Thu","Fri","Sat","Sun")</f>
        <v>Fri</v>
      </c>
      <c r="H5257" t="str">
        <f>IF(WEEKDAY(A5257,2)&gt;5,"Weekend","Weekday")</f>
        <v>Weekday</v>
      </c>
      <c r="I5257" t="str">
        <f>_xlfn.IFS(B5257&lt;=5,"Night (0-5)",B5257&lt;=9,"Morning peak (6-9)",B5257&lt;=15,"Midday (10-15)",B5257&lt;=19,"Evening peak (16-19)",TRUE,"Late evening (20-23)")</f>
        <v>Morning peak (6-9)</v>
      </c>
    </row>
    <row r="5258" spans="1:9">
      <c r="A5258" s="32">
        <v>42041</v>
      </c>
      <c r="B5258">
        <v>10</v>
      </c>
      <c r="C5258">
        <v>3093</v>
      </c>
      <c r="D5258" t="s">
        <v>304</v>
      </c>
      <c r="E5258">
        <f>YEAR(A5258)</f>
        <v>2015</v>
      </c>
      <c r="F5258" s="33">
        <f>DATE(YEAR(A5258),MONTH(A5258),1)</f>
        <v>42036.0</v>
      </c>
      <c r="G5258" t="str">
        <f>CHOOSE(WEEKDAY(A5258,2),"Mon","Tue","Wed","Thu","Fri","Sat","Sun")</f>
        <v>Fri</v>
      </c>
      <c r="H5258" t="str">
        <f>IF(WEEKDAY(A5258,2)&gt;5,"Weekend","Weekday")</f>
        <v>Weekday</v>
      </c>
      <c r="I5258" t="str">
        <f>_xlfn.IFS(B5258&lt;=5,"Night (0-5)",B5258&lt;=9,"Morning peak (6-9)",B5258&lt;=15,"Midday (10-15)",B5258&lt;=19,"Evening peak (16-19)",TRUE,"Late evening (20-23)")</f>
        <v>Midday (10-15)</v>
      </c>
    </row>
    <row r="5259" spans="1:9">
      <c r="A5259" s="32">
        <v>42041</v>
      </c>
      <c r="B5259">
        <v>11</v>
      </c>
      <c r="C5259">
        <v>2935</v>
      </c>
      <c r="D5259" t="s">
        <v>304</v>
      </c>
      <c r="E5259">
        <f>YEAR(A5259)</f>
        <v>2015</v>
      </c>
      <c r="F5259" s="33">
        <f>DATE(YEAR(A5259),MONTH(A5259),1)</f>
        <v>42036.0</v>
      </c>
      <c r="G5259" t="str">
        <f>CHOOSE(WEEKDAY(A5259,2),"Mon","Tue","Wed","Thu","Fri","Sat","Sun")</f>
        <v>Fri</v>
      </c>
      <c r="H5259" t="str">
        <f>IF(WEEKDAY(A5259,2)&gt;5,"Weekend","Weekday")</f>
        <v>Weekday</v>
      </c>
      <c r="I5259" t="str">
        <f>_xlfn.IFS(B5259&lt;=5,"Night (0-5)",B5259&lt;=9,"Morning peak (6-9)",B5259&lt;=15,"Midday (10-15)",B5259&lt;=19,"Evening peak (16-19)",TRUE,"Late evening (20-23)")</f>
        <v>Midday (10-15)</v>
      </c>
    </row>
    <row r="5260" spans="1:9">
      <c r="A5260" s="32">
        <v>42041</v>
      </c>
      <c r="B5260">
        <v>12</v>
      </c>
      <c r="C5260">
        <v>2852</v>
      </c>
      <c r="D5260" t="s">
        <v>304</v>
      </c>
      <c r="E5260">
        <f>YEAR(A5260)</f>
        <v>2015</v>
      </c>
      <c r="F5260" s="33">
        <f>DATE(YEAR(A5260),MONTH(A5260),1)</f>
        <v>42036.0</v>
      </c>
      <c r="G5260" t="str">
        <f>CHOOSE(WEEKDAY(A5260,2),"Mon","Tue","Wed","Thu","Fri","Sat","Sun")</f>
        <v>Fri</v>
      </c>
      <c r="H5260" t="str">
        <f>IF(WEEKDAY(A5260,2)&gt;5,"Weekend","Weekday")</f>
        <v>Weekday</v>
      </c>
      <c r="I5260" t="str">
        <f>_xlfn.IFS(B5260&lt;=5,"Night (0-5)",B5260&lt;=9,"Morning peak (6-9)",B5260&lt;=15,"Midday (10-15)",B5260&lt;=19,"Evening peak (16-19)",TRUE,"Late evening (20-23)")</f>
        <v>Midday (10-15)</v>
      </c>
    </row>
    <row r="5261" spans="1:9">
      <c r="A5261" s="32">
        <v>42041</v>
      </c>
      <c r="B5261">
        <v>13</v>
      </c>
      <c r="C5261">
        <v>2835</v>
      </c>
      <c r="D5261" t="s">
        <v>304</v>
      </c>
      <c r="E5261">
        <f>YEAR(A5261)</f>
        <v>2015</v>
      </c>
      <c r="F5261" s="33">
        <f>DATE(YEAR(A5261),MONTH(A5261),1)</f>
        <v>42036.0</v>
      </c>
      <c r="G5261" t="str">
        <f>CHOOSE(WEEKDAY(A5261,2),"Mon","Tue","Wed","Thu","Fri","Sat","Sun")</f>
        <v>Fri</v>
      </c>
      <c r="H5261" t="str">
        <f>IF(WEEKDAY(A5261,2)&gt;5,"Weekend","Weekday")</f>
        <v>Weekday</v>
      </c>
      <c r="I5261" t="str">
        <f>_xlfn.IFS(B5261&lt;=5,"Night (0-5)",B5261&lt;=9,"Morning peak (6-9)",B5261&lt;=15,"Midday (10-15)",B5261&lt;=19,"Evening peak (16-19)",TRUE,"Late evening (20-23)")</f>
        <v>Midday (10-15)</v>
      </c>
    </row>
    <row r="5262" spans="1:9">
      <c r="A5262" s="32">
        <v>42041</v>
      </c>
      <c r="B5262">
        <v>14</v>
      </c>
      <c r="C5262">
        <v>3226</v>
      </c>
      <c r="D5262" t="s">
        <v>304</v>
      </c>
      <c r="E5262">
        <f>YEAR(A5262)</f>
        <v>2015</v>
      </c>
      <c r="F5262" s="33">
        <f>DATE(YEAR(A5262),MONTH(A5262),1)</f>
        <v>42036.0</v>
      </c>
      <c r="G5262" t="str">
        <f>CHOOSE(WEEKDAY(A5262,2),"Mon","Tue","Wed","Thu","Fri","Sat","Sun")</f>
        <v>Fri</v>
      </c>
      <c r="H5262" t="str">
        <f>IF(WEEKDAY(A5262,2)&gt;5,"Weekend","Weekday")</f>
        <v>Weekday</v>
      </c>
      <c r="I5262" t="str">
        <f>_xlfn.IFS(B5262&lt;=5,"Night (0-5)",B5262&lt;=9,"Morning peak (6-9)",B5262&lt;=15,"Midday (10-15)",B5262&lt;=19,"Evening peak (16-19)",TRUE,"Late evening (20-23)")</f>
        <v>Midday (10-15)</v>
      </c>
    </row>
    <row r="5263" spans="1:9">
      <c r="A5263" s="32">
        <v>42041</v>
      </c>
      <c r="B5263">
        <v>15</v>
      </c>
      <c r="C5263">
        <v>3683</v>
      </c>
      <c r="D5263" t="s">
        <v>304</v>
      </c>
      <c r="E5263">
        <f>YEAR(A5263)</f>
        <v>2015</v>
      </c>
      <c r="F5263" s="33">
        <f>DATE(YEAR(A5263),MONTH(A5263),1)</f>
        <v>42036.0</v>
      </c>
      <c r="G5263" t="str">
        <f>CHOOSE(WEEKDAY(A5263,2),"Mon","Tue","Wed","Thu","Fri","Sat","Sun")</f>
        <v>Fri</v>
      </c>
      <c r="H5263" t="str">
        <f>IF(WEEKDAY(A5263,2)&gt;5,"Weekend","Weekday")</f>
        <v>Weekday</v>
      </c>
      <c r="I5263" t="str">
        <f>_xlfn.IFS(B5263&lt;=5,"Night (0-5)",B5263&lt;=9,"Morning peak (6-9)",B5263&lt;=15,"Midday (10-15)",B5263&lt;=19,"Evening peak (16-19)",TRUE,"Late evening (20-23)")</f>
        <v>Midday (10-15)</v>
      </c>
    </row>
    <row r="5264" spans="1:9">
      <c r="A5264" s="32">
        <v>42041</v>
      </c>
      <c r="B5264">
        <v>16</v>
      </c>
      <c r="C5264">
        <v>4460</v>
      </c>
      <c r="D5264" t="s">
        <v>304</v>
      </c>
      <c r="E5264">
        <f>YEAR(A5264)</f>
        <v>2015</v>
      </c>
      <c r="F5264" s="33">
        <f>DATE(YEAR(A5264),MONTH(A5264),1)</f>
        <v>42036.0</v>
      </c>
      <c r="G5264" t="str">
        <f>CHOOSE(WEEKDAY(A5264,2),"Mon","Tue","Wed","Thu","Fri","Sat","Sun")</f>
        <v>Fri</v>
      </c>
      <c r="H5264" t="str">
        <f>IF(WEEKDAY(A5264,2)&gt;5,"Weekend","Weekday")</f>
        <v>Weekday</v>
      </c>
      <c r="I5264" t="str">
        <f>_xlfn.IFS(B5264&lt;=5,"Night (0-5)",B5264&lt;=9,"Morning peak (6-9)",B5264&lt;=15,"Midday (10-15)",B5264&lt;=19,"Evening peak (16-19)",TRUE,"Late evening (20-23)")</f>
        <v>Evening peak (16-19)</v>
      </c>
    </row>
    <row r="5265" spans="1:9">
      <c r="A5265" s="32">
        <v>42041</v>
      </c>
      <c r="B5265">
        <v>17</v>
      </c>
      <c r="C5265">
        <v>5504</v>
      </c>
      <c r="D5265" t="s">
        <v>304</v>
      </c>
      <c r="E5265">
        <f>YEAR(A5265)</f>
        <v>2015</v>
      </c>
      <c r="F5265" s="33">
        <f>DATE(YEAR(A5265),MONTH(A5265),1)</f>
        <v>42036.0</v>
      </c>
      <c r="G5265" t="str">
        <f>CHOOSE(WEEKDAY(A5265,2),"Mon","Tue","Wed","Thu","Fri","Sat","Sun")</f>
        <v>Fri</v>
      </c>
      <c r="H5265" t="str">
        <f>IF(WEEKDAY(A5265,2)&gt;5,"Weekend","Weekday")</f>
        <v>Weekday</v>
      </c>
      <c r="I5265" t="str">
        <f>_xlfn.IFS(B5265&lt;=5,"Night (0-5)",B5265&lt;=9,"Morning peak (6-9)",B5265&lt;=15,"Midday (10-15)",B5265&lt;=19,"Evening peak (16-19)",TRUE,"Late evening (20-23)")</f>
        <v>Evening peak (16-19)</v>
      </c>
    </row>
    <row r="5266" spans="1:9">
      <c r="A5266" s="32">
        <v>42041</v>
      </c>
      <c r="B5266">
        <v>18</v>
      </c>
      <c r="C5266">
        <v>6483</v>
      </c>
      <c r="D5266" t="s">
        <v>304</v>
      </c>
      <c r="E5266">
        <f>YEAR(A5266)</f>
        <v>2015</v>
      </c>
      <c r="F5266" s="33">
        <f>DATE(YEAR(A5266),MONTH(A5266),1)</f>
        <v>42036.0</v>
      </c>
      <c r="G5266" t="str">
        <f>CHOOSE(WEEKDAY(A5266,2),"Mon","Tue","Wed","Thu","Fri","Sat","Sun")</f>
        <v>Fri</v>
      </c>
      <c r="H5266" t="str">
        <f>IF(WEEKDAY(A5266,2)&gt;5,"Weekend","Weekday")</f>
        <v>Weekday</v>
      </c>
      <c r="I5266" t="str">
        <f>_xlfn.IFS(B5266&lt;=5,"Night (0-5)",B5266&lt;=9,"Morning peak (6-9)",B5266&lt;=15,"Midday (10-15)",B5266&lt;=19,"Evening peak (16-19)",TRUE,"Late evening (20-23)")</f>
        <v>Evening peak (16-19)</v>
      </c>
    </row>
    <row r="5267" spans="1:9">
      <c r="A5267" s="32">
        <v>42041</v>
      </c>
      <c r="B5267">
        <v>19</v>
      </c>
      <c r="C5267">
        <v>7314</v>
      </c>
      <c r="D5267" t="s">
        <v>304</v>
      </c>
      <c r="E5267">
        <f>YEAR(A5267)</f>
        <v>2015</v>
      </c>
      <c r="F5267" s="33">
        <f>DATE(YEAR(A5267),MONTH(A5267),1)</f>
        <v>42036.0</v>
      </c>
      <c r="G5267" t="str">
        <f>CHOOSE(WEEKDAY(A5267,2),"Mon","Tue","Wed","Thu","Fri","Sat","Sun")</f>
        <v>Fri</v>
      </c>
      <c r="H5267" t="str">
        <f>IF(WEEKDAY(A5267,2)&gt;5,"Weekend","Weekday")</f>
        <v>Weekday</v>
      </c>
      <c r="I5267" t="str">
        <f>_xlfn.IFS(B5267&lt;=5,"Night (0-5)",B5267&lt;=9,"Morning peak (6-9)",B5267&lt;=15,"Midday (10-15)",B5267&lt;=19,"Evening peak (16-19)",TRUE,"Late evening (20-23)")</f>
        <v>Evening peak (16-19)</v>
      </c>
    </row>
    <row r="5268" spans="1:9">
      <c r="A5268" s="32">
        <v>42041</v>
      </c>
      <c r="B5268">
        <v>20</v>
      </c>
      <c r="C5268">
        <v>6783</v>
      </c>
      <c r="D5268" t="s">
        <v>304</v>
      </c>
      <c r="E5268">
        <f>YEAR(A5268)</f>
        <v>2015</v>
      </c>
      <c r="F5268" s="33">
        <f>DATE(YEAR(A5268),MONTH(A5268),1)</f>
        <v>42036.0</v>
      </c>
      <c r="G5268" t="str">
        <f>CHOOSE(WEEKDAY(A5268,2),"Mon","Tue","Wed","Thu","Fri","Sat","Sun")</f>
        <v>Fri</v>
      </c>
      <c r="H5268" t="str">
        <f>IF(WEEKDAY(A5268,2)&gt;5,"Weekend","Weekday")</f>
        <v>Weekday</v>
      </c>
      <c r="I5268" t="str">
        <f>_xlfn.IFS(B5268&lt;=5,"Night (0-5)",B5268&lt;=9,"Morning peak (6-9)",B5268&lt;=15,"Midday (10-15)",B5268&lt;=19,"Evening peak (16-19)",TRUE,"Late evening (20-23)")</f>
        <v>Late evening (20-23)</v>
      </c>
    </row>
    <row r="5269" spans="1:9">
      <c r="A5269" s="32">
        <v>42041</v>
      </c>
      <c r="B5269">
        <v>21</v>
      </c>
      <c r="C5269">
        <v>5969</v>
      </c>
      <c r="D5269" t="s">
        <v>304</v>
      </c>
      <c r="E5269">
        <f>YEAR(A5269)</f>
        <v>2015</v>
      </c>
      <c r="F5269" s="33">
        <f>DATE(YEAR(A5269),MONTH(A5269),1)</f>
        <v>42036.0</v>
      </c>
      <c r="G5269" t="str">
        <f>CHOOSE(WEEKDAY(A5269,2),"Mon","Tue","Wed","Thu","Fri","Sat","Sun")</f>
        <v>Fri</v>
      </c>
      <c r="H5269" t="str">
        <f>IF(WEEKDAY(A5269,2)&gt;5,"Weekend","Weekday")</f>
        <v>Weekday</v>
      </c>
      <c r="I5269" t="str">
        <f>_xlfn.IFS(B5269&lt;=5,"Night (0-5)",B5269&lt;=9,"Morning peak (6-9)",B5269&lt;=15,"Midday (10-15)",B5269&lt;=19,"Evening peak (16-19)",TRUE,"Late evening (20-23)")</f>
        <v>Late evening (20-23)</v>
      </c>
    </row>
    <row r="5270" spans="1:9">
      <c r="A5270" s="32">
        <v>42041</v>
      </c>
      <c r="B5270">
        <v>22</v>
      </c>
      <c r="C5270">
        <v>6197</v>
      </c>
      <c r="D5270" t="s">
        <v>304</v>
      </c>
      <c r="E5270">
        <f>YEAR(A5270)</f>
        <v>2015</v>
      </c>
      <c r="F5270" s="33">
        <f>DATE(YEAR(A5270),MONTH(A5270),1)</f>
        <v>42036.0</v>
      </c>
      <c r="G5270" t="str">
        <f>CHOOSE(WEEKDAY(A5270,2),"Mon","Tue","Wed","Thu","Fri","Sat","Sun")</f>
        <v>Fri</v>
      </c>
      <c r="H5270" t="str">
        <f>IF(WEEKDAY(A5270,2)&gt;5,"Weekend","Weekday")</f>
        <v>Weekday</v>
      </c>
      <c r="I5270" t="str">
        <f>_xlfn.IFS(B5270&lt;=5,"Night (0-5)",B5270&lt;=9,"Morning peak (6-9)",B5270&lt;=15,"Midday (10-15)",B5270&lt;=19,"Evening peak (16-19)",TRUE,"Late evening (20-23)")</f>
        <v>Late evening (20-23)</v>
      </c>
    </row>
    <row r="5271" spans="1:9">
      <c r="A5271" s="32">
        <v>42041</v>
      </c>
      <c r="B5271">
        <v>23</v>
      </c>
      <c r="C5271">
        <v>5983</v>
      </c>
      <c r="D5271" t="s">
        <v>304</v>
      </c>
      <c r="E5271">
        <f>YEAR(A5271)</f>
        <v>2015</v>
      </c>
      <c r="F5271" s="33">
        <f>DATE(YEAR(A5271),MONTH(A5271),1)</f>
        <v>42036.0</v>
      </c>
      <c r="G5271" t="str">
        <f>CHOOSE(WEEKDAY(A5271,2),"Mon","Tue","Wed","Thu","Fri","Sat","Sun")</f>
        <v>Fri</v>
      </c>
      <c r="H5271" t="str">
        <f>IF(WEEKDAY(A5271,2)&gt;5,"Weekend","Weekday")</f>
        <v>Weekday</v>
      </c>
      <c r="I5271" t="str">
        <f>_xlfn.IFS(B5271&lt;=5,"Night (0-5)",B5271&lt;=9,"Morning peak (6-9)",B5271&lt;=15,"Midday (10-15)",B5271&lt;=19,"Evening peak (16-19)",TRUE,"Late evening (20-23)")</f>
        <v>Late evening (20-23)</v>
      </c>
    </row>
    <row r="5272" spans="1:9">
      <c r="A5272" s="32">
        <v>42042</v>
      </c>
      <c r="B5272">
        <v>0</v>
      </c>
      <c r="C5272">
        <v>4903</v>
      </c>
      <c r="D5272" t="s">
        <v>304</v>
      </c>
      <c r="E5272">
        <f>YEAR(A5272)</f>
        <v>2015</v>
      </c>
      <c r="F5272" s="33">
        <f>DATE(YEAR(A5272),MONTH(A5272),1)</f>
        <v>42036.0</v>
      </c>
      <c r="G5272" t="str">
        <f>CHOOSE(WEEKDAY(A5272,2),"Mon","Tue","Wed","Thu","Fri","Sat","Sun")</f>
        <v>Sat</v>
      </c>
      <c r="H5272" t="str">
        <f>IF(WEEKDAY(A5272,2)&gt;5,"Weekend","Weekday")</f>
        <v>Weekend</v>
      </c>
      <c r="I5272" t="str">
        <f>_xlfn.IFS(B5272&lt;=5,"Night (0-5)",B5272&lt;=9,"Morning peak (6-9)",B5272&lt;=15,"Midday (10-15)",B5272&lt;=19,"Evening peak (16-19)",TRUE,"Late evening (20-23)")</f>
        <v>Night (0-5)</v>
      </c>
    </row>
    <row r="5273" spans="1:9">
      <c r="A5273" s="32">
        <v>42042</v>
      </c>
      <c r="B5273">
        <v>1</v>
      </c>
      <c r="C5273">
        <v>3459</v>
      </c>
      <c r="D5273" t="s">
        <v>304</v>
      </c>
      <c r="E5273">
        <f>YEAR(A5273)</f>
        <v>2015</v>
      </c>
      <c r="F5273" s="33">
        <f>DATE(YEAR(A5273),MONTH(A5273),1)</f>
        <v>42036.0</v>
      </c>
      <c r="G5273" t="str">
        <f>CHOOSE(WEEKDAY(A5273,2),"Mon","Tue","Wed","Thu","Fri","Sat","Sun")</f>
        <v>Sat</v>
      </c>
      <c r="H5273" t="str">
        <f>IF(WEEKDAY(A5273,2)&gt;5,"Weekend","Weekday")</f>
        <v>Weekend</v>
      </c>
      <c r="I5273" t="str">
        <f>_xlfn.IFS(B5273&lt;=5,"Night (0-5)",B5273&lt;=9,"Morning peak (6-9)",B5273&lt;=15,"Midday (10-15)",B5273&lt;=19,"Evening peak (16-19)",TRUE,"Late evening (20-23)")</f>
        <v>Night (0-5)</v>
      </c>
    </row>
    <row r="5274" spans="1:9">
      <c r="A5274" s="32">
        <v>42042</v>
      </c>
      <c r="B5274">
        <v>2</v>
      </c>
      <c r="C5274">
        <v>2297</v>
      </c>
      <c r="D5274" t="s">
        <v>304</v>
      </c>
      <c r="E5274">
        <f>YEAR(A5274)</f>
        <v>2015</v>
      </c>
      <c r="F5274" s="33">
        <f>DATE(YEAR(A5274),MONTH(A5274),1)</f>
        <v>42036.0</v>
      </c>
      <c r="G5274" t="str">
        <f>CHOOSE(WEEKDAY(A5274,2),"Mon","Tue","Wed","Thu","Fri","Sat","Sun")</f>
        <v>Sat</v>
      </c>
      <c r="H5274" t="str">
        <f>IF(WEEKDAY(A5274,2)&gt;5,"Weekend","Weekday")</f>
        <v>Weekend</v>
      </c>
      <c r="I5274" t="str">
        <f>_xlfn.IFS(B5274&lt;=5,"Night (0-5)",B5274&lt;=9,"Morning peak (6-9)",B5274&lt;=15,"Midday (10-15)",B5274&lt;=19,"Evening peak (16-19)",TRUE,"Late evening (20-23)")</f>
        <v>Night (0-5)</v>
      </c>
    </row>
    <row r="5275" spans="1:9">
      <c r="A5275" s="32">
        <v>42042</v>
      </c>
      <c r="B5275">
        <v>3</v>
      </c>
      <c r="C5275">
        <v>1566</v>
      </c>
      <c r="D5275" t="s">
        <v>304</v>
      </c>
      <c r="E5275">
        <f>YEAR(A5275)</f>
        <v>2015</v>
      </c>
      <c r="F5275" s="33">
        <f>DATE(YEAR(A5275),MONTH(A5275),1)</f>
        <v>42036.0</v>
      </c>
      <c r="G5275" t="str">
        <f>CHOOSE(WEEKDAY(A5275,2),"Mon","Tue","Wed","Thu","Fri","Sat","Sun")</f>
        <v>Sat</v>
      </c>
      <c r="H5275" t="str">
        <f>IF(WEEKDAY(A5275,2)&gt;5,"Weekend","Weekday")</f>
        <v>Weekend</v>
      </c>
      <c r="I5275" t="str">
        <f>_xlfn.IFS(B5275&lt;=5,"Night (0-5)",B5275&lt;=9,"Morning peak (6-9)",B5275&lt;=15,"Midday (10-15)",B5275&lt;=19,"Evening peak (16-19)",TRUE,"Late evening (20-23)")</f>
        <v>Night (0-5)</v>
      </c>
    </row>
    <row r="5276" spans="1:9">
      <c r="A5276" s="32">
        <v>42042</v>
      </c>
      <c r="B5276">
        <v>4</v>
      </c>
      <c r="C5276">
        <v>1061</v>
      </c>
      <c r="D5276" t="s">
        <v>304</v>
      </c>
      <c r="E5276">
        <f>YEAR(A5276)</f>
        <v>2015</v>
      </c>
      <c r="F5276" s="33">
        <f>DATE(YEAR(A5276),MONTH(A5276),1)</f>
        <v>42036.0</v>
      </c>
      <c r="G5276" t="str">
        <f>CHOOSE(WEEKDAY(A5276,2),"Mon","Tue","Wed","Thu","Fri","Sat","Sun")</f>
        <v>Sat</v>
      </c>
      <c r="H5276" t="str">
        <f>IF(WEEKDAY(A5276,2)&gt;5,"Weekend","Weekday")</f>
        <v>Weekend</v>
      </c>
      <c r="I5276" t="str">
        <f>_xlfn.IFS(B5276&lt;=5,"Night (0-5)",B5276&lt;=9,"Morning peak (6-9)",B5276&lt;=15,"Midday (10-15)",B5276&lt;=19,"Evening peak (16-19)",TRUE,"Late evening (20-23)")</f>
        <v>Night (0-5)</v>
      </c>
    </row>
    <row r="5277" spans="1:9">
      <c r="A5277" s="32">
        <v>42042</v>
      </c>
      <c r="B5277">
        <v>5</v>
      </c>
      <c r="C5277">
        <v>815</v>
      </c>
      <c r="D5277" t="s">
        <v>304</v>
      </c>
      <c r="E5277">
        <f>YEAR(A5277)</f>
        <v>2015</v>
      </c>
      <c r="F5277" s="33">
        <f>DATE(YEAR(A5277),MONTH(A5277),1)</f>
        <v>42036.0</v>
      </c>
      <c r="G5277" t="str">
        <f>CHOOSE(WEEKDAY(A5277,2),"Mon","Tue","Wed","Thu","Fri","Sat","Sun")</f>
        <v>Sat</v>
      </c>
      <c r="H5277" t="str">
        <f>IF(WEEKDAY(A5277,2)&gt;5,"Weekend","Weekday")</f>
        <v>Weekend</v>
      </c>
      <c r="I5277" t="str">
        <f>_xlfn.IFS(B5277&lt;=5,"Night (0-5)",B5277&lt;=9,"Morning peak (6-9)",B5277&lt;=15,"Midday (10-15)",B5277&lt;=19,"Evening peak (16-19)",TRUE,"Late evening (20-23)")</f>
        <v>Night (0-5)</v>
      </c>
    </row>
    <row r="5278" spans="1:9">
      <c r="A5278" s="32">
        <v>42042</v>
      </c>
      <c r="B5278">
        <v>6</v>
      </c>
      <c r="C5278">
        <v>926</v>
      </c>
      <c r="D5278" t="s">
        <v>304</v>
      </c>
      <c r="E5278">
        <f>YEAR(A5278)</f>
        <v>2015</v>
      </c>
      <c r="F5278" s="33">
        <f>DATE(YEAR(A5278),MONTH(A5278),1)</f>
        <v>42036.0</v>
      </c>
      <c r="G5278" t="str">
        <f>CHOOSE(WEEKDAY(A5278,2),"Mon","Tue","Wed","Thu","Fri","Sat","Sun")</f>
        <v>Sat</v>
      </c>
      <c r="H5278" t="str">
        <f>IF(WEEKDAY(A5278,2)&gt;5,"Weekend","Weekday")</f>
        <v>Weekend</v>
      </c>
      <c r="I5278" t="str">
        <f>_xlfn.IFS(B5278&lt;=5,"Night (0-5)",B5278&lt;=9,"Morning peak (6-9)",B5278&lt;=15,"Midday (10-15)",B5278&lt;=19,"Evening peak (16-19)",TRUE,"Late evening (20-23)")</f>
        <v>Morning peak (6-9)</v>
      </c>
    </row>
    <row r="5279" spans="1:9">
      <c r="A5279" s="32">
        <v>42042</v>
      </c>
      <c r="B5279">
        <v>7</v>
      </c>
      <c r="C5279">
        <v>1116</v>
      </c>
      <c r="D5279" t="s">
        <v>304</v>
      </c>
      <c r="E5279">
        <f>YEAR(A5279)</f>
        <v>2015</v>
      </c>
      <c r="F5279" s="33">
        <f>DATE(YEAR(A5279),MONTH(A5279),1)</f>
        <v>42036.0</v>
      </c>
      <c r="G5279" t="str">
        <f>CHOOSE(WEEKDAY(A5279,2),"Mon","Tue","Wed","Thu","Fri","Sat","Sun")</f>
        <v>Sat</v>
      </c>
      <c r="H5279" t="str">
        <f>IF(WEEKDAY(A5279,2)&gt;5,"Weekend","Weekday")</f>
        <v>Weekend</v>
      </c>
      <c r="I5279" t="str">
        <f>_xlfn.IFS(B5279&lt;=5,"Night (0-5)",B5279&lt;=9,"Morning peak (6-9)",B5279&lt;=15,"Midday (10-15)",B5279&lt;=19,"Evening peak (16-19)",TRUE,"Late evening (20-23)")</f>
        <v>Morning peak (6-9)</v>
      </c>
    </row>
    <row r="5280" spans="1:9">
      <c r="A5280" s="32">
        <v>42042</v>
      </c>
      <c r="B5280">
        <v>8</v>
      </c>
      <c r="C5280">
        <v>1503</v>
      </c>
      <c r="D5280" t="s">
        <v>304</v>
      </c>
      <c r="E5280">
        <f>YEAR(A5280)</f>
        <v>2015</v>
      </c>
      <c r="F5280" s="33">
        <f>DATE(YEAR(A5280),MONTH(A5280),1)</f>
        <v>42036.0</v>
      </c>
      <c r="G5280" t="str">
        <f>CHOOSE(WEEKDAY(A5280,2),"Mon","Tue","Wed","Thu","Fri","Sat","Sun")</f>
        <v>Sat</v>
      </c>
      <c r="H5280" t="str">
        <f>IF(WEEKDAY(A5280,2)&gt;5,"Weekend","Weekday")</f>
        <v>Weekend</v>
      </c>
      <c r="I5280" t="str">
        <f>_xlfn.IFS(B5280&lt;=5,"Night (0-5)",B5280&lt;=9,"Morning peak (6-9)",B5280&lt;=15,"Midday (10-15)",B5280&lt;=19,"Evening peak (16-19)",TRUE,"Late evening (20-23)")</f>
        <v>Morning peak (6-9)</v>
      </c>
    </row>
    <row r="5281" spans="1:9">
      <c r="A5281" s="32">
        <v>42042</v>
      </c>
      <c r="B5281">
        <v>9</v>
      </c>
      <c r="C5281">
        <v>2009</v>
      </c>
      <c r="D5281" t="s">
        <v>304</v>
      </c>
      <c r="E5281">
        <f>YEAR(A5281)</f>
        <v>2015</v>
      </c>
      <c r="F5281" s="33">
        <f>DATE(YEAR(A5281),MONTH(A5281),1)</f>
        <v>42036.0</v>
      </c>
      <c r="G5281" t="str">
        <f>CHOOSE(WEEKDAY(A5281,2),"Mon","Tue","Wed","Thu","Fri","Sat","Sun")</f>
        <v>Sat</v>
      </c>
      <c r="H5281" t="str">
        <f>IF(WEEKDAY(A5281,2)&gt;5,"Weekend","Weekday")</f>
        <v>Weekend</v>
      </c>
      <c r="I5281" t="str">
        <f>_xlfn.IFS(B5281&lt;=5,"Night (0-5)",B5281&lt;=9,"Morning peak (6-9)",B5281&lt;=15,"Midday (10-15)",B5281&lt;=19,"Evening peak (16-19)",TRUE,"Late evening (20-23)")</f>
        <v>Morning peak (6-9)</v>
      </c>
    </row>
    <row r="5282" spans="1:9">
      <c r="A5282" s="32">
        <v>42042</v>
      </c>
      <c r="B5282">
        <v>10</v>
      </c>
      <c r="C5282">
        <v>2567</v>
      </c>
      <c r="D5282" t="s">
        <v>304</v>
      </c>
      <c r="E5282">
        <f>YEAR(A5282)</f>
        <v>2015</v>
      </c>
      <c r="F5282" s="33">
        <f>DATE(YEAR(A5282),MONTH(A5282),1)</f>
        <v>42036.0</v>
      </c>
      <c r="G5282" t="str">
        <f>CHOOSE(WEEKDAY(A5282,2),"Mon","Tue","Wed","Thu","Fri","Sat","Sun")</f>
        <v>Sat</v>
      </c>
      <c r="H5282" t="str">
        <f>IF(WEEKDAY(A5282,2)&gt;5,"Weekend","Weekday")</f>
        <v>Weekend</v>
      </c>
      <c r="I5282" t="str">
        <f>_xlfn.IFS(B5282&lt;=5,"Night (0-5)",B5282&lt;=9,"Morning peak (6-9)",B5282&lt;=15,"Midday (10-15)",B5282&lt;=19,"Evening peak (16-19)",TRUE,"Late evening (20-23)")</f>
        <v>Midday (10-15)</v>
      </c>
    </row>
    <row r="5283" spans="1:9">
      <c r="A5283" s="32">
        <v>42042</v>
      </c>
      <c r="B5283">
        <v>11</v>
      </c>
      <c r="C5283">
        <v>3034</v>
      </c>
      <c r="D5283" t="s">
        <v>304</v>
      </c>
      <c r="E5283">
        <f>YEAR(A5283)</f>
        <v>2015</v>
      </c>
      <c r="F5283" s="33">
        <f>DATE(YEAR(A5283),MONTH(A5283),1)</f>
        <v>42036.0</v>
      </c>
      <c r="G5283" t="str">
        <f>CHOOSE(WEEKDAY(A5283,2),"Mon","Tue","Wed","Thu","Fri","Sat","Sun")</f>
        <v>Sat</v>
      </c>
      <c r="H5283" t="str">
        <f>IF(WEEKDAY(A5283,2)&gt;5,"Weekend","Weekday")</f>
        <v>Weekend</v>
      </c>
      <c r="I5283" t="str">
        <f>_xlfn.IFS(B5283&lt;=5,"Night (0-5)",B5283&lt;=9,"Morning peak (6-9)",B5283&lt;=15,"Midday (10-15)",B5283&lt;=19,"Evening peak (16-19)",TRUE,"Late evening (20-23)")</f>
        <v>Midday (10-15)</v>
      </c>
    </row>
    <row r="5284" spans="1:9">
      <c r="A5284" s="32">
        <v>42042</v>
      </c>
      <c r="B5284">
        <v>12</v>
      </c>
      <c r="C5284">
        <v>3337</v>
      </c>
      <c r="D5284" t="s">
        <v>304</v>
      </c>
      <c r="E5284">
        <f>YEAR(A5284)</f>
        <v>2015</v>
      </c>
      <c r="F5284" s="33">
        <f>DATE(YEAR(A5284),MONTH(A5284),1)</f>
        <v>42036.0</v>
      </c>
      <c r="G5284" t="str">
        <f>CHOOSE(WEEKDAY(A5284,2),"Mon","Tue","Wed","Thu","Fri","Sat","Sun")</f>
        <v>Sat</v>
      </c>
      <c r="H5284" t="str">
        <f>IF(WEEKDAY(A5284,2)&gt;5,"Weekend","Weekday")</f>
        <v>Weekend</v>
      </c>
      <c r="I5284" t="str">
        <f>_xlfn.IFS(B5284&lt;=5,"Night (0-5)",B5284&lt;=9,"Morning peak (6-9)",B5284&lt;=15,"Midday (10-15)",B5284&lt;=19,"Evening peak (16-19)",TRUE,"Late evening (20-23)")</f>
        <v>Midday (10-15)</v>
      </c>
    </row>
    <row r="5285" spans="1:9">
      <c r="A5285" s="32">
        <v>42042</v>
      </c>
      <c r="B5285">
        <v>13</v>
      </c>
      <c r="C5285">
        <v>3443</v>
      </c>
      <c r="D5285" t="s">
        <v>304</v>
      </c>
      <c r="E5285">
        <f>YEAR(A5285)</f>
        <v>2015</v>
      </c>
      <c r="F5285" s="33">
        <f>DATE(YEAR(A5285),MONTH(A5285),1)</f>
        <v>42036.0</v>
      </c>
      <c r="G5285" t="str">
        <f>CHOOSE(WEEKDAY(A5285,2),"Mon","Tue","Wed","Thu","Fri","Sat","Sun")</f>
        <v>Sat</v>
      </c>
      <c r="H5285" t="str">
        <f>IF(WEEKDAY(A5285,2)&gt;5,"Weekend","Weekday")</f>
        <v>Weekend</v>
      </c>
      <c r="I5285" t="str">
        <f>_xlfn.IFS(B5285&lt;=5,"Night (0-5)",B5285&lt;=9,"Morning peak (6-9)",B5285&lt;=15,"Midday (10-15)",B5285&lt;=19,"Evening peak (16-19)",TRUE,"Late evening (20-23)")</f>
        <v>Midday (10-15)</v>
      </c>
    </row>
    <row r="5286" spans="1:9">
      <c r="A5286" s="32">
        <v>42042</v>
      </c>
      <c r="B5286">
        <v>14</v>
      </c>
      <c r="C5286">
        <v>3323</v>
      </c>
      <c r="D5286" t="s">
        <v>304</v>
      </c>
      <c r="E5286">
        <f>YEAR(A5286)</f>
        <v>2015</v>
      </c>
      <c r="F5286" s="33">
        <f>DATE(YEAR(A5286),MONTH(A5286),1)</f>
        <v>42036.0</v>
      </c>
      <c r="G5286" t="str">
        <f>CHOOSE(WEEKDAY(A5286,2),"Mon","Tue","Wed","Thu","Fri","Sat","Sun")</f>
        <v>Sat</v>
      </c>
      <c r="H5286" t="str">
        <f>IF(WEEKDAY(A5286,2)&gt;5,"Weekend","Weekday")</f>
        <v>Weekend</v>
      </c>
      <c r="I5286" t="str">
        <f>_xlfn.IFS(B5286&lt;=5,"Night (0-5)",B5286&lt;=9,"Morning peak (6-9)",B5286&lt;=15,"Midday (10-15)",B5286&lt;=19,"Evening peak (16-19)",TRUE,"Late evening (20-23)")</f>
        <v>Midday (10-15)</v>
      </c>
    </row>
    <row r="5287" spans="1:9">
      <c r="A5287" s="32">
        <v>42042</v>
      </c>
      <c r="B5287">
        <v>15</v>
      </c>
      <c r="C5287">
        <v>3329</v>
      </c>
      <c r="D5287" t="s">
        <v>304</v>
      </c>
      <c r="E5287">
        <f>YEAR(A5287)</f>
        <v>2015</v>
      </c>
      <c r="F5287" s="33">
        <f>DATE(YEAR(A5287),MONTH(A5287),1)</f>
        <v>42036.0</v>
      </c>
      <c r="G5287" t="str">
        <f>CHOOSE(WEEKDAY(A5287,2),"Mon","Tue","Wed","Thu","Fri","Sat","Sun")</f>
        <v>Sat</v>
      </c>
      <c r="H5287" t="str">
        <f>IF(WEEKDAY(A5287,2)&gt;5,"Weekend","Weekday")</f>
        <v>Weekend</v>
      </c>
      <c r="I5287" t="str">
        <f>_xlfn.IFS(B5287&lt;=5,"Night (0-5)",B5287&lt;=9,"Morning peak (6-9)",B5287&lt;=15,"Midday (10-15)",B5287&lt;=19,"Evening peak (16-19)",TRUE,"Late evening (20-23)")</f>
        <v>Midday (10-15)</v>
      </c>
    </row>
    <row r="5288" spans="1:9">
      <c r="A5288" s="32">
        <v>42042</v>
      </c>
      <c r="B5288">
        <v>16</v>
      </c>
      <c r="C5288">
        <v>3936</v>
      </c>
      <c r="D5288" t="s">
        <v>304</v>
      </c>
      <c r="E5288">
        <f>YEAR(A5288)</f>
        <v>2015</v>
      </c>
      <c r="F5288" s="33">
        <f>DATE(YEAR(A5288),MONTH(A5288),1)</f>
        <v>42036.0</v>
      </c>
      <c r="G5288" t="str">
        <f>CHOOSE(WEEKDAY(A5288,2),"Mon","Tue","Wed","Thu","Fri","Sat","Sun")</f>
        <v>Sat</v>
      </c>
      <c r="H5288" t="str">
        <f>IF(WEEKDAY(A5288,2)&gt;5,"Weekend","Weekday")</f>
        <v>Weekend</v>
      </c>
      <c r="I5288" t="str">
        <f>_xlfn.IFS(B5288&lt;=5,"Night (0-5)",B5288&lt;=9,"Morning peak (6-9)",B5288&lt;=15,"Midday (10-15)",B5288&lt;=19,"Evening peak (16-19)",TRUE,"Late evening (20-23)")</f>
        <v>Evening peak (16-19)</v>
      </c>
    </row>
    <row r="5289" spans="1:9">
      <c r="A5289" s="32">
        <v>42042</v>
      </c>
      <c r="B5289">
        <v>17</v>
      </c>
      <c r="C5289">
        <v>4697</v>
      </c>
      <c r="D5289" t="s">
        <v>304</v>
      </c>
      <c r="E5289">
        <f>YEAR(A5289)</f>
        <v>2015</v>
      </c>
      <c r="F5289" s="33">
        <f>DATE(YEAR(A5289),MONTH(A5289),1)</f>
        <v>42036.0</v>
      </c>
      <c r="G5289" t="str">
        <f>CHOOSE(WEEKDAY(A5289,2),"Mon","Tue","Wed","Thu","Fri","Sat","Sun")</f>
        <v>Sat</v>
      </c>
      <c r="H5289" t="str">
        <f>IF(WEEKDAY(A5289,2)&gt;5,"Weekend","Weekday")</f>
        <v>Weekend</v>
      </c>
      <c r="I5289" t="str">
        <f>_xlfn.IFS(B5289&lt;=5,"Night (0-5)",B5289&lt;=9,"Morning peak (6-9)",B5289&lt;=15,"Midday (10-15)",B5289&lt;=19,"Evening peak (16-19)",TRUE,"Late evening (20-23)")</f>
        <v>Evening peak (16-19)</v>
      </c>
    </row>
    <row r="5290" spans="1:9">
      <c r="A5290" s="32">
        <v>42042</v>
      </c>
      <c r="B5290">
        <v>18</v>
      </c>
      <c r="C5290">
        <v>5794</v>
      </c>
      <c r="D5290" t="s">
        <v>304</v>
      </c>
      <c r="E5290">
        <f>YEAR(A5290)</f>
        <v>2015</v>
      </c>
      <c r="F5290" s="33">
        <f>DATE(YEAR(A5290),MONTH(A5290),1)</f>
        <v>42036.0</v>
      </c>
      <c r="G5290" t="str">
        <f>CHOOSE(WEEKDAY(A5290,2),"Mon","Tue","Wed","Thu","Fri","Sat","Sun")</f>
        <v>Sat</v>
      </c>
      <c r="H5290" t="str">
        <f>IF(WEEKDAY(A5290,2)&gt;5,"Weekend","Weekday")</f>
        <v>Weekend</v>
      </c>
      <c r="I5290" t="str">
        <f>_xlfn.IFS(B5290&lt;=5,"Night (0-5)",B5290&lt;=9,"Morning peak (6-9)",B5290&lt;=15,"Midday (10-15)",B5290&lt;=19,"Evening peak (16-19)",TRUE,"Late evening (20-23)")</f>
        <v>Evening peak (16-19)</v>
      </c>
    </row>
    <row r="5291" spans="1:9">
      <c r="A5291" s="32">
        <v>42042</v>
      </c>
      <c r="B5291">
        <v>19</v>
      </c>
      <c r="C5291">
        <v>6353</v>
      </c>
      <c r="D5291" t="s">
        <v>304</v>
      </c>
      <c r="E5291">
        <f>YEAR(A5291)</f>
        <v>2015</v>
      </c>
      <c r="F5291" s="33">
        <f>DATE(YEAR(A5291),MONTH(A5291),1)</f>
        <v>42036.0</v>
      </c>
      <c r="G5291" t="str">
        <f>CHOOSE(WEEKDAY(A5291,2),"Mon","Tue","Wed","Thu","Fri","Sat","Sun")</f>
        <v>Sat</v>
      </c>
      <c r="H5291" t="str">
        <f>IF(WEEKDAY(A5291,2)&gt;5,"Weekend","Weekday")</f>
        <v>Weekend</v>
      </c>
      <c r="I5291" t="str">
        <f>_xlfn.IFS(B5291&lt;=5,"Night (0-5)",B5291&lt;=9,"Morning peak (6-9)",B5291&lt;=15,"Midday (10-15)",B5291&lt;=19,"Evening peak (16-19)",TRUE,"Late evening (20-23)")</f>
        <v>Evening peak (16-19)</v>
      </c>
    </row>
    <row r="5292" spans="1:9">
      <c r="A5292" s="32">
        <v>42042</v>
      </c>
      <c r="B5292">
        <v>20</v>
      </c>
      <c r="C5292">
        <v>5923</v>
      </c>
      <c r="D5292" t="s">
        <v>304</v>
      </c>
      <c r="E5292">
        <f>YEAR(A5292)</f>
        <v>2015</v>
      </c>
      <c r="F5292" s="33">
        <f>DATE(YEAR(A5292),MONTH(A5292),1)</f>
        <v>42036.0</v>
      </c>
      <c r="G5292" t="str">
        <f>CHOOSE(WEEKDAY(A5292,2),"Mon","Tue","Wed","Thu","Fri","Sat","Sun")</f>
        <v>Sat</v>
      </c>
      <c r="H5292" t="str">
        <f>IF(WEEKDAY(A5292,2)&gt;5,"Weekend","Weekday")</f>
        <v>Weekend</v>
      </c>
      <c r="I5292" t="str">
        <f>_xlfn.IFS(B5292&lt;=5,"Night (0-5)",B5292&lt;=9,"Morning peak (6-9)",B5292&lt;=15,"Midday (10-15)",B5292&lt;=19,"Evening peak (16-19)",TRUE,"Late evening (20-23)")</f>
        <v>Late evening (20-23)</v>
      </c>
    </row>
    <row r="5293" spans="1:9">
      <c r="A5293" s="32">
        <v>42042</v>
      </c>
      <c r="B5293">
        <v>21</v>
      </c>
      <c r="C5293">
        <v>5525</v>
      </c>
      <c r="D5293" t="s">
        <v>304</v>
      </c>
      <c r="E5293">
        <f>YEAR(A5293)</f>
        <v>2015</v>
      </c>
      <c r="F5293" s="33">
        <f>DATE(YEAR(A5293),MONTH(A5293),1)</f>
        <v>42036.0</v>
      </c>
      <c r="G5293" t="str">
        <f>CHOOSE(WEEKDAY(A5293,2),"Mon","Tue","Wed","Thu","Fri","Sat","Sun")</f>
        <v>Sat</v>
      </c>
      <c r="H5293" t="str">
        <f>IF(WEEKDAY(A5293,2)&gt;5,"Weekend","Weekday")</f>
        <v>Weekend</v>
      </c>
      <c r="I5293" t="str">
        <f>_xlfn.IFS(B5293&lt;=5,"Night (0-5)",B5293&lt;=9,"Morning peak (6-9)",B5293&lt;=15,"Midday (10-15)",B5293&lt;=19,"Evening peak (16-19)",TRUE,"Late evening (20-23)")</f>
        <v>Late evening (20-23)</v>
      </c>
    </row>
    <row r="5294" spans="1:9">
      <c r="A5294" s="32">
        <v>42042</v>
      </c>
      <c r="B5294">
        <v>22</v>
      </c>
      <c r="C5294">
        <v>5895</v>
      </c>
      <c r="D5294" t="s">
        <v>304</v>
      </c>
      <c r="E5294">
        <f>YEAR(A5294)</f>
        <v>2015</v>
      </c>
      <c r="F5294" s="33">
        <f>DATE(YEAR(A5294),MONTH(A5294),1)</f>
        <v>42036.0</v>
      </c>
      <c r="G5294" t="str">
        <f>CHOOSE(WEEKDAY(A5294,2),"Mon","Tue","Wed","Thu","Fri","Sat","Sun")</f>
        <v>Sat</v>
      </c>
      <c r="H5294" t="str">
        <f>IF(WEEKDAY(A5294,2)&gt;5,"Weekend","Weekday")</f>
        <v>Weekend</v>
      </c>
      <c r="I5294" t="str">
        <f>_xlfn.IFS(B5294&lt;=5,"Night (0-5)",B5294&lt;=9,"Morning peak (6-9)",B5294&lt;=15,"Midday (10-15)",B5294&lt;=19,"Evening peak (16-19)",TRUE,"Late evening (20-23)")</f>
        <v>Late evening (20-23)</v>
      </c>
    </row>
    <row r="5295" spans="1:9">
      <c r="A5295" s="32">
        <v>42042</v>
      </c>
      <c r="B5295">
        <v>23</v>
      </c>
      <c r="C5295">
        <v>5941</v>
      </c>
      <c r="D5295" t="s">
        <v>304</v>
      </c>
      <c r="E5295">
        <f>YEAR(A5295)</f>
        <v>2015</v>
      </c>
      <c r="F5295" s="33">
        <f>DATE(YEAR(A5295),MONTH(A5295),1)</f>
        <v>42036.0</v>
      </c>
      <c r="G5295" t="str">
        <f>CHOOSE(WEEKDAY(A5295,2),"Mon","Tue","Wed","Thu","Fri","Sat","Sun")</f>
        <v>Sat</v>
      </c>
      <c r="H5295" t="str">
        <f>IF(WEEKDAY(A5295,2)&gt;5,"Weekend","Weekday")</f>
        <v>Weekend</v>
      </c>
      <c r="I5295" t="str">
        <f>_xlfn.IFS(B5295&lt;=5,"Night (0-5)",B5295&lt;=9,"Morning peak (6-9)",B5295&lt;=15,"Midday (10-15)",B5295&lt;=19,"Evening peak (16-19)",TRUE,"Late evening (20-23)")</f>
        <v>Late evening (20-23)</v>
      </c>
    </row>
    <row r="5296" spans="1:9">
      <c r="A5296" s="32">
        <v>42043</v>
      </c>
      <c r="B5296">
        <v>0</v>
      </c>
      <c r="C5296">
        <v>5358</v>
      </c>
      <c r="D5296" t="s">
        <v>304</v>
      </c>
      <c r="E5296">
        <f>YEAR(A5296)</f>
        <v>2015</v>
      </c>
      <c r="F5296" s="33">
        <f>DATE(YEAR(A5296),MONTH(A5296),1)</f>
        <v>42036.0</v>
      </c>
      <c r="G5296" t="str">
        <f>CHOOSE(WEEKDAY(A5296,2),"Mon","Tue","Wed","Thu","Fri","Sat","Sun")</f>
        <v>Sun</v>
      </c>
      <c r="H5296" t="str">
        <f>IF(WEEKDAY(A5296,2)&gt;5,"Weekend","Weekday")</f>
        <v>Weekend</v>
      </c>
      <c r="I5296" t="str">
        <f>_xlfn.IFS(B5296&lt;=5,"Night (0-5)",B5296&lt;=9,"Morning peak (6-9)",B5296&lt;=15,"Midday (10-15)",B5296&lt;=19,"Evening peak (16-19)",TRUE,"Late evening (20-23)")</f>
        <v>Night (0-5)</v>
      </c>
    </row>
    <row r="5297" spans="1:9">
      <c r="A5297" s="32">
        <v>42043</v>
      </c>
      <c r="B5297">
        <v>1</v>
      </c>
      <c r="C5297">
        <v>4253</v>
      </c>
      <c r="D5297" t="s">
        <v>304</v>
      </c>
      <c r="E5297">
        <f>YEAR(A5297)</f>
        <v>2015</v>
      </c>
      <c r="F5297" s="33">
        <f>DATE(YEAR(A5297),MONTH(A5297),1)</f>
        <v>42036.0</v>
      </c>
      <c r="G5297" t="str">
        <f>CHOOSE(WEEKDAY(A5297,2),"Mon","Tue","Wed","Thu","Fri","Sat","Sun")</f>
        <v>Sun</v>
      </c>
      <c r="H5297" t="str">
        <f>IF(WEEKDAY(A5297,2)&gt;5,"Weekend","Weekday")</f>
        <v>Weekend</v>
      </c>
      <c r="I5297" t="str">
        <f>_xlfn.IFS(B5297&lt;=5,"Night (0-5)",B5297&lt;=9,"Morning peak (6-9)",B5297&lt;=15,"Midday (10-15)",B5297&lt;=19,"Evening peak (16-19)",TRUE,"Late evening (20-23)")</f>
        <v>Night (0-5)</v>
      </c>
    </row>
    <row r="5298" spans="1:9">
      <c r="A5298" s="32">
        <v>42043</v>
      </c>
      <c r="B5298">
        <v>2</v>
      </c>
      <c r="C5298">
        <v>3184</v>
      </c>
      <c r="D5298" t="s">
        <v>304</v>
      </c>
      <c r="E5298">
        <f>YEAR(A5298)</f>
        <v>2015</v>
      </c>
      <c r="F5298" s="33">
        <f>DATE(YEAR(A5298),MONTH(A5298),1)</f>
        <v>42036.0</v>
      </c>
      <c r="G5298" t="str">
        <f>CHOOSE(WEEKDAY(A5298,2),"Mon","Tue","Wed","Thu","Fri","Sat","Sun")</f>
        <v>Sun</v>
      </c>
      <c r="H5298" t="str">
        <f>IF(WEEKDAY(A5298,2)&gt;5,"Weekend","Weekday")</f>
        <v>Weekend</v>
      </c>
      <c r="I5298" t="str">
        <f>_xlfn.IFS(B5298&lt;=5,"Night (0-5)",B5298&lt;=9,"Morning peak (6-9)",B5298&lt;=15,"Midday (10-15)",B5298&lt;=19,"Evening peak (16-19)",TRUE,"Late evening (20-23)")</f>
        <v>Night (0-5)</v>
      </c>
    </row>
    <row r="5299" spans="1:9">
      <c r="A5299" s="32">
        <v>42043</v>
      </c>
      <c r="B5299">
        <v>3</v>
      </c>
      <c r="C5299">
        <v>2096</v>
      </c>
      <c r="D5299" t="s">
        <v>304</v>
      </c>
      <c r="E5299">
        <f>YEAR(A5299)</f>
        <v>2015</v>
      </c>
      <c r="F5299" s="33">
        <f>DATE(YEAR(A5299),MONTH(A5299),1)</f>
        <v>42036.0</v>
      </c>
      <c r="G5299" t="str">
        <f>CHOOSE(WEEKDAY(A5299,2),"Mon","Tue","Wed","Thu","Fri","Sat","Sun")</f>
        <v>Sun</v>
      </c>
      <c r="H5299" t="str">
        <f>IF(WEEKDAY(A5299,2)&gt;5,"Weekend","Weekday")</f>
        <v>Weekend</v>
      </c>
      <c r="I5299" t="str">
        <f>_xlfn.IFS(B5299&lt;=5,"Night (0-5)",B5299&lt;=9,"Morning peak (6-9)",B5299&lt;=15,"Midday (10-15)",B5299&lt;=19,"Evening peak (16-19)",TRUE,"Late evening (20-23)")</f>
        <v>Night (0-5)</v>
      </c>
    </row>
    <row r="5300" spans="1:9">
      <c r="A5300" s="32">
        <v>42043</v>
      </c>
      <c r="B5300">
        <v>4</v>
      </c>
      <c r="C5300">
        <v>1370</v>
      </c>
      <c r="D5300" t="s">
        <v>304</v>
      </c>
      <c r="E5300">
        <f>YEAR(A5300)</f>
        <v>2015</v>
      </c>
      <c r="F5300" s="33">
        <f>DATE(YEAR(A5300),MONTH(A5300),1)</f>
        <v>42036.0</v>
      </c>
      <c r="G5300" t="str">
        <f>CHOOSE(WEEKDAY(A5300,2),"Mon","Tue","Wed","Thu","Fri","Sat","Sun")</f>
        <v>Sun</v>
      </c>
      <c r="H5300" t="str">
        <f>IF(WEEKDAY(A5300,2)&gt;5,"Weekend","Weekday")</f>
        <v>Weekend</v>
      </c>
      <c r="I5300" t="str">
        <f>_xlfn.IFS(B5300&lt;=5,"Night (0-5)",B5300&lt;=9,"Morning peak (6-9)",B5300&lt;=15,"Midday (10-15)",B5300&lt;=19,"Evening peak (16-19)",TRUE,"Late evening (20-23)")</f>
        <v>Night (0-5)</v>
      </c>
    </row>
    <row r="5301" spans="1:9">
      <c r="A5301" s="32">
        <v>42043</v>
      </c>
      <c r="B5301">
        <v>5</v>
      </c>
      <c r="C5301">
        <v>867</v>
      </c>
      <c r="D5301" t="s">
        <v>304</v>
      </c>
      <c r="E5301">
        <f>YEAR(A5301)</f>
        <v>2015</v>
      </c>
      <c r="F5301" s="33">
        <f>DATE(YEAR(A5301),MONTH(A5301),1)</f>
        <v>42036.0</v>
      </c>
      <c r="G5301" t="str">
        <f>CHOOSE(WEEKDAY(A5301,2),"Mon","Tue","Wed","Thu","Fri","Sat","Sun")</f>
        <v>Sun</v>
      </c>
      <c r="H5301" t="str">
        <f>IF(WEEKDAY(A5301,2)&gt;5,"Weekend","Weekday")</f>
        <v>Weekend</v>
      </c>
      <c r="I5301" t="str">
        <f>_xlfn.IFS(B5301&lt;=5,"Night (0-5)",B5301&lt;=9,"Morning peak (6-9)",B5301&lt;=15,"Midday (10-15)",B5301&lt;=19,"Evening peak (16-19)",TRUE,"Late evening (20-23)")</f>
        <v>Night (0-5)</v>
      </c>
    </row>
    <row r="5302" spans="1:9">
      <c r="A5302" s="32">
        <v>42043</v>
      </c>
      <c r="B5302">
        <v>6</v>
      </c>
      <c r="C5302">
        <v>771</v>
      </c>
      <c r="D5302" t="s">
        <v>304</v>
      </c>
      <c r="E5302">
        <f>YEAR(A5302)</f>
        <v>2015</v>
      </c>
      <c r="F5302" s="33">
        <f>DATE(YEAR(A5302),MONTH(A5302),1)</f>
        <v>42036.0</v>
      </c>
      <c r="G5302" t="str">
        <f>CHOOSE(WEEKDAY(A5302,2),"Mon","Tue","Wed","Thu","Fri","Sat","Sun")</f>
        <v>Sun</v>
      </c>
      <c r="H5302" t="str">
        <f>IF(WEEKDAY(A5302,2)&gt;5,"Weekend","Weekday")</f>
        <v>Weekend</v>
      </c>
      <c r="I5302" t="str">
        <f>_xlfn.IFS(B5302&lt;=5,"Night (0-5)",B5302&lt;=9,"Morning peak (6-9)",B5302&lt;=15,"Midday (10-15)",B5302&lt;=19,"Evening peak (16-19)",TRUE,"Late evening (20-23)")</f>
        <v>Morning peak (6-9)</v>
      </c>
    </row>
    <row r="5303" spans="1:9">
      <c r="A5303" s="32">
        <v>42043</v>
      </c>
      <c r="B5303">
        <v>7</v>
      </c>
      <c r="C5303">
        <v>857</v>
      </c>
      <c r="D5303" t="s">
        <v>304</v>
      </c>
      <c r="E5303">
        <f>YEAR(A5303)</f>
        <v>2015</v>
      </c>
      <c r="F5303" s="33">
        <f>DATE(YEAR(A5303),MONTH(A5303),1)</f>
        <v>42036.0</v>
      </c>
      <c r="G5303" t="str">
        <f>CHOOSE(WEEKDAY(A5303,2),"Mon","Tue","Wed","Thu","Fri","Sat","Sun")</f>
        <v>Sun</v>
      </c>
      <c r="H5303" t="str">
        <f>IF(WEEKDAY(A5303,2)&gt;5,"Weekend","Weekday")</f>
        <v>Weekend</v>
      </c>
      <c r="I5303" t="str">
        <f>_xlfn.IFS(B5303&lt;=5,"Night (0-5)",B5303&lt;=9,"Morning peak (6-9)",B5303&lt;=15,"Midday (10-15)",B5303&lt;=19,"Evening peak (16-19)",TRUE,"Late evening (20-23)")</f>
        <v>Morning peak (6-9)</v>
      </c>
    </row>
    <row r="5304" spans="1:9">
      <c r="A5304" s="32">
        <v>42043</v>
      </c>
      <c r="B5304">
        <v>8</v>
      </c>
      <c r="C5304">
        <v>1237</v>
      </c>
      <c r="D5304" t="s">
        <v>304</v>
      </c>
      <c r="E5304">
        <f>YEAR(A5304)</f>
        <v>2015</v>
      </c>
      <c r="F5304" s="33">
        <f>DATE(YEAR(A5304),MONTH(A5304),1)</f>
        <v>42036.0</v>
      </c>
      <c r="G5304" t="str">
        <f>CHOOSE(WEEKDAY(A5304,2),"Mon","Tue","Wed","Thu","Fri","Sat","Sun")</f>
        <v>Sun</v>
      </c>
      <c r="H5304" t="str">
        <f>IF(WEEKDAY(A5304,2)&gt;5,"Weekend","Weekday")</f>
        <v>Weekend</v>
      </c>
      <c r="I5304" t="str">
        <f>_xlfn.IFS(B5304&lt;=5,"Night (0-5)",B5304&lt;=9,"Morning peak (6-9)",B5304&lt;=15,"Midday (10-15)",B5304&lt;=19,"Evening peak (16-19)",TRUE,"Late evening (20-23)")</f>
        <v>Morning peak (6-9)</v>
      </c>
    </row>
    <row r="5305" spans="1:9">
      <c r="A5305" s="32">
        <v>42043</v>
      </c>
      <c r="B5305">
        <v>9</v>
      </c>
      <c r="C5305">
        <v>1735</v>
      </c>
      <c r="D5305" t="s">
        <v>304</v>
      </c>
      <c r="E5305">
        <f>YEAR(A5305)</f>
        <v>2015</v>
      </c>
      <c r="F5305" s="33">
        <f>DATE(YEAR(A5305),MONTH(A5305),1)</f>
        <v>42036.0</v>
      </c>
      <c r="G5305" t="str">
        <f>CHOOSE(WEEKDAY(A5305,2),"Mon","Tue","Wed","Thu","Fri","Sat","Sun")</f>
        <v>Sun</v>
      </c>
      <c r="H5305" t="str">
        <f>IF(WEEKDAY(A5305,2)&gt;5,"Weekend","Weekday")</f>
        <v>Weekend</v>
      </c>
      <c r="I5305" t="str">
        <f>_xlfn.IFS(B5305&lt;=5,"Night (0-5)",B5305&lt;=9,"Morning peak (6-9)",B5305&lt;=15,"Midday (10-15)",B5305&lt;=19,"Evening peak (16-19)",TRUE,"Late evening (20-23)")</f>
        <v>Morning peak (6-9)</v>
      </c>
    </row>
    <row r="5306" spans="1:9">
      <c r="A5306" s="32">
        <v>42043</v>
      </c>
      <c r="B5306">
        <v>10</v>
      </c>
      <c r="C5306">
        <v>2242</v>
      </c>
      <c r="D5306" t="s">
        <v>304</v>
      </c>
      <c r="E5306">
        <f>YEAR(A5306)</f>
        <v>2015</v>
      </c>
      <c r="F5306" s="33">
        <f>DATE(YEAR(A5306),MONTH(A5306),1)</f>
        <v>42036.0</v>
      </c>
      <c r="G5306" t="str">
        <f>CHOOSE(WEEKDAY(A5306,2),"Mon","Tue","Wed","Thu","Fri","Sat","Sun")</f>
        <v>Sun</v>
      </c>
      <c r="H5306" t="str">
        <f>IF(WEEKDAY(A5306,2)&gt;5,"Weekend","Weekday")</f>
        <v>Weekend</v>
      </c>
      <c r="I5306" t="str">
        <f>_xlfn.IFS(B5306&lt;=5,"Night (0-5)",B5306&lt;=9,"Morning peak (6-9)",B5306&lt;=15,"Midday (10-15)",B5306&lt;=19,"Evening peak (16-19)",TRUE,"Late evening (20-23)")</f>
        <v>Midday (10-15)</v>
      </c>
    </row>
    <row r="5307" spans="1:9">
      <c r="A5307" s="32">
        <v>42043</v>
      </c>
      <c r="B5307">
        <v>11</v>
      </c>
      <c r="C5307">
        <v>2762</v>
      </c>
      <c r="D5307" t="s">
        <v>304</v>
      </c>
      <c r="E5307">
        <f>YEAR(A5307)</f>
        <v>2015</v>
      </c>
      <c r="F5307" s="33">
        <f>DATE(YEAR(A5307),MONTH(A5307),1)</f>
        <v>42036.0</v>
      </c>
      <c r="G5307" t="str">
        <f>CHOOSE(WEEKDAY(A5307,2),"Mon","Tue","Wed","Thu","Fri","Sat","Sun")</f>
        <v>Sun</v>
      </c>
      <c r="H5307" t="str">
        <f>IF(WEEKDAY(A5307,2)&gt;5,"Weekend","Weekday")</f>
        <v>Weekend</v>
      </c>
      <c r="I5307" t="str">
        <f>_xlfn.IFS(B5307&lt;=5,"Night (0-5)",B5307&lt;=9,"Morning peak (6-9)",B5307&lt;=15,"Midday (10-15)",B5307&lt;=19,"Evening peak (16-19)",TRUE,"Late evening (20-23)")</f>
        <v>Midday (10-15)</v>
      </c>
    </row>
    <row r="5308" spans="1:9">
      <c r="A5308" s="32">
        <v>42043</v>
      </c>
      <c r="B5308">
        <v>12</v>
      </c>
      <c r="C5308">
        <v>3057</v>
      </c>
      <c r="D5308" t="s">
        <v>304</v>
      </c>
      <c r="E5308">
        <f>YEAR(A5308)</f>
        <v>2015</v>
      </c>
      <c r="F5308" s="33">
        <f>DATE(YEAR(A5308),MONTH(A5308),1)</f>
        <v>42036.0</v>
      </c>
      <c r="G5308" t="str">
        <f>CHOOSE(WEEKDAY(A5308,2),"Mon","Tue","Wed","Thu","Fri","Sat","Sun")</f>
        <v>Sun</v>
      </c>
      <c r="H5308" t="str">
        <f>IF(WEEKDAY(A5308,2)&gt;5,"Weekend","Weekday")</f>
        <v>Weekend</v>
      </c>
      <c r="I5308" t="str">
        <f>_xlfn.IFS(B5308&lt;=5,"Night (0-5)",B5308&lt;=9,"Morning peak (6-9)",B5308&lt;=15,"Midday (10-15)",B5308&lt;=19,"Evening peak (16-19)",TRUE,"Late evening (20-23)")</f>
        <v>Midday (10-15)</v>
      </c>
    </row>
    <row r="5309" spans="1:9">
      <c r="A5309" s="32">
        <v>42043</v>
      </c>
      <c r="B5309">
        <v>13</v>
      </c>
      <c r="C5309">
        <v>3315</v>
      </c>
      <c r="D5309" t="s">
        <v>304</v>
      </c>
      <c r="E5309">
        <f>YEAR(A5309)</f>
        <v>2015</v>
      </c>
      <c r="F5309" s="33">
        <f>DATE(YEAR(A5309),MONTH(A5309),1)</f>
        <v>42036.0</v>
      </c>
      <c r="G5309" t="str">
        <f>CHOOSE(WEEKDAY(A5309,2),"Mon","Tue","Wed","Thu","Fri","Sat","Sun")</f>
        <v>Sun</v>
      </c>
      <c r="H5309" t="str">
        <f>IF(WEEKDAY(A5309,2)&gt;5,"Weekend","Weekday")</f>
        <v>Weekend</v>
      </c>
      <c r="I5309" t="str">
        <f>_xlfn.IFS(B5309&lt;=5,"Night (0-5)",B5309&lt;=9,"Morning peak (6-9)",B5309&lt;=15,"Midday (10-15)",B5309&lt;=19,"Evening peak (16-19)",TRUE,"Late evening (20-23)")</f>
        <v>Midday (10-15)</v>
      </c>
    </row>
    <row r="5310" spans="1:9">
      <c r="A5310" s="32">
        <v>42043</v>
      </c>
      <c r="B5310">
        <v>14</v>
      </c>
      <c r="C5310">
        <v>3296</v>
      </c>
      <c r="D5310" t="s">
        <v>304</v>
      </c>
      <c r="E5310">
        <f>YEAR(A5310)</f>
        <v>2015</v>
      </c>
      <c r="F5310" s="33">
        <f>DATE(YEAR(A5310),MONTH(A5310),1)</f>
        <v>42036.0</v>
      </c>
      <c r="G5310" t="str">
        <f>CHOOSE(WEEKDAY(A5310,2),"Mon","Tue","Wed","Thu","Fri","Sat","Sun")</f>
        <v>Sun</v>
      </c>
      <c r="H5310" t="str">
        <f>IF(WEEKDAY(A5310,2)&gt;5,"Weekend","Weekday")</f>
        <v>Weekend</v>
      </c>
      <c r="I5310" t="str">
        <f>_xlfn.IFS(B5310&lt;=5,"Night (0-5)",B5310&lt;=9,"Morning peak (6-9)",B5310&lt;=15,"Midday (10-15)",B5310&lt;=19,"Evening peak (16-19)",TRUE,"Late evening (20-23)")</f>
        <v>Midday (10-15)</v>
      </c>
    </row>
    <row r="5311" spans="1:9">
      <c r="A5311" s="32">
        <v>42043</v>
      </c>
      <c r="B5311">
        <v>15</v>
      </c>
      <c r="C5311">
        <v>3474</v>
      </c>
      <c r="D5311" t="s">
        <v>304</v>
      </c>
      <c r="E5311">
        <f>YEAR(A5311)</f>
        <v>2015</v>
      </c>
      <c r="F5311" s="33">
        <f>DATE(YEAR(A5311),MONTH(A5311),1)</f>
        <v>42036.0</v>
      </c>
      <c r="G5311" t="str">
        <f>CHOOSE(WEEKDAY(A5311,2),"Mon","Tue","Wed","Thu","Fri","Sat","Sun")</f>
        <v>Sun</v>
      </c>
      <c r="H5311" t="str">
        <f>IF(WEEKDAY(A5311,2)&gt;5,"Weekend","Weekday")</f>
        <v>Weekend</v>
      </c>
      <c r="I5311" t="str">
        <f>_xlfn.IFS(B5311&lt;=5,"Night (0-5)",B5311&lt;=9,"Morning peak (6-9)",B5311&lt;=15,"Midday (10-15)",B5311&lt;=19,"Evening peak (16-19)",TRUE,"Late evening (20-23)")</f>
        <v>Midday (10-15)</v>
      </c>
    </row>
    <row r="5312" spans="1:9">
      <c r="A5312" s="32">
        <v>42043</v>
      </c>
      <c r="B5312">
        <v>16</v>
      </c>
      <c r="C5312">
        <v>3698</v>
      </c>
      <c r="D5312" t="s">
        <v>304</v>
      </c>
      <c r="E5312">
        <f>YEAR(A5312)</f>
        <v>2015</v>
      </c>
      <c r="F5312" s="33">
        <f>DATE(YEAR(A5312),MONTH(A5312),1)</f>
        <v>42036.0</v>
      </c>
      <c r="G5312" t="str">
        <f>CHOOSE(WEEKDAY(A5312,2),"Mon","Tue","Wed","Thu","Fri","Sat","Sun")</f>
        <v>Sun</v>
      </c>
      <c r="H5312" t="str">
        <f>IF(WEEKDAY(A5312,2)&gt;5,"Weekend","Weekday")</f>
        <v>Weekend</v>
      </c>
      <c r="I5312" t="str">
        <f>_xlfn.IFS(B5312&lt;=5,"Night (0-5)",B5312&lt;=9,"Morning peak (6-9)",B5312&lt;=15,"Midday (10-15)",B5312&lt;=19,"Evening peak (16-19)",TRUE,"Late evening (20-23)")</f>
        <v>Evening peak (16-19)</v>
      </c>
    </row>
    <row r="5313" spans="1:9">
      <c r="A5313" s="32">
        <v>42043</v>
      </c>
      <c r="B5313">
        <v>17</v>
      </c>
      <c r="C5313">
        <v>3732</v>
      </c>
      <c r="D5313" t="s">
        <v>304</v>
      </c>
      <c r="E5313">
        <f>YEAR(A5313)</f>
        <v>2015</v>
      </c>
      <c r="F5313" s="33">
        <f>DATE(YEAR(A5313),MONTH(A5313),1)</f>
        <v>42036.0</v>
      </c>
      <c r="G5313" t="str">
        <f>CHOOSE(WEEKDAY(A5313,2),"Mon","Tue","Wed","Thu","Fri","Sat","Sun")</f>
        <v>Sun</v>
      </c>
      <c r="H5313" t="str">
        <f>IF(WEEKDAY(A5313,2)&gt;5,"Weekend","Weekday")</f>
        <v>Weekend</v>
      </c>
      <c r="I5313" t="str">
        <f>_xlfn.IFS(B5313&lt;=5,"Night (0-5)",B5313&lt;=9,"Morning peak (6-9)",B5313&lt;=15,"Midday (10-15)",B5313&lt;=19,"Evening peak (16-19)",TRUE,"Late evening (20-23)")</f>
        <v>Evening peak (16-19)</v>
      </c>
    </row>
    <row r="5314" spans="1:9">
      <c r="A5314" s="32">
        <v>42043</v>
      </c>
      <c r="B5314">
        <v>18</v>
      </c>
      <c r="C5314">
        <v>3750</v>
      </c>
      <c r="D5314" t="s">
        <v>304</v>
      </c>
      <c r="E5314">
        <f>YEAR(A5314)</f>
        <v>2015</v>
      </c>
      <c r="F5314" s="33">
        <f>DATE(YEAR(A5314),MONTH(A5314),1)</f>
        <v>42036.0</v>
      </c>
      <c r="G5314" t="str">
        <f>CHOOSE(WEEKDAY(A5314,2),"Mon","Tue","Wed","Thu","Fri","Sat","Sun")</f>
        <v>Sun</v>
      </c>
      <c r="H5314" t="str">
        <f>IF(WEEKDAY(A5314,2)&gt;5,"Weekend","Weekday")</f>
        <v>Weekend</v>
      </c>
      <c r="I5314" t="str">
        <f>_xlfn.IFS(B5314&lt;=5,"Night (0-5)",B5314&lt;=9,"Morning peak (6-9)",B5314&lt;=15,"Midday (10-15)",B5314&lt;=19,"Evening peak (16-19)",TRUE,"Late evening (20-23)")</f>
        <v>Evening peak (16-19)</v>
      </c>
    </row>
    <row r="5315" spans="1:9">
      <c r="A5315" s="32">
        <v>42043</v>
      </c>
      <c r="B5315">
        <v>19</v>
      </c>
      <c r="C5315">
        <v>3667</v>
      </c>
      <c r="D5315" t="s">
        <v>304</v>
      </c>
      <c r="E5315">
        <f>YEAR(A5315)</f>
        <v>2015</v>
      </c>
      <c r="F5315" s="33">
        <f>DATE(YEAR(A5315),MONTH(A5315),1)</f>
        <v>42036.0</v>
      </c>
      <c r="G5315" t="str">
        <f>CHOOSE(WEEKDAY(A5315,2),"Mon","Tue","Wed","Thu","Fri","Sat","Sun")</f>
        <v>Sun</v>
      </c>
      <c r="H5315" t="str">
        <f>IF(WEEKDAY(A5315,2)&gt;5,"Weekend","Weekday")</f>
        <v>Weekend</v>
      </c>
      <c r="I5315" t="str">
        <f>_xlfn.IFS(B5315&lt;=5,"Night (0-5)",B5315&lt;=9,"Morning peak (6-9)",B5315&lt;=15,"Midday (10-15)",B5315&lt;=19,"Evening peak (16-19)",TRUE,"Late evening (20-23)")</f>
        <v>Evening peak (16-19)</v>
      </c>
    </row>
    <row r="5316" spans="1:9">
      <c r="A5316" s="32">
        <v>42043</v>
      </c>
      <c r="B5316">
        <v>20</v>
      </c>
      <c r="C5316">
        <v>2771</v>
      </c>
      <c r="D5316" t="s">
        <v>304</v>
      </c>
      <c r="E5316">
        <f>YEAR(A5316)</f>
        <v>2015</v>
      </c>
      <c r="F5316" s="33">
        <f>DATE(YEAR(A5316),MONTH(A5316),1)</f>
        <v>42036.0</v>
      </c>
      <c r="G5316" t="str">
        <f>CHOOSE(WEEKDAY(A5316,2),"Mon","Tue","Wed","Thu","Fri","Sat","Sun")</f>
        <v>Sun</v>
      </c>
      <c r="H5316" t="str">
        <f>IF(WEEKDAY(A5316,2)&gt;5,"Weekend","Weekday")</f>
        <v>Weekend</v>
      </c>
      <c r="I5316" t="str">
        <f>_xlfn.IFS(B5316&lt;=5,"Night (0-5)",B5316&lt;=9,"Morning peak (6-9)",B5316&lt;=15,"Midday (10-15)",B5316&lt;=19,"Evening peak (16-19)",TRUE,"Late evening (20-23)")</f>
        <v>Late evening (20-23)</v>
      </c>
    </row>
    <row r="5317" spans="1:9">
      <c r="A5317" s="32">
        <v>42043</v>
      </c>
      <c r="B5317">
        <v>21</v>
      </c>
      <c r="C5317">
        <v>2622</v>
      </c>
      <c r="D5317" t="s">
        <v>304</v>
      </c>
      <c r="E5317">
        <f>YEAR(A5317)</f>
        <v>2015</v>
      </c>
      <c r="F5317" s="33">
        <f>DATE(YEAR(A5317),MONTH(A5317),1)</f>
        <v>42036.0</v>
      </c>
      <c r="G5317" t="str">
        <f>CHOOSE(WEEKDAY(A5317,2),"Mon","Tue","Wed","Thu","Fri","Sat","Sun")</f>
        <v>Sun</v>
      </c>
      <c r="H5317" t="str">
        <f>IF(WEEKDAY(A5317,2)&gt;5,"Weekend","Weekday")</f>
        <v>Weekend</v>
      </c>
      <c r="I5317" t="str">
        <f>_xlfn.IFS(B5317&lt;=5,"Night (0-5)",B5317&lt;=9,"Morning peak (6-9)",B5317&lt;=15,"Midday (10-15)",B5317&lt;=19,"Evening peak (16-19)",TRUE,"Late evening (20-23)")</f>
        <v>Late evening (20-23)</v>
      </c>
    </row>
    <row r="5318" spans="1:9">
      <c r="A5318" s="32">
        <v>42043</v>
      </c>
      <c r="B5318">
        <v>22</v>
      </c>
      <c r="C5318">
        <v>2357</v>
      </c>
      <c r="D5318" t="s">
        <v>304</v>
      </c>
      <c r="E5318">
        <f>YEAR(A5318)</f>
        <v>2015</v>
      </c>
      <c r="F5318" s="33">
        <f>DATE(YEAR(A5318),MONTH(A5318),1)</f>
        <v>42036.0</v>
      </c>
      <c r="G5318" t="str">
        <f>CHOOSE(WEEKDAY(A5318,2),"Mon","Tue","Wed","Thu","Fri","Sat","Sun")</f>
        <v>Sun</v>
      </c>
      <c r="H5318" t="str">
        <f>IF(WEEKDAY(A5318,2)&gt;5,"Weekend","Weekday")</f>
        <v>Weekend</v>
      </c>
      <c r="I5318" t="str">
        <f>_xlfn.IFS(B5318&lt;=5,"Night (0-5)",B5318&lt;=9,"Morning peak (6-9)",B5318&lt;=15,"Midday (10-15)",B5318&lt;=19,"Evening peak (16-19)",TRUE,"Late evening (20-23)")</f>
        <v>Late evening (20-23)</v>
      </c>
    </row>
    <row r="5319" spans="1:9">
      <c r="A5319" s="32">
        <v>42043</v>
      </c>
      <c r="B5319">
        <v>23</v>
      </c>
      <c r="C5319">
        <v>1856</v>
      </c>
      <c r="D5319" t="s">
        <v>304</v>
      </c>
      <c r="E5319">
        <f>YEAR(A5319)</f>
        <v>2015</v>
      </c>
      <c r="F5319" s="33">
        <f>DATE(YEAR(A5319),MONTH(A5319),1)</f>
        <v>42036.0</v>
      </c>
      <c r="G5319" t="str">
        <f>CHOOSE(WEEKDAY(A5319,2),"Mon","Tue","Wed","Thu","Fri","Sat","Sun")</f>
        <v>Sun</v>
      </c>
      <c r="H5319" t="str">
        <f>IF(WEEKDAY(A5319,2)&gt;5,"Weekend","Weekday")</f>
        <v>Weekend</v>
      </c>
      <c r="I5319" t="str">
        <f>_xlfn.IFS(B5319&lt;=5,"Night (0-5)",B5319&lt;=9,"Morning peak (6-9)",B5319&lt;=15,"Midday (10-15)",B5319&lt;=19,"Evening peak (16-19)",TRUE,"Late evening (20-23)")</f>
        <v>Late evening (20-23)</v>
      </c>
    </row>
    <row r="5320" spans="1:9">
      <c r="A5320" s="32">
        <v>42044</v>
      </c>
      <c r="B5320">
        <v>0</v>
      </c>
      <c r="C5320">
        <v>1230</v>
      </c>
      <c r="D5320" t="s">
        <v>304</v>
      </c>
      <c r="E5320">
        <f>YEAR(A5320)</f>
        <v>2015</v>
      </c>
      <c r="F5320" s="33">
        <f>DATE(YEAR(A5320),MONTH(A5320),1)</f>
        <v>42036.0</v>
      </c>
      <c r="G5320" t="str">
        <f>CHOOSE(WEEKDAY(A5320,2),"Mon","Tue","Wed","Thu","Fri","Sat","Sun")</f>
        <v>Mon</v>
      </c>
      <c r="H5320" t="str">
        <f>IF(WEEKDAY(A5320,2)&gt;5,"Weekend","Weekday")</f>
        <v>Weekday</v>
      </c>
      <c r="I5320" t="str">
        <f>_xlfn.IFS(B5320&lt;=5,"Night (0-5)",B5320&lt;=9,"Morning peak (6-9)",B5320&lt;=15,"Midday (10-15)",B5320&lt;=19,"Evening peak (16-19)",TRUE,"Late evening (20-23)")</f>
        <v>Night (0-5)</v>
      </c>
    </row>
    <row r="5321" spans="1:9">
      <c r="A5321" s="32">
        <v>42044</v>
      </c>
      <c r="B5321">
        <v>1</v>
      </c>
      <c r="C5321">
        <v>554</v>
      </c>
      <c r="D5321" t="s">
        <v>304</v>
      </c>
      <c r="E5321">
        <f>YEAR(A5321)</f>
        <v>2015</v>
      </c>
      <c r="F5321" s="33">
        <f>DATE(YEAR(A5321),MONTH(A5321),1)</f>
        <v>42036.0</v>
      </c>
      <c r="G5321" t="str">
        <f>CHOOSE(WEEKDAY(A5321,2),"Mon","Tue","Wed","Thu","Fri","Sat","Sun")</f>
        <v>Mon</v>
      </c>
      <c r="H5321" t="str">
        <f>IF(WEEKDAY(A5321,2)&gt;5,"Weekend","Weekday")</f>
        <v>Weekday</v>
      </c>
      <c r="I5321" t="str">
        <f>_xlfn.IFS(B5321&lt;=5,"Night (0-5)",B5321&lt;=9,"Morning peak (6-9)",B5321&lt;=15,"Midday (10-15)",B5321&lt;=19,"Evening peak (16-19)",TRUE,"Late evening (20-23)")</f>
        <v>Night (0-5)</v>
      </c>
    </row>
    <row r="5322" spans="1:9">
      <c r="A5322" s="32">
        <v>42044</v>
      </c>
      <c r="B5322">
        <v>2</v>
      </c>
      <c r="C5322">
        <v>367</v>
      </c>
      <c r="D5322" t="s">
        <v>304</v>
      </c>
      <c r="E5322">
        <f>YEAR(A5322)</f>
        <v>2015</v>
      </c>
      <c r="F5322" s="33">
        <f>DATE(YEAR(A5322),MONTH(A5322),1)</f>
        <v>42036.0</v>
      </c>
      <c r="G5322" t="str">
        <f>CHOOSE(WEEKDAY(A5322,2),"Mon","Tue","Wed","Thu","Fri","Sat","Sun")</f>
        <v>Mon</v>
      </c>
      <c r="H5322" t="str">
        <f>IF(WEEKDAY(A5322,2)&gt;5,"Weekend","Weekday")</f>
        <v>Weekday</v>
      </c>
      <c r="I5322" t="str">
        <f>_xlfn.IFS(B5322&lt;=5,"Night (0-5)",B5322&lt;=9,"Morning peak (6-9)",B5322&lt;=15,"Midday (10-15)",B5322&lt;=19,"Evening peak (16-19)",TRUE,"Late evening (20-23)")</f>
        <v>Night (0-5)</v>
      </c>
    </row>
    <row r="5323" spans="1:9">
      <c r="A5323" s="32">
        <v>42044</v>
      </c>
      <c r="B5323">
        <v>3</v>
      </c>
      <c r="C5323">
        <v>266</v>
      </c>
      <c r="D5323" t="s">
        <v>304</v>
      </c>
      <c r="E5323">
        <f>YEAR(A5323)</f>
        <v>2015</v>
      </c>
      <c r="F5323" s="33">
        <f>DATE(YEAR(A5323),MONTH(A5323),1)</f>
        <v>42036.0</v>
      </c>
      <c r="G5323" t="str">
        <f>CHOOSE(WEEKDAY(A5323,2),"Mon","Tue","Wed","Thu","Fri","Sat","Sun")</f>
        <v>Mon</v>
      </c>
      <c r="H5323" t="str">
        <f>IF(WEEKDAY(A5323,2)&gt;5,"Weekend","Weekday")</f>
        <v>Weekday</v>
      </c>
      <c r="I5323" t="str">
        <f>_xlfn.IFS(B5323&lt;=5,"Night (0-5)",B5323&lt;=9,"Morning peak (6-9)",B5323&lt;=15,"Midday (10-15)",B5323&lt;=19,"Evening peak (16-19)",TRUE,"Late evening (20-23)")</f>
        <v>Night (0-5)</v>
      </c>
    </row>
    <row r="5324" spans="1:9">
      <c r="A5324" s="32">
        <v>42044</v>
      </c>
      <c r="B5324">
        <v>4</v>
      </c>
      <c r="C5324">
        <v>481</v>
      </c>
      <c r="D5324" t="s">
        <v>304</v>
      </c>
      <c r="E5324">
        <f>YEAR(A5324)</f>
        <v>2015</v>
      </c>
      <c r="F5324" s="33">
        <f>DATE(YEAR(A5324),MONTH(A5324),1)</f>
        <v>42036.0</v>
      </c>
      <c r="G5324" t="str">
        <f>CHOOSE(WEEKDAY(A5324,2),"Mon","Tue","Wed","Thu","Fri","Sat","Sun")</f>
        <v>Mon</v>
      </c>
      <c r="H5324" t="str">
        <f>IF(WEEKDAY(A5324,2)&gt;5,"Weekend","Weekday")</f>
        <v>Weekday</v>
      </c>
      <c r="I5324" t="str">
        <f>_xlfn.IFS(B5324&lt;=5,"Night (0-5)",B5324&lt;=9,"Morning peak (6-9)",B5324&lt;=15,"Midday (10-15)",B5324&lt;=19,"Evening peak (16-19)",TRUE,"Late evening (20-23)")</f>
        <v>Night (0-5)</v>
      </c>
    </row>
    <row r="5325" spans="1:9">
      <c r="A5325" s="32">
        <v>42044</v>
      </c>
      <c r="B5325">
        <v>5</v>
      </c>
      <c r="C5325">
        <v>1015</v>
      </c>
      <c r="D5325" t="s">
        <v>304</v>
      </c>
      <c r="E5325">
        <f>YEAR(A5325)</f>
        <v>2015</v>
      </c>
      <c r="F5325" s="33">
        <f>DATE(YEAR(A5325),MONTH(A5325),1)</f>
        <v>42036.0</v>
      </c>
      <c r="G5325" t="str">
        <f>CHOOSE(WEEKDAY(A5325,2),"Mon","Tue","Wed","Thu","Fri","Sat","Sun")</f>
        <v>Mon</v>
      </c>
      <c r="H5325" t="str">
        <f>IF(WEEKDAY(A5325,2)&gt;5,"Weekend","Weekday")</f>
        <v>Weekday</v>
      </c>
      <c r="I5325" t="str">
        <f>_xlfn.IFS(B5325&lt;=5,"Night (0-5)",B5325&lt;=9,"Morning peak (6-9)",B5325&lt;=15,"Midday (10-15)",B5325&lt;=19,"Evening peak (16-19)",TRUE,"Late evening (20-23)")</f>
        <v>Night (0-5)</v>
      </c>
    </row>
    <row r="5326" spans="1:9">
      <c r="A5326" s="32">
        <v>42044</v>
      </c>
      <c r="B5326">
        <v>6</v>
      </c>
      <c r="C5326">
        <v>2084</v>
      </c>
      <c r="D5326" t="s">
        <v>304</v>
      </c>
      <c r="E5326">
        <f>YEAR(A5326)</f>
        <v>2015</v>
      </c>
      <c r="F5326" s="33">
        <f>DATE(YEAR(A5326),MONTH(A5326),1)</f>
        <v>42036.0</v>
      </c>
      <c r="G5326" t="str">
        <f>CHOOSE(WEEKDAY(A5326,2),"Mon","Tue","Wed","Thu","Fri","Sat","Sun")</f>
        <v>Mon</v>
      </c>
      <c r="H5326" t="str">
        <f>IF(WEEKDAY(A5326,2)&gt;5,"Weekend","Weekday")</f>
        <v>Weekday</v>
      </c>
      <c r="I5326" t="str">
        <f>_xlfn.IFS(B5326&lt;=5,"Night (0-5)",B5326&lt;=9,"Morning peak (6-9)",B5326&lt;=15,"Midday (10-15)",B5326&lt;=19,"Evening peak (16-19)",TRUE,"Late evening (20-23)")</f>
        <v>Morning peak (6-9)</v>
      </c>
    </row>
    <row r="5327" spans="1:9">
      <c r="A5327" s="32">
        <v>42044</v>
      </c>
      <c r="B5327">
        <v>7</v>
      </c>
      <c r="C5327">
        <v>3665</v>
      </c>
      <c r="D5327" t="s">
        <v>304</v>
      </c>
      <c r="E5327">
        <f>YEAR(A5327)</f>
        <v>2015</v>
      </c>
      <c r="F5327" s="33">
        <f>DATE(YEAR(A5327),MONTH(A5327),1)</f>
        <v>42036.0</v>
      </c>
      <c r="G5327" t="str">
        <f>CHOOSE(WEEKDAY(A5327,2),"Mon","Tue","Wed","Thu","Fri","Sat","Sun")</f>
        <v>Mon</v>
      </c>
      <c r="H5327" t="str">
        <f>IF(WEEKDAY(A5327,2)&gt;5,"Weekend","Weekday")</f>
        <v>Weekday</v>
      </c>
      <c r="I5327" t="str">
        <f>_xlfn.IFS(B5327&lt;=5,"Night (0-5)",B5327&lt;=9,"Morning peak (6-9)",B5327&lt;=15,"Midday (10-15)",B5327&lt;=19,"Evening peak (16-19)",TRUE,"Late evening (20-23)")</f>
        <v>Morning peak (6-9)</v>
      </c>
    </row>
    <row r="5328" spans="1:9">
      <c r="A5328" s="32">
        <v>42044</v>
      </c>
      <c r="B5328">
        <v>8</v>
      </c>
      <c r="C5328">
        <v>4589</v>
      </c>
      <c r="D5328" t="s">
        <v>304</v>
      </c>
      <c r="E5328">
        <f>YEAR(A5328)</f>
        <v>2015</v>
      </c>
      <c r="F5328" s="33">
        <f>DATE(YEAR(A5328),MONTH(A5328),1)</f>
        <v>42036.0</v>
      </c>
      <c r="G5328" t="str">
        <f>CHOOSE(WEEKDAY(A5328,2),"Mon","Tue","Wed","Thu","Fri","Sat","Sun")</f>
        <v>Mon</v>
      </c>
      <c r="H5328" t="str">
        <f>IF(WEEKDAY(A5328,2)&gt;5,"Weekend","Weekday")</f>
        <v>Weekday</v>
      </c>
      <c r="I5328" t="str">
        <f>_xlfn.IFS(B5328&lt;=5,"Night (0-5)",B5328&lt;=9,"Morning peak (6-9)",B5328&lt;=15,"Midday (10-15)",B5328&lt;=19,"Evening peak (16-19)",TRUE,"Late evening (20-23)")</f>
        <v>Morning peak (6-9)</v>
      </c>
    </row>
    <row r="5329" spans="1:9">
      <c r="A5329" s="32">
        <v>42044</v>
      </c>
      <c r="B5329">
        <v>9</v>
      </c>
      <c r="C5329">
        <v>3810</v>
      </c>
      <c r="D5329" t="s">
        <v>304</v>
      </c>
      <c r="E5329">
        <f>YEAR(A5329)</f>
        <v>2015</v>
      </c>
      <c r="F5329" s="33">
        <f>DATE(YEAR(A5329),MONTH(A5329),1)</f>
        <v>42036.0</v>
      </c>
      <c r="G5329" t="str">
        <f>CHOOSE(WEEKDAY(A5329,2),"Mon","Tue","Wed","Thu","Fri","Sat","Sun")</f>
        <v>Mon</v>
      </c>
      <c r="H5329" t="str">
        <f>IF(WEEKDAY(A5329,2)&gt;5,"Weekend","Weekday")</f>
        <v>Weekday</v>
      </c>
      <c r="I5329" t="str">
        <f>_xlfn.IFS(B5329&lt;=5,"Night (0-5)",B5329&lt;=9,"Morning peak (6-9)",B5329&lt;=15,"Midday (10-15)",B5329&lt;=19,"Evening peak (16-19)",TRUE,"Late evening (20-23)")</f>
        <v>Morning peak (6-9)</v>
      </c>
    </row>
    <row r="5330" spans="1:9">
      <c r="A5330" s="32">
        <v>42044</v>
      </c>
      <c r="B5330">
        <v>10</v>
      </c>
      <c r="C5330">
        <v>2851</v>
      </c>
      <c r="D5330" t="s">
        <v>304</v>
      </c>
      <c r="E5330">
        <f>YEAR(A5330)</f>
        <v>2015</v>
      </c>
      <c r="F5330" s="33">
        <f>DATE(YEAR(A5330),MONTH(A5330),1)</f>
        <v>42036.0</v>
      </c>
      <c r="G5330" t="str">
        <f>CHOOSE(WEEKDAY(A5330,2),"Mon","Tue","Wed","Thu","Fri","Sat","Sun")</f>
        <v>Mon</v>
      </c>
      <c r="H5330" t="str">
        <f>IF(WEEKDAY(A5330,2)&gt;5,"Weekend","Weekday")</f>
        <v>Weekday</v>
      </c>
      <c r="I5330" t="str">
        <f>_xlfn.IFS(B5330&lt;=5,"Night (0-5)",B5330&lt;=9,"Morning peak (6-9)",B5330&lt;=15,"Midday (10-15)",B5330&lt;=19,"Evening peak (16-19)",TRUE,"Late evening (20-23)")</f>
        <v>Midday (10-15)</v>
      </c>
    </row>
    <row r="5331" spans="1:9">
      <c r="A5331" s="32">
        <v>42044</v>
      </c>
      <c r="B5331">
        <v>11</v>
      </c>
      <c r="C5331">
        <v>2514</v>
      </c>
      <c r="D5331" t="s">
        <v>304</v>
      </c>
      <c r="E5331">
        <f>YEAR(A5331)</f>
        <v>2015</v>
      </c>
      <c r="F5331" s="33">
        <f>DATE(YEAR(A5331),MONTH(A5331),1)</f>
        <v>42036.0</v>
      </c>
      <c r="G5331" t="str">
        <f>CHOOSE(WEEKDAY(A5331,2),"Mon","Tue","Wed","Thu","Fri","Sat","Sun")</f>
        <v>Mon</v>
      </c>
      <c r="H5331" t="str">
        <f>IF(WEEKDAY(A5331,2)&gt;5,"Weekend","Weekday")</f>
        <v>Weekday</v>
      </c>
      <c r="I5331" t="str">
        <f>_xlfn.IFS(B5331&lt;=5,"Night (0-5)",B5331&lt;=9,"Morning peak (6-9)",B5331&lt;=15,"Midday (10-15)",B5331&lt;=19,"Evening peak (16-19)",TRUE,"Late evening (20-23)")</f>
        <v>Midday (10-15)</v>
      </c>
    </row>
    <row r="5332" spans="1:9">
      <c r="A5332" s="32">
        <v>42044</v>
      </c>
      <c r="B5332">
        <v>12</v>
      </c>
      <c r="C5332">
        <v>2387</v>
      </c>
      <c r="D5332" t="s">
        <v>304</v>
      </c>
      <c r="E5332">
        <f>YEAR(A5332)</f>
        <v>2015</v>
      </c>
      <c r="F5332" s="33">
        <f>DATE(YEAR(A5332),MONTH(A5332),1)</f>
        <v>42036.0</v>
      </c>
      <c r="G5332" t="str">
        <f>CHOOSE(WEEKDAY(A5332,2),"Mon","Tue","Wed","Thu","Fri","Sat","Sun")</f>
        <v>Mon</v>
      </c>
      <c r="H5332" t="str">
        <f>IF(WEEKDAY(A5332,2)&gt;5,"Weekend","Weekday")</f>
        <v>Weekday</v>
      </c>
      <c r="I5332" t="str">
        <f>_xlfn.IFS(B5332&lt;=5,"Night (0-5)",B5332&lt;=9,"Morning peak (6-9)",B5332&lt;=15,"Midday (10-15)",B5332&lt;=19,"Evening peak (16-19)",TRUE,"Late evening (20-23)")</f>
        <v>Midday (10-15)</v>
      </c>
    </row>
    <row r="5333" spans="1:9">
      <c r="A5333" s="32">
        <v>42044</v>
      </c>
      <c r="B5333">
        <v>13</v>
      </c>
      <c r="C5333">
        <v>2265</v>
      </c>
      <c r="D5333" t="s">
        <v>304</v>
      </c>
      <c r="E5333">
        <f>YEAR(A5333)</f>
        <v>2015</v>
      </c>
      <c r="F5333" s="33">
        <f>DATE(YEAR(A5333),MONTH(A5333),1)</f>
        <v>42036.0</v>
      </c>
      <c r="G5333" t="str">
        <f>CHOOSE(WEEKDAY(A5333,2),"Mon","Tue","Wed","Thu","Fri","Sat","Sun")</f>
        <v>Mon</v>
      </c>
      <c r="H5333" t="str">
        <f>IF(WEEKDAY(A5333,2)&gt;5,"Weekend","Weekday")</f>
        <v>Weekday</v>
      </c>
      <c r="I5333" t="str">
        <f>_xlfn.IFS(B5333&lt;=5,"Night (0-5)",B5333&lt;=9,"Morning peak (6-9)",B5333&lt;=15,"Midday (10-15)",B5333&lt;=19,"Evening peak (16-19)",TRUE,"Late evening (20-23)")</f>
        <v>Midday (10-15)</v>
      </c>
    </row>
    <row r="5334" spans="1:9">
      <c r="A5334" s="32">
        <v>42044</v>
      </c>
      <c r="B5334">
        <v>14</v>
      </c>
      <c r="C5334">
        <v>2648</v>
      </c>
      <c r="D5334" t="s">
        <v>304</v>
      </c>
      <c r="E5334">
        <f>YEAR(A5334)</f>
        <v>2015</v>
      </c>
      <c r="F5334" s="33">
        <f>DATE(YEAR(A5334),MONTH(A5334),1)</f>
        <v>42036.0</v>
      </c>
      <c r="G5334" t="str">
        <f>CHOOSE(WEEKDAY(A5334,2),"Mon","Tue","Wed","Thu","Fri","Sat","Sun")</f>
        <v>Mon</v>
      </c>
      <c r="H5334" t="str">
        <f>IF(WEEKDAY(A5334,2)&gt;5,"Weekend","Weekday")</f>
        <v>Weekday</v>
      </c>
      <c r="I5334" t="str">
        <f>_xlfn.IFS(B5334&lt;=5,"Night (0-5)",B5334&lt;=9,"Morning peak (6-9)",B5334&lt;=15,"Midday (10-15)",B5334&lt;=19,"Evening peak (16-19)",TRUE,"Late evening (20-23)")</f>
        <v>Midday (10-15)</v>
      </c>
    </row>
    <row r="5335" spans="1:9">
      <c r="A5335" s="32">
        <v>42044</v>
      </c>
      <c r="B5335">
        <v>15</v>
      </c>
      <c r="C5335">
        <v>2930</v>
      </c>
      <c r="D5335" t="s">
        <v>304</v>
      </c>
      <c r="E5335">
        <f>YEAR(A5335)</f>
        <v>2015</v>
      </c>
      <c r="F5335" s="33">
        <f>DATE(YEAR(A5335),MONTH(A5335),1)</f>
        <v>42036.0</v>
      </c>
      <c r="G5335" t="str">
        <f>CHOOSE(WEEKDAY(A5335,2),"Mon","Tue","Wed","Thu","Fri","Sat","Sun")</f>
        <v>Mon</v>
      </c>
      <c r="H5335" t="str">
        <f>IF(WEEKDAY(A5335,2)&gt;5,"Weekend","Weekday")</f>
        <v>Weekday</v>
      </c>
      <c r="I5335" t="str">
        <f>_xlfn.IFS(B5335&lt;=5,"Night (0-5)",B5335&lt;=9,"Morning peak (6-9)",B5335&lt;=15,"Midday (10-15)",B5335&lt;=19,"Evening peak (16-19)",TRUE,"Late evening (20-23)")</f>
        <v>Midday (10-15)</v>
      </c>
    </row>
    <row r="5336" spans="1:9">
      <c r="A5336" s="32">
        <v>42044</v>
      </c>
      <c r="B5336">
        <v>16</v>
      </c>
      <c r="C5336">
        <v>3089</v>
      </c>
      <c r="D5336" t="s">
        <v>304</v>
      </c>
      <c r="E5336">
        <f>YEAR(A5336)</f>
        <v>2015</v>
      </c>
      <c r="F5336" s="33">
        <f>DATE(YEAR(A5336),MONTH(A5336),1)</f>
        <v>42036.0</v>
      </c>
      <c r="G5336" t="str">
        <f>CHOOSE(WEEKDAY(A5336,2),"Mon","Tue","Wed","Thu","Fri","Sat","Sun")</f>
        <v>Mon</v>
      </c>
      <c r="H5336" t="str">
        <f>IF(WEEKDAY(A5336,2)&gt;5,"Weekend","Weekday")</f>
        <v>Weekday</v>
      </c>
      <c r="I5336" t="str">
        <f>_xlfn.IFS(B5336&lt;=5,"Night (0-5)",B5336&lt;=9,"Morning peak (6-9)",B5336&lt;=15,"Midday (10-15)",B5336&lt;=19,"Evening peak (16-19)",TRUE,"Late evening (20-23)")</f>
        <v>Evening peak (16-19)</v>
      </c>
    </row>
    <row r="5337" spans="1:9">
      <c r="A5337" s="32">
        <v>42044</v>
      </c>
      <c r="B5337">
        <v>17</v>
      </c>
      <c r="C5337">
        <v>4047</v>
      </c>
      <c r="D5337" t="s">
        <v>304</v>
      </c>
      <c r="E5337">
        <f>YEAR(A5337)</f>
        <v>2015</v>
      </c>
      <c r="F5337" s="33">
        <f>DATE(YEAR(A5337),MONTH(A5337),1)</f>
        <v>42036.0</v>
      </c>
      <c r="G5337" t="str">
        <f>CHOOSE(WEEKDAY(A5337,2),"Mon","Tue","Wed","Thu","Fri","Sat","Sun")</f>
        <v>Mon</v>
      </c>
      <c r="H5337" t="str">
        <f>IF(WEEKDAY(A5337,2)&gt;5,"Weekend","Weekday")</f>
        <v>Weekday</v>
      </c>
      <c r="I5337" t="str">
        <f>_xlfn.IFS(B5337&lt;=5,"Night (0-5)",B5337&lt;=9,"Morning peak (6-9)",B5337&lt;=15,"Midday (10-15)",B5337&lt;=19,"Evening peak (16-19)",TRUE,"Late evening (20-23)")</f>
        <v>Evening peak (16-19)</v>
      </c>
    </row>
    <row r="5338" spans="1:9">
      <c r="A5338" s="32">
        <v>42044</v>
      </c>
      <c r="B5338">
        <v>18</v>
      </c>
      <c r="C5338">
        <v>4721</v>
      </c>
      <c r="D5338" t="s">
        <v>304</v>
      </c>
      <c r="E5338">
        <f>YEAR(A5338)</f>
        <v>2015</v>
      </c>
      <c r="F5338" s="33">
        <f>DATE(YEAR(A5338),MONTH(A5338),1)</f>
        <v>42036.0</v>
      </c>
      <c r="G5338" t="str">
        <f>CHOOSE(WEEKDAY(A5338,2),"Mon","Tue","Wed","Thu","Fri","Sat","Sun")</f>
        <v>Mon</v>
      </c>
      <c r="H5338" t="str">
        <f>IF(WEEKDAY(A5338,2)&gt;5,"Weekend","Weekday")</f>
        <v>Weekday</v>
      </c>
      <c r="I5338" t="str">
        <f>_xlfn.IFS(B5338&lt;=5,"Night (0-5)",B5338&lt;=9,"Morning peak (6-9)",B5338&lt;=15,"Midday (10-15)",B5338&lt;=19,"Evening peak (16-19)",TRUE,"Late evening (20-23)")</f>
        <v>Evening peak (16-19)</v>
      </c>
    </row>
    <row r="5339" spans="1:9">
      <c r="A5339" s="32">
        <v>42044</v>
      </c>
      <c r="B5339">
        <v>19</v>
      </c>
      <c r="C5339">
        <v>4487</v>
      </c>
      <c r="D5339" t="s">
        <v>304</v>
      </c>
      <c r="E5339">
        <f>YEAR(A5339)</f>
        <v>2015</v>
      </c>
      <c r="F5339" s="33">
        <f>DATE(YEAR(A5339),MONTH(A5339),1)</f>
        <v>42036.0</v>
      </c>
      <c r="G5339" t="str">
        <f>CHOOSE(WEEKDAY(A5339,2),"Mon","Tue","Wed","Thu","Fri","Sat","Sun")</f>
        <v>Mon</v>
      </c>
      <c r="H5339" t="str">
        <f>IF(WEEKDAY(A5339,2)&gt;5,"Weekend","Weekday")</f>
        <v>Weekday</v>
      </c>
      <c r="I5339" t="str">
        <f>_xlfn.IFS(B5339&lt;=5,"Night (0-5)",B5339&lt;=9,"Morning peak (6-9)",B5339&lt;=15,"Midday (10-15)",B5339&lt;=19,"Evening peak (16-19)",TRUE,"Late evening (20-23)")</f>
        <v>Evening peak (16-19)</v>
      </c>
    </row>
    <row r="5340" spans="1:9">
      <c r="A5340" s="32">
        <v>42044</v>
      </c>
      <c r="B5340">
        <v>20</v>
      </c>
      <c r="C5340">
        <v>4091</v>
      </c>
      <c r="D5340" t="s">
        <v>304</v>
      </c>
      <c r="E5340">
        <f>YEAR(A5340)</f>
        <v>2015</v>
      </c>
      <c r="F5340" s="33">
        <f>DATE(YEAR(A5340),MONTH(A5340),1)</f>
        <v>42036.0</v>
      </c>
      <c r="G5340" t="str">
        <f>CHOOSE(WEEKDAY(A5340,2),"Mon","Tue","Wed","Thu","Fri","Sat","Sun")</f>
        <v>Mon</v>
      </c>
      <c r="H5340" t="str">
        <f>IF(WEEKDAY(A5340,2)&gt;5,"Weekend","Weekday")</f>
        <v>Weekday</v>
      </c>
      <c r="I5340" t="str">
        <f>_xlfn.IFS(B5340&lt;=5,"Night (0-5)",B5340&lt;=9,"Morning peak (6-9)",B5340&lt;=15,"Midday (10-15)",B5340&lt;=19,"Evening peak (16-19)",TRUE,"Late evening (20-23)")</f>
        <v>Late evening (20-23)</v>
      </c>
    </row>
    <row r="5341" spans="1:9">
      <c r="A5341" s="32">
        <v>42044</v>
      </c>
      <c r="B5341">
        <v>21</v>
      </c>
      <c r="C5341">
        <v>3735</v>
      </c>
      <c r="D5341" t="s">
        <v>304</v>
      </c>
      <c r="E5341">
        <f>YEAR(A5341)</f>
        <v>2015</v>
      </c>
      <c r="F5341" s="33">
        <f>DATE(YEAR(A5341),MONTH(A5341),1)</f>
        <v>42036.0</v>
      </c>
      <c r="G5341" t="str">
        <f>CHOOSE(WEEKDAY(A5341,2),"Mon","Tue","Wed","Thu","Fri","Sat","Sun")</f>
        <v>Mon</v>
      </c>
      <c r="H5341" t="str">
        <f>IF(WEEKDAY(A5341,2)&gt;5,"Weekend","Weekday")</f>
        <v>Weekday</v>
      </c>
      <c r="I5341" t="str">
        <f>_xlfn.IFS(B5341&lt;=5,"Night (0-5)",B5341&lt;=9,"Morning peak (6-9)",B5341&lt;=15,"Midday (10-15)",B5341&lt;=19,"Evening peak (16-19)",TRUE,"Late evening (20-23)")</f>
        <v>Late evening (20-23)</v>
      </c>
    </row>
    <row r="5342" spans="1:9">
      <c r="A5342" s="32">
        <v>42044</v>
      </c>
      <c r="B5342">
        <v>22</v>
      </c>
      <c r="C5342">
        <v>3121</v>
      </c>
      <c r="D5342" t="s">
        <v>304</v>
      </c>
      <c r="E5342">
        <f>YEAR(A5342)</f>
        <v>2015</v>
      </c>
      <c r="F5342" s="33">
        <f>DATE(YEAR(A5342),MONTH(A5342),1)</f>
        <v>42036.0</v>
      </c>
      <c r="G5342" t="str">
        <f>CHOOSE(WEEKDAY(A5342,2),"Mon","Tue","Wed","Thu","Fri","Sat","Sun")</f>
        <v>Mon</v>
      </c>
      <c r="H5342" t="str">
        <f>IF(WEEKDAY(A5342,2)&gt;5,"Weekend","Weekday")</f>
        <v>Weekday</v>
      </c>
      <c r="I5342" t="str">
        <f>_xlfn.IFS(B5342&lt;=5,"Night (0-5)",B5342&lt;=9,"Morning peak (6-9)",B5342&lt;=15,"Midday (10-15)",B5342&lt;=19,"Evening peak (16-19)",TRUE,"Late evening (20-23)")</f>
        <v>Late evening (20-23)</v>
      </c>
    </row>
    <row r="5343" spans="1:9">
      <c r="A5343" s="32">
        <v>42044</v>
      </c>
      <c r="B5343">
        <v>23</v>
      </c>
      <c r="C5343">
        <v>2359</v>
      </c>
      <c r="D5343" t="s">
        <v>304</v>
      </c>
      <c r="E5343">
        <f>YEAR(A5343)</f>
        <v>2015</v>
      </c>
      <c r="F5343" s="33">
        <f>DATE(YEAR(A5343),MONTH(A5343),1)</f>
        <v>42036.0</v>
      </c>
      <c r="G5343" t="str">
        <f>CHOOSE(WEEKDAY(A5343,2),"Mon","Tue","Wed","Thu","Fri","Sat","Sun")</f>
        <v>Mon</v>
      </c>
      <c r="H5343" t="str">
        <f>IF(WEEKDAY(A5343,2)&gt;5,"Weekend","Weekday")</f>
        <v>Weekday</v>
      </c>
      <c r="I5343" t="str">
        <f>_xlfn.IFS(B5343&lt;=5,"Night (0-5)",B5343&lt;=9,"Morning peak (6-9)",B5343&lt;=15,"Midday (10-15)",B5343&lt;=19,"Evening peak (16-19)",TRUE,"Late evening (20-23)")</f>
        <v>Late evening (20-23)</v>
      </c>
    </row>
    <row r="5344" spans="1:9">
      <c r="A5344" s="32">
        <v>42045</v>
      </c>
      <c r="B5344">
        <v>0</v>
      </c>
      <c r="C5344">
        <v>1327</v>
      </c>
      <c r="D5344" t="s">
        <v>304</v>
      </c>
      <c r="E5344">
        <f>YEAR(A5344)</f>
        <v>2015</v>
      </c>
      <c r="F5344" s="33">
        <f>DATE(YEAR(A5344),MONTH(A5344),1)</f>
        <v>42036.0</v>
      </c>
      <c r="G5344" t="str">
        <f>CHOOSE(WEEKDAY(A5344,2),"Mon","Tue","Wed","Thu","Fri","Sat","Sun")</f>
        <v>Tue</v>
      </c>
      <c r="H5344" t="str">
        <f>IF(WEEKDAY(A5344,2)&gt;5,"Weekend","Weekday")</f>
        <v>Weekday</v>
      </c>
      <c r="I5344" t="str">
        <f>_xlfn.IFS(B5344&lt;=5,"Night (0-5)",B5344&lt;=9,"Morning peak (6-9)",B5344&lt;=15,"Midday (10-15)",B5344&lt;=19,"Evening peak (16-19)",TRUE,"Late evening (20-23)")</f>
        <v>Night (0-5)</v>
      </c>
    </row>
    <row r="5345" spans="1:9">
      <c r="A5345" s="32">
        <v>42045</v>
      </c>
      <c r="B5345">
        <v>1</v>
      </c>
      <c r="C5345">
        <v>735</v>
      </c>
      <c r="D5345" t="s">
        <v>304</v>
      </c>
      <c r="E5345">
        <f>YEAR(A5345)</f>
        <v>2015</v>
      </c>
      <c r="F5345" s="33">
        <f>DATE(YEAR(A5345),MONTH(A5345),1)</f>
        <v>42036.0</v>
      </c>
      <c r="G5345" t="str">
        <f>CHOOSE(WEEKDAY(A5345,2),"Mon","Tue","Wed","Thu","Fri","Sat","Sun")</f>
        <v>Tue</v>
      </c>
      <c r="H5345" t="str">
        <f>IF(WEEKDAY(A5345,2)&gt;5,"Weekend","Weekday")</f>
        <v>Weekday</v>
      </c>
      <c r="I5345" t="str">
        <f>_xlfn.IFS(B5345&lt;=5,"Night (0-5)",B5345&lt;=9,"Morning peak (6-9)",B5345&lt;=15,"Midday (10-15)",B5345&lt;=19,"Evening peak (16-19)",TRUE,"Late evening (20-23)")</f>
        <v>Night (0-5)</v>
      </c>
    </row>
    <row r="5346" spans="1:9">
      <c r="A5346" s="32">
        <v>42045</v>
      </c>
      <c r="B5346">
        <v>2</v>
      </c>
      <c r="C5346">
        <v>455</v>
      </c>
      <c r="D5346" t="s">
        <v>304</v>
      </c>
      <c r="E5346">
        <f>YEAR(A5346)</f>
        <v>2015</v>
      </c>
      <c r="F5346" s="33">
        <f>DATE(YEAR(A5346),MONTH(A5346),1)</f>
        <v>42036.0</v>
      </c>
      <c r="G5346" t="str">
        <f>CHOOSE(WEEKDAY(A5346,2),"Mon","Tue","Wed","Thu","Fri","Sat","Sun")</f>
        <v>Tue</v>
      </c>
      <c r="H5346" t="str">
        <f>IF(WEEKDAY(A5346,2)&gt;5,"Weekend","Weekday")</f>
        <v>Weekday</v>
      </c>
      <c r="I5346" t="str">
        <f>_xlfn.IFS(B5346&lt;=5,"Night (0-5)",B5346&lt;=9,"Morning peak (6-9)",B5346&lt;=15,"Midday (10-15)",B5346&lt;=19,"Evening peak (16-19)",TRUE,"Late evening (20-23)")</f>
        <v>Night (0-5)</v>
      </c>
    </row>
    <row r="5347" spans="1:9">
      <c r="A5347" s="32">
        <v>42045</v>
      </c>
      <c r="B5347">
        <v>3</v>
      </c>
      <c r="C5347">
        <v>280</v>
      </c>
      <c r="D5347" t="s">
        <v>304</v>
      </c>
      <c r="E5347">
        <f>YEAR(A5347)</f>
        <v>2015</v>
      </c>
      <c r="F5347" s="33">
        <f>DATE(YEAR(A5347),MONTH(A5347),1)</f>
        <v>42036.0</v>
      </c>
      <c r="G5347" t="str">
        <f>CHOOSE(WEEKDAY(A5347,2),"Mon","Tue","Wed","Thu","Fri","Sat","Sun")</f>
        <v>Tue</v>
      </c>
      <c r="H5347" t="str">
        <f>IF(WEEKDAY(A5347,2)&gt;5,"Weekend","Weekday")</f>
        <v>Weekday</v>
      </c>
      <c r="I5347" t="str">
        <f>_xlfn.IFS(B5347&lt;=5,"Night (0-5)",B5347&lt;=9,"Morning peak (6-9)",B5347&lt;=15,"Midday (10-15)",B5347&lt;=19,"Evening peak (16-19)",TRUE,"Late evening (20-23)")</f>
        <v>Night (0-5)</v>
      </c>
    </row>
    <row r="5348" spans="1:9">
      <c r="A5348" s="32">
        <v>42045</v>
      </c>
      <c r="B5348">
        <v>4</v>
      </c>
      <c r="C5348">
        <v>487</v>
      </c>
      <c r="D5348" t="s">
        <v>304</v>
      </c>
      <c r="E5348">
        <f>YEAR(A5348)</f>
        <v>2015</v>
      </c>
      <c r="F5348" s="33">
        <f>DATE(YEAR(A5348),MONTH(A5348),1)</f>
        <v>42036.0</v>
      </c>
      <c r="G5348" t="str">
        <f>CHOOSE(WEEKDAY(A5348,2),"Mon","Tue","Wed","Thu","Fri","Sat","Sun")</f>
        <v>Tue</v>
      </c>
      <c r="H5348" t="str">
        <f>IF(WEEKDAY(A5348,2)&gt;5,"Weekend","Weekday")</f>
        <v>Weekday</v>
      </c>
      <c r="I5348" t="str">
        <f>_xlfn.IFS(B5348&lt;=5,"Night (0-5)",B5348&lt;=9,"Morning peak (6-9)",B5348&lt;=15,"Midday (10-15)",B5348&lt;=19,"Evening peak (16-19)",TRUE,"Late evening (20-23)")</f>
        <v>Night (0-5)</v>
      </c>
    </row>
    <row r="5349" spans="1:9">
      <c r="A5349" s="32">
        <v>42045</v>
      </c>
      <c r="B5349">
        <v>5</v>
      </c>
      <c r="C5349">
        <v>899</v>
      </c>
      <c r="D5349" t="s">
        <v>304</v>
      </c>
      <c r="E5349">
        <f>YEAR(A5349)</f>
        <v>2015</v>
      </c>
      <c r="F5349" s="33">
        <f>DATE(YEAR(A5349),MONTH(A5349),1)</f>
        <v>42036.0</v>
      </c>
      <c r="G5349" t="str">
        <f>CHOOSE(WEEKDAY(A5349,2),"Mon","Tue","Wed","Thu","Fri","Sat","Sun")</f>
        <v>Tue</v>
      </c>
      <c r="H5349" t="str">
        <f>IF(WEEKDAY(A5349,2)&gt;5,"Weekend","Weekday")</f>
        <v>Weekday</v>
      </c>
      <c r="I5349" t="str">
        <f>_xlfn.IFS(B5349&lt;=5,"Night (0-5)",B5349&lt;=9,"Morning peak (6-9)",B5349&lt;=15,"Midday (10-15)",B5349&lt;=19,"Evening peak (16-19)",TRUE,"Late evening (20-23)")</f>
        <v>Night (0-5)</v>
      </c>
    </row>
    <row r="5350" spans="1:9">
      <c r="A5350" s="32">
        <v>42045</v>
      </c>
      <c r="B5350">
        <v>6</v>
      </c>
      <c r="C5350">
        <v>1722</v>
      </c>
      <c r="D5350" t="s">
        <v>304</v>
      </c>
      <c r="E5350">
        <f>YEAR(A5350)</f>
        <v>2015</v>
      </c>
      <c r="F5350" s="33">
        <f>DATE(YEAR(A5350),MONTH(A5350),1)</f>
        <v>42036.0</v>
      </c>
      <c r="G5350" t="str">
        <f>CHOOSE(WEEKDAY(A5350,2),"Mon","Tue","Wed","Thu","Fri","Sat","Sun")</f>
        <v>Tue</v>
      </c>
      <c r="H5350" t="str">
        <f>IF(WEEKDAY(A5350,2)&gt;5,"Weekend","Weekday")</f>
        <v>Weekday</v>
      </c>
      <c r="I5350" t="str">
        <f>_xlfn.IFS(B5350&lt;=5,"Night (0-5)",B5350&lt;=9,"Morning peak (6-9)",B5350&lt;=15,"Midday (10-15)",B5350&lt;=19,"Evening peak (16-19)",TRUE,"Late evening (20-23)")</f>
        <v>Morning peak (6-9)</v>
      </c>
    </row>
    <row r="5351" spans="1:9">
      <c r="A5351" s="32">
        <v>42045</v>
      </c>
      <c r="B5351">
        <v>7</v>
      </c>
      <c r="C5351">
        <v>3056</v>
      </c>
      <c r="D5351" t="s">
        <v>304</v>
      </c>
      <c r="E5351">
        <f>YEAR(A5351)</f>
        <v>2015</v>
      </c>
      <c r="F5351" s="33">
        <f>DATE(YEAR(A5351),MONTH(A5351),1)</f>
        <v>42036.0</v>
      </c>
      <c r="G5351" t="str">
        <f>CHOOSE(WEEKDAY(A5351,2),"Mon","Tue","Wed","Thu","Fri","Sat","Sun")</f>
        <v>Tue</v>
      </c>
      <c r="H5351" t="str">
        <f>IF(WEEKDAY(A5351,2)&gt;5,"Weekend","Weekday")</f>
        <v>Weekday</v>
      </c>
      <c r="I5351" t="str">
        <f>_xlfn.IFS(B5351&lt;=5,"Night (0-5)",B5351&lt;=9,"Morning peak (6-9)",B5351&lt;=15,"Midday (10-15)",B5351&lt;=19,"Evening peak (16-19)",TRUE,"Late evening (20-23)")</f>
        <v>Morning peak (6-9)</v>
      </c>
    </row>
    <row r="5352" spans="1:9">
      <c r="A5352" s="32">
        <v>42045</v>
      </c>
      <c r="B5352">
        <v>8</v>
      </c>
      <c r="C5352">
        <v>3910</v>
      </c>
      <c r="D5352" t="s">
        <v>304</v>
      </c>
      <c r="E5352">
        <f>YEAR(A5352)</f>
        <v>2015</v>
      </c>
      <c r="F5352" s="33">
        <f>DATE(YEAR(A5352),MONTH(A5352),1)</f>
        <v>42036.0</v>
      </c>
      <c r="G5352" t="str">
        <f>CHOOSE(WEEKDAY(A5352,2),"Mon","Tue","Wed","Thu","Fri","Sat","Sun")</f>
        <v>Tue</v>
      </c>
      <c r="H5352" t="str">
        <f>IF(WEEKDAY(A5352,2)&gt;5,"Weekend","Weekday")</f>
        <v>Weekday</v>
      </c>
      <c r="I5352" t="str">
        <f>_xlfn.IFS(B5352&lt;=5,"Night (0-5)",B5352&lt;=9,"Morning peak (6-9)",B5352&lt;=15,"Midday (10-15)",B5352&lt;=19,"Evening peak (16-19)",TRUE,"Late evening (20-23)")</f>
        <v>Morning peak (6-9)</v>
      </c>
    </row>
    <row r="5353" spans="1:9">
      <c r="A5353" s="32">
        <v>42045</v>
      </c>
      <c r="B5353">
        <v>9</v>
      </c>
      <c r="C5353">
        <v>3218</v>
      </c>
      <c r="D5353" t="s">
        <v>304</v>
      </c>
      <c r="E5353">
        <f>YEAR(A5353)</f>
        <v>2015</v>
      </c>
      <c r="F5353" s="33">
        <f>DATE(YEAR(A5353),MONTH(A5353),1)</f>
        <v>42036.0</v>
      </c>
      <c r="G5353" t="str">
        <f>CHOOSE(WEEKDAY(A5353,2),"Mon","Tue","Wed","Thu","Fri","Sat","Sun")</f>
        <v>Tue</v>
      </c>
      <c r="H5353" t="str">
        <f>IF(WEEKDAY(A5353,2)&gt;5,"Weekend","Weekday")</f>
        <v>Weekday</v>
      </c>
      <c r="I5353" t="str">
        <f>_xlfn.IFS(B5353&lt;=5,"Night (0-5)",B5353&lt;=9,"Morning peak (6-9)",B5353&lt;=15,"Midday (10-15)",B5353&lt;=19,"Evening peak (16-19)",TRUE,"Late evening (20-23)")</f>
        <v>Morning peak (6-9)</v>
      </c>
    </row>
    <row r="5354" spans="1:9">
      <c r="A5354" s="32">
        <v>42045</v>
      </c>
      <c r="B5354">
        <v>10</v>
      </c>
      <c r="C5354">
        <v>2437</v>
      </c>
      <c r="D5354" t="s">
        <v>304</v>
      </c>
      <c r="E5354">
        <f>YEAR(A5354)</f>
        <v>2015</v>
      </c>
      <c r="F5354" s="33">
        <f>DATE(YEAR(A5354),MONTH(A5354),1)</f>
        <v>42036.0</v>
      </c>
      <c r="G5354" t="str">
        <f>CHOOSE(WEEKDAY(A5354,2),"Mon","Tue","Wed","Thu","Fri","Sat","Sun")</f>
        <v>Tue</v>
      </c>
      <c r="H5354" t="str">
        <f>IF(WEEKDAY(A5354,2)&gt;5,"Weekend","Weekday")</f>
        <v>Weekday</v>
      </c>
      <c r="I5354" t="str">
        <f>_xlfn.IFS(B5354&lt;=5,"Night (0-5)",B5354&lt;=9,"Morning peak (6-9)",B5354&lt;=15,"Midday (10-15)",B5354&lt;=19,"Evening peak (16-19)",TRUE,"Late evening (20-23)")</f>
        <v>Midday (10-15)</v>
      </c>
    </row>
    <row r="5355" spans="1:9">
      <c r="A5355" s="32">
        <v>42045</v>
      </c>
      <c r="B5355">
        <v>11</v>
      </c>
      <c r="C5355">
        <v>2445</v>
      </c>
      <c r="D5355" t="s">
        <v>304</v>
      </c>
      <c r="E5355">
        <f>YEAR(A5355)</f>
        <v>2015</v>
      </c>
      <c r="F5355" s="33">
        <f>DATE(YEAR(A5355),MONTH(A5355),1)</f>
        <v>42036.0</v>
      </c>
      <c r="G5355" t="str">
        <f>CHOOSE(WEEKDAY(A5355,2),"Mon","Tue","Wed","Thu","Fri","Sat","Sun")</f>
        <v>Tue</v>
      </c>
      <c r="H5355" t="str">
        <f>IF(WEEKDAY(A5355,2)&gt;5,"Weekend","Weekday")</f>
        <v>Weekday</v>
      </c>
      <c r="I5355" t="str">
        <f>_xlfn.IFS(B5355&lt;=5,"Night (0-5)",B5355&lt;=9,"Morning peak (6-9)",B5355&lt;=15,"Midday (10-15)",B5355&lt;=19,"Evening peak (16-19)",TRUE,"Late evening (20-23)")</f>
        <v>Midday (10-15)</v>
      </c>
    </row>
    <row r="5356" spans="1:9">
      <c r="A5356" s="32">
        <v>42045</v>
      </c>
      <c r="B5356">
        <v>12</v>
      </c>
      <c r="C5356">
        <v>2374</v>
      </c>
      <c r="D5356" t="s">
        <v>304</v>
      </c>
      <c r="E5356">
        <f>YEAR(A5356)</f>
        <v>2015</v>
      </c>
      <c r="F5356" s="33">
        <f>DATE(YEAR(A5356),MONTH(A5356),1)</f>
        <v>42036.0</v>
      </c>
      <c r="G5356" t="str">
        <f>CHOOSE(WEEKDAY(A5356,2),"Mon","Tue","Wed","Thu","Fri","Sat","Sun")</f>
        <v>Tue</v>
      </c>
      <c r="H5356" t="str">
        <f>IF(WEEKDAY(A5356,2)&gt;5,"Weekend","Weekday")</f>
        <v>Weekday</v>
      </c>
      <c r="I5356" t="str">
        <f>_xlfn.IFS(B5356&lt;=5,"Night (0-5)",B5356&lt;=9,"Morning peak (6-9)",B5356&lt;=15,"Midday (10-15)",B5356&lt;=19,"Evening peak (16-19)",TRUE,"Late evening (20-23)")</f>
        <v>Midday (10-15)</v>
      </c>
    </row>
    <row r="5357" spans="1:9">
      <c r="A5357" s="32">
        <v>42045</v>
      </c>
      <c r="B5357">
        <v>13</v>
      </c>
      <c r="C5357">
        <v>2297</v>
      </c>
      <c r="D5357" t="s">
        <v>304</v>
      </c>
      <c r="E5357">
        <f>YEAR(A5357)</f>
        <v>2015</v>
      </c>
      <c r="F5357" s="33">
        <f>DATE(YEAR(A5357),MONTH(A5357),1)</f>
        <v>42036.0</v>
      </c>
      <c r="G5357" t="str">
        <f>CHOOSE(WEEKDAY(A5357,2),"Mon","Tue","Wed","Thu","Fri","Sat","Sun")</f>
        <v>Tue</v>
      </c>
      <c r="H5357" t="str">
        <f>IF(WEEKDAY(A5357,2)&gt;5,"Weekend","Weekday")</f>
        <v>Weekday</v>
      </c>
      <c r="I5357" t="str">
        <f>_xlfn.IFS(B5357&lt;=5,"Night (0-5)",B5357&lt;=9,"Morning peak (6-9)",B5357&lt;=15,"Midday (10-15)",B5357&lt;=19,"Evening peak (16-19)",TRUE,"Late evening (20-23)")</f>
        <v>Midday (10-15)</v>
      </c>
    </row>
    <row r="5358" spans="1:9">
      <c r="A5358" s="32">
        <v>42045</v>
      </c>
      <c r="B5358">
        <v>14</v>
      </c>
      <c r="C5358">
        <v>2469</v>
      </c>
      <c r="D5358" t="s">
        <v>304</v>
      </c>
      <c r="E5358">
        <f>YEAR(A5358)</f>
        <v>2015</v>
      </c>
      <c r="F5358" s="33">
        <f>DATE(YEAR(A5358),MONTH(A5358),1)</f>
        <v>42036.0</v>
      </c>
      <c r="G5358" t="str">
        <f>CHOOSE(WEEKDAY(A5358,2),"Mon","Tue","Wed","Thu","Fri","Sat","Sun")</f>
        <v>Tue</v>
      </c>
      <c r="H5358" t="str">
        <f>IF(WEEKDAY(A5358,2)&gt;5,"Weekend","Weekday")</f>
        <v>Weekday</v>
      </c>
      <c r="I5358" t="str">
        <f>_xlfn.IFS(B5358&lt;=5,"Night (0-5)",B5358&lt;=9,"Morning peak (6-9)",B5358&lt;=15,"Midday (10-15)",B5358&lt;=19,"Evening peak (16-19)",TRUE,"Late evening (20-23)")</f>
        <v>Midday (10-15)</v>
      </c>
    </row>
    <row r="5359" spans="1:9">
      <c r="A5359" s="32">
        <v>42045</v>
      </c>
      <c r="B5359">
        <v>15</v>
      </c>
      <c r="C5359">
        <v>2966</v>
      </c>
      <c r="D5359" t="s">
        <v>304</v>
      </c>
      <c r="E5359">
        <f>YEAR(A5359)</f>
        <v>2015</v>
      </c>
      <c r="F5359" s="33">
        <f>DATE(YEAR(A5359),MONTH(A5359),1)</f>
        <v>42036.0</v>
      </c>
      <c r="G5359" t="str">
        <f>CHOOSE(WEEKDAY(A5359,2),"Mon","Tue","Wed","Thu","Fri","Sat","Sun")</f>
        <v>Tue</v>
      </c>
      <c r="H5359" t="str">
        <f>IF(WEEKDAY(A5359,2)&gt;5,"Weekend","Weekday")</f>
        <v>Weekday</v>
      </c>
      <c r="I5359" t="str">
        <f>_xlfn.IFS(B5359&lt;=5,"Night (0-5)",B5359&lt;=9,"Morning peak (6-9)",B5359&lt;=15,"Midday (10-15)",B5359&lt;=19,"Evening peak (16-19)",TRUE,"Late evening (20-23)")</f>
        <v>Midday (10-15)</v>
      </c>
    </row>
    <row r="5360" spans="1:9">
      <c r="A5360" s="32">
        <v>42045</v>
      </c>
      <c r="B5360">
        <v>16</v>
      </c>
      <c r="C5360">
        <v>3329</v>
      </c>
      <c r="D5360" t="s">
        <v>304</v>
      </c>
      <c r="E5360">
        <f>YEAR(A5360)</f>
        <v>2015</v>
      </c>
      <c r="F5360" s="33">
        <f>DATE(YEAR(A5360),MONTH(A5360),1)</f>
        <v>42036.0</v>
      </c>
      <c r="G5360" t="str">
        <f>CHOOSE(WEEKDAY(A5360,2),"Mon","Tue","Wed","Thu","Fri","Sat","Sun")</f>
        <v>Tue</v>
      </c>
      <c r="H5360" t="str">
        <f>IF(WEEKDAY(A5360,2)&gt;5,"Weekend","Weekday")</f>
        <v>Weekday</v>
      </c>
      <c r="I5360" t="str">
        <f>_xlfn.IFS(B5360&lt;=5,"Night (0-5)",B5360&lt;=9,"Morning peak (6-9)",B5360&lt;=15,"Midday (10-15)",B5360&lt;=19,"Evening peak (16-19)",TRUE,"Late evening (20-23)")</f>
        <v>Evening peak (16-19)</v>
      </c>
    </row>
    <row r="5361" spans="1:9">
      <c r="A5361" s="32">
        <v>42045</v>
      </c>
      <c r="B5361">
        <v>17</v>
      </c>
      <c r="C5361">
        <v>4464</v>
      </c>
      <c r="D5361" t="s">
        <v>304</v>
      </c>
      <c r="E5361">
        <f>YEAR(A5361)</f>
        <v>2015</v>
      </c>
      <c r="F5361" s="33">
        <f>DATE(YEAR(A5361),MONTH(A5361),1)</f>
        <v>42036.0</v>
      </c>
      <c r="G5361" t="str">
        <f>CHOOSE(WEEKDAY(A5361,2),"Mon","Tue","Wed","Thu","Fri","Sat","Sun")</f>
        <v>Tue</v>
      </c>
      <c r="H5361" t="str">
        <f>IF(WEEKDAY(A5361,2)&gt;5,"Weekend","Weekday")</f>
        <v>Weekday</v>
      </c>
      <c r="I5361" t="str">
        <f>_xlfn.IFS(B5361&lt;=5,"Night (0-5)",B5361&lt;=9,"Morning peak (6-9)",B5361&lt;=15,"Midday (10-15)",B5361&lt;=19,"Evening peak (16-19)",TRUE,"Late evening (20-23)")</f>
        <v>Evening peak (16-19)</v>
      </c>
    </row>
    <row r="5362" spans="1:9">
      <c r="A5362" s="32">
        <v>42045</v>
      </c>
      <c r="B5362">
        <v>18</v>
      </c>
      <c r="C5362">
        <v>5510</v>
      </c>
      <c r="D5362" t="s">
        <v>304</v>
      </c>
      <c r="E5362">
        <f>YEAR(A5362)</f>
        <v>2015</v>
      </c>
      <c r="F5362" s="33">
        <f>DATE(YEAR(A5362),MONTH(A5362),1)</f>
        <v>42036.0</v>
      </c>
      <c r="G5362" t="str">
        <f>CHOOSE(WEEKDAY(A5362,2),"Mon","Tue","Wed","Thu","Fri","Sat","Sun")</f>
        <v>Tue</v>
      </c>
      <c r="H5362" t="str">
        <f>IF(WEEKDAY(A5362,2)&gt;5,"Weekend","Weekday")</f>
        <v>Weekday</v>
      </c>
      <c r="I5362" t="str">
        <f>_xlfn.IFS(B5362&lt;=5,"Night (0-5)",B5362&lt;=9,"Morning peak (6-9)",B5362&lt;=15,"Midday (10-15)",B5362&lt;=19,"Evening peak (16-19)",TRUE,"Late evening (20-23)")</f>
        <v>Evening peak (16-19)</v>
      </c>
    </row>
    <row r="5363" spans="1:9">
      <c r="A5363" s="32">
        <v>42045</v>
      </c>
      <c r="B5363">
        <v>19</v>
      </c>
      <c r="C5363">
        <v>5326</v>
      </c>
      <c r="D5363" t="s">
        <v>304</v>
      </c>
      <c r="E5363">
        <f>YEAR(A5363)</f>
        <v>2015</v>
      </c>
      <c r="F5363" s="33">
        <f>DATE(YEAR(A5363),MONTH(A5363),1)</f>
        <v>42036.0</v>
      </c>
      <c r="G5363" t="str">
        <f>CHOOSE(WEEKDAY(A5363,2),"Mon","Tue","Wed","Thu","Fri","Sat","Sun")</f>
        <v>Tue</v>
      </c>
      <c r="H5363" t="str">
        <f>IF(WEEKDAY(A5363,2)&gt;5,"Weekend","Weekday")</f>
        <v>Weekday</v>
      </c>
      <c r="I5363" t="str">
        <f>_xlfn.IFS(B5363&lt;=5,"Night (0-5)",B5363&lt;=9,"Morning peak (6-9)",B5363&lt;=15,"Midday (10-15)",B5363&lt;=19,"Evening peak (16-19)",TRUE,"Late evening (20-23)")</f>
        <v>Evening peak (16-19)</v>
      </c>
    </row>
    <row r="5364" spans="1:9">
      <c r="A5364" s="32">
        <v>42045</v>
      </c>
      <c r="B5364">
        <v>20</v>
      </c>
      <c r="C5364">
        <v>4899</v>
      </c>
      <c r="D5364" t="s">
        <v>304</v>
      </c>
      <c r="E5364">
        <f>YEAR(A5364)</f>
        <v>2015</v>
      </c>
      <c r="F5364" s="33">
        <f>DATE(YEAR(A5364),MONTH(A5364),1)</f>
        <v>42036.0</v>
      </c>
      <c r="G5364" t="str">
        <f>CHOOSE(WEEKDAY(A5364,2),"Mon","Tue","Wed","Thu","Fri","Sat","Sun")</f>
        <v>Tue</v>
      </c>
      <c r="H5364" t="str">
        <f>IF(WEEKDAY(A5364,2)&gt;5,"Weekend","Weekday")</f>
        <v>Weekday</v>
      </c>
      <c r="I5364" t="str">
        <f>_xlfn.IFS(B5364&lt;=5,"Night (0-5)",B5364&lt;=9,"Morning peak (6-9)",B5364&lt;=15,"Midday (10-15)",B5364&lt;=19,"Evening peak (16-19)",TRUE,"Late evening (20-23)")</f>
        <v>Late evening (20-23)</v>
      </c>
    </row>
    <row r="5365" spans="1:9">
      <c r="A5365" s="32">
        <v>42045</v>
      </c>
      <c r="B5365">
        <v>21</v>
      </c>
      <c r="C5365">
        <v>4611</v>
      </c>
      <c r="D5365" t="s">
        <v>304</v>
      </c>
      <c r="E5365">
        <f>YEAR(A5365)</f>
        <v>2015</v>
      </c>
      <c r="F5365" s="33">
        <f>DATE(YEAR(A5365),MONTH(A5365),1)</f>
        <v>42036.0</v>
      </c>
      <c r="G5365" t="str">
        <f>CHOOSE(WEEKDAY(A5365,2),"Mon","Tue","Wed","Thu","Fri","Sat","Sun")</f>
        <v>Tue</v>
      </c>
      <c r="H5365" t="str">
        <f>IF(WEEKDAY(A5365,2)&gt;5,"Weekend","Weekday")</f>
        <v>Weekday</v>
      </c>
      <c r="I5365" t="str">
        <f>_xlfn.IFS(B5365&lt;=5,"Night (0-5)",B5365&lt;=9,"Morning peak (6-9)",B5365&lt;=15,"Midday (10-15)",B5365&lt;=19,"Evening peak (16-19)",TRUE,"Late evening (20-23)")</f>
        <v>Late evening (20-23)</v>
      </c>
    </row>
    <row r="5366" spans="1:9">
      <c r="A5366" s="32">
        <v>42045</v>
      </c>
      <c r="B5366">
        <v>22</v>
      </c>
      <c r="C5366">
        <v>4071</v>
      </c>
      <c r="D5366" t="s">
        <v>304</v>
      </c>
      <c r="E5366">
        <f>YEAR(A5366)</f>
        <v>2015</v>
      </c>
      <c r="F5366" s="33">
        <f>DATE(YEAR(A5366),MONTH(A5366),1)</f>
        <v>42036.0</v>
      </c>
      <c r="G5366" t="str">
        <f>CHOOSE(WEEKDAY(A5366,2),"Mon","Tue","Wed","Thu","Fri","Sat","Sun")</f>
        <v>Tue</v>
      </c>
      <c r="H5366" t="str">
        <f>IF(WEEKDAY(A5366,2)&gt;5,"Weekend","Weekday")</f>
        <v>Weekday</v>
      </c>
      <c r="I5366" t="str">
        <f>_xlfn.IFS(B5366&lt;=5,"Night (0-5)",B5366&lt;=9,"Morning peak (6-9)",B5366&lt;=15,"Midday (10-15)",B5366&lt;=19,"Evening peak (16-19)",TRUE,"Late evening (20-23)")</f>
        <v>Late evening (20-23)</v>
      </c>
    </row>
    <row r="5367" spans="1:9">
      <c r="A5367" s="32">
        <v>42045</v>
      </c>
      <c r="B5367">
        <v>23</v>
      </c>
      <c r="C5367">
        <v>2910</v>
      </c>
      <c r="D5367" t="s">
        <v>304</v>
      </c>
      <c r="E5367">
        <f>YEAR(A5367)</f>
        <v>2015</v>
      </c>
      <c r="F5367" s="33">
        <f>DATE(YEAR(A5367),MONTH(A5367),1)</f>
        <v>42036.0</v>
      </c>
      <c r="G5367" t="str">
        <f>CHOOSE(WEEKDAY(A5367,2),"Mon","Tue","Wed","Thu","Fri","Sat","Sun")</f>
        <v>Tue</v>
      </c>
      <c r="H5367" t="str">
        <f>IF(WEEKDAY(A5367,2)&gt;5,"Weekend","Weekday")</f>
        <v>Weekday</v>
      </c>
      <c r="I5367" t="str">
        <f>_xlfn.IFS(B5367&lt;=5,"Night (0-5)",B5367&lt;=9,"Morning peak (6-9)",B5367&lt;=15,"Midday (10-15)",B5367&lt;=19,"Evening peak (16-19)",TRUE,"Late evening (20-23)")</f>
        <v>Late evening (20-23)</v>
      </c>
    </row>
    <row r="5368" spans="1:9">
      <c r="A5368" s="32">
        <v>42046</v>
      </c>
      <c r="B5368">
        <v>0</v>
      </c>
      <c r="C5368">
        <v>1822</v>
      </c>
      <c r="D5368" t="s">
        <v>304</v>
      </c>
      <c r="E5368">
        <f>YEAR(A5368)</f>
        <v>2015</v>
      </c>
      <c r="F5368" s="33">
        <f>DATE(YEAR(A5368),MONTH(A5368),1)</f>
        <v>42036.0</v>
      </c>
      <c r="G5368" t="str">
        <f>CHOOSE(WEEKDAY(A5368,2),"Mon","Tue","Wed","Thu","Fri","Sat","Sun")</f>
        <v>Wed</v>
      </c>
      <c r="H5368" t="str">
        <f>IF(WEEKDAY(A5368,2)&gt;5,"Weekend","Weekday")</f>
        <v>Weekday</v>
      </c>
      <c r="I5368" t="str">
        <f>_xlfn.IFS(B5368&lt;=5,"Night (0-5)",B5368&lt;=9,"Morning peak (6-9)",B5368&lt;=15,"Midday (10-15)",B5368&lt;=19,"Evening peak (16-19)",TRUE,"Late evening (20-23)")</f>
        <v>Night (0-5)</v>
      </c>
    </row>
    <row r="5369" spans="1:9">
      <c r="A5369" s="32">
        <v>42046</v>
      </c>
      <c r="B5369">
        <v>1</v>
      </c>
      <c r="C5369">
        <v>932</v>
      </c>
      <c r="D5369" t="s">
        <v>304</v>
      </c>
      <c r="E5369">
        <f>YEAR(A5369)</f>
        <v>2015</v>
      </c>
      <c r="F5369" s="33">
        <f>DATE(YEAR(A5369),MONTH(A5369),1)</f>
        <v>42036.0</v>
      </c>
      <c r="G5369" t="str">
        <f>CHOOSE(WEEKDAY(A5369,2),"Mon","Tue","Wed","Thu","Fri","Sat","Sun")</f>
        <v>Wed</v>
      </c>
      <c r="H5369" t="str">
        <f>IF(WEEKDAY(A5369,2)&gt;5,"Weekend","Weekday")</f>
        <v>Weekday</v>
      </c>
      <c r="I5369" t="str">
        <f>_xlfn.IFS(B5369&lt;=5,"Night (0-5)",B5369&lt;=9,"Morning peak (6-9)",B5369&lt;=15,"Midday (10-15)",B5369&lt;=19,"Evening peak (16-19)",TRUE,"Late evening (20-23)")</f>
        <v>Night (0-5)</v>
      </c>
    </row>
    <row r="5370" spans="1:9">
      <c r="A5370" s="32">
        <v>42046</v>
      </c>
      <c r="B5370">
        <v>2</v>
      </c>
      <c r="C5370">
        <v>527</v>
      </c>
      <c r="D5370" t="s">
        <v>304</v>
      </c>
      <c r="E5370">
        <f>YEAR(A5370)</f>
        <v>2015</v>
      </c>
      <c r="F5370" s="33">
        <f>DATE(YEAR(A5370),MONTH(A5370),1)</f>
        <v>42036.0</v>
      </c>
      <c r="G5370" t="str">
        <f>CHOOSE(WEEKDAY(A5370,2),"Mon","Tue","Wed","Thu","Fri","Sat","Sun")</f>
        <v>Wed</v>
      </c>
      <c r="H5370" t="str">
        <f>IF(WEEKDAY(A5370,2)&gt;5,"Weekend","Weekday")</f>
        <v>Weekday</v>
      </c>
      <c r="I5370" t="str">
        <f>_xlfn.IFS(B5370&lt;=5,"Night (0-5)",B5370&lt;=9,"Morning peak (6-9)",B5370&lt;=15,"Midday (10-15)",B5370&lt;=19,"Evening peak (16-19)",TRUE,"Late evening (20-23)")</f>
        <v>Night (0-5)</v>
      </c>
    </row>
    <row r="5371" spans="1:9">
      <c r="A5371" s="32">
        <v>42046</v>
      </c>
      <c r="B5371">
        <v>3</v>
      </c>
      <c r="C5371">
        <v>335</v>
      </c>
      <c r="D5371" t="s">
        <v>304</v>
      </c>
      <c r="E5371">
        <f>YEAR(A5371)</f>
        <v>2015</v>
      </c>
      <c r="F5371" s="33">
        <f>DATE(YEAR(A5371),MONTH(A5371),1)</f>
        <v>42036.0</v>
      </c>
      <c r="G5371" t="str">
        <f>CHOOSE(WEEKDAY(A5371,2),"Mon","Tue","Wed","Thu","Fri","Sat","Sun")</f>
        <v>Wed</v>
      </c>
      <c r="H5371" t="str">
        <f>IF(WEEKDAY(A5371,2)&gt;5,"Weekend","Weekday")</f>
        <v>Weekday</v>
      </c>
      <c r="I5371" t="str">
        <f>_xlfn.IFS(B5371&lt;=5,"Night (0-5)",B5371&lt;=9,"Morning peak (6-9)",B5371&lt;=15,"Midday (10-15)",B5371&lt;=19,"Evening peak (16-19)",TRUE,"Late evening (20-23)")</f>
        <v>Night (0-5)</v>
      </c>
    </row>
    <row r="5372" spans="1:9">
      <c r="A5372" s="32">
        <v>42046</v>
      </c>
      <c r="B5372">
        <v>4</v>
      </c>
      <c r="C5372">
        <v>606</v>
      </c>
      <c r="D5372" t="s">
        <v>304</v>
      </c>
      <c r="E5372">
        <f>YEAR(A5372)</f>
        <v>2015</v>
      </c>
      <c r="F5372" s="33">
        <f>DATE(YEAR(A5372),MONTH(A5372),1)</f>
        <v>42036.0</v>
      </c>
      <c r="G5372" t="str">
        <f>CHOOSE(WEEKDAY(A5372,2),"Mon","Tue","Wed","Thu","Fri","Sat","Sun")</f>
        <v>Wed</v>
      </c>
      <c r="H5372" t="str">
        <f>IF(WEEKDAY(A5372,2)&gt;5,"Weekend","Weekday")</f>
        <v>Weekday</v>
      </c>
      <c r="I5372" t="str">
        <f>_xlfn.IFS(B5372&lt;=5,"Night (0-5)",B5372&lt;=9,"Morning peak (6-9)",B5372&lt;=15,"Midday (10-15)",B5372&lt;=19,"Evening peak (16-19)",TRUE,"Late evening (20-23)")</f>
        <v>Night (0-5)</v>
      </c>
    </row>
    <row r="5373" spans="1:9">
      <c r="A5373" s="32">
        <v>42046</v>
      </c>
      <c r="B5373">
        <v>5</v>
      </c>
      <c r="C5373">
        <v>943</v>
      </c>
      <c r="D5373" t="s">
        <v>304</v>
      </c>
      <c r="E5373">
        <f>YEAR(A5373)</f>
        <v>2015</v>
      </c>
      <c r="F5373" s="33">
        <f>DATE(YEAR(A5373),MONTH(A5373),1)</f>
        <v>42036.0</v>
      </c>
      <c r="G5373" t="str">
        <f>CHOOSE(WEEKDAY(A5373,2),"Mon","Tue","Wed","Thu","Fri","Sat","Sun")</f>
        <v>Wed</v>
      </c>
      <c r="H5373" t="str">
        <f>IF(WEEKDAY(A5373,2)&gt;5,"Weekend","Weekday")</f>
        <v>Weekday</v>
      </c>
      <c r="I5373" t="str">
        <f>_xlfn.IFS(B5373&lt;=5,"Night (0-5)",B5373&lt;=9,"Morning peak (6-9)",B5373&lt;=15,"Midday (10-15)",B5373&lt;=19,"Evening peak (16-19)",TRUE,"Late evening (20-23)")</f>
        <v>Night (0-5)</v>
      </c>
    </row>
    <row r="5374" spans="1:9">
      <c r="A5374" s="32">
        <v>42046</v>
      </c>
      <c r="B5374">
        <v>6</v>
      </c>
      <c r="C5374">
        <v>1823</v>
      </c>
      <c r="D5374" t="s">
        <v>304</v>
      </c>
      <c r="E5374">
        <f>YEAR(A5374)</f>
        <v>2015</v>
      </c>
      <c r="F5374" s="33">
        <f>DATE(YEAR(A5374),MONTH(A5374),1)</f>
        <v>42036.0</v>
      </c>
      <c r="G5374" t="str">
        <f>CHOOSE(WEEKDAY(A5374,2),"Mon","Tue","Wed","Thu","Fri","Sat","Sun")</f>
        <v>Wed</v>
      </c>
      <c r="H5374" t="str">
        <f>IF(WEEKDAY(A5374,2)&gt;5,"Weekend","Weekday")</f>
        <v>Weekday</v>
      </c>
      <c r="I5374" t="str">
        <f>_xlfn.IFS(B5374&lt;=5,"Night (0-5)",B5374&lt;=9,"Morning peak (6-9)",B5374&lt;=15,"Midday (10-15)",B5374&lt;=19,"Evening peak (16-19)",TRUE,"Late evening (20-23)")</f>
        <v>Morning peak (6-9)</v>
      </c>
    </row>
    <row r="5375" spans="1:9">
      <c r="A5375" s="32">
        <v>42046</v>
      </c>
      <c r="B5375">
        <v>7</v>
      </c>
      <c r="C5375">
        <v>3253</v>
      </c>
      <c r="D5375" t="s">
        <v>304</v>
      </c>
      <c r="E5375">
        <f>YEAR(A5375)</f>
        <v>2015</v>
      </c>
      <c r="F5375" s="33">
        <f>DATE(YEAR(A5375),MONTH(A5375),1)</f>
        <v>42036.0</v>
      </c>
      <c r="G5375" t="str">
        <f>CHOOSE(WEEKDAY(A5375,2),"Mon","Tue","Wed","Thu","Fri","Sat","Sun")</f>
        <v>Wed</v>
      </c>
      <c r="H5375" t="str">
        <f>IF(WEEKDAY(A5375,2)&gt;5,"Weekend","Weekday")</f>
        <v>Weekday</v>
      </c>
      <c r="I5375" t="str">
        <f>_xlfn.IFS(B5375&lt;=5,"Night (0-5)",B5375&lt;=9,"Morning peak (6-9)",B5375&lt;=15,"Midday (10-15)",B5375&lt;=19,"Evening peak (16-19)",TRUE,"Late evening (20-23)")</f>
        <v>Morning peak (6-9)</v>
      </c>
    </row>
    <row r="5376" spans="1:9">
      <c r="A5376" s="32">
        <v>42046</v>
      </c>
      <c r="B5376">
        <v>8</v>
      </c>
      <c r="C5376">
        <v>4076</v>
      </c>
      <c r="D5376" t="s">
        <v>304</v>
      </c>
      <c r="E5376">
        <f>YEAR(A5376)</f>
        <v>2015</v>
      </c>
      <c r="F5376" s="33">
        <f>DATE(YEAR(A5376),MONTH(A5376),1)</f>
        <v>42036.0</v>
      </c>
      <c r="G5376" t="str">
        <f>CHOOSE(WEEKDAY(A5376,2),"Mon","Tue","Wed","Thu","Fri","Sat","Sun")</f>
        <v>Wed</v>
      </c>
      <c r="H5376" t="str">
        <f>IF(WEEKDAY(A5376,2)&gt;5,"Weekend","Weekday")</f>
        <v>Weekday</v>
      </c>
      <c r="I5376" t="str">
        <f>_xlfn.IFS(B5376&lt;=5,"Night (0-5)",B5376&lt;=9,"Morning peak (6-9)",B5376&lt;=15,"Midday (10-15)",B5376&lt;=19,"Evening peak (16-19)",TRUE,"Late evening (20-23)")</f>
        <v>Morning peak (6-9)</v>
      </c>
    </row>
    <row r="5377" spans="1:9">
      <c r="A5377" s="32">
        <v>42046</v>
      </c>
      <c r="B5377">
        <v>9</v>
      </c>
      <c r="C5377">
        <v>3683</v>
      </c>
      <c r="D5377" t="s">
        <v>304</v>
      </c>
      <c r="E5377">
        <f>YEAR(A5377)</f>
        <v>2015</v>
      </c>
      <c r="F5377" s="33">
        <f>DATE(YEAR(A5377),MONTH(A5377),1)</f>
        <v>42036.0</v>
      </c>
      <c r="G5377" t="str">
        <f>CHOOSE(WEEKDAY(A5377,2),"Mon","Tue","Wed","Thu","Fri","Sat","Sun")</f>
        <v>Wed</v>
      </c>
      <c r="H5377" t="str">
        <f>IF(WEEKDAY(A5377,2)&gt;5,"Weekend","Weekday")</f>
        <v>Weekday</v>
      </c>
      <c r="I5377" t="str">
        <f>_xlfn.IFS(B5377&lt;=5,"Night (0-5)",B5377&lt;=9,"Morning peak (6-9)",B5377&lt;=15,"Midday (10-15)",B5377&lt;=19,"Evening peak (16-19)",TRUE,"Late evening (20-23)")</f>
        <v>Morning peak (6-9)</v>
      </c>
    </row>
    <row r="5378" spans="1:9">
      <c r="A5378" s="32">
        <v>42046</v>
      </c>
      <c r="B5378">
        <v>10</v>
      </c>
      <c r="C5378">
        <v>2815</v>
      </c>
      <c r="D5378" t="s">
        <v>304</v>
      </c>
      <c r="E5378">
        <f>YEAR(A5378)</f>
        <v>2015</v>
      </c>
      <c r="F5378" s="33">
        <f>DATE(YEAR(A5378),MONTH(A5378),1)</f>
        <v>42036.0</v>
      </c>
      <c r="G5378" t="str">
        <f>CHOOSE(WEEKDAY(A5378,2),"Mon","Tue","Wed","Thu","Fri","Sat","Sun")</f>
        <v>Wed</v>
      </c>
      <c r="H5378" t="str">
        <f>IF(WEEKDAY(A5378,2)&gt;5,"Weekend","Weekday")</f>
        <v>Weekday</v>
      </c>
      <c r="I5378" t="str">
        <f>_xlfn.IFS(B5378&lt;=5,"Night (0-5)",B5378&lt;=9,"Morning peak (6-9)",B5378&lt;=15,"Midday (10-15)",B5378&lt;=19,"Evening peak (16-19)",TRUE,"Late evening (20-23)")</f>
        <v>Midday (10-15)</v>
      </c>
    </row>
    <row r="5379" spans="1:9">
      <c r="A5379" s="32">
        <v>42046</v>
      </c>
      <c r="B5379">
        <v>11</v>
      </c>
      <c r="C5379">
        <v>2657</v>
      </c>
      <c r="D5379" t="s">
        <v>304</v>
      </c>
      <c r="E5379">
        <f>YEAR(A5379)</f>
        <v>2015</v>
      </c>
      <c r="F5379" s="33">
        <f>DATE(YEAR(A5379),MONTH(A5379),1)</f>
        <v>42036.0</v>
      </c>
      <c r="G5379" t="str">
        <f>CHOOSE(WEEKDAY(A5379,2),"Mon","Tue","Wed","Thu","Fri","Sat","Sun")</f>
        <v>Wed</v>
      </c>
      <c r="H5379" t="str">
        <f>IF(WEEKDAY(A5379,2)&gt;5,"Weekend","Weekday")</f>
        <v>Weekday</v>
      </c>
      <c r="I5379" t="str">
        <f>_xlfn.IFS(B5379&lt;=5,"Night (0-5)",B5379&lt;=9,"Morning peak (6-9)",B5379&lt;=15,"Midday (10-15)",B5379&lt;=19,"Evening peak (16-19)",TRUE,"Late evening (20-23)")</f>
        <v>Midday (10-15)</v>
      </c>
    </row>
    <row r="5380" spans="1:9">
      <c r="A5380" s="32">
        <v>42046</v>
      </c>
      <c r="B5380">
        <v>12</v>
      </c>
      <c r="C5380">
        <v>2625</v>
      </c>
      <c r="D5380" t="s">
        <v>304</v>
      </c>
      <c r="E5380">
        <f>YEAR(A5380)</f>
        <v>2015</v>
      </c>
      <c r="F5380" s="33">
        <f>DATE(YEAR(A5380),MONTH(A5380),1)</f>
        <v>42036.0</v>
      </c>
      <c r="G5380" t="str">
        <f>CHOOSE(WEEKDAY(A5380,2),"Mon","Tue","Wed","Thu","Fri","Sat","Sun")</f>
        <v>Wed</v>
      </c>
      <c r="H5380" t="str">
        <f>IF(WEEKDAY(A5380,2)&gt;5,"Weekend","Weekday")</f>
        <v>Weekday</v>
      </c>
      <c r="I5380" t="str">
        <f>_xlfn.IFS(B5380&lt;=5,"Night (0-5)",B5380&lt;=9,"Morning peak (6-9)",B5380&lt;=15,"Midday (10-15)",B5380&lt;=19,"Evening peak (16-19)",TRUE,"Late evening (20-23)")</f>
        <v>Midday (10-15)</v>
      </c>
    </row>
    <row r="5381" spans="1:9">
      <c r="A5381" s="32">
        <v>42046</v>
      </c>
      <c r="B5381">
        <v>13</v>
      </c>
      <c r="C5381">
        <v>2566</v>
      </c>
      <c r="D5381" t="s">
        <v>304</v>
      </c>
      <c r="E5381">
        <f>YEAR(A5381)</f>
        <v>2015</v>
      </c>
      <c r="F5381" s="33">
        <f>DATE(YEAR(A5381),MONTH(A5381),1)</f>
        <v>42036.0</v>
      </c>
      <c r="G5381" t="str">
        <f>CHOOSE(WEEKDAY(A5381,2),"Mon","Tue","Wed","Thu","Fri","Sat","Sun")</f>
        <v>Wed</v>
      </c>
      <c r="H5381" t="str">
        <f>IF(WEEKDAY(A5381,2)&gt;5,"Weekend","Weekday")</f>
        <v>Weekday</v>
      </c>
      <c r="I5381" t="str">
        <f>_xlfn.IFS(B5381&lt;=5,"Night (0-5)",B5381&lt;=9,"Morning peak (6-9)",B5381&lt;=15,"Midday (10-15)",B5381&lt;=19,"Evening peak (16-19)",TRUE,"Late evening (20-23)")</f>
        <v>Midday (10-15)</v>
      </c>
    </row>
    <row r="5382" spans="1:9">
      <c r="A5382" s="32">
        <v>42046</v>
      </c>
      <c r="B5382">
        <v>14</v>
      </c>
      <c r="C5382">
        <v>2882</v>
      </c>
      <c r="D5382" t="s">
        <v>304</v>
      </c>
      <c r="E5382">
        <f>YEAR(A5382)</f>
        <v>2015</v>
      </c>
      <c r="F5382" s="33">
        <f>DATE(YEAR(A5382),MONTH(A5382),1)</f>
        <v>42036.0</v>
      </c>
      <c r="G5382" t="str">
        <f>CHOOSE(WEEKDAY(A5382,2),"Mon","Tue","Wed","Thu","Fri","Sat","Sun")</f>
        <v>Wed</v>
      </c>
      <c r="H5382" t="str">
        <f>IF(WEEKDAY(A5382,2)&gt;5,"Weekend","Weekday")</f>
        <v>Weekday</v>
      </c>
      <c r="I5382" t="str">
        <f>_xlfn.IFS(B5382&lt;=5,"Night (0-5)",B5382&lt;=9,"Morning peak (6-9)",B5382&lt;=15,"Midday (10-15)",B5382&lt;=19,"Evening peak (16-19)",TRUE,"Late evening (20-23)")</f>
        <v>Midday (10-15)</v>
      </c>
    </row>
    <row r="5383" spans="1:9">
      <c r="A5383" s="32">
        <v>42046</v>
      </c>
      <c r="B5383">
        <v>15</v>
      </c>
      <c r="C5383">
        <v>3308</v>
      </c>
      <c r="D5383" t="s">
        <v>304</v>
      </c>
      <c r="E5383">
        <f>YEAR(A5383)</f>
        <v>2015</v>
      </c>
      <c r="F5383" s="33">
        <f>DATE(YEAR(A5383),MONTH(A5383),1)</f>
        <v>42036.0</v>
      </c>
      <c r="G5383" t="str">
        <f>CHOOSE(WEEKDAY(A5383,2),"Mon","Tue","Wed","Thu","Fri","Sat","Sun")</f>
        <v>Wed</v>
      </c>
      <c r="H5383" t="str">
        <f>IF(WEEKDAY(A5383,2)&gt;5,"Weekend","Weekday")</f>
        <v>Weekday</v>
      </c>
      <c r="I5383" t="str">
        <f>_xlfn.IFS(B5383&lt;=5,"Night (0-5)",B5383&lt;=9,"Morning peak (6-9)",B5383&lt;=15,"Midday (10-15)",B5383&lt;=19,"Evening peak (16-19)",TRUE,"Late evening (20-23)")</f>
        <v>Midday (10-15)</v>
      </c>
    </row>
    <row r="5384" spans="1:9">
      <c r="A5384" s="32">
        <v>42046</v>
      </c>
      <c r="B5384">
        <v>16</v>
      </c>
      <c r="C5384">
        <v>3909</v>
      </c>
      <c r="D5384" t="s">
        <v>304</v>
      </c>
      <c r="E5384">
        <f>YEAR(A5384)</f>
        <v>2015</v>
      </c>
      <c r="F5384" s="33">
        <f>DATE(YEAR(A5384),MONTH(A5384),1)</f>
        <v>42036.0</v>
      </c>
      <c r="G5384" t="str">
        <f>CHOOSE(WEEKDAY(A5384,2),"Mon","Tue","Wed","Thu","Fri","Sat","Sun")</f>
        <v>Wed</v>
      </c>
      <c r="H5384" t="str">
        <f>IF(WEEKDAY(A5384,2)&gt;5,"Weekend","Weekday")</f>
        <v>Weekday</v>
      </c>
      <c r="I5384" t="str">
        <f>_xlfn.IFS(B5384&lt;=5,"Night (0-5)",B5384&lt;=9,"Morning peak (6-9)",B5384&lt;=15,"Midday (10-15)",B5384&lt;=19,"Evening peak (16-19)",TRUE,"Late evening (20-23)")</f>
        <v>Evening peak (16-19)</v>
      </c>
    </row>
    <row r="5385" spans="1:9">
      <c r="A5385" s="32">
        <v>42046</v>
      </c>
      <c r="B5385">
        <v>17</v>
      </c>
      <c r="C5385">
        <v>4646</v>
      </c>
      <c r="D5385" t="s">
        <v>304</v>
      </c>
      <c r="E5385">
        <f>YEAR(A5385)</f>
        <v>2015</v>
      </c>
      <c r="F5385" s="33">
        <f>DATE(YEAR(A5385),MONTH(A5385),1)</f>
        <v>42036.0</v>
      </c>
      <c r="G5385" t="str">
        <f>CHOOSE(WEEKDAY(A5385,2),"Mon","Tue","Wed","Thu","Fri","Sat","Sun")</f>
        <v>Wed</v>
      </c>
      <c r="H5385" t="str">
        <f>IF(WEEKDAY(A5385,2)&gt;5,"Weekend","Weekday")</f>
        <v>Weekday</v>
      </c>
      <c r="I5385" t="str">
        <f>_xlfn.IFS(B5385&lt;=5,"Night (0-5)",B5385&lt;=9,"Morning peak (6-9)",B5385&lt;=15,"Midday (10-15)",B5385&lt;=19,"Evening peak (16-19)",TRUE,"Late evening (20-23)")</f>
        <v>Evening peak (16-19)</v>
      </c>
    </row>
    <row r="5386" spans="1:9">
      <c r="A5386" s="32">
        <v>42046</v>
      </c>
      <c r="B5386">
        <v>18</v>
      </c>
      <c r="C5386">
        <v>5572</v>
      </c>
      <c r="D5386" t="s">
        <v>304</v>
      </c>
      <c r="E5386">
        <f>YEAR(A5386)</f>
        <v>2015</v>
      </c>
      <c r="F5386" s="33">
        <f>DATE(YEAR(A5386),MONTH(A5386),1)</f>
        <v>42036.0</v>
      </c>
      <c r="G5386" t="str">
        <f>CHOOSE(WEEKDAY(A5386,2),"Mon","Tue","Wed","Thu","Fri","Sat","Sun")</f>
        <v>Wed</v>
      </c>
      <c r="H5386" t="str">
        <f>IF(WEEKDAY(A5386,2)&gt;5,"Weekend","Weekday")</f>
        <v>Weekday</v>
      </c>
      <c r="I5386" t="str">
        <f>_xlfn.IFS(B5386&lt;=5,"Night (0-5)",B5386&lt;=9,"Morning peak (6-9)",B5386&lt;=15,"Midday (10-15)",B5386&lt;=19,"Evening peak (16-19)",TRUE,"Late evening (20-23)")</f>
        <v>Evening peak (16-19)</v>
      </c>
    </row>
    <row r="5387" spans="1:9">
      <c r="A5387" s="32">
        <v>42046</v>
      </c>
      <c r="B5387">
        <v>19</v>
      </c>
      <c r="C5387">
        <v>5807</v>
      </c>
      <c r="D5387" t="s">
        <v>304</v>
      </c>
      <c r="E5387">
        <f>YEAR(A5387)</f>
        <v>2015</v>
      </c>
      <c r="F5387" s="33">
        <f>DATE(YEAR(A5387),MONTH(A5387),1)</f>
        <v>42036.0</v>
      </c>
      <c r="G5387" t="str">
        <f>CHOOSE(WEEKDAY(A5387,2),"Mon","Tue","Wed","Thu","Fri","Sat","Sun")</f>
        <v>Wed</v>
      </c>
      <c r="H5387" t="str">
        <f>IF(WEEKDAY(A5387,2)&gt;5,"Weekend","Weekday")</f>
        <v>Weekday</v>
      </c>
      <c r="I5387" t="str">
        <f>_xlfn.IFS(B5387&lt;=5,"Night (0-5)",B5387&lt;=9,"Morning peak (6-9)",B5387&lt;=15,"Midday (10-15)",B5387&lt;=19,"Evening peak (16-19)",TRUE,"Late evening (20-23)")</f>
        <v>Evening peak (16-19)</v>
      </c>
    </row>
    <row r="5388" spans="1:9">
      <c r="A5388" s="32">
        <v>42046</v>
      </c>
      <c r="B5388">
        <v>20</v>
      </c>
      <c r="C5388">
        <v>5561</v>
      </c>
      <c r="D5388" t="s">
        <v>304</v>
      </c>
      <c r="E5388">
        <f>YEAR(A5388)</f>
        <v>2015</v>
      </c>
      <c r="F5388" s="33">
        <f>DATE(YEAR(A5388),MONTH(A5388),1)</f>
        <v>42036.0</v>
      </c>
      <c r="G5388" t="str">
        <f>CHOOSE(WEEKDAY(A5388,2),"Mon","Tue","Wed","Thu","Fri","Sat","Sun")</f>
        <v>Wed</v>
      </c>
      <c r="H5388" t="str">
        <f>IF(WEEKDAY(A5388,2)&gt;5,"Weekend","Weekday")</f>
        <v>Weekday</v>
      </c>
      <c r="I5388" t="str">
        <f>_xlfn.IFS(B5388&lt;=5,"Night (0-5)",B5388&lt;=9,"Morning peak (6-9)",B5388&lt;=15,"Midday (10-15)",B5388&lt;=19,"Evening peak (16-19)",TRUE,"Late evening (20-23)")</f>
        <v>Late evening (20-23)</v>
      </c>
    </row>
    <row r="5389" spans="1:9">
      <c r="A5389" s="32">
        <v>42046</v>
      </c>
      <c r="B5389">
        <v>21</v>
      </c>
      <c r="C5389">
        <v>5258</v>
      </c>
      <c r="D5389" t="s">
        <v>304</v>
      </c>
      <c r="E5389">
        <f>YEAR(A5389)</f>
        <v>2015</v>
      </c>
      <c r="F5389" s="33">
        <f>DATE(YEAR(A5389),MONTH(A5389),1)</f>
        <v>42036.0</v>
      </c>
      <c r="G5389" t="str">
        <f>CHOOSE(WEEKDAY(A5389,2),"Mon","Tue","Wed","Thu","Fri","Sat","Sun")</f>
        <v>Wed</v>
      </c>
      <c r="H5389" t="str">
        <f>IF(WEEKDAY(A5389,2)&gt;5,"Weekend","Weekday")</f>
        <v>Weekday</v>
      </c>
      <c r="I5389" t="str">
        <f>_xlfn.IFS(B5389&lt;=5,"Night (0-5)",B5389&lt;=9,"Morning peak (6-9)",B5389&lt;=15,"Midday (10-15)",B5389&lt;=19,"Evening peak (16-19)",TRUE,"Late evening (20-23)")</f>
        <v>Late evening (20-23)</v>
      </c>
    </row>
    <row r="5390" spans="1:9">
      <c r="A5390" s="32">
        <v>42046</v>
      </c>
      <c r="B5390">
        <v>22</v>
      </c>
      <c r="C5390">
        <v>4618</v>
      </c>
      <c r="D5390" t="s">
        <v>304</v>
      </c>
      <c r="E5390">
        <f>YEAR(A5390)</f>
        <v>2015</v>
      </c>
      <c r="F5390" s="33">
        <f>DATE(YEAR(A5390),MONTH(A5390),1)</f>
        <v>42036.0</v>
      </c>
      <c r="G5390" t="str">
        <f>CHOOSE(WEEKDAY(A5390,2),"Mon","Tue","Wed","Thu","Fri","Sat","Sun")</f>
        <v>Wed</v>
      </c>
      <c r="H5390" t="str">
        <f>IF(WEEKDAY(A5390,2)&gt;5,"Weekend","Weekday")</f>
        <v>Weekday</v>
      </c>
      <c r="I5390" t="str">
        <f>_xlfn.IFS(B5390&lt;=5,"Night (0-5)",B5390&lt;=9,"Morning peak (6-9)",B5390&lt;=15,"Midday (10-15)",B5390&lt;=19,"Evening peak (16-19)",TRUE,"Late evening (20-23)")</f>
        <v>Late evening (20-23)</v>
      </c>
    </row>
    <row r="5391" spans="1:9">
      <c r="A5391" s="32">
        <v>42046</v>
      </c>
      <c r="B5391">
        <v>23</v>
      </c>
      <c r="C5391">
        <v>3518</v>
      </c>
      <c r="D5391" t="s">
        <v>304</v>
      </c>
      <c r="E5391">
        <f>YEAR(A5391)</f>
        <v>2015</v>
      </c>
      <c r="F5391" s="33">
        <f>DATE(YEAR(A5391),MONTH(A5391),1)</f>
        <v>42036.0</v>
      </c>
      <c r="G5391" t="str">
        <f>CHOOSE(WEEKDAY(A5391,2),"Mon","Tue","Wed","Thu","Fri","Sat","Sun")</f>
        <v>Wed</v>
      </c>
      <c r="H5391" t="str">
        <f>IF(WEEKDAY(A5391,2)&gt;5,"Weekend","Weekday")</f>
        <v>Weekday</v>
      </c>
      <c r="I5391" t="str">
        <f>_xlfn.IFS(B5391&lt;=5,"Night (0-5)",B5391&lt;=9,"Morning peak (6-9)",B5391&lt;=15,"Midday (10-15)",B5391&lt;=19,"Evening peak (16-19)",TRUE,"Late evening (20-23)")</f>
        <v>Late evening (20-23)</v>
      </c>
    </row>
    <row r="5392" spans="1:9">
      <c r="A5392" s="32">
        <v>42047</v>
      </c>
      <c r="B5392">
        <v>0</v>
      </c>
      <c r="C5392">
        <v>2171</v>
      </c>
      <c r="D5392" t="s">
        <v>304</v>
      </c>
      <c r="E5392">
        <f>YEAR(A5392)</f>
        <v>2015</v>
      </c>
      <c r="F5392" s="33">
        <f>DATE(YEAR(A5392),MONTH(A5392),1)</f>
        <v>42036.0</v>
      </c>
      <c r="G5392" t="str">
        <f>CHOOSE(WEEKDAY(A5392,2),"Mon","Tue","Wed","Thu","Fri","Sat","Sun")</f>
        <v>Thu</v>
      </c>
      <c r="H5392" t="str">
        <f>IF(WEEKDAY(A5392,2)&gt;5,"Weekend","Weekday")</f>
        <v>Weekday</v>
      </c>
      <c r="I5392" t="str">
        <f>_xlfn.IFS(B5392&lt;=5,"Night (0-5)",B5392&lt;=9,"Morning peak (6-9)",B5392&lt;=15,"Midday (10-15)",B5392&lt;=19,"Evening peak (16-19)",TRUE,"Late evening (20-23)")</f>
        <v>Night (0-5)</v>
      </c>
    </row>
    <row r="5393" spans="1:9">
      <c r="A5393" s="32">
        <v>42047</v>
      </c>
      <c r="B5393">
        <v>1</v>
      </c>
      <c r="C5393">
        <v>1094</v>
      </c>
      <c r="D5393" t="s">
        <v>304</v>
      </c>
      <c r="E5393">
        <f>YEAR(A5393)</f>
        <v>2015</v>
      </c>
      <c r="F5393" s="33">
        <f>DATE(YEAR(A5393),MONTH(A5393),1)</f>
        <v>42036.0</v>
      </c>
      <c r="G5393" t="str">
        <f>CHOOSE(WEEKDAY(A5393,2),"Mon","Tue","Wed","Thu","Fri","Sat","Sun")</f>
        <v>Thu</v>
      </c>
      <c r="H5393" t="str">
        <f>IF(WEEKDAY(A5393,2)&gt;5,"Weekend","Weekday")</f>
        <v>Weekday</v>
      </c>
      <c r="I5393" t="str">
        <f>_xlfn.IFS(B5393&lt;=5,"Night (0-5)",B5393&lt;=9,"Morning peak (6-9)",B5393&lt;=15,"Midday (10-15)",B5393&lt;=19,"Evening peak (16-19)",TRUE,"Late evening (20-23)")</f>
        <v>Night (0-5)</v>
      </c>
    </row>
    <row r="5394" spans="1:9">
      <c r="A5394" s="32">
        <v>42047</v>
      </c>
      <c r="B5394">
        <v>2</v>
      </c>
      <c r="C5394">
        <v>598</v>
      </c>
      <c r="D5394" t="s">
        <v>304</v>
      </c>
      <c r="E5394">
        <f>YEAR(A5394)</f>
        <v>2015</v>
      </c>
      <c r="F5394" s="33">
        <f>DATE(YEAR(A5394),MONTH(A5394),1)</f>
        <v>42036.0</v>
      </c>
      <c r="G5394" t="str">
        <f>CHOOSE(WEEKDAY(A5394,2),"Mon","Tue","Wed","Thu","Fri","Sat","Sun")</f>
        <v>Thu</v>
      </c>
      <c r="H5394" t="str">
        <f>IF(WEEKDAY(A5394,2)&gt;5,"Weekend","Weekday")</f>
        <v>Weekday</v>
      </c>
      <c r="I5394" t="str">
        <f>_xlfn.IFS(B5394&lt;=5,"Night (0-5)",B5394&lt;=9,"Morning peak (6-9)",B5394&lt;=15,"Midday (10-15)",B5394&lt;=19,"Evening peak (16-19)",TRUE,"Late evening (20-23)")</f>
        <v>Night (0-5)</v>
      </c>
    </row>
    <row r="5395" spans="1:9">
      <c r="A5395" s="32">
        <v>42047</v>
      </c>
      <c r="B5395">
        <v>3</v>
      </c>
      <c r="C5395">
        <v>468</v>
      </c>
      <c r="D5395" t="s">
        <v>304</v>
      </c>
      <c r="E5395">
        <f>YEAR(A5395)</f>
        <v>2015</v>
      </c>
      <c r="F5395" s="33">
        <f>DATE(YEAR(A5395),MONTH(A5395),1)</f>
        <v>42036.0</v>
      </c>
      <c r="G5395" t="str">
        <f>CHOOSE(WEEKDAY(A5395,2),"Mon","Tue","Wed","Thu","Fri","Sat","Sun")</f>
        <v>Thu</v>
      </c>
      <c r="H5395" t="str">
        <f>IF(WEEKDAY(A5395,2)&gt;5,"Weekend","Weekday")</f>
        <v>Weekday</v>
      </c>
      <c r="I5395" t="str">
        <f>_xlfn.IFS(B5395&lt;=5,"Night (0-5)",B5395&lt;=9,"Morning peak (6-9)",B5395&lt;=15,"Midday (10-15)",B5395&lt;=19,"Evening peak (16-19)",TRUE,"Late evening (20-23)")</f>
        <v>Night (0-5)</v>
      </c>
    </row>
    <row r="5396" spans="1:9">
      <c r="A5396" s="32">
        <v>42047</v>
      </c>
      <c r="B5396">
        <v>4</v>
      </c>
      <c r="C5396">
        <v>681</v>
      </c>
      <c r="D5396" t="s">
        <v>304</v>
      </c>
      <c r="E5396">
        <f>YEAR(A5396)</f>
        <v>2015</v>
      </c>
      <c r="F5396" s="33">
        <f>DATE(YEAR(A5396),MONTH(A5396),1)</f>
        <v>42036.0</v>
      </c>
      <c r="G5396" t="str">
        <f>CHOOSE(WEEKDAY(A5396,2),"Mon","Tue","Wed","Thu","Fri","Sat","Sun")</f>
        <v>Thu</v>
      </c>
      <c r="H5396" t="str">
        <f>IF(WEEKDAY(A5396,2)&gt;5,"Weekend","Weekday")</f>
        <v>Weekday</v>
      </c>
      <c r="I5396" t="str">
        <f>_xlfn.IFS(B5396&lt;=5,"Night (0-5)",B5396&lt;=9,"Morning peak (6-9)",B5396&lt;=15,"Midday (10-15)",B5396&lt;=19,"Evening peak (16-19)",TRUE,"Late evening (20-23)")</f>
        <v>Night (0-5)</v>
      </c>
    </row>
    <row r="5397" spans="1:9">
      <c r="A5397" s="32">
        <v>42047</v>
      </c>
      <c r="B5397">
        <v>5</v>
      </c>
      <c r="C5397">
        <v>1030</v>
      </c>
      <c r="D5397" t="s">
        <v>304</v>
      </c>
      <c r="E5397">
        <f>YEAR(A5397)</f>
        <v>2015</v>
      </c>
      <c r="F5397" s="33">
        <f>DATE(YEAR(A5397),MONTH(A5397),1)</f>
        <v>42036.0</v>
      </c>
      <c r="G5397" t="str">
        <f>CHOOSE(WEEKDAY(A5397,2),"Mon","Tue","Wed","Thu","Fri","Sat","Sun")</f>
        <v>Thu</v>
      </c>
      <c r="H5397" t="str">
        <f>IF(WEEKDAY(A5397,2)&gt;5,"Weekend","Weekday")</f>
        <v>Weekday</v>
      </c>
      <c r="I5397" t="str">
        <f>_xlfn.IFS(B5397&lt;=5,"Night (0-5)",B5397&lt;=9,"Morning peak (6-9)",B5397&lt;=15,"Midday (10-15)",B5397&lt;=19,"Evening peak (16-19)",TRUE,"Late evening (20-23)")</f>
        <v>Night (0-5)</v>
      </c>
    </row>
    <row r="5398" spans="1:9">
      <c r="A5398" s="32">
        <v>42047</v>
      </c>
      <c r="B5398">
        <v>6</v>
      </c>
      <c r="C5398">
        <v>1929</v>
      </c>
      <c r="D5398" t="s">
        <v>304</v>
      </c>
      <c r="E5398">
        <f>YEAR(A5398)</f>
        <v>2015</v>
      </c>
      <c r="F5398" s="33">
        <f>DATE(YEAR(A5398),MONTH(A5398),1)</f>
        <v>42036.0</v>
      </c>
      <c r="G5398" t="str">
        <f>CHOOSE(WEEKDAY(A5398,2),"Mon","Tue","Wed","Thu","Fri","Sat","Sun")</f>
        <v>Thu</v>
      </c>
      <c r="H5398" t="str">
        <f>IF(WEEKDAY(A5398,2)&gt;5,"Weekend","Weekday")</f>
        <v>Weekday</v>
      </c>
      <c r="I5398" t="str">
        <f>_xlfn.IFS(B5398&lt;=5,"Night (0-5)",B5398&lt;=9,"Morning peak (6-9)",B5398&lt;=15,"Midday (10-15)",B5398&lt;=19,"Evening peak (16-19)",TRUE,"Late evening (20-23)")</f>
        <v>Morning peak (6-9)</v>
      </c>
    </row>
    <row r="5399" spans="1:9">
      <c r="A5399" s="32">
        <v>42047</v>
      </c>
      <c r="B5399">
        <v>7</v>
      </c>
      <c r="C5399">
        <v>3329</v>
      </c>
      <c r="D5399" t="s">
        <v>304</v>
      </c>
      <c r="E5399">
        <f>YEAR(A5399)</f>
        <v>2015</v>
      </c>
      <c r="F5399" s="33">
        <f>DATE(YEAR(A5399),MONTH(A5399),1)</f>
        <v>42036.0</v>
      </c>
      <c r="G5399" t="str">
        <f>CHOOSE(WEEKDAY(A5399,2),"Mon","Tue","Wed","Thu","Fri","Sat","Sun")</f>
        <v>Thu</v>
      </c>
      <c r="H5399" t="str">
        <f>IF(WEEKDAY(A5399,2)&gt;5,"Weekend","Weekday")</f>
        <v>Weekday</v>
      </c>
      <c r="I5399" t="str">
        <f>_xlfn.IFS(B5399&lt;=5,"Night (0-5)",B5399&lt;=9,"Morning peak (6-9)",B5399&lt;=15,"Midday (10-15)",B5399&lt;=19,"Evening peak (16-19)",TRUE,"Late evening (20-23)")</f>
        <v>Morning peak (6-9)</v>
      </c>
    </row>
    <row r="5400" spans="1:9">
      <c r="A5400" s="32">
        <v>42047</v>
      </c>
      <c r="B5400">
        <v>8</v>
      </c>
      <c r="C5400">
        <v>4246</v>
      </c>
      <c r="D5400" t="s">
        <v>304</v>
      </c>
      <c r="E5400">
        <f>YEAR(A5400)</f>
        <v>2015</v>
      </c>
      <c r="F5400" s="33">
        <f>DATE(YEAR(A5400),MONTH(A5400),1)</f>
        <v>42036.0</v>
      </c>
      <c r="G5400" t="str">
        <f>CHOOSE(WEEKDAY(A5400,2),"Mon","Tue","Wed","Thu","Fri","Sat","Sun")</f>
        <v>Thu</v>
      </c>
      <c r="H5400" t="str">
        <f>IF(WEEKDAY(A5400,2)&gt;5,"Weekend","Weekday")</f>
        <v>Weekday</v>
      </c>
      <c r="I5400" t="str">
        <f>_xlfn.IFS(B5400&lt;=5,"Night (0-5)",B5400&lt;=9,"Morning peak (6-9)",B5400&lt;=15,"Midday (10-15)",B5400&lt;=19,"Evening peak (16-19)",TRUE,"Late evening (20-23)")</f>
        <v>Morning peak (6-9)</v>
      </c>
    </row>
    <row r="5401" spans="1:9">
      <c r="A5401" s="32">
        <v>42047</v>
      </c>
      <c r="B5401">
        <v>9</v>
      </c>
      <c r="C5401">
        <v>3863</v>
      </c>
      <c r="D5401" t="s">
        <v>304</v>
      </c>
      <c r="E5401">
        <f>YEAR(A5401)</f>
        <v>2015</v>
      </c>
      <c r="F5401" s="33">
        <f>DATE(YEAR(A5401),MONTH(A5401),1)</f>
        <v>42036.0</v>
      </c>
      <c r="G5401" t="str">
        <f>CHOOSE(WEEKDAY(A5401,2),"Mon","Tue","Wed","Thu","Fri","Sat","Sun")</f>
        <v>Thu</v>
      </c>
      <c r="H5401" t="str">
        <f>IF(WEEKDAY(A5401,2)&gt;5,"Weekend","Weekday")</f>
        <v>Weekday</v>
      </c>
      <c r="I5401" t="str">
        <f>_xlfn.IFS(B5401&lt;=5,"Night (0-5)",B5401&lt;=9,"Morning peak (6-9)",B5401&lt;=15,"Midday (10-15)",B5401&lt;=19,"Evening peak (16-19)",TRUE,"Late evening (20-23)")</f>
        <v>Morning peak (6-9)</v>
      </c>
    </row>
    <row r="5402" spans="1:9">
      <c r="A5402" s="32">
        <v>42047</v>
      </c>
      <c r="B5402">
        <v>10</v>
      </c>
      <c r="C5402">
        <v>2935</v>
      </c>
      <c r="D5402" t="s">
        <v>304</v>
      </c>
      <c r="E5402">
        <f>YEAR(A5402)</f>
        <v>2015</v>
      </c>
      <c r="F5402" s="33">
        <f>DATE(YEAR(A5402),MONTH(A5402),1)</f>
        <v>42036.0</v>
      </c>
      <c r="G5402" t="str">
        <f>CHOOSE(WEEKDAY(A5402,2),"Mon","Tue","Wed","Thu","Fri","Sat","Sun")</f>
        <v>Thu</v>
      </c>
      <c r="H5402" t="str">
        <f>IF(WEEKDAY(A5402,2)&gt;5,"Weekend","Weekday")</f>
        <v>Weekday</v>
      </c>
      <c r="I5402" t="str">
        <f>_xlfn.IFS(B5402&lt;=5,"Night (0-5)",B5402&lt;=9,"Morning peak (6-9)",B5402&lt;=15,"Midday (10-15)",B5402&lt;=19,"Evening peak (16-19)",TRUE,"Late evening (20-23)")</f>
        <v>Midday (10-15)</v>
      </c>
    </row>
    <row r="5403" spans="1:9">
      <c r="A5403" s="32">
        <v>42047</v>
      </c>
      <c r="B5403">
        <v>11</v>
      </c>
      <c r="C5403">
        <v>2512</v>
      </c>
      <c r="D5403" t="s">
        <v>304</v>
      </c>
      <c r="E5403">
        <f>YEAR(A5403)</f>
        <v>2015</v>
      </c>
      <c r="F5403" s="33">
        <f>DATE(YEAR(A5403),MONTH(A5403),1)</f>
        <v>42036.0</v>
      </c>
      <c r="G5403" t="str">
        <f>CHOOSE(WEEKDAY(A5403,2),"Mon","Tue","Wed","Thu","Fri","Sat","Sun")</f>
        <v>Thu</v>
      </c>
      <c r="H5403" t="str">
        <f>IF(WEEKDAY(A5403,2)&gt;5,"Weekend","Weekday")</f>
        <v>Weekday</v>
      </c>
      <c r="I5403" t="str">
        <f>_xlfn.IFS(B5403&lt;=5,"Night (0-5)",B5403&lt;=9,"Morning peak (6-9)",B5403&lt;=15,"Midday (10-15)",B5403&lt;=19,"Evening peak (16-19)",TRUE,"Late evening (20-23)")</f>
        <v>Midday (10-15)</v>
      </c>
    </row>
    <row r="5404" spans="1:9">
      <c r="A5404" s="32">
        <v>42047</v>
      </c>
      <c r="B5404">
        <v>12</v>
      </c>
      <c r="C5404">
        <v>2634</v>
      </c>
      <c r="D5404" t="s">
        <v>304</v>
      </c>
      <c r="E5404">
        <f>YEAR(A5404)</f>
        <v>2015</v>
      </c>
      <c r="F5404" s="33">
        <f>DATE(YEAR(A5404),MONTH(A5404),1)</f>
        <v>42036.0</v>
      </c>
      <c r="G5404" t="str">
        <f>CHOOSE(WEEKDAY(A5404,2),"Mon","Tue","Wed","Thu","Fri","Sat","Sun")</f>
        <v>Thu</v>
      </c>
      <c r="H5404" t="str">
        <f>IF(WEEKDAY(A5404,2)&gt;5,"Weekend","Weekday")</f>
        <v>Weekday</v>
      </c>
      <c r="I5404" t="str">
        <f>_xlfn.IFS(B5404&lt;=5,"Night (0-5)",B5404&lt;=9,"Morning peak (6-9)",B5404&lt;=15,"Midday (10-15)",B5404&lt;=19,"Evening peak (16-19)",TRUE,"Late evening (20-23)")</f>
        <v>Midday (10-15)</v>
      </c>
    </row>
    <row r="5405" spans="1:9">
      <c r="A5405" s="32">
        <v>42047</v>
      </c>
      <c r="B5405">
        <v>13</v>
      </c>
      <c r="C5405">
        <v>2776</v>
      </c>
      <c r="D5405" t="s">
        <v>304</v>
      </c>
      <c r="E5405">
        <f>YEAR(A5405)</f>
        <v>2015</v>
      </c>
      <c r="F5405" s="33">
        <f>DATE(YEAR(A5405),MONTH(A5405),1)</f>
        <v>42036.0</v>
      </c>
      <c r="G5405" t="str">
        <f>CHOOSE(WEEKDAY(A5405,2),"Mon","Tue","Wed","Thu","Fri","Sat","Sun")</f>
        <v>Thu</v>
      </c>
      <c r="H5405" t="str">
        <f>IF(WEEKDAY(A5405,2)&gt;5,"Weekend","Weekday")</f>
        <v>Weekday</v>
      </c>
      <c r="I5405" t="str">
        <f>_xlfn.IFS(B5405&lt;=5,"Night (0-5)",B5405&lt;=9,"Morning peak (6-9)",B5405&lt;=15,"Midday (10-15)",B5405&lt;=19,"Evening peak (16-19)",TRUE,"Late evening (20-23)")</f>
        <v>Midday (10-15)</v>
      </c>
    </row>
    <row r="5406" spans="1:9">
      <c r="A5406" s="32">
        <v>42047</v>
      </c>
      <c r="B5406">
        <v>14</v>
      </c>
      <c r="C5406">
        <v>3145</v>
      </c>
      <c r="D5406" t="s">
        <v>304</v>
      </c>
      <c r="E5406">
        <f>YEAR(A5406)</f>
        <v>2015</v>
      </c>
      <c r="F5406" s="33">
        <f>DATE(YEAR(A5406),MONTH(A5406),1)</f>
        <v>42036.0</v>
      </c>
      <c r="G5406" t="str">
        <f>CHOOSE(WEEKDAY(A5406,2),"Mon","Tue","Wed","Thu","Fri","Sat","Sun")</f>
        <v>Thu</v>
      </c>
      <c r="H5406" t="str">
        <f>IF(WEEKDAY(A5406,2)&gt;5,"Weekend","Weekday")</f>
        <v>Weekday</v>
      </c>
      <c r="I5406" t="str">
        <f>_xlfn.IFS(B5406&lt;=5,"Night (0-5)",B5406&lt;=9,"Morning peak (6-9)",B5406&lt;=15,"Midday (10-15)",B5406&lt;=19,"Evening peak (16-19)",TRUE,"Late evening (20-23)")</f>
        <v>Midday (10-15)</v>
      </c>
    </row>
    <row r="5407" spans="1:9">
      <c r="A5407" s="32">
        <v>42047</v>
      </c>
      <c r="B5407">
        <v>15</v>
      </c>
      <c r="C5407">
        <v>4044</v>
      </c>
      <c r="D5407" t="s">
        <v>304</v>
      </c>
      <c r="E5407">
        <f>YEAR(A5407)</f>
        <v>2015</v>
      </c>
      <c r="F5407" s="33">
        <f>DATE(YEAR(A5407),MONTH(A5407),1)</f>
        <v>42036.0</v>
      </c>
      <c r="G5407" t="str">
        <f>CHOOSE(WEEKDAY(A5407,2),"Mon","Tue","Wed","Thu","Fri","Sat","Sun")</f>
        <v>Thu</v>
      </c>
      <c r="H5407" t="str">
        <f>IF(WEEKDAY(A5407,2)&gt;5,"Weekend","Weekday")</f>
        <v>Weekday</v>
      </c>
      <c r="I5407" t="str">
        <f>_xlfn.IFS(B5407&lt;=5,"Night (0-5)",B5407&lt;=9,"Morning peak (6-9)",B5407&lt;=15,"Midday (10-15)",B5407&lt;=19,"Evening peak (16-19)",TRUE,"Late evening (20-23)")</f>
        <v>Midday (10-15)</v>
      </c>
    </row>
    <row r="5408" spans="1:9">
      <c r="A5408" s="32">
        <v>42047</v>
      </c>
      <c r="B5408">
        <v>16</v>
      </c>
      <c r="C5408">
        <v>4480</v>
      </c>
      <c r="D5408" t="s">
        <v>304</v>
      </c>
      <c r="E5408">
        <f>YEAR(A5408)</f>
        <v>2015</v>
      </c>
      <c r="F5408" s="33">
        <f>DATE(YEAR(A5408),MONTH(A5408),1)</f>
        <v>42036.0</v>
      </c>
      <c r="G5408" t="str">
        <f>CHOOSE(WEEKDAY(A5408,2),"Mon","Tue","Wed","Thu","Fri","Sat","Sun")</f>
        <v>Thu</v>
      </c>
      <c r="H5408" t="str">
        <f>IF(WEEKDAY(A5408,2)&gt;5,"Weekend","Weekday")</f>
        <v>Weekday</v>
      </c>
      <c r="I5408" t="str">
        <f>_xlfn.IFS(B5408&lt;=5,"Night (0-5)",B5408&lt;=9,"Morning peak (6-9)",B5408&lt;=15,"Midday (10-15)",B5408&lt;=19,"Evening peak (16-19)",TRUE,"Late evening (20-23)")</f>
        <v>Evening peak (16-19)</v>
      </c>
    </row>
    <row r="5409" spans="1:9">
      <c r="A5409" s="32">
        <v>42047</v>
      </c>
      <c r="B5409">
        <v>17</v>
      </c>
      <c r="C5409">
        <v>5216</v>
      </c>
      <c r="D5409" t="s">
        <v>304</v>
      </c>
      <c r="E5409">
        <f>YEAR(A5409)</f>
        <v>2015</v>
      </c>
      <c r="F5409" s="33">
        <f>DATE(YEAR(A5409),MONTH(A5409),1)</f>
        <v>42036.0</v>
      </c>
      <c r="G5409" t="str">
        <f>CHOOSE(WEEKDAY(A5409,2),"Mon","Tue","Wed","Thu","Fri","Sat","Sun")</f>
        <v>Thu</v>
      </c>
      <c r="H5409" t="str">
        <f>IF(WEEKDAY(A5409,2)&gt;5,"Weekend","Weekday")</f>
        <v>Weekday</v>
      </c>
      <c r="I5409" t="str">
        <f>_xlfn.IFS(B5409&lt;=5,"Night (0-5)",B5409&lt;=9,"Morning peak (6-9)",B5409&lt;=15,"Midday (10-15)",B5409&lt;=19,"Evening peak (16-19)",TRUE,"Late evening (20-23)")</f>
        <v>Evening peak (16-19)</v>
      </c>
    </row>
    <row r="5410" spans="1:9">
      <c r="A5410" s="32">
        <v>42047</v>
      </c>
      <c r="B5410">
        <v>18</v>
      </c>
      <c r="C5410">
        <v>6114</v>
      </c>
      <c r="D5410" t="s">
        <v>304</v>
      </c>
      <c r="E5410">
        <f>YEAR(A5410)</f>
        <v>2015</v>
      </c>
      <c r="F5410" s="33">
        <f>DATE(YEAR(A5410),MONTH(A5410),1)</f>
        <v>42036.0</v>
      </c>
      <c r="G5410" t="str">
        <f>CHOOSE(WEEKDAY(A5410,2),"Mon","Tue","Wed","Thu","Fri","Sat","Sun")</f>
        <v>Thu</v>
      </c>
      <c r="H5410" t="str">
        <f>IF(WEEKDAY(A5410,2)&gt;5,"Weekend","Weekday")</f>
        <v>Weekday</v>
      </c>
      <c r="I5410" t="str">
        <f>_xlfn.IFS(B5410&lt;=5,"Night (0-5)",B5410&lt;=9,"Morning peak (6-9)",B5410&lt;=15,"Midday (10-15)",B5410&lt;=19,"Evening peak (16-19)",TRUE,"Late evening (20-23)")</f>
        <v>Evening peak (16-19)</v>
      </c>
    </row>
    <row r="5411" spans="1:9">
      <c r="A5411" s="32">
        <v>42047</v>
      </c>
      <c r="B5411">
        <v>19</v>
      </c>
      <c r="C5411">
        <v>6697</v>
      </c>
      <c r="D5411" t="s">
        <v>304</v>
      </c>
      <c r="E5411">
        <f>YEAR(A5411)</f>
        <v>2015</v>
      </c>
      <c r="F5411" s="33">
        <f>DATE(YEAR(A5411),MONTH(A5411),1)</f>
        <v>42036.0</v>
      </c>
      <c r="G5411" t="str">
        <f>CHOOSE(WEEKDAY(A5411,2),"Mon","Tue","Wed","Thu","Fri","Sat","Sun")</f>
        <v>Thu</v>
      </c>
      <c r="H5411" t="str">
        <f>IF(WEEKDAY(A5411,2)&gt;5,"Weekend","Weekday")</f>
        <v>Weekday</v>
      </c>
      <c r="I5411" t="str">
        <f>_xlfn.IFS(B5411&lt;=5,"Night (0-5)",B5411&lt;=9,"Morning peak (6-9)",B5411&lt;=15,"Midday (10-15)",B5411&lt;=19,"Evening peak (16-19)",TRUE,"Late evening (20-23)")</f>
        <v>Evening peak (16-19)</v>
      </c>
    </row>
    <row r="5412" spans="1:9">
      <c r="A5412" s="32">
        <v>42047</v>
      </c>
      <c r="B5412">
        <v>20</v>
      </c>
      <c r="C5412">
        <v>6419</v>
      </c>
      <c r="D5412" t="s">
        <v>304</v>
      </c>
      <c r="E5412">
        <f>YEAR(A5412)</f>
        <v>2015</v>
      </c>
      <c r="F5412" s="33">
        <f>DATE(YEAR(A5412),MONTH(A5412),1)</f>
        <v>42036.0</v>
      </c>
      <c r="G5412" t="str">
        <f>CHOOSE(WEEKDAY(A5412,2),"Mon","Tue","Wed","Thu","Fri","Sat","Sun")</f>
        <v>Thu</v>
      </c>
      <c r="H5412" t="str">
        <f>IF(WEEKDAY(A5412,2)&gt;5,"Weekend","Weekday")</f>
        <v>Weekday</v>
      </c>
      <c r="I5412" t="str">
        <f>_xlfn.IFS(B5412&lt;=5,"Night (0-5)",B5412&lt;=9,"Morning peak (6-9)",B5412&lt;=15,"Midday (10-15)",B5412&lt;=19,"Evening peak (16-19)",TRUE,"Late evening (20-23)")</f>
        <v>Late evening (20-23)</v>
      </c>
    </row>
    <row r="5413" spans="1:9">
      <c r="A5413" s="32">
        <v>42047</v>
      </c>
      <c r="B5413">
        <v>21</v>
      </c>
      <c r="C5413">
        <v>6515</v>
      </c>
      <c r="D5413" t="s">
        <v>304</v>
      </c>
      <c r="E5413">
        <f>YEAR(A5413)</f>
        <v>2015</v>
      </c>
      <c r="F5413" s="33">
        <f>DATE(YEAR(A5413),MONTH(A5413),1)</f>
        <v>42036.0</v>
      </c>
      <c r="G5413" t="str">
        <f>CHOOSE(WEEKDAY(A5413,2),"Mon","Tue","Wed","Thu","Fri","Sat","Sun")</f>
        <v>Thu</v>
      </c>
      <c r="H5413" t="str">
        <f>IF(WEEKDAY(A5413,2)&gt;5,"Weekend","Weekday")</f>
        <v>Weekday</v>
      </c>
      <c r="I5413" t="str">
        <f>_xlfn.IFS(B5413&lt;=5,"Night (0-5)",B5413&lt;=9,"Morning peak (6-9)",B5413&lt;=15,"Midday (10-15)",B5413&lt;=19,"Evening peak (16-19)",TRUE,"Late evening (20-23)")</f>
        <v>Late evening (20-23)</v>
      </c>
    </row>
    <row r="5414" spans="1:9">
      <c r="A5414" s="32">
        <v>42047</v>
      </c>
      <c r="B5414">
        <v>22</v>
      </c>
      <c r="C5414">
        <v>6411</v>
      </c>
      <c r="D5414" t="s">
        <v>304</v>
      </c>
      <c r="E5414">
        <f>YEAR(A5414)</f>
        <v>2015</v>
      </c>
      <c r="F5414" s="33">
        <f>DATE(YEAR(A5414),MONTH(A5414),1)</f>
        <v>42036.0</v>
      </c>
      <c r="G5414" t="str">
        <f>CHOOSE(WEEKDAY(A5414,2),"Mon","Tue","Wed","Thu","Fri","Sat","Sun")</f>
        <v>Thu</v>
      </c>
      <c r="H5414" t="str">
        <f>IF(WEEKDAY(A5414,2)&gt;5,"Weekend","Weekday")</f>
        <v>Weekday</v>
      </c>
      <c r="I5414" t="str">
        <f>_xlfn.IFS(B5414&lt;=5,"Night (0-5)",B5414&lt;=9,"Morning peak (6-9)",B5414&lt;=15,"Midday (10-15)",B5414&lt;=19,"Evening peak (16-19)",TRUE,"Late evening (20-23)")</f>
        <v>Late evening (20-23)</v>
      </c>
    </row>
    <row r="5415" spans="1:9">
      <c r="A5415" s="32">
        <v>42047</v>
      </c>
      <c r="B5415">
        <v>23</v>
      </c>
      <c r="C5415">
        <v>5444</v>
      </c>
      <c r="D5415" t="s">
        <v>304</v>
      </c>
      <c r="E5415">
        <f>YEAR(A5415)</f>
        <v>2015</v>
      </c>
      <c r="F5415" s="33">
        <f>DATE(YEAR(A5415),MONTH(A5415),1)</f>
        <v>42036.0</v>
      </c>
      <c r="G5415" t="str">
        <f>CHOOSE(WEEKDAY(A5415,2),"Mon","Tue","Wed","Thu","Fri","Sat","Sun")</f>
        <v>Thu</v>
      </c>
      <c r="H5415" t="str">
        <f>IF(WEEKDAY(A5415,2)&gt;5,"Weekend","Weekday")</f>
        <v>Weekday</v>
      </c>
      <c r="I5415" t="str">
        <f>_xlfn.IFS(B5415&lt;=5,"Night (0-5)",B5415&lt;=9,"Morning peak (6-9)",B5415&lt;=15,"Midday (10-15)",B5415&lt;=19,"Evening peak (16-19)",TRUE,"Late evening (20-23)")</f>
        <v>Late evening (20-23)</v>
      </c>
    </row>
    <row r="5416" spans="1:9">
      <c r="A5416" s="32">
        <v>42048</v>
      </c>
      <c r="B5416">
        <v>0</v>
      </c>
      <c r="C5416">
        <v>3568</v>
      </c>
      <c r="D5416" t="s">
        <v>304</v>
      </c>
      <c r="E5416">
        <f>YEAR(A5416)</f>
        <v>2015</v>
      </c>
      <c r="F5416" s="33">
        <f>DATE(YEAR(A5416),MONTH(A5416),1)</f>
        <v>42036.0</v>
      </c>
      <c r="G5416" t="str">
        <f>CHOOSE(WEEKDAY(A5416,2),"Mon","Tue","Wed","Thu","Fri","Sat","Sun")</f>
        <v>Fri</v>
      </c>
      <c r="H5416" t="str">
        <f>IF(WEEKDAY(A5416,2)&gt;5,"Weekend","Weekday")</f>
        <v>Weekday</v>
      </c>
      <c r="I5416" t="str">
        <f>_xlfn.IFS(B5416&lt;=5,"Night (0-5)",B5416&lt;=9,"Morning peak (6-9)",B5416&lt;=15,"Midday (10-15)",B5416&lt;=19,"Evening peak (16-19)",TRUE,"Late evening (20-23)")</f>
        <v>Night (0-5)</v>
      </c>
    </row>
    <row r="5417" spans="1:9">
      <c r="A5417" s="32">
        <v>42048</v>
      </c>
      <c r="B5417">
        <v>1</v>
      </c>
      <c r="C5417">
        <v>2057</v>
      </c>
      <c r="D5417" t="s">
        <v>304</v>
      </c>
      <c r="E5417">
        <f>YEAR(A5417)</f>
        <v>2015</v>
      </c>
      <c r="F5417" s="33">
        <f>DATE(YEAR(A5417),MONTH(A5417),1)</f>
        <v>42036.0</v>
      </c>
      <c r="G5417" t="str">
        <f>CHOOSE(WEEKDAY(A5417,2),"Mon","Tue","Wed","Thu","Fri","Sat","Sun")</f>
        <v>Fri</v>
      </c>
      <c r="H5417" t="str">
        <f>IF(WEEKDAY(A5417,2)&gt;5,"Weekend","Weekday")</f>
        <v>Weekday</v>
      </c>
      <c r="I5417" t="str">
        <f>_xlfn.IFS(B5417&lt;=5,"Night (0-5)",B5417&lt;=9,"Morning peak (6-9)",B5417&lt;=15,"Midday (10-15)",B5417&lt;=19,"Evening peak (16-19)",TRUE,"Late evening (20-23)")</f>
        <v>Night (0-5)</v>
      </c>
    </row>
    <row r="5418" spans="1:9">
      <c r="A5418" s="32">
        <v>42048</v>
      </c>
      <c r="B5418">
        <v>2</v>
      </c>
      <c r="C5418">
        <v>1307</v>
      </c>
      <c r="D5418" t="s">
        <v>304</v>
      </c>
      <c r="E5418">
        <f>YEAR(A5418)</f>
        <v>2015</v>
      </c>
      <c r="F5418" s="33">
        <f>DATE(YEAR(A5418),MONTH(A5418),1)</f>
        <v>42036.0</v>
      </c>
      <c r="G5418" t="str">
        <f>CHOOSE(WEEKDAY(A5418,2),"Mon","Tue","Wed","Thu","Fri","Sat","Sun")</f>
        <v>Fri</v>
      </c>
      <c r="H5418" t="str">
        <f>IF(WEEKDAY(A5418,2)&gt;5,"Weekend","Weekday")</f>
        <v>Weekday</v>
      </c>
      <c r="I5418" t="str">
        <f>_xlfn.IFS(B5418&lt;=5,"Night (0-5)",B5418&lt;=9,"Morning peak (6-9)",B5418&lt;=15,"Midday (10-15)",B5418&lt;=19,"Evening peak (16-19)",TRUE,"Late evening (20-23)")</f>
        <v>Night (0-5)</v>
      </c>
    </row>
    <row r="5419" spans="1:9">
      <c r="A5419" s="32">
        <v>42048</v>
      </c>
      <c r="B5419">
        <v>3</v>
      </c>
      <c r="C5419">
        <v>876</v>
      </c>
      <c r="D5419" t="s">
        <v>304</v>
      </c>
      <c r="E5419">
        <f>YEAR(A5419)</f>
        <v>2015</v>
      </c>
      <c r="F5419" s="33">
        <f>DATE(YEAR(A5419),MONTH(A5419),1)</f>
        <v>42036.0</v>
      </c>
      <c r="G5419" t="str">
        <f>CHOOSE(WEEKDAY(A5419,2),"Mon","Tue","Wed","Thu","Fri","Sat","Sun")</f>
        <v>Fri</v>
      </c>
      <c r="H5419" t="str">
        <f>IF(WEEKDAY(A5419,2)&gt;5,"Weekend","Weekday")</f>
        <v>Weekday</v>
      </c>
      <c r="I5419" t="str">
        <f>_xlfn.IFS(B5419&lt;=5,"Night (0-5)",B5419&lt;=9,"Morning peak (6-9)",B5419&lt;=15,"Midday (10-15)",B5419&lt;=19,"Evening peak (16-19)",TRUE,"Late evening (20-23)")</f>
        <v>Night (0-5)</v>
      </c>
    </row>
    <row r="5420" spans="1:9">
      <c r="A5420" s="32">
        <v>42048</v>
      </c>
      <c r="B5420">
        <v>4</v>
      </c>
      <c r="C5420">
        <v>1003</v>
      </c>
      <c r="D5420" t="s">
        <v>304</v>
      </c>
      <c r="E5420">
        <f>YEAR(A5420)</f>
        <v>2015</v>
      </c>
      <c r="F5420" s="33">
        <f>DATE(YEAR(A5420),MONTH(A5420),1)</f>
        <v>42036.0</v>
      </c>
      <c r="G5420" t="str">
        <f>CHOOSE(WEEKDAY(A5420,2),"Mon","Tue","Wed","Thu","Fri","Sat","Sun")</f>
        <v>Fri</v>
      </c>
      <c r="H5420" t="str">
        <f>IF(WEEKDAY(A5420,2)&gt;5,"Weekend","Weekday")</f>
        <v>Weekday</v>
      </c>
      <c r="I5420" t="str">
        <f>_xlfn.IFS(B5420&lt;=5,"Night (0-5)",B5420&lt;=9,"Morning peak (6-9)",B5420&lt;=15,"Midday (10-15)",B5420&lt;=19,"Evening peak (16-19)",TRUE,"Late evening (20-23)")</f>
        <v>Night (0-5)</v>
      </c>
    </row>
    <row r="5421" spans="1:9">
      <c r="A5421" s="32">
        <v>42048</v>
      </c>
      <c r="B5421">
        <v>5</v>
      </c>
      <c r="C5421">
        <v>1255</v>
      </c>
      <c r="D5421" t="s">
        <v>304</v>
      </c>
      <c r="E5421">
        <f>YEAR(A5421)</f>
        <v>2015</v>
      </c>
      <c r="F5421" s="33">
        <f>DATE(YEAR(A5421),MONTH(A5421),1)</f>
        <v>42036.0</v>
      </c>
      <c r="G5421" t="str">
        <f>CHOOSE(WEEKDAY(A5421,2),"Mon","Tue","Wed","Thu","Fri","Sat","Sun")</f>
        <v>Fri</v>
      </c>
      <c r="H5421" t="str">
        <f>IF(WEEKDAY(A5421,2)&gt;5,"Weekend","Weekday")</f>
        <v>Weekday</v>
      </c>
      <c r="I5421" t="str">
        <f>_xlfn.IFS(B5421&lt;=5,"Night (0-5)",B5421&lt;=9,"Morning peak (6-9)",B5421&lt;=15,"Midday (10-15)",B5421&lt;=19,"Evening peak (16-19)",TRUE,"Late evening (20-23)")</f>
        <v>Night (0-5)</v>
      </c>
    </row>
    <row r="5422" spans="1:9">
      <c r="A5422" s="32">
        <v>42048</v>
      </c>
      <c r="B5422">
        <v>6</v>
      </c>
      <c r="C5422">
        <v>1914</v>
      </c>
      <c r="D5422" t="s">
        <v>304</v>
      </c>
      <c r="E5422">
        <f>YEAR(A5422)</f>
        <v>2015</v>
      </c>
      <c r="F5422" s="33">
        <f>DATE(YEAR(A5422),MONTH(A5422),1)</f>
        <v>42036.0</v>
      </c>
      <c r="G5422" t="str">
        <f>CHOOSE(WEEKDAY(A5422,2),"Mon","Tue","Wed","Thu","Fri","Sat","Sun")</f>
        <v>Fri</v>
      </c>
      <c r="H5422" t="str">
        <f>IF(WEEKDAY(A5422,2)&gt;5,"Weekend","Weekday")</f>
        <v>Weekday</v>
      </c>
      <c r="I5422" t="str">
        <f>_xlfn.IFS(B5422&lt;=5,"Night (0-5)",B5422&lt;=9,"Morning peak (6-9)",B5422&lt;=15,"Midday (10-15)",B5422&lt;=19,"Evening peak (16-19)",TRUE,"Late evening (20-23)")</f>
        <v>Morning peak (6-9)</v>
      </c>
    </row>
    <row r="5423" spans="1:9">
      <c r="A5423" s="32">
        <v>42048</v>
      </c>
      <c r="B5423">
        <v>7</v>
      </c>
      <c r="C5423">
        <v>3317</v>
      </c>
      <c r="D5423" t="s">
        <v>304</v>
      </c>
      <c r="E5423">
        <f>YEAR(A5423)</f>
        <v>2015</v>
      </c>
      <c r="F5423" s="33">
        <f>DATE(YEAR(A5423),MONTH(A5423),1)</f>
        <v>42036.0</v>
      </c>
      <c r="G5423" t="str">
        <f>CHOOSE(WEEKDAY(A5423,2),"Mon","Tue","Wed","Thu","Fri","Sat","Sun")</f>
        <v>Fri</v>
      </c>
      <c r="H5423" t="str">
        <f>IF(WEEKDAY(A5423,2)&gt;5,"Weekend","Weekday")</f>
        <v>Weekday</v>
      </c>
      <c r="I5423" t="str">
        <f>_xlfn.IFS(B5423&lt;=5,"Night (0-5)",B5423&lt;=9,"Morning peak (6-9)",B5423&lt;=15,"Midday (10-15)",B5423&lt;=19,"Evening peak (16-19)",TRUE,"Late evening (20-23)")</f>
        <v>Morning peak (6-9)</v>
      </c>
    </row>
    <row r="5424" spans="1:9">
      <c r="A5424" s="32">
        <v>42048</v>
      </c>
      <c r="B5424">
        <v>8</v>
      </c>
      <c r="C5424">
        <v>4208</v>
      </c>
      <c r="D5424" t="s">
        <v>304</v>
      </c>
      <c r="E5424">
        <f>YEAR(A5424)</f>
        <v>2015</v>
      </c>
      <c r="F5424" s="33">
        <f>DATE(YEAR(A5424),MONTH(A5424),1)</f>
        <v>42036.0</v>
      </c>
      <c r="G5424" t="str">
        <f>CHOOSE(WEEKDAY(A5424,2),"Mon","Tue","Wed","Thu","Fri","Sat","Sun")</f>
        <v>Fri</v>
      </c>
      <c r="H5424" t="str">
        <f>IF(WEEKDAY(A5424,2)&gt;5,"Weekend","Weekday")</f>
        <v>Weekday</v>
      </c>
      <c r="I5424" t="str">
        <f>_xlfn.IFS(B5424&lt;=5,"Night (0-5)",B5424&lt;=9,"Morning peak (6-9)",B5424&lt;=15,"Midday (10-15)",B5424&lt;=19,"Evening peak (16-19)",TRUE,"Late evening (20-23)")</f>
        <v>Morning peak (6-9)</v>
      </c>
    </row>
    <row r="5425" spans="1:9">
      <c r="A5425" s="32">
        <v>42048</v>
      </c>
      <c r="B5425">
        <v>9</v>
      </c>
      <c r="C5425">
        <v>4422</v>
      </c>
      <c r="D5425" t="s">
        <v>304</v>
      </c>
      <c r="E5425">
        <f>YEAR(A5425)</f>
        <v>2015</v>
      </c>
      <c r="F5425" s="33">
        <f>DATE(YEAR(A5425),MONTH(A5425),1)</f>
        <v>42036.0</v>
      </c>
      <c r="G5425" t="str">
        <f>CHOOSE(WEEKDAY(A5425,2),"Mon","Tue","Wed","Thu","Fri","Sat","Sun")</f>
        <v>Fri</v>
      </c>
      <c r="H5425" t="str">
        <f>IF(WEEKDAY(A5425,2)&gt;5,"Weekend","Weekday")</f>
        <v>Weekday</v>
      </c>
      <c r="I5425" t="str">
        <f>_xlfn.IFS(B5425&lt;=5,"Night (0-5)",B5425&lt;=9,"Morning peak (6-9)",B5425&lt;=15,"Midday (10-15)",B5425&lt;=19,"Evening peak (16-19)",TRUE,"Late evening (20-23)")</f>
        <v>Morning peak (6-9)</v>
      </c>
    </row>
    <row r="5426" spans="1:9">
      <c r="A5426" s="32">
        <v>42048</v>
      </c>
      <c r="B5426">
        <v>10</v>
      </c>
      <c r="C5426">
        <v>3741</v>
      </c>
      <c r="D5426" t="s">
        <v>304</v>
      </c>
      <c r="E5426">
        <f>YEAR(A5426)</f>
        <v>2015</v>
      </c>
      <c r="F5426" s="33">
        <f>DATE(YEAR(A5426),MONTH(A5426),1)</f>
        <v>42036.0</v>
      </c>
      <c r="G5426" t="str">
        <f>CHOOSE(WEEKDAY(A5426,2),"Mon","Tue","Wed","Thu","Fri","Sat","Sun")</f>
        <v>Fri</v>
      </c>
      <c r="H5426" t="str">
        <f>IF(WEEKDAY(A5426,2)&gt;5,"Weekend","Weekday")</f>
        <v>Weekday</v>
      </c>
      <c r="I5426" t="str">
        <f>_xlfn.IFS(B5426&lt;=5,"Night (0-5)",B5426&lt;=9,"Morning peak (6-9)",B5426&lt;=15,"Midday (10-15)",B5426&lt;=19,"Evening peak (16-19)",TRUE,"Late evening (20-23)")</f>
        <v>Midday (10-15)</v>
      </c>
    </row>
    <row r="5427" spans="1:9">
      <c r="A5427" s="32">
        <v>42048</v>
      </c>
      <c r="B5427">
        <v>11</v>
      </c>
      <c r="C5427">
        <v>3417</v>
      </c>
      <c r="D5427" t="s">
        <v>304</v>
      </c>
      <c r="E5427">
        <f>YEAR(A5427)</f>
        <v>2015</v>
      </c>
      <c r="F5427" s="33">
        <f>DATE(YEAR(A5427),MONTH(A5427),1)</f>
        <v>42036.0</v>
      </c>
      <c r="G5427" t="str">
        <f>CHOOSE(WEEKDAY(A5427,2),"Mon","Tue","Wed","Thu","Fri","Sat","Sun")</f>
        <v>Fri</v>
      </c>
      <c r="H5427" t="str">
        <f>IF(WEEKDAY(A5427,2)&gt;5,"Weekend","Weekday")</f>
        <v>Weekday</v>
      </c>
      <c r="I5427" t="str">
        <f>_xlfn.IFS(B5427&lt;=5,"Night (0-5)",B5427&lt;=9,"Morning peak (6-9)",B5427&lt;=15,"Midday (10-15)",B5427&lt;=19,"Evening peak (16-19)",TRUE,"Late evening (20-23)")</f>
        <v>Midday (10-15)</v>
      </c>
    </row>
    <row r="5428" spans="1:9">
      <c r="A5428" s="32">
        <v>42048</v>
      </c>
      <c r="B5428">
        <v>12</v>
      </c>
      <c r="C5428">
        <v>3248</v>
      </c>
      <c r="D5428" t="s">
        <v>304</v>
      </c>
      <c r="E5428">
        <f>YEAR(A5428)</f>
        <v>2015</v>
      </c>
      <c r="F5428" s="33">
        <f>DATE(YEAR(A5428),MONTH(A5428),1)</f>
        <v>42036.0</v>
      </c>
      <c r="G5428" t="str">
        <f>CHOOSE(WEEKDAY(A5428,2),"Mon","Tue","Wed","Thu","Fri","Sat","Sun")</f>
        <v>Fri</v>
      </c>
      <c r="H5428" t="str">
        <f>IF(WEEKDAY(A5428,2)&gt;5,"Weekend","Weekday")</f>
        <v>Weekday</v>
      </c>
      <c r="I5428" t="str">
        <f>_xlfn.IFS(B5428&lt;=5,"Night (0-5)",B5428&lt;=9,"Morning peak (6-9)",B5428&lt;=15,"Midday (10-15)",B5428&lt;=19,"Evening peak (16-19)",TRUE,"Late evening (20-23)")</f>
        <v>Midday (10-15)</v>
      </c>
    </row>
    <row r="5429" spans="1:9">
      <c r="A5429" s="32">
        <v>42048</v>
      </c>
      <c r="B5429">
        <v>13</v>
      </c>
      <c r="C5429">
        <v>3300</v>
      </c>
      <c r="D5429" t="s">
        <v>304</v>
      </c>
      <c r="E5429">
        <f>YEAR(A5429)</f>
        <v>2015</v>
      </c>
      <c r="F5429" s="33">
        <f>DATE(YEAR(A5429),MONTH(A5429),1)</f>
        <v>42036.0</v>
      </c>
      <c r="G5429" t="str">
        <f>CHOOSE(WEEKDAY(A5429,2),"Mon","Tue","Wed","Thu","Fri","Sat","Sun")</f>
        <v>Fri</v>
      </c>
      <c r="H5429" t="str">
        <f>IF(WEEKDAY(A5429,2)&gt;5,"Weekend","Weekday")</f>
        <v>Weekday</v>
      </c>
      <c r="I5429" t="str">
        <f>_xlfn.IFS(B5429&lt;=5,"Night (0-5)",B5429&lt;=9,"Morning peak (6-9)",B5429&lt;=15,"Midday (10-15)",B5429&lt;=19,"Evening peak (16-19)",TRUE,"Late evening (20-23)")</f>
        <v>Midday (10-15)</v>
      </c>
    </row>
    <row r="5430" spans="1:9">
      <c r="A5430" s="32">
        <v>42048</v>
      </c>
      <c r="B5430">
        <v>14</v>
      </c>
      <c r="C5430">
        <v>3581</v>
      </c>
      <c r="D5430" t="s">
        <v>304</v>
      </c>
      <c r="E5430">
        <f>YEAR(A5430)</f>
        <v>2015</v>
      </c>
      <c r="F5430" s="33">
        <f>DATE(YEAR(A5430),MONTH(A5430),1)</f>
        <v>42036.0</v>
      </c>
      <c r="G5430" t="str">
        <f>CHOOSE(WEEKDAY(A5430,2),"Mon","Tue","Wed","Thu","Fri","Sat","Sun")</f>
        <v>Fri</v>
      </c>
      <c r="H5430" t="str">
        <f>IF(WEEKDAY(A5430,2)&gt;5,"Weekend","Weekday")</f>
        <v>Weekday</v>
      </c>
      <c r="I5430" t="str">
        <f>_xlfn.IFS(B5430&lt;=5,"Night (0-5)",B5430&lt;=9,"Morning peak (6-9)",B5430&lt;=15,"Midday (10-15)",B5430&lt;=19,"Evening peak (16-19)",TRUE,"Late evening (20-23)")</f>
        <v>Midday (10-15)</v>
      </c>
    </row>
    <row r="5431" spans="1:9">
      <c r="A5431" s="32">
        <v>42048</v>
      </c>
      <c r="B5431">
        <v>15</v>
      </c>
      <c r="C5431">
        <v>4103</v>
      </c>
      <c r="D5431" t="s">
        <v>304</v>
      </c>
      <c r="E5431">
        <f>YEAR(A5431)</f>
        <v>2015</v>
      </c>
      <c r="F5431" s="33">
        <f>DATE(YEAR(A5431),MONTH(A5431),1)</f>
        <v>42036.0</v>
      </c>
      <c r="G5431" t="str">
        <f>CHOOSE(WEEKDAY(A5431,2),"Mon","Tue","Wed","Thu","Fri","Sat","Sun")</f>
        <v>Fri</v>
      </c>
      <c r="H5431" t="str">
        <f>IF(WEEKDAY(A5431,2)&gt;5,"Weekend","Weekday")</f>
        <v>Weekday</v>
      </c>
      <c r="I5431" t="str">
        <f>_xlfn.IFS(B5431&lt;=5,"Night (0-5)",B5431&lt;=9,"Morning peak (6-9)",B5431&lt;=15,"Midday (10-15)",B5431&lt;=19,"Evening peak (16-19)",TRUE,"Late evening (20-23)")</f>
        <v>Midday (10-15)</v>
      </c>
    </row>
    <row r="5432" spans="1:9">
      <c r="A5432" s="32">
        <v>42048</v>
      </c>
      <c r="B5432">
        <v>16</v>
      </c>
      <c r="C5432">
        <v>4860</v>
      </c>
      <c r="D5432" t="s">
        <v>304</v>
      </c>
      <c r="E5432">
        <f>YEAR(A5432)</f>
        <v>2015</v>
      </c>
      <c r="F5432" s="33">
        <f>DATE(YEAR(A5432),MONTH(A5432),1)</f>
        <v>42036.0</v>
      </c>
      <c r="G5432" t="str">
        <f>CHOOSE(WEEKDAY(A5432,2),"Mon","Tue","Wed","Thu","Fri","Sat","Sun")</f>
        <v>Fri</v>
      </c>
      <c r="H5432" t="str">
        <f>IF(WEEKDAY(A5432,2)&gt;5,"Weekend","Weekday")</f>
        <v>Weekday</v>
      </c>
      <c r="I5432" t="str">
        <f>_xlfn.IFS(B5432&lt;=5,"Night (0-5)",B5432&lt;=9,"Morning peak (6-9)",B5432&lt;=15,"Midday (10-15)",B5432&lt;=19,"Evening peak (16-19)",TRUE,"Late evening (20-23)")</f>
        <v>Evening peak (16-19)</v>
      </c>
    </row>
    <row r="5433" spans="1:9">
      <c r="A5433" s="32">
        <v>42048</v>
      </c>
      <c r="B5433">
        <v>17</v>
      </c>
      <c r="C5433">
        <v>5548</v>
      </c>
      <c r="D5433" t="s">
        <v>304</v>
      </c>
      <c r="E5433">
        <f>YEAR(A5433)</f>
        <v>2015</v>
      </c>
      <c r="F5433" s="33">
        <f>DATE(YEAR(A5433),MONTH(A5433),1)</f>
        <v>42036.0</v>
      </c>
      <c r="G5433" t="str">
        <f>CHOOSE(WEEKDAY(A5433,2),"Mon","Tue","Wed","Thu","Fri","Sat","Sun")</f>
        <v>Fri</v>
      </c>
      <c r="H5433" t="str">
        <f>IF(WEEKDAY(A5433,2)&gt;5,"Weekend","Weekday")</f>
        <v>Weekday</v>
      </c>
      <c r="I5433" t="str">
        <f>_xlfn.IFS(B5433&lt;=5,"Night (0-5)",B5433&lt;=9,"Morning peak (6-9)",B5433&lt;=15,"Midday (10-15)",B5433&lt;=19,"Evening peak (16-19)",TRUE,"Late evening (20-23)")</f>
        <v>Evening peak (16-19)</v>
      </c>
    </row>
    <row r="5434" spans="1:9">
      <c r="A5434" s="32">
        <v>42048</v>
      </c>
      <c r="B5434">
        <v>18</v>
      </c>
      <c r="C5434">
        <v>6457</v>
      </c>
      <c r="D5434" t="s">
        <v>304</v>
      </c>
      <c r="E5434">
        <f>YEAR(A5434)</f>
        <v>2015</v>
      </c>
      <c r="F5434" s="33">
        <f>DATE(YEAR(A5434),MONTH(A5434),1)</f>
        <v>42036.0</v>
      </c>
      <c r="G5434" t="str">
        <f>CHOOSE(WEEKDAY(A5434,2),"Mon","Tue","Wed","Thu","Fri","Sat","Sun")</f>
        <v>Fri</v>
      </c>
      <c r="H5434" t="str">
        <f>IF(WEEKDAY(A5434,2)&gt;5,"Weekend","Weekday")</f>
        <v>Weekday</v>
      </c>
      <c r="I5434" t="str">
        <f>_xlfn.IFS(B5434&lt;=5,"Night (0-5)",B5434&lt;=9,"Morning peak (6-9)",B5434&lt;=15,"Midday (10-15)",B5434&lt;=19,"Evening peak (16-19)",TRUE,"Late evening (20-23)")</f>
        <v>Evening peak (16-19)</v>
      </c>
    </row>
    <row r="5435" spans="1:9">
      <c r="A5435" s="32">
        <v>42048</v>
      </c>
      <c r="B5435">
        <v>19</v>
      </c>
      <c r="C5435">
        <v>7631</v>
      </c>
      <c r="D5435" t="s">
        <v>304</v>
      </c>
      <c r="E5435">
        <f>YEAR(A5435)</f>
        <v>2015</v>
      </c>
      <c r="F5435" s="33">
        <f>DATE(YEAR(A5435),MONTH(A5435),1)</f>
        <v>42036.0</v>
      </c>
      <c r="G5435" t="str">
        <f>CHOOSE(WEEKDAY(A5435,2),"Mon","Tue","Wed","Thu","Fri","Sat","Sun")</f>
        <v>Fri</v>
      </c>
      <c r="H5435" t="str">
        <f>IF(WEEKDAY(A5435,2)&gt;5,"Weekend","Weekday")</f>
        <v>Weekday</v>
      </c>
      <c r="I5435" t="str">
        <f>_xlfn.IFS(B5435&lt;=5,"Night (0-5)",B5435&lt;=9,"Morning peak (6-9)",B5435&lt;=15,"Midday (10-15)",B5435&lt;=19,"Evening peak (16-19)",TRUE,"Late evening (20-23)")</f>
        <v>Evening peak (16-19)</v>
      </c>
    </row>
    <row r="5436" spans="1:9">
      <c r="A5436" s="32">
        <v>42048</v>
      </c>
      <c r="B5436">
        <v>20</v>
      </c>
      <c r="C5436">
        <v>7836</v>
      </c>
      <c r="D5436" t="s">
        <v>304</v>
      </c>
      <c r="E5436">
        <f>YEAR(A5436)</f>
        <v>2015</v>
      </c>
      <c r="F5436" s="33">
        <f>DATE(YEAR(A5436),MONTH(A5436),1)</f>
        <v>42036.0</v>
      </c>
      <c r="G5436" t="str">
        <f>CHOOSE(WEEKDAY(A5436,2),"Mon","Tue","Wed","Thu","Fri","Sat","Sun")</f>
        <v>Fri</v>
      </c>
      <c r="H5436" t="str">
        <f>IF(WEEKDAY(A5436,2)&gt;5,"Weekend","Weekday")</f>
        <v>Weekday</v>
      </c>
      <c r="I5436" t="str">
        <f>_xlfn.IFS(B5436&lt;=5,"Night (0-5)",B5436&lt;=9,"Morning peak (6-9)",B5436&lt;=15,"Midday (10-15)",B5436&lt;=19,"Evening peak (16-19)",TRUE,"Late evening (20-23)")</f>
        <v>Late evening (20-23)</v>
      </c>
    </row>
    <row r="5437" spans="1:9">
      <c r="A5437" s="32">
        <v>42048</v>
      </c>
      <c r="B5437">
        <v>21</v>
      </c>
      <c r="C5437">
        <v>7576</v>
      </c>
      <c r="D5437" t="s">
        <v>304</v>
      </c>
      <c r="E5437">
        <f>YEAR(A5437)</f>
        <v>2015</v>
      </c>
      <c r="F5437" s="33">
        <f>DATE(YEAR(A5437),MONTH(A5437),1)</f>
        <v>42036.0</v>
      </c>
      <c r="G5437" t="str">
        <f>CHOOSE(WEEKDAY(A5437,2),"Mon","Tue","Wed","Thu","Fri","Sat","Sun")</f>
        <v>Fri</v>
      </c>
      <c r="H5437" t="str">
        <f>IF(WEEKDAY(A5437,2)&gt;5,"Weekend","Weekday")</f>
        <v>Weekday</v>
      </c>
      <c r="I5437" t="str">
        <f>_xlfn.IFS(B5437&lt;=5,"Night (0-5)",B5437&lt;=9,"Morning peak (6-9)",B5437&lt;=15,"Midday (10-15)",B5437&lt;=19,"Evening peak (16-19)",TRUE,"Late evening (20-23)")</f>
        <v>Late evening (20-23)</v>
      </c>
    </row>
    <row r="5438" spans="1:9">
      <c r="A5438" s="32">
        <v>42048</v>
      </c>
      <c r="B5438">
        <v>22</v>
      </c>
      <c r="C5438">
        <v>7523</v>
      </c>
      <c r="D5438" t="s">
        <v>304</v>
      </c>
      <c r="E5438">
        <f>YEAR(A5438)</f>
        <v>2015</v>
      </c>
      <c r="F5438" s="33">
        <f>DATE(YEAR(A5438),MONTH(A5438),1)</f>
        <v>42036.0</v>
      </c>
      <c r="G5438" t="str">
        <f>CHOOSE(WEEKDAY(A5438,2),"Mon","Tue","Wed","Thu","Fri","Sat","Sun")</f>
        <v>Fri</v>
      </c>
      <c r="H5438" t="str">
        <f>IF(WEEKDAY(A5438,2)&gt;5,"Weekend","Weekday")</f>
        <v>Weekday</v>
      </c>
      <c r="I5438" t="str">
        <f>_xlfn.IFS(B5438&lt;=5,"Night (0-5)",B5438&lt;=9,"Morning peak (6-9)",B5438&lt;=15,"Midday (10-15)",B5438&lt;=19,"Evening peak (16-19)",TRUE,"Late evening (20-23)")</f>
        <v>Late evening (20-23)</v>
      </c>
    </row>
    <row r="5439" spans="1:9">
      <c r="A5439" s="32">
        <v>42048</v>
      </c>
      <c r="B5439">
        <v>23</v>
      </c>
      <c r="C5439">
        <v>7149</v>
      </c>
      <c r="D5439" t="s">
        <v>304</v>
      </c>
      <c r="E5439">
        <f>YEAR(A5439)</f>
        <v>2015</v>
      </c>
      <c r="F5439" s="33">
        <f>DATE(YEAR(A5439),MONTH(A5439),1)</f>
        <v>42036.0</v>
      </c>
      <c r="G5439" t="str">
        <f>CHOOSE(WEEKDAY(A5439,2),"Mon","Tue","Wed","Thu","Fri","Sat","Sun")</f>
        <v>Fri</v>
      </c>
      <c r="H5439" t="str">
        <f>IF(WEEKDAY(A5439,2)&gt;5,"Weekend","Weekday")</f>
        <v>Weekday</v>
      </c>
      <c r="I5439" t="str">
        <f>_xlfn.IFS(B5439&lt;=5,"Night (0-5)",B5439&lt;=9,"Morning peak (6-9)",B5439&lt;=15,"Midday (10-15)",B5439&lt;=19,"Evening peak (16-19)",TRUE,"Late evening (20-23)")</f>
        <v>Late evening (20-23)</v>
      </c>
    </row>
    <row r="5440" spans="1:9">
      <c r="A5440" s="32">
        <v>42049</v>
      </c>
      <c r="B5440">
        <v>0</v>
      </c>
      <c r="C5440">
        <v>6284</v>
      </c>
      <c r="D5440" t="s">
        <v>304</v>
      </c>
      <c r="E5440">
        <f>YEAR(A5440)</f>
        <v>2015</v>
      </c>
      <c r="F5440" s="33">
        <f>DATE(YEAR(A5440),MONTH(A5440),1)</f>
        <v>42036.0</v>
      </c>
      <c r="G5440" t="str">
        <f>CHOOSE(WEEKDAY(A5440,2),"Mon","Tue","Wed","Thu","Fri","Sat","Sun")</f>
        <v>Sat</v>
      </c>
      <c r="H5440" t="str">
        <f>IF(WEEKDAY(A5440,2)&gt;5,"Weekend","Weekday")</f>
        <v>Weekend</v>
      </c>
      <c r="I5440" t="str">
        <f>_xlfn.IFS(B5440&lt;=5,"Night (0-5)",B5440&lt;=9,"Morning peak (6-9)",B5440&lt;=15,"Midday (10-15)",B5440&lt;=19,"Evening peak (16-19)",TRUE,"Late evening (20-23)")</f>
        <v>Night (0-5)</v>
      </c>
    </row>
    <row r="5441" spans="1:9">
      <c r="A5441" s="32">
        <v>42049</v>
      </c>
      <c r="B5441">
        <v>1</v>
      </c>
      <c r="C5441">
        <v>4545</v>
      </c>
      <c r="D5441" t="s">
        <v>304</v>
      </c>
      <c r="E5441">
        <f>YEAR(A5441)</f>
        <v>2015</v>
      </c>
      <c r="F5441" s="33">
        <f>DATE(YEAR(A5441),MONTH(A5441),1)</f>
        <v>42036.0</v>
      </c>
      <c r="G5441" t="str">
        <f>CHOOSE(WEEKDAY(A5441,2),"Mon","Tue","Wed","Thu","Fri","Sat","Sun")</f>
        <v>Sat</v>
      </c>
      <c r="H5441" t="str">
        <f>IF(WEEKDAY(A5441,2)&gt;5,"Weekend","Weekday")</f>
        <v>Weekend</v>
      </c>
      <c r="I5441" t="str">
        <f>_xlfn.IFS(B5441&lt;=5,"Night (0-5)",B5441&lt;=9,"Morning peak (6-9)",B5441&lt;=15,"Midday (10-15)",B5441&lt;=19,"Evening peak (16-19)",TRUE,"Late evening (20-23)")</f>
        <v>Night (0-5)</v>
      </c>
    </row>
    <row r="5442" spans="1:9">
      <c r="A5442" s="32">
        <v>42049</v>
      </c>
      <c r="B5442">
        <v>2</v>
      </c>
      <c r="C5442">
        <v>3236</v>
      </c>
      <c r="D5442" t="s">
        <v>304</v>
      </c>
      <c r="E5442">
        <f>YEAR(A5442)</f>
        <v>2015</v>
      </c>
      <c r="F5442" s="33">
        <f>DATE(YEAR(A5442),MONTH(A5442),1)</f>
        <v>42036.0</v>
      </c>
      <c r="G5442" t="str">
        <f>CHOOSE(WEEKDAY(A5442,2),"Mon","Tue","Wed","Thu","Fri","Sat","Sun")</f>
        <v>Sat</v>
      </c>
      <c r="H5442" t="str">
        <f>IF(WEEKDAY(A5442,2)&gt;5,"Weekend","Weekday")</f>
        <v>Weekend</v>
      </c>
      <c r="I5442" t="str">
        <f>_xlfn.IFS(B5442&lt;=5,"Night (0-5)",B5442&lt;=9,"Morning peak (6-9)",B5442&lt;=15,"Midday (10-15)",B5442&lt;=19,"Evening peak (16-19)",TRUE,"Late evening (20-23)")</f>
        <v>Night (0-5)</v>
      </c>
    </row>
    <row r="5443" spans="1:9">
      <c r="A5443" s="32">
        <v>42049</v>
      </c>
      <c r="B5443">
        <v>3</v>
      </c>
      <c r="C5443">
        <v>2335</v>
      </c>
      <c r="D5443" t="s">
        <v>304</v>
      </c>
      <c r="E5443">
        <f>YEAR(A5443)</f>
        <v>2015</v>
      </c>
      <c r="F5443" s="33">
        <f>DATE(YEAR(A5443),MONTH(A5443),1)</f>
        <v>42036.0</v>
      </c>
      <c r="G5443" t="str">
        <f>CHOOSE(WEEKDAY(A5443,2),"Mon","Tue","Wed","Thu","Fri","Sat","Sun")</f>
        <v>Sat</v>
      </c>
      <c r="H5443" t="str">
        <f>IF(WEEKDAY(A5443,2)&gt;5,"Weekend","Weekday")</f>
        <v>Weekend</v>
      </c>
      <c r="I5443" t="str">
        <f>_xlfn.IFS(B5443&lt;=5,"Night (0-5)",B5443&lt;=9,"Morning peak (6-9)",B5443&lt;=15,"Midday (10-15)",B5443&lt;=19,"Evening peak (16-19)",TRUE,"Late evening (20-23)")</f>
        <v>Night (0-5)</v>
      </c>
    </row>
    <row r="5444" spans="1:9">
      <c r="A5444" s="32">
        <v>42049</v>
      </c>
      <c r="B5444">
        <v>4</v>
      </c>
      <c r="C5444">
        <v>1581</v>
      </c>
      <c r="D5444" t="s">
        <v>304</v>
      </c>
      <c r="E5444">
        <f>YEAR(A5444)</f>
        <v>2015</v>
      </c>
      <c r="F5444" s="33">
        <f>DATE(YEAR(A5444),MONTH(A5444),1)</f>
        <v>42036.0</v>
      </c>
      <c r="G5444" t="str">
        <f>CHOOSE(WEEKDAY(A5444,2),"Mon","Tue","Wed","Thu","Fri","Sat","Sun")</f>
        <v>Sat</v>
      </c>
      <c r="H5444" t="str">
        <f>IF(WEEKDAY(A5444,2)&gt;5,"Weekend","Weekday")</f>
        <v>Weekend</v>
      </c>
      <c r="I5444" t="str">
        <f>_xlfn.IFS(B5444&lt;=5,"Night (0-5)",B5444&lt;=9,"Morning peak (6-9)",B5444&lt;=15,"Midday (10-15)",B5444&lt;=19,"Evening peak (16-19)",TRUE,"Late evening (20-23)")</f>
        <v>Night (0-5)</v>
      </c>
    </row>
    <row r="5445" spans="1:9">
      <c r="A5445" s="32">
        <v>42049</v>
      </c>
      <c r="B5445">
        <v>5</v>
      </c>
      <c r="C5445">
        <v>1193</v>
      </c>
      <c r="D5445" t="s">
        <v>304</v>
      </c>
      <c r="E5445">
        <f>YEAR(A5445)</f>
        <v>2015</v>
      </c>
      <c r="F5445" s="33">
        <f>DATE(YEAR(A5445),MONTH(A5445),1)</f>
        <v>42036.0</v>
      </c>
      <c r="G5445" t="str">
        <f>CHOOSE(WEEKDAY(A5445,2),"Mon","Tue","Wed","Thu","Fri","Sat","Sun")</f>
        <v>Sat</v>
      </c>
      <c r="H5445" t="str">
        <f>IF(WEEKDAY(A5445,2)&gt;5,"Weekend","Weekday")</f>
        <v>Weekend</v>
      </c>
      <c r="I5445" t="str">
        <f>_xlfn.IFS(B5445&lt;=5,"Night (0-5)",B5445&lt;=9,"Morning peak (6-9)",B5445&lt;=15,"Midday (10-15)",B5445&lt;=19,"Evening peak (16-19)",TRUE,"Late evening (20-23)")</f>
        <v>Night (0-5)</v>
      </c>
    </row>
    <row r="5446" spans="1:9">
      <c r="A5446" s="32">
        <v>42049</v>
      </c>
      <c r="B5446">
        <v>6</v>
      </c>
      <c r="C5446">
        <v>1095</v>
      </c>
      <c r="D5446" t="s">
        <v>304</v>
      </c>
      <c r="E5446">
        <f>YEAR(A5446)</f>
        <v>2015</v>
      </c>
      <c r="F5446" s="33">
        <f>DATE(YEAR(A5446),MONTH(A5446),1)</f>
        <v>42036.0</v>
      </c>
      <c r="G5446" t="str">
        <f>CHOOSE(WEEKDAY(A5446,2),"Mon","Tue","Wed","Thu","Fri","Sat","Sun")</f>
        <v>Sat</v>
      </c>
      <c r="H5446" t="str">
        <f>IF(WEEKDAY(A5446,2)&gt;5,"Weekend","Weekday")</f>
        <v>Weekend</v>
      </c>
      <c r="I5446" t="str">
        <f>_xlfn.IFS(B5446&lt;=5,"Night (0-5)",B5446&lt;=9,"Morning peak (6-9)",B5446&lt;=15,"Midday (10-15)",B5446&lt;=19,"Evening peak (16-19)",TRUE,"Late evening (20-23)")</f>
        <v>Morning peak (6-9)</v>
      </c>
    </row>
    <row r="5447" spans="1:9">
      <c r="A5447" s="32">
        <v>42049</v>
      </c>
      <c r="B5447">
        <v>7</v>
      </c>
      <c r="C5447">
        <v>1289</v>
      </c>
      <c r="D5447" t="s">
        <v>304</v>
      </c>
      <c r="E5447">
        <f>YEAR(A5447)</f>
        <v>2015</v>
      </c>
      <c r="F5447" s="33">
        <f>DATE(YEAR(A5447),MONTH(A5447),1)</f>
        <v>42036.0</v>
      </c>
      <c r="G5447" t="str">
        <f>CHOOSE(WEEKDAY(A5447,2),"Mon","Tue","Wed","Thu","Fri","Sat","Sun")</f>
        <v>Sat</v>
      </c>
      <c r="H5447" t="str">
        <f>IF(WEEKDAY(A5447,2)&gt;5,"Weekend","Weekday")</f>
        <v>Weekend</v>
      </c>
      <c r="I5447" t="str">
        <f>_xlfn.IFS(B5447&lt;=5,"Night (0-5)",B5447&lt;=9,"Morning peak (6-9)",B5447&lt;=15,"Midday (10-15)",B5447&lt;=19,"Evening peak (16-19)",TRUE,"Late evening (20-23)")</f>
        <v>Morning peak (6-9)</v>
      </c>
    </row>
    <row r="5448" spans="1:9">
      <c r="A5448" s="32">
        <v>42049</v>
      </c>
      <c r="B5448">
        <v>8</v>
      </c>
      <c r="C5448">
        <v>1727</v>
      </c>
      <c r="D5448" t="s">
        <v>304</v>
      </c>
      <c r="E5448">
        <f>YEAR(A5448)</f>
        <v>2015</v>
      </c>
      <c r="F5448" s="33">
        <f>DATE(YEAR(A5448),MONTH(A5448),1)</f>
        <v>42036.0</v>
      </c>
      <c r="G5448" t="str">
        <f>CHOOSE(WEEKDAY(A5448,2),"Mon","Tue","Wed","Thu","Fri","Sat","Sun")</f>
        <v>Sat</v>
      </c>
      <c r="H5448" t="str">
        <f>IF(WEEKDAY(A5448,2)&gt;5,"Weekend","Weekday")</f>
        <v>Weekend</v>
      </c>
      <c r="I5448" t="str">
        <f>_xlfn.IFS(B5448&lt;=5,"Night (0-5)",B5448&lt;=9,"Morning peak (6-9)",B5448&lt;=15,"Midday (10-15)",B5448&lt;=19,"Evening peak (16-19)",TRUE,"Late evening (20-23)")</f>
        <v>Morning peak (6-9)</v>
      </c>
    </row>
    <row r="5449" spans="1:9">
      <c r="A5449" s="32">
        <v>42049</v>
      </c>
      <c r="B5449">
        <v>9</v>
      </c>
      <c r="C5449">
        <v>2259</v>
      </c>
      <c r="D5449" t="s">
        <v>304</v>
      </c>
      <c r="E5449">
        <f>YEAR(A5449)</f>
        <v>2015</v>
      </c>
      <c r="F5449" s="33">
        <f>DATE(YEAR(A5449),MONTH(A5449),1)</f>
        <v>42036.0</v>
      </c>
      <c r="G5449" t="str">
        <f>CHOOSE(WEEKDAY(A5449,2),"Mon","Tue","Wed","Thu","Fri","Sat","Sun")</f>
        <v>Sat</v>
      </c>
      <c r="H5449" t="str">
        <f>IF(WEEKDAY(A5449,2)&gt;5,"Weekend","Weekday")</f>
        <v>Weekend</v>
      </c>
      <c r="I5449" t="str">
        <f>_xlfn.IFS(B5449&lt;=5,"Night (0-5)",B5449&lt;=9,"Morning peak (6-9)",B5449&lt;=15,"Midday (10-15)",B5449&lt;=19,"Evening peak (16-19)",TRUE,"Late evening (20-23)")</f>
        <v>Morning peak (6-9)</v>
      </c>
    </row>
    <row r="5450" spans="1:9">
      <c r="A5450" s="32">
        <v>42049</v>
      </c>
      <c r="B5450">
        <v>10</v>
      </c>
      <c r="C5450">
        <v>2786</v>
      </c>
      <c r="D5450" t="s">
        <v>304</v>
      </c>
      <c r="E5450">
        <f>YEAR(A5450)</f>
        <v>2015</v>
      </c>
      <c r="F5450" s="33">
        <f>DATE(YEAR(A5450),MONTH(A5450),1)</f>
        <v>42036.0</v>
      </c>
      <c r="G5450" t="str">
        <f>CHOOSE(WEEKDAY(A5450,2),"Mon","Tue","Wed","Thu","Fri","Sat","Sun")</f>
        <v>Sat</v>
      </c>
      <c r="H5450" t="str">
        <f>IF(WEEKDAY(A5450,2)&gt;5,"Weekend","Weekday")</f>
        <v>Weekend</v>
      </c>
      <c r="I5450" t="str">
        <f>_xlfn.IFS(B5450&lt;=5,"Night (0-5)",B5450&lt;=9,"Morning peak (6-9)",B5450&lt;=15,"Midday (10-15)",B5450&lt;=19,"Evening peak (16-19)",TRUE,"Late evening (20-23)")</f>
        <v>Midday (10-15)</v>
      </c>
    </row>
    <row r="5451" spans="1:9">
      <c r="A5451" s="32">
        <v>42049</v>
      </c>
      <c r="B5451">
        <v>11</v>
      </c>
      <c r="C5451">
        <v>3241</v>
      </c>
      <c r="D5451" t="s">
        <v>304</v>
      </c>
      <c r="E5451">
        <f>YEAR(A5451)</f>
        <v>2015</v>
      </c>
      <c r="F5451" s="33">
        <f>DATE(YEAR(A5451),MONTH(A5451),1)</f>
        <v>42036.0</v>
      </c>
      <c r="G5451" t="str">
        <f>CHOOSE(WEEKDAY(A5451,2),"Mon","Tue","Wed","Thu","Fri","Sat","Sun")</f>
        <v>Sat</v>
      </c>
      <c r="H5451" t="str">
        <f>IF(WEEKDAY(A5451,2)&gt;5,"Weekend","Weekday")</f>
        <v>Weekend</v>
      </c>
      <c r="I5451" t="str">
        <f>_xlfn.IFS(B5451&lt;=5,"Night (0-5)",B5451&lt;=9,"Morning peak (6-9)",B5451&lt;=15,"Midday (10-15)",B5451&lt;=19,"Evening peak (16-19)",TRUE,"Late evening (20-23)")</f>
        <v>Midday (10-15)</v>
      </c>
    </row>
    <row r="5452" spans="1:9">
      <c r="A5452" s="32">
        <v>42049</v>
      </c>
      <c r="B5452">
        <v>12</v>
      </c>
      <c r="C5452">
        <v>3337</v>
      </c>
      <c r="D5452" t="s">
        <v>304</v>
      </c>
      <c r="E5452">
        <f>YEAR(A5452)</f>
        <v>2015</v>
      </c>
      <c r="F5452" s="33">
        <f>DATE(YEAR(A5452),MONTH(A5452),1)</f>
        <v>42036.0</v>
      </c>
      <c r="G5452" t="str">
        <f>CHOOSE(WEEKDAY(A5452,2),"Mon","Tue","Wed","Thu","Fri","Sat","Sun")</f>
        <v>Sat</v>
      </c>
      <c r="H5452" t="str">
        <f>IF(WEEKDAY(A5452,2)&gt;5,"Weekend","Weekday")</f>
        <v>Weekend</v>
      </c>
      <c r="I5452" t="str">
        <f>_xlfn.IFS(B5452&lt;=5,"Night (0-5)",B5452&lt;=9,"Morning peak (6-9)",B5452&lt;=15,"Midday (10-15)",B5452&lt;=19,"Evening peak (16-19)",TRUE,"Late evening (20-23)")</f>
        <v>Midday (10-15)</v>
      </c>
    </row>
    <row r="5453" spans="1:9">
      <c r="A5453" s="32">
        <v>42049</v>
      </c>
      <c r="B5453">
        <v>13</v>
      </c>
      <c r="C5453">
        <v>3740</v>
      </c>
      <c r="D5453" t="s">
        <v>304</v>
      </c>
      <c r="E5453">
        <f>YEAR(A5453)</f>
        <v>2015</v>
      </c>
      <c r="F5453" s="33">
        <f>DATE(YEAR(A5453),MONTH(A5453),1)</f>
        <v>42036.0</v>
      </c>
      <c r="G5453" t="str">
        <f>CHOOSE(WEEKDAY(A5453,2),"Mon","Tue","Wed","Thu","Fri","Sat","Sun")</f>
        <v>Sat</v>
      </c>
      <c r="H5453" t="str">
        <f>IF(WEEKDAY(A5453,2)&gt;5,"Weekend","Weekday")</f>
        <v>Weekend</v>
      </c>
      <c r="I5453" t="str">
        <f>_xlfn.IFS(B5453&lt;=5,"Night (0-5)",B5453&lt;=9,"Morning peak (6-9)",B5453&lt;=15,"Midday (10-15)",B5453&lt;=19,"Evening peak (16-19)",TRUE,"Late evening (20-23)")</f>
        <v>Midday (10-15)</v>
      </c>
    </row>
    <row r="5454" spans="1:9">
      <c r="A5454" s="32">
        <v>42049</v>
      </c>
      <c r="B5454">
        <v>14</v>
      </c>
      <c r="C5454">
        <v>3949</v>
      </c>
      <c r="D5454" t="s">
        <v>304</v>
      </c>
      <c r="E5454">
        <f>YEAR(A5454)</f>
        <v>2015</v>
      </c>
      <c r="F5454" s="33">
        <f>DATE(YEAR(A5454),MONTH(A5454),1)</f>
        <v>42036.0</v>
      </c>
      <c r="G5454" t="str">
        <f>CHOOSE(WEEKDAY(A5454,2),"Mon","Tue","Wed","Thu","Fri","Sat","Sun")</f>
        <v>Sat</v>
      </c>
      <c r="H5454" t="str">
        <f>IF(WEEKDAY(A5454,2)&gt;5,"Weekend","Weekday")</f>
        <v>Weekend</v>
      </c>
      <c r="I5454" t="str">
        <f>_xlfn.IFS(B5454&lt;=5,"Night (0-5)",B5454&lt;=9,"Morning peak (6-9)",B5454&lt;=15,"Midday (10-15)",B5454&lt;=19,"Evening peak (16-19)",TRUE,"Late evening (20-23)")</f>
        <v>Midday (10-15)</v>
      </c>
    </row>
    <row r="5455" spans="1:9">
      <c r="A5455" s="32">
        <v>42049</v>
      </c>
      <c r="B5455">
        <v>15</v>
      </c>
      <c r="C5455">
        <v>4792</v>
      </c>
      <c r="D5455" t="s">
        <v>304</v>
      </c>
      <c r="E5455">
        <f>YEAR(A5455)</f>
        <v>2015</v>
      </c>
      <c r="F5455" s="33">
        <f>DATE(YEAR(A5455),MONTH(A5455),1)</f>
        <v>42036.0</v>
      </c>
      <c r="G5455" t="str">
        <f>CHOOSE(WEEKDAY(A5455,2),"Mon","Tue","Wed","Thu","Fri","Sat","Sun")</f>
        <v>Sat</v>
      </c>
      <c r="H5455" t="str">
        <f>IF(WEEKDAY(A5455,2)&gt;5,"Weekend","Weekday")</f>
        <v>Weekend</v>
      </c>
      <c r="I5455" t="str">
        <f>_xlfn.IFS(B5455&lt;=5,"Night (0-5)",B5455&lt;=9,"Morning peak (6-9)",B5455&lt;=15,"Midday (10-15)",B5455&lt;=19,"Evening peak (16-19)",TRUE,"Late evening (20-23)")</f>
        <v>Midday (10-15)</v>
      </c>
    </row>
    <row r="5456" spans="1:9">
      <c r="A5456" s="32">
        <v>42049</v>
      </c>
      <c r="B5456">
        <v>16</v>
      </c>
      <c r="C5456">
        <v>5735</v>
      </c>
      <c r="D5456" t="s">
        <v>304</v>
      </c>
      <c r="E5456">
        <f>YEAR(A5456)</f>
        <v>2015</v>
      </c>
      <c r="F5456" s="33">
        <f>DATE(YEAR(A5456),MONTH(A5456),1)</f>
        <v>42036.0</v>
      </c>
      <c r="G5456" t="str">
        <f>CHOOSE(WEEKDAY(A5456,2),"Mon","Tue","Wed","Thu","Fri","Sat","Sun")</f>
        <v>Sat</v>
      </c>
      <c r="H5456" t="str">
        <f>IF(WEEKDAY(A5456,2)&gt;5,"Weekend","Weekday")</f>
        <v>Weekend</v>
      </c>
      <c r="I5456" t="str">
        <f>_xlfn.IFS(B5456&lt;=5,"Night (0-5)",B5456&lt;=9,"Morning peak (6-9)",B5456&lt;=15,"Midday (10-15)",B5456&lt;=19,"Evening peak (16-19)",TRUE,"Late evening (20-23)")</f>
        <v>Evening peak (16-19)</v>
      </c>
    </row>
    <row r="5457" spans="1:9">
      <c r="A5457" s="32">
        <v>42049</v>
      </c>
      <c r="B5457">
        <v>17</v>
      </c>
      <c r="C5457">
        <v>6279</v>
      </c>
      <c r="D5457" t="s">
        <v>304</v>
      </c>
      <c r="E5457">
        <f>YEAR(A5457)</f>
        <v>2015</v>
      </c>
      <c r="F5457" s="33">
        <f>DATE(YEAR(A5457),MONTH(A5457),1)</f>
        <v>42036.0</v>
      </c>
      <c r="G5457" t="str">
        <f>CHOOSE(WEEKDAY(A5457,2),"Mon","Tue","Wed","Thu","Fri","Sat","Sun")</f>
        <v>Sat</v>
      </c>
      <c r="H5457" t="str">
        <f>IF(WEEKDAY(A5457,2)&gt;5,"Weekend","Weekday")</f>
        <v>Weekend</v>
      </c>
      <c r="I5457" t="str">
        <f>_xlfn.IFS(B5457&lt;=5,"Night (0-5)",B5457&lt;=9,"Morning peak (6-9)",B5457&lt;=15,"Midday (10-15)",B5457&lt;=19,"Evening peak (16-19)",TRUE,"Late evening (20-23)")</f>
        <v>Evening peak (16-19)</v>
      </c>
    </row>
    <row r="5458" spans="1:9">
      <c r="A5458" s="32">
        <v>42049</v>
      </c>
      <c r="B5458">
        <v>18</v>
      </c>
      <c r="C5458">
        <v>6982</v>
      </c>
      <c r="D5458" t="s">
        <v>304</v>
      </c>
      <c r="E5458">
        <f>YEAR(A5458)</f>
        <v>2015</v>
      </c>
      <c r="F5458" s="33">
        <f>DATE(YEAR(A5458),MONTH(A5458),1)</f>
        <v>42036.0</v>
      </c>
      <c r="G5458" t="str">
        <f>CHOOSE(WEEKDAY(A5458,2),"Mon","Tue","Wed","Thu","Fri","Sat","Sun")</f>
        <v>Sat</v>
      </c>
      <c r="H5458" t="str">
        <f>IF(WEEKDAY(A5458,2)&gt;5,"Weekend","Weekday")</f>
        <v>Weekend</v>
      </c>
      <c r="I5458" t="str">
        <f>_xlfn.IFS(B5458&lt;=5,"Night (0-5)",B5458&lt;=9,"Morning peak (6-9)",B5458&lt;=15,"Midday (10-15)",B5458&lt;=19,"Evening peak (16-19)",TRUE,"Late evening (20-23)")</f>
        <v>Evening peak (16-19)</v>
      </c>
    </row>
    <row r="5459" spans="1:9">
      <c r="A5459" s="32">
        <v>42049</v>
      </c>
      <c r="B5459">
        <v>19</v>
      </c>
      <c r="C5459">
        <v>7746</v>
      </c>
      <c r="D5459" t="s">
        <v>304</v>
      </c>
      <c r="E5459">
        <f>YEAR(A5459)</f>
        <v>2015</v>
      </c>
      <c r="F5459" s="33">
        <f>DATE(YEAR(A5459),MONTH(A5459),1)</f>
        <v>42036.0</v>
      </c>
      <c r="G5459" t="str">
        <f>CHOOSE(WEEKDAY(A5459,2),"Mon","Tue","Wed","Thu","Fri","Sat","Sun")</f>
        <v>Sat</v>
      </c>
      <c r="H5459" t="str">
        <f>IF(WEEKDAY(A5459,2)&gt;5,"Weekend","Weekday")</f>
        <v>Weekend</v>
      </c>
      <c r="I5459" t="str">
        <f>_xlfn.IFS(B5459&lt;=5,"Night (0-5)",B5459&lt;=9,"Morning peak (6-9)",B5459&lt;=15,"Midday (10-15)",B5459&lt;=19,"Evening peak (16-19)",TRUE,"Late evening (20-23)")</f>
        <v>Evening peak (16-19)</v>
      </c>
    </row>
    <row r="5460" spans="1:9">
      <c r="A5460" s="32">
        <v>42049</v>
      </c>
      <c r="B5460">
        <v>20</v>
      </c>
      <c r="C5460">
        <v>7404</v>
      </c>
      <c r="D5460" t="s">
        <v>304</v>
      </c>
      <c r="E5460">
        <f>YEAR(A5460)</f>
        <v>2015</v>
      </c>
      <c r="F5460" s="33">
        <f>DATE(YEAR(A5460),MONTH(A5460),1)</f>
        <v>42036.0</v>
      </c>
      <c r="G5460" t="str">
        <f>CHOOSE(WEEKDAY(A5460,2),"Mon","Tue","Wed","Thu","Fri","Sat","Sun")</f>
        <v>Sat</v>
      </c>
      <c r="H5460" t="str">
        <f>IF(WEEKDAY(A5460,2)&gt;5,"Weekend","Weekday")</f>
        <v>Weekend</v>
      </c>
      <c r="I5460" t="str">
        <f>_xlfn.IFS(B5460&lt;=5,"Night (0-5)",B5460&lt;=9,"Morning peak (6-9)",B5460&lt;=15,"Midday (10-15)",B5460&lt;=19,"Evening peak (16-19)",TRUE,"Late evening (20-23)")</f>
        <v>Late evening (20-23)</v>
      </c>
    </row>
    <row r="5461" spans="1:9">
      <c r="A5461" s="32">
        <v>42049</v>
      </c>
      <c r="B5461">
        <v>21</v>
      </c>
      <c r="C5461">
        <v>6816</v>
      </c>
      <c r="D5461" t="s">
        <v>304</v>
      </c>
      <c r="E5461">
        <f>YEAR(A5461)</f>
        <v>2015</v>
      </c>
      <c r="F5461" s="33">
        <f>DATE(YEAR(A5461),MONTH(A5461),1)</f>
        <v>42036.0</v>
      </c>
      <c r="G5461" t="str">
        <f>CHOOSE(WEEKDAY(A5461,2),"Mon","Tue","Wed","Thu","Fri","Sat","Sun")</f>
        <v>Sat</v>
      </c>
      <c r="H5461" t="str">
        <f>IF(WEEKDAY(A5461,2)&gt;5,"Weekend","Weekday")</f>
        <v>Weekend</v>
      </c>
      <c r="I5461" t="str">
        <f>_xlfn.IFS(B5461&lt;=5,"Night (0-5)",B5461&lt;=9,"Morning peak (6-9)",B5461&lt;=15,"Midday (10-15)",B5461&lt;=19,"Evening peak (16-19)",TRUE,"Late evening (20-23)")</f>
        <v>Late evening (20-23)</v>
      </c>
    </row>
    <row r="5462" spans="1:9">
      <c r="A5462" s="32">
        <v>42049</v>
      </c>
      <c r="B5462">
        <v>22</v>
      </c>
      <c r="C5462">
        <v>6938</v>
      </c>
      <c r="D5462" t="s">
        <v>304</v>
      </c>
      <c r="E5462">
        <f>YEAR(A5462)</f>
        <v>2015</v>
      </c>
      <c r="F5462" s="33">
        <f>DATE(YEAR(A5462),MONTH(A5462),1)</f>
        <v>42036.0</v>
      </c>
      <c r="G5462" t="str">
        <f>CHOOSE(WEEKDAY(A5462,2),"Mon","Tue","Wed","Thu","Fri","Sat","Sun")</f>
        <v>Sat</v>
      </c>
      <c r="H5462" t="str">
        <f>IF(WEEKDAY(A5462,2)&gt;5,"Weekend","Weekday")</f>
        <v>Weekend</v>
      </c>
      <c r="I5462" t="str">
        <f>_xlfn.IFS(B5462&lt;=5,"Night (0-5)",B5462&lt;=9,"Morning peak (6-9)",B5462&lt;=15,"Midday (10-15)",B5462&lt;=19,"Evening peak (16-19)",TRUE,"Late evening (20-23)")</f>
        <v>Late evening (20-23)</v>
      </c>
    </row>
    <row r="5463" spans="1:9">
      <c r="A5463" s="32">
        <v>42049</v>
      </c>
      <c r="B5463">
        <v>23</v>
      </c>
      <c r="C5463">
        <v>7058</v>
      </c>
      <c r="D5463" t="s">
        <v>304</v>
      </c>
      <c r="E5463">
        <f>YEAR(A5463)</f>
        <v>2015</v>
      </c>
      <c r="F5463" s="33">
        <f>DATE(YEAR(A5463),MONTH(A5463),1)</f>
        <v>42036.0</v>
      </c>
      <c r="G5463" t="str">
        <f>CHOOSE(WEEKDAY(A5463,2),"Mon","Tue","Wed","Thu","Fri","Sat","Sun")</f>
        <v>Sat</v>
      </c>
      <c r="H5463" t="str">
        <f>IF(WEEKDAY(A5463,2)&gt;5,"Weekend","Weekday")</f>
        <v>Weekend</v>
      </c>
      <c r="I5463" t="str">
        <f>_xlfn.IFS(B5463&lt;=5,"Night (0-5)",B5463&lt;=9,"Morning peak (6-9)",B5463&lt;=15,"Midday (10-15)",B5463&lt;=19,"Evening peak (16-19)",TRUE,"Late evening (20-23)")</f>
        <v>Late evening (20-23)</v>
      </c>
    </row>
    <row r="5464" spans="1:9">
      <c r="A5464" s="32">
        <v>42050</v>
      </c>
      <c r="B5464">
        <v>0</v>
      </c>
      <c r="C5464">
        <v>6260</v>
      </c>
      <c r="D5464" t="s">
        <v>304</v>
      </c>
      <c r="E5464">
        <f>YEAR(A5464)</f>
        <v>2015</v>
      </c>
      <c r="F5464" s="33">
        <f>DATE(YEAR(A5464),MONTH(A5464),1)</f>
        <v>42036.0</v>
      </c>
      <c r="G5464" t="str">
        <f>CHOOSE(WEEKDAY(A5464,2),"Mon","Tue","Wed","Thu","Fri","Sat","Sun")</f>
        <v>Sun</v>
      </c>
      <c r="H5464" t="str">
        <f>IF(WEEKDAY(A5464,2)&gt;5,"Weekend","Weekday")</f>
        <v>Weekend</v>
      </c>
      <c r="I5464" t="str">
        <f>_xlfn.IFS(B5464&lt;=5,"Night (0-5)",B5464&lt;=9,"Morning peak (6-9)",B5464&lt;=15,"Midday (10-15)",B5464&lt;=19,"Evening peak (16-19)",TRUE,"Late evening (20-23)")</f>
        <v>Night (0-5)</v>
      </c>
    </row>
    <row r="5465" spans="1:9">
      <c r="A5465" s="32">
        <v>42050</v>
      </c>
      <c r="B5465">
        <v>1</v>
      </c>
      <c r="C5465">
        <v>4757</v>
      </c>
      <c r="D5465" t="s">
        <v>304</v>
      </c>
      <c r="E5465">
        <f>YEAR(A5465)</f>
        <v>2015</v>
      </c>
      <c r="F5465" s="33">
        <f>DATE(YEAR(A5465),MONTH(A5465),1)</f>
        <v>42036.0</v>
      </c>
      <c r="G5465" t="str">
        <f>CHOOSE(WEEKDAY(A5465,2),"Mon","Tue","Wed","Thu","Fri","Sat","Sun")</f>
        <v>Sun</v>
      </c>
      <c r="H5465" t="str">
        <f>IF(WEEKDAY(A5465,2)&gt;5,"Weekend","Weekday")</f>
        <v>Weekend</v>
      </c>
      <c r="I5465" t="str">
        <f>_xlfn.IFS(B5465&lt;=5,"Night (0-5)",B5465&lt;=9,"Morning peak (6-9)",B5465&lt;=15,"Midday (10-15)",B5465&lt;=19,"Evening peak (16-19)",TRUE,"Late evening (20-23)")</f>
        <v>Night (0-5)</v>
      </c>
    </row>
    <row r="5466" spans="1:9">
      <c r="A5466" s="32">
        <v>42050</v>
      </c>
      <c r="B5466">
        <v>2</v>
      </c>
      <c r="C5466">
        <v>3369</v>
      </c>
      <c r="D5466" t="s">
        <v>304</v>
      </c>
      <c r="E5466">
        <f>YEAR(A5466)</f>
        <v>2015</v>
      </c>
      <c r="F5466" s="33">
        <f>DATE(YEAR(A5466),MONTH(A5466),1)</f>
        <v>42036.0</v>
      </c>
      <c r="G5466" t="str">
        <f>CHOOSE(WEEKDAY(A5466,2),"Mon","Tue","Wed","Thu","Fri","Sat","Sun")</f>
        <v>Sun</v>
      </c>
      <c r="H5466" t="str">
        <f>IF(WEEKDAY(A5466,2)&gt;5,"Weekend","Weekday")</f>
        <v>Weekend</v>
      </c>
      <c r="I5466" t="str">
        <f>_xlfn.IFS(B5466&lt;=5,"Night (0-5)",B5466&lt;=9,"Morning peak (6-9)",B5466&lt;=15,"Midday (10-15)",B5466&lt;=19,"Evening peak (16-19)",TRUE,"Late evening (20-23)")</f>
        <v>Night (0-5)</v>
      </c>
    </row>
    <row r="5467" spans="1:9">
      <c r="A5467" s="32">
        <v>42050</v>
      </c>
      <c r="B5467">
        <v>3</v>
      </c>
      <c r="C5467">
        <v>2655</v>
      </c>
      <c r="D5467" t="s">
        <v>304</v>
      </c>
      <c r="E5467">
        <f>YEAR(A5467)</f>
        <v>2015</v>
      </c>
      <c r="F5467" s="33">
        <f>DATE(YEAR(A5467),MONTH(A5467),1)</f>
        <v>42036.0</v>
      </c>
      <c r="G5467" t="str">
        <f>CHOOSE(WEEKDAY(A5467,2),"Mon","Tue","Wed","Thu","Fri","Sat","Sun")</f>
        <v>Sun</v>
      </c>
      <c r="H5467" t="str">
        <f>IF(WEEKDAY(A5467,2)&gt;5,"Weekend","Weekday")</f>
        <v>Weekend</v>
      </c>
      <c r="I5467" t="str">
        <f>_xlfn.IFS(B5467&lt;=5,"Night (0-5)",B5467&lt;=9,"Morning peak (6-9)",B5467&lt;=15,"Midday (10-15)",B5467&lt;=19,"Evening peak (16-19)",TRUE,"Late evening (20-23)")</f>
        <v>Night (0-5)</v>
      </c>
    </row>
    <row r="5468" spans="1:9">
      <c r="A5468" s="32">
        <v>42050</v>
      </c>
      <c r="B5468">
        <v>4</v>
      </c>
      <c r="C5468">
        <v>1872</v>
      </c>
      <c r="D5468" t="s">
        <v>304</v>
      </c>
      <c r="E5468">
        <f>YEAR(A5468)</f>
        <v>2015</v>
      </c>
      <c r="F5468" s="33">
        <f>DATE(YEAR(A5468),MONTH(A5468),1)</f>
        <v>42036.0</v>
      </c>
      <c r="G5468" t="str">
        <f>CHOOSE(WEEKDAY(A5468,2),"Mon","Tue","Wed","Thu","Fri","Sat","Sun")</f>
        <v>Sun</v>
      </c>
      <c r="H5468" t="str">
        <f>IF(WEEKDAY(A5468,2)&gt;5,"Weekend","Weekday")</f>
        <v>Weekend</v>
      </c>
      <c r="I5468" t="str">
        <f>_xlfn.IFS(B5468&lt;=5,"Night (0-5)",B5468&lt;=9,"Morning peak (6-9)",B5468&lt;=15,"Midday (10-15)",B5468&lt;=19,"Evening peak (16-19)",TRUE,"Late evening (20-23)")</f>
        <v>Night (0-5)</v>
      </c>
    </row>
    <row r="5469" spans="1:9">
      <c r="A5469" s="32">
        <v>42050</v>
      </c>
      <c r="B5469">
        <v>5</v>
      </c>
      <c r="C5469">
        <v>998</v>
      </c>
      <c r="D5469" t="s">
        <v>304</v>
      </c>
      <c r="E5469">
        <f>YEAR(A5469)</f>
        <v>2015</v>
      </c>
      <c r="F5469" s="33">
        <f>DATE(YEAR(A5469),MONTH(A5469),1)</f>
        <v>42036.0</v>
      </c>
      <c r="G5469" t="str">
        <f>CHOOSE(WEEKDAY(A5469,2),"Mon","Tue","Wed","Thu","Fri","Sat","Sun")</f>
        <v>Sun</v>
      </c>
      <c r="H5469" t="str">
        <f>IF(WEEKDAY(A5469,2)&gt;5,"Weekend","Weekday")</f>
        <v>Weekend</v>
      </c>
      <c r="I5469" t="str">
        <f>_xlfn.IFS(B5469&lt;=5,"Night (0-5)",B5469&lt;=9,"Morning peak (6-9)",B5469&lt;=15,"Midday (10-15)",B5469&lt;=19,"Evening peak (16-19)",TRUE,"Late evening (20-23)")</f>
        <v>Night (0-5)</v>
      </c>
    </row>
    <row r="5470" spans="1:9">
      <c r="A5470" s="32">
        <v>42050</v>
      </c>
      <c r="B5470">
        <v>6</v>
      </c>
      <c r="C5470">
        <v>788</v>
      </c>
      <c r="D5470" t="s">
        <v>304</v>
      </c>
      <c r="E5470">
        <f>YEAR(A5470)</f>
        <v>2015</v>
      </c>
      <c r="F5470" s="33">
        <f>DATE(YEAR(A5470),MONTH(A5470),1)</f>
        <v>42036.0</v>
      </c>
      <c r="G5470" t="str">
        <f>CHOOSE(WEEKDAY(A5470,2),"Mon","Tue","Wed","Thu","Fri","Sat","Sun")</f>
        <v>Sun</v>
      </c>
      <c r="H5470" t="str">
        <f>IF(WEEKDAY(A5470,2)&gt;5,"Weekend","Weekday")</f>
        <v>Weekend</v>
      </c>
      <c r="I5470" t="str">
        <f>_xlfn.IFS(B5470&lt;=5,"Night (0-5)",B5470&lt;=9,"Morning peak (6-9)",B5470&lt;=15,"Midday (10-15)",B5470&lt;=19,"Evening peak (16-19)",TRUE,"Late evening (20-23)")</f>
        <v>Morning peak (6-9)</v>
      </c>
    </row>
    <row r="5471" spans="1:9">
      <c r="A5471" s="32">
        <v>42050</v>
      </c>
      <c r="B5471">
        <v>7</v>
      </c>
      <c r="C5471">
        <v>842</v>
      </c>
      <c r="D5471" t="s">
        <v>304</v>
      </c>
      <c r="E5471">
        <f>YEAR(A5471)</f>
        <v>2015</v>
      </c>
      <c r="F5471" s="33">
        <f>DATE(YEAR(A5471),MONTH(A5471),1)</f>
        <v>42036.0</v>
      </c>
      <c r="G5471" t="str">
        <f>CHOOSE(WEEKDAY(A5471,2),"Mon","Tue","Wed","Thu","Fri","Sat","Sun")</f>
        <v>Sun</v>
      </c>
      <c r="H5471" t="str">
        <f>IF(WEEKDAY(A5471,2)&gt;5,"Weekend","Weekday")</f>
        <v>Weekend</v>
      </c>
      <c r="I5471" t="str">
        <f>_xlfn.IFS(B5471&lt;=5,"Night (0-5)",B5471&lt;=9,"Morning peak (6-9)",B5471&lt;=15,"Midday (10-15)",B5471&lt;=19,"Evening peak (16-19)",TRUE,"Late evening (20-23)")</f>
        <v>Morning peak (6-9)</v>
      </c>
    </row>
    <row r="5472" spans="1:9">
      <c r="A5472" s="32">
        <v>42050</v>
      </c>
      <c r="B5472">
        <v>8</v>
      </c>
      <c r="C5472">
        <v>1210</v>
      </c>
      <c r="D5472" t="s">
        <v>304</v>
      </c>
      <c r="E5472">
        <f>YEAR(A5472)</f>
        <v>2015</v>
      </c>
      <c r="F5472" s="33">
        <f>DATE(YEAR(A5472),MONTH(A5472),1)</f>
        <v>42036.0</v>
      </c>
      <c r="G5472" t="str">
        <f>CHOOSE(WEEKDAY(A5472,2),"Mon","Tue","Wed","Thu","Fri","Sat","Sun")</f>
        <v>Sun</v>
      </c>
      <c r="H5472" t="str">
        <f>IF(WEEKDAY(A5472,2)&gt;5,"Weekend","Weekday")</f>
        <v>Weekend</v>
      </c>
      <c r="I5472" t="str">
        <f>_xlfn.IFS(B5472&lt;=5,"Night (0-5)",B5472&lt;=9,"Morning peak (6-9)",B5472&lt;=15,"Midday (10-15)",B5472&lt;=19,"Evening peak (16-19)",TRUE,"Late evening (20-23)")</f>
        <v>Morning peak (6-9)</v>
      </c>
    </row>
    <row r="5473" spans="1:9">
      <c r="A5473" s="32">
        <v>42050</v>
      </c>
      <c r="B5473">
        <v>9</v>
      </c>
      <c r="C5473">
        <v>1718</v>
      </c>
      <c r="D5473" t="s">
        <v>304</v>
      </c>
      <c r="E5473">
        <f>YEAR(A5473)</f>
        <v>2015</v>
      </c>
      <c r="F5473" s="33">
        <f>DATE(YEAR(A5473),MONTH(A5473),1)</f>
        <v>42036.0</v>
      </c>
      <c r="G5473" t="str">
        <f>CHOOSE(WEEKDAY(A5473,2),"Mon","Tue","Wed","Thu","Fri","Sat","Sun")</f>
        <v>Sun</v>
      </c>
      <c r="H5473" t="str">
        <f>IF(WEEKDAY(A5473,2)&gt;5,"Weekend","Weekday")</f>
        <v>Weekend</v>
      </c>
      <c r="I5473" t="str">
        <f>_xlfn.IFS(B5473&lt;=5,"Night (0-5)",B5473&lt;=9,"Morning peak (6-9)",B5473&lt;=15,"Midday (10-15)",B5473&lt;=19,"Evening peak (16-19)",TRUE,"Late evening (20-23)")</f>
        <v>Morning peak (6-9)</v>
      </c>
    </row>
    <row r="5474" spans="1:9">
      <c r="A5474" s="32">
        <v>42050</v>
      </c>
      <c r="B5474">
        <v>10</v>
      </c>
      <c r="C5474">
        <v>2434</v>
      </c>
      <c r="D5474" t="s">
        <v>304</v>
      </c>
      <c r="E5474">
        <f>YEAR(A5474)</f>
        <v>2015</v>
      </c>
      <c r="F5474" s="33">
        <f>DATE(YEAR(A5474),MONTH(A5474),1)</f>
        <v>42036.0</v>
      </c>
      <c r="G5474" t="str">
        <f>CHOOSE(WEEKDAY(A5474,2),"Mon","Tue","Wed","Thu","Fri","Sat","Sun")</f>
        <v>Sun</v>
      </c>
      <c r="H5474" t="str">
        <f>IF(WEEKDAY(A5474,2)&gt;5,"Weekend","Weekday")</f>
        <v>Weekend</v>
      </c>
      <c r="I5474" t="str">
        <f>_xlfn.IFS(B5474&lt;=5,"Night (0-5)",B5474&lt;=9,"Morning peak (6-9)",B5474&lt;=15,"Midday (10-15)",B5474&lt;=19,"Evening peak (16-19)",TRUE,"Late evening (20-23)")</f>
        <v>Midday (10-15)</v>
      </c>
    </row>
    <row r="5475" spans="1:9">
      <c r="A5475" s="32">
        <v>42050</v>
      </c>
      <c r="B5475">
        <v>11</v>
      </c>
      <c r="C5475">
        <v>3058</v>
      </c>
      <c r="D5475" t="s">
        <v>304</v>
      </c>
      <c r="E5475">
        <f>YEAR(A5475)</f>
        <v>2015</v>
      </c>
      <c r="F5475" s="33">
        <f>DATE(YEAR(A5475),MONTH(A5475),1)</f>
        <v>42036.0</v>
      </c>
      <c r="G5475" t="str">
        <f>CHOOSE(WEEKDAY(A5475,2),"Mon","Tue","Wed","Thu","Fri","Sat","Sun")</f>
        <v>Sun</v>
      </c>
      <c r="H5475" t="str">
        <f>IF(WEEKDAY(A5475,2)&gt;5,"Weekend","Weekday")</f>
        <v>Weekend</v>
      </c>
      <c r="I5475" t="str">
        <f>_xlfn.IFS(B5475&lt;=5,"Night (0-5)",B5475&lt;=9,"Morning peak (6-9)",B5475&lt;=15,"Midday (10-15)",B5475&lt;=19,"Evening peak (16-19)",TRUE,"Late evening (20-23)")</f>
        <v>Midday (10-15)</v>
      </c>
    </row>
    <row r="5476" spans="1:9">
      <c r="A5476" s="32">
        <v>42050</v>
      </c>
      <c r="B5476">
        <v>12</v>
      </c>
      <c r="C5476">
        <v>3449</v>
      </c>
      <c r="D5476" t="s">
        <v>304</v>
      </c>
      <c r="E5476">
        <f>YEAR(A5476)</f>
        <v>2015</v>
      </c>
      <c r="F5476" s="33">
        <f>DATE(YEAR(A5476),MONTH(A5476),1)</f>
        <v>42036.0</v>
      </c>
      <c r="G5476" t="str">
        <f>CHOOSE(WEEKDAY(A5476,2),"Mon","Tue","Wed","Thu","Fri","Sat","Sun")</f>
        <v>Sun</v>
      </c>
      <c r="H5476" t="str">
        <f>IF(WEEKDAY(A5476,2)&gt;5,"Weekend","Weekday")</f>
        <v>Weekend</v>
      </c>
      <c r="I5476" t="str">
        <f>_xlfn.IFS(B5476&lt;=5,"Night (0-5)",B5476&lt;=9,"Morning peak (6-9)",B5476&lt;=15,"Midday (10-15)",B5476&lt;=19,"Evening peak (16-19)",TRUE,"Late evening (20-23)")</f>
        <v>Midday (10-15)</v>
      </c>
    </row>
    <row r="5477" spans="1:9">
      <c r="A5477" s="32">
        <v>42050</v>
      </c>
      <c r="B5477">
        <v>13</v>
      </c>
      <c r="C5477">
        <v>3951</v>
      </c>
      <c r="D5477" t="s">
        <v>304</v>
      </c>
      <c r="E5477">
        <f>YEAR(A5477)</f>
        <v>2015</v>
      </c>
      <c r="F5477" s="33">
        <f>DATE(YEAR(A5477),MONTH(A5477),1)</f>
        <v>42036.0</v>
      </c>
      <c r="G5477" t="str">
        <f>CHOOSE(WEEKDAY(A5477,2),"Mon","Tue","Wed","Thu","Fri","Sat","Sun")</f>
        <v>Sun</v>
      </c>
      <c r="H5477" t="str">
        <f>IF(WEEKDAY(A5477,2)&gt;5,"Weekend","Weekday")</f>
        <v>Weekend</v>
      </c>
      <c r="I5477" t="str">
        <f>_xlfn.IFS(B5477&lt;=5,"Night (0-5)",B5477&lt;=9,"Morning peak (6-9)",B5477&lt;=15,"Midday (10-15)",B5477&lt;=19,"Evening peak (16-19)",TRUE,"Late evening (20-23)")</f>
        <v>Midday (10-15)</v>
      </c>
    </row>
    <row r="5478" spans="1:9">
      <c r="A5478" s="32">
        <v>42050</v>
      </c>
      <c r="B5478">
        <v>14</v>
      </c>
      <c r="C5478">
        <v>4147</v>
      </c>
      <c r="D5478" t="s">
        <v>304</v>
      </c>
      <c r="E5478">
        <f>YEAR(A5478)</f>
        <v>2015</v>
      </c>
      <c r="F5478" s="33">
        <f>DATE(YEAR(A5478),MONTH(A5478),1)</f>
        <v>42036.0</v>
      </c>
      <c r="G5478" t="str">
        <f>CHOOSE(WEEKDAY(A5478,2),"Mon","Tue","Wed","Thu","Fri","Sat","Sun")</f>
        <v>Sun</v>
      </c>
      <c r="H5478" t="str">
        <f>IF(WEEKDAY(A5478,2)&gt;5,"Weekend","Weekday")</f>
        <v>Weekend</v>
      </c>
      <c r="I5478" t="str">
        <f>_xlfn.IFS(B5478&lt;=5,"Night (0-5)",B5478&lt;=9,"Morning peak (6-9)",B5478&lt;=15,"Midday (10-15)",B5478&lt;=19,"Evening peak (16-19)",TRUE,"Late evening (20-23)")</f>
        <v>Midday (10-15)</v>
      </c>
    </row>
    <row r="5479" spans="1:9">
      <c r="A5479" s="32">
        <v>42050</v>
      </c>
      <c r="B5479">
        <v>15</v>
      </c>
      <c r="C5479">
        <v>4375</v>
      </c>
      <c r="D5479" t="s">
        <v>304</v>
      </c>
      <c r="E5479">
        <f>YEAR(A5479)</f>
        <v>2015</v>
      </c>
      <c r="F5479" s="33">
        <f>DATE(YEAR(A5479),MONTH(A5479),1)</f>
        <v>42036.0</v>
      </c>
      <c r="G5479" t="str">
        <f>CHOOSE(WEEKDAY(A5479,2),"Mon","Tue","Wed","Thu","Fri","Sat","Sun")</f>
        <v>Sun</v>
      </c>
      <c r="H5479" t="str">
        <f>IF(WEEKDAY(A5479,2)&gt;5,"Weekend","Weekday")</f>
        <v>Weekend</v>
      </c>
      <c r="I5479" t="str">
        <f>_xlfn.IFS(B5479&lt;=5,"Night (0-5)",B5479&lt;=9,"Morning peak (6-9)",B5479&lt;=15,"Midday (10-15)",B5479&lt;=19,"Evening peak (16-19)",TRUE,"Late evening (20-23)")</f>
        <v>Midday (10-15)</v>
      </c>
    </row>
    <row r="5480" spans="1:9">
      <c r="A5480" s="32">
        <v>42050</v>
      </c>
      <c r="B5480">
        <v>16</v>
      </c>
      <c r="C5480">
        <v>4976</v>
      </c>
      <c r="D5480" t="s">
        <v>304</v>
      </c>
      <c r="E5480">
        <f>YEAR(A5480)</f>
        <v>2015</v>
      </c>
      <c r="F5480" s="33">
        <f>DATE(YEAR(A5480),MONTH(A5480),1)</f>
        <v>42036.0</v>
      </c>
      <c r="G5480" t="str">
        <f>CHOOSE(WEEKDAY(A5480,2),"Mon","Tue","Wed","Thu","Fri","Sat","Sun")</f>
        <v>Sun</v>
      </c>
      <c r="H5480" t="str">
        <f>IF(WEEKDAY(A5480,2)&gt;5,"Weekend","Weekday")</f>
        <v>Weekend</v>
      </c>
      <c r="I5480" t="str">
        <f>_xlfn.IFS(B5480&lt;=5,"Night (0-5)",B5480&lt;=9,"Morning peak (6-9)",B5480&lt;=15,"Midday (10-15)",B5480&lt;=19,"Evening peak (16-19)",TRUE,"Late evening (20-23)")</f>
        <v>Evening peak (16-19)</v>
      </c>
    </row>
    <row r="5481" spans="1:9">
      <c r="A5481" s="32">
        <v>42050</v>
      </c>
      <c r="B5481">
        <v>17</v>
      </c>
      <c r="C5481">
        <v>5431</v>
      </c>
      <c r="D5481" t="s">
        <v>304</v>
      </c>
      <c r="E5481">
        <f>YEAR(A5481)</f>
        <v>2015</v>
      </c>
      <c r="F5481" s="33">
        <f>DATE(YEAR(A5481),MONTH(A5481),1)</f>
        <v>42036.0</v>
      </c>
      <c r="G5481" t="str">
        <f>CHOOSE(WEEKDAY(A5481,2),"Mon","Tue","Wed","Thu","Fri","Sat","Sun")</f>
        <v>Sun</v>
      </c>
      <c r="H5481" t="str">
        <f>IF(WEEKDAY(A5481,2)&gt;5,"Weekend","Weekday")</f>
        <v>Weekend</v>
      </c>
      <c r="I5481" t="str">
        <f>_xlfn.IFS(B5481&lt;=5,"Night (0-5)",B5481&lt;=9,"Morning peak (6-9)",B5481&lt;=15,"Midday (10-15)",B5481&lt;=19,"Evening peak (16-19)",TRUE,"Late evening (20-23)")</f>
        <v>Evening peak (16-19)</v>
      </c>
    </row>
    <row r="5482" spans="1:9">
      <c r="A5482" s="32">
        <v>42050</v>
      </c>
      <c r="B5482">
        <v>18</v>
      </c>
      <c r="C5482">
        <v>6272</v>
      </c>
      <c r="D5482" t="s">
        <v>304</v>
      </c>
      <c r="E5482">
        <f>YEAR(A5482)</f>
        <v>2015</v>
      </c>
      <c r="F5482" s="33">
        <f>DATE(YEAR(A5482),MONTH(A5482),1)</f>
        <v>42036.0</v>
      </c>
      <c r="G5482" t="str">
        <f>CHOOSE(WEEKDAY(A5482,2),"Mon","Tue","Wed","Thu","Fri","Sat","Sun")</f>
        <v>Sun</v>
      </c>
      <c r="H5482" t="str">
        <f>IF(WEEKDAY(A5482,2)&gt;5,"Weekend","Weekday")</f>
        <v>Weekend</v>
      </c>
      <c r="I5482" t="str">
        <f>_xlfn.IFS(B5482&lt;=5,"Night (0-5)",B5482&lt;=9,"Morning peak (6-9)",B5482&lt;=15,"Midday (10-15)",B5482&lt;=19,"Evening peak (16-19)",TRUE,"Late evening (20-23)")</f>
        <v>Evening peak (16-19)</v>
      </c>
    </row>
    <row r="5483" spans="1:9">
      <c r="A5483" s="32">
        <v>42050</v>
      </c>
      <c r="B5483">
        <v>19</v>
      </c>
      <c r="C5483">
        <v>6351</v>
      </c>
      <c r="D5483" t="s">
        <v>304</v>
      </c>
      <c r="E5483">
        <f>YEAR(A5483)</f>
        <v>2015</v>
      </c>
      <c r="F5483" s="33">
        <f>DATE(YEAR(A5483),MONTH(A5483),1)</f>
        <v>42036.0</v>
      </c>
      <c r="G5483" t="str">
        <f>CHOOSE(WEEKDAY(A5483,2),"Mon","Tue","Wed","Thu","Fri","Sat","Sun")</f>
        <v>Sun</v>
      </c>
      <c r="H5483" t="str">
        <f>IF(WEEKDAY(A5483,2)&gt;5,"Weekend","Weekday")</f>
        <v>Weekend</v>
      </c>
      <c r="I5483" t="str">
        <f>_xlfn.IFS(B5483&lt;=5,"Night (0-5)",B5483&lt;=9,"Morning peak (6-9)",B5483&lt;=15,"Midday (10-15)",B5483&lt;=19,"Evening peak (16-19)",TRUE,"Late evening (20-23)")</f>
        <v>Evening peak (16-19)</v>
      </c>
    </row>
    <row r="5484" spans="1:9">
      <c r="A5484" s="32">
        <v>42050</v>
      </c>
      <c r="B5484">
        <v>20</v>
      </c>
      <c r="C5484">
        <v>6032</v>
      </c>
      <c r="D5484" t="s">
        <v>304</v>
      </c>
      <c r="E5484">
        <f>YEAR(A5484)</f>
        <v>2015</v>
      </c>
      <c r="F5484" s="33">
        <f>DATE(YEAR(A5484),MONTH(A5484),1)</f>
        <v>42036.0</v>
      </c>
      <c r="G5484" t="str">
        <f>CHOOSE(WEEKDAY(A5484,2),"Mon","Tue","Wed","Thu","Fri","Sat","Sun")</f>
        <v>Sun</v>
      </c>
      <c r="H5484" t="str">
        <f>IF(WEEKDAY(A5484,2)&gt;5,"Weekend","Weekday")</f>
        <v>Weekend</v>
      </c>
      <c r="I5484" t="str">
        <f>_xlfn.IFS(B5484&lt;=5,"Night (0-5)",B5484&lt;=9,"Morning peak (6-9)",B5484&lt;=15,"Midday (10-15)",B5484&lt;=19,"Evening peak (16-19)",TRUE,"Late evening (20-23)")</f>
        <v>Late evening (20-23)</v>
      </c>
    </row>
    <row r="5485" spans="1:9">
      <c r="A5485" s="32">
        <v>42050</v>
      </c>
      <c r="B5485">
        <v>21</v>
      </c>
      <c r="C5485">
        <v>5795</v>
      </c>
      <c r="D5485" t="s">
        <v>304</v>
      </c>
      <c r="E5485">
        <f>YEAR(A5485)</f>
        <v>2015</v>
      </c>
      <c r="F5485" s="33">
        <f>DATE(YEAR(A5485),MONTH(A5485),1)</f>
        <v>42036.0</v>
      </c>
      <c r="G5485" t="str">
        <f>CHOOSE(WEEKDAY(A5485,2),"Mon","Tue","Wed","Thu","Fri","Sat","Sun")</f>
        <v>Sun</v>
      </c>
      <c r="H5485" t="str">
        <f>IF(WEEKDAY(A5485,2)&gt;5,"Weekend","Weekday")</f>
        <v>Weekend</v>
      </c>
      <c r="I5485" t="str">
        <f>_xlfn.IFS(B5485&lt;=5,"Night (0-5)",B5485&lt;=9,"Morning peak (6-9)",B5485&lt;=15,"Midday (10-15)",B5485&lt;=19,"Evening peak (16-19)",TRUE,"Late evening (20-23)")</f>
        <v>Late evening (20-23)</v>
      </c>
    </row>
    <row r="5486" spans="1:9">
      <c r="A5486" s="32">
        <v>42050</v>
      </c>
      <c r="B5486">
        <v>22</v>
      </c>
      <c r="C5486">
        <v>5573</v>
      </c>
      <c r="D5486" t="s">
        <v>304</v>
      </c>
      <c r="E5486">
        <f>YEAR(A5486)</f>
        <v>2015</v>
      </c>
      <c r="F5486" s="33">
        <f>DATE(YEAR(A5486),MONTH(A5486),1)</f>
        <v>42036.0</v>
      </c>
      <c r="G5486" t="str">
        <f>CHOOSE(WEEKDAY(A5486,2),"Mon","Tue","Wed","Thu","Fri","Sat","Sun")</f>
        <v>Sun</v>
      </c>
      <c r="H5486" t="str">
        <f>IF(WEEKDAY(A5486,2)&gt;5,"Weekend","Weekday")</f>
        <v>Weekend</v>
      </c>
      <c r="I5486" t="str">
        <f>_xlfn.IFS(B5486&lt;=5,"Night (0-5)",B5486&lt;=9,"Morning peak (6-9)",B5486&lt;=15,"Midday (10-15)",B5486&lt;=19,"Evening peak (16-19)",TRUE,"Late evening (20-23)")</f>
        <v>Late evening (20-23)</v>
      </c>
    </row>
    <row r="5487" spans="1:9">
      <c r="A5487" s="32">
        <v>42050</v>
      </c>
      <c r="B5487">
        <v>23</v>
      </c>
      <c r="C5487">
        <v>5007</v>
      </c>
      <c r="D5487" t="s">
        <v>304</v>
      </c>
      <c r="E5487">
        <f>YEAR(A5487)</f>
        <v>2015</v>
      </c>
      <c r="F5487" s="33">
        <f>DATE(YEAR(A5487),MONTH(A5487),1)</f>
        <v>42036.0</v>
      </c>
      <c r="G5487" t="str">
        <f>CHOOSE(WEEKDAY(A5487,2),"Mon","Tue","Wed","Thu","Fri","Sat","Sun")</f>
        <v>Sun</v>
      </c>
      <c r="H5487" t="str">
        <f>IF(WEEKDAY(A5487,2)&gt;5,"Weekend","Weekday")</f>
        <v>Weekend</v>
      </c>
      <c r="I5487" t="str">
        <f>_xlfn.IFS(B5487&lt;=5,"Night (0-5)",B5487&lt;=9,"Morning peak (6-9)",B5487&lt;=15,"Midday (10-15)",B5487&lt;=19,"Evening peak (16-19)",TRUE,"Late evening (20-23)")</f>
        <v>Late evening (20-23)</v>
      </c>
    </row>
    <row r="5488" spans="1:9">
      <c r="A5488" s="32">
        <v>42051</v>
      </c>
      <c r="B5488">
        <v>0</v>
      </c>
      <c r="C5488">
        <v>3881</v>
      </c>
      <c r="D5488" t="s">
        <v>304</v>
      </c>
      <c r="E5488">
        <f>YEAR(A5488)</f>
        <v>2015</v>
      </c>
      <c r="F5488" s="33">
        <f>DATE(YEAR(A5488),MONTH(A5488),1)</f>
        <v>42036.0</v>
      </c>
      <c r="G5488" t="str">
        <f>CHOOSE(WEEKDAY(A5488,2),"Mon","Tue","Wed","Thu","Fri","Sat","Sun")</f>
        <v>Mon</v>
      </c>
      <c r="H5488" t="str">
        <f>IF(WEEKDAY(A5488,2)&gt;5,"Weekend","Weekday")</f>
        <v>Weekday</v>
      </c>
      <c r="I5488" t="str">
        <f>_xlfn.IFS(B5488&lt;=5,"Night (0-5)",B5488&lt;=9,"Morning peak (6-9)",B5488&lt;=15,"Midday (10-15)",B5488&lt;=19,"Evening peak (16-19)",TRUE,"Late evening (20-23)")</f>
        <v>Night (0-5)</v>
      </c>
    </row>
    <row r="5489" spans="1:9">
      <c r="A5489" s="32">
        <v>42051</v>
      </c>
      <c r="B5489">
        <v>1</v>
      </c>
      <c r="C5489">
        <v>2438</v>
      </c>
      <c r="D5489" t="s">
        <v>304</v>
      </c>
      <c r="E5489">
        <f>YEAR(A5489)</f>
        <v>2015</v>
      </c>
      <c r="F5489" s="33">
        <f>DATE(YEAR(A5489),MONTH(A5489),1)</f>
        <v>42036.0</v>
      </c>
      <c r="G5489" t="str">
        <f>CHOOSE(WEEKDAY(A5489,2),"Mon","Tue","Wed","Thu","Fri","Sat","Sun")</f>
        <v>Mon</v>
      </c>
      <c r="H5489" t="str">
        <f>IF(WEEKDAY(A5489,2)&gt;5,"Weekend","Weekday")</f>
        <v>Weekday</v>
      </c>
      <c r="I5489" t="str">
        <f>_xlfn.IFS(B5489&lt;=5,"Night (0-5)",B5489&lt;=9,"Morning peak (6-9)",B5489&lt;=15,"Midday (10-15)",B5489&lt;=19,"Evening peak (16-19)",TRUE,"Late evening (20-23)")</f>
        <v>Night (0-5)</v>
      </c>
    </row>
    <row r="5490" spans="1:9">
      <c r="A5490" s="32">
        <v>42051</v>
      </c>
      <c r="B5490">
        <v>2</v>
      </c>
      <c r="C5490">
        <v>1598</v>
      </c>
      <c r="D5490" t="s">
        <v>304</v>
      </c>
      <c r="E5490">
        <f>YEAR(A5490)</f>
        <v>2015</v>
      </c>
      <c r="F5490" s="33">
        <f>DATE(YEAR(A5490),MONTH(A5490),1)</f>
        <v>42036.0</v>
      </c>
      <c r="G5490" t="str">
        <f>CHOOSE(WEEKDAY(A5490,2),"Mon","Tue","Wed","Thu","Fri","Sat","Sun")</f>
        <v>Mon</v>
      </c>
      <c r="H5490" t="str">
        <f>IF(WEEKDAY(A5490,2)&gt;5,"Weekend","Weekday")</f>
        <v>Weekday</v>
      </c>
      <c r="I5490" t="str">
        <f>_xlfn.IFS(B5490&lt;=5,"Night (0-5)",B5490&lt;=9,"Morning peak (6-9)",B5490&lt;=15,"Midday (10-15)",B5490&lt;=19,"Evening peak (16-19)",TRUE,"Late evening (20-23)")</f>
        <v>Night (0-5)</v>
      </c>
    </row>
    <row r="5491" spans="1:9">
      <c r="A5491" s="32">
        <v>42051</v>
      </c>
      <c r="B5491">
        <v>3</v>
      </c>
      <c r="C5491">
        <v>1197</v>
      </c>
      <c r="D5491" t="s">
        <v>304</v>
      </c>
      <c r="E5491">
        <f>YEAR(A5491)</f>
        <v>2015</v>
      </c>
      <c r="F5491" s="33">
        <f>DATE(YEAR(A5491),MONTH(A5491),1)</f>
        <v>42036.0</v>
      </c>
      <c r="G5491" t="str">
        <f>CHOOSE(WEEKDAY(A5491,2),"Mon","Tue","Wed","Thu","Fri","Sat","Sun")</f>
        <v>Mon</v>
      </c>
      <c r="H5491" t="str">
        <f>IF(WEEKDAY(A5491,2)&gt;5,"Weekend","Weekday")</f>
        <v>Weekday</v>
      </c>
      <c r="I5491" t="str">
        <f>_xlfn.IFS(B5491&lt;=5,"Night (0-5)",B5491&lt;=9,"Morning peak (6-9)",B5491&lt;=15,"Midday (10-15)",B5491&lt;=19,"Evening peak (16-19)",TRUE,"Late evening (20-23)")</f>
        <v>Night (0-5)</v>
      </c>
    </row>
    <row r="5492" spans="1:9">
      <c r="A5492" s="32">
        <v>42051</v>
      </c>
      <c r="B5492">
        <v>4</v>
      </c>
      <c r="C5492">
        <v>1010</v>
      </c>
      <c r="D5492" t="s">
        <v>304</v>
      </c>
      <c r="E5492">
        <f>YEAR(A5492)</f>
        <v>2015</v>
      </c>
      <c r="F5492" s="33">
        <f>DATE(YEAR(A5492),MONTH(A5492),1)</f>
        <v>42036.0</v>
      </c>
      <c r="G5492" t="str">
        <f>CHOOSE(WEEKDAY(A5492,2),"Mon","Tue","Wed","Thu","Fri","Sat","Sun")</f>
        <v>Mon</v>
      </c>
      <c r="H5492" t="str">
        <f>IF(WEEKDAY(A5492,2)&gt;5,"Weekend","Weekday")</f>
        <v>Weekday</v>
      </c>
      <c r="I5492" t="str">
        <f>_xlfn.IFS(B5492&lt;=5,"Night (0-5)",B5492&lt;=9,"Morning peak (6-9)",B5492&lt;=15,"Midday (10-15)",B5492&lt;=19,"Evening peak (16-19)",TRUE,"Late evening (20-23)")</f>
        <v>Night (0-5)</v>
      </c>
    </row>
    <row r="5493" spans="1:9">
      <c r="A5493" s="32">
        <v>42051</v>
      </c>
      <c r="B5493">
        <v>5</v>
      </c>
      <c r="C5493">
        <v>1096</v>
      </c>
      <c r="D5493" t="s">
        <v>304</v>
      </c>
      <c r="E5493">
        <f>YEAR(A5493)</f>
        <v>2015</v>
      </c>
      <c r="F5493" s="33">
        <f>DATE(YEAR(A5493),MONTH(A5493),1)</f>
        <v>42036.0</v>
      </c>
      <c r="G5493" t="str">
        <f>CHOOSE(WEEKDAY(A5493,2),"Mon","Tue","Wed","Thu","Fri","Sat","Sun")</f>
        <v>Mon</v>
      </c>
      <c r="H5493" t="str">
        <f>IF(WEEKDAY(A5493,2)&gt;5,"Weekend","Weekday")</f>
        <v>Weekday</v>
      </c>
      <c r="I5493" t="str">
        <f>_xlfn.IFS(B5493&lt;=5,"Night (0-5)",B5493&lt;=9,"Morning peak (6-9)",B5493&lt;=15,"Midday (10-15)",B5493&lt;=19,"Evening peak (16-19)",TRUE,"Late evening (20-23)")</f>
        <v>Night (0-5)</v>
      </c>
    </row>
    <row r="5494" spans="1:9">
      <c r="A5494" s="32">
        <v>42051</v>
      </c>
      <c r="B5494">
        <v>6</v>
      </c>
      <c r="C5494">
        <v>1290</v>
      </c>
      <c r="D5494" t="s">
        <v>304</v>
      </c>
      <c r="E5494">
        <f>YEAR(A5494)</f>
        <v>2015</v>
      </c>
      <c r="F5494" s="33">
        <f>DATE(YEAR(A5494),MONTH(A5494),1)</f>
        <v>42036.0</v>
      </c>
      <c r="G5494" t="str">
        <f>CHOOSE(WEEKDAY(A5494,2),"Mon","Tue","Wed","Thu","Fri","Sat","Sun")</f>
        <v>Mon</v>
      </c>
      <c r="H5494" t="str">
        <f>IF(WEEKDAY(A5494,2)&gt;5,"Weekend","Weekday")</f>
        <v>Weekday</v>
      </c>
      <c r="I5494" t="str">
        <f>_xlfn.IFS(B5494&lt;=5,"Night (0-5)",B5494&lt;=9,"Morning peak (6-9)",B5494&lt;=15,"Midday (10-15)",B5494&lt;=19,"Evening peak (16-19)",TRUE,"Late evening (20-23)")</f>
        <v>Morning peak (6-9)</v>
      </c>
    </row>
    <row r="5495" spans="1:9">
      <c r="A5495" s="32">
        <v>42051</v>
      </c>
      <c r="B5495">
        <v>7</v>
      </c>
      <c r="C5495">
        <v>1745</v>
      </c>
      <c r="D5495" t="s">
        <v>304</v>
      </c>
      <c r="E5495">
        <f>YEAR(A5495)</f>
        <v>2015</v>
      </c>
      <c r="F5495" s="33">
        <f>DATE(YEAR(A5495),MONTH(A5495),1)</f>
        <v>42036.0</v>
      </c>
      <c r="G5495" t="str">
        <f>CHOOSE(WEEKDAY(A5495,2),"Mon","Tue","Wed","Thu","Fri","Sat","Sun")</f>
        <v>Mon</v>
      </c>
      <c r="H5495" t="str">
        <f>IF(WEEKDAY(A5495,2)&gt;5,"Weekend","Weekday")</f>
        <v>Weekday</v>
      </c>
      <c r="I5495" t="str">
        <f>_xlfn.IFS(B5495&lt;=5,"Night (0-5)",B5495&lt;=9,"Morning peak (6-9)",B5495&lt;=15,"Midday (10-15)",B5495&lt;=19,"Evening peak (16-19)",TRUE,"Late evening (20-23)")</f>
        <v>Morning peak (6-9)</v>
      </c>
    </row>
    <row r="5496" spans="1:9">
      <c r="A5496" s="32">
        <v>42051</v>
      </c>
      <c r="B5496">
        <v>8</v>
      </c>
      <c r="C5496">
        <v>2479</v>
      </c>
      <c r="D5496" t="s">
        <v>304</v>
      </c>
      <c r="E5496">
        <f>YEAR(A5496)</f>
        <v>2015</v>
      </c>
      <c r="F5496" s="33">
        <f>DATE(YEAR(A5496),MONTH(A5496),1)</f>
        <v>42036.0</v>
      </c>
      <c r="G5496" t="str">
        <f>CHOOSE(WEEKDAY(A5496,2),"Mon","Tue","Wed","Thu","Fri","Sat","Sun")</f>
        <v>Mon</v>
      </c>
      <c r="H5496" t="str">
        <f>IF(WEEKDAY(A5496,2)&gt;5,"Weekend","Weekday")</f>
        <v>Weekday</v>
      </c>
      <c r="I5496" t="str">
        <f>_xlfn.IFS(B5496&lt;=5,"Night (0-5)",B5496&lt;=9,"Morning peak (6-9)",B5496&lt;=15,"Midday (10-15)",B5496&lt;=19,"Evening peak (16-19)",TRUE,"Late evening (20-23)")</f>
        <v>Morning peak (6-9)</v>
      </c>
    </row>
    <row r="5497" spans="1:9">
      <c r="A5497" s="32">
        <v>42051</v>
      </c>
      <c r="B5497">
        <v>9</v>
      </c>
      <c r="C5497">
        <v>3021</v>
      </c>
      <c r="D5497" t="s">
        <v>304</v>
      </c>
      <c r="E5497">
        <f>YEAR(A5497)</f>
        <v>2015</v>
      </c>
      <c r="F5497" s="33">
        <f>DATE(YEAR(A5497),MONTH(A5497),1)</f>
        <v>42036.0</v>
      </c>
      <c r="G5497" t="str">
        <f>CHOOSE(WEEKDAY(A5497,2),"Mon","Tue","Wed","Thu","Fri","Sat","Sun")</f>
        <v>Mon</v>
      </c>
      <c r="H5497" t="str">
        <f>IF(WEEKDAY(A5497,2)&gt;5,"Weekend","Weekday")</f>
        <v>Weekday</v>
      </c>
      <c r="I5497" t="str">
        <f>_xlfn.IFS(B5497&lt;=5,"Night (0-5)",B5497&lt;=9,"Morning peak (6-9)",B5497&lt;=15,"Midday (10-15)",B5497&lt;=19,"Evening peak (16-19)",TRUE,"Late evening (20-23)")</f>
        <v>Morning peak (6-9)</v>
      </c>
    </row>
    <row r="5498" spans="1:9">
      <c r="A5498" s="32">
        <v>42051</v>
      </c>
      <c r="B5498">
        <v>10</v>
      </c>
      <c r="C5498">
        <v>3159</v>
      </c>
      <c r="D5498" t="s">
        <v>304</v>
      </c>
      <c r="E5498">
        <f>YEAR(A5498)</f>
        <v>2015</v>
      </c>
      <c r="F5498" s="33">
        <f>DATE(YEAR(A5498),MONTH(A5498),1)</f>
        <v>42036.0</v>
      </c>
      <c r="G5498" t="str">
        <f>CHOOSE(WEEKDAY(A5498,2),"Mon","Tue","Wed","Thu","Fri","Sat","Sun")</f>
        <v>Mon</v>
      </c>
      <c r="H5498" t="str">
        <f>IF(WEEKDAY(A5498,2)&gt;5,"Weekend","Weekday")</f>
        <v>Weekday</v>
      </c>
      <c r="I5498" t="str">
        <f>_xlfn.IFS(B5498&lt;=5,"Night (0-5)",B5498&lt;=9,"Morning peak (6-9)",B5498&lt;=15,"Midday (10-15)",B5498&lt;=19,"Evening peak (16-19)",TRUE,"Late evening (20-23)")</f>
        <v>Midday (10-15)</v>
      </c>
    </row>
    <row r="5499" spans="1:9">
      <c r="A5499" s="32">
        <v>42051</v>
      </c>
      <c r="B5499">
        <v>11</v>
      </c>
      <c r="C5499">
        <v>3147</v>
      </c>
      <c r="D5499" t="s">
        <v>304</v>
      </c>
      <c r="E5499">
        <f>YEAR(A5499)</f>
        <v>2015</v>
      </c>
      <c r="F5499" s="33">
        <f>DATE(YEAR(A5499),MONTH(A5499),1)</f>
        <v>42036.0</v>
      </c>
      <c r="G5499" t="str">
        <f>CHOOSE(WEEKDAY(A5499,2),"Mon","Tue","Wed","Thu","Fri","Sat","Sun")</f>
        <v>Mon</v>
      </c>
      <c r="H5499" t="str">
        <f>IF(WEEKDAY(A5499,2)&gt;5,"Weekend","Weekday")</f>
        <v>Weekday</v>
      </c>
      <c r="I5499" t="str">
        <f>_xlfn.IFS(B5499&lt;=5,"Night (0-5)",B5499&lt;=9,"Morning peak (6-9)",B5499&lt;=15,"Midday (10-15)",B5499&lt;=19,"Evening peak (16-19)",TRUE,"Late evening (20-23)")</f>
        <v>Midday (10-15)</v>
      </c>
    </row>
    <row r="5500" spans="1:9">
      <c r="A5500" s="32">
        <v>42051</v>
      </c>
      <c r="B5500">
        <v>12</v>
      </c>
      <c r="C5500">
        <v>3311</v>
      </c>
      <c r="D5500" t="s">
        <v>304</v>
      </c>
      <c r="E5500">
        <f>YEAR(A5500)</f>
        <v>2015</v>
      </c>
      <c r="F5500" s="33">
        <f>DATE(YEAR(A5500),MONTH(A5500),1)</f>
        <v>42036.0</v>
      </c>
      <c r="G5500" t="str">
        <f>CHOOSE(WEEKDAY(A5500,2),"Mon","Tue","Wed","Thu","Fri","Sat","Sun")</f>
        <v>Mon</v>
      </c>
      <c r="H5500" t="str">
        <f>IF(WEEKDAY(A5500,2)&gt;5,"Weekend","Weekday")</f>
        <v>Weekday</v>
      </c>
      <c r="I5500" t="str">
        <f>_xlfn.IFS(B5500&lt;=5,"Night (0-5)",B5500&lt;=9,"Morning peak (6-9)",B5500&lt;=15,"Midday (10-15)",B5500&lt;=19,"Evening peak (16-19)",TRUE,"Late evening (20-23)")</f>
        <v>Midday (10-15)</v>
      </c>
    </row>
    <row r="5501" spans="1:9">
      <c r="A5501" s="32">
        <v>42051</v>
      </c>
      <c r="B5501">
        <v>13</v>
      </c>
      <c r="C5501">
        <v>3286</v>
      </c>
      <c r="D5501" t="s">
        <v>304</v>
      </c>
      <c r="E5501">
        <f>YEAR(A5501)</f>
        <v>2015</v>
      </c>
      <c r="F5501" s="33">
        <f>DATE(YEAR(A5501),MONTH(A5501),1)</f>
        <v>42036.0</v>
      </c>
      <c r="G5501" t="str">
        <f>CHOOSE(WEEKDAY(A5501,2),"Mon","Tue","Wed","Thu","Fri","Sat","Sun")</f>
        <v>Mon</v>
      </c>
      <c r="H5501" t="str">
        <f>IF(WEEKDAY(A5501,2)&gt;5,"Weekend","Weekday")</f>
        <v>Weekday</v>
      </c>
      <c r="I5501" t="str">
        <f>_xlfn.IFS(B5501&lt;=5,"Night (0-5)",B5501&lt;=9,"Morning peak (6-9)",B5501&lt;=15,"Midday (10-15)",B5501&lt;=19,"Evening peak (16-19)",TRUE,"Late evening (20-23)")</f>
        <v>Midday (10-15)</v>
      </c>
    </row>
    <row r="5502" spans="1:9">
      <c r="A5502" s="32">
        <v>42051</v>
      </c>
      <c r="B5502">
        <v>14</v>
      </c>
      <c r="C5502">
        <v>3430</v>
      </c>
      <c r="D5502" t="s">
        <v>304</v>
      </c>
      <c r="E5502">
        <f>YEAR(A5502)</f>
        <v>2015</v>
      </c>
      <c r="F5502" s="33">
        <f>DATE(YEAR(A5502),MONTH(A5502),1)</f>
        <v>42036.0</v>
      </c>
      <c r="G5502" t="str">
        <f>CHOOSE(WEEKDAY(A5502,2),"Mon","Tue","Wed","Thu","Fri","Sat","Sun")</f>
        <v>Mon</v>
      </c>
      <c r="H5502" t="str">
        <f>IF(WEEKDAY(A5502,2)&gt;5,"Weekend","Weekday")</f>
        <v>Weekday</v>
      </c>
      <c r="I5502" t="str">
        <f>_xlfn.IFS(B5502&lt;=5,"Night (0-5)",B5502&lt;=9,"Morning peak (6-9)",B5502&lt;=15,"Midday (10-15)",B5502&lt;=19,"Evening peak (16-19)",TRUE,"Late evening (20-23)")</f>
        <v>Midday (10-15)</v>
      </c>
    </row>
    <row r="5503" spans="1:9">
      <c r="A5503" s="32">
        <v>42051</v>
      </c>
      <c r="B5503">
        <v>15</v>
      </c>
      <c r="C5503">
        <v>3803</v>
      </c>
      <c r="D5503" t="s">
        <v>304</v>
      </c>
      <c r="E5503">
        <f>YEAR(A5503)</f>
        <v>2015</v>
      </c>
      <c r="F5503" s="33">
        <f>DATE(YEAR(A5503),MONTH(A5503),1)</f>
        <v>42036.0</v>
      </c>
      <c r="G5503" t="str">
        <f>CHOOSE(WEEKDAY(A5503,2),"Mon","Tue","Wed","Thu","Fri","Sat","Sun")</f>
        <v>Mon</v>
      </c>
      <c r="H5503" t="str">
        <f>IF(WEEKDAY(A5503,2)&gt;5,"Weekend","Weekday")</f>
        <v>Weekday</v>
      </c>
      <c r="I5503" t="str">
        <f>_xlfn.IFS(B5503&lt;=5,"Night (0-5)",B5503&lt;=9,"Morning peak (6-9)",B5503&lt;=15,"Midday (10-15)",B5503&lt;=19,"Evening peak (16-19)",TRUE,"Late evening (20-23)")</f>
        <v>Midday (10-15)</v>
      </c>
    </row>
    <row r="5504" spans="1:9">
      <c r="A5504" s="32">
        <v>42051</v>
      </c>
      <c r="B5504">
        <v>16</v>
      </c>
      <c r="C5504">
        <v>4070</v>
      </c>
      <c r="D5504" t="s">
        <v>304</v>
      </c>
      <c r="E5504">
        <f>YEAR(A5504)</f>
        <v>2015</v>
      </c>
      <c r="F5504" s="33">
        <f>DATE(YEAR(A5504),MONTH(A5504),1)</f>
        <v>42036.0</v>
      </c>
      <c r="G5504" t="str">
        <f>CHOOSE(WEEKDAY(A5504,2),"Mon","Tue","Wed","Thu","Fri","Sat","Sun")</f>
        <v>Mon</v>
      </c>
      <c r="H5504" t="str">
        <f>IF(WEEKDAY(A5504,2)&gt;5,"Weekend","Weekday")</f>
        <v>Weekday</v>
      </c>
      <c r="I5504" t="str">
        <f>_xlfn.IFS(B5504&lt;=5,"Night (0-5)",B5504&lt;=9,"Morning peak (6-9)",B5504&lt;=15,"Midday (10-15)",B5504&lt;=19,"Evening peak (16-19)",TRUE,"Late evening (20-23)")</f>
        <v>Evening peak (16-19)</v>
      </c>
    </row>
    <row r="5505" spans="1:9">
      <c r="A5505" s="32">
        <v>42051</v>
      </c>
      <c r="B5505">
        <v>17</v>
      </c>
      <c r="C5505">
        <v>4584</v>
      </c>
      <c r="D5505" t="s">
        <v>304</v>
      </c>
      <c r="E5505">
        <f>YEAR(A5505)</f>
        <v>2015</v>
      </c>
      <c r="F5505" s="33">
        <f>DATE(YEAR(A5505),MONTH(A5505),1)</f>
        <v>42036.0</v>
      </c>
      <c r="G5505" t="str">
        <f>CHOOSE(WEEKDAY(A5505,2),"Mon","Tue","Wed","Thu","Fri","Sat","Sun")</f>
        <v>Mon</v>
      </c>
      <c r="H5505" t="str">
        <f>IF(WEEKDAY(A5505,2)&gt;5,"Weekend","Weekday")</f>
        <v>Weekday</v>
      </c>
      <c r="I5505" t="str">
        <f>_xlfn.IFS(B5505&lt;=5,"Night (0-5)",B5505&lt;=9,"Morning peak (6-9)",B5505&lt;=15,"Midday (10-15)",B5505&lt;=19,"Evening peak (16-19)",TRUE,"Late evening (20-23)")</f>
        <v>Evening peak (16-19)</v>
      </c>
    </row>
    <row r="5506" spans="1:9">
      <c r="A5506" s="32">
        <v>42051</v>
      </c>
      <c r="B5506">
        <v>18</v>
      </c>
      <c r="C5506">
        <v>5235</v>
      </c>
      <c r="D5506" t="s">
        <v>304</v>
      </c>
      <c r="E5506">
        <f>YEAR(A5506)</f>
        <v>2015</v>
      </c>
      <c r="F5506" s="33">
        <f>DATE(YEAR(A5506),MONTH(A5506),1)</f>
        <v>42036.0</v>
      </c>
      <c r="G5506" t="str">
        <f>CHOOSE(WEEKDAY(A5506,2),"Mon","Tue","Wed","Thu","Fri","Sat","Sun")</f>
        <v>Mon</v>
      </c>
      <c r="H5506" t="str">
        <f>IF(WEEKDAY(A5506,2)&gt;5,"Weekend","Weekday")</f>
        <v>Weekday</v>
      </c>
      <c r="I5506" t="str">
        <f>_xlfn.IFS(B5506&lt;=5,"Night (0-5)",B5506&lt;=9,"Morning peak (6-9)",B5506&lt;=15,"Midday (10-15)",B5506&lt;=19,"Evening peak (16-19)",TRUE,"Late evening (20-23)")</f>
        <v>Evening peak (16-19)</v>
      </c>
    </row>
    <row r="5507" spans="1:9">
      <c r="A5507" s="32">
        <v>42051</v>
      </c>
      <c r="B5507">
        <v>19</v>
      </c>
      <c r="C5507">
        <v>5052</v>
      </c>
      <c r="D5507" t="s">
        <v>304</v>
      </c>
      <c r="E5507">
        <f>YEAR(A5507)</f>
        <v>2015</v>
      </c>
      <c r="F5507" s="33">
        <f>DATE(YEAR(A5507),MONTH(A5507),1)</f>
        <v>42036.0</v>
      </c>
      <c r="G5507" t="str">
        <f>CHOOSE(WEEKDAY(A5507,2),"Mon","Tue","Wed","Thu","Fri","Sat","Sun")</f>
        <v>Mon</v>
      </c>
      <c r="H5507" t="str">
        <f>IF(WEEKDAY(A5507,2)&gt;5,"Weekend","Weekday")</f>
        <v>Weekday</v>
      </c>
      <c r="I5507" t="str">
        <f>_xlfn.IFS(B5507&lt;=5,"Night (0-5)",B5507&lt;=9,"Morning peak (6-9)",B5507&lt;=15,"Midday (10-15)",B5507&lt;=19,"Evening peak (16-19)",TRUE,"Late evening (20-23)")</f>
        <v>Evening peak (16-19)</v>
      </c>
    </row>
    <row r="5508" spans="1:9">
      <c r="A5508" s="32">
        <v>42051</v>
      </c>
      <c r="B5508">
        <v>20</v>
      </c>
      <c r="C5508">
        <v>4400</v>
      </c>
      <c r="D5508" t="s">
        <v>304</v>
      </c>
      <c r="E5508">
        <f>YEAR(A5508)</f>
        <v>2015</v>
      </c>
      <c r="F5508" s="33">
        <f>DATE(YEAR(A5508),MONTH(A5508),1)</f>
        <v>42036.0</v>
      </c>
      <c r="G5508" t="str">
        <f>CHOOSE(WEEKDAY(A5508,2),"Mon","Tue","Wed","Thu","Fri","Sat","Sun")</f>
        <v>Mon</v>
      </c>
      <c r="H5508" t="str">
        <f>IF(WEEKDAY(A5508,2)&gt;5,"Weekend","Weekday")</f>
        <v>Weekday</v>
      </c>
      <c r="I5508" t="str">
        <f>_xlfn.IFS(B5508&lt;=5,"Night (0-5)",B5508&lt;=9,"Morning peak (6-9)",B5508&lt;=15,"Midday (10-15)",B5508&lt;=19,"Evening peak (16-19)",TRUE,"Late evening (20-23)")</f>
        <v>Late evening (20-23)</v>
      </c>
    </row>
    <row r="5509" spans="1:9">
      <c r="A5509" s="32">
        <v>42051</v>
      </c>
      <c r="B5509">
        <v>21</v>
      </c>
      <c r="C5509">
        <v>4024</v>
      </c>
      <c r="D5509" t="s">
        <v>304</v>
      </c>
      <c r="E5509">
        <f>YEAR(A5509)</f>
        <v>2015</v>
      </c>
      <c r="F5509" s="33">
        <f>DATE(YEAR(A5509),MONTH(A5509),1)</f>
        <v>42036.0</v>
      </c>
      <c r="G5509" t="str">
        <f>CHOOSE(WEEKDAY(A5509,2),"Mon","Tue","Wed","Thu","Fri","Sat","Sun")</f>
        <v>Mon</v>
      </c>
      <c r="H5509" t="str">
        <f>IF(WEEKDAY(A5509,2)&gt;5,"Weekend","Weekday")</f>
        <v>Weekday</v>
      </c>
      <c r="I5509" t="str">
        <f>_xlfn.IFS(B5509&lt;=5,"Night (0-5)",B5509&lt;=9,"Morning peak (6-9)",B5509&lt;=15,"Midday (10-15)",B5509&lt;=19,"Evening peak (16-19)",TRUE,"Late evening (20-23)")</f>
        <v>Late evening (20-23)</v>
      </c>
    </row>
    <row r="5510" spans="1:9">
      <c r="A5510" s="32">
        <v>42051</v>
      </c>
      <c r="B5510">
        <v>22</v>
      </c>
      <c r="C5510">
        <v>3631</v>
      </c>
      <c r="D5510" t="s">
        <v>304</v>
      </c>
      <c r="E5510">
        <f>YEAR(A5510)</f>
        <v>2015</v>
      </c>
      <c r="F5510" s="33">
        <f>DATE(YEAR(A5510),MONTH(A5510),1)</f>
        <v>42036.0</v>
      </c>
      <c r="G5510" t="str">
        <f>CHOOSE(WEEKDAY(A5510,2),"Mon","Tue","Wed","Thu","Fri","Sat","Sun")</f>
        <v>Mon</v>
      </c>
      <c r="H5510" t="str">
        <f>IF(WEEKDAY(A5510,2)&gt;5,"Weekend","Weekday")</f>
        <v>Weekday</v>
      </c>
      <c r="I5510" t="str">
        <f>_xlfn.IFS(B5510&lt;=5,"Night (0-5)",B5510&lt;=9,"Morning peak (6-9)",B5510&lt;=15,"Midday (10-15)",B5510&lt;=19,"Evening peak (16-19)",TRUE,"Late evening (20-23)")</f>
        <v>Late evening (20-23)</v>
      </c>
    </row>
    <row r="5511" spans="1:9">
      <c r="A5511" s="32">
        <v>42051</v>
      </c>
      <c r="B5511">
        <v>23</v>
      </c>
      <c r="C5511">
        <v>2785</v>
      </c>
      <c r="D5511" t="s">
        <v>304</v>
      </c>
      <c r="E5511">
        <f>YEAR(A5511)</f>
        <v>2015</v>
      </c>
      <c r="F5511" s="33">
        <f>DATE(YEAR(A5511),MONTH(A5511),1)</f>
        <v>42036.0</v>
      </c>
      <c r="G5511" t="str">
        <f>CHOOSE(WEEKDAY(A5511,2),"Mon","Tue","Wed","Thu","Fri","Sat","Sun")</f>
        <v>Mon</v>
      </c>
      <c r="H5511" t="str">
        <f>IF(WEEKDAY(A5511,2)&gt;5,"Weekend","Weekday")</f>
        <v>Weekday</v>
      </c>
      <c r="I5511" t="str">
        <f>_xlfn.IFS(B5511&lt;=5,"Night (0-5)",B5511&lt;=9,"Morning peak (6-9)",B5511&lt;=15,"Midday (10-15)",B5511&lt;=19,"Evening peak (16-19)",TRUE,"Late evening (20-23)")</f>
        <v>Late evening (20-23)</v>
      </c>
    </row>
    <row r="5512" spans="1:9">
      <c r="A5512" s="32">
        <v>42052</v>
      </c>
      <c r="B5512">
        <v>0</v>
      </c>
      <c r="C5512">
        <v>1838</v>
      </c>
      <c r="D5512" t="s">
        <v>304</v>
      </c>
      <c r="E5512">
        <f>YEAR(A5512)</f>
        <v>2015</v>
      </c>
      <c r="F5512" s="33">
        <f>DATE(YEAR(A5512),MONTH(A5512),1)</f>
        <v>42036.0</v>
      </c>
      <c r="G5512" t="str">
        <f>CHOOSE(WEEKDAY(A5512,2),"Mon","Tue","Wed","Thu","Fri","Sat","Sun")</f>
        <v>Tue</v>
      </c>
      <c r="H5512" t="str">
        <f>IF(WEEKDAY(A5512,2)&gt;5,"Weekend","Weekday")</f>
        <v>Weekday</v>
      </c>
      <c r="I5512" t="str">
        <f>_xlfn.IFS(B5512&lt;=5,"Night (0-5)",B5512&lt;=9,"Morning peak (6-9)",B5512&lt;=15,"Midday (10-15)",B5512&lt;=19,"Evening peak (16-19)",TRUE,"Late evening (20-23)")</f>
        <v>Night (0-5)</v>
      </c>
    </row>
    <row r="5513" spans="1:9">
      <c r="A5513" s="32">
        <v>42052</v>
      </c>
      <c r="B5513">
        <v>1</v>
      </c>
      <c r="C5513">
        <v>955</v>
      </c>
      <c r="D5513" t="s">
        <v>304</v>
      </c>
      <c r="E5513">
        <f>YEAR(A5513)</f>
        <v>2015</v>
      </c>
      <c r="F5513" s="33">
        <f>DATE(YEAR(A5513),MONTH(A5513),1)</f>
        <v>42036.0</v>
      </c>
      <c r="G5513" t="str">
        <f>CHOOSE(WEEKDAY(A5513,2),"Mon","Tue","Wed","Thu","Fri","Sat","Sun")</f>
        <v>Tue</v>
      </c>
      <c r="H5513" t="str">
        <f>IF(WEEKDAY(A5513,2)&gt;5,"Weekend","Weekday")</f>
        <v>Weekday</v>
      </c>
      <c r="I5513" t="str">
        <f>_xlfn.IFS(B5513&lt;=5,"Night (0-5)",B5513&lt;=9,"Morning peak (6-9)",B5513&lt;=15,"Midday (10-15)",B5513&lt;=19,"Evening peak (16-19)",TRUE,"Late evening (20-23)")</f>
        <v>Night (0-5)</v>
      </c>
    </row>
    <row r="5514" spans="1:9">
      <c r="A5514" s="32">
        <v>42052</v>
      </c>
      <c r="B5514">
        <v>2</v>
      </c>
      <c r="C5514">
        <v>576</v>
      </c>
      <c r="D5514" t="s">
        <v>304</v>
      </c>
      <c r="E5514">
        <f>YEAR(A5514)</f>
        <v>2015</v>
      </c>
      <c r="F5514" s="33">
        <f>DATE(YEAR(A5514),MONTH(A5514),1)</f>
        <v>42036.0</v>
      </c>
      <c r="G5514" t="str">
        <f>CHOOSE(WEEKDAY(A5514,2),"Mon","Tue","Wed","Thu","Fri","Sat","Sun")</f>
        <v>Tue</v>
      </c>
      <c r="H5514" t="str">
        <f>IF(WEEKDAY(A5514,2)&gt;5,"Weekend","Weekday")</f>
        <v>Weekday</v>
      </c>
      <c r="I5514" t="str">
        <f>_xlfn.IFS(B5514&lt;=5,"Night (0-5)",B5514&lt;=9,"Morning peak (6-9)",B5514&lt;=15,"Midday (10-15)",B5514&lt;=19,"Evening peak (16-19)",TRUE,"Late evening (20-23)")</f>
        <v>Night (0-5)</v>
      </c>
    </row>
    <row r="5515" spans="1:9">
      <c r="A5515" s="32">
        <v>42052</v>
      </c>
      <c r="B5515">
        <v>3</v>
      </c>
      <c r="C5515">
        <v>419</v>
      </c>
      <c r="D5515" t="s">
        <v>304</v>
      </c>
      <c r="E5515">
        <f>YEAR(A5515)</f>
        <v>2015</v>
      </c>
      <c r="F5515" s="33">
        <f>DATE(YEAR(A5515),MONTH(A5515),1)</f>
        <v>42036.0</v>
      </c>
      <c r="G5515" t="str">
        <f>CHOOSE(WEEKDAY(A5515,2),"Mon","Tue","Wed","Thu","Fri","Sat","Sun")</f>
        <v>Tue</v>
      </c>
      <c r="H5515" t="str">
        <f>IF(WEEKDAY(A5515,2)&gt;5,"Weekend","Weekday")</f>
        <v>Weekday</v>
      </c>
      <c r="I5515" t="str">
        <f>_xlfn.IFS(B5515&lt;=5,"Night (0-5)",B5515&lt;=9,"Morning peak (6-9)",B5515&lt;=15,"Midday (10-15)",B5515&lt;=19,"Evening peak (16-19)",TRUE,"Late evening (20-23)")</f>
        <v>Night (0-5)</v>
      </c>
    </row>
    <row r="5516" spans="1:9">
      <c r="A5516" s="32">
        <v>42052</v>
      </c>
      <c r="B5516">
        <v>4</v>
      </c>
      <c r="C5516">
        <v>650</v>
      </c>
      <c r="D5516" t="s">
        <v>304</v>
      </c>
      <c r="E5516">
        <f>YEAR(A5516)</f>
        <v>2015</v>
      </c>
      <c r="F5516" s="33">
        <f>DATE(YEAR(A5516),MONTH(A5516),1)</f>
        <v>42036.0</v>
      </c>
      <c r="G5516" t="str">
        <f>CHOOSE(WEEKDAY(A5516,2),"Mon","Tue","Wed","Thu","Fri","Sat","Sun")</f>
        <v>Tue</v>
      </c>
      <c r="H5516" t="str">
        <f>IF(WEEKDAY(A5516,2)&gt;5,"Weekend","Weekday")</f>
        <v>Weekday</v>
      </c>
      <c r="I5516" t="str">
        <f>_xlfn.IFS(B5516&lt;=5,"Night (0-5)",B5516&lt;=9,"Morning peak (6-9)",B5516&lt;=15,"Midday (10-15)",B5516&lt;=19,"Evening peak (16-19)",TRUE,"Late evening (20-23)")</f>
        <v>Night (0-5)</v>
      </c>
    </row>
    <row r="5517" spans="1:9">
      <c r="A5517" s="32">
        <v>42052</v>
      </c>
      <c r="B5517">
        <v>5</v>
      </c>
      <c r="C5517">
        <v>1067</v>
      </c>
      <c r="D5517" t="s">
        <v>304</v>
      </c>
      <c r="E5517">
        <f>YEAR(A5517)</f>
        <v>2015</v>
      </c>
      <c r="F5517" s="33">
        <f>DATE(YEAR(A5517),MONTH(A5517),1)</f>
        <v>42036.0</v>
      </c>
      <c r="G5517" t="str">
        <f>CHOOSE(WEEKDAY(A5517,2),"Mon","Tue","Wed","Thu","Fri","Sat","Sun")</f>
        <v>Tue</v>
      </c>
      <c r="H5517" t="str">
        <f>IF(WEEKDAY(A5517,2)&gt;5,"Weekend","Weekday")</f>
        <v>Weekday</v>
      </c>
      <c r="I5517" t="str">
        <f>_xlfn.IFS(B5517&lt;=5,"Night (0-5)",B5517&lt;=9,"Morning peak (6-9)",B5517&lt;=15,"Midday (10-15)",B5517&lt;=19,"Evening peak (16-19)",TRUE,"Late evening (20-23)")</f>
        <v>Night (0-5)</v>
      </c>
    </row>
    <row r="5518" spans="1:9">
      <c r="A5518" s="32">
        <v>42052</v>
      </c>
      <c r="B5518">
        <v>6</v>
      </c>
      <c r="C5518">
        <v>2290</v>
      </c>
      <c r="D5518" t="s">
        <v>304</v>
      </c>
      <c r="E5518">
        <f>YEAR(A5518)</f>
        <v>2015</v>
      </c>
      <c r="F5518" s="33">
        <f>DATE(YEAR(A5518),MONTH(A5518),1)</f>
        <v>42036.0</v>
      </c>
      <c r="G5518" t="str">
        <f>CHOOSE(WEEKDAY(A5518,2),"Mon","Tue","Wed","Thu","Fri","Sat","Sun")</f>
        <v>Tue</v>
      </c>
      <c r="H5518" t="str">
        <f>IF(WEEKDAY(A5518,2)&gt;5,"Weekend","Weekday")</f>
        <v>Weekday</v>
      </c>
      <c r="I5518" t="str">
        <f>_xlfn.IFS(B5518&lt;=5,"Night (0-5)",B5518&lt;=9,"Morning peak (6-9)",B5518&lt;=15,"Midday (10-15)",B5518&lt;=19,"Evening peak (16-19)",TRUE,"Late evening (20-23)")</f>
        <v>Morning peak (6-9)</v>
      </c>
    </row>
    <row r="5519" spans="1:9">
      <c r="A5519" s="32">
        <v>42052</v>
      </c>
      <c r="B5519">
        <v>7</v>
      </c>
      <c r="C5519">
        <v>3426</v>
      </c>
      <c r="D5519" t="s">
        <v>304</v>
      </c>
      <c r="E5519">
        <f>YEAR(A5519)</f>
        <v>2015</v>
      </c>
      <c r="F5519" s="33">
        <f>DATE(YEAR(A5519),MONTH(A5519),1)</f>
        <v>42036.0</v>
      </c>
      <c r="G5519" t="str">
        <f>CHOOSE(WEEKDAY(A5519,2),"Mon","Tue","Wed","Thu","Fri","Sat","Sun")</f>
        <v>Tue</v>
      </c>
      <c r="H5519" t="str">
        <f>IF(WEEKDAY(A5519,2)&gt;5,"Weekend","Weekday")</f>
        <v>Weekday</v>
      </c>
      <c r="I5519" t="str">
        <f>_xlfn.IFS(B5519&lt;=5,"Night (0-5)",B5519&lt;=9,"Morning peak (6-9)",B5519&lt;=15,"Midday (10-15)",B5519&lt;=19,"Evening peak (16-19)",TRUE,"Late evening (20-23)")</f>
        <v>Morning peak (6-9)</v>
      </c>
    </row>
    <row r="5520" spans="1:9">
      <c r="A5520" s="32">
        <v>42052</v>
      </c>
      <c r="B5520">
        <v>8</v>
      </c>
      <c r="C5520">
        <v>4481</v>
      </c>
      <c r="D5520" t="s">
        <v>304</v>
      </c>
      <c r="E5520">
        <f>YEAR(A5520)</f>
        <v>2015</v>
      </c>
      <c r="F5520" s="33">
        <f>DATE(YEAR(A5520),MONTH(A5520),1)</f>
        <v>42036.0</v>
      </c>
      <c r="G5520" t="str">
        <f>CHOOSE(WEEKDAY(A5520,2),"Mon","Tue","Wed","Thu","Fri","Sat","Sun")</f>
        <v>Tue</v>
      </c>
      <c r="H5520" t="str">
        <f>IF(WEEKDAY(A5520,2)&gt;5,"Weekend","Weekday")</f>
        <v>Weekday</v>
      </c>
      <c r="I5520" t="str">
        <f>_xlfn.IFS(B5520&lt;=5,"Night (0-5)",B5520&lt;=9,"Morning peak (6-9)",B5520&lt;=15,"Midday (10-15)",B5520&lt;=19,"Evening peak (16-19)",TRUE,"Late evening (20-23)")</f>
        <v>Morning peak (6-9)</v>
      </c>
    </row>
    <row r="5521" spans="1:9">
      <c r="A5521" s="32">
        <v>42052</v>
      </c>
      <c r="B5521">
        <v>9</v>
      </c>
      <c r="C5521">
        <v>4514</v>
      </c>
      <c r="D5521" t="s">
        <v>304</v>
      </c>
      <c r="E5521">
        <f>YEAR(A5521)</f>
        <v>2015</v>
      </c>
      <c r="F5521" s="33">
        <f>DATE(YEAR(A5521),MONTH(A5521),1)</f>
        <v>42036.0</v>
      </c>
      <c r="G5521" t="str">
        <f>CHOOSE(WEEKDAY(A5521,2),"Mon","Tue","Wed","Thu","Fri","Sat","Sun")</f>
        <v>Tue</v>
      </c>
      <c r="H5521" t="str">
        <f>IF(WEEKDAY(A5521,2)&gt;5,"Weekend","Weekday")</f>
        <v>Weekday</v>
      </c>
      <c r="I5521" t="str">
        <f>_xlfn.IFS(B5521&lt;=5,"Night (0-5)",B5521&lt;=9,"Morning peak (6-9)",B5521&lt;=15,"Midday (10-15)",B5521&lt;=19,"Evening peak (16-19)",TRUE,"Late evening (20-23)")</f>
        <v>Morning peak (6-9)</v>
      </c>
    </row>
    <row r="5522" spans="1:9">
      <c r="A5522" s="32">
        <v>42052</v>
      </c>
      <c r="B5522">
        <v>10</v>
      </c>
      <c r="C5522">
        <v>3596</v>
      </c>
      <c r="D5522" t="s">
        <v>304</v>
      </c>
      <c r="E5522">
        <f>YEAR(A5522)</f>
        <v>2015</v>
      </c>
      <c r="F5522" s="33">
        <f>DATE(YEAR(A5522),MONTH(A5522),1)</f>
        <v>42036.0</v>
      </c>
      <c r="G5522" t="str">
        <f>CHOOSE(WEEKDAY(A5522,2),"Mon","Tue","Wed","Thu","Fri","Sat","Sun")</f>
        <v>Tue</v>
      </c>
      <c r="H5522" t="str">
        <f>IF(WEEKDAY(A5522,2)&gt;5,"Weekend","Weekday")</f>
        <v>Weekday</v>
      </c>
      <c r="I5522" t="str">
        <f>_xlfn.IFS(B5522&lt;=5,"Night (0-5)",B5522&lt;=9,"Morning peak (6-9)",B5522&lt;=15,"Midday (10-15)",B5522&lt;=19,"Evening peak (16-19)",TRUE,"Late evening (20-23)")</f>
        <v>Midday (10-15)</v>
      </c>
    </row>
    <row r="5523" spans="1:9">
      <c r="A5523" s="32">
        <v>42052</v>
      </c>
      <c r="B5523">
        <v>11</v>
      </c>
      <c r="C5523">
        <v>3014</v>
      </c>
      <c r="D5523" t="s">
        <v>304</v>
      </c>
      <c r="E5523">
        <f>YEAR(A5523)</f>
        <v>2015</v>
      </c>
      <c r="F5523" s="33">
        <f>DATE(YEAR(A5523),MONTH(A5523),1)</f>
        <v>42036.0</v>
      </c>
      <c r="G5523" t="str">
        <f>CHOOSE(WEEKDAY(A5523,2),"Mon","Tue","Wed","Thu","Fri","Sat","Sun")</f>
        <v>Tue</v>
      </c>
      <c r="H5523" t="str">
        <f>IF(WEEKDAY(A5523,2)&gt;5,"Weekend","Weekday")</f>
        <v>Weekday</v>
      </c>
      <c r="I5523" t="str">
        <f>_xlfn.IFS(B5523&lt;=5,"Night (0-5)",B5523&lt;=9,"Morning peak (6-9)",B5523&lt;=15,"Midday (10-15)",B5523&lt;=19,"Evening peak (16-19)",TRUE,"Late evening (20-23)")</f>
        <v>Midday (10-15)</v>
      </c>
    </row>
    <row r="5524" spans="1:9">
      <c r="A5524" s="32">
        <v>42052</v>
      </c>
      <c r="B5524">
        <v>12</v>
      </c>
      <c r="C5524">
        <v>2896</v>
      </c>
      <c r="D5524" t="s">
        <v>304</v>
      </c>
      <c r="E5524">
        <f>YEAR(A5524)</f>
        <v>2015</v>
      </c>
      <c r="F5524" s="33">
        <f>DATE(YEAR(A5524),MONTH(A5524),1)</f>
        <v>42036.0</v>
      </c>
      <c r="G5524" t="str">
        <f>CHOOSE(WEEKDAY(A5524,2),"Mon","Tue","Wed","Thu","Fri","Sat","Sun")</f>
        <v>Tue</v>
      </c>
      <c r="H5524" t="str">
        <f>IF(WEEKDAY(A5524,2)&gt;5,"Weekend","Weekday")</f>
        <v>Weekday</v>
      </c>
      <c r="I5524" t="str">
        <f>_xlfn.IFS(B5524&lt;=5,"Night (0-5)",B5524&lt;=9,"Morning peak (6-9)",B5524&lt;=15,"Midday (10-15)",B5524&lt;=19,"Evening peak (16-19)",TRUE,"Late evening (20-23)")</f>
        <v>Midday (10-15)</v>
      </c>
    </row>
    <row r="5525" spans="1:9">
      <c r="A5525" s="32">
        <v>42052</v>
      </c>
      <c r="B5525">
        <v>13</v>
      </c>
      <c r="C5525">
        <v>2756</v>
      </c>
      <c r="D5525" t="s">
        <v>304</v>
      </c>
      <c r="E5525">
        <f>YEAR(A5525)</f>
        <v>2015</v>
      </c>
      <c r="F5525" s="33">
        <f>DATE(YEAR(A5525),MONTH(A5525),1)</f>
        <v>42036.0</v>
      </c>
      <c r="G5525" t="str">
        <f>CHOOSE(WEEKDAY(A5525,2),"Mon","Tue","Wed","Thu","Fri","Sat","Sun")</f>
        <v>Tue</v>
      </c>
      <c r="H5525" t="str">
        <f>IF(WEEKDAY(A5525,2)&gt;5,"Weekend","Weekday")</f>
        <v>Weekday</v>
      </c>
      <c r="I5525" t="str">
        <f>_xlfn.IFS(B5525&lt;=5,"Night (0-5)",B5525&lt;=9,"Morning peak (6-9)",B5525&lt;=15,"Midday (10-15)",B5525&lt;=19,"Evening peak (16-19)",TRUE,"Late evening (20-23)")</f>
        <v>Midday (10-15)</v>
      </c>
    </row>
    <row r="5526" spans="1:9">
      <c r="A5526" s="32">
        <v>42052</v>
      </c>
      <c r="B5526">
        <v>14</v>
      </c>
      <c r="C5526">
        <v>2982</v>
      </c>
      <c r="D5526" t="s">
        <v>304</v>
      </c>
      <c r="E5526">
        <f>YEAR(A5526)</f>
        <v>2015</v>
      </c>
      <c r="F5526" s="33">
        <f>DATE(YEAR(A5526),MONTH(A5526),1)</f>
        <v>42036.0</v>
      </c>
      <c r="G5526" t="str">
        <f>CHOOSE(WEEKDAY(A5526,2),"Mon","Tue","Wed","Thu","Fri","Sat","Sun")</f>
        <v>Tue</v>
      </c>
      <c r="H5526" t="str">
        <f>IF(WEEKDAY(A5526,2)&gt;5,"Weekend","Weekday")</f>
        <v>Weekday</v>
      </c>
      <c r="I5526" t="str">
        <f>_xlfn.IFS(B5526&lt;=5,"Night (0-5)",B5526&lt;=9,"Morning peak (6-9)",B5526&lt;=15,"Midday (10-15)",B5526&lt;=19,"Evening peak (16-19)",TRUE,"Late evening (20-23)")</f>
        <v>Midday (10-15)</v>
      </c>
    </row>
    <row r="5527" spans="1:9">
      <c r="A5527" s="32">
        <v>42052</v>
      </c>
      <c r="B5527">
        <v>15</v>
      </c>
      <c r="C5527">
        <v>3203</v>
      </c>
      <c r="D5527" t="s">
        <v>304</v>
      </c>
      <c r="E5527">
        <f>YEAR(A5527)</f>
        <v>2015</v>
      </c>
      <c r="F5527" s="33">
        <f>DATE(YEAR(A5527),MONTH(A5527),1)</f>
        <v>42036.0</v>
      </c>
      <c r="G5527" t="str">
        <f>CHOOSE(WEEKDAY(A5527,2),"Mon","Tue","Wed","Thu","Fri","Sat","Sun")</f>
        <v>Tue</v>
      </c>
      <c r="H5527" t="str">
        <f>IF(WEEKDAY(A5527,2)&gt;5,"Weekend","Weekday")</f>
        <v>Weekday</v>
      </c>
      <c r="I5527" t="str">
        <f>_xlfn.IFS(B5527&lt;=5,"Night (0-5)",B5527&lt;=9,"Morning peak (6-9)",B5527&lt;=15,"Midday (10-15)",B5527&lt;=19,"Evening peak (16-19)",TRUE,"Late evening (20-23)")</f>
        <v>Midday (10-15)</v>
      </c>
    </row>
    <row r="5528" spans="1:9">
      <c r="A5528" s="32">
        <v>42052</v>
      </c>
      <c r="B5528">
        <v>16</v>
      </c>
      <c r="C5528">
        <v>3807</v>
      </c>
      <c r="D5528" t="s">
        <v>304</v>
      </c>
      <c r="E5528">
        <f>YEAR(A5528)</f>
        <v>2015</v>
      </c>
      <c r="F5528" s="33">
        <f>DATE(YEAR(A5528),MONTH(A5528),1)</f>
        <v>42036.0</v>
      </c>
      <c r="G5528" t="str">
        <f>CHOOSE(WEEKDAY(A5528,2),"Mon","Tue","Wed","Thu","Fri","Sat","Sun")</f>
        <v>Tue</v>
      </c>
      <c r="H5528" t="str">
        <f>IF(WEEKDAY(A5528,2)&gt;5,"Weekend","Weekday")</f>
        <v>Weekday</v>
      </c>
      <c r="I5528" t="str">
        <f>_xlfn.IFS(B5528&lt;=5,"Night (0-5)",B5528&lt;=9,"Morning peak (6-9)",B5528&lt;=15,"Midday (10-15)",B5528&lt;=19,"Evening peak (16-19)",TRUE,"Late evening (20-23)")</f>
        <v>Evening peak (16-19)</v>
      </c>
    </row>
    <row r="5529" spans="1:9">
      <c r="A5529" s="32">
        <v>42052</v>
      </c>
      <c r="B5529">
        <v>17</v>
      </c>
      <c r="C5529">
        <v>4498</v>
      </c>
      <c r="D5529" t="s">
        <v>304</v>
      </c>
      <c r="E5529">
        <f>YEAR(A5529)</f>
        <v>2015</v>
      </c>
      <c r="F5529" s="33">
        <f>DATE(YEAR(A5529),MONTH(A5529),1)</f>
        <v>42036.0</v>
      </c>
      <c r="G5529" t="str">
        <f>CHOOSE(WEEKDAY(A5529,2),"Mon","Tue","Wed","Thu","Fri","Sat","Sun")</f>
        <v>Tue</v>
      </c>
      <c r="H5529" t="str">
        <f>IF(WEEKDAY(A5529,2)&gt;5,"Weekend","Weekday")</f>
        <v>Weekday</v>
      </c>
      <c r="I5529" t="str">
        <f>_xlfn.IFS(B5529&lt;=5,"Night (0-5)",B5529&lt;=9,"Morning peak (6-9)",B5529&lt;=15,"Midday (10-15)",B5529&lt;=19,"Evening peak (16-19)",TRUE,"Late evening (20-23)")</f>
        <v>Evening peak (16-19)</v>
      </c>
    </row>
    <row r="5530" spans="1:9">
      <c r="A5530" s="32">
        <v>42052</v>
      </c>
      <c r="B5530">
        <v>18</v>
      </c>
      <c r="C5530">
        <v>5395</v>
      </c>
      <c r="D5530" t="s">
        <v>304</v>
      </c>
      <c r="E5530">
        <f>YEAR(A5530)</f>
        <v>2015</v>
      </c>
      <c r="F5530" s="33">
        <f>DATE(YEAR(A5530),MONTH(A5530),1)</f>
        <v>42036.0</v>
      </c>
      <c r="G5530" t="str">
        <f>CHOOSE(WEEKDAY(A5530,2),"Mon","Tue","Wed","Thu","Fri","Sat","Sun")</f>
        <v>Tue</v>
      </c>
      <c r="H5530" t="str">
        <f>IF(WEEKDAY(A5530,2)&gt;5,"Weekend","Weekday")</f>
        <v>Weekday</v>
      </c>
      <c r="I5530" t="str">
        <f>_xlfn.IFS(B5530&lt;=5,"Night (0-5)",B5530&lt;=9,"Morning peak (6-9)",B5530&lt;=15,"Midday (10-15)",B5530&lt;=19,"Evening peak (16-19)",TRUE,"Late evening (20-23)")</f>
        <v>Evening peak (16-19)</v>
      </c>
    </row>
    <row r="5531" spans="1:9">
      <c r="A5531" s="32">
        <v>42052</v>
      </c>
      <c r="B5531">
        <v>19</v>
      </c>
      <c r="C5531">
        <v>5309</v>
      </c>
      <c r="D5531" t="s">
        <v>304</v>
      </c>
      <c r="E5531">
        <f>YEAR(A5531)</f>
        <v>2015</v>
      </c>
      <c r="F5531" s="33">
        <f>DATE(YEAR(A5531),MONTH(A5531),1)</f>
        <v>42036.0</v>
      </c>
      <c r="G5531" t="str">
        <f>CHOOSE(WEEKDAY(A5531,2),"Mon","Tue","Wed","Thu","Fri","Sat","Sun")</f>
        <v>Tue</v>
      </c>
      <c r="H5531" t="str">
        <f>IF(WEEKDAY(A5531,2)&gt;5,"Weekend","Weekday")</f>
        <v>Weekday</v>
      </c>
      <c r="I5531" t="str">
        <f>_xlfn.IFS(B5531&lt;=5,"Night (0-5)",B5531&lt;=9,"Morning peak (6-9)",B5531&lt;=15,"Midday (10-15)",B5531&lt;=19,"Evening peak (16-19)",TRUE,"Late evening (20-23)")</f>
        <v>Evening peak (16-19)</v>
      </c>
    </row>
    <row r="5532" spans="1:9">
      <c r="A5532" s="32">
        <v>42052</v>
      </c>
      <c r="B5532">
        <v>20</v>
      </c>
      <c r="C5532">
        <v>4906</v>
      </c>
      <c r="D5532" t="s">
        <v>304</v>
      </c>
      <c r="E5532">
        <f>YEAR(A5532)</f>
        <v>2015</v>
      </c>
      <c r="F5532" s="33">
        <f>DATE(YEAR(A5532),MONTH(A5532),1)</f>
        <v>42036.0</v>
      </c>
      <c r="G5532" t="str">
        <f>CHOOSE(WEEKDAY(A5532,2),"Mon","Tue","Wed","Thu","Fri","Sat","Sun")</f>
        <v>Tue</v>
      </c>
      <c r="H5532" t="str">
        <f>IF(WEEKDAY(A5532,2)&gt;5,"Weekend","Weekday")</f>
        <v>Weekday</v>
      </c>
      <c r="I5532" t="str">
        <f>_xlfn.IFS(B5532&lt;=5,"Night (0-5)",B5532&lt;=9,"Morning peak (6-9)",B5532&lt;=15,"Midday (10-15)",B5532&lt;=19,"Evening peak (16-19)",TRUE,"Late evening (20-23)")</f>
        <v>Late evening (20-23)</v>
      </c>
    </row>
    <row r="5533" spans="1:9">
      <c r="A5533" s="32">
        <v>42052</v>
      </c>
      <c r="B5533">
        <v>21</v>
      </c>
      <c r="C5533">
        <v>4531</v>
      </c>
      <c r="D5533" t="s">
        <v>304</v>
      </c>
      <c r="E5533">
        <f>YEAR(A5533)</f>
        <v>2015</v>
      </c>
      <c r="F5533" s="33">
        <f>DATE(YEAR(A5533),MONTH(A5533),1)</f>
        <v>42036.0</v>
      </c>
      <c r="G5533" t="str">
        <f>CHOOSE(WEEKDAY(A5533,2),"Mon","Tue","Wed","Thu","Fri","Sat","Sun")</f>
        <v>Tue</v>
      </c>
      <c r="H5533" t="str">
        <f>IF(WEEKDAY(A5533,2)&gt;5,"Weekend","Weekday")</f>
        <v>Weekday</v>
      </c>
      <c r="I5533" t="str">
        <f>_xlfn.IFS(B5533&lt;=5,"Night (0-5)",B5533&lt;=9,"Morning peak (6-9)",B5533&lt;=15,"Midday (10-15)",B5533&lt;=19,"Evening peak (16-19)",TRUE,"Late evening (20-23)")</f>
        <v>Late evening (20-23)</v>
      </c>
    </row>
    <row r="5534" spans="1:9">
      <c r="A5534" s="32">
        <v>42052</v>
      </c>
      <c r="B5534">
        <v>22</v>
      </c>
      <c r="C5534">
        <v>4003</v>
      </c>
      <c r="D5534" t="s">
        <v>304</v>
      </c>
      <c r="E5534">
        <f>YEAR(A5534)</f>
        <v>2015</v>
      </c>
      <c r="F5534" s="33">
        <f>DATE(YEAR(A5534),MONTH(A5534),1)</f>
        <v>42036.0</v>
      </c>
      <c r="G5534" t="str">
        <f>CHOOSE(WEEKDAY(A5534,2),"Mon","Tue","Wed","Thu","Fri","Sat","Sun")</f>
        <v>Tue</v>
      </c>
      <c r="H5534" t="str">
        <f>IF(WEEKDAY(A5534,2)&gt;5,"Weekend","Weekday")</f>
        <v>Weekday</v>
      </c>
      <c r="I5534" t="str">
        <f>_xlfn.IFS(B5534&lt;=5,"Night (0-5)",B5534&lt;=9,"Morning peak (6-9)",B5534&lt;=15,"Midday (10-15)",B5534&lt;=19,"Evening peak (16-19)",TRUE,"Late evening (20-23)")</f>
        <v>Late evening (20-23)</v>
      </c>
    </row>
    <row r="5535" spans="1:9">
      <c r="A5535" s="32">
        <v>42052</v>
      </c>
      <c r="B5535">
        <v>23</v>
      </c>
      <c r="C5535">
        <v>3109</v>
      </c>
      <c r="D5535" t="s">
        <v>304</v>
      </c>
      <c r="E5535">
        <f>YEAR(A5535)</f>
        <v>2015</v>
      </c>
      <c r="F5535" s="33">
        <f>DATE(YEAR(A5535),MONTH(A5535),1)</f>
        <v>42036.0</v>
      </c>
      <c r="G5535" t="str">
        <f>CHOOSE(WEEKDAY(A5535,2),"Mon","Tue","Wed","Thu","Fri","Sat","Sun")</f>
        <v>Tue</v>
      </c>
      <c r="H5535" t="str">
        <f>IF(WEEKDAY(A5535,2)&gt;5,"Weekend","Weekday")</f>
        <v>Weekday</v>
      </c>
      <c r="I5535" t="str">
        <f>_xlfn.IFS(B5535&lt;=5,"Night (0-5)",B5535&lt;=9,"Morning peak (6-9)",B5535&lt;=15,"Midday (10-15)",B5535&lt;=19,"Evening peak (16-19)",TRUE,"Late evening (20-23)")</f>
        <v>Late evening (20-23)</v>
      </c>
    </row>
    <row r="5536" spans="1:9">
      <c r="A5536" s="32">
        <v>42053</v>
      </c>
      <c r="B5536">
        <v>0</v>
      </c>
      <c r="C5536">
        <v>1981</v>
      </c>
      <c r="D5536" t="s">
        <v>304</v>
      </c>
      <c r="E5536">
        <f>YEAR(A5536)</f>
        <v>2015</v>
      </c>
      <c r="F5536" s="33">
        <f>DATE(YEAR(A5536),MONTH(A5536),1)</f>
        <v>42036.0</v>
      </c>
      <c r="G5536" t="str">
        <f>CHOOSE(WEEKDAY(A5536,2),"Mon","Tue","Wed","Thu","Fri","Sat","Sun")</f>
        <v>Wed</v>
      </c>
      <c r="H5536" t="str">
        <f>IF(WEEKDAY(A5536,2)&gt;5,"Weekend","Weekday")</f>
        <v>Weekday</v>
      </c>
      <c r="I5536" t="str">
        <f>_xlfn.IFS(B5536&lt;=5,"Night (0-5)",B5536&lt;=9,"Morning peak (6-9)",B5536&lt;=15,"Midday (10-15)",B5536&lt;=19,"Evening peak (16-19)",TRUE,"Late evening (20-23)")</f>
        <v>Night (0-5)</v>
      </c>
    </row>
    <row r="5537" spans="1:9">
      <c r="A5537" s="32">
        <v>42053</v>
      </c>
      <c r="B5537">
        <v>1</v>
      </c>
      <c r="C5537">
        <v>1060</v>
      </c>
      <c r="D5537" t="s">
        <v>304</v>
      </c>
      <c r="E5537">
        <f>YEAR(A5537)</f>
        <v>2015</v>
      </c>
      <c r="F5537" s="33">
        <f>DATE(YEAR(A5537),MONTH(A5537),1)</f>
        <v>42036.0</v>
      </c>
      <c r="G5537" t="str">
        <f>CHOOSE(WEEKDAY(A5537,2),"Mon","Tue","Wed","Thu","Fri","Sat","Sun")</f>
        <v>Wed</v>
      </c>
      <c r="H5537" t="str">
        <f>IF(WEEKDAY(A5537,2)&gt;5,"Weekend","Weekday")</f>
        <v>Weekday</v>
      </c>
      <c r="I5537" t="str">
        <f>_xlfn.IFS(B5537&lt;=5,"Night (0-5)",B5537&lt;=9,"Morning peak (6-9)",B5537&lt;=15,"Midday (10-15)",B5537&lt;=19,"Evening peak (16-19)",TRUE,"Late evening (20-23)")</f>
        <v>Night (0-5)</v>
      </c>
    </row>
    <row r="5538" spans="1:9">
      <c r="A5538" s="32">
        <v>42053</v>
      </c>
      <c r="B5538">
        <v>2</v>
      </c>
      <c r="C5538">
        <v>664</v>
      </c>
      <c r="D5538" t="s">
        <v>304</v>
      </c>
      <c r="E5538">
        <f>YEAR(A5538)</f>
        <v>2015</v>
      </c>
      <c r="F5538" s="33">
        <f>DATE(YEAR(A5538),MONTH(A5538),1)</f>
        <v>42036.0</v>
      </c>
      <c r="G5538" t="str">
        <f>CHOOSE(WEEKDAY(A5538,2),"Mon","Tue","Wed","Thu","Fri","Sat","Sun")</f>
        <v>Wed</v>
      </c>
      <c r="H5538" t="str">
        <f>IF(WEEKDAY(A5538,2)&gt;5,"Weekend","Weekday")</f>
        <v>Weekday</v>
      </c>
      <c r="I5538" t="str">
        <f>_xlfn.IFS(B5538&lt;=5,"Night (0-5)",B5538&lt;=9,"Morning peak (6-9)",B5538&lt;=15,"Midday (10-15)",B5538&lt;=19,"Evening peak (16-19)",TRUE,"Late evening (20-23)")</f>
        <v>Night (0-5)</v>
      </c>
    </row>
    <row r="5539" spans="1:9">
      <c r="A5539" s="32">
        <v>42053</v>
      </c>
      <c r="B5539">
        <v>3</v>
      </c>
      <c r="C5539">
        <v>433</v>
      </c>
      <c r="D5539" t="s">
        <v>304</v>
      </c>
      <c r="E5539">
        <f>YEAR(A5539)</f>
        <v>2015</v>
      </c>
      <c r="F5539" s="33">
        <f>DATE(YEAR(A5539),MONTH(A5539),1)</f>
        <v>42036.0</v>
      </c>
      <c r="G5539" t="str">
        <f>CHOOSE(WEEKDAY(A5539,2),"Mon","Tue","Wed","Thu","Fri","Sat","Sun")</f>
        <v>Wed</v>
      </c>
      <c r="H5539" t="str">
        <f>IF(WEEKDAY(A5539,2)&gt;5,"Weekend","Weekday")</f>
        <v>Weekday</v>
      </c>
      <c r="I5539" t="str">
        <f>_xlfn.IFS(B5539&lt;=5,"Night (0-5)",B5539&lt;=9,"Morning peak (6-9)",B5539&lt;=15,"Midday (10-15)",B5539&lt;=19,"Evening peak (16-19)",TRUE,"Late evening (20-23)")</f>
        <v>Night (0-5)</v>
      </c>
    </row>
    <row r="5540" spans="1:9">
      <c r="A5540" s="32">
        <v>42053</v>
      </c>
      <c r="B5540">
        <v>4</v>
      </c>
      <c r="C5540">
        <v>613</v>
      </c>
      <c r="D5540" t="s">
        <v>304</v>
      </c>
      <c r="E5540">
        <f>YEAR(A5540)</f>
        <v>2015</v>
      </c>
      <c r="F5540" s="33">
        <f>DATE(YEAR(A5540),MONTH(A5540),1)</f>
        <v>42036.0</v>
      </c>
      <c r="G5540" t="str">
        <f>CHOOSE(WEEKDAY(A5540,2),"Mon","Tue","Wed","Thu","Fri","Sat","Sun")</f>
        <v>Wed</v>
      </c>
      <c r="H5540" t="str">
        <f>IF(WEEKDAY(A5540,2)&gt;5,"Weekend","Weekday")</f>
        <v>Weekday</v>
      </c>
      <c r="I5540" t="str">
        <f>_xlfn.IFS(B5540&lt;=5,"Night (0-5)",B5540&lt;=9,"Morning peak (6-9)",B5540&lt;=15,"Midday (10-15)",B5540&lt;=19,"Evening peak (16-19)",TRUE,"Late evening (20-23)")</f>
        <v>Night (0-5)</v>
      </c>
    </row>
    <row r="5541" spans="1:9">
      <c r="A5541" s="32">
        <v>42053</v>
      </c>
      <c r="B5541">
        <v>5</v>
      </c>
      <c r="C5541">
        <v>968</v>
      </c>
      <c r="D5541" t="s">
        <v>304</v>
      </c>
      <c r="E5541">
        <f>YEAR(A5541)</f>
        <v>2015</v>
      </c>
      <c r="F5541" s="33">
        <f>DATE(YEAR(A5541),MONTH(A5541),1)</f>
        <v>42036.0</v>
      </c>
      <c r="G5541" t="str">
        <f>CHOOSE(WEEKDAY(A5541,2),"Mon","Tue","Wed","Thu","Fri","Sat","Sun")</f>
        <v>Wed</v>
      </c>
      <c r="H5541" t="str">
        <f>IF(WEEKDAY(A5541,2)&gt;5,"Weekend","Weekday")</f>
        <v>Weekday</v>
      </c>
      <c r="I5541" t="str">
        <f>_xlfn.IFS(B5541&lt;=5,"Night (0-5)",B5541&lt;=9,"Morning peak (6-9)",B5541&lt;=15,"Midday (10-15)",B5541&lt;=19,"Evening peak (16-19)",TRUE,"Late evening (20-23)")</f>
        <v>Night (0-5)</v>
      </c>
    </row>
    <row r="5542" spans="1:9">
      <c r="A5542" s="32">
        <v>42053</v>
      </c>
      <c r="B5542">
        <v>6</v>
      </c>
      <c r="C5542">
        <v>1834</v>
      </c>
      <c r="D5542" t="s">
        <v>304</v>
      </c>
      <c r="E5542">
        <f>YEAR(A5542)</f>
        <v>2015</v>
      </c>
      <c r="F5542" s="33">
        <f>DATE(YEAR(A5542),MONTH(A5542),1)</f>
        <v>42036.0</v>
      </c>
      <c r="G5542" t="str">
        <f>CHOOSE(WEEKDAY(A5542,2),"Mon","Tue","Wed","Thu","Fri","Sat","Sun")</f>
        <v>Wed</v>
      </c>
      <c r="H5542" t="str">
        <f>IF(WEEKDAY(A5542,2)&gt;5,"Weekend","Weekday")</f>
        <v>Weekday</v>
      </c>
      <c r="I5542" t="str">
        <f>_xlfn.IFS(B5542&lt;=5,"Night (0-5)",B5542&lt;=9,"Morning peak (6-9)",B5542&lt;=15,"Midday (10-15)",B5542&lt;=19,"Evening peak (16-19)",TRUE,"Late evening (20-23)")</f>
        <v>Morning peak (6-9)</v>
      </c>
    </row>
    <row r="5543" spans="1:9">
      <c r="A5543" s="32">
        <v>42053</v>
      </c>
      <c r="B5543">
        <v>7</v>
      </c>
      <c r="C5543">
        <v>3158</v>
      </c>
      <c r="D5543" t="s">
        <v>304</v>
      </c>
      <c r="E5543">
        <f>YEAR(A5543)</f>
        <v>2015</v>
      </c>
      <c r="F5543" s="33">
        <f>DATE(YEAR(A5543),MONTH(A5543),1)</f>
        <v>42036.0</v>
      </c>
      <c r="G5543" t="str">
        <f>CHOOSE(WEEKDAY(A5543,2),"Mon","Tue","Wed","Thu","Fri","Sat","Sun")</f>
        <v>Wed</v>
      </c>
      <c r="H5543" t="str">
        <f>IF(WEEKDAY(A5543,2)&gt;5,"Weekend","Weekday")</f>
        <v>Weekday</v>
      </c>
      <c r="I5543" t="str">
        <f>_xlfn.IFS(B5543&lt;=5,"Night (0-5)",B5543&lt;=9,"Morning peak (6-9)",B5543&lt;=15,"Midday (10-15)",B5543&lt;=19,"Evening peak (16-19)",TRUE,"Late evening (20-23)")</f>
        <v>Morning peak (6-9)</v>
      </c>
    </row>
    <row r="5544" spans="1:9">
      <c r="A5544" s="32">
        <v>42053</v>
      </c>
      <c r="B5544">
        <v>8</v>
      </c>
      <c r="C5544">
        <v>3932</v>
      </c>
      <c r="D5544" t="s">
        <v>304</v>
      </c>
      <c r="E5544">
        <f>YEAR(A5544)</f>
        <v>2015</v>
      </c>
      <c r="F5544" s="33">
        <f>DATE(YEAR(A5544),MONTH(A5544),1)</f>
        <v>42036.0</v>
      </c>
      <c r="G5544" t="str">
        <f>CHOOSE(WEEKDAY(A5544,2),"Mon","Tue","Wed","Thu","Fri","Sat","Sun")</f>
        <v>Wed</v>
      </c>
      <c r="H5544" t="str">
        <f>IF(WEEKDAY(A5544,2)&gt;5,"Weekend","Weekday")</f>
        <v>Weekday</v>
      </c>
      <c r="I5544" t="str">
        <f>_xlfn.IFS(B5544&lt;=5,"Night (0-5)",B5544&lt;=9,"Morning peak (6-9)",B5544&lt;=15,"Midday (10-15)",B5544&lt;=19,"Evening peak (16-19)",TRUE,"Late evening (20-23)")</f>
        <v>Morning peak (6-9)</v>
      </c>
    </row>
    <row r="5545" spans="1:9">
      <c r="A5545" s="32">
        <v>42053</v>
      </c>
      <c r="B5545">
        <v>9</v>
      </c>
      <c r="C5545">
        <v>3730</v>
      </c>
      <c r="D5545" t="s">
        <v>304</v>
      </c>
      <c r="E5545">
        <f>YEAR(A5545)</f>
        <v>2015</v>
      </c>
      <c r="F5545" s="33">
        <f>DATE(YEAR(A5545),MONTH(A5545),1)</f>
        <v>42036.0</v>
      </c>
      <c r="G5545" t="str">
        <f>CHOOSE(WEEKDAY(A5545,2),"Mon","Tue","Wed","Thu","Fri","Sat","Sun")</f>
        <v>Wed</v>
      </c>
      <c r="H5545" t="str">
        <f>IF(WEEKDAY(A5545,2)&gt;5,"Weekend","Weekday")</f>
        <v>Weekday</v>
      </c>
      <c r="I5545" t="str">
        <f>_xlfn.IFS(B5545&lt;=5,"Night (0-5)",B5545&lt;=9,"Morning peak (6-9)",B5545&lt;=15,"Midday (10-15)",B5545&lt;=19,"Evening peak (16-19)",TRUE,"Late evening (20-23)")</f>
        <v>Morning peak (6-9)</v>
      </c>
    </row>
    <row r="5546" spans="1:9">
      <c r="A5546" s="32">
        <v>42053</v>
      </c>
      <c r="B5546">
        <v>10</v>
      </c>
      <c r="C5546">
        <v>2958</v>
      </c>
      <c r="D5546" t="s">
        <v>304</v>
      </c>
      <c r="E5546">
        <f>YEAR(A5546)</f>
        <v>2015</v>
      </c>
      <c r="F5546" s="33">
        <f>DATE(YEAR(A5546),MONTH(A5546),1)</f>
        <v>42036.0</v>
      </c>
      <c r="G5546" t="str">
        <f>CHOOSE(WEEKDAY(A5546,2),"Mon","Tue","Wed","Thu","Fri","Sat","Sun")</f>
        <v>Wed</v>
      </c>
      <c r="H5546" t="str">
        <f>IF(WEEKDAY(A5546,2)&gt;5,"Weekend","Weekday")</f>
        <v>Weekday</v>
      </c>
      <c r="I5546" t="str">
        <f>_xlfn.IFS(B5546&lt;=5,"Night (0-5)",B5546&lt;=9,"Morning peak (6-9)",B5546&lt;=15,"Midday (10-15)",B5546&lt;=19,"Evening peak (16-19)",TRUE,"Late evening (20-23)")</f>
        <v>Midday (10-15)</v>
      </c>
    </row>
    <row r="5547" spans="1:9">
      <c r="A5547" s="32">
        <v>42053</v>
      </c>
      <c r="B5547">
        <v>11</v>
      </c>
      <c r="C5547">
        <v>2583</v>
      </c>
      <c r="D5547" t="s">
        <v>304</v>
      </c>
      <c r="E5547">
        <f>YEAR(A5547)</f>
        <v>2015</v>
      </c>
      <c r="F5547" s="33">
        <f>DATE(YEAR(A5547),MONTH(A5547),1)</f>
        <v>42036.0</v>
      </c>
      <c r="G5547" t="str">
        <f>CHOOSE(WEEKDAY(A5547,2),"Mon","Tue","Wed","Thu","Fri","Sat","Sun")</f>
        <v>Wed</v>
      </c>
      <c r="H5547" t="str">
        <f>IF(WEEKDAY(A5547,2)&gt;5,"Weekend","Weekday")</f>
        <v>Weekday</v>
      </c>
      <c r="I5547" t="str">
        <f>_xlfn.IFS(B5547&lt;=5,"Night (0-5)",B5547&lt;=9,"Morning peak (6-9)",B5547&lt;=15,"Midday (10-15)",B5547&lt;=19,"Evening peak (16-19)",TRUE,"Late evening (20-23)")</f>
        <v>Midday (10-15)</v>
      </c>
    </row>
    <row r="5548" spans="1:9">
      <c r="A5548" s="32">
        <v>42053</v>
      </c>
      <c r="B5548">
        <v>12</v>
      </c>
      <c r="C5548">
        <v>2609</v>
      </c>
      <c r="D5548" t="s">
        <v>304</v>
      </c>
      <c r="E5548">
        <f>YEAR(A5548)</f>
        <v>2015</v>
      </c>
      <c r="F5548" s="33">
        <f>DATE(YEAR(A5548),MONTH(A5548),1)</f>
        <v>42036.0</v>
      </c>
      <c r="G5548" t="str">
        <f>CHOOSE(WEEKDAY(A5548,2),"Mon","Tue","Wed","Thu","Fri","Sat","Sun")</f>
        <v>Wed</v>
      </c>
      <c r="H5548" t="str">
        <f>IF(WEEKDAY(A5548,2)&gt;5,"Weekend","Weekday")</f>
        <v>Weekday</v>
      </c>
      <c r="I5548" t="str">
        <f>_xlfn.IFS(B5548&lt;=5,"Night (0-5)",B5548&lt;=9,"Morning peak (6-9)",B5548&lt;=15,"Midday (10-15)",B5548&lt;=19,"Evening peak (16-19)",TRUE,"Late evening (20-23)")</f>
        <v>Midday (10-15)</v>
      </c>
    </row>
    <row r="5549" spans="1:9">
      <c r="A5549" s="32">
        <v>42053</v>
      </c>
      <c r="B5549">
        <v>13</v>
      </c>
      <c r="C5549">
        <v>2488</v>
      </c>
      <c r="D5549" t="s">
        <v>304</v>
      </c>
      <c r="E5549">
        <f>YEAR(A5549)</f>
        <v>2015</v>
      </c>
      <c r="F5549" s="33">
        <f>DATE(YEAR(A5549),MONTH(A5549),1)</f>
        <v>42036.0</v>
      </c>
      <c r="G5549" t="str">
        <f>CHOOSE(WEEKDAY(A5549,2),"Mon","Tue","Wed","Thu","Fri","Sat","Sun")</f>
        <v>Wed</v>
      </c>
      <c r="H5549" t="str">
        <f>IF(WEEKDAY(A5549,2)&gt;5,"Weekend","Weekday")</f>
        <v>Weekday</v>
      </c>
      <c r="I5549" t="str">
        <f>_xlfn.IFS(B5549&lt;=5,"Night (0-5)",B5549&lt;=9,"Morning peak (6-9)",B5549&lt;=15,"Midday (10-15)",B5549&lt;=19,"Evening peak (16-19)",TRUE,"Late evening (20-23)")</f>
        <v>Midday (10-15)</v>
      </c>
    </row>
    <row r="5550" spans="1:9">
      <c r="A5550" s="32">
        <v>42053</v>
      </c>
      <c r="B5550">
        <v>14</v>
      </c>
      <c r="C5550">
        <v>2762</v>
      </c>
      <c r="D5550" t="s">
        <v>304</v>
      </c>
      <c r="E5550">
        <f>YEAR(A5550)</f>
        <v>2015</v>
      </c>
      <c r="F5550" s="33">
        <f>DATE(YEAR(A5550),MONTH(A5550),1)</f>
        <v>42036.0</v>
      </c>
      <c r="G5550" t="str">
        <f>CHOOSE(WEEKDAY(A5550,2),"Mon","Tue","Wed","Thu","Fri","Sat","Sun")</f>
        <v>Wed</v>
      </c>
      <c r="H5550" t="str">
        <f>IF(WEEKDAY(A5550,2)&gt;5,"Weekend","Weekday")</f>
        <v>Weekday</v>
      </c>
      <c r="I5550" t="str">
        <f>_xlfn.IFS(B5550&lt;=5,"Night (0-5)",B5550&lt;=9,"Morning peak (6-9)",B5550&lt;=15,"Midday (10-15)",B5550&lt;=19,"Evening peak (16-19)",TRUE,"Late evening (20-23)")</f>
        <v>Midday (10-15)</v>
      </c>
    </row>
    <row r="5551" spans="1:9">
      <c r="A5551" s="32">
        <v>42053</v>
      </c>
      <c r="B5551">
        <v>15</v>
      </c>
      <c r="C5551">
        <v>3134</v>
      </c>
      <c r="D5551" t="s">
        <v>304</v>
      </c>
      <c r="E5551">
        <f>YEAR(A5551)</f>
        <v>2015</v>
      </c>
      <c r="F5551" s="33">
        <f>DATE(YEAR(A5551),MONTH(A5551),1)</f>
        <v>42036.0</v>
      </c>
      <c r="G5551" t="str">
        <f>CHOOSE(WEEKDAY(A5551,2),"Mon","Tue","Wed","Thu","Fri","Sat","Sun")</f>
        <v>Wed</v>
      </c>
      <c r="H5551" t="str">
        <f>IF(WEEKDAY(A5551,2)&gt;5,"Weekend","Weekday")</f>
        <v>Weekday</v>
      </c>
      <c r="I5551" t="str">
        <f>_xlfn.IFS(B5551&lt;=5,"Night (0-5)",B5551&lt;=9,"Morning peak (6-9)",B5551&lt;=15,"Midday (10-15)",B5551&lt;=19,"Evening peak (16-19)",TRUE,"Late evening (20-23)")</f>
        <v>Midday (10-15)</v>
      </c>
    </row>
    <row r="5552" spans="1:9">
      <c r="A5552" s="32">
        <v>42053</v>
      </c>
      <c r="B5552">
        <v>16</v>
      </c>
      <c r="C5552">
        <v>3815</v>
      </c>
      <c r="D5552" t="s">
        <v>304</v>
      </c>
      <c r="E5552">
        <f>YEAR(A5552)</f>
        <v>2015</v>
      </c>
      <c r="F5552" s="33">
        <f>DATE(YEAR(A5552),MONTH(A5552),1)</f>
        <v>42036.0</v>
      </c>
      <c r="G5552" t="str">
        <f>CHOOSE(WEEKDAY(A5552,2),"Mon","Tue","Wed","Thu","Fri","Sat","Sun")</f>
        <v>Wed</v>
      </c>
      <c r="H5552" t="str">
        <f>IF(WEEKDAY(A5552,2)&gt;5,"Weekend","Weekday")</f>
        <v>Weekday</v>
      </c>
      <c r="I5552" t="str">
        <f>_xlfn.IFS(B5552&lt;=5,"Night (0-5)",B5552&lt;=9,"Morning peak (6-9)",B5552&lt;=15,"Midday (10-15)",B5552&lt;=19,"Evening peak (16-19)",TRUE,"Late evening (20-23)")</f>
        <v>Evening peak (16-19)</v>
      </c>
    </row>
    <row r="5553" spans="1:9">
      <c r="A5553" s="32">
        <v>42053</v>
      </c>
      <c r="B5553">
        <v>17</v>
      </c>
      <c r="C5553">
        <v>4649</v>
      </c>
      <c r="D5553" t="s">
        <v>304</v>
      </c>
      <c r="E5553">
        <f>YEAR(A5553)</f>
        <v>2015</v>
      </c>
      <c r="F5553" s="33">
        <f>DATE(YEAR(A5553),MONTH(A5553),1)</f>
        <v>42036.0</v>
      </c>
      <c r="G5553" t="str">
        <f>CHOOSE(WEEKDAY(A5553,2),"Mon","Tue","Wed","Thu","Fri","Sat","Sun")</f>
        <v>Wed</v>
      </c>
      <c r="H5553" t="str">
        <f>IF(WEEKDAY(A5553,2)&gt;5,"Weekend","Weekday")</f>
        <v>Weekday</v>
      </c>
      <c r="I5553" t="str">
        <f>_xlfn.IFS(B5553&lt;=5,"Night (0-5)",B5553&lt;=9,"Morning peak (6-9)",B5553&lt;=15,"Midday (10-15)",B5553&lt;=19,"Evening peak (16-19)",TRUE,"Late evening (20-23)")</f>
        <v>Evening peak (16-19)</v>
      </c>
    </row>
    <row r="5554" spans="1:9">
      <c r="A5554" s="32">
        <v>42053</v>
      </c>
      <c r="B5554">
        <v>18</v>
      </c>
      <c r="C5554">
        <v>5736</v>
      </c>
      <c r="D5554" t="s">
        <v>304</v>
      </c>
      <c r="E5554">
        <f>YEAR(A5554)</f>
        <v>2015</v>
      </c>
      <c r="F5554" s="33">
        <f>DATE(YEAR(A5554),MONTH(A5554),1)</f>
        <v>42036.0</v>
      </c>
      <c r="G5554" t="str">
        <f>CHOOSE(WEEKDAY(A5554,2),"Mon","Tue","Wed","Thu","Fri","Sat","Sun")</f>
        <v>Wed</v>
      </c>
      <c r="H5554" t="str">
        <f>IF(WEEKDAY(A5554,2)&gt;5,"Weekend","Weekday")</f>
        <v>Weekday</v>
      </c>
      <c r="I5554" t="str">
        <f>_xlfn.IFS(B5554&lt;=5,"Night (0-5)",B5554&lt;=9,"Morning peak (6-9)",B5554&lt;=15,"Midday (10-15)",B5554&lt;=19,"Evening peak (16-19)",TRUE,"Late evening (20-23)")</f>
        <v>Evening peak (16-19)</v>
      </c>
    </row>
    <row r="5555" spans="1:9">
      <c r="A5555" s="32">
        <v>42053</v>
      </c>
      <c r="B5555">
        <v>19</v>
      </c>
      <c r="C5555">
        <v>5957</v>
      </c>
      <c r="D5555" t="s">
        <v>304</v>
      </c>
      <c r="E5555">
        <f>YEAR(A5555)</f>
        <v>2015</v>
      </c>
      <c r="F5555" s="33">
        <f>DATE(YEAR(A5555),MONTH(A5555),1)</f>
        <v>42036.0</v>
      </c>
      <c r="G5555" t="str">
        <f>CHOOSE(WEEKDAY(A5555,2),"Mon","Tue","Wed","Thu","Fri","Sat","Sun")</f>
        <v>Wed</v>
      </c>
      <c r="H5555" t="str">
        <f>IF(WEEKDAY(A5555,2)&gt;5,"Weekend","Weekday")</f>
        <v>Weekday</v>
      </c>
      <c r="I5555" t="str">
        <f>_xlfn.IFS(B5555&lt;=5,"Night (0-5)",B5555&lt;=9,"Morning peak (6-9)",B5555&lt;=15,"Midday (10-15)",B5555&lt;=19,"Evening peak (16-19)",TRUE,"Late evening (20-23)")</f>
        <v>Evening peak (16-19)</v>
      </c>
    </row>
    <row r="5556" spans="1:9">
      <c r="A5556" s="32">
        <v>42053</v>
      </c>
      <c r="B5556">
        <v>20</v>
      </c>
      <c r="C5556">
        <v>5528</v>
      </c>
      <c r="D5556" t="s">
        <v>304</v>
      </c>
      <c r="E5556">
        <f>YEAR(A5556)</f>
        <v>2015</v>
      </c>
      <c r="F5556" s="33">
        <f>DATE(YEAR(A5556),MONTH(A5556),1)</f>
        <v>42036.0</v>
      </c>
      <c r="G5556" t="str">
        <f>CHOOSE(WEEKDAY(A5556,2),"Mon","Tue","Wed","Thu","Fri","Sat","Sun")</f>
        <v>Wed</v>
      </c>
      <c r="H5556" t="str">
        <f>IF(WEEKDAY(A5556,2)&gt;5,"Weekend","Weekday")</f>
        <v>Weekday</v>
      </c>
      <c r="I5556" t="str">
        <f>_xlfn.IFS(B5556&lt;=5,"Night (0-5)",B5556&lt;=9,"Morning peak (6-9)",B5556&lt;=15,"Midday (10-15)",B5556&lt;=19,"Evening peak (16-19)",TRUE,"Late evening (20-23)")</f>
        <v>Late evening (20-23)</v>
      </c>
    </row>
    <row r="5557" spans="1:9">
      <c r="A5557" s="32">
        <v>42053</v>
      </c>
      <c r="B5557">
        <v>21</v>
      </c>
      <c r="C5557">
        <v>4987</v>
      </c>
      <c r="D5557" t="s">
        <v>304</v>
      </c>
      <c r="E5557">
        <f>YEAR(A5557)</f>
        <v>2015</v>
      </c>
      <c r="F5557" s="33">
        <f>DATE(YEAR(A5557),MONTH(A5557),1)</f>
        <v>42036.0</v>
      </c>
      <c r="G5557" t="str">
        <f>CHOOSE(WEEKDAY(A5557,2),"Mon","Tue","Wed","Thu","Fri","Sat","Sun")</f>
        <v>Wed</v>
      </c>
      <c r="H5557" t="str">
        <f>IF(WEEKDAY(A5557,2)&gt;5,"Weekend","Weekday")</f>
        <v>Weekday</v>
      </c>
      <c r="I5557" t="str">
        <f>_xlfn.IFS(B5557&lt;=5,"Night (0-5)",B5557&lt;=9,"Morning peak (6-9)",B5557&lt;=15,"Midday (10-15)",B5557&lt;=19,"Evening peak (16-19)",TRUE,"Late evening (20-23)")</f>
        <v>Late evening (20-23)</v>
      </c>
    </row>
    <row r="5558" spans="1:9">
      <c r="A5558" s="32">
        <v>42053</v>
      </c>
      <c r="B5558">
        <v>22</v>
      </c>
      <c r="C5558">
        <v>4450</v>
      </c>
      <c r="D5558" t="s">
        <v>304</v>
      </c>
      <c r="E5558">
        <f>YEAR(A5558)</f>
        <v>2015</v>
      </c>
      <c r="F5558" s="33">
        <f>DATE(YEAR(A5558),MONTH(A5558),1)</f>
        <v>42036.0</v>
      </c>
      <c r="G5558" t="str">
        <f>CHOOSE(WEEKDAY(A5558,2),"Mon","Tue","Wed","Thu","Fri","Sat","Sun")</f>
        <v>Wed</v>
      </c>
      <c r="H5558" t="str">
        <f>IF(WEEKDAY(A5558,2)&gt;5,"Weekend","Weekday")</f>
        <v>Weekday</v>
      </c>
      <c r="I5558" t="str">
        <f>_xlfn.IFS(B5558&lt;=5,"Night (0-5)",B5558&lt;=9,"Morning peak (6-9)",B5558&lt;=15,"Midday (10-15)",B5558&lt;=19,"Evening peak (16-19)",TRUE,"Late evening (20-23)")</f>
        <v>Late evening (20-23)</v>
      </c>
    </row>
    <row r="5559" spans="1:9">
      <c r="A5559" s="32">
        <v>42053</v>
      </c>
      <c r="B5559">
        <v>23</v>
      </c>
      <c r="C5559">
        <v>3464</v>
      </c>
      <c r="D5559" t="s">
        <v>304</v>
      </c>
      <c r="E5559">
        <f>YEAR(A5559)</f>
        <v>2015</v>
      </c>
      <c r="F5559" s="33">
        <f>DATE(YEAR(A5559),MONTH(A5559),1)</f>
        <v>42036.0</v>
      </c>
      <c r="G5559" t="str">
        <f>CHOOSE(WEEKDAY(A5559,2),"Mon","Tue","Wed","Thu","Fri","Sat","Sun")</f>
        <v>Wed</v>
      </c>
      <c r="H5559" t="str">
        <f>IF(WEEKDAY(A5559,2)&gt;5,"Weekend","Weekday")</f>
        <v>Weekday</v>
      </c>
      <c r="I5559" t="str">
        <f>_xlfn.IFS(B5559&lt;=5,"Night (0-5)",B5559&lt;=9,"Morning peak (6-9)",B5559&lt;=15,"Midday (10-15)",B5559&lt;=19,"Evening peak (16-19)",TRUE,"Late evening (20-23)")</f>
        <v>Late evening (20-23)</v>
      </c>
    </row>
    <row r="5560" spans="1:9">
      <c r="A5560" s="32">
        <v>42054</v>
      </c>
      <c r="B5560">
        <v>0</v>
      </c>
      <c r="C5560">
        <v>2074</v>
      </c>
      <c r="D5560" t="s">
        <v>304</v>
      </c>
      <c r="E5560">
        <f>YEAR(A5560)</f>
        <v>2015</v>
      </c>
      <c r="F5560" s="33">
        <f>DATE(YEAR(A5560),MONTH(A5560),1)</f>
        <v>42036.0</v>
      </c>
      <c r="G5560" t="str">
        <f>CHOOSE(WEEKDAY(A5560,2),"Mon","Tue","Wed","Thu","Fri","Sat","Sun")</f>
        <v>Thu</v>
      </c>
      <c r="H5560" t="str">
        <f>IF(WEEKDAY(A5560,2)&gt;5,"Weekend","Weekday")</f>
        <v>Weekday</v>
      </c>
      <c r="I5560" t="str">
        <f>_xlfn.IFS(B5560&lt;=5,"Night (0-5)",B5560&lt;=9,"Morning peak (6-9)",B5560&lt;=15,"Midday (10-15)",B5560&lt;=19,"Evening peak (16-19)",TRUE,"Late evening (20-23)")</f>
        <v>Night (0-5)</v>
      </c>
    </row>
    <row r="5561" spans="1:9">
      <c r="A5561" s="32">
        <v>42054</v>
      </c>
      <c r="B5561">
        <v>1</v>
      </c>
      <c r="C5561">
        <v>1142</v>
      </c>
      <c r="D5561" t="s">
        <v>304</v>
      </c>
      <c r="E5561">
        <f>YEAR(A5561)</f>
        <v>2015</v>
      </c>
      <c r="F5561" s="33">
        <f>DATE(YEAR(A5561),MONTH(A5561),1)</f>
        <v>42036.0</v>
      </c>
      <c r="G5561" t="str">
        <f>CHOOSE(WEEKDAY(A5561,2),"Mon","Tue","Wed","Thu","Fri","Sat","Sun")</f>
        <v>Thu</v>
      </c>
      <c r="H5561" t="str">
        <f>IF(WEEKDAY(A5561,2)&gt;5,"Weekend","Weekday")</f>
        <v>Weekday</v>
      </c>
      <c r="I5561" t="str">
        <f>_xlfn.IFS(B5561&lt;=5,"Night (0-5)",B5561&lt;=9,"Morning peak (6-9)",B5561&lt;=15,"Midday (10-15)",B5561&lt;=19,"Evening peak (16-19)",TRUE,"Late evening (20-23)")</f>
        <v>Night (0-5)</v>
      </c>
    </row>
    <row r="5562" spans="1:9">
      <c r="A5562" s="32">
        <v>42054</v>
      </c>
      <c r="B5562">
        <v>2</v>
      </c>
      <c r="C5562">
        <v>699</v>
      </c>
      <c r="D5562" t="s">
        <v>304</v>
      </c>
      <c r="E5562">
        <f>YEAR(A5562)</f>
        <v>2015</v>
      </c>
      <c r="F5562" s="33">
        <f>DATE(YEAR(A5562),MONTH(A5562),1)</f>
        <v>42036.0</v>
      </c>
      <c r="G5562" t="str">
        <f>CHOOSE(WEEKDAY(A5562,2),"Mon","Tue","Wed","Thu","Fri","Sat","Sun")</f>
        <v>Thu</v>
      </c>
      <c r="H5562" t="str">
        <f>IF(WEEKDAY(A5562,2)&gt;5,"Weekend","Weekday")</f>
        <v>Weekday</v>
      </c>
      <c r="I5562" t="str">
        <f>_xlfn.IFS(B5562&lt;=5,"Night (0-5)",B5562&lt;=9,"Morning peak (6-9)",B5562&lt;=15,"Midday (10-15)",B5562&lt;=19,"Evening peak (16-19)",TRUE,"Late evening (20-23)")</f>
        <v>Night (0-5)</v>
      </c>
    </row>
    <row r="5563" spans="1:9">
      <c r="A5563" s="32">
        <v>42054</v>
      </c>
      <c r="B5563">
        <v>3</v>
      </c>
      <c r="C5563">
        <v>462</v>
      </c>
      <c r="D5563" t="s">
        <v>304</v>
      </c>
      <c r="E5563">
        <f>YEAR(A5563)</f>
        <v>2015</v>
      </c>
      <c r="F5563" s="33">
        <f>DATE(YEAR(A5563),MONTH(A5563),1)</f>
        <v>42036.0</v>
      </c>
      <c r="G5563" t="str">
        <f>CHOOSE(WEEKDAY(A5563,2),"Mon","Tue","Wed","Thu","Fri","Sat","Sun")</f>
        <v>Thu</v>
      </c>
      <c r="H5563" t="str">
        <f>IF(WEEKDAY(A5563,2)&gt;5,"Weekend","Weekday")</f>
        <v>Weekday</v>
      </c>
      <c r="I5563" t="str">
        <f>_xlfn.IFS(B5563&lt;=5,"Night (0-5)",B5563&lt;=9,"Morning peak (6-9)",B5563&lt;=15,"Midday (10-15)",B5563&lt;=19,"Evening peak (16-19)",TRUE,"Late evening (20-23)")</f>
        <v>Night (0-5)</v>
      </c>
    </row>
    <row r="5564" spans="1:9">
      <c r="A5564" s="32">
        <v>42054</v>
      </c>
      <c r="B5564">
        <v>4</v>
      </c>
      <c r="C5564">
        <v>622</v>
      </c>
      <c r="D5564" t="s">
        <v>304</v>
      </c>
      <c r="E5564">
        <f>YEAR(A5564)</f>
        <v>2015</v>
      </c>
      <c r="F5564" s="33">
        <f>DATE(YEAR(A5564),MONTH(A5564),1)</f>
        <v>42036.0</v>
      </c>
      <c r="G5564" t="str">
        <f>CHOOSE(WEEKDAY(A5564,2),"Mon","Tue","Wed","Thu","Fri","Sat","Sun")</f>
        <v>Thu</v>
      </c>
      <c r="H5564" t="str">
        <f>IF(WEEKDAY(A5564,2)&gt;5,"Weekend","Weekday")</f>
        <v>Weekday</v>
      </c>
      <c r="I5564" t="str">
        <f>_xlfn.IFS(B5564&lt;=5,"Night (0-5)",B5564&lt;=9,"Morning peak (6-9)",B5564&lt;=15,"Midday (10-15)",B5564&lt;=19,"Evening peak (16-19)",TRUE,"Late evening (20-23)")</f>
        <v>Night (0-5)</v>
      </c>
    </row>
    <row r="5565" spans="1:9">
      <c r="A5565" s="32">
        <v>42054</v>
      </c>
      <c r="B5565">
        <v>5</v>
      </c>
      <c r="C5565">
        <v>1043</v>
      </c>
      <c r="D5565" t="s">
        <v>304</v>
      </c>
      <c r="E5565">
        <f>YEAR(A5565)</f>
        <v>2015</v>
      </c>
      <c r="F5565" s="33">
        <f>DATE(YEAR(A5565),MONTH(A5565),1)</f>
        <v>42036.0</v>
      </c>
      <c r="G5565" t="str">
        <f>CHOOSE(WEEKDAY(A5565,2),"Mon","Tue","Wed","Thu","Fri","Sat","Sun")</f>
        <v>Thu</v>
      </c>
      <c r="H5565" t="str">
        <f>IF(WEEKDAY(A5565,2)&gt;5,"Weekend","Weekday")</f>
        <v>Weekday</v>
      </c>
      <c r="I5565" t="str">
        <f>_xlfn.IFS(B5565&lt;=5,"Night (0-5)",B5565&lt;=9,"Morning peak (6-9)",B5565&lt;=15,"Midday (10-15)",B5565&lt;=19,"Evening peak (16-19)",TRUE,"Late evening (20-23)")</f>
        <v>Night (0-5)</v>
      </c>
    </row>
    <row r="5566" spans="1:9">
      <c r="A5566" s="32">
        <v>42054</v>
      </c>
      <c r="B5566">
        <v>6</v>
      </c>
      <c r="C5566">
        <v>1857</v>
      </c>
      <c r="D5566" t="s">
        <v>304</v>
      </c>
      <c r="E5566">
        <f>YEAR(A5566)</f>
        <v>2015</v>
      </c>
      <c r="F5566" s="33">
        <f>DATE(YEAR(A5566),MONTH(A5566),1)</f>
        <v>42036.0</v>
      </c>
      <c r="G5566" t="str">
        <f>CHOOSE(WEEKDAY(A5566,2),"Mon","Tue","Wed","Thu","Fri","Sat","Sun")</f>
        <v>Thu</v>
      </c>
      <c r="H5566" t="str">
        <f>IF(WEEKDAY(A5566,2)&gt;5,"Weekend","Weekday")</f>
        <v>Weekday</v>
      </c>
      <c r="I5566" t="str">
        <f>_xlfn.IFS(B5566&lt;=5,"Night (0-5)",B5566&lt;=9,"Morning peak (6-9)",B5566&lt;=15,"Midday (10-15)",B5566&lt;=19,"Evening peak (16-19)",TRUE,"Late evening (20-23)")</f>
        <v>Morning peak (6-9)</v>
      </c>
    </row>
    <row r="5567" spans="1:9">
      <c r="A5567" s="32">
        <v>42054</v>
      </c>
      <c r="B5567">
        <v>7</v>
      </c>
      <c r="C5567">
        <v>3281</v>
      </c>
      <c r="D5567" t="s">
        <v>304</v>
      </c>
      <c r="E5567">
        <f>YEAR(A5567)</f>
        <v>2015</v>
      </c>
      <c r="F5567" s="33">
        <f>DATE(YEAR(A5567),MONTH(A5567),1)</f>
        <v>42036.0</v>
      </c>
      <c r="G5567" t="str">
        <f>CHOOSE(WEEKDAY(A5567,2),"Mon","Tue","Wed","Thu","Fri","Sat","Sun")</f>
        <v>Thu</v>
      </c>
      <c r="H5567" t="str">
        <f>IF(WEEKDAY(A5567,2)&gt;5,"Weekend","Weekday")</f>
        <v>Weekday</v>
      </c>
      <c r="I5567" t="str">
        <f>_xlfn.IFS(B5567&lt;=5,"Night (0-5)",B5567&lt;=9,"Morning peak (6-9)",B5567&lt;=15,"Midday (10-15)",B5567&lt;=19,"Evening peak (16-19)",TRUE,"Late evening (20-23)")</f>
        <v>Morning peak (6-9)</v>
      </c>
    </row>
    <row r="5568" spans="1:9">
      <c r="A5568" s="32">
        <v>42054</v>
      </c>
      <c r="B5568">
        <v>8</v>
      </c>
      <c r="C5568">
        <v>4228</v>
      </c>
      <c r="D5568" t="s">
        <v>304</v>
      </c>
      <c r="E5568">
        <f>YEAR(A5568)</f>
        <v>2015</v>
      </c>
      <c r="F5568" s="33">
        <f>DATE(YEAR(A5568),MONTH(A5568),1)</f>
        <v>42036.0</v>
      </c>
      <c r="G5568" t="str">
        <f>CHOOSE(WEEKDAY(A5568,2),"Mon","Tue","Wed","Thu","Fri","Sat","Sun")</f>
        <v>Thu</v>
      </c>
      <c r="H5568" t="str">
        <f>IF(WEEKDAY(A5568,2)&gt;5,"Weekend","Weekday")</f>
        <v>Weekday</v>
      </c>
      <c r="I5568" t="str">
        <f>_xlfn.IFS(B5568&lt;=5,"Night (0-5)",B5568&lt;=9,"Morning peak (6-9)",B5568&lt;=15,"Midday (10-15)",B5568&lt;=19,"Evening peak (16-19)",TRUE,"Late evening (20-23)")</f>
        <v>Morning peak (6-9)</v>
      </c>
    </row>
    <row r="5569" spans="1:9">
      <c r="A5569" s="32">
        <v>42054</v>
      </c>
      <c r="B5569">
        <v>9</v>
      </c>
      <c r="C5569">
        <v>3934</v>
      </c>
      <c r="D5569" t="s">
        <v>304</v>
      </c>
      <c r="E5569">
        <f>YEAR(A5569)</f>
        <v>2015</v>
      </c>
      <c r="F5569" s="33">
        <f>DATE(YEAR(A5569),MONTH(A5569),1)</f>
        <v>42036.0</v>
      </c>
      <c r="G5569" t="str">
        <f>CHOOSE(WEEKDAY(A5569,2),"Mon","Tue","Wed","Thu","Fri","Sat","Sun")</f>
        <v>Thu</v>
      </c>
      <c r="H5569" t="str">
        <f>IF(WEEKDAY(A5569,2)&gt;5,"Weekend","Weekday")</f>
        <v>Weekday</v>
      </c>
      <c r="I5569" t="str">
        <f>_xlfn.IFS(B5569&lt;=5,"Night (0-5)",B5569&lt;=9,"Morning peak (6-9)",B5569&lt;=15,"Midday (10-15)",B5569&lt;=19,"Evening peak (16-19)",TRUE,"Late evening (20-23)")</f>
        <v>Morning peak (6-9)</v>
      </c>
    </row>
    <row r="5570" spans="1:9">
      <c r="A5570" s="32">
        <v>42054</v>
      </c>
      <c r="B5570">
        <v>10</v>
      </c>
      <c r="C5570">
        <v>3082</v>
      </c>
      <c r="D5570" t="s">
        <v>304</v>
      </c>
      <c r="E5570">
        <f>YEAR(A5570)</f>
        <v>2015</v>
      </c>
      <c r="F5570" s="33">
        <f>DATE(YEAR(A5570),MONTH(A5570),1)</f>
        <v>42036.0</v>
      </c>
      <c r="G5570" t="str">
        <f>CHOOSE(WEEKDAY(A5570,2),"Mon","Tue","Wed","Thu","Fri","Sat","Sun")</f>
        <v>Thu</v>
      </c>
      <c r="H5570" t="str">
        <f>IF(WEEKDAY(A5570,2)&gt;5,"Weekend","Weekday")</f>
        <v>Weekday</v>
      </c>
      <c r="I5570" t="str">
        <f>_xlfn.IFS(B5570&lt;=5,"Night (0-5)",B5570&lt;=9,"Morning peak (6-9)",B5570&lt;=15,"Midday (10-15)",B5570&lt;=19,"Evening peak (16-19)",TRUE,"Late evening (20-23)")</f>
        <v>Midday (10-15)</v>
      </c>
    </row>
    <row r="5571" spans="1:9">
      <c r="A5571" s="32">
        <v>42054</v>
      </c>
      <c r="B5571">
        <v>11</v>
      </c>
      <c r="C5571">
        <v>2912</v>
      </c>
      <c r="D5571" t="s">
        <v>304</v>
      </c>
      <c r="E5571">
        <f>YEAR(A5571)</f>
        <v>2015</v>
      </c>
      <c r="F5571" s="33">
        <f>DATE(YEAR(A5571),MONTH(A5571),1)</f>
        <v>42036.0</v>
      </c>
      <c r="G5571" t="str">
        <f>CHOOSE(WEEKDAY(A5571,2),"Mon","Tue","Wed","Thu","Fri","Sat","Sun")</f>
        <v>Thu</v>
      </c>
      <c r="H5571" t="str">
        <f>IF(WEEKDAY(A5571,2)&gt;5,"Weekend","Weekday")</f>
        <v>Weekday</v>
      </c>
      <c r="I5571" t="str">
        <f>_xlfn.IFS(B5571&lt;=5,"Night (0-5)",B5571&lt;=9,"Morning peak (6-9)",B5571&lt;=15,"Midday (10-15)",B5571&lt;=19,"Evening peak (16-19)",TRUE,"Late evening (20-23)")</f>
        <v>Midday (10-15)</v>
      </c>
    </row>
    <row r="5572" spans="1:9">
      <c r="A5572" s="32">
        <v>42054</v>
      </c>
      <c r="B5572">
        <v>12</v>
      </c>
      <c r="C5572">
        <v>2883</v>
      </c>
      <c r="D5572" t="s">
        <v>304</v>
      </c>
      <c r="E5572">
        <f>YEAR(A5572)</f>
        <v>2015</v>
      </c>
      <c r="F5572" s="33">
        <f>DATE(YEAR(A5572),MONTH(A5572),1)</f>
        <v>42036.0</v>
      </c>
      <c r="G5572" t="str">
        <f>CHOOSE(WEEKDAY(A5572,2),"Mon","Tue","Wed","Thu","Fri","Sat","Sun")</f>
        <v>Thu</v>
      </c>
      <c r="H5572" t="str">
        <f>IF(WEEKDAY(A5572,2)&gt;5,"Weekend","Weekday")</f>
        <v>Weekday</v>
      </c>
      <c r="I5572" t="str">
        <f>_xlfn.IFS(B5572&lt;=5,"Night (0-5)",B5572&lt;=9,"Morning peak (6-9)",B5572&lt;=15,"Midday (10-15)",B5572&lt;=19,"Evening peak (16-19)",TRUE,"Late evening (20-23)")</f>
        <v>Midday (10-15)</v>
      </c>
    </row>
    <row r="5573" spans="1:9">
      <c r="A5573" s="32">
        <v>42054</v>
      </c>
      <c r="B5573">
        <v>13</v>
      </c>
      <c r="C5573">
        <v>2913</v>
      </c>
      <c r="D5573" t="s">
        <v>304</v>
      </c>
      <c r="E5573">
        <f>YEAR(A5573)</f>
        <v>2015</v>
      </c>
      <c r="F5573" s="33">
        <f>DATE(YEAR(A5573),MONTH(A5573),1)</f>
        <v>42036.0</v>
      </c>
      <c r="G5573" t="str">
        <f>CHOOSE(WEEKDAY(A5573,2),"Mon","Tue","Wed","Thu","Fri","Sat","Sun")</f>
        <v>Thu</v>
      </c>
      <c r="H5573" t="str">
        <f>IF(WEEKDAY(A5573,2)&gt;5,"Weekend","Weekday")</f>
        <v>Weekday</v>
      </c>
      <c r="I5573" t="str">
        <f>_xlfn.IFS(B5573&lt;=5,"Night (0-5)",B5573&lt;=9,"Morning peak (6-9)",B5573&lt;=15,"Midday (10-15)",B5573&lt;=19,"Evening peak (16-19)",TRUE,"Late evening (20-23)")</f>
        <v>Midday (10-15)</v>
      </c>
    </row>
    <row r="5574" spans="1:9">
      <c r="A5574" s="32">
        <v>42054</v>
      </c>
      <c r="B5574">
        <v>14</v>
      </c>
      <c r="C5574">
        <v>3171</v>
      </c>
      <c r="D5574" t="s">
        <v>304</v>
      </c>
      <c r="E5574">
        <f>YEAR(A5574)</f>
        <v>2015</v>
      </c>
      <c r="F5574" s="33">
        <f>DATE(YEAR(A5574),MONTH(A5574),1)</f>
        <v>42036.0</v>
      </c>
      <c r="G5574" t="str">
        <f>CHOOSE(WEEKDAY(A5574,2),"Mon","Tue","Wed","Thu","Fri","Sat","Sun")</f>
        <v>Thu</v>
      </c>
      <c r="H5574" t="str">
        <f>IF(WEEKDAY(A5574,2)&gt;5,"Weekend","Weekday")</f>
        <v>Weekday</v>
      </c>
      <c r="I5574" t="str">
        <f>_xlfn.IFS(B5574&lt;=5,"Night (0-5)",B5574&lt;=9,"Morning peak (6-9)",B5574&lt;=15,"Midday (10-15)",B5574&lt;=19,"Evening peak (16-19)",TRUE,"Late evening (20-23)")</f>
        <v>Midday (10-15)</v>
      </c>
    </row>
    <row r="5575" spans="1:9">
      <c r="A5575" s="32">
        <v>42054</v>
      </c>
      <c r="B5575">
        <v>15</v>
      </c>
      <c r="C5575">
        <v>3809</v>
      </c>
      <c r="D5575" t="s">
        <v>304</v>
      </c>
      <c r="E5575">
        <f>YEAR(A5575)</f>
        <v>2015</v>
      </c>
      <c r="F5575" s="33">
        <f>DATE(YEAR(A5575),MONTH(A5575),1)</f>
        <v>42036.0</v>
      </c>
      <c r="G5575" t="str">
        <f>CHOOSE(WEEKDAY(A5575,2),"Mon","Tue","Wed","Thu","Fri","Sat","Sun")</f>
        <v>Thu</v>
      </c>
      <c r="H5575" t="str">
        <f>IF(WEEKDAY(A5575,2)&gt;5,"Weekend","Weekday")</f>
        <v>Weekday</v>
      </c>
      <c r="I5575" t="str">
        <f>_xlfn.IFS(B5575&lt;=5,"Night (0-5)",B5575&lt;=9,"Morning peak (6-9)",B5575&lt;=15,"Midday (10-15)",B5575&lt;=19,"Evening peak (16-19)",TRUE,"Late evening (20-23)")</f>
        <v>Midday (10-15)</v>
      </c>
    </row>
    <row r="5576" spans="1:9">
      <c r="A5576" s="32">
        <v>42054</v>
      </c>
      <c r="B5576">
        <v>16</v>
      </c>
      <c r="C5576">
        <v>4490</v>
      </c>
      <c r="D5576" t="s">
        <v>304</v>
      </c>
      <c r="E5576">
        <f>YEAR(A5576)</f>
        <v>2015</v>
      </c>
      <c r="F5576" s="33">
        <f>DATE(YEAR(A5576),MONTH(A5576),1)</f>
        <v>42036.0</v>
      </c>
      <c r="G5576" t="str">
        <f>CHOOSE(WEEKDAY(A5576,2),"Mon","Tue","Wed","Thu","Fri","Sat","Sun")</f>
        <v>Thu</v>
      </c>
      <c r="H5576" t="str">
        <f>IF(WEEKDAY(A5576,2)&gt;5,"Weekend","Weekday")</f>
        <v>Weekday</v>
      </c>
      <c r="I5576" t="str">
        <f>_xlfn.IFS(B5576&lt;=5,"Night (0-5)",B5576&lt;=9,"Morning peak (6-9)",B5576&lt;=15,"Midday (10-15)",B5576&lt;=19,"Evening peak (16-19)",TRUE,"Late evening (20-23)")</f>
        <v>Evening peak (16-19)</v>
      </c>
    </row>
    <row r="5577" spans="1:9">
      <c r="A5577" s="32">
        <v>42054</v>
      </c>
      <c r="B5577">
        <v>17</v>
      </c>
      <c r="C5577">
        <v>5742</v>
      </c>
      <c r="D5577" t="s">
        <v>304</v>
      </c>
      <c r="E5577">
        <f>YEAR(A5577)</f>
        <v>2015</v>
      </c>
      <c r="F5577" s="33">
        <f>DATE(YEAR(A5577),MONTH(A5577),1)</f>
        <v>42036.0</v>
      </c>
      <c r="G5577" t="str">
        <f>CHOOSE(WEEKDAY(A5577,2),"Mon","Tue","Wed","Thu","Fri","Sat","Sun")</f>
        <v>Thu</v>
      </c>
      <c r="H5577" t="str">
        <f>IF(WEEKDAY(A5577,2)&gt;5,"Weekend","Weekday")</f>
        <v>Weekday</v>
      </c>
      <c r="I5577" t="str">
        <f>_xlfn.IFS(B5577&lt;=5,"Night (0-5)",B5577&lt;=9,"Morning peak (6-9)",B5577&lt;=15,"Midday (10-15)",B5577&lt;=19,"Evening peak (16-19)",TRUE,"Late evening (20-23)")</f>
        <v>Evening peak (16-19)</v>
      </c>
    </row>
    <row r="5578" spans="1:9">
      <c r="A5578" s="32">
        <v>42054</v>
      </c>
      <c r="B5578">
        <v>18</v>
      </c>
      <c r="C5578">
        <v>7028</v>
      </c>
      <c r="D5578" t="s">
        <v>304</v>
      </c>
      <c r="E5578">
        <f>YEAR(A5578)</f>
        <v>2015</v>
      </c>
      <c r="F5578" s="33">
        <f>DATE(YEAR(A5578),MONTH(A5578),1)</f>
        <v>42036.0</v>
      </c>
      <c r="G5578" t="str">
        <f>CHOOSE(WEEKDAY(A5578,2),"Mon","Tue","Wed","Thu","Fri","Sat","Sun")</f>
        <v>Thu</v>
      </c>
      <c r="H5578" t="str">
        <f>IF(WEEKDAY(A5578,2)&gt;5,"Weekend","Weekday")</f>
        <v>Weekday</v>
      </c>
      <c r="I5578" t="str">
        <f>_xlfn.IFS(B5578&lt;=5,"Night (0-5)",B5578&lt;=9,"Morning peak (6-9)",B5578&lt;=15,"Midday (10-15)",B5578&lt;=19,"Evening peak (16-19)",TRUE,"Late evening (20-23)")</f>
        <v>Evening peak (16-19)</v>
      </c>
    </row>
    <row r="5579" spans="1:9">
      <c r="A5579" s="32">
        <v>42054</v>
      </c>
      <c r="B5579">
        <v>19</v>
      </c>
      <c r="C5579">
        <v>7980</v>
      </c>
      <c r="D5579" t="s">
        <v>304</v>
      </c>
      <c r="E5579">
        <f>YEAR(A5579)</f>
        <v>2015</v>
      </c>
      <c r="F5579" s="33">
        <f>DATE(YEAR(A5579),MONTH(A5579),1)</f>
        <v>42036.0</v>
      </c>
      <c r="G5579" t="str">
        <f>CHOOSE(WEEKDAY(A5579,2),"Mon","Tue","Wed","Thu","Fri","Sat","Sun")</f>
        <v>Thu</v>
      </c>
      <c r="H5579" t="str">
        <f>IF(WEEKDAY(A5579,2)&gt;5,"Weekend","Weekday")</f>
        <v>Weekday</v>
      </c>
      <c r="I5579" t="str">
        <f>_xlfn.IFS(B5579&lt;=5,"Night (0-5)",B5579&lt;=9,"Morning peak (6-9)",B5579&lt;=15,"Midday (10-15)",B5579&lt;=19,"Evening peak (16-19)",TRUE,"Late evening (20-23)")</f>
        <v>Evening peak (16-19)</v>
      </c>
    </row>
    <row r="5580" spans="1:9">
      <c r="A5580" s="32">
        <v>42054</v>
      </c>
      <c r="B5580">
        <v>20</v>
      </c>
      <c r="C5580">
        <v>7426</v>
      </c>
      <c r="D5580" t="s">
        <v>304</v>
      </c>
      <c r="E5580">
        <f>YEAR(A5580)</f>
        <v>2015</v>
      </c>
      <c r="F5580" s="33">
        <f>DATE(YEAR(A5580),MONTH(A5580),1)</f>
        <v>42036.0</v>
      </c>
      <c r="G5580" t="str">
        <f>CHOOSE(WEEKDAY(A5580,2),"Mon","Tue","Wed","Thu","Fri","Sat","Sun")</f>
        <v>Thu</v>
      </c>
      <c r="H5580" t="str">
        <f>IF(WEEKDAY(A5580,2)&gt;5,"Weekend","Weekday")</f>
        <v>Weekday</v>
      </c>
      <c r="I5580" t="str">
        <f>_xlfn.IFS(B5580&lt;=5,"Night (0-5)",B5580&lt;=9,"Morning peak (6-9)",B5580&lt;=15,"Midday (10-15)",B5580&lt;=19,"Evening peak (16-19)",TRUE,"Late evening (20-23)")</f>
        <v>Late evening (20-23)</v>
      </c>
    </row>
    <row r="5581" spans="1:9">
      <c r="A5581" s="32">
        <v>42054</v>
      </c>
      <c r="B5581">
        <v>21</v>
      </c>
      <c r="C5581">
        <v>7360</v>
      </c>
      <c r="D5581" t="s">
        <v>304</v>
      </c>
      <c r="E5581">
        <f>YEAR(A5581)</f>
        <v>2015</v>
      </c>
      <c r="F5581" s="33">
        <f>DATE(YEAR(A5581),MONTH(A5581),1)</f>
        <v>42036.0</v>
      </c>
      <c r="G5581" t="str">
        <f>CHOOSE(WEEKDAY(A5581,2),"Mon","Tue","Wed","Thu","Fri","Sat","Sun")</f>
        <v>Thu</v>
      </c>
      <c r="H5581" t="str">
        <f>IF(WEEKDAY(A5581,2)&gt;5,"Weekend","Weekday")</f>
        <v>Weekday</v>
      </c>
      <c r="I5581" t="str">
        <f>_xlfn.IFS(B5581&lt;=5,"Night (0-5)",B5581&lt;=9,"Morning peak (6-9)",B5581&lt;=15,"Midday (10-15)",B5581&lt;=19,"Evening peak (16-19)",TRUE,"Late evening (20-23)")</f>
        <v>Late evening (20-23)</v>
      </c>
    </row>
    <row r="5582" spans="1:9">
      <c r="A5582" s="32">
        <v>42054</v>
      </c>
      <c r="B5582">
        <v>22</v>
      </c>
      <c r="C5582">
        <v>6710</v>
      </c>
      <c r="D5582" t="s">
        <v>304</v>
      </c>
      <c r="E5582">
        <f>YEAR(A5582)</f>
        <v>2015</v>
      </c>
      <c r="F5582" s="33">
        <f>DATE(YEAR(A5582),MONTH(A5582),1)</f>
        <v>42036.0</v>
      </c>
      <c r="G5582" t="str">
        <f>CHOOSE(WEEKDAY(A5582,2),"Mon","Tue","Wed","Thu","Fri","Sat","Sun")</f>
        <v>Thu</v>
      </c>
      <c r="H5582" t="str">
        <f>IF(WEEKDAY(A5582,2)&gt;5,"Weekend","Weekday")</f>
        <v>Weekday</v>
      </c>
      <c r="I5582" t="str">
        <f>_xlfn.IFS(B5582&lt;=5,"Night (0-5)",B5582&lt;=9,"Morning peak (6-9)",B5582&lt;=15,"Midday (10-15)",B5582&lt;=19,"Evening peak (16-19)",TRUE,"Late evening (20-23)")</f>
        <v>Late evening (20-23)</v>
      </c>
    </row>
    <row r="5583" spans="1:9">
      <c r="A5583" s="32">
        <v>42054</v>
      </c>
      <c r="B5583">
        <v>23</v>
      </c>
      <c r="C5583">
        <v>5423</v>
      </c>
      <c r="D5583" t="s">
        <v>304</v>
      </c>
      <c r="E5583">
        <f>YEAR(A5583)</f>
        <v>2015</v>
      </c>
      <c r="F5583" s="33">
        <f>DATE(YEAR(A5583),MONTH(A5583),1)</f>
        <v>42036.0</v>
      </c>
      <c r="G5583" t="str">
        <f>CHOOSE(WEEKDAY(A5583,2),"Mon","Tue","Wed","Thu","Fri","Sat","Sun")</f>
        <v>Thu</v>
      </c>
      <c r="H5583" t="str">
        <f>IF(WEEKDAY(A5583,2)&gt;5,"Weekend","Weekday")</f>
        <v>Weekday</v>
      </c>
      <c r="I5583" t="str">
        <f>_xlfn.IFS(B5583&lt;=5,"Night (0-5)",B5583&lt;=9,"Morning peak (6-9)",B5583&lt;=15,"Midday (10-15)",B5583&lt;=19,"Evening peak (16-19)",TRUE,"Late evening (20-23)")</f>
        <v>Late evening (20-23)</v>
      </c>
    </row>
    <row r="5584" spans="1:9">
      <c r="A5584" s="32">
        <v>42055</v>
      </c>
      <c r="B5584">
        <v>0</v>
      </c>
      <c r="C5584">
        <v>3319</v>
      </c>
      <c r="D5584" t="s">
        <v>304</v>
      </c>
      <c r="E5584">
        <f>YEAR(A5584)</f>
        <v>2015</v>
      </c>
      <c r="F5584" s="33">
        <f>DATE(YEAR(A5584),MONTH(A5584),1)</f>
        <v>42036.0</v>
      </c>
      <c r="G5584" t="str">
        <f>CHOOSE(WEEKDAY(A5584,2),"Mon","Tue","Wed","Thu","Fri","Sat","Sun")</f>
        <v>Fri</v>
      </c>
      <c r="H5584" t="str">
        <f>IF(WEEKDAY(A5584,2)&gt;5,"Weekend","Weekday")</f>
        <v>Weekday</v>
      </c>
      <c r="I5584" t="str">
        <f>_xlfn.IFS(B5584&lt;=5,"Night (0-5)",B5584&lt;=9,"Morning peak (6-9)",B5584&lt;=15,"Midday (10-15)",B5584&lt;=19,"Evening peak (16-19)",TRUE,"Late evening (20-23)")</f>
        <v>Night (0-5)</v>
      </c>
    </row>
    <row r="5585" spans="1:9">
      <c r="A5585" s="32">
        <v>42055</v>
      </c>
      <c r="B5585">
        <v>1</v>
      </c>
      <c r="C5585">
        <v>1701</v>
      </c>
      <c r="D5585" t="s">
        <v>304</v>
      </c>
      <c r="E5585">
        <f>YEAR(A5585)</f>
        <v>2015</v>
      </c>
      <c r="F5585" s="33">
        <f>DATE(YEAR(A5585),MONTH(A5585),1)</f>
        <v>42036.0</v>
      </c>
      <c r="G5585" t="str">
        <f>CHOOSE(WEEKDAY(A5585,2),"Mon","Tue","Wed","Thu","Fri","Sat","Sun")</f>
        <v>Fri</v>
      </c>
      <c r="H5585" t="str">
        <f>IF(WEEKDAY(A5585,2)&gt;5,"Weekend","Weekday")</f>
        <v>Weekday</v>
      </c>
      <c r="I5585" t="str">
        <f>_xlfn.IFS(B5585&lt;=5,"Night (0-5)",B5585&lt;=9,"Morning peak (6-9)",B5585&lt;=15,"Midday (10-15)",B5585&lt;=19,"Evening peak (16-19)",TRUE,"Late evening (20-23)")</f>
        <v>Night (0-5)</v>
      </c>
    </row>
    <row r="5586" spans="1:9">
      <c r="A5586" s="32">
        <v>42055</v>
      </c>
      <c r="B5586">
        <v>2</v>
      </c>
      <c r="C5586">
        <v>1068</v>
      </c>
      <c r="D5586" t="s">
        <v>304</v>
      </c>
      <c r="E5586">
        <f>YEAR(A5586)</f>
        <v>2015</v>
      </c>
      <c r="F5586" s="33">
        <f>DATE(YEAR(A5586),MONTH(A5586),1)</f>
        <v>42036.0</v>
      </c>
      <c r="G5586" t="str">
        <f>CHOOSE(WEEKDAY(A5586,2),"Mon","Tue","Wed","Thu","Fri","Sat","Sun")</f>
        <v>Fri</v>
      </c>
      <c r="H5586" t="str">
        <f>IF(WEEKDAY(A5586,2)&gt;5,"Weekend","Weekday")</f>
        <v>Weekday</v>
      </c>
      <c r="I5586" t="str">
        <f>_xlfn.IFS(B5586&lt;=5,"Night (0-5)",B5586&lt;=9,"Morning peak (6-9)",B5586&lt;=15,"Midday (10-15)",B5586&lt;=19,"Evening peak (16-19)",TRUE,"Late evening (20-23)")</f>
        <v>Night (0-5)</v>
      </c>
    </row>
    <row r="5587" spans="1:9">
      <c r="A5587" s="32">
        <v>42055</v>
      </c>
      <c r="B5587">
        <v>3</v>
      </c>
      <c r="C5587">
        <v>737</v>
      </c>
      <c r="D5587" t="s">
        <v>304</v>
      </c>
      <c r="E5587">
        <f>YEAR(A5587)</f>
        <v>2015</v>
      </c>
      <c r="F5587" s="33">
        <f>DATE(YEAR(A5587),MONTH(A5587),1)</f>
        <v>42036.0</v>
      </c>
      <c r="G5587" t="str">
        <f>CHOOSE(WEEKDAY(A5587,2),"Mon","Tue","Wed","Thu","Fri","Sat","Sun")</f>
        <v>Fri</v>
      </c>
      <c r="H5587" t="str">
        <f>IF(WEEKDAY(A5587,2)&gt;5,"Weekend","Weekday")</f>
        <v>Weekday</v>
      </c>
      <c r="I5587" t="str">
        <f>_xlfn.IFS(B5587&lt;=5,"Night (0-5)",B5587&lt;=9,"Morning peak (6-9)",B5587&lt;=15,"Midday (10-15)",B5587&lt;=19,"Evening peak (16-19)",TRUE,"Late evening (20-23)")</f>
        <v>Night (0-5)</v>
      </c>
    </row>
    <row r="5588" spans="1:9">
      <c r="A5588" s="32">
        <v>42055</v>
      </c>
      <c r="B5588">
        <v>4</v>
      </c>
      <c r="C5588">
        <v>843</v>
      </c>
      <c r="D5588" t="s">
        <v>304</v>
      </c>
      <c r="E5588">
        <f>YEAR(A5588)</f>
        <v>2015</v>
      </c>
      <c r="F5588" s="33">
        <f>DATE(YEAR(A5588),MONTH(A5588),1)</f>
        <v>42036.0</v>
      </c>
      <c r="G5588" t="str">
        <f>CHOOSE(WEEKDAY(A5588,2),"Mon","Tue","Wed","Thu","Fri","Sat","Sun")</f>
        <v>Fri</v>
      </c>
      <c r="H5588" t="str">
        <f>IF(WEEKDAY(A5588,2)&gt;5,"Weekend","Weekday")</f>
        <v>Weekday</v>
      </c>
      <c r="I5588" t="str">
        <f>_xlfn.IFS(B5588&lt;=5,"Night (0-5)",B5588&lt;=9,"Morning peak (6-9)",B5588&lt;=15,"Midday (10-15)",B5588&lt;=19,"Evening peak (16-19)",TRUE,"Late evening (20-23)")</f>
        <v>Night (0-5)</v>
      </c>
    </row>
    <row r="5589" spans="1:9">
      <c r="A5589" s="32">
        <v>42055</v>
      </c>
      <c r="B5589">
        <v>5</v>
      </c>
      <c r="C5589">
        <v>1138</v>
      </c>
      <c r="D5589" t="s">
        <v>304</v>
      </c>
      <c r="E5589">
        <f>YEAR(A5589)</f>
        <v>2015</v>
      </c>
      <c r="F5589" s="33">
        <f>DATE(YEAR(A5589),MONTH(A5589),1)</f>
        <v>42036.0</v>
      </c>
      <c r="G5589" t="str">
        <f>CHOOSE(WEEKDAY(A5589,2),"Mon","Tue","Wed","Thu","Fri","Sat","Sun")</f>
        <v>Fri</v>
      </c>
      <c r="H5589" t="str">
        <f>IF(WEEKDAY(A5589,2)&gt;5,"Weekend","Weekday")</f>
        <v>Weekday</v>
      </c>
      <c r="I5589" t="str">
        <f>_xlfn.IFS(B5589&lt;=5,"Night (0-5)",B5589&lt;=9,"Morning peak (6-9)",B5589&lt;=15,"Midday (10-15)",B5589&lt;=19,"Evening peak (16-19)",TRUE,"Late evening (20-23)")</f>
        <v>Night (0-5)</v>
      </c>
    </row>
    <row r="5590" spans="1:9">
      <c r="A5590" s="32">
        <v>42055</v>
      </c>
      <c r="B5590">
        <v>6</v>
      </c>
      <c r="C5590">
        <v>2155</v>
      </c>
      <c r="D5590" t="s">
        <v>304</v>
      </c>
      <c r="E5590">
        <f>YEAR(A5590)</f>
        <v>2015</v>
      </c>
      <c r="F5590" s="33">
        <f>DATE(YEAR(A5590),MONTH(A5590),1)</f>
        <v>42036.0</v>
      </c>
      <c r="G5590" t="str">
        <f>CHOOSE(WEEKDAY(A5590,2),"Mon","Tue","Wed","Thu","Fri","Sat","Sun")</f>
        <v>Fri</v>
      </c>
      <c r="H5590" t="str">
        <f>IF(WEEKDAY(A5590,2)&gt;5,"Weekend","Weekday")</f>
        <v>Weekday</v>
      </c>
      <c r="I5590" t="str">
        <f>_xlfn.IFS(B5590&lt;=5,"Night (0-5)",B5590&lt;=9,"Morning peak (6-9)",B5590&lt;=15,"Midday (10-15)",B5590&lt;=19,"Evening peak (16-19)",TRUE,"Late evening (20-23)")</f>
        <v>Morning peak (6-9)</v>
      </c>
    </row>
    <row r="5591" spans="1:9">
      <c r="A5591" s="32">
        <v>42055</v>
      </c>
      <c r="B5591">
        <v>7</v>
      </c>
      <c r="C5591">
        <v>3891</v>
      </c>
      <c r="D5591" t="s">
        <v>304</v>
      </c>
      <c r="E5591">
        <f>YEAR(A5591)</f>
        <v>2015</v>
      </c>
      <c r="F5591" s="33">
        <f>DATE(YEAR(A5591),MONTH(A5591),1)</f>
        <v>42036.0</v>
      </c>
      <c r="G5591" t="str">
        <f>CHOOSE(WEEKDAY(A5591,2),"Mon","Tue","Wed","Thu","Fri","Sat","Sun")</f>
        <v>Fri</v>
      </c>
      <c r="H5591" t="str">
        <f>IF(WEEKDAY(A5591,2)&gt;5,"Weekend","Weekday")</f>
        <v>Weekday</v>
      </c>
      <c r="I5591" t="str">
        <f>_xlfn.IFS(B5591&lt;=5,"Night (0-5)",B5591&lt;=9,"Morning peak (6-9)",B5591&lt;=15,"Midday (10-15)",B5591&lt;=19,"Evening peak (16-19)",TRUE,"Late evening (20-23)")</f>
        <v>Morning peak (6-9)</v>
      </c>
    </row>
    <row r="5592" spans="1:9">
      <c r="A5592" s="32">
        <v>42055</v>
      </c>
      <c r="B5592">
        <v>8</v>
      </c>
      <c r="C5592">
        <v>4848</v>
      </c>
      <c r="D5592" t="s">
        <v>304</v>
      </c>
      <c r="E5592">
        <f>YEAR(A5592)</f>
        <v>2015</v>
      </c>
      <c r="F5592" s="33">
        <f>DATE(YEAR(A5592),MONTH(A5592),1)</f>
        <v>42036.0</v>
      </c>
      <c r="G5592" t="str">
        <f>CHOOSE(WEEKDAY(A5592,2),"Mon","Tue","Wed","Thu","Fri","Sat","Sun")</f>
        <v>Fri</v>
      </c>
      <c r="H5592" t="str">
        <f>IF(WEEKDAY(A5592,2)&gt;5,"Weekend","Weekday")</f>
        <v>Weekday</v>
      </c>
      <c r="I5592" t="str">
        <f>_xlfn.IFS(B5592&lt;=5,"Night (0-5)",B5592&lt;=9,"Morning peak (6-9)",B5592&lt;=15,"Midday (10-15)",B5592&lt;=19,"Evening peak (16-19)",TRUE,"Late evening (20-23)")</f>
        <v>Morning peak (6-9)</v>
      </c>
    </row>
    <row r="5593" spans="1:9">
      <c r="A5593" s="32">
        <v>42055</v>
      </c>
      <c r="B5593">
        <v>9</v>
      </c>
      <c r="C5593">
        <v>4821</v>
      </c>
      <c r="D5593" t="s">
        <v>304</v>
      </c>
      <c r="E5593">
        <f>YEAR(A5593)</f>
        <v>2015</v>
      </c>
      <c r="F5593" s="33">
        <f>DATE(YEAR(A5593),MONTH(A5593),1)</f>
        <v>42036.0</v>
      </c>
      <c r="G5593" t="str">
        <f>CHOOSE(WEEKDAY(A5593,2),"Mon","Tue","Wed","Thu","Fri","Sat","Sun")</f>
        <v>Fri</v>
      </c>
      <c r="H5593" t="str">
        <f>IF(WEEKDAY(A5593,2)&gt;5,"Weekend","Weekday")</f>
        <v>Weekday</v>
      </c>
      <c r="I5593" t="str">
        <f>_xlfn.IFS(B5593&lt;=5,"Night (0-5)",B5593&lt;=9,"Morning peak (6-9)",B5593&lt;=15,"Midday (10-15)",B5593&lt;=19,"Evening peak (16-19)",TRUE,"Late evening (20-23)")</f>
        <v>Morning peak (6-9)</v>
      </c>
    </row>
    <row r="5594" spans="1:9">
      <c r="A5594" s="32">
        <v>42055</v>
      </c>
      <c r="B5594">
        <v>10</v>
      </c>
      <c r="C5594">
        <v>3778</v>
      </c>
      <c r="D5594" t="s">
        <v>304</v>
      </c>
      <c r="E5594">
        <f>YEAR(A5594)</f>
        <v>2015</v>
      </c>
      <c r="F5594" s="33">
        <f>DATE(YEAR(A5594),MONTH(A5594),1)</f>
        <v>42036.0</v>
      </c>
      <c r="G5594" t="str">
        <f>CHOOSE(WEEKDAY(A5594,2),"Mon","Tue","Wed","Thu","Fri","Sat","Sun")</f>
        <v>Fri</v>
      </c>
      <c r="H5594" t="str">
        <f>IF(WEEKDAY(A5594,2)&gt;5,"Weekend","Weekday")</f>
        <v>Weekday</v>
      </c>
      <c r="I5594" t="str">
        <f>_xlfn.IFS(B5594&lt;=5,"Night (0-5)",B5594&lt;=9,"Morning peak (6-9)",B5594&lt;=15,"Midday (10-15)",B5594&lt;=19,"Evening peak (16-19)",TRUE,"Late evening (20-23)")</f>
        <v>Midday (10-15)</v>
      </c>
    </row>
    <row r="5595" spans="1:9">
      <c r="A5595" s="32">
        <v>42055</v>
      </c>
      <c r="B5595">
        <v>11</v>
      </c>
      <c r="C5595">
        <v>3390</v>
      </c>
      <c r="D5595" t="s">
        <v>304</v>
      </c>
      <c r="E5595">
        <f>YEAR(A5595)</f>
        <v>2015</v>
      </c>
      <c r="F5595" s="33">
        <f>DATE(YEAR(A5595),MONTH(A5595),1)</f>
        <v>42036.0</v>
      </c>
      <c r="G5595" t="str">
        <f>CHOOSE(WEEKDAY(A5595,2),"Mon","Tue","Wed","Thu","Fri","Sat","Sun")</f>
        <v>Fri</v>
      </c>
      <c r="H5595" t="str">
        <f>IF(WEEKDAY(A5595,2)&gt;5,"Weekend","Weekday")</f>
        <v>Weekday</v>
      </c>
      <c r="I5595" t="str">
        <f>_xlfn.IFS(B5595&lt;=5,"Night (0-5)",B5595&lt;=9,"Morning peak (6-9)",B5595&lt;=15,"Midday (10-15)",B5595&lt;=19,"Evening peak (16-19)",TRUE,"Late evening (20-23)")</f>
        <v>Midday (10-15)</v>
      </c>
    </row>
    <row r="5596" spans="1:9">
      <c r="A5596" s="32">
        <v>42055</v>
      </c>
      <c r="B5596">
        <v>12</v>
      </c>
      <c r="C5596">
        <v>3275</v>
      </c>
      <c r="D5596" t="s">
        <v>304</v>
      </c>
      <c r="E5596">
        <f>YEAR(A5596)</f>
        <v>2015</v>
      </c>
      <c r="F5596" s="33">
        <f>DATE(YEAR(A5596),MONTH(A5596),1)</f>
        <v>42036.0</v>
      </c>
      <c r="G5596" t="str">
        <f>CHOOSE(WEEKDAY(A5596,2),"Mon","Tue","Wed","Thu","Fri","Sat","Sun")</f>
        <v>Fri</v>
      </c>
      <c r="H5596" t="str">
        <f>IF(WEEKDAY(A5596,2)&gt;5,"Weekend","Weekday")</f>
        <v>Weekday</v>
      </c>
      <c r="I5596" t="str">
        <f>_xlfn.IFS(B5596&lt;=5,"Night (0-5)",B5596&lt;=9,"Morning peak (6-9)",B5596&lt;=15,"Midday (10-15)",B5596&lt;=19,"Evening peak (16-19)",TRUE,"Late evening (20-23)")</f>
        <v>Midday (10-15)</v>
      </c>
    </row>
    <row r="5597" spans="1:9">
      <c r="A5597" s="32">
        <v>42055</v>
      </c>
      <c r="B5597">
        <v>13</v>
      </c>
      <c r="C5597">
        <v>3340</v>
      </c>
      <c r="D5597" t="s">
        <v>304</v>
      </c>
      <c r="E5597">
        <f>YEAR(A5597)</f>
        <v>2015</v>
      </c>
      <c r="F5597" s="33">
        <f>DATE(YEAR(A5597),MONTH(A5597),1)</f>
        <v>42036.0</v>
      </c>
      <c r="G5597" t="str">
        <f>CHOOSE(WEEKDAY(A5597,2),"Mon","Tue","Wed","Thu","Fri","Sat","Sun")</f>
        <v>Fri</v>
      </c>
      <c r="H5597" t="str">
        <f>IF(WEEKDAY(A5597,2)&gt;5,"Weekend","Weekday")</f>
        <v>Weekday</v>
      </c>
      <c r="I5597" t="str">
        <f>_xlfn.IFS(B5597&lt;=5,"Night (0-5)",B5597&lt;=9,"Morning peak (6-9)",B5597&lt;=15,"Midday (10-15)",B5597&lt;=19,"Evening peak (16-19)",TRUE,"Late evening (20-23)")</f>
        <v>Midday (10-15)</v>
      </c>
    </row>
    <row r="5598" spans="1:9">
      <c r="A5598" s="32">
        <v>42055</v>
      </c>
      <c r="B5598">
        <v>14</v>
      </c>
      <c r="C5598">
        <v>3792</v>
      </c>
      <c r="D5598" t="s">
        <v>304</v>
      </c>
      <c r="E5598">
        <f>YEAR(A5598)</f>
        <v>2015</v>
      </c>
      <c r="F5598" s="33">
        <f>DATE(YEAR(A5598),MONTH(A5598),1)</f>
        <v>42036.0</v>
      </c>
      <c r="G5598" t="str">
        <f>CHOOSE(WEEKDAY(A5598,2),"Mon","Tue","Wed","Thu","Fri","Sat","Sun")</f>
        <v>Fri</v>
      </c>
      <c r="H5598" t="str">
        <f>IF(WEEKDAY(A5598,2)&gt;5,"Weekend","Weekday")</f>
        <v>Weekday</v>
      </c>
      <c r="I5598" t="str">
        <f>_xlfn.IFS(B5598&lt;=5,"Night (0-5)",B5598&lt;=9,"Morning peak (6-9)",B5598&lt;=15,"Midday (10-15)",B5598&lt;=19,"Evening peak (16-19)",TRUE,"Late evening (20-23)")</f>
        <v>Midday (10-15)</v>
      </c>
    </row>
    <row r="5599" spans="1:9">
      <c r="A5599" s="32">
        <v>42055</v>
      </c>
      <c r="B5599">
        <v>15</v>
      </c>
      <c r="C5599">
        <v>4211</v>
      </c>
      <c r="D5599" t="s">
        <v>304</v>
      </c>
      <c r="E5599">
        <f>YEAR(A5599)</f>
        <v>2015</v>
      </c>
      <c r="F5599" s="33">
        <f>DATE(YEAR(A5599),MONTH(A5599),1)</f>
        <v>42036.0</v>
      </c>
      <c r="G5599" t="str">
        <f>CHOOSE(WEEKDAY(A5599,2),"Mon","Tue","Wed","Thu","Fri","Sat","Sun")</f>
        <v>Fri</v>
      </c>
      <c r="H5599" t="str">
        <f>IF(WEEKDAY(A5599,2)&gt;5,"Weekend","Weekday")</f>
        <v>Weekday</v>
      </c>
      <c r="I5599" t="str">
        <f>_xlfn.IFS(B5599&lt;=5,"Night (0-5)",B5599&lt;=9,"Morning peak (6-9)",B5599&lt;=15,"Midday (10-15)",B5599&lt;=19,"Evening peak (16-19)",TRUE,"Late evening (20-23)")</f>
        <v>Midday (10-15)</v>
      </c>
    </row>
    <row r="5600" spans="1:9">
      <c r="A5600" s="32">
        <v>42055</v>
      </c>
      <c r="B5600">
        <v>16</v>
      </c>
      <c r="C5600">
        <v>5100</v>
      </c>
      <c r="D5600" t="s">
        <v>304</v>
      </c>
      <c r="E5600">
        <f>YEAR(A5600)</f>
        <v>2015</v>
      </c>
      <c r="F5600" s="33">
        <f>DATE(YEAR(A5600),MONTH(A5600),1)</f>
        <v>42036.0</v>
      </c>
      <c r="G5600" t="str">
        <f>CHOOSE(WEEKDAY(A5600,2),"Mon","Tue","Wed","Thu","Fri","Sat","Sun")</f>
        <v>Fri</v>
      </c>
      <c r="H5600" t="str">
        <f>IF(WEEKDAY(A5600,2)&gt;5,"Weekend","Weekday")</f>
        <v>Weekday</v>
      </c>
      <c r="I5600" t="str">
        <f>_xlfn.IFS(B5600&lt;=5,"Night (0-5)",B5600&lt;=9,"Morning peak (6-9)",B5600&lt;=15,"Midday (10-15)",B5600&lt;=19,"Evening peak (16-19)",TRUE,"Late evening (20-23)")</f>
        <v>Evening peak (16-19)</v>
      </c>
    </row>
    <row r="5601" spans="1:9">
      <c r="A5601" s="32">
        <v>42055</v>
      </c>
      <c r="B5601">
        <v>17</v>
      </c>
      <c r="C5601">
        <v>6254</v>
      </c>
      <c r="D5601" t="s">
        <v>304</v>
      </c>
      <c r="E5601">
        <f>YEAR(A5601)</f>
        <v>2015</v>
      </c>
      <c r="F5601" s="33">
        <f>DATE(YEAR(A5601),MONTH(A5601),1)</f>
        <v>42036.0</v>
      </c>
      <c r="G5601" t="str">
        <f>CHOOSE(WEEKDAY(A5601,2),"Mon","Tue","Wed","Thu","Fri","Sat","Sun")</f>
        <v>Fri</v>
      </c>
      <c r="H5601" t="str">
        <f>IF(WEEKDAY(A5601,2)&gt;5,"Weekend","Weekday")</f>
        <v>Weekday</v>
      </c>
      <c r="I5601" t="str">
        <f>_xlfn.IFS(B5601&lt;=5,"Night (0-5)",B5601&lt;=9,"Morning peak (6-9)",B5601&lt;=15,"Midday (10-15)",B5601&lt;=19,"Evening peak (16-19)",TRUE,"Late evening (20-23)")</f>
        <v>Evening peak (16-19)</v>
      </c>
    </row>
    <row r="5602" spans="1:9">
      <c r="A5602" s="32">
        <v>42055</v>
      </c>
      <c r="B5602">
        <v>18</v>
      </c>
      <c r="C5602">
        <v>7496</v>
      </c>
      <c r="D5602" t="s">
        <v>304</v>
      </c>
      <c r="E5602">
        <f>YEAR(A5602)</f>
        <v>2015</v>
      </c>
      <c r="F5602" s="33">
        <f>DATE(YEAR(A5602),MONTH(A5602),1)</f>
        <v>42036.0</v>
      </c>
      <c r="G5602" t="str">
        <f>CHOOSE(WEEKDAY(A5602,2),"Mon","Tue","Wed","Thu","Fri","Sat","Sun")</f>
        <v>Fri</v>
      </c>
      <c r="H5602" t="str">
        <f>IF(WEEKDAY(A5602,2)&gt;5,"Weekend","Weekday")</f>
        <v>Weekday</v>
      </c>
      <c r="I5602" t="str">
        <f>_xlfn.IFS(B5602&lt;=5,"Night (0-5)",B5602&lt;=9,"Morning peak (6-9)",B5602&lt;=15,"Midday (10-15)",B5602&lt;=19,"Evening peak (16-19)",TRUE,"Late evening (20-23)")</f>
        <v>Evening peak (16-19)</v>
      </c>
    </row>
    <row r="5603" spans="1:9">
      <c r="A5603" s="32">
        <v>42055</v>
      </c>
      <c r="B5603">
        <v>19</v>
      </c>
      <c r="C5603">
        <v>8467</v>
      </c>
      <c r="D5603" t="s">
        <v>304</v>
      </c>
      <c r="E5603">
        <f>YEAR(A5603)</f>
        <v>2015</v>
      </c>
      <c r="F5603" s="33">
        <f>DATE(YEAR(A5603),MONTH(A5603),1)</f>
        <v>42036.0</v>
      </c>
      <c r="G5603" t="str">
        <f>CHOOSE(WEEKDAY(A5603,2),"Mon","Tue","Wed","Thu","Fri","Sat","Sun")</f>
        <v>Fri</v>
      </c>
      <c r="H5603" t="str">
        <f>IF(WEEKDAY(A5603,2)&gt;5,"Weekend","Weekday")</f>
        <v>Weekday</v>
      </c>
      <c r="I5603" t="str">
        <f>_xlfn.IFS(B5603&lt;=5,"Night (0-5)",B5603&lt;=9,"Morning peak (6-9)",B5603&lt;=15,"Midday (10-15)",B5603&lt;=19,"Evening peak (16-19)",TRUE,"Late evening (20-23)")</f>
        <v>Evening peak (16-19)</v>
      </c>
    </row>
    <row r="5604" spans="1:9">
      <c r="A5604" s="32">
        <v>42055</v>
      </c>
      <c r="B5604">
        <v>20</v>
      </c>
      <c r="C5604">
        <v>7836</v>
      </c>
      <c r="D5604" t="s">
        <v>304</v>
      </c>
      <c r="E5604">
        <f>YEAR(A5604)</f>
        <v>2015</v>
      </c>
      <c r="F5604" s="33">
        <f>DATE(YEAR(A5604),MONTH(A5604),1)</f>
        <v>42036.0</v>
      </c>
      <c r="G5604" t="str">
        <f>CHOOSE(WEEKDAY(A5604,2),"Mon","Tue","Wed","Thu","Fri","Sat","Sun")</f>
        <v>Fri</v>
      </c>
      <c r="H5604" t="str">
        <f>IF(WEEKDAY(A5604,2)&gt;5,"Weekend","Weekday")</f>
        <v>Weekday</v>
      </c>
      <c r="I5604" t="str">
        <f>_xlfn.IFS(B5604&lt;=5,"Night (0-5)",B5604&lt;=9,"Morning peak (6-9)",B5604&lt;=15,"Midday (10-15)",B5604&lt;=19,"Evening peak (16-19)",TRUE,"Late evening (20-23)")</f>
        <v>Late evening (20-23)</v>
      </c>
    </row>
    <row r="5605" spans="1:9">
      <c r="A5605" s="32">
        <v>42055</v>
      </c>
      <c r="B5605">
        <v>21</v>
      </c>
      <c r="C5605">
        <v>7168</v>
      </c>
      <c r="D5605" t="s">
        <v>304</v>
      </c>
      <c r="E5605">
        <f>YEAR(A5605)</f>
        <v>2015</v>
      </c>
      <c r="F5605" s="33">
        <f>DATE(YEAR(A5605),MONTH(A5605),1)</f>
        <v>42036.0</v>
      </c>
      <c r="G5605" t="str">
        <f>CHOOSE(WEEKDAY(A5605,2),"Mon","Tue","Wed","Thu","Fri","Sat","Sun")</f>
        <v>Fri</v>
      </c>
      <c r="H5605" t="str">
        <f>IF(WEEKDAY(A5605,2)&gt;5,"Weekend","Weekday")</f>
        <v>Weekday</v>
      </c>
      <c r="I5605" t="str">
        <f>_xlfn.IFS(B5605&lt;=5,"Night (0-5)",B5605&lt;=9,"Morning peak (6-9)",B5605&lt;=15,"Midday (10-15)",B5605&lt;=19,"Evening peak (16-19)",TRUE,"Late evening (20-23)")</f>
        <v>Late evening (20-23)</v>
      </c>
    </row>
    <row r="5606" spans="1:9">
      <c r="A5606" s="32">
        <v>42055</v>
      </c>
      <c r="B5606">
        <v>22</v>
      </c>
      <c r="C5606">
        <v>7281</v>
      </c>
      <c r="D5606" t="s">
        <v>304</v>
      </c>
      <c r="E5606">
        <f>YEAR(A5606)</f>
        <v>2015</v>
      </c>
      <c r="F5606" s="33">
        <f>DATE(YEAR(A5606),MONTH(A5606),1)</f>
        <v>42036.0</v>
      </c>
      <c r="G5606" t="str">
        <f>CHOOSE(WEEKDAY(A5606,2),"Mon","Tue","Wed","Thu","Fri","Sat","Sun")</f>
        <v>Fri</v>
      </c>
      <c r="H5606" t="str">
        <f>IF(WEEKDAY(A5606,2)&gt;5,"Weekend","Weekday")</f>
        <v>Weekday</v>
      </c>
      <c r="I5606" t="str">
        <f>_xlfn.IFS(B5606&lt;=5,"Night (0-5)",B5606&lt;=9,"Morning peak (6-9)",B5606&lt;=15,"Midday (10-15)",B5606&lt;=19,"Evening peak (16-19)",TRUE,"Late evening (20-23)")</f>
        <v>Late evening (20-23)</v>
      </c>
    </row>
    <row r="5607" spans="1:9">
      <c r="A5607" s="32">
        <v>42055</v>
      </c>
      <c r="B5607">
        <v>23</v>
      </c>
      <c r="C5607">
        <v>6853</v>
      </c>
      <c r="D5607" t="s">
        <v>304</v>
      </c>
      <c r="E5607">
        <f>YEAR(A5607)</f>
        <v>2015</v>
      </c>
      <c r="F5607" s="33">
        <f>DATE(YEAR(A5607),MONTH(A5607),1)</f>
        <v>42036.0</v>
      </c>
      <c r="G5607" t="str">
        <f>CHOOSE(WEEKDAY(A5607,2),"Mon","Tue","Wed","Thu","Fri","Sat","Sun")</f>
        <v>Fri</v>
      </c>
      <c r="H5607" t="str">
        <f>IF(WEEKDAY(A5607,2)&gt;5,"Weekend","Weekday")</f>
        <v>Weekday</v>
      </c>
      <c r="I5607" t="str">
        <f>_xlfn.IFS(B5607&lt;=5,"Night (0-5)",B5607&lt;=9,"Morning peak (6-9)",B5607&lt;=15,"Midday (10-15)",B5607&lt;=19,"Evening peak (16-19)",TRUE,"Late evening (20-23)")</f>
        <v>Late evening (20-23)</v>
      </c>
    </row>
    <row r="5608" spans="1:9">
      <c r="A5608" s="32">
        <v>42056</v>
      </c>
      <c r="B5608">
        <v>0</v>
      </c>
      <c r="C5608">
        <v>5756</v>
      </c>
      <c r="D5608" t="s">
        <v>304</v>
      </c>
      <c r="E5608">
        <f>YEAR(A5608)</f>
        <v>2015</v>
      </c>
      <c r="F5608" s="33">
        <f>DATE(YEAR(A5608),MONTH(A5608),1)</f>
        <v>42036.0</v>
      </c>
      <c r="G5608" t="str">
        <f>CHOOSE(WEEKDAY(A5608,2),"Mon","Tue","Wed","Thu","Fri","Sat","Sun")</f>
        <v>Sat</v>
      </c>
      <c r="H5608" t="str">
        <f>IF(WEEKDAY(A5608,2)&gt;5,"Weekend","Weekday")</f>
        <v>Weekend</v>
      </c>
      <c r="I5608" t="str">
        <f>_xlfn.IFS(B5608&lt;=5,"Night (0-5)",B5608&lt;=9,"Morning peak (6-9)",B5608&lt;=15,"Midday (10-15)",B5608&lt;=19,"Evening peak (16-19)",TRUE,"Late evening (20-23)")</f>
        <v>Night (0-5)</v>
      </c>
    </row>
    <row r="5609" spans="1:9">
      <c r="A5609" s="32">
        <v>42056</v>
      </c>
      <c r="B5609">
        <v>1</v>
      </c>
      <c r="C5609">
        <v>3956</v>
      </c>
      <c r="D5609" t="s">
        <v>304</v>
      </c>
      <c r="E5609">
        <f>YEAR(A5609)</f>
        <v>2015</v>
      </c>
      <c r="F5609" s="33">
        <f>DATE(YEAR(A5609),MONTH(A5609),1)</f>
        <v>42036.0</v>
      </c>
      <c r="G5609" t="str">
        <f>CHOOSE(WEEKDAY(A5609,2),"Mon","Tue","Wed","Thu","Fri","Sat","Sun")</f>
        <v>Sat</v>
      </c>
      <c r="H5609" t="str">
        <f>IF(WEEKDAY(A5609,2)&gt;5,"Weekend","Weekday")</f>
        <v>Weekend</v>
      </c>
      <c r="I5609" t="str">
        <f>_xlfn.IFS(B5609&lt;=5,"Night (0-5)",B5609&lt;=9,"Morning peak (6-9)",B5609&lt;=15,"Midday (10-15)",B5609&lt;=19,"Evening peak (16-19)",TRUE,"Late evening (20-23)")</f>
        <v>Night (0-5)</v>
      </c>
    </row>
    <row r="5610" spans="1:9">
      <c r="A5610" s="32">
        <v>42056</v>
      </c>
      <c r="B5610">
        <v>2</v>
      </c>
      <c r="C5610">
        <v>2581</v>
      </c>
      <c r="D5610" t="s">
        <v>304</v>
      </c>
      <c r="E5610">
        <f>YEAR(A5610)</f>
        <v>2015</v>
      </c>
      <c r="F5610" s="33">
        <f>DATE(YEAR(A5610),MONTH(A5610),1)</f>
        <v>42036.0</v>
      </c>
      <c r="G5610" t="str">
        <f>CHOOSE(WEEKDAY(A5610,2),"Mon","Tue","Wed","Thu","Fri","Sat","Sun")</f>
        <v>Sat</v>
      </c>
      <c r="H5610" t="str">
        <f>IF(WEEKDAY(A5610,2)&gt;5,"Weekend","Weekday")</f>
        <v>Weekend</v>
      </c>
      <c r="I5610" t="str">
        <f>_xlfn.IFS(B5610&lt;=5,"Night (0-5)",B5610&lt;=9,"Morning peak (6-9)",B5610&lt;=15,"Midday (10-15)",B5610&lt;=19,"Evening peak (16-19)",TRUE,"Late evening (20-23)")</f>
        <v>Night (0-5)</v>
      </c>
    </row>
    <row r="5611" spans="1:9">
      <c r="A5611" s="32">
        <v>42056</v>
      </c>
      <c r="B5611">
        <v>3</v>
      </c>
      <c r="C5611">
        <v>1793</v>
      </c>
      <c r="D5611" t="s">
        <v>304</v>
      </c>
      <c r="E5611">
        <f>YEAR(A5611)</f>
        <v>2015</v>
      </c>
      <c r="F5611" s="33">
        <f>DATE(YEAR(A5611),MONTH(A5611),1)</f>
        <v>42036.0</v>
      </c>
      <c r="G5611" t="str">
        <f>CHOOSE(WEEKDAY(A5611,2),"Mon","Tue","Wed","Thu","Fri","Sat","Sun")</f>
        <v>Sat</v>
      </c>
      <c r="H5611" t="str">
        <f>IF(WEEKDAY(A5611,2)&gt;5,"Weekend","Weekday")</f>
        <v>Weekend</v>
      </c>
      <c r="I5611" t="str">
        <f>_xlfn.IFS(B5611&lt;=5,"Night (0-5)",B5611&lt;=9,"Morning peak (6-9)",B5611&lt;=15,"Midday (10-15)",B5611&lt;=19,"Evening peak (16-19)",TRUE,"Late evening (20-23)")</f>
        <v>Night (0-5)</v>
      </c>
    </row>
    <row r="5612" spans="1:9">
      <c r="A5612" s="32">
        <v>42056</v>
      </c>
      <c r="B5612">
        <v>4</v>
      </c>
      <c r="C5612">
        <v>1215</v>
      </c>
      <c r="D5612" t="s">
        <v>304</v>
      </c>
      <c r="E5612">
        <f>YEAR(A5612)</f>
        <v>2015</v>
      </c>
      <c r="F5612" s="33">
        <f>DATE(YEAR(A5612),MONTH(A5612),1)</f>
        <v>42036.0</v>
      </c>
      <c r="G5612" t="str">
        <f>CHOOSE(WEEKDAY(A5612,2),"Mon","Tue","Wed","Thu","Fri","Sat","Sun")</f>
        <v>Sat</v>
      </c>
      <c r="H5612" t="str">
        <f>IF(WEEKDAY(A5612,2)&gt;5,"Weekend","Weekday")</f>
        <v>Weekend</v>
      </c>
      <c r="I5612" t="str">
        <f>_xlfn.IFS(B5612&lt;=5,"Night (0-5)",B5612&lt;=9,"Morning peak (6-9)",B5612&lt;=15,"Midday (10-15)",B5612&lt;=19,"Evening peak (16-19)",TRUE,"Late evening (20-23)")</f>
        <v>Night (0-5)</v>
      </c>
    </row>
    <row r="5613" spans="1:9">
      <c r="A5613" s="32">
        <v>42056</v>
      </c>
      <c r="B5613">
        <v>5</v>
      </c>
      <c r="C5613">
        <v>958</v>
      </c>
      <c r="D5613" t="s">
        <v>304</v>
      </c>
      <c r="E5613">
        <f>YEAR(A5613)</f>
        <v>2015</v>
      </c>
      <c r="F5613" s="33">
        <f>DATE(YEAR(A5613),MONTH(A5613),1)</f>
        <v>42036.0</v>
      </c>
      <c r="G5613" t="str">
        <f>CHOOSE(WEEKDAY(A5613,2),"Mon","Tue","Wed","Thu","Fri","Sat","Sun")</f>
        <v>Sat</v>
      </c>
      <c r="H5613" t="str">
        <f>IF(WEEKDAY(A5613,2)&gt;5,"Weekend","Weekday")</f>
        <v>Weekend</v>
      </c>
      <c r="I5613" t="str">
        <f>_xlfn.IFS(B5613&lt;=5,"Night (0-5)",B5613&lt;=9,"Morning peak (6-9)",B5613&lt;=15,"Midday (10-15)",B5613&lt;=19,"Evening peak (16-19)",TRUE,"Late evening (20-23)")</f>
        <v>Night (0-5)</v>
      </c>
    </row>
    <row r="5614" spans="1:9">
      <c r="A5614" s="32">
        <v>42056</v>
      </c>
      <c r="B5614">
        <v>6</v>
      </c>
      <c r="C5614">
        <v>968</v>
      </c>
      <c r="D5614" t="s">
        <v>304</v>
      </c>
      <c r="E5614">
        <f>YEAR(A5614)</f>
        <v>2015</v>
      </c>
      <c r="F5614" s="33">
        <f>DATE(YEAR(A5614),MONTH(A5614),1)</f>
        <v>42036.0</v>
      </c>
      <c r="G5614" t="str">
        <f>CHOOSE(WEEKDAY(A5614,2),"Mon","Tue","Wed","Thu","Fri","Sat","Sun")</f>
        <v>Sat</v>
      </c>
      <c r="H5614" t="str">
        <f>IF(WEEKDAY(A5614,2)&gt;5,"Weekend","Weekday")</f>
        <v>Weekend</v>
      </c>
      <c r="I5614" t="str">
        <f>_xlfn.IFS(B5614&lt;=5,"Night (0-5)",B5614&lt;=9,"Morning peak (6-9)",B5614&lt;=15,"Midday (10-15)",B5614&lt;=19,"Evening peak (16-19)",TRUE,"Late evening (20-23)")</f>
        <v>Morning peak (6-9)</v>
      </c>
    </row>
    <row r="5615" spans="1:9">
      <c r="A5615" s="32">
        <v>42056</v>
      </c>
      <c r="B5615">
        <v>7</v>
      </c>
      <c r="C5615">
        <v>1111</v>
      </c>
      <c r="D5615" t="s">
        <v>304</v>
      </c>
      <c r="E5615">
        <f>YEAR(A5615)</f>
        <v>2015</v>
      </c>
      <c r="F5615" s="33">
        <f>DATE(YEAR(A5615),MONTH(A5615),1)</f>
        <v>42036.0</v>
      </c>
      <c r="G5615" t="str">
        <f>CHOOSE(WEEKDAY(A5615,2),"Mon","Tue","Wed","Thu","Fri","Sat","Sun")</f>
        <v>Sat</v>
      </c>
      <c r="H5615" t="str">
        <f>IF(WEEKDAY(A5615,2)&gt;5,"Weekend","Weekday")</f>
        <v>Weekend</v>
      </c>
      <c r="I5615" t="str">
        <f>_xlfn.IFS(B5615&lt;=5,"Night (0-5)",B5615&lt;=9,"Morning peak (6-9)",B5615&lt;=15,"Midday (10-15)",B5615&lt;=19,"Evening peak (16-19)",TRUE,"Late evening (20-23)")</f>
        <v>Morning peak (6-9)</v>
      </c>
    </row>
    <row r="5616" spans="1:9">
      <c r="A5616" s="32">
        <v>42056</v>
      </c>
      <c r="B5616">
        <v>8</v>
      </c>
      <c r="C5616">
        <v>1638</v>
      </c>
      <c r="D5616" t="s">
        <v>304</v>
      </c>
      <c r="E5616">
        <f>YEAR(A5616)</f>
        <v>2015</v>
      </c>
      <c r="F5616" s="33">
        <f>DATE(YEAR(A5616),MONTH(A5616),1)</f>
        <v>42036.0</v>
      </c>
      <c r="G5616" t="str">
        <f>CHOOSE(WEEKDAY(A5616,2),"Mon","Tue","Wed","Thu","Fri","Sat","Sun")</f>
        <v>Sat</v>
      </c>
      <c r="H5616" t="str">
        <f>IF(WEEKDAY(A5616,2)&gt;5,"Weekend","Weekday")</f>
        <v>Weekend</v>
      </c>
      <c r="I5616" t="str">
        <f>_xlfn.IFS(B5616&lt;=5,"Night (0-5)",B5616&lt;=9,"Morning peak (6-9)",B5616&lt;=15,"Midday (10-15)",B5616&lt;=19,"Evening peak (16-19)",TRUE,"Late evening (20-23)")</f>
        <v>Morning peak (6-9)</v>
      </c>
    </row>
    <row r="5617" spans="1:9">
      <c r="A5617" s="32">
        <v>42056</v>
      </c>
      <c r="B5617">
        <v>9</v>
      </c>
      <c r="C5617">
        <v>2182</v>
      </c>
      <c r="D5617" t="s">
        <v>304</v>
      </c>
      <c r="E5617">
        <f>YEAR(A5617)</f>
        <v>2015</v>
      </c>
      <c r="F5617" s="33">
        <f>DATE(YEAR(A5617),MONTH(A5617),1)</f>
        <v>42036.0</v>
      </c>
      <c r="G5617" t="str">
        <f>CHOOSE(WEEKDAY(A5617,2),"Mon","Tue","Wed","Thu","Fri","Sat","Sun")</f>
        <v>Sat</v>
      </c>
      <c r="H5617" t="str">
        <f>IF(WEEKDAY(A5617,2)&gt;5,"Weekend","Weekday")</f>
        <v>Weekend</v>
      </c>
      <c r="I5617" t="str">
        <f>_xlfn.IFS(B5617&lt;=5,"Night (0-5)",B5617&lt;=9,"Morning peak (6-9)",B5617&lt;=15,"Midday (10-15)",B5617&lt;=19,"Evening peak (16-19)",TRUE,"Late evening (20-23)")</f>
        <v>Morning peak (6-9)</v>
      </c>
    </row>
    <row r="5618" spans="1:9">
      <c r="A5618" s="32">
        <v>42056</v>
      </c>
      <c r="B5618">
        <v>10</v>
      </c>
      <c r="C5618">
        <v>2738</v>
      </c>
      <c r="D5618" t="s">
        <v>304</v>
      </c>
      <c r="E5618">
        <f>YEAR(A5618)</f>
        <v>2015</v>
      </c>
      <c r="F5618" s="33">
        <f>DATE(YEAR(A5618),MONTH(A5618),1)</f>
        <v>42036.0</v>
      </c>
      <c r="G5618" t="str">
        <f>CHOOSE(WEEKDAY(A5618,2),"Mon","Tue","Wed","Thu","Fri","Sat","Sun")</f>
        <v>Sat</v>
      </c>
      <c r="H5618" t="str">
        <f>IF(WEEKDAY(A5618,2)&gt;5,"Weekend","Weekday")</f>
        <v>Weekend</v>
      </c>
      <c r="I5618" t="str">
        <f>_xlfn.IFS(B5618&lt;=5,"Night (0-5)",B5618&lt;=9,"Morning peak (6-9)",B5618&lt;=15,"Midday (10-15)",B5618&lt;=19,"Evening peak (16-19)",TRUE,"Late evening (20-23)")</f>
        <v>Midday (10-15)</v>
      </c>
    </row>
    <row r="5619" spans="1:9">
      <c r="A5619" s="32">
        <v>42056</v>
      </c>
      <c r="B5619">
        <v>11</v>
      </c>
      <c r="C5619">
        <v>3044</v>
      </c>
      <c r="D5619" t="s">
        <v>304</v>
      </c>
      <c r="E5619">
        <f>YEAR(A5619)</f>
        <v>2015</v>
      </c>
      <c r="F5619" s="33">
        <f>DATE(YEAR(A5619),MONTH(A5619),1)</f>
        <v>42036.0</v>
      </c>
      <c r="G5619" t="str">
        <f>CHOOSE(WEEKDAY(A5619,2),"Mon","Tue","Wed","Thu","Fri","Sat","Sun")</f>
        <v>Sat</v>
      </c>
      <c r="H5619" t="str">
        <f>IF(WEEKDAY(A5619,2)&gt;5,"Weekend","Weekday")</f>
        <v>Weekend</v>
      </c>
      <c r="I5619" t="str">
        <f>_xlfn.IFS(B5619&lt;=5,"Night (0-5)",B5619&lt;=9,"Morning peak (6-9)",B5619&lt;=15,"Midday (10-15)",B5619&lt;=19,"Evening peak (16-19)",TRUE,"Late evening (20-23)")</f>
        <v>Midday (10-15)</v>
      </c>
    </row>
    <row r="5620" spans="1:9">
      <c r="A5620" s="32">
        <v>42056</v>
      </c>
      <c r="B5620">
        <v>12</v>
      </c>
      <c r="C5620">
        <v>3298</v>
      </c>
      <c r="D5620" t="s">
        <v>304</v>
      </c>
      <c r="E5620">
        <f>YEAR(A5620)</f>
        <v>2015</v>
      </c>
      <c r="F5620" s="33">
        <f>DATE(YEAR(A5620),MONTH(A5620),1)</f>
        <v>42036.0</v>
      </c>
      <c r="G5620" t="str">
        <f>CHOOSE(WEEKDAY(A5620,2),"Mon","Tue","Wed","Thu","Fri","Sat","Sun")</f>
        <v>Sat</v>
      </c>
      <c r="H5620" t="str">
        <f>IF(WEEKDAY(A5620,2)&gt;5,"Weekend","Weekday")</f>
        <v>Weekend</v>
      </c>
      <c r="I5620" t="str">
        <f>_xlfn.IFS(B5620&lt;=5,"Night (0-5)",B5620&lt;=9,"Morning peak (6-9)",B5620&lt;=15,"Midday (10-15)",B5620&lt;=19,"Evening peak (16-19)",TRUE,"Late evening (20-23)")</f>
        <v>Midday (10-15)</v>
      </c>
    </row>
    <row r="5621" spans="1:9">
      <c r="A5621" s="32">
        <v>42056</v>
      </c>
      <c r="B5621">
        <v>13</v>
      </c>
      <c r="C5621">
        <v>3725</v>
      </c>
      <c r="D5621" t="s">
        <v>304</v>
      </c>
      <c r="E5621">
        <f>YEAR(A5621)</f>
        <v>2015</v>
      </c>
      <c r="F5621" s="33">
        <f>DATE(YEAR(A5621),MONTH(A5621),1)</f>
        <v>42036.0</v>
      </c>
      <c r="G5621" t="str">
        <f>CHOOSE(WEEKDAY(A5621,2),"Mon","Tue","Wed","Thu","Fri","Sat","Sun")</f>
        <v>Sat</v>
      </c>
      <c r="H5621" t="str">
        <f>IF(WEEKDAY(A5621,2)&gt;5,"Weekend","Weekday")</f>
        <v>Weekend</v>
      </c>
      <c r="I5621" t="str">
        <f>_xlfn.IFS(B5621&lt;=5,"Night (0-5)",B5621&lt;=9,"Morning peak (6-9)",B5621&lt;=15,"Midday (10-15)",B5621&lt;=19,"Evening peak (16-19)",TRUE,"Late evening (20-23)")</f>
        <v>Midday (10-15)</v>
      </c>
    </row>
    <row r="5622" spans="1:9">
      <c r="A5622" s="32">
        <v>42056</v>
      </c>
      <c r="B5622">
        <v>14</v>
      </c>
      <c r="C5622">
        <v>4325</v>
      </c>
      <c r="D5622" t="s">
        <v>304</v>
      </c>
      <c r="E5622">
        <f>YEAR(A5622)</f>
        <v>2015</v>
      </c>
      <c r="F5622" s="33">
        <f>DATE(YEAR(A5622),MONTH(A5622),1)</f>
        <v>42036.0</v>
      </c>
      <c r="G5622" t="str">
        <f>CHOOSE(WEEKDAY(A5622,2),"Mon","Tue","Wed","Thu","Fri","Sat","Sun")</f>
        <v>Sat</v>
      </c>
      <c r="H5622" t="str">
        <f>IF(WEEKDAY(A5622,2)&gt;5,"Weekend","Weekday")</f>
        <v>Weekend</v>
      </c>
      <c r="I5622" t="str">
        <f>_xlfn.IFS(B5622&lt;=5,"Night (0-5)",B5622&lt;=9,"Morning peak (6-9)",B5622&lt;=15,"Midday (10-15)",B5622&lt;=19,"Evening peak (16-19)",TRUE,"Late evening (20-23)")</f>
        <v>Midday (10-15)</v>
      </c>
    </row>
    <row r="5623" spans="1:9">
      <c r="A5623" s="32">
        <v>42056</v>
      </c>
      <c r="B5623">
        <v>15</v>
      </c>
      <c r="C5623">
        <v>4842</v>
      </c>
      <c r="D5623" t="s">
        <v>304</v>
      </c>
      <c r="E5623">
        <f>YEAR(A5623)</f>
        <v>2015</v>
      </c>
      <c r="F5623" s="33">
        <f>DATE(YEAR(A5623),MONTH(A5623),1)</f>
        <v>42036.0</v>
      </c>
      <c r="G5623" t="str">
        <f>CHOOSE(WEEKDAY(A5623,2),"Mon","Tue","Wed","Thu","Fri","Sat","Sun")</f>
        <v>Sat</v>
      </c>
      <c r="H5623" t="str">
        <f>IF(WEEKDAY(A5623,2)&gt;5,"Weekend","Weekday")</f>
        <v>Weekend</v>
      </c>
      <c r="I5623" t="str">
        <f>_xlfn.IFS(B5623&lt;=5,"Night (0-5)",B5623&lt;=9,"Morning peak (6-9)",B5623&lt;=15,"Midday (10-15)",B5623&lt;=19,"Evening peak (16-19)",TRUE,"Late evening (20-23)")</f>
        <v>Midday (10-15)</v>
      </c>
    </row>
    <row r="5624" spans="1:9">
      <c r="A5624" s="32">
        <v>42056</v>
      </c>
      <c r="B5624">
        <v>16</v>
      </c>
      <c r="C5624">
        <v>5685</v>
      </c>
      <c r="D5624" t="s">
        <v>304</v>
      </c>
      <c r="E5624">
        <f>YEAR(A5624)</f>
        <v>2015</v>
      </c>
      <c r="F5624" s="33">
        <f>DATE(YEAR(A5624),MONTH(A5624),1)</f>
        <v>42036.0</v>
      </c>
      <c r="G5624" t="str">
        <f>CHOOSE(WEEKDAY(A5624,2),"Mon","Tue","Wed","Thu","Fri","Sat","Sun")</f>
        <v>Sat</v>
      </c>
      <c r="H5624" t="str">
        <f>IF(WEEKDAY(A5624,2)&gt;5,"Weekend","Weekday")</f>
        <v>Weekend</v>
      </c>
      <c r="I5624" t="str">
        <f>_xlfn.IFS(B5624&lt;=5,"Night (0-5)",B5624&lt;=9,"Morning peak (6-9)",B5624&lt;=15,"Midday (10-15)",B5624&lt;=19,"Evening peak (16-19)",TRUE,"Late evening (20-23)")</f>
        <v>Evening peak (16-19)</v>
      </c>
    </row>
    <row r="5625" spans="1:9">
      <c r="A5625" s="32">
        <v>42056</v>
      </c>
      <c r="B5625">
        <v>17</v>
      </c>
      <c r="C5625">
        <v>6565</v>
      </c>
      <c r="D5625" t="s">
        <v>304</v>
      </c>
      <c r="E5625">
        <f>YEAR(A5625)</f>
        <v>2015</v>
      </c>
      <c r="F5625" s="33">
        <f>DATE(YEAR(A5625),MONTH(A5625),1)</f>
        <v>42036.0</v>
      </c>
      <c r="G5625" t="str">
        <f>CHOOSE(WEEKDAY(A5625,2),"Mon","Tue","Wed","Thu","Fri","Sat","Sun")</f>
        <v>Sat</v>
      </c>
      <c r="H5625" t="str">
        <f>IF(WEEKDAY(A5625,2)&gt;5,"Weekend","Weekday")</f>
        <v>Weekend</v>
      </c>
      <c r="I5625" t="str">
        <f>_xlfn.IFS(B5625&lt;=5,"Night (0-5)",B5625&lt;=9,"Morning peak (6-9)",B5625&lt;=15,"Midday (10-15)",B5625&lt;=19,"Evening peak (16-19)",TRUE,"Late evening (20-23)")</f>
        <v>Evening peak (16-19)</v>
      </c>
    </row>
    <row r="5626" spans="1:9">
      <c r="A5626" s="32">
        <v>42056</v>
      </c>
      <c r="B5626">
        <v>18</v>
      </c>
      <c r="C5626">
        <v>7510</v>
      </c>
      <c r="D5626" t="s">
        <v>304</v>
      </c>
      <c r="E5626">
        <f>YEAR(A5626)</f>
        <v>2015</v>
      </c>
      <c r="F5626" s="33">
        <f>DATE(YEAR(A5626),MONTH(A5626),1)</f>
        <v>42036.0</v>
      </c>
      <c r="G5626" t="str">
        <f>CHOOSE(WEEKDAY(A5626,2),"Mon","Tue","Wed","Thu","Fri","Sat","Sun")</f>
        <v>Sat</v>
      </c>
      <c r="H5626" t="str">
        <f>IF(WEEKDAY(A5626,2)&gt;5,"Weekend","Weekday")</f>
        <v>Weekend</v>
      </c>
      <c r="I5626" t="str">
        <f>_xlfn.IFS(B5626&lt;=5,"Night (0-5)",B5626&lt;=9,"Morning peak (6-9)",B5626&lt;=15,"Midday (10-15)",B5626&lt;=19,"Evening peak (16-19)",TRUE,"Late evening (20-23)")</f>
        <v>Evening peak (16-19)</v>
      </c>
    </row>
    <row r="5627" spans="1:9">
      <c r="A5627" s="32">
        <v>42056</v>
      </c>
      <c r="B5627">
        <v>19</v>
      </c>
      <c r="C5627">
        <v>7944</v>
      </c>
      <c r="D5627" t="s">
        <v>304</v>
      </c>
      <c r="E5627">
        <f>YEAR(A5627)</f>
        <v>2015</v>
      </c>
      <c r="F5627" s="33">
        <f>DATE(YEAR(A5627),MONTH(A5627),1)</f>
        <v>42036.0</v>
      </c>
      <c r="G5627" t="str">
        <f>CHOOSE(WEEKDAY(A5627,2),"Mon","Tue","Wed","Thu","Fri","Sat","Sun")</f>
        <v>Sat</v>
      </c>
      <c r="H5627" t="str">
        <f>IF(WEEKDAY(A5627,2)&gt;5,"Weekend","Weekday")</f>
        <v>Weekend</v>
      </c>
      <c r="I5627" t="str">
        <f>_xlfn.IFS(B5627&lt;=5,"Night (0-5)",B5627&lt;=9,"Morning peak (6-9)",B5627&lt;=15,"Midday (10-15)",B5627&lt;=19,"Evening peak (16-19)",TRUE,"Late evening (20-23)")</f>
        <v>Evening peak (16-19)</v>
      </c>
    </row>
    <row r="5628" spans="1:9">
      <c r="A5628" s="32">
        <v>42056</v>
      </c>
      <c r="B5628">
        <v>20</v>
      </c>
      <c r="C5628">
        <v>7218</v>
      </c>
      <c r="D5628" t="s">
        <v>304</v>
      </c>
      <c r="E5628">
        <f>YEAR(A5628)</f>
        <v>2015</v>
      </c>
      <c r="F5628" s="33">
        <f>DATE(YEAR(A5628),MONTH(A5628),1)</f>
        <v>42036.0</v>
      </c>
      <c r="G5628" t="str">
        <f>CHOOSE(WEEKDAY(A5628,2),"Mon","Tue","Wed","Thu","Fri","Sat","Sun")</f>
        <v>Sat</v>
      </c>
      <c r="H5628" t="str">
        <f>IF(WEEKDAY(A5628,2)&gt;5,"Weekend","Weekday")</f>
        <v>Weekend</v>
      </c>
      <c r="I5628" t="str">
        <f>_xlfn.IFS(B5628&lt;=5,"Night (0-5)",B5628&lt;=9,"Morning peak (6-9)",B5628&lt;=15,"Midday (10-15)",B5628&lt;=19,"Evening peak (16-19)",TRUE,"Late evening (20-23)")</f>
        <v>Late evening (20-23)</v>
      </c>
    </row>
    <row r="5629" spans="1:9">
      <c r="A5629" s="32">
        <v>42056</v>
      </c>
      <c r="B5629">
        <v>21</v>
      </c>
      <c r="C5629">
        <v>6778</v>
      </c>
      <c r="D5629" t="s">
        <v>304</v>
      </c>
      <c r="E5629">
        <f>YEAR(A5629)</f>
        <v>2015</v>
      </c>
      <c r="F5629" s="33">
        <f>DATE(YEAR(A5629),MONTH(A5629),1)</f>
        <v>42036.0</v>
      </c>
      <c r="G5629" t="str">
        <f>CHOOSE(WEEKDAY(A5629,2),"Mon","Tue","Wed","Thu","Fri","Sat","Sun")</f>
        <v>Sat</v>
      </c>
      <c r="H5629" t="str">
        <f>IF(WEEKDAY(A5629,2)&gt;5,"Weekend","Weekday")</f>
        <v>Weekend</v>
      </c>
      <c r="I5629" t="str">
        <f>_xlfn.IFS(B5629&lt;=5,"Night (0-5)",B5629&lt;=9,"Morning peak (6-9)",B5629&lt;=15,"Midday (10-15)",B5629&lt;=19,"Evening peak (16-19)",TRUE,"Late evening (20-23)")</f>
        <v>Late evening (20-23)</v>
      </c>
    </row>
    <row r="5630" spans="1:9">
      <c r="A5630" s="32">
        <v>42056</v>
      </c>
      <c r="B5630">
        <v>22</v>
      </c>
      <c r="C5630">
        <v>7252</v>
      </c>
      <c r="D5630" t="s">
        <v>304</v>
      </c>
      <c r="E5630">
        <f>YEAR(A5630)</f>
        <v>2015</v>
      </c>
      <c r="F5630" s="33">
        <f>DATE(YEAR(A5630),MONTH(A5630),1)</f>
        <v>42036.0</v>
      </c>
      <c r="G5630" t="str">
        <f>CHOOSE(WEEKDAY(A5630,2),"Mon","Tue","Wed","Thu","Fri","Sat","Sun")</f>
        <v>Sat</v>
      </c>
      <c r="H5630" t="str">
        <f>IF(WEEKDAY(A5630,2)&gt;5,"Weekend","Weekday")</f>
        <v>Weekend</v>
      </c>
      <c r="I5630" t="str">
        <f>_xlfn.IFS(B5630&lt;=5,"Night (0-5)",B5630&lt;=9,"Morning peak (6-9)",B5630&lt;=15,"Midday (10-15)",B5630&lt;=19,"Evening peak (16-19)",TRUE,"Late evening (20-23)")</f>
        <v>Late evening (20-23)</v>
      </c>
    </row>
    <row r="5631" spans="1:9">
      <c r="A5631" s="32">
        <v>42056</v>
      </c>
      <c r="B5631">
        <v>23</v>
      </c>
      <c r="C5631">
        <v>7399</v>
      </c>
      <c r="D5631" t="s">
        <v>304</v>
      </c>
      <c r="E5631">
        <f>YEAR(A5631)</f>
        <v>2015</v>
      </c>
      <c r="F5631" s="33">
        <f>DATE(YEAR(A5631),MONTH(A5631),1)</f>
        <v>42036.0</v>
      </c>
      <c r="G5631" t="str">
        <f>CHOOSE(WEEKDAY(A5631,2),"Mon","Tue","Wed","Thu","Fri","Sat","Sun")</f>
        <v>Sat</v>
      </c>
      <c r="H5631" t="str">
        <f>IF(WEEKDAY(A5631,2)&gt;5,"Weekend","Weekday")</f>
        <v>Weekend</v>
      </c>
      <c r="I5631" t="str">
        <f>_xlfn.IFS(B5631&lt;=5,"Night (0-5)",B5631&lt;=9,"Morning peak (6-9)",B5631&lt;=15,"Midday (10-15)",B5631&lt;=19,"Evening peak (16-19)",TRUE,"Late evening (20-23)")</f>
        <v>Late evening (20-23)</v>
      </c>
    </row>
    <row r="5632" spans="1:9">
      <c r="A5632" s="32">
        <v>42057</v>
      </c>
      <c r="B5632">
        <v>0</v>
      </c>
      <c r="C5632">
        <v>6276</v>
      </c>
      <c r="D5632" t="s">
        <v>304</v>
      </c>
      <c r="E5632">
        <f>YEAR(A5632)</f>
        <v>2015</v>
      </c>
      <c r="F5632" s="33">
        <f>DATE(YEAR(A5632),MONTH(A5632),1)</f>
        <v>42036.0</v>
      </c>
      <c r="G5632" t="str">
        <f>CHOOSE(WEEKDAY(A5632,2),"Mon","Tue","Wed","Thu","Fri","Sat","Sun")</f>
        <v>Sun</v>
      </c>
      <c r="H5632" t="str">
        <f>IF(WEEKDAY(A5632,2)&gt;5,"Weekend","Weekday")</f>
        <v>Weekend</v>
      </c>
      <c r="I5632" t="str">
        <f>_xlfn.IFS(B5632&lt;=5,"Night (0-5)",B5632&lt;=9,"Morning peak (6-9)",B5632&lt;=15,"Midday (10-15)",B5632&lt;=19,"Evening peak (16-19)",TRUE,"Late evening (20-23)")</f>
        <v>Night (0-5)</v>
      </c>
    </row>
    <row r="5633" spans="1:9">
      <c r="A5633" s="32">
        <v>42057</v>
      </c>
      <c r="B5633">
        <v>1</v>
      </c>
      <c r="C5633">
        <v>4953</v>
      </c>
      <c r="D5633" t="s">
        <v>304</v>
      </c>
      <c r="E5633">
        <f>YEAR(A5633)</f>
        <v>2015</v>
      </c>
      <c r="F5633" s="33">
        <f>DATE(YEAR(A5633),MONTH(A5633),1)</f>
        <v>42036.0</v>
      </c>
      <c r="G5633" t="str">
        <f>CHOOSE(WEEKDAY(A5633,2),"Mon","Tue","Wed","Thu","Fri","Sat","Sun")</f>
        <v>Sun</v>
      </c>
      <c r="H5633" t="str">
        <f>IF(WEEKDAY(A5633,2)&gt;5,"Weekend","Weekday")</f>
        <v>Weekend</v>
      </c>
      <c r="I5633" t="str">
        <f>_xlfn.IFS(B5633&lt;=5,"Night (0-5)",B5633&lt;=9,"Morning peak (6-9)",B5633&lt;=15,"Midday (10-15)",B5633&lt;=19,"Evening peak (16-19)",TRUE,"Late evening (20-23)")</f>
        <v>Night (0-5)</v>
      </c>
    </row>
    <row r="5634" spans="1:9">
      <c r="A5634" s="32">
        <v>42057</v>
      </c>
      <c r="B5634">
        <v>2</v>
      </c>
      <c r="C5634">
        <v>3511</v>
      </c>
      <c r="D5634" t="s">
        <v>304</v>
      </c>
      <c r="E5634">
        <f>YEAR(A5634)</f>
        <v>2015</v>
      </c>
      <c r="F5634" s="33">
        <f>DATE(YEAR(A5634),MONTH(A5634),1)</f>
        <v>42036.0</v>
      </c>
      <c r="G5634" t="str">
        <f>CHOOSE(WEEKDAY(A5634,2),"Mon","Tue","Wed","Thu","Fri","Sat","Sun")</f>
        <v>Sun</v>
      </c>
      <c r="H5634" t="str">
        <f>IF(WEEKDAY(A5634,2)&gt;5,"Weekend","Weekday")</f>
        <v>Weekend</v>
      </c>
      <c r="I5634" t="str">
        <f>_xlfn.IFS(B5634&lt;=5,"Night (0-5)",B5634&lt;=9,"Morning peak (6-9)",B5634&lt;=15,"Midday (10-15)",B5634&lt;=19,"Evening peak (16-19)",TRUE,"Late evening (20-23)")</f>
        <v>Night (0-5)</v>
      </c>
    </row>
    <row r="5635" spans="1:9">
      <c r="A5635" s="32">
        <v>42057</v>
      </c>
      <c r="B5635">
        <v>3</v>
      </c>
      <c r="C5635">
        <v>2157</v>
      </c>
      <c r="D5635" t="s">
        <v>304</v>
      </c>
      <c r="E5635">
        <f>YEAR(A5635)</f>
        <v>2015</v>
      </c>
      <c r="F5635" s="33">
        <f>DATE(YEAR(A5635),MONTH(A5635),1)</f>
        <v>42036.0</v>
      </c>
      <c r="G5635" t="str">
        <f>CHOOSE(WEEKDAY(A5635,2),"Mon","Tue","Wed","Thu","Fri","Sat","Sun")</f>
        <v>Sun</v>
      </c>
      <c r="H5635" t="str">
        <f>IF(WEEKDAY(A5635,2)&gt;5,"Weekend","Weekday")</f>
        <v>Weekend</v>
      </c>
      <c r="I5635" t="str">
        <f>_xlfn.IFS(B5635&lt;=5,"Night (0-5)",B5635&lt;=9,"Morning peak (6-9)",B5635&lt;=15,"Midday (10-15)",B5635&lt;=19,"Evening peak (16-19)",TRUE,"Late evening (20-23)")</f>
        <v>Night (0-5)</v>
      </c>
    </row>
    <row r="5636" spans="1:9">
      <c r="A5636" s="32">
        <v>42057</v>
      </c>
      <c r="B5636">
        <v>4</v>
      </c>
      <c r="C5636">
        <v>1299</v>
      </c>
      <c r="D5636" t="s">
        <v>304</v>
      </c>
      <c r="E5636">
        <f>YEAR(A5636)</f>
        <v>2015</v>
      </c>
      <c r="F5636" s="33">
        <f>DATE(YEAR(A5636),MONTH(A5636),1)</f>
        <v>42036.0</v>
      </c>
      <c r="G5636" t="str">
        <f>CHOOSE(WEEKDAY(A5636,2),"Mon","Tue","Wed","Thu","Fri","Sat","Sun")</f>
        <v>Sun</v>
      </c>
      <c r="H5636" t="str">
        <f>IF(WEEKDAY(A5636,2)&gt;5,"Weekend","Weekday")</f>
        <v>Weekend</v>
      </c>
      <c r="I5636" t="str">
        <f>_xlfn.IFS(B5636&lt;=5,"Night (0-5)",B5636&lt;=9,"Morning peak (6-9)",B5636&lt;=15,"Midday (10-15)",B5636&lt;=19,"Evening peak (16-19)",TRUE,"Late evening (20-23)")</f>
        <v>Night (0-5)</v>
      </c>
    </row>
    <row r="5637" spans="1:9">
      <c r="A5637" s="32">
        <v>42057</v>
      </c>
      <c r="B5637">
        <v>5</v>
      </c>
      <c r="C5637">
        <v>827</v>
      </c>
      <c r="D5637" t="s">
        <v>304</v>
      </c>
      <c r="E5637">
        <f>YEAR(A5637)</f>
        <v>2015</v>
      </c>
      <c r="F5637" s="33">
        <f>DATE(YEAR(A5637),MONTH(A5637),1)</f>
        <v>42036.0</v>
      </c>
      <c r="G5637" t="str">
        <f>CHOOSE(WEEKDAY(A5637,2),"Mon","Tue","Wed","Thu","Fri","Sat","Sun")</f>
        <v>Sun</v>
      </c>
      <c r="H5637" t="str">
        <f>IF(WEEKDAY(A5637,2)&gt;5,"Weekend","Weekday")</f>
        <v>Weekend</v>
      </c>
      <c r="I5637" t="str">
        <f>_xlfn.IFS(B5637&lt;=5,"Night (0-5)",B5637&lt;=9,"Morning peak (6-9)",B5637&lt;=15,"Midday (10-15)",B5637&lt;=19,"Evening peak (16-19)",TRUE,"Late evening (20-23)")</f>
        <v>Night (0-5)</v>
      </c>
    </row>
    <row r="5638" spans="1:9">
      <c r="A5638" s="32">
        <v>42057</v>
      </c>
      <c r="B5638">
        <v>6</v>
      </c>
      <c r="C5638">
        <v>757</v>
      </c>
      <c r="D5638" t="s">
        <v>304</v>
      </c>
      <c r="E5638">
        <f>YEAR(A5638)</f>
        <v>2015</v>
      </c>
      <c r="F5638" s="33">
        <f>DATE(YEAR(A5638),MONTH(A5638),1)</f>
        <v>42036.0</v>
      </c>
      <c r="G5638" t="str">
        <f>CHOOSE(WEEKDAY(A5638,2),"Mon","Tue","Wed","Thu","Fri","Sat","Sun")</f>
        <v>Sun</v>
      </c>
      <c r="H5638" t="str">
        <f>IF(WEEKDAY(A5638,2)&gt;5,"Weekend","Weekday")</f>
        <v>Weekend</v>
      </c>
      <c r="I5638" t="str">
        <f>_xlfn.IFS(B5638&lt;=5,"Night (0-5)",B5638&lt;=9,"Morning peak (6-9)",B5638&lt;=15,"Midday (10-15)",B5638&lt;=19,"Evening peak (16-19)",TRUE,"Late evening (20-23)")</f>
        <v>Morning peak (6-9)</v>
      </c>
    </row>
    <row r="5639" spans="1:9">
      <c r="A5639" s="32">
        <v>42057</v>
      </c>
      <c r="B5639">
        <v>7</v>
      </c>
      <c r="C5639">
        <v>897</v>
      </c>
      <c r="D5639" t="s">
        <v>304</v>
      </c>
      <c r="E5639">
        <f>YEAR(A5639)</f>
        <v>2015</v>
      </c>
      <c r="F5639" s="33">
        <f>DATE(YEAR(A5639),MONTH(A5639),1)</f>
        <v>42036.0</v>
      </c>
      <c r="G5639" t="str">
        <f>CHOOSE(WEEKDAY(A5639,2),"Mon","Tue","Wed","Thu","Fri","Sat","Sun")</f>
        <v>Sun</v>
      </c>
      <c r="H5639" t="str">
        <f>IF(WEEKDAY(A5639,2)&gt;5,"Weekend","Weekday")</f>
        <v>Weekend</v>
      </c>
      <c r="I5639" t="str">
        <f>_xlfn.IFS(B5639&lt;=5,"Night (0-5)",B5639&lt;=9,"Morning peak (6-9)",B5639&lt;=15,"Midday (10-15)",B5639&lt;=19,"Evening peak (16-19)",TRUE,"Late evening (20-23)")</f>
        <v>Morning peak (6-9)</v>
      </c>
    </row>
    <row r="5640" spans="1:9">
      <c r="A5640" s="32">
        <v>42057</v>
      </c>
      <c r="B5640">
        <v>8</v>
      </c>
      <c r="C5640">
        <v>1202</v>
      </c>
      <c r="D5640" t="s">
        <v>304</v>
      </c>
      <c r="E5640">
        <f>YEAR(A5640)</f>
        <v>2015</v>
      </c>
      <c r="F5640" s="33">
        <f>DATE(YEAR(A5640),MONTH(A5640),1)</f>
        <v>42036.0</v>
      </c>
      <c r="G5640" t="str">
        <f>CHOOSE(WEEKDAY(A5640,2),"Mon","Tue","Wed","Thu","Fri","Sat","Sun")</f>
        <v>Sun</v>
      </c>
      <c r="H5640" t="str">
        <f>IF(WEEKDAY(A5640,2)&gt;5,"Weekend","Weekday")</f>
        <v>Weekend</v>
      </c>
      <c r="I5640" t="str">
        <f>_xlfn.IFS(B5640&lt;=5,"Night (0-5)",B5640&lt;=9,"Morning peak (6-9)",B5640&lt;=15,"Midday (10-15)",B5640&lt;=19,"Evening peak (16-19)",TRUE,"Late evening (20-23)")</f>
        <v>Morning peak (6-9)</v>
      </c>
    </row>
    <row r="5641" spans="1:9">
      <c r="A5641" s="32">
        <v>42057</v>
      </c>
      <c r="B5641">
        <v>9</v>
      </c>
      <c r="C5641">
        <v>1696</v>
      </c>
      <c r="D5641" t="s">
        <v>304</v>
      </c>
      <c r="E5641">
        <f>YEAR(A5641)</f>
        <v>2015</v>
      </c>
      <c r="F5641" s="33">
        <f>DATE(YEAR(A5641),MONTH(A5641),1)</f>
        <v>42036.0</v>
      </c>
      <c r="G5641" t="str">
        <f>CHOOSE(WEEKDAY(A5641,2),"Mon","Tue","Wed","Thu","Fri","Sat","Sun")</f>
        <v>Sun</v>
      </c>
      <c r="H5641" t="str">
        <f>IF(WEEKDAY(A5641,2)&gt;5,"Weekend","Weekday")</f>
        <v>Weekend</v>
      </c>
      <c r="I5641" t="str">
        <f>_xlfn.IFS(B5641&lt;=5,"Night (0-5)",B5641&lt;=9,"Morning peak (6-9)",B5641&lt;=15,"Midday (10-15)",B5641&lt;=19,"Evening peak (16-19)",TRUE,"Late evening (20-23)")</f>
        <v>Morning peak (6-9)</v>
      </c>
    </row>
    <row r="5642" spans="1:9">
      <c r="A5642" s="32">
        <v>42057</v>
      </c>
      <c r="B5642">
        <v>10</v>
      </c>
      <c r="C5642">
        <v>2251</v>
      </c>
      <c r="D5642" t="s">
        <v>304</v>
      </c>
      <c r="E5642">
        <f>YEAR(A5642)</f>
        <v>2015</v>
      </c>
      <c r="F5642" s="33">
        <f>DATE(YEAR(A5642),MONTH(A5642),1)</f>
        <v>42036.0</v>
      </c>
      <c r="G5642" t="str">
        <f>CHOOSE(WEEKDAY(A5642,2),"Mon","Tue","Wed","Thu","Fri","Sat","Sun")</f>
        <v>Sun</v>
      </c>
      <c r="H5642" t="str">
        <f>IF(WEEKDAY(A5642,2)&gt;5,"Weekend","Weekday")</f>
        <v>Weekend</v>
      </c>
      <c r="I5642" t="str">
        <f>_xlfn.IFS(B5642&lt;=5,"Night (0-5)",B5642&lt;=9,"Morning peak (6-9)",B5642&lt;=15,"Midday (10-15)",B5642&lt;=19,"Evening peak (16-19)",TRUE,"Late evening (20-23)")</f>
        <v>Midday (10-15)</v>
      </c>
    </row>
    <row r="5643" spans="1:9">
      <c r="A5643" s="32">
        <v>42057</v>
      </c>
      <c r="B5643">
        <v>11</v>
      </c>
      <c r="C5643">
        <v>2689</v>
      </c>
      <c r="D5643" t="s">
        <v>304</v>
      </c>
      <c r="E5643">
        <f>YEAR(A5643)</f>
        <v>2015</v>
      </c>
      <c r="F5643" s="33">
        <f>DATE(YEAR(A5643),MONTH(A5643),1)</f>
        <v>42036.0</v>
      </c>
      <c r="G5643" t="str">
        <f>CHOOSE(WEEKDAY(A5643,2),"Mon","Tue","Wed","Thu","Fri","Sat","Sun")</f>
        <v>Sun</v>
      </c>
      <c r="H5643" t="str">
        <f>IF(WEEKDAY(A5643,2)&gt;5,"Weekend","Weekday")</f>
        <v>Weekend</v>
      </c>
      <c r="I5643" t="str">
        <f>_xlfn.IFS(B5643&lt;=5,"Night (0-5)",B5643&lt;=9,"Morning peak (6-9)",B5643&lt;=15,"Midday (10-15)",B5643&lt;=19,"Evening peak (16-19)",TRUE,"Late evening (20-23)")</f>
        <v>Midday (10-15)</v>
      </c>
    </row>
    <row r="5644" spans="1:9">
      <c r="A5644" s="32">
        <v>42057</v>
      </c>
      <c r="B5644">
        <v>12</v>
      </c>
      <c r="C5644">
        <v>2999</v>
      </c>
      <c r="D5644" t="s">
        <v>304</v>
      </c>
      <c r="E5644">
        <f>YEAR(A5644)</f>
        <v>2015</v>
      </c>
      <c r="F5644" s="33">
        <f>DATE(YEAR(A5644),MONTH(A5644),1)</f>
        <v>42036.0</v>
      </c>
      <c r="G5644" t="str">
        <f>CHOOSE(WEEKDAY(A5644,2),"Mon","Tue","Wed","Thu","Fri","Sat","Sun")</f>
        <v>Sun</v>
      </c>
      <c r="H5644" t="str">
        <f>IF(WEEKDAY(A5644,2)&gt;5,"Weekend","Weekday")</f>
        <v>Weekend</v>
      </c>
      <c r="I5644" t="str">
        <f>_xlfn.IFS(B5644&lt;=5,"Night (0-5)",B5644&lt;=9,"Morning peak (6-9)",B5644&lt;=15,"Midday (10-15)",B5644&lt;=19,"Evening peak (16-19)",TRUE,"Late evening (20-23)")</f>
        <v>Midday (10-15)</v>
      </c>
    </row>
    <row r="5645" spans="1:9">
      <c r="A5645" s="32">
        <v>42057</v>
      </c>
      <c r="B5645">
        <v>13</v>
      </c>
      <c r="C5645">
        <v>3141</v>
      </c>
      <c r="D5645" t="s">
        <v>304</v>
      </c>
      <c r="E5645">
        <f>YEAR(A5645)</f>
        <v>2015</v>
      </c>
      <c r="F5645" s="33">
        <f>DATE(YEAR(A5645),MONTH(A5645),1)</f>
        <v>42036.0</v>
      </c>
      <c r="G5645" t="str">
        <f>CHOOSE(WEEKDAY(A5645,2),"Mon","Tue","Wed","Thu","Fri","Sat","Sun")</f>
        <v>Sun</v>
      </c>
      <c r="H5645" t="str">
        <f>IF(WEEKDAY(A5645,2)&gt;5,"Weekend","Weekday")</f>
        <v>Weekend</v>
      </c>
      <c r="I5645" t="str">
        <f>_xlfn.IFS(B5645&lt;=5,"Night (0-5)",B5645&lt;=9,"Morning peak (6-9)",B5645&lt;=15,"Midday (10-15)",B5645&lt;=19,"Evening peak (16-19)",TRUE,"Late evening (20-23)")</f>
        <v>Midday (10-15)</v>
      </c>
    </row>
    <row r="5646" spans="1:9">
      <c r="A5646" s="32">
        <v>42057</v>
      </c>
      <c r="B5646">
        <v>14</v>
      </c>
      <c r="C5646">
        <v>3204</v>
      </c>
      <c r="D5646" t="s">
        <v>304</v>
      </c>
      <c r="E5646">
        <f>YEAR(A5646)</f>
        <v>2015</v>
      </c>
      <c r="F5646" s="33">
        <f>DATE(YEAR(A5646),MONTH(A5646),1)</f>
        <v>42036.0</v>
      </c>
      <c r="G5646" t="str">
        <f>CHOOSE(WEEKDAY(A5646,2),"Mon","Tue","Wed","Thu","Fri","Sat","Sun")</f>
        <v>Sun</v>
      </c>
      <c r="H5646" t="str">
        <f>IF(WEEKDAY(A5646,2)&gt;5,"Weekend","Weekday")</f>
        <v>Weekend</v>
      </c>
      <c r="I5646" t="str">
        <f>_xlfn.IFS(B5646&lt;=5,"Night (0-5)",B5646&lt;=9,"Morning peak (6-9)",B5646&lt;=15,"Midday (10-15)",B5646&lt;=19,"Evening peak (16-19)",TRUE,"Late evening (20-23)")</f>
        <v>Midday (10-15)</v>
      </c>
    </row>
    <row r="5647" spans="1:9">
      <c r="A5647" s="32">
        <v>42057</v>
      </c>
      <c r="B5647">
        <v>15</v>
      </c>
      <c r="C5647">
        <v>3327</v>
      </c>
      <c r="D5647" t="s">
        <v>304</v>
      </c>
      <c r="E5647">
        <f>YEAR(A5647)</f>
        <v>2015</v>
      </c>
      <c r="F5647" s="33">
        <f>DATE(YEAR(A5647),MONTH(A5647),1)</f>
        <v>42036.0</v>
      </c>
      <c r="G5647" t="str">
        <f>CHOOSE(WEEKDAY(A5647,2),"Mon","Tue","Wed","Thu","Fri","Sat","Sun")</f>
        <v>Sun</v>
      </c>
      <c r="H5647" t="str">
        <f>IF(WEEKDAY(A5647,2)&gt;5,"Weekend","Weekday")</f>
        <v>Weekend</v>
      </c>
      <c r="I5647" t="str">
        <f>_xlfn.IFS(B5647&lt;=5,"Night (0-5)",B5647&lt;=9,"Morning peak (6-9)",B5647&lt;=15,"Midday (10-15)",B5647&lt;=19,"Evening peak (16-19)",TRUE,"Late evening (20-23)")</f>
        <v>Midday (10-15)</v>
      </c>
    </row>
    <row r="5648" spans="1:9">
      <c r="A5648" s="32">
        <v>42057</v>
      </c>
      <c r="B5648">
        <v>16</v>
      </c>
      <c r="C5648">
        <v>3472</v>
      </c>
      <c r="D5648" t="s">
        <v>304</v>
      </c>
      <c r="E5648">
        <f>YEAR(A5648)</f>
        <v>2015</v>
      </c>
      <c r="F5648" s="33">
        <f>DATE(YEAR(A5648),MONTH(A5648),1)</f>
        <v>42036.0</v>
      </c>
      <c r="G5648" t="str">
        <f>CHOOSE(WEEKDAY(A5648,2),"Mon","Tue","Wed","Thu","Fri","Sat","Sun")</f>
        <v>Sun</v>
      </c>
      <c r="H5648" t="str">
        <f>IF(WEEKDAY(A5648,2)&gt;5,"Weekend","Weekday")</f>
        <v>Weekend</v>
      </c>
      <c r="I5648" t="str">
        <f>_xlfn.IFS(B5648&lt;=5,"Night (0-5)",B5648&lt;=9,"Morning peak (6-9)",B5648&lt;=15,"Midday (10-15)",B5648&lt;=19,"Evening peak (16-19)",TRUE,"Late evening (20-23)")</f>
        <v>Evening peak (16-19)</v>
      </c>
    </row>
    <row r="5649" spans="1:9">
      <c r="A5649" s="32">
        <v>42057</v>
      </c>
      <c r="B5649">
        <v>17</v>
      </c>
      <c r="C5649">
        <v>3925</v>
      </c>
      <c r="D5649" t="s">
        <v>304</v>
      </c>
      <c r="E5649">
        <f>YEAR(A5649)</f>
        <v>2015</v>
      </c>
      <c r="F5649" s="33">
        <f>DATE(YEAR(A5649),MONTH(A5649),1)</f>
        <v>42036.0</v>
      </c>
      <c r="G5649" t="str">
        <f>CHOOSE(WEEKDAY(A5649,2),"Mon","Tue","Wed","Thu","Fri","Sat","Sun")</f>
        <v>Sun</v>
      </c>
      <c r="H5649" t="str">
        <f>IF(WEEKDAY(A5649,2)&gt;5,"Weekend","Weekday")</f>
        <v>Weekend</v>
      </c>
      <c r="I5649" t="str">
        <f>_xlfn.IFS(B5649&lt;=5,"Night (0-5)",B5649&lt;=9,"Morning peak (6-9)",B5649&lt;=15,"Midday (10-15)",B5649&lt;=19,"Evening peak (16-19)",TRUE,"Late evening (20-23)")</f>
        <v>Evening peak (16-19)</v>
      </c>
    </row>
    <row r="5650" spans="1:9">
      <c r="A5650" s="32">
        <v>42057</v>
      </c>
      <c r="B5650">
        <v>18</v>
      </c>
      <c r="C5650">
        <v>4191</v>
      </c>
      <c r="D5650" t="s">
        <v>304</v>
      </c>
      <c r="E5650">
        <f>YEAR(A5650)</f>
        <v>2015</v>
      </c>
      <c r="F5650" s="33">
        <f>DATE(YEAR(A5650),MONTH(A5650),1)</f>
        <v>42036.0</v>
      </c>
      <c r="G5650" t="str">
        <f>CHOOSE(WEEKDAY(A5650,2),"Mon","Tue","Wed","Thu","Fri","Sat","Sun")</f>
        <v>Sun</v>
      </c>
      <c r="H5650" t="str">
        <f>IF(WEEKDAY(A5650,2)&gt;5,"Weekend","Weekday")</f>
        <v>Weekend</v>
      </c>
      <c r="I5650" t="str">
        <f>_xlfn.IFS(B5650&lt;=5,"Night (0-5)",B5650&lt;=9,"Morning peak (6-9)",B5650&lt;=15,"Midday (10-15)",B5650&lt;=19,"Evening peak (16-19)",TRUE,"Late evening (20-23)")</f>
        <v>Evening peak (16-19)</v>
      </c>
    </row>
    <row r="5651" spans="1:9">
      <c r="A5651" s="32">
        <v>42057</v>
      </c>
      <c r="B5651">
        <v>19</v>
      </c>
      <c r="C5651">
        <v>3899</v>
      </c>
      <c r="D5651" t="s">
        <v>304</v>
      </c>
      <c r="E5651">
        <f>YEAR(A5651)</f>
        <v>2015</v>
      </c>
      <c r="F5651" s="33">
        <f>DATE(YEAR(A5651),MONTH(A5651),1)</f>
        <v>42036.0</v>
      </c>
      <c r="G5651" t="str">
        <f>CHOOSE(WEEKDAY(A5651,2),"Mon","Tue","Wed","Thu","Fri","Sat","Sun")</f>
        <v>Sun</v>
      </c>
      <c r="H5651" t="str">
        <f>IF(WEEKDAY(A5651,2)&gt;5,"Weekend","Weekday")</f>
        <v>Weekend</v>
      </c>
      <c r="I5651" t="str">
        <f>_xlfn.IFS(B5651&lt;=5,"Night (0-5)",B5651&lt;=9,"Morning peak (6-9)",B5651&lt;=15,"Midday (10-15)",B5651&lt;=19,"Evening peak (16-19)",TRUE,"Late evening (20-23)")</f>
        <v>Evening peak (16-19)</v>
      </c>
    </row>
    <row r="5652" spans="1:9">
      <c r="A5652" s="32">
        <v>42057</v>
      </c>
      <c r="B5652">
        <v>20</v>
      </c>
      <c r="C5652">
        <v>3074</v>
      </c>
      <c r="D5652" t="s">
        <v>304</v>
      </c>
      <c r="E5652">
        <f>YEAR(A5652)</f>
        <v>2015</v>
      </c>
      <c r="F5652" s="33">
        <f>DATE(YEAR(A5652),MONTH(A5652),1)</f>
        <v>42036.0</v>
      </c>
      <c r="G5652" t="str">
        <f>CHOOSE(WEEKDAY(A5652,2),"Mon","Tue","Wed","Thu","Fri","Sat","Sun")</f>
        <v>Sun</v>
      </c>
      <c r="H5652" t="str">
        <f>IF(WEEKDAY(A5652,2)&gt;5,"Weekend","Weekday")</f>
        <v>Weekend</v>
      </c>
      <c r="I5652" t="str">
        <f>_xlfn.IFS(B5652&lt;=5,"Night (0-5)",B5652&lt;=9,"Morning peak (6-9)",B5652&lt;=15,"Midday (10-15)",B5652&lt;=19,"Evening peak (16-19)",TRUE,"Late evening (20-23)")</f>
        <v>Late evening (20-23)</v>
      </c>
    </row>
    <row r="5653" spans="1:9">
      <c r="A5653" s="32">
        <v>42057</v>
      </c>
      <c r="B5653">
        <v>21</v>
      </c>
      <c r="C5653">
        <v>2854</v>
      </c>
      <c r="D5653" t="s">
        <v>304</v>
      </c>
      <c r="E5653">
        <f>YEAR(A5653)</f>
        <v>2015</v>
      </c>
      <c r="F5653" s="33">
        <f>DATE(YEAR(A5653),MONTH(A5653),1)</f>
        <v>42036.0</v>
      </c>
      <c r="G5653" t="str">
        <f>CHOOSE(WEEKDAY(A5653,2),"Mon","Tue","Wed","Thu","Fri","Sat","Sun")</f>
        <v>Sun</v>
      </c>
      <c r="H5653" t="str">
        <f>IF(WEEKDAY(A5653,2)&gt;5,"Weekend","Weekday")</f>
        <v>Weekend</v>
      </c>
      <c r="I5653" t="str">
        <f>_xlfn.IFS(B5653&lt;=5,"Night (0-5)",B5653&lt;=9,"Morning peak (6-9)",B5653&lt;=15,"Midday (10-15)",B5653&lt;=19,"Evening peak (16-19)",TRUE,"Late evening (20-23)")</f>
        <v>Late evening (20-23)</v>
      </c>
    </row>
    <row r="5654" spans="1:9">
      <c r="A5654" s="32">
        <v>42057</v>
      </c>
      <c r="B5654">
        <v>22</v>
      </c>
      <c r="C5654">
        <v>3122</v>
      </c>
      <c r="D5654" t="s">
        <v>304</v>
      </c>
      <c r="E5654">
        <f>YEAR(A5654)</f>
        <v>2015</v>
      </c>
      <c r="F5654" s="33">
        <f>DATE(YEAR(A5654),MONTH(A5654),1)</f>
        <v>42036.0</v>
      </c>
      <c r="G5654" t="str">
        <f>CHOOSE(WEEKDAY(A5654,2),"Mon","Tue","Wed","Thu","Fri","Sat","Sun")</f>
        <v>Sun</v>
      </c>
      <c r="H5654" t="str">
        <f>IF(WEEKDAY(A5654,2)&gt;5,"Weekend","Weekday")</f>
        <v>Weekend</v>
      </c>
      <c r="I5654" t="str">
        <f>_xlfn.IFS(B5654&lt;=5,"Night (0-5)",B5654&lt;=9,"Morning peak (6-9)",B5654&lt;=15,"Midday (10-15)",B5654&lt;=19,"Evening peak (16-19)",TRUE,"Late evening (20-23)")</f>
        <v>Late evening (20-23)</v>
      </c>
    </row>
    <row r="5655" spans="1:9">
      <c r="A5655" s="32">
        <v>42057</v>
      </c>
      <c r="B5655">
        <v>23</v>
      </c>
      <c r="C5655">
        <v>2121</v>
      </c>
      <c r="D5655" t="s">
        <v>304</v>
      </c>
      <c r="E5655">
        <f>YEAR(A5655)</f>
        <v>2015</v>
      </c>
      <c r="F5655" s="33">
        <f>DATE(YEAR(A5655),MONTH(A5655),1)</f>
        <v>42036.0</v>
      </c>
      <c r="G5655" t="str">
        <f>CHOOSE(WEEKDAY(A5655,2),"Mon","Tue","Wed","Thu","Fri","Sat","Sun")</f>
        <v>Sun</v>
      </c>
      <c r="H5655" t="str">
        <f>IF(WEEKDAY(A5655,2)&gt;5,"Weekend","Weekday")</f>
        <v>Weekend</v>
      </c>
      <c r="I5655" t="str">
        <f>_xlfn.IFS(B5655&lt;=5,"Night (0-5)",B5655&lt;=9,"Morning peak (6-9)",B5655&lt;=15,"Midday (10-15)",B5655&lt;=19,"Evening peak (16-19)",TRUE,"Late evening (20-23)")</f>
        <v>Late evening (20-23)</v>
      </c>
    </row>
    <row r="5656" spans="1:9">
      <c r="A5656" s="32">
        <v>42058</v>
      </c>
      <c r="B5656">
        <v>0</v>
      </c>
      <c r="C5656">
        <v>2481</v>
      </c>
      <c r="D5656" t="s">
        <v>304</v>
      </c>
      <c r="E5656">
        <f>YEAR(A5656)</f>
        <v>2015</v>
      </c>
      <c r="F5656" s="33">
        <f>DATE(YEAR(A5656),MONTH(A5656),1)</f>
        <v>42036.0</v>
      </c>
      <c r="G5656" t="str">
        <f>CHOOSE(WEEKDAY(A5656,2),"Mon","Tue","Wed","Thu","Fri","Sat","Sun")</f>
        <v>Mon</v>
      </c>
      <c r="H5656" t="str">
        <f>IF(WEEKDAY(A5656,2)&gt;5,"Weekend","Weekday")</f>
        <v>Weekday</v>
      </c>
      <c r="I5656" t="str">
        <f>_xlfn.IFS(B5656&lt;=5,"Night (0-5)",B5656&lt;=9,"Morning peak (6-9)",B5656&lt;=15,"Midday (10-15)",B5656&lt;=19,"Evening peak (16-19)",TRUE,"Late evening (20-23)")</f>
        <v>Night (0-5)</v>
      </c>
    </row>
    <row r="5657" spans="1:9">
      <c r="A5657" s="32">
        <v>42058</v>
      </c>
      <c r="B5657">
        <v>1</v>
      </c>
      <c r="C5657">
        <v>958</v>
      </c>
      <c r="D5657" t="s">
        <v>304</v>
      </c>
      <c r="E5657">
        <f>YEAR(A5657)</f>
        <v>2015</v>
      </c>
      <c r="F5657" s="33">
        <f>DATE(YEAR(A5657),MONTH(A5657),1)</f>
        <v>42036.0</v>
      </c>
      <c r="G5657" t="str">
        <f>CHOOSE(WEEKDAY(A5657,2),"Mon","Tue","Wed","Thu","Fri","Sat","Sun")</f>
        <v>Mon</v>
      </c>
      <c r="H5657" t="str">
        <f>IF(WEEKDAY(A5657,2)&gt;5,"Weekend","Weekday")</f>
        <v>Weekday</v>
      </c>
      <c r="I5657" t="str">
        <f>_xlfn.IFS(B5657&lt;=5,"Night (0-5)",B5657&lt;=9,"Morning peak (6-9)",B5657&lt;=15,"Midday (10-15)",B5657&lt;=19,"Evening peak (16-19)",TRUE,"Late evening (20-23)")</f>
        <v>Night (0-5)</v>
      </c>
    </row>
    <row r="5658" spans="1:9">
      <c r="A5658" s="32">
        <v>42058</v>
      </c>
      <c r="B5658">
        <v>2</v>
      </c>
      <c r="C5658">
        <v>495</v>
      </c>
      <c r="D5658" t="s">
        <v>304</v>
      </c>
      <c r="E5658">
        <f>YEAR(A5658)</f>
        <v>2015</v>
      </c>
      <c r="F5658" s="33">
        <f>DATE(YEAR(A5658),MONTH(A5658),1)</f>
        <v>42036.0</v>
      </c>
      <c r="G5658" t="str">
        <f>CHOOSE(WEEKDAY(A5658,2),"Mon","Tue","Wed","Thu","Fri","Sat","Sun")</f>
        <v>Mon</v>
      </c>
      <c r="H5658" t="str">
        <f>IF(WEEKDAY(A5658,2)&gt;5,"Weekend","Weekday")</f>
        <v>Weekday</v>
      </c>
      <c r="I5658" t="str">
        <f>_xlfn.IFS(B5658&lt;=5,"Night (0-5)",B5658&lt;=9,"Morning peak (6-9)",B5658&lt;=15,"Midday (10-15)",B5658&lt;=19,"Evening peak (16-19)",TRUE,"Late evening (20-23)")</f>
        <v>Night (0-5)</v>
      </c>
    </row>
    <row r="5659" spans="1:9">
      <c r="A5659" s="32">
        <v>42058</v>
      </c>
      <c r="B5659">
        <v>3</v>
      </c>
      <c r="C5659">
        <v>380</v>
      </c>
      <c r="D5659" t="s">
        <v>304</v>
      </c>
      <c r="E5659">
        <f>YEAR(A5659)</f>
        <v>2015</v>
      </c>
      <c r="F5659" s="33">
        <f>DATE(YEAR(A5659),MONTH(A5659),1)</f>
        <v>42036.0</v>
      </c>
      <c r="G5659" t="str">
        <f>CHOOSE(WEEKDAY(A5659,2),"Mon","Tue","Wed","Thu","Fri","Sat","Sun")</f>
        <v>Mon</v>
      </c>
      <c r="H5659" t="str">
        <f>IF(WEEKDAY(A5659,2)&gt;5,"Weekend","Weekday")</f>
        <v>Weekday</v>
      </c>
      <c r="I5659" t="str">
        <f>_xlfn.IFS(B5659&lt;=5,"Night (0-5)",B5659&lt;=9,"Morning peak (6-9)",B5659&lt;=15,"Midday (10-15)",B5659&lt;=19,"Evening peak (16-19)",TRUE,"Late evening (20-23)")</f>
        <v>Night (0-5)</v>
      </c>
    </row>
    <row r="5660" spans="1:9">
      <c r="A5660" s="32">
        <v>42058</v>
      </c>
      <c r="B5660">
        <v>4</v>
      </c>
      <c r="C5660">
        <v>621</v>
      </c>
      <c r="D5660" t="s">
        <v>304</v>
      </c>
      <c r="E5660">
        <f>YEAR(A5660)</f>
        <v>2015</v>
      </c>
      <c r="F5660" s="33">
        <f>DATE(YEAR(A5660),MONTH(A5660),1)</f>
        <v>42036.0</v>
      </c>
      <c r="G5660" t="str">
        <f>CHOOSE(WEEKDAY(A5660,2),"Mon","Tue","Wed","Thu","Fri","Sat","Sun")</f>
        <v>Mon</v>
      </c>
      <c r="H5660" t="str">
        <f>IF(WEEKDAY(A5660,2)&gt;5,"Weekend","Weekday")</f>
        <v>Weekday</v>
      </c>
      <c r="I5660" t="str">
        <f>_xlfn.IFS(B5660&lt;=5,"Night (0-5)",B5660&lt;=9,"Morning peak (6-9)",B5660&lt;=15,"Midday (10-15)",B5660&lt;=19,"Evening peak (16-19)",TRUE,"Late evening (20-23)")</f>
        <v>Night (0-5)</v>
      </c>
    </row>
    <row r="5661" spans="1:9">
      <c r="A5661" s="32">
        <v>42058</v>
      </c>
      <c r="B5661">
        <v>5</v>
      </c>
      <c r="C5661">
        <v>1126</v>
      </c>
      <c r="D5661" t="s">
        <v>304</v>
      </c>
      <c r="E5661">
        <f>YEAR(A5661)</f>
        <v>2015</v>
      </c>
      <c r="F5661" s="33">
        <f>DATE(YEAR(A5661),MONTH(A5661),1)</f>
        <v>42036.0</v>
      </c>
      <c r="G5661" t="str">
        <f>CHOOSE(WEEKDAY(A5661,2),"Mon","Tue","Wed","Thu","Fri","Sat","Sun")</f>
        <v>Mon</v>
      </c>
      <c r="H5661" t="str">
        <f>IF(WEEKDAY(A5661,2)&gt;5,"Weekend","Weekday")</f>
        <v>Weekday</v>
      </c>
      <c r="I5661" t="str">
        <f>_xlfn.IFS(B5661&lt;=5,"Night (0-5)",B5661&lt;=9,"Morning peak (6-9)",B5661&lt;=15,"Midday (10-15)",B5661&lt;=19,"Evening peak (16-19)",TRUE,"Late evening (20-23)")</f>
        <v>Night (0-5)</v>
      </c>
    </row>
    <row r="5662" spans="1:9">
      <c r="A5662" s="32">
        <v>42058</v>
      </c>
      <c r="B5662">
        <v>6</v>
      </c>
      <c r="C5662">
        <v>1922</v>
      </c>
      <c r="D5662" t="s">
        <v>304</v>
      </c>
      <c r="E5662">
        <f>YEAR(A5662)</f>
        <v>2015</v>
      </c>
      <c r="F5662" s="33">
        <f>DATE(YEAR(A5662),MONTH(A5662),1)</f>
        <v>42036.0</v>
      </c>
      <c r="G5662" t="str">
        <f>CHOOSE(WEEKDAY(A5662,2),"Mon","Tue","Wed","Thu","Fri","Sat","Sun")</f>
        <v>Mon</v>
      </c>
      <c r="H5662" t="str">
        <f>IF(WEEKDAY(A5662,2)&gt;5,"Weekend","Weekday")</f>
        <v>Weekday</v>
      </c>
      <c r="I5662" t="str">
        <f>_xlfn.IFS(B5662&lt;=5,"Night (0-5)",B5662&lt;=9,"Morning peak (6-9)",B5662&lt;=15,"Midday (10-15)",B5662&lt;=19,"Evening peak (16-19)",TRUE,"Late evening (20-23)")</f>
        <v>Morning peak (6-9)</v>
      </c>
    </row>
    <row r="5663" spans="1:9">
      <c r="A5663" s="32">
        <v>42058</v>
      </c>
      <c r="B5663">
        <v>7</v>
      </c>
      <c r="C5663">
        <v>3107</v>
      </c>
      <c r="D5663" t="s">
        <v>304</v>
      </c>
      <c r="E5663">
        <f>YEAR(A5663)</f>
        <v>2015</v>
      </c>
      <c r="F5663" s="33">
        <f>DATE(YEAR(A5663),MONTH(A5663),1)</f>
        <v>42036.0</v>
      </c>
      <c r="G5663" t="str">
        <f>CHOOSE(WEEKDAY(A5663,2),"Mon","Tue","Wed","Thu","Fri","Sat","Sun")</f>
        <v>Mon</v>
      </c>
      <c r="H5663" t="str">
        <f>IF(WEEKDAY(A5663,2)&gt;5,"Weekend","Weekday")</f>
        <v>Weekday</v>
      </c>
      <c r="I5663" t="str">
        <f>_xlfn.IFS(B5663&lt;=5,"Night (0-5)",B5663&lt;=9,"Morning peak (6-9)",B5663&lt;=15,"Midday (10-15)",B5663&lt;=19,"Evening peak (16-19)",TRUE,"Late evening (20-23)")</f>
        <v>Morning peak (6-9)</v>
      </c>
    </row>
    <row r="5664" spans="1:9">
      <c r="A5664" s="32">
        <v>42058</v>
      </c>
      <c r="B5664">
        <v>8</v>
      </c>
      <c r="C5664">
        <v>3992</v>
      </c>
      <c r="D5664" t="s">
        <v>304</v>
      </c>
      <c r="E5664">
        <f>YEAR(A5664)</f>
        <v>2015</v>
      </c>
      <c r="F5664" s="33">
        <f>DATE(YEAR(A5664),MONTH(A5664),1)</f>
        <v>42036.0</v>
      </c>
      <c r="G5664" t="str">
        <f>CHOOSE(WEEKDAY(A5664,2),"Mon","Tue","Wed","Thu","Fri","Sat","Sun")</f>
        <v>Mon</v>
      </c>
      <c r="H5664" t="str">
        <f>IF(WEEKDAY(A5664,2)&gt;5,"Weekend","Weekday")</f>
        <v>Weekday</v>
      </c>
      <c r="I5664" t="str">
        <f>_xlfn.IFS(B5664&lt;=5,"Night (0-5)",B5664&lt;=9,"Morning peak (6-9)",B5664&lt;=15,"Midday (10-15)",B5664&lt;=19,"Evening peak (16-19)",TRUE,"Late evening (20-23)")</f>
        <v>Morning peak (6-9)</v>
      </c>
    </row>
    <row r="5665" spans="1:9">
      <c r="A5665" s="32">
        <v>42058</v>
      </c>
      <c r="B5665">
        <v>9</v>
      </c>
      <c r="C5665">
        <v>3784</v>
      </c>
      <c r="D5665" t="s">
        <v>304</v>
      </c>
      <c r="E5665">
        <f>YEAR(A5665)</f>
        <v>2015</v>
      </c>
      <c r="F5665" s="33">
        <f>DATE(YEAR(A5665),MONTH(A5665),1)</f>
        <v>42036.0</v>
      </c>
      <c r="G5665" t="str">
        <f>CHOOSE(WEEKDAY(A5665,2),"Mon","Tue","Wed","Thu","Fri","Sat","Sun")</f>
        <v>Mon</v>
      </c>
      <c r="H5665" t="str">
        <f>IF(WEEKDAY(A5665,2)&gt;5,"Weekend","Weekday")</f>
        <v>Weekday</v>
      </c>
      <c r="I5665" t="str">
        <f>_xlfn.IFS(B5665&lt;=5,"Night (0-5)",B5665&lt;=9,"Morning peak (6-9)",B5665&lt;=15,"Midday (10-15)",B5665&lt;=19,"Evening peak (16-19)",TRUE,"Late evening (20-23)")</f>
        <v>Morning peak (6-9)</v>
      </c>
    </row>
    <row r="5666" spans="1:9">
      <c r="A5666" s="32">
        <v>42058</v>
      </c>
      <c r="B5666">
        <v>10</v>
      </c>
      <c r="C5666">
        <v>2908</v>
      </c>
      <c r="D5666" t="s">
        <v>304</v>
      </c>
      <c r="E5666">
        <f>YEAR(A5666)</f>
        <v>2015</v>
      </c>
      <c r="F5666" s="33">
        <f>DATE(YEAR(A5666),MONTH(A5666),1)</f>
        <v>42036.0</v>
      </c>
      <c r="G5666" t="str">
        <f>CHOOSE(WEEKDAY(A5666,2),"Mon","Tue","Wed","Thu","Fri","Sat","Sun")</f>
        <v>Mon</v>
      </c>
      <c r="H5666" t="str">
        <f>IF(WEEKDAY(A5666,2)&gt;5,"Weekend","Weekday")</f>
        <v>Weekday</v>
      </c>
      <c r="I5666" t="str">
        <f>_xlfn.IFS(B5666&lt;=5,"Night (0-5)",B5666&lt;=9,"Morning peak (6-9)",B5666&lt;=15,"Midday (10-15)",B5666&lt;=19,"Evening peak (16-19)",TRUE,"Late evening (20-23)")</f>
        <v>Midday (10-15)</v>
      </c>
    </row>
    <row r="5667" spans="1:9">
      <c r="A5667" s="32">
        <v>42058</v>
      </c>
      <c r="B5667">
        <v>11</v>
      </c>
      <c r="C5667">
        <v>2457</v>
      </c>
      <c r="D5667" t="s">
        <v>304</v>
      </c>
      <c r="E5667">
        <f>YEAR(A5667)</f>
        <v>2015</v>
      </c>
      <c r="F5667" s="33">
        <f>DATE(YEAR(A5667),MONTH(A5667),1)</f>
        <v>42036.0</v>
      </c>
      <c r="G5667" t="str">
        <f>CHOOSE(WEEKDAY(A5667,2),"Mon","Tue","Wed","Thu","Fri","Sat","Sun")</f>
        <v>Mon</v>
      </c>
      <c r="H5667" t="str">
        <f>IF(WEEKDAY(A5667,2)&gt;5,"Weekend","Weekday")</f>
        <v>Weekday</v>
      </c>
      <c r="I5667" t="str">
        <f>_xlfn.IFS(B5667&lt;=5,"Night (0-5)",B5667&lt;=9,"Morning peak (6-9)",B5667&lt;=15,"Midday (10-15)",B5667&lt;=19,"Evening peak (16-19)",TRUE,"Late evening (20-23)")</f>
        <v>Midday (10-15)</v>
      </c>
    </row>
    <row r="5668" spans="1:9">
      <c r="A5668" s="32">
        <v>42058</v>
      </c>
      <c r="B5668">
        <v>12</v>
      </c>
      <c r="C5668">
        <v>2399</v>
      </c>
      <c r="D5668" t="s">
        <v>304</v>
      </c>
      <c r="E5668">
        <f>YEAR(A5668)</f>
        <v>2015</v>
      </c>
      <c r="F5668" s="33">
        <f>DATE(YEAR(A5668),MONTH(A5668),1)</f>
        <v>42036.0</v>
      </c>
      <c r="G5668" t="str">
        <f>CHOOSE(WEEKDAY(A5668,2),"Mon","Tue","Wed","Thu","Fri","Sat","Sun")</f>
        <v>Mon</v>
      </c>
      <c r="H5668" t="str">
        <f>IF(WEEKDAY(A5668,2)&gt;5,"Weekend","Weekday")</f>
        <v>Weekday</v>
      </c>
      <c r="I5668" t="str">
        <f>_xlfn.IFS(B5668&lt;=5,"Night (0-5)",B5668&lt;=9,"Morning peak (6-9)",B5668&lt;=15,"Midday (10-15)",B5668&lt;=19,"Evening peak (16-19)",TRUE,"Late evening (20-23)")</f>
        <v>Midday (10-15)</v>
      </c>
    </row>
    <row r="5669" spans="1:9">
      <c r="A5669" s="32">
        <v>42058</v>
      </c>
      <c r="B5669">
        <v>13</v>
      </c>
      <c r="C5669">
        <v>2353</v>
      </c>
      <c r="D5669" t="s">
        <v>304</v>
      </c>
      <c r="E5669">
        <f>YEAR(A5669)</f>
        <v>2015</v>
      </c>
      <c r="F5669" s="33">
        <f>DATE(YEAR(A5669),MONTH(A5669),1)</f>
        <v>42036.0</v>
      </c>
      <c r="G5669" t="str">
        <f>CHOOSE(WEEKDAY(A5669,2),"Mon","Tue","Wed","Thu","Fri","Sat","Sun")</f>
        <v>Mon</v>
      </c>
      <c r="H5669" t="str">
        <f>IF(WEEKDAY(A5669,2)&gt;5,"Weekend","Weekday")</f>
        <v>Weekday</v>
      </c>
      <c r="I5669" t="str">
        <f>_xlfn.IFS(B5669&lt;=5,"Night (0-5)",B5669&lt;=9,"Morning peak (6-9)",B5669&lt;=15,"Midday (10-15)",B5669&lt;=19,"Evening peak (16-19)",TRUE,"Late evening (20-23)")</f>
        <v>Midday (10-15)</v>
      </c>
    </row>
    <row r="5670" spans="1:9">
      <c r="A5670" s="32">
        <v>42058</v>
      </c>
      <c r="B5670">
        <v>14</v>
      </c>
      <c r="C5670">
        <v>2718</v>
      </c>
      <c r="D5670" t="s">
        <v>304</v>
      </c>
      <c r="E5670">
        <f>YEAR(A5670)</f>
        <v>2015</v>
      </c>
      <c r="F5670" s="33">
        <f>DATE(YEAR(A5670),MONTH(A5670),1)</f>
        <v>42036.0</v>
      </c>
      <c r="G5670" t="str">
        <f>CHOOSE(WEEKDAY(A5670,2),"Mon","Tue","Wed","Thu","Fri","Sat","Sun")</f>
        <v>Mon</v>
      </c>
      <c r="H5670" t="str">
        <f>IF(WEEKDAY(A5670,2)&gt;5,"Weekend","Weekday")</f>
        <v>Weekday</v>
      </c>
      <c r="I5670" t="str">
        <f>_xlfn.IFS(B5670&lt;=5,"Night (0-5)",B5670&lt;=9,"Morning peak (6-9)",B5670&lt;=15,"Midday (10-15)",B5670&lt;=19,"Evening peak (16-19)",TRUE,"Late evening (20-23)")</f>
        <v>Midday (10-15)</v>
      </c>
    </row>
    <row r="5671" spans="1:9">
      <c r="A5671" s="32">
        <v>42058</v>
      </c>
      <c r="B5671">
        <v>15</v>
      </c>
      <c r="C5671">
        <v>3148</v>
      </c>
      <c r="D5671" t="s">
        <v>304</v>
      </c>
      <c r="E5671">
        <f>YEAR(A5671)</f>
        <v>2015</v>
      </c>
      <c r="F5671" s="33">
        <f>DATE(YEAR(A5671),MONTH(A5671),1)</f>
        <v>42036.0</v>
      </c>
      <c r="G5671" t="str">
        <f>CHOOSE(WEEKDAY(A5671,2),"Mon","Tue","Wed","Thu","Fri","Sat","Sun")</f>
        <v>Mon</v>
      </c>
      <c r="H5671" t="str">
        <f>IF(WEEKDAY(A5671,2)&gt;5,"Weekend","Weekday")</f>
        <v>Weekday</v>
      </c>
      <c r="I5671" t="str">
        <f>_xlfn.IFS(B5671&lt;=5,"Night (0-5)",B5671&lt;=9,"Morning peak (6-9)",B5671&lt;=15,"Midday (10-15)",B5671&lt;=19,"Evening peak (16-19)",TRUE,"Late evening (20-23)")</f>
        <v>Midday (10-15)</v>
      </c>
    </row>
    <row r="5672" spans="1:9">
      <c r="A5672" s="32">
        <v>42058</v>
      </c>
      <c r="B5672">
        <v>16</v>
      </c>
      <c r="C5672">
        <v>3724</v>
      </c>
      <c r="D5672" t="s">
        <v>304</v>
      </c>
      <c r="E5672">
        <f>YEAR(A5672)</f>
        <v>2015</v>
      </c>
      <c r="F5672" s="33">
        <f>DATE(YEAR(A5672),MONTH(A5672),1)</f>
        <v>42036.0</v>
      </c>
      <c r="G5672" t="str">
        <f>CHOOSE(WEEKDAY(A5672,2),"Mon","Tue","Wed","Thu","Fri","Sat","Sun")</f>
        <v>Mon</v>
      </c>
      <c r="H5672" t="str">
        <f>IF(WEEKDAY(A5672,2)&gt;5,"Weekend","Weekday")</f>
        <v>Weekday</v>
      </c>
      <c r="I5672" t="str">
        <f>_xlfn.IFS(B5672&lt;=5,"Night (0-5)",B5672&lt;=9,"Morning peak (6-9)",B5672&lt;=15,"Midday (10-15)",B5672&lt;=19,"Evening peak (16-19)",TRUE,"Late evening (20-23)")</f>
        <v>Evening peak (16-19)</v>
      </c>
    </row>
    <row r="5673" spans="1:9">
      <c r="A5673" s="32">
        <v>42058</v>
      </c>
      <c r="B5673">
        <v>17</v>
      </c>
      <c r="C5673">
        <v>4705</v>
      </c>
      <c r="D5673" t="s">
        <v>304</v>
      </c>
      <c r="E5673">
        <f>YEAR(A5673)</f>
        <v>2015</v>
      </c>
      <c r="F5673" s="33">
        <f>DATE(YEAR(A5673),MONTH(A5673),1)</f>
        <v>42036.0</v>
      </c>
      <c r="G5673" t="str">
        <f>CHOOSE(WEEKDAY(A5673,2),"Mon","Tue","Wed","Thu","Fri","Sat","Sun")</f>
        <v>Mon</v>
      </c>
      <c r="H5673" t="str">
        <f>IF(WEEKDAY(A5673,2)&gt;5,"Weekend","Weekday")</f>
        <v>Weekday</v>
      </c>
      <c r="I5673" t="str">
        <f>_xlfn.IFS(B5673&lt;=5,"Night (0-5)",B5673&lt;=9,"Morning peak (6-9)",B5673&lt;=15,"Midday (10-15)",B5673&lt;=19,"Evening peak (16-19)",TRUE,"Late evening (20-23)")</f>
        <v>Evening peak (16-19)</v>
      </c>
    </row>
    <row r="5674" spans="1:9">
      <c r="A5674" s="32">
        <v>42058</v>
      </c>
      <c r="B5674">
        <v>18</v>
      </c>
      <c r="C5674">
        <v>5971</v>
      </c>
      <c r="D5674" t="s">
        <v>304</v>
      </c>
      <c r="E5674">
        <f>YEAR(A5674)</f>
        <v>2015</v>
      </c>
      <c r="F5674" s="33">
        <f>DATE(YEAR(A5674),MONTH(A5674),1)</f>
        <v>42036.0</v>
      </c>
      <c r="G5674" t="str">
        <f>CHOOSE(WEEKDAY(A5674,2),"Mon","Tue","Wed","Thu","Fri","Sat","Sun")</f>
        <v>Mon</v>
      </c>
      <c r="H5674" t="str">
        <f>IF(WEEKDAY(A5674,2)&gt;5,"Weekend","Weekday")</f>
        <v>Weekday</v>
      </c>
      <c r="I5674" t="str">
        <f>_xlfn.IFS(B5674&lt;=5,"Night (0-5)",B5674&lt;=9,"Morning peak (6-9)",B5674&lt;=15,"Midday (10-15)",B5674&lt;=19,"Evening peak (16-19)",TRUE,"Late evening (20-23)")</f>
        <v>Evening peak (16-19)</v>
      </c>
    </row>
    <row r="5675" spans="1:9">
      <c r="A5675" s="32">
        <v>42058</v>
      </c>
      <c r="B5675">
        <v>19</v>
      </c>
      <c r="C5675">
        <v>5891</v>
      </c>
      <c r="D5675" t="s">
        <v>304</v>
      </c>
      <c r="E5675">
        <f>YEAR(A5675)</f>
        <v>2015</v>
      </c>
      <c r="F5675" s="33">
        <f>DATE(YEAR(A5675),MONTH(A5675),1)</f>
        <v>42036.0</v>
      </c>
      <c r="G5675" t="str">
        <f>CHOOSE(WEEKDAY(A5675,2),"Mon","Tue","Wed","Thu","Fri","Sat","Sun")</f>
        <v>Mon</v>
      </c>
      <c r="H5675" t="str">
        <f>IF(WEEKDAY(A5675,2)&gt;5,"Weekend","Weekday")</f>
        <v>Weekday</v>
      </c>
      <c r="I5675" t="str">
        <f>_xlfn.IFS(B5675&lt;=5,"Night (0-5)",B5675&lt;=9,"Morning peak (6-9)",B5675&lt;=15,"Midday (10-15)",B5675&lt;=19,"Evening peak (16-19)",TRUE,"Late evening (20-23)")</f>
        <v>Evening peak (16-19)</v>
      </c>
    </row>
    <row r="5676" spans="1:9">
      <c r="A5676" s="32">
        <v>42058</v>
      </c>
      <c r="B5676">
        <v>20</v>
      </c>
      <c r="C5676">
        <v>5352</v>
      </c>
      <c r="D5676" t="s">
        <v>304</v>
      </c>
      <c r="E5676">
        <f>YEAR(A5676)</f>
        <v>2015</v>
      </c>
      <c r="F5676" s="33">
        <f>DATE(YEAR(A5676),MONTH(A5676),1)</f>
        <v>42036.0</v>
      </c>
      <c r="G5676" t="str">
        <f>CHOOSE(WEEKDAY(A5676,2),"Mon","Tue","Wed","Thu","Fri","Sat","Sun")</f>
        <v>Mon</v>
      </c>
      <c r="H5676" t="str">
        <f>IF(WEEKDAY(A5676,2)&gt;5,"Weekend","Weekday")</f>
        <v>Weekday</v>
      </c>
      <c r="I5676" t="str">
        <f>_xlfn.IFS(B5676&lt;=5,"Night (0-5)",B5676&lt;=9,"Morning peak (6-9)",B5676&lt;=15,"Midday (10-15)",B5676&lt;=19,"Evening peak (16-19)",TRUE,"Late evening (20-23)")</f>
        <v>Late evening (20-23)</v>
      </c>
    </row>
    <row r="5677" spans="1:9">
      <c r="A5677" s="32">
        <v>42058</v>
      </c>
      <c r="B5677">
        <v>21</v>
      </c>
      <c r="C5677">
        <v>4937</v>
      </c>
      <c r="D5677" t="s">
        <v>304</v>
      </c>
      <c r="E5677">
        <f>YEAR(A5677)</f>
        <v>2015</v>
      </c>
      <c r="F5677" s="33">
        <f>DATE(YEAR(A5677),MONTH(A5677),1)</f>
        <v>42036.0</v>
      </c>
      <c r="G5677" t="str">
        <f>CHOOSE(WEEKDAY(A5677,2),"Mon","Tue","Wed","Thu","Fri","Sat","Sun")</f>
        <v>Mon</v>
      </c>
      <c r="H5677" t="str">
        <f>IF(WEEKDAY(A5677,2)&gt;5,"Weekend","Weekday")</f>
        <v>Weekday</v>
      </c>
      <c r="I5677" t="str">
        <f>_xlfn.IFS(B5677&lt;=5,"Night (0-5)",B5677&lt;=9,"Morning peak (6-9)",B5677&lt;=15,"Midday (10-15)",B5677&lt;=19,"Evening peak (16-19)",TRUE,"Late evening (20-23)")</f>
        <v>Late evening (20-23)</v>
      </c>
    </row>
    <row r="5678" spans="1:9">
      <c r="A5678" s="32">
        <v>42058</v>
      </c>
      <c r="B5678">
        <v>22</v>
      </c>
      <c r="C5678">
        <v>4213</v>
      </c>
      <c r="D5678" t="s">
        <v>304</v>
      </c>
      <c r="E5678">
        <f>YEAR(A5678)</f>
        <v>2015</v>
      </c>
      <c r="F5678" s="33">
        <f>DATE(YEAR(A5678),MONTH(A5678),1)</f>
        <v>42036.0</v>
      </c>
      <c r="G5678" t="str">
        <f>CHOOSE(WEEKDAY(A5678,2),"Mon","Tue","Wed","Thu","Fri","Sat","Sun")</f>
        <v>Mon</v>
      </c>
      <c r="H5678" t="str">
        <f>IF(WEEKDAY(A5678,2)&gt;5,"Weekend","Weekday")</f>
        <v>Weekday</v>
      </c>
      <c r="I5678" t="str">
        <f>_xlfn.IFS(B5678&lt;=5,"Night (0-5)",B5678&lt;=9,"Morning peak (6-9)",B5678&lt;=15,"Midday (10-15)",B5678&lt;=19,"Evening peak (16-19)",TRUE,"Late evening (20-23)")</f>
        <v>Late evening (20-23)</v>
      </c>
    </row>
    <row r="5679" spans="1:9">
      <c r="A5679" s="32">
        <v>42058</v>
      </c>
      <c r="B5679">
        <v>23</v>
      </c>
      <c r="C5679">
        <v>2852</v>
      </c>
      <c r="D5679" t="s">
        <v>304</v>
      </c>
      <c r="E5679">
        <f>YEAR(A5679)</f>
        <v>2015</v>
      </c>
      <c r="F5679" s="33">
        <f>DATE(YEAR(A5679),MONTH(A5679),1)</f>
        <v>42036.0</v>
      </c>
      <c r="G5679" t="str">
        <f>CHOOSE(WEEKDAY(A5679,2),"Mon","Tue","Wed","Thu","Fri","Sat","Sun")</f>
        <v>Mon</v>
      </c>
      <c r="H5679" t="str">
        <f>IF(WEEKDAY(A5679,2)&gt;5,"Weekend","Weekday")</f>
        <v>Weekday</v>
      </c>
      <c r="I5679" t="str">
        <f>_xlfn.IFS(B5679&lt;=5,"Night (0-5)",B5679&lt;=9,"Morning peak (6-9)",B5679&lt;=15,"Midday (10-15)",B5679&lt;=19,"Evening peak (16-19)",TRUE,"Late evening (20-23)")</f>
        <v>Late evening (20-23)</v>
      </c>
    </row>
    <row r="5680" spans="1:9">
      <c r="A5680" s="32">
        <v>42059</v>
      </c>
      <c r="B5680">
        <v>0</v>
      </c>
      <c r="C5680">
        <v>1681</v>
      </c>
      <c r="D5680" t="s">
        <v>304</v>
      </c>
      <c r="E5680">
        <f>YEAR(A5680)</f>
        <v>2015</v>
      </c>
      <c r="F5680" s="33">
        <f>DATE(YEAR(A5680),MONTH(A5680),1)</f>
        <v>42036.0</v>
      </c>
      <c r="G5680" t="str">
        <f>CHOOSE(WEEKDAY(A5680,2),"Mon","Tue","Wed","Thu","Fri","Sat","Sun")</f>
        <v>Tue</v>
      </c>
      <c r="H5680" t="str">
        <f>IF(WEEKDAY(A5680,2)&gt;5,"Weekend","Weekday")</f>
        <v>Weekday</v>
      </c>
      <c r="I5680" t="str">
        <f>_xlfn.IFS(B5680&lt;=5,"Night (0-5)",B5680&lt;=9,"Morning peak (6-9)",B5680&lt;=15,"Midday (10-15)",B5680&lt;=19,"Evening peak (16-19)",TRUE,"Late evening (20-23)")</f>
        <v>Night (0-5)</v>
      </c>
    </row>
    <row r="5681" spans="1:9">
      <c r="A5681" s="32">
        <v>42059</v>
      </c>
      <c r="B5681">
        <v>1</v>
      </c>
      <c r="C5681">
        <v>944</v>
      </c>
      <c r="D5681" t="s">
        <v>304</v>
      </c>
      <c r="E5681">
        <f>YEAR(A5681)</f>
        <v>2015</v>
      </c>
      <c r="F5681" s="33">
        <f>DATE(YEAR(A5681),MONTH(A5681),1)</f>
        <v>42036.0</v>
      </c>
      <c r="G5681" t="str">
        <f>CHOOSE(WEEKDAY(A5681,2),"Mon","Tue","Wed","Thu","Fri","Sat","Sun")</f>
        <v>Tue</v>
      </c>
      <c r="H5681" t="str">
        <f>IF(WEEKDAY(A5681,2)&gt;5,"Weekend","Weekday")</f>
        <v>Weekday</v>
      </c>
      <c r="I5681" t="str">
        <f>_xlfn.IFS(B5681&lt;=5,"Night (0-5)",B5681&lt;=9,"Morning peak (6-9)",B5681&lt;=15,"Midday (10-15)",B5681&lt;=19,"Evening peak (16-19)",TRUE,"Late evening (20-23)")</f>
        <v>Night (0-5)</v>
      </c>
    </row>
    <row r="5682" spans="1:9">
      <c r="A5682" s="32">
        <v>42059</v>
      </c>
      <c r="B5682">
        <v>2</v>
      </c>
      <c r="C5682">
        <v>538</v>
      </c>
      <c r="D5682" t="s">
        <v>304</v>
      </c>
      <c r="E5682">
        <f>YEAR(A5682)</f>
        <v>2015</v>
      </c>
      <c r="F5682" s="33">
        <f>DATE(YEAR(A5682),MONTH(A5682),1)</f>
        <v>42036.0</v>
      </c>
      <c r="G5682" t="str">
        <f>CHOOSE(WEEKDAY(A5682,2),"Mon","Tue","Wed","Thu","Fri","Sat","Sun")</f>
        <v>Tue</v>
      </c>
      <c r="H5682" t="str">
        <f>IF(WEEKDAY(A5682,2)&gt;5,"Weekend","Weekday")</f>
        <v>Weekday</v>
      </c>
      <c r="I5682" t="str">
        <f>_xlfn.IFS(B5682&lt;=5,"Night (0-5)",B5682&lt;=9,"Morning peak (6-9)",B5682&lt;=15,"Midday (10-15)",B5682&lt;=19,"Evening peak (16-19)",TRUE,"Late evening (20-23)")</f>
        <v>Night (0-5)</v>
      </c>
    </row>
    <row r="5683" spans="1:9">
      <c r="A5683" s="32">
        <v>42059</v>
      </c>
      <c r="B5683">
        <v>3</v>
      </c>
      <c r="C5683">
        <v>363</v>
      </c>
      <c r="D5683" t="s">
        <v>304</v>
      </c>
      <c r="E5683">
        <f>YEAR(A5683)</f>
        <v>2015</v>
      </c>
      <c r="F5683" s="33">
        <f>DATE(YEAR(A5683),MONTH(A5683),1)</f>
        <v>42036.0</v>
      </c>
      <c r="G5683" t="str">
        <f>CHOOSE(WEEKDAY(A5683,2),"Mon","Tue","Wed","Thu","Fri","Sat","Sun")</f>
        <v>Tue</v>
      </c>
      <c r="H5683" t="str">
        <f>IF(WEEKDAY(A5683,2)&gt;5,"Weekend","Weekday")</f>
        <v>Weekday</v>
      </c>
      <c r="I5683" t="str">
        <f>_xlfn.IFS(B5683&lt;=5,"Night (0-5)",B5683&lt;=9,"Morning peak (6-9)",B5683&lt;=15,"Midday (10-15)",B5683&lt;=19,"Evening peak (16-19)",TRUE,"Late evening (20-23)")</f>
        <v>Night (0-5)</v>
      </c>
    </row>
    <row r="5684" spans="1:9">
      <c r="A5684" s="32">
        <v>42059</v>
      </c>
      <c r="B5684">
        <v>4</v>
      </c>
      <c r="C5684">
        <v>544</v>
      </c>
      <c r="D5684" t="s">
        <v>304</v>
      </c>
      <c r="E5684">
        <f>YEAR(A5684)</f>
        <v>2015</v>
      </c>
      <c r="F5684" s="33">
        <f>DATE(YEAR(A5684),MONTH(A5684),1)</f>
        <v>42036.0</v>
      </c>
      <c r="G5684" t="str">
        <f>CHOOSE(WEEKDAY(A5684,2),"Mon","Tue","Wed","Thu","Fri","Sat","Sun")</f>
        <v>Tue</v>
      </c>
      <c r="H5684" t="str">
        <f>IF(WEEKDAY(A5684,2)&gt;5,"Weekend","Weekday")</f>
        <v>Weekday</v>
      </c>
      <c r="I5684" t="str">
        <f>_xlfn.IFS(B5684&lt;=5,"Night (0-5)",B5684&lt;=9,"Morning peak (6-9)",B5684&lt;=15,"Midday (10-15)",B5684&lt;=19,"Evening peak (16-19)",TRUE,"Late evening (20-23)")</f>
        <v>Night (0-5)</v>
      </c>
    </row>
    <row r="5685" spans="1:9">
      <c r="A5685" s="32">
        <v>42059</v>
      </c>
      <c r="B5685">
        <v>5</v>
      </c>
      <c r="C5685">
        <v>1038</v>
      </c>
      <c r="D5685" t="s">
        <v>304</v>
      </c>
      <c r="E5685">
        <f>YEAR(A5685)</f>
        <v>2015</v>
      </c>
      <c r="F5685" s="33">
        <f>DATE(YEAR(A5685),MONTH(A5685),1)</f>
        <v>42036.0</v>
      </c>
      <c r="G5685" t="str">
        <f>CHOOSE(WEEKDAY(A5685,2),"Mon","Tue","Wed","Thu","Fri","Sat","Sun")</f>
        <v>Tue</v>
      </c>
      <c r="H5685" t="str">
        <f>IF(WEEKDAY(A5685,2)&gt;5,"Weekend","Weekday")</f>
        <v>Weekday</v>
      </c>
      <c r="I5685" t="str">
        <f>_xlfn.IFS(B5685&lt;=5,"Night (0-5)",B5685&lt;=9,"Morning peak (6-9)",B5685&lt;=15,"Midday (10-15)",B5685&lt;=19,"Evening peak (16-19)",TRUE,"Late evening (20-23)")</f>
        <v>Night (0-5)</v>
      </c>
    </row>
    <row r="5686" spans="1:9">
      <c r="A5686" s="32">
        <v>42059</v>
      </c>
      <c r="B5686">
        <v>6</v>
      </c>
      <c r="C5686">
        <v>2295</v>
      </c>
      <c r="D5686" t="s">
        <v>304</v>
      </c>
      <c r="E5686">
        <f>YEAR(A5686)</f>
        <v>2015</v>
      </c>
      <c r="F5686" s="33">
        <f>DATE(YEAR(A5686),MONTH(A5686),1)</f>
        <v>42036.0</v>
      </c>
      <c r="G5686" t="str">
        <f>CHOOSE(WEEKDAY(A5686,2),"Mon","Tue","Wed","Thu","Fri","Sat","Sun")</f>
        <v>Tue</v>
      </c>
      <c r="H5686" t="str">
        <f>IF(WEEKDAY(A5686,2)&gt;5,"Weekend","Weekday")</f>
        <v>Weekday</v>
      </c>
      <c r="I5686" t="str">
        <f>_xlfn.IFS(B5686&lt;=5,"Night (0-5)",B5686&lt;=9,"Morning peak (6-9)",B5686&lt;=15,"Midday (10-15)",B5686&lt;=19,"Evening peak (16-19)",TRUE,"Late evening (20-23)")</f>
        <v>Morning peak (6-9)</v>
      </c>
    </row>
    <row r="5687" spans="1:9">
      <c r="A5687" s="32">
        <v>42059</v>
      </c>
      <c r="B5687">
        <v>7</v>
      </c>
      <c r="C5687">
        <v>4181</v>
      </c>
      <c r="D5687" t="s">
        <v>304</v>
      </c>
      <c r="E5687">
        <f>YEAR(A5687)</f>
        <v>2015</v>
      </c>
      <c r="F5687" s="33">
        <f>DATE(YEAR(A5687),MONTH(A5687),1)</f>
        <v>42036.0</v>
      </c>
      <c r="G5687" t="str">
        <f>CHOOSE(WEEKDAY(A5687,2),"Mon","Tue","Wed","Thu","Fri","Sat","Sun")</f>
        <v>Tue</v>
      </c>
      <c r="H5687" t="str">
        <f>IF(WEEKDAY(A5687,2)&gt;5,"Weekend","Weekday")</f>
        <v>Weekday</v>
      </c>
      <c r="I5687" t="str">
        <f>_xlfn.IFS(B5687&lt;=5,"Night (0-5)",B5687&lt;=9,"Morning peak (6-9)",B5687&lt;=15,"Midday (10-15)",B5687&lt;=19,"Evening peak (16-19)",TRUE,"Late evening (20-23)")</f>
        <v>Morning peak (6-9)</v>
      </c>
    </row>
    <row r="5688" spans="1:9">
      <c r="A5688" s="32">
        <v>42059</v>
      </c>
      <c r="B5688">
        <v>8</v>
      </c>
      <c r="C5688">
        <v>5125</v>
      </c>
      <c r="D5688" t="s">
        <v>304</v>
      </c>
      <c r="E5688">
        <f>YEAR(A5688)</f>
        <v>2015</v>
      </c>
      <c r="F5688" s="33">
        <f>DATE(YEAR(A5688),MONTH(A5688),1)</f>
        <v>42036.0</v>
      </c>
      <c r="G5688" t="str">
        <f>CHOOSE(WEEKDAY(A5688,2),"Mon","Tue","Wed","Thu","Fri","Sat","Sun")</f>
        <v>Tue</v>
      </c>
      <c r="H5688" t="str">
        <f>IF(WEEKDAY(A5688,2)&gt;5,"Weekend","Weekday")</f>
        <v>Weekday</v>
      </c>
      <c r="I5688" t="str">
        <f>_xlfn.IFS(B5688&lt;=5,"Night (0-5)",B5688&lt;=9,"Morning peak (6-9)",B5688&lt;=15,"Midday (10-15)",B5688&lt;=19,"Evening peak (16-19)",TRUE,"Late evening (20-23)")</f>
        <v>Morning peak (6-9)</v>
      </c>
    </row>
    <row r="5689" spans="1:9">
      <c r="A5689" s="32">
        <v>42059</v>
      </c>
      <c r="B5689">
        <v>9</v>
      </c>
      <c r="C5689">
        <v>4562</v>
      </c>
      <c r="D5689" t="s">
        <v>304</v>
      </c>
      <c r="E5689">
        <f>YEAR(A5689)</f>
        <v>2015</v>
      </c>
      <c r="F5689" s="33">
        <f>DATE(YEAR(A5689),MONTH(A5689),1)</f>
        <v>42036.0</v>
      </c>
      <c r="G5689" t="str">
        <f>CHOOSE(WEEKDAY(A5689,2),"Mon","Tue","Wed","Thu","Fri","Sat","Sun")</f>
        <v>Tue</v>
      </c>
      <c r="H5689" t="str">
        <f>IF(WEEKDAY(A5689,2)&gt;5,"Weekend","Weekday")</f>
        <v>Weekday</v>
      </c>
      <c r="I5689" t="str">
        <f>_xlfn.IFS(B5689&lt;=5,"Night (0-5)",B5689&lt;=9,"Morning peak (6-9)",B5689&lt;=15,"Midday (10-15)",B5689&lt;=19,"Evening peak (16-19)",TRUE,"Late evening (20-23)")</f>
        <v>Morning peak (6-9)</v>
      </c>
    </row>
    <row r="5690" spans="1:9">
      <c r="A5690" s="32">
        <v>42059</v>
      </c>
      <c r="B5690">
        <v>10</v>
      </c>
      <c r="C5690">
        <v>3298</v>
      </c>
      <c r="D5690" t="s">
        <v>304</v>
      </c>
      <c r="E5690">
        <f>YEAR(A5690)</f>
        <v>2015</v>
      </c>
      <c r="F5690" s="33">
        <f>DATE(YEAR(A5690),MONTH(A5690),1)</f>
        <v>42036.0</v>
      </c>
      <c r="G5690" t="str">
        <f>CHOOSE(WEEKDAY(A5690,2),"Mon","Tue","Wed","Thu","Fri","Sat","Sun")</f>
        <v>Tue</v>
      </c>
      <c r="H5690" t="str">
        <f>IF(WEEKDAY(A5690,2)&gt;5,"Weekend","Weekday")</f>
        <v>Weekday</v>
      </c>
      <c r="I5690" t="str">
        <f>_xlfn.IFS(B5690&lt;=5,"Night (0-5)",B5690&lt;=9,"Morning peak (6-9)",B5690&lt;=15,"Midday (10-15)",B5690&lt;=19,"Evening peak (16-19)",TRUE,"Late evening (20-23)")</f>
        <v>Midday (10-15)</v>
      </c>
    </row>
    <row r="5691" spans="1:9">
      <c r="A5691" s="32">
        <v>42059</v>
      </c>
      <c r="B5691">
        <v>11</v>
      </c>
      <c r="C5691">
        <v>2975</v>
      </c>
      <c r="D5691" t="s">
        <v>304</v>
      </c>
      <c r="E5691">
        <f>YEAR(A5691)</f>
        <v>2015</v>
      </c>
      <c r="F5691" s="33">
        <f>DATE(YEAR(A5691),MONTH(A5691),1)</f>
        <v>42036.0</v>
      </c>
      <c r="G5691" t="str">
        <f>CHOOSE(WEEKDAY(A5691,2),"Mon","Tue","Wed","Thu","Fri","Sat","Sun")</f>
        <v>Tue</v>
      </c>
      <c r="H5691" t="str">
        <f>IF(WEEKDAY(A5691,2)&gt;5,"Weekend","Weekday")</f>
        <v>Weekday</v>
      </c>
      <c r="I5691" t="str">
        <f>_xlfn.IFS(B5691&lt;=5,"Night (0-5)",B5691&lt;=9,"Morning peak (6-9)",B5691&lt;=15,"Midday (10-15)",B5691&lt;=19,"Evening peak (16-19)",TRUE,"Late evening (20-23)")</f>
        <v>Midday (10-15)</v>
      </c>
    </row>
    <row r="5692" spans="1:9">
      <c r="A5692" s="32">
        <v>42059</v>
      </c>
      <c r="B5692">
        <v>12</v>
      </c>
      <c r="C5692">
        <v>2717</v>
      </c>
      <c r="D5692" t="s">
        <v>304</v>
      </c>
      <c r="E5692">
        <f>YEAR(A5692)</f>
        <v>2015</v>
      </c>
      <c r="F5692" s="33">
        <f>DATE(YEAR(A5692),MONTH(A5692),1)</f>
        <v>42036.0</v>
      </c>
      <c r="G5692" t="str">
        <f>CHOOSE(WEEKDAY(A5692,2),"Mon","Tue","Wed","Thu","Fri","Sat","Sun")</f>
        <v>Tue</v>
      </c>
      <c r="H5692" t="str">
        <f>IF(WEEKDAY(A5692,2)&gt;5,"Weekend","Weekday")</f>
        <v>Weekday</v>
      </c>
      <c r="I5692" t="str">
        <f>_xlfn.IFS(B5692&lt;=5,"Night (0-5)",B5692&lt;=9,"Morning peak (6-9)",B5692&lt;=15,"Midday (10-15)",B5692&lt;=19,"Evening peak (16-19)",TRUE,"Late evening (20-23)")</f>
        <v>Midday (10-15)</v>
      </c>
    </row>
    <row r="5693" spans="1:9">
      <c r="A5693" s="32">
        <v>42059</v>
      </c>
      <c r="B5693">
        <v>13</v>
      </c>
      <c r="C5693">
        <v>2738</v>
      </c>
      <c r="D5693" t="s">
        <v>304</v>
      </c>
      <c r="E5693">
        <f>YEAR(A5693)</f>
        <v>2015</v>
      </c>
      <c r="F5693" s="33">
        <f>DATE(YEAR(A5693),MONTH(A5693),1)</f>
        <v>42036.0</v>
      </c>
      <c r="G5693" t="str">
        <f>CHOOSE(WEEKDAY(A5693,2),"Mon","Tue","Wed","Thu","Fri","Sat","Sun")</f>
        <v>Tue</v>
      </c>
      <c r="H5693" t="str">
        <f>IF(WEEKDAY(A5693,2)&gt;5,"Weekend","Weekday")</f>
        <v>Weekday</v>
      </c>
      <c r="I5693" t="str">
        <f>_xlfn.IFS(B5693&lt;=5,"Night (0-5)",B5693&lt;=9,"Morning peak (6-9)",B5693&lt;=15,"Midday (10-15)",B5693&lt;=19,"Evening peak (16-19)",TRUE,"Late evening (20-23)")</f>
        <v>Midday (10-15)</v>
      </c>
    </row>
    <row r="5694" spans="1:9">
      <c r="A5694" s="32">
        <v>42059</v>
      </c>
      <c r="B5694">
        <v>14</v>
      </c>
      <c r="C5694">
        <v>3082</v>
      </c>
      <c r="D5694" t="s">
        <v>304</v>
      </c>
      <c r="E5694">
        <f>YEAR(A5694)</f>
        <v>2015</v>
      </c>
      <c r="F5694" s="33">
        <f>DATE(YEAR(A5694),MONTH(A5694),1)</f>
        <v>42036.0</v>
      </c>
      <c r="G5694" t="str">
        <f>CHOOSE(WEEKDAY(A5694,2),"Mon","Tue","Wed","Thu","Fri","Sat","Sun")</f>
        <v>Tue</v>
      </c>
      <c r="H5694" t="str">
        <f>IF(WEEKDAY(A5694,2)&gt;5,"Weekend","Weekday")</f>
        <v>Weekday</v>
      </c>
      <c r="I5694" t="str">
        <f>_xlfn.IFS(B5694&lt;=5,"Night (0-5)",B5694&lt;=9,"Morning peak (6-9)",B5694&lt;=15,"Midday (10-15)",B5694&lt;=19,"Evening peak (16-19)",TRUE,"Late evening (20-23)")</f>
        <v>Midday (10-15)</v>
      </c>
    </row>
    <row r="5695" spans="1:9">
      <c r="A5695" s="32">
        <v>42059</v>
      </c>
      <c r="B5695">
        <v>15</v>
      </c>
      <c r="C5695">
        <v>3601</v>
      </c>
      <c r="D5695" t="s">
        <v>304</v>
      </c>
      <c r="E5695">
        <f>YEAR(A5695)</f>
        <v>2015</v>
      </c>
      <c r="F5695" s="33">
        <f>DATE(YEAR(A5695),MONTH(A5695),1)</f>
        <v>42036.0</v>
      </c>
      <c r="G5695" t="str">
        <f>CHOOSE(WEEKDAY(A5695,2),"Mon","Tue","Wed","Thu","Fri","Sat","Sun")</f>
        <v>Tue</v>
      </c>
      <c r="H5695" t="str">
        <f>IF(WEEKDAY(A5695,2)&gt;5,"Weekend","Weekday")</f>
        <v>Weekday</v>
      </c>
      <c r="I5695" t="str">
        <f>_xlfn.IFS(B5695&lt;=5,"Night (0-5)",B5695&lt;=9,"Morning peak (6-9)",B5695&lt;=15,"Midday (10-15)",B5695&lt;=19,"Evening peak (16-19)",TRUE,"Late evening (20-23)")</f>
        <v>Midday (10-15)</v>
      </c>
    </row>
    <row r="5696" spans="1:9">
      <c r="A5696" s="32">
        <v>42059</v>
      </c>
      <c r="B5696">
        <v>16</v>
      </c>
      <c r="C5696">
        <v>4254</v>
      </c>
      <c r="D5696" t="s">
        <v>304</v>
      </c>
      <c r="E5696">
        <f>YEAR(A5696)</f>
        <v>2015</v>
      </c>
      <c r="F5696" s="33">
        <f>DATE(YEAR(A5696),MONTH(A5696),1)</f>
        <v>42036.0</v>
      </c>
      <c r="G5696" t="str">
        <f>CHOOSE(WEEKDAY(A5696,2),"Mon","Tue","Wed","Thu","Fri","Sat","Sun")</f>
        <v>Tue</v>
      </c>
      <c r="H5696" t="str">
        <f>IF(WEEKDAY(A5696,2)&gt;5,"Weekend","Weekday")</f>
        <v>Weekday</v>
      </c>
      <c r="I5696" t="str">
        <f>_xlfn.IFS(B5696&lt;=5,"Night (0-5)",B5696&lt;=9,"Morning peak (6-9)",B5696&lt;=15,"Midday (10-15)",B5696&lt;=19,"Evening peak (16-19)",TRUE,"Late evening (20-23)")</f>
        <v>Evening peak (16-19)</v>
      </c>
    </row>
    <row r="5697" spans="1:9">
      <c r="A5697" s="32">
        <v>42059</v>
      </c>
      <c r="B5697">
        <v>17</v>
      </c>
      <c r="C5697">
        <v>5308</v>
      </c>
      <c r="D5697" t="s">
        <v>304</v>
      </c>
      <c r="E5697">
        <f>YEAR(A5697)</f>
        <v>2015</v>
      </c>
      <c r="F5697" s="33">
        <f>DATE(YEAR(A5697),MONTH(A5697),1)</f>
        <v>42036.0</v>
      </c>
      <c r="G5697" t="str">
        <f>CHOOSE(WEEKDAY(A5697,2),"Mon","Tue","Wed","Thu","Fri","Sat","Sun")</f>
        <v>Tue</v>
      </c>
      <c r="H5697" t="str">
        <f>IF(WEEKDAY(A5697,2)&gt;5,"Weekend","Weekday")</f>
        <v>Weekday</v>
      </c>
      <c r="I5697" t="str">
        <f>_xlfn.IFS(B5697&lt;=5,"Night (0-5)",B5697&lt;=9,"Morning peak (6-9)",B5697&lt;=15,"Midday (10-15)",B5697&lt;=19,"Evening peak (16-19)",TRUE,"Late evening (20-23)")</f>
        <v>Evening peak (16-19)</v>
      </c>
    </row>
    <row r="5698" spans="1:9">
      <c r="A5698" s="32">
        <v>42059</v>
      </c>
      <c r="B5698">
        <v>18</v>
      </c>
      <c r="C5698">
        <v>6256</v>
      </c>
      <c r="D5698" t="s">
        <v>304</v>
      </c>
      <c r="E5698">
        <f>YEAR(A5698)</f>
        <v>2015</v>
      </c>
      <c r="F5698" s="33">
        <f>DATE(YEAR(A5698),MONTH(A5698),1)</f>
        <v>42036.0</v>
      </c>
      <c r="G5698" t="str">
        <f>CHOOSE(WEEKDAY(A5698,2),"Mon","Tue","Wed","Thu","Fri","Sat","Sun")</f>
        <v>Tue</v>
      </c>
      <c r="H5698" t="str">
        <f>IF(WEEKDAY(A5698,2)&gt;5,"Weekend","Weekday")</f>
        <v>Weekday</v>
      </c>
      <c r="I5698" t="str">
        <f>_xlfn.IFS(B5698&lt;=5,"Night (0-5)",B5698&lt;=9,"Morning peak (6-9)",B5698&lt;=15,"Midday (10-15)",B5698&lt;=19,"Evening peak (16-19)",TRUE,"Late evening (20-23)")</f>
        <v>Evening peak (16-19)</v>
      </c>
    </row>
    <row r="5699" spans="1:9">
      <c r="A5699" s="32">
        <v>42059</v>
      </c>
      <c r="B5699">
        <v>19</v>
      </c>
      <c r="C5699">
        <v>6300</v>
      </c>
      <c r="D5699" t="s">
        <v>304</v>
      </c>
      <c r="E5699">
        <f>YEAR(A5699)</f>
        <v>2015</v>
      </c>
      <c r="F5699" s="33">
        <f>DATE(YEAR(A5699),MONTH(A5699),1)</f>
        <v>42036.0</v>
      </c>
      <c r="G5699" t="str">
        <f>CHOOSE(WEEKDAY(A5699,2),"Mon","Tue","Wed","Thu","Fri","Sat","Sun")</f>
        <v>Tue</v>
      </c>
      <c r="H5699" t="str">
        <f>IF(WEEKDAY(A5699,2)&gt;5,"Weekend","Weekday")</f>
        <v>Weekday</v>
      </c>
      <c r="I5699" t="str">
        <f>_xlfn.IFS(B5699&lt;=5,"Night (0-5)",B5699&lt;=9,"Morning peak (6-9)",B5699&lt;=15,"Midday (10-15)",B5699&lt;=19,"Evening peak (16-19)",TRUE,"Late evening (20-23)")</f>
        <v>Evening peak (16-19)</v>
      </c>
    </row>
    <row r="5700" spans="1:9">
      <c r="A5700" s="32">
        <v>42059</v>
      </c>
      <c r="B5700">
        <v>20</v>
      </c>
      <c r="C5700">
        <v>5674</v>
      </c>
      <c r="D5700" t="s">
        <v>304</v>
      </c>
      <c r="E5700">
        <f>YEAR(A5700)</f>
        <v>2015</v>
      </c>
      <c r="F5700" s="33">
        <f>DATE(YEAR(A5700),MONTH(A5700),1)</f>
        <v>42036.0</v>
      </c>
      <c r="G5700" t="str">
        <f>CHOOSE(WEEKDAY(A5700,2),"Mon","Tue","Wed","Thu","Fri","Sat","Sun")</f>
        <v>Tue</v>
      </c>
      <c r="H5700" t="str">
        <f>IF(WEEKDAY(A5700,2)&gt;5,"Weekend","Weekday")</f>
        <v>Weekday</v>
      </c>
      <c r="I5700" t="str">
        <f>_xlfn.IFS(B5700&lt;=5,"Night (0-5)",B5700&lt;=9,"Morning peak (6-9)",B5700&lt;=15,"Midday (10-15)",B5700&lt;=19,"Evening peak (16-19)",TRUE,"Late evening (20-23)")</f>
        <v>Late evening (20-23)</v>
      </c>
    </row>
    <row r="5701" spans="1:9">
      <c r="A5701" s="32">
        <v>42059</v>
      </c>
      <c r="B5701">
        <v>21</v>
      </c>
      <c r="C5701">
        <v>5309</v>
      </c>
      <c r="D5701" t="s">
        <v>304</v>
      </c>
      <c r="E5701">
        <f>YEAR(A5701)</f>
        <v>2015</v>
      </c>
      <c r="F5701" s="33">
        <f>DATE(YEAR(A5701),MONTH(A5701),1)</f>
        <v>42036.0</v>
      </c>
      <c r="G5701" t="str">
        <f>CHOOSE(WEEKDAY(A5701,2),"Mon","Tue","Wed","Thu","Fri","Sat","Sun")</f>
        <v>Tue</v>
      </c>
      <c r="H5701" t="str">
        <f>IF(WEEKDAY(A5701,2)&gt;5,"Weekend","Weekday")</f>
        <v>Weekday</v>
      </c>
      <c r="I5701" t="str">
        <f>_xlfn.IFS(B5701&lt;=5,"Night (0-5)",B5701&lt;=9,"Morning peak (6-9)",B5701&lt;=15,"Midday (10-15)",B5701&lt;=19,"Evening peak (16-19)",TRUE,"Late evening (20-23)")</f>
        <v>Late evening (20-23)</v>
      </c>
    </row>
    <row r="5702" spans="1:9">
      <c r="A5702" s="32">
        <v>42059</v>
      </c>
      <c r="B5702">
        <v>22</v>
      </c>
      <c r="C5702">
        <v>4440</v>
      </c>
      <c r="D5702" t="s">
        <v>304</v>
      </c>
      <c r="E5702">
        <f>YEAR(A5702)</f>
        <v>2015</v>
      </c>
      <c r="F5702" s="33">
        <f>DATE(YEAR(A5702),MONTH(A5702),1)</f>
        <v>42036.0</v>
      </c>
      <c r="G5702" t="str">
        <f>CHOOSE(WEEKDAY(A5702,2),"Mon","Tue","Wed","Thu","Fri","Sat","Sun")</f>
        <v>Tue</v>
      </c>
      <c r="H5702" t="str">
        <f>IF(WEEKDAY(A5702,2)&gt;5,"Weekend","Weekday")</f>
        <v>Weekday</v>
      </c>
      <c r="I5702" t="str">
        <f>_xlfn.IFS(B5702&lt;=5,"Night (0-5)",B5702&lt;=9,"Morning peak (6-9)",B5702&lt;=15,"Midday (10-15)",B5702&lt;=19,"Evening peak (16-19)",TRUE,"Late evening (20-23)")</f>
        <v>Late evening (20-23)</v>
      </c>
    </row>
    <row r="5703" spans="1:9">
      <c r="A5703" s="32">
        <v>42059</v>
      </c>
      <c r="B5703">
        <v>23</v>
      </c>
      <c r="C5703">
        <v>3297</v>
      </c>
      <c r="D5703" t="s">
        <v>304</v>
      </c>
      <c r="E5703">
        <f>YEAR(A5703)</f>
        <v>2015</v>
      </c>
      <c r="F5703" s="33">
        <f>DATE(YEAR(A5703),MONTH(A5703),1)</f>
        <v>42036.0</v>
      </c>
      <c r="G5703" t="str">
        <f>CHOOSE(WEEKDAY(A5703,2),"Mon","Tue","Wed","Thu","Fri","Sat","Sun")</f>
        <v>Tue</v>
      </c>
      <c r="H5703" t="str">
        <f>IF(WEEKDAY(A5703,2)&gt;5,"Weekend","Weekday")</f>
        <v>Weekday</v>
      </c>
      <c r="I5703" t="str">
        <f>_xlfn.IFS(B5703&lt;=5,"Night (0-5)",B5703&lt;=9,"Morning peak (6-9)",B5703&lt;=15,"Midday (10-15)",B5703&lt;=19,"Evening peak (16-19)",TRUE,"Late evening (20-23)")</f>
        <v>Late evening (20-23)</v>
      </c>
    </row>
    <row r="5704" spans="1:9">
      <c r="A5704" s="32">
        <v>42060</v>
      </c>
      <c r="B5704">
        <v>0</v>
      </c>
      <c r="C5704">
        <v>1980</v>
      </c>
      <c r="D5704" t="s">
        <v>304</v>
      </c>
      <c r="E5704">
        <f>YEAR(A5704)</f>
        <v>2015</v>
      </c>
      <c r="F5704" s="33">
        <f>DATE(YEAR(A5704),MONTH(A5704),1)</f>
        <v>42036.0</v>
      </c>
      <c r="G5704" t="str">
        <f>CHOOSE(WEEKDAY(A5704,2),"Mon","Tue","Wed","Thu","Fri","Sat","Sun")</f>
        <v>Wed</v>
      </c>
      <c r="H5704" t="str">
        <f>IF(WEEKDAY(A5704,2)&gt;5,"Weekend","Weekday")</f>
        <v>Weekday</v>
      </c>
      <c r="I5704" t="str">
        <f>_xlfn.IFS(B5704&lt;=5,"Night (0-5)",B5704&lt;=9,"Morning peak (6-9)",B5704&lt;=15,"Midday (10-15)",B5704&lt;=19,"Evening peak (16-19)",TRUE,"Late evening (20-23)")</f>
        <v>Night (0-5)</v>
      </c>
    </row>
    <row r="5705" spans="1:9">
      <c r="A5705" s="32">
        <v>42060</v>
      </c>
      <c r="B5705">
        <v>1</v>
      </c>
      <c r="C5705">
        <v>986</v>
      </c>
      <c r="D5705" t="s">
        <v>304</v>
      </c>
      <c r="E5705">
        <f>YEAR(A5705)</f>
        <v>2015</v>
      </c>
      <c r="F5705" s="33">
        <f>DATE(YEAR(A5705),MONTH(A5705),1)</f>
        <v>42036.0</v>
      </c>
      <c r="G5705" t="str">
        <f>CHOOSE(WEEKDAY(A5705,2),"Mon","Tue","Wed","Thu","Fri","Sat","Sun")</f>
        <v>Wed</v>
      </c>
      <c r="H5705" t="str">
        <f>IF(WEEKDAY(A5705,2)&gt;5,"Weekend","Weekday")</f>
        <v>Weekday</v>
      </c>
      <c r="I5705" t="str">
        <f>_xlfn.IFS(B5705&lt;=5,"Night (0-5)",B5705&lt;=9,"Morning peak (6-9)",B5705&lt;=15,"Midday (10-15)",B5705&lt;=19,"Evening peak (16-19)",TRUE,"Late evening (20-23)")</f>
        <v>Night (0-5)</v>
      </c>
    </row>
    <row r="5706" spans="1:9">
      <c r="A5706" s="32">
        <v>42060</v>
      </c>
      <c r="B5706">
        <v>2</v>
      </c>
      <c r="C5706">
        <v>596</v>
      </c>
      <c r="D5706" t="s">
        <v>304</v>
      </c>
      <c r="E5706">
        <f>YEAR(A5706)</f>
        <v>2015</v>
      </c>
      <c r="F5706" s="33">
        <f>DATE(YEAR(A5706),MONTH(A5706),1)</f>
        <v>42036.0</v>
      </c>
      <c r="G5706" t="str">
        <f>CHOOSE(WEEKDAY(A5706,2),"Mon","Tue","Wed","Thu","Fri","Sat","Sun")</f>
        <v>Wed</v>
      </c>
      <c r="H5706" t="str">
        <f>IF(WEEKDAY(A5706,2)&gt;5,"Weekend","Weekday")</f>
        <v>Weekday</v>
      </c>
      <c r="I5706" t="str">
        <f>_xlfn.IFS(B5706&lt;=5,"Night (0-5)",B5706&lt;=9,"Morning peak (6-9)",B5706&lt;=15,"Midday (10-15)",B5706&lt;=19,"Evening peak (16-19)",TRUE,"Late evening (20-23)")</f>
        <v>Night (0-5)</v>
      </c>
    </row>
    <row r="5707" spans="1:9">
      <c r="A5707" s="32">
        <v>42060</v>
      </c>
      <c r="B5707">
        <v>3</v>
      </c>
      <c r="C5707">
        <v>399</v>
      </c>
      <c r="D5707" t="s">
        <v>304</v>
      </c>
      <c r="E5707">
        <f>YEAR(A5707)</f>
        <v>2015</v>
      </c>
      <c r="F5707" s="33">
        <f>DATE(YEAR(A5707),MONTH(A5707),1)</f>
        <v>42036.0</v>
      </c>
      <c r="G5707" t="str">
        <f>CHOOSE(WEEKDAY(A5707,2),"Mon","Tue","Wed","Thu","Fri","Sat","Sun")</f>
        <v>Wed</v>
      </c>
      <c r="H5707" t="str">
        <f>IF(WEEKDAY(A5707,2)&gt;5,"Weekend","Weekday")</f>
        <v>Weekday</v>
      </c>
      <c r="I5707" t="str">
        <f>_xlfn.IFS(B5707&lt;=5,"Night (0-5)",B5707&lt;=9,"Morning peak (6-9)",B5707&lt;=15,"Midday (10-15)",B5707&lt;=19,"Evening peak (16-19)",TRUE,"Late evening (20-23)")</f>
        <v>Night (0-5)</v>
      </c>
    </row>
    <row r="5708" spans="1:9">
      <c r="A5708" s="32">
        <v>42060</v>
      </c>
      <c r="B5708">
        <v>4</v>
      </c>
      <c r="C5708">
        <v>569</v>
      </c>
      <c r="D5708" t="s">
        <v>304</v>
      </c>
      <c r="E5708">
        <f>YEAR(A5708)</f>
        <v>2015</v>
      </c>
      <c r="F5708" s="33">
        <f>DATE(YEAR(A5708),MONTH(A5708),1)</f>
        <v>42036.0</v>
      </c>
      <c r="G5708" t="str">
        <f>CHOOSE(WEEKDAY(A5708,2),"Mon","Tue","Wed","Thu","Fri","Sat","Sun")</f>
        <v>Wed</v>
      </c>
      <c r="H5708" t="str">
        <f>IF(WEEKDAY(A5708,2)&gt;5,"Weekend","Weekday")</f>
        <v>Weekday</v>
      </c>
      <c r="I5708" t="str">
        <f>_xlfn.IFS(B5708&lt;=5,"Night (0-5)",B5708&lt;=9,"Morning peak (6-9)",B5708&lt;=15,"Midday (10-15)",B5708&lt;=19,"Evening peak (16-19)",TRUE,"Late evening (20-23)")</f>
        <v>Night (0-5)</v>
      </c>
    </row>
    <row r="5709" spans="1:9">
      <c r="A5709" s="32">
        <v>42060</v>
      </c>
      <c r="B5709">
        <v>5</v>
      </c>
      <c r="C5709">
        <v>970</v>
      </c>
      <c r="D5709" t="s">
        <v>304</v>
      </c>
      <c r="E5709">
        <f>YEAR(A5709)</f>
        <v>2015</v>
      </c>
      <c r="F5709" s="33">
        <f>DATE(YEAR(A5709),MONTH(A5709),1)</f>
        <v>42036.0</v>
      </c>
      <c r="G5709" t="str">
        <f>CHOOSE(WEEKDAY(A5709,2),"Mon","Tue","Wed","Thu","Fri","Sat","Sun")</f>
        <v>Wed</v>
      </c>
      <c r="H5709" t="str">
        <f>IF(WEEKDAY(A5709,2)&gt;5,"Weekend","Weekday")</f>
        <v>Weekday</v>
      </c>
      <c r="I5709" t="str">
        <f>_xlfn.IFS(B5709&lt;=5,"Night (0-5)",B5709&lt;=9,"Morning peak (6-9)",B5709&lt;=15,"Midday (10-15)",B5709&lt;=19,"Evening peak (16-19)",TRUE,"Late evening (20-23)")</f>
        <v>Night (0-5)</v>
      </c>
    </row>
    <row r="5710" spans="1:9">
      <c r="A5710" s="32">
        <v>42060</v>
      </c>
      <c r="B5710">
        <v>6</v>
      </c>
      <c r="C5710">
        <v>1878</v>
      </c>
      <c r="D5710" t="s">
        <v>304</v>
      </c>
      <c r="E5710">
        <f>YEAR(A5710)</f>
        <v>2015</v>
      </c>
      <c r="F5710" s="33">
        <f>DATE(YEAR(A5710),MONTH(A5710),1)</f>
        <v>42036.0</v>
      </c>
      <c r="G5710" t="str">
        <f>CHOOSE(WEEKDAY(A5710,2),"Mon","Tue","Wed","Thu","Fri","Sat","Sun")</f>
        <v>Wed</v>
      </c>
      <c r="H5710" t="str">
        <f>IF(WEEKDAY(A5710,2)&gt;5,"Weekend","Weekday")</f>
        <v>Weekday</v>
      </c>
      <c r="I5710" t="str">
        <f>_xlfn.IFS(B5710&lt;=5,"Night (0-5)",B5710&lt;=9,"Morning peak (6-9)",B5710&lt;=15,"Midday (10-15)",B5710&lt;=19,"Evening peak (16-19)",TRUE,"Late evening (20-23)")</f>
        <v>Morning peak (6-9)</v>
      </c>
    </row>
    <row r="5711" spans="1:9">
      <c r="A5711" s="32">
        <v>42060</v>
      </c>
      <c r="B5711">
        <v>7</v>
      </c>
      <c r="C5711">
        <v>3339</v>
      </c>
      <c r="D5711" t="s">
        <v>304</v>
      </c>
      <c r="E5711">
        <f>YEAR(A5711)</f>
        <v>2015</v>
      </c>
      <c r="F5711" s="33">
        <f>DATE(YEAR(A5711),MONTH(A5711),1)</f>
        <v>42036.0</v>
      </c>
      <c r="G5711" t="str">
        <f>CHOOSE(WEEKDAY(A5711,2),"Mon","Tue","Wed","Thu","Fri","Sat","Sun")</f>
        <v>Wed</v>
      </c>
      <c r="H5711" t="str">
        <f>IF(WEEKDAY(A5711,2)&gt;5,"Weekend","Weekday")</f>
        <v>Weekday</v>
      </c>
      <c r="I5711" t="str">
        <f>_xlfn.IFS(B5711&lt;=5,"Night (0-5)",B5711&lt;=9,"Morning peak (6-9)",B5711&lt;=15,"Midday (10-15)",B5711&lt;=19,"Evening peak (16-19)",TRUE,"Late evening (20-23)")</f>
        <v>Morning peak (6-9)</v>
      </c>
    </row>
    <row r="5712" spans="1:9">
      <c r="A5712" s="32">
        <v>42060</v>
      </c>
      <c r="B5712">
        <v>8</v>
      </c>
      <c r="C5712">
        <v>4171</v>
      </c>
      <c r="D5712" t="s">
        <v>304</v>
      </c>
      <c r="E5712">
        <f>YEAR(A5712)</f>
        <v>2015</v>
      </c>
      <c r="F5712" s="33">
        <f>DATE(YEAR(A5712),MONTH(A5712),1)</f>
        <v>42036.0</v>
      </c>
      <c r="G5712" t="str">
        <f>CHOOSE(WEEKDAY(A5712,2),"Mon","Tue","Wed","Thu","Fri","Sat","Sun")</f>
        <v>Wed</v>
      </c>
      <c r="H5712" t="str">
        <f>IF(WEEKDAY(A5712,2)&gt;5,"Weekend","Weekday")</f>
        <v>Weekday</v>
      </c>
      <c r="I5712" t="str">
        <f>_xlfn.IFS(B5712&lt;=5,"Night (0-5)",B5712&lt;=9,"Morning peak (6-9)",B5712&lt;=15,"Midday (10-15)",B5712&lt;=19,"Evening peak (16-19)",TRUE,"Late evening (20-23)")</f>
        <v>Morning peak (6-9)</v>
      </c>
    </row>
    <row r="5713" spans="1:9">
      <c r="A5713" s="32">
        <v>42060</v>
      </c>
      <c r="B5713">
        <v>9</v>
      </c>
      <c r="C5713">
        <v>3896</v>
      </c>
      <c r="D5713" t="s">
        <v>304</v>
      </c>
      <c r="E5713">
        <f>YEAR(A5713)</f>
        <v>2015</v>
      </c>
      <c r="F5713" s="33">
        <f>DATE(YEAR(A5713),MONTH(A5713),1)</f>
        <v>42036.0</v>
      </c>
      <c r="G5713" t="str">
        <f>CHOOSE(WEEKDAY(A5713,2),"Mon","Tue","Wed","Thu","Fri","Sat","Sun")</f>
        <v>Wed</v>
      </c>
      <c r="H5713" t="str">
        <f>IF(WEEKDAY(A5713,2)&gt;5,"Weekend","Weekday")</f>
        <v>Weekday</v>
      </c>
      <c r="I5713" t="str">
        <f>_xlfn.IFS(B5713&lt;=5,"Night (0-5)",B5713&lt;=9,"Morning peak (6-9)",B5713&lt;=15,"Midday (10-15)",B5713&lt;=19,"Evening peak (16-19)",TRUE,"Late evening (20-23)")</f>
        <v>Morning peak (6-9)</v>
      </c>
    </row>
    <row r="5714" spans="1:9">
      <c r="A5714" s="32">
        <v>42060</v>
      </c>
      <c r="B5714">
        <v>10</v>
      </c>
      <c r="C5714">
        <v>2970</v>
      </c>
      <c r="D5714" t="s">
        <v>304</v>
      </c>
      <c r="E5714">
        <f>YEAR(A5714)</f>
        <v>2015</v>
      </c>
      <c r="F5714" s="33">
        <f>DATE(YEAR(A5714),MONTH(A5714),1)</f>
        <v>42036.0</v>
      </c>
      <c r="G5714" t="str">
        <f>CHOOSE(WEEKDAY(A5714,2),"Mon","Tue","Wed","Thu","Fri","Sat","Sun")</f>
        <v>Wed</v>
      </c>
      <c r="H5714" t="str">
        <f>IF(WEEKDAY(A5714,2)&gt;5,"Weekend","Weekday")</f>
        <v>Weekday</v>
      </c>
      <c r="I5714" t="str">
        <f>_xlfn.IFS(B5714&lt;=5,"Night (0-5)",B5714&lt;=9,"Morning peak (6-9)",B5714&lt;=15,"Midday (10-15)",B5714&lt;=19,"Evening peak (16-19)",TRUE,"Late evening (20-23)")</f>
        <v>Midday (10-15)</v>
      </c>
    </row>
    <row r="5715" spans="1:9">
      <c r="A5715" s="32">
        <v>42060</v>
      </c>
      <c r="B5715">
        <v>11</v>
      </c>
      <c r="C5715">
        <v>2648</v>
      </c>
      <c r="D5715" t="s">
        <v>304</v>
      </c>
      <c r="E5715">
        <f>YEAR(A5715)</f>
        <v>2015</v>
      </c>
      <c r="F5715" s="33">
        <f>DATE(YEAR(A5715),MONTH(A5715),1)</f>
        <v>42036.0</v>
      </c>
      <c r="G5715" t="str">
        <f>CHOOSE(WEEKDAY(A5715,2),"Mon","Tue","Wed","Thu","Fri","Sat","Sun")</f>
        <v>Wed</v>
      </c>
      <c r="H5715" t="str">
        <f>IF(WEEKDAY(A5715,2)&gt;5,"Weekend","Weekday")</f>
        <v>Weekday</v>
      </c>
      <c r="I5715" t="str">
        <f>_xlfn.IFS(B5715&lt;=5,"Night (0-5)",B5715&lt;=9,"Morning peak (6-9)",B5715&lt;=15,"Midday (10-15)",B5715&lt;=19,"Evening peak (16-19)",TRUE,"Late evening (20-23)")</f>
        <v>Midday (10-15)</v>
      </c>
    </row>
    <row r="5716" spans="1:9">
      <c r="A5716" s="32">
        <v>42060</v>
      </c>
      <c r="B5716">
        <v>12</v>
      </c>
      <c r="C5716">
        <v>2604</v>
      </c>
      <c r="D5716" t="s">
        <v>304</v>
      </c>
      <c r="E5716">
        <f>YEAR(A5716)</f>
        <v>2015</v>
      </c>
      <c r="F5716" s="33">
        <f>DATE(YEAR(A5716),MONTH(A5716),1)</f>
        <v>42036.0</v>
      </c>
      <c r="G5716" t="str">
        <f>CHOOSE(WEEKDAY(A5716,2),"Mon","Tue","Wed","Thu","Fri","Sat","Sun")</f>
        <v>Wed</v>
      </c>
      <c r="H5716" t="str">
        <f>IF(WEEKDAY(A5716,2)&gt;5,"Weekend","Weekday")</f>
        <v>Weekday</v>
      </c>
      <c r="I5716" t="str">
        <f>_xlfn.IFS(B5716&lt;=5,"Night (0-5)",B5716&lt;=9,"Morning peak (6-9)",B5716&lt;=15,"Midday (10-15)",B5716&lt;=19,"Evening peak (16-19)",TRUE,"Late evening (20-23)")</f>
        <v>Midday (10-15)</v>
      </c>
    </row>
    <row r="5717" spans="1:9">
      <c r="A5717" s="32">
        <v>42060</v>
      </c>
      <c r="B5717">
        <v>13</v>
      </c>
      <c r="C5717">
        <v>2551</v>
      </c>
      <c r="D5717" t="s">
        <v>304</v>
      </c>
      <c r="E5717">
        <f>YEAR(A5717)</f>
        <v>2015</v>
      </c>
      <c r="F5717" s="33">
        <f>DATE(YEAR(A5717),MONTH(A5717),1)</f>
        <v>42036.0</v>
      </c>
      <c r="G5717" t="str">
        <f>CHOOSE(WEEKDAY(A5717,2),"Mon","Tue","Wed","Thu","Fri","Sat","Sun")</f>
        <v>Wed</v>
      </c>
      <c r="H5717" t="str">
        <f>IF(WEEKDAY(A5717,2)&gt;5,"Weekend","Weekday")</f>
        <v>Weekday</v>
      </c>
      <c r="I5717" t="str">
        <f>_xlfn.IFS(B5717&lt;=5,"Night (0-5)",B5717&lt;=9,"Morning peak (6-9)",B5717&lt;=15,"Midday (10-15)",B5717&lt;=19,"Evening peak (16-19)",TRUE,"Late evening (20-23)")</f>
        <v>Midday (10-15)</v>
      </c>
    </row>
    <row r="5718" spans="1:9">
      <c r="A5718" s="32">
        <v>42060</v>
      </c>
      <c r="B5718">
        <v>14</v>
      </c>
      <c r="C5718">
        <v>3020</v>
      </c>
      <c r="D5718" t="s">
        <v>304</v>
      </c>
      <c r="E5718">
        <f>YEAR(A5718)</f>
        <v>2015</v>
      </c>
      <c r="F5718" s="33">
        <f>DATE(YEAR(A5718),MONTH(A5718),1)</f>
        <v>42036.0</v>
      </c>
      <c r="G5718" t="str">
        <f>CHOOSE(WEEKDAY(A5718,2),"Mon","Tue","Wed","Thu","Fri","Sat","Sun")</f>
        <v>Wed</v>
      </c>
      <c r="H5718" t="str">
        <f>IF(WEEKDAY(A5718,2)&gt;5,"Weekend","Weekday")</f>
        <v>Weekday</v>
      </c>
      <c r="I5718" t="str">
        <f>_xlfn.IFS(B5718&lt;=5,"Night (0-5)",B5718&lt;=9,"Morning peak (6-9)",B5718&lt;=15,"Midday (10-15)",B5718&lt;=19,"Evening peak (16-19)",TRUE,"Late evening (20-23)")</f>
        <v>Midday (10-15)</v>
      </c>
    </row>
    <row r="5719" spans="1:9">
      <c r="A5719" s="32">
        <v>42060</v>
      </c>
      <c r="B5719">
        <v>15</v>
      </c>
      <c r="C5719">
        <v>3420</v>
      </c>
      <c r="D5719" t="s">
        <v>304</v>
      </c>
      <c r="E5719">
        <f>YEAR(A5719)</f>
        <v>2015</v>
      </c>
      <c r="F5719" s="33">
        <f>DATE(YEAR(A5719),MONTH(A5719),1)</f>
        <v>42036.0</v>
      </c>
      <c r="G5719" t="str">
        <f>CHOOSE(WEEKDAY(A5719,2),"Mon","Tue","Wed","Thu","Fri","Sat","Sun")</f>
        <v>Wed</v>
      </c>
      <c r="H5719" t="str">
        <f>IF(WEEKDAY(A5719,2)&gt;5,"Weekend","Weekday")</f>
        <v>Weekday</v>
      </c>
      <c r="I5719" t="str">
        <f>_xlfn.IFS(B5719&lt;=5,"Night (0-5)",B5719&lt;=9,"Morning peak (6-9)",B5719&lt;=15,"Midday (10-15)",B5719&lt;=19,"Evening peak (16-19)",TRUE,"Late evening (20-23)")</f>
        <v>Midday (10-15)</v>
      </c>
    </row>
    <row r="5720" spans="1:9">
      <c r="A5720" s="32">
        <v>42060</v>
      </c>
      <c r="B5720">
        <v>16</v>
      </c>
      <c r="C5720">
        <v>4057</v>
      </c>
      <c r="D5720" t="s">
        <v>304</v>
      </c>
      <c r="E5720">
        <f>YEAR(A5720)</f>
        <v>2015</v>
      </c>
      <c r="F5720" s="33">
        <f>DATE(YEAR(A5720),MONTH(A5720),1)</f>
        <v>42036.0</v>
      </c>
      <c r="G5720" t="str">
        <f>CHOOSE(WEEKDAY(A5720,2),"Mon","Tue","Wed","Thu","Fri","Sat","Sun")</f>
        <v>Wed</v>
      </c>
      <c r="H5720" t="str">
        <f>IF(WEEKDAY(A5720,2)&gt;5,"Weekend","Weekday")</f>
        <v>Weekday</v>
      </c>
      <c r="I5720" t="str">
        <f>_xlfn.IFS(B5720&lt;=5,"Night (0-5)",B5720&lt;=9,"Morning peak (6-9)",B5720&lt;=15,"Midday (10-15)",B5720&lt;=19,"Evening peak (16-19)",TRUE,"Late evening (20-23)")</f>
        <v>Evening peak (16-19)</v>
      </c>
    </row>
    <row r="5721" spans="1:9">
      <c r="A5721" s="32">
        <v>42060</v>
      </c>
      <c r="B5721">
        <v>17</v>
      </c>
      <c r="C5721">
        <v>5018</v>
      </c>
      <c r="D5721" t="s">
        <v>304</v>
      </c>
      <c r="E5721">
        <f>YEAR(A5721)</f>
        <v>2015</v>
      </c>
      <c r="F5721" s="33">
        <f>DATE(YEAR(A5721),MONTH(A5721),1)</f>
        <v>42036.0</v>
      </c>
      <c r="G5721" t="str">
        <f>CHOOSE(WEEKDAY(A5721,2),"Mon","Tue","Wed","Thu","Fri","Sat","Sun")</f>
        <v>Wed</v>
      </c>
      <c r="H5721" t="str">
        <f>IF(WEEKDAY(A5721,2)&gt;5,"Weekend","Weekday")</f>
        <v>Weekday</v>
      </c>
      <c r="I5721" t="str">
        <f>_xlfn.IFS(B5721&lt;=5,"Night (0-5)",B5721&lt;=9,"Morning peak (6-9)",B5721&lt;=15,"Midday (10-15)",B5721&lt;=19,"Evening peak (16-19)",TRUE,"Late evening (20-23)")</f>
        <v>Evening peak (16-19)</v>
      </c>
    </row>
    <row r="5722" spans="1:9">
      <c r="A5722" s="32">
        <v>42060</v>
      </c>
      <c r="B5722">
        <v>18</v>
      </c>
      <c r="C5722">
        <v>6063</v>
      </c>
      <c r="D5722" t="s">
        <v>304</v>
      </c>
      <c r="E5722">
        <f>YEAR(A5722)</f>
        <v>2015</v>
      </c>
      <c r="F5722" s="33">
        <f>DATE(YEAR(A5722),MONTH(A5722),1)</f>
        <v>42036.0</v>
      </c>
      <c r="G5722" t="str">
        <f>CHOOSE(WEEKDAY(A5722,2),"Mon","Tue","Wed","Thu","Fri","Sat","Sun")</f>
        <v>Wed</v>
      </c>
      <c r="H5722" t="str">
        <f>IF(WEEKDAY(A5722,2)&gt;5,"Weekend","Weekday")</f>
        <v>Weekday</v>
      </c>
      <c r="I5722" t="str">
        <f>_xlfn.IFS(B5722&lt;=5,"Night (0-5)",B5722&lt;=9,"Morning peak (6-9)",B5722&lt;=15,"Midday (10-15)",B5722&lt;=19,"Evening peak (16-19)",TRUE,"Late evening (20-23)")</f>
        <v>Evening peak (16-19)</v>
      </c>
    </row>
    <row r="5723" spans="1:9">
      <c r="A5723" s="32">
        <v>42060</v>
      </c>
      <c r="B5723">
        <v>19</v>
      </c>
      <c r="C5723">
        <v>5964</v>
      </c>
      <c r="D5723" t="s">
        <v>304</v>
      </c>
      <c r="E5723">
        <f>YEAR(A5723)</f>
        <v>2015</v>
      </c>
      <c r="F5723" s="33">
        <f>DATE(YEAR(A5723),MONTH(A5723),1)</f>
        <v>42036.0</v>
      </c>
      <c r="G5723" t="str">
        <f>CHOOSE(WEEKDAY(A5723,2),"Mon","Tue","Wed","Thu","Fri","Sat","Sun")</f>
        <v>Wed</v>
      </c>
      <c r="H5723" t="str">
        <f>IF(WEEKDAY(A5723,2)&gt;5,"Weekend","Weekday")</f>
        <v>Weekday</v>
      </c>
      <c r="I5723" t="str">
        <f>_xlfn.IFS(B5723&lt;=5,"Night (0-5)",B5723&lt;=9,"Morning peak (6-9)",B5723&lt;=15,"Midday (10-15)",B5723&lt;=19,"Evening peak (16-19)",TRUE,"Late evening (20-23)")</f>
        <v>Evening peak (16-19)</v>
      </c>
    </row>
    <row r="5724" spans="1:9">
      <c r="A5724" s="32">
        <v>42060</v>
      </c>
      <c r="B5724">
        <v>20</v>
      </c>
      <c r="C5724">
        <v>5523</v>
      </c>
      <c r="D5724" t="s">
        <v>304</v>
      </c>
      <c r="E5724">
        <f>YEAR(A5724)</f>
        <v>2015</v>
      </c>
      <c r="F5724" s="33">
        <f>DATE(YEAR(A5724),MONTH(A5724),1)</f>
        <v>42036.0</v>
      </c>
      <c r="G5724" t="str">
        <f>CHOOSE(WEEKDAY(A5724,2),"Mon","Tue","Wed","Thu","Fri","Sat","Sun")</f>
        <v>Wed</v>
      </c>
      <c r="H5724" t="str">
        <f>IF(WEEKDAY(A5724,2)&gt;5,"Weekend","Weekday")</f>
        <v>Weekday</v>
      </c>
      <c r="I5724" t="str">
        <f>_xlfn.IFS(B5724&lt;=5,"Night (0-5)",B5724&lt;=9,"Morning peak (6-9)",B5724&lt;=15,"Midday (10-15)",B5724&lt;=19,"Evening peak (16-19)",TRUE,"Late evening (20-23)")</f>
        <v>Late evening (20-23)</v>
      </c>
    </row>
    <row r="5725" spans="1:9">
      <c r="A5725" s="32">
        <v>42060</v>
      </c>
      <c r="B5725">
        <v>21</v>
      </c>
      <c r="C5725">
        <v>5136</v>
      </c>
      <c r="D5725" t="s">
        <v>304</v>
      </c>
      <c r="E5725">
        <f>YEAR(A5725)</f>
        <v>2015</v>
      </c>
      <c r="F5725" s="33">
        <f>DATE(YEAR(A5725),MONTH(A5725),1)</f>
        <v>42036.0</v>
      </c>
      <c r="G5725" t="str">
        <f>CHOOSE(WEEKDAY(A5725,2),"Mon","Tue","Wed","Thu","Fri","Sat","Sun")</f>
        <v>Wed</v>
      </c>
      <c r="H5725" t="str">
        <f>IF(WEEKDAY(A5725,2)&gt;5,"Weekend","Weekday")</f>
        <v>Weekday</v>
      </c>
      <c r="I5725" t="str">
        <f>_xlfn.IFS(B5725&lt;=5,"Night (0-5)",B5725&lt;=9,"Morning peak (6-9)",B5725&lt;=15,"Midday (10-15)",B5725&lt;=19,"Evening peak (16-19)",TRUE,"Late evening (20-23)")</f>
        <v>Late evening (20-23)</v>
      </c>
    </row>
    <row r="5726" spans="1:9">
      <c r="A5726" s="32">
        <v>42060</v>
      </c>
      <c r="B5726">
        <v>22</v>
      </c>
      <c r="C5726">
        <v>4743</v>
      </c>
      <c r="D5726" t="s">
        <v>304</v>
      </c>
      <c r="E5726">
        <f>YEAR(A5726)</f>
        <v>2015</v>
      </c>
      <c r="F5726" s="33">
        <f>DATE(YEAR(A5726),MONTH(A5726),1)</f>
        <v>42036.0</v>
      </c>
      <c r="G5726" t="str">
        <f>CHOOSE(WEEKDAY(A5726,2),"Mon","Tue","Wed","Thu","Fri","Sat","Sun")</f>
        <v>Wed</v>
      </c>
      <c r="H5726" t="str">
        <f>IF(WEEKDAY(A5726,2)&gt;5,"Weekend","Weekday")</f>
        <v>Weekday</v>
      </c>
      <c r="I5726" t="str">
        <f>_xlfn.IFS(B5726&lt;=5,"Night (0-5)",B5726&lt;=9,"Morning peak (6-9)",B5726&lt;=15,"Midday (10-15)",B5726&lt;=19,"Evening peak (16-19)",TRUE,"Late evening (20-23)")</f>
        <v>Late evening (20-23)</v>
      </c>
    </row>
    <row r="5727" spans="1:9">
      <c r="A5727" s="32">
        <v>42060</v>
      </c>
      <c r="B5727">
        <v>23</v>
      </c>
      <c r="C5727">
        <v>3491</v>
      </c>
      <c r="D5727" t="s">
        <v>304</v>
      </c>
      <c r="E5727">
        <f>YEAR(A5727)</f>
        <v>2015</v>
      </c>
      <c r="F5727" s="33">
        <f>DATE(YEAR(A5727),MONTH(A5727),1)</f>
        <v>42036.0</v>
      </c>
      <c r="G5727" t="str">
        <f>CHOOSE(WEEKDAY(A5727,2),"Mon","Tue","Wed","Thu","Fri","Sat","Sun")</f>
        <v>Wed</v>
      </c>
      <c r="H5727" t="str">
        <f>IF(WEEKDAY(A5727,2)&gt;5,"Weekend","Weekday")</f>
        <v>Weekday</v>
      </c>
      <c r="I5727" t="str">
        <f>_xlfn.IFS(B5727&lt;=5,"Night (0-5)",B5727&lt;=9,"Morning peak (6-9)",B5727&lt;=15,"Midday (10-15)",B5727&lt;=19,"Evening peak (16-19)",TRUE,"Late evening (20-23)")</f>
        <v>Late evening (20-23)</v>
      </c>
    </row>
    <row r="5728" spans="1:9">
      <c r="A5728" s="32">
        <v>42061</v>
      </c>
      <c r="B5728">
        <v>0</v>
      </c>
      <c r="C5728">
        <v>2065</v>
      </c>
      <c r="D5728" t="s">
        <v>304</v>
      </c>
      <c r="E5728">
        <f>YEAR(A5728)</f>
        <v>2015</v>
      </c>
      <c r="F5728" s="33">
        <f>DATE(YEAR(A5728),MONTH(A5728),1)</f>
        <v>42036.0</v>
      </c>
      <c r="G5728" t="str">
        <f>CHOOSE(WEEKDAY(A5728,2),"Mon","Tue","Wed","Thu","Fri","Sat","Sun")</f>
        <v>Thu</v>
      </c>
      <c r="H5728" t="str">
        <f>IF(WEEKDAY(A5728,2)&gt;5,"Weekend","Weekday")</f>
        <v>Weekday</v>
      </c>
      <c r="I5728" t="str">
        <f>_xlfn.IFS(B5728&lt;=5,"Night (0-5)",B5728&lt;=9,"Morning peak (6-9)",B5728&lt;=15,"Midday (10-15)",B5728&lt;=19,"Evening peak (16-19)",TRUE,"Late evening (20-23)")</f>
        <v>Night (0-5)</v>
      </c>
    </row>
    <row r="5729" spans="1:9">
      <c r="A5729" s="32">
        <v>42061</v>
      </c>
      <c r="B5729">
        <v>1</v>
      </c>
      <c r="C5729">
        <v>1102</v>
      </c>
      <c r="D5729" t="s">
        <v>304</v>
      </c>
      <c r="E5729">
        <f>YEAR(A5729)</f>
        <v>2015</v>
      </c>
      <c r="F5729" s="33">
        <f>DATE(YEAR(A5729),MONTH(A5729),1)</f>
        <v>42036.0</v>
      </c>
      <c r="G5729" t="str">
        <f>CHOOSE(WEEKDAY(A5729,2),"Mon","Tue","Wed","Thu","Fri","Sat","Sun")</f>
        <v>Thu</v>
      </c>
      <c r="H5729" t="str">
        <f>IF(WEEKDAY(A5729,2)&gt;5,"Weekend","Weekday")</f>
        <v>Weekday</v>
      </c>
      <c r="I5729" t="str">
        <f>_xlfn.IFS(B5729&lt;=5,"Night (0-5)",B5729&lt;=9,"Morning peak (6-9)",B5729&lt;=15,"Midday (10-15)",B5729&lt;=19,"Evening peak (16-19)",TRUE,"Late evening (20-23)")</f>
        <v>Night (0-5)</v>
      </c>
    </row>
    <row r="5730" spans="1:9">
      <c r="A5730" s="32">
        <v>42061</v>
      </c>
      <c r="B5730">
        <v>2</v>
      </c>
      <c r="C5730">
        <v>659</v>
      </c>
      <c r="D5730" t="s">
        <v>304</v>
      </c>
      <c r="E5730">
        <f>YEAR(A5730)</f>
        <v>2015</v>
      </c>
      <c r="F5730" s="33">
        <f>DATE(YEAR(A5730),MONTH(A5730),1)</f>
        <v>42036.0</v>
      </c>
      <c r="G5730" t="str">
        <f>CHOOSE(WEEKDAY(A5730,2),"Mon","Tue","Wed","Thu","Fri","Sat","Sun")</f>
        <v>Thu</v>
      </c>
      <c r="H5730" t="str">
        <f>IF(WEEKDAY(A5730,2)&gt;5,"Weekend","Weekday")</f>
        <v>Weekday</v>
      </c>
      <c r="I5730" t="str">
        <f>_xlfn.IFS(B5730&lt;=5,"Night (0-5)",B5730&lt;=9,"Morning peak (6-9)",B5730&lt;=15,"Midday (10-15)",B5730&lt;=19,"Evening peak (16-19)",TRUE,"Late evening (20-23)")</f>
        <v>Night (0-5)</v>
      </c>
    </row>
    <row r="5731" spans="1:9">
      <c r="A5731" s="32">
        <v>42061</v>
      </c>
      <c r="B5731">
        <v>3</v>
      </c>
      <c r="C5731">
        <v>474</v>
      </c>
      <c r="D5731" t="s">
        <v>304</v>
      </c>
      <c r="E5731">
        <f>YEAR(A5731)</f>
        <v>2015</v>
      </c>
      <c r="F5731" s="33">
        <f>DATE(YEAR(A5731),MONTH(A5731),1)</f>
        <v>42036.0</v>
      </c>
      <c r="G5731" t="str">
        <f>CHOOSE(WEEKDAY(A5731,2),"Mon","Tue","Wed","Thu","Fri","Sat","Sun")</f>
        <v>Thu</v>
      </c>
      <c r="H5731" t="str">
        <f>IF(WEEKDAY(A5731,2)&gt;5,"Weekend","Weekday")</f>
        <v>Weekday</v>
      </c>
      <c r="I5731" t="str">
        <f>_xlfn.IFS(B5731&lt;=5,"Night (0-5)",B5731&lt;=9,"Morning peak (6-9)",B5731&lt;=15,"Midday (10-15)",B5731&lt;=19,"Evening peak (16-19)",TRUE,"Late evening (20-23)")</f>
        <v>Night (0-5)</v>
      </c>
    </row>
    <row r="5732" spans="1:9">
      <c r="A5732" s="32">
        <v>42061</v>
      </c>
      <c r="B5732">
        <v>4</v>
      </c>
      <c r="C5732">
        <v>633</v>
      </c>
      <c r="D5732" t="s">
        <v>304</v>
      </c>
      <c r="E5732">
        <f>YEAR(A5732)</f>
        <v>2015</v>
      </c>
      <c r="F5732" s="33">
        <f>DATE(YEAR(A5732),MONTH(A5732),1)</f>
        <v>42036.0</v>
      </c>
      <c r="G5732" t="str">
        <f>CHOOSE(WEEKDAY(A5732,2),"Mon","Tue","Wed","Thu","Fri","Sat","Sun")</f>
        <v>Thu</v>
      </c>
      <c r="H5732" t="str">
        <f>IF(WEEKDAY(A5732,2)&gt;5,"Weekend","Weekday")</f>
        <v>Weekday</v>
      </c>
      <c r="I5732" t="str">
        <f>_xlfn.IFS(B5732&lt;=5,"Night (0-5)",B5732&lt;=9,"Morning peak (6-9)",B5732&lt;=15,"Midday (10-15)",B5732&lt;=19,"Evening peak (16-19)",TRUE,"Late evening (20-23)")</f>
        <v>Night (0-5)</v>
      </c>
    </row>
    <row r="5733" spans="1:9">
      <c r="A5733" s="32">
        <v>42061</v>
      </c>
      <c r="B5733">
        <v>5</v>
      </c>
      <c r="C5733">
        <v>1077</v>
      </c>
      <c r="D5733" t="s">
        <v>304</v>
      </c>
      <c r="E5733">
        <f>YEAR(A5733)</f>
        <v>2015</v>
      </c>
      <c r="F5733" s="33">
        <f>DATE(YEAR(A5733),MONTH(A5733),1)</f>
        <v>42036.0</v>
      </c>
      <c r="G5733" t="str">
        <f>CHOOSE(WEEKDAY(A5733,2),"Mon","Tue","Wed","Thu","Fri","Sat","Sun")</f>
        <v>Thu</v>
      </c>
      <c r="H5733" t="str">
        <f>IF(WEEKDAY(A5733,2)&gt;5,"Weekend","Weekday")</f>
        <v>Weekday</v>
      </c>
      <c r="I5733" t="str">
        <f>_xlfn.IFS(B5733&lt;=5,"Night (0-5)",B5733&lt;=9,"Morning peak (6-9)",B5733&lt;=15,"Midday (10-15)",B5733&lt;=19,"Evening peak (16-19)",TRUE,"Late evening (20-23)")</f>
        <v>Night (0-5)</v>
      </c>
    </row>
    <row r="5734" spans="1:9">
      <c r="A5734" s="32">
        <v>42061</v>
      </c>
      <c r="B5734">
        <v>6</v>
      </c>
      <c r="C5734">
        <v>1888</v>
      </c>
      <c r="D5734" t="s">
        <v>304</v>
      </c>
      <c r="E5734">
        <f>YEAR(A5734)</f>
        <v>2015</v>
      </c>
      <c r="F5734" s="33">
        <f>DATE(YEAR(A5734),MONTH(A5734),1)</f>
        <v>42036.0</v>
      </c>
      <c r="G5734" t="str">
        <f>CHOOSE(WEEKDAY(A5734,2),"Mon","Tue","Wed","Thu","Fri","Sat","Sun")</f>
        <v>Thu</v>
      </c>
      <c r="H5734" t="str">
        <f>IF(WEEKDAY(A5734,2)&gt;5,"Weekend","Weekday")</f>
        <v>Weekday</v>
      </c>
      <c r="I5734" t="str">
        <f>_xlfn.IFS(B5734&lt;=5,"Night (0-5)",B5734&lt;=9,"Morning peak (6-9)",B5734&lt;=15,"Midday (10-15)",B5734&lt;=19,"Evening peak (16-19)",TRUE,"Late evening (20-23)")</f>
        <v>Morning peak (6-9)</v>
      </c>
    </row>
    <row r="5735" spans="1:9">
      <c r="A5735" s="32">
        <v>42061</v>
      </c>
      <c r="B5735">
        <v>7</v>
      </c>
      <c r="C5735">
        <v>3501</v>
      </c>
      <c r="D5735" t="s">
        <v>304</v>
      </c>
      <c r="E5735">
        <f>YEAR(A5735)</f>
        <v>2015</v>
      </c>
      <c r="F5735" s="33">
        <f>DATE(YEAR(A5735),MONTH(A5735),1)</f>
        <v>42036.0</v>
      </c>
      <c r="G5735" t="str">
        <f>CHOOSE(WEEKDAY(A5735,2),"Mon","Tue","Wed","Thu","Fri","Sat","Sun")</f>
        <v>Thu</v>
      </c>
      <c r="H5735" t="str">
        <f>IF(WEEKDAY(A5735,2)&gt;5,"Weekend","Weekday")</f>
        <v>Weekday</v>
      </c>
      <c r="I5735" t="str">
        <f>_xlfn.IFS(B5735&lt;=5,"Night (0-5)",B5735&lt;=9,"Morning peak (6-9)",B5735&lt;=15,"Midday (10-15)",B5735&lt;=19,"Evening peak (16-19)",TRUE,"Late evening (20-23)")</f>
        <v>Morning peak (6-9)</v>
      </c>
    </row>
    <row r="5736" spans="1:9">
      <c r="A5736" s="32">
        <v>42061</v>
      </c>
      <c r="B5736">
        <v>8</v>
      </c>
      <c r="C5736">
        <v>4472</v>
      </c>
      <c r="D5736" t="s">
        <v>304</v>
      </c>
      <c r="E5736">
        <f>YEAR(A5736)</f>
        <v>2015</v>
      </c>
      <c r="F5736" s="33">
        <f>DATE(YEAR(A5736),MONTH(A5736),1)</f>
        <v>42036.0</v>
      </c>
      <c r="G5736" t="str">
        <f>CHOOSE(WEEKDAY(A5736,2),"Mon","Tue","Wed","Thu","Fri","Sat","Sun")</f>
        <v>Thu</v>
      </c>
      <c r="H5736" t="str">
        <f>IF(WEEKDAY(A5736,2)&gt;5,"Weekend","Weekday")</f>
        <v>Weekday</v>
      </c>
      <c r="I5736" t="str">
        <f>_xlfn.IFS(B5736&lt;=5,"Night (0-5)",B5736&lt;=9,"Morning peak (6-9)",B5736&lt;=15,"Midday (10-15)",B5736&lt;=19,"Evening peak (16-19)",TRUE,"Late evening (20-23)")</f>
        <v>Morning peak (6-9)</v>
      </c>
    </row>
    <row r="5737" spans="1:9">
      <c r="A5737" s="32">
        <v>42061</v>
      </c>
      <c r="B5737">
        <v>9</v>
      </c>
      <c r="C5737">
        <v>4290</v>
      </c>
      <c r="D5737" t="s">
        <v>304</v>
      </c>
      <c r="E5737">
        <f>YEAR(A5737)</f>
        <v>2015</v>
      </c>
      <c r="F5737" s="33">
        <f>DATE(YEAR(A5737),MONTH(A5737),1)</f>
        <v>42036.0</v>
      </c>
      <c r="G5737" t="str">
        <f>CHOOSE(WEEKDAY(A5737,2),"Mon","Tue","Wed","Thu","Fri","Sat","Sun")</f>
        <v>Thu</v>
      </c>
      <c r="H5737" t="str">
        <f>IF(WEEKDAY(A5737,2)&gt;5,"Weekend","Weekday")</f>
        <v>Weekday</v>
      </c>
      <c r="I5737" t="str">
        <f>_xlfn.IFS(B5737&lt;=5,"Night (0-5)",B5737&lt;=9,"Morning peak (6-9)",B5737&lt;=15,"Midday (10-15)",B5737&lt;=19,"Evening peak (16-19)",TRUE,"Late evening (20-23)")</f>
        <v>Morning peak (6-9)</v>
      </c>
    </row>
    <row r="5738" spans="1:9">
      <c r="A5738" s="32">
        <v>42061</v>
      </c>
      <c r="B5738">
        <v>10</v>
      </c>
      <c r="C5738">
        <v>3073</v>
      </c>
      <c r="D5738" t="s">
        <v>304</v>
      </c>
      <c r="E5738">
        <f>YEAR(A5738)</f>
        <v>2015</v>
      </c>
      <c r="F5738" s="33">
        <f>DATE(YEAR(A5738),MONTH(A5738),1)</f>
        <v>42036.0</v>
      </c>
      <c r="G5738" t="str">
        <f>CHOOSE(WEEKDAY(A5738,2),"Mon","Tue","Wed","Thu","Fri","Sat","Sun")</f>
        <v>Thu</v>
      </c>
      <c r="H5738" t="str">
        <f>IF(WEEKDAY(A5738,2)&gt;5,"Weekend","Weekday")</f>
        <v>Weekday</v>
      </c>
      <c r="I5738" t="str">
        <f>_xlfn.IFS(B5738&lt;=5,"Night (0-5)",B5738&lt;=9,"Morning peak (6-9)",B5738&lt;=15,"Midday (10-15)",B5738&lt;=19,"Evening peak (16-19)",TRUE,"Late evening (20-23)")</f>
        <v>Midday (10-15)</v>
      </c>
    </row>
    <row r="5739" spans="1:9">
      <c r="A5739" s="32">
        <v>42061</v>
      </c>
      <c r="B5739">
        <v>11</v>
      </c>
      <c r="C5739">
        <v>2797</v>
      </c>
      <c r="D5739" t="s">
        <v>304</v>
      </c>
      <c r="E5739">
        <f>YEAR(A5739)</f>
        <v>2015</v>
      </c>
      <c r="F5739" s="33">
        <f>DATE(YEAR(A5739),MONTH(A5739),1)</f>
        <v>42036.0</v>
      </c>
      <c r="G5739" t="str">
        <f>CHOOSE(WEEKDAY(A5739,2),"Mon","Tue","Wed","Thu","Fri","Sat","Sun")</f>
        <v>Thu</v>
      </c>
      <c r="H5739" t="str">
        <f>IF(WEEKDAY(A5739,2)&gt;5,"Weekend","Weekday")</f>
        <v>Weekday</v>
      </c>
      <c r="I5739" t="str">
        <f>_xlfn.IFS(B5739&lt;=5,"Night (0-5)",B5739&lt;=9,"Morning peak (6-9)",B5739&lt;=15,"Midday (10-15)",B5739&lt;=19,"Evening peak (16-19)",TRUE,"Late evening (20-23)")</f>
        <v>Midday (10-15)</v>
      </c>
    </row>
    <row r="5740" spans="1:9">
      <c r="A5740" s="32">
        <v>42061</v>
      </c>
      <c r="B5740">
        <v>12</v>
      </c>
      <c r="C5740">
        <v>2689</v>
      </c>
      <c r="D5740" t="s">
        <v>304</v>
      </c>
      <c r="E5740">
        <f>YEAR(A5740)</f>
        <v>2015</v>
      </c>
      <c r="F5740" s="33">
        <f>DATE(YEAR(A5740),MONTH(A5740),1)</f>
        <v>42036.0</v>
      </c>
      <c r="G5740" t="str">
        <f>CHOOSE(WEEKDAY(A5740,2),"Mon","Tue","Wed","Thu","Fri","Sat","Sun")</f>
        <v>Thu</v>
      </c>
      <c r="H5740" t="str">
        <f>IF(WEEKDAY(A5740,2)&gt;5,"Weekend","Weekday")</f>
        <v>Weekday</v>
      </c>
      <c r="I5740" t="str">
        <f>_xlfn.IFS(B5740&lt;=5,"Night (0-5)",B5740&lt;=9,"Morning peak (6-9)",B5740&lt;=15,"Midday (10-15)",B5740&lt;=19,"Evening peak (16-19)",TRUE,"Late evening (20-23)")</f>
        <v>Midday (10-15)</v>
      </c>
    </row>
    <row r="5741" spans="1:9">
      <c r="A5741" s="32">
        <v>42061</v>
      </c>
      <c r="B5741">
        <v>13</v>
      </c>
      <c r="C5741">
        <v>2899</v>
      </c>
      <c r="D5741" t="s">
        <v>304</v>
      </c>
      <c r="E5741">
        <f>YEAR(A5741)</f>
        <v>2015</v>
      </c>
      <c r="F5741" s="33">
        <f>DATE(YEAR(A5741),MONTH(A5741),1)</f>
        <v>42036.0</v>
      </c>
      <c r="G5741" t="str">
        <f>CHOOSE(WEEKDAY(A5741,2),"Mon","Tue","Wed","Thu","Fri","Sat","Sun")</f>
        <v>Thu</v>
      </c>
      <c r="H5741" t="str">
        <f>IF(WEEKDAY(A5741,2)&gt;5,"Weekend","Weekday")</f>
        <v>Weekday</v>
      </c>
      <c r="I5741" t="str">
        <f>_xlfn.IFS(B5741&lt;=5,"Night (0-5)",B5741&lt;=9,"Morning peak (6-9)",B5741&lt;=15,"Midday (10-15)",B5741&lt;=19,"Evening peak (16-19)",TRUE,"Late evening (20-23)")</f>
        <v>Midday (10-15)</v>
      </c>
    </row>
    <row r="5742" spans="1:9">
      <c r="A5742" s="32">
        <v>42061</v>
      </c>
      <c r="B5742">
        <v>14</v>
      </c>
      <c r="C5742">
        <v>3315</v>
      </c>
      <c r="D5742" t="s">
        <v>304</v>
      </c>
      <c r="E5742">
        <f>YEAR(A5742)</f>
        <v>2015</v>
      </c>
      <c r="F5742" s="33">
        <f>DATE(YEAR(A5742),MONTH(A5742),1)</f>
        <v>42036.0</v>
      </c>
      <c r="G5742" t="str">
        <f>CHOOSE(WEEKDAY(A5742,2),"Mon","Tue","Wed","Thu","Fri","Sat","Sun")</f>
        <v>Thu</v>
      </c>
      <c r="H5742" t="str">
        <f>IF(WEEKDAY(A5742,2)&gt;5,"Weekend","Weekday")</f>
        <v>Weekday</v>
      </c>
      <c r="I5742" t="str">
        <f>_xlfn.IFS(B5742&lt;=5,"Night (0-5)",B5742&lt;=9,"Morning peak (6-9)",B5742&lt;=15,"Midday (10-15)",B5742&lt;=19,"Evening peak (16-19)",TRUE,"Late evening (20-23)")</f>
        <v>Midday (10-15)</v>
      </c>
    </row>
    <row r="5743" spans="1:9">
      <c r="A5743" s="32">
        <v>42061</v>
      </c>
      <c r="B5743">
        <v>15</v>
      </c>
      <c r="C5743">
        <v>3759</v>
      </c>
      <c r="D5743" t="s">
        <v>304</v>
      </c>
      <c r="E5743">
        <f>YEAR(A5743)</f>
        <v>2015</v>
      </c>
      <c r="F5743" s="33">
        <f>DATE(YEAR(A5743),MONTH(A5743),1)</f>
        <v>42036.0</v>
      </c>
      <c r="G5743" t="str">
        <f>CHOOSE(WEEKDAY(A5743,2),"Mon","Tue","Wed","Thu","Fri","Sat","Sun")</f>
        <v>Thu</v>
      </c>
      <c r="H5743" t="str">
        <f>IF(WEEKDAY(A5743,2)&gt;5,"Weekend","Weekday")</f>
        <v>Weekday</v>
      </c>
      <c r="I5743" t="str">
        <f>_xlfn.IFS(B5743&lt;=5,"Night (0-5)",B5743&lt;=9,"Morning peak (6-9)",B5743&lt;=15,"Midday (10-15)",B5743&lt;=19,"Evening peak (16-19)",TRUE,"Late evening (20-23)")</f>
        <v>Midday (10-15)</v>
      </c>
    </row>
    <row r="5744" spans="1:9">
      <c r="A5744" s="32">
        <v>42061</v>
      </c>
      <c r="B5744">
        <v>16</v>
      </c>
      <c r="C5744">
        <v>4393</v>
      </c>
      <c r="D5744" t="s">
        <v>304</v>
      </c>
      <c r="E5744">
        <f>YEAR(A5744)</f>
        <v>2015</v>
      </c>
      <c r="F5744" s="33">
        <f>DATE(YEAR(A5744),MONTH(A5744),1)</f>
        <v>42036.0</v>
      </c>
      <c r="G5744" t="str">
        <f>CHOOSE(WEEKDAY(A5744,2),"Mon","Tue","Wed","Thu","Fri","Sat","Sun")</f>
        <v>Thu</v>
      </c>
      <c r="H5744" t="str">
        <f>IF(WEEKDAY(A5744,2)&gt;5,"Weekend","Weekday")</f>
        <v>Weekday</v>
      </c>
      <c r="I5744" t="str">
        <f>_xlfn.IFS(B5744&lt;=5,"Night (0-5)",B5744&lt;=9,"Morning peak (6-9)",B5744&lt;=15,"Midday (10-15)",B5744&lt;=19,"Evening peak (16-19)",TRUE,"Late evening (20-23)")</f>
        <v>Evening peak (16-19)</v>
      </c>
    </row>
    <row r="5745" spans="1:9">
      <c r="A5745" s="32">
        <v>42061</v>
      </c>
      <c r="B5745">
        <v>17</v>
      </c>
      <c r="C5745">
        <v>5395</v>
      </c>
      <c r="D5745" t="s">
        <v>304</v>
      </c>
      <c r="E5745">
        <f>YEAR(A5745)</f>
        <v>2015</v>
      </c>
      <c r="F5745" s="33">
        <f>DATE(YEAR(A5745),MONTH(A5745),1)</f>
        <v>42036.0</v>
      </c>
      <c r="G5745" t="str">
        <f>CHOOSE(WEEKDAY(A5745,2),"Mon","Tue","Wed","Thu","Fri","Sat","Sun")</f>
        <v>Thu</v>
      </c>
      <c r="H5745" t="str">
        <f>IF(WEEKDAY(A5745,2)&gt;5,"Weekend","Weekday")</f>
        <v>Weekday</v>
      </c>
      <c r="I5745" t="str">
        <f>_xlfn.IFS(B5745&lt;=5,"Night (0-5)",B5745&lt;=9,"Morning peak (6-9)",B5745&lt;=15,"Midday (10-15)",B5745&lt;=19,"Evening peak (16-19)",TRUE,"Late evening (20-23)")</f>
        <v>Evening peak (16-19)</v>
      </c>
    </row>
    <row r="5746" spans="1:9">
      <c r="A5746" s="32">
        <v>42061</v>
      </c>
      <c r="B5746">
        <v>18</v>
      </c>
      <c r="C5746">
        <v>6558</v>
      </c>
      <c r="D5746" t="s">
        <v>304</v>
      </c>
      <c r="E5746">
        <f>YEAR(A5746)</f>
        <v>2015</v>
      </c>
      <c r="F5746" s="33">
        <f>DATE(YEAR(A5746),MONTH(A5746),1)</f>
        <v>42036.0</v>
      </c>
      <c r="G5746" t="str">
        <f>CHOOSE(WEEKDAY(A5746,2),"Mon","Tue","Wed","Thu","Fri","Sat","Sun")</f>
        <v>Thu</v>
      </c>
      <c r="H5746" t="str">
        <f>IF(WEEKDAY(A5746,2)&gt;5,"Weekend","Weekday")</f>
        <v>Weekday</v>
      </c>
      <c r="I5746" t="str">
        <f>_xlfn.IFS(B5746&lt;=5,"Night (0-5)",B5746&lt;=9,"Morning peak (6-9)",B5746&lt;=15,"Midday (10-15)",B5746&lt;=19,"Evening peak (16-19)",TRUE,"Late evening (20-23)")</f>
        <v>Evening peak (16-19)</v>
      </c>
    </row>
    <row r="5747" spans="1:9">
      <c r="A5747" s="32">
        <v>42061</v>
      </c>
      <c r="B5747">
        <v>19</v>
      </c>
      <c r="C5747">
        <v>6625</v>
      </c>
      <c r="D5747" t="s">
        <v>304</v>
      </c>
      <c r="E5747">
        <f>YEAR(A5747)</f>
        <v>2015</v>
      </c>
      <c r="F5747" s="33">
        <f>DATE(YEAR(A5747),MONTH(A5747),1)</f>
        <v>42036.0</v>
      </c>
      <c r="G5747" t="str">
        <f>CHOOSE(WEEKDAY(A5747,2),"Mon","Tue","Wed","Thu","Fri","Sat","Sun")</f>
        <v>Thu</v>
      </c>
      <c r="H5747" t="str">
        <f>IF(WEEKDAY(A5747,2)&gt;5,"Weekend","Weekday")</f>
        <v>Weekday</v>
      </c>
      <c r="I5747" t="str">
        <f>_xlfn.IFS(B5747&lt;=5,"Night (0-5)",B5747&lt;=9,"Morning peak (6-9)",B5747&lt;=15,"Midday (10-15)",B5747&lt;=19,"Evening peak (16-19)",TRUE,"Late evening (20-23)")</f>
        <v>Evening peak (16-19)</v>
      </c>
    </row>
    <row r="5748" spans="1:9">
      <c r="A5748" s="32">
        <v>42061</v>
      </c>
      <c r="B5748">
        <v>20</v>
      </c>
      <c r="C5748">
        <v>6475</v>
      </c>
      <c r="D5748" t="s">
        <v>304</v>
      </c>
      <c r="E5748">
        <f>YEAR(A5748)</f>
        <v>2015</v>
      </c>
      <c r="F5748" s="33">
        <f>DATE(YEAR(A5748),MONTH(A5748),1)</f>
        <v>42036.0</v>
      </c>
      <c r="G5748" t="str">
        <f>CHOOSE(WEEKDAY(A5748,2),"Mon","Tue","Wed","Thu","Fri","Sat","Sun")</f>
        <v>Thu</v>
      </c>
      <c r="H5748" t="str">
        <f>IF(WEEKDAY(A5748,2)&gt;5,"Weekend","Weekday")</f>
        <v>Weekday</v>
      </c>
      <c r="I5748" t="str">
        <f>_xlfn.IFS(B5748&lt;=5,"Night (0-5)",B5748&lt;=9,"Morning peak (6-9)",B5748&lt;=15,"Midday (10-15)",B5748&lt;=19,"Evening peak (16-19)",TRUE,"Late evening (20-23)")</f>
        <v>Late evening (20-23)</v>
      </c>
    </row>
    <row r="5749" spans="1:9">
      <c r="A5749" s="32">
        <v>42061</v>
      </c>
      <c r="B5749">
        <v>21</v>
      </c>
      <c r="C5749">
        <v>6192</v>
      </c>
      <c r="D5749" t="s">
        <v>304</v>
      </c>
      <c r="E5749">
        <f>YEAR(A5749)</f>
        <v>2015</v>
      </c>
      <c r="F5749" s="33">
        <f>DATE(YEAR(A5749),MONTH(A5749),1)</f>
        <v>42036.0</v>
      </c>
      <c r="G5749" t="str">
        <f>CHOOSE(WEEKDAY(A5749,2),"Mon","Tue","Wed","Thu","Fri","Sat","Sun")</f>
        <v>Thu</v>
      </c>
      <c r="H5749" t="str">
        <f>IF(WEEKDAY(A5749,2)&gt;5,"Weekend","Weekday")</f>
        <v>Weekday</v>
      </c>
      <c r="I5749" t="str">
        <f>_xlfn.IFS(B5749&lt;=5,"Night (0-5)",B5749&lt;=9,"Morning peak (6-9)",B5749&lt;=15,"Midday (10-15)",B5749&lt;=19,"Evening peak (16-19)",TRUE,"Late evening (20-23)")</f>
        <v>Late evening (20-23)</v>
      </c>
    </row>
    <row r="5750" spans="1:9">
      <c r="A5750" s="32">
        <v>42061</v>
      </c>
      <c r="B5750">
        <v>22</v>
      </c>
      <c r="C5750">
        <v>5873</v>
      </c>
      <c r="D5750" t="s">
        <v>304</v>
      </c>
      <c r="E5750">
        <f>YEAR(A5750)</f>
        <v>2015</v>
      </c>
      <c r="F5750" s="33">
        <f>DATE(YEAR(A5750),MONTH(A5750),1)</f>
        <v>42036.0</v>
      </c>
      <c r="G5750" t="str">
        <f>CHOOSE(WEEKDAY(A5750,2),"Mon","Tue","Wed","Thu","Fri","Sat","Sun")</f>
        <v>Thu</v>
      </c>
      <c r="H5750" t="str">
        <f>IF(WEEKDAY(A5750,2)&gt;5,"Weekend","Weekday")</f>
        <v>Weekday</v>
      </c>
      <c r="I5750" t="str">
        <f>_xlfn.IFS(B5750&lt;=5,"Night (0-5)",B5750&lt;=9,"Morning peak (6-9)",B5750&lt;=15,"Midday (10-15)",B5750&lt;=19,"Evening peak (16-19)",TRUE,"Late evening (20-23)")</f>
        <v>Late evening (20-23)</v>
      </c>
    </row>
    <row r="5751" spans="1:9">
      <c r="A5751" s="32">
        <v>42061</v>
      </c>
      <c r="B5751">
        <v>23</v>
      </c>
      <c r="C5751">
        <v>4636</v>
      </c>
      <c r="D5751" t="s">
        <v>304</v>
      </c>
      <c r="E5751">
        <f>YEAR(A5751)</f>
        <v>2015</v>
      </c>
      <c r="F5751" s="33">
        <f>DATE(YEAR(A5751),MONTH(A5751),1)</f>
        <v>42036.0</v>
      </c>
      <c r="G5751" t="str">
        <f>CHOOSE(WEEKDAY(A5751,2),"Mon","Tue","Wed","Thu","Fri","Sat","Sun")</f>
        <v>Thu</v>
      </c>
      <c r="H5751" t="str">
        <f>IF(WEEKDAY(A5751,2)&gt;5,"Weekend","Weekday")</f>
        <v>Weekday</v>
      </c>
      <c r="I5751" t="str">
        <f>_xlfn.IFS(B5751&lt;=5,"Night (0-5)",B5751&lt;=9,"Morning peak (6-9)",B5751&lt;=15,"Midday (10-15)",B5751&lt;=19,"Evening peak (16-19)",TRUE,"Late evening (20-23)")</f>
        <v>Late evening (20-23)</v>
      </c>
    </row>
    <row r="5752" spans="1:9">
      <c r="A5752" s="32">
        <v>42062</v>
      </c>
      <c r="B5752">
        <v>0</v>
      </c>
      <c r="C5752">
        <v>2991</v>
      </c>
      <c r="D5752" t="s">
        <v>304</v>
      </c>
      <c r="E5752">
        <f>YEAR(A5752)</f>
        <v>2015</v>
      </c>
      <c r="F5752" s="33">
        <f>DATE(YEAR(A5752),MONTH(A5752),1)</f>
        <v>42036.0</v>
      </c>
      <c r="G5752" t="str">
        <f>CHOOSE(WEEKDAY(A5752,2),"Mon","Tue","Wed","Thu","Fri","Sat","Sun")</f>
        <v>Fri</v>
      </c>
      <c r="H5752" t="str">
        <f>IF(WEEKDAY(A5752,2)&gt;5,"Weekend","Weekday")</f>
        <v>Weekday</v>
      </c>
      <c r="I5752" t="str">
        <f>_xlfn.IFS(B5752&lt;=5,"Night (0-5)",B5752&lt;=9,"Morning peak (6-9)",B5752&lt;=15,"Midday (10-15)",B5752&lt;=19,"Evening peak (16-19)",TRUE,"Late evening (20-23)")</f>
        <v>Night (0-5)</v>
      </c>
    </row>
    <row r="5753" spans="1:9">
      <c r="A5753" s="32">
        <v>42062</v>
      </c>
      <c r="B5753">
        <v>1</v>
      </c>
      <c r="C5753">
        <v>1534</v>
      </c>
      <c r="D5753" t="s">
        <v>304</v>
      </c>
      <c r="E5753">
        <f>YEAR(A5753)</f>
        <v>2015</v>
      </c>
      <c r="F5753" s="33">
        <f>DATE(YEAR(A5753),MONTH(A5753),1)</f>
        <v>42036.0</v>
      </c>
      <c r="G5753" t="str">
        <f>CHOOSE(WEEKDAY(A5753,2),"Mon","Tue","Wed","Thu","Fri","Sat","Sun")</f>
        <v>Fri</v>
      </c>
      <c r="H5753" t="str">
        <f>IF(WEEKDAY(A5753,2)&gt;5,"Weekend","Weekday")</f>
        <v>Weekday</v>
      </c>
      <c r="I5753" t="str">
        <f>_xlfn.IFS(B5753&lt;=5,"Night (0-5)",B5753&lt;=9,"Morning peak (6-9)",B5753&lt;=15,"Midday (10-15)",B5753&lt;=19,"Evening peak (16-19)",TRUE,"Late evening (20-23)")</f>
        <v>Night (0-5)</v>
      </c>
    </row>
    <row r="5754" spans="1:9">
      <c r="A5754" s="32">
        <v>42062</v>
      </c>
      <c r="B5754">
        <v>2</v>
      </c>
      <c r="C5754">
        <v>967</v>
      </c>
      <c r="D5754" t="s">
        <v>304</v>
      </c>
      <c r="E5754">
        <f>YEAR(A5754)</f>
        <v>2015</v>
      </c>
      <c r="F5754" s="33">
        <f>DATE(YEAR(A5754),MONTH(A5754),1)</f>
        <v>42036.0</v>
      </c>
      <c r="G5754" t="str">
        <f>CHOOSE(WEEKDAY(A5754,2),"Mon","Tue","Wed","Thu","Fri","Sat","Sun")</f>
        <v>Fri</v>
      </c>
      <c r="H5754" t="str">
        <f>IF(WEEKDAY(A5754,2)&gt;5,"Weekend","Weekday")</f>
        <v>Weekday</v>
      </c>
      <c r="I5754" t="str">
        <f>_xlfn.IFS(B5754&lt;=5,"Night (0-5)",B5754&lt;=9,"Morning peak (6-9)",B5754&lt;=15,"Midday (10-15)",B5754&lt;=19,"Evening peak (16-19)",TRUE,"Late evening (20-23)")</f>
        <v>Night (0-5)</v>
      </c>
    </row>
    <row r="5755" spans="1:9">
      <c r="A5755" s="32">
        <v>42062</v>
      </c>
      <c r="B5755">
        <v>3</v>
      </c>
      <c r="C5755">
        <v>675</v>
      </c>
      <c r="D5755" t="s">
        <v>304</v>
      </c>
      <c r="E5755">
        <f>YEAR(A5755)</f>
        <v>2015</v>
      </c>
      <c r="F5755" s="33">
        <f>DATE(YEAR(A5755),MONTH(A5755),1)</f>
        <v>42036.0</v>
      </c>
      <c r="G5755" t="str">
        <f>CHOOSE(WEEKDAY(A5755,2),"Mon","Tue","Wed","Thu","Fri","Sat","Sun")</f>
        <v>Fri</v>
      </c>
      <c r="H5755" t="str">
        <f>IF(WEEKDAY(A5755,2)&gt;5,"Weekend","Weekday")</f>
        <v>Weekday</v>
      </c>
      <c r="I5755" t="str">
        <f>_xlfn.IFS(B5755&lt;=5,"Night (0-5)",B5755&lt;=9,"Morning peak (6-9)",B5755&lt;=15,"Midday (10-15)",B5755&lt;=19,"Evening peak (16-19)",TRUE,"Late evening (20-23)")</f>
        <v>Night (0-5)</v>
      </c>
    </row>
    <row r="5756" spans="1:9">
      <c r="A5756" s="32">
        <v>42062</v>
      </c>
      <c r="B5756">
        <v>4</v>
      </c>
      <c r="C5756">
        <v>870</v>
      </c>
      <c r="D5756" t="s">
        <v>304</v>
      </c>
      <c r="E5756">
        <f>YEAR(A5756)</f>
        <v>2015</v>
      </c>
      <c r="F5756" s="33">
        <f>DATE(YEAR(A5756),MONTH(A5756),1)</f>
        <v>42036.0</v>
      </c>
      <c r="G5756" t="str">
        <f>CHOOSE(WEEKDAY(A5756,2),"Mon","Tue","Wed","Thu","Fri","Sat","Sun")</f>
        <v>Fri</v>
      </c>
      <c r="H5756" t="str">
        <f>IF(WEEKDAY(A5756,2)&gt;5,"Weekend","Weekday")</f>
        <v>Weekday</v>
      </c>
      <c r="I5756" t="str">
        <f>_xlfn.IFS(B5756&lt;=5,"Night (0-5)",B5756&lt;=9,"Morning peak (6-9)",B5756&lt;=15,"Midday (10-15)",B5756&lt;=19,"Evening peak (16-19)",TRUE,"Late evening (20-23)")</f>
        <v>Night (0-5)</v>
      </c>
    </row>
    <row r="5757" spans="1:9">
      <c r="A5757" s="32">
        <v>42062</v>
      </c>
      <c r="B5757">
        <v>5</v>
      </c>
      <c r="C5757">
        <v>1091</v>
      </c>
      <c r="D5757" t="s">
        <v>304</v>
      </c>
      <c r="E5757">
        <f>YEAR(A5757)</f>
        <v>2015</v>
      </c>
      <c r="F5757" s="33">
        <f>DATE(YEAR(A5757),MONTH(A5757),1)</f>
        <v>42036.0</v>
      </c>
      <c r="G5757" t="str">
        <f>CHOOSE(WEEKDAY(A5757,2),"Mon","Tue","Wed","Thu","Fri","Sat","Sun")</f>
        <v>Fri</v>
      </c>
      <c r="H5757" t="str">
        <f>IF(WEEKDAY(A5757,2)&gt;5,"Weekend","Weekday")</f>
        <v>Weekday</v>
      </c>
      <c r="I5757" t="str">
        <f>_xlfn.IFS(B5757&lt;=5,"Night (0-5)",B5757&lt;=9,"Morning peak (6-9)",B5757&lt;=15,"Midday (10-15)",B5757&lt;=19,"Evening peak (16-19)",TRUE,"Late evening (20-23)")</f>
        <v>Night (0-5)</v>
      </c>
    </row>
    <row r="5758" spans="1:9">
      <c r="A5758" s="32">
        <v>42062</v>
      </c>
      <c r="B5758">
        <v>6</v>
      </c>
      <c r="C5758">
        <v>1855</v>
      </c>
      <c r="D5758" t="s">
        <v>304</v>
      </c>
      <c r="E5758">
        <f>YEAR(A5758)</f>
        <v>2015</v>
      </c>
      <c r="F5758" s="33">
        <f>DATE(YEAR(A5758),MONTH(A5758),1)</f>
        <v>42036.0</v>
      </c>
      <c r="G5758" t="str">
        <f>CHOOSE(WEEKDAY(A5758,2),"Mon","Tue","Wed","Thu","Fri","Sat","Sun")</f>
        <v>Fri</v>
      </c>
      <c r="H5758" t="str">
        <f>IF(WEEKDAY(A5758,2)&gt;5,"Weekend","Weekday")</f>
        <v>Weekday</v>
      </c>
      <c r="I5758" t="str">
        <f>_xlfn.IFS(B5758&lt;=5,"Night (0-5)",B5758&lt;=9,"Morning peak (6-9)",B5758&lt;=15,"Midday (10-15)",B5758&lt;=19,"Evening peak (16-19)",TRUE,"Late evening (20-23)")</f>
        <v>Morning peak (6-9)</v>
      </c>
    </row>
    <row r="5759" spans="1:9">
      <c r="A5759" s="32">
        <v>42062</v>
      </c>
      <c r="B5759">
        <v>7</v>
      </c>
      <c r="C5759">
        <v>3243</v>
      </c>
      <c r="D5759" t="s">
        <v>304</v>
      </c>
      <c r="E5759">
        <f>YEAR(A5759)</f>
        <v>2015</v>
      </c>
      <c r="F5759" s="33">
        <f>DATE(YEAR(A5759),MONTH(A5759),1)</f>
        <v>42036.0</v>
      </c>
      <c r="G5759" t="str">
        <f>CHOOSE(WEEKDAY(A5759,2),"Mon","Tue","Wed","Thu","Fri","Sat","Sun")</f>
        <v>Fri</v>
      </c>
      <c r="H5759" t="str">
        <f>IF(WEEKDAY(A5759,2)&gt;5,"Weekend","Weekday")</f>
        <v>Weekday</v>
      </c>
      <c r="I5759" t="str">
        <f>_xlfn.IFS(B5759&lt;=5,"Night (0-5)",B5759&lt;=9,"Morning peak (6-9)",B5759&lt;=15,"Midday (10-15)",B5759&lt;=19,"Evening peak (16-19)",TRUE,"Late evening (20-23)")</f>
        <v>Morning peak (6-9)</v>
      </c>
    </row>
    <row r="5760" spans="1:9">
      <c r="A5760" s="32">
        <v>42062</v>
      </c>
      <c r="B5760">
        <v>8</v>
      </c>
      <c r="C5760">
        <v>4104</v>
      </c>
      <c r="D5760" t="s">
        <v>304</v>
      </c>
      <c r="E5760">
        <f>YEAR(A5760)</f>
        <v>2015</v>
      </c>
      <c r="F5760" s="33">
        <f>DATE(YEAR(A5760),MONTH(A5760),1)</f>
        <v>42036.0</v>
      </c>
      <c r="G5760" t="str">
        <f>CHOOSE(WEEKDAY(A5760,2),"Mon","Tue","Wed","Thu","Fri","Sat","Sun")</f>
        <v>Fri</v>
      </c>
      <c r="H5760" t="str">
        <f>IF(WEEKDAY(A5760,2)&gt;5,"Weekend","Weekday")</f>
        <v>Weekday</v>
      </c>
      <c r="I5760" t="str">
        <f>_xlfn.IFS(B5760&lt;=5,"Night (0-5)",B5760&lt;=9,"Morning peak (6-9)",B5760&lt;=15,"Midday (10-15)",B5760&lt;=19,"Evening peak (16-19)",TRUE,"Late evening (20-23)")</f>
        <v>Morning peak (6-9)</v>
      </c>
    </row>
    <row r="5761" spans="1:9">
      <c r="A5761" s="32">
        <v>42062</v>
      </c>
      <c r="B5761">
        <v>9</v>
      </c>
      <c r="C5761">
        <v>3970</v>
      </c>
      <c r="D5761" t="s">
        <v>304</v>
      </c>
      <c r="E5761">
        <f>YEAR(A5761)</f>
        <v>2015</v>
      </c>
      <c r="F5761" s="33">
        <f>DATE(YEAR(A5761),MONTH(A5761),1)</f>
        <v>42036.0</v>
      </c>
      <c r="G5761" t="str">
        <f>CHOOSE(WEEKDAY(A5761,2),"Mon","Tue","Wed","Thu","Fri","Sat","Sun")</f>
        <v>Fri</v>
      </c>
      <c r="H5761" t="str">
        <f>IF(WEEKDAY(A5761,2)&gt;5,"Weekend","Weekday")</f>
        <v>Weekday</v>
      </c>
      <c r="I5761" t="str">
        <f>_xlfn.IFS(B5761&lt;=5,"Night (0-5)",B5761&lt;=9,"Morning peak (6-9)",B5761&lt;=15,"Midday (10-15)",B5761&lt;=19,"Evening peak (16-19)",TRUE,"Late evening (20-23)")</f>
        <v>Morning peak (6-9)</v>
      </c>
    </row>
    <row r="5762" spans="1:9">
      <c r="A5762" s="32">
        <v>42062</v>
      </c>
      <c r="B5762">
        <v>10</v>
      </c>
      <c r="C5762">
        <v>2915</v>
      </c>
      <c r="D5762" t="s">
        <v>304</v>
      </c>
      <c r="E5762">
        <f>YEAR(A5762)</f>
        <v>2015</v>
      </c>
      <c r="F5762" s="33">
        <f>DATE(YEAR(A5762),MONTH(A5762),1)</f>
        <v>42036.0</v>
      </c>
      <c r="G5762" t="str">
        <f>CHOOSE(WEEKDAY(A5762,2),"Mon","Tue","Wed","Thu","Fri","Sat","Sun")</f>
        <v>Fri</v>
      </c>
      <c r="H5762" t="str">
        <f>IF(WEEKDAY(A5762,2)&gt;5,"Weekend","Weekday")</f>
        <v>Weekday</v>
      </c>
      <c r="I5762" t="str">
        <f>_xlfn.IFS(B5762&lt;=5,"Night (0-5)",B5762&lt;=9,"Morning peak (6-9)",B5762&lt;=15,"Midday (10-15)",B5762&lt;=19,"Evening peak (16-19)",TRUE,"Late evening (20-23)")</f>
        <v>Midday (10-15)</v>
      </c>
    </row>
    <row r="5763" spans="1:9">
      <c r="A5763" s="32">
        <v>42062</v>
      </c>
      <c r="B5763">
        <v>11</v>
      </c>
      <c r="C5763">
        <v>2739</v>
      </c>
      <c r="D5763" t="s">
        <v>304</v>
      </c>
      <c r="E5763">
        <f>YEAR(A5763)</f>
        <v>2015</v>
      </c>
      <c r="F5763" s="33">
        <f>DATE(YEAR(A5763),MONTH(A5763),1)</f>
        <v>42036.0</v>
      </c>
      <c r="G5763" t="str">
        <f>CHOOSE(WEEKDAY(A5763,2),"Mon","Tue","Wed","Thu","Fri","Sat","Sun")</f>
        <v>Fri</v>
      </c>
      <c r="H5763" t="str">
        <f>IF(WEEKDAY(A5763,2)&gt;5,"Weekend","Weekday")</f>
        <v>Weekday</v>
      </c>
      <c r="I5763" t="str">
        <f>_xlfn.IFS(B5763&lt;=5,"Night (0-5)",B5763&lt;=9,"Morning peak (6-9)",B5763&lt;=15,"Midday (10-15)",B5763&lt;=19,"Evening peak (16-19)",TRUE,"Late evening (20-23)")</f>
        <v>Midday (10-15)</v>
      </c>
    </row>
    <row r="5764" spans="1:9">
      <c r="A5764" s="32">
        <v>42062</v>
      </c>
      <c r="B5764">
        <v>12</v>
      </c>
      <c r="C5764">
        <v>2719</v>
      </c>
      <c r="D5764" t="s">
        <v>304</v>
      </c>
      <c r="E5764">
        <f>YEAR(A5764)</f>
        <v>2015</v>
      </c>
      <c r="F5764" s="33">
        <f>DATE(YEAR(A5764),MONTH(A5764),1)</f>
        <v>42036.0</v>
      </c>
      <c r="G5764" t="str">
        <f>CHOOSE(WEEKDAY(A5764,2),"Mon","Tue","Wed","Thu","Fri","Sat","Sun")</f>
        <v>Fri</v>
      </c>
      <c r="H5764" t="str">
        <f>IF(WEEKDAY(A5764,2)&gt;5,"Weekend","Weekday")</f>
        <v>Weekday</v>
      </c>
      <c r="I5764" t="str">
        <f>_xlfn.IFS(B5764&lt;=5,"Night (0-5)",B5764&lt;=9,"Morning peak (6-9)",B5764&lt;=15,"Midday (10-15)",B5764&lt;=19,"Evening peak (16-19)",TRUE,"Late evening (20-23)")</f>
        <v>Midday (10-15)</v>
      </c>
    </row>
    <row r="5765" spans="1:9">
      <c r="A5765" s="32">
        <v>42062</v>
      </c>
      <c r="B5765">
        <v>13</v>
      </c>
      <c r="C5765">
        <v>2806</v>
      </c>
      <c r="D5765" t="s">
        <v>304</v>
      </c>
      <c r="E5765">
        <f>YEAR(A5765)</f>
        <v>2015</v>
      </c>
      <c r="F5765" s="33">
        <f>DATE(YEAR(A5765),MONTH(A5765),1)</f>
        <v>42036.0</v>
      </c>
      <c r="G5765" t="str">
        <f>CHOOSE(WEEKDAY(A5765,2),"Mon","Tue","Wed","Thu","Fri","Sat","Sun")</f>
        <v>Fri</v>
      </c>
      <c r="H5765" t="str">
        <f>IF(WEEKDAY(A5765,2)&gt;5,"Weekend","Weekday")</f>
        <v>Weekday</v>
      </c>
      <c r="I5765" t="str">
        <f>_xlfn.IFS(B5765&lt;=5,"Night (0-5)",B5765&lt;=9,"Morning peak (6-9)",B5765&lt;=15,"Midday (10-15)",B5765&lt;=19,"Evening peak (16-19)",TRUE,"Late evening (20-23)")</f>
        <v>Midday (10-15)</v>
      </c>
    </row>
    <row r="5766" spans="1:9">
      <c r="A5766" s="32">
        <v>42062</v>
      </c>
      <c r="B5766">
        <v>14</v>
      </c>
      <c r="C5766">
        <v>3224</v>
      </c>
      <c r="D5766" t="s">
        <v>304</v>
      </c>
      <c r="E5766">
        <f>YEAR(A5766)</f>
        <v>2015</v>
      </c>
      <c r="F5766" s="33">
        <f>DATE(YEAR(A5766),MONTH(A5766),1)</f>
        <v>42036.0</v>
      </c>
      <c r="G5766" t="str">
        <f>CHOOSE(WEEKDAY(A5766,2),"Mon","Tue","Wed","Thu","Fri","Sat","Sun")</f>
        <v>Fri</v>
      </c>
      <c r="H5766" t="str">
        <f>IF(WEEKDAY(A5766,2)&gt;5,"Weekend","Weekday")</f>
        <v>Weekday</v>
      </c>
      <c r="I5766" t="str">
        <f>_xlfn.IFS(B5766&lt;=5,"Night (0-5)",B5766&lt;=9,"Morning peak (6-9)",B5766&lt;=15,"Midday (10-15)",B5766&lt;=19,"Evening peak (16-19)",TRUE,"Late evening (20-23)")</f>
        <v>Midday (10-15)</v>
      </c>
    </row>
    <row r="5767" spans="1:9">
      <c r="A5767" s="32">
        <v>42062</v>
      </c>
      <c r="B5767">
        <v>15</v>
      </c>
      <c r="C5767">
        <v>3703</v>
      </c>
      <c r="D5767" t="s">
        <v>304</v>
      </c>
      <c r="E5767">
        <f>YEAR(A5767)</f>
        <v>2015</v>
      </c>
      <c r="F5767" s="33">
        <f>DATE(YEAR(A5767),MONTH(A5767),1)</f>
        <v>42036.0</v>
      </c>
      <c r="G5767" t="str">
        <f>CHOOSE(WEEKDAY(A5767,2),"Mon","Tue","Wed","Thu","Fri","Sat","Sun")</f>
        <v>Fri</v>
      </c>
      <c r="H5767" t="str">
        <f>IF(WEEKDAY(A5767,2)&gt;5,"Weekend","Weekday")</f>
        <v>Weekday</v>
      </c>
      <c r="I5767" t="str">
        <f>_xlfn.IFS(B5767&lt;=5,"Night (0-5)",B5767&lt;=9,"Morning peak (6-9)",B5767&lt;=15,"Midday (10-15)",B5767&lt;=19,"Evening peak (16-19)",TRUE,"Late evening (20-23)")</f>
        <v>Midday (10-15)</v>
      </c>
    </row>
    <row r="5768" spans="1:9">
      <c r="A5768" s="32">
        <v>42062</v>
      </c>
      <c r="B5768">
        <v>16</v>
      </c>
      <c r="C5768">
        <v>4465</v>
      </c>
      <c r="D5768" t="s">
        <v>304</v>
      </c>
      <c r="E5768">
        <f>YEAR(A5768)</f>
        <v>2015</v>
      </c>
      <c r="F5768" s="33">
        <f>DATE(YEAR(A5768),MONTH(A5768),1)</f>
        <v>42036.0</v>
      </c>
      <c r="G5768" t="str">
        <f>CHOOSE(WEEKDAY(A5768,2),"Mon","Tue","Wed","Thu","Fri","Sat","Sun")</f>
        <v>Fri</v>
      </c>
      <c r="H5768" t="str">
        <f>IF(WEEKDAY(A5768,2)&gt;5,"Weekend","Weekday")</f>
        <v>Weekday</v>
      </c>
      <c r="I5768" t="str">
        <f>_xlfn.IFS(B5768&lt;=5,"Night (0-5)",B5768&lt;=9,"Morning peak (6-9)",B5768&lt;=15,"Midday (10-15)",B5768&lt;=19,"Evening peak (16-19)",TRUE,"Late evening (20-23)")</f>
        <v>Evening peak (16-19)</v>
      </c>
    </row>
    <row r="5769" spans="1:9">
      <c r="A5769" s="32">
        <v>42062</v>
      </c>
      <c r="B5769">
        <v>17</v>
      </c>
      <c r="C5769">
        <v>5289</v>
      </c>
      <c r="D5769" t="s">
        <v>304</v>
      </c>
      <c r="E5769">
        <f>YEAR(A5769)</f>
        <v>2015</v>
      </c>
      <c r="F5769" s="33">
        <f>DATE(YEAR(A5769),MONTH(A5769),1)</f>
        <v>42036.0</v>
      </c>
      <c r="G5769" t="str">
        <f>CHOOSE(WEEKDAY(A5769,2),"Mon","Tue","Wed","Thu","Fri","Sat","Sun")</f>
        <v>Fri</v>
      </c>
      <c r="H5769" t="str">
        <f>IF(WEEKDAY(A5769,2)&gt;5,"Weekend","Weekday")</f>
        <v>Weekday</v>
      </c>
      <c r="I5769" t="str">
        <f>_xlfn.IFS(B5769&lt;=5,"Night (0-5)",B5769&lt;=9,"Morning peak (6-9)",B5769&lt;=15,"Midday (10-15)",B5769&lt;=19,"Evening peak (16-19)",TRUE,"Late evening (20-23)")</f>
        <v>Evening peak (16-19)</v>
      </c>
    </row>
    <row r="5770" spans="1:9">
      <c r="A5770" s="32">
        <v>42062</v>
      </c>
      <c r="B5770">
        <v>18</v>
      </c>
      <c r="C5770">
        <v>6532</v>
      </c>
      <c r="D5770" t="s">
        <v>304</v>
      </c>
      <c r="E5770">
        <f>YEAR(A5770)</f>
        <v>2015</v>
      </c>
      <c r="F5770" s="33">
        <f>DATE(YEAR(A5770),MONTH(A5770),1)</f>
        <v>42036.0</v>
      </c>
      <c r="G5770" t="str">
        <f>CHOOSE(WEEKDAY(A5770,2),"Mon","Tue","Wed","Thu","Fri","Sat","Sun")</f>
        <v>Fri</v>
      </c>
      <c r="H5770" t="str">
        <f>IF(WEEKDAY(A5770,2)&gt;5,"Weekend","Weekday")</f>
        <v>Weekday</v>
      </c>
      <c r="I5770" t="str">
        <f>_xlfn.IFS(B5770&lt;=5,"Night (0-5)",B5770&lt;=9,"Morning peak (6-9)",B5770&lt;=15,"Midday (10-15)",B5770&lt;=19,"Evening peak (16-19)",TRUE,"Late evening (20-23)")</f>
        <v>Evening peak (16-19)</v>
      </c>
    </row>
    <row r="5771" spans="1:9">
      <c r="A5771" s="32">
        <v>42062</v>
      </c>
      <c r="B5771">
        <v>19</v>
      </c>
      <c r="C5771">
        <v>7657</v>
      </c>
      <c r="D5771" t="s">
        <v>304</v>
      </c>
      <c r="E5771">
        <f>YEAR(A5771)</f>
        <v>2015</v>
      </c>
      <c r="F5771" s="33">
        <f>DATE(YEAR(A5771),MONTH(A5771),1)</f>
        <v>42036.0</v>
      </c>
      <c r="G5771" t="str">
        <f>CHOOSE(WEEKDAY(A5771,2),"Mon","Tue","Wed","Thu","Fri","Sat","Sun")</f>
        <v>Fri</v>
      </c>
      <c r="H5771" t="str">
        <f>IF(WEEKDAY(A5771,2)&gt;5,"Weekend","Weekday")</f>
        <v>Weekday</v>
      </c>
      <c r="I5771" t="str">
        <f>_xlfn.IFS(B5771&lt;=5,"Night (0-5)",B5771&lt;=9,"Morning peak (6-9)",B5771&lt;=15,"Midday (10-15)",B5771&lt;=19,"Evening peak (16-19)",TRUE,"Late evening (20-23)")</f>
        <v>Evening peak (16-19)</v>
      </c>
    </row>
    <row r="5772" spans="1:9">
      <c r="A5772" s="32">
        <v>42062</v>
      </c>
      <c r="B5772">
        <v>20</v>
      </c>
      <c r="C5772">
        <v>7156</v>
      </c>
      <c r="D5772" t="s">
        <v>304</v>
      </c>
      <c r="E5772">
        <f>YEAR(A5772)</f>
        <v>2015</v>
      </c>
      <c r="F5772" s="33">
        <f>DATE(YEAR(A5772),MONTH(A5772),1)</f>
        <v>42036.0</v>
      </c>
      <c r="G5772" t="str">
        <f>CHOOSE(WEEKDAY(A5772,2),"Mon","Tue","Wed","Thu","Fri","Sat","Sun")</f>
        <v>Fri</v>
      </c>
      <c r="H5772" t="str">
        <f>IF(WEEKDAY(A5772,2)&gt;5,"Weekend","Weekday")</f>
        <v>Weekday</v>
      </c>
      <c r="I5772" t="str">
        <f>_xlfn.IFS(B5772&lt;=5,"Night (0-5)",B5772&lt;=9,"Morning peak (6-9)",B5772&lt;=15,"Midday (10-15)",B5772&lt;=19,"Evening peak (16-19)",TRUE,"Late evening (20-23)")</f>
        <v>Late evening (20-23)</v>
      </c>
    </row>
    <row r="5773" spans="1:9">
      <c r="A5773" s="32">
        <v>42062</v>
      </c>
      <c r="B5773">
        <v>21</v>
      </c>
      <c r="C5773">
        <v>6362</v>
      </c>
      <c r="D5773" t="s">
        <v>304</v>
      </c>
      <c r="E5773">
        <f>YEAR(A5773)</f>
        <v>2015</v>
      </c>
      <c r="F5773" s="33">
        <f>DATE(YEAR(A5773),MONTH(A5773),1)</f>
        <v>42036.0</v>
      </c>
      <c r="G5773" t="str">
        <f>CHOOSE(WEEKDAY(A5773,2),"Mon","Tue","Wed","Thu","Fri","Sat","Sun")</f>
        <v>Fri</v>
      </c>
      <c r="H5773" t="str">
        <f>IF(WEEKDAY(A5773,2)&gt;5,"Weekend","Weekday")</f>
        <v>Weekday</v>
      </c>
      <c r="I5773" t="str">
        <f>_xlfn.IFS(B5773&lt;=5,"Night (0-5)",B5773&lt;=9,"Morning peak (6-9)",B5773&lt;=15,"Midday (10-15)",B5773&lt;=19,"Evening peak (16-19)",TRUE,"Late evening (20-23)")</f>
        <v>Late evening (20-23)</v>
      </c>
    </row>
    <row r="5774" spans="1:9">
      <c r="A5774" s="32">
        <v>42062</v>
      </c>
      <c r="B5774">
        <v>22</v>
      </c>
      <c r="C5774">
        <v>6808</v>
      </c>
      <c r="D5774" t="s">
        <v>304</v>
      </c>
      <c r="E5774">
        <f>YEAR(A5774)</f>
        <v>2015</v>
      </c>
      <c r="F5774" s="33">
        <f>DATE(YEAR(A5774),MONTH(A5774),1)</f>
        <v>42036.0</v>
      </c>
      <c r="G5774" t="str">
        <f>CHOOSE(WEEKDAY(A5774,2),"Mon","Tue","Wed","Thu","Fri","Sat","Sun")</f>
        <v>Fri</v>
      </c>
      <c r="H5774" t="str">
        <f>IF(WEEKDAY(A5774,2)&gt;5,"Weekend","Weekday")</f>
        <v>Weekday</v>
      </c>
      <c r="I5774" t="str">
        <f>_xlfn.IFS(B5774&lt;=5,"Night (0-5)",B5774&lt;=9,"Morning peak (6-9)",B5774&lt;=15,"Midday (10-15)",B5774&lt;=19,"Evening peak (16-19)",TRUE,"Late evening (20-23)")</f>
        <v>Late evening (20-23)</v>
      </c>
    </row>
    <row r="5775" spans="1:9">
      <c r="A5775" s="32">
        <v>42062</v>
      </c>
      <c r="B5775">
        <v>23</v>
      </c>
      <c r="C5775">
        <v>6542</v>
      </c>
      <c r="D5775" t="s">
        <v>304</v>
      </c>
      <c r="E5775">
        <f>YEAR(A5775)</f>
        <v>2015</v>
      </c>
      <c r="F5775" s="33">
        <f>DATE(YEAR(A5775),MONTH(A5775),1)</f>
        <v>42036.0</v>
      </c>
      <c r="G5775" t="str">
        <f>CHOOSE(WEEKDAY(A5775,2),"Mon","Tue","Wed","Thu","Fri","Sat","Sun")</f>
        <v>Fri</v>
      </c>
      <c r="H5775" t="str">
        <f>IF(WEEKDAY(A5775,2)&gt;5,"Weekend","Weekday")</f>
        <v>Weekday</v>
      </c>
      <c r="I5775" t="str">
        <f>_xlfn.IFS(B5775&lt;=5,"Night (0-5)",B5775&lt;=9,"Morning peak (6-9)",B5775&lt;=15,"Midday (10-15)",B5775&lt;=19,"Evening peak (16-19)",TRUE,"Late evening (20-23)")</f>
        <v>Late evening (20-23)</v>
      </c>
    </row>
    <row r="5776" spans="1:9">
      <c r="A5776" s="32">
        <v>42063</v>
      </c>
      <c r="B5776">
        <v>0</v>
      </c>
      <c r="C5776">
        <v>5347</v>
      </c>
      <c r="D5776" t="s">
        <v>304</v>
      </c>
      <c r="E5776">
        <f>YEAR(A5776)</f>
        <v>2015</v>
      </c>
      <c r="F5776" s="33">
        <f>DATE(YEAR(A5776),MONTH(A5776),1)</f>
        <v>42036.0</v>
      </c>
      <c r="G5776" t="str">
        <f>CHOOSE(WEEKDAY(A5776,2),"Mon","Tue","Wed","Thu","Fri","Sat","Sun")</f>
        <v>Sat</v>
      </c>
      <c r="H5776" t="str">
        <f>IF(WEEKDAY(A5776,2)&gt;5,"Weekend","Weekday")</f>
        <v>Weekend</v>
      </c>
      <c r="I5776" t="str">
        <f>_xlfn.IFS(B5776&lt;=5,"Night (0-5)",B5776&lt;=9,"Morning peak (6-9)",B5776&lt;=15,"Midday (10-15)",B5776&lt;=19,"Evening peak (16-19)",TRUE,"Late evening (20-23)")</f>
        <v>Night (0-5)</v>
      </c>
    </row>
    <row r="5777" spans="1:9">
      <c r="A5777" s="32">
        <v>42063</v>
      </c>
      <c r="B5777">
        <v>1</v>
      </c>
      <c r="C5777">
        <v>3787</v>
      </c>
      <c r="D5777" t="s">
        <v>304</v>
      </c>
      <c r="E5777">
        <f>YEAR(A5777)</f>
        <v>2015</v>
      </c>
      <c r="F5777" s="33">
        <f>DATE(YEAR(A5777),MONTH(A5777),1)</f>
        <v>42036.0</v>
      </c>
      <c r="G5777" t="str">
        <f>CHOOSE(WEEKDAY(A5777,2),"Mon","Tue","Wed","Thu","Fri","Sat","Sun")</f>
        <v>Sat</v>
      </c>
      <c r="H5777" t="str">
        <f>IF(WEEKDAY(A5777,2)&gt;5,"Weekend","Weekday")</f>
        <v>Weekend</v>
      </c>
      <c r="I5777" t="str">
        <f>_xlfn.IFS(B5777&lt;=5,"Night (0-5)",B5777&lt;=9,"Morning peak (6-9)",B5777&lt;=15,"Midday (10-15)",B5777&lt;=19,"Evening peak (16-19)",TRUE,"Late evening (20-23)")</f>
        <v>Night (0-5)</v>
      </c>
    </row>
    <row r="5778" spans="1:9">
      <c r="A5778" s="32">
        <v>42063</v>
      </c>
      <c r="B5778">
        <v>2</v>
      </c>
      <c r="C5778">
        <v>2561</v>
      </c>
      <c r="D5778" t="s">
        <v>304</v>
      </c>
      <c r="E5778">
        <f>YEAR(A5778)</f>
        <v>2015</v>
      </c>
      <c r="F5778" s="33">
        <f>DATE(YEAR(A5778),MONTH(A5778),1)</f>
        <v>42036.0</v>
      </c>
      <c r="G5778" t="str">
        <f>CHOOSE(WEEKDAY(A5778,2),"Mon","Tue","Wed","Thu","Fri","Sat","Sun")</f>
        <v>Sat</v>
      </c>
      <c r="H5778" t="str">
        <f>IF(WEEKDAY(A5778,2)&gt;5,"Weekend","Weekday")</f>
        <v>Weekend</v>
      </c>
      <c r="I5778" t="str">
        <f>_xlfn.IFS(B5778&lt;=5,"Night (0-5)",B5778&lt;=9,"Morning peak (6-9)",B5778&lt;=15,"Midday (10-15)",B5778&lt;=19,"Evening peak (16-19)",TRUE,"Late evening (20-23)")</f>
        <v>Night (0-5)</v>
      </c>
    </row>
    <row r="5779" spans="1:9">
      <c r="A5779" s="32">
        <v>42063</v>
      </c>
      <c r="B5779">
        <v>3</v>
      </c>
      <c r="C5779">
        <v>1750</v>
      </c>
      <c r="D5779" t="s">
        <v>304</v>
      </c>
      <c r="E5779">
        <f>YEAR(A5779)</f>
        <v>2015</v>
      </c>
      <c r="F5779" s="33">
        <f>DATE(YEAR(A5779),MONTH(A5779),1)</f>
        <v>42036.0</v>
      </c>
      <c r="G5779" t="str">
        <f>CHOOSE(WEEKDAY(A5779,2),"Mon","Tue","Wed","Thu","Fri","Sat","Sun")</f>
        <v>Sat</v>
      </c>
      <c r="H5779" t="str">
        <f>IF(WEEKDAY(A5779,2)&gt;5,"Weekend","Weekday")</f>
        <v>Weekend</v>
      </c>
      <c r="I5779" t="str">
        <f>_xlfn.IFS(B5779&lt;=5,"Night (0-5)",B5779&lt;=9,"Morning peak (6-9)",B5779&lt;=15,"Midday (10-15)",B5779&lt;=19,"Evening peak (16-19)",TRUE,"Late evening (20-23)")</f>
        <v>Night (0-5)</v>
      </c>
    </row>
    <row r="5780" spans="1:9">
      <c r="A5780" s="32">
        <v>42063</v>
      </c>
      <c r="B5780">
        <v>4</v>
      </c>
      <c r="C5780">
        <v>1266</v>
      </c>
      <c r="D5780" t="s">
        <v>304</v>
      </c>
      <c r="E5780">
        <f>YEAR(A5780)</f>
        <v>2015</v>
      </c>
      <c r="F5780" s="33">
        <f>DATE(YEAR(A5780),MONTH(A5780),1)</f>
        <v>42036.0</v>
      </c>
      <c r="G5780" t="str">
        <f>CHOOSE(WEEKDAY(A5780,2),"Mon","Tue","Wed","Thu","Fri","Sat","Sun")</f>
        <v>Sat</v>
      </c>
      <c r="H5780" t="str">
        <f>IF(WEEKDAY(A5780,2)&gt;5,"Weekend","Weekday")</f>
        <v>Weekend</v>
      </c>
      <c r="I5780" t="str">
        <f>_xlfn.IFS(B5780&lt;=5,"Night (0-5)",B5780&lt;=9,"Morning peak (6-9)",B5780&lt;=15,"Midday (10-15)",B5780&lt;=19,"Evening peak (16-19)",TRUE,"Late evening (20-23)")</f>
        <v>Night (0-5)</v>
      </c>
    </row>
    <row r="5781" spans="1:9">
      <c r="A5781" s="32">
        <v>42063</v>
      </c>
      <c r="B5781">
        <v>5</v>
      </c>
      <c r="C5781">
        <v>982</v>
      </c>
      <c r="D5781" t="s">
        <v>304</v>
      </c>
      <c r="E5781">
        <f>YEAR(A5781)</f>
        <v>2015</v>
      </c>
      <c r="F5781" s="33">
        <f>DATE(YEAR(A5781),MONTH(A5781),1)</f>
        <v>42036.0</v>
      </c>
      <c r="G5781" t="str">
        <f>CHOOSE(WEEKDAY(A5781,2),"Mon","Tue","Wed","Thu","Fri","Sat","Sun")</f>
        <v>Sat</v>
      </c>
      <c r="H5781" t="str">
        <f>IF(WEEKDAY(A5781,2)&gt;5,"Weekend","Weekday")</f>
        <v>Weekend</v>
      </c>
      <c r="I5781" t="str">
        <f>_xlfn.IFS(B5781&lt;=5,"Night (0-5)",B5781&lt;=9,"Morning peak (6-9)",B5781&lt;=15,"Midday (10-15)",B5781&lt;=19,"Evening peak (16-19)",TRUE,"Late evening (20-23)")</f>
        <v>Night (0-5)</v>
      </c>
    </row>
    <row r="5782" spans="1:9">
      <c r="A5782" s="32">
        <v>42063</v>
      </c>
      <c r="B5782">
        <v>6</v>
      </c>
      <c r="C5782">
        <v>978</v>
      </c>
      <c r="D5782" t="s">
        <v>304</v>
      </c>
      <c r="E5782">
        <f>YEAR(A5782)</f>
        <v>2015</v>
      </c>
      <c r="F5782" s="33">
        <f>DATE(YEAR(A5782),MONTH(A5782),1)</f>
        <v>42036.0</v>
      </c>
      <c r="G5782" t="str">
        <f>CHOOSE(WEEKDAY(A5782,2),"Mon","Tue","Wed","Thu","Fri","Sat","Sun")</f>
        <v>Sat</v>
      </c>
      <c r="H5782" t="str">
        <f>IF(WEEKDAY(A5782,2)&gt;5,"Weekend","Weekday")</f>
        <v>Weekend</v>
      </c>
      <c r="I5782" t="str">
        <f>_xlfn.IFS(B5782&lt;=5,"Night (0-5)",B5782&lt;=9,"Morning peak (6-9)",B5782&lt;=15,"Midday (10-15)",B5782&lt;=19,"Evening peak (16-19)",TRUE,"Late evening (20-23)")</f>
        <v>Morning peak (6-9)</v>
      </c>
    </row>
    <row r="5783" spans="1:9">
      <c r="A5783" s="32">
        <v>42063</v>
      </c>
      <c r="B5783">
        <v>7</v>
      </c>
      <c r="C5783">
        <v>1092</v>
      </c>
      <c r="D5783" t="s">
        <v>304</v>
      </c>
      <c r="E5783">
        <f>YEAR(A5783)</f>
        <v>2015</v>
      </c>
      <c r="F5783" s="33">
        <f>DATE(YEAR(A5783),MONTH(A5783),1)</f>
        <v>42036.0</v>
      </c>
      <c r="G5783" t="str">
        <f>CHOOSE(WEEKDAY(A5783,2),"Mon","Tue","Wed","Thu","Fri","Sat","Sun")</f>
        <v>Sat</v>
      </c>
      <c r="H5783" t="str">
        <f>IF(WEEKDAY(A5783,2)&gt;5,"Weekend","Weekday")</f>
        <v>Weekend</v>
      </c>
      <c r="I5783" t="str">
        <f>_xlfn.IFS(B5783&lt;=5,"Night (0-5)",B5783&lt;=9,"Morning peak (6-9)",B5783&lt;=15,"Midday (10-15)",B5783&lt;=19,"Evening peak (16-19)",TRUE,"Late evening (20-23)")</f>
        <v>Morning peak (6-9)</v>
      </c>
    </row>
    <row r="5784" spans="1:9">
      <c r="A5784" s="32">
        <v>42063</v>
      </c>
      <c r="B5784">
        <v>8</v>
      </c>
      <c r="C5784">
        <v>1669</v>
      </c>
      <c r="D5784" t="s">
        <v>304</v>
      </c>
      <c r="E5784">
        <f>YEAR(A5784)</f>
        <v>2015</v>
      </c>
      <c r="F5784" s="33">
        <f>DATE(YEAR(A5784),MONTH(A5784),1)</f>
        <v>42036.0</v>
      </c>
      <c r="G5784" t="str">
        <f>CHOOSE(WEEKDAY(A5784,2),"Mon","Tue","Wed","Thu","Fri","Sat","Sun")</f>
        <v>Sat</v>
      </c>
      <c r="H5784" t="str">
        <f>IF(WEEKDAY(A5784,2)&gt;5,"Weekend","Weekday")</f>
        <v>Weekend</v>
      </c>
      <c r="I5784" t="str">
        <f>_xlfn.IFS(B5784&lt;=5,"Night (0-5)",B5784&lt;=9,"Morning peak (6-9)",B5784&lt;=15,"Midday (10-15)",B5784&lt;=19,"Evening peak (16-19)",TRUE,"Late evening (20-23)")</f>
        <v>Morning peak (6-9)</v>
      </c>
    </row>
    <row r="5785" spans="1:9">
      <c r="A5785" s="32">
        <v>42063</v>
      </c>
      <c r="B5785">
        <v>9</v>
      </c>
      <c r="C5785">
        <v>2231</v>
      </c>
      <c r="D5785" t="s">
        <v>304</v>
      </c>
      <c r="E5785">
        <f>YEAR(A5785)</f>
        <v>2015</v>
      </c>
      <c r="F5785" s="33">
        <f>DATE(YEAR(A5785),MONTH(A5785),1)</f>
        <v>42036.0</v>
      </c>
      <c r="G5785" t="str">
        <f>CHOOSE(WEEKDAY(A5785,2),"Mon","Tue","Wed","Thu","Fri","Sat","Sun")</f>
        <v>Sat</v>
      </c>
      <c r="H5785" t="str">
        <f>IF(WEEKDAY(A5785,2)&gt;5,"Weekend","Weekday")</f>
        <v>Weekend</v>
      </c>
      <c r="I5785" t="str">
        <f>_xlfn.IFS(B5785&lt;=5,"Night (0-5)",B5785&lt;=9,"Morning peak (6-9)",B5785&lt;=15,"Midday (10-15)",B5785&lt;=19,"Evening peak (16-19)",TRUE,"Late evening (20-23)")</f>
        <v>Morning peak (6-9)</v>
      </c>
    </row>
    <row r="5786" spans="1:9">
      <c r="A5786" s="32">
        <v>42063</v>
      </c>
      <c r="B5786">
        <v>10</v>
      </c>
      <c r="C5786">
        <v>2597</v>
      </c>
      <c r="D5786" t="s">
        <v>304</v>
      </c>
      <c r="E5786">
        <f>YEAR(A5786)</f>
        <v>2015</v>
      </c>
      <c r="F5786" s="33">
        <f>DATE(YEAR(A5786),MONTH(A5786),1)</f>
        <v>42036.0</v>
      </c>
      <c r="G5786" t="str">
        <f>CHOOSE(WEEKDAY(A5786,2),"Mon","Tue","Wed","Thu","Fri","Sat","Sun")</f>
        <v>Sat</v>
      </c>
      <c r="H5786" t="str">
        <f>IF(WEEKDAY(A5786,2)&gt;5,"Weekend","Weekday")</f>
        <v>Weekend</v>
      </c>
      <c r="I5786" t="str">
        <f>_xlfn.IFS(B5786&lt;=5,"Night (0-5)",B5786&lt;=9,"Morning peak (6-9)",B5786&lt;=15,"Midday (10-15)",B5786&lt;=19,"Evening peak (16-19)",TRUE,"Late evening (20-23)")</f>
        <v>Midday (10-15)</v>
      </c>
    </row>
    <row r="5787" spans="1:9">
      <c r="A5787" s="32">
        <v>42063</v>
      </c>
      <c r="B5787">
        <v>11</v>
      </c>
      <c r="C5787">
        <v>2847</v>
      </c>
      <c r="D5787" t="s">
        <v>304</v>
      </c>
      <c r="E5787">
        <f>YEAR(A5787)</f>
        <v>2015</v>
      </c>
      <c r="F5787" s="33">
        <f>DATE(YEAR(A5787),MONTH(A5787),1)</f>
        <v>42036.0</v>
      </c>
      <c r="G5787" t="str">
        <f>CHOOSE(WEEKDAY(A5787,2),"Mon","Tue","Wed","Thu","Fri","Sat","Sun")</f>
        <v>Sat</v>
      </c>
      <c r="H5787" t="str">
        <f>IF(WEEKDAY(A5787,2)&gt;5,"Weekend","Weekday")</f>
        <v>Weekend</v>
      </c>
      <c r="I5787" t="str">
        <f>_xlfn.IFS(B5787&lt;=5,"Night (0-5)",B5787&lt;=9,"Morning peak (6-9)",B5787&lt;=15,"Midday (10-15)",B5787&lt;=19,"Evening peak (16-19)",TRUE,"Late evening (20-23)")</f>
        <v>Midday (10-15)</v>
      </c>
    </row>
    <row r="5788" spans="1:9">
      <c r="A5788" s="32">
        <v>42063</v>
      </c>
      <c r="B5788">
        <v>12</v>
      </c>
      <c r="C5788">
        <v>3047</v>
      </c>
      <c r="D5788" t="s">
        <v>304</v>
      </c>
      <c r="E5788">
        <f>YEAR(A5788)</f>
        <v>2015</v>
      </c>
      <c r="F5788" s="33">
        <f>DATE(YEAR(A5788),MONTH(A5788),1)</f>
        <v>42036.0</v>
      </c>
      <c r="G5788" t="str">
        <f>CHOOSE(WEEKDAY(A5788,2),"Mon","Tue","Wed","Thu","Fri","Sat","Sun")</f>
        <v>Sat</v>
      </c>
      <c r="H5788" t="str">
        <f>IF(WEEKDAY(A5788,2)&gt;5,"Weekend","Weekday")</f>
        <v>Weekend</v>
      </c>
      <c r="I5788" t="str">
        <f>_xlfn.IFS(B5788&lt;=5,"Night (0-5)",B5788&lt;=9,"Morning peak (6-9)",B5788&lt;=15,"Midday (10-15)",B5788&lt;=19,"Evening peak (16-19)",TRUE,"Late evening (20-23)")</f>
        <v>Midday (10-15)</v>
      </c>
    </row>
    <row r="5789" spans="1:9">
      <c r="A5789" s="32">
        <v>42063</v>
      </c>
      <c r="B5789">
        <v>13</v>
      </c>
      <c r="C5789">
        <v>3281</v>
      </c>
      <c r="D5789" t="s">
        <v>304</v>
      </c>
      <c r="E5789">
        <f>YEAR(A5789)</f>
        <v>2015</v>
      </c>
      <c r="F5789" s="33">
        <f>DATE(YEAR(A5789),MONTH(A5789),1)</f>
        <v>42036.0</v>
      </c>
      <c r="G5789" t="str">
        <f>CHOOSE(WEEKDAY(A5789,2),"Mon","Tue","Wed","Thu","Fri","Sat","Sun")</f>
        <v>Sat</v>
      </c>
      <c r="H5789" t="str">
        <f>IF(WEEKDAY(A5789,2)&gt;5,"Weekend","Weekday")</f>
        <v>Weekend</v>
      </c>
      <c r="I5789" t="str">
        <f>_xlfn.IFS(B5789&lt;=5,"Night (0-5)",B5789&lt;=9,"Morning peak (6-9)",B5789&lt;=15,"Midday (10-15)",B5789&lt;=19,"Evening peak (16-19)",TRUE,"Late evening (20-23)")</f>
        <v>Midday (10-15)</v>
      </c>
    </row>
    <row r="5790" spans="1:9">
      <c r="A5790" s="32">
        <v>42063</v>
      </c>
      <c r="B5790">
        <v>14</v>
      </c>
      <c r="C5790">
        <v>3258</v>
      </c>
      <c r="D5790" t="s">
        <v>304</v>
      </c>
      <c r="E5790">
        <f>YEAR(A5790)</f>
        <v>2015</v>
      </c>
      <c r="F5790" s="33">
        <f>DATE(YEAR(A5790),MONTH(A5790),1)</f>
        <v>42036.0</v>
      </c>
      <c r="G5790" t="str">
        <f>CHOOSE(WEEKDAY(A5790,2),"Mon","Tue","Wed","Thu","Fri","Sat","Sun")</f>
        <v>Sat</v>
      </c>
      <c r="H5790" t="str">
        <f>IF(WEEKDAY(A5790,2)&gt;5,"Weekend","Weekday")</f>
        <v>Weekend</v>
      </c>
      <c r="I5790" t="str">
        <f>_xlfn.IFS(B5790&lt;=5,"Night (0-5)",B5790&lt;=9,"Morning peak (6-9)",B5790&lt;=15,"Midday (10-15)",B5790&lt;=19,"Evening peak (16-19)",TRUE,"Late evening (20-23)")</f>
        <v>Midday (10-15)</v>
      </c>
    </row>
    <row r="5791" spans="1:9">
      <c r="A5791" s="32">
        <v>42063</v>
      </c>
      <c r="B5791">
        <v>15</v>
      </c>
      <c r="C5791">
        <v>3637</v>
      </c>
      <c r="D5791" t="s">
        <v>304</v>
      </c>
      <c r="E5791">
        <f>YEAR(A5791)</f>
        <v>2015</v>
      </c>
      <c r="F5791" s="33">
        <f>DATE(YEAR(A5791),MONTH(A5791),1)</f>
        <v>42036.0</v>
      </c>
      <c r="G5791" t="str">
        <f>CHOOSE(WEEKDAY(A5791,2),"Mon","Tue","Wed","Thu","Fri","Sat","Sun")</f>
        <v>Sat</v>
      </c>
      <c r="H5791" t="str">
        <f>IF(WEEKDAY(A5791,2)&gt;5,"Weekend","Weekday")</f>
        <v>Weekend</v>
      </c>
      <c r="I5791" t="str">
        <f>_xlfn.IFS(B5791&lt;=5,"Night (0-5)",B5791&lt;=9,"Morning peak (6-9)",B5791&lt;=15,"Midday (10-15)",B5791&lt;=19,"Evening peak (16-19)",TRUE,"Late evening (20-23)")</f>
        <v>Midday (10-15)</v>
      </c>
    </row>
    <row r="5792" spans="1:9">
      <c r="A5792" s="32">
        <v>42063</v>
      </c>
      <c r="B5792">
        <v>16</v>
      </c>
      <c r="C5792">
        <v>4375</v>
      </c>
      <c r="D5792" t="s">
        <v>304</v>
      </c>
      <c r="E5792">
        <f>YEAR(A5792)</f>
        <v>2015</v>
      </c>
      <c r="F5792" s="33">
        <f>DATE(YEAR(A5792),MONTH(A5792),1)</f>
        <v>42036.0</v>
      </c>
      <c r="G5792" t="str">
        <f>CHOOSE(WEEKDAY(A5792,2),"Mon","Tue","Wed","Thu","Fri","Sat","Sun")</f>
        <v>Sat</v>
      </c>
      <c r="H5792" t="str">
        <f>IF(WEEKDAY(A5792,2)&gt;5,"Weekend","Weekday")</f>
        <v>Weekend</v>
      </c>
      <c r="I5792" t="str">
        <f>_xlfn.IFS(B5792&lt;=5,"Night (0-5)",B5792&lt;=9,"Morning peak (6-9)",B5792&lt;=15,"Midday (10-15)",B5792&lt;=19,"Evening peak (16-19)",TRUE,"Late evening (20-23)")</f>
        <v>Evening peak (16-19)</v>
      </c>
    </row>
    <row r="5793" spans="1:9">
      <c r="A5793" s="32">
        <v>42063</v>
      </c>
      <c r="B5793">
        <v>17</v>
      </c>
      <c r="C5793">
        <v>5135</v>
      </c>
      <c r="D5793" t="s">
        <v>304</v>
      </c>
      <c r="E5793">
        <f>YEAR(A5793)</f>
        <v>2015</v>
      </c>
      <c r="F5793" s="33">
        <f>DATE(YEAR(A5793),MONTH(A5793),1)</f>
        <v>42036.0</v>
      </c>
      <c r="G5793" t="str">
        <f>CHOOSE(WEEKDAY(A5793,2),"Mon","Tue","Wed","Thu","Fri","Sat","Sun")</f>
        <v>Sat</v>
      </c>
      <c r="H5793" t="str">
        <f>IF(WEEKDAY(A5793,2)&gt;5,"Weekend","Weekday")</f>
        <v>Weekend</v>
      </c>
      <c r="I5793" t="str">
        <f>_xlfn.IFS(B5793&lt;=5,"Night (0-5)",B5793&lt;=9,"Morning peak (6-9)",B5793&lt;=15,"Midday (10-15)",B5793&lt;=19,"Evening peak (16-19)",TRUE,"Late evening (20-23)")</f>
        <v>Evening peak (16-19)</v>
      </c>
    </row>
    <row r="5794" spans="1:9">
      <c r="A5794" s="32">
        <v>42063</v>
      </c>
      <c r="B5794">
        <v>18</v>
      </c>
      <c r="C5794">
        <v>5973</v>
      </c>
      <c r="D5794" t="s">
        <v>304</v>
      </c>
      <c r="E5794">
        <f>YEAR(A5794)</f>
        <v>2015</v>
      </c>
      <c r="F5794" s="33">
        <f>DATE(YEAR(A5794),MONTH(A5794),1)</f>
        <v>42036.0</v>
      </c>
      <c r="G5794" t="str">
        <f>CHOOSE(WEEKDAY(A5794,2),"Mon","Tue","Wed","Thu","Fri","Sat","Sun")</f>
        <v>Sat</v>
      </c>
      <c r="H5794" t="str">
        <f>IF(WEEKDAY(A5794,2)&gt;5,"Weekend","Weekday")</f>
        <v>Weekend</v>
      </c>
      <c r="I5794" t="str">
        <f>_xlfn.IFS(B5794&lt;=5,"Night (0-5)",B5794&lt;=9,"Morning peak (6-9)",B5794&lt;=15,"Midday (10-15)",B5794&lt;=19,"Evening peak (16-19)",TRUE,"Late evening (20-23)")</f>
        <v>Evening peak (16-19)</v>
      </c>
    </row>
    <row r="5795" spans="1:9">
      <c r="A5795" s="32">
        <v>42063</v>
      </c>
      <c r="B5795">
        <v>19</v>
      </c>
      <c r="C5795">
        <v>6970</v>
      </c>
      <c r="D5795" t="s">
        <v>304</v>
      </c>
      <c r="E5795">
        <f>YEAR(A5795)</f>
        <v>2015</v>
      </c>
      <c r="F5795" s="33">
        <f>DATE(YEAR(A5795),MONTH(A5795),1)</f>
        <v>42036.0</v>
      </c>
      <c r="G5795" t="str">
        <f>CHOOSE(WEEKDAY(A5795,2),"Mon","Tue","Wed","Thu","Fri","Sat","Sun")</f>
        <v>Sat</v>
      </c>
      <c r="H5795" t="str">
        <f>IF(WEEKDAY(A5795,2)&gt;5,"Weekend","Weekday")</f>
        <v>Weekend</v>
      </c>
      <c r="I5795" t="str">
        <f>_xlfn.IFS(B5795&lt;=5,"Night (0-5)",B5795&lt;=9,"Morning peak (6-9)",B5795&lt;=15,"Midday (10-15)",B5795&lt;=19,"Evening peak (16-19)",TRUE,"Late evening (20-23)")</f>
        <v>Evening peak (16-19)</v>
      </c>
    </row>
    <row r="5796" spans="1:9">
      <c r="A5796" s="32">
        <v>42063</v>
      </c>
      <c r="B5796">
        <v>20</v>
      </c>
      <c r="C5796">
        <v>6496</v>
      </c>
      <c r="D5796" t="s">
        <v>304</v>
      </c>
      <c r="E5796">
        <f>YEAR(A5796)</f>
        <v>2015</v>
      </c>
      <c r="F5796" s="33">
        <f>DATE(YEAR(A5796),MONTH(A5796),1)</f>
        <v>42036.0</v>
      </c>
      <c r="G5796" t="str">
        <f>CHOOSE(WEEKDAY(A5796,2),"Mon","Tue","Wed","Thu","Fri","Sat","Sun")</f>
        <v>Sat</v>
      </c>
      <c r="H5796" t="str">
        <f>IF(WEEKDAY(A5796,2)&gt;5,"Weekend","Weekday")</f>
        <v>Weekend</v>
      </c>
      <c r="I5796" t="str">
        <f>_xlfn.IFS(B5796&lt;=5,"Night (0-5)",B5796&lt;=9,"Morning peak (6-9)",B5796&lt;=15,"Midday (10-15)",B5796&lt;=19,"Evening peak (16-19)",TRUE,"Late evening (20-23)")</f>
        <v>Late evening (20-23)</v>
      </c>
    </row>
    <row r="5797" spans="1:9">
      <c r="A5797" s="32">
        <v>42063</v>
      </c>
      <c r="B5797">
        <v>21</v>
      </c>
      <c r="C5797">
        <v>6249</v>
      </c>
      <c r="D5797" t="s">
        <v>304</v>
      </c>
      <c r="E5797">
        <f>YEAR(A5797)</f>
        <v>2015</v>
      </c>
      <c r="F5797" s="33">
        <f>DATE(YEAR(A5797),MONTH(A5797),1)</f>
        <v>42036.0</v>
      </c>
      <c r="G5797" t="str">
        <f>CHOOSE(WEEKDAY(A5797,2),"Mon","Tue","Wed","Thu","Fri","Sat","Sun")</f>
        <v>Sat</v>
      </c>
      <c r="H5797" t="str">
        <f>IF(WEEKDAY(A5797,2)&gt;5,"Weekend","Weekday")</f>
        <v>Weekend</v>
      </c>
      <c r="I5797" t="str">
        <f>_xlfn.IFS(B5797&lt;=5,"Night (0-5)",B5797&lt;=9,"Morning peak (6-9)",B5797&lt;=15,"Midday (10-15)",B5797&lt;=19,"Evening peak (16-19)",TRUE,"Late evening (20-23)")</f>
        <v>Late evening (20-23)</v>
      </c>
    </row>
    <row r="5798" spans="1:9">
      <c r="A5798" s="32">
        <v>42063</v>
      </c>
      <c r="B5798">
        <v>22</v>
      </c>
      <c r="C5798">
        <v>7027</v>
      </c>
      <c r="D5798" t="s">
        <v>304</v>
      </c>
      <c r="E5798">
        <f>YEAR(A5798)</f>
        <v>2015</v>
      </c>
      <c r="F5798" s="33">
        <f>DATE(YEAR(A5798),MONTH(A5798),1)</f>
        <v>42036.0</v>
      </c>
      <c r="G5798" t="str">
        <f>CHOOSE(WEEKDAY(A5798,2),"Mon","Tue","Wed","Thu","Fri","Sat","Sun")</f>
        <v>Sat</v>
      </c>
      <c r="H5798" t="str">
        <f>IF(WEEKDAY(A5798,2)&gt;5,"Weekend","Weekday")</f>
        <v>Weekend</v>
      </c>
      <c r="I5798" t="str">
        <f>_xlfn.IFS(B5798&lt;=5,"Night (0-5)",B5798&lt;=9,"Morning peak (6-9)",B5798&lt;=15,"Midday (10-15)",B5798&lt;=19,"Evening peak (16-19)",TRUE,"Late evening (20-23)")</f>
        <v>Late evening (20-23)</v>
      </c>
    </row>
    <row r="5799" spans="1:9">
      <c r="A5799" s="32">
        <v>42063</v>
      </c>
      <c r="B5799">
        <v>23</v>
      </c>
      <c r="C5799">
        <v>7161</v>
      </c>
      <c r="D5799" t="s">
        <v>304</v>
      </c>
      <c r="E5799">
        <f>YEAR(A5799)</f>
        <v>2015</v>
      </c>
      <c r="F5799" s="33">
        <f>DATE(YEAR(A5799),MONTH(A5799),1)</f>
        <v>42036.0</v>
      </c>
      <c r="G5799" t="str">
        <f>CHOOSE(WEEKDAY(A5799,2),"Mon","Tue","Wed","Thu","Fri","Sat","Sun")</f>
        <v>Sat</v>
      </c>
      <c r="H5799" t="str">
        <f>IF(WEEKDAY(A5799,2)&gt;5,"Weekend","Weekday")</f>
        <v>Weekend</v>
      </c>
      <c r="I5799" t="str">
        <f>_xlfn.IFS(B5799&lt;=5,"Night (0-5)",B5799&lt;=9,"Morning peak (6-9)",B5799&lt;=15,"Midday (10-15)",B5799&lt;=19,"Evening peak (16-19)",TRUE,"Late evening (20-23)")</f>
        <v>Late evening (20-23)</v>
      </c>
    </row>
    <row r="5800" spans="1:9">
      <c r="A5800" s="32">
        <v>42064</v>
      </c>
      <c r="B5800">
        <v>0</v>
      </c>
      <c r="C5800">
        <v>5211</v>
      </c>
      <c r="D5800" t="s">
        <v>304</v>
      </c>
      <c r="E5800">
        <f>YEAR(A5800)</f>
        <v>2015</v>
      </c>
      <c r="F5800" s="33">
        <f>DATE(YEAR(A5800),MONTH(A5800),1)</f>
        <v>42064.0</v>
      </c>
      <c r="G5800" t="str">
        <f>CHOOSE(WEEKDAY(A5800,2),"Mon","Tue","Wed","Thu","Fri","Sat","Sun")</f>
        <v>Sun</v>
      </c>
      <c r="H5800" t="str">
        <f>IF(WEEKDAY(A5800,2)&gt;5,"Weekend","Weekday")</f>
        <v>Weekend</v>
      </c>
      <c r="I5800" t="str">
        <f>_xlfn.IFS(B5800&lt;=5,"Night (0-5)",B5800&lt;=9,"Morning peak (6-9)",B5800&lt;=15,"Midday (10-15)",B5800&lt;=19,"Evening peak (16-19)",TRUE,"Late evening (20-23)")</f>
        <v>Night (0-5)</v>
      </c>
    </row>
    <row r="5801" spans="1:9">
      <c r="A5801" s="32">
        <v>42064</v>
      </c>
      <c r="B5801">
        <v>1</v>
      </c>
      <c r="C5801">
        <v>4645</v>
      </c>
      <c r="D5801" t="s">
        <v>304</v>
      </c>
      <c r="E5801">
        <f>YEAR(A5801)</f>
        <v>2015</v>
      </c>
      <c r="F5801" s="33">
        <f>DATE(YEAR(A5801),MONTH(A5801),1)</f>
        <v>42064.0</v>
      </c>
      <c r="G5801" t="str">
        <f>CHOOSE(WEEKDAY(A5801,2),"Mon","Tue","Wed","Thu","Fri","Sat","Sun")</f>
        <v>Sun</v>
      </c>
      <c r="H5801" t="str">
        <f>IF(WEEKDAY(A5801,2)&gt;5,"Weekend","Weekday")</f>
        <v>Weekend</v>
      </c>
      <c r="I5801" t="str">
        <f>_xlfn.IFS(B5801&lt;=5,"Night (0-5)",B5801&lt;=9,"Morning peak (6-9)",B5801&lt;=15,"Midday (10-15)",B5801&lt;=19,"Evening peak (16-19)",TRUE,"Late evening (20-23)")</f>
        <v>Night (0-5)</v>
      </c>
    </row>
    <row r="5802" spans="1:9">
      <c r="A5802" s="32">
        <v>42064</v>
      </c>
      <c r="B5802">
        <v>2</v>
      </c>
      <c r="C5802">
        <v>3245</v>
      </c>
      <c r="D5802" t="s">
        <v>304</v>
      </c>
      <c r="E5802">
        <f>YEAR(A5802)</f>
        <v>2015</v>
      </c>
      <c r="F5802" s="33">
        <f>DATE(YEAR(A5802),MONTH(A5802),1)</f>
        <v>42064.0</v>
      </c>
      <c r="G5802" t="str">
        <f>CHOOSE(WEEKDAY(A5802,2),"Mon","Tue","Wed","Thu","Fri","Sat","Sun")</f>
        <v>Sun</v>
      </c>
      <c r="H5802" t="str">
        <f>IF(WEEKDAY(A5802,2)&gt;5,"Weekend","Weekday")</f>
        <v>Weekend</v>
      </c>
      <c r="I5802" t="str">
        <f>_xlfn.IFS(B5802&lt;=5,"Night (0-5)",B5802&lt;=9,"Morning peak (6-9)",B5802&lt;=15,"Midday (10-15)",B5802&lt;=19,"Evening peak (16-19)",TRUE,"Late evening (20-23)")</f>
        <v>Night (0-5)</v>
      </c>
    </row>
    <row r="5803" spans="1:9">
      <c r="A5803" s="32">
        <v>42064</v>
      </c>
      <c r="B5803">
        <v>3</v>
      </c>
      <c r="C5803">
        <v>2084</v>
      </c>
      <c r="D5803" t="s">
        <v>304</v>
      </c>
      <c r="E5803">
        <f>YEAR(A5803)</f>
        <v>2015</v>
      </c>
      <c r="F5803" s="33">
        <f>DATE(YEAR(A5803),MONTH(A5803),1)</f>
        <v>42064.0</v>
      </c>
      <c r="G5803" t="str">
        <f>CHOOSE(WEEKDAY(A5803,2),"Mon","Tue","Wed","Thu","Fri","Sat","Sun")</f>
        <v>Sun</v>
      </c>
      <c r="H5803" t="str">
        <f>IF(WEEKDAY(A5803,2)&gt;5,"Weekend","Weekday")</f>
        <v>Weekend</v>
      </c>
      <c r="I5803" t="str">
        <f>_xlfn.IFS(B5803&lt;=5,"Night (0-5)",B5803&lt;=9,"Morning peak (6-9)",B5803&lt;=15,"Midday (10-15)",B5803&lt;=19,"Evening peak (16-19)",TRUE,"Late evening (20-23)")</f>
        <v>Night (0-5)</v>
      </c>
    </row>
    <row r="5804" spans="1:9">
      <c r="A5804" s="32">
        <v>42064</v>
      </c>
      <c r="B5804">
        <v>4</v>
      </c>
      <c r="C5804">
        <v>1404</v>
      </c>
      <c r="D5804" t="s">
        <v>304</v>
      </c>
      <c r="E5804">
        <f>YEAR(A5804)</f>
        <v>2015</v>
      </c>
      <c r="F5804" s="33">
        <f>DATE(YEAR(A5804),MONTH(A5804),1)</f>
        <v>42064.0</v>
      </c>
      <c r="G5804" t="str">
        <f>CHOOSE(WEEKDAY(A5804,2),"Mon","Tue","Wed","Thu","Fri","Sat","Sun")</f>
        <v>Sun</v>
      </c>
      <c r="H5804" t="str">
        <f>IF(WEEKDAY(A5804,2)&gt;5,"Weekend","Weekday")</f>
        <v>Weekend</v>
      </c>
      <c r="I5804" t="str">
        <f>_xlfn.IFS(B5804&lt;=5,"Night (0-5)",B5804&lt;=9,"Morning peak (6-9)",B5804&lt;=15,"Midday (10-15)",B5804&lt;=19,"Evening peak (16-19)",TRUE,"Late evening (20-23)")</f>
        <v>Night (0-5)</v>
      </c>
    </row>
    <row r="5805" spans="1:9">
      <c r="A5805" s="32">
        <v>42064</v>
      </c>
      <c r="B5805">
        <v>5</v>
      </c>
      <c r="C5805">
        <v>851</v>
      </c>
      <c r="D5805" t="s">
        <v>304</v>
      </c>
      <c r="E5805">
        <f>YEAR(A5805)</f>
        <v>2015</v>
      </c>
      <c r="F5805" s="33">
        <f>DATE(YEAR(A5805),MONTH(A5805),1)</f>
        <v>42064.0</v>
      </c>
      <c r="G5805" t="str">
        <f>CHOOSE(WEEKDAY(A5805,2),"Mon","Tue","Wed","Thu","Fri","Sat","Sun")</f>
        <v>Sun</v>
      </c>
      <c r="H5805" t="str">
        <f>IF(WEEKDAY(A5805,2)&gt;5,"Weekend","Weekday")</f>
        <v>Weekend</v>
      </c>
      <c r="I5805" t="str">
        <f>_xlfn.IFS(B5805&lt;=5,"Night (0-5)",B5805&lt;=9,"Morning peak (6-9)",B5805&lt;=15,"Midday (10-15)",B5805&lt;=19,"Evening peak (16-19)",TRUE,"Late evening (20-23)")</f>
        <v>Night (0-5)</v>
      </c>
    </row>
    <row r="5806" spans="1:9">
      <c r="A5806" s="32">
        <v>42064</v>
      </c>
      <c r="B5806">
        <v>6</v>
      </c>
      <c r="C5806">
        <v>815</v>
      </c>
      <c r="D5806" t="s">
        <v>304</v>
      </c>
      <c r="E5806">
        <f>YEAR(A5806)</f>
        <v>2015</v>
      </c>
      <c r="F5806" s="33">
        <f>DATE(YEAR(A5806),MONTH(A5806),1)</f>
        <v>42064.0</v>
      </c>
      <c r="G5806" t="str">
        <f>CHOOSE(WEEKDAY(A5806,2),"Mon","Tue","Wed","Thu","Fri","Sat","Sun")</f>
        <v>Sun</v>
      </c>
      <c r="H5806" t="str">
        <f>IF(WEEKDAY(A5806,2)&gt;5,"Weekend","Weekday")</f>
        <v>Weekend</v>
      </c>
      <c r="I5806" t="str">
        <f>_xlfn.IFS(B5806&lt;=5,"Night (0-5)",B5806&lt;=9,"Morning peak (6-9)",B5806&lt;=15,"Midday (10-15)",B5806&lt;=19,"Evening peak (16-19)",TRUE,"Late evening (20-23)")</f>
        <v>Morning peak (6-9)</v>
      </c>
    </row>
    <row r="5807" spans="1:9">
      <c r="A5807" s="32">
        <v>42064</v>
      </c>
      <c r="B5807">
        <v>7</v>
      </c>
      <c r="C5807">
        <v>734</v>
      </c>
      <c r="D5807" t="s">
        <v>304</v>
      </c>
      <c r="E5807">
        <f>YEAR(A5807)</f>
        <v>2015</v>
      </c>
      <c r="F5807" s="33">
        <f>DATE(YEAR(A5807),MONTH(A5807),1)</f>
        <v>42064.0</v>
      </c>
      <c r="G5807" t="str">
        <f>CHOOSE(WEEKDAY(A5807,2),"Mon","Tue","Wed","Thu","Fri","Sat","Sun")</f>
        <v>Sun</v>
      </c>
      <c r="H5807" t="str">
        <f>IF(WEEKDAY(A5807,2)&gt;5,"Weekend","Weekday")</f>
        <v>Weekend</v>
      </c>
      <c r="I5807" t="str">
        <f>_xlfn.IFS(B5807&lt;=5,"Night (0-5)",B5807&lt;=9,"Morning peak (6-9)",B5807&lt;=15,"Midday (10-15)",B5807&lt;=19,"Evening peak (16-19)",TRUE,"Late evening (20-23)")</f>
        <v>Morning peak (6-9)</v>
      </c>
    </row>
    <row r="5808" spans="1:9">
      <c r="A5808" s="32">
        <v>42064</v>
      </c>
      <c r="B5808">
        <v>8</v>
      </c>
      <c r="C5808">
        <v>1064</v>
      </c>
      <c r="D5808" t="s">
        <v>304</v>
      </c>
      <c r="E5808">
        <f>YEAR(A5808)</f>
        <v>2015</v>
      </c>
      <c r="F5808" s="33">
        <f>DATE(YEAR(A5808),MONTH(A5808),1)</f>
        <v>42064.0</v>
      </c>
      <c r="G5808" t="str">
        <f>CHOOSE(WEEKDAY(A5808,2),"Mon","Tue","Wed","Thu","Fri","Sat","Sun")</f>
        <v>Sun</v>
      </c>
      <c r="H5808" t="str">
        <f>IF(WEEKDAY(A5808,2)&gt;5,"Weekend","Weekday")</f>
        <v>Weekend</v>
      </c>
      <c r="I5808" t="str">
        <f>_xlfn.IFS(B5808&lt;=5,"Night (0-5)",B5808&lt;=9,"Morning peak (6-9)",B5808&lt;=15,"Midday (10-15)",B5808&lt;=19,"Evening peak (16-19)",TRUE,"Late evening (20-23)")</f>
        <v>Morning peak (6-9)</v>
      </c>
    </row>
    <row r="5809" spans="1:9">
      <c r="A5809" s="32">
        <v>42064</v>
      </c>
      <c r="B5809">
        <v>9</v>
      </c>
      <c r="C5809">
        <v>1577</v>
      </c>
      <c r="D5809" t="s">
        <v>304</v>
      </c>
      <c r="E5809">
        <f>YEAR(A5809)</f>
        <v>2015</v>
      </c>
      <c r="F5809" s="33">
        <f>DATE(YEAR(A5809),MONTH(A5809),1)</f>
        <v>42064.0</v>
      </c>
      <c r="G5809" t="str">
        <f>CHOOSE(WEEKDAY(A5809,2),"Mon","Tue","Wed","Thu","Fri","Sat","Sun")</f>
        <v>Sun</v>
      </c>
      <c r="H5809" t="str">
        <f>IF(WEEKDAY(A5809,2)&gt;5,"Weekend","Weekday")</f>
        <v>Weekend</v>
      </c>
      <c r="I5809" t="str">
        <f>_xlfn.IFS(B5809&lt;=5,"Night (0-5)",B5809&lt;=9,"Morning peak (6-9)",B5809&lt;=15,"Midday (10-15)",B5809&lt;=19,"Evening peak (16-19)",TRUE,"Late evening (20-23)")</f>
        <v>Morning peak (6-9)</v>
      </c>
    </row>
    <row r="5810" spans="1:9">
      <c r="A5810" s="32">
        <v>42064</v>
      </c>
      <c r="B5810">
        <v>10</v>
      </c>
      <c r="C5810">
        <v>2270</v>
      </c>
      <c r="D5810" t="s">
        <v>304</v>
      </c>
      <c r="E5810">
        <f>YEAR(A5810)</f>
        <v>2015</v>
      </c>
      <c r="F5810" s="33">
        <f>DATE(YEAR(A5810),MONTH(A5810),1)</f>
        <v>42064.0</v>
      </c>
      <c r="G5810" t="str">
        <f>CHOOSE(WEEKDAY(A5810,2),"Mon","Tue","Wed","Thu","Fri","Sat","Sun")</f>
        <v>Sun</v>
      </c>
      <c r="H5810" t="str">
        <f>IF(WEEKDAY(A5810,2)&gt;5,"Weekend","Weekday")</f>
        <v>Weekend</v>
      </c>
      <c r="I5810" t="str">
        <f>_xlfn.IFS(B5810&lt;=5,"Night (0-5)",B5810&lt;=9,"Morning peak (6-9)",B5810&lt;=15,"Midday (10-15)",B5810&lt;=19,"Evening peak (16-19)",TRUE,"Late evening (20-23)")</f>
        <v>Midday (10-15)</v>
      </c>
    </row>
    <row r="5811" spans="1:9">
      <c r="A5811" s="32">
        <v>42064</v>
      </c>
      <c r="B5811">
        <v>11</v>
      </c>
      <c r="C5811">
        <v>2890</v>
      </c>
      <c r="D5811" t="s">
        <v>304</v>
      </c>
      <c r="E5811">
        <f>YEAR(A5811)</f>
        <v>2015</v>
      </c>
      <c r="F5811" s="33">
        <f>DATE(YEAR(A5811),MONTH(A5811),1)</f>
        <v>42064.0</v>
      </c>
      <c r="G5811" t="str">
        <f>CHOOSE(WEEKDAY(A5811,2),"Mon","Tue","Wed","Thu","Fri","Sat","Sun")</f>
        <v>Sun</v>
      </c>
      <c r="H5811" t="str">
        <f>IF(WEEKDAY(A5811,2)&gt;5,"Weekend","Weekday")</f>
        <v>Weekend</v>
      </c>
      <c r="I5811" t="str">
        <f>_xlfn.IFS(B5811&lt;=5,"Night (0-5)",B5811&lt;=9,"Morning peak (6-9)",B5811&lt;=15,"Midday (10-15)",B5811&lt;=19,"Evening peak (16-19)",TRUE,"Late evening (20-23)")</f>
        <v>Midday (10-15)</v>
      </c>
    </row>
    <row r="5812" spans="1:9">
      <c r="A5812" s="32">
        <v>42064</v>
      </c>
      <c r="B5812">
        <v>12</v>
      </c>
      <c r="C5812">
        <v>3351</v>
      </c>
      <c r="D5812" t="s">
        <v>304</v>
      </c>
      <c r="E5812">
        <f>YEAR(A5812)</f>
        <v>2015</v>
      </c>
      <c r="F5812" s="33">
        <f>DATE(YEAR(A5812),MONTH(A5812),1)</f>
        <v>42064.0</v>
      </c>
      <c r="G5812" t="str">
        <f>CHOOSE(WEEKDAY(A5812,2),"Mon","Tue","Wed","Thu","Fri","Sat","Sun")</f>
        <v>Sun</v>
      </c>
      <c r="H5812" t="str">
        <f>IF(WEEKDAY(A5812,2)&gt;5,"Weekend","Weekday")</f>
        <v>Weekend</v>
      </c>
      <c r="I5812" t="str">
        <f>_xlfn.IFS(B5812&lt;=5,"Night (0-5)",B5812&lt;=9,"Morning peak (6-9)",B5812&lt;=15,"Midday (10-15)",B5812&lt;=19,"Evening peak (16-19)",TRUE,"Late evening (20-23)")</f>
        <v>Midday (10-15)</v>
      </c>
    </row>
    <row r="5813" spans="1:9">
      <c r="A5813" s="32">
        <v>42064</v>
      </c>
      <c r="B5813">
        <v>13</v>
      </c>
      <c r="C5813">
        <v>3946</v>
      </c>
      <c r="D5813" t="s">
        <v>304</v>
      </c>
      <c r="E5813">
        <f>YEAR(A5813)</f>
        <v>2015</v>
      </c>
      <c r="F5813" s="33">
        <f>DATE(YEAR(A5813),MONTH(A5813),1)</f>
        <v>42064.0</v>
      </c>
      <c r="G5813" t="str">
        <f>CHOOSE(WEEKDAY(A5813,2),"Mon","Tue","Wed","Thu","Fri","Sat","Sun")</f>
        <v>Sun</v>
      </c>
      <c r="H5813" t="str">
        <f>IF(WEEKDAY(A5813,2)&gt;5,"Weekend","Weekday")</f>
        <v>Weekend</v>
      </c>
      <c r="I5813" t="str">
        <f>_xlfn.IFS(B5813&lt;=5,"Night (0-5)",B5813&lt;=9,"Morning peak (6-9)",B5813&lt;=15,"Midday (10-15)",B5813&lt;=19,"Evening peak (16-19)",TRUE,"Late evening (20-23)")</f>
        <v>Midday (10-15)</v>
      </c>
    </row>
    <row r="5814" spans="1:9">
      <c r="A5814" s="32">
        <v>42064</v>
      </c>
      <c r="B5814">
        <v>14</v>
      </c>
      <c r="C5814">
        <v>4061</v>
      </c>
      <c r="D5814" t="s">
        <v>304</v>
      </c>
      <c r="E5814">
        <f>YEAR(A5814)</f>
        <v>2015</v>
      </c>
      <c r="F5814" s="33">
        <f>DATE(YEAR(A5814),MONTH(A5814),1)</f>
        <v>42064.0</v>
      </c>
      <c r="G5814" t="str">
        <f>CHOOSE(WEEKDAY(A5814,2),"Mon","Tue","Wed","Thu","Fri","Sat","Sun")</f>
        <v>Sun</v>
      </c>
      <c r="H5814" t="str">
        <f>IF(WEEKDAY(A5814,2)&gt;5,"Weekend","Weekday")</f>
        <v>Weekend</v>
      </c>
      <c r="I5814" t="str">
        <f>_xlfn.IFS(B5814&lt;=5,"Night (0-5)",B5814&lt;=9,"Morning peak (6-9)",B5814&lt;=15,"Midday (10-15)",B5814&lt;=19,"Evening peak (16-19)",TRUE,"Late evening (20-23)")</f>
        <v>Midday (10-15)</v>
      </c>
    </row>
    <row r="5815" spans="1:9">
      <c r="A5815" s="32">
        <v>42064</v>
      </c>
      <c r="B5815">
        <v>15</v>
      </c>
      <c r="C5815">
        <v>4024</v>
      </c>
      <c r="D5815" t="s">
        <v>304</v>
      </c>
      <c r="E5815">
        <f>YEAR(A5815)</f>
        <v>2015</v>
      </c>
      <c r="F5815" s="33">
        <f>DATE(YEAR(A5815),MONTH(A5815),1)</f>
        <v>42064.0</v>
      </c>
      <c r="G5815" t="str">
        <f>CHOOSE(WEEKDAY(A5815,2),"Mon","Tue","Wed","Thu","Fri","Sat","Sun")</f>
        <v>Sun</v>
      </c>
      <c r="H5815" t="str">
        <f>IF(WEEKDAY(A5815,2)&gt;5,"Weekend","Weekday")</f>
        <v>Weekend</v>
      </c>
      <c r="I5815" t="str">
        <f>_xlfn.IFS(B5815&lt;=5,"Night (0-5)",B5815&lt;=9,"Morning peak (6-9)",B5815&lt;=15,"Midday (10-15)",B5815&lt;=19,"Evening peak (16-19)",TRUE,"Late evening (20-23)")</f>
        <v>Midday (10-15)</v>
      </c>
    </row>
    <row r="5816" spans="1:9">
      <c r="A5816" s="32">
        <v>42064</v>
      </c>
      <c r="B5816">
        <v>16</v>
      </c>
      <c r="C5816">
        <v>4169</v>
      </c>
      <c r="D5816" t="s">
        <v>304</v>
      </c>
      <c r="E5816">
        <f>YEAR(A5816)</f>
        <v>2015</v>
      </c>
      <c r="F5816" s="33">
        <f>DATE(YEAR(A5816),MONTH(A5816),1)</f>
        <v>42064.0</v>
      </c>
      <c r="G5816" t="str">
        <f>CHOOSE(WEEKDAY(A5816,2),"Mon","Tue","Wed","Thu","Fri","Sat","Sun")</f>
        <v>Sun</v>
      </c>
      <c r="H5816" t="str">
        <f>IF(WEEKDAY(A5816,2)&gt;5,"Weekend","Weekday")</f>
        <v>Weekend</v>
      </c>
      <c r="I5816" t="str">
        <f>_xlfn.IFS(B5816&lt;=5,"Night (0-5)",B5816&lt;=9,"Morning peak (6-9)",B5816&lt;=15,"Midday (10-15)",B5816&lt;=19,"Evening peak (16-19)",TRUE,"Late evening (20-23)")</f>
        <v>Evening peak (16-19)</v>
      </c>
    </row>
    <row r="5817" spans="1:9">
      <c r="A5817" s="32">
        <v>42064</v>
      </c>
      <c r="B5817">
        <v>17</v>
      </c>
      <c r="C5817">
        <v>4293</v>
      </c>
      <c r="D5817" t="s">
        <v>304</v>
      </c>
      <c r="E5817">
        <f>YEAR(A5817)</f>
        <v>2015</v>
      </c>
      <c r="F5817" s="33">
        <f>DATE(YEAR(A5817),MONTH(A5817),1)</f>
        <v>42064.0</v>
      </c>
      <c r="G5817" t="str">
        <f>CHOOSE(WEEKDAY(A5817,2),"Mon","Tue","Wed","Thu","Fri","Sat","Sun")</f>
        <v>Sun</v>
      </c>
      <c r="H5817" t="str">
        <f>IF(WEEKDAY(A5817,2)&gt;5,"Weekend","Weekday")</f>
        <v>Weekend</v>
      </c>
      <c r="I5817" t="str">
        <f>_xlfn.IFS(B5817&lt;=5,"Night (0-5)",B5817&lt;=9,"Morning peak (6-9)",B5817&lt;=15,"Midday (10-15)",B5817&lt;=19,"Evening peak (16-19)",TRUE,"Late evening (20-23)")</f>
        <v>Evening peak (16-19)</v>
      </c>
    </row>
    <row r="5818" spans="1:9">
      <c r="A5818" s="32">
        <v>42064</v>
      </c>
      <c r="B5818">
        <v>18</v>
      </c>
      <c r="C5818">
        <v>4508</v>
      </c>
      <c r="D5818" t="s">
        <v>304</v>
      </c>
      <c r="E5818">
        <f>YEAR(A5818)</f>
        <v>2015</v>
      </c>
      <c r="F5818" s="33">
        <f>DATE(YEAR(A5818),MONTH(A5818),1)</f>
        <v>42064.0</v>
      </c>
      <c r="G5818" t="str">
        <f>CHOOSE(WEEKDAY(A5818,2),"Mon","Tue","Wed","Thu","Fri","Sat","Sun")</f>
        <v>Sun</v>
      </c>
      <c r="H5818" t="str">
        <f>IF(WEEKDAY(A5818,2)&gt;5,"Weekend","Weekday")</f>
        <v>Weekend</v>
      </c>
      <c r="I5818" t="str">
        <f>_xlfn.IFS(B5818&lt;=5,"Night (0-5)",B5818&lt;=9,"Morning peak (6-9)",B5818&lt;=15,"Midday (10-15)",B5818&lt;=19,"Evening peak (16-19)",TRUE,"Late evening (20-23)")</f>
        <v>Evening peak (16-19)</v>
      </c>
    </row>
    <row r="5819" spans="1:9">
      <c r="A5819" s="32">
        <v>42064</v>
      </c>
      <c r="B5819">
        <v>19</v>
      </c>
      <c r="C5819">
        <v>4148</v>
      </c>
      <c r="D5819" t="s">
        <v>304</v>
      </c>
      <c r="E5819">
        <f>YEAR(A5819)</f>
        <v>2015</v>
      </c>
      <c r="F5819" s="33">
        <f>DATE(YEAR(A5819),MONTH(A5819),1)</f>
        <v>42064.0</v>
      </c>
      <c r="G5819" t="str">
        <f>CHOOSE(WEEKDAY(A5819,2),"Mon","Tue","Wed","Thu","Fri","Sat","Sun")</f>
        <v>Sun</v>
      </c>
      <c r="H5819" t="str">
        <f>IF(WEEKDAY(A5819,2)&gt;5,"Weekend","Weekday")</f>
        <v>Weekend</v>
      </c>
      <c r="I5819" t="str">
        <f>_xlfn.IFS(B5819&lt;=5,"Night (0-5)",B5819&lt;=9,"Morning peak (6-9)",B5819&lt;=15,"Midday (10-15)",B5819&lt;=19,"Evening peak (16-19)",TRUE,"Late evening (20-23)")</f>
        <v>Evening peak (16-19)</v>
      </c>
    </row>
    <row r="5820" spans="1:9">
      <c r="A5820" s="32">
        <v>42064</v>
      </c>
      <c r="B5820">
        <v>20</v>
      </c>
      <c r="C5820">
        <v>3650</v>
      </c>
      <c r="D5820" t="s">
        <v>304</v>
      </c>
      <c r="E5820">
        <f>YEAR(A5820)</f>
        <v>2015</v>
      </c>
      <c r="F5820" s="33">
        <f>DATE(YEAR(A5820),MONTH(A5820),1)</f>
        <v>42064.0</v>
      </c>
      <c r="G5820" t="str">
        <f>CHOOSE(WEEKDAY(A5820,2),"Mon","Tue","Wed","Thu","Fri","Sat","Sun")</f>
        <v>Sun</v>
      </c>
      <c r="H5820" t="str">
        <f>IF(WEEKDAY(A5820,2)&gt;5,"Weekend","Weekday")</f>
        <v>Weekend</v>
      </c>
      <c r="I5820" t="str">
        <f>_xlfn.IFS(B5820&lt;=5,"Night (0-5)",B5820&lt;=9,"Morning peak (6-9)",B5820&lt;=15,"Midday (10-15)",B5820&lt;=19,"Evening peak (16-19)",TRUE,"Late evening (20-23)")</f>
        <v>Late evening (20-23)</v>
      </c>
    </row>
    <row r="5821" spans="1:9">
      <c r="A5821" s="32">
        <v>42064</v>
      </c>
      <c r="B5821">
        <v>21</v>
      </c>
      <c r="C5821">
        <v>3106</v>
      </c>
      <c r="D5821" t="s">
        <v>304</v>
      </c>
      <c r="E5821">
        <f>YEAR(A5821)</f>
        <v>2015</v>
      </c>
      <c r="F5821" s="33">
        <f>DATE(YEAR(A5821),MONTH(A5821),1)</f>
        <v>42064.0</v>
      </c>
      <c r="G5821" t="str">
        <f>CHOOSE(WEEKDAY(A5821,2),"Mon","Tue","Wed","Thu","Fri","Sat","Sun")</f>
        <v>Sun</v>
      </c>
      <c r="H5821" t="str">
        <f>IF(WEEKDAY(A5821,2)&gt;5,"Weekend","Weekday")</f>
        <v>Weekend</v>
      </c>
      <c r="I5821" t="str">
        <f>_xlfn.IFS(B5821&lt;=5,"Night (0-5)",B5821&lt;=9,"Morning peak (6-9)",B5821&lt;=15,"Midday (10-15)",B5821&lt;=19,"Evening peak (16-19)",TRUE,"Late evening (20-23)")</f>
        <v>Late evening (20-23)</v>
      </c>
    </row>
    <row r="5822" spans="1:9">
      <c r="A5822" s="32">
        <v>42064</v>
      </c>
      <c r="B5822">
        <v>22</v>
      </c>
      <c r="C5822">
        <v>2707</v>
      </c>
      <c r="D5822" t="s">
        <v>304</v>
      </c>
      <c r="E5822">
        <f>YEAR(A5822)</f>
        <v>2015</v>
      </c>
      <c r="F5822" s="33">
        <f>DATE(YEAR(A5822),MONTH(A5822),1)</f>
        <v>42064.0</v>
      </c>
      <c r="G5822" t="str">
        <f>CHOOSE(WEEKDAY(A5822,2),"Mon","Tue","Wed","Thu","Fri","Sat","Sun")</f>
        <v>Sun</v>
      </c>
      <c r="H5822" t="str">
        <f>IF(WEEKDAY(A5822,2)&gt;5,"Weekend","Weekday")</f>
        <v>Weekend</v>
      </c>
      <c r="I5822" t="str">
        <f>_xlfn.IFS(B5822&lt;=5,"Night (0-5)",B5822&lt;=9,"Morning peak (6-9)",B5822&lt;=15,"Midday (10-15)",B5822&lt;=19,"Evening peak (16-19)",TRUE,"Late evening (20-23)")</f>
        <v>Late evening (20-23)</v>
      </c>
    </row>
    <row r="5823" spans="1:9">
      <c r="A5823" s="32">
        <v>42064</v>
      </c>
      <c r="B5823">
        <v>23</v>
      </c>
      <c r="C5823">
        <v>2086</v>
      </c>
      <c r="D5823" t="s">
        <v>304</v>
      </c>
      <c r="E5823">
        <f>YEAR(A5823)</f>
        <v>2015</v>
      </c>
      <c r="F5823" s="33">
        <f>DATE(YEAR(A5823),MONTH(A5823),1)</f>
        <v>42064.0</v>
      </c>
      <c r="G5823" t="str">
        <f>CHOOSE(WEEKDAY(A5823,2),"Mon","Tue","Wed","Thu","Fri","Sat","Sun")</f>
        <v>Sun</v>
      </c>
      <c r="H5823" t="str">
        <f>IF(WEEKDAY(A5823,2)&gt;5,"Weekend","Weekday")</f>
        <v>Weekend</v>
      </c>
      <c r="I5823" t="str">
        <f>_xlfn.IFS(B5823&lt;=5,"Night (0-5)",B5823&lt;=9,"Morning peak (6-9)",B5823&lt;=15,"Midday (10-15)",B5823&lt;=19,"Evening peak (16-19)",TRUE,"Late evening (20-23)")</f>
        <v>Late evening (20-23)</v>
      </c>
    </row>
    <row r="5824" spans="1:9">
      <c r="A5824" s="32">
        <v>42065</v>
      </c>
      <c r="B5824">
        <v>0</v>
      </c>
      <c r="C5824">
        <v>1289</v>
      </c>
      <c r="D5824" t="s">
        <v>304</v>
      </c>
      <c r="E5824">
        <f>YEAR(A5824)</f>
        <v>2015</v>
      </c>
      <c r="F5824" s="33">
        <f>DATE(YEAR(A5824),MONTH(A5824),1)</f>
        <v>42064.0</v>
      </c>
      <c r="G5824" t="str">
        <f>CHOOSE(WEEKDAY(A5824,2),"Mon","Tue","Wed","Thu","Fri","Sat","Sun")</f>
        <v>Mon</v>
      </c>
      <c r="H5824" t="str">
        <f>IF(WEEKDAY(A5824,2)&gt;5,"Weekend","Weekday")</f>
        <v>Weekday</v>
      </c>
      <c r="I5824" t="str">
        <f>_xlfn.IFS(B5824&lt;=5,"Night (0-5)",B5824&lt;=9,"Morning peak (6-9)",B5824&lt;=15,"Midday (10-15)",B5824&lt;=19,"Evening peak (16-19)",TRUE,"Late evening (20-23)")</f>
        <v>Night (0-5)</v>
      </c>
    </row>
    <row r="5825" spans="1:9">
      <c r="A5825" s="32">
        <v>42065</v>
      </c>
      <c r="B5825">
        <v>1</v>
      </c>
      <c r="C5825">
        <v>879</v>
      </c>
      <c r="D5825" t="s">
        <v>304</v>
      </c>
      <c r="E5825">
        <f>YEAR(A5825)</f>
        <v>2015</v>
      </c>
      <c r="F5825" s="33">
        <f>DATE(YEAR(A5825),MONTH(A5825),1)</f>
        <v>42064.0</v>
      </c>
      <c r="G5825" t="str">
        <f>CHOOSE(WEEKDAY(A5825,2),"Mon","Tue","Wed","Thu","Fri","Sat","Sun")</f>
        <v>Mon</v>
      </c>
      <c r="H5825" t="str">
        <f>IF(WEEKDAY(A5825,2)&gt;5,"Weekend","Weekday")</f>
        <v>Weekday</v>
      </c>
      <c r="I5825" t="str">
        <f>_xlfn.IFS(B5825&lt;=5,"Night (0-5)",B5825&lt;=9,"Morning peak (6-9)",B5825&lt;=15,"Midday (10-15)",B5825&lt;=19,"Evening peak (16-19)",TRUE,"Late evening (20-23)")</f>
        <v>Night (0-5)</v>
      </c>
    </row>
    <row r="5826" spans="1:9">
      <c r="A5826" s="32">
        <v>42065</v>
      </c>
      <c r="B5826">
        <v>2</v>
      </c>
      <c r="C5826">
        <v>467</v>
      </c>
      <c r="D5826" t="s">
        <v>304</v>
      </c>
      <c r="E5826">
        <f>YEAR(A5826)</f>
        <v>2015</v>
      </c>
      <c r="F5826" s="33">
        <f>DATE(YEAR(A5826),MONTH(A5826),1)</f>
        <v>42064.0</v>
      </c>
      <c r="G5826" t="str">
        <f>CHOOSE(WEEKDAY(A5826,2),"Mon","Tue","Wed","Thu","Fri","Sat","Sun")</f>
        <v>Mon</v>
      </c>
      <c r="H5826" t="str">
        <f>IF(WEEKDAY(A5826,2)&gt;5,"Weekend","Weekday")</f>
        <v>Weekday</v>
      </c>
      <c r="I5826" t="str">
        <f>_xlfn.IFS(B5826&lt;=5,"Night (0-5)",B5826&lt;=9,"Morning peak (6-9)",B5826&lt;=15,"Midday (10-15)",B5826&lt;=19,"Evening peak (16-19)",TRUE,"Late evening (20-23)")</f>
        <v>Night (0-5)</v>
      </c>
    </row>
    <row r="5827" spans="1:9">
      <c r="A5827" s="32">
        <v>42065</v>
      </c>
      <c r="B5827">
        <v>3</v>
      </c>
      <c r="C5827">
        <v>339</v>
      </c>
      <c r="D5827" t="s">
        <v>304</v>
      </c>
      <c r="E5827">
        <f>YEAR(A5827)</f>
        <v>2015</v>
      </c>
      <c r="F5827" s="33">
        <f>DATE(YEAR(A5827),MONTH(A5827),1)</f>
        <v>42064.0</v>
      </c>
      <c r="G5827" t="str">
        <f>CHOOSE(WEEKDAY(A5827,2),"Mon","Tue","Wed","Thu","Fri","Sat","Sun")</f>
        <v>Mon</v>
      </c>
      <c r="H5827" t="str">
        <f>IF(WEEKDAY(A5827,2)&gt;5,"Weekend","Weekday")</f>
        <v>Weekday</v>
      </c>
      <c r="I5827" t="str">
        <f>_xlfn.IFS(B5827&lt;=5,"Night (0-5)",B5827&lt;=9,"Morning peak (6-9)",B5827&lt;=15,"Midday (10-15)",B5827&lt;=19,"Evening peak (16-19)",TRUE,"Late evening (20-23)")</f>
        <v>Night (0-5)</v>
      </c>
    </row>
    <row r="5828" spans="1:9">
      <c r="A5828" s="32">
        <v>42065</v>
      </c>
      <c r="B5828">
        <v>4</v>
      </c>
      <c r="C5828">
        <v>510</v>
      </c>
      <c r="D5828" t="s">
        <v>304</v>
      </c>
      <c r="E5828">
        <f>YEAR(A5828)</f>
        <v>2015</v>
      </c>
      <c r="F5828" s="33">
        <f>DATE(YEAR(A5828),MONTH(A5828),1)</f>
        <v>42064.0</v>
      </c>
      <c r="G5828" t="str">
        <f>CHOOSE(WEEKDAY(A5828,2),"Mon","Tue","Wed","Thu","Fri","Sat","Sun")</f>
        <v>Mon</v>
      </c>
      <c r="H5828" t="str">
        <f>IF(WEEKDAY(A5828,2)&gt;5,"Weekend","Weekday")</f>
        <v>Weekday</v>
      </c>
      <c r="I5828" t="str">
        <f>_xlfn.IFS(B5828&lt;=5,"Night (0-5)",B5828&lt;=9,"Morning peak (6-9)",B5828&lt;=15,"Midday (10-15)",B5828&lt;=19,"Evening peak (16-19)",TRUE,"Late evening (20-23)")</f>
        <v>Night (0-5)</v>
      </c>
    </row>
    <row r="5829" spans="1:9">
      <c r="A5829" s="32">
        <v>42065</v>
      </c>
      <c r="B5829">
        <v>5</v>
      </c>
      <c r="C5829">
        <v>899</v>
      </c>
      <c r="D5829" t="s">
        <v>304</v>
      </c>
      <c r="E5829">
        <f>YEAR(A5829)</f>
        <v>2015</v>
      </c>
      <c r="F5829" s="33">
        <f>DATE(YEAR(A5829),MONTH(A5829),1)</f>
        <v>42064.0</v>
      </c>
      <c r="G5829" t="str">
        <f>CHOOSE(WEEKDAY(A5829,2),"Mon","Tue","Wed","Thu","Fri","Sat","Sun")</f>
        <v>Mon</v>
      </c>
      <c r="H5829" t="str">
        <f>IF(WEEKDAY(A5829,2)&gt;5,"Weekend","Weekday")</f>
        <v>Weekday</v>
      </c>
      <c r="I5829" t="str">
        <f>_xlfn.IFS(B5829&lt;=5,"Night (0-5)",B5829&lt;=9,"Morning peak (6-9)",B5829&lt;=15,"Midday (10-15)",B5829&lt;=19,"Evening peak (16-19)",TRUE,"Late evening (20-23)")</f>
        <v>Night (0-5)</v>
      </c>
    </row>
    <row r="5830" spans="1:9">
      <c r="A5830" s="32">
        <v>42065</v>
      </c>
      <c r="B5830">
        <v>6</v>
      </c>
      <c r="C5830">
        <v>1569</v>
      </c>
      <c r="D5830" t="s">
        <v>304</v>
      </c>
      <c r="E5830">
        <f>YEAR(A5830)</f>
        <v>2015</v>
      </c>
      <c r="F5830" s="33">
        <f>DATE(YEAR(A5830),MONTH(A5830),1)</f>
        <v>42064.0</v>
      </c>
      <c r="G5830" t="str">
        <f>CHOOSE(WEEKDAY(A5830,2),"Mon","Tue","Wed","Thu","Fri","Sat","Sun")</f>
        <v>Mon</v>
      </c>
      <c r="H5830" t="str">
        <f>IF(WEEKDAY(A5830,2)&gt;5,"Weekend","Weekday")</f>
        <v>Weekday</v>
      </c>
      <c r="I5830" t="str">
        <f>_xlfn.IFS(B5830&lt;=5,"Night (0-5)",B5830&lt;=9,"Morning peak (6-9)",B5830&lt;=15,"Midday (10-15)",B5830&lt;=19,"Evening peak (16-19)",TRUE,"Late evening (20-23)")</f>
        <v>Morning peak (6-9)</v>
      </c>
    </row>
    <row r="5831" spans="1:9">
      <c r="A5831" s="32">
        <v>42065</v>
      </c>
      <c r="B5831">
        <v>7</v>
      </c>
      <c r="C5831">
        <v>2669</v>
      </c>
      <c r="D5831" t="s">
        <v>304</v>
      </c>
      <c r="E5831">
        <f>YEAR(A5831)</f>
        <v>2015</v>
      </c>
      <c r="F5831" s="33">
        <f>DATE(YEAR(A5831),MONTH(A5831),1)</f>
        <v>42064.0</v>
      </c>
      <c r="G5831" t="str">
        <f>CHOOSE(WEEKDAY(A5831,2),"Mon","Tue","Wed","Thu","Fri","Sat","Sun")</f>
        <v>Mon</v>
      </c>
      <c r="H5831" t="str">
        <f>IF(WEEKDAY(A5831,2)&gt;5,"Weekend","Weekday")</f>
        <v>Weekday</v>
      </c>
      <c r="I5831" t="str">
        <f>_xlfn.IFS(B5831&lt;=5,"Night (0-5)",B5831&lt;=9,"Morning peak (6-9)",B5831&lt;=15,"Midday (10-15)",B5831&lt;=19,"Evening peak (16-19)",TRUE,"Late evening (20-23)")</f>
        <v>Morning peak (6-9)</v>
      </c>
    </row>
    <row r="5832" spans="1:9">
      <c r="A5832" s="32">
        <v>42065</v>
      </c>
      <c r="B5832">
        <v>8</v>
      </c>
      <c r="C5832">
        <v>3441</v>
      </c>
      <c r="D5832" t="s">
        <v>304</v>
      </c>
      <c r="E5832">
        <f>YEAR(A5832)</f>
        <v>2015</v>
      </c>
      <c r="F5832" s="33">
        <f>DATE(YEAR(A5832),MONTH(A5832),1)</f>
        <v>42064.0</v>
      </c>
      <c r="G5832" t="str">
        <f>CHOOSE(WEEKDAY(A5832,2),"Mon","Tue","Wed","Thu","Fri","Sat","Sun")</f>
        <v>Mon</v>
      </c>
      <c r="H5832" t="str">
        <f>IF(WEEKDAY(A5832,2)&gt;5,"Weekend","Weekday")</f>
        <v>Weekday</v>
      </c>
      <c r="I5832" t="str">
        <f>_xlfn.IFS(B5832&lt;=5,"Night (0-5)",B5832&lt;=9,"Morning peak (6-9)",B5832&lt;=15,"Midday (10-15)",B5832&lt;=19,"Evening peak (16-19)",TRUE,"Late evening (20-23)")</f>
        <v>Morning peak (6-9)</v>
      </c>
    </row>
    <row r="5833" spans="1:9">
      <c r="A5833" s="32">
        <v>42065</v>
      </c>
      <c r="B5833">
        <v>9</v>
      </c>
      <c r="C5833">
        <v>3555</v>
      </c>
      <c r="D5833" t="s">
        <v>304</v>
      </c>
      <c r="E5833">
        <f>YEAR(A5833)</f>
        <v>2015</v>
      </c>
      <c r="F5833" s="33">
        <f>DATE(YEAR(A5833),MONTH(A5833),1)</f>
        <v>42064.0</v>
      </c>
      <c r="G5833" t="str">
        <f>CHOOSE(WEEKDAY(A5833,2),"Mon","Tue","Wed","Thu","Fri","Sat","Sun")</f>
        <v>Mon</v>
      </c>
      <c r="H5833" t="str">
        <f>IF(WEEKDAY(A5833,2)&gt;5,"Weekend","Weekday")</f>
        <v>Weekday</v>
      </c>
      <c r="I5833" t="str">
        <f>_xlfn.IFS(B5833&lt;=5,"Night (0-5)",B5833&lt;=9,"Morning peak (6-9)",B5833&lt;=15,"Midday (10-15)",B5833&lt;=19,"Evening peak (16-19)",TRUE,"Late evening (20-23)")</f>
        <v>Morning peak (6-9)</v>
      </c>
    </row>
    <row r="5834" spans="1:9">
      <c r="A5834" s="32">
        <v>42065</v>
      </c>
      <c r="B5834">
        <v>10</v>
      </c>
      <c r="C5834">
        <v>2636</v>
      </c>
      <c r="D5834" t="s">
        <v>304</v>
      </c>
      <c r="E5834">
        <f>YEAR(A5834)</f>
        <v>2015</v>
      </c>
      <c r="F5834" s="33">
        <f>DATE(YEAR(A5834),MONTH(A5834),1)</f>
        <v>42064.0</v>
      </c>
      <c r="G5834" t="str">
        <f>CHOOSE(WEEKDAY(A5834,2),"Mon","Tue","Wed","Thu","Fri","Sat","Sun")</f>
        <v>Mon</v>
      </c>
      <c r="H5834" t="str">
        <f>IF(WEEKDAY(A5834,2)&gt;5,"Weekend","Weekday")</f>
        <v>Weekday</v>
      </c>
      <c r="I5834" t="str">
        <f>_xlfn.IFS(B5834&lt;=5,"Night (0-5)",B5834&lt;=9,"Morning peak (6-9)",B5834&lt;=15,"Midday (10-15)",B5834&lt;=19,"Evening peak (16-19)",TRUE,"Late evening (20-23)")</f>
        <v>Midday (10-15)</v>
      </c>
    </row>
    <row r="5835" spans="1:9">
      <c r="A5835" s="32">
        <v>42065</v>
      </c>
      <c r="B5835">
        <v>11</v>
      </c>
      <c r="C5835">
        <v>2350</v>
      </c>
      <c r="D5835" t="s">
        <v>304</v>
      </c>
      <c r="E5835">
        <f>YEAR(A5835)</f>
        <v>2015</v>
      </c>
      <c r="F5835" s="33">
        <f>DATE(YEAR(A5835),MONTH(A5835),1)</f>
        <v>42064.0</v>
      </c>
      <c r="G5835" t="str">
        <f>CHOOSE(WEEKDAY(A5835,2),"Mon","Tue","Wed","Thu","Fri","Sat","Sun")</f>
        <v>Mon</v>
      </c>
      <c r="H5835" t="str">
        <f>IF(WEEKDAY(A5835,2)&gt;5,"Weekend","Weekday")</f>
        <v>Weekday</v>
      </c>
      <c r="I5835" t="str">
        <f>_xlfn.IFS(B5835&lt;=5,"Night (0-5)",B5835&lt;=9,"Morning peak (6-9)",B5835&lt;=15,"Midday (10-15)",B5835&lt;=19,"Evening peak (16-19)",TRUE,"Late evening (20-23)")</f>
        <v>Midday (10-15)</v>
      </c>
    </row>
    <row r="5836" spans="1:9">
      <c r="A5836" s="32">
        <v>42065</v>
      </c>
      <c r="B5836">
        <v>12</v>
      </c>
      <c r="C5836">
        <v>2273</v>
      </c>
      <c r="D5836" t="s">
        <v>304</v>
      </c>
      <c r="E5836">
        <f>YEAR(A5836)</f>
        <v>2015</v>
      </c>
      <c r="F5836" s="33">
        <f>DATE(YEAR(A5836),MONTH(A5836),1)</f>
        <v>42064.0</v>
      </c>
      <c r="G5836" t="str">
        <f>CHOOSE(WEEKDAY(A5836,2),"Mon","Tue","Wed","Thu","Fri","Sat","Sun")</f>
        <v>Mon</v>
      </c>
      <c r="H5836" t="str">
        <f>IF(WEEKDAY(A5836,2)&gt;5,"Weekend","Weekday")</f>
        <v>Weekday</v>
      </c>
      <c r="I5836" t="str">
        <f>_xlfn.IFS(B5836&lt;=5,"Night (0-5)",B5836&lt;=9,"Morning peak (6-9)",B5836&lt;=15,"Midday (10-15)",B5836&lt;=19,"Evening peak (16-19)",TRUE,"Late evening (20-23)")</f>
        <v>Midday (10-15)</v>
      </c>
    </row>
    <row r="5837" spans="1:9">
      <c r="A5837" s="32">
        <v>42065</v>
      </c>
      <c r="B5837">
        <v>13</v>
      </c>
      <c r="C5837">
        <v>2130</v>
      </c>
      <c r="D5837" t="s">
        <v>304</v>
      </c>
      <c r="E5837">
        <f>YEAR(A5837)</f>
        <v>2015</v>
      </c>
      <c r="F5837" s="33">
        <f>DATE(YEAR(A5837),MONTH(A5837),1)</f>
        <v>42064.0</v>
      </c>
      <c r="G5837" t="str">
        <f>CHOOSE(WEEKDAY(A5837,2),"Mon","Tue","Wed","Thu","Fri","Sat","Sun")</f>
        <v>Mon</v>
      </c>
      <c r="H5837" t="str">
        <f>IF(WEEKDAY(A5837,2)&gt;5,"Weekend","Weekday")</f>
        <v>Weekday</v>
      </c>
      <c r="I5837" t="str">
        <f>_xlfn.IFS(B5837&lt;=5,"Night (0-5)",B5837&lt;=9,"Morning peak (6-9)",B5837&lt;=15,"Midday (10-15)",B5837&lt;=19,"Evening peak (16-19)",TRUE,"Late evening (20-23)")</f>
        <v>Midday (10-15)</v>
      </c>
    </row>
    <row r="5838" spans="1:9">
      <c r="A5838" s="32">
        <v>42065</v>
      </c>
      <c r="B5838">
        <v>14</v>
      </c>
      <c r="C5838">
        <v>2163</v>
      </c>
      <c r="D5838" t="s">
        <v>304</v>
      </c>
      <c r="E5838">
        <f>YEAR(A5838)</f>
        <v>2015</v>
      </c>
      <c r="F5838" s="33">
        <f>DATE(YEAR(A5838),MONTH(A5838),1)</f>
        <v>42064.0</v>
      </c>
      <c r="G5838" t="str">
        <f>CHOOSE(WEEKDAY(A5838,2),"Mon","Tue","Wed","Thu","Fri","Sat","Sun")</f>
        <v>Mon</v>
      </c>
      <c r="H5838" t="str">
        <f>IF(WEEKDAY(A5838,2)&gt;5,"Weekend","Weekday")</f>
        <v>Weekday</v>
      </c>
      <c r="I5838" t="str">
        <f>_xlfn.IFS(B5838&lt;=5,"Night (0-5)",B5838&lt;=9,"Morning peak (6-9)",B5838&lt;=15,"Midday (10-15)",B5838&lt;=19,"Evening peak (16-19)",TRUE,"Late evening (20-23)")</f>
        <v>Midday (10-15)</v>
      </c>
    </row>
    <row r="5839" spans="1:9">
      <c r="A5839" s="32">
        <v>42065</v>
      </c>
      <c r="B5839">
        <v>15</v>
      </c>
      <c r="C5839">
        <v>2590</v>
      </c>
      <c r="D5839" t="s">
        <v>304</v>
      </c>
      <c r="E5839">
        <f>YEAR(A5839)</f>
        <v>2015</v>
      </c>
      <c r="F5839" s="33">
        <f>DATE(YEAR(A5839),MONTH(A5839),1)</f>
        <v>42064.0</v>
      </c>
      <c r="G5839" t="str">
        <f>CHOOSE(WEEKDAY(A5839,2),"Mon","Tue","Wed","Thu","Fri","Sat","Sun")</f>
        <v>Mon</v>
      </c>
      <c r="H5839" t="str">
        <f>IF(WEEKDAY(A5839,2)&gt;5,"Weekend","Weekday")</f>
        <v>Weekday</v>
      </c>
      <c r="I5839" t="str">
        <f>_xlfn.IFS(B5839&lt;=5,"Night (0-5)",B5839&lt;=9,"Morning peak (6-9)",B5839&lt;=15,"Midday (10-15)",B5839&lt;=19,"Evening peak (16-19)",TRUE,"Late evening (20-23)")</f>
        <v>Midday (10-15)</v>
      </c>
    </row>
    <row r="5840" spans="1:9">
      <c r="A5840" s="32">
        <v>42065</v>
      </c>
      <c r="B5840">
        <v>16</v>
      </c>
      <c r="C5840">
        <v>2808</v>
      </c>
      <c r="D5840" t="s">
        <v>304</v>
      </c>
      <c r="E5840">
        <f>YEAR(A5840)</f>
        <v>2015</v>
      </c>
      <c r="F5840" s="33">
        <f>DATE(YEAR(A5840),MONTH(A5840),1)</f>
        <v>42064.0</v>
      </c>
      <c r="G5840" t="str">
        <f>CHOOSE(WEEKDAY(A5840,2),"Mon","Tue","Wed","Thu","Fri","Sat","Sun")</f>
        <v>Mon</v>
      </c>
      <c r="H5840" t="str">
        <f>IF(WEEKDAY(A5840,2)&gt;5,"Weekend","Weekday")</f>
        <v>Weekday</v>
      </c>
      <c r="I5840" t="str">
        <f>_xlfn.IFS(B5840&lt;=5,"Night (0-5)",B5840&lt;=9,"Morning peak (6-9)",B5840&lt;=15,"Midday (10-15)",B5840&lt;=19,"Evening peak (16-19)",TRUE,"Late evening (20-23)")</f>
        <v>Evening peak (16-19)</v>
      </c>
    </row>
    <row r="5841" spans="1:9">
      <c r="A5841" s="32">
        <v>42065</v>
      </c>
      <c r="B5841">
        <v>17</v>
      </c>
      <c r="C5841">
        <v>3547</v>
      </c>
      <c r="D5841" t="s">
        <v>304</v>
      </c>
      <c r="E5841">
        <f>YEAR(A5841)</f>
        <v>2015</v>
      </c>
      <c r="F5841" s="33">
        <f>DATE(YEAR(A5841),MONTH(A5841),1)</f>
        <v>42064.0</v>
      </c>
      <c r="G5841" t="str">
        <f>CHOOSE(WEEKDAY(A5841,2),"Mon","Tue","Wed","Thu","Fri","Sat","Sun")</f>
        <v>Mon</v>
      </c>
      <c r="H5841" t="str">
        <f>IF(WEEKDAY(A5841,2)&gt;5,"Weekend","Weekday")</f>
        <v>Weekday</v>
      </c>
      <c r="I5841" t="str">
        <f>_xlfn.IFS(B5841&lt;=5,"Night (0-5)",B5841&lt;=9,"Morning peak (6-9)",B5841&lt;=15,"Midday (10-15)",B5841&lt;=19,"Evening peak (16-19)",TRUE,"Late evening (20-23)")</f>
        <v>Evening peak (16-19)</v>
      </c>
    </row>
    <row r="5842" spans="1:9">
      <c r="A5842" s="32">
        <v>42065</v>
      </c>
      <c r="B5842">
        <v>18</v>
      </c>
      <c r="C5842">
        <v>4329</v>
      </c>
      <c r="D5842" t="s">
        <v>304</v>
      </c>
      <c r="E5842">
        <f>YEAR(A5842)</f>
        <v>2015</v>
      </c>
      <c r="F5842" s="33">
        <f>DATE(YEAR(A5842),MONTH(A5842),1)</f>
        <v>42064.0</v>
      </c>
      <c r="G5842" t="str">
        <f>CHOOSE(WEEKDAY(A5842,2),"Mon","Tue","Wed","Thu","Fri","Sat","Sun")</f>
        <v>Mon</v>
      </c>
      <c r="H5842" t="str">
        <f>IF(WEEKDAY(A5842,2)&gt;5,"Weekend","Weekday")</f>
        <v>Weekday</v>
      </c>
      <c r="I5842" t="str">
        <f>_xlfn.IFS(B5842&lt;=5,"Night (0-5)",B5842&lt;=9,"Morning peak (6-9)",B5842&lt;=15,"Midday (10-15)",B5842&lt;=19,"Evening peak (16-19)",TRUE,"Late evening (20-23)")</f>
        <v>Evening peak (16-19)</v>
      </c>
    </row>
    <row r="5843" spans="1:9">
      <c r="A5843" s="32">
        <v>42065</v>
      </c>
      <c r="B5843">
        <v>19</v>
      </c>
      <c r="C5843">
        <v>4201</v>
      </c>
      <c r="D5843" t="s">
        <v>304</v>
      </c>
      <c r="E5843">
        <f>YEAR(A5843)</f>
        <v>2015</v>
      </c>
      <c r="F5843" s="33">
        <f>DATE(YEAR(A5843),MONTH(A5843),1)</f>
        <v>42064.0</v>
      </c>
      <c r="G5843" t="str">
        <f>CHOOSE(WEEKDAY(A5843,2),"Mon","Tue","Wed","Thu","Fri","Sat","Sun")</f>
        <v>Mon</v>
      </c>
      <c r="H5843" t="str">
        <f>IF(WEEKDAY(A5843,2)&gt;5,"Weekend","Weekday")</f>
        <v>Weekday</v>
      </c>
      <c r="I5843" t="str">
        <f>_xlfn.IFS(B5843&lt;=5,"Night (0-5)",B5843&lt;=9,"Morning peak (6-9)",B5843&lt;=15,"Midday (10-15)",B5843&lt;=19,"Evening peak (16-19)",TRUE,"Late evening (20-23)")</f>
        <v>Evening peak (16-19)</v>
      </c>
    </row>
    <row r="5844" spans="1:9">
      <c r="A5844" s="32">
        <v>42065</v>
      </c>
      <c r="B5844">
        <v>20</v>
      </c>
      <c r="C5844">
        <v>3870</v>
      </c>
      <c r="D5844" t="s">
        <v>304</v>
      </c>
      <c r="E5844">
        <f>YEAR(A5844)</f>
        <v>2015</v>
      </c>
      <c r="F5844" s="33">
        <f>DATE(YEAR(A5844),MONTH(A5844),1)</f>
        <v>42064.0</v>
      </c>
      <c r="G5844" t="str">
        <f>CHOOSE(WEEKDAY(A5844,2),"Mon","Tue","Wed","Thu","Fri","Sat","Sun")</f>
        <v>Mon</v>
      </c>
      <c r="H5844" t="str">
        <f>IF(WEEKDAY(A5844,2)&gt;5,"Weekend","Weekday")</f>
        <v>Weekday</v>
      </c>
      <c r="I5844" t="str">
        <f>_xlfn.IFS(B5844&lt;=5,"Night (0-5)",B5844&lt;=9,"Morning peak (6-9)",B5844&lt;=15,"Midday (10-15)",B5844&lt;=19,"Evening peak (16-19)",TRUE,"Late evening (20-23)")</f>
        <v>Late evening (20-23)</v>
      </c>
    </row>
    <row r="5845" spans="1:9">
      <c r="A5845" s="32">
        <v>42065</v>
      </c>
      <c r="B5845">
        <v>21</v>
      </c>
      <c r="C5845">
        <v>3517</v>
      </c>
      <c r="D5845" t="s">
        <v>304</v>
      </c>
      <c r="E5845">
        <f>YEAR(A5845)</f>
        <v>2015</v>
      </c>
      <c r="F5845" s="33">
        <f>DATE(YEAR(A5845),MONTH(A5845),1)</f>
        <v>42064.0</v>
      </c>
      <c r="G5845" t="str">
        <f>CHOOSE(WEEKDAY(A5845,2),"Mon","Tue","Wed","Thu","Fri","Sat","Sun")</f>
        <v>Mon</v>
      </c>
      <c r="H5845" t="str">
        <f>IF(WEEKDAY(A5845,2)&gt;5,"Weekend","Weekday")</f>
        <v>Weekday</v>
      </c>
      <c r="I5845" t="str">
        <f>_xlfn.IFS(B5845&lt;=5,"Night (0-5)",B5845&lt;=9,"Morning peak (6-9)",B5845&lt;=15,"Midday (10-15)",B5845&lt;=19,"Evening peak (16-19)",TRUE,"Late evening (20-23)")</f>
        <v>Late evening (20-23)</v>
      </c>
    </row>
    <row r="5846" spans="1:9">
      <c r="A5846" s="32">
        <v>42065</v>
      </c>
      <c r="B5846">
        <v>22</v>
      </c>
      <c r="C5846">
        <v>3080</v>
      </c>
      <c r="D5846" t="s">
        <v>304</v>
      </c>
      <c r="E5846">
        <f>YEAR(A5846)</f>
        <v>2015</v>
      </c>
      <c r="F5846" s="33">
        <f>DATE(YEAR(A5846),MONTH(A5846),1)</f>
        <v>42064.0</v>
      </c>
      <c r="G5846" t="str">
        <f>CHOOSE(WEEKDAY(A5846,2),"Mon","Tue","Wed","Thu","Fri","Sat","Sun")</f>
        <v>Mon</v>
      </c>
      <c r="H5846" t="str">
        <f>IF(WEEKDAY(A5846,2)&gt;5,"Weekend","Weekday")</f>
        <v>Weekday</v>
      </c>
      <c r="I5846" t="str">
        <f>_xlfn.IFS(B5846&lt;=5,"Night (0-5)",B5846&lt;=9,"Morning peak (6-9)",B5846&lt;=15,"Midday (10-15)",B5846&lt;=19,"Evening peak (16-19)",TRUE,"Late evening (20-23)")</f>
        <v>Late evening (20-23)</v>
      </c>
    </row>
    <row r="5847" spans="1:9">
      <c r="A5847" s="32">
        <v>42065</v>
      </c>
      <c r="B5847">
        <v>23</v>
      </c>
      <c r="C5847">
        <v>2349</v>
      </c>
      <c r="D5847" t="s">
        <v>304</v>
      </c>
      <c r="E5847">
        <f>YEAR(A5847)</f>
        <v>2015</v>
      </c>
      <c r="F5847" s="33">
        <f>DATE(YEAR(A5847),MONTH(A5847),1)</f>
        <v>42064.0</v>
      </c>
      <c r="G5847" t="str">
        <f>CHOOSE(WEEKDAY(A5847,2),"Mon","Tue","Wed","Thu","Fri","Sat","Sun")</f>
        <v>Mon</v>
      </c>
      <c r="H5847" t="str">
        <f>IF(WEEKDAY(A5847,2)&gt;5,"Weekend","Weekday")</f>
        <v>Weekday</v>
      </c>
      <c r="I5847" t="str">
        <f>_xlfn.IFS(B5847&lt;=5,"Night (0-5)",B5847&lt;=9,"Morning peak (6-9)",B5847&lt;=15,"Midday (10-15)",B5847&lt;=19,"Evening peak (16-19)",TRUE,"Late evening (20-23)")</f>
        <v>Late evening (20-23)</v>
      </c>
    </row>
    <row r="5848" spans="1:9">
      <c r="A5848" s="32">
        <v>42066</v>
      </c>
      <c r="B5848">
        <v>0</v>
      </c>
      <c r="C5848">
        <v>1508</v>
      </c>
      <c r="D5848" t="s">
        <v>304</v>
      </c>
      <c r="E5848">
        <f>YEAR(A5848)</f>
        <v>2015</v>
      </c>
      <c r="F5848" s="33">
        <f>DATE(YEAR(A5848),MONTH(A5848),1)</f>
        <v>42064.0</v>
      </c>
      <c r="G5848" t="str">
        <f>CHOOSE(WEEKDAY(A5848,2),"Mon","Tue","Wed","Thu","Fri","Sat","Sun")</f>
        <v>Tue</v>
      </c>
      <c r="H5848" t="str">
        <f>IF(WEEKDAY(A5848,2)&gt;5,"Weekend","Weekday")</f>
        <v>Weekday</v>
      </c>
      <c r="I5848" t="str">
        <f>_xlfn.IFS(B5848&lt;=5,"Night (0-5)",B5848&lt;=9,"Morning peak (6-9)",B5848&lt;=15,"Midday (10-15)",B5848&lt;=19,"Evening peak (16-19)",TRUE,"Late evening (20-23)")</f>
        <v>Night (0-5)</v>
      </c>
    </row>
    <row r="5849" spans="1:9">
      <c r="A5849" s="32">
        <v>42066</v>
      </c>
      <c r="B5849">
        <v>1</v>
      </c>
      <c r="C5849">
        <v>744</v>
      </c>
      <c r="D5849" t="s">
        <v>304</v>
      </c>
      <c r="E5849">
        <f>YEAR(A5849)</f>
        <v>2015</v>
      </c>
      <c r="F5849" s="33">
        <f>DATE(YEAR(A5849),MONTH(A5849),1)</f>
        <v>42064.0</v>
      </c>
      <c r="G5849" t="str">
        <f>CHOOSE(WEEKDAY(A5849,2),"Mon","Tue","Wed","Thu","Fri","Sat","Sun")</f>
        <v>Tue</v>
      </c>
      <c r="H5849" t="str">
        <f>IF(WEEKDAY(A5849,2)&gt;5,"Weekend","Weekday")</f>
        <v>Weekday</v>
      </c>
      <c r="I5849" t="str">
        <f>_xlfn.IFS(B5849&lt;=5,"Night (0-5)",B5849&lt;=9,"Morning peak (6-9)",B5849&lt;=15,"Midday (10-15)",B5849&lt;=19,"Evening peak (16-19)",TRUE,"Late evening (20-23)")</f>
        <v>Night (0-5)</v>
      </c>
    </row>
    <row r="5850" spans="1:9">
      <c r="A5850" s="32">
        <v>42066</v>
      </c>
      <c r="B5850">
        <v>2</v>
      </c>
      <c r="C5850">
        <v>477</v>
      </c>
      <c r="D5850" t="s">
        <v>304</v>
      </c>
      <c r="E5850">
        <f>YEAR(A5850)</f>
        <v>2015</v>
      </c>
      <c r="F5850" s="33">
        <f>DATE(YEAR(A5850),MONTH(A5850),1)</f>
        <v>42064.0</v>
      </c>
      <c r="G5850" t="str">
        <f>CHOOSE(WEEKDAY(A5850,2),"Mon","Tue","Wed","Thu","Fri","Sat","Sun")</f>
        <v>Tue</v>
      </c>
      <c r="H5850" t="str">
        <f>IF(WEEKDAY(A5850,2)&gt;5,"Weekend","Weekday")</f>
        <v>Weekday</v>
      </c>
      <c r="I5850" t="str">
        <f>_xlfn.IFS(B5850&lt;=5,"Night (0-5)",B5850&lt;=9,"Morning peak (6-9)",B5850&lt;=15,"Midday (10-15)",B5850&lt;=19,"Evening peak (16-19)",TRUE,"Late evening (20-23)")</f>
        <v>Night (0-5)</v>
      </c>
    </row>
    <row r="5851" spans="1:9">
      <c r="A5851" s="32">
        <v>42066</v>
      </c>
      <c r="B5851">
        <v>3</v>
      </c>
      <c r="C5851">
        <v>314</v>
      </c>
      <c r="D5851" t="s">
        <v>304</v>
      </c>
      <c r="E5851">
        <f>YEAR(A5851)</f>
        <v>2015</v>
      </c>
      <c r="F5851" s="33">
        <f>DATE(YEAR(A5851),MONTH(A5851),1)</f>
        <v>42064.0</v>
      </c>
      <c r="G5851" t="str">
        <f>CHOOSE(WEEKDAY(A5851,2),"Mon","Tue","Wed","Thu","Fri","Sat","Sun")</f>
        <v>Tue</v>
      </c>
      <c r="H5851" t="str">
        <f>IF(WEEKDAY(A5851,2)&gt;5,"Weekend","Weekday")</f>
        <v>Weekday</v>
      </c>
      <c r="I5851" t="str">
        <f>_xlfn.IFS(B5851&lt;=5,"Night (0-5)",B5851&lt;=9,"Morning peak (6-9)",B5851&lt;=15,"Midday (10-15)",B5851&lt;=19,"Evening peak (16-19)",TRUE,"Late evening (20-23)")</f>
        <v>Night (0-5)</v>
      </c>
    </row>
    <row r="5852" spans="1:9">
      <c r="A5852" s="32">
        <v>42066</v>
      </c>
      <c r="B5852">
        <v>4</v>
      </c>
      <c r="C5852">
        <v>455</v>
      </c>
      <c r="D5852" t="s">
        <v>304</v>
      </c>
      <c r="E5852">
        <f>YEAR(A5852)</f>
        <v>2015</v>
      </c>
      <c r="F5852" s="33">
        <f>DATE(YEAR(A5852),MONTH(A5852),1)</f>
        <v>42064.0</v>
      </c>
      <c r="G5852" t="str">
        <f>CHOOSE(WEEKDAY(A5852,2),"Mon","Tue","Wed","Thu","Fri","Sat","Sun")</f>
        <v>Tue</v>
      </c>
      <c r="H5852" t="str">
        <f>IF(WEEKDAY(A5852,2)&gt;5,"Weekend","Weekday")</f>
        <v>Weekday</v>
      </c>
      <c r="I5852" t="str">
        <f>_xlfn.IFS(B5852&lt;=5,"Night (0-5)",B5852&lt;=9,"Morning peak (6-9)",B5852&lt;=15,"Midday (10-15)",B5852&lt;=19,"Evening peak (16-19)",TRUE,"Late evening (20-23)")</f>
        <v>Night (0-5)</v>
      </c>
    </row>
    <row r="5853" spans="1:9">
      <c r="A5853" s="32">
        <v>42066</v>
      </c>
      <c r="B5853">
        <v>5</v>
      </c>
      <c r="C5853">
        <v>826</v>
      </c>
      <c r="D5853" t="s">
        <v>304</v>
      </c>
      <c r="E5853">
        <f>YEAR(A5853)</f>
        <v>2015</v>
      </c>
      <c r="F5853" s="33">
        <f>DATE(YEAR(A5853),MONTH(A5853),1)</f>
        <v>42064.0</v>
      </c>
      <c r="G5853" t="str">
        <f>CHOOSE(WEEKDAY(A5853,2),"Mon","Tue","Wed","Thu","Fri","Sat","Sun")</f>
        <v>Tue</v>
      </c>
      <c r="H5853" t="str">
        <f>IF(WEEKDAY(A5853,2)&gt;5,"Weekend","Weekday")</f>
        <v>Weekday</v>
      </c>
      <c r="I5853" t="str">
        <f>_xlfn.IFS(B5853&lt;=5,"Night (0-5)",B5853&lt;=9,"Morning peak (6-9)",B5853&lt;=15,"Midday (10-15)",B5853&lt;=19,"Evening peak (16-19)",TRUE,"Late evening (20-23)")</f>
        <v>Night (0-5)</v>
      </c>
    </row>
    <row r="5854" spans="1:9">
      <c r="A5854" s="32">
        <v>42066</v>
      </c>
      <c r="B5854">
        <v>6</v>
      </c>
      <c r="C5854">
        <v>1729</v>
      </c>
      <c r="D5854" t="s">
        <v>304</v>
      </c>
      <c r="E5854">
        <f>YEAR(A5854)</f>
        <v>2015</v>
      </c>
      <c r="F5854" s="33">
        <f>DATE(YEAR(A5854),MONTH(A5854),1)</f>
        <v>42064.0</v>
      </c>
      <c r="G5854" t="str">
        <f>CHOOSE(WEEKDAY(A5854,2),"Mon","Tue","Wed","Thu","Fri","Sat","Sun")</f>
        <v>Tue</v>
      </c>
      <c r="H5854" t="str">
        <f>IF(WEEKDAY(A5854,2)&gt;5,"Weekend","Weekday")</f>
        <v>Weekday</v>
      </c>
      <c r="I5854" t="str">
        <f>_xlfn.IFS(B5854&lt;=5,"Night (0-5)",B5854&lt;=9,"Morning peak (6-9)",B5854&lt;=15,"Midday (10-15)",B5854&lt;=19,"Evening peak (16-19)",TRUE,"Late evening (20-23)")</f>
        <v>Morning peak (6-9)</v>
      </c>
    </row>
    <row r="5855" spans="1:9">
      <c r="A5855" s="32">
        <v>42066</v>
      </c>
      <c r="B5855">
        <v>7</v>
      </c>
      <c r="C5855">
        <v>3150</v>
      </c>
      <c r="D5855" t="s">
        <v>304</v>
      </c>
      <c r="E5855">
        <f>YEAR(A5855)</f>
        <v>2015</v>
      </c>
      <c r="F5855" s="33">
        <f>DATE(YEAR(A5855),MONTH(A5855),1)</f>
        <v>42064.0</v>
      </c>
      <c r="G5855" t="str">
        <f>CHOOSE(WEEKDAY(A5855,2),"Mon","Tue","Wed","Thu","Fri","Sat","Sun")</f>
        <v>Tue</v>
      </c>
      <c r="H5855" t="str">
        <f>IF(WEEKDAY(A5855,2)&gt;5,"Weekend","Weekday")</f>
        <v>Weekday</v>
      </c>
      <c r="I5855" t="str">
        <f>_xlfn.IFS(B5855&lt;=5,"Night (0-5)",B5855&lt;=9,"Morning peak (6-9)",B5855&lt;=15,"Midday (10-15)",B5855&lt;=19,"Evening peak (16-19)",TRUE,"Late evening (20-23)")</f>
        <v>Morning peak (6-9)</v>
      </c>
    </row>
    <row r="5856" spans="1:9">
      <c r="A5856" s="32">
        <v>42066</v>
      </c>
      <c r="B5856">
        <v>8</v>
      </c>
      <c r="C5856">
        <v>4000</v>
      </c>
      <c r="D5856" t="s">
        <v>304</v>
      </c>
      <c r="E5856">
        <f>YEAR(A5856)</f>
        <v>2015</v>
      </c>
      <c r="F5856" s="33">
        <f>DATE(YEAR(A5856),MONTH(A5856),1)</f>
        <v>42064.0</v>
      </c>
      <c r="G5856" t="str">
        <f>CHOOSE(WEEKDAY(A5856,2),"Mon","Tue","Wed","Thu","Fri","Sat","Sun")</f>
        <v>Tue</v>
      </c>
      <c r="H5856" t="str">
        <f>IF(WEEKDAY(A5856,2)&gt;5,"Weekend","Weekday")</f>
        <v>Weekday</v>
      </c>
      <c r="I5856" t="str">
        <f>_xlfn.IFS(B5856&lt;=5,"Night (0-5)",B5856&lt;=9,"Morning peak (6-9)",B5856&lt;=15,"Midday (10-15)",B5856&lt;=19,"Evening peak (16-19)",TRUE,"Late evening (20-23)")</f>
        <v>Morning peak (6-9)</v>
      </c>
    </row>
    <row r="5857" spans="1:9">
      <c r="A5857" s="32">
        <v>42066</v>
      </c>
      <c r="B5857">
        <v>9</v>
      </c>
      <c r="C5857">
        <v>3451</v>
      </c>
      <c r="D5857" t="s">
        <v>304</v>
      </c>
      <c r="E5857">
        <f>YEAR(A5857)</f>
        <v>2015</v>
      </c>
      <c r="F5857" s="33">
        <f>DATE(YEAR(A5857),MONTH(A5857),1)</f>
        <v>42064.0</v>
      </c>
      <c r="G5857" t="str">
        <f>CHOOSE(WEEKDAY(A5857,2),"Mon","Tue","Wed","Thu","Fri","Sat","Sun")</f>
        <v>Tue</v>
      </c>
      <c r="H5857" t="str">
        <f>IF(WEEKDAY(A5857,2)&gt;5,"Weekend","Weekday")</f>
        <v>Weekday</v>
      </c>
      <c r="I5857" t="str">
        <f>_xlfn.IFS(B5857&lt;=5,"Night (0-5)",B5857&lt;=9,"Morning peak (6-9)",B5857&lt;=15,"Midday (10-15)",B5857&lt;=19,"Evening peak (16-19)",TRUE,"Late evening (20-23)")</f>
        <v>Morning peak (6-9)</v>
      </c>
    </row>
    <row r="5858" spans="1:9">
      <c r="A5858" s="32">
        <v>42066</v>
      </c>
      <c r="B5858">
        <v>10</v>
      </c>
      <c r="C5858">
        <v>2518</v>
      </c>
      <c r="D5858" t="s">
        <v>304</v>
      </c>
      <c r="E5858">
        <f>YEAR(A5858)</f>
        <v>2015</v>
      </c>
      <c r="F5858" s="33">
        <f>DATE(YEAR(A5858),MONTH(A5858),1)</f>
        <v>42064.0</v>
      </c>
      <c r="G5858" t="str">
        <f>CHOOSE(WEEKDAY(A5858,2),"Mon","Tue","Wed","Thu","Fri","Sat","Sun")</f>
        <v>Tue</v>
      </c>
      <c r="H5858" t="str">
        <f>IF(WEEKDAY(A5858,2)&gt;5,"Weekend","Weekday")</f>
        <v>Weekday</v>
      </c>
      <c r="I5858" t="str">
        <f>_xlfn.IFS(B5858&lt;=5,"Night (0-5)",B5858&lt;=9,"Morning peak (6-9)",B5858&lt;=15,"Midday (10-15)",B5858&lt;=19,"Evening peak (16-19)",TRUE,"Late evening (20-23)")</f>
        <v>Midday (10-15)</v>
      </c>
    </row>
    <row r="5859" spans="1:9">
      <c r="A5859" s="32">
        <v>42066</v>
      </c>
      <c r="B5859">
        <v>11</v>
      </c>
      <c r="C5859">
        <v>2331</v>
      </c>
      <c r="D5859" t="s">
        <v>304</v>
      </c>
      <c r="E5859">
        <f>YEAR(A5859)</f>
        <v>2015</v>
      </c>
      <c r="F5859" s="33">
        <f>DATE(YEAR(A5859),MONTH(A5859),1)</f>
        <v>42064.0</v>
      </c>
      <c r="G5859" t="str">
        <f>CHOOSE(WEEKDAY(A5859,2),"Mon","Tue","Wed","Thu","Fri","Sat","Sun")</f>
        <v>Tue</v>
      </c>
      <c r="H5859" t="str">
        <f>IF(WEEKDAY(A5859,2)&gt;5,"Weekend","Weekday")</f>
        <v>Weekday</v>
      </c>
      <c r="I5859" t="str">
        <f>_xlfn.IFS(B5859&lt;=5,"Night (0-5)",B5859&lt;=9,"Morning peak (6-9)",B5859&lt;=15,"Midday (10-15)",B5859&lt;=19,"Evening peak (16-19)",TRUE,"Late evening (20-23)")</f>
        <v>Midday (10-15)</v>
      </c>
    </row>
    <row r="5860" spans="1:9">
      <c r="A5860" s="32">
        <v>42066</v>
      </c>
      <c r="B5860">
        <v>12</v>
      </c>
      <c r="C5860">
        <v>2323</v>
      </c>
      <c r="D5860" t="s">
        <v>304</v>
      </c>
      <c r="E5860">
        <f>YEAR(A5860)</f>
        <v>2015</v>
      </c>
      <c r="F5860" s="33">
        <f>DATE(YEAR(A5860),MONTH(A5860),1)</f>
        <v>42064.0</v>
      </c>
      <c r="G5860" t="str">
        <f>CHOOSE(WEEKDAY(A5860,2),"Mon","Tue","Wed","Thu","Fri","Sat","Sun")</f>
        <v>Tue</v>
      </c>
      <c r="H5860" t="str">
        <f>IF(WEEKDAY(A5860,2)&gt;5,"Weekend","Weekday")</f>
        <v>Weekday</v>
      </c>
      <c r="I5860" t="str">
        <f>_xlfn.IFS(B5860&lt;=5,"Night (0-5)",B5860&lt;=9,"Morning peak (6-9)",B5860&lt;=15,"Midday (10-15)",B5860&lt;=19,"Evening peak (16-19)",TRUE,"Late evening (20-23)")</f>
        <v>Midday (10-15)</v>
      </c>
    </row>
    <row r="5861" spans="1:9">
      <c r="A5861" s="32">
        <v>42066</v>
      </c>
      <c r="B5861">
        <v>13</v>
      </c>
      <c r="C5861">
        <v>2201</v>
      </c>
      <c r="D5861" t="s">
        <v>304</v>
      </c>
      <c r="E5861">
        <f>YEAR(A5861)</f>
        <v>2015</v>
      </c>
      <c r="F5861" s="33">
        <f>DATE(YEAR(A5861),MONTH(A5861),1)</f>
        <v>42064.0</v>
      </c>
      <c r="G5861" t="str">
        <f>CHOOSE(WEEKDAY(A5861,2),"Mon","Tue","Wed","Thu","Fri","Sat","Sun")</f>
        <v>Tue</v>
      </c>
      <c r="H5861" t="str">
        <f>IF(WEEKDAY(A5861,2)&gt;5,"Weekend","Weekday")</f>
        <v>Weekday</v>
      </c>
      <c r="I5861" t="str">
        <f>_xlfn.IFS(B5861&lt;=5,"Night (0-5)",B5861&lt;=9,"Morning peak (6-9)",B5861&lt;=15,"Midday (10-15)",B5861&lt;=19,"Evening peak (16-19)",TRUE,"Late evening (20-23)")</f>
        <v>Midday (10-15)</v>
      </c>
    </row>
    <row r="5862" spans="1:9">
      <c r="A5862" s="32">
        <v>42066</v>
      </c>
      <c r="B5862">
        <v>14</v>
      </c>
      <c r="C5862">
        <v>2577</v>
      </c>
      <c r="D5862" t="s">
        <v>304</v>
      </c>
      <c r="E5862">
        <f>YEAR(A5862)</f>
        <v>2015</v>
      </c>
      <c r="F5862" s="33">
        <f>DATE(YEAR(A5862),MONTH(A5862),1)</f>
        <v>42064.0</v>
      </c>
      <c r="G5862" t="str">
        <f>CHOOSE(WEEKDAY(A5862,2),"Mon","Tue","Wed","Thu","Fri","Sat","Sun")</f>
        <v>Tue</v>
      </c>
      <c r="H5862" t="str">
        <f>IF(WEEKDAY(A5862,2)&gt;5,"Weekend","Weekday")</f>
        <v>Weekday</v>
      </c>
      <c r="I5862" t="str">
        <f>_xlfn.IFS(B5862&lt;=5,"Night (0-5)",B5862&lt;=9,"Morning peak (6-9)",B5862&lt;=15,"Midday (10-15)",B5862&lt;=19,"Evening peak (16-19)",TRUE,"Late evening (20-23)")</f>
        <v>Midday (10-15)</v>
      </c>
    </row>
    <row r="5863" spans="1:9">
      <c r="A5863" s="32">
        <v>42066</v>
      </c>
      <c r="B5863">
        <v>15</v>
      </c>
      <c r="C5863">
        <v>3300</v>
      </c>
      <c r="D5863" t="s">
        <v>304</v>
      </c>
      <c r="E5863">
        <f>YEAR(A5863)</f>
        <v>2015</v>
      </c>
      <c r="F5863" s="33">
        <f>DATE(YEAR(A5863),MONTH(A5863),1)</f>
        <v>42064.0</v>
      </c>
      <c r="G5863" t="str">
        <f>CHOOSE(WEEKDAY(A5863,2),"Mon","Tue","Wed","Thu","Fri","Sat","Sun")</f>
        <v>Tue</v>
      </c>
      <c r="H5863" t="str">
        <f>IF(WEEKDAY(A5863,2)&gt;5,"Weekend","Weekday")</f>
        <v>Weekday</v>
      </c>
      <c r="I5863" t="str">
        <f>_xlfn.IFS(B5863&lt;=5,"Night (0-5)",B5863&lt;=9,"Morning peak (6-9)",B5863&lt;=15,"Midday (10-15)",B5863&lt;=19,"Evening peak (16-19)",TRUE,"Late evening (20-23)")</f>
        <v>Midday (10-15)</v>
      </c>
    </row>
    <row r="5864" spans="1:9">
      <c r="A5864" s="32">
        <v>42066</v>
      </c>
      <c r="B5864">
        <v>16</v>
      </c>
      <c r="C5864">
        <v>4169</v>
      </c>
      <c r="D5864" t="s">
        <v>304</v>
      </c>
      <c r="E5864">
        <f>YEAR(A5864)</f>
        <v>2015</v>
      </c>
      <c r="F5864" s="33">
        <f>DATE(YEAR(A5864),MONTH(A5864),1)</f>
        <v>42064.0</v>
      </c>
      <c r="G5864" t="str">
        <f>CHOOSE(WEEKDAY(A5864,2),"Mon","Tue","Wed","Thu","Fri","Sat","Sun")</f>
        <v>Tue</v>
      </c>
      <c r="H5864" t="str">
        <f>IF(WEEKDAY(A5864,2)&gt;5,"Weekend","Weekday")</f>
        <v>Weekday</v>
      </c>
      <c r="I5864" t="str">
        <f>_xlfn.IFS(B5864&lt;=5,"Night (0-5)",B5864&lt;=9,"Morning peak (6-9)",B5864&lt;=15,"Midday (10-15)",B5864&lt;=19,"Evening peak (16-19)",TRUE,"Late evening (20-23)")</f>
        <v>Evening peak (16-19)</v>
      </c>
    </row>
    <row r="5865" spans="1:9">
      <c r="A5865" s="32">
        <v>42066</v>
      </c>
      <c r="B5865">
        <v>17</v>
      </c>
      <c r="C5865">
        <v>5191</v>
      </c>
      <c r="D5865" t="s">
        <v>304</v>
      </c>
      <c r="E5865">
        <f>YEAR(A5865)</f>
        <v>2015</v>
      </c>
      <c r="F5865" s="33">
        <f>DATE(YEAR(A5865),MONTH(A5865),1)</f>
        <v>42064.0</v>
      </c>
      <c r="G5865" t="str">
        <f>CHOOSE(WEEKDAY(A5865,2),"Mon","Tue","Wed","Thu","Fri","Sat","Sun")</f>
        <v>Tue</v>
      </c>
      <c r="H5865" t="str">
        <f>IF(WEEKDAY(A5865,2)&gt;5,"Weekend","Weekday")</f>
        <v>Weekday</v>
      </c>
      <c r="I5865" t="str">
        <f>_xlfn.IFS(B5865&lt;=5,"Night (0-5)",B5865&lt;=9,"Morning peak (6-9)",B5865&lt;=15,"Midday (10-15)",B5865&lt;=19,"Evening peak (16-19)",TRUE,"Late evening (20-23)")</f>
        <v>Evening peak (16-19)</v>
      </c>
    </row>
    <row r="5866" spans="1:9">
      <c r="A5866" s="32">
        <v>42066</v>
      </c>
      <c r="B5866">
        <v>18</v>
      </c>
      <c r="C5866">
        <v>5765</v>
      </c>
      <c r="D5866" t="s">
        <v>304</v>
      </c>
      <c r="E5866">
        <f>YEAR(A5866)</f>
        <v>2015</v>
      </c>
      <c r="F5866" s="33">
        <f>DATE(YEAR(A5866),MONTH(A5866),1)</f>
        <v>42064.0</v>
      </c>
      <c r="G5866" t="str">
        <f>CHOOSE(WEEKDAY(A5866,2),"Mon","Tue","Wed","Thu","Fri","Sat","Sun")</f>
        <v>Tue</v>
      </c>
      <c r="H5866" t="str">
        <f>IF(WEEKDAY(A5866,2)&gt;5,"Weekend","Weekday")</f>
        <v>Weekday</v>
      </c>
      <c r="I5866" t="str">
        <f>_xlfn.IFS(B5866&lt;=5,"Night (0-5)",B5866&lt;=9,"Morning peak (6-9)",B5866&lt;=15,"Midday (10-15)",B5866&lt;=19,"Evening peak (16-19)",TRUE,"Late evening (20-23)")</f>
        <v>Evening peak (16-19)</v>
      </c>
    </row>
    <row r="5867" spans="1:9">
      <c r="A5867" s="32">
        <v>42066</v>
      </c>
      <c r="B5867">
        <v>19</v>
      </c>
      <c r="C5867">
        <v>6422</v>
      </c>
      <c r="D5867" t="s">
        <v>304</v>
      </c>
      <c r="E5867">
        <f>YEAR(A5867)</f>
        <v>2015</v>
      </c>
      <c r="F5867" s="33">
        <f>DATE(YEAR(A5867),MONTH(A5867),1)</f>
        <v>42064.0</v>
      </c>
      <c r="G5867" t="str">
        <f>CHOOSE(WEEKDAY(A5867,2),"Mon","Tue","Wed","Thu","Fri","Sat","Sun")</f>
        <v>Tue</v>
      </c>
      <c r="H5867" t="str">
        <f>IF(WEEKDAY(A5867,2)&gt;5,"Weekend","Weekday")</f>
        <v>Weekday</v>
      </c>
      <c r="I5867" t="str">
        <f>_xlfn.IFS(B5867&lt;=5,"Night (0-5)",B5867&lt;=9,"Morning peak (6-9)",B5867&lt;=15,"Midday (10-15)",B5867&lt;=19,"Evening peak (16-19)",TRUE,"Late evening (20-23)")</f>
        <v>Evening peak (16-19)</v>
      </c>
    </row>
    <row r="5868" spans="1:9">
      <c r="A5868" s="32">
        <v>42066</v>
      </c>
      <c r="B5868">
        <v>20</v>
      </c>
      <c r="C5868">
        <v>6569</v>
      </c>
      <c r="D5868" t="s">
        <v>304</v>
      </c>
      <c r="E5868">
        <f>YEAR(A5868)</f>
        <v>2015</v>
      </c>
      <c r="F5868" s="33">
        <f>DATE(YEAR(A5868),MONTH(A5868),1)</f>
        <v>42064.0</v>
      </c>
      <c r="G5868" t="str">
        <f>CHOOSE(WEEKDAY(A5868,2),"Mon","Tue","Wed","Thu","Fri","Sat","Sun")</f>
        <v>Tue</v>
      </c>
      <c r="H5868" t="str">
        <f>IF(WEEKDAY(A5868,2)&gt;5,"Weekend","Weekday")</f>
        <v>Weekday</v>
      </c>
      <c r="I5868" t="str">
        <f>_xlfn.IFS(B5868&lt;=5,"Night (0-5)",B5868&lt;=9,"Morning peak (6-9)",B5868&lt;=15,"Midday (10-15)",B5868&lt;=19,"Evening peak (16-19)",TRUE,"Late evening (20-23)")</f>
        <v>Late evening (20-23)</v>
      </c>
    </row>
    <row r="5869" spans="1:9">
      <c r="A5869" s="32">
        <v>42066</v>
      </c>
      <c r="B5869">
        <v>21</v>
      </c>
      <c r="C5869">
        <v>6219</v>
      </c>
      <c r="D5869" t="s">
        <v>304</v>
      </c>
      <c r="E5869">
        <f>YEAR(A5869)</f>
        <v>2015</v>
      </c>
      <c r="F5869" s="33">
        <f>DATE(YEAR(A5869),MONTH(A5869),1)</f>
        <v>42064.0</v>
      </c>
      <c r="G5869" t="str">
        <f>CHOOSE(WEEKDAY(A5869,2),"Mon","Tue","Wed","Thu","Fri","Sat","Sun")</f>
        <v>Tue</v>
      </c>
      <c r="H5869" t="str">
        <f>IF(WEEKDAY(A5869,2)&gt;5,"Weekend","Weekday")</f>
        <v>Weekday</v>
      </c>
      <c r="I5869" t="str">
        <f>_xlfn.IFS(B5869&lt;=5,"Night (0-5)",B5869&lt;=9,"Morning peak (6-9)",B5869&lt;=15,"Midday (10-15)",B5869&lt;=19,"Evening peak (16-19)",TRUE,"Late evening (20-23)")</f>
        <v>Late evening (20-23)</v>
      </c>
    </row>
    <row r="5870" spans="1:9">
      <c r="A5870" s="32">
        <v>42066</v>
      </c>
      <c r="B5870">
        <v>22</v>
      </c>
      <c r="C5870">
        <v>5310</v>
      </c>
      <c r="D5870" t="s">
        <v>304</v>
      </c>
      <c r="E5870">
        <f>YEAR(A5870)</f>
        <v>2015</v>
      </c>
      <c r="F5870" s="33">
        <f>DATE(YEAR(A5870),MONTH(A5870),1)</f>
        <v>42064.0</v>
      </c>
      <c r="G5870" t="str">
        <f>CHOOSE(WEEKDAY(A5870,2),"Mon","Tue","Wed","Thu","Fri","Sat","Sun")</f>
        <v>Tue</v>
      </c>
      <c r="H5870" t="str">
        <f>IF(WEEKDAY(A5870,2)&gt;5,"Weekend","Weekday")</f>
        <v>Weekday</v>
      </c>
      <c r="I5870" t="str">
        <f>_xlfn.IFS(B5870&lt;=5,"Night (0-5)",B5870&lt;=9,"Morning peak (6-9)",B5870&lt;=15,"Midday (10-15)",B5870&lt;=19,"Evening peak (16-19)",TRUE,"Late evening (20-23)")</f>
        <v>Late evening (20-23)</v>
      </c>
    </row>
    <row r="5871" spans="1:9">
      <c r="A5871" s="32">
        <v>42066</v>
      </c>
      <c r="B5871">
        <v>23</v>
      </c>
      <c r="C5871">
        <v>3499</v>
      </c>
      <c r="D5871" t="s">
        <v>304</v>
      </c>
      <c r="E5871">
        <f>YEAR(A5871)</f>
        <v>2015</v>
      </c>
      <c r="F5871" s="33">
        <f>DATE(YEAR(A5871),MONTH(A5871),1)</f>
        <v>42064.0</v>
      </c>
      <c r="G5871" t="str">
        <f>CHOOSE(WEEKDAY(A5871,2),"Mon","Tue","Wed","Thu","Fri","Sat","Sun")</f>
        <v>Tue</v>
      </c>
      <c r="H5871" t="str">
        <f>IF(WEEKDAY(A5871,2)&gt;5,"Weekend","Weekday")</f>
        <v>Weekday</v>
      </c>
      <c r="I5871" t="str">
        <f>_xlfn.IFS(B5871&lt;=5,"Night (0-5)",B5871&lt;=9,"Morning peak (6-9)",B5871&lt;=15,"Midday (10-15)",B5871&lt;=19,"Evening peak (16-19)",TRUE,"Late evening (20-23)")</f>
        <v>Late evening (20-23)</v>
      </c>
    </row>
    <row r="5872" spans="1:9">
      <c r="A5872" s="32">
        <v>42067</v>
      </c>
      <c r="B5872">
        <v>0</v>
      </c>
      <c r="C5872">
        <v>1893</v>
      </c>
      <c r="D5872" t="s">
        <v>304</v>
      </c>
      <c r="E5872">
        <f>YEAR(A5872)</f>
        <v>2015</v>
      </c>
      <c r="F5872" s="33">
        <f>DATE(YEAR(A5872),MONTH(A5872),1)</f>
        <v>42064.0</v>
      </c>
      <c r="G5872" t="str">
        <f>CHOOSE(WEEKDAY(A5872,2),"Mon","Tue","Wed","Thu","Fri","Sat","Sun")</f>
        <v>Wed</v>
      </c>
      <c r="H5872" t="str">
        <f>IF(WEEKDAY(A5872,2)&gt;5,"Weekend","Weekday")</f>
        <v>Weekday</v>
      </c>
      <c r="I5872" t="str">
        <f>_xlfn.IFS(B5872&lt;=5,"Night (0-5)",B5872&lt;=9,"Morning peak (6-9)",B5872&lt;=15,"Midday (10-15)",B5872&lt;=19,"Evening peak (16-19)",TRUE,"Late evening (20-23)")</f>
        <v>Night (0-5)</v>
      </c>
    </row>
    <row r="5873" spans="1:9">
      <c r="A5873" s="32">
        <v>42067</v>
      </c>
      <c r="B5873">
        <v>1</v>
      </c>
      <c r="C5873">
        <v>930</v>
      </c>
      <c r="D5873" t="s">
        <v>304</v>
      </c>
      <c r="E5873">
        <f>YEAR(A5873)</f>
        <v>2015</v>
      </c>
      <c r="F5873" s="33">
        <f>DATE(YEAR(A5873),MONTH(A5873),1)</f>
        <v>42064.0</v>
      </c>
      <c r="G5873" t="str">
        <f>CHOOSE(WEEKDAY(A5873,2),"Mon","Tue","Wed","Thu","Fri","Sat","Sun")</f>
        <v>Wed</v>
      </c>
      <c r="H5873" t="str">
        <f>IF(WEEKDAY(A5873,2)&gt;5,"Weekend","Weekday")</f>
        <v>Weekday</v>
      </c>
      <c r="I5873" t="str">
        <f>_xlfn.IFS(B5873&lt;=5,"Night (0-5)",B5873&lt;=9,"Morning peak (6-9)",B5873&lt;=15,"Midday (10-15)",B5873&lt;=19,"Evening peak (16-19)",TRUE,"Late evening (20-23)")</f>
        <v>Night (0-5)</v>
      </c>
    </row>
    <row r="5874" spans="1:9">
      <c r="A5874" s="32">
        <v>42067</v>
      </c>
      <c r="B5874">
        <v>2</v>
      </c>
      <c r="C5874">
        <v>489</v>
      </c>
      <c r="D5874" t="s">
        <v>304</v>
      </c>
      <c r="E5874">
        <f>YEAR(A5874)</f>
        <v>2015</v>
      </c>
      <c r="F5874" s="33">
        <f>DATE(YEAR(A5874),MONTH(A5874),1)</f>
        <v>42064.0</v>
      </c>
      <c r="G5874" t="str">
        <f>CHOOSE(WEEKDAY(A5874,2),"Mon","Tue","Wed","Thu","Fri","Sat","Sun")</f>
        <v>Wed</v>
      </c>
      <c r="H5874" t="str">
        <f>IF(WEEKDAY(A5874,2)&gt;5,"Weekend","Weekday")</f>
        <v>Weekday</v>
      </c>
      <c r="I5874" t="str">
        <f>_xlfn.IFS(B5874&lt;=5,"Night (0-5)",B5874&lt;=9,"Morning peak (6-9)",B5874&lt;=15,"Midday (10-15)",B5874&lt;=19,"Evening peak (16-19)",TRUE,"Late evening (20-23)")</f>
        <v>Night (0-5)</v>
      </c>
    </row>
    <row r="5875" spans="1:9">
      <c r="A5875" s="32">
        <v>42067</v>
      </c>
      <c r="B5875">
        <v>3</v>
      </c>
      <c r="C5875">
        <v>342</v>
      </c>
      <c r="D5875" t="s">
        <v>304</v>
      </c>
      <c r="E5875">
        <f>YEAR(A5875)</f>
        <v>2015</v>
      </c>
      <c r="F5875" s="33">
        <f>DATE(YEAR(A5875),MONTH(A5875),1)</f>
        <v>42064.0</v>
      </c>
      <c r="G5875" t="str">
        <f>CHOOSE(WEEKDAY(A5875,2),"Mon","Tue","Wed","Thu","Fri","Sat","Sun")</f>
        <v>Wed</v>
      </c>
      <c r="H5875" t="str">
        <f>IF(WEEKDAY(A5875,2)&gt;5,"Weekend","Weekday")</f>
        <v>Weekday</v>
      </c>
      <c r="I5875" t="str">
        <f>_xlfn.IFS(B5875&lt;=5,"Night (0-5)",B5875&lt;=9,"Morning peak (6-9)",B5875&lt;=15,"Midday (10-15)",B5875&lt;=19,"Evening peak (16-19)",TRUE,"Late evening (20-23)")</f>
        <v>Night (0-5)</v>
      </c>
    </row>
    <row r="5876" spans="1:9">
      <c r="A5876" s="32">
        <v>42067</v>
      </c>
      <c r="B5876">
        <v>4</v>
      </c>
      <c r="C5876">
        <v>513</v>
      </c>
      <c r="D5876" t="s">
        <v>304</v>
      </c>
      <c r="E5876">
        <f>YEAR(A5876)</f>
        <v>2015</v>
      </c>
      <c r="F5876" s="33">
        <f>DATE(YEAR(A5876),MONTH(A5876),1)</f>
        <v>42064.0</v>
      </c>
      <c r="G5876" t="str">
        <f>CHOOSE(WEEKDAY(A5876,2),"Mon","Tue","Wed","Thu","Fri","Sat","Sun")</f>
        <v>Wed</v>
      </c>
      <c r="H5876" t="str">
        <f>IF(WEEKDAY(A5876,2)&gt;5,"Weekend","Weekday")</f>
        <v>Weekday</v>
      </c>
      <c r="I5876" t="str">
        <f>_xlfn.IFS(B5876&lt;=5,"Night (0-5)",B5876&lt;=9,"Morning peak (6-9)",B5876&lt;=15,"Midday (10-15)",B5876&lt;=19,"Evening peak (16-19)",TRUE,"Late evening (20-23)")</f>
        <v>Night (0-5)</v>
      </c>
    </row>
    <row r="5877" spans="1:9">
      <c r="A5877" s="32">
        <v>42067</v>
      </c>
      <c r="B5877">
        <v>5</v>
      </c>
      <c r="C5877">
        <v>875</v>
      </c>
      <c r="D5877" t="s">
        <v>304</v>
      </c>
      <c r="E5877">
        <f>YEAR(A5877)</f>
        <v>2015</v>
      </c>
      <c r="F5877" s="33">
        <f>DATE(YEAR(A5877),MONTH(A5877),1)</f>
        <v>42064.0</v>
      </c>
      <c r="G5877" t="str">
        <f>CHOOSE(WEEKDAY(A5877,2),"Mon","Tue","Wed","Thu","Fri","Sat","Sun")</f>
        <v>Wed</v>
      </c>
      <c r="H5877" t="str">
        <f>IF(WEEKDAY(A5877,2)&gt;5,"Weekend","Weekday")</f>
        <v>Weekday</v>
      </c>
      <c r="I5877" t="str">
        <f>_xlfn.IFS(B5877&lt;=5,"Night (0-5)",B5877&lt;=9,"Morning peak (6-9)",B5877&lt;=15,"Midday (10-15)",B5877&lt;=19,"Evening peak (16-19)",TRUE,"Late evening (20-23)")</f>
        <v>Night (0-5)</v>
      </c>
    </row>
    <row r="5878" spans="1:9">
      <c r="A5878" s="32">
        <v>42067</v>
      </c>
      <c r="B5878">
        <v>6</v>
      </c>
      <c r="C5878">
        <v>1786</v>
      </c>
      <c r="D5878" t="s">
        <v>304</v>
      </c>
      <c r="E5878">
        <f>YEAR(A5878)</f>
        <v>2015</v>
      </c>
      <c r="F5878" s="33">
        <f>DATE(YEAR(A5878),MONTH(A5878),1)</f>
        <v>42064.0</v>
      </c>
      <c r="G5878" t="str">
        <f>CHOOSE(WEEKDAY(A5878,2),"Mon","Tue","Wed","Thu","Fri","Sat","Sun")</f>
        <v>Wed</v>
      </c>
      <c r="H5878" t="str">
        <f>IF(WEEKDAY(A5878,2)&gt;5,"Weekend","Weekday")</f>
        <v>Weekday</v>
      </c>
      <c r="I5878" t="str">
        <f>_xlfn.IFS(B5878&lt;=5,"Night (0-5)",B5878&lt;=9,"Morning peak (6-9)",B5878&lt;=15,"Midday (10-15)",B5878&lt;=19,"Evening peak (16-19)",TRUE,"Late evening (20-23)")</f>
        <v>Morning peak (6-9)</v>
      </c>
    </row>
    <row r="5879" spans="1:9">
      <c r="A5879" s="32">
        <v>42067</v>
      </c>
      <c r="B5879">
        <v>7</v>
      </c>
      <c r="C5879">
        <v>3081</v>
      </c>
      <c r="D5879" t="s">
        <v>304</v>
      </c>
      <c r="E5879">
        <f>YEAR(A5879)</f>
        <v>2015</v>
      </c>
      <c r="F5879" s="33">
        <f>DATE(YEAR(A5879),MONTH(A5879),1)</f>
        <v>42064.0</v>
      </c>
      <c r="G5879" t="str">
        <f>CHOOSE(WEEKDAY(A5879,2),"Mon","Tue","Wed","Thu","Fri","Sat","Sun")</f>
        <v>Wed</v>
      </c>
      <c r="H5879" t="str">
        <f>IF(WEEKDAY(A5879,2)&gt;5,"Weekend","Weekday")</f>
        <v>Weekday</v>
      </c>
      <c r="I5879" t="str">
        <f>_xlfn.IFS(B5879&lt;=5,"Night (0-5)",B5879&lt;=9,"Morning peak (6-9)",B5879&lt;=15,"Midday (10-15)",B5879&lt;=19,"Evening peak (16-19)",TRUE,"Late evening (20-23)")</f>
        <v>Morning peak (6-9)</v>
      </c>
    </row>
    <row r="5880" spans="1:9">
      <c r="A5880" s="32">
        <v>42067</v>
      </c>
      <c r="B5880">
        <v>8</v>
      </c>
      <c r="C5880">
        <v>4097</v>
      </c>
      <c r="D5880" t="s">
        <v>304</v>
      </c>
      <c r="E5880">
        <f>YEAR(A5880)</f>
        <v>2015</v>
      </c>
      <c r="F5880" s="33">
        <f>DATE(YEAR(A5880),MONTH(A5880),1)</f>
        <v>42064.0</v>
      </c>
      <c r="G5880" t="str">
        <f>CHOOSE(WEEKDAY(A5880,2),"Mon","Tue","Wed","Thu","Fri","Sat","Sun")</f>
        <v>Wed</v>
      </c>
      <c r="H5880" t="str">
        <f>IF(WEEKDAY(A5880,2)&gt;5,"Weekend","Weekday")</f>
        <v>Weekday</v>
      </c>
      <c r="I5880" t="str">
        <f>_xlfn.IFS(B5880&lt;=5,"Night (0-5)",B5880&lt;=9,"Morning peak (6-9)",B5880&lt;=15,"Midday (10-15)",B5880&lt;=19,"Evening peak (16-19)",TRUE,"Late evening (20-23)")</f>
        <v>Morning peak (6-9)</v>
      </c>
    </row>
    <row r="5881" spans="1:9">
      <c r="A5881" s="32">
        <v>42067</v>
      </c>
      <c r="B5881">
        <v>9</v>
      </c>
      <c r="C5881">
        <v>4036</v>
      </c>
      <c r="D5881" t="s">
        <v>304</v>
      </c>
      <c r="E5881">
        <f>YEAR(A5881)</f>
        <v>2015</v>
      </c>
      <c r="F5881" s="33">
        <f>DATE(YEAR(A5881),MONTH(A5881),1)</f>
        <v>42064.0</v>
      </c>
      <c r="G5881" t="str">
        <f>CHOOSE(WEEKDAY(A5881,2),"Mon","Tue","Wed","Thu","Fri","Sat","Sun")</f>
        <v>Wed</v>
      </c>
      <c r="H5881" t="str">
        <f>IF(WEEKDAY(A5881,2)&gt;5,"Weekend","Weekday")</f>
        <v>Weekday</v>
      </c>
      <c r="I5881" t="str">
        <f>_xlfn.IFS(B5881&lt;=5,"Night (0-5)",B5881&lt;=9,"Morning peak (6-9)",B5881&lt;=15,"Midday (10-15)",B5881&lt;=19,"Evening peak (16-19)",TRUE,"Late evening (20-23)")</f>
        <v>Morning peak (6-9)</v>
      </c>
    </row>
    <row r="5882" spans="1:9">
      <c r="A5882" s="32">
        <v>42067</v>
      </c>
      <c r="B5882">
        <v>10</v>
      </c>
      <c r="C5882">
        <v>3018</v>
      </c>
      <c r="D5882" t="s">
        <v>304</v>
      </c>
      <c r="E5882">
        <f>YEAR(A5882)</f>
        <v>2015</v>
      </c>
      <c r="F5882" s="33">
        <f>DATE(YEAR(A5882),MONTH(A5882),1)</f>
        <v>42064.0</v>
      </c>
      <c r="G5882" t="str">
        <f>CHOOSE(WEEKDAY(A5882,2),"Mon","Tue","Wed","Thu","Fri","Sat","Sun")</f>
        <v>Wed</v>
      </c>
      <c r="H5882" t="str">
        <f>IF(WEEKDAY(A5882,2)&gt;5,"Weekend","Weekday")</f>
        <v>Weekday</v>
      </c>
      <c r="I5882" t="str">
        <f>_xlfn.IFS(B5882&lt;=5,"Night (0-5)",B5882&lt;=9,"Morning peak (6-9)",B5882&lt;=15,"Midday (10-15)",B5882&lt;=19,"Evening peak (16-19)",TRUE,"Late evening (20-23)")</f>
        <v>Midday (10-15)</v>
      </c>
    </row>
    <row r="5883" spans="1:9">
      <c r="A5883" s="32">
        <v>42067</v>
      </c>
      <c r="B5883">
        <v>11</v>
      </c>
      <c r="C5883">
        <v>2557</v>
      </c>
      <c r="D5883" t="s">
        <v>304</v>
      </c>
      <c r="E5883">
        <f>YEAR(A5883)</f>
        <v>2015</v>
      </c>
      <c r="F5883" s="33">
        <f>DATE(YEAR(A5883),MONTH(A5883),1)</f>
        <v>42064.0</v>
      </c>
      <c r="G5883" t="str">
        <f>CHOOSE(WEEKDAY(A5883,2),"Mon","Tue","Wed","Thu","Fri","Sat","Sun")</f>
        <v>Wed</v>
      </c>
      <c r="H5883" t="str">
        <f>IF(WEEKDAY(A5883,2)&gt;5,"Weekend","Weekday")</f>
        <v>Weekday</v>
      </c>
      <c r="I5883" t="str">
        <f>_xlfn.IFS(B5883&lt;=5,"Night (0-5)",B5883&lt;=9,"Morning peak (6-9)",B5883&lt;=15,"Midday (10-15)",B5883&lt;=19,"Evening peak (16-19)",TRUE,"Late evening (20-23)")</f>
        <v>Midday (10-15)</v>
      </c>
    </row>
    <row r="5884" spans="1:9">
      <c r="A5884" s="32">
        <v>42067</v>
      </c>
      <c r="B5884">
        <v>12</v>
      </c>
      <c r="C5884">
        <v>2496</v>
      </c>
      <c r="D5884" t="s">
        <v>304</v>
      </c>
      <c r="E5884">
        <f>YEAR(A5884)</f>
        <v>2015</v>
      </c>
      <c r="F5884" s="33">
        <f>DATE(YEAR(A5884),MONTH(A5884),1)</f>
        <v>42064.0</v>
      </c>
      <c r="G5884" t="str">
        <f>CHOOSE(WEEKDAY(A5884,2),"Mon","Tue","Wed","Thu","Fri","Sat","Sun")</f>
        <v>Wed</v>
      </c>
      <c r="H5884" t="str">
        <f>IF(WEEKDAY(A5884,2)&gt;5,"Weekend","Weekday")</f>
        <v>Weekday</v>
      </c>
      <c r="I5884" t="str">
        <f>_xlfn.IFS(B5884&lt;=5,"Night (0-5)",B5884&lt;=9,"Morning peak (6-9)",B5884&lt;=15,"Midday (10-15)",B5884&lt;=19,"Evening peak (16-19)",TRUE,"Late evening (20-23)")</f>
        <v>Midday (10-15)</v>
      </c>
    </row>
    <row r="5885" spans="1:9">
      <c r="A5885" s="32">
        <v>42067</v>
      </c>
      <c r="B5885">
        <v>13</v>
      </c>
      <c r="C5885">
        <v>2289</v>
      </c>
      <c r="D5885" t="s">
        <v>304</v>
      </c>
      <c r="E5885">
        <f>YEAR(A5885)</f>
        <v>2015</v>
      </c>
      <c r="F5885" s="33">
        <f>DATE(YEAR(A5885),MONTH(A5885),1)</f>
        <v>42064.0</v>
      </c>
      <c r="G5885" t="str">
        <f>CHOOSE(WEEKDAY(A5885,2),"Mon","Tue","Wed","Thu","Fri","Sat","Sun")</f>
        <v>Wed</v>
      </c>
      <c r="H5885" t="str">
        <f>IF(WEEKDAY(A5885,2)&gt;5,"Weekend","Weekday")</f>
        <v>Weekday</v>
      </c>
      <c r="I5885" t="str">
        <f>_xlfn.IFS(B5885&lt;=5,"Night (0-5)",B5885&lt;=9,"Morning peak (6-9)",B5885&lt;=15,"Midday (10-15)",B5885&lt;=19,"Evening peak (16-19)",TRUE,"Late evening (20-23)")</f>
        <v>Midday (10-15)</v>
      </c>
    </row>
    <row r="5886" spans="1:9">
      <c r="A5886" s="32">
        <v>42067</v>
      </c>
      <c r="B5886">
        <v>14</v>
      </c>
      <c r="C5886">
        <v>2684</v>
      </c>
      <c r="D5886" t="s">
        <v>304</v>
      </c>
      <c r="E5886">
        <f>YEAR(A5886)</f>
        <v>2015</v>
      </c>
      <c r="F5886" s="33">
        <f>DATE(YEAR(A5886),MONTH(A5886),1)</f>
        <v>42064.0</v>
      </c>
      <c r="G5886" t="str">
        <f>CHOOSE(WEEKDAY(A5886,2),"Mon","Tue","Wed","Thu","Fri","Sat","Sun")</f>
        <v>Wed</v>
      </c>
      <c r="H5886" t="str">
        <f>IF(WEEKDAY(A5886,2)&gt;5,"Weekend","Weekday")</f>
        <v>Weekday</v>
      </c>
      <c r="I5886" t="str">
        <f>_xlfn.IFS(B5886&lt;=5,"Night (0-5)",B5886&lt;=9,"Morning peak (6-9)",B5886&lt;=15,"Midday (10-15)",B5886&lt;=19,"Evening peak (16-19)",TRUE,"Late evening (20-23)")</f>
        <v>Midday (10-15)</v>
      </c>
    </row>
    <row r="5887" spans="1:9">
      <c r="A5887" s="32">
        <v>42067</v>
      </c>
      <c r="B5887">
        <v>15</v>
      </c>
      <c r="C5887">
        <v>3173</v>
      </c>
      <c r="D5887" t="s">
        <v>304</v>
      </c>
      <c r="E5887">
        <f>YEAR(A5887)</f>
        <v>2015</v>
      </c>
      <c r="F5887" s="33">
        <f>DATE(YEAR(A5887),MONTH(A5887),1)</f>
        <v>42064.0</v>
      </c>
      <c r="G5887" t="str">
        <f>CHOOSE(WEEKDAY(A5887,2),"Mon","Tue","Wed","Thu","Fri","Sat","Sun")</f>
        <v>Wed</v>
      </c>
      <c r="H5887" t="str">
        <f>IF(WEEKDAY(A5887,2)&gt;5,"Weekend","Weekday")</f>
        <v>Weekday</v>
      </c>
      <c r="I5887" t="str">
        <f>_xlfn.IFS(B5887&lt;=5,"Night (0-5)",B5887&lt;=9,"Morning peak (6-9)",B5887&lt;=15,"Midday (10-15)",B5887&lt;=19,"Evening peak (16-19)",TRUE,"Late evening (20-23)")</f>
        <v>Midday (10-15)</v>
      </c>
    </row>
    <row r="5888" spans="1:9">
      <c r="A5888" s="32">
        <v>42067</v>
      </c>
      <c r="B5888">
        <v>16</v>
      </c>
      <c r="C5888">
        <v>3561</v>
      </c>
      <c r="D5888" t="s">
        <v>304</v>
      </c>
      <c r="E5888">
        <f>YEAR(A5888)</f>
        <v>2015</v>
      </c>
      <c r="F5888" s="33">
        <f>DATE(YEAR(A5888),MONTH(A5888),1)</f>
        <v>42064.0</v>
      </c>
      <c r="G5888" t="str">
        <f>CHOOSE(WEEKDAY(A5888,2),"Mon","Tue","Wed","Thu","Fri","Sat","Sun")</f>
        <v>Wed</v>
      </c>
      <c r="H5888" t="str">
        <f>IF(WEEKDAY(A5888,2)&gt;5,"Weekend","Weekday")</f>
        <v>Weekday</v>
      </c>
      <c r="I5888" t="str">
        <f>_xlfn.IFS(B5888&lt;=5,"Night (0-5)",B5888&lt;=9,"Morning peak (6-9)",B5888&lt;=15,"Midday (10-15)",B5888&lt;=19,"Evening peak (16-19)",TRUE,"Late evening (20-23)")</f>
        <v>Evening peak (16-19)</v>
      </c>
    </row>
    <row r="5889" spans="1:9">
      <c r="A5889" s="32">
        <v>42067</v>
      </c>
      <c r="B5889">
        <v>17</v>
      </c>
      <c r="C5889">
        <v>4311</v>
      </c>
      <c r="D5889" t="s">
        <v>304</v>
      </c>
      <c r="E5889">
        <f>YEAR(A5889)</f>
        <v>2015</v>
      </c>
      <c r="F5889" s="33">
        <f>DATE(YEAR(A5889),MONTH(A5889),1)</f>
        <v>42064.0</v>
      </c>
      <c r="G5889" t="str">
        <f>CHOOSE(WEEKDAY(A5889,2),"Mon","Tue","Wed","Thu","Fri","Sat","Sun")</f>
        <v>Wed</v>
      </c>
      <c r="H5889" t="str">
        <f>IF(WEEKDAY(A5889,2)&gt;5,"Weekend","Weekday")</f>
        <v>Weekday</v>
      </c>
      <c r="I5889" t="str">
        <f>_xlfn.IFS(B5889&lt;=5,"Night (0-5)",B5889&lt;=9,"Morning peak (6-9)",B5889&lt;=15,"Midday (10-15)",B5889&lt;=19,"Evening peak (16-19)",TRUE,"Late evening (20-23)")</f>
        <v>Evening peak (16-19)</v>
      </c>
    </row>
    <row r="5890" spans="1:9">
      <c r="A5890" s="32">
        <v>42067</v>
      </c>
      <c r="B5890">
        <v>18</v>
      </c>
      <c r="C5890">
        <v>5390</v>
      </c>
      <c r="D5890" t="s">
        <v>304</v>
      </c>
      <c r="E5890">
        <f>YEAR(A5890)</f>
        <v>2015</v>
      </c>
      <c r="F5890" s="33">
        <f>DATE(YEAR(A5890),MONTH(A5890),1)</f>
        <v>42064.0</v>
      </c>
      <c r="G5890" t="str">
        <f>CHOOSE(WEEKDAY(A5890,2),"Mon","Tue","Wed","Thu","Fri","Sat","Sun")</f>
        <v>Wed</v>
      </c>
      <c r="H5890" t="str">
        <f>IF(WEEKDAY(A5890,2)&gt;5,"Weekend","Weekday")</f>
        <v>Weekday</v>
      </c>
      <c r="I5890" t="str">
        <f>_xlfn.IFS(B5890&lt;=5,"Night (0-5)",B5890&lt;=9,"Morning peak (6-9)",B5890&lt;=15,"Midday (10-15)",B5890&lt;=19,"Evening peak (16-19)",TRUE,"Late evening (20-23)")</f>
        <v>Evening peak (16-19)</v>
      </c>
    </row>
    <row r="5891" spans="1:9">
      <c r="A5891" s="32">
        <v>42067</v>
      </c>
      <c r="B5891">
        <v>19</v>
      </c>
      <c r="C5891">
        <v>5478</v>
      </c>
      <c r="D5891" t="s">
        <v>304</v>
      </c>
      <c r="E5891">
        <f>YEAR(A5891)</f>
        <v>2015</v>
      </c>
      <c r="F5891" s="33">
        <f>DATE(YEAR(A5891),MONTH(A5891),1)</f>
        <v>42064.0</v>
      </c>
      <c r="G5891" t="str">
        <f>CHOOSE(WEEKDAY(A5891,2),"Mon","Tue","Wed","Thu","Fri","Sat","Sun")</f>
        <v>Wed</v>
      </c>
      <c r="H5891" t="str">
        <f>IF(WEEKDAY(A5891,2)&gt;5,"Weekend","Weekday")</f>
        <v>Weekday</v>
      </c>
      <c r="I5891" t="str">
        <f>_xlfn.IFS(B5891&lt;=5,"Night (0-5)",B5891&lt;=9,"Morning peak (6-9)",B5891&lt;=15,"Midday (10-15)",B5891&lt;=19,"Evening peak (16-19)",TRUE,"Late evening (20-23)")</f>
        <v>Evening peak (16-19)</v>
      </c>
    </row>
    <row r="5892" spans="1:9">
      <c r="A5892" s="32">
        <v>42067</v>
      </c>
      <c r="B5892">
        <v>20</v>
      </c>
      <c r="C5892">
        <v>5087</v>
      </c>
      <c r="D5892" t="s">
        <v>304</v>
      </c>
      <c r="E5892">
        <f>YEAR(A5892)</f>
        <v>2015</v>
      </c>
      <c r="F5892" s="33">
        <f>DATE(YEAR(A5892),MONTH(A5892),1)</f>
        <v>42064.0</v>
      </c>
      <c r="G5892" t="str">
        <f>CHOOSE(WEEKDAY(A5892,2),"Mon","Tue","Wed","Thu","Fri","Sat","Sun")</f>
        <v>Wed</v>
      </c>
      <c r="H5892" t="str">
        <f>IF(WEEKDAY(A5892,2)&gt;5,"Weekend","Weekday")</f>
        <v>Weekday</v>
      </c>
      <c r="I5892" t="str">
        <f>_xlfn.IFS(B5892&lt;=5,"Night (0-5)",B5892&lt;=9,"Morning peak (6-9)",B5892&lt;=15,"Midday (10-15)",B5892&lt;=19,"Evening peak (16-19)",TRUE,"Late evening (20-23)")</f>
        <v>Late evening (20-23)</v>
      </c>
    </row>
    <row r="5893" spans="1:9">
      <c r="A5893" s="32">
        <v>42067</v>
      </c>
      <c r="B5893">
        <v>21</v>
      </c>
      <c r="C5893">
        <v>5311</v>
      </c>
      <c r="D5893" t="s">
        <v>304</v>
      </c>
      <c r="E5893">
        <f>YEAR(A5893)</f>
        <v>2015</v>
      </c>
      <c r="F5893" s="33">
        <f>DATE(YEAR(A5893),MONTH(A5893),1)</f>
        <v>42064.0</v>
      </c>
      <c r="G5893" t="str">
        <f>CHOOSE(WEEKDAY(A5893,2),"Mon","Tue","Wed","Thu","Fri","Sat","Sun")</f>
        <v>Wed</v>
      </c>
      <c r="H5893" t="str">
        <f>IF(WEEKDAY(A5893,2)&gt;5,"Weekend","Weekday")</f>
        <v>Weekday</v>
      </c>
      <c r="I5893" t="str">
        <f>_xlfn.IFS(B5893&lt;=5,"Night (0-5)",B5893&lt;=9,"Morning peak (6-9)",B5893&lt;=15,"Midday (10-15)",B5893&lt;=19,"Evening peak (16-19)",TRUE,"Late evening (20-23)")</f>
        <v>Late evening (20-23)</v>
      </c>
    </row>
    <row r="5894" spans="1:9">
      <c r="A5894" s="32">
        <v>42067</v>
      </c>
      <c r="B5894">
        <v>22</v>
      </c>
      <c r="C5894">
        <v>4865</v>
      </c>
      <c r="D5894" t="s">
        <v>304</v>
      </c>
      <c r="E5894">
        <f>YEAR(A5894)</f>
        <v>2015</v>
      </c>
      <c r="F5894" s="33">
        <f>DATE(YEAR(A5894),MONTH(A5894),1)</f>
        <v>42064.0</v>
      </c>
      <c r="G5894" t="str">
        <f>CHOOSE(WEEKDAY(A5894,2),"Mon","Tue","Wed","Thu","Fri","Sat","Sun")</f>
        <v>Wed</v>
      </c>
      <c r="H5894" t="str">
        <f>IF(WEEKDAY(A5894,2)&gt;5,"Weekend","Weekday")</f>
        <v>Weekday</v>
      </c>
      <c r="I5894" t="str">
        <f>_xlfn.IFS(B5894&lt;=5,"Night (0-5)",B5894&lt;=9,"Morning peak (6-9)",B5894&lt;=15,"Midday (10-15)",B5894&lt;=19,"Evening peak (16-19)",TRUE,"Late evening (20-23)")</f>
        <v>Late evening (20-23)</v>
      </c>
    </row>
    <row r="5895" spans="1:9">
      <c r="A5895" s="32">
        <v>42067</v>
      </c>
      <c r="B5895">
        <v>23</v>
      </c>
      <c r="C5895">
        <v>3669</v>
      </c>
      <c r="D5895" t="s">
        <v>304</v>
      </c>
      <c r="E5895">
        <f>YEAR(A5895)</f>
        <v>2015</v>
      </c>
      <c r="F5895" s="33">
        <f>DATE(YEAR(A5895),MONTH(A5895),1)</f>
        <v>42064.0</v>
      </c>
      <c r="G5895" t="str">
        <f>CHOOSE(WEEKDAY(A5895,2),"Mon","Tue","Wed","Thu","Fri","Sat","Sun")</f>
        <v>Wed</v>
      </c>
      <c r="H5895" t="str">
        <f>IF(WEEKDAY(A5895,2)&gt;5,"Weekend","Weekday")</f>
        <v>Weekday</v>
      </c>
      <c r="I5895" t="str">
        <f>_xlfn.IFS(B5895&lt;=5,"Night (0-5)",B5895&lt;=9,"Morning peak (6-9)",B5895&lt;=15,"Midday (10-15)",B5895&lt;=19,"Evening peak (16-19)",TRUE,"Late evening (20-23)")</f>
        <v>Late evening (20-23)</v>
      </c>
    </row>
    <row r="5896" spans="1:9">
      <c r="A5896" s="32">
        <v>42068</v>
      </c>
      <c r="B5896">
        <v>0</v>
      </c>
      <c r="C5896">
        <v>2212</v>
      </c>
      <c r="D5896" t="s">
        <v>304</v>
      </c>
      <c r="E5896">
        <f>YEAR(A5896)</f>
        <v>2015</v>
      </c>
      <c r="F5896" s="33">
        <f>DATE(YEAR(A5896),MONTH(A5896),1)</f>
        <v>42064.0</v>
      </c>
      <c r="G5896" t="str">
        <f>CHOOSE(WEEKDAY(A5896,2),"Mon","Tue","Wed","Thu","Fri","Sat","Sun")</f>
        <v>Thu</v>
      </c>
      <c r="H5896" t="str">
        <f>IF(WEEKDAY(A5896,2)&gt;5,"Weekend","Weekday")</f>
        <v>Weekday</v>
      </c>
      <c r="I5896" t="str">
        <f>_xlfn.IFS(B5896&lt;=5,"Night (0-5)",B5896&lt;=9,"Morning peak (6-9)",B5896&lt;=15,"Midday (10-15)",B5896&lt;=19,"Evening peak (16-19)",TRUE,"Late evening (20-23)")</f>
        <v>Night (0-5)</v>
      </c>
    </row>
    <row r="5897" spans="1:9">
      <c r="A5897" s="32">
        <v>42068</v>
      </c>
      <c r="B5897">
        <v>1</v>
      </c>
      <c r="C5897">
        <v>1230</v>
      </c>
      <c r="D5897" t="s">
        <v>304</v>
      </c>
      <c r="E5897">
        <f>YEAR(A5897)</f>
        <v>2015</v>
      </c>
      <c r="F5897" s="33">
        <f>DATE(YEAR(A5897),MONTH(A5897),1)</f>
        <v>42064.0</v>
      </c>
      <c r="G5897" t="str">
        <f>CHOOSE(WEEKDAY(A5897,2),"Mon","Tue","Wed","Thu","Fri","Sat","Sun")</f>
        <v>Thu</v>
      </c>
      <c r="H5897" t="str">
        <f>IF(WEEKDAY(A5897,2)&gt;5,"Weekend","Weekday")</f>
        <v>Weekday</v>
      </c>
      <c r="I5897" t="str">
        <f>_xlfn.IFS(B5897&lt;=5,"Night (0-5)",B5897&lt;=9,"Morning peak (6-9)",B5897&lt;=15,"Midday (10-15)",B5897&lt;=19,"Evening peak (16-19)",TRUE,"Late evening (20-23)")</f>
        <v>Night (0-5)</v>
      </c>
    </row>
    <row r="5898" spans="1:9">
      <c r="A5898" s="32">
        <v>42068</v>
      </c>
      <c r="B5898">
        <v>2</v>
      </c>
      <c r="C5898">
        <v>697</v>
      </c>
      <c r="D5898" t="s">
        <v>304</v>
      </c>
      <c r="E5898">
        <f>YEAR(A5898)</f>
        <v>2015</v>
      </c>
      <c r="F5898" s="33">
        <f>DATE(YEAR(A5898),MONTH(A5898),1)</f>
        <v>42064.0</v>
      </c>
      <c r="G5898" t="str">
        <f>CHOOSE(WEEKDAY(A5898,2),"Mon","Tue","Wed","Thu","Fri","Sat","Sun")</f>
        <v>Thu</v>
      </c>
      <c r="H5898" t="str">
        <f>IF(WEEKDAY(A5898,2)&gt;5,"Weekend","Weekday")</f>
        <v>Weekday</v>
      </c>
      <c r="I5898" t="str">
        <f>_xlfn.IFS(B5898&lt;=5,"Night (0-5)",B5898&lt;=9,"Morning peak (6-9)",B5898&lt;=15,"Midday (10-15)",B5898&lt;=19,"Evening peak (16-19)",TRUE,"Late evening (20-23)")</f>
        <v>Night (0-5)</v>
      </c>
    </row>
    <row r="5899" spans="1:9">
      <c r="A5899" s="32">
        <v>42068</v>
      </c>
      <c r="B5899">
        <v>3</v>
      </c>
      <c r="C5899">
        <v>444</v>
      </c>
      <c r="D5899" t="s">
        <v>304</v>
      </c>
      <c r="E5899">
        <f>YEAR(A5899)</f>
        <v>2015</v>
      </c>
      <c r="F5899" s="33">
        <f>DATE(YEAR(A5899),MONTH(A5899),1)</f>
        <v>42064.0</v>
      </c>
      <c r="G5899" t="str">
        <f>CHOOSE(WEEKDAY(A5899,2),"Mon","Tue","Wed","Thu","Fri","Sat","Sun")</f>
        <v>Thu</v>
      </c>
      <c r="H5899" t="str">
        <f>IF(WEEKDAY(A5899,2)&gt;5,"Weekend","Weekday")</f>
        <v>Weekday</v>
      </c>
      <c r="I5899" t="str">
        <f>_xlfn.IFS(B5899&lt;=5,"Night (0-5)",B5899&lt;=9,"Morning peak (6-9)",B5899&lt;=15,"Midday (10-15)",B5899&lt;=19,"Evening peak (16-19)",TRUE,"Late evening (20-23)")</f>
        <v>Night (0-5)</v>
      </c>
    </row>
    <row r="5900" spans="1:9">
      <c r="A5900" s="32">
        <v>42068</v>
      </c>
      <c r="B5900">
        <v>4</v>
      </c>
      <c r="C5900">
        <v>561</v>
      </c>
      <c r="D5900" t="s">
        <v>304</v>
      </c>
      <c r="E5900">
        <f>YEAR(A5900)</f>
        <v>2015</v>
      </c>
      <c r="F5900" s="33">
        <f>DATE(YEAR(A5900),MONTH(A5900),1)</f>
        <v>42064.0</v>
      </c>
      <c r="G5900" t="str">
        <f>CHOOSE(WEEKDAY(A5900,2),"Mon","Tue","Wed","Thu","Fri","Sat","Sun")</f>
        <v>Thu</v>
      </c>
      <c r="H5900" t="str">
        <f>IF(WEEKDAY(A5900,2)&gt;5,"Weekend","Weekday")</f>
        <v>Weekday</v>
      </c>
      <c r="I5900" t="str">
        <f>_xlfn.IFS(B5900&lt;=5,"Night (0-5)",B5900&lt;=9,"Morning peak (6-9)",B5900&lt;=15,"Midday (10-15)",B5900&lt;=19,"Evening peak (16-19)",TRUE,"Late evening (20-23)")</f>
        <v>Night (0-5)</v>
      </c>
    </row>
    <row r="5901" spans="1:9">
      <c r="A5901" s="32">
        <v>42068</v>
      </c>
      <c r="B5901">
        <v>5</v>
      </c>
      <c r="C5901">
        <v>822</v>
      </c>
      <c r="D5901" t="s">
        <v>304</v>
      </c>
      <c r="E5901">
        <f>YEAR(A5901)</f>
        <v>2015</v>
      </c>
      <c r="F5901" s="33">
        <f>DATE(YEAR(A5901),MONTH(A5901),1)</f>
        <v>42064.0</v>
      </c>
      <c r="G5901" t="str">
        <f>CHOOSE(WEEKDAY(A5901,2),"Mon","Tue","Wed","Thu","Fri","Sat","Sun")</f>
        <v>Thu</v>
      </c>
      <c r="H5901" t="str">
        <f>IF(WEEKDAY(A5901,2)&gt;5,"Weekend","Weekday")</f>
        <v>Weekday</v>
      </c>
      <c r="I5901" t="str">
        <f>_xlfn.IFS(B5901&lt;=5,"Night (0-5)",B5901&lt;=9,"Morning peak (6-9)",B5901&lt;=15,"Midday (10-15)",B5901&lt;=19,"Evening peak (16-19)",TRUE,"Late evening (20-23)")</f>
        <v>Night (0-5)</v>
      </c>
    </row>
    <row r="5902" spans="1:9">
      <c r="A5902" s="32">
        <v>42068</v>
      </c>
      <c r="B5902">
        <v>6</v>
      </c>
      <c r="C5902">
        <v>1811</v>
      </c>
      <c r="D5902" t="s">
        <v>304</v>
      </c>
      <c r="E5902">
        <f>YEAR(A5902)</f>
        <v>2015</v>
      </c>
      <c r="F5902" s="33">
        <f>DATE(YEAR(A5902),MONTH(A5902),1)</f>
        <v>42064.0</v>
      </c>
      <c r="G5902" t="str">
        <f>CHOOSE(WEEKDAY(A5902,2),"Mon","Tue","Wed","Thu","Fri","Sat","Sun")</f>
        <v>Thu</v>
      </c>
      <c r="H5902" t="str">
        <f>IF(WEEKDAY(A5902,2)&gt;5,"Weekend","Weekday")</f>
        <v>Weekday</v>
      </c>
      <c r="I5902" t="str">
        <f>_xlfn.IFS(B5902&lt;=5,"Night (0-5)",B5902&lt;=9,"Morning peak (6-9)",B5902&lt;=15,"Midday (10-15)",B5902&lt;=19,"Evening peak (16-19)",TRUE,"Late evening (20-23)")</f>
        <v>Morning peak (6-9)</v>
      </c>
    </row>
    <row r="5903" spans="1:9">
      <c r="A5903" s="32">
        <v>42068</v>
      </c>
      <c r="B5903">
        <v>7</v>
      </c>
      <c r="C5903">
        <v>3637</v>
      </c>
      <c r="D5903" t="s">
        <v>304</v>
      </c>
      <c r="E5903">
        <f>YEAR(A5903)</f>
        <v>2015</v>
      </c>
      <c r="F5903" s="33">
        <f>DATE(YEAR(A5903),MONTH(A5903),1)</f>
        <v>42064.0</v>
      </c>
      <c r="G5903" t="str">
        <f>CHOOSE(WEEKDAY(A5903,2),"Mon","Tue","Wed","Thu","Fri","Sat","Sun")</f>
        <v>Thu</v>
      </c>
      <c r="H5903" t="str">
        <f>IF(WEEKDAY(A5903,2)&gt;5,"Weekend","Weekday")</f>
        <v>Weekday</v>
      </c>
      <c r="I5903" t="str">
        <f>_xlfn.IFS(B5903&lt;=5,"Night (0-5)",B5903&lt;=9,"Morning peak (6-9)",B5903&lt;=15,"Midday (10-15)",B5903&lt;=19,"Evening peak (16-19)",TRUE,"Late evening (20-23)")</f>
        <v>Morning peak (6-9)</v>
      </c>
    </row>
    <row r="5904" spans="1:9">
      <c r="A5904" s="32">
        <v>42068</v>
      </c>
      <c r="B5904">
        <v>8</v>
      </c>
      <c r="C5904">
        <v>4823</v>
      </c>
      <c r="D5904" t="s">
        <v>304</v>
      </c>
      <c r="E5904">
        <f>YEAR(A5904)</f>
        <v>2015</v>
      </c>
      <c r="F5904" s="33">
        <f>DATE(YEAR(A5904),MONTH(A5904),1)</f>
        <v>42064.0</v>
      </c>
      <c r="G5904" t="str">
        <f>CHOOSE(WEEKDAY(A5904,2),"Mon","Tue","Wed","Thu","Fri","Sat","Sun")</f>
        <v>Thu</v>
      </c>
      <c r="H5904" t="str">
        <f>IF(WEEKDAY(A5904,2)&gt;5,"Weekend","Weekday")</f>
        <v>Weekday</v>
      </c>
      <c r="I5904" t="str">
        <f>_xlfn.IFS(B5904&lt;=5,"Night (0-5)",B5904&lt;=9,"Morning peak (6-9)",B5904&lt;=15,"Midday (10-15)",B5904&lt;=19,"Evening peak (16-19)",TRUE,"Late evening (20-23)")</f>
        <v>Morning peak (6-9)</v>
      </c>
    </row>
    <row r="5905" spans="1:9">
      <c r="A5905" s="32">
        <v>42068</v>
      </c>
      <c r="B5905">
        <v>9</v>
      </c>
      <c r="C5905">
        <v>4606</v>
      </c>
      <c r="D5905" t="s">
        <v>304</v>
      </c>
      <c r="E5905">
        <f>YEAR(A5905)</f>
        <v>2015</v>
      </c>
      <c r="F5905" s="33">
        <f>DATE(YEAR(A5905),MONTH(A5905),1)</f>
        <v>42064.0</v>
      </c>
      <c r="G5905" t="str">
        <f>CHOOSE(WEEKDAY(A5905,2),"Mon","Tue","Wed","Thu","Fri","Sat","Sun")</f>
        <v>Thu</v>
      </c>
      <c r="H5905" t="str">
        <f>IF(WEEKDAY(A5905,2)&gt;5,"Weekend","Weekday")</f>
        <v>Weekday</v>
      </c>
      <c r="I5905" t="str">
        <f>_xlfn.IFS(B5905&lt;=5,"Night (0-5)",B5905&lt;=9,"Morning peak (6-9)",B5905&lt;=15,"Midday (10-15)",B5905&lt;=19,"Evening peak (16-19)",TRUE,"Late evening (20-23)")</f>
        <v>Morning peak (6-9)</v>
      </c>
    </row>
    <row r="5906" spans="1:9">
      <c r="A5906" s="32">
        <v>42068</v>
      </c>
      <c r="B5906">
        <v>10</v>
      </c>
      <c r="C5906">
        <v>3594</v>
      </c>
      <c r="D5906" t="s">
        <v>304</v>
      </c>
      <c r="E5906">
        <f>YEAR(A5906)</f>
        <v>2015</v>
      </c>
      <c r="F5906" s="33">
        <f>DATE(YEAR(A5906),MONTH(A5906),1)</f>
        <v>42064.0</v>
      </c>
      <c r="G5906" t="str">
        <f>CHOOSE(WEEKDAY(A5906,2),"Mon","Tue","Wed","Thu","Fri","Sat","Sun")</f>
        <v>Thu</v>
      </c>
      <c r="H5906" t="str">
        <f>IF(WEEKDAY(A5906,2)&gt;5,"Weekend","Weekday")</f>
        <v>Weekday</v>
      </c>
      <c r="I5906" t="str">
        <f>_xlfn.IFS(B5906&lt;=5,"Night (0-5)",B5906&lt;=9,"Morning peak (6-9)",B5906&lt;=15,"Midday (10-15)",B5906&lt;=19,"Evening peak (16-19)",TRUE,"Late evening (20-23)")</f>
        <v>Midday (10-15)</v>
      </c>
    </row>
    <row r="5907" spans="1:9">
      <c r="A5907" s="32">
        <v>42068</v>
      </c>
      <c r="B5907">
        <v>11</v>
      </c>
      <c r="C5907">
        <v>3199</v>
      </c>
      <c r="D5907" t="s">
        <v>304</v>
      </c>
      <c r="E5907">
        <f>YEAR(A5907)</f>
        <v>2015</v>
      </c>
      <c r="F5907" s="33">
        <f>DATE(YEAR(A5907),MONTH(A5907),1)</f>
        <v>42064.0</v>
      </c>
      <c r="G5907" t="str">
        <f>CHOOSE(WEEKDAY(A5907,2),"Mon","Tue","Wed","Thu","Fri","Sat","Sun")</f>
        <v>Thu</v>
      </c>
      <c r="H5907" t="str">
        <f>IF(WEEKDAY(A5907,2)&gt;5,"Weekend","Weekday")</f>
        <v>Weekday</v>
      </c>
      <c r="I5907" t="str">
        <f>_xlfn.IFS(B5907&lt;=5,"Night (0-5)",B5907&lt;=9,"Morning peak (6-9)",B5907&lt;=15,"Midday (10-15)",B5907&lt;=19,"Evening peak (16-19)",TRUE,"Late evening (20-23)")</f>
        <v>Midday (10-15)</v>
      </c>
    </row>
    <row r="5908" spans="1:9">
      <c r="A5908" s="32">
        <v>42068</v>
      </c>
      <c r="B5908">
        <v>12</v>
      </c>
      <c r="C5908">
        <v>3147</v>
      </c>
      <c r="D5908" t="s">
        <v>304</v>
      </c>
      <c r="E5908">
        <f>YEAR(A5908)</f>
        <v>2015</v>
      </c>
      <c r="F5908" s="33">
        <f>DATE(YEAR(A5908),MONTH(A5908),1)</f>
        <v>42064.0</v>
      </c>
      <c r="G5908" t="str">
        <f>CHOOSE(WEEKDAY(A5908,2),"Mon","Tue","Wed","Thu","Fri","Sat","Sun")</f>
        <v>Thu</v>
      </c>
      <c r="H5908" t="str">
        <f>IF(WEEKDAY(A5908,2)&gt;5,"Weekend","Weekday")</f>
        <v>Weekday</v>
      </c>
      <c r="I5908" t="str">
        <f>_xlfn.IFS(B5908&lt;=5,"Night (0-5)",B5908&lt;=9,"Morning peak (6-9)",B5908&lt;=15,"Midday (10-15)",B5908&lt;=19,"Evening peak (16-19)",TRUE,"Late evening (20-23)")</f>
        <v>Midday (10-15)</v>
      </c>
    </row>
    <row r="5909" spans="1:9">
      <c r="A5909" s="32">
        <v>42068</v>
      </c>
      <c r="B5909">
        <v>13</v>
      </c>
      <c r="C5909">
        <v>3005</v>
      </c>
      <c r="D5909" t="s">
        <v>304</v>
      </c>
      <c r="E5909">
        <f>YEAR(A5909)</f>
        <v>2015</v>
      </c>
      <c r="F5909" s="33">
        <f>DATE(YEAR(A5909),MONTH(A5909),1)</f>
        <v>42064.0</v>
      </c>
      <c r="G5909" t="str">
        <f>CHOOSE(WEEKDAY(A5909,2),"Mon","Tue","Wed","Thu","Fri","Sat","Sun")</f>
        <v>Thu</v>
      </c>
      <c r="H5909" t="str">
        <f>IF(WEEKDAY(A5909,2)&gt;5,"Weekend","Weekday")</f>
        <v>Weekday</v>
      </c>
      <c r="I5909" t="str">
        <f>_xlfn.IFS(B5909&lt;=5,"Night (0-5)",B5909&lt;=9,"Morning peak (6-9)",B5909&lt;=15,"Midday (10-15)",B5909&lt;=19,"Evening peak (16-19)",TRUE,"Late evening (20-23)")</f>
        <v>Midday (10-15)</v>
      </c>
    </row>
    <row r="5910" spans="1:9">
      <c r="A5910" s="32">
        <v>42068</v>
      </c>
      <c r="B5910">
        <v>14</v>
      </c>
      <c r="C5910">
        <v>3156</v>
      </c>
      <c r="D5910" t="s">
        <v>304</v>
      </c>
      <c r="E5910">
        <f>YEAR(A5910)</f>
        <v>2015</v>
      </c>
      <c r="F5910" s="33">
        <f>DATE(YEAR(A5910),MONTH(A5910),1)</f>
        <v>42064.0</v>
      </c>
      <c r="G5910" t="str">
        <f>CHOOSE(WEEKDAY(A5910,2),"Mon","Tue","Wed","Thu","Fri","Sat","Sun")</f>
        <v>Thu</v>
      </c>
      <c r="H5910" t="str">
        <f>IF(WEEKDAY(A5910,2)&gt;5,"Weekend","Weekday")</f>
        <v>Weekday</v>
      </c>
      <c r="I5910" t="str">
        <f>_xlfn.IFS(B5910&lt;=5,"Night (0-5)",B5910&lt;=9,"Morning peak (6-9)",B5910&lt;=15,"Midday (10-15)",B5910&lt;=19,"Evening peak (16-19)",TRUE,"Late evening (20-23)")</f>
        <v>Midday (10-15)</v>
      </c>
    </row>
    <row r="5911" spans="1:9">
      <c r="A5911" s="32">
        <v>42068</v>
      </c>
      <c r="B5911">
        <v>15</v>
      </c>
      <c r="C5911">
        <v>2137</v>
      </c>
      <c r="D5911" t="s">
        <v>304</v>
      </c>
      <c r="E5911">
        <f>YEAR(A5911)</f>
        <v>2015</v>
      </c>
      <c r="F5911" s="33">
        <f>DATE(YEAR(A5911),MONTH(A5911),1)</f>
        <v>42064.0</v>
      </c>
      <c r="G5911" t="str">
        <f>CHOOSE(WEEKDAY(A5911,2),"Mon","Tue","Wed","Thu","Fri","Sat","Sun")</f>
        <v>Thu</v>
      </c>
      <c r="H5911" t="str">
        <f>IF(WEEKDAY(A5911,2)&gt;5,"Weekend","Weekday")</f>
        <v>Weekday</v>
      </c>
      <c r="I5911" t="str">
        <f>_xlfn.IFS(B5911&lt;=5,"Night (0-5)",B5911&lt;=9,"Morning peak (6-9)",B5911&lt;=15,"Midday (10-15)",B5911&lt;=19,"Evening peak (16-19)",TRUE,"Late evening (20-23)")</f>
        <v>Midday (10-15)</v>
      </c>
    </row>
    <row r="5912" spans="1:9">
      <c r="A5912" s="32">
        <v>42068</v>
      </c>
      <c r="B5912">
        <v>16</v>
      </c>
      <c r="C5912">
        <v>3601</v>
      </c>
      <c r="D5912" t="s">
        <v>304</v>
      </c>
      <c r="E5912">
        <f>YEAR(A5912)</f>
        <v>2015</v>
      </c>
      <c r="F5912" s="33">
        <f>DATE(YEAR(A5912),MONTH(A5912),1)</f>
        <v>42064.0</v>
      </c>
      <c r="G5912" t="str">
        <f>CHOOSE(WEEKDAY(A5912,2),"Mon","Tue","Wed","Thu","Fri","Sat","Sun")</f>
        <v>Thu</v>
      </c>
      <c r="H5912" t="str">
        <f>IF(WEEKDAY(A5912,2)&gt;5,"Weekend","Weekday")</f>
        <v>Weekday</v>
      </c>
      <c r="I5912" t="str">
        <f>_xlfn.IFS(B5912&lt;=5,"Night (0-5)",B5912&lt;=9,"Morning peak (6-9)",B5912&lt;=15,"Midday (10-15)",B5912&lt;=19,"Evening peak (16-19)",TRUE,"Late evening (20-23)")</f>
        <v>Evening peak (16-19)</v>
      </c>
    </row>
    <row r="5913" spans="1:9">
      <c r="A5913" s="32">
        <v>42068</v>
      </c>
      <c r="B5913">
        <v>17</v>
      </c>
      <c r="C5913">
        <v>4784</v>
      </c>
      <c r="D5913" t="s">
        <v>304</v>
      </c>
      <c r="E5913">
        <f>YEAR(A5913)</f>
        <v>2015</v>
      </c>
      <c r="F5913" s="33">
        <f>DATE(YEAR(A5913),MONTH(A5913),1)</f>
        <v>42064.0</v>
      </c>
      <c r="G5913" t="str">
        <f>CHOOSE(WEEKDAY(A5913,2),"Mon","Tue","Wed","Thu","Fri","Sat","Sun")</f>
        <v>Thu</v>
      </c>
      <c r="H5913" t="str">
        <f>IF(WEEKDAY(A5913,2)&gt;5,"Weekend","Weekday")</f>
        <v>Weekday</v>
      </c>
      <c r="I5913" t="str">
        <f>_xlfn.IFS(B5913&lt;=5,"Night (0-5)",B5913&lt;=9,"Morning peak (6-9)",B5913&lt;=15,"Midday (10-15)",B5913&lt;=19,"Evening peak (16-19)",TRUE,"Late evening (20-23)")</f>
        <v>Evening peak (16-19)</v>
      </c>
    </row>
    <row r="5914" spans="1:9">
      <c r="A5914" s="32">
        <v>42068</v>
      </c>
      <c r="B5914">
        <v>18</v>
      </c>
      <c r="C5914">
        <v>5535</v>
      </c>
      <c r="D5914" t="s">
        <v>304</v>
      </c>
      <c r="E5914">
        <f>YEAR(A5914)</f>
        <v>2015</v>
      </c>
      <c r="F5914" s="33">
        <f>DATE(YEAR(A5914),MONTH(A5914),1)</f>
        <v>42064.0</v>
      </c>
      <c r="G5914" t="str">
        <f>CHOOSE(WEEKDAY(A5914,2),"Mon","Tue","Wed","Thu","Fri","Sat","Sun")</f>
        <v>Thu</v>
      </c>
      <c r="H5914" t="str">
        <f>IF(WEEKDAY(A5914,2)&gt;5,"Weekend","Weekday")</f>
        <v>Weekday</v>
      </c>
      <c r="I5914" t="str">
        <f>_xlfn.IFS(B5914&lt;=5,"Night (0-5)",B5914&lt;=9,"Morning peak (6-9)",B5914&lt;=15,"Midday (10-15)",B5914&lt;=19,"Evening peak (16-19)",TRUE,"Late evening (20-23)")</f>
        <v>Evening peak (16-19)</v>
      </c>
    </row>
    <row r="5915" spans="1:9">
      <c r="A5915" s="32">
        <v>42068</v>
      </c>
      <c r="B5915">
        <v>19</v>
      </c>
      <c r="C5915">
        <v>5855</v>
      </c>
      <c r="D5915" t="s">
        <v>304</v>
      </c>
      <c r="E5915">
        <f>YEAR(A5915)</f>
        <v>2015</v>
      </c>
      <c r="F5915" s="33">
        <f>DATE(YEAR(A5915),MONTH(A5915),1)</f>
        <v>42064.0</v>
      </c>
      <c r="G5915" t="str">
        <f>CHOOSE(WEEKDAY(A5915,2),"Mon","Tue","Wed","Thu","Fri","Sat","Sun")</f>
        <v>Thu</v>
      </c>
      <c r="H5915" t="str">
        <f>IF(WEEKDAY(A5915,2)&gt;5,"Weekend","Weekday")</f>
        <v>Weekday</v>
      </c>
      <c r="I5915" t="str">
        <f>_xlfn.IFS(B5915&lt;=5,"Night (0-5)",B5915&lt;=9,"Morning peak (6-9)",B5915&lt;=15,"Midday (10-15)",B5915&lt;=19,"Evening peak (16-19)",TRUE,"Late evening (20-23)")</f>
        <v>Evening peak (16-19)</v>
      </c>
    </row>
    <row r="5916" spans="1:9">
      <c r="A5916" s="32">
        <v>42068</v>
      </c>
      <c r="B5916">
        <v>20</v>
      </c>
      <c r="C5916">
        <v>5135</v>
      </c>
      <c r="D5916" t="s">
        <v>304</v>
      </c>
      <c r="E5916">
        <f>YEAR(A5916)</f>
        <v>2015</v>
      </c>
      <c r="F5916" s="33">
        <f>DATE(YEAR(A5916),MONTH(A5916),1)</f>
        <v>42064.0</v>
      </c>
      <c r="G5916" t="str">
        <f>CHOOSE(WEEKDAY(A5916,2),"Mon","Tue","Wed","Thu","Fri","Sat","Sun")</f>
        <v>Thu</v>
      </c>
      <c r="H5916" t="str">
        <f>IF(WEEKDAY(A5916,2)&gt;5,"Weekend","Weekday")</f>
        <v>Weekday</v>
      </c>
      <c r="I5916" t="str">
        <f>_xlfn.IFS(B5916&lt;=5,"Night (0-5)",B5916&lt;=9,"Morning peak (6-9)",B5916&lt;=15,"Midday (10-15)",B5916&lt;=19,"Evening peak (16-19)",TRUE,"Late evening (20-23)")</f>
        <v>Late evening (20-23)</v>
      </c>
    </row>
    <row r="5917" spans="1:9">
      <c r="A5917" s="32">
        <v>42068</v>
      </c>
      <c r="B5917">
        <v>21</v>
      </c>
      <c r="C5917">
        <v>4875</v>
      </c>
      <c r="D5917" t="s">
        <v>304</v>
      </c>
      <c r="E5917">
        <f>YEAR(A5917)</f>
        <v>2015</v>
      </c>
      <c r="F5917" s="33">
        <f>DATE(YEAR(A5917),MONTH(A5917),1)</f>
        <v>42064.0</v>
      </c>
      <c r="G5917" t="str">
        <f>CHOOSE(WEEKDAY(A5917,2),"Mon","Tue","Wed","Thu","Fri","Sat","Sun")</f>
        <v>Thu</v>
      </c>
      <c r="H5917" t="str">
        <f>IF(WEEKDAY(A5917,2)&gt;5,"Weekend","Weekday")</f>
        <v>Weekday</v>
      </c>
      <c r="I5917" t="str">
        <f>_xlfn.IFS(B5917&lt;=5,"Night (0-5)",B5917&lt;=9,"Morning peak (6-9)",B5917&lt;=15,"Midday (10-15)",B5917&lt;=19,"Evening peak (16-19)",TRUE,"Late evening (20-23)")</f>
        <v>Late evening (20-23)</v>
      </c>
    </row>
    <row r="5918" spans="1:9">
      <c r="A5918" s="32">
        <v>42068</v>
      </c>
      <c r="B5918">
        <v>22</v>
      </c>
      <c r="C5918">
        <v>4613</v>
      </c>
      <c r="D5918" t="s">
        <v>304</v>
      </c>
      <c r="E5918">
        <f>YEAR(A5918)</f>
        <v>2015</v>
      </c>
      <c r="F5918" s="33">
        <f>DATE(YEAR(A5918),MONTH(A5918),1)</f>
        <v>42064.0</v>
      </c>
      <c r="G5918" t="str">
        <f>CHOOSE(WEEKDAY(A5918,2),"Mon","Tue","Wed","Thu","Fri","Sat","Sun")</f>
        <v>Thu</v>
      </c>
      <c r="H5918" t="str">
        <f>IF(WEEKDAY(A5918,2)&gt;5,"Weekend","Weekday")</f>
        <v>Weekday</v>
      </c>
      <c r="I5918" t="str">
        <f>_xlfn.IFS(B5918&lt;=5,"Night (0-5)",B5918&lt;=9,"Morning peak (6-9)",B5918&lt;=15,"Midday (10-15)",B5918&lt;=19,"Evening peak (16-19)",TRUE,"Late evening (20-23)")</f>
        <v>Late evening (20-23)</v>
      </c>
    </row>
    <row r="5919" spans="1:9">
      <c r="A5919" s="32">
        <v>42068</v>
      </c>
      <c r="B5919">
        <v>23</v>
      </c>
      <c r="C5919">
        <v>3967</v>
      </c>
      <c r="D5919" t="s">
        <v>304</v>
      </c>
      <c r="E5919">
        <f>YEAR(A5919)</f>
        <v>2015</v>
      </c>
      <c r="F5919" s="33">
        <f>DATE(YEAR(A5919),MONTH(A5919),1)</f>
        <v>42064.0</v>
      </c>
      <c r="G5919" t="str">
        <f>CHOOSE(WEEKDAY(A5919,2),"Mon","Tue","Wed","Thu","Fri","Sat","Sun")</f>
        <v>Thu</v>
      </c>
      <c r="H5919" t="str">
        <f>IF(WEEKDAY(A5919,2)&gt;5,"Weekend","Weekday")</f>
        <v>Weekday</v>
      </c>
      <c r="I5919" t="str">
        <f>_xlfn.IFS(B5919&lt;=5,"Night (0-5)",B5919&lt;=9,"Morning peak (6-9)",B5919&lt;=15,"Midday (10-15)",B5919&lt;=19,"Evening peak (16-19)",TRUE,"Late evening (20-23)")</f>
        <v>Late evening (20-23)</v>
      </c>
    </row>
    <row r="5920" spans="1:9">
      <c r="A5920" s="32">
        <v>42069</v>
      </c>
      <c r="B5920">
        <v>0</v>
      </c>
      <c r="C5920">
        <v>2753</v>
      </c>
      <c r="D5920" t="s">
        <v>304</v>
      </c>
      <c r="E5920">
        <f>YEAR(A5920)</f>
        <v>2015</v>
      </c>
      <c r="F5920" s="33">
        <f>DATE(YEAR(A5920),MONTH(A5920),1)</f>
        <v>42064.0</v>
      </c>
      <c r="G5920" t="str">
        <f>CHOOSE(WEEKDAY(A5920,2),"Mon","Tue","Wed","Thu","Fri","Sat","Sun")</f>
        <v>Fri</v>
      </c>
      <c r="H5920" t="str">
        <f>IF(WEEKDAY(A5920,2)&gt;5,"Weekend","Weekday")</f>
        <v>Weekday</v>
      </c>
      <c r="I5920" t="str">
        <f>_xlfn.IFS(B5920&lt;=5,"Night (0-5)",B5920&lt;=9,"Morning peak (6-9)",B5920&lt;=15,"Midday (10-15)",B5920&lt;=19,"Evening peak (16-19)",TRUE,"Late evening (20-23)")</f>
        <v>Night (0-5)</v>
      </c>
    </row>
    <row r="5921" spans="1:9">
      <c r="A5921" s="32">
        <v>42069</v>
      </c>
      <c r="B5921">
        <v>1</v>
      </c>
      <c r="C5921">
        <v>1585</v>
      </c>
      <c r="D5921" t="s">
        <v>304</v>
      </c>
      <c r="E5921">
        <f>YEAR(A5921)</f>
        <v>2015</v>
      </c>
      <c r="F5921" s="33">
        <f>DATE(YEAR(A5921),MONTH(A5921),1)</f>
        <v>42064.0</v>
      </c>
      <c r="G5921" t="str">
        <f>CHOOSE(WEEKDAY(A5921,2),"Mon","Tue","Wed","Thu","Fri","Sat","Sun")</f>
        <v>Fri</v>
      </c>
      <c r="H5921" t="str">
        <f>IF(WEEKDAY(A5921,2)&gt;5,"Weekend","Weekday")</f>
        <v>Weekday</v>
      </c>
      <c r="I5921" t="str">
        <f>_xlfn.IFS(B5921&lt;=5,"Night (0-5)",B5921&lt;=9,"Morning peak (6-9)",B5921&lt;=15,"Midday (10-15)",B5921&lt;=19,"Evening peak (16-19)",TRUE,"Late evening (20-23)")</f>
        <v>Night (0-5)</v>
      </c>
    </row>
    <row r="5922" spans="1:9">
      <c r="A5922" s="32">
        <v>42069</v>
      </c>
      <c r="B5922">
        <v>2</v>
      </c>
      <c r="C5922">
        <v>978</v>
      </c>
      <c r="D5922" t="s">
        <v>304</v>
      </c>
      <c r="E5922">
        <f>YEAR(A5922)</f>
        <v>2015</v>
      </c>
      <c r="F5922" s="33">
        <f>DATE(YEAR(A5922),MONTH(A5922),1)</f>
        <v>42064.0</v>
      </c>
      <c r="G5922" t="str">
        <f>CHOOSE(WEEKDAY(A5922,2),"Mon","Tue","Wed","Thu","Fri","Sat","Sun")</f>
        <v>Fri</v>
      </c>
      <c r="H5922" t="str">
        <f>IF(WEEKDAY(A5922,2)&gt;5,"Weekend","Weekday")</f>
        <v>Weekday</v>
      </c>
      <c r="I5922" t="str">
        <f>_xlfn.IFS(B5922&lt;=5,"Night (0-5)",B5922&lt;=9,"Morning peak (6-9)",B5922&lt;=15,"Midday (10-15)",B5922&lt;=19,"Evening peak (16-19)",TRUE,"Late evening (20-23)")</f>
        <v>Night (0-5)</v>
      </c>
    </row>
    <row r="5923" spans="1:9">
      <c r="A5923" s="32">
        <v>42069</v>
      </c>
      <c r="B5923">
        <v>3</v>
      </c>
      <c r="C5923">
        <v>657</v>
      </c>
      <c r="D5923" t="s">
        <v>304</v>
      </c>
      <c r="E5923">
        <f>YEAR(A5923)</f>
        <v>2015</v>
      </c>
      <c r="F5923" s="33">
        <f>DATE(YEAR(A5923),MONTH(A5923),1)</f>
        <v>42064.0</v>
      </c>
      <c r="G5923" t="str">
        <f>CHOOSE(WEEKDAY(A5923,2),"Mon","Tue","Wed","Thu","Fri","Sat","Sun")</f>
        <v>Fri</v>
      </c>
      <c r="H5923" t="str">
        <f>IF(WEEKDAY(A5923,2)&gt;5,"Weekend","Weekday")</f>
        <v>Weekday</v>
      </c>
      <c r="I5923" t="str">
        <f>_xlfn.IFS(B5923&lt;=5,"Night (0-5)",B5923&lt;=9,"Morning peak (6-9)",B5923&lt;=15,"Midday (10-15)",B5923&lt;=19,"Evening peak (16-19)",TRUE,"Late evening (20-23)")</f>
        <v>Night (0-5)</v>
      </c>
    </row>
    <row r="5924" spans="1:9">
      <c r="A5924" s="32">
        <v>42069</v>
      </c>
      <c r="B5924">
        <v>4</v>
      </c>
      <c r="C5924">
        <v>669</v>
      </c>
      <c r="D5924" t="s">
        <v>304</v>
      </c>
      <c r="E5924">
        <f>YEAR(A5924)</f>
        <v>2015</v>
      </c>
      <c r="F5924" s="33">
        <f>DATE(YEAR(A5924),MONTH(A5924),1)</f>
        <v>42064.0</v>
      </c>
      <c r="G5924" t="str">
        <f>CHOOSE(WEEKDAY(A5924,2),"Mon","Tue","Wed","Thu","Fri","Sat","Sun")</f>
        <v>Fri</v>
      </c>
      <c r="H5924" t="str">
        <f>IF(WEEKDAY(A5924,2)&gt;5,"Weekend","Weekday")</f>
        <v>Weekday</v>
      </c>
      <c r="I5924" t="str">
        <f>_xlfn.IFS(B5924&lt;=5,"Night (0-5)",B5924&lt;=9,"Morning peak (6-9)",B5924&lt;=15,"Midday (10-15)",B5924&lt;=19,"Evening peak (16-19)",TRUE,"Late evening (20-23)")</f>
        <v>Night (0-5)</v>
      </c>
    </row>
    <row r="5925" spans="1:9">
      <c r="A5925" s="32">
        <v>42069</v>
      </c>
      <c r="B5925">
        <v>5</v>
      </c>
      <c r="C5925">
        <v>793</v>
      </c>
      <c r="D5925" t="s">
        <v>304</v>
      </c>
      <c r="E5925">
        <f>YEAR(A5925)</f>
        <v>2015</v>
      </c>
      <c r="F5925" s="33">
        <f>DATE(YEAR(A5925),MONTH(A5925),1)</f>
        <v>42064.0</v>
      </c>
      <c r="G5925" t="str">
        <f>CHOOSE(WEEKDAY(A5925,2),"Mon","Tue","Wed","Thu","Fri","Sat","Sun")</f>
        <v>Fri</v>
      </c>
      <c r="H5925" t="str">
        <f>IF(WEEKDAY(A5925,2)&gt;5,"Weekend","Weekday")</f>
        <v>Weekday</v>
      </c>
      <c r="I5925" t="str">
        <f>_xlfn.IFS(B5925&lt;=5,"Night (0-5)",B5925&lt;=9,"Morning peak (6-9)",B5925&lt;=15,"Midday (10-15)",B5925&lt;=19,"Evening peak (16-19)",TRUE,"Late evening (20-23)")</f>
        <v>Night (0-5)</v>
      </c>
    </row>
    <row r="5926" spans="1:9">
      <c r="A5926" s="32">
        <v>42069</v>
      </c>
      <c r="B5926">
        <v>6</v>
      </c>
      <c r="C5926">
        <v>1629</v>
      </c>
      <c r="D5926" t="s">
        <v>304</v>
      </c>
      <c r="E5926">
        <f>YEAR(A5926)</f>
        <v>2015</v>
      </c>
      <c r="F5926" s="33">
        <f>DATE(YEAR(A5926),MONTH(A5926),1)</f>
        <v>42064.0</v>
      </c>
      <c r="G5926" t="str">
        <f>CHOOSE(WEEKDAY(A5926,2),"Mon","Tue","Wed","Thu","Fri","Sat","Sun")</f>
        <v>Fri</v>
      </c>
      <c r="H5926" t="str">
        <f>IF(WEEKDAY(A5926,2)&gt;5,"Weekend","Weekday")</f>
        <v>Weekday</v>
      </c>
      <c r="I5926" t="str">
        <f>_xlfn.IFS(B5926&lt;=5,"Night (0-5)",B5926&lt;=9,"Morning peak (6-9)",B5926&lt;=15,"Midday (10-15)",B5926&lt;=19,"Evening peak (16-19)",TRUE,"Late evening (20-23)")</f>
        <v>Morning peak (6-9)</v>
      </c>
    </row>
    <row r="5927" spans="1:9">
      <c r="A5927" s="32">
        <v>42069</v>
      </c>
      <c r="B5927">
        <v>7</v>
      </c>
      <c r="C5927">
        <v>2616</v>
      </c>
      <c r="D5927" t="s">
        <v>304</v>
      </c>
      <c r="E5927">
        <f>YEAR(A5927)</f>
        <v>2015</v>
      </c>
      <c r="F5927" s="33">
        <f>DATE(YEAR(A5927),MONTH(A5927),1)</f>
        <v>42064.0</v>
      </c>
      <c r="G5927" t="str">
        <f>CHOOSE(WEEKDAY(A5927,2),"Mon","Tue","Wed","Thu","Fri","Sat","Sun")</f>
        <v>Fri</v>
      </c>
      <c r="H5927" t="str">
        <f>IF(WEEKDAY(A5927,2)&gt;5,"Weekend","Weekday")</f>
        <v>Weekday</v>
      </c>
      <c r="I5927" t="str">
        <f>_xlfn.IFS(B5927&lt;=5,"Night (0-5)",B5927&lt;=9,"Morning peak (6-9)",B5927&lt;=15,"Midday (10-15)",B5927&lt;=19,"Evening peak (16-19)",TRUE,"Late evening (20-23)")</f>
        <v>Morning peak (6-9)</v>
      </c>
    </row>
    <row r="5928" spans="1:9">
      <c r="A5928" s="32">
        <v>42069</v>
      </c>
      <c r="B5928">
        <v>8</v>
      </c>
      <c r="C5928">
        <v>3636</v>
      </c>
      <c r="D5928" t="s">
        <v>304</v>
      </c>
      <c r="E5928">
        <f>YEAR(A5928)</f>
        <v>2015</v>
      </c>
      <c r="F5928" s="33">
        <f>DATE(YEAR(A5928),MONTH(A5928),1)</f>
        <v>42064.0</v>
      </c>
      <c r="G5928" t="str">
        <f>CHOOSE(WEEKDAY(A5928,2),"Mon","Tue","Wed","Thu","Fri","Sat","Sun")</f>
        <v>Fri</v>
      </c>
      <c r="H5928" t="str">
        <f>IF(WEEKDAY(A5928,2)&gt;5,"Weekend","Weekday")</f>
        <v>Weekday</v>
      </c>
      <c r="I5928" t="str">
        <f>_xlfn.IFS(B5928&lt;=5,"Night (0-5)",B5928&lt;=9,"Morning peak (6-9)",B5928&lt;=15,"Midday (10-15)",B5928&lt;=19,"Evening peak (16-19)",TRUE,"Late evening (20-23)")</f>
        <v>Morning peak (6-9)</v>
      </c>
    </row>
    <row r="5929" spans="1:9">
      <c r="A5929" s="32">
        <v>42069</v>
      </c>
      <c r="B5929">
        <v>9</v>
      </c>
      <c r="C5929">
        <v>3891</v>
      </c>
      <c r="D5929" t="s">
        <v>304</v>
      </c>
      <c r="E5929">
        <f>YEAR(A5929)</f>
        <v>2015</v>
      </c>
      <c r="F5929" s="33">
        <f>DATE(YEAR(A5929),MONTH(A5929),1)</f>
        <v>42064.0</v>
      </c>
      <c r="G5929" t="str">
        <f>CHOOSE(WEEKDAY(A5929,2),"Mon","Tue","Wed","Thu","Fri","Sat","Sun")</f>
        <v>Fri</v>
      </c>
      <c r="H5929" t="str">
        <f>IF(WEEKDAY(A5929,2)&gt;5,"Weekend","Weekday")</f>
        <v>Weekday</v>
      </c>
      <c r="I5929" t="str">
        <f>_xlfn.IFS(B5929&lt;=5,"Night (0-5)",B5929&lt;=9,"Morning peak (6-9)",B5929&lt;=15,"Midday (10-15)",B5929&lt;=19,"Evening peak (16-19)",TRUE,"Late evening (20-23)")</f>
        <v>Morning peak (6-9)</v>
      </c>
    </row>
    <row r="5930" spans="1:9">
      <c r="A5930" s="32">
        <v>42069</v>
      </c>
      <c r="B5930">
        <v>10</v>
      </c>
      <c r="C5930">
        <v>3232</v>
      </c>
      <c r="D5930" t="s">
        <v>304</v>
      </c>
      <c r="E5930">
        <f>YEAR(A5930)</f>
        <v>2015</v>
      </c>
      <c r="F5930" s="33">
        <f>DATE(YEAR(A5930),MONTH(A5930),1)</f>
        <v>42064.0</v>
      </c>
      <c r="G5930" t="str">
        <f>CHOOSE(WEEKDAY(A5930,2),"Mon","Tue","Wed","Thu","Fri","Sat","Sun")</f>
        <v>Fri</v>
      </c>
      <c r="H5930" t="str">
        <f>IF(WEEKDAY(A5930,2)&gt;5,"Weekend","Weekday")</f>
        <v>Weekday</v>
      </c>
      <c r="I5930" t="str">
        <f>_xlfn.IFS(B5930&lt;=5,"Night (0-5)",B5930&lt;=9,"Morning peak (6-9)",B5930&lt;=15,"Midday (10-15)",B5930&lt;=19,"Evening peak (16-19)",TRUE,"Late evening (20-23)")</f>
        <v>Midday (10-15)</v>
      </c>
    </row>
    <row r="5931" spans="1:9">
      <c r="A5931" s="32">
        <v>42069</v>
      </c>
      <c r="B5931">
        <v>11</v>
      </c>
      <c r="C5931">
        <v>2760</v>
      </c>
      <c r="D5931" t="s">
        <v>304</v>
      </c>
      <c r="E5931">
        <f>YEAR(A5931)</f>
        <v>2015</v>
      </c>
      <c r="F5931" s="33">
        <f>DATE(YEAR(A5931),MONTH(A5931),1)</f>
        <v>42064.0</v>
      </c>
      <c r="G5931" t="str">
        <f>CHOOSE(WEEKDAY(A5931,2),"Mon","Tue","Wed","Thu","Fri","Sat","Sun")</f>
        <v>Fri</v>
      </c>
      <c r="H5931" t="str">
        <f>IF(WEEKDAY(A5931,2)&gt;5,"Weekend","Weekday")</f>
        <v>Weekday</v>
      </c>
      <c r="I5931" t="str">
        <f>_xlfn.IFS(B5931&lt;=5,"Night (0-5)",B5931&lt;=9,"Morning peak (6-9)",B5931&lt;=15,"Midday (10-15)",B5931&lt;=19,"Evening peak (16-19)",TRUE,"Late evening (20-23)")</f>
        <v>Midday (10-15)</v>
      </c>
    </row>
    <row r="5932" spans="1:9">
      <c r="A5932" s="32">
        <v>42069</v>
      </c>
      <c r="B5932">
        <v>12</v>
      </c>
      <c r="C5932">
        <v>2627</v>
      </c>
      <c r="D5932" t="s">
        <v>304</v>
      </c>
      <c r="E5932">
        <f>YEAR(A5932)</f>
        <v>2015</v>
      </c>
      <c r="F5932" s="33">
        <f>DATE(YEAR(A5932),MONTH(A5932),1)</f>
        <v>42064.0</v>
      </c>
      <c r="G5932" t="str">
        <f>CHOOSE(WEEKDAY(A5932,2),"Mon","Tue","Wed","Thu","Fri","Sat","Sun")</f>
        <v>Fri</v>
      </c>
      <c r="H5932" t="str">
        <f>IF(WEEKDAY(A5932,2)&gt;5,"Weekend","Weekday")</f>
        <v>Weekday</v>
      </c>
      <c r="I5932" t="str">
        <f>_xlfn.IFS(B5932&lt;=5,"Night (0-5)",B5932&lt;=9,"Morning peak (6-9)",B5932&lt;=15,"Midday (10-15)",B5932&lt;=19,"Evening peak (16-19)",TRUE,"Late evening (20-23)")</f>
        <v>Midday (10-15)</v>
      </c>
    </row>
    <row r="5933" spans="1:9">
      <c r="A5933" s="32">
        <v>42069</v>
      </c>
      <c r="B5933">
        <v>13</v>
      </c>
      <c r="C5933">
        <v>2668</v>
      </c>
      <c r="D5933" t="s">
        <v>304</v>
      </c>
      <c r="E5933">
        <f>YEAR(A5933)</f>
        <v>2015</v>
      </c>
      <c r="F5933" s="33">
        <f>DATE(YEAR(A5933),MONTH(A5933),1)</f>
        <v>42064.0</v>
      </c>
      <c r="G5933" t="str">
        <f>CHOOSE(WEEKDAY(A5933,2),"Mon","Tue","Wed","Thu","Fri","Sat","Sun")</f>
        <v>Fri</v>
      </c>
      <c r="H5933" t="str">
        <f>IF(WEEKDAY(A5933,2)&gt;5,"Weekend","Weekday")</f>
        <v>Weekday</v>
      </c>
      <c r="I5933" t="str">
        <f>_xlfn.IFS(B5933&lt;=5,"Night (0-5)",B5933&lt;=9,"Morning peak (6-9)",B5933&lt;=15,"Midday (10-15)",B5933&lt;=19,"Evening peak (16-19)",TRUE,"Late evening (20-23)")</f>
        <v>Midday (10-15)</v>
      </c>
    </row>
    <row r="5934" spans="1:9">
      <c r="A5934" s="32">
        <v>42069</v>
      </c>
      <c r="B5934">
        <v>14</v>
      </c>
      <c r="C5934">
        <v>2942</v>
      </c>
      <c r="D5934" t="s">
        <v>304</v>
      </c>
      <c r="E5934">
        <f>YEAR(A5934)</f>
        <v>2015</v>
      </c>
      <c r="F5934" s="33">
        <f>DATE(YEAR(A5934),MONTH(A5934),1)</f>
        <v>42064.0</v>
      </c>
      <c r="G5934" t="str">
        <f>CHOOSE(WEEKDAY(A5934,2),"Mon","Tue","Wed","Thu","Fri","Sat","Sun")</f>
        <v>Fri</v>
      </c>
      <c r="H5934" t="str">
        <f>IF(WEEKDAY(A5934,2)&gt;5,"Weekend","Weekday")</f>
        <v>Weekday</v>
      </c>
      <c r="I5934" t="str">
        <f>_xlfn.IFS(B5934&lt;=5,"Night (0-5)",B5934&lt;=9,"Morning peak (6-9)",B5934&lt;=15,"Midday (10-15)",B5934&lt;=19,"Evening peak (16-19)",TRUE,"Late evening (20-23)")</f>
        <v>Midday (10-15)</v>
      </c>
    </row>
    <row r="5935" spans="1:9">
      <c r="A5935" s="32">
        <v>42069</v>
      </c>
      <c r="B5935">
        <v>15</v>
      </c>
      <c r="C5935">
        <v>3200</v>
      </c>
      <c r="D5935" t="s">
        <v>304</v>
      </c>
      <c r="E5935">
        <f>YEAR(A5935)</f>
        <v>2015</v>
      </c>
      <c r="F5935" s="33">
        <f>DATE(YEAR(A5935),MONTH(A5935),1)</f>
        <v>42064.0</v>
      </c>
      <c r="G5935" t="str">
        <f>CHOOSE(WEEKDAY(A5935,2),"Mon","Tue","Wed","Thu","Fri","Sat","Sun")</f>
        <v>Fri</v>
      </c>
      <c r="H5935" t="str">
        <f>IF(WEEKDAY(A5935,2)&gt;5,"Weekend","Weekday")</f>
        <v>Weekday</v>
      </c>
      <c r="I5935" t="str">
        <f>_xlfn.IFS(B5935&lt;=5,"Night (0-5)",B5935&lt;=9,"Morning peak (6-9)",B5935&lt;=15,"Midday (10-15)",B5935&lt;=19,"Evening peak (16-19)",TRUE,"Late evening (20-23)")</f>
        <v>Midday (10-15)</v>
      </c>
    </row>
    <row r="5936" spans="1:9">
      <c r="A5936" s="32">
        <v>42069</v>
      </c>
      <c r="B5936">
        <v>16</v>
      </c>
      <c r="C5936">
        <v>3886</v>
      </c>
      <c r="D5936" t="s">
        <v>304</v>
      </c>
      <c r="E5936">
        <f>YEAR(A5936)</f>
        <v>2015</v>
      </c>
      <c r="F5936" s="33">
        <f>DATE(YEAR(A5936),MONTH(A5936),1)</f>
        <v>42064.0</v>
      </c>
      <c r="G5936" t="str">
        <f>CHOOSE(WEEKDAY(A5936,2),"Mon","Tue","Wed","Thu","Fri","Sat","Sun")</f>
        <v>Fri</v>
      </c>
      <c r="H5936" t="str">
        <f>IF(WEEKDAY(A5936,2)&gt;5,"Weekend","Weekday")</f>
        <v>Weekday</v>
      </c>
      <c r="I5936" t="str">
        <f>_xlfn.IFS(B5936&lt;=5,"Night (0-5)",B5936&lt;=9,"Morning peak (6-9)",B5936&lt;=15,"Midday (10-15)",B5936&lt;=19,"Evening peak (16-19)",TRUE,"Late evening (20-23)")</f>
        <v>Evening peak (16-19)</v>
      </c>
    </row>
    <row r="5937" spans="1:9">
      <c r="A5937" s="32">
        <v>42069</v>
      </c>
      <c r="B5937">
        <v>17</v>
      </c>
      <c r="C5937">
        <v>4831</v>
      </c>
      <c r="D5937" t="s">
        <v>304</v>
      </c>
      <c r="E5937">
        <f>YEAR(A5937)</f>
        <v>2015</v>
      </c>
      <c r="F5937" s="33">
        <f>DATE(YEAR(A5937),MONTH(A5937),1)</f>
        <v>42064.0</v>
      </c>
      <c r="G5937" t="str">
        <f>CHOOSE(WEEKDAY(A5937,2),"Mon","Tue","Wed","Thu","Fri","Sat","Sun")</f>
        <v>Fri</v>
      </c>
      <c r="H5937" t="str">
        <f>IF(WEEKDAY(A5937,2)&gt;5,"Weekend","Weekday")</f>
        <v>Weekday</v>
      </c>
      <c r="I5937" t="str">
        <f>_xlfn.IFS(B5937&lt;=5,"Night (0-5)",B5937&lt;=9,"Morning peak (6-9)",B5937&lt;=15,"Midday (10-15)",B5937&lt;=19,"Evening peak (16-19)",TRUE,"Late evening (20-23)")</f>
        <v>Evening peak (16-19)</v>
      </c>
    </row>
    <row r="5938" spans="1:9">
      <c r="A5938" s="32">
        <v>42069</v>
      </c>
      <c r="B5938">
        <v>18</v>
      </c>
      <c r="C5938">
        <v>5961</v>
      </c>
      <c r="D5938" t="s">
        <v>304</v>
      </c>
      <c r="E5938">
        <f>YEAR(A5938)</f>
        <v>2015</v>
      </c>
      <c r="F5938" s="33">
        <f>DATE(YEAR(A5938),MONTH(A5938),1)</f>
        <v>42064.0</v>
      </c>
      <c r="G5938" t="str">
        <f>CHOOSE(WEEKDAY(A5938,2),"Mon","Tue","Wed","Thu","Fri","Sat","Sun")</f>
        <v>Fri</v>
      </c>
      <c r="H5938" t="str">
        <f>IF(WEEKDAY(A5938,2)&gt;5,"Weekend","Weekday")</f>
        <v>Weekday</v>
      </c>
      <c r="I5938" t="str">
        <f>_xlfn.IFS(B5938&lt;=5,"Night (0-5)",B5938&lt;=9,"Morning peak (6-9)",B5938&lt;=15,"Midday (10-15)",B5938&lt;=19,"Evening peak (16-19)",TRUE,"Late evening (20-23)")</f>
        <v>Evening peak (16-19)</v>
      </c>
    </row>
    <row r="5939" spans="1:9">
      <c r="A5939" s="32">
        <v>42069</v>
      </c>
      <c r="B5939">
        <v>19</v>
      </c>
      <c r="C5939">
        <v>6408</v>
      </c>
      <c r="D5939" t="s">
        <v>304</v>
      </c>
      <c r="E5939">
        <f>YEAR(A5939)</f>
        <v>2015</v>
      </c>
      <c r="F5939" s="33">
        <f>DATE(YEAR(A5939),MONTH(A5939),1)</f>
        <v>42064.0</v>
      </c>
      <c r="G5939" t="str">
        <f>CHOOSE(WEEKDAY(A5939,2),"Mon","Tue","Wed","Thu","Fri","Sat","Sun")</f>
        <v>Fri</v>
      </c>
      <c r="H5939" t="str">
        <f>IF(WEEKDAY(A5939,2)&gt;5,"Weekend","Weekday")</f>
        <v>Weekday</v>
      </c>
      <c r="I5939" t="str">
        <f>_xlfn.IFS(B5939&lt;=5,"Night (0-5)",B5939&lt;=9,"Morning peak (6-9)",B5939&lt;=15,"Midday (10-15)",B5939&lt;=19,"Evening peak (16-19)",TRUE,"Late evening (20-23)")</f>
        <v>Evening peak (16-19)</v>
      </c>
    </row>
    <row r="5940" spans="1:9">
      <c r="A5940" s="32">
        <v>42069</v>
      </c>
      <c r="B5940">
        <v>20</v>
      </c>
      <c r="C5940">
        <v>6791</v>
      </c>
      <c r="D5940" t="s">
        <v>304</v>
      </c>
      <c r="E5940">
        <f>YEAR(A5940)</f>
        <v>2015</v>
      </c>
      <c r="F5940" s="33">
        <f>DATE(YEAR(A5940),MONTH(A5940),1)</f>
        <v>42064.0</v>
      </c>
      <c r="G5940" t="str">
        <f>CHOOSE(WEEKDAY(A5940,2),"Mon","Tue","Wed","Thu","Fri","Sat","Sun")</f>
        <v>Fri</v>
      </c>
      <c r="H5940" t="str">
        <f>IF(WEEKDAY(A5940,2)&gt;5,"Weekend","Weekday")</f>
        <v>Weekday</v>
      </c>
      <c r="I5940" t="str">
        <f>_xlfn.IFS(B5940&lt;=5,"Night (0-5)",B5940&lt;=9,"Morning peak (6-9)",B5940&lt;=15,"Midday (10-15)",B5940&lt;=19,"Evening peak (16-19)",TRUE,"Late evening (20-23)")</f>
        <v>Late evening (20-23)</v>
      </c>
    </row>
    <row r="5941" spans="1:9">
      <c r="A5941" s="32">
        <v>42069</v>
      </c>
      <c r="B5941">
        <v>21</v>
      </c>
      <c r="C5941">
        <v>6166</v>
      </c>
      <c r="D5941" t="s">
        <v>304</v>
      </c>
      <c r="E5941">
        <f>YEAR(A5941)</f>
        <v>2015</v>
      </c>
      <c r="F5941" s="33">
        <f>DATE(YEAR(A5941),MONTH(A5941),1)</f>
        <v>42064.0</v>
      </c>
      <c r="G5941" t="str">
        <f>CHOOSE(WEEKDAY(A5941,2),"Mon","Tue","Wed","Thu","Fri","Sat","Sun")</f>
        <v>Fri</v>
      </c>
      <c r="H5941" t="str">
        <f>IF(WEEKDAY(A5941,2)&gt;5,"Weekend","Weekday")</f>
        <v>Weekday</v>
      </c>
      <c r="I5941" t="str">
        <f>_xlfn.IFS(B5941&lt;=5,"Night (0-5)",B5941&lt;=9,"Morning peak (6-9)",B5941&lt;=15,"Midday (10-15)",B5941&lt;=19,"Evening peak (16-19)",TRUE,"Late evening (20-23)")</f>
        <v>Late evening (20-23)</v>
      </c>
    </row>
    <row r="5942" spans="1:9">
      <c r="A5942" s="32">
        <v>42069</v>
      </c>
      <c r="B5942">
        <v>22</v>
      </c>
      <c r="C5942">
        <v>6181</v>
      </c>
      <c r="D5942" t="s">
        <v>304</v>
      </c>
      <c r="E5942">
        <f>YEAR(A5942)</f>
        <v>2015</v>
      </c>
      <c r="F5942" s="33">
        <f>DATE(YEAR(A5942),MONTH(A5942),1)</f>
        <v>42064.0</v>
      </c>
      <c r="G5942" t="str">
        <f>CHOOSE(WEEKDAY(A5942,2),"Mon","Tue","Wed","Thu","Fri","Sat","Sun")</f>
        <v>Fri</v>
      </c>
      <c r="H5942" t="str">
        <f>IF(WEEKDAY(A5942,2)&gt;5,"Weekend","Weekday")</f>
        <v>Weekday</v>
      </c>
      <c r="I5942" t="str">
        <f>_xlfn.IFS(B5942&lt;=5,"Night (0-5)",B5942&lt;=9,"Morning peak (6-9)",B5942&lt;=15,"Midday (10-15)",B5942&lt;=19,"Evening peak (16-19)",TRUE,"Late evening (20-23)")</f>
        <v>Late evening (20-23)</v>
      </c>
    </row>
    <row r="5943" spans="1:9">
      <c r="A5943" s="32">
        <v>42069</v>
      </c>
      <c r="B5943">
        <v>23</v>
      </c>
      <c r="C5943">
        <v>6274</v>
      </c>
      <c r="D5943" t="s">
        <v>304</v>
      </c>
      <c r="E5943">
        <f>YEAR(A5943)</f>
        <v>2015</v>
      </c>
      <c r="F5943" s="33">
        <f>DATE(YEAR(A5943),MONTH(A5943),1)</f>
        <v>42064.0</v>
      </c>
      <c r="G5943" t="str">
        <f>CHOOSE(WEEKDAY(A5943,2),"Mon","Tue","Wed","Thu","Fri","Sat","Sun")</f>
        <v>Fri</v>
      </c>
      <c r="H5943" t="str">
        <f>IF(WEEKDAY(A5943,2)&gt;5,"Weekend","Weekday")</f>
        <v>Weekday</v>
      </c>
      <c r="I5943" t="str">
        <f>_xlfn.IFS(B5943&lt;=5,"Night (0-5)",B5943&lt;=9,"Morning peak (6-9)",B5943&lt;=15,"Midday (10-15)",B5943&lt;=19,"Evening peak (16-19)",TRUE,"Late evening (20-23)")</f>
        <v>Late evening (20-23)</v>
      </c>
    </row>
    <row r="5944" spans="1:9">
      <c r="A5944" s="32">
        <v>42070</v>
      </c>
      <c r="B5944">
        <v>0</v>
      </c>
      <c r="C5944">
        <v>5500</v>
      </c>
      <c r="D5944" t="s">
        <v>304</v>
      </c>
      <c r="E5944">
        <f>YEAR(A5944)</f>
        <v>2015</v>
      </c>
      <c r="F5944" s="33">
        <f>DATE(YEAR(A5944),MONTH(A5944),1)</f>
        <v>42064.0</v>
      </c>
      <c r="G5944" t="str">
        <f>CHOOSE(WEEKDAY(A5944,2),"Mon","Tue","Wed","Thu","Fri","Sat","Sun")</f>
        <v>Sat</v>
      </c>
      <c r="H5944" t="str">
        <f>IF(WEEKDAY(A5944,2)&gt;5,"Weekend","Weekday")</f>
        <v>Weekend</v>
      </c>
      <c r="I5944" t="str">
        <f>_xlfn.IFS(B5944&lt;=5,"Night (0-5)",B5944&lt;=9,"Morning peak (6-9)",B5944&lt;=15,"Midday (10-15)",B5944&lt;=19,"Evening peak (16-19)",TRUE,"Late evening (20-23)")</f>
        <v>Night (0-5)</v>
      </c>
    </row>
    <row r="5945" spans="1:9">
      <c r="A5945" s="32">
        <v>42070</v>
      </c>
      <c r="B5945">
        <v>1</v>
      </c>
      <c r="C5945">
        <v>3841</v>
      </c>
      <c r="D5945" t="s">
        <v>304</v>
      </c>
      <c r="E5945">
        <f>YEAR(A5945)</f>
        <v>2015</v>
      </c>
      <c r="F5945" s="33">
        <f>DATE(YEAR(A5945),MONTH(A5945),1)</f>
        <v>42064.0</v>
      </c>
      <c r="G5945" t="str">
        <f>CHOOSE(WEEKDAY(A5945,2),"Mon","Tue","Wed","Thu","Fri","Sat","Sun")</f>
        <v>Sat</v>
      </c>
      <c r="H5945" t="str">
        <f>IF(WEEKDAY(A5945,2)&gt;5,"Weekend","Weekday")</f>
        <v>Weekend</v>
      </c>
      <c r="I5945" t="str">
        <f>_xlfn.IFS(B5945&lt;=5,"Night (0-5)",B5945&lt;=9,"Morning peak (6-9)",B5945&lt;=15,"Midday (10-15)",B5945&lt;=19,"Evening peak (16-19)",TRUE,"Late evening (20-23)")</f>
        <v>Night (0-5)</v>
      </c>
    </row>
    <row r="5946" spans="1:9">
      <c r="A5946" s="32">
        <v>42070</v>
      </c>
      <c r="B5946">
        <v>2</v>
      </c>
      <c r="C5946">
        <v>2688</v>
      </c>
      <c r="D5946" t="s">
        <v>304</v>
      </c>
      <c r="E5946">
        <f>YEAR(A5946)</f>
        <v>2015</v>
      </c>
      <c r="F5946" s="33">
        <f>DATE(YEAR(A5946),MONTH(A5946),1)</f>
        <v>42064.0</v>
      </c>
      <c r="G5946" t="str">
        <f>CHOOSE(WEEKDAY(A5946,2),"Mon","Tue","Wed","Thu","Fri","Sat","Sun")</f>
        <v>Sat</v>
      </c>
      <c r="H5946" t="str">
        <f>IF(WEEKDAY(A5946,2)&gt;5,"Weekend","Weekday")</f>
        <v>Weekend</v>
      </c>
      <c r="I5946" t="str">
        <f>_xlfn.IFS(B5946&lt;=5,"Night (0-5)",B5946&lt;=9,"Morning peak (6-9)",B5946&lt;=15,"Midday (10-15)",B5946&lt;=19,"Evening peak (16-19)",TRUE,"Late evening (20-23)")</f>
        <v>Night (0-5)</v>
      </c>
    </row>
    <row r="5947" spans="1:9">
      <c r="A5947" s="32">
        <v>42070</v>
      </c>
      <c r="B5947">
        <v>3</v>
      </c>
      <c r="C5947">
        <v>1750</v>
      </c>
      <c r="D5947" t="s">
        <v>304</v>
      </c>
      <c r="E5947">
        <f>YEAR(A5947)</f>
        <v>2015</v>
      </c>
      <c r="F5947" s="33">
        <f>DATE(YEAR(A5947),MONTH(A5947),1)</f>
        <v>42064.0</v>
      </c>
      <c r="G5947" t="str">
        <f>CHOOSE(WEEKDAY(A5947,2),"Mon","Tue","Wed","Thu","Fri","Sat","Sun")</f>
        <v>Sat</v>
      </c>
      <c r="H5947" t="str">
        <f>IF(WEEKDAY(A5947,2)&gt;5,"Weekend","Weekday")</f>
        <v>Weekend</v>
      </c>
      <c r="I5947" t="str">
        <f>_xlfn.IFS(B5947&lt;=5,"Night (0-5)",B5947&lt;=9,"Morning peak (6-9)",B5947&lt;=15,"Midday (10-15)",B5947&lt;=19,"Evening peak (16-19)",TRUE,"Late evening (20-23)")</f>
        <v>Night (0-5)</v>
      </c>
    </row>
    <row r="5948" spans="1:9">
      <c r="A5948" s="32">
        <v>42070</v>
      </c>
      <c r="B5948">
        <v>4</v>
      </c>
      <c r="C5948">
        <v>1252</v>
      </c>
      <c r="D5948" t="s">
        <v>304</v>
      </c>
      <c r="E5948">
        <f>YEAR(A5948)</f>
        <v>2015</v>
      </c>
      <c r="F5948" s="33">
        <f>DATE(YEAR(A5948),MONTH(A5948),1)</f>
        <v>42064.0</v>
      </c>
      <c r="G5948" t="str">
        <f>CHOOSE(WEEKDAY(A5948,2),"Mon","Tue","Wed","Thu","Fri","Sat","Sun")</f>
        <v>Sat</v>
      </c>
      <c r="H5948" t="str">
        <f>IF(WEEKDAY(A5948,2)&gt;5,"Weekend","Weekday")</f>
        <v>Weekend</v>
      </c>
      <c r="I5948" t="str">
        <f>_xlfn.IFS(B5948&lt;=5,"Night (0-5)",B5948&lt;=9,"Morning peak (6-9)",B5948&lt;=15,"Midday (10-15)",B5948&lt;=19,"Evening peak (16-19)",TRUE,"Late evening (20-23)")</f>
        <v>Night (0-5)</v>
      </c>
    </row>
    <row r="5949" spans="1:9">
      <c r="A5949" s="32">
        <v>42070</v>
      </c>
      <c r="B5949">
        <v>5</v>
      </c>
      <c r="C5949">
        <v>882</v>
      </c>
      <c r="D5949" t="s">
        <v>304</v>
      </c>
      <c r="E5949">
        <f>YEAR(A5949)</f>
        <v>2015</v>
      </c>
      <c r="F5949" s="33">
        <f>DATE(YEAR(A5949),MONTH(A5949),1)</f>
        <v>42064.0</v>
      </c>
      <c r="G5949" t="str">
        <f>CHOOSE(WEEKDAY(A5949,2),"Mon","Tue","Wed","Thu","Fri","Sat","Sun")</f>
        <v>Sat</v>
      </c>
      <c r="H5949" t="str">
        <f>IF(WEEKDAY(A5949,2)&gt;5,"Weekend","Weekday")</f>
        <v>Weekend</v>
      </c>
      <c r="I5949" t="str">
        <f>_xlfn.IFS(B5949&lt;=5,"Night (0-5)",B5949&lt;=9,"Morning peak (6-9)",B5949&lt;=15,"Midday (10-15)",B5949&lt;=19,"Evening peak (16-19)",TRUE,"Late evening (20-23)")</f>
        <v>Night (0-5)</v>
      </c>
    </row>
    <row r="5950" spans="1:9">
      <c r="A5950" s="32">
        <v>42070</v>
      </c>
      <c r="B5950">
        <v>6</v>
      </c>
      <c r="C5950">
        <v>838</v>
      </c>
      <c r="D5950" t="s">
        <v>304</v>
      </c>
      <c r="E5950">
        <f>YEAR(A5950)</f>
        <v>2015</v>
      </c>
      <c r="F5950" s="33">
        <f>DATE(YEAR(A5950),MONTH(A5950),1)</f>
        <v>42064.0</v>
      </c>
      <c r="G5950" t="str">
        <f>CHOOSE(WEEKDAY(A5950,2),"Mon","Tue","Wed","Thu","Fri","Sat","Sun")</f>
        <v>Sat</v>
      </c>
      <c r="H5950" t="str">
        <f>IF(WEEKDAY(A5950,2)&gt;5,"Weekend","Weekday")</f>
        <v>Weekend</v>
      </c>
      <c r="I5950" t="str">
        <f>_xlfn.IFS(B5950&lt;=5,"Night (0-5)",B5950&lt;=9,"Morning peak (6-9)",B5950&lt;=15,"Midday (10-15)",B5950&lt;=19,"Evening peak (16-19)",TRUE,"Late evening (20-23)")</f>
        <v>Morning peak (6-9)</v>
      </c>
    </row>
    <row r="5951" spans="1:9">
      <c r="A5951" s="32">
        <v>42070</v>
      </c>
      <c r="B5951">
        <v>7</v>
      </c>
      <c r="C5951">
        <v>1022</v>
      </c>
      <c r="D5951" t="s">
        <v>304</v>
      </c>
      <c r="E5951">
        <f>YEAR(A5951)</f>
        <v>2015</v>
      </c>
      <c r="F5951" s="33">
        <f>DATE(YEAR(A5951),MONTH(A5951),1)</f>
        <v>42064.0</v>
      </c>
      <c r="G5951" t="str">
        <f>CHOOSE(WEEKDAY(A5951,2),"Mon","Tue","Wed","Thu","Fri","Sat","Sun")</f>
        <v>Sat</v>
      </c>
      <c r="H5951" t="str">
        <f>IF(WEEKDAY(A5951,2)&gt;5,"Weekend","Weekday")</f>
        <v>Weekend</v>
      </c>
      <c r="I5951" t="str">
        <f>_xlfn.IFS(B5951&lt;=5,"Night (0-5)",B5951&lt;=9,"Morning peak (6-9)",B5951&lt;=15,"Midday (10-15)",B5951&lt;=19,"Evening peak (16-19)",TRUE,"Late evening (20-23)")</f>
        <v>Morning peak (6-9)</v>
      </c>
    </row>
    <row r="5952" spans="1:9">
      <c r="A5952" s="32">
        <v>42070</v>
      </c>
      <c r="B5952">
        <v>8</v>
      </c>
      <c r="C5952">
        <v>1320</v>
      </c>
      <c r="D5952" t="s">
        <v>304</v>
      </c>
      <c r="E5952">
        <f>YEAR(A5952)</f>
        <v>2015</v>
      </c>
      <c r="F5952" s="33">
        <f>DATE(YEAR(A5952),MONTH(A5952),1)</f>
        <v>42064.0</v>
      </c>
      <c r="G5952" t="str">
        <f>CHOOSE(WEEKDAY(A5952,2),"Mon","Tue","Wed","Thu","Fri","Sat","Sun")</f>
        <v>Sat</v>
      </c>
      <c r="H5952" t="str">
        <f>IF(WEEKDAY(A5952,2)&gt;5,"Weekend","Weekday")</f>
        <v>Weekend</v>
      </c>
      <c r="I5952" t="str">
        <f>_xlfn.IFS(B5952&lt;=5,"Night (0-5)",B5952&lt;=9,"Morning peak (6-9)",B5952&lt;=15,"Midday (10-15)",B5952&lt;=19,"Evening peak (16-19)",TRUE,"Late evening (20-23)")</f>
        <v>Morning peak (6-9)</v>
      </c>
    </row>
    <row r="5953" spans="1:9">
      <c r="A5953" s="32">
        <v>42070</v>
      </c>
      <c r="B5953">
        <v>9</v>
      </c>
      <c r="C5953">
        <v>1879</v>
      </c>
      <c r="D5953" t="s">
        <v>304</v>
      </c>
      <c r="E5953">
        <f>YEAR(A5953)</f>
        <v>2015</v>
      </c>
      <c r="F5953" s="33">
        <f>DATE(YEAR(A5953),MONTH(A5953),1)</f>
        <v>42064.0</v>
      </c>
      <c r="G5953" t="str">
        <f>CHOOSE(WEEKDAY(A5953,2),"Mon","Tue","Wed","Thu","Fri","Sat","Sun")</f>
        <v>Sat</v>
      </c>
      <c r="H5953" t="str">
        <f>IF(WEEKDAY(A5953,2)&gt;5,"Weekend","Weekday")</f>
        <v>Weekend</v>
      </c>
      <c r="I5953" t="str">
        <f>_xlfn.IFS(B5953&lt;=5,"Night (0-5)",B5953&lt;=9,"Morning peak (6-9)",B5953&lt;=15,"Midday (10-15)",B5953&lt;=19,"Evening peak (16-19)",TRUE,"Late evening (20-23)")</f>
        <v>Morning peak (6-9)</v>
      </c>
    </row>
    <row r="5954" spans="1:9">
      <c r="A5954" s="32">
        <v>42070</v>
      </c>
      <c r="B5954">
        <v>10</v>
      </c>
      <c r="C5954">
        <v>2301</v>
      </c>
      <c r="D5954" t="s">
        <v>304</v>
      </c>
      <c r="E5954">
        <f>YEAR(A5954)</f>
        <v>2015</v>
      </c>
      <c r="F5954" s="33">
        <f>DATE(YEAR(A5954),MONTH(A5954),1)</f>
        <v>42064.0</v>
      </c>
      <c r="G5954" t="str">
        <f>CHOOSE(WEEKDAY(A5954,2),"Mon","Tue","Wed","Thu","Fri","Sat","Sun")</f>
        <v>Sat</v>
      </c>
      <c r="H5954" t="str">
        <f>IF(WEEKDAY(A5954,2)&gt;5,"Weekend","Weekday")</f>
        <v>Weekend</v>
      </c>
      <c r="I5954" t="str">
        <f>_xlfn.IFS(B5954&lt;=5,"Night (0-5)",B5954&lt;=9,"Morning peak (6-9)",B5954&lt;=15,"Midday (10-15)",B5954&lt;=19,"Evening peak (16-19)",TRUE,"Late evening (20-23)")</f>
        <v>Midday (10-15)</v>
      </c>
    </row>
    <row r="5955" spans="1:9">
      <c r="A5955" s="32">
        <v>42070</v>
      </c>
      <c r="B5955">
        <v>11</v>
      </c>
      <c r="C5955">
        <v>2567</v>
      </c>
      <c r="D5955" t="s">
        <v>304</v>
      </c>
      <c r="E5955">
        <f>YEAR(A5955)</f>
        <v>2015</v>
      </c>
      <c r="F5955" s="33">
        <f>DATE(YEAR(A5955),MONTH(A5955),1)</f>
        <v>42064.0</v>
      </c>
      <c r="G5955" t="str">
        <f>CHOOSE(WEEKDAY(A5955,2),"Mon","Tue","Wed","Thu","Fri","Sat","Sun")</f>
        <v>Sat</v>
      </c>
      <c r="H5955" t="str">
        <f>IF(WEEKDAY(A5955,2)&gt;5,"Weekend","Weekday")</f>
        <v>Weekend</v>
      </c>
      <c r="I5955" t="str">
        <f>_xlfn.IFS(B5955&lt;=5,"Night (0-5)",B5955&lt;=9,"Morning peak (6-9)",B5955&lt;=15,"Midday (10-15)",B5955&lt;=19,"Evening peak (16-19)",TRUE,"Late evening (20-23)")</f>
        <v>Midday (10-15)</v>
      </c>
    </row>
    <row r="5956" spans="1:9">
      <c r="A5956" s="32">
        <v>42070</v>
      </c>
      <c r="B5956">
        <v>12</v>
      </c>
      <c r="C5956">
        <v>2901</v>
      </c>
      <c r="D5956" t="s">
        <v>304</v>
      </c>
      <c r="E5956">
        <f>YEAR(A5956)</f>
        <v>2015</v>
      </c>
      <c r="F5956" s="33">
        <f>DATE(YEAR(A5956),MONTH(A5956),1)</f>
        <v>42064.0</v>
      </c>
      <c r="G5956" t="str">
        <f>CHOOSE(WEEKDAY(A5956,2),"Mon","Tue","Wed","Thu","Fri","Sat","Sun")</f>
        <v>Sat</v>
      </c>
      <c r="H5956" t="str">
        <f>IF(WEEKDAY(A5956,2)&gt;5,"Weekend","Weekday")</f>
        <v>Weekend</v>
      </c>
      <c r="I5956" t="str">
        <f>_xlfn.IFS(B5956&lt;=5,"Night (0-5)",B5956&lt;=9,"Morning peak (6-9)",B5956&lt;=15,"Midday (10-15)",B5956&lt;=19,"Evening peak (16-19)",TRUE,"Late evening (20-23)")</f>
        <v>Midday (10-15)</v>
      </c>
    </row>
    <row r="5957" spans="1:9">
      <c r="A5957" s="32">
        <v>42070</v>
      </c>
      <c r="B5957">
        <v>13</v>
      </c>
      <c r="C5957">
        <v>2920</v>
      </c>
      <c r="D5957" t="s">
        <v>304</v>
      </c>
      <c r="E5957">
        <f>YEAR(A5957)</f>
        <v>2015</v>
      </c>
      <c r="F5957" s="33">
        <f>DATE(YEAR(A5957),MONTH(A5957),1)</f>
        <v>42064.0</v>
      </c>
      <c r="G5957" t="str">
        <f>CHOOSE(WEEKDAY(A5957,2),"Mon","Tue","Wed","Thu","Fri","Sat","Sun")</f>
        <v>Sat</v>
      </c>
      <c r="H5957" t="str">
        <f>IF(WEEKDAY(A5957,2)&gt;5,"Weekend","Weekday")</f>
        <v>Weekend</v>
      </c>
      <c r="I5957" t="str">
        <f>_xlfn.IFS(B5957&lt;=5,"Night (0-5)",B5957&lt;=9,"Morning peak (6-9)",B5957&lt;=15,"Midday (10-15)",B5957&lt;=19,"Evening peak (16-19)",TRUE,"Late evening (20-23)")</f>
        <v>Midday (10-15)</v>
      </c>
    </row>
    <row r="5958" spans="1:9">
      <c r="A5958" s="32">
        <v>42070</v>
      </c>
      <c r="B5958">
        <v>14</v>
      </c>
      <c r="C5958">
        <v>3142</v>
      </c>
      <c r="D5958" t="s">
        <v>304</v>
      </c>
      <c r="E5958">
        <f>YEAR(A5958)</f>
        <v>2015</v>
      </c>
      <c r="F5958" s="33">
        <f>DATE(YEAR(A5958),MONTH(A5958),1)</f>
        <v>42064.0</v>
      </c>
      <c r="G5958" t="str">
        <f>CHOOSE(WEEKDAY(A5958,2),"Mon","Tue","Wed","Thu","Fri","Sat","Sun")</f>
        <v>Sat</v>
      </c>
      <c r="H5958" t="str">
        <f>IF(WEEKDAY(A5958,2)&gt;5,"Weekend","Weekday")</f>
        <v>Weekend</v>
      </c>
      <c r="I5958" t="str">
        <f>_xlfn.IFS(B5958&lt;=5,"Night (0-5)",B5958&lt;=9,"Morning peak (6-9)",B5958&lt;=15,"Midday (10-15)",B5958&lt;=19,"Evening peak (16-19)",TRUE,"Late evening (20-23)")</f>
        <v>Midday (10-15)</v>
      </c>
    </row>
    <row r="5959" spans="1:9">
      <c r="A5959" s="32">
        <v>42070</v>
      </c>
      <c r="B5959">
        <v>15</v>
      </c>
      <c r="C5959">
        <v>3504</v>
      </c>
      <c r="D5959" t="s">
        <v>304</v>
      </c>
      <c r="E5959">
        <f>YEAR(A5959)</f>
        <v>2015</v>
      </c>
      <c r="F5959" s="33">
        <f>DATE(YEAR(A5959),MONTH(A5959),1)</f>
        <v>42064.0</v>
      </c>
      <c r="G5959" t="str">
        <f>CHOOSE(WEEKDAY(A5959,2),"Mon","Tue","Wed","Thu","Fri","Sat","Sun")</f>
        <v>Sat</v>
      </c>
      <c r="H5959" t="str">
        <f>IF(WEEKDAY(A5959,2)&gt;5,"Weekend","Weekday")</f>
        <v>Weekend</v>
      </c>
      <c r="I5959" t="str">
        <f>_xlfn.IFS(B5959&lt;=5,"Night (0-5)",B5959&lt;=9,"Morning peak (6-9)",B5959&lt;=15,"Midday (10-15)",B5959&lt;=19,"Evening peak (16-19)",TRUE,"Late evening (20-23)")</f>
        <v>Midday (10-15)</v>
      </c>
    </row>
    <row r="5960" spans="1:9">
      <c r="A5960" s="32">
        <v>42070</v>
      </c>
      <c r="B5960">
        <v>16</v>
      </c>
      <c r="C5960">
        <v>4047</v>
      </c>
      <c r="D5960" t="s">
        <v>304</v>
      </c>
      <c r="E5960">
        <f>YEAR(A5960)</f>
        <v>2015</v>
      </c>
      <c r="F5960" s="33">
        <f>DATE(YEAR(A5960),MONTH(A5960),1)</f>
        <v>42064.0</v>
      </c>
      <c r="G5960" t="str">
        <f>CHOOSE(WEEKDAY(A5960,2),"Mon","Tue","Wed","Thu","Fri","Sat","Sun")</f>
        <v>Sat</v>
      </c>
      <c r="H5960" t="str">
        <f>IF(WEEKDAY(A5960,2)&gt;5,"Weekend","Weekday")</f>
        <v>Weekend</v>
      </c>
      <c r="I5960" t="str">
        <f>_xlfn.IFS(B5960&lt;=5,"Night (0-5)",B5960&lt;=9,"Morning peak (6-9)",B5960&lt;=15,"Midday (10-15)",B5960&lt;=19,"Evening peak (16-19)",TRUE,"Late evening (20-23)")</f>
        <v>Evening peak (16-19)</v>
      </c>
    </row>
    <row r="5961" spans="1:9">
      <c r="A5961" s="32">
        <v>42070</v>
      </c>
      <c r="B5961">
        <v>17</v>
      </c>
      <c r="C5961">
        <v>4670</v>
      </c>
      <c r="D5961" t="s">
        <v>304</v>
      </c>
      <c r="E5961">
        <f>YEAR(A5961)</f>
        <v>2015</v>
      </c>
      <c r="F5961" s="33">
        <f>DATE(YEAR(A5961),MONTH(A5961),1)</f>
        <v>42064.0</v>
      </c>
      <c r="G5961" t="str">
        <f>CHOOSE(WEEKDAY(A5961,2),"Mon","Tue","Wed","Thu","Fri","Sat","Sun")</f>
        <v>Sat</v>
      </c>
      <c r="H5961" t="str">
        <f>IF(WEEKDAY(A5961,2)&gt;5,"Weekend","Weekday")</f>
        <v>Weekend</v>
      </c>
      <c r="I5961" t="str">
        <f>_xlfn.IFS(B5961&lt;=5,"Night (0-5)",B5961&lt;=9,"Morning peak (6-9)",B5961&lt;=15,"Midday (10-15)",B5961&lt;=19,"Evening peak (16-19)",TRUE,"Late evening (20-23)")</f>
        <v>Evening peak (16-19)</v>
      </c>
    </row>
    <row r="5962" spans="1:9">
      <c r="A5962" s="32">
        <v>42070</v>
      </c>
      <c r="B5962">
        <v>18</v>
      </c>
      <c r="C5962">
        <v>5315</v>
      </c>
      <c r="D5962" t="s">
        <v>304</v>
      </c>
      <c r="E5962">
        <f>YEAR(A5962)</f>
        <v>2015</v>
      </c>
      <c r="F5962" s="33">
        <f>DATE(YEAR(A5962),MONTH(A5962),1)</f>
        <v>42064.0</v>
      </c>
      <c r="G5962" t="str">
        <f>CHOOSE(WEEKDAY(A5962,2),"Mon","Tue","Wed","Thu","Fri","Sat","Sun")</f>
        <v>Sat</v>
      </c>
      <c r="H5962" t="str">
        <f>IF(WEEKDAY(A5962,2)&gt;5,"Weekend","Weekday")</f>
        <v>Weekend</v>
      </c>
      <c r="I5962" t="str">
        <f>_xlfn.IFS(B5962&lt;=5,"Night (0-5)",B5962&lt;=9,"Morning peak (6-9)",B5962&lt;=15,"Midday (10-15)",B5962&lt;=19,"Evening peak (16-19)",TRUE,"Late evening (20-23)")</f>
        <v>Evening peak (16-19)</v>
      </c>
    </row>
    <row r="5963" spans="1:9">
      <c r="A5963" s="32">
        <v>42070</v>
      </c>
      <c r="B5963">
        <v>19</v>
      </c>
      <c r="C5963">
        <v>6140</v>
      </c>
      <c r="D5963" t="s">
        <v>304</v>
      </c>
      <c r="E5963">
        <f>YEAR(A5963)</f>
        <v>2015</v>
      </c>
      <c r="F5963" s="33">
        <f>DATE(YEAR(A5963),MONTH(A5963),1)</f>
        <v>42064.0</v>
      </c>
      <c r="G5963" t="str">
        <f>CHOOSE(WEEKDAY(A5963,2),"Mon","Tue","Wed","Thu","Fri","Sat","Sun")</f>
        <v>Sat</v>
      </c>
      <c r="H5963" t="str">
        <f>IF(WEEKDAY(A5963,2)&gt;5,"Weekend","Weekday")</f>
        <v>Weekend</v>
      </c>
      <c r="I5963" t="str">
        <f>_xlfn.IFS(B5963&lt;=5,"Night (0-5)",B5963&lt;=9,"Morning peak (6-9)",B5963&lt;=15,"Midday (10-15)",B5963&lt;=19,"Evening peak (16-19)",TRUE,"Late evening (20-23)")</f>
        <v>Evening peak (16-19)</v>
      </c>
    </row>
    <row r="5964" spans="1:9">
      <c r="A5964" s="32">
        <v>42070</v>
      </c>
      <c r="B5964">
        <v>20</v>
      </c>
      <c r="C5964">
        <v>5963</v>
      </c>
      <c r="D5964" t="s">
        <v>304</v>
      </c>
      <c r="E5964">
        <f>YEAR(A5964)</f>
        <v>2015</v>
      </c>
      <c r="F5964" s="33">
        <f>DATE(YEAR(A5964),MONTH(A5964),1)</f>
        <v>42064.0</v>
      </c>
      <c r="G5964" t="str">
        <f>CHOOSE(WEEKDAY(A5964,2),"Mon","Tue","Wed","Thu","Fri","Sat","Sun")</f>
        <v>Sat</v>
      </c>
      <c r="H5964" t="str">
        <f>IF(WEEKDAY(A5964,2)&gt;5,"Weekend","Weekday")</f>
        <v>Weekend</v>
      </c>
      <c r="I5964" t="str">
        <f>_xlfn.IFS(B5964&lt;=5,"Night (0-5)",B5964&lt;=9,"Morning peak (6-9)",B5964&lt;=15,"Midday (10-15)",B5964&lt;=19,"Evening peak (16-19)",TRUE,"Late evening (20-23)")</f>
        <v>Late evening (20-23)</v>
      </c>
    </row>
    <row r="5965" spans="1:9">
      <c r="A5965" s="32">
        <v>42070</v>
      </c>
      <c r="B5965">
        <v>21</v>
      </c>
      <c r="C5965">
        <v>5292</v>
      </c>
      <c r="D5965" t="s">
        <v>304</v>
      </c>
      <c r="E5965">
        <f>YEAR(A5965)</f>
        <v>2015</v>
      </c>
      <c r="F5965" s="33">
        <f>DATE(YEAR(A5965),MONTH(A5965),1)</f>
        <v>42064.0</v>
      </c>
      <c r="G5965" t="str">
        <f>CHOOSE(WEEKDAY(A5965,2),"Mon","Tue","Wed","Thu","Fri","Sat","Sun")</f>
        <v>Sat</v>
      </c>
      <c r="H5965" t="str">
        <f>IF(WEEKDAY(A5965,2)&gt;5,"Weekend","Weekday")</f>
        <v>Weekend</v>
      </c>
      <c r="I5965" t="str">
        <f>_xlfn.IFS(B5965&lt;=5,"Night (0-5)",B5965&lt;=9,"Morning peak (6-9)",B5965&lt;=15,"Midday (10-15)",B5965&lt;=19,"Evening peak (16-19)",TRUE,"Late evening (20-23)")</f>
        <v>Late evening (20-23)</v>
      </c>
    </row>
    <row r="5966" spans="1:9">
      <c r="A5966" s="32">
        <v>42070</v>
      </c>
      <c r="B5966">
        <v>22</v>
      </c>
      <c r="C5966">
        <v>5799</v>
      </c>
      <c r="D5966" t="s">
        <v>304</v>
      </c>
      <c r="E5966">
        <f>YEAR(A5966)</f>
        <v>2015</v>
      </c>
      <c r="F5966" s="33">
        <f>DATE(YEAR(A5966),MONTH(A5966),1)</f>
        <v>42064.0</v>
      </c>
      <c r="G5966" t="str">
        <f>CHOOSE(WEEKDAY(A5966,2),"Mon","Tue","Wed","Thu","Fri","Sat","Sun")</f>
        <v>Sat</v>
      </c>
      <c r="H5966" t="str">
        <f>IF(WEEKDAY(A5966,2)&gt;5,"Weekend","Weekday")</f>
        <v>Weekend</v>
      </c>
      <c r="I5966" t="str">
        <f>_xlfn.IFS(B5966&lt;=5,"Night (0-5)",B5966&lt;=9,"Morning peak (6-9)",B5966&lt;=15,"Midday (10-15)",B5966&lt;=19,"Evening peak (16-19)",TRUE,"Late evening (20-23)")</f>
        <v>Late evening (20-23)</v>
      </c>
    </row>
    <row r="5967" spans="1:9">
      <c r="A5967" s="32">
        <v>42070</v>
      </c>
      <c r="B5967">
        <v>23</v>
      </c>
      <c r="C5967">
        <v>5935</v>
      </c>
      <c r="D5967" t="s">
        <v>304</v>
      </c>
      <c r="E5967">
        <f>YEAR(A5967)</f>
        <v>2015</v>
      </c>
      <c r="F5967" s="33">
        <f>DATE(YEAR(A5967),MONTH(A5967),1)</f>
        <v>42064.0</v>
      </c>
      <c r="G5967" t="str">
        <f>CHOOSE(WEEKDAY(A5967,2),"Mon","Tue","Wed","Thu","Fri","Sat","Sun")</f>
        <v>Sat</v>
      </c>
      <c r="H5967" t="str">
        <f>IF(WEEKDAY(A5967,2)&gt;5,"Weekend","Weekday")</f>
        <v>Weekend</v>
      </c>
      <c r="I5967" t="str">
        <f>_xlfn.IFS(B5967&lt;=5,"Night (0-5)",B5967&lt;=9,"Morning peak (6-9)",B5967&lt;=15,"Midday (10-15)",B5967&lt;=19,"Evening peak (16-19)",TRUE,"Late evening (20-23)")</f>
        <v>Late evening (20-23)</v>
      </c>
    </row>
    <row r="5968" spans="1:9">
      <c r="A5968" s="32">
        <v>42071</v>
      </c>
      <c r="B5968">
        <v>0</v>
      </c>
      <c r="C5968">
        <v>5534</v>
      </c>
      <c r="D5968" t="s">
        <v>304</v>
      </c>
      <c r="E5968">
        <f>YEAR(A5968)</f>
        <v>2015</v>
      </c>
      <c r="F5968" s="33">
        <f>DATE(YEAR(A5968),MONTH(A5968),1)</f>
        <v>42064.0</v>
      </c>
      <c r="G5968" t="str">
        <f>CHOOSE(WEEKDAY(A5968,2),"Mon","Tue","Wed","Thu","Fri","Sat","Sun")</f>
        <v>Sun</v>
      </c>
      <c r="H5968" t="str">
        <f>IF(WEEKDAY(A5968,2)&gt;5,"Weekend","Weekday")</f>
        <v>Weekend</v>
      </c>
      <c r="I5968" t="str">
        <f>_xlfn.IFS(B5968&lt;=5,"Night (0-5)",B5968&lt;=9,"Morning peak (6-9)",B5968&lt;=15,"Midday (10-15)",B5968&lt;=19,"Evening peak (16-19)",TRUE,"Late evening (20-23)")</f>
        <v>Night (0-5)</v>
      </c>
    </row>
    <row r="5969" spans="1:9">
      <c r="A5969" s="32">
        <v>42071</v>
      </c>
      <c r="B5969">
        <v>1</v>
      </c>
      <c r="C5969">
        <v>4315</v>
      </c>
      <c r="D5969" t="s">
        <v>304</v>
      </c>
      <c r="E5969">
        <f>YEAR(A5969)</f>
        <v>2015</v>
      </c>
      <c r="F5969" s="33">
        <f>DATE(YEAR(A5969),MONTH(A5969),1)</f>
        <v>42064.0</v>
      </c>
      <c r="G5969" t="str">
        <f>CHOOSE(WEEKDAY(A5969,2),"Mon","Tue","Wed","Thu","Fri","Sat","Sun")</f>
        <v>Sun</v>
      </c>
      <c r="H5969" t="str">
        <f>IF(WEEKDAY(A5969,2)&gt;5,"Weekend","Weekday")</f>
        <v>Weekend</v>
      </c>
      <c r="I5969" t="str">
        <f>_xlfn.IFS(B5969&lt;=5,"Night (0-5)",B5969&lt;=9,"Morning peak (6-9)",B5969&lt;=15,"Midday (10-15)",B5969&lt;=19,"Evening peak (16-19)",TRUE,"Late evening (20-23)")</f>
        <v>Night (0-5)</v>
      </c>
    </row>
    <row r="5970" spans="1:9">
      <c r="A5970" s="32">
        <v>42071</v>
      </c>
      <c r="B5970">
        <v>3</v>
      </c>
      <c r="C5970">
        <v>3300</v>
      </c>
      <c r="D5970" t="s">
        <v>304</v>
      </c>
      <c r="E5970">
        <f>YEAR(A5970)</f>
        <v>2015</v>
      </c>
      <c r="F5970" s="33">
        <f>DATE(YEAR(A5970),MONTH(A5970),1)</f>
        <v>42064.0</v>
      </c>
      <c r="G5970" t="str">
        <f>CHOOSE(WEEKDAY(A5970,2),"Mon","Tue","Wed","Thu","Fri","Sat","Sun")</f>
        <v>Sun</v>
      </c>
      <c r="H5970" t="str">
        <f>IF(WEEKDAY(A5970,2)&gt;5,"Weekend","Weekday")</f>
        <v>Weekend</v>
      </c>
      <c r="I5970" t="str">
        <f>_xlfn.IFS(B5970&lt;=5,"Night (0-5)",B5970&lt;=9,"Morning peak (6-9)",B5970&lt;=15,"Midday (10-15)",B5970&lt;=19,"Evening peak (16-19)",TRUE,"Late evening (20-23)")</f>
        <v>Night (0-5)</v>
      </c>
    </row>
    <row r="5971" spans="1:9">
      <c r="A5971" s="32">
        <v>42071</v>
      </c>
      <c r="B5971">
        <v>4</v>
      </c>
      <c r="C5971">
        <v>2520</v>
      </c>
      <c r="D5971" t="s">
        <v>304</v>
      </c>
      <c r="E5971">
        <f>YEAR(A5971)</f>
        <v>2015</v>
      </c>
      <c r="F5971" s="33">
        <f>DATE(YEAR(A5971),MONTH(A5971),1)</f>
        <v>42064.0</v>
      </c>
      <c r="G5971" t="str">
        <f>CHOOSE(WEEKDAY(A5971,2),"Mon","Tue","Wed","Thu","Fri","Sat","Sun")</f>
        <v>Sun</v>
      </c>
      <c r="H5971" t="str">
        <f>IF(WEEKDAY(A5971,2)&gt;5,"Weekend","Weekday")</f>
        <v>Weekend</v>
      </c>
      <c r="I5971" t="str">
        <f>_xlfn.IFS(B5971&lt;=5,"Night (0-5)",B5971&lt;=9,"Morning peak (6-9)",B5971&lt;=15,"Midday (10-15)",B5971&lt;=19,"Evening peak (16-19)",TRUE,"Late evening (20-23)")</f>
        <v>Night (0-5)</v>
      </c>
    </row>
    <row r="5972" spans="1:9">
      <c r="A5972" s="32">
        <v>42071</v>
      </c>
      <c r="B5972">
        <v>5</v>
      </c>
      <c r="C5972">
        <v>1313</v>
      </c>
      <c r="D5972" t="s">
        <v>304</v>
      </c>
      <c r="E5972">
        <f>YEAR(A5972)</f>
        <v>2015</v>
      </c>
      <c r="F5972" s="33">
        <f>DATE(YEAR(A5972),MONTH(A5972),1)</f>
        <v>42064.0</v>
      </c>
      <c r="G5972" t="str">
        <f>CHOOSE(WEEKDAY(A5972,2),"Mon","Tue","Wed","Thu","Fri","Sat","Sun")</f>
        <v>Sun</v>
      </c>
      <c r="H5972" t="str">
        <f>IF(WEEKDAY(A5972,2)&gt;5,"Weekend","Weekday")</f>
        <v>Weekend</v>
      </c>
      <c r="I5972" t="str">
        <f>_xlfn.IFS(B5972&lt;=5,"Night (0-5)",B5972&lt;=9,"Morning peak (6-9)",B5972&lt;=15,"Midday (10-15)",B5972&lt;=19,"Evening peak (16-19)",TRUE,"Late evening (20-23)")</f>
        <v>Night (0-5)</v>
      </c>
    </row>
    <row r="5973" spans="1:9">
      <c r="A5973" s="32">
        <v>42071</v>
      </c>
      <c r="B5973">
        <v>6</v>
      </c>
      <c r="C5973">
        <v>889</v>
      </c>
      <c r="D5973" t="s">
        <v>304</v>
      </c>
      <c r="E5973">
        <f>YEAR(A5973)</f>
        <v>2015</v>
      </c>
      <c r="F5973" s="33">
        <f>DATE(YEAR(A5973),MONTH(A5973),1)</f>
        <v>42064.0</v>
      </c>
      <c r="G5973" t="str">
        <f>CHOOSE(WEEKDAY(A5973,2),"Mon","Tue","Wed","Thu","Fri","Sat","Sun")</f>
        <v>Sun</v>
      </c>
      <c r="H5973" t="str">
        <f>IF(WEEKDAY(A5973,2)&gt;5,"Weekend","Weekday")</f>
        <v>Weekend</v>
      </c>
      <c r="I5973" t="str">
        <f>_xlfn.IFS(B5973&lt;=5,"Night (0-5)",B5973&lt;=9,"Morning peak (6-9)",B5973&lt;=15,"Midday (10-15)",B5973&lt;=19,"Evening peak (16-19)",TRUE,"Late evening (20-23)")</f>
        <v>Morning peak (6-9)</v>
      </c>
    </row>
    <row r="5974" spans="1:9">
      <c r="A5974" s="32">
        <v>42071</v>
      </c>
      <c r="B5974">
        <v>7</v>
      </c>
      <c r="C5974">
        <v>873</v>
      </c>
      <c r="D5974" t="s">
        <v>304</v>
      </c>
      <c r="E5974">
        <f>YEAR(A5974)</f>
        <v>2015</v>
      </c>
      <c r="F5974" s="33">
        <f>DATE(YEAR(A5974),MONTH(A5974),1)</f>
        <v>42064.0</v>
      </c>
      <c r="G5974" t="str">
        <f>CHOOSE(WEEKDAY(A5974,2),"Mon","Tue","Wed","Thu","Fri","Sat","Sun")</f>
        <v>Sun</v>
      </c>
      <c r="H5974" t="str">
        <f>IF(WEEKDAY(A5974,2)&gt;5,"Weekend","Weekday")</f>
        <v>Weekend</v>
      </c>
      <c r="I5974" t="str">
        <f>_xlfn.IFS(B5974&lt;=5,"Night (0-5)",B5974&lt;=9,"Morning peak (6-9)",B5974&lt;=15,"Midday (10-15)",B5974&lt;=19,"Evening peak (16-19)",TRUE,"Late evening (20-23)")</f>
        <v>Morning peak (6-9)</v>
      </c>
    </row>
    <row r="5975" spans="1:9">
      <c r="A5975" s="32">
        <v>42071</v>
      </c>
      <c r="B5975">
        <v>8</v>
      </c>
      <c r="C5975">
        <v>1036</v>
      </c>
      <c r="D5975" t="s">
        <v>304</v>
      </c>
      <c r="E5975">
        <f>YEAR(A5975)</f>
        <v>2015</v>
      </c>
      <c r="F5975" s="33">
        <f>DATE(YEAR(A5975),MONTH(A5975),1)</f>
        <v>42064.0</v>
      </c>
      <c r="G5975" t="str">
        <f>CHOOSE(WEEKDAY(A5975,2),"Mon","Tue","Wed","Thu","Fri","Sat","Sun")</f>
        <v>Sun</v>
      </c>
      <c r="H5975" t="str">
        <f>IF(WEEKDAY(A5975,2)&gt;5,"Weekend","Weekday")</f>
        <v>Weekend</v>
      </c>
      <c r="I5975" t="str">
        <f>_xlfn.IFS(B5975&lt;=5,"Night (0-5)",B5975&lt;=9,"Morning peak (6-9)",B5975&lt;=15,"Midday (10-15)",B5975&lt;=19,"Evening peak (16-19)",TRUE,"Late evening (20-23)")</f>
        <v>Morning peak (6-9)</v>
      </c>
    </row>
    <row r="5976" spans="1:9">
      <c r="A5976" s="32">
        <v>42071</v>
      </c>
      <c r="B5976">
        <v>9</v>
      </c>
      <c r="C5976">
        <v>1323</v>
      </c>
      <c r="D5976" t="s">
        <v>304</v>
      </c>
      <c r="E5976">
        <f>YEAR(A5976)</f>
        <v>2015</v>
      </c>
      <c r="F5976" s="33">
        <f>DATE(YEAR(A5976),MONTH(A5976),1)</f>
        <v>42064.0</v>
      </c>
      <c r="G5976" t="str">
        <f>CHOOSE(WEEKDAY(A5976,2),"Mon","Tue","Wed","Thu","Fri","Sat","Sun")</f>
        <v>Sun</v>
      </c>
      <c r="H5976" t="str">
        <f>IF(WEEKDAY(A5976,2)&gt;5,"Weekend","Weekday")</f>
        <v>Weekend</v>
      </c>
      <c r="I5976" t="str">
        <f>_xlfn.IFS(B5976&lt;=5,"Night (0-5)",B5976&lt;=9,"Morning peak (6-9)",B5976&lt;=15,"Midday (10-15)",B5976&lt;=19,"Evening peak (16-19)",TRUE,"Late evening (20-23)")</f>
        <v>Morning peak (6-9)</v>
      </c>
    </row>
    <row r="5977" spans="1:9">
      <c r="A5977" s="32">
        <v>42071</v>
      </c>
      <c r="B5977">
        <v>10</v>
      </c>
      <c r="C5977">
        <v>1796</v>
      </c>
      <c r="D5977" t="s">
        <v>304</v>
      </c>
      <c r="E5977">
        <f>YEAR(A5977)</f>
        <v>2015</v>
      </c>
      <c r="F5977" s="33">
        <f>DATE(YEAR(A5977),MONTH(A5977),1)</f>
        <v>42064.0</v>
      </c>
      <c r="G5977" t="str">
        <f>CHOOSE(WEEKDAY(A5977,2),"Mon","Tue","Wed","Thu","Fri","Sat","Sun")</f>
        <v>Sun</v>
      </c>
      <c r="H5977" t="str">
        <f>IF(WEEKDAY(A5977,2)&gt;5,"Weekend","Weekday")</f>
        <v>Weekend</v>
      </c>
      <c r="I5977" t="str">
        <f>_xlfn.IFS(B5977&lt;=5,"Night (0-5)",B5977&lt;=9,"Morning peak (6-9)",B5977&lt;=15,"Midday (10-15)",B5977&lt;=19,"Evening peak (16-19)",TRUE,"Late evening (20-23)")</f>
        <v>Midday (10-15)</v>
      </c>
    </row>
    <row r="5978" spans="1:9">
      <c r="A5978" s="32">
        <v>42071</v>
      </c>
      <c r="B5978">
        <v>11</v>
      </c>
      <c r="C5978">
        <v>2437</v>
      </c>
      <c r="D5978" t="s">
        <v>304</v>
      </c>
      <c r="E5978">
        <f>YEAR(A5978)</f>
        <v>2015</v>
      </c>
      <c r="F5978" s="33">
        <f>DATE(YEAR(A5978),MONTH(A5978),1)</f>
        <v>42064.0</v>
      </c>
      <c r="G5978" t="str">
        <f>CHOOSE(WEEKDAY(A5978,2),"Mon","Tue","Wed","Thu","Fri","Sat","Sun")</f>
        <v>Sun</v>
      </c>
      <c r="H5978" t="str">
        <f>IF(WEEKDAY(A5978,2)&gt;5,"Weekend","Weekday")</f>
        <v>Weekend</v>
      </c>
      <c r="I5978" t="str">
        <f>_xlfn.IFS(B5978&lt;=5,"Night (0-5)",B5978&lt;=9,"Morning peak (6-9)",B5978&lt;=15,"Midday (10-15)",B5978&lt;=19,"Evening peak (16-19)",TRUE,"Late evening (20-23)")</f>
        <v>Midday (10-15)</v>
      </c>
    </row>
    <row r="5979" spans="1:9">
      <c r="A5979" s="32">
        <v>42071</v>
      </c>
      <c r="B5979">
        <v>12</v>
      </c>
      <c r="C5979">
        <v>2920</v>
      </c>
      <c r="D5979" t="s">
        <v>304</v>
      </c>
      <c r="E5979">
        <f>YEAR(A5979)</f>
        <v>2015</v>
      </c>
      <c r="F5979" s="33">
        <f>DATE(YEAR(A5979),MONTH(A5979),1)</f>
        <v>42064.0</v>
      </c>
      <c r="G5979" t="str">
        <f>CHOOSE(WEEKDAY(A5979,2),"Mon","Tue","Wed","Thu","Fri","Sat","Sun")</f>
        <v>Sun</v>
      </c>
      <c r="H5979" t="str">
        <f>IF(WEEKDAY(A5979,2)&gt;5,"Weekend","Weekday")</f>
        <v>Weekend</v>
      </c>
      <c r="I5979" t="str">
        <f>_xlfn.IFS(B5979&lt;=5,"Night (0-5)",B5979&lt;=9,"Morning peak (6-9)",B5979&lt;=15,"Midday (10-15)",B5979&lt;=19,"Evening peak (16-19)",TRUE,"Late evening (20-23)")</f>
        <v>Midday (10-15)</v>
      </c>
    </row>
    <row r="5980" spans="1:9">
      <c r="A5980" s="32">
        <v>42071</v>
      </c>
      <c r="B5980">
        <v>13</v>
      </c>
      <c r="C5980">
        <v>2970</v>
      </c>
      <c r="D5980" t="s">
        <v>304</v>
      </c>
      <c r="E5980">
        <f>YEAR(A5980)</f>
        <v>2015</v>
      </c>
      <c r="F5980" s="33">
        <f>DATE(YEAR(A5980),MONTH(A5980),1)</f>
        <v>42064.0</v>
      </c>
      <c r="G5980" t="str">
        <f>CHOOSE(WEEKDAY(A5980,2),"Mon","Tue","Wed","Thu","Fri","Sat","Sun")</f>
        <v>Sun</v>
      </c>
      <c r="H5980" t="str">
        <f>IF(WEEKDAY(A5980,2)&gt;5,"Weekend","Weekday")</f>
        <v>Weekend</v>
      </c>
      <c r="I5980" t="str">
        <f>_xlfn.IFS(B5980&lt;=5,"Night (0-5)",B5980&lt;=9,"Morning peak (6-9)",B5980&lt;=15,"Midday (10-15)",B5980&lt;=19,"Evening peak (16-19)",TRUE,"Late evening (20-23)")</f>
        <v>Midday (10-15)</v>
      </c>
    </row>
    <row r="5981" spans="1:9">
      <c r="A5981" s="32">
        <v>42071</v>
      </c>
      <c r="B5981">
        <v>14</v>
      </c>
      <c r="C5981">
        <v>3058</v>
      </c>
      <c r="D5981" t="s">
        <v>304</v>
      </c>
      <c r="E5981">
        <f>YEAR(A5981)</f>
        <v>2015</v>
      </c>
      <c r="F5981" s="33">
        <f>DATE(YEAR(A5981),MONTH(A5981),1)</f>
        <v>42064.0</v>
      </c>
      <c r="G5981" t="str">
        <f>CHOOSE(WEEKDAY(A5981,2),"Mon","Tue","Wed","Thu","Fri","Sat","Sun")</f>
        <v>Sun</v>
      </c>
      <c r="H5981" t="str">
        <f>IF(WEEKDAY(A5981,2)&gt;5,"Weekend","Weekday")</f>
        <v>Weekend</v>
      </c>
      <c r="I5981" t="str">
        <f>_xlfn.IFS(B5981&lt;=5,"Night (0-5)",B5981&lt;=9,"Morning peak (6-9)",B5981&lt;=15,"Midday (10-15)",B5981&lt;=19,"Evening peak (16-19)",TRUE,"Late evening (20-23)")</f>
        <v>Midday (10-15)</v>
      </c>
    </row>
    <row r="5982" spans="1:9">
      <c r="A5982" s="32">
        <v>42071</v>
      </c>
      <c r="B5982">
        <v>15</v>
      </c>
      <c r="C5982">
        <v>3116</v>
      </c>
      <c r="D5982" t="s">
        <v>304</v>
      </c>
      <c r="E5982">
        <f>YEAR(A5982)</f>
        <v>2015</v>
      </c>
      <c r="F5982" s="33">
        <f>DATE(YEAR(A5982),MONTH(A5982),1)</f>
        <v>42064.0</v>
      </c>
      <c r="G5982" t="str">
        <f>CHOOSE(WEEKDAY(A5982,2),"Mon","Tue","Wed","Thu","Fri","Sat","Sun")</f>
        <v>Sun</v>
      </c>
      <c r="H5982" t="str">
        <f>IF(WEEKDAY(A5982,2)&gt;5,"Weekend","Weekday")</f>
        <v>Weekend</v>
      </c>
      <c r="I5982" t="str">
        <f>_xlfn.IFS(B5982&lt;=5,"Night (0-5)",B5982&lt;=9,"Morning peak (6-9)",B5982&lt;=15,"Midday (10-15)",B5982&lt;=19,"Evening peak (16-19)",TRUE,"Late evening (20-23)")</f>
        <v>Midday (10-15)</v>
      </c>
    </row>
    <row r="5983" spans="1:9">
      <c r="A5983" s="32">
        <v>42071</v>
      </c>
      <c r="B5983">
        <v>16</v>
      </c>
      <c r="C5983">
        <v>3298</v>
      </c>
      <c r="D5983" t="s">
        <v>304</v>
      </c>
      <c r="E5983">
        <f>YEAR(A5983)</f>
        <v>2015</v>
      </c>
      <c r="F5983" s="33">
        <f>DATE(YEAR(A5983),MONTH(A5983),1)</f>
        <v>42064.0</v>
      </c>
      <c r="G5983" t="str">
        <f>CHOOSE(WEEKDAY(A5983,2),"Mon","Tue","Wed","Thu","Fri","Sat","Sun")</f>
        <v>Sun</v>
      </c>
      <c r="H5983" t="str">
        <f>IF(WEEKDAY(A5983,2)&gt;5,"Weekend","Weekday")</f>
        <v>Weekend</v>
      </c>
      <c r="I5983" t="str">
        <f>_xlfn.IFS(B5983&lt;=5,"Night (0-5)",B5983&lt;=9,"Morning peak (6-9)",B5983&lt;=15,"Midday (10-15)",B5983&lt;=19,"Evening peak (16-19)",TRUE,"Late evening (20-23)")</f>
        <v>Evening peak (16-19)</v>
      </c>
    </row>
    <row r="5984" spans="1:9">
      <c r="A5984" s="32">
        <v>42071</v>
      </c>
      <c r="B5984">
        <v>17</v>
      </c>
      <c r="C5984">
        <v>3408</v>
      </c>
      <c r="D5984" t="s">
        <v>304</v>
      </c>
      <c r="E5984">
        <f>YEAR(A5984)</f>
        <v>2015</v>
      </c>
      <c r="F5984" s="33">
        <f>DATE(YEAR(A5984),MONTH(A5984),1)</f>
        <v>42064.0</v>
      </c>
      <c r="G5984" t="str">
        <f>CHOOSE(WEEKDAY(A5984,2),"Mon","Tue","Wed","Thu","Fri","Sat","Sun")</f>
        <v>Sun</v>
      </c>
      <c r="H5984" t="str">
        <f>IF(WEEKDAY(A5984,2)&gt;5,"Weekend","Weekday")</f>
        <v>Weekend</v>
      </c>
      <c r="I5984" t="str">
        <f>_xlfn.IFS(B5984&lt;=5,"Night (0-5)",B5984&lt;=9,"Morning peak (6-9)",B5984&lt;=15,"Midday (10-15)",B5984&lt;=19,"Evening peak (16-19)",TRUE,"Late evening (20-23)")</f>
        <v>Evening peak (16-19)</v>
      </c>
    </row>
    <row r="5985" spans="1:9">
      <c r="A5985" s="32">
        <v>42071</v>
      </c>
      <c r="B5985">
        <v>18</v>
      </c>
      <c r="C5985">
        <v>3462</v>
      </c>
      <c r="D5985" t="s">
        <v>304</v>
      </c>
      <c r="E5985">
        <f>YEAR(A5985)</f>
        <v>2015</v>
      </c>
      <c r="F5985" s="33">
        <f>DATE(YEAR(A5985),MONTH(A5985),1)</f>
        <v>42064.0</v>
      </c>
      <c r="G5985" t="str">
        <f>CHOOSE(WEEKDAY(A5985,2),"Mon","Tue","Wed","Thu","Fri","Sat","Sun")</f>
        <v>Sun</v>
      </c>
      <c r="H5985" t="str">
        <f>IF(WEEKDAY(A5985,2)&gt;5,"Weekend","Weekday")</f>
        <v>Weekend</v>
      </c>
      <c r="I5985" t="str">
        <f>_xlfn.IFS(B5985&lt;=5,"Night (0-5)",B5985&lt;=9,"Morning peak (6-9)",B5985&lt;=15,"Midday (10-15)",B5985&lt;=19,"Evening peak (16-19)",TRUE,"Late evening (20-23)")</f>
        <v>Evening peak (16-19)</v>
      </c>
    </row>
    <row r="5986" spans="1:9">
      <c r="A5986" s="32">
        <v>42071</v>
      </c>
      <c r="B5986">
        <v>19</v>
      </c>
      <c r="C5986">
        <v>3437</v>
      </c>
      <c r="D5986" t="s">
        <v>304</v>
      </c>
      <c r="E5986">
        <f>YEAR(A5986)</f>
        <v>2015</v>
      </c>
      <c r="F5986" s="33">
        <f>DATE(YEAR(A5986),MONTH(A5986),1)</f>
        <v>42064.0</v>
      </c>
      <c r="G5986" t="str">
        <f>CHOOSE(WEEKDAY(A5986,2),"Mon","Tue","Wed","Thu","Fri","Sat","Sun")</f>
        <v>Sun</v>
      </c>
      <c r="H5986" t="str">
        <f>IF(WEEKDAY(A5986,2)&gt;5,"Weekend","Weekday")</f>
        <v>Weekend</v>
      </c>
      <c r="I5986" t="str">
        <f>_xlfn.IFS(B5986&lt;=5,"Night (0-5)",B5986&lt;=9,"Morning peak (6-9)",B5986&lt;=15,"Midday (10-15)",B5986&lt;=19,"Evening peak (16-19)",TRUE,"Late evening (20-23)")</f>
        <v>Evening peak (16-19)</v>
      </c>
    </row>
    <row r="5987" spans="1:9">
      <c r="A5987" s="32">
        <v>42071</v>
      </c>
      <c r="B5987">
        <v>20</v>
      </c>
      <c r="C5987">
        <v>3112</v>
      </c>
      <c r="D5987" t="s">
        <v>304</v>
      </c>
      <c r="E5987">
        <f>YEAR(A5987)</f>
        <v>2015</v>
      </c>
      <c r="F5987" s="33">
        <f>DATE(YEAR(A5987),MONTH(A5987),1)</f>
        <v>42064.0</v>
      </c>
      <c r="G5987" t="str">
        <f>CHOOSE(WEEKDAY(A5987,2),"Mon","Tue","Wed","Thu","Fri","Sat","Sun")</f>
        <v>Sun</v>
      </c>
      <c r="H5987" t="str">
        <f>IF(WEEKDAY(A5987,2)&gt;5,"Weekend","Weekday")</f>
        <v>Weekend</v>
      </c>
      <c r="I5987" t="str">
        <f>_xlfn.IFS(B5987&lt;=5,"Night (0-5)",B5987&lt;=9,"Morning peak (6-9)",B5987&lt;=15,"Midday (10-15)",B5987&lt;=19,"Evening peak (16-19)",TRUE,"Late evening (20-23)")</f>
        <v>Late evening (20-23)</v>
      </c>
    </row>
    <row r="5988" spans="1:9">
      <c r="A5988" s="32">
        <v>42071</v>
      </c>
      <c r="B5988">
        <v>21</v>
      </c>
      <c r="C5988">
        <v>2850</v>
      </c>
      <c r="D5988" t="s">
        <v>304</v>
      </c>
      <c r="E5988">
        <f>YEAR(A5988)</f>
        <v>2015</v>
      </c>
      <c r="F5988" s="33">
        <f>DATE(YEAR(A5988),MONTH(A5988),1)</f>
        <v>42064.0</v>
      </c>
      <c r="G5988" t="str">
        <f>CHOOSE(WEEKDAY(A5988,2),"Mon","Tue","Wed","Thu","Fri","Sat","Sun")</f>
        <v>Sun</v>
      </c>
      <c r="H5988" t="str">
        <f>IF(WEEKDAY(A5988,2)&gt;5,"Weekend","Weekday")</f>
        <v>Weekend</v>
      </c>
      <c r="I5988" t="str">
        <f>_xlfn.IFS(B5988&lt;=5,"Night (0-5)",B5988&lt;=9,"Morning peak (6-9)",B5988&lt;=15,"Midday (10-15)",B5988&lt;=19,"Evening peak (16-19)",TRUE,"Late evening (20-23)")</f>
        <v>Late evening (20-23)</v>
      </c>
    </row>
    <row r="5989" spans="1:9">
      <c r="A5989" s="32">
        <v>42071</v>
      </c>
      <c r="B5989">
        <v>22</v>
      </c>
      <c r="C5989">
        <v>2761</v>
      </c>
      <c r="D5989" t="s">
        <v>304</v>
      </c>
      <c r="E5989">
        <f>YEAR(A5989)</f>
        <v>2015</v>
      </c>
      <c r="F5989" s="33">
        <f>DATE(YEAR(A5989),MONTH(A5989),1)</f>
        <v>42064.0</v>
      </c>
      <c r="G5989" t="str">
        <f>CHOOSE(WEEKDAY(A5989,2),"Mon","Tue","Wed","Thu","Fri","Sat","Sun")</f>
        <v>Sun</v>
      </c>
      <c r="H5989" t="str">
        <f>IF(WEEKDAY(A5989,2)&gt;5,"Weekend","Weekday")</f>
        <v>Weekend</v>
      </c>
      <c r="I5989" t="str">
        <f>_xlfn.IFS(B5989&lt;=5,"Night (0-5)",B5989&lt;=9,"Morning peak (6-9)",B5989&lt;=15,"Midday (10-15)",B5989&lt;=19,"Evening peak (16-19)",TRUE,"Late evening (20-23)")</f>
        <v>Late evening (20-23)</v>
      </c>
    </row>
    <row r="5990" spans="1:9">
      <c r="A5990" s="32">
        <v>42071</v>
      </c>
      <c r="B5990">
        <v>23</v>
      </c>
      <c r="C5990">
        <v>2096</v>
      </c>
      <c r="D5990" t="s">
        <v>304</v>
      </c>
      <c r="E5990">
        <f>YEAR(A5990)</f>
        <v>2015</v>
      </c>
      <c r="F5990" s="33">
        <f>DATE(YEAR(A5990),MONTH(A5990),1)</f>
        <v>42064.0</v>
      </c>
      <c r="G5990" t="str">
        <f>CHOOSE(WEEKDAY(A5990,2),"Mon","Tue","Wed","Thu","Fri","Sat","Sun")</f>
        <v>Sun</v>
      </c>
      <c r="H5990" t="str">
        <f>IF(WEEKDAY(A5990,2)&gt;5,"Weekend","Weekday")</f>
        <v>Weekend</v>
      </c>
      <c r="I5990" t="str">
        <f>_xlfn.IFS(B5990&lt;=5,"Night (0-5)",B5990&lt;=9,"Morning peak (6-9)",B5990&lt;=15,"Midday (10-15)",B5990&lt;=19,"Evening peak (16-19)",TRUE,"Late evening (20-23)")</f>
        <v>Late evening (20-23)</v>
      </c>
    </row>
    <row r="5991" spans="1:9">
      <c r="A5991" s="32">
        <v>42072</v>
      </c>
      <c r="B5991">
        <v>0</v>
      </c>
      <c r="C5991">
        <v>1393</v>
      </c>
      <c r="D5991" t="s">
        <v>304</v>
      </c>
      <c r="E5991">
        <f>YEAR(A5991)</f>
        <v>2015</v>
      </c>
      <c r="F5991" s="33">
        <f>DATE(YEAR(A5991),MONTH(A5991),1)</f>
        <v>42064.0</v>
      </c>
      <c r="G5991" t="str">
        <f>CHOOSE(WEEKDAY(A5991,2),"Mon","Tue","Wed","Thu","Fri","Sat","Sun")</f>
        <v>Mon</v>
      </c>
      <c r="H5991" t="str">
        <f>IF(WEEKDAY(A5991,2)&gt;5,"Weekend","Weekday")</f>
        <v>Weekday</v>
      </c>
      <c r="I5991" t="str">
        <f>_xlfn.IFS(B5991&lt;=5,"Night (0-5)",B5991&lt;=9,"Morning peak (6-9)",B5991&lt;=15,"Midday (10-15)",B5991&lt;=19,"Evening peak (16-19)",TRUE,"Late evening (20-23)")</f>
        <v>Night (0-5)</v>
      </c>
    </row>
    <row r="5992" spans="1:9">
      <c r="A5992" s="32">
        <v>42072</v>
      </c>
      <c r="B5992">
        <v>1</v>
      </c>
      <c r="C5992">
        <v>847</v>
      </c>
      <c r="D5992" t="s">
        <v>304</v>
      </c>
      <c r="E5992">
        <f>YEAR(A5992)</f>
        <v>2015</v>
      </c>
      <c r="F5992" s="33">
        <f>DATE(YEAR(A5992),MONTH(A5992),1)</f>
        <v>42064.0</v>
      </c>
      <c r="G5992" t="str">
        <f>CHOOSE(WEEKDAY(A5992,2),"Mon","Tue","Wed","Thu","Fri","Sat","Sun")</f>
        <v>Mon</v>
      </c>
      <c r="H5992" t="str">
        <f>IF(WEEKDAY(A5992,2)&gt;5,"Weekend","Weekday")</f>
        <v>Weekday</v>
      </c>
      <c r="I5992" t="str">
        <f>_xlfn.IFS(B5992&lt;=5,"Night (0-5)",B5992&lt;=9,"Morning peak (6-9)",B5992&lt;=15,"Midday (10-15)",B5992&lt;=19,"Evening peak (16-19)",TRUE,"Late evening (20-23)")</f>
        <v>Night (0-5)</v>
      </c>
    </row>
    <row r="5993" spans="1:9">
      <c r="A5993" s="32">
        <v>42072</v>
      </c>
      <c r="B5993">
        <v>2</v>
      </c>
      <c r="C5993">
        <v>440</v>
      </c>
      <c r="D5993" t="s">
        <v>304</v>
      </c>
      <c r="E5993">
        <f>YEAR(A5993)</f>
        <v>2015</v>
      </c>
      <c r="F5993" s="33">
        <f>DATE(YEAR(A5993),MONTH(A5993),1)</f>
        <v>42064.0</v>
      </c>
      <c r="G5993" t="str">
        <f>CHOOSE(WEEKDAY(A5993,2),"Mon","Tue","Wed","Thu","Fri","Sat","Sun")</f>
        <v>Mon</v>
      </c>
      <c r="H5993" t="str">
        <f>IF(WEEKDAY(A5993,2)&gt;5,"Weekend","Weekday")</f>
        <v>Weekday</v>
      </c>
      <c r="I5993" t="str">
        <f>_xlfn.IFS(B5993&lt;=5,"Night (0-5)",B5993&lt;=9,"Morning peak (6-9)",B5993&lt;=15,"Midday (10-15)",B5993&lt;=19,"Evening peak (16-19)",TRUE,"Late evening (20-23)")</f>
        <v>Night (0-5)</v>
      </c>
    </row>
    <row r="5994" spans="1:9">
      <c r="A5994" s="32">
        <v>42072</v>
      </c>
      <c r="B5994">
        <v>3</v>
      </c>
      <c r="C5994">
        <v>376</v>
      </c>
      <c r="D5994" t="s">
        <v>304</v>
      </c>
      <c r="E5994">
        <f>YEAR(A5994)</f>
        <v>2015</v>
      </c>
      <c r="F5994" s="33">
        <f>DATE(YEAR(A5994),MONTH(A5994),1)</f>
        <v>42064.0</v>
      </c>
      <c r="G5994" t="str">
        <f>CHOOSE(WEEKDAY(A5994,2),"Mon","Tue","Wed","Thu","Fri","Sat","Sun")</f>
        <v>Mon</v>
      </c>
      <c r="H5994" t="str">
        <f>IF(WEEKDAY(A5994,2)&gt;5,"Weekend","Weekday")</f>
        <v>Weekday</v>
      </c>
      <c r="I5994" t="str">
        <f>_xlfn.IFS(B5994&lt;=5,"Night (0-5)",B5994&lt;=9,"Morning peak (6-9)",B5994&lt;=15,"Midday (10-15)",B5994&lt;=19,"Evening peak (16-19)",TRUE,"Late evening (20-23)")</f>
        <v>Night (0-5)</v>
      </c>
    </row>
    <row r="5995" spans="1:9">
      <c r="A5995" s="32">
        <v>42072</v>
      </c>
      <c r="B5995">
        <v>4</v>
      </c>
      <c r="C5995">
        <v>578</v>
      </c>
      <c r="D5995" t="s">
        <v>304</v>
      </c>
      <c r="E5995">
        <f>YEAR(A5995)</f>
        <v>2015</v>
      </c>
      <c r="F5995" s="33">
        <f>DATE(YEAR(A5995),MONTH(A5995),1)</f>
        <v>42064.0</v>
      </c>
      <c r="G5995" t="str">
        <f>CHOOSE(WEEKDAY(A5995,2),"Mon","Tue","Wed","Thu","Fri","Sat","Sun")</f>
        <v>Mon</v>
      </c>
      <c r="H5995" t="str">
        <f>IF(WEEKDAY(A5995,2)&gt;5,"Weekend","Weekday")</f>
        <v>Weekday</v>
      </c>
      <c r="I5995" t="str">
        <f>_xlfn.IFS(B5995&lt;=5,"Night (0-5)",B5995&lt;=9,"Morning peak (6-9)",B5995&lt;=15,"Midday (10-15)",B5995&lt;=19,"Evening peak (16-19)",TRUE,"Late evening (20-23)")</f>
        <v>Night (0-5)</v>
      </c>
    </row>
    <row r="5996" spans="1:9">
      <c r="A5996" s="32">
        <v>42072</v>
      </c>
      <c r="B5996">
        <v>5</v>
      </c>
      <c r="C5996">
        <v>918</v>
      </c>
      <c r="D5996" t="s">
        <v>304</v>
      </c>
      <c r="E5996">
        <f>YEAR(A5996)</f>
        <v>2015</v>
      </c>
      <c r="F5996" s="33">
        <f>DATE(YEAR(A5996),MONTH(A5996),1)</f>
        <v>42064.0</v>
      </c>
      <c r="G5996" t="str">
        <f>CHOOSE(WEEKDAY(A5996,2),"Mon","Tue","Wed","Thu","Fri","Sat","Sun")</f>
        <v>Mon</v>
      </c>
      <c r="H5996" t="str">
        <f>IF(WEEKDAY(A5996,2)&gt;5,"Weekend","Weekday")</f>
        <v>Weekday</v>
      </c>
      <c r="I5996" t="str">
        <f>_xlfn.IFS(B5996&lt;=5,"Night (0-5)",B5996&lt;=9,"Morning peak (6-9)",B5996&lt;=15,"Midday (10-15)",B5996&lt;=19,"Evening peak (16-19)",TRUE,"Late evening (20-23)")</f>
        <v>Night (0-5)</v>
      </c>
    </row>
    <row r="5997" spans="1:9">
      <c r="A5997" s="32">
        <v>42072</v>
      </c>
      <c r="B5997">
        <v>6</v>
      </c>
      <c r="C5997">
        <v>1618</v>
      </c>
      <c r="D5997" t="s">
        <v>304</v>
      </c>
      <c r="E5997">
        <f>YEAR(A5997)</f>
        <v>2015</v>
      </c>
      <c r="F5997" s="33">
        <f>DATE(YEAR(A5997),MONTH(A5997),1)</f>
        <v>42064.0</v>
      </c>
      <c r="G5997" t="str">
        <f>CHOOSE(WEEKDAY(A5997,2),"Mon","Tue","Wed","Thu","Fri","Sat","Sun")</f>
        <v>Mon</v>
      </c>
      <c r="H5997" t="str">
        <f>IF(WEEKDAY(A5997,2)&gt;5,"Weekend","Weekday")</f>
        <v>Weekday</v>
      </c>
      <c r="I5997" t="str">
        <f>_xlfn.IFS(B5997&lt;=5,"Night (0-5)",B5997&lt;=9,"Morning peak (6-9)",B5997&lt;=15,"Midday (10-15)",B5997&lt;=19,"Evening peak (16-19)",TRUE,"Late evening (20-23)")</f>
        <v>Morning peak (6-9)</v>
      </c>
    </row>
    <row r="5998" spans="1:9">
      <c r="A5998" s="32">
        <v>42072</v>
      </c>
      <c r="B5998">
        <v>7</v>
      </c>
      <c r="C5998">
        <v>2518</v>
      </c>
      <c r="D5998" t="s">
        <v>304</v>
      </c>
      <c r="E5998">
        <f>YEAR(A5998)</f>
        <v>2015</v>
      </c>
      <c r="F5998" s="33">
        <f>DATE(YEAR(A5998),MONTH(A5998),1)</f>
        <v>42064.0</v>
      </c>
      <c r="G5998" t="str">
        <f>CHOOSE(WEEKDAY(A5998,2),"Mon","Tue","Wed","Thu","Fri","Sat","Sun")</f>
        <v>Mon</v>
      </c>
      <c r="H5998" t="str">
        <f>IF(WEEKDAY(A5998,2)&gt;5,"Weekend","Weekday")</f>
        <v>Weekday</v>
      </c>
      <c r="I5998" t="str">
        <f>_xlfn.IFS(B5998&lt;=5,"Night (0-5)",B5998&lt;=9,"Morning peak (6-9)",B5998&lt;=15,"Midday (10-15)",B5998&lt;=19,"Evening peak (16-19)",TRUE,"Late evening (20-23)")</f>
        <v>Morning peak (6-9)</v>
      </c>
    </row>
    <row r="5999" spans="1:9">
      <c r="A5999" s="32">
        <v>42072</v>
      </c>
      <c r="B5999">
        <v>8</v>
      </c>
      <c r="C5999">
        <v>3488</v>
      </c>
      <c r="D5999" t="s">
        <v>304</v>
      </c>
      <c r="E5999">
        <f>YEAR(A5999)</f>
        <v>2015</v>
      </c>
      <c r="F5999" s="33">
        <f>DATE(YEAR(A5999),MONTH(A5999),1)</f>
        <v>42064.0</v>
      </c>
      <c r="G5999" t="str">
        <f>CHOOSE(WEEKDAY(A5999,2),"Mon","Tue","Wed","Thu","Fri","Sat","Sun")</f>
        <v>Mon</v>
      </c>
      <c r="H5999" t="str">
        <f>IF(WEEKDAY(A5999,2)&gt;5,"Weekend","Weekday")</f>
        <v>Weekday</v>
      </c>
      <c r="I5999" t="str">
        <f>_xlfn.IFS(B5999&lt;=5,"Night (0-5)",B5999&lt;=9,"Morning peak (6-9)",B5999&lt;=15,"Midday (10-15)",B5999&lt;=19,"Evening peak (16-19)",TRUE,"Late evening (20-23)")</f>
        <v>Morning peak (6-9)</v>
      </c>
    </row>
    <row r="6000" spans="1:9">
      <c r="A6000" s="32">
        <v>42072</v>
      </c>
      <c r="B6000">
        <v>9</v>
      </c>
      <c r="C6000">
        <v>3518</v>
      </c>
      <c r="D6000" t="s">
        <v>304</v>
      </c>
      <c r="E6000">
        <f>YEAR(A6000)</f>
        <v>2015</v>
      </c>
      <c r="F6000" s="33">
        <f>DATE(YEAR(A6000),MONTH(A6000),1)</f>
        <v>42064.0</v>
      </c>
      <c r="G6000" t="str">
        <f>CHOOSE(WEEKDAY(A6000,2),"Mon","Tue","Wed","Thu","Fri","Sat","Sun")</f>
        <v>Mon</v>
      </c>
      <c r="H6000" t="str">
        <f>IF(WEEKDAY(A6000,2)&gt;5,"Weekend","Weekday")</f>
        <v>Weekday</v>
      </c>
      <c r="I6000" t="str">
        <f>_xlfn.IFS(B6000&lt;=5,"Night (0-5)",B6000&lt;=9,"Morning peak (6-9)",B6000&lt;=15,"Midday (10-15)",B6000&lt;=19,"Evening peak (16-19)",TRUE,"Late evening (20-23)")</f>
        <v>Morning peak (6-9)</v>
      </c>
    </row>
    <row r="6001" spans="1:9">
      <c r="A6001" s="32">
        <v>42072</v>
      </c>
      <c r="B6001">
        <v>10</v>
      </c>
      <c r="C6001">
        <v>2484</v>
      </c>
      <c r="D6001" t="s">
        <v>304</v>
      </c>
      <c r="E6001">
        <f>YEAR(A6001)</f>
        <v>2015</v>
      </c>
      <c r="F6001" s="33">
        <f>DATE(YEAR(A6001),MONTH(A6001),1)</f>
        <v>42064.0</v>
      </c>
      <c r="G6001" t="str">
        <f>CHOOSE(WEEKDAY(A6001,2),"Mon","Tue","Wed","Thu","Fri","Sat","Sun")</f>
        <v>Mon</v>
      </c>
      <c r="H6001" t="str">
        <f>IF(WEEKDAY(A6001,2)&gt;5,"Weekend","Weekday")</f>
        <v>Weekday</v>
      </c>
      <c r="I6001" t="str">
        <f>_xlfn.IFS(B6001&lt;=5,"Night (0-5)",B6001&lt;=9,"Morning peak (6-9)",B6001&lt;=15,"Midday (10-15)",B6001&lt;=19,"Evening peak (16-19)",TRUE,"Late evening (20-23)")</f>
        <v>Midday (10-15)</v>
      </c>
    </row>
    <row r="6002" spans="1:9">
      <c r="A6002" s="32">
        <v>42072</v>
      </c>
      <c r="B6002">
        <v>11</v>
      </c>
      <c r="C6002">
        <v>1988</v>
      </c>
      <c r="D6002" t="s">
        <v>304</v>
      </c>
      <c r="E6002">
        <f>YEAR(A6002)</f>
        <v>2015</v>
      </c>
      <c r="F6002" s="33">
        <f>DATE(YEAR(A6002),MONTH(A6002),1)</f>
        <v>42064.0</v>
      </c>
      <c r="G6002" t="str">
        <f>CHOOSE(WEEKDAY(A6002,2),"Mon","Tue","Wed","Thu","Fri","Sat","Sun")</f>
        <v>Mon</v>
      </c>
      <c r="H6002" t="str">
        <f>IF(WEEKDAY(A6002,2)&gt;5,"Weekend","Weekday")</f>
        <v>Weekday</v>
      </c>
      <c r="I6002" t="str">
        <f>_xlfn.IFS(B6002&lt;=5,"Night (0-5)",B6002&lt;=9,"Morning peak (6-9)",B6002&lt;=15,"Midday (10-15)",B6002&lt;=19,"Evening peak (16-19)",TRUE,"Late evening (20-23)")</f>
        <v>Midday (10-15)</v>
      </c>
    </row>
    <row r="6003" spans="1:9">
      <c r="A6003" s="32">
        <v>42072</v>
      </c>
      <c r="B6003">
        <v>12</v>
      </c>
      <c r="C6003">
        <v>1977</v>
      </c>
      <c r="D6003" t="s">
        <v>304</v>
      </c>
      <c r="E6003">
        <f>YEAR(A6003)</f>
        <v>2015</v>
      </c>
      <c r="F6003" s="33">
        <f>DATE(YEAR(A6003),MONTH(A6003),1)</f>
        <v>42064.0</v>
      </c>
      <c r="G6003" t="str">
        <f>CHOOSE(WEEKDAY(A6003,2),"Mon","Tue","Wed","Thu","Fri","Sat","Sun")</f>
        <v>Mon</v>
      </c>
      <c r="H6003" t="str">
        <f>IF(WEEKDAY(A6003,2)&gt;5,"Weekend","Weekday")</f>
        <v>Weekday</v>
      </c>
      <c r="I6003" t="str">
        <f>_xlfn.IFS(B6003&lt;=5,"Night (0-5)",B6003&lt;=9,"Morning peak (6-9)",B6003&lt;=15,"Midday (10-15)",B6003&lt;=19,"Evening peak (16-19)",TRUE,"Late evening (20-23)")</f>
        <v>Midday (10-15)</v>
      </c>
    </row>
    <row r="6004" spans="1:9">
      <c r="A6004" s="32">
        <v>42072</v>
      </c>
      <c r="B6004">
        <v>13</v>
      </c>
      <c r="C6004">
        <v>1791</v>
      </c>
      <c r="D6004" t="s">
        <v>304</v>
      </c>
      <c r="E6004">
        <f>YEAR(A6004)</f>
        <v>2015</v>
      </c>
      <c r="F6004" s="33">
        <f>DATE(YEAR(A6004),MONTH(A6004),1)</f>
        <v>42064.0</v>
      </c>
      <c r="G6004" t="str">
        <f>CHOOSE(WEEKDAY(A6004,2),"Mon","Tue","Wed","Thu","Fri","Sat","Sun")</f>
        <v>Mon</v>
      </c>
      <c r="H6004" t="str">
        <f>IF(WEEKDAY(A6004,2)&gt;5,"Weekend","Weekday")</f>
        <v>Weekday</v>
      </c>
      <c r="I6004" t="str">
        <f>_xlfn.IFS(B6004&lt;=5,"Night (0-5)",B6004&lt;=9,"Morning peak (6-9)",B6004&lt;=15,"Midday (10-15)",B6004&lt;=19,"Evening peak (16-19)",TRUE,"Late evening (20-23)")</f>
        <v>Midday (10-15)</v>
      </c>
    </row>
    <row r="6005" spans="1:9">
      <c r="A6005" s="32">
        <v>42072</v>
      </c>
      <c r="B6005">
        <v>14</v>
      </c>
      <c r="C6005">
        <v>2040</v>
      </c>
      <c r="D6005" t="s">
        <v>304</v>
      </c>
      <c r="E6005">
        <f>YEAR(A6005)</f>
        <v>2015</v>
      </c>
      <c r="F6005" s="33">
        <f>DATE(YEAR(A6005),MONTH(A6005),1)</f>
        <v>42064.0</v>
      </c>
      <c r="G6005" t="str">
        <f>CHOOSE(WEEKDAY(A6005,2),"Mon","Tue","Wed","Thu","Fri","Sat","Sun")</f>
        <v>Mon</v>
      </c>
      <c r="H6005" t="str">
        <f>IF(WEEKDAY(A6005,2)&gt;5,"Weekend","Weekday")</f>
        <v>Weekday</v>
      </c>
      <c r="I6005" t="str">
        <f>_xlfn.IFS(B6005&lt;=5,"Night (0-5)",B6005&lt;=9,"Morning peak (6-9)",B6005&lt;=15,"Midday (10-15)",B6005&lt;=19,"Evening peak (16-19)",TRUE,"Late evening (20-23)")</f>
        <v>Midday (10-15)</v>
      </c>
    </row>
    <row r="6006" spans="1:9">
      <c r="A6006" s="32">
        <v>42072</v>
      </c>
      <c r="B6006">
        <v>15</v>
      </c>
      <c r="C6006">
        <v>2497</v>
      </c>
      <c r="D6006" t="s">
        <v>304</v>
      </c>
      <c r="E6006">
        <f>YEAR(A6006)</f>
        <v>2015</v>
      </c>
      <c r="F6006" s="33">
        <f>DATE(YEAR(A6006),MONTH(A6006),1)</f>
        <v>42064.0</v>
      </c>
      <c r="G6006" t="str">
        <f>CHOOSE(WEEKDAY(A6006,2),"Mon","Tue","Wed","Thu","Fri","Sat","Sun")</f>
        <v>Mon</v>
      </c>
      <c r="H6006" t="str">
        <f>IF(WEEKDAY(A6006,2)&gt;5,"Weekend","Weekday")</f>
        <v>Weekday</v>
      </c>
      <c r="I6006" t="str">
        <f>_xlfn.IFS(B6006&lt;=5,"Night (0-5)",B6006&lt;=9,"Morning peak (6-9)",B6006&lt;=15,"Midday (10-15)",B6006&lt;=19,"Evening peak (16-19)",TRUE,"Late evening (20-23)")</f>
        <v>Midday (10-15)</v>
      </c>
    </row>
    <row r="6007" spans="1:9">
      <c r="A6007" s="32">
        <v>42072</v>
      </c>
      <c r="B6007">
        <v>16</v>
      </c>
      <c r="C6007">
        <v>2754</v>
      </c>
      <c r="D6007" t="s">
        <v>304</v>
      </c>
      <c r="E6007">
        <f>YEAR(A6007)</f>
        <v>2015</v>
      </c>
      <c r="F6007" s="33">
        <f>DATE(YEAR(A6007),MONTH(A6007),1)</f>
        <v>42064.0</v>
      </c>
      <c r="G6007" t="str">
        <f>CHOOSE(WEEKDAY(A6007,2),"Mon","Tue","Wed","Thu","Fri","Sat","Sun")</f>
        <v>Mon</v>
      </c>
      <c r="H6007" t="str">
        <f>IF(WEEKDAY(A6007,2)&gt;5,"Weekend","Weekday")</f>
        <v>Weekday</v>
      </c>
      <c r="I6007" t="str">
        <f>_xlfn.IFS(B6007&lt;=5,"Night (0-5)",B6007&lt;=9,"Morning peak (6-9)",B6007&lt;=15,"Midday (10-15)",B6007&lt;=19,"Evening peak (16-19)",TRUE,"Late evening (20-23)")</f>
        <v>Evening peak (16-19)</v>
      </c>
    </row>
    <row r="6008" spans="1:9">
      <c r="A6008" s="32">
        <v>42072</v>
      </c>
      <c r="B6008">
        <v>17</v>
      </c>
      <c r="C6008">
        <v>3147</v>
      </c>
      <c r="D6008" t="s">
        <v>304</v>
      </c>
      <c r="E6008">
        <f>YEAR(A6008)</f>
        <v>2015</v>
      </c>
      <c r="F6008" s="33">
        <f>DATE(YEAR(A6008),MONTH(A6008),1)</f>
        <v>42064.0</v>
      </c>
      <c r="G6008" t="str">
        <f>CHOOSE(WEEKDAY(A6008,2),"Mon","Tue","Wed","Thu","Fri","Sat","Sun")</f>
        <v>Mon</v>
      </c>
      <c r="H6008" t="str">
        <f>IF(WEEKDAY(A6008,2)&gt;5,"Weekend","Weekday")</f>
        <v>Weekday</v>
      </c>
      <c r="I6008" t="str">
        <f>_xlfn.IFS(B6008&lt;=5,"Night (0-5)",B6008&lt;=9,"Morning peak (6-9)",B6008&lt;=15,"Midday (10-15)",B6008&lt;=19,"Evening peak (16-19)",TRUE,"Late evening (20-23)")</f>
        <v>Evening peak (16-19)</v>
      </c>
    </row>
    <row r="6009" spans="1:9">
      <c r="A6009" s="32">
        <v>42072</v>
      </c>
      <c r="B6009">
        <v>18</v>
      </c>
      <c r="C6009">
        <v>3593</v>
      </c>
      <c r="D6009" t="s">
        <v>304</v>
      </c>
      <c r="E6009">
        <f>YEAR(A6009)</f>
        <v>2015</v>
      </c>
      <c r="F6009" s="33">
        <f>DATE(YEAR(A6009),MONTH(A6009),1)</f>
        <v>42064.0</v>
      </c>
      <c r="G6009" t="str">
        <f>CHOOSE(WEEKDAY(A6009,2),"Mon","Tue","Wed","Thu","Fri","Sat","Sun")</f>
        <v>Mon</v>
      </c>
      <c r="H6009" t="str">
        <f>IF(WEEKDAY(A6009,2)&gt;5,"Weekend","Weekday")</f>
        <v>Weekday</v>
      </c>
      <c r="I6009" t="str">
        <f>_xlfn.IFS(B6009&lt;=5,"Night (0-5)",B6009&lt;=9,"Morning peak (6-9)",B6009&lt;=15,"Midday (10-15)",B6009&lt;=19,"Evening peak (16-19)",TRUE,"Late evening (20-23)")</f>
        <v>Evening peak (16-19)</v>
      </c>
    </row>
    <row r="6010" spans="1:9">
      <c r="A6010" s="32">
        <v>42072</v>
      </c>
      <c r="B6010">
        <v>19</v>
      </c>
      <c r="C6010">
        <v>3773</v>
      </c>
      <c r="D6010" t="s">
        <v>304</v>
      </c>
      <c r="E6010">
        <f>YEAR(A6010)</f>
        <v>2015</v>
      </c>
      <c r="F6010" s="33">
        <f>DATE(YEAR(A6010),MONTH(A6010),1)</f>
        <v>42064.0</v>
      </c>
      <c r="G6010" t="str">
        <f>CHOOSE(WEEKDAY(A6010,2),"Mon","Tue","Wed","Thu","Fri","Sat","Sun")</f>
        <v>Mon</v>
      </c>
      <c r="H6010" t="str">
        <f>IF(WEEKDAY(A6010,2)&gt;5,"Weekend","Weekday")</f>
        <v>Weekday</v>
      </c>
      <c r="I6010" t="str">
        <f>_xlfn.IFS(B6010&lt;=5,"Night (0-5)",B6010&lt;=9,"Morning peak (6-9)",B6010&lt;=15,"Midday (10-15)",B6010&lt;=19,"Evening peak (16-19)",TRUE,"Late evening (20-23)")</f>
        <v>Evening peak (16-19)</v>
      </c>
    </row>
    <row r="6011" spans="1:9">
      <c r="A6011" s="32">
        <v>42072</v>
      </c>
      <c r="B6011">
        <v>20</v>
      </c>
      <c r="C6011">
        <v>3496</v>
      </c>
      <c r="D6011" t="s">
        <v>304</v>
      </c>
      <c r="E6011">
        <f>YEAR(A6011)</f>
        <v>2015</v>
      </c>
      <c r="F6011" s="33">
        <f>DATE(YEAR(A6011),MONTH(A6011),1)</f>
        <v>42064.0</v>
      </c>
      <c r="G6011" t="str">
        <f>CHOOSE(WEEKDAY(A6011,2),"Mon","Tue","Wed","Thu","Fri","Sat","Sun")</f>
        <v>Mon</v>
      </c>
      <c r="H6011" t="str">
        <f>IF(WEEKDAY(A6011,2)&gt;5,"Weekend","Weekday")</f>
        <v>Weekday</v>
      </c>
      <c r="I6011" t="str">
        <f>_xlfn.IFS(B6011&lt;=5,"Night (0-5)",B6011&lt;=9,"Morning peak (6-9)",B6011&lt;=15,"Midday (10-15)",B6011&lt;=19,"Evening peak (16-19)",TRUE,"Late evening (20-23)")</f>
        <v>Late evening (20-23)</v>
      </c>
    </row>
    <row r="6012" spans="1:9">
      <c r="A6012" s="32">
        <v>42072</v>
      </c>
      <c r="B6012">
        <v>21</v>
      </c>
      <c r="C6012">
        <v>3349</v>
      </c>
      <c r="D6012" t="s">
        <v>304</v>
      </c>
      <c r="E6012">
        <f>YEAR(A6012)</f>
        <v>2015</v>
      </c>
      <c r="F6012" s="33">
        <f>DATE(YEAR(A6012),MONTH(A6012),1)</f>
        <v>42064.0</v>
      </c>
      <c r="G6012" t="str">
        <f>CHOOSE(WEEKDAY(A6012,2),"Mon","Tue","Wed","Thu","Fri","Sat","Sun")</f>
        <v>Mon</v>
      </c>
      <c r="H6012" t="str">
        <f>IF(WEEKDAY(A6012,2)&gt;5,"Weekend","Weekday")</f>
        <v>Weekday</v>
      </c>
      <c r="I6012" t="str">
        <f>_xlfn.IFS(B6012&lt;=5,"Night (0-5)",B6012&lt;=9,"Morning peak (6-9)",B6012&lt;=15,"Midday (10-15)",B6012&lt;=19,"Evening peak (16-19)",TRUE,"Late evening (20-23)")</f>
        <v>Late evening (20-23)</v>
      </c>
    </row>
    <row r="6013" spans="1:9">
      <c r="A6013" s="32">
        <v>42072</v>
      </c>
      <c r="B6013">
        <v>22</v>
      </c>
      <c r="C6013">
        <v>2905</v>
      </c>
      <c r="D6013" t="s">
        <v>304</v>
      </c>
      <c r="E6013">
        <f>YEAR(A6013)</f>
        <v>2015</v>
      </c>
      <c r="F6013" s="33">
        <f>DATE(YEAR(A6013),MONTH(A6013),1)</f>
        <v>42064.0</v>
      </c>
      <c r="G6013" t="str">
        <f>CHOOSE(WEEKDAY(A6013,2),"Mon","Tue","Wed","Thu","Fri","Sat","Sun")</f>
        <v>Mon</v>
      </c>
      <c r="H6013" t="str">
        <f>IF(WEEKDAY(A6013,2)&gt;5,"Weekend","Weekday")</f>
        <v>Weekday</v>
      </c>
      <c r="I6013" t="str">
        <f>_xlfn.IFS(B6013&lt;=5,"Night (0-5)",B6013&lt;=9,"Morning peak (6-9)",B6013&lt;=15,"Midday (10-15)",B6013&lt;=19,"Evening peak (16-19)",TRUE,"Late evening (20-23)")</f>
        <v>Late evening (20-23)</v>
      </c>
    </row>
    <row r="6014" spans="1:9">
      <c r="A6014" s="32">
        <v>42072</v>
      </c>
      <c r="B6014">
        <v>23</v>
      </c>
      <c r="C6014">
        <v>2432</v>
      </c>
      <c r="D6014" t="s">
        <v>304</v>
      </c>
      <c r="E6014">
        <f>YEAR(A6014)</f>
        <v>2015</v>
      </c>
      <c r="F6014" s="33">
        <f>DATE(YEAR(A6014),MONTH(A6014),1)</f>
        <v>42064.0</v>
      </c>
      <c r="G6014" t="str">
        <f>CHOOSE(WEEKDAY(A6014,2),"Mon","Tue","Wed","Thu","Fri","Sat","Sun")</f>
        <v>Mon</v>
      </c>
      <c r="H6014" t="str">
        <f>IF(WEEKDAY(A6014,2)&gt;5,"Weekend","Weekday")</f>
        <v>Weekday</v>
      </c>
      <c r="I6014" t="str">
        <f>_xlfn.IFS(B6014&lt;=5,"Night (0-5)",B6014&lt;=9,"Morning peak (6-9)",B6014&lt;=15,"Midday (10-15)",B6014&lt;=19,"Evening peak (16-19)",TRUE,"Late evening (20-23)")</f>
        <v>Late evening (20-23)</v>
      </c>
    </row>
    <row r="6015" spans="1:9">
      <c r="A6015" s="32">
        <v>42073</v>
      </c>
      <c r="B6015">
        <v>0</v>
      </c>
      <c r="C6015">
        <v>1458</v>
      </c>
      <c r="D6015" t="s">
        <v>304</v>
      </c>
      <c r="E6015">
        <f>YEAR(A6015)</f>
        <v>2015</v>
      </c>
      <c r="F6015" s="33">
        <f>DATE(YEAR(A6015),MONTH(A6015),1)</f>
        <v>42064.0</v>
      </c>
      <c r="G6015" t="str">
        <f>CHOOSE(WEEKDAY(A6015,2),"Mon","Tue","Wed","Thu","Fri","Sat","Sun")</f>
        <v>Tue</v>
      </c>
      <c r="H6015" t="str">
        <f>IF(WEEKDAY(A6015,2)&gt;5,"Weekend","Weekday")</f>
        <v>Weekday</v>
      </c>
      <c r="I6015" t="str">
        <f>_xlfn.IFS(B6015&lt;=5,"Night (0-5)",B6015&lt;=9,"Morning peak (6-9)",B6015&lt;=15,"Midday (10-15)",B6015&lt;=19,"Evening peak (16-19)",TRUE,"Late evening (20-23)")</f>
        <v>Night (0-5)</v>
      </c>
    </row>
    <row r="6016" spans="1:9">
      <c r="A6016" s="32">
        <v>42073</v>
      </c>
      <c r="B6016">
        <v>1</v>
      </c>
      <c r="C6016">
        <v>838</v>
      </c>
      <c r="D6016" t="s">
        <v>304</v>
      </c>
      <c r="E6016">
        <f>YEAR(A6016)</f>
        <v>2015</v>
      </c>
      <c r="F6016" s="33">
        <f>DATE(YEAR(A6016),MONTH(A6016),1)</f>
        <v>42064.0</v>
      </c>
      <c r="G6016" t="str">
        <f>CHOOSE(WEEKDAY(A6016,2),"Mon","Tue","Wed","Thu","Fri","Sat","Sun")</f>
        <v>Tue</v>
      </c>
      <c r="H6016" t="str">
        <f>IF(WEEKDAY(A6016,2)&gt;5,"Weekend","Weekday")</f>
        <v>Weekday</v>
      </c>
      <c r="I6016" t="str">
        <f>_xlfn.IFS(B6016&lt;=5,"Night (0-5)",B6016&lt;=9,"Morning peak (6-9)",B6016&lt;=15,"Midday (10-15)",B6016&lt;=19,"Evening peak (16-19)",TRUE,"Late evening (20-23)")</f>
        <v>Night (0-5)</v>
      </c>
    </row>
    <row r="6017" spans="1:9">
      <c r="A6017" s="32">
        <v>42073</v>
      </c>
      <c r="B6017">
        <v>2</v>
      </c>
      <c r="C6017">
        <v>493</v>
      </c>
      <c r="D6017" t="s">
        <v>304</v>
      </c>
      <c r="E6017">
        <f>YEAR(A6017)</f>
        <v>2015</v>
      </c>
      <c r="F6017" s="33">
        <f>DATE(YEAR(A6017),MONTH(A6017),1)</f>
        <v>42064.0</v>
      </c>
      <c r="G6017" t="str">
        <f>CHOOSE(WEEKDAY(A6017,2),"Mon","Tue","Wed","Thu","Fri","Sat","Sun")</f>
        <v>Tue</v>
      </c>
      <c r="H6017" t="str">
        <f>IF(WEEKDAY(A6017,2)&gt;5,"Weekend","Weekday")</f>
        <v>Weekday</v>
      </c>
      <c r="I6017" t="str">
        <f>_xlfn.IFS(B6017&lt;=5,"Night (0-5)",B6017&lt;=9,"Morning peak (6-9)",B6017&lt;=15,"Midday (10-15)",B6017&lt;=19,"Evening peak (16-19)",TRUE,"Late evening (20-23)")</f>
        <v>Night (0-5)</v>
      </c>
    </row>
    <row r="6018" spans="1:9">
      <c r="A6018" s="32">
        <v>42073</v>
      </c>
      <c r="B6018">
        <v>3</v>
      </c>
      <c r="C6018">
        <v>352</v>
      </c>
      <c r="D6018" t="s">
        <v>304</v>
      </c>
      <c r="E6018">
        <f>YEAR(A6018)</f>
        <v>2015</v>
      </c>
      <c r="F6018" s="33">
        <f>DATE(YEAR(A6018),MONTH(A6018),1)</f>
        <v>42064.0</v>
      </c>
      <c r="G6018" t="str">
        <f>CHOOSE(WEEKDAY(A6018,2),"Mon","Tue","Wed","Thu","Fri","Sat","Sun")</f>
        <v>Tue</v>
      </c>
      <c r="H6018" t="str">
        <f>IF(WEEKDAY(A6018,2)&gt;5,"Weekend","Weekday")</f>
        <v>Weekday</v>
      </c>
      <c r="I6018" t="str">
        <f>_xlfn.IFS(B6018&lt;=5,"Night (0-5)",B6018&lt;=9,"Morning peak (6-9)",B6018&lt;=15,"Midday (10-15)",B6018&lt;=19,"Evening peak (16-19)",TRUE,"Late evening (20-23)")</f>
        <v>Night (0-5)</v>
      </c>
    </row>
    <row r="6019" spans="1:9">
      <c r="A6019" s="32">
        <v>42073</v>
      </c>
      <c r="B6019">
        <v>4</v>
      </c>
      <c r="C6019">
        <v>433</v>
      </c>
      <c r="D6019" t="s">
        <v>304</v>
      </c>
      <c r="E6019">
        <f>YEAR(A6019)</f>
        <v>2015</v>
      </c>
      <c r="F6019" s="33">
        <f>DATE(YEAR(A6019),MONTH(A6019),1)</f>
        <v>42064.0</v>
      </c>
      <c r="G6019" t="str">
        <f>CHOOSE(WEEKDAY(A6019,2),"Mon","Tue","Wed","Thu","Fri","Sat","Sun")</f>
        <v>Tue</v>
      </c>
      <c r="H6019" t="str">
        <f>IF(WEEKDAY(A6019,2)&gt;5,"Weekend","Weekday")</f>
        <v>Weekday</v>
      </c>
      <c r="I6019" t="str">
        <f>_xlfn.IFS(B6019&lt;=5,"Night (0-5)",B6019&lt;=9,"Morning peak (6-9)",B6019&lt;=15,"Midday (10-15)",B6019&lt;=19,"Evening peak (16-19)",TRUE,"Late evening (20-23)")</f>
        <v>Night (0-5)</v>
      </c>
    </row>
    <row r="6020" spans="1:9">
      <c r="A6020" s="32">
        <v>42073</v>
      </c>
      <c r="B6020">
        <v>5</v>
      </c>
      <c r="C6020">
        <v>782</v>
      </c>
      <c r="D6020" t="s">
        <v>304</v>
      </c>
      <c r="E6020">
        <f>YEAR(A6020)</f>
        <v>2015</v>
      </c>
      <c r="F6020" s="33">
        <f>DATE(YEAR(A6020),MONTH(A6020),1)</f>
        <v>42064.0</v>
      </c>
      <c r="G6020" t="str">
        <f>CHOOSE(WEEKDAY(A6020,2),"Mon","Tue","Wed","Thu","Fri","Sat","Sun")</f>
        <v>Tue</v>
      </c>
      <c r="H6020" t="str">
        <f>IF(WEEKDAY(A6020,2)&gt;5,"Weekend","Weekday")</f>
        <v>Weekday</v>
      </c>
      <c r="I6020" t="str">
        <f>_xlfn.IFS(B6020&lt;=5,"Night (0-5)",B6020&lt;=9,"Morning peak (6-9)",B6020&lt;=15,"Midday (10-15)",B6020&lt;=19,"Evening peak (16-19)",TRUE,"Late evening (20-23)")</f>
        <v>Night (0-5)</v>
      </c>
    </row>
    <row r="6021" spans="1:9">
      <c r="A6021" s="32">
        <v>42073</v>
      </c>
      <c r="B6021">
        <v>6</v>
      </c>
      <c r="C6021">
        <v>1458</v>
      </c>
      <c r="D6021" t="s">
        <v>304</v>
      </c>
      <c r="E6021">
        <f>YEAR(A6021)</f>
        <v>2015</v>
      </c>
      <c r="F6021" s="33">
        <f>DATE(YEAR(A6021),MONTH(A6021),1)</f>
        <v>42064.0</v>
      </c>
      <c r="G6021" t="str">
        <f>CHOOSE(WEEKDAY(A6021,2),"Mon","Tue","Wed","Thu","Fri","Sat","Sun")</f>
        <v>Tue</v>
      </c>
      <c r="H6021" t="str">
        <f>IF(WEEKDAY(A6021,2)&gt;5,"Weekend","Weekday")</f>
        <v>Weekday</v>
      </c>
      <c r="I6021" t="str">
        <f>_xlfn.IFS(B6021&lt;=5,"Night (0-5)",B6021&lt;=9,"Morning peak (6-9)",B6021&lt;=15,"Midday (10-15)",B6021&lt;=19,"Evening peak (16-19)",TRUE,"Late evening (20-23)")</f>
        <v>Morning peak (6-9)</v>
      </c>
    </row>
    <row r="6022" spans="1:9">
      <c r="A6022" s="32">
        <v>42073</v>
      </c>
      <c r="B6022">
        <v>7</v>
      </c>
      <c r="C6022">
        <v>2705</v>
      </c>
      <c r="D6022" t="s">
        <v>304</v>
      </c>
      <c r="E6022">
        <f>YEAR(A6022)</f>
        <v>2015</v>
      </c>
      <c r="F6022" s="33">
        <f>DATE(YEAR(A6022),MONTH(A6022),1)</f>
        <v>42064.0</v>
      </c>
      <c r="G6022" t="str">
        <f>CHOOSE(WEEKDAY(A6022,2),"Mon","Tue","Wed","Thu","Fri","Sat","Sun")</f>
        <v>Tue</v>
      </c>
      <c r="H6022" t="str">
        <f>IF(WEEKDAY(A6022,2)&gt;5,"Weekend","Weekday")</f>
        <v>Weekday</v>
      </c>
      <c r="I6022" t="str">
        <f>_xlfn.IFS(B6022&lt;=5,"Night (0-5)",B6022&lt;=9,"Morning peak (6-9)",B6022&lt;=15,"Midday (10-15)",B6022&lt;=19,"Evening peak (16-19)",TRUE,"Late evening (20-23)")</f>
        <v>Morning peak (6-9)</v>
      </c>
    </row>
    <row r="6023" spans="1:9">
      <c r="A6023" s="32">
        <v>42073</v>
      </c>
      <c r="B6023">
        <v>8</v>
      </c>
      <c r="C6023">
        <v>3460</v>
      </c>
      <c r="D6023" t="s">
        <v>304</v>
      </c>
      <c r="E6023">
        <f>YEAR(A6023)</f>
        <v>2015</v>
      </c>
      <c r="F6023" s="33">
        <f>DATE(YEAR(A6023),MONTH(A6023),1)</f>
        <v>42064.0</v>
      </c>
      <c r="G6023" t="str">
        <f>CHOOSE(WEEKDAY(A6023,2),"Mon","Tue","Wed","Thu","Fri","Sat","Sun")</f>
        <v>Tue</v>
      </c>
      <c r="H6023" t="str">
        <f>IF(WEEKDAY(A6023,2)&gt;5,"Weekend","Weekday")</f>
        <v>Weekday</v>
      </c>
      <c r="I6023" t="str">
        <f>_xlfn.IFS(B6023&lt;=5,"Night (0-5)",B6023&lt;=9,"Morning peak (6-9)",B6023&lt;=15,"Midday (10-15)",B6023&lt;=19,"Evening peak (16-19)",TRUE,"Late evening (20-23)")</f>
        <v>Morning peak (6-9)</v>
      </c>
    </row>
    <row r="6024" spans="1:9">
      <c r="A6024" s="32">
        <v>42073</v>
      </c>
      <c r="B6024">
        <v>9</v>
      </c>
      <c r="C6024">
        <v>3186</v>
      </c>
      <c r="D6024" t="s">
        <v>304</v>
      </c>
      <c r="E6024">
        <f>YEAR(A6024)</f>
        <v>2015</v>
      </c>
      <c r="F6024" s="33">
        <f>DATE(YEAR(A6024),MONTH(A6024),1)</f>
        <v>42064.0</v>
      </c>
      <c r="G6024" t="str">
        <f>CHOOSE(WEEKDAY(A6024,2),"Mon","Tue","Wed","Thu","Fri","Sat","Sun")</f>
        <v>Tue</v>
      </c>
      <c r="H6024" t="str">
        <f>IF(WEEKDAY(A6024,2)&gt;5,"Weekend","Weekday")</f>
        <v>Weekday</v>
      </c>
      <c r="I6024" t="str">
        <f>_xlfn.IFS(B6024&lt;=5,"Night (0-5)",B6024&lt;=9,"Morning peak (6-9)",B6024&lt;=15,"Midday (10-15)",B6024&lt;=19,"Evening peak (16-19)",TRUE,"Late evening (20-23)")</f>
        <v>Morning peak (6-9)</v>
      </c>
    </row>
    <row r="6025" spans="1:9">
      <c r="A6025" s="32">
        <v>42073</v>
      </c>
      <c r="B6025">
        <v>10</v>
      </c>
      <c r="C6025">
        <v>2418</v>
      </c>
      <c r="D6025" t="s">
        <v>304</v>
      </c>
      <c r="E6025">
        <f>YEAR(A6025)</f>
        <v>2015</v>
      </c>
      <c r="F6025" s="33">
        <f>DATE(YEAR(A6025),MONTH(A6025),1)</f>
        <v>42064.0</v>
      </c>
      <c r="G6025" t="str">
        <f>CHOOSE(WEEKDAY(A6025,2),"Mon","Tue","Wed","Thu","Fri","Sat","Sun")</f>
        <v>Tue</v>
      </c>
      <c r="H6025" t="str">
        <f>IF(WEEKDAY(A6025,2)&gt;5,"Weekend","Weekday")</f>
        <v>Weekday</v>
      </c>
      <c r="I6025" t="str">
        <f>_xlfn.IFS(B6025&lt;=5,"Night (0-5)",B6025&lt;=9,"Morning peak (6-9)",B6025&lt;=15,"Midday (10-15)",B6025&lt;=19,"Evening peak (16-19)",TRUE,"Late evening (20-23)")</f>
        <v>Midday (10-15)</v>
      </c>
    </row>
    <row r="6026" spans="1:9">
      <c r="A6026" s="32">
        <v>42073</v>
      </c>
      <c r="B6026">
        <v>11</v>
      </c>
      <c r="C6026">
        <v>2115</v>
      </c>
      <c r="D6026" t="s">
        <v>304</v>
      </c>
      <c r="E6026">
        <f>YEAR(A6026)</f>
        <v>2015</v>
      </c>
      <c r="F6026" s="33">
        <f>DATE(YEAR(A6026),MONTH(A6026),1)</f>
        <v>42064.0</v>
      </c>
      <c r="G6026" t="str">
        <f>CHOOSE(WEEKDAY(A6026,2),"Mon","Tue","Wed","Thu","Fri","Sat","Sun")</f>
        <v>Tue</v>
      </c>
      <c r="H6026" t="str">
        <f>IF(WEEKDAY(A6026,2)&gt;5,"Weekend","Weekday")</f>
        <v>Weekday</v>
      </c>
      <c r="I6026" t="str">
        <f>_xlfn.IFS(B6026&lt;=5,"Night (0-5)",B6026&lt;=9,"Morning peak (6-9)",B6026&lt;=15,"Midday (10-15)",B6026&lt;=19,"Evening peak (16-19)",TRUE,"Late evening (20-23)")</f>
        <v>Midday (10-15)</v>
      </c>
    </row>
    <row r="6027" spans="1:9">
      <c r="A6027" s="32">
        <v>42073</v>
      </c>
      <c r="B6027">
        <v>12</v>
      </c>
      <c r="C6027">
        <v>2118</v>
      </c>
      <c r="D6027" t="s">
        <v>304</v>
      </c>
      <c r="E6027">
        <f>YEAR(A6027)</f>
        <v>2015</v>
      </c>
      <c r="F6027" s="33">
        <f>DATE(YEAR(A6027),MONTH(A6027),1)</f>
        <v>42064.0</v>
      </c>
      <c r="G6027" t="str">
        <f>CHOOSE(WEEKDAY(A6027,2),"Mon","Tue","Wed","Thu","Fri","Sat","Sun")</f>
        <v>Tue</v>
      </c>
      <c r="H6027" t="str">
        <f>IF(WEEKDAY(A6027,2)&gt;5,"Weekend","Weekday")</f>
        <v>Weekday</v>
      </c>
      <c r="I6027" t="str">
        <f>_xlfn.IFS(B6027&lt;=5,"Night (0-5)",B6027&lt;=9,"Morning peak (6-9)",B6027&lt;=15,"Midday (10-15)",B6027&lt;=19,"Evening peak (16-19)",TRUE,"Late evening (20-23)")</f>
        <v>Midday (10-15)</v>
      </c>
    </row>
    <row r="6028" spans="1:9">
      <c r="A6028" s="32">
        <v>42073</v>
      </c>
      <c r="B6028">
        <v>13</v>
      </c>
      <c r="C6028">
        <v>2053</v>
      </c>
      <c r="D6028" t="s">
        <v>304</v>
      </c>
      <c r="E6028">
        <f>YEAR(A6028)</f>
        <v>2015</v>
      </c>
      <c r="F6028" s="33">
        <f>DATE(YEAR(A6028),MONTH(A6028),1)</f>
        <v>42064.0</v>
      </c>
      <c r="G6028" t="str">
        <f>CHOOSE(WEEKDAY(A6028,2),"Mon","Tue","Wed","Thu","Fri","Sat","Sun")</f>
        <v>Tue</v>
      </c>
      <c r="H6028" t="str">
        <f>IF(WEEKDAY(A6028,2)&gt;5,"Weekend","Weekday")</f>
        <v>Weekday</v>
      </c>
      <c r="I6028" t="str">
        <f>_xlfn.IFS(B6028&lt;=5,"Night (0-5)",B6028&lt;=9,"Morning peak (6-9)",B6028&lt;=15,"Midday (10-15)",B6028&lt;=19,"Evening peak (16-19)",TRUE,"Late evening (20-23)")</f>
        <v>Midday (10-15)</v>
      </c>
    </row>
    <row r="6029" spans="1:9">
      <c r="A6029" s="32">
        <v>42073</v>
      </c>
      <c r="B6029">
        <v>14</v>
      </c>
      <c r="C6029">
        <v>2339</v>
      </c>
      <c r="D6029" t="s">
        <v>304</v>
      </c>
      <c r="E6029">
        <f>YEAR(A6029)</f>
        <v>2015</v>
      </c>
      <c r="F6029" s="33">
        <f>DATE(YEAR(A6029),MONTH(A6029),1)</f>
        <v>42064.0</v>
      </c>
      <c r="G6029" t="str">
        <f>CHOOSE(WEEKDAY(A6029,2),"Mon","Tue","Wed","Thu","Fri","Sat","Sun")</f>
        <v>Tue</v>
      </c>
      <c r="H6029" t="str">
        <f>IF(WEEKDAY(A6029,2)&gt;5,"Weekend","Weekday")</f>
        <v>Weekday</v>
      </c>
      <c r="I6029" t="str">
        <f>_xlfn.IFS(B6029&lt;=5,"Night (0-5)",B6029&lt;=9,"Morning peak (6-9)",B6029&lt;=15,"Midday (10-15)",B6029&lt;=19,"Evening peak (16-19)",TRUE,"Late evening (20-23)")</f>
        <v>Midday (10-15)</v>
      </c>
    </row>
    <row r="6030" spans="1:9">
      <c r="A6030" s="32">
        <v>42073</v>
      </c>
      <c r="B6030">
        <v>15</v>
      </c>
      <c r="C6030">
        <v>2833</v>
      </c>
      <c r="D6030" t="s">
        <v>304</v>
      </c>
      <c r="E6030">
        <f>YEAR(A6030)</f>
        <v>2015</v>
      </c>
      <c r="F6030" s="33">
        <f>DATE(YEAR(A6030),MONTH(A6030),1)</f>
        <v>42064.0</v>
      </c>
      <c r="G6030" t="str">
        <f>CHOOSE(WEEKDAY(A6030,2),"Mon","Tue","Wed","Thu","Fri","Sat","Sun")</f>
        <v>Tue</v>
      </c>
      <c r="H6030" t="str">
        <f>IF(WEEKDAY(A6030,2)&gt;5,"Weekend","Weekday")</f>
        <v>Weekday</v>
      </c>
      <c r="I6030" t="str">
        <f>_xlfn.IFS(B6030&lt;=5,"Night (0-5)",B6030&lt;=9,"Morning peak (6-9)",B6030&lt;=15,"Midday (10-15)",B6030&lt;=19,"Evening peak (16-19)",TRUE,"Late evening (20-23)")</f>
        <v>Midday (10-15)</v>
      </c>
    </row>
    <row r="6031" spans="1:9">
      <c r="A6031" s="32">
        <v>42073</v>
      </c>
      <c r="B6031">
        <v>16</v>
      </c>
      <c r="C6031">
        <v>3799</v>
      </c>
      <c r="D6031" t="s">
        <v>304</v>
      </c>
      <c r="E6031">
        <f>YEAR(A6031)</f>
        <v>2015</v>
      </c>
      <c r="F6031" s="33">
        <f>DATE(YEAR(A6031),MONTH(A6031),1)</f>
        <v>42064.0</v>
      </c>
      <c r="G6031" t="str">
        <f>CHOOSE(WEEKDAY(A6031,2),"Mon","Tue","Wed","Thu","Fri","Sat","Sun")</f>
        <v>Tue</v>
      </c>
      <c r="H6031" t="str">
        <f>IF(WEEKDAY(A6031,2)&gt;5,"Weekend","Weekday")</f>
        <v>Weekday</v>
      </c>
      <c r="I6031" t="str">
        <f>_xlfn.IFS(B6031&lt;=5,"Night (0-5)",B6031&lt;=9,"Morning peak (6-9)",B6031&lt;=15,"Midday (10-15)",B6031&lt;=19,"Evening peak (16-19)",TRUE,"Late evening (20-23)")</f>
        <v>Evening peak (16-19)</v>
      </c>
    </row>
    <row r="6032" spans="1:9">
      <c r="A6032" s="32">
        <v>42073</v>
      </c>
      <c r="B6032">
        <v>17</v>
      </c>
      <c r="C6032">
        <v>4962</v>
      </c>
      <c r="D6032" t="s">
        <v>304</v>
      </c>
      <c r="E6032">
        <f>YEAR(A6032)</f>
        <v>2015</v>
      </c>
      <c r="F6032" s="33">
        <f>DATE(YEAR(A6032),MONTH(A6032),1)</f>
        <v>42064.0</v>
      </c>
      <c r="G6032" t="str">
        <f>CHOOSE(WEEKDAY(A6032,2),"Mon","Tue","Wed","Thu","Fri","Sat","Sun")</f>
        <v>Tue</v>
      </c>
      <c r="H6032" t="str">
        <f>IF(WEEKDAY(A6032,2)&gt;5,"Weekend","Weekday")</f>
        <v>Weekday</v>
      </c>
      <c r="I6032" t="str">
        <f>_xlfn.IFS(B6032&lt;=5,"Night (0-5)",B6032&lt;=9,"Morning peak (6-9)",B6032&lt;=15,"Midday (10-15)",B6032&lt;=19,"Evening peak (16-19)",TRUE,"Late evening (20-23)")</f>
        <v>Evening peak (16-19)</v>
      </c>
    </row>
    <row r="6033" spans="1:9">
      <c r="A6033" s="32">
        <v>42073</v>
      </c>
      <c r="B6033">
        <v>18</v>
      </c>
      <c r="C6033">
        <v>6067</v>
      </c>
      <c r="D6033" t="s">
        <v>304</v>
      </c>
      <c r="E6033">
        <f>YEAR(A6033)</f>
        <v>2015</v>
      </c>
      <c r="F6033" s="33">
        <f>DATE(YEAR(A6033),MONTH(A6033),1)</f>
        <v>42064.0</v>
      </c>
      <c r="G6033" t="str">
        <f>CHOOSE(WEEKDAY(A6033,2),"Mon","Tue","Wed","Thu","Fri","Sat","Sun")</f>
        <v>Tue</v>
      </c>
      <c r="H6033" t="str">
        <f>IF(WEEKDAY(A6033,2)&gt;5,"Weekend","Weekday")</f>
        <v>Weekday</v>
      </c>
      <c r="I6033" t="str">
        <f>_xlfn.IFS(B6033&lt;=5,"Night (0-5)",B6033&lt;=9,"Morning peak (6-9)",B6033&lt;=15,"Midday (10-15)",B6033&lt;=19,"Evening peak (16-19)",TRUE,"Late evening (20-23)")</f>
        <v>Evening peak (16-19)</v>
      </c>
    </row>
    <row r="6034" spans="1:9">
      <c r="A6034" s="32">
        <v>42073</v>
      </c>
      <c r="B6034">
        <v>19</v>
      </c>
      <c r="C6034">
        <v>6590</v>
      </c>
      <c r="D6034" t="s">
        <v>304</v>
      </c>
      <c r="E6034">
        <f>YEAR(A6034)</f>
        <v>2015</v>
      </c>
      <c r="F6034" s="33">
        <f>DATE(YEAR(A6034),MONTH(A6034),1)</f>
        <v>42064.0</v>
      </c>
      <c r="G6034" t="str">
        <f>CHOOSE(WEEKDAY(A6034,2),"Mon","Tue","Wed","Thu","Fri","Sat","Sun")</f>
        <v>Tue</v>
      </c>
      <c r="H6034" t="str">
        <f>IF(WEEKDAY(A6034,2)&gt;5,"Weekend","Weekday")</f>
        <v>Weekday</v>
      </c>
      <c r="I6034" t="str">
        <f>_xlfn.IFS(B6034&lt;=5,"Night (0-5)",B6034&lt;=9,"Morning peak (6-9)",B6034&lt;=15,"Midday (10-15)",B6034&lt;=19,"Evening peak (16-19)",TRUE,"Late evening (20-23)")</f>
        <v>Evening peak (16-19)</v>
      </c>
    </row>
    <row r="6035" spans="1:9">
      <c r="A6035" s="32">
        <v>42073</v>
      </c>
      <c r="B6035">
        <v>20</v>
      </c>
      <c r="C6035">
        <v>6478</v>
      </c>
      <c r="D6035" t="s">
        <v>304</v>
      </c>
      <c r="E6035">
        <f>YEAR(A6035)</f>
        <v>2015</v>
      </c>
      <c r="F6035" s="33">
        <f>DATE(YEAR(A6035),MONTH(A6035),1)</f>
        <v>42064.0</v>
      </c>
      <c r="G6035" t="str">
        <f>CHOOSE(WEEKDAY(A6035,2),"Mon","Tue","Wed","Thu","Fri","Sat","Sun")</f>
        <v>Tue</v>
      </c>
      <c r="H6035" t="str">
        <f>IF(WEEKDAY(A6035,2)&gt;5,"Weekend","Weekday")</f>
        <v>Weekday</v>
      </c>
      <c r="I6035" t="str">
        <f>_xlfn.IFS(B6035&lt;=5,"Night (0-5)",B6035&lt;=9,"Morning peak (6-9)",B6035&lt;=15,"Midday (10-15)",B6035&lt;=19,"Evening peak (16-19)",TRUE,"Late evening (20-23)")</f>
        <v>Late evening (20-23)</v>
      </c>
    </row>
    <row r="6036" spans="1:9">
      <c r="A6036" s="32">
        <v>42073</v>
      </c>
      <c r="B6036">
        <v>21</v>
      </c>
      <c r="C6036">
        <v>6126</v>
      </c>
      <c r="D6036" t="s">
        <v>304</v>
      </c>
      <c r="E6036">
        <f>YEAR(A6036)</f>
        <v>2015</v>
      </c>
      <c r="F6036" s="33">
        <f>DATE(YEAR(A6036),MONTH(A6036),1)</f>
        <v>42064.0</v>
      </c>
      <c r="G6036" t="str">
        <f>CHOOSE(WEEKDAY(A6036,2),"Mon","Tue","Wed","Thu","Fri","Sat","Sun")</f>
        <v>Tue</v>
      </c>
      <c r="H6036" t="str">
        <f>IF(WEEKDAY(A6036,2)&gt;5,"Weekend","Weekday")</f>
        <v>Weekday</v>
      </c>
      <c r="I6036" t="str">
        <f>_xlfn.IFS(B6036&lt;=5,"Night (0-5)",B6036&lt;=9,"Morning peak (6-9)",B6036&lt;=15,"Midday (10-15)",B6036&lt;=19,"Evening peak (16-19)",TRUE,"Late evening (20-23)")</f>
        <v>Late evening (20-23)</v>
      </c>
    </row>
    <row r="6037" spans="1:9">
      <c r="A6037" s="32">
        <v>42073</v>
      </c>
      <c r="B6037">
        <v>22</v>
      </c>
      <c r="C6037">
        <v>5440</v>
      </c>
      <c r="D6037" t="s">
        <v>304</v>
      </c>
      <c r="E6037">
        <f>YEAR(A6037)</f>
        <v>2015</v>
      </c>
      <c r="F6037" s="33">
        <f>DATE(YEAR(A6037),MONTH(A6037),1)</f>
        <v>42064.0</v>
      </c>
      <c r="G6037" t="str">
        <f>CHOOSE(WEEKDAY(A6037,2),"Mon","Tue","Wed","Thu","Fri","Sat","Sun")</f>
        <v>Tue</v>
      </c>
      <c r="H6037" t="str">
        <f>IF(WEEKDAY(A6037,2)&gt;5,"Weekend","Weekday")</f>
        <v>Weekday</v>
      </c>
      <c r="I6037" t="str">
        <f>_xlfn.IFS(B6037&lt;=5,"Night (0-5)",B6037&lt;=9,"Morning peak (6-9)",B6037&lt;=15,"Midday (10-15)",B6037&lt;=19,"Evening peak (16-19)",TRUE,"Late evening (20-23)")</f>
        <v>Late evening (20-23)</v>
      </c>
    </row>
    <row r="6038" spans="1:9">
      <c r="A6038" s="32">
        <v>42073</v>
      </c>
      <c r="B6038">
        <v>23</v>
      </c>
      <c r="C6038">
        <v>3682</v>
      </c>
      <c r="D6038" t="s">
        <v>304</v>
      </c>
      <c r="E6038">
        <f>YEAR(A6038)</f>
        <v>2015</v>
      </c>
      <c r="F6038" s="33">
        <f>DATE(YEAR(A6038),MONTH(A6038),1)</f>
        <v>42064.0</v>
      </c>
      <c r="G6038" t="str">
        <f>CHOOSE(WEEKDAY(A6038,2),"Mon","Tue","Wed","Thu","Fri","Sat","Sun")</f>
        <v>Tue</v>
      </c>
      <c r="H6038" t="str">
        <f>IF(WEEKDAY(A6038,2)&gt;5,"Weekend","Weekday")</f>
        <v>Weekday</v>
      </c>
      <c r="I6038" t="str">
        <f>_xlfn.IFS(B6038&lt;=5,"Night (0-5)",B6038&lt;=9,"Morning peak (6-9)",B6038&lt;=15,"Midday (10-15)",B6038&lt;=19,"Evening peak (16-19)",TRUE,"Late evening (20-23)")</f>
        <v>Late evening (20-23)</v>
      </c>
    </row>
    <row r="6039" spans="1:9">
      <c r="A6039" s="32">
        <v>42074</v>
      </c>
      <c r="B6039">
        <v>0</v>
      </c>
      <c r="C6039">
        <v>1892</v>
      </c>
      <c r="D6039" t="s">
        <v>304</v>
      </c>
      <c r="E6039">
        <f>YEAR(A6039)</f>
        <v>2015</v>
      </c>
      <c r="F6039" s="33">
        <f>DATE(YEAR(A6039),MONTH(A6039),1)</f>
        <v>42064.0</v>
      </c>
      <c r="G6039" t="str">
        <f>CHOOSE(WEEKDAY(A6039,2),"Mon","Tue","Wed","Thu","Fri","Sat","Sun")</f>
        <v>Wed</v>
      </c>
      <c r="H6039" t="str">
        <f>IF(WEEKDAY(A6039,2)&gt;5,"Weekend","Weekday")</f>
        <v>Weekday</v>
      </c>
      <c r="I6039" t="str">
        <f>_xlfn.IFS(B6039&lt;=5,"Night (0-5)",B6039&lt;=9,"Morning peak (6-9)",B6039&lt;=15,"Midday (10-15)",B6039&lt;=19,"Evening peak (16-19)",TRUE,"Late evening (20-23)")</f>
        <v>Night (0-5)</v>
      </c>
    </row>
    <row r="6040" spans="1:9">
      <c r="A6040" s="32">
        <v>42074</v>
      </c>
      <c r="B6040">
        <v>1</v>
      </c>
      <c r="C6040">
        <v>1000</v>
      </c>
      <c r="D6040" t="s">
        <v>304</v>
      </c>
      <c r="E6040">
        <f>YEAR(A6040)</f>
        <v>2015</v>
      </c>
      <c r="F6040" s="33">
        <f>DATE(YEAR(A6040),MONTH(A6040),1)</f>
        <v>42064.0</v>
      </c>
      <c r="G6040" t="str">
        <f>CHOOSE(WEEKDAY(A6040,2),"Mon","Tue","Wed","Thu","Fri","Sat","Sun")</f>
        <v>Wed</v>
      </c>
      <c r="H6040" t="str">
        <f>IF(WEEKDAY(A6040,2)&gt;5,"Weekend","Weekday")</f>
        <v>Weekday</v>
      </c>
      <c r="I6040" t="str">
        <f>_xlfn.IFS(B6040&lt;=5,"Night (0-5)",B6040&lt;=9,"Morning peak (6-9)",B6040&lt;=15,"Midday (10-15)",B6040&lt;=19,"Evening peak (16-19)",TRUE,"Late evening (20-23)")</f>
        <v>Night (0-5)</v>
      </c>
    </row>
    <row r="6041" spans="1:9">
      <c r="A6041" s="32">
        <v>42074</v>
      </c>
      <c r="B6041">
        <v>2</v>
      </c>
      <c r="C6041">
        <v>565</v>
      </c>
      <c r="D6041" t="s">
        <v>304</v>
      </c>
      <c r="E6041">
        <f>YEAR(A6041)</f>
        <v>2015</v>
      </c>
      <c r="F6041" s="33">
        <f>DATE(YEAR(A6041),MONTH(A6041),1)</f>
        <v>42064.0</v>
      </c>
      <c r="G6041" t="str">
        <f>CHOOSE(WEEKDAY(A6041,2),"Mon","Tue","Wed","Thu","Fri","Sat","Sun")</f>
        <v>Wed</v>
      </c>
      <c r="H6041" t="str">
        <f>IF(WEEKDAY(A6041,2)&gt;5,"Weekend","Weekday")</f>
        <v>Weekday</v>
      </c>
      <c r="I6041" t="str">
        <f>_xlfn.IFS(B6041&lt;=5,"Night (0-5)",B6041&lt;=9,"Morning peak (6-9)",B6041&lt;=15,"Midday (10-15)",B6041&lt;=19,"Evening peak (16-19)",TRUE,"Late evening (20-23)")</f>
        <v>Night (0-5)</v>
      </c>
    </row>
    <row r="6042" spans="1:9">
      <c r="A6042" s="32">
        <v>42074</v>
      </c>
      <c r="B6042">
        <v>3</v>
      </c>
      <c r="C6042">
        <v>353</v>
      </c>
      <c r="D6042" t="s">
        <v>304</v>
      </c>
      <c r="E6042">
        <f>YEAR(A6042)</f>
        <v>2015</v>
      </c>
      <c r="F6042" s="33">
        <f>DATE(YEAR(A6042),MONTH(A6042),1)</f>
        <v>42064.0</v>
      </c>
      <c r="G6042" t="str">
        <f>CHOOSE(WEEKDAY(A6042,2),"Mon","Tue","Wed","Thu","Fri","Sat","Sun")</f>
        <v>Wed</v>
      </c>
      <c r="H6042" t="str">
        <f>IF(WEEKDAY(A6042,2)&gt;5,"Weekend","Weekday")</f>
        <v>Weekday</v>
      </c>
      <c r="I6042" t="str">
        <f>_xlfn.IFS(B6042&lt;=5,"Night (0-5)",B6042&lt;=9,"Morning peak (6-9)",B6042&lt;=15,"Midday (10-15)",B6042&lt;=19,"Evening peak (16-19)",TRUE,"Late evening (20-23)")</f>
        <v>Night (0-5)</v>
      </c>
    </row>
    <row r="6043" spans="1:9">
      <c r="A6043" s="32">
        <v>42074</v>
      </c>
      <c r="B6043">
        <v>4</v>
      </c>
      <c r="C6043">
        <v>524</v>
      </c>
      <c r="D6043" t="s">
        <v>304</v>
      </c>
      <c r="E6043">
        <f>YEAR(A6043)</f>
        <v>2015</v>
      </c>
      <c r="F6043" s="33">
        <f>DATE(YEAR(A6043),MONTH(A6043),1)</f>
        <v>42064.0</v>
      </c>
      <c r="G6043" t="str">
        <f>CHOOSE(WEEKDAY(A6043,2),"Mon","Tue","Wed","Thu","Fri","Sat","Sun")</f>
        <v>Wed</v>
      </c>
      <c r="H6043" t="str">
        <f>IF(WEEKDAY(A6043,2)&gt;5,"Weekend","Weekday")</f>
        <v>Weekday</v>
      </c>
      <c r="I6043" t="str">
        <f>_xlfn.IFS(B6043&lt;=5,"Night (0-5)",B6043&lt;=9,"Morning peak (6-9)",B6043&lt;=15,"Midday (10-15)",B6043&lt;=19,"Evening peak (16-19)",TRUE,"Late evening (20-23)")</f>
        <v>Night (0-5)</v>
      </c>
    </row>
    <row r="6044" spans="1:9">
      <c r="A6044" s="32">
        <v>42074</v>
      </c>
      <c r="B6044">
        <v>5</v>
      </c>
      <c r="C6044">
        <v>917</v>
      </c>
      <c r="D6044" t="s">
        <v>304</v>
      </c>
      <c r="E6044">
        <f>YEAR(A6044)</f>
        <v>2015</v>
      </c>
      <c r="F6044" s="33">
        <f>DATE(YEAR(A6044),MONTH(A6044),1)</f>
        <v>42064.0</v>
      </c>
      <c r="G6044" t="str">
        <f>CHOOSE(WEEKDAY(A6044,2),"Mon","Tue","Wed","Thu","Fri","Sat","Sun")</f>
        <v>Wed</v>
      </c>
      <c r="H6044" t="str">
        <f>IF(WEEKDAY(A6044,2)&gt;5,"Weekend","Weekday")</f>
        <v>Weekday</v>
      </c>
      <c r="I6044" t="str">
        <f>_xlfn.IFS(B6044&lt;=5,"Night (0-5)",B6044&lt;=9,"Morning peak (6-9)",B6044&lt;=15,"Midday (10-15)",B6044&lt;=19,"Evening peak (16-19)",TRUE,"Late evening (20-23)")</f>
        <v>Night (0-5)</v>
      </c>
    </row>
    <row r="6045" spans="1:9">
      <c r="A6045" s="32">
        <v>42074</v>
      </c>
      <c r="B6045">
        <v>6</v>
      </c>
      <c r="C6045">
        <v>1430</v>
      </c>
      <c r="D6045" t="s">
        <v>304</v>
      </c>
      <c r="E6045">
        <f>YEAR(A6045)</f>
        <v>2015</v>
      </c>
      <c r="F6045" s="33">
        <f>DATE(YEAR(A6045),MONTH(A6045),1)</f>
        <v>42064.0</v>
      </c>
      <c r="G6045" t="str">
        <f>CHOOSE(WEEKDAY(A6045,2),"Mon","Tue","Wed","Thu","Fri","Sat","Sun")</f>
        <v>Wed</v>
      </c>
      <c r="H6045" t="str">
        <f>IF(WEEKDAY(A6045,2)&gt;5,"Weekend","Weekday")</f>
        <v>Weekday</v>
      </c>
      <c r="I6045" t="str">
        <f>_xlfn.IFS(B6045&lt;=5,"Night (0-5)",B6045&lt;=9,"Morning peak (6-9)",B6045&lt;=15,"Midday (10-15)",B6045&lt;=19,"Evening peak (16-19)",TRUE,"Late evening (20-23)")</f>
        <v>Morning peak (6-9)</v>
      </c>
    </row>
    <row r="6046" spans="1:9">
      <c r="A6046" s="32">
        <v>42074</v>
      </c>
      <c r="B6046">
        <v>7</v>
      </c>
      <c r="C6046">
        <v>2612</v>
      </c>
      <c r="D6046" t="s">
        <v>304</v>
      </c>
      <c r="E6046">
        <f>YEAR(A6046)</f>
        <v>2015</v>
      </c>
      <c r="F6046" s="33">
        <f>DATE(YEAR(A6046),MONTH(A6046),1)</f>
        <v>42064.0</v>
      </c>
      <c r="G6046" t="str">
        <f>CHOOSE(WEEKDAY(A6046,2),"Mon","Tue","Wed","Thu","Fri","Sat","Sun")</f>
        <v>Wed</v>
      </c>
      <c r="H6046" t="str">
        <f>IF(WEEKDAY(A6046,2)&gt;5,"Weekend","Weekday")</f>
        <v>Weekday</v>
      </c>
      <c r="I6046" t="str">
        <f>_xlfn.IFS(B6046&lt;=5,"Night (0-5)",B6046&lt;=9,"Morning peak (6-9)",B6046&lt;=15,"Midday (10-15)",B6046&lt;=19,"Evening peak (16-19)",TRUE,"Late evening (20-23)")</f>
        <v>Morning peak (6-9)</v>
      </c>
    </row>
    <row r="6047" spans="1:9">
      <c r="A6047" s="32">
        <v>42074</v>
      </c>
      <c r="B6047">
        <v>8</v>
      </c>
      <c r="C6047">
        <v>3594</v>
      </c>
      <c r="D6047" t="s">
        <v>304</v>
      </c>
      <c r="E6047">
        <f>YEAR(A6047)</f>
        <v>2015</v>
      </c>
      <c r="F6047" s="33">
        <f>DATE(YEAR(A6047),MONTH(A6047),1)</f>
        <v>42064.0</v>
      </c>
      <c r="G6047" t="str">
        <f>CHOOSE(WEEKDAY(A6047,2),"Mon","Tue","Wed","Thu","Fri","Sat","Sun")</f>
        <v>Wed</v>
      </c>
      <c r="H6047" t="str">
        <f>IF(WEEKDAY(A6047,2)&gt;5,"Weekend","Weekday")</f>
        <v>Weekday</v>
      </c>
      <c r="I6047" t="str">
        <f>_xlfn.IFS(B6047&lt;=5,"Night (0-5)",B6047&lt;=9,"Morning peak (6-9)",B6047&lt;=15,"Midday (10-15)",B6047&lt;=19,"Evening peak (16-19)",TRUE,"Late evening (20-23)")</f>
        <v>Morning peak (6-9)</v>
      </c>
    </row>
    <row r="6048" spans="1:9">
      <c r="A6048" s="32">
        <v>42074</v>
      </c>
      <c r="B6048">
        <v>9</v>
      </c>
      <c r="C6048">
        <v>3259</v>
      </c>
      <c r="D6048" t="s">
        <v>304</v>
      </c>
      <c r="E6048">
        <f>YEAR(A6048)</f>
        <v>2015</v>
      </c>
      <c r="F6048" s="33">
        <f>DATE(YEAR(A6048),MONTH(A6048),1)</f>
        <v>42064.0</v>
      </c>
      <c r="G6048" t="str">
        <f>CHOOSE(WEEKDAY(A6048,2),"Mon","Tue","Wed","Thu","Fri","Sat","Sun")</f>
        <v>Wed</v>
      </c>
      <c r="H6048" t="str">
        <f>IF(WEEKDAY(A6048,2)&gt;5,"Weekend","Weekday")</f>
        <v>Weekday</v>
      </c>
      <c r="I6048" t="str">
        <f>_xlfn.IFS(B6048&lt;=5,"Night (0-5)",B6048&lt;=9,"Morning peak (6-9)",B6048&lt;=15,"Midday (10-15)",B6048&lt;=19,"Evening peak (16-19)",TRUE,"Late evening (20-23)")</f>
        <v>Morning peak (6-9)</v>
      </c>
    </row>
    <row r="6049" spans="1:9">
      <c r="A6049" s="32">
        <v>42074</v>
      </c>
      <c r="B6049">
        <v>10</v>
      </c>
      <c r="C6049">
        <v>2469</v>
      </c>
      <c r="D6049" t="s">
        <v>304</v>
      </c>
      <c r="E6049">
        <f>YEAR(A6049)</f>
        <v>2015</v>
      </c>
      <c r="F6049" s="33">
        <f>DATE(YEAR(A6049),MONTH(A6049),1)</f>
        <v>42064.0</v>
      </c>
      <c r="G6049" t="str">
        <f>CHOOSE(WEEKDAY(A6049,2),"Mon","Tue","Wed","Thu","Fri","Sat","Sun")</f>
        <v>Wed</v>
      </c>
      <c r="H6049" t="str">
        <f>IF(WEEKDAY(A6049,2)&gt;5,"Weekend","Weekday")</f>
        <v>Weekday</v>
      </c>
      <c r="I6049" t="str">
        <f>_xlfn.IFS(B6049&lt;=5,"Night (0-5)",B6049&lt;=9,"Morning peak (6-9)",B6049&lt;=15,"Midday (10-15)",B6049&lt;=19,"Evening peak (16-19)",TRUE,"Late evening (20-23)")</f>
        <v>Midday (10-15)</v>
      </c>
    </row>
    <row r="6050" spans="1:9">
      <c r="A6050" s="32">
        <v>42074</v>
      </c>
      <c r="B6050">
        <v>11</v>
      </c>
      <c r="C6050">
        <v>2160</v>
      </c>
      <c r="D6050" t="s">
        <v>304</v>
      </c>
      <c r="E6050">
        <f>YEAR(A6050)</f>
        <v>2015</v>
      </c>
      <c r="F6050" s="33">
        <f>DATE(YEAR(A6050),MONTH(A6050),1)</f>
        <v>42064.0</v>
      </c>
      <c r="G6050" t="str">
        <f>CHOOSE(WEEKDAY(A6050,2),"Mon","Tue","Wed","Thu","Fri","Sat","Sun")</f>
        <v>Wed</v>
      </c>
      <c r="H6050" t="str">
        <f>IF(WEEKDAY(A6050,2)&gt;5,"Weekend","Weekday")</f>
        <v>Weekday</v>
      </c>
      <c r="I6050" t="str">
        <f>_xlfn.IFS(B6050&lt;=5,"Night (0-5)",B6050&lt;=9,"Morning peak (6-9)",B6050&lt;=15,"Midday (10-15)",B6050&lt;=19,"Evening peak (16-19)",TRUE,"Late evening (20-23)")</f>
        <v>Midday (10-15)</v>
      </c>
    </row>
    <row r="6051" spans="1:9">
      <c r="A6051" s="32">
        <v>42074</v>
      </c>
      <c r="B6051">
        <v>12</v>
      </c>
      <c r="C6051">
        <v>2189</v>
      </c>
      <c r="D6051" t="s">
        <v>304</v>
      </c>
      <c r="E6051">
        <f>YEAR(A6051)</f>
        <v>2015</v>
      </c>
      <c r="F6051" s="33">
        <f>DATE(YEAR(A6051),MONTH(A6051),1)</f>
        <v>42064.0</v>
      </c>
      <c r="G6051" t="str">
        <f>CHOOSE(WEEKDAY(A6051,2),"Mon","Tue","Wed","Thu","Fri","Sat","Sun")</f>
        <v>Wed</v>
      </c>
      <c r="H6051" t="str">
        <f>IF(WEEKDAY(A6051,2)&gt;5,"Weekend","Weekday")</f>
        <v>Weekday</v>
      </c>
      <c r="I6051" t="str">
        <f>_xlfn.IFS(B6051&lt;=5,"Night (0-5)",B6051&lt;=9,"Morning peak (6-9)",B6051&lt;=15,"Midday (10-15)",B6051&lt;=19,"Evening peak (16-19)",TRUE,"Late evening (20-23)")</f>
        <v>Midday (10-15)</v>
      </c>
    </row>
    <row r="6052" spans="1:9">
      <c r="A6052" s="32">
        <v>42074</v>
      </c>
      <c r="B6052">
        <v>13</v>
      </c>
      <c r="C6052">
        <v>2153</v>
      </c>
      <c r="D6052" t="s">
        <v>304</v>
      </c>
      <c r="E6052">
        <f>YEAR(A6052)</f>
        <v>2015</v>
      </c>
      <c r="F6052" s="33">
        <f>DATE(YEAR(A6052),MONTH(A6052),1)</f>
        <v>42064.0</v>
      </c>
      <c r="G6052" t="str">
        <f>CHOOSE(WEEKDAY(A6052,2),"Mon","Tue","Wed","Thu","Fri","Sat","Sun")</f>
        <v>Wed</v>
      </c>
      <c r="H6052" t="str">
        <f>IF(WEEKDAY(A6052,2)&gt;5,"Weekend","Weekday")</f>
        <v>Weekday</v>
      </c>
      <c r="I6052" t="str">
        <f>_xlfn.IFS(B6052&lt;=5,"Night (0-5)",B6052&lt;=9,"Morning peak (6-9)",B6052&lt;=15,"Midday (10-15)",B6052&lt;=19,"Evening peak (16-19)",TRUE,"Late evening (20-23)")</f>
        <v>Midday (10-15)</v>
      </c>
    </row>
    <row r="6053" spans="1:9">
      <c r="A6053" s="32">
        <v>42074</v>
      </c>
      <c r="B6053">
        <v>14</v>
      </c>
      <c r="C6053">
        <v>2387</v>
      </c>
      <c r="D6053" t="s">
        <v>304</v>
      </c>
      <c r="E6053">
        <f>YEAR(A6053)</f>
        <v>2015</v>
      </c>
      <c r="F6053" s="33">
        <f>DATE(YEAR(A6053),MONTH(A6053),1)</f>
        <v>42064.0</v>
      </c>
      <c r="G6053" t="str">
        <f>CHOOSE(WEEKDAY(A6053,2),"Mon","Tue","Wed","Thu","Fri","Sat","Sun")</f>
        <v>Wed</v>
      </c>
      <c r="H6053" t="str">
        <f>IF(WEEKDAY(A6053,2)&gt;5,"Weekend","Weekday")</f>
        <v>Weekday</v>
      </c>
      <c r="I6053" t="str">
        <f>_xlfn.IFS(B6053&lt;=5,"Night (0-5)",B6053&lt;=9,"Morning peak (6-9)",B6053&lt;=15,"Midday (10-15)",B6053&lt;=19,"Evening peak (16-19)",TRUE,"Late evening (20-23)")</f>
        <v>Midday (10-15)</v>
      </c>
    </row>
    <row r="6054" spans="1:9">
      <c r="A6054" s="32">
        <v>42074</v>
      </c>
      <c r="B6054">
        <v>15</v>
      </c>
      <c r="C6054">
        <v>2879</v>
      </c>
      <c r="D6054" t="s">
        <v>304</v>
      </c>
      <c r="E6054">
        <f>YEAR(A6054)</f>
        <v>2015</v>
      </c>
      <c r="F6054" s="33">
        <f>DATE(YEAR(A6054),MONTH(A6054),1)</f>
        <v>42064.0</v>
      </c>
      <c r="G6054" t="str">
        <f>CHOOSE(WEEKDAY(A6054,2),"Mon","Tue","Wed","Thu","Fri","Sat","Sun")</f>
        <v>Wed</v>
      </c>
      <c r="H6054" t="str">
        <f>IF(WEEKDAY(A6054,2)&gt;5,"Weekend","Weekday")</f>
        <v>Weekday</v>
      </c>
      <c r="I6054" t="str">
        <f>_xlfn.IFS(B6054&lt;=5,"Night (0-5)",B6054&lt;=9,"Morning peak (6-9)",B6054&lt;=15,"Midday (10-15)",B6054&lt;=19,"Evening peak (16-19)",TRUE,"Late evening (20-23)")</f>
        <v>Midday (10-15)</v>
      </c>
    </row>
    <row r="6055" spans="1:9">
      <c r="A6055" s="32">
        <v>42074</v>
      </c>
      <c r="B6055">
        <v>16</v>
      </c>
      <c r="C6055">
        <v>3524</v>
      </c>
      <c r="D6055" t="s">
        <v>304</v>
      </c>
      <c r="E6055">
        <f>YEAR(A6055)</f>
        <v>2015</v>
      </c>
      <c r="F6055" s="33">
        <f>DATE(YEAR(A6055),MONTH(A6055),1)</f>
        <v>42064.0</v>
      </c>
      <c r="G6055" t="str">
        <f>CHOOSE(WEEKDAY(A6055,2),"Mon","Tue","Wed","Thu","Fri","Sat","Sun")</f>
        <v>Wed</v>
      </c>
      <c r="H6055" t="str">
        <f>IF(WEEKDAY(A6055,2)&gt;5,"Weekend","Weekday")</f>
        <v>Weekday</v>
      </c>
      <c r="I6055" t="str">
        <f>_xlfn.IFS(B6055&lt;=5,"Night (0-5)",B6055&lt;=9,"Morning peak (6-9)",B6055&lt;=15,"Midday (10-15)",B6055&lt;=19,"Evening peak (16-19)",TRUE,"Late evening (20-23)")</f>
        <v>Evening peak (16-19)</v>
      </c>
    </row>
    <row r="6056" spans="1:9">
      <c r="A6056" s="32">
        <v>42074</v>
      </c>
      <c r="B6056">
        <v>17</v>
      </c>
      <c r="C6056">
        <v>4256</v>
      </c>
      <c r="D6056" t="s">
        <v>304</v>
      </c>
      <c r="E6056">
        <f>YEAR(A6056)</f>
        <v>2015</v>
      </c>
      <c r="F6056" s="33">
        <f>DATE(YEAR(A6056),MONTH(A6056),1)</f>
        <v>42064.0</v>
      </c>
      <c r="G6056" t="str">
        <f>CHOOSE(WEEKDAY(A6056,2),"Mon","Tue","Wed","Thu","Fri","Sat","Sun")</f>
        <v>Wed</v>
      </c>
      <c r="H6056" t="str">
        <f>IF(WEEKDAY(A6056,2)&gt;5,"Weekend","Weekday")</f>
        <v>Weekday</v>
      </c>
      <c r="I6056" t="str">
        <f>_xlfn.IFS(B6056&lt;=5,"Night (0-5)",B6056&lt;=9,"Morning peak (6-9)",B6056&lt;=15,"Midday (10-15)",B6056&lt;=19,"Evening peak (16-19)",TRUE,"Late evening (20-23)")</f>
        <v>Evening peak (16-19)</v>
      </c>
    </row>
    <row r="6057" spans="1:9">
      <c r="A6057" s="32">
        <v>42074</v>
      </c>
      <c r="B6057">
        <v>18</v>
      </c>
      <c r="C6057">
        <v>4791</v>
      </c>
      <c r="D6057" t="s">
        <v>304</v>
      </c>
      <c r="E6057">
        <f>YEAR(A6057)</f>
        <v>2015</v>
      </c>
      <c r="F6057" s="33">
        <f>DATE(YEAR(A6057),MONTH(A6057),1)</f>
        <v>42064.0</v>
      </c>
      <c r="G6057" t="str">
        <f>CHOOSE(WEEKDAY(A6057,2),"Mon","Tue","Wed","Thu","Fri","Sat","Sun")</f>
        <v>Wed</v>
      </c>
      <c r="H6057" t="str">
        <f>IF(WEEKDAY(A6057,2)&gt;5,"Weekend","Weekday")</f>
        <v>Weekday</v>
      </c>
      <c r="I6057" t="str">
        <f>_xlfn.IFS(B6057&lt;=5,"Night (0-5)",B6057&lt;=9,"Morning peak (6-9)",B6057&lt;=15,"Midday (10-15)",B6057&lt;=19,"Evening peak (16-19)",TRUE,"Late evening (20-23)")</f>
        <v>Evening peak (16-19)</v>
      </c>
    </row>
    <row r="6058" spans="1:9">
      <c r="A6058" s="32">
        <v>42074</v>
      </c>
      <c r="B6058">
        <v>19</v>
      </c>
      <c r="C6058">
        <v>5132</v>
      </c>
      <c r="D6058" t="s">
        <v>304</v>
      </c>
      <c r="E6058">
        <f>YEAR(A6058)</f>
        <v>2015</v>
      </c>
      <c r="F6058" s="33">
        <f>DATE(YEAR(A6058),MONTH(A6058),1)</f>
        <v>42064.0</v>
      </c>
      <c r="G6058" t="str">
        <f>CHOOSE(WEEKDAY(A6058,2),"Mon","Tue","Wed","Thu","Fri","Sat","Sun")</f>
        <v>Wed</v>
      </c>
      <c r="H6058" t="str">
        <f>IF(WEEKDAY(A6058,2)&gt;5,"Weekend","Weekday")</f>
        <v>Weekday</v>
      </c>
      <c r="I6058" t="str">
        <f>_xlfn.IFS(B6058&lt;=5,"Night (0-5)",B6058&lt;=9,"Morning peak (6-9)",B6058&lt;=15,"Midday (10-15)",B6058&lt;=19,"Evening peak (16-19)",TRUE,"Late evening (20-23)")</f>
        <v>Evening peak (16-19)</v>
      </c>
    </row>
    <row r="6059" spans="1:9">
      <c r="A6059" s="32">
        <v>42074</v>
      </c>
      <c r="B6059">
        <v>20</v>
      </c>
      <c r="C6059">
        <v>4925</v>
      </c>
      <c r="D6059" t="s">
        <v>304</v>
      </c>
      <c r="E6059">
        <f>YEAR(A6059)</f>
        <v>2015</v>
      </c>
      <c r="F6059" s="33">
        <f>DATE(YEAR(A6059),MONTH(A6059),1)</f>
        <v>42064.0</v>
      </c>
      <c r="G6059" t="str">
        <f>CHOOSE(WEEKDAY(A6059,2),"Mon","Tue","Wed","Thu","Fri","Sat","Sun")</f>
        <v>Wed</v>
      </c>
      <c r="H6059" t="str">
        <f>IF(WEEKDAY(A6059,2)&gt;5,"Weekend","Weekday")</f>
        <v>Weekday</v>
      </c>
      <c r="I6059" t="str">
        <f>_xlfn.IFS(B6059&lt;=5,"Night (0-5)",B6059&lt;=9,"Morning peak (6-9)",B6059&lt;=15,"Midday (10-15)",B6059&lt;=19,"Evening peak (16-19)",TRUE,"Late evening (20-23)")</f>
        <v>Late evening (20-23)</v>
      </c>
    </row>
    <row r="6060" spans="1:9">
      <c r="A6060" s="32">
        <v>42074</v>
      </c>
      <c r="B6060">
        <v>21</v>
      </c>
      <c r="C6060">
        <v>4679</v>
      </c>
      <c r="D6060" t="s">
        <v>304</v>
      </c>
      <c r="E6060">
        <f>YEAR(A6060)</f>
        <v>2015</v>
      </c>
      <c r="F6060" s="33">
        <f>DATE(YEAR(A6060),MONTH(A6060),1)</f>
        <v>42064.0</v>
      </c>
      <c r="G6060" t="str">
        <f>CHOOSE(WEEKDAY(A6060,2),"Mon","Tue","Wed","Thu","Fri","Sat","Sun")</f>
        <v>Wed</v>
      </c>
      <c r="H6060" t="str">
        <f>IF(WEEKDAY(A6060,2)&gt;5,"Weekend","Weekday")</f>
        <v>Weekday</v>
      </c>
      <c r="I6060" t="str">
        <f>_xlfn.IFS(B6060&lt;=5,"Night (0-5)",B6060&lt;=9,"Morning peak (6-9)",B6060&lt;=15,"Midday (10-15)",B6060&lt;=19,"Evening peak (16-19)",TRUE,"Late evening (20-23)")</f>
        <v>Late evening (20-23)</v>
      </c>
    </row>
    <row r="6061" spans="1:9">
      <c r="A6061" s="32">
        <v>42074</v>
      </c>
      <c r="B6061">
        <v>22</v>
      </c>
      <c r="C6061">
        <v>4279</v>
      </c>
      <c r="D6061" t="s">
        <v>304</v>
      </c>
      <c r="E6061">
        <f>YEAR(A6061)</f>
        <v>2015</v>
      </c>
      <c r="F6061" s="33">
        <f>DATE(YEAR(A6061),MONTH(A6061),1)</f>
        <v>42064.0</v>
      </c>
      <c r="G6061" t="str">
        <f>CHOOSE(WEEKDAY(A6061,2),"Mon","Tue","Wed","Thu","Fri","Sat","Sun")</f>
        <v>Wed</v>
      </c>
      <c r="H6061" t="str">
        <f>IF(WEEKDAY(A6061,2)&gt;5,"Weekend","Weekday")</f>
        <v>Weekday</v>
      </c>
      <c r="I6061" t="str">
        <f>_xlfn.IFS(B6061&lt;=5,"Night (0-5)",B6061&lt;=9,"Morning peak (6-9)",B6061&lt;=15,"Midday (10-15)",B6061&lt;=19,"Evening peak (16-19)",TRUE,"Late evening (20-23)")</f>
        <v>Late evening (20-23)</v>
      </c>
    </row>
    <row r="6062" spans="1:9">
      <c r="A6062" s="32">
        <v>42074</v>
      </c>
      <c r="B6062">
        <v>23</v>
      </c>
      <c r="C6062">
        <v>3346</v>
      </c>
      <c r="D6062" t="s">
        <v>304</v>
      </c>
      <c r="E6062">
        <f>YEAR(A6062)</f>
        <v>2015</v>
      </c>
      <c r="F6062" s="33">
        <f>DATE(YEAR(A6062),MONTH(A6062),1)</f>
        <v>42064.0</v>
      </c>
      <c r="G6062" t="str">
        <f>CHOOSE(WEEKDAY(A6062,2),"Mon","Tue","Wed","Thu","Fri","Sat","Sun")</f>
        <v>Wed</v>
      </c>
      <c r="H6062" t="str">
        <f>IF(WEEKDAY(A6062,2)&gt;5,"Weekend","Weekday")</f>
        <v>Weekday</v>
      </c>
      <c r="I6062" t="str">
        <f>_xlfn.IFS(B6062&lt;=5,"Night (0-5)",B6062&lt;=9,"Morning peak (6-9)",B6062&lt;=15,"Midday (10-15)",B6062&lt;=19,"Evening peak (16-19)",TRUE,"Late evening (20-23)")</f>
        <v>Late evening (20-23)</v>
      </c>
    </row>
    <row r="6063" spans="1:9">
      <c r="A6063" s="32">
        <v>42075</v>
      </c>
      <c r="B6063">
        <v>0</v>
      </c>
      <c r="C6063">
        <v>2107</v>
      </c>
      <c r="D6063" t="s">
        <v>304</v>
      </c>
      <c r="E6063">
        <f>YEAR(A6063)</f>
        <v>2015</v>
      </c>
      <c r="F6063" s="33">
        <f>DATE(YEAR(A6063),MONTH(A6063),1)</f>
        <v>42064.0</v>
      </c>
      <c r="G6063" t="str">
        <f>CHOOSE(WEEKDAY(A6063,2),"Mon","Tue","Wed","Thu","Fri","Sat","Sun")</f>
        <v>Thu</v>
      </c>
      <c r="H6063" t="str">
        <f>IF(WEEKDAY(A6063,2)&gt;5,"Weekend","Weekday")</f>
        <v>Weekday</v>
      </c>
      <c r="I6063" t="str">
        <f>_xlfn.IFS(B6063&lt;=5,"Night (0-5)",B6063&lt;=9,"Morning peak (6-9)",B6063&lt;=15,"Midday (10-15)",B6063&lt;=19,"Evening peak (16-19)",TRUE,"Late evening (20-23)")</f>
        <v>Night (0-5)</v>
      </c>
    </row>
    <row r="6064" spans="1:9">
      <c r="A6064" s="32">
        <v>42075</v>
      </c>
      <c r="B6064">
        <v>1</v>
      </c>
      <c r="C6064">
        <v>1128</v>
      </c>
      <c r="D6064" t="s">
        <v>304</v>
      </c>
      <c r="E6064">
        <f>YEAR(A6064)</f>
        <v>2015</v>
      </c>
      <c r="F6064" s="33">
        <f>DATE(YEAR(A6064),MONTH(A6064),1)</f>
        <v>42064.0</v>
      </c>
      <c r="G6064" t="str">
        <f>CHOOSE(WEEKDAY(A6064,2),"Mon","Tue","Wed","Thu","Fri","Sat","Sun")</f>
        <v>Thu</v>
      </c>
      <c r="H6064" t="str">
        <f>IF(WEEKDAY(A6064,2)&gt;5,"Weekend","Weekday")</f>
        <v>Weekday</v>
      </c>
      <c r="I6064" t="str">
        <f>_xlfn.IFS(B6064&lt;=5,"Night (0-5)",B6064&lt;=9,"Morning peak (6-9)",B6064&lt;=15,"Midday (10-15)",B6064&lt;=19,"Evening peak (16-19)",TRUE,"Late evening (20-23)")</f>
        <v>Night (0-5)</v>
      </c>
    </row>
    <row r="6065" spans="1:9">
      <c r="A6065" s="32">
        <v>42075</v>
      </c>
      <c r="B6065">
        <v>2</v>
      </c>
      <c r="C6065">
        <v>718</v>
      </c>
      <c r="D6065" t="s">
        <v>304</v>
      </c>
      <c r="E6065">
        <f>YEAR(A6065)</f>
        <v>2015</v>
      </c>
      <c r="F6065" s="33">
        <f>DATE(YEAR(A6065),MONTH(A6065),1)</f>
        <v>42064.0</v>
      </c>
      <c r="G6065" t="str">
        <f>CHOOSE(WEEKDAY(A6065,2),"Mon","Tue","Wed","Thu","Fri","Sat","Sun")</f>
        <v>Thu</v>
      </c>
      <c r="H6065" t="str">
        <f>IF(WEEKDAY(A6065,2)&gt;5,"Weekend","Weekday")</f>
        <v>Weekday</v>
      </c>
      <c r="I6065" t="str">
        <f>_xlfn.IFS(B6065&lt;=5,"Night (0-5)",B6065&lt;=9,"Morning peak (6-9)",B6065&lt;=15,"Midday (10-15)",B6065&lt;=19,"Evening peak (16-19)",TRUE,"Late evening (20-23)")</f>
        <v>Night (0-5)</v>
      </c>
    </row>
    <row r="6066" spans="1:9">
      <c r="A6066" s="32">
        <v>42075</v>
      </c>
      <c r="B6066">
        <v>3</v>
      </c>
      <c r="C6066">
        <v>482</v>
      </c>
      <c r="D6066" t="s">
        <v>304</v>
      </c>
      <c r="E6066">
        <f>YEAR(A6066)</f>
        <v>2015</v>
      </c>
      <c r="F6066" s="33">
        <f>DATE(YEAR(A6066),MONTH(A6066),1)</f>
        <v>42064.0</v>
      </c>
      <c r="G6066" t="str">
        <f>CHOOSE(WEEKDAY(A6066,2),"Mon","Tue","Wed","Thu","Fri","Sat","Sun")</f>
        <v>Thu</v>
      </c>
      <c r="H6066" t="str">
        <f>IF(WEEKDAY(A6066,2)&gt;5,"Weekend","Weekday")</f>
        <v>Weekday</v>
      </c>
      <c r="I6066" t="str">
        <f>_xlfn.IFS(B6066&lt;=5,"Night (0-5)",B6066&lt;=9,"Morning peak (6-9)",B6066&lt;=15,"Midday (10-15)",B6066&lt;=19,"Evening peak (16-19)",TRUE,"Late evening (20-23)")</f>
        <v>Night (0-5)</v>
      </c>
    </row>
    <row r="6067" spans="1:9">
      <c r="A6067" s="32">
        <v>42075</v>
      </c>
      <c r="B6067">
        <v>4</v>
      </c>
      <c r="C6067">
        <v>670</v>
      </c>
      <c r="D6067" t="s">
        <v>304</v>
      </c>
      <c r="E6067">
        <f>YEAR(A6067)</f>
        <v>2015</v>
      </c>
      <c r="F6067" s="33">
        <f>DATE(YEAR(A6067),MONTH(A6067),1)</f>
        <v>42064.0</v>
      </c>
      <c r="G6067" t="str">
        <f>CHOOSE(WEEKDAY(A6067,2),"Mon","Tue","Wed","Thu","Fri","Sat","Sun")</f>
        <v>Thu</v>
      </c>
      <c r="H6067" t="str">
        <f>IF(WEEKDAY(A6067,2)&gt;5,"Weekend","Weekday")</f>
        <v>Weekday</v>
      </c>
      <c r="I6067" t="str">
        <f>_xlfn.IFS(B6067&lt;=5,"Night (0-5)",B6067&lt;=9,"Morning peak (6-9)",B6067&lt;=15,"Midday (10-15)",B6067&lt;=19,"Evening peak (16-19)",TRUE,"Late evening (20-23)")</f>
        <v>Night (0-5)</v>
      </c>
    </row>
    <row r="6068" spans="1:9">
      <c r="A6068" s="32">
        <v>42075</v>
      </c>
      <c r="B6068">
        <v>5</v>
      </c>
      <c r="C6068">
        <v>938</v>
      </c>
      <c r="D6068" t="s">
        <v>304</v>
      </c>
      <c r="E6068">
        <f>YEAR(A6068)</f>
        <v>2015</v>
      </c>
      <c r="F6068" s="33">
        <f>DATE(YEAR(A6068),MONTH(A6068),1)</f>
        <v>42064.0</v>
      </c>
      <c r="G6068" t="str">
        <f>CHOOSE(WEEKDAY(A6068,2),"Mon","Tue","Wed","Thu","Fri","Sat","Sun")</f>
        <v>Thu</v>
      </c>
      <c r="H6068" t="str">
        <f>IF(WEEKDAY(A6068,2)&gt;5,"Weekend","Weekday")</f>
        <v>Weekday</v>
      </c>
      <c r="I6068" t="str">
        <f>_xlfn.IFS(B6068&lt;=5,"Night (0-5)",B6068&lt;=9,"Morning peak (6-9)",B6068&lt;=15,"Midday (10-15)",B6068&lt;=19,"Evening peak (16-19)",TRUE,"Late evening (20-23)")</f>
        <v>Night (0-5)</v>
      </c>
    </row>
    <row r="6069" spans="1:9">
      <c r="A6069" s="32">
        <v>42075</v>
      </c>
      <c r="B6069">
        <v>6</v>
      </c>
      <c r="C6069">
        <v>1604</v>
      </c>
      <c r="D6069" t="s">
        <v>304</v>
      </c>
      <c r="E6069">
        <f>YEAR(A6069)</f>
        <v>2015</v>
      </c>
      <c r="F6069" s="33">
        <f>DATE(YEAR(A6069),MONTH(A6069),1)</f>
        <v>42064.0</v>
      </c>
      <c r="G6069" t="str">
        <f>CHOOSE(WEEKDAY(A6069,2),"Mon","Tue","Wed","Thu","Fri","Sat","Sun")</f>
        <v>Thu</v>
      </c>
      <c r="H6069" t="str">
        <f>IF(WEEKDAY(A6069,2)&gt;5,"Weekend","Weekday")</f>
        <v>Weekday</v>
      </c>
      <c r="I6069" t="str">
        <f>_xlfn.IFS(B6069&lt;=5,"Night (0-5)",B6069&lt;=9,"Morning peak (6-9)",B6069&lt;=15,"Midday (10-15)",B6069&lt;=19,"Evening peak (16-19)",TRUE,"Late evening (20-23)")</f>
        <v>Morning peak (6-9)</v>
      </c>
    </row>
    <row r="6070" spans="1:9">
      <c r="A6070" s="32">
        <v>42075</v>
      </c>
      <c r="B6070">
        <v>7</v>
      </c>
      <c r="C6070">
        <v>2690</v>
      </c>
      <c r="D6070" t="s">
        <v>304</v>
      </c>
      <c r="E6070">
        <f>YEAR(A6070)</f>
        <v>2015</v>
      </c>
      <c r="F6070" s="33">
        <f>DATE(YEAR(A6070),MONTH(A6070),1)</f>
        <v>42064.0</v>
      </c>
      <c r="G6070" t="str">
        <f>CHOOSE(WEEKDAY(A6070,2),"Mon","Tue","Wed","Thu","Fri","Sat","Sun")</f>
        <v>Thu</v>
      </c>
      <c r="H6070" t="str">
        <f>IF(WEEKDAY(A6070,2)&gt;5,"Weekend","Weekday")</f>
        <v>Weekday</v>
      </c>
      <c r="I6070" t="str">
        <f>_xlfn.IFS(B6070&lt;=5,"Night (0-5)",B6070&lt;=9,"Morning peak (6-9)",B6070&lt;=15,"Midday (10-15)",B6070&lt;=19,"Evening peak (16-19)",TRUE,"Late evening (20-23)")</f>
        <v>Morning peak (6-9)</v>
      </c>
    </row>
    <row r="6071" spans="1:9">
      <c r="A6071" s="32">
        <v>42075</v>
      </c>
      <c r="B6071">
        <v>8</v>
      </c>
      <c r="C6071">
        <v>3580</v>
      </c>
      <c r="D6071" t="s">
        <v>304</v>
      </c>
      <c r="E6071">
        <f>YEAR(A6071)</f>
        <v>2015</v>
      </c>
      <c r="F6071" s="33">
        <f>DATE(YEAR(A6071),MONTH(A6071),1)</f>
        <v>42064.0</v>
      </c>
      <c r="G6071" t="str">
        <f>CHOOSE(WEEKDAY(A6071,2),"Mon","Tue","Wed","Thu","Fri","Sat","Sun")</f>
        <v>Thu</v>
      </c>
      <c r="H6071" t="str">
        <f>IF(WEEKDAY(A6071,2)&gt;5,"Weekend","Weekday")</f>
        <v>Weekday</v>
      </c>
      <c r="I6071" t="str">
        <f>_xlfn.IFS(B6071&lt;=5,"Night (0-5)",B6071&lt;=9,"Morning peak (6-9)",B6071&lt;=15,"Midday (10-15)",B6071&lt;=19,"Evening peak (16-19)",TRUE,"Late evening (20-23)")</f>
        <v>Morning peak (6-9)</v>
      </c>
    </row>
    <row r="6072" spans="1:9">
      <c r="A6072" s="32">
        <v>42075</v>
      </c>
      <c r="B6072">
        <v>9</v>
      </c>
      <c r="C6072">
        <v>3453</v>
      </c>
      <c r="D6072" t="s">
        <v>304</v>
      </c>
      <c r="E6072">
        <f>YEAR(A6072)</f>
        <v>2015</v>
      </c>
      <c r="F6072" s="33">
        <f>DATE(YEAR(A6072),MONTH(A6072),1)</f>
        <v>42064.0</v>
      </c>
      <c r="G6072" t="str">
        <f>CHOOSE(WEEKDAY(A6072,2),"Mon","Tue","Wed","Thu","Fri","Sat","Sun")</f>
        <v>Thu</v>
      </c>
      <c r="H6072" t="str">
        <f>IF(WEEKDAY(A6072,2)&gt;5,"Weekend","Weekday")</f>
        <v>Weekday</v>
      </c>
      <c r="I6072" t="str">
        <f>_xlfn.IFS(B6072&lt;=5,"Night (0-5)",B6072&lt;=9,"Morning peak (6-9)",B6072&lt;=15,"Midday (10-15)",B6072&lt;=19,"Evening peak (16-19)",TRUE,"Late evening (20-23)")</f>
        <v>Morning peak (6-9)</v>
      </c>
    </row>
    <row r="6073" spans="1:9">
      <c r="A6073" s="32">
        <v>42075</v>
      </c>
      <c r="B6073">
        <v>10</v>
      </c>
      <c r="C6073">
        <v>2664</v>
      </c>
      <c r="D6073" t="s">
        <v>304</v>
      </c>
      <c r="E6073">
        <f>YEAR(A6073)</f>
        <v>2015</v>
      </c>
      <c r="F6073" s="33">
        <f>DATE(YEAR(A6073),MONTH(A6073),1)</f>
        <v>42064.0</v>
      </c>
      <c r="G6073" t="str">
        <f>CHOOSE(WEEKDAY(A6073,2),"Mon","Tue","Wed","Thu","Fri","Sat","Sun")</f>
        <v>Thu</v>
      </c>
      <c r="H6073" t="str">
        <f>IF(WEEKDAY(A6073,2)&gt;5,"Weekend","Weekday")</f>
        <v>Weekday</v>
      </c>
      <c r="I6073" t="str">
        <f>_xlfn.IFS(B6073&lt;=5,"Night (0-5)",B6073&lt;=9,"Morning peak (6-9)",B6073&lt;=15,"Midday (10-15)",B6073&lt;=19,"Evening peak (16-19)",TRUE,"Late evening (20-23)")</f>
        <v>Midday (10-15)</v>
      </c>
    </row>
    <row r="6074" spans="1:9">
      <c r="A6074" s="32">
        <v>42075</v>
      </c>
      <c r="B6074">
        <v>11</v>
      </c>
      <c r="C6074">
        <v>2501</v>
      </c>
      <c r="D6074" t="s">
        <v>304</v>
      </c>
      <c r="E6074">
        <f>YEAR(A6074)</f>
        <v>2015</v>
      </c>
      <c r="F6074" s="33">
        <f>DATE(YEAR(A6074),MONTH(A6074),1)</f>
        <v>42064.0</v>
      </c>
      <c r="G6074" t="str">
        <f>CHOOSE(WEEKDAY(A6074,2),"Mon","Tue","Wed","Thu","Fri","Sat","Sun")</f>
        <v>Thu</v>
      </c>
      <c r="H6074" t="str">
        <f>IF(WEEKDAY(A6074,2)&gt;5,"Weekend","Weekday")</f>
        <v>Weekday</v>
      </c>
      <c r="I6074" t="str">
        <f>_xlfn.IFS(B6074&lt;=5,"Night (0-5)",B6074&lt;=9,"Morning peak (6-9)",B6074&lt;=15,"Midday (10-15)",B6074&lt;=19,"Evening peak (16-19)",TRUE,"Late evening (20-23)")</f>
        <v>Midday (10-15)</v>
      </c>
    </row>
    <row r="6075" spans="1:9">
      <c r="A6075" s="32">
        <v>42075</v>
      </c>
      <c r="B6075">
        <v>12</v>
      </c>
      <c r="C6075">
        <v>2497</v>
      </c>
      <c r="D6075" t="s">
        <v>304</v>
      </c>
      <c r="E6075">
        <f>YEAR(A6075)</f>
        <v>2015</v>
      </c>
      <c r="F6075" s="33">
        <f>DATE(YEAR(A6075),MONTH(A6075),1)</f>
        <v>42064.0</v>
      </c>
      <c r="G6075" t="str">
        <f>CHOOSE(WEEKDAY(A6075,2),"Mon","Tue","Wed","Thu","Fri","Sat","Sun")</f>
        <v>Thu</v>
      </c>
      <c r="H6075" t="str">
        <f>IF(WEEKDAY(A6075,2)&gt;5,"Weekend","Weekday")</f>
        <v>Weekday</v>
      </c>
      <c r="I6075" t="str">
        <f>_xlfn.IFS(B6075&lt;=5,"Night (0-5)",B6075&lt;=9,"Morning peak (6-9)",B6075&lt;=15,"Midday (10-15)",B6075&lt;=19,"Evening peak (16-19)",TRUE,"Late evening (20-23)")</f>
        <v>Midday (10-15)</v>
      </c>
    </row>
    <row r="6076" spans="1:9">
      <c r="A6076" s="32">
        <v>42075</v>
      </c>
      <c r="B6076">
        <v>13</v>
      </c>
      <c r="C6076">
        <v>2364</v>
      </c>
      <c r="D6076" t="s">
        <v>304</v>
      </c>
      <c r="E6076">
        <f>YEAR(A6076)</f>
        <v>2015</v>
      </c>
      <c r="F6076" s="33">
        <f>DATE(YEAR(A6076),MONTH(A6076),1)</f>
        <v>42064.0</v>
      </c>
      <c r="G6076" t="str">
        <f>CHOOSE(WEEKDAY(A6076,2),"Mon","Tue","Wed","Thu","Fri","Sat","Sun")</f>
        <v>Thu</v>
      </c>
      <c r="H6076" t="str">
        <f>IF(WEEKDAY(A6076,2)&gt;5,"Weekend","Weekday")</f>
        <v>Weekday</v>
      </c>
      <c r="I6076" t="str">
        <f>_xlfn.IFS(B6076&lt;=5,"Night (0-5)",B6076&lt;=9,"Morning peak (6-9)",B6076&lt;=15,"Midday (10-15)",B6076&lt;=19,"Evening peak (16-19)",TRUE,"Late evening (20-23)")</f>
        <v>Midday (10-15)</v>
      </c>
    </row>
    <row r="6077" spans="1:9">
      <c r="A6077" s="32">
        <v>42075</v>
      </c>
      <c r="B6077">
        <v>14</v>
      </c>
      <c r="C6077">
        <v>2746</v>
      </c>
      <c r="D6077" t="s">
        <v>304</v>
      </c>
      <c r="E6077">
        <f>YEAR(A6077)</f>
        <v>2015</v>
      </c>
      <c r="F6077" s="33">
        <f>DATE(YEAR(A6077),MONTH(A6077),1)</f>
        <v>42064.0</v>
      </c>
      <c r="G6077" t="str">
        <f>CHOOSE(WEEKDAY(A6077,2),"Mon","Tue","Wed","Thu","Fri","Sat","Sun")</f>
        <v>Thu</v>
      </c>
      <c r="H6077" t="str">
        <f>IF(WEEKDAY(A6077,2)&gt;5,"Weekend","Weekday")</f>
        <v>Weekday</v>
      </c>
      <c r="I6077" t="str">
        <f>_xlfn.IFS(B6077&lt;=5,"Night (0-5)",B6077&lt;=9,"Morning peak (6-9)",B6077&lt;=15,"Midday (10-15)",B6077&lt;=19,"Evening peak (16-19)",TRUE,"Late evening (20-23)")</f>
        <v>Midday (10-15)</v>
      </c>
    </row>
    <row r="6078" spans="1:9">
      <c r="A6078" s="32">
        <v>42075</v>
      </c>
      <c r="B6078">
        <v>15</v>
      </c>
      <c r="C6078">
        <v>3219</v>
      </c>
      <c r="D6078" t="s">
        <v>304</v>
      </c>
      <c r="E6078">
        <f>YEAR(A6078)</f>
        <v>2015</v>
      </c>
      <c r="F6078" s="33">
        <f>DATE(YEAR(A6078),MONTH(A6078),1)</f>
        <v>42064.0</v>
      </c>
      <c r="G6078" t="str">
        <f>CHOOSE(WEEKDAY(A6078,2),"Mon","Tue","Wed","Thu","Fri","Sat","Sun")</f>
        <v>Thu</v>
      </c>
      <c r="H6078" t="str">
        <f>IF(WEEKDAY(A6078,2)&gt;5,"Weekend","Weekday")</f>
        <v>Weekday</v>
      </c>
      <c r="I6078" t="str">
        <f>_xlfn.IFS(B6078&lt;=5,"Night (0-5)",B6078&lt;=9,"Morning peak (6-9)",B6078&lt;=15,"Midday (10-15)",B6078&lt;=19,"Evening peak (16-19)",TRUE,"Late evening (20-23)")</f>
        <v>Midday (10-15)</v>
      </c>
    </row>
    <row r="6079" spans="1:9">
      <c r="A6079" s="32">
        <v>42075</v>
      </c>
      <c r="B6079">
        <v>16</v>
      </c>
      <c r="C6079">
        <v>3795</v>
      </c>
      <c r="D6079" t="s">
        <v>304</v>
      </c>
      <c r="E6079">
        <f>YEAR(A6079)</f>
        <v>2015</v>
      </c>
      <c r="F6079" s="33">
        <f>DATE(YEAR(A6079),MONTH(A6079),1)</f>
        <v>42064.0</v>
      </c>
      <c r="G6079" t="str">
        <f>CHOOSE(WEEKDAY(A6079,2),"Mon","Tue","Wed","Thu","Fri","Sat","Sun")</f>
        <v>Thu</v>
      </c>
      <c r="H6079" t="str">
        <f>IF(WEEKDAY(A6079,2)&gt;5,"Weekend","Weekday")</f>
        <v>Weekday</v>
      </c>
      <c r="I6079" t="str">
        <f>_xlfn.IFS(B6079&lt;=5,"Night (0-5)",B6079&lt;=9,"Morning peak (6-9)",B6079&lt;=15,"Midday (10-15)",B6079&lt;=19,"Evening peak (16-19)",TRUE,"Late evening (20-23)")</f>
        <v>Evening peak (16-19)</v>
      </c>
    </row>
    <row r="6080" spans="1:9">
      <c r="A6080" s="32">
        <v>42075</v>
      </c>
      <c r="B6080">
        <v>17</v>
      </c>
      <c r="C6080">
        <v>4448</v>
      </c>
      <c r="D6080" t="s">
        <v>304</v>
      </c>
      <c r="E6080">
        <f>YEAR(A6080)</f>
        <v>2015</v>
      </c>
      <c r="F6080" s="33">
        <f>DATE(YEAR(A6080),MONTH(A6080),1)</f>
        <v>42064.0</v>
      </c>
      <c r="G6080" t="str">
        <f>CHOOSE(WEEKDAY(A6080,2),"Mon","Tue","Wed","Thu","Fri","Sat","Sun")</f>
        <v>Thu</v>
      </c>
      <c r="H6080" t="str">
        <f>IF(WEEKDAY(A6080,2)&gt;5,"Weekend","Weekday")</f>
        <v>Weekday</v>
      </c>
      <c r="I6080" t="str">
        <f>_xlfn.IFS(B6080&lt;=5,"Night (0-5)",B6080&lt;=9,"Morning peak (6-9)",B6080&lt;=15,"Midday (10-15)",B6080&lt;=19,"Evening peak (16-19)",TRUE,"Late evening (20-23)")</f>
        <v>Evening peak (16-19)</v>
      </c>
    </row>
    <row r="6081" spans="1:9">
      <c r="A6081" s="32">
        <v>42075</v>
      </c>
      <c r="B6081">
        <v>18</v>
      </c>
      <c r="C6081">
        <v>5361</v>
      </c>
      <c r="D6081" t="s">
        <v>304</v>
      </c>
      <c r="E6081">
        <f>YEAR(A6081)</f>
        <v>2015</v>
      </c>
      <c r="F6081" s="33">
        <f>DATE(YEAR(A6081),MONTH(A6081),1)</f>
        <v>42064.0</v>
      </c>
      <c r="G6081" t="str">
        <f>CHOOSE(WEEKDAY(A6081,2),"Mon","Tue","Wed","Thu","Fri","Sat","Sun")</f>
        <v>Thu</v>
      </c>
      <c r="H6081" t="str">
        <f>IF(WEEKDAY(A6081,2)&gt;5,"Weekend","Weekday")</f>
        <v>Weekday</v>
      </c>
      <c r="I6081" t="str">
        <f>_xlfn.IFS(B6081&lt;=5,"Night (0-5)",B6081&lt;=9,"Morning peak (6-9)",B6081&lt;=15,"Midday (10-15)",B6081&lt;=19,"Evening peak (16-19)",TRUE,"Late evening (20-23)")</f>
        <v>Evening peak (16-19)</v>
      </c>
    </row>
    <row r="6082" spans="1:9">
      <c r="A6082" s="32">
        <v>42075</v>
      </c>
      <c r="B6082">
        <v>19</v>
      </c>
      <c r="C6082">
        <v>5795</v>
      </c>
      <c r="D6082" t="s">
        <v>304</v>
      </c>
      <c r="E6082">
        <f>YEAR(A6082)</f>
        <v>2015</v>
      </c>
      <c r="F6082" s="33">
        <f>DATE(YEAR(A6082),MONTH(A6082),1)</f>
        <v>42064.0</v>
      </c>
      <c r="G6082" t="str">
        <f>CHOOSE(WEEKDAY(A6082,2),"Mon","Tue","Wed","Thu","Fri","Sat","Sun")</f>
        <v>Thu</v>
      </c>
      <c r="H6082" t="str">
        <f>IF(WEEKDAY(A6082,2)&gt;5,"Weekend","Weekday")</f>
        <v>Weekday</v>
      </c>
      <c r="I6082" t="str">
        <f>_xlfn.IFS(B6082&lt;=5,"Night (0-5)",B6082&lt;=9,"Morning peak (6-9)",B6082&lt;=15,"Midday (10-15)",B6082&lt;=19,"Evening peak (16-19)",TRUE,"Late evening (20-23)")</f>
        <v>Evening peak (16-19)</v>
      </c>
    </row>
    <row r="6083" spans="1:9">
      <c r="A6083" s="32">
        <v>42075</v>
      </c>
      <c r="B6083">
        <v>20</v>
      </c>
      <c r="C6083">
        <v>5592</v>
      </c>
      <c r="D6083" t="s">
        <v>304</v>
      </c>
      <c r="E6083">
        <f>YEAR(A6083)</f>
        <v>2015</v>
      </c>
      <c r="F6083" s="33">
        <f>DATE(YEAR(A6083),MONTH(A6083),1)</f>
        <v>42064.0</v>
      </c>
      <c r="G6083" t="str">
        <f>CHOOSE(WEEKDAY(A6083,2),"Mon","Tue","Wed","Thu","Fri","Sat","Sun")</f>
        <v>Thu</v>
      </c>
      <c r="H6083" t="str">
        <f>IF(WEEKDAY(A6083,2)&gt;5,"Weekend","Weekday")</f>
        <v>Weekday</v>
      </c>
      <c r="I6083" t="str">
        <f>_xlfn.IFS(B6083&lt;=5,"Night (0-5)",B6083&lt;=9,"Morning peak (6-9)",B6083&lt;=15,"Midday (10-15)",B6083&lt;=19,"Evening peak (16-19)",TRUE,"Late evening (20-23)")</f>
        <v>Late evening (20-23)</v>
      </c>
    </row>
    <row r="6084" spans="1:9">
      <c r="A6084" s="32">
        <v>42075</v>
      </c>
      <c r="B6084">
        <v>21</v>
      </c>
      <c r="C6084">
        <v>5641</v>
      </c>
      <c r="D6084" t="s">
        <v>304</v>
      </c>
      <c r="E6084">
        <f>YEAR(A6084)</f>
        <v>2015</v>
      </c>
      <c r="F6084" s="33">
        <f>DATE(YEAR(A6084),MONTH(A6084),1)</f>
        <v>42064.0</v>
      </c>
      <c r="G6084" t="str">
        <f>CHOOSE(WEEKDAY(A6084,2),"Mon","Tue","Wed","Thu","Fri","Sat","Sun")</f>
        <v>Thu</v>
      </c>
      <c r="H6084" t="str">
        <f>IF(WEEKDAY(A6084,2)&gt;5,"Weekend","Weekday")</f>
        <v>Weekday</v>
      </c>
      <c r="I6084" t="str">
        <f>_xlfn.IFS(B6084&lt;=5,"Night (0-5)",B6084&lt;=9,"Morning peak (6-9)",B6084&lt;=15,"Midday (10-15)",B6084&lt;=19,"Evening peak (16-19)",TRUE,"Late evening (20-23)")</f>
        <v>Late evening (20-23)</v>
      </c>
    </row>
    <row r="6085" spans="1:9">
      <c r="A6085" s="32">
        <v>42075</v>
      </c>
      <c r="B6085">
        <v>22</v>
      </c>
      <c r="C6085">
        <v>5426</v>
      </c>
      <c r="D6085" t="s">
        <v>304</v>
      </c>
      <c r="E6085">
        <f>YEAR(A6085)</f>
        <v>2015</v>
      </c>
      <c r="F6085" s="33">
        <f>DATE(YEAR(A6085),MONTH(A6085),1)</f>
        <v>42064.0</v>
      </c>
      <c r="G6085" t="str">
        <f>CHOOSE(WEEKDAY(A6085,2),"Mon","Tue","Wed","Thu","Fri","Sat","Sun")</f>
        <v>Thu</v>
      </c>
      <c r="H6085" t="str">
        <f>IF(WEEKDAY(A6085,2)&gt;5,"Weekend","Weekday")</f>
        <v>Weekday</v>
      </c>
      <c r="I6085" t="str">
        <f>_xlfn.IFS(B6085&lt;=5,"Night (0-5)",B6085&lt;=9,"Morning peak (6-9)",B6085&lt;=15,"Midday (10-15)",B6085&lt;=19,"Evening peak (16-19)",TRUE,"Late evening (20-23)")</f>
        <v>Late evening (20-23)</v>
      </c>
    </row>
    <row r="6086" spans="1:9">
      <c r="A6086" s="32">
        <v>42075</v>
      </c>
      <c r="B6086">
        <v>23</v>
      </c>
      <c r="C6086">
        <v>4619</v>
      </c>
      <c r="D6086" t="s">
        <v>304</v>
      </c>
      <c r="E6086">
        <f>YEAR(A6086)</f>
        <v>2015</v>
      </c>
      <c r="F6086" s="33">
        <f>DATE(YEAR(A6086),MONTH(A6086),1)</f>
        <v>42064.0</v>
      </c>
      <c r="G6086" t="str">
        <f>CHOOSE(WEEKDAY(A6086,2),"Mon","Tue","Wed","Thu","Fri","Sat","Sun")</f>
        <v>Thu</v>
      </c>
      <c r="H6086" t="str">
        <f>IF(WEEKDAY(A6086,2)&gt;5,"Weekend","Weekday")</f>
        <v>Weekday</v>
      </c>
      <c r="I6086" t="str">
        <f>_xlfn.IFS(B6086&lt;=5,"Night (0-5)",B6086&lt;=9,"Morning peak (6-9)",B6086&lt;=15,"Midday (10-15)",B6086&lt;=19,"Evening peak (16-19)",TRUE,"Late evening (20-23)")</f>
        <v>Late evening (20-23)</v>
      </c>
    </row>
    <row r="6087" spans="1:9">
      <c r="A6087" s="32">
        <v>42076</v>
      </c>
      <c r="B6087">
        <v>0</v>
      </c>
      <c r="C6087">
        <v>2922</v>
      </c>
      <c r="D6087" t="s">
        <v>304</v>
      </c>
      <c r="E6087">
        <f>YEAR(A6087)</f>
        <v>2015</v>
      </c>
      <c r="F6087" s="33">
        <f>DATE(YEAR(A6087),MONTH(A6087),1)</f>
        <v>42064.0</v>
      </c>
      <c r="G6087" t="str">
        <f>CHOOSE(WEEKDAY(A6087,2),"Mon","Tue","Wed","Thu","Fri","Sat","Sun")</f>
        <v>Fri</v>
      </c>
      <c r="H6087" t="str">
        <f>IF(WEEKDAY(A6087,2)&gt;5,"Weekend","Weekday")</f>
        <v>Weekday</v>
      </c>
      <c r="I6087" t="str">
        <f>_xlfn.IFS(B6087&lt;=5,"Night (0-5)",B6087&lt;=9,"Morning peak (6-9)",B6087&lt;=15,"Midday (10-15)",B6087&lt;=19,"Evening peak (16-19)",TRUE,"Late evening (20-23)")</f>
        <v>Night (0-5)</v>
      </c>
    </row>
    <row r="6088" spans="1:9">
      <c r="A6088" s="32">
        <v>42076</v>
      </c>
      <c r="B6088">
        <v>1</v>
      </c>
      <c r="C6088">
        <v>1729</v>
      </c>
      <c r="D6088" t="s">
        <v>304</v>
      </c>
      <c r="E6088">
        <f>YEAR(A6088)</f>
        <v>2015</v>
      </c>
      <c r="F6088" s="33">
        <f>DATE(YEAR(A6088),MONTH(A6088),1)</f>
        <v>42064.0</v>
      </c>
      <c r="G6088" t="str">
        <f>CHOOSE(WEEKDAY(A6088,2),"Mon","Tue","Wed","Thu","Fri","Sat","Sun")</f>
        <v>Fri</v>
      </c>
      <c r="H6088" t="str">
        <f>IF(WEEKDAY(A6088,2)&gt;5,"Weekend","Weekday")</f>
        <v>Weekday</v>
      </c>
      <c r="I6088" t="str">
        <f>_xlfn.IFS(B6088&lt;=5,"Night (0-5)",B6088&lt;=9,"Morning peak (6-9)",B6088&lt;=15,"Midday (10-15)",B6088&lt;=19,"Evening peak (16-19)",TRUE,"Late evening (20-23)")</f>
        <v>Night (0-5)</v>
      </c>
    </row>
    <row r="6089" spans="1:9">
      <c r="A6089" s="32">
        <v>42076</v>
      </c>
      <c r="B6089">
        <v>2</v>
      </c>
      <c r="C6089">
        <v>1018</v>
      </c>
      <c r="D6089" t="s">
        <v>304</v>
      </c>
      <c r="E6089">
        <f>YEAR(A6089)</f>
        <v>2015</v>
      </c>
      <c r="F6089" s="33">
        <f>DATE(YEAR(A6089),MONTH(A6089),1)</f>
        <v>42064.0</v>
      </c>
      <c r="G6089" t="str">
        <f>CHOOSE(WEEKDAY(A6089,2),"Mon","Tue","Wed","Thu","Fri","Sat","Sun")</f>
        <v>Fri</v>
      </c>
      <c r="H6089" t="str">
        <f>IF(WEEKDAY(A6089,2)&gt;5,"Weekend","Weekday")</f>
        <v>Weekday</v>
      </c>
      <c r="I6089" t="str">
        <f>_xlfn.IFS(B6089&lt;=5,"Night (0-5)",B6089&lt;=9,"Morning peak (6-9)",B6089&lt;=15,"Midday (10-15)",B6089&lt;=19,"Evening peak (16-19)",TRUE,"Late evening (20-23)")</f>
        <v>Night (0-5)</v>
      </c>
    </row>
    <row r="6090" spans="1:9">
      <c r="A6090" s="32">
        <v>42076</v>
      </c>
      <c r="B6090">
        <v>3</v>
      </c>
      <c r="C6090">
        <v>741</v>
      </c>
      <c r="D6090" t="s">
        <v>304</v>
      </c>
      <c r="E6090">
        <f>YEAR(A6090)</f>
        <v>2015</v>
      </c>
      <c r="F6090" s="33">
        <f>DATE(YEAR(A6090),MONTH(A6090),1)</f>
        <v>42064.0</v>
      </c>
      <c r="G6090" t="str">
        <f>CHOOSE(WEEKDAY(A6090,2),"Mon","Tue","Wed","Thu","Fri","Sat","Sun")</f>
        <v>Fri</v>
      </c>
      <c r="H6090" t="str">
        <f>IF(WEEKDAY(A6090,2)&gt;5,"Weekend","Weekday")</f>
        <v>Weekday</v>
      </c>
      <c r="I6090" t="str">
        <f>_xlfn.IFS(B6090&lt;=5,"Night (0-5)",B6090&lt;=9,"Morning peak (6-9)",B6090&lt;=15,"Midday (10-15)",B6090&lt;=19,"Evening peak (16-19)",TRUE,"Late evening (20-23)")</f>
        <v>Night (0-5)</v>
      </c>
    </row>
    <row r="6091" spans="1:9">
      <c r="A6091" s="32">
        <v>42076</v>
      </c>
      <c r="B6091">
        <v>4</v>
      </c>
      <c r="C6091">
        <v>902</v>
      </c>
      <c r="D6091" t="s">
        <v>304</v>
      </c>
      <c r="E6091">
        <f>YEAR(A6091)</f>
        <v>2015</v>
      </c>
      <c r="F6091" s="33">
        <f>DATE(YEAR(A6091),MONTH(A6091),1)</f>
        <v>42064.0</v>
      </c>
      <c r="G6091" t="str">
        <f>CHOOSE(WEEKDAY(A6091,2),"Mon","Tue","Wed","Thu","Fri","Sat","Sun")</f>
        <v>Fri</v>
      </c>
      <c r="H6091" t="str">
        <f>IF(WEEKDAY(A6091,2)&gt;5,"Weekend","Weekday")</f>
        <v>Weekday</v>
      </c>
      <c r="I6091" t="str">
        <f>_xlfn.IFS(B6091&lt;=5,"Night (0-5)",B6091&lt;=9,"Morning peak (6-9)",B6091&lt;=15,"Midday (10-15)",B6091&lt;=19,"Evening peak (16-19)",TRUE,"Late evening (20-23)")</f>
        <v>Night (0-5)</v>
      </c>
    </row>
    <row r="6092" spans="1:9">
      <c r="A6092" s="32">
        <v>42076</v>
      </c>
      <c r="B6092">
        <v>5</v>
      </c>
      <c r="C6092">
        <v>1001</v>
      </c>
      <c r="D6092" t="s">
        <v>304</v>
      </c>
      <c r="E6092">
        <f>YEAR(A6092)</f>
        <v>2015</v>
      </c>
      <c r="F6092" s="33">
        <f>DATE(YEAR(A6092),MONTH(A6092),1)</f>
        <v>42064.0</v>
      </c>
      <c r="G6092" t="str">
        <f>CHOOSE(WEEKDAY(A6092,2),"Mon","Tue","Wed","Thu","Fri","Sat","Sun")</f>
        <v>Fri</v>
      </c>
      <c r="H6092" t="str">
        <f>IF(WEEKDAY(A6092,2)&gt;5,"Weekend","Weekday")</f>
        <v>Weekday</v>
      </c>
      <c r="I6092" t="str">
        <f>_xlfn.IFS(B6092&lt;=5,"Night (0-5)",B6092&lt;=9,"Morning peak (6-9)",B6092&lt;=15,"Midday (10-15)",B6092&lt;=19,"Evening peak (16-19)",TRUE,"Late evening (20-23)")</f>
        <v>Night (0-5)</v>
      </c>
    </row>
    <row r="6093" spans="1:9">
      <c r="A6093" s="32">
        <v>42076</v>
      </c>
      <c r="B6093">
        <v>6</v>
      </c>
      <c r="C6093">
        <v>1510</v>
      </c>
      <c r="D6093" t="s">
        <v>304</v>
      </c>
      <c r="E6093">
        <f>YEAR(A6093)</f>
        <v>2015</v>
      </c>
      <c r="F6093" s="33">
        <f>DATE(YEAR(A6093),MONTH(A6093),1)</f>
        <v>42064.0</v>
      </c>
      <c r="G6093" t="str">
        <f>CHOOSE(WEEKDAY(A6093,2),"Mon","Tue","Wed","Thu","Fri","Sat","Sun")</f>
        <v>Fri</v>
      </c>
      <c r="H6093" t="str">
        <f>IF(WEEKDAY(A6093,2)&gt;5,"Weekend","Weekday")</f>
        <v>Weekday</v>
      </c>
      <c r="I6093" t="str">
        <f>_xlfn.IFS(B6093&lt;=5,"Night (0-5)",B6093&lt;=9,"Morning peak (6-9)",B6093&lt;=15,"Midday (10-15)",B6093&lt;=19,"Evening peak (16-19)",TRUE,"Late evening (20-23)")</f>
        <v>Morning peak (6-9)</v>
      </c>
    </row>
    <row r="6094" spans="1:9">
      <c r="A6094" s="32">
        <v>42076</v>
      </c>
      <c r="B6094">
        <v>7</v>
      </c>
      <c r="C6094">
        <v>2588</v>
      </c>
      <c r="D6094" t="s">
        <v>304</v>
      </c>
      <c r="E6094">
        <f>YEAR(A6094)</f>
        <v>2015</v>
      </c>
      <c r="F6094" s="33">
        <f>DATE(YEAR(A6094),MONTH(A6094),1)</f>
        <v>42064.0</v>
      </c>
      <c r="G6094" t="str">
        <f>CHOOSE(WEEKDAY(A6094,2),"Mon","Tue","Wed","Thu","Fri","Sat","Sun")</f>
        <v>Fri</v>
      </c>
      <c r="H6094" t="str">
        <f>IF(WEEKDAY(A6094,2)&gt;5,"Weekend","Weekday")</f>
        <v>Weekday</v>
      </c>
      <c r="I6094" t="str">
        <f>_xlfn.IFS(B6094&lt;=5,"Night (0-5)",B6094&lt;=9,"Morning peak (6-9)",B6094&lt;=15,"Midday (10-15)",B6094&lt;=19,"Evening peak (16-19)",TRUE,"Late evening (20-23)")</f>
        <v>Morning peak (6-9)</v>
      </c>
    </row>
    <row r="6095" spans="1:9">
      <c r="A6095" s="32">
        <v>42076</v>
      </c>
      <c r="B6095">
        <v>8</v>
      </c>
      <c r="C6095">
        <v>3491</v>
      </c>
      <c r="D6095" t="s">
        <v>304</v>
      </c>
      <c r="E6095">
        <f>YEAR(A6095)</f>
        <v>2015</v>
      </c>
      <c r="F6095" s="33">
        <f>DATE(YEAR(A6095),MONTH(A6095),1)</f>
        <v>42064.0</v>
      </c>
      <c r="G6095" t="str">
        <f>CHOOSE(WEEKDAY(A6095,2),"Mon","Tue","Wed","Thu","Fri","Sat","Sun")</f>
        <v>Fri</v>
      </c>
      <c r="H6095" t="str">
        <f>IF(WEEKDAY(A6095,2)&gt;5,"Weekend","Weekday")</f>
        <v>Weekday</v>
      </c>
      <c r="I6095" t="str">
        <f>_xlfn.IFS(B6095&lt;=5,"Night (0-5)",B6095&lt;=9,"Morning peak (6-9)",B6095&lt;=15,"Midday (10-15)",B6095&lt;=19,"Evening peak (16-19)",TRUE,"Late evening (20-23)")</f>
        <v>Morning peak (6-9)</v>
      </c>
    </row>
    <row r="6096" spans="1:9">
      <c r="A6096" s="32">
        <v>42076</v>
      </c>
      <c r="B6096">
        <v>9</v>
      </c>
      <c r="C6096">
        <v>3522</v>
      </c>
      <c r="D6096" t="s">
        <v>304</v>
      </c>
      <c r="E6096">
        <f>YEAR(A6096)</f>
        <v>2015</v>
      </c>
      <c r="F6096" s="33">
        <f>DATE(YEAR(A6096),MONTH(A6096),1)</f>
        <v>42064.0</v>
      </c>
      <c r="G6096" t="str">
        <f>CHOOSE(WEEKDAY(A6096,2),"Mon","Tue","Wed","Thu","Fri","Sat","Sun")</f>
        <v>Fri</v>
      </c>
      <c r="H6096" t="str">
        <f>IF(WEEKDAY(A6096,2)&gt;5,"Weekend","Weekday")</f>
        <v>Weekday</v>
      </c>
      <c r="I6096" t="str">
        <f>_xlfn.IFS(B6096&lt;=5,"Night (0-5)",B6096&lt;=9,"Morning peak (6-9)",B6096&lt;=15,"Midday (10-15)",B6096&lt;=19,"Evening peak (16-19)",TRUE,"Late evening (20-23)")</f>
        <v>Morning peak (6-9)</v>
      </c>
    </row>
    <row r="6097" spans="1:9">
      <c r="A6097" s="32">
        <v>42076</v>
      </c>
      <c r="B6097">
        <v>10</v>
      </c>
      <c r="C6097">
        <v>2751</v>
      </c>
      <c r="D6097" t="s">
        <v>304</v>
      </c>
      <c r="E6097">
        <f>YEAR(A6097)</f>
        <v>2015</v>
      </c>
      <c r="F6097" s="33">
        <f>DATE(YEAR(A6097),MONTH(A6097),1)</f>
        <v>42064.0</v>
      </c>
      <c r="G6097" t="str">
        <f>CHOOSE(WEEKDAY(A6097,2),"Mon","Tue","Wed","Thu","Fri","Sat","Sun")</f>
        <v>Fri</v>
      </c>
      <c r="H6097" t="str">
        <f>IF(WEEKDAY(A6097,2)&gt;5,"Weekend","Weekday")</f>
        <v>Weekday</v>
      </c>
      <c r="I6097" t="str">
        <f>_xlfn.IFS(B6097&lt;=5,"Night (0-5)",B6097&lt;=9,"Morning peak (6-9)",B6097&lt;=15,"Midday (10-15)",B6097&lt;=19,"Evening peak (16-19)",TRUE,"Late evening (20-23)")</f>
        <v>Midday (10-15)</v>
      </c>
    </row>
    <row r="6098" spans="1:9">
      <c r="A6098" s="32">
        <v>42076</v>
      </c>
      <c r="B6098">
        <v>11</v>
      </c>
      <c r="C6098">
        <v>2532</v>
      </c>
      <c r="D6098" t="s">
        <v>304</v>
      </c>
      <c r="E6098">
        <f>YEAR(A6098)</f>
        <v>2015</v>
      </c>
      <c r="F6098" s="33">
        <f>DATE(YEAR(A6098),MONTH(A6098),1)</f>
        <v>42064.0</v>
      </c>
      <c r="G6098" t="str">
        <f>CHOOSE(WEEKDAY(A6098,2),"Mon","Tue","Wed","Thu","Fri","Sat","Sun")</f>
        <v>Fri</v>
      </c>
      <c r="H6098" t="str">
        <f>IF(WEEKDAY(A6098,2)&gt;5,"Weekend","Weekday")</f>
        <v>Weekday</v>
      </c>
      <c r="I6098" t="str">
        <f>_xlfn.IFS(B6098&lt;=5,"Night (0-5)",B6098&lt;=9,"Morning peak (6-9)",B6098&lt;=15,"Midday (10-15)",B6098&lt;=19,"Evening peak (16-19)",TRUE,"Late evening (20-23)")</f>
        <v>Midday (10-15)</v>
      </c>
    </row>
    <row r="6099" spans="1:9">
      <c r="A6099" s="32">
        <v>42076</v>
      </c>
      <c r="B6099">
        <v>12</v>
      </c>
      <c r="C6099">
        <v>2484</v>
      </c>
      <c r="D6099" t="s">
        <v>304</v>
      </c>
      <c r="E6099">
        <f>YEAR(A6099)</f>
        <v>2015</v>
      </c>
      <c r="F6099" s="33">
        <f>DATE(YEAR(A6099),MONTH(A6099),1)</f>
        <v>42064.0</v>
      </c>
      <c r="G6099" t="str">
        <f>CHOOSE(WEEKDAY(A6099,2),"Mon","Tue","Wed","Thu","Fri","Sat","Sun")</f>
        <v>Fri</v>
      </c>
      <c r="H6099" t="str">
        <f>IF(WEEKDAY(A6099,2)&gt;5,"Weekend","Weekday")</f>
        <v>Weekday</v>
      </c>
      <c r="I6099" t="str">
        <f>_xlfn.IFS(B6099&lt;=5,"Night (0-5)",B6099&lt;=9,"Morning peak (6-9)",B6099&lt;=15,"Midday (10-15)",B6099&lt;=19,"Evening peak (16-19)",TRUE,"Late evening (20-23)")</f>
        <v>Midday (10-15)</v>
      </c>
    </row>
    <row r="6100" spans="1:9">
      <c r="A6100" s="32">
        <v>42076</v>
      </c>
      <c r="B6100">
        <v>13</v>
      </c>
      <c r="C6100">
        <v>2414</v>
      </c>
      <c r="D6100" t="s">
        <v>304</v>
      </c>
      <c r="E6100">
        <f>YEAR(A6100)</f>
        <v>2015</v>
      </c>
      <c r="F6100" s="33">
        <f>DATE(YEAR(A6100),MONTH(A6100),1)</f>
        <v>42064.0</v>
      </c>
      <c r="G6100" t="str">
        <f>CHOOSE(WEEKDAY(A6100,2),"Mon","Tue","Wed","Thu","Fri","Sat","Sun")</f>
        <v>Fri</v>
      </c>
      <c r="H6100" t="str">
        <f>IF(WEEKDAY(A6100,2)&gt;5,"Weekend","Weekday")</f>
        <v>Weekday</v>
      </c>
      <c r="I6100" t="str">
        <f>_xlfn.IFS(B6100&lt;=5,"Night (0-5)",B6100&lt;=9,"Morning peak (6-9)",B6100&lt;=15,"Midday (10-15)",B6100&lt;=19,"Evening peak (16-19)",TRUE,"Late evening (20-23)")</f>
        <v>Midday (10-15)</v>
      </c>
    </row>
    <row r="6101" spans="1:9">
      <c r="A6101" s="32">
        <v>42076</v>
      </c>
      <c r="B6101">
        <v>14</v>
      </c>
      <c r="C6101">
        <v>2800</v>
      </c>
      <c r="D6101" t="s">
        <v>304</v>
      </c>
      <c r="E6101">
        <f>YEAR(A6101)</f>
        <v>2015</v>
      </c>
      <c r="F6101" s="33">
        <f>DATE(YEAR(A6101),MONTH(A6101),1)</f>
        <v>42064.0</v>
      </c>
      <c r="G6101" t="str">
        <f>CHOOSE(WEEKDAY(A6101,2),"Mon","Tue","Wed","Thu","Fri","Sat","Sun")</f>
        <v>Fri</v>
      </c>
      <c r="H6101" t="str">
        <f>IF(WEEKDAY(A6101,2)&gt;5,"Weekend","Weekday")</f>
        <v>Weekday</v>
      </c>
      <c r="I6101" t="str">
        <f>_xlfn.IFS(B6101&lt;=5,"Night (0-5)",B6101&lt;=9,"Morning peak (6-9)",B6101&lt;=15,"Midday (10-15)",B6101&lt;=19,"Evening peak (16-19)",TRUE,"Late evening (20-23)")</f>
        <v>Midday (10-15)</v>
      </c>
    </row>
    <row r="6102" spans="1:9">
      <c r="A6102" s="32">
        <v>42076</v>
      </c>
      <c r="B6102">
        <v>15</v>
      </c>
      <c r="C6102">
        <v>3359</v>
      </c>
      <c r="D6102" t="s">
        <v>304</v>
      </c>
      <c r="E6102">
        <f>YEAR(A6102)</f>
        <v>2015</v>
      </c>
      <c r="F6102" s="33">
        <f>DATE(YEAR(A6102),MONTH(A6102),1)</f>
        <v>42064.0</v>
      </c>
      <c r="G6102" t="str">
        <f>CHOOSE(WEEKDAY(A6102,2),"Mon","Tue","Wed","Thu","Fri","Sat","Sun")</f>
        <v>Fri</v>
      </c>
      <c r="H6102" t="str">
        <f>IF(WEEKDAY(A6102,2)&gt;5,"Weekend","Weekday")</f>
        <v>Weekday</v>
      </c>
      <c r="I6102" t="str">
        <f>_xlfn.IFS(B6102&lt;=5,"Night (0-5)",B6102&lt;=9,"Morning peak (6-9)",B6102&lt;=15,"Midday (10-15)",B6102&lt;=19,"Evening peak (16-19)",TRUE,"Late evening (20-23)")</f>
        <v>Midday (10-15)</v>
      </c>
    </row>
    <row r="6103" spans="1:9">
      <c r="A6103" s="32">
        <v>42076</v>
      </c>
      <c r="B6103">
        <v>16</v>
      </c>
      <c r="C6103">
        <v>3874</v>
      </c>
      <c r="D6103" t="s">
        <v>304</v>
      </c>
      <c r="E6103">
        <f>YEAR(A6103)</f>
        <v>2015</v>
      </c>
      <c r="F6103" s="33">
        <f>DATE(YEAR(A6103),MONTH(A6103),1)</f>
        <v>42064.0</v>
      </c>
      <c r="G6103" t="str">
        <f>CHOOSE(WEEKDAY(A6103,2),"Mon","Tue","Wed","Thu","Fri","Sat","Sun")</f>
        <v>Fri</v>
      </c>
      <c r="H6103" t="str">
        <f>IF(WEEKDAY(A6103,2)&gt;5,"Weekend","Weekday")</f>
        <v>Weekday</v>
      </c>
      <c r="I6103" t="str">
        <f>_xlfn.IFS(B6103&lt;=5,"Night (0-5)",B6103&lt;=9,"Morning peak (6-9)",B6103&lt;=15,"Midday (10-15)",B6103&lt;=19,"Evening peak (16-19)",TRUE,"Late evening (20-23)")</f>
        <v>Evening peak (16-19)</v>
      </c>
    </row>
    <row r="6104" spans="1:9">
      <c r="A6104" s="32">
        <v>42076</v>
      </c>
      <c r="B6104">
        <v>17</v>
      </c>
      <c r="C6104">
        <v>4607</v>
      </c>
      <c r="D6104" t="s">
        <v>304</v>
      </c>
      <c r="E6104">
        <f>YEAR(A6104)</f>
        <v>2015</v>
      </c>
      <c r="F6104" s="33">
        <f>DATE(YEAR(A6104),MONTH(A6104),1)</f>
        <v>42064.0</v>
      </c>
      <c r="G6104" t="str">
        <f>CHOOSE(WEEKDAY(A6104,2),"Mon","Tue","Wed","Thu","Fri","Sat","Sun")</f>
        <v>Fri</v>
      </c>
      <c r="H6104" t="str">
        <f>IF(WEEKDAY(A6104,2)&gt;5,"Weekend","Weekday")</f>
        <v>Weekday</v>
      </c>
      <c r="I6104" t="str">
        <f>_xlfn.IFS(B6104&lt;=5,"Night (0-5)",B6104&lt;=9,"Morning peak (6-9)",B6104&lt;=15,"Midday (10-15)",B6104&lt;=19,"Evening peak (16-19)",TRUE,"Late evening (20-23)")</f>
        <v>Evening peak (16-19)</v>
      </c>
    </row>
    <row r="6105" spans="1:9">
      <c r="A6105" s="32">
        <v>42076</v>
      </c>
      <c r="B6105">
        <v>18</v>
      </c>
      <c r="C6105">
        <v>5456</v>
      </c>
      <c r="D6105" t="s">
        <v>304</v>
      </c>
      <c r="E6105">
        <f>YEAR(A6105)</f>
        <v>2015</v>
      </c>
      <c r="F6105" s="33">
        <f>DATE(YEAR(A6105),MONTH(A6105),1)</f>
        <v>42064.0</v>
      </c>
      <c r="G6105" t="str">
        <f>CHOOSE(WEEKDAY(A6105,2),"Mon","Tue","Wed","Thu","Fri","Sat","Sun")</f>
        <v>Fri</v>
      </c>
      <c r="H6105" t="str">
        <f>IF(WEEKDAY(A6105,2)&gt;5,"Weekend","Weekday")</f>
        <v>Weekday</v>
      </c>
      <c r="I6105" t="str">
        <f>_xlfn.IFS(B6105&lt;=5,"Night (0-5)",B6105&lt;=9,"Morning peak (6-9)",B6105&lt;=15,"Midday (10-15)",B6105&lt;=19,"Evening peak (16-19)",TRUE,"Late evening (20-23)")</f>
        <v>Evening peak (16-19)</v>
      </c>
    </row>
    <row r="6106" spans="1:9">
      <c r="A6106" s="32">
        <v>42076</v>
      </c>
      <c r="B6106">
        <v>19</v>
      </c>
      <c r="C6106">
        <v>6487</v>
      </c>
      <c r="D6106" t="s">
        <v>304</v>
      </c>
      <c r="E6106">
        <f>YEAR(A6106)</f>
        <v>2015</v>
      </c>
      <c r="F6106" s="33">
        <f>DATE(YEAR(A6106),MONTH(A6106),1)</f>
        <v>42064.0</v>
      </c>
      <c r="G6106" t="str">
        <f>CHOOSE(WEEKDAY(A6106,2),"Mon","Tue","Wed","Thu","Fri","Sat","Sun")</f>
        <v>Fri</v>
      </c>
      <c r="H6106" t="str">
        <f>IF(WEEKDAY(A6106,2)&gt;5,"Weekend","Weekday")</f>
        <v>Weekday</v>
      </c>
      <c r="I6106" t="str">
        <f>_xlfn.IFS(B6106&lt;=5,"Night (0-5)",B6106&lt;=9,"Morning peak (6-9)",B6106&lt;=15,"Midday (10-15)",B6106&lt;=19,"Evening peak (16-19)",TRUE,"Late evening (20-23)")</f>
        <v>Evening peak (16-19)</v>
      </c>
    </row>
    <row r="6107" spans="1:9">
      <c r="A6107" s="32">
        <v>42076</v>
      </c>
      <c r="B6107">
        <v>20</v>
      </c>
      <c r="C6107">
        <v>6105</v>
      </c>
      <c r="D6107" t="s">
        <v>304</v>
      </c>
      <c r="E6107">
        <f>YEAR(A6107)</f>
        <v>2015</v>
      </c>
      <c r="F6107" s="33">
        <f>DATE(YEAR(A6107),MONTH(A6107),1)</f>
        <v>42064.0</v>
      </c>
      <c r="G6107" t="str">
        <f>CHOOSE(WEEKDAY(A6107,2),"Mon","Tue","Wed","Thu","Fri","Sat","Sun")</f>
        <v>Fri</v>
      </c>
      <c r="H6107" t="str">
        <f>IF(WEEKDAY(A6107,2)&gt;5,"Weekend","Weekday")</f>
        <v>Weekday</v>
      </c>
      <c r="I6107" t="str">
        <f>_xlfn.IFS(B6107&lt;=5,"Night (0-5)",B6107&lt;=9,"Morning peak (6-9)",B6107&lt;=15,"Midday (10-15)",B6107&lt;=19,"Evening peak (16-19)",TRUE,"Late evening (20-23)")</f>
        <v>Late evening (20-23)</v>
      </c>
    </row>
    <row r="6108" spans="1:9">
      <c r="A6108" s="32">
        <v>42076</v>
      </c>
      <c r="B6108">
        <v>21</v>
      </c>
      <c r="C6108">
        <v>5562</v>
      </c>
      <c r="D6108" t="s">
        <v>304</v>
      </c>
      <c r="E6108">
        <f>YEAR(A6108)</f>
        <v>2015</v>
      </c>
      <c r="F6108" s="33">
        <f>DATE(YEAR(A6108),MONTH(A6108),1)</f>
        <v>42064.0</v>
      </c>
      <c r="G6108" t="str">
        <f>CHOOSE(WEEKDAY(A6108,2),"Mon","Tue","Wed","Thu","Fri","Sat","Sun")</f>
        <v>Fri</v>
      </c>
      <c r="H6108" t="str">
        <f>IF(WEEKDAY(A6108,2)&gt;5,"Weekend","Weekday")</f>
        <v>Weekday</v>
      </c>
      <c r="I6108" t="str">
        <f>_xlfn.IFS(B6108&lt;=5,"Night (0-5)",B6108&lt;=9,"Morning peak (6-9)",B6108&lt;=15,"Midday (10-15)",B6108&lt;=19,"Evening peak (16-19)",TRUE,"Late evening (20-23)")</f>
        <v>Late evening (20-23)</v>
      </c>
    </row>
    <row r="6109" spans="1:9">
      <c r="A6109" s="32">
        <v>42076</v>
      </c>
      <c r="B6109">
        <v>22</v>
      </c>
      <c r="C6109">
        <v>5654</v>
      </c>
      <c r="D6109" t="s">
        <v>304</v>
      </c>
      <c r="E6109">
        <f>YEAR(A6109)</f>
        <v>2015</v>
      </c>
      <c r="F6109" s="33">
        <f>DATE(YEAR(A6109),MONTH(A6109),1)</f>
        <v>42064.0</v>
      </c>
      <c r="G6109" t="str">
        <f>CHOOSE(WEEKDAY(A6109,2),"Mon","Tue","Wed","Thu","Fri","Sat","Sun")</f>
        <v>Fri</v>
      </c>
      <c r="H6109" t="str">
        <f>IF(WEEKDAY(A6109,2)&gt;5,"Weekend","Weekday")</f>
        <v>Weekday</v>
      </c>
      <c r="I6109" t="str">
        <f>_xlfn.IFS(B6109&lt;=5,"Night (0-5)",B6109&lt;=9,"Morning peak (6-9)",B6109&lt;=15,"Midday (10-15)",B6109&lt;=19,"Evening peak (16-19)",TRUE,"Late evening (20-23)")</f>
        <v>Late evening (20-23)</v>
      </c>
    </row>
    <row r="6110" spans="1:9">
      <c r="A6110" s="32">
        <v>42076</v>
      </c>
      <c r="B6110">
        <v>23</v>
      </c>
      <c r="C6110">
        <v>5763</v>
      </c>
      <c r="D6110" t="s">
        <v>304</v>
      </c>
      <c r="E6110">
        <f>YEAR(A6110)</f>
        <v>2015</v>
      </c>
      <c r="F6110" s="33">
        <f>DATE(YEAR(A6110),MONTH(A6110),1)</f>
        <v>42064.0</v>
      </c>
      <c r="G6110" t="str">
        <f>CHOOSE(WEEKDAY(A6110,2),"Mon","Tue","Wed","Thu","Fri","Sat","Sun")</f>
        <v>Fri</v>
      </c>
      <c r="H6110" t="str">
        <f>IF(WEEKDAY(A6110,2)&gt;5,"Weekend","Weekday")</f>
        <v>Weekday</v>
      </c>
      <c r="I6110" t="str">
        <f>_xlfn.IFS(B6110&lt;=5,"Night (0-5)",B6110&lt;=9,"Morning peak (6-9)",B6110&lt;=15,"Midday (10-15)",B6110&lt;=19,"Evening peak (16-19)",TRUE,"Late evening (20-23)")</f>
        <v>Late evening (20-23)</v>
      </c>
    </row>
    <row r="6111" spans="1:9">
      <c r="A6111" s="32">
        <v>42077</v>
      </c>
      <c r="B6111">
        <v>0</v>
      </c>
      <c r="C6111">
        <v>4881</v>
      </c>
      <c r="D6111" t="s">
        <v>304</v>
      </c>
      <c r="E6111">
        <f>YEAR(A6111)</f>
        <v>2015</v>
      </c>
      <c r="F6111" s="33">
        <f>DATE(YEAR(A6111),MONTH(A6111),1)</f>
        <v>42064.0</v>
      </c>
      <c r="G6111" t="str">
        <f>CHOOSE(WEEKDAY(A6111,2),"Mon","Tue","Wed","Thu","Fri","Sat","Sun")</f>
        <v>Sat</v>
      </c>
      <c r="H6111" t="str">
        <f>IF(WEEKDAY(A6111,2)&gt;5,"Weekend","Weekday")</f>
        <v>Weekend</v>
      </c>
      <c r="I6111" t="str">
        <f>_xlfn.IFS(B6111&lt;=5,"Night (0-5)",B6111&lt;=9,"Morning peak (6-9)",B6111&lt;=15,"Midday (10-15)",B6111&lt;=19,"Evening peak (16-19)",TRUE,"Late evening (20-23)")</f>
        <v>Night (0-5)</v>
      </c>
    </row>
    <row r="6112" spans="1:9">
      <c r="A6112" s="32">
        <v>42077</v>
      </c>
      <c r="B6112">
        <v>1</v>
      </c>
      <c r="C6112">
        <v>3459</v>
      </c>
      <c r="D6112" t="s">
        <v>304</v>
      </c>
      <c r="E6112">
        <f>YEAR(A6112)</f>
        <v>2015</v>
      </c>
      <c r="F6112" s="33">
        <f>DATE(YEAR(A6112),MONTH(A6112),1)</f>
        <v>42064.0</v>
      </c>
      <c r="G6112" t="str">
        <f>CHOOSE(WEEKDAY(A6112,2),"Mon","Tue","Wed","Thu","Fri","Sat","Sun")</f>
        <v>Sat</v>
      </c>
      <c r="H6112" t="str">
        <f>IF(WEEKDAY(A6112,2)&gt;5,"Weekend","Weekday")</f>
        <v>Weekend</v>
      </c>
      <c r="I6112" t="str">
        <f>_xlfn.IFS(B6112&lt;=5,"Night (0-5)",B6112&lt;=9,"Morning peak (6-9)",B6112&lt;=15,"Midday (10-15)",B6112&lt;=19,"Evening peak (16-19)",TRUE,"Late evening (20-23)")</f>
        <v>Night (0-5)</v>
      </c>
    </row>
    <row r="6113" spans="1:9">
      <c r="A6113" s="32">
        <v>42077</v>
      </c>
      <c r="B6113">
        <v>2</v>
      </c>
      <c r="C6113">
        <v>2301</v>
      </c>
      <c r="D6113" t="s">
        <v>304</v>
      </c>
      <c r="E6113">
        <f>YEAR(A6113)</f>
        <v>2015</v>
      </c>
      <c r="F6113" s="33">
        <f>DATE(YEAR(A6113),MONTH(A6113),1)</f>
        <v>42064.0</v>
      </c>
      <c r="G6113" t="str">
        <f>CHOOSE(WEEKDAY(A6113,2),"Mon","Tue","Wed","Thu","Fri","Sat","Sun")</f>
        <v>Sat</v>
      </c>
      <c r="H6113" t="str">
        <f>IF(WEEKDAY(A6113,2)&gt;5,"Weekend","Weekday")</f>
        <v>Weekend</v>
      </c>
      <c r="I6113" t="str">
        <f>_xlfn.IFS(B6113&lt;=5,"Night (0-5)",B6113&lt;=9,"Morning peak (6-9)",B6113&lt;=15,"Midday (10-15)",B6113&lt;=19,"Evening peak (16-19)",TRUE,"Late evening (20-23)")</f>
        <v>Night (0-5)</v>
      </c>
    </row>
    <row r="6114" spans="1:9">
      <c r="A6114" s="32">
        <v>42077</v>
      </c>
      <c r="B6114">
        <v>3</v>
      </c>
      <c r="C6114">
        <v>1676</v>
      </c>
      <c r="D6114" t="s">
        <v>304</v>
      </c>
      <c r="E6114">
        <f>YEAR(A6114)</f>
        <v>2015</v>
      </c>
      <c r="F6114" s="33">
        <f>DATE(YEAR(A6114),MONTH(A6114),1)</f>
        <v>42064.0</v>
      </c>
      <c r="G6114" t="str">
        <f>CHOOSE(WEEKDAY(A6114,2),"Mon","Tue","Wed","Thu","Fri","Sat","Sun")</f>
        <v>Sat</v>
      </c>
      <c r="H6114" t="str">
        <f>IF(WEEKDAY(A6114,2)&gt;5,"Weekend","Weekday")</f>
        <v>Weekend</v>
      </c>
      <c r="I6114" t="str">
        <f>_xlfn.IFS(B6114&lt;=5,"Night (0-5)",B6114&lt;=9,"Morning peak (6-9)",B6114&lt;=15,"Midday (10-15)",B6114&lt;=19,"Evening peak (16-19)",TRUE,"Late evening (20-23)")</f>
        <v>Night (0-5)</v>
      </c>
    </row>
    <row r="6115" spans="1:9">
      <c r="A6115" s="32">
        <v>42077</v>
      </c>
      <c r="B6115">
        <v>4</v>
      </c>
      <c r="C6115">
        <v>1369</v>
      </c>
      <c r="D6115" t="s">
        <v>304</v>
      </c>
      <c r="E6115">
        <f>YEAR(A6115)</f>
        <v>2015</v>
      </c>
      <c r="F6115" s="33">
        <f>DATE(YEAR(A6115),MONTH(A6115),1)</f>
        <v>42064.0</v>
      </c>
      <c r="G6115" t="str">
        <f>CHOOSE(WEEKDAY(A6115,2),"Mon","Tue","Wed","Thu","Fri","Sat","Sun")</f>
        <v>Sat</v>
      </c>
      <c r="H6115" t="str">
        <f>IF(WEEKDAY(A6115,2)&gt;5,"Weekend","Weekday")</f>
        <v>Weekend</v>
      </c>
      <c r="I6115" t="str">
        <f>_xlfn.IFS(B6115&lt;=5,"Night (0-5)",B6115&lt;=9,"Morning peak (6-9)",B6115&lt;=15,"Midday (10-15)",B6115&lt;=19,"Evening peak (16-19)",TRUE,"Late evening (20-23)")</f>
        <v>Night (0-5)</v>
      </c>
    </row>
    <row r="6116" spans="1:9">
      <c r="A6116" s="32">
        <v>42077</v>
      </c>
      <c r="B6116">
        <v>5</v>
      </c>
      <c r="C6116">
        <v>1041</v>
      </c>
      <c r="D6116" t="s">
        <v>304</v>
      </c>
      <c r="E6116">
        <f>YEAR(A6116)</f>
        <v>2015</v>
      </c>
      <c r="F6116" s="33">
        <f>DATE(YEAR(A6116),MONTH(A6116),1)</f>
        <v>42064.0</v>
      </c>
      <c r="G6116" t="str">
        <f>CHOOSE(WEEKDAY(A6116,2),"Mon","Tue","Wed","Thu","Fri","Sat","Sun")</f>
        <v>Sat</v>
      </c>
      <c r="H6116" t="str">
        <f>IF(WEEKDAY(A6116,2)&gt;5,"Weekend","Weekday")</f>
        <v>Weekend</v>
      </c>
      <c r="I6116" t="str">
        <f>_xlfn.IFS(B6116&lt;=5,"Night (0-5)",B6116&lt;=9,"Morning peak (6-9)",B6116&lt;=15,"Midday (10-15)",B6116&lt;=19,"Evening peak (16-19)",TRUE,"Late evening (20-23)")</f>
        <v>Night (0-5)</v>
      </c>
    </row>
    <row r="6117" spans="1:9">
      <c r="A6117" s="32">
        <v>42077</v>
      </c>
      <c r="B6117">
        <v>6</v>
      </c>
      <c r="C6117">
        <v>978</v>
      </c>
      <c r="D6117" t="s">
        <v>304</v>
      </c>
      <c r="E6117">
        <f>YEAR(A6117)</f>
        <v>2015</v>
      </c>
      <c r="F6117" s="33">
        <f>DATE(YEAR(A6117),MONTH(A6117),1)</f>
        <v>42064.0</v>
      </c>
      <c r="G6117" t="str">
        <f>CHOOSE(WEEKDAY(A6117,2),"Mon","Tue","Wed","Thu","Fri","Sat","Sun")</f>
        <v>Sat</v>
      </c>
      <c r="H6117" t="str">
        <f>IF(WEEKDAY(A6117,2)&gt;5,"Weekend","Weekday")</f>
        <v>Weekend</v>
      </c>
      <c r="I6117" t="str">
        <f>_xlfn.IFS(B6117&lt;=5,"Night (0-5)",B6117&lt;=9,"Morning peak (6-9)",B6117&lt;=15,"Midday (10-15)",B6117&lt;=19,"Evening peak (16-19)",TRUE,"Late evening (20-23)")</f>
        <v>Morning peak (6-9)</v>
      </c>
    </row>
    <row r="6118" spans="1:9">
      <c r="A6118" s="32">
        <v>42077</v>
      </c>
      <c r="B6118">
        <v>7</v>
      </c>
      <c r="C6118">
        <v>1184</v>
      </c>
      <c r="D6118" t="s">
        <v>304</v>
      </c>
      <c r="E6118">
        <f>YEAR(A6118)</f>
        <v>2015</v>
      </c>
      <c r="F6118" s="33">
        <f>DATE(YEAR(A6118),MONTH(A6118),1)</f>
        <v>42064.0</v>
      </c>
      <c r="G6118" t="str">
        <f>CHOOSE(WEEKDAY(A6118,2),"Mon","Tue","Wed","Thu","Fri","Sat","Sun")</f>
        <v>Sat</v>
      </c>
      <c r="H6118" t="str">
        <f>IF(WEEKDAY(A6118,2)&gt;5,"Weekend","Weekday")</f>
        <v>Weekend</v>
      </c>
      <c r="I6118" t="str">
        <f>_xlfn.IFS(B6118&lt;=5,"Night (0-5)",B6118&lt;=9,"Morning peak (6-9)",B6118&lt;=15,"Midday (10-15)",B6118&lt;=19,"Evening peak (16-19)",TRUE,"Late evening (20-23)")</f>
        <v>Morning peak (6-9)</v>
      </c>
    </row>
    <row r="6119" spans="1:9">
      <c r="A6119" s="32">
        <v>42077</v>
      </c>
      <c r="B6119">
        <v>8</v>
      </c>
      <c r="C6119">
        <v>1699</v>
      </c>
      <c r="D6119" t="s">
        <v>304</v>
      </c>
      <c r="E6119">
        <f>YEAR(A6119)</f>
        <v>2015</v>
      </c>
      <c r="F6119" s="33">
        <f>DATE(YEAR(A6119),MONTH(A6119),1)</f>
        <v>42064.0</v>
      </c>
      <c r="G6119" t="str">
        <f>CHOOSE(WEEKDAY(A6119,2),"Mon","Tue","Wed","Thu","Fri","Sat","Sun")</f>
        <v>Sat</v>
      </c>
      <c r="H6119" t="str">
        <f>IF(WEEKDAY(A6119,2)&gt;5,"Weekend","Weekday")</f>
        <v>Weekend</v>
      </c>
      <c r="I6119" t="str">
        <f>_xlfn.IFS(B6119&lt;=5,"Night (0-5)",B6119&lt;=9,"Morning peak (6-9)",B6119&lt;=15,"Midday (10-15)",B6119&lt;=19,"Evening peak (16-19)",TRUE,"Late evening (20-23)")</f>
        <v>Morning peak (6-9)</v>
      </c>
    </row>
    <row r="6120" spans="1:9">
      <c r="A6120" s="32">
        <v>42077</v>
      </c>
      <c r="B6120">
        <v>9</v>
      </c>
      <c r="C6120">
        <v>2595</v>
      </c>
      <c r="D6120" t="s">
        <v>304</v>
      </c>
      <c r="E6120">
        <f>YEAR(A6120)</f>
        <v>2015</v>
      </c>
      <c r="F6120" s="33">
        <f>DATE(YEAR(A6120),MONTH(A6120),1)</f>
        <v>42064.0</v>
      </c>
      <c r="G6120" t="str">
        <f>CHOOSE(WEEKDAY(A6120,2),"Mon","Tue","Wed","Thu","Fri","Sat","Sun")</f>
        <v>Sat</v>
      </c>
      <c r="H6120" t="str">
        <f>IF(WEEKDAY(A6120,2)&gt;5,"Weekend","Weekday")</f>
        <v>Weekend</v>
      </c>
      <c r="I6120" t="str">
        <f>_xlfn.IFS(B6120&lt;=5,"Night (0-5)",B6120&lt;=9,"Morning peak (6-9)",B6120&lt;=15,"Midday (10-15)",B6120&lt;=19,"Evening peak (16-19)",TRUE,"Late evening (20-23)")</f>
        <v>Morning peak (6-9)</v>
      </c>
    </row>
    <row r="6121" spans="1:9">
      <c r="A6121" s="32">
        <v>42077</v>
      </c>
      <c r="B6121">
        <v>10</v>
      </c>
      <c r="C6121">
        <v>3641</v>
      </c>
      <c r="D6121" t="s">
        <v>304</v>
      </c>
      <c r="E6121">
        <f>YEAR(A6121)</f>
        <v>2015</v>
      </c>
      <c r="F6121" s="33">
        <f>DATE(YEAR(A6121),MONTH(A6121),1)</f>
        <v>42064.0</v>
      </c>
      <c r="G6121" t="str">
        <f>CHOOSE(WEEKDAY(A6121,2),"Mon","Tue","Wed","Thu","Fri","Sat","Sun")</f>
        <v>Sat</v>
      </c>
      <c r="H6121" t="str">
        <f>IF(WEEKDAY(A6121,2)&gt;5,"Weekend","Weekday")</f>
        <v>Weekend</v>
      </c>
      <c r="I6121" t="str">
        <f>_xlfn.IFS(B6121&lt;=5,"Night (0-5)",B6121&lt;=9,"Morning peak (6-9)",B6121&lt;=15,"Midday (10-15)",B6121&lt;=19,"Evening peak (16-19)",TRUE,"Late evening (20-23)")</f>
        <v>Midday (10-15)</v>
      </c>
    </row>
    <row r="6122" spans="1:9">
      <c r="A6122" s="32">
        <v>42077</v>
      </c>
      <c r="B6122">
        <v>11</v>
      </c>
      <c r="C6122">
        <v>4430</v>
      </c>
      <c r="D6122" t="s">
        <v>304</v>
      </c>
      <c r="E6122">
        <f>YEAR(A6122)</f>
        <v>2015</v>
      </c>
      <c r="F6122" s="33">
        <f>DATE(YEAR(A6122),MONTH(A6122),1)</f>
        <v>42064.0</v>
      </c>
      <c r="G6122" t="str">
        <f>CHOOSE(WEEKDAY(A6122,2),"Mon","Tue","Wed","Thu","Fri","Sat","Sun")</f>
        <v>Sat</v>
      </c>
      <c r="H6122" t="str">
        <f>IF(WEEKDAY(A6122,2)&gt;5,"Weekend","Weekday")</f>
        <v>Weekend</v>
      </c>
      <c r="I6122" t="str">
        <f>_xlfn.IFS(B6122&lt;=5,"Night (0-5)",B6122&lt;=9,"Morning peak (6-9)",B6122&lt;=15,"Midday (10-15)",B6122&lt;=19,"Evening peak (16-19)",TRUE,"Late evening (20-23)")</f>
        <v>Midday (10-15)</v>
      </c>
    </row>
    <row r="6123" spans="1:9">
      <c r="A6123" s="32">
        <v>42077</v>
      </c>
      <c r="B6123">
        <v>12</v>
      </c>
      <c r="C6123">
        <v>4927</v>
      </c>
      <c r="D6123" t="s">
        <v>304</v>
      </c>
      <c r="E6123">
        <f>YEAR(A6123)</f>
        <v>2015</v>
      </c>
      <c r="F6123" s="33">
        <f>DATE(YEAR(A6123),MONTH(A6123),1)</f>
        <v>42064.0</v>
      </c>
      <c r="G6123" t="str">
        <f>CHOOSE(WEEKDAY(A6123,2),"Mon","Tue","Wed","Thu","Fri","Sat","Sun")</f>
        <v>Sat</v>
      </c>
      <c r="H6123" t="str">
        <f>IF(WEEKDAY(A6123,2)&gt;5,"Weekend","Weekday")</f>
        <v>Weekend</v>
      </c>
      <c r="I6123" t="str">
        <f>_xlfn.IFS(B6123&lt;=5,"Night (0-5)",B6123&lt;=9,"Morning peak (6-9)",B6123&lt;=15,"Midday (10-15)",B6123&lt;=19,"Evening peak (16-19)",TRUE,"Late evening (20-23)")</f>
        <v>Midday (10-15)</v>
      </c>
    </row>
    <row r="6124" spans="1:9">
      <c r="A6124" s="32">
        <v>42077</v>
      </c>
      <c r="B6124">
        <v>13</v>
      </c>
      <c r="C6124">
        <v>4627</v>
      </c>
      <c r="D6124" t="s">
        <v>304</v>
      </c>
      <c r="E6124">
        <f>YEAR(A6124)</f>
        <v>2015</v>
      </c>
      <c r="F6124" s="33">
        <f>DATE(YEAR(A6124),MONTH(A6124),1)</f>
        <v>42064.0</v>
      </c>
      <c r="G6124" t="str">
        <f>CHOOSE(WEEKDAY(A6124,2),"Mon","Tue","Wed","Thu","Fri","Sat","Sun")</f>
        <v>Sat</v>
      </c>
      <c r="H6124" t="str">
        <f>IF(WEEKDAY(A6124,2)&gt;5,"Weekend","Weekday")</f>
        <v>Weekend</v>
      </c>
      <c r="I6124" t="str">
        <f>_xlfn.IFS(B6124&lt;=5,"Night (0-5)",B6124&lt;=9,"Morning peak (6-9)",B6124&lt;=15,"Midday (10-15)",B6124&lt;=19,"Evening peak (16-19)",TRUE,"Late evening (20-23)")</f>
        <v>Midday (10-15)</v>
      </c>
    </row>
    <row r="6125" spans="1:9">
      <c r="A6125" s="32">
        <v>42077</v>
      </c>
      <c r="B6125">
        <v>14</v>
      </c>
      <c r="C6125">
        <v>4074</v>
      </c>
      <c r="D6125" t="s">
        <v>304</v>
      </c>
      <c r="E6125">
        <f>YEAR(A6125)</f>
        <v>2015</v>
      </c>
      <c r="F6125" s="33">
        <f>DATE(YEAR(A6125),MONTH(A6125),1)</f>
        <v>42064.0</v>
      </c>
      <c r="G6125" t="str">
        <f>CHOOSE(WEEKDAY(A6125,2),"Mon","Tue","Wed","Thu","Fri","Sat","Sun")</f>
        <v>Sat</v>
      </c>
      <c r="H6125" t="str">
        <f>IF(WEEKDAY(A6125,2)&gt;5,"Weekend","Weekday")</f>
        <v>Weekend</v>
      </c>
      <c r="I6125" t="str">
        <f>_xlfn.IFS(B6125&lt;=5,"Night (0-5)",B6125&lt;=9,"Morning peak (6-9)",B6125&lt;=15,"Midday (10-15)",B6125&lt;=19,"Evening peak (16-19)",TRUE,"Late evening (20-23)")</f>
        <v>Midday (10-15)</v>
      </c>
    </row>
    <row r="6126" spans="1:9">
      <c r="A6126" s="32">
        <v>42077</v>
      </c>
      <c r="B6126">
        <v>15</v>
      </c>
      <c r="C6126">
        <v>3818</v>
      </c>
      <c r="D6126" t="s">
        <v>304</v>
      </c>
      <c r="E6126">
        <f>YEAR(A6126)</f>
        <v>2015</v>
      </c>
      <c r="F6126" s="33">
        <f>DATE(YEAR(A6126),MONTH(A6126),1)</f>
        <v>42064.0</v>
      </c>
      <c r="G6126" t="str">
        <f>CHOOSE(WEEKDAY(A6126,2),"Mon","Tue","Wed","Thu","Fri","Sat","Sun")</f>
        <v>Sat</v>
      </c>
      <c r="H6126" t="str">
        <f>IF(WEEKDAY(A6126,2)&gt;5,"Weekend","Weekday")</f>
        <v>Weekend</v>
      </c>
      <c r="I6126" t="str">
        <f>_xlfn.IFS(B6126&lt;=5,"Night (0-5)",B6126&lt;=9,"Morning peak (6-9)",B6126&lt;=15,"Midday (10-15)",B6126&lt;=19,"Evening peak (16-19)",TRUE,"Late evening (20-23)")</f>
        <v>Midday (10-15)</v>
      </c>
    </row>
    <row r="6127" spans="1:9">
      <c r="A6127" s="32">
        <v>42077</v>
      </c>
      <c r="B6127">
        <v>16</v>
      </c>
      <c r="C6127">
        <v>4639</v>
      </c>
      <c r="D6127" t="s">
        <v>304</v>
      </c>
      <c r="E6127">
        <f>YEAR(A6127)</f>
        <v>2015</v>
      </c>
      <c r="F6127" s="33">
        <f>DATE(YEAR(A6127),MONTH(A6127),1)</f>
        <v>42064.0</v>
      </c>
      <c r="G6127" t="str">
        <f>CHOOSE(WEEKDAY(A6127,2),"Mon","Tue","Wed","Thu","Fri","Sat","Sun")</f>
        <v>Sat</v>
      </c>
      <c r="H6127" t="str">
        <f>IF(WEEKDAY(A6127,2)&gt;5,"Weekend","Weekday")</f>
        <v>Weekend</v>
      </c>
      <c r="I6127" t="str">
        <f>_xlfn.IFS(B6127&lt;=5,"Night (0-5)",B6127&lt;=9,"Morning peak (6-9)",B6127&lt;=15,"Midday (10-15)",B6127&lt;=19,"Evening peak (16-19)",TRUE,"Late evening (20-23)")</f>
        <v>Evening peak (16-19)</v>
      </c>
    </row>
    <row r="6128" spans="1:9">
      <c r="A6128" s="32">
        <v>42077</v>
      </c>
      <c r="B6128">
        <v>17</v>
      </c>
      <c r="C6128">
        <v>5237</v>
      </c>
      <c r="D6128" t="s">
        <v>304</v>
      </c>
      <c r="E6128">
        <f>YEAR(A6128)</f>
        <v>2015</v>
      </c>
      <c r="F6128" s="33">
        <f>DATE(YEAR(A6128),MONTH(A6128),1)</f>
        <v>42064.0</v>
      </c>
      <c r="G6128" t="str">
        <f>CHOOSE(WEEKDAY(A6128,2),"Mon","Tue","Wed","Thu","Fri","Sat","Sun")</f>
        <v>Sat</v>
      </c>
      <c r="H6128" t="str">
        <f>IF(WEEKDAY(A6128,2)&gt;5,"Weekend","Weekday")</f>
        <v>Weekend</v>
      </c>
      <c r="I6128" t="str">
        <f>_xlfn.IFS(B6128&lt;=5,"Night (0-5)",B6128&lt;=9,"Morning peak (6-9)",B6128&lt;=15,"Midday (10-15)",B6128&lt;=19,"Evening peak (16-19)",TRUE,"Late evening (20-23)")</f>
        <v>Evening peak (16-19)</v>
      </c>
    </row>
    <row r="6129" spans="1:9">
      <c r="A6129" s="32">
        <v>42077</v>
      </c>
      <c r="B6129">
        <v>18</v>
      </c>
      <c r="C6129">
        <v>5166</v>
      </c>
      <c r="D6129" t="s">
        <v>304</v>
      </c>
      <c r="E6129">
        <f>YEAR(A6129)</f>
        <v>2015</v>
      </c>
      <c r="F6129" s="33">
        <f>DATE(YEAR(A6129),MONTH(A6129),1)</f>
        <v>42064.0</v>
      </c>
      <c r="G6129" t="str">
        <f>CHOOSE(WEEKDAY(A6129,2),"Mon","Tue","Wed","Thu","Fri","Sat","Sun")</f>
        <v>Sat</v>
      </c>
      <c r="H6129" t="str">
        <f>IF(WEEKDAY(A6129,2)&gt;5,"Weekend","Weekday")</f>
        <v>Weekend</v>
      </c>
      <c r="I6129" t="str">
        <f>_xlfn.IFS(B6129&lt;=5,"Night (0-5)",B6129&lt;=9,"Morning peak (6-9)",B6129&lt;=15,"Midday (10-15)",B6129&lt;=19,"Evening peak (16-19)",TRUE,"Late evening (20-23)")</f>
        <v>Evening peak (16-19)</v>
      </c>
    </row>
    <row r="6130" spans="1:9">
      <c r="A6130" s="32">
        <v>42077</v>
      </c>
      <c r="B6130">
        <v>19</v>
      </c>
      <c r="C6130">
        <v>5944</v>
      </c>
      <c r="D6130" t="s">
        <v>304</v>
      </c>
      <c r="E6130">
        <f>YEAR(A6130)</f>
        <v>2015</v>
      </c>
      <c r="F6130" s="33">
        <f>DATE(YEAR(A6130),MONTH(A6130),1)</f>
        <v>42064.0</v>
      </c>
      <c r="G6130" t="str">
        <f>CHOOSE(WEEKDAY(A6130,2),"Mon","Tue","Wed","Thu","Fri","Sat","Sun")</f>
        <v>Sat</v>
      </c>
      <c r="H6130" t="str">
        <f>IF(WEEKDAY(A6130,2)&gt;5,"Weekend","Weekday")</f>
        <v>Weekend</v>
      </c>
      <c r="I6130" t="str">
        <f>_xlfn.IFS(B6130&lt;=5,"Night (0-5)",B6130&lt;=9,"Morning peak (6-9)",B6130&lt;=15,"Midday (10-15)",B6130&lt;=19,"Evening peak (16-19)",TRUE,"Late evening (20-23)")</f>
        <v>Evening peak (16-19)</v>
      </c>
    </row>
    <row r="6131" spans="1:9">
      <c r="A6131" s="32">
        <v>42077</v>
      </c>
      <c r="B6131">
        <v>20</v>
      </c>
      <c r="C6131">
        <v>6177</v>
      </c>
      <c r="D6131" t="s">
        <v>304</v>
      </c>
      <c r="E6131">
        <f>YEAR(A6131)</f>
        <v>2015</v>
      </c>
      <c r="F6131" s="33">
        <f>DATE(YEAR(A6131),MONTH(A6131),1)</f>
        <v>42064.0</v>
      </c>
      <c r="G6131" t="str">
        <f>CHOOSE(WEEKDAY(A6131,2),"Mon","Tue","Wed","Thu","Fri","Sat","Sun")</f>
        <v>Sat</v>
      </c>
      <c r="H6131" t="str">
        <f>IF(WEEKDAY(A6131,2)&gt;5,"Weekend","Weekday")</f>
        <v>Weekend</v>
      </c>
      <c r="I6131" t="str">
        <f>_xlfn.IFS(B6131&lt;=5,"Night (0-5)",B6131&lt;=9,"Morning peak (6-9)",B6131&lt;=15,"Midday (10-15)",B6131&lt;=19,"Evening peak (16-19)",TRUE,"Late evening (20-23)")</f>
        <v>Late evening (20-23)</v>
      </c>
    </row>
    <row r="6132" spans="1:9">
      <c r="A6132" s="32">
        <v>42077</v>
      </c>
      <c r="B6132">
        <v>21</v>
      </c>
      <c r="C6132">
        <v>5976</v>
      </c>
      <c r="D6132" t="s">
        <v>304</v>
      </c>
      <c r="E6132">
        <f>YEAR(A6132)</f>
        <v>2015</v>
      </c>
      <c r="F6132" s="33">
        <f>DATE(YEAR(A6132),MONTH(A6132),1)</f>
        <v>42064.0</v>
      </c>
      <c r="G6132" t="str">
        <f>CHOOSE(WEEKDAY(A6132,2),"Mon","Tue","Wed","Thu","Fri","Sat","Sun")</f>
        <v>Sat</v>
      </c>
      <c r="H6132" t="str">
        <f>IF(WEEKDAY(A6132,2)&gt;5,"Weekend","Weekday")</f>
        <v>Weekend</v>
      </c>
      <c r="I6132" t="str">
        <f>_xlfn.IFS(B6132&lt;=5,"Night (0-5)",B6132&lt;=9,"Morning peak (6-9)",B6132&lt;=15,"Midday (10-15)",B6132&lt;=19,"Evening peak (16-19)",TRUE,"Late evening (20-23)")</f>
        <v>Late evening (20-23)</v>
      </c>
    </row>
    <row r="6133" spans="1:9">
      <c r="A6133" s="32">
        <v>42077</v>
      </c>
      <c r="B6133">
        <v>22</v>
      </c>
      <c r="C6133">
        <v>5658</v>
      </c>
      <c r="D6133" t="s">
        <v>304</v>
      </c>
      <c r="E6133">
        <f>YEAR(A6133)</f>
        <v>2015</v>
      </c>
      <c r="F6133" s="33">
        <f>DATE(YEAR(A6133),MONTH(A6133),1)</f>
        <v>42064.0</v>
      </c>
      <c r="G6133" t="str">
        <f>CHOOSE(WEEKDAY(A6133,2),"Mon","Tue","Wed","Thu","Fri","Sat","Sun")</f>
        <v>Sat</v>
      </c>
      <c r="H6133" t="str">
        <f>IF(WEEKDAY(A6133,2)&gt;5,"Weekend","Weekday")</f>
        <v>Weekend</v>
      </c>
      <c r="I6133" t="str">
        <f>_xlfn.IFS(B6133&lt;=5,"Night (0-5)",B6133&lt;=9,"Morning peak (6-9)",B6133&lt;=15,"Midday (10-15)",B6133&lt;=19,"Evening peak (16-19)",TRUE,"Late evening (20-23)")</f>
        <v>Late evening (20-23)</v>
      </c>
    </row>
    <row r="6134" spans="1:9">
      <c r="A6134" s="32">
        <v>42077</v>
      </c>
      <c r="B6134">
        <v>23</v>
      </c>
      <c r="C6134">
        <v>5459</v>
      </c>
      <c r="D6134" t="s">
        <v>304</v>
      </c>
      <c r="E6134">
        <f>YEAR(A6134)</f>
        <v>2015</v>
      </c>
      <c r="F6134" s="33">
        <f>DATE(YEAR(A6134),MONTH(A6134),1)</f>
        <v>42064.0</v>
      </c>
      <c r="G6134" t="str">
        <f>CHOOSE(WEEKDAY(A6134,2),"Mon","Tue","Wed","Thu","Fri","Sat","Sun")</f>
        <v>Sat</v>
      </c>
      <c r="H6134" t="str">
        <f>IF(WEEKDAY(A6134,2)&gt;5,"Weekend","Weekday")</f>
        <v>Weekend</v>
      </c>
      <c r="I6134" t="str">
        <f>_xlfn.IFS(B6134&lt;=5,"Night (0-5)",B6134&lt;=9,"Morning peak (6-9)",B6134&lt;=15,"Midday (10-15)",B6134&lt;=19,"Evening peak (16-19)",TRUE,"Late evening (20-23)")</f>
        <v>Late evening (20-23)</v>
      </c>
    </row>
    <row r="6135" spans="1:9">
      <c r="A6135" s="32">
        <v>42078</v>
      </c>
      <c r="B6135">
        <v>0</v>
      </c>
      <c r="C6135">
        <v>4853</v>
      </c>
      <c r="D6135" t="s">
        <v>304</v>
      </c>
      <c r="E6135">
        <f>YEAR(A6135)</f>
        <v>2015</v>
      </c>
      <c r="F6135" s="33">
        <f>DATE(YEAR(A6135),MONTH(A6135),1)</f>
        <v>42064.0</v>
      </c>
      <c r="G6135" t="str">
        <f>CHOOSE(WEEKDAY(A6135,2),"Mon","Tue","Wed","Thu","Fri","Sat","Sun")</f>
        <v>Sun</v>
      </c>
      <c r="H6135" t="str">
        <f>IF(WEEKDAY(A6135,2)&gt;5,"Weekend","Weekday")</f>
        <v>Weekend</v>
      </c>
      <c r="I6135" t="str">
        <f>_xlfn.IFS(B6135&lt;=5,"Night (0-5)",B6135&lt;=9,"Morning peak (6-9)",B6135&lt;=15,"Midday (10-15)",B6135&lt;=19,"Evening peak (16-19)",TRUE,"Late evening (20-23)")</f>
        <v>Night (0-5)</v>
      </c>
    </row>
    <row r="6136" spans="1:9">
      <c r="A6136" s="32">
        <v>42078</v>
      </c>
      <c r="B6136">
        <v>1</v>
      </c>
      <c r="C6136">
        <v>3789</v>
      </c>
      <c r="D6136" t="s">
        <v>304</v>
      </c>
      <c r="E6136">
        <f>YEAR(A6136)</f>
        <v>2015</v>
      </c>
      <c r="F6136" s="33">
        <f>DATE(YEAR(A6136),MONTH(A6136),1)</f>
        <v>42064.0</v>
      </c>
      <c r="G6136" t="str">
        <f>CHOOSE(WEEKDAY(A6136,2),"Mon","Tue","Wed","Thu","Fri","Sat","Sun")</f>
        <v>Sun</v>
      </c>
      <c r="H6136" t="str">
        <f>IF(WEEKDAY(A6136,2)&gt;5,"Weekend","Weekday")</f>
        <v>Weekend</v>
      </c>
      <c r="I6136" t="str">
        <f>_xlfn.IFS(B6136&lt;=5,"Night (0-5)",B6136&lt;=9,"Morning peak (6-9)",B6136&lt;=15,"Midday (10-15)",B6136&lt;=19,"Evening peak (16-19)",TRUE,"Late evening (20-23)")</f>
        <v>Night (0-5)</v>
      </c>
    </row>
    <row r="6137" spans="1:9">
      <c r="A6137" s="32">
        <v>42078</v>
      </c>
      <c r="B6137">
        <v>2</v>
      </c>
      <c r="C6137">
        <v>2655</v>
      </c>
      <c r="D6137" t="s">
        <v>304</v>
      </c>
      <c r="E6137">
        <f>YEAR(A6137)</f>
        <v>2015</v>
      </c>
      <c r="F6137" s="33">
        <f>DATE(YEAR(A6137),MONTH(A6137),1)</f>
        <v>42064.0</v>
      </c>
      <c r="G6137" t="str">
        <f>CHOOSE(WEEKDAY(A6137,2),"Mon","Tue","Wed","Thu","Fri","Sat","Sun")</f>
        <v>Sun</v>
      </c>
      <c r="H6137" t="str">
        <f>IF(WEEKDAY(A6137,2)&gt;5,"Weekend","Weekday")</f>
        <v>Weekend</v>
      </c>
      <c r="I6137" t="str">
        <f>_xlfn.IFS(B6137&lt;=5,"Night (0-5)",B6137&lt;=9,"Morning peak (6-9)",B6137&lt;=15,"Midday (10-15)",B6137&lt;=19,"Evening peak (16-19)",TRUE,"Late evening (20-23)")</f>
        <v>Night (0-5)</v>
      </c>
    </row>
    <row r="6138" spans="1:9">
      <c r="A6138" s="32">
        <v>42078</v>
      </c>
      <c r="B6138">
        <v>3</v>
      </c>
      <c r="C6138">
        <v>1848</v>
      </c>
      <c r="D6138" t="s">
        <v>304</v>
      </c>
      <c r="E6138">
        <f>YEAR(A6138)</f>
        <v>2015</v>
      </c>
      <c r="F6138" s="33">
        <f>DATE(YEAR(A6138),MONTH(A6138),1)</f>
        <v>42064.0</v>
      </c>
      <c r="G6138" t="str">
        <f>CHOOSE(WEEKDAY(A6138,2),"Mon","Tue","Wed","Thu","Fri","Sat","Sun")</f>
        <v>Sun</v>
      </c>
      <c r="H6138" t="str">
        <f>IF(WEEKDAY(A6138,2)&gt;5,"Weekend","Weekday")</f>
        <v>Weekend</v>
      </c>
      <c r="I6138" t="str">
        <f>_xlfn.IFS(B6138&lt;=5,"Night (0-5)",B6138&lt;=9,"Morning peak (6-9)",B6138&lt;=15,"Midday (10-15)",B6138&lt;=19,"Evening peak (16-19)",TRUE,"Late evening (20-23)")</f>
        <v>Night (0-5)</v>
      </c>
    </row>
    <row r="6139" spans="1:9">
      <c r="A6139" s="32">
        <v>42078</v>
      </c>
      <c r="B6139">
        <v>4</v>
      </c>
      <c r="C6139">
        <v>1388</v>
      </c>
      <c r="D6139" t="s">
        <v>304</v>
      </c>
      <c r="E6139">
        <f>YEAR(A6139)</f>
        <v>2015</v>
      </c>
      <c r="F6139" s="33">
        <f>DATE(YEAR(A6139),MONTH(A6139),1)</f>
        <v>42064.0</v>
      </c>
      <c r="G6139" t="str">
        <f>CHOOSE(WEEKDAY(A6139,2),"Mon","Tue","Wed","Thu","Fri","Sat","Sun")</f>
        <v>Sun</v>
      </c>
      <c r="H6139" t="str">
        <f>IF(WEEKDAY(A6139,2)&gt;5,"Weekend","Weekday")</f>
        <v>Weekend</v>
      </c>
      <c r="I6139" t="str">
        <f>_xlfn.IFS(B6139&lt;=5,"Night (0-5)",B6139&lt;=9,"Morning peak (6-9)",B6139&lt;=15,"Midday (10-15)",B6139&lt;=19,"Evening peak (16-19)",TRUE,"Late evening (20-23)")</f>
        <v>Night (0-5)</v>
      </c>
    </row>
    <row r="6140" spans="1:9">
      <c r="A6140" s="32">
        <v>42078</v>
      </c>
      <c r="B6140">
        <v>5</v>
      </c>
      <c r="C6140">
        <v>946</v>
      </c>
      <c r="D6140" t="s">
        <v>304</v>
      </c>
      <c r="E6140">
        <f>YEAR(A6140)</f>
        <v>2015</v>
      </c>
      <c r="F6140" s="33">
        <f>DATE(YEAR(A6140),MONTH(A6140),1)</f>
        <v>42064.0</v>
      </c>
      <c r="G6140" t="str">
        <f>CHOOSE(WEEKDAY(A6140,2),"Mon","Tue","Wed","Thu","Fri","Sat","Sun")</f>
        <v>Sun</v>
      </c>
      <c r="H6140" t="str">
        <f>IF(WEEKDAY(A6140,2)&gt;5,"Weekend","Weekday")</f>
        <v>Weekend</v>
      </c>
      <c r="I6140" t="str">
        <f>_xlfn.IFS(B6140&lt;=5,"Night (0-5)",B6140&lt;=9,"Morning peak (6-9)",B6140&lt;=15,"Midday (10-15)",B6140&lt;=19,"Evening peak (16-19)",TRUE,"Late evening (20-23)")</f>
        <v>Night (0-5)</v>
      </c>
    </row>
    <row r="6141" spans="1:9">
      <c r="A6141" s="32">
        <v>42078</v>
      </c>
      <c r="B6141">
        <v>6</v>
      </c>
      <c r="C6141">
        <v>947</v>
      </c>
      <c r="D6141" t="s">
        <v>304</v>
      </c>
      <c r="E6141">
        <f>YEAR(A6141)</f>
        <v>2015</v>
      </c>
      <c r="F6141" s="33">
        <f>DATE(YEAR(A6141),MONTH(A6141),1)</f>
        <v>42064.0</v>
      </c>
      <c r="G6141" t="str">
        <f>CHOOSE(WEEKDAY(A6141,2),"Mon","Tue","Wed","Thu","Fri","Sat","Sun")</f>
        <v>Sun</v>
      </c>
      <c r="H6141" t="str">
        <f>IF(WEEKDAY(A6141,2)&gt;5,"Weekend","Weekday")</f>
        <v>Weekend</v>
      </c>
      <c r="I6141" t="str">
        <f>_xlfn.IFS(B6141&lt;=5,"Night (0-5)",B6141&lt;=9,"Morning peak (6-9)",B6141&lt;=15,"Midday (10-15)",B6141&lt;=19,"Evening peak (16-19)",TRUE,"Late evening (20-23)")</f>
        <v>Morning peak (6-9)</v>
      </c>
    </row>
    <row r="6142" spans="1:9">
      <c r="A6142" s="32">
        <v>42078</v>
      </c>
      <c r="B6142">
        <v>7</v>
      </c>
      <c r="C6142">
        <v>944</v>
      </c>
      <c r="D6142" t="s">
        <v>304</v>
      </c>
      <c r="E6142">
        <f>YEAR(A6142)</f>
        <v>2015</v>
      </c>
      <c r="F6142" s="33">
        <f>DATE(YEAR(A6142),MONTH(A6142),1)</f>
        <v>42064.0</v>
      </c>
      <c r="G6142" t="str">
        <f>CHOOSE(WEEKDAY(A6142,2),"Mon","Tue","Wed","Thu","Fri","Sat","Sun")</f>
        <v>Sun</v>
      </c>
      <c r="H6142" t="str">
        <f>IF(WEEKDAY(A6142,2)&gt;5,"Weekend","Weekday")</f>
        <v>Weekend</v>
      </c>
      <c r="I6142" t="str">
        <f>_xlfn.IFS(B6142&lt;=5,"Night (0-5)",B6142&lt;=9,"Morning peak (6-9)",B6142&lt;=15,"Midday (10-15)",B6142&lt;=19,"Evening peak (16-19)",TRUE,"Late evening (20-23)")</f>
        <v>Morning peak (6-9)</v>
      </c>
    </row>
    <row r="6143" spans="1:9">
      <c r="A6143" s="32">
        <v>42078</v>
      </c>
      <c r="B6143">
        <v>8</v>
      </c>
      <c r="C6143">
        <v>1022</v>
      </c>
      <c r="D6143" t="s">
        <v>304</v>
      </c>
      <c r="E6143">
        <f>YEAR(A6143)</f>
        <v>2015</v>
      </c>
      <c r="F6143" s="33">
        <f>DATE(YEAR(A6143),MONTH(A6143),1)</f>
        <v>42064.0</v>
      </c>
      <c r="G6143" t="str">
        <f>CHOOSE(WEEKDAY(A6143,2),"Mon","Tue","Wed","Thu","Fri","Sat","Sun")</f>
        <v>Sun</v>
      </c>
      <c r="H6143" t="str">
        <f>IF(WEEKDAY(A6143,2)&gt;5,"Weekend","Weekday")</f>
        <v>Weekend</v>
      </c>
      <c r="I6143" t="str">
        <f>_xlfn.IFS(B6143&lt;=5,"Night (0-5)",B6143&lt;=9,"Morning peak (6-9)",B6143&lt;=15,"Midday (10-15)",B6143&lt;=19,"Evening peak (16-19)",TRUE,"Late evening (20-23)")</f>
        <v>Morning peak (6-9)</v>
      </c>
    </row>
    <row r="6144" spans="1:9">
      <c r="A6144" s="32">
        <v>42078</v>
      </c>
      <c r="B6144">
        <v>9</v>
      </c>
      <c r="C6144">
        <v>1364</v>
      </c>
      <c r="D6144" t="s">
        <v>304</v>
      </c>
      <c r="E6144">
        <f>YEAR(A6144)</f>
        <v>2015</v>
      </c>
      <c r="F6144" s="33">
        <f>DATE(YEAR(A6144),MONTH(A6144),1)</f>
        <v>42064.0</v>
      </c>
      <c r="G6144" t="str">
        <f>CHOOSE(WEEKDAY(A6144,2),"Mon","Tue","Wed","Thu","Fri","Sat","Sun")</f>
        <v>Sun</v>
      </c>
      <c r="H6144" t="str">
        <f>IF(WEEKDAY(A6144,2)&gt;5,"Weekend","Weekday")</f>
        <v>Weekend</v>
      </c>
      <c r="I6144" t="str">
        <f>_xlfn.IFS(B6144&lt;=5,"Night (0-5)",B6144&lt;=9,"Morning peak (6-9)",B6144&lt;=15,"Midday (10-15)",B6144&lt;=19,"Evening peak (16-19)",TRUE,"Late evening (20-23)")</f>
        <v>Morning peak (6-9)</v>
      </c>
    </row>
    <row r="6145" spans="1:9">
      <c r="A6145" s="32">
        <v>42078</v>
      </c>
      <c r="B6145">
        <v>10</v>
      </c>
      <c r="C6145">
        <v>2127</v>
      </c>
      <c r="D6145" t="s">
        <v>304</v>
      </c>
      <c r="E6145">
        <f>YEAR(A6145)</f>
        <v>2015</v>
      </c>
      <c r="F6145" s="33">
        <f>DATE(YEAR(A6145),MONTH(A6145),1)</f>
        <v>42064.0</v>
      </c>
      <c r="G6145" t="str">
        <f>CHOOSE(WEEKDAY(A6145,2),"Mon","Tue","Wed","Thu","Fri","Sat","Sun")</f>
        <v>Sun</v>
      </c>
      <c r="H6145" t="str">
        <f>IF(WEEKDAY(A6145,2)&gt;5,"Weekend","Weekday")</f>
        <v>Weekend</v>
      </c>
      <c r="I6145" t="str">
        <f>_xlfn.IFS(B6145&lt;=5,"Night (0-5)",B6145&lt;=9,"Morning peak (6-9)",B6145&lt;=15,"Midday (10-15)",B6145&lt;=19,"Evening peak (16-19)",TRUE,"Late evening (20-23)")</f>
        <v>Midday (10-15)</v>
      </c>
    </row>
    <row r="6146" spans="1:9">
      <c r="A6146" s="32">
        <v>42078</v>
      </c>
      <c r="B6146">
        <v>11</v>
      </c>
      <c r="C6146">
        <v>2876</v>
      </c>
      <c r="D6146" t="s">
        <v>304</v>
      </c>
      <c r="E6146">
        <f>YEAR(A6146)</f>
        <v>2015</v>
      </c>
      <c r="F6146" s="33">
        <f>DATE(YEAR(A6146),MONTH(A6146),1)</f>
        <v>42064.0</v>
      </c>
      <c r="G6146" t="str">
        <f>CHOOSE(WEEKDAY(A6146,2),"Mon","Tue","Wed","Thu","Fri","Sat","Sun")</f>
        <v>Sun</v>
      </c>
      <c r="H6146" t="str">
        <f>IF(WEEKDAY(A6146,2)&gt;5,"Weekend","Weekday")</f>
        <v>Weekend</v>
      </c>
      <c r="I6146" t="str">
        <f>_xlfn.IFS(B6146&lt;=5,"Night (0-5)",B6146&lt;=9,"Morning peak (6-9)",B6146&lt;=15,"Midday (10-15)",B6146&lt;=19,"Evening peak (16-19)",TRUE,"Late evening (20-23)")</f>
        <v>Midday (10-15)</v>
      </c>
    </row>
    <row r="6147" spans="1:9">
      <c r="A6147" s="32">
        <v>42078</v>
      </c>
      <c r="B6147">
        <v>12</v>
      </c>
      <c r="C6147">
        <v>3190</v>
      </c>
      <c r="D6147" t="s">
        <v>304</v>
      </c>
      <c r="E6147">
        <f>YEAR(A6147)</f>
        <v>2015</v>
      </c>
      <c r="F6147" s="33">
        <f>DATE(YEAR(A6147),MONTH(A6147),1)</f>
        <v>42064.0</v>
      </c>
      <c r="G6147" t="str">
        <f>CHOOSE(WEEKDAY(A6147,2),"Mon","Tue","Wed","Thu","Fri","Sat","Sun")</f>
        <v>Sun</v>
      </c>
      <c r="H6147" t="str">
        <f>IF(WEEKDAY(A6147,2)&gt;5,"Weekend","Weekday")</f>
        <v>Weekend</v>
      </c>
      <c r="I6147" t="str">
        <f>_xlfn.IFS(B6147&lt;=5,"Night (0-5)",B6147&lt;=9,"Morning peak (6-9)",B6147&lt;=15,"Midday (10-15)",B6147&lt;=19,"Evening peak (16-19)",TRUE,"Late evening (20-23)")</f>
        <v>Midday (10-15)</v>
      </c>
    </row>
    <row r="6148" spans="1:9">
      <c r="A6148" s="32">
        <v>42078</v>
      </c>
      <c r="B6148">
        <v>13</v>
      </c>
      <c r="C6148">
        <v>3287</v>
      </c>
      <c r="D6148" t="s">
        <v>304</v>
      </c>
      <c r="E6148">
        <f>YEAR(A6148)</f>
        <v>2015</v>
      </c>
      <c r="F6148" s="33">
        <f>DATE(YEAR(A6148),MONTH(A6148),1)</f>
        <v>42064.0</v>
      </c>
      <c r="G6148" t="str">
        <f>CHOOSE(WEEKDAY(A6148,2),"Mon","Tue","Wed","Thu","Fri","Sat","Sun")</f>
        <v>Sun</v>
      </c>
      <c r="H6148" t="str">
        <f>IF(WEEKDAY(A6148,2)&gt;5,"Weekend","Weekday")</f>
        <v>Weekend</v>
      </c>
      <c r="I6148" t="str">
        <f>_xlfn.IFS(B6148&lt;=5,"Night (0-5)",B6148&lt;=9,"Morning peak (6-9)",B6148&lt;=15,"Midday (10-15)",B6148&lt;=19,"Evening peak (16-19)",TRUE,"Late evening (20-23)")</f>
        <v>Midday (10-15)</v>
      </c>
    </row>
    <row r="6149" spans="1:9">
      <c r="A6149" s="32">
        <v>42078</v>
      </c>
      <c r="B6149">
        <v>14</v>
      </c>
      <c r="C6149">
        <v>3308</v>
      </c>
      <c r="D6149" t="s">
        <v>304</v>
      </c>
      <c r="E6149">
        <f>YEAR(A6149)</f>
        <v>2015</v>
      </c>
      <c r="F6149" s="33">
        <f>DATE(YEAR(A6149),MONTH(A6149),1)</f>
        <v>42064.0</v>
      </c>
      <c r="G6149" t="str">
        <f>CHOOSE(WEEKDAY(A6149,2),"Mon","Tue","Wed","Thu","Fri","Sat","Sun")</f>
        <v>Sun</v>
      </c>
      <c r="H6149" t="str">
        <f>IF(WEEKDAY(A6149,2)&gt;5,"Weekend","Weekday")</f>
        <v>Weekend</v>
      </c>
      <c r="I6149" t="str">
        <f>_xlfn.IFS(B6149&lt;=5,"Night (0-5)",B6149&lt;=9,"Morning peak (6-9)",B6149&lt;=15,"Midday (10-15)",B6149&lt;=19,"Evening peak (16-19)",TRUE,"Late evening (20-23)")</f>
        <v>Midday (10-15)</v>
      </c>
    </row>
    <row r="6150" spans="1:9">
      <c r="A6150" s="32">
        <v>42078</v>
      </c>
      <c r="B6150">
        <v>15</v>
      </c>
      <c r="C6150">
        <v>3477</v>
      </c>
      <c r="D6150" t="s">
        <v>304</v>
      </c>
      <c r="E6150">
        <f>YEAR(A6150)</f>
        <v>2015</v>
      </c>
      <c r="F6150" s="33">
        <f>DATE(YEAR(A6150),MONTH(A6150),1)</f>
        <v>42064.0</v>
      </c>
      <c r="G6150" t="str">
        <f>CHOOSE(WEEKDAY(A6150,2),"Mon","Tue","Wed","Thu","Fri","Sat","Sun")</f>
        <v>Sun</v>
      </c>
      <c r="H6150" t="str">
        <f>IF(WEEKDAY(A6150,2)&gt;5,"Weekend","Weekday")</f>
        <v>Weekend</v>
      </c>
      <c r="I6150" t="str">
        <f>_xlfn.IFS(B6150&lt;=5,"Night (0-5)",B6150&lt;=9,"Morning peak (6-9)",B6150&lt;=15,"Midday (10-15)",B6150&lt;=19,"Evening peak (16-19)",TRUE,"Late evening (20-23)")</f>
        <v>Midday (10-15)</v>
      </c>
    </row>
    <row r="6151" spans="1:9">
      <c r="A6151" s="32">
        <v>42078</v>
      </c>
      <c r="B6151">
        <v>16</v>
      </c>
      <c r="C6151">
        <v>3648</v>
      </c>
      <c r="D6151" t="s">
        <v>304</v>
      </c>
      <c r="E6151">
        <f>YEAR(A6151)</f>
        <v>2015</v>
      </c>
      <c r="F6151" s="33">
        <f>DATE(YEAR(A6151),MONTH(A6151),1)</f>
        <v>42064.0</v>
      </c>
      <c r="G6151" t="str">
        <f>CHOOSE(WEEKDAY(A6151,2),"Mon","Tue","Wed","Thu","Fri","Sat","Sun")</f>
        <v>Sun</v>
      </c>
      <c r="H6151" t="str">
        <f>IF(WEEKDAY(A6151,2)&gt;5,"Weekend","Weekday")</f>
        <v>Weekend</v>
      </c>
      <c r="I6151" t="str">
        <f>_xlfn.IFS(B6151&lt;=5,"Night (0-5)",B6151&lt;=9,"Morning peak (6-9)",B6151&lt;=15,"Midday (10-15)",B6151&lt;=19,"Evening peak (16-19)",TRUE,"Late evening (20-23)")</f>
        <v>Evening peak (16-19)</v>
      </c>
    </row>
    <row r="6152" spans="1:9">
      <c r="A6152" s="32">
        <v>42078</v>
      </c>
      <c r="B6152">
        <v>17</v>
      </c>
      <c r="C6152">
        <v>3770</v>
      </c>
      <c r="D6152" t="s">
        <v>304</v>
      </c>
      <c r="E6152">
        <f>YEAR(A6152)</f>
        <v>2015</v>
      </c>
      <c r="F6152" s="33">
        <f>DATE(YEAR(A6152),MONTH(A6152),1)</f>
        <v>42064.0</v>
      </c>
      <c r="G6152" t="str">
        <f>CHOOSE(WEEKDAY(A6152,2),"Mon","Tue","Wed","Thu","Fri","Sat","Sun")</f>
        <v>Sun</v>
      </c>
      <c r="H6152" t="str">
        <f>IF(WEEKDAY(A6152,2)&gt;5,"Weekend","Weekday")</f>
        <v>Weekend</v>
      </c>
      <c r="I6152" t="str">
        <f>_xlfn.IFS(B6152&lt;=5,"Night (0-5)",B6152&lt;=9,"Morning peak (6-9)",B6152&lt;=15,"Midday (10-15)",B6152&lt;=19,"Evening peak (16-19)",TRUE,"Late evening (20-23)")</f>
        <v>Evening peak (16-19)</v>
      </c>
    </row>
    <row r="6153" spans="1:9">
      <c r="A6153" s="32">
        <v>42078</v>
      </c>
      <c r="B6153">
        <v>18</v>
      </c>
      <c r="C6153">
        <v>3532</v>
      </c>
      <c r="D6153" t="s">
        <v>304</v>
      </c>
      <c r="E6153">
        <f>YEAR(A6153)</f>
        <v>2015</v>
      </c>
      <c r="F6153" s="33">
        <f>DATE(YEAR(A6153),MONTH(A6153),1)</f>
        <v>42064.0</v>
      </c>
      <c r="G6153" t="str">
        <f>CHOOSE(WEEKDAY(A6153,2),"Mon","Tue","Wed","Thu","Fri","Sat","Sun")</f>
        <v>Sun</v>
      </c>
      <c r="H6153" t="str">
        <f>IF(WEEKDAY(A6153,2)&gt;5,"Weekend","Weekday")</f>
        <v>Weekend</v>
      </c>
      <c r="I6153" t="str">
        <f>_xlfn.IFS(B6153&lt;=5,"Night (0-5)",B6153&lt;=9,"Morning peak (6-9)",B6153&lt;=15,"Midday (10-15)",B6153&lt;=19,"Evening peak (16-19)",TRUE,"Late evening (20-23)")</f>
        <v>Evening peak (16-19)</v>
      </c>
    </row>
    <row r="6154" spans="1:9">
      <c r="A6154" s="32">
        <v>42078</v>
      </c>
      <c r="B6154">
        <v>19</v>
      </c>
      <c r="C6154">
        <v>3396</v>
      </c>
      <c r="D6154" t="s">
        <v>304</v>
      </c>
      <c r="E6154">
        <f>YEAR(A6154)</f>
        <v>2015</v>
      </c>
      <c r="F6154" s="33">
        <f>DATE(YEAR(A6154),MONTH(A6154),1)</f>
        <v>42064.0</v>
      </c>
      <c r="G6154" t="str">
        <f>CHOOSE(WEEKDAY(A6154,2),"Mon","Tue","Wed","Thu","Fri","Sat","Sun")</f>
        <v>Sun</v>
      </c>
      <c r="H6154" t="str">
        <f>IF(WEEKDAY(A6154,2)&gt;5,"Weekend","Weekday")</f>
        <v>Weekend</v>
      </c>
      <c r="I6154" t="str">
        <f>_xlfn.IFS(B6154&lt;=5,"Night (0-5)",B6154&lt;=9,"Morning peak (6-9)",B6154&lt;=15,"Midday (10-15)",B6154&lt;=19,"Evening peak (16-19)",TRUE,"Late evening (20-23)")</f>
        <v>Evening peak (16-19)</v>
      </c>
    </row>
    <row r="6155" spans="1:9">
      <c r="A6155" s="32">
        <v>42078</v>
      </c>
      <c r="B6155">
        <v>20</v>
      </c>
      <c r="C6155">
        <v>3307</v>
      </c>
      <c r="D6155" t="s">
        <v>304</v>
      </c>
      <c r="E6155">
        <f>YEAR(A6155)</f>
        <v>2015</v>
      </c>
      <c r="F6155" s="33">
        <f>DATE(YEAR(A6155),MONTH(A6155),1)</f>
        <v>42064.0</v>
      </c>
      <c r="G6155" t="str">
        <f>CHOOSE(WEEKDAY(A6155,2),"Mon","Tue","Wed","Thu","Fri","Sat","Sun")</f>
        <v>Sun</v>
      </c>
      <c r="H6155" t="str">
        <f>IF(WEEKDAY(A6155,2)&gt;5,"Weekend","Weekday")</f>
        <v>Weekend</v>
      </c>
      <c r="I6155" t="str">
        <f>_xlfn.IFS(B6155&lt;=5,"Night (0-5)",B6155&lt;=9,"Morning peak (6-9)",B6155&lt;=15,"Midday (10-15)",B6155&lt;=19,"Evening peak (16-19)",TRUE,"Late evening (20-23)")</f>
        <v>Late evening (20-23)</v>
      </c>
    </row>
    <row r="6156" spans="1:9">
      <c r="A6156" s="32">
        <v>42078</v>
      </c>
      <c r="B6156">
        <v>21</v>
      </c>
      <c r="C6156">
        <v>2933</v>
      </c>
      <c r="D6156" t="s">
        <v>304</v>
      </c>
      <c r="E6156">
        <f>YEAR(A6156)</f>
        <v>2015</v>
      </c>
      <c r="F6156" s="33">
        <f>DATE(YEAR(A6156),MONTH(A6156),1)</f>
        <v>42064.0</v>
      </c>
      <c r="G6156" t="str">
        <f>CHOOSE(WEEKDAY(A6156,2),"Mon","Tue","Wed","Thu","Fri","Sat","Sun")</f>
        <v>Sun</v>
      </c>
      <c r="H6156" t="str">
        <f>IF(WEEKDAY(A6156,2)&gt;5,"Weekend","Weekday")</f>
        <v>Weekend</v>
      </c>
      <c r="I6156" t="str">
        <f>_xlfn.IFS(B6156&lt;=5,"Night (0-5)",B6156&lt;=9,"Morning peak (6-9)",B6156&lt;=15,"Midday (10-15)",B6156&lt;=19,"Evening peak (16-19)",TRUE,"Late evening (20-23)")</f>
        <v>Late evening (20-23)</v>
      </c>
    </row>
    <row r="6157" spans="1:9">
      <c r="A6157" s="32">
        <v>42078</v>
      </c>
      <c r="B6157">
        <v>22</v>
      </c>
      <c r="C6157">
        <v>2688</v>
      </c>
      <c r="D6157" t="s">
        <v>304</v>
      </c>
      <c r="E6157">
        <f>YEAR(A6157)</f>
        <v>2015</v>
      </c>
      <c r="F6157" s="33">
        <f>DATE(YEAR(A6157),MONTH(A6157),1)</f>
        <v>42064.0</v>
      </c>
      <c r="G6157" t="str">
        <f>CHOOSE(WEEKDAY(A6157,2),"Mon","Tue","Wed","Thu","Fri","Sat","Sun")</f>
        <v>Sun</v>
      </c>
      <c r="H6157" t="str">
        <f>IF(WEEKDAY(A6157,2)&gt;5,"Weekend","Weekday")</f>
        <v>Weekend</v>
      </c>
      <c r="I6157" t="str">
        <f>_xlfn.IFS(B6157&lt;=5,"Night (0-5)",B6157&lt;=9,"Morning peak (6-9)",B6157&lt;=15,"Midday (10-15)",B6157&lt;=19,"Evening peak (16-19)",TRUE,"Late evening (20-23)")</f>
        <v>Late evening (20-23)</v>
      </c>
    </row>
    <row r="6158" spans="1:9">
      <c r="A6158" s="32">
        <v>42078</v>
      </c>
      <c r="B6158">
        <v>23</v>
      </c>
      <c r="C6158">
        <v>2126</v>
      </c>
      <c r="D6158" t="s">
        <v>304</v>
      </c>
      <c r="E6158">
        <f>YEAR(A6158)</f>
        <v>2015</v>
      </c>
      <c r="F6158" s="33">
        <f>DATE(YEAR(A6158),MONTH(A6158),1)</f>
        <v>42064.0</v>
      </c>
      <c r="G6158" t="str">
        <f>CHOOSE(WEEKDAY(A6158,2),"Mon","Tue","Wed","Thu","Fri","Sat","Sun")</f>
        <v>Sun</v>
      </c>
      <c r="H6158" t="str">
        <f>IF(WEEKDAY(A6158,2)&gt;5,"Weekend","Weekday")</f>
        <v>Weekend</v>
      </c>
      <c r="I6158" t="str">
        <f>_xlfn.IFS(B6158&lt;=5,"Night (0-5)",B6158&lt;=9,"Morning peak (6-9)",B6158&lt;=15,"Midday (10-15)",B6158&lt;=19,"Evening peak (16-19)",TRUE,"Late evening (20-23)")</f>
        <v>Late evening (20-23)</v>
      </c>
    </row>
    <row r="6159" spans="1:9">
      <c r="A6159" s="32">
        <v>42079</v>
      </c>
      <c r="B6159">
        <v>0</v>
      </c>
      <c r="C6159">
        <v>1510</v>
      </c>
      <c r="D6159" t="s">
        <v>304</v>
      </c>
      <c r="E6159">
        <f>YEAR(A6159)</f>
        <v>2015</v>
      </c>
      <c r="F6159" s="33">
        <f>DATE(YEAR(A6159),MONTH(A6159),1)</f>
        <v>42064.0</v>
      </c>
      <c r="G6159" t="str">
        <f>CHOOSE(WEEKDAY(A6159,2),"Mon","Tue","Wed","Thu","Fri","Sat","Sun")</f>
        <v>Mon</v>
      </c>
      <c r="H6159" t="str">
        <f>IF(WEEKDAY(A6159,2)&gt;5,"Weekend","Weekday")</f>
        <v>Weekday</v>
      </c>
      <c r="I6159" t="str">
        <f>_xlfn.IFS(B6159&lt;=5,"Night (0-5)",B6159&lt;=9,"Morning peak (6-9)",B6159&lt;=15,"Midday (10-15)",B6159&lt;=19,"Evening peak (16-19)",TRUE,"Late evening (20-23)")</f>
        <v>Night (0-5)</v>
      </c>
    </row>
    <row r="6160" spans="1:9">
      <c r="A6160" s="32">
        <v>42079</v>
      </c>
      <c r="B6160">
        <v>1</v>
      </c>
      <c r="C6160">
        <v>861</v>
      </c>
      <c r="D6160" t="s">
        <v>304</v>
      </c>
      <c r="E6160">
        <f>YEAR(A6160)</f>
        <v>2015</v>
      </c>
      <c r="F6160" s="33">
        <f>DATE(YEAR(A6160),MONTH(A6160),1)</f>
        <v>42064.0</v>
      </c>
      <c r="G6160" t="str">
        <f>CHOOSE(WEEKDAY(A6160,2),"Mon","Tue","Wed","Thu","Fri","Sat","Sun")</f>
        <v>Mon</v>
      </c>
      <c r="H6160" t="str">
        <f>IF(WEEKDAY(A6160,2)&gt;5,"Weekend","Weekday")</f>
        <v>Weekday</v>
      </c>
      <c r="I6160" t="str">
        <f>_xlfn.IFS(B6160&lt;=5,"Night (0-5)",B6160&lt;=9,"Morning peak (6-9)",B6160&lt;=15,"Midday (10-15)",B6160&lt;=19,"Evening peak (16-19)",TRUE,"Late evening (20-23)")</f>
        <v>Night (0-5)</v>
      </c>
    </row>
    <row r="6161" spans="1:9">
      <c r="A6161" s="32">
        <v>42079</v>
      </c>
      <c r="B6161">
        <v>2</v>
      </c>
      <c r="C6161">
        <v>623</v>
      </c>
      <c r="D6161" t="s">
        <v>304</v>
      </c>
      <c r="E6161">
        <f>YEAR(A6161)</f>
        <v>2015</v>
      </c>
      <c r="F6161" s="33">
        <f>DATE(YEAR(A6161),MONTH(A6161),1)</f>
        <v>42064.0</v>
      </c>
      <c r="G6161" t="str">
        <f>CHOOSE(WEEKDAY(A6161,2),"Mon","Tue","Wed","Thu","Fri","Sat","Sun")</f>
        <v>Mon</v>
      </c>
      <c r="H6161" t="str">
        <f>IF(WEEKDAY(A6161,2)&gt;5,"Weekend","Weekday")</f>
        <v>Weekday</v>
      </c>
      <c r="I6161" t="str">
        <f>_xlfn.IFS(B6161&lt;=5,"Night (0-5)",B6161&lt;=9,"Morning peak (6-9)",B6161&lt;=15,"Midday (10-15)",B6161&lt;=19,"Evening peak (16-19)",TRUE,"Late evening (20-23)")</f>
        <v>Night (0-5)</v>
      </c>
    </row>
    <row r="6162" spans="1:9">
      <c r="A6162" s="32">
        <v>42079</v>
      </c>
      <c r="B6162">
        <v>3</v>
      </c>
      <c r="C6162">
        <v>465</v>
      </c>
      <c r="D6162" t="s">
        <v>304</v>
      </c>
      <c r="E6162">
        <f>YEAR(A6162)</f>
        <v>2015</v>
      </c>
      <c r="F6162" s="33">
        <f>DATE(YEAR(A6162),MONTH(A6162),1)</f>
        <v>42064.0</v>
      </c>
      <c r="G6162" t="str">
        <f>CHOOSE(WEEKDAY(A6162,2),"Mon","Tue","Wed","Thu","Fri","Sat","Sun")</f>
        <v>Mon</v>
      </c>
      <c r="H6162" t="str">
        <f>IF(WEEKDAY(A6162,2)&gt;5,"Weekend","Weekday")</f>
        <v>Weekday</v>
      </c>
      <c r="I6162" t="str">
        <f>_xlfn.IFS(B6162&lt;=5,"Night (0-5)",B6162&lt;=9,"Morning peak (6-9)",B6162&lt;=15,"Midday (10-15)",B6162&lt;=19,"Evening peak (16-19)",TRUE,"Late evening (20-23)")</f>
        <v>Night (0-5)</v>
      </c>
    </row>
    <row r="6163" spans="1:9">
      <c r="A6163" s="32">
        <v>42079</v>
      </c>
      <c r="B6163">
        <v>4</v>
      </c>
      <c r="C6163">
        <v>675</v>
      </c>
      <c r="D6163" t="s">
        <v>304</v>
      </c>
      <c r="E6163">
        <f>YEAR(A6163)</f>
        <v>2015</v>
      </c>
      <c r="F6163" s="33">
        <f>DATE(YEAR(A6163),MONTH(A6163),1)</f>
        <v>42064.0</v>
      </c>
      <c r="G6163" t="str">
        <f>CHOOSE(WEEKDAY(A6163,2),"Mon","Tue","Wed","Thu","Fri","Sat","Sun")</f>
        <v>Mon</v>
      </c>
      <c r="H6163" t="str">
        <f>IF(WEEKDAY(A6163,2)&gt;5,"Weekend","Weekday")</f>
        <v>Weekday</v>
      </c>
      <c r="I6163" t="str">
        <f>_xlfn.IFS(B6163&lt;=5,"Night (0-5)",B6163&lt;=9,"Morning peak (6-9)",B6163&lt;=15,"Midday (10-15)",B6163&lt;=19,"Evening peak (16-19)",TRUE,"Late evening (20-23)")</f>
        <v>Night (0-5)</v>
      </c>
    </row>
    <row r="6164" spans="1:9">
      <c r="A6164" s="32">
        <v>42079</v>
      </c>
      <c r="B6164">
        <v>5</v>
      </c>
      <c r="C6164">
        <v>1121</v>
      </c>
      <c r="D6164" t="s">
        <v>304</v>
      </c>
      <c r="E6164">
        <f>YEAR(A6164)</f>
        <v>2015</v>
      </c>
      <c r="F6164" s="33">
        <f>DATE(YEAR(A6164),MONTH(A6164),1)</f>
        <v>42064.0</v>
      </c>
      <c r="G6164" t="str">
        <f>CHOOSE(WEEKDAY(A6164,2),"Mon","Tue","Wed","Thu","Fri","Sat","Sun")</f>
        <v>Mon</v>
      </c>
      <c r="H6164" t="str">
        <f>IF(WEEKDAY(A6164,2)&gt;5,"Weekend","Weekday")</f>
        <v>Weekday</v>
      </c>
      <c r="I6164" t="str">
        <f>_xlfn.IFS(B6164&lt;=5,"Night (0-5)",B6164&lt;=9,"Morning peak (6-9)",B6164&lt;=15,"Midday (10-15)",B6164&lt;=19,"Evening peak (16-19)",TRUE,"Late evening (20-23)")</f>
        <v>Night (0-5)</v>
      </c>
    </row>
    <row r="6165" spans="1:9">
      <c r="A6165" s="32">
        <v>42079</v>
      </c>
      <c r="B6165">
        <v>6</v>
      </c>
      <c r="C6165">
        <v>1765</v>
      </c>
      <c r="D6165" t="s">
        <v>304</v>
      </c>
      <c r="E6165">
        <f>YEAR(A6165)</f>
        <v>2015</v>
      </c>
      <c r="F6165" s="33">
        <f>DATE(YEAR(A6165),MONTH(A6165),1)</f>
        <v>42064.0</v>
      </c>
      <c r="G6165" t="str">
        <f>CHOOSE(WEEKDAY(A6165,2),"Mon","Tue","Wed","Thu","Fri","Sat","Sun")</f>
        <v>Mon</v>
      </c>
      <c r="H6165" t="str">
        <f>IF(WEEKDAY(A6165,2)&gt;5,"Weekend","Weekday")</f>
        <v>Weekday</v>
      </c>
      <c r="I6165" t="str">
        <f>_xlfn.IFS(B6165&lt;=5,"Night (0-5)",B6165&lt;=9,"Morning peak (6-9)",B6165&lt;=15,"Midday (10-15)",B6165&lt;=19,"Evening peak (16-19)",TRUE,"Late evening (20-23)")</f>
        <v>Morning peak (6-9)</v>
      </c>
    </row>
    <row r="6166" spans="1:9">
      <c r="A6166" s="32">
        <v>42079</v>
      </c>
      <c r="B6166">
        <v>7</v>
      </c>
      <c r="C6166">
        <v>2682</v>
      </c>
      <c r="D6166" t="s">
        <v>304</v>
      </c>
      <c r="E6166">
        <f>YEAR(A6166)</f>
        <v>2015</v>
      </c>
      <c r="F6166" s="33">
        <f>DATE(YEAR(A6166),MONTH(A6166),1)</f>
        <v>42064.0</v>
      </c>
      <c r="G6166" t="str">
        <f>CHOOSE(WEEKDAY(A6166,2),"Mon","Tue","Wed","Thu","Fri","Sat","Sun")</f>
        <v>Mon</v>
      </c>
      <c r="H6166" t="str">
        <f>IF(WEEKDAY(A6166,2)&gt;5,"Weekend","Weekday")</f>
        <v>Weekday</v>
      </c>
      <c r="I6166" t="str">
        <f>_xlfn.IFS(B6166&lt;=5,"Night (0-5)",B6166&lt;=9,"Morning peak (6-9)",B6166&lt;=15,"Midday (10-15)",B6166&lt;=19,"Evening peak (16-19)",TRUE,"Late evening (20-23)")</f>
        <v>Morning peak (6-9)</v>
      </c>
    </row>
    <row r="6167" spans="1:9">
      <c r="A6167" s="32">
        <v>42079</v>
      </c>
      <c r="B6167">
        <v>8</v>
      </c>
      <c r="C6167">
        <v>3359</v>
      </c>
      <c r="D6167" t="s">
        <v>304</v>
      </c>
      <c r="E6167">
        <f>YEAR(A6167)</f>
        <v>2015</v>
      </c>
      <c r="F6167" s="33">
        <f>DATE(YEAR(A6167),MONTH(A6167),1)</f>
        <v>42064.0</v>
      </c>
      <c r="G6167" t="str">
        <f>CHOOSE(WEEKDAY(A6167,2),"Mon","Tue","Wed","Thu","Fri","Sat","Sun")</f>
        <v>Mon</v>
      </c>
      <c r="H6167" t="str">
        <f>IF(WEEKDAY(A6167,2)&gt;5,"Weekend","Weekday")</f>
        <v>Weekday</v>
      </c>
      <c r="I6167" t="str">
        <f>_xlfn.IFS(B6167&lt;=5,"Night (0-5)",B6167&lt;=9,"Morning peak (6-9)",B6167&lt;=15,"Midday (10-15)",B6167&lt;=19,"Evening peak (16-19)",TRUE,"Late evening (20-23)")</f>
        <v>Morning peak (6-9)</v>
      </c>
    </row>
    <row r="6168" spans="1:9">
      <c r="A6168" s="32">
        <v>42079</v>
      </c>
      <c r="B6168">
        <v>9</v>
      </c>
      <c r="C6168">
        <v>3249</v>
      </c>
      <c r="D6168" t="s">
        <v>304</v>
      </c>
      <c r="E6168">
        <f>YEAR(A6168)</f>
        <v>2015</v>
      </c>
      <c r="F6168" s="33">
        <f>DATE(YEAR(A6168),MONTH(A6168),1)</f>
        <v>42064.0</v>
      </c>
      <c r="G6168" t="str">
        <f>CHOOSE(WEEKDAY(A6168,2),"Mon","Tue","Wed","Thu","Fri","Sat","Sun")</f>
        <v>Mon</v>
      </c>
      <c r="H6168" t="str">
        <f>IF(WEEKDAY(A6168,2)&gt;5,"Weekend","Weekday")</f>
        <v>Weekday</v>
      </c>
      <c r="I6168" t="str">
        <f>_xlfn.IFS(B6168&lt;=5,"Night (0-5)",B6168&lt;=9,"Morning peak (6-9)",B6168&lt;=15,"Midday (10-15)",B6168&lt;=19,"Evening peak (16-19)",TRUE,"Late evening (20-23)")</f>
        <v>Morning peak (6-9)</v>
      </c>
    </row>
    <row r="6169" spans="1:9">
      <c r="A6169" s="32">
        <v>42079</v>
      </c>
      <c r="B6169">
        <v>10</v>
      </c>
      <c r="C6169">
        <v>2507</v>
      </c>
      <c r="D6169" t="s">
        <v>304</v>
      </c>
      <c r="E6169">
        <f>YEAR(A6169)</f>
        <v>2015</v>
      </c>
      <c r="F6169" s="33">
        <f>DATE(YEAR(A6169),MONTH(A6169),1)</f>
        <v>42064.0</v>
      </c>
      <c r="G6169" t="str">
        <f>CHOOSE(WEEKDAY(A6169,2),"Mon","Tue","Wed","Thu","Fri","Sat","Sun")</f>
        <v>Mon</v>
      </c>
      <c r="H6169" t="str">
        <f>IF(WEEKDAY(A6169,2)&gt;5,"Weekend","Weekday")</f>
        <v>Weekday</v>
      </c>
      <c r="I6169" t="str">
        <f>_xlfn.IFS(B6169&lt;=5,"Night (0-5)",B6169&lt;=9,"Morning peak (6-9)",B6169&lt;=15,"Midday (10-15)",B6169&lt;=19,"Evening peak (16-19)",TRUE,"Late evening (20-23)")</f>
        <v>Midday (10-15)</v>
      </c>
    </row>
    <row r="6170" spans="1:9">
      <c r="A6170" s="32">
        <v>42079</v>
      </c>
      <c r="B6170">
        <v>11</v>
      </c>
      <c r="C6170">
        <v>2122</v>
      </c>
      <c r="D6170" t="s">
        <v>304</v>
      </c>
      <c r="E6170">
        <f>YEAR(A6170)</f>
        <v>2015</v>
      </c>
      <c r="F6170" s="33">
        <f>DATE(YEAR(A6170),MONTH(A6170),1)</f>
        <v>42064.0</v>
      </c>
      <c r="G6170" t="str">
        <f>CHOOSE(WEEKDAY(A6170,2),"Mon","Tue","Wed","Thu","Fri","Sat","Sun")</f>
        <v>Mon</v>
      </c>
      <c r="H6170" t="str">
        <f>IF(WEEKDAY(A6170,2)&gt;5,"Weekend","Weekday")</f>
        <v>Weekday</v>
      </c>
      <c r="I6170" t="str">
        <f>_xlfn.IFS(B6170&lt;=5,"Night (0-5)",B6170&lt;=9,"Morning peak (6-9)",B6170&lt;=15,"Midday (10-15)",B6170&lt;=19,"Evening peak (16-19)",TRUE,"Late evening (20-23)")</f>
        <v>Midday (10-15)</v>
      </c>
    </row>
    <row r="6171" spans="1:9">
      <c r="A6171" s="32">
        <v>42079</v>
      </c>
      <c r="B6171">
        <v>12</v>
      </c>
      <c r="C6171">
        <v>1976</v>
      </c>
      <c r="D6171" t="s">
        <v>304</v>
      </c>
      <c r="E6171">
        <f>YEAR(A6171)</f>
        <v>2015</v>
      </c>
      <c r="F6171" s="33">
        <f>DATE(YEAR(A6171),MONTH(A6171),1)</f>
        <v>42064.0</v>
      </c>
      <c r="G6171" t="str">
        <f>CHOOSE(WEEKDAY(A6171,2),"Mon","Tue","Wed","Thu","Fri","Sat","Sun")</f>
        <v>Mon</v>
      </c>
      <c r="H6171" t="str">
        <f>IF(WEEKDAY(A6171,2)&gt;5,"Weekend","Weekday")</f>
        <v>Weekday</v>
      </c>
      <c r="I6171" t="str">
        <f>_xlfn.IFS(B6171&lt;=5,"Night (0-5)",B6171&lt;=9,"Morning peak (6-9)",B6171&lt;=15,"Midday (10-15)",B6171&lt;=19,"Evening peak (16-19)",TRUE,"Late evening (20-23)")</f>
        <v>Midday (10-15)</v>
      </c>
    </row>
    <row r="6172" spans="1:9">
      <c r="A6172" s="32">
        <v>42079</v>
      </c>
      <c r="B6172">
        <v>13</v>
      </c>
      <c r="C6172">
        <v>2037</v>
      </c>
      <c r="D6172" t="s">
        <v>304</v>
      </c>
      <c r="E6172">
        <f>YEAR(A6172)</f>
        <v>2015</v>
      </c>
      <c r="F6172" s="33">
        <f>DATE(YEAR(A6172),MONTH(A6172),1)</f>
        <v>42064.0</v>
      </c>
      <c r="G6172" t="str">
        <f>CHOOSE(WEEKDAY(A6172,2),"Mon","Tue","Wed","Thu","Fri","Sat","Sun")</f>
        <v>Mon</v>
      </c>
      <c r="H6172" t="str">
        <f>IF(WEEKDAY(A6172,2)&gt;5,"Weekend","Weekday")</f>
        <v>Weekday</v>
      </c>
      <c r="I6172" t="str">
        <f>_xlfn.IFS(B6172&lt;=5,"Night (0-5)",B6172&lt;=9,"Morning peak (6-9)",B6172&lt;=15,"Midday (10-15)",B6172&lt;=19,"Evening peak (16-19)",TRUE,"Late evening (20-23)")</f>
        <v>Midday (10-15)</v>
      </c>
    </row>
    <row r="6173" spans="1:9">
      <c r="A6173" s="32">
        <v>42079</v>
      </c>
      <c r="B6173">
        <v>14</v>
      </c>
      <c r="C6173">
        <v>2163</v>
      </c>
      <c r="D6173" t="s">
        <v>304</v>
      </c>
      <c r="E6173">
        <f>YEAR(A6173)</f>
        <v>2015</v>
      </c>
      <c r="F6173" s="33">
        <f>DATE(YEAR(A6173),MONTH(A6173),1)</f>
        <v>42064.0</v>
      </c>
      <c r="G6173" t="str">
        <f>CHOOSE(WEEKDAY(A6173,2),"Mon","Tue","Wed","Thu","Fri","Sat","Sun")</f>
        <v>Mon</v>
      </c>
      <c r="H6173" t="str">
        <f>IF(WEEKDAY(A6173,2)&gt;5,"Weekend","Weekday")</f>
        <v>Weekday</v>
      </c>
      <c r="I6173" t="str">
        <f>_xlfn.IFS(B6173&lt;=5,"Night (0-5)",B6173&lt;=9,"Morning peak (6-9)",B6173&lt;=15,"Midday (10-15)",B6173&lt;=19,"Evening peak (16-19)",TRUE,"Late evening (20-23)")</f>
        <v>Midday (10-15)</v>
      </c>
    </row>
    <row r="6174" spans="1:9">
      <c r="A6174" s="32">
        <v>42079</v>
      </c>
      <c r="B6174">
        <v>15</v>
      </c>
      <c r="C6174">
        <v>2368</v>
      </c>
      <c r="D6174" t="s">
        <v>304</v>
      </c>
      <c r="E6174">
        <f>YEAR(A6174)</f>
        <v>2015</v>
      </c>
      <c r="F6174" s="33">
        <f>DATE(YEAR(A6174),MONTH(A6174),1)</f>
        <v>42064.0</v>
      </c>
      <c r="G6174" t="str">
        <f>CHOOSE(WEEKDAY(A6174,2),"Mon","Tue","Wed","Thu","Fri","Sat","Sun")</f>
        <v>Mon</v>
      </c>
      <c r="H6174" t="str">
        <f>IF(WEEKDAY(A6174,2)&gt;5,"Weekend","Weekday")</f>
        <v>Weekday</v>
      </c>
      <c r="I6174" t="str">
        <f>_xlfn.IFS(B6174&lt;=5,"Night (0-5)",B6174&lt;=9,"Morning peak (6-9)",B6174&lt;=15,"Midday (10-15)",B6174&lt;=19,"Evening peak (16-19)",TRUE,"Late evening (20-23)")</f>
        <v>Midday (10-15)</v>
      </c>
    </row>
    <row r="6175" spans="1:9">
      <c r="A6175" s="32">
        <v>42079</v>
      </c>
      <c r="B6175">
        <v>16</v>
      </c>
      <c r="C6175">
        <v>2680</v>
      </c>
      <c r="D6175" t="s">
        <v>304</v>
      </c>
      <c r="E6175">
        <f>YEAR(A6175)</f>
        <v>2015</v>
      </c>
      <c r="F6175" s="33">
        <f>DATE(YEAR(A6175),MONTH(A6175),1)</f>
        <v>42064.0</v>
      </c>
      <c r="G6175" t="str">
        <f>CHOOSE(WEEKDAY(A6175,2),"Mon","Tue","Wed","Thu","Fri","Sat","Sun")</f>
        <v>Mon</v>
      </c>
      <c r="H6175" t="str">
        <f>IF(WEEKDAY(A6175,2)&gt;5,"Weekend","Weekday")</f>
        <v>Weekday</v>
      </c>
      <c r="I6175" t="str">
        <f>_xlfn.IFS(B6175&lt;=5,"Night (0-5)",B6175&lt;=9,"Morning peak (6-9)",B6175&lt;=15,"Midday (10-15)",B6175&lt;=19,"Evening peak (16-19)",TRUE,"Late evening (20-23)")</f>
        <v>Evening peak (16-19)</v>
      </c>
    </row>
    <row r="6176" spans="1:9">
      <c r="A6176" s="32">
        <v>42079</v>
      </c>
      <c r="B6176">
        <v>17</v>
      </c>
      <c r="C6176">
        <v>2974</v>
      </c>
      <c r="D6176" t="s">
        <v>304</v>
      </c>
      <c r="E6176">
        <f>YEAR(A6176)</f>
        <v>2015</v>
      </c>
      <c r="F6176" s="33">
        <f>DATE(YEAR(A6176),MONTH(A6176),1)</f>
        <v>42064.0</v>
      </c>
      <c r="G6176" t="str">
        <f>CHOOSE(WEEKDAY(A6176,2),"Mon","Tue","Wed","Thu","Fri","Sat","Sun")</f>
        <v>Mon</v>
      </c>
      <c r="H6176" t="str">
        <f>IF(WEEKDAY(A6176,2)&gt;5,"Weekend","Weekday")</f>
        <v>Weekday</v>
      </c>
      <c r="I6176" t="str">
        <f>_xlfn.IFS(B6176&lt;=5,"Night (0-5)",B6176&lt;=9,"Morning peak (6-9)",B6176&lt;=15,"Midday (10-15)",B6176&lt;=19,"Evening peak (16-19)",TRUE,"Late evening (20-23)")</f>
        <v>Evening peak (16-19)</v>
      </c>
    </row>
    <row r="6177" spans="1:9">
      <c r="A6177" s="32">
        <v>42079</v>
      </c>
      <c r="B6177">
        <v>18</v>
      </c>
      <c r="C6177">
        <v>3503</v>
      </c>
      <c r="D6177" t="s">
        <v>304</v>
      </c>
      <c r="E6177">
        <f>YEAR(A6177)</f>
        <v>2015</v>
      </c>
      <c r="F6177" s="33">
        <f>DATE(YEAR(A6177),MONTH(A6177),1)</f>
        <v>42064.0</v>
      </c>
      <c r="G6177" t="str">
        <f>CHOOSE(WEEKDAY(A6177,2),"Mon","Tue","Wed","Thu","Fri","Sat","Sun")</f>
        <v>Mon</v>
      </c>
      <c r="H6177" t="str">
        <f>IF(WEEKDAY(A6177,2)&gt;5,"Weekend","Weekday")</f>
        <v>Weekday</v>
      </c>
      <c r="I6177" t="str">
        <f>_xlfn.IFS(B6177&lt;=5,"Night (0-5)",B6177&lt;=9,"Morning peak (6-9)",B6177&lt;=15,"Midday (10-15)",B6177&lt;=19,"Evening peak (16-19)",TRUE,"Late evening (20-23)")</f>
        <v>Evening peak (16-19)</v>
      </c>
    </row>
    <row r="6178" spans="1:9">
      <c r="A6178" s="32">
        <v>42079</v>
      </c>
      <c r="B6178">
        <v>19</v>
      </c>
      <c r="C6178">
        <v>3655</v>
      </c>
      <c r="D6178" t="s">
        <v>304</v>
      </c>
      <c r="E6178">
        <f>YEAR(A6178)</f>
        <v>2015</v>
      </c>
      <c r="F6178" s="33">
        <f>DATE(YEAR(A6178),MONTH(A6178),1)</f>
        <v>42064.0</v>
      </c>
      <c r="G6178" t="str">
        <f>CHOOSE(WEEKDAY(A6178,2),"Mon","Tue","Wed","Thu","Fri","Sat","Sun")</f>
        <v>Mon</v>
      </c>
      <c r="H6178" t="str">
        <f>IF(WEEKDAY(A6178,2)&gt;5,"Weekend","Weekday")</f>
        <v>Weekday</v>
      </c>
      <c r="I6178" t="str">
        <f>_xlfn.IFS(B6178&lt;=5,"Night (0-5)",B6178&lt;=9,"Morning peak (6-9)",B6178&lt;=15,"Midday (10-15)",B6178&lt;=19,"Evening peak (16-19)",TRUE,"Late evening (20-23)")</f>
        <v>Evening peak (16-19)</v>
      </c>
    </row>
    <row r="6179" spans="1:9">
      <c r="A6179" s="32">
        <v>42079</v>
      </c>
      <c r="B6179">
        <v>20</v>
      </c>
      <c r="C6179">
        <v>3641</v>
      </c>
      <c r="D6179" t="s">
        <v>304</v>
      </c>
      <c r="E6179">
        <f>YEAR(A6179)</f>
        <v>2015</v>
      </c>
      <c r="F6179" s="33">
        <f>DATE(YEAR(A6179),MONTH(A6179),1)</f>
        <v>42064.0</v>
      </c>
      <c r="G6179" t="str">
        <f>CHOOSE(WEEKDAY(A6179,2),"Mon","Tue","Wed","Thu","Fri","Sat","Sun")</f>
        <v>Mon</v>
      </c>
      <c r="H6179" t="str">
        <f>IF(WEEKDAY(A6179,2)&gt;5,"Weekend","Weekday")</f>
        <v>Weekday</v>
      </c>
      <c r="I6179" t="str">
        <f>_xlfn.IFS(B6179&lt;=5,"Night (0-5)",B6179&lt;=9,"Morning peak (6-9)",B6179&lt;=15,"Midday (10-15)",B6179&lt;=19,"Evening peak (16-19)",TRUE,"Late evening (20-23)")</f>
        <v>Late evening (20-23)</v>
      </c>
    </row>
    <row r="6180" spans="1:9">
      <c r="A6180" s="32">
        <v>42079</v>
      </c>
      <c r="B6180">
        <v>21</v>
      </c>
      <c r="C6180">
        <v>3558</v>
      </c>
      <c r="D6180" t="s">
        <v>304</v>
      </c>
      <c r="E6180">
        <f>YEAR(A6180)</f>
        <v>2015</v>
      </c>
      <c r="F6180" s="33">
        <f>DATE(YEAR(A6180),MONTH(A6180),1)</f>
        <v>42064.0</v>
      </c>
      <c r="G6180" t="str">
        <f>CHOOSE(WEEKDAY(A6180,2),"Mon","Tue","Wed","Thu","Fri","Sat","Sun")</f>
        <v>Mon</v>
      </c>
      <c r="H6180" t="str">
        <f>IF(WEEKDAY(A6180,2)&gt;5,"Weekend","Weekday")</f>
        <v>Weekday</v>
      </c>
      <c r="I6180" t="str">
        <f>_xlfn.IFS(B6180&lt;=5,"Night (0-5)",B6180&lt;=9,"Morning peak (6-9)",B6180&lt;=15,"Midday (10-15)",B6180&lt;=19,"Evening peak (16-19)",TRUE,"Late evening (20-23)")</f>
        <v>Late evening (20-23)</v>
      </c>
    </row>
    <row r="6181" spans="1:9">
      <c r="A6181" s="32">
        <v>42079</v>
      </c>
      <c r="B6181">
        <v>22</v>
      </c>
      <c r="C6181">
        <v>3036</v>
      </c>
      <c r="D6181" t="s">
        <v>304</v>
      </c>
      <c r="E6181">
        <f>YEAR(A6181)</f>
        <v>2015</v>
      </c>
      <c r="F6181" s="33">
        <f>DATE(YEAR(A6181),MONTH(A6181),1)</f>
        <v>42064.0</v>
      </c>
      <c r="G6181" t="str">
        <f>CHOOSE(WEEKDAY(A6181,2),"Mon","Tue","Wed","Thu","Fri","Sat","Sun")</f>
        <v>Mon</v>
      </c>
      <c r="H6181" t="str">
        <f>IF(WEEKDAY(A6181,2)&gt;5,"Weekend","Weekday")</f>
        <v>Weekday</v>
      </c>
      <c r="I6181" t="str">
        <f>_xlfn.IFS(B6181&lt;=5,"Night (0-5)",B6181&lt;=9,"Morning peak (6-9)",B6181&lt;=15,"Midday (10-15)",B6181&lt;=19,"Evening peak (16-19)",TRUE,"Late evening (20-23)")</f>
        <v>Late evening (20-23)</v>
      </c>
    </row>
    <row r="6182" spans="1:9">
      <c r="A6182" s="32">
        <v>42079</v>
      </c>
      <c r="B6182">
        <v>23</v>
      </c>
      <c r="C6182">
        <v>2294</v>
      </c>
      <c r="D6182" t="s">
        <v>304</v>
      </c>
      <c r="E6182">
        <f>YEAR(A6182)</f>
        <v>2015</v>
      </c>
      <c r="F6182" s="33">
        <f>DATE(YEAR(A6182),MONTH(A6182),1)</f>
        <v>42064.0</v>
      </c>
      <c r="G6182" t="str">
        <f>CHOOSE(WEEKDAY(A6182,2),"Mon","Tue","Wed","Thu","Fri","Sat","Sun")</f>
        <v>Mon</v>
      </c>
      <c r="H6182" t="str">
        <f>IF(WEEKDAY(A6182,2)&gt;5,"Weekend","Weekday")</f>
        <v>Weekday</v>
      </c>
      <c r="I6182" t="str">
        <f>_xlfn.IFS(B6182&lt;=5,"Night (0-5)",B6182&lt;=9,"Morning peak (6-9)",B6182&lt;=15,"Midday (10-15)",B6182&lt;=19,"Evening peak (16-19)",TRUE,"Late evening (20-23)")</f>
        <v>Late evening (20-23)</v>
      </c>
    </row>
    <row r="6183" spans="1:9">
      <c r="A6183" s="32">
        <v>42080</v>
      </c>
      <c r="B6183">
        <v>0</v>
      </c>
      <c r="C6183">
        <v>1379</v>
      </c>
      <c r="D6183" t="s">
        <v>304</v>
      </c>
      <c r="E6183">
        <f>YEAR(A6183)</f>
        <v>2015</v>
      </c>
      <c r="F6183" s="33">
        <f>DATE(YEAR(A6183),MONTH(A6183),1)</f>
        <v>42064.0</v>
      </c>
      <c r="G6183" t="str">
        <f>CHOOSE(WEEKDAY(A6183,2),"Mon","Tue","Wed","Thu","Fri","Sat","Sun")</f>
        <v>Tue</v>
      </c>
      <c r="H6183" t="str">
        <f>IF(WEEKDAY(A6183,2)&gt;5,"Weekend","Weekday")</f>
        <v>Weekday</v>
      </c>
      <c r="I6183" t="str">
        <f>_xlfn.IFS(B6183&lt;=5,"Night (0-5)",B6183&lt;=9,"Morning peak (6-9)",B6183&lt;=15,"Midday (10-15)",B6183&lt;=19,"Evening peak (16-19)",TRUE,"Late evening (20-23)")</f>
        <v>Night (0-5)</v>
      </c>
    </row>
    <row r="6184" spans="1:9">
      <c r="A6184" s="32">
        <v>42080</v>
      </c>
      <c r="B6184">
        <v>1</v>
      </c>
      <c r="C6184">
        <v>837</v>
      </c>
      <c r="D6184" t="s">
        <v>304</v>
      </c>
      <c r="E6184">
        <f>YEAR(A6184)</f>
        <v>2015</v>
      </c>
      <c r="F6184" s="33">
        <f>DATE(YEAR(A6184),MONTH(A6184),1)</f>
        <v>42064.0</v>
      </c>
      <c r="G6184" t="str">
        <f>CHOOSE(WEEKDAY(A6184,2),"Mon","Tue","Wed","Thu","Fri","Sat","Sun")</f>
        <v>Tue</v>
      </c>
      <c r="H6184" t="str">
        <f>IF(WEEKDAY(A6184,2)&gt;5,"Weekend","Weekday")</f>
        <v>Weekday</v>
      </c>
      <c r="I6184" t="str">
        <f>_xlfn.IFS(B6184&lt;=5,"Night (0-5)",B6184&lt;=9,"Morning peak (6-9)",B6184&lt;=15,"Midday (10-15)",B6184&lt;=19,"Evening peak (16-19)",TRUE,"Late evening (20-23)")</f>
        <v>Night (0-5)</v>
      </c>
    </row>
    <row r="6185" spans="1:9">
      <c r="A6185" s="32">
        <v>42080</v>
      </c>
      <c r="B6185">
        <v>2</v>
      </c>
      <c r="C6185">
        <v>470</v>
      </c>
      <c r="D6185" t="s">
        <v>304</v>
      </c>
      <c r="E6185">
        <f>YEAR(A6185)</f>
        <v>2015</v>
      </c>
      <c r="F6185" s="33">
        <f>DATE(YEAR(A6185),MONTH(A6185),1)</f>
        <v>42064.0</v>
      </c>
      <c r="G6185" t="str">
        <f>CHOOSE(WEEKDAY(A6185,2),"Mon","Tue","Wed","Thu","Fri","Sat","Sun")</f>
        <v>Tue</v>
      </c>
      <c r="H6185" t="str">
        <f>IF(WEEKDAY(A6185,2)&gt;5,"Weekend","Weekday")</f>
        <v>Weekday</v>
      </c>
      <c r="I6185" t="str">
        <f>_xlfn.IFS(B6185&lt;=5,"Night (0-5)",B6185&lt;=9,"Morning peak (6-9)",B6185&lt;=15,"Midday (10-15)",B6185&lt;=19,"Evening peak (16-19)",TRUE,"Late evening (20-23)")</f>
        <v>Night (0-5)</v>
      </c>
    </row>
    <row r="6186" spans="1:9">
      <c r="A6186" s="32">
        <v>42080</v>
      </c>
      <c r="B6186">
        <v>3</v>
      </c>
      <c r="C6186">
        <v>308</v>
      </c>
      <c r="D6186" t="s">
        <v>304</v>
      </c>
      <c r="E6186">
        <f>YEAR(A6186)</f>
        <v>2015</v>
      </c>
      <c r="F6186" s="33">
        <f>DATE(YEAR(A6186),MONTH(A6186),1)</f>
        <v>42064.0</v>
      </c>
      <c r="G6186" t="str">
        <f>CHOOSE(WEEKDAY(A6186,2),"Mon","Tue","Wed","Thu","Fri","Sat","Sun")</f>
        <v>Tue</v>
      </c>
      <c r="H6186" t="str">
        <f>IF(WEEKDAY(A6186,2)&gt;5,"Weekend","Weekday")</f>
        <v>Weekday</v>
      </c>
      <c r="I6186" t="str">
        <f>_xlfn.IFS(B6186&lt;=5,"Night (0-5)",B6186&lt;=9,"Morning peak (6-9)",B6186&lt;=15,"Midday (10-15)",B6186&lt;=19,"Evening peak (16-19)",TRUE,"Late evening (20-23)")</f>
        <v>Night (0-5)</v>
      </c>
    </row>
    <row r="6187" spans="1:9">
      <c r="A6187" s="32">
        <v>42080</v>
      </c>
      <c r="B6187">
        <v>4</v>
      </c>
      <c r="C6187">
        <v>489</v>
      </c>
      <c r="D6187" t="s">
        <v>304</v>
      </c>
      <c r="E6187">
        <f>YEAR(A6187)</f>
        <v>2015</v>
      </c>
      <c r="F6187" s="33">
        <f>DATE(YEAR(A6187),MONTH(A6187),1)</f>
        <v>42064.0</v>
      </c>
      <c r="G6187" t="str">
        <f>CHOOSE(WEEKDAY(A6187,2),"Mon","Tue","Wed","Thu","Fri","Sat","Sun")</f>
        <v>Tue</v>
      </c>
      <c r="H6187" t="str">
        <f>IF(WEEKDAY(A6187,2)&gt;5,"Weekend","Weekday")</f>
        <v>Weekday</v>
      </c>
      <c r="I6187" t="str">
        <f>_xlfn.IFS(B6187&lt;=5,"Night (0-5)",B6187&lt;=9,"Morning peak (6-9)",B6187&lt;=15,"Midday (10-15)",B6187&lt;=19,"Evening peak (16-19)",TRUE,"Late evening (20-23)")</f>
        <v>Night (0-5)</v>
      </c>
    </row>
    <row r="6188" spans="1:9">
      <c r="A6188" s="32">
        <v>42080</v>
      </c>
      <c r="B6188">
        <v>5</v>
      </c>
      <c r="C6188">
        <v>876</v>
      </c>
      <c r="D6188" t="s">
        <v>304</v>
      </c>
      <c r="E6188">
        <f>YEAR(A6188)</f>
        <v>2015</v>
      </c>
      <c r="F6188" s="33">
        <f>DATE(YEAR(A6188),MONTH(A6188),1)</f>
        <v>42064.0</v>
      </c>
      <c r="G6188" t="str">
        <f>CHOOSE(WEEKDAY(A6188,2),"Mon","Tue","Wed","Thu","Fri","Sat","Sun")</f>
        <v>Tue</v>
      </c>
      <c r="H6188" t="str">
        <f>IF(WEEKDAY(A6188,2)&gt;5,"Weekend","Weekday")</f>
        <v>Weekday</v>
      </c>
      <c r="I6188" t="str">
        <f>_xlfn.IFS(B6188&lt;=5,"Night (0-5)",B6188&lt;=9,"Morning peak (6-9)",B6188&lt;=15,"Midday (10-15)",B6188&lt;=19,"Evening peak (16-19)",TRUE,"Late evening (20-23)")</f>
        <v>Night (0-5)</v>
      </c>
    </row>
    <row r="6189" spans="1:9">
      <c r="A6189" s="32">
        <v>42080</v>
      </c>
      <c r="B6189">
        <v>6</v>
      </c>
      <c r="C6189">
        <v>1512</v>
      </c>
      <c r="D6189" t="s">
        <v>304</v>
      </c>
      <c r="E6189">
        <f>YEAR(A6189)</f>
        <v>2015</v>
      </c>
      <c r="F6189" s="33">
        <f>DATE(YEAR(A6189),MONTH(A6189),1)</f>
        <v>42064.0</v>
      </c>
      <c r="G6189" t="str">
        <f>CHOOSE(WEEKDAY(A6189,2),"Mon","Tue","Wed","Thu","Fri","Sat","Sun")</f>
        <v>Tue</v>
      </c>
      <c r="H6189" t="str">
        <f>IF(WEEKDAY(A6189,2)&gt;5,"Weekend","Weekday")</f>
        <v>Weekday</v>
      </c>
      <c r="I6189" t="str">
        <f>_xlfn.IFS(B6189&lt;=5,"Night (0-5)",B6189&lt;=9,"Morning peak (6-9)",B6189&lt;=15,"Midday (10-15)",B6189&lt;=19,"Evening peak (16-19)",TRUE,"Late evening (20-23)")</f>
        <v>Morning peak (6-9)</v>
      </c>
    </row>
    <row r="6190" spans="1:9">
      <c r="A6190" s="32">
        <v>42080</v>
      </c>
      <c r="B6190">
        <v>7</v>
      </c>
      <c r="C6190">
        <v>2623</v>
      </c>
      <c r="D6190" t="s">
        <v>304</v>
      </c>
      <c r="E6190">
        <f>YEAR(A6190)</f>
        <v>2015</v>
      </c>
      <c r="F6190" s="33">
        <f>DATE(YEAR(A6190),MONTH(A6190),1)</f>
        <v>42064.0</v>
      </c>
      <c r="G6190" t="str">
        <f>CHOOSE(WEEKDAY(A6190,2),"Mon","Tue","Wed","Thu","Fri","Sat","Sun")</f>
        <v>Tue</v>
      </c>
      <c r="H6190" t="str">
        <f>IF(WEEKDAY(A6190,2)&gt;5,"Weekend","Weekday")</f>
        <v>Weekday</v>
      </c>
      <c r="I6190" t="str">
        <f>_xlfn.IFS(B6190&lt;=5,"Night (0-5)",B6190&lt;=9,"Morning peak (6-9)",B6190&lt;=15,"Midday (10-15)",B6190&lt;=19,"Evening peak (16-19)",TRUE,"Late evening (20-23)")</f>
        <v>Morning peak (6-9)</v>
      </c>
    </row>
    <row r="6191" spans="1:9">
      <c r="A6191" s="32">
        <v>42080</v>
      </c>
      <c r="B6191">
        <v>8</v>
      </c>
      <c r="C6191">
        <v>3632</v>
      </c>
      <c r="D6191" t="s">
        <v>304</v>
      </c>
      <c r="E6191">
        <f>YEAR(A6191)</f>
        <v>2015</v>
      </c>
      <c r="F6191" s="33">
        <f>DATE(YEAR(A6191),MONTH(A6191),1)</f>
        <v>42064.0</v>
      </c>
      <c r="G6191" t="str">
        <f>CHOOSE(WEEKDAY(A6191,2),"Mon","Tue","Wed","Thu","Fri","Sat","Sun")</f>
        <v>Tue</v>
      </c>
      <c r="H6191" t="str">
        <f>IF(WEEKDAY(A6191,2)&gt;5,"Weekend","Weekday")</f>
        <v>Weekday</v>
      </c>
      <c r="I6191" t="str">
        <f>_xlfn.IFS(B6191&lt;=5,"Night (0-5)",B6191&lt;=9,"Morning peak (6-9)",B6191&lt;=15,"Midday (10-15)",B6191&lt;=19,"Evening peak (16-19)",TRUE,"Late evening (20-23)")</f>
        <v>Morning peak (6-9)</v>
      </c>
    </row>
    <row r="6192" spans="1:9">
      <c r="A6192" s="32">
        <v>42080</v>
      </c>
      <c r="B6192">
        <v>9</v>
      </c>
      <c r="C6192">
        <v>3579</v>
      </c>
      <c r="D6192" t="s">
        <v>304</v>
      </c>
      <c r="E6192">
        <f>YEAR(A6192)</f>
        <v>2015</v>
      </c>
      <c r="F6192" s="33">
        <f>DATE(YEAR(A6192),MONTH(A6192),1)</f>
        <v>42064.0</v>
      </c>
      <c r="G6192" t="str">
        <f>CHOOSE(WEEKDAY(A6192,2),"Mon","Tue","Wed","Thu","Fri","Sat","Sun")</f>
        <v>Tue</v>
      </c>
      <c r="H6192" t="str">
        <f>IF(WEEKDAY(A6192,2)&gt;5,"Weekend","Weekday")</f>
        <v>Weekday</v>
      </c>
      <c r="I6192" t="str">
        <f>_xlfn.IFS(B6192&lt;=5,"Night (0-5)",B6192&lt;=9,"Morning peak (6-9)",B6192&lt;=15,"Midday (10-15)",B6192&lt;=19,"Evening peak (16-19)",TRUE,"Late evening (20-23)")</f>
        <v>Morning peak (6-9)</v>
      </c>
    </row>
    <row r="6193" spans="1:9">
      <c r="A6193" s="32">
        <v>42080</v>
      </c>
      <c r="B6193">
        <v>10</v>
      </c>
      <c r="C6193">
        <v>2483</v>
      </c>
      <c r="D6193" t="s">
        <v>304</v>
      </c>
      <c r="E6193">
        <f>YEAR(A6193)</f>
        <v>2015</v>
      </c>
      <c r="F6193" s="33">
        <f>DATE(YEAR(A6193),MONTH(A6193),1)</f>
        <v>42064.0</v>
      </c>
      <c r="G6193" t="str">
        <f>CHOOSE(WEEKDAY(A6193,2),"Mon","Tue","Wed","Thu","Fri","Sat","Sun")</f>
        <v>Tue</v>
      </c>
      <c r="H6193" t="str">
        <f>IF(WEEKDAY(A6193,2)&gt;5,"Weekend","Weekday")</f>
        <v>Weekday</v>
      </c>
      <c r="I6193" t="str">
        <f>_xlfn.IFS(B6193&lt;=5,"Night (0-5)",B6193&lt;=9,"Morning peak (6-9)",B6193&lt;=15,"Midday (10-15)",B6193&lt;=19,"Evening peak (16-19)",TRUE,"Late evening (20-23)")</f>
        <v>Midday (10-15)</v>
      </c>
    </row>
    <row r="6194" spans="1:9">
      <c r="A6194" s="32">
        <v>42080</v>
      </c>
      <c r="B6194">
        <v>11</v>
      </c>
      <c r="C6194">
        <v>1913</v>
      </c>
      <c r="D6194" t="s">
        <v>304</v>
      </c>
      <c r="E6194">
        <f>YEAR(A6194)</f>
        <v>2015</v>
      </c>
      <c r="F6194" s="33">
        <f>DATE(YEAR(A6194),MONTH(A6194),1)</f>
        <v>42064.0</v>
      </c>
      <c r="G6194" t="str">
        <f>CHOOSE(WEEKDAY(A6194,2),"Mon","Tue","Wed","Thu","Fri","Sat","Sun")</f>
        <v>Tue</v>
      </c>
      <c r="H6194" t="str">
        <f>IF(WEEKDAY(A6194,2)&gt;5,"Weekend","Weekday")</f>
        <v>Weekday</v>
      </c>
      <c r="I6194" t="str">
        <f>_xlfn.IFS(B6194&lt;=5,"Night (0-5)",B6194&lt;=9,"Morning peak (6-9)",B6194&lt;=15,"Midday (10-15)",B6194&lt;=19,"Evening peak (16-19)",TRUE,"Late evening (20-23)")</f>
        <v>Midday (10-15)</v>
      </c>
    </row>
    <row r="6195" spans="1:9">
      <c r="A6195" s="32">
        <v>42080</v>
      </c>
      <c r="B6195">
        <v>12</v>
      </c>
      <c r="C6195">
        <v>1954</v>
      </c>
      <c r="D6195" t="s">
        <v>304</v>
      </c>
      <c r="E6195">
        <f>YEAR(A6195)</f>
        <v>2015</v>
      </c>
      <c r="F6195" s="33">
        <f>DATE(YEAR(A6195),MONTH(A6195),1)</f>
        <v>42064.0</v>
      </c>
      <c r="G6195" t="str">
        <f>CHOOSE(WEEKDAY(A6195,2),"Mon","Tue","Wed","Thu","Fri","Sat","Sun")</f>
        <v>Tue</v>
      </c>
      <c r="H6195" t="str">
        <f>IF(WEEKDAY(A6195,2)&gt;5,"Weekend","Weekday")</f>
        <v>Weekday</v>
      </c>
      <c r="I6195" t="str">
        <f>_xlfn.IFS(B6195&lt;=5,"Night (0-5)",B6195&lt;=9,"Morning peak (6-9)",B6195&lt;=15,"Midday (10-15)",B6195&lt;=19,"Evening peak (16-19)",TRUE,"Late evening (20-23)")</f>
        <v>Midday (10-15)</v>
      </c>
    </row>
    <row r="6196" spans="1:9">
      <c r="A6196" s="32">
        <v>42080</v>
      </c>
      <c r="B6196">
        <v>13</v>
      </c>
      <c r="C6196">
        <v>1905</v>
      </c>
      <c r="D6196" t="s">
        <v>304</v>
      </c>
      <c r="E6196">
        <f>YEAR(A6196)</f>
        <v>2015</v>
      </c>
      <c r="F6196" s="33">
        <f>DATE(YEAR(A6196),MONTH(A6196),1)</f>
        <v>42064.0</v>
      </c>
      <c r="G6196" t="str">
        <f>CHOOSE(WEEKDAY(A6196,2),"Mon","Tue","Wed","Thu","Fri","Sat","Sun")</f>
        <v>Tue</v>
      </c>
      <c r="H6196" t="str">
        <f>IF(WEEKDAY(A6196,2)&gt;5,"Weekend","Weekday")</f>
        <v>Weekday</v>
      </c>
      <c r="I6196" t="str">
        <f>_xlfn.IFS(B6196&lt;=5,"Night (0-5)",B6196&lt;=9,"Morning peak (6-9)",B6196&lt;=15,"Midday (10-15)",B6196&lt;=19,"Evening peak (16-19)",TRUE,"Late evening (20-23)")</f>
        <v>Midday (10-15)</v>
      </c>
    </row>
    <row r="6197" spans="1:9">
      <c r="A6197" s="32">
        <v>42080</v>
      </c>
      <c r="B6197">
        <v>14</v>
      </c>
      <c r="C6197">
        <v>2121</v>
      </c>
      <c r="D6197" t="s">
        <v>304</v>
      </c>
      <c r="E6197">
        <f>YEAR(A6197)</f>
        <v>2015</v>
      </c>
      <c r="F6197" s="33">
        <f>DATE(YEAR(A6197),MONTH(A6197),1)</f>
        <v>42064.0</v>
      </c>
      <c r="G6197" t="str">
        <f>CHOOSE(WEEKDAY(A6197,2),"Mon","Tue","Wed","Thu","Fri","Sat","Sun")</f>
        <v>Tue</v>
      </c>
      <c r="H6197" t="str">
        <f>IF(WEEKDAY(A6197,2)&gt;5,"Weekend","Weekday")</f>
        <v>Weekday</v>
      </c>
      <c r="I6197" t="str">
        <f>_xlfn.IFS(B6197&lt;=5,"Night (0-5)",B6197&lt;=9,"Morning peak (6-9)",B6197&lt;=15,"Midday (10-15)",B6197&lt;=19,"Evening peak (16-19)",TRUE,"Late evening (20-23)")</f>
        <v>Midday (10-15)</v>
      </c>
    </row>
    <row r="6198" spans="1:9">
      <c r="A6198" s="32">
        <v>42080</v>
      </c>
      <c r="B6198">
        <v>15</v>
      </c>
      <c r="C6198">
        <v>2523</v>
      </c>
      <c r="D6198" t="s">
        <v>304</v>
      </c>
      <c r="E6198">
        <f>YEAR(A6198)</f>
        <v>2015</v>
      </c>
      <c r="F6198" s="33">
        <f>DATE(YEAR(A6198),MONTH(A6198),1)</f>
        <v>42064.0</v>
      </c>
      <c r="G6198" t="str">
        <f>CHOOSE(WEEKDAY(A6198,2),"Mon","Tue","Wed","Thu","Fri","Sat","Sun")</f>
        <v>Tue</v>
      </c>
      <c r="H6198" t="str">
        <f>IF(WEEKDAY(A6198,2)&gt;5,"Weekend","Weekday")</f>
        <v>Weekday</v>
      </c>
      <c r="I6198" t="str">
        <f>_xlfn.IFS(B6198&lt;=5,"Night (0-5)",B6198&lt;=9,"Morning peak (6-9)",B6198&lt;=15,"Midday (10-15)",B6198&lt;=19,"Evening peak (16-19)",TRUE,"Late evening (20-23)")</f>
        <v>Midday (10-15)</v>
      </c>
    </row>
    <row r="6199" spans="1:9">
      <c r="A6199" s="32">
        <v>42080</v>
      </c>
      <c r="B6199">
        <v>16</v>
      </c>
      <c r="C6199">
        <v>2739</v>
      </c>
      <c r="D6199" t="s">
        <v>304</v>
      </c>
      <c r="E6199">
        <f>YEAR(A6199)</f>
        <v>2015</v>
      </c>
      <c r="F6199" s="33">
        <f>DATE(YEAR(A6199),MONTH(A6199),1)</f>
        <v>42064.0</v>
      </c>
      <c r="G6199" t="str">
        <f>CHOOSE(WEEKDAY(A6199,2),"Mon","Tue","Wed","Thu","Fri","Sat","Sun")</f>
        <v>Tue</v>
      </c>
      <c r="H6199" t="str">
        <f>IF(WEEKDAY(A6199,2)&gt;5,"Weekend","Weekday")</f>
        <v>Weekday</v>
      </c>
      <c r="I6199" t="str">
        <f>_xlfn.IFS(B6199&lt;=5,"Night (0-5)",B6199&lt;=9,"Morning peak (6-9)",B6199&lt;=15,"Midday (10-15)",B6199&lt;=19,"Evening peak (16-19)",TRUE,"Late evening (20-23)")</f>
        <v>Evening peak (16-19)</v>
      </c>
    </row>
    <row r="6200" spans="1:9">
      <c r="A6200" s="32">
        <v>42080</v>
      </c>
      <c r="B6200">
        <v>17</v>
      </c>
      <c r="C6200">
        <v>3451</v>
      </c>
      <c r="D6200" t="s">
        <v>304</v>
      </c>
      <c r="E6200">
        <f>YEAR(A6200)</f>
        <v>2015</v>
      </c>
      <c r="F6200" s="33">
        <f>DATE(YEAR(A6200),MONTH(A6200),1)</f>
        <v>42064.0</v>
      </c>
      <c r="G6200" t="str">
        <f>CHOOSE(WEEKDAY(A6200,2),"Mon","Tue","Wed","Thu","Fri","Sat","Sun")</f>
        <v>Tue</v>
      </c>
      <c r="H6200" t="str">
        <f>IF(WEEKDAY(A6200,2)&gt;5,"Weekend","Weekday")</f>
        <v>Weekday</v>
      </c>
      <c r="I6200" t="str">
        <f>_xlfn.IFS(B6200&lt;=5,"Night (0-5)",B6200&lt;=9,"Morning peak (6-9)",B6200&lt;=15,"Midday (10-15)",B6200&lt;=19,"Evening peak (16-19)",TRUE,"Late evening (20-23)")</f>
        <v>Evening peak (16-19)</v>
      </c>
    </row>
    <row r="6201" spans="1:9">
      <c r="A6201" s="32">
        <v>42080</v>
      </c>
      <c r="B6201">
        <v>18</v>
      </c>
      <c r="C6201">
        <v>4460</v>
      </c>
      <c r="D6201" t="s">
        <v>304</v>
      </c>
      <c r="E6201">
        <f>YEAR(A6201)</f>
        <v>2015</v>
      </c>
      <c r="F6201" s="33">
        <f>DATE(YEAR(A6201),MONTH(A6201),1)</f>
        <v>42064.0</v>
      </c>
      <c r="G6201" t="str">
        <f>CHOOSE(WEEKDAY(A6201,2),"Mon","Tue","Wed","Thu","Fri","Sat","Sun")</f>
        <v>Tue</v>
      </c>
      <c r="H6201" t="str">
        <f>IF(WEEKDAY(A6201,2)&gt;5,"Weekend","Weekday")</f>
        <v>Weekday</v>
      </c>
      <c r="I6201" t="str">
        <f>_xlfn.IFS(B6201&lt;=5,"Night (0-5)",B6201&lt;=9,"Morning peak (6-9)",B6201&lt;=15,"Midday (10-15)",B6201&lt;=19,"Evening peak (16-19)",TRUE,"Late evening (20-23)")</f>
        <v>Evening peak (16-19)</v>
      </c>
    </row>
    <row r="6202" spans="1:9">
      <c r="A6202" s="32">
        <v>42080</v>
      </c>
      <c r="B6202">
        <v>19</v>
      </c>
      <c r="C6202">
        <v>4946</v>
      </c>
      <c r="D6202" t="s">
        <v>304</v>
      </c>
      <c r="E6202">
        <f>YEAR(A6202)</f>
        <v>2015</v>
      </c>
      <c r="F6202" s="33">
        <f>DATE(YEAR(A6202),MONTH(A6202),1)</f>
        <v>42064.0</v>
      </c>
      <c r="G6202" t="str">
        <f>CHOOSE(WEEKDAY(A6202,2),"Mon","Tue","Wed","Thu","Fri","Sat","Sun")</f>
        <v>Tue</v>
      </c>
      <c r="H6202" t="str">
        <f>IF(WEEKDAY(A6202,2)&gt;5,"Weekend","Weekday")</f>
        <v>Weekday</v>
      </c>
      <c r="I6202" t="str">
        <f>_xlfn.IFS(B6202&lt;=5,"Night (0-5)",B6202&lt;=9,"Morning peak (6-9)",B6202&lt;=15,"Midday (10-15)",B6202&lt;=19,"Evening peak (16-19)",TRUE,"Late evening (20-23)")</f>
        <v>Evening peak (16-19)</v>
      </c>
    </row>
    <row r="6203" spans="1:9">
      <c r="A6203" s="32">
        <v>42080</v>
      </c>
      <c r="B6203">
        <v>20</v>
      </c>
      <c r="C6203">
        <v>5016</v>
      </c>
      <c r="D6203" t="s">
        <v>304</v>
      </c>
      <c r="E6203">
        <f>YEAR(A6203)</f>
        <v>2015</v>
      </c>
      <c r="F6203" s="33">
        <f>DATE(YEAR(A6203),MONTH(A6203),1)</f>
        <v>42064.0</v>
      </c>
      <c r="G6203" t="str">
        <f>CHOOSE(WEEKDAY(A6203,2),"Mon","Tue","Wed","Thu","Fri","Sat","Sun")</f>
        <v>Tue</v>
      </c>
      <c r="H6203" t="str">
        <f>IF(WEEKDAY(A6203,2)&gt;5,"Weekend","Weekday")</f>
        <v>Weekday</v>
      </c>
      <c r="I6203" t="str">
        <f>_xlfn.IFS(B6203&lt;=5,"Night (0-5)",B6203&lt;=9,"Morning peak (6-9)",B6203&lt;=15,"Midday (10-15)",B6203&lt;=19,"Evening peak (16-19)",TRUE,"Late evening (20-23)")</f>
        <v>Late evening (20-23)</v>
      </c>
    </row>
    <row r="6204" spans="1:9">
      <c r="A6204" s="32">
        <v>42080</v>
      </c>
      <c r="B6204">
        <v>21</v>
      </c>
      <c r="C6204">
        <v>5099</v>
      </c>
      <c r="D6204" t="s">
        <v>304</v>
      </c>
      <c r="E6204">
        <f>YEAR(A6204)</f>
        <v>2015</v>
      </c>
      <c r="F6204" s="33">
        <f>DATE(YEAR(A6204),MONTH(A6204),1)</f>
        <v>42064.0</v>
      </c>
      <c r="G6204" t="str">
        <f>CHOOSE(WEEKDAY(A6204,2),"Mon","Tue","Wed","Thu","Fri","Sat","Sun")</f>
        <v>Tue</v>
      </c>
      <c r="H6204" t="str">
        <f>IF(WEEKDAY(A6204,2)&gt;5,"Weekend","Weekday")</f>
        <v>Weekday</v>
      </c>
      <c r="I6204" t="str">
        <f>_xlfn.IFS(B6204&lt;=5,"Night (0-5)",B6204&lt;=9,"Morning peak (6-9)",B6204&lt;=15,"Midday (10-15)",B6204&lt;=19,"Evening peak (16-19)",TRUE,"Late evening (20-23)")</f>
        <v>Late evening (20-23)</v>
      </c>
    </row>
    <row r="6205" spans="1:9">
      <c r="A6205" s="32">
        <v>42080</v>
      </c>
      <c r="B6205">
        <v>22</v>
      </c>
      <c r="C6205">
        <v>4856</v>
      </c>
      <c r="D6205" t="s">
        <v>304</v>
      </c>
      <c r="E6205">
        <f>YEAR(A6205)</f>
        <v>2015</v>
      </c>
      <c r="F6205" s="33">
        <f>DATE(YEAR(A6205),MONTH(A6205),1)</f>
        <v>42064.0</v>
      </c>
      <c r="G6205" t="str">
        <f>CHOOSE(WEEKDAY(A6205,2),"Mon","Tue","Wed","Thu","Fri","Sat","Sun")</f>
        <v>Tue</v>
      </c>
      <c r="H6205" t="str">
        <f>IF(WEEKDAY(A6205,2)&gt;5,"Weekend","Weekday")</f>
        <v>Weekday</v>
      </c>
      <c r="I6205" t="str">
        <f>_xlfn.IFS(B6205&lt;=5,"Night (0-5)",B6205&lt;=9,"Morning peak (6-9)",B6205&lt;=15,"Midday (10-15)",B6205&lt;=19,"Evening peak (16-19)",TRUE,"Late evening (20-23)")</f>
        <v>Late evening (20-23)</v>
      </c>
    </row>
    <row r="6206" spans="1:9">
      <c r="A6206" s="32">
        <v>42080</v>
      </c>
      <c r="B6206">
        <v>23</v>
      </c>
      <c r="C6206">
        <v>3715</v>
      </c>
      <c r="D6206" t="s">
        <v>304</v>
      </c>
      <c r="E6206">
        <f>YEAR(A6206)</f>
        <v>2015</v>
      </c>
      <c r="F6206" s="33">
        <f>DATE(YEAR(A6206),MONTH(A6206),1)</f>
        <v>42064.0</v>
      </c>
      <c r="G6206" t="str">
        <f>CHOOSE(WEEKDAY(A6206,2),"Mon","Tue","Wed","Thu","Fri","Sat","Sun")</f>
        <v>Tue</v>
      </c>
      <c r="H6206" t="str">
        <f>IF(WEEKDAY(A6206,2)&gt;5,"Weekend","Weekday")</f>
        <v>Weekday</v>
      </c>
      <c r="I6206" t="str">
        <f>_xlfn.IFS(B6206&lt;=5,"Night (0-5)",B6206&lt;=9,"Morning peak (6-9)",B6206&lt;=15,"Midday (10-15)",B6206&lt;=19,"Evening peak (16-19)",TRUE,"Late evening (20-23)")</f>
        <v>Late evening (20-23)</v>
      </c>
    </row>
    <row r="6207" spans="1:9">
      <c r="A6207" s="32">
        <v>42081</v>
      </c>
      <c r="B6207">
        <v>0</v>
      </c>
      <c r="C6207">
        <v>2305</v>
      </c>
      <c r="D6207" t="s">
        <v>304</v>
      </c>
      <c r="E6207">
        <f>YEAR(A6207)</f>
        <v>2015</v>
      </c>
      <c r="F6207" s="33">
        <f>DATE(YEAR(A6207),MONTH(A6207),1)</f>
        <v>42064.0</v>
      </c>
      <c r="G6207" t="str">
        <f>CHOOSE(WEEKDAY(A6207,2),"Mon","Tue","Wed","Thu","Fri","Sat","Sun")</f>
        <v>Wed</v>
      </c>
      <c r="H6207" t="str">
        <f>IF(WEEKDAY(A6207,2)&gt;5,"Weekend","Weekday")</f>
        <v>Weekday</v>
      </c>
      <c r="I6207" t="str">
        <f>_xlfn.IFS(B6207&lt;=5,"Night (0-5)",B6207&lt;=9,"Morning peak (6-9)",B6207&lt;=15,"Midday (10-15)",B6207&lt;=19,"Evening peak (16-19)",TRUE,"Late evening (20-23)")</f>
        <v>Night (0-5)</v>
      </c>
    </row>
    <row r="6208" spans="1:9">
      <c r="A6208" s="32">
        <v>42081</v>
      </c>
      <c r="B6208">
        <v>1</v>
      </c>
      <c r="C6208">
        <v>1269</v>
      </c>
      <c r="D6208" t="s">
        <v>304</v>
      </c>
      <c r="E6208">
        <f>YEAR(A6208)</f>
        <v>2015</v>
      </c>
      <c r="F6208" s="33">
        <f>DATE(YEAR(A6208),MONTH(A6208),1)</f>
        <v>42064.0</v>
      </c>
      <c r="G6208" t="str">
        <f>CHOOSE(WEEKDAY(A6208,2),"Mon","Tue","Wed","Thu","Fri","Sat","Sun")</f>
        <v>Wed</v>
      </c>
      <c r="H6208" t="str">
        <f>IF(WEEKDAY(A6208,2)&gt;5,"Weekend","Weekday")</f>
        <v>Weekday</v>
      </c>
      <c r="I6208" t="str">
        <f>_xlfn.IFS(B6208&lt;=5,"Night (0-5)",B6208&lt;=9,"Morning peak (6-9)",B6208&lt;=15,"Midday (10-15)",B6208&lt;=19,"Evening peak (16-19)",TRUE,"Late evening (20-23)")</f>
        <v>Night (0-5)</v>
      </c>
    </row>
    <row r="6209" spans="1:9">
      <c r="A6209" s="32">
        <v>42081</v>
      </c>
      <c r="B6209">
        <v>2</v>
      </c>
      <c r="C6209">
        <v>786</v>
      </c>
      <c r="D6209" t="s">
        <v>304</v>
      </c>
      <c r="E6209">
        <f>YEAR(A6209)</f>
        <v>2015</v>
      </c>
      <c r="F6209" s="33">
        <f>DATE(YEAR(A6209),MONTH(A6209),1)</f>
        <v>42064.0</v>
      </c>
      <c r="G6209" t="str">
        <f>CHOOSE(WEEKDAY(A6209,2),"Mon","Tue","Wed","Thu","Fri","Sat","Sun")</f>
        <v>Wed</v>
      </c>
      <c r="H6209" t="str">
        <f>IF(WEEKDAY(A6209,2)&gt;5,"Weekend","Weekday")</f>
        <v>Weekday</v>
      </c>
      <c r="I6209" t="str">
        <f>_xlfn.IFS(B6209&lt;=5,"Night (0-5)",B6209&lt;=9,"Morning peak (6-9)",B6209&lt;=15,"Midday (10-15)",B6209&lt;=19,"Evening peak (16-19)",TRUE,"Late evening (20-23)")</f>
        <v>Night (0-5)</v>
      </c>
    </row>
    <row r="6210" spans="1:9">
      <c r="A6210" s="32">
        <v>42081</v>
      </c>
      <c r="B6210">
        <v>3</v>
      </c>
      <c r="C6210">
        <v>502</v>
      </c>
      <c r="D6210" t="s">
        <v>304</v>
      </c>
      <c r="E6210">
        <f>YEAR(A6210)</f>
        <v>2015</v>
      </c>
      <c r="F6210" s="33">
        <f>DATE(YEAR(A6210),MONTH(A6210),1)</f>
        <v>42064.0</v>
      </c>
      <c r="G6210" t="str">
        <f>CHOOSE(WEEKDAY(A6210,2),"Mon","Tue","Wed","Thu","Fri","Sat","Sun")</f>
        <v>Wed</v>
      </c>
      <c r="H6210" t="str">
        <f>IF(WEEKDAY(A6210,2)&gt;5,"Weekend","Weekday")</f>
        <v>Weekday</v>
      </c>
      <c r="I6210" t="str">
        <f>_xlfn.IFS(B6210&lt;=5,"Night (0-5)",B6210&lt;=9,"Morning peak (6-9)",B6210&lt;=15,"Midday (10-15)",B6210&lt;=19,"Evening peak (16-19)",TRUE,"Late evening (20-23)")</f>
        <v>Night (0-5)</v>
      </c>
    </row>
    <row r="6211" spans="1:9">
      <c r="A6211" s="32">
        <v>42081</v>
      </c>
      <c r="B6211">
        <v>4</v>
      </c>
      <c r="C6211">
        <v>638</v>
      </c>
      <c r="D6211" t="s">
        <v>304</v>
      </c>
      <c r="E6211">
        <f>YEAR(A6211)</f>
        <v>2015</v>
      </c>
      <c r="F6211" s="33">
        <f>DATE(YEAR(A6211),MONTH(A6211),1)</f>
        <v>42064.0</v>
      </c>
      <c r="G6211" t="str">
        <f>CHOOSE(WEEKDAY(A6211,2),"Mon","Tue","Wed","Thu","Fri","Sat","Sun")</f>
        <v>Wed</v>
      </c>
      <c r="H6211" t="str">
        <f>IF(WEEKDAY(A6211,2)&gt;5,"Weekend","Weekday")</f>
        <v>Weekday</v>
      </c>
      <c r="I6211" t="str">
        <f>_xlfn.IFS(B6211&lt;=5,"Night (0-5)",B6211&lt;=9,"Morning peak (6-9)",B6211&lt;=15,"Midday (10-15)",B6211&lt;=19,"Evening peak (16-19)",TRUE,"Late evening (20-23)")</f>
        <v>Night (0-5)</v>
      </c>
    </row>
    <row r="6212" spans="1:9">
      <c r="A6212" s="32">
        <v>42081</v>
      </c>
      <c r="B6212">
        <v>5</v>
      </c>
      <c r="C6212">
        <v>934</v>
      </c>
      <c r="D6212" t="s">
        <v>304</v>
      </c>
      <c r="E6212">
        <f>YEAR(A6212)</f>
        <v>2015</v>
      </c>
      <c r="F6212" s="33">
        <f>DATE(YEAR(A6212),MONTH(A6212),1)</f>
        <v>42064.0</v>
      </c>
      <c r="G6212" t="str">
        <f>CHOOSE(WEEKDAY(A6212,2),"Mon","Tue","Wed","Thu","Fri","Sat","Sun")</f>
        <v>Wed</v>
      </c>
      <c r="H6212" t="str">
        <f>IF(WEEKDAY(A6212,2)&gt;5,"Weekend","Weekday")</f>
        <v>Weekday</v>
      </c>
      <c r="I6212" t="str">
        <f>_xlfn.IFS(B6212&lt;=5,"Night (0-5)",B6212&lt;=9,"Morning peak (6-9)",B6212&lt;=15,"Midday (10-15)",B6212&lt;=19,"Evening peak (16-19)",TRUE,"Late evening (20-23)")</f>
        <v>Night (0-5)</v>
      </c>
    </row>
    <row r="6213" spans="1:9">
      <c r="A6213" s="32">
        <v>42081</v>
      </c>
      <c r="B6213">
        <v>6</v>
      </c>
      <c r="C6213">
        <v>1698</v>
      </c>
      <c r="D6213" t="s">
        <v>304</v>
      </c>
      <c r="E6213">
        <f>YEAR(A6213)</f>
        <v>2015</v>
      </c>
      <c r="F6213" s="33">
        <f>DATE(YEAR(A6213),MONTH(A6213),1)</f>
        <v>42064.0</v>
      </c>
      <c r="G6213" t="str">
        <f>CHOOSE(WEEKDAY(A6213,2),"Mon","Tue","Wed","Thu","Fri","Sat","Sun")</f>
        <v>Wed</v>
      </c>
      <c r="H6213" t="str">
        <f>IF(WEEKDAY(A6213,2)&gt;5,"Weekend","Weekday")</f>
        <v>Weekday</v>
      </c>
      <c r="I6213" t="str">
        <f>_xlfn.IFS(B6213&lt;=5,"Night (0-5)",B6213&lt;=9,"Morning peak (6-9)",B6213&lt;=15,"Midday (10-15)",B6213&lt;=19,"Evening peak (16-19)",TRUE,"Late evening (20-23)")</f>
        <v>Morning peak (6-9)</v>
      </c>
    </row>
    <row r="6214" spans="1:9">
      <c r="A6214" s="32">
        <v>42081</v>
      </c>
      <c r="B6214">
        <v>7</v>
      </c>
      <c r="C6214">
        <v>2708</v>
      </c>
      <c r="D6214" t="s">
        <v>304</v>
      </c>
      <c r="E6214">
        <f>YEAR(A6214)</f>
        <v>2015</v>
      </c>
      <c r="F6214" s="33">
        <f>DATE(YEAR(A6214),MONTH(A6214),1)</f>
        <v>42064.0</v>
      </c>
      <c r="G6214" t="str">
        <f>CHOOSE(WEEKDAY(A6214,2),"Mon","Tue","Wed","Thu","Fri","Sat","Sun")</f>
        <v>Wed</v>
      </c>
      <c r="H6214" t="str">
        <f>IF(WEEKDAY(A6214,2)&gt;5,"Weekend","Weekday")</f>
        <v>Weekday</v>
      </c>
      <c r="I6214" t="str">
        <f>_xlfn.IFS(B6214&lt;=5,"Night (0-5)",B6214&lt;=9,"Morning peak (6-9)",B6214&lt;=15,"Midday (10-15)",B6214&lt;=19,"Evening peak (16-19)",TRUE,"Late evening (20-23)")</f>
        <v>Morning peak (6-9)</v>
      </c>
    </row>
    <row r="6215" spans="1:9">
      <c r="A6215" s="32">
        <v>42081</v>
      </c>
      <c r="B6215">
        <v>8</v>
      </c>
      <c r="C6215">
        <v>3701</v>
      </c>
      <c r="D6215" t="s">
        <v>304</v>
      </c>
      <c r="E6215">
        <f>YEAR(A6215)</f>
        <v>2015</v>
      </c>
      <c r="F6215" s="33">
        <f>DATE(YEAR(A6215),MONTH(A6215),1)</f>
        <v>42064.0</v>
      </c>
      <c r="G6215" t="str">
        <f>CHOOSE(WEEKDAY(A6215,2),"Mon","Tue","Wed","Thu","Fri","Sat","Sun")</f>
        <v>Wed</v>
      </c>
      <c r="H6215" t="str">
        <f>IF(WEEKDAY(A6215,2)&gt;5,"Weekend","Weekday")</f>
        <v>Weekday</v>
      </c>
      <c r="I6215" t="str">
        <f>_xlfn.IFS(B6215&lt;=5,"Night (0-5)",B6215&lt;=9,"Morning peak (6-9)",B6215&lt;=15,"Midday (10-15)",B6215&lt;=19,"Evening peak (16-19)",TRUE,"Late evening (20-23)")</f>
        <v>Morning peak (6-9)</v>
      </c>
    </row>
    <row r="6216" spans="1:9">
      <c r="A6216" s="32">
        <v>42081</v>
      </c>
      <c r="B6216">
        <v>9</v>
      </c>
      <c r="C6216">
        <v>3596</v>
      </c>
      <c r="D6216" t="s">
        <v>304</v>
      </c>
      <c r="E6216">
        <f>YEAR(A6216)</f>
        <v>2015</v>
      </c>
      <c r="F6216" s="33">
        <f>DATE(YEAR(A6216),MONTH(A6216),1)</f>
        <v>42064.0</v>
      </c>
      <c r="G6216" t="str">
        <f>CHOOSE(WEEKDAY(A6216,2),"Mon","Tue","Wed","Thu","Fri","Sat","Sun")</f>
        <v>Wed</v>
      </c>
      <c r="H6216" t="str">
        <f>IF(WEEKDAY(A6216,2)&gt;5,"Weekend","Weekday")</f>
        <v>Weekday</v>
      </c>
      <c r="I6216" t="str">
        <f>_xlfn.IFS(B6216&lt;=5,"Night (0-5)",B6216&lt;=9,"Morning peak (6-9)",B6216&lt;=15,"Midday (10-15)",B6216&lt;=19,"Evening peak (16-19)",TRUE,"Late evening (20-23)")</f>
        <v>Morning peak (6-9)</v>
      </c>
    </row>
    <row r="6217" spans="1:9">
      <c r="A6217" s="32">
        <v>42081</v>
      </c>
      <c r="B6217">
        <v>10</v>
      </c>
      <c r="C6217">
        <v>2699</v>
      </c>
      <c r="D6217" t="s">
        <v>304</v>
      </c>
      <c r="E6217">
        <f>YEAR(A6217)</f>
        <v>2015</v>
      </c>
      <c r="F6217" s="33">
        <f>DATE(YEAR(A6217),MONTH(A6217),1)</f>
        <v>42064.0</v>
      </c>
      <c r="G6217" t="str">
        <f>CHOOSE(WEEKDAY(A6217,2),"Mon","Tue","Wed","Thu","Fri","Sat","Sun")</f>
        <v>Wed</v>
      </c>
      <c r="H6217" t="str">
        <f>IF(WEEKDAY(A6217,2)&gt;5,"Weekend","Weekday")</f>
        <v>Weekday</v>
      </c>
      <c r="I6217" t="str">
        <f>_xlfn.IFS(B6217&lt;=5,"Night (0-5)",B6217&lt;=9,"Morning peak (6-9)",B6217&lt;=15,"Midday (10-15)",B6217&lt;=19,"Evening peak (16-19)",TRUE,"Late evening (20-23)")</f>
        <v>Midday (10-15)</v>
      </c>
    </row>
    <row r="6218" spans="1:9">
      <c r="A6218" s="32">
        <v>42081</v>
      </c>
      <c r="B6218">
        <v>11</v>
      </c>
      <c r="C6218">
        <v>2467</v>
      </c>
      <c r="D6218" t="s">
        <v>304</v>
      </c>
      <c r="E6218">
        <f>YEAR(A6218)</f>
        <v>2015</v>
      </c>
      <c r="F6218" s="33">
        <f>DATE(YEAR(A6218),MONTH(A6218),1)</f>
        <v>42064.0</v>
      </c>
      <c r="G6218" t="str">
        <f>CHOOSE(WEEKDAY(A6218,2),"Mon","Tue","Wed","Thu","Fri","Sat","Sun")</f>
        <v>Wed</v>
      </c>
      <c r="H6218" t="str">
        <f>IF(WEEKDAY(A6218,2)&gt;5,"Weekend","Weekday")</f>
        <v>Weekday</v>
      </c>
      <c r="I6218" t="str">
        <f>_xlfn.IFS(B6218&lt;=5,"Night (0-5)",B6218&lt;=9,"Morning peak (6-9)",B6218&lt;=15,"Midday (10-15)",B6218&lt;=19,"Evening peak (16-19)",TRUE,"Late evening (20-23)")</f>
        <v>Midday (10-15)</v>
      </c>
    </row>
    <row r="6219" spans="1:9">
      <c r="A6219" s="32">
        <v>42081</v>
      </c>
      <c r="B6219">
        <v>12</v>
      </c>
      <c r="C6219">
        <v>2464</v>
      </c>
      <c r="D6219" t="s">
        <v>304</v>
      </c>
      <c r="E6219">
        <f>YEAR(A6219)</f>
        <v>2015</v>
      </c>
      <c r="F6219" s="33">
        <f>DATE(YEAR(A6219),MONTH(A6219),1)</f>
        <v>42064.0</v>
      </c>
      <c r="G6219" t="str">
        <f>CHOOSE(WEEKDAY(A6219,2),"Mon","Tue","Wed","Thu","Fri","Sat","Sun")</f>
        <v>Wed</v>
      </c>
      <c r="H6219" t="str">
        <f>IF(WEEKDAY(A6219,2)&gt;5,"Weekend","Weekday")</f>
        <v>Weekday</v>
      </c>
      <c r="I6219" t="str">
        <f>_xlfn.IFS(B6219&lt;=5,"Night (0-5)",B6219&lt;=9,"Morning peak (6-9)",B6219&lt;=15,"Midday (10-15)",B6219&lt;=19,"Evening peak (16-19)",TRUE,"Late evening (20-23)")</f>
        <v>Midday (10-15)</v>
      </c>
    </row>
    <row r="6220" spans="1:9">
      <c r="A6220" s="32">
        <v>42081</v>
      </c>
      <c r="B6220">
        <v>13</v>
      </c>
      <c r="C6220">
        <v>2483</v>
      </c>
      <c r="D6220" t="s">
        <v>304</v>
      </c>
      <c r="E6220">
        <f>YEAR(A6220)</f>
        <v>2015</v>
      </c>
      <c r="F6220" s="33">
        <f>DATE(YEAR(A6220),MONTH(A6220),1)</f>
        <v>42064.0</v>
      </c>
      <c r="G6220" t="str">
        <f>CHOOSE(WEEKDAY(A6220,2),"Mon","Tue","Wed","Thu","Fri","Sat","Sun")</f>
        <v>Wed</v>
      </c>
      <c r="H6220" t="str">
        <f>IF(WEEKDAY(A6220,2)&gt;5,"Weekend","Weekday")</f>
        <v>Weekday</v>
      </c>
      <c r="I6220" t="str">
        <f>_xlfn.IFS(B6220&lt;=5,"Night (0-5)",B6220&lt;=9,"Morning peak (6-9)",B6220&lt;=15,"Midday (10-15)",B6220&lt;=19,"Evening peak (16-19)",TRUE,"Late evening (20-23)")</f>
        <v>Midday (10-15)</v>
      </c>
    </row>
    <row r="6221" spans="1:9">
      <c r="A6221" s="32">
        <v>42081</v>
      </c>
      <c r="B6221">
        <v>14</v>
      </c>
      <c r="C6221">
        <v>2630</v>
      </c>
      <c r="D6221" t="s">
        <v>304</v>
      </c>
      <c r="E6221">
        <f>YEAR(A6221)</f>
        <v>2015</v>
      </c>
      <c r="F6221" s="33">
        <f>DATE(YEAR(A6221),MONTH(A6221),1)</f>
        <v>42064.0</v>
      </c>
      <c r="G6221" t="str">
        <f>CHOOSE(WEEKDAY(A6221,2),"Mon","Tue","Wed","Thu","Fri","Sat","Sun")</f>
        <v>Wed</v>
      </c>
      <c r="H6221" t="str">
        <f>IF(WEEKDAY(A6221,2)&gt;5,"Weekend","Weekday")</f>
        <v>Weekday</v>
      </c>
      <c r="I6221" t="str">
        <f>_xlfn.IFS(B6221&lt;=5,"Night (0-5)",B6221&lt;=9,"Morning peak (6-9)",B6221&lt;=15,"Midday (10-15)",B6221&lt;=19,"Evening peak (16-19)",TRUE,"Late evening (20-23)")</f>
        <v>Midday (10-15)</v>
      </c>
    </row>
    <row r="6222" spans="1:9">
      <c r="A6222" s="32">
        <v>42081</v>
      </c>
      <c r="B6222">
        <v>15</v>
      </c>
      <c r="C6222">
        <v>2968</v>
      </c>
      <c r="D6222" t="s">
        <v>304</v>
      </c>
      <c r="E6222">
        <f>YEAR(A6222)</f>
        <v>2015</v>
      </c>
      <c r="F6222" s="33">
        <f>DATE(YEAR(A6222),MONTH(A6222),1)</f>
        <v>42064.0</v>
      </c>
      <c r="G6222" t="str">
        <f>CHOOSE(WEEKDAY(A6222,2),"Mon","Tue","Wed","Thu","Fri","Sat","Sun")</f>
        <v>Wed</v>
      </c>
      <c r="H6222" t="str">
        <f>IF(WEEKDAY(A6222,2)&gt;5,"Weekend","Weekday")</f>
        <v>Weekday</v>
      </c>
      <c r="I6222" t="str">
        <f>_xlfn.IFS(B6222&lt;=5,"Night (0-5)",B6222&lt;=9,"Morning peak (6-9)",B6222&lt;=15,"Midday (10-15)",B6222&lt;=19,"Evening peak (16-19)",TRUE,"Late evening (20-23)")</f>
        <v>Midday (10-15)</v>
      </c>
    </row>
    <row r="6223" spans="1:9">
      <c r="A6223" s="32">
        <v>42081</v>
      </c>
      <c r="B6223">
        <v>16</v>
      </c>
      <c r="C6223">
        <v>3488</v>
      </c>
      <c r="D6223" t="s">
        <v>304</v>
      </c>
      <c r="E6223">
        <f>YEAR(A6223)</f>
        <v>2015</v>
      </c>
      <c r="F6223" s="33">
        <f>DATE(YEAR(A6223),MONTH(A6223),1)</f>
        <v>42064.0</v>
      </c>
      <c r="G6223" t="str">
        <f>CHOOSE(WEEKDAY(A6223,2),"Mon","Tue","Wed","Thu","Fri","Sat","Sun")</f>
        <v>Wed</v>
      </c>
      <c r="H6223" t="str">
        <f>IF(WEEKDAY(A6223,2)&gt;5,"Weekend","Weekday")</f>
        <v>Weekday</v>
      </c>
      <c r="I6223" t="str">
        <f>_xlfn.IFS(B6223&lt;=5,"Night (0-5)",B6223&lt;=9,"Morning peak (6-9)",B6223&lt;=15,"Midday (10-15)",B6223&lt;=19,"Evening peak (16-19)",TRUE,"Late evening (20-23)")</f>
        <v>Evening peak (16-19)</v>
      </c>
    </row>
    <row r="6224" spans="1:9">
      <c r="A6224" s="32">
        <v>42081</v>
      </c>
      <c r="B6224">
        <v>17</v>
      </c>
      <c r="C6224">
        <v>4185</v>
      </c>
      <c r="D6224" t="s">
        <v>304</v>
      </c>
      <c r="E6224">
        <f>YEAR(A6224)</f>
        <v>2015</v>
      </c>
      <c r="F6224" s="33">
        <f>DATE(YEAR(A6224),MONTH(A6224),1)</f>
        <v>42064.0</v>
      </c>
      <c r="G6224" t="str">
        <f>CHOOSE(WEEKDAY(A6224,2),"Mon","Tue","Wed","Thu","Fri","Sat","Sun")</f>
        <v>Wed</v>
      </c>
      <c r="H6224" t="str">
        <f>IF(WEEKDAY(A6224,2)&gt;5,"Weekend","Weekday")</f>
        <v>Weekday</v>
      </c>
      <c r="I6224" t="str">
        <f>_xlfn.IFS(B6224&lt;=5,"Night (0-5)",B6224&lt;=9,"Morning peak (6-9)",B6224&lt;=15,"Midday (10-15)",B6224&lt;=19,"Evening peak (16-19)",TRUE,"Late evening (20-23)")</f>
        <v>Evening peak (16-19)</v>
      </c>
    </row>
    <row r="6225" spans="1:9">
      <c r="A6225" s="32">
        <v>42081</v>
      </c>
      <c r="B6225">
        <v>18</v>
      </c>
      <c r="C6225">
        <v>4871</v>
      </c>
      <c r="D6225" t="s">
        <v>304</v>
      </c>
      <c r="E6225">
        <f>YEAR(A6225)</f>
        <v>2015</v>
      </c>
      <c r="F6225" s="33">
        <f>DATE(YEAR(A6225),MONTH(A6225),1)</f>
        <v>42064.0</v>
      </c>
      <c r="G6225" t="str">
        <f>CHOOSE(WEEKDAY(A6225,2),"Mon","Tue","Wed","Thu","Fri","Sat","Sun")</f>
        <v>Wed</v>
      </c>
      <c r="H6225" t="str">
        <f>IF(WEEKDAY(A6225,2)&gt;5,"Weekend","Weekday")</f>
        <v>Weekday</v>
      </c>
      <c r="I6225" t="str">
        <f>_xlfn.IFS(B6225&lt;=5,"Night (0-5)",B6225&lt;=9,"Morning peak (6-9)",B6225&lt;=15,"Midday (10-15)",B6225&lt;=19,"Evening peak (16-19)",TRUE,"Late evening (20-23)")</f>
        <v>Evening peak (16-19)</v>
      </c>
    </row>
    <row r="6226" spans="1:9">
      <c r="A6226" s="32">
        <v>42081</v>
      </c>
      <c r="B6226">
        <v>19</v>
      </c>
      <c r="C6226">
        <v>5518</v>
      </c>
      <c r="D6226" t="s">
        <v>304</v>
      </c>
      <c r="E6226">
        <f>YEAR(A6226)</f>
        <v>2015</v>
      </c>
      <c r="F6226" s="33">
        <f>DATE(YEAR(A6226),MONTH(A6226),1)</f>
        <v>42064.0</v>
      </c>
      <c r="G6226" t="str">
        <f>CHOOSE(WEEKDAY(A6226,2),"Mon","Tue","Wed","Thu","Fri","Sat","Sun")</f>
        <v>Wed</v>
      </c>
      <c r="H6226" t="str">
        <f>IF(WEEKDAY(A6226,2)&gt;5,"Weekend","Weekday")</f>
        <v>Weekday</v>
      </c>
      <c r="I6226" t="str">
        <f>_xlfn.IFS(B6226&lt;=5,"Night (0-5)",B6226&lt;=9,"Morning peak (6-9)",B6226&lt;=15,"Midday (10-15)",B6226&lt;=19,"Evening peak (16-19)",TRUE,"Late evening (20-23)")</f>
        <v>Evening peak (16-19)</v>
      </c>
    </row>
    <row r="6227" spans="1:9">
      <c r="A6227" s="32">
        <v>42081</v>
      </c>
      <c r="B6227">
        <v>20</v>
      </c>
      <c r="C6227">
        <v>5288</v>
      </c>
      <c r="D6227" t="s">
        <v>304</v>
      </c>
      <c r="E6227">
        <f>YEAR(A6227)</f>
        <v>2015</v>
      </c>
      <c r="F6227" s="33">
        <f>DATE(YEAR(A6227),MONTH(A6227),1)</f>
        <v>42064.0</v>
      </c>
      <c r="G6227" t="str">
        <f>CHOOSE(WEEKDAY(A6227,2),"Mon","Tue","Wed","Thu","Fri","Sat","Sun")</f>
        <v>Wed</v>
      </c>
      <c r="H6227" t="str">
        <f>IF(WEEKDAY(A6227,2)&gt;5,"Weekend","Weekday")</f>
        <v>Weekday</v>
      </c>
      <c r="I6227" t="str">
        <f>_xlfn.IFS(B6227&lt;=5,"Night (0-5)",B6227&lt;=9,"Morning peak (6-9)",B6227&lt;=15,"Midday (10-15)",B6227&lt;=19,"Evening peak (16-19)",TRUE,"Late evening (20-23)")</f>
        <v>Late evening (20-23)</v>
      </c>
    </row>
    <row r="6228" spans="1:9">
      <c r="A6228" s="32">
        <v>42081</v>
      </c>
      <c r="B6228">
        <v>21</v>
      </c>
      <c r="C6228">
        <v>5023</v>
      </c>
      <c r="D6228" t="s">
        <v>304</v>
      </c>
      <c r="E6228">
        <f>YEAR(A6228)</f>
        <v>2015</v>
      </c>
      <c r="F6228" s="33">
        <f>DATE(YEAR(A6228),MONTH(A6228),1)</f>
        <v>42064.0</v>
      </c>
      <c r="G6228" t="str">
        <f>CHOOSE(WEEKDAY(A6228,2),"Mon","Tue","Wed","Thu","Fri","Sat","Sun")</f>
        <v>Wed</v>
      </c>
      <c r="H6228" t="str">
        <f>IF(WEEKDAY(A6228,2)&gt;5,"Weekend","Weekday")</f>
        <v>Weekday</v>
      </c>
      <c r="I6228" t="str">
        <f>_xlfn.IFS(B6228&lt;=5,"Night (0-5)",B6228&lt;=9,"Morning peak (6-9)",B6228&lt;=15,"Midday (10-15)",B6228&lt;=19,"Evening peak (16-19)",TRUE,"Late evening (20-23)")</f>
        <v>Late evening (20-23)</v>
      </c>
    </row>
    <row r="6229" spans="1:9">
      <c r="A6229" s="32">
        <v>42081</v>
      </c>
      <c r="B6229">
        <v>22</v>
      </c>
      <c r="C6229">
        <v>4587</v>
      </c>
      <c r="D6229" t="s">
        <v>304</v>
      </c>
      <c r="E6229">
        <f>YEAR(A6229)</f>
        <v>2015</v>
      </c>
      <c r="F6229" s="33">
        <f>DATE(YEAR(A6229),MONTH(A6229),1)</f>
        <v>42064.0</v>
      </c>
      <c r="G6229" t="str">
        <f>CHOOSE(WEEKDAY(A6229,2),"Mon","Tue","Wed","Thu","Fri","Sat","Sun")</f>
        <v>Wed</v>
      </c>
      <c r="H6229" t="str">
        <f>IF(WEEKDAY(A6229,2)&gt;5,"Weekend","Weekday")</f>
        <v>Weekday</v>
      </c>
      <c r="I6229" t="str">
        <f>_xlfn.IFS(B6229&lt;=5,"Night (0-5)",B6229&lt;=9,"Morning peak (6-9)",B6229&lt;=15,"Midday (10-15)",B6229&lt;=19,"Evening peak (16-19)",TRUE,"Late evening (20-23)")</f>
        <v>Late evening (20-23)</v>
      </c>
    </row>
    <row r="6230" spans="1:9">
      <c r="A6230" s="32">
        <v>42081</v>
      </c>
      <c r="B6230">
        <v>23</v>
      </c>
      <c r="C6230">
        <v>3576</v>
      </c>
      <c r="D6230" t="s">
        <v>304</v>
      </c>
      <c r="E6230">
        <f>YEAR(A6230)</f>
        <v>2015</v>
      </c>
      <c r="F6230" s="33">
        <f>DATE(YEAR(A6230),MONTH(A6230),1)</f>
        <v>42064.0</v>
      </c>
      <c r="G6230" t="str">
        <f>CHOOSE(WEEKDAY(A6230,2),"Mon","Tue","Wed","Thu","Fri","Sat","Sun")</f>
        <v>Wed</v>
      </c>
      <c r="H6230" t="str">
        <f>IF(WEEKDAY(A6230,2)&gt;5,"Weekend","Weekday")</f>
        <v>Weekday</v>
      </c>
      <c r="I6230" t="str">
        <f>_xlfn.IFS(B6230&lt;=5,"Night (0-5)",B6230&lt;=9,"Morning peak (6-9)",B6230&lt;=15,"Midday (10-15)",B6230&lt;=19,"Evening peak (16-19)",TRUE,"Late evening (20-23)")</f>
        <v>Late evening (20-23)</v>
      </c>
    </row>
    <row r="6231" spans="1:9">
      <c r="A6231" s="32">
        <v>42082</v>
      </c>
      <c r="B6231">
        <v>0</v>
      </c>
      <c r="C6231">
        <v>2352</v>
      </c>
      <c r="D6231" t="s">
        <v>304</v>
      </c>
      <c r="E6231">
        <f>YEAR(A6231)</f>
        <v>2015</v>
      </c>
      <c r="F6231" s="33">
        <f>DATE(YEAR(A6231),MONTH(A6231),1)</f>
        <v>42064.0</v>
      </c>
      <c r="G6231" t="str">
        <f>CHOOSE(WEEKDAY(A6231,2),"Mon","Tue","Wed","Thu","Fri","Sat","Sun")</f>
        <v>Thu</v>
      </c>
      <c r="H6231" t="str">
        <f>IF(WEEKDAY(A6231,2)&gt;5,"Weekend","Weekday")</f>
        <v>Weekday</v>
      </c>
      <c r="I6231" t="str">
        <f>_xlfn.IFS(B6231&lt;=5,"Night (0-5)",B6231&lt;=9,"Morning peak (6-9)",B6231&lt;=15,"Midday (10-15)",B6231&lt;=19,"Evening peak (16-19)",TRUE,"Late evening (20-23)")</f>
        <v>Night (0-5)</v>
      </c>
    </row>
    <row r="6232" spans="1:9">
      <c r="A6232" s="32">
        <v>42082</v>
      </c>
      <c r="B6232">
        <v>1</v>
      </c>
      <c r="C6232">
        <v>1255</v>
      </c>
      <c r="D6232" t="s">
        <v>304</v>
      </c>
      <c r="E6232">
        <f>YEAR(A6232)</f>
        <v>2015</v>
      </c>
      <c r="F6232" s="33">
        <f>DATE(YEAR(A6232),MONTH(A6232),1)</f>
        <v>42064.0</v>
      </c>
      <c r="G6232" t="str">
        <f>CHOOSE(WEEKDAY(A6232,2),"Mon","Tue","Wed","Thu","Fri","Sat","Sun")</f>
        <v>Thu</v>
      </c>
      <c r="H6232" t="str">
        <f>IF(WEEKDAY(A6232,2)&gt;5,"Weekend","Weekday")</f>
        <v>Weekday</v>
      </c>
      <c r="I6232" t="str">
        <f>_xlfn.IFS(B6232&lt;=5,"Night (0-5)",B6232&lt;=9,"Morning peak (6-9)",B6232&lt;=15,"Midday (10-15)",B6232&lt;=19,"Evening peak (16-19)",TRUE,"Late evening (20-23)")</f>
        <v>Night (0-5)</v>
      </c>
    </row>
    <row r="6233" spans="1:9">
      <c r="A6233" s="32">
        <v>42082</v>
      </c>
      <c r="B6233">
        <v>2</v>
      </c>
      <c r="C6233">
        <v>677</v>
      </c>
      <c r="D6233" t="s">
        <v>304</v>
      </c>
      <c r="E6233">
        <f>YEAR(A6233)</f>
        <v>2015</v>
      </c>
      <c r="F6233" s="33">
        <f>DATE(YEAR(A6233),MONTH(A6233),1)</f>
        <v>42064.0</v>
      </c>
      <c r="G6233" t="str">
        <f>CHOOSE(WEEKDAY(A6233,2),"Mon","Tue","Wed","Thu","Fri","Sat","Sun")</f>
        <v>Thu</v>
      </c>
      <c r="H6233" t="str">
        <f>IF(WEEKDAY(A6233,2)&gt;5,"Weekend","Weekday")</f>
        <v>Weekday</v>
      </c>
      <c r="I6233" t="str">
        <f>_xlfn.IFS(B6233&lt;=5,"Night (0-5)",B6233&lt;=9,"Morning peak (6-9)",B6233&lt;=15,"Midday (10-15)",B6233&lt;=19,"Evening peak (16-19)",TRUE,"Late evening (20-23)")</f>
        <v>Night (0-5)</v>
      </c>
    </row>
    <row r="6234" spans="1:9">
      <c r="A6234" s="32">
        <v>42082</v>
      </c>
      <c r="B6234">
        <v>3</v>
      </c>
      <c r="C6234">
        <v>476</v>
      </c>
      <c r="D6234" t="s">
        <v>304</v>
      </c>
      <c r="E6234">
        <f>YEAR(A6234)</f>
        <v>2015</v>
      </c>
      <c r="F6234" s="33">
        <f>DATE(YEAR(A6234),MONTH(A6234),1)</f>
        <v>42064.0</v>
      </c>
      <c r="G6234" t="str">
        <f>CHOOSE(WEEKDAY(A6234,2),"Mon","Tue","Wed","Thu","Fri","Sat","Sun")</f>
        <v>Thu</v>
      </c>
      <c r="H6234" t="str">
        <f>IF(WEEKDAY(A6234,2)&gt;5,"Weekend","Weekday")</f>
        <v>Weekday</v>
      </c>
      <c r="I6234" t="str">
        <f>_xlfn.IFS(B6234&lt;=5,"Night (0-5)",B6234&lt;=9,"Morning peak (6-9)",B6234&lt;=15,"Midday (10-15)",B6234&lt;=19,"Evening peak (16-19)",TRUE,"Late evening (20-23)")</f>
        <v>Night (0-5)</v>
      </c>
    </row>
    <row r="6235" spans="1:9">
      <c r="A6235" s="32">
        <v>42082</v>
      </c>
      <c r="B6235">
        <v>4</v>
      </c>
      <c r="C6235">
        <v>677</v>
      </c>
      <c r="D6235" t="s">
        <v>304</v>
      </c>
      <c r="E6235">
        <f>YEAR(A6235)</f>
        <v>2015</v>
      </c>
      <c r="F6235" s="33">
        <f>DATE(YEAR(A6235),MONTH(A6235),1)</f>
        <v>42064.0</v>
      </c>
      <c r="G6235" t="str">
        <f>CHOOSE(WEEKDAY(A6235,2),"Mon","Tue","Wed","Thu","Fri","Sat","Sun")</f>
        <v>Thu</v>
      </c>
      <c r="H6235" t="str">
        <f>IF(WEEKDAY(A6235,2)&gt;5,"Weekend","Weekday")</f>
        <v>Weekday</v>
      </c>
      <c r="I6235" t="str">
        <f>_xlfn.IFS(B6235&lt;=5,"Night (0-5)",B6235&lt;=9,"Morning peak (6-9)",B6235&lt;=15,"Midday (10-15)",B6235&lt;=19,"Evening peak (16-19)",TRUE,"Late evening (20-23)")</f>
        <v>Night (0-5)</v>
      </c>
    </row>
    <row r="6236" spans="1:9">
      <c r="A6236" s="32">
        <v>42082</v>
      </c>
      <c r="B6236">
        <v>5</v>
      </c>
      <c r="C6236">
        <v>992</v>
      </c>
      <c r="D6236" t="s">
        <v>304</v>
      </c>
      <c r="E6236">
        <f>YEAR(A6236)</f>
        <v>2015</v>
      </c>
      <c r="F6236" s="33">
        <f>DATE(YEAR(A6236),MONTH(A6236),1)</f>
        <v>42064.0</v>
      </c>
      <c r="G6236" t="str">
        <f>CHOOSE(WEEKDAY(A6236,2),"Mon","Tue","Wed","Thu","Fri","Sat","Sun")</f>
        <v>Thu</v>
      </c>
      <c r="H6236" t="str">
        <f>IF(WEEKDAY(A6236,2)&gt;5,"Weekend","Weekday")</f>
        <v>Weekday</v>
      </c>
      <c r="I6236" t="str">
        <f>_xlfn.IFS(B6236&lt;=5,"Night (0-5)",B6236&lt;=9,"Morning peak (6-9)",B6236&lt;=15,"Midday (10-15)",B6236&lt;=19,"Evening peak (16-19)",TRUE,"Late evening (20-23)")</f>
        <v>Night (0-5)</v>
      </c>
    </row>
    <row r="6237" spans="1:9">
      <c r="A6237" s="32">
        <v>42082</v>
      </c>
      <c r="B6237">
        <v>6</v>
      </c>
      <c r="C6237">
        <v>1783</v>
      </c>
      <c r="D6237" t="s">
        <v>304</v>
      </c>
      <c r="E6237">
        <f>YEAR(A6237)</f>
        <v>2015</v>
      </c>
      <c r="F6237" s="33">
        <f>DATE(YEAR(A6237),MONTH(A6237),1)</f>
        <v>42064.0</v>
      </c>
      <c r="G6237" t="str">
        <f>CHOOSE(WEEKDAY(A6237,2),"Mon","Tue","Wed","Thu","Fri","Sat","Sun")</f>
        <v>Thu</v>
      </c>
      <c r="H6237" t="str">
        <f>IF(WEEKDAY(A6237,2)&gt;5,"Weekend","Weekday")</f>
        <v>Weekday</v>
      </c>
      <c r="I6237" t="str">
        <f>_xlfn.IFS(B6237&lt;=5,"Night (0-5)",B6237&lt;=9,"Morning peak (6-9)",B6237&lt;=15,"Midday (10-15)",B6237&lt;=19,"Evening peak (16-19)",TRUE,"Late evening (20-23)")</f>
        <v>Morning peak (6-9)</v>
      </c>
    </row>
    <row r="6238" spans="1:9">
      <c r="A6238" s="32">
        <v>42082</v>
      </c>
      <c r="B6238">
        <v>7</v>
      </c>
      <c r="C6238">
        <v>2778</v>
      </c>
      <c r="D6238" t="s">
        <v>304</v>
      </c>
      <c r="E6238">
        <f>YEAR(A6238)</f>
        <v>2015</v>
      </c>
      <c r="F6238" s="33">
        <f>DATE(YEAR(A6238),MONTH(A6238),1)</f>
        <v>42064.0</v>
      </c>
      <c r="G6238" t="str">
        <f>CHOOSE(WEEKDAY(A6238,2),"Mon","Tue","Wed","Thu","Fri","Sat","Sun")</f>
        <v>Thu</v>
      </c>
      <c r="H6238" t="str">
        <f>IF(WEEKDAY(A6238,2)&gt;5,"Weekend","Weekday")</f>
        <v>Weekday</v>
      </c>
      <c r="I6238" t="str">
        <f>_xlfn.IFS(B6238&lt;=5,"Night (0-5)",B6238&lt;=9,"Morning peak (6-9)",B6238&lt;=15,"Midday (10-15)",B6238&lt;=19,"Evening peak (16-19)",TRUE,"Late evening (20-23)")</f>
        <v>Morning peak (6-9)</v>
      </c>
    </row>
    <row r="6239" spans="1:9">
      <c r="A6239" s="32">
        <v>42082</v>
      </c>
      <c r="B6239">
        <v>8</v>
      </c>
      <c r="C6239">
        <v>3741</v>
      </c>
      <c r="D6239" t="s">
        <v>304</v>
      </c>
      <c r="E6239">
        <f>YEAR(A6239)</f>
        <v>2015</v>
      </c>
      <c r="F6239" s="33">
        <f>DATE(YEAR(A6239),MONTH(A6239),1)</f>
        <v>42064.0</v>
      </c>
      <c r="G6239" t="str">
        <f>CHOOSE(WEEKDAY(A6239,2),"Mon","Tue","Wed","Thu","Fri","Sat","Sun")</f>
        <v>Thu</v>
      </c>
      <c r="H6239" t="str">
        <f>IF(WEEKDAY(A6239,2)&gt;5,"Weekend","Weekday")</f>
        <v>Weekday</v>
      </c>
      <c r="I6239" t="str">
        <f>_xlfn.IFS(B6239&lt;=5,"Night (0-5)",B6239&lt;=9,"Morning peak (6-9)",B6239&lt;=15,"Midday (10-15)",B6239&lt;=19,"Evening peak (16-19)",TRUE,"Late evening (20-23)")</f>
        <v>Morning peak (6-9)</v>
      </c>
    </row>
    <row r="6240" spans="1:9">
      <c r="A6240" s="32">
        <v>42082</v>
      </c>
      <c r="B6240">
        <v>9</v>
      </c>
      <c r="C6240">
        <v>3620</v>
      </c>
      <c r="D6240" t="s">
        <v>304</v>
      </c>
      <c r="E6240">
        <f>YEAR(A6240)</f>
        <v>2015</v>
      </c>
      <c r="F6240" s="33">
        <f>DATE(YEAR(A6240),MONTH(A6240),1)</f>
        <v>42064.0</v>
      </c>
      <c r="G6240" t="str">
        <f>CHOOSE(WEEKDAY(A6240,2),"Mon","Tue","Wed","Thu","Fri","Sat","Sun")</f>
        <v>Thu</v>
      </c>
      <c r="H6240" t="str">
        <f>IF(WEEKDAY(A6240,2)&gt;5,"Weekend","Weekday")</f>
        <v>Weekday</v>
      </c>
      <c r="I6240" t="str">
        <f>_xlfn.IFS(B6240&lt;=5,"Night (0-5)",B6240&lt;=9,"Morning peak (6-9)",B6240&lt;=15,"Midday (10-15)",B6240&lt;=19,"Evening peak (16-19)",TRUE,"Late evening (20-23)")</f>
        <v>Morning peak (6-9)</v>
      </c>
    </row>
    <row r="6241" spans="1:9">
      <c r="A6241" s="32">
        <v>42082</v>
      </c>
      <c r="B6241">
        <v>10</v>
      </c>
      <c r="C6241">
        <v>2934</v>
      </c>
      <c r="D6241" t="s">
        <v>304</v>
      </c>
      <c r="E6241">
        <f>YEAR(A6241)</f>
        <v>2015</v>
      </c>
      <c r="F6241" s="33">
        <f>DATE(YEAR(A6241),MONTH(A6241),1)</f>
        <v>42064.0</v>
      </c>
      <c r="G6241" t="str">
        <f>CHOOSE(WEEKDAY(A6241,2),"Mon","Tue","Wed","Thu","Fri","Sat","Sun")</f>
        <v>Thu</v>
      </c>
      <c r="H6241" t="str">
        <f>IF(WEEKDAY(A6241,2)&gt;5,"Weekend","Weekday")</f>
        <v>Weekday</v>
      </c>
      <c r="I6241" t="str">
        <f>_xlfn.IFS(B6241&lt;=5,"Night (0-5)",B6241&lt;=9,"Morning peak (6-9)",B6241&lt;=15,"Midday (10-15)",B6241&lt;=19,"Evening peak (16-19)",TRUE,"Late evening (20-23)")</f>
        <v>Midday (10-15)</v>
      </c>
    </row>
    <row r="6242" spans="1:9">
      <c r="A6242" s="32">
        <v>42082</v>
      </c>
      <c r="B6242">
        <v>11</v>
      </c>
      <c r="C6242">
        <v>2642</v>
      </c>
      <c r="D6242" t="s">
        <v>304</v>
      </c>
      <c r="E6242">
        <f>YEAR(A6242)</f>
        <v>2015</v>
      </c>
      <c r="F6242" s="33">
        <f>DATE(YEAR(A6242),MONTH(A6242),1)</f>
        <v>42064.0</v>
      </c>
      <c r="G6242" t="str">
        <f>CHOOSE(WEEKDAY(A6242,2),"Mon","Tue","Wed","Thu","Fri","Sat","Sun")</f>
        <v>Thu</v>
      </c>
      <c r="H6242" t="str">
        <f>IF(WEEKDAY(A6242,2)&gt;5,"Weekend","Weekday")</f>
        <v>Weekday</v>
      </c>
      <c r="I6242" t="str">
        <f>_xlfn.IFS(B6242&lt;=5,"Night (0-5)",B6242&lt;=9,"Morning peak (6-9)",B6242&lt;=15,"Midday (10-15)",B6242&lt;=19,"Evening peak (16-19)",TRUE,"Late evening (20-23)")</f>
        <v>Midday (10-15)</v>
      </c>
    </row>
    <row r="6243" spans="1:9">
      <c r="A6243" s="32">
        <v>42082</v>
      </c>
      <c r="B6243">
        <v>12</v>
      </c>
      <c r="C6243">
        <v>2607</v>
      </c>
      <c r="D6243" t="s">
        <v>304</v>
      </c>
      <c r="E6243">
        <f>YEAR(A6243)</f>
        <v>2015</v>
      </c>
      <c r="F6243" s="33">
        <f>DATE(YEAR(A6243),MONTH(A6243),1)</f>
        <v>42064.0</v>
      </c>
      <c r="G6243" t="str">
        <f>CHOOSE(WEEKDAY(A6243,2),"Mon","Tue","Wed","Thu","Fri","Sat","Sun")</f>
        <v>Thu</v>
      </c>
      <c r="H6243" t="str">
        <f>IF(WEEKDAY(A6243,2)&gt;5,"Weekend","Weekday")</f>
        <v>Weekday</v>
      </c>
      <c r="I6243" t="str">
        <f>_xlfn.IFS(B6243&lt;=5,"Night (0-5)",B6243&lt;=9,"Morning peak (6-9)",B6243&lt;=15,"Midday (10-15)",B6243&lt;=19,"Evening peak (16-19)",TRUE,"Late evening (20-23)")</f>
        <v>Midday (10-15)</v>
      </c>
    </row>
    <row r="6244" spans="1:9">
      <c r="A6244" s="32">
        <v>42082</v>
      </c>
      <c r="B6244">
        <v>13</v>
      </c>
      <c r="C6244">
        <v>2613</v>
      </c>
      <c r="D6244" t="s">
        <v>304</v>
      </c>
      <c r="E6244">
        <f>YEAR(A6244)</f>
        <v>2015</v>
      </c>
      <c r="F6244" s="33">
        <f>DATE(YEAR(A6244),MONTH(A6244),1)</f>
        <v>42064.0</v>
      </c>
      <c r="G6244" t="str">
        <f>CHOOSE(WEEKDAY(A6244,2),"Mon","Tue","Wed","Thu","Fri","Sat","Sun")</f>
        <v>Thu</v>
      </c>
      <c r="H6244" t="str">
        <f>IF(WEEKDAY(A6244,2)&gt;5,"Weekend","Weekday")</f>
        <v>Weekday</v>
      </c>
      <c r="I6244" t="str">
        <f>_xlfn.IFS(B6244&lt;=5,"Night (0-5)",B6244&lt;=9,"Morning peak (6-9)",B6244&lt;=15,"Midday (10-15)",B6244&lt;=19,"Evening peak (16-19)",TRUE,"Late evening (20-23)")</f>
        <v>Midday (10-15)</v>
      </c>
    </row>
    <row r="6245" spans="1:9">
      <c r="A6245" s="32">
        <v>42082</v>
      </c>
      <c r="B6245">
        <v>14</v>
      </c>
      <c r="C6245">
        <v>2719</v>
      </c>
      <c r="D6245" t="s">
        <v>304</v>
      </c>
      <c r="E6245">
        <f>YEAR(A6245)</f>
        <v>2015</v>
      </c>
      <c r="F6245" s="33">
        <f>DATE(YEAR(A6245),MONTH(A6245),1)</f>
        <v>42064.0</v>
      </c>
      <c r="G6245" t="str">
        <f>CHOOSE(WEEKDAY(A6245,2),"Mon","Tue","Wed","Thu","Fri","Sat","Sun")</f>
        <v>Thu</v>
      </c>
      <c r="H6245" t="str">
        <f>IF(WEEKDAY(A6245,2)&gt;5,"Weekend","Weekday")</f>
        <v>Weekday</v>
      </c>
      <c r="I6245" t="str">
        <f>_xlfn.IFS(B6245&lt;=5,"Night (0-5)",B6245&lt;=9,"Morning peak (6-9)",B6245&lt;=15,"Midday (10-15)",B6245&lt;=19,"Evening peak (16-19)",TRUE,"Late evening (20-23)")</f>
        <v>Midday (10-15)</v>
      </c>
    </row>
    <row r="6246" spans="1:9">
      <c r="A6246" s="32">
        <v>42082</v>
      </c>
      <c r="B6246">
        <v>15</v>
      </c>
      <c r="C6246">
        <v>3338</v>
      </c>
      <c r="D6246" t="s">
        <v>304</v>
      </c>
      <c r="E6246">
        <f>YEAR(A6246)</f>
        <v>2015</v>
      </c>
      <c r="F6246" s="33">
        <f>DATE(YEAR(A6246),MONTH(A6246),1)</f>
        <v>42064.0</v>
      </c>
      <c r="G6246" t="str">
        <f>CHOOSE(WEEKDAY(A6246,2),"Mon","Tue","Wed","Thu","Fri","Sat","Sun")</f>
        <v>Thu</v>
      </c>
      <c r="H6246" t="str">
        <f>IF(WEEKDAY(A6246,2)&gt;5,"Weekend","Weekday")</f>
        <v>Weekday</v>
      </c>
      <c r="I6246" t="str">
        <f>_xlfn.IFS(B6246&lt;=5,"Night (0-5)",B6246&lt;=9,"Morning peak (6-9)",B6246&lt;=15,"Midday (10-15)",B6246&lt;=19,"Evening peak (16-19)",TRUE,"Late evening (20-23)")</f>
        <v>Midday (10-15)</v>
      </c>
    </row>
    <row r="6247" spans="1:9">
      <c r="A6247" s="32">
        <v>42082</v>
      </c>
      <c r="B6247">
        <v>16</v>
      </c>
      <c r="C6247">
        <v>3751</v>
      </c>
      <c r="D6247" t="s">
        <v>304</v>
      </c>
      <c r="E6247">
        <f>YEAR(A6247)</f>
        <v>2015</v>
      </c>
      <c r="F6247" s="33">
        <f>DATE(YEAR(A6247),MONTH(A6247),1)</f>
        <v>42064.0</v>
      </c>
      <c r="G6247" t="str">
        <f>CHOOSE(WEEKDAY(A6247,2),"Mon","Tue","Wed","Thu","Fri","Sat","Sun")</f>
        <v>Thu</v>
      </c>
      <c r="H6247" t="str">
        <f>IF(WEEKDAY(A6247,2)&gt;5,"Weekend","Weekday")</f>
        <v>Weekday</v>
      </c>
      <c r="I6247" t="str">
        <f>_xlfn.IFS(B6247&lt;=5,"Night (0-5)",B6247&lt;=9,"Morning peak (6-9)",B6247&lt;=15,"Midday (10-15)",B6247&lt;=19,"Evening peak (16-19)",TRUE,"Late evening (20-23)")</f>
        <v>Evening peak (16-19)</v>
      </c>
    </row>
    <row r="6248" spans="1:9">
      <c r="A6248" s="32">
        <v>42082</v>
      </c>
      <c r="B6248">
        <v>17</v>
      </c>
      <c r="C6248">
        <v>4553</v>
      </c>
      <c r="D6248" t="s">
        <v>304</v>
      </c>
      <c r="E6248">
        <f>YEAR(A6248)</f>
        <v>2015</v>
      </c>
      <c r="F6248" s="33">
        <f>DATE(YEAR(A6248),MONTH(A6248),1)</f>
        <v>42064.0</v>
      </c>
      <c r="G6248" t="str">
        <f>CHOOSE(WEEKDAY(A6248,2),"Mon","Tue","Wed","Thu","Fri","Sat","Sun")</f>
        <v>Thu</v>
      </c>
      <c r="H6248" t="str">
        <f>IF(WEEKDAY(A6248,2)&gt;5,"Weekend","Weekday")</f>
        <v>Weekday</v>
      </c>
      <c r="I6248" t="str">
        <f>_xlfn.IFS(B6248&lt;=5,"Night (0-5)",B6248&lt;=9,"Morning peak (6-9)",B6248&lt;=15,"Midday (10-15)",B6248&lt;=19,"Evening peak (16-19)",TRUE,"Late evening (20-23)")</f>
        <v>Evening peak (16-19)</v>
      </c>
    </row>
    <row r="6249" spans="1:9">
      <c r="A6249" s="32">
        <v>42082</v>
      </c>
      <c r="B6249">
        <v>18</v>
      </c>
      <c r="C6249">
        <v>5356</v>
      </c>
      <c r="D6249" t="s">
        <v>304</v>
      </c>
      <c r="E6249">
        <f>YEAR(A6249)</f>
        <v>2015</v>
      </c>
      <c r="F6249" s="33">
        <f>DATE(YEAR(A6249),MONTH(A6249),1)</f>
        <v>42064.0</v>
      </c>
      <c r="G6249" t="str">
        <f>CHOOSE(WEEKDAY(A6249,2),"Mon","Tue","Wed","Thu","Fri","Sat","Sun")</f>
        <v>Thu</v>
      </c>
      <c r="H6249" t="str">
        <f>IF(WEEKDAY(A6249,2)&gt;5,"Weekend","Weekday")</f>
        <v>Weekday</v>
      </c>
      <c r="I6249" t="str">
        <f>_xlfn.IFS(B6249&lt;=5,"Night (0-5)",B6249&lt;=9,"Morning peak (6-9)",B6249&lt;=15,"Midday (10-15)",B6249&lt;=19,"Evening peak (16-19)",TRUE,"Late evening (20-23)")</f>
        <v>Evening peak (16-19)</v>
      </c>
    </row>
    <row r="6250" spans="1:9">
      <c r="A6250" s="32">
        <v>42082</v>
      </c>
      <c r="B6250">
        <v>19</v>
      </c>
      <c r="C6250">
        <v>5691</v>
      </c>
      <c r="D6250" t="s">
        <v>304</v>
      </c>
      <c r="E6250">
        <f>YEAR(A6250)</f>
        <v>2015</v>
      </c>
      <c r="F6250" s="33">
        <f>DATE(YEAR(A6250),MONTH(A6250),1)</f>
        <v>42064.0</v>
      </c>
      <c r="G6250" t="str">
        <f>CHOOSE(WEEKDAY(A6250,2),"Mon","Tue","Wed","Thu","Fri","Sat","Sun")</f>
        <v>Thu</v>
      </c>
      <c r="H6250" t="str">
        <f>IF(WEEKDAY(A6250,2)&gt;5,"Weekend","Weekday")</f>
        <v>Weekday</v>
      </c>
      <c r="I6250" t="str">
        <f>_xlfn.IFS(B6250&lt;=5,"Night (0-5)",B6250&lt;=9,"Morning peak (6-9)",B6250&lt;=15,"Midday (10-15)",B6250&lt;=19,"Evening peak (16-19)",TRUE,"Late evening (20-23)")</f>
        <v>Evening peak (16-19)</v>
      </c>
    </row>
    <row r="6251" spans="1:9">
      <c r="A6251" s="32">
        <v>42082</v>
      </c>
      <c r="B6251">
        <v>20</v>
      </c>
      <c r="C6251">
        <v>5510</v>
      </c>
      <c r="D6251" t="s">
        <v>304</v>
      </c>
      <c r="E6251">
        <f>YEAR(A6251)</f>
        <v>2015</v>
      </c>
      <c r="F6251" s="33">
        <f>DATE(YEAR(A6251),MONTH(A6251),1)</f>
        <v>42064.0</v>
      </c>
      <c r="G6251" t="str">
        <f>CHOOSE(WEEKDAY(A6251,2),"Mon","Tue","Wed","Thu","Fri","Sat","Sun")</f>
        <v>Thu</v>
      </c>
      <c r="H6251" t="str">
        <f>IF(WEEKDAY(A6251,2)&gt;5,"Weekend","Weekday")</f>
        <v>Weekday</v>
      </c>
      <c r="I6251" t="str">
        <f>_xlfn.IFS(B6251&lt;=5,"Night (0-5)",B6251&lt;=9,"Morning peak (6-9)",B6251&lt;=15,"Midday (10-15)",B6251&lt;=19,"Evening peak (16-19)",TRUE,"Late evening (20-23)")</f>
        <v>Late evening (20-23)</v>
      </c>
    </row>
    <row r="6252" spans="1:9">
      <c r="A6252" s="32">
        <v>42082</v>
      </c>
      <c r="B6252">
        <v>21</v>
      </c>
      <c r="C6252">
        <v>5785</v>
      </c>
      <c r="D6252" t="s">
        <v>304</v>
      </c>
      <c r="E6252">
        <f>YEAR(A6252)</f>
        <v>2015</v>
      </c>
      <c r="F6252" s="33">
        <f>DATE(YEAR(A6252),MONTH(A6252),1)</f>
        <v>42064.0</v>
      </c>
      <c r="G6252" t="str">
        <f>CHOOSE(WEEKDAY(A6252,2),"Mon","Tue","Wed","Thu","Fri","Sat","Sun")</f>
        <v>Thu</v>
      </c>
      <c r="H6252" t="str">
        <f>IF(WEEKDAY(A6252,2)&gt;5,"Weekend","Weekday")</f>
        <v>Weekday</v>
      </c>
      <c r="I6252" t="str">
        <f>_xlfn.IFS(B6252&lt;=5,"Night (0-5)",B6252&lt;=9,"Morning peak (6-9)",B6252&lt;=15,"Midday (10-15)",B6252&lt;=19,"Evening peak (16-19)",TRUE,"Late evening (20-23)")</f>
        <v>Late evening (20-23)</v>
      </c>
    </row>
    <row r="6253" spans="1:9">
      <c r="A6253" s="32">
        <v>42082</v>
      </c>
      <c r="B6253">
        <v>22</v>
      </c>
      <c r="C6253">
        <v>5399</v>
      </c>
      <c r="D6253" t="s">
        <v>304</v>
      </c>
      <c r="E6253">
        <f>YEAR(A6253)</f>
        <v>2015</v>
      </c>
      <c r="F6253" s="33">
        <f>DATE(YEAR(A6253),MONTH(A6253),1)</f>
        <v>42064.0</v>
      </c>
      <c r="G6253" t="str">
        <f>CHOOSE(WEEKDAY(A6253,2),"Mon","Tue","Wed","Thu","Fri","Sat","Sun")</f>
        <v>Thu</v>
      </c>
      <c r="H6253" t="str">
        <f>IF(WEEKDAY(A6253,2)&gt;5,"Weekend","Weekday")</f>
        <v>Weekday</v>
      </c>
      <c r="I6253" t="str">
        <f>_xlfn.IFS(B6253&lt;=5,"Night (0-5)",B6253&lt;=9,"Morning peak (6-9)",B6253&lt;=15,"Midday (10-15)",B6253&lt;=19,"Evening peak (16-19)",TRUE,"Late evening (20-23)")</f>
        <v>Late evening (20-23)</v>
      </c>
    </row>
    <row r="6254" spans="1:9">
      <c r="A6254" s="32">
        <v>42082</v>
      </c>
      <c r="B6254">
        <v>23</v>
      </c>
      <c r="C6254">
        <v>4590</v>
      </c>
      <c r="D6254" t="s">
        <v>304</v>
      </c>
      <c r="E6254">
        <f>YEAR(A6254)</f>
        <v>2015</v>
      </c>
      <c r="F6254" s="33">
        <f>DATE(YEAR(A6254),MONTH(A6254),1)</f>
        <v>42064.0</v>
      </c>
      <c r="G6254" t="str">
        <f>CHOOSE(WEEKDAY(A6254,2),"Mon","Tue","Wed","Thu","Fri","Sat","Sun")</f>
        <v>Thu</v>
      </c>
      <c r="H6254" t="str">
        <f>IF(WEEKDAY(A6254,2)&gt;5,"Weekend","Weekday")</f>
        <v>Weekday</v>
      </c>
      <c r="I6254" t="str">
        <f>_xlfn.IFS(B6254&lt;=5,"Night (0-5)",B6254&lt;=9,"Morning peak (6-9)",B6254&lt;=15,"Midday (10-15)",B6254&lt;=19,"Evening peak (16-19)",TRUE,"Late evening (20-23)")</f>
        <v>Late evening (20-23)</v>
      </c>
    </row>
    <row r="6255" spans="1:9">
      <c r="A6255" s="32">
        <v>42083</v>
      </c>
      <c r="B6255">
        <v>0</v>
      </c>
      <c r="C6255">
        <v>2744</v>
      </c>
      <c r="D6255" t="s">
        <v>304</v>
      </c>
      <c r="E6255">
        <f>YEAR(A6255)</f>
        <v>2015</v>
      </c>
      <c r="F6255" s="33">
        <f>DATE(YEAR(A6255),MONTH(A6255),1)</f>
        <v>42064.0</v>
      </c>
      <c r="G6255" t="str">
        <f>CHOOSE(WEEKDAY(A6255,2),"Mon","Tue","Wed","Thu","Fri","Sat","Sun")</f>
        <v>Fri</v>
      </c>
      <c r="H6255" t="str">
        <f>IF(WEEKDAY(A6255,2)&gt;5,"Weekend","Weekday")</f>
        <v>Weekday</v>
      </c>
      <c r="I6255" t="str">
        <f>_xlfn.IFS(B6255&lt;=5,"Night (0-5)",B6255&lt;=9,"Morning peak (6-9)",B6255&lt;=15,"Midday (10-15)",B6255&lt;=19,"Evening peak (16-19)",TRUE,"Late evening (20-23)")</f>
        <v>Night (0-5)</v>
      </c>
    </row>
    <row r="6256" spans="1:9">
      <c r="A6256" s="32">
        <v>42083</v>
      </c>
      <c r="B6256">
        <v>1</v>
      </c>
      <c r="C6256">
        <v>1575</v>
      </c>
      <c r="D6256" t="s">
        <v>304</v>
      </c>
      <c r="E6256">
        <f>YEAR(A6256)</f>
        <v>2015</v>
      </c>
      <c r="F6256" s="33">
        <f>DATE(YEAR(A6256),MONTH(A6256),1)</f>
        <v>42064.0</v>
      </c>
      <c r="G6256" t="str">
        <f>CHOOSE(WEEKDAY(A6256,2),"Mon","Tue","Wed","Thu","Fri","Sat","Sun")</f>
        <v>Fri</v>
      </c>
      <c r="H6256" t="str">
        <f>IF(WEEKDAY(A6256,2)&gt;5,"Weekend","Weekday")</f>
        <v>Weekday</v>
      </c>
      <c r="I6256" t="str">
        <f>_xlfn.IFS(B6256&lt;=5,"Night (0-5)",B6256&lt;=9,"Morning peak (6-9)",B6256&lt;=15,"Midday (10-15)",B6256&lt;=19,"Evening peak (16-19)",TRUE,"Late evening (20-23)")</f>
        <v>Night (0-5)</v>
      </c>
    </row>
    <row r="6257" spans="1:9">
      <c r="A6257" s="32">
        <v>42083</v>
      </c>
      <c r="B6257">
        <v>2</v>
      </c>
      <c r="C6257">
        <v>970</v>
      </c>
      <c r="D6257" t="s">
        <v>304</v>
      </c>
      <c r="E6257">
        <f>YEAR(A6257)</f>
        <v>2015</v>
      </c>
      <c r="F6257" s="33">
        <f>DATE(YEAR(A6257),MONTH(A6257),1)</f>
        <v>42064.0</v>
      </c>
      <c r="G6257" t="str">
        <f>CHOOSE(WEEKDAY(A6257,2),"Mon","Tue","Wed","Thu","Fri","Sat","Sun")</f>
        <v>Fri</v>
      </c>
      <c r="H6257" t="str">
        <f>IF(WEEKDAY(A6257,2)&gt;5,"Weekend","Weekday")</f>
        <v>Weekday</v>
      </c>
      <c r="I6257" t="str">
        <f>_xlfn.IFS(B6257&lt;=5,"Night (0-5)",B6257&lt;=9,"Morning peak (6-9)",B6257&lt;=15,"Midday (10-15)",B6257&lt;=19,"Evening peak (16-19)",TRUE,"Late evening (20-23)")</f>
        <v>Night (0-5)</v>
      </c>
    </row>
    <row r="6258" spans="1:9">
      <c r="A6258" s="32">
        <v>42083</v>
      </c>
      <c r="B6258">
        <v>3</v>
      </c>
      <c r="C6258">
        <v>643</v>
      </c>
      <c r="D6258" t="s">
        <v>304</v>
      </c>
      <c r="E6258">
        <f>YEAR(A6258)</f>
        <v>2015</v>
      </c>
      <c r="F6258" s="33">
        <f>DATE(YEAR(A6258),MONTH(A6258),1)</f>
        <v>42064.0</v>
      </c>
      <c r="G6258" t="str">
        <f>CHOOSE(WEEKDAY(A6258,2),"Mon","Tue","Wed","Thu","Fri","Sat","Sun")</f>
        <v>Fri</v>
      </c>
      <c r="H6258" t="str">
        <f>IF(WEEKDAY(A6258,2)&gt;5,"Weekend","Weekday")</f>
        <v>Weekday</v>
      </c>
      <c r="I6258" t="str">
        <f>_xlfn.IFS(B6258&lt;=5,"Night (0-5)",B6258&lt;=9,"Morning peak (6-9)",B6258&lt;=15,"Midday (10-15)",B6258&lt;=19,"Evening peak (16-19)",TRUE,"Late evening (20-23)")</f>
        <v>Night (0-5)</v>
      </c>
    </row>
    <row r="6259" spans="1:9">
      <c r="A6259" s="32">
        <v>42083</v>
      </c>
      <c r="B6259">
        <v>4</v>
      </c>
      <c r="C6259">
        <v>848</v>
      </c>
      <c r="D6259" t="s">
        <v>304</v>
      </c>
      <c r="E6259">
        <f>YEAR(A6259)</f>
        <v>2015</v>
      </c>
      <c r="F6259" s="33">
        <f>DATE(YEAR(A6259),MONTH(A6259),1)</f>
        <v>42064.0</v>
      </c>
      <c r="G6259" t="str">
        <f>CHOOSE(WEEKDAY(A6259,2),"Mon","Tue","Wed","Thu","Fri","Sat","Sun")</f>
        <v>Fri</v>
      </c>
      <c r="H6259" t="str">
        <f>IF(WEEKDAY(A6259,2)&gt;5,"Weekend","Weekday")</f>
        <v>Weekday</v>
      </c>
      <c r="I6259" t="str">
        <f>_xlfn.IFS(B6259&lt;=5,"Night (0-5)",B6259&lt;=9,"Morning peak (6-9)",B6259&lt;=15,"Midday (10-15)",B6259&lt;=19,"Evening peak (16-19)",TRUE,"Late evening (20-23)")</f>
        <v>Night (0-5)</v>
      </c>
    </row>
    <row r="6260" spans="1:9">
      <c r="A6260" s="32">
        <v>42083</v>
      </c>
      <c r="B6260">
        <v>5</v>
      </c>
      <c r="C6260">
        <v>1019</v>
      </c>
      <c r="D6260" t="s">
        <v>304</v>
      </c>
      <c r="E6260">
        <f>YEAR(A6260)</f>
        <v>2015</v>
      </c>
      <c r="F6260" s="33">
        <f>DATE(YEAR(A6260),MONTH(A6260),1)</f>
        <v>42064.0</v>
      </c>
      <c r="G6260" t="str">
        <f>CHOOSE(WEEKDAY(A6260,2),"Mon","Tue","Wed","Thu","Fri","Sat","Sun")</f>
        <v>Fri</v>
      </c>
      <c r="H6260" t="str">
        <f>IF(WEEKDAY(A6260,2)&gt;5,"Weekend","Weekday")</f>
        <v>Weekday</v>
      </c>
      <c r="I6260" t="str">
        <f>_xlfn.IFS(B6260&lt;=5,"Night (0-5)",B6260&lt;=9,"Morning peak (6-9)",B6260&lt;=15,"Midday (10-15)",B6260&lt;=19,"Evening peak (16-19)",TRUE,"Late evening (20-23)")</f>
        <v>Night (0-5)</v>
      </c>
    </row>
    <row r="6261" spans="1:9">
      <c r="A6261" s="32">
        <v>42083</v>
      </c>
      <c r="B6261">
        <v>6</v>
      </c>
      <c r="C6261">
        <v>1718</v>
      </c>
      <c r="D6261" t="s">
        <v>304</v>
      </c>
      <c r="E6261">
        <f>YEAR(A6261)</f>
        <v>2015</v>
      </c>
      <c r="F6261" s="33">
        <f>DATE(YEAR(A6261),MONTH(A6261),1)</f>
        <v>42064.0</v>
      </c>
      <c r="G6261" t="str">
        <f>CHOOSE(WEEKDAY(A6261,2),"Mon","Tue","Wed","Thu","Fri","Sat","Sun")</f>
        <v>Fri</v>
      </c>
      <c r="H6261" t="str">
        <f>IF(WEEKDAY(A6261,2)&gt;5,"Weekend","Weekday")</f>
        <v>Weekday</v>
      </c>
      <c r="I6261" t="str">
        <f>_xlfn.IFS(B6261&lt;=5,"Night (0-5)",B6261&lt;=9,"Morning peak (6-9)",B6261&lt;=15,"Midday (10-15)",B6261&lt;=19,"Evening peak (16-19)",TRUE,"Late evening (20-23)")</f>
        <v>Morning peak (6-9)</v>
      </c>
    </row>
    <row r="6262" spans="1:9">
      <c r="A6262" s="32">
        <v>42083</v>
      </c>
      <c r="B6262">
        <v>7</v>
      </c>
      <c r="C6262">
        <v>2746</v>
      </c>
      <c r="D6262" t="s">
        <v>304</v>
      </c>
      <c r="E6262">
        <f>YEAR(A6262)</f>
        <v>2015</v>
      </c>
      <c r="F6262" s="33">
        <f>DATE(YEAR(A6262),MONTH(A6262),1)</f>
        <v>42064.0</v>
      </c>
      <c r="G6262" t="str">
        <f>CHOOSE(WEEKDAY(A6262,2),"Mon","Tue","Wed","Thu","Fri","Sat","Sun")</f>
        <v>Fri</v>
      </c>
      <c r="H6262" t="str">
        <f>IF(WEEKDAY(A6262,2)&gt;5,"Weekend","Weekday")</f>
        <v>Weekday</v>
      </c>
      <c r="I6262" t="str">
        <f>_xlfn.IFS(B6262&lt;=5,"Night (0-5)",B6262&lt;=9,"Morning peak (6-9)",B6262&lt;=15,"Midday (10-15)",B6262&lt;=19,"Evening peak (16-19)",TRUE,"Late evening (20-23)")</f>
        <v>Morning peak (6-9)</v>
      </c>
    </row>
    <row r="6263" spans="1:9">
      <c r="A6263" s="32">
        <v>42083</v>
      </c>
      <c r="B6263">
        <v>8</v>
      </c>
      <c r="C6263">
        <v>3736</v>
      </c>
      <c r="D6263" t="s">
        <v>304</v>
      </c>
      <c r="E6263">
        <f>YEAR(A6263)</f>
        <v>2015</v>
      </c>
      <c r="F6263" s="33">
        <f>DATE(YEAR(A6263),MONTH(A6263),1)</f>
        <v>42064.0</v>
      </c>
      <c r="G6263" t="str">
        <f>CHOOSE(WEEKDAY(A6263,2),"Mon","Tue","Wed","Thu","Fri","Sat","Sun")</f>
        <v>Fri</v>
      </c>
      <c r="H6263" t="str">
        <f>IF(WEEKDAY(A6263,2)&gt;5,"Weekend","Weekday")</f>
        <v>Weekday</v>
      </c>
      <c r="I6263" t="str">
        <f>_xlfn.IFS(B6263&lt;=5,"Night (0-5)",B6263&lt;=9,"Morning peak (6-9)",B6263&lt;=15,"Midday (10-15)",B6263&lt;=19,"Evening peak (16-19)",TRUE,"Late evening (20-23)")</f>
        <v>Morning peak (6-9)</v>
      </c>
    </row>
    <row r="6264" spans="1:9">
      <c r="A6264" s="32">
        <v>42083</v>
      </c>
      <c r="B6264">
        <v>9</v>
      </c>
      <c r="C6264">
        <v>3839</v>
      </c>
      <c r="D6264" t="s">
        <v>304</v>
      </c>
      <c r="E6264">
        <f>YEAR(A6264)</f>
        <v>2015</v>
      </c>
      <c r="F6264" s="33">
        <f>DATE(YEAR(A6264),MONTH(A6264),1)</f>
        <v>42064.0</v>
      </c>
      <c r="G6264" t="str">
        <f>CHOOSE(WEEKDAY(A6264,2),"Mon","Tue","Wed","Thu","Fri","Sat","Sun")</f>
        <v>Fri</v>
      </c>
      <c r="H6264" t="str">
        <f>IF(WEEKDAY(A6264,2)&gt;5,"Weekend","Weekday")</f>
        <v>Weekday</v>
      </c>
      <c r="I6264" t="str">
        <f>_xlfn.IFS(B6264&lt;=5,"Night (0-5)",B6264&lt;=9,"Morning peak (6-9)",B6264&lt;=15,"Midday (10-15)",B6264&lt;=19,"Evening peak (16-19)",TRUE,"Late evening (20-23)")</f>
        <v>Morning peak (6-9)</v>
      </c>
    </row>
    <row r="6265" spans="1:9">
      <c r="A6265" s="32">
        <v>42083</v>
      </c>
      <c r="B6265">
        <v>10</v>
      </c>
      <c r="C6265">
        <v>2956</v>
      </c>
      <c r="D6265" t="s">
        <v>304</v>
      </c>
      <c r="E6265">
        <f>YEAR(A6265)</f>
        <v>2015</v>
      </c>
      <c r="F6265" s="33">
        <f>DATE(YEAR(A6265),MONTH(A6265),1)</f>
        <v>42064.0</v>
      </c>
      <c r="G6265" t="str">
        <f>CHOOSE(WEEKDAY(A6265,2),"Mon","Tue","Wed","Thu","Fri","Sat","Sun")</f>
        <v>Fri</v>
      </c>
      <c r="H6265" t="str">
        <f>IF(WEEKDAY(A6265,2)&gt;5,"Weekend","Weekday")</f>
        <v>Weekday</v>
      </c>
      <c r="I6265" t="str">
        <f>_xlfn.IFS(B6265&lt;=5,"Night (0-5)",B6265&lt;=9,"Morning peak (6-9)",B6265&lt;=15,"Midday (10-15)",B6265&lt;=19,"Evening peak (16-19)",TRUE,"Late evening (20-23)")</f>
        <v>Midday (10-15)</v>
      </c>
    </row>
    <row r="6266" spans="1:9">
      <c r="A6266" s="32">
        <v>42083</v>
      </c>
      <c r="B6266">
        <v>11</v>
      </c>
      <c r="C6266">
        <v>2817</v>
      </c>
      <c r="D6266" t="s">
        <v>304</v>
      </c>
      <c r="E6266">
        <f>YEAR(A6266)</f>
        <v>2015</v>
      </c>
      <c r="F6266" s="33">
        <f>DATE(YEAR(A6266),MONTH(A6266),1)</f>
        <v>42064.0</v>
      </c>
      <c r="G6266" t="str">
        <f>CHOOSE(WEEKDAY(A6266,2),"Mon","Tue","Wed","Thu","Fri","Sat","Sun")</f>
        <v>Fri</v>
      </c>
      <c r="H6266" t="str">
        <f>IF(WEEKDAY(A6266,2)&gt;5,"Weekend","Weekday")</f>
        <v>Weekday</v>
      </c>
      <c r="I6266" t="str">
        <f>_xlfn.IFS(B6266&lt;=5,"Night (0-5)",B6266&lt;=9,"Morning peak (6-9)",B6266&lt;=15,"Midday (10-15)",B6266&lt;=19,"Evening peak (16-19)",TRUE,"Late evening (20-23)")</f>
        <v>Midday (10-15)</v>
      </c>
    </row>
    <row r="6267" spans="1:9">
      <c r="A6267" s="32">
        <v>42083</v>
      </c>
      <c r="B6267">
        <v>12</v>
      </c>
      <c r="C6267">
        <v>3035</v>
      </c>
      <c r="D6267" t="s">
        <v>304</v>
      </c>
      <c r="E6267">
        <f>YEAR(A6267)</f>
        <v>2015</v>
      </c>
      <c r="F6267" s="33">
        <f>DATE(YEAR(A6267),MONTH(A6267),1)</f>
        <v>42064.0</v>
      </c>
      <c r="G6267" t="str">
        <f>CHOOSE(WEEKDAY(A6267,2),"Mon","Tue","Wed","Thu","Fri","Sat","Sun")</f>
        <v>Fri</v>
      </c>
      <c r="H6267" t="str">
        <f>IF(WEEKDAY(A6267,2)&gt;5,"Weekend","Weekday")</f>
        <v>Weekday</v>
      </c>
      <c r="I6267" t="str">
        <f>_xlfn.IFS(B6267&lt;=5,"Night (0-5)",B6267&lt;=9,"Morning peak (6-9)",B6267&lt;=15,"Midday (10-15)",B6267&lt;=19,"Evening peak (16-19)",TRUE,"Late evening (20-23)")</f>
        <v>Midday (10-15)</v>
      </c>
    </row>
    <row r="6268" spans="1:9">
      <c r="A6268" s="32">
        <v>42083</v>
      </c>
      <c r="B6268">
        <v>13</v>
      </c>
      <c r="C6268">
        <v>3517</v>
      </c>
      <c r="D6268" t="s">
        <v>304</v>
      </c>
      <c r="E6268">
        <f>YEAR(A6268)</f>
        <v>2015</v>
      </c>
      <c r="F6268" s="33">
        <f>DATE(YEAR(A6268),MONTH(A6268),1)</f>
        <v>42064.0</v>
      </c>
      <c r="G6268" t="str">
        <f>CHOOSE(WEEKDAY(A6268,2),"Mon","Tue","Wed","Thu","Fri","Sat","Sun")</f>
        <v>Fri</v>
      </c>
      <c r="H6268" t="str">
        <f>IF(WEEKDAY(A6268,2)&gt;5,"Weekend","Weekday")</f>
        <v>Weekday</v>
      </c>
      <c r="I6268" t="str">
        <f>_xlfn.IFS(B6268&lt;=5,"Night (0-5)",B6268&lt;=9,"Morning peak (6-9)",B6268&lt;=15,"Midday (10-15)",B6268&lt;=19,"Evening peak (16-19)",TRUE,"Late evening (20-23)")</f>
        <v>Midday (10-15)</v>
      </c>
    </row>
    <row r="6269" spans="1:9">
      <c r="A6269" s="32">
        <v>42083</v>
      </c>
      <c r="B6269">
        <v>14</v>
      </c>
      <c r="C6269">
        <v>4177</v>
      </c>
      <c r="D6269" t="s">
        <v>304</v>
      </c>
      <c r="E6269">
        <f>YEAR(A6269)</f>
        <v>2015</v>
      </c>
      <c r="F6269" s="33">
        <f>DATE(YEAR(A6269),MONTH(A6269),1)</f>
        <v>42064.0</v>
      </c>
      <c r="G6269" t="str">
        <f>CHOOSE(WEEKDAY(A6269,2),"Mon","Tue","Wed","Thu","Fri","Sat","Sun")</f>
        <v>Fri</v>
      </c>
      <c r="H6269" t="str">
        <f>IF(WEEKDAY(A6269,2)&gt;5,"Weekend","Weekday")</f>
        <v>Weekday</v>
      </c>
      <c r="I6269" t="str">
        <f>_xlfn.IFS(B6269&lt;=5,"Night (0-5)",B6269&lt;=9,"Morning peak (6-9)",B6269&lt;=15,"Midday (10-15)",B6269&lt;=19,"Evening peak (16-19)",TRUE,"Late evening (20-23)")</f>
        <v>Midday (10-15)</v>
      </c>
    </row>
    <row r="6270" spans="1:9">
      <c r="A6270" s="32">
        <v>42083</v>
      </c>
      <c r="B6270">
        <v>15</v>
      </c>
      <c r="C6270">
        <v>4746</v>
      </c>
      <c r="D6270" t="s">
        <v>304</v>
      </c>
      <c r="E6270">
        <f>YEAR(A6270)</f>
        <v>2015</v>
      </c>
      <c r="F6270" s="33">
        <f>DATE(YEAR(A6270),MONTH(A6270),1)</f>
        <v>42064.0</v>
      </c>
      <c r="G6270" t="str">
        <f>CHOOSE(WEEKDAY(A6270,2),"Mon","Tue","Wed","Thu","Fri","Sat","Sun")</f>
        <v>Fri</v>
      </c>
      <c r="H6270" t="str">
        <f>IF(WEEKDAY(A6270,2)&gt;5,"Weekend","Weekday")</f>
        <v>Weekday</v>
      </c>
      <c r="I6270" t="str">
        <f>_xlfn.IFS(B6270&lt;=5,"Night (0-5)",B6270&lt;=9,"Morning peak (6-9)",B6270&lt;=15,"Midday (10-15)",B6270&lt;=19,"Evening peak (16-19)",TRUE,"Late evening (20-23)")</f>
        <v>Midday (10-15)</v>
      </c>
    </row>
    <row r="6271" spans="1:9">
      <c r="A6271" s="32">
        <v>42083</v>
      </c>
      <c r="B6271">
        <v>16</v>
      </c>
      <c r="C6271">
        <v>5312</v>
      </c>
      <c r="D6271" t="s">
        <v>304</v>
      </c>
      <c r="E6271">
        <f>YEAR(A6271)</f>
        <v>2015</v>
      </c>
      <c r="F6271" s="33">
        <f>DATE(YEAR(A6271),MONTH(A6271),1)</f>
        <v>42064.0</v>
      </c>
      <c r="G6271" t="str">
        <f>CHOOSE(WEEKDAY(A6271,2),"Mon","Tue","Wed","Thu","Fri","Sat","Sun")</f>
        <v>Fri</v>
      </c>
      <c r="H6271" t="str">
        <f>IF(WEEKDAY(A6271,2)&gt;5,"Weekend","Weekday")</f>
        <v>Weekday</v>
      </c>
      <c r="I6271" t="str">
        <f>_xlfn.IFS(B6271&lt;=5,"Night (0-5)",B6271&lt;=9,"Morning peak (6-9)",B6271&lt;=15,"Midday (10-15)",B6271&lt;=19,"Evening peak (16-19)",TRUE,"Late evening (20-23)")</f>
        <v>Evening peak (16-19)</v>
      </c>
    </row>
    <row r="6272" spans="1:9">
      <c r="A6272" s="32">
        <v>42083</v>
      </c>
      <c r="B6272">
        <v>17</v>
      </c>
      <c r="C6272">
        <v>6428</v>
      </c>
      <c r="D6272" t="s">
        <v>304</v>
      </c>
      <c r="E6272">
        <f>YEAR(A6272)</f>
        <v>2015</v>
      </c>
      <c r="F6272" s="33">
        <f>DATE(YEAR(A6272),MONTH(A6272),1)</f>
        <v>42064.0</v>
      </c>
      <c r="G6272" t="str">
        <f>CHOOSE(WEEKDAY(A6272,2),"Mon","Tue","Wed","Thu","Fri","Sat","Sun")</f>
        <v>Fri</v>
      </c>
      <c r="H6272" t="str">
        <f>IF(WEEKDAY(A6272,2)&gt;5,"Weekend","Weekday")</f>
        <v>Weekday</v>
      </c>
      <c r="I6272" t="str">
        <f>_xlfn.IFS(B6272&lt;=5,"Night (0-5)",B6272&lt;=9,"Morning peak (6-9)",B6272&lt;=15,"Midday (10-15)",B6272&lt;=19,"Evening peak (16-19)",TRUE,"Late evening (20-23)")</f>
        <v>Evening peak (16-19)</v>
      </c>
    </row>
    <row r="6273" spans="1:9">
      <c r="A6273" s="32">
        <v>42083</v>
      </c>
      <c r="B6273">
        <v>18</v>
      </c>
      <c r="C6273">
        <v>7672</v>
      </c>
      <c r="D6273" t="s">
        <v>304</v>
      </c>
      <c r="E6273">
        <f>YEAR(A6273)</f>
        <v>2015</v>
      </c>
      <c r="F6273" s="33">
        <f>DATE(YEAR(A6273),MONTH(A6273),1)</f>
        <v>42064.0</v>
      </c>
      <c r="G6273" t="str">
        <f>CHOOSE(WEEKDAY(A6273,2),"Mon","Tue","Wed","Thu","Fri","Sat","Sun")</f>
        <v>Fri</v>
      </c>
      <c r="H6273" t="str">
        <f>IF(WEEKDAY(A6273,2)&gt;5,"Weekend","Weekday")</f>
        <v>Weekday</v>
      </c>
      <c r="I6273" t="str">
        <f>_xlfn.IFS(B6273&lt;=5,"Night (0-5)",B6273&lt;=9,"Morning peak (6-9)",B6273&lt;=15,"Midday (10-15)",B6273&lt;=19,"Evening peak (16-19)",TRUE,"Late evening (20-23)")</f>
        <v>Evening peak (16-19)</v>
      </c>
    </row>
    <row r="6274" spans="1:9">
      <c r="A6274" s="32">
        <v>42083</v>
      </c>
      <c r="B6274">
        <v>19</v>
      </c>
      <c r="C6274">
        <v>8021</v>
      </c>
      <c r="D6274" t="s">
        <v>304</v>
      </c>
      <c r="E6274">
        <f>YEAR(A6274)</f>
        <v>2015</v>
      </c>
      <c r="F6274" s="33">
        <f>DATE(YEAR(A6274),MONTH(A6274),1)</f>
        <v>42064.0</v>
      </c>
      <c r="G6274" t="str">
        <f>CHOOSE(WEEKDAY(A6274,2),"Mon","Tue","Wed","Thu","Fri","Sat","Sun")</f>
        <v>Fri</v>
      </c>
      <c r="H6274" t="str">
        <f>IF(WEEKDAY(A6274,2)&gt;5,"Weekend","Weekday")</f>
        <v>Weekday</v>
      </c>
      <c r="I6274" t="str">
        <f>_xlfn.IFS(B6274&lt;=5,"Night (0-5)",B6274&lt;=9,"Morning peak (6-9)",B6274&lt;=15,"Midday (10-15)",B6274&lt;=19,"Evening peak (16-19)",TRUE,"Late evening (20-23)")</f>
        <v>Evening peak (16-19)</v>
      </c>
    </row>
    <row r="6275" spans="1:9">
      <c r="A6275" s="32">
        <v>42083</v>
      </c>
      <c r="B6275">
        <v>20</v>
      </c>
      <c r="C6275">
        <v>7556</v>
      </c>
      <c r="D6275" t="s">
        <v>304</v>
      </c>
      <c r="E6275">
        <f>YEAR(A6275)</f>
        <v>2015</v>
      </c>
      <c r="F6275" s="33">
        <f>DATE(YEAR(A6275),MONTH(A6275),1)</f>
        <v>42064.0</v>
      </c>
      <c r="G6275" t="str">
        <f>CHOOSE(WEEKDAY(A6275,2),"Mon","Tue","Wed","Thu","Fri","Sat","Sun")</f>
        <v>Fri</v>
      </c>
      <c r="H6275" t="str">
        <f>IF(WEEKDAY(A6275,2)&gt;5,"Weekend","Weekday")</f>
        <v>Weekday</v>
      </c>
      <c r="I6275" t="str">
        <f>_xlfn.IFS(B6275&lt;=5,"Night (0-5)",B6275&lt;=9,"Morning peak (6-9)",B6275&lt;=15,"Midday (10-15)",B6275&lt;=19,"Evening peak (16-19)",TRUE,"Late evening (20-23)")</f>
        <v>Late evening (20-23)</v>
      </c>
    </row>
    <row r="6276" spans="1:9">
      <c r="A6276" s="32">
        <v>42083</v>
      </c>
      <c r="B6276">
        <v>21</v>
      </c>
      <c r="C6276">
        <v>6506</v>
      </c>
      <c r="D6276" t="s">
        <v>304</v>
      </c>
      <c r="E6276">
        <f>YEAR(A6276)</f>
        <v>2015</v>
      </c>
      <c r="F6276" s="33">
        <f>DATE(YEAR(A6276),MONTH(A6276),1)</f>
        <v>42064.0</v>
      </c>
      <c r="G6276" t="str">
        <f>CHOOSE(WEEKDAY(A6276,2),"Mon","Tue","Wed","Thu","Fri","Sat","Sun")</f>
        <v>Fri</v>
      </c>
      <c r="H6276" t="str">
        <f>IF(WEEKDAY(A6276,2)&gt;5,"Weekend","Weekday")</f>
        <v>Weekday</v>
      </c>
      <c r="I6276" t="str">
        <f>_xlfn.IFS(B6276&lt;=5,"Night (0-5)",B6276&lt;=9,"Morning peak (6-9)",B6276&lt;=15,"Midday (10-15)",B6276&lt;=19,"Evening peak (16-19)",TRUE,"Late evening (20-23)")</f>
        <v>Late evening (20-23)</v>
      </c>
    </row>
    <row r="6277" spans="1:9">
      <c r="A6277" s="32">
        <v>42083</v>
      </c>
      <c r="B6277">
        <v>22</v>
      </c>
      <c r="C6277">
        <v>6491</v>
      </c>
      <c r="D6277" t="s">
        <v>304</v>
      </c>
      <c r="E6277">
        <f>YEAR(A6277)</f>
        <v>2015</v>
      </c>
      <c r="F6277" s="33">
        <f>DATE(YEAR(A6277),MONTH(A6277),1)</f>
        <v>42064.0</v>
      </c>
      <c r="G6277" t="str">
        <f>CHOOSE(WEEKDAY(A6277,2),"Mon","Tue","Wed","Thu","Fri","Sat","Sun")</f>
        <v>Fri</v>
      </c>
      <c r="H6277" t="str">
        <f>IF(WEEKDAY(A6277,2)&gt;5,"Weekend","Weekday")</f>
        <v>Weekday</v>
      </c>
      <c r="I6277" t="str">
        <f>_xlfn.IFS(B6277&lt;=5,"Night (0-5)",B6277&lt;=9,"Morning peak (6-9)",B6277&lt;=15,"Midday (10-15)",B6277&lt;=19,"Evening peak (16-19)",TRUE,"Late evening (20-23)")</f>
        <v>Late evening (20-23)</v>
      </c>
    </row>
    <row r="6278" spans="1:9">
      <c r="A6278" s="32">
        <v>42083</v>
      </c>
      <c r="B6278">
        <v>23</v>
      </c>
      <c r="C6278">
        <v>6201</v>
      </c>
      <c r="D6278" t="s">
        <v>304</v>
      </c>
      <c r="E6278">
        <f>YEAR(A6278)</f>
        <v>2015</v>
      </c>
      <c r="F6278" s="33">
        <f>DATE(YEAR(A6278),MONTH(A6278),1)</f>
        <v>42064.0</v>
      </c>
      <c r="G6278" t="str">
        <f>CHOOSE(WEEKDAY(A6278,2),"Mon","Tue","Wed","Thu","Fri","Sat","Sun")</f>
        <v>Fri</v>
      </c>
      <c r="H6278" t="str">
        <f>IF(WEEKDAY(A6278,2)&gt;5,"Weekend","Weekday")</f>
        <v>Weekday</v>
      </c>
      <c r="I6278" t="str">
        <f>_xlfn.IFS(B6278&lt;=5,"Night (0-5)",B6278&lt;=9,"Morning peak (6-9)",B6278&lt;=15,"Midday (10-15)",B6278&lt;=19,"Evening peak (16-19)",TRUE,"Late evening (20-23)")</f>
        <v>Late evening (20-23)</v>
      </c>
    </row>
    <row r="6279" spans="1:9">
      <c r="A6279" s="32">
        <v>42084</v>
      </c>
      <c r="B6279">
        <v>0</v>
      </c>
      <c r="C6279">
        <v>5075</v>
      </c>
      <c r="D6279" t="s">
        <v>304</v>
      </c>
      <c r="E6279">
        <f>YEAR(A6279)</f>
        <v>2015</v>
      </c>
      <c r="F6279" s="33">
        <f>DATE(YEAR(A6279),MONTH(A6279),1)</f>
        <v>42064.0</v>
      </c>
      <c r="G6279" t="str">
        <f>CHOOSE(WEEKDAY(A6279,2),"Mon","Tue","Wed","Thu","Fri","Sat","Sun")</f>
        <v>Sat</v>
      </c>
      <c r="H6279" t="str">
        <f>IF(WEEKDAY(A6279,2)&gt;5,"Weekend","Weekday")</f>
        <v>Weekend</v>
      </c>
      <c r="I6279" t="str">
        <f>_xlfn.IFS(B6279&lt;=5,"Night (0-5)",B6279&lt;=9,"Morning peak (6-9)",B6279&lt;=15,"Midday (10-15)",B6279&lt;=19,"Evening peak (16-19)",TRUE,"Late evening (20-23)")</f>
        <v>Night (0-5)</v>
      </c>
    </row>
    <row r="6280" spans="1:9">
      <c r="A6280" s="32">
        <v>42084</v>
      </c>
      <c r="B6280">
        <v>1</v>
      </c>
      <c r="C6280">
        <v>3592</v>
      </c>
      <c r="D6280" t="s">
        <v>304</v>
      </c>
      <c r="E6280">
        <f>YEAR(A6280)</f>
        <v>2015</v>
      </c>
      <c r="F6280" s="33">
        <f>DATE(YEAR(A6280),MONTH(A6280),1)</f>
        <v>42064.0</v>
      </c>
      <c r="G6280" t="str">
        <f>CHOOSE(WEEKDAY(A6280,2),"Mon","Tue","Wed","Thu","Fri","Sat","Sun")</f>
        <v>Sat</v>
      </c>
      <c r="H6280" t="str">
        <f>IF(WEEKDAY(A6280,2)&gt;5,"Weekend","Weekday")</f>
        <v>Weekend</v>
      </c>
      <c r="I6280" t="str">
        <f>_xlfn.IFS(B6280&lt;=5,"Night (0-5)",B6280&lt;=9,"Morning peak (6-9)",B6280&lt;=15,"Midday (10-15)",B6280&lt;=19,"Evening peak (16-19)",TRUE,"Late evening (20-23)")</f>
        <v>Night (0-5)</v>
      </c>
    </row>
    <row r="6281" spans="1:9">
      <c r="A6281" s="32">
        <v>42084</v>
      </c>
      <c r="B6281">
        <v>2</v>
      </c>
      <c r="C6281">
        <v>2302</v>
      </c>
      <c r="D6281" t="s">
        <v>304</v>
      </c>
      <c r="E6281">
        <f>YEAR(A6281)</f>
        <v>2015</v>
      </c>
      <c r="F6281" s="33">
        <f>DATE(YEAR(A6281),MONTH(A6281),1)</f>
        <v>42064.0</v>
      </c>
      <c r="G6281" t="str">
        <f>CHOOSE(WEEKDAY(A6281,2),"Mon","Tue","Wed","Thu","Fri","Sat","Sun")</f>
        <v>Sat</v>
      </c>
      <c r="H6281" t="str">
        <f>IF(WEEKDAY(A6281,2)&gt;5,"Weekend","Weekday")</f>
        <v>Weekend</v>
      </c>
      <c r="I6281" t="str">
        <f>_xlfn.IFS(B6281&lt;=5,"Night (0-5)",B6281&lt;=9,"Morning peak (6-9)",B6281&lt;=15,"Midday (10-15)",B6281&lt;=19,"Evening peak (16-19)",TRUE,"Late evening (20-23)")</f>
        <v>Night (0-5)</v>
      </c>
    </row>
    <row r="6282" spans="1:9">
      <c r="A6282" s="32">
        <v>42084</v>
      </c>
      <c r="B6282">
        <v>3</v>
      </c>
      <c r="C6282">
        <v>1592</v>
      </c>
      <c r="D6282" t="s">
        <v>304</v>
      </c>
      <c r="E6282">
        <f>YEAR(A6282)</f>
        <v>2015</v>
      </c>
      <c r="F6282" s="33">
        <f>DATE(YEAR(A6282),MONTH(A6282),1)</f>
        <v>42064.0</v>
      </c>
      <c r="G6282" t="str">
        <f>CHOOSE(WEEKDAY(A6282,2),"Mon","Tue","Wed","Thu","Fri","Sat","Sun")</f>
        <v>Sat</v>
      </c>
      <c r="H6282" t="str">
        <f>IF(WEEKDAY(A6282,2)&gt;5,"Weekend","Weekday")</f>
        <v>Weekend</v>
      </c>
      <c r="I6282" t="str">
        <f>_xlfn.IFS(B6282&lt;=5,"Night (0-5)",B6282&lt;=9,"Morning peak (6-9)",B6282&lt;=15,"Midday (10-15)",B6282&lt;=19,"Evening peak (16-19)",TRUE,"Late evening (20-23)")</f>
        <v>Night (0-5)</v>
      </c>
    </row>
    <row r="6283" spans="1:9">
      <c r="A6283" s="32">
        <v>42084</v>
      </c>
      <c r="B6283">
        <v>4</v>
      </c>
      <c r="C6283">
        <v>1186</v>
      </c>
      <c r="D6283" t="s">
        <v>304</v>
      </c>
      <c r="E6283">
        <f>YEAR(A6283)</f>
        <v>2015</v>
      </c>
      <c r="F6283" s="33">
        <f>DATE(YEAR(A6283),MONTH(A6283),1)</f>
        <v>42064.0</v>
      </c>
      <c r="G6283" t="str">
        <f>CHOOSE(WEEKDAY(A6283,2),"Mon","Tue","Wed","Thu","Fri","Sat","Sun")</f>
        <v>Sat</v>
      </c>
      <c r="H6283" t="str">
        <f>IF(WEEKDAY(A6283,2)&gt;5,"Weekend","Weekday")</f>
        <v>Weekend</v>
      </c>
      <c r="I6283" t="str">
        <f>_xlfn.IFS(B6283&lt;=5,"Night (0-5)",B6283&lt;=9,"Morning peak (6-9)",B6283&lt;=15,"Midday (10-15)",B6283&lt;=19,"Evening peak (16-19)",TRUE,"Late evening (20-23)")</f>
        <v>Night (0-5)</v>
      </c>
    </row>
    <row r="6284" spans="1:9">
      <c r="A6284" s="32">
        <v>42084</v>
      </c>
      <c r="B6284">
        <v>5</v>
      </c>
      <c r="C6284">
        <v>934</v>
      </c>
      <c r="D6284" t="s">
        <v>304</v>
      </c>
      <c r="E6284">
        <f>YEAR(A6284)</f>
        <v>2015</v>
      </c>
      <c r="F6284" s="33">
        <f>DATE(YEAR(A6284),MONTH(A6284),1)</f>
        <v>42064.0</v>
      </c>
      <c r="G6284" t="str">
        <f>CHOOSE(WEEKDAY(A6284,2),"Mon","Tue","Wed","Thu","Fri","Sat","Sun")</f>
        <v>Sat</v>
      </c>
      <c r="H6284" t="str">
        <f>IF(WEEKDAY(A6284,2)&gt;5,"Weekend","Weekday")</f>
        <v>Weekend</v>
      </c>
      <c r="I6284" t="str">
        <f>_xlfn.IFS(B6284&lt;=5,"Night (0-5)",B6284&lt;=9,"Morning peak (6-9)",B6284&lt;=15,"Midday (10-15)",B6284&lt;=19,"Evening peak (16-19)",TRUE,"Late evening (20-23)")</f>
        <v>Night (0-5)</v>
      </c>
    </row>
    <row r="6285" spans="1:9">
      <c r="A6285" s="32">
        <v>42084</v>
      </c>
      <c r="B6285">
        <v>6</v>
      </c>
      <c r="C6285">
        <v>918</v>
      </c>
      <c r="D6285" t="s">
        <v>304</v>
      </c>
      <c r="E6285">
        <f>YEAR(A6285)</f>
        <v>2015</v>
      </c>
      <c r="F6285" s="33">
        <f>DATE(YEAR(A6285),MONTH(A6285),1)</f>
        <v>42064.0</v>
      </c>
      <c r="G6285" t="str">
        <f>CHOOSE(WEEKDAY(A6285,2),"Mon","Tue","Wed","Thu","Fri","Sat","Sun")</f>
        <v>Sat</v>
      </c>
      <c r="H6285" t="str">
        <f>IF(WEEKDAY(A6285,2)&gt;5,"Weekend","Weekday")</f>
        <v>Weekend</v>
      </c>
      <c r="I6285" t="str">
        <f>_xlfn.IFS(B6285&lt;=5,"Night (0-5)",B6285&lt;=9,"Morning peak (6-9)",B6285&lt;=15,"Midday (10-15)",B6285&lt;=19,"Evening peak (16-19)",TRUE,"Late evening (20-23)")</f>
        <v>Morning peak (6-9)</v>
      </c>
    </row>
    <row r="6286" spans="1:9">
      <c r="A6286" s="32">
        <v>42084</v>
      </c>
      <c r="B6286">
        <v>7</v>
      </c>
      <c r="C6286">
        <v>1166</v>
      </c>
      <c r="D6286" t="s">
        <v>304</v>
      </c>
      <c r="E6286">
        <f>YEAR(A6286)</f>
        <v>2015</v>
      </c>
      <c r="F6286" s="33">
        <f>DATE(YEAR(A6286),MONTH(A6286),1)</f>
        <v>42064.0</v>
      </c>
      <c r="G6286" t="str">
        <f>CHOOSE(WEEKDAY(A6286,2),"Mon","Tue","Wed","Thu","Fri","Sat","Sun")</f>
        <v>Sat</v>
      </c>
      <c r="H6286" t="str">
        <f>IF(WEEKDAY(A6286,2)&gt;5,"Weekend","Weekday")</f>
        <v>Weekend</v>
      </c>
      <c r="I6286" t="str">
        <f>_xlfn.IFS(B6286&lt;=5,"Night (0-5)",B6286&lt;=9,"Morning peak (6-9)",B6286&lt;=15,"Midday (10-15)",B6286&lt;=19,"Evening peak (16-19)",TRUE,"Late evening (20-23)")</f>
        <v>Morning peak (6-9)</v>
      </c>
    </row>
    <row r="6287" spans="1:9">
      <c r="A6287" s="32">
        <v>42084</v>
      </c>
      <c r="B6287">
        <v>8</v>
      </c>
      <c r="C6287">
        <v>1506</v>
      </c>
      <c r="D6287" t="s">
        <v>304</v>
      </c>
      <c r="E6287">
        <f>YEAR(A6287)</f>
        <v>2015</v>
      </c>
      <c r="F6287" s="33">
        <f>DATE(YEAR(A6287),MONTH(A6287),1)</f>
        <v>42064.0</v>
      </c>
      <c r="G6287" t="str">
        <f>CHOOSE(WEEKDAY(A6287,2),"Mon","Tue","Wed","Thu","Fri","Sat","Sun")</f>
        <v>Sat</v>
      </c>
      <c r="H6287" t="str">
        <f>IF(WEEKDAY(A6287,2)&gt;5,"Weekend","Weekday")</f>
        <v>Weekend</v>
      </c>
      <c r="I6287" t="str">
        <f>_xlfn.IFS(B6287&lt;=5,"Night (0-5)",B6287&lt;=9,"Morning peak (6-9)",B6287&lt;=15,"Midday (10-15)",B6287&lt;=19,"Evening peak (16-19)",TRUE,"Late evening (20-23)")</f>
        <v>Morning peak (6-9)</v>
      </c>
    </row>
    <row r="6288" spans="1:9">
      <c r="A6288" s="32">
        <v>42084</v>
      </c>
      <c r="B6288">
        <v>9</v>
      </c>
      <c r="C6288">
        <v>2050</v>
      </c>
      <c r="D6288" t="s">
        <v>304</v>
      </c>
      <c r="E6288">
        <f>YEAR(A6288)</f>
        <v>2015</v>
      </c>
      <c r="F6288" s="33">
        <f>DATE(YEAR(A6288),MONTH(A6288),1)</f>
        <v>42064.0</v>
      </c>
      <c r="G6288" t="str">
        <f>CHOOSE(WEEKDAY(A6288,2),"Mon","Tue","Wed","Thu","Fri","Sat","Sun")</f>
        <v>Sat</v>
      </c>
      <c r="H6288" t="str">
        <f>IF(WEEKDAY(A6288,2)&gt;5,"Weekend","Weekday")</f>
        <v>Weekend</v>
      </c>
      <c r="I6288" t="str">
        <f>_xlfn.IFS(B6288&lt;=5,"Night (0-5)",B6288&lt;=9,"Morning peak (6-9)",B6288&lt;=15,"Midday (10-15)",B6288&lt;=19,"Evening peak (16-19)",TRUE,"Late evening (20-23)")</f>
        <v>Morning peak (6-9)</v>
      </c>
    </row>
    <row r="6289" spans="1:9">
      <c r="A6289" s="32">
        <v>42084</v>
      </c>
      <c r="B6289">
        <v>10</v>
      </c>
      <c r="C6289">
        <v>2481</v>
      </c>
      <c r="D6289" t="s">
        <v>304</v>
      </c>
      <c r="E6289">
        <f>YEAR(A6289)</f>
        <v>2015</v>
      </c>
      <c r="F6289" s="33">
        <f>DATE(YEAR(A6289),MONTH(A6289),1)</f>
        <v>42064.0</v>
      </c>
      <c r="G6289" t="str">
        <f>CHOOSE(WEEKDAY(A6289,2),"Mon","Tue","Wed","Thu","Fri","Sat","Sun")</f>
        <v>Sat</v>
      </c>
      <c r="H6289" t="str">
        <f>IF(WEEKDAY(A6289,2)&gt;5,"Weekend","Weekday")</f>
        <v>Weekend</v>
      </c>
      <c r="I6289" t="str">
        <f>_xlfn.IFS(B6289&lt;=5,"Night (0-5)",B6289&lt;=9,"Morning peak (6-9)",B6289&lt;=15,"Midday (10-15)",B6289&lt;=19,"Evening peak (16-19)",TRUE,"Late evening (20-23)")</f>
        <v>Midday (10-15)</v>
      </c>
    </row>
    <row r="6290" spans="1:9">
      <c r="A6290" s="32">
        <v>42084</v>
      </c>
      <c r="B6290">
        <v>11</v>
      </c>
      <c r="C6290">
        <v>2779</v>
      </c>
      <c r="D6290" t="s">
        <v>304</v>
      </c>
      <c r="E6290">
        <f>YEAR(A6290)</f>
        <v>2015</v>
      </c>
      <c r="F6290" s="33">
        <f>DATE(YEAR(A6290),MONTH(A6290),1)</f>
        <v>42064.0</v>
      </c>
      <c r="G6290" t="str">
        <f>CHOOSE(WEEKDAY(A6290,2),"Mon","Tue","Wed","Thu","Fri","Sat","Sun")</f>
        <v>Sat</v>
      </c>
      <c r="H6290" t="str">
        <f>IF(WEEKDAY(A6290,2)&gt;5,"Weekend","Weekday")</f>
        <v>Weekend</v>
      </c>
      <c r="I6290" t="str">
        <f>_xlfn.IFS(B6290&lt;=5,"Night (0-5)",B6290&lt;=9,"Morning peak (6-9)",B6290&lt;=15,"Midday (10-15)",B6290&lt;=19,"Evening peak (16-19)",TRUE,"Late evening (20-23)")</f>
        <v>Midday (10-15)</v>
      </c>
    </row>
    <row r="6291" spans="1:9">
      <c r="A6291" s="32">
        <v>42084</v>
      </c>
      <c r="B6291">
        <v>12</v>
      </c>
      <c r="C6291">
        <v>3136</v>
      </c>
      <c r="D6291" t="s">
        <v>304</v>
      </c>
      <c r="E6291">
        <f>YEAR(A6291)</f>
        <v>2015</v>
      </c>
      <c r="F6291" s="33">
        <f>DATE(YEAR(A6291),MONTH(A6291),1)</f>
        <v>42064.0</v>
      </c>
      <c r="G6291" t="str">
        <f>CHOOSE(WEEKDAY(A6291,2),"Mon","Tue","Wed","Thu","Fri","Sat","Sun")</f>
        <v>Sat</v>
      </c>
      <c r="H6291" t="str">
        <f>IF(WEEKDAY(A6291,2)&gt;5,"Weekend","Weekday")</f>
        <v>Weekend</v>
      </c>
      <c r="I6291" t="str">
        <f>_xlfn.IFS(B6291&lt;=5,"Night (0-5)",B6291&lt;=9,"Morning peak (6-9)",B6291&lt;=15,"Midday (10-15)",B6291&lt;=19,"Evening peak (16-19)",TRUE,"Late evening (20-23)")</f>
        <v>Midday (10-15)</v>
      </c>
    </row>
    <row r="6292" spans="1:9">
      <c r="A6292" s="32">
        <v>42084</v>
      </c>
      <c r="B6292">
        <v>13</v>
      </c>
      <c r="C6292">
        <v>3153</v>
      </c>
      <c r="D6292" t="s">
        <v>304</v>
      </c>
      <c r="E6292">
        <f>YEAR(A6292)</f>
        <v>2015</v>
      </c>
      <c r="F6292" s="33">
        <f>DATE(YEAR(A6292),MONTH(A6292),1)</f>
        <v>42064.0</v>
      </c>
      <c r="G6292" t="str">
        <f>CHOOSE(WEEKDAY(A6292,2),"Mon","Tue","Wed","Thu","Fri","Sat","Sun")</f>
        <v>Sat</v>
      </c>
      <c r="H6292" t="str">
        <f>IF(WEEKDAY(A6292,2)&gt;5,"Weekend","Weekday")</f>
        <v>Weekend</v>
      </c>
      <c r="I6292" t="str">
        <f>_xlfn.IFS(B6292&lt;=5,"Night (0-5)",B6292&lt;=9,"Morning peak (6-9)",B6292&lt;=15,"Midday (10-15)",B6292&lt;=19,"Evening peak (16-19)",TRUE,"Late evening (20-23)")</f>
        <v>Midday (10-15)</v>
      </c>
    </row>
    <row r="6293" spans="1:9">
      <c r="A6293" s="32">
        <v>42084</v>
      </c>
      <c r="B6293">
        <v>14</v>
      </c>
      <c r="C6293">
        <v>3143</v>
      </c>
      <c r="D6293" t="s">
        <v>304</v>
      </c>
      <c r="E6293">
        <f>YEAR(A6293)</f>
        <v>2015</v>
      </c>
      <c r="F6293" s="33">
        <f>DATE(YEAR(A6293),MONTH(A6293),1)</f>
        <v>42064.0</v>
      </c>
      <c r="G6293" t="str">
        <f>CHOOSE(WEEKDAY(A6293,2),"Mon","Tue","Wed","Thu","Fri","Sat","Sun")</f>
        <v>Sat</v>
      </c>
      <c r="H6293" t="str">
        <f>IF(WEEKDAY(A6293,2)&gt;5,"Weekend","Weekday")</f>
        <v>Weekend</v>
      </c>
      <c r="I6293" t="str">
        <f>_xlfn.IFS(B6293&lt;=5,"Night (0-5)",B6293&lt;=9,"Morning peak (6-9)",B6293&lt;=15,"Midday (10-15)",B6293&lt;=19,"Evening peak (16-19)",TRUE,"Late evening (20-23)")</f>
        <v>Midday (10-15)</v>
      </c>
    </row>
    <row r="6294" spans="1:9">
      <c r="A6294" s="32">
        <v>42084</v>
      </c>
      <c r="B6294">
        <v>15</v>
      </c>
      <c r="C6294">
        <v>3437</v>
      </c>
      <c r="D6294" t="s">
        <v>304</v>
      </c>
      <c r="E6294">
        <f>YEAR(A6294)</f>
        <v>2015</v>
      </c>
      <c r="F6294" s="33">
        <f>DATE(YEAR(A6294),MONTH(A6294),1)</f>
        <v>42064.0</v>
      </c>
      <c r="G6294" t="str">
        <f>CHOOSE(WEEKDAY(A6294,2),"Mon","Tue","Wed","Thu","Fri","Sat","Sun")</f>
        <v>Sat</v>
      </c>
      <c r="H6294" t="str">
        <f>IF(WEEKDAY(A6294,2)&gt;5,"Weekend","Weekday")</f>
        <v>Weekend</v>
      </c>
      <c r="I6294" t="str">
        <f>_xlfn.IFS(B6294&lt;=5,"Night (0-5)",B6294&lt;=9,"Morning peak (6-9)",B6294&lt;=15,"Midday (10-15)",B6294&lt;=19,"Evening peak (16-19)",TRUE,"Late evening (20-23)")</f>
        <v>Midday (10-15)</v>
      </c>
    </row>
    <row r="6295" spans="1:9">
      <c r="A6295" s="32">
        <v>42084</v>
      </c>
      <c r="B6295">
        <v>16</v>
      </c>
      <c r="C6295">
        <v>3846</v>
      </c>
      <c r="D6295" t="s">
        <v>304</v>
      </c>
      <c r="E6295">
        <f>YEAR(A6295)</f>
        <v>2015</v>
      </c>
      <c r="F6295" s="33">
        <f>DATE(YEAR(A6295),MONTH(A6295),1)</f>
        <v>42064.0</v>
      </c>
      <c r="G6295" t="str">
        <f>CHOOSE(WEEKDAY(A6295,2),"Mon","Tue","Wed","Thu","Fri","Sat","Sun")</f>
        <v>Sat</v>
      </c>
      <c r="H6295" t="str">
        <f>IF(WEEKDAY(A6295,2)&gt;5,"Weekend","Weekday")</f>
        <v>Weekend</v>
      </c>
      <c r="I6295" t="str">
        <f>_xlfn.IFS(B6295&lt;=5,"Night (0-5)",B6295&lt;=9,"Morning peak (6-9)",B6295&lt;=15,"Midday (10-15)",B6295&lt;=19,"Evening peak (16-19)",TRUE,"Late evening (20-23)")</f>
        <v>Evening peak (16-19)</v>
      </c>
    </row>
    <row r="6296" spans="1:9">
      <c r="A6296" s="32">
        <v>42084</v>
      </c>
      <c r="B6296">
        <v>17</v>
      </c>
      <c r="C6296">
        <v>4441</v>
      </c>
      <c r="D6296" t="s">
        <v>304</v>
      </c>
      <c r="E6296">
        <f>YEAR(A6296)</f>
        <v>2015</v>
      </c>
      <c r="F6296" s="33">
        <f>DATE(YEAR(A6296),MONTH(A6296),1)</f>
        <v>42064.0</v>
      </c>
      <c r="G6296" t="str">
        <f>CHOOSE(WEEKDAY(A6296,2),"Mon","Tue","Wed","Thu","Fri","Sat","Sun")</f>
        <v>Sat</v>
      </c>
      <c r="H6296" t="str">
        <f>IF(WEEKDAY(A6296,2)&gt;5,"Weekend","Weekday")</f>
        <v>Weekend</v>
      </c>
      <c r="I6296" t="str">
        <f>_xlfn.IFS(B6296&lt;=5,"Night (0-5)",B6296&lt;=9,"Morning peak (6-9)",B6296&lt;=15,"Midday (10-15)",B6296&lt;=19,"Evening peak (16-19)",TRUE,"Late evening (20-23)")</f>
        <v>Evening peak (16-19)</v>
      </c>
    </row>
    <row r="6297" spans="1:9">
      <c r="A6297" s="32">
        <v>42084</v>
      </c>
      <c r="B6297">
        <v>18</v>
      </c>
      <c r="C6297">
        <v>4959</v>
      </c>
      <c r="D6297" t="s">
        <v>304</v>
      </c>
      <c r="E6297">
        <f>YEAR(A6297)</f>
        <v>2015</v>
      </c>
      <c r="F6297" s="33">
        <f>DATE(YEAR(A6297),MONTH(A6297),1)</f>
        <v>42064.0</v>
      </c>
      <c r="G6297" t="str">
        <f>CHOOSE(WEEKDAY(A6297,2),"Mon","Tue","Wed","Thu","Fri","Sat","Sun")</f>
        <v>Sat</v>
      </c>
      <c r="H6297" t="str">
        <f>IF(WEEKDAY(A6297,2)&gt;5,"Weekend","Weekday")</f>
        <v>Weekend</v>
      </c>
      <c r="I6297" t="str">
        <f>_xlfn.IFS(B6297&lt;=5,"Night (0-5)",B6297&lt;=9,"Morning peak (6-9)",B6297&lt;=15,"Midday (10-15)",B6297&lt;=19,"Evening peak (16-19)",TRUE,"Late evening (20-23)")</f>
        <v>Evening peak (16-19)</v>
      </c>
    </row>
    <row r="6298" spans="1:9">
      <c r="A6298" s="32">
        <v>42084</v>
      </c>
      <c r="B6298">
        <v>19</v>
      </c>
      <c r="C6298">
        <v>5889</v>
      </c>
      <c r="D6298" t="s">
        <v>304</v>
      </c>
      <c r="E6298">
        <f>YEAR(A6298)</f>
        <v>2015</v>
      </c>
      <c r="F6298" s="33">
        <f>DATE(YEAR(A6298),MONTH(A6298),1)</f>
        <v>42064.0</v>
      </c>
      <c r="G6298" t="str">
        <f>CHOOSE(WEEKDAY(A6298,2),"Mon","Tue","Wed","Thu","Fri","Sat","Sun")</f>
        <v>Sat</v>
      </c>
      <c r="H6298" t="str">
        <f>IF(WEEKDAY(A6298,2)&gt;5,"Weekend","Weekday")</f>
        <v>Weekend</v>
      </c>
      <c r="I6298" t="str">
        <f>_xlfn.IFS(B6298&lt;=5,"Night (0-5)",B6298&lt;=9,"Morning peak (6-9)",B6298&lt;=15,"Midday (10-15)",B6298&lt;=19,"Evening peak (16-19)",TRUE,"Late evening (20-23)")</f>
        <v>Evening peak (16-19)</v>
      </c>
    </row>
    <row r="6299" spans="1:9">
      <c r="A6299" s="32">
        <v>42084</v>
      </c>
      <c r="B6299">
        <v>20</v>
      </c>
      <c r="C6299">
        <v>5893</v>
      </c>
      <c r="D6299" t="s">
        <v>304</v>
      </c>
      <c r="E6299">
        <f>YEAR(A6299)</f>
        <v>2015</v>
      </c>
      <c r="F6299" s="33">
        <f>DATE(YEAR(A6299),MONTH(A6299),1)</f>
        <v>42064.0</v>
      </c>
      <c r="G6299" t="str">
        <f>CHOOSE(WEEKDAY(A6299,2),"Mon","Tue","Wed","Thu","Fri","Sat","Sun")</f>
        <v>Sat</v>
      </c>
      <c r="H6299" t="str">
        <f>IF(WEEKDAY(A6299,2)&gt;5,"Weekend","Weekday")</f>
        <v>Weekend</v>
      </c>
      <c r="I6299" t="str">
        <f>_xlfn.IFS(B6299&lt;=5,"Night (0-5)",B6299&lt;=9,"Morning peak (6-9)",B6299&lt;=15,"Midday (10-15)",B6299&lt;=19,"Evening peak (16-19)",TRUE,"Late evening (20-23)")</f>
        <v>Late evening (20-23)</v>
      </c>
    </row>
    <row r="6300" spans="1:9">
      <c r="A6300" s="32">
        <v>42084</v>
      </c>
      <c r="B6300">
        <v>21</v>
      </c>
      <c r="C6300">
        <v>5257</v>
      </c>
      <c r="D6300" t="s">
        <v>304</v>
      </c>
      <c r="E6300">
        <f>YEAR(A6300)</f>
        <v>2015</v>
      </c>
      <c r="F6300" s="33">
        <f>DATE(YEAR(A6300),MONTH(A6300),1)</f>
        <v>42064.0</v>
      </c>
      <c r="G6300" t="str">
        <f>CHOOSE(WEEKDAY(A6300,2),"Mon","Tue","Wed","Thu","Fri","Sat","Sun")</f>
        <v>Sat</v>
      </c>
      <c r="H6300" t="str">
        <f>IF(WEEKDAY(A6300,2)&gt;5,"Weekend","Weekday")</f>
        <v>Weekend</v>
      </c>
      <c r="I6300" t="str">
        <f>_xlfn.IFS(B6300&lt;=5,"Night (0-5)",B6300&lt;=9,"Morning peak (6-9)",B6300&lt;=15,"Midday (10-15)",B6300&lt;=19,"Evening peak (16-19)",TRUE,"Late evening (20-23)")</f>
        <v>Late evening (20-23)</v>
      </c>
    </row>
    <row r="6301" spans="1:9">
      <c r="A6301" s="32">
        <v>42084</v>
      </c>
      <c r="B6301">
        <v>22</v>
      </c>
      <c r="C6301">
        <v>5761</v>
      </c>
      <c r="D6301" t="s">
        <v>304</v>
      </c>
      <c r="E6301">
        <f>YEAR(A6301)</f>
        <v>2015</v>
      </c>
      <c r="F6301" s="33">
        <f>DATE(YEAR(A6301),MONTH(A6301),1)</f>
        <v>42064.0</v>
      </c>
      <c r="G6301" t="str">
        <f>CHOOSE(WEEKDAY(A6301,2),"Mon","Tue","Wed","Thu","Fri","Sat","Sun")</f>
        <v>Sat</v>
      </c>
      <c r="H6301" t="str">
        <f>IF(WEEKDAY(A6301,2)&gt;5,"Weekend","Weekday")</f>
        <v>Weekend</v>
      </c>
      <c r="I6301" t="str">
        <f>_xlfn.IFS(B6301&lt;=5,"Night (0-5)",B6301&lt;=9,"Morning peak (6-9)",B6301&lt;=15,"Midday (10-15)",B6301&lt;=19,"Evening peak (16-19)",TRUE,"Late evening (20-23)")</f>
        <v>Late evening (20-23)</v>
      </c>
    </row>
    <row r="6302" spans="1:9">
      <c r="A6302" s="32">
        <v>42084</v>
      </c>
      <c r="B6302">
        <v>23</v>
      </c>
      <c r="C6302">
        <v>6249</v>
      </c>
      <c r="D6302" t="s">
        <v>304</v>
      </c>
      <c r="E6302">
        <f>YEAR(A6302)</f>
        <v>2015</v>
      </c>
      <c r="F6302" s="33">
        <f>DATE(YEAR(A6302),MONTH(A6302),1)</f>
        <v>42064.0</v>
      </c>
      <c r="G6302" t="str">
        <f>CHOOSE(WEEKDAY(A6302,2),"Mon","Tue","Wed","Thu","Fri","Sat","Sun")</f>
        <v>Sat</v>
      </c>
      <c r="H6302" t="str">
        <f>IF(WEEKDAY(A6302,2)&gt;5,"Weekend","Weekday")</f>
        <v>Weekend</v>
      </c>
      <c r="I6302" t="str">
        <f>_xlfn.IFS(B6302&lt;=5,"Night (0-5)",B6302&lt;=9,"Morning peak (6-9)",B6302&lt;=15,"Midday (10-15)",B6302&lt;=19,"Evening peak (16-19)",TRUE,"Late evening (20-23)")</f>
        <v>Late evening (20-23)</v>
      </c>
    </row>
    <row r="6303" spans="1:9">
      <c r="A6303" s="32">
        <v>42085</v>
      </c>
      <c r="B6303">
        <v>0</v>
      </c>
      <c r="C6303">
        <v>5946</v>
      </c>
      <c r="D6303" t="s">
        <v>304</v>
      </c>
      <c r="E6303">
        <f>YEAR(A6303)</f>
        <v>2015</v>
      </c>
      <c r="F6303" s="33">
        <f>DATE(YEAR(A6303),MONTH(A6303),1)</f>
        <v>42064.0</v>
      </c>
      <c r="G6303" t="str">
        <f>CHOOSE(WEEKDAY(A6303,2),"Mon","Tue","Wed","Thu","Fri","Sat","Sun")</f>
        <v>Sun</v>
      </c>
      <c r="H6303" t="str">
        <f>IF(WEEKDAY(A6303,2)&gt;5,"Weekend","Weekday")</f>
        <v>Weekend</v>
      </c>
      <c r="I6303" t="str">
        <f>_xlfn.IFS(B6303&lt;=5,"Night (0-5)",B6303&lt;=9,"Morning peak (6-9)",B6303&lt;=15,"Midday (10-15)",B6303&lt;=19,"Evening peak (16-19)",TRUE,"Late evening (20-23)")</f>
        <v>Night (0-5)</v>
      </c>
    </row>
    <row r="6304" spans="1:9">
      <c r="A6304" s="32">
        <v>42085</v>
      </c>
      <c r="B6304">
        <v>1</v>
      </c>
      <c r="C6304">
        <v>4898</v>
      </c>
      <c r="D6304" t="s">
        <v>304</v>
      </c>
      <c r="E6304">
        <f>YEAR(A6304)</f>
        <v>2015</v>
      </c>
      <c r="F6304" s="33">
        <f>DATE(YEAR(A6304),MONTH(A6304),1)</f>
        <v>42064.0</v>
      </c>
      <c r="G6304" t="str">
        <f>CHOOSE(WEEKDAY(A6304,2),"Mon","Tue","Wed","Thu","Fri","Sat","Sun")</f>
        <v>Sun</v>
      </c>
      <c r="H6304" t="str">
        <f>IF(WEEKDAY(A6304,2)&gt;5,"Weekend","Weekday")</f>
        <v>Weekend</v>
      </c>
      <c r="I6304" t="str">
        <f>_xlfn.IFS(B6304&lt;=5,"Night (0-5)",B6304&lt;=9,"Morning peak (6-9)",B6304&lt;=15,"Midday (10-15)",B6304&lt;=19,"Evening peak (16-19)",TRUE,"Late evening (20-23)")</f>
        <v>Night (0-5)</v>
      </c>
    </row>
    <row r="6305" spans="1:9">
      <c r="A6305" s="32">
        <v>42085</v>
      </c>
      <c r="B6305">
        <v>2</v>
      </c>
      <c r="C6305">
        <v>3665</v>
      </c>
      <c r="D6305" t="s">
        <v>304</v>
      </c>
      <c r="E6305">
        <f>YEAR(A6305)</f>
        <v>2015</v>
      </c>
      <c r="F6305" s="33">
        <f>DATE(YEAR(A6305),MONTH(A6305),1)</f>
        <v>42064.0</v>
      </c>
      <c r="G6305" t="str">
        <f>CHOOSE(WEEKDAY(A6305,2),"Mon","Tue","Wed","Thu","Fri","Sat","Sun")</f>
        <v>Sun</v>
      </c>
      <c r="H6305" t="str">
        <f>IF(WEEKDAY(A6305,2)&gt;5,"Weekend","Weekday")</f>
        <v>Weekend</v>
      </c>
      <c r="I6305" t="str">
        <f>_xlfn.IFS(B6305&lt;=5,"Night (0-5)",B6305&lt;=9,"Morning peak (6-9)",B6305&lt;=15,"Midday (10-15)",B6305&lt;=19,"Evening peak (16-19)",TRUE,"Late evening (20-23)")</f>
        <v>Night (0-5)</v>
      </c>
    </row>
    <row r="6306" spans="1:9">
      <c r="A6306" s="32">
        <v>42085</v>
      </c>
      <c r="B6306">
        <v>3</v>
      </c>
      <c r="C6306">
        <v>2479</v>
      </c>
      <c r="D6306" t="s">
        <v>304</v>
      </c>
      <c r="E6306">
        <f>YEAR(A6306)</f>
        <v>2015</v>
      </c>
      <c r="F6306" s="33">
        <f>DATE(YEAR(A6306),MONTH(A6306),1)</f>
        <v>42064.0</v>
      </c>
      <c r="G6306" t="str">
        <f>CHOOSE(WEEKDAY(A6306,2),"Mon","Tue","Wed","Thu","Fri","Sat","Sun")</f>
        <v>Sun</v>
      </c>
      <c r="H6306" t="str">
        <f>IF(WEEKDAY(A6306,2)&gt;5,"Weekend","Weekday")</f>
        <v>Weekend</v>
      </c>
      <c r="I6306" t="str">
        <f>_xlfn.IFS(B6306&lt;=5,"Night (0-5)",B6306&lt;=9,"Morning peak (6-9)",B6306&lt;=15,"Midday (10-15)",B6306&lt;=19,"Evening peak (16-19)",TRUE,"Late evening (20-23)")</f>
        <v>Night (0-5)</v>
      </c>
    </row>
    <row r="6307" spans="1:9">
      <c r="A6307" s="32">
        <v>42085</v>
      </c>
      <c r="B6307">
        <v>4</v>
      </c>
      <c r="C6307">
        <v>1598</v>
      </c>
      <c r="D6307" t="s">
        <v>304</v>
      </c>
      <c r="E6307">
        <f>YEAR(A6307)</f>
        <v>2015</v>
      </c>
      <c r="F6307" s="33">
        <f>DATE(YEAR(A6307),MONTH(A6307),1)</f>
        <v>42064.0</v>
      </c>
      <c r="G6307" t="str">
        <f>CHOOSE(WEEKDAY(A6307,2),"Mon","Tue","Wed","Thu","Fri","Sat","Sun")</f>
        <v>Sun</v>
      </c>
      <c r="H6307" t="str">
        <f>IF(WEEKDAY(A6307,2)&gt;5,"Weekend","Weekday")</f>
        <v>Weekend</v>
      </c>
      <c r="I6307" t="str">
        <f>_xlfn.IFS(B6307&lt;=5,"Night (0-5)",B6307&lt;=9,"Morning peak (6-9)",B6307&lt;=15,"Midday (10-15)",B6307&lt;=19,"Evening peak (16-19)",TRUE,"Late evening (20-23)")</f>
        <v>Night (0-5)</v>
      </c>
    </row>
    <row r="6308" spans="1:9">
      <c r="A6308" s="32">
        <v>42085</v>
      </c>
      <c r="B6308">
        <v>5</v>
      </c>
      <c r="C6308">
        <v>1028</v>
      </c>
      <c r="D6308" t="s">
        <v>304</v>
      </c>
      <c r="E6308">
        <f>YEAR(A6308)</f>
        <v>2015</v>
      </c>
      <c r="F6308" s="33">
        <f>DATE(YEAR(A6308),MONTH(A6308),1)</f>
        <v>42064.0</v>
      </c>
      <c r="G6308" t="str">
        <f>CHOOSE(WEEKDAY(A6308,2),"Mon","Tue","Wed","Thu","Fri","Sat","Sun")</f>
        <v>Sun</v>
      </c>
      <c r="H6308" t="str">
        <f>IF(WEEKDAY(A6308,2)&gt;5,"Weekend","Weekday")</f>
        <v>Weekend</v>
      </c>
      <c r="I6308" t="str">
        <f>_xlfn.IFS(B6308&lt;=5,"Night (0-5)",B6308&lt;=9,"Morning peak (6-9)",B6308&lt;=15,"Midday (10-15)",B6308&lt;=19,"Evening peak (16-19)",TRUE,"Late evening (20-23)")</f>
        <v>Night (0-5)</v>
      </c>
    </row>
    <row r="6309" spans="1:9">
      <c r="A6309" s="32">
        <v>42085</v>
      </c>
      <c r="B6309">
        <v>6</v>
      </c>
      <c r="C6309">
        <v>1014</v>
      </c>
      <c r="D6309" t="s">
        <v>304</v>
      </c>
      <c r="E6309">
        <f>YEAR(A6309)</f>
        <v>2015</v>
      </c>
      <c r="F6309" s="33">
        <f>DATE(YEAR(A6309),MONTH(A6309),1)</f>
        <v>42064.0</v>
      </c>
      <c r="G6309" t="str">
        <f>CHOOSE(WEEKDAY(A6309,2),"Mon","Tue","Wed","Thu","Fri","Sat","Sun")</f>
        <v>Sun</v>
      </c>
      <c r="H6309" t="str">
        <f>IF(WEEKDAY(A6309,2)&gt;5,"Weekend","Weekday")</f>
        <v>Weekend</v>
      </c>
      <c r="I6309" t="str">
        <f>_xlfn.IFS(B6309&lt;=5,"Night (0-5)",B6309&lt;=9,"Morning peak (6-9)",B6309&lt;=15,"Midday (10-15)",B6309&lt;=19,"Evening peak (16-19)",TRUE,"Late evening (20-23)")</f>
        <v>Morning peak (6-9)</v>
      </c>
    </row>
    <row r="6310" spans="1:9">
      <c r="A6310" s="32">
        <v>42085</v>
      </c>
      <c r="B6310">
        <v>7</v>
      </c>
      <c r="C6310">
        <v>897</v>
      </c>
      <c r="D6310" t="s">
        <v>304</v>
      </c>
      <c r="E6310">
        <f>YEAR(A6310)</f>
        <v>2015</v>
      </c>
      <c r="F6310" s="33">
        <f>DATE(YEAR(A6310),MONTH(A6310),1)</f>
        <v>42064.0</v>
      </c>
      <c r="G6310" t="str">
        <f>CHOOSE(WEEKDAY(A6310,2),"Mon","Tue","Wed","Thu","Fri","Sat","Sun")</f>
        <v>Sun</v>
      </c>
      <c r="H6310" t="str">
        <f>IF(WEEKDAY(A6310,2)&gt;5,"Weekend","Weekday")</f>
        <v>Weekend</v>
      </c>
      <c r="I6310" t="str">
        <f>_xlfn.IFS(B6310&lt;=5,"Night (0-5)",B6310&lt;=9,"Morning peak (6-9)",B6310&lt;=15,"Midday (10-15)",B6310&lt;=19,"Evening peak (16-19)",TRUE,"Late evening (20-23)")</f>
        <v>Morning peak (6-9)</v>
      </c>
    </row>
    <row r="6311" spans="1:9">
      <c r="A6311" s="32">
        <v>42085</v>
      </c>
      <c r="B6311">
        <v>8</v>
      </c>
      <c r="C6311">
        <v>1105</v>
      </c>
      <c r="D6311" t="s">
        <v>304</v>
      </c>
      <c r="E6311">
        <f>YEAR(A6311)</f>
        <v>2015</v>
      </c>
      <c r="F6311" s="33">
        <f>DATE(YEAR(A6311),MONTH(A6311),1)</f>
        <v>42064.0</v>
      </c>
      <c r="G6311" t="str">
        <f>CHOOSE(WEEKDAY(A6311,2),"Mon","Tue","Wed","Thu","Fri","Sat","Sun")</f>
        <v>Sun</v>
      </c>
      <c r="H6311" t="str">
        <f>IF(WEEKDAY(A6311,2)&gt;5,"Weekend","Weekday")</f>
        <v>Weekend</v>
      </c>
      <c r="I6311" t="str">
        <f>_xlfn.IFS(B6311&lt;=5,"Night (0-5)",B6311&lt;=9,"Morning peak (6-9)",B6311&lt;=15,"Midday (10-15)",B6311&lt;=19,"Evening peak (16-19)",TRUE,"Late evening (20-23)")</f>
        <v>Morning peak (6-9)</v>
      </c>
    </row>
    <row r="6312" spans="1:9">
      <c r="A6312" s="32">
        <v>42085</v>
      </c>
      <c r="B6312">
        <v>9</v>
      </c>
      <c r="C6312">
        <v>1627</v>
      </c>
      <c r="D6312" t="s">
        <v>304</v>
      </c>
      <c r="E6312">
        <f>YEAR(A6312)</f>
        <v>2015</v>
      </c>
      <c r="F6312" s="33">
        <f>DATE(YEAR(A6312),MONTH(A6312),1)</f>
        <v>42064.0</v>
      </c>
      <c r="G6312" t="str">
        <f>CHOOSE(WEEKDAY(A6312,2),"Mon","Tue","Wed","Thu","Fri","Sat","Sun")</f>
        <v>Sun</v>
      </c>
      <c r="H6312" t="str">
        <f>IF(WEEKDAY(A6312,2)&gt;5,"Weekend","Weekday")</f>
        <v>Weekend</v>
      </c>
      <c r="I6312" t="str">
        <f>_xlfn.IFS(B6312&lt;=5,"Night (0-5)",B6312&lt;=9,"Morning peak (6-9)",B6312&lt;=15,"Midday (10-15)",B6312&lt;=19,"Evening peak (16-19)",TRUE,"Late evening (20-23)")</f>
        <v>Morning peak (6-9)</v>
      </c>
    </row>
    <row r="6313" spans="1:9">
      <c r="A6313" s="32">
        <v>42085</v>
      </c>
      <c r="B6313">
        <v>10</v>
      </c>
      <c r="C6313">
        <v>2259</v>
      </c>
      <c r="D6313" t="s">
        <v>304</v>
      </c>
      <c r="E6313">
        <f>YEAR(A6313)</f>
        <v>2015</v>
      </c>
      <c r="F6313" s="33">
        <f>DATE(YEAR(A6313),MONTH(A6313),1)</f>
        <v>42064.0</v>
      </c>
      <c r="G6313" t="str">
        <f>CHOOSE(WEEKDAY(A6313,2),"Mon","Tue","Wed","Thu","Fri","Sat","Sun")</f>
        <v>Sun</v>
      </c>
      <c r="H6313" t="str">
        <f>IF(WEEKDAY(A6313,2)&gt;5,"Weekend","Weekday")</f>
        <v>Weekend</v>
      </c>
      <c r="I6313" t="str">
        <f>_xlfn.IFS(B6313&lt;=5,"Night (0-5)",B6313&lt;=9,"Morning peak (6-9)",B6313&lt;=15,"Midday (10-15)",B6313&lt;=19,"Evening peak (16-19)",TRUE,"Late evening (20-23)")</f>
        <v>Midday (10-15)</v>
      </c>
    </row>
    <row r="6314" spans="1:9">
      <c r="A6314" s="32">
        <v>42085</v>
      </c>
      <c r="B6314">
        <v>11</v>
      </c>
      <c r="C6314">
        <v>2772</v>
      </c>
      <c r="D6314" t="s">
        <v>304</v>
      </c>
      <c r="E6314">
        <f>YEAR(A6314)</f>
        <v>2015</v>
      </c>
      <c r="F6314" s="33">
        <f>DATE(YEAR(A6314),MONTH(A6314),1)</f>
        <v>42064.0</v>
      </c>
      <c r="G6314" t="str">
        <f>CHOOSE(WEEKDAY(A6314,2),"Mon","Tue","Wed","Thu","Fri","Sat","Sun")</f>
        <v>Sun</v>
      </c>
      <c r="H6314" t="str">
        <f>IF(WEEKDAY(A6314,2)&gt;5,"Weekend","Weekday")</f>
        <v>Weekend</v>
      </c>
      <c r="I6314" t="str">
        <f>_xlfn.IFS(B6314&lt;=5,"Night (0-5)",B6314&lt;=9,"Morning peak (6-9)",B6314&lt;=15,"Midday (10-15)",B6314&lt;=19,"Evening peak (16-19)",TRUE,"Late evening (20-23)")</f>
        <v>Midday (10-15)</v>
      </c>
    </row>
    <row r="6315" spans="1:9">
      <c r="A6315" s="32">
        <v>42085</v>
      </c>
      <c r="B6315">
        <v>12</v>
      </c>
      <c r="C6315">
        <v>3051</v>
      </c>
      <c r="D6315" t="s">
        <v>304</v>
      </c>
      <c r="E6315">
        <f>YEAR(A6315)</f>
        <v>2015</v>
      </c>
      <c r="F6315" s="33">
        <f>DATE(YEAR(A6315),MONTH(A6315),1)</f>
        <v>42064.0</v>
      </c>
      <c r="G6315" t="str">
        <f>CHOOSE(WEEKDAY(A6315,2),"Mon","Tue","Wed","Thu","Fri","Sat","Sun")</f>
        <v>Sun</v>
      </c>
      <c r="H6315" t="str">
        <f>IF(WEEKDAY(A6315,2)&gt;5,"Weekend","Weekday")</f>
        <v>Weekend</v>
      </c>
      <c r="I6315" t="str">
        <f>_xlfn.IFS(B6315&lt;=5,"Night (0-5)",B6315&lt;=9,"Morning peak (6-9)",B6315&lt;=15,"Midday (10-15)",B6315&lt;=19,"Evening peak (16-19)",TRUE,"Late evening (20-23)")</f>
        <v>Midday (10-15)</v>
      </c>
    </row>
    <row r="6316" spans="1:9">
      <c r="A6316" s="32">
        <v>42085</v>
      </c>
      <c r="B6316">
        <v>13</v>
      </c>
      <c r="C6316">
        <v>3181</v>
      </c>
      <c r="D6316" t="s">
        <v>304</v>
      </c>
      <c r="E6316">
        <f>YEAR(A6316)</f>
        <v>2015</v>
      </c>
      <c r="F6316" s="33">
        <f>DATE(YEAR(A6316),MONTH(A6316),1)</f>
        <v>42064.0</v>
      </c>
      <c r="G6316" t="str">
        <f>CHOOSE(WEEKDAY(A6316,2),"Mon","Tue","Wed","Thu","Fri","Sat","Sun")</f>
        <v>Sun</v>
      </c>
      <c r="H6316" t="str">
        <f>IF(WEEKDAY(A6316,2)&gt;5,"Weekend","Weekday")</f>
        <v>Weekend</v>
      </c>
      <c r="I6316" t="str">
        <f>_xlfn.IFS(B6316&lt;=5,"Night (0-5)",B6316&lt;=9,"Morning peak (6-9)",B6316&lt;=15,"Midday (10-15)",B6316&lt;=19,"Evening peak (16-19)",TRUE,"Late evening (20-23)")</f>
        <v>Midday (10-15)</v>
      </c>
    </row>
    <row r="6317" spans="1:9">
      <c r="A6317" s="32">
        <v>42085</v>
      </c>
      <c r="B6317">
        <v>14</v>
      </c>
      <c r="C6317">
        <v>3249</v>
      </c>
      <c r="D6317" t="s">
        <v>304</v>
      </c>
      <c r="E6317">
        <f>YEAR(A6317)</f>
        <v>2015</v>
      </c>
      <c r="F6317" s="33">
        <f>DATE(YEAR(A6317),MONTH(A6317),1)</f>
        <v>42064.0</v>
      </c>
      <c r="G6317" t="str">
        <f>CHOOSE(WEEKDAY(A6317,2),"Mon","Tue","Wed","Thu","Fri","Sat","Sun")</f>
        <v>Sun</v>
      </c>
      <c r="H6317" t="str">
        <f>IF(WEEKDAY(A6317,2)&gt;5,"Weekend","Weekday")</f>
        <v>Weekend</v>
      </c>
      <c r="I6317" t="str">
        <f>_xlfn.IFS(B6317&lt;=5,"Night (0-5)",B6317&lt;=9,"Morning peak (6-9)",B6317&lt;=15,"Midday (10-15)",B6317&lt;=19,"Evening peak (16-19)",TRUE,"Late evening (20-23)")</f>
        <v>Midday (10-15)</v>
      </c>
    </row>
    <row r="6318" spans="1:9">
      <c r="A6318" s="32">
        <v>42085</v>
      </c>
      <c r="B6318">
        <v>15</v>
      </c>
      <c r="C6318">
        <v>3237</v>
      </c>
      <c r="D6318" t="s">
        <v>304</v>
      </c>
      <c r="E6318">
        <f>YEAR(A6318)</f>
        <v>2015</v>
      </c>
      <c r="F6318" s="33">
        <f>DATE(YEAR(A6318),MONTH(A6318),1)</f>
        <v>42064.0</v>
      </c>
      <c r="G6318" t="str">
        <f>CHOOSE(WEEKDAY(A6318,2),"Mon","Tue","Wed","Thu","Fri","Sat","Sun")</f>
        <v>Sun</v>
      </c>
      <c r="H6318" t="str">
        <f>IF(WEEKDAY(A6318,2)&gt;5,"Weekend","Weekday")</f>
        <v>Weekend</v>
      </c>
      <c r="I6318" t="str">
        <f>_xlfn.IFS(B6318&lt;=5,"Night (0-5)",B6318&lt;=9,"Morning peak (6-9)",B6318&lt;=15,"Midday (10-15)",B6318&lt;=19,"Evening peak (16-19)",TRUE,"Late evening (20-23)")</f>
        <v>Midday (10-15)</v>
      </c>
    </row>
    <row r="6319" spans="1:9">
      <c r="A6319" s="32">
        <v>42085</v>
      </c>
      <c r="B6319">
        <v>16</v>
      </c>
      <c r="C6319">
        <v>3361</v>
      </c>
      <c r="D6319" t="s">
        <v>304</v>
      </c>
      <c r="E6319">
        <f>YEAR(A6319)</f>
        <v>2015</v>
      </c>
      <c r="F6319" s="33">
        <f>DATE(YEAR(A6319),MONTH(A6319),1)</f>
        <v>42064.0</v>
      </c>
      <c r="G6319" t="str">
        <f>CHOOSE(WEEKDAY(A6319,2),"Mon","Tue","Wed","Thu","Fri","Sat","Sun")</f>
        <v>Sun</v>
      </c>
      <c r="H6319" t="str">
        <f>IF(WEEKDAY(A6319,2)&gt;5,"Weekend","Weekday")</f>
        <v>Weekend</v>
      </c>
      <c r="I6319" t="str">
        <f>_xlfn.IFS(B6319&lt;=5,"Night (0-5)",B6319&lt;=9,"Morning peak (6-9)",B6319&lt;=15,"Midday (10-15)",B6319&lt;=19,"Evening peak (16-19)",TRUE,"Late evening (20-23)")</f>
        <v>Evening peak (16-19)</v>
      </c>
    </row>
    <row r="6320" spans="1:9">
      <c r="A6320" s="32">
        <v>42085</v>
      </c>
      <c r="B6320">
        <v>17</v>
      </c>
      <c r="C6320">
        <v>3736</v>
      </c>
      <c r="D6320" t="s">
        <v>304</v>
      </c>
      <c r="E6320">
        <f>YEAR(A6320)</f>
        <v>2015</v>
      </c>
      <c r="F6320" s="33">
        <f>DATE(YEAR(A6320),MONTH(A6320),1)</f>
        <v>42064.0</v>
      </c>
      <c r="G6320" t="str">
        <f>CHOOSE(WEEKDAY(A6320,2),"Mon","Tue","Wed","Thu","Fri","Sat","Sun")</f>
        <v>Sun</v>
      </c>
      <c r="H6320" t="str">
        <f>IF(WEEKDAY(A6320,2)&gt;5,"Weekend","Weekday")</f>
        <v>Weekend</v>
      </c>
      <c r="I6320" t="str">
        <f>_xlfn.IFS(B6320&lt;=5,"Night (0-5)",B6320&lt;=9,"Morning peak (6-9)",B6320&lt;=15,"Midday (10-15)",B6320&lt;=19,"Evening peak (16-19)",TRUE,"Late evening (20-23)")</f>
        <v>Evening peak (16-19)</v>
      </c>
    </row>
    <row r="6321" spans="1:9">
      <c r="A6321" s="32">
        <v>42085</v>
      </c>
      <c r="B6321">
        <v>18</v>
      </c>
      <c r="C6321">
        <v>3827</v>
      </c>
      <c r="D6321" t="s">
        <v>304</v>
      </c>
      <c r="E6321">
        <f>YEAR(A6321)</f>
        <v>2015</v>
      </c>
      <c r="F6321" s="33">
        <f>DATE(YEAR(A6321),MONTH(A6321),1)</f>
        <v>42064.0</v>
      </c>
      <c r="G6321" t="str">
        <f>CHOOSE(WEEKDAY(A6321,2),"Mon","Tue","Wed","Thu","Fri","Sat","Sun")</f>
        <v>Sun</v>
      </c>
      <c r="H6321" t="str">
        <f>IF(WEEKDAY(A6321,2)&gt;5,"Weekend","Weekday")</f>
        <v>Weekend</v>
      </c>
      <c r="I6321" t="str">
        <f>_xlfn.IFS(B6321&lt;=5,"Night (0-5)",B6321&lt;=9,"Morning peak (6-9)",B6321&lt;=15,"Midday (10-15)",B6321&lt;=19,"Evening peak (16-19)",TRUE,"Late evening (20-23)")</f>
        <v>Evening peak (16-19)</v>
      </c>
    </row>
    <row r="6322" spans="1:9">
      <c r="A6322" s="32">
        <v>42085</v>
      </c>
      <c r="B6322">
        <v>19</v>
      </c>
      <c r="C6322">
        <v>3692</v>
      </c>
      <c r="D6322" t="s">
        <v>304</v>
      </c>
      <c r="E6322">
        <f>YEAR(A6322)</f>
        <v>2015</v>
      </c>
      <c r="F6322" s="33">
        <f>DATE(YEAR(A6322),MONTH(A6322),1)</f>
        <v>42064.0</v>
      </c>
      <c r="G6322" t="str">
        <f>CHOOSE(WEEKDAY(A6322,2),"Mon","Tue","Wed","Thu","Fri","Sat","Sun")</f>
        <v>Sun</v>
      </c>
      <c r="H6322" t="str">
        <f>IF(WEEKDAY(A6322,2)&gt;5,"Weekend","Weekday")</f>
        <v>Weekend</v>
      </c>
      <c r="I6322" t="str">
        <f>_xlfn.IFS(B6322&lt;=5,"Night (0-5)",B6322&lt;=9,"Morning peak (6-9)",B6322&lt;=15,"Midday (10-15)",B6322&lt;=19,"Evening peak (16-19)",TRUE,"Late evening (20-23)")</f>
        <v>Evening peak (16-19)</v>
      </c>
    </row>
    <row r="6323" spans="1:9">
      <c r="A6323" s="32">
        <v>42085</v>
      </c>
      <c r="B6323">
        <v>20</v>
      </c>
      <c r="C6323">
        <v>3563</v>
      </c>
      <c r="D6323" t="s">
        <v>304</v>
      </c>
      <c r="E6323">
        <f>YEAR(A6323)</f>
        <v>2015</v>
      </c>
      <c r="F6323" s="33">
        <f>DATE(YEAR(A6323),MONTH(A6323),1)</f>
        <v>42064.0</v>
      </c>
      <c r="G6323" t="str">
        <f>CHOOSE(WEEKDAY(A6323,2),"Mon","Tue","Wed","Thu","Fri","Sat","Sun")</f>
        <v>Sun</v>
      </c>
      <c r="H6323" t="str">
        <f>IF(WEEKDAY(A6323,2)&gt;5,"Weekend","Weekday")</f>
        <v>Weekend</v>
      </c>
      <c r="I6323" t="str">
        <f>_xlfn.IFS(B6323&lt;=5,"Night (0-5)",B6323&lt;=9,"Morning peak (6-9)",B6323&lt;=15,"Midday (10-15)",B6323&lt;=19,"Evening peak (16-19)",TRUE,"Late evening (20-23)")</f>
        <v>Late evening (20-23)</v>
      </c>
    </row>
    <row r="6324" spans="1:9">
      <c r="A6324" s="32">
        <v>42085</v>
      </c>
      <c r="B6324">
        <v>21</v>
      </c>
      <c r="C6324">
        <v>3321</v>
      </c>
      <c r="D6324" t="s">
        <v>304</v>
      </c>
      <c r="E6324">
        <f>YEAR(A6324)</f>
        <v>2015</v>
      </c>
      <c r="F6324" s="33">
        <f>DATE(YEAR(A6324),MONTH(A6324),1)</f>
        <v>42064.0</v>
      </c>
      <c r="G6324" t="str">
        <f>CHOOSE(WEEKDAY(A6324,2),"Mon","Tue","Wed","Thu","Fri","Sat","Sun")</f>
        <v>Sun</v>
      </c>
      <c r="H6324" t="str">
        <f>IF(WEEKDAY(A6324,2)&gt;5,"Weekend","Weekday")</f>
        <v>Weekend</v>
      </c>
      <c r="I6324" t="str">
        <f>_xlfn.IFS(B6324&lt;=5,"Night (0-5)",B6324&lt;=9,"Morning peak (6-9)",B6324&lt;=15,"Midday (10-15)",B6324&lt;=19,"Evening peak (16-19)",TRUE,"Late evening (20-23)")</f>
        <v>Late evening (20-23)</v>
      </c>
    </row>
    <row r="6325" spans="1:9">
      <c r="A6325" s="32">
        <v>42085</v>
      </c>
      <c r="B6325">
        <v>22</v>
      </c>
      <c r="C6325">
        <v>3279</v>
      </c>
      <c r="D6325" t="s">
        <v>304</v>
      </c>
      <c r="E6325">
        <f>YEAR(A6325)</f>
        <v>2015</v>
      </c>
      <c r="F6325" s="33">
        <f>DATE(YEAR(A6325),MONTH(A6325),1)</f>
        <v>42064.0</v>
      </c>
      <c r="G6325" t="str">
        <f>CHOOSE(WEEKDAY(A6325,2),"Mon","Tue","Wed","Thu","Fri","Sat","Sun")</f>
        <v>Sun</v>
      </c>
      <c r="H6325" t="str">
        <f>IF(WEEKDAY(A6325,2)&gt;5,"Weekend","Weekday")</f>
        <v>Weekend</v>
      </c>
      <c r="I6325" t="str">
        <f>_xlfn.IFS(B6325&lt;=5,"Night (0-5)",B6325&lt;=9,"Morning peak (6-9)",B6325&lt;=15,"Midday (10-15)",B6325&lt;=19,"Evening peak (16-19)",TRUE,"Late evening (20-23)")</f>
        <v>Late evening (20-23)</v>
      </c>
    </row>
    <row r="6326" spans="1:9">
      <c r="A6326" s="32">
        <v>42085</v>
      </c>
      <c r="B6326">
        <v>23</v>
      </c>
      <c r="C6326">
        <v>2552</v>
      </c>
      <c r="D6326" t="s">
        <v>304</v>
      </c>
      <c r="E6326">
        <f>YEAR(A6326)</f>
        <v>2015</v>
      </c>
      <c r="F6326" s="33">
        <f>DATE(YEAR(A6326),MONTH(A6326),1)</f>
        <v>42064.0</v>
      </c>
      <c r="G6326" t="str">
        <f>CHOOSE(WEEKDAY(A6326,2),"Mon","Tue","Wed","Thu","Fri","Sat","Sun")</f>
        <v>Sun</v>
      </c>
      <c r="H6326" t="str">
        <f>IF(WEEKDAY(A6326,2)&gt;5,"Weekend","Weekday")</f>
        <v>Weekend</v>
      </c>
      <c r="I6326" t="str">
        <f>_xlfn.IFS(B6326&lt;=5,"Night (0-5)",B6326&lt;=9,"Morning peak (6-9)",B6326&lt;=15,"Midday (10-15)",B6326&lt;=19,"Evening peak (16-19)",TRUE,"Late evening (20-23)")</f>
        <v>Late evening (20-23)</v>
      </c>
    </row>
    <row r="6327" spans="1:9">
      <c r="A6327" s="32">
        <v>42086</v>
      </c>
      <c r="B6327">
        <v>0</v>
      </c>
      <c r="C6327">
        <v>1665</v>
      </c>
      <c r="D6327" t="s">
        <v>304</v>
      </c>
      <c r="E6327">
        <f>YEAR(A6327)</f>
        <v>2015</v>
      </c>
      <c r="F6327" s="33">
        <f>DATE(YEAR(A6327),MONTH(A6327),1)</f>
        <v>42064.0</v>
      </c>
      <c r="G6327" t="str">
        <f>CHOOSE(WEEKDAY(A6327,2),"Mon","Tue","Wed","Thu","Fri","Sat","Sun")</f>
        <v>Mon</v>
      </c>
      <c r="H6327" t="str">
        <f>IF(WEEKDAY(A6327,2)&gt;5,"Weekend","Weekday")</f>
        <v>Weekday</v>
      </c>
      <c r="I6327" t="str">
        <f>_xlfn.IFS(B6327&lt;=5,"Night (0-5)",B6327&lt;=9,"Morning peak (6-9)",B6327&lt;=15,"Midday (10-15)",B6327&lt;=19,"Evening peak (16-19)",TRUE,"Late evening (20-23)")</f>
        <v>Night (0-5)</v>
      </c>
    </row>
    <row r="6328" spans="1:9">
      <c r="A6328" s="32">
        <v>42086</v>
      </c>
      <c r="B6328">
        <v>1</v>
      </c>
      <c r="C6328">
        <v>838</v>
      </c>
      <c r="D6328" t="s">
        <v>304</v>
      </c>
      <c r="E6328">
        <f>YEAR(A6328)</f>
        <v>2015</v>
      </c>
      <c r="F6328" s="33">
        <f>DATE(YEAR(A6328),MONTH(A6328),1)</f>
        <v>42064.0</v>
      </c>
      <c r="G6328" t="str">
        <f>CHOOSE(WEEKDAY(A6328,2),"Mon","Tue","Wed","Thu","Fri","Sat","Sun")</f>
        <v>Mon</v>
      </c>
      <c r="H6328" t="str">
        <f>IF(WEEKDAY(A6328,2)&gt;5,"Weekend","Weekday")</f>
        <v>Weekday</v>
      </c>
      <c r="I6328" t="str">
        <f>_xlfn.IFS(B6328&lt;=5,"Night (0-5)",B6328&lt;=9,"Morning peak (6-9)",B6328&lt;=15,"Midday (10-15)",B6328&lt;=19,"Evening peak (16-19)",TRUE,"Late evening (20-23)")</f>
        <v>Night (0-5)</v>
      </c>
    </row>
    <row r="6329" spans="1:9">
      <c r="A6329" s="32">
        <v>42086</v>
      </c>
      <c r="B6329">
        <v>2</v>
      </c>
      <c r="C6329">
        <v>462</v>
      </c>
      <c r="D6329" t="s">
        <v>304</v>
      </c>
      <c r="E6329">
        <f>YEAR(A6329)</f>
        <v>2015</v>
      </c>
      <c r="F6329" s="33">
        <f>DATE(YEAR(A6329),MONTH(A6329),1)</f>
        <v>42064.0</v>
      </c>
      <c r="G6329" t="str">
        <f>CHOOSE(WEEKDAY(A6329,2),"Mon","Tue","Wed","Thu","Fri","Sat","Sun")</f>
        <v>Mon</v>
      </c>
      <c r="H6329" t="str">
        <f>IF(WEEKDAY(A6329,2)&gt;5,"Weekend","Weekday")</f>
        <v>Weekday</v>
      </c>
      <c r="I6329" t="str">
        <f>_xlfn.IFS(B6329&lt;=5,"Night (0-5)",B6329&lt;=9,"Morning peak (6-9)",B6329&lt;=15,"Midday (10-15)",B6329&lt;=19,"Evening peak (16-19)",TRUE,"Late evening (20-23)")</f>
        <v>Night (0-5)</v>
      </c>
    </row>
    <row r="6330" spans="1:9">
      <c r="A6330" s="32">
        <v>42086</v>
      </c>
      <c r="B6330">
        <v>3</v>
      </c>
      <c r="C6330">
        <v>318</v>
      </c>
      <c r="D6330" t="s">
        <v>304</v>
      </c>
      <c r="E6330">
        <f>YEAR(A6330)</f>
        <v>2015</v>
      </c>
      <c r="F6330" s="33">
        <f>DATE(YEAR(A6330),MONTH(A6330),1)</f>
        <v>42064.0</v>
      </c>
      <c r="G6330" t="str">
        <f>CHOOSE(WEEKDAY(A6330,2),"Mon","Tue","Wed","Thu","Fri","Sat","Sun")</f>
        <v>Mon</v>
      </c>
      <c r="H6330" t="str">
        <f>IF(WEEKDAY(A6330,2)&gt;5,"Weekend","Weekday")</f>
        <v>Weekday</v>
      </c>
      <c r="I6330" t="str">
        <f>_xlfn.IFS(B6330&lt;=5,"Night (0-5)",B6330&lt;=9,"Morning peak (6-9)",B6330&lt;=15,"Midday (10-15)",B6330&lt;=19,"Evening peak (16-19)",TRUE,"Late evening (20-23)")</f>
        <v>Night (0-5)</v>
      </c>
    </row>
    <row r="6331" spans="1:9">
      <c r="A6331" s="32">
        <v>42086</v>
      </c>
      <c r="B6331">
        <v>4</v>
      </c>
      <c r="C6331">
        <v>707</v>
      </c>
      <c r="D6331" t="s">
        <v>304</v>
      </c>
      <c r="E6331">
        <f>YEAR(A6331)</f>
        <v>2015</v>
      </c>
      <c r="F6331" s="33">
        <f>DATE(YEAR(A6331),MONTH(A6331),1)</f>
        <v>42064.0</v>
      </c>
      <c r="G6331" t="str">
        <f>CHOOSE(WEEKDAY(A6331,2),"Mon","Tue","Wed","Thu","Fri","Sat","Sun")</f>
        <v>Mon</v>
      </c>
      <c r="H6331" t="str">
        <f>IF(WEEKDAY(A6331,2)&gt;5,"Weekend","Weekday")</f>
        <v>Weekday</v>
      </c>
      <c r="I6331" t="str">
        <f>_xlfn.IFS(B6331&lt;=5,"Night (0-5)",B6331&lt;=9,"Morning peak (6-9)",B6331&lt;=15,"Midday (10-15)",B6331&lt;=19,"Evening peak (16-19)",TRUE,"Late evening (20-23)")</f>
        <v>Night (0-5)</v>
      </c>
    </row>
    <row r="6332" spans="1:9">
      <c r="A6332" s="32">
        <v>42086</v>
      </c>
      <c r="B6332">
        <v>5</v>
      </c>
      <c r="C6332">
        <v>1238</v>
      </c>
      <c r="D6332" t="s">
        <v>304</v>
      </c>
      <c r="E6332">
        <f>YEAR(A6332)</f>
        <v>2015</v>
      </c>
      <c r="F6332" s="33">
        <f>DATE(YEAR(A6332),MONTH(A6332),1)</f>
        <v>42064.0</v>
      </c>
      <c r="G6332" t="str">
        <f>CHOOSE(WEEKDAY(A6332,2),"Mon","Tue","Wed","Thu","Fri","Sat","Sun")</f>
        <v>Mon</v>
      </c>
      <c r="H6332" t="str">
        <f>IF(WEEKDAY(A6332,2)&gt;5,"Weekend","Weekday")</f>
        <v>Weekday</v>
      </c>
      <c r="I6332" t="str">
        <f>_xlfn.IFS(B6332&lt;=5,"Night (0-5)",B6332&lt;=9,"Morning peak (6-9)",B6332&lt;=15,"Midday (10-15)",B6332&lt;=19,"Evening peak (16-19)",TRUE,"Late evening (20-23)")</f>
        <v>Night (0-5)</v>
      </c>
    </row>
    <row r="6333" spans="1:9">
      <c r="A6333" s="32">
        <v>42086</v>
      </c>
      <c r="B6333">
        <v>6</v>
      </c>
      <c r="C6333">
        <v>2004</v>
      </c>
      <c r="D6333" t="s">
        <v>304</v>
      </c>
      <c r="E6333">
        <f>YEAR(A6333)</f>
        <v>2015</v>
      </c>
      <c r="F6333" s="33">
        <f>DATE(YEAR(A6333),MONTH(A6333),1)</f>
        <v>42064.0</v>
      </c>
      <c r="G6333" t="str">
        <f>CHOOSE(WEEKDAY(A6333,2),"Mon","Tue","Wed","Thu","Fri","Sat","Sun")</f>
        <v>Mon</v>
      </c>
      <c r="H6333" t="str">
        <f>IF(WEEKDAY(A6333,2)&gt;5,"Weekend","Weekday")</f>
        <v>Weekday</v>
      </c>
      <c r="I6333" t="str">
        <f>_xlfn.IFS(B6333&lt;=5,"Night (0-5)",B6333&lt;=9,"Morning peak (6-9)",B6333&lt;=15,"Midday (10-15)",B6333&lt;=19,"Evening peak (16-19)",TRUE,"Late evening (20-23)")</f>
        <v>Morning peak (6-9)</v>
      </c>
    </row>
    <row r="6334" spans="1:9">
      <c r="A6334" s="32">
        <v>42086</v>
      </c>
      <c r="B6334">
        <v>7</v>
      </c>
      <c r="C6334">
        <v>2806</v>
      </c>
      <c r="D6334" t="s">
        <v>304</v>
      </c>
      <c r="E6334">
        <f>YEAR(A6334)</f>
        <v>2015</v>
      </c>
      <c r="F6334" s="33">
        <f>DATE(YEAR(A6334),MONTH(A6334),1)</f>
        <v>42064.0</v>
      </c>
      <c r="G6334" t="str">
        <f>CHOOSE(WEEKDAY(A6334,2),"Mon","Tue","Wed","Thu","Fri","Sat","Sun")</f>
        <v>Mon</v>
      </c>
      <c r="H6334" t="str">
        <f>IF(WEEKDAY(A6334,2)&gt;5,"Weekend","Weekday")</f>
        <v>Weekday</v>
      </c>
      <c r="I6334" t="str">
        <f>_xlfn.IFS(B6334&lt;=5,"Night (0-5)",B6334&lt;=9,"Morning peak (6-9)",B6334&lt;=15,"Midday (10-15)",B6334&lt;=19,"Evening peak (16-19)",TRUE,"Late evening (20-23)")</f>
        <v>Morning peak (6-9)</v>
      </c>
    </row>
    <row r="6335" spans="1:9">
      <c r="A6335" s="32">
        <v>42086</v>
      </c>
      <c r="B6335">
        <v>8</v>
      </c>
      <c r="C6335">
        <v>3718</v>
      </c>
      <c r="D6335" t="s">
        <v>304</v>
      </c>
      <c r="E6335">
        <f>YEAR(A6335)</f>
        <v>2015</v>
      </c>
      <c r="F6335" s="33">
        <f>DATE(YEAR(A6335),MONTH(A6335),1)</f>
        <v>42064.0</v>
      </c>
      <c r="G6335" t="str">
        <f>CHOOSE(WEEKDAY(A6335,2),"Mon","Tue","Wed","Thu","Fri","Sat","Sun")</f>
        <v>Mon</v>
      </c>
      <c r="H6335" t="str">
        <f>IF(WEEKDAY(A6335,2)&gt;5,"Weekend","Weekday")</f>
        <v>Weekday</v>
      </c>
      <c r="I6335" t="str">
        <f>_xlfn.IFS(B6335&lt;=5,"Night (0-5)",B6335&lt;=9,"Morning peak (6-9)",B6335&lt;=15,"Midday (10-15)",B6335&lt;=19,"Evening peak (16-19)",TRUE,"Late evening (20-23)")</f>
        <v>Morning peak (6-9)</v>
      </c>
    </row>
    <row r="6336" spans="1:9">
      <c r="A6336" s="32">
        <v>42086</v>
      </c>
      <c r="B6336">
        <v>9</v>
      </c>
      <c r="C6336">
        <v>3458</v>
      </c>
      <c r="D6336" t="s">
        <v>304</v>
      </c>
      <c r="E6336">
        <f>YEAR(A6336)</f>
        <v>2015</v>
      </c>
      <c r="F6336" s="33">
        <f>DATE(YEAR(A6336),MONTH(A6336),1)</f>
        <v>42064.0</v>
      </c>
      <c r="G6336" t="str">
        <f>CHOOSE(WEEKDAY(A6336,2),"Mon","Tue","Wed","Thu","Fri","Sat","Sun")</f>
        <v>Mon</v>
      </c>
      <c r="H6336" t="str">
        <f>IF(WEEKDAY(A6336,2)&gt;5,"Weekend","Weekday")</f>
        <v>Weekday</v>
      </c>
      <c r="I6336" t="str">
        <f>_xlfn.IFS(B6336&lt;=5,"Night (0-5)",B6336&lt;=9,"Morning peak (6-9)",B6336&lt;=15,"Midday (10-15)",B6336&lt;=19,"Evening peak (16-19)",TRUE,"Late evening (20-23)")</f>
        <v>Morning peak (6-9)</v>
      </c>
    </row>
    <row r="6337" spans="1:9">
      <c r="A6337" s="32">
        <v>42086</v>
      </c>
      <c r="B6337">
        <v>10</v>
      </c>
      <c r="C6337">
        <v>2695</v>
      </c>
      <c r="D6337" t="s">
        <v>304</v>
      </c>
      <c r="E6337">
        <f>YEAR(A6337)</f>
        <v>2015</v>
      </c>
      <c r="F6337" s="33">
        <f>DATE(YEAR(A6337),MONTH(A6337),1)</f>
        <v>42064.0</v>
      </c>
      <c r="G6337" t="str">
        <f>CHOOSE(WEEKDAY(A6337,2),"Mon","Tue","Wed","Thu","Fri","Sat","Sun")</f>
        <v>Mon</v>
      </c>
      <c r="H6337" t="str">
        <f>IF(WEEKDAY(A6337,2)&gt;5,"Weekend","Weekday")</f>
        <v>Weekday</v>
      </c>
      <c r="I6337" t="str">
        <f>_xlfn.IFS(B6337&lt;=5,"Night (0-5)",B6337&lt;=9,"Morning peak (6-9)",B6337&lt;=15,"Midday (10-15)",B6337&lt;=19,"Evening peak (16-19)",TRUE,"Late evening (20-23)")</f>
        <v>Midday (10-15)</v>
      </c>
    </row>
    <row r="6338" spans="1:9">
      <c r="A6338" s="32">
        <v>42086</v>
      </c>
      <c r="B6338">
        <v>11</v>
      </c>
      <c r="C6338">
        <v>2308</v>
      </c>
      <c r="D6338" t="s">
        <v>304</v>
      </c>
      <c r="E6338">
        <f>YEAR(A6338)</f>
        <v>2015</v>
      </c>
      <c r="F6338" s="33">
        <f>DATE(YEAR(A6338),MONTH(A6338),1)</f>
        <v>42064.0</v>
      </c>
      <c r="G6338" t="str">
        <f>CHOOSE(WEEKDAY(A6338,2),"Mon","Tue","Wed","Thu","Fri","Sat","Sun")</f>
        <v>Mon</v>
      </c>
      <c r="H6338" t="str">
        <f>IF(WEEKDAY(A6338,2)&gt;5,"Weekend","Weekday")</f>
        <v>Weekday</v>
      </c>
      <c r="I6338" t="str">
        <f>_xlfn.IFS(B6338&lt;=5,"Night (0-5)",B6338&lt;=9,"Morning peak (6-9)",B6338&lt;=15,"Midday (10-15)",B6338&lt;=19,"Evening peak (16-19)",TRUE,"Late evening (20-23)")</f>
        <v>Midday (10-15)</v>
      </c>
    </row>
    <row r="6339" spans="1:9">
      <c r="A6339" s="32">
        <v>42086</v>
      </c>
      <c r="B6339">
        <v>12</v>
      </c>
      <c r="C6339">
        <v>2259</v>
      </c>
      <c r="D6339" t="s">
        <v>304</v>
      </c>
      <c r="E6339">
        <f>YEAR(A6339)</f>
        <v>2015</v>
      </c>
      <c r="F6339" s="33">
        <f>DATE(YEAR(A6339),MONTH(A6339),1)</f>
        <v>42064.0</v>
      </c>
      <c r="G6339" t="str">
        <f>CHOOSE(WEEKDAY(A6339,2),"Mon","Tue","Wed","Thu","Fri","Sat","Sun")</f>
        <v>Mon</v>
      </c>
      <c r="H6339" t="str">
        <f>IF(WEEKDAY(A6339,2)&gt;5,"Weekend","Weekday")</f>
        <v>Weekday</v>
      </c>
      <c r="I6339" t="str">
        <f>_xlfn.IFS(B6339&lt;=5,"Night (0-5)",B6339&lt;=9,"Morning peak (6-9)",B6339&lt;=15,"Midday (10-15)",B6339&lt;=19,"Evening peak (16-19)",TRUE,"Late evening (20-23)")</f>
        <v>Midday (10-15)</v>
      </c>
    </row>
    <row r="6340" spans="1:9">
      <c r="A6340" s="32">
        <v>42086</v>
      </c>
      <c r="B6340">
        <v>13</v>
      </c>
      <c r="C6340">
        <v>2214</v>
      </c>
      <c r="D6340" t="s">
        <v>304</v>
      </c>
      <c r="E6340">
        <f>YEAR(A6340)</f>
        <v>2015</v>
      </c>
      <c r="F6340" s="33">
        <f>DATE(YEAR(A6340),MONTH(A6340),1)</f>
        <v>42064.0</v>
      </c>
      <c r="G6340" t="str">
        <f>CHOOSE(WEEKDAY(A6340,2),"Mon","Tue","Wed","Thu","Fri","Sat","Sun")</f>
        <v>Mon</v>
      </c>
      <c r="H6340" t="str">
        <f>IF(WEEKDAY(A6340,2)&gt;5,"Weekend","Weekday")</f>
        <v>Weekday</v>
      </c>
      <c r="I6340" t="str">
        <f>_xlfn.IFS(B6340&lt;=5,"Night (0-5)",B6340&lt;=9,"Morning peak (6-9)",B6340&lt;=15,"Midday (10-15)",B6340&lt;=19,"Evening peak (16-19)",TRUE,"Late evening (20-23)")</f>
        <v>Midday (10-15)</v>
      </c>
    </row>
    <row r="6341" spans="1:9">
      <c r="A6341" s="32">
        <v>42086</v>
      </c>
      <c r="B6341">
        <v>14</v>
      </c>
      <c r="C6341">
        <v>2290</v>
      </c>
      <c r="D6341" t="s">
        <v>304</v>
      </c>
      <c r="E6341">
        <f>YEAR(A6341)</f>
        <v>2015</v>
      </c>
      <c r="F6341" s="33">
        <f>DATE(YEAR(A6341),MONTH(A6341),1)</f>
        <v>42064.0</v>
      </c>
      <c r="G6341" t="str">
        <f>CHOOSE(WEEKDAY(A6341,2),"Mon","Tue","Wed","Thu","Fri","Sat","Sun")</f>
        <v>Mon</v>
      </c>
      <c r="H6341" t="str">
        <f>IF(WEEKDAY(A6341,2)&gt;5,"Weekend","Weekday")</f>
        <v>Weekday</v>
      </c>
      <c r="I6341" t="str">
        <f>_xlfn.IFS(B6341&lt;=5,"Night (0-5)",B6341&lt;=9,"Morning peak (6-9)",B6341&lt;=15,"Midday (10-15)",B6341&lt;=19,"Evening peak (16-19)",TRUE,"Late evening (20-23)")</f>
        <v>Midday (10-15)</v>
      </c>
    </row>
    <row r="6342" spans="1:9">
      <c r="A6342" s="32">
        <v>42086</v>
      </c>
      <c r="B6342">
        <v>15</v>
      </c>
      <c r="C6342">
        <v>2571</v>
      </c>
      <c r="D6342" t="s">
        <v>304</v>
      </c>
      <c r="E6342">
        <f>YEAR(A6342)</f>
        <v>2015</v>
      </c>
      <c r="F6342" s="33">
        <f>DATE(YEAR(A6342),MONTH(A6342),1)</f>
        <v>42064.0</v>
      </c>
      <c r="G6342" t="str">
        <f>CHOOSE(WEEKDAY(A6342,2),"Mon","Tue","Wed","Thu","Fri","Sat","Sun")</f>
        <v>Mon</v>
      </c>
      <c r="H6342" t="str">
        <f>IF(WEEKDAY(A6342,2)&gt;5,"Weekend","Weekday")</f>
        <v>Weekday</v>
      </c>
      <c r="I6342" t="str">
        <f>_xlfn.IFS(B6342&lt;=5,"Night (0-5)",B6342&lt;=9,"Morning peak (6-9)",B6342&lt;=15,"Midday (10-15)",B6342&lt;=19,"Evening peak (16-19)",TRUE,"Late evening (20-23)")</f>
        <v>Midday (10-15)</v>
      </c>
    </row>
    <row r="6343" spans="1:9">
      <c r="A6343" s="32">
        <v>42086</v>
      </c>
      <c r="B6343">
        <v>16</v>
      </c>
      <c r="C6343">
        <v>2869</v>
      </c>
      <c r="D6343" t="s">
        <v>304</v>
      </c>
      <c r="E6343">
        <f>YEAR(A6343)</f>
        <v>2015</v>
      </c>
      <c r="F6343" s="33">
        <f>DATE(YEAR(A6343),MONTH(A6343),1)</f>
        <v>42064.0</v>
      </c>
      <c r="G6343" t="str">
        <f>CHOOSE(WEEKDAY(A6343,2),"Mon","Tue","Wed","Thu","Fri","Sat","Sun")</f>
        <v>Mon</v>
      </c>
      <c r="H6343" t="str">
        <f>IF(WEEKDAY(A6343,2)&gt;5,"Weekend","Weekday")</f>
        <v>Weekday</v>
      </c>
      <c r="I6343" t="str">
        <f>_xlfn.IFS(B6343&lt;=5,"Night (0-5)",B6343&lt;=9,"Morning peak (6-9)",B6343&lt;=15,"Midday (10-15)",B6343&lt;=19,"Evening peak (16-19)",TRUE,"Late evening (20-23)")</f>
        <v>Evening peak (16-19)</v>
      </c>
    </row>
    <row r="6344" spans="1:9">
      <c r="A6344" s="32">
        <v>42086</v>
      </c>
      <c r="B6344">
        <v>17</v>
      </c>
      <c r="C6344">
        <v>3405</v>
      </c>
      <c r="D6344" t="s">
        <v>304</v>
      </c>
      <c r="E6344">
        <f>YEAR(A6344)</f>
        <v>2015</v>
      </c>
      <c r="F6344" s="33">
        <f>DATE(YEAR(A6344),MONTH(A6344),1)</f>
        <v>42064.0</v>
      </c>
      <c r="G6344" t="str">
        <f>CHOOSE(WEEKDAY(A6344,2),"Mon","Tue","Wed","Thu","Fri","Sat","Sun")</f>
        <v>Mon</v>
      </c>
      <c r="H6344" t="str">
        <f>IF(WEEKDAY(A6344,2)&gt;5,"Weekend","Weekday")</f>
        <v>Weekday</v>
      </c>
      <c r="I6344" t="str">
        <f>_xlfn.IFS(B6344&lt;=5,"Night (0-5)",B6344&lt;=9,"Morning peak (6-9)",B6344&lt;=15,"Midday (10-15)",B6344&lt;=19,"Evening peak (16-19)",TRUE,"Late evening (20-23)")</f>
        <v>Evening peak (16-19)</v>
      </c>
    </row>
    <row r="6345" spans="1:9">
      <c r="A6345" s="32">
        <v>42086</v>
      </c>
      <c r="B6345">
        <v>18</v>
      </c>
      <c r="C6345">
        <v>4039</v>
      </c>
      <c r="D6345" t="s">
        <v>304</v>
      </c>
      <c r="E6345">
        <f>YEAR(A6345)</f>
        <v>2015</v>
      </c>
      <c r="F6345" s="33">
        <f>DATE(YEAR(A6345),MONTH(A6345),1)</f>
        <v>42064.0</v>
      </c>
      <c r="G6345" t="str">
        <f>CHOOSE(WEEKDAY(A6345,2),"Mon","Tue","Wed","Thu","Fri","Sat","Sun")</f>
        <v>Mon</v>
      </c>
      <c r="H6345" t="str">
        <f>IF(WEEKDAY(A6345,2)&gt;5,"Weekend","Weekday")</f>
        <v>Weekday</v>
      </c>
      <c r="I6345" t="str">
        <f>_xlfn.IFS(B6345&lt;=5,"Night (0-5)",B6345&lt;=9,"Morning peak (6-9)",B6345&lt;=15,"Midday (10-15)",B6345&lt;=19,"Evening peak (16-19)",TRUE,"Late evening (20-23)")</f>
        <v>Evening peak (16-19)</v>
      </c>
    </row>
    <row r="6346" spans="1:9">
      <c r="A6346" s="32">
        <v>42086</v>
      </c>
      <c r="B6346">
        <v>19</v>
      </c>
      <c r="C6346">
        <v>4169</v>
      </c>
      <c r="D6346" t="s">
        <v>304</v>
      </c>
      <c r="E6346">
        <f>YEAR(A6346)</f>
        <v>2015</v>
      </c>
      <c r="F6346" s="33">
        <f>DATE(YEAR(A6346),MONTH(A6346),1)</f>
        <v>42064.0</v>
      </c>
      <c r="G6346" t="str">
        <f>CHOOSE(WEEKDAY(A6346,2),"Mon","Tue","Wed","Thu","Fri","Sat","Sun")</f>
        <v>Mon</v>
      </c>
      <c r="H6346" t="str">
        <f>IF(WEEKDAY(A6346,2)&gt;5,"Weekend","Weekday")</f>
        <v>Weekday</v>
      </c>
      <c r="I6346" t="str">
        <f>_xlfn.IFS(B6346&lt;=5,"Night (0-5)",B6346&lt;=9,"Morning peak (6-9)",B6346&lt;=15,"Midday (10-15)",B6346&lt;=19,"Evening peak (16-19)",TRUE,"Late evening (20-23)")</f>
        <v>Evening peak (16-19)</v>
      </c>
    </row>
    <row r="6347" spans="1:9">
      <c r="A6347" s="32">
        <v>42086</v>
      </c>
      <c r="B6347">
        <v>20</v>
      </c>
      <c r="C6347">
        <v>4113</v>
      </c>
      <c r="D6347" t="s">
        <v>304</v>
      </c>
      <c r="E6347">
        <f>YEAR(A6347)</f>
        <v>2015</v>
      </c>
      <c r="F6347" s="33">
        <f>DATE(YEAR(A6347),MONTH(A6347),1)</f>
        <v>42064.0</v>
      </c>
      <c r="G6347" t="str">
        <f>CHOOSE(WEEKDAY(A6347,2),"Mon","Tue","Wed","Thu","Fri","Sat","Sun")</f>
        <v>Mon</v>
      </c>
      <c r="H6347" t="str">
        <f>IF(WEEKDAY(A6347,2)&gt;5,"Weekend","Weekday")</f>
        <v>Weekday</v>
      </c>
      <c r="I6347" t="str">
        <f>_xlfn.IFS(B6347&lt;=5,"Night (0-5)",B6347&lt;=9,"Morning peak (6-9)",B6347&lt;=15,"Midday (10-15)",B6347&lt;=19,"Evening peak (16-19)",TRUE,"Late evening (20-23)")</f>
        <v>Late evening (20-23)</v>
      </c>
    </row>
    <row r="6348" spans="1:9">
      <c r="A6348" s="32">
        <v>42086</v>
      </c>
      <c r="B6348">
        <v>21</v>
      </c>
      <c r="C6348">
        <v>3986</v>
      </c>
      <c r="D6348" t="s">
        <v>304</v>
      </c>
      <c r="E6348">
        <f>YEAR(A6348)</f>
        <v>2015</v>
      </c>
      <c r="F6348" s="33">
        <f>DATE(YEAR(A6348),MONTH(A6348),1)</f>
        <v>42064.0</v>
      </c>
      <c r="G6348" t="str">
        <f>CHOOSE(WEEKDAY(A6348,2),"Mon","Tue","Wed","Thu","Fri","Sat","Sun")</f>
        <v>Mon</v>
      </c>
      <c r="H6348" t="str">
        <f>IF(WEEKDAY(A6348,2)&gt;5,"Weekend","Weekday")</f>
        <v>Weekday</v>
      </c>
      <c r="I6348" t="str">
        <f>_xlfn.IFS(B6348&lt;=5,"Night (0-5)",B6348&lt;=9,"Morning peak (6-9)",B6348&lt;=15,"Midday (10-15)",B6348&lt;=19,"Evening peak (16-19)",TRUE,"Late evening (20-23)")</f>
        <v>Late evening (20-23)</v>
      </c>
    </row>
    <row r="6349" spans="1:9">
      <c r="A6349" s="32">
        <v>42086</v>
      </c>
      <c r="B6349">
        <v>22</v>
      </c>
      <c r="C6349">
        <v>3637</v>
      </c>
      <c r="D6349" t="s">
        <v>304</v>
      </c>
      <c r="E6349">
        <f>YEAR(A6349)</f>
        <v>2015</v>
      </c>
      <c r="F6349" s="33">
        <f>DATE(YEAR(A6349),MONTH(A6349),1)</f>
        <v>42064.0</v>
      </c>
      <c r="G6349" t="str">
        <f>CHOOSE(WEEKDAY(A6349,2),"Mon","Tue","Wed","Thu","Fri","Sat","Sun")</f>
        <v>Mon</v>
      </c>
      <c r="H6349" t="str">
        <f>IF(WEEKDAY(A6349,2)&gt;5,"Weekend","Weekday")</f>
        <v>Weekday</v>
      </c>
      <c r="I6349" t="str">
        <f>_xlfn.IFS(B6349&lt;=5,"Night (0-5)",B6349&lt;=9,"Morning peak (6-9)",B6349&lt;=15,"Midday (10-15)",B6349&lt;=19,"Evening peak (16-19)",TRUE,"Late evening (20-23)")</f>
        <v>Late evening (20-23)</v>
      </c>
    </row>
    <row r="6350" spans="1:9">
      <c r="A6350" s="32">
        <v>42086</v>
      </c>
      <c r="B6350">
        <v>23</v>
      </c>
      <c r="C6350">
        <v>2729</v>
      </c>
      <c r="D6350" t="s">
        <v>304</v>
      </c>
      <c r="E6350">
        <f>YEAR(A6350)</f>
        <v>2015</v>
      </c>
      <c r="F6350" s="33">
        <f>DATE(YEAR(A6350),MONTH(A6350),1)</f>
        <v>42064.0</v>
      </c>
      <c r="G6350" t="str">
        <f>CHOOSE(WEEKDAY(A6350,2),"Mon","Tue","Wed","Thu","Fri","Sat","Sun")</f>
        <v>Mon</v>
      </c>
      <c r="H6350" t="str">
        <f>IF(WEEKDAY(A6350,2)&gt;5,"Weekend","Weekday")</f>
        <v>Weekday</v>
      </c>
      <c r="I6350" t="str">
        <f>_xlfn.IFS(B6350&lt;=5,"Night (0-5)",B6350&lt;=9,"Morning peak (6-9)",B6350&lt;=15,"Midday (10-15)",B6350&lt;=19,"Evening peak (16-19)",TRUE,"Late evening (20-23)")</f>
        <v>Late evening (20-23)</v>
      </c>
    </row>
    <row r="6351" spans="1:9">
      <c r="A6351" s="32">
        <v>42087</v>
      </c>
      <c r="B6351">
        <v>0</v>
      </c>
      <c r="C6351">
        <v>1723</v>
      </c>
      <c r="D6351" t="s">
        <v>304</v>
      </c>
      <c r="E6351">
        <f>YEAR(A6351)</f>
        <v>2015</v>
      </c>
      <c r="F6351" s="33">
        <f>DATE(YEAR(A6351),MONTH(A6351),1)</f>
        <v>42064.0</v>
      </c>
      <c r="G6351" t="str">
        <f>CHOOSE(WEEKDAY(A6351,2),"Mon","Tue","Wed","Thu","Fri","Sat","Sun")</f>
        <v>Tue</v>
      </c>
      <c r="H6351" t="str">
        <f>IF(WEEKDAY(A6351,2)&gt;5,"Weekend","Weekday")</f>
        <v>Weekday</v>
      </c>
      <c r="I6351" t="str">
        <f>_xlfn.IFS(B6351&lt;=5,"Night (0-5)",B6351&lt;=9,"Morning peak (6-9)",B6351&lt;=15,"Midday (10-15)",B6351&lt;=19,"Evening peak (16-19)",TRUE,"Late evening (20-23)")</f>
        <v>Night (0-5)</v>
      </c>
    </row>
    <row r="6352" spans="1:9">
      <c r="A6352" s="32">
        <v>42087</v>
      </c>
      <c r="B6352">
        <v>1</v>
      </c>
      <c r="C6352">
        <v>889</v>
      </c>
      <c r="D6352" t="s">
        <v>304</v>
      </c>
      <c r="E6352">
        <f>YEAR(A6352)</f>
        <v>2015</v>
      </c>
      <c r="F6352" s="33">
        <f>DATE(YEAR(A6352),MONTH(A6352),1)</f>
        <v>42064.0</v>
      </c>
      <c r="G6352" t="str">
        <f>CHOOSE(WEEKDAY(A6352,2),"Mon","Tue","Wed","Thu","Fri","Sat","Sun")</f>
        <v>Tue</v>
      </c>
      <c r="H6352" t="str">
        <f>IF(WEEKDAY(A6352,2)&gt;5,"Weekend","Weekday")</f>
        <v>Weekday</v>
      </c>
      <c r="I6352" t="str">
        <f>_xlfn.IFS(B6352&lt;=5,"Night (0-5)",B6352&lt;=9,"Morning peak (6-9)",B6352&lt;=15,"Midday (10-15)",B6352&lt;=19,"Evening peak (16-19)",TRUE,"Late evening (20-23)")</f>
        <v>Night (0-5)</v>
      </c>
    </row>
    <row r="6353" spans="1:9">
      <c r="A6353" s="32">
        <v>42087</v>
      </c>
      <c r="B6353">
        <v>2</v>
      </c>
      <c r="C6353">
        <v>487</v>
      </c>
      <c r="D6353" t="s">
        <v>304</v>
      </c>
      <c r="E6353">
        <f>YEAR(A6353)</f>
        <v>2015</v>
      </c>
      <c r="F6353" s="33">
        <f>DATE(YEAR(A6353),MONTH(A6353),1)</f>
        <v>42064.0</v>
      </c>
      <c r="G6353" t="str">
        <f>CHOOSE(WEEKDAY(A6353,2),"Mon","Tue","Wed","Thu","Fri","Sat","Sun")</f>
        <v>Tue</v>
      </c>
      <c r="H6353" t="str">
        <f>IF(WEEKDAY(A6353,2)&gt;5,"Weekend","Weekday")</f>
        <v>Weekday</v>
      </c>
      <c r="I6353" t="str">
        <f>_xlfn.IFS(B6353&lt;=5,"Night (0-5)",B6353&lt;=9,"Morning peak (6-9)",B6353&lt;=15,"Midday (10-15)",B6353&lt;=19,"Evening peak (16-19)",TRUE,"Late evening (20-23)")</f>
        <v>Night (0-5)</v>
      </c>
    </row>
    <row r="6354" spans="1:9">
      <c r="A6354" s="32">
        <v>42087</v>
      </c>
      <c r="B6354">
        <v>3</v>
      </c>
      <c r="C6354">
        <v>339</v>
      </c>
      <c r="D6354" t="s">
        <v>304</v>
      </c>
      <c r="E6354">
        <f>YEAR(A6354)</f>
        <v>2015</v>
      </c>
      <c r="F6354" s="33">
        <f>DATE(YEAR(A6354),MONTH(A6354),1)</f>
        <v>42064.0</v>
      </c>
      <c r="G6354" t="str">
        <f>CHOOSE(WEEKDAY(A6354,2),"Mon","Tue","Wed","Thu","Fri","Sat","Sun")</f>
        <v>Tue</v>
      </c>
      <c r="H6354" t="str">
        <f>IF(WEEKDAY(A6354,2)&gt;5,"Weekend","Weekday")</f>
        <v>Weekday</v>
      </c>
      <c r="I6354" t="str">
        <f>_xlfn.IFS(B6354&lt;=5,"Night (0-5)",B6354&lt;=9,"Morning peak (6-9)",B6354&lt;=15,"Midday (10-15)",B6354&lt;=19,"Evening peak (16-19)",TRUE,"Late evening (20-23)")</f>
        <v>Night (0-5)</v>
      </c>
    </row>
    <row r="6355" spans="1:9">
      <c r="A6355" s="32">
        <v>42087</v>
      </c>
      <c r="B6355">
        <v>4</v>
      </c>
      <c r="C6355">
        <v>524</v>
      </c>
      <c r="D6355" t="s">
        <v>304</v>
      </c>
      <c r="E6355">
        <f>YEAR(A6355)</f>
        <v>2015</v>
      </c>
      <c r="F6355" s="33">
        <f>DATE(YEAR(A6355),MONTH(A6355),1)</f>
        <v>42064.0</v>
      </c>
      <c r="G6355" t="str">
        <f>CHOOSE(WEEKDAY(A6355,2),"Mon","Tue","Wed","Thu","Fri","Sat","Sun")</f>
        <v>Tue</v>
      </c>
      <c r="H6355" t="str">
        <f>IF(WEEKDAY(A6355,2)&gt;5,"Weekend","Weekday")</f>
        <v>Weekday</v>
      </c>
      <c r="I6355" t="str">
        <f>_xlfn.IFS(B6355&lt;=5,"Night (0-5)",B6355&lt;=9,"Morning peak (6-9)",B6355&lt;=15,"Midday (10-15)",B6355&lt;=19,"Evening peak (16-19)",TRUE,"Late evening (20-23)")</f>
        <v>Night (0-5)</v>
      </c>
    </row>
    <row r="6356" spans="1:9">
      <c r="A6356" s="32">
        <v>42087</v>
      </c>
      <c r="B6356">
        <v>5</v>
      </c>
      <c r="C6356">
        <v>927</v>
      </c>
      <c r="D6356" t="s">
        <v>304</v>
      </c>
      <c r="E6356">
        <f>YEAR(A6356)</f>
        <v>2015</v>
      </c>
      <c r="F6356" s="33">
        <f>DATE(YEAR(A6356),MONTH(A6356),1)</f>
        <v>42064.0</v>
      </c>
      <c r="G6356" t="str">
        <f>CHOOSE(WEEKDAY(A6356,2),"Mon","Tue","Wed","Thu","Fri","Sat","Sun")</f>
        <v>Tue</v>
      </c>
      <c r="H6356" t="str">
        <f>IF(WEEKDAY(A6356,2)&gt;5,"Weekend","Weekday")</f>
        <v>Weekday</v>
      </c>
      <c r="I6356" t="str">
        <f>_xlfn.IFS(B6356&lt;=5,"Night (0-5)",B6356&lt;=9,"Morning peak (6-9)",B6356&lt;=15,"Midday (10-15)",B6356&lt;=19,"Evening peak (16-19)",TRUE,"Late evening (20-23)")</f>
        <v>Night (0-5)</v>
      </c>
    </row>
    <row r="6357" spans="1:9">
      <c r="A6357" s="32">
        <v>42087</v>
      </c>
      <c r="B6357">
        <v>6</v>
      </c>
      <c r="C6357">
        <v>1786</v>
      </c>
      <c r="D6357" t="s">
        <v>304</v>
      </c>
      <c r="E6357">
        <f>YEAR(A6357)</f>
        <v>2015</v>
      </c>
      <c r="F6357" s="33">
        <f>DATE(YEAR(A6357),MONTH(A6357),1)</f>
        <v>42064.0</v>
      </c>
      <c r="G6357" t="str">
        <f>CHOOSE(WEEKDAY(A6357,2),"Mon","Tue","Wed","Thu","Fri","Sat","Sun")</f>
        <v>Tue</v>
      </c>
      <c r="H6357" t="str">
        <f>IF(WEEKDAY(A6357,2)&gt;5,"Weekend","Weekday")</f>
        <v>Weekday</v>
      </c>
      <c r="I6357" t="str">
        <f>_xlfn.IFS(B6357&lt;=5,"Night (0-5)",B6357&lt;=9,"Morning peak (6-9)",B6357&lt;=15,"Midday (10-15)",B6357&lt;=19,"Evening peak (16-19)",TRUE,"Late evening (20-23)")</f>
        <v>Morning peak (6-9)</v>
      </c>
    </row>
    <row r="6358" spans="1:9">
      <c r="A6358" s="32">
        <v>42087</v>
      </c>
      <c r="B6358">
        <v>7</v>
      </c>
      <c r="C6358">
        <v>2839</v>
      </c>
      <c r="D6358" t="s">
        <v>304</v>
      </c>
      <c r="E6358">
        <f>YEAR(A6358)</f>
        <v>2015</v>
      </c>
      <c r="F6358" s="33">
        <f>DATE(YEAR(A6358),MONTH(A6358),1)</f>
        <v>42064.0</v>
      </c>
      <c r="G6358" t="str">
        <f>CHOOSE(WEEKDAY(A6358,2),"Mon","Tue","Wed","Thu","Fri","Sat","Sun")</f>
        <v>Tue</v>
      </c>
      <c r="H6358" t="str">
        <f>IF(WEEKDAY(A6358,2)&gt;5,"Weekend","Weekday")</f>
        <v>Weekday</v>
      </c>
      <c r="I6358" t="str">
        <f>_xlfn.IFS(B6358&lt;=5,"Night (0-5)",B6358&lt;=9,"Morning peak (6-9)",B6358&lt;=15,"Midday (10-15)",B6358&lt;=19,"Evening peak (16-19)",TRUE,"Late evening (20-23)")</f>
        <v>Morning peak (6-9)</v>
      </c>
    </row>
    <row r="6359" spans="1:9">
      <c r="A6359" s="32">
        <v>42087</v>
      </c>
      <c r="B6359">
        <v>8</v>
      </c>
      <c r="C6359">
        <v>3736</v>
      </c>
      <c r="D6359" t="s">
        <v>304</v>
      </c>
      <c r="E6359">
        <f>YEAR(A6359)</f>
        <v>2015</v>
      </c>
      <c r="F6359" s="33">
        <f>DATE(YEAR(A6359),MONTH(A6359),1)</f>
        <v>42064.0</v>
      </c>
      <c r="G6359" t="str">
        <f>CHOOSE(WEEKDAY(A6359,2),"Mon","Tue","Wed","Thu","Fri","Sat","Sun")</f>
        <v>Tue</v>
      </c>
      <c r="H6359" t="str">
        <f>IF(WEEKDAY(A6359,2)&gt;5,"Weekend","Weekday")</f>
        <v>Weekday</v>
      </c>
      <c r="I6359" t="str">
        <f>_xlfn.IFS(B6359&lt;=5,"Night (0-5)",B6359&lt;=9,"Morning peak (6-9)",B6359&lt;=15,"Midday (10-15)",B6359&lt;=19,"Evening peak (16-19)",TRUE,"Late evening (20-23)")</f>
        <v>Morning peak (6-9)</v>
      </c>
    </row>
    <row r="6360" spans="1:9">
      <c r="A6360" s="32">
        <v>42087</v>
      </c>
      <c r="B6360">
        <v>9</v>
      </c>
      <c r="C6360">
        <v>3604</v>
      </c>
      <c r="D6360" t="s">
        <v>304</v>
      </c>
      <c r="E6360">
        <f>YEAR(A6360)</f>
        <v>2015</v>
      </c>
      <c r="F6360" s="33">
        <f>DATE(YEAR(A6360),MONTH(A6360),1)</f>
        <v>42064.0</v>
      </c>
      <c r="G6360" t="str">
        <f>CHOOSE(WEEKDAY(A6360,2),"Mon","Tue","Wed","Thu","Fri","Sat","Sun")</f>
        <v>Tue</v>
      </c>
      <c r="H6360" t="str">
        <f>IF(WEEKDAY(A6360,2)&gt;5,"Weekend","Weekday")</f>
        <v>Weekday</v>
      </c>
      <c r="I6360" t="str">
        <f>_xlfn.IFS(B6360&lt;=5,"Night (0-5)",B6360&lt;=9,"Morning peak (6-9)",B6360&lt;=15,"Midday (10-15)",B6360&lt;=19,"Evening peak (16-19)",TRUE,"Late evening (20-23)")</f>
        <v>Morning peak (6-9)</v>
      </c>
    </row>
    <row r="6361" spans="1:9">
      <c r="A6361" s="32">
        <v>42087</v>
      </c>
      <c r="B6361">
        <v>10</v>
      </c>
      <c r="C6361">
        <v>2630</v>
      </c>
      <c r="D6361" t="s">
        <v>304</v>
      </c>
      <c r="E6361">
        <f>YEAR(A6361)</f>
        <v>2015</v>
      </c>
      <c r="F6361" s="33">
        <f>DATE(YEAR(A6361),MONTH(A6361),1)</f>
        <v>42064.0</v>
      </c>
      <c r="G6361" t="str">
        <f>CHOOSE(WEEKDAY(A6361,2),"Mon","Tue","Wed","Thu","Fri","Sat","Sun")</f>
        <v>Tue</v>
      </c>
      <c r="H6361" t="str">
        <f>IF(WEEKDAY(A6361,2)&gt;5,"Weekend","Weekday")</f>
        <v>Weekday</v>
      </c>
      <c r="I6361" t="str">
        <f>_xlfn.IFS(B6361&lt;=5,"Night (0-5)",B6361&lt;=9,"Morning peak (6-9)",B6361&lt;=15,"Midday (10-15)",B6361&lt;=19,"Evening peak (16-19)",TRUE,"Late evening (20-23)")</f>
        <v>Midday (10-15)</v>
      </c>
    </row>
    <row r="6362" spans="1:9">
      <c r="A6362" s="32">
        <v>42087</v>
      </c>
      <c r="B6362">
        <v>11</v>
      </c>
      <c r="C6362">
        <v>2386</v>
      </c>
      <c r="D6362" t="s">
        <v>304</v>
      </c>
      <c r="E6362">
        <f>YEAR(A6362)</f>
        <v>2015</v>
      </c>
      <c r="F6362" s="33">
        <f>DATE(YEAR(A6362),MONTH(A6362),1)</f>
        <v>42064.0</v>
      </c>
      <c r="G6362" t="str">
        <f>CHOOSE(WEEKDAY(A6362,2),"Mon","Tue","Wed","Thu","Fri","Sat","Sun")</f>
        <v>Tue</v>
      </c>
      <c r="H6362" t="str">
        <f>IF(WEEKDAY(A6362,2)&gt;5,"Weekend","Weekday")</f>
        <v>Weekday</v>
      </c>
      <c r="I6362" t="str">
        <f>_xlfn.IFS(B6362&lt;=5,"Night (0-5)",B6362&lt;=9,"Morning peak (6-9)",B6362&lt;=15,"Midday (10-15)",B6362&lt;=19,"Evening peak (16-19)",TRUE,"Late evening (20-23)")</f>
        <v>Midday (10-15)</v>
      </c>
    </row>
    <row r="6363" spans="1:9">
      <c r="A6363" s="32">
        <v>42087</v>
      </c>
      <c r="B6363">
        <v>12</v>
      </c>
      <c r="C6363">
        <v>2330</v>
      </c>
      <c r="D6363" t="s">
        <v>304</v>
      </c>
      <c r="E6363">
        <f>YEAR(A6363)</f>
        <v>2015</v>
      </c>
      <c r="F6363" s="33">
        <f>DATE(YEAR(A6363),MONTH(A6363),1)</f>
        <v>42064.0</v>
      </c>
      <c r="G6363" t="str">
        <f>CHOOSE(WEEKDAY(A6363,2),"Mon","Tue","Wed","Thu","Fri","Sat","Sun")</f>
        <v>Tue</v>
      </c>
      <c r="H6363" t="str">
        <f>IF(WEEKDAY(A6363,2)&gt;5,"Weekend","Weekday")</f>
        <v>Weekday</v>
      </c>
      <c r="I6363" t="str">
        <f>_xlfn.IFS(B6363&lt;=5,"Night (0-5)",B6363&lt;=9,"Morning peak (6-9)",B6363&lt;=15,"Midday (10-15)",B6363&lt;=19,"Evening peak (16-19)",TRUE,"Late evening (20-23)")</f>
        <v>Midday (10-15)</v>
      </c>
    </row>
    <row r="6364" spans="1:9">
      <c r="A6364" s="32">
        <v>42087</v>
      </c>
      <c r="B6364">
        <v>13</v>
      </c>
      <c r="C6364">
        <v>2343</v>
      </c>
      <c r="D6364" t="s">
        <v>304</v>
      </c>
      <c r="E6364">
        <f>YEAR(A6364)</f>
        <v>2015</v>
      </c>
      <c r="F6364" s="33">
        <f>DATE(YEAR(A6364),MONTH(A6364),1)</f>
        <v>42064.0</v>
      </c>
      <c r="G6364" t="str">
        <f>CHOOSE(WEEKDAY(A6364,2),"Mon","Tue","Wed","Thu","Fri","Sat","Sun")</f>
        <v>Tue</v>
      </c>
      <c r="H6364" t="str">
        <f>IF(WEEKDAY(A6364,2)&gt;5,"Weekend","Weekday")</f>
        <v>Weekday</v>
      </c>
      <c r="I6364" t="str">
        <f>_xlfn.IFS(B6364&lt;=5,"Night (0-5)",B6364&lt;=9,"Morning peak (6-9)",B6364&lt;=15,"Midday (10-15)",B6364&lt;=19,"Evening peak (16-19)",TRUE,"Late evening (20-23)")</f>
        <v>Midday (10-15)</v>
      </c>
    </row>
    <row r="6365" spans="1:9">
      <c r="A6365" s="32">
        <v>42087</v>
      </c>
      <c r="B6365">
        <v>14</v>
      </c>
      <c r="C6365">
        <v>2471</v>
      </c>
      <c r="D6365" t="s">
        <v>304</v>
      </c>
      <c r="E6365">
        <f>YEAR(A6365)</f>
        <v>2015</v>
      </c>
      <c r="F6365" s="33">
        <f>DATE(YEAR(A6365),MONTH(A6365),1)</f>
        <v>42064.0</v>
      </c>
      <c r="G6365" t="str">
        <f>CHOOSE(WEEKDAY(A6365,2),"Mon","Tue","Wed","Thu","Fri","Sat","Sun")</f>
        <v>Tue</v>
      </c>
      <c r="H6365" t="str">
        <f>IF(WEEKDAY(A6365,2)&gt;5,"Weekend","Weekday")</f>
        <v>Weekday</v>
      </c>
      <c r="I6365" t="str">
        <f>_xlfn.IFS(B6365&lt;=5,"Night (0-5)",B6365&lt;=9,"Morning peak (6-9)",B6365&lt;=15,"Midday (10-15)",B6365&lt;=19,"Evening peak (16-19)",TRUE,"Late evening (20-23)")</f>
        <v>Midday (10-15)</v>
      </c>
    </row>
    <row r="6366" spans="1:9">
      <c r="A6366" s="32">
        <v>42087</v>
      </c>
      <c r="B6366">
        <v>15</v>
      </c>
      <c r="C6366">
        <v>2694</v>
      </c>
      <c r="D6366" t="s">
        <v>304</v>
      </c>
      <c r="E6366">
        <f>YEAR(A6366)</f>
        <v>2015</v>
      </c>
      <c r="F6366" s="33">
        <f>DATE(YEAR(A6366),MONTH(A6366),1)</f>
        <v>42064.0</v>
      </c>
      <c r="G6366" t="str">
        <f>CHOOSE(WEEKDAY(A6366,2),"Mon","Tue","Wed","Thu","Fri","Sat","Sun")</f>
        <v>Tue</v>
      </c>
      <c r="H6366" t="str">
        <f>IF(WEEKDAY(A6366,2)&gt;5,"Weekend","Weekday")</f>
        <v>Weekday</v>
      </c>
      <c r="I6366" t="str">
        <f>_xlfn.IFS(B6366&lt;=5,"Night (0-5)",B6366&lt;=9,"Morning peak (6-9)",B6366&lt;=15,"Midday (10-15)",B6366&lt;=19,"Evening peak (16-19)",TRUE,"Late evening (20-23)")</f>
        <v>Midday (10-15)</v>
      </c>
    </row>
    <row r="6367" spans="1:9">
      <c r="A6367" s="32">
        <v>42087</v>
      </c>
      <c r="B6367">
        <v>16</v>
      </c>
      <c r="C6367">
        <v>3223</v>
      </c>
      <c r="D6367" t="s">
        <v>304</v>
      </c>
      <c r="E6367">
        <f>YEAR(A6367)</f>
        <v>2015</v>
      </c>
      <c r="F6367" s="33">
        <f>DATE(YEAR(A6367),MONTH(A6367),1)</f>
        <v>42064.0</v>
      </c>
      <c r="G6367" t="str">
        <f>CHOOSE(WEEKDAY(A6367,2),"Mon","Tue","Wed","Thu","Fri","Sat","Sun")</f>
        <v>Tue</v>
      </c>
      <c r="H6367" t="str">
        <f>IF(WEEKDAY(A6367,2)&gt;5,"Weekend","Weekday")</f>
        <v>Weekday</v>
      </c>
      <c r="I6367" t="str">
        <f>_xlfn.IFS(B6367&lt;=5,"Night (0-5)",B6367&lt;=9,"Morning peak (6-9)",B6367&lt;=15,"Midday (10-15)",B6367&lt;=19,"Evening peak (16-19)",TRUE,"Late evening (20-23)")</f>
        <v>Evening peak (16-19)</v>
      </c>
    </row>
    <row r="6368" spans="1:9">
      <c r="A6368" s="32">
        <v>42087</v>
      </c>
      <c r="B6368">
        <v>17</v>
      </c>
      <c r="C6368">
        <v>3853</v>
      </c>
      <c r="D6368" t="s">
        <v>304</v>
      </c>
      <c r="E6368">
        <f>YEAR(A6368)</f>
        <v>2015</v>
      </c>
      <c r="F6368" s="33">
        <f>DATE(YEAR(A6368),MONTH(A6368),1)</f>
        <v>42064.0</v>
      </c>
      <c r="G6368" t="str">
        <f>CHOOSE(WEEKDAY(A6368,2),"Mon","Tue","Wed","Thu","Fri","Sat","Sun")</f>
        <v>Tue</v>
      </c>
      <c r="H6368" t="str">
        <f>IF(WEEKDAY(A6368,2)&gt;5,"Weekend","Weekday")</f>
        <v>Weekday</v>
      </c>
      <c r="I6368" t="str">
        <f>_xlfn.IFS(B6368&lt;=5,"Night (0-5)",B6368&lt;=9,"Morning peak (6-9)",B6368&lt;=15,"Midday (10-15)",B6368&lt;=19,"Evening peak (16-19)",TRUE,"Late evening (20-23)")</f>
        <v>Evening peak (16-19)</v>
      </c>
    </row>
    <row r="6369" spans="1:9">
      <c r="A6369" s="32">
        <v>42087</v>
      </c>
      <c r="B6369">
        <v>18</v>
      </c>
      <c r="C6369">
        <v>4582</v>
      </c>
      <c r="D6369" t="s">
        <v>304</v>
      </c>
      <c r="E6369">
        <f>YEAR(A6369)</f>
        <v>2015</v>
      </c>
      <c r="F6369" s="33">
        <f>DATE(YEAR(A6369),MONTH(A6369),1)</f>
        <v>42064.0</v>
      </c>
      <c r="G6369" t="str">
        <f>CHOOSE(WEEKDAY(A6369,2),"Mon","Tue","Wed","Thu","Fri","Sat","Sun")</f>
        <v>Tue</v>
      </c>
      <c r="H6369" t="str">
        <f>IF(WEEKDAY(A6369,2)&gt;5,"Weekend","Weekday")</f>
        <v>Weekday</v>
      </c>
      <c r="I6369" t="str">
        <f>_xlfn.IFS(B6369&lt;=5,"Night (0-5)",B6369&lt;=9,"Morning peak (6-9)",B6369&lt;=15,"Midday (10-15)",B6369&lt;=19,"Evening peak (16-19)",TRUE,"Late evening (20-23)")</f>
        <v>Evening peak (16-19)</v>
      </c>
    </row>
    <row r="6370" spans="1:9">
      <c r="A6370" s="32">
        <v>42087</v>
      </c>
      <c r="B6370">
        <v>19</v>
      </c>
      <c r="C6370">
        <v>4595</v>
      </c>
      <c r="D6370" t="s">
        <v>304</v>
      </c>
      <c r="E6370">
        <f>YEAR(A6370)</f>
        <v>2015</v>
      </c>
      <c r="F6370" s="33">
        <f>DATE(YEAR(A6370),MONTH(A6370),1)</f>
        <v>42064.0</v>
      </c>
      <c r="G6370" t="str">
        <f>CHOOSE(WEEKDAY(A6370,2),"Mon","Tue","Wed","Thu","Fri","Sat","Sun")</f>
        <v>Tue</v>
      </c>
      <c r="H6370" t="str">
        <f>IF(WEEKDAY(A6370,2)&gt;5,"Weekend","Weekday")</f>
        <v>Weekday</v>
      </c>
      <c r="I6370" t="str">
        <f>_xlfn.IFS(B6370&lt;=5,"Night (0-5)",B6370&lt;=9,"Morning peak (6-9)",B6370&lt;=15,"Midday (10-15)",B6370&lt;=19,"Evening peak (16-19)",TRUE,"Late evening (20-23)")</f>
        <v>Evening peak (16-19)</v>
      </c>
    </row>
    <row r="6371" spans="1:9">
      <c r="A6371" s="32">
        <v>42087</v>
      </c>
      <c r="B6371">
        <v>20</v>
      </c>
      <c r="C6371">
        <v>4640</v>
      </c>
      <c r="D6371" t="s">
        <v>304</v>
      </c>
      <c r="E6371">
        <f>YEAR(A6371)</f>
        <v>2015</v>
      </c>
      <c r="F6371" s="33">
        <f>DATE(YEAR(A6371),MONTH(A6371),1)</f>
        <v>42064.0</v>
      </c>
      <c r="G6371" t="str">
        <f>CHOOSE(WEEKDAY(A6371,2),"Mon","Tue","Wed","Thu","Fri","Sat","Sun")</f>
        <v>Tue</v>
      </c>
      <c r="H6371" t="str">
        <f>IF(WEEKDAY(A6371,2)&gt;5,"Weekend","Weekday")</f>
        <v>Weekday</v>
      </c>
      <c r="I6371" t="str">
        <f>_xlfn.IFS(B6371&lt;=5,"Night (0-5)",B6371&lt;=9,"Morning peak (6-9)",B6371&lt;=15,"Midday (10-15)",B6371&lt;=19,"Evening peak (16-19)",TRUE,"Late evening (20-23)")</f>
        <v>Late evening (20-23)</v>
      </c>
    </row>
    <row r="6372" spans="1:9">
      <c r="A6372" s="32">
        <v>42087</v>
      </c>
      <c r="B6372">
        <v>21</v>
      </c>
      <c r="C6372">
        <v>4544</v>
      </c>
      <c r="D6372" t="s">
        <v>304</v>
      </c>
      <c r="E6372">
        <f>YEAR(A6372)</f>
        <v>2015</v>
      </c>
      <c r="F6372" s="33">
        <f>DATE(YEAR(A6372),MONTH(A6372),1)</f>
        <v>42064.0</v>
      </c>
      <c r="G6372" t="str">
        <f>CHOOSE(WEEKDAY(A6372,2),"Mon","Tue","Wed","Thu","Fri","Sat","Sun")</f>
        <v>Tue</v>
      </c>
      <c r="H6372" t="str">
        <f>IF(WEEKDAY(A6372,2)&gt;5,"Weekend","Weekday")</f>
        <v>Weekday</v>
      </c>
      <c r="I6372" t="str">
        <f>_xlfn.IFS(B6372&lt;=5,"Night (0-5)",B6372&lt;=9,"Morning peak (6-9)",B6372&lt;=15,"Midday (10-15)",B6372&lt;=19,"Evening peak (16-19)",TRUE,"Late evening (20-23)")</f>
        <v>Late evening (20-23)</v>
      </c>
    </row>
    <row r="6373" spans="1:9">
      <c r="A6373" s="32">
        <v>42087</v>
      </c>
      <c r="B6373">
        <v>22</v>
      </c>
      <c r="C6373">
        <v>4085</v>
      </c>
      <c r="D6373" t="s">
        <v>304</v>
      </c>
      <c r="E6373">
        <f>YEAR(A6373)</f>
        <v>2015</v>
      </c>
      <c r="F6373" s="33">
        <f>DATE(YEAR(A6373),MONTH(A6373),1)</f>
        <v>42064.0</v>
      </c>
      <c r="G6373" t="str">
        <f>CHOOSE(WEEKDAY(A6373,2),"Mon","Tue","Wed","Thu","Fri","Sat","Sun")</f>
        <v>Tue</v>
      </c>
      <c r="H6373" t="str">
        <f>IF(WEEKDAY(A6373,2)&gt;5,"Weekend","Weekday")</f>
        <v>Weekday</v>
      </c>
      <c r="I6373" t="str">
        <f>_xlfn.IFS(B6373&lt;=5,"Night (0-5)",B6373&lt;=9,"Morning peak (6-9)",B6373&lt;=15,"Midday (10-15)",B6373&lt;=19,"Evening peak (16-19)",TRUE,"Late evening (20-23)")</f>
        <v>Late evening (20-23)</v>
      </c>
    </row>
    <row r="6374" spans="1:9">
      <c r="A6374" s="32">
        <v>42087</v>
      </c>
      <c r="B6374">
        <v>23</v>
      </c>
      <c r="C6374">
        <v>3170</v>
      </c>
      <c r="D6374" t="s">
        <v>304</v>
      </c>
      <c r="E6374">
        <f>YEAR(A6374)</f>
        <v>2015</v>
      </c>
      <c r="F6374" s="33">
        <f>DATE(YEAR(A6374),MONTH(A6374),1)</f>
        <v>42064.0</v>
      </c>
      <c r="G6374" t="str">
        <f>CHOOSE(WEEKDAY(A6374,2),"Mon","Tue","Wed","Thu","Fri","Sat","Sun")</f>
        <v>Tue</v>
      </c>
      <c r="H6374" t="str">
        <f>IF(WEEKDAY(A6374,2)&gt;5,"Weekend","Weekday")</f>
        <v>Weekday</v>
      </c>
      <c r="I6374" t="str">
        <f>_xlfn.IFS(B6374&lt;=5,"Night (0-5)",B6374&lt;=9,"Morning peak (6-9)",B6374&lt;=15,"Midday (10-15)",B6374&lt;=19,"Evening peak (16-19)",TRUE,"Late evening (20-23)")</f>
        <v>Late evening (20-23)</v>
      </c>
    </row>
    <row r="6375" spans="1:9">
      <c r="A6375" s="32">
        <v>42088</v>
      </c>
      <c r="B6375">
        <v>0</v>
      </c>
      <c r="C6375">
        <v>1888</v>
      </c>
      <c r="D6375" t="s">
        <v>304</v>
      </c>
      <c r="E6375">
        <f>YEAR(A6375)</f>
        <v>2015</v>
      </c>
      <c r="F6375" s="33">
        <f>DATE(YEAR(A6375),MONTH(A6375),1)</f>
        <v>42064.0</v>
      </c>
      <c r="G6375" t="str">
        <f>CHOOSE(WEEKDAY(A6375,2),"Mon","Tue","Wed","Thu","Fri","Sat","Sun")</f>
        <v>Wed</v>
      </c>
      <c r="H6375" t="str">
        <f>IF(WEEKDAY(A6375,2)&gt;5,"Weekend","Weekday")</f>
        <v>Weekday</v>
      </c>
      <c r="I6375" t="str">
        <f>_xlfn.IFS(B6375&lt;=5,"Night (0-5)",B6375&lt;=9,"Morning peak (6-9)",B6375&lt;=15,"Midday (10-15)",B6375&lt;=19,"Evening peak (16-19)",TRUE,"Late evening (20-23)")</f>
        <v>Night (0-5)</v>
      </c>
    </row>
    <row r="6376" spans="1:9">
      <c r="A6376" s="32">
        <v>42088</v>
      </c>
      <c r="B6376">
        <v>1</v>
      </c>
      <c r="C6376">
        <v>1079</v>
      </c>
      <c r="D6376" t="s">
        <v>304</v>
      </c>
      <c r="E6376">
        <f>YEAR(A6376)</f>
        <v>2015</v>
      </c>
      <c r="F6376" s="33">
        <f>DATE(YEAR(A6376),MONTH(A6376),1)</f>
        <v>42064.0</v>
      </c>
      <c r="G6376" t="str">
        <f>CHOOSE(WEEKDAY(A6376,2),"Mon","Tue","Wed","Thu","Fri","Sat","Sun")</f>
        <v>Wed</v>
      </c>
      <c r="H6376" t="str">
        <f>IF(WEEKDAY(A6376,2)&gt;5,"Weekend","Weekday")</f>
        <v>Weekday</v>
      </c>
      <c r="I6376" t="str">
        <f>_xlfn.IFS(B6376&lt;=5,"Night (0-5)",B6376&lt;=9,"Morning peak (6-9)",B6376&lt;=15,"Midday (10-15)",B6376&lt;=19,"Evening peak (16-19)",TRUE,"Late evening (20-23)")</f>
        <v>Night (0-5)</v>
      </c>
    </row>
    <row r="6377" spans="1:9">
      <c r="A6377" s="32">
        <v>42088</v>
      </c>
      <c r="B6377">
        <v>2</v>
      </c>
      <c r="C6377">
        <v>615</v>
      </c>
      <c r="D6377" t="s">
        <v>304</v>
      </c>
      <c r="E6377">
        <f>YEAR(A6377)</f>
        <v>2015</v>
      </c>
      <c r="F6377" s="33">
        <f>DATE(YEAR(A6377),MONTH(A6377),1)</f>
        <v>42064.0</v>
      </c>
      <c r="G6377" t="str">
        <f>CHOOSE(WEEKDAY(A6377,2),"Mon","Tue","Wed","Thu","Fri","Sat","Sun")</f>
        <v>Wed</v>
      </c>
      <c r="H6377" t="str">
        <f>IF(WEEKDAY(A6377,2)&gt;5,"Weekend","Weekday")</f>
        <v>Weekday</v>
      </c>
      <c r="I6377" t="str">
        <f>_xlfn.IFS(B6377&lt;=5,"Night (0-5)",B6377&lt;=9,"Morning peak (6-9)",B6377&lt;=15,"Midday (10-15)",B6377&lt;=19,"Evening peak (16-19)",TRUE,"Late evening (20-23)")</f>
        <v>Night (0-5)</v>
      </c>
    </row>
    <row r="6378" spans="1:9">
      <c r="A6378" s="32">
        <v>42088</v>
      </c>
      <c r="B6378">
        <v>3</v>
      </c>
      <c r="C6378">
        <v>420</v>
      </c>
      <c r="D6378" t="s">
        <v>304</v>
      </c>
      <c r="E6378">
        <f>YEAR(A6378)</f>
        <v>2015</v>
      </c>
      <c r="F6378" s="33">
        <f>DATE(YEAR(A6378),MONTH(A6378),1)</f>
        <v>42064.0</v>
      </c>
      <c r="G6378" t="str">
        <f>CHOOSE(WEEKDAY(A6378,2),"Mon","Tue","Wed","Thu","Fri","Sat","Sun")</f>
        <v>Wed</v>
      </c>
      <c r="H6378" t="str">
        <f>IF(WEEKDAY(A6378,2)&gt;5,"Weekend","Weekday")</f>
        <v>Weekday</v>
      </c>
      <c r="I6378" t="str">
        <f>_xlfn.IFS(B6378&lt;=5,"Night (0-5)",B6378&lt;=9,"Morning peak (6-9)",B6378&lt;=15,"Midday (10-15)",B6378&lt;=19,"Evening peak (16-19)",TRUE,"Late evening (20-23)")</f>
        <v>Night (0-5)</v>
      </c>
    </row>
    <row r="6379" spans="1:9">
      <c r="A6379" s="32">
        <v>42088</v>
      </c>
      <c r="B6379">
        <v>4</v>
      </c>
      <c r="C6379">
        <v>579</v>
      </c>
      <c r="D6379" t="s">
        <v>304</v>
      </c>
      <c r="E6379">
        <f>YEAR(A6379)</f>
        <v>2015</v>
      </c>
      <c r="F6379" s="33">
        <f>DATE(YEAR(A6379),MONTH(A6379),1)</f>
        <v>42064.0</v>
      </c>
      <c r="G6379" t="str">
        <f>CHOOSE(WEEKDAY(A6379,2),"Mon","Tue","Wed","Thu","Fri","Sat","Sun")</f>
        <v>Wed</v>
      </c>
      <c r="H6379" t="str">
        <f>IF(WEEKDAY(A6379,2)&gt;5,"Weekend","Weekday")</f>
        <v>Weekday</v>
      </c>
      <c r="I6379" t="str">
        <f>_xlfn.IFS(B6379&lt;=5,"Night (0-5)",B6379&lt;=9,"Morning peak (6-9)",B6379&lt;=15,"Midday (10-15)",B6379&lt;=19,"Evening peak (16-19)",TRUE,"Late evening (20-23)")</f>
        <v>Night (0-5)</v>
      </c>
    </row>
    <row r="6380" spans="1:9">
      <c r="A6380" s="32">
        <v>42088</v>
      </c>
      <c r="B6380">
        <v>5</v>
      </c>
      <c r="C6380">
        <v>940</v>
      </c>
      <c r="D6380" t="s">
        <v>304</v>
      </c>
      <c r="E6380">
        <f>YEAR(A6380)</f>
        <v>2015</v>
      </c>
      <c r="F6380" s="33">
        <f>DATE(YEAR(A6380),MONTH(A6380),1)</f>
        <v>42064.0</v>
      </c>
      <c r="G6380" t="str">
        <f>CHOOSE(WEEKDAY(A6380,2),"Mon","Tue","Wed","Thu","Fri","Sat","Sun")</f>
        <v>Wed</v>
      </c>
      <c r="H6380" t="str">
        <f>IF(WEEKDAY(A6380,2)&gt;5,"Weekend","Weekday")</f>
        <v>Weekday</v>
      </c>
      <c r="I6380" t="str">
        <f>_xlfn.IFS(B6380&lt;=5,"Night (0-5)",B6380&lt;=9,"Morning peak (6-9)",B6380&lt;=15,"Midday (10-15)",B6380&lt;=19,"Evening peak (16-19)",TRUE,"Late evening (20-23)")</f>
        <v>Night (0-5)</v>
      </c>
    </row>
    <row r="6381" spans="1:9">
      <c r="A6381" s="32">
        <v>42088</v>
      </c>
      <c r="B6381">
        <v>6</v>
      </c>
      <c r="C6381">
        <v>1738</v>
      </c>
      <c r="D6381" t="s">
        <v>304</v>
      </c>
      <c r="E6381">
        <f>YEAR(A6381)</f>
        <v>2015</v>
      </c>
      <c r="F6381" s="33">
        <f>DATE(YEAR(A6381),MONTH(A6381),1)</f>
        <v>42064.0</v>
      </c>
      <c r="G6381" t="str">
        <f>CHOOSE(WEEKDAY(A6381,2),"Mon","Tue","Wed","Thu","Fri","Sat","Sun")</f>
        <v>Wed</v>
      </c>
      <c r="H6381" t="str">
        <f>IF(WEEKDAY(A6381,2)&gt;5,"Weekend","Weekday")</f>
        <v>Weekday</v>
      </c>
      <c r="I6381" t="str">
        <f>_xlfn.IFS(B6381&lt;=5,"Night (0-5)",B6381&lt;=9,"Morning peak (6-9)",B6381&lt;=15,"Midday (10-15)",B6381&lt;=19,"Evening peak (16-19)",TRUE,"Late evening (20-23)")</f>
        <v>Morning peak (6-9)</v>
      </c>
    </row>
    <row r="6382" spans="1:9">
      <c r="A6382" s="32">
        <v>42088</v>
      </c>
      <c r="B6382">
        <v>7</v>
      </c>
      <c r="C6382">
        <v>2744</v>
      </c>
      <c r="D6382" t="s">
        <v>304</v>
      </c>
      <c r="E6382">
        <f>YEAR(A6382)</f>
        <v>2015</v>
      </c>
      <c r="F6382" s="33">
        <f>DATE(YEAR(A6382),MONTH(A6382),1)</f>
        <v>42064.0</v>
      </c>
      <c r="G6382" t="str">
        <f>CHOOSE(WEEKDAY(A6382,2),"Mon","Tue","Wed","Thu","Fri","Sat","Sun")</f>
        <v>Wed</v>
      </c>
      <c r="H6382" t="str">
        <f>IF(WEEKDAY(A6382,2)&gt;5,"Weekend","Weekday")</f>
        <v>Weekday</v>
      </c>
      <c r="I6382" t="str">
        <f>_xlfn.IFS(B6382&lt;=5,"Night (0-5)",B6382&lt;=9,"Morning peak (6-9)",B6382&lt;=15,"Midday (10-15)",B6382&lt;=19,"Evening peak (16-19)",TRUE,"Late evening (20-23)")</f>
        <v>Morning peak (6-9)</v>
      </c>
    </row>
    <row r="6383" spans="1:9">
      <c r="A6383" s="32">
        <v>42088</v>
      </c>
      <c r="B6383">
        <v>8</v>
      </c>
      <c r="C6383">
        <v>3617</v>
      </c>
      <c r="D6383" t="s">
        <v>304</v>
      </c>
      <c r="E6383">
        <f>YEAR(A6383)</f>
        <v>2015</v>
      </c>
      <c r="F6383" s="33">
        <f>DATE(YEAR(A6383),MONTH(A6383),1)</f>
        <v>42064.0</v>
      </c>
      <c r="G6383" t="str">
        <f>CHOOSE(WEEKDAY(A6383,2),"Mon","Tue","Wed","Thu","Fri","Sat","Sun")</f>
        <v>Wed</v>
      </c>
      <c r="H6383" t="str">
        <f>IF(WEEKDAY(A6383,2)&gt;5,"Weekend","Weekday")</f>
        <v>Weekday</v>
      </c>
      <c r="I6383" t="str">
        <f>_xlfn.IFS(B6383&lt;=5,"Night (0-5)",B6383&lt;=9,"Morning peak (6-9)",B6383&lt;=15,"Midday (10-15)",B6383&lt;=19,"Evening peak (16-19)",TRUE,"Late evening (20-23)")</f>
        <v>Morning peak (6-9)</v>
      </c>
    </row>
    <row r="6384" spans="1:9">
      <c r="A6384" s="32">
        <v>42088</v>
      </c>
      <c r="B6384">
        <v>9</v>
      </c>
      <c r="C6384">
        <v>3436</v>
      </c>
      <c r="D6384" t="s">
        <v>304</v>
      </c>
      <c r="E6384">
        <f>YEAR(A6384)</f>
        <v>2015</v>
      </c>
      <c r="F6384" s="33">
        <f>DATE(YEAR(A6384),MONTH(A6384),1)</f>
        <v>42064.0</v>
      </c>
      <c r="G6384" t="str">
        <f>CHOOSE(WEEKDAY(A6384,2),"Mon","Tue","Wed","Thu","Fri","Sat","Sun")</f>
        <v>Wed</v>
      </c>
      <c r="H6384" t="str">
        <f>IF(WEEKDAY(A6384,2)&gt;5,"Weekend","Weekday")</f>
        <v>Weekday</v>
      </c>
      <c r="I6384" t="str">
        <f>_xlfn.IFS(B6384&lt;=5,"Night (0-5)",B6384&lt;=9,"Morning peak (6-9)",B6384&lt;=15,"Midday (10-15)",B6384&lt;=19,"Evening peak (16-19)",TRUE,"Late evening (20-23)")</f>
        <v>Morning peak (6-9)</v>
      </c>
    </row>
    <row r="6385" spans="1:9">
      <c r="A6385" s="32">
        <v>42088</v>
      </c>
      <c r="B6385">
        <v>10</v>
      </c>
      <c r="C6385">
        <v>2587</v>
      </c>
      <c r="D6385" t="s">
        <v>304</v>
      </c>
      <c r="E6385">
        <f>YEAR(A6385)</f>
        <v>2015</v>
      </c>
      <c r="F6385" s="33">
        <f>DATE(YEAR(A6385),MONTH(A6385),1)</f>
        <v>42064.0</v>
      </c>
      <c r="G6385" t="str">
        <f>CHOOSE(WEEKDAY(A6385,2),"Mon","Tue","Wed","Thu","Fri","Sat","Sun")</f>
        <v>Wed</v>
      </c>
      <c r="H6385" t="str">
        <f>IF(WEEKDAY(A6385,2)&gt;5,"Weekend","Weekday")</f>
        <v>Weekday</v>
      </c>
      <c r="I6385" t="str">
        <f>_xlfn.IFS(B6385&lt;=5,"Night (0-5)",B6385&lt;=9,"Morning peak (6-9)",B6385&lt;=15,"Midday (10-15)",B6385&lt;=19,"Evening peak (16-19)",TRUE,"Late evening (20-23)")</f>
        <v>Midday (10-15)</v>
      </c>
    </row>
    <row r="6386" spans="1:9">
      <c r="A6386" s="32">
        <v>42088</v>
      </c>
      <c r="B6386">
        <v>11</v>
      </c>
      <c r="C6386">
        <v>2271</v>
      </c>
      <c r="D6386" t="s">
        <v>304</v>
      </c>
      <c r="E6386">
        <f>YEAR(A6386)</f>
        <v>2015</v>
      </c>
      <c r="F6386" s="33">
        <f>DATE(YEAR(A6386),MONTH(A6386),1)</f>
        <v>42064.0</v>
      </c>
      <c r="G6386" t="str">
        <f>CHOOSE(WEEKDAY(A6386,2),"Mon","Tue","Wed","Thu","Fri","Sat","Sun")</f>
        <v>Wed</v>
      </c>
      <c r="H6386" t="str">
        <f>IF(WEEKDAY(A6386,2)&gt;5,"Weekend","Weekday")</f>
        <v>Weekday</v>
      </c>
      <c r="I6386" t="str">
        <f>_xlfn.IFS(B6386&lt;=5,"Night (0-5)",B6386&lt;=9,"Morning peak (6-9)",B6386&lt;=15,"Midday (10-15)",B6386&lt;=19,"Evening peak (16-19)",TRUE,"Late evening (20-23)")</f>
        <v>Midday (10-15)</v>
      </c>
    </row>
    <row r="6387" spans="1:9">
      <c r="A6387" s="32">
        <v>42088</v>
      </c>
      <c r="B6387">
        <v>12</v>
      </c>
      <c r="C6387">
        <v>2393</v>
      </c>
      <c r="D6387" t="s">
        <v>304</v>
      </c>
      <c r="E6387">
        <f>YEAR(A6387)</f>
        <v>2015</v>
      </c>
      <c r="F6387" s="33">
        <f>DATE(YEAR(A6387),MONTH(A6387),1)</f>
        <v>42064.0</v>
      </c>
      <c r="G6387" t="str">
        <f>CHOOSE(WEEKDAY(A6387,2),"Mon","Tue","Wed","Thu","Fri","Sat","Sun")</f>
        <v>Wed</v>
      </c>
      <c r="H6387" t="str">
        <f>IF(WEEKDAY(A6387,2)&gt;5,"Weekend","Weekday")</f>
        <v>Weekday</v>
      </c>
      <c r="I6387" t="str">
        <f>_xlfn.IFS(B6387&lt;=5,"Night (0-5)",B6387&lt;=9,"Morning peak (6-9)",B6387&lt;=15,"Midday (10-15)",B6387&lt;=19,"Evening peak (16-19)",TRUE,"Late evening (20-23)")</f>
        <v>Midday (10-15)</v>
      </c>
    </row>
    <row r="6388" spans="1:9">
      <c r="A6388" s="32">
        <v>42088</v>
      </c>
      <c r="B6388">
        <v>13</v>
      </c>
      <c r="C6388">
        <v>2386</v>
      </c>
      <c r="D6388" t="s">
        <v>304</v>
      </c>
      <c r="E6388">
        <f>YEAR(A6388)</f>
        <v>2015</v>
      </c>
      <c r="F6388" s="33">
        <f>DATE(YEAR(A6388),MONTH(A6388),1)</f>
        <v>42064.0</v>
      </c>
      <c r="G6388" t="str">
        <f>CHOOSE(WEEKDAY(A6388,2),"Mon","Tue","Wed","Thu","Fri","Sat","Sun")</f>
        <v>Wed</v>
      </c>
      <c r="H6388" t="str">
        <f>IF(WEEKDAY(A6388,2)&gt;5,"Weekend","Weekday")</f>
        <v>Weekday</v>
      </c>
      <c r="I6388" t="str">
        <f>_xlfn.IFS(B6388&lt;=5,"Night (0-5)",B6388&lt;=9,"Morning peak (6-9)",B6388&lt;=15,"Midday (10-15)",B6388&lt;=19,"Evening peak (16-19)",TRUE,"Late evening (20-23)")</f>
        <v>Midday (10-15)</v>
      </c>
    </row>
    <row r="6389" spans="1:9">
      <c r="A6389" s="32">
        <v>42088</v>
      </c>
      <c r="B6389">
        <v>14</v>
      </c>
      <c r="C6389">
        <v>2711</v>
      </c>
      <c r="D6389" t="s">
        <v>304</v>
      </c>
      <c r="E6389">
        <f>YEAR(A6389)</f>
        <v>2015</v>
      </c>
      <c r="F6389" s="33">
        <f>DATE(YEAR(A6389),MONTH(A6389),1)</f>
        <v>42064.0</v>
      </c>
      <c r="G6389" t="str">
        <f>CHOOSE(WEEKDAY(A6389,2),"Mon","Tue","Wed","Thu","Fri","Sat","Sun")</f>
        <v>Wed</v>
      </c>
      <c r="H6389" t="str">
        <f>IF(WEEKDAY(A6389,2)&gt;5,"Weekend","Weekday")</f>
        <v>Weekday</v>
      </c>
      <c r="I6389" t="str">
        <f>_xlfn.IFS(B6389&lt;=5,"Night (0-5)",B6389&lt;=9,"Morning peak (6-9)",B6389&lt;=15,"Midday (10-15)",B6389&lt;=19,"Evening peak (16-19)",TRUE,"Late evening (20-23)")</f>
        <v>Midday (10-15)</v>
      </c>
    </row>
    <row r="6390" spans="1:9">
      <c r="A6390" s="32">
        <v>42088</v>
      </c>
      <c r="B6390">
        <v>15</v>
      </c>
      <c r="C6390">
        <v>3838</v>
      </c>
      <c r="D6390" t="s">
        <v>304</v>
      </c>
      <c r="E6390">
        <f>YEAR(A6390)</f>
        <v>2015</v>
      </c>
      <c r="F6390" s="33">
        <f>DATE(YEAR(A6390),MONTH(A6390),1)</f>
        <v>42064.0</v>
      </c>
      <c r="G6390" t="str">
        <f>CHOOSE(WEEKDAY(A6390,2),"Mon","Tue","Wed","Thu","Fri","Sat","Sun")</f>
        <v>Wed</v>
      </c>
      <c r="H6390" t="str">
        <f>IF(WEEKDAY(A6390,2)&gt;5,"Weekend","Weekday")</f>
        <v>Weekday</v>
      </c>
      <c r="I6390" t="str">
        <f>_xlfn.IFS(B6390&lt;=5,"Night (0-5)",B6390&lt;=9,"Morning peak (6-9)",B6390&lt;=15,"Midday (10-15)",B6390&lt;=19,"Evening peak (16-19)",TRUE,"Late evening (20-23)")</f>
        <v>Midday (10-15)</v>
      </c>
    </row>
    <row r="6391" spans="1:9">
      <c r="A6391" s="32">
        <v>42088</v>
      </c>
      <c r="B6391">
        <v>16</v>
      </c>
      <c r="C6391">
        <v>4670</v>
      </c>
      <c r="D6391" t="s">
        <v>304</v>
      </c>
      <c r="E6391">
        <f>YEAR(A6391)</f>
        <v>2015</v>
      </c>
      <c r="F6391" s="33">
        <f>DATE(YEAR(A6391),MONTH(A6391),1)</f>
        <v>42064.0</v>
      </c>
      <c r="G6391" t="str">
        <f>CHOOSE(WEEKDAY(A6391,2),"Mon","Tue","Wed","Thu","Fri","Sat","Sun")</f>
        <v>Wed</v>
      </c>
      <c r="H6391" t="str">
        <f>IF(WEEKDAY(A6391,2)&gt;5,"Weekend","Weekday")</f>
        <v>Weekday</v>
      </c>
      <c r="I6391" t="str">
        <f>_xlfn.IFS(B6391&lt;=5,"Night (0-5)",B6391&lt;=9,"Morning peak (6-9)",B6391&lt;=15,"Midday (10-15)",B6391&lt;=19,"Evening peak (16-19)",TRUE,"Late evening (20-23)")</f>
        <v>Evening peak (16-19)</v>
      </c>
    </row>
    <row r="6392" spans="1:9">
      <c r="A6392" s="32">
        <v>42088</v>
      </c>
      <c r="B6392">
        <v>17</v>
      </c>
      <c r="C6392">
        <v>4929</v>
      </c>
      <c r="D6392" t="s">
        <v>304</v>
      </c>
      <c r="E6392">
        <f>YEAR(A6392)</f>
        <v>2015</v>
      </c>
      <c r="F6392" s="33">
        <f>DATE(YEAR(A6392),MONTH(A6392),1)</f>
        <v>42064.0</v>
      </c>
      <c r="G6392" t="str">
        <f>CHOOSE(WEEKDAY(A6392,2),"Mon","Tue","Wed","Thu","Fri","Sat","Sun")</f>
        <v>Wed</v>
      </c>
      <c r="H6392" t="str">
        <f>IF(WEEKDAY(A6392,2)&gt;5,"Weekend","Weekday")</f>
        <v>Weekday</v>
      </c>
      <c r="I6392" t="str">
        <f>_xlfn.IFS(B6392&lt;=5,"Night (0-5)",B6392&lt;=9,"Morning peak (6-9)",B6392&lt;=15,"Midday (10-15)",B6392&lt;=19,"Evening peak (16-19)",TRUE,"Late evening (20-23)")</f>
        <v>Evening peak (16-19)</v>
      </c>
    </row>
    <row r="6393" spans="1:9">
      <c r="A6393" s="32">
        <v>42088</v>
      </c>
      <c r="B6393">
        <v>18</v>
      </c>
      <c r="C6393">
        <v>5437</v>
      </c>
      <c r="D6393" t="s">
        <v>304</v>
      </c>
      <c r="E6393">
        <f>YEAR(A6393)</f>
        <v>2015</v>
      </c>
      <c r="F6393" s="33">
        <f>DATE(YEAR(A6393),MONTH(A6393),1)</f>
        <v>42064.0</v>
      </c>
      <c r="G6393" t="str">
        <f>CHOOSE(WEEKDAY(A6393,2),"Mon","Tue","Wed","Thu","Fri","Sat","Sun")</f>
        <v>Wed</v>
      </c>
      <c r="H6393" t="str">
        <f>IF(WEEKDAY(A6393,2)&gt;5,"Weekend","Weekday")</f>
        <v>Weekday</v>
      </c>
      <c r="I6393" t="str">
        <f>_xlfn.IFS(B6393&lt;=5,"Night (0-5)",B6393&lt;=9,"Morning peak (6-9)",B6393&lt;=15,"Midday (10-15)",B6393&lt;=19,"Evening peak (16-19)",TRUE,"Late evening (20-23)")</f>
        <v>Evening peak (16-19)</v>
      </c>
    </row>
    <row r="6394" spans="1:9">
      <c r="A6394" s="32">
        <v>42088</v>
      </c>
      <c r="B6394">
        <v>19</v>
      </c>
      <c r="C6394">
        <v>5971</v>
      </c>
      <c r="D6394" t="s">
        <v>304</v>
      </c>
      <c r="E6394">
        <f>YEAR(A6394)</f>
        <v>2015</v>
      </c>
      <c r="F6394" s="33">
        <f>DATE(YEAR(A6394),MONTH(A6394),1)</f>
        <v>42064.0</v>
      </c>
      <c r="G6394" t="str">
        <f>CHOOSE(WEEKDAY(A6394,2),"Mon","Tue","Wed","Thu","Fri","Sat","Sun")</f>
        <v>Wed</v>
      </c>
      <c r="H6394" t="str">
        <f>IF(WEEKDAY(A6394,2)&gt;5,"Weekend","Weekday")</f>
        <v>Weekday</v>
      </c>
      <c r="I6394" t="str">
        <f>_xlfn.IFS(B6394&lt;=5,"Night (0-5)",B6394&lt;=9,"Morning peak (6-9)",B6394&lt;=15,"Midday (10-15)",B6394&lt;=19,"Evening peak (16-19)",TRUE,"Late evening (20-23)")</f>
        <v>Evening peak (16-19)</v>
      </c>
    </row>
    <row r="6395" spans="1:9">
      <c r="A6395" s="32">
        <v>42088</v>
      </c>
      <c r="B6395">
        <v>20</v>
      </c>
      <c r="C6395">
        <v>5871</v>
      </c>
      <c r="D6395" t="s">
        <v>304</v>
      </c>
      <c r="E6395">
        <f>YEAR(A6395)</f>
        <v>2015</v>
      </c>
      <c r="F6395" s="33">
        <f>DATE(YEAR(A6395),MONTH(A6395),1)</f>
        <v>42064.0</v>
      </c>
      <c r="G6395" t="str">
        <f>CHOOSE(WEEKDAY(A6395,2),"Mon","Tue","Wed","Thu","Fri","Sat","Sun")</f>
        <v>Wed</v>
      </c>
      <c r="H6395" t="str">
        <f>IF(WEEKDAY(A6395,2)&gt;5,"Weekend","Weekday")</f>
        <v>Weekday</v>
      </c>
      <c r="I6395" t="str">
        <f>_xlfn.IFS(B6395&lt;=5,"Night (0-5)",B6395&lt;=9,"Morning peak (6-9)",B6395&lt;=15,"Midday (10-15)",B6395&lt;=19,"Evening peak (16-19)",TRUE,"Late evening (20-23)")</f>
        <v>Late evening (20-23)</v>
      </c>
    </row>
    <row r="6396" spans="1:9">
      <c r="A6396" s="32">
        <v>42088</v>
      </c>
      <c r="B6396">
        <v>21</v>
      </c>
      <c r="C6396">
        <v>5357</v>
      </c>
      <c r="D6396" t="s">
        <v>304</v>
      </c>
      <c r="E6396">
        <f>YEAR(A6396)</f>
        <v>2015</v>
      </c>
      <c r="F6396" s="33">
        <f>DATE(YEAR(A6396),MONTH(A6396),1)</f>
        <v>42064.0</v>
      </c>
      <c r="G6396" t="str">
        <f>CHOOSE(WEEKDAY(A6396,2),"Mon","Tue","Wed","Thu","Fri","Sat","Sun")</f>
        <v>Wed</v>
      </c>
      <c r="H6396" t="str">
        <f>IF(WEEKDAY(A6396,2)&gt;5,"Weekend","Weekday")</f>
        <v>Weekday</v>
      </c>
      <c r="I6396" t="str">
        <f>_xlfn.IFS(B6396&lt;=5,"Night (0-5)",B6396&lt;=9,"Morning peak (6-9)",B6396&lt;=15,"Midday (10-15)",B6396&lt;=19,"Evening peak (16-19)",TRUE,"Late evening (20-23)")</f>
        <v>Late evening (20-23)</v>
      </c>
    </row>
    <row r="6397" spans="1:9">
      <c r="A6397" s="32">
        <v>42088</v>
      </c>
      <c r="B6397">
        <v>22</v>
      </c>
      <c r="C6397">
        <v>4843</v>
      </c>
      <c r="D6397" t="s">
        <v>304</v>
      </c>
      <c r="E6397">
        <f>YEAR(A6397)</f>
        <v>2015</v>
      </c>
      <c r="F6397" s="33">
        <f>DATE(YEAR(A6397),MONTH(A6397),1)</f>
        <v>42064.0</v>
      </c>
      <c r="G6397" t="str">
        <f>CHOOSE(WEEKDAY(A6397,2),"Mon","Tue","Wed","Thu","Fri","Sat","Sun")</f>
        <v>Wed</v>
      </c>
      <c r="H6397" t="str">
        <f>IF(WEEKDAY(A6397,2)&gt;5,"Weekend","Weekday")</f>
        <v>Weekday</v>
      </c>
      <c r="I6397" t="str">
        <f>_xlfn.IFS(B6397&lt;=5,"Night (0-5)",B6397&lt;=9,"Morning peak (6-9)",B6397&lt;=15,"Midday (10-15)",B6397&lt;=19,"Evening peak (16-19)",TRUE,"Late evening (20-23)")</f>
        <v>Late evening (20-23)</v>
      </c>
    </row>
    <row r="6398" spans="1:9">
      <c r="A6398" s="32">
        <v>42088</v>
      </c>
      <c r="B6398">
        <v>23</v>
      </c>
      <c r="C6398">
        <v>3633</v>
      </c>
      <c r="D6398" t="s">
        <v>304</v>
      </c>
      <c r="E6398">
        <f>YEAR(A6398)</f>
        <v>2015</v>
      </c>
      <c r="F6398" s="33">
        <f>DATE(YEAR(A6398),MONTH(A6398),1)</f>
        <v>42064.0</v>
      </c>
      <c r="G6398" t="str">
        <f>CHOOSE(WEEKDAY(A6398,2),"Mon","Tue","Wed","Thu","Fri","Sat","Sun")</f>
        <v>Wed</v>
      </c>
      <c r="H6398" t="str">
        <f>IF(WEEKDAY(A6398,2)&gt;5,"Weekend","Weekday")</f>
        <v>Weekday</v>
      </c>
      <c r="I6398" t="str">
        <f>_xlfn.IFS(B6398&lt;=5,"Night (0-5)",B6398&lt;=9,"Morning peak (6-9)",B6398&lt;=15,"Midday (10-15)",B6398&lt;=19,"Evening peak (16-19)",TRUE,"Late evening (20-23)")</f>
        <v>Late evening (20-23)</v>
      </c>
    </row>
    <row r="6399" spans="1:9">
      <c r="A6399" s="32">
        <v>42089</v>
      </c>
      <c r="B6399">
        <v>0</v>
      </c>
      <c r="C6399">
        <v>2166</v>
      </c>
      <c r="D6399" t="s">
        <v>304</v>
      </c>
      <c r="E6399">
        <f>YEAR(A6399)</f>
        <v>2015</v>
      </c>
      <c r="F6399" s="33">
        <f>DATE(YEAR(A6399),MONTH(A6399),1)</f>
        <v>42064.0</v>
      </c>
      <c r="G6399" t="str">
        <f>CHOOSE(WEEKDAY(A6399,2),"Mon","Tue","Wed","Thu","Fri","Sat","Sun")</f>
        <v>Thu</v>
      </c>
      <c r="H6399" t="str">
        <f>IF(WEEKDAY(A6399,2)&gt;5,"Weekend","Weekday")</f>
        <v>Weekday</v>
      </c>
      <c r="I6399" t="str">
        <f>_xlfn.IFS(B6399&lt;=5,"Night (0-5)",B6399&lt;=9,"Morning peak (6-9)",B6399&lt;=15,"Midday (10-15)",B6399&lt;=19,"Evening peak (16-19)",TRUE,"Late evening (20-23)")</f>
        <v>Night (0-5)</v>
      </c>
    </row>
    <row r="6400" spans="1:9">
      <c r="A6400" s="32">
        <v>42089</v>
      </c>
      <c r="B6400">
        <v>1</v>
      </c>
      <c r="C6400">
        <v>1224</v>
      </c>
      <c r="D6400" t="s">
        <v>304</v>
      </c>
      <c r="E6400">
        <f>YEAR(A6400)</f>
        <v>2015</v>
      </c>
      <c r="F6400" s="33">
        <f>DATE(YEAR(A6400),MONTH(A6400),1)</f>
        <v>42064.0</v>
      </c>
      <c r="G6400" t="str">
        <f>CHOOSE(WEEKDAY(A6400,2),"Mon","Tue","Wed","Thu","Fri","Sat","Sun")</f>
        <v>Thu</v>
      </c>
      <c r="H6400" t="str">
        <f>IF(WEEKDAY(A6400,2)&gt;5,"Weekend","Weekday")</f>
        <v>Weekday</v>
      </c>
      <c r="I6400" t="str">
        <f>_xlfn.IFS(B6400&lt;=5,"Night (0-5)",B6400&lt;=9,"Morning peak (6-9)",B6400&lt;=15,"Midday (10-15)",B6400&lt;=19,"Evening peak (16-19)",TRUE,"Late evening (20-23)")</f>
        <v>Night (0-5)</v>
      </c>
    </row>
    <row r="6401" spans="1:9">
      <c r="A6401" s="32">
        <v>42089</v>
      </c>
      <c r="B6401">
        <v>2</v>
      </c>
      <c r="C6401">
        <v>692</v>
      </c>
      <c r="D6401" t="s">
        <v>304</v>
      </c>
      <c r="E6401">
        <f>YEAR(A6401)</f>
        <v>2015</v>
      </c>
      <c r="F6401" s="33">
        <f>DATE(YEAR(A6401),MONTH(A6401),1)</f>
        <v>42064.0</v>
      </c>
      <c r="G6401" t="str">
        <f>CHOOSE(WEEKDAY(A6401,2),"Mon","Tue","Wed","Thu","Fri","Sat","Sun")</f>
        <v>Thu</v>
      </c>
      <c r="H6401" t="str">
        <f>IF(WEEKDAY(A6401,2)&gt;5,"Weekend","Weekday")</f>
        <v>Weekday</v>
      </c>
      <c r="I6401" t="str">
        <f>_xlfn.IFS(B6401&lt;=5,"Night (0-5)",B6401&lt;=9,"Morning peak (6-9)",B6401&lt;=15,"Midday (10-15)",B6401&lt;=19,"Evening peak (16-19)",TRUE,"Late evening (20-23)")</f>
        <v>Night (0-5)</v>
      </c>
    </row>
    <row r="6402" spans="1:9">
      <c r="A6402" s="32">
        <v>42089</v>
      </c>
      <c r="B6402">
        <v>3</v>
      </c>
      <c r="C6402">
        <v>500</v>
      </c>
      <c r="D6402" t="s">
        <v>304</v>
      </c>
      <c r="E6402">
        <f>YEAR(A6402)</f>
        <v>2015</v>
      </c>
      <c r="F6402" s="33">
        <f>DATE(YEAR(A6402),MONTH(A6402),1)</f>
        <v>42064.0</v>
      </c>
      <c r="G6402" t="str">
        <f>CHOOSE(WEEKDAY(A6402,2),"Mon","Tue","Wed","Thu","Fri","Sat","Sun")</f>
        <v>Thu</v>
      </c>
      <c r="H6402" t="str">
        <f>IF(WEEKDAY(A6402,2)&gt;5,"Weekend","Weekday")</f>
        <v>Weekday</v>
      </c>
      <c r="I6402" t="str">
        <f>_xlfn.IFS(B6402&lt;=5,"Night (0-5)",B6402&lt;=9,"Morning peak (6-9)",B6402&lt;=15,"Midday (10-15)",B6402&lt;=19,"Evening peak (16-19)",TRUE,"Late evening (20-23)")</f>
        <v>Night (0-5)</v>
      </c>
    </row>
    <row r="6403" spans="1:9">
      <c r="A6403" s="32">
        <v>42089</v>
      </c>
      <c r="B6403">
        <v>4</v>
      </c>
      <c r="C6403">
        <v>598</v>
      </c>
      <c r="D6403" t="s">
        <v>304</v>
      </c>
      <c r="E6403">
        <f>YEAR(A6403)</f>
        <v>2015</v>
      </c>
      <c r="F6403" s="33">
        <f>DATE(YEAR(A6403),MONTH(A6403),1)</f>
        <v>42064.0</v>
      </c>
      <c r="G6403" t="str">
        <f>CHOOSE(WEEKDAY(A6403,2),"Mon","Tue","Wed","Thu","Fri","Sat","Sun")</f>
        <v>Thu</v>
      </c>
      <c r="H6403" t="str">
        <f>IF(WEEKDAY(A6403,2)&gt;5,"Weekend","Weekday")</f>
        <v>Weekday</v>
      </c>
      <c r="I6403" t="str">
        <f>_xlfn.IFS(B6403&lt;=5,"Night (0-5)",B6403&lt;=9,"Morning peak (6-9)",B6403&lt;=15,"Midday (10-15)",B6403&lt;=19,"Evening peak (16-19)",TRUE,"Late evening (20-23)")</f>
        <v>Night (0-5)</v>
      </c>
    </row>
    <row r="6404" spans="1:9">
      <c r="A6404" s="32">
        <v>42089</v>
      </c>
      <c r="B6404">
        <v>5</v>
      </c>
      <c r="C6404">
        <v>1019</v>
      </c>
      <c r="D6404" t="s">
        <v>304</v>
      </c>
      <c r="E6404">
        <f>YEAR(A6404)</f>
        <v>2015</v>
      </c>
      <c r="F6404" s="33">
        <f>DATE(YEAR(A6404),MONTH(A6404),1)</f>
        <v>42064.0</v>
      </c>
      <c r="G6404" t="str">
        <f>CHOOSE(WEEKDAY(A6404,2),"Mon","Tue","Wed","Thu","Fri","Sat","Sun")</f>
        <v>Thu</v>
      </c>
      <c r="H6404" t="str">
        <f>IF(WEEKDAY(A6404,2)&gt;5,"Weekend","Weekday")</f>
        <v>Weekday</v>
      </c>
      <c r="I6404" t="str">
        <f>_xlfn.IFS(B6404&lt;=5,"Night (0-5)",B6404&lt;=9,"Morning peak (6-9)",B6404&lt;=15,"Midday (10-15)",B6404&lt;=19,"Evening peak (16-19)",TRUE,"Late evening (20-23)")</f>
        <v>Night (0-5)</v>
      </c>
    </row>
    <row r="6405" spans="1:9">
      <c r="A6405" s="32">
        <v>42089</v>
      </c>
      <c r="B6405">
        <v>6</v>
      </c>
      <c r="C6405">
        <v>1891</v>
      </c>
      <c r="D6405" t="s">
        <v>304</v>
      </c>
      <c r="E6405">
        <f>YEAR(A6405)</f>
        <v>2015</v>
      </c>
      <c r="F6405" s="33">
        <f>DATE(YEAR(A6405),MONTH(A6405),1)</f>
        <v>42064.0</v>
      </c>
      <c r="G6405" t="str">
        <f>CHOOSE(WEEKDAY(A6405,2),"Mon","Tue","Wed","Thu","Fri","Sat","Sun")</f>
        <v>Thu</v>
      </c>
      <c r="H6405" t="str">
        <f>IF(WEEKDAY(A6405,2)&gt;5,"Weekend","Weekday")</f>
        <v>Weekday</v>
      </c>
      <c r="I6405" t="str">
        <f>_xlfn.IFS(B6405&lt;=5,"Night (0-5)",B6405&lt;=9,"Morning peak (6-9)",B6405&lt;=15,"Midday (10-15)",B6405&lt;=19,"Evening peak (16-19)",TRUE,"Late evening (20-23)")</f>
        <v>Morning peak (6-9)</v>
      </c>
    </row>
    <row r="6406" spans="1:9">
      <c r="A6406" s="32">
        <v>42089</v>
      </c>
      <c r="B6406">
        <v>7</v>
      </c>
      <c r="C6406">
        <v>3041</v>
      </c>
      <c r="D6406" t="s">
        <v>304</v>
      </c>
      <c r="E6406">
        <f>YEAR(A6406)</f>
        <v>2015</v>
      </c>
      <c r="F6406" s="33">
        <f>DATE(YEAR(A6406),MONTH(A6406),1)</f>
        <v>42064.0</v>
      </c>
      <c r="G6406" t="str">
        <f>CHOOSE(WEEKDAY(A6406,2),"Mon","Tue","Wed","Thu","Fri","Sat","Sun")</f>
        <v>Thu</v>
      </c>
      <c r="H6406" t="str">
        <f>IF(WEEKDAY(A6406,2)&gt;5,"Weekend","Weekday")</f>
        <v>Weekday</v>
      </c>
      <c r="I6406" t="str">
        <f>_xlfn.IFS(B6406&lt;=5,"Night (0-5)",B6406&lt;=9,"Morning peak (6-9)",B6406&lt;=15,"Midday (10-15)",B6406&lt;=19,"Evening peak (16-19)",TRUE,"Late evening (20-23)")</f>
        <v>Morning peak (6-9)</v>
      </c>
    </row>
    <row r="6407" spans="1:9">
      <c r="A6407" s="32">
        <v>42089</v>
      </c>
      <c r="B6407">
        <v>8</v>
      </c>
      <c r="C6407">
        <v>3957</v>
      </c>
      <c r="D6407" t="s">
        <v>304</v>
      </c>
      <c r="E6407">
        <f>YEAR(A6407)</f>
        <v>2015</v>
      </c>
      <c r="F6407" s="33">
        <f>DATE(YEAR(A6407),MONTH(A6407),1)</f>
        <v>42064.0</v>
      </c>
      <c r="G6407" t="str">
        <f>CHOOSE(WEEKDAY(A6407,2),"Mon","Tue","Wed","Thu","Fri","Sat","Sun")</f>
        <v>Thu</v>
      </c>
      <c r="H6407" t="str">
        <f>IF(WEEKDAY(A6407,2)&gt;5,"Weekend","Weekday")</f>
        <v>Weekday</v>
      </c>
      <c r="I6407" t="str">
        <f>_xlfn.IFS(B6407&lt;=5,"Night (0-5)",B6407&lt;=9,"Morning peak (6-9)",B6407&lt;=15,"Midday (10-15)",B6407&lt;=19,"Evening peak (16-19)",TRUE,"Late evening (20-23)")</f>
        <v>Morning peak (6-9)</v>
      </c>
    </row>
    <row r="6408" spans="1:9">
      <c r="A6408" s="32">
        <v>42089</v>
      </c>
      <c r="B6408">
        <v>9</v>
      </c>
      <c r="C6408">
        <v>3885</v>
      </c>
      <c r="D6408" t="s">
        <v>304</v>
      </c>
      <c r="E6408">
        <f>YEAR(A6408)</f>
        <v>2015</v>
      </c>
      <c r="F6408" s="33">
        <f>DATE(YEAR(A6408),MONTH(A6408),1)</f>
        <v>42064.0</v>
      </c>
      <c r="G6408" t="str">
        <f>CHOOSE(WEEKDAY(A6408,2),"Mon","Tue","Wed","Thu","Fri","Sat","Sun")</f>
        <v>Thu</v>
      </c>
      <c r="H6408" t="str">
        <f>IF(WEEKDAY(A6408,2)&gt;5,"Weekend","Weekday")</f>
        <v>Weekday</v>
      </c>
      <c r="I6408" t="str">
        <f>_xlfn.IFS(B6408&lt;=5,"Night (0-5)",B6408&lt;=9,"Morning peak (6-9)",B6408&lt;=15,"Midday (10-15)",B6408&lt;=19,"Evening peak (16-19)",TRUE,"Late evening (20-23)")</f>
        <v>Morning peak (6-9)</v>
      </c>
    </row>
    <row r="6409" spans="1:9">
      <c r="A6409" s="32">
        <v>42089</v>
      </c>
      <c r="B6409">
        <v>10</v>
      </c>
      <c r="C6409">
        <v>3041</v>
      </c>
      <c r="D6409" t="s">
        <v>304</v>
      </c>
      <c r="E6409">
        <f>YEAR(A6409)</f>
        <v>2015</v>
      </c>
      <c r="F6409" s="33">
        <f>DATE(YEAR(A6409),MONTH(A6409),1)</f>
        <v>42064.0</v>
      </c>
      <c r="G6409" t="str">
        <f>CHOOSE(WEEKDAY(A6409,2),"Mon","Tue","Wed","Thu","Fri","Sat","Sun")</f>
        <v>Thu</v>
      </c>
      <c r="H6409" t="str">
        <f>IF(WEEKDAY(A6409,2)&gt;5,"Weekend","Weekday")</f>
        <v>Weekday</v>
      </c>
      <c r="I6409" t="str">
        <f>_xlfn.IFS(B6409&lt;=5,"Night (0-5)",B6409&lt;=9,"Morning peak (6-9)",B6409&lt;=15,"Midday (10-15)",B6409&lt;=19,"Evening peak (16-19)",TRUE,"Late evening (20-23)")</f>
        <v>Midday (10-15)</v>
      </c>
    </row>
    <row r="6410" spans="1:9">
      <c r="A6410" s="32">
        <v>42089</v>
      </c>
      <c r="B6410">
        <v>11</v>
      </c>
      <c r="C6410">
        <v>2683</v>
      </c>
      <c r="D6410" t="s">
        <v>304</v>
      </c>
      <c r="E6410">
        <f>YEAR(A6410)</f>
        <v>2015</v>
      </c>
      <c r="F6410" s="33">
        <f>DATE(YEAR(A6410),MONTH(A6410),1)</f>
        <v>42064.0</v>
      </c>
      <c r="G6410" t="str">
        <f>CHOOSE(WEEKDAY(A6410,2),"Mon","Tue","Wed","Thu","Fri","Sat","Sun")</f>
        <v>Thu</v>
      </c>
      <c r="H6410" t="str">
        <f>IF(WEEKDAY(A6410,2)&gt;5,"Weekend","Weekday")</f>
        <v>Weekday</v>
      </c>
      <c r="I6410" t="str">
        <f>_xlfn.IFS(B6410&lt;=5,"Night (0-5)",B6410&lt;=9,"Morning peak (6-9)",B6410&lt;=15,"Midday (10-15)",B6410&lt;=19,"Evening peak (16-19)",TRUE,"Late evening (20-23)")</f>
        <v>Midday (10-15)</v>
      </c>
    </row>
    <row r="6411" spans="1:9">
      <c r="A6411" s="32">
        <v>42089</v>
      </c>
      <c r="B6411">
        <v>12</v>
      </c>
      <c r="C6411">
        <v>3086</v>
      </c>
      <c r="D6411" t="s">
        <v>304</v>
      </c>
      <c r="E6411">
        <f>YEAR(A6411)</f>
        <v>2015</v>
      </c>
      <c r="F6411" s="33">
        <f>DATE(YEAR(A6411),MONTH(A6411),1)</f>
        <v>42064.0</v>
      </c>
      <c r="G6411" t="str">
        <f>CHOOSE(WEEKDAY(A6411,2),"Mon","Tue","Wed","Thu","Fri","Sat","Sun")</f>
        <v>Thu</v>
      </c>
      <c r="H6411" t="str">
        <f>IF(WEEKDAY(A6411,2)&gt;5,"Weekend","Weekday")</f>
        <v>Weekday</v>
      </c>
      <c r="I6411" t="str">
        <f>_xlfn.IFS(B6411&lt;=5,"Night (0-5)",B6411&lt;=9,"Morning peak (6-9)",B6411&lt;=15,"Midday (10-15)",B6411&lt;=19,"Evening peak (16-19)",TRUE,"Late evening (20-23)")</f>
        <v>Midday (10-15)</v>
      </c>
    </row>
    <row r="6412" spans="1:9">
      <c r="A6412" s="32">
        <v>42089</v>
      </c>
      <c r="B6412">
        <v>13</v>
      </c>
      <c r="C6412">
        <v>2781</v>
      </c>
      <c r="D6412" t="s">
        <v>304</v>
      </c>
      <c r="E6412">
        <f>YEAR(A6412)</f>
        <v>2015</v>
      </c>
      <c r="F6412" s="33">
        <f>DATE(YEAR(A6412),MONTH(A6412),1)</f>
        <v>42064.0</v>
      </c>
      <c r="G6412" t="str">
        <f>CHOOSE(WEEKDAY(A6412,2),"Mon","Tue","Wed","Thu","Fri","Sat","Sun")</f>
        <v>Thu</v>
      </c>
      <c r="H6412" t="str">
        <f>IF(WEEKDAY(A6412,2)&gt;5,"Weekend","Weekday")</f>
        <v>Weekday</v>
      </c>
      <c r="I6412" t="str">
        <f>_xlfn.IFS(B6412&lt;=5,"Night (0-5)",B6412&lt;=9,"Morning peak (6-9)",B6412&lt;=15,"Midday (10-15)",B6412&lt;=19,"Evening peak (16-19)",TRUE,"Late evening (20-23)")</f>
        <v>Midday (10-15)</v>
      </c>
    </row>
    <row r="6413" spans="1:9">
      <c r="A6413" s="32">
        <v>42089</v>
      </c>
      <c r="B6413">
        <v>14</v>
      </c>
      <c r="C6413">
        <v>3162</v>
      </c>
      <c r="D6413" t="s">
        <v>304</v>
      </c>
      <c r="E6413">
        <f>YEAR(A6413)</f>
        <v>2015</v>
      </c>
      <c r="F6413" s="33">
        <f>DATE(YEAR(A6413),MONTH(A6413),1)</f>
        <v>42064.0</v>
      </c>
      <c r="G6413" t="str">
        <f>CHOOSE(WEEKDAY(A6413,2),"Mon","Tue","Wed","Thu","Fri","Sat","Sun")</f>
        <v>Thu</v>
      </c>
      <c r="H6413" t="str">
        <f>IF(WEEKDAY(A6413,2)&gt;5,"Weekend","Weekday")</f>
        <v>Weekday</v>
      </c>
      <c r="I6413" t="str">
        <f>_xlfn.IFS(B6413&lt;=5,"Night (0-5)",B6413&lt;=9,"Morning peak (6-9)",B6413&lt;=15,"Midday (10-15)",B6413&lt;=19,"Evening peak (16-19)",TRUE,"Late evening (20-23)")</f>
        <v>Midday (10-15)</v>
      </c>
    </row>
    <row r="6414" spans="1:9">
      <c r="A6414" s="32">
        <v>42089</v>
      </c>
      <c r="B6414">
        <v>15</v>
      </c>
      <c r="C6414">
        <v>3228</v>
      </c>
      <c r="D6414" t="s">
        <v>304</v>
      </c>
      <c r="E6414">
        <f>YEAR(A6414)</f>
        <v>2015</v>
      </c>
      <c r="F6414" s="33">
        <f>DATE(YEAR(A6414),MONTH(A6414),1)</f>
        <v>42064.0</v>
      </c>
      <c r="G6414" t="str">
        <f>CHOOSE(WEEKDAY(A6414,2),"Mon","Tue","Wed","Thu","Fri","Sat","Sun")</f>
        <v>Thu</v>
      </c>
      <c r="H6414" t="str">
        <f>IF(WEEKDAY(A6414,2)&gt;5,"Weekend","Weekday")</f>
        <v>Weekday</v>
      </c>
      <c r="I6414" t="str">
        <f>_xlfn.IFS(B6414&lt;=5,"Night (0-5)",B6414&lt;=9,"Morning peak (6-9)",B6414&lt;=15,"Midday (10-15)",B6414&lt;=19,"Evening peak (16-19)",TRUE,"Late evening (20-23)")</f>
        <v>Midday (10-15)</v>
      </c>
    </row>
    <row r="6415" spans="1:9">
      <c r="A6415" s="32">
        <v>42089</v>
      </c>
      <c r="B6415">
        <v>16</v>
      </c>
      <c r="C6415">
        <v>3807</v>
      </c>
      <c r="D6415" t="s">
        <v>304</v>
      </c>
      <c r="E6415">
        <f>YEAR(A6415)</f>
        <v>2015</v>
      </c>
      <c r="F6415" s="33">
        <f>DATE(YEAR(A6415),MONTH(A6415),1)</f>
        <v>42064.0</v>
      </c>
      <c r="G6415" t="str">
        <f>CHOOSE(WEEKDAY(A6415,2),"Mon","Tue","Wed","Thu","Fri","Sat","Sun")</f>
        <v>Thu</v>
      </c>
      <c r="H6415" t="str">
        <f>IF(WEEKDAY(A6415,2)&gt;5,"Weekend","Weekday")</f>
        <v>Weekday</v>
      </c>
      <c r="I6415" t="str">
        <f>_xlfn.IFS(B6415&lt;=5,"Night (0-5)",B6415&lt;=9,"Morning peak (6-9)",B6415&lt;=15,"Midday (10-15)",B6415&lt;=19,"Evening peak (16-19)",TRUE,"Late evening (20-23)")</f>
        <v>Evening peak (16-19)</v>
      </c>
    </row>
    <row r="6416" spans="1:9">
      <c r="A6416" s="32">
        <v>42089</v>
      </c>
      <c r="B6416">
        <v>17</v>
      </c>
      <c r="C6416">
        <v>4510</v>
      </c>
      <c r="D6416" t="s">
        <v>304</v>
      </c>
      <c r="E6416">
        <f>YEAR(A6416)</f>
        <v>2015</v>
      </c>
      <c r="F6416" s="33">
        <f>DATE(YEAR(A6416),MONTH(A6416),1)</f>
        <v>42064.0</v>
      </c>
      <c r="G6416" t="str">
        <f>CHOOSE(WEEKDAY(A6416,2),"Mon","Tue","Wed","Thu","Fri","Sat","Sun")</f>
        <v>Thu</v>
      </c>
      <c r="H6416" t="str">
        <f>IF(WEEKDAY(A6416,2)&gt;5,"Weekend","Weekday")</f>
        <v>Weekday</v>
      </c>
      <c r="I6416" t="str">
        <f>_xlfn.IFS(B6416&lt;=5,"Night (0-5)",B6416&lt;=9,"Morning peak (6-9)",B6416&lt;=15,"Midday (10-15)",B6416&lt;=19,"Evening peak (16-19)",TRUE,"Late evening (20-23)")</f>
        <v>Evening peak (16-19)</v>
      </c>
    </row>
    <row r="6417" spans="1:9">
      <c r="A6417" s="32">
        <v>42089</v>
      </c>
      <c r="B6417">
        <v>18</v>
      </c>
      <c r="C6417">
        <v>5242</v>
      </c>
      <c r="D6417" t="s">
        <v>304</v>
      </c>
      <c r="E6417">
        <f>YEAR(A6417)</f>
        <v>2015</v>
      </c>
      <c r="F6417" s="33">
        <f>DATE(YEAR(A6417),MONTH(A6417),1)</f>
        <v>42064.0</v>
      </c>
      <c r="G6417" t="str">
        <f>CHOOSE(WEEKDAY(A6417,2),"Mon","Tue","Wed","Thu","Fri","Sat","Sun")</f>
        <v>Thu</v>
      </c>
      <c r="H6417" t="str">
        <f>IF(WEEKDAY(A6417,2)&gt;5,"Weekend","Weekday")</f>
        <v>Weekday</v>
      </c>
      <c r="I6417" t="str">
        <f>_xlfn.IFS(B6417&lt;=5,"Night (0-5)",B6417&lt;=9,"Morning peak (6-9)",B6417&lt;=15,"Midday (10-15)",B6417&lt;=19,"Evening peak (16-19)",TRUE,"Late evening (20-23)")</f>
        <v>Evening peak (16-19)</v>
      </c>
    </row>
    <row r="6418" spans="1:9">
      <c r="A6418" s="32">
        <v>42089</v>
      </c>
      <c r="B6418">
        <v>19</v>
      </c>
      <c r="C6418">
        <v>5404</v>
      </c>
      <c r="D6418" t="s">
        <v>304</v>
      </c>
      <c r="E6418">
        <f>YEAR(A6418)</f>
        <v>2015</v>
      </c>
      <c r="F6418" s="33">
        <f>DATE(YEAR(A6418),MONTH(A6418),1)</f>
        <v>42064.0</v>
      </c>
      <c r="G6418" t="str">
        <f>CHOOSE(WEEKDAY(A6418,2),"Mon","Tue","Wed","Thu","Fri","Sat","Sun")</f>
        <v>Thu</v>
      </c>
      <c r="H6418" t="str">
        <f>IF(WEEKDAY(A6418,2)&gt;5,"Weekend","Weekday")</f>
        <v>Weekday</v>
      </c>
      <c r="I6418" t="str">
        <f>_xlfn.IFS(B6418&lt;=5,"Night (0-5)",B6418&lt;=9,"Morning peak (6-9)",B6418&lt;=15,"Midday (10-15)",B6418&lt;=19,"Evening peak (16-19)",TRUE,"Late evening (20-23)")</f>
        <v>Evening peak (16-19)</v>
      </c>
    </row>
    <row r="6419" spans="1:9">
      <c r="A6419" s="32">
        <v>42089</v>
      </c>
      <c r="B6419">
        <v>20</v>
      </c>
      <c r="C6419">
        <v>5293</v>
      </c>
      <c r="D6419" t="s">
        <v>304</v>
      </c>
      <c r="E6419">
        <f>YEAR(A6419)</f>
        <v>2015</v>
      </c>
      <c r="F6419" s="33">
        <f>DATE(YEAR(A6419),MONTH(A6419),1)</f>
        <v>42064.0</v>
      </c>
      <c r="G6419" t="str">
        <f>CHOOSE(WEEKDAY(A6419,2),"Mon","Tue","Wed","Thu","Fri","Sat","Sun")</f>
        <v>Thu</v>
      </c>
      <c r="H6419" t="str">
        <f>IF(WEEKDAY(A6419,2)&gt;5,"Weekend","Weekday")</f>
        <v>Weekday</v>
      </c>
      <c r="I6419" t="str">
        <f>_xlfn.IFS(B6419&lt;=5,"Night (0-5)",B6419&lt;=9,"Morning peak (6-9)",B6419&lt;=15,"Midday (10-15)",B6419&lt;=19,"Evening peak (16-19)",TRUE,"Late evening (20-23)")</f>
        <v>Late evening (20-23)</v>
      </c>
    </row>
    <row r="6420" spans="1:9">
      <c r="A6420" s="32">
        <v>42089</v>
      </c>
      <c r="B6420">
        <v>21</v>
      </c>
      <c r="C6420">
        <v>5274</v>
      </c>
      <c r="D6420" t="s">
        <v>304</v>
      </c>
      <c r="E6420">
        <f>YEAR(A6420)</f>
        <v>2015</v>
      </c>
      <c r="F6420" s="33">
        <f>DATE(YEAR(A6420),MONTH(A6420),1)</f>
        <v>42064.0</v>
      </c>
      <c r="G6420" t="str">
        <f>CHOOSE(WEEKDAY(A6420,2),"Mon","Tue","Wed","Thu","Fri","Sat","Sun")</f>
        <v>Thu</v>
      </c>
      <c r="H6420" t="str">
        <f>IF(WEEKDAY(A6420,2)&gt;5,"Weekend","Weekday")</f>
        <v>Weekday</v>
      </c>
      <c r="I6420" t="str">
        <f>_xlfn.IFS(B6420&lt;=5,"Night (0-5)",B6420&lt;=9,"Morning peak (6-9)",B6420&lt;=15,"Midday (10-15)",B6420&lt;=19,"Evening peak (16-19)",TRUE,"Late evening (20-23)")</f>
        <v>Late evening (20-23)</v>
      </c>
    </row>
    <row r="6421" spans="1:9">
      <c r="A6421" s="32">
        <v>42089</v>
      </c>
      <c r="B6421">
        <v>22</v>
      </c>
      <c r="C6421">
        <v>6283</v>
      </c>
      <c r="D6421" t="s">
        <v>304</v>
      </c>
      <c r="E6421">
        <f>YEAR(A6421)</f>
        <v>2015</v>
      </c>
      <c r="F6421" s="33">
        <f>DATE(YEAR(A6421),MONTH(A6421),1)</f>
        <v>42064.0</v>
      </c>
      <c r="G6421" t="str">
        <f>CHOOSE(WEEKDAY(A6421,2),"Mon","Tue","Wed","Thu","Fri","Sat","Sun")</f>
        <v>Thu</v>
      </c>
      <c r="H6421" t="str">
        <f>IF(WEEKDAY(A6421,2)&gt;5,"Weekend","Weekday")</f>
        <v>Weekday</v>
      </c>
      <c r="I6421" t="str">
        <f>_xlfn.IFS(B6421&lt;=5,"Night (0-5)",B6421&lt;=9,"Morning peak (6-9)",B6421&lt;=15,"Midday (10-15)",B6421&lt;=19,"Evening peak (16-19)",TRUE,"Late evening (20-23)")</f>
        <v>Late evening (20-23)</v>
      </c>
    </row>
    <row r="6422" spans="1:9">
      <c r="A6422" s="32">
        <v>42089</v>
      </c>
      <c r="B6422">
        <v>23</v>
      </c>
      <c r="C6422">
        <v>5785</v>
      </c>
      <c r="D6422" t="s">
        <v>304</v>
      </c>
      <c r="E6422">
        <f>YEAR(A6422)</f>
        <v>2015</v>
      </c>
      <c r="F6422" s="33">
        <f>DATE(YEAR(A6422),MONTH(A6422),1)</f>
        <v>42064.0</v>
      </c>
      <c r="G6422" t="str">
        <f>CHOOSE(WEEKDAY(A6422,2),"Mon","Tue","Wed","Thu","Fri","Sat","Sun")</f>
        <v>Thu</v>
      </c>
      <c r="H6422" t="str">
        <f>IF(WEEKDAY(A6422,2)&gt;5,"Weekend","Weekday")</f>
        <v>Weekday</v>
      </c>
      <c r="I6422" t="str">
        <f>_xlfn.IFS(B6422&lt;=5,"Night (0-5)",B6422&lt;=9,"Morning peak (6-9)",B6422&lt;=15,"Midday (10-15)",B6422&lt;=19,"Evening peak (16-19)",TRUE,"Late evening (20-23)")</f>
        <v>Late evening (20-23)</v>
      </c>
    </row>
    <row r="6423" spans="1:9">
      <c r="A6423" s="32">
        <v>42090</v>
      </c>
      <c r="B6423">
        <v>0</v>
      </c>
      <c r="C6423">
        <v>3735</v>
      </c>
      <c r="D6423" t="s">
        <v>304</v>
      </c>
      <c r="E6423">
        <f>YEAR(A6423)</f>
        <v>2015</v>
      </c>
      <c r="F6423" s="33">
        <f>DATE(YEAR(A6423),MONTH(A6423),1)</f>
        <v>42064.0</v>
      </c>
      <c r="G6423" t="str">
        <f>CHOOSE(WEEKDAY(A6423,2),"Mon","Tue","Wed","Thu","Fri","Sat","Sun")</f>
        <v>Fri</v>
      </c>
      <c r="H6423" t="str">
        <f>IF(WEEKDAY(A6423,2)&gt;5,"Weekend","Weekday")</f>
        <v>Weekday</v>
      </c>
      <c r="I6423" t="str">
        <f>_xlfn.IFS(B6423&lt;=5,"Night (0-5)",B6423&lt;=9,"Morning peak (6-9)",B6423&lt;=15,"Midday (10-15)",B6423&lt;=19,"Evening peak (16-19)",TRUE,"Late evening (20-23)")</f>
        <v>Night (0-5)</v>
      </c>
    </row>
    <row r="6424" spans="1:9">
      <c r="A6424" s="32">
        <v>42090</v>
      </c>
      <c r="B6424">
        <v>1</v>
      </c>
      <c r="C6424">
        <v>2090</v>
      </c>
      <c r="D6424" t="s">
        <v>304</v>
      </c>
      <c r="E6424">
        <f>YEAR(A6424)</f>
        <v>2015</v>
      </c>
      <c r="F6424" s="33">
        <f>DATE(YEAR(A6424),MONTH(A6424),1)</f>
        <v>42064.0</v>
      </c>
      <c r="G6424" t="str">
        <f>CHOOSE(WEEKDAY(A6424,2),"Mon","Tue","Wed","Thu","Fri","Sat","Sun")</f>
        <v>Fri</v>
      </c>
      <c r="H6424" t="str">
        <f>IF(WEEKDAY(A6424,2)&gt;5,"Weekend","Weekday")</f>
        <v>Weekday</v>
      </c>
      <c r="I6424" t="str">
        <f>_xlfn.IFS(B6424&lt;=5,"Night (0-5)",B6424&lt;=9,"Morning peak (6-9)",B6424&lt;=15,"Midday (10-15)",B6424&lt;=19,"Evening peak (16-19)",TRUE,"Late evening (20-23)")</f>
        <v>Night (0-5)</v>
      </c>
    </row>
    <row r="6425" spans="1:9">
      <c r="A6425" s="32">
        <v>42090</v>
      </c>
      <c r="B6425">
        <v>2</v>
      </c>
      <c r="C6425">
        <v>1065</v>
      </c>
      <c r="D6425" t="s">
        <v>304</v>
      </c>
      <c r="E6425">
        <f>YEAR(A6425)</f>
        <v>2015</v>
      </c>
      <c r="F6425" s="33">
        <f>DATE(YEAR(A6425),MONTH(A6425),1)</f>
        <v>42064.0</v>
      </c>
      <c r="G6425" t="str">
        <f>CHOOSE(WEEKDAY(A6425,2),"Mon","Tue","Wed","Thu","Fri","Sat","Sun")</f>
        <v>Fri</v>
      </c>
      <c r="H6425" t="str">
        <f>IF(WEEKDAY(A6425,2)&gt;5,"Weekend","Weekday")</f>
        <v>Weekday</v>
      </c>
      <c r="I6425" t="str">
        <f>_xlfn.IFS(B6425&lt;=5,"Night (0-5)",B6425&lt;=9,"Morning peak (6-9)",B6425&lt;=15,"Midday (10-15)",B6425&lt;=19,"Evening peak (16-19)",TRUE,"Late evening (20-23)")</f>
        <v>Night (0-5)</v>
      </c>
    </row>
    <row r="6426" spans="1:9">
      <c r="A6426" s="32">
        <v>42090</v>
      </c>
      <c r="B6426">
        <v>3</v>
      </c>
      <c r="C6426">
        <v>747</v>
      </c>
      <c r="D6426" t="s">
        <v>304</v>
      </c>
      <c r="E6426">
        <f>YEAR(A6426)</f>
        <v>2015</v>
      </c>
      <c r="F6426" s="33">
        <f>DATE(YEAR(A6426),MONTH(A6426),1)</f>
        <v>42064.0</v>
      </c>
      <c r="G6426" t="str">
        <f>CHOOSE(WEEKDAY(A6426,2),"Mon","Tue","Wed","Thu","Fri","Sat","Sun")</f>
        <v>Fri</v>
      </c>
      <c r="H6426" t="str">
        <f>IF(WEEKDAY(A6426,2)&gt;5,"Weekend","Weekday")</f>
        <v>Weekday</v>
      </c>
      <c r="I6426" t="str">
        <f>_xlfn.IFS(B6426&lt;=5,"Night (0-5)",B6426&lt;=9,"Morning peak (6-9)",B6426&lt;=15,"Midday (10-15)",B6426&lt;=19,"Evening peak (16-19)",TRUE,"Late evening (20-23)")</f>
        <v>Night (0-5)</v>
      </c>
    </row>
    <row r="6427" spans="1:9">
      <c r="A6427" s="32">
        <v>42090</v>
      </c>
      <c r="B6427">
        <v>4</v>
      </c>
      <c r="C6427">
        <v>867</v>
      </c>
      <c r="D6427" t="s">
        <v>304</v>
      </c>
      <c r="E6427">
        <f>YEAR(A6427)</f>
        <v>2015</v>
      </c>
      <c r="F6427" s="33">
        <f>DATE(YEAR(A6427),MONTH(A6427),1)</f>
        <v>42064.0</v>
      </c>
      <c r="G6427" t="str">
        <f>CHOOSE(WEEKDAY(A6427,2),"Mon","Tue","Wed","Thu","Fri","Sat","Sun")</f>
        <v>Fri</v>
      </c>
      <c r="H6427" t="str">
        <f>IF(WEEKDAY(A6427,2)&gt;5,"Weekend","Weekday")</f>
        <v>Weekday</v>
      </c>
      <c r="I6427" t="str">
        <f>_xlfn.IFS(B6427&lt;=5,"Night (0-5)",B6427&lt;=9,"Morning peak (6-9)",B6427&lt;=15,"Midday (10-15)",B6427&lt;=19,"Evening peak (16-19)",TRUE,"Late evening (20-23)")</f>
        <v>Night (0-5)</v>
      </c>
    </row>
    <row r="6428" spans="1:9">
      <c r="A6428" s="32">
        <v>42090</v>
      </c>
      <c r="B6428">
        <v>5</v>
      </c>
      <c r="C6428">
        <v>1116</v>
      </c>
      <c r="D6428" t="s">
        <v>304</v>
      </c>
      <c r="E6428">
        <f>YEAR(A6428)</f>
        <v>2015</v>
      </c>
      <c r="F6428" s="33">
        <f>DATE(YEAR(A6428),MONTH(A6428),1)</f>
        <v>42064.0</v>
      </c>
      <c r="G6428" t="str">
        <f>CHOOSE(WEEKDAY(A6428,2),"Mon","Tue","Wed","Thu","Fri","Sat","Sun")</f>
        <v>Fri</v>
      </c>
      <c r="H6428" t="str">
        <f>IF(WEEKDAY(A6428,2)&gt;5,"Weekend","Weekday")</f>
        <v>Weekday</v>
      </c>
      <c r="I6428" t="str">
        <f>_xlfn.IFS(B6428&lt;=5,"Night (0-5)",B6428&lt;=9,"Morning peak (6-9)",B6428&lt;=15,"Midday (10-15)",B6428&lt;=19,"Evening peak (16-19)",TRUE,"Late evening (20-23)")</f>
        <v>Night (0-5)</v>
      </c>
    </row>
    <row r="6429" spans="1:9">
      <c r="A6429" s="32">
        <v>42090</v>
      </c>
      <c r="B6429">
        <v>6</v>
      </c>
      <c r="C6429">
        <v>2004</v>
      </c>
      <c r="D6429" t="s">
        <v>304</v>
      </c>
      <c r="E6429">
        <f>YEAR(A6429)</f>
        <v>2015</v>
      </c>
      <c r="F6429" s="33">
        <f>DATE(YEAR(A6429),MONTH(A6429),1)</f>
        <v>42064.0</v>
      </c>
      <c r="G6429" t="str">
        <f>CHOOSE(WEEKDAY(A6429,2),"Mon","Tue","Wed","Thu","Fri","Sat","Sun")</f>
        <v>Fri</v>
      </c>
      <c r="H6429" t="str">
        <f>IF(WEEKDAY(A6429,2)&gt;5,"Weekend","Weekday")</f>
        <v>Weekday</v>
      </c>
      <c r="I6429" t="str">
        <f>_xlfn.IFS(B6429&lt;=5,"Night (0-5)",B6429&lt;=9,"Morning peak (6-9)",B6429&lt;=15,"Midday (10-15)",B6429&lt;=19,"Evening peak (16-19)",TRUE,"Late evening (20-23)")</f>
        <v>Morning peak (6-9)</v>
      </c>
    </row>
    <row r="6430" spans="1:9">
      <c r="A6430" s="32">
        <v>42090</v>
      </c>
      <c r="B6430">
        <v>7</v>
      </c>
      <c r="C6430">
        <v>3106</v>
      </c>
      <c r="D6430" t="s">
        <v>304</v>
      </c>
      <c r="E6430">
        <f>YEAR(A6430)</f>
        <v>2015</v>
      </c>
      <c r="F6430" s="33">
        <f>DATE(YEAR(A6430),MONTH(A6430),1)</f>
        <v>42064.0</v>
      </c>
      <c r="G6430" t="str">
        <f>CHOOSE(WEEKDAY(A6430,2),"Mon","Tue","Wed","Thu","Fri","Sat","Sun")</f>
        <v>Fri</v>
      </c>
      <c r="H6430" t="str">
        <f>IF(WEEKDAY(A6430,2)&gt;5,"Weekend","Weekday")</f>
        <v>Weekday</v>
      </c>
      <c r="I6430" t="str">
        <f>_xlfn.IFS(B6430&lt;=5,"Night (0-5)",B6430&lt;=9,"Morning peak (6-9)",B6430&lt;=15,"Midday (10-15)",B6430&lt;=19,"Evening peak (16-19)",TRUE,"Late evening (20-23)")</f>
        <v>Morning peak (6-9)</v>
      </c>
    </row>
    <row r="6431" spans="1:9">
      <c r="A6431" s="32">
        <v>42090</v>
      </c>
      <c r="B6431">
        <v>8</v>
      </c>
      <c r="C6431">
        <v>3912</v>
      </c>
      <c r="D6431" t="s">
        <v>304</v>
      </c>
      <c r="E6431">
        <f>YEAR(A6431)</f>
        <v>2015</v>
      </c>
      <c r="F6431" s="33">
        <f>DATE(YEAR(A6431),MONTH(A6431),1)</f>
        <v>42064.0</v>
      </c>
      <c r="G6431" t="str">
        <f>CHOOSE(WEEKDAY(A6431,2),"Mon","Tue","Wed","Thu","Fri","Sat","Sun")</f>
        <v>Fri</v>
      </c>
      <c r="H6431" t="str">
        <f>IF(WEEKDAY(A6431,2)&gt;5,"Weekend","Weekday")</f>
        <v>Weekday</v>
      </c>
      <c r="I6431" t="str">
        <f>_xlfn.IFS(B6431&lt;=5,"Night (0-5)",B6431&lt;=9,"Morning peak (6-9)",B6431&lt;=15,"Midday (10-15)",B6431&lt;=19,"Evening peak (16-19)",TRUE,"Late evening (20-23)")</f>
        <v>Morning peak (6-9)</v>
      </c>
    </row>
    <row r="6432" spans="1:9">
      <c r="A6432" s="32">
        <v>42090</v>
      </c>
      <c r="B6432">
        <v>9</v>
      </c>
      <c r="C6432">
        <v>3825</v>
      </c>
      <c r="D6432" t="s">
        <v>304</v>
      </c>
      <c r="E6432">
        <f>YEAR(A6432)</f>
        <v>2015</v>
      </c>
      <c r="F6432" s="33">
        <f>DATE(YEAR(A6432),MONTH(A6432),1)</f>
        <v>42064.0</v>
      </c>
      <c r="G6432" t="str">
        <f>CHOOSE(WEEKDAY(A6432,2),"Mon","Tue","Wed","Thu","Fri","Sat","Sun")</f>
        <v>Fri</v>
      </c>
      <c r="H6432" t="str">
        <f>IF(WEEKDAY(A6432,2)&gt;5,"Weekend","Weekday")</f>
        <v>Weekday</v>
      </c>
      <c r="I6432" t="str">
        <f>_xlfn.IFS(B6432&lt;=5,"Night (0-5)",B6432&lt;=9,"Morning peak (6-9)",B6432&lt;=15,"Midday (10-15)",B6432&lt;=19,"Evening peak (16-19)",TRUE,"Late evening (20-23)")</f>
        <v>Morning peak (6-9)</v>
      </c>
    </row>
    <row r="6433" spans="1:9">
      <c r="A6433" s="32">
        <v>42090</v>
      </c>
      <c r="B6433">
        <v>10</v>
      </c>
      <c r="C6433">
        <v>3013</v>
      </c>
      <c r="D6433" t="s">
        <v>304</v>
      </c>
      <c r="E6433">
        <f>YEAR(A6433)</f>
        <v>2015</v>
      </c>
      <c r="F6433" s="33">
        <f>DATE(YEAR(A6433),MONTH(A6433),1)</f>
        <v>42064.0</v>
      </c>
      <c r="G6433" t="str">
        <f>CHOOSE(WEEKDAY(A6433,2),"Mon","Tue","Wed","Thu","Fri","Sat","Sun")</f>
        <v>Fri</v>
      </c>
      <c r="H6433" t="str">
        <f>IF(WEEKDAY(A6433,2)&gt;5,"Weekend","Weekday")</f>
        <v>Weekday</v>
      </c>
      <c r="I6433" t="str">
        <f>_xlfn.IFS(B6433&lt;=5,"Night (0-5)",B6433&lt;=9,"Morning peak (6-9)",B6433&lt;=15,"Midday (10-15)",B6433&lt;=19,"Evening peak (16-19)",TRUE,"Late evening (20-23)")</f>
        <v>Midday (10-15)</v>
      </c>
    </row>
    <row r="6434" spans="1:9">
      <c r="A6434" s="32">
        <v>42090</v>
      </c>
      <c r="B6434">
        <v>11</v>
      </c>
      <c r="C6434">
        <v>2730</v>
      </c>
      <c r="D6434" t="s">
        <v>304</v>
      </c>
      <c r="E6434">
        <f>YEAR(A6434)</f>
        <v>2015</v>
      </c>
      <c r="F6434" s="33">
        <f>DATE(YEAR(A6434),MONTH(A6434),1)</f>
        <v>42064.0</v>
      </c>
      <c r="G6434" t="str">
        <f>CHOOSE(WEEKDAY(A6434,2),"Mon","Tue","Wed","Thu","Fri","Sat","Sun")</f>
        <v>Fri</v>
      </c>
      <c r="H6434" t="str">
        <f>IF(WEEKDAY(A6434,2)&gt;5,"Weekend","Weekday")</f>
        <v>Weekday</v>
      </c>
      <c r="I6434" t="str">
        <f>_xlfn.IFS(B6434&lt;=5,"Night (0-5)",B6434&lt;=9,"Morning peak (6-9)",B6434&lt;=15,"Midday (10-15)",B6434&lt;=19,"Evening peak (16-19)",TRUE,"Late evening (20-23)")</f>
        <v>Midday (10-15)</v>
      </c>
    </row>
    <row r="6435" spans="1:9">
      <c r="A6435" s="32">
        <v>42090</v>
      </c>
      <c r="B6435">
        <v>12</v>
      </c>
      <c r="C6435">
        <v>2678</v>
      </c>
      <c r="D6435" t="s">
        <v>304</v>
      </c>
      <c r="E6435">
        <f>YEAR(A6435)</f>
        <v>2015</v>
      </c>
      <c r="F6435" s="33">
        <f>DATE(YEAR(A6435),MONTH(A6435),1)</f>
        <v>42064.0</v>
      </c>
      <c r="G6435" t="str">
        <f>CHOOSE(WEEKDAY(A6435,2),"Mon","Tue","Wed","Thu","Fri","Sat","Sun")</f>
        <v>Fri</v>
      </c>
      <c r="H6435" t="str">
        <f>IF(WEEKDAY(A6435,2)&gt;5,"Weekend","Weekday")</f>
        <v>Weekday</v>
      </c>
      <c r="I6435" t="str">
        <f>_xlfn.IFS(B6435&lt;=5,"Night (0-5)",B6435&lt;=9,"Morning peak (6-9)",B6435&lt;=15,"Midday (10-15)",B6435&lt;=19,"Evening peak (16-19)",TRUE,"Late evening (20-23)")</f>
        <v>Midday (10-15)</v>
      </c>
    </row>
    <row r="6436" spans="1:9">
      <c r="A6436" s="32">
        <v>42090</v>
      </c>
      <c r="B6436">
        <v>13</v>
      </c>
      <c r="C6436">
        <v>2678</v>
      </c>
      <c r="D6436" t="s">
        <v>304</v>
      </c>
      <c r="E6436">
        <f>YEAR(A6436)</f>
        <v>2015</v>
      </c>
      <c r="F6436" s="33">
        <f>DATE(YEAR(A6436),MONTH(A6436),1)</f>
        <v>42064.0</v>
      </c>
      <c r="G6436" t="str">
        <f>CHOOSE(WEEKDAY(A6436,2),"Mon","Tue","Wed","Thu","Fri","Sat","Sun")</f>
        <v>Fri</v>
      </c>
      <c r="H6436" t="str">
        <f>IF(WEEKDAY(A6436,2)&gt;5,"Weekend","Weekday")</f>
        <v>Weekday</v>
      </c>
      <c r="I6436" t="str">
        <f>_xlfn.IFS(B6436&lt;=5,"Night (0-5)",B6436&lt;=9,"Morning peak (6-9)",B6436&lt;=15,"Midday (10-15)",B6436&lt;=19,"Evening peak (16-19)",TRUE,"Late evening (20-23)")</f>
        <v>Midday (10-15)</v>
      </c>
    </row>
    <row r="6437" spans="1:9">
      <c r="A6437" s="32">
        <v>42090</v>
      </c>
      <c r="B6437">
        <v>14</v>
      </c>
      <c r="C6437">
        <v>2942</v>
      </c>
      <c r="D6437" t="s">
        <v>304</v>
      </c>
      <c r="E6437">
        <f>YEAR(A6437)</f>
        <v>2015</v>
      </c>
      <c r="F6437" s="33">
        <f>DATE(YEAR(A6437),MONTH(A6437),1)</f>
        <v>42064.0</v>
      </c>
      <c r="G6437" t="str">
        <f>CHOOSE(WEEKDAY(A6437,2),"Mon","Tue","Wed","Thu","Fri","Sat","Sun")</f>
        <v>Fri</v>
      </c>
      <c r="H6437" t="str">
        <f>IF(WEEKDAY(A6437,2)&gt;5,"Weekend","Weekday")</f>
        <v>Weekday</v>
      </c>
      <c r="I6437" t="str">
        <f>_xlfn.IFS(B6437&lt;=5,"Night (0-5)",B6437&lt;=9,"Morning peak (6-9)",B6437&lt;=15,"Midday (10-15)",B6437&lt;=19,"Evening peak (16-19)",TRUE,"Late evening (20-23)")</f>
        <v>Midday (10-15)</v>
      </c>
    </row>
    <row r="6438" spans="1:9">
      <c r="A6438" s="32">
        <v>42090</v>
      </c>
      <c r="B6438">
        <v>15</v>
      </c>
      <c r="C6438">
        <v>3368</v>
      </c>
      <c r="D6438" t="s">
        <v>304</v>
      </c>
      <c r="E6438">
        <f>YEAR(A6438)</f>
        <v>2015</v>
      </c>
      <c r="F6438" s="33">
        <f>DATE(YEAR(A6438),MONTH(A6438),1)</f>
        <v>42064.0</v>
      </c>
      <c r="G6438" t="str">
        <f>CHOOSE(WEEKDAY(A6438,2),"Mon","Tue","Wed","Thu","Fri","Sat","Sun")</f>
        <v>Fri</v>
      </c>
      <c r="H6438" t="str">
        <f>IF(WEEKDAY(A6438,2)&gt;5,"Weekend","Weekday")</f>
        <v>Weekday</v>
      </c>
      <c r="I6438" t="str">
        <f>_xlfn.IFS(B6438&lt;=5,"Night (0-5)",B6438&lt;=9,"Morning peak (6-9)",B6438&lt;=15,"Midday (10-15)",B6438&lt;=19,"Evening peak (16-19)",TRUE,"Late evening (20-23)")</f>
        <v>Midday (10-15)</v>
      </c>
    </row>
    <row r="6439" spans="1:9">
      <c r="A6439" s="32">
        <v>42090</v>
      </c>
      <c r="B6439">
        <v>16</v>
      </c>
      <c r="C6439">
        <v>3858</v>
      </c>
      <c r="D6439" t="s">
        <v>304</v>
      </c>
      <c r="E6439">
        <f>YEAR(A6439)</f>
        <v>2015</v>
      </c>
      <c r="F6439" s="33">
        <f>DATE(YEAR(A6439),MONTH(A6439),1)</f>
        <v>42064.0</v>
      </c>
      <c r="G6439" t="str">
        <f>CHOOSE(WEEKDAY(A6439,2),"Mon","Tue","Wed","Thu","Fri","Sat","Sun")</f>
        <v>Fri</v>
      </c>
      <c r="H6439" t="str">
        <f>IF(WEEKDAY(A6439,2)&gt;5,"Weekend","Weekday")</f>
        <v>Weekday</v>
      </c>
      <c r="I6439" t="str">
        <f>_xlfn.IFS(B6439&lt;=5,"Night (0-5)",B6439&lt;=9,"Morning peak (6-9)",B6439&lt;=15,"Midday (10-15)",B6439&lt;=19,"Evening peak (16-19)",TRUE,"Late evening (20-23)")</f>
        <v>Evening peak (16-19)</v>
      </c>
    </row>
    <row r="6440" spans="1:9">
      <c r="A6440" s="32">
        <v>42090</v>
      </c>
      <c r="B6440">
        <v>17</v>
      </c>
      <c r="C6440">
        <v>4607</v>
      </c>
      <c r="D6440" t="s">
        <v>304</v>
      </c>
      <c r="E6440">
        <f>YEAR(A6440)</f>
        <v>2015</v>
      </c>
      <c r="F6440" s="33">
        <f>DATE(YEAR(A6440),MONTH(A6440),1)</f>
        <v>42064.0</v>
      </c>
      <c r="G6440" t="str">
        <f>CHOOSE(WEEKDAY(A6440,2),"Mon","Tue","Wed","Thu","Fri","Sat","Sun")</f>
        <v>Fri</v>
      </c>
      <c r="H6440" t="str">
        <f>IF(WEEKDAY(A6440,2)&gt;5,"Weekend","Weekday")</f>
        <v>Weekday</v>
      </c>
      <c r="I6440" t="str">
        <f>_xlfn.IFS(B6440&lt;=5,"Night (0-5)",B6440&lt;=9,"Morning peak (6-9)",B6440&lt;=15,"Midday (10-15)",B6440&lt;=19,"Evening peak (16-19)",TRUE,"Late evening (20-23)")</f>
        <v>Evening peak (16-19)</v>
      </c>
    </row>
    <row r="6441" spans="1:9">
      <c r="A6441" s="32">
        <v>42090</v>
      </c>
      <c r="B6441">
        <v>18</v>
      </c>
      <c r="C6441">
        <v>5662</v>
      </c>
      <c r="D6441" t="s">
        <v>304</v>
      </c>
      <c r="E6441">
        <f>YEAR(A6441)</f>
        <v>2015</v>
      </c>
      <c r="F6441" s="33">
        <f>DATE(YEAR(A6441),MONTH(A6441),1)</f>
        <v>42064.0</v>
      </c>
      <c r="G6441" t="str">
        <f>CHOOSE(WEEKDAY(A6441,2),"Mon","Tue","Wed","Thu","Fri","Sat","Sun")</f>
        <v>Fri</v>
      </c>
      <c r="H6441" t="str">
        <f>IF(WEEKDAY(A6441,2)&gt;5,"Weekend","Weekday")</f>
        <v>Weekday</v>
      </c>
      <c r="I6441" t="str">
        <f>_xlfn.IFS(B6441&lt;=5,"Night (0-5)",B6441&lt;=9,"Morning peak (6-9)",B6441&lt;=15,"Midday (10-15)",B6441&lt;=19,"Evening peak (16-19)",TRUE,"Late evening (20-23)")</f>
        <v>Evening peak (16-19)</v>
      </c>
    </row>
    <row r="6442" spans="1:9">
      <c r="A6442" s="32">
        <v>42090</v>
      </c>
      <c r="B6442">
        <v>19</v>
      </c>
      <c r="C6442">
        <v>6411</v>
      </c>
      <c r="D6442" t="s">
        <v>304</v>
      </c>
      <c r="E6442">
        <f>YEAR(A6442)</f>
        <v>2015</v>
      </c>
      <c r="F6442" s="33">
        <f>DATE(YEAR(A6442),MONTH(A6442),1)</f>
        <v>42064.0</v>
      </c>
      <c r="G6442" t="str">
        <f>CHOOSE(WEEKDAY(A6442,2),"Mon","Tue","Wed","Thu","Fri","Sat","Sun")</f>
        <v>Fri</v>
      </c>
      <c r="H6442" t="str">
        <f>IF(WEEKDAY(A6442,2)&gt;5,"Weekend","Weekday")</f>
        <v>Weekday</v>
      </c>
      <c r="I6442" t="str">
        <f>_xlfn.IFS(B6442&lt;=5,"Night (0-5)",B6442&lt;=9,"Morning peak (6-9)",B6442&lt;=15,"Midday (10-15)",B6442&lt;=19,"Evening peak (16-19)",TRUE,"Late evening (20-23)")</f>
        <v>Evening peak (16-19)</v>
      </c>
    </row>
    <row r="6443" spans="1:9">
      <c r="A6443" s="32">
        <v>42090</v>
      </c>
      <c r="B6443">
        <v>20</v>
      </c>
      <c r="C6443">
        <v>6260</v>
      </c>
      <c r="D6443" t="s">
        <v>304</v>
      </c>
      <c r="E6443">
        <f>YEAR(A6443)</f>
        <v>2015</v>
      </c>
      <c r="F6443" s="33">
        <f>DATE(YEAR(A6443),MONTH(A6443),1)</f>
        <v>42064.0</v>
      </c>
      <c r="G6443" t="str">
        <f>CHOOSE(WEEKDAY(A6443,2),"Mon","Tue","Wed","Thu","Fri","Sat","Sun")</f>
        <v>Fri</v>
      </c>
      <c r="H6443" t="str">
        <f>IF(WEEKDAY(A6443,2)&gt;5,"Weekend","Weekday")</f>
        <v>Weekday</v>
      </c>
      <c r="I6443" t="str">
        <f>_xlfn.IFS(B6443&lt;=5,"Night (0-5)",B6443&lt;=9,"Morning peak (6-9)",B6443&lt;=15,"Midday (10-15)",B6443&lt;=19,"Evening peak (16-19)",TRUE,"Late evening (20-23)")</f>
        <v>Late evening (20-23)</v>
      </c>
    </row>
    <row r="6444" spans="1:9">
      <c r="A6444" s="32">
        <v>42090</v>
      </c>
      <c r="B6444">
        <v>21</v>
      </c>
      <c r="C6444">
        <v>5722</v>
      </c>
      <c r="D6444" t="s">
        <v>304</v>
      </c>
      <c r="E6444">
        <f>YEAR(A6444)</f>
        <v>2015</v>
      </c>
      <c r="F6444" s="33">
        <f>DATE(YEAR(A6444),MONTH(A6444),1)</f>
        <v>42064.0</v>
      </c>
      <c r="G6444" t="str">
        <f>CHOOSE(WEEKDAY(A6444,2),"Mon","Tue","Wed","Thu","Fri","Sat","Sun")</f>
        <v>Fri</v>
      </c>
      <c r="H6444" t="str">
        <f>IF(WEEKDAY(A6444,2)&gt;5,"Weekend","Weekday")</f>
        <v>Weekday</v>
      </c>
      <c r="I6444" t="str">
        <f>_xlfn.IFS(B6444&lt;=5,"Night (0-5)",B6444&lt;=9,"Morning peak (6-9)",B6444&lt;=15,"Midday (10-15)",B6444&lt;=19,"Evening peak (16-19)",TRUE,"Late evening (20-23)")</f>
        <v>Late evening (20-23)</v>
      </c>
    </row>
    <row r="6445" spans="1:9">
      <c r="A6445" s="32">
        <v>42090</v>
      </c>
      <c r="B6445">
        <v>22</v>
      </c>
      <c r="C6445">
        <v>6171</v>
      </c>
      <c r="D6445" t="s">
        <v>304</v>
      </c>
      <c r="E6445">
        <f>YEAR(A6445)</f>
        <v>2015</v>
      </c>
      <c r="F6445" s="33">
        <f>DATE(YEAR(A6445),MONTH(A6445),1)</f>
        <v>42064.0</v>
      </c>
      <c r="G6445" t="str">
        <f>CHOOSE(WEEKDAY(A6445,2),"Mon","Tue","Wed","Thu","Fri","Sat","Sun")</f>
        <v>Fri</v>
      </c>
      <c r="H6445" t="str">
        <f>IF(WEEKDAY(A6445,2)&gt;5,"Weekend","Weekday")</f>
        <v>Weekday</v>
      </c>
      <c r="I6445" t="str">
        <f>_xlfn.IFS(B6445&lt;=5,"Night (0-5)",B6445&lt;=9,"Morning peak (6-9)",B6445&lt;=15,"Midday (10-15)",B6445&lt;=19,"Evening peak (16-19)",TRUE,"Late evening (20-23)")</f>
        <v>Late evening (20-23)</v>
      </c>
    </row>
    <row r="6446" spans="1:9">
      <c r="A6446" s="32">
        <v>42090</v>
      </c>
      <c r="B6446">
        <v>23</v>
      </c>
      <c r="C6446">
        <v>6410</v>
      </c>
      <c r="D6446" t="s">
        <v>304</v>
      </c>
      <c r="E6446">
        <f>YEAR(A6446)</f>
        <v>2015</v>
      </c>
      <c r="F6446" s="33">
        <f>DATE(YEAR(A6446),MONTH(A6446),1)</f>
        <v>42064.0</v>
      </c>
      <c r="G6446" t="str">
        <f>CHOOSE(WEEKDAY(A6446,2),"Mon","Tue","Wed","Thu","Fri","Sat","Sun")</f>
        <v>Fri</v>
      </c>
      <c r="H6446" t="str">
        <f>IF(WEEKDAY(A6446,2)&gt;5,"Weekend","Weekday")</f>
        <v>Weekday</v>
      </c>
      <c r="I6446" t="str">
        <f>_xlfn.IFS(B6446&lt;=5,"Night (0-5)",B6446&lt;=9,"Morning peak (6-9)",B6446&lt;=15,"Midday (10-15)",B6446&lt;=19,"Evening peak (16-19)",TRUE,"Late evening (20-23)")</f>
        <v>Late evening (20-23)</v>
      </c>
    </row>
    <row r="6447" spans="1:9">
      <c r="A6447" s="32">
        <v>42091</v>
      </c>
      <c r="B6447">
        <v>0</v>
      </c>
      <c r="C6447">
        <v>5682</v>
      </c>
      <c r="D6447" t="s">
        <v>304</v>
      </c>
      <c r="E6447">
        <f>YEAR(A6447)</f>
        <v>2015</v>
      </c>
      <c r="F6447" s="33">
        <f>DATE(YEAR(A6447),MONTH(A6447),1)</f>
        <v>42064.0</v>
      </c>
      <c r="G6447" t="str">
        <f>CHOOSE(WEEKDAY(A6447,2),"Mon","Tue","Wed","Thu","Fri","Sat","Sun")</f>
        <v>Sat</v>
      </c>
      <c r="H6447" t="str">
        <f>IF(WEEKDAY(A6447,2)&gt;5,"Weekend","Weekday")</f>
        <v>Weekend</v>
      </c>
      <c r="I6447" t="str">
        <f>_xlfn.IFS(B6447&lt;=5,"Night (0-5)",B6447&lt;=9,"Morning peak (6-9)",B6447&lt;=15,"Midday (10-15)",B6447&lt;=19,"Evening peak (16-19)",TRUE,"Late evening (20-23)")</f>
        <v>Night (0-5)</v>
      </c>
    </row>
    <row r="6448" spans="1:9">
      <c r="A6448" s="32">
        <v>42091</v>
      </c>
      <c r="B6448">
        <v>1</v>
      </c>
      <c r="C6448">
        <v>4112</v>
      </c>
      <c r="D6448" t="s">
        <v>304</v>
      </c>
      <c r="E6448">
        <f>YEAR(A6448)</f>
        <v>2015</v>
      </c>
      <c r="F6448" s="33">
        <f>DATE(YEAR(A6448),MONTH(A6448),1)</f>
        <v>42064.0</v>
      </c>
      <c r="G6448" t="str">
        <f>CHOOSE(WEEKDAY(A6448,2),"Mon","Tue","Wed","Thu","Fri","Sat","Sun")</f>
        <v>Sat</v>
      </c>
      <c r="H6448" t="str">
        <f>IF(WEEKDAY(A6448,2)&gt;5,"Weekend","Weekday")</f>
        <v>Weekend</v>
      </c>
      <c r="I6448" t="str">
        <f>_xlfn.IFS(B6448&lt;=5,"Night (0-5)",B6448&lt;=9,"Morning peak (6-9)",B6448&lt;=15,"Midday (10-15)",B6448&lt;=19,"Evening peak (16-19)",TRUE,"Late evening (20-23)")</f>
        <v>Night (0-5)</v>
      </c>
    </row>
    <row r="6449" spans="1:9">
      <c r="A6449" s="32">
        <v>42091</v>
      </c>
      <c r="B6449">
        <v>2</v>
      </c>
      <c r="C6449">
        <v>2907</v>
      </c>
      <c r="D6449" t="s">
        <v>304</v>
      </c>
      <c r="E6449">
        <f>YEAR(A6449)</f>
        <v>2015</v>
      </c>
      <c r="F6449" s="33">
        <f>DATE(YEAR(A6449),MONTH(A6449),1)</f>
        <v>42064.0</v>
      </c>
      <c r="G6449" t="str">
        <f>CHOOSE(WEEKDAY(A6449,2),"Mon","Tue","Wed","Thu","Fri","Sat","Sun")</f>
        <v>Sat</v>
      </c>
      <c r="H6449" t="str">
        <f>IF(WEEKDAY(A6449,2)&gt;5,"Weekend","Weekday")</f>
        <v>Weekend</v>
      </c>
      <c r="I6449" t="str">
        <f>_xlfn.IFS(B6449&lt;=5,"Night (0-5)",B6449&lt;=9,"Morning peak (6-9)",B6449&lt;=15,"Midday (10-15)",B6449&lt;=19,"Evening peak (16-19)",TRUE,"Late evening (20-23)")</f>
        <v>Night (0-5)</v>
      </c>
    </row>
    <row r="6450" spans="1:9">
      <c r="A6450" s="32">
        <v>42091</v>
      </c>
      <c r="B6450">
        <v>3</v>
      </c>
      <c r="C6450">
        <v>1851</v>
      </c>
      <c r="D6450" t="s">
        <v>304</v>
      </c>
      <c r="E6450">
        <f>YEAR(A6450)</f>
        <v>2015</v>
      </c>
      <c r="F6450" s="33">
        <f>DATE(YEAR(A6450),MONTH(A6450),1)</f>
        <v>42064.0</v>
      </c>
      <c r="G6450" t="str">
        <f>CHOOSE(WEEKDAY(A6450,2),"Mon","Tue","Wed","Thu","Fri","Sat","Sun")</f>
        <v>Sat</v>
      </c>
      <c r="H6450" t="str">
        <f>IF(WEEKDAY(A6450,2)&gt;5,"Weekend","Weekday")</f>
        <v>Weekend</v>
      </c>
      <c r="I6450" t="str">
        <f>_xlfn.IFS(B6450&lt;=5,"Night (0-5)",B6450&lt;=9,"Morning peak (6-9)",B6450&lt;=15,"Midday (10-15)",B6450&lt;=19,"Evening peak (16-19)",TRUE,"Late evening (20-23)")</f>
        <v>Night (0-5)</v>
      </c>
    </row>
    <row r="6451" spans="1:9">
      <c r="A6451" s="32">
        <v>42091</v>
      </c>
      <c r="B6451">
        <v>4</v>
      </c>
      <c r="C6451">
        <v>1468</v>
      </c>
      <c r="D6451" t="s">
        <v>304</v>
      </c>
      <c r="E6451">
        <f>YEAR(A6451)</f>
        <v>2015</v>
      </c>
      <c r="F6451" s="33">
        <f>DATE(YEAR(A6451),MONTH(A6451),1)</f>
        <v>42064.0</v>
      </c>
      <c r="G6451" t="str">
        <f>CHOOSE(WEEKDAY(A6451,2),"Mon","Tue","Wed","Thu","Fri","Sat","Sun")</f>
        <v>Sat</v>
      </c>
      <c r="H6451" t="str">
        <f>IF(WEEKDAY(A6451,2)&gt;5,"Weekend","Weekday")</f>
        <v>Weekend</v>
      </c>
      <c r="I6451" t="str">
        <f>_xlfn.IFS(B6451&lt;=5,"Night (0-5)",B6451&lt;=9,"Morning peak (6-9)",B6451&lt;=15,"Midday (10-15)",B6451&lt;=19,"Evening peak (16-19)",TRUE,"Late evening (20-23)")</f>
        <v>Night (0-5)</v>
      </c>
    </row>
    <row r="6452" spans="1:9">
      <c r="A6452" s="32">
        <v>42091</v>
      </c>
      <c r="B6452">
        <v>5</v>
      </c>
      <c r="C6452">
        <v>933</v>
      </c>
      <c r="D6452" t="s">
        <v>304</v>
      </c>
      <c r="E6452">
        <f>YEAR(A6452)</f>
        <v>2015</v>
      </c>
      <c r="F6452" s="33">
        <f>DATE(YEAR(A6452),MONTH(A6452),1)</f>
        <v>42064.0</v>
      </c>
      <c r="G6452" t="str">
        <f>CHOOSE(WEEKDAY(A6452,2),"Mon","Tue","Wed","Thu","Fri","Sat","Sun")</f>
        <v>Sat</v>
      </c>
      <c r="H6452" t="str">
        <f>IF(WEEKDAY(A6452,2)&gt;5,"Weekend","Weekday")</f>
        <v>Weekend</v>
      </c>
      <c r="I6452" t="str">
        <f>_xlfn.IFS(B6452&lt;=5,"Night (0-5)",B6452&lt;=9,"Morning peak (6-9)",B6452&lt;=15,"Midday (10-15)",B6452&lt;=19,"Evening peak (16-19)",TRUE,"Late evening (20-23)")</f>
        <v>Night (0-5)</v>
      </c>
    </row>
    <row r="6453" spans="1:9">
      <c r="A6453" s="32">
        <v>42091</v>
      </c>
      <c r="B6453">
        <v>6</v>
      </c>
      <c r="C6453">
        <v>976</v>
      </c>
      <c r="D6453" t="s">
        <v>304</v>
      </c>
      <c r="E6453">
        <f>YEAR(A6453)</f>
        <v>2015</v>
      </c>
      <c r="F6453" s="33">
        <f>DATE(YEAR(A6453),MONTH(A6453),1)</f>
        <v>42064.0</v>
      </c>
      <c r="G6453" t="str">
        <f>CHOOSE(WEEKDAY(A6453,2),"Mon","Tue","Wed","Thu","Fri","Sat","Sun")</f>
        <v>Sat</v>
      </c>
      <c r="H6453" t="str">
        <f>IF(WEEKDAY(A6453,2)&gt;5,"Weekend","Weekday")</f>
        <v>Weekend</v>
      </c>
      <c r="I6453" t="str">
        <f>_xlfn.IFS(B6453&lt;=5,"Night (0-5)",B6453&lt;=9,"Morning peak (6-9)",B6453&lt;=15,"Midday (10-15)",B6453&lt;=19,"Evening peak (16-19)",TRUE,"Late evening (20-23)")</f>
        <v>Morning peak (6-9)</v>
      </c>
    </row>
    <row r="6454" spans="1:9">
      <c r="A6454" s="32">
        <v>42091</v>
      </c>
      <c r="B6454">
        <v>7</v>
      </c>
      <c r="C6454">
        <v>1156</v>
      </c>
      <c r="D6454" t="s">
        <v>304</v>
      </c>
      <c r="E6454">
        <f>YEAR(A6454)</f>
        <v>2015</v>
      </c>
      <c r="F6454" s="33">
        <f>DATE(YEAR(A6454),MONTH(A6454),1)</f>
        <v>42064.0</v>
      </c>
      <c r="G6454" t="str">
        <f>CHOOSE(WEEKDAY(A6454,2),"Mon","Tue","Wed","Thu","Fri","Sat","Sun")</f>
        <v>Sat</v>
      </c>
      <c r="H6454" t="str">
        <f>IF(WEEKDAY(A6454,2)&gt;5,"Weekend","Weekday")</f>
        <v>Weekend</v>
      </c>
      <c r="I6454" t="str">
        <f>_xlfn.IFS(B6454&lt;=5,"Night (0-5)",B6454&lt;=9,"Morning peak (6-9)",B6454&lt;=15,"Midday (10-15)",B6454&lt;=19,"Evening peak (16-19)",TRUE,"Late evening (20-23)")</f>
        <v>Morning peak (6-9)</v>
      </c>
    </row>
    <row r="6455" spans="1:9">
      <c r="A6455" s="32">
        <v>42091</v>
      </c>
      <c r="B6455">
        <v>8</v>
      </c>
      <c r="C6455">
        <v>1520</v>
      </c>
      <c r="D6455" t="s">
        <v>304</v>
      </c>
      <c r="E6455">
        <f>YEAR(A6455)</f>
        <v>2015</v>
      </c>
      <c r="F6455" s="33">
        <f>DATE(YEAR(A6455),MONTH(A6455),1)</f>
        <v>42064.0</v>
      </c>
      <c r="G6455" t="str">
        <f>CHOOSE(WEEKDAY(A6455,2),"Mon","Tue","Wed","Thu","Fri","Sat","Sun")</f>
        <v>Sat</v>
      </c>
      <c r="H6455" t="str">
        <f>IF(WEEKDAY(A6455,2)&gt;5,"Weekend","Weekday")</f>
        <v>Weekend</v>
      </c>
      <c r="I6455" t="str">
        <f>_xlfn.IFS(B6455&lt;=5,"Night (0-5)",B6455&lt;=9,"Morning peak (6-9)",B6455&lt;=15,"Midday (10-15)",B6455&lt;=19,"Evening peak (16-19)",TRUE,"Late evening (20-23)")</f>
        <v>Morning peak (6-9)</v>
      </c>
    </row>
    <row r="6456" spans="1:9">
      <c r="A6456" s="32">
        <v>42091</v>
      </c>
      <c r="B6456">
        <v>9</v>
      </c>
      <c r="C6456">
        <v>2042</v>
      </c>
      <c r="D6456" t="s">
        <v>304</v>
      </c>
      <c r="E6456">
        <f>YEAR(A6456)</f>
        <v>2015</v>
      </c>
      <c r="F6456" s="33">
        <f>DATE(YEAR(A6456),MONTH(A6456),1)</f>
        <v>42064.0</v>
      </c>
      <c r="G6456" t="str">
        <f>CHOOSE(WEEKDAY(A6456,2),"Mon","Tue","Wed","Thu","Fri","Sat","Sun")</f>
        <v>Sat</v>
      </c>
      <c r="H6456" t="str">
        <f>IF(WEEKDAY(A6456,2)&gt;5,"Weekend","Weekday")</f>
        <v>Weekend</v>
      </c>
      <c r="I6456" t="str">
        <f>_xlfn.IFS(B6456&lt;=5,"Night (0-5)",B6456&lt;=9,"Morning peak (6-9)",B6456&lt;=15,"Midday (10-15)",B6456&lt;=19,"Evening peak (16-19)",TRUE,"Late evening (20-23)")</f>
        <v>Morning peak (6-9)</v>
      </c>
    </row>
    <row r="6457" spans="1:9">
      <c r="A6457" s="32">
        <v>42091</v>
      </c>
      <c r="B6457">
        <v>10</v>
      </c>
      <c r="C6457">
        <v>2541</v>
      </c>
      <c r="D6457" t="s">
        <v>304</v>
      </c>
      <c r="E6457">
        <f>YEAR(A6457)</f>
        <v>2015</v>
      </c>
      <c r="F6457" s="33">
        <f>DATE(YEAR(A6457),MONTH(A6457),1)</f>
        <v>42064.0</v>
      </c>
      <c r="G6457" t="str">
        <f>CHOOSE(WEEKDAY(A6457,2),"Mon","Tue","Wed","Thu","Fri","Sat","Sun")</f>
        <v>Sat</v>
      </c>
      <c r="H6457" t="str">
        <f>IF(WEEKDAY(A6457,2)&gt;5,"Weekend","Weekday")</f>
        <v>Weekend</v>
      </c>
      <c r="I6457" t="str">
        <f>_xlfn.IFS(B6457&lt;=5,"Night (0-5)",B6457&lt;=9,"Morning peak (6-9)",B6457&lt;=15,"Midday (10-15)",B6457&lt;=19,"Evening peak (16-19)",TRUE,"Late evening (20-23)")</f>
        <v>Midday (10-15)</v>
      </c>
    </row>
    <row r="6458" spans="1:9">
      <c r="A6458" s="32">
        <v>42091</v>
      </c>
      <c r="B6458">
        <v>11</v>
      </c>
      <c r="C6458">
        <v>3101</v>
      </c>
      <c r="D6458" t="s">
        <v>304</v>
      </c>
      <c r="E6458">
        <f>YEAR(A6458)</f>
        <v>2015</v>
      </c>
      <c r="F6458" s="33">
        <f>DATE(YEAR(A6458),MONTH(A6458),1)</f>
        <v>42064.0</v>
      </c>
      <c r="G6458" t="str">
        <f>CHOOSE(WEEKDAY(A6458,2),"Mon","Tue","Wed","Thu","Fri","Sat","Sun")</f>
        <v>Sat</v>
      </c>
      <c r="H6458" t="str">
        <f>IF(WEEKDAY(A6458,2)&gt;5,"Weekend","Weekday")</f>
        <v>Weekend</v>
      </c>
      <c r="I6458" t="str">
        <f>_xlfn.IFS(B6458&lt;=5,"Night (0-5)",B6458&lt;=9,"Morning peak (6-9)",B6458&lt;=15,"Midday (10-15)",B6458&lt;=19,"Evening peak (16-19)",TRUE,"Late evening (20-23)")</f>
        <v>Midday (10-15)</v>
      </c>
    </row>
    <row r="6459" spans="1:9">
      <c r="A6459" s="32">
        <v>42091</v>
      </c>
      <c r="B6459">
        <v>12</v>
      </c>
      <c r="C6459">
        <v>3540</v>
      </c>
      <c r="D6459" t="s">
        <v>304</v>
      </c>
      <c r="E6459">
        <f>YEAR(A6459)</f>
        <v>2015</v>
      </c>
      <c r="F6459" s="33">
        <f>DATE(YEAR(A6459),MONTH(A6459),1)</f>
        <v>42064.0</v>
      </c>
      <c r="G6459" t="str">
        <f>CHOOSE(WEEKDAY(A6459,2),"Mon","Tue","Wed","Thu","Fri","Sat","Sun")</f>
        <v>Sat</v>
      </c>
      <c r="H6459" t="str">
        <f>IF(WEEKDAY(A6459,2)&gt;5,"Weekend","Weekday")</f>
        <v>Weekend</v>
      </c>
      <c r="I6459" t="str">
        <f>_xlfn.IFS(B6459&lt;=5,"Night (0-5)",B6459&lt;=9,"Morning peak (6-9)",B6459&lt;=15,"Midday (10-15)",B6459&lt;=19,"Evening peak (16-19)",TRUE,"Late evening (20-23)")</f>
        <v>Midday (10-15)</v>
      </c>
    </row>
    <row r="6460" spans="1:9">
      <c r="A6460" s="32">
        <v>42091</v>
      </c>
      <c r="B6460">
        <v>13</v>
      </c>
      <c r="C6460">
        <v>3623</v>
      </c>
      <c r="D6460" t="s">
        <v>304</v>
      </c>
      <c r="E6460">
        <f>YEAR(A6460)</f>
        <v>2015</v>
      </c>
      <c r="F6460" s="33">
        <f>DATE(YEAR(A6460),MONTH(A6460),1)</f>
        <v>42064.0</v>
      </c>
      <c r="G6460" t="str">
        <f>CHOOSE(WEEKDAY(A6460,2),"Mon","Tue","Wed","Thu","Fri","Sat","Sun")</f>
        <v>Sat</v>
      </c>
      <c r="H6460" t="str">
        <f>IF(WEEKDAY(A6460,2)&gt;5,"Weekend","Weekday")</f>
        <v>Weekend</v>
      </c>
      <c r="I6460" t="str">
        <f>_xlfn.IFS(B6460&lt;=5,"Night (0-5)",B6460&lt;=9,"Morning peak (6-9)",B6460&lt;=15,"Midday (10-15)",B6460&lt;=19,"Evening peak (16-19)",TRUE,"Late evening (20-23)")</f>
        <v>Midday (10-15)</v>
      </c>
    </row>
    <row r="6461" spans="1:9">
      <c r="A6461" s="32">
        <v>42091</v>
      </c>
      <c r="B6461">
        <v>14</v>
      </c>
      <c r="C6461">
        <v>3644</v>
      </c>
      <c r="D6461" t="s">
        <v>304</v>
      </c>
      <c r="E6461">
        <f>YEAR(A6461)</f>
        <v>2015</v>
      </c>
      <c r="F6461" s="33">
        <f>DATE(YEAR(A6461),MONTH(A6461),1)</f>
        <v>42064.0</v>
      </c>
      <c r="G6461" t="str">
        <f>CHOOSE(WEEKDAY(A6461,2),"Mon","Tue","Wed","Thu","Fri","Sat","Sun")</f>
        <v>Sat</v>
      </c>
      <c r="H6461" t="str">
        <f>IF(WEEKDAY(A6461,2)&gt;5,"Weekend","Weekday")</f>
        <v>Weekend</v>
      </c>
      <c r="I6461" t="str">
        <f>_xlfn.IFS(B6461&lt;=5,"Night (0-5)",B6461&lt;=9,"Morning peak (6-9)",B6461&lt;=15,"Midday (10-15)",B6461&lt;=19,"Evening peak (16-19)",TRUE,"Late evening (20-23)")</f>
        <v>Midday (10-15)</v>
      </c>
    </row>
    <row r="6462" spans="1:9">
      <c r="A6462" s="32">
        <v>42091</v>
      </c>
      <c r="B6462">
        <v>15</v>
      </c>
      <c r="C6462">
        <v>3806</v>
      </c>
      <c r="D6462" t="s">
        <v>304</v>
      </c>
      <c r="E6462">
        <f>YEAR(A6462)</f>
        <v>2015</v>
      </c>
      <c r="F6462" s="33">
        <f>DATE(YEAR(A6462),MONTH(A6462),1)</f>
        <v>42064.0</v>
      </c>
      <c r="G6462" t="str">
        <f>CHOOSE(WEEKDAY(A6462,2),"Mon","Tue","Wed","Thu","Fri","Sat","Sun")</f>
        <v>Sat</v>
      </c>
      <c r="H6462" t="str">
        <f>IF(WEEKDAY(A6462,2)&gt;5,"Weekend","Weekday")</f>
        <v>Weekend</v>
      </c>
      <c r="I6462" t="str">
        <f>_xlfn.IFS(B6462&lt;=5,"Night (0-5)",B6462&lt;=9,"Morning peak (6-9)",B6462&lt;=15,"Midday (10-15)",B6462&lt;=19,"Evening peak (16-19)",TRUE,"Late evening (20-23)")</f>
        <v>Midday (10-15)</v>
      </c>
    </row>
    <row r="6463" spans="1:9">
      <c r="A6463" s="32">
        <v>42091</v>
      </c>
      <c r="B6463">
        <v>16</v>
      </c>
      <c r="C6463">
        <v>4366</v>
      </c>
      <c r="D6463" t="s">
        <v>304</v>
      </c>
      <c r="E6463">
        <f>YEAR(A6463)</f>
        <v>2015</v>
      </c>
      <c r="F6463" s="33">
        <f>DATE(YEAR(A6463),MONTH(A6463),1)</f>
        <v>42064.0</v>
      </c>
      <c r="G6463" t="str">
        <f>CHOOSE(WEEKDAY(A6463,2),"Mon","Tue","Wed","Thu","Fri","Sat","Sun")</f>
        <v>Sat</v>
      </c>
      <c r="H6463" t="str">
        <f>IF(WEEKDAY(A6463,2)&gt;5,"Weekend","Weekday")</f>
        <v>Weekend</v>
      </c>
      <c r="I6463" t="str">
        <f>_xlfn.IFS(B6463&lt;=5,"Night (0-5)",B6463&lt;=9,"Morning peak (6-9)",B6463&lt;=15,"Midday (10-15)",B6463&lt;=19,"Evening peak (16-19)",TRUE,"Late evening (20-23)")</f>
        <v>Evening peak (16-19)</v>
      </c>
    </row>
    <row r="6464" spans="1:9">
      <c r="A6464" s="32">
        <v>42091</v>
      </c>
      <c r="B6464">
        <v>17</v>
      </c>
      <c r="C6464">
        <v>5136</v>
      </c>
      <c r="D6464" t="s">
        <v>304</v>
      </c>
      <c r="E6464">
        <f>YEAR(A6464)</f>
        <v>2015</v>
      </c>
      <c r="F6464" s="33">
        <f>DATE(YEAR(A6464),MONTH(A6464),1)</f>
        <v>42064.0</v>
      </c>
      <c r="G6464" t="str">
        <f>CHOOSE(WEEKDAY(A6464,2),"Mon","Tue","Wed","Thu","Fri","Sat","Sun")</f>
        <v>Sat</v>
      </c>
      <c r="H6464" t="str">
        <f>IF(WEEKDAY(A6464,2)&gt;5,"Weekend","Weekday")</f>
        <v>Weekend</v>
      </c>
      <c r="I6464" t="str">
        <f>_xlfn.IFS(B6464&lt;=5,"Night (0-5)",B6464&lt;=9,"Morning peak (6-9)",B6464&lt;=15,"Midday (10-15)",B6464&lt;=19,"Evening peak (16-19)",TRUE,"Late evening (20-23)")</f>
        <v>Evening peak (16-19)</v>
      </c>
    </row>
    <row r="6465" spans="1:9">
      <c r="A6465" s="32">
        <v>42091</v>
      </c>
      <c r="B6465">
        <v>18</v>
      </c>
      <c r="C6465">
        <v>5665</v>
      </c>
      <c r="D6465" t="s">
        <v>304</v>
      </c>
      <c r="E6465">
        <f>YEAR(A6465)</f>
        <v>2015</v>
      </c>
      <c r="F6465" s="33">
        <f>DATE(YEAR(A6465),MONTH(A6465),1)</f>
        <v>42064.0</v>
      </c>
      <c r="G6465" t="str">
        <f>CHOOSE(WEEKDAY(A6465,2),"Mon","Tue","Wed","Thu","Fri","Sat","Sun")</f>
        <v>Sat</v>
      </c>
      <c r="H6465" t="str">
        <f>IF(WEEKDAY(A6465,2)&gt;5,"Weekend","Weekday")</f>
        <v>Weekend</v>
      </c>
      <c r="I6465" t="str">
        <f>_xlfn.IFS(B6465&lt;=5,"Night (0-5)",B6465&lt;=9,"Morning peak (6-9)",B6465&lt;=15,"Midday (10-15)",B6465&lt;=19,"Evening peak (16-19)",TRUE,"Late evening (20-23)")</f>
        <v>Evening peak (16-19)</v>
      </c>
    </row>
    <row r="6466" spans="1:9">
      <c r="A6466" s="32">
        <v>42091</v>
      </c>
      <c r="B6466">
        <v>19</v>
      </c>
      <c r="C6466">
        <v>6585</v>
      </c>
      <c r="D6466" t="s">
        <v>304</v>
      </c>
      <c r="E6466">
        <f>YEAR(A6466)</f>
        <v>2015</v>
      </c>
      <c r="F6466" s="33">
        <f>DATE(YEAR(A6466),MONTH(A6466),1)</f>
        <v>42064.0</v>
      </c>
      <c r="G6466" t="str">
        <f>CHOOSE(WEEKDAY(A6466,2),"Mon","Tue","Wed","Thu","Fri","Sat","Sun")</f>
        <v>Sat</v>
      </c>
      <c r="H6466" t="str">
        <f>IF(WEEKDAY(A6466,2)&gt;5,"Weekend","Weekday")</f>
        <v>Weekend</v>
      </c>
      <c r="I6466" t="str">
        <f>_xlfn.IFS(B6466&lt;=5,"Night (0-5)",B6466&lt;=9,"Morning peak (6-9)",B6466&lt;=15,"Midday (10-15)",B6466&lt;=19,"Evening peak (16-19)",TRUE,"Late evening (20-23)")</f>
        <v>Evening peak (16-19)</v>
      </c>
    </row>
    <row r="6467" spans="1:9">
      <c r="A6467" s="32">
        <v>42091</v>
      </c>
      <c r="B6467">
        <v>20</v>
      </c>
      <c r="C6467">
        <v>6925</v>
      </c>
      <c r="D6467" t="s">
        <v>304</v>
      </c>
      <c r="E6467">
        <f>YEAR(A6467)</f>
        <v>2015</v>
      </c>
      <c r="F6467" s="33">
        <f>DATE(YEAR(A6467),MONTH(A6467),1)</f>
        <v>42064.0</v>
      </c>
      <c r="G6467" t="str">
        <f>CHOOSE(WEEKDAY(A6467,2),"Mon","Tue","Wed","Thu","Fri","Sat","Sun")</f>
        <v>Sat</v>
      </c>
      <c r="H6467" t="str">
        <f>IF(WEEKDAY(A6467,2)&gt;5,"Weekend","Weekday")</f>
        <v>Weekend</v>
      </c>
      <c r="I6467" t="str">
        <f>_xlfn.IFS(B6467&lt;=5,"Night (0-5)",B6467&lt;=9,"Morning peak (6-9)",B6467&lt;=15,"Midday (10-15)",B6467&lt;=19,"Evening peak (16-19)",TRUE,"Late evening (20-23)")</f>
        <v>Late evening (20-23)</v>
      </c>
    </row>
    <row r="6468" spans="1:9">
      <c r="A6468" s="32">
        <v>42091</v>
      </c>
      <c r="B6468">
        <v>21</v>
      </c>
      <c r="C6468">
        <v>6507</v>
      </c>
      <c r="D6468" t="s">
        <v>304</v>
      </c>
      <c r="E6468">
        <f>YEAR(A6468)</f>
        <v>2015</v>
      </c>
      <c r="F6468" s="33">
        <f>DATE(YEAR(A6468),MONTH(A6468),1)</f>
        <v>42064.0</v>
      </c>
      <c r="G6468" t="str">
        <f>CHOOSE(WEEKDAY(A6468,2),"Mon","Tue","Wed","Thu","Fri","Sat","Sun")</f>
        <v>Sat</v>
      </c>
      <c r="H6468" t="str">
        <f>IF(WEEKDAY(A6468,2)&gt;5,"Weekend","Weekday")</f>
        <v>Weekend</v>
      </c>
      <c r="I6468" t="str">
        <f>_xlfn.IFS(B6468&lt;=5,"Night (0-5)",B6468&lt;=9,"Morning peak (6-9)",B6468&lt;=15,"Midday (10-15)",B6468&lt;=19,"Evening peak (16-19)",TRUE,"Late evening (20-23)")</f>
        <v>Late evening (20-23)</v>
      </c>
    </row>
    <row r="6469" spans="1:9">
      <c r="A6469" s="32">
        <v>42091</v>
      </c>
      <c r="B6469">
        <v>22</v>
      </c>
      <c r="C6469">
        <v>6895</v>
      </c>
      <c r="D6469" t="s">
        <v>304</v>
      </c>
      <c r="E6469">
        <f>YEAR(A6469)</f>
        <v>2015</v>
      </c>
      <c r="F6469" s="33">
        <f>DATE(YEAR(A6469),MONTH(A6469),1)</f>
        <v>42064.0</v>
      </c>
      <c r="G6469" t="str">
        <f>CHOOSE(WEEKDAY(A6469,2),"Mon","Tue","Wed","Thu","Fri","Sat","Sun")</f>
        <v>Sat</v>
      </c>
      <c r="H6469" t="str">
        <f>IF(WEEKDAY(A6469,2)&gt;5,"Weekend","Weekday")</f>
        <v>Weekend</v>
      </c>
      <c r="I6469" t="str">
        <f>_xlfn.IFS(B6469&lt;=5,"Night (0-5)",B6469&lt;=9,"Morning peak (6-9)",B6469&lt;=15,"Midday (10-15)",B6469&lt;=19,"Evening peak (16-19)",TRUE,"Late evening (20-23)")</f>
        <v>Late evening (20-23)</v>
      </c>
    </row>
    <row r="6470" spans="1:9">
      <c r="A6470" s="32">
        <v>42091</v>
      </c>
      <c r="B6470">
        <v>23</v>
      </c>
      <c r="C6470">
        <v>7546</v>
      </c>
      <c r="D6470" t="s">
        <v>304</v>
      </c>
      <c r="E6470">
        <f>YEAR(A6470)</f>
        <v>2015</v>
      </c>
      <c r="F6470" s="33">
        <f>DATE(YEAR(A6470),MONTH(A6470),1)</f>
        <v>42064.0</v>
      </c>
      <c r="G6470" t="str">
        <f>CHOOSE(WEEKDAY(A6470,2),"Mon","Tue","Wed","Thu","Fri","Sat","Sun")</f>
        <v>Sat</v>
      </c>
      <c r="H6470" t="str">
        <f>IF(WEEKDAY(A6470,2)&gt;5,"Weekend","Weekday")</f>
        <v>Weekend</v>
      </c>
      <c r="I6470" t="str">
        <f>_xlfn.IFS(B6470&lt;=5,"Night (0-5)",B6470&lt;=9,"Morning peak (6-9)",B6470&lt;=15,"Midday (10-15)",B6470&lt;=19,"Evening peak (16-19)",TRUE,"Late evening (20-23)")</f>
        <v>Late evening (20-23)</v>
      </c>
    </row>
    <row r="6471" spans="1:9">
      <c r="A6471" s="32">
        <v>42092</v>
      </c>
      <c r="B6471">
        <v>0</v>
      </c>
      <c r="C6471">
        <v>6925</v>
      </c>
      <c r="D6471" t="s">
        <v>304</v>
      </c>
      <c r="E6471">
        <f>YEAR(A6471)</f>
        <v>2015</v>
      </c>
      <c r="F6471" s="33">
        <f>DATE(YEAR(A6471),MONTH(A6471),1)</f>
        <v>42064.0</v>
      </c>
      <c r="G6471" t="str">
        <f>CHOOSE(WEEKDAY(A6471,2),"Mon","Tue","Wed","Thu","Fri","Sat","Sun")</f>
        <v>Sun</v>
      </c>
      <c r="H6471" t="str">
        <f>IF(WEEKDAY(A6471,2)&gt;5,"Weekend","Weekday")</f>
        <v>Weekend</v>
      </c>
      <c r="I6471" t="str">
        <f>_xlfn.IFS(B6471&lt;=5,"Night (0-5)",B6471&lt;=9,"Morning peak (6-9)",B6471&lt;=15,"Midday (10-15)",B6471&lt;=19,"Evening peak (16-19)",TRUE,"Late evening (20-23)")</f>
        <v>Night (0-5)</v>
      </c>
    </row>
    <row r="6472" spans="1:9">
      <c r="A6472" s="32">
        <v>42092</v>
      </c>
      <c r="B6472">
        <v>1</v>
      </c>
      <c r="C6472">
        <v>5837</v>
      </c>
      <c r="D6472" t="s">
        <v>304</v>
      </c>
      <c r="E6472">
        <f>YEAR(A6472)</f>
        <v>2015</v>
      </c>
      <c r="F6472" s="33">
        <f>DATE(YEAR(A6472),MONTH(A6472),1)</f>
        <v>42064.0</v>
      </c>
      <c r="G6472" t="str">
        <f>CHOOSE(WEEKDAY(A6472,2),"Mon","Tue","Wed","Thu","Fri","Sat","Sun")</f>
        <v>Sun</v>
      </c>
      <c r="H6472" t="str">
        <f>IF(WEEKDAY(A6472,2)&gt;5,"Weekend","Weekday")</f>
        <v>Weekend</v>
      </c>
      <c r="I6472" t="str">
        <f>_xlfn.IFS(B6472&lt;=5,"Night (0-5)",B6472&lt;=9,"Morning peak (6-9)",B6472&lt;=15,"Midday (10-15)",B6472&lt;=19,"Evening peak (16-19)",TRUE,"Late evening (20-23)")</f>
        <v>Night (0-5)</v>
      </c>
    </row>
    <row r="6473" spans="1:9">
      <c r="A6473" s="32">
        <v>42092</v>
      </c>
      <c r="B6473">
        <v>2</v>
      </c>
      <c r="C6473">
        <v>4417</v>
      </c>
      <c r="D6473" t="s">
        <v>304</v>
      </c>
      <c r="E6473">
        <f>YEAR(A6473)</f>
        <v>2015</v>
      </c>
      <c r="F6473" s="33">
        <f>DATE(YEAR(A6473),MONTH(A6473),1)</f>
        <v>42064.0</v>
      </c>
      <c r="G6473" t="str">
        <f>CHOOSE(WEEKDAY(A6473,2),"Mon","Tue","Wed","Thu","Fri","Sat","Sun")</f>
        <v>Sun</v>
      </c>
      <c r="H6473" t="str">
        <f>IF(WEEKDAY(A6473,2)&gt;5,"Weekend","Weekday")</f>
        <v>Weekend</v>
      </c>
      <c r="I6473" t="str">
        <f>_xlfn.IFS(B6473&lt;=5,"Night (0-5)",B6473&lt;=9,"Morning peak (6-9)",B6473&lt;=15,"Midday (10-15)",B6473&lt;=19,"Evening peak (16-19)",TRUE,"Late evening (20-23)")</f>
        <v>Night (0-5)</v>
      </c>
    </row>
    <row r="6474" spans="1:9">
      <c r="A6474" s="32">
        <v>42092</v>
      </c>
      <c r="B6474">
        <v>3</v>
      </c>
      <c r="C6474">
        <v>2703</v>
      </c>
      <c r="D6474" t="s">
        <v>304</v>
      </c>
      <c r="E6474">
        <f>YEAR(A6474)</f>
        <v>2015</v>
      </c>
      <c r="F6474" s="33">
        <f>DATE(YEAR(A6474),MONTH(A6474),1)</f>
        <v>42064.0</v>
      </c>
      <c r="G6474" t="str">
        <f>CHOOSE(WEEKDAY(A6474,2),"Mon","Tue","Wed","Thu","Fri","Sat","Sun")</f>
        <v>Sun</v>
      </c>
      <c r="H6474" t="str">
        <f>IF(WEEKDAY(A6474,2)&gt;5,"Weekend","Weekday")</f>
        <v>Weekend</v>
      </c>
      <c r="I6474" t="str">
        <f>_xlfn.IFS(B6474&lt;=5,"Night (0-5)",B6474&lt;=9,"Morning peak (6-9)",B6474&lt;=15,"Midday (10-15)",B6474&lt;=19,"Evening peak (16-19)",TRUE,"Late evening (20-23)")</f>
        <v>Night (0-5)</v>
      </c>
    </row>
    <row r="6475" spans="1:9">
      <c r="A6475" s="32">
        <v>42092</v>
      </c>
      <c r="B6475">
        <v>4</v>
      </c>
      <c r="C6475">
        <v>1842</v>
      </c>
      <c r="D6475" t="s">
        <v>304</v>
      </c>
      <c r="E6475">
        <f>YEAR(A6475)</f>
        <v>2015</v>
      </c>
      <c r="F6475" s="33">
        <f>DATE(YEAR(A6475),MONTH(A6475),1)</f>
        <v>42064.0</v>
      </c>
      <c r="G6475" t="str">
        <f>CHOOSE(WEEKDAY(A6475,2),"Mon","Tue","Wed","Thu","Fri","Sat","Sun")</f>
        <v>Sun</v>
      </c>
      <c r="H6475" t="str">
        <f>IF(WEEKDAY(A6475,2)&gt;5,"Weekend","Weekday")</f>
        <v>Weekend</v>
      </c>
      <c r="I6475" t="str">
        <f>_xlfn.IFS(B6475&lt;=5,"Night (0-5)",B6475&lt;=9,"Morning peak (6-9)",B6475&lt;=15,"Midday (10-15)",B6475&lt;=19,"Evening peak (16-19)",TRUE,"Late evening (20-23)")</f>
        <v>Night (0-5)</v>
      </c>
    </row>
    <row r="6476" spans="1:9">
      <c r="A6476" s="32">
        <v>42092</v>
      </c>
      <c r="B6476">
        <v>5</v>
      </c>
      <c r="C6476">
        <v>1104</v>
      </c>
      <c r="D6476" t="s">
        <v>304</v>
      </c>
      <c r="E6476">
        <f>YEAR(A6476)</f>
        <v>2015</v>
      </c>
      <c r="F6476" s="33">
        <f>DATE(YEAR(A6476),MONTH(A6476),1)</f>
        <v>42064.0</v>
      </c>
      <c r="G6476" t="str">
        <f>CHOOSE(WEEKDAY(A6476,2),"Mon","Tue","Wed","Thu","Fri","Sat","Sun")</f>
        <v>Sun</v>
      </c>
      <c r="H6476" t="str">
        <f>IF(WEEKDAY(A6476,2)&gt;5,"Weekend","Weekday")</f>
        <v>Weekend</v>
      </c>
      <c r="I6476" t="str">
        <f>_xlfn.IFS(B6476&lt;=5,"Night (0-5)",B6476&lt;=9,"Morning peak (6-9)",B6476&lt;=15,"Midday (10-15)",B6476&lt;=19,"Evening peak (16-19)",TRUE,"Late evening (20-23)")</f>
        <v>Night (0-5)</v>
      </c>
    </row>
    <row r="6477" spans="1:9">
      <c r="A6477" s="32">
        <v>42092</v>
      </c>
      <c r="B6477">
        <v>6</v>
      </c>
      <c r="C6477">
        <v>898</v>
      </c>
      <c r="D6477" t="s">
        <v>304</v>
      </c>
      <c r="E6477">
        <f>YEAR(A6477)</f>
        <v>2015</v>
      </c>
      <c r="F6477" s="33">
        <f>DATE(YEAR(A6477),MONTH(A6477),1)</f>
        <v>42064.0</v>
      </c>
      <c r="G6477" t="str">
        <f>CHOOSE(WEEKDAY(A6477,2),"Mon","Tue","Wed","Thu","Fri","Sat","Sun")</f>
        <v>Sun</v>
      </c>
      <c r="H6477" t="str">
        <f>IF(WEEKDAY(A6477,2)&gt;5,"Weekend","Weekday")</f>
        <v>Weekend</v>
      </c>
      <c r="I6477" t="str">
        <f>_xlfn.IFS(B6477&lt;=5,"Night (0-5)",B6477&lt;=9,"Morning peak (6-9)",B6477&lt;=15,"Midday (10-15)",B6477&lt;=19,"Evening peak (16-19)",TRUE,"Late evening (20-23)")</f>
        <v>Morning peak (6-9)</v>
      </c>
    </row>
    <row r="6478" spans="1:9">
      <c r="A6478" s="32">
        <v>42092</v>
      </c>
      <c r="B6478">
        <v>7</v>
      </c>
      <c r="C6478">
        <v>925</v>
      </c>
      <c r="D6478" t="s">
        <v>304</v>
      </c>
      <c r="E6478">
        <f>YEAR(A6478)</f>
        <v>2015</v>
      </c>
      <c r="F6478" s="33">
        <f>DATE(YEAR(A6478),MONTH(A6478),1)</f>
        <v>42064.0</v>
      </c>
      <c r="G6478" t="str">
        <f>CHOOSE(WEEKDAY(A6478,2),"Mon","Tue","Wed","Thu","Fri","Sat","Sun")</f>
        <v>Sun</v>
      </c>
      <c r="H6478" t="str">
        <f>IF(WEEKDAY(A6478,2)&gt;5,"Weekend","Weekday")</f>
        <v>Weekend</v>
      </c>
      <c r="I6478" t="str">
        <f>_xlfn.IFS(B6478&lt;=5,"Night (0-5)",B6478&lt;=9,"Morning peak (6-9)",B6478&lt;=15,"Midday (10-15)",B6478&lt;=19,"Evening peak (16-19)",TRUE,"Late evening (20-23)")</f>
        <v>Morning peak (6-9)</v>
      </c>
    </row>
    <row r="6479" spans="1:9">
      <c r="A6479" s="32">
        <v>42092</v>
      </c>
      <c r="B6479">
        <v>8</v>
      </c>
      <c r="C6479">
        <v>1238</v>
      </c>
      <c r="D6479" t="s">
        <v>304</v>
      </c>
      <c r="E6479">
        <f>YEAR(A6479)</f>
        <v>2015</v>
      </c>
      <c r="F6479" s="33">
        <f>DATE(YEAR(A6479),MONTH(A6479),1)</f>
        <v>42064.0</v>
      </c>
      <c r="G6479" t="str">
        <f>CHOOSE(WEEKDAY(A6479,2),"Mon","Tue","Wed","Thu","Fri","Sat","Sun")</f>
        <v>Sun</v>
      </c>
      <c r="H6479" t="str">
        <f>IF(WEEKDAY(A6479,2)&gt;5,"Weekend","Weekday")</f>
        <v>Weekend</v>
      </c>
      <c r="I6479" t="str">
        <f>_xlfn.IFS(B6479&lt;=5,"Night (0-5)",B6479&lt;=9,"Morning peak (6-9)",B6479&lt;=15,"Midday (10-15)",B6479&lt;=19,"Evening peak (16-19)",TRUE,"Late evening (20-23)")</f>
        <v>Morning peak (6-9)</v>
      </c>
    </row>
    <row r="6480" spans="1:9">
      <c r="A6480" s="32">
        <v>42092</v>
      </c>
      <c r="B6480">
        <v>9</v>
      </c>
      <c r="C6480">
        <v>1751</v>
      </c>
      <c r="D6480" t="s">
        <v>304</v>
      </c>
      <c r="E6480">
        <f>YEAR(A6480)</f>
        <v>2015</v>
      </c>
      <c r="F6480" s="33">
        <f>DATE(YEAR(A6480),MONTH(A6480),1)</f>
        <v>42064.0</v>
      </c>
      <c r="G6480" t="str">
        <f>CHOOSE(WEEKDAY(A6480,2),"Mon","Tue","Wed","Thu","Fri","Sat","Sun")</f>
        <v>Sun</v>
      </c>
      <c r="H6480" t="str">
        <f>IF(WEEKDAY(A6480,2)&gt;5,"Weekend","Weekday")</f>
        <v>Weekend</v>
      </c>
      <c r="I6480" t="str">
        <f>_xlfn.IFS(B6480&lt;=5,"Night (0-5)",B6480&lt;=9,"Morning peak (6-9)",B6480&lt;=15,"Midday (10-15)",B6480&lt;=19,"Evening peak (16-19)",TRUE,"Late evening (20-23)")</f>
        <v>Morning peak (6-9)</v>
      </c>
    </row>
    <row r="6481" spans="1:9">
      <c r="A6481" s="32">
        <v>42092</v>
      </c>
      <c r="B6481">
        <v>10</v>
      </c>
      <c r="C6481">
        <v>2306</v>
      </c>
      <c r="D6481" t="s">
        <v>304</v>
      </c>
      <c r="E6481">
        <f>YEAR(A6481)</f>
        <v>2015</v>
      </c>
      <c r="F6481" s="33">
        <f>DATE(YEAR(A6481),MONTH(A6481),1)</f>
        <v>42064.0</v>
      </c>
      <c r="G6481" t="str">
        <f>CHOOSE(WEEKDAY(A6481,2),"Mon","Tue","Wed","Thu","Fri","Sat","Sun")</f>
        <v>Sun</v>
      </c>
      <c r="H6481" t="str">
        <f>IF(WEEKDAY(A6481,2)&gt;5,"Weekend","Weekday")</f>
        <v>Weekend</v>
      </c>
      <c r="I6481" t="str">
        <f>_xlfn.IFS(B6481&lt;=5,"Night (0-5)",B6481&lt;=9,"Morning peak (6-9)",B6481&lt;=15,"Midday (10-15)",B6481&lt;=19,"Evening peak (16-19)",TRUE,"Late evening (20-23)")</f>
        <v>Midday (10-15)</v>
      </c>
    </row>
    <row r="6482" spans="1:9">
      <c r="A6482" s="32">
        <v>42092</v>
      </c>
      <c r="B6482">
        <v>11</v>
      </c>
      <c r="C6482">
        <v>3016</v>
      </c>
      <c r="D6482" t="s">
        <v>304</v>
      </c>
      <c r="E6482">
        <f>YEAR(A6482)</f>
        <v>2015</v>
      </c>
      <c r="F6482" s="33">
        <f>DATE(YEAR(A6482),MONTH(A6482),1)</f>
        <v>42064.0</v>
      </c>
      <c r="G6482" t="str">
        <f>CHOOSE(WEEKDAY(A6482,2),"Mon","Tue","Wed","Thu","Fri","Sat","Sun")</f>
        <v>Sun</v>
      </c>
      <c r="H6482" t="str">
        <f>IF(WEEKDAY(A6482,2)&gt;5,"Weekend","Weekday")</f>
        <v>Weekend</v>
      </c>
      <c r="I6482" t="str">
        <f>_xlfn.IFS(B6482&lt;=5,"Night (0-5)",B6482&lt;=9,"Morning peak (6-9)",B6482&lt;=15,"Midday (10-15)",B6482&lt;=19,"Evening peak (16-19)",TRUE,"Late evening (20-23)")</f>
        <v>Midday (10-15)</v>
      </c>
    </row>
    <row r="6483" spans="1:9">
      <c r="A6483" s="32">
        <v>42092</v>
      </c>
      <c r="B6483">
        <v>12</v>
      </c>
      <c r="C6483">
        <v>3263</v>
      </c>
      <c r="D6483" t="s">
        <v>304</v>
      </c>
      <c r="E6483">
        <f>YEAR(A6483)</f>
        <v>2015</v>
      </c>
      <c r="F6483" s="33">
        <f>DATE(YEAR(A6483),MONTH(A6483),1)</f>
        <v>42064.0</v>
      </c>
      <c r="G6483" t="str">
        <f>CHOOSE(WEEKDAY(A6483,2),"Mon","Tue","Wed","Thu","Fri","Sat","Sun")</f>
        <v>Sun</v>
      </c>
      <c r="H6483" t="str">
        <f>IF(WEEKDAY(A6483,2)&gt;5,"Weekend","Weekday")</f>
        <v>Weekend</v>
      </c>
      <c r="I6483" t="str">
        <f>_xlfn.IFS(B6483&lt;=5,"Night (0-5)",B6483&lt;=9,"Morning peak (6-9)",B6483&lt;=15,"Midday (10-15)",B6483&lt;=19,"Evening peak (16-19)",TRUE,"Late evening (20-23)")</f>
        <v>Midday (10-15)</v>
      </c>
    </row>
    <row r="6484" spans="1:9">
      <c r="A6484" s="32">
        <v>42092</v>
      </c>
      <c r="B6484">
        <v>13</v>
      </c>
      <c r="C6484">
        <v>3319</v>
      </c>
      <c r="D6484" t="s">
        <v>304</v>
      </c>
      <c r="E6484">
        <f>YEAR(A6484)</f>
        <v>2015</v>
      </c>
      <c r="F6484" s="33">
        <f>DATE(YEAR(A6484),MONTH(A6484),1)</f>
        <v>42064.0</v>
      </c>
      <c r="G6484" t="str">
        <f>CHOOSE(WEEKDAY(A6484,2),"Mon","Tue","Wed","Thu","Fri","Sat","Sun")</f>
        <v>Sun</v>
      </c>
      <c r="H6484" t="str">
        <f>IF(WEEKDAY(A6484,2)&gt;5,"Weekend","Weekday")</f>
        <v>Weekend</v>
      </c>
      <c r="I6484" t="str">
        <f>_xlfn.IFS(B6484&lt;=5,"Night (0-5)",B6484&lt;=9,"Morning peak (6-9)",B6484&lt;=15,"Midday (10-15)",B6484&lt;=19,"Evening peak (16-19)",TRUE,"Late evening (20-23)")</f>
        <v>Midday (10-15)</v>
      </c>
    </row>
    <row r="6485" spans="1:9">
      <c r="A6485" s="32">
        <v>42092</v>
      </c>
      <c r="B6485">
        <v>14</v>
      </c>
      <c r="C6485">
        <v>3466</v>
      </c>
      <c r="D6485" t="s">
        <v>304</v>
      </c>
      <c r="E6485">
        <f>YEAR(A6485)</f>
        <v>2015</v>
      </c>
      <c r="F6485" s="33">
        <f>DATE(YEAR(A6485),MONTH(A6485),1)</f>
        <v>42064.0</v>
      </c>
      <c r="G6485" t="str">
        <f>CHOOSE(WEEKDAY(A6485,2),"Mon","Tue","Wed","Thu","Fri","Sat","Sun")</f>
        <v>Sun</v>
      </c>
      <c r="H6485" t="str">
        <f>IF(WEEKDAY(A6485,2)&gt;5,"Weekend","Weekday")</f>
        <v>Weekend</v>
      </c>
      <c r="I6485" t="str">
        <f>_xlfn.IFS(B6485&lt;=5,"Night (0-5)",B6485&lt;=9,"Morning peak (6-9)",B6485&lt;=15,"Midday (10-15)",B6485&lt;=19,"Evening peak (16-19)",TRUE,"Late evening (20-23)")</f>
        <v>Midday (10-15)</v>
      </c>
    </row>
    <row r="6486" spans="1:9">
      <c r="A6486" s="32">
        <v>42092</v>
      </c>
      <c r="B6486">
        <v>15</v>
      </c>
      <c r="C6486">
        <v>3664</v>
      </c>
      <c r="D6486" t="s">
        <v>304</v>
      </c>
      <c r="E6486">
        <f>YEAR(A6486)</f>
        <v>2015</v>
      </c>
      <c r="F6486" s="33">
        <f>DATE(YEAR(A6486),MONTH(A6486),1)</f>
        <v>42064.0</v>
      </c>
      <c r="G6486" t="str">
        <f>CHOOSE(WEEKDAY(A6486,2),"Mon","Tue","Wed","Thu","Fri","Sat","Sun")</f>
        <v>Sun</v>
      </c>
      <c r="H6486" t="str">
        <f>IF(WEEKDAY(A6486,2)&gt;5,"Weekend","Weekday")</f>
        <v>Weekend</v>
      </c>
      <c r="I6486" t="str">
        <f>_xlfn.IFS(B6486&lt;=5,"Night (0-5)",B6486&lt;=9,"Morning peak (6-9)",B6486&lt;=15,"Midday (10-15)",B6486&lt;=19,"Evening peak (16-19)",TRUE,"Late evening (20-23)")</f>
        <v>Midday (10-15)</v>
      </c>
    </row>
    <row r="6487" spans="1:9">
      <c r="A6487" s="32">
        <v>42092</v>
      </c>
      <c r="B6487">
        <v>16</v>
      </c>
      <c r="C6487">
        <v>3868</v>
      </c>
      <c r="D6487" t="s">
        <v>304</v>
      </c>
      <c r="E6487">
        <f>YEAR(A6487)</f>
        <v>2015</v>
      </c>
      <c r="F6487" s="33">
        <f>DATE(YEAR(A6487),MONTH(A6487),1)</f>
        <v>42064.0</v>
      </c>
      <c r="G6487" t="str">
        <f>CHOOSE(WEEKDAY(A6487,2),"Mon","Tue","Wed","Thu","Fri","Sat","Sun")</f>
        <v>Sun</v>
      </c>
      <c r="H6487" t="str">
        <f>IF(WEEKDAY(A6487,2)&gt;5,"Weekend","Weekday")</f>
        <v>Weekend</v>
      </c>
      <c r="I6487" t="str">
        <f>_xlfn.IFS(B6487&lt;=5,"Night (0-5)",B6487&lt;=9,"Morning peak (6-9)",B6487&lt;=15,"Midday (10-15)",B6487&lt;=19,"Evening peak (16-19)",TRUE,"Late evening (20-23)")</f>
        <v>Evening peak (16-19)</v>
      </c>
    </row>
    <row r="6488" spans="1:9">
      <c r="A6488" s="32">
        <v>42092</v>
      </c>
      <c r="B6488">
        <v>17</v>
      </c>
      <c r="C6488">
        <v>4172</v>
      </c>
      <c r="D6488" t="s">
        <v>304</v>
      </c>
      <c r="E6488">
        <f>YEAR(A6488)</f>
        <v>2015</v>
      </c>
      <c r="F6488" s="33">
        <f>DATE(YEAR(A6488),MONTH(A6488),1)</f>
        <v>42064.0</v>
      </c>
      <c r="G6488" t="str">
        <f>CHOOSE(WEEKDAY(A6488,2),"Mon","Tue","Wed","Thu","Fri","Sat","Sun")</f>
        <v>Sun</v>
      </c>
      <c r="H6488" t="str">
        <f>IF(WEEKDAY(A6488,2)&gt;5,"Weekend","Weekday")</f>
        <v>Weekend</v>
      </c>
      <c r="I6488" t="str">
        <f>_xlfn.IFS(B6488&lt;=5,"Night (0-5)",B6488&lt;=9,"Morning peak (6-9)",B6488&lt;=15,"Midday (10-15)",B6488&lt;=19,"Evening peak (16-19)",TRUE,"Late evening (20-23)")</f>
        <v>Evening peak (16-19)</v>
      </c>
    </row>
    <row r="6489" spans="1:9">
      <c r="A6489" s="32">
        <v>42092</v>
      </c>
      <c r="B6489">
        <v>18</v>
      </c>
      <c r="C6489">
        <v>3946</v>
      </c>
      <c r="D6489" t="s">
        <v>304</v>
      </c>
      <c r="E6489">
        <f>YEAR(A6489)</f>
        <v>2015</v>
      </c>
      <c r="F6489" s="33">
        <f>DATE(YEAR(A6489),MONTH(A6489),1)</f>
        <v>42064.0</v>
      </c>
      <c r="G6489" t="str">
        <f>CHOOSE(WEEKDAY(A6489,2),"Mon","Tue","Wed","Thu","Fri","Sat","Sun")</f>
        <v>Sun</v>
      </c>
      <c r="H6489" t="str">
        <f>IF(WEEKDAY(A6489,2)&gt;5,"Weekend","Weekday")</f>
        <v>Weekend</v>
      </c>
      <c r="I6489" t="str">
        <f>_xlfn.IFS(B6489&lt;=5,"Night (0-5)",B6489&lt;=9,"Morning peak (6-9)",B6489&lt;=15,"Midday (10-15)",B6489&lt;=19,"Evening peak (16-19)",TRUE,"Late evening (20-23)")</f>
        <v>Evening peak (16-19)</v>
      </c>
    </row>
    <row r="6490" spans="1:9">
      <c r="A6490" s="32">
        <v>42092</v>
      </c>
      <c r="B6490">
        <v>19</v>
      </c>
      <c r="C6490">
        <v>3894</v>
      </c>
      <c r="D6490" t="s">
        <v>304</v>
      </c>
      <c r="E6490">
        <f>YEAR(A6490)</f>
        <v>2015</v>
      </c>
      <c r="F6490" s="33">
        <f>DATE(YEAR(A6490),MONTH(A6490),1)</f>
        <v>42064.0</v>
      </c>
      <c r="G6490" t="str">
        <f>CHOOSE(WEEKDAY(A6490,2),"Mon","Tue","Wed","Thu","Fri","Sat","Sun")</f>
        <v>Sun</v>
      </c>
      <c r="H6490" t="str">
        <f>IF(WEEKDAY(A6490,2)&gt;5,"Weekend","Weekday")</f>
        <v>Weekend</v>
      </c>
      <c r="I6490" t="str">
        <f>_xlfn.IFS(B6490&lt;=5,"Night (0-5)",B6490&lt;=9,"Morning peak (6-9)",B6490&lt;=15,"Midday (10-15)",B6490&lt;=19,"Evening peak (16-19)",TRUE,"Late evening (20-23)")</f>
        <v>Evening peak (16-19)</v>
      </c>
    </row>
    <row r="6491" spans="1:9">
      <c r="A6491" s="32">
        <v>42092</v>
      </c>
      <c r="B6491">
        <v>20</v>
      </c>
      <c r="C6491">
        <v>3610</v>
      </c>
      <c r="D6491" t="s">
        <v>304</v>
      </c>
      <c r="E6491">
        <f>YEAR(A6491)</f>
        <v>2015</v>
      </c>
      <c r="F6491" s="33">
        <f>DATE(YEAR(A6491),MONTH(A6491),1)</f>
        <v>42064.0</v>
      </c>
      <c r="G6491" t="str">
        <f>CHOOSE(WEEKDAY(A6491,2),"Mon","Tue","Wed","Thu","Fri","Sat","Sun")</f>
        <v>Sun</v>
      </c>
      <c r="H6491" t="str">
        <f>IF(WEEKDAY(A6491,2)&gt;5,"Weekend","Weekday")</f>
        <v>Weekend</v>
      </c>
      <c r="I6491" t="str">
        <f>_xlfn.IFS(B6491&lt;=5,"Night (0-5)",B6491&lt;=9,"Morning peak (6-9)",B6491&lt;=15,"Midday (10-15)",B6491&lt;=19,"Evening peak (16-19)",TRUE,"Late evening (20-23)")</f>
        <v>Late evening (20-23)</v>
      </c>
    </row>
    <row r="6492" spans="1:9">
      <c r="A6492" s="32">
        <v>42092</v>
      </c>
      <c r="B6492">
        <v>21</v>
      </c>
      <c r="C6492">
        <v>3421</v>
      </c>
      <c r="D6492" t="s">
        <v>304</v>
      </c>
      <c r="E6492">
        <f>YEAR(A6492)</f>
        <v>2015</v>
      </c>
      <c r="F6492" s="33">
        <f>DATE(YEAR(A6492),MONTH(A6492),1)</f>
        <v>42064.0</v>
      </c>
      <c r="G6492" t="str">
        <f>CHOOSE(WEEKDAY(A6492,2),"Mon","Tue","Wed","Thu","Fri","Sat","Sun")</f>
        <v>Sun</v>
      </c>
      <c r="H6492" t="str">
        <f>IF(WEEKDAY(A6492,2)&gt;5,"Weekend","Weekday")</f>
        <v>Weekend</v>
      </c>
      <c r="I6492" t="str">
        <f>_xlfn.IFS(B6492&lt;=5,"Night (0-5)",B6492&lt;=9,"Morning peak (6-9)",B6492&lt;=15,"Midday (10-15)",B6492&lt;=19,"Evening peak (16-19)",TRUE,"Late evening (20-23)")</f>
        <v>Late evening (20-23)</v>
      </c>
    </row>
    <row r="6493" spans="1:9">
      <c r="A6493" s="32">
        <v>42092</v>
      </c>
      <c r="B6493">
        <v>22</v>
      </c>
      <c r="C6493">
        <v>3356</v>
      </c>
      <c r="D6493" t="s">
        <v>304</v>
      </c>
      <c r="E6493">
        <f>YEAR(A6493)</f>
        <v>2015</v>
      </c>
      <c r="F6493" s="33">
        <f>DATE(YEAR(A6493),MONTH(A6493),1)</f>
        <v>42064.0</v>
      </c>
      <c r="G6493" t="str">
        <f>CHOOSE(WEEKDAY(A6493,2),"Mon","Tue","Wed","Thu","Fri","Sat","Sun")</f>
        <v>Sun</v>
      </c>
      <c r="H6493" t="str">
        <f>IF(WEEKDAY(A6493,2)&gt;5,"Weekend","Weekday")</f>
        <v>Weekend</v>
      </c>
      <c r="I6493" t="str">
        <f>_xlfn.IFS(B6493&lt;=5,"Night (0-5)",B6493&lt;=9,"Morning peak (6-9)",B6493&lt;=15,"Midday (10-15)",B6493&lt;=19,"Evening peak (16-19)",TRUE,"Late evening (20-23)")</f>
        <v>Late evening (20-23)</v>
      </c>
    </row>
    <row r="6494" spans="1:9">
      <c r="A6494" s="32">
        <v>42092</v>
      </c>
      <c r="B6494">
        <v>23</v>
      </c>
      <c r="C6494">
        <v>2707</v>
      </c>
      <c r="D6494" t="s">
        <v>304</v>
      </c>
      <c r="E6494">
        <f>YEAR(A6494)</f>
        <v>2015</v>
      </c>
      <c r="F6494" s="33">
        <f>DATE(YEAR(A6494),MONTH(A6494),1)</f>
        <v>42064.0</v>
      </c>
      <c r="G6494" t="str">
        <f>CHOOSE(WEEKDAY(A6494,2),"Mon","Tue","Wed","Thu","Fri","Sat","Sun")</f>
        <v>Sun</v>
      </c>
      <c r="H6494" t="str">
        <f>IF(WEEKDAY(A6494,2)&gt;5,"Weekend","Weekday")</f>
        <v>Weekend</v>
      </c>
      <c r="I6494" t="str">
        <f>_xlfn.IFS(B6494&lt;=5,"Night (0-5)",B6494&lt;=9,"Morning peak (6-9)",B6494&lt;=15,"Midday (10-15)",B6494&lt;=19,"Evening peak (16-19)",TRUE,"Late evening (20-23)")</f>
        <v>Late evening (20-23)</v>
      </c>
    </row>
    <row r="6495" spans="1:9">
      <c r="A6495" s="32">
        <v>42093</v>
      </c>
      <c r="B6495">
        <v>0</v>
      </c>
      <c r="C6495">
        <v>1610</v>
      </c>
      <c r="D6495" t="s">
        <v>304</v>
      </c>
      <c r="E6495">
        <f>YEAR(A6495)</f>
        <v>2015</v>
      </c>
      <c r="F6495" s="33">
        <f>DATE(YEAR(A6495),MONTH(A6495),1)</f>
        <v>42064.0</v>
      </c>
      <c r="G6495" t="str">
        <f>CHOOSE(WEEKDAY(A6495,2),"Mon","Tue","Wed","Thu","Fri","Sat","Sun")</f>
        <v>Mon</v>
      </c>
      <c r="H6495" t="str">
        <f>IF(WEEKDAY(A6495,2)&gt;5,"Weekend","Weekday")</f>
        <v>Weekday</v>
      </c>
      <c r="I6495" t="str">
        <f>_xlfn.IFS(B6495&lt;=5,"Night (0-5)",B6495&lt;=9,"Morning peak (6-9)",B6495&lt;=15,"Midday (10-15)",B6495&lt;=19,"Evening peak (16-19)",TRUE,"Late evening (20-23)")</f>
        <v>Night (0-5)</v>
      </c>
    </row>
    <row r="6496" spans="1:9">
      <c r="A6496" s="32">
        <v>42093</v>
      </c>
      <c r="B6496">
        <v>1</v>
      </c>
      <c r="C6496">
        <v>825</v>
      </c>
      <c r="D6496" t="s">
        <v>304</v>
      </c>
      <c r="E6496">
        <f>YEAR(A6496)</f>
        <v>2015</v>
      </c>
      <c r="F6496" s="33">
        <f>DATE(YEAR(A6496),MONTH(A6496),1)</f>
        <v>42064.0</v>
      </c>
      <c r="G6496" t="str">
        <f>CHOOSE(WEEKDAY(A6496,2),"Mon","Tue","Wed","Thu","Fri","Sat","Sun")</f>
        <v>Mon</v>
      </c>
      <c r="H6496" t="str">
        <f>IF(WEEKDAY(A6496,2)&gt;5,"Weekend","Weekday")</f>
        <v>Weekday</v>
      </c>
      <c r="I6496" t="str">
        <f>_xlfn.IFS(B6496&lt;=5,"Night (0-5)",B6496&lt;=9,"Morning peak (6-9)",B6496&lt;=15,"Midday (10-15)",B6496&lt;=19,"Evening peak (16-19)",TRUE,"Late evening (20-23)")</f>
        <v>Night (0-5)</v>
      </c>
    </row>
    <row r="6497" spans="1:9">
      <c r="A6497" s="32">
        <v>42093</v>
      </c>
      <c r="B6497">
        <v>2</v>
      </c>
      <c r="C6497">
        <v>457</v>
      </c>
      <c r="D6497" t="s">
        <v>304</v>
      </c>
      <c r="E6497">
        <f>YEAR(A6497)</f>
        <v>2015</v>
      </c>
      <c r="F6497" s="33">
        <f>DATE(YEAR(A6497),MONTH(A6497),1)</f>
        <v>42064.0</v>
      </c>
      <c r="G6497" t="str">
        <f>CHOOSE(WEEKDAY(A6497,2),"Mon","Tue","Wed","Thu","Fri","Sat","Sun")</f>
        <v>Mon</v>
      </c>
      <c r="H6497" t="str">
        <f>IF(WEEKDAY(A6497,2)&gt;5,"Weekend","Weekday")</f>
        <v>Weekday</v>
      </c>
      <c r="I6497" t="str">
        <f>_xlfn.IFS(B6497&lt;=5,"Night (0-5)",B6497&lt;=9,"Morning peak (6-9)",B6497&lt;=15,"Midday (10-15)",B6497&lt;=19,"Evening peak (16-19)",TRUE,"Late evening (20-23)")</f>
        <v>Night (0-5)</v>
      </c>
    </row>
    <row r="6498" spans="1:9">
      <c r="A6498" s="32">
        <v>42093</v>
      </c>
      <c r="B6498">
        <v>3</v>
      </c>
      <c r="C6498">
        <v>379</v>
      </c>
      <c r="D6498" t="s">
        <v>304</v>
      </c>
      <c r="E6498">
        <f>YEAR(A6498)</f>
        <v>2015</v>
      </c>
      <c r="F6498" s="33">
        <f>DATE(YEAR(A6498),MONTH(A6498),1)</f>
        <v>42064.0</v>
      </c>
      <c r="G6498" t="str">
        <f>CHOOSE(WEEKDAY(A6498,2),"Mon","Tue","Wed","Thu","Fri","Sat","Sun")</f>
        <v>Mon</v>
      </c>
      <c r="H6498" t="str">
        <f>IF(WEEKDAY(A6498,2)&gt;5,"Weekend","Weekday")</f>
        <v>Weekday</v>
      </c>
      <c r="I6498" t="str">
        <f>_xlfn.IFS(B6498&lt;=5,"Night (0-5)",B6498&lt;=9,"Morning peak (6-9)",B6498&lt;=15,"Midday (10-15)",B6498&lt;=19,"Evening peak (16-19)",TRUE,"Late evening (20-23)")</f>
        <v>Night (0-5)</v>
      </c>
    </row>
    <row r="6499" spans="1:9">
      <c r="A6499" s="32">
        <v>42093</v>
      </c>
      <c r="B6499">
        <v>4</v>
      </c>
      <c r="C6499">
        <v>671</v>
      </c>
      <c r="D6499" t="s">
        <v>304</v>
      </c>
      <c r="E6499">
        <f>YEAR(A6499)</f>
        <v>2015</v>
      </c>
      <c r="F6499" s="33">
        <f>DATE(YEAR(A6499),MONTH(A6499),1)</f>
        <v>42064.0</v>
      </c>
      <c r="G6499" t="str">
        <f>CHOOSE(WEEKDAY(A6499,2),"Mon","Tue","Wed","Thu","Fri","Sat","Sun")</f>
        <v>Mon</v>
      </c>
      <c r="H6499" t="str">
        <f>IF(WEEKDAY(A6499,2)&gt;5,"Weekend","Weekday")</f>
        <v>Weekday</v>
      </c>
      <c r="I6499" t="str">
        <f>_xlfn.IFS(B6499&lt;=5,"Night (0-5)",B6499&lt;=9,"Morning peak (6-9)",B6499&lt;=15,"Midday (10-15)",B6499&lt;=19,"Evening peak (16-19)",TRUE,"Late evening (20-23)")</f>
        <v>Night (0-5)</v>
      </c>
    </row>
    <row r="6500" spans="1:9">
      <c r="A6500" s="32">
        <v>42093</v>
      </c>
      <c r="B6500">
        <v>5</v>
      </c>
      <c r="C6500">
        <v>1270</v>
      </c>
      <c r="D6500" t="s">
        <v>304</v>
      </c>
      <c r="E6500">
        <f>YEAR(A6500)</f>
        <v>2015</v>
      </c>
      <c r="F6500" s="33">
        <f>DATE(YEAR(A6500),MONTH(A6500),1)</f>
        <v>42064.0</v>
      </c>
      <c r="G6500" t="str">
        <f>CHOOSE(WEEKDAY(A6500,2),"Mon","Tue","Wed","Thu","Fri","Sat","Sun")</f>
        <v>Mon</v>
      </c>
      <c r="H6500" t="str">
        <f>IF(WEEKDAY(A6500,2)&gt;5,"Weekend","Weekday")</f>
        <v>Weekday</v>
      </c>
      <c r="I6500" t="str">
        <f>_xlfn.IFS(B6500&lt;=5,"Night (0-5)",B6500&lt;=9,"Morning peak (6-9)",B6500&lt;=15,"Midday (10-15)",B6500&lt;=19,"Evening peak (16-19)",TRUE,"Late evening (20-23)")</f>
        <v>Night (0-5)</v>
      </c>
    </row>
    <row r="6501" spans="1:9">
      <c r="A6501" s="32">
        <v>42093</v>
      </c>
      <c r="B6501">
        <v>6</v>
      </c>
      <c r="C6501">
        <v>2021</v>
      </c>
      <c r="D6501" t="s">
        <v>304</v>
      </c>
      <c r="E6501">
        <f>YEAR(A6501)</f>
        <v>2015</v>
      </c>
      <c r="F6501" s="33">
        <f>DATE(YEAR(A6501),MONTH(A6501),1)</f>
        <v>42064.0</v>
      </c>
      <c r="G6501" t="str">
        <f>CHOOSE(WEEKDAY(A6501,2),"Mon","Tue","Wed","Thu","Fri","Sat","Sun")</f>
        <v>Mon</v>
      </c>
      <c r="H6501" t="str">
        <f>IF(WEEKDAY(A6501,2)&gt;5,"Weekend","Weekday")</f>
        <v>Weekday</v>
      </c>
      <c r="I6501" t="str">
        <f>_xlfn.IFS(B6501&lt;=5,"Night (0-5)",B6501&lt;=9,"Morning peak (6-9)",B6501&lt;=15,"Midday (10-15)",B6501&lt;=19,"Evening peak (16-19)",TRUE,"Late evening (20-23)")</f>
        <v>Morning peak (6-9)</v>
      </c>
    </row>
    <row r="6502" spans="1:9">
      <c r="A6502" s="32">
        <v>42093</v>
      </c>
      <c r="B6502">
        <v>7</v>
      </c>
      <c r="C6502">
        <v>3195</v>
      </c>
      <c r="D6502" t="s">
        <v>304</v>
      </c>
      <c r="E6502">
        <f>YEAR(A6502)</f>
        <v>2015</v>
      </c>
      <c r="F6502" s="33">
        <f>DATE(YEAR(A6502),MONTH(A6502),1)</f>
        <v>42064.0</v>
      </c>
      <c r="G6502" t="str">
        <f>CHOOSE(WEEKDAY(A6502,2),"Mon","Tue","Wed","Thu","Fri","Sat","Sun")</f>
        <v>Mon</v>
      </c>
      <c r="H6502" t="str">
        <f>IF(WEEKDAY(A6502,2)&gt;5,"Weekend","Weekday")</f>
        <v>Weekday</v>
      </c>
      <c r="I6502" t="str">
        <f>_xlfn.IFS(B6502&lt;=5,"Night (0-5)",B6502&lt;=9,"Morning peak (6-9)",B6502&lt;=15,"Midday (10-15)",B6502&lt;=19,"Evening peak (16-19)",TRUE,"Late evening (20-23)")</f>
        <v>Morning peak (6-9)</v>
      </c>
    </row>
    <row r="6503" spans="1:9">
      <c r="A6503" s="32">
        <v>42093</v>
      </c>
      <c r="B6503">
        <v>8</v>
      </c>
      <c r="C6503">
        <v>4010</v>
      </c>
      <c r="D6503" t="s">
        <v>304</v>
      </c>
      <c r="E6503">
        <f>YEAR(A6503)</f>
        <v>2015</v>
      </c>
      <c r="F6503" s="33">
        <f>DATE(YEAR(A6503),MONTH(A6503),1)</f>
        <v>42064.0</v>
      </c>
      <c r="G6503" t="str">
        <f>CHOOSE(WEEKDAY(A6503,2),"Mon","Tue","Wed","Thu","Fri","Sat","Sun")</f>
        <v>Mon</v>
      </c>
      <c r="H6503" t="str">
        <f>IF(WEEKDAY(A6503,2)&gt;5,"Weekend","Weekday")</f>
        <v>Weekday</v>
      </c>
      <c r="I6503" t="str">
        <f>_xlfn.IFS(B6503&lt;=5,"Night (0-5)",B6503&lt;=9,"Morning peak (6-9)",B6503&lt;=15,"Midday (10-15)",B6503&lt;=19,"Evening peak (16-19)",TRUE,"Late evening (20-23)")</f>
        <v>Morning peak (6-9)</v>
      </c>
    </row>
    <row r="6504" spans="1:9">
      <c r="A6504" s="32">
        <v>42093</v>
      </c>
      <c r="B6504">
        <v>9</v>
      </c>
      <c r="C6504">
        <v>3704</v>
      </c>
      <c r="D6504" t="s">
        <v>304</v>
      </c>
      <c r="E6504">
        <f>YEAR(A6504)</f>
        <v>2015</v>
      </c>
      <c r="F6504" s="33">
        <f>DATE(YEAR(A6504),MONTH(A6504),1)</f>
        <v>42064.0</v>
      </c>
      <c r="G6504" t="str">
        <f>CHOOSE(WEEKDAY(A6504,2),"Mon","Tue","Wed","Thu","Fri","Sat","Sun")</f>
        <v>Mon</v>
      </c>
      <c r="H6504" t="str">
        <f>IF(WEEKDAY(A6504,2)&gt;5,"Weekend","Weekday")</f>
        <v>Weekday</v>
      </c>
      <c r="I6504" t="str">
        <f>_xlfn.IFS(B6504&lt;=5,"Night (0-5)",B6504&lt;=9,"Morning peak (6-9)",B6504&lt;=15,"Midday (10-15)",B6504&lt;=19,"Evening peak (16-19)",TRUE,"Late evening (20-23)")</f>
        <v>Morning peak (6-9)</v>
      </c>
    </row>
    <row r="6505" spans="1:9">
      <c r="A6505" s="32">
        <v>42093</v>
      </c>
      <c r="B6505">
        <v>10</v>
      </c>
      <c r="C6505">
        <v>2723</v>
      </c>
      <c r="D6505" t="s">
        <v>304</v>
      </c>
      <c r="E6505">
        <f>YEAR(A6505)</f>
        <v>2015</v>
      </c>
      <c r="F6505" s="33">
        <f>DATE(YEAR(A6505),MONTH(A6505),1)</f>
        <v>42064.0</v>
      </c>
      <c r="G6505" t="str">
        <f>CHOOSE(WEEKDAY(A6505,2),"Mon","Tue","Wed","Thu","Fri","Sat","Sun")</f>
        <v>Mon</v>
      </c>
      <c r="H6505" t="str">
        <f>IF(WEEKDAY(A6505,2)&gt;5,"Weekend","Weekday")</f>
        <v>Weekday</v>
      </c>
      <c r="I6505" t="str">
        <f>_xlfn.IFS(B6505&lt;=5,"Night (0-5)",B6505&lt;=9,"Morning peak (6-9)",B6505&lt;=15,"Midday (10-15)",B6505&lt;=19,"Evening peak (16-19)",TRUE,"Late evening (20-23)")</f>
        <v>Midday (10-15)</v>
      </c>
    </row>
    <row r="6506" spans="1:9">
      <c r="A6506" s="32">
        <v>42093</v>
      </c>
      <c r="B6506">
        <v>11</v>
      </c>
      <c r="C6506">
        <v>2417</v>
      </c>
      <c r="D6506" t="s">
        <v>304</v>
      </c>
      <c r="E6506">
        <f>YEAR(A6506)</f>
        <v>2015</v>
      </c>
      <c r="F6506" s="33">
        <f>DATE(YEAR(A6506),MONTH(A6506),1)</f>
        <v>42064.0</v>
      </c>
      <c r="G6506" t="str">
        <f>CHOOSE(WEEKDAY(A6506,2),"Mon","Tue","Wed","Thu","Fri","Sat","Sun")</f>
        <v>Mon</v>
      </c>
      <c r="H6506" t="str">
        <f>IF(WEEKDAY(A6506,2)&gt;5,"Weekend","Weekday")</f>
        <v>Weekday</v>
      </c>
      <c r="I6506" t="str">
        <f>_xlfn.IFS(B6506&lt;=5,"Night (0-5)",B6506&lt;=9,"Morning peak (6-9)",B6506&lt;=15,"Midday (10-15)",B6506&lt;=19,"Evening peak (16-19)",TRUE,"Late evening (20-23)")</f>
        <v>Midday (10-15)</v>
      </c>
    </row>
    <row r="6507" spans="1:9">
      <c r="A6507" s="32">
        <v>42093</v>
      </c>
      <c r="B6507">
        <v>12</v>
      </c>
      <c r="C6507">
        <v>2391</v>
      </c>
      <c r="D6507" t="s">
        <v>304</v>
      </c>
      <c r="E6507">
        <f>YEAR(A6507)</f>
        <v>2015</v>
      </c>
      <c r="F6507" s="33">
        <f>DATE(YEAR(A6507),MONTH(A6507),1)</f>
        <v>42064.0</v>
      </c>
      <c r="G6507" t="str">
        <f>CHOOSE(WEEKDAY(A6507,2),"Mon","Tue","Wed","Thu","Fri","Sat","Sun")</f>
        <v>Mon</v>
      </c>
      <c r="H6507" t="str">
        <f>IF(WEEKDAY(A6507,2)&gt;5,"Weekend","Weekday")</f>
        <v>Weekday</v>
      </c>
      <c r="I6507" t="str">
        <f>_xlfn.IFS(B6507&lt;=5,"Night (0-5)",B6507&lt;=9,"Morning peak (6-9)",B6507&lt;=15,"Midday (10-15)",B6507&lt;=19,"Evening peak (16-19)",TRUE,"Late evening (20-23)")</f>
        <v>Midday (10-15)</v>
      </c>
    </row>
    <row r="6508" spans="1:9">
      <c r="A6508" s="32">
        <v>42093</v>
      </c>
      <c r="B6508">
        <v>13</v>
      </c>
      <c r="C6508">
        <v>2248</v>
      </c>
      <c r="D6508" t="s">
        <v>304</v>
      </c>
      <c r="E6508">
        <f>YEAR(A6508)</f>
        <v>2015</v>
      </c>
      <c r="F6508" s="33">
        <f>DATE(YEAR(A6508),MONTH(A6508),1)</f>
        <v>42064.0</v>
      </c>
      <c r="G6508" t="str">
        <f>CHOOSE(WEEKDAY(A6508,2),"Mon","Tue","Wed","Thu","Fri","Sat","Sun")</f>
        <v>Mon</v>
      </c>
      <c r="H6508" t="str">
        <f>IF(WEEKDAY(A6508,2)&gt;5,"Weekend","Weekday")</f>
        <v>Weekday</v>
      </c>
      <c r="I6508" t="str">
        <f>_xlfn.IFS(B6508&lt;=5,"Night (0-5)",B6508&lt;=9,"Morning peak (6-9)",B6508&lt;=15,"Midday (10-15)",B6508&lt;=19,"Evening peak (16-19)",TRUE,"Late evening (20-23)")</f>
        <v>Midday (10-15)</v>
      </c>
    </row>
    <row r="6509" spans="1:9">
      <c r="A6509" s="32">
        <v>42093</v>
      </c>
      <c r="B6509">
        <v>14</v>
      </c>
      <c r="C6509">
        <v>2555</v>
      </c>
      <c r="D6509" t="s">
        <v>304</v>
      </c>
      <c r="E6509">
        <f>YEAR(A6509)</f>
        <v>2015</v>
      </c>
      <c r="F6509" s="33">
        <f>DATE(YEAR(A6509),MONTH(A6509),1)</f>
        <v>42064.0</v>
      </c>
      <c r="G6509" t="str">
        <f>CHOOSE(WEEKDAY(A6509,2),"Mon","Tue","Wed","Thu","Fri","Sat","Sun")</f>
        <v>Mon</v>
      </c>
      <c r="H6509" t="str">
        <f>IF(WEEKDAY(A6509,2)&gt;5,"Weekend","Weekday")</f>
        <v>Weekday</v>
      </c>
      <c r="I6509" t="str">
        <f>_xlfn.IFS(B6509&lt;=5,"Night (0-5)",B6509&lt;=9,"Morning peak (6-9)",B6509&lt;=15,"Midday (10-15)",B6509&lt;=19,"Evening peak (16-19)",TRUE,"Late evening (20-23)")</f>
        <v>Midday (10-15)</v>
      </c>
    </row>
    <row r="6510" spans="1:9">
      <c r="A6510" s="32">
        <v>42093</v>
      </c>
      <c r="B6510">
        <v>15</v>
      </c>
      <c r="C6510">
        <v>2907</v>
      </c>
      <c r="D6510" t="s">
        <v>304</v>
      </c>
      <c r="E6510">
        <f>YEAR(A6510)</f>
        <v>2015</v>
      </c>
      <c r="F6510" s="33">
        <f>DATE(YEAR(A6510),MONTH(A6510),1)</f>
        <v>42064.0</v>
      </c>
      <c r="G6510" t="str">
        <f>CHOOSE(WEEKDAY(A6510,2),"Mon","Tue","Wed","Thu","Fri","Sat","Sun")</f>
        <v>Mon</v>
      </c>
      <c r="H6510" t="str">
        <f>IF(WEEKDAY(A6510,2)&gt;5,"Weekend","Weekday")</f>
        <v>Weekday</v>
      </c>
      <c r="I6510" t="str">
        <f>_xlfn.IFS(B6510&lt;=5,"Night (0-5)",B6510&lt;=9,"Morning peak (6-9)",B6510&lt;=15,"Midday (10-15)",B6510&lt;=19,"Evening peak (16-19)",TRUE,"Late evening (20-23)")</f>
        <v>Midday (10-15)</v>
      </c>
    </row>
    <row r="6511" spans="1:9">
      <c r="A6511" s="32">
        <v>42093</v>
      </c>
      <c r="B6511">
        <v>16</v>
      </c>
      <c r="C6511">
        <v>3191</v>
      </c>
      <c r="D6511" t="s">
        <v>304</v>
      </c>
      <c r="E6511">
        <f>YEAR(A6511)</f>
        <v>2015</v>
      </c>
      <c r="F6511" s="33">
        <f>DATE(YEAR(A6511),MONTH(A6511),1)</f>
        <v>42064.0</v>
      </c>
      <c r="G6511" t="str">
        <f>CHOOSE(WEEKDAY(A6511,2),"Mon","Tue","Wed","Thu","Fri","Sat","Sun")</f>
        <v>Mon</v>
      </c>
      <c r="H6511" t="str">
        <f>IF(WEEKDAY(A6511,2)&gt;5,"Weekend","Weekday")</f>
        <v>Weekday</v>
      </c>
      <c r="I6511" t="str">
        <f>_xlfn.IFS(B6511&lt;=5,"Night (0-5)",B6511&lt;=9,"Morning peak (6-9)",B6511&lt;=15,"Midday (10-15)",B6511&lt;=19,"Evening peak (16-19)",TRUE,"Late evening (20-23)")</f>
        <v>Evening peak (16-19)</v>
      </c>
    </row>
    <row r="6512" spans="1:9">
      <c r="A6512" s="32">
        <v>42093</v>
      </c>
      <c r="B6512">
        <v>17</v>
      </c>
      <c r="C6512">
        <v>3638</v>
      </c>
      <c r="D6512" t="s">
        <v>304</v>
      </c>
      <c r="E6512">
        <f>YEAR(A6512)</f>
        <v>2015</v>
      </c>
      <c r="F6512" s="33">
        <f>DATE(YEAR(A6512),MONTH(A6512),1)</f>
        <v>42064.0</v>
      </c>
      <c r="G6512" t="str">
        <f>CHOOSE(WEEKDAY(A6512,2),"Mon","Tue","Wed","Thu","Fri","Sat","Sun")</f>
        <v>Mon</v>
      </c>
      <c r="H6512" t="str">
        <f>IF(WEEKDAY(A6512,2)&gt;5,"Weekend","Weekday")</f>
        <v>Weekday</v>
      </c>
      <c r="I6512" t="str">
        <f>_xlfn.IFS(B6512&lt;=5,"Night (0-5)",B6512&lt;=9,"Morning peak (6-9)",B6512&lt;=15,"Midday (10-15)",B6512&lt;=19,"Evening peak (16-19)",TRUE,"Late evening (20-23)")</f>
        <v>Evening peak (16-19)</v>
      </c>
    </row>
    <row r="6513" spans="1:9">
      <c r="A6513" s="32">
        <v>42093</v>
      </c>
      <c r="B6513">
        <v>18</v>
      </c>
      <c r="C6513">
        <v>4489</v>
      </c>
      <c r="D6513" t="s">
        <v>304</v>
      </c>
      <c r="E6513">
        <f>YEAR(A6513)</f>
        <v>2015</v>
      </c>
      <c r="F6513" s="33">
        <f>DATE(YEAR(A6513),MONTH(A6513),1)</f>
        <v>42064.0</v>
      </c>
      <c r="G6513" t="str">
        <f>CHOOSE(WEEKDAY(A6513,2),"Mon","Tue","Wed","Thu","Fri","Sat","Sun")</f>
        <v>Mon</v>
      </c>
      <c r="H6513" t="str">
        <f>IF(WEEKDAY(A6513,2)&gt;5,"Weekend","Weekday")</f>
        <v>Weekday</v>
      </c>
      <c r="I6513" t="str">
        <f>_xlfn.IFS(B6513&lt;=5,"Night (0-5)",B6513&lt;=9,"Morning peak (6-9)",B6513&lt;=15,"Midday (10-15)",B6513&lt;=19,"Evening peak (16-19)",TRUE,"Late evening (20-23)")</f>
        <v>Evening peak (16-19)</v>
      </c>
    </row>
    <row r="6514" spans="1:9">
      <c r="A6514" s="32">
        <v>42093</v>
      </c>
      <c r="B6514">
        <v>19</v>
      </c>
      <c r="C6514">
        <v>4053</v>
      </c>
      <c r="D6514" t="s">
        <v>304</v>
      </c>
      <c r="E6514">
        <f>YEAR(A6514)</f>
        <v>2015</v>
      </c>
      <c r="F6514" s="33">
        <f>DATE(YEAR(A6514),MONTH(A6514),1)</f>
        <v>42064.0</v>
      </c>
      <c r="G6514" t="str">
        <f>CHOOSE(WEEKDAY(A6514,2),"Mon","Tue","Wed","Thu","Fri","Sat","Sun")</f>
        <v>Mon</v>
      </c>
      <c r="H6514" t="str">
        <f>IF(WEEKDAY(A6514,2)&gt;5,"Weekend","Weekday")</f>
        <v>Weekday</v>
      </c>
      <c r="I6514" t="str">
        <f>_xlfn.IFS(B6514&lt;=5,"Night (0-5)",B6514&lt;=9,"Morning peak (6-9)",B6514&lt;=15,"Midday (10-15)",B6514&lt;=19,"Evening peak (16-19)",TRUE,"Late evening (20-23)")</f>
        <v>Evening peak (16-19)</v>
      </c>
    </row>
    <row r="6515" spans="1:9">
      <c r="A6515" s="32">
        <v>42093</v>
      </c>
      <c r="B6515">
        <v>20</v>
      </c>
      <c r="C6515">
        <v>4184</v>
      </c>
      <c r="D6515" t="s">
        <v>304</v>
      </c>
      <c r="E6515">
        <f>YEAR(A6515)</f>
        <v>2015</v>
      </c>
      <c r="F6515" s="33">
        <f>DATE(YEAR(A6515),MONTH(A6515),1)</f>
        <v>42064.0</v>
      </c>
      <c r="G6515" t="str">
        <f>CHOOSE(WEEKDAY(A6515,2),"Mon","Tue","Wed","Thu","Fri","Sat","Sun")</f>
        <v>Mon</v>
      </c>
      <c r="H6515" t="str">
        <f>IF(WEEKDAY(A6515,2)&gt;5,"Weekend","Weekday")</f>
        <v>Weekday</v>
      </c>
      <c r="I6515" t="str">
        <f>_xlfn.IFS(B6515&lt;=5,"Night (0-5)",B6515&lt;=9,"Morning peak (6-9)",B6515&lt;=15,"Midday (10-15)",B6515&lt;=19,"Evening peak (16-19)",TRUE,"Late evening (20-23)")</f>
        <v>Late evening (20-23)</v>
      </c>
    </row>
    <row r="6516" spans="1:9">
      <c r="A6516" s="32">
        <v>42093</v>
      </c>
      <c r="B6516">
        <v>21</v>
      </c>
      <c r="C6516">
        <v>3815</v>
      </c>
      <c r="D6516" t="s">
        <v>304</v>
      </c>
      <c r="E6516">
        <f>YEAR(A6516)</f>
        <v>2015</v>
      </c>
      <c r="F6516" s="33">
        <f>DATE(YEAR(A6516),MONTH(A6516),1)</f>
        <v>42064.0</v>
      </c>
      <c r="G6516" t="str">
        <f>CHOOSE(WEEKDAY(A6516,2),"Mon","Tue","Wed","Thu","Fri","Sat","Sun")</f>
        <v>Mon</v>
      </c>
      <c r="H6516" t="str">
        <f>IF(WEEKDAY(A6516,2)&gt;5,"Weekend","Weekday")</f>
        <v>Weekday</v>
      </c>
      <c r="I6516" t="str">
        <f>_xlfn.IFS(B6516&lt;=5,"Night (0-5)",B6516&lt;=9,"Morning peak (6-9)",B6516&lt;=15,"Midday (10-15)",B6516&lt;=19,"Evening peak (16-19)",TRUE,"Late evening (20-23)")</f>
        <v>Late evening (20-23)</v>
      </c>
    </row>
    <row r="6517" spans="1:9">
      <c r="A6517" s="32">
        <v>42093</v>
      </c>
      <c r="B6517">
        <v>22</v>
      </c>
      <c r="C6517">
        <v>3368</v>
      </c>
      <c r="D6517" t="s">
        <v>304</v>
      </c>
      <c r="E6517">
        <f>YEAR(A6517)</f>
        <v>2015</v>
      </c>
      <c r="F6517" s="33">
        <f>DATE(YEAR(A6517),MONTH(A6517),1)</f>
        <v>42064.0</v>
      </c>
      <c r="G6517" t="str">
        <f>CHOOSE(WEEKDAY(A6517,2),"Mon","Tue","Wed","Thu","Fri","Sat","Sun")</f>
        <v>Mon</v>
      </c>
      <c r="H6517" t="str">
        <f>IF(WEEKDAY(A6517,2)&gt;5,"Weekend","Weekday")</f>
        <v>Weekday</v>
      </c>
      <c r="I6517" t="str">
        <f>_xlfn.IFS(B6517&lt;=5,"Night (0-5)",B6517&lt;=9,"Morning peak (6-9)",B6517&lt;=15,"Midday (10-15)",B6517&lt;=19,"Evening peak (16-19)",TRUE,"Late evening (20-23)")</f>
        <v>Late evening (20-23)</v>
      </c>
    </row>
    <row r="6518" spans="1:9">
      <c r="A6518" s="32">
        <v>42093</v>
      </c>
      <c r="B6518">
        <v>23</v>
      </c>
      <c r="C6518">
        <v>2659</v>
      </c>
      <c r="D6518" t="s">
        <v>304</v>
      </c>
      <c r="E6518">
        <f>YEAR(A6518)</f>
        <v>2015</v>
      </c>
      <c r="F6518" s="33">
        <f>DATE(YEAR(A6518),MONTH(A6518),1)</f>
        <v>42064.0</v>
      </c>
      <c r="G6518" t="str">
        <f>CHOOSE(WEEKDAY(A6518,2),"Mon","Tue","Wed","Thu","Fri","Sat","Sun")</f>
        <v>Mon</v>
      </c>
      <c r="H6518" t="str">
        <f>IF(WEEKDAY(A6518,2)&gt;5,"Weekend","Weekday")</f>
        <v>Weekday</v>
      </c>
      <c r="I6518" t="str">
        <f>_xlfn.IFS(B6518&lt;=5,"Night (0-5)",B6518&lt;=9,"Morning peak (6-9)",B6518&lt;=15,"Midday (10-15)",B6518&lt;=19,"Evening peak (16-19)",TRUE,"Late evening (20-23)")</f>
        <v>Late evening (20-23)</v>
      </c>
    </row>
    <row r="6519" spans="1:9">
      <c r="A6519" s="32">
        <v>42094</v>
      </c>
      <c r="B6519">
        <v>0</v>
      </c>
      <c r="C6519">
        <v>1746</v>
      </c>
      <c r="D6519" t="s">
        <v>304</v>
      </c>
      <c r="E6519">
        <f>YEAR(A6519)</f>
        <v>2015</v>
      </c>
      <c r="F6519" s="33">
        <f>DATE(YEAR(A6519),MONTH(A6519),1)</f>
        <v>42064.0</v>
      </c>
      <c r="G6519" t="str">
        <f>CHOOSE(WEEKDAY(A6519,2),"Mon","Tue","Wed","Thu","Fri","Sat","Sun")</f>
        <v>Tue</v>
      </c>
      <c r="H6519" t="str">
        <f>IF(WEEKDAY(A6519,2)&gt;5,"Weekend","Weekday")</f>
        <v>Weekday</v>
      </c>
      <c r="I6519" t="str">
        <f>_xlfn.IFS(B6519&lt;=5,"Night (0-5)",B6519&lt;=9,"Morning peak (6-9)",B6519&lt;=15,"Midday (10-15)",B6519&lt;=19,"Evening peak (16-19)",TRUE,"Late evening (20-23)")</f>
        <v>Night (0-5)</v>
      </c>
    </row>
    <row r="6520" spans="1:9">
      <c r="A6520" s="32">
        <v>42094</v>
      </c>
      <c r="B6520">
        <v>1</v>
      </c>
      <c r="C6520">
        <v>983</v>
      </c>
      <c r="D6520" t="s">
        <v>304</v>
      </c>
      <c r="E6520">
        <f>YEAR(A6520)</f>
        <v>2015</v>
      </c>
      <c r="F6520" s="33">
        <f>DATE(YEAR(A6520),MONTH(A6520),1)</f>
        <v>42064.0</v>
      </c>
      <c r="G6520" t="str">
        <f>CHOOSE(WEEKDAY(A6520,2),"Mon","Tue","Wed","Thu","Fri","Sat","Sun")</f>
        <v>Tue</v>
      </c>
      <c r="H6520" t="str">
        <f>IF(WEEKDAY(A6520,2)&gt;5,"Weekend","Weekday")</f>
        <v>Weekday</v>
      </c>
      <c r="I6520" t="str">
        <f>_xlfn.IFS(B6520&lt;=5,"Night (0-5)",B6520&lt;=9,"Morning peak (6-9)",B6520&lt;=15,"Midday (10-15)",B6520&lt;=19,"Evening peak (16-19)",TRUE,"Late evening (20-23)")</f>
        <v>Night (0-5)</v>
      </c>
    </row>
    <row r="6521" spans="1:9">
      <c r="A6521" s="32">
        <v>42094</v>
      </c>
      <c r="B6521">
        <v>2</v>
      </c>
      <c r="C6521">
        <v>579</v>
      </c>
      <c r="D6521" t="s">
        <v>304</v>
      </c>
      <c r="E6521">
        <f>YEAR(A6521)</f>
        <v>2015</v>
      </c>
      <c r="F6521" s="33">
        <f>DATE(YEAR(A6521),MONTH(A6521),1)</f>
        <v>42064.0</v>
      </c>
      <c r="G6521" t="str">
        <f>CHOOSE(WEEKDAY(A6521,2),"Mon","Tue","Wed","Thu","Fri","Sat","Sun")</f>
        <v>Tue</v>
      </c>
      <c r="H6521" t="str">
        <f>IF(WEEKDAY(A6521,2)&gt;5,"Weekend","Weekday")</f>
        <v>Weekday</v>
      </c>
      <c r="I6521" t="str">
        <f>_xlfn.IFS(B6521&lt;=5,"Night (0-5)",B6521&lt;=9,"Morning peak (6-9)",B6521&lt;=15,"Midday (10-15)",B6521&lt;=19,"Evening peak (16-19)",TRUE,"Late evening (20-23)")</f>
        <v>Night (0-5)</v>
      </c>
    </row>
    <row r="6522" spans="1:9">
      <c r="A6522" s="32">
        <v>42094</v>
      </c>
      <c r="B6522">
        <v>3</v>
      </c>
      <c r="C6522">
        <v>366</v>
      </c>
      <c r="D6522" t="s">
        <v>304</v>
      </c>
      <c r="E6522">
        <f>YEAR(A6522)</f>
        <v>2015</v>
      </c>
      <c r="F6522" s="33">
        <f>DATE(YEAR(A6522),MONTH(A6522),1)</f>
        <v>42064.0</v>
      </c>
      <c r="G6522" t="str">
        <f>CHOOSE(WEEKDAY(A6522,2),"Mon","Tue","Wed","Thu","Fri","Sat","Sun")</f>
        <v>Tue</v>
      </c>
      <c r="H6522" t="str">
        <f>IF(WEEKDAY(A6522,2)&gt;5,"Weekend","Weekday")</f>
        <v>Weekday</v>
      </c>
      <c r="I6522" t="str">
        <f>_xlfn.IFS(B6522&lt;=5,"Night (0-5)",B6522&lt;=9,"Morning peak (6-9)",B6522&lt;=15,"Midday (10-15)",B6522&lt;=19,"Evening peak (16-19)",TRUE,"Late evening (20-23)")</f>
        <v>Night (0-5)</v>
      </c>
    </row>
    <row r="6523" spans="1:9">
      <c r="A6523" s="32">
        <v>42094</v>
      </c>
      <c r="B6523">
        <v>4</v>
      </c>
      <c r="C6523">
        <v>503</v>
      </c>
      <c r="D6523" t="s">
        <v>304</v>
      </c>
      <c r="E6523">
        <f>YEAR(A6523)</f>
        <v>2015</v>
      </c>
      <c r="F6523" s="33">
        <f>DATE(YEAR(A6523),MONTH(A6523),1)</f>
        <v>42064.0</v>
      </c>
      <c r="G6523" t="str">
        <f>CHOOSE(WEEKDAY(A6523,2),"Mon","Tue","Wed","Thu","Fri","Sat","Sun")</f>
        <v>Tue</v>
      </c>
      <c r="H6523" t="str">
        <f>IF(WEEKDAY(A6523,2)&gt;5,"Weekend","Weekday")</f>
        <v>Weekday</v>
      </c>
      <c r="I6523" t="str">
        <f>_xlfn.IFS(B6523&lt;=5,"Night (0-5)",B6523&lt;=9,"Morning peak (6-9)",B6523&lt;=15,"Midday (10-15)",B6523&lt;=19,"Evening peak (16-19)",TRUE,"Late evening (20-23)")</f>
        <v>Night (0-5)</v>
      </c>
    </row>
    <row r="6524" spans="1:9">
      <c r="A6524" s="32">
        <v>42094</v>
      </c>
      <c r="B6524">
        <v>5</v>
      </c>
      <c r="C6524">
        <v>924</v>
      </c>
      <c r="D6524" t="s">
        <v>304</v>
      </c>
      <c r="E6524">
        <f>YEAR(A6524)</f>
        <v>2015</v>
      </c>
      <c r="F6524" s="33">
        <f>DATE(YEAR(A6524),MONTH(A6524),1)</f>
        <v>42064.0</v>
      </c>
      <c r="G6524" t="str">
        <f>CHOOSE(WEEKDAY(A6524,2),"Mon","Tue","Wed","Thu","Fri","Sat","Sun")</f>
        <v>Tue</v>
      </c>
      <c r="H6524" t="str">
        <f>IF(WEEKDAY(A6524,2)&gt;5,"Weekend","Weekday")</f>
        <v>Weekday</v>
      </c>
      <c r="I6524" t="str">
        <f>_xlfn.IFS(B6524&lt;=5,"Night (0-5)",B6524&lt;=9,"Morning peak (6-9)",B6524&lt;=15,"Midday (10-15)",B6524&lt;=19,"Evening peak (16-19)",TRUE,"Late evening (20-23)")</f>
        <v>Night (0-5)</v>
      </c>
    </row>
    <row r="6525" spans="1:9">
      <c r="A6525" s="32">
        <v>42094</v>
      </c>
      <c r="B6525">
        <v>6</v>
      </c>
      <c r="C6525">
        <v>1785</v>
      </c>
      <c r="D6525" t="s">
        <v>304</v>
      </c>
      <c r="E6525">
        <f>YEAR(A6525)</f>
        <v>2015</v>
      </c>
      <c r="F6525" s="33">
        <f>DATE(YEAR(A6525),MONTH(A6525),1)</f>
        <v>42064.0</v>
      </c>
      <c r="G6525" t="str">
        <f>CHOOSE(WEEKDAY(A6525,2),"Mon","Tue","Wed","Thu","Fri","Sat","Sun")</f>
        <v>Tue</v>
      </c>
      <c r="H6525" t="str">
        <f>IF(WEEKDAY(A6525,2)&gt;5,"Weekend","Weekday")</f>
        <v>Weekday</v>
      </c>
      <c r="I6525" t="str">
        <f>_xlfn.IFS(B6525&lt;=5,"Night (0-5)",B6525&lt;=9,"Morning peak (6-9)",B6525&lt;=15,"Midday (10-15)",B6525&lt;=19,"Evening peak (16-19)",TRUE,"Late evening (20-23)")</f>
        <v>Morning peak (6-9)</v>
      </c>
    </row>
    <row r="6526" spans="1:9">
      <c r="A6526" s="32">
        <v>42094</v>
      </c>
      <c r="B6526">
        <v>7</v>
      </c>
      <c r="C6526">
        <v>2934</v>
      </c>
      <c r="D6526" t="s">
        <v>304</v>
      </c>
      <c r="E6526">
        <f>YEAR(A6526)</f>
        <v>2015</v>
      </c>
      <c r="F6526" s="33">
        <f>DATE(YEAR(A6526),MONTH(A6526),1)</f>
        <v>42064.0</v>
      </c>
      <c r="G6526" t="str">
        <f>CHOOSE(WEEKDAY(A6526,2),"Mon","Tue","Wed","Thu","Fri","Sat","Sun")</f>
        <v>Tue</v>
      </c>
      <c r="H6526" t="str">
        <f>IF(WEEKDAY(A6526,2)&gt;5,"Weekend","Weekday")</f>
        <v>Weekday</v>
      </c>
      <c r="I6526" t="str">
        <f>_xlfn.IFS(B6526&lt;=5,"Night (0-5)",B6526&lt;=9,"Morning peak (6-9)",B6526&lt;=15,"Midday (10-15)",B6526&lt;=19,"Evening peak (16-19)",TRUE,"Late evening (20-23)")</f>
        <v>Morning peak (6-9)</v>
      </c>
    </row>
    <row r="6527" spans="1:9">
      <c r="A6527" s="32">
        <v>42094</v>
      </c>
      <c r="B6527">
        <v>8</v>
      </c>
      <c r="C6527">
        <v>3868</v>
      </c>
      <c r="D6527" t="s">
        <v>304</v>
      </c>
      <c r="E6527">
        <f>YEAR(A6527)</f>
        <v>2015</v>
      </c>
      <c r="F6527" s="33">
        <f>DATE(YEAR(A6527),MONTH(A6527),1)</f>
        <v>42064.0</v>
      </c>
      <c r="G6527" t="str">
        <f>CHOOSE(WEEKDAY(A6527,2),"Mon","Tue","Wed","Thu","Fri","Sat","Sun")</f>
        <v>Tue</v>
      </c>
      <c r="H6527" t="str">
        <f>IF(WEEKDAY(A6527,2)&gt;5,"Weekend","Weekday")</f>
        <v>Weekday</v>
      </c>
      <c r="I6527" t="str">
        <f>_xlfn.IFS(B6527&lt;=5,"Night (0-5)",B6527&lt;=9,"Morning peak (6-9)",B6527&lt;=15,"Midday (10-15)",B6527&lt;=19,"Evening peak (16-19)",TRUE,"Late evening (20-23)")</f>
        <v>Morning peak (6-9)</v>
      </c>
    </row>
    <row r="6528" spans="1:9">
      <c r="A6528" s="32">
        <v>42094</v>
      </c>
      <c r="B6528">
        <v>9</v>
      </c>
      <c r="C6528">
        <v>3526</v>
      </c>
      <c r="D6528" t="s">
        <v>304</v>
      </c>
      <c r="E6528">
        <f>YEAR(A6528)</f>
        <v>2015</v>
      </c>
      <c r="F6528" s="33">
        <f>DATE(YEAR(A6528),MONTH(A6528),1)</f>
        <v>42064.0</v>
      </c>
      <c r="G6528" t="str">
        <f>CHOOSE(WEEKDAY(A6528,2),"Mon","Tue","Wed","Thu","Fri","Sat","Sun")</f>
        <v>Tue</v>
      </c>
      <c r="H6528" t="str">
        <f>IF(WEEKDAY(A6528,2)&gt;5,"Weekend","Weekday")</f>
        <v>Weekday</v>
      </c>
      <c r="I6528" t="str">
        <f>_xlfn.IFS(B6528&lt;=5,"Night (0-5)",B6528&lt;=9,"Morning peak (6-9)",B6528&lt;=15,"Midday (10-15)",B6528&lt;=19,"Evening peak (16-19)",TRUE,"Late evening (20-23)")</f>
        <v>Morning peak (6-9)</v>
      </c>
    </row>
    <row r="6529" spans="1:9">
      <c r="A6529" s="32">
        <v>42094</v>
      </c>
      <c r="B6529">
        <v>10</v>
      </c>
      <c r="C6529">
        <v>2658</v>
      </c>
      <c r="D6529" t="s">
        <v>304</v>
      </c>
      <c r="E6529">
        <f>YEAR(A6529)</f>
        <v>2015</v>
      </c>
      <c r="F6529" s="33">
        <f>DATE(YEAR(A6529),MONTH(A6529),1)</f>
        <v>42064.0</v>
      </c>
      <c r="G6529" t="str">
        <f>CHOOSE(WEEKDAY(A6529,2),"Mon","Tue","Wed","Thu","Fri","Sat","Sun")</f>
        <v>Tue</v>
      </c>
      <c r="H6529" t="str">
        <f>IF(WEEKDAY(A6529,2)&gt;5,"Weekend","Weekday")</f>
        <v>Weekday</v>
      </c>
      <c r="I6529" t="str">
        <f>_xlfn.IFS(B6529&lt;=5,"Night (0-5)",B6529&lt;=9,"Morning peak (6-9)",B6529&lt;=15,"Midday (10-15)",B6529&lt;=19,"Evening peak (16-19)",TRUE,"Late evening (20-23)")</f>
        <v>Midday (10-15)</v>
      </c>
    </row>
    <row r="6530" spans="1:9">
      <c r="A6530" s="32">
        <v>42094</v>
      </c>
      <c r="B6530">
        <v>11</v>
      </c>
      <c r="C6530">
        <v>2360</v>
      </c>
      <c r="D6530" t="s">
        <v>304</v>
      </c>
      <c r="E6530">
        <f>YEAR(A6530)</f>
        <v>2015</v>
      </c>
      <c r="F6530" s="33">
        <f>DATE(YEAR(A6530),MONTH(A6530),1)</f>
        <v>42064.0</v>
      </c>
      <c r="G6530" t="str">
        <f>CHOOSE(WEEKDAY(A6530,2),"Mon","Tue","Wed","Thu","Fri","Sat","Sun")</f>
        <v>Tue</v>
      </c>
      <c r="H6530" t="str">
        <f>IF(WEEKDAY(A6530,2)&gt;5,"Weekend","Weekday")</f>
        <v>Weekday</v>
      </c>
      <c r="I6530" t="str">
        <f>_xlfn.IFS(B6530&lt;=5,"Night (0-5)",B6530&lt;=9,"Morning peak (6-9)",B6530&lt;=15,"Midday (10-15)",B6530&lt;=19,"Evening peak (16-19)",TRUE,"Late evening (20-23)")</f>
        <v>Midday (10-15)</v>
      </c>
    </row>
    <row r="6531" spans="1:9">
      <c r="A6531" s="32">
        <v>42094</v>
      </c>
      <c r="B6531">
        <v>12</v>
      </c>
      <c r="C6531">
        <v>2411</v>
      </c>
      <c r="D6531" t="s">
        <v>304</v>
      </c>
      <c r="E6531">
        <f>YEAR(A6531)</f>
        <v>2015</v>
      </c>
      <c r="F6531" s="33">
        <f>DATE(YEAR(A6531),MONTH(A6531),1)</f>
        <v>42064.0</v>
      </c>
      <c r="G6531" t="str">
        <f>CHOOSE(WEEKDAY(A6531,2),"Mon","Tue","Wed","Thu","Fri","Sat","Sun")</f>
        <v>Tue</v>
      </c>
      <c r="H6531" t="str">
        <f>IF(WEEKDAY(A6531,2)&gt;5,"Weekend","Weekday")</f>
        <v>Weekday</v>
      </c>
      <c r="I6531" t="str">
        <f>_xlfn.IFS(B6531&lt;=5,"Night (0-5)",B6531&lt;=9,"Morning peak (6-9)",B6531&lt;=15,"Midday (10-15)",B6531&lt;=19,"Evening peak (16-19)",TRUE,"Late evening (20-23)")</f>
        <v>Midday (10-15)</v>
      </c>
    </row>
    <row r="6532" spans="1:9">
      <c r="A6532" s="32">
        <v>42094</v>
      </c>
      <c r="B6532">
        <v>13</v>
      </c>
      <c r="C6532">
        <v>2582</v>
      </c>
      <c r="D6532" t="s">
        <v>304</v>
      </c>
      <c r="E6532">
        <f>YEAR(A6532)</f>
        <v>2015</v>
      </c>
      <c r="F6532" s="33">
        <f>DATE(YEAR(A6532),MONTH(A6532),1)</f>
        <v>42064.0</v>
      </c>
      <c r="G6532" t="str">
        <f>CHOOSE(WEEKDAY(A6532,2),"Mon","Tue","Wed","Thu","Fri","Sat","Sun")</f>
        <v>Tue</v>
      </c>
      <c r="H6532" t="str">
        <f>IF(WEEKDAY(A6532,2)&gt;5,"Weekend","Weekday")</f>
        <v>Weekday</v>
      </c>
      <c r="I6532" t="str">
        <f>_xlfn.IFS(B6532&lt;=5,"Night (0-5)",B6532&lt;=9,"Morning peak (6-9)",B6532&lt;=15,"Midday (10-15)",B6532&lt;=19,"Evening peak (16-19)",TRUE,"Late evening (20-23)")</f>
        <v>Midday (10-15)</v>
      </c>
    </row>
    <row r="6533" spans="1:9">
      <c r="A6533" s="32">
        <v>42094</v>
      </c>
      <c r="B6533">
        <v>14</v>
      </c>
      <c r="C6533">
        <v>3330</v>
      </c>
      <c r="D6533" t="s">
        <v>304</v>
      </c>
      <c r="E6533">
        <f>YEAR(A6533)</f>
        <v>2015</v>
      </c>
      <c r="F6533" s="33">
        <f>DATE(YEAR(A6533),MONTH(A6533),1)</f>
        <v>42064.0</v>
      </c>
      <c r="G6533" t="str">
        <f>CHOOSE(WEEKDAY(A6533,2),"Mon","Tue","Wed","Thu","Fri","Sat","Sun")</f>
        <v>Tue</v>
      </c>
      <c r="H6533" t="str">
        <f>IF(WEEKDAY(A6533,2)&gt;5,"Weekend","Weekday")</f>
        <v>Weekday</v>
      </c>
      <c r="I6533" t="str">
        <f>_xlfn.IFS(B6533&lt;=5,"Night (0-5)",B6533&lt;=9,"Morning peak (6-9)",B6533&lt;=15,"Midday (10-15)",B6533&lt;=19,"Evening peak (16-19)",TRUE,"Late evening (20-23)")</f>
        <v>Midday (10-15)</v>
      </c>
    </row>
    <row r="6534" spans="1:9">
      <c r="A6534" s="32">
        <v>42094</v>
      </c>
      <c r="B6534">
        <v>15</v>
      </c>
      <c r="C6534">
        <v>4442</v>
      </c>
      <c r="D6534" t="s">
        <v>304</v>
      </c>
      <c r="E6534">
        <f>YEAR(A6534)</f>
        <v>2015</v>
      </c>
      <c r="F6534" s="33">
        <f>DATE(YEAR(A6534),MONTH(A6534),1)</f>
        <v>42064.0</v>
      </c>
      <c r="G6534" t="str">
        <f>CHOOSE(WEEKDAY(A6534,2),"Mon","Tue","Wed","Thu","Fri","Sat","Sun")</f>
        <v>Tue</v>
      </c>
      <c r="H6534" t="str">
        <f>IF(WEEKDAY(A6534,2)&gt;5,"Weekend","Weekday")</f>
        <v>Weekday</v>
      </c>
      <c r="I6534" t="str">
        <f>_xlfn.IFS(B6534&lt;=5,"Night (0-5)",B6534&lt;=9,"Morning peak (6-9)",B6534&lt;=15,"Midday (10-15)",B6534&lt;=19,"Evening peak (16-19)",TRUE,"Late evening (20-23)")</f>
        <v>Midday (10-15)</v>
      </c>
    </row>
    <row r="6535" spans="1:9">
      <c r="A6535" s="32">
        <v>42094</v>
      </c>
      <c r="B6535">
        <v>16</v>
      </c>
      <c r="C6535">
        <v>4491</v>
      </c>
      <c r="D6535" t="s">
        <v>304</v>
      </c>
      <c r="E6535">
        <f>YEAR(A6535)</f>
        <v>2015</v>
      </c>
      <c r="F6535" s="33">
        <f>DATE(YEAR(A6535),MONTH(A6535),1)</f>
        <v>42064.0</v>
      </c>
      <c r="G6535" t="str">
        <f>CHOOSE(WEEKDAY(A6535,2),"Mon","Tue","Wed","Thu","Fri","Sat","Sun")</f>
        <v>Tue</v>
      </c>
      <c r="H6535" t="str">
        <f>IF(WEEKDAY(A6535,2)&gt;5,"Weekend","Weekday")</f>
        <v>Weekday</v>
      </c>
      <c r="I6535" t="str">
        <f>_xlfn.IFS(B6535&lt;=5,"Night (0-5)",B6535&lt;=9,"Morning peak (6-9)",B6535&lt;=15,"Midday (10-15)",B6535&lt;=19,"Evening peak (16-19)",TRUE,"Late evening (20-23)")</f>
        <v>Evening peak (16-19)</v>
      </c>
    </row>
    <row r="6536" spans="1:9">
      <c r="A6536" s="32">
        <v>42094</v>
      </c>
      <c r="B6536">
        <v>17</v>
      </c>
      <c r="C6536">
        <v>4971</v>
      </c>
      <c r="D6536" t="s">
        <v>304</v>
      </c>
      <c r="E6536">
        <f>YEAR(A6536)</f>
        <v>2015</v>
      </c>
      <c r="F6536" s="33">
        <f>DATE(YEAR(A6536),MONTH(A6536),1)</f>
        <v>42064.0</v>
      </c>
      <c r="G6536" t="str">
        <f>CHOOSE(WEEKDAY(A6536,2),"Mon","Tue","Wed","Thu","Fri","Sat","Sun")</f>
        <v>Tue</v>
      </c>
      <c r="H6536" t="str">
        <f>IF(WEEKDAY(A6536,2)&gt;5,"Weekend","Weekday")</f>
        <v>Weekday</v>
      </c>
      <c r="I6536" t="str">
        <f>_xlfn.IFS(B6536&lt;=5,"Night (0-5)",B6536&lt;=9,"Morning peak (6-9)",B6536&lt;=15,"Midday (10-15)",B6536&lt;=19,"Evening peak (16-19)",TRUE,"Late evening (20-23)")</f>
        <v>Evening peak (16-19)</v>
      </c>
    </row>
    <row r="6537" spans="1:9">
      <c r="A6537" s="32">
        <v>42094</v>
      </c>
      <c r="B6537">
        <v>18</v>
      </c>
      <c r="C6537">
        <v>6166</v>
      </c>
      <c r="D6537" t="s">
        <v>304</v>
      </c>
      <c r="E6537">
        <f>YEAR(A6537)</f>
        <v>2015</v>
      </c>
      <c r="F6537" s="33">
        <f>DATE(YEAR(A6537),MONTH(A6537),1)</f>
        <v>42064.0</v>
      </c>
      <c r="G6537" t="str">
        <f>CHOOSE(WEEKDAY(A6537,2),"Mon","Tue","Wed","Thu","Fri","Sat","Sun")</f>
        <v>Tue</v>
      </c>
      <c r="H6537" t="str">
        <f>IF(WEEKDAY(A6537,2)&gt;5,"Weekend","Weekday")</f>
        <v>Weekday</v>
      </c>
      <c r="I6537" t="str">
        <f>_xlfn.IFS(B6537&lt;=5,"Night (0-5)",B6537&lt;=9,"Morning peak (6-9)",B6537&lt;=15,"Midday (10-15)",B6537&lt;=19,"Evening peak (16-19)",TRUE,"Late evening (20-23)")</f>
        <v>Evening peak (16-19)</v>
      </c>
    </row>
    <row r="6538" spans="1:9">
      <c r="A6538" s="32">
        <v>42094</v>
      </c>
      <c r="B6538">
        <v>19</v>
      </c>
      <c r="C6538">
        <v>6709</v>
      </c>
      <c r="D6538" t="s">
        <v>304</v>
      </c>
      <c r="E6538">
        <f>YEAR(A6538)</f>
        <v>2015</v>
      </c>
      <c r="F6538" s="33">
        <f>DATE(YEAR(A6538),MONTH(A6538),1)</f>
        <v>42064.0</v>
      </c>
      <c r="G6538" t="str">
        <f>CHOOSE(WEEKDAY(A6538,2),"Mon","Tue","Wed","Thu","Fri","Sat","Sun")</f>
        <v>Tue</v>
      </c>
      <c r="H6538" t="str">
        <f>IF(WEEKDAY(A6538,2)&gt;5,"Weekend","Weekday")</f>
        <v>Weekday</v>
      </c>
      <c r="I6538" t="str">
        <f>_xlfn.IFS(B6538&lt;=5,"Night (0-5)",B6538&lt;=9,"Morning peak (6-9)",B6538&lt;=15,"Midday (10-15)",B6538&lt;=19,"Evening peak (16-19)",TRUE,"Late evening (20-23)")</f>
        <v>Evening peak (16-19)</v>
      </c>
    </row>
    <row r="6539" spans="1:9">
      <c r="A6539" s="32">
        <v>42094</v>
      </c>
      <c r="B6539">
        <v>20</v>
      </c>
      <c r="C6539">
        <v>6975</v>
      </c>
      <c r="D6539" t="s">
        <v>304</v>
      </c>
      <c r="E6539">
        <f>YEAR(A6539)</f>
        <v>2015</v>
      </c>
      <c r="F6539" s="33">
        <f>DATE(YEAR(A6539),MONTH(A6539),1)</f>
        <v>42064.0</v>
      </c>
      <c r="G6539" t="str">
        <f>CHOOSE(WEEKDAY(A6539,2),"Mon","Tue","Wed","Thu","Fri","Sat","Sun")</f>
        <v>Tue</v>
      </c>
      <c r="H6539" t="str">
        <f>IF(WEEKDAY(A6539,2)&gt;5,"Weekend","Weekday")</f>
        <v>Weekday</v>
      </c>
      <c r="I6539" t="str">
        <f>_xlfn.IFS(B6539&lt;=5,"Night (0-5)",B6539&lt;=9,"Morning peak (6-9)",B6539&lt;=15,"Midday (10-15)",B6539&lt;=19,"Evening peak (16-19)",TRUE,"Late evening (20-23)")</f>
        <v>Late evening (20-23)</v>
      </c>
    </row>
    <row r="6540" spans="1:9">
      <c r="A6540" s="32">
        <v>42094</v>
      </c>
      <c r="B6540">
        <v>21</v>
      </c>
      <c r="C6540">
        <v>5946</v>
      </c>
      <c r="D6540" t="s">
        <v>304</v>
      </c>
      <c r="E6540">
        <f>YEAR(A6540)</f>
        <v>2015</v>
      </c>
      <c r="F6540" s="33">
        <f>DATE(YEAR(A6540),MONTH(A6540),1)</f>
        <v>42064.0</v>
      </c>
      <c r="G6540" t="str">
        <f>CHOOSE(WEEKDAY(A6540,2),"Mon","Tue","Wed","Thu","Fri","Sat","Sun")</f>
        <v>Tue</v>
      </c>
      <c r="H6540" t="str">
        <f>IF(WEEKDAY(A6540,2)&gt;5,"Weekend","Weekday")</f>
        <v>Weekday</v>
      </c>
      <c r="I6540" t="str">
        <f>_xlfn.IFS(B6540&lt;=5,"Night (0-5)",B6540&lt;=9,"Morning peak (6-9)",B6540&lt;=15,"Midday (10-15)",B6540&lt;=19,"Evening peak (16-19)",TRUE,"Late evening (20-23)")</f>
        <v>Late evening (20-23)</v>
      </c>
    </row>
    <row r="6541" spans="1:9">
      <c r="A6541" s="32">
        <v>42094</v>
      </c>
      <c r="B6541">
        <v>22</v>
      </c>
      <c r="C6541">
        <v>5029</v>
      </c>
      <c r="D6541" t="s">
        <v>304</v>
      </c>
      <c r="E6541">
        <f>YEAR(A6541)</f>
        <v>2015</v>
      </c>
      <c r="F6541" s="33">
        <f>DATE(YEAR(A6541),MONTH(A6541),1)</f>
        <v>42064.0</v>
      </c>
      <c r="G6541" t="str">
        <f>CHOOSE(WEEKDAY(A6541,2),"Mon","Tue","Wed","Thu","Fri","Sat","Sun")</f>
        <v>Tue</v>
      </c>
      <c r="H6541" t="str">
        <f>IF(WEEKDAY(A6541,2)&gt;5,"Weekend","Weekday")</f>
        <v>Weekday</v>
      </c>
      <c r="I6541" t="str">
        <f>_xlfn.IFS(B6541&lt;=5,"Night (0-5)",B6541&lt;=9,"Morning peak (6-9)",B6541&lt;=15,"Midday (10-15)",B6541&lt;=19,"Evening peak (16-19)",TRUE,"Late evening (20-23)")</f>
        <v>Late evening (20-23)</v>
      </c>
    </row>
    <row r="6542" spans="1:9">
      <c r="A6542" s="32">
        <v>42094</v>
      </c>
      <c r="B6542">
        <v>23</v>
      </c>
      <c r="C6542">
        <v>3609</v>
      </c>
      <c r="D6542" t="s">
        <v>304</v>
      </c>
      <c r="E6542">
        <f>YEAR(A6542)</f>
        <v>2015</v>
      </c>
      <c r="F6542" s="33">
        <f>DATE(YEAR(A6542),MONTH(A6542),1)</f>
        <v>42064.0</v>
      </c>
      <c r="G6542" t="str">
        <f>CHOOSE(WEEKDAY(A6542,2),"Mon","Tue","Wed","Thu","Fri","Sat","Sun")</f>
        <v>Tue</v>
      </c>
      <c r="H6542" t="str">
        <f>IF(WEEKDAY(A6542,2)&gt;5,"Weekend","Weekday")</f>
        <v>Weekday</v>
      </c>
      <c r="I6542" t="str">
        <f>_xlfn.IFS(B6542&lt;=5,"Night (0-5)",B6542&lt;=9,"Morning peak (6-9)",B6542&lt;=15,"Midday (10-15)",B6542&lt;=19,"Evening peak (16-19)",TRUE,"Late evening (20-23)")</f>
        <v>Late evening (20-23)</v>
      </c>
    </row>
    <row r="6543" spans="1:9">
      <c r="A6543" s="32">
        <v>42095</v>
      </c>
      <c r="B6543">
        <v>0</v>
      </c>
      <c r="C6543">
        <v>1863</v>
      </c>
      <c r="D6543" t="s">
        <v>304</v>
      </c>
      <c r="E6543">
        <f>YEAR(A6543)</f>
        <v>2015</v>
      </c>
      <c r="F6543" s="33">
        <f>DATE(YEAR(A6543),MONTH(A6543),1)</f>
        <v>42095.0</v>
      </c>
      <c r="G6543" t="str">
        <f>CHOOSE(WEEKDAY(A6543,2),"Mon","Tue","Wed","Thu","Fri","Sat","Sun")</f>
        <v>Wed</v>
      </c>
      <c r="H6543" t="str">
        <f>IF(WEEKDAY(A6543,2)&gt;5,"Weekend","Weekday")</f>
        <v>Weekday</v>
      </c>
      <c r="I6543" t="str">
        <f>_xlfn.IFS(B6543&lt;=5,"Night (0-5)",B6543&lt;=9,"Morning peak (6-9)",B6543&lt;=15,"Midday (10-15)",B6543&lt;=19,"Evening peak (16-19)",TRUE,"Late evening (20-23)")</f>
        <v>Night (0-5)</v>
      </c>
    </row>
    <row r="6544" spans="1:9">
      <c r="A6544" s="32">
        <v>42095</v>
      </c>
      <c r="B6544">
        <v>1</v>
      </c>
      <c r="C6544">
        <v>1087</v>
      </c>
      <c r="D6544" t="s">
        <v>304</v>
      </c>
      <c r="E6544">
        <f>YEAR(A6544)</f>
        <v>2015</v>
      </c>
      <c r="F6544" s="33">
        <f>DATE(YEAR(A6544),MONTH(A6544),1)</f>
        <v>42095.0</v>
      </c>
      <c r="G6544" t="str">
        <f>CHOOSE(WEEKDAY(A6544,2),"Mon","Tue","Wed","Thu","Fri","Sat","Sun")</f>
        <v>Wed</v>
      </c>
      <c r="H6544" t="str">
        <f>IF(WEEKDAY(A6544,2)&gt;5,"Weekend","Weekday")</f>
        <v>Weekday</v>
      </c>
      <c r="I6544" t="str">
        <f>_xlfn.IFS(B6544&lt;=5,"Night (0-5)",B6544&lt;=9,"Morning peak (6-9)",B6544&lt;=15,"Midday (10-15)",B6544&lt;=19,"Evening peak (16-19)",TRUE,"Late evening (20-23)")</f>
        <v>Night (0-5)</v>
      </c>
    </row>
    <row r="6545" spans="1:9">
      <c r="A6545" s="32">
        <v>42095</v>
      </c>
      <c r="B6545">
        <v>2</v>
      </c>
      <c r="C6545">
        <v>632</v>
      </c>
      <c r="D6545" t="s">
        <v>304</v>
      </c>
      <c r="E6545">
        <f>YEAR(A6545)</f>
        <v>2015</v>
      </c>
      <c r="F6545" s="33">
        <f>DATE(YEAR(A6545),MONTH(A6545),1)</f>
        <v>42095.0</v>
      </c>
      <c r="G6545" t="str">
        <f>CHOOSE(WEEKDAY(A6545,2),"Mon","Tue","Wed","Thu","Fri","Sat","Sun")</f>
        <v>Wed</v>
      </c>
      <c r="H6545" t="str">
        <f>IF(WEEKDAY(A6545,2)&gt;5,"Weekend","Weekday")</f>
        <v>Weekday</v>
      </c>
      <c r="I6545" t="str">
        <f>_xlfn.IFS(B6545&lt;=5,"Night (0-5)",B6545&lt;=9,"Morning peak (6-9)",B6545&lt;=15,"Midday (10-15)",B6545&lt;=19,"Evening peak (16-19)",TRUE,"Late evening (20-23)")</f>
        <v>Night (0-5)</v>
      </c>
    </row>
    <row r="6546" spans="1:9">
      <c r="A6546" s="32">
        <v>42095</v>
      </c>
      <c r="B6546">
        <v>3</v>
      </c>
      <c r="C6546">
        <v>430</v>
      </c>
      <c r="D6546" t="s">
        <v>304</v>
      </c>
      <c r="E6546">
        <f>YEAR(A6546)</f>
        <v>2015</v>
      </c>
      <c r="F6546" s="33">
        <f>DATE(YEAR(A6546),MONTH(A6546),1)</f>
        <v>42095.0</v>
      </c>
      <c r="G6546" t="str">
        <f>CHOOSE(WEEKDAY(A6546,2),"Mon","Tue","Wed","Thu","Fri","Sat","Sun")</f>
        <v>Wed</v>
      </c>
      <c r="H6546" t="str">
        <f>IF(WEEKDAY(A6546,2)&gt;5,"Weekend","Weekday")</f>
        <v>Weekday</v>
      </c>
      <c r="I6546" t="str">
        <f>_xlfn.IFS(B6546&lt;=5,"Night (0-5)",B6546&lt;=9,"Morning peak (6-9)",B6546&lt;=15,"Midday (10-15)",B6546&lt;=19,"Evening peak (16-19)",TRUE,"Late evening (20-23)")</f>
        <v>Night (0-5)</v>
      </c>
    </row>
    <row r="6547" spans="1:9">
      <c r="A6547" s="32">
        <v>42095</v>
      </c>
      <c r="B6547">
        <v>4</v>
      </c>
      <c r="C6547">
        <v>592</v>
      </c>
      <c r="D6547" t="s">
        <v>304</v>
      </c>
      <c r="E6547">
        <f>YEAR(A6547)</f>
        <v>2015</v>
      </c>
      <c r="F6547" s="33">
        <f>DATE(YEAR(A6547),MONTH(A6547),1)</f>
        <v>42095.0</v>
      </c>
      <c r="G6547" t="str">
        <f>CHOOSE(WEEKDAY(A6547,2),"Mon","Tue","Wed","Thu","Fri","Sat","Sun")</f>
        <v>Wed</v>
      </c>
      <c r="H6547" t="str">
        <f>IF(WEEKDAY(A6547,2)&gt;5,"Weekend","Weekday")</f>
        <v>Weekday</v>
      </c>
      <c r="I6547" t="str">
        <f>_xlfn.IFS(B6547&lt;=5,"Night (0-5)",B6547&lt;=9,"Morning peak (6-9)",B6547&lt;=15,"Midday (10-15)",B6547&lt;=19,"Evening peak (16-19)",TRUE,"Late evening (20-23)")</f>
        <v>Night (0-5)</v>
      </c>
    </row>
    <row r="6548" spans="1:9">
      <c r="A6548" s="32">
        <v>42095</v>
      </c>
      <c r="B6548">
        <v>5</v>
      </c>
      <c r="C6548">
        <v>1019</v>
      </c>
      <c r="D6548" t="s">
        <v>304</v>
      </c>
      <c r="E6548">
        <f>YEAR(A6548)</f>
        <v>2015</v>
      </c>
      <c r="F6548" s="33">
        <f>DATE(YEAR(A6548),MONTH(A6548),1)</f>
        <v>42095.0</v>
      </c>
      <c r="G6548" t="str">
        <f>CHOOSE(WEEKDAY(A6548,2),"Mon","Tue","Wed","Thu","Fri","Sat","Sun")</f>
        <v>Wed</v>
      </c>
      <c r="H6548" t="str">
        <f>IF(WEEKDAY(A6548,2)&gt;5,"Weekend","Weekday")</f>
        <v>Weekday</v>
      </c>
      <c r="I6548" t="str">
        <f>_xlfn.IFS(B6548&lt;=5,"Night (0-5)",B6548&lt;=9,"Morning peak (6-9)",B6548&lt;=15,"Midday (10-15)",B6548&lt;=19,"Evening peak (16-19)",TRUE,"Late evening (20-23)")</f>
        <v>Night (0-5)</v>
      </c>
    </row>
    <row r="6549" spans="1:9">
      <c r="A6549" s="32">
        <v>42095</v>
      </c>
      <c r="B6549">
        <v>6</v>
      </c>
      <c r="C6549">
        <v>1736</v>
      </c>
      <c r="D6549" t="s">
        <v>304</v>
      </c>
      <c r="E6549">
        <f>YEAR(A6549)</f>
        <v>2015</v>
      </c>
      <c r="F6549" s="33">
        <f>DATE(YEAR(A6549),MONTH(A6549),1)</f>
        <v>42095.0</v>
      </c>
      <c r="G6549" t="str">
        <f>CHOOSE(WEEKDAY(A6549,2),"Mon","Tue","Wed","Thu","Fri","Sat","Sun")</f>
        <v>Wed</v>
      </c>
      <c r="H6549" t="str">
        <f>IF(WEEKDAY(A6549,2)&gt;5,"Weekend","Weekday")</f>
        <v>Weekday</v>
      </c>
      <c r="I6549" t="str">
        <f>_xlfn.IFS(B6549&lt;=5,"Night (0-5)",B6549&lt;=9,"Morning peak (6-9)",B6549&lt;=15,"Midday (10-15)",B6549&lt;=19,"Evening peak (16-19)",TRUE,"Late evening (20-23)")</f>
        <v>Morning peak (6-9)</v>
      </c>
    </row>
    <row r="6550" spans="1:9">
      <c r="A6550" s="32">
        <v>42095</v>
      </c>
      <c r="B6550">
        <v>7</v>
      </c>
      <c r="C6550">
        <v>2768</v>
      </c>
      <c r="D6550" t="s">
        <v>304</v>
      </c>
      <c r="E6550">
        <f>YEAR(A6550)</f>
        <v>2015</v>
      </c>
      <c r="F6550" s="33">
        <f>DATE(YEAR(A6550),MONTH(A6550),1)</f>
        <v>42095.0</v>
      </c>
      <c r="G6550" t="str">
        <f>CHOOSE(WEEKDAY(A6550,2),"Mon","Tue","Wed","Thu","Fri","Sat","Sun")</f>
        <v>Wed</v>
      </c>
      <c r="H6550" t="str">
        <f>IF(WEEKDAY(A6550,2)&gt;5,"Weekend","Weekday")</f>
        <v>Weekday</v>
      </c>
      <c r="I6550" t="str">
        <f>_xlfn.IFS(B6550&lt;=5,"Night (0-5)",B6550&lt;=9,"Morning peak (6-9)",B6550&lt;=15,"Midday (10-15)",B6550&lt;=19,"Evening peak (16-19)",TRUE,"Late evening (20-23)")</f>
        <v>Morning peak (6-9)</v>
      </c>
    </row>
    <row r="6551" spans="1:9">
      <c r="A6551" s="32">
        <v>42095</v>
      </c>
      <c r="B6551">
        <v>8</v>
      </c>
      <c r="C6551">
        <v>3622</v>
      </c>
      <c r="D6551" t="s">
        <v>304</v>
      </c>
      <c r="E6551">
        <f>YEAR(A6551)</f>
        <v>2015</v>
      </c>
      <c r="F6551" s="33">
        <f>DATE(YEAR(A6551),MONTH(A6551),1)</f>
        <v>42095.0</v>
      </c>
      <c r="G6551" t="str">
        <f>CHOOSE(WEEKDAY(A6551,2),"Mon","Tue","Wed","Thu","Fri","Sat","Sun")</f>
        <v>Wed</v>
      </c>
      <c r="H6551" t="str">
        <f>IF(WEEKDAY(A6551,2)&gt;5,"Weekend","Weekday")</f>
        <v>Weekday</v>
      </c>
      <c r="I6551" t="str">
        <f>_xlfn.IFS(B6551&lt;=5,"Night (0-5)",B6551&lt;=9,"Morning peak (6-9)",B6551&lt;=15,"Midday (10-15)",B6551&lt;=19,"Evening peak (16-19)",TRUE,"Late evening (20-23)")</f>
        <v>Morning peak (6-9)</v>
      </c>
    </row>
    <row r="6552" spans="1:9">
      <c r="A6552" s="32">
        <v>42095</v>
      </c>
      <c r="B6552">
        <v>9</v>
      </c>
      <c r="C6552">
        <v>3466</v>
      </c>
      <c r="D6552" t="s">
        <v>304</v>
      </c>
      <c r="E6552">
        <f>YEAR(A6552)</f>
        <v>2015</v>
      </c>
      <c r="F6552" s="33">
        <f>DATE(YEAR(A6552),MONTH(A6552),1)</f>
        <v>42095.0</v>
      </c>
      <c r="G6552" t="str">
        <f>CHOOSE(WEEKDAY(A6552,2),"Mon","Tue","Wed","Thu","Fri","Sat","Sun")</f>
        <v>Wed</v>
      </c>
      <c r="H6552" t="str">
        <f>IF(WEEKDAY(A6552,2)&gt;5,"Weekend","Weekday")</f>
        <v>Weekday</v>
      </c>
      <c r="I6552" t="str">
        <f>_xlfn.IFS(B6552&lt;=5,"Night (0-5)",B6552&lt;=9,"Morning peak (6-9)",B6552&lt;=15,"Midday (10-15)",B6552&lt;=19,"Evening peak (16-19)",TRUE,"Late evening (20-23)")</f>
        <v>Morning peak (6-9)</v>
      </c>
    </row>
    <row r="6553" spans="1:9">
      <c r="A6553" s="32">
        <v>42095</v>
      </c>
      <c r="B6553">
        <v>10</v>
      </c>
      <c r="C6553">
        <v>2702</v>
      </c>
      <c r="D6553" t="s">
        <v>304</v>
      </c>
      <c r="E6553">
        <f>YEAR(A6553)</f>
        <v>2015</v>
      </c>
      <c r="F6553" s="33">
        <f>DATE(YEAR(A6553),MONTH(A6553),1)</f>
        <v>42095.0</v>
      </c>
      <c r="G6553" t="str">
        <f>CHOOSE(WEEKDAY(A6553,2),"Mon","Tue","Wed","Thu","Fri","Sat","Sun")</f>
        <v>Wed</v>
      </c>
      <c r="H6553" t="str">
        <f>IF(WEEKDAY(A6553,2)&gt;5,"Weekend","Weekday")</f>
        <v>Weekday</v>
      </c>
      <c r="I6553" t="str">
        <f>_xlfn.IFS(B6553&lt;=5,"Night (0-5)",B6553&lt;=9,"Morning peak (6-9)",B6553&lt;=15,"Midday (10-15)",B6553&lt;=19,"Evening peak (16-19)",TRUE,"Late evening (20-23)")</f>
        <v>Midday (10-15)</v>
      </c>
    </row>
    <row r="6554" spans="1:9">
      <c r="A6554" s="32">
        <v>42095</v>
      </c>
      <c r="B6554">
        <v>11</v>
      </c>
      <c r="C6554">
        <v>2440</v>
      </c>
      <c r="D6554" t="s">
        <v>304</v>
      </c>
      <c r="E6554">
        <f>YEAR(A6554)</f>
        <v>2015</v>
      </c>
      <c r="F6554" s="33">
        <f>DATE(YEAR(A6554),MONTH(A6554),1)</f>
        <v>42095.0</v>
      </c>
      <c r="G6554" t="str">
        <f>CHOOSE(WEEKDAY(A6554,2),"Mon","Tue","Wed","Thu","Fri","Sat","Sun")</f>
        <v>Wed</v>
      </c>
      <c r="H6554" t="str">
        <f>IF(WEEKDAY(A6554,2)&gt;5,"Weekend","Weekday")</f>
        <v>Weekday</v>
      </c>
      <c r="I6554" t="str">
        <f>_xlfn.IFS(B6554&lt;=5,"Night (0-5)",B6554&lt;=9,"Morning peak (6-9)",B6554&lt;=15,"Midday (10-15)",B6554&lt;=19,"Evening peak (16-19)",TRUE,"Late evening (20-23)")</f>
        <v>Midday (10-15)</v>
      </c>
    </row>
    <row r="6555" spans="1:9">
      <c r="A6555" s="32">
        <v>42095</v>
      </c>
      <c r="B6555">
        <v>12</v>
      </c>
      <c r="C6555">
        <v>2539</v>
      </c>
      <c r="D6555" t="s">
        <v>304</v>
      </c>
      <c r="E6555">
        <f>YEAR(A6555)</f>
        <v>2015</v>
      </c>
      <c r="F6555" s="33">
        <f>DATE(YEAR(A6555),MONTH(A6555),1)</f>
        <v>42095.0</v>
      </c>
      <c r="G6555" t="str">
        <f>CHOOSE(WEEKDAY(A6555,2),"Mon","Tue","Wed","Thu","Fri","Sat","Sun")</f>
        <v>Wed</v>
      </c>
      <c r="H6555" t="str">
        <f>IF(WEEKDAY(A6555,2)&gt;5,"Weekend","Weekday")</f>
        <v>Weekday</v>
      </c>
      <c r="I6555" t="str">
        <f>_xlfn.IFS(B6555&lt;=5,"Night (0-5)",B6555&lt;=9,"Morning peak (6-9)",B6555&lt;=15,"Midday (10-15)",B6555&lt;=19,"Evening peak (16-19)",TRUE,"Late evening (20-23)")</f>
        <v>Midday (10-15)</v>
      </c>
    </row>
    <row r="6556" spans="1:9">
      <c r="A6556" s="32">
        <v>42095</v>
      </c>
      <c r="B6556">
        <v>13</v>
      </c>
      <c r="C6556">
        <v>2464</v>
      </c>
      <c r="D6556" t="s">
        <v>304</v>
      </c>
      <c r="E6556">
        <f>YEAR(A6556)</f>
        <v>2015</v>
      </c>
      <c r="F6556" s="33">
        <f>DATE(YEAR(A6556),MONTH(A6556),1)</f>
        <v>42095.0</v>
      </c>
      <c r="G6556" t="str">
        <f>CHOOSE(WEEKDAY(A6556,2),"Mon","Tue","Wed","Thu","Fri","Sat","Sun")</f>
        <v>Wed</v>
      </c>
      <c r="H6556" t="str">
        <f>IF(WEEKDAY(A6556,2)&gt;5,"Weekend","Weekday")</f>
        <v>Weekday</v>
      </c>
      <c r="I6556" t="str">
        <f>_xlfn.IFS(B6556&lt;=5,"Night (0-5)",B6556&lt;=9,"Morning peak (6-9)",B6556&lt;=15,"Midday (10-15)",B6556&lt;=19,"Evening peak (16-19)",TRUE,"Late evening (20-23)")</f>
        <v>Midday (10-15)</v>
      </c>
    </row>
    <row r="6557" spans="1:9">
      <c r="A6557" s="32">
        <v>42095</v>
      </c>
      <c r="B6557">
        <v>14</v>
      </c>
      <c r="C6557">
        <v>2646</v>
      </c>
      <c r="D6557" t="s">
        <v>304</v>
      </c>
      <c r="E6557">
        <f>YEAR(A6557)</f>
        <v>2015</v>
      </c>
      <c r="F6557" s="33">
        <f>DATE(YEAR(A6557),MONTH(A6557),1)</f>
        <v>42095.0</v>
      </c>
      <c r="G6557" t="str">
        <f>CHOOSE(WEEKDAY(A6557,2),"Mon","Tue","Wed","Thu","Fri","Sat","Sun")</f>
        <v>Wed</v>
      </c>
      <c r="H6557" t="str">
        <f>IF(WEEKDAY(A6557,2)&gt;5,"Weekend","Weekday")</f>
        <v>Weekday</v>
      </c>
      <c r="I6557" t="str">
        <f>_xlfn.IFS(B6557&lt;=5,"Night (0-5)",B6557&lt;=9,"Morning peak (6-9)",B6557&lt;=15,"Midday (10-15)",B6557&lt;=19,"Evening peak (16-19)",TRUE,"Late evening (20-23)")</f>
        <v>Midday (10-15)</v>
      </c>
    </row>
    <row r="6558" spans="1:9">
      <c r="A6558" s="32">
        <v>42095</v>
      </c>
      <c r="B6558">
        <v>15</v>
      </c>
      <c r="C6558">
        <v>3031</v>
      </c>
      <c r="D6558" t="s">
        <v>304</v>
      </c>
      <c r="E6558">
        <f>YEAR(A6558)</f>
        <v>2015</v>
      </c>
      <c r="F6558" s="33">
        <f>DATE(YEAR(A6558),MONTH(A6558),1)</f>
        <v>42095.0</v>
      </c>
      <c r="G6558" t="str">
        <f>CHOOSE(WEEKDAY(A6558,2),"Mon","Tue","Wed","Thu","Fri","Sat","Sun")</f>
        <v>Wed</v>
      </c>
      <c r="H6558" t="str">
        <f>IF(WEEKDAY(A6558,2)&gt;5,"Weekend","Weekday")</f>
        <v>Weekday</v>
      </c>
      <c r="I6558" t="str">
        <f>_xlfn.IFS(B6558&lt;=5,"Night (0-5)",B6558&lt;=9,"Morning peak (6-9)",B6558&lt;=15,"Midday (10-15)",B6558&lt;=19,"Evening peak (16-19)",TRUE,"Late evening (20-23)")</f>
        <v>Midday (10-15)</v>
      </c>
    </row>
    <row r="6559" spans="1:9">
      <c r="A6559" s="32">
        <v>42095</v>
      </c>
      <c r="B6559">
        <v>16</v>
      </c>
      <c r="C6559">
        <v>3482</v>
      </c>
      <c r="D6559" t="s">
        <v>304</v>
      </c>
      <c r="E6559">
        <f>YEAR(A6559)</f>
        <v>2015</v>
      </c>
      <c r="F6559" s="33">
        <f>DATE(YEAR(A6559),MONTH(A6559),1)</f>
        <v>42095.0</v>
      </c>
      <c r="G6559" t="str">
        <f>CHOOSE(WEEKDAY(A6559,2),"Mon","Tue","Wed","Thu","Fri","Sat","Sun")</f>
        <v>Wed</v>
      </c>
      <c r="H6559" t="str">
        <f>IF(WEEKDAY(A6559,2)&gt;5,"Weekend","Weekday")</f>
        <v>Weekday</v>
      </c>
      <c r="I6559" t="str">
        <f>_xlfn.IFS(B6559&lt;=5,"Night (0-5)",B6559&lt;=9,"Morning peak (6-9)",B6559&lt;=15,"Midday (10-15)",B6559&lt;=19,"Evening peak (16-19)",TRUE,"Late evening (20-23)")</f>
        <v>Evening peak (16-19)</v>
      </c>
    </row>
    <row r="6560" spans="1:9">
      <c r="A6560" s="32">
        <v>42095</v>
      </c>
      <c r="B6560">
        <v>17</v>
      </c>
      <c r="C6560">
        <v>4153</v>
      </c>
      <c r="D6560" t="s">
        <v>304</v>
      </c>
      <c r="E6560">
        <f>YEAR(A6560)</f>
        <v>2015</v>
      </c>
      <c r="F6560" s="33">
        <f>DATE(YEAR(A6560),MONTH(A6560),1)</f>
        <v>42095.0</v>
      </c>
      <c r="G6560" t="str">
        <f>CHOOSE(WEEKDAY(A6560,2),"Mon","Tue","Wed","Thu","Fri","Sat","Sun")</f>
        <v>Wed</v>
      </c>
      <c r="H6560" t="str">
        <f>IF(WEEKDAY(A6560,2)&gt;5,"Weekend","Weekday")</f>
        <v>Weekday</v>
      </c>
      <c r="I6560" t="str">
        <f>_xlfn.IFS(B6560&lt;=5,"Night (0-5)",B6560&lt;=9,"Morning peak (6-9)",B6560&lt;=15,"Midday (10-15)",B6560&lt;=19,"Evening peak (16-19)",TRUE,"Late evening (20-23)")</f>
        <v>Evening peak (16-19)</v>
      </c>
    </row>
    <row r="6561" spans="1:9">
      <c r="A6561" s="32">
        <v>42095</v>
      </c>
      <c r="B6561">
        <v>18</v>
      </c>
      <c r="C6561">
        <v>4804</v>
      </c>
      <c r="D6561" t="s">
        <v>304</v>
      </c>
      <c r="E6561">
        <f>YEAR(A6561)</f>
        <v>2015</v>
      </c>
      <c r="F6561" s="33">
        <f>DATE(YEAR(A6561),MONTH(A6561),1)</f>
        <v>42095.0</v>
      </c>
      <c r="G6561" t="str">
        <f>CHOOSE(WEEKDAY(A6561,2),"Mon","Tue","Wed","Thu","Fri","Sat","Sun")</f>
        <v>Wed</v>
      </c>
      <c r="H6561" t="str">
        <f>IF(WEEKDAY(A6561,2)&gt;5,"Weekend","Weekday")</f>
        <v>Weekday</v>
      </c>
      <c r="I6561" t="str">
        <f>_xlfn.IFS(B6561&lt;=5,"Night (0-5)",B6561&lt;=9,"Morning peak (6-9)",B6561&lt;=15,"Midday (10-15)",B6561&lt;=19,"Evening peak (16-19)",TRUE,"Late evening (20-23)")</f>
        <v>Evening peak (16-19)</v>
      </c>
    </row>
    <row r="6562" spans="1:9">
      <c r="A6562" s="32">
        <v>42095</v>
      </c>
      <c r="B6562">
        <v>19</v>
      </c>
      <c r="C6562">
        <v>5283</v>
      </c>
      <c r="D6562" t="s">
        <v>304</v>
      </c>
      <c r="E6562">
        <f>YEAR(A6562)</f>
        <v>2015</v>
      </c>
      <c r="F6562" s="33">
        <f>DATE(YEAR(A6562),MONTH(A6562),1)</f>
        <v>42095.0</v>
      </c>
      <c r="G6562" t="str">
        <f>CHOOSE(WEEKDAY(A6562,2),"Mon","Tue","Wed","Thu","Fri","Sat","Sun")</f>
        <v>Wed</v>
      </c>
      <c r="H6562" t="str">
        <f>IF(WEEKDAY(A6562,2)&gt;5,"Weekend","Weekday")</f>
        <v>Weekday</v>
      </c>
      <c r="I6562" t="str">
        <f>_xlfn.IFS(B6562&lt;=5,"Night (0-5)",B6562&lt;=9,"Morning peak (6-9)",B6562&lt;=15,"Midday (10-15)",B6562&lt;=19,"Evening peak (16-19)",TRUE,"Late evening (20-23)")</f>
        <v>Evening peak (16-19)</v>
      </c>
    </row>
    <row r="6563" spans="1:9">
      <c r="A6563" s="32">
        <v>42095</v>
      </c>
      <c r="B6563">
        <v>20</v>
      </c>
      <c r="C6563">
        <v>5142</v>
      </c>
      <c r="D6563" t="s">
        <v>304</v>
      </c>
      <c r="E6563">
        <f>YEAR(A6563)</f>
        <v>2015</v>
      </c>
      <c r="F6563" s="33">
        <f>DATE(YEAR(A6563),MONTH(A6563),1)</f>
        <v>42095.0</v>
      </c>
      <c r="G6563" t="str">
        <f>CHOOSE(WEEKDAY(A6563,2),"Mon","Tue","Wed","Thu","Fri","Sat","Sun")</f>
        <v>Wed</v>
      </c>
      <c r="H6563" t="str">
        <f>IF(WEEKDAY(A6563,2)&gt;5,"Weekend","Weekday")</f>
        <v>Weekday</v>
      </c>
      <c r="I6563" t="str">
        <f>_xlfn.IFS(B6563&lt;=5,"Night (0-5)",B6563&lt;=9,"Morning peak (6-9)",B6563&lt;=15,"Midday (10-15)",B6563&lt;=19,"Evening peak (16-19)",TRUE,"Late evening (20-23)")</f>
        <v>Late evening (20-23)</v>
      </c>
    </row>
    <row r="6564" spans="1:9">
      <c r="A6564" s="32">
        <v>42095</v>
      </c>
      <c r="B6564">
        <v>21</v>
      </c>
      <c r="C6564">
        <v>4949</v>
      </c>
      <c r="D6564" t="s">
        <v>304</v>
      </c>
      <c r="E6564">
        <f>YEAR(A6564)</f>
        <v>2015</v>
      </c>
      <c r="F6564" s="33">
        <f>DATE(YEAR(A6564),MONTH(A6564),1)</f>
        <v>42095.0</v>
      </c>
      <c r="G6564" t="str">
        <f>CHOOSE(WEEKDAY(A6564,2),"Mon","Tue","Wed","Thu","Fri","Sat","Sun")</f>
        <v>Wed</v>
      </c>
      <c r="H6564" t="str">
        <f>IF(WEEKDAY(A6564,2)&gt;5,"Weekend","Weekday")</f>
        <v>Weekday</v>
      </c>
      <c r="I6564" t="str">
        <f>_xlfn.IFS(B6564&lt;=5,"Night (0-5)",B6564&lt;=9,"Morning peak (6-9)",B6564&lt;=15,"Midday (10-15)",B6564&lt;=19,"Evening peak (16-19)",TRUE,"Late evening (20-23)")</f>
        <v>Late evening (20-23)</v>
      </c>
    </row>
    <row r="6565" spans="1:9">
      <c r="A6565" s="32">
        <v>42095</v>
      </c>
      <c r="B6565">
        <v>22</v>
      </c>
      <c r="C6565">
        <v>4659</v>
      </c>
      <c r="D6565" t="s">
        <v>304</v>
      </c>
      <c r="E6565">
        <f>YEAR(A6565)</f>
        <v>2015</v>
      </c>
      <c r="F6565" s="33">
        <f>DATE(YEAR(A6565),MONTH(A6565),1)</f>
        <v>42095.0</v>
      </c>
      <c r="G6565" t="str">
        <f>CHOOSE(WEEKDAY(A6565,2),"Mon","Tue","Wed","Thu","Fri","Sat","Sun")</f>
        <v>Wed</v>
      </c>
      <c r="H6565" t="str">
        <f>IF(WEEKDAY(A6565,2)&gt;5,"Weekend","Weekday")</f>
        <v>Weekday</v>
      </c>
      <c r="I6565" t="str">
        <f>_xlfn.IFS(B6565&lt;=5,"Night (0-5)",B6565&lt;=9,"Morning peak (6-9)",B6565&lt;=15,"Midday (10-15)",B6565&lt;=19,"Evening peak (16-19)",TRUE,"Late evening (20-23)")</f>
        <v>Late evening (20-23)</v>
      </c>
    </row>
    <row r="6566" spans="1:9">
      <c r="A6566" s="32">
        <v>42095</v>
      </c>
      <c r="B6566">
        <v>23</v>
      </c>
      <c r="C6566">
        <v>3714</v>
      </c>
      <c r="D6566" t="s">
        <v>304</v>
      </c>
      <c r="E6566">
        <f>YEAR(A6566)</f>
        <v>2015</v>
      </c>
      <c r="F6566" s="33">
        <f>DATE(YEAR(A6566),MONTH(A6566),1)</f>
        <v>42095.0</v>
      </c>
      <c r="G6566" t="str">
        <f>CHOOSE(WEEKDAY(A6566,2),"Mon","Tue","Wed","Thu","Fri","Sat","Sun")</f>
        <v>Wed</v>
      </c>
      <c r="H6566" t="str">
        <f>IF(WEEKDAY(A6566,2)&gt;5,"Weekend","Weekday")</f>
        <v>Weekday</v>
      </c>
      <c r="I6566" t="str">
        <f>_xlfn.IFS(B6566&lt;=5,"Night (0-5)",B6566&lt;=9,"Morning peak (6-9)",B6566&lt;=15,"Midday (10-15)",B6566&lt;=19,"Evening peak (16-19)",TRUE,"Late evening (20-23)")</f>
        <v>Late evening (20-23)</v>
      </c>
    </row>
    <row r="6567" spans="1:9">
      <c r="A6567" s="32">
        <v>42096</v>
      </c>
      <c r="B6567">
        <v>0</v>
      </c>
      <c r="C6567">
        <v>2306</v>
      </c>
      <c r="D6567" t="s">
        <v>304</v>
      </c>
      <c r="E6567">
        <f>YEAR(A6567)</f>
        <v>2015</v>
      </c>
      <c r="F6567" s="33">
        <f>DATE(YEAR(A6567),MONTH(A6567),1)</f>
        <v>42095.0</v>
      </c>
      <c r="G6567" t="str">
        <f>CHOOSE(WEEKDAY(A6567,2),"Mon","Tue","Wed","Thu","Fri","Sat","Sun")</f>
        <v>Thu</v>
      </c>
      <c r="H6567" t="str">
        <f>IF(WEEKDAY(A6567,2)&gt;5,"Weekend","Weekday")</f>
        <v>Weekday</v>
      </c>
      <c r="I6567" t="str">
        <f>_xlfn.IFS(B6567&lt;=5,"Night (0-5)",B6567&lt;=9,"Morning peak (6-9)",B6567&lt;=15,"Midday (10-15)",B6567&lt;=19,"Evening peak (16-19)",TRUE,"Late evening (20-23)")</f>
        <v>Night (0-5)</v>
      </c>
    </row>
    <row r="6568" spans="1:9">
      <c r="A6568" s="32">
        <v>42096</v>
      </c>
      <c r="B6568">
        <v>1</v>
      </c>
      <c r="C6568">
        <v>1280</v>
      </c>
      <c r="D6568" t="s">
        <v>304</v>
      </c>
      <c r="E6568">
        <f>YEAR(A6568)</f>
        <v>2015</v>
      </c>
      <c r="F6568" s="33">
        <f>DATE(YEAR(A6568),MONTH(A6568),1)</f>
        <v>42095.0</v>
      </c>
      <c r="G6568" t="str">
        <f>CHOOSE(WEEKDAY(A6568,2),"Mon","Tue","Wed","Thu","Fri","Sat","Sun")</f>
        <v>Thu</v>
      </c>
      <c r="H6568" t="str">
        <f>IF(WEEKDAY(A6568,2)&gt;5,"Weekend","Weekday")</f>
        <v>Weekday</v>
      </c>
      <c r="I6568" t="str">
        <f>_xlfn.IFS(B6568&lt;=5,"Night (0-5)",B6568&lt;=9,"Morning peak (6-9)",B6568&lt;=15,"Midday (10-15)",B6568&lt;=19,"Evening peak (16-19)",TRUE,"Late evening (20-23)")</f>
        <v>Night (0-5)</v>
      </c>
    </row>
    <row r="6569" spans="1:9">
      <c r="A6569" s="32">
        <v>42096</v>
      </c>
      <c r="B6569">
        <v>2</v>
      </c>
      <c r="C6569">
        <v>743</v>
      </c>
      <c r="D6569" t="s">
        <v>304</v>
      </c>
      <c r="E6569">
        <f>YEAR(A6569)</f>
        <v>2015</v>
      </c>
      <c r="F6569" s="33">
        <f>DATE(YEAR(A6569),MONTH(A6569),1)</f>
        <v>42095.0</v>
      </c>
      <c r="G6569" t="str">
        <f>CHOOSE(WEEKDAY(A6569,2),"Mon","Tue","Wed","Thu","Fri","Sat","Sun")</f>
        <v>Thu</v>
      </c>
      <c r="H6569" t="str">
        <f>IF(WEEKDAY(A6569,2)&gt;5,"Weekend","Weekday")</f>
        <v>Weekday</v>
      </c>
      <c r="I6569" t="str">
        <f>_xlfn.IFS(B6569&lt;=5,"Night (0-5)",B6569&lt;=9,"Morning peak (6-9)",B6569&lt;=15,"Midday (10-15)",B6569&lt;=19,"Evening peak (16-19)",TRUE,"Late evening (20-23)")</f>
        <v>Night (0-5)</v>
      </c>
    </row>
    <row r="6570" spans="1:9">
      <c r="A6570" s="32">
        <v>42096</v>
      </c>
      <c r="B6570">
        <v>3</v>
      </c>
      <c r="C6570">
        <v>464</v>
      </c>
      <c r="D6570" t="s">
        <v>304</v>
      </c>
      <c r="E6570">
        <f>YEAR(A6570)</f>
        <v>2015</v>
      </c>
      <c r="F6570" s="33">
        <f>DATE(YEAR(A6570),MONTH(A6570),1)</f>
        <v>42095.0</v>
      </c>
      <c r="G6570" t="str">
        <f>CHOOSE(WEEKDAY(A6570,2),"Mon","Tue","Wed","Thu","Fri","Sat","Sun")</f>
        <v>Thu</v>
      </c>
      <c r="H6570" t="str">
        <f>IF(WEEKDAY(A6570,2)&gt;5,"Weekend","Weekday")</f>
        <v>Weekday</v>
      </c>
      <c r="I6570" t="str">
        <f>_xlfn.IFS(B6570&lt;=5,"Night (0-5)",B6570&lt;=9,"Morning peak (6-9)",B6570&lt;=15,"Midday (10-15)",B6570&lt;=19,"Evening peak (16-19)",TRUE,"Late evening (20-23)")</f>
        <v>Night (0-5)</v>
      </c>
    </row>
    <row r="6571" spans="1:9">
      <c r="A6571" s="32">
        <v>42096</v>
      </c>
      <c r="B6571">
        <v>4</v>
      </c>
      <c r="C6571">
        <v>654</v>
      </c>
      <c r="D6571" t="s">
        <v>304</v>
      </c>
      <c r="E6571">
        <f>YEAR(A6571)</f>
        <v>2015</v>
      </c>
      <c r="F6571" s="33">
        <f>DATE(YEAR(A6571),MONTH(A6571),1)</f>
        <v>42095.0</v>
      </c>
      <c r="G6571" t="str">
        <f>CHOOSE(WEEKDAY(A6571,2),"Mon","Tue","Wed","Thu","Fri","Sat","Sun")</f>
        <v>Thu</v>
      </c>
      <c r="H6571" t="str">
        <f>IF(WEEKDAY(A6571,2)&gt;5,"Weekend","Weekday")</f>
        <v>Weekday</v>
      </c>
      <c r="I6571" t="str">
        <f>_xlfn.IFS(B6571&lt;=5,"Night (0-5)",B6571&lt;=9,"Morning peak (6-9)",B6571&lt;=15,"Midday (10-15)",B6571&lt;=19,"Evening peak (16-19)",TRUE,"Late evening (20-23)")</f>
        <v>Night (0-5)</v>
      </c>
    </row>
    <row r="6572" spans="1:9">
      <c r="A6572" s="32">
        <v>42096</v>
      </c>
      <c r="B6572">
        <v>5</v>
      </c>
      <c r="C6572">
        <v>1073</v>
      </c>
      <c r="D6572" t="s">
        <v>304</v>
      </c>
      <c r="E6572">
        <f>YEAR(A6572)</f>
        <v>2015</v>
      </c>
      <c r="F6572" s="33">
        <f>DATE(YEAR(A6572),MONTH(A6572),1)</f>
        <v>42095.0</v>
      </c>
      <c r="G6572" t="str">
        <f>CHOOSE(WEEKDAY(A6572,2),"Mon","Tue","Wed","Thu","Fri","Sat","Sun")</f>
        <v>Thu</v>
      </c>
      <c r="H6572" t="str">
        <f>IF(WEEKDAY(A6572,2)&gt;5,"Weekend","Weekday")</f>
        <v>Weekday</v>
      </c>
      <c r="I6572" t="str">
        <f>_xlfn.IFS(B6572&lt;=5,"Night (0-5)",B6572&lt;=9,"Morning peak (6-9)",B6572&lt;=15,"Midday (10-15)",B6572&lt;=19,"Evening peak (16-19)",TRUE,"Late evening (20-23)")</f>
        <v>Night (0-5)</v>
      </c>
    </row>
    <row r="6573" spans="1:9">
      <c r="A6573" s="32">
        <v>42096</v>
      </c>
      <c r="B6573">
        <v>6</v>
      </c>
      <c r="C6573">
        <v>1746</v>
      </c>
      <c r="D6573" t="s">
        <v>304</v>
      </c>
      <c r="E6573">
        <f>YEAR(A6573)</f>
        <v>2015</v>
      </c>
      <c r="F6573" s="33">
        <f>DATE(YEAR(A6573),MONTH(A6573),1)</f>
        <v>42095.0</v>
      </c>
      <c r="G6573" t="str">
        <f>CHOOSE(WEEKDAY(A6573,2),"Mon","Tue","Wed","Thu","Fri","Sat","Sun")</f>
        <v>Thu</v>
      </c>
      <c r="H6573" t="str">
        <f>IF(WEEKDAY(A6573,2)&gt;5,"Weekend","Weekday")</f>
        <v>Weekday</v>
      </c>
      <c r="I6573" t="str">
        <f>_xlfn.IFS(B6573&lt;=5,"Night (0-5)",B6573&lt;=9,"Morning peak (6-9)",B6573&lt;=15,"Midday (10-15)",B6573&lt;=19,"Evening peak (16-19)",TRUE,"Late evening (20-23)")</f>
        <v>Morning peak (6-9)</v>
      </c>
    </row>
    <row r="6574" spans="1:9">
      <c r="A6574" s="32">
        <v>42096</v>
      </c>
      <c r="B6574">
        <v>7</v>
      </c>
      <c r="C6574">
        <v>2805</v>
      </c>
      <c r="D6574" t="s">
        <v>304</v>
      </c>
      <c r="E6574">
        <f>YEAR(A6574)</f>
        <v>2015</v>
      </c>
      <c r="F6574" s="33">
        <f>DATE(YEAR(A6574),MONTH(A6574),1)</f>
        <v>42095.0</v>
      </c>
      <c r="G6574" t="str">
        <f>CHOOSE(WEEKDAY(A6574,2),"Mon","Tue","Wed","Thu","Fri","Sat","Sun")</f>
        <v>Thu</v>
      </c>
      <c r="H6574" t="str">
        <f>IF(WEEKDAY(A6574,2)&gt;5,"Weekend","Weekday")</f>
        <v>Weekday</v>
      </c>
      <c r="I6574" t="str">
        <f>_xlfn.IFS(B6574&lt;=5,"Night (0-5)",B6574&lt;=9,"Morning peak (6-9)",B6574&lt;=15,"Midday (10-15)",B6574&lt;=19,"Evening peak (16-19)",TRUE,"Late evening (20-23)")</f>
        <v>Morning peak (6-9)</v>
      </c>
    </row>
    <row r="6575" spans="1:9">
      <c r="A6575" s="32">
        <v>42096</v>
      </c>
      <c r="B6575">
        <v>8</v>
      </c>
      <c r="C6575">
        <v>3650</v>
      </c>
      <c r="D6575" t="s">
        <v>304</v>
      </c>
      <c r="E6575">
        <f>YEAR(A6575)</f>
        <v>2015</v>
      </c>
      <c r="F6575" s="33">
        <f>DATE(YEAR(A6575),MONTH(A6575),1)</f>
        <v>42095.0</v>
      </c>
      <c r="G6575" t="str">
        <f>CHOOSE(WEEKDAY(A6575,2),"Mon","Tue","Wed","Thu","Fri","Sat","Sun")</f>
        <v>Thu</v>
      </c>
      <c r="H6575" t="str">
        <f>IF(WEEKDAY(A6575,2)&gt;5,"Weekend","Weekday")</f>
        <v>Weekday</v>
      </c>
      <c r="I6575" t="str">
        <f>_xlfn.IFS(B6575&lt;=5,"Night (0-5)",B6575&lt;=9,"Morning peak (6-9)",B6575&lt;=15,"Midday (10-15)",B6575&lt;=19,"Evening peak (16-19)",TRUE,"Late evening (20-23)")</f>
        <v>Morning peak (6-9)</v>
      </c>
    </row>
    <row r="6576" spans="1:9">
      <c r="A6576" s="32">
        <v>42096</v>
      </c>
      <c r="B6576">
        <v>9</v>
      </c>
      <c r="C6576">
        <v>3454</v>
      </c>
      <c r="D6576" t="s">
        <v>304</v>
      </c>
      <c r="E6576">
        <f>YEAR(A6576)</f>
        <v>2015</v>
      </c>
      <c r="F6576" s="33">
        <f>DATE(YEAR(A6576),MONTH(A6576),1)</f>
        <v>42095.0</v>
      </c>
      <c r="G6576" t="str">
        <f>CHOOSE(WEEKDAY(A6576,2),"Mon","Tue","Wed","Thu","Fri","Sat","Sun")</f>
        <v>Thu</v>
      </c>
      <c r="H6576" t="str">
        <f>IF(WEEKDAY(A6576,2)&gt;5,"Weekend","Weekday")</f>
        <v>Weekday</v>
      </c>
      <c r="I6576" t="str">
        <f>_xlfn.IFS(B6576&lt;=5,"Night (0-5)",B6576&lt;=9,"Morning peak (6-9)",B6576&lt;=15,"Midday (10-15)",B6576&lt;=19,"Evening peak (16-19)",TRUE,"Late evening (20-23)")</f>
        <v>Morning peak (6-9)</v>
      </c>
    </row>
    <row r="6577" spans="1:9">
      <c r="A6577" s="32">
        <v>42096</v>
      </c>
      <c r="B6577">
        <v>10</v>
      </c>
      <c r="C6577">
        <v>2707</v>
      </c>
      <c r="D6577" t="s">
        <v>304</v>
      </c>
      <c r="E6577">
        <f>YEAR(A6577)</f>
        <v>2015</v>
      </c>
      <c r="F6577" s="33">
        <f>DATE(YEAR(A6577),MONTH(A6577),1)</f>
        <v>42095.0</v>
      </c>
      <c r="G6577" t="str">
        <f>CHOOSE(WEEKDAY(A6577,2),"Mon","Tue","Wed","Thu","Fri","Sat","Sun")</f>
        <v>Thu</v>
      </c>
      <c r="H6577" t="str">
        <f>IF(WEEKDAY(A6577,2)&gt;5,"Weekend","Weekday")</f>
        <v>Weekday</v>
      </c>
      <c r="I6577" t="str">
        <f>_xlfn.IFS(B6577&lt;=5,"Night (0-5)",B6577&lt;=9,"Morning peak (6-9)",B6577&lt;=15,"Midday (10-15)",B6577&lt;=19,"Evening peak (16-19)",TRUE,"Late evening (20-23)")</f>
        <v>Midday (10-15)</v>
      </c>
    </row>
    <row r="6578" spans="1:9">
      <c r="A6578" s="32">
        <v>42096</v>
      </c>
      <c r="B6578">
        <v>11</v>
      </c>
      <c r="C6578">
        <v>2417</v>
      </c>
      <c r="D6578" t="s">
        <v>304</v>
      </c>
      <c r="E6578">
        <f>YEAR(A6578)</f>
        <v>2015</v>
      </c>
      <c r="F6578" s="33">
        <f>DATE(YEAR(A6578),MONTH(A6578),1)</f>
        <v>42095.0</v>
      </c>
      <c r="G6578" t="str">
        <f>CHOOSE(WEEKDAY(A6578,2),"Mon","Tue","Wed","Thu","Fri","Sat","Sun")</f>
        <v>Thu</v>
      </c>
      <c r="H6578" t="str">
        <f>IF(WEEKDAY(A6578,2)&gt;5,"Weekend","Weekday")</f>
        <v>Weekday</v>
      </c>
      <c r="I6578" t="str">
        <f>_xlfn.IFS(B6578&lt;=5,"Night (0-5)",B6578&lt;=9,"Morning peak (6-9)",B6578&lt;=15,"Midday (10-15)",B6578&lt;=19,"Evening peak (16-19)",TRUE,"Late evening (20-23)")</f>
        <v>Midday (10-15)</v>
      </c>
    </row>
    <row r="6579" spans="1:9">
      <c r="A6579" s="32">
        <v>42096</v>
      </c>
      <c r="B6579">
        <v>12</v>
      </c>
      <c r="C6579">
        <v>2397</v>
      </c>
      <c r="D6579" t="s">
        <v>304</v>
      </c>
      <c r="E6579">
        <f>YEAR(A6579)</f>
        <v>2015</v>
      </c>
      <c r="F6579" s="33">
        <f>DATE(YEAR(A6579),MONTH(A6579),1)</f>
        <v>42095.0</v>
      </c>
      <c r="G6579" t="str">
        <f>CHOOSE(WEEKDAY(A6579,2),"Mon","Tue","Wed","Thu","Fri","Sat","Sun")</f>
        <v>Thu</v>
      </c>
      <c r="H6579" t="str">
        <f>IF(WEEKDAY(A6579,2)&gt;5,"Weekend","Weekday")</f>
        <v>Weekday</v>
      </c>
      <c r="I6579" t="str">
        <f>_xlfn.IFS(B6579&lt;=5,"Night (0-5)",B6579&lt;=9,"Morning peak (6-9)",B6579&lt;=15,"Midday (10-15)",B6579&lt;=19,"Evening peak (16-19)",TRUE,"Late evening (20-23)")</f>
        <v>Midday (10-15)</v>
      </c>
    </row>
    <row r="6580" spans="1:9">
      <c r="A6580" s="32">
        <v>42096</v>
      </c>
      <c r="B6580">
        <v>13</v>
      </c>
      <c r="C6580">
        <v>2453</v>
      </c>
      <c r="D6580" t="s">
        <v>304</v>
      </c>
      <c r="E6580">
        <f>YEAR(A6580)</f>
        <v>2015</v>
      </c>
      <c r="F6580" s="33">
        <f>DATE(YEAR(A6580),MONTH(A6580),1)</f>
        <v>42095.0</v>
      </c>
      <c r="G6580" t="str">
        <f>CHOOSE(WEEKDAY(A6580,2),"Mon","Tue","Wed","Thu","Fri","Sat","Sun")</f>
        <v>Thu</v>
      </c>
      <c r="H6580" t="str">
        <f>IF(WEEKDAY(A6580,2)&gt;5,"Weekend","Weekday")</f>
        <v>Weekday</v>
      </c>
      <c r="I6580" t="str">
        <f>_xlfn.IFS(B6580&lt;=5,"Night (0-5)",B6580&lt;=9,"Morning peak (6-9)",B6580&lt;=15,"Midday (10-15)",B6580&lt;=19,"Evening peak (16-19)",TRUE,"Late evening (20-23)")</f>
        <v>Midday (10-15)</v>
      </c>
    </row>
    <row r="6581" spans="1:9">
      <c r="A6581" s="32">
        <v>42096</v>
      </c>
      <c r="B6581">
        <v>14</v>
      </c>
      <c r="C6581">
        <v>2652</v>
      </c>
      <c r="D6581" t="s">
        <v>304</v>
      </c>
      <c r="E6581">
        <f>YEAR(A6581)</f>
        <v>2015</v>
      </c>
      <c r="F6581" s="33">
        <f>DATE(YEAR(A6581),MONTH(A6581),1)</f>
        <v>42095.0</v>
      </c>
      <c r="G6581" t="str">
        <f>CHOOSE(WEEKDAY(A6581,2),"Mon","Tue","Wed","Thu","Fri","Sat","Sun")</f>
        <v>Thu</v>
      </c>
      <c r="H6581" t="str">
        <f>IF(WEEKDAY(A6581,2)&gt;5,"Weekend","Weekday")</f>
        <v>Weekday</v>
      </c>
      <c r="I6581" t="str">
        <f>_xlfn.IFS(B6581&lt;=5,"Night (0-5)",B6581&lt;=9,"Morning peak (6-9)",B6581&lt;=15,"Midday (10-15)",B6581&lt;=19,"Evening peak (16-19)",TRUE,"Late evening (20-23)")</f>
        <v>Midday (10-15)</v>
      </c>
    </row>
    <row r="6582" spans="1:9">
      <c r="A6582" s="32">
        <v>42096</v>
      </c>
      <c r="B6582">
        <v>15</v>
      </c>
      <c r="C6582">
        <v>3139</v>
      </c>
      <c r="D6582" t="s">
        <v>304</v>
      </c>
      <c r="E6582">
        <f>YEAR(A6582)</f>
        <v>2015</v>
      </c>
      <c r="F6582" s="33">
        <f>DATE(YEAR(A6582),MONTH(A6582),1)</f>
        <v>42095.0</v>
      </c>
      <c r="G6582" t="str">
        <f>CHOOSE(WEEKDAY(A6582,2),"Mon","Tue","Wed","Thu","Fri","Sat","Sun")</f>
        <v>Thu</v>
      </c>
      <c r="H6582" t="str">
        <f>IF(WEEKDAY(A6582,2)&gt;5,"Weekend","Weekday")</f>
        <v>Weekday</v>
      </c>
      <c r="I6582" t="str">
        <f>_xlfn.IFS(B6582&lt;=5,"Night (0-5)",B6582&lt;=9,"Morning peak (6-9)",B6582&lt;=15,"Midday (10-15)",B6582&lt;=19,"Evening peak (16-19)",TRUE,"Late evening (20-23)")</f>
        <v>Midday (10-15)</v>
      </c>
    </row>
    <row r="6583" spans="1:9">
      <c r="A6583" s="32">
        <v>42096</v>
      </c>
      <c r="B6583">
        <v>16</v>
      </c>
      <c r="C6583">
        <v>3570</v>
      </c>
      <c r="D6583" t="s">
        <v>304</v>
      </c>
      <c r="E6583">
        <f>YEAR(A6583)</f>
        <v>2015</v>
      </c>
      <c r="F6583" s="33">
        <f>DATE(YEAR(A6583),MONTH(A6583),1)</f>
        <v>42095.0</v>
      </c>
      <c r="G6583" t="str">
        <f>CHOOSE(WEEKDAY(A6583,2),"Mon","Tue","Wed","Thu","Fri","Sat","Sun")</f>
        <v>Thu</v>
      </c>
      <c r="H6583" t="str">
        <f>IF(WEEKDAY(A6583,2)&gt;5,"Weekend","Weekday")</f>
        <v>Weekday</v>
      </c>
      <c r="I6583" t="str">
        <f>_xlfn.IFS(B6583&lt;=5,"Night (0-5)",B6583&lt;=9,"Morning peak (6-9)",B6583&lt;=15,"Midday (10-15)",B6583&lt;=19,"Evening peak (16-19)",TRUE,"Late evening (20-23)")</f>
        <v>Evening peak (16-19)</v>
      </c>
    </row>
    <row r="6584" spans="1:9">
      <c r="A6584" s="32">
        <v>42096</v>
      </c>
      <c r="B6584">
        <v>17</v>
      </c>
      <c r="C6584">
        <v>4362</v>
      </c>
      <c r="D6584" t="s">
        <v>304</v>
      </c>
      <c r="E6584">
        <f>YEAR(A6584)</f>
        <v>2015</v>
      </c>
      <c r="F6584" s="33">
        <f>DATE(YEAR(A6584),MONTH(A6584),1)</f>
        <v>42095.0</v>
      </c>
      <c r="G6584" t="str">
        <f>CHOOSE(WEEKDAY(A6584,2),"Mon","Tue","Wed","Thu","Fri","Sat","Sun")</f>
        <v>Thu</v>
      </c>
      <c r="H6584" t="str">
        <f>IF(WEEKDAY(A6584,2)&gt;5,"Weekend","Weekday")</f>
        <v>Weekday</v>
      </c>
      <c r="I6584" t="str">
        <f>_xlfn.IFS(B6584&lt;=5,"Night (0-5)",B6584&lt;=9,"Morning peak (6-9)",B6584&lt;=15,"Midday (10-15)",B6584&lt;=19,"Evening peak (16-19)",TRUE,"Late evening (20-23)")</f>
        <v>Evening peak (16-19)</v>
      </c>
    </row>
    <row r="6585" spans="1:9">
      <c r="A6585" s="32">
        <v>42096</v>
      </c>
      <c r="B6585">
        <v>18</v>
      </c>
      <c r="C6585">
        <v>5353</v>
      </c>
      <c r="D6585" t="s">
        <v>304</v>
      </c>
      <c r="E6585">
        <f>YEAR(A6585)</f>
        <v>2015</v>
      </c>
      <c r="F6585" s="33">
        <f>DATE(YEAR(A6585),MONTH(A6585),1)</f>
        <v>42095.0</v>
      </c>
      <c r="G6585" t="str">
        <f>CHOOSE(WEEKDAY(A6585,2),"Mon","Tue","Wed","Thu","Fri","Sat","Sun")</f>
        <v>Thu</v>
      </c>
      <c r="H6585" t="str">
        <f>IF(WEEKDAY(A6585,2)&gt;5,"Weekend","Weekday")</f>
        <v>Weekday</v>
      </c>
      <c r="I6585" t="str">
        <f>_xlfn.IFS(B6585&lt;=5,"Night (0-5)",B6585&lt;=9,"Morning peak (6-9)",B6585&lt;=15,"Midday (10-15)",B6585&lt;=19,"Evening peak (16-19)",TRUE,"Late evening (20-23)")</f>
        <v>Evening peak (16-19)</v>
      </c>
    </row>
    <row r="6586" spans="1:9">
      <c r="A6586" s="32">
        <v>42096</v>
      </c>
      <c r="B6586">
        <v>19</v>
      </c>
      <c r="C6586">
        <v>5604</v>
      </c>
      <c r="D6586" t="s">
        <v>304</v>
      </c>
      <c r="E6586">
        <f>YEAR(A6586)</f>
        <v>2015</v>
      </c>
      <c r="F6586" s="33">
        <f>DATE(YEAR(A6586),MONTH(A6586),1)</f>
        <v>42095.0</v>
      </c>
      <c r="G6586" t="str">
        <f>CHOOSE(WEEKDAY(A6586,2),"Mon","Tue","Wed","Thu","Fri","Sat","Sun")</f>
        <v>Thu</v>
      </c>
      <c r="H6586" t="str">
        <f>IF(WEEKDAY(A6586,2)&gt;5,"Weekend","Weekday")</f>
        <v>Weekday</v>
      </c>
      <c r="I6586" t="str">
        <f>_xlfn.IFS(B6586&lt;=5,"Night (0-5)",B6586&lt;=9,"Morning peak (6-9)",B6586&lt;=15,"Midday (10-15)",B6586&lt;=19,"Evening peak (16-19)",TRUE,"Late evening (20-23)")</f>
        <v>Evening peak (16-19)</v>
      </c>
    </row>
    <row r="6587" spans="1:9">
      <c r="A6587" s="32">
        <v>42096</v>
      </c>
      <c r="B6587">
        <v>20</v>
      </c>
      <c r="C6587">
        <v>5733</v>
      </c>
      <c r="D6587" t="s">
        <v>304</v>
      </c>
      <c r="E6587">
        <f>YEAR(A6587)</f>
        <v>2015</v>
      </c>
      <c r="F6587" s="33">
        <f>DATE(YEAR(A6587),MONTH(A6587),1)</f>
        <v>42095.0</v>
      </c>
      <c r="G6587" t="str">
        <f>CHOOSE(WEEKDAY(A6587,2),"Mon","Tue","Wed","Thu","Fri","Sat","Sun")</f>
        <v>Thu</v>
      </c>
      <c r="H6587" t="str">
        <f>IF(WEEKDAY(A6587,2)&gt;5,"Weekend","Weekday")</f>
        <v>Weekday</v>
      </c>
      <c r="I6587" t="str">
        <f>_xlfn.IFS(B6587&lt;=5,"Night (0-5)",B6587&lt;=9,"Morning peak (6-9)",B6587&lt;=15,"Midday (10-15)",B6587&lt;=19,"Evening peak (16-19)",TRUE,"Late evening (20-23)")</f>
        <v>Late evening (20-23)</v>
      </c>
    </row>
    <row r="6588" spans="1:9">
      <c r="A6588" s="32">
        <v>42096</v>
      </c>
      <c r="B6588">
        <v>21</v>
      </c>
      <c r="C6588">
        <v>5406</v>
      </c>
      <c r="D6588" t="s">
        <v>304</v>
      </c>
      <c r="E6588">
        <f>YEAR(A6588)</f>
        <v>2015</v>
      </c>
      <c r="F6588" s="33">
        <f>DATE(YEAR(A6588),MONTH(A6588),1)</f>
        <v>42095.0</v>
      </c>
      <c r="G6588" t="str">
        <f>CHOOSE(WEEKDAY(A6588,2),"Mon","Tue","Wed","Thu","Fri","Sat","Sun")</f>
        <v>Thu</v>
      </c>
      <c r="H6588" t="str">
        <f>IF(WEEKDAY(A6588,2)&gt;5,"Weekend","Weekday")</f>
        <v>Weekday</v>
      </c>
      <c r="I6588" t="str">
        <f>_xlfn.IFS(B6588&lt;=5,"Night (0-5)",B6588&lt;=9,"Morning peak (6-9)",B6588&lt;=15,"Midday (10-15)",B6588&lt;=19,"Evening peak (16-19)",TRUE,"Late evening (20-23)")</f>
        <v>Late evening (20-23)</v>
      </c>
    </row>
    <row r="6589" spans="1:9">
      <c r="A6589" s="32">
        <v>42096</v>
      </c>
      <c r="B6589">
        <v>22</v>
      </c>
      <c r="C6589">
        <v>5181</v>
      </c>
      <c r="D6589" t="s">
        <v>304</v>
      </c>
      <c r="E6589">
        <f>YEAR(A6589)</f>
        <v>2015</v>
      </c>
      <c r="F6589" s="33">
        <f>DATE(YEAR(A6589),MONTH(A6589),1)</f>
        <v>42095.0</v>
      </c>
      <c r="G6589" t="str">
        <f>CHOOSE(WEEKDAY(A6589,2),"Mon","Tue","Wed","Thu","Fri","Sat","Sun")</f>
        <v>Thu</v>
      </c>
      <c r="H6589" t="str">
        <f>IF(WEEKDAY(A6589,2)&gt;5,"Weekend","Weekday")</f>
        <v>Weekday</v>
      </c>
      <c r="I6589" t="str">
        <f>_xlfn.IFS(B6589&lt;=5,"Night (0-5)",B6589&lt;=9,"Morning peak (6-9)",B6589&lt;=15,"Midday (10-15)",B6589&lt;=19,"Evening peak (16-19)",TRUE,"Late evening (20-23)")</f>
        <v>Late evening (20-23)</v>
      </c>
    </row>
    <row r="6590" spans="1:9">
      <c r="A6590" s="32">
        <v>42096</v>
      </c>
      <c r="B6590">
        <v>23</v>
      </c>
      <c r="C6590">
        <v>4920</v>
      </c>
      <c r="D6590" t="s">
        <v>304</v>
      </c>
      <c r="E6590">
        <f>YEAR(A6590)</f>
        <v>2015</v>
      </c>
      <c r="F6590" s="33">
        <f>DATE(YEAR(A6590),MONTH(A6590),1)</f>
        <v>42095.0</v>
      </c>
      <c r="G6590" t="str">
        <f>CHOOSE(WEEKDAY(A6590,2),"Mon","Tue","Wed","Thu","Fri","Sat","Sun")</f>
        <v>Thu</v>
      </c>
      <c r="H6590" t="str">
        <f>IF(WEEKDAY(A6590,2)&gt;5,"Weekend","Weekday")</f>
        <v>Weekday</v>
      </c>
      <c r="I6590" t="str">
        <f>_xlfn.IFS(B6590&lt;=5,"Night (0-5)",B6590&lt;=9,"Morning peak (6-9)",B6590&lt;=15,"Midday (10-15)",B6590&lt;=19,"Evening peak (16-19)",TRUE,"Late evening (20-23)")</f>
        <v>Late evening (20-23)</v>
      </c>
    </row>
    <row r="6591" spans="1:9">
      <c r="A6591" s="32">
        <v>42097</v>
      </c>
      <c r="B6591">
        <v>0</v>
      </c>
      <c r="C6591">
        <v>3835</v>
      </c>
      <c r="D6591" t="s">
        <v>304</v>
      </c>
      <c r="E6591">
        <f>YEAR(A6591)</f>
        <v>2015</v>
      </c>
      <c r="F6591" s="33">
        <f>DATE(YEAR(A6591),MONTH(A6591),1)</f>
        <v>42095.0</v>
      </c>
      <c r="G6591" t="str">
        <f>CHOOSE(WEEKDAY(A6591,2),"Mon","Tue","Wed","Thu","Fri","Sat","Sun")</f>
        <v>Fri</v>
      </c>
      <c r="H6591" t="str">
        <f>IF(WEEKDAY(A6591,2)&gt;5,"Weekend","Weekday")</f>
        <v>Weekday</v>
      </c>
      <c r="I6591" t="str">
        <f>_xlfn.IFS(B6591&lt;=5,"Night (0-5)",B6591&lt;=9,"Morning peak (6-9)",B6591&lt;=15,"Midday (10-15)",B6591&lt;=19,"Evening peak (16-19)",TRUE,"Late evening (20-23)")</f>
        <v>Night (0-5)</v>
      </c>
    </row>
    <row r="6592" spans="1:9">
      <c r="A6592" s="32">
        <v>42097</v>
      </c>
      <c r="B6592">
        <v>1</v>
      </c>
      <c r="C6592">
        <v>2071</v>
      </c>
      <c r="D6592" t="s">
        <v>304</v>
      </c>
      <c r="E6592">
        <f>YEAR(A6592)</f>
        <v>2015</v>
      </c>
      <c r="F6592" s="33">
        <f>DATE(YEAR(A6592),MONTH(A6592),1)</f>
        <v>42095.0</v>
      </c>
      <c r="G6592" t="str">
        <f>CHOOSE(WEEKDAY(A6592,2),"Mon","Tue","Wed","Thu","Fri","Sat","Sun")</f>
        <v>Fri</v>
      </c>
      <c r="H6592" t="str">
        <f>IF(WEEKDAY(A6592,2)&gt;5,"Weekend","Weekday")</f>
        <v>Weekday</v>
      </c>
      <c r="I6592" t="str">
        <f>_xlfn.IFS(B6592&lt;=5,"Night (0-5)",B6592&lt;=9,"Morning peak (6-9)",B6592&lt;=15,"Midday (10-15)",B6592&lt;=19,"Evening peak (16-19)",TRUE,"Late evening (20-23)")</f>
        <v>Night (0-5)</v>
      </c>
    </row>
    <row r="6593" spans="1:9">
      <c r="A6593" s="32">
        <v>42097</v>
      </c>
      <c r="B6593">
        <v>2</v>
      </c>
      <c r="C6593">
        <v>1230</v>
      </c>
      <c r="D6593" t="s">
        <v>304</v>
      </c>
      <c r="E6593">
        <f>YEAR(A6593)</f>
        <v>2015</v>
      </c>
      <c r="F6593" s="33">
        <f>DATE(YEAR(A6593),MONTH(A6593),1)</f>
        <v>42095.0</v>
      </c>
      <c r="G6593" t="str">
        <f>CHOOSE(WEEKDAY(A6593,2),"Mon","Tue","Wed","Thu","Fri","Sat","Sun")</f>
        <v>Fri</v>
      </c>
      <c r="H6593" t="str">
        <f>IF(WEEKDAY(A6593,2)&gt;5,"Weekend","Weekday")</f>
        <v>Weekday</v>
      </c>
      <c r="I6593" t="str">
        <f>_xlfn.IFS(B6593&lt;=5,"Night (0-5)",B6593&lt;=9,"Morning peak (6-9)",B6593&lt;=15,"Midday (10-15)",B6593&lt;=19,"Evening peak (16-19)",TRUE,"Late evening (20-23)")</f>
        <v>Night (0-5)</v>
      </c>
    </row>
    <row r="6594" spans="1:9">
      <c r="A6594" s="32">
        <v>42097</v>
      </c>
      <c r="B6594">
        <v>3</v>
      </c>
      <c r="C6594">
        <v>881</v>
      </c>
      <c r="D6594" t="s">
        <v>304</v>
      </c>
      <c r="E6594">
        <f>YEAR(A6594)</f>
        <v>2015</v>
      </c>
      <c r="F6594" s="33">
        <f>DATE(YEAR(A6594),MONTH(A6594),1)</f>
        <v>42095.0</v>
      </c>
      <c r="G6594" t="str">
        <f>CHOOSE(WEEKDAY(A6594,2),"Mon","Tue","Wed","Thu","Fri","Sat","Sun")</f>
        <v>Fri</v>
      </c>
      <c r="H6594" t="str">
        <f>IF(WEEKDAY(A6594,2)&gt;5,"Weekend","Weekday")</f>
        <v>Weekday</v>
      </c>
      <c r="I6594" t="str">
        <f>_xlfn.IFS(B6594&lt;=5,"Night (0-5)",B6594&lt;=9,"Morning peak (6-9)",B6594&lt;=15,"Midday (10-15)",B6594&lt;=19,"Evening peak (16-19)",TRUE,"Late evening (20-23)")</f>
        <v>Night (0-5)</v>
      </c>
    </row>
    <row r="6595" spans="1:9">
      <c r="A6595" s="32">
        <v>42097</v>
      </c>
      <c r="B6595">
        <v>4</v>
      </c>
      <c r="C6595">
        <v>1052</v>
      </c>
      <c r="D6595" t="s">
        <v>304</v>
      </c>
      <c r="E6595">
        <f>YEAR(A6595)</f>
        <v>2015</v>
      </c>
      <c r="F6595" s="33">
        <f>DATE(YEAR(A6595),MONTH(A6595),1)</f>
        <v>42095.0</v>
      </c>
      <c r="G6595" t="str">
        <f>CHOOSE(WEEKDAY(A6595,2),"Mon","Tue","Wed","Thu","Fri","Sat","Sun")</f>
        <v>Fri</v>
      </c>
      <c r="H6595" t="str">
        <f>IF(WEEKDAY(A6595,2)&gt;5,"Weekend","Weekday")</f>
        <v>Weekday</v>
      </c>
      <c r="I6595" t="str">
        <f>_xlfn.IFS(B6595&lt;=5,"Night (0-5)",B6595&lt;=9,"Morning peak (6-9)",B6595&lt;=15,"Midday (10-15)",B6595&lt;=19,"Evening peak (16-19)",TRUE,"Late evening (20-23)")</f>
        <v>Night (0-5)</v>
      </c>
    </row>
    <row r="6596" spans="1:9">
      <c r="A6596" s="32">
        <v>42097</v>
      </c>
      <c r="B6596">
        <v>5</v>
      </c>
      <c r="C6596">
        <v>1180</v>
      </c>
      <c r="D6596" t="s">
        <v>304</v>
      </c>
      <c r="E6596">
        <f>YEAR(A6596)</f>
        <v>2015</v>
      </c>
      <c r="F6596" s="33">
        <f>DATE(YEAR(A6596),MONTH(A6596),1)</f>
        <v>42095.0</v>
      </c>
      <c r="G6596" t="str">
        <f>CHOOSE(WEEKDAY(A6596,2),"Mon","Tue","Wed","Thu","Fri","Sat","Sun")</f>
        <v>Fri</v>
      </c>
      <c r="H6596" t="str">
        <f>IF(WEEKDAY(A6596,2)&gt;5,"Weekend","Weekday")</f>
        <v>Weekday</v>
      </c>
      <c r="I6596" t="str">
        <f>_xlfn.IFS(B6596&lt;=5,"Night (0-5)",B6596&lt;=9,"Morning peak (6-9)",B6596&lt;=15,"Midday (10-15)",B6596&lt;=19,"Evening peak (16-19)",TRUE,"Late evening (20-23)")</f>
        <v>Night (0-5)</v>
      </c>
    </row>
    <row r="6597" spans="1:9">
      <c r="A6597" s="32">
        <v>42097</v>
      </c>
      <c r="B6597">
        <v>6</v>
      </c>
      <c r="C6597">
        <v>1514</v>
      </c>
      <c r="D6597" t="s">
        <v>304</v>
      </c>
      <c r="E6597">
        <f>YEAR(A6597)</f>
        <v>2015</v>
      </c>
      <c r="F6597" s="33">
        <f>DATE(YEAR(A6597),MONTH(A6597),1)</f>
        <v>42095.0</v>
      </c>
      <c r="G6597" t="str">
        <f>CHOOSE(WEEKDAY(A6597,2),"Mon","Tue","Wed","Thu","Fri","Sat","Sun")</f>
        <v>Fri</v>
      </c>
      <c r="H6597" t="str">
        <f>IF(WEEKDAY(A6597,2)&gt;5,"Weekend","Weekday")</f>
        <v>Weekday</v>
      </c>
      <c r="I6597" t="str">
        <f>_xlfn.IFS(B6597&lt;=5,"Night (0-5)",B6597&lt;=9,"Morning peak (6-9)",B6597&lt;=15,"Midday (10-15)",B6597&lt;=19,"Evening peak (16-19)",TRUE,"Late evening (20-23)")</f>
        <v>Morning peak (6-9)</v>
      </c>
    </row>
    <row r="6598" spans="1:9">
      <c r="A6598" s="32">
        <v>42097</v>
      </c>
      <c r="B6598">
        <v>7</v>
      </c>
      <c r="C6598">
        <v>1993</v>
      </c>
      <c r="D6598" t="s">
        <v>304</v>
      </c>
      <c r="E6598">
        <f>YEAR(A6598)</f>
        <v>2015</v>
      </c>
      <c r="F6598" s="33">
        <f>DATE(YEAR(A6598),MONTH(A6598),1)</f>
        <v>42095.0</v>
      </c>
      <c r="G6598" t="str">
        <f>CHOOSE(WEEKDAY(A6598,2),"Mon","Tue","Wed","Thu","Fri","Sat","Sun")</f>
        <v>Fri</v>
      </c>
      <c r="H6598" t="str">
        <f>IF(WEEKDAY(A6598,2)&gt;5,"Weekend","Weekday")</f>
        <v>Weekday</v>
      </c>
      <c r="I6598" t="str">
        <f>_xlfn.IFS(B6598&lt;=5,"Night (0-5)",B6598&lt;=9,"Morning peak (6-9)",B6598&lt;=15,"Midday (10-15)",B6598&lt;=19,"Evening peak (16-19)",TRUE,"Late evening (20-23)")</f>
        <v>Morning peak (6-9)</v>
      </c>
    </row>
    <row r="6599" spans="1:9">
      <c r="A6599" s="32">
        <v>42097</v>
      </c>
      <c r="B6599">
        <v>8</v>
      </c>
      <c r="C6599">
        <v>2949</v>
      </c>
      <c r="D6599" t="s">
        <v>304</v>
      </c>
      <c r="E6599">
        <f>YEAR(A6599)</f>
        <v>2015</v>
      </c>
      <c r="F6599" s="33">
        <f>DATE(YEAR(A6599),MONTH(A6599),1)</f>
        <v>42095.0</v>
      </c>
      <c r="G6599" t="str">
        <f>CHOOSE(WEEKDAY(A6599,2),"Mon","Tue","Wed","Thu","Fri","Sat","Sun")</f>
        <v>Fri</v>
      </c>
      <c r="H6599" t="str">
        <f>IF(WEEKDAY(A6599,2)&gt;5,"Weekend","Weekday")</f>
        <v>Weekday</v>
      </c>
      <c r="I6599" t="str">
        <f>_xlfn.IFS(B6599&lt;=5,"Night (0-5)",B6599&lt;=9,"Morning peak (6-9)",B6599&lt;=15,"Midday (10-15)",B6599&lt;=19,"Evening peak (16-19)",TRUE,"Late evening (20-23)")</f>
        <v>Morning peak (6-9)</v>
      </c>
    </row>
    <row r="6600" spans="1:9">
      <c r="A6600" s="32">
        <v>42097</v>
      </c>
      <c r="B6600">
        <v>9</v>
      </c>
      <c r="C6600">
        <v>3191</v>
      </c>
      <c r="D6600" t="s">
        <v>304</v>
      </c>
      <c r="E6600">
        <f>YEAR(A6600)</f>
        <v>2015</v>
      </c>
      <c r="F6600" s="33">
        <f>DATE(YEAR(A6600),MONTH(A6600),1)</f>
        <v>42095.0</v>
      </c>
      <c r="G6600" t="str">
        <f>CHOOSE(WEEKDAY(A6600,2),"Mon","Tue","Wed","Thu","Fri","Sat","Sun")</f>
        <v>Fri</v>
      </c>
      <c r="H6600" t="str">
        <f>IF(WEEKDAY(A6600,2)&gt;5,"Weekend","Weekday")</f>
        <v>Weekday</v>
      </c>
      <c r="I6600" t="str">
        <f>_xlfn.IFS(B6600&lt;=5,"Night (0-5)",B6600&lt;=9,"Morning peak (6-9)",B6600&lt;=15,"Midday (10-15)",B6600&lt;=19,"Evening peak (16-19)",TRUE,"Late evening (20-23)")</f>
        <v>Morning peak (6-9)</v>
      </c>
    </row>
    <row r="6601" spans="1:9">
      <c r="A6601" s="32">
        <v>42097</v>
      </c>
      <c r="B6601">
        <v>10</v>
      </c>
      <c r="C6601">
        <v>3051</v>
      </c>
      <c r="D6601" t="s">
        <v>304</v>
      </c>
      <c r="E6601">
        <f>YEAR(A6601)</f>
        <v>2015</v>
      </c>
      <c r="F6601" s="33">
        <f>DATE(YEAR(A6601),MONTH(A6601),1)</f>
        <v>42095.0</v>
      </c>
      <c r="G6601" t="str">
        <f>CHOOSE(WEEKDAY(A6601,2),"Mon","Tue","Wed","Thu","Fri","Sat","Sun")</f>
        <v>Fri</v>
      </c>
      <c r="H6601" t="str">
        <f>IF(WEEKDAY(A6601,2)&gt;5,"Weekend","Weekday")</f>
        <v>Weekday</v>
      </c>
      <c r="I6601" t="str">
        <f>_xlfn.IFS(B6601&lt;=5,"Night (0-5)",B6601&lt;=9,"Morning peak (6-9)",B6601&lt;=15,"Midday (10-15)",B6601&lt;=19,"Evening peak (16-19)",TRUE,"Late evening (20-23)")</f>
        <v>Midday (10-15)</v>
      </c>
    </row>
    <row r="6602" spans="1:9">
      <c r="A6602" s="32">
        <v>42097</v>
      </c>
      <c r="B6602">
        <v>11</v>
      </c>
      <c r="C6602">
        <v>2997</v>
      </c>
      <c r="D6602" t="s">
        <v>304</v>
      </c>
      <c r="E6602">
        <f>YEAR(A6602)</f>
        <v>2015</v>
      </c>
      <c r="F6602" s="33">
        <f>DATE(YEAR(A6602),MONTH(A6602),1)</f>
        <v>42095.0</v>
      </c>
      <c r="G6602" t="str">
        <f>CHOOSE(WEEKDAY(A6602,2),"Mon","Tue","Wed","Thu","Fri","Sat","Sun")</f>
        <v>Fri</v>
      </c>
      <c r="H6602" t="str">
        <f>IF(WEEKDAY(A6602,2)&gt;5,"Weekend","Weekday")</f>
        <v>Weekday</v>
      </c>
      <c r="I6602" t="str">
        <f>_xlfn.IFS(B6602&lt;=5,"Night (0-5)",B6602&lt;=9,"Morning peak (6-9)",B6602&lt;=15,"Midday (10-15)",B6602&lt;=19,"Evening peak (16-19)",TRUE,"Late evening (20-23)")</f>
        <v>Midday (10-15)</v>
      </c>
    </row>
    <row r="6603" spans="1:9">
      <c r="A6603" s="32">
        <v>42097</v>
      </c>
      <c r="B6603">
        <v>12</v>
      </c>
      <c r="C6603">
        <v>3128</v>
      </c>
      <c r="D6603" t="s">
        <v>304</v>
      </c>
      <c r="E6603">
        <f>YEAR(A6603)</f>
        <v>2015</v>
      </c>
      <c r="F6603" s="33">
        <f>DATE(YEAR(A6603),MONTH(A6603),1)</f>
        <v>42095.0</v>
      </c>
      <c r="G6603" t="str">
        <f>CHOOSE(WEEKDAY(A6603,2),"Mon","Tue","Wed","Thu","Fri","Sat","Sun")</f>
        <v>Fri</v>
      </c>
      <c r="H6603" t="str">
        <f>IF(WEEKDAY(A6603,2)&gt;5,"Weekend","Weekday")</f>
        <v>Weekday</v>
      </c>
      <c r="I6603" t="str">
        <f>_xlfn.IFS(B6603&lt;=5,"Night (0-5)",B6603&lt;=9,"Morning peak (6-9)",B6603&lt;=15,"Midday (10-15)",B6603&lt;=19,"Evening peak (16-19)",TRUE,"Late evening (20-23)")</f>
        <v>Midday (10-15)</v>
      </c>
    </row>
    <row r="6604" spans="1:9">
      <c r="A6604" s="32">
        <v>42097</v>
      </c>
      <c r="B6604">
        <v>13</v>
      </c>
      <c r="C6604">
        <v>3428</v>
      </c>
      <c r="D6604" t="s">
        <v>304</v>
      </c>
      <c r="E6604">
        <f>YEAR(A6604)</f>
        <v>2015</v>
      </c>
      <c r="F6604" s="33">
        <f>DATE(YEAR(A6604),MONTH(A6604),1)</f>
        <v>42095.0</v>
      </c>
      <c r="G6604" t="str">
        <f>CHOOSE(WEEKDAY(A6604,2),"Mon","Tue","Wed","Thu","Fri","Sat","Sun")</f>
        <v>Fri</v>
      </c>
      <c r="H6604" t="str">
        <f>IF(WEEKDAY(A6604,2)&gt;5,"Weekend","Weekday")</f>
        <v>Weekday</v>
      </c>
      <c r="I6604" t="str">
        <f>_xlfn.IFS(B6604&lt;=5,"Night (0-5)",B6604&lt;=9,"Morning peak (6-9)",B6604&lt;=15,"Midday (10-15)",B6604&lt;=19,"Evening peak (16-19)",TRUE,"Late evening (20-23)")</f>
        <v>Midday (10-15)</v>
      </c>
    </row>
    <row r="6605" spans="1:9">
      <c r="A6605" s="32">
        <v>42097</v>
      </c>
      <c r="B6605">
        <v>14</v>
      </c>
      <c r="C6605">
        <v>3449</v>
      </c>
      <c r="D6605" t="s">
        <v>304</v>
      </c>
      <c r="E6605">
        <f>YEAR(A6605)</f>
        <v>2015</v>
      </c>
      <c r="F6605" s="33">
        <f>DATE(YEAR(A6605),MONTH(A6605),1)</f>
        <v>42095.0</v>
      </c>
      <c r="G6605" t="str">
        <f>CHOOSE(WEEKDAY(A6605,2),"Mon","Tue","Wed","Thu","Fri","Sat","Sun")</f>
        <v>Fri</v>
      </c>
      <c r="H6605" t="str">
        <f>IF(WEEKDAY(A6605,2)&gt;5,"Weekend","Weekday")</f>
        <v>Weekday</v>
      </c>
      <c r="I6605" t="str">
        <f>_xlfn.IFS(B6605&lt;=5,"Night (0-5)",B6605&lt;=9,"Morning peak (6-9)",B6605&lt;=15,"Midday (10-15)",B6605&lt;=19,"Evening peak (16-19)",TRUE,"Late evening (20-23)")</f>
        <v>Midday (10-15)</v>
      </c>
    </row>
    <row r="6606" spans="1:9">
      <c r="A6606" s="32">
        <v>42097</v>
      </c>
      <c r="B6606">
        <v>15</v>
      </c>
      <c r="C6606">
        <v>3778</v>
      </c>
      <c r="D6606" t="s">
        <v>304</v>
      </c>
      <c r="E6606">
        <f>YEAR(A6606)</f>
        <v>2015</v>
      </c>
      <c r="F6606" s="33">
        <f>DATE(YEAR(A6606),MONTH(A6606),1)</f>
        <v>42095.0</v>
      </c>
      <c r="G6606" t="str">
        <f>CHOOSE(WEEKDAY(A6606,2),"Mon","Tue","Wed","Thu","Fri","Sat","Sun")</f>
        <v>Fri</v>
      </c>
      <c r="H6606" t="str">
        <f>IF(WEEKDAY(A6606,2)&gt;5,"Weekend","Weekday")</f>
        <v>Weekday</v>
      </c>
      <c r="I6606" t="str">
        <f>_xlfn.IFS(B6606&lt;=5,"Night (0-5)",B6606&lt;=9,"Morning peak (6-9)",B6606&lt;=15,"Midday (10-15)",B6606&lt;=19,"Evening peak (16-19)",TRUE,"Late evening (20-23)")</f>
        <v>Midday (10-15)</v>
      </c>
    </row>
    <row r="6607" spans="1:9">
      <c r="A6607" s="32">
        <v>42097</v>
      </c>
      <c r="B6607">
        <v>16</v>
      </c>
      <c r="C6607">
        <v>4158</v>
      </c>
      <c r="D6607" t="s">
        <v>304</v>
      </c>
      <c r="E6607">
        <f>YEAR(A6607)</f>
        <v>2015</v>
      </c>
      <c r="F6607" s="33">
        <f>DATE(YEAR(A6607),MONTH(A6607),1)</f>
        <v>42095.0</v>
      </c>
      <c r="G6607" t="str">
        <f>CHOOSE(WEEKDAY(A6607,2),"Mon","Tue","Wed","Thu","Fri","Sat","Sun")</f>
        <v>Fri</v>
      </c>
      <c r="H6607" t="str">
        <f>IF(WEEKDAY(A6607,2)&gt;5,"Weekend","Weekday")</f>
        <v>Weekday</v>
      </c>
      <c r="I6607" t="str">
        <f>_xlfn.IFS(B6607&lt;=5,"Night (0-5)",B6607&lt;=9,"Morning peak (6-9)",B6607&lt;=15,"Midday (10-15)",B6607&lt;=19,"Evening peak (16-19)",TRUE,"Late evening (20-23)")</f>
        <v>Evening peak (16-19)</v>
      </c>
    </row>
    <row r="6608" spans="1:9">
      <c r="A6608" s="32">
        <v>42097</v>
      </c>
      <c r="B6608">
        <v>17</v>
      </c>
      <c r="C6608">
        <v>4777</v>
      </c>
      <c r="D6608" t="s">
        <v>304</v>
      </c>
      <c r="E6608">
        <f>YEAR(A6608)</f>
        <v>2015</v>
      </c>
      <c r="F6608" s="33">
        <f>DATE(YEAR(A6608),MONTH(A6608),1)</f>
        <v>42095.0</v>
      </c>
      <c r="G6608" t="str">
        <f>CHOOSE(WEEKDAY(A6608,2),"Mon","Tue","Wed","Thu","Fri","Sat","Sun")</f>
        <v>Fri</v>
      </c>
      <c r="H6608" t="str">
        <f>IF(WEEKDAY(A6608,2)&gt;5,"Weekend","Weekday")</f>
        <v>Weekday</v>
      </c>
      <c r="I6608" t="str">
        <f>_xlfn.IFS(B6608&lt;=5,"Night (0-5)",B6608&lt;=9,"Morning peak (6-9)",B6608&lt;=15,"Midday (10-15)",B6608&lt;=19,"Evening peak (16-19)",TRUE,"Late evening (20-23)")</f>
        <v>Evening peak (16-19)</v>
      </c>
    </row>
    <row r="6609" spans="1:9">
      <c r="A6609" s="32">
        <v>42097</v>
      </c>
      <c r="B6609">
        <v>18</v>
      </c>
      <c r="C6609">
        <v>4791</v>
      </c>
      <c r="D6609" t="s">
        <v>304</v>
      </c>
      <c r="E6609">
        <f>YEAR(A6609)</f>
        <v>2015</v>
      </c>
      <c r="F6609" s="33">
        <f>DATE(YEAR(A6609),MONTH(A6609),1)</f>
        <v>42095.0</v>
      </c>
      <c r="G6609" t="str">
        <f>CHOOSE(WEEKDAY(A6609,2),"Mon","Tue","Wed","Thu","Fri","Sat","Sun")</f>
        <v>Fri</v>
      </c>
      <c r="H6609" t="str">
        <f>IF(WEEKDAY(A6609,2)&gt;5,"Weekend","Weekday")</f>
        <v>Weekday</v>
      </c>
      <c r="I6609" t="str">
        <f>_xlfn.IFS(B6609&lt;=5,"Night (0-5)",B6609&lt;=9,"Morning peak (6-9)",B6609&lt;=15,"Midday (10-15)",B6609&lt;=19,"Evening peak (16-19)",TRUE,"Late evening (20-23)")</f>
        <v>Evening peak (16-19)</v>
      </c>
    </row>
    <row r="6610" spans="1:9">
      <c r="A6610" s="32">
        <v>42097</v>
      </c>
      <c r="B6610">
        <v>19</v>
      </c>
      <c r="C6610">
        <v>4751</v>
      </c>
      <c r="D6610" t="s">
        <v>304</v>
      </c>
      <c r="E6610">
        <f>YEAR(A6610)</f>
        <v>2015</v>
      </c>
      <c r="F6610" s="33">
        <f>DATE(YEAR(A6610),MONTH(A6610),1)</f>
        <v>42095.0</v>
      </c>
      <c r="G6610" t="str">
        <f>CHOOSE(WEEKDAY(A6610,2),"Mon","Tue","Wed","Thu","Fri","Sat","Sun")</f>
        <v>Fri</v>
      </c>
      <c r="H6610" t="str">
        <f>IF(WEEKDAY(A6610,2)&gt;5,"Weekend","Weekday")</f>
        <v>Weekday</v>
      </c>
      <c r="I6610" t="str">
        <f>_xlfn.IFS(B6610&lt;=5,"Night (0-5)",B6610&lt;=9,"Morning peak (6-9)",B6610&lt;=15,"Midday (10-15)",B6610&lt;=19,"Evening peak (16-19)",TRUE,"Late evening (20-23)")</f>
        <v>Evening peak (16-19)</v>
      </c>
    </row>
    <row r="6611" spans="1:9">
      <c r="A6611" s="32">
        <v>42097</v>
      </c>
      <c r="B6611">
        <v>20</v>
      </c>
      <c r="C6611">
        <v>4403</v>
      </c>
      <c r="D6611" t="s">
        <v>304</v>
      </c>
      <c r="E6611">
        <f>YEAR(A6611)</f>
        <v>2015</v>
      </c>
      <c r="F6611" s="33">
        <f>DATE(YEAR(A6611),MONTH(A6611),1)</f>
        <v>42095.0</v>
      </c>
      <c r="G6611" t="str">
        <f>CHOOSE(WEEKDAY(A6611,2),"Mon","Tue","Wed","Thu","Fri","Sat","Sun")</f>
        <v>Fri</v>
      </c>
      <c r="H6611" t="str">
        <f>IF(WEEKDAY(A6611,2)&gt;5,"Weekend","Weekday")</f>
        <v>Weekday</v>
      </c>
      <c r="I6611" t="str">
        <f>_xlfn.IFS(B6611&lt;=5,"Night (0-5)",B6611&lt;=9,"Morning peak (6-9)",B6611&lt;=15,"Midday (10-15)",B6611&lt;=19,"Evening peak (16-19)",TRUE,"Late evening (20-23)")</f>
        <v>Late evening (20-23)</v>
      </c>
    </row>
    <row r="6612" spans="1:9">
      <c r="A6612" s="32">
        <v>42097</v>
      </c>
      <c r="B6612">
        <v>21</v>
      </c>
      <c r="C6612">
        <v>4185</v>
      </c>
      <c r="D6612" t="s">
        <v>304</v>
      </c>
      <c r="E6612">
        <f>YEAR(A6612)</f>
        <v>2015</v>
      </c>
      <c r="F6612" s="33">
        <f>DATE(YEAR(A6612),MONTH(A6612),1)</f>
        <v>42095.0</v>
      </c>
      <c r="G6612" t="str">
        <f>CHOOSE(WEEKDAY(A6612,2),"Mon","Tue","Wed","Thu","Fri","Sat","Sun")</f>
        <v>Fri</v>
      </c>
      <c r="H6612" t="str">
        <f>IF(WEEKDAY(A6612,2)&gt;5,"Weekend","Weekday")</f>
        <v>Weekday</v>
      </c>
      <c r="I6612" t="str">
        <f>_xlfn.IFS(B6612&lt;=5,"Night (0-5)",B6612&lt;=9,"Morning peak (6-9)",B6612&lt;=15,"Midday (10-15)",B6612&lt;=19,"Evening peak (16-19)",TRUE,"Late evening (20-23)")</f>
        <v>Late evening (20-23)</v>
      </c>
    </row>
    <row r="6613" spans="1:9">
      <c r="A6613" s="32">
        <v>42097</v>
      </c>
      <c r="B6613">
        <v>22</v>
      </c>
      <c r="C6613">
        <v>4550</v>
      </c>
      <c r="D6613" t="s">
        <v>304</v>
      </c>
      <c r="E6613">
        <f>YEAR(A6613)</f>
        <v>2015</v>
      </c>
      <c r="F6613" s="33">
        <f>DATE(YEAR(A6613),MONTH(A6613),1)</f>
        <v>42095.0</v>
      </c>
      <c r="G6613" t="str">
        <f>CHOOSE(WEEKDAY(A6613,2),"Mon","Tue","Wed","Thu","Fri","Sat","Sun")</f>
        <v>Fri</v>
      </c>
      <c r="H6613" t="str">
        <f>IF(WEEKDAY(A6613,2)&gt;5,"Weekend","Weekday")</f>
        <v>Weekday</v>
      </c>
      <c r="I6613" t="str">
        <f>_xlfn.IFS(B6613&lt;=5,"Night (0-5)",B6613&lt;=9,"Morning peak (6-9)",B6613&lt;=15,"Midday (10-15)",B6613&lt;=19,"Evening peak (16-19)",TRUE,"Late evening (20-23)")</f>
        <v>Late evening (20-23)</v>
      </c>
    </row>
    <row r="6614" spans="1:9">
      <c r="A6614" s="32">
        <v>42097</v>
      </c>
      <c r="B6614">
        <v>23</v>
      </c>
      <c r="C6614">
        <v>4641</v>
      </c>
      <c r="D6614" t="s">
        <v>304</v>
      </c>
      <c r="E6614">
        <f>YEAR(A6614)</f>
        <v>2015</v>
      </c>
      <c r="F6614" s="33">
        <f>DATE(YEAR(A6614),MONTH(A6614),1)</f>
        <v>42095.0</v>
      </c>
      <c r="G6614" t="str">
        <f>CHOOSE(WEEKDAY(A6614,2),"Mon","Tue","Wed","Thu","Fri","Sat","Sun")</f>
        <v>Fri</v>
      </c>
      <c r="H6614" t="str">
        <f>IF(WEEKDAY(A6614,2)&gt;5,"Weekend","Weekday")</f>
        <v>Weekday</v>
      </c>
      <c r="I6614" t="str">
        <f>_xlfn.IFS(B6614&lt;=5,"Night (0-5)",B6614&lt;=9,"Morning peak (6-9)",B6614&lt;=15,"Midday (10-15)",B6614&lt;=19,"Evening peak (16-19)",TRUE,"Late evening (20-23)")</f>
        <v>Late evening (20-23)</v>
      </c>
    </row>
    <row r="6615" spans="1:9">
      <c r="A6615" s="32">
        <v>42098</v>
      </c>
      <c r="B6615">
        <v>0</v>
      </c>
      <c r="C6615">
        <v>3886</v>
      </c>
      <c r="D6615" t="s">
        <v>304</v>
      </c>
      <c r="E6615">
        <f>YEAR(A6615)</f>
        <v>2015</v>
      </c>
      <c r="F6615" s="33">
        <f>DATE(YEAR(A6615),MONTH(A6615),1)</f>
        <v>42095.0</v>
      </c>
      <c r="G6615" t="str">
        <f>CHOOSE(WEEKDAY(A6615,2),"Mon","Tue","Wed","Thu","Fri","Sat","Sun")</f>
        <v>Sat</v>
      </c>
      <c r="H6615" t="str">
        <f>IF(WEEKDAY(A6615,2)&gt;5,"Weekend","Weekday")</f>
        <v>Weekend</v>
      </c>
      <c r="I6615" t="str">
        <f>_xlfn.IFS(B6615&lt;=5,"Night (0-5)",B6615&lt;=9,"Morning peak (6-9)",B6615&lt;=15,"Midday (10-15)",B6615&lt;=19,"Evening peak (16-19)",TRUE,"Late evening (20-23)")</f>
        <v>Night (0-5)</v>
      </c>
    </row>
    <row r="6616" spans="1:9">
      <c r="A6616" s="32">
        <v>42098</v>
      </c>
      <c r="B6616">
        <v>1</v>
      </c>
      <c r="C6616">
        <v>2728</v>
      </c>
      <c r="D6616" t="s">
        <v>304</v>
      </c>
      <c r="E6616">
        <f>YEAR(A6616)</f>
        <v>2015</v>
      </c>
      <c r="F6616" s="33">
        <f>DATE(YEAR(A6616),MONTH(A6616),1)</f>
        <v>42095.0</v>
      </c>
      <c r="G6616" t="str">
        <f>CHOOSE(WEEKDAY(A6616,2),"Mon","Tue","Wed","Thu","Fri","Sat","Sun")</f>
        <v>Sat</v>
      </c>
      <c r="H6616" t="str">
        <f>IF(WEEKDAY(A6616,2)&gt;5,"Weekend","Weekday")</f>
        <v>Weekend</v>
      </c>
      <c r="I6616" t="str">
        <f>_xlfn.IFS(B6616&lt;=5,"Night (0-5)",B6616&lt;=9,"Morning peak (6-9)",B6616&lt;=15,"Midday (10-15)",B6616&lt;=19,"Evening peak (16-19)",TRUE,"Late evening (20-23)")</f>
        <v>Night (0-5)</v>
      </c>
    </row>
    <row r="6617" spans="1:9">
      <c r="A6617" s="32">
        <v>42098</v>
      </c>
      <c r="B6617">
        <v>2</v>
      </c>
      <c r="C6617">
        <v>1974</v>
      </c>
      <c r="D6617" t="s">
        <v>304</v>
      </c>
      <c r="E6617">
        <f>YEAR(A6617)</f>
        <v>2015</v>
      </c>
      <c r="F6617" s="33">
        <f>DATE(YEAR(A6617),MONTH(A6617),1)</f>
        <v>42095.0</v>
      </c>
      <c r="G6617" t="str">
        <f>CHOOSE(WEEKDAY(A6617,2),"Mon","Tue","Wed","Thu","Fri","Sat","Sun")</f>
        <v>Sat</v>
      </c>
      <c r="H6617" t="str">
        <f>IF(WEEKDAY(A6617,2)&gt;5,"Weekend","Weekday")</f>
        <v>Weekend</v>
      </c>
      <c r="I6617" t="str">
        <f>_xlfn.IFS(B6617&lt;=5,"Night (0-5)",B6617&lt;=9,"Morning peak (6-9)",B6617&lt;=15,"Midday (10-15)",B6617&lt;=19,"Evening peak (16-19)",TRUE,"Late evening (20-23)")</f>
        <v>Night (0-5)</v>
      </c>
    </row>
    <row r="6618" spans="1:9">
      <c r="A6618" s="32">
        <v>42098</v>
      </c>
      <c r="B6618">
        <v>3</v>
      </c>
      <c r="C6618">
        <v>1452</v>
      </c>
      <c r="D6618" t="s">
        <v>304</v>
      </c>
      <c r="E6618">
        <f>YEAR(A6618)</f>
        <v>2015</v>
      </c>
      <c r="F6618" s="33">
        <f>DATE(YEAR(A6618),MONTH(A6618),1)</f>
        <v>42095.0</v>
      </c>
      <c r="G6618" t="str">
        <f>CHOOSE(WEEKDAY(A6618,2),"Mon","Tue","Wed","Thu","Fri","Sat","Sun")</f>
        <v>Sat</v>
      </c>
      <c r="H6618" t="str">
        <f>IF(WEEKDAY(A6618,2)&gt;5,"Weekend","Weekday")</f>
        <v>Weekend</v>
      </c>
      <c r="I6618" t="str">
        <f>_xlfn.IFS(B6618&lt;=5,"Night (0-5)",B6618&lt;=9,"Morning peak (6-9)",B6618&lt;=15,"Midday (10-15)",B6618&lt;=19,"Evening peak (16-19)",TRUE,"Late evening (20-23)")</f>
        <v>Night (0-5)</v>
      </c>
    </row>
    <row r="6619" spans="1:9">
      <c r="A6619" s="32">
        <v>42098</v>
      </c>
      <c r="B6619">
        <v>4</v>
      </c>
      <c r="C6619">
        <v>1217</v>
      </c>
      <c r="D6619" t="s">
        <v>304</v>
      </c>
      <c r="E6619">
        <f>YEAR(A6619)</f>
        <v>2015</v>
      </c>
      <c r="F6619" s="33">
        <f>DATE(YEAR(A6619),MONTH(A6619),1)</f>
        <v>42095.0</v>
      </c>
      <c r="G6619" t="str">
        <f>CHOOSE(WEEKDAY(A6619,2),"Mon","Tue","Wed","Thu","Fri","Sat","Sun")</f>
        <v>Sat</v>
      </c>
      <c r="H6619" t="str">
        <f>IF(WEEKDAY(A6619,2)&gt;5,"Weekend","Weekday")</f>
        <v>Weekend</v>
      </c>
      <c r="I6619" t="str">
        <f>_xlfn.IFS(B6619&lt;=5,"Night (0-5)",B6619&lt;=9,"Morning peak (6-9)",B6619&lt;=15,"Midday (10-15)",B6619&lt;=19,"Evening peak (16-19)",TRUE,"Late evening (20-23)")</f>
        <v>Night (0-5)</v>
      </c>
    </row>
    <row r="6620" spans="1:9">
      <c r="A6620" s="32">
        <v>42098</v>
      </c>
      <c r="B6620">
        <v>5</v>
      </c>
      <c r="C6620">
        <v>802</v>
      </c>
      <c r="D6620" t="s">
        <v>304</v>
      </c>
      <c r="E6620">
        <f>YEAR(A6620)</f>
        <v>2015</v>
      </c>
      <c r="F6620" s="33">
        <f>DATE(YEAR(A6620),MONTH(A6620),1)</f>
        <v>42095.0</v>
      </c>
      <c r="G6620" t="str">
        <f>CHOOSE(WEEKDAY(A6620,2),"Mon","Tue","Wed","Thu","Fri","Sat","Sun")</f>
        <v>Sat</v>
      </c>
      <c r="H6620" t="str">
        <f>IF(WEEKDAY(A6620,2)&gt;5,"Weekend","Weekday")</f>
        <v>Weekend</v>
      </c>
      <c r="I6620" t="str">
        <f>_xlfn.IFS(B6620&lt;=5,"Night (0-5)",B6620&lt;=9,"Morning peak (6-9)",B6620&lt;=15,"Midday (10-15)",B6620&lt;=19,"Evening peak (16-19)",TRUE,"Late evening (20-23)")</f>
        <v>Night (0-5)</v>
      </c>
    </row>
    <row r="6621" spans="1:9">
      <c r="A6621" s="32">
        <v>42098</v>
      </c>
      <c r="B6621">
        <v>6</v>
      </c>
      <c r="C6621">
        <v>840</v>
      </c>
      <c r="D6621" t="s">
        <v>304</v>
      </c>
      <c r="E6621">
        <f>YEAR(A6621)</f>
        <v>2015</v>
      </c>
      <c r="F6621" s="33">
        <f>DATE(YEAR(A6621),MONTH(A6621),1)</f>
        <v>42095.0</v>
      </c>
      <c r="G6621" t="str">
        <f>CHOOSE(WEEKDAY(A6621,2),"Mon","Tue","Wed","Thu","Fri","Sat","Sun")</f>
        <v>Sat</v>
      </c>
      <c r="H6621" t="str">
        <f>IF(WEEKDAY(A6621,2)&gt;5,"Weekend","Weekday")</f>
        <v>Weekend</v>
      </c>
      <c r="I6621" t="str">
        <f>_xlfn.IFS(B6621&lt;=5,"Night (0-5)",B6621&lt;=9,"Morning peak (6-9)",B6621&lt;=15,"Midday (10-15)",B6621&lt;=19,"Evening peak (16-19)",TRUE,"Late evening (20-23)")</f>
        <v>Morning peak (6-9)</v>
      </c>
    </row>
    <row r="6622" spans="1:9">
      <c r="A6622" s="32">
        <v>42098</v>
      </c>
      <c r="B6622">
        <v>7</v>
      </c>
      <c r="C6622">
        <v>889</v>
      </c>
      <c r="D6622" t="s">
        <v>304</v>
      </c>
      <c r="E6622">
        <f>YEAR(A6622)</f>
        <v>2015</v>
      </c>
      <c r="F6622" s="33">
        <f>DATE(YEAR(A6622),MONTH(A6622),1)</f>
        <v>42095.0</v>
      </c>
      <c r="G6622" t="str">
        <f>CHOOSE(WEEKDAY(A6622,2),"Mon","Tue","Wed","Thu","Fri","Sat","Sun")</f>
        <v>Sat</v>
      </c>
      <c r="H6622" t="str">
        <f>IF(WEEKDAY(A6622,2)&gt;5,"Weekend","Weekday")</f>
        <v>Weekend</v>
      </c>
      <c r="I6622" t="str">
        <f>_xlfn.IFS(B6622&lt;=5,"Night (0-5)",B6622&lt;=9,"Morning peak (6-9)",B6622&lt;=15,"Midday (10-15)",B6622&lt;=19,"Evening peak (16-19)",TRUE,"Late evening (20-23)")</f>
        <v>Morning peak (6-9)</v>
      </c>
    </row>
    <row r="6623" spans="1:9">
      <c r="A6623" s="32">
        <v>42098</v>
      </c>
      <c r="B6623">
        <v>8</v>
      </c>
      <c r="C6623">
        <v>1196</v>
      </c>
      <c r="D6623" t="s">
        <v>304</v>
      </c>
      <c r="E6623">
        <f>YEAR(A6623)</f>
        <v>2015</v>
      </c>
      <c r="F6623" s="33">
        <f>DATE(YEAR(A6623),MONTH(A6623),1)</f>
        <v>42095.0</v>
      </c>
      <c r="G6623" t="str">
        <f>CHOOSE(WEEKDAY(A6623,2),"Mon","Tue","Wed","Thu","Fri","Sat","Sun")</f>
        <v>Sat</v>
      </c>
      <c r="H6623" t="str">
        <f>IF(WEEKDAY(A6623,2)&gt;5,"Weekend","Weekday")</f>
        <v>Weekend</v>
      </c>
      <c r="I6623" t="str">
        <f>_xlfn.IFS(B6623&lt;=5,"Night (0-5)",B6623&lt;=9,"Morning peak (6-9)",B6623&lt;=15,"Midday (10-15)",B6623&lt;=19,"Evening peak (16-19)",TRUE,"Late evening (20-23)")</f>
        <v>Morning peak (6-9)</v>
      </c>
    </row>
    <row r="6624" spans="1:9">
      <c r="A6624" s="32">
        <v>42098</v>
      </c>
      <c r="B6624">
        <v>9</v>
      </c>
      <c r="C6624">
        <v>1768</v>
      </c>
      <c r="D6624" t="s">
        <v>304</v>
      </c>
      <c r="E6624">
        <f>YEAR(A6624)</f>
        <v>2015</v>
      </c>
      <c r="F6624" s="33">
        <f>DATE(YEAR(A6624),MONTH(A6624),1)</f>
        <v>42095.0</v>
      </c>
      <c r="G6624" t="str">
        <f>CHOOSE(WEEKDAY(A6624,2),"Mon","Tue","Wed","Thu","Fri","Sat","Sun")</f>
        <v>Sat</v>
      </c>
      <c r="H6624" t="str">
        <f>IF(WEEKDAY(A6624,2)&gt;5,"Weekend","Weekday")</f>
        <v>Weekend</v>
      </c>
      <c r="I6624" t="str">
        <f>_xlfn.IFS(B6624&lt;=5,"Night (0-5)",B6624&lt;=9,"Morning peak (6-9)",B6624&lt;=15,"Midday (10-15)",B6624&lt;=19,"Evening peak (16-19)",TRUE,"Late evening (20-23)")</f>
        <v>Morning peak (6-9)</v>
      </c>
    </row>
    <row r="6625" spans="1:9">
      <c r="A6625" s="32">
        <v>42098</v>
      </c>
      <c r="B6625">
        <v>10</v>
      </c>
      <c r="C6625">
        <v>2173</v>
      </c>
      <c r="D6625" t="s">
        <v>304</v>
      </c>
      <c r="E6625">
        <f>YEAR(A6625)</f>
        <v>2015</v>
      </c>
      <c r="F6625" s="33">
        <f>DATE(YEAR(A6625),MONTH(A6625),1)</f>
        <v>42095.0</v>
      </c>
      <c r="G6625" t="str">
        <f>CHOOSE(WEEKDAY(A6625,2),"Mon","Tue","Wed","Thu","Fri","Sat","Sun")</f>
        <v>Sat</v>
      </c>
      <c r="H6625" t="str">
        <f>IF(WEEKDAY(A6625,2)&gt;5,"Weekend","Weekday")</f>
        <v>Weekend</v>
      </c>
      <c r="I6625" t="str">
        <f>_xlfn.IFS(B6625&lt;=5,"Night (0-5)",B6625&lt;=9,"Morning peak (6-9)",B6625&lt;=15,"Midday (10-15)",B6625&lt;=19,"Evening peak (16-19)",TRUE,"Late evening (20-23)")</f>
        <v>Midday (10-15)</v>
      </c>
    </row>
    <row r="6626" spans="1:9">
      <c r="A6626" s="32">
        <v>42098</v>
      </c>
      <c r="B6626">
        <v>11</v>
      </c>
      <c r="C6626">
        <v>2569</v>
      </c>
      <c r="D6626" t="s">
        <v>304</v>
      </c>
      <c r="E6626">
        <f>YEAR(A6626)</f>
        <v>2015</v>
      </c>
      <c r="F6626" s="33">
        <f>DATE(YEAR(A6626),MONTH(A6626),1)</f>
        <v>42095.0</v>
      </c>
      <c r="G6626" t="str">
        <f>CHOOSE(WEEKDAY(A6626,2),"Mon","Tue","Wed","Thu","Fri","Sat","Sun")</f>
        <v>Sat</v>
      </c>
      <c r="H6626" t="str">
        <f>IF(WEEKDAY(A6626,2)&gt;5,"Weekend","Weekday")</f>
        <v>Weekend</v>
      </c>
      <c r="I6626" t="str">
        <f>_xlfn.IFS(B6626&lt;=5,"Night (0-5)",B6626&lt;=9,"Morning peak (6-9)",B6626&lt;=15,"Midday (10-15)",B6626&lt;=19,"Evening peak (16-19)",TRUE,"Late evening (20-23)")</f>
        <v>Midday (10-15)</v>
      </c>
    </row>
    <row r="6627" spans="1:9">
      <c r="A6627" s="32">
        <v>42098</v>
      </c>
      <c r="B6627">
        <v>12</v>
      </c>
      <c r="C6627">
        <v>2911</v>
      </c>
      <c r="D6627" t="s">
        <v>304</v>
      </c>
      <c r="E6627">
        <f>YEAR(A6627)</f>
        <v>2015</v>
      </c>
      <c r="F6627" s="33">
        <f>DATE(YEAR(A6627),MONTH(A6627),1)</f>
        <v>42095.0</v>
      </c>
      <c r="G6627" t="str">
        <f>CHOOSE(WEEKDAY(A6627,2),"Mon","Tue","Wed","Thu","Fri","Sat","Sun")</f>
        <v>Sat</v>
      </c>
      <c r="H6627" t="str">
        <f>IF(WEEKDAY(A6627,2)&gt;5,"Weekend","Weekday")</f>
        <v>Weekend</v>
      </c>
      <c r="I6627" t="str">
        <f>_xlfn.IFS(B6627&lt;=5,"Night (0-5)",B6627&lt;=9,"Morning peak (6-9)",B6627&lt;=15,"Midday (10-15)",B6627&lt;=19,"Evening peak (16-19)",TRUE,"Late evening (20-23)")</f>
        <v>Midday (10-15)</v>
      </c>
    </row>
    <row r="6628" spans="1:9">
      <c r="A6628" s="32">
        <v>42098</v>
      </c>
      <c r="B6628">
        <v>13</v>
      </c>
      <c r="C6628">
        <v>2943</v>
      </c>
      <c r="D6628" t="s">
        <v>304</v>
      </c>
      <c r="E6628">
        <f>YEAR(A6628)</f>
        <v>2015</v>
      </c>
      <c r="F6628" s="33">
        <f>DATE(YEAR(A6628),MONTH(A6628),1)</f>
        <v>42095.0</v>
      </c>
      <c r="G6628" t="str">
        <f>CHOOSE(WEEKDAY(A6628,2),"Mon","Tue","Wed","Thu","Fri","Sat","Sun")</f>
        <v>Sat</v>
      </c>
      <c r="H6628" t="str">
        <f>IF(WEEKDAY(A6628,2)&gt;5,"Weekend","Weekday")</f>
        <v>Weekend</v>
      </c>
      <c r="I6628" t="str">
        <f>_xlfn.IFS(B6628&lt;=5,"Night (0-5)",B6628&lt;=9,"Morning peak (6-9)",B6628&lt;=15,"Midday (10-15)",B6628&lt;=19,"Evening peak (16-19)",TRUE,"Late evening (20-23)")</f>
        <v>Midday (10-15)</v>
      </c>
    </row>
    <row r="6629" spans="1:9">
      <c r="A6629" s="32">
        <v>42098</v>
      </c>
      <c r="B6629">
        <v>14</v>
      </c>
      <c r="C6629">
        <v>2911</v>
      </c>
      <c r="D6629" t="s">
        <v>304</v>
      </c>
      <c r="E6629">
        <f>YEAR(A6629)</f>
        <v>2015</v>
      </c>
      <c r="F6629" s="33">
        <f>DATE(YEAR(A6629),MONTH(A6629),1)</f>
        <v>42095.0</v>
      </c>
      <c r="G6629" t="str">
        <f>CHOOSE(WEEKDAY(A6629,2),"Mon","Tue","Wed","Thu","Fri","Sat","Sun")</f>
        <v>Sat</v>
      </c>
      <c r="H6629" t="str">
        <f>IF(WEEKDAY(A6629,2)&gt;5,"Weekend","Weekday")</f>
        <v>Weekend</v>
      </c>
      <c r="I6629" t="str">
        <f>_xlfn.IFS(B6629&lt;=5,"Night (0-5)",B6629&lt;=9,"Morning peak (6-9)",B6629&lt;=15,"Midday (10-15)",B6629&lt;=19,"Evening peak (16-19)",TRUE,"Late evening (20-23)")</f>
        <v>Midday (10-15)</v>
      </c>
    </row>
    <row r="6630" spans="1:9">
      <c r="A6630" s="32">
        <v>42098</v>
      </c>
      <c r="B6630">
        <v>15</v>
      </c>
      <c r="C6630">
        <v>2967</v>
      </c>
      <c r="D6630" t="s">
        <v>304</v>
      </c>
      <c r="E6630">
        <f>YEAR(A6630)</f>
        <v>2015</v>
      </c>
      <c r="F6630" s="33">
        <f>DATE(YEAR(A6630),MONTH(A6630),1)</f>
        <v>42095.0</v>
      </c>
      <c r="G6630" t="str">
        <f>CHOOSE(WEEKDAY(A6630,2),"Mon","Tue","Wed","Thu","Fri","Sat","Sun")</f>
        <v>Sat</v>
      </c>
      <c r="H6630" t="str">
        <f>IF(WEEKDAY(A6630,2)&gt;5,"Weekend","Weekday")</f>
        <v>Weekend</v>
      </c>
      <c r="I6630" t="str">
        <f>_xlfn.IFS(B6630&lt;=5,"Night (0-5)",B6630&lt;=9,"Morning peak (6-9)",B6630&lt;=15,"Midday (10-15)",B6630&lt;=19,"Evening peak (16-19)",TRUE,"Late evening (20-23)")</f>
        <v>Midday (10-15)</v>
      </c>
    </row>
    <row r="6631" spans="1:9">
      <c r="A6631" s="32">
        <v>42098</v>
      </c>
      <c r="B6631">
        <v>16</v>
      </c>
      <c r="C6631">
        <v>3628</v>
      </c>
      <c r="D6631" t="s">
        <v>304</v>
      </c>
      <c r="E6631">
        <f>YEAR(A6631)</f>
        <v>2015</v>
      </c>
      <c r="F6631" s="33">
        <f>DATE(YEAR(A6631),MONTH(A6631),1)</f>
        <v>42095.0</v>
      </c>
      <c r="G6631" t="str">
        <f>CHOOSE(WEEKDAY(A6631,2),"Mon","Tue","Wed","Thu","Fri","Sat","Sun")</f>
        <v>Sat</v>
      </c>
      <c r="H6631" t="str">
        <f>IF(WEEKDAY(A6631,2)&gt;5,"Weekend","Weekday")</f>
        <v>Weekend</v>
      </c>
      <c r="I6631" t="str">
        <f>_xlfn.IFS(B6631&lt;=5,"Night (0-5)",B6631&lt;=9,"Morning peak (6-9)",B6631&lt;=15,"Midday (10-15)",B6631&lt;=19,"Evening peak (16-19)",TRUE,"Late evening (20-23)")</f>
        <v>Evening peak (16-19)</v>
      </c>
    </row>
    <row r="6632" spans="1:9">
      <c r="A6632" s="32">
        <v>42098</v>
      </c>
      <c r="B6632">
        <v>17</v>
      </c>
      <c r="C6632">
        <v>4547</v>
      </c>
      <c r="D6632" t="s">
        <v>304</v>
      </c>
      <c r="E6632">
        <f>YEAR(A6632)</f>
        <v>2015</v>
      </c>
      <c r="F6632" s="33">
        <f>DATE(YEAR(A6632),MONTH(A6632),1)</f>
        <v>42095.0</v>
      </c>
      <c r="G6632" t="str">
        <f>CHOOSE(WEEKDAY(A6632,2),"Mon","Tue","Wed","Thu","Fri","Sat","Sun")</f>
        <v>Sat</v>
      </c>
      <c r="H6632" t="str">
        <f>IF(WEEKDAY(A6632,2)&gt;5,"Weekend","Weekday")</f>
        <v>Weekend</v>
      </c>
      <c r="I6632" t="str">
        <f>_xlfn.IFS(B6632&lt;=5,"Night (0-5)",B6632&lt;=9,"Morning peak (6-9)",B6632&lt;=15,"Midday (10-15)",B6632&lt;=19,"Evening peak (16-19)",TRUE,"Late evening (20-23)")</f>
        <v>Evening peak (16-19)</v>
      </c>
    </row>
    <row r="6633" spans="1:9">
      <c r="A6633" s="32">
        <v>42098</v>
      </c>
      <c r="B6633">
        <v>18</v>
      </c>
      <c r="C6633">
        <v>4327</v>
      </c>
      <c r="D6633" t="s">
        <v>304</v>
      </c>
      <c r="E6633">
        <f>YEAR(A6633)</f>
        <v>2015</v>
      </c>
      <c r="F6633" s="33">
        <f>DATE(YEAR(A6633),MONTH(A6633),1)</f>
        <v>42095.0</v>
      </c>
      <c r="G6633" t="str">
        <f>CHOOSE(WEEKDAY(A6633,2),"Mon","Tue","Wed","Thu","Fri","Sat","Sun")</f>
        <v>Sat</v>
      </c>
      <c r="H6633" t="str">
        <f>IF(WEEKDAY(A6633,2)&gt;5,"Weekend","Weekday")</f>
        <v>Weekend</v>
      </c>
      <c r="I6633" t="str">
        <f>_xlfn.IFS(B6633&lt;=5,"Night (0-5)",B6633&lt;=9,"Morning peak (6-9)",B6633&lt;=15,"Midday (10-15)",B6633&lt;=19,"Evening peak (16-19)",TRUE,"Late evening (20-23)")</f>
        <v>Evening peak (16-19)</v>
      </c>
    </row>
    <row r="6634" spans="1:9">
      <c r="A6634" s="32">
        <v>42098</v>
      </c>
      <c r="B6634">
        <v>19</v>
      </c>
      <c r="C6634">
        <v>4770</v>
      </c>
      <c r="D6634" t="s">
        <v>304</v>
      </c>
      <c r="E6634">
        <f>YEAR(A6634)</f>
        <v>2015</v>
      </c>
      <c r="F6634" s="33">
        <f>DATE(YEAR(A6634),MONTH(A6634),1)</f>
        <v>42095.0</v>
      </c>
      <c r="G6634" t="str">
        <f>CHOOSE(WEEKDAY(A6634,2),"Mon","Tue","Wed","Thu","Fri","Sat","Sun")</f>
        <v>Sat</v>
      </c>
      <c r="H6634" t="str">
        <f>IF(WEEKDAY(A6634,2)&gt;5,"Weekend","Weekday")</f>
        <v>Weekend</v>
      </c>
      <c r="I6634" t="str">
        <f>_xlfn.IFS(B6634&lt;=5,"Night (0-5)",B6634&lt;=9,"Morning peak (6-9)",B6634&lt;=15,"Midday (10-15)",B6634&lt;=19,"Evening peak (16-19)",TRUE,"Late evening (20-23)")</f>
        <v>Evening peak (16-19)</v>
      </c>
    </row>
    <row r="6635" spans="1:9">
      <c r="A6635" s="32">
        <v>42098</v>
      </c>
      <c r="B6635">
        <v>20</v>
      </c>
      <c r="C6635">
        <v>4584</v>
      </c>
      <c r="D6635" t="s">
        <v>304</v>
      </c>
      <c r="E6635">
        <f>YEAR(A6635)</f>
        <v>2015</v>
      </c>
      <c r="F6635" s="33">
        <f>DATE(YEAR(A6635),MONTH(A6635),1)</f>
        <v>42095.0</v>
      </c>
      <c r="G6635" t="str">
        <f>CHOOSE(WEEKDAY(A6635,2),"Mon","Tue","Wed","Thu","Fri","Sat","Sun")</f>
        <v>Sat</v>
      </c>
      <c r="H6635" t="str">
        <f>IF(WEEKDAY(A6635,2)&gt;5,"Weekend","Weekday")</f>
        <v>Weekend</v>
      </c>
      <c r="I6635" t="str">
        <f>_xlfn.IFS(B6635&lt;=5,"Night (0-5)",B6635&lt;=9,"Morning peak (6-9)",B6635&lt;=15,"Midday (10-15)",B6635&lt;=19,"Evening peak (16-19)",TRUE,"Late evening (20-23)")</f>
        <v>Late evening (20-23)</v>
      </c>
    </row>
    <row r="6636" spans="1:9">
      <c r="A6636" s="32">
        <v>42098</v>
      </c>
      <c r="B6636">
        <v>21</v>
      </c>
      <c r="C6636">
        <v>4446</v>
      </c>
      <c r="D6636" t="s">
        <v>304</v>
      </c>
      <c r="E6636">
        <f>YEAR(A6636)</f>
        <v>2015</v>
      </c>
      <c r="F6636" s="33">
        <f>DATE(YEAR(A6636),MONTH(A6636),1)</f>
        <v>42095.0</v>
      </c>
      <c r="G6636" t="str">
        <f>CHOOSE(WEEKDAY(A6636,2),"Mon","Tue","Wed","Thu","Fri","Sat","Sun")</f>
        <v>Sat</v>
      </c>
      <c r="H6636" t="str">
        <f>IF(WEEKDAY(A6636,2)&gt;5,"Weekend","Weekday")</f>
        <v>Weekend</v>
      </c>
      <c r="I6636" t="str">
        <f>_xlfn.IFS(B6636&lt;=5,"Night (0-5)",B6636&lt;=9,"Morning peak (6-9)",B6636&lt;=15,"Midday (10-15)",B6636&lt;=19,"Evening peak (16-19)",TRUE,"Late evening (20-23)")</f>
        <v>Late evening (20-23)</v>
      </c>
    </row>
    <row r="6637" spans="1:9">
      <c r="A6637" s="32">
        <v>42098</v>
      </c>
      <c r="B6637">
        <v>22</v>
      </c>
      <c r="C6637">
        <v>4627</v>
      </c>
      <c r="D6637" t="s">
        <v>304</v>
      </c>
      <c r="E6637">
        <f>YEAR(A6637)</f>
        <v>2015</v>
      </c>
      <c r="F6637" s="33">
        <f>DATE(YEAR(A6637),MONTH(A6637),1)</f>
        <v>42095.0</v>
      </c>
      <c r="G6637" t="str">
        <f>CHOOSE(WEEKDAY(A6637,2),"Mon","Tue","Wed","Thu","Fri","Sat","Sun")</f>
        <v>Sat</v>
      </c>
      <c r="H6637" t="str">
        <f>IF(WEEKDAY(A6637,2)&gt;5,"Weekend","Weekday")</f>
        <v>Weekend</v>
      </c>
      <c r="I6637" t="str">
        <f>_xlfn.IFS(B6637&lt;=5,"Night (0-5)",B6637&lt;=9,"Morning peak (6-9)",B6637&lt;=15,"Midday (10-15)",B6637&lt;=19,"Evening peak (16-19)",TRUE,"Late evening (20-23)")</f>
        <v>Late evening (20-23)</v>
      </c>
    </row>
    <row r="6638" spans="1:9">
      <c r="A6638" s="32">
        <v>42098</v>
      </c>
      <c r="B6638">
        <v>23</v>
      </c>
      <c r="C6638">
        <v>5034</v>
      </c>
      <c r="D6638" t="s">
        <v>304</v>
      </c>
      <c r="E6638">
        <f>YEAR(A6638)</f>
        <v>2015</v>
      </c>
      <c r="F6638" s="33">
        <f>DATE(YEAR(A6638),MONTH(A6638),1)</f>
        <v>42095.0</v>
      </c>
      <c r="G6638" t="str">
        <f>CHOOSE(WEEKDAY(A6638,2),"Mon","Tue","Wed","Thu","Fri","Sat","Sun")</f>
        <v>Sat</v>
      </c>
      <c r="H6638" t="str">
        <f>IF(WEEKDAY(A6638,2)&gt;5,"Weekend","Weekday")</f>
        <v>Weekend</v>
      </c>
      <c r="I6638" t="str">
        <f>_xlfn.IFS(B6638&lt;=5,"Night (0-5)",B6638&lt;=9,"Morning peak (6-9)",B6638&lt;=15,"Midday (10-15)",B6638&lt;=19,"Evening peak (16-19)",TRUE,"Late evening (20-23)")</f>
        <v>Late evening (20-23)</v>
      </c>
    </row>
    <row r="6639" spans="1:9">
      <c r="A6639" s="32">
        <v>42099</v>
      </c>
      <c r="B6639">
        <v>0</v>
      </c>
      <c r="C6639">
        <v>4241</v>
      </c>
      <c r="D6639" t="s">
        <v>304</v>
      </c>
      <c r="E6639">
        <f>YEAR(A6639)</f>
        <v>2015</v>
      </c>
      <c r="F6639" s="33">
        <f>DATE(YEAR(A6639),MONTH(A6639),1)</f>
        <v>42095.0</v>
      </c>
      <c r="G6639" t="str">
        <f>CHOOSE(WEEKDAY(A6639,2),"Mon","Tue","Wed","Thu","Fri","Sat","Sun")</f>
        <v>Sun</v>
      </c>
      <c r="H6639" t="str">
        <f>IF(WEEKDAY(A6639,2)&gt;5,"Weekend","Weekday")</f>
        <v>Weekend</v>
      </c>
      <c r="I6639" t="str">
        <f>_xlfn.IFS(B6639&lt;=5,"Night (0-5)",B6639&lt;=9,"Morning peak (6-9)",B6639&lt;=15,"Midday (10-15)",B6639&lt;=19,"Evening peak (16-19)",TRUE,"Late evening (20-23)")</f>
        <v>Night (0-5)</v>
      </c>
    </row>
    <row r="6640" spans="1:9">
      <c r="A6640" s="32">
        <v>42099</v>
      </c>
      <c r="B6640">
        <v>1</v>
      </c>
      <c r="C6640">
        <v>3105</v>
      </c>
      <c r="D6640" t="s">
        <v>304</v>
      </c>
      <c r="E6640">
        <f>YEAR(A6640)</f>
        <v>2015</v>
      </c>
      <c r="F6640" s="33">
        <f>DATE(YEAR(A6640),MONTH(A6640),1)</f>
        <v>42095.0</v>
      </c>
      <c r="G6640" t="str">
        <f>CHOOSE(WEEKDAY(A6640,2),"Mon","Tue","Wed","Thu","Fri","Sat","Sun")</f>
        <v>Sun</v>
      </c>
      <c r="H6640" t="str">
        <f>IF(WEEKDAY(A6640,2)&gt;5,"Weekend","Weekday")</f>
        <v>Weekend</v>
      </c>
      <c r="I6640" t="str">
        <f>_xlfn.IFS(B6640&lt;=5,"Night (0-5)",B6640&lt;=9,"Morning peak (6-9)",B6640&lt;=15,"Midday (10-15)",B6640&lt;=19,"Evening peak (16-19)",TRUE,"Late evening (20-23)")</f>
        <v>Night (0-5)</v>
      </c>
    </row>
    <row r="6641" spans="1:9">
      <c r="A6641" s="32">
        <v>42099</v>
      </c>
      <c r="B6641">
        <v>2</v>
      </c>
      <c r="C6641">
        <v>2201</v>
      </c>
      <c r="D6641" t="s">
        <v>304</v>
      </c>
      <c r="E6641">
        <f>YEAR(A6641)</f>
        <v>2015</v>
      </c>
      <c r="F6641" s="33">
        <f>DATE(YEAR(A6641),MONTH(A6641),1)</f>
        <v>42095.0</v>
      </c>
      <c r="G6641" t="str">
        <f>CHOOSE(WEEKDAY(A6641,2),"Mon","Tue","Wed","Thu","Fri","Sat","Sun")</f>
        <v>Sun</v>
      </c>
      <c r="H6641" t="str">
        <f>IF(WEEKDAY(A6641,2)&gt;5,"Weekend","Weekday")</f>
        <v>Weekend</v>
      </c>
      <c r="I6641" t="str">
        <f>_xlfn.IFS(B6641&lt;=5,"Night (0-5)",B6641&lt;=9,"Morning peak (6-9)",B6641&lt;=15,"Midday (10-15)",B6641&lt;=19,"Evening peak (16-19)",TRUE,"Late evening (20-23)")</f>
        <v>Night (0-5)</v>
      </c>
    </row>
    <row r="6642" spans="1:9">
      <c r="A6642" s="32">
        <v>42099</v>
      </c>
      <c r="B6642">
        <v>3</v>
      </c>
      <c r="C6642">
        <v>1620</v>
      </c>
      <c r="D6642" t="s">
        <v>304</v>
      </c>
      <c r="E6642">
        <f>YEAR(A6642)</f>
        <v>2015</v>
      </c>
      <c r="F6642" s="33">
        <f>DATE(YEAR(A6642),MONTH(A6642),1)</f>
        <v>42095.0</v>
      </c>
      <c r="G6642" t="str">
        <f>CHOOSE(WEEKDAY(A6642,2),"Mon","Tue","Wed","Thu","Fri","Sat","Sun")</f>
        <v>Sun</v>
      </c>
      <c r="H6642" t="str">
        <f>IF(WEEKDAY(A6642,2)&gt;5,"Weekend","Weekday")</f>
        <v>Weekend</v>
      </c>
      <c r="I6642" t="str">
        <f>_xlfn.IFS(B6642&lt;=5,"Night (0-5)",B6642&lt;=9,"Morning peak (6-9)",B6642&lt;=15,"Midday (10-15)",B6642&lt;=19,"Evening peak (16-19)",TRUE,"Late evening (20-23)")</f>
        <v>Night (0-5)</v>
      </c>
    </row>
    <row r="6643" spans="1:9">
      <c r="A6643" s="32">
        <v>42099</v>
      </c>
      <c r="B6643">
        <v>4</v>
      </c>
      <c r="C6643">
        <v>1225</v>
      </c>
      <c r="D6643" t="s">
        <v>304</v>
      </c>
      <c r="E6643">
        <f>YEAR(A6643)</f>
        <v>2015</v>
      </c>
      <c r="F6643" s="33">
        <f>DATE(YEAR(A6643),MONTH(A6643),1)</f>
        <v>42095.0</v>
      </c>
      <c r="G6643" t="str">
        <f>CHOOSE(WEEKDAY(A6643,2),"Mon","Tue","Wed","Thu","Fri","Sat","Sun")</f>
        <v>Sun</v>
      </c>
      <c r="H6643" t="str">
        <f>IF(WEEKDAY(A6643,2)&gt;5,"Weekend","Weekday")</f>
        <v>Weekend</v>
      </c>
      <c r="I6643" t="str">
        <f>_xlfn.IFS(B6643&lt;=5,"Night (0-5)",B6643&lt;=9,"Morning peak (6-9)",B6643&lt;=15,"Midday (10-15)",B6643&lt;=19,"Evening peak (16-19)",TRUE,"Late evening (20-23)")</f>
        <v>Night (0-5)</v>
      </c>
    </row>
    <row r="6644" spans="1:9">
      <c r="A6644" s="32">
        <v>42099</v>
      </c>
      <c r="B6644">
        <v>5</v>
      </c>
      <c r="C6644">
        <v>741</v>
      </c>
      <c r="D6644" t="s">
        <v>304</v>
      </c>
      <c r="E6644">
        <f>YEAR(A6644)</f>
        <v>2015</v>
      </c>
      <c r="F6644" s="33">
        <f>DATE(YEAR(A6644),MONTH(A6644),1)</f>
        <v>42095.0</v>
      </c>
      <c r="G6644" t="str">
        <f>CHOOSE(WEEKDAY(A6644,2),"Mon","Tue","Wed","Thu","Fri","Sat","Sun")</f>
        <v>Sun</v>
      </c>
      <c r="H6644" t="str">
        <f>IF(WEEKDAY(A6644,2)&gt;5,"Weekend","Weekday")</f>
        <v>Weekend</v>
      </c>
      <c r="I6644" t="str">
        <f>_xlfn.IFS(B6644&lt;=5,"Night (0-5)",B6644&lt;=9,"Morning peak (6-9)",B6644&lt;=15,"Midday (10-15)",B6644&lt;=19,"Evening peak (16-19)",TRUE,"Late evening (20-23)")</f>
        <v>Night (0-5)</v>
      </c>
    </row>
    <row r="6645" spans="1:9">
      <c r="A6645" s="32">
        <v>42099</v>
      </c>
      <c r="B6645">
        <v>6</v>
      </c>
      <c r="C6645">
        <v>728</v>
      </c>
      <c r="D6645" t="s">
        <v>304</v>
      </c>
      <c r="E6645">
        <f>YEAR(A6645)</f>
        <v>2015</v>
      </c>
      <c r="F6645" s="33">
        <f>DATE(YEAR(A6645),MONTH(A6645),1)</f>
        <v>42095.0</v>
      </c>
      <c r="G6645" t="str">
        <f>CHOOSE(WEEKDAY(A6645,2),"Mon","Tue","Wed","Thu","Fri","Sat","Sun")</f>
        <v>Sun</v>
      </c>
      <c r="H6645" t="str">
        <f>IF(WEEKDAY(A6645,2)&gt;5,"Weekend","Weekday")</f>
        <v>Weekend</v>
      </c>
      <c r="I6645" t="str">
        <f>_xlfn.IFS(B6645&lt;=5,"Night (0-5)",B6645&lt;=9,"Morning peak (6-9)",B6645&lt;=15,"Midday (10-15)",B6645&lt;=19,"Evening peak (16-19)",TRUE,"Late evening (20-23)")</f>
        <v>Morning peak (6-9)</v>
      </c>
    </row>
    <row r="6646" spans="1:9">
      <c r="A6646" s="32">
        <v>42099</v>
      </c>
      <c r="B6646">
        <v>7</v>
      </c>
      <c r="C6646">
        <v>740</v>
      </c>
      <c r="D6646" t="s">
        <v>304</v>
      </c>
      <c r="E6646">
        <f>YEAR(A6646)</f>
        <v>2015</v>
      </c>
      <c r="F6646" s="33">
        <f>DATE(YEAR(A6646),MONTH(A6646),1)</f>
        <v>42095.0</v>
      </c>
      <c r="G6646" t="str">
        <f>CHOOSE(WEEKDAY(A6646,2),"Mon","Tue","Wed","Thu","Fri","Sat","Sun")</f>
        <v>Sun</v>
      </c>
      <c r="H6646" t="str">
        <f>IF(WEEKDAY(A6646,2)&gt;5,"Weekend","Weekday")</f>
        <v>Weekend</v>
      </c>
      <c r="I6646" t="str">
        <f>_xlfn.IFS(B6646&lt;=5,"Night (0-5)",B6646&lt;=9,"Morning peak (6-9)",B6646&lt;=15,"Midday (10-15)",B6646&lt;=19,"Evening peak (16-19)",TRUE,"Late evening (20-23)")</f>
        <v>Morning peak (6-9)</v>
      </c>
    </row>
    <row r="6647" spans="1:9">
      <c r="A6647" s="32">
        <v>42099</v>
      </c>
      <c r="B6647">
        <v>8</v>
      </c>
      <c r="C6647">
        <v>1080</v>
      </c>
      <c r="D6647" t="s">
        <v>304</v>
      </c>
      <c r="E6647">
        <f>YEAR(A6647)</f>
        <v>2015</v>
      </c>
      <c r="F6647" s="33">
        <f>DATE(YEAR(A6647),MONTH(A6647),1)</f>
        <v>42095.0</v>
      </c>
      <c r="G6647" t="str">
        <f>CHOOSE(WEEKDAY(A6647,2),"Mon","Tue","Wed","Thu","Fri","Sat","Sun")</f>
        <v>Sun</v>
      </c>
      <c r="H6647" t="str">
        <f>IF(WEEKDAY(A6647,2)&gt;5,"Weekend","Weekday")</f>
        <v>Weekend</v>
      </c>
      <c r="I6647" t="str">
        <f>_xlfn.IFS(B6647&lt;=5,"Night (0-5)",B6647&lt;=9,"Morning peak (6-9)",B6647&lt;=15,"Midday (10-15)",B6647&lt;=19,"Evening peak (16-19)",TRUE,"Late evening (20-23)")</f>
        <v>Morning peak (6-9)</v>
      </c>
    </row>
    <row r="6648" spans="1:9">
      <c r="A6648" s="32">
        <v>42099</v>
      </c>
      <c r="B6648">
        <v>9</v>
      </c>
      <c r="C6648">
        <v>1596</v>
      </c>
      <c r="D6648" t="s">
        <v>304</v>
      </c>
      <c r="E6648">
        <f>YEAR(A6648)</f>
        <v>2015</v>
      </c>
      <c r="F6648" s="33">
        <f>DATE(YEAR(A6648),MONTH(A6648),1)</f>
        <v>42095.0</v>
      </c>
      <c r="G6648" t="str">
        <f>CHOOSE(WEEKDAY(A6648,2),"Mon","Tue","Wed","Thu","Fri","Sat","Sun")</f>
        <v>Sun</v>
      </c>
      <c r="H6648" t="str">
        <f>IF(WEEKDAY(A6648,2)&gt;5,"Weekend","Weekday")</f>
        <v>Weekend</v>
      </c>
      <c r="I6648" t="str">
        <f>_xlfn.IFS(B6648&lt;=5,"Night (0-5)",B6648&lt;=9,"Morning peak (6-9)",B6648&lt;=15,"Midday (10-15)",B6648&lt;=19,"Evening peak (16-19)",TRUE,"Late evening (20-23)")</f>
        <v>Morning peak (6-9)</v>
      </c>
    </row>
    <row r="6649" spans="1:9">
      <c r="A6649" s="32">
        <v>42099</v>
      </c>
      <c r="B6649">
        <v>10</v>
      </c>
      <c r="C6649">
        <v>2211</v>
      </c>
      <c r="D6649" t="s">
        <v>304</v>
      </c>
      <c r="E6649">
        <f>YEAR(A6649)</f>
        <v>2015</v>
      </c>
      <c r="F6649" s="33">
        <f>DATE(YEAR(A6649),MONTH(A6649),1)</f>
        <v>42095.0</v>
      </c>
      <c r="G6649" t="str">
        <f>CHOOSE(WEEKDAY(A6649,2),"Mon","Tue","Wed","Thu","Fri","Sat","Sun")</f>
        <v>Sun</v>
      </c>
      <c r="H6649" t="str">
        <f>IF(WEEKDAY(A6649,2)&gt;5,"Weekend","Weekday")</f>
        <v>Weekend</v>
      </c>
      <c r="I6649" t="str">
        <f>_xlfn.IFS(B6649&lt;=5,"Night (0-5)",B6649&lt;=9,"Morning peak (6-9)",B6649&lt;=15,"Midday (10-15)",B6649&lt;=19,"Evening peak (16-19)",TRUE,"Late evening (20-23)")</f>
        <v>Midday (10-15)</v>
      </c>
    </row>
    <row r="6650" spans="1:9">
      <c r="A6650" s="32">
        <v>42099</v>
      </c>
      <c r="B6650">
        <v>11</v>
      </c>
      <c r="C6650">
        <v>2653</v>
      </c>
      <c r="D6650" t="s">
        <v>304</v>
      </c>
      <c r="E6650">
        <f>YEAR(A6650)</f>
        <v>2015</v>
      </c>
      <c r="F6650" s="33">
        <f>DATE(YEAR(A6650),MONTH(A6650),1)</f>
        <v>42095.0</v>
      </c>
      <c r="G6650" t="str">
        <f>CHOOSE(WEEKDAY(A6650,2),"Mon","Tue","Wed","Thu","Fri","Sat","Sun")</f>
        <v>Sun</v>
      </c>
      <c r="H6650" t="str">
        <f>IF(WEEKDAY(A6650,2)&gt;5,"Weekend","Weekday")</f>
        <v>Weekend</v>
      </c>
      <c r="I6650" t="str">
        <f>_xlfn.IFS(B6650&lt;=5,"Night (0-5)",B6650&lt;=9,"Morning peak (6-9)",B6650&lt;=15,"Midday (10-15)",B6650&lt;=19,"Evening peak (16-19)",TRUE,"Late evening (20-23)")</f>
        <v>Midday (10-15)</v>
      </c>
    </row>
    <row r="6651" spans="1:9">
      <c r="A6651" s="32">
        <v>42099</v>
      </c>
      <c r="B6651">
        <v>12</v>
      </c>
      <c r="C6651">
        <v>2922</v>
      </c>
      <c r="D6651" t="s">
        <v>304</v>
      </c>
      <c r="E6651">
        <f>YEAR(A6651)</f>
        <v>2015</v>
      </c>
      <c r="F6651" s="33">
        <f>DATE(YEAR(A6651),MONTH(A6651),1)</f>
        <v>42095.0</v>
      </c>
      <c r="G6651" t="str">
        <f>CHOOSE(WEEKDAY(A6651,2),"Mon","Tue","Wed","Thu","Fri","Sat","Sun")</f>
        <v>Sun</v>
      </c>
      <c r="H6651" t="str">
        <f>IF(WEEKDAY(A6651,2)&gt;5,"Weekend","Weekday")</f>
        <v>Weekend</v>
      </c>
      <c r="I6651" t="str">
        <f>_xlfn.IFS(B6651&lt;=5,"Night (0-5)",B6651&lt;=9,"Morning peak (6-9)",B6651&lt;=15,"Midday (10-15)",B6651&lt;=19,"Evening peak (16-19)",TRUE,"Late evening (20-23)")</f>
        <v>Midday (10-15)</v>
      </c>
    </row>
    <row r="6652" spans="1:9">
      <c r="A6652" s="32">
        <v>42099</v>
      </c>
      <c r="B6652">
        <v>13</v>
      </c>
      <c r="C6652">
        <v>3031</v>
      </c>
      <c r="D6652" t="s">
        <v>304</v>
      </c>
      <c r="E6652">
        <f>YEAR(A6652)</f>
        <v>2015</v>
      </c>
      <c r="F6652" s="33">
        <f>DATE(YEAR(A6652),MONTH(A6652),1)</f>
        <v>42095.0</v>
      </c>
      <c r="G6652" t="str">
        <f>CHOOSE(WEEKDAY(A6652,2),"Mon","Tue","Wed","Thu","Fri","Sat","Sun")</f>
        <v>Sun</v>
      </c>
      <c r="H6652" t="str">
        <f>IF(WEEKDAY(A6652,2)&gt;5,"Weekend","Weekday")</f>
        <v>Weekend</v>
      </c>
      <c r="I6652" t="str">
        <f>_xlfn.IFS(B6652&lt;=5,"Night (0-5)",B6652&lt;=9,"Morning peak (6-9)",B6652&lt;=15,"Midday (10-15)",B6652&lt;=19,"Evening peak (16-19)",TRUE,"Late evening (20-23)")</f>
        <v>Midday (10-15)</v>
      </c>
    </row>
    <row r="6653" spans="1:9">
      <c r="A6653" s="32">
        <v>42099</v>
      </c>
      <c r="B6653">
        <v>14</v>
      </c>
      <c r="C6653">
        <v>3136</v>
      </c>
      <c r="D6653" t="s">
        <v>304</v>
      </c>
      <c r="E6653">
        <f>YEAR(A6653)</f>
        <v>2015</v>
      </c>
      <c r="F6653" s="33">
        <f>DATE(YEAR(A6653),MONTH(A6653),1)</f>
        <v>42095.0</v>
      </c>
      <c r="G6653" t="str">
        <f>CHOOSE(WEEKDAY(A6653,2),"Mon","Tue","Wed","Thu","Fri","Sat","Sun")</f>
        <v>Sun</v>
      </c>
      <c r="H6653" t="str">
        <f>IF(WEEKDAY(A6653,2)&gt;5,"Weekend","Weekday")</f>
        <v>Weekend</v>
      </c>
      <c r="I6653" t="str">
        <f>_xlfn.IFS(B6653&lt;=5,"Night (0-5)",B6653&lt;=9,"Morning peak (6-9)",B6653&lt;=15,"Midday (10-15)",B6653&lt;=19,"Evening peak (16-19)",TRUE,"Late evening (20-23)")</f>
        <v>Midday (10-15)</v>
      </c>
    </row>
    <row r="6654" spans="1:9">
      <c r="A6654" s="32">
        <v>42099</v>
      </c>
      <c r="B6654">
        <v>15</v>
      </c>
      <c r="C6654">
        <v>3093</v>
      </c>
      <c r="D6654" t="s">
        <v>304</v>
      </c>
      <c r="E6654">
        <f>YEAR(A6654)</f>
        <v>2015</v>
      </c>
      <c r="F6654" s="33">
        <f>DATE(YEAR(A6654),MONTH(A6654),1)</f>
        <v>42095.0</v>
      </c>
      <c r="G6654" t="str">
        <f>CHOOSE(WEEKDAY(A6654,2),"Mon","Tue","Wed","Thu","Fri","Sat","Sun")</f>
        <v>Sun</v>
      </c>
      <c r="H6654" t="str">
        <f>IF(WEEKDAY(A6654,2)&gt;5,"Weekend","Weekday")</f>
        <v>Weekend</v>
      </c>
      <c r="I6654" t="str">
        <f>_xlfn.IFS(B6654&lt;=5,"Night (0-5)",B6654&lt;=9,"Morning peak (6-9)",B6654&lt;=15,"Midday (10-15)",B6654&lt;=19,"Evening peak (16-19)",TRUE,"Late evening (20-23)")</f>
        <v>Midday (10-15)</v>
      </c>
    </row>
    <row r="6655" spans="1:9">
      <c r="A6655" s="32">
        <v>42099</v>
      </c>
      <c r="B6655">
        <v>16</v>
      </c>
      <c r="C6655">
        <v>3202</v>
      </c>
      <c r="D6655" t="s">
        <v>304</v>
      </c>
      <c r="E6655">
        <f>YEAR(A6655)</f>
        <v>2015</v>
      </c>
      <c r="F6655" s="33">
        <f>DATE(YEAR(A6655),MONTH(A6655),1)</f>
        <v>42095.0</v>
      </c>
      <c r="G6655" t="str">
        <f>CHOOSE(WEEKDAY(A6655,2),"Mon","Tue","Wed","Thu","Fri","Sat","Sun")</f>
        <v>Sun</v>
      </c>
      <c r="H6655" t="str">
        <f>IF(WEEKDAY(A6655,2)&gt;5,"Weekend","Weekday")</f>
        <v>Weekend</v>
      </c>
      <c r="I6655" t="str">
        <f>_xlfn.IFS(B6655&lt;=5,"Night (0-5)",B6655&lt;=9,"Morning peak (6-9)",B6655&lt;=15,"Midday (10-15)",B6655&lt;=19,"Evening peak (16-19)",TRUE,"Late evening (20-23)")</f>
        <v>Evening peak (16-19)</v>
      </c>
    </row>
    <row r="6656" spans="1:9">
      <c r="A6656" s="32">
        <v>42099</v>
      </c>
      <c r="B6656">
        <v>17</v>
      </c>
      <c r="C6656">
        <v>3241</v>
      </c>
      <c r="D6656" t="s">
        <v>304</v>
      </c>
      <c r="E6656">
        <f>YEAR(A6656)</f>
        <v>2015</v>
      </c>
      <c r="F6656" s="33">
        <f>DATE(YEAR(A6656),MONTH(A6656),1)</f>
        <v>42095.0</v>
      </c>
      <c r="G6656" t="str">
        <f>CHOOSE(WEEKDAY(A6656,2),"Mon","Tue","Wed","Thu","Fri","Sat","Sun")</f>
        <v>Sun</v>
      </c>
      <c r="H6656" t="str">
        <f>IF(WEEKDAY(A6656,2)&gt;5,"Weekend","Weekday")</f>
        <v>Weekend</v>
      </c>
      <c r="I6656" t="str">
        <f>_xlfn.IFS(B6656&lt;=5,"Night (0-5)",B6656&lt;=9,"Morning peak (6-9)",B6656&lt;=15,"Midday (10-15)",B6656&lt;=19,"Evening peak (16-19)",TRUE,"Late evening (20-23)")</f>
        <v>Evening peak (16-19)</v>
      </c>
    </row>
    <row r="6657" spans="1:9">
      <c r="A6657" s="32">
        <v>42099</v>
      </c>
      <c r="B6657">
        <v>18</v>
      </c>
      <c r="C6657">
        <v>3232</v>
      </c>
      <c r="D6657" t="s">
        <v>304</v>
      </c>
      <c r="E6657">
        <f>YEAR(A6657)</f>
        <v>2015</v>
      </c>
      <c r="F6657" s="33">
        <f>DATE(YEAR(A6657),MONTH(A6657),1)</f>
        <v>42095.0</v>
      </c>
      <c r="G6657" t="str">
        <f>CHOOSE(WEEKDAY(A6657,2),"Mon","Tue","Wed","Thu","Fri","Sat","Sun")</f>
        <v>Sun</v>
      </c>
      <c r="H6657" t="str">
        <f>IF(WEEKDAY(A6657,2)&gt;5,"Weekend","Weekday")</f>
        <v>Weekend</v>
      </c>
      <c r="I6657" t="str">
        <f>_xlfn.IFS(B6657&lt;=5,"Night (0-5)",B6657&lt;=9,"Morning peak (6-9)",B6657&lt;=15,"Midday (10-15)",B6657&lt;=19,"Evening peak (16-19)",TRUE,"Late evening (20-23)")</f>
        <v>Evening peak (16-19)</v>
      </c>
    </row>
    <row r="6658" spans="1:9">
      <c r="A6658" s="32">
        <v>42099</v>
      </c>
      <c r="B6658">
        <v>19</v>
      </c>
      <c r="C6658">
        <v>3082</v>
      </c>
      <c r="D6658" t="s">
        <v>304</v>
      </c>
      <c r="E6658">
        <f>YEAR(A6658)</f>
        <v>2015</v>
      </c>
      <c r="F6658" s="33">
        <f>DATE(YEAR(A6658),MONTH(A6658),1)</f>
        <v>42095.0</v>
      </c>
      <c r="G6658" t="str">
        <f>CHOOSE(WEEKDAY(A6658,2),"Mon","Tue","Wed","Thu","Fri","Sat","Sun")</f>
        <v>Sun</v>
      </c>
      <c r="H6658" t="str">
        <f>IF(WEEKDAY(A6658,2)&gt;5,"Weekend","Weekday")</f>
        <v>Weekend</v>
      </c>
      <c r="I6658" t="str">
        <f>_xlfn.IFS(B6658&lt;=5,"Night (0-5)",B6658&lt;=9,"Morning peak (6-9)",B6658&lt;=15,"Midday (10-15)",B6658&lt;=19,"Evening peak (16-19)",TRUE,"Late evening (20-23)")</f>
        <v>Evening peak (16-19)</v>
      </c>
    </row>
    <row r="6659" spans="1:9">
      <c r="A6659" s="32">
        <v>42099</v>
      </c>
      <c r="B6659">
        <v>20</v>
      </c>
      <c r="C6659">
        <v>3121</v>
      </c>
      <c r="D6659" t="s">
        <v>304</v>
      </c>
      <c r="E6659">
        <f>YEAR(A6659)</f>
        <v>2015</v>
      </c>
      <c r="F6659" s="33">
        <f>DATE(YEAR(A6659),MONTH(A6659),1)</f>
        <v>42095.0</v>
      </c>
      <c r="G6659" t="str">
        <f>CHOOSE(WEEKDAY(A6659,2),"Mon","Tue","Wed","Thu","Fri","Sat","Sun")</f>
        <v>Sun</v>
      </c>
      <c r="H6659" t="str">
        <f>IF(WEEKDAY(A6659,2)&gt;5,"Weekend","Weekday")</f>
        <v>Weekend</v>
      </c>
      <c r="I6659" t="str">
        <f>_xlfn.IFS(B6659&lt;=5,"Night (0-5)",B6659&lt;=9,"Morning peak (6-9)",B6659&lt;=15,"Midday (10-15)",B6659&lt;=19,"Evening peak (16-19)",TRUE,"Late evening (20-23)")</f>
        <v>Late evening (20-23)</v>
      </c>
    </row>
    <row r="6660" spans="1:9">
      <c r="A6660" s="32">
        <v>42099</v>
      </c>
      <c r="B6660">
        <v>21</v>
      </c>
      <c r="C6660">
        <v>3081</v>
      </c>
      <c r="D6660" t="s">
        <v>304</v>
      </c>
      <c r="E6660">
        <f>YEAR(A6660)</f>
        <v>2015</v>
      </c>
      <c r="F6660" s="33">
        <f>DATE(YEAR(A6660),MONTH(A6660),1)</f>
        <v>42095.0</v>
      </c>
      <c r="G6660" t="str">
        <f>CHOOSE(WEEKDAY(A6660,2),"Mon","Tue","Wed","Thu","Fri","Sat","Sun")</f>
        <v>Sun</v>
      </c>
      <c r="H6660" t="str">
        <f>IF(WEEKDAY(A6660,2)&gt;5,"Weekend","Weekday")</f>
        <v>Weekend</v>
      </c>
      <c r="I6660" t="str">
        <f>_xlfn.IFS(B6660&lt;=5,"Night (0-5)",B6660&lt;=9,"Morning peak (6-9)",B6660&lt;=15,"Midday (10-15)",B6660&lt;=19,"Evening peak (16-19)",TRUE,"Late evening (20-23)")</f>
        <v>Late evening (20-23)</v>
      </c>
    </row>
    <row r="6661" spans="1:9">
      <c r="A6661" s="32">
        <v>42099</v>
      </c>
      <c r="B6661">
        <v>22</v>
      </c>
      <c r="C6661">
        <v>2837</v>
      </c>
      <c r="D6661" t="s">
        <v>304</v>
      </c>
      <c r="E6661">
        <f>YEAR(A6661)</f>
        <v>2015</v>
      </c>
      <c r="F6661" s="33">
        <f>DATE(YEAR(A6661),MONTH(A6661),1)</f>
        <v>42095.0</v>
      </c>
      <c r="G6661" t="str">
        <f>CHOOSE(WEEKDAY(A6661,2),"Mon","Tue","Wed","Thu","Fri","Sat","Sun")</f>
        <v>Sun</v>
      </c>
      <c r="H6661" t="str">
        <f>IF(WEEKDAY(A6661,2)&gt;5,"Weekend","Weekday")</f>
        <v>Weekend</v>
      </c>
      <c r="I6661" t="str">
        <f>_xlfn.IFS(B6661&lt;=5,"Night (0-5)",B6661&lt;=9,"Morning peak (6-9)",B6661&lt;=15,"Midday (10-15)",B6661&lt;=19,"Evening peak (16-19)",TRUE,"Late evening (20-23)")</f>
        <v>Late evening (20-23)</v>
      </c>
    </row>
    <row r="6662" spans="1:9">
      <c r="A6662" s="32">
        <v>42099</v>
      </c>
      <c r="B6662">
        <v>23</v>
      </c>
      <c r="C6662">
        <v>2238</v>
      </c>
      <c r="D6662" t="s">
        <v>304</v>
      </c>
      <c r="E6662">
        <f>YEAR(A6662)</f>
        <v>2015</v>
      </c>
      <c r="F6662" s="33">
        <f>DATE(YEAR(A6662),MONTH(A6662),1)</f>
        <v>42095.0</v>
      </c>
      <c r="G6662" t="str">
        <f>CHOOSE(WEEKDAY(A6662,2),"Mon","Tue","Wed","Thu","Fri","Sat","Sun")</f>
        <v>Sun</v>
      </c>
      <c r="H6662" t="str">
        <f>IF(WEEKDAY(A6662,2)&gt;5,"Weekend","Weekday")</f>
        <v>Weekend</v>
      </c>
      <c r="I6662" t="str">
        <f>_xlfn.IFS(B6662&lt;=5,"Night (0-5)",B6662&lt;=9,"Morning peak (6-9)",B6662&lt;=15,"Midday (10-15)",B6662&lt;=19,"Evening peak (16-19)",TRUE,"Late evening (20-23)")</f>
        <v>Late evening (20-23)</v>
      </c>
    </row>
    <row r="6663" spans="1:9">
      <c r="A6663" s="32">
        <v>42100</v>
      </c>
      <c r="B6663">
        <v>0</v>
      </c>
      <c r="C6663">
        <v>1294</v>
      </c>
      <c r="D6663" t="s">
        <v>304</v>
      </c>
      <c r="E6663">
        <f>YEAR(A6663)</f>
        <v>2015</v>
      </c>
      <c r="F6663" s="33">
        <f>DATE(YEAR(A6663),MONTH(A6663),1)</f>
        <v>42095.0</v>
      </c>
      <c r="G6663" t="str">
        <f>CHOOSE(WEEKDAY(A6663,2),"Mon","Tue","Wed","Thu","Fri","Sat","Sun")</f>
        <v>Mon</v>
      </c>
      <c r="H6663" t="str">
        <f>IF(WEEKDAY(A6663,2)&gt;5,"Weekend","Weekday")</f>
        <v>Weekday</v>
      </c>
      <c r="I6663" t="str">
        <f>_xlfn.IFS(B6663&lt;=5,"Night (0-5)",B6663&lt;=9,"Morning peak (6-9)",B6663&lt;=15,"Midday (10-15)",B6663&lt;=19,"Evening peak (16-19)",TRUE,"Late evening (20-23)")</f>
        <v>Night (0-5)</v>
      </c>
    </row>
    <row r="6664" spans="1:9">
      <c r="A6664" s="32">
        <v>42100</v>
      </c>
      <c r="B6664">
        <v>1</v>
      </c>
      <c r="C6664">
        <v>720</v>
      </c>
      <c r="D6664" t="s">
        <v>304</v>
      </c>
      <c r="E6664">
        <f>YEAR(A6664)</f>
        <v>2015</v>
      </c>
      <c r="F6664" s="33">
        <f>DATE(YEAR(A6664),MONTH(A6664),1)</f>
        <v>42095.0</v>
      </c>
      <c r="G6664" t="str">
        <f>CHOOSE(WEEKDAY(A6664,2),"Mon","Tue","Wed","Thu","Fri","Sat","Sun")</f>
        <v>Mon</v>
      </c>
      <c r="H6664" t="str">
        <f>IF(WEEKDAY(A6664,2)&gt;5,"Weekend","Weekday")</f>
        <v>Weekday</v>
      </c>
      <c r="I6664" t="str">
        <f>_xlfn.IFS(B6664&lt;=5,"Night (0-5)",B6664&lt;=9,"Morning peak (6-9)",B6664&lt;=15,"Midday (10-15)",B6664&lt;=19,"Evening peak (16-19)",TRUE,"Late evening (20-23)")</f>
        <v>Night (0-5)</v>
      </c>
    </row>
    <row r="6665" spans="1:9">
      <c r="A6665" s="32">
        <v>42100</v>
      </c>
      <c r="B6665">
        <v>2</v>
      </c>
      <c r="C6665">
        <v>407</v>
      </c>
      <c r="D6665" t="s">
        <v>304</v>
      </c>
      <c r="E6665">
        <f>YEAR(A6665)</f>
        <v>2015</v>
      </c>
      <c r="F6665" s="33">
        <f>DATE(YEAR(A6665),MONTH(A6665),1)</f>
        <v>42095.0</v>
      </c>
      <c r="G6665" t="str">
        <f>CHOOSE(WEEKDAY(A6665,2),"Mon","Tue","Wed","Thu","Fri","Sat","Sun")</f>
        <v>Mon</v>
      </c>
      <c r="H6665" t="str">
        <f>IF(WEEKDAY(A6665,2)&gt;5,"Weekend","Weekday")</f>
        <v>Weekday</v>
      </c>
      <c r="I6665" t="str">
        <f>_xlfn.IFS(B6665&lt;=5,"Night (0-5)",B6665&lt;=9,"Morning peak (6-9)",B6665&lt;=15,"Midday (10-15)",B6665&lt;=19,"Evening peak (16-19)",TRUE,"Late evening (20-23)")</f>
        <v>Night (0-5)</v>
      </c>
    </row>
    <row r="6666" spans="1:9">
      <c r="A6666" s="32">
        <v>42100</v>
      </c>
      <c r="B6666">
        <v>3</v>
      </c>
      <c r="C6666">
        <v>335</v>
      </c>
      <c r="D6666" t="s">
        <v>304</v>
      </c>
      <c r="E6666">
        <f>YEAR(A6666)</f>
        <v>2015</v>
      </c>
      <c r="F6666" s="33">
        <f>DATE(YEAR(A6666),MONTH(A6666),1)</f>
        <v>42095.0</v>
      </c>
      <c r="G6666" t="str">
        <f>CHOOSE(WEEKDAY(A6666,2),"Mon","Tue","Wed","Thu","Fri","Sat","Sun")</f>
        <v>Mon</v>
      </c>
      <c r="H6666" t="str">
        <f>IF(WEEKDAY(A6666,2)&gt;5,"Weekend","Weekday")</f>
        <v>Weekday</v>
      </c>
      <c r="I6666" t="str">
        <f>_xlfn.IFS(B6666&lt;=5,"Night (0-5)",B6666&lt;=9,"Morning peak (6-9)",B6666&lt;=15,"Midday (10-15)",B6666&lt;=19,"Evening peak (16-19)",TRUE,"Late evening (20-23)")</f>
        <v>Night (0-5)</v>
      </c>
    </row>
    <row r="6667" spans="1:9">
      <c r="A6667" s="32">
        <v>42100</v>
      </c>
      <c r="B6667">
        <v>4</v>
      </c>
      <c r="C6667">
        <v>621</v>
      </c>
      <c r="D6667" t="s">
        <v>304</v>
      </c>
      <c r="E6667">
        <f>YEAR(A6667)</f>
        <v>2015</v>
      </c>
      <c r="F6667" s="33">
        <f>DATE(YEAR(A6667),MONTH(A6667),1)</f>
        <v>42095.0</v>
      </c>
      <c r="G6667" t="str">
        <f>CHOOSE(WEEKDAY(A6667,2),"Mon","Tue","Wed","Thu","Fri","Sat","Sun")</f>
        <v>Mon</v>
      </c>
      <c r="H6667" t="str">
        <f>IF(WEEKDAY(A6667,2)&gt;5,"Weekend","Weekday")</f>
        <v>Weekday</v>
      </c>
      <c r="I6667" t="str">
        <f>_xlfn.IFS(B6667&lt;=5,"Night (0-5)",B6667&lt;=9,"Morning peak (6-9)",B6667&lt;=15,"Midday (10-15)",B6667&lt;=19,"Evening peak (16-19)",TRUE,"Late evening (20-23)")</f>
        <v>Night (0-5)</v>
      </c>
    </row>
    <row r="6668" spans="1:9">
      <c r="A6668" s="32">
        <v>42100</v>
      </c>
      <c r="B6668">
        <v>5</v>
      </c>
      <c r="C6668">
        <v>1075</v>
      </c>
      <c r="D6668" t="s">
        <v>304</v>
      </c>
      <c r="E6668">
        <f>YEAR(A6668)</f>
        <v>2015</v>
      </c>
      <c r="F6668" s="33">
        <f>DATE(YEAR(A6668),MONTH(A6668),1)</f>
        <v>42095.0</v>
      </c>
      <c r="G6668" t="str">
        <f>CHOOSE(WEEKDAY(A6668,2),"Mon","Tue","Wed","Thu","Fri","Sat","Sun")</f>
        <v>Mon</v>
      </c>
      <c r="H6668" t="str">
        <f>IF(WEEKDAY(A6668,2)&gt;5,"Weekend","Weekday")</f>
        <v>Weekday</v>
      </c>
      <c r="I6668" t="str">
        <f>_xlfn.IFS(B6668&lt;=5,"Night (0-5)",B6668&lt;=9,"Morning peak (6-9)",B6668&lt;=15,"Midday (10-15)",B6668&lt;=19,"Evening peak (16-19)",TRUE,"Late evening (20-23)")</f>
        <v>Night (0-5)</v>
      </c>
    </row>
    <row r="6669" spans="1:9">
      <c r="A6669" s="32">
        <v>42100</v>
      </c>
      <c r="B6669">
        <v>6</v>
      </c>
      <c r="C6669">
        <v>1759</v>
      </c>
      <c r="D6669" t="s">
        <v>304</v>
      </c>
      <c r="E6669">
        <f>YEAR(A6669)</f>
        <v>2015</v>
      </c>
      <c r="F6669" s="33">
        <f>DATE(YEAR(A6669),MONTH(A6669),1)</f>
        <v>42095.0</v>
      </c>
      <c r="G6669" t="str">
        <f>CHOOSE(WEEKDAY(A6669,2),"Mon","Tue","Wed","Thu","Fri","Sat","Sun")</f>
        <v>Mon</v>
      </c>
      <c r="H6669" t="str">
        <f>IF(WEEKDAY(A6669,2)&gt;5,"Weekend","Weekday")</f>
        <v>Weekday</v>
      </c>
      <c r="I6669" t="str">
        <f>_xlfn.IFS(B6669&lt;=5,"Night (0-5)",B6669&lt;=9,"Morning peak (6-9)",B6669&lt;=15,"Midday (10-15)",B6669&lt;=19,"Evening peak (16-19)",TRUE,"Late evening (20-23)")</f>
        <v>Morning peak (6-9)</v>
      </c>
    </row>
    <row r="6670" spans="1:9">
      <c r="A6670" s="32">
        <v>42100</v>
      </c>
      <c r="B6670">
        <v>7</v>
      </c>
      <c r="C6670">
        <v>2548</v>
      </c>
      <c r="D6670" t="s">
        <v>304</v>
      </c>
      <c r="E6670">
        <f>YEAR(A6670)</f>
        <v>2015</v>
      </c>
      <c r="F6670" s="33">
        <f>DATE(YEAR(A6670),MONTH(A6670),1)</f>
        <v>42095.0</v>
      </c>
      <c r="G6670" t="str">
        <f>CHOOSE(WEEKDAY(A6670,2),"Mon","Tue","Wed","Thu","Fri","Sat","Sun")</f>
        <v>Mon</v>
      </c>
      <c r="H6670" t="str">
        <f>IF(WEEKDAY(A6670,2)&gt;5,"Weekend","Weekday")</f>
        <v>Weekday</v>
      </c>
      <c r="I6670" t="str">
        <f>_xlfn.IFS(B6670&lt;=5,"Night (0-5)",B6670&lt;=9,"Morning peak (6-9)",B6670&lt;=15,"Midday (10-15)",B6670&lt;=19,"Evening peak (16-19)",TRUE,"Late evening (20-23)")</f>
        <v>Morning peak (6-9)</v>
      </c>
    </row>
    <row r="6671" spans="1:9">
      <c r="A6671" s="32">
        <v>42100</v>
      </c>
      <c r="B6671">
        <v>8</v>
      </c>
      <c r="C6671">
        <v>3153</v>
      </c>
      <c r="D6671" t="s">
        <v>304</v>
      </c>
      <c r="E6671">
        <f>YEAR(A6671)</f>
        <v>2015</v>
      </c>
      <c r="F6671" s="33">
        <f>DATE(YEAR(A6671),MONTH(A6671),1)</f>
        <v>42095.0</v>
      </c>
      <c r="G6671" t="str">
        <f>CHOOSE(WEEKDAY(A6671,2),"Mon","Tue","Wed","Thu","Fri","Sat","Sun")</f>
        <v>Mon</v>
      </c>
      <c r="H6671" t="str">
        <f>IF(WEEKDAY(A6671,2)&gt;5,"Weekend","Weekday")</f>
        <v>Weekday</v>
      </c>
      <c r="I6671" t="str">
        <f>_xlfn.IFS(B6671&lt;=5,"Night (0-5)",B6671&lt;=9,"Morning peak (6-9)",B6671&lt;=15,"Midday (10-15)",B6671&lt;=19,"Evening peak (16-19)",TRUE,"Late evening (20-23)")</f>
        <v>Morning peak (6-9)</v>
      </c>
    </row>
    <row r="6672" spans="1:9">
      <c r="A6672" s="32">
        <v>42100</v>
      </c>
      <c r="B6672">
        <v>9</v>
      </c>
      <c r="C6672">
        <v>2960</v>
      </c>
      <c r="D6672" t="s">
        <v>304</v>
      </c>
      <c r="E6672">
        <f>YEAR(A6672)</f>
        <v>2015</v>
      </c>
      <c r="F6672" s="33">
        <f>DATE(YEAR(A6672),MONTH(A6672),1)</f>
        <v>42095.0</v>
      </c>
      <c r="G6672" t="str">
        <f>CHOOSE(WEEKDAY(A6672,2),"Mon","Tue","Wed","Thu","Fri","Sat","Sun")</f>
        <v>Mon</v>
      </c>
      <c r="H6672" t="str">
        <f>IF(WEEKDAY(A6672,2)&gt;5,"Weekend","Weekday")</f>
        <v>Weekday</v>
      </c>
      <c r="I6672" t="str">
        <f>_xlfn.IFS(B6672&lt;=5,"Night (0-5)",B6672&lt;=9,"Morning peak (6-9)",B6672&lt;=15,"Midday (10-15)",B6672&lt;=19,"Evening peak (16-19)",TRUE,"Late evening (20-23)")</f>
        <v>Morning peak (6-9)</v>
      </c>
    </row>
    <row r="6673" spans="1:9">
      <c r="A6673" s="32">
        <v>42100</v>
      </c>
      <c r="B6673">
        <v>10</v>
      </c>
      <c r="C6673">
        <v>2364</v>
      </c>
      <c r="D6673" t="s">
        <v>304</v>
      </c>
      <c r="E6673">
        <f>YEAR(A6673)</f>
        <v>2015</v>
      </c>
      <c r="F6673" s="33">
        <f>DATE(YEAR(A6673),MONTH(A6673),1)</f>
        <v>42095.0</v>
      </c>
      <c r="G6673" t="str">
        <f>CHOOSE(WEEKDAY(A6673,2),"Mon","Tue","Wed","Thu","Fri","Sat","Sun")</f>
        <v>Mon</v>
      </c>
      <c r="H6673" t="str">
        <f>IF(WEEKDAY(A6673,2)&gt;5,"Weekend","Weekday")</f>
        <v>Weekday</v>
      </c>
      <c r="I6673" t="str">
        <f>_xlfn.IFS(B6673&lt;=5,"Night (0-5)",B6673&lt;=9,"Morning peak (6-9)",B6673&lt;=15,"Midday (10-15)",B6673&lt;=19,"Evening peak (16-19)",TRUE,"Late evening (20-23)")</f>
        <v>Midday (10-15)</v>
      </c>
    </row>
    <row r="6674" spans="1:9">
      <c r="A6674" s="32">
        <v>42100</v>
      </c>
      <c r="B6674">
        <v>11</v>
      </c>
      <c r="C6674">
        <v>2086</v>
      </c>
      <c r="D6674" t="s">
        <v>304</v>
      </c>
      <c r="E6674">
        <f>YEAR(A6674)</f>
        <v>2015</v>
      </c>
      <c r="F6674" s="33">
        <f>DATE(YEAR(A6674),MONTH(A6674),1)</f>
        <v>42095.0</v>
      </c>
      <c r="G6674" t="str">
        <f>CHOOSE(WEEKDAY(A6674,2),"Mon","Tue","Wed","Thu","Fri","Sat","Sun")</f>
        <v>Mon</v>
      </c>
      <c r="H6674" t="str">
        <f>IF(WEEKDAY(A6674,2)&gt;5,"Weekend","Weekday")</f>
        <v>Weekday</v>
      </c>
      <c r="I6674" t="str">
        <f>_xlfn.IFS(B6674&lt;=5,"Night (0-5)",B6674&lt;=9,"Morning peak (6-9)",B6674&lt;=15,"Midday (10-15)",B6674&lt;=19,"Evening peak (16-19)",TRUE,"Late evening (20-23)")</f>
        <v>Midday (10-15)</v>
      </c>
    </row>
    <row r="6675" spans="1:9">
      <c r="A6675" s="32">
        <v>42100</v>
      </c>
      <c r="B6675">
        <v>12</v>
      </c>
      <c r="C6675">
        <v>1975</v>
      </c>
      <c r="D6675" t="s">
        <v>304</v>
      </c>
      <c r="E6675">
        <f>YEAR(A6675)</f>
        <v>2015</v>
      </c>
      <c r="F6675" s="33">
        <f>DATE(YEAR(A6675),MONTH(A6675),1)</f>
        <v>42095.0</v>
      </c>
      <c r="G6675" t="str">
        <f>CHOOSE(WEEKDAY(A6675,2),"Mon","Tue","Wed","Thu","Fri","Sat","Sun")</f>
        <v>Mon</v>
      </c>
      <c r="H6675" t="str">
        <f>IF(WEEKDAY(A6675,2)&gt;5,"Weekend","Weekday")</f>
        <v>Weekday</v>
      </c>
      <c r="I6675" t="str">
        <f>_xlfn.IFS(B6675&lt;=5,"Night (0-5)",B6675&lt;=9,"Morning peak (6-9)",B6675&lt;=15,"Midday (10-15)",B6675&lt;=19,"Evening peak (16-19)",TRUE,"Late evening (20-23)")</f>
        <v>Midday (10-15)</v>
      </c>
    </row>
    <row r="6676" spans="1:9">
      <c r="A6676" s="32">
        <v>42100</v>
      </c>
      <c r="B6676">
        <v>13</v>
      </c>
      <c r="C6676">
        <v>2000</v>
      </c>
      <c r="D6676" t="s">
        <v>304</v>
      </c>
      <c r="E6676">
        <f>YEAR(A6676)</f>
        <v>2015</v>
      </c>
      <c r="F6676" s="33">
        <f>DATE(YEAR(A6676),MONTH(A6676),1)</f>
        <v>42095.0</v>
      </c>
      <c r="G6676" t="str">
        <f>CHOOSE(WEEKDAY(A6676,2),"Mon","Tue","Wed","Thu","Fri","Sat","Sun")</f>
        <v>Mon</v>
      </c>
      <c r="H6676" t="str">
        <f>IF(WEEKDAY(A6676,2)&gt;5,"Weekend","Weekday")</f>
        <v>Weekday</v>
      </c>
      <c r="I6676" t="str">
        <f>_xlfn.IFS(B6676&lt;=5,"Night (0-5)",B6676&lt;=9,"Morning peak (6-9)",B6676&lt;=15,"Midday (10-15)",B6676&lt;=19,"Evening peak (16-19)",TRUE,"Late evening (20-23)")</f>
        <v>Midday (10-15)</v>
      </c>
    </row>
    <row r="6677" spans="1:9">
      <c r="A6677" s="32">
        <v>42100</v>
      </c>
      <c r="B6677">
        <v>14</v>
      </c>
      <c r="C6677">
        <v>2092</v>
      </c>
      <c r="D6677" t="s">
        <v>304</v>
      </c>
      <c r="E6677">
        <f>YEAR(A6677)</f>
        <v>2015</v>
      </c>
      <c r="F6677" s="33">
        <f>DATE(YEAR(A6677),MONTH(A6677),1)</f>
        <v>42095.0</v>
      </c>
      <c r="G6677" t="str">
        <f>CHOOSE(WEEKDAY(A6677,2),"Mon","Tue","Wed","Thu","Fri","Sat","Sun")</f>
        <v>Mon</v>
      </c>
      <c r="H6677" t="str">
        <f>IF(WEEKDAY(A6677,2)&gt;5,"Weekend","Weekday")</f>
        <v>Weekday</v>
      </c>
      <c r="I6677" t="str">
        <f>_xlfn.IFS(B6677&lt;=5,"Night (0-5)",B6677&lt;=9,"Morning peak (6-9)",B6677&lt;=15,"Midday (10-15)",B6677&lt;=19,"Evening peak (16-19)",TRUE,"Late evening (20-23)")</f>
        <v>Midday (10-15)</v>
      </c>
    </row>
    <row r="6678" spans="1:9">
      <c r="A6678" s="32">
        <v>42100</v>
      </c>
      <c r="B6678">
        <v>15</v>
      </c>
      <c r="C6678">
        <v>2448</v>
      </c>
      <c r="D6678" t="s">
        <v>304</v>
      </c>
      <c r="E6678">
        <f>YEAR(A6678)</f>
        <v>2015</v>
      </c>
      <c r="F6678" s="33">
        <f>DATE(YEAR(A6678),MONTH(A6678),1)</f>
        <v>42095.0</v>
      </c>
      <c r="G6678" t="str">
        <f>CHOOSE(WEEKDAY(A6678,2),"Mon","Tue","Wed","Thu","Fri","Sat","Sun")</f>
        <v>Mon</v>
      </c>
      <c r="H6678" t="str">
        <f>IF(WEEKDAY(A6678,2)&gt;5,"Weekend","Weekday")</f>
        <v>Weekday</v>
      </c>
      <c r="I6678" t="str">
        <f>_xlfn.IFS(B6678&lt;=5,"Night (0-5)",B6678&lt;=9,"Morning peak (6-9)",B6678&lt;=15,"Midday (10-15)",B6678&lt;=19,"Evening peak (16-19)",TRUE,"Late evening (20-23)")</f>
        <v>Midday (10-15)</v>
      </c>
    </row>
    <row r="6679" spans="1:9">
      <c r="A6679" s="32">
        <v>42100</v>
      </c>
      <c r="B6679">
        <v>16</v>
      </c>
      <c r="C6679">
        <v>2722</v>
      </c>
      <c r="D6679" t="s">
        <v>304</v>
      </c>
      <c r="E6679">
        <f>YEAR(A6679)</f>
        <v>2015</v>
      </c>
      <c r="F6679" s="33">
        <f>DATE(YEAR(A6679),MONTH(A6679),1)</f>
        <v>42095.0</v>
      </c>
      <c r="G6679" t="str">
        <f>CHOOSE(WEEKDAY(A6679,2),"Mon","Tue","Wed","Thu","Fri","Sat","Sun")</f>
        <v>Mon</v>
      </c>
      <c r="H6679" t="str">
        <f>IF(WEEKDAY(A6679,2)&gt;5,"Weekend","Weekday")</f>
        <v>Weekday</v>
      </c>
      <c r="I6679" t="str">
        <f>_xlfn.IFS(B6679&lt;=5,"Night (0-5)",B6679&lt;=9,"Morning peak (6-9)",B6679&lt;=15,"Midday (10-15)",B6679&lt;=19,"Evening peak (16-19)",TRUE,"Late evening (20-23)")</f>
        <v>Evening peak (16-19)</v>
      </c>
    </row>
    <row r="6680" spans="1:9">
      <c r="A6680" s="32">
        <v>42100</v>
      </c>
      <c r="B6680">
        <v>17</v>
      </c>
      <c r="C6680">
        <v>3101</v>
      </c>
      <c r="D6680" t="s">
        <v>304</v>
      </c>
      <c r="E6680">
        <f>YEAR(A6680)</f>
        <v>2015</v>
      </c>
      <c r="F6680" s="33">
        <f>DATE(YEAR(A6680),MONTH(A6680),1)</f>
        <v>42095.0</v>
      </c>
      <c r="G6680" t="str">
        <f>CHOOSE(WEEKDAY(A6680,2),"Mon","Tue","Wed","Thu","Fri","Sat","Sun")</f>
        <v>Mon</v>
      </c>
      <c r="H6680" t="str">
        <f>IF(WEEKDAY(A6680,2)&gt;5,"Weekend","Weekday")</f>
        <v>Weekday</v>
      </c>
      <c r="I6680" t="str">
        <f>_xlfn.IFS(B6680&lt;=5,"Night (0-5)",B6680&lt;=9,"Morning peak (6-9)",B6680&lt;=15,"Midday (10-15)",B6680&lt;=19,"Evening peak (16-19)",TRUE,"Late evening (20-23)")</f>
        <v>Evening peak (16-19)</v>
      </c>
    </row>
    <row r="6681" spans="1:9">
      <c r="A6681" s="32">
        <v>42100</v>
      </c>
      <c r="B6681">
        <v>18</v>
      </c>
      <c r="C6681">
        <v>3669</v>
      </c>
      <c r="D6681" t="s">
        <v>304</v>
      </c>
      <c r="E6681">
        <f>YEAR(A6681)</f>
        <v>2015</v>
      </c>
      <c r="F6681" s="33">
        <f>DATE(YEAR(A6681),MONTH(A6681),1)</f>
        <v>42095.0</v>
      </c>
      <c r="G6681" t="str">
        <f>CHOOSE(WEEKDAY(A6681,2),"Mon","Tue","Wed","Thu","Fri","Sat","Sun")</f>
        <v>Mon</v>
      </c>
      <c r="H6681" t="str">
        <f>IF(WEEKDAY(A6681,2)&gt;5,"Weekend","Weekday")</f>
        <v>Weekday</v>
      </c>
      <c r="I6681" t="str">
        <f>_xlfn.IFS(B6681&lt;=5,"Night (0-5)",B6681&lt;=9,"Morning peak (6-9)",B6681&lt;=15,"Midday (10-15)",B6681&lt;=19,"Evening peak (16-19)",TRUE,"Late evening (20-23)")</f>
        <v>Evening peak (16-19)</v>
      </c>
    </row>
    <row r="6682" spans="1:9">
      <c r="A6682" s="32">
        <v>42100</v>
      </c>
      <c r="B6682">
        <v>19</v>
      </c>
      <c r="C6682">
        <v>3484</v>
      </c>
      <c r="D6682" t="s">
        <v>304</v>
      </c>
      <c r="E6682">
        <f>YEAR(A6682)</f>
        <v>2015</v>
      </c>
      <c r="F6682" s="33">
        <f>DATE(YEAR(A6682),MONTH(A6682),1)</f>
        <v>42095.0</v>
      </c>
      <c r="G6682" t="str">
        <f>CHOOSE(WEEKDAY(A6682,2),"Mon","Tue","Wed","Thu","Fri","Sat","Sun")</f>
        <v>Mon</v>
      </c>
      <c r="H6682" t="str">
        <f>IF(WEEKDAY(A6682,2)&gt;5,"Weekend","Weekday")</f>
        <v>Weekday</v>
      </c>
      <c r="I6682" t="str">
        <f>_xlfn.IFS(B6682&lt;=5,"Night (0-5)",B6682&lt;=9,"Morning peak (6-9)",B6682&lt;=15,"Midday (10-15)",B6682&lt;=19,"Evening peak (16-19)",TRUE,"Late evening (20-23)")</f>
        <v>Evening peak (16-19)</v>
      </c>
    </row>
    <row r="6683" spans="1:9">
      <c r="A6683" s="32">
        <v>42100</v>
      </c>
      <c r="B6683">
        <v>20</v>
      </c>
      <c r="C6683">
        <v>3646</v>
      </c>
      <c r="D6683" t="s">
        <v>304</v>
      </c>
      <c r="E6683">
        <f>YEAR(A6683)</f>
        <v>2015</v>
      </c>
      <c r="F6683" s="33">
        <f>DATE(YEAR(A6683),MONTH(A6683),1)</f>
        <v>42095.0</v>
      </c>
      <c r="G6683" t="str">
        <f>CHOOSE(WEEKDAY(A6683,2),"Mon","Tue","Wed","Thu","Fri","Sat","Sun")</f>
        <v>Mon</v>
      </c>
      <c r="H6683" t="str">
        <f>IF(WEEKDAY(A6683,2)&gt;5,"Weekend","Weekday")</f>
        <v>Weekday</v>
      </c>
      <c r="I6683" t="str">
        <f>_xlfn.IFS(B6683&lt;=5,"Night (0-5)",B6683&lt;=9,"Morning peak (6-9)",B6683&lt;=15,"Midday (10-15)",B6683&lt;=19,"Evening peak (16-19)",TRUE,"Late evening (20-23)")</f>
        <v>Late evening (20-23)</v>
      </c>
    </row>
    <row r="6684" spans="1:9">
      <c r="A6684" s="32">
        <v>42100</v>
      </c>
      <c r="B6684">
        <v>21</v>
      </c>
      <c r="C6684">
        <v>3449</v>
      </c>
      <c r="D6684" t="s">
        <v>304</v>
      </c>
      <c r="E6684">
        <f>YEAR(A6684)</f>
        <v>2015</v>
      </c>
      <c r="F6684" s="33">
        <f>DATE(YEAR(A6684),MONTH(A6684),1)</f>
        <v>42095.0</v>
      </c>
      <c r="G6684" t="str">
        <f>CHOOSE(WEEKDAY(A6684,2),"Mon","Tue","Wed","Thu","Fri","Sat","Sun")</f>
        <v>Mon</v>
      </c>
      <c r="H6684" t="str">
        <f>IF(WEEKDAY(A6684,2)&gt;5,"Weekend","Weekday")</f>
        <v>Weekday</v>
      </c>
      <c r="I6684" t="str">
        <f>_xlfn.IFS(B6684&lt;=5,"Night (0-5)",B6684&lt;=9,"Morning peak (6-9)",B6684&lt;=15,"Midday (10-15)",B6684&lt;=19,"Evening peak (16-19)",TRUE,"Late evening (20-23)")</f>
        <v>Late evening (20-23)</v>
      </c>
    </row>
    <row r="6685" spans="1:9">
      <c r="A6685" s="32">
        <v>42100</v>
      </c>
      <c r="B6685">
        <v>22</v>
      </c>
      <c r="C6685">
        <v>2995</v>
      </c>
      <c r="D6685" t="s">
        <v>304</v>
      </c>
      <c r="E6685">
        <f>YEAR(A6685)</f>
        <v>2015</v>
      </c>
      <c r="F6685" s="33">
        <f>DATE(YEAR(A6685),MONTH(A6685),1)</f>
        <v>42095.0</v>
      </c>
      <c r="G6685" t="str">
        <f>CHOOSE(WEEKDAY(A6685,2),"Mon","Tue","Wed","Thu","Fri","Sat","Sun")</f>
        <v>Mon</v>
      </c>
      <c r="H6685" t="str">
        <f>IF(WEEKDAY(A6685,2)&gt;5,"Weekend","Weekday")</f>
        <v>Weekday</v>
      </c>
      <c r="I6685" t="str">
        <f>_xlfn.IFS(B6685&lt;=5,"Night (0-5)",B6685&lt;=9,"Morning peak (6-9)",B6685&lt;=15,"Midday (10-15)",B6685&lt;=19,"Evening peak (16-19)",TRUE,"Late evening (20-23)")</f>
        <v>Late evening (20-23)</v>
      </c>
    </row>
    <row r="6686" spans="1:9">
      <c r="A6686" s="32">
        <v>42100</v>
      </c>
      <c r="B6686">
        <v>23</v>
      </c>
      <c r="C6686">
        <v>2662</v>
      </c>
      <c r="D6686" t="s">
        <v>304</v>
      </c>
      <c r="E6686">
        <f>YEAR(A6686)</f>
        <v>2015</v>
      </c>
      <c r="F6686" s="33">
        <f>DATE(YEAR(A6686),MONTH(A6686),1)</f>
        <v>42095.0</v>
      </c>
      <c r="G6686" t="str">
        <f>CHOOSE(WEEKDAY(A6686,2),"Mon","Tue","Wed","Thu","Fri","Sat","Sun")</f>
        <v>Mon</v>
      </c>
      <c r="H6686" t="str">
        <f>IF(WEEKDAY(A6686,2)&gt;5,"Weekend","Weekday")</f>
        <v>Weekday</v>
      </c>
      <c r="I6686" t="str">
        <f>_xlfn.IFS(B6686&lt;=5,"Night (0-5)",B6686&lt;=9,"Morning peak (6-9)",B6686&lt;=15,"Midday (10-15)",B6686&lt;=19,"Evening peak (16-19)",TRUE,"Late evening (20-23)")</f>
        <v>Late evening (20-23)</v>
      </c>
    </row>
    <row r="6687" spans="1:9">
      <c r="A6687" s="32">
        <v>42101</v>
      </c>
      <c r="B6687">
        <v>0</v>
      </c>
      <c r="C6687">
        <v>1584</v>
      </c>
      <c r="D6687" t="s">
        <v>304</v>
      </c>
      <c r="E6687">
        <f>YEAR(A6687)</f>
        <v>2015</v>
      </c>
      <c r="F6687" s="33">
        <f>DATE(YEAR(A6687),MONTH(A6687),1)</f>
        <v>42095.0</v>
      </c>
      <c r="G6687" t="str">
        <f>CHOOSE(WEEKDAY(A6687,2),"Mon","Tue","Wed","Thu","Fri","Sat","Sun")</f>
        <v>Tue</v>
      </c>
      <c r="H6687" t="str">
        <f>IF(WEEKDAY(A6687,2)&gt;5,"Weekend","Weekday")</f>
        <v>Weekday</v>
      </c>
      <c r="I6687" t="str">
        <f>_xlfn.IFS(B6687&lt;=5,"Night (0-5)",B6687&lt;=9,"Morning peak (6-9)",B6687&lt;=15,"Midday (10-15)",B6687&lt;=19,"Evening peak (16-19)",TRUE,"Late evening (20-23)")</f>
        <v>Night (0-5)</v>
      </c>
    </row>
    <row r="6688" spans="1:9">
      <c r="A6688" s="32">
        <v>42101</v>
      </c>
      <c r="B6688">
        <v>1</v>
      </c>
      <c r="C6688">
        <v>832</v>
      </c>
      <c r="D6688" t="s">
        <v>304</v>
      </c>
      <c r="E6688">
        <f>YEAR(A6688)</f>
        <v>2015</v>
      </c>
      <c r="F6688" s="33">
        <f>DATE(YEAR(A6688),MONTH(A6688),1)</f>
        <v>42095.0</v>
      </c>
      <c r="G6688" t="str">
        <f>CHOOSE(WEEKDAY(A6688,2),"Mon","Tue","Wed","Thu","Fri","Sat","Sun")</f>
        <v>Tue</v>
      </c>
      <c r="H6688" t="str">
        <f>IF(WEEKDAY(A6688,2)&gt;5,"Weekend","Weekday")</f>
        <v>Weekday</v>
      </c>
      <c r="I6688" t="str">
        <f>_xlfn.IFS(B6688&lt;=5,"Night (0-5)",B6688&lt;=9,"Morning peak (6-9)",B6688&lt;=15,"Midday (10-15)",B6688&lt;=19,"Evening peak (16-19)",TRUE,"Late evening (20-23)")</f>
        <v>Night (0-5)</v>
      </c>
    </row>
    <row r="6689" spans="1:9">
      <c r="A6689" s="32">
        <v>42101</v>
      </c>
      <c r="B6689">
        <v>2</v>
      </c>
      <c r="C6689">
        <v>442</v>
      </c>
      <c r="D6689" t="s">
        <v>304</v>
      </c>
      <c r="E6689">
        <f>YEAR(A6689)</f>
        <v>2015</v>
      </c>
      <c r="F6689" s="33">
        <f>DATE(YEAR(A6689),MONTH(A6689),1)</f>
        <v>42095.0</v>
      </c>
      <c r="G6689" t="str">
        <f>CHOOSE(WEEKDAY(A6689,2),"Mon","Tue","Wed","Thu","Fri","Sat","Sun")</f>
        <v>Tue</v>
      </c>
      <c r="H6689" t="str">
        <f>IF(WEEKDAY(A6689,2)&gt;5,"Weekend","Weekday")</f>
        <v>Weekday</v>
      </c>
      <c r="I6689" t="str">
        <f>_xlfn.IFS(B6689&lt;=5,"Night (0-5)",B6689&lt;=9,"Morning peak (6-9)",B6689&lt;=15,"Midday (10-15)",B6689&lt;=19,"Evening peak (16-19)",TRUE,"Late evening (20-23)")</f>
        <v>Night (0-5)</v>
      </c>
    </row>
    <row r="6690" spans="1:9">
      <c r="A6690" s="32">
        <v>42101</v>
      </c>
      <c r="B6690">
        <v>3</v>
      </c>
      <c r="C6690">
        <v>345</v>
      </c>
      <c r="D6690" t="s">
        <v>304</v>
      </c>
      <c r="E6690">
        <f>YEAR(A6690)</f>
        <v>2015</v>
      </c>
      <c r="F6690" s="33">
        <f>DATE(YEAR(A6690),MONTH(A6690),1)</f>
        <v>42095.0</v>
      </c>
      <c r="G6690" t="str">
        <f>CHOOSE(WEEKDAY(A6690,2),"Mon","Tue","Wed","Thu","Fri","Sat","Sun")</f>
        <v>Tue</v>
      </c>
      <c r="H6690" t="str">
        <f>IF(WEEKDAY(A6690,2)&gt;5,"Weekend","Weekday")</f>
        <v>Weekday</v>
      </c>
      <c r="I6690" t="str">
        <f>_xlfn.IFS(B6690&lt;=5,"Night (0-5)",B6690&lt;=9,"Morning peak (6-9)",B6690&lt;=15,"Midday (10-15)",B6690&lt;=19,"Evening peak (16-19)",TRUE,"Late evening (20-23)")</f>
        <v>Night (0-5)</v>
      </c>
    </row>
    <row r="6691" spans="1:9">
      <c r="A6691" s="32">
        <v>42101</v>
      </c>
      <c r="B6691">
        <v>4</v>
      </c>
      <c r="C6691">
        <v>534</v>
      </c>
      <c r="D6691" t="s">
        <v>304</v>
      </c>
      <c r="E6691">
        <f>YEAR(A6691)</f>
        <v>2015</v>
      </c>
      <c r="F6691" s="33">
        <f>DATE(YEAR(A6691),MONTH(A6691),1)</f>
        <v>42095.0</v>
      </c>
      <c r="G6691" t="str">
        <f>CHOOSE(WEEKDAY(A6691,2),"Mon","Tue","Wed","Thu","Fri","Sat","Sun")</f>
        <v>Tue</v>
      </c>
      <c r="H6691" t="str">
        <f>IF(WEEKDAY(A6691,2)&gt;5,"Weekend","Weekday")</f>
        <v>Weekday</v>
      </c>
      <c r="I6691" t="str">
        <f>_xlfn.IFS(B6691&lt;=5,"Night (0-5)",B6691&lt;=9,"Morning peak (6-9)",B6691&lt;=15,"Midday (10-15)",B6691&lt;=19,"Evening peak (16-19)",TRUE,"Late evening (20-23)")</f>
        <v>Night (0-5)</v>
      </c>
    </row>
    <row r="6692" spans="1:9">
      <c r="A6692" s="32">
        <v>42101</v>
      </c>
      <c r="B6692">
        <v>5</v>
      </c>
      <c r="C6692">
        <v>861</v>
      </c>
      <c r="D6692" t="s">
        <v>304</v>
      </c>
      <c r="E6692">
        <f>YEAR(A6692)</f>
        <v>2015</v>
      </c>
      <c r="F6692" s="33">
        <f>DATE(YEAR(A6692),MONTH(A6692),1)</f>
        <v>42095.0</v>
      </c>
      <c r="G6692" t="str">
        <f>CHOOSE(WEEKDAY(A6692,2),"Mon","Tue","Wed","Thu","Fri","Sat","Sun")</f>
        <v>Tue</v>
      </c>
      <c r="H6692" t="str">
        <f>IF(WEEKDAY(A6692,2)&gt;5,"Weekend","Weekday")</f>
        <v>Weekday</v>
      </c>
      <c r="I6692" t="str">
        <f>_xlfn.IFS(B6692&lt;=5,"Night (0-5)",B6692&lt;=9,"Morning peak (6-9)",B6692&lt;=15,"Midday (10-15)",B6692&lt;=19,"Evening peak (16-19)",TRUE,"Late evening (20-23)")</f>
        <v>Night (0-5)</v>
      </c>
    </row>
    <row r="6693" spans="1:9">
      <c r="A6693" s="32">
        <v>42101</v>
      </c>
      <c r="B6693">
        <v>6</v>
      </c>
      <c r="C6693">
        <v>1552</v>
      </c>
      <c r="D6693" t="s">
        <v>304</v>
      </c>
      <c r="E6693">
        <f>YEAR(A6693)</f>
        <v>2015</v>
      </c>
      <c r="F6693" s="33">
        <f>DATE(YEAR(A6693),MONTH(A6693),1)</f>
        <v>42095.0</v>
      </c>
      <c r="G6693" t="str">
        <f>CHOOSE(WEEKDAY(A6693,2),"Mon","Tue","Wed","Thu","Fri","Sat","Sun")</f>
        <v>Tue</v>
      </c>
      <c r="H6693" t="str">
        <f>IF(WEEKDAY(A6693,2)&gt;5,"Weekend","Weekday")</f>
        <v>Weekday</v>
      </c>
      <c r="I6693" t="str">
        <f>_xlfn.IFS(B6693&lt;=5,"Night (0-5)",B6693&lt;=9,"Morning peak (6-9)",B6693&lt;=15,"Midday (10-15)",B6693&lt;=19,"Evening peak (16-19)",TRUE,"Late evening (20-23)")</f>
        <v>Morning peak (6-9)</v>
      </c>
    </row>
    <row r="6694" spans="1:9">
      <c r="A6694" s="32">
        <v>42101</v>
      </c>
      <c r="B6694">
        <v>7</v>
      </c>
      <c r="C6694">
        <v>2678</v>
      </c>
      <c r="D6694" t="s">
        <v>304</v>
      </c>
      <c r="E6694">
        <f>YEAR(A6694)</f>
        <v>2015</v>
      </c>
      <c r="F6694" s="33">
        <f>DATE(YEAR(A6694),MONTH(A6694),1)</f>
        <v>42095.0</v>
      </c>
      <c r="G6694" t="str">
        <f>CHOOSE(WEEKDAY(A6694,2),"Mon","Tue","Wed","Thu","Fri","Sat","Sun")</f>
        <v>Tue</v>
      </c>
      <c r="H6694" t="str">
        <f>IF(WEEKDAY(A6694,2)&gt;5,"Weekend","Weekday")</f>
        <v>Weekday</v>
      </c>
      <c r="I6694" t="str">
        <f>_xlfn.IFS(B6694&lt;=5,"Night (0-5)",B6694&lt;=9,"Morning peak (6-9)",B6694&lt;=15,"Midday (10-15)",B6694&lt;=19,"Evening peak (16-19)",TRUE,"Late evening (20-23)")</f>
        <v>Morning peak (6-9)</v>
      </c>
    </row>
    <row r="6695" spans="1:9">
      <c r="A6695" s="32">
        <v>42101</v>
      </c>
      <c r="B6695">
        <v>8</v>
      </c>
      <c r="C6695">
        <v>3699</v>
      </c>
      <c r="D6695" t="s">
        <v>304</v>
      </c>
      <c r="E6695">
        <f>YEAR(A6695)</f>
        <v>2015</v>
      </c>
      <c r="F6695" s="33">
        <f>DATE(YEAR(A6695),MONTH(A6695),1)</f>
        <v>42095.0</v>
      </c>
      <c r="G6695" t="str">
        <f>CHOOSE(WEEKDAY(A6695,2),"Mon","Tue","Wed","Thu","Fri","Sat","Sun")</f>
        <v>Tue</v>
      </c>
      <c r="H6695" t="str">
        <f>IF(WEEKDAY(A6695,2)&gt;5,"Weekend","Weekday")</f>
        <v>Weekday</v>
      </c>
      <c r="I6695" t="str">
        <f>_xlfn.IFS(B6695&lt;=5,"Night (0-5)",B6695&lt;=9,"Morning peak (6-9)",B6695&lt;=15,"Midday (10-15)",B6695&lt;=19,"Evening peak (16-19)",TRUE,"Late evening (20-23)")</f>
        <v>Morning peak (6-9)</v>
      </c>
    </row>
    <row r="6696" spans="1:9">
      <c r="A6696" s="32">
        <v>42101</v>
      </c>
      <c r="B6696">
        <v>9</v>
      </c>
      <c r="C6696">
        <v>3339</v>
      </c>
      <c r="D6696" t="s">
        <v>304</v>
      </c>
      <c r="E6696">
        <f>YEAR(A6696)</f>
        <v>2015</v>
      </c>
      <c r="F6696" s="33">
        <f>DATE(YEAR(A6696),MONTH(A6696),1)</f>
        <v>42095.0</v>
      </c>
      <c r="G6696" t="str">
        <f>CHOOSE(WEEKDAY(A6696,2),"Mon","Tue","Wed","Thu","Fri","Sat","Sun")</f>
        <v>Tue</v>
      </c>
      <c r="H6696" t="str">
        <f>IF(WEEKDAY(A6696,2)&gt;5,"Weekend","Weekday")</f>
        <v>Weekday</v>
      </c>
      <c r="I6696" t="str">
        <f>_xlfn.IFS(B6696&lt;=5,"Night (0-5)",B6696&lt;=9,"Morning peak (6-9)",B6696&lt;=15,"Midday (10-15)",B6696&lt;=19,"Evening peak (16-19)",TRUE,"Late evening (20-23)")</f>
        <v>Morning peak (6-9)</v>
      </c>
    </row>
    <row r="6697" spans="1:9">
      <c r="A6697" s="32">
        <v>42101</v>
      </c>
      <c r="B6697">
        <v>10</v>
      </c>
      <c r="C6697">
        <v>2454</v>
      </c>
      <c r="D6697" t="s">
        <v>304</v>
      </c>
      <c r="E6697">
        <f>YEAR(A6697)</f>
        <v>2015</v>
      </c>
      <c r="F6697" s="33">
        <f>DATE(YEAR(A6697),MONTH(A6697),1)</f>
        <v>42095.0</v>
      </c>
      <c r="G6697" t="str">
        <f>CHOOSE(WEEKDAY(A6697,2),"Mon","Tue","Wed","Thu","Fri","Sat","Sun")</f>
        <v>Tue</v>
      </c>
      <c r="H6697" t="str">
        <f>IF(WEEKDAY(A6697,2)&gt;5,"Weekend","Weekday")</f>
        <v>Weekday</v>
      </c>
      <c r="I6697" t="str">
        <f>_xlfn.IFS(B6697&lt;=5,"Night (0-5)",B6697&lt;=9,"Morning peak (6-9)",B6697&lt;=15,"Midday (10-15)",B6697&lt;=19,"Evening peak (16-19)",TRUE,"Late evening (20-23)")</f>
        <v>Midday (10-15)</v>
      </c>
    </row>
    <row r="6698" spans="1:9">
      <c r="A6698" s="32">
        <v>42101</v>
      </c>
      <c r="B6698">
        <v>11</v>
      </c>
      <c r="C6698">
        <v>2221</v>
      </c>
      <c r="D6698" t="s">
        <v>304</v>
      </c>
      <c r="E6698">
        <f>YEAR(A6698)</f>
        <v>2015</v>
      </c>
      <c r="F6698" s="33">
        <f>DATE(YEAR(A6698),MONTH(A6698),1)</f>
        <v>42095.0</v>
      </c>
      <c r="G6698" t="str">
        <f>CHOOSE(WEEKDAY(A6698,2),"Mon","Tue","Wed","Thu","Fri","Sat","Sun")</f>
        <v>Tue</v>
      </c>
      <c r="H6698" t="str">
        <f>IF(WEEKDAY(A6698,2)&gt;5,"Weekend","Weekday")</f>
        <v>Weekday</v>
      </c>
      <c r="I6698" t="str">
        <f>_xlfn.IFS(B6698&lt;=5,"Night (0-5)",B6698&lt;=9,"Morning peak (6-9)",B6698&lt;=15,"Midday (10-15)",B6698&lt;=19,"Evening peak (16-19)",TRUE,"Late evening (20-23)")</f>
        <v>Midday (10-15)</v>
      </c>
    </row>
    <row r="6699" spans="1:9">
      <c r="A6699" s="32">
        <v>42101</v>
      </c>
      <c r="B6699">
        <v>12</v>
      </c>
      <c r="C6699">
        <v>2272</v>
      </c>
      <c r="D6699" t="s">
        <v>304</v>
      </c>
      <c r="E6699">
        <f>YEAR(A6699)</f>
        <v>2015</v>
      </c>
      <c r="F6699" s="33">
        <f>DATE(YEAR(A6699),MONTH(A6699),1)</f>
        <v>42095.0</v>
      </c>
      <c r="G6699" t="str">
        <f>CHOOSE(WEEKDAY(A6699,2),"Mon","Tue","Wed","Thu","Fri","Sat","Sun")</f>
        <v>Tue</v>
      </c>
      <c r="H6699" t="str">
        <f>IF(WEEKDAY(A6699,2)&gt;5,"Weekend","Weekday")</f>
        <v>Weekday</v>
      </c>
      <c r="I6699" t="str">
        <f>_xlfn.IFS(B6699&lt;=5,"Night (0-5)",B6699&lt;=9,"Morning peak (6-9)",B6699&lt;=15,"Midday (10-15)",B6699&lt;=19,"Evening peak (16-19)",TRUE,"Late evening (20-23)")</f>
        <v>Midday (10-15)</v>
      </c>
    </row>
    <row r="6700" spans="1:9">
      <c r="A6700" s="32">
        <v>42101</v>
      </c>
      <c r="B6700">
        <v>13</v>
      </c>
      <c r="C6700">
        <v>2230</v>
      </c>
      <c r="D6700" t="s">
        <v>304</v>
      </c>
      <c r="E6700">
        <f>YEAR(A6700)</f>
        <v>2015</v>
      </c>
      <c r="F6700" s="33">
        <f>DATE(YEAR(A6700),MONTH(A6700),1)</f>
        <v>42095.0</v>
      </c>
      <c r="G6700" t="str">
        <f>CHOOSE(WEEKDAY(A6700,2),"Mon","Tue","Wed","Thu","Fri","Sat","Sun")</f>
        <v>Tue</v>
      </c>
      <c r="H6700" t="str">
        <f>IF(WEEKDAY(A6700,2)&gt;5,"Weekend","Weekday")</f>
        <v>Weekday</v>
      </c>
      <c r="I6700" t="str">
        <f>_xlfn.IFS(B6700&lt;=5,"Night (0-5)",B6700&lt;=9,"Morning peak (6-9)",B6700&lt;=15,"Midday (10-15)",B6700&lt;=19,"Evening peak (16-19)",TRUE,"Late evening (20-23)")</f>
        <v>Midday (10-15)</v>
      </c>
    </row>
    <row r="6701" spans="1:9">
      <c r="A6701" s="32">
        <v>42101</v>
      </c>
      <c r="B6701">
        <v>14</v>
      </c>
      <c r="C6701">
        <v>2496</v>
      </c>
      <c r="D6701" t="s">
        <v>304</v>
      </c>
      <c r="E6701">
        <f>YEAR(A6701)</f>
        <v>2015</v>
      </c>
      <c r="F6701" s="33">
        <f>DATE(YEAR(A6701),MONTH(A6701),1)</f>
        <v>42095.0</v>
      </c>
      <c r="G6701" t="str">
        <f>CHOOSE(WEEKDAY(A6701,2),"Mon","Tue","Wed","Thu","Fri","Sat","Sun")</f>
        <v>Tue</v>
      </c>
      <c r="H6701" t="str">
        <f>IF(WEEKDAY(A6701,2)&gt;5,"Weekend","Weekday")</f>
        <v>Weekday</v>
      </c>
      <c r="I6701" t="str">
        <f>_xlfn.IFS(B6701&lt;=5,"Night (0-5)",B6701&lt;=9,"Morning peak (6-9)",B6701&lt;=15,"Midday (10-15)",B6701&lt;=19,"Evening peak (16-19)",TRUE,"Late evening (20-23)")</f>
        <v>Midday (10-15)</v>
      </c>
    </row>
    <row r="6702" spans="1:9">
      <c r="A6702" s="32">
        <v>42101</v>
      </c>
      <c r="B6702">
        <v>15</v>
      </c>
      <c r="C6702">
        <v>2850</v>
      </c>
      <c r="D6702" t="s">
        <v>304</v>
      </c>
      <c r="E6702">
        <f>YEAR(A6702)</f>
        <v>2015</v>
      </c>
      <c r="F6702" s="33">
        <f>DATE(YEAR(A6702),MONTH(A6702),1)</f>
        <v>42095.0</v>
      </c>
      <c r="G6702" t="str">
        <f>CHOOSE(WEEKDAY(A6702,2),"Mon","Tue","Wed","Thu","Fri","Sat","Sun")</f>
        <v>Tue</v>
      </c>
      <c r="H6702" t="str">
        <f>IF(WEEKDAY(A6702,2)&gt;5,"Weekend","Weekday")</f>
        <v>Weekday</v>
      </c>
      <c r="I6702" t="str">
        <f>_xlfn.IFS(B6702&lt;=5,"Night (0-5)",B6702&lt;=9,"Morning peak (6-9)",B6702&lt;=15,"Midday (10-15)",B6702&lt;=19,"Evening peak (16-19)",TRUE,"Late evening (20-23)")</f>
        <v>Midday (10-15)</v>
      </c>
    </row>
    <row r="6703" spans="1:9">
      <c r="A6703" s="32">
        <v>42101</v>
      </c>
      <c r="B6703">
        <v>16</v>
      </c>
      <c r="C6703">
        <v>3264</v>
      </c>
      <c r="D6703" t="s">
        <v>304</v>
      </c>
      <c r="E6703">
        <f>YEAR(A6703)</f>
        <v>2015</v>
      </c>
      <c r="F6703" s="33">
        <f>DATE(YEAR(A6703),MONTH(A6703),1)</f>
        <v>42095.0</v>
      </c>
      <c r="G6703" t="str">
        <f>CHOOSE(WEEKDAY(A6703,2),"Mon","Tue","Wed","Thu","Fri","Sat","Sun")</f>
        <v>Tue</v>
      </c>
      <c r="H6703" t="str">
        <f>IF(WEEKDAY(A6703,2)&gt;5,"Weekend","Weekday")</f>
        <v>Weekday</v>
      </c>
      <c r="I6703" t="str">
        <f>_xlfn.IFS(B6703&lt;=5,"Night (0-5)",B6703&lt;=9,"Morning peak (6-9)",B6703&lt;=15,"Midday (10-15)",B6703&lt;=19,"Evening peak (16-19)",TRUE,"Late evening (20-23)")</f>
        <v>Evening peak (16-19)</v>
      </c>
    </row>
    <row r="6704" spans="1:9">
      <c r="A6704" s="32">
        <v>42101</v>
      </c>
      <c r="B6704">
        <v>17</v>
      </c>
      <c r="C6704">
        <v>4116</v>
      </c>
      <c r="D6704" t="s">
        <v>304</v>
      </c>
      <c r="E6704">
        <f>YEAR(A6704)</f>
        <v>2015</v>
      </c>
      <c r="F6704" s="33">
        <f>DATE(YEAR(A6704),MONTH(A6704),1)</f>
        <v>42095.0</v>
      </c>
      <c r="G6704" t="str">
        <f>CHOOSE(WEEKDAY(A6704,2),"Mon","Tue","Wed","Thu","Fri","Sat","Sun")</f>
        <v>Tue</v>
      </c>
      <c r="H6704" t="str">
        <f>IF(WEEKDAY(A6704,2)&gt;5,"Weekend","Weekday")</f>
        <v>Weekday</v>
      </c>
      <c r="I6704" t="str">
        <f>_xlfn.IFS(B6704&lt;=5,"Night (0-5)",B6704&lt;=9,"Morning peak (6-9)",B6704&lt;=15,"Midday (10-15)",B6704&lt;=19,"Evening peak (16-19)",TRUE,"Late evening (20-23)")</f>
        <v>Evening peak (16-19)</v>
      </c>
    </row>
    <row r="6705" spans="1:9">
      <c r="A6705" s="32">
        <v>42101</v>
      </c>
      <c r="B6705">
        <v>18</v>
      </c>
      <c r="C6705">
        <v>5302</v>
      </c>
      <c r="D6705" t="s">
        <v>304</v>
      </c>
      <c r="E6705">
        <f>YEAR(A6705)</f>
        <v>2015</v>
      </c>
      <c r="F6705" s="33">
        <f>DATE(YEAR(A6705),MONTH(A6705),1)</f>
        <v>42095.0</v>
      </c>
      <c r="G6705" t="str">
        <f>CHOOSE(WEEKDAY(A6705,2),"Mon","Tue","Wed","Thu","Fri","Sat","Sun")</f>
        <v>Tue</v>
      </c>
      <c r="H6705" t="str">
        <f>IF(WEEKDAY(A6705,2)&gt;5,"Weekend","Weekday")</f>
        <v>Weekday</v>
      </c>
      <c r="I6705" t="str">
        <f>_xlfn.IFS(B6705&lt;=5,"Night (0-5)",B6705&lt;=9,"Morning peak (6-9)",B6705&lt;=15,"Midday (10-15)",B6705&lt;=19,"Evening peak (16-19)",TRUE,"Late evening (20-23)")</f>
        <v>Evening peak (16-19)</v>
      </c>
    </row>
    <row r="6706" spans="1:9">
      <c r="A6706" s="32">
        <v>42101</v>
      </c>
      <c r="B6706">
        <v>19</v>
      </c>
      <c r="C6706">
        <v>6713</v>
      </c>
      <c r="D6706" t="s">
        <v>304</v>
      </c>
      <c r="E6706">
        <f>YEAR(A6706)</f>
        <v>2015</v>
      </c>
      <c r="F6706" s="33">
        <f>DATE(YEAR(A6706),MONTH(A6706),1)</f>
        <v>42095.0</v>
      </c>
      <c r="G6706" t="str">
        <f>CHOOSE(WEEKDAY(A6706,2),"Mon","Tue","Wed","Thu","Fri","Sat","Sun")</f>
        <v>Tue</v>
      </c>
      <c r="H6706" t="str">
        <f>IF(WEEKDAY(A6706,2)&gt;5,"Weekend","Weekday")</f>
        <v>Weekday</v>
      </c>
      <c r="I6706" t="str">
        <f>_xlfn.IFS(B6706&lt;=5,"Night (0-5)",B6706&lt;=9,"Morning peak (6-9)",B6706&lt;=15,"Midday (10-15)",B6706&lt;=19,"Evening peak (16-19)",TRUE,"Late evening (20-23)")</f>
        <v>Evening peak (16-19)</v>
      </c>
    </row>
    <row r="6707" spans="1:9">
      <c r="A6707" s="32">
        <v>42101</v>
      </c>
      <c r="B6707">
        <v>20</v>
      </c>
      <c r="C6707">
        <v>5710</v>
      </c>
      <c r="D6707" t="s">
        <v>304</v>
      </c>
      <c r="E6707">
        <f>YEAR(A6707)</f>
        <v>2015</v>
      </c>
      <c r="F6707" s="33">
        <f>DATE(YEAR(A6707),MONTH(A6707),1)</f>
        <v>42095.0</v>
      </c>
      <c r="G6707" t="str">
        <f>CHOOSE(WEEKDAY(A6707,2),"Mon","Tue","Wed","Thu","Fri","Sat","Sun")</f>
        <v>Tue</v>
      </c>
      <c r="H6707" t="str">
        <f>IF(WEEKDAY(A6707,2)&gt;5,"Weekend","Weekday")</f>
        <v>Weekday</v>
      </c>
      <c r="I6707" t="str">
        <f>_xlfn.IFS(B6707&lt;=5,"Night (0-5)",B6707&lt;=9,"Morning peak (6-9)",B6707&lt;=15,"Midday (10-15)",B6707&lt;=19,"Evening peak (16-19)",TRUE,"Late evening (20-23)")</f>
        <v>Late evening (20-23)</v>
      </c>
    </row>
    <row r="6708" spans="1:9">
      <c r="A6708" s="32">
        <v>42101</v>
      </c>
      <c r="B6708">
        <v>21</v>
      </c>
      <c r="C6708">
        <v>4856</v>
      </c>
      <c r="D6708" t="s">
        <v>304</v>
      </c>
      <c r="E6708">
        <f>YEAR(A6708)</f>
        <v>2015</v>
      </c>
      <c r="F6708" s="33">
        <f>DATE(YEAR(A6708),MONTH(A6708),1)</f>
        <v>42095.0</v>
      </c>
      <c r="G6708" t="str">
        <f>CHOOSE(WEEKDAY(A6708,2),"Mon","Tue","Wed","Thu","Fri","Sat","Sun")</f>
        <v>Tue</v>
      </c>
      <c r="H6708" t="str">
        <f>IF(WEEKDAY(A6708,2)&gt;5,"Weekend","Weekday")</f>
        <v>Weekday</v>
      </c>
      <c r="I6708" t="str">
        <f>_xlfn.IFS(B6708&lt;=5,"Night (0-5)",B6708&lt;=9,"Morning peak (6-9)",B6708&lt;=15,"Midday (10-15)",B6708&lt;=19,"Evening peak (16-19)",TRUE,"Late evening (20-23)")</f>
        <v>Late evening (20-23)</v>
      </c>
    </row>
    <row r="6709" spans="1:9">
      <c r="A6709" s="32">
        <v>42101</v>
      </c>
      <c r="B6709">
        <v>22</v>
      </c>
      <c r="C6709">
        <v>4412</v>
      </c>
      <c r="D6709" t="s">
        <v>304</v>
      </c>
      <c r="E6709">
        <f>YEAR(A6709)</f>
        <v>2015</v>
      </c>
      <c r="F6709" s="33">
        <f>DATE(YEAR(A6709),MONTH(A6709),1)</f>
        <v>42095.0</v>
      </c>
      <c r="G6709" t="str">
        <f>CHOOSE(WEEKDAY(A6709,2),"Mon","Tue","Wed","Thu","Fri","Sat","Sun")</f>
        <v>Tue</v>
      </c>
      <c r="H6709" t="str">
        <f>IF(WEEKDAY(A6709,2)&gt;5,"Weekend","Weekday")</f>
        <v>Weekday</v>
      </c>
      <c r="I6709" t="str">
        <f>_xlfn.IFS(B6709&lt;=5,"Night (0-5)",B6709&lt;=9,"Morning peak (6-9)",B6709&lt;=15,"Midday (10-15)",B6709&lt;=19,"Evening peak (16-19)",TRUE,"Late evening (20-23)")</f>
        <v>Late evening (20-23)</v>
      </c>
    </row>
    <row r="6710" spans="1:9">
      <c r="A6710" s="32">
        <v>42101</v>
      </c>
      <c r="B6710">
        <v>23</v>
      </c>
      <c r="C6710">
        <v>3317</v>
      </c>
      <c r="D6710" t="s">
        <v>304</v>
      </c>
      <c r="E6710">
        <f>YEAR(A6710)</f>
        <v>2015</v>
      </c>
      <c r="F6710" s="33">
        <f>DATE(YEAR(A6710),MONTH(A6710),1)</f>
        <v>42095.0</v>
      </c>
      <c r="G6710" t="str">
        <f>CHOOSE(WEEKDAY(A6710,2),"Mon","Tue","Wed","Thu","Fri","Sat","Sun")</f>
        <v>Tue</v>
      </c>
      <c r="H6710" t="str">
        <f>IF(WEEKDAY(A6710,2)&gt;5,"Weekend","Weekday")</f>
        <v>Weekday</v>
      </c>
      <c r="I6710" t="str">
        <f>_xlfn.IFS(B6710&lt;=5,"Night (0-5)",B6710&lt;=9,"Morning peak (6-9)",B6710&lt;=15,"Midday (10-15)",B6710&lt;=19,"Evening peak (16-19)",TRUE,"Late evening (20-23)")</f>
        <v>Late evening (20-23)</v>
      </c>
    </row>
    <row r="6711" spans="1:9">
      <c r="A6711" s="32">
        <v>42102</v>
      </c>
      <c r="B6711">
        <v>0</v>
      </c>
      <c r="C6711">
        <v>2036</v>
      </c>
      <c r="D6711" t="s">
        <v>304</v>
      </c>
      <c r="E6711">
        <f>YEAR(A6711)</f>
        <v>2015</v>
      </c>
      <c r="F6711" s="33">
        <f>DATE(YEAR(A6711),MONTH(A6711),1)</f>
        <v>42095.0</v>
      </c>
      <c r="G6711" t="str">
        <f>CHOOSE(WEEKDAY(A6711,2),"Mon","Tue","Wed","Thu","Fri","Sat","Sun")</f>
        <v>Wed</v>
      </c>
      <c r="H6711" t="str">
        <f>IF(WEEKDAY(A6711,2)&gt;5,"Weekend","Weekday")</f>
        <v>Weekday</v>
      </c>
      <c r="I6711" t="str">
        <f>_xlfn.IFS(B6711&lt;=5,"Night (0-5)",B6711&lt;=9,"Morning peak (6-9)",B6711&lt;=15,"Midday (10-15)",B6711&lt;=19,"Evening peak (16-19)",TRUE,"Late evening (20-23)")</f>
        <v>Night (0-5)</v>
      </c>
    </row>
    <row r="6712" spans="1:9">
      <c r="A6712" s="32">
        <v>42102</v>
      </c>
      <c r="B6712">
        <v>1</v>
      </c>
      <c r="C6712">
        <v>967</v>
      </c>
      <c r="D6712" t="s">
        <v>304</v>
      </c>
      <c r="E6712">
        <f>YEAR(A6712)</f>
        <v>2015</v>
      </c>
      <c r="F6712" s="33">
        <f>DATE(YEAR(A6712),MONTH(A6712),1)</f>
        <v>42095.0</v>
      </c>
      <c r="G6712" t="str">
        <f>CHOOSE(WEEKDAY(A6712,2),"Mon","Tue","Wed","Thu","Fri","Sat","Sun")</f>
        <v>Wed</v>
      </c>
      <c r="H6712" t="str">
        <f>IF(WEEKDAY(A6712,2)&gt;5,"Weekend","Weekday")</f>
        <v>Weekday</v>
      </c>
      <c r="I6712" t="str">
        <f>_xlfn.IFS(B6712&lt;=5,"Night (0-5)",B6712&lt;=9,"Morning peak (6-9)",B6712&lt;=15,"Midday (10-15)",B6712&lt;=19,"Evening peak (16-19)",TRUE,"Late evening (20-23)")</f>
        <v>Night (0-5)</v>
      </c>
    </row>
    <row r="6713" spans="1:9">
      <c r="A6713" s="32">
        <v>42102</v>
      </c>
      <c r="B6713">
        <v>2</v>
      </c>
      <c r="C6713">
        <v>613</v>
      </c>
      <c r="D6713" t="s">
        <v>304</v>
      </c>
      <c r="E6713">
        <f>YEAR(A6713)</f>
        <v>2015</v>
      </c>
      <c r="F6713" s="33">
        <f>DATE(YEAR(A6713),MONTH(A6713),1)</f>
        <v>42095.0</v>
      </c>
      <c r="G6713" t="str">
        <f>CHOOSE(WEEKDAY(A6713,2),"Mon","Tue","Wed","Thu","Fri","Sat","Sun")</f>
        <v>Wed</v>
      </c>
      <c r="H6713" t="str">
        <f>IF(WEEKDAY(A6713,2)&gt;5,"Weekend","Weekday")</f>
        <v>Weekday</v>
      </c>
      <c r="I6713" t="str">
        <f>_xlfn.IFS(B6713&lt;=5,"Night (0-5)",B6713&lt;=9,"Morning peak (6-9)",B6713&lt;=15,"Midday (10-15)",B6713&lt;=19,"Evening peak (16-19)",TRUE,"Late evening (20-23)")</f>
        <v>Night (0-5)</v>
      </c>
    </row>
    <row r="6714" spans="1:9">
      <c r="A6714" s="32">
        <v>42102</v>
      </c>
      <c r="B6714">
        <v>3</v>
      </c>
      <c r="C6714">
        <v>437</v>
      </c>
      <c r="D6714" t="s">
        <v>304</v>
      </c>
      <c r="E6714">
        <f>YEAR(A6714)</f>
        <v>2015</v>
      </c>
      <c r="F6714" s="33">
        <f>DATE(YEAR(A6714),MONTH(A6714),1)</f>
        <v>42095.0</v>
      </c>
      <c r="G6714" t="str">
        <f>CHOOSE(WEEKDAY(A6714,2),"Mon","Tue","Wed","Thu","Fri","Sat","Sun")</f>
        <v>Wed</v>
      </c>
      <c r="H6714" t="str">
        <f>IF(WEEKDAY(A6714,2)&gt;5,"Weekend","Weekday")</f>
        <v>Weekday</v>
      </c>
      <c r="I6714" t="str">
        <f>_xlfn.IFS(B6714&lt;=5,"Night (0-5)",B6714&lt;=9,"Morning peak (6-9)",B6714&lt;=15,"Midday (10-15)",B6714&lt;=19,"Evening peak (16-19)",TRUE,"Late evening (20-23)")</f>
        <v>Night (0-5)</v>
      </c>
    </row>
    <row r="6715" spans="1:9">
      <c r="A6715" s="32">
        <v>42102</v>
      </c>
      <c r="B6715">
        <v>4</v>
      </c>
      <c r="C6715">
        <v>602</v>
      </c>
      <c r="D6715" t="s">
        <v>304</v>
      </c>
      <c r="E6715">
        <f>YEAR(A6715)</f>
        <v>2015</v>
      </c>
      <c r="F6715" s="33">
        <f>DATE(YEAR(A6715),MONTH(A6715),1)</f>
        <v>42095.0</v>
      </c>
      <c r="G6715" t="str">
        <f>CHOOSE(WEEKDAY(A6715,2),"Mon","Tue","Wed","Thu","Fri","Sat","Sun")</f>
        <v>Wed</v>
      </c>
      <c r="H6715" t="str">
        <f>IF(WEEKDAY(A6715,2)&gt;5,"Weekend","Weekday")</f>
        <v>Weekday</v>
      </c>
      <c r="I6715" t="str">
        <f>_xlfn.IFS(B6715&lt;=5,"Night (0-5)",B6715&lt;=9,"Morning peak (6-9)",B6715&lt;=15,"Midday (10-15)",B6715&lt;=19,"Evening peak (16-19)",TRUE,"Late evening (20-23)")</f>
        <v>Night (0-5)</v>
      </c>
    </row>
    <row r="6716" spans="1:9">
      <c r="A6716" s="32">
        <v>42102</v>
      </c>
      <c r="B6716">
        <v>5</v>
      </c>
      <c r="C6716">
        <v>937</v>
      </c>
      <c r="D6716" t="s">
        <v>304</v>
      </c>
      <c r="E6716">
        <f>YEAR(A6716)</f>
        <v>2015</v>
      </c>
      <c r="F6716" s="33">
        <f>DATE(YEAR(A6716),MONTH(A6716),1)</f>
        <v>42095.0</v>
      </c>
      <c r="G6716" t="str">
        <f>CHOOSE(WEEKDAY(A6716,2),"Mon","Tue","Wed","Thu","Fri","Sat","Sun")</f>
        <v>Wed</v>
      </c>
      <c r="H6716" t="str">
        <f>IF(WEEKDAY(A6716,2)&gt;5,"Weekend","Weekday")</f>
        <v>Weekday</v>
      </c>
      <c r="I6716" t="str">
        <f>_xlfn.IFS(B6716&lt;=5,"Night (0-5)",B6716&lt;=9,"Morning peak (6-9)",B6716&lt;=15,"Midday (10-15)",B6716&lt;=19,"Evening peak (16-19)",TRUE,"Late evening (20-23)")</f>
        <v>Night (0-5)</v>
      </c>
    </row>
    <row r="6717" spans="1:9">
      <c r="A6717" s="32">
        <v>42102</v>
      </c>
      <c r="B6717">
        <v>6</v>
      </c>
      <c r="C6717">
        <v>1668</v>
      </c>
      <c r="D6717" t="s">
        <v>304</v>
      </c>
      <c r="E6717">
        <f>YEAR(A6717)</f>
        <v>2015</v>
      </c>
      <c r="F6717" s="33">
        <f>DATE(YEAR(A6717),MONTH(A6717),1)</f>
        <v>42095.0</v>
      </c>
      <c r="G6717" t="str">
        <f>CHOOSE(WEEKDAY(A6717,2),"Mon","Tue","Wed","Thu","Fri","Sat","Sun")</f>
        <v>Wed</v>
      </c>
      <c r="H6717" t="str">
        <f>IF(WEEKDAY(A6717,2)&gt;5,"Weekend","Weekday")</f>
        <v>Weekday</v>
      </c>
      <c r="I6717" t="str">
        <f>_xlfn.IFS(B6717&lt;=5,"Night (0-5)",B6717&lt;=9,"Morning peak (6-9)",B6717&lt;=15,"Midday (10-15)",B6717&lt;=19,"Evening peak (16-19)",TRUE,"Late evening (20-23)")</f>
        <v>Morning peak (6-9)</v>
      </c>
    </row>
    <row r="6718" spans="1:9">
      <c r="A6718" s="32">
        <v>42102</v>
      </c>
      <c r="B6718">
        <v>7</v>
      </c>
      <c r="C6718">
        <v>2758</v>
      </c>
      <c r="D6718" t="s">
        <v>304</v>
      </c>
      <c r="E6718">
        <f>YEAR(A6718)</f>
        <v>2015</v>
      </c>
      <c r="F6718" s="33">
        <f>DATE(YEAR(A6718),MONTH(A6718),1)</f>
        <v>42095.0</v>
      </c>
      <c r="G6718" t="str">
        <f>CHOOSE(WEEKDAY(A6718,2),"Mon","Tue","Wed","Thu","Fri","Sat","Sun")</f>
        <v>Wed</v>
      </c>
      <c r="H6718" t="str">
        <f>IF(WEEKDAY(A6718,2)&gt;5,"Weekend","Weekday")</f>
        <v>Weekday</v>
      </c>
      <c r="I6718" t="str">
        <f>_xlfn.IFS(B6718&lt;=5,"Night (0-5)",B6718&lt;=9,"Morning peak (6-9)",B6718&lt;=15,"Midday (10-15)",B6718&lt;=19,"Evening peak (16-19)",TRUE,"Late evening (20-23)")</f>
        <v>Morning peak (6-9)</v>
      </c>
    </row>
    <row r="6719" spans="1:9">
      <c r="A6719" s="32">
        <v>42102</v>
      </c>
      <c r="B6719">
        <v>8</v>
      </c>
      <c r="C6719">
        <v>3620</v>
      </c>
      <c r="D6719" t="s">
        <v>304</v>
      </c>
      <c r="E6719">
        <f>YEAR(A6719)</f>
        <v>2015</v>
      </c>
      <c r="F6719" s="33">
        <f>DATE(YEAR(A6719),MONTH(A6719),1)</f>
        <v>42095.0</v>
      </c>
      <c r="G6719" t="str">
        <f>CHOOSE(WEEKDAY(A6719,2),"Mon","Tue","Wed","Thu","Fri","Sat","Sun")</f>
        <v>Wed</v>
      </c>
      <c r="H6719" t="str">
        <f>IF(WEEKDAY(A6719,2)&gt;5,"Weekend","Weekday")</f>
        <v>Weekday</v>
      </c>
      <c r="I6719" t="str">
        <f>_xlfn.IFS(B6719&lt;=5,"Night (0-5)",B6719&lt;=9,"Morning peak (6-9)",B6719&lt;=15,"Midday (10-15)",B6719&lt;=19,"Evening peak (16-19)",TRUE,"Late evening (20-23)")</f>
        <v>Morning peak (6-9)</v>
      </c>
    </row>
    <row r="6720" spans="1:9">
      <c r="A6720" s="32">
        <v>42102</v>
      </c>
      <c r="B6720">
        <v>9</v>
      </c>
      <c r="C6720">
        <v>3482</v>
      </c>
      <c r="D6720" t="s">
        <v>304</v>
      </c>
      <c r="E6720">
        <f>YEAR(A6720)</f>
        <v>2015</v>
      </c>
      <c r="F6720" s="33">
        <f>DATE(YEAR(A6720),MONTH(A6720),1)</f>
        <v>42095.0</v>
      </c>
      <c r="G6720" t="str">
        <f>CHOOSE(WEEKDAY(A6720,2),"Mon","Tue","Wed","Thu","Fri","Sat","Sun")</f>
        <v>Wed</v>
      </c>
      <c r="H6720" t="str">
        <f>IF(WEEKDAY(A6720,2)&gt;5,"Weekend","Weekday")</f>
        <v>Weekday</v>
      </c>
      <c r="I6720" t="str">
        <f>_xlfn.IFS(B6720&lt;=5,"Night (0-5)",B6720&lt;=9,"Morning peak (6-9)",B6720&lt;=15,"Midday (10-15)",B6720&lt;=19,"Evening peak (16-19)",TRUE,"Late evening (20-23)")</f>
        <v>Morning peak (6-9)</v>
      </c>
    </row>
    <row r="6721" spans="1:9">
      <c r="A6721" s="32">
        <v>42102</v>
      </c>
      <c r="B6721">
        <v>10</v>
      </c>
      <c r="C6721">
        <v>2540</v>
      </c>
      <c r="D6721" t="s">
        <v>304</v>
      </c>
      <c r="E6721">
        <f>YEAR(A6721)</f>
        <v>2015</v>
      </c>
      <c r="F6721" s="33">
        <f>DATE(YEAR(A6721),MONTH(A6721),1)</f>
        <v>42095.0</v>
      </c>
      <c r="G6721" t="str">
        <f>CHOOSE(WEEKDAY(A6721,2),"Mon","Tue","Wed","Thu","Fri","Sat","Sun")</f>
        <v>Wed</v>
      </c>
      <c r="H6721" t="str">
        <f>IF(WEEKDAY(A6721,2)&gt;5,"Weekend","Weekday")</f>
        <v>Weekday</v>
      </c>
      <c r="I6721" t="str">
        <f>_xlfn.IFS(B6721&lt;=5,"Night (0-5)",B6721&lt;=9,"Morning peak (6-9)",B6721&lt;=15,"Midday (10-15)",B6721&lt;=19,"Evening peak (16-19)",TRUE,"Late evening (20-23)")</f>
        <v>Midday (10-15)</v>
      </c>
    </row>
    <row r="6722" spans="1:9">
      <c r="A6722" s="32">
        <v>42102</v>
      </c>
      <c r="B6722">
        <v>11</v>
      </c>
      <c r="C6722">
        <v>2523</v>
      </c>
      <c r="D6722" t="s">
        <v>304</v>
      </c>
      <c r="E6722">
        <f>YEAR(A6722)</f>
        <v>2015</v>
      </c>
      <c r="F6722" s="33">
        <f>DATE(YEAR(A6722),MONTH(A6722),1)</f>
        <v>42095.0</v>
      </c>
      <c r="G6722" t="str">
        <f>CHOOSE(WEEKDAY(A6722,2),"Mon","Tue","Wed","Thu","Fri","Sat","Sun")</f>
        <v>Wed</v>
      </c>
      <c r="H6722" t="str">
        <f>IF(WEEKDAY(A6722,2)&gt;5,"Weekend","Weekday")</f>
        <v>Weekday</v>
      </c>
      <c r="I6722" t="str">
        <f>_xlfn.IFS(B6722&lt;=5,"Night (0-5)",B6722&lt;=9,"Morning peak (6-9)",B6722&lt;=15,"Midday (10-15)",B6722&lt;=19,"Evening peak (16-19)",TRUE,"Late evening (20-23)")</f>
        <v>Midday (10-15)</v>
      </c>
    </row>
    <row r="6723" spans="1:9">
      <c r="A6723" s="32">
        <v>42102</v>
      </c>
      <c r="B6723">
        <v>12</v>
      </c>
      <c r="C6723">
        <v>2489</v>
      </c>
      <c r="D6723" t="s">
        <v>304</v>
      </c>
      <c r="E6723">
        <f>YEAR(A6723)</f>
        <v>2015</v>
      </c>
      <c r="F6723" s="33">
        <f>DATE(YEAR(A6723),MONTH(A6723),1)</f>
        <v>42095.0</v>
      </c>
      <c r="G6723" t="str">
        <f>CHOOSE(WEEKDAY(A6723,2),"Mon","Tue","Wed","Thu","Fri","Sat","Sun")</f>
        <v>Wed</v>
      </c>
      <c r="H6723" t="str">
        <f>IF(WEEKDAY(A6723,2)&gt;5,"Weekend","Weekday")</f>
        <v>Weekday</v>
      </c>
      <c r="I6723" t="str">
        <f>_xlfn.IFS(B6723&lt;=5,"Night (0-5)",B6723&lt;=9,"Morning peak (6-9)",B6723&lt;=15,"Midday (10-15)",B6723&lt;=19,"Evening peak (16-19)",TRUE,"Late evening (20-23)")</f>
        <v>Midday (10-15)</v>
      </c>
    </row>
    <row r="6724" spans="1:9">
      <c r="A6724" s="32">
        <v>42102</v>
      </c>
      <c r="B6724">
        <v>13</v>
      </c>
      <c r="C6724">
        <v>2461</v>
      </c>
      <c r="D6724" t="s">
        <v>304</v>
      </c>
      <c r="E6724">
        <f>YEAR(A6724)</f>
        <v>2015</v>
      </c>
      <c r="F6724" s="33">
        <f>DATE(YEAR(A6724),MONTH(A6724),1)</f>
        <v>42095.0</v>
      </c>
      <c r="G6724" t="str">
        <f>CHOOSE(WEEKDAY(A6724,2),"Mon","Tue","Wed","Thu","Fri","Sat","Sun")</f>
        <v>Wed</v>
      </c>
      <c r="H6724" t="str">
        <f>IF(WEEKDAY(A6724,2)&gt;5,"Weekend","Weekday")</f>
        <v>Weekday</v>
      </c>
      <c r="I6724" t="str">
        <f>_xlfn.IFS(B6724&lt;=5,"Night (0-5)",B6724&lt;=9,"Morning peak (6-9)",B6724&lt;=15,"Midday (10-15)",B6724&lt;=19,"Evening peak (16-19)",TRUE,"Late evening (20-23)")</f>
        <v>Midday (10-15)</v>
      </c>
    </row>
    <row r="6725" spans="1:9">
      <c r="A6725" s="32">
        <v>42102</v>
      </c>
      <c r="B6725">
        <v>14</v>
      </c>
      <c r="C6725">
        <v>2744</v>
      </c>
      <c r="D6725" t="s">
        <v>304</v>
      </c>
      <c r="E6725">
        <f>YEAR(A6725)</f>
        <v>2015</v>
      </c>
      <c r="F6725" s="33">
        <f>DATE(YEAR(A6725),MONTH(A6725),1)</f>
        <v>42095.0</v>
      </c>
      <c r="G6725" t="str">
        <f>CHOOSE(WEEKDAY(A6725,2),"Mon","Tue","Wed","Thu","Fri","Sat","Sun")</f>
        <v>Wed</v>
      </c>
      <c r="H6725" t="str">
        <f>IF(WEEKDAY(A6725,2)&gt;5,"Weekend","Weekday")</f>
        <v>Weekday</v>
      </c>
      <c r="I6725" t="str">
        <f>_xlfn.IFS(B6725&lt;=5,"Night (0-5)",B6725&lt;=9,"Morning peak (6-9)",B6725&lt;=15,"Midday (10-15)",B6725&lt;=19,"Evening peak (16-19)",TRUE,"Late evening (20-23)")</f>
        <v>Midday (10-15)</v>
      </c>
    </row>
    <row r="6726" spans="1:9">
      <c r="A6726" s="32">
        <v>42102</v>
      </c>
      <c r="B6726">
        <v>15</v>
      </c>
      <c r="C6726">
        <v>3150</v>
      </c>
      <c r="D6726" t="s">
        <v>304</v>
      </c>
      <c r="E6726">
        <f>YEAR(A6726)</f>
        <v>2015</v>
      </c>
      <c r="F6726" s="33">
        <f>DATE(YEAR(A6726),MONTH(A6726),1)</f>
        <v>42095.0</v>
      </c>
      <c r="G6726" t="str">
        <f>CHOOSE(WEEKDAY(A6726,2),"Mon","Tue","Wed","Thu","Fri","Sat","Sun")</f>
        <v>Wed</v>
      </c>
      <c r="H6726" t="str">
        <f>IF(WEEKDAY(A6726,2)&gt;5,"Weekend","Weekday")</f>
        <v>Weekday</v>
      </c>
      <c r="I6726" t="str">
        <f>_xlfn.IFS(B6726&lt;=5,"Night (0-5)",B6726&lt;=9,"Morning peak (6-9)",B6726&lt;=15,"Midday (10-15)",B6726&lt;=19,"Evening peak (16-19)",TRUE,"Late evening (20-23)")</f>
        <v>Midday (10-15)</v>
      </c>
    </row>
    <row r="6727" spans="1:9">
      <c r="A6727" s="32">
        <v>42102</v>
      </c>
      <c r="B6727">
        <v>16</v>
      </c>
      <c r="C6727">
        <v>3502</v>
      </c>
      <c r="D6727" t="s">
        <v>304</v>
      </c>
      <c r="E6727">
        <f>YEAR(A6727)</f>
        <v>2015</v>
      </c>
      <c r="F6727" s="33">
        <f>DATE(YEAR(A6727),MONTH(A6727),1)</f>
        <v>42095.0</v>
      </c>
      <c r="G6727" t="str">
        <f>CHOOSE(WEEKDAY(A6727,2),"Mon","Tue","Wed","Thu","Fri","Sat","Sun")</f>
        <v>Wed</v>
      </c>
      <c r="H6727" t="str">
        <f>IF(WEEKDAY(A6727,2)&gt;5,"Weekend","Weekday")</f>
        <v>Weekday</v>
      </c>
      <c r="I6727" t="str">
        <f>_xlfn.IFS(B6727&lt;=5,"Night (0-5)",B6727&lt;=9,"Morning peak (6-9)",B6727&lt;=15,"Midday (10-15)",B6727&lt;=19,"Evening peak (16-19)",TRUE,"Late evening (20-23)")</f>
        <v>Evening peak (16-19)</v>
      </c>
    </row>
    <row r="6728" spans="1:9">
      <c r="A6728" s="32">
        <v>42102</v>
      </c>
      <c r="B6728">
        <v>17</v>
      </c>
      <c r="C6728">
        <v>4240</v>
      </c>
      <c r="D6728" t="s">
        <v>304</v>
      </c>
      <c r="E6728">
        <f>YEAR(A6728)</f>
        <v>2015</v>
      </c>
      <c r="F6728" s="33">
        <f>DATE(YEAR(A6728),MONTH(A6728),1)</f>
        <v>42095.0</v>
      </c>
      <c r="G6728" t="str">
        <f>CHOOSE(WEEKDAY(A6728,2),"Mon","Tue","Wed","Thu","Fri","Sat","Sun")</f>
        <v>Wed</v>
      </c>
      <c r="H6728" t="str">
        <f>IF(WEEKDAY(A6728,2)&gt;5,"Weekend","Weekday")</f>
        <v>Weekday</v>
      </c>
      <c r="I6728" t="str">
        <f>_xlfn.IFS(B6728&lt;=5,"Night (0-5)",B6728&lt;=9,"Morning peak (6-9)",B6728&lt;=15,"Midday (10-15)",B6728&lt;=19,"Evening peak (16-19)",TRUE,"Late evening (20-23)")</f>
        <v>Evening peak (16-19)</v>
      </c>
    </row>
    <row r="6729" spans="1:9">
      <c r="A6729" s="32">
        <v>42102</v>
      </c>
      <c r="B6729">
        <v>18</v>
      </c>
      <c r="C6729">
        <v>5098</v>
      </c>
      <c r="D6729" t="s">
        <v>304</v>
      </c>
      <c r="E6729">
        <f>YEAR(A6729)</f>
        <v>2015</v>
      </c>
      <c r="F6729" s="33">
        <f>DATE(YEAR(A6729),MONTH(A6729),1)</f>
        <v>42095.0</v>
      </c>
      <c r="G6729" t="str">
        <f>CHOOSE(WEEKDAY(A6729,2),"Mon","Tue","Wed","Thu","Fri","Sat","Sun")</f>
        <v>Wed</v>
      </c>
      <c r="H6729" t="str">
        <f>IF(WEEKDAY(A6729,2)&gt;5,"Weekend","Weekday")</f>
        <v>Weekday</v>
      </c>
      <c r="I6729" t="str">
        <f>_xlfn.IFS(B6729&lt;=5,"Night (0-5)",B6729&lt;=9,"Morning peak (6-9)",B6729&lt;=15,"Midday (10-15)",B6729&lt;=19,"Evening peak (16-19)",TRUE,"Late evening (20-23)")</f>
        <v>Evening peak (16-19)</v>
      </c>
    </row>
    <row r="6730" spans="1:9">
      <c r="A6730" s="32">
        <v>42102</v>
      </c>
      <c r="B6730">
        <v>19</v>
      </c>
      <c r="C6730">
        <v>5518</v>
      </c>
      <c r="D6730" t="s">
        <v>304</v>
      </c>
      <c r="E6730">
        <f>YEAR(A6730)</f>
        <v>2015</v>
      </c>
      <c r="F6730" s="33">
        <f>DATE(YEAR(A6730),MONTH(A6730),1)</f>
        <v>42095.0</v>
      </c>
      <c r="G6730" t="str">
        <f>CHOOSE(WEEKDAY(A6730,2),"Mon","Tue","Wed","Thu","Fri","Sat","Sun")</f>
        <v>Wed</v>
      </c>
      <c r="H6730" t="str">
        <f>IF(WEEKDAY(A6730,2)&gt;5,"Weekend","Weekday")</f>
        <v>Weekday</v>
      </c>
      <c r="I6730" t="str">
        <f>_xlfn.IFS(B6730&lt;=5,"Night (0-5)",B6730&lt;=9,"Morning peak (6-9)",B6730&lt;=15,"Midday (10-15)",B6730&lt;=19,"Evening peak (16-19)",TRUE,"Late evening (20-23)")</f>
        <v>Evening peak (16-19)</v>
      </c>
    </row>
    <row r="6731" spans="1:9">
      <c r="A6731" s="32">
        <v>42102</v>
      </c>
      <c r="B6731">
        <v>20</v>
      </c>
      <c r="C6731">
        <v>5687</v>
      </c>
      <c r="D6731" t="s">
        <v>304</v>
      </c>
      <c r="E6731">
        <f>YEAR(A6731)</f>
        <v>2015</v>
      </c>
      <c r="F6731" s="33">
        <f>DATE(YEAR(A6731),MONTH(A6731),1)</f>
        <v>42095.0</v>
      </c>
      <c r="G6731" t="str">
        <f>CHOOSE(WEEKDAY(A6731,2),"Mon","Tue","Wed","Thu","Fri","Sat","Sun")</f>
        <v>Wed</v>
      </c>
      <c r="H6731" t="str">
        <f>IF(WEEKDAY(A6731,2)&gt;5,"Weekend","Weekday")</f>
        <v>Weekday</v>
      </c>
      <c r="I6731" t="str">
        <f>_xlfn.IFS(B6731&lt;=5,"Night (0-5)",B6731&lt;=9,"Morning peak (6-9)",B6731&lt;=15,"Midday (10-15)",B6731&lt;=19,"Evening peak (16-19)",TRUE,"Late evening (20-23)")</f>
        <v>Late evening (20-23)</v>
      </c>
    </row>
    <row r="6732" spans="1:9">
      <c r="A6732" s="32">
        <v>42102</v>
      </c>
      <c r="B6732">
        <v>21</v>
      </c>
      <c r="C6732">
        <v>5493</v>
      </c>
      <c r="D6732" t="s">
        <v>304</v>
      </c>
      <c r="E6732">
        <f>YEAR(A6732)</f>
        <v>2015</v>
      </c>
      <c r="F6732" s="33">
        <f>DATE(YEAR(A6732),MONTH(A6732),1)</f>
        <v>42095.0</v>
      </c>
      <c r="G6732" t="str">
        <f>CHOOSE(WEEKDAY(A6732,2),"Mon","Tue","Wed","Thu","Fri","Sat","Sun")</f>
        <v>Wed</v>
      </c>
      <c r="H6732" t="str">
        <f>IF(WEEKDAY(A6732,2)&gt;5,"Weekend","Weekday")</f>
        <v>Weekday</v>
      </c>
      <c r="I6732" t="str">
        <f>_xlfn.IFS(B6732&lt;=5,"Night (0-5)",B6732&lt;=9,"Morning peak (6-9)",B6732&lt;=15,"Midday (10-15)",B6732&lt;=19,"Evening peak (16-19)",TRUE,"Late evening (20-23)")</f>
        <v>Late evening (20-23)</v>
      </c>
    </row>
    <row r="6733" spans="1:9">
      <c r="A6733" s="32">
        <v>42102</v>
      </c>
      <c r="B6733">
        <v>22</v>
      </c>
      <c r="C6733">
        <v>5186</v>
      </c>
      <c r="D6733" t="s">
        <v>304</v>
      </c>
      <c r="E6733">
        <f>YEAR(A6733)</f>
        <v>2015</v>
      </c>
      <c r="F6733" s="33">
        <f>DATE(YEAR(A6733),MONTH(A6733),1)</f>
        <v>42095.0</v>
      </c>
      <c r="G6733" t="str">
        <f>CHOOSE(WEEKDAY(A6733,2),"Mon","Tue","Wed","Thu","Fri","Sat","Sun")</f>
        <v>Wed</v>
      </c>
      <c r="H6733" t="str">
        <f>IF(WEEKDAY(A6733,2)&gt;5,"Weekend","Weekday")</f>
        <v>Weekday</v>
      </c>
      <c r="I6733" t="str">
        <f>_xlfn.IFS(B6733&lt;=5,"Night (0-5)",B6733&lt;=9,"Morning peak (6-9)",B6733&lt;=15,"Midday (10-15)",B6733&lt;=19,"Evening peak (16-19)",TRUE,"Late evening (20-23)")</f>
        <v>Late evening (20-23)</v>
      </c>
    </row>
    <row r="6734" spans="1:9">
      <c r="A6734" s="32">
        <v>42102</v>
      </c>
      <c r="B6734">
        <v>23</v>
      </c>
      <c r="C6734">
        <v>4272</v>
      </c>
      <c r="D6734" t="s">
        <v>304</v>
      </c>
      <c r="E6734">
        <f>YEAR(A6734)</f>
        <v>2015</v>
      </c>
      <c r="F6734" s="33">
        <f>DATE(YEAR(A6734),MONTH(A6734),1)</f>
        <v>42095.0</v>
      </c>
      <c r="G6734" t="str">
        <f>CHOOSE(WEEKDAY(A6734,2),"Mon","Tue","Wed","Thu","Fri","Sat","Sun")</f>
        <v>Wed</v>
      </c>
      <c r="H6734" t="str">
        <f>IF(WEEKDAY(A6734,2)&gt;5,"Weekend","Weekday")</f>
        <v>Weekday</v>
      </c>
      <c r="I6734" t="str">
        <f>_xlfn.IFS(B6734&lt;=5,"Night (0-5)",B6734&lt;=9,"Morning peak (6-9)",B6734&lt;=15,"Midday (10-15)",B6734&lt;=19,"Evening peak (16-19)",TRUE,"Late evening (20-23)")</f>
        <v>Late evening (20-23)</v>
      </c>
    </row>
    <row r="6735" spans="1:9">
      <c r="A6735" s="32">
        <v>42103</v>
      </c>
      <c r="B6735">
        <v>0</v>
      </c>
      <c r="C6735">
        <v>2334</v>
      </c>
      <c r="D6735" t="s">
        <v>304</v>
      </c>
      <c r="E6735">
        <f>YEAR(A6735)</f>
        <v>2015</v>
      </c>
      <c r="F6735" s="33">
        <f>DATE(YEAR(A6735),MONTH(A6735),1)</f>
        <v>42095.0</v>
      </c>
      <c r="G6735" t="str">
        <f>CHOOSE(WEEKDAY(A6735,2),"Mon","Tue","Wed","Thu","Fri","Sat","Sun")</f>
        <v>Thu</v>
      </c>
      <c r="H6735" t="str">
        <f>IF(WEEKDAY(A6735,2)&gt;5,"Weekend","Weekday")</f>
        <v>Weekday</v>
      </c>
      <c r="I6735" t="str">
        <f>_xlfn.IFS(B6735&lt;=5,"Night (0-5)",B6735&lt;=9,"Morning peak (6-9)",B6735&lt;=15,"Midday (10-15)",B6735&lt;=19,"Evening peak (16-19)",TRUE,"Late evening (20-23)")</f>
        <v>Night (0-5)</v>
      </c>
    </row>
    <row r="6736" spans="1:9">
      <c r="A6736" s="32">
        <v>42103</v>
      </c>
      <c r="B6736">
        <v>1</v>
      </c>
      <c r="C6736">
        <v>1213</v>
      </c>
      <c r="D6736" t="s">
        <v>304</v>
      </c>
      <c r="E6736">
        <f>YEAR(A6736)</f>
        <v>2015</v>
      </c>
      <c r="F6736" s="33">
        <f>DATE(YEAR(A6736),MONTH(A6736),1)</f>
        <v>42095.0</v>
      </c>
      <c r="G6736" t="str">
        <f>CHOOSE(WEEKDAY(A6736,2),"Mon","Tue","Wed","Thu","Fri","Sat","Sun")</f>
        <v>Thu</v>
      </c>
      <c r="H6736" t="str">
        <f>IF(WEEKDAY(A6736,2)&gt;5,"Weekend","Weekday")</f>
        <v>Weekday</v>
      </c>
      <c r="I6736" t="str">
        <f>_xlfn.IFS(B6736&lt;=5,"Night (0-5)",B6736&lt;=9,"Morning peak (6-9)",B6736&lt;=15,"Midday (10-15)",B6736&lt;=19,"Evening peak (16-19)",TRUE,"Late evening (20-23)")</f>
        <v>Night (0-5)</v>
      </c>
    </row>
    <row r="6737" spans="1:9">
      <c r="A6737" s="32">
        <v>42103</v>
      </c>
      <c r="B6737">
        <v>2</v>
      </c>
      <c r="C6737">
        <v>659</v>
      </c>
      <c r="D6737" t="s">
        <v>304</v>
      </c>
      <c r="E6737">
        <f>YEAR(A6737)</f>
        <v>2015</v>
      </c>
      <c r="F6737" s="33">
        <f>DATE(YEAR(A6737),MONTH(A6737),1)</f>
        <v>42095.0</v>
      </c>
      <c r="G6737" t="str">
        <f>CHOOSE(WEEKDAY(A6737,2),"Mon","Tue","Wed","Thu","Fri","Sat","Sun")</f>
        <v>Thu</v>
      </c>
      <c r="H6737" t="str">
        <f>IF(WEEKDAY(A6737,2)&gt;5,"Weekend","Weekday")</f>
        <v>Weekday</v>
      </c>
      <c r="I6737" t="str">
        <f>_xlfn.IFS(B6737&lt;=5,"Night (0-5)",B6737&lt;=9,"Morning peak (6-9)",B6737&lt;=15,"Midday (10-15)",B6737&lt;=19,"Evening peak (16-19)",TRUE,"Late evening (20-23)")</f>
        <v>Night (0-5)</v>
      </c>
    </row>
    <row r="6738" spans="1:9">
      <c r="A6738" s="32">
        <v>42103</v>
      </c>
      <c r="B6738">
        <v>3</v>
      </c>
      <c r="C6738">
        <v>509</v>
      </c>
      <c r="D6738" t="s">
        <v>304</v>
      </c>
      <c r="E6738">
        <f>YEAR(A6738)</f>
        <v>2015</v>
      </c>
      <c r="F6738" s="33">
        <f>DATE(YEAR(A6738),MONTH(A6738),1)</f>
        <v>42095.0</v>
      </c>
      <c r="G6738" t="str">
        <f>CHOOSE(WEEKDAY(A6738,2),"Mon","Tue","Wed","Thu","Fri","Sat","Sun")</f>
        <v>Thu</v>
      </c>
      <c r="H6738" t="str">
        <f>IF(WEEKDAY(A6738,2)&gt;5,"Weekend","Weekday")</f>
        <v>Weekday</v>
      </c>
      <c r="I6738" t="str">
        <f>_xlfn.IFS(B6738&lt;=5,"Night (0-5)",B6738&lt;=9,"Morning peak (6-9)",B6738&lt;=15,"Midday (10-15)",B6738&lt;=19,"Evening peak (16-19)",TRUE,"Late evening (20-23)")</f>
        <v>Night (0-5)</v>
      </c>
    </row>
    <row r="6739" spans="1:9">
      <c r="A6739" s="32">
        <v>42103</v>
      </c>
      <c r="B6739">
        <v>4</v>
      </c>
      <c r="C6739">
        <v>734</v>
      </c>
      <c r="D6739" t="s">
        <v>304</v>
      </c>
      <c r="E6739">
        <f>YEAR(A6739)</f>
        <v>2015</v>
      </c>
      <c r="F6739" s="33">
        <f>DATE(YEAR(A6739),MONTH(A6739),1)</f>
        <v>42095.0</v>
      </c>
      <c r="G6739" t="str">
        <f>CHOOSE(WEEKDAY(A6739,2),"Mon","Tue","Wed","Thu","Fri","Sat","Sun")</f>
        <v>Thu</v>
      </c>
      <c r="H6739" t="str">
        <f>IF(WEEKDAY(A6739,2)&gt;5,"Weekend","Weekday")</f>
        <v>Weekday</v>
      </c>
      <c r="I6739" t="str">
        <f>_xlfn.IFS(B6739&lt;=5,"Night (0-5)",B6739&lt;=9,"Morning peak (6-9)",B6739&lt;=15,"Midday (10-15)",B6739&lt;=19,"Evening peak (16-19)",TRUE,"Late evening (20-23)")</f>
        <v>Night (0-5)</v>
      </c>
    </row>
    <row r="6740" spans="1:9">
      <c r="A6740" s="32">
        <v>42103</v>
      </c>
      <c r="B6740">
        <v>5</v>
      </c>
      <c r="C6740">
        <v>1054</v>
      </c>
      <c r="D6740" t="s">
        <v>304</v>
      </c>
      <c r="E6740">
        <f>YEAR(A6740)</f>
        <v>2015</v>
      </c>
      <c r="F6740" s="33">
        <f>DATE(YEAR(A6740),MONTH(A6740),1)</f>
        <v>42095.0</v>
      </c>
      <c r="G6740" t="str">
        <f>CHOOSE(WEEKDAY(A6740,2),"Mon","Tue","Wed","Thu","Fri","Sat","Sun")</f>
        <v>Thu</v>
      </c>
      <c r="H6740" t="str">
        <f>IF(WEEKDAY(A6740,2)&gt;5,"Weekend","Weekday")</f>
        <v>Weekday</v>
      </c>
      <c r="I6740" t="str">
        <f>_xlfn.IFS(B6740&lt;=5,"Night (0-5)",B6740&lt;=9,"Morning peak (6-9)",B6740&lt;=15,"Midday (10-15)",B6740&lt;=19,"Evening peak (16-19)",TRUE,"Late evening (20-23)")</f>
        <v>Night (0-5)</v>
      </c>
    </row>
    <row r="6741" spans="1:9">
      <c r="A6741" s="32">
        <v>42103</v>
      </c>
      <c r="B6741">
        <v>6</v>
      </c>
      <c r="C6741">
        <v>1704</v>
      </c>
      <c r="D6741" t="s">
        <v>304</v>
      </c>
      <c r="E6741">
        <f>YEAR(A6741)</f>
        <v>2015</v>
      </c>
      <c r="F6741" s="33">
        <f>DATE(YEAR(A6741),MONTH(A6741),1)</f>
        <v>42095.0</v>
      </c>
      <c r="G6741" t="str">
        <f>CHOOSE(WEEKDAY(A6741,2),"Mon","Tue","Wed","Thu","Fri","Sat","Sun")</f>
        <v>Thu</v>
      </c>
      <c r="H6741" t="str">
        <f>IF(WEEKDAY(A6741,2)&gt;5,"Weekend","Weekday")</f>
        <v>Weekday</v>
      </c>
      <c r="I6741" t="str">
        <f>_xlfn.IFS(B6741&lt;=5,"Night (0-5)",B6741&lt;=9,"Morning peak (6-9)",B6741&lt;=15,"Midday (10-15)",B6741&lt;=19,"Evening peak (16-19)",TRUE,"Late evening (20-23)")</f>
        <v>Morning peak (6-9)</v>
      </c>
    </row>
    <row r="6742" spans="1:9">
      <c r="A6742" s="32">
        <v>42103</v>
      </c>
      <c r="B6742">
        <v>7</v>
      </c>
      <c r="C6742">
        <v>2818</v>
      </c>
      <c r="D6742" t="s">
        <v>304</v>
      </c>
      <c r="E6742">
        <f>YEAR(A6742)</f>
        <v>2015</v>
      </c>
      <c r="F6742" s="33">
        <f>DATE(YEAR(A6742),MONTH(A6742),1)</f>
        <v>42095.0</v>
      </c>
      <c r="G6742" t="str">
        <f>CHOOSE(WEEKDAY(A6742,2),"Mon","Tue","Wed","Thu","Fri","Sat","Sun")</f>
        <v>Thu</v>
      </c>
      <c r="H6742" t="str">
        <f>IF(WEEKDAY(A6742,2)&gt;5,"Weekend","Weekday")</f>
        <v>Weekday</v>
      </c>
      <c r="I6742" t="str">
        <f>_xlfn.IFS(B6742&lt;=5,"Night (0-5)",B6742&lt;=9,"Morning peak (6-9)",B6742&lt;=15,"Midday (10-15)",B6742&lt;=19,"Evening peak (16-19)",TRUE,"Late evening (20-23)")</f>
        <v>Morning peak (6-9)</v>
      </c>
    </row>
    <row r="6743" spans="1:9">
      <c r="A6743" s="32">
        <v>42103</v>
      </c>
      <c r="B6743">
        <v>8</v>
      </c>
      <c r="C6743">
        <v>3762</v>
      </c>
      <c r="D6743" t="s">
        <v>304</v>
      </c>
      <c r="E6743">
        <f>YEAR(A6743)</f>
        <v>2015</v>
      </c>
      <c r="F6743" s="33">
        <f>DATE(YEAR(A6743),MONTH(A6743),1)</f>
        <v>42095.0</v>
      </c>
      <c r="G6743" t="str">
        <f>CHOOSE(WEEKDAY(A6743,2),"Mon","Tue","Wed","Thu","Fri","Sat","Sun")</f>
        <v>Thu</v>
      </c>
      <c r="H6743" t="str">
        <f>IF(WEEKDAY(A6743,2)&gt;5,"Weekend","Weekday")</f>
        <v>Weekday</v>
      </c>
      <c r="I6743" t="str">
        <f>_xlfn.IFS(B6743&lt;=5,"Night (0-5)",B6743&lt;=9,"Morning peak (6-9)",B6743&lt;=15,"Midday (10-15)",B6743&lt;=19,"Evening peak (16-19)",TRUE,"Late evening (20-23)")</f>
        <v>Morning peak (6-9)</v>
      </c>
    </row>
    <row r="6744" spans="1:9">
      <c r="A6744" s="32">
        <v>42103</v>
      </c>
      <c r="B6744">
        <v>9</v>
      </c>
      <c r="C6744">
        <v>3761</v>
      </c>
      <c r="D6744" t="s">
        <v>304</v>
      </c>
      <c r="E6744">
        <f>YEAR(A6744)</f>
        <v>2015</v>
      </c>
      <c r="F6744" s="33">
        <f>DATE(YEAR(A6744),MONTH(A6744),1)</f>
        <v>42095.0</v>
      </c>
      <c r="G6744" t="str">
        <f>CHOOSE(WEEKDAY(A6744,2),"Mon","Tue","Wed","Thu","Fri","Sat","Sun")</f>
        <v>Thu</v>
      </c>
      <c r="H6744" t="str">
        <f>IF(WEEKDAY(A6744,2)&gt;5,"Weekend","Weekday")</f>
        <v>Weekday</v>
      </c>
      <c r="I6744" t="str">
        <f>_xlfn.IFS(B6744&lt;=5,"Night (0-5)",B6744&lt;=9,"Morning peak (6-9)",B6744&lt;=15,"Midday (10-15)",B6744&lt;=19,"Evening peak (16-19)",TRUE,"Late evening (20-23)")</f>
        <v>Morning peak (6-9)</v>
      </c>
    </row>
    <row r="6745" spans="1:9">
      <c r="A6745" s="32">
        <v>42103</v>
      </c>
      <c r="B6745">
        <v>10</v>
      </c>
      <c r="C6745">
        <v>2954</v>
      </c>
      <c r="D6745" t="s">
        <v>304</v>
      </c>
      <c r="E6745">
        <f>YEAR(A6745)</f>
        <v>2015</v>
      </c>
      <c r="F6745" s="33">
        <f>DATE(YEAR(A6745),MONTH(A6745),1)</f>
        <v>42095.0</v>
      </c>
      <c r="G6745" t="str">
        <f>CHOOSE(WEEKDAY(A6745,2),"Mon","Tue","Wed","Thu","Fri","Sat","Sun")</f>
        <v>Thu</v>
      </c>
      <c r="H6745" t="str">
        <f>IF(WEEKDAY(A6745,2)&gt;5,"Weekend","Weekday")</f>
        <v>Weekday</v>
      </c>
      <c r="I6745" t="str">
        <f>_xlfn.IFS(B6745&lt;=5,"Night (0-5)",B6745&lt;=9,"Morning peak (6-9)",B6745&lt;=15,"Midday (10-15)",B6745&lt;=19,"Evening peak (16-19)",TRUE,"Late evening (20-23)")</f>
        <v>Midday (10-15)</v>
      </c>
    </row>
    <row r="6746" spans="1:9">
      <c r="A6746" s="32">
        <v>42103</v>
      </c>
      <c r="B6746">
        <v>11</v>
      </c>
      <c r="C6746">
        <v>2590</v>
      </c>
      <c r="D6746" t="s">
        <v>304</v>
      </c>
      <c r="E6746">
        <f>YEAR(A6746)</f>
        <v>2015</v>
      </c>
      <c r="F6746" s="33">
        <f>DATE(YEAR(A6746),MONTH(A6746),1)</f>
        <v>42095.0</v>
      </c>
      <c r="G6746" t="str">
        <f>CHOOSE(WEEKDAY(A6746,2),"Mon","Tue","Wed","Thu","Fri","Sat","Sun")</f>
        <v>Thu</v>
      </c>
      <c r="H6746" t="str">
        <f>IF(WEEKDAY(A6746,2)&gt;5,"Weekend","Weekday")</f>
        <v>Weekday</v>
      </c>
      <c r="I6746" t="str">
        <f>_xlfn.IFS(B6746&lt;=5,"Night (0-5)",B6746&lt;=9,"Morning peak (6-9)",B6746&lt;=15,"Midday (10-15)",B6746&lt;=19,"Evening peak (16-19)",TRUE,"Late evening (20-23)")</f>
        <v>Midday (10-15)</v>
      </c>
    </row>
    <row r="6747" spans="1:9">
      <c r="A6747" s="32">
        <v>42103</v>
      </c>
      <c r="B6747">
        <v>12</v>
      </c>
      <c r="C6747">
        <v>2787</v>
      </c>
      <c r="D6747" t="s">
        <v>304</v>
      </c>
      <c r="E6747">
        <f>YEAR(A6747)</f>
        <v>2015</v>
      </c>
      <c r="F6747" s="33">
        <f>DATE(YEAR(A6747),MONTH(A6747),1)</f>
        <v>42095.0</v>
      </c>
      <c r="G6747" t="str">
        <f>CHOOSE(WEEKDAY(A6747,2),"Mon","Tue","Wed","Thu","Fri","Sat","Sun")</f>
        <v>Thu</v>
      </c>
      <c r="H6747" t="str">
        <f>IF(WEEKDAY(A6747,2)&gt;5,"Weekend","Weekday")</f>
        <v>Weekday</v>
      </c>
      <c r="I6747" t="str">
        <f>_xlfn.IFS(B6747&lt;=5,"Night (0-5)",B6747&lt;=9,"Morning peak (6-9)",B6747&lt;=15,"Midday (10-15)",B6747&lt;=19,"Evening peak (16-19)",TRUE,"Late evening (20-23)")</f>
        <v>Midday (10-15)</v>
      </c>
    </row>
    <row r="6748" spans="1:9">
      <c r="A6748" s="32">
        <v>42103</v>
      </c>
      <c r="B6748">
        <v>13</v>
      </c>
      <c r="C6748">
        <v>2665</v>
      </c>
      <c r="D6748" t="s">
        <v>304</v>
      </c>
      <c r="E6748">
        <f>YEAR(A6748)</f>
        <v>2015</v>
      </c>
      <c r="F6748" s="33">
        <f>DATE(YEAR(A6748),MONTH(A6748),1)</f>
        <v>42095.0</v>
      </c>
      <c r="G6748" t="str">
        <f>CHOOSE(WEEKDAY(A6748,2),"Mon","Tue","Wed","Thu","Fri","Sat","Sun")</f>
        <v>Thu</v>
      </c>
      <c r="H6748" t="str">
        <f>IF(WEEKDAY(A6748,2)&gt;5,"Weekend","Weekday")</f>
        <v>Weekday</v>
      </c>
      <c r="I6748" t="str">
        <f>_xlfn.IFS(B6748&lt;=5,"Night (0-5)",B6748&lt;=9,"Morning peak (6-9)",B6748&lt;=15,"Midday (10-15)",B6748&lt;=19,"Evening peak (16-19)",TRUE,"Late evening (20-23)")</f>
        <v>Midday (10-15)</v>
      </c>
    </row>
    <row r="6749" spans="1:9">
      <c r="A6749" s="32">
        <v>42103</v>
      </c>
      <c r="B6749">
        <v>14</v>
      </c>
      <c r="C6749">
        <v>3045</v>
      </c>
      <c r="D6749" t="s">
        <v>304</v>
      </c>
      <c r="E6749">
        <f>YEAR(A6749)</f>
        <v>2015</v>
      </c>
      <c r="F6749" s="33">
        <f>DATE(YEAR(A6749),MONTH(A6749),1)</f>
        <v>42095.0</v>
      </c>
      <c r="G6749" t="str">
        <f>CHOOSE(WEEKDAY(A6749,2),"Mon","Tue","Wed","Thu","Fri","Sat","Sun")</f>
        <v>Thu</v>
      </c>
      <c r="H6749" t="str">
        <f>IF(WEEKDAY(A6749,2)&gt;5,"Weekend","Weekday")</f>
        <v>Weekday</v>
      </c>
      <c r="I6749" t="str">
        <f>_xlfn.IFS(B6749&lt;=5,"Night (0-5)",B6749&lt;=9,"Morning peak (6-9)",B6749&lt;=15,"Midday (10-15)",B6749&lt;=19,"Evening peak (16-19)",TRUE,"Late evening (20-23)")</f>
        <v>Midday (10-15)</v>
      </c>
    </row>
    <row r="6750" spans="1:9">
      <c r="A6750" s="32">
        <v>42103</v>
      </c>
      <c r="B6750">
        <v>15</v>
      </c>
      <c r="C6750">
        <v>3429</v>
      </c>
      <c r="D6750" t="s">
        <v>304</v>
      </c>
      <c r="E6750">
        <f>YEAR(A6750)</f>
        <v>2015</v>
      </c>
      <c r="F6750" s="33">
        <f>DATE(YEAR(A6750),MONTH(A6750),1)</f>
        <v>42095.0</v>
      </c>
      <c r="G6750" t="str">
        <f>CHOOSE(WEEKDAY(A6750,2),"Mon","Tue","Wed","Thu","Fri","Sat","Sun")</f>
        <v>Thu</v>
      </c>
      <c r="H6750" t="str">
        <f>IF(WEEKDAY(A6750,2)&gt;5,"Weekend","Weekday")</f>
        <v>Weekday</v>
      </c>
      <c r="I6750" t="str">
        <f>_xlfn.IFS(B6750&lt;=5,"Night (0-5)",B6750&lt;=9,"Morning peak (6-9)",B6750&lt;=15,"Midday (10-15)",B6750&lt;=19,"Evening peak (16-19)",TRUE,"Late evening (20-23)")</f>
        <v>Midday (10-15)</v>
      </c>
    </row>
    <row r="6751" spans="1:9">
      <c r="A6751" s="32">
        <v>42103</v>
      </c>
      <c r="B6751">
        <v>16</v>
      </c>
      <c r="C6751">
        <v>3955</v>
      </c>
      <c r="D6751" t="s">
        <v>304</v>
      </c>
      <c r="E6751">
        <f>YEAR(A6751)</f>
        <v>2015</v>
      </c>
      <c r="F6751" s="33">
        <f>DATE(YEAR(A6751),MONTH(A6751),1)</f>
        <v>42095.0</v>
      </c>
      <c r="G6751" t="str">
        <f>CHOOSE(WEEKDAY(A6751,2),"Mon","Tue","Wed","Thu","Fri","Sat","Sun")</f>
        <v>Thu</v>
      </c>
      <c r="H6751" t="str">
        <f>IF(WEEKDAY(A6751,2)&gt;5,"Weekend","Weekday")</f>
        <v>Weekday</v>
      </c>
      <c r="I6751" t="str">
        <f>_xlfn.IFS(B6751&lt;=5,"Night (0-5)",B6751&lt;=9,"Morning peak (6-9)",B6751&lt;=15,"Midday (10-15)",B6751&lt;=19,"Evening peak (16-19)",TRUE,"Late evening (20-23)")</f>
        <v>Evening peak (16-19)</v>
      </c>
    </row>
    <row r="6752" spans="1:9">
      <c r="A6752" s="32">
        <v>42103</v>
      </c>
      <c r="B6752">
        <v>17</v>
      </c>
      <c r="C6752">
        <v>4696</v>
      </c>
      <c r="D6752" t="s">
        <v>304</v>
      </c>
      <c r="E6752">
        <f>YEAR(A6752)</f>
        <v>2015</v>
      </c>
      <c r="F6752" s="33">
        <f>DATE(YEAR(A6752),MONTH(A6752),1)</f>
        <v>42095.0</v>
      </c>
      <c r="G6752" t="str">
        <f>CHOOSE(WEEKDAY(A6752,2),"Mon","Tue","Wed","Thu","Fri","Sat","Sun")</f>
        <v>Thu</v>
      </c>
      <c r="H6752" t="str">
        <f>IF(WEEKDAY(A6752,2)&gt;5,"Weekend","Weekday")</f>
        <v>Weekday</v>
      </c>
      <c r="I6752" t="str">
        <f>_xlfn.IFS(B6752&lt;=5,"Night (0-5)",B6752&lt;=9,"Morning peak (6-9)",B6752&lt;=15,"Midday (10-15)",B6752&lt;=19,"Evening peak (16-19)",TRUE,"Late evening (20-23)")</f>
        <v>Evening peak (16-19)</v>
      </c>
    </row>
    <row r="6753" spans="1:9">
      <c r="A6753" s="32">
        <v>42103</v>
      </c>
      <c r="B6753">
        <v>18</v>
      </c>
      <c r="C6753">
        <v>5648</v>
      </c>
      <c r="D6753" t="s">
        <v>304</v>
      </c>
      <c r="E6753">
        <f>YEAR(A6753)</f>
        <v>2015</v>
      </c>
      <c r="F6753" s="33">
        <f>DATE(YEAR(A6753),MONTH(A6753),1)</f>
        <v>42095.0</v>
      </c>
      <c r="G6753" t="str">
        <f>CHOOSE(WEEKDAY(A6753,2),"Mon","Tue","Wed","Thu","Fri","Sat","Sun")</f>
        <v>Thu</v>
      </c>
      <c r="H6753" t="str">
        <f>IF(WEEKDAY(A6753,2)&gt;5,"Weekend","Weekday")</f>
        <v>Weekday</v>
      </c>
      <c r="I6753" t="str">
        <f>_xlfn.IFS(B6753&lt;=5,"Night (0-5)",B6753&lt;=9,"Morning peak (6-9)",B6753&lt;=15,"Midday (10-15)",B6753&lt;=19,"Evening peak (16-19)",TRUE,"Late evening (20-23)")</f>
        <v>Evening peak (16-19)</v>
      </c>
    </row>
    <row r="6754" spans="1:9">
      <c r="A6754" s="32">
        <v>42103</v>
      </c>
      <c r="B6754">
        <v>19</v>
      </c>
      <c r="C6754">
        <v>5839</v>
      </c>
      <c r="D6754" t="s">
        <v>304</v>
      </c>
      <c r="E6754">
        <f>YEAR(A6754)</f>
        <v>2015</v>
      </c>
      <c r="F6754" s="33">
        <f>DATE(YEAR(A6754),MONTH(A6754),1)</f>
        <v>42095.0</v>
      </c>
      <c r="G6754" t="str">
        <f>CHOOSE(WEEKDAY(A6754,2),"Mon","Tue","Wed","Thu","Fri","Sat","Sun")</f>
        <v>Thu</v>
      </c>
      <c r="H6754" t="str">
        <f>IF(WEEKDAY(A6754,2)&gt;5,"Weekend","Weekday")</f>
        <v>Weekday</v>
      </c>
      <c r="I6754" t="str">
        <f>_xlfn.IFS(B6754&lt;=5,"Night (0-5)",B6754&lt;=9,"Morning peak (6-9)",B6754&lt;=15,"Midday (10-15)",B6754&lt;=19,"Evening peak (16-19)",TRUE,"Late evening (20-23)")</f>
        <v>Evening peak (16-19)</v>
      </c>
    </row>
    <row r="6755" spans="1:9">
      <c r="A6755" s="32">
        <v>42103</v>
      </c>
      <c r="B6755">
        <v>20</v>
      </c>
      <c r="C6755">
        <v>5533</v>
      </c>
      <c r="D6755" t="s">
        <v>304</v>
      </c>
      <c r="E6755">
        <f>YEAR(A6755)</f>
        <v>2015</v>
      </c>
      <c r="F6755" s="33">
        <f>DATE(YEAR(A6755),MONTH(A6755),1)</f>
        <v>42095.0</v>
      </c>
      <c r="G6755" t="str">
        <f>CHOOSE(WEEKDAY(A6755,2),"Mon","Tue","Wed","Thu","Fri","Sat","Sun")</f>
        <v>Thu</v>
      </c>
      <c r="H6755" t="str">
        <f>IF(WEEKDAY(A6755,2)&gt;5,"Weekend","Weekday")</f>
        <v>Weekday</v>
      </c>
      <c r="I6755" t="str">
        <f>_xlfn.IFS(B6755&lt;=5,"Night (0-5)",B6755&lt;=9,"Morning peak (6-9)",B6755&lt;=15,"Midday (10-15)",B6755&lt;=19,"Evening peak (16-19)",TRUE,"Late evening (20-23)")</f>
        <v>Late evening (20-23)</v>
      </c>
    </row>
    <row r="6756" spans="1:9">
      <c r="A6756" s="32">
        <v>42103</v>
      </c>
      <c r="B6756">
        <v>21</v>
      </c>
      <c r="C6756">
        <v>5658</v>
      </c>
      <c r="D6756" t="s">
        <v>304</v>
      </c>
      <c r="E6756">
        <f>YEAR(A6756)</f>
        <v>2015</v>
      </c>
      <c r="F6756" s="33">
        <f>DATE(YEAR(A6756),MONTH(A6756),1)</f>
        <v>42095.0</v>
      </c>
      <c r="G6756" t="str">
        <f>CHOOSE(WEEKDAY(A6756,2),"Mon","Tue","Wed","Thu","Fri","Sat","Sun")</f>
        <v>Thu</v>
      </c>
      <c r="H6756" t="str">
        <f>IF(WEEKDAY(A6756,2)&gt;5,"Weekend","Weekday")</f>
        <v>Weekday</v>
      </c>
      <c r="I6756" t="str">
        <f>_xlfn.IFS(B6756&lt;=5,"Night (0-5)",B6756&lt;=9,"Morning peak (6-9)",B6756&lt;=15,"Midday (10-15)",B6756&lt;=19,"Evening peak (16-19)",TRUE,"Late evening (20-23)")</f>
        <v>Late evening (20-23)</v>
      </c>
    </row>
    <row r="6757" spans="1:9">
      <c r="A6757" s="32">
        <v>42103</v>
      </c>
      <c r="B6757">
        <v>22</v>
      </c>
      <c r="C6757">
        <v>5528</v>
      </c>
      <c r="D6757" t="s">
        <v>304</v>
      </c>
      <c r="E6757">
        <f>YEAR(A6757)</f>
        <v>2015</v>
      </c>
      <c r="F6757" s="33">
        <f>DATE(YEAR(A6757),MONTH(A6757),1)</f>
        <v>42095.0</v>
      </c>
      <c r="G6757" t="str">
        <f>CHOOSE(WEEKDAY(A6757,2),"Mon","Tue","Wed","Thu","Fri","Sat","Sun")</f>
        <v>Thu</v>
      </c>
      <c r="H6757" t="str">
        <f>IF(WEEKDAY(A6757,2)&gt;5,"Weekend","Weekday")</f>
        <v>Weekday</v>
      </c>
      <c r="I6757" t="str">
        <f>_xlfn.IFS(B6757&lt;=5,"Night (0-5)",B6757&lt;=9,"Morning peak (6-9)",B6757&lt;=15,"Midday (10-15)",B6757&lt;=19,"Evening peak (16-19)",TRUE,"Late evening (20-23)")</f>
        <v>Late evening (20-23)</v>
      </c>
    </row>
    <row r="6758" spans="1:9">
      <c r="A6758" s="32">
        <v>42103</v>
      </c>
      <c r="B6758">
        <v>23</v>
      </c>
      <c r="C6758">
        <v>4645</v>
      </c>
      <c r="D6758" t="s">
        <v>304</v>
      </c>
      <c r="E6758">
        <f>YEAR(A6758)</f>
        <v>2015</v>
      </c>
      <c r="F6758" s="33">
        <f>DATE(YEAR(A6758),MONTH(A6758),1)</f>
        <v>42095.0</v>
      </c>
      <c r="G6758" t="str">
        <f>CHOOSE(WEEKDAY(A6758,2),"Mon","Tue","Wed","Thu","Fri","Sat","Sun")</f>
        <v>Thu</v>
      </c>
      <c r="H6758" t="str">
        <f>IF(WEEKDAY(A6758,2)&gt;5,"Weekend","Weekday")</f>
        <v>Weekday</v>
      </c>
      <c r="I6758" t="str">
        <f>_xlfn.IFS(B6758&lt;=5,"Night (0-5)",B6758&lt;=9,"Morning peak (6-9)",B6758&lt;=15,"Midday (10-15)",B6758&lt;=19,"Evening peak (16-19)",TRUE,"Late evening (20-23)")</f>
        <v>Late evening (20-23)</v>
      </c>
    </row>
    <row r="6759" spans="1:9">
      <c r="A6759" s="32">
        <v>42104</v>
      </c>
      <c r="B6759">
        <v>0</v>
      </c>
      <c r="C6759">
        <v>3184</v>
      </c>
      <c r="D6759" t="s">
        <v>304</v>
      </c>
      <c r="E6759">
        <f>YEAR(A6759)</f>
        <v>2015</v>
      </c>
      <c r="F6759" s="33">
        <f>DATE(YEAR(A6759),MONTH(A6759),1)</f>
        <v>42095.0</v>
      </c>
      <c r="G6759" t="str">
        <f>CHOOSE(WEEKDAY(A6759,2),"Mon","Tue","Wed","Thu","Fri","Sat","Sun")</f>
        <v>Fri</v>
      </c>
      <c r="H6759" t="str">
        <f>IF(WEEKDAY(A6759,2)&gt;5,"Weekend","Weekday")</f>
        <v>Weekday</v>
      </c>
      <c r="I6759" t="str">
        <f>_xlfn.IFS(B6759&lt;=5,"Night (0-5)",B6759&lt;=9,"Morning peak (6-9)",B6759&lt;=15,"Midday (10-15)",B6759&lt;=19,"Evening peak (16-19)",TRUE,"Late evening (20-23)")</f>
        <v>Night (0-5)</v>
      </c>
    </row>
    <row r="6760" spans="1:9">
      <c r="A6760" s="32">
        <v>42104</v>
      </c>
      <c r="B6760">
        <v>1</v>
      </c>
      <c r="C6760">
        <v>1764</v>
      </c>
      <c r="D6760" t="s">
        <v>304</v>
      </c>
      <c r="E6760">
        <f>YEAR(A6760)</f>
        <v>2015</v>
      </c>
      <c r="F6760" s="33">
        <f>DATE(YEAR(A6760),MONTH(A6760),1)</f>
        <v>42095.0</v>
      </c>
      <c r="G6760" t="str">
        <f>CHOOSE(WEEKDAY(A6760,2),"Mon","Tue","Wed","Thu","Fri","Sat","Sun")</f>
        <v>Fri</v>
      </c>
      <c r="H6760" t="str">
        <f>IF(WEEKDAY(A6760,2)&gt;5,"Weekend","Weekday")</f>
        <v>Weekday</v>
      </c>
      <c r="I6760" t="str">
        <f>_xlfn.IFS(B6760&lt;=5,"Night (0-5)",B6760&lt;=9,"Morning peak (6-9)",B6760&lt;=15,"Midday (10-15)",B6760&lt;=19,"Evening peak (16-19)",TRUE,"Late evening (20-23)")</f>
        <v>Night (0-5)</v>
      </c>
    </row>
    <row r="6761" spans="1:9">
      <c r="A6761" s="32">
        <v>42104</v>
      </c>
      <c r="B6761">
        <v>2</v>
      </c>
      <c r="C6761">
        <v>988</v>
      </c>
      <c r="D6761" t="s">
        <v>304</v>
      </c>
      <c r="E6761">
        <f>YEAR(A6761)</f>
        <v>2015</v>
      </c>
      <c r="F6761" s="33">
        <f>DATE(YEAR(A6761),MONTH(A6761),1)</f>
        <v>42095.0</v>
      </c>
      <c r="G6761" t="str">
        <f>CHOOSE(WEEKDAY(A6761,2),"Mon","Tue","Wed","Thu","Fri","Sat","Sun")</f>
        <v>Fri</v>
      </c>
      <c r="H6761" t="str">
        <f>IF(WEEKDAY(A6761,2)&gt;5,"Weekend","Weekday")</f>
        <v>Weekday</v>
      </c>
      <c r="I6761" t="str">
        <f>_xlfn.IFS(B6761&lt;=5,"Night (0-5)",B6761&lt;=9,"Morning peak (6-9)",B6761&lt;=15,"Midday (10-15)",B6761&lt;=19,"Evening peak (16-19)",TRUE,"Late evening (20-23)")</f>
        <v>Night (0-5)</v>
      </c>
    </row>
    <row r="6762" spans="1:9">
      <c r="A6762" s="32">
        <v>42104</v>
      </c>
      <c r="B6762">
        <v>3</v>
      </c>
      <c r="C6762">
        <v>726</v>
      </c>
      <c r="D6762" t="s">
        <v>304</v>
      </c>
      <c r="E6762">
        <f>YEAR(A6762)</f>
        <v>2015</v>
      </c>
      <c r="F6762" s="33">
        <f>DATE(YEAR(A6762),MONTH(A6762),1)</f>
        <v>42095.0</v>
      </c>
      <c r="G6762" t="str">
        <f>CHOOSE(WEEKDAY(A6762,2),"Mon","Tue","Wed","Thu","Fri","Sat","Sun")</f>
        <v>Fri</v>
      </c>
      <c r="H6762" t="str">
        <f>IF(WEEKDAY(A6762,2)&gt;5,"Weekend","Weekday")</f>
        <v>Weekday</v>
      </c>
      <c r="I6762" t="str">
        <f>_xlfn.IFS(B6762&lt;=5,"Night (0-5)",B6762&lt;=9,"Morning peak (6-9)",B6762&lt;=15,"Midday (10-15)",B6762&lt;=19,"Evening peak (16-19)",TRUE,"Late evening (20-23)")</f>
        <v>Night (0-5)</v>
      </c>
    </row>
    <row r="6763" spans="1:9">
      <c r="A6763" s="32">
        <v>42104</v>
      </c>
      <c r="B6763">
        <v>4</v>
      </c>
      <c r="C6763">
        <v>897</v>
      </c>
      <c r="D6763" t="s">
        <v>304</v>
      </c>
      <c r="E6763">
        <f>YEAR(A6763)</f>
        <v>2015</v>
      </c>
      <c r="F6763" s="33">
        <f>DATE(YEAR(A6763),MONTH(A6763),1)</f>
        <v>42095.0</v>
      </c>
      <c r="G6763" t="str">
        <f>CHOOSE(WEEKDAY(A6763,2),"Mon","Tue","Wed","Thu","Fri","Sat","Sun")</f>
        <v>Fri</v>
      </c>
      <c r="H6763" t="str">
        <f>IF(WEEKDAY(A6763,2)&gt;5,"Weekend","Weekday")</f>
        <v>Weekday</v>
      </c>
      <c r="I6763" t="str">
        <f>_xlfn.IFS(B6763&lt;=5,"Night (0-5)",B6763&lt;=9,"Morning peak (6-9)",B6763&lt;=15,"Midday (10-15)",B6763&lt;=19,"Evening peak (16-19)",TRUE,"Late evening (20-23)")</f>
        <v>Night (0-5)</v>
      </c>
    </row>
    <row r="6764" spans="1:9">
      <c r="A6764" s="32">
        <v>42104</v>
      </c>
      <c r="B6764">
        <v>5</v>
      </c>
      <c r="C6764">
        <v>1173</v>
      </c>
      <c r="D6764" t="s">
        <v>304</v>
      </c>
      <c r="E6764">
        <f>YEAR(A6764)</f>
        <v>2015</v>
      </c>
      <c r="F6764" s="33">
        <f>DATE(YEAR(A6764),MONTH(A6764),1)</f>
        <v>42095.0</v>
      </c>
      <c r="G6764" t="str">
        <f>CHOOSE(WEEKDAY(A6764,2),"Mon","Tue","Wed","Thu","Fri","Sat","Sun")</f>
        <v>Fri</v>
      </c>
      <c r="H6764" t="str">
        <f>IF(WEEKDAY(A6764,2)&gt;5,"Weekend","Weekday")</f>
        <v>Weekday</v>
      </c>
      <c r="I6764" t="str">
        <f>_xlfn.IFS(B6764&lt;=5,"Night (0-5)",B6764&lt;=9,"Morning peak (6-9)",B6764&lt;=15,"Midday (10-15)",B6764&lt;=19,"Evening peak (16-19)",TRUE,"Late evening (20-23)")</f>
        <v>Night (0-5)</v>
      </c>
    </row>
    <row r="6765" spans="1:9">
      <c r="A6765" s="32">
        <v>42104</v>
      </c>
      <c r="B6765">
        <v>6</v>
      </c>
      <c r="C6765">
        <v>2000</v>
      </c>
      <c r="D6765" t="s">
        <v>304</v>
      </c>
      <c r="E6765">
        <f>YEAR(A6765)</f>
        <v>2015</v>
      </c>
      <c r="F6765" s="33">
        <f>DATE(YEAR(A6765),MONTH(A6765),1)</f>
        <v>42095.0</v>
      </c>
      <c r="G6765" t="str">
        <f>CHOOSE(WEEKDAY(A6765,2),"Mon","Tue","Wed","Thu","Fri","Sat","Sun")</f>
        <v>Fri</v>
      </c>
      <c r="H6765" t="str">
        <f>IF(WEEKDAY(A6765,2)&gt;5,"Weekend","Weekday")</f>
        <v>Weekday</v>
      </c>
      <c r="I6765" t="str">
        <f>_xlfn.IFS(B6765&lt;=5,"Night (0-5)",B6765&lt;=9,"Morning peak (6-9)",B6765&lt;=15,"Midday (10-15)",B6765&lt;=19,"Evening peak (16-19)",TRUE,"Late evening (20-23)")</f>
        <v>Morning peak (6-9)</v>
      </c>
    </row>
    <row r="6766" spans="1:9">
      <c r="A6766" s="32">
        <v>42104</v>
      </c>
      <c r="B6766">
        <v>7</v>
      </c>
      <c r="C6766">
        <v>2826</v>
      </c>
      <c r="D6766" t="s">
        <v>304</v>
      </c>
      <c r="E6766">
        <f>YEAR(A6766)</f>
        <v>2015</v>
      </c>
      <c r="F6766" s="33">
        <f>DATE(YEAR(A6766),MONTH(A6766),1)</f>
        <v>42095.0</v>
      </c>
      <c r="G6766" t="str">
        <f>CHOOSE(WEEKDAY(A6766,2),"Mon","Tue","Wed","Thu","Fri","Sat","Sun")</f>
        <v>Fri</v>
      </c>
      <c r="H6766" t="str">
        <f>IF(WEEKDAY(A6766,2)&gt;5,"Weekend","Weekday")</f>
        <v>Weekday</v>
      </c>
      <c r="I6766" t="str">
        <f>_xlfn.IFS(B6766&lt;=5,"Night (0-5)",B6766&lt;=9,"Morning peak (6-9)",B6766&lt;=15,"Midday (10-15)",B6766&lt;=19,"Evening peak (16-19)",TRUE,"Late evening (20-23)")</f>
        <v>Morning peak (6-9)</v>
      </c>
    </row>
    <row r="6767" spans="1:9">
      <c r="A6767" s="32">
        <v>42104</v>
      </c>
      <c r="B6767">
        <v>8</v>
      </c>
      <c r="C6767">
        <v>3680</v>
      </c>
      <c r="D6767" t="s">
        <v>304</v>
      </c>
      <c r="E6767">
        <f>YEAR(A6767)</f>
        <v>2015</v>
      </c>
      <c r="F6767" s="33">
        <f>DATE(YEAR(A6767),MONTH(A6767),1)</f>
        <v>42095.0</v>
      </c>
      <c r="G6767" t="str">
        <f>CHOOSE(WEEKDAY(A6767,2),"Mon","Tue","Wed","Thu","Fri","Sat","Sun")</f>
        <v>Fri</v>
      </c>
      <c r="H6767" t="str">
        <f>IF(WEEKDAY(A6767,2)&gt;5,"Weekend","Weekday")</f>
        <v>Weekday</v>
      </c>
      <c r="I6767" t="str">
        <f>_xlfn.IFS(B6767&lt;=5,"Night (0-5)",B6767&lt;=9,"Morning peak (6-9)",B6767&lt;=15,"Midday (10-15)",B6767&lt;=19,"Evening peak (16-19)",TRUE,"Late evening (20-23)")</f>
        <v>Morning peak (6-9)</v>
      </c>
    </row>
    <row r="6768" spans="1:9">
      <c r="A6768" s="32">
        <v>42104</v>
      </c>
      <c r="B6768">
        <v>9</v>
      </c>
      <c r="C6768">
        <v>3833</v>
      </c>
      <c r="D6768" t="s">
        <v>304</v>
      </c>
      <c r="E6768">
        <f>YEAR(A6768)</f>
        <v>2015</v>
      </c>
      <c r="F6768" s="33">
        <f>DATE(YEAR(A6768),MONTH(A6768),1)</f>
        <v>42095.0</v>
      </c>
      <c r="G6768" t="str">
        <f>CHOOSE(WEEKDAY(A6768,2),"Mon","Tue","Wed","Thu","Fri","Sat","Sun")</f>
        <v>Fri</v>
      </c>
      <c r="H6768" t="str">
        <f>IF(WEEKDAY(A6768,2)&gt;5,"Weekend","Weekday")</f>
        <v>Weekday</v>
      </c>
      <c r="I6768" t="str">
        <f>_xlfn.IFS(B6768&lt;=5,"Night (0-5)",B6768&lt;=9,"Morning peak (6-9)",B6768&lt;=15,"Midday (10-15)",B6768&lt;=19,"Evening peak (16-19)",TRUE,"Late evening (20-23)")</f>
        <v>Morning peak (6-9)</v>
      </c>
    </row>
    <row r="6769" spans="1:9">
      <c r="A6769" s="32">
        <v>42104</v>
      </c>
      <c r="B6769">
        <v>10</v>
      </c>
      <c r="C6769">
        <v>3061</v>
      </c>
      <c r="D6769" t="s">
        <v>304</v>
      </c>
      <c r="E6769">
        <f>YEAR(A6769)</f>
        <v>2015</v>
      </c>
      <c r="F6769" s="33">
        <f>DATE(YEAR(A6769),MONTH(A6769),1)</f>
        <v>42095.0</v>
      </c>
      <c r="G6769" t="str">
        <f>CHOOSE(WEEKDAY(A6769,2),"Mon","Tue","Wed","Thu","Fri","Sat","Sun")</f>
        <v>Fri</v>
      </c>
      <c r="H6769" t="str">
        <f>IF(WEEKDAY(A6769,2)&gt;5,"Weekend","Weekday")</f>
        <v>Weekday</v>
      </c>
      <c r="I6769" t="str">
        <f>_xlfn.IFS(B6769&lt;=5,"Night (0-5)",B6769&lt;=9,"Morning peak (6-9)",B6769&lt;=15,"Midday (10-15)",B6769&lt;=19,"Evening peak (16-19)",TRUE,"Late evening (20-23)")</f>
        <v>Midday (10-15)</v>
      </c>
    </row>
    <row r="6770" spans="1:9">
      <c r="A6770" s="32">
        <v>42104</v>
      </c>
      <c r="B6770">
        <v>11</v>
      </c>
      <c r="C6770">
        <v>2644</v>
      </c>
      <c r="D6770" t="s">
        <v>304</v>
      </c>
      <c r="E6770">
        <f>YEAR(A6770)</f>
        <v>2015</v>
      </c>
      <c r="F6770" s="33">
        <f>DATE(YEAR(A6770),MONTH(A6770),1)</f>
        <v>42095.0</v>
      </c>
      <c r="G6770" t="str">
        <f>CHOOSE(WEEKDAY(A6770,2),"Mon","Tue","Wed","Thu","Fri","Sat","Sun")</f>
        <v>Fri</v>
      </c>
      <c r="H6770" t="str">
        <f>IF(WEEKDAY(A6770,2)&gt;5,"Weekend","Weekday")</f>
        <v>Weekday</v>
      </c>
      <c r="I6770" t="str">
        <f>_xlfn.IFS(B6770&lt;=5,"Night (0-5)",B6770&lt;=9,"Morning peak (6-9)",B6770&lt;=15,"Midday (10-15)",B6770&lt;=19,"Evening peak (16-19)",TRUE,"Late evening (20-23)")</f>
        <v>Midday (10-15)</v>
      </c>
    </row>
    <row r="6771" spans="1:9">
      <c r="A6771" s="32">
        <v>42104</v>
      </c>
      <c r="B6771">
        <v>12</v>
      </c>
      <c r="C6771">
        <v>2784</v>
      </c>
      <c r="D6771" t="s">
        <v>304</v>
      </c>
      <c r="E6771">
        <f>YEAR(A6771)</f>
        <v>2015</v>
      </c>
      <c r="F6771" s="33">
        <f>DATE(YEAR(A6771),MONTH(A6771),1)</f>
        <v>42095.0</v>
      </c>
      <c r="G6771" t="str">
        <f>CHOOSE(WEEKDAY(A6771,2),"Mon","Tue","Wed","Thu","Fri","Sat","Sun")</f>
        <v>Fri</v>
      </c>
      <c r="H6771" t="str">
        <f>IF(WEEKDAY(A6771,2)&gt;5,"Weekend","Weekday")</f>
        <v>Weekday</v>
      </c>
      <c r="I6771" t="str">
        <f>_xlfn.IFS(B6771&lt;=5,"Night (0-5)",B6771&lt;=9,"Morning peak (6-9)",B6771&lt;=15,"Midday (10-15)",B6771&lt;=19,"Evening peak (16-19)",TRUE,"Late evening (20-23)")</f>
        <v>Midday (10-15)</v>
      </c>
    </row>
    <row r="6772" spans="1:9">
      <c r="A6772" s="32">
        <v>42104</v>
      </c>
      <c r="B6772">
        <v>13</v>
      </c>
      <c r="C6772">
        <v>2730</v>
      </c>
      <c r="D6772" t="s">
        <v>304</v>
      </c>
      <c r="E6772">
        <f>YEAR(A6772)</f>
        <v>2015</v>
      </c>
      <c r="F6772" s="33">
        <f>DATE(YEAR(A6772),MONTH(A6772),1)</f>
        <v>42095.0</v>
      </c>
      <c r="G6772" t="str">
        <f>CHOOSE(WEEKDAY(A6772,2),"Mon","Tue","Wed","Thu","Fri","Sat","Sun")</f>
        <v>Fri</v>
      </c>
      <c r="H6772" t="str">
        <f>IF(WEEKDAY(A6772,2)&gt;5,"Weekend","Weekday")</f>
        <v>Weekday</v>
      </c>
      <c r="I6772" t="str">
        <f>_xlfn.IFS(B6772&lt;=5,"Night (0-5)",B6772&lt;=9,"Morning peak (6-9)",B6772&lt;=15,"Midday (10-15)",B6772&lt;=19,"Evening peak (16-19)",TRUE,"Late evening (20-23)")</f>
        <v>Midday (10-15)</v>
      </c>
    </row>
    <row r="6773" spans="1:9">
      <c r="A6773" s="32">
        <v>42104</v>
      </c>
      <c r="B6773">
        <v>14</v>
      </c>
      <c r="C6773">
        <v>3018</v>
      </c>
      <c r="D6773" t="s">
        <v>304</v>
      </c>
      <c r="E6773">
        <f>YEAR(A6773)</f>
        <v>2015</v>
      </c>
      <c r="F6773" s="33">
        <f>DATE(YEAR(A6773),MONTH(A6773),1)</f>
        <v>42095.0</v>
      </c>
      <c r="G6773" t="str">
        <f>CHOOSE(WEEKDAY(A6773,2),"Mon","Tue","Wed","Thu","Fri","Sat","Sun")</f>
        <v>Fri</v>
      </c>
      <c r="H6773" t="str">
        <f>IF(WEEKDAY(A6773,2)&gt;5,"Weekend","Weekday")</f>
        <v>Weekday</v>
      </c>
      <c r="I6773" t="str">
        <f>_xlfn.IFS(B6773&lt;=5,"Night (0-5)",B6773&lt;=9,"Morning peak (6-9)",B6773&lt;=15,"Midday (10-15)",B6773&lt;=19,"Evening peak (16-19)",TRUE,"Late evening (20-23)")</f>
        <v>Midday (10-15)</v>
      </c>
    </row>
    <row r="6774" spans="1:9">
      <c r="A6774" s="32">
        <v>42104</v>
      </c>
      <c r="B6774">
        <v>15</v>
      </c>
      <c r="C6774">
        <v>3432</v>
      </c>
      <c r="D6774" t="s">
        <v>304</v>
      </c>
      <c r="E6774">
        <f>YEAR(A6774)</f>
        <v>2015</v>
      </c>
      <c r="F6774" s="33">
        <f>DATE(YEAR(A6774),MONTH(A6774),1)</f>
        <v>42095.0</v>
      </c>
      <c r="G6774" t="str">
        <f>CHOOSE(WEEKDAY(A6774,2),"Mon","Tue","Wed","Thu","Fri","Sat","Sun")</f>
        <v>Fri</v>
      </c>
      <c r="H6774" t="str">
        <f>IF(WEEKDAY(A6774,2)&gt;5,"Weekend","Weekday")</f>
        <v>Weekday</v>
      </c>
      <c r="I6774" t="str">
        <f>_xlfn.IFS(B6774&lt;=5,"Night (0-5)",B6774&lt;=9,"Morning peak (6-9)",B6774&lt;=15,"Midday (10-15)",B6774&lt;=19,"Evening peak (16-19)",TRUE,"Late evening (20-23)")</f>
        <v>Midday (10-15)</v>
      </c>
    </row>
    <row r="6775" spans="1:9">
      <c r="A6775" s="32">
        <v>42104</v>
      </c>
      <c r="B6775">
        <v>16</v>
      </c>
      <c r="C6775">
        <v>3952</v>
      </c>
      <c r="D6775" t="s">
        <v>304</v>
      </c>
      <c r="E6775">
        <f>YEAR(A6775)</f>
        <v>2015</v>
      </c>
      <c r="F6775" s="33">
        <f>DATE(YEAR(A6775),MONTH(A6775),1)</f>
        <v>42095.0</v>
      </c>
      <c r="G6775" t="str">
        <f>CHOOSE(WEEKDAY(A6775,2),"Mon","Tue","Wed","Thu","Fri","Sat","Sun")</f>
        <v>Fri</v>
      </c>
      <c r="H6775" t="str">
        <f>IF(WEEKDAY(A6775,2)&gt;5,"Weekend","Weekday")</f>
        <v>Weekday</v>
      </c>
      <c r="I6775" t="str">
        <f>_xlfn.IFS(B6775&lt;=5,"Night (0-5)",B6775&lt;=9,"Morning peak (6-9)",B6775&lt;=15,"Midday (10-15)",B6775&lt;=19,"Evening peak (16-19)",TRUE,"Late evening (20-23)")</f>
        <v>Evening peak (16-19)</v>
      </c>
    </row>
    <row r="6776" spans="1:9">
      <c r="A6776" s="32">
        <v>42104</v>
      </c>
      <c r="B6776">
        <v>17</v>
      </c>
      <c r="C6776">
        <v>4779</v>
      </c>
      <c r="D6776" t="s">
        <v>304</v>
      </c>
      <c r="E6776">
        <f>YEAR(A6776)</f>
        <v>2015</v>
      </c>
      <c r="F6776" s="33">
        <f>DATE(YEAR(A6776),MONTH(A6776),1)</f>
        <v>42095.0</v>
      </c>
      <c r="G6776" t="str">
        <f>CHOOSE(WEEKDAY(A6776,2),"Mon","Tue","Wed","Thu","Fri","Sat","Sun")</f>
        <v>Fri</v>
      </c>
      <c r="H6776" t="str">
        <f>IF(WEEKDAY(A6776,2)&gt;5,"Weekend","Weekday")</f>
        <v>Weekday</v>
      </c>
      <c r="I6776" t="str">
        <f>_xlfn.IFS(B6776&lt;=5,"Night (0-5)",B6776&lt;=9,"Morning peak (6-9)",B6776&lt;=15,"Midday (10-15)",B6776&lt;=19,"Evening peak (16-19)",TRUE,"Late evening (20-23)")</f>
        <v>Evening peak (16-19)</v>
      </c>
    </row>
    <row r="6777" spans="1:9">
      <c r="A6777" s="32">
        <v>42104</v>
      </c>
      <c r="B6777">
        <v>18</v>
      </c>
      <c r="C6777">
        <v>5485</v>
      </c>
      <c r="D6777" t="s">
        <v>304</v>
      </c>
      <c r="E6777">
        <f>YEAR(A6777)</f>
        <v>2015</v>
      </c>
      <c r="F6777" s="33">
        <f>DATE(YEAR(A6777),MONTH(A6777),1)</f>
        <v>42095.0</v>
      </c>
      <c r="G6777" t="str">
        <f>CHOOSE(WEEKDAY(A6777,2),"Mon","Tue","Wed","Thu","Fri","Sat","Sun")</f>
        <v>Fri</v>
      </c>
      <c r="H6777" t="str">
        <f>IF(WEEKDAY(A6777,2)&gt;5,"Weekend","Weekday")</f>
        <v>Weekday</v>
      </c>
      <c r="I6777" t="str">
        <f>_xlfn.IFS(B6777&lt;=5,"Night (0-5)",B6777&lt;=9,"Morning peak (6-9)",B6777&lt;=15,"Midday (10-15)",B6777&lt;=19,"Evening peak (16-19)",TRUE,"Late evening (20-23)")</f>
        <v>Evening peak (16-19)</v>
      </c>
    </row>
    <row r="6778" spans="1:9">
      <c r="A6778" s="32">
        <v>42104</v>
      </c>
      <c r="B6778">
        <v>19</v>
      </c>
      <c r="C6778">
        <v>5971</v>
      </c>
      <c r="D6778" t="s">
        <v>304</v>
      </c>
      <c r="E6778">
        <f>YEAR(A6778)</f>
        <v>2015</v>
      </c>
      <c r="F6778" s="33">
        <f>DATE(YEAR(A6778),MONTH(A6778),1)</f>
        <v>42095.0</v>
      </c>
      <c r="G6778" t="str">
        <f>CHOOSE(WEEKDAY(A6778,2),"Mon","Tue","Wed","Thu","Fri","Sat","Sun")</f>
        <v>Fri</v>
      </c>
      <c r="H6778" t="str">
        <f>IF(WEEKDAY(A6778,2)&gt;5,"Weekend","Weekday")</f>
        <v>Weekday</v>
      </c>
      <c r="I6778" t="str">
        <f>_xlfn.IFS(B6778&lt;=5,"Night (0-5)",B6778&lt;=9,"Morning peak (6-9)",B6778&lt;=15,"Midday (10-15)",B6778&lt;=19,"Evening peak (16-19)",TRUE,"Late evening (20-23)")</f>
        <v>Evening peak (16-19)</v>
      </c>
    </row>
    <row r="6779" spans="1:9">
      <c r="A6779" s="32">
        <v>42104</v>
      </c>
      <c r="B6779">
        <v>20</v>
      </c>
      <c r="C6779">
        <v>5754</v>
      </c>
      <c r="D6779" t="s">
        <v>304</v>
      </c>
      <c r="E6779">
        <f>YEAR(A6779)</f>
        <v>2015</v>
      </c>
      <c r="F6779" s="33">
        <f>DATE(YEAR(A6779),MONTH(A6779),1)</f>
        <v>42095.0</v>
      </c>
      <c r="G6779" t="str">
        <f>CHOOSE(WEEKDAY(A6779,2),"Mon","Tue","Wed","Thu","Fri","Sat","Sun")</f>
        <v>Fri</v>
      </c>
      <c r="H6779" t="str">
        <f>IF(WEEKDAY(A6779,2)&gt;5,"Weekend","Weekday")</f>
        <v>Weekday</v>
      </c>
      <c r="I6779" t="str">
        <f>_xlfn.IFS(B6779&lt;=5,"Night (0-5)",B6779&lt;=9,"Morning peak (6-9)",B6779&lt;=15,"Midday (10-15)",B6779&lt;=19,"Evening peak (16-19)",TRUE,"Late evening (20-23)")</f>
        <v>Late evening (20-23)</v>
      </c>
    </row>
    <row r="6780" spans="1:9">
      <c r="A6780" s="32">
        <v>42104</v>
      </c>
      <c r="B6780">
        <v>21</v>
      </c>
      <c r="C6780">
        <v>5288</v>
      </c>
      <c r="D6780" t="s">
        <v>304</v>
      </c>
      <c r="E6780">
        <f>YEAR(A6780)</f>
        <v>2015</v>
      </c>
      <c r="F6780" s="33">
        <f>DATE(YEAR(A6780),MONTH(A6780),1)</f>
        <v>42095.0</v>
      </c>
      <c r="G6780" t="str">
        <f>CHOOSE(WEEKDAY(A6780,2),"Mon","Tue","Wed","Thu","Fri","Sat","Sun")</f>
        <v>Fri</v>
      </c>
      <c r="H6780" t="str">
        <f>IF(WEEKDAY(A6780,2)&gt;5,"Weekend","Weekday")</f>
        <v>Weekday</v>
      </c>
      <c r="I6780" t="str">
        <f>_xlfn.IFS(B6780&lt;=5,"Night (0-5)",B6780&lt;=9,"Morning peak (6-9)",B6780&lt;=15,"Midday (10-15)",B6780&lt;=19,"Evening peak (16-19)",TRUE,"Late evening (20-23)")</f>
        <v>Late evening (20-23)</v>
      </c>
    </row>
    <row r="6781" spans="1:9">
      <c r="A6781" s="32">
        <v>42104</v>
      </c>
      <c r="B6781">
        <v>22</v>
      </c>
      <c r="C6781">
        <v>5570</v>
      </c>
      <c r="D6781" t="s">
        <v>304</v>
      </c>
      <c r="E6781">
        <f>YEAR(A6781)</f>
        <v>2015</v>
      </c>
      <c r="F6781" s="33">
        <f>DATE(YEAR(A6781),MONTH(A6781),1)</f>
        <v>42095.0</v>
      </c>
      <c r="G6781" t="str">
        <f>CHOOSE(WEEKDAY(A6781,2),"Mon","Tue","Wed","Thu","Fri","Sat","Sun")</f>
        <v>Fri</v>
      </c>
      <c r="H6781" t="str">
        <f>IF(WEEKDAY(A6781,2)&gt;5,"Weekend","Weekday")</f>
        <v>Weekday</v>
      </c>
      <c r="I6781" t="str">
        <f>_xlfn.IFS(B6781&lt;=5,"Night (0-5)",B6781&lt;=9,"Morning peak (6-9)",B6781&lt;=15,"Midday (10-15)",B6781&lt;=19,"Evening peak (16-19)",TRUE,"Late evening (20-23)")</f>
        <v>Late evening (20-23)</v>
      </c>
    </row>
    <row r="6782" spans="1:9">
      <c r="A6782" s="32">
        <v>42104</v>
      </c>
      <c r="B6782">
        <v>23</v>
      </c>
      <c r="C6782">
        <v>5900</v>
      </c>
      <c r="D6782" t="s">
        <v>304</v>
      </c>
      <c r="E6782">
        <f>YEAR(A6782)</f>
        <v>2015</v>
      </c>
      <c r="F6782" s="33">
        <f>DATE(YEAR(A6782),MONTH(A6782),1)</f>
        <v>42095.0</v>
      </c>
      <c r="G6782" t="str">
        <f>CHOOSE(WEEKDAY(A6782,2),"Mon","Tue","Wed","Thu","Fri","Sat","Sun")</f>
        <v>Fri</v>
      </c>
      <c r="H6782" t="str">
        <f>IF(WEEKDAY(A6782,2)&gt;5,"Weekend","Weekday")</f>
        <v>Weekday</v>
      </c>
      <c r="I6782" t="str">
        <f>_xlfn.IFS(B6782&lt;=5,"Night (0-5)",B6782&lt;=9,"Morning peak (6-9)",B6782&lt;=15,"Midday (10-15)",B6782&lt;=19,"Evening peak (16-19)",TRUE,"Late evening (20-23)")</f>
        <v>Late evening (20-23)</v>
      </c>
    </row>
    <row r="6783" spans="1:9">
      <c r="A6783" s="32">
        <v>42105</v>
      </c>
      <c r="B6783">
        <v>0</v>
      </c>
      <c r="C6783">
        <v>5076</v>
      </c>
      <c r="D6783" t="s">
        <v>304</v>
      </c>
      <c r="E6783">
        <f>YEAR(A6783)</f>
        <v>2015</v>
      </c>
      <c r="F6783" s="33">
        <f>DATE(YEAR(A6783),MONTH(A6783),1)</f>
        <v>42095.0</v>
      </c>
      <c r="G6783" t="str">
        <f>CHOOSE(WEEKDAY(A6783,2),"Mon","Tue","Wed","Thu","Fri","Sat","Sun")</f>
        <v>Sat</v>
      </c>
      <c r="H6783" t="str">
        <f>IF(WEEKDAY(A6783,2)&gt;5,"Weekend","Weekday")</f>
        <v>Weekend</v>
      </c>
      <c r="I6783" t="str">
        <f>_xlfn.IFS(B6783&lt;=5,"Night (0-5)",B6783&lt;=9,"Morning peak (6-9)",B6783&lt;=15,"Midday (10-15)",B6783&lt;=19,"Evening peak (16-19)",TRUE,"Late evening (20-23)")</f>
        <v>Night (0-5)</v>
      </c>
    </row>
    <row r="6784" spans="1:9">
      <c r="A6784" s="32">
        <v>42105</v>
      </c>
      <c r="B6784">
        <v>1</v>
      </c>
      <c r="C6784">
        <v>3564</v>
      </c>
      <c r="D6784" t="s">
        <v>304</v>
      </c>
      <c r="E6784">
        <f>YEAR(A6784)</f>
        <v>2015</v>
      </c>
      <c r="F6784" s="33">
        <f>DATE(YEAR(A6784),MONTH(A6784),1)</f>
        <v>42095.0</v>
      </c>
      <c r="G6784" t="str">
        <f>CHOOSE(WEEKDAY(A6784,2),"Mon","Tue","Wed","Thu","Fri","Sat","Sun")</f>
        <v>Sat</v>
      </c>
      <c r="H6784" t="str">
        <f>IF(WEEKDAY(A6784,2)&gt;5,"Weekend","Weekday")</f>
        <v>Weekend</v>
      </c>
      <c r="I6784" t="str">
        <f>_xlfn.IFS(B6784&lt;=5,"Night (0-5)",B6784&lt;=9,"Morning peak (6-9)",B6784&lt;=15,"Midday (10-15)",B6784&lt;=19,"Evening peak (16-19)",TRUE,"Late evening (20-23)")</f>
        <v>Night (0-5)</v>
      </c>
    </row>
    <row r="6785" spans="1:9">
      <c r="A6785" s="32">
        <v>42105</v>
      </c>
      <c r="B6785">
        <v>2</v>
      </c>
      <c r="C6785">
        <v>2658</v>
      </c>
      <c r="D6785" t="s">
        <v>304</v>
      </c>
      <c r="E6785">
        <f>YEAR(A6785)</f>
        <v>2015</v>
      </c>
      <c r="F6785" s="33">
        <f>DATE(YEAR(A6785),MONTH(A6785),1)</f>
        <v>42095.0</v>
      </c>
      <c r="G6785" t="str">
        <f>CHOOSE(WEEKDAY(A6785,2),"Mon","Tue","Wed","Thu","Fri","Sat","Sun")</f>
        <v>Sat</v>
      </c>
      <c r="H6785" t="str">
        <f>IF(WEEKDAY(A6785,2)&gt;5,"Weekend","Weekday")</f>
        <v>Weekend</v>
      </c>
      <c r="I6785" t="str">
        <f>_xlfn.IFS(B6785&lt;=5,"Night (0-5)",B6785&lt;=9,"Morning peak (6-9)",B6785&lt;=15,"Midday (10-15)",B6785&lt;=19,"Evening peak (16-19)",TRUE,"Late evening (20-23)")</f>
        <v>Night (0-5)</v>
      </c>
    </row>
    <row r="6786" spans="1:9">
      <c r="A6786" s="32">
        <v>42105</v>
      </c>
      <c r="B6786">
        <v>3</v>
      </c>
      <c r="C6786">
        <v>1733</v>
      </c>
      <c r="D6786" t="s">
        <v>304</v>
      </c>
      <c r="E6786">
        <f>YEAR(A6786)</f>
        <v>2015</v>
      </c>
      <c r="F6786" s="33">
        <f>DATE(YEAR(A6786),MONTH(A6786),1)</f>
        <v>42095.0</v>
      </c>
      <c r="G6786" t="str">
        <f>CHOOSE(WEEKDAY(A6786,2),"Mon","Tue","Wed","Thu","Fri","Sat","Sun")</f>
        <v>Sat</v>
      </c>
      <c r="H6786" t="str">
        <f>IF(WEEKDAY(A6786,2)&gt;5,"Weekend","Weekday")</f>
        <v>Weekend</v>
      </c>
      <c r="I6786" t="str">
        <f>_xlfn.IFS(B6786&lt;=5,"Night (0-5)",B6786&lt;=9,"Morning peak (6-9)",B6786&lt;=15,"Midday (10-15)",B6786&lt;=19,"Evening peak (16-19)",TRUE,"Late evening (20-23)")</f>
        <v>Night (0-5)</v>
      </c>
    </row>
    <row r="6787" spans="1:9">
      <c r="A6787" s="32">
        <v>42105</v>
      </c>
      <c r="B6787">
        <v>4</v>
      </c>
      <c r="C6787">
        <v>1294</v>
      </c>
      <c r="D6787" t="s">
        <v>304</v>
      </c>
      <c r="E6787">
        <f>YEAR(A6787)</f>
        <v>2015</v>
      </c>
      <c r="F6787" s="33">
        <f>DATE(YEAR(A6787),MONTH(A6787),1)</f>
        <v>42095.0</v>
      </c>
      <c r="G6787" t="str">
        <f>CHOOSE(WEEKDAY(A6787,2),"Mon","Tue","Wed","Thu","Fri","Sat","Sun")</f>
        <v>Sat</v>
      </c>
      <c r="H6787" t="str">
        <f>IF(WEEKDAY(A6787,2)&gt;5,"Weekend","Weekday")</f>
        <v>Weekend</v>
      </c>
      <c r="I6787" t="str">
        <f>_xlfn.IFS(B6787&lt;=5,"Night (0-5)",B6787&lt;=9,"Morning peak (6-9)",B6787&lt;=15,"Midday (10-15)",B6787&lt;=19,"Evening peak (16-19)",TRUE,"Late evening (20-23)")</f>
        <v>Night (0-5)</v>
      </c>
    </row>
    <row r="6788" spans="1:9">
      <c r="A6788" s="32">
        <v>42105</v>
      </c>
      <c r="B6788">
        <v>5</v>
      </c>
      <c r="C6788">
        <v>860</v>
      </c>
      <c r="D6788" t="s">
        <v>304</v>
      </c>
      <c r="E6788">
        <f>YEAR(A6788)</f>
        <v>2015</v>
      </c>
      <c r="F6788" s="33">
        <f>DATE(YEAR(A6788),MONTH(A6788),1)</f>
        <v>42095.0</v>
      </c>
      <c r="G6788" t="str">
        <f>CHOOSE(WEEKDAY(A6788,2),"Mon","Tue","Wed","Thu","Fri","Sat","Sun")</f>
        <v>Sat</v>
      </c>
      <c r="H6788" t="str">
        <f>IF(WEEKDAY(A6788,2)&gt;5,"Weekend","Weekday")</f>
        <v>Weekend</v>
      </c>
      <c r="I6788" t="str">
        <f>_xlfn.IFS(B6788&lt;=5,"Night (0-5)",B6788&lt;=9,"Morning peak (6-9)",B6788&lt;=15,"Midday (10-15)",B6788&lt;=19,"Evening peak (16-19)",TRUE,"Late evening (20-23)")</f>
        <v>Night (0-5)</v>
      </c>
    </row>
    <row r="6789" spans="1:9">
      <c r="A6789" s="32">
        <v>42105</v>
      </c>
      <c r="B6789">
        <v>6</v>
      </c>
      <c r="C6789">
        <v>961</v>
      </c>
      <c r="D6789" t="s">
        <v>304</v>
      </c>
      <c r="E6789">
        <f>YEAR(A6789)</f>
        <v>2015</v>
      </c>
      <c r="F6789" s="33">
        <f>DATE(YEAR(A6789),MONTH(A6789),1)</f>
        <v>42095.0</v>
      </c>
      <c r="G6789" t="str">
        <f>CHOOSE(WEEKDAY(A6789,2),"Mon","Tue","Wed","Thu","Fri","Sat","Sun")</f>
        <v>Sat</v>
      </c>
      <c r="H6789" t="str">
        <f>IF(WEEKDAY(A6789,2)&gt;5,"Weekend","Weekday")</f>
        <v>Weekend</v>
      </c>
      <c r="I6789" t="str">
        <f>_xlfn.IFS(B6789&lt;=5,"Night (0-5)",B6789&lt;=9,"Morning peak (6-9)",B6789&lt;=15,"Midday (10-15)",B6789&lt;=19,"Evening peak (16-19)",TRUE,"Late evening (20-23)")</f>
        <v>Morning peak (6-9)</v>
      </c>
    </row>
    <row r="6790" spans="1:9">
      <c r="A6790" s="32">
        <v>42105</v>
      </c>
      <c r="B6790">
        <v>7</v>
      </c>
      <c r="C6790">
        <v>1081</v>
      </c>
      <c r="D6790" t="s">
        <v>304</v>
      </c>
      <c r="E6790">
        <f>YEAR(A6790)</f>
        <v>2015</v>
      </c>
      <c r="F6790" s="33">
        <f>DATE(YEAR(A6790),MONTH(A6790),1)</f>
        <v>42095.0</v>
      </c>
      <c r="G6790" t="str">
        <f>CHOOSE(WEEKDAY(A6790,2),"Mon","Tue","Wed","Thu","Fri","Sat","Sun")</f>
        <v>Sat</v>
      </c>
      <c r="H6790" t="str">
        <f>IF(WEEKDAY(A6790,2)&gt;5,"Weekend","Weekday")</f>
        <v>Weekend</v>
      </c>
      <c r="I6790" t="str">
        <f>_xlfn.IFS(B6790&lt;=5,"Night (0-5)",B6790&lt;=9,"Morning peak (6-9)",B6790&lt;=15,"Midday (10-15)",B6790&lt;=19,"Evening peak (16-19)",TRUE,"Late evening (20-23)")</f>
        <v>Morning peak (6-9)</v>
      </c>
    </row>
    <row r="6791" spans="1:9">
      <c r="A6791" s="32">
        <v>42105</v>
      </c>
      <c r="B6791">
        <v>8</v>
      </c>
      <c r="C6791">
        <v>1505</v>
      </c>
      <c r="D6791" t="s">
        <v>304</v>
      </c>
      <c r="E6791">
        <f>YEAR(A6791)</f>
        <v>2015</v>
      </c>
      <c r="F6791" s="33">
        <f>DATE(YEAR(A6791),MONTH(A6791),1)</f>
        <v>42095.0</v>
      </c>
      <c r="G6791" t="str">
        <f>CHOOSE(WEEKDAY(A6791,2),"Mon","Tue","Wed","Thu","Fri","Sat","Sun")</f>
        <v>Sat</v>
      </c>
      <c r="H6791" t="str">
        <f>IF(WEEKDAY(A6791,2)&gt;5,"Weekend","Weekday")</f>
        <v>Weekend</v>
      </c>
      <c r="I6791" t="str">
        <f>_xlfn.IFS(B6791&lt;=5,"Night (0-5)",B6791&lt;=9,"Morning peak (6-9)",B6791&lt;=15,"Midday (10-15)",B6791&lt;=19,"Evening peak (16-19)",TRUE,"Late evening (20-23)")</f>
        <v>Morning peak (6-9)</v>
      </c>
    </row>
    <row r="6792" spans="1:9">
      <c r="A6792" s="32">
        <v>42105</v>
      </c>
      <c r="B6792">
        <v>9</v>
      </c>
      <c r="C6792">
        <v>2004</v>
      </c>
      <c r="D6792" t="s">
        <v>304</v>
      </c>
      <c r="E6792">
        <f>YEAR(A6792)</f>
        <v>2015</v>
      </c>
      <c r="F6792" s="33">
        <f>DATE(YEAR(A6792),MONTH(A6792),1)</f>
        <v>42095.0</v>
      </c>
      <c r="G6792" t="str">
        <f>CHOOSE(WEEKDAY(A6792,2),"Mon","Tue","Wed","Thu","Fri","Sat","Sun")</f>
        <v>Sat</v>
      </c>
      <c r="H6792" t="str">
        <f>IF(WEEKDAY(A6792,2)&gt;5,"Weekend","Weekday")</f>
        <v>Weekend</v>
      </c>
      <c r="I6792" t="str">
        <f>_xlfn.IFS(B6792&lt;=5,"Night (0-5)",B6792&lt;=9,"Morning peak (6-9)",B6792&lt;=15,"Midday (10-15)",B6792&lt;=19,"Evening peak (16-19)",TRUE,"Late evening (20-23)")</f>
        <v>Morning peak (6-9)</v>
      </c>
    </row>
    <row r="6793" spans="1:9">
      <c r="A6793" s="32">
        <v>42105</v>
      </c>
      <c r="B6793">
        <v>10</v>
      </c>
      <c r="C6793">
        <v>2389</v>
      </c>
      <c r="D6793" t="s">
        <v>304</v>
      </c>
      <c r="E6793">
        <f>YEAR(A6793)</f>
        <v>2015</v>
      </c>
      <c r="F6793" s="33">
        <f>DATE(YEAR(A6793),MONTH(A6793),1)</f>
        <v>42095.0</v>
      </c>
      <c r="G6793" t="str">
        <f>CHOOSE(WEEKDAY(A6793,2),"Mon","Tue","Wed","Thu","Fri","Sat","Sun")</f>
        <v>Sat</v>
      </c>
      <c r="H6793" t="str">
        <f>IF(WEEKDAY(A6793,2)&gt;5,"Weekend","Weekday")</f>
        <v>Weekend</v>
      </c>
      <c r="I6793" t="str">
        <f>_xlfn.IFS(B6793&lt;=5,"Night (0-5)",B6793&lt;=9,"Morning peak (6-9)",B6793&lt;=15,"Midday (10-15)",B6793&lt;=19,"Evening peak (16-19)",TRUE,"Late evening (20-23)")</f>
        <v>Midday (10-15)</v>
      </c>
    </row>
    <row r="6794" spans="1:9">
      <c r="A6794" s="32">
        <v>42105</v>
      </c>
      <c r="B6794">
        <v>11</v>
      </c>
      <c r="C6794">
        <v>2768</v>
      </c>
      <c r="D6794" t="s">
        <v>304</v>
      </c>
      <c r="E6794">
        <f>YEAR(A6794)</f>
        <v>2015</v>
      </c>
      <c r="F6794" s="33">
        <f>DATE(YEAR(A6794),MONTH(A6794),1)</f>
        <v>42095.0</v>
      </c>
      <c r="G6794" t="str">
        <f>CHOOSE(WEEKDAY(A6794,2),"Mon","Tue","Wed","Thu","Fri","Sat","Sun")</f>
        <v>Sat</v>
      </c>
      <c r="H6794" t="str">
        <f>IF(WEEKDAY(A6794,2)&gt;5,"Weekend","Weekday")</f>
        <v>Weekend</v>
      </c>
      <c r="I6794" t="str">
        <f>_xlfn.IFS(B6794&lt;=5,"Night (0-5)",B6794&lt;=9,"Morning peak (6-9)",B6794&lt;=15,"Midday (10-15)",B6794&lt;=19,"Evening peak (16-19)",TRUE,"Late evening (20-23)")</f>
        <v>Midday (10-15)</v>
      </c>
    </row>
    <row r="6795" spans="1:9">
      <c r="A6795" s="32">
        <v>42105</v>
      </c>
      <c r="B6795">
        <v>12</v>
      </c>
      <c r="C6795">
        <v>3036</v>
      </c>
      <c r="D6795" t="s">
        <v>304</v>
      </c>
      <c r="E6795">
        <f>YEAR(A6795)</f>
        <v>2015</v>
      </c>
      <c r="F6795" s="33">
        <f>DATE(YEAR(A6795),MONTH(A6795),1)</f>
        <v>42095.0</v>
      </c>
      <c r="G6795" t="str">
        <f>CHOOSE(WEEKDAY(A6795,2),"Mon","Tue","Wed","Thu","Fri","Sat","Sun")</f>
        <v>Sat</v>
      </c>
      <c r="H6795" t="str">
        <f>IF(WEEKDAY(A6795,2)&gt;5,"Weekend","Weekday")</f>
        <v>Weekend</v>
      </c>
      <c r="I6795" t="str">
        <f>_xlfn.IFS(B6795&lt;=5,"Night (0-5)",B6795&lt;=9,"Morning peak (6-9)",B6795&lt;=15,"Midday (10-15)",B6795&lt;=19,"Evening peak (16-19)",TRUE,"Late evening (20-23)")</f>
        <v>Midday (10-15)</v>
      </c>
    </row>
    <row r="6796" spans="1:9">
      <c r="A6796" s="32">
        <v>42105</v>
      </c>
      <c r="B6796">
        <v>13</v>
      </c>
      <c r="C6796">
        <v>2890</v>
      </c>
      <c r="D6796" t="s">
        <v>304</v>
      </c>
      <c r="E6796">
        <f>YEAR(A6796)</f>
        <v>2015</v>
      </c>
      <c r="F6796" s="33">
        <f>DATE(YEAR(A6796),MONTH(A6796),1)</f>
        <v>42095.0</v>
      </c>
      <c r="G6796" t="str">
        <f>CHOOSE(WEEKDAY(A6796,2),"Mon","Tue","Wed","Thu","Fri","Sat","Sun")</f>
        <v>Sat</v>
      </c>
      <c r="H6796" t="str">
        <f>IF(WEEKDAY(A6796,2)&gt;5,"Weekend","Weekday")</f>
        <v>Weekend</v>
      </c>
      <c r="I6796" t="str">
        <f>_xlfn.IFS(B6796&lt;=5,"Night (0-5)",B6796&lt;=9,"Morning peak (6-9)",B6796&lt;=15,"Midday (10-15)",B6796&lt;=19,"Evening peak (16-19)",TRUE,"Late evening (20-23)")</f>
        <v>Midday (10-15)</v>
      </c>
    </row>
    <row r="6797" spans="1:9">
      <c r="A6797" s="32">
        <v>42105</v>
      </c>
      <c r="B6797">
        <v>14</v>
      </c>
      <c r="C6797">
        <v>3131</v>
      </c>
      <c r="D6797" t="s">
        <v>304</v>
      </c>
      <c r="E6797">
        <f>YEAR(A6797)</f>
        <v>2015</v>
      </c>
      <c r="F6797" s="33">
        <f>DATE(YEAR(A6797),MONTH(A6797),1)</f>
        <v>42095.0</v>
      </c>
      <c r="G6797" t="str">
        <f>CHOOSE(WEEKDAY(A6797,2),"Mon","Tue","Wed","Thu","Fri","Sat","Sun")</f>
        <v>Sat</v>
      </c>
      <c r="H6797" t="str">
        <f>IF(WEEKDAY(A6797,2)&gt;5,"Weekend","Weekday")</f>
        <v>Weekend</v>
      </c>
      <c r="I6797" t="str">
        <f>_xlfn.IFS(B6797&lt;=5,"Night (0-5)",B6797&lt;=9,"Morning peak (6-9)",B6797&lt;=15,"Midday (10-15)",B6797&lt;=19,"Evening peak (16-19)",TRUE,"Late evening (20-23)")</f>
        <v>Midday (10-15)</v>
      </c>
    </row>
    <row r="6798" spans="1:9">
      <c r="A6798" s="32">
        <v>42105</v>
      </c>
      <c r="B6798">
        <v>15</v>
      </c>
      <c r="C6798">
        <v>3355</v>
      </c>
      <c r="D6798" t="s">
        <v>304</v>
      </c>
      <c r="E6798">
        <f>YEAR(A6798)</f>
        <v>2015</v>
      </c>
      <c r="F6798" s="33">
        <f>DATE(YEAR(A6798),MONTH(A6798),1)</f>
        <v>42095.0</v>
      </c>
      <c r="G6798" t="str">
        <f>CHOOSE(WEEKDAY(A6798,2),"Mon","Tue","Wed","Thu","Fri","Sat","Sun")</f>
        <v>Sat</v>
      </c>
      <c r="H6798" t="str">
        <f>IF(WEEKDAY(A6798,2)&gt;5,"Weekend","Weekday")</f>
        <v>Weekend</v>
      </c>
      <c r="I6798" t="str">
        <f>_xlfn.IFS(B6798&lt;=5,"Night (0-5)",B6798&lt;=9,"Morning peak (6-9)",B6798&lt;=15,"Midday (10-15)",B6798&lt;=19,"Evening peak (16-19)",TRUE,"Late evening (20-23)")</f>
        <v>Midday (10-15)</v>
      </c>
    </row>
    <row r="6799" spans="1:9">
      <c r="A6799" s="32">
        <v>42105</v>
      </c>
      <c r="B6799">
        <v>16</v>
      </c>
      <c r="C6799">
        <v>3978</v>
      </c>
      <c r="D6799" t="s">
        <v>304</v>
      </c>
      <c r="E6799">
        <f>YEAR(A6799)</f>
        <v>2015</v>
      </c>
      <c r="F6799" s="33">
        <f>DATE(YEAR(A6799),MONTH(A6799),1)</f>
        <v>42095.0</v>
      </c>
      <c r="G6799" t="str">
        <f>CHOOSE(WEEKDAY(A6799,2),"Mon","Tue","Wed","Thu","Fri","Sat","Sun")</f>
        <v>Sat</v>
      </c>
      <c r="H6799" t="str">
        <f>IF(WEEKDAY(A6799,2)&gt;5,"Weekend","Weekday")</f>
        <v>Weekend</v>
      </c>
      <c r="I6799" t="str">
        <f>_xlfn.IFS(B6799&lt;=5,"Night (0-5)",B6799&lt;=9,"Morning peak (6-9)",B6799&lt;=15,"Midday (10-15)",B6799&lt;=19,"Evening peak (16-19)",TRUE,"Late evening (20-23)")</f>
        <v>Evening peak (16-19)</v>
      </c>
    </row>
    <row r="6800" spans="1:9">
      <c r="A6800" s="32">
        <v>42105</v>
      </c>
      <c r="B6800">
        <v>17</v>
      </c>
      <c r="C6800">
        <v>4626</v>
      </c>
      <c r="D6800" t="s">
        <v>304</v>
      </c>
      <c r="E6800">
        <f>YEAR(A6800)</f>
        <v>2015</v>
      </c>
      <c r="F6800" s="33">
        <f>DATE(YEAR(A6800),MONTH(A6800),1)</f>
        <v>42095.0</v>
      </c>
      <c r="G6800" t="str">
        <f>CHOOSE(WEEKDAY(A6800,2),"Mon","Tue","Wed","Thu","Fri","Sat","Sun")</f>
        <v>Sat</v>
      </c>
      <c r="H6800" t="str">
        <f>IF(WEEKDAY(A6800,2)&gt;5,"Weekend","Weekday")</f>
        <v>Weekend</v>
      </c>
      <c r="I6800" t="str">
        <f>_xlfn.IFS(B6800&lt;=5,"Night (0-5)",B6800&lt;=9,"Morning peak (6-9)",B6800&lt;=15,"Midday (10-15)",B6800&lt;=19,"Evening peak (16-19)",TRUE,"Late evening (20-23)")</f>
        <v>Evening peak (16-19)</v>
      </c>
    </row>
    <row r="6801" spans="1:9">
      <c r="A6801" s="32">
        <v>42105</v>
      </c>
      <c r="B6801">
        <v>18</v>
      </c>
      <c r="C6801">
        <v>5229</v>
      </c>
      <c r="D6801" t="s">
        <v>304</v>
      </c>
      <c r="E6801">
        <f>YEAR(A6801)</f>
        <v>2015</v>
      </c>
      <c r="F6801" s="33">
        <f>DATE(YEAR(A6801),MONTH(A6801),1)</f>
        <v>42095.0</v>
      </c>
      <c r="G6801" t="str">
        <f>CHOOSE(WEEKDAY(A6801,2),"Mon","Tue","Wed","Thu","Fri","Sat","Sun")</f>
        <v>Sat</v>
      </c>
      <c r="H6801" t="str">
        <f>IF(WEEKDAY(A6801,2)&gt;5,"Weekend","Weekday")</f>
        <v>Weekend</v>
      </c>
      <c r="I6801" t="str">
        <f>_xlfn.IFS(B6801&lt;=5,"Night (0-5)",B6801&lt;=9,"Morning peak (6-9)",B6801&lt;=15,"Midday (10-15)",B6801&lt;=19,"Evening peak (16-19)",TRUE,"Late evening (20-23)")</f>
        <v>Evening peak (16-19)</v>
      </c>
    </row>
    <row r="6802" spans="1:9">
      <c r="A6802" s="32">
        <v>42105</v>
      </c>
      <c r="B6802">
        <v>19</v>
      </c>
      <c r="C6802">
        <v>5741</v>
      </c>
      <c r="D6802" t="s">
        <v>304</v>
      </c>
      <c r="E6802">
        <f>YEAR(A6802)</f>
        <v>2015</v>
      </c>
      <c r="F6802" s="33">
        <f>DATE(YEAR(A6802),MONTH(A6802),1)</f>
        <v>42095.0</v>
      </c>
      <c r="G6802" t="str">
        <f>CHOOSE(WEEKDAY(A6802,2),"Mon","Tue","Wed","Thu","Fri","Sat","Sun")</f>
        <v>Sat</v>
      </c>
      <c r="H6802" t="str">
        <f>IF(WEEKDAY(A6802,2)&gt;5,"Weekend","Weekday")</f>
        <v>Weekend</v>
      </c>
      <c r="I6802" t="str">
        <f>_xlfn.IFS(B6802&lt;=5,"Night (0-5)",B6802&lt;=9,"Morning peak (6-9)",B6802&lt;=15,"Midday (10-15)",B6802&lt;=19,"Evening peak (16-19)",TRUE,"Late evening (20-23)")</f>
        <v>Evening peak (16-19)</v>
      </c>
    </row>
    <row r="6803" spans="1:9">
      <c r="A6803" s="32">
        <v>42105</v>
      </c>
      <c r="B6803">
        <v>20</v>
      </c>
      <c r="C6803">
        <v>6054</v>
      </c>
      <c r="D6803" t="s">
        <v>304</v>
      </c>
      <c r="E6803">
        <f>YEAR(A6803)</f>
        <v>2015</v>
      </c>
      <c r="F6803" s="33">
        <f>DATE(YEAR(A6803),MONTH(A6803),1)</f>
        <v>42095.0</v>
      </c>
      <c r="G6803" t="str">
        <f>CHOOSE(WEEKDAY(A6803,2),"Mon","Tue","Wed","Thu","Fri","Sat","Sun")</f>
        <v>Sat</v>
      </c>
      <c r="H6803" t="str">
        <f>IF(WEEKDAY(A6803,2)&gt;5,"Weekend","Weekday")</f>
        <v>Weekend</v>
      </c>
      <c r="I6803" t="str">
        <f>_xlfn.IFS(B6803&lt;=5,"Night (0-5)",B6803&lt;=9,"Morning peak (6-9)",B6803&lt;=15,"Midday (10-15)",B6803&lt;=19,"Evening peak (16-19)",TRUE,"Late evening (20-23)")</f>
        <v>Late evening (20-23)</v>
      </c>
    </row>
    <row r="6804" spans="1:9">
      <c r="A6804" s="32">
        <v>42105</v>
      </c>
      <c r="B6804">
        <v>21</v>
      </c>
      <c r="C6804">
        <v>5714</v>
      </c>
      <c r="D6804" t="s">
        <v>304</v>
      </c>
      <c r="E6804">
        <f>YEAR(A6804)</f>
        <v>2015</v>
      </c>
      <c r="F6804" s="33">
        <f>DATE(YEAR(A6804),MONTH(A6804),1)</f>
        <v>42095.0</v>
      </c>
      <c r="G6804" t="str">
        <f>CHOOSE(WEEKDAY(A6804,2),"Mon","Tue","Wed","Thu","Fri","Sat","Sun")</f>
        <v>Sat</v>
      </c>
      <c r="H6804" t="str">
        <f>IF(WEEKDAY(A6804,2)&gt;5,"Weekend","Weekday")</f>
        <v>Weekend</v>
      </c>
      <c r="I6804" t="str">
        <f>_xlfn.IFS(B6804&lt;=5,"Night (0-5)",B6804&lt;=9,"Morning peak (6-9)",B6804&lt;=15,"Midday (10-15)",B6804&lt;=19,"Evening peak (16-19)",TRUE,"Late evening (20-23)")</f>
        <v>Late evening (20-23)</v>
      </c>
    </row>
    <row r="6805" spans="1:9">
      <c r="A6805" s="32">
        <v>42105</v>
      </c>
      <c r="B6805">
        <v>22</v>
      </c>
      <c r="C6805">
        <v>6293</v>
      </c>
      <c r="D6805" t="s">
        <v>304</v>
      </c>
      <c r="E6805">
        <f>YEAR(A6805)</f>
        <v>2015</v>
      </c>
      <c r="F6805" s="33">
        <f>DATE(YEAR(A6805),MONTH(A6805),1)</f>
        <v>42095.0</v>
      </c>
      <c r="G6805" t="str">
        <f>CHOOSE(WEEKDAY(A6805,2),"Mon","Tue","Wed","Thu","Fri","Sat","Sun")</f>
        <v>Sat</v>
      </c>
      <c r="H6805" t="str">
        <f>IF(WEEKDAY(A6805,2)&gt;5,"Weekend","Weekday")</f>
        <v>Weekend</v>
      </c>
      <c r="I6805" t="str">
        <f>_xlfn.IFS(B6805&lt;=5,"Night (0-5)",B6805&lt;=9,"Morning peak (6-9)",B6805&lt;=15,"Midday (10-15)",B6805&lt;=19,"Evening peak (16-19)",TRUE,"Late evening (20-23)")</f>
        <v>Late evening (20-23)</v>
      </c>
    </row>
    <row r="6806" spans="1:9">
      <c r="A6806" s="32">
        <v>42105</v>
      </c>
      <c r="B6806">
        <v>23</v>
      </c>
      <c r="C6806">
        <v>6607</v>
      </c>
      <c r="D6806" t="s">
        <v>304</v>
      </c>
      <c r="E6806">
        <f>YEAR(A6806)</f>
        <v>2015</v>
      </c>
      <c r="F6806" s="33">
        <f>DATE(YEAR(A6806),MONTH(A6806),1)</f>
        <v>42095.0</v>
      </c>
      <c r="G6806" t="str">
        <f>CHOOSE(WEEKDAY(A6806,2),"Mon","Tue","Wed","Thu","Fri","Sat","Sun")</f>
        <v>Sat</v>
      </c>
      <c r="H6806" t="str">
        <f>IF(WEEKDAY(A6806,2)&gt;5,"Weekend","Weekday")</f>
        <v>Weekend</v>
      </c>
      <c r="I6806" t="str">
        <f>_xlfn.IFS(B6806&lt;=5,"Night (0-5)",B6806&lt;=9,"Morning peak (6-9)",B6806&lt;=15,"Midday (10-15)",B6806&lt;=19,"Evening peak (16-19)",TRUE,"Late evening (20-23)")</f>
        <v>Late evening (20-23)</v>
      </c>
    </row>
    <row r="6807" spans="1:9">
      <c r="A6807" s="32">
        <v>42106</v>
      </c>
      <c r="B6807">
        <v>0</v>
      </c>
      <c r="C6807">
        <v>6086</v>
      </c>
      <c r="D6807" t="s">
        <v>304</v>
      </c>
      <c r="E6807">
        <f>YEAR(A6807)</f>
        <v>2015</v>
      </c>
      <c r="F6807" s="33">
        <f>DATE(YEAR(A6807),MONTH(A6807),1)</f>
        <v>42095.0</v>
      </c>
      <c r="G6807" t="str">
        <f>CHOOSE(WEEKDAY(A6807,2),"Mon","Tue","Wed","Thu","Fri","Sat","Sun")</f>
        <v>Sun</v>
      </c>
      <c r="H6807" t="str">
        <f>IF(WEEKDAY(A6807,2)&gt;5,"Weekend","Weekday")</f>
        <v>Weekend</v>
      </c>
      <c r="I6807" t="str">
        <f>_xlfn.IFS(B6807&lt;=5,"Night (0-5)",B6807&lt;=9,"Morning peak (6-9)",B6807&lt;=15,"Midday (10-15)",B6807&lt;=19,"Evening peak (16-19)",TRUE,"Late evening (20-23)")</f>
        <v>Night (0-5)</v>
      </c>
    </row>
    <row r="6808" spans="1:9">
      <c r="A6808" s="32">
        <v>42106</v>
      </c>
      <c r="B6808">
        <v>1</v>
      </c>
      <c r="C6808">
        <v>4973</v>
      </c>
      <c r="D6808" t="s">
        <v>304</v>
      </c>
      <c r="E6808">
        <f>YEAR(A6808)</f>
        <v>2015</v>
      </c>
      <c r="F6808" s="33">
        <f>DATE(YEAR(A6808),MONTH(A6808),1)</f>
        <v>42095.0</v>
      </c>
      <c r="G6808" t="str">
        <f>CHOOSE(WEEKDAY(A6808,2),"Mon","Tue","Wed","Thu","Fri","Sat","Sun")</f>
        <v>Sun</v>
      </c>
      <c r="H6808" t="str">
        <f>IF(WEEKDAY(A6808,2)&gt;5,"Weekend","Weekday")</f>
        <v>Weekend</v>
      </c>
      <c r="I6808" t="str">
        <f>_xlfn.IFS(B6808&lt;=5,"Night (0-5)",B6808&lt;=9,"Morning peak (6-9)",B6808&lt;=15,"Midday (10-15)",B6808&lt;=19,"Evening peak (16-19)",TRUE,"Late evening (20-23)")</f>
        <v>Night (0-5)</v>
      </c>
    </row>
    <row r="6809" spans="1:9">
      <c r="A6809" s="32">
        <v>42106</v>
      </c>
      <c r="B6809">
        <v>2</v>
      </c>
      <c r="C6809">
        <v>3661</v>
      </c>
      <c r="D6809" t="s">
        <v>304</v>
      </c>
      <c r="E6809">
        <f>YEAR(A6809)</f>
        <v>2015</v>
      </c>
      <c r="F6809" s="33">
        <f>DATE(YEAR(A6809),MONTH(A6809),1)</f>
        <v>42095.0</v>
      </c>
      <c r="G6809" t="str">
        <f>CHOOSE(WEEKDAY(A6809,2),"Mon","Tue","Wed","Thu","Fri","Sat","Sun")</f>
        <v>Sun</v>
      </c>
      <c r="H6809" t="str">
        <f>IF(WEEKDAY(A6809,2)&gt;5,"Weekend","Weekday")</f>
        <v>Weekend</v>
      </c>
      <c r="I6809" t="str">
        <f>_xlfn.IFS(B6809&lt;=5,"Night (0-5)",B6809&lt;=9,"Morning peak (6-9)",B6809&lt;=15,"Midday (10-15)",B6809&lt;=19,"Evening peak (16-19)",TRUE,"Late evening (20-23)")</f>
        <v>Night (0-5)</v>
      </c>
    </row>
    <row r="6810" spans="1:9">
      <c r="A6810" s="32">
        <v>42106</v>
      </c>
      <c r="B6810">
        <v>3</v>
      </c>
      <c r="C6810">
        <v>2385</v>
      </c>
      <c r="D6810" t="s">
        <v>304</v>
      </c>
      <c r="E6810">
        <f>YEAR(A6810)</f>
        <v>2015</v>
      </c>
      <c r="F6810" s="33">
        <f>DATE(YEAR(A6810),MONTH(A6810),1)</f>
        <v>42095.0</v>
      </c>
      <c r="G6810" t="str">
        <f>CHOOSE(WEEKDAY(A6810,2),"Mon","Tue","Wed","Thu","Fri","Sat","Sun")</f>
        <v>Sun</v>
      </c>
      <c r="H6810" t="str">
        <f>IF(WEEKDAY(A6810,2)&gt;5,"Weekend","Weekday")</f>
        <v>Weekend</v>
      </c>
      <c r="I6810" t="str">
        <f>_xlfn.IFS(B6810&lt;=5,"Night (0-5)",B6810&lt;=9,"Morning peak (6-9)",B6810&lt;=15,"Midday (10-15)",B6810&lt;=19,"Evening peak (16-19)",TRUE,"Late evening (20-23)")</f>
        <v>Night (0-5)</v>
      </c>
    </row>
    <row r="6811" spans="1:9">
      <c r="A6811" s="32">
        <v>42106</v>
      </c>
      <c r="B6811">
        <v>4</v>
      </c>
      <c r="C6811">
        <v>1591</v>
      </c>
      <c r="D6811" t="s">
        <v>304</v>
      </c>
      <c r="E6811">
        <f>YEAR(A6811)</f>
        <v>2015</v>
      </c>
      <c r="F6811" s="33">
        <f>DATE(YEAR(A6811),MONTH(A6811),1)</f>
        <v>42095.0</v>
      </c>
      <c r="G6811" t="str">
        <f>CHOOSE(WEEKDAY(A6811,2),"Mon","Tue","Wed","Thu","Fri","Sat","Sun")</f>
        <v>Sun</v>
      </c>
      <c r="H6811" t="str">
        <f>IF(WEEKDAY(A6811,2)&gt;5,"Weekend","Weekday")</f>
        <v>Weekend</v>
      </c>
      <c r="I6811" t="str">
        <f>_xlfn.IFS(B6811&lt;=5,"Night (0-5)",B6811&lt;=9,"Morning peak (6-9)",B6811&lt;=15,"Midday (10-15)",B6811&lt;=19,"Evening peak (16-19)",TRUE,"Late evening (20-23)")</f>
        <v>Night (0-5)</v>
      </c>
    </row>
    <row r="6812" spans="1:9">
      <c r="A6812" s="32">
        <v>42106</v>
      </c>
      <c r="B6812">
        <v>5</v>
      </c>
      <c r="C6812">
        <v>1027</v>
      </c>
      <c r="D6812" t="s">
        <v>304</v>
      </c>
      <c r="E6812">
        <f>YEAR(A6812)</f>
        <v>2015</v>
      </c>
      <c r="F6812" s="33">
        <f>DATE(YEAR(A6812),MONTH(A6812),1)</f>
        <v>42095.0</v>
      </c>
      <c r="G6812" t="str">
        <f>CHOOSE(WEEKDAY(A6812,2),"Mon","Tue","Wed","Thu","Fri","Sat","Sun")</f>
        <v>Sun</v>
      </c>
      <c r="H6812" t="str">
        <f>IF(WEEKDAY(A6812,2)&gt;5,"Weekend","Weekday")</f>
        <v>Weekend</v>
      </c>
      <c r="I6812" t="str">
        <f>_xlfn.IFS(B6812&lt;=5,"Night (0-5)",B6812&lt;=9,"Morning peak (6-9)",B6812&lt;=15,"Midday (10-15)",B6812&lt;=19,"Evening peak (16-19)",TRUE,"Late evening (20-23)")</f>
        <v>Night (0-5)</v>
      </c>
    </row>
    <row r="6813" spans="1:9">
      <c r="A6813" s="32">
        <v>42106</v>
      </c>
      <c r="B6813">
        <v>6</v>
      </c>
      <c r="C6813">
        <v>966</v>
      </c>
      <c r="D6813" t="s">
        <v>304</v>
      </c>
      <c r="E6813">
        <f>YEAR(A6813)</f>
        <v>2015</v>
      </c>
      <c r="F6813" s="33">
        <f>DATE(YEAR(A6813),MONTH(A6813),1)</f>
        <v>42095.0</v>
      </c>
      <c r="G6813" t="str">
        <f>CHOOSE(WEEKDAY(A6813,2),"Mon","Tue","Wed","Thu","Fri","Sat","Sun")</f>
        <v>Sun</v>
      </c>
      <c r="H6813" t="str">
        <f>IF(WEEKDAY(A6813,2)&gt;5,"Weekend","Weekday")</f>
        <v>Weekend</v>
      </c>
      <c r="I6813" t="str">
        <f>_xlfn.IFS(B6813&lt;=5,"Night (0-5)",B6813&lt;=9,"Morning peak (6-9)",B6813&lt;=15,"Midday (10-15)",B6813&lt;=19,"Evening peak (16-19)",TRUE,"Late evening (20-23)")</f>
        <v>Morning peak (6-9)</v>
      </c>
    </row>
    <row r="6814" spans="1:9">
      <c r="A6814" s="32">
        <v>42106</v>
      </c>
      <c r="B6814">
        <v>7</v>
      </c>
      <c r="C6814">
        <v>1028</v>
      </c>
      <c r="D6814" t="s">
        <v>304</v>
      </c>
      <c r="E6814">
        <f>YEAR(A6814)</f>
        <v>2015</v>
      </c>
      <c r="F6814" s="33">
        <f>DATE(YEAR(A6814),MONTH(A6814),1)</f>
        <v>42095.0</v>
      </c>
      <c r="G6814" t="str">
        <f>CHOOSE(WEEKDAY(A6814,2),"Mon","Tue","Wed","Thu","Fri","Sat","Sun")</f>
        <v>Sun</v>
      </c>
      <c r="H6814" t="str">
        <f>IF(WEEKDAY(A6814,2)&gt;5,"Weekend","Weekday")</f>
        <v>Weekend</v>
      </c>
      <c r="I6814" t="str">
        <f>_xlfn.IFS(B6814&lt;=5,"Night (0-5)",B6814&lt;=9,"Morning peak (6-9)",B6814&lt;=15,"Midday (10-15)",B6814&lt;=19,"Evening peak (16-19)",TRUE,"Late evening (20-23)")</f>
        <v>Morning peak (6-9)</v>
      </c>
    </row>
    <row r="6815" spans="1:9">
      <c r="A6815" s="32">
        <v>42106</v>
      </c>
      <c r="B6815">
        <v>8</v>
      </c>
      <c r="C6815">
        <v>1279</v>
      </c>
      <c r="D6815" t="s">
        <v>304</v>
      </c>
      <c r="E6815">
        <f>YEAR(A6815)</f>
        <v>2015</v>
      </c>
      <c r="F6815" s="33">
        <f>DATE(YEAR(A6815),MONTH(A6815),1)</f>
        <v>42095.0</v>
      </c>
      <c r="G6815" t="str">
        <f>CHOOSE(WEEKDAY(A6815,2),"Mon","Tue","Wed","Thu","Fri","Sat","Sun")</f>
        <v>Sun</v>
      </c>
      <c r="H6815" t="str">
        <f>IF(WEEKDAY(A6815,2)&gt;5,"Weekend","Weekday")</f>
        <v>Weekend</v>
      </c>
      <c r="I6815" t="str">
        <f>_xlfn.IFS(B6815&lt;=5,"Night (0-5)",B6815&lt;=9,"Morning peak (6-9)",B6815&lt;=15,"Midday (10-15)",B6815&lt;=19,"Evening peak (16-19)",TRUE,"Late evening (20-23)")</f>
        <v>Morning peak (6-9)</v>
      </c>
    </row>
    <row r="6816" spans="1:9">
      <c r="A6816" s="32">
        <v>42106</v>
      </c>
      <c r="B6816">
        <v>9</v>
      </c>
      <c r="C6816">
        <v>1682</v>
      </c>
      <c r="D6816" t="s">
        <v>304</v>
      </c>
      <c r="E6816">
        <f>YEAR(A6816)</f>
        <v>2015</v>
      </c>
      <c r="F6816" s="33">
        <f>DATE(YEAR(A6816),MONTH(A6816),1)</f>
        <v>42095.0</v>
      </c>
      <c r="G6816" t="str">
        <f>CHOOSE(WEEKDAY(A6816,2),"Mon","Tue","Wed","Thu","Fri","Sat","Sun")</f>
        <v>Sun</v>
      </c>
      <c r="H6816" t="str">
        <f>IF(WEEKDAY(A6816,2)&gt;5,"Weekend","Weekday")</f>
        <v>Weekend</v>
      </c>
      <c r="I6816" t="str">
        <f>_xlfn.IFS(B6816&lt;=5,"Night (0-5)",B6816&lt;=9,"Morning peak (6-9)",B6816&lt;=15,"Midday (10-15)",B6816&lt;=19,"Evening peak (16-19)",TRUE,"Late evening (20-23)")</f>
        <v>Morning peak (6-9)</v>
      </c>
    </row>
    <row r="6817" spans="1:9">
      <c r="A6817" s="32">
        <v>42106</v>
      </c>
      <c r="B6817">
        <v>10</v>
      </c>
      <c r="C6817">
        <v>2272</v>
      </c>
      <c r="D6817" t="s">
        <v>304</v>
      </c>
      <c r="E6817">
        <f>YEAR(A6817)</f>
        <v>2015</v>
      </c>
      <c r="F6817" s="33">
        <f>DATE(YEAR(A6817),MONTH(A6817),1)</f>
        <v>42095.0</v>
      </c>
      <c r="G6817" t="str">
        <f>CHOOSE(WEEKDAY(A6817,2),"Mon","Tue","Wed","Thu","Fri","Sat","Sun")</f>
        <v>Sun</v>
      </c>
      <c r="H6817" t="str">
        <f>IF(WEEKDAY(A6817,2)&gt;5,"Weekend","Weekday")</f>
        <v>Weekend</v>
      </c>
      <c r="I6817" t="str">
        <f>_xlfn.IFS(B6817&lt;=5,"Night (0-5)",B6817&lt;=9,"Morning peak (6-9)",B6817&lt;=15,"Midday (10-15)",B6817&lt;=19,"Evening peak (16-19)",TRUE,"Late evening (20-23)")</f>
        <v>Midday (10-15)</v>
      </c>
    </row>
    <row r="6818" spans="1:9">
      <c r="A6818" s="32">
        <v>42106</v>
      </c>
      <c r="B6818">
        <v>11</v>
      </c>
      <c r="C6818">
        <v>2629</v>
      </c>
      <c r="D6818" t="s">
        <v>304</v>
      </c>
      <c r="E6818">
        <f>YEAR(A6818)</f>
        <v>2015</v>
      </c>
      <c r="F6818" s="33">
        <f>DATE(YEAR(A6818),MONTH(A6818),1)</f>
        <v>42095.0</v>
      </c>
      <c r="G6818" t="str">
        <f>CHOOSE(WEEKDAY(A6818,2),"Mon","Tue","Wed","Thu","Fri","Sat","Sun")</f>
        <v>Sun</v>
      </c>
      <c r="H6818" t="str">
        <f>IF(WEEKDAY(A6818,2)&gt;5,"Weekend","Weekday")</f>
        <v>Weekend</v>
      </c>
      <c r="I6818" t="str">
        <f>_xlfn.IFS(B6818&lt;=5,"Night (0-5)",B6818&lt;=9,"Morning peak (6-9)",B6818&lt;=15,"Midday (10-15)",B6818&lt;=19,"Evening peak (16-19)",TRUE,"Late evening (20-23)")</f>
        <v>Midday (10-15)</v>
      </c>
    </row>
    <row r="6819" spans="1:9">
      <c r="A6819" s="32">
        <v>42106</v>
      </c>
      <c r="B6819">
        <v>12</v>
      </c>
      <c r="C6819">
        <v>2878</v>
      </c>
      <c r="D6819" t="s">
        <v>304</v>
      </c>
      <c r="E6819">
        <f>YEAR(A6819)</f>
        <v>2015</v>
      </c>
      <c r="F6819" s="33">
        <f>DATE(YEAR(A6819),MONTH(A6819),1)</f>
        <v>42095.0</v>
      </c>
      <c r="G6819" t="str">
        <f>CHOOSE(WEEKDAY(A6819,2),"Mon","Tue","Wed","Thu","Fri","Sat","Sun")</f>
        <v>Sun</v>
      </c>
      <c r="H6819" t="str">
        <f>IF(WEEKDAY(A6819,2)&gt;5,"Weekend","Weekday")</f>
        <v>Weekend</v>
      </c>
      <c r="I6819" t="str">
        <f>_xlfn.IFS(B6819&lt;=5,"Night (0-5)",B6819&lt;=9,"Morning peak (6-9)",B6819&lt;=15,"Midday (10-15)",B6819&lt;=19,"Evening peak (16-19)",TRUE,"Late evening (20-23)")</f>
        <v>Midday (10-15)</v>
      </c>
    </row>
    <row r="6820" spans="1:9">
      <c r="A6820" s="32">
        <v>42106</v>
      </c>
      <c r="B6820">
        <v>13</v>
      </c>
      <c r="C6820">
        <v>3031</v>
      </c>
      <c r="D6820" t="s">
        <v>304</v>
      </c>
      <c r="E6820">
        <f>YEAR(A6820)</f>
        <v>2015</v>
      </c>
      <c r="F6820" s="33">
        <f>DATE(YEAR(A6820),MONTH(A6820),1)</f>
        <v>42095.0</v>
      </c>
      <c r="G6820" t="str">
        <f>CHOOSE(WEEKDAY(A6820,2),"Mon","Tue","Wed","Thu","Fri","Sat","Sun")</f>
        <v>Sun</v>
      </c>
      <c r="H6820" t="str">
        <f>IF(WEEKDAY(A6820,2)&gt;5,"Weekend","Weekday")</f>
        <v>Weekend</v>
      </c>
      <c r="I6820" t="str">
        <f>_xlfn.IFS(B6820&lt;=5,"Night (0-5)",B6820&lt;=9,"Morning peak (6-9)",B6820&lt;=15,"Midday (10-15)",B6820&lt;=19,"Evening peak (16-19)",TRUE,"Late evening (20-23)")</f>
        <v>Midday (10-15)</v>
      </c>
    </row>
    <row r="6821" spans="1:9">
      <c r="A6821" s="32">
        <v>42106</v>
      </c>
      <c r="B6821">
        <v>14</v>
      </c>
      <c r="C6821">
        <v>3082</v>
      </c>
      <c r="D6821" t="s">
        <v>304</v>
      </c>
      <c r="E6821">
        <f>YEAR(A6821)</f>
        <v>2015</v>
      </c>
      <c r="F6821" s="33">
        <f>DATE(YEAR(A6821),MONTH(A6821),1)</f>
        <v>42095.0</v>
      </c>
      <c r="G6821" t="str">
        <f>CHOOSE(WEEKDAY(A6821,2),"Mon","Tue","Wed","Thu","Fri","Sat","Sun")</f>
        <v>Sun</v>
      </c>
      <c r="H6821" t="str">
        <f>IF(WEEKDAY(A6821,2)&gt;5,"Weekend","Weekday")</f>
        <v>Weekend</v>
      </c>
      <c r="I6821" t="str">
        <f>_xlfn.IFS(B6821&lt;=5,"Night (0-5)",B6821&lt;=9,"Morning peak (6-9)",B6821&lt;=15,"Midday (10-15)",B6821&lt;=19,"Evening peak (16-19)",TRUE,"Late evening (20-23)")</f>
        <v>Midday (10-15)</v>
      </c>
    </row>
    <row r="6822" spans="1:9">
      <c r="A6822" s="32">
        <v>42106</v>
      </c>
      <c r="B6822">
        <v>15</v>
      </c>
      <c r="C6822">
        <v>3143</v>
      </c>
      <c r="D6822" t="s">
        <v>304</v>
      </c>
      <c r="E6822">
        <f>YEAR(A6822)</f>
        <v>2015</v>
      </c>
      <c r="F6822" s="33">
        <f>DATE(YEAR(A6822),MONTH(A6822),1)</f>
        <v>42095.0</v>
      </c>
      <c r="G6822" t="str">
        <f>CHOOSE(WEEKDAY(A6822,2),"Mon","Tue","Wed","Thu","Fri","Sat","Sun")</f>
        <v>Sun</v>
      </c>
      <c r="H6822" t="str">
        <f>IF(WEEKDAY(A6822,2)&gt;5,"Weekend","Weekday")</f>
        <v>Weekend</v>
      </c>
      <c r="I6822" t="str">
        <f>_xlfn.IFS(B6822&lt;=5,"Night (0-5)",B6822&lt;=9,"Morning peak (6-9)",B6822&lt;=15,"Midday (10-15)",B6822&lt;=19,"Evening peak (16-19)",TRUE,"Late evening (20-23)")</f>
        <v>Midday (10-15)</v>
      </c>
    </row>
    <row r="6823" spans="1:9">
      <c r="A6823" s="32">
        <v>42106</v>
      </c>
      <c r="B6823">
        <v>16</v>
      </c>
      <c r="C6823">
        <v>3403</v>
      </c>
      <c r="D6823" t="s">
        <v>304</v>
      </c>
      <c r="E6823">
        <f>YEAR(A6823)</f>
        <v>2015</v>
      </c>
      <c r="F6823" s="33">
        <f>DATE(YEAR(A6823),MONTH(A6823),1)</f>
        <v>42095.0</v>
      </c>
      <c r="G6823" t="str">
        <f>CHOOSE(WEEKDAY(A6823,2),"Mon","Tue","Wed","Thu","Fri","Sat","Sun")</f>
        <v>Sun</v>
      </c>
      <c r="H6823" t="str">
        <f>IF(WEEKDAY(A6823,2)&gt;5,"Weekend","Weekday")</f>
        <v>Weekend</v>
      </c>
      <c r="I6823" t="str">
        <f>_xlfn.IFS(B6823&lt;=5,"Night (0-5)",B6823&lt;=9,"Morning peak (6-9)",B6823&lt;=15,"Midday (10-15)",B6823&lt;=19,"Evening peak (16-19)",TRUE,"Late evening (20-23)")</f>
        <v>Evening peak (16-19)</v>
      </c>
    </row>
    <row r="6824" spans="1:9">
      <c r="A6824" s="32">
        <v>42106</v>
      </c>
      <c r="B6824">
        <v>17</v>
      </c>
      <c r="C6824">
        <v>3541</v>
      </c>
      <c r="D6824" t="s">
        <v>304</v>
      </c>
      <c r="E6824">
        <f>YEAR(A6824)</f>
        <v>2015</v>
      </c>
      <c r="F6824" s="33">
        <f>DATE(YEAR(A6824),MONTH(A6824),1)</f>
        <v>42095.0</v>
      </c>
      <c r="G6824" t="str">
        <f>CHOOSE(WEEKDAY(A6824,2),"Mon","Tue","Wed","Thu","Fri","Sat","Sun")</f>
        <v>Sun</v>
      </c>
      <c r="H6824" t="str">
        <f>IF(WEEKDAY(A6824,2)&gt;5,"Weekend","Weekday")</f>
        <v>Weekend</v>
      </c>
      <c r="I6824" t="str">
        <f>_xlfn.IFS(B6824&lt;=5,"Night (0-5)",B6824&lt;=9,"Morning peak (6-9)",B6824&lt;=15,"Midday (10-15)",B6824&lt;=19,"Evening peak (16-19)",TRUE,"Late evening (20-23)")</f>
        <v>Evening peak (16-19)</v>
      </c>
    </row>
    <row r="6825" spans="1:9">
      <c r="A6825" s="32">
        <v>42106</v>
      </c>
      <c r="B6825">
        <v>18</v>
      </c>
      <c r="C6825">
        <v>3576</v>
      </c>
      <c r="D6825" t="s">
        <v>304</v>
      </c>
      <c r="E6825">
        <f>YEAR(A6825)</f>
        <v>2015</v>
      </c>
      <c r="F6825" s="33">
        <f>DATE(YEAR(A6825),MONTH(A6825),1)</f>
        <v>42095.0</v>
      </c>
      <c r="G6825" t="str">
        <f>CHOOSE(WEEKDAY(A6825,2),"Mon","Tue","Wed","Thu","Fri","Sat","Sun")</f>
        <v>Sun</v>
      </c>
      <c r="H6825" t="str">
        <f>IF(WEEKDAY(A6825,2)&gt;5,"Weekend","Weekday")</f>
        <v>Weekend</v>
      </c>
      <c r="I6825" t="str">
        <f>_xlfn.IFS(B6825&lt;=5,"Night (0-5)",B6825&lt;=9,"Morning peak (6-9)",B6825&lt;=15,"Midday (10-15)",B6825&lt;=19,"Evening peak (16-19)",TRUE,"Late evening (20-23)")</f>
        <v>Evening peak (16-19)</v>
      </c>
    </row>
    <row r="6826" spans="1:9">
      <c r="A6826" s="32">
        <v>42106</v>
      </c>
      <c r="B6826">
        <v>19</v>
      </c>
      <c r="C6826">
        <v>3566</v>
      </c>
      <c r="D6826" t="s">
        <v>304</v>
      </c>
      <c r="E6826">
        <f>YEAR(A6826)</f>
        <v>2015</v>
      </c>
      <c r="F6826" s="33">
        <f>DATE(YEAR(A6826),MONTH(A6826),1)</f>
        <v>42095.0</v>
      </c>
      <c r="G6826" t="str">
        <f>CHOOSE(WEEKDAY(A6826,2),"Mon","Tue","Wed","Thu","Fri","Sat","Sun")</f>
        <v>Sun</v>
      </c>
      <c r="H6826" t="str">
        <f>IF(WEEKDAY(A6826,2)&gt;5,"Weekend","Weekday")</f>
        <v>Weekend</v>
      </c>
      <c r="I6826" t="str">
        <f>_xlfn.IFS(B6826&lt;=5,"Night (0-5)",B6826&lt;=9,"Morning peak (6-9)",B6826&lt;=15,"Midday (10-15)",B6826&lt;=19,"Evening peak (16-19)",TRUE,"Late evening (20-23)")</f>
        <v>Evening peak (16-19)</v>
      </c>
    </row>
    <row r="6827" spans="1:9">
      <c r="A6827" s="32">
        <v>42106</v>
      </c>
      <c r="B6827">
        <v>20</v>
      </c>
      <c r="C6827">
        <v>3428</v>
      </c>
      <c r="D6827" t="s">
        <v>304</v>
      </c>
      <c r="E6827">
        <f>YEAR(A6827)</f>
        <v>2015</v>
      </c>
      <c r="F6827" s="33">
        <f>DATE(YEAR(A6827),MONTH(A6827),1)</f>
        <v>42095.0</v>
      </c>
      <c r="G6827" t="str">
        <f>CHOOSE(WEEKDAY(A6827,2),"Mon","Tue","Wed","Thu","Fri","Sat","Sun")</f>
        <v>Sun</v>
      </c>
      <c r="H6827" t="str">
        <f>IF(WEEKDAY(A6827,2)&gt;5,"Weekend","Weekday")</f>
        <v>Weekend</v>
      </c>
      <c r="I6827" t="str">
        <f>_xlfn.IFS(B6827&lt;=5,"Night (0-5)",B6827&lt;=9,"Morning peak (6-9)",B6827&lt;=15,"Midday (10-15)",B6827&lt;=19,"Evening peak (16-19)",TRUE,"Late evening (20-23)")</f>
        <v>Late evening (20-23)</v>
      </c>
    </row>
    <row r="6828" spans="1:9">
      <c r="A6828" s="32">
        <v>42106</v>
      </c>
      <c r="B6828">
        <v>21</v>
      </c>
      <c r="C6828">
        <v>2887</v>
      </c>
      <c r="D6828" t="s">
        <v>304</v>
      </c>
      <c r="E6828">
        <f>YEAR(A6828)</f>
        <v>2015</v>
      </c>
      <c r="F6828" s="33">
        <f>DATE(YEAR(A6828),MONTH(A6828),1)</f>
        <v>42095.0</v>
      </c>
      <c r="G6828" t="str">
        <f>CHOOSE(WEEKDAY(A6828,2),"Mon","Tue","Wed","Thu","Fri","Sat","Sun")</f>
        <v>Sun</v>
      </c>
      <c r="H6828" t="str">
        <f>IF(WEEKDAY(A6828,2)&gt;5,"Weekend","Weekday")</f>
        <v>Weekend</v>
      </c>
      <c r="I6828" t="str">
        <f>_xlfn.IFS(B6828&lt;=5,"Night (0-5)",B6828&lt;=9,"Morning peak (6-9)",B6828&lt;=15,"Midday (10-15)",B6828&lt;=19,"Evening peak (16-19)",TRUE,"Late evening (20-23)")</f>
        <v>Late evening (20-23)</v>
      </c>
    </row>
    <row r="6829" spans="1:9">
      <c r="A6829" s="32">
        <v>42106</v>
      </c>
      <c r="B6829">
        <v>22</v>
      </c>
      <c r="C6829">
        <v>3088</v>
      </c>
      <c r="D6829" t="s">
        <v>304</v>
      </c>
      <c r="E6829">
        <f>YEAR(A6829)</f>
        <v>2015</v>
      </c>
      <c r="F6829" s="33">
        <f>DATE(YEAR(A6829),MONTH(A6829),1)</f>
        <v>42095.0</v>
      </c>
      <c r="G6829" t="str">
        <f>CHOOSE(WEEKDAY(A6829,2),"Mon","Tue","Wed","Thu","Fri","Sat","Sun")</f>
        <v>Sun</v>
      </c>
      <c r="H6829" t="str">
        <f>IF(WEEKDAY(A6829,2)&gt;5,"Weekend","Weekday")</f>
        <v>Weekend</v>
      </c>
      <c r="I6829" t="str">
        <f>_xlfn.IFS(B6829&lt;=5,"Night (0-5)",B6829&lt;=9,"Morning peak (6-9)",B6829&lt;=15,"Midday (10-15)",B6829&lt;=19,"Evening peak (16-19)",TRUE,"Late evening (20-23)")</f>
        <v>Late evening (20-23)</v>
      </c>
    </row>
    <row r="6830" spans="1:9">
      <c r="A6830" s="32">
        <v>42106</v>
      </c>
      <c r="B6830">
        <v>23</v>
      </c>
      <c r="C6830">
        <v>2524</v>
      </c>
      <c r="D6830" t="s">
        <v>304</v>
      </c>
      <c r="E6830">
        <f>YEAR(A6830)</f>
        <v>2015</v>
      </c>
      <c r="F6830" s="33">
        <f>DATE(YEAR(A6830),MONTH(A6830),1)</f>
        <v>42095.0</v>
      </c>
      <c r="G6830" t="str">
        <f>CHOOSE(WEEKDAY(A6830,2),"Mon","Tue","Wed","Thu","Fri","Sat","Sun")</f>
        <v>Sun</v>
      </c>
      <c r="H6830" t="str">
        <f>IF(WEEKDAY(A6830,2)&gt;5,"Weekend","Weekday")</f>
        <v>Weekend</v>
      </c>
      <c r="I6830" t="str">
        <f>_xlfn.IFS(B6830&lt;=5,"Night (0-5)",B6830&lt;=9,"Morning peak (6-9)",B6830&lt;=15,"Midday (10-15)",B6830&lt;=19,"Evening peak (16-19)",TRUE,"Late evening (20-23)")</f>
        <v>Late evening (20-23)</v>
      </c>
    </row>
    <row r="6831" spans="1:9">
      <c r="A6831" s="32">
        <v>42107</v>
      </c>
      <c r="B6831">
        <v>0</v>
      </c>
      <c r="C6831">
        <v>1600</v>
      </c>
      <c r="D6831" t="s">
        <v>304</v>
      </c>
      <c r="E6831">
        <f>YEAR(A6831)</f>
        <v>2015</v>
      </c>
      <c r="F6831" s="33">
        <f>DATE(YEAR(A6831),MONTH(A6831),1)</f>
        <v>42095.0</v>
      </c>
      <c r="G6831" t="str">
        <f>CHOOSE(WEEKDAY(A6831,2),"Mon","Tue","Wed","Thu","Fri","Sat","Sun")</f>
        <v>Mon</v>
      </c>
      <c r="H6831" t="str">
        <f>IF(WEEKDAY(A6831,2)&gt;5,"Weekend","Weekday")</f>
        <v>Weekday</v>
      </c>
      <c r="I6831" t="str">
        <f>_xlfn.IFS(B6831&lt;=5,"Night (0-5)",B6831&lt;=9,"Morning peak (6-9)",B6831&lt;=15,"Midday (10-15)",B6831&lt;=19,"Evening peak (16-19)",TRUE,"Late evening (20-23)")</f>
        <v>Night (0-5)</v>
      </c>
    </row>
    <row r="6832" spans="1:9">
      <c r="A6832" s="32">
        <v>42107</v>
      </c>
      <c r="B6832">
        <v>1</v>
      </c>
      <c r="C6832">
        <v>857</v>
      </c>
      <c r="D6832" t="s">
        <v>304</v>
      </c>
      <c r="E6832">
        <f>YEAR(A6832)</f>
        <v>2015</v>
      </c>
      <c r="F6832" s="33">
        <f>DATE(YEAR(A6832),MONTH(A6832),1)</f>
        <v>42095.0</v>
      </c>
      <c r="G6832" t="str">
        <f>CHOOSE(WEEKDAY(A6832,2),"Mon","Tue","Wed","Thu","Fri","Sat","Sun")</f>
        <v>Mon</v>
      </c>
      <c r="H6832" t="str">
        <f>IF(WEEKDAY(A6832,2)&gt;5,"Weekend","Weekday")</f>
        <v>Weekday</v>
      </c>
      <c r="I6832" t="str">
        <f>_xlfn.IFS(B6832&lt;=5,"Night (0-5)",B6832&lt;=9,"Morning peak (6-9)",B6832&lt;=15,"Midday (10-15)",B6832&lt;=19,"Evening peak (16-19)",TRUE,"Late evening (20-23)")</f>
        <v>Night (0-5)</v>
      </c>
    </row>
    <row r="6833" spans="1:9">
      <c r="A6833" s="32">
        <v>42107</v>
      </c>
      <c r="B6833">
        <v>2</v>
      </c>
      <c r="C6833">
        <v>454</v>
      </c>
      <c r="D6833" t="s">
        <v>304</v>
      </c>
      <c r="E6833">
        <f>YEAR(A6833)</f>
        <v>2015</v>
      </c>
      <c r="F6833" s="33">
        <f>DATE(YEAR(A6833),MONTH(A6833),1)</f>
        <v>42095.0</v>
      </c>
      <c r="G6833" t="str">
        <f>CHOOSE(WEEKDAY(A6833,2),"Mon","Tue","Wed","Thu","Fri","Sat","Sun")</f>
        <v>Mon</v>
      </c>
      <c r="H6833" t="str">
        <f>IF(WEEKDAY(A6833,2)&gt;5,"Weekend","Weekday")</f>
        <v>Weekday</v>
      </c>
      <c r="I6833" t="str">
        <f>_xlfn.IFS(B6833&lt;=5,"Night (0-5)",B6833&lt;=9,"Morning peak (6-9)",B6833&lt;=15,"Midday (10-15)",B6833&lt;=19,"Evening peak (16-19)",TRUE,"Late evening (20-23)")</f>
        <v>Night (0-5)</v>
      </c>
    </row>
    <row r="6834" spans="1:9">
      <c r="A6834" s="32">
        <v>42107</v>
      </c>
      <c r="B6834">
        <v>3</v>
      </c>
      <c r="C6834">
        <v>354</v>
      </c>
      <c r="D6834" t="s">
        <v>304</v>
      </c>
      <c r="E6834">
        <f>YEAR(A6834)</f>
        <v>2015</v>
      </c>
      <c r="F6834" s="33">
        <f>DATE(YEAR(A6834),MONTH(A6834),1)</f>
        <v>42095.0</v>
      </c>
      <c r="G6834" t="str">
        <f>CHOOSE(WEEKDAY(A6834,2),"Mon","Tue","Wed","Thu","Fri","Sat","Sun")</f>
        <v>Mon</v>
      </c>
      <c r="H6834" t="str">
        <f>IF(WEEKDAY(A6834,2)&gt;5,"Weekend","Weekday")</f>
        <v>Weekday</v>
      </c>
      <c r="I6834" t="str">
        <f>_xlfn.IFS(B6834&lt;=5,"Night (0-5)",B6834&lt;=9,"Morning peak (6-9)",B6834&lt;=15,"Midday (10-15)",B6834&lt;=19,"Evening peak (16-19)",TRUE,"Late evening (20-23)")</f>
        <v>Night (0-5)</v>
      </c>
    </row>
    <row r="6835" spans="1:9">
      <c r="A6835" s="32">
        <v>42107</v>
      </c>
      <c r="B6835">
        <v>4</v>
      </c>
      <c r="C6835">
        <v>684</v>
      </c>
      <c r="D6835" t="s">
        <v>304</v>
      </c>
      <c r="E6835">
        <f>YEAR(A6835)</f>
        <v>2015</v>
      </c>
      <c r="F6835" s="33">
        <f>DATE(YEAR(A6835),MONTH(A6835),1)</f>
        <v>42095.0</v>
      </c>
      <c r="G6835" t="str">
        <f>CHOOSE(WEEKDAY(A6835,2),"Mon","Tue","Wed","Thu","Fri","Sat","Sun")</f>
        <v>Mon</v>
      </c>
      <c r="H6835" t="str">
        <f>IF(WEEKDAY(A6835,2)&gt;5,"Weekend","Weekday")</f>
        <v>Weekday</v>
      </c>
      <c r="I6835" t="str">
        <f>_xlfn.IFS(B6835&lt;=5,"Night (0-5)",B6835&lt;=9,"Morning peak (6-9)",B6835&lt;=15,"Midday (10-15)",B6835&lt;=19,"Evening peak (16-19)",TRUE,"Late evening (20-23)")</f>
        <v>Night (0-5)</v>
      </c>
    </row>
    <row r="6836" spans="1:9">
      <c r="A6836" s="32">
        <v>42107</v>
      </c>
      <c r="B6836">
        <v>5</v>
      </c>
      <c r="C6836">
        <v>1194</v>
      </c>
      <c r="D6836" t="s">
        <v>304</v>
      </c>
      <c r="E6836">
        <f>YEAR(A6836)</f>
        <v>2015</v>
      </c>
      <c r="F6836" s="33">
        <f>DATE(YEAR(A6836),MONTH(A6836),1)</f>
        <v>42095.0</v>
      </c>
      <c r="G6836" t="str">
        <f>CHOOSE(WEEKDAY(A6836,2),"Mon","Tue","Wed","Thu","Fri","Sat","Sun")</f>
        <v>Mon</v>
      </c>
      <c r="H6836" t="str">
        <f>IF(WEEKDAY(A6836,2)&gt;5,"Weekend","Weekday")</f>
        <v>Weekday</v>
      </c>
      <c r="I6836" t="str">
        <f>_xlfn.IFS(B6836&lt;=5,"Night (0-5)",B6836&lt;=9,"Morning peak (6-9)",B6836&lt;=15,"Midday (10-15)",B6836&lt;=19,"Evening peak (16-19)",TRUE,"Late evening (20-23)")</f>
        <v>Night (0-5)</v>
      </c>
    </row>
    <row r="6837" spans="1:9">
      <c r="A6837" s="32">
        <v>42107</v>
      </c>
      <c r="B6837">
        <v>6</v>
      </c>
      <c r="C6837">
        <v>2045</v>
      </c>
      <c r="D6837" t="s">
        <v>304</v>
      </c>
      <c r="E6837">
        <f>YEAR(A6837)</f>
        <v>2015</v>
      </c>
      <c r="F6837" s="33">
        <f>DATE(YEAR(A6837),MONTH(A6837),1)</f>
        <v>42095.0</v>
      </c>
      <c r="G6837" t="str">
        <f>CHOOSE(WEEKDAY(A6837,2),"Mon","Tue","Wed","Thu","Fri","Sat","Sun")</f>
        <v>Mon</v>
      </c>
      <c r="H6837" t="str">
        <f>IF(WEEKDAY(A6837,2)&gt;5,"Weekend","Weekday")</f>
        <v>Weekday</v>
      </c>
      <c r="I6837" t="str">
        <f>_xlfn.IFS(B6837&lt;=5,"Night (0-5)",B6837&lt;=9,"Morning peak (6-9)",B6837&lt;=15,"Midday (10-15)",B6837&lt;=19,"Evening peak (16-19)",TRUE,"Late evening (20-23)")</f>
        <v>Morning peak (6-9)</v>
      </c>
    </row>
    <row r="6838" spans="1:9">
      <c r="A6838" s="32">
        <v>42107</v>
      </c>
      <c r="B6838">
        <v>7</v>
      </c>
      <c r="C6838">
        <v>3028</v>
      </c>
      <c r="D6838" t="s">
        <v>304</v>
      </c>
      <c r="E6838">
        <f>YEAR(A6838)</f>
        <v>2015</v>
      </c>
      <c r="F6838" s="33">
        <f>DATE(YEAR(A6838),MONTH(A6838),1)</f>
        <v>42095.0</v>
      </c>
      <c r="G6838" t="str">
        <f>CHOOSE(WEEKDAY(A6838,2),"Mon","Tue","Wed","Thu","Fri","Sat","Sun")</f>
        <v>Mon</v>
      </c>
      <c r="H6838" t="str">
        <f>IF(WEEKDAY(A6838,2)&gt;5,"Weekend","Weekday")</f>
        <v>Weekday</v>
      </c>
      <c r="I6838" t="str">
        <f>_xlfn.IFS(B6838&lt;=5,"Night (0-5)",B6838&lt;=9,"Morning peak (6-9)",B6838&lt;=15,"Midday (10-15)",B6838&lt;=19,"Evening peak (16-19)",TRUE,"Late evening (20-23)")</f>
        <v>Morning peak (6-9)</v>
      </c>
    </row>
    <row r="6839" spans="1:9">
      <c r="A6839" s="32">
        <v>42107</v>
      </c>
      <c r="B6839">
        <v>8</v>
      </c>
      <c r="C6839">
        <v>3636</v>
      </c>
      <c r="D6839" t="s">
        <v>304</v>
      </c>
      <c r="E6839">
        <f>YEAR(A6839)</f>
        <v>2015</v>
      </c>
      <c r="F6839" s="33">
        <f>DATE(YEAR(A6839),MONTH(A6839),1)</f>
        <v>42095.0</v>
      </c>
      <c r="G6839" t="str">
        <f>CHOOSE(WEEKDAY(A6839,2),"Mon","Tue","Wed","Thu","Fri","Sat","Sun")</f>
        <v>Mon</v>
      </c>
      <c r="H6839" t="str">
        <f>IF(WEEKDAY(A6839,2)&gt;5,"Weekend","Weekday")</f>
        <v>Weekday</v>
      </c>
      <c r="I6839" t="str">
        <f>_xlfn.IFS(B6839&lt;=5,"Night (0-5)",B6839&lt;=9,"Morning peak (6-9)",B6839&lt;=15,"Midday (10-15)",B6839&lt;=19,"Evening peak (16-19)",TRUE,"Late evening (20-23)")</f>
        <v>Morning peak (6-9)</v>
      </c>
    </row>
    <row r="6840" spans="1:9">
      <c r="A6840" s="32">
        <v>42107</v>
      </c>
      <c r="B6840">
        <v>9</v>
      </c>
      <c r="C6840">
        <v>3252</v>
      </c>
      <c r="D6840" t="s">
        <v>304</v>
      </c>
      <c r="E6840">
        <f>YEAR(A6840)</f>
        <v>2015</v>
      </c>
      <c r="F6840" s="33">
        <f>DATE(YEAR(A6840),MONTH(A6840),1)</f>
        <v>42095.0</v>
      </c>
      <c r="G6840" t="str">
        <f>CHOOSE(WEEKDAY(A6840,2),"Mon","Tue","Wed","Thu","Fri","Sat","Sun")</f>
        <v>Mon</v>
      </c>
      <c r="H6840" t="str">
        <f>IF(WEEKDAY(A6840,2)&gt;5,"Weekend","Weekday")</f>
        <v>Weekday</v>
      </c>
      <c r="I6840" t="str">
        <f>_xlfn.IFS(B6840&lt;=5,"Night (0-5)",B6840&lt;=9,"Morning peak (6-9)",B6840&lt;=15,"Midday (10-15)",B6840&lt;=19,"Evening peak (16-19)",TRUE,"Late evening (20-23)")</f>
        <v>Morning peak (6-9)</v>
      </c>
    </row>
    <row r="6841" spans="1:9">
      <c r="A6841" s="32">
        <v>42107</v>
      </c>
      <c r="B6841">
        <v>10</v>
      </c>
      <c r="C6841">
        <v>2356</v>
      </c>
      <c r="D6841" t="s">
        <v>304</v>
      </c>
      <c r="E6841">
        <f>YEAR(A6841)</f>
        <v>2015</v>
      </c>
      <c r="F6841" s="33">
        <f>DATE(YEAR(A6841),MONTH(A6841),1)</f>
        <v>42095.0</v>
      </c>
      <c r="G6841" t="str">
        <f>CHOOSE(WEEKDAY(A6841,2),"Mon","Tue","Wed","Thu","Fri","Sat","Sun")</f>
        <v>Mon</v>
      </c>
      <c r="H6841" t="str">
        <f>IF(WEEKDAY(A6841,2)&gt;5,"Weekend","Weekday")</f>
        <v>Weekday</v>
      </c>
      <c r="I6841" t="str">
        <f>_xlfn.IFS(B6841&lt;=5,"Night (0-5)",B6841&lt;=9,"Morning peak (6-9)",B6841&lt;=15,"Midday (10-15)",B6841&lt;=19,"Evening peak (16-19)",TRUE,"Late evening (20-23)")</f>
        <v>Midday (10-15)</v>
      </c>
    </row>
    <row r="6842" spans="1:9">
      <c r="A6842" s="32">
        <v>42107</v>
      </c>
      <c r="B6842">
        <v>11</v>
      </c>
      <c r="C6842">
        <v>2062</v>
      </c>
      <c r="D6842" t="s">
        <v>304</v>
      </c>
      <c r="E6842">
        <f>YEAR(A6842)</f>
        <v>2015</v>
      </c>
      <c r="F6842" s="33">
        <f>DATE(YEAR(A6842),MONTH(A6842),1)</f>
        <v>42095.0</v>
      </c>
      <c r="G6842" t="str">
        <f>CHOOSE(WEEKDAY(A6842,2),"Mon","Tue","Wed","Thu","Fri","Sat","Sun")</f>
        <v>Mon</v>
      </c>
      <c r="H6842" t="str">
        <f>IF(WEEKDAY(A6842,2)&gt;5,"Weekend","Weekday")</f>
        <v>Weekday</v>
      </c>
      <c r="I6842" t="str">
        <f>_xlfn.IFS(B6842&lt;=5,"Night (0-5)",B6842&lt;=9,"Morning peak (6-9)",B6842&lt;=15,"Midday (10-15)",B6842&lt;=19,"Evening peak (16-19)",TRUE,"Late evening (20-23)")</f>
        <v>Midday (10-15)</v>
      </c>
    </row>
    <row r="6843" spans="1:9">
      <c r="A6843" s="32">
        <v>42107</v>
      </c>
      <c r="B6843">
        <v>12</v>
      </c>
      <c r="C6843">
        <v>2055</v>
      </c>
      <c r="D6843" t="s">
        <v>304</v>
      </c>
      <c r="E6843">
        <f>YEAR(A6843)</f>
        <v>2015</v>
      </c>
      <c r="F6843" s="33">
        <f>DATE(YEAR(A6843),MONTH(A6843),1)</f>
        <v>42095.0</v>
      </c>
      <c r="G6843" t="str">
        <f>CHOOSE(WEEKDAY(A6843,2),"Mon","Tue","Wed","Thu","Fri","Sat","Sun")</f>
        <v>Mon</v>
      </c>
      <c r="H6843" t="str">
        <f>IF(WEEKDAY(A6843,2)&gt;5,"Weekend","Weekday")</f>
        <v>Weekday</v>
      </c>
      <c r="I6843" t="str">
        <f>_xlfn.IFS(B6843&lt;=5,"Night (0-5)",B6843&lt;=9,"Morning peak (6-9)",B6843&lt;=15,"Midday (10-15)",B6843&lt;=19,"Evening peak (16-19)",TRUE,"Late evening (20-23)")</f>
        <v>Midday (10-15)</v>
      </c>
    </row>
    <row r="6844" spans="1:9">
      <c r="A6844" s="32">
        <v>42107</v>
      </c>
      <c r="B6844">
        <v>13</v>
      </c>
      <c r="C6844">
        <v>1955</v>
      </c>
      <c r="D6844" t="s">
        <v>304</v>
      </c>
      <c r="E6844">
        <f>YEAR(A6844)</f>
        <v>2015</v>
      </c>
      <c r="F6844" s="33">
        <f>DATE(YEAR(A6844),MONTH(A6844),1)</f>
        <v>42095.0</v>
      </c>
      <c r="G6844" t="str">
        <f>CHOOSE(WEEKDAY(A6844,2),"Mon","Tue","Wed","Thu","Fri","Sat","Sun")</f>
        <v>Mon</v>
      </c>
      <c r="H6844" t="str">
        <f>IF(WEEKDAY(A6844,2)&gt;5,"Weekend","Weekday")</f>
        <v>Weekday</v>
      </c>
      <c r="I6844" t="str">
        <f>_xlfn.IFS(B6844&lt;=5,"Night (0-5)",B6844&lt;=9,"Morning peak (6-9)",B6844&lt;=15,"Midday (10-15)",B6844&lt;=19,"Evening peak (16-19)",TRUE,"Late evening (20-23)")</f>
        <v>Midday (10-15)</v>
      </c>
    </row>
    <row r="6845" spans="1:9">
      <c r="A6845" s="32">
        <v>42107</v>
      </c>
      <c r="B6845">
        <v>14</v>
      </c>
      <c r="C6845">
        <v>2240</v>
      </c>
      <c r="D6845" t="s">
        <v>304</v>
      </c>
      <c r="E6845">
        <f>YEAR(A6845)</f>
        <v>2015</v>
      </c>
      <c r="F6845" s="33">
        <f>DATE(YEAR(A6845),MONTH(A6845),1)</f>
        <v>42095.0</v>
      </c>
      <c r="G6845" t="str">
        <f>CHOOSE(WEEKDAY(A6845,2),"Mon","Tue","Wed","Thu","Fri","Sat","Sun")</f>
        <v>Mon</v>
      </c>
      <c r="H6845" t="str">
        <f>IF(WEEKDAY(A6845,2)&gt;5,"Weekend","Weekday")</f>
        <v>Weekday</v>
      </c>
      <c r="I6845" t="str">
        <f>_xlfn.IFS(B6845&lt;=5,"Night (0-5)",B6845&lt;=9,"Morning peak (6-9)",B6845&lt;=15,"Midday (10-15)",B6845&lt;=19,"Evening peak (16-19)",TRUE,"Late evening (20-23)")</f>
        <v>Midday (10-15)</v>
      </c>
    </row>
    <row r="6846" spans="1:9">
      <c r="A6846" s="32">
        <v>42107</v>
      </c>
      <c r="B6846">
        <v>15</v>
      </c>
      <c r="C6846">
        <v>2507</v>
      </c>
      <c r="D6846" t="s">
        <v>304</v>
      </c>
      <c r="E6846">
        <f>YEAR(A6846)</f>
        <v>2015</v>
      </c>
      <c r="F6846" s="33">
        <f>DATE(YEAR(A6846),MONTH(A6846),1)</f>
        <v>42095.0</v>
      </c>
      <c r="G6846" t="str">
        <f>CHOOSE(WEEKDAY(A6846,2),"Mon","Tue","Wed","Thu","Fri","Sat","Sun")</f>
        <v>Mon</v>
      </c>
      <c r="H6846" t="str">
        <f>IF(WEEKDAY(A6846,2)&gt;5,"Weekend","Weekday")</f>
        <v>Weekday</v>
      </c>
      <c r="I6846" t="str">
        <f>_xlfn.IFS(B6846&lt;=5,"Night (0-5)",B6846&lt;=9,"Morning peak (6-9)",B6846&lt;=15,"Midday (10-15)",B6846&lt;=19,"Evening peak (16-19)",TRUE,"Late evening (20-23)")</f>
        <v>Midday (10-15)</v>
      </c>
    </row>
    <row r="6847" spans="1:9">
      <c r="A6847" s="32">
        <v>42107</v>
      </c>
      <c r="B6847">
        <v>16</v>
      </c>
      <c r="C6847">
        <v>2764</v>
      </c>
      <c r="D6847" t="s">
        <v>304</v>
      </c>
      <c r="E6847">
        <f>YEAR(A6847)</f>
        <v>2015</v>
      </c>
      <c r="F6847" s="33">
        <f>DATE(YEAR(A6847),MONTH(A6847),1)</f>
        <v>42095.0</v>
      </c>
      <c r="G6847" t="str">
        <f>CHOOSE(WEEKDAY(A6847,2),"Mon","Tue","Wed","Thu","Fri","Sat","Sun")</f>
        <v>Mon</v>
      </c>
      <c r="H6847" t="str">
        <f>IF(WEEKDAY(A6847,2)&gt;5,"Weekend","Weekday")</f>
        <v>Weekday</v>
      </c>
      <c r="I6847" t="str">
        <f>_xlfn.IFS(B6847&lt;=5,"Night (0-5)",B6847&lt;=9,"Morning peak (6-9)",B6847&lt;=15,"Midday (10-15)",B6847&lt;=19,"Evening peak (16-19)",TRUE,"Late evening (20-23)")</f>
        <v>Evening peak (16-19)</v>
      </c>
    </row>
    <row r="6848" spans="1:9">
      <c r="A6848" s="32">
        <v>42107</v>
      </c>
      <c r="B6848">
        <v>17</v>
      </c>
      <c r="C6848">
        <v>3461</v>
      </c>
      <c r="D6848" t="s">
        <v>304</v>
      </c>
      <c r="E6848">
        <f>YEAR(A6848)</f>
        <v>2015</v>
      </c>
      <c r="F6848" s="33">
        <f>DATE(YEAR(A6848),MONTH(A6848),1)</f>
        <v>42095.0</v>
      </c>
      <c r="G6848" t="str">
        <f>CHOOSE(WEEKDAY(A6848,2),"Mon","Tue","Wed","Thu","Fri","Sat","Sun")</f>
        <v>Mon</v>
      </c>
      <c r="H6848" t="str">
        <f>IF(WEEKDAY(A6848,2)&gt;5,"Weekend","Weekday")</f>
        <v>Weekday</v>
      </c>
      <c r="I6848" t="str">
        <f>_xlfn.IFS(B6848&lt;=5,"Night (0-5)",B6848&lt;=9,"Morning peak (6-9)",B6848&lt;=15,"Midday (10-15)",B6848&lt;=19,"Evening peak (16-19)",TRUE,"Late evening (20-23)")</f>
        <v>Evening peak (16-19)</v>
      </c>
    </row>
    <row r="6849" spans="1:9">
      <c r="A6849" s="32">
        <v>42107</v>
      </c>
      <c r="B6849">
        <v>18</v>
      </c>
      <c r="C6849">
        <v>3921</v>
      </c>
      <c r="D6849" t="s">
        <v>304</v>
      </c>
      <c r="E6849">
        <f>YEAR(A6849)</f>
        <v>2015</v>
      </c>
      <c r="F6849" s="33">
        <f>DATE(YEAR(A6849),MONTH(A6849),1)</f>
        <v>42095.0</v>
      </c>
      <c r="G6849" t="str">
        <f>CHOOSE(WEEKDAY(A6849,2),"Mon","Tue","Wed","Thu","Fri","Sat","Sun")</f>
        <v>Mon</v>
      </c>
      <c r="H6849" t="str">
        <f>IF(WEEKDAY(A6849,2)&gt;5,"Weekend","Weekday")</f>
        <v>Weekday</v>
      </c>
      <c r="I6849" t="str">
        <f>_xlfn.IFS(B6849&lt;=5,"Night (0-5)",B6849&lt;=9,"Morning peak (6-9)",B6849&lt;=15,"Midday (10-15)",B6849&lt;=19,"Evening peak (16-19)",TRUE,"Late evening (20-23)")</f>
        <v>Evening peak (16-19)</v>
      </c>
    </row>
    <row r="6850" spans="1:9">
      <c r="A6850" s="32">
        <v>42107</v>
      </c>
      <c r="B6850">
        <v>19</v>
      </c>
      <c r="C6850">
        <v>3569</v>
      </c>
      <c r="D6850" t="s">
        <v>304</v>
      </c>
      <c r="E6850">
        <f>YEAR(A6850)</f>
        <v>2015</v>
      </c>
      <c r="F6850" s="33">
        <f>DATE(YEAR(A6850),MONTH(A6850),1)</f>
        <v>42095.0</v>
      </c>
      <c r="G6850" t="str">
        <f>CHOOSE(WEEKDAY(A6850,2),"Mon","Tue","Wed","Thu","Fri","Sat","Sun")</f>
        <v>Mon</v>
      </c>
      <c r="H6850" t="str">
        <f>IF(WEEKDAY(A6850,2)&gt;5,"Weekend","Weekday")</f>
        <v>Weekday</v>
      </c>
      <c r="I6850" t="str">
        <f>_xlfn.IFS(B6850&lt;=5,"Night (0-5)",B6850&lt;=9,"Morning peak (6-9)",B6850&lt;=15,"Midday (10-15)",B6850&lt;=19,"Evening peak (16-19)",TRUE,"Late evening (20-23)")</f>
        <v>Evening peak (16-19)</v>
      </c>
    </row>
    <row r="6851" spans="1:9">
      <c r="A6851" s="32">
        <v>42107</v>
      </c>
      <c r="B6851">
        <v>20</v>
      </c>
      <c r="C6851">
        <v>3570</v>
      </c>
      <c r="D6851" t="s">
        <v>304</v>
      </c>
      <c r="E6851">
        <f>YEAR(A6851)</f>
        <v>2015</v>
      </c>
      <c r="F6851" s="33">
        <f>DATE(YEAR(A6851),MONTH(A6851),1)</f>
        <v>42095.0</v>
      </c>
      <c r="G6851" t="str">
        <f>CHOOSE(WEEKDAY(A6851,2),"Mon","Tue","Wed","Thu","Fri","Sat","Sun")</f>
        <v>Mon</v>
      </c>
      <c r="H6851" t="str">
        <f>IF(WEEKDAY(A6851,2)&gt;5,"Weekend","Weekday")</f>
        <v>Weekday</v>
      </c>
      <c r="I6851" t="str">
        <f>_xlfn.IFS(B6851&lt;=5,"Night (0-5)",B6851&lt;=9,"Morning peak (6-9)",B6851&lt;=15,"Midday (10-15)",B6851&lt;=19,"Evening peak (16-19)",TRUE,"Late evening (20-23)")</f>
        <v>Late evening (20-23)</v>
      </c>
    </row>
    <row r="6852" spans="1:9">
      <c r="A6852" s="32">
        <v>42107</v>
      </c>
      <c r="B6852">
        <v>21</v>
      </c>
      <c r="C6852">
        <v>3598</v>
      </c>
      <c r="D6852" t="s">
        <v>304</v>
      </c>
      <c r="E6852">
        <f>YEAR(A6852)</f>
        <v>2015</v>
      </c>
      <c r="F6852" s="33">
        <f>DATE(YEAR(A6852),MONTH(A6852),1)</f>
        <v>42095.0</v>
      </c>
      <c r="G6852" t="str">
        <f>CHOOSE(WEEKDAY(A6852,2),"Mon","Tue","Wed","Thu","Fri","Sat","Sun")</f>
        <v>Mon</v>
      </c>
      <c r="H6852" t="str">
        <f>IF(WEEKDAY(A6852,2)&gt;5,"Weekend","Weekday")</f>
        <v>Weekday</v>
      </c>
      <c r="I6852" t="str">
        <f>_xlfn.IFS(B6852&lt;=5,"Night (0-5)",B6852&lt;=9,"Morning peak (6-9)",B6852&lt;=15,"Midday (10-15)",B6852&lt;=19,"Evening peak (16-19)",TRUE,"Late evening (20-23)")</f>
        <v>Late evening (20-23)</v>
      </c>
    </row>
    <row r="6853" spans="1:9">
      <c r="A6853" s="32">
        <v>42107</v>
      </c>
      <c r="B6853">
        <v>22</v>
      </c>
      <c r="C6853">
        <v>3115</v>
      </c>
      <c r="D6853" t="s">
        <v>304</v>
      </c>
      <c r="E6853">
        <f>YEAR(A6853)</f>
        <v>2015</v>
      </c>
      <c r="F6853" s="33">
        <f>DATE(YEAR(A6853),MONTH(A6853),1)</f>
        <v>42095.0</v>
      </c>
      <c r="G6853" t="str">
        <f>CHOOSE(WEEKDAY(A6853,2),"Mon","Tue","Wed","Thu","Fri","Sat","Sun")</f>
        <v>Mon</v>
      </c>
      <c r="H6853" t="str">
        <f>IF(WEEKDAY(A6853,2)&gt;5,"Weekend","Weekday")</f>
        <v>Weekday</v>
      </c>
      <c r="I6853" t="str">
        <f>_xlfn.IFS(B6853&lt;=5,"Night (0-5)",B6853&lt;=9,"Morning peak (6-9)",B6853&lt;=15,"Midday (10-15)",B6853&lt;=19,"Evening peak (16-19)",TRUE,"Late evening (20-23)")</f>
        <v>Late evening (20-23)</v>
      </c>
    </row>
    <row r="6854" spans="1:9">
      <c r="A6854" s="32">
        <v>42107</v>
      </c>
      <c r="B6854">
        <v>23</v>
      </c>
      <c r="C6854">
        <v>2378</v>
      </c>
      <c r="D6854" t="s">
        <v>304</v>
      </c>
      <c r="E6854">
        <f>YEAR(A6854)</f>
        <v>2015</v>
      </c>
      <c r="F6854" s="33">
        <f>DATE(YEAR(A6854),MONTH(A6854),1)</f>
        <v>42095.0</v>
      </c>
      <c r="G6854" t="str">
        <f>CHOOSE(WEEKDAY(A6854,2),"Mon","Tue","Wed","Thu","Fri","Sat","Sun")</f>
        <v>Mon</v>
      </c>
      <c r="H6854" t="str">
        <f>IF(WEEKDAY(A6854,2)&gt;5,"Weekend","Weekday")</f>
        <v>Weekday</v>
      </c>
      <c r="I6854" t="str">
        <f>_xlfn.IFS(B6854&lt;=5,"Night (0-5)",B6854&lt;=9,"Morning peak (6-9)",B6854&lt;=15,"Midday (10-15)",B6854&lt;=19,"Evening peak (16-19)",TRUE,"Late evening (20-23)")</f>
        <v>Late evening (20-23)</v>
      </c>
    </row>
    <row r="6855" spans="1:9">
      <c r="A6855" s="32">
        <v>42108</v>
      </c>
      <c r="B6855">
        <v>0</v>
      </c>
      <c r="C6855">
        <v>1558</v>
      </c>
      <c r="D6855" t="s">
        <v>304</v>
      </c>
      <c r="E6855">
        <f>YEAR(A6855)</f>
        <v>2015</v>
      </c>
      <c r="F6855" s="33">
        <f>DATE(YEAR(A6855),MONTH(A6855),1)</f>
        <v>42095.0</v>
      </c>
      <c r="G6855" t="str">
        <f>CHOOSE(WEEKDAY(A6855,2),"Mon","Tue","Wed","Thu","Fri","Sat","Sun")</f>
        <v>Tue</v>
      </c>
      <c r="H6855" t="str">
        <f>IF(WEEKDAY(A6855,2)&gt;5,"Weekend","Weekday")</f>
        <v>Weekday</v>
      </c>
      <c r="I6855" t="str">
        <f>_xlfn.IFS(B6855&lt;=5,"Night (0-5)",B6855&lt;=9,"Morning peak (6-9)",B6855&lt;=15,"Midday (10-15)",B6855&lt;=19,"Evening peak (16-19)",TRUE,"Late evening (20-23)")</f>
        <v>Night (0-5)</v>
      </c>
    </row>
    <row r="6856" spans="1:9">
      <c r="A6856" s="32">
        <v>42108</v>
      </c>
      <c r="B6856">
        <v>1</v>
      </c>
      <c r="C6856">
        <v>866</v>
      </c>
      <c r="D6856" t="s">
        <v>304</v>
      </c>
      <c r="E6856">
        <f>YEAR(A6856)</f>
        <v>2015</v>
      </c>
      <c r="F6856" s="33">
        <f>DATE(YEAR(A6856),MONTH(A6856),1)</f>
        <v>42095.0</v>
      </c>
      <c r="G6856" t="str">
        <f>CHOOSE(WEEKDAY(A6856,2),"Mon","Tue","Wed","Thu","Fri","Sat","Sun")</f>
        <v>Tue</v>
      </c>
      <c r="H6856" t="str">
        <f>IF(WEEKDAY(A6856,2)&gt;5,"Weekend","Weekday")</f>
        <v>Weekday</v>
      </c>
      <c r="I6856" t="str">
        <f>_xlfn.IFS(B6856&lt;=5,"Night (0-5)",B6856&lt;=9,"Morning peak (6-9)",B6856&lt;=15,"Midday (10-15)",B6856&lt;=19,"Evening peak (16-19)",TRUE,"Late evening (20-23)")</f>
        <v>Night (0-5)</v>
      </c>
    </row>
    <row r="6857" spans="1:9">
      <c r="A6857" s="32">
        <v>42108</v>
      </c>
      <c r="B6857">
        <v>2</v>
      </c>
      <c r="C6857">
        <v>449</v>
      </c>
      <c r="D6857" t="s">
        <v>304</v>
      </c>
      <c r="E6857">
        <f>YEAR(A6857)</f>
        <v>2015</v>
      </c>
      <c r="F6857" s="33">
        <f>DATE(YEAR(A6857),MONTH(A6857),1)</f>
        <v>42095.0</v>
      </c>
      <c r="G6857" t="str">
        <f>CHOOSE(WEEKDAY(A6857,2),"Mon","Tue","Wed","Thu","Fri","Sat","Sun")</f>
        <v>Tue</v>
      </c>
      <c r="H6857" t="str">
        <f>IF(WEEKDAY(A6857,2)&gt;5,"Weekend","Weekday")</f>
        <v>Weekday</v>
      </c>
      <c r="I6857" t="str">
        <f>_xlfn.IFS(B6857&lt;=5,"Night (0-5)",B6857&lt;=9,"Morning peak (6-9)",B6857&lt;=15,"Midday (10-15)",B6857&lt;=19,"Evening peak (16-19)",TRUE,"Late evening (20-23)")</f>
        <v>Night (0-5)</v>
      </c>
    </row>
    <row r="6858" spans="1:9">
      <c r="A6858" s="32">
        <v>42108</v>
      </c>
      <c r="B6858">
        <v>3</v>
      </c>
      <c r="C6858">
        <v>309</v>
      </c>
      <c r="D6858" t="s">
        <v>304</v>
      </c>
      <c r="E6858">
        <f>YEAR(A6858)</f>
        <v>2015</v>
      </c>
      <c r="F6858" s="33">
        <f>DATE(YEAR(A6858),MONTH(A6858),1)</f>
        <v>42095.0</v>
      </c>
      <c r="G6858" t="str">
        <f>CHOOSE(WEEKDAY(A6858,2),"Mon","Tue","Wed","Thu","Fri","Sat","Sun")</f>
        <v>Tue</v>
      </c>
      <c r="H6858" t="str">
        <f>IF(WEEKDAY(A6858,2)&gt;5,"Weekend","Weekday")</f>
        <v>Weekday</v>
      </c>
      <c r="I6858" t="str">
        <f>_xlfn.IFS(B6858&lt;=5,"Night (0-5)",B6858&lt;=9,"Morning peak (6-9)",B6858&lt;=15,"Midday (10-15)",B6858&lt;=19,"Evening peak (16-19)",TRUE,"Late evening (20-23)")</f>
        <v>Night (0-5)</v>
      </c>
    </row>
    <row r="6859" spans="1:9">
      <c r="A6859" s="32">
        <v>42108</v>
      </c>
      <c r="B6859">
        <v>4</v>
      </c>
      <c r="C6859">
        <v>481</v>
      </c>
      <c r="D6859" t="s">
        <v>304</v>
      </c>
      <c r="E6859">
        <f>YEAR(A6859)</f>
        <v>2015</v>
      </c>
      <c r="F6859" s="33">
        <f>DATE(YEAR(A6859),MONTH(A6859),1)</f>
        <v>42095.0</v>
      </c>
      <c r="G6859" t="str">
        <f>CHOOSE(WEEKDAY(A6859,2),"Mon","Tue","Wed","Thu","Fri","Sat","Sun")</f>
        <v>Tue</v>
      </c>
      <c r="H6859" t="str">
        <f>IF(WEEKDAY(A6859,2)&gt;5,"Weekend","Weekday")</f>
        <v>Weekday</v>
      </c>
      <c r="I6859" t="str">
        <f>_xlfn.IFS(B6859&lt;=5,"Night (0-5)",B6859&lt;=9,"Morning peak (6-9)",B6859&lt;=15,"Midday (10-15)",B6859&lt;=19,"Evening peak (16-19)",TRUE,"Late evening (20-23)")</f>
        <v>Night (0-5)</v>
      </c>
    </row>
    <row r="6860" spans="1:9">
      <c r="A6860" s="32">
        <v>42108</v>
      </c>
      <c r="B6860">
        <v>5</v>
      </c>
      <c r="C6860">
        <v>917</v>
      </c>
      <c r="D6860" t="s">
        <v>304</v>
      </c>
      <c r="E6860">
        <f>YEAR(A6860)</f>
        <v>2015</v>
      </c>
      <c r="F6860" s="33">
        <f>DATE(YEAR(A6860),MONTH(A6860),1)</f>
        <v>42095.0</v>
      </c>
      <c r="G6860" t="str">
        <f>CHOOSE(WEEKDAY(A6860,2),"Mon","Tue","Wed","Thu","Fri","Sat","Sun")</f>
        <v>Tue</v>
      </c>
      <c r="H6860" t="str">
        <f>IF(WEEKDAY(A6860,2)&gt;5,"Weekend","Weekday")</f>
        <v>Weekday</v>
      </c>
      <c r="I6860" t="str">
        <f>_xlfn.IFS(B6860&lt;=5,"Night (0-5)",B6860&lt;=9,"Morning peak (6-9)",B6860&lt;=15,"Midday (10-15)",B6860&lt;=19,"Evening peak (16-19)",TRUE,"Late evening (20-23)")</f>
        <v>Night (0-5)</v>
      </c>
    </row>
    <row r="6861" spans="1:9">
      <c r="A6861" s="32">
        <v>42108</v>
      </c>
      <c r="B6861">
        <v>6</v>
      </c>
      <c r="C6861">
        <v>1822</v>
      </c>
      <c r="D6861" t="s">
        <v>304</v>
      </c>
      <c r="E6861">
        <f>YEAR(A6861)</f>
        <v>2015</v>
      </c>
      <c r="F6861" s="33">
        <f>DATE(YEAR(A6861),MONTH(A6861),1)</f>
        <v>42095.0</v>
      </c>
      <c r="G6861" t="str">
        <f>CHOOSE(WEEKDAY(A6861,2),"Mon","Tue","Wed","Thu","Fri","Sat","Sun")</f>
        <v>Tue</v>
      </c>
      <c r="H6861" t="str">
        <f>IF(WEEKDAY(A6861,2)&gt;5,"Weekend","Weekday")</f>
        <v>Weekday</v>
      </c>
      <c r="I6861" t="str">
        <f>_xlfn.IFS(B6861&lt;=5,"Night (0-5)",B6861&lt;=9,"Morning peak (6-9)",B6861&lt;=15,"Midday (10-15)",B6861&lt;=19,"Evening peak (16-19)",TRUE,"Late evening (20-23)")</f>
        <v>Morning peak (6-9)</v>
      </c>
    </row>
    <row r="6862" spans="1:9">
      <c r="A6862" s="32">
        <v>42108</v>
      </c>
      <c r="B6862">
        <v>7</v>
      </c>
      <c r="C6862">
        <v>3082</v>
      </c>
      <c r="D6862" t="s">
        <v>304</v>
      </c>
      <c r="E6862">
        <f>YEAR(A6862)</f>
        <v>2015</v>
      </c>
      <c r="F6862" s="33">
        <f>DATE(YEAR(A6862),MONTH(A6862),1)</f>
        <v>42095.0</v>
      </c>
      <c r="G6862" t="str">
        <f>CHOOSE(WEEKDAY(A6862,2),"Mon","Tue","Wed","Thu","Fri","Sat","Sun")</f>
        <v>Tue</v>
      </c>
      <c r="H6862" t="str">
        <f>IF(WEEKDAY(A6862,2)&gt;5,"Weekend","Weekday")</f>
        <v>Weekday</v>
      </c>
      <c r="I6862" t="str">
        <f>_xlfn.IFS(B6862&lt;=5,"Night (0-5)",B6862&lt;=9,"Morning peak (6-9)",B6862&lt;=15,"Midday (10-15)",B6862&lt;=19,"Evening peak (16-19)",TRUE,"Late evening (20-23)")</f>
        <v>Morning peak (6-9)</v>
      </c>
    </row>
    <row r="6863" spans="1:9">
      <c r="A6863" s="32">
        <v>42108</v>
      </c>
      <c r="B6863">
        <v>8</v>
      </c>
      <c r="C6863">
        <v>4094</v>
      </c>
      <c r="D6863" t="s">
        <v>304</v>
      </c>
      <c r="E6863">
        <f>YEAR(A6863)</f>
        <v>2015</v>
      </c>
      <c r="F6863" s="33">
        <f>DATE(YEAR(A6863),MONTH(A6863),1)</f>
        <v>42095.0</v>
      </c>
      <c r="G6863" t="str">
        <f>CHOOSE(WEEKDAY(A6863,2),"Mon","Tue","Wed","Thu","Fri","Sat","Sun")</f>
        <v>Tue</v>
      </c>
      <c r="H6863" t="str">
        <f>IF(WEEKDAY(A6863,2)&gt;5,"Weekend","Weekday")</f>
        <v>Weekday</v>
      </c>
      <c r="I6863" t="str">
        <f>_xlfn.IFS(B6863&lt;=5,"Night (0-5)",B6863&lt;=9,"Morning peak (6-9)",B6863&lt;=15,"Midday (10-15)",B6863&lt;=19,"Evening peak (16-19)",TRUE,"Late evening (20-23)")</f>
        <v>Morning peak (6-9)</v>
      </c>
    </row>
    <row r="6864" spans="1:9">
      <c r="A6864" s="32">
        <v>42108</v>
      </c>
      <c r="B6864">
        <v>9</v>
      </c>
      <c r="C6864">
        <v>3557</v>
      </c>
      <c r="D6864" t="s">
        <v>304</v>
      </c>
      <c r="E6864">
        <f>YEAR(A6864)</f>
        <v>2015</v>
      </c>
      <c r="F6864" s="33">
        <f>DATE(YEAR(A6864),MONTH(A6864),1)</f>
        <v>42095.0</v>
      </c>
      <c r="G6864" t="str">
        <f>CHOOSE(WEEKDAY(A6864,2),"Mon","Tue","Wed","Thu","Fri","Sat","Sun")</f>
        <v>Tue</v>
      </c>
      <c r="H6864" t="str">
        <f>IF(WEEKDAY(A6864,2)&gt;5,"Weekend","Weekday")</f>
        <v>Weekday</v>
      </c>
      <c r="I6864" t="str">
        <f>_xlfn.IFS(B6864&lt;=5,"Night (0-5)",B6864&lt;=9,"Morning peak (6-9)",B6864&lt;=15,"Midday (10-15)",B6864&lt;=19,"Evening peak (16-19)",TRUE,"Late evening (20-23)")</f>
        <v>Morning peak (6-9)</v>
      </c>
    </row>
    <row r="6865" spans="1:9">
      <c r="A6865" s="32">
        <v>42108</v>
      </c>
      <c r="B6865">
        <v>10</v>
      </c>
      <c r="C6865">
        <v>2591</v>
      </c>
      <c r="D6865" t="s">
        <v>304</v>
      </c>
      <c r="E6865">
        <f>YEAR(A6865)</f>
        <v>2015</v>
      </c>
      <c r="F6865" s="33">
        <f>DATE(YEAR(A6865),MONTH(A6865),1)</f>
        <v>42095.0</v>
      </c>
      <c r="G6865" t="str">
        <f>CHOOSE(WEEKDAY(A6865,2),"Mon","Tue","Wed","Thu","Fri","Sat","Sun")</f>
        <v>Tue</v>
      </c>
      <c r="H6865" t="str">
        <f>IF(WEEKDAY(A6865,2)&gt;5,"Weekend","Weekday")</f>
        <v>Weekday</v>
      </c>
      <c r="I6865" t="str">
        <f>_xlfn.IFS(B6865&lt;=5,"Night (0-5)",B6865&lt;=9,"Morning peak (6-9)",B6865&lt;=15,"Midday (10-15)",B6865&lt;=19,"Evening peak (16-19)",TRUE,"Late evening (20-23)")</f>
        <v>Midday (10-15)</v>
      </c>
    </row>
    <row r="6866" spans="1:9">
      <c r="A6866" s="32">
        <v>42108</v>
      </c>
      <c r="B6866">
        <v>11</v>
      </c>
      <c r="C6866">
        <v>2267</v>
      </c>
      <c r="D6866" t="s">
        <v>304</v>
      </c>
      <c r="E6866">
        <f>YEAR(A6866)</f>
        <v>2015</v>
      </c>
      <c r="F6866" s="33">
        <f>DATE(YEAR(A6866),MONTH(A6866),1)</f>
        <v>42095.0</v>
      </c>
      <c r="G6866" t="str">
        <f>CHOOSE(WEEKDAY(A6866,2),"Mon","Tue","Wed","Thu","Fri","Sat","Sun")</f>
        <v>Tue</v>
      </c>
      <c r="H6866" t="str">
        <f>IF(WEEKDAY(A6866,2)&gt;5,"Weekend","Weekday")</f>
        <v>Weekday</v>
      </c>
      <c r="I6866" t="str">
        <f>_xlfn.IFS(B6866&lt;=5,"Night (0-5)",B6866&lt;=9,"Morning peak (6-9)",B6866&lt;=15,"Midday (10-15)",B6866&lt;=19,"Evening peak (16-19)",TRUE,"Late evening (20-23)")</f>
        <v>Midday (10-15)</v>
      </c>
    </row>
    <row r="6867" spans="1:9">
      <c r="A6867" s="32">
        <v>42108</v>
      </c>
      <c r="B6867">
        <v>12</v>
      </c>
      <c r="C6867">
        <v>2198</v>
      </c>
      <c r="D6867" t="s">
        <v>304</v>
      </c>
      <c r="E6867">
        <f>YEAR(A6867)</f>
        <v>2015</v>
      </c>
      <c r="F6867" s="33">
        <f>DATE(YEAR(A6867),MONTH(A6867),1)</f>
        <v>42095.0</v>
      </c>
      <c r="G6867" t="str">
        <f>CHOOSE(WEEKDAY(A6867,2),"Mon","Tue","Wed","Thu","Fri","Sat","Sun")</f>
        <v>Tue</v>
      </c>
      <c r="H6867" t="str">
        <f>IF(WEEKDAY(A6867,2)&gt;5,"Weekend","Weekday")</f>
        <v>Weekday</v>
      </c>
      <c r="I6867" t="str">
        <f>_xlfn.IFS(B6867&lt;=5,"Night (0-5)",B6867&lt;=9,"Morning peak (6-9)",B6867&lt;=15,"Midday (10-15)",B6867&lt;=19,"Evening peak (16-19)",TRUE,"Late evening (20-23)")</f>
        <v>Midday (10-15)</v>
      </c>
    </row>
    <row r="6868" spans="1:9">
      <c r="A6868" s="32">
        <v>42108</v>
      </c>
      <c r="B6868">
        <v>13</v>
      </c>
      <c r="C6868">
        <v>2165</v>
      </c>
      <c r="D6868" t="s">
        <v>304</v>
      </c>
      <c r="E6868">
        <f>YEAR(A6868)</f>
        <v>2015</v>
      </c>
      <c r="F6868" s="33">
        <f>DATE(YEAR(A6868),MONTH(A6868),1)</f>
        <v>42095.0</v>
      </c>
      <c r="G6868" t="str">
        <f>CHOOSE(WEEKDAY(A6868,2),"Mon","Tue","Wed","Thu","Fri","Sat","Sun")</f>
        <v>Tue</v>
      </c>
      <c r="H6868" t="str">
        <f>IF(WEEKDAY(A6868,2)&gt;5,"Weekend","Weekday")</f>
        <v>Weekday</v>
      </c>
      <c r="I6868" t="str">
        <f>_xlfn.IFS(B6868&lt;=5,"Night (0-5)",B6868&lt;=9,"Morning peak (6-9)",B6868&lt;=15,"Midday (10-15)",B6868&lt;=19,"Evening peak (16-19)",TRUE,"Late evening (20-23)")</f>
        <v>Midday (10-15)</v>
      </c>
    </row>
    <row r="6869" spans="1:9">
      <c r="A6869" s="32">
        <v>42108</v>
      </c>
      <c r="B6869">
        <v>14</v>
      </c>
      <c r="C6869">
        <v>2483</v>
      </c>
      <c r="D6869" t="s">
        <v>304</v>
      </c>
      <c r="E6869">
        <f>YEAR(A6869)</f>
        <v>2015</v>
      </c>
      <c r="F6869" s="33">
        <f>DATE(YEAR(A6869),MONTH(A6869),1)</f>
        <v>42095.0</v>
      </c>
      <c r="G6869" t="str">
        <f>CHOOSE(WEEKDAY(A6869,2),"Mon","Tue","Wed","Thu","Fri","Sat","Sun")</f>
        <v>Tue</v>
      </c>
      <c r="H6869" t="str">
        <f>IF(WEEKDAY(A6869,2)&gt;5,"Weekend","Weekday")</f>
        <v>Weekday</v>
      </c>
      <c r="I6869" t="str">
        <f>_xlfn.IFS(B6869&lt;=5,"Night (0-5)",B6869&lt;=9,"Morning peak (6-9)",B6869&lt;=15,"Midday (10-15)",B6869&lt;=19,"Evening peak (16-19)",TRUE,"Late evening (20-23)")</f>
        <v>Midday (10-15)</v>
      </c>
    </row>
    <row r="6870" spans="1:9">
      <c r="A6870" s="32">
        <v>42108</v>
      </c>
      <c r="B6870">
        <v>15</v>
      </c>
      <c r="C6870">
        <v>2828</v>
      </c>
      <c r="D6870" t="s">
        <v>304</v>
      </c>
      <c r="E6870">
        <f>YEAR(A6870)</f>
        <v>2015</v>
      </c>
      <c r="F6870" s="33">
        <f>DATE(YEAR(A6870),MONTH(A6870),1)</f>
        <v>42095.0</v>
      </c>
      <c r="G6870" t="str">
        <f>CHOOSE(WEEKDAY(A6870,2),"Mon","Tue","Wed","Thu","Fri","Sat","Sun")</f>
        <v>Tue</v>
      </c>
      <c r="H6870" t="str">
        <f>IF(WEEKDAY(A6870,2)&gt;5,"Weekend","Weekday")</f>
        <v>Weekday</v>
      </c>
      <c r="I6870" t="str">
        <f>_xlfn.IFS(B6870&lt;=5,"Night (0-5)",B6870&lt;=9,"Morning peak (6-9)",B6870&lt;=15,"Midday (10-15)",B6870&lt;=19,"Evening peak (16-19)",TRUE,"Late evening (20-23)")</f>
        <v>Midday (10-15)</v>
      </c>
    </row>
    <row r="6871" spans="1:9">
      <c r="A6871" s="32">
        <v>42108</v>
      </c>
      <c r="B6871">
        <v>16</v>
      </c>
      <c r="C6871">
        <v>3137</v>
      </c>
      <c r="D6871" t="s">
        <v>304</v>
      </c>
      <c r="E6871">
        <f>YEAR(A6871)</f>
        <v>2015</v>
      </c>
      <c r="F6871" s="33">
        <f>DATE(YEAR(A6871),MONTH(A6871),1)</f>
        <v>42095.0</v>
      </c>
      <c r="G6871" t="str">
        <f>CHOOSE(WEEKDAY(A6871,2),"Mon","Tue","Wed","Thu","Fri","Sat","Sun")</f>
        <v>Tue</v>
      </c>
      <c r="H6871" t="str">
        <f>IF(WEEKDAY(A6871,2)&gt;5,"Weekend","Weekday")</f>
        <v>Weekday</v>
      </c>
      <c r="I6871" t="str">
        <f>_xlfn.IFS(B6871&lt;=5,"Night (0-5)",B6871&lt;=9,"Morning peak (6-9)",B6871&lt;=15,"Midday (10-15)",B6871&lt;=19,"Evening peak (16-19)",TRUE,"Late evening (20-23)")</f>
        <v>Evening peak (16-19)</v>
      </c>
    </row>
    <row r="6872" spans="1:9">
      <c r="A6872" s="32">
        <v>42108</v>
      </c>
      <c r="B6872">
        <v>17</v>
      </c>
      <c r="C6872">
        <v>3945</v>
      </c>
      <c r="D6872" t="s">
        <v>304</v>
      </c>
      <c r="E6872">
        <f>YEAR(A6872)</f>
        <v>2015</v>
      </c>
      <c r="F6872" s="33">
        <f>DATE(YEAR(A6872),MONTH(A6872),1)</f>
        <v>42095.0</v>
      </c>
      <c r="G6872" t="str">
        <f>CHOOSE(WEEKDAY(A6872,2),"Mon","Tue","Wed","Thu","Fri","Sat","Sun")</f>
        <v>Tue</v>
      </c>
      <c r="H6872" t="str">
        <f>IF(WEEKDAY(A6872,2)&gt;5,"Weekend","Weekday")</f>
        <v>Weekday</v>
      </c>
      <c r="I6872" t="str">
        <f>_xlfn.IFS(B6872&lt;=5,"Night (0-5)",B6872&lt;=9,"Morning peak (6-9)",B6872&lt;=15,"Midday (10-15)",B6872&lt;=19,"Evening peak (16-19)",TRUE,"Late evening (20-23)")</f>
        <v>Evening peak (16-19)</v>
      </c>
    </row>
    <row r="6873" spans="1:9">
      <c r="A6873" s="32">
        <v>42108</v>
      </c>
      <c r="B6873">
        <v>18</v>
      </c>
      <c r="C6873">
        <v>4783</v>
      </c>
      <c r="D6873" t="s">
        <v>304</v>
      </c>
      <c r="E6873">
        <f>YEAR(A6873)</f>
        <v>2015</v>
      </c>
      <c r="F6873" s="33">
        <f>DATE(YEAR(A6873),MONTH(A6873),1)</f>
        <v>42095.0</v>
      </c>
      <c r="G6873" t="str">
        <f>CHOOSE(WEEKDAY(A6873,2),"Mon","Tue","Wed","Thu","Fri","Sat","Sun")</f>
        <v>Tue</v>
      </c>
      <c r="H6873" t="str">
        <f>IF(WEEKDAY(A6873,2)&gt;5,"Weekend","Weekday")</f>
        <v>Weekday</v>
      </c>
      <c r="I6873" t="str">
        <f>_xlfn.IFS(B6873&lt;=5,"Night (0-5)",B6873&lt;=9,"Morning peak (6-9)",B6873&lt;=15,"Midday (10-15)",B6873&lt;=19,"Evening peak (16-19)",TRUE,"Late evening (20-23)")</f>
        <v>Evening peak (16-19)</v>
      </c>
    </row>
    <row r="6874" spans="1:9">
      <c r="A6874" s="32">
        <v>42108</v>
      </c>
      <c r="B6874">
        <v>19</v>
      </c>
      <c r="C6874">
        <v>4521</v>
      </c>
      <c r="D6874" t="s">
        <v>304</v>
      </c>
      <c r="E6874">
        <f>YEAR(A6874)</f>
        <v>2015</v>
      </c>
      <c r="F6874" s="33">
        <f>DATE(YEAR(A6874),MONTH(A6874),1)</f>
        <v>42095.0</v>
      </c>
      <c r="G6874" t="str">
        <f>CHOOSE(WEEKDAY(A6874,2),"Mon","Tue","Wed","Thu","Fri","Sat","Sun")</f>
        <v>Tue</v>
      </c>
      <c r="H6874" t="str">
        <f>IF(WEEKDAY(A6874,2)&gt;5,"Weekend","Weekday")</f>
        <v>Weekday</v>
      </c>
      <c r="I6874" t="str">
        <f>_xlfn.IFS(B6874&lt;=5,"Night (0-5)",B6874&lt;=9,"Morning peak (6-9)",B6874&lt;=15,"Midday (10-15)",B6874&lt;=19,"Evening peak (16-19)",TRUE,"Late evening (20-23)")</f>
        <v>Evening peak (16-19)</v>
      </c>
    </row>
    <row r="6875" spans="1:9">
      <c r="A6875" s="32">
        <v>42108</v>
      </c>
      <c r="B6875">
        <v>20</v>
      </c>
      <c r="C6875">
        <v>4270</v>
      </c>
      <c r="D6875" t="s">
        <v>304</v>
      </c>
      <c r="E6875">
        <f>YEAR(A6875)</f>
        <v>2015</v>
      </c>
      <c r="F6875" s="33">
        <f>DATE(YEAR(A6875),MONTH(A6875),1)</f>
        <v>42095.0</v>
      </c>
      <c r="G6875" t="str">
        <f>CHOOSE(WEEKDAY(A6875,2),"Mon","Tue","Wed","Thu","Fri","Sat","Sun")</f>
        <v>Tue</v>
      </c>
      <c r="H6875" t="str">
        <f>IF(WEEKDAY(A6875,2)&gt;5,"Weekend","Weekday")</f>
        <v>Weekday</v>
      </c>
      <c r="I6875" t="str">
        <f>_xlfn.IFS(B6875&lt;=5,"Night (0-5)",B6875&lt;=9,"Morning peak (6-9)",B6875&lt;=15,"Midday (10-15)",B6875&lt;=19,"Evening peak (16-19)",TRUE,"Late evening (20-23)")</f>
        <v>Late evening (20-23)</v>
      </c>
    </row>
    <row r="6876" spans="1:9">
      <c r="A6876" s="32">
        <v>42108</v>
      </c>
      <c r="B6876">
        <v>21</v>
      </c>
      <c r="C6876">
        <v>4320</v>
      </c>
      <c r="D6876" t="s">
        <v>304</v>
      </c>
      <c r="E6876">
        <f>YEAR(A6876)</f>
        <v>2015</v>
      </c>
      <c r="F6876" s="33">
        <f>DATE(YEAR(A6876),MONTH(A6876),1)</f>
        <v>42095.0</v>
      </c>
      <c r="G6876" t="str">
        <f>CHOOSE(WEEKDAY(A6876,2),"Mon","Tue","Wed","Thu","Fri","Sat","Sun")</f>
        <v>Tue</v>
      </c>
      <c r="H6876" t="str">
        <f>IF(WEEKDAY(A6876,2)&gt;5,"Weekend","Weekday")</f>
        <v>Weekday</v>
      </c>
      <c r="I6876" t="str">
        <f>_xlfn.IFS(B6876&lt;=5,"Night (0-5)",B6876&lt;=9,"Morning peak (6-9)",B6876&lt;=15,"Midday (10-15)",B6876&lt;=19,"Evening peak (16-19)",TRUE,"Late evening (20-23)")</f>
        <v>Late evening (20-23)</v>
      </c>
    </row>
    <row r="6877" spans="1:9">
      <c r="A6877" s="32">
        <v>42108</v>
      </c>
      <c r="B6877">
        <v>22</v>
      </c>
      <c r="C6877">
        <v>3890</v>
      </c>
      <c r="D6877" t="s">
        <v>304</v>
      </c>
      <c r="E6877">
        <f>YEAR(A6877)</f>
        <v>2015</v>
      </c>
      <c r="F6877" s="33">
        <f>DATE(YEAR(A6877),MONTH(A6877),1)</f>
        <v>42095.0</v>
      </c>
      <c r="G6877" t="str">
        <f>CHOOSE(WEEKDAY(A6877,2),"Mon","Tue","Wed","Thu","Fri","Sat","Sun")</f>
        <v>Tue</v>
      </c>
      <c r="H6877" t="str">
        <f>IF(WEEKDAY(A6877,2)&gt;5,"Weekend","Weekday")</f>
        <v>Weekday</v>
      </c>
      <c r="I6877" t="str">
        <f>_xlfn.IFS(B6877&lt;=5,"Night (0-5)",B6877&lt;=9,"Morning peak (6-9)",B6877&lt;=15,"Midday (10-15)",B6877&lt;=19,"Evening peak (16-19)",TRUE,"Late evening (20-23)")</f>
        <v>Late evening (20-23)</v>
      </c>
    </row>
    <row r="6878" spans="1:9">
      <c r="A6878" s="32">
        <v>42108</v>
      </c>
      <c r="B6878">
        <v>23</v>
      </c>
      <c r="C6878">
        <v>2860</v>
      </c>
      <c r="D6878" t="s">
        <v>304</v>
      </c>
      <c r="E6878">
        <f>YEAR(A6878)</f>
        <v>2015</v>
      </c>
      <c r="F6878" s="33">
        <f>DATE(YEAR(A6878),MONTH(A6878),1)</f>
        <v>42095.0</v>
      </c>
      <c r="G6878" t="str">
        <f>CHOOSE(WEEKDAY(A6878,2),"Mon","Tue","Wed","Thu","Fri","Sat","Sun")</f>
        <v>Tue</v>
      </c>
      <c r="H6878" t="str">
        <f>IF(WEEKDAY(A6878,2)&gt;5,"Weekend","Weekday")</f>
        <v>Weekday</v>
      </c>
      <c r="I6878" t="str">
        <f>_xlfn.IFS(B6878&lt;=5,"Night (0-5)",B6878&lt;=9,"Morning peak (6-9)",B6878&lt;=15,"Midday (10-15)",B6878&lt;=19,"Evening peak (16-19)",TRUE,"Late evening (20-23)")</f>
        <v>Late evening (20-23)</v>
      </c>
    </row>
    <row r="6879" spans="1:9">
      <c r="A6879" s="32">
        <v>42109</v>
      </c>
      <c r="B6879">
        <v>0</v>
      </c>
      <c r="C6879">
        <v>1761</v>
      </c>
      <c r="D6879" t="s">
        <v>304</v>
      </c>
      <c r="E6879">
        <f>YEAR(A6879)</f>
        <v>2015</v>
      </c>
      <c r="F6879" s="33">
        <f>DATE(YEAR(A6879),MONTH(A6879),1)</f>
        <v>42095.0</v>
      </c>
      <c r="G6879" t="str">
        <f>CHOOSE(WEEKDAY(A6879,2),"Mon","Tue","Wed","Thu","Fri","Sat","Sun")</f>
        <v>Wed</v>
      </c>
      <c r="H6879" t="str">
        <f>IF(WEEKDAY(A6879,2)&gt;5,"Weekend","Weekday")</f>
        <v>Weekday</v>
      </c>
      <c r="I6879" t="str">
        <f>_xlfn.IFS(B6879&lt;=5,"Night (0-5)",B6879&lt;=9,"Morning peak (6-9)",B6879&lt;=15,"Midday (10-15)",B6879&lt;=19,"Evening peak (16-19)",TRUE,"Late evening (20-23)")</f>
        <v>Night (0-5)</v>
      </c>
    </row>
    <row r="6880" spans="1:9">
      <c r="A6880" s="32">
        <v>42109</v>
      </c>
      <c r="B6880">
        <v>1</v>
      </c>
      <c r="C6880">
        <v>1049</v>
      </c>
      <c r="D6880" t="s">
        <v>304</v>
      </c>
      <c r="E6880">
        <f>YEAR(A6880)</f>
        <v>2015</v>
      </c>
      <c r="F6880" s="33">
        <f>DATE(YEAR(A6880),MONTH(A6880),1)</f>
        <v>42095.0</v>
      </c>
      <c r="G6880" t="str">
        <f>CHOOSE(WEEKDAY(A6880,2),"Mon","Tue","Wed","Thu","Fri","Sat","Sun")</f>
        <v>Wed</v>
      </c>
      <c r="H6880" t="str">
        <f>IF(WEEKDAY(A6880,2)&gt;5,"Weekend","Weekday")</f>
        <v>Weekday</v>
      </c>
      <c r="I6880" t="str">
        <f>_xlfn.IFS(B6880&lt;=5,"Night (0-5)",B6880&lt;=9,"Morning peak (6-9)",B6880&lt;=15,"Midday (10-15)",B6880&lt;=19,"Evening peak (16-19)",TRUE,"Late evening (20-23)")</f>
        <v>Night (0-5)</v>
      </c>
    </row>
    <row r="6881" spans="1:9">
      <c r="A6881" s="32">
        <v>42109</v>
      </c>
      <c r="B6881">
        <v>2</v>
      </c>
      <c r="C6881">
        <v>572</v>
      </c>
      <c r="D6881" t="s">
        <v>304</v>
      </c>
      <c r="E6881">
        <f>YEAR(A6881)</f>
        <v>2015</v>
      </c>
      <c r="F6881" s="33">
        <f>DATE(YEAR(A6881),MONTH(A6881),1)</f>
        <v>42095.0</v>
      </c>
      <c r="G6881" t="str">
        <f>CHOOSE(WEEKDAY(A6881,2),"Mon","Tue","Wed","Thu","Fri","Sat","Sun")</f>
        <v>Wed</v>
      </c>
      <c r="H6881" t="str">
        <f>IF(WEEKDAY(A6881,2)&gt;5,"Weekend","Weekday")</f>
        <v>Weekday</v>
      </c>
      <c r="I6881" t="str">
        <f>_xlfn.IFS(B6881&lt;=5,"Night (0-5)",B6881&lt;=9,"Morning peak (6-9)",B6881&lt;=15,"Midday (10-15)",B6881&lt;=19,"Evening peak (16-19)",TRUE,"Late evening (20-23)")</f>
        <v>Night (0-5)</v>
      </c>
    </row>
    <row r="6882" spans="1:9">
      <c r="A6882" s="32">
        <v>42109</v>
      </c>
      <c r="B6882">
        <v>3</v>
      </c>
      <c r="C6882">
        <v>386</v>
      </c>
      <c r="D6882" t="s">
        <v>304</v>
      </c>
      <c r="E6882">
        <f>YEAR(A6882)</f>
        <v>2015</v>
      </c>
      <c r="F6882" s="33">
        <f>DATE(YEAR(A6882),MONTH(A6882),1)</f>
        <v>42095.0</v>
      </c>
      <c r="G6882" t="str">
        <f>CHOOSE(WEEKDAY(A6882,2),"Mon","Tue","Wed","Thu","Fri","Sat","Sun")</f>
        <v>Wed</v>
      </c>
      <c r="H6882" t="str">
        <f>IF(WEEKDAY(A6882,2)&gt;5,"Weekend","Weekday")</f>
        <v>Weekday</v>
      </c>
      <c r="I6882" t="str">
        <f>_xlfn.IFS(B6882&lt;=5,"Night (0-5)",B6882&lt;=9,"Morning peak (6-9)",B6882&lt;=15,"Midday (10-15)",B6882&lt;=19,"Evening peak (16-19)",TRUE,"Late evening (20-23)")</f>
        <v>Night (0-5)</v>
      </c>
    </row>
    <row r="6883" spans="1:9">
      <c r="A6883" s="32">
        <v>42109</v>
      </c>
      <c r="B6883">
        <v>4</v>
      </c>
      <c r="C6883">
        <v>560</v>
      </c>
      <c r="D6883" t="s">
        <v>304</v>
      </c>
      <c r="E6883">
        <f>YEAR(A6883)</f>
        <v>2015</v>
      </c>
      <c r="F6883" s="33">
        <f>DATE(YEAR(A6883),MONTH(A6883),1)</f>
        <v>42095.0</v>
      </c>
      <c r="G6883" t="str">
        <f>CHOOSE(WEEKDAY(A6883,2),"Mon","Tue","Wed","Thu","Fri","Sat","Sun")</f>
        <v>Wed</v>
      </c>
      <c r="H6883" t="str">
        <f>IF(WEEKDAY(A6883,2)&gt;5,"Weekend","Weekday")</f>
        <v>Weekday</v>
      </c>
      <c r="I6883" t="str">
        <f>_xlfn.IFS(B6883&lt;=5,"Night (0-5)",B6883&lt;=9,"Morning peak (6-9)",B6883&lt;=15,"Midday (10-15)",B6883&lt;=19,"Evening peak (16-19)",TRUE,"Late evening (20-23)")</f>
        <v>Night (0-5)</v>
      </c>
    </row>
    <row r="6884" spans="1:9">
      <c r="A6884" s="32">
        <v>42109</v>
      </c>
      <c r="B6884">
        <v>5</v>
      </c>
      <c r="C6884">
        <v>1028</v>
      </c>
      <c r="D6884" t="s">
        <v>304</v>
      </c>
      <c r="E6884">
        <f>YEAR(A6884)</f>
        <v>2015</v>
      </c>
      <c r="F6884" s="33">
        <f>DATE(YEAR(A6884),MONTH(A6884),1)</f>
        <v>42095.0</v>
      </c>
      <c r="G6884" t="str">
        <f>CHOOSE(WEEKDAY(A6884,2),"Mon","Tue","Wed","Thu","Fri","Sat","Sun")</f>
        <v>Wed</v>
      </c>
      <c r="H6884" t="str">
        <f>IF(WEEKDAY(A6884,2)&gt;5,"Weekend","Weekday")</f>
        <v>Weekday</v>
      </c>
      <c r="I6884" t="str">
        <f>_xlfn.IFS(B6884&lt;=5,"Night (0-5)",B6884&lt;=9,"Morning peak (6-9)",B6884&lt;=15,"Midday (10-15)",B6884&lt;=19,"Evening peak (16-19)",TRUE,"Late evening (20-23)")</f>
        <v>Night (0-5)</v>
      </c>
    </row>
    <row r="6885" spans="1:9">
      <c r="A6885" s="32">
        <v>42109</v>
      </c>
      <c r="B6885">
        <v>6</v>
      </c>
      <c r="C6885">
        <v>1856</v>
      </c>
      <c r="D6885" t="s">
        <v>304</v>
      </c>
      <c r="E6885">
        <f>YEAR(A6885)</f>
        <v>2015</v>
      </c>
      <c r="F6885" s="33">
        <f>DATE(YEAR(A6885),MONTH(A6885),1)</f>
        <v>42095.0</v>
      </c>
      <c r="G6885" t="str">
        <f>CHOOSE(WEEKDAY(A6885,2),"Mon","Tue","Wed","Thu","Fri","Sat","Sun")</f>
        <v>Wed</v>
      </c>
      <c r="H6885" t="str">
        <f>IF(WEEKDAY(A6885,2)&gt;5,"Weekend","Weekday")</f>
        <v>Weekday</v>
      </c>
      <c r="I6885" t="str">
        <f>_xlfn.IFS(B6885&lt;=5,"Night (0-5)",B6885&lt;=9,"Morning peak (6-9)",B6885&lt;=15,"Midday (10-15)",B6885&lt;=19,"Evening peak (16-19)",TRUE,"Late evening (20-23)")</f>
        <v>Morning peak (6-9)</v>
      </c>
    </row>
    <row r="6886" spans="1:9">
      <c r="A6886" s="32">
        <v>42109</v>
      </c>
      <c r="B6886">
        <v>7</v>
      </c>
      <c r="C6886">
        <v>2940</v>
      </c>
      <c r="D6886" t="s">
        <v>304</v>
      </c>
      <c r="E6886">
        <f>YEAR(A6886)</f>
        <v>2015</v>
      </c>
      <c r="F6886" s="33">
        <f>DATE(YEAR(A6886),MONTH(A6886),1)</f>
        <v>42095.0</v>
      </c>
      <c r="G6886" t="str">
        <f>CHOOSE(WEEKDAY(A6886,2),"Mon","Tue","Wed","Thu","Fri","Sat","Sun")</f>
        <v>Wed</v>
      </c>
      <c r="H6886" t="str">
        <f>IF(WEEKDAY(A6886,2)&gt;5,"Weekend","Weekday")</f>
        <v>Weekday</v>
      </c>
      <c r="I6886" t="str">
        <f>_xlfn.IFS(B6886&lt;=5,"Night (0-5)",B6886&lt;=9,"Morning peak (6-9)",B6886&lt;=15,"Midday (10-15)",B6886&lt;=19,"Evening peak (16-19)",TRUE,"Late evening (20-23)")</f>
        <v>Morning peak (6-9)</v>
      </c>
    </row>
    <row r="6887" spans="1:9">
      <c r="A6887" s="32">
        <v>42109</v>
      </c>
      <c r="B6887">
        <v>8</v>
      </c>
      <c r="C6887">
        <v>3671</v>
      </c>
      <c r="D6887" t="s">
        <v>304</v>
      </c>
      <c r="E6887">
        <f>YEAR(A6887)</f>
        <v>2015</v>
      </c>
      <c r="F6887" s="33">
        <f>DATE(YEAR(A6887),MONTH(A6887),1)</f>
        <v>42095.0</v>
      </c>
      <c r="G6887" t="str">
        <f>CHOOSE(WEEKDAY(A6887,2),"Mon","Tue","Wed","Thu","Fri","Sat","Sun")</f>
        <v>Wed</v>
      </c>
      <c r="H6887" t="str">
        <f>IF(WEEKDAY(A6887,2)&gt;5,"Weekend","Weekday")</f>
        <v>Weekday</v>
      </c>
      <c r="I6887" t="str">
        <f>_xlfn.IFS(B6887&lt;=5,"Night (0-5)",B6887&lt;=9,"Morning peak (6-9)",B6887&lt;=15,"Midday (10-15)",B6887&lt;=19,"Evening peak (16-19)",TRUE,"Late evening (20-23)")</f>
        <v>Morning peak (6-9)</v>
      </c>
    </row>
    <row r="6888" spans="1:9">
      <c r="A6888" s="32">
        <v>42109</v>
      </c>
      <c r="B6888">
        <v>9</v>
      </c>
      <c r="C6888">
        <v>3465</v>
      </c>
      <c r="D6888" t="s">
        <v>304</v>
      </c>
      <c r="E6888">
        <f>YEAR(A6888)</f>
        <v>2015</v>
      </c>
      <c r="F6888" s="33">
        <f>DATE(YEAR(A6888),MONTH(A6888),1)</f>
        <v>42095.0</v>
      </c>
      <c r="G6888" t="str">
        <f>CHOOSE(WEEKDAY(A6888,2),"Mon","Tue","Wed","Thu","Fri","Sat","Sun")</f>
        <v>Wed</v>
      </c>
      <c r="H6888" t="str">
        <f>IF(WEEKDAY(A6888,2)&gt;5,"Weekend","Weekday")</f>
        <v>Weekday</v>
      </c>
      <c r="I6888" t="str">
        <f>_xlfn.IFS(B6888&lt;=5,"Night (0-5)",B6888&lt;=9,"Morning peak (6-9)",B6888&lt;=15,"Midday (10-15)",B6888&lt;=19,"Evening peak (16-19)",TRUE,"Late evening (20-23)")</f>
        <v>Morning peak (6-9)</v>
      </c>
    </row>
    <row r="6889" spans="1:9">
      <c r="A6889" s="32">
        <v>42109</v>
      </c>
      <c r="B6889">
        <v>10</v>
      </c>
      <c r="C6889">
        <v>2516</v>
      </c>
      <c r="D6889" t="s">
        <v>304</v>
      </c>
      <c r="E6889">
        <f>YEAR(A6889)</f>
        <v>2015</v>
      </c>
      <c r="F6889" s="33">
        <f>DATE(YEAR(A6889),MONTH(A6889),1)</f>
        <v>42095.0</v>
      </c>
      <c r="G6889" t="str">
        <f>CHOOSE(WEEKDAY(A6889,2),"Mon","Tue","Wed","Thu","Fri","Sat","Sun")</f>
        <v>Wed</v>
      </c>
      <c r="H6889" t="str">
        <f>IF(WEEKDAY(A6889,2)&gt;5,"Weekend","Weekday")</f>
        <v>Weekday</v>
      </c>
      <c r="I6889" t="str">
        <f>_xlfn.IFS(B6889&lt;=5,"Night (0-5)",B6889&lt;=9,"Morning peak (6-9)",B6889&lt;=15,"Midday (10-15)",B6889&lt;=19,"Evening peak (16-19)",TRUE,"Late evening (20-23)")</f>
        <v>Midday (10-15)</v>
      </c>
    </row>
    <row r="6890" spans="1:9">
      <c r="A6890" s="32">
        <v>42109</v>
      </c>
      <c r="B6890">
        <v>11</v>
      </c>
      <c r="C6890">
        <v>2274</v>
      </c>
      <c r="D6890" t="s">
        <v>304</v>
      </c>
      <c r="E6890">
        <f>YEAR(A6890)</f>
        <v>2015</v>
      </c>
      <c r="F6890" s="33">
        <f>DATE(YEAR(A6890),MONTH(A6890),1)</f>
        <v>42095.0</v>
      </c>
      <c r="G6890" t="str">
        <f>CHOOSE(WEEKDAY(A6890,2),"Mon","Tue","Wed","Thu","Fri","Sat","Sun")</f>
        <v>Wed</v>
      </c>
      <c r="H6890" t="str">
        <f>IF(WEEKDAY(A6890,2)&gt;5,"Weekend","Weekday")</f>
        <v>Weekday</v>
      </c>
      <c r="I6890" t="str">
        <f>_xlfn.IFS(B6890&lt;=5,"Night (0-5)",B6890&lt;=9,"Morning peak (6-9)",B6890&lt;=15,"Midday (10-15)",B6890&lt;=19,"Evening peak (16-19)",TRUE,"Late evening (20-23)")</f>
        <v>Midday (10-15)</v>
      </c>
    </row>
    <row r="6891" spans="1:9">
      <c r="A6891" s="32">
        <v>42109</v>
      </c>
      <c r="B6891">
        <v>12</v>
      </c>
      <c r="C6891">
        <v>2409</v>
      </c>
      <c r="D6891" t="s">
        <v>304</v>
      </c>
      <c r="E6891">
        <f>YEAR(A6891)</f>
        <v>2015</v>
      </c>
      <c r="F6891" s="33">
        <f>DATE(YEAR(A6891),MONTH(A6891),1)</f>
        <v>42095.0</v>
      </c>
      <c r="G6891" t="str">
        <f>CHOOSE(WEEKDAY(A6891,2),"Mon","Tue","Wed","Thu","Fri","Sat","Sun")</f>
        <v>Wed</v>
      </c>
      <c r="H6891" t="str">
        <f>IF(WEEKDAY(A6891,2)&gt;5,"Weekend","Weekday")</f>
        <v>Weekday</v>
      </c>
      <c r="I6891" t="str">
        <f>_xlfn.IFS(B6891&lt;=5,"Night (0-5)",B6891&lt;=9,"Morning peak (6-9)",B6891&lt;=15,"Midday (10-15)",B6891&lt;=19,"Evening peak (16-19)",TRUE,"Late evening (20-23)")</f>
        <v>Midday (10-15)</v>
      </c>
    </row>
    <row r="6892" spans="1:9">
      <c r="A6892" s="32">
        <v>42109</v>
      </c>
      <c r="B6892">
        <v>13</v>
      </c>
      <c r="C6892">
        <v>2296</v>
      </c>
      <c r="D6892" t="s">
        <v>304</v>
      </c>
      <c r="E6892">
        <f>YEAR(A6892)</f>
        <v>2015</v>
      </c>
      <c r="F6892" s="33">
        <f>DATE(YEAR(A6892),MONTH(A6892),1)</f>
        <v>42095.0</v>
      </c>
      <c r="G6892" t="str">
        <f>CHOOSE(WEEKDAY(A6892,2),"Mon","Tue","Wed","Thu","Fri","Sat","Sun")</f>
        <v>Wed</v>
      </c>
      <c r="H6892" t="str">
        <f>IF(WEEKDAY(A6892,2)&gt;5,"Weekend","Weekday")</f>
        <v>Weekday</v>
      </c>
      <c r="I6892" t="str">
        <f>_xlfn.IFS(B6892&lt;=5,"Night (0-5)",B6892&lt;=9,"Morning peak (6-9)",B6892&lt;=15,"Midday (10-15)",B6892&lt;=19,"Evening peak (16-19)",TRUE,"Late evening (20-23)")</f>
        <v>Midday (10-15)</v>
      </c>
    </row>
    <row r="6893" spans="1:9">
      <c r="A6893" s="32">
        <v>42109</v>
      </c>
      <c r="B6893">
        <v>14</v>
      </c>
      <c r="C6893">
        <v>2599</v>
      </c>
      <c r="D6893" t="s">
        <v>304</v>
      </c>
      <c r="E6893">
        <f>YEAR(A6893)</f>
        <v>2015</v>
      </c>
      <c r="F6893" s="33">
        <f>DATE(YEAR(A6893),MONTH(A6893),1)</f>
        <v>42095.0</v>
      </c>
      <c r="G6893" t="str">
        <f>CHOOSE(WEEKDAY(A6893,2),"Mon","Tue","Wed","Thu","Fri","Sat","Sun")</f>
        <v>Wed</v>
      </c>
      <c r="H6893" t="str">
        <f>IF(WEEKDAY(A6893,2)&gt;5,"Weekend","Weekday")</f>
        <v>Weekday</v>
      </c>
      <c r="I6893" t="str">
        <f>_xlfn.IFS(B6893&lt;=5,"Night (0-5)",B6893&lt;=9,"Morning peak (6-9)",B6893&lt;=15,"Midday (10-15)",B6893&lt;=19,"Evening peak (16-19)",TRUE,"Late evening (20-23)")</f>
        <v>Midday (10-15)</v>
      </c>
    </row>
    <row r="6894" spans="1:9">
      <c r="A6894" s="32">
        <v>42109</v>
      </c>
      <c r="B6894">
        <v>15</v>
      </c>
      <c r="C6894">
        <v>2996</v>
      </c>
      <c r="D6894" t="s">
        <v>304</v>
      </c>
      <c r="E6894">
        <f>YEAR(A6894)</f>
        <v>2015</v>
      </c>
      <c r="F6894" s="33">
        <f>DATE(YEAR(A6894),MONTH(A6894),1)</f>
        <v>42095.0</v>
      </c>
      <c r="G6894" t="str">
        <f>CHOOSE(WEEKDAY(A6894,2),"Mon","Tue","Wed","Thu","Fri","Sat","Sun")</f>
        <v>Wed</v>
      </c>
      <c r="H6894" t="str">
        <f>IF(WEEKDAY(A6894,2)&gt;5,"Weekend","Weekday")</f>
        <v>Weekday</v>
      </c>
      <c r="I6894" t="str">
        <f>_xlfn.IFS(B6894&lt;=5,"Night (0-5)",B6894&lt;=9,"Morning peak (6-9)",B6894&lt;=15,"Midday (10-15)",B6894&lt;=19,"Evening peak (16-19)",TRUE,"Late evening (20-23)")</f>
        <v>Midday (10-15)</v>
      </c>
    </row>
    <row r="6895" spans="1:9">
      <c r="A6895" s="32">
        <v>42109</v>
      </c>
      <c r="B6895">
        <v>16</v>
      </c>
      <c r="C6895">
        <v>3446</v>
      </c>
      <c r="D6895" t="s">
        <v>304</v>
      </c>
      <c r="E6895">
        <f>YEAR(A6895)</f>
        <v>2015</v>
      </c>
      <c r="F6895" s="33">
        <f>DATE(YEAR(A6895),MONTH(A6895),1)</f>
        <v>42095.0</v>
      </c>
      <c r="G6895" t="str">
        <f>CHOOSE(WEEKDAY(A6895,2),"Mon","Tue","Wed","Thu","Fri","Sat","Sun")</f>
        <v>Wed</v>
      </c>
      <c r="H6895" t="str">
        <f>IF(WEEKDAY(A6895,2)&gt;5,"Weekend","Weekday")</f>
        <v>Weekday</v>
      </c>
      <c r="I6895" t="str">
        <f>_xlfn.IFS(B6895&lt;=5,"Night (0-5)",B6895&lt;=9,"Morning peak (6-9)",B6895&lt;=15,"Midday (10-15)",B6895&lt;=19,"Evening peak (16-19)",TRUE,"Late evening (20-23)")</f>
        <v>Evening peak (16-19)</v>
      </c>
    </row>
    <row r="6896" spans="1:9">
      <c r="A6896" s="32">
        <v>42109</v>
      </c>
      <c r="B6896">
        <v>17</v>
      </c>
      <c r="C6896">
        <v>4126</v>
      </c>
      <c r="D6896" t="s">
        <v>304</v>
      </c>
      <c r="E6896">
        <f>YEAR(A6896)</f>
        <v>2015</v>
      </c>
      <c r="F6896" s="33">
        <f>DATE(YEAR(A6896),MONTH(A6896),1)</f>
        <v>42095.0</v>
      </c>
      <c r="G6896" t="str">
        <f>CHOOSE(WEEKDAY(A6896,2),"Mon","Tue","Wed","Thu","Fri","Sat","Sun")</f>
        <v>Wed</v>
      </c>
      <c r="H6896" t="str">
        <f>IF(WEEKDAY(A6896,2)&gt;5,"Weekend","Weekday")</f>
        <v>Weekday</v>
      </c>
      <c r="I6896" t="str">
        <f>_xlfn.IFS(B6896&lt;=5,"Night (0-5)",B6896&lt;=9,"Morning peak (6-9)",B6896&lt;=15,"Midday (10-15)",B6896&lt;=19,"Evening peak (16-19)",TRUE,"Late evening (20-23)")</f>
        <v>Evening peak (16-19)</v>
      </c>
    </row>
    <row r="6897" spans="1:9">
      <c r="A6897" s="32">
        <v>42109</v>
      </c>
      <c r="B6897">
        <v>18</v>
      </c>
      <c r="C6897">
        <v>4894</v>
      </c>
      <c r="D6897" t="s">
        <v>304</v>
      </c>
      <c r="E6897">
        <f>YEAR(A6897)</f>
        <v>2015</v>
      </c>
      <c r="F6897" s="33">
        <f>DATE(YEAR(A6897),MONTH(A6897),1)</f>
        <v>42095.0</v>
      </c>
      <c r="G6897" t="str">
        <f>CHOOSE(WEEKDAY(A6897,2),"Mon","Tue","Wed","Thu","Fri","Sat","Sun")</f>
        <v>Wed</v>
      </c>
      <c r="H6897" t="str">
        <f>IF(WEEKDAY(A6897,2)&gt;5,"Weekend","Weekday")</f>
        <v>Weekday</v>
      </c>
      <c r="I6897" t="str">
        <f>_xlfn.IFS(B6897&lt;=5,"Night (0-5)",B6897&lt;=9,"Morning peak (6-9)",B6897&lt;=15,"Midday (10-15)",B6897&lt;=19,"Evening peak (16-19)",TRUE,"Late evening (20-23)")</f>
        <v>Evening peak (16-19)</v>
      </c>
    </row>
    <row r="6898" spans="1:9">
      <c r="A6898" s="32">
        <v>42109</v>
      </c>
      <c r="B6898">
        <v>19</v>
      </c>
      <c r="C6898">
        <v>4891</v>
      </c>
      <c r="D6898" t="s">
        <v>304</v>
      </c>
      <c r="E6898">
        <f>YEAR(A6898)</f>
        <v>2015</v>
      </c>
      <c r="F6898" s="33">
        <f>DATE(YEAR(A6898),MONTH(A6898),1)</f>
        <v>42095.0</v>
      </c>
      <c r="G6898" t="str">
        <f>CHOOSE(WEEKDAY(A6898,2),"Mon","Tue","Wed","Thu","Fri","Sat","Sun")</f>
        <v>Wed</v>
      </c>
      <c r="H6898" t="str">
        <f>IF(WEEKDAY(A6898,2)&gt;5,"Weekend","Weekday")</f>
        <v>Weekday</v>
      </c>
      <c r="I6898" t="str">
        <f>_xlfn.IFS(B6898&lt;=5,"Night (0-5)",B6898&lt;=9,"Morning peak (6-9)",B6898&lt;=15,"Midday (10-15)",B6898&lt;=19,"Evening peak (16-19)",TRUE,"Late evening (20-23)")</f>
        <v>Evening peak (16-19)</v>
      </c>
    </row>
    <row r="6899" spans="1:9">
      <c r="A6899" s="32">
        <v>42109</v>
      </c>
      <c r="B6899">
        <v>20</v>
      </c>
      <c r="C6899">
        <v>4555</v>
      </c>
      <c r="D6899" t="s">
        <v>304</v>
      </c>
      <c r="E6899">
        <f>YEAR(A6899)</f>
        <v>2015</v>
      </c>
      <c r="F6899" s="33">
        <f>DATE(YEAR(A6899),MONTH(A6899),1)</f>
        <v>42095.0</v>
      </c>
      <c r="G6899" t="str">
        <f>CHOOSE(WEEKDAY(A6899,2),"Mon","Tue","Wed","Thu","Fri","Sat","Sun")</f>
        <v>Wed</v>
      </c>
      <c r="H6899" t="str">
        <f>IF(WEEKDAY(A6899,2)&gt;5,"Weekend","Weekday")</f>
        <v>Weekday</v>
      </c>
      <c r="I6899" t="str">
        <f>_xlfn.IFS(B6899&lt;=5,"Night (0-5)",B6899&lt;=9,"Morning peak (6-9)",B6899&lt;=15,"Midday (10-15)",B6899&lt;=19,"Evening peak (16-19)",TRUE,"Late evening (20-23)")</f>
        <v>Late evening (20-23)</v>
      </c>
    </row>
    <row r="6900" spans="1:9">
      <c r="A6900" s="32">
        <v>42109</v>
      </c>
      <c r="B6900">
        <v>21</v>
      </c>
      <c r="C6900">
        <v>3551</v>
      </c>
      <c r="D6900" t="s">
        <v>304</v>
      </c>
      <c r="E6900">
        <f>YEAR(A6900)</f>
        <v>2015</v>
      </c>
      <c r="F6900" s="33">
        <f>DATE(YEAR(A6900),MONTH(A6900),1)</f>
        <v>42095.0</v>
      </c>
      <c r="G6900" t="str">
        <f>CHOOSE(WEEKDAY(A6900,2),"Mon","Tue","Wed","Thu","Fri","Sat","Sun")</f>
        <v>Wed</v>
      </c>
      <c r="H6900" t="str">
        <f>IF(WEEKDAY(A6900,2)&gt;5,"Weekend","Weekday")</f>
        <v>Weekday</v>
      </c>
      <c r="I6900" t="str">
        <f>_xlfn.IFS(B6900&lt;=5,"Night (0-5)",B6900&lt;=9,"Morning peak (6-9)",B6900&lt;=15,"Midday (10-15)",B6900&lt;=19,"Evening peak (16-19)",TRUE,"Late evening (20-23)")</f>
        <v>Late evening (20-23)</v>
      </c>
    </row>
    <row r="6901" spans="1:9">
      <c r="A6901" s="32">
        <v>42109</v>
      </c>
      <c r="B6901">
        <v>22</v>
      </c>
      <c r="C6901">
        <v>5100</v>
      </c>
      <c r="D6901" t="s">
        <v>304</v>
      </c>
      <c r="E6901">
        <f>YEAR(A6901)</f>
        <v>2015</v>
      </c>
      <c r="F6901" s="33">
        <f>DATE(YEAR(A6901),MONTH(A6901),1)</f>
        <v>42095.0</v>
      </c>
      <c r="G6901" t="str">
        <f>CHOOSE(WEEKDAY(A6901,2),"Mon","Tue","Wed","Thu","Fri","Sat","Sun")</f>
        <v>Wed</v>
      </c>
      <c r="H6901" t="str">
        <f>IF(WEEKDAY(A6901,2)&gt;5,"Weekend","Weekday")</f>
        <v>Weekday</v>
      </c>
      <c r="I6901" t="str">
        <f>_xlfn.IFS(B6901&lt;=5,"Night (0-5)",B6901&lt;=9,"Morning peak (6-9)",B6901&lt;=15,"Midday (10-15)",B6901&lt;=19,"Evening peak (16-19)",TRUE,"Late evening (20-23)")</f>
        <v>Late evening (20-23)</v>
      </c>
    </row>
    <row r="6902" spans="1:9">
      <c r="A6902" s="32">
        <v>42109</v>
      </c>
      <c r="B6902">
        <v>23</v>
      </c>
      <c r="C6902">
        <v>3593</v>
      </c>
      <c r="D6902" t="s">
        <v>304</v>
      </c>
      <c r="E6902">
        <f>YEAR(A6902)</f>
        <v>2015</v>
      </c>
      <c r="F6902" s="33">
        <f>DATE(YEAR(A6902),MONTH(A6902),1)</f>
        <v>42095.0</v>
      </c>
      <c r="G6902" t="str">
        <f>CHOOSE(WEEKDAY(A6902,2),"Mon","Tue","Wed","Thu","Fri","Sat","Sun")</f>
        <v>Wed</v>
      </c>
      <c r="H6902" t="str">
        <f>IF(WEEKDAY(A6902,2)&gt;5,"Weekend","Weekday")</f>
        <v>Weekday</v>
      </c>
      <c r="I6902" t="str">
        <f>_xlfn.IFS(B6902&lt;=5,"Night (0-5)",B6902&lt;=9,"Morning peak (6-9)",B6902&lt;=15,"Midday (10-15)",B6902&lt;=19,"Evening peak (16-19)",TRUE,"Late evening (20-23)")</f>
        <v>Late evening (20-23)</v>
      </c>
    </row>
    <row r="6903" spans="1:9">
      <c r="A6903" s="32">
        <v>42110</v>
      </c>
      <c r="B6903">
        <v>0</v>
      </c>
      <c r="C6903">
        <v>2241</v>
      </c>
      <c r="D6903" t="s">
        <v>304</v>
      </c>
      <c r="E6903">
        <f>YEAR(A6903)</f>
        <v>2015</v>
      </c>
      <c r="F6903" s="33">
        <f>DATE(YEAR(A6903),MONTH(A6903),1)</f>
        <v>42095.0</v>
      </c>
      <c r="G6903" t="str">
        <f>CHOOSE(WEEKDAY(A6903,2),"Mon","Tue","Wed","Thu","Fri","Sat","Sun")</f>
        <v>Thu</v>
      </c>
      <c r="H6903" t="str">
        <f>IF(WEEKDAY(A6903,2)&gt;5,"Weekend","Weekday")</f>
        <v>Weekday</v>
      </c>
      <c r="I6903" t="str">
        <f>_xlfn.IFS(B6903&lt;=5,"Night (0-5)",B6903&lt;=9,"Morning peak (6-9)",B6903&lt;=15,"Midday (10-15)",B6903&lt;=19,"Evening peak (16-19)",TRUE,"Late evening (20-23)")</f>
        <v>Night (0-5)</v>
      </c>
    </row>
    <row r="6904" spans="1:9">
      <c r="A6904" s="32">
        <v>42110</v>
      </c>
      <c r="B6904">
        <v>1</v>
      </c>
      <c r="C6904">
        <v>1296</v>
      </c>
      <c r="D6904" t="s">
        <v>304</v>
      </c>
      <c r="E6904">
        <f>YEAR(A6904)</f>
        <v>2015</v>
      </c>
      <c r="F6904" s="33">
        <f>DATE(YEAR(A6904),MONTH(A6904),1)</f>
        <v>42095.0</v>
      </c>
      <c r="G6904" t="str">
        <f>CHOOSE(WEEKDAY(A6904,2),"Mon","Tue","Wed","Thu","Fri","Sat","Sun")</f>
        <v>Thu</v>
      </c>
      <c r="H6904" t="str">
        <f>IF(WEEKDAY(A6904,2)&gt;5,"Weekend","Weekday")</f>
        <v>Weekday</v>
      </c>
      <c r="I6904" t="str">
        <f>_xlfn.IFS(B6904&lt;=5,"Night (0-5)",B6904&lt;=9,"Morning peak (6-9)",B6904&lt;=15,"Midday (10-15)",B6904&lt;=19,"Evening peak (16-19)",TRUE,"Late evening (20-23)")</f>
        <v>Night (0-5)</v>
      </c>
    </row>
    <row r="6905" spans="1:9">
      <c r="A6905" s="32">
        <v>42110</v>
      </c>
      <c r="B6905">
        <v>2</v>
      </c>
      <c r="C6905">
        <v>697</v>
      </c>
      <c r="D6905" t="s">
        <v>304</v>
      </c>
      <c r="E6905">
        <f>YEAR(A6905)</f>
        <v>2015</v>
      </c>
      <c r="F6905" s="33">
        <f>DATE(YEAR(A6905),MONTH(A6905),1)</f>
        <v>42095.0</v>
      </c>
      <c r="G6905" t="str">
        <f>CHOOSE(WEEKDAY(A6905,2),"Mon","Tue","Wed","Thu","Fri","Sat","Sun")</f>
        <v>Thu</v>
      </c>
      <c r="H6905" t="str">
        <f>IF(WEEKDAY(A6905,2)&gt;5,"Weekend","Weekday")</f>
        <v>Weekday</v>
      </c>
      <c r="I6905" t="str">
        <f>_xlfn.IFS(B6905&lt;=5,"Night (0-5)",B6905&lt;=9,"Morning peak (6-9)",B6905&lt;=15,"Midday (10-15)",B6905&lt;=19,"Evening peak (16-19)",TRUE,"Late evening (20-23)")</f>
        <v>Night (0-5)</v>
      </c>
    </row>
    <row r="6906" spans="1:9">
      <c r="A6906" s="32">
        <v>42110</v>
      </c>
      <c r="B6906">
        <v>3</v>
      </c>
      <c r="C6906">
        <v>488</v>
      </c>
      <c r="D6906" t="s">
        <v>304</v>
      </c>
      <c r="E6906">
        <f>YEAR(A6906)</f>
        <v>2015</v>
      </c>
      <c r="F6906" s="33">
        <f>DATE(YEAR(A6906),MONTH(A6906),1)</f>
        <v>42095.0</v>
      </c>
      <c r="G6906" t="str">
        <f>CHOOSE(WEEKDAY(A6906,2),"Mon","Tue","Wed","Thu","Fri","Sat","Sun")</f>
        <v>Thu</v>
      </c>
      <c r="H6906" t="str">
        <f>IF(WEEKDAY(A6906,2)&gt;5,"Weekend","Weekday")</f>
        <v>Weekday</v>
      </c>
      <c r="I6906" t="str">
        <f>_xlfn.IFS(B6906&lt;=5,"Night (0-5)",B6906&lt;=9,"Morning peak (6-9)",B6906&lt;=15,"Midday (10-15)",B6906&lt;=19,"Evening peak (16-19)",TRUE,"Late evening (20-23)")</f>
        <v>Night (0-5)</v>
      </c>
    </row>
    <row r="6907" spans="1:9">
      <c r="A6907" s="32">
        <v>42110</v>
      </c>
      <c r="B6907">
        <v>4</v>
      </c>
      <c r="C6907">
        <v>715</v>
      </c>
      <c r="D6907" t="s">
        <v>304</v>
      </c>
      <c r="E6907">
        <f>YEAR(A6907)</f>
        <v>2015</v>
      </c>
      <c r="F6907" s="33">
        <f>DATE(YEAR(A6907),MONTH(A6907),1)</f>
        <v>42095.0</v>
      </c>
      <c r="G6907" t="str">
        <f>CHOOSE(WEEKDAY(A6907,2),"Mon","Tue","Wed","Thu","Fri","Sat","Sun")</f>
        <v>Thu</v>
      </c>
      <c r="H6907" t="str">
        <f>IF(WEEKDAY(A6907,2)&gt;5,"Weekend","Weekday")</f>
        <v>Weekday</v>
      </c>
      <c r="I6907" t="str">
        <f>_xlfn.IFS(B6907&lt;=5,"Night (0-5)",B6907&lt;=9,"Morning peak (6-9)",B6907&lt;=15,"Midday (10-15)",B6907&lt;=19,"Evening peak (16-19)",TRUE,"Late evening (20-23)")</f>
        <v>Night (0-5)</v>
      </c>
    </row>
    <row r="6908" spans="1:9">
      <c r="A6908" s="32">
        <v>42110</v>
      </c>
      <c r="B6908">
        <v>5</v>
      </c>
      <c r="C6908">
        <v>1139</v>
      </c>
      <c r="D6908" t="s">
        <v>304</v>
      </c>
      <c r="E6908">
        <f>YEAR(A6908)</f>
        <v>2015</v>
      </c>
      <c r="F6908" s="33">
        <f>DATE(YEAR(A6908),MONTH(A6908),1)</f>
        <v>42095.0</v>
      </c>
      <c r="G6908" t="str">
        <f>CHOOSE(WEEKDAY(A6908,2),"Mon","Tue","Wed","Thu","Fri","Sat","Sun")</f>
        <v>Thu</v>
      </c>
      <c r="H6908" t="str">
        <f>IF(WEEKDAY(A6908,2)&gt;5,"Weekend","Weekday")</f>
        <v>Weekday</v>
      </c>
      <c r="I6908" t="str">
        <f>_xlfn.IFS(B6908&lt;=5,"Night (0-5)",B6908&lt;=9,"Morning peak (6-9)",B6908&lt;=15,"Midday (10-15)",B6908&lt;=19,"Evening peak (16-19)",TRUE,"Late evening (20-23)")</f>
        <v>Night (0-5)</v>
      </c>
    </row>
    <row r="6909" spans="1:9">
      <c r="A6909" s="32">
        <v>42110</v>
      </c>
      <c r="B6909">
        <v>6</v>
      </c>
      <c r="C6909">
        <v>1952</v>
      </c>
      <c r="D6909" t="s">
        <v>304</v>
      </c>
      <c r="E6909">
        <f>YEAR(A6909)</f>
        <v>2015</v>
      </c>
      <c r="F6909" s="33">
        <f>DATE(YEAR(A6909),MONTH(A6909),1)</f>
        <v>42095.0</v>
      </c>
      <c r="G6909" t="str">
        <f>CHOOSE(WEEKDAY(A6909,2),"Mon","Tue","Wed","Thu","Fri","Sat","Sun")</f>
        <v>Thu</v>
      </c>
      <c r="H6909" t="str">
        <f>IF(WEEKDAY(A6909,2)&gt;5,"Weekend","Weekday")</f>
        <v>Weekday</v>
      </c>
      <c r="I6909" t="str">
        <f>_xlfn.IFS(B6909&lt;=5,"Night (0-5)",B6909&lt;=9,"Morning peak (6-9)",B6909&lt;=15,"Midday (10-15)",B6909&lt;=19,"Evening peak (16-19)",TRUE,"Late evening (20-23)")</f>
        <v>Morning peak (6-9)</v>
      </c>
    </row>
    <row r="6910" spans="1:9">
      <c r="A6910" s="32">
        <v>42110</v>
      </c>
      <c r="B6910">
        <v>7</v>
      </c>
      <c r="C6910">
        <v>3004</v>
      </c>
      <c r="D6910" t="s">
        <v>304</v>
      </c>
      <c r="E6910">
        <f>YEAR(A6910)</f>
        <v>2015</v>
      </c>
      <c r="F6910" s="33">
        <f>DATE(YEAR(A6910),MONTH(A6910),1)</f>
        <v>42095.0</v>
      </c>
      <c r="G6910" t="str">
        <f>CHOOSE(WEEKDAY(A6910,2),"Mon","Tue","Wed","Thu","Fri","Sat","Sun")</f>
        <v>Thu</v>
      </c>
      <c r="H6910" t="str">
        <f>IF(WEEKDAY(A6910,2)&gt;5,"Weekend","Weekday")</f>
        <v>Weekday</v>
      </c>
      <c r="I6910" t="str">
        <f>_xlfn.IFS(B6910&lt;=5,"Night (0-5)",B6910&lt;=9,"Morning peak (6-9)",B6910&lt;=15,"Midday (10-15)",B6910&lt;=19,"Evening peak (16-19)",TRUE,"Late evening (20-23)")</f>
        <v>Morning peak (6-9)</v>
      </c>
    </row>
    <row r="6911" spans="1:9">
      <c r="A6911" s="32">
        <v>42110</v>
      </c>
      <c r="B6911">
        <v>8</v>
      </c>
      <c r="C6911">
        <v>3808</v>
      </c>
      <c r="D6911" t="s">
        <v>304</v>
      </c>
      <c r="E6911">
        <f>YEAR(A6911)</f>
        <v>2015</v>
      </c>
      <c r="F6911" s="33">
        <f>DATE(YEAR(A6911),MONTH(A6911),1)</f>
        <v>42095.0</v>
      </c>
      <c r="G6911" t="str">
        <f>CHOOSE(WEEKDAY(A6911,2),"Mon","Tue","Wed","Thu","Fri","Sat","Sun")</f>
        <v>Thu</v>
      </c>
      <c r="H6911" t="str">
        <f>IF(WEEKDAY(A6911,2)&gt;5,"Weekend","Weekday")</f>
        <v>Weekday</v>
      </c>
      <c r="I6911" t="str">
        <f>_xlfn.IFS(B6911&lt;=5,"Night (0-5)",B6911&lt;=9,"Morning peak (6-9)",B6911&lt;=15,"Midday (10-15)",B6911&lt;=19,"Evening peak (16-19)",TRUE,"Late evening (20-23)")</f>
        <v>Morning peak (6-9)</v>
      </c>
    </row>
    <row r="6912" spans="1:9">
      <c r="A6912" s="32">
        <v>42110</v>
      </c>
      <c r="B6912">
        <v>9</v>
      </c>
      <c r="C6912">
        <v>3685</v>
      </c>
      <c r="D6912" t="s">
        <v>304</v>
      </c>
      <c r="E6912">
        <f>YEAR(A6912)</f>
        <v>2015</v>
      </c>
      <c r="F6912" s="33">
        <f>DATE(YEAR(A6912),MONTH(A6912),1)</f>
        <v>42095.0</v>
      </c>
      <c r="G6912" t="str">
        <f>CHOOSE(WEEKDAY(A6912,2),"Mon","Tue","Wed","Thu","Fri","Sat","Sun")</f>
        <v>Thu</v>
      </c>
      <c r="H6912" t="str">
        <f>IF(WEEKDAY(A6912,2)&gt;5,"Weekend","Weekday")</f>
        <v>Weekday</v>
      </c>
      <c r="I6912" t="str">
        <f>_xlfn.IFS(B6912&lt;=5,"Night (0-5)",B6912&lt;=9,"Morning peak (6-9)",B6912&lt;=15,"Midday (10-15)",B6912&lt;=19,"Evening peak (16-19)",TRUE,"Late evening (20-23)")</f>
        <v>Morning peak (6-9)</v>
      </c>
    </row>
    <row r="6913" spans="1:9">
      <c r="A6913" s="32">
        <v>42110</v>
      </c>
      <c r="B6913">
        <v>10</v>
      </c>
      <c r="C6913">
        <v>2733</v>
      </c>
      <c r="D6913" t="s">
        <v>304</v>
      </c>
      <c r="E6913">
        <f>YEAR(A6913)</f>
        <v>2015</v>
      </c>
      <c r="F6913" s="33">
        <f>DATE(YEAR(A6913),MONTH(A6913),1)</f>
        <v>42095.0</v>
      </c>
      <c r="G6913" t="str">
        <f>CHOOSE(WEEKDAY(A6913,2),"Mon","Tue","Wed","Thu","Fri","Sat","Sun")</f>
        <v>Thu</v>
      </c>
      <c r="H6913" t="str">
        <f>IF(WEEKDAY(A6913,2)&gt;5,"Weekend","Weekday")</f>
        <v>Weekday</v>
      </c>
      <c r="I6913" t="str">
        <f>_xlfn.IFS(B6913&lt;=5,"Night (0-5)",B6913&lt;=9,"Morning peak (6-9)",B6913&lt;=15,"Midday (10-15)",B6913&lt;=19,"Evening peak (16-19)",TRUE,"Late evening (20-23)")</f>
        <v>Midday (10-15)</v>
      </c>
    </row>
    <row r="6914" spans="1:9">
      <c r="A6914" s="32">
        <v>42110</v>
      </c>
      <c r="B6914">
        <v>11</v>
      </c>
      <c r="C6914">
        <v>2507</v>
      </c>
      <c r="D6914" t="s">
        <v>304</v>
      </c>
      <c r="E6914">
        <f>YEAR(A6914)</f>
        <v>2015</v>
      </c>
      <c r="F6914" s="33">
        <f>DATE(YEAR(A6914),MONTH(A6914),1)</f>
        <v>42095.0</v>
      </c>
      <c r="G6914" t="str">
        <f>CHOOSE(WEEKDAY(A6914,2),"Mon","Tue","Wed","Thu","Fri","Sat","Sun")</f>
        <v>Thu</v>
      </c>
      <c r="H6914" t="str">
        <f>IF(WEEKDAY(A6914,2)&gt;5,"Weekend","Weekday")</f>
        <v>Weekday</v>
      </c>
      <c r="I6914" t="str">
        <f>_xlfn.IFS(B6914&lt;=5,"Night (0-5)",B6914&lt;=9,"Morning peak (6-9)",B6914&lt;=15,"Midday (10-15)",B6914&lt;=19,"Evening peak (16-19)",TRUE,"Late evening (20-23)")</f>
        <v>Midday (10-15)</v>
      </c>
    </row>
    <row r="6915" spans="1:9">
      <c r="A6915" s="32">
        <v>42110</v>
      </c>
      <c r="B6915">
        <v>12</v>
      </c>
      <c r="C6915">
        <v>2623</v>
      </c>
      <c r="D6915" t="s">
        <v>304</v>
      </c>
      <c r="E6915">
        <f>YEAR(A6915)</f>
        <v>2015</v>
      </c>
      <c r="F6915" s="33">
        <f>DATE(YEAR(A6915),MONTH(A6915),1)</f>
        <v>42095.0</v>
      </c>
      <c r="G6915" t="str">
        <f>CHOOSE(WEEKDAY(A6915,2),"Mon","Tue","Wed","Thu","Fri","Sat","Sun")</f>
        <v>Thu</v>
      </c>
      <c r="H6915" t="str">
        <f>IF(WEEKDAY(A6915,2)&gt;5,"Weekend","Weekday")</f>
        <v>Weekday</v>
      </c>
      <c r="I6915" t="str">
        <f>_xlfn.IFS(B6915&lt;=5,"Night (0-5)",B6915&lt;=9,"Morning peak (6-9)",B6915&lt;=15,"Midday (10-15)",B6915&lt;=19,"Evening peak (16-19)",TRUE,"Late evening (20-23)")</f>
        <v>Midday (10-15)</v>
      </c>
    </row>
    <row r="6916" spans="1:9">
      <c r="A6916" s="32">
        <v>42110</v>
      </c>
      <c r="B6916">
        <v>13</v>
      </c>
      <c r="C6916">
        <v>2543</v>
      </c>
      <c r="D6916" t="s">
        <v>304</v>
      </c>
      <c r="E6916">
        <f>YEAR(A6916)</f>
        <v>2015</v>
      </c>
      <c r="F6916" s="33">
        <f>DATE(YEAR(A6916),MONTH(A6916),1)</f>
        <v>42095.0</v>
      </c>
      <c r="G6916" t="str">
        <f>CHOOSE(WEEKDAY(A6916,2),"Mon","Tue","Wed","Thu","Fri","Sat","Sun")</f>
        <v>Thu</v>
      </c>
      <c r="H6916" t="str">
        <f>IF(WEEKDAY(A6916,2)&gt;5,"Weekend","Weekday")</f>
        <v>Weekday</v>
      </c>
      <c r="I6916" t="str">
        <f>_xlfn.IFS(B6916&lt;=5,"Night (0-5)",B6916&lt;=9,"Morning peak (6-9)",B6916&lt;=15,"Midday (10-15)",B6916&lt;=19,"Evening peak (16-19)",TRUE,"Late evening (20-23)")</f>
        <v>Midday (10-15)</v>
      </c>
    </row>
    <row r="6917" spans="1:9">
      <c r="A6917" s="32">
        <v>42110</v>
      </c>
      <c r="B6917">
        <v>14</v>
      </c>
      <c r="C6917">
        <v>2918</v>
      </c>
      <c r="D6917" t="s">
        <v>304</v>
      </c>
      <c r="E6917">
        <f>YEAR(A6917)</f>
        <v>2015</v>
      </c>
      <c r="F6917" s="33">
        <f>DATE(YEAR(A6917),MONTH(A6917),1)</f>
        <v>42095.0</v>
      </c>
      <c r="G6917" t="str">
        <f>CHOOSE(WEEKDAY(A6917,2),"Mon","Tue","Wed","Thu","Fri","Sat","Sun")</f>
        <v>Thu</v>
      </c>
      <c r="H6917" t="str">
        <f>IF(WEEKDAY(A6917,2)&gt;5,"Weekend","Weekday")</f>
        <v>Weekday</v>
      </c>
      <c r="I6917" t="str">
        <f>_xlfn.IFS(B6917&lt;=5,"Night (0-5)",B6917&lt;=9,"Morning peak (6-9)",B6917&lt;=15,"Midday (10-15)",B6917&lt;=19,"Evening peak (16-19)",TRUE,"Late evening (20-23)")</f>
        <v>Midday (10-15)</v>
      </c>
    </row>
    <row r="6918" spans="1:9">
      <c r="A6918" s="32">
        <v>42110</v>
      </c>
      <c r="B6918">
        <v>15</v>
      </c>
      <c r="C6918">
        <v>3373</v>
      </c>
      <c r="D6918" t="s">
        <v>304</v>
      </c>
      <c r="E6918">
        <f>YEAR(A6918)</f>
        <v>2015</v>
      </c>
      <c r="F6918" s="33">
        <f>DATE(YEAR(A6918),MONTH(A6918),1)</f>
        <v>42095.0</v>
      </c>
      <c r="G6918" t="str">
        <f>CHOOSE(WEEKDAY(A6918,2),"Mon","Tue","Wed","Thu","Fri","Sat","Sun")</f>
        <v>Thu</v>
      </c>
      <c r="H6918" t="str">
        <f>IF(WEEKDAY(A6918,2)&gt;5,"Weekend","Weekday")</f>
        <v>Weekday</v>
      </c>
      <c r="I6918" t="str">
        <f>_xlfn.IFS(B6918&lt;=5,"Night (0-5)",B6918&lt;=9,"Morning peak (6-9)",B6918&lt;=15,"Midday (10-15)",B6918&lt;=19,"Evening peak (16-19)",TRUE,"Late evening (20-23)")</f>
        <v>Midday (10-15)</v>
      </c>
    </row>
    <row r="6919" spans="1:9">
      <c r="A6919" s="32">
        <v>42110</v>
      </c>
      <c r="B6919">
        <v>16</v>
      </c>
      <c r="C6919">
        <v>3995</v>
      </c>
      <c r="D6919" t="s">
        <v>304</v>
      </c>
      <c r="E6919">
        <f>YEAR(A6919)</f>
        <v>2015</v>
      </c>
      <c r="F6919" s="33">
        <f>DATE(YEAR(A6919),MONTH(A6919),1)</f>
        <v>42095.0</v>
      </c>
      <c r="G6919" t="str">
        <f>CHOOSE(WEEKDAY(A6919,2),"Mon","Tue","Wed","Thu","Fri","Sat","Sun")</f>
        <v>Thu</v>
      </c>
      <c r="H6919" t="str">
        <f>IF(WEEKDAY(A6919,2)&gt;5,"Weekend","Weekday")</f>
        <v>Weekday</v>
      </c>
      <c r="I6919" t="str">
        <f>_xlfn.IFS(B6919&lt;=5,"Night (0-5)",B6919&lt;=9,"Morning peak (6-9)",B6919&lt;=15,"Midday (10-15)",B6919&lt;=19,"Evening peak (16-19)",TRUE,"Late evening (20-23)")</f>
        <v>Evening peak (16-19)</v>
      </c>
    </row>
    <row r="6920" spans="1:9">
      <c r="A6920" s="32">
        <v>42110</v>
      </c>
      <c r="B6920">
        <v>17</v>
      </c>
      <c r="C6920">
        <v>4906</v>
      </c>
      <c r="D6920" t="s">
        <v>304</v>
      </c>
      <c r="E6920">
        <f>YEAR(A6920)</f>
        <v>2015</v>
      </c>
      <c r="F6920" s="33">
        <f>DATE(YEAR(A6920),MONTH(A6920),1)</f>
        <v>42095.0</v>
      </c>
      <c r="G6920" t="str">
        <f>CHOOSE(WEEKDAY(A6920,2),"Mon","Tue","Wed","Thu","Fri","Sat","Sun")</f>
        <v>Thu</v>
      </c>
      <c r="H6920" t="str">
        <f>IF(WEEKDAY(A6920,2)&gt;5,"Weekend","Weekday")</f>
        <v>Weekday</v>
      </c>
      <c r="I6920" t="str">
        <f>_xlfn.IFS(B6920&lt;=5,"Night (0-5)",B6920&lt;=9,"Morning peak (6-9)",B6920&lt;=15,"Midday (10-15)",B6920&lt;=19,"Evening peak (16-19)",TRUE,"Late evening (20-23)")</f>
        <v>Evening peak (16-19)</v>
      </c>
    </row>
    <row r="6921" spans="1:9">
      <c r="A6921" s="32">
        <v>42110</v>
      </c>
      <c r="B6921">
        <v>18</v>
      </c>
      <c r="C6921">
        <v>5860</v>
      </c>
      <c r="D6921" t="s">
        <v>304</v>
      </c>
      <c r="E6921">
        <f>YEAR(A6921)</f>
        <v>2015</v>
      </c>
      <c r="F6921" s="33">
        <f>DATE(YEAR(A6921),MONTH(A6921),1)</f>
        <v>42095.0</v>
      </c>
      <c r="G6921" t="str">
        <f>CHOOSE(WEEKDAY(A6921,2),"Mon","Tue","Wed","Thu","Fri","Sat","Sun")</f>
        <v>Thu</v>
      </c>
      <c r="H6921" t="str">
        <f>IF(WEEKDAY(A6921,2)&gt;5,"Weekend","Weekday")</f>
        <v>Weekday</v>
      </c>
      <c r="I6921" t="str">
        <f>_xlfn.IFS(B6921&lt;=5,"Night (0-5)",B6921&lt;=9,"Morning peak (6-9)",B6921&lt;=15,"Midday (10-15)",B6921&lt;=19,"Evening peak (16-19)",TRUE,"Late evening (20-23)")</f>
        <v>Evening peak (16-19)</v>
      </c>
    </row>
    <row r="6922" spans="1:9">
      <c r="A6922" s="32">
        <v>42110</v>
      </c>
      <c r="B6922">
        <v>19</v>
      </c>
      <c r="C6922">
        <v>5955</v>
      </c>
      <c r="D6922" t="s">
        <v>304</v>
      </c>
      <c r="E6922">
        <f>YEAR(A6922)</f>
        <v>2015</v>
      </c>
      <c r="F6922" s="33">
        <f>DATE(YEAR(A6922),MONTH(A6922),1)</f>
        <v>42095.0</v>
      </c>
      <c r="G6922" t="str">
        <f>CHOOSE(WEEKDAY(A6922,2),"Mon","Tue","Wed","Thu","Fri","Sat","Sun")</f>
        <v>Thu</v>
      </c>
      <c r="H6922" t="str">
        <f>IF(WEEKDAY(A6922,2)&gt;5,"Weekend","Weekday")</f>
        <v>Weekday</v>
      </c>
      <c r="I6922" t="str">
        <f>_xlfn.IFS(B6922&lt;=5,"Night (0-5)",B6922&lt;=9,"Morning peak (6-9)",B6922&lt;=15,"Midday (10-15)",B6922&lt;=19,"Evening peak (16-19)",TRUE,"Late evening (20-23)")</f>
        <v>Evening peak (16-19)</v>
      </c>
    </row>
    <row r="6923" spans="1:9">
      <c r="A6923" s="32">
        <v>42110</v>
      </c>
      <c r="B6923">
        <v>20</v>
      </c>
      <c r="C6923">
        <v>5823</v>
      </c>
      <c r="D6923" t="s">
        <v>304</v>
      </c>
      <c r="E6923">
        <f>YEAR(A6923)</f>
        <v>2015</v>
      </c>
      <c r="F6923" s="33">
        <f>DATE(YEAR(A6923),MONTH(A6923),1)</f>
        <v>42095.0</v>
      </c>
      <c r="G6923" t="str">
        <f>CHOOSE(WEEKDAY(A6923,2),"Mon","Tue","Wed","Thu","Fri","Sat","Sun")</f>
        <v>Thu</v>
      </c>
      <c r="H6923" t="str">
        <f>IF(WEEKDAY(A6923,2)&gt;5,"Weekend","Weekday")</f>
        <v>Weekday</v>
      </c>
      <c r="I6923" t="str">
        <f>_xlfn.IFS(B6923&lt;=5,"Night (0-5)",B6923&lt;=9,"Morning peak (6-9)",B6923&lt;=15,"Midday (10-15)",B6923&lt;=19,"Evening peak (16-19)",TRUE,"Late evening (20-23)")</f>
        <v>Late evening (20-23)</v>
      </c>
    </row>
    <row r="6924" spans="1:9">
      <c r="A6924" s="32">
        <v>42110</v>
      </c>
      <c r="B6924">
        <v>21</v>
      </c>
      <c r="C6924">
        <v>5960</v>
      </c>
      <c r="D6924" t="s">
        <v>304</v>
      </c>
      <c r="E6924">
        <f>YEAR(A6924)</f>
        <v>2015</v>
      </c>
      <c r="F6924" s="33">
        <f>DATE(YEAR(A6924),MONTH(A6924),1)</f>
        <v>42095.0</v>
      </c>
      <c r="G6924" t="str">
        <f>CHOOSE(WEEKDAY(A6924,2),"Mon","Tue","Wed","Thu","Fri","Sat","Sun")</f>
        <v>Thu</v>
      </c>
      <c r="H6924" t="str">
        <f>IF(WEEKDAY(A6924,2)&gt;5,"Weekend","Weekday")</f>
        <v>Weekday</v>
      </c>
      <c r="I6924" t="str">
        <f>_xlfn.IFS(B6924&lt;=5,"Night (0-5)",B6924&lt;=9,"Morning peak (6-9)",B6924&lt;=15,"Midday (10-15)",B6924&lt;=19,"Evening peak (16-19)",TRUE,"Late evening (20-23)")</f>
        <v>Late evening (20-23)</v>
      </c>
    </row>
    <row r="6925" spans="1:9">
      <c r="A6925" s="32">
        <v>42110</v>
      </c>
      <c r="B6925">
        <v>22</v>
      </c>
      <c r="C6925">
        <v>5754</v>
      </c>
      <c r="D6925" t="s">
        <v>304</v>
      </c>
      <c r="E6925">
        <f>YEAR(A6925)</f>
        <v>2015</v>
      </c>
      <c r="F6925" s="33">
        <f>DATE(YEAR(A6925),MONTH(A6925),1)</f>
        <v>42095.0</v>
      </c>
      <c r="G6925" t="str">
        <f>CHOOSE(WEEKDAY(A6925,2),"Mon","Tue","Wed","Thu","Fri","Sat","Sun")</f>
        <v>Thu</v>
      </c>
      <c r="H6925" t="str">
        <f>IF(WEEKDAY(A6925,2)&gt;5,"Weekend","Weekday")</f>
        <v>Weekday</v>
      </c>
      <c r="I6925" t="str">
        <f>_xlfn.IFS(B6925&lt;=5,"Night (0-5)",B6925&lt;=9,"Morning peak (6-9)",B6925&lt;=15,"Midday (10-15)",B6925&lt;=19,"Evening peak (16-19)",TRUE,"Late evening (20-23)")</f>
        <v>Late evening (20-23)</v>
      </c>
    </row>
    <row r="6926" spans="1:9">
      <c r="A6926" s="32">
        <v>42110</v>
      </c>
      <c r="B6926">
        <v>23</v>
      </c>
      <c r="C6926">
        <v>4833</v>
      </c>
      <c r="D6926" t="s">
        <v>304</v>
      </c>
      <c r="E6926">
        <f>YEAR(A6926)</f>
        <v>2015</v>
      </c>
      <c r="F6926" s="33">
        <f>DATE(YEAR(A6926),MONTH(A6926),1)</f>
        <v>42095.0</v>
      </c>
      <c r="G6926" t="str">
        <f>CHOOSE(WEEKDAY(A6926,2),"Mon","Tue","Wed","Thu","Fri","Sat","Sun")</f>
        <v>Thu</v>
      </c>
      <c r="H6926" t="str">
        <f>IF(WEEKDAY(A6926,2)&gt;5,"Weekend","Weekday")</f>
        <v>Weekday</v>
      </c>
      <c r="I6926" t="str">
        <f>_xlfn.IFS(B6926&lt;=5,"Night (0-5)",B6926&lt;=9,"Morning peak (6-9)",B6926&lt;=15,"Midday (10-15)",B6926&lt;=19,"Evening peak (16-19)",TRUE,"Late evening (20-23)")</f>
        <v>Late evening (20-23)</v>
      </c>
    </row>
    <row r="6927" spans="1:9">
      <c r="A6927" s="32">
        <v>42111</v>
      </c>
      <c r="B6927">
        <v>0</v>
      </c>
      <c r="C6927">
        <v>3073</v>
      </c>
      <c r="D6927" t="s">
        <v>304</v>
      </c>
      <c r="E6927">
        <f>YEAR(A6927)</f>
        <v>2015</v>
      </c>
      <c r="F6927" s="33">
        <f>DATE(YEAR(A6927),MONTH(A6927),1)</f>
        <v>42095.0</v>
      </c>
      <c r="G6927" t="str">
        <f>CHOOSE(WEEKDAY(A6927,2),"Mon","Tue","Wed","Thu","Fri","Sat","Sun")</f>
        <v>Fri</v>
      </c>
      <c r="H6927" t="str">
        <f>IF(WEEKDAY(A6927,2)&gt;5,"Weekend","Weekday")</f>
        <v>Weekday</v>
      </c>
      <c r="I6927" t="str">
        <f>_xlfn.IFS(B6927&lt;=5,"Night (0-5)",B6927&lt;=9,"Morning peak (6-9)",B6927&lt;=15,"Midday (10-15)",B6927&lt;=19,"Evening peak (16-19)",TRUE,"Late evening (20-23)")</f>
        <v>Night (0-5)</v>
      </c>
    </row>
    <row r="6928" spans="1:9">
      <c r="A6928" s="32">
        <v>42111</v>
      </c>
      <c r="B6928">
        <v>1</v>
      </c>
      <c r="C6928">
        <v>1655</v>
      </c>
      <c r="D6928" t="s">
        <v>304</v>
      </c>
      <c r="E6928">
        <f>YEAR(A6928)</f>
        <v>2015</v>
      </c>
      <c r="F6928" s="33">
        <f>DATE(YEAR(A6928),MONTH(A6928),1)</f>
        <v>42095.0</v>
      </c>
      <c r="G6928" t="str">
        <f>CHOOSE(WEEKDAY(A6928,2),"Mon","Tue","Wed","Thu","Fri","Sat","Sun")</f>
        <v>Fri</v>
      </c>
      <c r="H6928" t="str">
        <f>IF(WEEKDAY(A6928,2)&gt;5,"Weekend","Weekday")</f>
        <v>Weekday</v>
      </c>
      <c r="I6928" t="str">
        <f>_xlfn.IFS(B6928&lt;=5,"Night (0-5)",B6928&lt;=9,"Morning peak (6-9)",B6928&lt;=15,"Midday (10-15)",B6928&lt;=19,"Evening peak (16-19)",TRUE,"Late evening (20-23)")</f>
        <v>Night (0-5)</v>
      </c>
    </row>
    <row r="6929" spans="1:9">
      <c r="A6929" s="32">
        <v>42111</v>
      </c>
      <c r="B6929">
        <v>2</v>
      </c>
      <c r="C6929">
        <v>1020</v>
      </c>
      <c r="D6929" t="s">
        <v>304</v>
      </c>
      <c r="E6929">
        <f>YEAR(A6929)</f>
        <v>2015</v>
      </c>
      <c r="F6929" s="33">
        <f>DATE(YEAR(A6929),MONTH(A6929),1)</f>
        <v>42095.0</v>
      </c>
      <c r="G6929" t="str">
        <f>CHOOSE(WEEKDAY(A6929,2),"Mon","Tue","Wed","Thu","Fri","Sat","Sun")</f>
        <v>Fri</v>
      </c>
      <c r="H6929" t="str">
        <f>IF(WEEKDAY(A6929,2)&gt;5,"Weekend","Weekday")</f>
        <v>Weekday</v>
      </c>
      <c r="I6929" t="str">
        <f>_xlfn.IFS(B6929&lt;=5,"Night (0-5)",B6929&lt;=9,"Morning peak (6-9)",B6929&lt;=15,"Midday (10-15)",B6929&lt;=19,"Evening peak (16-19)",TRUE,"Late evening (20-23)")</f>
        <v>Night (0-5)</v>
      </c>
    </row>
    <row r="6930" spans="1:9">
      <c r="A6930" s="32">
        <v>42111</v>
      </c>
      <c r="B6930">
        <v>3</v>
      </c>
      <c r="C6930">
        <v>715</v>
      </c>
      <c r="D6930" t="s">
        <v>304</v>
      </c>
      <c r="E6930">
        <f>YEAR(A6930)</f>
        <v>2015</v>
      </c>
      <c r="F6930" s="33">
        <f>DATE(YEAR(A6930),MONTH(A6930),1)</f>
        <v>42095.0</v>
      </c>
      <c r="G6930" t="str">
        <f>CHOOSE(WEEKDAY(A6930,2),"Mon","Tue","Wed","Thu","Fri","Sat","Sun")</f>
        <v>Fri</v>
      </c>
      <c r="H6930" t="str">
        <f>IF(WEEKDAY(A6930,2)&gt;5,"Weekend","Weekday")</f>
        <v>Weekday</v>
      </c>
      <c r="I6930" t="str">
        <f>_xlfn.IFS(B6930&lt;=5,"Night (0-5)",B6930&lt;=9,"Morning peak (6-9)",B6930&lt;=15,"Midday (10-15)",B6930&lt;=19,"Evening peak (16-19)",TRUE,"Late evening (20-23)")</f>
        <v>Night (0-5)</v>
      </c>
    </row>
    <row r="6931" spans="1:9">
      <c r="A6931" s="32">
        <v>42111</v>
      </c>
      <c r="B6931">
        <v>4</v>
      </c>
      <c r="C6931">
        <v>905</v>
      </c>
      <c r="D6931" t="s">
        <v>304</v>
      </c>
      <c r="E6931">
        <f>YEAR(A6931)</f>
        <v>2015</v>
      </c>
      <c r="F6931" s="33">
        <f>DATE(YEAR(A6931),MONTH(A6931),1)</f>
        <v>42095.0</v>
      </c>
      <c r="G6931" t="str">
        <f>CHOOSE(WEEKDAY(A6931,2),"Mon","Tue","Wed","Thu","Fri","Sat","Sun")</f>
        <v>Fri</v>
      </c>
      <c r="H6931" t="str">
        <f>IF(WEEKDAY(A6931,2)&gt;5,"Weekend","Weekday")</f>
        <v>Weekday</v>
      </c>
      <c r="I6931" t="str">
        <f>_xlfn.IFS(B6931&lt;=5,"Night (0-5)",B6931&lt;=9,"Morning peak (6-9)",B6931&lt;=15,"Midday (10-15)",B6931&lt;=19,"Evening peak (16-19)",TRUE,"Late evening (20-23)")</f>
        <v>Night (0-5)</v>
      </c>
    </row>
    <row r="6932" spans="1:9">
      <c r="A6932" s="32">
        <v>42111</v>
      </c>
      <c r="B6932">
        <v>5</v>
      </c>
      <c r="C6932">
        <v>1234</v>
      </c>
      <c r="D6932" t="s">
        <v>304</v>
      </c>
      <c r="E6932">
        <f>YEAR(A6932)</f>
        <v>2015</v>
      </c>
      <c r="F6932" s="33">
        <f>DATE(YEAR(A6932),MONTH(A6932),1)</f>
        <v>42095.0</v>
      </c>
      <c r="G6932" t="str">
        <f>CHOOSE(WEEKDAY(A6932,2),"Mon","Tue","Wed","Thu","Fri","Sat","Sun")</f>
        <v>Fri</v>
      </c>
      <c r="H6932" t="str">
        <f>IF(WEEKDAY(A6932,2)&gt;5,"Weekend","Weekday")</f>
        <v>Weekday</v>
      </c>
      <c r="I6932" t="str">
        <f>_xlfn.IFS(B6932&lt;=5,"Night (0-5)",B6932&lt;=9,"Morning peak (6-9)",B6932&lt;=15,"Midday (10-15)",B6932&lt;=19,"Evening peak (16-19)",TRUE,"Late evening (20-23)")</f>
        <v>Night (0-5)</v>
      </c>
    </row>
    <row r="6933" spans="1:9">
      <c r="A6933" s="32">
        <v>42111</v>
      </c>
      <c r="B6933">
        <v>6</v>
      </c>
      <c r="C6933">
        <v>2078</v>
      </c>
      <c r="D6933" t="s">
        <v>304</v>
      </c>
      <c r="E6933">
        <f>YEAR(A6933)</f>
        <v>2015</v>
      </c>
      <c r="F6933" s="33">
        <f>DATE(YEAR(A6933),MONTH(A6933),1)</f>
        <v>42095.0</v>
      </c>
      <c r="G6933" t="str">
        <f>CHOOSE(WEEKDAY(A6933,2),"Mon","Tue","Wed","Thu","Fri","Sat","Sun")</f>
        <v>Fri</v>
      </c>
      <c r="H6933" t="str">
        <f>IF(WEEKDAY(A6933,2)&gt;5,"Weekend","Weekday")</f>
        <v>Weekday</v>
      </c>
      <c r="I6933" t="str">
        <f>_xlfn.IFS(B6933&lt;=5,"Night (0-5)",B6933&lt;=9,"Morning peak (6-9)",B6933&lt;=15,"Midday (10-15)",B6933&lt;=19,"Evening peak (16-19)",TRUE,"Late evening (20-23)")</f>
        <v>Morning peak (6-9)</v>
      </c>
    </row>
    <row r="6934" spans="1:9">
      <c r="A6934" s="32">
        <v>42111</v>
      </c>
      <c r="B6934">
        <v>7</v>
      </c>
      <c r="C6934">
        <v>3202</v>
      </c>
      <c r="D6934" t="s">
        <v>304</v>
      </c>
      <c r="E6934">
        <f>YEAR(A6934)</f>
        <v>2015</v>
      </c>
      <c r="F6934" s="33">
        <f>DATE(YEAR(A6934),MONTH(A6934),1)</f>
        <v>42095.0</v>
      </c>
      <c r="G6934" t="str">
        <f>CHOOSE(WEEKDAY(A6934,2),"Mon","Tue","Wed","Thu","Fri","Sat","Sun")</f>
        <v>Fri</v>
      </c>
      <c r="H6934" t="str">
        <f>IF(WEEKDAY(A6934,2)&gt;5,"Weekend","Weekday")</f>
        <v>Weekday</v>
      </c>
      <c r="I6934" t="str">
        <f>_xlfn.IFS(B6934&lt;=5,"Night (0-5)",B6934&lt;=9,"Morning peak (6-9)",B6934&lt;=15,"Midday (10-15)",B6934&lt;=19,"Evening peak (16-19)",TRUE,"Late evening (20-23)")</f>
        <v>Morning peak (6-9)</v>
      </c>
    </row>
    <row r="6935" spans="1:9">
      <c r="A6935" s="32">
        <v>42111</v>
      </c>
      <c r="B6935">
        <v>8</v>
      </c>
      <c r="C6935">
        <v>4069</v>
      </c>
      <c r="D6935" t="s">
        <v>304</v>
      </c>
      <c r="E6935">
        <f>YEAR(A6935)</f>
        <v>2015</v>
      </c>
      <c r="F6935" s="33">
        <f>DATE(YEAR(A6935),MONTH(A6935),1)</f>
        <v>42095.0</v>
      </c>
      <c r="G6935" t="str">
        <f>CHOOSE(WEEKDAY(A6935,2),"Mon","Tue","Wed","Thu","Fri","Sat","Sun")</f>
        <v>Fri</v>
      </c>
      <c r="H6935" t="str">
        <f>IF(WEEKDAY(A6935,2)&gt;5,"Weekend","Weekday")</f>
        <v>Weekday</v>
      </c>
      <c r="I6935" t="str">
        <f>_xlfn.IFS(B6935&lt;=5,"Night (0-5)",B6935&lt;=9,"Morning peak (6-9)",B6935&lt;=15,"Midday (10-15)",B6935&lt;=19,"Evening peak (16-19)",TRUE,"Late evening (20-23)")</f>
        <v>Morning peak (6-9)</v>
      </c>
    </row>
    <row r="6936" spans="1:9">
      <c r="A6936" s="32">
        <v>42111</v>
      </c>
      <c r="B6936">
        <v>9</v>
      </c>
      <c r="C6936">
        <v>4111</v>
      </c>
      <c r="D6936" t="s">
        <v>304</v>
      </c>
      <c r="E6936">
        <f>YEAR(A6936)</f>
        <v>2015</v>
      </c>
      <c r="F6936" s="33">
        <f>DATE(YEAR(A6936),MONTH(A6936),1)</f>
        <v>42095.0</v>
      </c>
      <c r="G6936" t="str">
        <f>CHOOSE(WEEKDAY(A6936,2),"Mon","Tue","Wed","Thu","Fri","Sat","Sun")</f>
        <v>Fri</v>
      </c>
      <c r="H6936" t="str">
        <f>IF(WEEKDAY(A6936,2)&gt;5,"Weekend","Weekday")</f>
        <v>Weekday</v>
      </c>
      <c r="I6936" t="str">
        <f>_xlfn.IFS(B6936&lt;=5,"Night (0-5)",B6936&lt;=9,"Morning peak (6-9)",B6936&lt;=15,"Midday (10-15)",B6936&lt;=19,"Evening peak (16-19)",TRUE,"Late evening (20-23)")</f>
        <v>Morning peak (6-9)</v>
      </c>
    </row>
    <row r="6937" spans="1:9">
      <c r="A6937" s="32">
        <v>42111</v>
      </c>
      <c r="B6937">
        <v>10</v>
      </c>
      <c r="C6937">
        <v>3197</v>
      </c>
      <c r="D6937" t="s">
        <v>304</v>
      </c>
      <c r="E6937">
        <f>YEAR(A6937)</f>
        <v>2015</v>
      </c>
      <c r="F6937" s="33">
        <f>DATE(YEAR(A6937),MONTH(A6937),1)</f>
        <v>42095.0</v>
      </c>
      <c r="G6937" t="str">
        <f>CHOOSE(WEEKDAY(A6937,2),"Mon","Tue","Wed","Thu","Fri","Sat","Sun")</f>
        <v>Fri</v>
      </c>
      <c r="H6937" t="str">
        <f>IF(WEEKDAY(A6937,2)&gt;5,"Weekend","Weekday")</f>
        <v>Weekday</v>
      </c>
      <c r="I6937" t="str">
        <f>_xlfn.IFS(B6937&lt;=5,"Night (0-5)",B6937&lt;=9,"Morning peak (6-9)",B6937&lt;=15,"Midday (10-15)",B6937&lt;=19,"Evening peak (16-19)",TRUE,"Late evening (20-23)")</f>
        <v>Midday (10-15)</v>
      </c>
    </row>
    <row r="6938" spans="1:9">
      <c r="A6938" s="32">
        <v>42111</v>
      </c>
      <c r="B6938">
        <v>11</v>
      </c>
      <c r="C6938">
        <v>2916</v>
      </c>
      <c r="D6938" t="s">
        <v>304</v>
      </c>
      <c r="E6938">
        <f>YEAR(A6938)</f>
        <v>2015</v>
      </c>
      <c r="F6938" s="33">
        <f>DATE(YEAR(A6938),MONTH(A6938),1)</f>
        <v>42095.0</v>
      </c>
      <c r="G6938" t="str">
        <f>CHOOSE(WEEKDAY(A6938,2),"Mon","Tue","Wed","Thu","Fri","Sat","Sun")</f>
        <v>Fri</v>
      </c>
      <c r="H6938" t="str">
        <f>IF(WEEKDAY(A6938,2)&gt;5,"Weekend","Weekday")</f>
        <v>Weekday</v>
      </c>
      <c r="I6938" t="str">
        <f>_xlfn.IFS(B6938&lt;=5,"Night (0-5)",B6938&lt;=9,"Morning peak (6-9)",B6938&lt;=15,"Midday (10-15)",B6938&lt;=19,"Evening peak (16-19)",TRUE,"Late evening (20-23)")</f>
        <v>Midday (10-15)</v>
      </c>
    </row>
    <row r="6939" spans="1:9">
      <c r="A6939" s="32">
        <v>42111</v>
      </c>
      <c r="B6939">
        <v>12</v>
      </c>
      <c r="C6939">
        <v>2960</v>
      </c>
      <c r="D6939" t="s">
        <v>304</v>
      </c>
      <c r="E6939">
        <f>YEAR(A6939)</f>
        <v>2015</v>
      </c>
      <c r="F6939" s="33">
        <f>DATE(YEAR(A6939),MONTH(A6939),1)</f>
        <v>42095.0</v>
      </c>
      <c r="G6939" t="str">
        <f>CHOOSE(WEEKDAY(A6939,2),"Mon","Tue","Wed","Thu","Fri","Sat","Sun")</f>
        <v>Fri</v>
      </c>
      <c r="H6939" t="str">
        <f>IF(WEEKDAY(A6939,2)&gt;5,"Weekend","Weekday")</f>
        <v>Weekday</v>
      </c>
      <c r="I6939" t="str">
        <f>_xlfn.IFS(B6939&lt;=5,"Night (0-5)",B6939&lt;=9,"Morning peak (6-9)",B6939&lt;=15,"Midday (10-15)",B6939&lt;=19,"Evening peak (16-19)",TRUE,"Late evening (20-23)")</f>
        <v>Midday (10-15)</v>
      </c>
    </row>
    <row r="6940" spans="1:9">
      <c r="A6940" s="32">
        <v>42111</v>
      </c>
      <c r="B6940">
        <v>13</v>
      </c>
      <c r="C6940">
        <v>2767</v>
      </c>
      <c r="D6940" t="s">
        <v>304</v>
      </c>
      <c r="E6940">
        <f>YEAR(A6940)</f>
        <v>2015</v>
      </c>
      <c r="F6940" s="33">
        <f>DATE(YEAR(A6940),MONTH(A6940),1)</f>
        <v>42095.0</v>
      </c>
      <c r="G6940" t="str">
        <f>CHOOSE(WEEKDAY(A6940,2),"Mon","Tue","Wed","Thu","Fri","Sat","Sun")</f>
        <v>Fri</v>
      </c>
      <c r="H6940" t="str">
        <f>IF(WEEKDAY(A6940,2)&gt;5,"Weekend","Weekday")</f>
        <v>Weekday</v>
      </c>
      <c r="I6940" t="str">
        <f>_xlfn.IFS(B6940&lt;=5,"Night (0-5)",B6940&lt;=9,"Morning peak (6-9)",B6940&lt;=15,"Midday (10-15)",B6940&lt;=19,"Evening peak (16-19)",TRUE,"Late evening (20-23)")</f>
        <v>Midday (10-15)</v>
      </c>
    </row>
    <row r="6941" spans="1:9">
      <c r="A6941" s="32">
        <v>42111</v>
      </c>
      <c r="B6941">
        <v>14</v>
      </c>
      <c r="C6941">
        <v>3068</v>
      </c>
      <c r="D6941" t="s">
        <v>304</v>
      </c>
      <c r="E6941">
        <f>YEAR(A6941)</f>
        <v>2015</v>
      </c>
      <c r="F6941" s="33">
        <f>DATE(YEAR(A6941),MONTH(A6941),1)</f>
        <v>42095.0</v>
      </c>
      <c r="G6941" t="str">
        <f>CHOOSE(WEEKDAY(A6941,2),"Mon","Tue","Wed","Thu","Fri","Sat","Sun")</f>
        <v>Fri</v>
      </c>
      <c r="H6941" t="str">
        <f>IF(WEEKDAY(A6941,2)&gt;5,"Weekend","Weekday")</f>
        <v>Weekday</v>
      </c>
      <c r="I6941" t="str">
        <f>_xlfn.IFS(B6941&lt;=5,"Night (0-5)",B6941&lt;=9,"Morning peak (6-9)",B6941&lt;=15,"Midday (10-15)",B6941&lt;=19,"Evening peak (16-19)",TRUE,"Late evening (20-23)")</f>
        <v>Midday (10-15)</v>
      </c>
    </row>
    <row r="6942" spans="1:9">
      <c r="A6942" s="32">
        <v>42111</v>
      </c>
      <c r="B6942">
        <v>15</v>
      </c>
      <c r="C6942">
        <v>3521</v>
      </c>
      <c r="D6942" t="s">
        <v>304</v>
      </c>
      <c r="E6942">
        <f>YEAR(A6942)</f>
        <v>2015</v>
      </c>
      <c r="F6942" s="33">
        <f>DATE(YEAR(A6942),MONTH(A6942),1)</f>
        <v>42095.0</v>
      </c>
      <c r="G6942" t="str">
        <f>CHOOSE(WEEKDAY(A6942,2),"Mon","Tue","Wed","Thu","Fri","Sat","Sun")</f>
        <v>Fri</v>
      </c>
      <c r="H6942" t="str">
        <f>IF(WEEKDAY(A6942,2)&gt;5,"Weekend","Weekday")</f>
        <v>Weekday</v>
      </c>
      <c r="I6942" t="str">
        <f>_xlfn.IFS(B6942&lt;=5,"Night (0-5)",B6942&lt;=9,"Morning peak (6-9)",B6942&lt;=15,"Midday (10-15)",B6942&lt;=19,"Evening peak (16-19)",TRUE,"Late evening (20-23)")</f>
        <v>Midday (10-15)</v>
      </c>
    </row>
    <row r="6943" spans="1:9">
      <c r="A6943" s="32">
        <v>42111</v>
      </c>
      <c r="B6943">
        <v>16</v>
      </c>
      <c r="C6943">
        <v>3954</v>
      </c>
      <c r="D6943" t="s">
        <v>304</v>
      </c>
      <c r="E6943">
        <f>YEAR(A6943)</f>
        <v>2015</v>
      </c>
      <c r="F6943" s="33">
        <f>DATE(YEAR(A6943),MONTH(A6943),1)</f>
        <v>42095.0</v>
      </c>
      <c r="G6943" t="str">
        <f>CHOOSE(WEEKDAY(A6943,2),"Mon","Tue","Wed","Thu","Fri","Sat","Sun")</f>
        <v>Fri</v>
      </c>
      <c r="H6943" t="str">
        <f>IF(WEEKDAY(A6943,2)&gt;5,"Weekend","Weekday")</f>
        <v>Weekday</v>
      </c>
      <c r="I6943" t="str">
        <f>_xlfn.IFS(B6943&lt;=5,"Night (0-5)",B6943&lt;=9,"Morning peak (6-9)",B6943&lt;=15,"Midday (10-15)",B6943&lt;=19,"Evening peak (16-19)",TRUE,"Late evening (20-23)")</f>
        <v>Evening peak (16-19)</v>
      </c>
    </row>
    <row r="6944" spans="1:9">
      <c r="A6944" s="32">
        <v>42111</v>
      </c>
      <c r="B6944">
        <v>17</v>
      </c>
      <c r="C6944">
        <v>4664</v>
      </c>
      <c r="D6944" t="s">
        <v>304</v>
      </c>
      <c r="E6944">
        <f>YEAR(A6944)</f>
        <v>2015</v>
      </c>
      <c r="F6944" s="33">
        <f>DATE(YEAR(A6944),MONTH(A6944),1)</f>
        <v>42095.0</v>
      </c>
      <c r="G6944" t="str">
        <f>CHOOSE(WEEKDAY(A6944,2),"Mon","Tue","Wed","Thu","Fri","Sat","Sun")</f>
        <v>Fri</v>
      </c>
      <c r="H6944" t="str">
        <f>IF(WEEKDAY(A6944,2)&gt;5,"Weekend","Weekday")</f>
        <v>Weekday</v>
      </c>
      <c r="I6944" t="str">
        <f>_xlfn.IFS(B6944&lt;=5,"Night (0-5)",B6944&lt;=9,"Morning peak (6-9)",B6944&lt;=15,"Midday (10-15)",B6944&lt;=19,"Evening peak (16-19)",TRUE,"Late evening (20-23)")</f>
        <v>Evening peak (16-19)</v>
      </c>
    </row>
    <row r="6945" spans="1:9">
      <c r="A6945" s="32">
        <v>42111</v>
      </c>
      <c r="B6945">
        <v>18</v>
      </c>
      <c r="C6945">
        <v>5457</v>
      </c>
      <c r="D6945" t="s">
        <v>304</v>
      </c>
      <c r="E6945">
        <f>YEAR(A6945)</f>
        <v>2015</v>
      </c>
      <c r="F6945" s="33">
        <f>DATE(YEAR(A6945),MONTH(A6945),1)</f>
        <v>42095.0</v>
      </c>
      <c r="G6945" t="str">
        <f>CHOOSE(WEEKDAY(A6945,2),"Mon","Tue","Wed","Thu","Fri","Sat","Sun")</f>
        <v>Fri</v>
      </c>
      <c r="H6945" t="str">
        <f>IF(WEEKDAY(A6945,2)&gt;5,"Weekend","Weekday")</f>
        <v>Weekday</v>
      </c>
      <c r="I6945" t="str">
        <f>_xlfn.IFS(B6945&lt;=5,"Night (0-5)",B6945&lt;=9,"Morning peak (6-9)",B6945&lt;=15,"Midday (10-15)",B6945&lt;=19,"Evening peak (16-19)",TRUE,"Late evening (20-23)")</f>
        <v>Evening peak (16-19)</v>
      </c>
    </row>
    <row r="6946" spans="1:9">
      <c r="A6946" s="32">
        <v>42111</v>
      </c>
      <c r="B6946">
        <v>19</v>
      </c>
      <c r="C6946">
        <v>6142</v>
      </c>
      <c r="D6946" t="s">
        <v>304</v>
      </c>
      <c r="E6946">
        <f>YEAR(A6946)</f>
        <v>2015</v>
      </c>
      <c r="F6946" s="33">
        <f>DATE(YEAR(A6946),MONTH(A6946),1)</f>
        <v>42095.0</v>
      </c>
      <c r="G6946" t="str">
        <f>CHOOSE(WEEKDAY(A6946,2),"Mon","Tue","Wed","Thu","Fri","Sat","Sun")</f>
        <v>Fri</v>
      </c>
      <c r="H6946" t="str">
        <f>IF(WEEKDAY(A6946,2)&gt;5,"Weekend","Weekday")</f>
        <v>Weekday</v>
      </c>
      <c r="I6946" t="str">
        <f>_xlfn.IFS(B6946&lt;=5,"Night (0-5)",B6946&lt;=9,"Morning peak (6-9)",B6946&lt;=15,"Midday (10-15)",B6946&lt;=19,"Evening peak (16-19)",TRUE,"Late evening (20-23)")</f>
        <v>Evening peak (16-19)</v>
      </c>
    </row>
    <row r="6947" spans="1:9">
      <c r="A6947" s="32">
        <v>42111</v>
      </c>
      <c r="B6947">
        <v>20</v>
      </c>
      <c r="C6947">
        <v>6008</v>
      </c>
      <c r="D6947" t="s">
        <v>304</v>
      </c>
      <c r="E6947">
        <f>YEAR(A6947)</f>
        <v>2015</v>
      </c>
      <c r="F6947" s="33">
        <f>DATE(YEAR(A6947),MONTH(A6947),1)</f>
        <v>42095.0</v>
      </c>
      <c r="G6947" t="str">
        <f>CHOOSE(WEEKDAY(A6947,2),"Mon","Tue","Wed","Thu","Fri","Sat","Sun")</f>
        <v>Fri</v>
      </c>
      <c r="H6947" t="str">
        <f>IF(WEEKDAY(A6947,2)&gt;5,"Weekend","Weekday")</f>
        <v>Weekday</v>
      </c>
      <c r="I6947" t="str">
        <f>_xlfn.IFS(B6947&lt;=5,"Night (0-5)",B6947&lt;=9,"Morning peak (6-9)",B6947&lt;=15,"Midday (10-15)",B6947&lt;=19,"Evening peak (16-19)",TRUE,"Late evening (20-23)")</f>
        <v>Late evening (20-23)</v>
      </c>
    </row>
    <row r="6948" spans="1:9">
      <c r="A6948" s="32">
        <v>42111</v>
      </c>
      <c r="B6948">
        <v>21</v>
      </c>
      <c r="C6948">
        <v>5431</v>
      </c>
      <c r="D6948" t="s">
        <v>304</v>
      </c>
      <c r="E6948">
        <f>YEAR(A6948)</f>
        <v>2015</v>
      </c>
      <c r="F6948" s="33">
        <f>DATE(YEAR(A6948),MONTH(A6948),1)</f>
        <v>42095.0</v>
      </c>
      <c r="G6948" t="str">
        <f>CHOOSE(WEEKDAY(A6948,2),"Mon","Tue","Wed","Thu","Fri","Sat","Sun")</f>
        <v>Fri</v>
      </c>
      <c r="H6948" t="str">
        <f>IF(WEEKDAY(A6948,2)&gt;5,"Weekend","Weekday")</f>
        <v>Weekday</v>
      </c>
      <c r="I6948" t="str">
        <f>_xlfn.IFS(B6948&lt;=5,"Night (0-5)",B6948&lt;=9,"Morning peak (6-9)",B6948&lt;=15,"Midday (10-15)",B6948&lt;=19,"Evening peak (16-19)",TRUE,"Late evening (20-23)")</f>
        <v>Late evening (20-23)</v>
      </c>
    </row>
    <row r="6949" spans="1:9">
      <c r="A6949" s="32">
        <v>42111</v>
      </c>
      <c r="B6949">
        <v>22</v>
      </c>
      <c r="C6949">
        <v>5563</v>
      </c>
      <c r="D6949" t="s">
        <v>304</v>
      </c>
      <c r="E6949">
        <f>YEAR(A6949)</f>
        <v>2015</v>
      </c>
      <c r="F6949" s="33">
        <f>DATE(YEAR(A6949),MONTH(A6949),1)</f>
        <v>42095.0</v>
      </c>
      <c r="G6949" t="str">
        <f>CHOOSE(WEEKDAY(A6949,2),"Mon","Tue","Wed","Thu","Fri","Sat","Sun")</f>
        <v>Fri</v>
      </c>
      <c r="H6949" t="str">
        <f>IF(WEEKDAY(A6949,2)&gt;5,"Weekend","Weekday")</f>
        <v>Weekday</v>
      </c>
      <c r="I6949" t="str">
        <f>_xlfn.IFS(B6949&lt;=5,"Night (0-5)",B6949&lt;=9,"Morning peak (6-9)",B6949&lt;=15,"Midday (10-15)",B6949&lt;=19,"Evening peak (16-19)",TRUE,"Late evening (20-23)")</f>
        <v>Late evening (20-23)</v>
      </c>
    </row>
    <row r="6950" spans="1:9">
      <c r="A6950" s="32">
        <v>42111</v>
      </c>
      <c r="B6950">
        <v>23</v>
      </c>
      <c r="C6950">
        <v>6145</v>
      </c>
      <c r="D6950" t="s">
        <v>304</v>
      </c>
      <c r="E6950">
        <f>YEAR(A6950)</f>
        <v>2015</v>
      </c>
      <c r="F6950" s="33">
        <f>DATE(YEAR(A6950),MONTH(A6950),1)</f>
        <v>42095.0</v>
      </c>
      <c r="G6950" t="str">
        <f>CHOOSE(WEEKDAY(A6950,2),"Mon","Tue","Wed","Thu","Fri","Sat","Sun")</f>
        <v>Fri</v>
      </c>
      <c r="H6950" t="str">
        <f>IF(WEEKDAY(A6950,2)&gt;5,"Weekend","Weekday")</f>
        <v>Weekday</v>
      </c>
      <c r="I6950" t="str">
        <f>_xlfn.IFS(B6950&lt;=5,"Night (0-5)",B6950&lt;=9,"Morning peak (6-9)",B6950&lt;=15,"Midday (10-15)",B6950&lt;=19,"Evening peak (16-19)",TRUE,"Late evening (20-23)")</f>
        <v>Late evening (20-23)</v>
      </c>
    </row>
    <row r="6951" spans="1:9">
      <c r="A6951" s="32">
        <v>42112</v>
      </c>
      <c r="B6951">
        <v>0</v>
      </c>
      <c r="C6951">
        <v>5689</v>
      </c>
      <c r="D6951" t="s">
        <v>304</v>
      </c>
      <c r="E6951">
        <f>YEAR(A6951)</f>
        <v>2015</v>
      </c>
      <c r="F6951" s="33">
        <f>DATE(YEAR(A6951),MONTH(A6951),1)</f>
        <v>42095.0</v>
      </c>
      <c r="G6951" t="str">
        <f>CHOOSE(WEEKDAY(A6951,2),"Mon","Tue","Wed","Thu","Fri","Sat","Sun")</f>
        <v>Sat</v>
      </c>
      <c r="H6951" t="str">
        <f>IF(WEEKDAY(A6951,2)&gt;5,"Weekend","Weekday")</f>
        <v>Weekend</v>
      </c>
      <c r="I6951" t="str">
        <f>_xlfn.IFS(B6951&lt;=5,"Night (0-5)",B6951&lt;=9,"Morning peak (6-9)",B6951&lt;=15,"Midday (10-15)",B6951&lt;=19,"Evening peak (16-19)",TRUE,"Late evening (20-23)")</f>
        <v>Night (0-5)</v>
      </c>
    </row>
    <row r="6952" spans="1:9">
      <c r="A6952" s="32">
        <v>42112</v>
      </c>
      <c r="B6952">
        <v>1</v>
      </c>
      <c r="C6952">
        <v>4220</v>
      </c>
      <c r="D6952" t="s">
        <v>304</v>
      </c>
      <c r="E6952">
        <f>YEAR(A6952)</f>
        <v>2015</v>
      </c>
      <c r="F6952" s="33">
        <f>DATE(YEAR(A6952),MONTH(A6952),1)</f>
        <v>42095.0</v>
      </c>
      <c r="G6952" t="str">
        <f>CHOOSE(WEEKDAY(A6952,2),"Mon","Tue","Wed","Thu","Fri","Sat","Sun")</f>
        <v>Sat</v>
      </c>
      <c r="H6952" t="str">
        <f>IF(WEEKDAY(A6952,2)&gt;5,"Weekend","Weekday")</f>
        <v>Weekend</v>
      </c>
      <c r="I6952" t="str">
        <f>_xlfn.IFS(B6952&lt;=5,"Night (0-5)",B6952&lt;=9,"Morning peak (6-9)",B6952&lt;=15,"Midday (10-15)",B6952&lt;=19,"Evening peak (16-19)",TRUE,"Late evening (20-23)")</f>
        <v>Night (0-5)</v>
      </c>
    </row>
    <row r="6953" spans="1:9">
      <c r="A6953" s="32">
        <v>42112</v>
      </c>
      <c r="B6953">
        <v>2</v>
      </c>
      <c r="C6953">
        <v>2803</v>
      </c>
      <c r="D6953" t="s">
        <v>304</v>
      </c>
      <c r="E6953">
        <f>YEAR(A6953)</f>
        <v>2015</v>
      </c>
      <c r="F6953" s="33">
        <f>DATE(YEAR(A6953),MONTH(A6953),1)</f>
        <v>42095.0</v>
      </c>
      <c r="G6953" t="str">
        <f>CHOOSE(WEEKDAY(A6953,2),"Mon","Tue","Wed","Thu","Fri","Sat","Sun")</f>
        <v>Sat</v>
      </c>
      <c r="H6953" t="str">
        <f>IF(WEEKDAY(A6953,2)&gt;5,"Weekend","Weekday")</f>
        <v>Weekend</v>
      </c>
      <c r="I6953" t="str">
        <f>_xlfn.IFS(B6953&lt;=5,"Night (0-5)",B6953&lt;=9,"Morning peak (6-9)",B6953&lt;=15,"Midday (10-15)",B6953&lt;=19,"Evening peak (16-19)",TRUE,"Late evening (20-23)")</f>
        <v>Night (0-5)</v>
      </c>
    </row>
    <row r="6954" spans="1:9">
      <c r="A6954" s="32">
        <v>42112</v>
      </c>
      <c r="B6954">
        <v>3</v>
      </c>
      <c r="C6954">
        <v>1813</v>
      </c>
      <c r="D6954" t="s">
        <v>304</v>
      </c>
      <c r="E6954">
        <f>YEAR(A6954)</f>
        <v>2015</v>
      </c>
      <c r="F6954" s="33">
        <f>DATE(YEAR(A6954),MONTH(A6954),1)</f>
        <v>42095.0</v>
      </c>
      <c r="G6954" t="str">
        <f>CHOOSE(WEEKDAY(A6954,2),"Mon","Tue","Wed","Thu","Fri","Sat","Sun")</f>
        <v>Sat</v>
      </c>
      <c r="H6954" t="str">
        <f>IF(WEEKDAY(A6954,2)&gt;5,"Weekend","Weekday")</f>
        <v>Weekend</v>
      </c>
      <c r="I6954" t="str">
        <f>_xlfn.IFS(B6954&lt;=5,"Night (0-5)",B6954&lt;=9,"Morning peak (6-9)",B6954&lt;=15,"Midday (10-15)",B6954&lt;=19,"Evening peak (16-19)",TRUE,"Late evening (20-23)")</f>
        <v>Night (0-5)</v>
      </c>
    </row>
    <row r="6955" spans="1:9">
      <c r="A6955" s="32">
        <v>42112</v>
      </c>
      <c r="B6955">
        <v>4</v>
      </c>
      <c r="C6955">
        <v>1347</v>
      </c>
      <c r="D6955" t="s">
        <v>304</v>
      </c>
      <c r="E6955">
        <f>YEAR(A6955)</f>
        <v>2015</v>
      </c>
      <c r="F6955" s="33">
        <f>DATE(YEAR(A6955),MONTH(A6955),1)</f>
        <v>42095.0</v>
      </c>
      <c r="G6955" t="str">
        <f>CHOOSE(WEEKDAY(A6955,2),"Mon","Tue","Wed","Thu","Fri","Sat","Sun")</f>
        <v>Sat</v>
      </c>
      <c r="H6955" t="str">
        <f>IF(WEEKDAY(A6955,2)&gt;5,"Weekend","Weekday")</f>
        <v>Weekend</v>
      </c>
      <c r="I6955" t="str">
        <f>_xlfn.IFS(B6955&lt;=5,"Night (0-5)",B6955&lt;=9,"Morning peak (6-9)",B6955&lt;=15,"Midday (10-15)",B6955&lt;=19,"Evening peak (16-19)",TRUE,"Late evening (20-23)")</f>
        <v>Night (0-5)</v>
      </c>
    </row>
    <row r="6956" spans="1:9">
      <c r="A6956" s="32">
        <v>42112</v>
      </c>
      <c r="B6956">
        <v>5</v>
      </c>
      <c r="C6956">
        <v>968</v>
      </c>
      <c r="D6956" t="s">
        <v>304</v>
      </c>
      <c r="E6956">
        <f>YEAR(A6956)</f>
        <v>2015</v>
      </c>
      <c r="F6956" s="33">
        <f>DATE(YEAR(A6956),MONTH(A6956),1)</f>
        <v>42095.0</v>
      </c>
      <c r="G6956" t="str">
        <f>CHOOSE(WEEKDAY(A6956,2),"Mon","Tue","Wed","Thu","Fri","Sat","Sun")</f>
        <v>Sat</v>
      </c>
      <c r="H6956" t="str">
        <f>IF(WEEKDAY(A6956,2)&gt;5,"Weekend","Weekday")</f>
        <v>Weekend</v>
      </c>
      <c r="I6956" t="str">
        <f>_xlfn.IFS(B6956&lt;=5,"Night (0-5)",B6956&lt;=9,"Morning peak (6-9)",B6956&lt;=15,"Midday (10-15)",B6956&lt;=19,"Evening peak (16-19)",TRUE,"Late evening (20-23)")</f>
        <v>Night (0-5)</v>
      </c>
    </row>
    <row r="6957" spans="1:9">
      <c r="A6957" s="32">
        <v>42112</v>
      </c>
      <c r="B6957">
        <v>6</v>
      </c>
      <c r="C6957">
        <v>1064</v>
      </c>
      <c r="D6957" t="s">
        <v>304</v>
      </c>
      <c r="E6957">
        <f>YEAR(A6957)</f>
        <v>2015</v>
      </c>
      <c r="F6957" s="33">
        <f>DATE(YEAR(A6957),MONTH(A6957),1)</f>
        <v>42095.0</v>
      </c>
      <c r="G6957" t="str">
        <f>CHOOSE(WEEKDAY(A6957,2),"Mon","Tue","Wed","Thu","Fri","Sat","Sun")</f>
        <v>Sat</v>
      </c>
      <c r="H6957" t="str">
        <f>IF(WEEKDAY(A6957,2)&gt;5,"Weekend","Weekday")</f>
        <v>Weekend</v>
      </c>
      <c r="I6957" t="str">
        <f>_xlfn.IFS(B6957&lt;=5,"Night (0-5)",B6957&lt;=9,"Morning peak (6-9)",B6957&lt;=15,"Midday (10-15)",B6957&lt;=19,"Evening peak (16-19)",TRUE,"Late evening (20-23)")</f>
        <v>Morning peak (6-9)</v>
      </c>
    </row>
    <row r="6958" spans="1:9">
      <c r="A6958" s="32">
        <v>42112</v>
      </c>
      <c r="B6958">
        <v>7</v>
      </c>
      <c r="C6958">
        <v>1264</v>
      </c>
      <c r="D6958" t="s">
        <v>304</v>
      </c>
      <c r="E6958">
        <f>YEAR(A6958)</f>
        <v>2015</v>
      </c>
      <c r="F6958" s="33">
        <f>DATE(YEAR(A6958),MONTH(A6958),1)</f>
        <v>42095.0</v>
      </c>
      <c r="G6958" t="str">
        <f>CHOOSE(WEEKDAY(A6958,2),"Mon","Tue","Wed","Thu","Fri","Sat","Sun")</f>
        <v>Sat</v>
      </c>
      <c r="H6958" t="str">
        <f>IF(WEEKDAY(A6958,2)&gt;5,"Weekend","Weekday")</f>
        <v>Weekend</v>
      </c>
      <c r="I6958" t="str">
        <f>_xlfn.IFS(B6958&lt;=5,"Night (0-5)",B6958&lt;=9,"Morning peak (6-9)",B6958&lt;=15,"Midday (10-15)",B6958&lt;=19,"Evening peak (16-19)",TRUE,"Late evening (20-23)")</f>
        <v>Morning peak (6-9)</v>
      </c>
    </row>
    <row r="6959" spans="1:9">
      <c r="A6959" s="32">
        <v>42112</v>
      </c>
      <c r="B6959">
        <v>8</v>
      </c>
      <c r="C6959">
        <v>1733</v>
      </c>
      <c r="D6959" t="s">
        <v>304</v>
      </c>
      <c r="E6959">
        <f>YEAR(A6959)</f>
        <v>2015</v>
      </c>
      <c r="F6959" s="33">
        <f>DATE(YEAR(A6959),MONTH(A6959),1)</f>
        <v>42095.0</v>
      </c>
      <c r="G6959" t="str">
        <f>CHOOSE(WEEKDAY(A6959,2),"Mon","Tue","Wed","Thu","Fri","Sat","Sun")</f>
        <v>Sat</v>
      </c>
      <c r="H6959" t="str">
        <f>IF(WEEKDAY(A6959,2)&gt;5,"Weekend","Weekday")</f>
        <v>Weekend</v>
      </c>
      <c r="I6959" t="str">
        <f>_xlfn.IFS(B6959&lt;=5,"Night (0-5)",B6959&lt;=9,"Morning peak (6-9)",B6959&lt;=15,"Midday (10-15)",B6959&lt;=19,"Evening peak (16-19)",TRUE,"Late evening (20-23)")</f>
        <v>Morning peak (6-9)</v>
      </c>
    </row>
    <row r="6960" spans="1:9">
      <c r="A6960" s="32">
        <v>42112</v>
      </c>
      <c r="B6960">
        <v>9</v>
      </c>
      <c r="C6960">
        <v>2301</v>
      </c>
      <c r="D6960" t="s">
        <v>304</v>
      </c>
      <c r="E6960">
        <f>YEAR(A6960)</f>
        <v>2015</v>
      </c>
      <c r="F6960" s="33">
        <f>DATE(YEAR(A6960),MONTH(A6960),1)</f>
        <v>42095.0</v>
      </c>
      <c r="G6960" t="str">
        <f>CHOOSE(WEEKDAY(A6960,2),"Mon","Tue","Wed","Thu","Fri","Sat","Sun")</f>
        <v>Sat</v>
      </c>
      <c r="H6960" t="str">
        <f>IF(WEEKDAY(A6960,2)&gt;5,"Weekend","Weekday")</f>
        <v>Weekend</v>
      </c>
      <c r="I6960" t="str">
        <f>_xlfn.IFS(B6960&lt;=5,"Night (0-5)",B6960&lt;=9,"Morning peak (6-9)",B6960&lt;=15,"Midday (10-15)",B6960&lt;=19,"Evening peak (16-19)",TRUE,"Late evening (20-23)")</f>
        <v>Morning peak (6-9)</v>
      </c>
    </row>
    <row r="6961" spans="1:9">
      <c r="A6961" s="32">
        <v>42112</v>
      </c>
      <c r="B6961">
        <v>10</v>
      </c>
      <c r="C6961">
        <v>2785</v>
      </c>
      <c r="D6961" t="s">
        <v>304</v>
      </c>
      <c r="E6961">
        <f>YEAR(A6961)</f>
        <v>2015</v>
      </c>
      <c r="F6961" s="33">
        <f>DATE(YEAR(A6961),MONTH(A6961),1)</f>
        <v>42095.0</v>
      </c>
      <c r="G6961" t="str">
        <f>CHOOSE(WEEKDAY(A6961,2),"Mon","Tue","Wed","Thu","Fri","Sat","Sun")</f>
        <v>Sat</v>
      </c>
      <c r="H6961" t="str">
        <f>IF(WEEKDAY(A6961,2)&gt;5,"Weekend","Weekday")</f>
        <v>Weekend</v>
      </c>
      <c r="I6961" t="str">
        <f>_xlfn.IFS(B6961&lt;=5,"Night (0-5)",B6961&lt;=9,"Morning peak (6-9)",B6961&lt;=15,"Midday (10-15)",B6961&lt;=19,"Evening peak (16-19)",TRUE,"Late evening (20-23)")</f>
        <v>Midday (10-15)</v>
      </c>
    </row>
    <row r="6962" spans="1:9">
      <c r="A6962" s="32">
        <v>42112</v>
      </c>
      <c r="B6962">
        <v>11</v>
      </c>
      <c r="C6962">
        <v>3157</v>
      </c>
      <c r="D6962" t="s">
        <v>304</v>
      </c>
      <c r="E6962">
        <f>YEAR(A6962)</f>
        <v>2015</v>
      </c>
      <c r="F6962" s="33">
        <f>DATE(YEAR(A6962),MONTH(A6962),1)</f>
        <v>42095.0</v>
      </c>
      <c r="G6962" t="str">
        <f>CHOOSE(WEEKDAY(A6962,2),"Mon","Tue","Wed","Thu","Fri","Sat","Sun")</f>
        <v>Sat</v>
      </c>
      <c r="H6962" t="str">
        <f>IF(WEEKDAY(A6962,2)&gt;5,"Weekend","Weekday")</f>
        <v>Weekend</v>
      </c>
      <c r="I6962" t="str">
        <f>_xlfn.IFS(B6962&lt;=5,"Night (0-5)",B6962&lt;=9,"Morning peak (6-9)",B6962&lt;=15,"Midday (10-15)",B6962&lt;=19,"Evening peak (16-19)",TRUE,"Late evening (20-23)")</f>
        <v>Midday (10-15)</v>
      </c>
    </row>
    <row r="6963" spans="1:9">
      <c r="A6963" s="32">
        <v>42112</v>
      </c>
      <c r="B6963">
        <v>12</v>
      </c>
      <c r="C6963">
        <v>3397</v>
      </c>
      <c r="D6963" t="s">
        <v>304</v>
      </c>
      <c r="E6963">
        <f>YEAR(A6963)</f>
        <v>2015</v>
      </c>
      <c r="F6963" s="33">
        <f>DATE(YEAR(A6963),MONTH(A6963),1)</f>
        <v>42095.0</v>
      </c>
      <c r="G6963" t="str">
        <f>CHOOSE(WEEKDAY(A6963,2),"Mon","Tue","Wed","Thu","Fri","Sat","Sun")</f>
        <v>Sat</v>
      </c>
      <c r="H6963" t="str">
        <f>IF(WEEKDAY(A6963,2)&gt;5,"Weekend","Weekday")</f>
        <v>Weekend</v>
      </c>
      <c r="I6963" t="str">
        <f>_xlfn.IFS(B6963&lt;=5,"Night (0-5)",B6963&lt;=9,"Morning peak (6-9)",B6963&lt;=15,"Midday (10-15)",B6963&lt;=19,"Evening peak (16-19)",TRUE,"Late evening (20-23)")</f>
        <v>Midday (10-15)</v>
      </c>
    </row>
    <row r="6964" spans="1:9">
      <c r="A6964" s="32">
        <v>42112</v>
      </c>
      <c r="B6964">
        <v>13</v>
      </c>
      <c r="C6964">
        <v>3596</v>
      </c>
      <c r="D6964" t="s">
        <v>304</v>
      </c>
      <c r="E6964">
        <f>YEAR(A6964)</f>
        <v>2015</v>
      </c>
      <c r="F6964" s="33">
        <f>DATE(YEAR(A6964),MONTH(A6964),1)</f>
        <v>42095.0</v>
      </c>
      <c r="G6964" t="str">
        <f>CHOOSE(WEEKDAY(A6964,2),"Mon","Tue","Wed","Thu","Fri","Sat","Sun")</f>
        <v>Sat</v>
      </c>
      <c r="H6964" t="str">
        <f>IF(WEEKDAY(A6964,2)&gt;5,"Weekend","Weekday")</f>
        <v>Weekend</v>
      </c>
      <c r="I6964" t="str">
        <f>_xlfn.IFS(B6964&lt;=5,"Night (0-5)",B6964&lt;=9,"Morning peak (6-9)",B6964&lt;=15,"Midday (10-15)",B6964&lt;=19,"Evening peak (16-19)",TRUE,"Late evening (20-23)")</f>
        <v>Midday (10-15)</v>
      </c>
    </row>
    <row r="6965" spans="1:9">
      <c r="A6965" s="32">
        <v>42112</v>
      </c>
      <c r="B6965">
        <v>14</v>
      </c>
      <c r="C6965">
        <v>3783</v>
      </c>
      <c r="D6965" t="s">
        <v>304</v>
      </c>
      <c r="E6965">
        <f>YEAR(A6965)</f>
        <v>2015</v>
      </c>
      <c r="F6965" s="33">
        <f>DATE(YEAR(A6965),MONTH(A6965),1)</f>
        <v>42095.0</v>
      </c>
      <c r="G6965" t="str">
        <f>CHOOSE(WEEKDAY(A6965,2),"Mon","Tue","Wed","Thu","Fri","Sat","Sun")</f>
        <v>Sat</v>
      </c>
      <c r="H6965" t="str">
        <f>IF(WEEKDAY(A6965,2)&gt;5,"Weekend","Weekday")</f>
        <v>Weekend</v>
      </c>
      <c r="I6965" t="str">
        <f>_xlfn.IFS(B6965&lt;=5,"Night (0-5)",B6965&lt;=9,"Morning peak (6-9)",B6965&lt;=15,"Midday (10-15)",B6965&lt;=19,"Evening peak (16-19)",TRUE,"Late evening (20-23)")</f>
        <v>Midday (10-15)</v>
      </c>
    </row>
    <row r="6966" spans="1:9">
      <c r="A6966" s="32">
        <v>42112</v>
      </c>
      <c r="B6966">
        <v>15</v>
      </c>
      <c r="C6966">
        <v>4194</v>
      </c>
      <c r="D6966" t="s">
        <v>304</v>
      </c>
      <c r="E6966">
        <f>YEAR(A6966)</f>
        <v>2015</v>
      </c>
      <c r="F6966" s="33">
        <f>DATE(YEAR(A6966),MONTH(A6966),1)</f>
        <v>42095.0</v>
      </c>
      <c r="G6966" t="str">
        <f>CHOOSE(WEEKDAY(A6966,2),"Mon","Tue","Wed","Thu","Fri","Sat","Sun")</f>
        <v>Sat</v>
      </c>
      <c r="H6966" t="str">
        <f>IF(WEEKDAY(A6966,2)&gt;5,"Weekend","Weekday")</f>
        <v>Weekend</v>
      </c>
      <c r="I6966" t="str">
        <f>_xlfn.IFS(B6966&lt;=5,"Night (0-5)",B6966&lt;=9,"Morning peak (6-9)",B6966&lt;=15,"Midday (10-15)",B6966&lt;=19,"Evening peak (16-19)",TRUE,"Late evening (20-23)")</f>
        <v>Midday (10-15)</v>
      </c>
    </row>
    <row r="6967" spans="1:9">
      <c r="A6967" s="32">
        <v>42112</v>
      </c>
      <c r="B6967">
        <v>16</v>
      </c>
      <c r="C6967">
        <v>4812</v>
      </c>
      <c r="D6967" t="s">
        <v>304</v>
      </c>
      <c r="E6967">
        <f>YEAR(A6967)</f>
        <v>2015</v>
      </c>
      <c r="F6967" s="33">
        <f>DATE(YEAR(A6967),MONTH(A6967),1)</f>
        <v>42095.0</v>
      </c>
      <c r="G6967" t="str">
        <f>CHOOSE(WEEKDAY(A6967,2),"Mon","Tue","Wed","Thu","Fri","Sat","Sun")</f>
        <v>Sat</v>
      </c>
      <c r="H6967" t="str">
        <f>IF(WEEKDAY(A6967,2)&gt;5,"Weekend","Weekday")</f>
        <v>Weekend</v>
      </c>
      <c r="I6967" t="str">
        <f>_xlfn.IFS(B6967&lt;=5,"Night (0-5)",B6967&lt;=9,"Morning peak (6-9)",B6967&lt;=15,"Midday (10-15)",B6967&lt;=19,"Evening peak (16-19)",TRUE,"Late evening (20-23)")</f>
        <v>Evening peak (16-19)</v>
      </c>
    </row>
    <row r="6968" spans="1:9">
      <c r="A6968" s="32">
        <v>42112</v>
      </c>
      <c r="B6968">
        <v>17</v>
      </c>
      <c r="C6968">
        <v>5716</v>
      </c>
      <c r="D6968" t="s">
        <v>304</v>
      </c>
      <c r="E6968">
        <f>YEAR(A6968)</f>
        <v>2015</v>
      </c>
      <c r="F6968" s="33">
        <f>DATE(YEAR(A6968),MONTH(A6968),1)</f>
        <v>42095.0</v>
      </c>
      <c r="G6968" t="str">
        <f>CHOOSE(WEEKDAY(A6968,2),"Mon","Tue","Wed","Thu","Fri","Sat","Sun")</f>
        <v>Sat</v>
      </c>
      <c r="H6968" t="str">
        <f>IF(WEEKDAY(A6968,2)&gt;5,"Weekend","Weekday")</f>
        <v>Weekend</v>
      </c>
      <c r="I6968" t="str">
        <f>_xlfn.IFS(B6968&lt;=5,"Night (0-5)",B6968&lt;=9,"Morning peak (6-9)",B6968&lt;=15,"Midday (10-15)",B6968&lt;=19,"Evening peak (16-19)",TRUE,"Late evening (20-23)")</f>
        <v>Evening peak (16-19)</v>
      </c>
    </row>
    <row r="6969" spans="1:9">
      <c r="A6969" s="32">
        <v>42112</v>
      </c>
      <c r="B6969">
        <v>18</v>
      </c>
      <c r="C6969">
        <v>6137</v>
      </c>
      <c r="D6969" t="s">
        <v>304</v>
      </c>
      <c r="E6969">
        <f>YEAR(A6969)</f>
        <v>2015</v>
      </c>
      <c r="F6969" s="33">
        <f>DATE(YEAR(A6969),MONTH(A6969),1)</f>
        <v>42095.0</v>
      </c>
      <c r="G6969" t="str">
        <f>CHOOSE(WEEKDAY(A6969,2),"Mon","Tue","Wed","Thu","Fri","Sat","Sun")</f>
        <v>Sat</v>
      </c>
      <c r="H6969" t="str">
        <f>IF(WEEKDAY(A6969,2)&gt;5,"Weekend","Weekday")</f>
        <v>Weekend</v>
      </c>
      <c r="I6969" t="str">
        <f>_xlfn.IFS(B6969&lt;=5,"Night (0-5)",B6969&lt;=9,"Morning peak (6-9)",B6969&lt;=15,"Midday (10-15)",B6969&lt;=19,"Evening peak (16-19)",TRUE,"Late evening (20-23)")</f>
        <v>Evening peak (16-19)</v>
      </c>
    </row>
    <row r="6970" spans="1:9">
      <c r="A6970" s="32">
        <v>42112</v>
      </c>
      <c r="B6970">
        <v>19</v>
      </c>
      <c r="C6970">
        <v>6421</v>
      </c>
      <c r="D6970" t="s">
        <v>304</v>
      </c>
      <c r="E6970">
        <f>YEAR(A6970)</f>
        <v>2015</v>
      </c>
      <c r="F6970" s="33">
        <f>DATE(YEAR(A6970),MONTH(A6970),1)</f>
        <v>42095.0</v>
      </c>
      <c r="G6970" t="str">
        <f>CHOOSE(WEEKDAY(A6970,2),"Mon","Tue","Wed","Thu","Fri","Sat","Sun")</f>
        <v>Sat</v>
      </c>
      <c r="H6970" t="str">
        <f>IF(WEEKDAY(A6970,2)&gt;5,"Weekend","Weekday")</f>
        <v>Weekend</v>
      </c>
      <c r="I6970" t="str">
        <f>_xlfn.IFS(B6970&lt;=5,"Night (0-5)",B6970&lt;=9,"Morning peak (6-9)",B6970&lt;=15,"Midday (10-15)",B6970&lt;=19,"Evening peak (16-19)",TRUE,"Late evening (20-23)")</f>
        <v>Evening peak (16-19)</v>
      </c>
    </row>
    <row r="6971" spans="1:9">
      <c r="A6971" s="32">
        <v>42112</v>
      </c>
      <c r="B6971">
        <v>20</v>
      </c>
      <c r="C6971">
        <v>6694</v>
      </c>
      <c r="D6971" t="s">
        <v>304</v>
      </c>
      <c r="E6971">
        <f>YEAR(A6971)</f>
        <v>2015</v>
      </c>
      <c r="F6971" s="33">
        <f>DATE(YEAR(A6971),MONTH(A6971),1)</f>
        <v>42095.0</v>
      </c>
      <c r="G6971" t="str">
        <f>CHOOSE(WEEKDAY(A6971,2),"Mon","Tue","Wed","Thu","Fri","Sat","Sun")</f>
        <v>Sat</v>
      </c>
      <c r="H6971" t="str">
        <f>IF(WEEKDAY(A6971,2)&gt;5,"Weekend","Weekday")</f>
        <v>Weekend</v>
      </c>
      <c r="I6971" t="str">
        <f>_xlfn.IFS(B6971&lt;=5,"Night (0-5)",B6971&lt;=9,"Morning peak (6-9)",B6971&lt;=15,"Midday (10-15)",B6971&lt;=19,"Evening peak (16-19)",TRUE,"Late evening (20-23)")</f>
        <v>Late evening (20-23)</v>
      </c>
    </row>
    <row r="6972" spans="1:9">
      <c r="A6972" s="32">
        <v>42112</v>
      </c>
      <c r="B6972">
        <v>21</v>
      </c>
      <c r="C6972">
        <v>6148</v>
      </c>
      <c r="D6972" t="s">
        <v>304</v>
      </c>
      <c r="E6972">
        <f>YEAR(A6972)</f>
        <v>2015</v>
      </c>
      <c r="F6972" s="33">
        <f>DATE(YEAR(A6972),MONTH(A6972),1)</f>
        <v>42095.0</v>
      </c>
      <c r="G6972" t="str">
        <f>CHOOSE(WEEKDAY(A6972,2),"Mon","Tue","Wed","Thu","Fri","Sat","Sun")</f>
        <v>Sat</v>
      </c>
      <c r="H6972" t="str">
        <f>IF(WEEKDAY(A6972,2)&gt;5,"Weekend","Weekday")</f>
        <v>Weekend</v>
      </c>
      <c r="I6972" t="str">
        <f>_xlfn.IFS(B6972&lt;=5,"Night (0-5)",B6972&lt;=9,"Morning peak (6-9)",B6972&lt;=15,"Midday (10-15)",B6972&lt;=19,"Evening peak (16-19)",TRUE,"Late evening (20-23)")</f>
        <v>Late evening (20-23)</v>
      </c>
    </row>
    <row r="6973" spans="1:9">
      <c r="A6973" s="32">
        <v>42112</v>
      </c>
      <c r="B6973">
        <v>22</v>
      </c>
      <c r="C6973">
        <v>6740</v>
      </c>
      <c r="D6973" t="s">
        <v>304</v>
      </c>
      <c r="E6973">
        <f>YEAR(A6973)</f>
        <v>2015</v>
      </c>
      <c r="F6973" s="33">
        <f>DATE(YEAR(A6973),MONTH(A6973),1)</f>
        <v>42095.0</v>
      </c>
      <c r="G6973" t="str">
        <f>CHOOSE(WEEKDAY(A6973,2),"Mon","Tue","Wed","Thu","Fri","Sat","Sun")</f>
        <v>Sat</v>
      </c>
      <c r="H6973" t="str">
        <f>IF(WEEKDAY(A6973,2)&gt;5,"Weekend","Weekday")</f>
        <v>Weekend</v>
      </c>
      <c r="I6973" t="str">
        <f>_xlfn.IFS(B6973&lt;=5,"Night (0-5)",B6973&lt;=9,"Morning peak (6-9)",B6973&lt;=15,"Midday (10-15)",B6973&lt;=19,"Evening peak (16-19)",TRUE,"Late evening (20-23)")</f>
        <v>Late evening (20-23)</v>
      </c>
    </row>
    <row r="6974" spans="1:9">
      <c r="A6974" s="32">
        <v>42112</v>
      </c>
      <c r="B6974">
        <v>23</v>
      </c>
      <c r="C6974">
        <v>7414</v>
      </c>
      <c r="D6974" t="s">
        <v>304</v>
      </c>
      <c r="E6974">
        <f>YEAR(A6974)</f>
        <v>2015</v>
      </c>
      <c r="F6974" s="33">
        <f>DATE(YEAR(A6974),MONTH(A6974),1)</f>
        <v>42095.0</v>
      </c>
      <c r="G6974" t="str">
        <f>CHOOSE(WEEKDAY(A6974,2),"Mon","Tue","Wed","Thu","Fri","Sat","Sun")</f>
        <v>Sat</v>
      </c>
      <c r="H6974" t="str">
        <f>IF(WEEKDAY(A6974,2)&gt;5,"Weekend","Weekday")</f>
        <v>Weekend</v>
      </c>
      <c r="I6974" t="str">
        <f>_xlfn.IFS(B6974&lt;=5,"Night (0-5)",B6974&lt;=9,"Morning peak (6-9)",B6974&lt;=15,"Midday (10-15)",B6974&lt;=19,"Evening peak (16-19)",TRUE,"Late evening (20-23)")</f>
        <v>Late evening (20-23)</v>
      </c>
    </row>
    <row r="6975" spans="1:9">
      <c r="A6975" s="32">
        <v>42113</v>
      </c>
      <c r="B6975">
        <v>0</v>
      </c>
      <c r="C6975">
        <v>6852</v>
      </c>
      <c r="D6975" t="s">
        <v>304</v>
      </c>
      <c r="E6975">
        <f>YEAR(A6975)</f>
        <v>2015</v>
      </c>
      <c r="F6975" s="33">
        <f>DATE(YEAR(A6975),MONTH(A6975),1)</f>
        <v>42095.0</v>
      </c>
      <c r="G6975" t="str">
        <f>CHOOSE(WEEKDAY(A6975,2),"Mon","Tue","Wed","Thu","Fri","Sat","Sun")</f>
        <v>Sun</v>
      </c>
      <c r="H6975" t="str">
        <f>IF(WEEKDAY(A6975,2)&gt;5,"Weekend","Weekday")</f>
        <v>Weekend</v>
      </c>
      <c r="I6975" t="str">
        <f>_xlfn.IFS(B6975&lt;=5,"Night (0-5)",B6975&lt;=9,"Morning peak (6-9)",B6975&lt;=15,"Midday (10-15)",B6975&lt;=19,"Evening peak (16-19)",TRUE,"Late evening (20-23)")</f>
        <v>Night (0-5)</v>
      </c>
    </row>
    <row r="6976" spans="1:9">
      <c r="A6976" s="32">
        <v>42113</v>
      </c>
      <c r="B6976">
        <v>1</v>
      </c>
      <c r="C6976">
        <v>5852</v>
      </c>
      <c r="D6976" t="s">
        <v>304</v>
      </c>
      <c r="E6976">
        <f>YEAR(A6976)</f>
        <v>2015</v>
      </c>
      <c r="F6976" s="33">
        <f>DATE(YEAR(A6976),MONTH(A6976),1)</f>
        <v>42095.0</v>
      </c>
      <c r="G6976" t="str">
        <f>CHOOSE(WEEKDAY(A6976,2),"Mon","Tue","Wed","Thu","Fri","Sat","Sun")</f>
        <v>Sun</v>
      </c>
      <c r="H6976" t="str">
        <f>IF(WEEKDAY(A6976,2)&gt;5,"Weekend","Weekday")</f>
        <v>Weekend</v>
      </c>
      <c r="I6976" t="str">
        <f>_xlfn.IFS(B6976&lt;=5,"Night (0-5)",B6976&lt;=9,"Morning peak (6-9)",B6976&lt;=15,"Midday (10-15)",B6976&lt;=19,"Evening peak (16-19)",TRUE,"Late evening (20-23)")</f>
        <v>Night (0-5)</v>
      </c>
    </row>
    <row r="6977" spans="1:9">
      <c r="A6977" s="32">
        <v>42113</v>
      </c>
      <c r="B6977">
        <v>2</v>
      </c>
      <c r="C6977">
        <v>4108</v>
      </c>
      <c r="D6977" t="s">
        <v>304</v>
      </c>
      <c r="E6977">
        <f>YEAR(A6977)</f>
        <v>2015</v>
      </c>
      <c r="F6977" s="33">
        <f>DATE(YEAR(A6977),MONTH(A6977),1)</f>
        <v>42095.0</v>
      </c>
      <c r="G6977" t="str">
        <f>CHOOSE(WEEKDAY(A6977,2),"Mon","Tue","Wed","Thu","Fri","Sat","Sun")</f>
        <v>Sun</v>
      </c>
      <c r="H6977" t="str">
        <f>IF(WEEKDAY(A6977,2)&gt;5,"Weekend","Weekday")</f>
        <v>Weekend</v>
      </c>
      <c r="I6977" t="str">
        <f>_xlfn.IFS(B6977&lt;=5,"Night (0-5)",B6977&lt;=9,"Morning peak (6-9)",B6977&lt;=15,"Midday (10-15)",B6977&lt;=19,"Evening peak (16-19)",TRUE,"Late evening (20-23)")</f>
        <v>Night (0-5)</v>
      </c>
    </row>
    <row r="6978" spans="1:9">
      <c r="A6978" s="32">
        <v>42113</v>
      </c>
      <c r="B6978">
        <v>3</v>
      </c>
      <c r="C6978">
        <v>2617</v>
      </c>
      <c r="D6978" t="s">
        <v>304</v>
      </c>
      <c r="E6978">
        <f>YEAR(A6978)</f>
        <v>2015</v>
      </c>
      <c r="F6978" s="33">
        <f>DATE(YEAR(A6978),MONTH(A6978),1)</f>
        <v>42095.0</v>
      </c>
      <c r="G6978" t="str">
        <f>CHOOSE(WEEKDAY(A6978,2),"Mon","Tue","Wed","Thu","Fri","Sat","Sun")</f>
        <v>Sun</v>
      </c>
      <c r="H6978" t="str">
        <f>IF(WEEKDAY(A6978,2)&gt;5,"Weekend","Weekday")</f>
        <v>Weekend</v>
      </c>
      <c r="I6978" t="str">
        <f>_xlfn.IFS(B6978&lt;=5,"Night (0-5)",B6978&lt;=9,"Morning peak (6-9)",B6978&lt;=15,"Midday (10-15)",B6978&lt;=19,"Evening peak (16-19)",TRUE,"Late evening (20-23)")</f>
        <v>Night (0-5)</v>
      </c>
    </row>
    <row r="6979" spans="1:9">
      <c r="A6979" s="32">
        <v>42113</v>
      </c>
      <c r="B6979">
        <v>4</v>
      </c>
      <c r="C6979">
        <v>1701</v>
      </c>
      <c r="D6979" t="s">
        <v>304</v>
      </c>
      <c r="E6979">
        <f>YEAR(A6979)</f>
        <v>2015</v>
      </c>
      <c r="F6979" s="33">
        <f>DATE(YEAR(A6979),MONTH(A6979),1)</f>
        <v>42095.0</v>
      </c>
      <c r="G6979" t="str">
        <f>CHOOSE(WEEKDAY(A6979,2),"Mon","Tue","Wed","Thu","Fri","Sat","Sun")</f>
        <v>Sun</v>
      </c>
      <c r="H6979" t="str">
        <f>IF(WEEKDAY(A6979,2)&gt;5,"Weekend","Weekday")</f>
        <v>Weekend</v>
      </c>
      <c r="I6979" t="str">
        <f>_xlfn.IFS(B6979&lt;=5,"Night (0-5)",B6979&lt;=9,"Morning peak (6-9)",B6979&lt;=15,"Midday (10-15)",B6979&lt;=19,"Evening peak (16-19)",TRUE,"Late evening (20-23)")</f>
        <v>Night (0-5)</v>
      </c>
    </row>
    <row r="6980" spans="1:9">
      <c r="A6980" s="32">
        <v>42113</v>
      </c>
      <c r="B6980">
        <v>5</v>
      </c>
      <c r="C6980">
        <v>1064</v>
      </c>
      <c r="D6980" t="s">
        <v>304</v>
      </c>
      <c r="E6980">
        <f>YEAR(A6980)</f>
        <v>2015</v>
      </c>
      <c r="F6980" s="33">
        <f>DATE(YEAR(A6980),MONTH(A6980),1)</f>
        <v>42095.0</v>
      </c>
      <c r="G6980" t="str">
        <f>CHOOSE(WEEKDAY(A6980,2),"Mon","Tue","Wed","Thu","Fri","Sat","Sun")</f>
        <v>Sun</v>
      </c>
      <c r="H6980" t="str">
        <f>IF(WEEKDAY(A6980,2)&gt;5,"Weekend","Weekday")</f>
        <v>Weekend</v>
      </c>
      <c r="I6980" t="str">
        <f>_xlfn.IFS(B6980&lt;=5,"Night (0-5)",B6980&lt;=9,"Morning peak (6-9)",B6980&lt;=15,"Midday (10-15)",B6980&lt;=19,"Evening peak (16-19)",TRUE,"Late evening (20-23)")</f>
        <v>Night (0-5)</v>
      </c>
    </row>
    <row r="6981" spans="1:9">
      <c r="A6981" s="32">
        <v>42113</v>
      </c>
      <c r="B6981">
        <v>6</v>
      </c>
      <c r="C6981">
        <v>1025</v>
      </c>
      <c r="D6981" t="s">
        <v>304</v>
      </c>
      <c r="E6981">
        <f>YEAR(A6981)</f>
        <v>2015</v>
      </c>
      <c r="F6981" s="33">
        <f>DATE(YEAR(A6981),MONTH(A6981),1)</f>
        <v>42095.0</v>
      </c>
      <c r="G6981" t="str">
        <f>CHOOSE(WEEKDAY(A6981,2),"Mon","Tue","Wed","Thu","Fri","Sat","Sun")</f>
        <v>Sun</v>
      </c>
      <c r="H6981" t="str">
        <f>IF(WEEKDAY(A6981,2)&gt;5,"Weekend","Weekday")</f>
        <v>Weekend</v>
      </c>
      <c r="I6981" t="str">
        <f>_xlfn.IFS(B6981&lt;=5,"Night (0-5)",B6981&lt;=9,"Morning peak (6-9)",B6981&lt;=15,"Midday (10-15)",B6981&lt;=19,"Evening peak (16-19)",TRUE,"Late evening (20-23)")</f>
        <v>Morning peak (6-9)</v>
      </c>
    </row>
    <row r="6982" spans="1:9">
      <c r="A6982" s="32">
        <v>42113</v>
      </c>
      <c r="B6982">
        <v>7</v>
      </c>
      <c r="C6982">
        <v>1096</v>
      </c>
      <c r="D6982" t="s">
        <v>304</v>
      </c>
      <c r="E6982">
        <f>YEAR(A6982)</f>
        <v>2015</v>
      </c>
      <c r="F6982" s="33">
        <f>DATE(YEAR(A6982),MONTH(A6982),1)</f>
        <v>42095.0</v>
      </c>
      <c r="G6982" t="str">
        <f>CHOOSE(WEEKDAY(A6982,2),"Mon","Tue","Wed","Thu","Fri","Sat","Sun")</f>
        <v>Sun</v>
      </c>
      <c r="H6982" t="str">
        <f>IF(WEEKDAY(A6982,2)&gt;5,"Weekend","Weekday")</f>
        <v>Weekend</v>
      </c>
      <c r="I6982" t="str">
        <f>_xlfn.IFS(B6982&lt;=5,"Night (0-5)",B6982&lt;=9,"Morning peak (6-9)",B6982&lt;=15,"Midday (10-15)",B6982&lt;=19,"Evening peak (16-19)",TRUE,"Late evening (20-23)")</f>
        <v>Morning peak (6-9)</v>
      </c>
    </row>
    <row r="6983" spans="1:9">
      <c r="A6983" s="32">
        <v>42113</v>
      </c>
      <c r="B6983">
        <v>8</v>
      </c>
      <c r="C6983">
        <v>1418</v>
      </c>
      <c r="D6983" t="s">
        <v>304</v>
      </c>
      <c r="E6983">
        <f>YEAR(A6983)</f>
        <v>2015</v>
      </c>
      <c r="F6983" s="33">
        <f>DATE(YEAR(A6983),MONTH(A6983),1)</f>
        <v>42095.0</v>
      </c>
      <c r="G6983" t="str">
        <f>CHOOSE(WEEKDAY(A6983,2),"Mon","Tue","Wed","Thu","Fri","Sat","Sun")</f>
        <v>Sun</v>
      </c>
      <c r="H6983" t="str">
        <f>IF(WEEKDAY(A6983,2)&gt;5,"Weekend","Weekday")</f>
        <v>Weekend</v>
      </c>
      <c r="I6983" t="str">
        <f>_xlfn.IFS(B6983&lt;=5,"Night (0-5)",B6983&lt;=9,"Morning peak (6-9)",B6983&lt;=15,"Midday (10-15)",B6983&lt;=19,"Evening peak (16-19)",TRUE,"Late evening (20-23)")</f>
        <v>Morning peak (6-9)</v>
      </c>
    </row>
    <row r="6984" spans="1:9">
      <c r="A6984" s="32">
        <v>42113</v>
      </c>
      <c r="B6984">
        <v>9</v>
      </c>
      <c r="C6984">
        <v>1974</v>
      </c>
      <c r="D6984" t="s">
        <v>304</v>
      </c>
      <c r="E6984">
        <f>YEAR(A6984)</f>
        <v>2015</v>
      </c>
      <c r="F6984" s="33">
        <f>DATE(YEAR(A6984),MONTH(A6984),1)</f>
        <v>42095.0</v>
      </c>
      <c r="G6984" t="str">
        <f>CHOOSE(WEEKDAY(A6984,2),"Mon","Tue","Wed","Thu","Fri","Sat","Sun")</f>
        <v>Sun</v>
      </c>
      <c r="H6984" t="str">
        <f>IF(WEEKDAY(A6984,2)&gt;5,"Weekend","Weekday")</f>
        <v>Weekend</v>
      </c>
      <c r="I6984" t="str">
        <f>_xlfn.IFS(B6984&lt;=5,"Night (0-5)",B6984&lt;=9,"Morning peak (6-9)",B6984&lt;=15,"Midday (10-15)",B6984&lt;=19,"Evening peak (16-19)",TRUE,"Late evening (20-23)")</f>
        <v>Morning peak (6-9)</v>
      </c>
    </row>
    <row r="6985" spans="1:9">
      <c r="A6985" s="32">
        <v>42113</v>
      </c>
      <c r="B6985">
        <v>10</v>
      </c>
      <c r="C6985">
        <v>2521</v>
      </c>
      <c r="D6985" t="s">
        <v>304</v>
      </c>
      <c r="E6985">
        <f>YEAR(A6985)</f>
        <v>2015</v>
      </c>
      <c r="F6985" s="33">
        <f>DATE(YEAR(A6985),MONTH(A6985),1)</f>
        <v>42095.0</v>
      </c>
      <c r="G6985" t="str">
        <f>CHOOSE(WEEKDAY(A6985,2),"Mon","Tue","Wed","Thu","Fri","Sat","Sun")</f>
        <v>Sun</v>
      </c>
      <c r="H6985" t="str">
        <f>IF(WEEKDAY(A6985,2)&gt;5,"Weekend","Weekday")</f>
        <v>Weekend</v>
      </c>
      <c r="I6985" t="str">
        <f>_xlfn.IFS(B6985&lt;=5,"Night (0-5)",B6985&lt;=9,"Morning peak (6-9)",B6985&lt;=15,"Midday (10-15)",B6985&lt;=19,"Evening peak (16-19)",TRUE,"Late evening (20-23)")</f>
        <v>Midday (10-15)</v>
      </c>
    </row>
    <row r="6986" spans="1:9">
      <c r="A6986" s="32">
        <v>42113</v>
      </c>
      <c r="B6986">
        <v>11</v>
      </c>
      <c r="C6986">
        <v>2950</v>
      </c>
      <c r="D6986" t="s">
        <v>304</v>
      </c>
      <c r="E6986">
        <f>YEAR(A6986)</f>
        <v>2015</v>
      </c>
      <c r="F6986" s="33">
        <f>DATE(YEAR(A6986),MONTH(A6986),1)</f>
        <v>42095.0</v>
      </c>
      <c r="G6986" t="str">
        <f>CHOOSE(WEEKDAY(A6986,2),"Mon","Tue","Wed","Thu","Fri","Sat","Sun")</f>
        <v>Sun</v>
      </c>
      <c r="H6986" t="str">
        <f>IF(WEEKDAY(A6986,2)&gt;5,"Weekend","Weekday")</f>
        <v>Weekend</v>
      </c>
      <c r="I6986" t="str">
        <f>_xlfn.IFS(B6986&lt;=5,"Night (0-5)",B6986&lt;=9,"Morning peak (6-9)",B6986&lt;=15,"Midday (10-15)",B6986&lt;=19,"Evening peak (16-19)",TRUE,"Late evening (20-23)")</f>
        <v>Midday (10-15)</v>
      </c>
    </row>
    <row r="6987" spans="1:9">
      <c r="A6987" s="32">
        <v>42113</v>
      </c>
      <c r="B6987">
        <v>12</v>
      </c>
      <c r="C6987">
        <v>3165</v>
      </c>
      <c r="D6987" t="s">
        <v>304</v>
      </c>
      <c r="E6987">
        <f>YEAR(A6987)</f>
        <v>2015</v>
      </c>
      <c r="F6987" s="33">
        <f>DATE(YEAR(A6987),MONTH(A6987),1)</f>
        <v>42095.0</v>
      </c>
      <c r="G6987" t="str">
        <f>CHOOSE(WEEKDAY(A6987,2),"Mon","Tue","Wed","Thu","Fri","Sat","Sun")</f>
        <v>Sun</v>
      </c>
      <c r="H6987" t="str">
        <f>IF(WEEKDAY(A6987,2)&gt;5,"Weekend","Weekday")</f>
        <v>Weekend</v>
      </c>
      <c r="I6987" t="str">
        <f>_xlfn.IFS(B6987&lt;=5,"Night (0-5)",B6987&lt;=9,"Morning peak (6-9)",B6987&lt;=15,"Midday (10-15)",B6987&lt;=19,"Evening peak (16-19)",TRUE,"Late evening (20-23)")</f>
        <v>Midday (10-15)</v>
      </c>
    </row>
    <row r="6988" spans="1:9">
      <c r="A6988" s="32">
        <v>42113</v>
      </c>
      <c r="B6988">
        <v>13</v>
      </c>
      <c r="C6988">
        <v>3405</v>
      </c>
      <c r="D6988" t="s">
        <v>304</v>
      </c>
      <c r="E6988">
        <f>YEAR(A6988)</f>
        <v>2015</v>
      </c>
      <c r="F6988" s="33">
        <f>DATE(YEAR(A6988),MONTH(A6988),1)</f>
        <v>42095.0</v>
      </c>
      <c r="G6988" t="str">
        <f>CHOOSE(WEEKDAY(A6988,2),"Mon","Tue","Wed","Thu","Fri","Sat","Sun")</f>
        <v>Sun</v>
      </c>
      <c r="H6988" t="str">
        <f>IF(WEEKDAY(A6988,2)&gt;5,"Weekend","Weekday")</f>
        <v>Weekend</v>
      </c>
      <c r="I6988" t="str">
        <f>_xlfn.IFS(B6988&lt;=5,"Night (0-5)",B6988&lt;=9,"Morning peak (6-9)",B6988&lt;=15,"Midday (10-15)",B6988&lt;=19,"Evening peak (16-19)",TRUE,"Late evening (20-23)")</f>
        <v>Midday (10-15)</v>
      </c>
    </row>
    <row r="6989" spans="1:9">
      <c r="A6989" s="32">
        <v>42113</v>
      </c>
      <c r="B6989">
        <v>14</v>
      </c>
      <c r="C6989">
        <v>3731</v>
      </c>
      <c r="D6989" t="s">
        <v>304</v>
      </c>
      <c r="E6989">
        <f>YEAR(A6989)</f>
        <v>2015</v>
      </c>
      <c r="F6989" s="33">
        <f>DATE(YEAR(A6989),MONTH(A6989),1)</f>
        <v>42095.0</v>
      </c>
      <c r="G6989" t="str">
        <f>CHOOSE(WEEKDAY(A6989,2),"Mon","Tue","Wed","Thu","Fri","Sat","Sun")</f>
        <v>Sun</v>
      </c>
      <c r="H6989" t="str">
        <f>IF(WEEKDAY(A6989,2)&gt;5,"Weekend","Weekday")</f>
        <v>Weekend</v>
      </c>
      <c r="I6989" t="str">
        <f>_xlfn.IFS(B6989&lt;=5,"Night (0-5)",B6989&lt;=9,"Morning peak (6-9)",B6989&lt;=15,"Midday (10-15)",B6989&lt;=19,"Evening peak (16-19)",TRUE,"Late evening (20-23)")</f>
        <v>Midday (10-15)</v>
      </c>
    </row>
    <row r="6990" spans="1:9">
      <c r="A6990" s="32">
        <v>42113</v>
      </c>
      <c r="B6990">
        <v>15</v>
      </c>
      <c r="C6990">
        <v>3732</v>
      </c>
      <c r="D6990" t="s">
        <v>304</v>
      </c>
      <c r="E6990">
        <f>YEAR(A6990)</f>
        <v>2015</v>
      </c>
      <c r="F6990" s="33">
        <f>DATE(YEAR(A6990),MONTH(A6990),1)</f>
        <v>42095.0</v>
      </c>
      <c r="G6990" t="str">
        <f>CHOOSE(WEEKDAY(A6990,2),"Mon","Tue","Wed","Thu","Fri","Sat","Sun")</f>
        <v>Sun</v>
      </c>
      <c r="H6990" t="str">
        <f>IF(WEEKDAY(A6990,2)&gt;5,"Weekend","Weekday")</f>
        <v>Weekend</v>
      </c>
      <c r="I6990" t="str">
        <f>_xlfn.IFS(B6990&lt;=5,"Night (0-5)",B6990&lt;=9,"Morning peak (6-9)",B6990&lt;=15,"Midday (10-15)",B6990&lt;=19,"Evening peak (16-19)",TRUE,"Late evening (20-23)")</f>
        <v>Midday (10-15)</v>
      </c>
    </row>
    <row r="6991" spans="1:9">
      <c r="A6991" s="32">
        <v>42113</v>
      </c>
      <c r="B6991">
        <v>16</v>
      </c>
      <c r="C6991">
        <v>3928</v>
      </c>
      <c r="D6991" t="s">
        <v>304</v>
      </c>
      <c r="E6991">
        <f>YEAR(A6991)</f>
        <v>2015</v>
      </c>
      <c r="F6991" s="33">
        <f>DATE(YEAR(A6991),MONTH(A6991),1)</f>
        <v>42095.0</v>
      </c>
      <c r="G6991" t="str">
        <f>CHOOSE(WEEKDAY(A6991,2),"Mon","Tue","Wed","Thu","Fri","Sat","Sun")</f>
        <v>Sun</v>
      </c>
      <c r="H6991" t="str">
        <f>IF(WEEKDAY(A6991,2)&gt;5,"Weekend","Weekday")</f>
        <v>Weekend</v>
      </c>
      <c r="I6991" t="str">
        <f>_xlfn.IFS(B6991&lt;=5,"Night (0-5)",B6991&lt;=9,"Morning peak (6-9)",B6991&lt;=15,"Midday (10-15)",B6991&lt;=19,"Evening peak (16-19)",TRUE,"Late evening (20-23)")</f>
        <v>Evening peak (16-19)</v>
      </c>
    </row>
    <row r="6992" spans="1:9">
      <c r="A6992" s="32">
        <v>42113</v>
      </c>
      <c r="B6992">
        <v>17</v>
      </c>
      <c r="C6992">
        <v>4297</v>
      </c>
      <c r="D6992" t="s">
        <v>304</v>
      </c>
      <c r="E6992">
        <f>YEAR(A6992)</f>
        <v>2015</v>
      </c>
      <c r="F6992" s="33">
        <f>DATE(YEAR(A6992),MONTH(A6992),1)</f>
        <v>42095.0</v>
      </c>
      <c r="G6992" t="str">
        <f>CHOOSE(WEEKDAY(A6992,2),"Mon","Tue","Wed","Thu","Fri","Sat","Sun")</f>
        <v>Sun</v>
      </c>
      <c r="H6992" t="str">
        <f>IF(WEEKDAY(A6992,2)&gt;5,"Weekend","Weekday")</f>
        <v>Weekend</v>
      </c>
      <c r="I6992" t="str">
        <f>_xlfn.IFS(B6992&lt;=5,"Night (0-5)",B6992&lt;=9,"Morning peak (6-9)",B6992&lt;=15,"Midday (10-15)",B6992&lt;=19,"Evening peak (16-19)",TRUE,"Late evening (20-23)")</f>
        <v>Evening peak (16-19)</v>
      </c>
    </row>
    <row r="6993" spans="1:9">
      <c r="A6993" s="32">
        <v>42113</v>
      </c>
      <c r="B6993">
        <v>18</v>
      </c>
      <c r="C6993">
        <v>4364</v>
      </c>
      <c r="D6993" t="s">
        <v>304</v>
      </c>
      <c r="E6993">
        <f>YEAR(A6993)</f>
        <v>2015</v>
      </c>
      <c r="F6993" s="33">
        <f>DATE(YEAR(A6993),MONTH(A6993),1)</f>
        <v>42095.0</v>
      </c>
      <c r="G6993" t="str">
        <f>CHOOSE(WEEKDAY(A6993,2),"Mon","Tue","Wed","Thu","Fri","Sat","Sun")</f>
        <v>Sun</v>
      </c>
      <c r="H6993" t="str">
        <f>IF(WEEKDAY(A6993,2)&gt;5,"Weekend","Weekday")</f>
        <v>Weekend</v>
      </c>
      <c r="I6993" t="str">
        <f>_xlfn.IFS(B6993&lt;=5,"Night (0-5)",B6993&lt;=9,"Morning peak (6-9)",B6993&lt;=15,"Midday (10-15)",B6993&lt;=19,"Evening peak (16-19)",TRUE,"Late evening (20-23)")</f>
        <v>Evening peak (16-19)</v>
      </c>
    </row>
    <row r="6994" spans="1:9">
      <c r="A6994" s="32">
        <v>42113</v>
      </c>
      <c r="B6994">
        <v>19</v>
      </c>
      <c r="C6994">
        <v>4023</v>
      </c>
      <c r="D6994" t="s">
        <v>304</v>
      </c>
      <c r="E6994">
        <f>YEAR(A6994)</f>
        <v>2015</v>
      </c>
      <c r="F6994" s="33">
        <f>DATE(YEAR(A6994),MONTH(A6994),1)</f>
        <v>42095.0</v>
      </c>
      <c r="G6994" t="str">
        <f>CHOOSE(WEEKDAY(A6994,2),"Mon","Tue","Wed","Thu","Fri","Sat","Sun")</f>
        <v>Sun</v>
      </c>
      <c r="H6994" t="str">
        <f>IF(WEEKDAY(A6994,2)&gt;5,"Weekend","Weekday")</f>
        <v>Weekend</v>
      </c>
      <c r="I6994" t="str">
        <f>_xlfn.IFS(B6994&lt;=5,"Night (0-5)",B6994&lt;=9,"Morning peak (6-9)",B6994&lt;=15,"Midday (10-15)",B6994&lt;=19,"Evening peak (16-19)",TRUE,"Late evening (20-23)")</f>
        <v>Evening peak (16-19)</v>
      </c>
    </row>
    <row r="6995" spans="1:9">
      <c r="A6995" s="32">
        <v>42113</v>
      </c>
      <c r="B6995">
        <v>20</v>
      </c>
      <c r="C6995">
        <v>4149</v>
      </c>
      <c r="D6995" t="s">
        <v>304</v>
      </c>
      <c r="E6995">
        <f>YEAR(A6995)</f>
        <v>2015</v>
      </c>
      <c r="F6995" s="33">
        <f>DATE(YEAR(A6995),MONTH(A6995),1)</f>
        <v>42095.0</v>
      </c>
      <c r="G6995" t="str">
        <f>CHOOSE(WEEKDAY(A6995,2),"Mon","Tue","Wed","Thu","Fri","Sat","Sun")</f>
        <v>Sun</v>
      </c>
      <c r="H6995" t="str">
        <f>IF(WEEKDAY(A6995,2)&gt;5,"Weekend","Weekday")</f>
        <v>Weekend</v>
      </c>
      <c r="I6995" t="str">
        <f>_xlfn.IFS(B6995&lt;=5,"Night (0-5)",B6995&lt;=9,"Morning peak (6-9)",B6995&lt;=15,"Midday (10-15)",B6995&lt;=19,"Evening peak (16-19)",TRUE,"Late evening (20-23)")</f>
        <v>Late evening (20-23)</v>
      </c>
    </row>
    <row r="6996" spans="1:9">
      <c r="A6996" s="32">
        <v>42113</v>
      </c>
      <c r="B6996">
        <v>21</v>
      </c>
      <c r="C6996">
        <v>3825</v>
      </c>
      <c r="D6996" t="s">
        <v>304</v>
      </c>
      <c r="E6996">
        <f>YEAR(A6996)</f>
        <v>2015</v>
      </c>
      <c r="F6996" s="33">
        <f>DATE(YEAR(A6996),MONTH(A6996),1)</f>
        <v>42095.0</v>
      </c>
      <c r="G6996" t="str">
        <f>CHOOSE(WEEKDAY(A6996,2),"Mon","Tue","Wed","Thu","Fri","Sat","Sun")</f>
        <v>Sun</v>
      </c>
      <c r="H6996" t="str">
        <f>IF(WEEKDAY(A6996,2)&gt;5,"Weekend","Weekday")</f>
        <v>Weekend</v>
      </c>
      <c r="I6996" t="str">
        <f>_xlfn.IFS(B6996&lt;=5,"Night (0-5)",B6996&lt;=9,"Morning peak (6-9)",B6996&lt;=15,"Midday (10-15)",B6996&lt;=19,"Evening peak (16-19)",TRUE,"Late evening (20-23)")</f>
        <v>Late evening (20-23)</v>
      </c>
    </row>
    <row r="6997" spans="1:9">
      <c r="A6997" s="32">
        <v>42113</v>
      </c>
      <c r="B6997">
        <v>22</v>
      </c>
      <c r="C6997">
        <v>3501</v>
      </c>
      <c r="D6997" t="s">
        <v>304</v>
      </c>
      <c r="E6997">
        <f>YEAR(A6997)</f>
        <v>2015</v>
      </c>
      <c r="F6997" s="33">
        <f>DATE(YEAR(A6997),MONTH(A6997),1)</f>
        <v>42095.0</v>
      </c>
      <c r="G6997" t="str">
        <f>CHOOSE(WEEKDAY(A6997,2),"Mon","Tue","Wed","Thu","Fri","Sat","Sun")</f>
        <v>Sun</v>
      </c>
      <c r="H6997" t="str">
        <f>IF(WEEKDAY(A6997,2)&gt;5,"Weekend","Weekday")</f>
        <v>Weekend</v>
      </c>
      <c r="I6997" t="str">
        <f>_xlfn.IFS(B6997&lt;=5,"Night (0-5)",B6997&lt;=9,"Morning peak (6-9)",B6997&lt;=15,"Midday (10-15)",B6997&lt;=19,"Evening peak (16-19)",TRUE,"Late evening (20-23)")</f>
        <v>Late evening (20-23)</v>
      </c>
    </row>
    <row r="6998" spans="1:9">
      <c r="A6998" s="32">
        <v>42113</v>
      </c>
      <c r="B6998">
        <v>23</v>
      </c>
      <c r="C6998">
        <v>2809</v>
      </c>
      <c r="D6998" t="s">
        <v>304</v>
      </c>
      <c r="E6998">
        <f>YEAR(A6998)</f>
        <v>2015</v>
      </c>
      <c r="F6998" s="33">
        <f>DATE(YEAR(A6998),MONTH(A6998),1)</f>
        <v>42095.0</v>
      </c>
      <c r="G6998" t="str">
        <f>CHOOSE(WEEKDAY(A6998,2),"Mon","Tue","Wed","Thu","Fri","Sat","Sun")</f>
        <v>Sun</v>
      </c>
      <c r="H6998" t="str">
        <f>IF(WEEKDAY(A6998,2)&gt;5,"Weekend","Weekday")</f>
        <v>Weekend</v>
      </c>
      <c r="I6998" t="str">
        <f>_xlfn.IFS(B6998&lt;=5,"Night (0-5)",B6998&lt;=9,"Morning peak (6-9)",B6998&lt;=15,"Midday (10-15)",B6998&lt;=19,"Evening peak (16-19)",TRUE,"Late evening (20-23)")</f>
        <v>Late evening (20-23)</v>
      </c>
    </row>
    <row r="6999" spans="1:9">
      <c r="A6999" s="32">
        <v>42114</v>
      </c>
      <c r="B6999">
        <v>0</v>
      </c>
      <c r="C6999">
        <v>1703</v>
      </c>
      <c r="D6999" t="s">
        <v>304</v>
      </c>
      <c r="E6999">
        <f>YEAR(A6999)</f>
        <v>2015</v>
      </c>
      <c r="F6999" s="33">
        <f>DATE(YEAR(A6999),MONTH(A6999),1)</f>
        <v>42095.0</v>
      </c>
      <c r="G6999" t="str">
        <f>CHOOSE(WEEKDAY(A6999,2),"Mon","Tue","Wed","Thu","Fri","Sat","Sun")</f>
        <v>Mon</v>
      </c>
      <c r="H6999" t="str">
        <f>IF(WEEKDAY(A6999,2)&gt;5,"Weekend","Weekday")</f>
        <v>Weekday</v>
      </c>
      <c r="I6999" t="str">
        <f>_xlfn.IFS(B6999&lt;=5,"Night (0-5)",B6999&lt;=9,"Morning peak (6-9)",B6999&lt;=15,"Midday (10-15)",B6999&lt;=19,"Evening peak (16-19)",TRUE,"Late evening (20-23)")</f>
        <v>Night (0-5)</v>
      </c>
    </row>
    <row r="7000" spans="1:9">
      <c r="A7000" s="32">
        <v>42114</v>
      </c>
      <c r="B7000">
        <v>1</v>
      </c>
      <c r="C7000">
        <v>920</v>
      </c>
      <c r="D7000" t="s">
        <v>304</v>
      </c>
      <c r="E7000">
        <f>YEAR(A7000)</f>
        <v>2015</v>
      </c>
      <c r="F7000" s="33">
        <f>DATE(YEAR(A7000),MONTH(A7000),1)</f>
        <v>42095.0</v>
      </c>
      <c r="G7000" t="str">
        <f>CHOOSE(WEEKDAY(A7000,2),"Mon","Tue","Wed","Thu","Fri","Sat","Sun")</f>
        <v>Mon</v>
      </c>
      <c r="H7000" t="str">
        <f>IF(WEEKDAY(A7000,2)&gt;5,"Weekend","Weekday")</f>
        <v>Weekday</v>
      </c>
      <c r="I7000" t="str">
        <f>_xlfn.IFS(B7000&lt;=5,"Night (0-5)",B7000&lt;=9,"Morning peak (6-9)",B7000&lt;=15,"Midday (10-15)",B7000&lt;=19,"Evening peak (16-19)",TRUE,"Late evening (20-23)")</f>
        <v>Night (0-5)</v>
      </c>
    </row>
    <row r="7001" spans="1:9">
      <c r="A7001" s="32">
        <v>42114</v>
      </c>
      <c r="B7001">
        <v>2</v>
      </c>
      <c r="C7001">
        <v>515</v>
      </c>
      <c r="D7001" t="s">
        <v>304</v>
      </c>
      <c r="E7001">
        <f>YEAR(A7001)</f>
        <v>2015</v>
      </c>
      <c r="F7001" s="33">
        <f>DATE(YEAR(A7001),MONTH(A7001),1)</f>
        <v>42095.0</v>
      </c>
      <c r="G7001" t="str">
        <f>CHOOSE(WEEKDAY(A7001,2),"Mon","Tue","Wed","Thu","Fri","Sat","Sun")</f>
        <v>Mon</v>
      </c>
      <c r="H7001" t="str">
        <f>IF(WEEKDAY(A7001,2)&gt;5,"Weekend","Weekday")</f>
        <v>Weekday</v>
      </c>
      <c r="I7001" t="str">
        <f>_xlfn.IFS(B7001&lt;=5,"Night (0-5)",B7001&lt;=9,"Morning peak (6-9)",B7001&lt;=15,"Midday (10-15)",B7001&lt;=19,"Evening peak (16-19)",TRUE,"Late evening (20-23)")</f>
        <v>Night (0-5)</v>
      </c>
    </row>
    <row r="7002" spans="1:9">
      <c r="A7002" s="32">
        <v>42114</v>
      </c>
      <c r="B7002">
        <v>3</v>
      </c>
      <c r="C7002">
        <v>395</v>
      </c>
      <c r="D7002" t="s">
        <v>304</v>
      </c>
      <c r="E7002">
        <f>YEAR(A7002)</f>
        <v>2015</v>
      </c>
      <c r="F7002" s="33">
        <f>DATE(YEAR(A7002),MONTH(A7002),1)</f>
        <v>42095.0</v>
      </c>
      <c r="G7002" t="str">
        <f>CHOOSE(WEEKDAY(A7002,2),"Mon","Tue","Wed","Thu","Fri","Sat","Sun")</f>
        <v>Mon</v>
      </c>
      <c r="H7002" t="str">
        <f>IF(WEEKDAY(A7002,2)&gt;5,"Weekend","Weekday")</f>
        <v>Weekday</v>
      </c>
      <c r="I7002" t="str">
        <f>_xlfn.IFS(B7002&lt;=5,"Night (0-5)",B7002&lt;=9,"Morning peak (6-9)",B7002&lt;=15,"Midday (10-15)",B7002&lt;=19,"Evening peak (16-19)",TRUE,"Late evening (20-23)")</f>
        <v>Night (0-5)</v>
      </c>
    </row>
    <row r="7003" spans="1:9">
      <c r="A7003" s="32">
        <v>42114</v>
      </c>
      <c r="B7003">
        <v>4</v>
      </c>
      <c r="C7003">
        <v>690</v>
      </c>
      <c r="D7003" t="s">
        <v>304</v>
      </c>
      <c r="E7003">
        <f>YEAR(A7003)</f>
        <v>2015</v>
      </c>
      <c r="F7003" s="33">
        <f>DATE(YEAR(A7003),MONTH(A7003),1)</f>
        <v>42095.0</v>
      </c>
      <c r="G7003" t="str">
        <f>CHOOSE(WEEKDAY(A7003,2),"Mon","Tue","Wed","Thu","Fri","Sat","Sun")</f>
        <v>Mon</v>
      </c>
      <c r="H7003" t="str">
        <f>IF(WEEKDAY(A7003,2)&gt;5,"Weekend","Weekday")</f>
        <v>Weekday</v>
      </c>
      <c r="I7003" t="str">
        <f>_xlfn.IFS(B7003&lt;=5,"Night (0-5)",B7003&lt;=9,"Morning peak (6-9)",B7003&lt;=15,"Midday (10-15)",B7003&lt;=19,"Evening peak (16-19)",TRUE,"Late evening (20-23)")</f>
        <v>Night (0-5)</v>
      </c>
    </row>
    <row r="7004" spans="1:9">
      <c r="A7004" s="32">
        <v>42114</v>
      </c>
      <c r="B7004">
        <v>5</v>
      </c>
      <c r="C7004">
        <v>1247</v>
      </c>
      <c r="D7004" t="s">
        <v>304</v>
      </c>
      <c r="E7004">
        <f>YEAR(A7004)</f>
        <v>2015</v>
      </c>
      <c r="F7004" s="33">
        <f>DATE(YEAR(A7004),MONTH(A7004),1)</f>
        <v>42095.0</v>
      </c>
      <c r="G7004" t="str">
        <f>CHOOSE(WEEKDAY(A7004,2),"Mon","Tue","Wed","Thu","Fri","Sat","Sun")</f>
        <v>Mon</v>
      </c>
      <c r="H7004" t="str">
        <f>IF(WEEKDAY(A7004,2)&gt;5,"Weekend","Weekday")</f>
        <v>Weekday</v>
      </c>
      <c r="I7004" t="str">
        <f>_xlfn.IFS(B7004&lt;=5,"Night (0-5)",B7004&lt;=9,"Morning peak (6-9)",B7004&lt;=15,"Midday (10-15)",B7004&lt;=19,"Evening peak (16-19)",TRUE,"Late evening (20-23)")</f>
        <v>Night (0-5)</v>
      </c>
    </row>
    <row r="7005" spans="1:9">
      <c r="A7005" s="32">
        <v>42114</v>
      </c>
      <c r="B7005">
        <v>6</v>
      </c>
      <c r="C7005">
        <v>2227</v>
      </c>
      <c r="D7005" t="s">
        <v>304</v>
      </c>
      <c r="E7005">
        <f>YEAR(A7005)</f>
        <v>2015</v>
      </c>
      <c r="F7005" s="33">
        <f>DATE(YEAR(A7005),MONTH(A7005),1)</f>
        <v>42095.0</v>
      </c>
      <c r="G7005" t="str">
        <f>CHOOSE(WEEKDAY(A7005,2),"Mon","Tue","Wed","Thu","Fri","Sat","Sun")</f>
        <v>Mon</v>
      </c>
      <c r="H7005" t="str">
        <f>IF(WEEKDAY(A7005,2)&gt;5,"Weekend","Weekday")</f>
        <v>Weekday</v>
      </c>
      <c r="I7005" t="str">
        <f>_xlfn.IFS(B7005&lt;=5,"Night (0-5)",B7005&lt;=9,"Morning peak (6-9)",B7005&lt;=15,"Midday (10-15)",B7005&lt;=19,"Evening peak (16-19)",TRUE,"Late evening (20-23)")</f>
        <v>Morning peak (6-9)</v>
      </c>
    </row>
    <row r="7006" spans="1:9">
      <c r="A7006" s="32">
        <v>42114</v>
      </c>
      <c r="B7006">
        <v>7</v>
      </c>
      <c r="C7006">
        <v>3510</v>
      </c>
      <c r="D7006" t="s">
        <v>304</v>
      </c>
      <c r="E7006">
        <f>YEAR(A7006)</f>
        <v>2015</v>
      </c>
      <c r="F7006" s="33">
        <f>DATE(YEAR(A7006),MONTH(A7006),1)</f>
        <v>42095.0</v>
      </c>
      <c r="G7006" t="str">
        <f>CHOOSE(WEEKDAY(A7006,2),"Mon","Tue","Wed","Thu","Fri","Sat","Sun")</f>
        <v>Mon</v>
      </c>
      <c r="H7006" t="str">
        <f>IF(WEEKDAY(A7006,2)&gt;5,"Weekend","Weekday")</f>
        <v>Weekday</v>
      </c>
      <c r="I7006" t="str">
        <f>_xlfn.IFS(B7006&lt;=5,"Night (0-5)",B7006&lt;=9,"Morning peak (6-9)",B7006&lt;=15,"Midday (10-15)",B7006&lt;=19,"Evening peak (16-19)",TRUE,"Late evening (20-23)")</f>
        <v>Morning peak (6-9)</v>
      </c>
    </row>
    <row r="7007" spans="1:9">
      <c r="A7007" s="32">
        <v>42114</v>
      </c>
      <c r="B7007">
        <v>8</v>
      </c>
      <c r="C7007">
        <v>4858</v>
      </c>
      <c r="D7007" t="s">
        <v>304</v>
      </c>
      <c r="E7007">
        <f>YEAR(A7007)</f>
        <v>2015</v>
      </c>
      <c r="F7007" s="33">
        <f>DATE(YEAR(A7007),MONTH(A7007),1)</f>
        <v>42095.0</v>
      </c>
      <c r="G7007" t="str">
        <f>CHOOSE(WEEKDAY(A7007,2),"Mon","Tue","Wed","Thu","Fri","Sat","Sun")</f>
        <v>Mon</v>
      </c>
      <c r="H7007" t="str">
        <f>IF(WEEKDAY(A7007,2)&gt;5,"Weekend","Weekday")</f>
        <v>Weekday</v>
      </c>
      <c r="I7007" t="str">
        <f>_xlfn.IFS(B7007&lt;=5,"Night (0-5)",B7007&lt;=9,"Morning peak (6-9)",B7007&lt;=15,"Midday (10-15)",B7007&lt;=19,"Evening peak (16-19)",TRUE,"Late evening (20-23)")</f>
        <v>Morning peak (6-9)</v>
      </c>
    </row>
    <row r="7008" spans="1:9">
      <c r="A7008" s="32">
        <v>42114</v>
      </c>
      <c r="B7008">
        <v>9</v>
      </c>
      <c r="C7008">
        <v>5668</v>
      </c>
      <c r="D7008" t="s">
        <v>304</v>
      </c>
      <c r="E7008">
        <f>YEAR(A7008)</f>
        <v>2015</v>
      </c>
      <c r="F7008" s="33">
        <f>DATE(YEAR(A7008),MONTH(A7008),1)</f>
        <v>42095.0</v>
      </c>
      <c r="G7008" t="str">
        <f>CHOOSE(WEEKDAY(A7008,2),"Mon","Tue","Wed","Thu","Fri","Sat","Sun")</f>
        <v>Mon</v>
      </c>
      <c r="H7008" t="str">
        <f>IF(WEEKDAY(A7008,2)&gt;5,"Weekend","Weekday")</f>
        <v>Weekday</v>
      </c>
      <c r="I7008" t="str">
        <f>_xlfn.IFS(B7008&lt;=5,"Night (0-5)",B7008&lt;=9,"Morning peak (6-9)",B7008&lt;=15,"Midday (10-15)",B7008&lt;=19,"Evening peak (16-19)",TRUE,"Late evening (20-23)")</f>
        <v>Morning peak (6-9)</v>
      </c>
    </row>
    <row r="7009" spans="1:9">
      <c r="A7009" s="32">
        <v>42114</v>
      </c>
      <c r="B7009">
        <v>10</v>
      </c>
      <c r="C7009">
        <v>5470</v>
      </c>
      <c r="D7009" t="s">
        <v>304</v>
      </c>
      <c r="E7009">
        <f>YEAR(A7009)</f>
        <v>2015</v>
      </c>
      <c r="F7009" s="33">
        <f>DATE(YEAR(A7009),MONTH(A7009),1)</f>
        <v>42095.0</v>
      </c>
      <c r="G7009" t="str">
        <f>CHOOSE(WEEKDAY(A7009,2),"Mon","Tue","Wed","Thu","Fri","Sat","Sun")</f>
        <v>Mon</v>
      </c>
      <c r="H7009" t="str">
        <f>IF(WEEKDAY(A7009,2)&gt;5,"Weekend","Weekday")</f>
        <v>Weekday</v>
      </c>
      <c r="I7009" t="str">
        <f>_xlfn.IFS(B7009&lt;=5,"Night (0-5)",B7009&lt;=9,"Morning peak (6-9)",B7009&lt;=15,"Midday (10-15)",B7009&lt;=19,"Evening peak (16-19)",TRUE,"Late evening (20-23)")</f>
        <v>Midday (10-15)</v>
      </c>
    </row>
    <row r="7010" spans="1:9">
      <c r="A7010" s="32">
        <v>42114</v>
      </c>
      <c r="B7010">
        <v>11</v>
      </c>
      <c r="C7010">
        <v>4702</v>
      </c>
      <c r="D7010" t="s">
        <v>304</v>
      </c>
      <c r="E7010">
        <f>YEAR(A7010)</f>
        <v>2015</v>
      </c>
      <c r="F7010" s="33">
        <f>DATE(YEAR(A7010),MONTH(A7010),1)</f>
        <v>42095.0</v>
      </c>
      <c r="G7010" t="str">
        <f>CHOOSE(WEEKDAY(A7010,2),"Mon","Tue","Wed","Thu","Fri","Sat","Sun")</f>
        <v>Mon</v>
      </c>
      <c r="H7010" t="str">
        <f>IF(WEEKDAY(A7010,2)&gt;5,"Weekend","Weekday")</f>
        <v>Weekday</v>
      </c>
      <c r="I7010" t="str">
        <f>_xlfn.IFS(B7010&lt;=5,"Night (0-5)",B7010&lt;=9,"Morning peak (6-9)",B7010&lt;=15,"Midday (10-15)",B7010&lt;=19,"Evening peak (16-19)",TRUE,"Late evening (20-23)")</f>
        <v>Midday (10-15)</v>
      </c>
    </row>
    <row r="7011" spans="1:9">
      <c r="A7011" s="32">
        <v>42114</v>
      </c>
      <c r="B7011">
        <v>12</v>
      </c>
      <c r="C7011">
        <v>4478</v>
      </c>
      <c r="D7011" t="s">
        <v>304</v>
      </c>
      <c r="E7011">
        <f>YEAR(A7011)</f>
        <v>2015</v>
      </c>
      <c r="F7011" s="33">
        <f>DATE(YEAR(A7011),MONTH(A7011),1)</f>
        <v>42095.0</v>
      </c>
      <c r="G7011" t="str">
        <f>CHOOSE(WEEKDAY(A7011,2),"Mon","Tue","Wed","Thu","Fri","Sat","Sun")</f>
        <v>Mon</v>
      </c>
      <c r="H7011" t="str">
        <f>IF(WEEKDAY(A7011,2)&gt;5,"Weekend","Weekday")</f>
        <v>Weekday</v>
      </c>
      <c r="I7011" t="str">
        <f>_xlfn.IFS(B7011&lt;=5,"Night (0-5)",B7011&lt;=9,"Morning peak (6-9)",B7011&lt;=15,"Midday (10-15)",B7011&lt;=19,"Evening peak (16-19)",TRUE,"Late evening (20-23)")</f>
        <v>Midday (10-15)</v>
      </c>
    </row>
    <row r="7012" spans="1:9">
      <c r="A7012" s="32">
        <v>42114</v>
      </c>
      <c r="B7012">
        <v>13</v>
      </c>
      <c r="C7012">
        <v>3665</v>
      </c>
      <c r="D7012" t="s">
        <v>304</v>
      </c>
      <c r="E7012">
        <f>YEAR(A7012)</f>
        <v>2015</v>
      </c>
      <c r="F7012" s="33">
        <f>DATE(YEAR(A7012),MONTH(A7012),1)</f>
        <v>42095.0</v>
      </c>
      <c r="G7012" t="str">
        <f>CHOOSE(WEEKDAY(A7012,2),"Mon","Tue","Wed","Thu","Fri","Sat","Sun")</f>
        <v>Mon</v>
      </c>
      <c r="H7012" t="str">
        <f>IF(WEEKDAY(A7012,2)&gt;5,"Weekend","Weekday")</f>
        <v>Weekday</v>
      </c>
      <c r="I7012" t="str">
        <f>_xlfn.IFS(B7012&lt;=5,"Night (0-5)",B7012&lt;=9,"Morning peak (6-9)",B7012&lt;=15,"Midday (10-15)",B7012&lt;=19,"Evening peak (16-19)",TRUE,"Late evening (20-23)")</f>
        <v>Midday (10-15)</v>
      </c>
    </row>
    <row r="7013" spans="1:9">
      <c r="A7013" s="32">
        <v>42114</v>
      </c>
      <c r="B7013">
        <v>14</v>
      </c>
      <c r="C7013">
        <v>3407</v>
      </c>
      <c r="D7013" t="s">
        <v>304</v>
      </c>
      <c r="E7013">
        <f>YEAR(A7013)</f>
        <v>2015</v>
      </c>
      <c r="F7013" s="33">
        <f>DATE(YEAR(A7013),MONTH(A7013),1)</f>
        <v>42095.0</v>
      </c>
      <c r="G7013" t="str">
        <f>CHOOSE(WEEKDAY(A7013,2),"Mon","Tue","Wed","Thu","Fri","Sat","Sun")</f>
        <v>Mon</v>
      </c>
      <c r="H7013" t="str">
        <f>IF(WEEKDAY(A7013,2)&gt;5,"Weekend","Weekday")</f>
        <v>Weekday</v>
      </c>
      <c r="I7013" t="str">
        <f>_xlfn.IFS(B7013&lt;=5,"Night (0-5)",B7013&lt;=9,"Morning peak (6-9)",B7013&lt;=15,"Midday (10-15)",B7013&lt;=19,"Evening peak (16-19)",TRUE,"Late evening (20-23)")</f>
        <v>Midday (10-15)</v>
      </c>
    </row>
    <row r="7014" spans="1:9">
      <c r="A7014" s="32">
        <v>42114</v>
      </c>
      <c r="B7014">
        <v>15</v>
      </c>
      <c r="C7014">
        <v>3531</v>
      </c>
      <c r="D7014" t="s">
        <v>304</v>
      </c>
      <c r="E7014">
        <f>YEAR(A7014)</f>
        <v>2015</v>
      </c>
      <c r="F7014" s="33">
        <f>DATE(YEAR(A7014),MONTH(A7014),1)</f>
        <v>42095.0</v>
      </c>
      <c r="G7014" t="str">
        <f>CHOOSE(WEEKDAY(A7014,2),"Mon","Tue","Wed","Thu","Fri","Sat","Sun")</f>
        <v>Mon</v>
      </c>
      <c r="H7014" t="str">
        <f>IF(WEEKDAY(A7014,2)&gt;5,"Weekend","Weekday")</f>
        <v>Weekday</v>
      </c>
      <c r="I7014" t="str">
        <f>_xlfn.IFS(B7014&lt;=5,"Night (0-5)",B7014&lt;=9,"Morning peak (6-9)",B7014&lt;=15,"Midday (10-15)",B7014&lt;=19,"Evening peak (16-19)",TRUE,"Late evening (20-23)")</f>
        <v>Midday (10-15)</v>
      </c>
    </row>
    <row r="7015" spans="1:9">
      <c r="A7015" s="32">
        <v>42114</v>
      </c>
      <c r="B7015">
        <v>16</v>
      </c>
      <c r="C7015">
        <v>3467</v>
      </c>
      <c r="D7015" t="s">
        <v>304</v>
      </c>
      <c r="E7015">
        <f>YEAR(A7015)</f>
        <v>2015</v>
      </c>
      <c r="F7015" s="33">
        <f>DATE(YEAR(A7015),MONTH(A7015),1)</f>
        <v>42095.0</v>
      </c>
      <c r="G7015" t="str">
        <f>CHOOSE(WEEKDAY(A7015,2),"Mon","Tue","Wed","Thu","Fri","Sat","Sun")</f>
        <v>Mon</v>
      </c>
      <c r="H7015" t="str">
        <f>IF(WEEKDAY(A7015,2)&gt;5,"Weekend","Weekday")</f>
        <v>Weekday</v>
      </c>
      <c r="I7015" t="str">
        <f>_xlfn.IFS(B7015&lt;=5,"Night (0-5)",B7015&lt;=9,"Morning peak (6-9)",B7015&lt;=15,"Midday (10-15)",B7015&lt;=19,"Evening peak (16-19)",TRUE,"Late evening (20-23)")</f>
        <v>Evening peak (16-19)</v>
      </c>
    </row>
    <row r="7016" spans="1:9">
      <c r="A7016" s="32">
        <v>42114</v>
      </c>
      <c r="B7016">
        <v>17</v>
      </c>
      <c r="C7016">
        <v>3959</v>
      </c>
      <c r="D7016" t="s">
        <v>304</v>
      </c>
      <c r="E7016">
        <f>YEAR(A7016)</f>
        <v>2015</v>
      </c>
      <c r="F7016" s="33">
        <f>DATE(YEAR(A7016),MONTH(A7016),1)</f>
        <v>42095.0</v>
      </c>
      <c r="G7016" t="str">
        <f>CHOOSE(WEEKDAY(A7016,2),"Mon","Tue","Wed","Thu","Fri","Sat","Sun")</f>
        <v>Mon</v>
      </c>
      <c r="H7016" t="str">
        <f>IF(WEEKDAY(A7016,2)&gt;5,"Weekend","Weekday")</f>
        <v>Weekday</v>
      </c>
      <c r="I7016" t="str">
        <f>_xlfn.IFS(B7016&lt;=5,"Night (0-5)",B7016&lt;=9,"Morning peak (6-9)",B7016&lt;=15,"Midday (10-15)",B7016&lt;=19,"Evening peak (16-19)",TRUE,"Late evening (20-23)")</f>
        <v>Evening peak (16-19)</v>
      </c>
    </row>
    <row r="7017" spans="1:9">
      <c r="A7017" s="32">
        <v>42114</v>
      </c>
      <c r="B7017">
        <v>18</v>
      </c>
      <c r="C7017">
        <v>4901</v>
      </c>
      <c r="D7017" t="s">
        <v>304</v>
      </c>
      <c r="E7017">
        <f>YEAR(A7017)</f>
        <v>2015</v>
      </c>
      <c r="F7017" s="33">
        <f>DATE(YEAR(A7017),MONTH(A7017),1)</f>
        <v>42095.0</v>
      </c>
      <c r="G7017" t="str">
        <f>CHOOSE(WEEKDAY(A7017,2),"Mon","Tue","Wed","Thu","Fri","Sat","Sun")</f>
        <v>Mon</v>
      </c>
      <c r="H7017" t="str">
        <f>IF(WEEKDAY(A7017,2)&gt;5,"Weekend","Weekday")</f>
        <v>Weekday</v>
      </c>
      <c r="I7017" t="str">
        <f>_xlfn.IFS(B7017&lt;=5,"Night (0-5)",B7017&lt;=9,"Morning peak (6-9)",B7017&lt;=15,"Midday (10-15)",B7017&lt;=19,"Evening peak (16-19)",TRUE,"Late evening (20-23)")</f>
        <v>Evening peak (16-19)</v>
      </c>
    </row>
    <row r="7018" spans="1:9">
      <c r="A7018" s="32">
        <v>42114</v>
      </c>
      <c r="B7018">
        <v>19</v>
      </c>
      <c r="C7018">
        <v>4324</v>
      </c>
      <c r="D7018" t="s">
        <v>304</v>
      </c>
      <c r="E7018">
        <f>YEAR(A7018)</f>
        <v>2015</v>
      </c>
      <c r="F7018" s="33">
        <f>DATE(YEAR(A7018),MONTH(A7018),1)</f>
        <v>42095.0</v>
      </c>
      <c r="G7018" t="str">
        <f>CHOOSE(WEEKDAY(A7018,2),"Mon","Tue","Wed","Thu","Fri","Sat","Sun")</f>
        <v>Mon</v>
      </c>
      <c r="H7018" t="str">
        <f>IF(WEEKDAY(A7018,2)&gt;5,"Weekend","Weekday")</f>
        <v>Weekday</v>
      </c>
      <c r="I7018" t="str">
        <f>_xlfn.IFS(B7018&lt;=5,"Night (0-5)",B7018&lt;=9,"Morning peak (6-9)",B7018&lt;=15,"Midday (10-15)",B7018&lt;=19,"Evening peak (16-19)",TRUE,"Late evening (20-23)")</f>
        <v>Evening peak (16-19)</v>
      </c>
    </row>
    <row r="7019" spans="1:9">
      <c r="A7019" s="32">
        <v>42114</v>
      </c>
      <c r="B7019">
        <v>20</v>
      </c>
      <c r="C7019">
        <v>4237</v>
      </c>
      <c r="D7019" t="s">
        <v>304</v>
      </c>
      <c r="E7019">
        <f>YEAR(A7019)</f>
        <v>2015</v>
      </c>
      <c r="F7019" s="33">
        <f>DATE(YEAR(A7019),MONTH(A7019),1)</f>
        <v>42095.0</v>
      </c>
      <c r="G7019" t="str">
        <f>CHOOSE(WEEKDAY(A7019,2),"Mon","Tue","Wed","Thu","Fri","Sat","Sun")</f>
        <v>Mon</v>
      </c>
      <c r="H7019" t="str">
        <f>IF(WEEKDAY(A7019,2)&gt;5,"Weekend","Weekday")</f>
        <v>Weekday</v>
      </c>
      <c r="I7019" t="str">
        <f>_xlfn.IFS(B7019&lt;=5,"Night (0-5)",B7019&lt;=9,"Morning peak (6-9)",B7019&lt;=15,"Midday (10-15)",B7019&lt;=19,"Evening peak (16-19)",TRUE,"Late evening (20-23)")</f>
        <v>Late evening (20-23)</v>
      </c>
    </row>
    <row r="7020" spans="1:9">
      <c r="A7020" s="32">
        <v>42114</v>
      </c>
      <c r="B7020">
        <v>21</v>
      </c>
      <c r="C7020">
        <v>3945</v>
      </c>
      <c r="D7020" t="s">
        <v>304</v>
      </c>
      <c r="E7020">
        <f>YEAR(A7020)</f>
        <v>2015</v>
      </c>
      <c r="F7020" s="33">
        <f>DATE(YEAR(A7020),MONTH(A7020),1)</f>
        <v>42095.0</v>
      </c>
      <c r="G7020" t="str">
        <f>CHOOSE(WEEKDAY(A7020,2),"Mon","Tue","Wed","Thu","Fri","Sat","Sun")</f>
        <v>Mon</v>
      </c>
      <c r="H7020" t="str">
        <f>IF(WEEKDAY(A7020,2)&gt;5,"Weekend","Weekday")</f>
        <v>Weekday</v>
      </c>
      <c r="I7020" t="str">
        <f>_xlfn.IFS(B7020&lt;=5,"Night (0-5)",B7020&lt;=9,"Morning peak (6-9)",B7020&lt;=15,"Midday (10-15)",B7020&lt;=19,"Evening peak (16-19)",TRUE,"Late evening (20-23)")</f>
        <v>Late evening (20-23)</v>
      </c>
    </row>
    <row r="7021" spans="1:9">
      <c r="A7021" s="32">
        <v>42114</v>
      </c>
      <c r="B7021">
        <v>22</v>
      </c>
      <c r="C7021">
        <v>3520</v>
      </c>
      <c r="D7021" t="s">
        <v>304</v>
      </c>
      <c r="E7021">
        <f>YEAR(A7021)</f>
        <v>2015</v>
      </c>
      <c r="F7021" s="33">
        <f>DATE(YEAR(A7021),MONTH(A7021),1)</f>
        <v>42095.0</v>
      </c>
      <c r="G7021" t="str">
        <f>CHOOSE(WEEKDAY(A7021,2),"Mon","Tue","Wed","Thu","Fri","Sat","Sun")</f>
        <v>Mon</v>
      </c>
      <c r="H7021" t="str">
        <f>IF(WEEKDAY(A7021,2)&gt;5,"Weekend","Weekday")</f>
        <v>Weekday</v>
      </c>
      <c r="I7021" t="str">
        <f>_xlfn.IFS(B7021&lt;=5,"Night (0-5)",B7021&lt;=9,"Morning peak (6-9)",B7021&lt;=15,"Midday (10-15)",B7021&lt;=19,"Evening peak (16-19)",TRUE,"Late evening (20-23)")</f>
        <v>Late evening (20-23)</v>
      </c>
    </row>
    <row r="7022" spans="1:9">
      <c r="A7022" s="32">
        <v>42114</v>
      </c>
      <c r="B7022">
        <v>23</v>
      </c>
      <c r="C7022">
        <v>2737</v>
      </c>
      <c r="D7022" t="s">
        <v>304</v>
      </c>
      <c r="E7022">
        <f>YEAR(A7022)</f>
        <v>2015</v>
      </c>
      <c r="F7022" s="33">
        <f>DATE(YEAR(A7022),MONTH(A7022),1)</f>
        <v>42095.0</v>
      </c>
      <c r="G7022" t="str">
        <f>CHOOSE(WEEKDAY(A7022,2),"Mon","Tue","Wed","Thu","Fri","Sat","Sun")</f>
        <v>Mon</v>
      </c>
      <c r="H7022" t="str">
        <f>IF(WEEKDAY(A7022,2)&gt;5,"Weekend","Weekday")</f>
        <v>Weekday</v>
      </c>
      <c r="I7022" t="str">
        <f>_xlfn.IFS(B7022&lt;=5,"Night (0-5)",B7022&lt;=9,"Morning peak (6-9)",B7022&lt;=15,"Midday (10-15)",B7022&lt;=19,"Evening peak (16-19)",TRUE,"Late evening (20-23)")</f>
        <v>Late evening (20-23)</v>
      </c>
    </row>
    <row r="7023" spans="1:9">
      <c r="A7023" s="32">
        <v>42115</v>
      </c>
      <c r="B7023">
        <v>0</v>
      </c>
      <c r="C7023">
        <v>1953</v>
      </c>
      <c r="D7023" t="s">
        <v>304</v>
      </c>
      <c r="E7023">
        <f>YEAR(A7023)</f>
        <v>2015</v>
      </c>
      <c r="F7023" s="33">
        <f>DATE(YEAR(A7023),MONTH(A7023),1)</f>
        <v>42095.0</v>
      </c>
      <c r="G7023" t="str">
        <f>CHOOSE(WEEKDAY(A7023,2),"Mon","Tue","Wed","Thu","Fri","Sat","Sun")</f>
        <v>Tue</v>
      </c>
      <c r="H7023" t="str">
        <f>IF(WEEKDAY(A7023,2)&gt;5,"Weekend","Weekday")</f>
        <v>Weekday</v>
      </c>
      <c r="I7023" t="str">
        <f>_xlfn.IFS(B7023&lt;=5,"Night (0-5)",B7023&lt;=9,"Morning peak (6-9)",B7023&lt;=15,"Midday (10-15)",B7023&lt;=19,"Evening peak (16-19)",TRUE,"Late evening (20-23)")</f>
        <v>Night (0-5)</v>
      </c>
    </row>
    <row r="7024" spans="1:9">
      <c r="A7024" s="32">
        <v>42115</v>
      </c>
      <c r="B7024">
        <v>1</v>
      </c>
      <c r="C7024">
        <v>1259</v>
      </c>
      <c r="D7024" t="s">
        <v>304</v>
      </c>
      <c r="E7024">
        <f>YEAR(A7024)</f>
        <v>2015</v>
      </c>
      <c r="F7024" s="33">
        <f>DATE(YEAR(A7024),MONTH(A7024),1)</f>
        <v>42095.0</v>
      </c>
      <c r="G7024" t="str">
        <f>CHOOSE(WEEKDAY(A7024,2),"Mon","Tue","Wed","Thu","Fri","Sat","Sun")</f>
        <v>Tue</v>
      </c>
      <c r="H7024" t="str">
        <f>IF(WEEKDAY(A7024,2)&gt;5,"Weekend","Weekday")</f>
        <v>Weekday</v>
      </c>
      <c r="I7024" t="str">
        <f>_xlfn.IFS(B7024&lt;=5,"Night (0-5)",B7024&lt;=9,"Morning peak (6-9)",B7024&lt;=15,"Midday (10-15)",B7024&lt;=19,"Evening peak (16-19)",TRUE,"Late evening (20-23)")</f>
        <v>Night (0-5)</v>
      </c>
    </row>
    <row r="7025" spans="1:9">
      <c r="A7025" s="32">
        <v>42115</v>
      </c>
      <c r="B7025">
        <v>2</v>
      </c>
      <c r="C7025">
        <v>867</v>
      </c>
      <c r="D7025" t="s">
        <v>304</v>
      </c>
      <c r="E7025">
        <f>YEAR(A7025)</f>
        <v>2015</v>
      </c>
      <c r="F7025" s="33">
        <f>DATE(YEAR(A7025),MONTH(A7025),1)</f>
        <v>42095.0</v>
      </c>
      <c r="G7025" t="str">
        <f>CHOOSE(WEEKDAY(A7025,2),"Mon","Tue","Wed","Thu","Fri","Sat","Sun")</f>
        <v>Tue</v>
      </c>
      <c r="H7025" t="str">
        <f>IF(WEEKDAY(A7025,2)&gt;5,"Weekend","Weekday")</f>
        <v>Weekday</v>
      </c>
      <c r="I7025" t="str">
        <f>_xlfn.IFS(B7025&lt;=5,"Night (0-5)",B7025&lt;=9,"Morning peak (6-9)",B7025&lt;=15,"Midday (10-15)",B7025&lt;=19,"Evening peak (16-19)",TRUE,"Late evening (20-23)")</f>
        <v>Night (0-5)</v>
      </c>
    </row>
    <row r="7026" spans="1:9">
      <c r="A7026" s="32">
        <v>42115</v>
      </c>
      <c r="B7026">
        <v>3</v>
      </c>
      <c r="C7026">
        <v>506</v>
      </c>
      <c r="D7026" t="s">
        <v>304</v>
      </c>
      <c r="E7026">
        <f>YEAR(A7026)</f>
        <v>2015</v>
      </c>
      <c r="F7026" s="33">
        <f>DATE(YEAR(A7026),MONTH(A7026),1)</f>
        <v>42095.0</v>
      </c>
      <c r="G7026" t="str">
        <f>CHOOSE(WEEKDAY(A7026,2),"Mon","Tue","Wed","Thu","Fri","Sat","Sun")</f>
        <v>Tue</v>
      </c>
      <c r="H7026" t="str">
        <f>IF(WEEKDAY(A7026,2)&gt;5,"Weekend","Weekday")</f>
        <v>Weekday</v>
      </c>
      <c r="I7026" t="str">
        <f>_xlfn.IFS(B7026&lt;=5,"Night (0-5)",B7026&lt;=9,"Morning peak (6-9)",B7026&lt;=15,"Midday (10-15)",B7026&lt;=19,"Evening peak (16-19)",TRUE,"Late evening (20-23)")</f>
        <v>Night (0-5)</v>
      </c>
    </row>
    <row r="7027" spans="1:9">
      <c r="A7027" s="32">
        <v>42115</v>
      </c>
      <c r="B7027">
        <v>4</v>
      </c>
      <c r="C7027">
        <v>574</v>
      </c>
      <c r="D7027" t="s">
        <v>304</v>
      </c>
      <c r="E7027">
        <f>YEAR(A7027)</f>
        <v>2015</v>
      </c>
      <c r="F7027" s="33">
        <f>DATE(YEAR(A7027),MONTH(A7027),1)</f>
        <v>42095.0</v>
      </c>
      <c r="G7027" t="str">
        <f>CHOOSE(WEEKDAY(A7027,2),"Mon","Tue","Wed","Thu","Fri","Sat","Sun")</f>
        <v>Tue</v>
      </c>
      <c r="H7027" t="str">
        <f>IF(WEEKDAY(A7027,2)&gt;5,"Weekend","Weekday")</f>
        <v>Weekday</v>
      </c>
      <c r="I7027" t="str">
        <f>_xlfn.IFS(B7027&lt;=5,"Night (0-5)",B7027&lt;=9,"Morning peak (6-9)",B7027&lt;=15,"Midday (10-15)",B7027&lt;=19,"Evening peak (16-19)",TRUE,"Late evening (20-23)")</f>
        <v>Night (0-5)</v>
      </c>
    </row>
    <row r="7028" spans="1:9">
      <c r="A7028" s="32">
        <v>42115</v>
      </c>
      <c r="B7028">
        <v>5</v>
      </c>
      <c r="C7028">
        <v>1097</v>
      </c>
      <c r="D7028" t="s">
        <v>304</v>
      </c>
      <c r="E7028">
        <f>YEAR(A7028)</f>
        <v>2015</v>
      </c>
      <c r="F7028" s="33">
        <f>DATE(YEAR(A7028),MONTH(A7028),1)</f>
        <v>42095.0</v>
      </c>
      <c r="G7028" t="str">
        <f>CHOOSE(WEEKDAY(A7028,2),"Mon","Tue","Wed","Thu","Fri","Sat","Sun")</f>
        <v>Tue</v>
      </c>
      <c r="H7028" t="str">
        <f>IF(WEEKDAY(A7028,2)&gt;5,"Weekend","Weekday")</f>
        <v>Weekday</v>
      </c>
      <c r="I7028" t="str">
        <f>_xlfn.IFS(B7028&lt;=5,"Night (0-5)",B7028&lt;=9,"Morning peak (6-9)",B7028&lt;=15,"Midday (10-15)",B7028&lt;=19,"Evening peak (16-19)",TRUE,"Late evening (20-23)")</f>
        <v>Night (0-5)</v>
      </c>
    </row>
    <row r="7029" spans="1:9">
      <c r="A7029" s="32">
        <v>42115</v>
      </c>
      <c r="B7029">
        <v>6</v>
      </c>
      <c r="C7029">
        <v>1956</v>
      </c>
      <c r="D7029" t="s">
        <v>304</v>
      </c>
      <c r="E7029">
        <f>YEAR(A7029)</f>
        <v>2015</v>
      </c>
      <c r="F7029" s="33">
        <f>DATE(YEAR(A7029),MONTH(A7029),1)</f>
        <v>42095.0</v>
      </c>
      <c r="G7029" t="str">
        <f>CHOOSE(WEEKDAY(A7029,2),"Mon","Tue","Wed","Thu","Fri","Sat","Sun")</f>
        <v>Tue</v>
      </c>
      <c r="H7029" t="str">
        <f>IF(WEEKDAY(A7029,2)&gt;5,"Weekend","Weekday")</f>
        <v>Weekday</v>
      </c>
      <c r="I7029" t="str">
        <f>_xlfn.IFS(B7029&lt;=5,"Night (0-5)",B7029&lt;=9,"Morning peak (6-9)",B7029&lt;=15,"Midday (10-15)",B7029&lt;=19,"Evening peak (16-19)",TRUE,"Late evening (20-23)")</f>
        <v>Morning peak (6-9)</v>
      </c>
    </row>
    <row r="7030" spans="1:9">
      <c r="A7030" s="32">
        <v>42115</v>
      </c>
      <c r="B7030">
        <v>7</v>
      </c>
      <c r="C7030">
        <v>3045</v>
      </c>
      <c r="D7030" t="s">
        <v>304</v>
      </c>
      <c r="E7030">
        <f>YEAR(A7030)</f>
        <v>2015</v>
      </c>
      <c r="F7030" s="33">
        <f>DATE(YEAR(A7030),MONTH(A7030),1)</f>
        <v>42095.0</v>
      </c>
      <c r="G7030" t="str">
        <f>CHOOSE(WEEKDAY(A7030,2),"Mon","Tue","Wed","Thu","Fri","Sat","Sun")</f>
        <v>Tue</v>
      </c>
      <c r="H7030" t="str">
        <f>IF(WEEKDAY(A7030,2)&gt;5,"Weekend","Weekday")</f>
        <v>Weekday</v>
      </c>
      <c r="I7030" t="str">
        <f>_xlfn.IFS(B7030&lt;=5,"Night (0-5)",B7030&lt;=9,"Morning peak (6-9)",B7030&lt;=15,"Midday (10-15)",B7030&lt;=19,"Evening peak (16-19)",TRUE,"Late evening (20-23)")</f>
        <v>Morning peak (6-9)</v>
      </c>
    </row>
    <row r="7031" spans="1:9">
      <c r="A7031" s="32">
        <v>42115</v>
      </c>
      <c r="B7031">
        <v>8</v>
      </c>
      <c r="C7031">
        <v>3940</v>
      </c>
      <c r="D7031" t="s">
        <v>304</v>
      </c>
      <c r="E7031">
        <f>YEAR(A7031)</f>
        <v>2015</v>
      </c>
      <c r="F7031" s="33">
        <f>DATE(YEAR(A7031),MONTH(A7031),1)</f>
        <v>42095.0</v>
      </c>
      <c r="G7031" t="str">
        <f>CHOOSE(WEEKDAY(A7031,2),"Mon","Tue","Wed","Thu","Fri","Sat","Sun")</f>
        <v>Tue</v>
      </c>
      <c r="H7031" t="str">
        <f>IF(WEEKDAY(A7031,2)&gt;5,"Weekend","Weekday")</f>
        <v>Weekday</v>
      </c>
      <c r="I7031" t="str">
        <f>_xlfn.IFS(B7031&lt;=5,"Night (0-5)",B7031&lt;=9,"Morning peak (6-9)",B7031&lt;=15,"Midday (10-15)",B7031&lt;=19,"Evening peak (16-19)",TRUE,"Late evening (20-23)")</f>
        <v>Morning peak (6-9)</v>
      </c>
    </row>
    <row r="7032" spans="1:9">
      <c r="A7032" s="32">
        <v>42115</v>
      </c>
      <c r="B7032">
        <v>9</v>
      </c>
      <c r="C7032">
        <v>4226</v>
      </c>
      <c r="D7032" t="s">
        <v>304</v>
      </c>
      <c r="E7032">
        <f>YEAR(A7032)</f>
        <v>2015</v>
      </c>
      <c r="F7032" s="33">
        <f>DATE(YEAR(A7032),MONTH(A7032),1)</f>
        <v>42095.0</v>
      </c>
      <c r="G7032" t="str">
        <f>CHOOSE(WEEKDAY(A7032,2),"Mon","Tue","Wed","Thu","Fri","Sat","Sun")</f>
        <v>Tue</v>
      </c>
      <c r="H7032" t="str">
        <f>IF(WEEKDAY(A7032,2)&gt;5,"Weekend","Weekday")</f>
        <v>Weekday</v>
      </c>
      <c r="I7032" t="str">
        <f>_xlfn.IFS(B7032&lt;=5,"Night (0-5)",B7032&lt;=9,"Morning peak (6-9)",B7032&lt;=15,"Midday (10-15)",B7032&lt;=19,"Evening peak (16-19)",TRUE,"Late evening (20-23)")</f>
        <v>Morning peak (6-9)</v>
      </c>
    </row>
    <row r="7033" spans="1:9">
      <c r="A7033" s="32">
        <v>42115</v>
      </c>
      <c r="B7033">
        <v>10</v>
      </c>
      <c r="C7033">
        <v>2817</v>
      </c>
      <c r="D7033" t="s">
        <v>304</v>
      </c>
      <c r="E7033">
        <f>YEAR(A7033)</f>
        <v>2015</v>
      </c>
      <c r="F7033" s="33">
        <f>DATE(YEAR(A7033),MONTH(A7033),1)</f>
        <v>42095.0</v>
      </c>
      <c r="G7033" t="str">
        <f>CHOOSE(WEEKDAY(A7033,2),"Mon","Tue","Wed","Thu","Fri","Sat","Sun")</f>
        <v>Tue</v>
      </c>
      <c r="H7033" t="str">
        <f>IF(WEEKDAY(A7033,2)&gt;5,"Weekend","Weekday")</f>
        <v>Weekday</v>
      </c>
      <c r="I7033" t="str">
        <f>_xlfn.IFS(B7033&lt;=5,"Night (0-5)",B7033&lt;=9,"Morning peak (6-9)",B7033&lt;=15,"Midday (10-15)",B7033&lt;=19,"Evening peak (16-19)",TRUE,"Late evening (20-23)")</f>
        <v>Midday (10-15)</v>
      </c>
    </row>
    <row r="7034" spans="1:9">
      <c r="A7034" s="32">
        <v>42115</v>
      </c>
      <c r="B7034">
        <v>11</v>
      </c>
      <c r="C7034">
        <v>2480</v>
      </c>
      <c r="D7034" t="s">
        <v>304</v>
      </c>
      <c r="E7034">
        <f>YEAR(A7034)</f>
        <v>2015</v>
      </c>
      <c r="F7034" s="33">
        <f>DATE(YEAR(A7034),MONTH(A7034),1)</f>
        <v>42095.0</v>
      </c>
      <c r="G7034" t="str">
        <f>CHOOSE(WEEKDAY(A7034,2),"Mon","Tue","Wed","Thu","Fri","Sat","Sun")</f>
        <v>Tue</v>
      </c>
      <c r="H7034" t="str">
        <f>IF(WEEKDAY(A7034,2)&gt;5,"Weekend","Weekday")</f>
        <v>Weekday</v>
      </c>
      <c r="I7034" t="str">
        <f>_xlfn.IFS(B7034&lt;=5,"Night (0-5)",B7034&lt;=9,"Morning peak (6-9)",B7034&lt;=15,"Midday (10-15)",B7034&lt;=19,"Evening peak (16-19)",TRUE,"Late evening (20-23)")</f>
        <v>Midday (10-15)</v>
      </c>
    </row>
    <row r="7035" spans="1:9">
      <c r="A7035" s="32">
        <v>42115</v>
      </c>
      <c r="B7035">
        <v>12</v>
      </c>
      <c r="C7035">
        <v>2448</v>
      </c>
      <c r="D7035" t="s">
        <v>304</v>
      </c>
      <c r="E7035">
        <f>YEAR(A7035)</f>
        <v>2015</v>
      </c>
      <c r="F7035" s="33">
        <f>DATE(YEAR(A7035),MONTH(A7035),1)</f>
        <v>42095.0</v>
      </c>
      <c r="G7035" t="str">
        <f>CHOOSE(WEEKDAY(A7035,2),"Mon","Tue","Wed","Thu","Fri","Sat","Sun")</f>
        <v>Tue</v>
      </c>
      <c r="H7035" t="str">
        <f>IF(WEEKDAY(A7035,2)&gt;5,"Weekend","Weekday")</f>
        <v>Weekday</v>
      </c>
      <c r="I7035" t="str">
        <f>_xlfn.IFS(B7035&lt;=5,"Night (0-5)",B7035&lt;=9,"Morning peak (6-9)",B7035&lt;=15,"Midday (10-15)",B7035&lt;=19,"Evening peak (16-19)",TRUE,"Late evening (20-23)")</f>
        <v>Midday (10-15)</v>
      </c>
    </row>
    <row r="7036" spans="1:9">
      <c r="A7036" s="32">
        <v>42115</v>
      </c>
      <c r="B7036">
        <v>13</v>
      </c>
      <c r="C7036">
        <v>2293</v>
      </c>
      <c r="D7036" t="s">
        <v>304</v>
      </c>
      <c r="E7036">
        <f>YEAR(A7036)</f>
        <v>2015</v>
      </c>
      <c r="F7036" s="33">
        <f>DATE(YEAR(A7036),MONTH(A7036),1)</f>
        <v>42095.0</v>
      </c>
      <c r="G7036" t="str">
        <f>CHOOSE(WEEKDAY(A7036,2),"Mon","Tue","Wed","Thu","Fri","Sat","Sun")</f>
        <v>Tue</v>
      </c>
      <c r="H7036" t="str">
        <f>IF(WEEKDAY(A7036,2)&gt;5,"Weekend","Weekday")</f>
        <v>Weekday</v>
      </c>
      <c r="I7036" t="str">
        <f>_xlfn.IFS(B7036&lt;=5,"Night (0-5)",B7036&lt;=9,"Morning peak (6-9)",B7036&lt;=15,"Midday (10-15)",B7036&lt;=19,"Evening peak (16-19)",TRUE,"Late evening (20-23)")</f>
        <v>Midday (10-15)</v>
      </c>
    </row>
    <row r="7037" spans="1:9">
      <c r="A7037" s="32">
        <v>42115</v>
      </c>
      <c r="B7037">
        <v>14</v>
      </c>
      <c r="C7037">
        <v>2584</v>
      </c>
      <c r="D7037" t="s">
        <v>304</v>
      </c>
      <c r="E7037">
        <f>YEAR(A7037)</f>
        <v>2015</v>
      </c>
      <c r="F7037" s="33">
        <f>DATE(YEAR(A7037),MONTH(A7037),1)</f>
        <v>42095.0</v>
      </c>
      <c r="G7037" t="str">
        <f>CHOOSE(WEEKDAY(A7037,2),"Mon","Tue","Wed","Thu","Fri","Sat","Sun")</f>
        <v>Tue</v>
      </c>
      <c r="H7037" t="str">
        <f>IF(WEEKDAY(A7037,2)&gt;5,"Weekend","Weekday")</f>
        <v>Weekday</v>
      </c>
      <c r="I7037" t="str">
        <f>_xlfn.IFS(B7037&lt;=5,"Night (0-5)",B7037&lt;=9,"Morning peak (6-9)",B7037&lt;=15,"Midday (10-15)",B7037&lt;=19,"Evening peak (16-19)",TRUE,"Late evening (20-23)")</f>
        <v>Midday (10-15)</v>
      </c>
    </row>
    <row r="7038" spans="1:9">
      <c r="A7038" s="32">
        <v>42115</v>
      </c>
      <c r="B7038">
        <v>15</v>
      </c>
      <c r="C7038">
        <v>3027</v>
      </c>
      <c r="D7038" t="s">
        <v>304</v>
      </c>
      <c r="E7038">
        <f>YEAR(A7038)</f>
        <v>2015</v>
      </c>
      <c r="F7038" s="33">
        <f>DATE(YEAR(A7038),MONTH(A7038),1)</f>
        <v>42095.0</v>
      </c>
      <c r="G7038" t="str">
        <f>CHOOSE(WEEKDAY(A7038,2),"Mon","Tue","Wed","Thu","Fri","Sat","Sun")</f>
        <v>Tue</v>
      </c>
      <c r="H7038" t="str">
        <f>IF(WEEKDAY(A7038,2)&gt;5,"Weekend","Weekday")</f>
        <v>Weekday</v>
      </c>
      <c r="I7038" t="str">
        <f>_xlfn.IFS(B7038&lt;=5,"Night (0-5)",B7038&lt;=9,"Morning peak (6-9)",B7038&lt;=15,"Midday (10-15)",B7038&lt;=19,"Evening peak (16-19)",TRUE,"Late evening (20-23)")</f>
        <v>Midday (10-15)</v>
      </c>
    </row>
    <row r="7039" spans="1:9">
      <c r="A7039" s="32">
        <v>42115</v>
      </c>
      <c r="B7039">
        <v>16</v>
      </c>
      <c r="C7039">
        <v>3466</v>
      </c>
      <c r="D7039" t="s">
        <v>304</v>
      </c>
      <c r="E7039">
        <f>YEAR(A7039)</f>
        <v>2015</v>
      </c>
      <c r="F7039" s="33">
        <f>DATE(YEAR(A7039),MONTH(A7039),1)</f>
        <v>42095.0</v>
      </c>
      <c r="G7039" t="str">
        <f>CHOOSE(WEEKDAY(A7039,2),"Mon","Tue","Wed","Thu","Fri","Sat","Sun")</f>
        <v>Tue</v>
      </c>
      <c r="H7039" t="str">
        <f>IF(WEEKDAY(A7039,2)&gt;5,"Weekend","Weekday")</f>
        <v>Weekday</v>
      </c>
      <c r="I7039" t="str">
        <f>_xlfn.IFS(B7039&lt;=5,"Night (0-5)",B7039&lt;=9,"Morning peak (6-9)",B7039&lt;=15,"Midday (10-15)",B7039&lt;=19,"Evening peak (16-19)",TRUE,"Late evening (20-23)")</f>
        <v>Evening peak (16-19)</v>
      </c>
    </row>
    <row r="7040" spans="1:9">
      <c r="A7040" s="32">
        <v>42115</v>
      </c>
      <c r="B7040">
        <v>17</v>
      </c>
      <c r="C7040">
        <v>4227</v>
      </c>
      <c r="D7040" t="s">
        <v>304</v>
      </c>
      <c r="E7040">
        <f>YEAR(A7040)</f>
        <v>2015</v>
      </c>
      <c r="F7040" s="33">
        <f>DATE(YEAR(A7040),MONTH(A7040),1)</f>
        <v>42095.0</v>
      </c>
      <c r="G7040" t="str">
        <f>CHOOSE(WEEKDAY(A7040,2),"Mon","Tue","Wed","Thu","Fri","Sat","Sun")</f>
        <v>Tue</v>
      </c>
      <c r="H7040" t="str">
        <f>IF(WEEKDAY(A7040,2)&gt;5,"Weekend","Weekday")</f>
        <v>Weekday</v>
      </c>
      <c r="I7040" t="str">
        <f>_xlfn.IFS(B7040&lt;=5,"Night (0-5)",B7040&lt;=9,"Morning peak (6-9)",B7040&lt;=15,"Midday (10-15)",B7040&lt;=19,"Evening peak (16-19)",TRUE,"Late evening (20-23)")</f>
        <v>Evening peak (16-19)</v>
      </c>
    </row>
    <row r="7041" spans="1:9">
      <c r="A7041" s="32">
        <v>42115</v>
      </c>
      <c r="B7041">
        <v>18</v>
      </c>
      <c r="C7041">
        <v>4877</v>
      </c>
      <c r="D7041" t="s">
        <v>304</v>
      </c>
      <c r="E7041">
        <f>YEAR(A7041)</f>
        <v>2015</v>
      </c>
      <c r="F7041" s="33">
        <f>DATE(YEAR(A7041),MONTH(A7041),1)</f>
        <v>42095.0</v>
      </c>
      <c r="G7041" t="str">
        <f>CHOOSE(WEEKDAY(A7041,2),"Mon","Tue","Wed","Thu","Fri","Sat","Sun")</f>
        <v>Tue</v>
      </c>
      <c r="H7041" t="str">
        <f>IF(WEEKDAY(A7041,2)&gt;5,"Weekend","Weekday")</f>
        <v>Weekday</v>
      </c>
      <c r="I7041" t="str">
        <f>_xlfn.IFS(B7041&lt;=5,"Night (0-5)",B7041&lt;=9,"Morning peak (6-9)",B7041&lt;=15,"Midday (10-15)",B7041&lt;=19,"Evening peak (16-19)",TRUE,"Late evening (20-23)")</f>
        <v>Evening peak (16-19)</v>
      </c>
    </row>
    <row r="7042" spans="1:9">
      <c r="A7042" s="32">
        <v>42115</v>
      </c>
      <c r="B7042">
        <v>19</v>
      </c>
      <c r="C7042">
        <v>4396</v>
      </c>
      <c r="D7042" t="s">
        <v>304</v>
      </c>
      <c r="E7042">
        <f>YEAR(A7042)</f>
        <v>2015</v>
      </c>
      <c r="F7042" s="33">
        <f>DATE(YEAR(A7042),MONTH(A7042),1)</f>
        <v>42095.0</v>
      </c>
      <c r="G7042" t="str">
        <f>CHOOSE(WEEKDAY(A7042,2),"Mon","Tue","Wed","Thu","Fri","Sat","Sun")</f>
        <v>Tue</v>
      </c>
      <c r="H7042" t="str">
        <f>IF(WEEKDAY(A7042,2)&gt;5,"Weekend","Weekday")</f>
        <v>Weekday</v>
      </c>
      <c r="I7042" t="str">
        <f>_xlfn.IFS(B7042&lt;=5,"Night (0-5)",B7042&lt;=9,"Morning peak (6-9)",B7042&lt;=15,"Midday (10-15)",B7042&lt;=19,"Evening peak (16-19)",TRUE,"Late evening (20-23)")</f>
        <v>Evening peak (16-19)</v>
      </c>
    </row>
    <row r="7043" spans="1:9">
      <c r="A7043" s="32">
        <v>42115</v>
      </c>
      <c r="B7043">
        <v>20</v>
      </c>
      <c r="C7043">
        <v>4591</v>
      </c>
      <c r="D7043" t="s">
        <v>304</v>
      </c>
      <c r="E7043">
        <f>YEAR(A7043)</f>
        <v>2015</v>
      </c>
      <c r="F7043" s="33">
        <f>DATE(YEAR(A7043),MONTH(A7043),1)</f>
        <v>42095.0</v>
      </c>
      <c r="G7043" t="str">
        <f>CHOOSE(WEEKDAY(A7043,2),"Mon","Tue","Wed","Thu","Fri","Sat","Sun")</f>
        <v>Tue</v>
      </c>
      <c r="H7043" t="str">
        <f>IF(WEEKDAY(A7043,2)&gt;5,"Weekend","Weekday")</f>
        <v>Weekday</v>
      </c>
      <c r="I7043" t="str">
        <f>_xlfn.IFS(B7043&lt;=5,"Night (0-5)",B7043&lt;=9,"Morning peak (6-9)",B7043&lt;=15,"Midday (10-15)",B7043&lt;=19,"Evening peak (16-19)",TRUE,"Late evening (20-23)")</f>
        <v>Late evening (20-23)</v>
      </c>
    </row>
    <row r="7044" spans="1:9">
      <c r="A7044" s="32">
        <v>42115</v>
      </c>
      <c r="B7044">
        <v>21</v>
      </c>
      <c r="C7044">
        <v>4619</v>
      </c>
      <c r="D7044" t="s">
        <v>304</v>
      </c>
      <c r="E7044">
        <f>YEAR(A7044)</f>
        <v>2015</v>
      </c>
      <c r="F7044" s="33">
        <f>DATE(YEAR(A7044),MONTH(A7044),1)</f>
        <v>42095.0</v>
      </c>
      <c r="G7044" t="str">
        <f>CHOOSE(WEEKDAY(A7044,2),"Mon","Tue","Wed","Thu","Fri","Sat","Sun")</f>
        <v>Tue</v>
      </c>
      <c r="H7044" t="str">
        <f>IF(WEEKDAY(A7044,2)&gt;5,"Weekend","Weekday")</f>
        <v>Weekday</v>
      </c>
      <c r="I7044" t="str">
        <f>_xlfn.IFS(B7044&lt;=5,"Night (0-5)",B7044&lt;=9,"Morning peak (6-9)",B7044&lt;=15,"Midday (10-15)",B7044&lt;=19,"Evening peak (16-19)",TRUE,"Late evening (20-23)")</f>
        <v>Late evening (20-23)</v>
      </c>
    </row>
    <row r="7045" spans="1:9">
      <c r="A7045" s="32">
        <v>42115</v>
      </c>
      <c r="B7045">
        <v>22</v>
      </c>
      <c r="C7045">
        <v>4169</v>
      </c>
      <c r="D7045" t="s">
        <v>304</v>
      </c>
      <c r="E7045">
        <f>YEAR(A7045)</f>
        <v>2015</v>
      </c>
      <c r="F7045" s="33">
        <f>DATE(YEAR(A7045),MONTH(A7045),1)</f>
        <v>42095.0</v>
      </c>
      <c r="G7045" t="str">
        <f>CHOOSE(WEEKDAY(A7045,2),"Mon","Tue","Wed","Thu","Fri","Sat","Sun")</f>
        <v>Tue</v>
      </c>
      <c r="H7045" t="str">
        <f>IF(WEEKDAY(A7045,2)&gt;5,"Weekend","Weekday")</f>
        <v>Weekday</v>
      </c>
      <c r="I7045" t="str">
        <f>_xlfn.IFS(B7045&lt;=5,"Night (0-5)",B7045&lt;=9,"Morning peak (6-9)",B7045&lt;=15,"Midday (10-15)",B7045&lt;=19,"Evening peak (16-19)",TRUE,"Late evening (20-23)")</f>
        <v>Late evening (20-23)</v>
      </c>
    </row>
    <row r="7046" spans="1:9">
      <c r="A7046" s="32">
        <v>42115</v>
      </c>
      <c r="B7046">
        <v>23</v>
      </c>
      <c r="C7046">
        <v>3295</v>
      </c>
      <c r="D7046" t="s">
        <v>304</v>
      </c>
      <c r="E7046">
        <f>YEAR(A7046)</f>
        <v>2015</v>
      </c>
      <c r="F7046" s="33">
        <f>DATE(YEAR(A7046),MONTH(A7046),1)</f>
        <v>42095.0</v>
      </c>
      <c r="G7046" t="str">
        <f>CHOOSE(WEEKDAY(A7046,2),"Mon","Tue","Wed","Thu","Fri","Sat","Sun")</f>
        <v>Tue</v>
      </c>
      <c r="H7046" t="str">
        <f>IF(WEEKDAY(A7046,2)&gt;5,"Weekend","Weekday")</f>
        <v>Weekday</v>
      </c>
      <c r="I7046" t="str">
        <f>_xlfn.IFS(B7046&lt;=5,"Night (0-5)",B7046&lt;=9,"Morning peak (6-9)",B7046&lt;=15,"Midday (10-15)",B7046&lt;=19,"Evening peak (16-19)",TRUE,"Late evening (20-23)")</f>
        <v>Late evening (20-23)</v>
      </c>
    </row>
    <row r="7047" spans="1:9">
      <c r="A7047" s="32">
        <v>42116</v>
      </c>
      <c r="B7047">
        <v>0</v>
      </c>
      <c r="C7047">
        <v>1924</v>
      </c>
      <c r="D7047" t="s">
        <v>304</v>
      </c>
      <c r="E7047">
        <f>YEAR(A7047)</f>
        <v>2015</v>
      </c>
      <c r="F7047" s="33">
        <f>DATE(YEAR(A7047),MONTH(A7047),1)</f>
        <v>42095.0</v>
      </c>
      <c r="G7047" t="str">
        <f>CHOOSE(WEEKDAY(A7047,2),"Mon","Tue","Wed","Thu","Fri","Sat","Sun")</f>
        <v>Wed</v>
      </c>
      <c r="H7047" t="str">
        <f>IF(WEEKDAY(A7047,2)&gt;5,"Weekend","Weekday")</f>
        <v>Weekday</v>
      </c>
      <c r="I7047" t="str">
        <f>_xlfn.IFS(B7047&lt;=5,"Night (0-5)",B7047&lt;=9,"Morning peak (6-9)",B7047&lt;=15,"Midday (10-15)",B7047&lt;=19,"Evening peak (16-19)",TRUE,"Late evening (20-23)")</f>
        <v>Night (0-5)</v>
      </c>
    </row>
    <row r="7048" spans="1:9">
      <c r="A7048" s="32">
        <v>42116</v>
      </c>
      <c r="B7048">
        <v>1</v>
      </c>
      <c r="C7048">
        <v>1121</v>
      </c>
      <c r="D7048" t="s">
        <v>304</v>
      </c>
      <c r="E7048">
        <f>YEAR(A7048)</f>
        <v>2015</v>
      </c>
      <c r="F7048" s="33">
        <f>DATE(YEAR(A7048),MONTH(A7048),1)</f>
        <v>42095.0</v>
      </c>
      <c r="G7048" t="str">
        <f>CHOOSE(WEEKDAY(A7048,2),"Mon","Tue","Wed","Thu","Fri","Sat","Sun")</f>
        <v>Wed</v>
      </c>
      <c r="H7048" t="str">
        <f>IF(WEEKDAY(A7048,2)&gt;5,"Weekend","Weekday")</f>
        <v>Weekday</v>
      </c>
      <c r="I7048" t="str">
        <f>_xlfn.IFS(B7048&lt;=5,"Night (0-5)",B7048&lt;=9,"Morning peak (6-9)",B7048&lt;=15,"Midday (10-15)",B7048&lt;=19,"Evening peak (16-19)",TRUE,"Late evening (20-23)")</f>
        <v>Night (0-5)</v>
      </c>
    </row>
    <row r="7049" spans="1:9">
      <c r="A7049" s="32">
        <v>42116</v>
      </c>
      <c r="B7049">
        <v>2</v>
      </c>
      <c r="C7049">
        <v>635</v>
      </c>
      <c r="D7049" t="s">
        <v>304</v>
      </c>
      <c r="E7049">
        <f>YEAR(A7049)</f>
        <v>2015</v>
      </c>
      <c r="F7049" s="33">
        <f>DATE(YEAR(A7049),MONTH(A7049),1)</f>
        <v>42095.0</v>
      </c>
      <c r="G7049" t="str">
        <f>CHOOSE(WEEKDAY(A7049,2),"Mon","Tue","Wed","Thu","Fri","Sat","Sun")</f>
        <v>Wed</v>
      </c>
      <c r="H7049" t="str">
        <f>IF(WEEKDAY(A7049,2)&gt;5,"Weekend","Weekday")</f>
        <v>Weekday</v>
      </c>
      <c r="I7049" t="str">
        <f>_xlfn.IFS(B7049&lt;=5,"Night (0-5)",B7049&lt;=9,"Morning peak (6-9)",B7049&lt;=15,"Midday (10-15)",B7049&lt;=19,"Evening peak (16-19)",TRUE,"Late evening (20-23)")</f>
        <v>Night (0-5)</v>
      </c>
    </row>
    <row r="7050" spans="1:9">
      <c r="A7050" s="32">
        <v>42116</v>
      </c>
      <c r="B7050">
        <v>3</v>
      </c>
      <c r="C7050">
        <v>444</v>
      </c>
      <c r="D7050" t="s">
        <v>304</v>
      </c>
      <c r="E7050">
        <f>YEAR(A7050)</f>
        <v>2015</v>
      </c>
      <c r="F7050" s="33">
        <f>DATE(YEAR(A7050),MONTH(A7050),1)</f>
        <v>42095.0</v>
      </c>
      <c r="G7050" t="str">
        <f>CHOOSE(WEEKDAY(A7050,2),"Mon","Tue","Wed","Thu","Fri","Sat","Sun")</f>
        <v>Wed</v>
      </c>
      <c r="H7050" t="str">
        <f>IF(WEEKDAY(A7050,2)&gt;5,"Weekend","Weekday")</f>
        <v>Weekday</v>
      </c>
      <c r="I7050" t="str">
        <f>_xlfn.IFS(B7050&lt;=5,"Night (0-5)",B7050&lt;=9,"Morning peak (6-9)",B7050&lt;=15,"Midday (10-15)",B7050&lt;=19,"Evening peak (16-19)",TRUE,"Late evening (20-23)")</f>
        <v>Night (0-5)</v>
      </c>
    </row>
    <row r="7051" spans="1:9">
      <c r="A7051" s="32">
        <v>42116</v>
      </c>
      <c r="B7051">
        <v>4</v>
      </c>
      <c r="C7051">
        <v>636</v>
      </c>
      <c r="D7051" t="s">
        <v>304</v>
      </c>
      <c r="E7051">
        <f>YEAR(A7051)</f>
        <v>2015</v>
      </c>
      <c r="F7051" s="33">
        <f>DATE(YEAR(A7051),MONTH(A7051),1)</f>
        <v>42095.0</v>
      </c>
      <c r="G7051" t="str">
        <f>CHOOSE(WEEKDAY(A7051,2),"Mon","Tue","Wed","Thu","Fri","Sat","Sun")</f>
        <v>Wed</v>
      </c>
      <c r="H7051" t="str">
        <f>IF(WEEKDAY(A7051,2)&gt;5,"Weekend","Weekday")</f>
        <v>Weekday</v>
      </c>
      <c r="I7051" t="str">
        <f>_xlfn.IFS(B7051&lt;=5,"Night (0-5)",B7051&lt;=9,"Morning peak (6-9)",B7051&lt;=15,"Midday (10-15)",B7051&lt;=19,"Evening peak (16-19)",TRUE,"Late evening (20-23)")</f>
        <v>Night (0-5)</v>
      </c>
    </row>
    <row r="7052" spans="1:9">
      <c r="A7052" s="32">
        <v>42116</v>
      </c>
      <c r="B7052">
        <v>5</v>
      </c>
      <c r="C7052">
        <v>1064</v>
      </c>
      <c r="D7052" t="s">
        <v>304</v>
      </c>
      <c r="E7052">
        <f>YEAR(A7052)</f>
        <v>2015</v>
      </c>
      <c r="F7052" s="33">
        <f>DATE(YEAR(A7052),MONTH(A7052),1)</f>
        <v>42095.0</v>
      </c>
      <c r="G7052" t="str">
        <f>CHOOSE(WEEKDAY(A7052,2),"Mon","Tue","Wed","Thu","Fri","Sat","Sun")</f>
        <v>Wed</v>
      </c>
      <c r="H7052" t="str">
        <f>IF(WEEKDAY(A7052,2)&gt;5,"Weekend","Weekday")</f>
        <v>Weekday</v>
      </c>
      <c r="I7052" t="str">
        <f>_xlfn.IFS(B7052&lt;=5,"Night (0-5)",B7052&lt;=9,"Morning peak (6-9)",B7052&lt;=15,"Midday (10-15)",B7052&lt;=19,"Evening peak (16-19)",TRUE,"Late evening (20-23)")</f>
        <v>Night (0-5)</v>
      </c>
    </row>
    <row r="7053" spans="1:9">
      <c r="A7053" s="32">
        <v>42116</v>
      </c>
      <c r="B7053">
        <v>6</v>
      </c>
      <c r="C7053">
        <v>1989</v>
      </c>
      <c r="D7053" t="s">
        <v>304</v>
      </c>
      <c r="E7053">
        <f>YEAR(A7053)</f>
        <v>2015</v>
      </c>
      <c r="F7053" s="33">
        <f>DATE(YEAR(A7053),MONTH(A7053),1)</f>
        <v>42095.0</v>
      </c>
      <c r="G7053" t="str">
        <f>CHOOSE(WEEKDAY(A7053,2),"Mon","Tue","Wed","Thu","Fri","Sat","Sun")</f>
        <v>Wed</v>
      </c>
      <c r="H7053" t="str">
        <f>IF(WEEKDAY(A7053,2)&gt;5,"Weekend","Weekday")</f>
        <v>Weekday</v>
      </c>
      <c r="I7053" t="str">
        <f>_xlfn.IFS(B7053&lt;=5,"Night (0-5)",B7053&lt;=9,"Morning peak (6-9)",B7053&lt;=15,"Midday (10-15)",B7053&lt;=19,"Evening peak (16-19)",TRUE,"Late evening (20-23)")</f>
        <v>Morning peak (6-9)</v>
      </c>
    </row>
    <row r="7054" spans="1:9">
      <c r="A7054" s="32">
        <v>42116</v>
      </c>
      <c r="B7054">
        <v>7</v>
      </c>
      <c r="C7054">
        <v>3135</v>
      </c>
      <c r="D7054" t="s">
        <v>304</v>
      </c>
      <c r="E7054">
        <f>YEAR(A7054)</f>
        <v>2015</v>
      </c>
      <c r="F7054" s="33">
        <f>DATE(YEAR(A7054),MONTH(A7054),1)</f>
        <v>42095.0</v>
      </c>
      <c r="G7054" t="str">
        <f>CHOOSE(WEEKDAY(A7054,2),"Mon","Tue","Wed","Thu","Fri","Sat","Sun")</f>
        <v>Wed</v>
      </c>
      <c r="H7054" t="str">
        <f>IF(WEEKDAY(A7054,2)&gt;5,"Weekend","Weekday")</f>
        <v>Weekday</v>
      </c>
      <c r="I7054" t="str">
        <f>_xlfn.IFS(B7054&lt;=5,"Night (0-5)",B7054&lt;=9,"Morning peak (6-9)",B7054&lt;=15,"Midday (10-15)",B7054&lt;=19,"Evening peak (16-19)",TRUE,"Late evening (20-23)")</f>
        <v>Morning peak (6-9)</v>
      </c>
    </row>
    <row r="7055" spans="1:9">
      <c r="A7055" s="32">
        <v>42116</v>
      </c>
      <c r="B7055">
        <v>8</v>
      </c>
      <c r="C7055">
        <v>3953</v>
      </c>
      <c r="D7055" t="s">
        <v>304</v>
      </c>
      <c r="E7055">
        <f>YEAR(A7055)</f>
        <v>2015</v>
      </c>
      <c r="F7055" s="33">
        <f>DATE(YEAR(A7055),MONTH(A7055),1)</f>
        <v>42095.0</v>
      </c>
      <c r="G7055" t="str">
        <f>CHOOSE(WEEKDAY(A7055,2),"Mon","Tue","Wed","Thu","Fri","Sat","Sun")</f>
        <v>Wed</v>
      </c>
      <c r="H7055" t="str">
        <f>IF(WEEKDAY(A7055,2)&gt;5,"Weekend","Weekday")</f>
        <v>Weekday</v>
      </c>
      <c r="I7055" t="str">
        <f>_xlfn.IFS(B7055&lt;=5,"Night (0-5)",B7055&lt;=9,"Morning peak (6-9)",B7055&lt;=15,"Midday (10-15)",B7055&lt;=19,"Evening peak (16-19)",TRUE,"Late evening (20-23)")</f>
        <v>Morning peak (6-9)</v>
      </c>
    </row>
    <row r="7056" spans="1:9">
      <c r="A7056" s="32">
        <v>42116</v>
      </c>
      <c r="B7056">
        <v>9</v>
      </c>
      <c r="C7056">
        <v>3511</v>
      </c>
      <c r="D7056" t="s">
        <v>304</v>
      </c>
      <c r="E7056">
        <f>YEAR(A7056)</f>
        <v>2015</v>
      </c>
      <c r="F7056" s="33">
        <f>DATE(YEAR(A7056),MONTH(A7056),1)</f>
        <v>42095.0</v>
      </c>
      <c r="G7056" t="str">
        <f>CHOOSE(WEEKDAY(A7056,2),"Mon","Tue","Wed","Thu","Fri","Sat","Sun")</f>
        <v>Wed</v>
      </c>
      <c r="H7056" t="str">
        <f>IF(WEEKDAY(A7056,2)&gt;5,"Weekend","Weekday")</f>
        <v>Weekday</v>
      </c>
      <c r="I7056" t="str">
        <f>_xlfn.IFS(B7056&lt;=5,"Night (0-5)",B7056&lt;=9,"Morning peak (6-9)",B7056&lt;=15,"Midday (10-15)",B7056&lt;=19,"Evening peak (16-19)",TRUE,"Late evening (20-23)")</f>
        <v>Morning peak (6-9)</v>
      </c>
    </row>
    <row r="7057" spans="1:9">
      <c r="A7057" s="32">
        <v>42116</v>
      </c>
      <c r="B7057">
        <v>10</v>
      </c>
      <c r="C7057">
        <v>2706</v>
      </c>
      <c r="D7057" t="s">
        <v>304</v>
      </c>
      <c r="E7057">
        <f>YEAR(A7057)</f>
        <v>2015</v>
      </c>
      <c r="F7057" s="33">
        <f>DATE(YEAR(A7057),MONTH(A7057),1)</f>
        <v>42095.0</v>
      </c>
      <c r="G7057" t="str">
        <f>CHOOSE(WEEKDAY(A7057,2),"Mon","Tue","Wed","Thu","Fri","Sat","Sun")</f>
        <v>Wed</v>
      </c>
      <c r="H7057" t="str">
        <f>IF(WEEKDAY(A7057,2)&gt;5,"Weekend","Weekday")</f>
        <v>Weekday</v>
      </c>
      <c r="I7057" t="str">
        <f>_xlfn.IFS(B7057&lt;=5,"Night (0-5)",B7057&lt;=9,"Morning peak (6-9)",B7057&lt;=15,"Midday (10-15)",B7057&lt;=19,"Evening peak (16-19)",TRUE,"Late evening (20-23)")</f>
        <v>Midday (10-15)</v>
      </c>
    </row>
    <row r="7058" spans="1:9">
      <c r="A7058" s="32">
        <v>42116</v>
      </c>
      <c r="B7058">
        <v>11</v>
      </c>
      <c r="C7058">
        <v>2499</v>
      </c>
      <c r="D7058" t="s">
        <v>304</v>
      </c>
      <c r="E7058">
        <f>YEAR(A7058)</f>
        <v>2015</v>
      </c>
      <c r="F7058" s="33">
        <f>DATE(YEAR(A7058),MONTH(A7058),1)</f>
        <v>42095.0</v>
      </c>
      <c r="G7058" t="str">
        <f>CHOOSE(WEEKDAY(A7058,2),"Mon","Tue","Wed","Thu","Fri","Sat","Sun")</f>
        <v>Wed</v>
      </c>
      <c r="H7058" t="str">
        <f>IF(WEEKDAY(A7058,2)&gt;5,"Weekend","Weekday")</f>
        <v>Weekday</v>
      </c>
      <c r="I7058" t="str">
        <f>_xlfn.IFS(B7058&lt;=5,"Night (0-5)",B7058&lt;=9,"Morning peak (6-9)",B7058&lt;=15,"Midday (10-15)",B7058&lt;=19,"Evening peak (16-19)",TRUE,"Late evening (20-23)")</f>
        <v>Midday (10-15)</v>
      </c>
    </row>
    <row r="7059" spans="1:9">
      <c r="A7059" s="32">
        <v>42116</v>
      </c>
      <c r="B7059">
        <v>12</v>
      </c>
      <c r="C7059">
        <v>2536</v>
      </c>
      <c r="D7059" t="s">
        <v>304</v>
      </c>
      <c r="E7059">
        <f>YEAR(A7059)</f>
        <v>2015</v>
      </c>
      <c r="F7059" s="33">
        <f>DATE(YEAR(A7059),MONTH(A7059),1)</f>
        <v>42095.0</v>
      </c>
      <c r="G7059" t="str">
        <f>CHOOSE(WEEKDAY(A7059,2),"Mon","Tue","Wed","Thu","Fri","Sat","Sun")</f>
        <v>Wed</v>
      </c>
      <c r="H7059" t="str">
        <f>IF(WEEKDAY(A7059,2)&gt;5,"Weekend","Weekday")</f>
        <v>Weekday</v>
      </c>
      <c r="I7059" t="str">
        <f>_xlfn.IFS(B7059&lt;=5,"Night (0-5)",B7059&lt;=9,"Morning peak (6-9)",B7059&lt;=15,"Midday (10-15)",B7059&lt;=19,"Evening peak (16-19)",TRUE,"Late evening (20-23)")</f>
        <v>Midday (10-15)</v>
      </c>
    </row>
    <row r="7060" spans="1:9">
      <c r="A7060" s="32">
        <v>42116</v>
      </c>
      <c r="B7060">
        <v>13</v>
      </c>
      <c r="C7060">
        <v>2485</v>
      </c>
      <c r="D7060" t="s">
        <v>304</v>
      </c>
      <c r="E7060">
        <f>YEAR(A7060)</f>
        <v>2015</v>
      </c>
      <c r="F7060" s="33">
        <f>DATE(YEAR(A7060),MONTH(A7060),1)</f>
        <v>42095.0</v>
      </c>
      <c r="G7060" t="str">
        <f>CHOOSE(WEEKDAY(A7060,2),"Mon","Tue","Wed","Thu","Fri","Sat","Sun")</f>
        <v>Wed</v>
      </c>
      <c r="H7060" t="str">
        <f>IF(WEEKDAY(A7060,2)&gt;5,"Weekend","Weekday")</f>
        <v>Weekday</v>
      </c>
      <c r="I7060" t="str">
        <f>_xlfn.IFS(B7060&lt;=5,"Night (0-5)",B7060&lt;=9,"Morning peak (6-9)",B7060&lt;=15,"Midday (10-15)",B7060&lt;=19,"Evening peak (16-19)",TRUE,"Late evening (20-23)")</f>
        <v>Midday (10-15)</v>
      </c>
    </row>
    <row r="7061" spans="1:9">
      <c r="A7061" s="32">
        <v>42116</v>
      </c>
      <c r="B7061">
        <v>14</v>
      </c>
      <c r="C7061">
        <v>2900</v>
      </c>
      <c r="D7061" t="s">
        <v>304</v>
      </c>
      <c r="E7061">
        <f>YEAR(A7061)</f>
        <v>2015</v>
      </c>
      <c r="F7061" s="33">
        <f>DATE(YEAR(A7061),MONTH(A7061),1)</f>
        <v>42095.0</v>
      </c>
      <c r="G7061" t="str">
        <f>CHOOSE(WEEKDAY(A7061,2),"Mon","Tue","Wed","Thu","Fri","Sat","Sun")</f>
        <v>Wed</v>
      </c>
      <c r="H7061" t="str">
        <f>IF(WEEKDAY(A7061,2)&gt;5,"Weekend","Weekday")</f>
        <v>Weekday</v>
      </c>
      <c r="I7061" t="str">
        <f>_xlfn.IFS(B7061&lt;=5,"Night (0-5)",B7061&lt;=9,"Morning peak (6-9)",B7061&lt;=15,"Midday (10-15)",B7061&lt;=19,"Evening peak (16-19)",TRUE,"Late evening (20-23)")</f>
        <v>Midday (10-15)</v>
      </c>
    </row>
    <row r="7062" spans="1:9">
      <c r="A7062" s="32">
        <v>42116</v>
      </c>
      <c r="B7062">
        <v>15</v>
      </c>
      <c r="C7062">
        <v>4484</v>
      </c>
      <c r="D7062" t="s">
        <v>304</v>
      </c>
      <c r="E7062">
        <f>YEAR(A7062)</f>
        <v>2015</v>
      </c>
      <c r="F7062" s="33">
        <f>DATE(YEAR(A7062),MONTH(A7062),1)</f>
        <v>42095.0</v>
      </c>
      <c r="G7062" t="str">
        <f>CHOOSE(WEEKDAY(A7062,2),"Mon","Tue","Wed","Thu","Fri","Sat","Sun")</f>
        <v>Wed</v>
      </c>
      <c r="H7062" t="str">
        <f>IF(WEEKDAY(A7062,2)&gt;5,"Weekend","Weekday")</f>
        <v>Weekday</v>
      </c>
      <c r="I7062" t="str">
        <f>_xlfn.IFS(B7062&lt;=5,"Night (0-5)",B7062&lt;=9,"Morning peak (6-9)",B7062&lt;=15,"Midday (10-15)",B7062&lt;=19,"Evening peak (16-19)",TRUE,"Late evening (20-23)")</f>
        <v>Midday (10-15)</v>
      </c>
    </row>
    <row r="7063" spans="1:9">
      <c r="A7063" s="32">
        <v>42116</v>
      </c>
      <c r="B7063">
        <v>16</v>
      </c>
      <c r="C7063">
        <v>5706</v>
      </c>
      <c r="D7063" t="s">
        <v>304</v>
      </c>
      <c r="E7063">
        <f>YEAR(A7063)</f>
        <v>2015</v>
      </c>
      <c r="F7063" s="33">
        <f>DATE(YEAR(A7063),MONTH(A7063),1)</f>
        <v>42095.0</v>
      </c>
      <c r="G7063" t="str">
        <f>CHOOSE(WEEKDAY(A7063,2),"Mon","Tue","Wed","Thu","Fri","Sat","Sun")</f>
        <v>Wed</v>
      </c>
      <c r="H7063" t="str">
        <f>IF(WEEKDAY(A7063,2)&gt;5,"Weekend","Weekday")</f>
        <v>Weekday</v>
      </c>
      <c r="I7063" t="str">
        <f>_xlfn.IFS(B7063&lt;=5,"Night (0-5)",B7063&lt;=9,"Morning peak (6-9)",B7063&lt;=15,"Midday (10-15)",B7063&lt;=19,"Evening peak (16-19)",TRUE,"Late evening (20-23)")</f>
        <v>Evening peak (16-19)</v>
      </c>
    </row>
    <row r="7064" spans="1:9">
      <c r="A7064" s="32">
        <v>42116</v>
      </c>
      <c r="B7064">
        <v>17</v>
      </c>
      <c r="C7064">
        <v>5932</v>
      </c>
      <c r="D7064" t="s">
        <v>304</v>
      </c>
      <c r="E7064">
        <f>YEAR(A7064)</f>
        <v>2015</v>
      </c>
      <c r="F7064" s="33">
        <f>DATE(YEAR(A7064),MONTH(A7064),1)</f>
        <v>42095.0</v>
      </c>
      <c r="G7064" t="str">
        <f>CHOOSE(WEEKDAY(A7064,2),"Mon","Tue","Wed","Thu","Fri","Sat","Sun")</f>
        <v>Wed</v>
      </c>
      <c r="H7064" t="str">
        <f>IF(WEEKDAY(A7064,2)&gt;5,"Weekend","Weekday")</f>
        <v>Weekday</v>
      </c>
      <c r="I7064" t="str">
        <f>_xlfn.IFS(B7064&lt;=5,"Night (0-5)",B7064&lt;=9,"Morning peak (6-9)",B7064&lt;=15,"Midday (10-15)",B7064&lt;=19,"Evening peak (16-19)",TRUE,"Late evening (20-23)")</f>
        <v>Evening peak (16-19)</v>
      </c>
    </row>
    <row r="7065" spans="1:9">
      <c r="A7065" s="32">
        <v>42116</v>
      </c>
      <c r="B7065">
        <v>18</v>
      </c>
      <c r="C7065">
        <v>7183</v>
      </c>
      <c r="D7065" t="s">
        <v>304</v>
      </c>
      <c r="E7065">
        <f>YEAR(A7065)</f>
        <v>2015</v>
      </c>
      <c r="F7065" s="33">
        <f>DATE(YEAR(A7065),MONTH(A7065),1)</f>
        <v>42095.0</v>
      </c>
      <c r="G7065" t="str">
        <f>CHOOSE(WEEKDAY(A7065,2),"Mon","Tue","Wed","Thu","Fri","Sat","Sun")</f>
        <v>Wed</v>
      </c>
      <c r="H7065" t="str">
        <f>IF(WEEKDAY(A7065,2)&gt;5,"Weekend","Weekday")</f>
        <v>Weekday</v>
      </c>
      <c r="I7065" t="str">
        <f>_xlfn.IFS(B7065&lt;=5,"Night (0-5)",B7065&lt;=9,"Morning peak (6-9)",B7065&lt;=15,"Midday (10-15)",B7065&lt;=19,"Evening peak (16-19)",TRUE,"Late evening (20-23)")</f>
        <v>Evening peak (16-19)</v>
      </c>
    </row>
    <row r="7066" spans="1:9">
      <c r="A7066" s="32">
        <v>42116</v>
      </c>
      <c r="B7066">
        <v>19</v>
      </c>
      <c r="C7066">
        <v>6128</v>
      </c>
      <c r="D7066" t="s">
        <v>304</v>
      </c>
      <c r="E7066">
        <f>YEAR(A7066)</f>
        <v>2015</v>
      </c>
      <c r="F7066" s="33">
        <f>DATE(YEAR(A7066),MONTH(A7066),1)</f>
        <v>42095.0</v>
      </c>
      <c r="G7066" t="str">
        <f>CHOOSE(WEEKDAY(A7066,2),"Mon","Tue","Wed","Thu","Fri","Sat","Sun")</f>
        <v>Wed</v>
      </c>
      <c r="H7066" t="str">
        <f>IF(WEEKDAY(A7066,2)&gt;5,"Weekend","Weekday")</f>
        <v>Weekday</v>
      </c>
      <c r="I7066" t="str">
        <f>_xlfn.IFS(B7066&lt;=5,"Night (0-5)",B7066&lt;=9,"Morning peak (6-9)",B7066&lt;=15,"Midday (10-15)",B7066&lt;=19,"Evening peak (16-19)",TRUE,"Late evening (20-23)")</f>
        <v>Evening peak (16-19)</v>
      </c>
    </row>
    <row r="7067" spans="1:9">
      <c r="A7067" s="32">
        <v>42116</v>
      </c>
      <c r="B7067">
        <v>20</v>
      </c>
      <c r="C7067">
        <v>5700</v>
      </c>
      <c r="D7067" t="s">
        <v>304</v>
      </c>
      <c r="E7067">
        <f>YEAR(A7067)</f>
        <v>2015</v>
      </c>
      <c r="F7067" s="33">
        <f>DATE(YEAR(A7067),MONTH(A7067),1)</f>
        <v>42095.0</v>
      </c>
      <c r="G7067" t="str">
        <f>CHOOSE(WEEKDAY(A7067,2),"Mon","Tue","Wed","Thu","Fri","Sat","Sun")</f>
        <v>Wed</v>
      </c>
      <c r="H7067" t="str">
        <f>IF(WEEKDAY(A7067,2)&gt;5,"Weekend","Weekday")</f>
        <v>Weekday</v>
      </c>
      <c r="I7067" t="str">
        <f>_xlfn.IFS(B7067&lt;=5,"Night (0-5)",B7067&lt;=9,"Morning peak (6-9)",B7067&lt;=15,"Midday (10-15)",B7067&lt;=19,"Evening peak (16-19)",TRUE,"Late evening (20-23)")</f>
        <v>Late evening (20-23)</v>
      </c>
    </row>
    <row r="7068" spans="1:9">
      <c r="A7068" s="32">
        <v>42116</v>
      </c>
      <c r="B7068">
        <v>21</v>
      </c>
      <c r="C7068">
        <v>5738</v>
      </c>
      <c r="D7068" t="s">
        <v>304</v>
      </c>
      <c r="E7068">
        <f>YEAR(A7068)</f>
        <v>2015</v>
      </c>
      <c r="F7068" s="33">
        <f>DATE(YEAR(A7068),MONTH(A7068),1)</f>
        <v>42095.0</v>
      </c>
      <c r="G7068" t="str">
        <f>CHOOSE(WEEKDAY(A7068,2),"Mon","Tue","Wed","Thu","Fri","Sat","Sun")</f>
        <v>Wed</v>
      </c>
      <c r="H7068" t="str">
        <f>IF(WEEKDAY(A7068,2)&gt;5,"Weekend","Weekday")</f>
        <v>Weekday</v>
      </c>
      <c r="I7068" t="str">
        <f>_xlfn.IFS(B7068&lt;=5,"Night (0-5)",B7068&lt;=9,"Morning peak (6-9)",B7068&lt;=15,"Midday (10-15)",B7068&lt;=19,"Evening peak (16-19)",TRUE,"Late evening (20-23)")</f>
        <v>Late evening (20-23)</v>
      </c>
    </row>
    <row r="7069" spans="1:9">
      <c r="A7069" s="32">
        <v>42116</v>
      </c>
      <c r="B7069">
        <v>22</v>
      </c>
      <c r="C7069">
        <v>5615</v>
      </c>
      <c r="D7069" t="s">
        <v>304</v>
      </c>
      <c r="E7069">
        <f>YEAR(A7069)</f>
        <v>2015</v>
      </c>
      <c r="F7069" s="33">
        <f>DATE(YEAR(A7069),MONTH(A7069),1)</f>
        <v>42095.0</v>
      </c>
      <c r="G7069" t="str">
        <f>CHOOSE(WEEKDAY(A7069,2),"Mon","Tue","Wed","Thu","Fri","Sat","Sun")</f>
        <v>Wed</v>
      </c>
      <c r="H7069" t="str">
        <f>IF(WEEKDAY(A7069,2)&gt;5,"Weekend","Weekday")</f>
        <v>Weekday</v>
      </c>
      <c r="I7069" t="str">
        <f>_xlfn.IFS(B7069&lt;=5,"Night (0-5)",B7069&lt;=9,"Morning peak (6-9)",B7069&lt;=15,"Midday (10-15)",B7069&lt;=19,"Evening peak (16-19)",TRUE,"Late evening (20-23)")</f>
        <v>Late evening (20-23)</v>
      </c>
    </row>
    <row r="7070" spans="1:9">
      <c r="A7070" s="32">
        <v>42116</v>
      </c>
      <c r="B7070">
        <v>23</v>
      </c>
      <c r="C7070">
        <v>4100</v>
      </c>
      <c r="D7070" t="s">
        <v>304</v>
      </c>
      <c r="E7070">
        <f>YEAR(A7070)</f>
        <v>2015</v>
      </c>
      <c r="F7070" s="33">
        <f>DATE(YEAR(A7070),MONTH(A7070),1)</f>
        <v>42095.0</v>
      </c>
      <c r="G7070" t="str">
        <f>CHOOSE(WEEKDAY(A7070,2),"Mon","Tue","Wed","Thu","Fri","Sat","Sun")</f>
        <v>Wed</v>
      </c>
      <c r="H7070" t="str">
        <f>IF(WEEKDAY(A7070,2)&gt;5,"Weekend","Weekday")</f>
        <v>Weekday</v>
      </c>
      <c r="I7070" t="str">
        <f>_xlfn.IFS(B7070&lt;=5,"Night (0-5)",B7070&lt;=9,"Morning peak (6-9)",B7070&lt;=15,"Midday (10-15)",B7070&lt;=19,"Evening peak (16-19)",TRUE,"Late evening (20-23)")</f>
        <v>Late evening (20-23)</v>
      </c>
    </row>
    <row r="7071" spans="1:9">
      <c r="A7071" s="32">
        <v>42117</v>
      </c>
      <c r="B7071">
        <v>0</v>
      </c>
      <c r="C7071">
        <v>2349</v>
      </c>
      <c r="D7071" t="s">
        <v>304</v>
      </c>
      <c r="E7071">
        <f>YEAR(A7071)</f>
        <v>2015</v>
      </c>
      <c r="F7071" s="33">
        <f>DATE(YEAR(A7071),MONTH(A7071),1)</f>
        <v>42095.0</v>
      </c>
      <c r="G7071" t="str">
        <f>CHOOSE(WEEKDAY(A7071,2),"Mon","Tue","Wed","Thu","Fri","Sat","Sun")</f>
        <v>Thu</v>
      </c>
      <c r="H7071" t="str">
        <f>IF(WEEKDAY(A7071,2)&gt;5,"Weekend","Weekday")</f>
        <v>Weekday</v>
      </c>
      <c r="I7071" t="str">
        <f>_xlfn.IFS(B7071&lt;=5,"Night (0-5)",B7071&lt;=9,"Morning peak (6-9)",B7071&lt;=15,"Midday (10-15)",B7071&lt;=19,"Evening peak (16-19)",TRUE,"Late evening (20-23)")</f>
        <v>Night (0-5)</v>
      </c>
    </row>
    <row r="7072" spans="1:9">
      <c r="A7072" s="32">
        <v>42117</v>
      </c>
      <c r="B7072">
        <v>1</v>
      </c>
      <c r="C7072">
        <v>1303</v>
      </c>
      <c r="D7072" t="s">
        <v>304</v>
      </c>
      <c r="E7072">
        <f>YEAR(A7072)</f>
        <v>2015</v>
      </c>
      <c r="F7072" s="33">
        <f>DATE(YEAR(A7072),MONTH(A7072),1)</f>
        <v>42095.0</v>
      </c>
      <c r="G7072" t="str">
        <f>CHOOSE(WEEKDAY(A7072,2),"Mon","Tue","Wed","Thu","Fri","Sat","Sun")</f>
        <v>Thu</v>
      </c>
      <c r="H7072" t="str">
        <f>IF(WEEKDAY(A7072,2)&gt;5,"Weekend","Weekday")</f>
        <v>Weekday</v>
      </c>
      <c r="I7072" t="str">
        <f>_xlfn.IFS(B7072&lt;=5,"Night (0-5)",B7072&lt;=9,"Morning peak (6-9)",B7072&lt;=15,"Midday (10-15)",B7072&lt;=19,"Evening peak (16-19)",TRUE,"Late evening (20-23)")</f>
        <v>Night (0-5)</v>
      </c>
    </row>
    <row r="7073" spans="1:9">
      <c r="A7073" s="32">
        <v>42117</v>
      </c>
      <c r="B7073">
        <v>2</v>
      </c>
      <c r="C7073">
        <v>758</v>
      </c>
      <c r="D7073" t="s">
        <v>304</v>
      </c>
      <c r="E7073">
        <f>YEAR(A7073)</f>
        <v>2015</v>
      </c>
      <c r="F7073" s="33">
        <f>DATE(YEAR(A7073),MONTH(A7073),1)</f>
        <v>42095.0</v>
      </c>
      <c r="G7073" t="str">
        <f>CHOOSE(WEEKDAY(A7073,2),"Mon","Tue","Wed","Thu","Fri","Sat","Sun")</f>
        <v>Thu</v>
      </c>
      <c r="H7073" t="str">
        <f>IF(WEEKDAY(A7073,2)&gt;5,"Weekend","Weekday")</f>
        <v>Weekday</v>
      </c>
      <c r="I7073" t="str">
        <f>_xlfn.IFS(B7073&lt;=5,"Night (0-5)",B7073&lt;=9,"Morning peak (6-9)",B7073&lt;=15,"Midday (10-15)",B7073&lt;=19,"Evening peak (16-19)",TRUE,"Late evening (20-23)")</f>
        <v>Night (0-5)</v>
      </c>
    </row>
    <row r="7074" spans="1:9">
      <c r="A7074" s="32">
        <v>42117</v>
      </c>
      <c r="B7074">
        <v>3</v>
      </c>
      <c r="C7074">
        <v>531</v>
      </c>
      <c r="D7074" t="s">
        <v>304</v>
      </c>
      <c r="E7074">
        <f>YEAR(A7074)</f>
        <v>2015</v>
      </c>
      <c r="F7074" s="33">
        <f>DATE(YEAR(A7074),MONTH(A7074),1)</f>
        <v>42095.0</v>
      </c>
      <c r="G7074" t="str">
        <f>CHOOSE(WEEKDAY(A7074,2),"Mon","Tue","Wed","Thu","Fri","Sat","Sun")</f>
        <v>Thu</v>
      </c>
      <c r="H7074" t="str">
        <f>IF(WEEKDAY(A7074,2)&gt;5,"Weekend","Weekday")</f>
        <v>Weekday</v>
      </c>
      <c r="I7074" t="str">
        <f>_xlfn.IFS(B7074&lt;=5,"Night (0-5)",B7074&lt;=9,"Morning peak (6-9)",B7074&lt;=15,"Midday (10-15)",B7074&lt;=19,"Evening peak (16-19)",TRUE,"Late evening (20-23)")</f>
        <v>Night (0-5)</v>
      </c>
    </row>
    <row r="7075" spans="1:9">
      <c r="A7075" s="32">
        <v>42117</v>
      </c>
      <c r="B7075">
        <v>4</v>
      </c>
      <c r="C7075">
        <v>708</v>
      </c>
      <c r="D7075" t="s">
        <v>304</v>
      </c>
      <c r="E7075">
        <f>YEAR(A7075)</f>
        <v>2015</v>
      </c>
      <c r="F7075" s="33">
        <f>DATE(YEAR(A7075),MONTH(A7075),1)</f>
        <v>42095.0</v>
      </c>
      <c r="G7075" t="str">
        <f>CHOOSE(WEEKDAY(A7075,2),"Mon","Tue","Wed","Thu","Fri","Sat","Sun")</f>
        <v>Thu</v>
      </c>
      <c r="H7075" t="str">
        <f>IF(WEEKDAY(A7075,2)&gt;5,"Weekend","Weekday")</f>
        <v>Weekday</v>
      </c>
      <c r="I7075" t="str">
        <f>_xlfn.IFS(B7075&lt;=5,"Night (0-5)",B7075&lt;=9,"Morning peak (6-9)",B7075&lt;=15,"Midday (10-15)",B7075&lt;=19,"Evening peak (16-19)",TRUE,"Late evening (20-23)")</f>
        <v>Night (0-5)</v>
      </c>
    </row>
    <row r="7076" spans="1:9">
      <c r="A7076" s="32">
        <v>42117</v>
      </c>
      <c r="B7076">
        <v>5</v>
      </c>
      <c r="C7076">
        <v>1262</v>
      </c>
      <c r="D7076" t="s">
        <v>304</v>
      </c>
      <c r="E7076">
        <f>YEAR(A7076)</f>
        <v>2015</v>
      </c>
      <c r="F7076" s="33">
        <f>DATE(YEAR(A7076),MONTH(A7076),1)</f>
        <v>42095.0</v>
      </c>
      <c r="G7076" t="str">
        <f>CHOOSE(WEEKDAY(A7076,2),"Mon","Tue","Wed","Thu","Fri","Sat","Sun")</f>
        <v>Thu</v>
      </c>
      <c r="H7076" t="str">
        <f>IF(WEEKDAY(A7076,2)&gt;5,"Weekend","Weekday")</f>
        <v>Weekday</v>
      </c>
      <c r="I7076" t="str">
        <f>_xlfn.IFS(B7076&lt;=5,"Night (0-5)",B7076&lt;=9,"Morning peak (6-9)",B7076&lt;=15,"Midday (10-15)",B7076&lt;=19,"Evening peak (16-19)",TRUE,"Late evening (20-23)")</f>
        <v>Night (0-5)</v>
      </c>
    </row>
    <row r="7077" spans="1:9">
      <c r="A7077" s="32">
        <v>42117</v>
      </c>
      <c r="B7077">
        <v>6</v>
      </c>
      <c r="C7077">
        <v>2099</v>
      </c>
      <c r="D7077" t="s">
        <v>304</v>
      </c>
      <c r="E7077">
        <f>YEAR(A7077)</f>
        <v>2015</v>
      </c>
      <c r="F7077" s="33">
        <f>DATE(YEAR(A7077),MONTH(A7077),1)</f>
        <v>42095.0</v>
      </c>
      <c r="G7077" t="str">
        <f>CHOOSE(WEEKDAY(A7077,2),"Mon","Tue","Wed","Thu","Fri","Sat","Sun")</f>
        <v>Thu</v>
      </c>
      <c r="H7077" t="str">
        <f>IF(WEEKDAY(A7077,2)&gt;5,"Weekend","Weekday")</f>
        <v>Weekday</v>
      </c>
      <c r="I7077" t="str">
        <f>_xlfn.IFS(B7077&lt;=5,"Night (0-5)",B7077&lt;=9,"Morning peak (6-9)",B7077&lt;=15,"Midday (10-15)",B7077&lt;=19,"Evening peak (16-19)",TRUE,"Late evening (20-23)")</f>
        <v>Morning peak (6-9)</v>
      </c>
    </row>
    <row r="7078" spans="1:9">
      <c r="A7078" s="32">
        <v>42117</v>
      </c>
      <c r="B7078">
        <v>7</v>
      </c>
      <c r="C7078">
        <v>3166</v>
      </c>
      <c r="D7078" t="s">
        <v>304</v>
      </c>
      <c r="E7078">
        <f>YEAR(A7078)</f>
        <v>2015</v>
      </c>
      <c r="F7078" s="33">
        <f>DATE(YEAR(A7078),MONTH(A7078),1)</f>
        <v>42095.0</v>
      </c>
      <c r="G7078" t="str">
        <f>CHOOSE(WEEKDAY(A7078,2),"Mon","Tue","Wed","Thu","Fri","Sat","Sun")</f>
        <v>Thu</v>
      </c>
      <c r="H7078" t="str">
        <f>IF(WEEKDAY(A7078,2)&gt;5,"Weekend","Weekday")</f>
        <v>Weekday</v>
      </c>
      <c r="I7078" t="str">
        <f>_xlfn.IFS(B7078&lt;=5,"Night (0-5)",B7078&lt;=9,"Morning peak (6-9)",B7078&lt;=15,"Midday (10-15)",B7078&lt;=19,"Evening peak (16-19)",TRUE,"Late evening (20-23)")</f>
        <v>Morning peak (6-9)</v>
      </c>
    </row>
    <row r="7079" spans="1:9">
      <c r="A7079" s="32">
        <v>42117</v>
      </c>
      <c r="B7079">
        <v>8</v>
      </c>
      <c r="C7079">
        <v>4217</v>
      </c>
      <c r="D7079" t="s">
        <v>304</v>
      </c>
      <c r="E7079">
        <f>YEAR(A7079)</f>
        <v>2015</v>
      </c>
      <c r="F7079" s="33">
        <f>DATE(YEAR(A7079),MONTH(A7079),1)</f>
        <v>42095.0</v>
      </c>
      <c r="G7079" t="str">
        <f>CHOOSE(WEEKDAY(A7079,2),"Mon","Tue","Wed","Thu","Fri","Sat","Sun")</f>
        <v>Thu</v>
      </c>
      <c r="H7079" t="str">
        <f>IF(WEEKDAY(A7079,2)&gt;5,"Weekend","Weekday")</f>
        <v>Weekday</v>
      </c>
      <c r="I7079" t="str">
        <f>_xlfn.IFS(B7079&lt;=5,"Night (0-5)",B7079&lt;=9,"Morning peak (6-9)",B7079&lt;=15,"Midday (10-15)",B7079&lt;=19,"Evening peak (16-19)",TRUE,"Late evening (20-23)")</f>
        <v>Morning peak (6-9)</v>
      </c>
    </row>
    <row r="7080" spans="1:9">
      <c r="A7080" s="32">
        <v>42117</v>
      </c>
      <c r="B7080">
        <v>9</v>
      </c>
      <c r="C7080">
        <v>3967</v>
      </c>
      <c r="D7080" t="s">
        <v>304</v>
      </c>
      <c r="E7080">
        <f>YEAR(A7080)</f>
        <v>2015</v>
      </c>
      <c r="F7080" s="33">
        <f>DATE(YEAR(A7080),MONTH(A7080),1)</f>
        <v>42095.0</v>
      </c>
      <c r="G7080" t="str">
        <f>CHOOSE(WEEKDAY(A7080,2),"Mon","Tue","Wed","Thu","Fri","Sat","Sun")</f>
        <v>Thu</v>
      </c>
      <c r="H7080" t="str">
        <f>IF(WEEKDAY(A7080,2)&gt;5,"Weekend","Weekday")</f>
        <v>Weekday</v>
      </c>
      <c r="I7080" t="str">
        <f>_xlfn.IFS(B7080&lt;=5,"Night (0-5)",B7080&lt;=9,"Morning peak (6-9)",B7080&lt;=15,"Midday (10-15)",B7080&lt;=19,"Evening peak (16-19)",TRUE,"Late evening (20-23)")</f>
        <v>Morning peak (6-9)</v>
      </c>
    </row>
    <row r="7081" spans="1:9">
      <c r="A7081" s="32">
        <v>42117</v>
      </c>
      <c r="B7081">
        <v>10</v>
      </c>
      <c r="C7081">
        <v>3174</v>
      </c>
      <c r="D7081" t="s">
        <v>304</v>
      </c>
      <c r="E7081">
        <f>YEAR(A7081)</f>
        <v>2015</v>
      </c>
      <c r="F7081" s="33">
        <f>DATE(YEAR(A7081),MONTH(A7081),1)</f>
        <v>42095.0</v>
      </c>
      <c r="G7081" t="str">
        <f>CHOOSE(WEEKDAY(A7081,2),"Mon","Tue","Wed","Thu","Fri","Sat","Sun")</f>
        <v>Thu</v>
      </c>
      <c r="H7081" t="str">
        <f>IF(WEEKDAY(A7081,2)&gt;5,"Weekend","Weekday")</f>
        <v>Weekday</v>
      </c>
      <c r="I7081" t="str">
        <f>_xlfn.IFS(B7081&lt;=5,"Night (0-5)",B7081&lt;=9,"Morning peak (6-9)",B7081&lt;=15,"Midday (10-15)",B7081&lt;=19,"Evening peak (16-19)",TRUE,"Late evening (20-23)")</f>
        <v>Midday (10-15)</v>
      </c>
    </row>
    <row r="7082" spans="1:9">
      <c r="A7082" s="32">
        <v>42117</v>
      </c>
      <c r="B7082">
        <v>11</v>
      </c>
      <c r="C7082">
        <v>2975</v>
      </c>
      <c r="D7082" t="s">
        <v>304</v>
      </c>
      <c r="E7082">
        <f>YEAR(A7082)</f>
        <v>2015</v>
      </c>
      <c r="F7082" s="33">
        <f>DATE(YEAR(A7082),MONTH(A7082),1)</f>
        <v>42095.0</v>
      </c>
      <c r="G7082" t="str">
        <f>CHOOSE(WEEKDAY(A7082,2),"Mon","Tue","Wed","Thu","Fri","Sat","Sun")</f>
        <v>Thu</v>
      </c>
      <c r="H7082" t="str">
        <f>IF(WEEKDAY(A7082,2)&gt;5,"Weekend","Weekday")</f>
        <v>Weekday</v>
      </c>
      <c r="I7082" t="str">
        <f>_xlfn.IFS(B7082&lt;=5,"Night (0-5)",B7082&lt;=9,"Morning peak (6-9)",B7082&lt;=15,"Midday (10-15)",B7082&lt;=19,"Evening peak (16-19)",TRUE,"Late evening (20-23)")</f>
        <v>Midday (10-15)</v>
      </c>
    </row>
    <row r="7083" spans="1:9">
      <c r="A7083" s="32">
        <v>42117</v>
      </c>
      <c r="B7083">
        <v>12</v>
      </c>
      <c r="C7083">
        <v>2990</v>
      </c>
      <c r="D7083" t="s">
        <v>304</v>
      </c>
      <c r="E7083">
        <f>YEAR(A7083)</f>
        <v>2015</v>
      </c>
      <c r="F7083" s="33">
        <f>DATE(YEAR(A7083),MONTH(A7083),1)</f>
        <v>42095.0</v>
      </c>
      <c r="G7083" t="str">
        <f>CHOOSE(WEEKDAY(A7083,2),"Mon","Tue","Wed","Thu","Fri","Sat","Sun")</f>
        <v>Thu</v>
      </c>
      <c r="H7083" t="str">
        <f>IF(WEEKDAY(A7083,2)&gt;5,"Weekend","Weekday")</f>
        <v>Weekday</v>
      </c>
      <c r="I7083" t="str">
        <f>_xlfn.IFS(B7083&lt;=5,"Night (0-5)",B7083&lt;=9,"Morning peak (6-9)",B7083&lt;=15,"Midday (10-15)",B7083&lt;=19,"Evening peak (16-19)",TRUE,"Late evening (20-23)")</f>
        <v>Midday (10-15)</v>
      </c>
    </row>
    <row r="7084" spans="1:9">
      <c r="A7084" s="32">
        <v>42117</v>
      </c>
      <c r="B7084">
        <v>13</v>
      </c>
      <c r="C7084">
        <v>2962</v>
      </c>
      <c r="D7084" t="s">
        <v>304</v>
      </c>
      <c r="E7084">
        <f>YEAR(A7084)</f>
        <v>2015</v>
      </c>
      <c r="F7084" s="33">
        <f>DATE(YEAR(A7084),MONTH(A7084),1)</f>
        <v>42095.0</v>
      </c>
      <c r="G7084" t="str">
        <f>CHOOSE(WEEKDAY(A7084,2),"Mon","Tue","Wed","Thu","Fri","Sat","Sun")</f>
        <v>Thu</v>
      </c>
      <c r="H7084" t="str">
        <f>IF(WEEKDAY(A7084,2)&gt;5,"Weekend","Weekday")</f>
        <v>Weekday</v>
      </c>
      <c r="I7084" t="str">
        <f>_xlfn.IFS(B7084&lt;=5,"Night (0-5)",B7084&lt;=9,"Morning peak (6-9)",B7084&lt;=15,"Midday (10-15)",B7084&lt;=19,"Evening peak (16-19)",TRUE,"Late evening (20-23)")</f>
        <v>Midday (10-15)</v>
      </c>
    </row>
    <row r="7085" spans="1:9">
      <c r="A7085" s="32">
        <v>42117</v>
      </c>
      <c r="B7085">
        <v>14</v>
      </c>
      <c r="C7085">
        <v>3440</v>
      </c>
      <c r="D7085" t="s">
        <v>304</v>
      </c>
      <c r="E7085">
        <f>YEAR(A7085)</f>
        <v>2015</v>
      </c>
      <c r="F7085" s="33">
        <f>DATE(YEAR(A7085),MONTH(A7085),1)</f>
        <v>42095.0</v>
      </c>
      <c r="G7085" t="str">
        <f>CHOOSE(WEEKDAY(A7085,2),"Mon","Tue","Wed","Thu","Fri","Sat","Sun")</f>
        <v>Thu</v>
      </c>
      <c r="H7085" t="str">
        <f>IF(WEEKDAY(A7085,2)&gt;5,"Weekend","Weekday")</f>
        <v>Weekday</v>
      </c>
      <c r="I7085" t="str">
        <f>_xlfn.IFS(B7085&lt;=5,"Night (0-5)",B7085&lt;=9,"Morning peak (6-9)",B7085&lt;=15,"Midday (10-15)",B7085&lt;=19,"Evening peak (16-19)",TRUE,"Late evening (20-23)")</f>
        <v>Midday (10-15)</v>
      </c>
    </row>
    <row r="7086" spans="1:9">
      <c r="A7086" s="32">
        <v>42117</v>
      </c>
      <c r="B7086">
        <v>15</v>
      </c>
      <c r="C7086">
        <v>4050</v>
      </c>
      <c r="D7086" t="s">
        <v>304</v>
      </c>
      <c r="E7086">
        <f>YEAR(A7086)</f>
        <v>2015</v>
      </c>
      <c r="F7086" s="33">
        <f>DATE(YEAR(A7086),MONTH(A7086),1)</f>
        <v>42095.0</v>
      </c>
      <c r="G7086" t="str">
        <f>CHOOSE(WEEKDAY(A7086,2),"Mon","Tue","Wed","Thu","Fri","Sat","Sun")</f>
        <v>Thu</v>
      </c>
      <c r="H7086" t="str">
        <f>IF(WEEKDAY(A7086,2)&gt;5,"Weekend","Weekday")</f>
        <v>Weekday</v>
      </c>
      <c r="I7086" t="str">
        <f>_xlfn.IFS(B7086&lt;=5,"Night (0-5)",B7086&lt;=9,"Morning peak (6-9)",B7086&lt;=15,"Midday (10-15)",B7086&lt;=19,"Evening peak (16-19)",TRUE,"Late evening (20-23)")</f>
        <v>Midday (10-15)</v>
      </c>
    </row>
    <row r="7087" spans="1:9">
      <c r="A7087" s="32">
        <v>42117</v>
      </c>
      <c r="B7087">
        <v>16</v>
      </c>
      <c r="C7087">
        <v>4691</v>
      </c>
      <c r="D7087" t="s">
        <v>304</v>
      </c>
      <c r="E7087">
        <f>YEAR(A7087)</f>
        <v>2015</v>
      </c>
      <c r="F7087" s="33">
        <f>DATE(YEAR(A7087),MONTH(A7087),1)</f>
        <v>42095.0</v>
      </c>
      <c r="G7087" t="str">
        <f>CHOOSE(WEEKDAY(A7087,2),"Mon","Tue","Wed","Thu","Fri","Sat","Sun")</f>
        <v>Thu</v>
      </c>
      <c r="H7087" t="str">
        <f>IF(WEEKDAY(A7087,2)&gt;5,"Weekend","Weekday")</f>
        <v>Weekday</v>
      </c>
      <c r="I7087" t="str">
        <f>_xlfn.IFS(B7087&lt;=5,"Night (0-5)",B7087&lt;=9,"Morning peak (6-9)",B7087&lt;=15,"Midday (10-15)",B7087&lt;=19,"Evening peak (16-19)",TRUE,"Late evening (20-23)")</f>
        <v>Evening peak (16-19)</v>
      </c>
    </row>
    <row r="7088" spans="1:9">
      <c r="A7088" s="32">
        <v>42117</v>
      </c>
      <c r="B7088">
        <v>17</v>
      </c>
      <c r="C7088">
        <v>5616</v>
      </c>
      <c r="D7088" t="s">
        <v>304</v>
      </c>
      <c r="E7088">
        <f>YEAR(A7088)</f>
        <v>2015</v>
      </c>
      <c r="F7088" s="33">
        <f>DATE(YEAR(A7088),MONTH(A7088),1)</f>
        <v>42095.0</v>
      </c>
      <c r="G7088" t="str">
        <f>CHOOSE(WEEKDAY(A7088,2),"Mon","Tue","Wed","Thu","Fri","Sat","Sun")</f>
        <v>Thu</v>
      </c>
      <c r="H7088" t="str">
        <f>IF(WEEKDAY(A7088,2)&gt;5,"Weekend","Weekday")</f>
        <v>Weekday</v>
      </c>
      <c r="I7088" t="str">
        <f>_xlfn.IFS(B7088&lt;=5,"Night (0-5)",B7088&lt;=9,"Morning peak (6-9)",B7088&lt;=15,"Midday (10-15)",B7088&lt;=19,"Evening peak (16-19)",TRUE,"Late evening (20-23)")</f>
        <v>Evening peak (16-19)</v>
      </c>
    </row>
    <row r="7089" spans="1:9">
      <c r="A7089" s="32">
        <v>42117</v>
      </c>
      <c r="B7089">
        <v>18</v>
      </c>
      <c r="C7089">
        <v>7009</v>
      </c>
      <c r="D7089" t="s">
        <v>304</v>
      </c>
      <c r="E7089">
        <f>YEAR(A7089)</f>
        <v>2015</v>
      </c>
      <c r="F7089" s="33">
        <f>DATE(YEAR(A7089),MONTH(A7089),1)</f>
        <v>42095.0</v>
      </c>
      <c r="G7089" t="str">
        <f>CHOOSE(WEEKDAY(A7089,2),"Mon","Tue","Wed","Thu","Fri","Sat","Sun")</f>
        <v>Thu</v>
      </c>
      <c r="H7089" t="str">
        <f>IF(WEEKDAY(A7089,2)&gt;5,"Weekend","Weekday")</f>
        <v>Weekday</v>
      </c>
      <c r="I7089" t="str">
        <f>_xlfn.IFS(B7089&lt;=5,"Night (0-5)",B7089&lt;=9,"Morning peak (6-9)",B7089&lt;=15,"Midday (10-15)",B7089&lt;=19,"Evening peak (16-19)",TRUE,"Late evening (20-23)")</f>
        <v>Evening peak (16-19)</v>
      </c>
    </row>
    <row r="7090" spans="1:9">
      <c r="A7090" s="32">
        <v>42117</v>
      </c>
      <c r="B7090">
        <v>19</v>
      </c>
      <c r="C7090">
        <v>7051</v>
      </c>
      <c r="D7090" t="s">
        <v>304</v>
      </c>
      <c r="E7090">
        <f>YEAR(A7090)</f>
        <v>2015</v>
      </c>
      <c r="F7090" s="33">
        <f>DATE(YEAR(A7090),MONTH(A7090),1)</f>
        <v>42095.0</v>
      </c>
      <c r="G7090" t="str">
        <f>CHOOSE(WEEKDAY(A7090,2),"Mon","Tue","Wed","Thu","Fri","Sat","Sun")</f>
        <v>Thu</v>
      </c>
      <c r="H7090" t="str">
        <f>IF(WEEKDAY(A7090,2)&gt;5,"Weekend","Weekday")</f>
        <v>Weekday</v>
      </c>
      <c r="I7090" t="str">
        <f>_xlfn.IFS(B7090&lt;=5,"Night (0-5)",B7090&lt;=9,"Morning peak (6-9)",B7090&lt;=15,"Midday (10-15)",B7090&lt;=19,"Evening peak (16-19)",TRUE,"Late evening (20-23)")</f>
        <v>Evening peak (16-19)</v>
      </c>
    </row>
    <row r="7091" spans="1:9">
      <c r="A7091" s="32">
        <v>42117</v>
      </c>
      <c r="B7091">
        <v>20</v>
      </c>
      <c r="C7091">
        <v>6536</v>
      </c>
      <c r="D7091" t="s">
        <v>304</v>
      </c>
      <c r="E7091">
        <f>YEAR(A7091)</f>
        <v>2015</v>
      </c>
      <c r="F7091" s="33">
        <f>DATE(YEAR(A7091),MONTH(A7091),1)</f>
        <v>42095.0</v>
      </c>
      <c r="G7091" t="str">
        <f>CHOOSE(WEEKDAY(A7091,2),"Mon","Tue","Wed","Thu","Fri","Sat","Sun")</f>
        <v>Thu</v>
      </c>
      <c r="H7091" t="str">
        <f>IF(WEEKDAY(A7091,2)&gt;5,"Weekend","Weekday")</f>
        <v>Weekday</v>
      </c>
      <c r="I7091" t="str">
        <f>_xlfn.IFS(B7091&lt;=5,"Night (0-5)",B7091&lt;=9,"Morning peak (6-9)",B7091&lt;=15,"Midday (10-15)",B7091&lt;=19,"Evening peak (16-19)",TRUE,"Late evening (20-23)")</f>
        <v>Late evening (20-23)</v>
      </c>
    </row>
    <row r="7092" spans="1:9">
      <c r="A7092" s="32">
        <v>42117</v>
      </c>
      <c r="B7092">
        <v>21</v>
      </c>
      <c r="C7092">
        <v>7511</v>
      </c>
      <c r="D7092" t="s">
        <v>304</v>
      </c>
      <c r="E7092">
        <f>YEAR(A7092)</f>
        <v>2015</v>
      </c>
      <c r="F7092" s="33">
        <f>DATE(YEAR(A7092),MONTH(A7092),1)</f>
        <v>42095.0</v>
      </c>
      <c r="G7092" t="str">
        <f>CHOOSE(WEEKDAY(A7092,2),"Mon","Tue","Wed","Thu","Fri","Sat","Sun")</f>
        <v>Thu</v>
      </c>
      <c r="H7092" t="str">
        <f>IF(WEEKDAY(A7092,2)&gt;5,"Weekend","Weekday")</f>
        <v>Weekday</v>
      </c>
      <c r="I7092" t="str">
        <f>_xlfn.IFS(B7092&lt;=5,"Night (0-5)",B7092&lt;=9,"Morning peak (6-9)",B7092&lt;=15,"Midday (10-15)",B7092&lt;=19,"Evening peak (16-19)",TRUE,"Late evening (20-23)")</f>
        <v>Late evening (20-23)</v>
      </c>
    </row>
    <row r="7093" spans="1:9">
      <c r="A7093" s="32">
        <v>42117</v>
      </c>
      <c r="B7093">
        <v>22</v>
      </c>
      <c r="C7093">
        <v>7504</v>
      </c>
      <c r="D7093" t="s">
        <v>304</v>
      </c>
      <c r="E7093">
        <f>YEAR(A7093)</f>
        <v>2015</v>
      </c>
      <c r="F7093" s="33">
        <f>DATE(YEAR(A7093),MONTH(A7093),1)</f>
        <v>42095.0</v>
      </c>
      <c r="G7093" t="str">
        <f>CHOOSE(WEEKDAY(A7093,2),"Mon","Tue","Wed","Thu","Fri","Sat","Sun")</f>
        <v>Thu</v>
      </c>
      <c r="H7093" t="str">
        <f>IF(WEEKDAY(A7093,2)&gt;5,"Weekend","Weekday")</f>
        <v>Weekday</v>
      </c>
      <c r="I7093" t="str">
        <f>_xlfn.IFS(B7093&lt;=5,"Night (0-5)",B7093&lt;=9,"Morning peak (6-9)",B7093&lt;=15,"Midday (10-15)",B7093&lt;=19,"Evening peak (16-19)",TRUE,"Late evening (20-23)")</f>
        <v>Late evening (20-23)</v>
      </c>
    </row>
    <row r="7094" spans="1:9">
      <c r="A7094" s="32">
        <v>42117</v>
      </c>
      <c r="B7094">
        <v>23</v>
      </c>
      <c r="C7094">
        <v>6241</v>
      </c>
      <c r="D7094" t="s">
        <v>304</v>
      </c>
      <c r="E7094">
        <f>YEAR(A7094)</f>
        <v>2015</v>
      </c>
      <c r="F7094" s="33">
        <f>DATE(YEAR(A7094),MONTH(A7094),1)</f>
        <v>42095.0</v>
      </c>
      <c r="G7094" t="str">
        <f>CHOOSE(WEEKDAY(A7094,2),"Mon","Tue","Wed","Thu","Fri","Sat","Sun")</f>
        <v>Thu</v>
      </c>
      <c r="H7094" t="str">
        <f>IF(WEEKDAY(A7094,2)&gt;5,"Weekend","Weekday")</f>
        <v>Weekday</v>
      </c>
      <c r="I7094" t="str">
        <f>_xlfn.IFS(B7094&lt;=5,"Night (0-5)",B7094&lt;=9,"Morning peak (6-9)",B7094&lt;=15,"Midday (10-15)",B7094&lt;=19,"Evening peak (16-19)",TRUE,"Late evening (20-23)")</f>
        <v>Late evening (20-23)</v>
      </c>
    </row>
    <row r="7095" spans="1:9">
      <c r="A7095" s="32">
        <v>42118</v>
      </c>
      <c r="B7095">
        <v>0</v>
      </c>
      <c r="C7095">
        <v>3669</v>
      </c>
      <c r="D7095" t="s">
        <v>304</v>
      </c>
      <c r="E7095">
        <f>YEAR(A7095)</f>
        <v>2015</v>
      </c>
      <c r="F7095" s="33">
        <f>DATE(YEAR(A7095),MONTH(A7095),1)</f>
        <v>42095.0</v>
      </c>
      <c r="G7095" t="str">
        <f>CHOOSE(WEEKDAY(A7095,2),"Mon","Tue","Wed","Thu","Fri","Sat","Sun")</f>
        <v>Fri</v>
      </c>
      <c r="H7095" t="str">
        <f>IF(WEEKDAY(A7095,2)&gt;5,"Weekend","Weekday")</f>
        <v>Weekday</v>
      </c>
      <c r="I7095" t="str">
        <f>_xlfn.IFS(B7095&lt;=5,"Night (0-5)",B7095&lt;=9,"Morning peak (6-9)",B7095&lt;=15,"Midday (10-15)",B7095&lt;=19,"Evening peak (16-19)",TRUE,"Late evening (20-23)")</f>
        <v>Night (0-5)</v>
      </c>
    </row>
    <row r="7096" spans="1:9">
      <c r="A7096" s="32">
        <v>42118</v>
      </c>
      <c r="B7096">
        <v>1</v>
      </c>
      <c r="C7096">
        <v>1908</v>
      </c>
      <c r="D7096" t="s">
        <v>304</v>
      </c>
      <c r="E7096">
        <f>YEAR(A7096)</f>
        <v>2015</v>
      </c>
      <c r="F7096" s="33">
        <f>DATE(YEAR(A7096),MONTH(A7096),1)</f>
        <v>42095.0</v>
      </c>
      <c r="G7096" t="str">
        <f>CHOOSE(WEEKDAY(A7096,2),"Mon","Tue","Wed","Thu","Fri","Sat","Sun")</f>
        <v>Fri</v>
      </c>
      <c r="H7096" t="str">
        <f>IF(WEEKDAY(A7096,2)&gt;5,"Weekend","Weekday")</f>
        <v>Weekday</v>
      </c>
      <c r="I7096" t="str">
        <f>_xlfn.IFS(B7096&lt;=5,"Night (0-5)",B7096&lt;=9,"Morning peak (6-9)",B7096&lt;=15,"Midday (10-15)",B7096&lt;=19,"Evening peak (16-19)",TRUE,"Late evening (20-23)")</f>
        <v>Night (0-5)</v>
      </c>
    </row>
    <row r="7097" spans="1:9">
      <c r="A7097" s="32">
        <v>42118</v>
      </c>
      <c r="B7097">
        <v>2</v>
      </c>
      <c r="C7097">
        <v>1212</v>
      </c>
      <c r="D7097" t="s">
        <v>304</v>
      </c>
      <c r="E7097">
        <f>YEAR(A7097)</f>
        <v>2015</v>
      </c>
      <c r="F7097" s="33">
        <f>DATE(YEAR(A7097),MONTH(A7097),1)</f>
        <v>42095.0</v>
      </c>
      <c r="G7097" t="str">
        <f>CHOOSE(WEEKDAY(A7097,2),"Mon","Tue","Wed","Thu","Fri","Sat","Sun")</f>
        <v>Fri</v>
      </c>
      <c r="H7097" t="str">
        <f>IF(WEEKDAY(A7097,2)&gt;5,"Weekend","Weekday")</f>
        <v>Weekday</v>
      </c>
      <c r="I7097" t="str">
        <f>_xlfn.IFS(B7097&lt;=5,"Night (0-5)",B7097&lt;=9,"Morning peak (6-9)",B7097&lt;=15,"Midday (10-15)",B7097&lt;=19,"Evening peak (16-19)",TRUE,"Late evening (20-23)")</f>
        <v>Night (0-5)</v>
      </c>
    </row>
    <row r="7098" spans="1:9">
      <c r="A7098" s="32">
        <v>42118</v>
      </c>
      <c r="B7098">
        <v>3</v>
      </c>
      <c r="C7098">
        <v>785</v>
      </c>
      <c r="D7098" t="s">
        <v>304</v>
      </c>
      <c r="E7098">
        <f>YEAR(A7098)</f>
        <v>2015</v>
      </c>
      <c r="F7098" s="33">
        <f>DATE(YEAR(A7098),MONTH(A7098),1)</f>
        <v>42095.0</v>
      </c>
      <c r="G7098" t="str">
        <f>CHOOSE(WEEKDAY(A7098,2),"Mon","Tue","Wed","Thu","Fri","Sat","Sun")</f>
        <v>Fri</v>
      </c>
      <c r="H7098" t="str">
        <f>IF(WEEKDAY(A7098,2)&gt;5,"Weekend","Weekday")</f>
        <v>Weekday</v>
      </c>
      <c r="I7098" t="str">
        <f>_xlfn.IFS(B7098&lt;=5,"Night (0-5)",B7098&lt;=9,"Morning peak (6-9)",B7098&lt;=15,"Midday (10-15)",B7098&lt;=19,"Evening peak (16-19)",TRUE,"Late evening (20-23)")</f>
        <v>Night (0-5)</v>
      </c>
    </row>
    <row r="7099" spans="1:9">
      <c r="A7099" s="32">
        <v>42118</v>
      </c>
      <c r="B7099">
        <v>4</v>
      </c>
      <c r="C7099">
        <v>954</v>
      </c>
      <c r="D7099" t="s">
        <v>304</v>
      </c>
      <c r="E7099">
        <f>YEAR(A7099)</f>
        <v>2015</v>
      </c>
      <c r="F7099" s="33">
        <f>DATE(YEAR(A7099),MONTH(A7099),1)</f>
        <v>42095.0</v>
      </c>
      <c r="G7099" t="str">
        <f>CHOOSE(WEEKDAY(A7099,2),"Mon","Tue","Wed","Thu","Fri","Sat","Sun")</f>
        <v>Fri</v>
      </c>
      <c r="H7099" t="str">
        <f>IF(WEEKDAY(A7099,2)&gt;5,"Weekend","Weekday")</f>
        <v>Weekday</v>
      </c>
      <c r="I7099" t="str">
        <f>_xlfn.IFS(B7099&lt;=5,"Night (0-5)",B7099&lt;=9,"Morning peak (6-9)",B7099&lt;=15,"Midday (10-15)",B7099&lt;=19,"Evening peak (16-19)",TRUE,"Late evening (20-23)")</f>
        <v>Night (0-5)</v>
      </c>
    </row>
    <row r="7100" spans="1:9">
      <c r="A7100" s="32">
        <v>42118</v>
      </c>
      <c r="B7100">
        <v>5</v>
      </c>
      <c r="C7100">
        <v>1287</v>
      </c>
      <c r="D7100" t="s">
        <v>304</v>
      </c>
      <c r="E7100">
        <f>YEAR(A7100)</f>
        <v>2015</v>
      </c>
      <c r="F7100" s="33">
        <f>DATE(YEAR(A7100),MONTH(A7100),1)</f>
        <v>42095.0</v>
      </c>
      <c r="G7100" t="str">
        <f>CHOOSE(WEEKDAY(A7100,2),"Mon","Tue","Wed","Thu","Fri","Sat","Sun")</f>
        <v>Fri</v>
      </c>
      <c r="H7100" t="str">
        <f>IF(WEEKDAY(A7100,2)&gt;5,"Weekend","Weekday")</f>
        <v>Weekday</v>
      </c>
      <c r="I7100" t="str">
        <f>_xlfn.IFS(B7100&lt;=5,"Night (0-5)",B7100&lt;=9,"Morning peak (6-9)",B7100&lt;=15,"Midday (10-15)",B7100&lt;=19,"Evening peak (16-19)",TRUE,"Late evening (20-23)")</f>
        <v>Night (0-5)</v>
      </c>
    </row>
    <row r="7101" spans="1:9">
      <c r="A7101" s="32">
        <v>42118</v>
      </c>
      <c r="B7101">
        <v>6</v>
      </c>
      <c r="C7101">
        <v>2009</v>
      </c>
      <c r="D7101" t="s">
        <v>304</v>
      </c>
      <c r="E7101">
        <f>YEAR(A7101)</f>
        <v>2015</v>
      </c>
      <c r="F7101" s="33">
        <f>DATE(YEAR(A7101),MONTH(A7101),1)</f>
        <v>42095.0</v>
      </c>
      <c r="G7101" t="str">
        <f>CHOOSE(WEEKDAY(A7101,2),"Mon","Tue","Wed","Thu","Fri","Sat","Sun")</f>
        <v>Fri</v>
      </c>
      <c r="H7101" t="str">
        <f>IF(WEEKDAY(A7101,2)&gt;5,"Weekend","Weekday")</f>
        <v>Weekday</v>
      </c>
      <c r="I7101" t="str">
        <f>_xlfn.IFS(B7101&lt;=5,"Night (0-5)",B7101&lt;=9,"Morning peak (6-9)",B7101&lt;=15,"Midday (10-15)",B7101&lt;=19,"Evening peak (16-19)",TRUE,"Late evening (20-23)")</f>
        <v>Morning peak (6-9)</v>
      </c>
    </row>
    <row r="7102" spans="1:9">
      <c r="A7102" s="32">
        <v>42118</v>
      </c>
      <c r="B7102">
        <v>7</v>
      </c>
      <c r="C7102">
        <v>3137</v>
      </c>
      <c r="D7102" t="s">
        <v>304</v>
      </c>
      <c r="E7102">
        <f>YEAR(A7102)</f>
        <v>2015</v>
      </c>
      <c r="F7102" s="33">
        <f>DATE(YEAR(A7102),MONTH(A7102),1)</f>
        <v>42095.0</v>
      </c>
      <c r="G7102" t="str">
        <f>CHOOSE(WEEKDAY(A7102,2),"Mon","Tue","Wed","Thu","Fri","Sat","Sun")</f>
        <v>Fri</v>
      </c>
      <c r="H7102" t="str">
        <f>IF(WEEKDAY(A7102,2)&gt;5,"Weekend","Weekday")</f>
        <v>Weekday</v>
      </c>
      <c r="I7102" t="str">
        <f>_xlfn.IFS(B7102&lt;=5,"Night (0-5)",B7102&lt;=9,"Morning peak (6-9)",B7102&lt;=15,"Midday (10-15)",B7102&lt;=19,"Evening peak (16-19)",TRUE,"Late evening (20-23)")</f>
        <v>Morning peak (6-9)</v>
      </c>
    </row>
    <row r="7103" spans="1:9">
      <c r="A7103" s="32">
        <v>42118</v>
      </c>
      <c r="B7103">
        <v>8</v>
      </c>
      <c r="C7103">
        <v>4206</v>
      </c>
      <c r="D7103" t="s">
        <v>304</v>
      </c>
      <c r="E7103">
        <f>YEAR(A7103)</f>
        <v>2015</v>
      </c>
      <c r="F7103" s="33">
        <f>DATE(YEAR(A7103),MONTH(A7103),1)</f>
        <v>42095.0</v>
      </c>
      <c r="G7103" t="str">
        <f>CHOOSE(WEEKDAY(A7103,2),"Mon","Tue","Wed","Thu","Fri","Sat","Sun")</f>
        <v>Fri</v>
      </c>
      <c r="H7103" t="str">
        <f>IF(WEEKDAY(A7103,2)&gt;5,"Weekend","Weekday")</f>
        <v>Weekday</v>
      </c>
      <c r="I7103" t="str">
        <f>_xlfn.IFS(B7103&lt;=5,"Night (0-5)",B7103&lt;=9,"Morning peak (6-9)",B7103&lt;=15,"Midday (10-15)",B7103&lt;=19,"Evening peak (16-19)",TRUE,"Late evening (20-23)")</f>
        <v>Morning peak (6-9)</v>
      </c>
    </row>
    <row r="7104" spans="1:9">
      <c r="A7104" s="32">
        <v>42118</v>
      </c>
      <c r="B7104">
        <v>9</v>
      </c>
      <c r="C7104">
        <v>4198</v>
      </c>
      <c r="D7104" t="s">
        <v>304</v>
      </c>
      <c r="E7104">
        <f>YEAR(A7104)</f>
        <v>2015</v>
      </c>
      <c r="F7104" s="33">
        <f>DATE(YEAR(A7104),MONTH(A7104),1)</f>
        <v>42095.0</v>
      </c>
      <c r="G7104" t="str">
        <f>CHOOSE(WEEKDAY(A7104,2),"Mon","Tue","Wed","Thu","Fri","Sat","Sun")</f>
        <v>Fri</v>
      </c>
      <c r="H7104" t="str">
        <f>IF(WEEKDAY(A7104,2)&gt;5,"Weekend","Weekday")</f>
        <v>Weekday</v>
      </c>
      <c r="I7104" t="str">
        <f>_xlfn.IFS(B7104&lt;=5,"Night (0-5)",B7104&lt;=9,"Morning peak (6-9)",B7104&lt;=15,"Midday (10-15)",B7104&lt;=19,"Evening peak (16-19)",TRUE,"Late evening (20-23)")</f>
        <v>Morning peak (6-9)</v>
      </c>
    </row>
    <row r="7105" spans="1:9">
      <c r="A7105" s="32">
        <v>42118</v>
      </c>
      <c r="B7105">
        <v>10</v>
      </c>
      <c r="C7105">
        <v>3415</v>
      </c>
      <c r="D7105" t="s">
        <v>304</v>
      </c>
      <c r="E7105">
        <f>YEAR(A7105)</f>
        <v>2015</v>
      </c>
      <c r="F7105" s="33">
        <f>DATE(YEAR(A7105),MONTH(A7105),1)</f>
        <v>42095.0</v>
      </c>
      <c r="G7105" t="str">
        <f>CHOOSE(WEEKDAY(A7105,2),"Mon","Tue","Wed","Thu","Fri","Sat","Sun")</f>
        <v>Fri</v>
      </c>
      <c r="H7105" t="str">
        <f>IF(WEEKDAY(A7105,2)&gt;5,"Weekend","Weekday")</f>
        <v>Weekday</v>
      </c>
      <c r="I7105" t="str">
        <f>_xlfn.IFS(B7105&lt;=5,"Night (0-5)",B7105&lt;=9,"Morning peak (6-9)",B7105&lt;=15,"Midday (10-15)",B7105&lt;=19,"Evening peak (16-19)",TRUE,"Late evening (20-23)")</f>
        <v>Midday (10-15)</v>
      </c>
    </row>
    <row r="7106" spans="1:9">
      <c r="A7106" s="32">
        <v>42118</v>
      </c>
      <c r="B7106">
        <v>11</v>
      </c>
      <c r="C7106">
        <v>3245</v>
      </c>
      <c r="D7106" t="s">
        <v>304</v>
      </c>
      <c r="E7106">
        <f>YEAR(A7106)</f>
        <v>2015</v>
      </c>
      <c r="F7106" s="33">
        <f>DATE(YEAR(A7106),MONTH(A7106),1)</f>
        <v>42095.0</v>
      </c>
      <c r="G7106" t="str">
        <f>CHOOSE(WEEKDAY(A7106,2),"Mon","Tue","Wed","Thu","Fri","Sat","Sun")</f>
        <v>Fri</v>
      </c>
      <c r="H7106" t="str">
        <f>IF(WEEKDAY(A7106,2)&gt;5,"Weekend","Weekday")</f>
        <v>Weekday</v>
      </c>
      <c r="I7106" t="str">
        <f>_xlfn.IFS(B7106&lt;=5,"Night (0-5)",B7106&lt;=9,"Morning peak (6-9)",B7106&lt;=15,"Midday (10-15)",B7106&lt;=19,"Evening peak (16-19)",TRUE,"Late evening (20-23)")</f>
        <v>Midday (10-15)</v>
      </c>
    </row>
    <row r="7107" spans="1:9">
      <c r="A7107" s="32">
        <v>42118</v>
      </c>
      <c r="B7107">
        <v>12</v>
      </c>
      <c r="C7107">
        <v>3136</v>
      </c>
      <c r="D7107" t="s">
        <v>304</v>
      </c>
      <c r="E7107">
        <f>YEAR(A7107)</f>
        <v>2015</v>
      </c>
      <c r="F7107" s="33">
        <f>DATE(YEAR(A7107),MONTH(A7107),1)</f>
        <v>42095.0</v>
      </c>
      <c r="G7107" t="str">
        <f>CHOOSE(WEEKDAY(A7107,2),"Mon","Tue","Wed","Thu","Fri","Sat","Sun")</f>
        <v>Fri</v>
      </c>
      <c r="H7107" t="str">
        <f>IF(WEEKDAY(A7107,2)&gt;5,"Weekend","Weekday")</f>
        <v>Weekday</v>
      </c>
      <c r="I7107" t="str">
        <f>_xlfn.IFS(B7107&lt;=5,"Night (0-5)",B7107&lt;=9,"Morning peak (6-9)",B7107&lt;=15,"Midday (10-15)",B7107&lt;=19,"Evening peak (16-19)",TRUE,"Late evening (20-23)")</f>
        <v>Midday (10-15)</v>
      </c>
    </row>
    <row r="7108" spans="1:9">
      <c r="A7108" s="32">
        <v>42118</v>
      </c>
      <c r="B7108">
        <v>13</v>
      </c>
      <c r="C7108">
        <v>3093</v>
      </c>
      <c r="D7108" t="s">
        <v>304</v>
      </c>
      <c r="E7108">
        <f>YEAR(A7108)</f>
        <v>2015</v>
      </c>
      <c r="F7108" s="33">
        <f>DATE(YEAR(A7108),MONTH(A7108),1)</f>
        <v>42095.0</v>
      </c>
      <c r="G7108" t="str">
        <f>CHOOSE(WEEKDAY(A7108,2),"Mon","Tue","Wed","Thu","Fri","Sat","Sun")</f>
        <v>Fri</v>
      </c>
      <c r="H7108" t="str">
        <f>IF(WEEKDAY(A7108,2)&gt;5,"Weekend","Weekday")</f>
        <v>Weekday</v>
      </c>
      <c r="I7108" t="str">
        <f>_xlfn.IFS(B7108&lt;=5,"Night (0-5)",B7108&lt;=9,"Morning peak (6-9)",B7108&lt;=15,"Midday (10-15)",B7108&lt;=19,"Evening peak (16-19)",TRUE,"Late evening (20-23)")</f>
        <v>Midday (10-15)</v>
      </c>
    </row>
    <row r="7109" spans="1:9">
      <c r="A7109" s="32">
        <v>42118</v>
      </c>
      <c r="B7109">
        <v>14</v>
      </c>
      <c r="C7109">
        <v>3574</v>
      </c>
      <c r="D7109" t="s">
        <v>304</v>
      </c>
      <c r="E7109">
        <f>YEAR(A7109)</f>
        <v>2015</v>
      </c>
      <c r="F7109" s="33">
        <f>DATE(YEAR(A7109),MONTH(A7109),1)</f>
        <v>42095.0</v>
      </c>
      <c r="G7109" t="str">
        <f>CHOOSE(WEEKDAY(A7109,2),"Mon","Tue","Wed","Thu","Fri","Sat","Sun")</f>
        <v>Fri</v>
      </c>
      <c r="H7109" t="str">
        <f>IF(WEEKDAY(A7109,2)&gt;5,"Weekend","Weekday")</f>
        <v>Weekday</v>
      </c>
      <c r="I7109" t="str">
        <f>_xlfn.IFS(B7109&lt;=5,"Night (0-5)",B7109&lt;=9,"Morning peak (6-9)",B7109&lt;=15,"Midday (10-15)",B7109&lt;=19,"Evening peak (16-19)",TRUE,"Late evening (20-23)")</f>
        <v>Midday (10-15)</v>
      </c>
    </row>
    <row r="7110" spans="1:9">
      <c r="A7110" s="32">
        <v>42118</v>
      </c>
      <c r="B7110">
        <v>15</v>
      </c>
      <c r="C7110">
        <v>4079</v>
      </c>
      <c r="D7110" t="s">
        <v>304</v>
      </c>
      <c r="E7110">
        <f>YEAR(A7110)</f>
        <v>2015</v>
      </c>
      <c r="F7110" s="33">
        <f>DATE(YEAR(A7110),MONTH(A7110),1)</f>
        <v>42095.0</v>
      </c>
      <c r="G7110" t="str">
        <f>CHOOSE(WEEKDAY(A7110,2),"Mon","Tue","Wed","Thu","Fri","Sat","Sun")</f>
        <v>Fri</v>
      </c>
      <c r="H7110" t="str">
        <f>IF(WEEKDAY(A7110,2)&gt;5,"Weekend","Weekday")</f>
        <v>Weekday</v>
      </c>
      <c r="I7110" t="str">
        <f>_xlfn.IFS(B7110&lt;=5,"Night (0-5)",B7110&lt;=9,"Morning peak (6-9)",B7110&lt;=15,"Midday (10-15)",B7110&lt;=19,"Evening peak (16-19)",TRUE,"Late evening (20-23)")</f>
        <v>Midday (10-15)</v>
      </c>
    </row>
    <row r="7111" spans="1:9">
      <c r="A7111" s="32">
        <v>42118</v>
      </c>
      <c r="B7111">
        <v>16</v>
      </c>
      <c r="C7111">
        <v>4584</v>
      </c>
      <c r="D7111" t="s">
        <v>304</v>
      </c>
      <c r="E7111">
        <f>YEAR(A7111)</f>
        <v>2015</v>
      </c>
      <c r="F7111" s="33">
        <f>DATE(YEAR(A7111),MONTH(A7111),1)</f>
        <v>42095.0</v>
      </c>
      <c r="G7111" t="str">
        <f>CHOOSE(WEEKDAY(A7111,2),"Mon","Tue","Wed","Thu","Fri","Sat","Sun")</f>
        <v>Fri</v>
      </c>
      <c r="H7111" t="str">
        <f>IF(WEEKDAY(A7111,2)&gt;5,"Weekend","Weekday")</f>
        <v>Weekday</v>
      </c>
      <c r="I7111" t="str">
        <f>_xlfn.IFS(B7111&lt;=5,"Night (0-5)",B7111&lt;=9,"Morning peak (6-9)",B7111&lt;=15,"Midday (10-15)",B7111&lt;=19,"Evening peak (16-19)",TRUE,"Late evening (20-23)")</f>
        <v>Evening peak (16-19)</v>
      </c>
    </row>
    <row r="7112" spans="1:9">
      <c r="A7112" s="32">
        <v>42118</v>
      </c>
      <c r="B7112">
        <v>17</v>
      </c>
      <c r="C7112">
        <v>5265</v>
      </c>
      <c r="D7112" t="s">
        <v>304</v>
      </c>
      <c r="E7112">
        <f>YEAR(A7112)</f>
        <v>2015</v>
      </c>
      <c r="F7112" s="33">
        <f>DATE(YEAR(A7112),MONTH(A7112),1)</f>
        <v>42095.0</v>
      </c>
      <c r="G7112" t="str">
        <f>CHOOSE(WEEKDAY(A7112,2),"Mon","Tue","Wed","Thu","Fri","Sat","Sun")</f>
        <v>Fri</v>
      </c>
      <c r="H7112" t="str">
        <f>IF(WEEKDAY(A7112,2)&gt;5,"Weekend","Weekday")</f>
        <v>Weekday</v>
      </c>
      <c r="I7112" t="str">
        <f>_xlfn.IFS(B7112&lt;=5,"Night (0-5)",B7112&lt;=9,"Morning peak (6-9)",B7112&lt;=15,"Midday (10-15)",B7112&lt;=19,"Evening peak (16-19)",TRUE,"Late evening (20-23)")</f>
        <v>Evening peak (16-19)</v>
      </c>
    </row>
    <row r="7113" spans="1:9">
      <c r="A7113" s="32">
        <v>42118</v>
      </c>
      <c r="B7113">
        <v>18</v>
      </c>
      <c r="C7113">
        <v>6437</v>
      </c>
      <c r="D7113" t="s">
        <v>304</v>
      </c>
      <c r="E7113">
        <f>YEAR(A7113)</f>
        <v>2015</v>
      </c>
      <c r="F7113" s="33">
        <f>DATE(YEAR(A7113),MONTH(A7113),1)</f>
        <v>42095.0</v>
      </c>
      <c r="G7113" t="str">
        <f>CHOOSE(WEEKDAY(A7113,2),"Mon","Tue","Wed","Thu","Fri","Sat","Sun")</f>
        <v>Fri</v>
      </c>
      <c r="H7113" t="str">
        <f>IF(WEEKDAY(A7113,2)&gt;5,"Weekend","Weekday")</f>
        <v>Weekday</v>
      </c>
      <c r="I7113" t="str">
        <f>_xlfn.IFS(B7113&lt;=5,"Night (0-5)",B7113&lt;=9,"Morning peak (6-9)",B7113&lt;=15,"Midday (10-15)",B7113&lt;=19,"Evening peak (16-19)",TRUE,"Late evening (20-23)")</f>
        <v>Evening peak (16-19)</v>
      </c>
    </row>
    <row r="7114" spans="1:9">
      <c r="A7114" s="32">
        <v>42118</v>
      </c>
      <c r="B7114">
        <v>19</v>
      </c>
      <c r="C7114">
        <v>7441</v>
      </c>
      <c r="D7114" t="s">
        <v>304</v>
      </c>
      <c r="E7114">
        <f>YEAR(A7114)</f>
        <v>2015</v>
      </c>
      <c r="F7114" s="33">
        <f>DATE(YEAR(A7114),MONTH(A7114),1)</f>
        <v>42095.0</v>
      </c>
      <c r="G7114" t="str">
        <f>CHOOSE(WEEKDAY(A7114,2),"Mon","Tue","Wed","Thu","Fri","Sat","Sun")</f>
        <v>Fri</v>
      </c>
      <c r="H7114" t="str">
        <f>IF(WEEKDAY(A7114,2)&gt;5,"Weekend","Weekday")</f>
        <v>Weekday</v>
      </c>
      <c r="I7114" t="str">
        <f>_xlfn.IFS(B7114&lt;=5,"Night (0-5)",B7114&lt;=9,"Morning peak (6-9)",B7114&lt;=15,"Midday (10-15)",B7114&lt;=19,"Evening peak (16-19)",TRUE,"Late evening (20-23)")</f>
        <v>Evening peak (16-19)</v>
      </c>
    </row>
    <row r="7115" spans="1:9">
      <c r="A7115" s="32">
        <v>42118</v>
      </c>
      <c r="B7115">
        <v>20</v>
      </c>
      <c r="C7115">
        <v>7692</v>
      </c>
      <c r="D7115" t="s">
        <v>304</v>
      </c>
      <c r="E7115">
        <f>YEAR(A7115)</f>
        <v>2015</v>
      </c>
      <c r="F7115" s="33">
        <f>DATE(YEAR(A7115),MONTH(A7115),1)</f>
        <v>42095.0</v>
      </c>
      <c r="G7115" t="str">
        <f>CHOOSE(WEEKDAY(A7115,2),"Mon","Tue","Wed","Thu","Fri","Sat","Sun")</f>
        <v>Fri</v>
      </c>
      <c r="H7115" t="str">
        <f>IF(WEEKDAY(A7115,2)&gt;5,"Weekend","Weekday")</f>
        <v>Weekday</v>
      </c>
      <c r="I7115" t="str">
        <f>_xlfn.IFS(B7115&lt;=5,"Night (0-5)",B7115&lt;=9,"Morning peak (6-9)",B7115&lt;=15,"Midday (10-15)",B7115&lt;=19,"Evening peak (16-19)",TRUE,"Late evening (20-23)")</f>
        <v>Late evening (20-23)</v>
      </c>
    </row>
    <row r="7116" spans="1:9">
      <c r="A7116" s="32">
        <v>42118</v>
      </c>
      <c r="B7116">
        <v>21</v>
      </c>
      <c r="C7116">
        <v>7530</v>
      </c>
      <c r="D7116" t="s">
        <v>304</v>
      </c>
      <c r="E7116">
        <f>YEAR(A7116)</f>
        <v>2015</v>
      </c>
      <c r="F7116" s="33">
        <f>DATE(YEAR(A7116),MONTH(A7116),1)</f>
        <v>42095.0</v>
      </c>
      <c r="G7116" t="str">
        <f>CHOOSE(WEEKDAY(A7116,2),"Mon","Tue","Wed","Thu","Fri","Sat","Sun")</f>
        <v>Fri</v>
      </c>
      <c r="H7116" t="str">
        <f>IF(WEEKDAY(A7116,2)&gt;5,"Weekend","Weekday")</f>
        <v>Weekday</v>
      </c>
      <c r="I7116" t="str">
        <f>_xlfn.IFS(B7116&lt;=5,"Night (0-5)",B7116&lt;=9,"Morning peak (6-9)",B7116&lt;=15,"Midday (10-15)",B7116&lt;=19,"Evening peak (16-19)",TRUE,"Late evening (20-23)")</f>
        <v>Late evening (20-23)</v>
      </c>
    </row>
    <row r="7117" spans="1:9">
      <c r="A7117" s="32">
        <v>42118</v>
      </c>
      <c r="B7117">
        <v>22</v>
      </c>
      <c r="C7117">
        <v>8091</v>
      </c>
      <c r="D7117" t="s">
        <v>304</v>
      </c>
      <c r="E7117">
        <f>YEAR(A7117)</f>
        <v>2015</v>
      </c>
      <c r="F7117" s="33">
        <f>DATE(YEAR(A7117),MONTH(A7117),1)</f>
        <v>42095.0</v>
      </c>
      <c r="G7117" t="str">
        <f>CHOOSE(WEEKDAY(A7117,2),"Mon","Tue","Wed","Thu","Fri","Sat","Sun")</f>
        <v>Fri</v>
      </c>
      <c r="H7117" t="str">
        <f>IF(WEEKDAY(A7117,2)&gt;5,"Weekend","Weekday")</f>
        <v>Weekday</v>
      </c>
      <c r="I7117" t="str">
        <f>_xlfn.IFS(B7117&lt;=5,"Night (0-5)",B7117&lt;=9,"Morning peak (6-9)",B7117&lt;=15,"Midday (10-15)",B7117&lt;=19,"Evening peak (16-19)",TRUE,"Late evening (20-23)")</f>
        <v>Late evening (20-23)</v>
      </c>
    </row>
    <row r="7118" spans="1:9">
      <c r="A7118" s="32">
        <v>42118</v>
      </c>
      <c r="B7118">
        <v>23</v>
      </c>
      <c r="C7118">
        <v>8741</v>
      </c>
      <c r="D7118" t="s">
        <v>304</v>
      </c>
      <c r="E7118">
        <f>YEAR(A7118)</f>
        <v>2015</v>
      </c>
      <c r="F7118" s="33">
        <f>DATE(YEAR(A7118),MONTH(A7118),1)</f>
        <v>42095.0</v>
      </c>
      <c r="G7118" t="str">
        <f>CHOOSE(WEEKDAY(A7118,2),"Mon","Tue","Wed","Thu","Fri","Sat","Sun")</f>
        <v>Fri</v>
      </c>
      <c r="H7118" t="str">
        <f>IF(WEEKDAY(A7118,2)&gt;5,"Weekend","Weekday")</f>
        <v>Weekday</v>
      </c>
      <c r="I7118" t="str">
        <f>_xlfn.IFS(B7118&lt;=5,"Night (0-5)",B7118&lt;=9,"Morning peak (6-9)",B7118&lt;=15,"Midday (10-15)",B7118&lt;=19,"Evening peak (16-19)",TRUE,"Late evening (20-23)")</f>
        <v>Late evening (20-23)</v>
      </c>
    </row>
    <row r="7119" spans="1:9">
      <c r="A7119" s="32">
        <v>42119</v>
      </c>
      <c r="B7119">
        <v>0</v>
      </c>
      <c r="C7119">
        <v>7288</v>
      </c>
      <c r="D7119" t="s">
        <v>304</v>
      </c>
      <c r="E7119">
        <f>YEAR(A7119)</f>
        <v>2015</v>
      </c>
      <c r="F7119" s="33">
        <f>DATE(YEAR(A7119),MONTH(A7119),1)</f>
        <v>42095.0</v>
      </c>
      <c r="G7119" t="str">
        <f>CHOOSE(WEEKDAY(A7119,2),"Mon","Tue","Wed","Thu","Fri","Sat","Sun")</f>
        <v>Sat</v>
      </c>
      <c r="H7119" t="str">
        <f>IF(WEEKDAY(A7119,2)&gt;5,"Weekend","Weekday")</f>
        <v>Weekend</v>
      </c>
      <c r="I7119" t="str">
        <f>_xlfn.IFS(B7119&lt;=5,"Night (0-5)",B7119&lt;=9,"Morning peak (6-9)",B7119&lt;=15,"Midday (10-15)",B7119&lt;=19,"Evening peak (16-19)",TRUE,"Late evening (20-23)")</f>
        <v>Night (0-5)</v>
      </c>
    </row>
    <row r="7120" spans="1:9">
      <c r="A7120" s="32">
        <v>42119</v>
      </c>
      <c r="B7120">
        <v>1</v>
      </c>
      <c r="C7120">
        <v>4959</v>
      </c>
      <c r="D7120" t="s">
        <v>304</v>
      </c>
      <c r="E7120">
        <f>YEAR(A7120)</f>
        <v>2015</v>
      </c>
      <c r="F7120" s="33">
        <f>DATE(YEAR(A7120),MONTH(A7120),1)</f>
        <v>42095.0</v>
      </c>
      <c r="G7120" t="str">
        <f>CHOOSE(WEEKDAY(A7120,2),"Mon","Tue","Wed","Thu","Fri","Sat","Sun")</f>
        <v>Sat</v>
      </c>
      <c r="H7120" t="str">
        <f>IF(WEEKDAY(A7120,2)&gt;5,"Weekend","Weekday")</f>
        <v>Weekend</v>
      </c>
      <c r="I7120" t="str">
        <f>_xlfn.IFS(B7120&lt;=5,"Night (0-5)",B7120&lt;=9,"Morning peak (6-9)",B7120&lt;=15,"Midday (10-15)",B7120&lt;=19,"Evening peak (16-19)",TRUE,"Late evening (20-23)")</f>
        <v>Night (0-5)</v>
      </c>
    </row>
    <row r="7121" spans="1:9">
      <c r="A7121" s="32">
        <v>42119</v>
      </c>
      <c r="B7121">
        <v>2</v>
      </c>
      <c r="C7121">
        <v>3147</v>
      </c>
      <c r="D7121" t="s">
        <v>304</v>
      </c>
      <c r="E7121">
        <f>YEAR(A7121)</f>
        <v>2015</v>
      </c>
      <c r="F7121" s="33">
        <f>DATE(YEAR(A7121),MONTH(A7121),1)</f>
        <v>42095.0</v>
      </c>
      <c r="G7121" t="str">
        <f>CHOOSE(WEEKDAY(A7121,2),"Mon","Tue","Wed","Thu","Fri","Sat","Sun")</f>
        <v>Sat</v>
      </c>
      <c r="H7121" t="str">
        <f>IF(WEEKDAY(A7121,2)&gt;5,"Weekend","Weekday")</f>
        <v>Weekend</v>
      </c>
      <c r="I7121" t="str">
        <f>_xlfn.IFS(B7121&lt;=5,"Night (0-5)",B7121&lt;=9,"Morning peak (6-9)",B7121&lt;=15,"Midday (10-15)",B7121&lt;=19,"Evening peak (16-19)",TRUE,"Late evening (20-23)")</f>
        <v>Night (0-5)</v>
      </c>
    </row>
    <row r="7122" spans="1:9">
      <c r="A7122" s="32">
        <v>42119</v>
      </c>
      <c r="B7122">
        <v>3</v>
      </c>
      <c r="C7122">
        <v>2058</v>
      </c>
      <c r="D7122" t="s">
        <v>304</v>
      </c>
      <c r="E7122">
        <f>YEAR(A7122)</f>
        <v>2015</v>
      </c>
      <c r="F7122" s="33">
        <f>DATE(YEAR(A7122),MONTH(A7122),1)</f>
        <v>42095.0</v>
      </c>
      <c r="G7122" t="str">
        <f>CHOOSE(WEEKDAY(A7122,2),"Mon","Tue","Wed","Thu","Fri","Sat","Sun")</f>
        <v>Sat</v>
      </c>
      <c r="H7122" t="str">
        <f>IF(WEEKDAY(A7122,2)&gt;5,"Weekend","Weekday")</f>
        <v>Weekend</v>
      </c>
      <c r="I7122" t="str">
        <f>_xlfn.IFS(B7122&lt;=5,"Night (0-5)",B7122&lt;=9,"Morning peak (6-9)",B7122&lt;=15,"Midday (10-15)",B7122&lt;=19,"Evening peak (16-19)",TRUE,"Late evening (20-23)")</f>
        <v>Night (0-5)</v>
      </c>
    </row>
    <row r="7123" spans="1:9">
      <c r="A7123" s="32">
        <v>42119</v>
      </c>
      <c r="B7123">
        <v>4</v>
      </c>
      <c r="C7123">
        <v>1533</v>
      </c>
      <c r="D7123" t="s">
        <v>304</v>
      </c>
      <c r="E7123">
        <f>YEAR(A7123)</f>
        <v>2015</v>
      </c>
      <c r="F7123" s="33">
        <f>DATE(YEAR(A7123),MONTH(A7123),1)</f>
        <v>42095.0</v>
      </c>
      <c r="G7123" t="str">
        <f>CHOOSE(WEEKDAY(A7123,2),"Mon","Tue","Wed","Thu","Fri","Sat","Sun")</f>
        <v>Sat</v>
      </c>
      <c r="H7123" t="str">
        <f>IF(WEEKDAY(A7123,2)&gt;5,"Weekend","Weekday")</f>
        <v>Weekend</v>
      </c>
      <c r="I7123" t="str">
        <f>_xlfn.IFS(B7123&lt;=5,"Night (0-5)",B7123&lt;=9,"Morning peak (6-9)",B7123&lt;=15,"Midday (10-15)",B7123&lt;=19,"Evening peak (16-19)",TRUE,"Late evening (20-23)")</f>
        <v>Night (0-5)</v>
      </c>
    </row>
    <row r="7124" spans="1:9">
      <c r="A7124" s="32">
        <v>42119</v>
      </c>
      <c r="B7124">
        <v>5</v>
      </c>
      <c r="C7124">
        <v>1126</v>
      </c>
      <c r="D7124" t="s">
        <v>304</v>
      </c>
      <c r="E7124">
        <f>YEAR(A7124)</f>
        <v>2015</v>
      </c>
      <c r="F7124" s="33">
        <f>DATE(YEAR(A7124),MONTH(A7124),1)</f>
        <v>42095.0</v>
      </c>
      <c r="G7124" t="str">
        <f>CHOOSE(WEEKDAY(A7124,2),"Mon","Tue","Wed","Thu","Fri","Sat","Sun")</f>
        <v>Sat</v>
      </c>
      <c r="H7124" t="str">
        <f>IF(WEEKDAY(A7124,2)&gt;5,"Weekend","Weekday")</f>
        <v>Weekend</v>
      </c>
      <c r="I7124" t="str">
        <f>_xlfn.IFS(B7124&lt;=5,"Night (0-5)",B7124&lt;=9,"Morning peak (6-9)",B7124&lt;=15,"Midday (10-15)",B7124&lt;=19,"Evening peak (16-19)",TRUE,"Late evening (20-23)")</f>
        <v>Night (0-5)</v>
      </c>
    </row>
    <row r="7125" spans="1:9">
      <c r="A7125" s="32">
        <v>42119</v>
      </c>
      <c r="B7125">
        <v>6</v>
      </c>
      <c r="C7125">
        <v>1134</v>
      </c>
      <c r="D7125" t="s">
        <v>304</v>
      </c>
      <c r="E7125">
        <f>YEAR(A7125)</f>
        <v>2015</v>
      </c>
      <c r="F7125" s="33">
        <f>DATE(YEAR(A7125),MONTH(A7125),1)</f>
        <v>42095.0</v>
      </c>
      <c r="G7125" t="str">
        <f>CHOOSE(WEEKDAY(A7125,2),"Mon","Tue","Wed","Thu","Fri","Sat","Sun")</f>
        <v>Sat</v>
      </c>
      <c r="H7125" t="str">
        <f>IF(WEEKDAY(A7125,2)&gt;5,"Weekend","Weekday")</f>
        <v>Weekend</v>
      </c>
      <c r="I7125" t="str">
        <f>_xlfn.IFS(B7125&lt;=5,"Night (0-5)",B7125&lt;=9,"Morning peak (6-9)",B7125&lt;=15,"Midday (10-15)",B7125&lt;=19,"Evening peak (16-19)",TRUE,"Late evening (20-23)")</f>
        <v>Morning peak (6-9)</v>
      </c>
    </row>
    <row r="7126" spans="1:9">
      <c r="A7126" s="32">
        <v>42119</v>
      </c>
      <c r="B7126">
        <v>7</v>
      </c>
      <c r="C7126">
        <v>1336</v>
      </c>
      <c r="D7126" t="s">
        <v>304</v>
      </c>
      <c r="E7126">
        <f>YEAR(A7126)</f>
        <v>2015</v>
      </c>
      <c r="F7126" s="33">
        <f>DATE(YEAR(A7126),MONTH(A7126),1)</f>
        <v>42095.0</v>
      </c>
      <c r="G7126" t="str">
        <f>CHOOSE(WEEKDAY(A7126,2),"Mon","Tue","Wed","Thu","Fri","Sat","Sun")</f>
        <v>Sat</v>
      </c>
      <c r="H7126" t="str">
        <f>IF(WEEKDAY(A7126,2)&gt;5,"Weekend","Weekday")</f>
        <v>Weekend</v>
      </c>
      <c r="I7126" t="str">
        <f>_xlfn.IFS(B7126&lt;=5,"Night (0-5)",B7126&lt;=9,"Morning peak (6-9)",B7126&lt;=15,"Midday (10-15)",B7126&lt;=19,"Evening peak (16-19)",TRUE,"Late evening (20-23)")</f>
        <v>Morning peak (6-9)</v>
      </c>
    </row>
    <row r="7127" spans="1:9">
      <c r="A7127" s="32">
        <v>42119</v>
      </c>
      <c r="B7127">
        <v>8</v>
      </c>
      <c r="C7127">
        <v>1939</v>
      </c>
      <c r="D7127" t="s">
        <v>304</v>
      </c>
      <c r="E7127">
        <f>YEAR(A7127)</f>
        <v>2015</v>
      </c>
      <c r="F7127" s="33">
        <f>DATE(YEAR(A7127),MONTH(A7127),1)</f>
        <v>42095.0</v>
      </c>
      <c r="G7127" t="str">
        <f>CHOOSE(WEEKDAY(A7127,2),"Mon","Tue","Wed","Thu","Fri","Sat","Sun")</f>
        <v>Sat</v>
      </c>
      <c r="H7127" t="str">
        <f>IF(WEEKDAY(A7127,2)&gt;5,"Weekend","Weekday")</f>
        <v>Weekend</v>
      </c>
      <c r="I7127" t="str">
        <f>_xlfn.IFS(B7127&lt;=5,"Night (0-5)",B7127&lt;=9,"Morning peak (6-9)",B7127&lt;=15,"Midday (10-15)",B7127&lt;=19,"Evening peak (16-19)",TRUE,"Late evening (20-23)")</f>
        <v>Morning peak (6-9)</v>
      </c>
    </row>
    <row r="7128" spans="1:9">
      <c r="A7128" s="32">
        <v>42119</v>
      </c>
      <c r="B7128">
        <v>9</v>
      </c>
      <c r="C7128">
        <v>2497</v>
      </c>
      <c r="D7128" t="s">
        <v>304</v>
      </c>
      <c r="E7128">
        <f>YEAR(A7128)</f>
        <v>2015</v>
      </c>
      <c r="F7128" s="33">
        <f>DATE(YEAR(A7128),MONTH(A7128),1)</f>
        <v>42095.0</v>
      </c>
      <c r="G7128" t="str">
        <f>CHOOSE(WEEKDAY(A7128,2),"Mon","Tue","Wed","Thu","Fri","Sat","Sun")</f>
        <v>Sat</v>
      </c>
      <c r="H7128" t="str">
        <f>IF(WEEKDAY(A7128,2)&gt;5,"Weekend","Weekday")</f>
        <v>Weekend</v>
      </c>
      <c r="I7128" t="str">
        <f>_xlfn.IFS(B7128&lt;=5,"Night (0-5)",B7128&lt;=9,"Morning peak (6-9)",B7128&lt;=15,"Midday (10-15)",B7128&lt;=19,"Evening peak (16-19)",TRUE,"Late evening (20-23)")</f>
        <v>Morning peak (6-9)</v>
      </c>
    </row>
    <row r="7129" spans="1:9">
      <c r="A7129" s="32">
        <v>42119</v>
      </c>
      <c r="B7129">
        <v>10</v>
      </c>
      <c r="C7129">
        <v>2998</v>
      </c>
      <c r="D7129" t="s">
        <v>304</v>
      </c>
      <c r="E7129">
        <f>YEAR(A7129)</f>
        <v>2015</v>
      </c>
      <c r="F7129" s="33">
        <f>DATE(YEAR(A7129),MONTH(A7129),1)</f>
        <v>42095.0</v>
      </c>
      <c r="G7129" t="str">
        <f>CHOOSE(WEEKDAY(A7129,2),"Mon","Tue","Wed","Thu","Fri","Sat","Sun")</f>
        <v>Sat</v>
      </c>
      <c r="H7129" t="str">
        <f>IF(WEEKDAY(A7129,2)&gt;5,"Weekend","Weekday")</f>
        <v>Weekend</v>
      </c>
      <c r="I7129" t="str">
        <f>_xlfn.IFS(B7129&lt;=5,"Night (0-5)",B7129&lt;=9,"Morning peak (6-9)",B7129&lt;=15,"Midday (10-15)",B7129&lt;=19,"Evening peak (16-19)",TRUE,"Late evening (20-23)")</f>
        <v>Midday (10-15)</v>
      </c>
    </row>
    <row r="7130" spans="1:9">
      <c r="A7130" s="32">
        <v>42119</v>
      </c>
      <c r="B7130">
        <v>11</v>
      </c>
      <c r="C7130">
        <v>3275</v>
      </c>
      <c r="D7130" t="s">
        <v>304</v>
      </c>
      <c r="E7130">
        <f>YEAR(A7130)</f>
        <v>2015</v>
      </c>
      <c r="F7130" s="33">
        <f>DATE(YEAR(A7130),MONTH(A7130),1)</f>
        <v>42095.0</v>
      </c>
      <c r="G7130" t="str">
        <f>CHOOSE(WEEKDAY(A7130,2),"Mon","Tue","Wed","Thu","Fri","Sat","Sun")</f>
        <v>Sat</v>
      </c>
      <c r="H7130" t="str">
        <f>IF(WEEKDAY(A7130,2)&gt;5,"Weekend","Weekday")</f>
        <v>Weekend</v>
      </c>
      <c r="I7130" t="str">
        <f>_xlfn.IFS(B7130&lt;=5,"Night (0-5)",B7130&lt;=9,"Morning peak (6-9)",B7130&lt;=15,"Midday (10-15)",B7130&lt;=19,"Evening peak (16-19)",TRUE,"Late evening (20-23)")</f>
        <v>Midday (10-15)</v>
      </c>
    </row>
    <row r="7131" spans="1:9">
      <c r="A7131" s="32">
        <v>42119</v>
      </c>
      <c r="B7131">
        <v>12</v>
      </c>
      <c r="C7131">
        <v>3736</v>
      </c>
      <c r="D7131" t="s">
        <v>304</v>
      </c>
      <c r="E7131">
        <f>YEAR(A7131)</f>
        <v>2015</v>
      </c>
      <c r="F7131" s="33">
        <f>DATE(YEAR(A7131),MONTH(A7131),1)</f>
        <v>42095.0</v>
      </c>
      <c r="G7131" t="str">
        <f>CHOOSE(WEEKDAY(A7131,2),"Mon","Tue","Wed","Thu","Fri","Sat","Sun")</f>
        <v>Sat</v>
      </c>
      <c r="H7131" t="str">
        <f>IF(WEEKDAY(A7131,2)&gt;5,"Weekend","Weekday")</f>
        <v>Weekend</v>
      </c>
      <c r="I7131" t="str">
        <f>_xlfn.IFS(B7131&lt;=5,"Night (0-5)",B7131&lt;=9,"Morning peak (6-9)",B7131&lt;=15,"Midday (10-15)",B7131&lt;=19,"Evening peak (16-19)",TRUE,"Late evening (20-23)")</f>
        <v>Midday (10-15)</v>
      </c>
    </row>
    <row r="7132" spans="1:9">
      <c r="A7132" s="32">
        <v>42119</v>
      </c>
      <c r="B7132">
        <v>13</v>
      </c>
      <c r="C7132">
        <v>4230</v>
      </c>
      <c r="D7132" t="s">
        <v>304</v>
      </c>
      <c r="E7132">
        <f>YEAR(A7132)</f>
        <v>2015</v>
      </c>
      <c r="F7132" s="33">
        <f>DATE(YEAR(A7132),MONTH(A7132),1)</f>
        <v>42095.0</v>
      </c>
      <c r="G7132" t="str">
        <f>CHOOSE(WEEKDAY(A7132,2),"Mon","Tue","Wed","Thu","Fri","Sat","Sun")</f>
        <v>Sat</v>
      </c>
      <c r="H7132" t="str">
        <f>IF(WEEKDAY(A7132,2)&gt;5,"Weekend","Weekday")</f>
        <v>Weekend</v>
      </c>
      <c r="I7132" t="str">
        <f>_xlfn.IFS(B7132&lt;=5,"Night (0-5)",B7132&lt;=9,"Morning peak (6-9)",B7132&lt;=15,"Midday (10-15)",B7132&lt;=19,"Evening peak (16-19)",TRUE,"Late evening (20-23)")</f>
        <v>Midday (10-15)</v>
      </c>
    </row>
    <row r="7133" spans="1:9">
      <c r="A7133" s="32">
        <v>42119</v>
      </c>
      <c r="B7133">
        <v>14</v>
      </c>
      <c r="C7133">
        <v>4484</v>
      </c>
      <c r="D7133" t="s">
        <v>304</v>
      </c>
      <c r="E7133">
        <f>YEAR(A7133)</f>
        <v>2015</v>
      </c>
      <c r="F7133" s="33">
        <f>DATE(YEAR(A7133),MONTH(A7133),1)</f>
        <v>42095.0</v>
      </c>
      <c r="G7133" t="str">
        <f>CHOOSE(WEEKDAY(A7133,2),"Mon","Tue","Wed","Thu","Fri","Sat","Sun")</f>
        <v>Sat</v>
      </c>
      <c r="H7133" t="str">
        <f>IF(WEEKDAY(A7133,2)&gt;5,"Weekend","Weekday")</f>
        <v>Weekend</v>
      </c>
      <c r="I7133" t="str">
        <f>_xlfn.IFS(B7133&lt;=5,"Night (0-5)",B7133&lt;=9,"Morning peak (6-9)",B7133&lt;=15,"Midday (10-15)",B7133&lt;=19,"Evening peak (16-19)",TRUE,"Late evening (20-23)")</f>
        <v>Midday (10-15)</v>
      </c>
    </row>
    <row r="7134" spans="1:9">
      <c r="A7134" s="32">
        <v>42119</v>
      </c>
      <c r="B7134">
        <v>15</v>
      </c>
      <c r="C7134">
        <v>4692</v>
      </c>
      <c r="D7134" t="s">
        <v>304</v>
      </c>
      <c r="E7134">
        <f>YEAR(A7134)</f>
        <v>2015</v>
      </c>
      <c r="F7134" s="33">
        <f>DATE(YEAR(A7134),MONTH(A7134),1)</f>
        <v>42095.0</v>
      </c>
      <c r="G7134" t="str">
        <f>CHOOSE(WEEKDAY(A7134,2),"Mon","Tue","Wed","Thu","Fri","Sat","Sun")</f>
        <v>Sat</v>
      </c>
      <c r="H7134" t="str">
        <f>IF(WEEKDAY(A7134,2)&gt;5,"Weekend","Weekday")</f>
        <v>Weekend</v>
      </c>
      <c r="I7134" t="str">
        <f>_xlfn.IFS(B7134&lt;=5,"Night (0-5)",B7134&lt;=9,"Morning peak (6-9)",B7134&lt;=15,"Midday (10-15)",B7134&lt;=19,"Evening peak (16-19)",TRUE,"Late evening (20-23)")</f>
        <v>Midday (10-15)</v>
      </c>
    </row>
    <row r="7135" spans="1:9">
      <c r="A7135" s="32">
        <v>42119</v>
      </c>
      <c r="B7135">
        <v>16</v>
      </c>
      <c r="C7135">
        <v>5373</v>
      </c>
      <c r="D7135" t="s">
        <v>304</v>
      </c>
      <c r="E7135">
        <f>YEAR(A7135)</f>
        <v>2015</v>
      </c>
      <c r="F7135" s="33">
        <f>DATE(YEAR(A7135),MONTH(A7135),1)</f>
        <v>42095.0</v>
      </c>
      <c r="G7135" t="str">
        <f>CHOOSE(WEEKDAY(A7135,2),"Mon","Tue","Wed","Thu","Fri","Sat","Sun")</f>
        <v>Sat</v>
      </c>
      <c r="H7135" t="str">
        <f>IF(WEEKDAY(A7135,2)&gt;5,"Weekend","Weekday")</f>
        <v>Weekend</v>
      </c>
      <c r="I7135" t="str">
        <f>_xlfn.IFS(B7135&lt;=5,"Night (0-5)",B7135&lt;=9,"Morning peak (6-9)",B7135&lt;=15,"Midday (10-15)",B7135&lt;=19,"Evening peak (16-19)",TRUE,"Late evening (20-23)")</f>
        <v>Evening peak (16-19)</v>
      </c>
    </row>
    <row r="7136" spans="1:9">
      <c r="A7136" s="32">
        <v>42119</v>
      </c>
      <c r="B7136">
        <v>17</v>
      </c>
      <c r="C7136">
        <v>6163</v>
      </c>
      <c r="D7136" t="s">
        <v>304</v>
      </c>
      <c r="E7136">
        <f>YEAR(A7136)</f>
        <v>2015</v>
      </c>
      <c r="F7136" s="33">
        <f>DATE(YEAR(A7136),MONTH(A7136),1)</f>
        <v>42095.0</v>
      </c>
      <c r="G7136" t="str">
        <f>CHOOSE(WEEKDAY(A7136,2),"Mon","Tue","Wed","Thu","Fri","Sat","Sun")</f>
        <v>Sat</v>
      </c>
      <c r="H7136" t="str">
        <f>IF(WEEKDAY(A7136,2)&gt;5,"Weekend","Weekday")</f>
        <v>Weekend</v>
      </c>
      <c r="I7136" t="str">
        <f>_xlfn.IFS(B7136&lt;=5,"Night (0-5)",B7136&lt;=9,"Morning peak (6-9)",B7136&lt;=15,"Midday (10-15)",B7136&lt;=19,"Evening peak (16-19)",TRUE,"Late evening (20-23)")</f>
        <v>Evening peak (16-19)</v>
      </c>
    </row>
    <row r="7137" spans="1:9">
      <c r="A7137" s="32">
        <v>42119</v>
      </c>
      <c r="B7137">
        <v>18</v>
      </c>
      <c r="C7137">
        <v>6798</v>
      </c>
      <c r="D7137" t="s">
        <v>304</v>
      </c>
      <c r="E7137">
        <f>YEAR(A7137)</f>
        <v>2015</v>
      </c>
      <c r="F7137" s="33">
        <f>DATE(YEAR(A7137),MONTH(A7137),1)</f>
        <v>42095.0</v>
      </c>
      <c r="G7137" t="str">
        <f>CHOOSE(WEEKDAY(A7137,2),"Mon","Tue","Wed","Thu","Fri","Sat","Sun")</f>
        <v>Sat</v>
      </c>
      <c r="H7137" t="str">
        <f>IF(WEEKDAY(A7137,2)&gt;5,"Weekend","Weekday")</f>
        <v>Weekend</v>
      </c>
      <c r="I7137" t="str">
        <f>_xlfn.IFS(B7137&lt;=5,"Night (0-5)",B7137&lt;=9,"Morning peak (6-9)",B7137&lt;=15,"Midday (10-15)",B7137&lt;=19,"Evening peak (16-19)",TRUE,"Late evening (20-23)")</f>
        <v>Evening peak (16-19)</v>
      </c>
    </row>
    <row r="7138" spans="1:9">
      <c r="A7138" s="32">
        <v>42119</v>
      </c>
      <c r="B7138">
        <v>19</v>
      </c>
      <c r="C7138">
        <v>7318</v>
      </c>
      <c r="D7138" t="s">
        <v>304</v>
      </c>
      <c r="E7138">
        <f>YEAR(A7138)</f>
        <v>2015</v>
      </c>
      <c r="F7138" s="33">
        <f>DATE(YEAR(A7138),MONTH(A7138),1)</f>
        <v>42095.0</v>
      </c>
      <c r="G7138" t="str">
        <f>CHOOSE(WEEKDAY(A7138,2),"Mon","Tue","Wed","Thu","Fri","Sat","Sun")</f>
        <v>Sat</v>
      </c>
      <c r="H7138" t="str">
        <f>IF(WEEKDAY(A7138,2)&gt;5,"Weekend","Weekday")</f>
        <v>Weekend</v>
      </c>
      <c r="I7138" t="str">
        <f>_xlfn.IFS(B7138&lt;=5,"Night (0-5)",B7138&lt;=9,"Morning peak (6-9)",B7138&lt;=15,"Midday (10-15)",B7138&lt;=19,"Evening peak (16-19)",TRUE,"Late evening (20-23)")</f>
        <v>Evening peak (16-19)</v>
      </c>
    </row>
    <row r="7139" spans="1:9">
      <c r="A7139" s="32">
        <v>42119</v>
      </c>
      <c r="B7139">
        <v>20</v>
      </c>
      <c r="C7139">
        <v>7217</v>
      </c>
      <c r="D7139" t="s">
        <v>304</v>
      </c>
      <c r="E7139">
        <f>YEAR(A7139)</f>
        <v>2015</v>
      </c>
      <c r="F7139" s="33">
        <f>DATE(YEAR(A7139),MONTH(A7139),1)</f>
        <v>42095.0</v>
      </c>
      <c r="G7139" t="str">
        <f>CHOOSE(WEEKDAY(A7139,2),"Mon","Tue","Wed","Thu","Fri","Sat","Sun")</f>
        <v>Sat</v>
      </c>
      <c r="H7139" t="str">
        <f>IF(WEEKDAY(A7139,2)&gt;5,"Weekend","Weekday")</f>
        <v>Weekend</v>
      </c>
      <c r="I7139" t="str">
        <f>_xlfn.IFS(B7139&lt;=5,"Night (0-5)",B7139&lt;=9,"Morning peak (6-9)",B7139&lt;=15,"Midday (10-15)",B7139&lt;=19,"Evening peak (16-19)",TRUE,"Late evening (20-23)")</f>
        <v>Late evening (20-23)</v>
      </c>
    </row>
    <row r="7140" spans="1:9">
      <c r="A7140" s="32">
        <v>42119</v>
      </c>
      <c r="B7140">
        <v>21</v>
      </c>
      <c r="C7140">
        <v>7114</v>
      </c>
      <c r="D7140" t="s">
        <v>304</v>
      </c>
      <c r="E7140">
        <f>YEAR(A7140)</f>
        <v>2015</v>
      </c>
      <c r="F7140" s="33">
        <f>DATE(YEAR(A7140),MONTH(A7140),1)</f>
        <v>42095.0</v>
      </c>
      <c r="G7140" t="str">
        <f>CHOOSE(WEEKDAY(A7140,2),"Mon","Tue","Wed","Thu","Fri","Sat","Sun")</f>
        <v>Sat</v>
      </c>
      <c r="H7140" t="str">
        <f>IF(WEEKDAY(A7140,2)&gt;5,"Weekend","Weekday")</f>
        <v>Weekend</v>
      </c>
      <c r="I7140" t="str">
        <f>_xlfn.IFS(B7140&lt;=5,"Night (0-5)",B7140&lt;=9,"Morning peak (6-9)",B7140&lt;=15,"Midday (10-15)",B7140&lt;=19,"Evening peak (16-19)",TRUE,"Late evening (20-23)")</f>
        <v>Late evening (20-23)</v>
      </c>
    </row>
    <row r="7141" spans="1:9">
      <c r="A7141" s="32">
        <v>42119</v>
      </c>
      <c r="B7141">
        <v>22</v>
      </c>
      <c r="C7141">
        <v>7595</v>
      </c>
      <c r="D7141" t="s">
        <v>304</v>
      </c>
      <c r="E7141">
        <f>YEAR(A7141)</f>
        <v>2015</v>
      </c>
      <c r="F7141" s="33">
        <f>DATE(YEAR(A7141),MONTH(A7141),1)</f>
        <v>42095.0</v>
      </c>
      <c r="G7141" t="str">
        <f>CHOOSE(WEEKDAY(A7141,2),"Mon","Tue","Wed","Thu","Fri","Sat","Sun")</f>
        <v>Sat</v>
      </c>
      <c r="H7141" t="str">
        <f>IF(WEEKDAY(A7141,2)&gt;5,"Weekend","Weekday")</f>
        <v>Weekend</v>
      </c>
      <c r="I7141" t="str">
        <f>_xlfn.IFS(B7141&lt;=5,"Night (0-5)",B7141&lt;=9,"Morning peak (6-9)",B7141&lt;=15,"Midday (10-15)",B7141&lt;=19,"Evening peak (16-19)",TRUE,"Late evening (20-23)")</f>
        <v>Late evening (20-23)</v>
      </c>
    </row>
    <row r="7142" spans="1:9">
      <c r="A7142" s="32">
        <v>42119</v>
      </c>
      <c r="B7142">
        <v>23</v>
      </c>
      <c r="C7142">
        <v>8260</v>
      </c>
      <c r="D7142" t="s">
        <v>304</v>
      </c>
      <c r="E7142">
        <f>YEAR(A7142)</f>
        <v>2015</v>
      </c>
      <c r="F7142" s="33">
        <f>DATE(YEAR(A7142),MONTH(A7142),1)</f>
        <v>42095.0</v>
      </c>
      <c r="G7142" t="str">
        <f>CHOOSE(WEEKDAY(A7142,2),"Mon","Tue","Wed","Thu","Fri","Sat","Sun")</f>
        <v>Sat</v>
      </c>
      <c r="H7142" t="str">
        <f>IF(WEEKDAY(A7142,2)&gt;5,"Weekend","Weekday")</f>
        <v>Weekend</v>
      </c>
      <c r="I7142" t="str">
        <f>_xlfn.IFS(B7142&lt;=5,"Night (0-5)",B7142&lt;=9,"Morning peak (6-9)",B7142&lt;=15,"Midday (10-15)",B7142&lt;=19,"Evening peak (16-19)",TRUE,"Late evening (20-23)")</f>
        <v>Late evening (20-23)</v>
      </c>
    </row>
    <row r="7143" spans="1:9">
      <c r="A7143" s="32">
        <v>42120</v>
      </c>
      <c r="B7143">
        <v>0</v>
      </c>
      <c r="C7143">
        <v>7908</v>
      </c>
      <c r="D7143" t="s">
        <v>304</v>
      </c>
      <c r="E7143">
        <f>YEAR(A7143)</f>
        <v>2015</v>
      </c>
      <c r="F7143" s="33">
        <f>DATE(YEAR(A7143),MONTH(A7143),1)</f>
        <v>42095.0</v>
      </c>
      <c r="G7143" t="str">
        <f>CHOOSE(WEEKDAY(A7143,2),"Mon","Tue","Wed","Thu","Fri","Sat","Sun")</f>
        <v>Sun</v>
      </c>
      <c r="H7143" t="str">
        <f>IF(WEEKDAY(A7143,2)&gt;5,"Weekend","Weekday")</f>
        <v>Weekend</v>
      </c>
      <c r="I7143" t="str">
        <f>_xlfn.IFS(B7143&lt;=5,"Night (0-5)",B7143&lt;=9,"Morning peak (6-9)",B7143&lt;=15,"Midday (10-15)",B7143&lt;=19,"Evening peak (16-19)",TRUE,"Late evening (20-23)")</f>
        <v>Night (0-5)</v>
      </c>
    </row>
    <row r="7144" spans="1:9">
      <c r="A7144" s="32">
        <v>42120</v>
      </c>
      <c r="B7144">
        <v>1</v>
      </c>
      <c r="C7144">
        <v>6349</v>
      </c>
      <c r="D7144" t="s">
        <v>304</v>
      </c>
      <c r="E7144">
        <f>YEAR(A7144)</f>
        <v>2015</v>
      </c>
      <c r="F7144" s="33">
        <f>DATE(YEAR(A7144),MONTH(A7144),1)</f>
        <v>42095.0</v>
      </c>
      <c r="G7144" t="str">
        <f>CHOOSE(WEEKDAY(A7144,2),"Mon","Tue","Wed","Thu","Fri","Sat","Sun")</f>
        <v>Sun</v>
      </c>
      <c r="H7144" t="str">
        <f>IF(WEEKDAY(A7144,2)&gt;5,"Weekend","Weekday")</f>
        <v>Weekend</v>
      </c>
      <c r="I7144" t="str">
        <f>_xlfn.IFS(B7144&lt;=5,"Night (0-5)",B7144&lt;=9,"Morning peak (6-9)",B7144&lt;=15,"Midday (10-15)",B7144&lt;=19,"Evening peak (16-19)",TRUE,"Late evening (20-23)")</f>
        <v>Night (0-5)</v>
      </c>
    </row>
    <row r="7145" spans="1:9">
      <c r="A7145" s="32">
        <v>42120</v>
      </c>
      <c r="B7145">
        <v>2</v>
      </c>
      <c r="C7145">
        <v>4524</v>
      </c>
      <c r="D7145" t="s">
        <v>304</v>
      </c>
      <c r="E7145">
        <f>YEAR(A7145)</f>
        <v>2015</v>
      </c>
      <c r="F7145" s="33">
        <f>DATE(YEAR(A7145),MONTH(A7145),1)</f>
        <v>42095.0</v>
      </c>
      <c r="G7145" t="str">
        <f>CHOOSE(WEEKDAY(A7145,2),"Mon","Tue","Wed","Thu","Fri","Sat","Sun")</f>
        <v>Sun</v>
      </c>
      <c r="H7145" t="str">
        <f>IF(WEEKDAY(A7145,2)&gt;5,"Weekend","Weekday")</f>
        <v>Weekend</v>
      </c>
      <c r="I7145" t="str">
        <f>_xlfn.IFS(B7145&lt;=5,"Night (0-5)",B7145&lt;=9,"Morning peak (6-9)",B7145&lt;=15,"Midday (10-15)",B7145&lt;=19,"Evening peak (16-19)",TRUE,"Late evening (20-23)")</f>
        <v>Night (0-5)</v>
      </c>
    </row>
    <row r="7146" spans="1:9">
      <c r="A7146" s="32">
        <v>42120</v>
      </c>
      <c r="B7146">
        <v>3</v>
      </c>
      <c r="C7146">
        <v>2943</v>
      </c>
      <c r="D7146" t="s">
        <v>304</v>
      </c>
      <c r="E7146">
        <f>YEAR(A7146)</f>
        <v>2015</v>
      </c>
      <c r="F7146" s="33">
        <f>DATE(YEAR(A7146),MONTH(A7146),1)</f>
        <v>42095.0</v>
      </c>
      <c r="G7146" t="str">
        <f>CHOOSE(WEEKDAY(A7146,2),"Mon","Tue","Wed","Thu","Fri","Sat","Sun")</f>
        <v>Sun</v>
      </c>
      <c r="H7146" t="str">
        <f>IF(WEEKDAY(A7146,2)&gt;5,"Weekend","Weekday")</f>
        <v>Weekend</v>
      </c>
      <c r="I7146" t="str">
        <f>_xlfn.IFS(B7146&lt;=5,"Night (0-5)",B7146&lt;=9,"Morning peak (6-9)",B7146&lt;=15,"Midday (10-15)",B7146&lt;=19,"Evening peak (16-19)",TRUE,"Late evening (20-23)")</f>
        <v>Night (0-5)</v>
      </c>
    </row>
    <row r="7147" spans="1:9">
      <c r="A7147" s="32">
        <v>42120</v>
      </c>
      <c r="B7147">
        <v>4</v>
      </c>
      <c r="C7147">
        <v>1936</v>
      </c>
      <c r="D7147" t="s">
        <v>304</v>
      </c>
      <c r="E7147">
        <f>YEAR(A7147)</f>
        <v>2015</v>
      </c>
      <c r="F7147" s="33">
        <f>DATE(YEAR(A7147),MONTH(A7147),1)</f>
        <v>42095.0</v>
      </c>
      <c r="G7147" t="str">
        <f>CHOOSE(WEEKDAY(A7147,2),"Mon","Tue","Wed","Thu","Fri","Sat","Sun")</f>
        <v>Sun</v>
      </c>
      <c r="H7147" t="str">
        <f>IF(WEEKDAY(A7147,2)&gt;5,"Weekend","Weekday")</f>
        <v>Weekend</v>
      </c>
      <c r="I7147" t="str">
        <f>_xlfn.IFS(B7147&lt;=5,"Night (0-5)",B7147&lt;=9,"Morning peak (6-9)",B7147&lt;=15,"Midday (10-15)",B7147&lt;=19,"Evening peak (16-19)",TRUE,"Late evening (20-23)")</f>
        <v>Night (0-5)</v>
      </c>
    </row>
    <row r="7148" spans="1:9">
      <c r="A7148" s="32">
        <v>42120</v>
      </c>
      <c r="B7148">
        <v>5</v>
      </c>
      <c r="C7148">
        <v>1215</v>
      </c>
      <c r="D7148" t="s">
        <v>304</v>
      </c>
      <c r="E7148">
        <f>YEAR(A7148)</f>
        <v>2015</v>
      </c>
      <c r="F7148" s="33">
        <f>DATE(YEAR(A7148),MONTH(A7148),1)</f>
        <v>42095.0</v>
      </c>
      <c r="G7148" t="str">
        <f>CHOOSE(WEEKDAY(A7148,2),"Mon","Tue","Wed","Thu","Fri","Sat","Sun")</f>
        <v>Sun</v>
      </c>
      <c r="H7148" t="str">
        <f>IF(WEEKDAY(A7148,2)&gt;5,"Weekend","Weekday")</f>
        <v>Weekend</v>
      </c>
      <c r="I7148" t="str">
        <f>_xlfn.IFS(B7148&lt;=5,"Night (0-5)",B7148&lt;=9,"Morning peak (6-9)",B7148&lt;=15,"Midday (10-15)",B7148&lt;=19,"Evening peak (16-19)",TRUE,"Late evening (20-23)")</f>
        <v>Night (0-5)</v>
      </c>
    </row>
    <row r="7149" spans="1:9">
      <c r="A7149" s="32">
        <v>42120</v>
      </c>
      <c r="B7149">
        <v>6</v>
      </c>
      <c r="C7149">
        <v>1078</v>
      </c>
      <c r="D7149" t="s">
        <v>304</v>
      </c>
      <c r="E7149">
        <f>YEAR(A7149)</f>
        <v>2015</v>
      </c>
      <c r="F7149" s="33">
        <f>DATE(YEAR(A7149),MONTH(A7149),1)</f>
        <v>42095.0</v>
      </c>
      <c r="G7149" t="str">
        <f>CHOOSE(WEEKDAY(A7149,2),"Mon","Tue","Wed","Thu","Fri","Sat","Sun")</f>
        <v>Sun</v>
      </c>
      <c r="H7149" t="str">
        <f>IF(WEEKDAY(A7149,2)&gt;5,"Weekend","Weekday")</f>
        <v>Weekend</v>
      </c>
      <c r="I7149" t="str">
        <f>_xlfn.IFS(B7149&lt;=5,"Night (0-5)",B7149&lt;=9,"Morning peak (6-9)",B7149&lt;=15,"Midday (10-15)",B7149&lt;=19,"Evening peak (16-19)",TRUE,"Late evening (20-23)")</f>
        <v>Morning peak (6-9)</v>
      </c>
    </row>
    <row r="7150" spans="1:9">
      <c r="A7150" s="32">
        <v>42120</v>
      </c>
      <c r="B7150">
        <v>7</v>
      </c>
      <c r="C7150">
        <v>1216</v>
      </c>
      <c r="D7150" t="s">
        <v>304</v>
      </c>
      <c r="E7150">
        <f>YEAR(A7150)</f>
        <v>2015</v>
      </c>
      <c r="F7150" s="33">
        <f>DATE(YEAR(A7150),MONTH(A7150),1)</f>
        <v>42095.0</v>
      </c>
      <c r="G7150" t="str">
        <f>CHOOSE(WEEKDAY(A7150,2),"Mon","Tue","Wed","Thu","Fri","Sat","Sun")</f>
        <v>Sun</v>
      </c>
      <c r="H7150" t="str">
        <f>IF(WEEKDAY(A7150,2)&gt;5,"Weekend","Weekday")</f>
        <v>Weekend</v>
      </c>
      <c r="I7150" t="str">
        <f>_xlfn.IFS(B7150&lt;=5,"Night (0-5)",B7150&lt;=9,"Morning peak (6-9)",B7150&lt;=15,"Midday (10-15)",B7150&lt;=19,"Evening peak (16-19)",TRUE,"Late evening (20-23)")</f>
        <v>Morning peak (6-9)</v>
      </c>
    </row>
    <row r="7151" spans="1:9">
      <c r="A7151" s="32">
        <v>42120</v>
      </c>
      <c r="B7151">
        <v>8</v>
      </c>
      <c r="C7151">
        <v>1565</v>
      </c>
      <c r="D7151" t="s">
        <v>304</v>
      </c>
      <c r="E7151">
        <f>YEAR(A7151)</f>
        <v>2015</v>
      </c>
      <c r="F7151" s="33">
        <f>DATE(YEAR(A7151),MONTH(A7151),1)</f>
        <v>42095.0</v>
      </c>
      <c r="G7151" t="str">
        <f>CHOOSE(WEEKDAY(A7151,2),"Mon","Tue","Wed","Thu","Fri","Sat","Sun")</f>
        <v>Sun</v>
      </c>
      <c r="H7151" t="str">
        <f>IF(WEEKDAY(A7151,2)&gt;5,"Weekend","Weekday")</f>
        <v>Weekend</v>
      </c>
      <c r="I7151" t="str">
        <f>_xlfn.IFS(B7151&lt;=5,"Night (0-5)",B7151&lt;=9,"Morning peak (6-9)",B7151&lt;=15,"Midday (10-15)",B7151&lt;=19,"Evening peak (16-19)",TRUE,"Late evening (20-23)")</f>
        <v>Morning peak (6-9)</v>
      </c>
    </row>
    <row r="7152" spans="1:9">
      <c r="A7152" s="32">
        <v>42120</v>
      </c>
      <c r="B7152">
        <v>9</v>
      </c>
      <c r="C7152">
        <v>2147</v>
      </c>
      <c r="D7152" t="s">
        <v>304</v>
      </c>
      <c r="E7152">
        <f>YEAR(A7152)</f>
        <v>2015</v>
      </c>
      <c r="F7152" s="33">
        <f>DATE(YEAR(A7152),MONTH(A7152),1)</f>
        <v>42095.0</v>
      </c>
      <c r="G7152" t="str">
        <f>CHOOSE(WEEKDAY(A7152,2),"Mon","Tue","Wed","Thu","Fri","Sat","Sun")</f>
        <v>Sun</v>
      </c>
      <c r="H7152" t="str">
        <f>IF(WEEKDAY(A7152,2)&gt;5,"Weekend","Weekday")</f>
        <v>Weekend</v>
      </c>
      <c r="I7152" t="str">
        <f>_xlfn.IFS(B7152&lt;=5,"Night (0-5)",B7152&lt;=9,"Morning peak (6-9)",B7152&lt;=15,"Midday (10-15)",B7152&lt;=19,"Evening peak (16-19)",TRUE,"Late evening (20-23)")</f>
        <v>Morning peak (6-9)</v>
      </c>
    </row>
    <row r="7153" spans="1:9">
      <c r="A7153" s="32">
        <v>42120</v>
      </c>
      <c r="B7153">
        <v>10</v>
      </c>
      <c r="C7153">
        <v>3202</v>
      </c>
      <c r="D7153" t="s">
        <v>304</v>
      </c>
      <c r="E7153">
        <f>YEAR(A7153)</f>
        <v>2015</v>
      </c>
      <c r="F7153" s="33">
        <f>DATE(YEAR(A7153),MONTH(A7153),1)</f>
        <v>42095.0</v>
      </c>
      <c r="G7153" t="str">
        <f>CHOOSE(WEEKDAY(A7153,2),"Mon","Tue","Wed","Thu","Fri","Sat","Sun")</f>
        <v>Sun</v>
      </c>
      <c r="H7153" t="str">
        <f>IF(WEEKDAY(A7153,2)&gt;5,"Weekend","Weekday")</f>
        <v>Weekend</v>
      </c>
      <c r="I7153" t="str">
        <f>_xlfn.IFS(B7153&lt;=5,"Night (0-5)",B7153&lt;=9,"Morning peak (6-9)",B7153&lt;=15,"Midday (10-15)",B7153&lt;=19,"Evening peak (16-19)",TRUE,"Late evening (20-23)")</f>
        <v>Midday (10-15)</v>
      </c>
    </row>
    <row r="7154" spans="1:9">
      <c r="A7154" s="32">
        <v>42120</v>
      </c>
      <c r="B7154">
        <v>11</v>
      </c>
      <c r="C7154">
        <v>3680</v>
      </c>
      <c r="D7154" t="s">
        <v>304</v>
      </c>
      <c r="E7154">
        <f>YEAR(A7154)</f>
        <v>2015</v>
      </c>
      <c r="F7154" s="33">
        <f>DATE(YEAR(A7154),MONTH(A7154),1)</f>
        <v>42095.0</v>
      </c>
      <c r="G7154" t="str">
        <f>CHOOSE(WEEKDAY(A7154,2),"Mon","Tue","Wed","Thu","Fri","Sat","Sun")</f>
        <v>Sun</v>
      </c>
      <c r="H7154" t="str">
        <f>IF(WEEKDAY(A7154,2)&gt;5,"Weekend","Weekday")</f>
        <v>Weekend</v>
      </c>
      <c r="I7154" t="str">
        <f>_xlfn.IFS(B7154&lt;=5,"Night (0-5)",B7154&lt;=9,"Morning peak (6-9)",B7154&lt;=15,"Midday (10-15)",B7154&lt;=19,"Evening peak (16-19)",TRUE,"Late evening (20-23)")</f>
        <v>Midday (10-15)</v>
      </c>
    </row>
    <row r="7155" spans="1:9">
      <c r="A7155" s="32">
        <v>42120</v>
      </c>
      <c r="B7155">
        <v>12</v>
      </c>
      <c r="C7155">
        <v>4169</v>
      </c>
      <c r="D7155" t="s">
        <v>304</v>
      </c>
      <c r="E7155">
        <f>YEAR(A7155)</f>
        <v>2015</v>
      </c>
      <c r="F7155" s="33">
        <f>DATE(YEAR(A7155),MONTH(A7155),1)</f>
        <v>42095.0</v>
      </c>
      <c r="G7155" t="str">
        <f>CHOOSE(WEEKDAY(A7155,2),"Mon","Tue","Wed","Thu","Fri","Sat","Sun")</f>
        <v>Sun</v>
      </c>
      <c r="H7155" t="str">
        <f>IF(WEEKDAY(A7155,2)&gt;5,"Weekend","Weekday")</f>
        <v>Weekend</v>
      </c>
      <c r="I7155" t="str">
        <f>_xlfn.IFS(B7155&lt;=5,"Night (0-5)",B7155&lt;=9,"Morning peak (6-9)",B7155&lt;=15,"Midday (10-15)",B7155&lt;=19,"Evening peak (16-19)",TRUE,"Late evening (20-23)")</f>
        <v>Midday (10-15)</v>
      </c>
    </row>
    <row r="7156" spans="1:9">
      <c r="A7156" s="32">
        <v>42120</v>
      </c>
      <c r="B7156">
        <v>13</v>
      </c>
      <c r="C7156">
        <v>4284</v>
      </c>
      <c r="D7156" t="s">
        <v>304</v>
      </c>
      <c r="E7156">
        <f>YEAR(A7156)</f>
        <v>2015</v>
      </c>
      <c r="F7156" s="33">
        <f>DATE(YEAR(A7156),MONTH(A7156),1)</f>
        <v>42095.0</v>
      </c>
      <c r="G7156" t="str">
        <f>CHOOSE(WEEKDAY(A7156,2),"Mon","Tue","Wed","Thu","Fri","Sat","Sun")</f>
        <v>Sun</v>
      </c>
      <c r="H7156" t="str">
        <f>IF(WEEKDAY(A7156,2)&gt;5,"Weekend","Weekday")</f>
        <v>Weekend</v>
      </c>
      <c r="I7156" t="str">
        <f>_xlfn.IFS(B7156&lt;=5,"Night (0-5)",B7156&lt;=9,"Morning peak (6-9)",B7156&lt;=15,"Midday (10-15)",B7156&lt;=19,"Evening peak (16-19)",TRUE,"Late evening (20-23)")</f>
        <v>Midday (10-15)</v>
      </c>
    </row>
    <row r="7157" spans="1:9">
      <c r="A7157" s="32">
        <v>42120</v>
      </c>
      <c r="B7157">
        <v>14</v>
      </c>
      <c r="C7157">
        <v>4238</v>
      </c>
      <c r="D7157" t="s">
        <v>304</v>
      </c>
      <c r="E7157">
        <f>YEAR(A7157)</f>
        <v>2015</v>
      </c>
      <c r="F7157" s="33">
        <f>DATE(YEAR(A7157),MONTH(A7157),1)</f>
        <v>42095.0</v>
      </c>
      <c r="G7157" t="str">
        <f>CHOOSE(WEEKDAY(A7157,2),"Mon","Tue","Wed","Thu","Fri","Sat","Sun")</f>
        <v>Sun</v>
      </c>
      <c r="H7157" t="str">
        <f>IF(WEEKDAY(A7157,2)&gt;5,"Weekend","Weekday")</f>
        <v>Weekend</v>
      </c>
      <c r="I7157" t="str">
        <f>_xlfn.IFS(B7157&lt;=5,"Night (0-5)",B7157&lt;=9,"Morning peak (6-9)",B7157&lt;=15,"Midday (10-15)",B7157&lt;=19,"Evening peak (16-19)",TRUE,"Late evening (20-23)")</f>
        <v>Midday (10-15)</v>
      </c>
    </row>
    <row r="7158" spans="1:9">
      <c r="A7158" s="32">
        <v>42120</v>
      </c>
      <c r="B7158">
        <v>15</v>
      </c>
      <c r="C7158">
        <v>4371</v>
      </c>
      <c r="D7158" t="s">
        <v>304</v>
      </c>
      <c r="E7158">
        <f>YEAR(A7158)</f>
        <v>2015</v>
      </c>
      <c r="F7158" s="33">
        <f>DATE(YEAR(A7158),MONTH(A7158),1)</f>
        <v>42095.0</v>
      </c>
      <c r="G7158" t="str">
        <f>CHOOSE(WEEKDAY(A7158,2),"Mon","Tue","Wed","Thu","Fri","Sat","Sun")</f>
        <v>Sun</v>
      </c>
      <c r="H7158" t="str">
        <f>IF(WEEKDAY(A7158,2)&gt;5,"Weekend","Weekday")</f>
        <v>Weekend</v>
      </c>
      <c r="I7158" t="str">
        <f>_xlfn.IFS(B7158&lt;=5,"Night (0-5)",B7158&lt;=9,"Morning peak (6-9)",B7158&lt;=15,"Midday (10-15)",B7158&lt;=19,"Evening peak (16-19)",TRUE,"Late evening (20-23)")</f>
        <v>Midday (10-15)</v>
      </c>
    </row>
    <row r="7159" spans="1:9">
      <c r="A7159" s="32">
        <v>42120</v>
      </c>
      <c r="B7159">
        <v>16</v>
      </c>
      <c r="C7159">
        <v>4602</v>
      </c>
      <c r="D7159" t="s">
        <v>304</v>
      </c>
      <c r="E7159">
        <f>YEAR(A7159)</f>
        <v>2015</v>
      </c>
      <c r="F7159" s="33">
        <f>DATE(YEAR(A7159),MONTH(A7159),1)</f>
        <v>42095.0</v>
      </c>
      <c r="G7159" t="str">
        <f>CHOOSE(WEEKDAY(A7159,2),"Mon","Tue","Wed","Thu","Fri","Sat","Sun")</f>
        <v>Sun</v>
      </c>
      <c r="H7159" t="str">
        <f>IF(WEEKDAY(A7159,2)&gt;5,"Weekend","Weekday")</f>
        <v>Weekend</v>
      </c>
      <c r="I7159" t="str">
        <f>_xlfn.IFS(B7159&lt;=5,"Night (0-5)",B7159&lt;=9,"Morning peak (6-9)",B7159&lt;=15,"Midday (10-15)",B7159&lt;=19,"Evening peak (16-19)",TRUE,"Late evening (20-23)")</f>
        <v>Evening peak (16-19)</v>
      </c>
    </row>
    <row r="7160" spans="1:9">
      <c r="A7160" s="32">
        <v>42120</v>
      </c>
      <c r="B7160">
        <v>17</v>
      </c>
      <c r="C7160">
        <v>4730</v>
      </c>
      <c r="D7160" t="s">
        <v>304</v>
      </c>
      <c r="E7160">
        <f>YEAR(A7160)</f>
        <v>2015</v>
      </c>
      <c r="F7160" s="33">
        <f>DATE(YEAR(A7160),MONTH(A7160),1)</f>
        <v>42095.0</v>
      </c>
      <c r="G7160" t="str">
        <f>CHOOSE(WEEKDAY(A7160,2),"Mon","Tue","Wed","Thu","Fri","Sat","Sun")</f>
        <v>Sun</v>
      </c>
      <c r="H7160" t="str">
        <f>IF(WEEKDAY(A7160,2)&gt;5,"Weekend","Weekday")</f>
        <v>Weekend</v>
      </c>
      <c r="I7160" t="str">
        <f>_xlfn.IFS(B7160&lt;=5,"Night (0-5)",B7160&lt;=9,"Morning peak (6-9)",B7160&lt;=15,"Midday (10-15)",B7160&lt;=19,"Evening peak (16-19)",TRUE,"Late evening (20-23)")</f>
        <v>Evening peak (16-19)</v>
      </c>
    </row>
    <row r="7161" spans="1:9">
      <c r="A7161" s="32">
        <v>42120</v>
      </c>
      <c r="B7161">
        <v>18</v>
      </c>
      <c r="C7161">
        <v>4606</v>
      </c>
      <c r="D7161" t="s">
        <v>304</v>
      </c>
      <c r="E7161">
        <f>YEAR(A7161)</f>
        <v>2015</v>
      </c>
      <c r="F7161" s="33">
        <f>DATE(YEAR(A7161),MONTH(A7161),1)</f>
        <v>42095.0</v>
      </c>
      <c r="G7161" t="str">
        <f>CHOOSE(WEEKDAY(A7161,2),"Mon","Tue","Wed","Thu","Fri","Sat","Sun")</f>
        <v>Sun</v>
      </c>
      <c r="H7161" t="str">
        <f>IF(WEEKDAY(A7161,2)&gt;5,"Weekend","Weekday")</f>
        <v>Weekend</v>
      </c>
      <c r="I7161" t="str">
        <f>_xlfn.IFS(B7161&lt;=5,"Night (0-5)",B7161&lt;=9,"Morning peak (6-9)",B7161&lt;=15,"Midday (10-15)",B7161&lt;=19,"Evening peak (16-19)",TRUE,"Late evening (20-23)")</f>
        <v>Evening peak (16-19)</v>
      </c>
    </row>
    <row r="7162" spans="1:9">
      <c r="A7162" s="32">
        <v>42120</v>
      </c>
      <c r="B7162">
        <v>19</v>
      </c>
      <c r="C7162">
        <v>4516</v>
      </c>
      <c r="D7162" t="s">
        <v>304</v>
      </c>
      <c r="E7162">
        <f>YEAR(A7162)</f>
        <v>2015</v>
      </c>
      <c r="F7162" s="33">
        <f>DATE(YEAR(A7162),MONTH(A7162),1)</f>
        <v>42095.0</v>
      </c>
      <c r="G7162" t="str">
        <f>CHOOSE(WEEKDAY(A7162,2),"Mon","Tue","Wed","Thu","Fri","Sat","Sun")</f>
        <v>Sun</v>
      </c>
      <c r="H7162" t="str">
        <f>IF(WEEKDAY(A7162,2)&gt;5,"Weekend","Weekday")</f>
        <v>Weekend</v>
      </c>
      <c r="I7162" t="str">
        <f>_xlfn.IFS(B7162&lt;=5,"Night (0-5)",B7162&lt;=9,"Morning peak (6-9)",B7162&lt;=15,"Midday (10-15)",B7162&lt;=19,"Evening peak (16-19)",TRUE,"Late evening (20-23)")</f>
        <v>Evening peak (16-19)</v>
      </c>
    </row>
    <row r="7163" spans="1:9">
      <c r="A7163" s="32">
        <v>42120</v>
      </c>
      <c r="B7163">
        <v>20</v>
      </c>
      <c r="C7163">
        <v>4299</v>
      </c>
      <c r="D7163" t="s">
        <v>304</v>
      </c>
      <c r="E7163">
        <f>YEAR(A7163)</f>
        <v>2015</v>
      </c>
      <c r="F7163" s="33">
        <f>DATE(YEAR(A7163),MONTH(A7163),1)</f>
        <v>42095.0</v>
      </c>
      <c r="G7163" t="str">
        <f>CHOOSE(WEEKDAY(A7163,2),"Mon","Tue","Wed","Thu","Fri","Sat","Sun")</f>
        <v>Sun</v>
      </c>
      <c r="H7163" t="str">
        <f>IF(WEEKDAY(A7163,2)&gt;5,"Weekend","Weekday")</f>
        <v>Weekend</v>
      </c>
      <c r="I7163" t="str">
        <f>_xlfn.IFS(B7163&lt;=5,"Night (0-5)",B7163&lt;=9,"Morning peak (6-9)",B7163&lt;=15,"Midday (10-15)",B7163&lt;=19,"Evening peak (16-19)",TRUE,"Late evening (20-23)")</f>
        <v>Late evening (20-23)</v>
      </c>
    </row>
    <row r="7164" spans="1:9">
      <c r="A7164" s="32">
        <v>42120</v>
      </c>
      <c r="B7164">
        <v>21</v>
      </c>
      <c r="C7164">
        <v>4104</v>
      </c>
      <c r="D7164" t="s">
        <v>304</v>
      </c>
      <c r="E7164">
        <f>YEAR(A7164)</f>
        <v>2015</v>
      </c>
      <c r="F7164" s="33">
        <f>DATE(YEAR(A7164),MONTH(A7164),1)</f>
        <v>42095.0</v>
      </c>
      <c r="G7164" t="str">
        <f>CHOOSE(WEEKDAY(A7164,2),"Mon","Tue","Wed","Thu","Fri","Sat","Sun")</f>
        <v>Sun</v>
      </c>
      <c r="H7164" t="str">
        <f>IF(WEEKDAY(A7164,2)&gt;5,"Weekend","Weekday")</f>
        <v>Weekend</v>
      </c>
      <c r="I7164" t="str">
        <f>_xlfn.IFS(B7164&lt;=5,"Night (0-5)",B7164&lt;=9,"Morning peak (6-9)",B7164&lt;=15,"Midday (10-15)",B7164&lt;=19,"Evening peak (16-19)",TRUE,"Late evening (20-23)")</f>
        <v>Late evening (20-23)</v>
      </c>
    </row>
    <row r="7165" spans="1:9">
      <c r="A7165" s="32">
        <v>42120</v>
      </c>
      <c r="B7165">
        <v>22</v>
      </c>
      <c r="C7165">
        <v>3850</v>
      </c>
      <c r="D7165" t="s">
        <v>304</v>
      </c>
      <c r="E7165">
        <f>YEAR(A7165)</f>
        <v>2015</v>
      </c>
      <c r="F7165" s="33">
        <f>DATE(YEAR(A7165),MONTH(A7165),1)</f>
        <v>42095.0</v>
      </c>
      <c r="G7165" t="str">
        <f>CHOOSE(WEEKDAY(A7165,2),"Mon","Tue","Wed","Thu","Fri","Sat","Sun")</f>
        <v>Sun</v>
      </c>
      <c r="H7165" t="str">
        <f>IF(WEEKDAY(A7165,2)&gt;5,"Weekend","Weekday")</f>
        <v>Weekend</v>
      </c>
      <c r="I7165" t="str">
        <f>_xlfn.IFS(B7165&lt;=5,"Night (0-5)",B7165&lt;=9,"Morning peak (6-9)",B7165&lt;=15,"Midday (10-15)",B7165&lt;=19,"Evening peak (16-19)",TRUE,"Late evening (20-23)")</f>
        <v>Late evening (20-23)</v>
      </c>
    </row>
    <row r="7166" spans="1:9">
      <c r="A7166" s="32">
        <v>42120</v>
      </c>
      <c r="B7166">
        <v>23</v>
      </c>
      <c r="C7166">
        <v>3141</v>
      </c>
      <c r="D7166" t="s">
        <v>304</v>
      </c>
      <c r="E7166">
        <f>YEAR(A7166)</f>
        <v>2015</v>
      </c>
      <c r="F7166" s="33">
        <f>DATE(YEAR(A7166),MONTH(A7166),1)</f>
        <v>42095.0</v>
      </c>
      <c r="G7166" t="str">
        <f>CHOOSE(WEEKDAY(A7166,2),"Mon","Tue","Wed","Thu","Fri","Sat","Sun")</f>
        <v>Sun</v>
      </c>
      <c r="H7166" t="str">
        <f>IF(WEEKDAY(A7166,2)&gt;5,"Weekend","Weekday")</f>
        <v>Weekend</v>
      </c>
      <c r="I7166" t="str">
        <f>_xlfn.IFS(B7166&lt;=5,"Night (0-5)",B7166&lt;=9,"Morning peak (6-9)",B7166&lt;=15,"Midday (10-15)",B7166&lt;=19,"Evening peak (16-19)",TRUE,"Late evening (20-23)")</f>
        <v>Late evening (20-23)</v>
      </c>
    </row>
    <row r="7167" spans="1:9">
      <c r="A7167" s="32">
        <v>42121</v>
      </c>
      <c r="B7167">
        <v>0</v>
      </c>
      <c r="C7167">
        <v>1659</v>
      </c>
      <c r="D7167" t="s">
        <v>304</v>
      </c>
      <c r="E7167">
        <f>YEAR(A7167)</f>
        <v>2015</v>
      </c>
      <c r="F7167" s="33">
        <f>DATE(YEAR(A7167),MONTH(A7167),1)</f>
        <v>42095.0</v>
      </c>
      <c r="G7167" t="str">
        <f>CHOOSE(WEEKDAY(A7167,2),"Mon","Tue","Wed","Thu","Fri","Sat","Sun")</f>
        <v>Mon</v>
      </c>
      <c r="H7167" t="str">
        <f>IF(WEEKDAY(A7167,2)&gt;5,"Weekend","Weekday")</f>
        <v>Weekday</v>
      </c>
      <c r="I7167" t="str">
        <f>_xlfn.IFS(B7167&lt;=5,"Night (0-5)",B7167&lt;=9,"Morning peak (6-9)",B7167&lt;=15,"Midday (10-15)",B7167&lt;=19,"Evening peak (16-19)",TRUE,"Late evening (20-23)")</f>
        <v>Night (0-5)</v>
      </c>
    </row>
    <row r="7168" spans="1:9">
      <c r="A7168" s="32">
        <v>42121</v>
      </c>
      <c r="B7168">
        <v>1</v>
      </c>
      <c r="C7168">
        <v>996</v>
      </c>
      <c r="D7168" t="s">
        <v>304</v>
      </c>
      <c r="E7168">
        <f>YEAR(A7168)</f>
        <v>2015</v>
      </c>
      <c r="F7168" s="33">
        <f>DATE(YEAR(A7168),MONTH(A7168),1)</f>
        <v>42095.0</v>
      </c>
      <c r="G7168" t="str">
        <f>CHOOSE(WEEKDAY(A7168,2),"Mon","Tue","Wed","Thu","Fri","Sat","Sun")</f>
        <v>Mon</v>
      </c>
      <c r="H7168" t="str">
        <f>IF(WEEKDAY(A7168,2)&gt;5,"Weekend","Weekday")</f>
        <v>Weekday</v>
      </c>
      <c r="I7168" t="str">
        <f>_xlfn.IFS(B7168&lt;=5,"Night (0-5)",B7168&lt;=9,"Morning peak (6-9)",B7168&lt;=15,"Midday (10-15)",B7168&lt;=19,"Evening peak (16-19)",TRUE,"Late evening (20-23)")</f>
        <v>Night (0-5)</v>
      </c>
    </row>
    <row r="7169" spans="1:9">
      <c r="A7169" s="32">
        <v>42121</v>
      </c>
      <c r="B7169">
        <v>2</v>
      </c>
      <c r="C7169">
        <v>505</v>
      </c>
      <c r="D7169" t="s">
        <v>304</v>
      </c>
      <c r="E7169">
        <f>YEAR(A7169)</f>
        <v>2015</v>
      </c>
      <c r="F7169" s="33">
        <f>DATE(YEAR(A7169),MONTH(A7169),1)</f>
        <v>42095.0</v>
      </c>
      <c r="G7169" t="str">
        <f>CHOOSE(WEEKDAY(A7169,2),"Mon","Tue","Wed","Thu","Fri","Sat","Sun")</f>
        <v>Mon</v>
      </c>
      <c r="H7169" t="str">
        <f>IF(WEEKDAY(A7169,2)&gt;5,"Weekend","Weekday")</f>
        <v>Weekday</v>
      </c>
      <c r="I7169" t="str">
        <f>_xlfn.IFS(B7169&lt;=5,"Night (0-5)",B7169&lt;=9,"Morning peak (6-9)",B7169&lt;=15,"Midday (10-15)",B7169&lt;=19,"Evening peak (16-19)",TRUE,"Late evening (20-23)")</f>
        <v>Night (0-5)</v>
      </c>
    </row>
    <row r="7170" spans="1:9">
      <c r="A7170" s="32">
        <v>42121</v>
      </c>
      <c r="B7170">
        <v>3</v>
      </c>
      <c r="C7170">
        <v>427</v>
      </c>
      <c r="D7170" t="s">
        <v>304</v>
      </c>
      <c r="E7170">
        <f>YEAR(A7170)</f>
        <v>2015</v>
      </c>
      <c r="F7170" s="33">
        <f>DATE(YEAR(A7170),MONTH(A7170),1)</f>
        <v>42095.0</v>
      </c>
      <c r="G7170" t="str">
        <f>CHOOSE(WEEKDAY(A7170,2),"Mon","Tue","Wed","Thu","Fri","Sat","Sun")</f>
        <v>Mon</v>
      </c>
      <c r="H7170" t="str">
        <f>IF(WEEKDAY(A7170,2)&gt;5,"Weekend","Weekday")</f>
        <v>Weekday</v>
      </c>
      <c r="I7170" t="str">
        <f>_xlfn.IFS(B7170&lt;=5,"Night (0-5)",B7170&lt;=9,"Morning peak (6-9)",B7170&lt;=15,"Midday (10-15)",B7170&lt;=19,"Evening peak (16-19)",TRUE,"Late evening (20-23)")</f>
        <v>Night (0-5)</v>
      </c>
    </row>
    <row r="7171" spans="1:9">
      <c r="A7171" s="32">
        <v>42121</v>
      </c>
      <c r="B7171">
        <v>4</v>
      </c>
      <c r="C7171">
        <v>755</v>
      </c>
      <c r="D7171" t="s">
        <v>304</v>
      </c>
      <c r="E7171">
        <f>YEAR(A7171)</f>
        <v>2015</v>
      </c>
      <c r="F7171" s="33">
        <f>DATE(YEAR(A7171),MONTH(A7171),1)</f>
        <v>42095.0</v>
      </c>
      <c r="G7171" t="str">
        <f>CHOOSE(WEEKDAY(A7171,2),"Mon","Tue","Wed","Thu","Fri","Sat","Sun")</f>
        <v>Mon</v>
      </c>
      <c r="H7171" t="str">
        <f>IF(WEEKDAY(A7171,2)&gt;5,"Weekend","Weekday")</f>
        <v>Weekday</v>
      </c>
      <c r="I7171" t="str">
        <f>_xlfn.IFS(B7171&lt;=5,"Night (0-5)",B7171&lt;=9,"Morning peak (6-9)",B7171&lt;=15,"Midday (10-15)",B7171&lt;=19,"Evening peak (16-19)",TRUE,"Late evening (20-23)")</f>
        <v>Night (0-5)</v>
      </c>
    </row>
    <row r="7172" spans="1:9">
      <c r="A7172" s="32">
        <v>42121</v>
      </c>
      <c r="B7172">
        <v>5</v>
      </c>
      <c r="C7172">
        <v>1291</v>
      </c>
      <c r="D7172" t="s">
        <v>304</v>
      </c>
      <c r="E7172">
        <f>YEAR(A7172)</f>
        <v>2015</v>
      </c>
      <c r="F7172" s="33">
        <f>DATE(YEAR(A7172),MONTH(A7172),1)</f>
        <v>42095.0</v>
      </c>
      <c r="G7172" t="str">
        <f>CHOOSE(WEEKDAY(A7172,2),"Mon","Tue","Wed","Thu","Fri","Sat","Sun")</f>
        <v>Mon</v>
      </c>
      <c r="H7172" t="str">
        <f>IF(WEEKDAY(A7172,2)&gt;5,"Weekend","Weekday")</f>
        <v>Weekday</v>
      </c>
      <c r="I7172" t="str">
        <f>_xlfn.IFS(B7172&lt;=5,"Night (0-5)",B7172&lt;=9,"Morning peak (6-9)",B7172&lt;=15,"Midday (10-15)",B7172&lt;=19,"Evening peak (16-19)",TRUE,"Late evening (20-23)")</f>
        <v>Night (0-5)</v>
      </c>
    </row>
    <row r="7173" spans="1:9">
      <c r="A7173" s="32">
        <v>42121</v>
      </c>
      <c r="B7173">
        <v>6</v>
      </c>
      <c r="C7173">
        <v>2089</v>
      </c>
      <c r="D7173" t="s">
        <v>304</v>
      </c>
      <c r="E7173">
        <f>YEAR(A7173)</f>
        <v>2015</v>
      </c>
      <c r="F7173" s="33">
        <f>DATE(YEAR(A7173),MONTH(A7173),1)</f>
        <v>42095.0</v>
      </c>
      <c r="G7173" t="str">
        <f>CHOOSE(WEEKDAY(A7173,2),"Mon","Tue","Wed","Thu","Fri","Sat","Sun")</f>
        <v>Mon</v>
      </c>
      <c r="H7173" t="str">
        <f>IF(WEEKDAY(A7173,2)&gt;5,"Weekend","Weekday")</f>
        <v>Weekday</v>
      </c>
      <c r="I7173" t="str">
        <f>_xlfn.IFS(B7173&lt;=5,"Night (0-5)",B7173&lt;=9,"Morning peak (6-9)",B7173&lt;=15,"Midday (10-15)",B7173&lt;=19,"Evening peak (16-19)",TRUE,"Late evening (20-23)")</f>
        <v>Morning peak (6-9)</v>
      </c>
    </row>
    <row r="7174" spans="1:9">
      <c r="A7174" s="32">
        <v>42121</v>
      </c>
      <c r="B7174">
        <v>7</v>
      </c>
      <c r="C7174">
        <v>3082</v>
      </c>
      <c r="D7174" t="s">
        <v>304</v>
      </c>
      <c r="E7174">
        <f>YEAR(A7174)</f>
        <v>2015</v>
      </c>
      <c r="F7174" s="33">
        <f>DATE(YEAR(A7174),MONTH(A7174),1)</f>
        <v>42095.0</v>
      </c>
      <c r="G7174" t="str">
        <f>CHOOSE(WEEKDAY(A7174,2),"Mon","Tue","Wed","Thu","Fri","Sat","Sun")</f>
        <v>Mon</v>
      </c>
      <c r="H7174" t="str">
        <f>IF(WEEKDAY(A7174,2)&gt;5,"Weekend","Weekday")</f>
        <v>Weekday</v>
      </c>
      <c r="I7174" t="str">
        <f>_xlfn.IFS(B7174&lt;=5,"Night (0-5)",B7174&lt;=9,"Morning peak (6-9)",B7174&lt;=15,"Midday (10-15)",B7174&lt;=19,"Evening peak (16-19)",TRUE,"Late evening (20-23)")</f>
        <v>Morning peak (6-9)</v>
      </c>
    </row>
    <row r="7175" spans="1:9">
      <c r="A7175" s="32">
        <v>42121</v>
      </c>
      <c r="B7175">
        <v>8</v>
      </c>
      <c r="C7175">
        <v>3893</v>
      </c>
      <c r="D7175" t="s">
        <v>304</v>
      </c>
      <c r="E7175">
        <f>YEAR(A7175)</f>
        <v>2015</v>
      </c>
      <c r="F7175" s="33">
        <f>DATE(YEAR(A7175),MONTH(A7175),1)</f>
        <v>42095.0</v>
      </c>
      <c r="G7175" t="str">
        <f>CHOOSE(WEEKDAY(A7175,2),"Mon","Tue","Wed","Thu","Fri","Sat","Sun")</f>
        <v>Mon</v>
      </c>
      <c r="H7175" t="str">
        <f>IF(WEEKDAY(A7175,2)&gt;5,"Weekend","Weekday")</f>
        <v>Weekday</v>
      </c>
      <c r="I7175" t="str">
        <f>_xlfn.IFS(B7175&lt;=5,"Night (0-5)",B7175&lt;=9,"Morning peak (6-9)",B7175&lt;=15,"Midday (10-15)",B7175&lt;=19,"Evening peak (16-19)",TRUE,"Late evening (20-23)")</f>
        <v>Morning peak (6-9)</v>
      </c>
    </row>
    <row r="7176" spans="1:9">
      <c r="A7176" s="32">
        <v>42121</v>
      </c>
      <c r="B7176">
        <v>9</v>
      </c>
      <c r="C7176">
        <v>3609</v>
      </c>
      <c r="D7176" t="s">
        <v>304</v>
      </c>
      <c r="E7176">
        <f>YEAR(A7176)</f>
        <v>2015</v>
      </c>
      <c r="F7176" s="33">
        <f>DATE(YEAR(A7176),MONTH(A7176),1)</f>
        <v>42095.0</v>
      </c>
      <c r="G7176" t="str">
        <f>CHOOSE(WEEKDAY(A7176,2),"Mon","Tue","Wed","Thu","Fri","Sat","Sun")</f>
        <v>Mon</v>
      </c>
      <c r="H7176" t="str">
        <f>IF(WEEKDAY(A7176,2)&gt;5,"Weekend","Weekday")</f>
        <v>Weekday</v>
      </c>
      <c r="I7176" t="str">
        <f>_xlfn.IFS(B7176&lt;=5,"Night (0-5)",B7176&lt;=9,"Morning peak (6-9)",B7176&lt;=15,"Midday (10-15)",B7176&lt;=19,"Evening peak (16-19)",TRUE,"Late evening (20-23)")</f>
        <v>Morning peak (6-9)</v>
      </c>
    </row>
    <row r="7177" spans="1:9">
      <c r="A7177" s="32">
        <v>42121</v>
      </c>
      <c r="B7177">
        <v>10</v>
      </c>
      <c r="C7177">
        <v>2768</v>
      </c>
      <c r="D7177" t="s">
        <v>304</v>
      </c>
      <c r="E7177">
        <f>YEAR(A7177)</f>
        <v>2015</v>
      </c>
      <c r="F7177" s="33">
        <f>DATE(YEAR(A7177),MONTH(A7177),1)</f>
        <v>42095.0</v>
      </c>
      <c r="G7177" t="str">
        <f>CHOOSE(WEEKDAY(A7177,2),"Mon","Tue","Wed","Thu","Fri","Sat","Sun")</f>
        <v>Mon</v>
      </c>
      <c r="H7177" t="str">
        <f>IF(WEEKDAY(A7177,2)&gt;5,"Weekend","Weekday")</f>
        <v>Weekday</v>
      </c>
      <c r="I7177" t="str">
        <f>_xlfn.IFS(B7177&lt;=5,"Night (0-5)",B7177&lt;=9,"Morning peak (6-9)",B7177&lt;=15,"Midday (10-15)",B7177&lt;=19,"Evening peak (16-19)",TRUE,"Late evening (20-23)")</f>
        <v>Midday (10-15)</v>
      </c>
    </row>
    <row r="7178" spans="1:9">
      <c r="A7178" s="32">
        <v>42121</v>
      </c>
      <c r="B7178">
        <v>11</v>
      </c>
      <c r="C7178">
        <v>2411</v>
      </c>
      <c r="D7178" t="s">
        <v>304</v>
      </c>
      <c r="E7178">
        <f>YEAR(A7178)</f>
        <v>2015</v>
      </c>
      <c r="F7178" s="33">
        <f>DATE(YEAR(A7178),MONTH(A7178),1)</f>
        <v>42095.0</v>
      </c>
      <c r="G7178" t="str">
        <f>CHOOSE(WEEKDAY(A7178,2),"Mon","Tue","Wed","Thu","Fri","Sat","Sun")</f>
        <v>Mon</v>
      </c>
      <c r="H7178" t="str">
        <f>IF(WEEKDAY(A7178,2)&gt;5,"Weekend","Weekday")</f>
        <v>Weekday</v>
      </c>
      <c r="I7178" t="str">
        <f>_xlfn.IFS(B7178&lt;=5,"Night (0-5)",B7178&lt;=9,"Morning peak (6-9)",B7178&lt;=15,"Midday (10-15)",B7178&lt;=19,"Evening peak (16-19)",TRUE,"Late evening (20-23)")</f>
        <v>Midday (10-15)</v>
      </c>
    </row>
    <row r="7179" spans="1:9">
      <c r="A7179" s="32">
        <v>42121</v>
      </c>
      <c r="B7179">
        <v>12</v>
      </c>
      <c r="C7179">
        <v>2436</v>
      </c>
      <c r="D7179" t="s">
        <v>304</v>
      </c>
      <c r="E7179">
        <f>YEAR(A7179)</f>
        <v>2015</v>
      </c>
      <c r="F7179" s="33">
        <f>DATE(YEAR(A7179),MONTH(A7179),1)</f>
        <v>42095.0</v>
      </c>
      <c r="G7179" t="str">
        <f>CHOOSE(WEEKDAY(A7179,2),"Mon","Tue","Wed","Thu","Fri","Sat","Sun")</f>
        <v>Mon</v>
      </c>
      <c r="H7179" t="str">
        <f>IF(WEEKDAY(A7179,2)&gt;5,"Weekend","Weekday")</f>
        <v>Weekday</v>
      </c>
      <c r="I7179" t="str">
        <f>_xlfn.IFS(B7179&lt;=5,"Night (0-5)",B7179&lt;=9,"Morning peak (6-9)",B7179&lt;=15,"Midday (10-15)",B7179&lt;=19,"Evening peak (16-19)",TRUE,"Late evening (20-23)")</f>
        <v>Midday (10-15)</v>
      </c>
    </row>
    <row r="7180" spans="1:9">
      <c r="A7180" s="32">
        <v>42121</v>
      </c>
      <c r="B7180">
        <v>13</v>
      </c>
      <c r="C7180">
        <v>2395</v>
      </c>
      <c r="D7180" t="s">
        <v>304</v>
      </c>
      <c r="E7180">
        <f>YEAR(A7180)</f>
        <v>2015</v>
      </c>
      <c r="F7180" s="33">
        <f>DATE(YEAR(A7180),MONTH(A7180),1)</f>
        <v>42095.0</v>
      </c>
      <c r="G7180" t="str">
        <f>CHOOSE(WEEKDAY(A7180,2),"Mon","Tue","Wed","Thu","Fri","Sat","Sun")</f>
        <v>Mon</v>
      </c>
      <c r="H7180" t="str">
        <f>IF(WEEKDAY(A7180,2)&gt;5,"Weekend","Weekday")</f>
        <v>Weekday</v>
      </c>
      <c r="I7180" t="str">
        <f>_xlfn.IFS(B7180&lt;=5,"Night (0-5)",B7180&lt;=9,"Morning peak (6-9)",B7180&lt;=15,"Midday (10-15)",B7180&lt;=19,"Evening peak (16-19)",TRUE,"Late evening (20-23)")</f>
        <v>Midday (10-15)</v>
      </c>
    </row>
    <row r="7181" spans="1:9">
      <c r="A7181" s="32">
        <v>42121</v>
      </c>
      <c r="B7181">
        <v>14</v>
      </c>
      <c r="C7181">
        <v>2704</v>
      </c>
      <c r="D7181" t="s">
        <v>304</v>
      </c>
      <c r="E7181">
        <f>YEAR(A7181)</f>
        <v>2015</v>
      </c>
      <c r="F7181" s="33">
        <f>DATE(YEAR(A7181),MONTH(A7181),1)</f>
        <v>42095.0</v>
      </c>
      <c r="G7181" t="str">
        <f>CHOOSE(WEEKDAY(A7181,2),"Mon","Tue","Wed","Thu","Fri","Sat","Sun")</f>
        <v>Mon</v>
      </c>
      <c r="H7181" t="str">
        <f>IF(WEEKDAY(A7181,2)&gt;5,"Weekend","Weekday")</f>
        <v>Weekday</v>
      </c>
      <c r="I7181" t="str">
        <f>_xlfn.IFS(B7181&lt;=5,"Night (0-5)",B7181&lt;=9,"Morning peak (6-9)",B7181&lt;=15,"Midday (10-15)",B7181&lt;=19,"Evening peak (16-19)",TRUE,"Late evening (20-23)")</f>
        <v>Midday (10-15)</v>
      </c>
    </row>
    <row r="7182" spans="1:9">
      <c r="A7182" s="32">
        <v>42121</v>
      </c>
      <c r="B7182">
        <v>15</v>
      </c>
      <c r="C7182">
        <v>3014</v>
      </c>
      <c r="D7182" t="s">
        <v>304</v>
      </c>
      <c r="E7182">
        <f>YEAR(A7182)</f>
        <v>2015</v>
      </c>
      <c r="F7182" s="33">
        <f>DATE(YEAR(A7182),MONTH(A7182),1)</f>
        <v>42095.0</v>
      </c>
      <c r="G7182" t="str">
        <f>CHOOSE(WEEKDAY(A7182,2),"Mon","Tue","Wed","Thu","Fri","Sat","Sun")</f>
        <v>Mon</v>
      </c>
      <c r="H7182" t="str">
        <f>IF(WEEKDAY(A7182,2)&gt;5,"Weekend","Weekday")</f>
        <v>Weekday</v>
      </c>
      <c r="I7182" t="str">
        <f>_xlfn.IFS(B7182&lt;=5,"Night (0-5)",B7182&lt;=9,"Morning peak (6-9)",B7182&lt;=15,"Midday (10-15)",B7182&lt;=19,"Evening peak (16-19)",TRUE,"Late evening (20-23)")</f>
        <v>Midday (10-15)</v>
      </c>
    </row>
    <row r="7183" spans="1:9">
      <c r="A7183" s="32">
        <v>42121</v>
      </c>
      <c r="B7183">
        <v>16</v>
      </c>
      <c r="C7183">
        <v>3191</v>
      </c>
      <c r="D7183" t="s">
        <v>304</v>
      </c>
      <c r="E7183">
        <f>YEAR(A7183)</f>
        <v>2015</v>
      </c>
      <c r="F7183" s="33">
        <f>DATE(YEAR(A7183),MONTH(A7183),1)</f>
        <v>42095.0</v>
      </c>
      <c r="G7183" t="str">
        <f>CHOOSE(WEEKDAY(A7183,2),"Mon","Tue","Wed","Thu","Fri","Sat","Sun")</f>
        <v>Mon</v>
      </c>
      <c r="H7183" t="str">
        <f>IF(WEEKDAY(A7183,2)&gt;5,"Weekend","Weekday")</f>
        <v>Weekday</v>
      </c>
      <c r="I7183" t="str">
        <f>_xlfn.IFS(B7183&lt;=5,"Night (0-5)",B7183&lt;=9,"Morning peak (6-9)",B7183&lt;=15,"Midday (10-15)",B7183&lt;=19,"Evening peak (16-19)",TRUE,"Late evening (20-23)")</f>
        <v>Evening peak (16-19)</v>
      </c>
    </row>
    <row r="7184" spans="1:9">
      <c r="A7184" s="32">
        <v>42121</v>
      </c>
      <c r="B7184">
        <v>17</v>
      </c>
      <c r="C7184">
        <v>3803</v>
      </c>
      <c r="D7184" t="s">
        <v>304</v>
      </c>
      <c r="E7184">
        <f>YEAR(A7184)</f>
        <v>2015</v>
      </c>
      <c r="F7184" s="33">
        <f>DATE(YEAR(A7184),MONTH(A7184),1)</f>
        <v>42095.0</v>
      </c>
      <c r="G7184" t="str">
        <f>CHOOSE(WEEKDAY(A7184,2),"Mon","Tue","Wed","Thu","Fri","Sat","Sun")</f>
        <v>Mon</v>
      </c>
      <c r="H7184" t="str">
        <f>IF(WEEKDAY(A7184,2)&gt;5,"Weekend","Weekday")</f>
        <v>Weekday</v>
      </c>
      <c r="I7184" t="str">
        <f>_xlfn.IFS(B7184&lt;=5,"Night (0-5)",B7184&lt;=9,"Morning peak (6-9)",B7184&lt;=15,"Midday (10-15)",B7184&lt;=19,"Evening peak (16-19)",TRUE,"Late evening (20-23)")</f>
        <v>Evening peak (16-19)</v>
      </c>
    </row>
    <row r="7185" spans="1:9">
      <c r="A7185" s="32">
        <v>42121</v>
      </c>
      <c r="B7185">
        <v>18</v>
      </c>
      <c r="C7185">
        <v>4381</v>
      </c>
      <c r="D7185" t="s">
        <v>304</v>
      </c>
      <c r="E7185">
        <f>YEAR(A7185)</f>
        <v>2015</v>
      </c>
      <c r="F7185" s="33">
        <f>DATE(YEAR(A7185),MONTH(A7185),1)</f>
        <v>42095.0</v>
      </c>
      <c r="G7185" t="str">
        <f>CHOOSE(WEEKDAY(A7185,2),"Mon","Tue","Wed","Thu","Fri","Sat","Sun")</f>
        <v>Mon</v>
      </c>
      <c r="H7185" t="str">
        <f>IF(WEEKDAY(A7185,2)&gt;5,"Weekend","Weekday")</f>
        <v>Weekday</v>
      </c>
      <c r="I7185" t="str">
        <f>_xlfn.IFS(B7185&lt;=5,"Night (0-5)",B7185&lt;=9,"Morning peak (6-9)",B7185&lt;=15,"Midday (10-15)",B7185&lt;=19,"Evening peak (16-19)",TRUE,"Late evening (20-23)")</f>
        <v>Evening peak (16-19)</v>
      </c>
    </row>
    <row r="7186" spans="1:9">
      <c r="A7186" s="32">
        <v>42121</v>
      </c>
      <c r="B7186">
        <v>19</v>
      </c>
      <c r="C7186">
        <v>4130</v>
      </c>
      <c r="D7186" t="s">
        <v>304</v>
      </c>
      <c r="E7186">
        <f>YEAR(A7186)</f>
        <v>2015</v>
      </c>
      <c r="F7186" s="33">
        <f>DATE(YEAR(A7186),MONTH(A7186),1)</f>
        <v>42095.0</v>
      </c>
      <c r="G7186" t="str">
        <f>CHOOSE(WEEKDAY(A7186,2),"Mon","Tue","Wed","Thu","Fri","Sat","Sun")</f>
        <v>Mon</v>
      </c>
      <c r="H7186" t="str">
        <f>IF(WEEKDAY(A7186,2)&gt;5,"Weekend","Weekday")</f>
        <v>Weekday</v>
      </c>
      <c r="I7186" t="str">
        <f>_xlfn.IFS(B7186&lt;=5,"Night (0-5)",B7186&lt;=9,"Morning peak (6-9)",B7186&lt;=15,"Midday (10-15)",B7186&lt;=19,"Evening peak (16-19)",TRUE,"Late evening (20-23)")</f>
        <v>Evening peak (16-19)</v>
      </c>
    </row>
    <row r="7187" spans="1:9">
      <c r="A7187" s="32">
        <v>42121</v>
      </c>
      <c r="B7187">
        <v>20</v>
      </c>
      <c r="C7187">
        <v>4227</v>
      </c>
      <c r="D7187" t="s">
        <v>304</v>
      </c>
      <c r="E7187">
        <f>YEAR(A7187)</f>
        <v>2015</v>
      </c>
      <c r="F7187" s="33">
        <f>DATE(YEAR(A7187),MONTH(A7187),1)</f>
        <v>42095.0</v>
      </c>
      <c r="G7187" t="str">
        <f>CHOOSE(WEEKDAY(A7187,2),"Mon","Tue","Wed","Thu","Fri","Sat","Sun")</f>
        <v>Mon</v>
      </c>
      <c r="H7187" t="str">
        <f>IF(WEEKDAY(A7187,2)&gt;5,"Weekend","Weekday")</f>
        <v>Weekday</v>
      </c>
      <c r="I7187" t="str">
        <f>_xlfn.IFS(B7187&lt;=5,"Night (0-5)",B7187&lt;=9,"Morning peak (6-9)",B7187&lt;=15,"Midday (10-15)",B7187&lt;=19,"Evening peak (16-19)",TRUE,"Late evening (20-23)")</f>
        <v>Late evening (20-23)</v>
      </c>
    </row>
    <row r="7188" spans="1:9">
      <c r="A7188" s="32">
        <v>42121</v>
      </c>
      <c r="B7188">
        <v>21</v>
      </c>
      <c r="C7188">
        <v>4239</v>
      </c>
      <c r="D7188" t="s">
        <v>304</v>
      </c>
      <c r="E7188">
        <f>YEAR(A7188)</f>
        <v>2015</v>
      </c>
      <c r="F7188" s="33">
        <f>DATE(YEAR(A7188),MONTH(A7188),1)</f>
        <v>42095.0</v>
      </c>
      <c r="G7188" t="str">
        <f>CHOOSE(WEEKDAY(A7188,2),"Mon","Tue","Wed","Thu","Fri","Sat","Sun")</f>
        <v>Mon</v>
      </c>
      <c r="H7188" t="str">
        <f>IF(WEEKDAY(A7188,2)&gt;5,"Weekend","Weekday")</f>
        <v>Weekday</v>
      </c>
      <c r="I7188" t="str">
        <f>_xlfn.IFS(B7188&lt;=5,"Night (0-5)",B7188&lt;=9,"Morning peak (6-9)",B7188&lt;=15,"Midday (10-15)",B7188&lt;=19,"Evening peak (16-19)",TRUE,"Late evening (20-23)")</f>
        <v>Late evening (20-23)</v>
      </c>
    </row>
    <row r="7189" spans="1:9">
      <c r="A7189" s="32">
        <v>42121</v>
      </c>
      <c r="B7189">
        <v>22</v>
      </c>
      <c r="C7189">
        <v>3894</v>
      </c>
      <c r="D7189" t="s">
        <v>304</v>
      </c>
      <c r="E7189">
        <f>YEAR(A7189)</f>
        <v>2015</v>
      </c>
      <c r="F7189" s="33">
        <f>DATE(YEAR(A7189),MONTH(A7189),1)</f>
        <v>42095.0</v>
      </c>
      <c r="G7189" t="str">
        <f>CHOOSE(WEEKDAY(A7189,2),"Mon","Tue","Wed","Thu","Fri","Sat","Sun")</f>
        <v>Mon</v>
      </c>
      <c r="H7189" t="str">
        <f>IF(WEEKDAY(A7189,2)&gt;5,"Weekend","Weekday")</f>
        <v>Weekday</v>
      </c>
      <c r="I7189" t="str">
        <f>_xlfn.IFS(B7189&lt;=5,"Night (0-5)",B7189&lt;=9,"Morning peak (6-9)",B7189&lt;=15,"Midday (10-15)",B7189&lt;=19,"Evening peak (16-19)",TRUE,"Late evening (20-23)")</f>
        <v>Late evening (20-23)</v>
      </c>
    </row>
    <row r="7190" spans="1:9">
      <c r="A7190" s="32">
        <v>42121</v>
      </c>
      <c r="B7190">
        <v>23</v>
      </c>
      <c r="C7190">
        <v>2884</v>
      </c>
      <c r="D7190" t="s">
        <v>304</v>
      </c>
      <c r="E7190">
        <f>YEAR(A7190)</f>
        <v>2015</v>
      </c>
      <c r="F7190" s="33">
        <f>DATE(YEAR(A7190),MONTH(A7190),1)</f>
        <v>42095.0</v>
      </c>
      <c r="G7190" t="str">
        <f>CHOOSE(WEEKDAY(A7190,2),"Mon","Tue","Wed","Thu","Fri","Sat","Sun")</f>
        <v>Mon</v>
      </c>
      <c r="H7190" t="str">
        <f>IF(WEEKDAY(A7190,2)&gt;5,"Weekend","Weekday")</f>
        <v>Weekday</v>
      </c>
      <c r="I7190" t="str">
        <f>_xlfn.IFS(B7190&lt;=5,"Night (0-5)",B7190&lt;=9,"Morning peak (6-9)",B7190&lt;=15,"Midday (10-15)",B7190&lt;=19,"Evening peak (16-19)",TRUE,"Late evening (20-23)")</f>
        <v>Late evening (20-23)</v>
      </c>
    </row>
    <row r="7191" spans="1:9">
      <c r="A7191" s="32">
        <v>42122</v>
      </c>
      <c r="B7191">
        <v>0</v>
      </c>
      <c r="C7191">
        <v>1853</v>
      </c>
      <c r="D7191" t="s">
        <v>304</v>
      </c>
      <c r="E7191">
        <f>YEAR(A7191)</f>
        <v>2015</v>
      </c>
      <c r="F7191" s="33">
        <f>DATE(YEAR(A7191),MONTH(A7191),1)</f>
        <v>42095.0</v>
      </c>
      <c r="G7191" t="str">
        <f>CHOOSE(WEEKDAY(A7191,2),"Mon","Tue","Wed","Thu","Fri","Sat","Sun")</f>
        <v>Tue</v>
      </c>
      <c r="H7191" t="str">
        <f>IF(WEEKDAY(A7191,2)&gt;5,"Weekend","Weekday")</f>
        <v>Weekday</v>
      </c>
      <c r="I7191" t="str">
        <f>_xlfn.IFS(B7191&lt;=5,"Night (0-5)",B7191&lt;=9,"Morning peak (6-9)",B7191&lt;=15,"Midday (10-15)",B7191&lt;=19,"Evening peak (16-19)",TRUE,"Late evening (20-23)")</f>
        <v>Night (0-5)</v>
      </c>
    </row>
    <row r="7192" spans="1:9">
      <c r="A7192" s="32">
        <v>42122</v>
      </c>
      <c r="B7192">
        <v>1</v>
      </c>
      <c r="C7192">
        <v>1031</v>
      </c>
      <c r="D7192" t="s">
        <v>304</v>
      </c>
      <c r="E7192">
        <f>YEAR(A7192)</f>
        <v>2015</v>
      </c>
      <c r="F7192" s="33">
        <f>DATE(YEAR(A7192),MONTH(A7192),1)</f>
        <v>42095.0</v>
      </c>
      <c r="G7192" t="str">
        <f>CHOOSE(WEEKDAY(A7192,2),"Mon","Tue","Wed","Thu","Fri","Sat","Sun")</f>
        <v>Tue</v>
      </c>
      <c r="H7192" t="str">
        <f>IF(WEEKDAY(A7192,2)&gt;5,"Weekend","Weekday")</f>
        <v>Weekday</v>
      </c>
      <c r="I7192" t="str">
        <f>_xlfn.IFS(B7192&lt;=5,"Night (0-5)",B7192&lt;=9,"Morning peak (6-9)",B7192&lt;=15,"Midday (10-15)",B7192&lt;=19,"Evening peak (16-19)",TRUE,"Late evening (20-23)")</f>
        <v>Night (0-5)</v>
      </c>
    </row>
    <row r="7193" spans="1:9">
      <c r="A7193" s="32">
        <v>42122</v>
      </c>
      <c r="B7193">
        <v>2</v>
      </c>
      <c r="C7193">
        <v>580</v>
      </c>
      <c r="D7193" t="s">
        <v>304</v>
      </c>
      <c r="E7193">
        <f>YEAR(A7193)</f>
        <v>2015</v>
      </c>
      <c r="F7193" s="33">
        <f>DATE(YEAR(A7193),MONTH(A7193),1)</f>
        <v>42095.0</v>
      </c>
      <c r="G7193" t="str">
        <f>CHOOSE(WEEKDAY(A7193,2),"Mon","Tue","Wed","Thu","Fri","Sat","Sun")</f>
        <v>Tue</v>
      </c>
      <c r="H7193" t="str">
        <f>IF(WEEKDAY(A7193,2)&gt;5,"Weekend","Weekday")</f>
        <v>Weekday</v>
      </c>
      <c r="I7193" t="str">
        <f>_xlfn.IFS(B7193&lt;=5,"Night (0-5)",B7193&lt;=9,"Morning peak (6-9)",B7193&lt;=15,"Midday (10-15)",B7193&lt;=19,"Evening peak (16-19)",TRUE,"Late evening (20-23)")</f>
        <v>Night (0-5)</v>
      </c>
    </row>
    <row r="7194" spans="1:9">
      <c r="A7194" s="32">
        <v>42122</v>
      </c>
      <c r="B7194">
        <v>3</v>
      </c>
      <c r="C7194">
        <v>369</v>
      </c>
      <c r="D7194" t="s">
        <v>304</v>
      </c>
      <c r="E7194">
        <f>YEAR(A7194)</f>
        <v>2015</v>
      </c>
      <c r="F7194" s="33">
        <f>DATE(YEAR(A7194),MONTH(A7194),1)</f>
        <v>42095.0</v>
      </c>
      <c r="G7194" t="str">
        <f>CHOOSE(WEEKDAY(A7194,2),"Mon","Tue","Wed","Thu","Fri","Sat","Sun")</f>
        <v>Tue</v>
      </c>
      <c r="H7194" t="str">
        <f>IF(WEEKDAY(A7194,2)&gt;5,"Weekend","Weekday")</f>
        <v>Weekday</v>
      </c>
      <c r="I7194" t="str">
        <f>_xlfn.IFS(B7194&lt;=5,"Night (0-5)",B7194&lt;=9,"Morning peak (6-9)",B7194&lt;=15,"Midday (10-15)",B7194&lt;=19,"Evening peak (16-19)",TRUE,"Late evening (20-23)")</f>
        <v>Night (0-5)</v>
      </c>
    </row>
    <row r="7195" spans="1:9">
      <c r="A7195" s="32">
        <v>42122</v>
      </c>
      <c r="B7195">
        <v>4</v>
      </c>
      <c r="C7195">
        <v>538</v>
      </c>
      <c r="D7195" t="s">
        <v>304</v>
      </c>
      <c r="E7195">
        <f>YEAR(A7195)</f>
        <v>2015</v>
      </c>
      <c r="F7195" s="33">
        <f>DATE(YEAR(A7195),MONTH(A7195),1)</f>
        <v>42095.0</v>
      </c>
      <c r="G7195" t="str">
        <f>CHOOSE(WEEKDAY(A7195,2),"Mon","Tue","Wed","Thu","Fri","Sat","Sun")</f>
        <v>Tue</v>
      </c>
      <c r="H7195" t="str">
        <f>IF(WEEKDAY(A7195,2)&gt;5,"Weekend","Weekday")</f>
        <v>Weekday</v>
      </c>
      <c r="I7195" t="str">
        <f>_xlfn.IFS(B7195&lt;=5,"Night (0-5)",B7195&lt;=9,"Morning peak (6-9)",B7195&lt;=15,"Midday (10-15)",B7195&lt;=19,"Evening peak (16-19)",TRUE,"Late evening (20-23)")</f>
        <v>Night (0-5)</v>
      </c>
    </row>
    <row r="7196" spans="1:9">
      <c r="A7196" s="32">
        <v>42122</v>
      </c>
      <c r="B7196">
        <v>5</v>
      </c>
      <c r="C7196">
        <v>1081</v>
      </c>
      <c r="D7196" t="s">
        <v>304</v>
      </c>
      <c r="E7196">
        <f>YEAR(A7196)</f>
        <v>2015</v>
      </c>
      <c r="F7196" s="33">
        <f>DATE(YEAR(A7196),MONTH(A7196),1)</f>
        <v>42095.0</v>
      </c>
      <c r="G7196" t="str">
        <f>CHOOSE(WEEKDAY(A7196,2),"Mon","Tue","Wed","Thu","Fri","Sat","Sun")</f>
        <v>Tue</v>
      </c>
      <c r="H7196" t="str">
        <f>IF(WEEKDAY(A7196,2)&gt;5,"Weekend","Weekday")</f>
        <v>Weekday</v>
      </c>
      <c r="I7196" t="str">
        <f>_xlfn.IFS(B7196&lt;=5,"Night (0-5)",B7196&lt;=9,"Morning peak (6-9)",B7196&lt;=15,"Midday (10-15)",B7196&lt;=19,"Evening peak (16-19)",TRUE,"Late evening (20-23)")</f>
        <v>Night (0-5)</v>
      </c>
    </row>
    <row r="7197" spans="1:9">
      <c r="A7197" s="32">
        <v>42122</v>
      </c>
      <c r="B7197">
        <v>6</v>
      </c>
      <c r="C7197">
        <v>1873</v>
      </c>
      <c r="D7197" t="s">
        <v>304</v>
      </c>
      <c r="E7197">
        <f>YEAR(A7197)</f>
        <v>2015</v>
      </c>
      <c r="F7197" s="33">
        <f>DATE(YEAR(A7197),MONTH(A7197),1)</f>
        <v>42095.0</v>
      </c>
      <c r="G7197" t="str">
        <f>CHOOSE(WEEKDAY(A7197,2),"Mon","Tue","Wed","Thu","Fri","Sat","Sun")</f>
        <v>Tue</v>
      </c>
      <c r="H7197" t="str">
        <f>IF(WEEKDAY(A7197,2)&gt;5,"Weekend","Weekday")</f>
        <v>Weekday</v>
      </c>
      <c r="I7197" t="str">
        <f>_xlfn.IFS(B7197&lt;=5,"Night (0-5)",B7197&lt;=9,"Morning peak (6-9)",B7197&lt;=15,"Midday (10-15)",B7197&lt;=19,"Evening peak (16-19)",TRUE,"Late evening (20-23)")</f>
        <v>Morning peak (6-9)</v>
      </c>
    </row>
    <row r="7198" spans="1:9">
      <c r="A7198" s="32">
        <v>42122</v>
      </c>
      <c r="B7198">
        <v>7</v>
      </c>
      <c r="C7198">
        <v>3080</v>
      </c>
      <c r="D7198" t="s">
        <v>304</v>
      </c>
      <c r="E7198">
        <f>YEAR(A7198)</f>
        <v>2015</v>
      </c>
      <c r="F7198" s="33">
        <f>DATE(YEAR(A7198),MONTH(A7198),1)</f>
        <v>42095.0</v>
      </c>
      <c r="G7198" t="str">
        <f>CHOOSE(WEEKDAY(A7198,2),"Mon","Tue","Wed","Thu","Fri","Sat","Sun")</f>
        <v>Tue</v>
      </c>
      <c r="H7198" t="str">
        <f>IF(WEEKDAY(A7198,2)&gt;5,"Weekend","Weekday")</f>
        <v>Weekday</v>
      </c>
      <c r="I7198" t="str">
        <f>_xlfn.IFS(B7198&lt;=5,"Night (0-5)",B7198&lt;=9,"Morning peak (6-9)",B7198&lt;=15,"Midday (10-15)",B7198&lt;=19,"Evening peak (16-19)",TRUE,"Late evening (20-23)")</f>
        <v>Morning peak (6-9)</v>
      </c>
    </row>
    <row r="7199" spans="1:9">
      <c r="A7199" s="32">
        <v>42122</v>
      </c>
      <c r="B7199">
        <v>8</v>
      </c>
      <c r="C7199">
        <v>3903</v>
      </c>
      <c r="D7199" t="s">
        <v>304</v>
      </c>
      <c r="E7199">
        <f>YEAR(A7199)</f>
        <v>2015</v>
      </c>
      <c r="F7199" s="33">
        <f>DATE(YEAR(A7199),MONTH(A7199),1)</f>
        <v>42095.0</v>
      </c>
      <c r="G7199" t="str">
        <f>CHOOSE(WEEKDAY(A7199,2),"Mon","Tue","Wed","Thu","Fri","Sat","Sun")</f>
        <v>Tue</v>
      </c>
      <c r="H7199" t="str">
        <f>IF(WEEKDAY(A7199,2)&gt;5,"Weekend","Weekday")</f>
        <v>Weekday</v>
      </c>
      <c r="I7199" t="str">
        <f>_xlfn.IFS(B7199&lt;=5,"Night (0-5)",B7199&lt;=9,"Morning peak (6-9)",B7199&lt;=15,"Midday (10-15)",B7199&lt;=19,"Evening peak (16-19)",TRUE,"Late evening (20-23)")</f>
        <v>Morning peak (6-9)</v>
      </c>
    </row>
    <row r="7200" spans="1:9">
      <c r="A7200" s="32">
        <v>42122</v>
      </c>
      <c r="B7200">
        <v>9</v>
      </c>
      <c r="C7200">
        <v>3549</v>
      </c>
      <c r="D7200" t="s">
        <v>304</v>
      </c>
      <c r="E7200">
        <f>YEAR(A7200)</f>
        <v>2015</v>
      </c>
      <c r="F7200" s="33">
        <f>DATE(YEAR(A7200),MONTH(A7200),1)</f>
        <v>42095.0</v>
      </c>
      <c r="G7200" t="str">
        <f>CHOOSE(WEEKDAY(A7200,2),"Mon","Tue","Wed","Thu","Fri","Sat","Sun")</f>
        <v>Tue</v>
      </c>
      <c r="H7200" t="str">
        <f>IF(WEEKDAY(A7200,2)&gt;5,"Weekend","Weekday")</f>
        <v>Weekday</v>
      </c>
      <c r="I7200" t="str">
        <f>_xlfn.IFS(B7200&lt;=5,"Night (0-5)",B7200&lt;=9,"Morning peak (6-9)",B7200&lt;=15,"Midday (10-15)",B7200&lt;=19,"Evening peak (16-19)",TRUE,"Late evening (20-23)")</f>
        <v>Morning peak (6-9)</v>
      </c>
    </row>
    <row r="7201" spans="1:9">
      <c r="A7201" s="32">
        <v>42122</v>
      </c>
      <c r="B7201">
        <v>10</v>
      </c>
      <c r="C7201">
        <v>2841</v>
      </c>
      <c r="D7201" t="s">
        <v>304</v>
      </c>
      <c r="E7201">
        <f>YEAR(A7201)</f>
        <v>2015</v>
      </c>
      <c r="F7201" s="33">
        <f>DATE(YEAR(A7201),MONTH(A7201),1)</f>
        <v>42095.0</v>
      </c>
      <c r="G7201" t="str">
        <f>CHOOSE(WEEKDAY(A7201,2),"Mon","Tue","Wed","Thu","Fri","Sat","Sun")</f>
        <v>Tue</v>
      </c>
      <c r="H7201" t="str">
        <f>IF(WEEKDAY(A7201,2)&gt;5,"Weekend","Weekday")</f>
        <v>Weekday</v>
      </c>
      <c r="I7201" t="str">
        <f>_xlfn.IFS(B7201&lt;=5,"Night (0-5)",B7201&lt;=9,"Morning peak (6-9)",B7201&lt;=15,"Midday (10-15)",B7201&lt;=19,"Evening peak (16-19)",TRUE,"Late evening (20-23)")</f>
        <v>Midday (10-15)</v>
      </c>
    </row>
    <row r="7202" spans="1:9">
      <c r="A7202" s="32">
        <v>42122</v>
      </c>
      <c r="B7202">
        <v>11</v>
      </c>
      <c r="C7202">
        <v>2362</v>
      </c>
      <c r="D7202" t="s">
        <v>304</v>
      </c>
      <c r="E7202">
        <f>YEAR(A7202)</f>
        <v>2015</v>
      </c>
      <c r="F7202" s="33">
        <f>DATE(YEAR(A7202),MONTH(A7202),1)</f>
        <v>42095.0</v>
      </c>
      <c r="G7202" t="str">
        <f>CHOOSE(WEEKDAY(A7202,2),"Mon","Tue","Wed","Thu","Fri","Sat","Sun")</f>
        <v>Tue</v>
      </c>
      <c r="H7202" t="str">
        <f>IF(WEEKDAY(A7202,2)&gt;5,"Weekend","Weekday")</f>
        <v>Weekday</v>
      </c>
      <c r="I7202" t="str">
        <f>_xlfn.IFS(B7202&lt;=5,"Night (0-5)",B7202&lt;=9,"Morning peak (6-9)",B7202&lt;=15,"Midday (10-15)",B7202&lt;=19,"Evening peak (16-19)",TRUE,"Late evening (20-23)")</f>
        <v>Midday (10-15)</v>
      </c>
    </row>
    <row r="7203" spans="1:9">
      <c r="A7203" s="32">
        <v>42122</v>
      </c>
      <c r="B7203">
        <v>12</v>
      </c>
      <c r="C7203">
        <v>2447</v>
      </c>
      <c r="D7203" t="s">
        <v>304</v>
      </c>
      <c r="E7203">
        <f>YEAR(A7203)</f>
        <v>2015</v>
      </c>
      <c r="F7203" s="33">
        <f>DATE(YEAR(A7203),MONTH(A7203),1)</f>
        <v>42095.0</v>
      </c>
      <c r="G7203" t="str">
        <f>CHOOSE(WEEKDAY(A7203,2),"Mon","Tue","Wed","Thu","Fri","Sat","Sun")</f>
        <v>Tue</v>
      </c>
      <c r="H7203" t="str">
        <f>IF(WEEKDAY(A7203,2)&gt;5,"Weekend","Weekday")</f>
        <v>Weekday</v>
      </c>
      <c r="I7203" t="str">
        <f>_xlfn.IFS(B7203&lt;=5,"Night (0-5)",B7203&lt;=9,"Morning peak (6-9)",B7203&lt;=15,"Midday (10-15)",B7203&lt;=19,"Evening peak (16-19)",TRUE,"Late evening (20-23)")</f>
        <v>Midday (10-15)</v>
      </c>
    </row>
    <row r="7204" spans="1:9">
      <c r="A7204" s="32">
        <v>42122</v>
      </c>
      <c r="B7204">
        <v>13</v>
      </c>
      <c r="C7204">
        <v>2379</v>
      </c>
      <c r="D7204" t="s">
        <v>304</v>
      </c>
      <c r="E7204">
        <f>YEAR(A7204)</f>
        <v>2015</v>
      </c>
      <c r="F7204" s="33">
        <f>DATE(YEAR(A7204),MONTH(A7204),1)</f>
        <v>42095.0</v>
      </c>
      <c r="G7204" t="str">
        <f>CHOOSE(WEEKDAY(A7204,2),"Mon","Tue","Wed","Thu","Fri","Sat","Sun")</f>
        <v>Tue</v>
      </c>
      <c r="H7204" t="str">
        <f>IF(WEEKDAY(A7204,2)&gt;5,"Weekend","Weekday")</f>
        <v>Weekday</v>
      </c>
      <c r="I7204" t="str">
        <f>_xlfn.IFS(B7204&lt;=5,"Night (0-5)",B7204&lt;=9,"Morning peak (6-9)",B7204&lt;=15,"Midday (10-15)",B7204&lt;=19,"Evening peak (16-19)",TRUE,"Late evening (20-23)")</f>
        <v>Midday (10-15)</v>
      </c>
    </row>
    <row r="7205" spans="1:9">
      <c r="A7205" s="32">
        <v>42122</v>
      </c>
      <c r="B7205">
        <v>14</v>
      </c>
      <c r="C7205">
        <v>2709</v>
      </c>
      <c r="D7205" t="s">
        <v>304</v>
      </c>
      <c r="E7205">
        <f>YEAR(A7205)</f>
        <v>2015</v>
      </c>
      <c r="F7205" s="33">
        <f>DATE(YEAR(A7205),MONTH(A7205),1)</f>
        <v>42095.0</v>
      </c>
      <c r="G7205" t="str">
        <f>CHOOSE(WEEKDAY(A7205,2),"Mon","Tue","Wed","Thu","Fri","Sat","Sun")</f>
        <v>Tue</v>
      </c>
      <c r="H7205" t="str">
        <f>IF(WEEKDAY(A7205,2)&gt;5,"Weekend","Weekday")</f>
        <v>Weekday</v>
      </c>
      <c r="I7205" t="str">
        <f>_xlfn.IFS(B7205&lt;=5,"Night (0-5)",B7205&lt;=9,"Morning peak (6-9)",B7205&lt;=15,"Midday (10-15)",B7205&lt;=19,"Evening peak (16-19)",TRUE,"Late evening (20-23)")</f>
        <v>Midday (10-15)</v>
      </c>
    </row>
    <row r="7206" spans="1:9">
      <c r="A7206" s="32">
        <v>42122</v>
      </c>
      <c r="B7206">
        <v>15</v>
      </c>
      <c r="C7206">
        <v>3100</v>
      </c>
      <c r="D7206" t="s">
        <v>304</v>
      </c>
      <c r="E7206">
        <f>YEAR(A7206)</f>
        <v>2015</v>
      </c>
      <c r="F7206" s="33">
        <f>DATE(YEAR(A7206),MONTH(A7206),1)</f>
        <v>42095.0</v>
      </c>
      <c r="G7206" t="str">
        <f>CHOOSE(WEEKDAY(A7206,2),"Mon","Tue","Wed","Thu","Fri","Sat","Sun")</f>
        <v>Tue</v>
      </c>
      <c r="H7206" t="str">
        <f>IF(WEEKDAY(A7206,2)&gt;5,"Weekend","Weekday")</f>
        <v>Weekday</v>
      </c>
      <c r="I7206" t="str">
        <f>_xlfn.IFS(B7206&lt;=5,"Night (0-5)",B7206&lt;=9,"Morning peak (6-9)",B7206&lt;=15,"Midday (10-15)",B7206&lt;=19,"Evening peak (16-19)",TRUE,"Late evening (20-23)")</f>
        <v>Midday (10-15)</v>
      </c>
    </row>
    <row r="7207" spans="1:9">
      <c r="A7207" s="32">
        <v>42122</v>
      </c>
      <c r="B7207">
        <v>16</v>
      </c>
      <c r="C7207">
        <v>3620</v>
      </c>
      <c r="D7207" t="s">
        <v>304</v>
      </c>
      <c r="E7207">
        <f>YEAR(A7207)</f>
        <v>2015</v>
      </c>
      <c r="F7207" s="33">
        <f>DATE(YEAR(A7207),MONTH(A7207),1)</f>
        <v>42095.0</v>
      </c>
      <c r="G7207" t="str">
        <f>CHOOSE(WEEKDAY(A7207,2),"Mon","Tue","Wed","Thu","Fri","Sat","Sun")</f>
        <v>Tue</v>
      </c>
      <c r="H7207" t="str">
        <f>IF(WEEKDAY(A7207,2)&gt;5,"Weekend","Weekday")</f>
        <v>Weekday</v>
      </c>
      <c r="I7207" t="str">
        <f>_xlfn.IFS(B7207&lt;=5,"Night (0-5)",B7207&lt;=9,"Morning peak (6-9)",B7207&lt;=15,"Midday (10-15)",B7207&lt;=19,"Evening peak (16-19)",TRUE,"Late evening (20-23)")</f>
        <v>Evening peak (16-19)</v>
      </c>
    </row>
    <row r="7208" spans="1:9">
      <c r="A7208" s="32">
        <v>42122</v>
      </c>
      <c r="B7208">
        <v>17</v>
      </c>
      <c r="C7208">
        <v>4350</v>
      </c>
      <c r="D7208" t="s">
        <v>304</v>
      </c>
      <c r="E7208">
        <f>YEAR(A7208)</f>
        <v>2015</v>
      </c>
      <c r="F7208" s="33">
        <f>DATE(YEAR(A7208),MONTH(A7208),1)</f>
        <v>42095.0</v>
      </c>
      <c r="G7208" t="str">
        <f>CHOOSE(WEEKDAY(A7208,2),"Mon","Tue","Wed","Thu","Fri","Sat","Sun")</f>
        <v>Tue</v>
      </c>
      <c r="H7208" t="str">
        <f>IF(WEEKDAY(A7208,2)&gt;5,"Weekend","Weekday")</f>
        <v>Weekday</v>
      </c>
      <c r="I7208" t="str">
        <f>_xlfn.IFS(B7208&lt;=5,"Night (0-5)",B7208&lt;=9,"Morning peak (6-9)",B7208&lt;=15,"Midday (10-15)",B7208&lt;=19,"Evening peak (16-19)",TRUE,"Late evening (20-23)")</f>
        <v>Evening peak (16-19)</v>
      </c>
    </row>
    <row r="7209" spans="1:9">
      <c r="A7209" s="32">
        <v>42122</v>
      </c>
      <c r="B7209">
        <v>18</v>
      </c>
      <c r="C7209">
        <v>5145</v>
      </c>
      <c r="D7209" t="s">
        <v>304</v>
      </c>
      <c r="E7209">
        <f>YEAR(A7209)</f>
        <v>2015</v>
      </c>
      <c r="F7209" s="33">
        <f>DATE(YEAR(A7209),MONTH(A7209),1)</f>
        <v>42095.0</v>
      </c>
      <c r="G7209" t="str">
        <f>CHOOSE(WEEKDAY(A7209,2),"Mon","Tue","Wed","Thu","Fri","Sat","Sun")</f>
        <v>Tue</v>
      </c>
      <c r="H7209" t="str">
        <f>IF(WEEKDAY(A7209,2)&gt;5,"Weekend","Weekday")</f>
        <v>Weekday</v>
      </c>
      <c r="I7209" t="str">
        <f>_xlfn.IFS(B7209&lt;=5,"Night (0-5)",B7209&lt;=9,"Morning peak (6-9)",B7209&lt;=15,"Midday (10-15)",B7209&lt;=19,"Evening peak (16-19)",TRUE,"Late evening (20-23)")</f>
        <v>Evening peak (16-19)</v>
      </c>
    </row>
    <row r="7210" spans="1:9">
      <c r="A7210" s="32">
        <v>42122</v>
      </c>
      <c r="B7210">
        <v>19</v>
      </c>
      <c r="C7210">
        <v>4676</v>
      </c>
      <c r="D7210" t="s">
        <v>304</v>
      </c>
      <c r="E7210">
        <f>YEAR(A7210)</f>
        <v>2015</v>
      </c>
      <c r="F7210" s="33">
        <f>DATE(YEAR(A7210),MONTH(A7210),1)</f>
        <v>42095.0</v>
      </c>
      <c r="G7210" t="str">
        <f>CHOOSE(WEEKDAY(A7210,2),"Mon","Tue","Wed","Thu","Fri","Sat","Sun")</f>
        <v>Tue</v>
      </c>
      <c r="H7210" t="str">
        <f>IF(WEEKDAY(A7210,2)&gt;5,"Weekend","Weekday")</f>
        <v>Weekday</v>
      </c>
      <c r="I7210" t="str">
        <f>_xlfn.IFS(B7210&lt;=5,"Night (0-5)",B7210&lt;=9,"Morning peak (6-9)",B7210&lt;=15,"Midday (10-15)",B7210&lt;=19,"Evening peak (16-19)",TRUE,"Late evening (20-23)")</f>
        <v>Evening peak (16-19)</v>
      </c>
    </row>
    <row r="7211" spans="1:9">
      <c r="A7211" s="32">
        <v>42122</v>
      </c>
      <c r="B7211">
        <v>20</v>
      </c>
      <c r="C7211">
        <v>4581</v>
      </c>
      <c r="D7211" t="s">
        <v>304</v>
      </c>
      <c r="E7211">
        <f>YEAR(A7211)</f>
        <v>2015</v>
      </c>
      <c r="F7211" s="33">
        <f>DATE(YEAR(A7211),MONTH(A7211),1)</f>
        <v>42095.0</v>
      </c>
      <c r="G7211" t="str">
        <f>CHOOSE(WEEKDAY(A7211,2),"Mon","Tue","Wed","Thu","Fri","Sat","Sun")</f>
        <v>Tue</v>
      </c>
      <c r="H7211" t="str">
        <f>IF(WEEKDAY(A7211,2)&gt;5,"Weekend","Weekday")</f>
        <v>Weekday</v>
      </c>
      <c r="I7211" t="str">
        <f>_xlfn.IFS(B7211&lt;=5,"Night (0-5)",B7211&lt;=9,"Morning peak (6-9)",B7211&lt;=15,"Midday (10-15)",B7211&lt;=19,"Evening peak (16-19)",TRUE,"Late evening (20-23)")</f>
        <v>Late evening (20-23)</v>
      </c>
    </row>
    <row r="7212" spans="1:9">
      <c r="A7212" s="32">
        <v>42122</v>
      </c>
      <c r="B7212">
        <v>21</v>
      </c>
      <c r="C7212">
        <v>4893</v>
      </c>
      <c r="D7212" t="s">
        <v>304</v>
      </c>
      <c r="E7212">
        <f>YEAR(A7212)</f>
        <v>2015</v>
      </c>
      <c r="F7212" s="33">
        <f>DATE(YEAR(A7212),MONTH(A7212),1)</f>
        <v>42095.0</v>
      </c>
      <c r="G7212" t="str">
        <f>CHOOSE(WEEKDAY(A7212,2),"Mon","Tue","Wed","Thu","Fri","Sat","Sun")</f>
        <v>Tue</v>
      </c>
      <c r="H7212" t="str">
        <f>IF(WEEKDAY(A7212,2)&gt;5,"Weekend","Weekday")</f>
        <v>Weekday</v>
      </c>
      <c r="I7212" t="str">
        <f>_xlfn.IFS(B7212&lt;=5,"Night (0-5)",B7212&lt;=9,"Morning peak (6-9)",B7212&lt;=15,"Midday (10-15)",B7212&lt;=19,"Evening peak (16-19)",TRUE,"Late evening (20-23)")</f>
        <v>Late evening (20-23)</v>
      </c>
    </row>
    <row r="7213" spans="1:9">
      <c r="A7213" s="32">
        <v>42122</v>
      </c>
      <c r="B7213">
        <v>22</v>
      </c>
      <c r="C7213">
        <v>4523</v>
      </c>
      <c r="D7213" t="s">
        <v>304</v>
      </c>
      <c r="E7213">
        <f>YEAR(A7213)</f>
        <v>2015</v>
      </c>
      <c r="F7213" s="33">
        <f>DATE(YEAR(A7213),MONTH(A7213),1)</f>
        <v>42095.0</v>
      </c>
      <c r="G7213" t="str">
        <f>CHOOSE(WEEKDAY(A7213,2),"Mon","Tue","Wed","Thu","Fri","Sat","Sun")</f>
        <v>Tue</v>
      </c>
      <c r="H7213" t="str">
        <f>IF(WEEKDAY(A7213,2)&gt;5,"Weekend","Weekday")</f>
        <v>Weekday</v>
      </c>
      <c r="I7213" t="str">
        <f>_xlfn.IFS(B7213&lt;=5,"Night (0-5)",B7213&lt;=9,"Morning peak (6-9)",B7213&lt;=15,"Midday (10-15)",B7213&lt;=19,"Evening peak (16-19)",TRUE,"Late evening (20-23)")</f>
        <v>Late evening (20-23)</v>
      </c>
    </row>
    <row r="7214" spans="1:9">
      <c r="A7214" s="32">
        <v>42122</v>
      </c>
      <c r="B7214">
        <v>23</v>
      </c>
      <c r="C7214">
        <v>3380</v>
      </c>
      <c r="D7214" t="s">
        <v>304</v>
      </c>
      <c r="E7214">
        <f>YEAR(A7214)</f>
        <v>2015</v>
      </c>
      <c r="F7214" s="33">
        <f>DATE(YEAR(A7214),MONTH(A7214),1)</f>
        <v>42095.0</v>
      </c>
      <c r="G7214" t="str">
        <f>CHOOSE(WEEKDAY(A7214,2),"Mon","Tue","Wed","Thu","Fri","Sat","Sun")</f>
        <v>Tue</v>
      </c>
      <c r="H7214" t="str">
        <f>IF(WEEKDAY(A7214,2)&gt;5,"Weekend","Weekday")</f>
        <v>Weekday</v>
      </c>
      <c r="I7214" t="str">
        <f>_xlfn.IFS(B7214&lt;=5,"Night (0-5)",B7214&lt;=9,"Morning peak (6-9)",B7214&lt;=15,"Midday (10-15)",B7214&lt;=19,"Evening peak (16-19)",TRUE,"Late evening (20-23)")</f>
        <v>Late evening (20-23)</v>
      </c>
    </row>
    <row r="7215" spans="1:9">
      <c r="A7215" s="32">
        <v>42123</v>
      </c>
      <c r="B7215">
        <v>0</v>
      </c>
      <c r="C7215">
        <v>2166</v>
      </c>
      <c r="D7215" t="s">
        <v>304</v>
      </c>
      <c r="E7215">
        <f>YEAR(A7215)</f>
        <v>2015</v>
      </c>
      <c r="F7215" s="33">
        <f>DATE(YEAR(A7215),MONTH(A7215),1)</f>
        <v>42095.0</v>
      </c>
      <c r="G7215" t="str">
        <f>CHOOSE(WEEKDAY(A7215,2),"Mon","Tue","Wed","Thu","Fri","Sat","Sun")</f>
        <v>Wed</v>
      </c>
      <c r="H7215" t="str">
        <f>IF(WEEKDAY(A7215,2)&gt;5,"Weekend","Weekday")</f>
        <v>Weekday</v>
      </c>
      <c r="I7215" t="str">
        <f>_xlfn.IFS(B7215&lt;=5,"Night (0-5)",B7215&lt;=9,"Morning peak (6-9)",B7215&lt;=15,"Midday (10-15)",B7215&lt;=19,"Evening peak (16-19)",TRUE,"Late evening (20-23)")</f>
        <v>Night (0-5)</v>
      </c>
    </row>
    <row r="7216" spans="1:9">
      <c r="A7216" s="32">
        <v>42123</v>
      </c>
      <c r="B7216">
        <v>1</v>
      </c>
      <c r="C7216">
        <v>1242</v>
      </c>
      <c r="D7216" t="s">
        <v>304</v>
      </c>
      <c r="E7216">
        <f>YEAR(A7216)</f>
        <v>2015</v>
      </c>
      <c r="F7216" s="33">
        <f>DATE(YEAR(A7216),MONTH(A7216),1)</f>
        <v>42095.0</v>
      </c>
      <c r="G7216" t="str">
        <f>CHOOSE(WEEKDAY(A7216,2),"Mon","Tue","Wed","Thu","Fri","Sat","Sun")</f>
        <v>Wed</v>
      </c>
      <c r="H7216" t="str">
        <f>IF(WEEKDAY(A7216,2)&gt;5,"Weekend","Weekday")</f>
        <v>Weekday</v>
      </c>
      <c r="I7216" t="str">
        <f>_xlfn.IFS(B7216&lt;=5,"Night (0-5)",B7216&lt;=9,"Morning peak (6-9)",B7216&lt;=15,"Midday (10-15)",B7216&lt;=19,"Evening peak (16-19)",TRUE,"Late evening (20-23)")</f>
        <v>Night (0-5)</v>
      </c>
    </row>
    <row r="7217" spans="1:9">
      <c r="A7217" s="32">
        <v>42123</v>
      </c>
      <c r="B7217">
        <v>2</v>
      </c>
      <c r="C7217">
        <v>746</v>
      </c>
      <c r="D7217" t="s">
        <v>304</v>
      </c>
      <c r="E7217">
        <f>YEAR(A7217)</f>
        <v>2015</v>
      </c>
      <c r="F7217" s="33">
        <f>DATE(YEAR(A7217),MONTH(A7217),1)</f>
        <v>42095.0</v>
      </c>
      <c r="G7217" t="str">
        <f>CHOOSE(WEEKDAY(A7217,2),"Mon","Tue","Wed","Thu","Fri","Sat","Sun")</f>
        <v>Wed</v>
      </c>
      <c r="H7217" t="str">
        <f>IF(WEEKDAY(A7217,2)&gt;5,"Weekend","Weekday")</f>
        <v>Weekday</v>
      </c>
      <c r="I7217" t="str">
        <f>_xlfn.IFS(B7217&lt;=5,"Night (0-5)",B7217&lt;=9,"Morning peak (6-9)",B7217&lt;=15,"Midday (10-15)",B7217&lt;=19,"Evening peak (16-19)",TRUE,"Late evening (20-23)")</f>
        <v>Night (0-5)</v>
      </c>
    </row>
    <row r="7218" spans="1:9">
      <c r="A7218" s="32">
        <v>42123</v>
      </c>
      <c r="B7218">
        <v>3</v>
      </c>
      <c r="C7218">
        <v>510</v>
      </c>
      <c r="D7218" t="s">
        <v>304</v>
      </c>
      <c r="E7218">
        <f>YEAR(A7218)</f>
        <v>2015</v>
      </c>
      <c r="F7218" s="33">
        <f>DATE(YEAR(A7218),MONTH(A7218),1)</f>
        <v>42095.0</v>
      </c>
      <c r="G7218" t="str">
        <f>CHOOSE(WEEKDAY(A7218,2),"Mon","Tue","Wed","Thu","Fri","Sat","Sun")</f>
        <v>Wed</v>
      </c>
      <c r="H7218" t="str">
        <f>IF(WEEKDAY(A7218,2)&gt;5,"Weekend","Weekday")</f>
        <v>Weekday</v>
      </c>
      <c r="I7218" t="str">
        <f>_xlfn.IFS(B7218&lt;=5,"Night (0-5)",B7218&lt;=9,"Morning peak (6-9)",B7218&lt;=15,"Midday (10-15)",B7218&lt;=19,"Evening peak (16-19)",TRUE,"Late evening (20-23)")</f>
        <v>Night (0-5)</v>
      </c>
    </row>
    <row r="7219" spans="1:9">
      <c r="A7219" s="32">
        <v>42123</v>
      </c>
      <c r="B7219">
        <v>4</v>
      </c>
      <c r="C7219">
        <v>649</v>
      </c>
      <c r="D7219" t="s">
        <v>304</v>
      </c>
      <c r="E7219">
        <f>YEAR(A7219)</f>
        <v>2015</v>
      </c>
      <c r="F7219" s="33">
        <f>DATE(YEAR(A7219),MONTH(A7219),1)</f>
        <v>42095.0</v>
      </c>
      <c r="G7219" t="str">
        <f>CHOOSE(WEEKDAY(A7219,2),"Mon","Tue","Wed","Thu","Fri","Sat","Sun")</f>
        <v>Wed</v>
      </c>
      <c r="H7219" t="str">
        <f>IF(WEEKDAY(A7219,2)&gt;5,"Weekend","Weekday")</f>
        <v>Weekday</v>
      </c>
      <c r="I7219" t="str">
        <f>_xlfn.IFS(B7219&lt;=5,"Night (0-5)",B7219&lt;=9,"Morning peak (6-9)",B7219&lt;=15,"Midday (10-15)",B7219&lt;=19,"Evening peak (16-19)",TRUE,"Late evening (20-23)")</f>
        <v>Night (0-5)</v>
      </c>
    </row>
    <row r="7220" spans="1:9">
      <c r="A7220" s="32">
        <v>42123</v>
      </c>
      <c r="B7220">
        <v>5</v>
      </c>
      <c r="C7220">
        <v>1090</v>
      </c>
      <c r="D7220" t="s">
        <v>304</v>
      </c>
      <c r="E7220">
        <f>YEAR(A7220)</f>
        <v>2015</v>
      </c>
      <c r="F7220" s="33">
        <f>DATE(YEAR(A7220),MONTH(A7220),1)</f>
        <v>42095.0</v>
      </c>
      <c r="G7220" t="str">
        <f>CHOOSE(WEEKDAY(A7220,2),"Mon","Tue","Wed","Thu","Fri","Sat","Sun")</f>
        <v>Wed</v>
      </c>
      <c r="H7220" t="str">
        <f>IF(WEEKDAY(A7220,2)&gt;5,"Weekend","Weekday")</f>
        <v>Weekday</v>
      </c>
      <c r="I7220" t="str">
        <f>_xlfn.IFS(B7220&lt;=5,"Night (0-5)",B7220&lt;=9,"Morning peak (6-9)",B7220&lt;=15,"Midday (10-15)",B7220&lt;=19,"Evening peak (16-19)",TRUE,"Late evening (20-23)")</f>
        <v>Night (0-5)</v>
      </c>
    </row>
    <row r="7221" spans="1:9">
      <c r="A7221" s="32">
        <v>42123</v>
      </c>
      <c r="B7221">
        <v>6</v>
      </c>
      <c r="C7221">
        <v>1927</v>
      </c>
      <c r="D7221" t="s">
        <v>304</v>
      </c>
      <c r="E7221">
        <f>YEAR(A7221)</f>
        <v>2015</v>
      </c>
      <c r="F7221" s="33">
        <f>DATE(YEAR(A7221),MONTH(A7221),1)</f>
        <v>42095.0</v>
      </c>
      <c r="G7221" t="str">
        <f>CHOOSE(WEEKDAY(A7221,2),"Mon","Tue","Wed","Thu","Fri","Sat","Sun")</f>
        <v>Wed</v>
      </c>
      <c r="H7221" t="str">
        <f>IF(WEEKDAY(A7221,2)&gt;5,"Weekend","Weekday")</f>
        <v>Weekday</v>
      </c>
      <c r="I7221" t="str">
        <f>_xlfn.IFS(B7221&lt;=5,"Night (0-5)",B7221&lt;=9,"Morning peak (6-9)",B7221&lt;=15,"Midday (10-15)",B7221&lt;=19,"Evening peak (16-19)",TRUE,"Late evening (20-23)")</f>
        <v>Morning peak (6-9)</v>
      </c>
    </row>
    <row r="7222" spans="1:9">
      <c r="A7222" s="32">
        <v>42123</v>
      </c>
      <c r="B7222">
        <v>7</v>
      </c>
      <c r="C7222">
        <v>3038</v>
      </c>
      <c r="D7222" t="s">
        <v>304</v>
      </c>
      <c r="E7222">
        <f>YEAR(A7222)</f>
        <v>2015</v>
      </c>
      <c r="F7222" s="33">
        <f>DATE(YEAR(A7222),MONTH(A7222),1)</f>
        <v>42095.0</v>
      </c>
      <c r="G7222" t="str">
        <f>CHOOSE(WEEKDAY(A7222,2),"Mon","Tue","Wed","Thu","Fri","Sat","Sun")</f>
        <v>Wed</v>
      </c>
      <c r="H7222" t="str">
        <f>IF(WEEKDAY(A7222,2)&gt;5,"Weekend","Weekday")</f>
        <v>Weekday</v>
      </c>
      <c r="I7222" t="str">
        <f>_xlfn.IFS(B7222&lt;=5,"Night (0-5)",B7222&lt;=9,"Morning peak (6-9)",B7222&lt;=15,"Midday (10-15)",B7222&lt;=19,"Evening peak (16-19)",TRUE,"Late evening (20-23)")</f>
        <v>Morning peak (6-9)</v>
      </c>
    </row>
    <row r="7223" spans="1:9">
      <c r="A7223" s="32">
        <v>42123</v>
      </c>
      <c r="B7223">
        <v>8</v>
      </c>
      <c r="C7223">
        <v>3876</v>
      </c>
      <c r="D7223" t="s">
        <v>304</v>
      </c>
      <c r="E7223">
        <f>YEAR(A7223)</f>
        <v>2015</v>
      </c>
      <c r="F7223" s="33">
        <f>DATE(YEAR(A7223),MONTH(A7223),1)</f>
        <v>42095.0</v>
      </c>
      <c r="G7223" t="str">
        <f>CHOOSE(WEEKDAY(A7223,2),"Mon","Tue","Wed","Thu","Fri","Sat","Sun")</f>
        <v>Wed</v>
      </c>
      <c r="H7223" t="str">
        <f>IF(WEEKDAY(A7223,2)&gt;5,"Weekend","Weekday")</f>
        <v>Weekday</v>
      </c>
      <c r="I7223" t="str">
        <f>_xlfn.IFS(B7223&lt;=5,"Night (0-5)",B7223&lt;=9,"Morning peak (6-9)",B7223&lt;=15,"Midday (10-15)",B7223&lt;=19,"Evening peak (16-19)",TRUE,"Late evening (20-23)")</f>
        <v>Morning peak (6-9)</v>
      </c>
    </row>
    <row r="7224" spans="1:9">
      <c r="A7224" s="32">
        <v>42123</v>
      </c>
      <c r="B7224">
        <v>9</v>
      </c>
      <c r="C7224">
        <v>3643</v>
      </c>
      <c r="D7224" t="s">
        <v>304</v>
      </c>
      <c r="E7224">
        <f>YEAR(A7224)</f>
        <v>2015</v>
      </c>
      <c r="F7224" s="33">
        <f>DATE(YEAR(A7224),MONTH(A7224),1)</f>
        <v>42095.0</v>
      </c>
      <c r="G7224" t="str">
        <f>CHOOSE(WEEKDAY(A7224,2),"Mon","Tue","Wed","Thu","Fri","Sat","Sun")</f>
        <v>Wed</v>
      </c>
      <c r="H7224" t="str">
        <f>IF(WEEKDAY(A7224,2)&gt;5,"Weekend","Weekday")</f>
        <v>Weekday</v>
      </c>
      <c r="I7224" t="str">
        <f>_xlfn.IFS(B7224&lt;=5,"Night (0-5)",B7224&lt;=9,"Morning peak (6-9)",B7224&lt;=15,"Midday (10-15)",B7224&lt;=19,"Evening peak (16-19)",TRUE,"Late evening (20-23)")</f>
        <v>Morning peak (6-9)</v>
      </c>
    </row>
    <row r="7225" spans="1:9">
      <c r="A7225" s="32">
        <v>42123</v>
      </c>
      <c r="B7225">
        <v>10</v>
      </c>
      <c r="C7225">
        <v>2715</v>
      </c>
      <c r="D7225" t="s">
        <v>304</v>
      </c>
      <c r="E7225">
        <f>YEAR(A7225)</f>
        <v>2015</v>
      </c>
      <c r="F7225" s="33">
        <f>DATE(YEAR(A7225),MONTH(A7225),1)</f>
        <v>42095.0</v>
      </c>
      <c r="G7225" t="str">
        <f>CHOOSE(WEEKDAY(A7225,2),"Mon","Tue","Wed","Thu","Fri","Sat","Sun")</f>
        <v>Wed</v>
      </c>
      <c r="H7225" t="str">
        <f>IF(WEEKDAY(A7225,2)&gt;5,"Weekend","Weekday")</f>
        <v>Weekday</v>
      </c>
      <c r="I7225" t="str">
        <f>_xlfn.IFS(B7225&lt;=5,"Night (0-5)",B7225&lt;=9,"Morning peak (6-9)",B7225&lt;=15,"Midday (10-15)",B7225&lt;=19,"Evening peak (16-19)",TRUE,"Late evening (20-23)")</f>
        <v>Midday (10-15)</v>
      </c>
    </row>
    <row r="7226" spans="1:9">
      <c r="A7226" s="32">
        <v>42123</v>
      </c>
      <c r="B7226">
        <v>11</v>
      </c>
      <c r="C7226">
        <v>2635</v>
      </c>
      <c r="D7226" t="s">
        <v>304</v>
      </c>
      <c r="E7226">
        <f>YEAR(A7226)</f>
        <v>2015</v>
      </c>
      <c r="F7226" s="33">
        <f>DATE(YEAR(A7226),MONTH(A7226),1)</f>
        <v>42095.0</v>
      </c>
      <c r="G7226" t="str">
        <f>CHOOSE(WEEKDAY(A7226,2),"Mon","Tue","Wed","Thu","Fri","Sat","Sun")</f>
        <v>Wed</v>
      </c>
      <c r="H7226" t="str">
        <f>IF(WEEKDAY(A7226,2)&gt;5,"Weekend","Weekday")</f>
        <v>Weekday</v>
      </c>
      <c r="I7226" t="str">
        <f>_xlfn.IFS(B7226&lt;=5,"Night (0-5)",B7226&lt;=9,"Morning peak (6-9)",B7226&lt;=15,"Midday (10-15)",B7226&lt;=19,"Evening peak (16-19)",TRUE,"Late evening (20-23)")</f>
        <v>Midday (10-15)</v>
      </c>
    </row>
    <row r="7227" spans="1:9">
      <c r="A7227" s="32">
        <v>42123</v>
      </c>
      <c r="B7227">
        <v>12</v>
      </c>
      <c r="C7227">
        <v>2629</v>
      </c>
      <c r="D7227" t="s">
        <v>304</v>
      </c>
      <c r="E7227">
        <f>YEAR(A7227)</f>
        <v>2015</v>
      </c>
      <c r="F7227" s="33">
        <f>DATE(YEAR(A7227),MONTH(A7227),1)</f>
        <v>42095.0</v>
      </c>
      <c r="G7227" t="str">
        <f>CHOOSE(WEEKDAY(A7227,2),"Mon","Tue","Wed","Thu","Fri","Sat","Sun")</f>
        <v>Wed</v>
      </c>
      <c r="H7227" t="str">
        <f>IF(WEEKDAY(A7227,2)&gt;5,"Weekend","Weekday")</f>
        <v>Weekday</v>
      </c>
      <c r="I7227" t="str">
        <f>_xlfn.IFS(B7227&lt;=5,"Night (0-5)",B7227&lt;=9,"Morning peak (6-9)",B7227&lt;=15,"Midday (10-15)",B7227&lt;=19,"Evening peak (16-19)",TRUE,"Late evening (20-23)")</f>
        <v>Midday (10-15)</v>
      </c>
    </row>
    <row r="7228" spans="1:9">
      <c r="A7228" s="32">
        <v>42123</v>
      </c>
      <c r="B7228">
        <v>13</v>
      </c>
      <c r="C7228">
        <v>2583</v>
      </c>
      <c r="D7228" t="s">
        <v>304</v>
      </c>
      <c r="E7228">
        <f>YEAR(A7228)</f>
        <v>2015</v>
      </c>
      <c r="F7228" s="33">
        <f>DATE(YEAR(A7228),MONTH(A7228),1)</f>
        <v>42095.0</v>
      </c>
      <c r="G7228" t="str">
        <f>CHOOSE(WEEKDAY(A7228,2),"Mon","Tue","Wed","Thu","Fri","Sat","Sun")</f>
        <v>Wed</v>
      </c>
      <c r="H7228" t="str">
        <f>IF(WEEKDAY(A7228,2)&gt;5,"Weekend","Weekday")</f>
        <v>Weekday</v>
      </c>
      <c r="I7228" t="str">
        <f>_xlfn.IFS(B7228&lt;=5,"Night (0-5)",B7228&lt;=9,"Morning peak (6-9)",B7228&lt;=15,"Midday (10-15)",B7228&lt;=19,"Evening peak (16-19)",TRUE,"Late evening (20-23)")</f>
        <v>Midday (10-15)</v>
      </c>
    </row>
    <row r="7229" spans="1:9">
      <c r="A7229" s="32">
        <v>42123</v>
      </c>
      <c r="B7229">
        <v>14</v>
      </c>
      <c r="C7229">
        <v>2899</v>
      </c>
      <c r="D7229" t="s">
        <v>304</v>
      </c>
      <c r="E7229">
        <f>YEAR(A7229)</f>
        <v>2015</v>
      </c>
      <c r="F7229" s="33">
        <f>DATE(YEAR(A7229),MONTH(A7229),1)</f>
        <v>42095.0</v>
      </c>
      <c r="G7229" t="str">
        <f>CHOOSE(WEEKDAY(A7229,2),"Mon","Tue","Wed","Thu","Fri","Sat","Sun")</f>
        <v>Wed</v>
      </c>
      <c r="H7229" t="str">
        <f>IF(WEEKDAY(A7229,2)&gt;5,"Weekend","Weekday")</f>
        <v>Weekday</v>
      </c>
      <c r="I7229" t="str">
        <f>_xlfn.IFS(B7229&lt;=5,"Night (0-5)",B7229&lt;=9,"Morning peak (6-9)",B7229&lt;=15,"Midday (10-15)",B7229&lt;=19,"Evening peak (16-19)",TRUE,"Late evening (20-23)")</f>
        <v>Midday (10-15)</v>
      </c>
    </row>
    <row r="7230" spans="1:9">
      <c r="A7230" s="32">
        <v>42123</v>
      </c>
      <c r="B7230">
        <v>15</v>
      </c>
      <c r="C7230">
        <v>3294</v>
      </c>
      <c r="D7230" t="s">
        <v>304</v>
      </c>
      <c r="E7230">
        <f>YEAR(A7230)</f>
        <v>2015</v>
      </c>
      <c r="F7230" s="33">
        <f>DATE(YEAR(A7230),MONTH(A7230),1)</f>
        <v>42095.0</v>
      </c>
      <c r="G7230" t="str">
        <f>CHOOSE(WEEKDAY(A7230,2),"Mon","Tue","Wed","Thu","Fri","Sat","Sun")</f>
        <v>Wed</v>
      </c>
      <c r="H7230" t="str">
        <f>IF(WEEKDAY(A7230,2)&gt;5,"Weekend","Weekday")</f>
        <v>Weekday</v>
      </c>
      <c r="I7230" t="str">
        <f>_xlfn.IFS(B7230&lt;=5,"Night (0-5)",B7230&lt;=9,"Morning peak (6-9)",B7230&lt;=15,"Midday (10-15)",B7230&lt;=19,"Evening peak (16-19)",TRUE,"Late evening (20-23)")</f>
        <v>Midday (10-15)</v>
      </c>
    </row>
    <row r="7231" spans="1:9">
      <c r="A7231" s="32">
        <v>42123</v>
      </c>
      <c r="B7231">
        <v>16</v>
      </c>
      <c r="C7231">
        <v>3720</v>
      </c>
      <c r="D7231" t="s">
        <v>304</v>
      </c>
      <c r="E7231">
        <f>YEAR(A7231)</f>
        <v>2015</v>
      </c>
      <c r="F7231" s="33">
        <f>DATE(YEAR(A7231),MONTH(A7231),1)</f>
        <v>42095.0</v>
      </c>
      <c r="G7231" t="str">
        <f>CHOOSE(WEEKDAY(A7231,2),"Mon","Tue","Wed","Thu","Fri","Sat","Sun")</f>
        <v>Wed</v>
      </c>
      <c r="H7231" t="str">
        <f>IF(WEEKDAY(A7231,2)&gt;5,"Weekend","Weekday")</f>
        <v>Weekday</v>
      </c>
      <c r="I7231" t="str">
        <f>_xlfn.IFS(B7231&lt;=5,"Night (0-5)",B7231&lt;=9,"Morning peak (6-9)",B7231&lt;=15,"Midday (10-15)",B7231&lt;=19,"Evening peak (16-19)",TRUE,"Late evening (20-23)")</f>
        <v>Evening peak (16-19)</v>
      </c>
    </row>
    <row r="7232" spans="1:9">
      <c r="A7232" s="32">
        <v>42123</v>
      </c>
      <c r="B7232">
        <v>17</v>
      </c>
      <c r="C7232">
        <v>4366</v>
      </c>
      <c r="D7232" t="s">
        <v>304</v>
      </c>
      <c r="E7232">
        <f>YEAR(A7232)</f>
        <v>2015</v>
      </c>
      <c r="F7232" s="33">
        <f>DATE(YEAR(A7232),MONTH(A7232),1)</f>
        <v>42095.0</v>
      </c>
      <c r="G7232" t="str">
        <f>CHOOSE(WEEKDAY(A7232,2),"Mon","Tue","Wed","Thu","Fri","Sat","Sun")</f>
        <v>Wed</v>
      </c>
      <c r="H7232" t="str">
        <f>IF(WEEKDAY(A7232,2)&gt;5,"Weekend","Weekday")</f>
        <v>Weekday</v>
      </c>
      <c r="I7232" t="str">
        <f>_xlfn.IFS(B7232&lt;=5,"Night (0-5)",B7232&lt;=9,"Morning peak (6-9)",B7232&lt;=15,"Midday (10-15)",B7232&lt;=19,"Evening peak (16-19)",TRUE,"Late evening (20-23)")</f>
        <v>Evening peak (16-19)</v>
      </c>
    </row>
    <row r="7233" spans="1:9">
      <c r="A7233" s="32">
        <v>42123</v>
      </c>
      <c r="B7233">
        <v>18</v>
      </c>
      <c r="C7233">
        <v>5162</v>
      </c>
      <c r="D7233" t="s">
        <v>304</v>
      </c>
      <c r="E7233">
        <f>YEAR(A7233)</f>
        <v>2015</v>
      </c>
      <c r="F7233" s="33">
        <f>DATE(YEAR(A7233),MONTH(A7233),1)</f>
        <v>42095.0</v>
      </c>
      <c r="G7233" t="str">
        <f>CHOOSE(WEEKDAY(A7233,2),"Mon","Tue","Wed","Thu","Fri","Sat","Sun")</f>
        <v>Wed</v>
      </c>
      <c r="H7233" t="str">
        <f>IF(WEEKDAY(A7233,2)&gt;5,"Weekend","Weekday")</f>
        <v>Weekday</v>
      </c>
      <c r="I7233" t="str">
        <f>_xlfn.IFS(B7233&lt;=5,"Night (0-5)",B7233&lt;=9,"Morning peak (6-9)",B7233&lt;=15,"Midday (10-15)",B7233&lt;=19,"Evening peak (16-19)",TRUE,"Late evening (20-23)")</f>
        <v>Evening peak (16-19)</v>
      </c>
    </row>
    <row r="7234" spans="1:9">
      <c r="A7234" s="32">
        <v>42123</v>
      </c>
      <c r="B7234">
        <v>19</v>
      </c>
      <c r="C7234">
        <v>5302</v>
      </c>
      <c r="D7234" t="s">
        <v>304</v>
      </c>
      <c r="E7234">
        <f>YEAR(A7234)</f>
        <v>2015</v>
      </c>
      <c r="F7234" s="33">
        <f>DATE(YEAR(A7234),MONTH(A7234),1)</f>
        <v>42095.0</v>
      </c>
      <c r="G7234" t="str">
        <f>CHOOSE(WEEKDAY(A7234,2),"Mon","Tue","Wed","Thu","Fri","Sat","Sun")</f>
        <v>Wed</v>
      </c>
      <c r="H7234" t="str">
        <f>IF(WEEKDAY(A7234,2)&gt;5,"Weekend","Weekday")</f>
        <v>Weekday</v>
      </c>
      <c r="I7234" t="str">
        <f>_xlfn.IFS(B7234&lt;=5,"Night (0-5)",B7234&lt;=9,"Morning peak (6-9)",B7234&lt;=15,"Midday (10-15)",B7234&lt;=19,"Evening peak (16-19)",TRUE,"Late evening (20-23)")</f>
        <v>Evening peak (16-19)</v>
      </c>
    </row>
    <row r="7235" spans="1:9">
      <c r="A7235" s="32">
        <v>42123</v>
      </c>
      <c r="B7235">
        <v>20</v>
      </c>
      <c r="C7235">
        <v>5628</v>
      </c>
      <c r="D7235" t="s">
        <v>304</v>
      </c>
      <c r="E7235">
        <f>YEAR(A7235)</f>
        <v>2015</v>
      </c>
      <c r="F7235" s="33">
        <f>DATE(YEAR(A7235),MONTH(A7235),1)</f>
        <v>42095.0</v>
      </c>
      <c r="G7235" t="str">
        <f>CHOOSE(WEEKDAY(A7235,2),"Mon","Tue","Wed","Thu","Fri","Sat","Sun")</f>
        <v>Wed</v>
      </c>
      <c r="H7235" t="str">
        <f>IF(WEEKDAY(A7235,2)&gt;5,"Weekend","Weekday")</f>
        <v>Weekday</v>
      </c>
      <c r="I7235" t="str">
        <f>_xlfn.IFS(B7235&lt;=5,"Night (0-5)",B7235&lt;=9,"Morning peak (6-9)",B7235&lt;=15,"Midday (10-15)",B7235&lt;=19,"Evening peak (16-19)",TRUE,"Late evening (20-23)")</f>
        <v>Late evening (20-23)</v>
      </c>
    </row>
    <row r="7236" spans="1:9">
      <c r="A7236" s="32">
        <v>42123</v>
      </c>
      <c r="B7236">
        <v>21</v>
      </c>
      <c r="C7236">
        <v>5899</v>
      </c>
      <c r="D7236" t="s">
        <v>304</v>
      </c>
      <c r="E7236">
        <f>YEAR(A7236)</f>
        <v>2015</v>
      </c>
      <c r="F7236" s="33">
        <f>DATE(YEAR(A7236),MONTH(A7236),1)</f>
        <v>42095.0</v>
      </c>
      <c r="G7236" t="str">
        <f>CHOOSE(WEEKDAY(A7236,2),"Mon","Tue","Wed","Thu","Fri","Sat","Sun")</f>
        <v>Wed</v>
      </c>
      <c r="H7236" t="str">
        <f>IF(WEEKDAY(A7236,2)&gt;5,"Weekend","Weekday")</f>
        <v>Weekday</v>
      </c>
      <c r="I7236" t="str">
        <f>_xlfn.IFS(B7236&lt;=5,"Night (0-5)",B7236&lt;=9,"Morning peak (6-9)",B7236&lt;=15,"Midday (10-15)",B7236&lt;=19,"Evening peak (16-19)",TRUE,"Late evening (20-23)")</f>
        <v>Late evening (20-23)</v>
      </c>
    </row>
    <row r="7237" spans="1:9">
      <c r="A7237" s="32">
        <v>42123</v>
      </c>
      <c r="B7237">
        <v>22</v>
      </c>
      <c r="C7237">
        <v>5803</v>
      </c>
      <c r="D7237" t="s">
        <v>304</v>
      </c>
      <c r="E7237">
        <f>YEAR(A7237)</f>
        <v>2015</v>
      </c>
      <c r="F7237" s="33">
        <f>DATE(YEAR(A7237),MONTH(A7237),1)</f>
        <v>42095.0</v>
      </c>
      <c r="G7237" t="str">
        <f>CHOOSE(WEEKDAY(A7237,2),"Mon","Tue","Wed","Thu","Fri","Sat","Sun")</f>
        <v>Wed</v>
      </c>
      <c r="H7237" t="str">
        <f>IF(WEEKDAY(A7237,2)&gt;5,"Weekend","Weekday")</f>
        <v>Weekday</v>
      </c>
      <c r="I7237" t="str">
        <f>_xlfn.IFS(B7237&lt;=5,"Night (0-5)",B7237&lt;=9,"Morning peak (6-9)",B7237&lt;=15,"Midday (10-15)",B7237&lt;=19,"Evening peak (16-19)",TRUE,"Late evening (20-23)")</f>
        <v>Late evening (20-23)</v>
      </c>
    </row>
    <row r="7238" spans="1:9">
      <c r="A7238" s="32">
        <v>42123</v>
      </c>
      <c r="B7238">
        <v>23</v>
      </c>
      <c r="C7238">
        <v>4418</v>
      </c>
      <c r="D7238" t="s">
        <v>304</v>
      </c>
      <c r="E7238">
        <f>YEAR(A7238)</f>
        <v>2015</v>
      </c>
      <c r="F7238" s="33">
        <f>DATE(YEAR(A7238),MONTH(A7238),1)</f>
        <v>42095.0</v>
      </c>
      <c r="G7238" t="str">
        <f>CHOOSE(WEEKDAY(A7238,2),"Mon","Tue","Wed","Thu","Fri","Sat","Sun")</f>
        <v>Wed</v>
      </c>
      <c r="H7238" t="str">
        <f>IF(WEEKDAY(A7238,2)&gt;5,"Weekend","Weekday")</f>
        <v>Weekday</v>
      </c>
      <c r="I7238" t="str">
        <f>_xlfn.IFS(B7238&lt;=5,"Night (0-5)",B7238&lt;=9,"Morning peak (6-9)",B7238&lt;=15,"Midday (10-15)",B7238&lt;=19,"Evening peak (16-19)",TRUE,"Late evening (20-23)")</f>
        <v>Late evening (20-23)</v>
      </c>
    </row>
    <row r="7239" spans="1:9">
      <c r="A7239" s="32">
        <v>42124</v>
      </c>
      <c r="B7239">
        <v>0</v>
      </c>
      <c r="C7239">
        <v>2698</v>
      </c>
      <c r="D7239" t="s">
        <v>304</v>
      </c>
      <c r="E7239">
        <f>YEAR(A7239)</f>
        <v>2015</v>
      </c>
      <c r="F7239" s="33">
        <f>DATE(YEAR(A7239),MONTH(A7239),1)</f>
        <v>42095.0</v>
      </c>
      <c r="G7239" t="str">
        <f>CHOOSE(WEEKDAY(A7239,2),"Mon","Tue","Wed","Thu","Fri","Sat","Sun")</f>
        <v>Thu</v>
      </c>
      <c r="H7239" t="str">
        <f>IF(WEEKDAY(A7239,2)&gt;5,"Weekend","Weekday")</f>
        <v>Weekday</v>
      </c>
      <c r="I7239" t="str">
        <f>_xlfn.IFS(B7239&lt;=5,"Night (0-5)",B7239&lt;=9,"Morning peak (6-9)",B7239&lt;=15,"Midday (10-15)",B7239&lt;=19,"Evening peak (16-19)",TRUE,"Late evening (20-23)")</f>
        <v>Night (0-5)</v>
      </c>
    </row>
    <row r="7240" spans="1:9">
      <c r="A7240" s="32">
        <v>42124</v>
      </c>
      <c r="B7240">
        <v>1</v>
      </c>
      <c r="C7240">
        <v>1417</v>
      </c>
      <c r="D7240" t="s">
        <v>304</v>
      </c>
      <c r="E7240">
        <f>YEAR(A7240)</f>
        <v>2015</v>
      </c>
      <c r="F7240" s="33">
        <f>DATE(YEAR(A7240),MONTH(A7240),1)</f>
        <v>42095.0</v>
      </c>
      <c r="G7240" t="str">
        <f>CHOOSE(WEEKDAY(A7240,2),"Mon","Tue","Wed","Thu","Fri","Sat","Sun")</f>
        <v>Thu</v>
      </c>
      <c r="H7240" t="str">
        <f>IF(WEEKDAY(A7240,2)&gt;5,"Weekend","Weekday")</f>
        <v>Weekday</v>
      </c>
      <c r="I7240" t="str">
        <f>_xlfn.IFS(B7240&lt;=5,"Night (0-5)",B7240&lt;=9,"Morning peak (6-9)",B7240&lt;=15,"Midday (10-15)",B7240&lt;=19,"Evening peak (16-19)",TRUE,"Late evening (20-23)")</f>
        <v>Night (0-5)</v>
      </c>
    </row>
    <row r="7241" spans="1:9">
      <c r="A7241" s="32">
        <v>42124</v>
      </c>
      <c r="B7241">
        <v>2</v>
      </c>
      <c r="C7241">
        <v>787</v>
      </c>
      <c r="D7241" t="s">
        <v>304</v>
      </c>
      <c r="E7241">
        <f>YEAR(A7241)</f>
        <v>2015</v>
      </c>
      <c r="F7241" s="33">
        <f>DATE(YEAR(A7241),MONTH(A7241),1)</f>
        <v>42095.0</v>
      </c>
      <c r="G7241" t="str">
        <f>CHOOSE(WEEKDAY(A7241,2),"Mon","Tue","Wed","Thu","Fri","Sat","Sun")</f>
        <v>Thu</v>
      </c>
      <c r="H7241" t="str">
        <f>IF(WEEKDAY(A7241,2)&gt;5,"Weekend","Weekday")</f>
        <v>Weekday</v>
      </c>
      <c r="I7241" t="str">
        <f>_xlfn.IFS(B7241&lt;=5,"Night (0-5)",B7241&lt;=9,"Morning peak (6-9)",B7241&lt;=15,"Midday (10-15)",B7241&lt;=19,"Evening peak (16-19)",TRUE,"Late evening (20-23)")</f>
        <v>Night (0-5)</v>
      </c>
    </row>
    <row r="7242" spans="1:9">
      <c r="A7242" s="32">
        <v>42124</v>
      </c>
      <c r="B7242">
        <v>3</v>
      </c>
      <c r="C7242">
        <v>578</v>
      </c>
      <c r="D7242" t="s">
        <v>304</v>
      </c>
      <c r="E7242">
        <f>YEAR(A7242)</f>
        <v>2015</v>
      </c>
      <c r="F7242" s="33">
        <f>DATE(YEAR(A7242),MONTH(A7242),1)</f>
        <v>42095.0</v>
      </c>
      <c r="G7242" t="str">
        <f>CHOOSE(WEEKDAY(A7242,2),"Mon","Tue","Wed","Thu","Fri","Sat","Sun")</f>
        <v>Thu</v>
      </c>
      <c r="H7242" t="str">
        <f>IF(WEEKDAY(A7242,2)&gt;5,"Weekend","Weekday")</f>
        <v>Weekday</v>
      </c>
      <c r="I7242" t="str">
        <f>_xlfn.IFS(B7242&lt;=5,"Night (0-5)",B7242&lt;=9,"Morning peak (6-9)",B7242&lt;=15,"Midday (10-15)",B7242&lt;=19,"Evening peak (16-19)",TRUE,"Late evening (20-23)")</f>
        <v>Night (0-5)</v>
      </c>
    </row>
    <row r="7243" spans="1:9">
      <c r="A7243" s="32">
        <v>42124</v>
      </c>
      <c r="B7243">
        <v>4</v>
      </c>
      <c r="C7243">
        <v>777</v>
      </c>
      <c r="D7243" t="s">
        <v>304</v>
      </c>
      <c r="E7243">
        <f>YEAR(A7243)</f>
        <v>2015</v>
      </c>
      <c r="F7243" s="33">
        <f>DATE(YEAR(A7243),MONTH(A7243),1)</f>
        <v>42095.0</v>
      </c>
      <c r="G7243" t="str">
        <f>CHOOSE(WEEKDAY(A7243,2),"Mon","Tue","Wed","Thu","Fri","Sat","Sun")</f>
        <v>Thu</v>
      </c>
      <c r="H7243" t="str">
        <f>IF(WEEKDAY(A7243,2)&gt;5,"Weekend","Weekday")</f>
        <v>Weekday</v>
      </c>
      <c r="I7243" t="str">
        <f>_xlfn.IFS(B7243&lt;=5,"Night (0-5)",B7243&lt;=9,"Morning peak (6-9)",B7243&lt;=15,"Midday (10-15)",B7243&lt;=19,"Evening peak (16-19)",TRUE,"Late evening (20-23)")</f>
        <v>Night (0-5)</v>
      </c>
    </row>
    <row r="7244" spans="1:9">
      <c r="A7244" s="32">
        <v>42124</v>
      </c>
      <c r="B7244">
        <v>5</v>
      </c>
      <c r="C7244">
        <v>1226</v>
      </c>
      <c r="D7244" t="s">
        <v>304</v>
      </c>
      <c r="E7244">
        <f>YEAR(A7244)</f>
        <v>2015</v>
      </c>
      <c r="F7244" s="33">
        <f>DATE(YEAR(A7244),MONTH(A7244),1)</f>
        <v>42095.0</v>
      </c>
      <c r="G7244" t="str">
        <f>CHOOSE(WEEKDAY(A7244,2),"Mon","Tue","Wed","Thu","Fri","Sat","Sun")</f>
        <v>Thu</v>
      </c>
      <c r="H7244" t="str">
        <f>IF(WEEKDAY(A7244,2)&gt;5,"Weekend","Weekday")</f>
        <v>Weekday</v>
      </c>
      <c r="I7244" t="str">
        <f>_xlfn.IFS(B7244&lt;=5,"Night (0-5)",B7244&lt;=9,"Morning peak (6-9)",B7244&lt;=15,"Midday (10-15)",B7244&lt;=19,"Evening peak (16-19)",TRUE,"Late evening (20-23)")</f>
        <v>Night (0-5)</v>
      </c>
    </row>
    <row r="7245" spans="1:9">
      <c r="A7245" s="32">
        <v>42124</v>
      </c>
      <c r="B7245">
        <v>6</v>
      </c>
      <c r="C7245">
        <v>2008</v>
      </c>
      <c r="D7245" t="s">
        <v>304</v>
      </c>
      <c r="E7245">
        <f>YEAR(A7245)</f>
        <v>2015</v>
      </c>
      <c r="F7245" s="33">
        <f>DATE(YEAR(A7245),MONTH(A7245),1)</f>
        <v>42095.0</v>
      </c>
      <c r="G7245" t="str">
        <f>CHOOSE(WEEKDAY(A7245,2),"Mon","Tue","Wed","Thu","Fri","Sat","Sun")</f>
        <v>Thu</v>
      </c>
      <c r="H7245" t="str">
        <f>IF(WEEKDAY(A7245,2)&gt;5,"Weekend","Weekday")</f>
        <v>Weekday</v>
      </c>
      <c r="I7245" t="str">
        <f>_xlfn.IFS(B7245&lt;=5,"Night (0-5)",B7245&lt;=9,"Morning peak (6-9)",B7245&lt;=15,"Midday (10-15)",B7245&lt;=19,"Evening peak (16-19)",TRUE,"Late evening (20-23)")</f>
        <v>Morning peak (6-9)</v>
      </c>
    </row>
    <row r="7246" spans="1:9">
      <c r="A7246" s="32">
        <v>42124</v>
      </c>
      <c r="B7246">
        <v>7</v>
      </c>
      <c r="C7246">
        <v>3037</v>
      </c>
      <c r="D7246" t="s">
        <v>304</v>
      </c>
      <c r="E7246">
        <f>YEAR(A7246)</f>
        <v>2015</v>
      </c>
      <c r="F7246" s="33">
        <f>DATE(YEAR(A7246),MONTH(A7246),1)</f>
        <v>42095.0</v>
      </c>
      <c r="G7246" t="str">
        <f>CHOOSE(WEEKDAY(A7246,2),"Mon","Tue","Wed","Thu","Fri","Sat","Sun")</f>
        <v>Thu</v>
      </c>
      <c r="H7246" t="str">
        <f>IF(WEEKDAY(A7246,2)&gt;5,"Weekend","Weekday")</f>
        <v>Weekday</v>
      </c>
      <c r="I7246" t="str">
        <f>_xlfn.IFS(B7246&lt;=5,"Night (0-5)",B7246&lt;=9,"Morning peak (6-9)",B7246&lt;=15,"Midday (10-15)",B7246&lt;=19,"Evening peak (16-19)",TRUE,"Late evening (20-23)")</f>
        <v>Morning peak (6-9)</v>
      </c>
    </row>
    <row r="7247" spans="1:9">
      <c r="A7247" s="32">
        <v>42124</v>
      </c>
      <c r="B7247">
        <v>8</v>
      </c>
      <c r="C7247">
        <v>3760</v>
      </c>
      <c r="D7247" t="s">
        <v>304</v>
      </c>
      <c r="E7247">
        <f>YEAR(A7247)</f>
        <v>2015</v>
      </c>
      <c r="F7247" s="33">
        <f>DATE(YEAR(A7247),MONTH(A7247),1)</f>
        <v>42095.0</v>
      </c>
      <c r="G7247" t="str">
        <f>CHOOSE(WEEKDAY(A7247,2),"Mon","Tue","Wed","Thu","Fri","Sat","Sun")</f>
        <v>Thu</v>
      </c>
      <c r="H7247" t="str">
        <f>IF(WEEKDAY(A7247,2)&gt;5,"Weekend","Weekday")</f>
        <v>Weekday</v>
      </c>
      <c r="I7247" t="str">
        <f>_xlfn.IFS(B7247&lt;=5,"Night (0-5)",B7247&lt;=9,"Morning peak (6-9)",B7247&lt;=15,"Midday (10-15)",B7247&lt;=19,"Evening peak (16-19)",TRUE,"Late evening (20-23)")</f>
        <v>Morning peak (6-9)</v>
      </c>
    </row>
    <row r="7248" spans="1:9">
      <c r="A7248" s="32">
        <v>42124</v>
      </c>
      <c r="B7248">
        <v>9</v>
      </c>
      <c r="C7248">
        <v>3680</v>
      </c>
      <c r="D7248" t="s">
        <v>304</v>
      </c>
      <c r="E7248">
        <f>YEAR(A7248)</f>
        <v>2015</v>
      </c>
      <c r="F7248" s="33">
        <f>DATE(YEAR(A7248),MONTH(A7248),1)</f>
        <v>42095.0</v>
      </c>
      <c r="G7248" t="str">
        <f>CHOOSE(WEEKDAY(A7248,2),"Mon","Tue","Wed","Thu","Fri","Sat","Sun")</f>
        <v>Thu</v>
      </c>
      <c r="H7248" t="str">
        <f>IF(WEEKDAY(A7248,2)&gt;5,"Weekend","Weekday")</f>
        <v>Weekday</v>
      </c>
      <c r="I7248" t="str">
        <f>_xlfn.IFS(B7248&lt;=5,"Night (0-5)",B7248&lt;=9,"Morning peak (6-9)",B7248&lt;=15,"Midday (10-15)",B7248&lt;=19,"Evening peak (16-19)",TRUE,"Late evening (20-23)")</f>
        <v>Morning peak (6-9)</v>
      </c>
    </row>
    <row r="7249" spans="1:9">
      <c r="A7249" s="32">
        <v>42124</v>
      </c>
      <c r="B7249">
        <v>10</v>
      </c>
      <c r="C7249">
        <v>2965</v>
      </c>
      <c r="D7249" t="s">
        <v>304</v>
      </c>
      <c r="E7249">
        <f>YEAR(A7249)</f>
        <v>2015</v>
      </c>
      <c r="F7249" s="33">
        <f>DATE(YEAR(A7249),MONTH(A7249),1)</f>
        <v>42095.0</v>
      </c>
      <c r="G7249" t="str">
        <f>CHOOSE(WEEKDAY(A7249,2),"Mon","Tue","Wed","Thu","Fri","Sat","Sun")</f>
        <v>Thu</v>
      </c>
      <c r="H7249" t="str">
        <f>IF(WEEKDAY(A7249,2)&gt;5,"Weekend","Weekday")</f>
        <v>Weekday</v>
      </c>
      <c r="I7249" t="str">
        <f>_xlfn.IFS(B7249&lt;=5,"Night (0-5)",B7249&lt;=9,"Morning peak (6-9)",B7249&lt;=15,"Midday (10-15)",B7249&lt;=19,"Evening peak (16-19)",TRUE,"Late evening (20-23)")</f>
        <v>Midday (10-15)</v>
      </c>
    </row>
    <row r="7250" spans="1:9">
      <c r="A7250" s="32">
        <v>42124</v>
      </c>
      <c r="B7250">
        <v>11</v>
      </c>
      <c r="C7250">
        <v>2780</v>
      </c>
      <c r="D7250" t="s">
        <v>304</v>
      </c>
      <c r="E7250">
        <f>YEAR(A7250)</f>
        <v>2015</v>
      </c>
      <c r="F7250" s="33">
        <f>DATE(YEAR(A7250),MONTH(A7250),1)</f>
        <v>42095.0</v>
      </c>
      <c r="G7250" t="str">
        <f>CHOOSE(WEEKDAY(A7250,2),"Mon","Tue","Wed","Thu","Fri","Sat","Sun")</f>
        <v>Thu</v>
      </c>
      <c r="H7250" t="str">
        <f>IF(WEEKDAY(A7250,2)&gt;5,"Weekend","Weekday")</f>
        <v>Weekday</v>
      </c>
      <c r="I7250" t="str">
        <f>_xlfn.IFS(B7250&lt;=5,"Night (0-5)",B7250&lt;=9,"Morning peak (6-9)",B7250&lt;=15,"Midday (10-15)",B7250&lt;=19,"Evening peak (16-19)",TRUE,"Late evening (20-23)")</f>
        <v>Midday (10-15)</v>
      </c>
    </row>
    <row r="7251" spans="1:9">
      <c r="A7251" s="32">
        <v>42124</v>
      </c>
      <c r="B7251">
        <v>12</v>
      </c>
      <c r="C7251">
        <v>2819</v>
      </c>
      <c r="D7251" t="s">
        <v>304</v>
      </c>
      <c r="E7251">
        <f>YEAR(A7251)</f>
        <v>2015</v>
      </c>
      <c r="F7251" s="33">
        <f>DATE(YEAR(A7251),MONTH(A7251),1)</f>
        <v>42095.0</v>
      </c>
      <c r="G7251" t="str">
        <f>CHOOSE(WEEKDAY(A7251,2),"Mon","Tue","Wed","Thu","Fri","Sat","Sun")</f>
        <v>Thu</v>
      </c>
      <c r="H7251" t="str">
        <f>IF(WEEKDAY(A7251,2)&gt;5,"Weekend","Weekday")</f>
        <v>Weekday</v>
      </c>
      <c r="I7251" t="str">
        <f>_xlfn.IFS(B7251&lt;=5,"Night (0-5)",B7251&lt;=9,"Morning peak (6-9)",B7251&lt;=15,"Midday (10-15)",B7251&lt;=19,"Evening peak (16-19)",TRUE,"Late evening (20-23)")</f>
        <v>Midday (10-15)</v>
      </c>
    </row>
    <row r="7252" spans="1:9">
      <c r="A7252" s="32">
        <v>42124</v>
      </c>
      <c r="B7252">
        <v>13</v>
      </c>
      <c r="C7252">
        <v>2756</v>
      </c>
      <c r="D7252" t="s">
        <v>304</v>
      </c>
      <c r="E7252">
        <f>YEAR(A7252)</f>
        <v>2015</v>
      </c>
      <c r="F7252" s="33">
        <f>DATE(YEAR(A7252),MONTH(A7252),1)</f>
        <v>42095.0</v>
      </c>
      <c r="G7252" t="str">
        <f>CHOOSE(WEEKDAY(A7252,2),"Mon","Tue","Wed","Thu","Fri","Sat","Sun")</f>
        <v>Thu</v>
      </c>
      <c r="H7252" t="str">
        <f>IF(WEEKDAY(A7252,2)&gt;5,"Weekend","Weekday")</f>
        <v>Weekday</v>
      </c>
      <c r="I7252" t="str">
        <f>_xlfn.IFS(B7252&lt;=5,"Night (0-5)",B7252&lt;=9,"Morning peak (6-9)",B7252&lt;=15,"Midday (10-15)",B7252&lt;=19,"Evening peak (16-19)",TRUE,"Late evening (20-23)")</f>
        <v>Midday (10-15)</v>
      </c>
    </row>
    <row r="7253" spans="1:9">
      <c r="A7253" s="32">
        <v>42124</v>
      </c>
      <c r="B7253">
        <v>14</v>
      </c>
      <c r="C7253">
        <v>3035</v>
      </c>
      <c r="D7253" t="s">
        <v>304</v>
      </c>
      <c r="E7253">
        <f>YEAR(A7253)</f>
        <v>2015</v>
      </c>
      <c r="F7253" s="33">
        <f>DATE(YEAR(A7253),MONTH(A7253),1)</f>
        <v>42095.0</v>
      </c>
      <c r="G7253" t="str">
        <f>CHOOSE(WEEKDAY(A7253,2),"Mon","Tue","Wed","Thu","Fri","Sat","Sun")</f>
        <v>Thu</v>
      </c>
      <c r="H7253" t="str">
        <f>IF(WEEKDAY(A7253,2)&gt;5,"Weekend","Weekday")</f>
        <v>Weekday</v>
      </c>
      <c r="I7253" t="str">
        <f>_xlfn.IFS(B7253&lt;=5,"Night (0-5)",B7253&lt;=9,"Morning peak (6-9)",B7253&lt;=15,"Midday (10-15)",B7253&lt;=19,"Evening peak (16-19)",TRUE,"Late evening (20-23)")</f>
        <v>Midday (10-15)</v>
      </c>
    </row>
    <row r="7254" spans="1:9">
      <c r="A7254" s="32">
        <v>42124</v>
      </c>
      <c r="B7254">
        <v>15</v>
      </c>
      <c r="C7254">
        <v>3580</v>
      </c>
      <c r="D7254" t="s">
        <v>304</v>
      </c>
      <c r="E7254">
        <f>YEAR(A7254)</f>
        <v>2015</v>
      </c>
      <c r="F7254" s="33">
        <f>DATE(YEAR(A7254),MONTH(A7254),1)</f>
        <v>42095.0</v>
      </c>
      <c r="G7254" t="str">
        <f>CHOOSE(WEEKDAY(A7254,2),"Mon","Tue","Wed","Thu","Fri","Sat","Sun")</f>
        <v>Thu</v>
      </c>
      <c r="H7254" t="str">
        <f>IF(WEEKDAY(A7254,2)&gt;5,"Weekend","Weekday")</f>
        <v>Weekday</v>
      </c>
      <c r="I7254" t="str">
        <f>_xlfn.IFS(B7254&lt;=5,"Night (0-5)",B7254&lt;=9,"Morning peak (6-9)",B7254&lt;=15,"Midday (10-15)",B7254&lt;=19,"Evening peak (16-19)",TRUE,"Late evening (20-23)")</f>
        <v>Midday (10-15)</v>
      </c>
    </row>
    <row r="7255" spans="1:9">
      <c r="A7255" s="32">
        <v>42124</v>
      </c>
      <c r="B7255">
        <v>16</v>
      </c>
      <c r="C7255">
        <v>4170</v>
      </c>
      <c r="D7255" t="s">
        <v>304</v>
      </c>
      <c r="E7255">
        <f>YEAR(A7255)</f>
        <v>2015</v>
      </c>
      <c r="F7255" s="33">
        <f>DATE(YEAR(A7255),MONTH(A7255),1)</f>
        <v>42095.0</v>
      </c>
      <c r="G7255" t="str">
        <f>CHOOSE(WEEKDAY(A7255,2),"Mon","Tue","Wed","Thu","Fri","Sat","Sun")</f>
        <v>Thu</v>
      </c>
      <c r="H7255" t="str">
        <f>IF(WEEKDAY(A7255,2)&gt;5,"Weekend","Weekday")</f>
        <v>Weekday</v>
      </c>
      <c r="I7255" t="str">
        <f>_xlfn.IFS(B7255&lt;=5,"Night (0-5)",B7255&lt;=9,"Morning peak (6-9)",B7255&lt;=15,"Midday (10-15)",B7255&lt;=19,"Evening peak (16-19)",TRUE,"Late evening (20-23)")</f>
        <v>Evening peak (16-19)</v>
      </c>
    </row>
    <row r="7256" spans="1:9">
      <c r="A7256" s="32">
        <v>42124</v>
      </c>
      <c r="B7256">
        <v>17</v>
      </c>
      <c r="C7256">
        <v>5048</v>
      </c>
      <c r="D7256" t="s">
        <v>304</v>
      </c>
      <c r="E7256">
        <f>YEAR(A7256)</f>
        <v>2015</v>
      </c>
      <c r="F7256" s="33">
        <f>DATE(YEAR(A7256),MONTH(A7256),1)</f>
        <v>42095.0</v>
      </c>
      <c r="G7256" t="str">
        <f>CHOOSE(WEEKDAY(A7256,2),"Mon","Tue","Wed","Thu","Fri","Sat","Sun")</f>
        <v>Thu</v>
      </c>
      <c r="H7256" t="str">
        <f>IF(WEEKDAY(A7256,2)&gt;5,"Weekend","Weekday")</f>
        <v>Weekday</v>
      </c>
      <c r="I7256" t="str">
        <f>_xlfn.IFS(B7256&lt;=5,"Night (0-5)",B7256&lt;=9,"Morning peak (6-9)",B7256&lt;=15,"Midday (10-15)",B7256&lt;=19,"Evening peak (16-19)",TRUE,"Late evening (20-23)")</f>
        <v>Evening peak (16-19)</v>
      </c>
    </row>
    <row r="7257" spans="1:9">
      <c r="A7257" s="32">
        <v>42124</v>
      </c>
      <c r="B7257">
        <v>18</v>
      </c>
      <c r="C7257">
        <v>6008</v>
      </c>
      <c r="D7257" t="s">
        <v>304</v>
      </c>
      <c r="E7257">
        <f>YEAR(A7257)</f>
        <v>2015</v>
      </c>
      <c r="F7257" s="33">
        <f>DATE(YEAR(A7257),MONTH(A7257),1)</f>
        <v>42095.0</v>
      </c>
      <c r="G7257" t="str">
        <f>CHOOSE(WEEKDAY(A7257,2),"Mon","Tue","Wed","Thu","Fri","Sat","Sun")</f>
        <v>Thu</v>
      </c>
      <c r="H7257" t="str">
        <f>IF(WEEKDAY(A7257,2)&gt;5,"Weekend","Weekday")</f>
        <v>Weekday</v>
      </c>
      <c r="I7257" t="str">
        <f>_xlfn.IFS(B7257&lt;=5,"Night (0-5)",B7257&lt;=9,"Morning peak (6-9)",B7257&lt;=15,"Midday (10-15)",B7257&lt;=19,"Evening peak (16-19)",TRUE,"Late evening (20-23)")</f>
        <v>Evening peak (16-19)</v>
      </c>
    </row>
    <row r="7258" spans="1:9">
      <c r="A7258" s="32">
        <v>42124</v>
      </c>
      <c r="B7258">
        <v>19</v>
      </c>
      <c r="C7258">
        <v>6037</v>
      </c>
      <c r="D7258" t="s">
        <v>304</v>
      </c>
      <c r="E7258">
        <f>YEAR(A7258)</f>
        <v>2015</v>
      </c>
      <c r="F7258" s="33">
        <f>DATE(YEAR(A7258),MONTH(A7258),1)</f>
        <v>42095.0</v>
      </c>
      <c r="G7258" t="str">
        <f>CHOOSE(WEEKDAY(A7258,2),"Mon","Tue","Wed","Thu","Fri","Sat","Sun")</f>
        <v>Thu</v>
      </c>
      <c r="H7258" t="str">
        <f>IF(WEEKDAY(A7258,2)&gt;5,"Weekend","Weekday")</f>
        <v>Weekday</v>
      </c>
      <c r="I7258" t="str">
        <f>_xlfn.IFS(B7258&lt;=5,"Night (0-5)",B7258&lt;=9,"Morning peak (6-9)",B7258&lt;=15,"Midday (10-15)",B7258&lt;=19,"Evening peak (16-19)",TRUE,"Late evening (20-23)")</f>
        <v>Evening peak (16-19)</v>
      </c>
    </row>
    <row r="7259" spans="1:9">
      <c r="A7259" s="32">
        <v>42124</v>
      </c>
      <c r="B7259">
        <v>20</v>
      </c>
      <c r="C7259">
        <v>6081</v>
      </c>
      <c r="D7259" t="s">
        <v>304</v>
      </c>
      <c r="E7259">
        <f>YEAR(A7259)</f>
        <v>2015</v>
      </c>
      <c r="F7259" s="33">
        <f>DATE(YEAR(A7259),MONTH(A7259),1)</f>
        <v>42095.0</v>
      </c>
      <c r="G7259" t="str">
        <f>CHOOSE(WEEKDAY(A7259,2),"Mon","Tue","Wed","Thu","Fri","Sat","Sun")</f>
        <v>Thu</v>
      </c>
      <c r="H7259" t="str">
        <f>IF(WEEKDAY(A7259,2)&gt;5,"Weekend","Weekday")</f>
        <v>Weekday</v>
      </c>
      <c r="I7259" t="str">
        <f>_xlfn.IFS(B7259&lt;=5,"Night (0-5)",B7259&lt;=9,"Morning peak (6-9)",B7259&lt;=15,"Midday (10-15)",B7259&lt;=19,"Evening peak (16-19)",TRUE,"Late evening (20-23)")</f>
        <v>Late evening (20-23)</v>
      </c>
    </row>
    <row r="7260" spans="1:9">
      <c r="A7260" s="32">
        <v>42124</v>
      </c>
      <c r="B7260">
        <v>21</v>
      </c>
      <c r="C7260">
        <v>6548</v>
      </c>
      <c r="D7260" t="s">
        <v>304</v>
      </c>
      <c r="E7260">
        <f>YEAR(A7260)</f>
        <v>2015</v>
      </c>
      <c r="F7260" s="33">
        <f>DATE(YEAR(A7260),MONTH(A7260),1)</f>
        <v>42095.0</v>
      </c>
      <c r="G7260" t="str">
        <f>CHOOSE(WEEKDAY(A7260,2),"Mon","Tue","Wed","Thu","Fri","Sat","Sun")</f>
        <v>Thu</v>
      </c>
      <c r="H7260" t="str">
        <f>IF(WEEKDAY(A7260,2)&gt;5,"Weekend","Weekday")</f>
        <v>Weekday</v>
      </c>
      <c r="I7260" t="str">
        <f>_xlfn.IFS(B7260&lt;=5,"Night (0-5)",B7260&lt;=9,"Morning peak (6-9)",B7260&lt;=15,"Midday (10-15)",B7260&lt;=19,"Evening peak (16-19)",TRUE,"Late evening (20-23)")</f>
        <v>Late evening (20-23)</v>
      </c>
    </row>
    <row r="7261" spans="1:9">
      <c r="A7261" s="32">
        <v>42124</v>
      </c>
      <c r="B7261">
        <v>22</v>
      </c>
      <c r="C7261">
        <v>6835</v>
      </c>
      <c r="D7261" t="s">
        <v>304</v>
      </c>
      <c r="E7261">
        <f>YEAR(A7261)</f>
        <v>2015</v>
      </c>
      <c r="F7261" s="33">
        <f>DATE(YEAR(A7261),MONTH(A7261),1)</f>
        <v>42095.0</v>
      </c>
      <c r="G7261" t="str">
        <f>CHOOSE(WEEKDAY(A7261,2),"Mon","Tue","Wed","Thu","Fri","Sat","Sun")</f>
        <v>Thu</v>
      </c>
      <c r="H7261" t="str">
        <f>IF(WEEKDAY(A7261,2)&gt;5,"Weekend","Weekday")</f>
        <v>Weekday</v>
      </c>
      <c r="I7261" t="str">
        <f>_xlfn.IFS(B7261&lt;=5,"Night (0-5)",B7261&lt;=9,"Morning peak (6-9)",B7261&lt;=15,"Midday (10-15)",B7261&lt;=19,"Evening peak (16-19)",TRUE,"Late evening (20-23)")</f>
        <v>Late evening (20-23)</v>
      </c>
    </row>
    <row r="7262" spans="1:9">
      <c r="A7262" s="32">
        <v>42124</v>
      </c>
      <c r="B7262">
        <v>23</v>
      </c>
      <c r="C7262">
        <v>5700</v>
      </c>
      <c r="D7262" t="s">
        <v>304</v>
      </c>
      <c r="E7262">
        <f>YEAR(A7262)</f>
        <v>2015</v>
      </c>
      <c r="F7262" s="33">
        <f>DATE(YEAR(A7262),MONTH(A7262),1)</f>
        <v>42095.0</v>
      </c>
      <c r="G7262" t="str">
        <f>CHOOSE(WEEKDAY(A7262,2),"Mon","Tue","Wed","Thu","Fri","Sat","Sun")</f>
        <v>Thu</v>
      </c>
      <c r="H7262" t="str">
        <f>IF(WEEKDAY(A7262,2)&gt;5,"Weekend","Weekday")</f>
        <v>Weekday</v>
      </c>
      <c r="I7262" t="str">
        <f>_xlfn.IFS(B7262&lt;=5,"Night (0-5)",B7262&lt;=9,"Morning peak (6-9)",B7262&lt;=15,"Midday (10-15)",B7262&lt;=19,"Evening peak (16-19)",TRUE,"Late evening (20-23)")</f>
        <v>Late evening (20-23)</v>
      </c>
    </row>
    <row r="7263" spans="1:9">
      <c r="A7263" s="32">
        <v>42125</v>
      </c>
      <c r="B7263">
        <v>0</v>
      </c>
      <c r="C7263">
        <v>2986</v>
      </c>
      <c r="D7263" t="s">
        <v>304</v>
      </c>
      <c r="E7263">
        <f>YEAR(A7263)</f>
        <v>2015</v>
      </c>
      <c r="F7263" s="33">
        <f>DATE(YEAR(A7263),MONTH(A7263),1)</f>
        <v>42125.0</v>
      </c>
      <c r="G7263" t="str">
        <f>CHOOSE(WEEKDAY(A7263,2),"Mon","Tue","Wed","Thu","Fri","Sat","Sun")</f>
        <v>Fri</v>
      </c>
      <c r="H7263" t="str">
        <f>IF(WEEKDAY(A7263,2)&gt;5,"Weekend","Weekday")</f>
        <v>Weekday</v>
      </c>
      <c r="I7263" t="str">
        <f>_xlfn.IFS(B7263&lt;=5,"Night (0-5)",B7263&lt;=9,"Morning peak (6-9)",B7263&lt;=15,"Midday (10-15)",B7263&lt;=19,"Evening peak (16-19)",TRUE,"Late evening (20-23)")</f>
        <v>Night (0-5)</v>
      </c>
    </row>
    <row r="7264" spans="1:9">
      <c r="A7264" s="32">
        <v>42125</v>
      </c>
      <c r="B7264">
        <v>1</v>
      </c>
      <c r="C7264">
        <v>1895</v>
      </c>
      <c r="D7264" t="s">
        <v>304</v>
      </c>
      <c r="E7264">
        <f>YEAR(A7264)</f>
        <v>2015</v>
      </c>
      <c r="F7264" s="33">
        <f>DATE(YEAR(A7264),MONTH(A7264),1)</f>
        <v>42125.0</v>
      </c>
      <c r="G7264" t="str">
        <f>CHOOSE(WEEKDAY(A7264,2),"Mon","Tue","Wed","Thu","Fri","Sat","Sun")</f>
        <v>Fri</v>
      </c>
      <c r="H7264" t="str">
        <f>IF(WEEKDAY(A7264,2)&gt;5,"Weekend","Weekday")</f>
        <v>Weekday</v>
      </c>
      <c r="I7264" t="str">
        <f>_xlfn.IFS(B7264&lt;=5,"Night (0-5)",B7264&lt;=9,"Morning peak (6-9)",B7264&lt;=15,"Midday (10-15)",B7264&lt;=19,"Evening peak (16-19)",TRUE,"Late evening (20-23)")</f>
        <v>Night (0-5)</v>
      </c>
    </row>
    <row r="7265" spans="1:9">
      <c r="A7265" s="32">
        <v>42125</v>
      </c>
      <c r="B7265">
        <v>2</v>
      </c>
      <c r="C7265">
        <v>1166</v>
      </c>
      <c r="D7265" t="s">
        <v>304</v>
      </c>
      <c r="E7265">
        <f>YEAR(A7265)</f>
        <v>2015</v>
      </c>
      <c r="F7265" s="33">
        <f>DATE(YEAR(A7265),MONTH(A7265),1)</f>
        <v>42125.0</v>
      </c>
      <c r="G7265" t="str">
        <f>CHOOSE(WEEKDAY(A7265,2),"Mon","Tue","Wed","Thu","Fri","Sat","Sun")</f>
        <v>Fri</v>
      </c>
      <c r="H7265" t="str">
        <f>IF(WEEKDAY(A7265,2)&gt;5,"Weekend","Weekday")</f>
        <v>Weekday</v>
      </c>
      <c r="I7265" t="str">
        <f>_xlfn.IFS(B7265&lt;=5,"Night (0-5)",B7265&lt;=9,"Morning peak (6-9)",B7265&lt;=15,"Midday (10-15)",B7265&lt;=19,"Evening peak (16-19)",TRUE,"Late evening (20-23)")</f>
        <v>Night (0-5)</v>
      </c>
    </row>
    <row r="7266" spans="1:9">
      <c r="A7266" s="32">
        <v>42125</v>
      </c>
      <c r="B7266">
        <v>3</v>
      </c>
      <c r="C7266">
        <v>752</v>
      </c>
      <c r="D7266" t="s">
        <v>304</v>
      </c>
      <c r="E7266">
        <f>YEAR(A7266)</f>
        <v>2015</v>
      </c>
      <c r="F7266" s="33">
        <f>DATE(YEAR(A7266),MONTH(A7266),1)</f>
        <v>42125.0</v>
      </c>
      <c r="G7266" t="str">
        <f>CHOOSE(WEEKDAY(A7266,2),"Mon","Tue","Wed","Thu","Fri","Sat","Sun")</f>
        <v>Fri</v>
      </c>
      <c r="H7266" t="str">
        <f>IF(WEEKDAY(A7266,2)&gt;5,"Weekend","Weekday")</f>
        <v>Weekday</v>
      </c>
      <c r="I7266" t="str">
        <f>_xlfn.IFS(B7266&lt;=5,"Night (0-5)",B7266&lt;=9,"Morning peak (6-9)",B7266&lt;=15,"Midday (10-15)",B7266&lt;=19,"Evening peak (16-19)",TRUE,"Late evening (20-23)")</f>
        <v>Night (0-5)</v>
      </c>
    </row>
    <row r="7267" spans="1:9">
      <c r="A7267" s="32">
        <v>42125</v>
      </c>
      <c r="B7267">
        <v>4</v>
      </c>
      <c r="C7267">
        <v>1058</v>
      </c>
      <c r="D7267" t="s">
        <v>304</v>
      </c>
      <c r="E7267">
        <f>YEAR(A7267)</f>
        <v>2015</v>
      </c>
      <c r="F7267" s="33">
        <f>DATE(YEAR(A7267),MONTH(A7267),1)</f>
        <v>42125.0</v>
      </c>
      <c r="G7267" t="str">
        <f>CHOOSE(WEEKDAY(A7267,2),"Mon","Tue","Wed","Thu","Fri","Sat","Sun")</f>
        <v>Fri</v>
      </c>
      <c r="H7267" t="str">
        <f>IF(WEEKDAY(A7267,2)&gt;5,"Weekend","Weekday")</f>
        <v>Weekday</v>
      </c>
      <c r="I7267" t="str">
        <f>_xlfn.IFS(B7267&lt;=5,"Night (0-5)",B7267&lt;=9,"Morning peak (6-9)",B7267&lt;=15,"Midday (10-15)",B7267&lt;=19,"Evening peak (16-19)",TRUE,"Late evening (20-23)")</f>
        <v>Night (0-5)</v>
      </c>
    </row>
    <row r="7268" spans="1:9">
      <c r="A7268" s="32">
        <v>42125</v>
      </c>
      <c r="B7268">
        <v>5</v>
      </c>
      <c r="C7268">
        <v>1294</v>
      </c>
      <c r="D7268" t="s">
        <v>304</v>
      </c>
      <c r="E7268">
        <f>YEAR(A7268)</f>
        <v>2015</v>
      </c>
      <c r="F7268" s="33">
        <f>DATE(YEAR(A7268),MONTH(A7268),1)</f>
        <v>42125.0</v>
      </c>
      <c r="G7268" t="str">
        <f>CHOOSE(WEEKDAY(A7268,2),"Mon","Tue","Wed","Thu","Fri","Sat","Sun")</f>
        <v>Fri</v>
      </c>
      <c r="H7268" t="str">
        <f>IF(WEEKDAY(A7268,2)&gt;5,"Weekend","Weekday")</f>
        <v>Weekday</v>
      </c>
      <c r="I7268" t="str">
        <f>_xlfn.IFS(B7268&lt;=5,"Night (0-5)",B7268&lt;=9,"Morning peak (6-9)",B7268&lt;=15,"Midday (10-15)",B7268&lt;=19,"Evening peak (16-19)",TRUE,"Late evening (20-23)")</f>
        <v>Night (0-5)</v>
      </c>
    </row>
    <row r="7269" spans="1:9">
      <c r="A7269" s="32">
        <v>42125</v>
      </c>
      <c r="B7269">
        <v>6</v>
      </c>
      <c r="C7269">
        <v>2052</v>
      </c>
      <c r="D7269" t="s">
        <v>304</v>
      </c>
      <c r="E7269">
        <f>YEAR(A7269)</f>
        <v>2015</v>
      </c>
      <c r="F7269" s="33">
        <f>DATE(YEAR(A7269),MONTH(A7269),1)</f>
        <v>42125.0</v>
      </c>
      <c r="G7269" t="str">
        <f>CHOOSE(WEEKDAY(A7269,2),"Mon","Tue","Wed","Thu","Fri","Sat","Sun")</f>
        <v>Fri</v>
      </c>
      <c r="H7269" t="str">
        <f>IF(WEEKDAY(A7269,2)&gt;5,"Weekend","Weekday")</f>
        <v>Weekday</v>
      </c>
      <c r="I7269" t="str">
        <f>_xlfn.IFS(B7269&lt;=5,"Night (0-5)",B7269&lt;=9,"Morning peak (6-9)",B7269&lt;=15,"Midday (10-15)",B7269&lt;=19,"Evening peak (16-19)",TRUE,"Late evening (20-23)")</f>
        <v>Morning peak (6-9)</v>
      </c>
    </row>
    <row r="7270" spans="1:9">
      <c r="A7270" s="32">
        <v>42125</v>
      </c>
      <c r="B7270">
        <v>7</v>
      </c>
      <c r="C7270">
        <v>3018</v>
      </c>
      <c r="D7270" t="s">
        <v>304</v>
      </c>
      <c r="E7270">
        <f>YEAR(A7270)</f>
        <v>2015</v>
      </c>
      <c r="F7270" s="33">
        <f>DATE(YEAR(A7270),MONTH(A7270),1)</f>
        <v>42125.0</v>
      </c>
      <c r="G7270" t="str">
        <f>CHOOSE(WEEKDAY(A7270,2),"Mon","Tue","Wed","Thu","Fri","Sat","Sun")</f>
        <v>Fri</v>
      </c>
      <c r="H7270" t="str">
        <f>IF(WEEKDAY(A7270,2)&gt;5,"Weekend","Weekday")</f>
        <v>Weekday</v>
      </c>
      <c r="I7270" t="str">
        <f>_xlfn.IFS(B7270&lt;=5,"Night (0-5)",B7270&lt;=9,"Morning peak (6-9)",B7270&lt;=15,"Midday (10-15)",B7270&lt;=19,"Evening peak (16-19)",TRUE,"Late evening (20-23)")</f>
        <v>Morning peak (6-9)</v>
      </c>
    </row>
    <row r="7271" spans="1:9">
      <c r="A7271" s="32">
        <v>42125</v>
      </c>
      <c r="B7271">
        <v>8</v>
      </c>
      <c r="C7271">
        <v>3996</v>
      </c>
      <c r="D7271" t="s">
        <v>304</v>
      </c>
      <c r="E7271">
        <f>YEAR(A7271)</f>
        <v>2015</v>
      </c>
      <c r="F7271" s="33">
        <f>DATE(YEAR(A7271),MONTH(A7271),1)</f>
        <v>42125.0</v>
      </c>
      <c r="G7271" t="str">
        <f>CHOOSE(WEEKDAY(A7271,2),"Mon","Tue","Wed","Thu","Fri","Sat","Sun")</f>
        <v>Fri</v>
      </c>
      <c r="H7271" t="str">
        <f>IF(WEEKDAY(A7271,2)&gt;5,"Weekend","Weekday")</f>
        <v>Weekday</v>
      </c>
      <c r="I7271" t="str">
        <f>_xlfn.IFS(B7271&lt;=5,"Night (0-5)",B7271&lt;=9,"Morning peak (6-9)",B7271&lt;=15,"Midday (10-15)",B7271&lt;=19,"Evening peak (16-19)",TRUE,"Late evening (20-23)")</f>
        <v>Morning peak (6-9)</v>
      </c>
    </row>
    <row r="7272" spans="1:9">
      <c r="A7272" s="32">
        <v>42125</v>
      </c>
      <c r="B7272">
        <v>9</v>
      </c>
      <c r="C7272">
        <v>3962</v>
      </c>
      <c r="D7272" t="s">
        <v>304</v>
      </c>
      <c r="E7272">
        <f>YEAR(A7272)</f>
        <v>2015</v>
      </c>
      <c r="F7272" s="33">
        <f>DATE(YEAR(A7272),MONTH(A7272),1)</f>
        <v>42125.0</v>
      </c>
      <c r="G7272" t="str">
        <f>CHOOSE(WEEKDAY(A7272,2),"Mon","Tue","Wed","Thu","Fri","Sat","Sun")</f>
        <v>Fri</v>
      </c>
      <c r="H7272" t="str">
        <f>IF(WEEKDAY(A7272,2)&gt;5,"Weekend","Weekday")</f>
        <v>Weekday</v>
      </c>
      <c r="I7272" t="str">
        <f>_xlfn.IFS(B7272&lt;=5,"Night (0-5)",B7272&lt;=9,"Morning peak (6-9)",B7272&lt;=15,"Midday (10-15)",B7272&lt;=19,"Evening peak (16-19)",TRUE,"Late evening (20-23)")</f>
        <v>Morning peak (6-9)</v>
      </c>
    </row>
    <row r="7273" spans="1:9">
      <c r="A7273" s="32">
        <v>42125</v>
      </c>
      <c r="B7273">
        <v>10</v>
      </c>
      <c r="C7273">
        <v>3225</v>
      </c>
      <c r="D7273" t="s">
        <v>304</v>
      </c>
      <c r="E7273">
        <f>YEAR(A7273)</f>
        <v>2015</v>
      </c>
      <c r="F7273" s="33">
        <f>DATE(YEAR(A7273),MONTH(A7273),1)</f>
        <v>42125.0</v>
      </c>
      <c r="G7273" t="str">
        <f>CHOOSE(WEEKDAY(A7273,2),"Mon","Tue","Wed","Thu","Fri","Sat","Sun")</f>
        <v>Fri</v>
      </c>
      <c r="H7273" t="str">
        <f>IF(WEEKDAY(A7273,2)&gt;5,"Weekend","Weekday")</f>
        <v>Weekday</v>
      </c>
      <c r="I7273" t="str">
        <f>_xlfn.IFS(B7273&lt;=5,"Night (0-5)",B7273&lt;=9,"Morning peak (6-9)",B7273&lt;=15,"Midday (10-15)",B7273&lt;=19,"Evening peak (16-19)",TRUE,"Late evening (20-23)")</f>
        <v>Midday (10-15)</v>
      </c>
    </row>
    <row r="7274" spans="1:9">
      <c r="A7274" s="32">
        <v>42125</v>
      </c>
      <c r="B7274">
        <v>11</v>
      </c>
      <c r="C7274">
        <v>3161</v>
      </c>
      <c r="D7274" t="s">
        <v>304</v>
      </c>
      <c r="E7274">
        <f>YEAR(A7274)</f>
        <v>2015</v>
      </c>
      <c r="F7274" s="33">
        <f>DATE(YEAR(A7274),MONTH(A7274),1)</f>
        <v>42125.0</v>
      </c>
      <c r="G7274" t="str">
        <f>CHOOSE(WEEKDAY(A7274,2),"Mon","Tue","Wed","Thu","Fri","Sat","Sun")</f>
        <v>Fri</v>
      </c>
      <c r="H7274" t="str">
        <f>IF(WEEKDAY(A7274,2)&gt;5,"Weekend","Weekday")</f>
        <v>Weekday</v>
      </c>
      <c r="I7274" t="str">
        <f>_xlfn.IFS(B7274&lt;=5,"Night (0-5)",B7274&lt;=9,"Morning peak (6-9)",B7274&lt;=15,"Midday (10-15)",B7274&lt;=19,"Evening peak (16-19)",TRUE,"Late evening (20-23)")</f>
        <v>Midday (10-15)</v>
      </c>
    </row>
    <row r="7275" spans="1:9">
      <c r="A7275" s="32">
        <v>42125</v>
      </c>
      <c r="B7275">
        <v>12</v>
      </c>
      <c r="C7275">
        <v>3066</v>
      </c>
      <c r="D7275" t="s">
        <v>304</v>
      </c>
      <c r="E7275">
        <f>YEAR(A7275)</f>
        <v>2015</v>
      </c>
      <c r="F7275" s="33">
        <f>DATE(YEAR(A7275),MONTH(A7275),1)</f>
        <v>42125.0</v>
      </c>
      <c r="G7275" t="str">
        <f>CHOOSE(WEEKDAY(A7275,2),"Mon","Tue","Wed","Thu","Fri","Sat","Sun")</f>
        <v>Fri</v>
      </c>
      <c r="H7275" t="str">
        <f>IF(WEEKDAY(A7275,2)&gt;5,"Weekend","Weekday")</f>
        <v>Weekday</v>
      </c>
      <c r="I7275" t="str">
        <f>_xlfn.IFS(B7275&lt;=5,"Night (0-5)",B7275&lt;=9,"Morning peak (6-9)",B7275&lt;=15,"Midday (10-15)",B7275&lt;=19,"Evening peak (16-19)",TRUE,"Late evening (20-23)")</f>
        <v>Midday (10-15)</v>
      </c>
    </row>
    <row r="7276" spans="1:9">
      <c r="A7276" s="32">
        <v>42125</v>
      </c>
      <c r="B7276">
        <v>13</v>
      </c>
      <c r="C7276">
        <v>2956</v>
      </c>
      <c r="D7276" t="s">
        <v>304</v>
      </c>
      <c r="E7276">
        <f>YEAR(A7276)</f>
        <v>2015</v>
      </c>
      <c r="F7276" s="33">
        <f>DATE(YEAR(A7276),MONTH(A7276),1)</f>
        <v>42125.0</v>
      </c>
      <c r="G7276" t="str">
        <f>CHOOSE(WEEKDAY(A7276,2),"Mon","Tue","Wed","Thu","Fri","Sat","Sun")</f>
        <v>Fri</v>
      </c>
      <c r="H7276" t="str">
        <f>IF(WEEKDAY(A7276,2)&gt;5,"Weekend","Weekday")</f>
        <v>Weekday</v>
      </c>
      <c r="I7276" t="str">
        <f>_xlfn.IFS(B7276&lt;=5,"Night (0-5)",B7276&lt;=9,"Morning peak (6-9)",B7276&lt;=15,"Midday (10-15)",B7276&lt;=19,"Evening peak (16-19)",TRUE,"Late evening (20-23)")</f>
        <v>Midday (10-15)</v>
      </c>
    </row>
    <row r="7277" spans="1:9">
      <c r="A7277" s="32">
        <v>42125</v>
      </c>
      <c r="B7277">
        <v>14</v>
      </c>
      <c r="C7277">
        <v>3382</v>
      </c>
      <c r="D7277" t="s">
        <v>304</v>
      </c>
      <c r="E7277">
        <f>YEAR(A7277)</f>
        <v>2015</v>
      </c>
      <c r="F7277" s="33">
        <f>DATE(YEAR(A7277),MONTH(A7277),1)</f>
        <v>42125.0</v>
      </c>
      <c r="G7277" t="str">
        <f>CHOOSE(WEEKDAY(A7277,2),"Mon","Tue","Wed","Thu","Fri","Sat","Sun")</f>
        <v>Fri</v>
      </c>
      <c r="H7277" t="str">
        <f>IF(WEEKDAY(A7277,2)&gt;5,"Weekend","Weekday")</f>
        <v>Weekday</v>
      </c>
      <c r="I7277" t="str">
        <f>_xlfn.IFS(B7277&lt;=5,"Night (0-5)",B7277&lt;=9,"Morning peak (6-9)",B7277&lt;=15,"Midday (10-15)",B7277&lt;=19,"Evening peak (16-19)",TRUE,"Late evening (20-23)")</f>
        <v>Midday (10-15)</v>
      </c>
    </row>
    <row r="7278" spans="1:9">
      <c r="A7278" s="32">
        <v>42125</v>
      </c>
      <c r="B7278">
        <v>15</v>
      </c>
      <c r="C7278">
        <v>3927</v>
      </c>
      <c r="D7278" t="s">
        <v>304</v>
      </c>
      <c r="E7278">
        <f>YEAR(A7278)</f>
        <v>2015</v>
      </c>
      <c r="F7278" s="33">
        <f>DATE(YEAR(A7278),MONTH(A7278),1)</f>
        <v>42125.0</v>
      </c>
      <c r="G7278" t="str">
        <f>CHOOSE(WEEKDAY(A7278,2),"Mon","Tue","Wed","Thu","Fri","Sat","Sun")</f>
        <v>Fri</v>
      </c>
      <c r="H7278" t="str">
        <f>IF(WEEKDAY(A7278,2)&gt;5,"Weekend","Weekday")</f>
        <v>Weekday</v>
      </c>
      <c r="I7278" t="str">
        <f>_xlfn.IFS(B7278&lt;=5,"Night (0-5)",B7278&lt;=9,"Morning peak (6-9)",B7278&lt;=15,"Midday (10-15)",B7278&lt;=19,"Evening peak (16-19)",TRUE,"Late evening (20-23)")</f>
        <v>Midday (10-15)</v>
      </c>
    </row>
    <row r="7279" spans="1:9">
      <c r="A7279" s="32">
        <v>42125</v>
      </c>
      <c r="B7279">
        <v>16</v>
      </c>
      <c r="C7279">
        <v>4411</v>
      </c>
      <c r="D7279" t="s">
        <v>304</v>
      </c>
      <c r="E7279">
        <f>YEAR(A7279)</f>
        <v>2015</v>
      </c>
      <c r="F7279" s="33">
        <f>DATE(YEAR(A7279),MONTH(A7279),1)</f>
        <v>42125.0</v>
      </c>
      <c r="G7279" t="str">
        <f>CHOOSE(WEEKDAY(A7279,2),"Mon","Tue","Wed","Thu","Fri","Sat","Sun")</f>
        <v>Fri</v>
      </c>
      <c r="H7279" t="str">
        <f>IF(WEEKDAY(A7279,2)&gt;5,"Weekend","Weekday")</f>
        <v>Weekday</v>
      </c>
      <c r="I7279" t="str">
        <f>_xlfn.IFS(B7279&lt;=5,"Night (0-5)",B7279&lt;=9,"Morning peak (6-9)",B7279&lt;=15,"Midday (10-15)",B7279&lt;=19,"Evening peak (16-19)",TRUE,"Late evening (20-23)")</f>
        <v>Evening peak (16-19)</v>
      </c>
    </row>
    <row r="7280" spans="1:9">
      <c r="A7280" s="32">
        <v>42125</v>
      </c>
      <c r="B7280">
        <v>17</v>
      </c>
      <c r="C7280">
        <v>5024</v>
      </c>
      <c r="D7280" t="s">
        <v>304</v>
      </c>
      <c r="E7280">
        <f>YEAR(A7280)</f>
        <v>2015</v>
      </c>
      <c r="F7280" s="33">
        <f>DATE(YEAR(A7280),MONTH(A7280),1)</f>
        <v>42125.0</v>
      </c>
      <c r="G7280" t="str">
        <f>CHOOSE(WEEKDAY(A7280,2),"Mon","Tue","Wed","Thu","Fri","Sat","Sun")</f>
        <v>Fri</v>
      </c>
      <c r="H7280" t="str">
        <f>IF(WEEKDAY(A7280,2)&gt;5,"Weekend","Weekday")</f>
        <v>Weekday</v>
      </c>
      <c r="I7280" t="str">
        <f>_xlfn.IFS(B7280&lt;=5,"Night (0-5)",B7280&lt;=9,"Morning peak (6-9)",B7280&lt;=15,"Midday (10-15)",B7280&lt;=19,"Evening peak (16-19)",TRUE,"Late evening (20-23)")</f>
        <v>Evening peak (16-19)</v>
      </c>
    </row>
    <row r="7281" spans="1:9">
      <c r="A7281" s="32">
        <v>42125</v>
      </c>
      <c r="B7281">
        <v>18</v>
      </c>
      <c r="C7281">
        <v>6320</v>
      </c>
      <c r="D7281" t="s">
        <v>304</v>
      </c>
      <c r="E7281">
        <f>YEAR(A7281)</f>
        <v>2015</v>
      </c>
      <c r="F7281" s="33">
        <f>DATE(YEAR(A7281),MONTH(A7281),1)</f>
        <v>42125.0</v>
      </c>
      <c r="G7281" t="str">
        <f>CHOOSE(WEEKDAY(A7281,2),"Mon","Tue","Wed","Thu","Fri","Sat","Sun")</f>
        <v>Fri</v>
      </c>
      <c r="H7281" t="str">
        <f>IF(WEEKDAY(A7281,2)&gt;5,"Weekend","Weekday")</f>
        <v>Weekday</v>
      </c>
      <c r="I7281" t="str">
        <f>_xlfn.IFS(B7281&lt;=5,"Night (0-5)",B7281&lt;=9,"Morning peak (6-9)",B7281&lt;=15,"Midday (10-15)",B7281&lt;=19,"Evening peak (16-19)",TRUE,"Late evening (20-23)")</f>
        <v>Evening peak (16-19)</v>
      </c>
    </row>
    <row r="7282" spans="1:9">
      <c r="A7282" s="32">
        <v>42125</v>
      </c>
      <c r="B7282">
        <v>19</v>
      </c>
      <c r="C7282">
        <v>7362</v>
      </c>
      <c r="D7282" t="s">
        <v>304</v>
      </c>
      <c r="E7282">
        <f>YEAR(A7282)</f>
        <v>2015</v>
      </c>
      <c r="F7282" s="33">
        <f>DATE(YEAR(A7282),MONTH(A7282),1)</f>
        <v>42125.0</v>
      </c>
      <c r="G7282" t="str">
        <f>CHOOSE(WEEKDAY(A7282,2),"Mon","Tue","Wed","Thu","Fri","Sat","Sun")</f>
        <v>Fri</v>
      </c>
      <c r="H7282" t="str">
        <f>IF(WEEKDAY(A7282,2)&gt;5,"Weekend","Weekday")</f>
        <v>Weekday</v>
      </c>
      <c r="I7282" t="str">
        <f>_xlfn.IFS(B7282&lt;=5,"Night (0-5)",B7282&lt;=9,"Morning peak (6-9)",B7282&lt;=15,"Midday (10-15)",B7282&lt;=19,"Evening peak (16-19)",TRUE,"Late evening (20-23)")</f>
        <v>Evening peak (16-19)</v>
      </c>
    </row>
    <row r="7283" spans="1:9">
      <c r="A7283" s="32">
        <v>42125</v>
      </c>
      <c r="B7283">
        <v>20</v>
      </c>
      <c r="C7283">
        <v>6624</v>
      </c>
      <c r="D7283" t="s">
        <v>304</v>
      </c>
      <c r="E7283">
        <f>YEAR(A7283)</f>
        <v>2015</v>
      </c>
      <c r="F7283" s="33">
        <f>DATE(YEAR(A7283),MONTH(A7283),1)</f>
        <v>42125.0</v>
      </c>
      <c r="G7283" t="str">
        <f>CHOOSE(WEEKDAY(A7283,2),"Mon","Tue","Wed","Thu","Fri","Sat","Sun")</f>
        <v>Fri</v>
      </c>
      <c r="H7283" t="str">
        <f>IF(WEEKDAY(A7283,2)&gt;5,"Weekend","Weekday")</f>
        <v>Weekday</v>
      </c>
      <c r="I7283" t="str">
        <f>_xlfn.IFS(B7283&lt;=5,"Night (0-5)",B7283&lt;=9,"Morning peak (6-9)",B7283&lt;=15,"Midday (10-15)",B7283&lt;=19,"Evening peak (16-19)",TRUE,"Late evening (20-23)")</f>
        <v>Late evening (20-23)</v>
      </c>
    </row>
    <row r="7284" spans="1:9">
      <c r="A7284" s="32">
        <v>42125</v>
      </c>
      <c r="B7284">
        <v>21</v>
      </c>
      <c r="C7284">
        <v>6212</v>
      </c>
      <c r="D7284" t="s">
        <v>304</v>
      </c>
      <c r="E7284">
        <f>YEAR(A7284)</f>
        <v>2015</v>
      </c>
      <c r="F7284" s="33">
        <f>DATE(YEAR(A7284),MONTH(A7284),1)</f>
        <v>42125.0</v>
      </c>
      <c r="G7284" t="str">
        <f>CHOOSE(WEEKDAY(A7284,2),"Mon","Tue","Wed","Thu","Fri","Sat","Sun")</f>
        <v>Fri</v>
      </c>
      <c r="H7284" t="str">
        <f>IF(WEEKDAY(A7284,2)&gt;5,"Weekend","Weekday")</f>
        <v>Weekday</v>
      </c>
      <c r="I7284" t="str">
        <f>_xlfn.IFS(B7284&lt;=5,"Night (0-5)",B7284&lt;=9,"Morning peak (6-9)",B7284&lt;=15,"Midday (10-15)",B7284&lt;=19,"Evening peak (16-19)",TRUE,"Late evening (20-23)")</f>
        <v>Late evening (20-23)</v>
      </c>
    </row>
    <row r="7285" spans="1:9">
      <c r="A7285" s="32">
        <v>42125</v>
      </c>
      <c r="B7285">
        <v>22</v>
      </c>
      <c r="C7285">
        <v>7042</v>
      </c>
      <c r="D7285" t="s">
        <v>304</v>
      </c>
      <c r="E7285">
        <f>YEAR(A7285)</f>
        <v>2015</v>
      </c>
      <c r="F7285" s="33">
        <f>DATE(YEAR(A7285),MONTH(A7285),1)</f>
        <v>42125.0</v>
      </c>
      <c r="G7285" t="str">
        <f>CHOOSE(WEEKDAY(A7285,2),"Mon","Tue","Wed","Thu","Fri","Sat","Sun")</f>
        <v>Fri</v>
      </c>
      <c r="H7285" t="str">
        <f>IF(WEEKDAY(A7285,2)&gt;5,"Weekend","Weekday")</f>
        <v>Weekday</v>
      </c>
      <c r="I7285" t="str">
        <f>_xlfn.IFS(B7285&lt;=5,"Night (0-5)",B7285&lt;=9,"Morning peak (6-9)",B7285&lt;=15,"Midday (10-15)",B7285&lt;=19,"Evening peak (16-19)",TRUE,"Late evening (20-23)")</f>
        <v>Late evening (20-23)</v>
      </c>
    </row>
    <row r="7286" spans="1:9">
      <c r="A7286" s="32">
        <v>42125</v>
      </c>
      <c r="B7286">
        <v>23</v>
      </c>
      <c r="C7286">
        <v>7438</v>
      </c>
      <c r="D7286" t="s">
        <v>304</v>
      </c>
      <c r="E7286">
        <f>YEAR(A7286)</f>
        <v>2015</v>
      </c>
      <c r="F7286" s="33">
        <f>DATE(YEAR(A7286),MONTH(A7286),1)</f>
        <v>42125.0</v>
      </c>
      <c r="G7286" t="str">
        <f>CHOOSE(WEEKDAY(A7286,2),"Mon","Tue","Wed","Thu","Fri","Sat","Sun")</f>
        <v>Fri</v>
      </c>
      <c r="H7286" t="str">
        <f>IF(WEEKDAY(A7286,2)&gt;5,"Weekend","Weekday")</f>
        <v>Weekday</v>
      </c>
      <c r="I7286" t="str">
        <f>_xlfn.IFS(B7286&lt;=5,"Night (0-5)",B7286&lt;=9,"Morning peak (6-9)",B7286&lt;=15,"Midday (10-15)",B7286&lt;=19,"Evening peak (16-19)",TRUE,"Late evening (20-23)")</f>
        <v>Late evening (20-23)</v>
      </c>
    </row>
    <row r="7287" spans="1:9">
      <c r="A7287" s="32">
        <v>42126</v>
      </c>
      <c r="B7287">
        <v>0</v>
      </c>
      <c r="C7287">
        <v>6327</v>
      </c>
      <c r="D7287" t="s">
        <v>304</v>
      </c>
      <c r="E7287">
        <f>YEAR(A7287)</f>
        <v>2015</v>
      </c>
      <c r="F7287" s="33">
        <f>DATE(YEAR(A7287),MONTH(A7287),1)</f>
        <v>42125.0</v>
      </c>
      <c r="G7287" t="str">
        <f>CHOOSE(WEEKDAY(A7287,2),"Mon","Tue","Wed","Thu","Fri","Sat","Sun")</f>
        <v>Sat</v>
      </c>
      <c r="H7287" t="str">
        <f>IF(WEEKDAY(A7287,2)&gt;5,"Weekend","Weekday")</f>
        <v>Weekend</v>
      </c>
      <c r="I7287" t="str">
        <f>_xlfn.IFS(B7287&lt;=5,"Night (0-5)",B7287&lt;=9,"Morning peak (6-9)",B7287&lt;=15,"Midday (10-15)",B7287&lt;=19,"Evening peak (16-19)",TRUE,"Late evening (20-23)")</f>
        <v>Night (0-5)</v>
      </c>
    </row>
    <row r="7288" spans="1:9">
      <c r="A7288" s="32">
        <v>42126</v>
      </c>
      <c r="B7288">
        <v>1</v>
      </c>
      <c r="C7288">
        <v>4214</v>
      </c>
      <c r="D7288" t="s">
        <v>304</v>
      </c>
      <c r="E7288">
        <f>YEAR(A7288)</f>
        <v>2015</v>
      </c>
      <c r="F7288" s="33">
        <f>DATE(YEAR(A7288),MONTH(A7288),1)</f>
        <v>42125.0</v>
      </c>
      <c r="G7288" t="str">
        <f>CHOOSE(WEEKDAY(A7288,2),"Mon","Tue","Wed","Thu","Fri","Sat","Sun")</f>
        <v>Sat</v>
      </c>
      <c r="H7288" t="str">
        <f>IF(WEEKDAY(A7288,2)&gt;5,"Weekend","Weekday")</f>
        <v>Weekend</v>
      </c>
      <c r="I7288" t="str">
        <f>_xlfn.IFS(B7288&lt;=5,"Night (0-5)",B7288&lt;=9,"Morning peak (6-9)",B7288&lt;=15,"Midday (10-15)",B7288&lt;=19,"Evening peak (16-19)",TRUE,"Late evening (20-23)")</f>
        <v>Night (0-5)</v>
      </c>
    </row>
    <row r="7289" spans="1:9">
      <c r="A7289" s="32">
        <v>42126</v>
      </c>
      <c r="B7289">
        <v>2</v>
      </c>
      <c r="C7289">
        <v>2805</v>
      </c>
      <c r="D7289" t="s">
        <v>304</v>
      </c>
      <c r="E7289">
        <f>YEAR(A7289)</f>
        <v>2015</v>
      </c>
      <c r="F7289" s="33">
        <f>DATE(YEAR(A7289),MONTH(A7289),1)</f>
        <v>42125.0</v>
      </c>
      <c r="G7289" t="str">
        <f>CHOOSE(WEEKDAY(A7289,2),"Mon","Tue","Wed","Thu","Fri","Sat","Sun")</f>
        <v>Sat</v>
      </c>
      <c r="H7289" t="str">
        <f>IF(WEEKDAY(A7289,2)&gt;5,"Weekend","Weekday")</f>
        <v>Weekend</v>
      </c>
      <c r="I7289" t="str">
        <f>_xlfn.IFS(B7289&lt;=5,"Night (0-5)",B7289&lt;=9,"Morning peak (6-9)",B7289&lt;=15,"Midday (10-15)",B7289&lt;=19,"Evening peak (16-19)",TRUE,"Late evening (20-23)")</f>
        <v>Night (0-5)</v>
      </c>
    </row>
    <row r="7290" spans="1:9">
      <c r="A7290" s="32">
        <v>42126</v>
      </c>
      <c r="B7290">
        <v>3</v>
      </c>
      <c r="C7290">
        <v>1925</v>
      </c>
      <c r="D7290" t="s">
        <v>304</v>
      </c>
      <c r="E7290">
        <f>YEAR(A7290)</f>
        <v>2015</v>
      </c>
      <c r="F7290" s="33">
        <f>DATE(YEAR(A7290),MONTH(A7290),1)</f>
        <v>42125.0</v>
      </c>
      <c r="G7290" t="str">
        <f>CHOOSE(WEEKDAY(A7290,2),"Mon","Tue","Wed","Thu","Fri","Sat","Sun")</f>
        <v>Sat</v>
      </c>
      <c r="H7290" t="str">
        <f>IF(WEEKDAY(A7290,2)&gt;5,"Weekend","Weekday")</f>
        <v>Weekend</v>
      </c>
      <c r="I7290" t="str">
        <f>_xlfn.IFS(B7290&lt;=5,"Night (0-5)",B7290&lt;=9,"Morning peak (6-9)",B7290&lt;=15,"Midday (10-15)",B7290&lt;=19,"Evening peak (16-19)",TRUE,"Late evening (20-23)")</f>
        <v>Night (0-5)</v>
      </c>
    </row>
    <row r="7291" spans="1:9">
      <c r="A7291" s="32">
        <v>42126</v>
      </c>
      <c r="B7291">
        <v>4</v>
      </c>
      <c r="C7291">
        <v>1459</v>
      </c>
      <c r="D7291" t="s">
        <v>304</v>
      </c>
      <c r="E7291">
        <f>YEAR(A7291)</f>
        <v>2015</v>
      </c>
      <c r="F7291" s="33">
        <f>DATE(YEAR(A7291),MONTH(A7291),1)</f>
        <v>42125.0</v>
      </c>
      <c r="G7291" t="str">
        <f>CHOOSE(WEEKDAY(A7291,2),"Mon","Tue","Wed","Thu","Fri","Sat","Sun")</f>
        <v>Sat</v>
      </c>
      <c r="H7291" t="str">
        <f>IF(WEEKDAY(A7291,2)&gt;5,"Weekend","Weekday")</f>
        <v>Weekend</v>
      </c>
      <c r="I7291" t="str">
        <f>_xlfn.IFS(B7291&lt;=5,"Night (0-5)",B7291&lt;=9,"Morning peak (6-9)",B7291&lt;=15,"Midday (10-15)",B7291&lt;=19,"Evening peak (16-19)",TRUE,"Late evening (20-23)")</f>
        <v>Night (0-5)</v>
      </c>
    </row>
    <row r="7292" spans="1:9">
      <c r="A7292" s="32">
        <v>42126</v>
      </c>
      <c r="B7292">
        <v>5</v>
      </c>
      <c r="C7292">
        <v>1026</v>
      </c>
      <c r="D7292" t="s">
        <v>304</v>
      </c>
      <c r="E7292">
        <f>YEAR(A7292)</f>
        <v>2015</v>
      </c>
      <c r="F7292" s="33">
        <f>DATE(YEAR(A7292),MONTH(A7292),1)</f>
        <v>42125.0</v>
      </c>
      <c r="G7292" t="str">
        <f>CHOOSE(WEEKDAY(A7292,2),"Mon","Tue","Wed","Thu","Fri","Sat","Sun")</f>
        <v>Sat</v>
      </c>
      <c r="H7292" t="str">
        <f>IF(WEEKDAY(A7292,2)&gt;5,"Weekend","Weekday")</f>
        <v>Weekend</v>
      </c>
      <c r="I7292" t="str">
        <f>_xlfn.IFS(B7292&lt;=5,"Night (0-5)",B7292&lt;=9,"Morning peak (6-9)",B7292&lt;=15,"Midday (10-15)",B7292&lt;=19,"Evening peak (16-19)",TRUE,"Late evening (20-23)")</f>
        <v>Night (0-5)</v>
      </c>
    </row>
    <row r="7293" spans="1:9">
      <c r="A7293" s="32">
        <v>42126</v>
      </c>
      <c r="B7293">
        <v>6</v>
      </c>
      <c r="C7293">
        <v>1144</v>
      </c>
      <c r="D7293" t="s">
        <v>304</v>
      </c>
      <c r="E7293">
        <f>YEAR(A7293)</f>
        <v>2015</v>
      </c>
      <c r="F7293" s="33">
        <f>DATE(YEAR(A7293),MONTH(A7293),1)</f>
        <v>42125.0</v>
      </c>
      <c r="G7293" t="str">
        <f>CHOOSE(WEEKDAY(A7293,2),"Mon","Tue","Wed","Thu","Fri","Sat","Sun")</f>
        <v>Sat</v>
      </c>
      <c r="H7293" t="str">
        <f>IF(WEEKDAY(A7293,2)&gt;5,"Weekend","Weekday")</f>
        <v>Weekend</v>
      </c>
      <c r="I7293" t="str">
        <f>_xlfn.IFS(B7293&lt;=5,"Night (0-5)",B7293&lt;=9,"Morning peak (6-9)",B7293&lt;=15,"Midday (10-15)",B7293&lt;=19,"Evening peak (16-19)",TRUE,"Late evening (20-23)")</f>
        <v>Morning peak (6-9)</v>
      </c>
    </row>
    <row r="7294" spans="1:9">
      <c r="A7294" s="32">
        <v>42126</v>
      </c>
      <c r="B7294">
        <v>7</v>
      </c>
      <c r="C7294">
        <v>1407</v>
      </c>
      <c r="D7294" t="s">
        <v>304</v>
      </c>
      <c r="E7294">
        <f>YEAR(A7294)</f>
        <v>2015</v>
      </c>
      <c r="F7294" s="33">
        <f>DATE(YEAR(A7294),MONTH(A7294),1)</f>
        <v>42125.0</v>
      </c>
      <c r="G7294" t="str">
        <f>CHOOSE(WEEKDAY(A7294,2),"Mon","Tue","Wed","Thu","Fri","Sat","Sun")</f>
        <v>Sat</v>
      </c>
      <c r="H7294" t="str">
        <f>IF(WEEKDAY(A7294,2)&gt;5,"Weekend","Weekday")</f>
        <v>Weekend</v>
      </c>
      <c r="I7294" t="str">
        <f>_xlfn.IFS(B7294&lt;=5,"Night (0-5)",B7294&lt;=9,"Morning peak (6-9)",B7294&lt;=15,"Midday (10-15)",B7294&lt;=19,"Evening peak (16-19)",TRUE,"Late evening (20-23)")</f>
        <v>Morning peak (6-9)</v>
      </c>
    </row>
    <row r="7295" spans="1:9">
      <c r="A7295" s="32">
        <v>42126</v>
      </c>
      <c r="B7295">
        <v>8</v>
      </c>
      <c r="C7295">
        <v>2038</v>
      </c>
      <c r="D7295" t="s">
        <v>304</v>
      </c>
      <c r="E7295">
        <f>YEAR(A7295)</f>
        <v>2015</v>
      </c>
      <c r="F7295" s="33">
        <f>DATE(YEAR(A7295),MONTH(A7295),1)</f>
        <v>42125.0</v>
      </c>
      <c r="G7295" t="str">
        <f>CHOOSE(WEEKDAY(A7295,2),"Mon","Tue","Wed","Thu","Fri","Sat","Sun")</f>
        <v>Sat</v>
      </c>
      <c r="H7295" t="str">
        <f>IF(WEEKDAY(A7295,2)&gt;5,"Weekend","Weekday")</f>
        <v>Weekend</v>
      </c>
      <c r="I7295" t="str">
        <f>_xlfn.IFS(B7295&lt;=5,"Night (0-5)",B7295&lt;=9,"Morning peak (6-9)",B7295&lt;=15,"Midday (10-15)",B7295&lt;=19,"Evening peak (16-19)",TRUE,"Late evening (20-23)")</f>
        <v>Morning peak (6-9)</v>
      </c>
    </row>
    <row r="7296" spans="1:9">
      <c r="A7296" s="32">
        <v>42126</v>
      </c>
      <c r="B7296">
        <v>9</v>
      </c>
      <c r="C7296">
        <v>2620</v>
      </c>
      <c r="D7296" t="s">
        <v>304</v>
      </c>
      <c r="E7296">
        <f>YEAR(A7296)</f>
        <v>2015</v>
      </c>
      <c r="F7296" s="33">
        <f>DATE(YEAR(A7296),MONTH(A7296),1)</f>
        <v>42125.0</v>
      </c>
      <c r="G7296" t="str">
        <f>CHOOSE(WEEKDAY(A7296,2),"Mon","Tue","Wed","Thu","Fri","Sat","Sun")</f>
        <v>Sat</v>
      </c>
      <c r="H7296" t="str">
        <f>IF(WEEKDAY(A7296,2)&gt;5,"Weekend","Weekday")</f>
        <v>Weekend</v>
      </c>
      <c r="I7296" t="str">
        <f>_xlfn.IFS(B7296&lt;=5,"Night (0-5)",B7296&lt;=9,"Morning peak (6-9)",B7296&lt;=15,"Midday (10-15)",B7296&lt;=19,"Evening peak (16-19)",TRUE,"Late evening (20-23)")</f>
        <v>Morning peak (6-9)</v>
      </c>
    </row>
    <row r="7297" spans="1:9">
      <c r="A7297" s="32">
        <v>42126</v>
      </c>
      <c r="B7297">
        <v>10</v>
      </c>
      <c r="C7297">
        <v>3143</v>
      </c>
      <c r="D7297" t="s">
        <v>304</v>
      </c>
      <c r="E7297">
        <f>YEAR(A7297)</f>
        <v>2015</v>
      </c>
      <c r="F7297" s="33">
        <f>DATE(YEAR(A7297),MONTH(A7297),1)</f>
        <v>42125.0</v>
      </c>
      <c r="G7297" t="str">
        <f>CHOOSE(WEEKDAY(A7297,2),"Mon","Tue","Wed","Thu","Fri","Sat","Sun")</f>
        <v>Sat</v>
      </c>
      <c r="H7297" t="str">
        <f>IF(WEEKDAY(A7297,2)&gt;5,"Weekend","Weekday")</f>
        <v>Weekend</v>
      </c>
      <c r="I7297" t="str">
        <f>_xlfn.IFS(B7297&lt;=5,"Night (0-5)",B7297&lt;=9,"Morning peak (6-9)",B7297&lt;=15,"Midday (10-15)",B7297&lt;=19,"Evening peak (16-19)",TRUE,"Late evening (20-23)")</f>
        <v>Midday (10-15)</v>
      </c>
    </row>
    <row r="7298" spans="1:9">
      <c r="A7298" s="32">
        <v>42126</v>
      </c>
      <c r="B7298">
        <v>11</v>
      </c>
      <c r="C7298">
        <v>3661</v>
      </c>
      <c r="D7298" t="s">
        <v>304</v>
      </c>
      <c r="E7298">
        <f>YEAR(A7298)</f>
        <v>2015</v>
      </c>
      <c r="F7298" s="33">
        <f>DATE(YEAR(A7298),MONTH(A7298),1)</f>
        <v>42125.0</v>
      </c>
      <c r="G7298" t="str">
        <f>CHOOSE(WEEKDAY(A7298,2),"Mon","Tue","Wed","Thu","Fri","Sat","Sun")</f>
        <v>Sat</v>
      </c>
      <c r="H7298" t="str">
        <f>IF(WEEKDAY(A7298,2)&gt;5,"Weekend","Weekday")</f>
        <v>Weekend</v>
      </c>
      <c r="I7298" t="str">
        <f>_xlfn.IFS(B7298&lt;=5,"Night (0-5)",B7298&lt;=9,"Morning peak (6-9)",B7298&lt;=15,"Midday (10-15)",B7298&lt;=19,"Evening peak (16-19)",TRUE,"Late evening (20-23)")</f>
        <v>Midday (10-15)</v>
      </c>
    </row>
    <row r="7299" spans="1:9">
      <c r="A7299" s="32">
        <v>42126</v>
      </c>
      <c r="B7299">
        <v>12</v>
      </c>
      <c r="C7299">
        <v>3878</v>
      </c>
      <c r="D7299" t="s">
        <v>304</v>
      </c>
      <c r="E7299">
        <f>YEAR(A7299)</f>
        <v>2015</v>
      </c>
      <c r="F7299" s="33">
        <f>DATE(YEAR(A7299),MONTH(A7299),1)</f>
        <v>42125.0</v>
      </c>
      <c r="G7299" t="str">
        <f>CHOOSE(WEEKDAY(A7299,2),"Mon","Tue","Wed","Thu","Fri","Sat","Sun")</f>
        <v>Sat</v>
      </c>
      <c r="H7299" t="str">
        <f>IF(WEEKDAY(A7299,2)&gt;5,"Weekend","Weekday")</f>
        <v>Weekend</v>
      </c>
      <c r="I7299" t="str">
        <f>_xlfn.IFS(B7299&lt;=5,"Night (0-5)",B7299&lt;=9,"Morning peak (6-9)",B7299&lt;=15,"Midday (10-15)",B7299&lt;=19,"Evening peak (16-19)",TRUE,"Late evening (20-23)")</f>
        <v>Midday (10-15)</v>
      </c>
    </row>
    <row r="7300" spans="1:9">
      <c r="A7300" s="32">
        <v>42126</v>
      </c>
      <c r="B7300">
        <v>13</v>
      </c>
      <c r="C7300">
        <v>4073</v>
      </c>
      <c r="D7300" t="s">
        <v>304</v>
      </c>
      <c r="E7300">
        <f>YEAR(A7300)</f>
        <v>2015</v>
      </c>
      <c r="F7300" s="33">
        <f>DATE(YEAR(A7300),MONTH(A7300),1)</f>
        <v>42125.0</v>
      </c>
      <c r="G7300" t="str">
        <f>CHOOSE(WEEKDAY(A7300,2),"Mon","Tue","Wed","Thu","Fri","Sat","Sun")</f>
        <v>Sat</v>
      </c>
      <c r="H7300" t="str">
        <f>IF(WEEKDAY(A7300,2)&gt;5,"Weekend","Weekday")</f>
        <v>Weekend</v>
      </c>
      <c r="I7300" t="str">
        <f>_xlfn.IFS(B7300&lt;=5,"Night (0-5)",B7300&lt;=9,"Morning peak (6-9)",B7300&lt;=15,"Midday (10-15)",B7300&lt;=19,"Evening peak (16-19)",TRUE,"Late evening (20-23)")</f>
        <v>Midday (10-15)</v>
      </c>
    </row>
    <row r="7301" spans="1:9">
      <c r="A7301" s="32">
        <v>42126</v>
      </c>
      <c r="B7301">
        <v>14</v>
      </c>
      <c r="C7301">
        <v>4166</v>
      </c>
      <c r="D7301" t="s">
        <v>304</v>
      </c>
      <c r="E7301">
        <f>YEAR(A7301)</f>
        <v>2015</v>
      </c>
      <c r="F7301" s="33">
        <f>DATE(YEAR(A7301),MONTH(A7301),1)</f>
        <v>42125.0</v>
      </c>
      <c r="G7301" t="str">
        <f>CHOOSE(WEEKDAY(A7301,2),"Mon","Tue","Wed","Thu","Fri","Sat","Sun")</f>
        <v>Sat</v>
      </c>
      <c r="H7301" t="str">
        <f>IF(WEEKDAY(A7301,2)&gt;5,"Weekend","Weekday")</f>
        <v>Weekend</v>
      </c>
      <c r="I7301" t="str">
        <f>_xlfn.IFS(B7301&lt;=5,"Night (0-5)",B7301&lt;=9,"Morning peak (6-9)",B7301&lt;=15,"Midday (10-15)",B7301&lt;=19,"Evening peak (16-19)",TRUE,"Late evening (20-23)")</f>
        <v>Midday (10-15)</v>
      </c>
    </row>
    <row r="7302" spans="1:9">
      <c r="A7302" s="32">
        <v>42126</v>
      </c>
      <c r="B7302">
        <v>15</v>
      </c>
      <c r="C7302">
        <v>4658</v>
      </c>
      <c r="D7302" t="s">
        <v>304</v>
      </c>
      <c r="E7302">
        <f>YEAR(A7302)</f>
        <v>2015</v>
      </c>
      <c r="F7302" s="33">
        <f>DATE(YEAR(A7302),MONTH(A7302),1)</f>
        <v>42125.0</v>
      </c>
      <c r="G7302" t="str">
        <f>CHOOSE(WEEKDAY(A7302,2),"Mon","Tue","Wed","Thu","Fri","Sat","Sun")</f>
        <v>Sat</v>
      </c>
      <c r="H7302" t="str">
        <f>IF(WEEKDAY(A7302,2)&gt;5,"Weekend","Weekday")</f>
        <v>Weekend</v>
      </c>
      <c r="I7302" t="str">
        <f>_xlfn.IFS(B7302&lt;=5,"Night (0-5)",B7302&lt;=9,"Morning peak (6-9)",B7302&lt;=15,"Midday (10-15)",B7302&lt;=19,"Evening peak (16-19)",TRUE,"Late evening (20-23)")</f>
        <v>Midday (10-15)</v>
      </c>
    </row>
    <row r="7303" spans="1:9">
      <c r="A7303" s="32">
        <v>42126</v>
      </c>
      <c r="B7303">
        <v>16</v>
      </c>
      <c r="C7303">
        <v>5618</v>
      </c>
      <c r="D7303" t="s">
        <v>304</v>
      </c>
      <c r="E7303">
        <f>YEAR(A7303)</f>
        <v>2015</v>
      </c>
      <c r="F7303" s="33">
        <f>DATE(YEAR(A7303),MONTH(A7303),1)</f>
        <v>42125.0</v>
      </c>
      <c r="G7303" t="str">
        <f>CHOOSE(WEEKDAY(A7303,2),"Mon","Tue","Wed","Thu","Fri","Sat","Sun")</f>
        <v>Sat</v>
      </c>
      <c r="H7303" t="str">
        <f>IF(WEEKDAY(A7303,2)&gt;5,"Weekend","Weekday")</f>
        <v>Weekend</v>
      </c>
      <c r="I7303" t="str">
        <f>_xlfn.IFS(B7303&lt;=5,"Night (0-5)",B7303&lt;=9,"Morning peak (6-9)",B7303&lt;=15,"Midday (10-15)",B7303&lt;=19,"Evening peak (16-19)",TRUE,"Late evening (20-23)")</f>
        <v>Evening peak (16-19)</v>
      </c>
    </row>
    <row r="7304" spans="1:9">
      <c r="A7304" s="32">
        <v>42126</v>
      </c>
      <c r="B7304">
        <v>17</v>
      </c>
      <c r="C7304">
        <v>6436</v>
      </c>
      <c r="D7304" t="s">
        <v>304</v>
      </c>
      <c r="E7304">
        <f>YEAR(A7304)</f>
        <v>2015</v>
      </c>
      <c r="F7304" s="33">
        <f>DATE(YEAR(A7304),MONTH(A7304),1)</f>
        <v>42125.0</v>
      </c>
      <c r="G7304" t="str">
        <f>CHOOSE(WEEKDAY(A7304,2),"Mon","Tue","Wed","Thu","Fri","Sat","Sun")</f>
        <v>Sat</v>
      </c>
      <c r="H7304" t="str">
        <f>IF(WEEKDAY(A7304,2)&gt;5,"Weekend","Weekday")</f>
        <v>Weekend</v>
      </c>
      <c r="I7304" t="str">
        <f>_xlfn.IFS(B7304&lt;=5,"Night (0-5)",B7304&lt;=9,"Morning peak (6-9)",B7304&lt;=15,"Midday (10-15)",B7304&lt;=19,"Evening peak (16-19)",TRUE,"Late evening (20-23)")</f>
        <v>Evening peak (16-19)</v>
      </c>
    </row>
    <row r="7305" spans="1:9">
      <c r="A7305" s="32">
        <v>42126</v>
      </c>
      <c r="B7305">
        <v>18</v>
      </c>
      <c r="C7305">
        <v>6507</v>
      </c>
      <c r="D7305" t="s">
        <v>304</v>
      </c>
      <c r="E7305">
        <f>YEAR(A7305)</f>
        <v>2015</v>
      </c>
      <c r="F7305" s="33">
        <f>DATE(YEAR(A7305),MONTH(A7305),1)</f>
        <v>42125.0</v>
      </c>
      <c r="G7305" t="str">
        <f>CHOOSE(WEEKDAY(A7305,2),"Mon","Tue","Wed","Thu","Fri","Sat","Sun")</f>
        <v>Sat</v>
      </c>
      <c r="H7305" t="str">
        <f>IF(WEEKDAY(A7305,2)&gt;5,"Weekend","Weekday")</f>
        <v>Weekend</v>
      </c>
      <c r="I7305" t="str">
        <f>_xlfn.IFS(B7305&lt;=5,"Night (0-5)",B7305&lt;=9,"Morning peak (6-9)",B7305&lt;=15,"Midday (10-15)",B7305&lt;=19,"Evening peak (16-19)",TRUE,"Late evening (20-23)")</f>
        <v>Evening peak (16-19)</v>
      </c>
    </row>
    <row r="7306" spans="1:9">
      <c r="A7306" s="32">
        <v>42126</v>
      </c>
      <c r="B7306">
        <v>19</v>
      </c>
      <c r="C7306">
        <v>7446</v>
      </c>
      <c r="D7306" t="s">
        <v>304</v>
      </c>
      <c r="E7306">
        <f>YEAR(A7306)</f>
        <v>2015</v>
      </c>
      <c r="F7306" s="33">
        <f>DATE(YEAR(A7306),MONTH(A7306),1)</f>
        <v>42125.0</v>
      </c>
      <c r="G7306" t="str">
        <f>CHOOSE(WEEKDAY(A7306,2),"Mon","Tue","Wed","Thu","Fri","Sat","Sun")</f>
        <v>Sat</v>
      </c>
      <c r="H7306" t="str">
        <f>IF(WEEKDAY(A7306,2)&gt;5,"Weekend","Weekday")</f>
        <v>Weekend</v>
      </c>
      <c r="I7306" t="str">
        <f>_xlfn.IFS(B7306&lt;=5,"Night (0-5)",B7306&lt;=9,"Morning peak (6-9)",B7306&lt;=15,"Midday (10-15)",B7306&lt;=19,"Evening peak (16-19)",TRUE,"Late evening (20-23)")</f>
        <v>Evening peak (16-19)</v>
      </c>
    </row>
    <row r="7307" spans="1:9">
      <c r="A7307" s="32">
        <v>42126</v>
      </c>
      <c r="B7307">
        <v>20</v>
      </c>
      <c r="C7307">
        <v>7568</v>
      </c>
      <c r="D7307" t="s">
        <v>304</v>
      </c>
      <c r="E7307">
        <f>YEAR(A7307)</f>
        <v>2015</v>
      </c>
      <c r="F7307" s="33">
        <f>DATE(YEAR(A7307),MONTH(A7307),1)</f>
        <v>42125.0</v>
      </c>
      <c r="G7307" t="str">
        <f>CHOOSE(WEEKDAY(A7307,2),"Mon","Tue","Wed","Thu","Fri","Sat","Sun")</f>
        <v>Sat</v>
      </c>
      <c r="H7307" t="str">
        <f>IF(WEEKDAY(A7307,2)&gt;5,"Weekend","Weekday")</f>
        <v>Weekend</v>
      </c>
      <c r="I7307" t="str">
        <f>_xlfn.IFS(B7307&lt;=5,"Night (0-5)",B7307&lt;=9,"Morning peak (6-9)",B7307&lt;=15,"Midday (10-15)",B7307&lt;=19,"Evening peak (16-19)",TRUE,"Late evening (20-23)")</f>
        <v>Late evening (20-23)</v>
      </c>
    </row>
    <row r="7308" spans="1:9">
      <c r="A7308" s="32">
        <v>42126</v>
      </c>
      <c r="B7308">
        <v>21</v>
      </c>
      <c r="C7308">
        <v>7671</v>
      </c>
      <c r="D7308" t="s">
        <v>304</v>
      </c>
      <c r="E7308">
        <f>YEAR(A7308)</f>
        <v>2015</v>
      </c>
      <c r="F7308" s="33">
        <f>DATE(YEAR(A7308),MONTH(A7308),1)</f>
        <v>42125.0</v>
      </c>
      <c r="G7308" t="str">
        <f>CHOOSE(WEEKDAY(A7308,2),"Mon","Tue","Wed","Thu","Fri","Sat","Sun")</f>
        <v>Sat</v>
      </c>
      <c r="H7308" t="str">
        <f>IF(WEEKDAY(A7308,2)&gt;5,"Weekend","Weekday")</f>
        <v>Weekend</v>
      </c>
      <c r="I7308" t="str">
        <f>_xlfn.IFS(B7308&lt;=5,"Night (0-5)",B7308&lt;=9,"Morning peak (6-9)",B7308&lt;=15,"Midday (10-15)",B7308&lt;=19,"Evening peak (16-19)",TRUE,"Late evening (20-23)")</f>
        <v>Late evening (20-23)</v>
      </c>
    </row>
    <row r="7309" spans="1:9">
      <c r="A7309" s="32">
        <v>42126</v>
      </c>
      <c r="B7309">
        <v>22</v>
      </c>
      <c r="C7309">
        <v>7986</v>
      </c>
      <c r="D7309" t="s">
        <v>304</v>
      </c>
      <c r="E7309">
        <f>YEAR(A7309)</f>
        <v>2015</v>
      </c>
      <c r="F7309" s="33">
        <f>DATE(YEAR(A7309),MONTH(A7309),1)</f>
        <v>42125.0</v>
      </c>
      <c r="G7309" t="str">
        <f>CHOOSE(WEEKDAY(A7309,2),"Mon","Tue","Wed","Thu","Fri","Sat","Sun")</f>
        <v>Sat</v>
      </c>
      <c r="H7309" t="str">
        <f>IF(WEEKDAY(A7309,2)&gt;5,"Weekend","Weekday")</f>
        <v>Weekend</v>
      </c>
      <c r="I7309" t="str">
        <f>_xlfn.IFS(B7309&lt;=5,"Night (0-5)",B7309&lt;=9,"Morning peak (6-9)",B7309&lt;=15,"Midday (10-15)",B7309&lt;=19,"Evening peak (16-19)",TRUE,"Late evening (20-23)")</f>
        <v>Late evening (20-23)</v>
      </c>
    </row>
    <row r="7310" spans="1:9">
      <c r="A7310" s="32">
        <v>42126</v>
      </c>
      <c r="B7310">
        <v>23</v>
      </c>
      <c r="C7310">
        <v>7202</v>
      </c>
      <c r="D7310" t="s">
        <v>304</v>
      </c>
      <c r="E7310">
        <f>YEAR(A7310)</f>
        <v>2015</v>
      </c>
      <c r="F7310" s="33">
        <f>DATE(YEAR(A7310),MONTH(A7310),1)</f>
        <v>42125.0</v>
      </c>
      <c r="G7310" t="str">
        <f>CHOOSE(WEEKDAY(A7310,2),"Mon","Tue","Wed","Thu","Fri","Sat","Sun")</f>
        <v>Sat</v>
      </c>
      <c r="H7310" t="str">
        <f>IF(WEEKDAY(A7310,2)&gt;5,"Weekend","Weekday")</f>
        <v>Weekend</v>
      </c>
      <c r="I7310" t="str">
        <f>_xlfn.IFS(B7310&lt;=5,"Night (0-5)",B7310&lt;=9,"Morning peak (6-9)",B7310&lt;=15,"Midday (10-15)",B7310&lt;=19,"Evening peak (16-19)",TRUE,"Late evening (20-23)")</f>
        <v>Late evening (20-23)</v>
      </c>
    </row>
    <row r="7311" spans="1:9">
      <c r="A7311" s="32">
        <v>42127</v>
      </c>
      <c r="B7311">
        <v>0</v>
      </c>
      <c r="C7311">
        <v>5649</v>
      </c>
      <c r="D7311" t="s">
        <v>304</v>
      </c>
      <c r="E7311">
        <f>YEAR(A7311)</f>
        <v>2015</v>
      </c>
      <c r="F7311" s="33">
        <f>DATE(YEAR(A7311),MONTH(A7311),1)</f>
        <v>42125.0</v>
      </c>
      <c r="G7311" t="str">
        <f>CHOOSE(WEEKDAY(A7311,2),"Mon","Tue","Wed","Thu","Fri","Sat","Sun")</f>
        <v>Sun</v>
      </c>
      <c r="H7311" t="str">
        <f>IF(WEEKDAY(A7311,2)&gt;5,"Weekend","Weekday")</f>
        <v>Weekend</v>
      </c>
      <c r="I7311" t="str">
        <f>_xlfn.IFS(B7311&lt;=5,"Night (0-5)",B7311&lt;=9,"Morning peak (6-9)",B7311&lt;=15,"Midday (10-15)",B7311&lt;=19,"Evening peak (16-19)",TRUE,"Late evening (20-23)")</f>
        <v>Night (0-5)</v>
      </c>
    </row>
    <row r="7312" spans="1:9">
      <c r="A7312" s="32">
        <v>42127</v>
      </c>
      <c r="B7312">
        <v>1</v>
      </c>
      <c r="C7312">
        <v>7342</v>
      </c>
      <c r="D7312" t="s">
        <v>304</v>
      </c>
      <c r="E7312">
        <f>YEAR(A7312)</f>
        <v>2015</v>
      </c>
      <c r="F7312" s="33">
        <f>DATE(YEAR(A7312),MONTH(A7312),1)</f>
        <v>42125.0</v>
      </c>
      <c r="G7312" t="str">
        <f>CHOOSE(WEEKDAY(A7312,2),"Mon","Tue","Wed","Thu","Fri","Sat","Sun")</f>
        <v>Sun</v>
      </c>
      <c r="H7312" t="str">
        <f>IF(WEEKDAY(A7312,2)&gt;5,"Weekend","Weekday")</f>
        <v>Weekend</v>
      </c>
      <c r="I7312" t="str">
        <f>_xlfn.IFS(B7312&lt;=5,"Night (0-5)",B7312&lt;=9,"Morning peak (6-9)",B7312&lt;=15,"Midday (10-15)",B7312&lt;=19,"Evening peak (16-19)",TRUE,"Late evening (20-23)")</f>
        <v>Night (0-5)</v>
      </c>
    </row>
    <row r="7313" spans="1:9">
      <c r="A7313" s="32">
        <v>42127</v>
      </c>
      <c r="B7313">
        <v>2</v>
      </c>
      <c r="C7313">
        <v>5113</v>
      </c>
      <c r="D7313" t="s">
        <v>304</v>
      </c>
      <c r="E7313">
        <f>YEAR(A7313)</f>
        <v>2015</v>
      </c>
      <c r="F7313" s="33">
        <f>DATE(YEAR(A7313),MONTH(A7313),1)</f>
        <v>42125.0</v>
      </c>
      <c r="G7313" t="str">
        <f>CHOOSE(WEEKDAY(A7313,2),"Mon","Tue","Wed","Thu","Fri","Sat","Sun")</f>
        <v>Sun</v>
      </c>
      <c r="H7313" t="str">
        <f>IF(WEEKDAY(A7313,2)&gt;5,"Weekend","Weekday")</f>
        <v>Weekend</v>
      </c>
      <c r="I7313" t="str">
        <f>_xlfn.IFS(B7313&lt;=5,"Night (0-5)",B7313&lt;=9,"Morning peak (6-9)",B7313&lt;=15,"Midday (10-15)",B7313&lt;=19,"Evening peak (16-19)",TRUE,"Late evening (20-23)")</f>
        <v>Night (0-5)</v>
      </c>
    </row>
    <row r="7314" spans="1:9">
      <c r="A7314" s="32">
        <v>42127</v>
      </c>
      <c r="B7314">
        <v>3</v>
      </c>
      <c r="C7314">
        <v>2776</v>
      </c>
      <c r="D7314" t="s">
        <v>304</v>
      </c>
      <c r="E7314">
        <f>YEAR(A7314)</f>
        <v>2015</v>
      </c>
      <c r="F7314" s="33">
        <f>DATE(YEAR(A7314),MONTH(A7314),1)</f>
        <v>42125.0</v>
      </c>
      <c r="G7314" t="str">
        <f>CHOOSE(WEEKDAY(A7314,2),"Mon","Tue","Wed","Thu","Fri","Sat","Sun")</f>
        <v>Sun</v>
      </c>
      <c r="H7314" t="str">
        <f>IF(WEEKDAY(A7314,2)&gt;5,"Weekend","Weekday")</f>
        <v>Weekend</v>
      </c>
      <c r="I7314" t="str">
        <f>_xlfn.IFS(B7314&lt;=5,"Night (0-5)",B7314&lt;=9,"Morning peak (6-9)",B7314&lt;=15,"Midday (10-15)",B7314&lt;=19,"Evening peak (16-19)",TRUE,"Late evening (20-23)")</f>
        <v>Night (0-5)</v>
      </c>
    </row>
    <row r="7315" spans="1:9">
      <c r="A7315" s="32">
        <v>42127</v>
      </c>
      <c r="B7315">
        <v>4</v>
      </c>
      <c r="C7315">
        <v>1681</v>
      </c>
      <c r="D7315" t="s">
        <v>304</v>
      </c>
      <c r="E7315">
        <f>YEAR(A7315)</f>
        <v>2015</v>
      </c>
      <c r="F7315" s="33">
        <f>DATE(YEAR(A7315),MONTH(A7315),1)</f>
        <v>42125.0</v>
      </c>
      <c r="G7315" t="str">
        <f>CHOOSE(WEEKDAY(A7315,2),"Mon","Tue","Wed","Thu","Fri","Sat","Sun")</f>
        <v>Sun</v>
      </c>
      <c r="H7315" t="str">
        <f>IF(WEEKDAY(A7315,2)&gt;5,"Weekend","Weekday")</f>
        <v>Weekend</v>
      </c>
      <c r="I7315" t="str">
        <f>_xlfn.IFS(B7315&lt;=5,"Night (0-5)",B7315&lt;=9,"Morning peak (6-9)",B7315&lt;=15,"Midday (10-15)",B7315&lt;=19,"Evening peak (16-19)",TRUE,"Late evening (20-23)")</f>
        <v>Night (0-5)</v>
      </c>
    </row>
    <row r="7316" spans="1:9">
      <c r="A7316" s="32">
        <v>42127</v>
      </c>
      <c r="B7316">
        <v>5</v>
      </c>
      <c r="C7316">
        <v>1100</v>
      </c>
      <c r="D7316" t="s">
        <v>304</v>
      </c>
      <c r="E7316">
        <f>YEAR(A7316)</f>
        <v>2015</v>
      </c>
      <c r="F7316" s="33">
        <f>DATE(YEAR(A7316),MONTH(A7316),1)</f>
        <v>42125.0</v>
      </c>
      <c r="G7316" t="str">
        <f>CHOOSE(WEEKDAY(A7316,2),"Mon","Tue","Wed","Thu","Fri","Sat","Sun")</f>
        <v>Sun</v>
      </c>
      <c r="H7316" t="str">
        <f>IF(WEEKDAY(A7316,2)&gt;5,"Weekend","Weekday")</f>
        <v>Weekend</v>
      </c>
      <c r="I7316" t="str">
        <f>_xlfn.IFS(B7316&lt;=5,"Night (0-5)",B7316&lt;=9,"Morning peak (6-9)",B7316&lt;=15,"Midday (10-15)",B7316&lt;=19,"Evening peak (16-19)",TRUE,"Late evening (20-23)")</f>
        <v>Night (0-5)</v>
      </c>
    </row>
    <row r="7317" spans="1:9">
      <c r="A7317" s="32">
        <v>42127</v>
      </c>
      <c r="B7317">
        <v>6</v>
      </c>
      <c r="C7317">
        <v>969</v>
      </c>
      <c r="D7317" t="s">
        <v>304</v>
      </c>
      <c r="E7317">
        <f>YEAR(A7317)</f>
        <v>2015</v>
      </c>
      <c r="F7317" s="33">
        <f>DATE(YEAR(A7317),MONTH(A7317),1)</f>
        <v>42125.0</v>
      </c>
      <c r="G7317" t="str">
        <f>CHOOSE(WEEKDAY(A7317,2),"Mon","Tue","Wed","Thu","Fri","Sat","Sun")</f>
        <v>Sun</v>
      </c>
      <c r="H7317" t="str">
        <f>IF(WEEKDAY(A7317,2)&gt;5,"Weekend","Weekday")</f>
        <v>Weekend</v>
      </c>
      <c r="I7317" t="str">
        <f>_xlfn.IFS(B7317&lt;=5,"Night (0-5)",B7317&lt;=9,"Morning peak (6-9)",B7317&lt;=15,"Midday (10-15)",B7317&lt;=19,"Evening peak (16-19)",TRUE,"Late evening (20-23)")</f>
        <v>Morning peak (6-9)</v>
      </c>
    </row>
    <row r="7318" spans="1:9">
      <c r="A7318" s="32">
        <v>42127</v>
      </c>
      <c r="B7318">
        <v>7</v>
      </c>
      <c r="C7318">
        <v>1051</v>
      </c>
      <c r="D7318" t="s">
        <v>304</v>
      </c>
      <c r="E7318">
        <f>YEAR(A7318)</f>
        <v>2015</v>
      </c>
      <c r="F7318" s="33">
        <f>DATE(YEAR(A7318),MONTH(A7318),1)</f>
        <v>42125.0</v>
      </c>
      <c r="G7318" t="str">
        <f>CHOOSE(WEEKDAY(A7318,2),"Mon","Tue","Wed","Thu","Fri","Sat","Sun")</f>
        <v>Sun</v>
      </c>
      <c r="H7318" t="str">
        <f>IF(WEEKDAY(A7318,2)&gt;5,"Weekend","Weekday")</f>
        <v>Weekend</v>
      </c>
      <c r="I7318" t="str">
        <f>_xlfn.IFS(B7318&lt;=5,"Night (0-5)",B7318&lt;=9,"Morning peak (6-9)",B7318&lt;=15,"Midday (10-15)",B7318&lt;=19,"Evening peak (16-19)",TRUE,"Late evening (20-23)")</f>
        <v>Morning peak (6-9)</v>
      </c>
    </row>
    <row r="7319" spans="1:9">
      <c r="A7319" s="32">
        <v>42127</v>
      </c>
      <c r="B7319">
        <v>8</v>
      </c>
      <c r="C7319">
        <v>1233</v>
      </c>
      <c r="D7319" t="s">
        <v>304</v>
      </c>
      <c r="E7319">
        <f>YEAR(A7319)</f>
        <v>2015</v>
      </c>
      <c r="F7319" s="33">
        <f>DATE(YEAR(A7319),MONTH(A7319),1)</f>
        <v>42125.0</v>
      </c>
      <c r="G7319" t="str">
        <f>CHOOSE(WEEKDAY(A7319,2),"Mon","Tue","Wed","Thu","Fri","Sat","Sun")</f>
        <v>Sun</v>
      </c>
      <c r="H7319" t="str">
        <f>IF(WEEKDAY(A7319,2)&gt;5,"Weekend","Weekday")</f>
        <v>Weekend</v>
      </c>
      <c r="I7319" t="str">
        <f>_xlfn.IFS(B7319&lt;=5,"Night (0-5)",B7319&lt;=9,"Morning peak (6-9)",B7319&lt;=15,"Midday (10-15)",B7319&lt;=19,"Evening peak (16-19)",TRUE,"Late evening (20-23)")</f>
        <v>Morning peak (6-9)</v>
      </c>
    </row>
    <row r="7320" spans="1:9">
      <c r="A7320" s="32">
        <v>42127</v>
      </c>
      <c r="B7320">
        <v>9</v>
      </c>
      <c r="C7320">
        <v>1595</v>
      </c>
      <c r="D7320" t="s">
        <v>304</v>
      </c>
      <c r="E7320">
        <f>YEAR(A7320)</f>
        <v>2015</v>
      </c>
      <c r="F7320" s="33">
        <f>DATE(YEAR(A7320),MONTH(A7320),1)</f>
        <v>42125.0</v>
      </c>
      <c r="G7320" t="str">
        <f>CHOOSE(WEEKDAY(A7320,2),"Mon","Tue","Wed","Thu","Fri","Sat","Sun")</f>
        <v>Sun</v>
      </c>
      <c r="H7320" t="str">
        <f>IF(WEEKDAY(A7320,2)&gt;5,"Weekend","Weekday")</f>
        <v>Weekend</v>
      </c>
      <c r="I7320" t="str">
        <f>_xlfn.IFS(B7320&lt;=5,"Night (0-5)",B7320&lt;=9,"Morning peak (6-9)",B7320&lt;=15,"Midday (10-15)",B7320&lt;=19,"Evening peak (16-19)",TRUE,"Late evening (20-23)")</f>
        <v>Morning peak (6-9)</v>
      </c>
    </row>
    <row r="7321" spans="1:9">
      <c r="A7321" s="32">
        <v>42127</v>
      </c>
      <c r="B7321">
        <v>10</v>
      </c>
      <c r="C7321">
        <v>2120</v>
      </c>
      <c r="D7321" t="s">
        <v>304</v>
      </c>
      <c r="E7321">
        <f>YEAR(A7321)</f>
        <v>2015</v>
      </c>
      <c r="F7321" s="33">
        <f>DATE(YEAR(A7321),MONTH(A7321),1)</f>
        <v>42125.0</v>
      </c>
      <c r="G7321" t="str">
        <f>CHOOSE(WEEKDAY(A7321,2),"Mon","Tue","Wed","Thu","Fri","Sat","Sun")</f>
        <v>Sun</v>
      </c>
      <c r="H7321" t="str">
        <f>IF(WEEKDAY(A7321,2)&gt;5,"Weekend","Weekday")</f>
        <v>Weekend</v>
      </c>
      <c r="I7321" t="str">
        <f>_xlfn.IFS(B7321&lt;=5,"Night (0-5)",B7321&lt;=9,"Morning peak (6-9)",B7321&lt;=15,"Midday (10-15)",B7321&lt;=19,"Evening peak (16-19)",TRUE,"Late evening (20-23)")</f>
        <v>Midday (10-15)</v>
      </c>
    </row>
    <row r="7322" spans="1:9">
      <c r="A7322" s="32">
        <v>42127</v>
      </c>
      <c r="B7322">
        <v>11</v>
      </c>
      <c r="C7322">
        <v>2830</v>
      </c>
      <c r="D7322" t="s">
        <v>304</v>
      </c>
      <c r="E7322">
        <f>YEAR(A7322)</f>
        <v>2015</v>
      </c>
      <c r="F7322" s="33">
        <f>DATE(YEAR(A7322),MONTH(A7322),1)</f>
        <v>42125.0</v>
      </c>
      <c r="G7322" t="str">
        <f>CHOOSE(WEEKDAY(A7322,2),"Mon","Tue","Wed","Thu","Fri","Sat","Sun")</f>
        <v>Sun</v>
      </c>
      <c r="H7322" t="str">
        <f>IF(WEEKDAY(A7322,2)&gt;5,"Weekend","Weekday")</f>
        <v>Weekend</v>
      </c>
      <c r="I7322" t="str">
        <f>_xlfn.IFS(B7322&lt;=5,"Night (0-5)",B7322&lt;=9,"Morning peak (6-9)",B7322&lt;=15,"Midday (10-15)",B7322&lt;=19,"Evening peak (16-19)",TRUE,"Late evening (20-23)")</f>
        <v>Midday (10-15)</v>
      </c>
    </row>
    <row r="7323" spans="1:9">
      <c r="A7323" s="32">
        <v>42127</v>
      </c>
      <c r="B7323">
        <v>12</v>
      </c>
      <c r="C7323">
        <v>3322</v>
      </c>
      <c r="D7323" t="s">
        <v>304</v>
      </c>
      <c r="E7323">
        <f>YEAR(A7323)</f>
        <v>2015</v>
      </c>
      <c r="F7323" s="33">
        <f>DATE(YEAR(A7323),MONTH(A7323),1)</f>
        <v>42125.0</v>
      </c>
      <c r="G7323" t="str">
        <f>CHOOSE(WEEKDAY(A7323,2),"Mon","Tue","Wed","Thu","Fri","Sat","Sun")</f>
        <v>Sun</v>
      </c>
      <c r="H7323" t="str">
        <f>IF(WEEKDAY(A7323,2)&gt;5,"Weekend","Weekday")</f>
        <v>Weekend</v>
      </c>
      <c r="I7323" t="str">
        <f>_xlfn.IFS(B7323&lt;=5,"Night (0-5)",B7323&lt;=9,"Morning peak (6-9)",B7323&lt;=15,"Midday (10-15)",B7323&lt;=19,"Evening peak (16-19)",TRUE,"Late evening (20-23)")</f>
        <v>Midday (10-15)</v>
      </c>
    </row>
    <row r="7324" spans="1:9">
      <c r="A7324" s="32">
        <v>42127</v>
      </c>
      <c r="B7324">
        <v>13</v>
      </c>
      <c r="C7324">
        <v>3663</v>
      </c>
      <c r="D7324" t="s">
        <v>304</v>
      </c>
      <c r="E7324">
        <f>YEAR(A7324)</f>
        <v>2015</v>
      </c>
      <c r="F7324" s="33">
        <f>DATE(YEAR(A7324),MONTH(A7324),1)</f>
        <v>42125.0</v>
      </c>
      <c r="G7324" t="str">
        <f>CHOOSE(WEEKDAY(A7324,2),"Mon","Tue","Wed","Thu","Fri","Sat","Sun")</f>
        <v>Sun</v>
      </c>
      <c r="H7324" t="str">
        <f>IF(WEEKDAY(A7324,2)&gt;5,"Weekend","Weekday")</f>
        <v>Weekend</v>
      </c>
      <c r="I7324" t="str">
        <f>_xlfn.IFS(B7324&lt;=5,"Night (0-5)",B7324&lt;=9,"Morning peak (6-9)",B7324&lt;=15,"Midday (10-15)",B7324&lt;=19,"Evening peak (16-19)",TRUE,"Late evening (20-23)")</f>
        <v>Midday (10-15)</v>
      </c>
    </row>
    <row r="7325" spans="1:9">
      <c r="A7325" s="32">
        <v>42127</v>
      </c>
      <c r="B7325">
        <v>14</v>
      </c>
      <c r="C7325">
        <v>3858</v>
      </c>
      <c r="D7325" t="s">
        <v>304</v>
      </c>
      <c r="E7325">
        <f>YEAR(A7325)</f>
        <v>2015</v>
      </c>
      <c r="F7325" s="33">
        <f>DATE(YEAR(A7325),MONTH(A7325),1)</f>
        <v>42125.0</v>
      </c>
      <c r="G7325" t="str">
        <f>CHOOSE(WEEKDAY(A7325,2),"Mon","Tue","Wed","Thu","Fri","Sat","Sun")</f>
        <v>Sun</v>
      </c>
      <c r="H7325" t="str">
        <f>IF(WEEKDAY(A7325,2)&gt;5,"Weekend","Weekday")</f>
        <v>Weekend</v>
      </c>
      <c r="I7325" t="str">
        <f>_xlfn.IFS(B7325&lt;=5,"Night (0-5)",B7325&lt;=9,"Morning peak (6-9)",B7325&lt;=15,"Midday (10-15)",B7325&lt;=19,"Evening peak (16-19)",TRUE,"Late evening (20-23)")</f>
        <v>Midday (10-15)</v>
      </c>
    </row>
    <row r="7326" spans="1:9">
      <c r="A7326" s="32">
        <v>42127</v>
      </c>
      <c r="B7326">
        <v>15</v>
      </c>
      <c r="C7326">
        <v>3992</v>
      </c>
      <c r="D7326" t="s">
        <v>304</v>
      </c>
      <c r="E7326">
        <f>YEAR(A7326)</f>
        <v>2015</v>
      </c>
      <c r="F7326" s="33">
        <f>DATE(YEAR(A7326),MONTH(A7326),1)</f>
        <v>42125.0</v>
      </c>
      <c r="G7326" t="str">
        <f>CHOOSE(WEEKDAY(A7326,2),"Mon","Tue","Wed","Thu","Fri","Sat","Sun")</f>
        <v>Sun</v>
      </c>
      <c r="H7326" t="str">
        <f>IF(WEEKDAY(A7326,2)&gt;5,"Weekend","Weekday")</f>
        <v>Weekend</v>
      </c>
      <c r="I7326" t="str">
        <f>_xlfn.IFS(B7326&lt;=5,"Night (0-5)",B7326&lt;=9,"Morning peak (6-9)",B7326&lt;=15,"Midday (10-15)",B7326&lt;=19,"Evening peak (16-19)",TRUE,"Late evening (20-23)")</f>
        <v>Midday (10-15)</v>
      </c>
    </row>
    <row r="7327" spans="1:9">
      <c r="A7327" s="32">
        <v>42127</v>
      </c>
      <c r="B7327">
        <v>16</v>
      </c>
      <c r="C7327">
        <v>4176</v>
      </c>
      <c r="D7327" t="s">
        <v>304</v>
      </c>
      <c r="E7327">
        <f>YEAR(A7327)</f>
        <v>2015</v>
      </c>
      <c r="F7327" s="33">
        <f>DATE(YEAR(A7327),MONTH(A7327),1)</f>
        <v>42125.0</v>
      </c>
      <c r="G7327" t="str">
        <f>CHOOSE(WEEKDAY(A7327,2),"Mon","Tue","Wed","Thu","Fri","Sat","Sun")</f>
        <v>Sun</v>
      </c>
      <c r="H7327" t="str">
        <f>IF(WEEKDAY(A7327,2)&gt;5,"Weekend","Weekday")</f>
        <v>Weekend</v>
      </c>
      <c r="I7327" t="str">
        <f>_xlfn.IFS(B7327&lt;=5,"Night (0-5)",B7327&lt;=9,"Morning peak (6-9)",B7327&lt;=15,"Midday (10-15)",B7327&lt;=19,"Evening peak (16-19)",TRUE,"Late evening (20-23)")</f>
        <v>Evening peak (16-19)</v>
      </c>
    </row>
    <row r="7328" spans="1:9">
      <c r="A7328" s="32">
        <v>42127</v>
      </c>
      <c r="B7328">
        <v>17</v>
      </c>
      <c r="C7328">
        <v>4276</v>
      </c>
      <c r="D7328" t="s">
        <v>304</v>
      </c>
      <c r="E7328">
        <f>YEAR(A7328)</f>
        <v>2015</v>
      </c>
      <c r="F7328" s="33">
        <f>DATE(YEAR(A7328),MONTH(A7328),1)</f>
        <v>42125.0</v>
      </c>
      <c r="G7328" t="str">
        <f>CHOOSE(WEEKDAY(A7328,2),"Mon","Tue","Wed","Thu","Fri","Sat","Sun")</f>
        <v>Sun</v>
      </c>
      <c r="H7328" t="str">
        <f>IF(WEEKDAY(A7328,2)&gt;5,"Weekend","Weekday")</f>
        <v>Weekend</v>
      </c>
      <c r="I7328" t="str">
        <f>_xlfn.IFS(B7328&lt;=5,"Night (0-5)",B7328&lt;=9,"Morning peak (6-9)",B7328&lt;=15,"Midday (10-15)",B7328&lt;=19,"Evening peak (16-19)",TRUE,"Late evening (20-23)")</f>
        <v>Evening peak (16-19)</v>
      </c>
    </row>
    <row r="7329" spans="1:9">
      <c r="A7329" s="32">
        <v>42127</v>
      </c>
      <c r="B7329">
        <v>18</v>
      </c>
      <c r="C7329">
        <v>4484</v>
      </c>
      <c r="D7329" t="s">
        <v>304</v>
      </c>
      <c r="E7329">
        <f>YEAR(A7329)</f>
        <v>2015</v>
      </c>
      <c r="F7329" s="33">
        <f>DATE(YEAR(A7329),MONTH(A7329),1)</f>
        <v>42125.0</v>
      </c>
      <c r="G7329" t="str">
        <f>CHOOSE(WEEKDAY(A7329,2),"Mon","Tue","Wed","Thu","Fri","Sat","Sun")</f>
        <v>Sun</v>
      </c>
      <c r="H7329" t="str">
        <f>IF(WEEKDAY(A7329,2)&gt;5,"Weekend","Weekday")</f>
        <v>Weekend</v>
      </c>
      <c r="I7329" t="str">
        <f>_xlfn.IFS(B7329&lt;=5,"Night (0-5)",B7329&lt;=9,"Morning peak (6-9)",B7329&lt;=15,"Midday (10-15)",B7329&lt;=19,"Evening peak (16-19)",TRUE,"Late evening (20-23)")</f>
        <v>Evening peak (16-19)</v>
      </c>
    </row>
    <row r="7330" spans="1:9">
      <c r="A7330" s="32">
        <v>42127</v>
      </c>
      <c r="B7330">
        <v>19</v>
      </c>
      <c r="C7330">
        <v>4299</v>
      </c>
      <c r="D7330" t="s">
        <v>304</v>
      </c>
      <c r="E7330">
        <f>YEAR(A7330)</f>
        <v>2015</v>
      </c>
      <c r="F7330" s="33">
        <f>DATE(YEAR(A7330),MONTH(A7330),1)</f>
        <v>42125.0</v>
      </c>
      <c r="G7330" t="str">
        <f>CHOOSE(WEEKDAY(A7330,2),"Mon","Tue","Wed","Thu","Fri","Sat","Sun")</f>
        <v>Sun</v>
      </c>
      <c r="H7330" t="str">
        <f>IF(WEEKDAY(A7330,2)&gt;5,"Weekend","Weekday")</f>
        <v>Weekend</v>
      </c>
      <c r="I7330" t="str">
        <f>_xlfn.IFS(B7330&lt;=5,"Night (0-5)",B7330&lt;=9,"Morning peak (6-9)",B7330&lt;=15,"Midday (10-15)",B7330&lt;=19,"Evening peak (16-19)",TRUE,"Late evening (20-23)")</f>
        <v>Evening peak (16-19)</v>
      </c>
    </row>
    <row r="7331" spans="1:9">
      <c r="A7331" s="32">
        <v>42127</v>
      </c>
      <c r="B7331">
        <v>20</v>
      </c>
      <c r="C7331">
        <v>4040</v>
      </c>
      <c r="D7331" t="s">
        <v>304</v>
      </c>
      <c r="E7331">
        <f>YEAR(A7331)</f>
        <v>2015</v>
      </c>
      <c r="F7331" s="33">
        <f>DATE(YEAR(A7331),MONTH(A7331),1)</f>
        <v>42125.0</v>
      </c>
      <c r="G7331" t="str">
        <f>CHOOSE(WEEKDAY(A7331,2),"Mon","Tue","Wed","Thu","Fri","Sat","Sun")</f>
        <v>Sun</v>
      </c>
      <c r="H7331" t="str">
        <f>IF(WEEKDAY(A7331,2)&gt;5,"Weekend","Weekday")</f>
        <v>Weekend</v>
      </c>
      <c r="I7331" t="str">
        <f>_xlfn.IFS(B7331&lt;=5,"Night (0-5)",B7331&lt;=9,"Morning peak (6-9)",B7331&lt;=15,"Midday (10-15)",B7331&lt;=19,"Evening peak (16-19)",TRUE,"Late evening (20-23)")</f>
        <v>Late evening (20-23)</v>
      </c>
    </row>
    <row r="7332" spans="1:9">
      <c r="A7332" s="32">
        <v>42127</v>
      </c>
      <c r="B7332">
        <v>21</v>
      </c>
      <c r="C7332">
        <v>3930</v>
      </c>
      <c r="D7332" t="s">
        <v>304</v>
      </c>
      <c r="E7332">
        <f>YEAR(A7332)</f>
        <v>2015</v>
      </c>
      <c r="F7332" s="33">
        <f>DATE(YEAR(A7332),MONTH(A7332),1)</f>
        <v>42125.0</v>
      </c>
      <c r="G7332" t="str">
        <f>CHOOSE(WEEKDAY(A7332,2),"Mon","Tue","Wed","Thu","Fri","Sat","Sun")</f>
        <v>Sun</v>
      </c>
      <c r="H7332" t="str">
        <f>IF(WEEKDAY(A7332,2)&gt;5,"Weekend","Weekday")</f>
        <v>Weekend</v>
      </c>
      <c r="I7332" t="str">
        <f>_xlfn.IFS(B7332&lt;=5,"Night (0-5)",B7332&lt;=9,"Morning peak (6-9)",B7332&lt;=15,"Midday (10-15)",B7332&lt;=19,"Evening peak (16-19)",TRUE,"Late evening (20-23)")</f>
        <v>Late evening (20-23)</v>
      </c>
    </row>
    <row r="7333" spans="1:9">
      <c r="A7333" s="32">
        <v>42127</v>
      </c>
      <c r="B7333">
        <v>22</v>
      </c>
      <c r="C7333">
        <v>3801</v>
      </c>
      <c r="D7333" t="s">
        <v>304</v>
      </c>
      <c r="E7333">
        <f>YEAR(A7333)</f>
        <v>2015</v>
      </c>
      <c r="F7333" s="33">
        <f>DATE(YEAR(A7333),MONTH(A7333),1)</f>
        <v>42125.0</v>
      </c>
      <c r="G7333" t="str">
        <f>CHOOSE(WEEKDAY(A7333,2),"Mon","Tue","Wed","Thu","Fri","Sat","Sun")</f>
        <v>Sun</v>
      </c>
      <c r="H7333" t="str">
        <f>IF(WEEKDAY(A7333,2)&gt;5,"Weekend","Weekday")</f>
        <v>Weekend</v>
      </c>
      <c r="I7333" t="str">
        <f>_xlfn.IFS(B7333&lt;=5,"Night (0-5)",B7333&lt;=9,"Morning peak (6-9)",B7333&lt;=15,"Midday (10-15)",B7333&lt;=19,"Evening peak (16-19)",TRUE,"Late evening (20-23)")</f>
        <v>Late evening (20-23)</v>
      </c>
    </row>
    <row r="7334" spans="1:9">
      <c r="A7334" s="32">
        <v>42127</v>
      </c>
      <c r="B7334">
        <v>23</v>
      </c>
      <c r="C7334">
        <v>3000</v>
      </c>
      <c r="D7334" t="s">
        <v>304</v>
      </c>
      <c r="E7334">
        <f>YEAR(A7334)</f>
        <v>2015</v>
      </c>
      <c r="F7334" s="33">
        <f>DATE(YEAR(A7334),MONTH(A7334),1)</f>
        <v>42125.0</v>
      </c>
      <c r="G7334" t="str">
        <f>CHOOSE(WEEKDAY(A7334,2),"Mon","Tue","Wed","Thu","Fri","Sat","Sun")</f>
        <v>Sun</v>
      </c>
      <c r="H7334" t="str">
        <f>IF(WEEKDAY(A7334,2)&gt;5,"Weekend","Weekday")</f>
        <v>Weekend</v>
      </c>
      <c r="I7334" t="str">
        <f>_xlfn.IFS(B7334&lt;=5,"Night (0-5)",B7334&lt;=9,"Morning peak (6-9)",B7334&lt;=15,"Midday (10-15)",B7334&lt;=19,"Evening peak (16-19)",TRUE,"Late evening (20-23)")</f>
        <v>Late evening (20-23)</v>
      </c>
    </row>
    <row r="7335" spans="1:9">
      <c r="A7335" s="32">
        <v>42128</v>
      </c>
      <c r="B7335">
        <v>0</v>
      </c>
      <c r="C7335">
        <v>1740</v>
      </c>
      <c r="D7335" t="s">
        <v>304</v>
      </c>
      <c r="E7335">
        <f>YEAR(A7335)</f>
        <v>2015</v>
      </c>
      <c r="F7335" s="33">
        <f>DATE(YEAR(A7335),MONTH(A7335),1)</f>
        <v>42125.0</v>
      </c>
      <c r="G7335" t="str">
        <f>CHOOSE(WEEKDAY(A7335,2),"Mon","Tue","Wed","Thu","Fri","Sat","Sun")</f>
        <v>Mon</v>
      </c>
      <c r="H7335" t="str">
        <f>IF(WEEKDAY(A7335,2)&gt;5,"Weekend","Weekday")</f>
        <v>Weekday</v>
      </c>
      <c r="I7335" t="str">
        <f>_xlfn.IFS(B7335&lt;=5,"Night (0-5)",B7335&lt;=9,"Morning peak (6-9)",B7335&lt;=15,"Midday (10-15)",B7335&lt;=19,"Evening peak (16-19)",TRUE,"Late evening (20-23)")</f>
        <v>Night (0-5)</v>
      </c>
    </row>
    <row r="7336" spans="1:9">
      <c r="A7336" s="32">
        <v>42128</v>
      </c>
      <c r="B7336">
        <v>1</v>
      </c>
      <c r="C7336">
        <v>954</v>
      </c>
      <c r="D7336" t="s">
        <v>304</v>
      </c>
      <c r="E7336">
        <f>YEAR(A7336)</f>
        <v>2015</v>
      </c>
      <c r="F7336" s="33">
        <f>DATE(YEAR(A7336),MONTH(A7336),1)</f>
        <v>42125.0</v>
      </c>
      <c r="G7336" t="str">
        <f>CHOOSE(WEEKDAY(A7336,2),"Mon","Tue","Wed","Thu","Fri","Sat","Sun")</f>
        <v>Mon</v>
      </c>
      <c r="H7336" t="str">
        <f>IF(WEEKDAY(A7336,2)&gt;5,"Weekend","Weekday")</f>
        <v>Weekday</v>
      </c>
      <c r="I7336" t="str">
        <f>_xlfn.IFS(B7336&lt;=5,"Night (0-5)",B7336&lt;=9,"Morning peak (6-9)",B7336&lt;=15,"Midday (10-15)",B7336&lt;=19,"Evening peak (16-19)",TRUE,"Late evening (20-23)")</f>
        <v>Night (0-5)</v>
      </c>
    </row>
    <row r="7337" spans="1:9">
      <c r="A7337" s="32">
        <v>42128</v>
      </c>
      <c r="B7337">
        <v>2</v>
      </c>
      <c r="C7337">
        <v>607</v>
      </c>
      <c r="D7337" t="s">
        <v>304</v>
      </c>
      <c r="E7337">
        <f>YEAR(A7337)</f>
        <v>2015</v>
      </c>
      <c r="F7337" s="33">
        <f>DATE(YEAR(A7337),MONTH(A7337),1)</f>
        <v>42125.0</v>
      </c>
      <c r="G7337" t="str">
        <f>CHOOSE(WEEKDAY(A7337,2),"Mon","Tue","Wed","Thu","Fri","Sat","Sun")</f>
        <v>Mon</v>
      </c>
      <c r="H7337" t="str">
        <f>IF(WEEKDAY(A7337,2)&gt;5,"Weekend","Weekday")</f>
        <v>Weekday</v>
      </c>
      <c r="I7337" t="str">
        <f>_xlfn.IFS(B7337&lt;=5,"Night (0-5)",B7337&lt;=9,"Morning peak (6-9)",B7337&lt;=15,"Midday (10-15)",B7337&lt;=19,"Evening peak (16-19)",TRUE,"Late evening (20-23)")</f>
        <v>Night (0-5)</v>
      </c>
    </row>
    <row r="7338" spans="1:9">
      <c r="A7338" s="32">
        <v>42128</v>
      </c>
      <c r="B7338">
        <v>3</v>
      </c>
      <c r="C7338">
        <v>422</v>
      </c>
      <c r="D7338" t="s">
        <v>304</v>
      </c>
      <c r="E7338">
        <f>YEAR(A7338)</f>
        <v>2015</v>
      </c>
      <c r="F7338" s="33">
        <f>DATE(YEAR(A7338),MONTH(A7338),1)</f>
        <v>42125.0</v>
      </c>
      <c r="G7338" t="str">
        <f>CHOOSE(WEEKDAY(A7338,2),"Mon","Tue","Wed","Thu","Fri","Sat","Sun")</f>
        <v>Mon</v>
      </c>
      <c r="H7338" t="str">
        <f>IF(WEEKDAY(A7338,2)&gt;5,"Weekend","Weekday")</f>
        <v>Weekday</v>
      </c>
      <c r="I7338" t="str">
        <f>_xlfn.IFS(B7338&lt;=5,"Night (0-5)",B7338&lt;=9,"Morning peak (6-9)",B7338&lt;=15,"Midday (10-15)",B7338&lt;=19,"Evening peak (16-19)",TRUE,"Late evening (20-23)")</f>
        <v>Night (0-5)</v>
      </c>
    </row>
    <row r="7339" spans="1:9">
      <c r="A7339" s="32">
        <v>42128</v>
      </c>
      <c r="B7339">
        <v>4</v>
      </c>
      <c r="C7339">
        <v>733</v>
      </c>
      <c r="D7339" t="s">
        <v>304</v>
      </c>
      <c r="E7339">
        <f>YEAR(A7339)</f>
        <v>2015</v>
      </c>
      <c r="F7339" s="33">
        <f>DATE(YEAR(A7339),MONTH(A7339),1)</f>
        <v>42125.0</v>
      </c>
      <c r="G7339" t="str">
        <f>CHOOSE(WEEKDAY(A7339,2),"Mon","Tue","Wed","Thu","Fri","Sat","Sun")</f>
        <v>Mon</v>
      </c>
      <c r="H7339" t="str">
        <f>IF(WEEKDAY(A7339,2)&gt;5,"Weekend","Weekday")</f>
        <v>Weekday</v>
      </c>
      <c r="I7339" t="str">
        <f>_xlfn.IFS(B7339&lt;=5,"Night (0-5)",B7339&lt;=9,"Morning peak (6-9)",B7339&lt;=15,"Midday (10-15)",B7339&lt;=19,"Evening peak (16-19)",TRUE,"Late evening (20-23)")</f>
        <v>Night (0-5)</v>
      </c>
    </row>
    <row r="7340" spans="1:9">
      <c r="A7340" s="32">
        <v>42128</v>
      </c>
      <c r="B7340">
        <v>5</v>
      </c>
      <c r="C7340">
        <v>1270</v>
      </c>
      <c r="D7340" t="s">
        <v>304</v>
      </c>
      <c r="E7340">
        <f>YEAR(A7340)</f>
        <v>2015</v>
      </c>
      <c r="F7340" s="33">
        <f>DATE(YEAR(A7340),MONTH(A7340),1)</f>
        <v>42125.0</v>
      </c>
      <c r="G7340" t="str">
        <f>CHOOSE(WEEKDAY(A7340,2),"Mon","Tue","Wed","Thu","Fri","Sat","Sun")</f>
        <v>Mon</v>
      </c>
      <c r="H7340" t="str">
        <f>IF(WEEKDAY(A7340,2)&gt;5,"Weekend","Weekday")</f>
        <v>Weekday</v>
      </c>
      <c r="I7340" t="str">
        <f>_xlfn.IFS(B7340&lt;=5,"Night (0-5)",B7340&lt;=9,"Morning peak (6-9)",B7340&lt;=15,"Midday (10-15)",B7340&lt;=19,"Evening peak (16-19)",TRUE,"Late evening (20-23)")</f>
        <v>Night (0-5)</v>
      </c>
    </row>
    <row r="7341" spans="1:9">
      <c r="A7341" s="32">
        <v>42128</v>
      </c>
      <c r="B7341">
        <v>6</v>
      </c>
      <c r="C7341">
        <v>2135</v>
      </c>
      <c r="D7341" t="s">
        <v>304</v>
      </c>
      <c r="E7341">
        <f>YEAR(A7341)</f>
        <v>2015</v>
      </c>
      <c r="F7341" s="33">
        <f>DATE(YEAR(A7341),MONTH(A7341),1)</f>
        <v>42125.0</v>
      </c>
      <c r="G7341" t="str">
        <f>CHOOSE(WEEKDAY(A7341,2),"Mon","Tue","Wed","Thu","Fri","Sat","Sun")</f>
        <v>Mon</v>
      </c>
      <c r="H7341" t="str">
        <f>IF(WEEKDAY(A7341,2)&gt;5,"Weekend","Weekday")</f>
        <v>Weekday</v>
      </c>
      <c r="I7341" t="str">
        <f>_xlfn.IFS(B7341&lt;=5,"Night (0-5)",B7341&lt;=9,"Morning peak (6-9)",B7341&lt;=15,"Midday (10-15)",B7341&lt;=19,"Evening peak (16-19)",TRUE,"Late evening (20-23)")</f>
        <v>Morning peak (6-9)</v>
      </c>
    </row>
    <row r="7342" spans="1:9">
      <c r="A7342" s="32">
        <v>42128</v>
      </c>
      <c r="B7342">
        <v>7</v>
      </c>
      <c r="C7342">
        <v>3060</v>
      </c>
      <c r="D7342" t="s">
        <v>304</v>
      </c>
      <c r="E7342">
        <f>YEAR(A7342)</f>
        <v>2015</v>
      </c>
      <c r="F7342" s="33">
        <f>DATE(YEAR(A7342),MONTH(A7342),1)</f>
        <v>42125.0</v>
      </c>
      <c r="G7342" t="str">
        <f>CHOOSE(WEEKDAY(A7342,2),"Mon","Tue","Wed","Thu","Fri","Sat","Sun")</f>
        <v>Mon</v>
      </c>
      <c r="H7342" t="str">
        <f>IF(WEEKDAY(A7342,2)&gt;5,"Weekend","Weekday")</f>
        <v>Weekday</v>
      </c>
      <c r="I7342" t="str">
        <f>_xlfn.IFS(B7342&lt;=5,"Night (0-5)",B7342&lt;=9,"Morning peak (6-9)",B7342&lt;=15,"Midday (10-15)",B7342&lt;=19,"Evening peak (16-19)",TRUE,"Late evening (20-23)")</f>
        <v>Morning peak (6-9)</v>
      </c>
    </row>
    <row r="7343" spans="1:9">
      <c r="A7343" s="32">
        <v>42128</v>
      </c>
      <c r="B7343">
        <v>8</v>
      </c>
      <c r="C7343">
        <v>3942</v>
      </c>
      <c r="D7343" t="s">
        <v>304</v>
      </c>
      <c r="E7343">
        <f>YEAR(A7343)</f>
        <v>2015</v>
      </c>
      <c r="F7343" s="33">
        <f>DATE(YEAR(A7343),MONTH(A7343),1)</f>
        <v>42125.0</v>
      </c>
      <c r="G7343" t="str">
        <f>CHOOSE(WEEKDAY(A7343,2),"Mon","Tue","Wed","Thu","Fri","Sat","Sun")</f>
        <v>Mon</v>
      </c>
      <c r="H7343" t="str">
        <f>IF(WEEKDAY(A7343,2)&gt;5,"Weekend","Weekday")</f>
        <v>Weekday</v>
      </c>
      <c r="I7343" t="str">
        <f>_xlfn.IFS(B7343&lt;=5,"Night (0-5)",B7343&lt;=9,"Morning peak (6-9)",B7343&lt;=15,"Midday (10-15)",B7343&lt;=19,"Evening peak (16-19)",TRUE,"Late evening (20-23)")</f>
        <v>Morning peak (6-9)</v>
      </c>
    </row>
    <row r="7344" spans="1:9">
      <c r="A7344" s="32">
        <v>42128</v>
      </c>
      <c r="B7344">
        <v>9</v>
      </c>
      <c r="C7344">
        <v>3659</v>
      </c>
      <c r="D7344" t="s">
        <v>304</v>
      </c>
      <c r="E7344">
        <f>YEAR(A7344)</f>
        <v>2015</v>
      </c>
      <c r="F7344" s="33">
        <f>DATE(YEAR(A7344),MONTH(A7344),1)</f>
        <v>42125.0</v>
      </c>
      <c r="G7344" t="str">
        <f>CHOOSE(WEEKDAY(A7344,2),"Mon","Tue","Wed","Thu","Fri","Sat","Sun")</f>
        <v>Mon</v>
      </c>
      <c r="H7344" t="str">
        <f>IF(WEEKDAY(A7344,2)&gt;5,"Weekend","Weekday")</f>
        <v>Weekday</v>
      </c>
      <c r="I7344" t="str">
        <f>_xlfn.IFS(B7344&lt;=5,"Night (0-5)",B7344&lt;=9,"Morning peak (6-9)",B7344&lt;=15,"Midday (10-15)",B7344&lt;=19,"Evening peak (16-19)",TRUE,"Late evening (20-23)")</f>
        <v>Morning peak (6-9)</v>
      </c>
    </row>
    <row r="7345" spans="1:9">
      <c r="A7345" s="32">
        <v>42128</v>
      </c>
      <c r="B7345">
        <v>10</v>
      </c>
      <c r="C7345">
        <v>2735</v>
      </c>
      <c r="D7345" t="s">
        <v>304</v>
      </c>
      <c r="E7345">
        <f>YEAR(A7345)</f>
        <v>2015</v>
      </c>
      <c r="F7345" s="33">
        <f>DATE(YEAR(A7345),MONTH(A7345),1)</f>
        <v>42125.0</v>
      </c>
      <c r="G7345" t="str">
        <f>CHOOSE(WEEKDAY(A7345,2),"Mon","Tue","Wed","Thu","Fri","Sat","Sun")</f>
        <v>Mon</v>
      </c>
      <c r="H7345" t="str">
        <f>IF(WEEKDAY(A7345,2)&gt;5,"Weekend","Weekday")</f>
        <v>Weekday</v>
      </c>
      <c r="I7345" t="str">
        <f>_xlfn.IFS(B7345&lt;=5,"Night (0-5)",B7345&lt;=9,"Morning peak (6-9)",B7345&lt;=15,"Midday (10-15)",B7345&lt;=19,"Evening peak (16-19)",TRUE,"Late evening (20-23)")</f>
        <v>Midday (10-15)</v>
      </c>
    </row>
    <row r="7346" spans="1:9">
      <c r="A7346" s="32">
        <v>42128</v>
      </c>
      <c r="B7346">
        <v>11</v>
      </c>
      <c r="C7346">
        <v>2525</v>
      </c>
      <c r="D7346" t="s">
        <v>304</v>
      </c>
      <c r="E7346">
        <f>YEAR(A7346)</f>
        <v>2015</v>
      </c>
      <c r="F7346" s="33">
        <f>DATE(YEAR(A7346),MONTH(A7346),1)</f>
        <v>42125.0</v>
      </c>
      <c r="G7346" t="str">
        <f>CHOOSE(WEEKDAY(A7346,2),"Mon","Tue","Wed","Thu","Fri","Sat","Sun")</f>
        <v>Mon</v>
      </c>
      <c r="H7346" t="str">
        <f>IF(WEEKDAY(A7346,2)&gt;5,"Weekend","Weekday")</f>
        <v>Weekday</v>
      </c>
      <c r="I7346" t="str">
        <f>_xlfn.IFS(B7346&lt;=5,"Night (0-5)",B7346&lt;=9,"Morning peak (6-9)",B7346&lt;=15,"Midday (10-15)",B7346&lt;=19,"Evening peak (16-19)",TRUE,"Late evening (20-23)")</f>
        <v>Midday (10-15)</v>
      </c>
    </row>
    <row r="7347" spans="1:9">
      <c r="A7347" s="32">
        <v>42128</v>
      </c>
      <c r="B7347">
        <v>12</v>
      </c>
      <c r="C7347">
        <v>2440</v>
      </c>
      <c r="D7347" t="s">
        <v>304</v>
      </c>
      <c r="E7347">
        <f>YEAR(A7347)</f>
        <v>2015</v>
      </c>
      <c r="F7347" s="33">
        <f>DATE(YEAR(A7347),MONTH(A7347),1)</f>
        <v>42125.0</v>
      </c>
      <c r="G7347" t="str">
        <f>CHOOSE(WEEKDAY(A7347,2),"Mon","Tue","Wed","Thu","Fri","Sat","Sun")</f>
        <v>Mon</v>
      </c>
      <c r="H7347" t="str">
        <f>IF(WEEKDAY(A7347,2)&gt;5,"Weekend","Weekday")</f>
        <v>Weekday</v>
      </c>
      <c r="I7347" t="str">
        <f>_xlfn.IFS(B7347&lt;=5,"Night (0-5)",B7347&lt;=9,"Morning peak (6-9)",B7347&lt;=15,"Midday (10-15)",B7347&lt;=19,"Evening peak (16-19)",TRUE,"Late evening (20-23)")</f>
        <v>Midday (10-15)</v>
      </c>
    </row>
    <row r="7348" spans="1:9">
      <c r="A7348" s="32">
        <v>42128</v>
      </c>
      <c r="B7348">
        <v>13</v>
      </c>
      <c r="C7348">
        <v>2502</v>
      </c>
      <c r="D7348" t="s">
        <v>304</v>
      </c>
      <c r="E7348">
        <f>YEAR(A7348)</f>
        <v>2015</v>
      </c>
      <c r="F7348" s="33">
        <f>DATE(YEAR(A7348),MONTH(A7348),1)</f>
        <v>42125.0</v>
      </c>
      <c r="G7348" t="str">
        <f>CHOOSE(WEEKDAY(A7348,2),"Mon","Tue","Wed","Thu","Fri","Sat","Sun")</f>
        <v>Mon</v>
      </c>
      <c r="H7348" t="str">
        <f>IF(WEEKDAY(A7348,2)&gt;5,"Weekend","Weekday")</f>
        <v>Weekday</v>
      </c>
      <c r="I7348" t="str">
        <f>_xlfn.IFS(B7348&lt;=5,"Night (0-5)",B7348&lt;=9,"Morning peak (6-9)",B7348&lt;=15,"Midday (10-15)",B7348&lt;=19,"Evening peak (16-19)",TRUE,"Late evening (20-23)")</f>
        <v>Midday (10-15)</v>
      </c>
    </row>
    <row r="7349" spans="1:9">
      <c r="A7349" s="32">
        <v>42128</v>
      </c>
      <c r="B7349">
        <v>14</v>
      </c>
      <c r="C7349">
        <v>2785</v>
      </c>
      <c r="D7349" t="s">
        <v>304</v>
      </c>
      <c r="E7349">
        <f>YEAR(A7349)</f>
        <v>2015</v>
      </c>
      <c r="F7349" s="33">
        <f>DATE(YEAR(A7349),MONTH(A7349),1)</f>
        <v>42125.0</v>
      </c>
      <c r="G7349" t="str">
        <f>CHOOSE(WEEKDAY(A7349,2),"Mon","Tue","Wed","Thu","Fri","Sat","Sun")</f>
        <v>Mon</v>
      </c>
      <c r="H7349" t="str">
        <f>IF(WEEKDAY(A7349,2)&gt;5,"Weekend","Weekday")</f>
        <v>Weekday</v>
      </c>
      <c r="I7349" t="str">
        <f>_xlfn.IFS(B7349&lt;=5,"Night (0-5)",B7349&lt;=9,"Morning peak (6-9)",B7349&lt;=15,"Midday (10-15)",B7349&lt;=19,"Evening peak (16-19)",TRUE,"Late evening (20-23)")</f>
        <v>Midday (10-15)</v>
      </c>
    </row>
    <row r="7350" spans="1:9">
      <c r="A7350" s="32">
        <v>42128</v>
      </c>
      <c r="B7350">
        <v>15</v>
      </c>
      <c r="C7350">
        <v>3088</v>
      </c>
      <c r="D7350" t="s">
        <v>304</v>
      </c>
      <c r="E7350">
        <f>YEAR(A7350)</f>
        <v>2015</v>
      </c>
      <c r="F7350" s="33">
        <f>DATE(YEAR(A7350),MONTH(A7350),1)</f>
        <v>42125.0</v>
      </c>
      <c r="G7350" t="str">
        <f>CHOOSE(WEEKDAY(A7350,2),"Mon","Tue","Wed","Thu","Fri","Sat","Sun")</f>
        <v>Mon</v>
      </c>
      <c r="H7350" t="str">
        <f>IF(WEEKDAY(A7350,2)&gt;5,"Weekend","Weekday")</f>
        <v>Weekday</v>
      </c>
      <c r="I7350" t="str">
        <f>_xlfn.IFS(B7350&lt;=5,"Night (0-5)",B7350&lt;=9,"Morning peak (6-9)",B7350&lt;=15,"Midday (10-15)",B7350&lt;=19,"Evening peak (16-19)",TRUE,"Late evening (20-23)")</f>
        <v>Midday (10-15)</v>
      </c>
    </row>
    <row r="7351" spans="1:9">
      <c r="A7351" s="32">
        <v>42128</v>
      </c>
      <c r="B7351">
        <v>16</v>
      </c>
      <c r="C7351">
        <v>3367</v>
      </c>
      <c r="D7351" t="s">
        <v>304</v>
      </c>
      <c r="E7351">
        <f>YEAR(A7351)</f>
        <v>2015</v>
      </c>
      <c r="F7351" s="33">
        <f>DATE(YEAR(A7351),MONTH(A7351),1)</f>
        <v>42125.0</v>
      </c>
      <c r="G7351" t="str">
        <f>CHOOSE(WEEKDAY(A7351,2),"Mon","Tue","Wed","Thu","Fri","Sat","Sun")</f>
        <v>Mon</v>
      </c>
      <c r="H7351" t="str">
        <f>IF(WEEKDAY(A7351,2)&gt;5,"Weekend","Weekday")</f>
        <v>Weekday</v>
      </c>
      <c r="I7351" t="str">
        <f>_xlfn.IFS(B7351&lt;=5,"Night (0-5)",B7351&lt;=9,"Morning peak (6-9)",B7351&lt;=15,"Midday (10-15)",B7351&lt;=19,"Evening peak (16-19)",TRUE,"Late evening (20-23)")</f>
        <v>Evening peak (16-19)</v>
      </c>
    </row>
    <row r="7352" spans="1:9">
      <c r="A7352" s="32">
        <v>42128</v>
      </c>
      <c r="B7352">
        <v>17</v>
      </c>
      <c r="C7352">
        <v>3804</v>
      </c>
      <c r="D7352" t="s">
        <v>304</v>
      </c>
      <c r="E7352">
        <f>YEAR(A7352)</f>
        <v>2015</v>
      </c>
      <c r="F7352" s="33">
        <f>DATE(YEAR(A7352),MONTH(A7352),1)</f>
        <v>42125.0</v>
      </c>
      <c r="G7352" t="str">
        <f>CHOOSE(WEEKDAY(A7352,2),"Mon","Tue","Wed","Thu","Fri","Sat","Sun")</f>
        <v>Mon</v>
      </c>
      <c r="H7352" t="str">
        <f>IF(WEEKDAY(A7352,2)&gt;5,"Weekend","Weekday")</f>
        <v>Weekday</v>
      </c>
      <c r="I7352" t="str">
        <f>_xlfn.IFS(B7352&lt;=5,"Night (0-5)",B7352&lt;=9,"Morning peak (6-9)",B7352&lt;=15,"Midday (10-15)",B7352&lt;=19,"Evening peak (16-19)",TRUE,"Late evening (20-23)")</f>
        <v>Evening peak (16-19)</v>
      </c>
    </row>
    <row r="7353" spans="1:9">
      <c r="A7353" s="32">
        <v>42128</v>
      </c>
      <c r="B7353">
        <v>18</v>
      </c>
      <c r="C7353">
        <v>4519</v>
      </c>
      <c r="D7353" t="s">
        <v>304</v>
      </c>
      <c r="E7353">
        <f>YEAR(A7353)</f>
        <v>2015</v>
      </c>
      <c r="F7353" s="33">
        <f>DATE(YEAR(A7353),MONTH(A7353),1)</f>
        <v>42125.0</v>
      </c>
      <c r="G7353" t="str">
        <f>CHOOSE(WEEKDAY(A7353,2),"Mon","Tue","Wed","Thu","Fri","Sat","Sun")</f>
        <v>Mon</v>
      </c>
      <c r="H7353" t="str">
        <f>IF(WEEKDAY(A7353,2)&gt;5,"Weekend","Weekday")</f>
        <v>Weekday</v>
      </c>
      <c r="I7353" t="str">
        <f>_xlfn.IFS(B7353&lt;=5,"Night (0-5)",B7353&lt;=9,"Morning peak (6-9)",B7353&lt;=15,"Midday (10-15)",B7353&lt;=19,"Evening peak (16-19)",TRUE,"Late evening (20-23)")</f>
        <v>Evening peak (16-19)</v>
      </c>
    </row>
    <row r="7354" spans="1:9">
      <c r="A7354" s="32">
        <v>42128</v>
      </c>
      <c r="B7354">
        <v>19</v>
      </c>
      <c r="C7354">
        <v>4262</v>
      </c>
      <c r="D7354" t="s">
        <v>304</v>
      </c>
      <c r="E7354">
        <f>YEAR(A7354)</f>
        <v>2015</v>
      </c>
      <c r="F7354" s="33">
        <f>DATE(YEAR(A7354),MONTH(A7354),1)</f>
        <v>42125.0</v>
      </c>
      <c r="G7354" t="str">
        <f>CHOOSE(WEEKDAY(A7354,2),"Mon","Tue","Wed","Thu","Fri","Sat","Sun")</f>
        <v>Mon</v>
      </c>
      <c r="H7354" t="str">
        <f>IF(WEEKDAY(A7354,2)&gt;5,"Weekend","Weekday")</f>
        <v>Weekday</v>
      </c>
      <c r="I7354" t="str">
        <f>_xlfn.IFS(B7354&lt;=5,"Night (0-5)",B7354&lt;=9,"Morning peak (6-9)",B7354&lt;=15,"Midday (10-15)",B7354&lt;=19,"Evening peak (16-19)",TRUE,"Late evening (20-23)")</f>
        <v>Evening peak (16-19)</v>
      </c>
    </row>
    <row r="7355" spans="1:9">
      <c r="A7355" s="32">
        <v>42128</v>
      </c>
      <c r="B7355">
        <v>20</v>
      </c>
      <c r="C7355">
        <v>3971</v>
      </c>
      <c r="D7355" t="s">
        <v>304</v>
      </c>
      <c r="E7355">
        <f>YEAR(A7355)</f>
        <v>2015</v>
      </c>
      <c r="F7355" s="33">
        <f>DATE(YEAR(A7355),MONTH(A7355),1)</f>
        <v>42125.0</v>
      </c>
      <c r="G7355" t="str">
        <f>CHOOSE(WEEKDAY(A7355,2),"Mon","Tue","Wed","Thu","Fri","Sat","Sun")</f>
        <v>Mon</v>
      </c>
      <c r="H7355" t="str">
        <f>IF(WEEKDAY(A7355,2)&gt;5,"Weekend","Weekday")</f>
        <v>Weekday</v>
      </c>
      <c r="I7355" t="str">
        <f>_xlfn.IFS(B7355&lt;=5,"Night (0-5)",B7355&lt;=9,"Morning peak (6-9)",B7355&lt;=15,"Midday (10-15)",B7355&lt;=19,"Evening peak (16-19)",TRUE,"Late evening (20-23)")</f>
        <v>Late evening (20-23)</v>
      </c>
    </row>
    <row r="7356" spans="1:9">
      <c r="A7356" s="32">
        <v>42128</v>
      </c>
      <c r="B7356">
        <v>21</v>
      </c>
      <c r="C7356">
        <v>4112</v>
      </c>
      <c r="D7356" t="s">
        <v>304</v>
      </c>
      <c r="E7356">
        <f>YEAR(A7356)</f>
        <v>2015</v>
      </c>
      <c r="F7356" s="33">
        <f>DATE(YEAR(A7356),MONTH(A7356),1)</f>
        <v>42125.0</v>
      </c>
      <c r="G7356" t="str">
        <f>CHOOSE(WEEKDAY(A7356,2),"Mon","Tue","Wed","Thu","Fri","Sat","Sun")</f>
        <v>Mon</v>
      </c>
      <c r="H7356" t="str">
        <f>IF(WEEKDAY(A7356,2)&gt;5,"Weekend","Weekday")</f>
        <v>Weekday</v>
      </c>
      <c r="I7356" t="str">
        <f>_xlfn.IFS(B7356&lt;=5,"Night (0-5)",B7356&lt;=9,"Morning peak (6-9)",B7356&lt;=15,"Midday (10-15)",B7356&lt;=19,"Evening peak (16-19)",TRUE,"Late evening (20-23)")</f>
        <v>Late evening (20-23)</v>
      </c>
    </row>
    <row r="7357" spans="1:9">
      <c r="A7357" s="32">
        <v>42128</v>
      </c>
      <c r="B7357">
        <v>22</v>
      </c>
      <c r="C7357">
        <v>3854</v>
      </c>
      <c r="D7357" t="s">
        <v>304</v>
      </c>
      <c r="E7357">
        <f>YEAR(A7357)</f>
        <v>2015</v>
      </c>
      <c r="F7357" s="33">
        <f>DATE(YEAR(A7357),MONTH(A7357),1)</f>
        <v>42125.0</v>
      </c>
      <c r="G7357" t="str">
        <f>CHOOSE(WEEKDAY(A7357,2),"Mon","Tue","Wed","Thu","Fri","Sat","Sun")</f>
        <v>Mon</v>
      </c>
      <c r="H7357" t="str">
        <f>IF(WEEKDAY(A7357,2)&gt;5,"Weekend","Weekday")</f>
        <v>Weekday</v>
      </c>
      <c r="I7357" t="str">
        <f>_xlfn.IFS(B7357&lt;=5,"Night (0-5)",B7357&lt;=9,"Morning peak (6-9)",B7357&lt;=15,"Midday (10-15)",B7357&lt;=19,"Evening peak (16-19)",TRUE,"Late evening (20-23)")</f>
        <v>Late evening (20-23)</v>
      </c>
    </row>
    <row r="7358" spans="1:9">
      <c r="A7358" s="32">
        <v>42128</v>
      </c>
      <c r="B7358">
        <v>23</v>
      </c>
      <c r="C7358">
        <v>2961</v>
      </c>
      <c r="D7358" t="s">
        <v>304</v>
      </c>
      <c r="E7358">
        <f>YEAR(A7358)</f>
        <v>2015</v>
      </c>
      <c r="F7358" s="33">
        <f>DATE(YEAR(A7358),MONTH(A7358),1)</f>
        <v>42125.0</v>
      </c>
      <c r="G7358" t="str">
        <f>CHOOSE(WEEKDAY(A7358,2),"Mon","Tue","Wed","Thu","Fri","Sat","Sun")</f>
        <v>Mon</v>
      </c>
      <c r="H7358" t="str">
        <f>IF(WEEKDAY(A7358,2)&gt;5,"Weekend","Weekday")</f>
        <v>Weekday</v>
      </c>
      <c r="I7358" t="str">
        <f>_xlfn.IFS(B7358&lt;=5,"Night (0-5)",B7358&lt;=9,"Morning peak (6-9)",B7358&lt;=15,"Midday (10-15)",B7358&lt;=19,"Evening peak (16-19)",TRUE,"Late evening (20-23)")</f>
        <v>Late evening (20-23)</v>
      </c>
    </row>
    <row r="7359" spans="1:9">
      <c r="A7359" s="32">
        <v>42129</v>
      </c>
      <c r="B7359">
        <v>0</v>
      </c>
      <c r="C7359">
        <v>1831</v>
      </c>
      <c r="D7359" t="s">
        <v>304</v>
      </c>
      <c r="E7359">
        <f>YEAR(A7359)</f>
        <v>2015</v>
      </c>
      <c r="F7359" s="33">
        <f>DATE(YEAR(A7359),MONTH(A7359),1)</f>
        <v>42125.0</v>
      </c>
      <c r="G7359" t="str">
        <f>CHOOSE(WEEKDAY(A7359,2),"Mon","Tue","Wed","Thu","Fri","Sat","Sun")</f>
        <v>Tue</v>
      </c>
      <c r="H7359" t="str">
        <f>IF(WEEKDAY(A7359,2)&gt;5,"Weekend","Weekday")</f>
        <v>Weekday</v>
      </c>
      <c r="I7359" t="str">
        <f>_xlfn.IFS(B7359&lt;=5,"Night (0-5)",B7359&lt;=9,"Morning peak (6-9)",B7359&lt;=15,"Midday (10-15)",B7359&lt;=19,"Evening peak (16-19)",TRUE,"Late evening (20-23)")</f>
        <v>Night (0-5)</v>
      </c>
    </row>
    <row r="7360" spans="1:9">
      <c r="A7360" s="32">
        <v>42129</v>
      </c>
      <c r="B7360">
        <v>1</v>
      </c>
      <c r="C7360">
        <v>1090</v>
      </c>
      <c r="D7360" t="s">
        <v>304</v>
      </c>
      <c r="E7360">
        <f>YEAR(A7360)</f>
        <v>2015</v>
      </c>
      <c r="F7360" s="33">
        <f>DATE(YEAR(A7360),MONTH(A7360),1)</f>
        <v>42125.0</v>
      </c>
      <c r="G7360" t="str">
        <f>CHOOSE(WEEKDAY(A7360,2),"Mon","Tue","Wed","Thu","Fri","Sat","Sun")</f>
        <v>Tue</v>
      </c>
      <c r="H7360" t="str">
        <f>IF(WEEKDAY(A7360,2)&gt;5,"Weekend","Weekday")</f>
        <v>Weekday</v>
      </c>
      <c r="I7360" t="str">
        <f>_xlfn.IFS(B7360&lt;=5,"Night (0-5)",B7360&lt;=9,"Morning peak (6-9)",B7360&lt;=15,"Midday (10-15)",B7360&lt;=19,"Evening peak (16-19)",TRUE,"Late evening (20-23)")</f>
        <v>Night (0-5)</v>
      </c>
    </row>
    <row r="7361" spans="1:9">
      <c r="A7361" s="32">
        <v>42129</v>
      </c>
      <c r="B7361">
        <v>2</v>
      </c>
      <c r="C7361">
        <v>660</v>
      </c>
      <c r="D7361" t="s">
        <v>304</v>
      </c>
      <c r="E7361">
        <f>YEAR(A7361)</f>
        <v>2015</v>
      </c>
      <c r="F7361" s="33">
        <f>DATE(YEAR(A7361),MONTH(A7361),1)</f>
        <v>42125.0</v>
      </c>
      <c r="G7361" t="str">
        <f>CHOOSE(WEEKDAY(A7361,2),"Mon","Tue","Wed","Thu","Fri","Sat","Sun")</f>
        <v>Tue</v>
      </c>
      <c r="H7361" t="str">
        <f>IF(WEEKDAY(A7361,2)&gt;5,"Weekend","Weekday")</f>
        <v>Weekday</v>
      </c>
      <c r="I7361" t="str">
        <f>_xlfn.IFS(B7361&lt;=5,"Night (0-5)",B7361&lt;=9,"Morning peak (6-9)",B7361&lt;=15,"Midday (10-15)",B7361&lt;=19,"Evening peak (16-19)",TRUE,"Late evening (20-23)")</f>
        <v>Night (0-5)</v>
      </c>
    </row>
    <row r="7362" spans="1:9">
      <c r="A7362" s="32">
        <v>42129</v>
      </c>
      <c r="B7362">
        <v>3</v>
      </c>
      <c r="C7362">
        <v>447</v>
      </c>
      <c r="D7362" t="s">
        <v>304</v>
      </c>
      <c r="E7362">
        <f>YEAR(A7362)</f>
        <v>2015</v>
      </c>
      <c r="F7362" s="33">
        <f>DATE(YEAR(A7362),MONTH(A7362),1)</f>
        <v>42125.0</v>
      </c>
      <c r="G7362" t="str">
        <f>CHOOSE(WEEKDAY(A7362,2),"Mon","Tue","Wed","Thu","Fri","Sat","Sun")</f>
        <v>Tue</v>
      </c>
      <c r="H7362" t="str">
        <f>IF(WEEKDAY(A7362,2)&gt;5,"Weekend","Weekday")</f>
        <v>Weekday</v>
      </c>
      <c r="I7362" t="str">
        <f>_xlfn.IFS(B7362&lt;=5,"Night (0-5)",B7362&lt;=9,"Morning peak (6-9)",B7362&lt;=15,"Midday (10-15)",B7362&lt;=19,"Evening peak (16-19)",TRUE,"Late evening (20-23)")</f>
        <v>Night (0-5)</v>
      </c>
    </row>
    <row r="7363" spans="1:9">
      <c r="A7363" s="32">
        <v>42129</v>
      </c>
      <c r="B7363">
        <v>4</v>
      </c>
      <c r="C7363">
        <v>561</v>
      </c>
      <c r="D7363" t="s">
        <v>304</v>
      </c>
      <c r="E7363">
        <f>YEAR(A7363)</f>
        <v>2015</v>
      </c>
      <c r="F7363" s="33">
        <f>DATE(YEAR(A7363),MONTH(A7363),1)</f>
        <v>42125.0</v>
      </c>
      <c r="G7363" t="str">
        <f>CHOOSE(WEEKDAY(A7363,2),"Mon","Tue","Wed","Thu","Fri","Sat","Sun")</f>
        <v>Tue</v>
      </c>
      <c r="H7363" t="str">
        <f>IF(WEEKDAY(A7363,2)&gt;5,"Weekend","Weekday")</f>
        <v>Weekday</v>
      </c>
      <c r="I7363" t="str">
        <f>_xlfn.IFS(B7363&lt;=5,"Night (0-5)",B7363&lt;=9,"Morning peak (6-9)",B7363&lt;=15,"Midday (10-15)",B7363&lt;=19,"Evening peak (16-19)",TRUE,"Late evening (20-23)")</f>
        <v>Night (0-5)</v>
      </c>
    </row>
    <row r="7364" spans="1:9">
      <c r="A7364" s="32">
        <v>42129</v>
      </c>
      <c r="B7364">
        <v>5</v>
      </c>
      <c r="C7364">
        <v>1086</v>
      </c>
      <c r="D7364" t="s">
        <v>304</v>
      </c>
      <c r="E7364">
        <f>YEAR(A7364)</f>
        <v>2015</v>
      </c>
      <c r="F7364" s="33">
        <f>DATE(YEAR(A7364),MONTH(A7364),1)</f>
        <v>42125.0</v>
      </c>
      <c r="G7364" t="str">
        <f>CHOOSE(WEEKDAY(A7364,2),"Mon","Tue","Wed","Thu","Fri","Sat","Sun")</f>
        <v>Tue</v>
      </c>
      <c r="H7364" t="str">
        <f>IF(WEEKDAY(A7364,2)&gt;5,"Weekend","Weekday")</f>
        <v>Weekday</v>
      </c>
      <c r="I7364" t="str">
        <f>_xlfn.IFS(B7364&lt;=5,"Night (0-5)",B7364&lt;=9,"Morning peak (6-9)",B7364&lt;=15,"Midday (10-15)",B7364&lt;=19,"Evening peak (16-19)",TRUE,"Late evening (20-23)")</f>
        <v>Night (0-5)</v>
      </c>
    </row>
    <row r="7365" spans="1:9">
      <c r="A7365" s="32">
        <v>42129</v>
      </c>
      <c r="B7365">
        <v>6</v>
      </c>
      <c r="C7365">
        <v>1879</v>
      </c>
      <c r="D7365" t="s">
        <v>304</v>
      </c>
      <c r="E7365">
        <f>YEAR(A7365)</f>
        <v>2015</v>
      </c>
      <c r="F7365" s="33">
        <f>DATE(YEAR(A7365),MONTH(A7365),1)</f>
        <v>42125.0</v>
      </c>
      <c r="G7365" t="str">
        <f>CHOOSE(WEEKDAY(A7365,2),"Mon","Tue","Wed","Thu","Fri","Sat","Sun")</f>
        <v>Tue</v>
      </c>
      <c r="H7365" t="str">
        <f>IF(WEEKDAY(A7365,2)&gt;5,"Weekend","Weekday")</f>
        <v>Weekday</v>
      </c>
      <c r="I7365" t="str">
        <f>_xlfn.IFS(B7365&lt;=5,"Night (0-5)",B7365&lt;=9,"Morning peak (6-9)",B7365&lt;=15,"Midday (10-15)",B7365&lt;=19,"Evening peak (16-19)",TRUE,"Late evening (20-23)")</f>
        <v>Morning peak (6-9)</v>
      </c>
    </row>
    <row r="7366" spans="1:9">
      <c r="A7366" s="32">
        <v>42129</v>
      </c>
      <c r="B7366">
        <v>7</v>
      </c>
      <c r="C7366">
        <v>3134</v>
      </c>
      <c r="D7366" t="s">
        <v>304</v>
      </c>
      <c r="E7366">
        <f>YEAR(A7366)</f>
        <v>2015</v>
      </c>
      <c r="F7366" s="33">
        <f>DATE(YEAR(A7366),MONTH(A7366),1)</f>
        <v>42125.0</v>
      </c>
      <c r="G7366" t="str">
        <f>CHOOSE(WEEKDAY(A7366,2),"Mon","Tue","Wed","Thu","Fri","Sat","Sun")</f>
        <v>Tue</v>
      </c>
      <c r="H7366" t="str">
        <f>IF(WEEKDAY(A7366,2)&gt;5,"Weekend","Weekday")</f>
        <v>Weekday</v>
      </c>
      <c r="I7366" t="str">
        <f>_xlfn.IFS(B7366&lt;=5,"Night (0-5)",B7366&lt;=9,"Morning peak (6-9)",B7366&lt;=15,"Midday (10-15)",B7366&lt;=19,"Evening peak (16-19)",TRUE,"Late evening (20-23)")</f>
        <v>Morning peak (6-9)</v>
      </c>
    </row>
    <row r="7367" spans="1:9">
      <c r="A7367" s="32">
        <v>42129</v>
      </c>
      <c r="B7367">
        <v>8</v>
      </c>
      <c r="C7367">
        <v>3945</v>
      </c>
      <c r="D7367" t="s">
        <v>304</v>
      </c>
      <c r="E7367">
        <f>YEAR(A7367)</f>
        <v>2015</v>
      </c>
      <c r="F7367" s="33">
        <f>DATE(YEAR(A7367),MONTH(A7367),1)</f>
        <v>42125.0</v>
      </c>
      <c r="G7367" t="str">
        <f>CHOOSE(WEEKDAY(A7367,2),"Mon","Tue","Wed","Thu","Fri","Sat","Sun")</f>
        <v>Tue</v>
      </c>
      <c r="H7367" t="str">
        <f>IF(WEEKDAY(A7367,2)&gt;5,"Weekend","Weekday")</f>
        <v>Weekday</v>
      </c>
      <c r="I7367" t="str">
        <f>_xlfn.IFS(B7367&lt;=5,"Night (0-5)",B7367&lt;=9,"Morning peak (6-9)",B7367&lt;=15,"Midday (10-15)",B7367&lt;=19,"Evening peak (16-19)",TRUE,"Late evening (20-23)")</f>
        <v>Morning peak (6-9)</v>
      </c>
    </row>
    <row r="7368" spans="1:9">
      <c r="A7368" s="32">
        <v>42129</v>
      </c>
      <c r="B7368">
        <v>9</v>
      </c>
      <c r="C7368">
        <v>3682</v>
      </c>
      <c r="D7368" t="s">
        <v>304</v>
      </c>
      <c r="E7368">
        <f>YEAR(A7368)</f>
        <v>2015</v>
      </c>
      <c r="F7368" s="33">
        <f>DATE(YEAR(A7368),MONTH(A7368),1)</f>
        <v>42125.0</v>
      </c>
      <c r="G7368" t="str">
        <f>CHOOSE(WEEKDAY(A7368,2),"Mon","Tue","Wed","Thu","Fri","Sat","Sun")</f>
        <v>Tue</v>
      </c>
      <c r="H7368" t="str">
        <f>IF(WEEKDAY(A7368,2)&gt;5,"Weekend","Weekday")</f>
        <v>Weekday</v>
      </c>
      <c r="I7368" t="str">
        <f>_xlfn.IFS(B7368&lt;=5,"Night (0-5)",B7368&lt;=9,"Morning peak (6-9)",B7368&lt;=15,"Midday (10-15)",B7368&lt;=19,"Evening peak (16-19)",TRUE,"Late evening (20-23)")</f>
        <v>Morning peak (6-9)</v>
      </c>
    </row>
    <row r="7369" spans="1:9">
      <c r="A7369" s="32">
        <v>42129</v>
      </c>
      <c r="B7369">
        <v>10</v>
      </c>
      <c r="C7369">
        <v>2918</v>
      </c>
      <c r="D7369" t="s">
        <v>304</v>
      </c>
      <c r="E7369">
        <f>YEAR(A7369)</f>
        <v>2015</v>
      </c>
      <c r="F7369" s="33">
        <f>DATE(YEAR(A7369),MONTH(A7369),1)</f>
        <v>42125.0</v>
      </c>
      <c r="G7369" t="str">
        <f>CHOOSE(WEEKDAY(A7369,2),"Mon","Tue","Wed","Thu","Fri","Sat","Sun")</f>
        <v>Tue</v>
      </c>
      <c r="H7369" t="str">
        <f>IF(WEEKDAY(A7369,2)&gt;5,"Weekend","Weekday")</f>
        <v>Weekday</v>
      </c>
      <c r="I7369" t="str">
        <f>_xlfn.IFS(B7369&lt;=5,"Night (0-5)",B7369&lt;=9,"Morning peak (6-9)",B7369&lt;=15,"Midday (10-15)",B7369&lt;=19,"Evening peak (16-19)",TRUE,"Late evening (20-23)")</f>
        <v>Midday (10-15)</v>
      </c>
    </row>
    <row r="7370" spans="1:9">
      <c r="A7370" s="32">
        <v>42129</v>
      </c>
      <c r="B7370">
        <v>11</v>
      </c>
      <c r="C7370">
        <v>2672</v>
      </c>
      <c r="D7370" t="s">
        <v>304</v>
      </c>
      <c r="E7370">
        <f>YEAR(A7370)</f>
        <v>2015</v>
      </c>
      <c r="F7370" s="33">
        <f>DATE(YEAR(A7370),MONTH(A7370),1)</f>
        <v>42125.0</v>
      </c>
      <c r="G7370" t="str">
        <f>CHOOSE(WEEKDAY(A7370,2),"Mon","Tue","Wed","Thu","Fri","Sat","Sun")</f>
        <v>Tue</v>
      </c>
      <c r="H7370" t="str">
        <f>IF(WEEKDAY(A7370,2)&gt;5,"Weekend","Weekday")</f>
        <v>Weekday</v>
      </c>
      <c r="I7370" t="str">
        <f>_xlfn.IFS(B7370&lt;=5,"Night (0-5)",B7370&lt;=9,"Morning peak (6-9)",B7370&lt;=15,"Midday (10-15)",B7370&lt;=19,"Evening peak (16-19)",TRUE,"Late evening (20-23)")</f>
        <v>Midday (10-15)</v>
      </c>
    </row>
    <row r="7371" spans="1:9">
      <c r="A7371" s="32">
        <v>42129</v>
      </c>
      <c r="B7371">
        <v>12</v>
      </c>
      <c r="C7371">
        <v>2577</v>
      </c>
      <c r="D7371" t="s">
        <v>304</v>
      </c>
      <c r="E7371">
        <f>YEAR(A7371)</f>
        <v>2015</v>
      </c>
      <c r="F7371" s="33">
        <f>DATE(YEAR(A7371),MONTH(A7371),1)</f>
        <v>42125.0</v>
      </c>
      <c r="G7371" t="str">
        <f>CHOOSE(WEEKDAY(A7371,2),"Mon","Tue","Wed","Thu","Fri","Sat","Sun")</f>
        <v>Tue</v>
      </c>
      <c r="H7371" t="str">
        <f>IF(WEEKDAY(A7371,2)&gt;5,"Weekend","Weekday")</f>
        <v>Weekday</v>
      </c>
      <c r="I7371" t="str">
        <f>_xlfn.IFS(B7371&lt;=5,"Night (0-5)",B7371&lt;=9,"Morning peak (6-9)",B7371&lt;=15,"Midday (10-15)",B7371&lt;=19,"Evening peak (16-19)",TRUE,"Late evening (20-23)")</f>
        <v>Midday (10-15)</v>
      </c>
    </row>
    <row r="7372" spans="1:9">
      <c r="A7372" s="32">
        <v>42129</v>
      </c>
      <c r="B7372">
        <v>13</v>
      </c>
      <c r="C7372">
        <v>2670</v>
      </c>
      <c r="D7372" t="s">
        <v>304</v>
      </c>
      <c r="E7372">
        <f>YEAR(A7372)</f>
        <v>2015</v>
      </c>
      <c r="F7372" s="33">
        <f>DATE(YEAR(A7372),MONTH(A7372),1)</f>
        <v>42125.0</v>
      </c>
      <c r="G7372" t="str">
        <f>CHOOSE(WEEKDAY(A7372,2),"Mon","Tue","Wed","Thu","Fri","Sat","Sun")</f>
        <v>Tue</v>
      </c>
      <c r="H7372" t="str">
        <f>IF(WEEKDAY(A7372,2)&gt;5,"Weekend","Weekday")</f>
        <v>Weekday</v>
      </c>
      <c r="I7372" t="str">
        <f>_xlfn.IFS(B7372&lt;=5,"Night (0-5)",B7372&lt;=9,"Morning peak (6-9)",B7372&lt;=15,"Midday (10-15)",B7372&lt;=19,"Evening peak (16-19)",TRUE,"Late evening (20-23)")</f>
        <v>Midday (10-15)</v>
      </c>
    </row>
    <row r="7373" spans="1:9">
      <c r="A7373" s="32">
        <v>42129</v>
      </c>
      <c r="B7373">
        <v>14</v>
      </c>
      <c r="C7373">
        <v>3097</v>
      </c>
      <c r="D7373" t="s">
        <v>304</v>
      </c>
      <c r="E7373">
        <f>YEAR(A7373)</f>
        <v>2015</v>
      </c>
      <c r="F7373" s="33">
        <f>DATE(YEAR(A7373),MONTH(A7373),1)</f>
        <v>42125.0</v>
      </c>
      <c r="G7373" t="str">
        <f>CHOOSE(WEEKDAY(A7373,2),"Mon","Tue","Wed","Thu","Fri","Sat","Sun")</f>
        <v>Tue</v>
      </c>
      <c r="H7373" t="str">
        <f>IF(WEEKDAY(A7373,2)&gt;5,"Weekend","Weekday")</f>
        <v>Weekday</v>
      </c>
      <c r="I7373" t="str">
        <f>_xlfn.IFS(B7373&lt;=5,"Night (0-5)",B7373&lt;=9,"Morning peak (6-9)",B7373&lt;=15,"Midday (10-15)",B7373&lt;=19,"Evening peak (16-19)",TRUE,"Late evening (20-23)")</f>
        <v>Midday (10-15)</v>
      </c>
    </row>
    <row r="7374" spans="1:9">
      <c r="A7374" s="32">
        <v>42129</v>
      </c>
      <c r="B7374">
        <v>15</v>
      </c>
      <c r="C7374">
        <v>3528</v>
      </c>
      <c r="D7374" t="s">
        <v>304</v>
      </c>
      <c r="E7374">
        <f>YEAR(A7374)</f>
        <v>2015</v>
      </c>
      <c r="F7374" s="33">
        <f>DATE(YEAR(A7374),MONTH(A7374),1)</f>
        <v>42125.0</v>
      </c>
      <c r="G7374" t="str">
        <f>CHOOSE(WEEKDAY(A7374,2),"Mon","Tue","Wed","Thu","Fri","Sat","Sun")</f>
        <v>Tue</v>
      </c>
      <c r="H7374" t="str">
        <f>IF(WEEKDAY(A7374,2)&gt;5,"Weekend","Weekday")</f>
        <v>Weekday</v>
      </c>
      <c r="I7374" t="str">
        <f>_xlfn.IFS(B7374&lt;=5,"Night (0-5)",B7374&lt;=9,"Morning peak (6-9)",B7374&lt;=15,"Midday (10-15)",B7374&lt;=19,"Evening peak (16-19)",TRUE,"Late evening (20-23)")</f>
        <v>Midday (10-15)</v>
      </c>
    </row>
    <row r="7375" spans="1:9">
      <c r="A7375" s="32">
        <v>42129</v>
      </c>
      <c r="B7375">
        <v>16</v>
      </c>
      <c r="C7375">
        <v>4051</v>
      </c>
      <c r="D7375" t="s">
        <v>304</v>
      </c>
      <c r="E7375">
        <f>YEAR(A7375)</f>
        <v>2015</v>
      </c>
      <c r="F7375" s="33">
        <f>DATE(YEAR(A7375),MONTH(A7375),1)</f>
        <v>42125.0</v>
      </c>
      <c r="G7375" t="str">
        <f>CHOOSE(WEEKDAY(A7375,2),"Mon","Tue","Wed","Thu","Fri","Sat","Sun")</f>
        <v>Tue</v>
      </c>
      <c r="H7375" t="str">
        <f>IF(WEEKDAY(A7375,2)&gt;5,"Weekend","Weekday")</f>
        <v>Weekday</v>
      </c>
      <c r="I7375" t="str">
        <f>_xlfn.IFS(B7375&lt;=5,"Night (0-5)",B7375&lt;=9,"Morning peak (6-9)",B7375&lt;=15,"Midday (10-15)",B7375&lt;=19,"Evening peak (16-19)",TRUE,"Late evening (20-23)")</f>
        <v>Evening peak (16-19)</v>
      </c>
    </row>
    <row r="7376" spans="1:9">
      <c r="A7376" s="32">
        <v>42129</v>
      </c>
      <c r="B7376">
        <v>17</v>
      </c>
      <c r="C7376">
        <v>4758</v>
      </c>
      <c r="D7376" t="s">
        <v>304</v>
      </c>
      <c r="E7376">
        <f>YEAR(A7376)</f>
        <v>2015</v>
      </c>
      <c r="F7376" s="33">
        <f>DATE(YEAR(A7376),MONTH(A7376),1)</f>
        <v>42125.0</v>
      </c>
      <c r="G7376" t="str">
        <f>CHOOSE(WEEKDAY(A7376,2),"Mon","Tue","Wed","Thu","Fri","Sat","Sun")</f>
        <v>Tue</v>
      </c>
      <c r="H7376" t="str">
        <f>IF(WEEKDAY(A7376,2)&gt;5,"Weekend","Weekday")</f>
        <v>Weekday</v>
      </c>
      <c r="I7376" t="str">
        <f>_xlfn.IFS(B7376&lt;=5,"Night (0-5)",B7376&lt;=9,"Morning peak (6-9)",B7376&lt;=15,"Midday (10-15)",B7376&lt;=19,"Evening peak (16-19)",TRUE,"Late evening (20-23)")</f>
        <v>Evening peak (16-19)</v>
      </c>
    </row>
    <row r="7377" spans="1:9">
      <c r="A7377" s="32">
        <v>42129</v>
      </c>
      <c r="B7377">
        <v>18</v>
      </c>
      <c r="C7377">
        <v>5940</v>
      </c>
      <c r="D7377" t="s">
        <v>304</v>
      </c>
      <c r="E7377">
        <f>YEAR(A7377)</f>
        <v>2015</v>
      </c>
      <c r="F7377" s="33">
        <f>DATE(YEAR(A7377),MONTH(A7377),1)</f>
        <v>42125.0</v>
      </c>
      <c r="G7377" t="str">
        <f>CHOOSE(WEEKDAY(A7377,2),"Mon","Tue","Wed","Thu","Fri","Sat","Sun")</f>
        <v>Tue</v>
      </c>
      <c r="H7377" t="str">
        <f>IF(WEEKDAY(A7377,2)&gt;5,"Weekend","Weekday")</f>
        <v>Weekday</v>
      </c>
      <c r="I7377" t="str">
        <f>_xlfn.IFS(B7377&lt;=5,"Night (0-5)",B7377&lt;=9,"Morning peak (6-9)",B7377&lt;=15,"Midday (10-15)",B7377&lt;=19,"Evening peak (16-19)",TRUE,"Late evening (20-23)")</f>
        <v>Evening peak (16-19)</v>
      </c>
    </row>
    <row r="7378" spans="1:9">
      <c r="A7378" s="32">
        <v>42129</v>
      </c>
      <c r="B7378">
        <v>19</v>
      </c>
      <c r="C7378">
        <v>5490</v>
      </c>
      <c r="D7378" t="s">
        <v>304</v>
      </c>
      <c r="E7378">
        <f>YEAR(A7378)</f>
        <v>2015</v>
      </c>
      <c r="F7378" s="33">
        <f>DATE(YEAR(A7378),MONTH(A7378),1)</f>
        <v>42125.0</v>
      </c>
      <c r="G7378" t="str">
        <f>CHOOSE(WEEKDAY(A7378,2),"Mon","Tue","Wed","Thu","Fri","Sat","Sun")</f>
        <v>Tue</v>
      </c>
      <c r="H7378" t="str">
        <f>IF(WEEKDAY(A7378,2)&gt;5,"Weekend","Weekday")</f>
        <v>Weekday</v>
      </c>
      <c r="I7378" t="str">
        <f>_xlfn.IFS(B7378&lt;=5,"Night (0-5)",B7378&lt;=9,"Morning peak (6-9)",B7378&lt;=15,"Midday (10-15)",B7378&lt;=19,"Evening peak (16-19)",TRUE,"Late evening (20-23)")</f>
        <v>Evening peak (16-19)</v>
      </c>
    </row>
    <row r="7379" spans="1:9">
      <c r="A7379" s="32">
        <v>42129</v>
      </c>
      <c r="B7379">
        <v>20</v>
      </c>
      <c r="C7379">
        <v>5226</v>
      </c>
      <c r="D7379" t="s">
        <v>304</v>
      </c>
      <c r="E7379">
        <f>YEAR(A7379)</f>
        <v>2015</v>
      </c>
      <c r="F7379" s="33">
        <f>DATE(YEAR(A7379),MONTH(A7379),1)</f>
        <v>42125.0</v>
      </c>
      <c r="G7379" t="str">
        <f>CHOOSE(WEEKDAY(A7379,2),"Mon","Tue","Wed","Thu","Fri","Sat","Sun")</f>
        <v>Tue</v>
      </c>
      <c r="H7379" t="str">
        <f>IF(WEEKDAY(A7379,2)&gt;5,"Weekend","Weekday")</f>
        <v>Weekday</v>
      </c>
      <c r="I7379" t="str">
        <f>_xlfn.IFS(B7379&lt;=5,"Night (0-5)",B7379&lt;=9,"Morning peak (6-9)",B7379&lt;=15,"Midday (10-15)",B7379&lt;=19,"Evening peak (16-19)",TRUE,"Late evening (20-23)")</f>
        <v>Late evening (20-23)</v>
      </c>
    </row>
    <row r="7380" spans="1:9">
      <c r="A7380" s="32">
        <v>42129</v>
      </c>
      <c r="B7380">
        <v>21</v>
      </c>
      <c r="C7380">
        <v>5418</v>
      </c>
      <c r="D7380" t="s">
        <v>304</v>
      </c>
      <c r="E7380">
        <f>YEAR(A7380)</f>
        <v>2015</v>
      </c>
      <c r="F7380" s="33">
        <f>DATE(YEAR(A7380),MONTH(A7380),1)</f>
        <v>42125.0</v>
      </c>
      <c r="G7380" t="str">
        <f>CHOOSE(WEEKDAY(A7380,2),"Mon","Tue","Wed","Thu","Fri","Sat","Sun")</f>
        <v>Tue</v>
      </c>
      <c r="H7380" t="str">
        <f>IF(WEEKDAY(A7380,2)&gt;5,"Weekend","Weekday")</f>
        <v>Weekday</v>
      </c>
      <c r="I7380" t="str">
        <f>_xlfn.IFS(B7380&lt;=5,"Night (0-5)",B7380&lt;=9,"Morning peak (6-9)",B7380&lt;=15,"Midday (10-15)",B7380&lt;=19,"Evening peak (16-19)",TRUE,"Late evening (20-23)")</f>
        <v>Late evening (20-23)</v>
      </c>
    </row>
    <row r="7381" spans="1:9">
      <c r="A7381" s="32">
        <v>42129</v>
      </c>
      <c r="B7381">
        <v>22</v>
      </c>
      <c r="C7381">
        <v>5309</v>
      </c>
      <c r="D7381" t="s">
        <v>304</v>
      </c>
      <c r="E7381">
        <f>YEAR(A7381)</f>
        <v>2015</v>
      </c>
      <c r="F7381" s="33">
        <f>DATE(YEAR(A7381),MONTH(A7381),1)</f>
        <v>42125.0</v>
      </c>
      <c r="G7381" t="str">
        <f>CHOOSE(WEEKDAY(A7381,2),"Mon","Tue","Wed","Thu","Fri","Sat","Sun")</f>
        <v>Tue</v>
      </c>
      <c r="H7381" t="str">
        <f>IF(WEEKDAY(A7381,2)&gt;5,"Weekend","Weekday")</f>
        <v>Weekday</v>
      </c>
      <c r="I7381" t="str">
        <f>_xlfn.IFS(B7381&lt;=5,"Night (0-5)",B7381&lt;=9,"Morning peak (6-9)",B7381&lt;=15,"Midday (10-15)",B7381&lt;=19,"Evening peak (16-19)",TRUE,"Late evening (20-23)")</f>
        <v>Late evening (20-23)</v>
      </c>
    </row>
    <row r="7382" spans="1:9">
      <c r="A7382" s="32">
        <v>42129</v>
      </c>
      <c r="B7382">
        <v>23</v>
      </c>
      <c r="C7382">
        <v>4226</v>
      </c>
      <c r="D7382" t="s">
        <v>304</v>
      </c>
      <c r="E7382">
        <f>YEAR(A7382)</f>
        <v>2015</v>
      </c>
      <c r="F7382" s="33">
        <f>DATE(YEAR(A7382),MONTH(A7382),1)</f>
        <v>42125.0</v>
      </c>
      <c r="G7382" t="str">
        <f>CHOOSE(WEEKDAY(A7382,2),"Mon","Tue","Wed","Thu","Fri","Sat","Sun")</f>
        <v>Tue</v>
      </c>
      <c r="H7382" t="str">
        <f>IF(WEEKDAY(A7382,2)&gt;5,"Weekend","Weekday")</f>
        <v>Weekday</v>
      </c>
      <c r="I7382" t="str">
        <f>_xlfn.IFS(B7382&lt;=5,"Night (0-5)",B7382&lt;=9,"Morning peak (6-9)",B7382&lt;=15,"Midday (10-15)",B7382&lt;=19,"Evening peak (16-19)",TRUE,"Late evening (20-23)")</f>
        <v>Late evening (20-23)</v>
      </c>
    </row>
    <row r="7383" spans="1:9">
      <c r="A7383" s="32">
        <v>42130</v>
      </c>
      <c r="B7383">
        <v>0</v>
      </c>
      <c r="C7383">
        <v>2750</v>
      </c>
      <c r="D7383" t="s">
        <v>304</v>
      </c>
      <c r="E7383">
        <f>YEAR(A7383)</f>
        <v>2015</v>
      </c>
      <c r="F7383" s="33">
        <f>DATE(YEAR(A7383),MONTH(A7383),1)</f>
        <v>42125.0</v>
      </c>
      <c r="G7383" t="str">
        <f>CHOOSE(WEEKDAY(A7383,2),"Mon","Tue","Wed","Thu","Fri","Sat","Sun")</f>
        <v>Wed</v>
      </c>
      <c r="H7383" t="str">
        <f>IF(WEEKDAY(A7383,2)&gt;5,"Weekend","Weekday")</f>
        <v>Weekday</v>
      </c>
      <c r="I7383" t="str">
        <f>_xlfn.IFS(B7383&lt;=5,"Night (0-5)",B7383&lt;=9,"Morning peak (6-9)",B7383&lt;=15,"Midday (10-15)",B7383&lt;=19,"Evening peak (16-19)",TRUE,"Late evening (20-23)")</f>
        <v>Night (0-5)</v>
      </c>
    </row>
    <row r="7384" spans="1:9">
      <c r="A7384" s="32">
        <v>42130</v>
      </c>
      <c r="B7384">
        <v>1</v>
      </c>
      <c r="C7384">
        <v>1527</v>
      </c>
      <c r="D7384" t="s">
        <v>304</v>
      </c>
      <c r="E7384">
        <f>YEAR(A7384)</f>
        <v>2015</v>
      </c>
      <c r="F7384" s="33">
        <f>DATE(YEAR(A7384),MONTH(A7384),1)</f>
        <v>42125.0</v>
      </c>
      <c r="G7384" t="str">
        <f>CHOOSE(WEEKDAY(A7384,2),"Mon","Tue","Wed","Thu","Fri","Sat","Sun")</f>
        <v>Wed</v>
      </c>
      <c r="H7384" t="str">
        <f>IF(WEEKDAY(A7384,2)&gt;5,"Weekend","Weekday")</f>
        <v>Weekday</v>
      </c>
      <c r="I7384" t="str">
        <f>_xlfn.IFS(B7384&lt;=5,"Night (0-5)",B7384&lt;=9,"Morning peak (6-9)",B7384&lt;=15,"Midday (10-15)",B7384&lt;=19,"Evening peak (16-19)",TRUE,"Late evening (20-23)")</f>
        <v>Night (0-5)</v>
      </c>
    </row>
    <row r="7385" spans="1:9">
      <c r="A7385" s="32">
        <v>42130</v>
      </c>
      <c r="B7385">
        <v>2</v>
      </c>
      <c r="C7385">
        <v>777</v>
      </c>
      <c r="D7385" t="s">
        <v>304</v>
      </c>
      <c r="E7385">
        <f>YEAR(A7385)</f>
        <v>2015</v>
      </c>
      <c r="F7385" s="33">
        <f>DATE(YEAR(A7385),MONTH(A7385),1)</f>
        <v>42125.0</v>
      </c>
      <c r="G7385" t="str">
        <f>CHOOSE(WEEKDAY(A7385,2),"Mon","Tue","Wed","Thu","Fri","Sat","Sun")</f>
        <v>Wed</v>
      </c>
      <c r="H7385" t="str">
        <f>IF(WEEKDAY(A7385,2)&gt;5,"Weekend","Weekday")</f>
        <v>Weekday</v>
      </c>
      <c r="I7385" t="str">
        <f>_xlfn.IFS(B7385&lt;=5,"Night (0-5)",B7385&lt;=9,"Morning peak (6-9)",B7385&lt;=15,"Midday (10-15)",B7385&lt;=19,"Evening peak (16-19)",TRUE,"Late evening (20-23)")</f>
        <v>Night (0-5)</v>
      </c>
    </row>
    <row r="7386" spans="1:9">
      <c r="A7386" s="32">
        <v>42130</v>
      </c>
      <c r="B7386">
        <v>3</v>
      </c>
      <c r="C7386">
        <v>569</v>
      </c>
      <c r="D7386" t="s">
        <v>304</v>
      </c>
      <c r="E7386">
        <f>YEAR(A7386)</f>
        <v>2015</v>
      </c>
      <c r="F7386" s="33">
        <f>DATE(YEAR(A7386),MONTH(A7386),1)</f>
        <v>42125.0</v>
      </c>
      <c r="G7386" t="str">
        <f>CHOOSE(WEEKDAY(A7386,2),"Mon","Tue","Wed","Thu","Fri","Sat","Sun")</f>
        <v>Wed</v>
      </c>
      <c r="H7386" t="str">
        <f>IF(WEEKDAY(A7386,2)&gt;5,"Weekend","Weekday")</f>
        <v>Weekday</v>
      </c>
      <c r="I7386" t="str">
        <f>_xlfn.IFS(B7386&lt;=5,"Night (0-5)",B7386&lt;=9,"Morning peak (6-9)",B7386&lt;=15,"Midday (10-15)",B7386&lt;=19,"Evening peak (16-19)",TRUE,"Late evening (20-23)")</f>
        <v>Night (0-5)</v>
      </c>
    </row>
    <row r="7387" spans="1:9">
      <c r="A7387" s="32">
        <v>42130</v>
      </c>
      <c r="B7387">
        <v>4</v>
      </c>
      <c r="C7387">
        <v>716</v>
      </c>
      <c r="D7387" t="s">
        <v>304</v>
      </c>
      <c r="E7387">
        <f>YEAR(A7387)</f>
        <v>2015</v>
      </c>
      <c r="F7387" s="33">
        <f>DATE(YEAR(A7387),MONTH(A7387),1)</f>
        <v>42125.0</v>
      </c>
      <c r="G7387" t="str">
        <f>CHOOSE(WEEKDAY(A7387,2),"Mon","Tue","Wed","Thu","Fri","Sat","Sun")</f>
        <v>Wed</v>
      </c>
      <c r="H7387" t="str">
        <f>IF(WEEKDAY(A7387,2)&gt;5,"Weekend","Weekday")</f>
        <v>Weekday</v>
      </c>
      <c r="I7387" t="str">
        <f>_xlfn.IFS(B7387&lt;=5,"Night (0-5)",B7387&lt;=9,"Morning peak (6-9)",B7387&lt;=15,"Midday (10-15)",B7387&lt;=19,"Evening peak (16-19)",TRUE,"Late evening (20-23)")</f>
        <v>Night (0-5)</v>
      </c>
    </row>
    <row r="7388" spans="1:9">
      <c r="A7388" s="32">
        <v>42130</v>
      </c>
      <c r="B7388">
        <v>5</v>
      </c>
      <c r="C7388">
        <v>1128</v>
      </c>
      <c r="D7388" t="s">
        <v>304</v>
      </c>
      <c r="E7388">
        <f>YEAR(A7388)</f>
        <v>2015</v>
      </c>
      <c r="F7388" s="33">
        <f>DATE(YEAR(A7388),MONTH(A7388),1)</f>
        <v>42125.0</v>
      </c>
      <c r="G7388" t="str">
        <f>CHOOSE(WEEKDAY(A7388,2),"Mon","Tue","Wed","Thu","Fri","Sat","Sun")</f>
        <v>Wed</v>
      </c>
      <c r="H7388" t="str">
        <f>IF(WEEKDAY(A7388,2)&gt;5,"Weekend","Weekday")</f>
        <v>Weekday</v>
      </c>
      <c r="I7388" t="str">
        <f>_xlfn.IFS(B7388&lt;=5,"Night (0-5)",B7388&lt;=9,"Morning peak (6-9)",B7388&lt;=15,"Midday (10-15)",B7388&lt;=19,"Evening peak (16-19)",TRUE,"Late evening (20-23)")</f>
        <v>Night (0-5)</v>
      </c>
    </row>
    <row r="7389" spans="1:9">
      <c r="A7389" s="32">
        <v>42130</v>
      </c>
      <c r="B7389">
        <v>6</v>
      </c>
      <c r="C7389">
        <v>2014</v>
      </c>
      <c r="D7389" t="s">
        <v>304</v>
      </c>
      <c r="E7389">
        <f>YEAR(A7389)</f>
        <v>2015</v>
      </c>
      <c r="F7389" s="33">
        <f>DATE(YEAR(A7389),MONTH(A7389),1)</f>
        <v>42125.0</v>
      </c>
      <c r="G7389" t="str">
        <f>CHOOSE(WEEKDAY(A7389,2),"Mon","Tue","Wed","Thu","Fri","Sat","Sun")</f>
        <v>Wed</v>
      </c>
      <c r="H7389" t="str">
        <f>IF(WEEKDAY(A7389,2)&gt;5,"Weekend","Weekday")</f>
        <v>Weekday</v>
      </c>
      <c r="I7389" t="str">
        <f>_xlfn.IFS(B7389&lt;=5,"Night (0-5)",B7389&lt;=9,"Morning peak (6-9)",B7389&lt;=15,"Midday (10-15)",B7389&lt;=19,"Evening peak (16-19)",TRUE,"Late evening (20-23)")</f>
        <v>Morning peak (6-9)</v>
      </c>
    </row>
    <row r="7390" spans="1:9">
      <c r="A7390" s="32">
        <v>42130</v>
      </c>
      <c r="B7390">
        <v>7</v>
      </c>
      <c r="C7390">
        <v>3576</v>
      </c>
      <c r="D7390" t="s">
        <v>304</v>
      </c>
      <c r="E7390">
        <f>YEAR(A7390)</f>
        <v>2015</v>
      </c>
      <c r="F7390" s="33">
        <f>DATE(YEAR(A7390),MONTH(A7390),1)</f>
        <v>42125.0</v>
      </c>
      <c r="G7390" t="str">
        <f>CHOOSE(WEEKDAY(A7390,2),"Mon","Tue","Wed","Thu","Fri","Sat","Sun")</f>
        <v>Wed</v>
      </c>
      <c r="H7390" t="str">
        <f>IF(WEEKDAY(A7390,2)&gt;5,"Weekend","Weekday")</f>
        <v>Weekday</v>
      </c>
      <c r="I7390" t="str">
        <f>_xlfn.IFS(B7390&lt;=5,"Night (0-5)",B7390&lt;=9,"Morning peak (6-9)",B7390&lt;=15,"Midday (10-15)",B7390&lt;=19,"Evening peak (16-19)",TRUE,"Late evening (20-23)")</f>
        <v>Morning peak (6-9)</v>
      </c>
    </row>
    <row r="7391" spans="1:9">
      <c r="A7391" s="32">
        <v>42130</v>
      </c>
      <c r="B7391">
        <v>8</v>
      </c>
      <c r="C7391">
        <v>4413</v>
      </c>
      <c r="D7391" t="s">
        <v>304</v>
      </c>
      <c r="E7391">
        <f>YEAR(A7391)</f>
        <v>2015</v>
      </c>
      <c r="F7391" s="33">
        <f>DATE(YEAR(A7391),MONTH(A7391),1)</f>
        <v>42125.0</v>
      </c>
      <c r="G7391" t="str">
        <f>CHOOSE(WEEKDAY(A7391,2),"Mon","Tue","Wed","Thu","Fri","Sat","Sun")</f>
        <v>Wed</v>
      </c>
      <c r="H7391" t="str">
        <f>IF(WEEKDAY(A7391,2)&gt;5,"Weekend","Weekday")</f>
        <v>Weekday</v>
      </c>
      <c r="I7391" t="str">
        <f>_xlfn.IFS(B7391&lt;=5,"Night (0-5)",B7391&lt;=9,"Morning peak (6-9)",B7391&lt;=15,"Midday (10-15)",B7391&lt;=19,"Evening peak (16-19)",TRUE,"Late evening (20-23)")</f>
        <v>Morning peak (6-9)</v>
      </c>
    </row>
    <row r="7392" spans="1:9">
      <c r="A7392" s="32">
        <v>42130</v>
      </c>
      <c r="B7392">
        <v>9</v>
      </c>
      <c r="C7392">
        <v>4369</v>
      </c>
      <c r="D7392" t="s">
        <v>304</v>
      </c>
      <c r="E7392">
        <f>YEAR(A7392)</f>
        <v>2015</v>
      </c>
      <c r="F7392" s="33">
        <f>DATE(YEAR(A7392),MONTH(A7392),1)</f>
        <v>42125.0</v>
      </c>
      <c r="G7392" t="str">
        <f>CHOOSE(WEEKDAY(A7392,2),"Mon","Tue","Wed","Thu","Fri","Sat","Sun")</f>
        <v>Wed</v>
      </c>
      <c r="H7392" t="str">
        <f>IF(WEEKDAY(A7392,2)&gt;5,"Weekend","Weekday")</f>
        <v>Weekday</v>
      </c>
      <c r="I7392" t="str">
        <f>_xlfn.IFS(B7392&lt;=5,"Night (0-5)",B7392&lt;=9,"Morning peak (6-9)",B7392&lt;=15,"Midday (10-15)",B7392&lt;=19,"Evening peak (16-19)",TRUE,"Late evening (20-23)")</f>
        <v>Morning peak (6-9)</v>
      </c>
    </row>
    <row r="7393" spans="1:9">
      <c r="A7393" s="32">
        <v>42130</v>
      </c>
      <c r="B7393">
        <v>10</v>
      </c>
      <c r="C7393">
        <v>3333</v>
      </c>
      <c r="D7393" t="s">
        <v>304</v>
      </c>
      <c r="E7393">
        <f>YEAR(A7393)</f>
        <v>2015</v>
      </c>
      <c r="F7393" s="33">
        <f>DATE(YEAR(A7393),MONTH(A7393),1)</f>
        <v>42125.0</v>
      </c>
      <c r="G7393" t="str">
        <f>CHOOSE(WEEKDAY(A7393,2),"Mon","Tue","Wed","Thu","Fri","Sat","Sun")</f>
        <v>Wed</v>
      </c>
      <c r="H7393" t="str">
        <f>IF(WEEKDAY(A7393,2)&gt;5,"Weekend","Weekday")</f>
        <v>Weekday</v>
      </c>
      <c r="I7393" t="str">
        <f>_xlfn.IFS(B7393&lt;=5,"Night (0-5)",B7393&lt;=9,"Morning peak (6-9)",B7393&lt;=15,"Midday (10-15)",B7393&lt;=19,"Evening peak (16-19)",TRUE,"Late evening (20-23)")</f>
        <v>Midday (10-15)</v>
      </c>
    </row>
    <row r="7394" spans="1:9">
      <c r="A7394" s="32">
        <v>42130</v>
      </c>
      <c r="B7394">
        <v>11</v>
      </c>
      <c r="C7394">
        <v>3094</v>
      </c>
      <c r="D7394" t="s">
        <v>304</v>
      </c>
      <c r="E7394">
        <f>YEAR(A7394)</f>
        <v>2015</v>
      </c>
      <c r="F7394" s="33">
        <f>DATE(YEAR(A7394),MONTH(A7394),1)</f>
        <v>42125.0</v>
      </c>
      <c r="G7394" t="str">
        <f>CHOOSE(WEEKDAY(A7394,2),"Mon","Tue","Wed","Thu","Fri","Sat","Sun")</f>
        <v>Wed</v>
      </c>
      <c r="H7394" t="str">
        <f>IF(WEEKDAY(A7394,2)&gt;5,"Weekend","Weekday")</f>
        <v>Weekday</v>
      </c>
      <c r="I7394" t="str">
        <f>_xlfn.IFS(B7394&lt;=5,"Night (0-5)",B7394&lt;=9,"Morning peak (6-9)",B7394&lt;=15,"Midday (10-15)",B7394&lt;=19,"Evening peak (16-19)",TRUE,"Late evening (20-23)")</f>
        <v>Midday (10-15)</v>
      </c>
    </row>
    <row r="7395" spans="1:9">
      <c r="A7395" s="32">
        <v>42130</v>
      </c>
      <c r="B7395">
        <v>12</v>
      </c>
      <c r="C7395">
        <v>2870</v>
      </c>
      <c r="D7395" t="s">
        <v>304</v>
      </c>
      <c r="E7395">
        <f>YEAR(A7395)</f>
        <v>2015</v>
      </c>
      <c r="F7395" s="33">
        <f>DATE(YEAR(A7395),MONTH(A7395),1)</f>
        <v>42125.0</v>
      </c>
      <c r="G7395" t="str">
        <f>CHOOSE(WEEKDAY(A7395,2),"Mon","Tue","Wed","Thu","Fri","Sat","Sun")</f>
        <v>Wed</v>
      </c>
      <c r="H7395" t="str">
        <f>IF(WEEKDAY(A7395,2)&gt;5,"Weekend","Weekday")</f>
        <v>Weekday</v>
      </c>
      <c r="I7395" t="str">
        <f>_xlfn.IFS(B7395&lt;=5,"Night (0-5)",B7395&lt;=9,"Morning peak (6-9)",B7395&lt;=15,"Midday (10-15)",B7395&lt;=19,"Evening peak (16-19)",TRUE,"Late evening (20-23)")</f>
        <v>Midday (10-15)</v>
      </c>
    </row>
    <row r="7396" spans="1:9">
      <c r="A7396" s="32">
        <v>42130</v>
      </c>
      <c r="B7396">
        <v>13</v>
      </c>
      <c r="C7396">
        <v>2820</v>
      </c>
      <c r="D7396" t="s">
        <v>304</v>
      </c>
      <c r="E7396">
        <f>YEAR(A7396)</f>
        <v>2015</v>
      </c>
      <c r="F7396" s="33">
        <f>DATE(YEAR(A7396),MONTH(A7396),1)</f>
        <v>42125.0</v>
      </c>
      <c r="G7396" t="str">
        <f>CHOOSE(WEEKDAY(A7396,2),"Mon","Tue","Wed","Thu","Fri","Sat","Sun")</f>
        <v>Wed</v>
      </c>
      <c r="H7396" t="str">
        <f>IF(WEEKDAY(A7396,2)&gt;5,"Weekend","Weekday")</f>
        <v>Weekday</v>
      </c>
      <c r="I7396" t="str">
        <f>_xlfn.IFS(B7396&lt;=5,"Night (0-5)",B7396&lt;=9,"Morning peak (6-9)",B7396&lt;=15,"Midday (10-15)",B7396&lt;=19,"Evening peak (16-19)",TRUE,"Late evening (20-23)")</f>
        <v>Midday (10-15)</v>
      </c>
    </row>
    <row r="7397" spans="1:9">
      <c r="A7397" s="32">
        <v>42130</v>
      </c>
      <c r="B7397">
        <v>14</v>
      </c>
      <c r="C7397">
        <v>3304</v>
      </c>
      <c r="D7397" t="s">
        <v>304</v>
      </c>
      <c r="E7397">
        <f>YEAR(A7397)</f>
        <v>2015</v>
      </c>
      <c r="F7397" s="33">
        <f>DATE(YEAR(A7397),MONTH(A7397),1)</f>
        <v>42125.0</v>
      </c>
      <c r="G7397" t="str">
        <f>CHOOSE(WEEKDAY(A7397,2),"Mon","Tue","Wed","Thu","Fri","Sat","Sun")</f>
        <v>Wed</v>
      </c>
      <c r="H7397" t="str">
        <f>IF(WEEKDAY(A7397,2)&gt;5,"Weekend","Weekday")</f>
        <v>Weekday</v>
      </c>
      <c r="I7397" t="str">
        <f>_xlfn.IFS(B7397&lt;=5,"Night (0-5)",B7397&lt;=9,"Morning peak (6-9)",B7397&lt;=15,"Midday (10-15)",B7397&lt;=19,"Evening peak (16-19)",TRUE,"Late evening (20-23)")</f>
        <v>Midday (10-15)</v>
      </c>
    </row>
    <row r="7398" spans="1:9">
      <c r="A7398" s="32">
        <v>42130</v>
      </c>
      <c r="B7398">
        <v>15</v>
      </c>
      <c r="C7398">
        <v>3608</v>
      </c>
      <c r="D7398" t="s">
        <v>304</v>
      </c>
      <c r="E7398">
        <f>YEAR(A7398)</f>
        <v>2015</v>
      </c>
      <c r="F7398" s="33">
        <f>DATE(YEAR(A7398),MONTH(A7398),1)</f>
        <v>42125.0</v>
      </c>
      <c r="G7398" t="str">
        <f>CHOOSE(WEEKDAY(A7398,2),"Mon","Tue","Wed","Thu","Fri","Sat","Sun")</f>
        <v>Wed</v>
      </c>
      <c r="H7398" t="str">
        <f>IF(WEEKDAY(A7398,2)&gt;5,"Weekend","Weekday")</f>
        <v>Weekday</v>
      </c>
      <c r="I7398" t="str">
        <f>_xlfn.IFS(B7398&lt;=5,"Night (0-5)",B7398&lt;=9,"Morning peak (6-9)",B7398&lt;=15,"Midday (10-15)",B7398&lt;=19,"Evening peak (16-19)",TRUE,"Late evening (20-23)")</f>
        <v>Midday (10-15)</v>
      </c>
    </row>
    <row r="7399" spans="1:9">
      <c r="A7399" s="32">
        <v>42130</v>
      </c>
      <c r="B7399">
        <v>16</v>
      </c>
      <c r="C7399">
        <v>4077</v>
      </c>
      <c r="D7399" t="s">
        <v>304</v>
      </c>
      <c r="E7399">
        <f>YEAR(A7399)</f>
        <v>2015</v>
      </c>
      <c r="F7399" s="33">
        <f>DATE(YEAR(A7399),MONTH(A7399),1)</f>
        <v>42125.0</v>
      </c>
      <c r="G7399" t="str">
        <f>CHOOSE(WEEKDAY(A7399,2),"Mon","Tue","Wed","Thu","Fri","Sat","Sun")</f>
        <v>Wed</v>
      </c>
      <c r="H7399" t="str">
        <f>IF(WEEKDAY(A7399,2)&gt;5,"Weekend","Weekday")</f>
        <v>Weekday</v>
      </c>
      <c r="I7399" t="str">
        <f>_xlfn.IFS(B7399&lt;=5,"Night (0-5)",B7399&lt;=9,"Morning peak (6-9)",B7399&lt;=15,"Midday (10-15)",B7399&lt;=19,"Evening peak (16-19)",TRUE,"Late evening (20-23)")</f>
        <v>Evening peak (16-19)</v>
      </c>
    </row>
    <row r="7400" spans="1:9">
      <c r="A7400" s="32">
        <v>42130</v>
      </c>
      <c r="B7400">
        <v>17</v>
      </c>
      <c r="C7400">
        <v>4780</v>
      </c>
      <c r="D7400" t="s">
        <v>304</v>
      </c>
      <c r="E7400">
        <f>YEAR(A7400)</f>
        <v>2015</v>
      </c>
      <c r="F7400" s="33">
        <f>DATE(YEAR(A7400),MONTH(A7400),1)</f>
        <v>42125.0</v>
      </c>
      <c r="G7400" t="str">
        <f>CHOOSE(WEEKDAY(A7400,2),"Mon","Tue","Wed","Thu","Fri","Sat","Sun")</f>
        <v>Wed</v>
      </c>
      <c r="H7400" t="str">
        <f>IF(WEEKDAY(A7400,2)&gt;5,"Weekend","Weekday")</f>
        <v>Weekday</v>
      </c>
      <c r="I7400" t="str">
        <f>_xlfn.IFS(B7400&lt;=5,"Night (0-5)",B7400&lt;=9,"Morning peak (6-9)",B7400&lt;=15,"Midday (10-15)",B7400&lt;=19,"Evening peak (16-19)",TRUE,"Late evening (20-23)")</f>
        <v>Evening peak (16-19)</v>
      </c>
    </row>
    <row r="7401" spans="1:9">
      <c r="A7401" s="32">
        <v>42130</v>
      </c>
      <c r="B7401">
        <v>18</v>
      </c>
      <c r="C7401">
        <v>5583</v>
      </c>
      <c r="D7401" t="s">
        <v>304</v>
      </c>
      <c r="E7401">
        <f>YEAR(A7401)</f>
        <v>2015</v>
      </c>
      <c r="F7401" s="33">
        <f>DATE(YEAR(A7401),MONTH(A7401),1)</f>
        <v>42125.0</v>
      </c>
      <c r="G7401" t="str">
        <f>CHOOSE(WEEKDAY(A7401,2),"Mon","Tue","Wed","Thu","Fri","Sat","Sun")</f>
        <v>Wed</v>
      </c>
      <c r="H7401" t="str">
        <f>IF(WEEKDAY(A7401,2)&gt;5,"Weekend","Weekday")</f>
        <v>Weekday</v>
      </c>
      <c r="I7401" t="str">
        <f>_xlfn.IFS(B7401&lt;=5,"Night (0-5)",B7401&lt;=9,"Morning peak (6-9)",B7401&lt;=15,"Midday (10-15)",B7401&lt;=19,"Evening peak (16-19)",TRUE,"Late evening (20-23)")</f>
        <v>Evening peak (16-19)</v>
      </c>
    </row>
    <row r="7402" spans="1:9">
      <c r="A7402" s="32">
        <v>42130</v>
      </c>
      <c r="B7402">
        <v>19</v>
      </c>
      <c r="C7402">
        <v>5175</v>
      </c>
      <c r="D7402" t="s">
        <v>304</v>
      </c>
      <c r="E7402">
        <f>YEAR(A7402)</f>
        <v>2015</v>
      </c>
      <c r="F7402" s="33">
        <f>DATE(YEAR(A7402),MONTH(A7402),1)</f>
        <v>42125.0</v>
      </c>
      <c r="G7402" t="str">
        <f>CHOOSE(WEEKDAY(A7402,2),"Mon","Tue","Wed","Thu","Fri","Sat","Sun")</f>
        <v>Wed</v>
      </c>
      <c r="H7402" t="str">
        <f>IF(WEEKDAY(A7402,2)&gt;5,"Weekend","Weekday")</f>
        <v>Weekday</v>
      </c>
      <c r="I7402" t="str">
        <f>_xlfn.IFS(B7402&lt;=5,"Night (0-5)",B7402&lt;=9,"Morning peak (6-9)",B7402&lt;=15,"Midday (10-15)",B7402&lt;=19,"Evening peak (16-19)",TRUE,"Late evening (20-23)")</f>
        <v>Evening peak (16-19)</v>
      </c>
    </row>
    <row r="7403" spans="1:9">
      <c r="A7403" s="32">
        <v>42130</v>
      </c>
      <c r="B7403">
        <v>20</v>
      </c>
      <c r="C7403">
        <v>5134</v>
      </c>
      <c r="D7403" t="s">
        <v>304</v>
      </c>
      <c r="E7403">
        <f>YEAR(A7403)</f>
        <v>2015</v>
      </c>
      <c r="F7403" s="33">
        <f>DATE(YEAR(A7403),MONTH(A7403),1)</f>
        <v>42125.0</v>
      </c>
      <c r="G7403" t="str">
        <f>CHOOSE(WEEKDAY(A7403,2),"Mon","Tue","Wed","Thu","Fri","Sat","Sun")</f>
        <v>Wed</v>
      </c>
      <c r="H7403" t="str">
        <f>IF(WEEKDAY(A7403,2)&gt;5,"Weekend","Weekday")</f>
        <v>Weekday</v>
      </c>
      <c r="I7403" t="str">
        <f>_xlfn.IFS(B7403&lt;=5,"Night (0-5)",B7403&lt;=9,"Morning peak (6-9)",B7403&lt;=15,"Midday (10-15)",B7403&lt;=19,"Evening peak (16-19)",TRUE,"Late evening (20-23)")</f>
        <v>Late evening (20-23)</v>
      </c>
    </row>
    <row r="7404" spans="1:9">
      <c r="A7404" s="32">
        <v>42130</v>
      </c>
      <c r="B7404">
        <v>21</v>
      </c>
      <c r="C7404">
        <v>5494</v>
      </c>
      <c r="D7404" t="s">
        <v>304</v>
      </c>
      <c r="E7404">
        <f>YEAR(A7404)</f>
        <v>2015</v>
      </c>
      <c r="F7404" s="33">
        <f>DATE(YEAR(A7404),MONTH(A7404),1)</f>
        <v>42125.0</v>
      </c>
      <c r="G7404" t="str">
        <f>CHOOSE(WEEKDAY(A7404,2),"Mon","Tue","Wed","Thu","Fri","Sat","Sun")</f>
        <v>Wed</v>
      </c>
      <c r="H7404" t="str">
        <f>IF(WEEKDAY(A7404,2)&gt;5,"Weekend","Weekday")</f>
        <v>Weekday</v>
      </c>
      <c r="I7404" t="str">
        <f>_xlfn.IFS(B7404&lt;=5,"Night (0-5)",B7404&lt;=9,"Morning peak (6-9)",B7404&lt;=15,"Midday (10-15)",B7404&lt;=19,"Evening peak (16-19)",TRUE,"Late evening (20-23)")</f>
        <v>Late evening (20-23)</v>
      </c>
    </row>
    <row r="7405" spans="1:9">
      <c r="A7405" s="32">
        <v>42130</v>
      </c>
      <c r="B7405">
        <v>22</v>
      </c>
      <c r="C7405">
        <v>5266</v>
      </c>
      <c r="D7405" t="s">
        <v>304</v>
      </c>
      <c r="E7405">
        <f>YEAR(A7405)</f>
        <v>2015</v>
      </c>
      <c r="F7405" s="33">
        <f>DATE(YEAR(A7405),MONTH(A7405),1)</f>
        <v>42125.0</v>
      </c>
      <c r="G7405" t="str">
        <f>CHOOSE(WEEKDAY(A7405,2),"Mon","Tue","Wed","Thu","Fri","Sat","Sun")</f>
        <v>Wed</v>
      </c>
      <c r="H7405" t="str">
        <f>IF(WEEKDAY(A7405,2)&gt;5,"Weekend","Weekday")</f>
        <v>Weekday</v>
      </c>
      <c r="I7405" t="str">
        <f>_xlfn.IFS(B7405&lt;=5,"Night (0-5)",B7405&lt;=9,"Morning peak (6-9)",B7405&lt;=15,"Midday (10-15)",B7405&lt;=19,"Evening peak (16-19)",TRUE,"Late evening (20-23)")</f>
        <v>Late evening (20-23)</v>
      </c>
    </row>
    <row r="7406" spans="1:9">
      <c r="A7406" s="32">
        <v>42130</v>
      </c>
      <c r="B7406">
        <v>23</v>
      </c>
      <c r="C7406">
        <v>4070</v>
      </c>
      <c r="D7406" t="s">
        <v>304</v>
      </c>
      <c r="E7406">
        <f>YEAR(A7406)</f>
        <v>2015</v>
      </c>
      <c r="F7406" s="33">
        <f>DATE(YEAR(A7406),MONTH(A7406),1)</f>
        <v>42125.0</v>
      </c>
      <c r="G7406" t="str">
        <f>CHOOSE(WEEKDAY(A7406,2),"Mon","Tue","Wed","Thu","Fri","Sat","Sun")</f>
        <v>Wed</v>
      </c>
      <c r="H7406" t="str">
        <f>IF(WEEKDAY(A7406,2)&gt;5,"Weekend","Weekday")</f>
        <v>Weekday</v>
      </c>
      <c r="I7406" t="str">
        <f>_xlfn.IFS(B7406&lt;=5,"Night (0-5)",B7406&lt;=9,"Morning peak (6-9)",B7406&lt;=15,"Midday (10-15)",B7406&lt;=19,"Evening peak (16-19)",TRUE,"Late evening (20-23)")</f>
        <v>Late evening (20-23)</v>
      </c>
    </row>
    <row r="7407" spans="1:9">
      <c r="A7407" s="32">
        <v>42131</v>
      </c>
      <c r="B7407">
        <v>0</v>
      </c>
      <c r="C7407">
        <v>2550</v>
      </c>
      <c r="D7407" t="s">
        <v>304</v>
      </c>
      <c r="E7407">
        <f>YEAR(A7407)</f>
        <v>2015</v>
      </c>
      <c r="F7407" s="33">
        <f>DATE(YEAR(A7407),MONTH(A7407),1)</f>
        <v>42125.0</v>
      </c>
      <c r="G7407" t="str">
        <f>CHOOSE(WEEKDAY(A7407,2),"Mon","Tue","Wed","Thu","Fri","Sat","Sun")</f>
        <v>Thu</v>
      </c>
      <c r="H7407" t="str">
        <f>IF(WEEKDAY(A7407,2)&gt;5,"Weekend","Weekday")</f>
        <v>Weekday</v>
      </c>
      <c r="I7407" t="str">
        <f>_xlfn.IFS(B7407&lt;=5,"Night (0-5)",B7407&lt;=9,"Morning peak (6-9)",B7407&lt;=15,"Midday (10-15)",B7407&lt;=19,"Evening peak (16-19)",TRUE,"Late evening (20-23)")</f>
        <v>Night (0-5)</v>
      </c>
    </row>
    <row r="7408" spans="1:9">
      <c r="A7408" s="32">
        <v>42131</v>
      </c>
      <c r="B7408">
        <v>1</v>
      </c>
      <c r="C7408">
        <v>1301</v>
      </c>
      <c r="D7408" t="s">
        <v>304</v>
      </c>
      <c r="E7408">
        <f>YEAR(A7408)</f>
        <v>2015</v>
      </c>
      <c r="F7408" s="33">
        <f>DATE(YEAR(A7408),MONTH(A7408),1)</f>
        <v>42125.0</v>
      </c>
      <c r="G7408" t="str">
        <f>CHOOSE(WEEKDAY(A7408,2),"Mon","Tue","Wed","Thu","Fri","Sat","Sun")</f>
        <v>Thu</v>
      </c>
      <c r="H7408" t="str">
        <f>IF(WEEKDAY(A7408,2)&gt;5,"Weekend","Weekday")</f>
        <v>Weekday</v>
      </c>
      <c r="I7408" t="str">
        <f>_xlfn.IFS(B7408&lt;=5,"Night (0-5)",B7408&lt;=9,"Morning peak (6-9)",B7408&lt;=15,"Midday (10-15)",B7408&lt;=19,"Evening peak (16-19)",TRUE,"Late evening (20-23)")</f>
        <v>Night (0-5)</v>
      </c>
    </row>
    <row r="7409" spans="1:9">
      <c r="A7409" s="32">
        <v>42131</v>
      </c>
      <c r="B7409">
        <v>2</v>
      </c>
      <c r="C7409">
        <v>764</v>
      </c>
      <c r="D7409" t="s">
        <v>304</v>
      </c>
      <c r="E7409">
        <f>YEAR(A7409)</f>
        <v>2015</v>
      </c>
      <c r="F7409" s="33">
        <f>DATE(YEAR(A7409),MONTH(A7409),1)</f>
        <v>42125.0</v>
      </c>
      <c r="G7409" t="str">
        <f>CHOOSE(WEEKDAY(A7409,2),"Mon","Tue","Wed","Thu","Fri","Sat","Sun")</f>
        <v>Thu</v>
      </c>
      <c r="H7409" t="str">
        <f>IF(WEEKDAY(A7409,2)&gt;5,"Weekend","Weekday")</f>
        <v>Weekday</v>
      </c>
      <c r="I7409" t="str">
        <f>_xlfn.IFS(B7409&lt;=5,"Night (0-5)",B7409&lt;=9,"Morning peak (6-9)",B7409&lt;=15,"Midday (10-15)",B7409&lt;=19,"Evening peak (16-19)",TRUE,"Late evening (20-23)")</f>
        <v>Night (0-5)</v>
      </c>
    </row>
    <row r="7410" spans="1:9">
      <c r="A7410" s="32">
        <v>42131</v>
      </c>
      <c r="B7410">
        <v>3</v>
      </c>
      <c r="C7410">
        <v>535</v>
      </c>
      <c r="D7410" t="s">
        <v>304</v>
      </c>
      <c r="E7410">
        <f>YEAR(A7410)</f>
        <v>2015</v>
      </c>
      <c r="F7410" s="33">
        <f>DATE(YEAR(A7410),MONTH(A7410),1)</f>
        <v>42125.0</v>
      </c>
      <c r="G7410" t="str">
        <f>CHOOSE(WEEKDAY(A7410,2),"Mon","Tue","Wed","Thu","Fri","Sat","Sun")</f>
        <v>Thu</v>
      </c>
      <c r="H7410" t="str">
        <f>IF(WEEKDAY(A7410,2)&gt;5,"Weekend","Weekday")</f>
        <v>Weekday</v>
      </c>
      <c r="I7410" t="str">
        <f>_xlfn.IFS(B7410&lt;=5,"Night (0-5)",B7410&lt;=9,"Morning peak (6-9)",B7410&lt;=15,"Midday (10-15)",B7410&lt;=19,"Evening peak (16-19)",TRUE,"Late evening (20-23)")</f>
        <v>Night (0-5)</v>
      </c>
    </row>
    <row r="7411" spans="1:9">
      <c r="A7411" s="32">
        <v>42131</v>
      </c>
      <c r="B7411">
        <v>4</v>
      </c>
      <c r="C7411">
        <v>795</v>
      </c>
      <c r="D7411" t="s">
        <v>304</v>
      </c>
      <c r="E7411">
        <f>YEAR(A7411)</f>
        <v>2015</v>
      </c>
      <c r="F7411" s="33">
        <f>DATE(YEAR(A7411),MONTH(A7411),1)</f>
        <v>42125.0</v>
      </c>
      <c r="G7411" t="str">
        <f>CHOOSE(WEEKDAY(A7411,2),"Mon","Tue","Wed","Thu","Fri","Sat","Sun")</f>
        <v>Thu</v>
      </c>
      <c r="H7411" t="str">
        <f>IF(WEEKDAY(A7411,2)&gt;5,"Weekend","Weekday")</f>
        <v>Weekday</v>
      </c>
      <c r="I7411" t="str">
        <f>_xlfn.IFS(B7411&lt;=5,"Night (0-5)",B7411&lt;=9,"Morning peak (6-9)",B7411&lt;=15,"Midday (10-15)",B7411&lt;=19,"Evening peak (16-19)",TRUE,"Late evening (20-23)")</f>
        <v>Night (0-5)</v>
      </c>
    </row>
    <row r="7412" spans="1:9">
      <c r="A7412" s="32">
        <v>42131</v>
      </c>
      <c r="B7412">
        <v>5</v>
      </c>
      <c r="C7412">
        <v>1192</v>
      </c>
      <c r="D7412" t="s">
        <v>304</v>
      </c>
      <c r="E7412">
        <f>YEAR(A7412)</f>
        <v>2015</v>
      </c>
      <c r="F7412" s="33">
        <f>DATE(YEAR(A7412),MONTH(A7412),1)</f>
        <v>42125.0</v>
      </c>
      <c r="G7412" t="str">
        <f>CHOOSE(WEEKDAY(A7412,2),"Mon","Tue","Wed","Thu","Fri","Sat","Sun")</f>
        <v>Thu</v>
      </c>
      <c r="H7412" t="str">
        <f>IF(WEEKDAY(A7412,2)&gt;5,"Weekend","Weekday")</f>
        <v>Weekday</v>
      </c>
      <c r="I7412" t="str">
        <f>_xlfn.IFS(B7412&lt;=5,"Night (0-5)",B7412&lt;=9,"Morning peak (6-9)",B7412&lt;=15,"Midday (10-15)",B7412&lt;=19,"Evening peak (16-19)",TRUE,"Late evening (20-23)")</f>
        <v>Night (0-5)</v>
      </c>
    </row>
    <row r="7413" spans="1:9">
      <c r="A7413" s="32">
        <v>42131</v>
      </c>
      <c r="B7413">
        <v>6</v>
      </c>
      <c r="C7413">
        <v>2066</v>
      </c>
      <c r="D7413" t="s">
        <v>304</v>
      </c>
      <c r="E7413">
        <f>YEAR(A7413)</f>
        <v>2015</v>
      </c>
      <c r="F7413" s="33">
        <f>DATE(YEAR(A7413),MONTH(A7413),1)</f>
        <v>42125.0</v>
      </c>
      <c r="G7413" t="str">
        <f>CHOOSE(WEEKDAY(A7413,2),"Mon","Tue","Wed","Thu","Fri","Sat","Sun")</f>
        <v>Thu</v>
      </c>
      <c r="H7413" t="str">
        <f>IF(WEEKDAY(A7413,2)&gt;5,"Weekend","Weekday")</f>
        <v>Weekday</v>
      </c>
      <c r="I7413" t="str">
        <f>_xlfn.IFS(B7413&lt;=5,"Night (0-5)",B7413&lt;=9,"Morning peak (6-9)",B7413&lt;=15,"Midday (10-15)",B7413&lt;=19,"Evening peak (16-19)",TRUE,"Late evening (20-23)")</f>
        <v>Morning peak (6-9)</v>
      </c>
    </row>
    <row r="7414" spans="1:9">
      <c r="A7414" s="32">
        <v>42131</v>
      </c>
      <c r="B7414">
        <v>7</v>
      </c>
      <c r="C7414">
        <v>3236</v>
      </c>
      <c r="D7414" t="s">
        <v>304</v>
      </c>
      <c r="E7414">
        <f>YEAR(A7414)</f>
        <v>2015</v>
      </c>
      <c r="F7414" s="33">
        <f>DATE(YEAR(A7414),MONTH(A7414),1)</f>
        <v>42125.0</v>
      </c>
      <c r="G7414" t="str">
        <f>CHOOSE(WEEKDAY(A7414,2),"Mon","Tue","Wed","Thu","Fri","Sat","Sun")</f>
        <v>Thu</v>
      </c>
      <c r="H7414" t="str">
        <f>IF(WEEKDAY(A7414,2)&gt;5,"Weekend","Weekday")</f>
        <v>Weekday</v>
      </c>
      <c r="I7414" t="str">
        <f>_xlfn.IFS(B7414&lt;=5,"Night (0-5)",B7414&lt;=9,"Morning peak (6-9)",B7414&lt;=15,"Midday (10-15)",B7414&lt;=19,"Evening peak (16-19)",TRUE,"Late evening (20-23)")</f>
        <v>Morning peak (6-9)</v>
      </c>
    </row>
    <row r="7415" spans="1:9">
      <c r="A7415" s="32">
        <v>42131</v>
      </c>
      <c r="B7415">
        <v>8</v>
      </c>
      <c r="C7415">
        <v>4154</v>
      </c>
      <c r="D7415" t="s">
        <v>304</v>
      </c>
      <c r="E7415">
        <f>YEAR(A7415)</f>
        <v>2015</v>
      </c>
      <c r="F7415" s="33">
        <f>DATE(YEAR(A7415),MONTH(A7415),1)</f>
        <v>42125.0</v>
      </c>
      <c r="G7415" t="str">
        <f>CHOOSE(WEEKDAY(A7415,2),"Mon","Tue","Wed","Thu","Fri","Sat","Sun")</f>
        <v>Thu</v>
      </c>
      <c r="H7415" t="str">
        <f>IF(WEEKDAY(A7415,2)&gt;5,"Weekend","Weekday")</f>
        <v>Weekday</v>
      </c>
      <c r="I7415" t="str">
        <f>_xlfn.IFS(B7415&lt;=5,"Night (0-5)",B7415&lt;=9,"Morning peak (6-9)",B7415&lt;=15,"Midday (10-15)",B7415&lt;=19,"Evening peak (16-19)",TRUE,"Late evening (20-23)")</f>
        <v>Morning peak (6-9)</v>
      </c>
    </row>
    <row r="7416" spans="1:9">
      <c r="A7416" s="32">
        <v>42131</v>
      </c>
      <c r="B7416">
        <v>9</v>
      </c>
      <c r="C7416">
        <v>3912</v>
      </c>
      <c r="D7416" t="s">
        <v>304</v>
      </c>
      <c r="E7416">
        <f>YEAR(A7416)</f>
        <v>2015</v>
      </c>
      <c r="F7416" s="33">
        <f>DATE(YEAR(A7416),MONTH(A7416),1)</f>
        <v>42125.0</v>
      </c>
      <c r="G7416" t="str">
        <f>CHOOSE(WEEKDAY(A7416,2),"Mon","Tue","Wed","Thu","Fri","Sat","Sun")</f>
        <v>Thu</v>
      </c>
      <c r="H7416" t="str">
        <f>IF(WEEKDAY(A7416,2)&gt;5,"Weekend","Weekday")</f>
        <v>Weekday</v>
      </c>
      <c r="I7416" t="str">
        <f>_xlfn.IFS(B7416&lt;=5,"Night (0-5)",B7416&lt;=9,"Morning peak (6-9)",B7416&lt;=15,"Midday (10-15)",B7416&lt;=19,"Evening peak (16-19)",TRUE,"Late evening (20-23)")</f>
        <v>Morning peak (6-9)</v>
      </c>
    </row>
    <row r="7417" spans="1:9">
      <c r="A7417" s="32">
        <v>42131</v>
      </c>
      <c r="B7417">
        <v>10</v>
      </c>
      <c r="C7417">
        <v>3259</v>
      </c>
      <c r="D7417" t="s">
        <v>304</v>
      </c>
      <c r="E7417">
        <f>YEAR(A7417)</f>
        <v>2015</v>
      </c>
      <c r="F7417" s="33">
        <f>DATE(YEAR(A7417),MONTH(A7417),1)</f>
        <v>42125.0</v>
      </c>
      <c r="G7417" t="str">
        <f>CHOOSE(WEEKDAY(A7417,2),"Mon","Tue","Wed","Thu","Fri","Sat","Sun")</f>
        <v>Thu</v>
      </c>
      <c r="H7417" t="str">
        <f>IF(WEEKDAY(A7417,2)&gt;5,"Weekend","Weekday")</f>
        <v>Weekday</v>
      </c>
      <c r="I7417" t="str">
        <f>_xlfn.IFS(B7417&lt;=5,"Night (0-5)",B7417&lt;=9,"Morning peak (6-9)",B7417&lt;=15,"Midday (10-15)",B7417&lt;=19,"Evening peak (16-19)",TRUE,"Late evening (20-23)")</f>
        <v>Midday (10-15)</v>
      </c>
    </row>
    <row r="7418" spans="1:9">
      <c r="A7418" s="32">
        <v>42131</v>
      </c>
      <c r="B7418">
        <v>11</v>
      </c>
      <c r="C7418">
        <v>2911</v>
      </c>
      <c r="D7418" t="s">
        <v>304</v>
      </c>
      <c r="E7418">
        <f>YEAR(A7418)</f>
        <v>2015</v>
      </c>
      <c r="F7418" s="33">
        <f>DATE(YEAR(A7418),MONTH(A7418),1)</f>
        <v>42125.0</v>
      </c>
      <c r="G7418" t="str">
        <f>CHOOSE(WEEKDAY(A7418,2),"Mon","Tue","Wed","Thu","Fri","Sat","Sun")</f>
        <v>Thu</v>
      </c>
      <c r="H7418" t="str">
        <f>IF(WEEKDAY(A7418,2)&gt;5,"Weekend","Weekday")</f>
        <v>Weekday</v>
      </c>
      <c r="I7418" t="str">
        <f>_xlfn.IFS(B7418&lt;=5,"Night (0-5)",B7418&lt;=9,"Morning peak (6-9)",B7418&lt;=15,"Midday (10-15)",B7418&lt;=19,"Evening peak (16-19)",TRUE,"Late evening (20-23)")</f>
        <v>Midday (10-15)</v>
      </c>
    </row>
    <row r="7419" spans="1:9">
      <c r="A7419" s="32">
        <v>42131</v>
      </c>
      <c r="B7419">
        <v>12</v>
      </c>
      <c r="C7419">
        <v>2955</v>
      </c>
      <c r="D7419" t="s">
        <v>304</v>
      </c>
      <c r="E7419">
        <f>YEAR(A7419)</f>
        <v>2015</v>
      </c>
      <c r="F7419" s="33">
        <f>DATE(YEAR(A7419),MONTH(A7419),1)</f>
        <v>42125.0</v>
      </c>
      <c r="G7419" t="str">
        <f>CHOOSE(WEEKDAY(A7419,2),"Mon","Tue","Wed","Thu","Fri","Sat","Sun")</f>
        <v>Thu</v>
      </c>
      <c r="H7419" t="str">
        <f>IF(WEEKDAY(A7419,2)&gt;5,"Weekend","Weekday")</f>
        <v>Weekday</v>
      </c>
      <c r="I7419" t="str">
        <f>_xlfn.IFS(B7419&lt;=5,"Night (0-5)",B7419&lt;=9,"Morning peak (6-9)",B7419&lt;=15,"Midday (10-15)",B7419&lt;=19,"Evening peak (16-19)",TRUE,"Late evening (20-23)")</f>
        <v>Midday (10-15)</v>
      </c>
    </row>
    <row r="7420" spans="1:9">
      <c r="A7420" s="32">
        <v>42131</v>
      </c>
      <c r="B7420">
        <v>13</v>
      </c>
      <c r="C7420">
        <v>2877</v>
      </c>
      <c r="D7420" t="s">
        <v>304</v>
      </c>
      <c r="E7420">
        <f>YEAR(A7420)</f>
        <v>2015</v>
      </c>
      <c r="F7420" s="33">
        <f>DATE(YEAR(A7420),MONTH(A7420),1)</f>
        <v>42125.0</v>
      </c>
      <c r="G7420" t="str">
        <f>CHOOSE(WEEKDAY(A7420,2),"Mon","Tue","Wed","Thu","Fri","Sat","Sun")</f>
        <v>Thu</v>
      </c>
      <c r="H7420" t="str">
        <f>IF(WEEKDAY(A7420,2)&gt;5,"Weekend","Weekday")</f>
        <v>Weekday</v>
      </c>
      <c r="I7420" t="str">
        <f>_xlfn.IFS(B7420&lt;=5,"Night (0-5)",B7420&lt;=9,"Morning peak (6-9)",B7420&lt;=15,"Midday (10-15)",B7420&lt;=19,"Evening peak (16-19)",TRUE,"Late evening (20-23)")</f>
        <v>Midday (10-15)</v>
      </c>
    </row>
    <row r="7421" spans="1:9">
      <c r="A7421" s="32">
        <v>42131</v>
      </c>
      <c r="B7421">
        <v>14</v>
      </c>
      <c r="C7421">
        <v>3331</v>
      </c>
      <c r="D7421" t="s">
        <v>304</v>
      </c>
      <c r="E7421">
        <f>YEAR(A7421)</f>
        <v>2015</v>
      </c>
      <c r="F7421" s="33">
        <f>DATE(YEAR(A7421),MONTH(A7421),1)</f>
        <v>42125.0</v>
      </c>
      <c r="G7421" t="str">
        <f>CHOOSE(WEEKDAY(A7421,2),"Mon","Tue","Wed","Thu","Fri","Sat","Sun")</f>
        <v>Thu</v>
      </c>
      <c r="H7421" t="str">
        <f>IF(WEEKDAY(A7421,2)&gt;5,"Weekend","Weekday")</f>
        <v>Weekday</v>
      </c>
      <c r="I7421" t="str">
        <f>_xlfn.IFS(B7421&lt;=5,"Night (0-5)",B7421&lt;=9,"Morning peak (6-9)",B7421&lt;=15,"Midday (10-15)",B7421&lt;=19,"Evening peak (16-19)",TRUE,"Late evening (20-23)")</f>
        <v>Midday (10-15)</v>
      </c>
    </row>
    <row r="7422" spans="1:9">
      <c r="A7422" s="32">
        <v>42131</v>
      </c>
      <c r="B7422">
        <v>15</v>
      </c>
      <c r="C7422">
        <v>3818</v>
      </c>
      <c r="D7422" t="s">
        <v>304</v>
      </c>
      <c r="E7422">
        <f>YEAR(A7422)</f>
        <v>2015</v>
      </c>
      <c r="F7422" s="33">
        <f>DATE(YEAR(A7422),MONTH(A7422),1)</f>
        <v>42125.0</v>
      </c>
      <c r="G7422" t="str">
        <f>CHOOSE(WEEKDAY(A7422,2),"Mon","Tue","Wed","Thu","Fri","Sat","Sun")</f>
        <v>Thu</v>
      </c>
      <c r="H7422" t="str">
        <f>IF(WEEKDAY(A7422,2)&gt;5,"Weekend","Weekday")</f>
        <v>Weekday</v>
      </c>
      <c r="I7422" t="str">
        <f>_xlfn.IFS(B7422&lt;=5,"Night (0-5)",B7422&lt;=9,"Morning peak (6-9)",B7422&lt;=15,"Midday (10-15)",B7422&lt;=19,"Evening peak (16-19)",TRUE,"Late evening (20-23)")</f>
        <v>Midday (10-15)</v>
      </c>
    </row>
    <row r="7423" spans="1:9">
      <c r="A7423" s="32">
        <v>42131</v>
      </c>
      <c r="B7423">
        <v>16</v>
      </c>
      <c r="C7423">
        <v>4553</v>
      </c>
      <c r="D7423" t="s">
        <v>304</v>
      </c>
      <c r="E7423">
        <f>YEAR(A7423)</f>
        <v>2015</v>
      </c>
      <c r="F7423" s="33">
        <f>DATE(YEAR(A7423),MONTH(A7423),1)</f>
        <v>42125.0</v>
      </c>
      <c r="G7423" t="str">
        <f>CHOOSE(WEEKDAY(A7423,2),"Mon","Tue","Wed","Thu","Fri","Sat","Sun")</f>
        <v>Thu</v>
      </c>
      <c r="H7423" t="str">
        <f>IF(WEEKDAY(A7423,2)&gt;5,"Weekend","Weekday")</f>
        <v>Weekday</v>
      </c>
      <c r="I7423" t="str">
        <f>_xlfn.IFS(B7423&lt;=5,"Night (0-5)",B7423&lt;=9,"Morning peak (6-9)",B7423&lt;=15,"Midday (10-15)",B7423&lt;=19,"Evening peak (16-19)",TRUE,"Late evening (20-23)")</f>
        <v>Evening peak (16-19)</v>
      </c>
    </row>
    <row r="7424" spans="1:9">
      <c r="A7424" s="32">
        <v>42131</v>
      </c>
      <c r="B7424">
        <v>17</v>
      </c>
      <c r="C7424">
        <v>5276</v>
      </c>
      <c r="D7424" t="s">
        <v>304</v>
      </c>
      <c r="E7424">
        <f>YEAR(A7424)</f>
        <v>2015</v>
      </c>
      <c r="F7424" s="33">
        <f>DATE(YEAR(A7424),MONTH(A7424),1)</f>
        <v>42125.0</v>
      </c>
      <c r="G7424" t="str">
        <f>CHOOSE(WEEKDAY(A7424,2),"Mon","Tue","Wed","Thu","Fri","Sat","Sun")</f>
        <v>Thu</v>
      </c>
      <c r="H7424" t="str">
        <f>IF(WEEKDAY(A7424,2)&gt;5,"Weekend","Weekday")</f>
        <v>Weekday</v>
      </c>
      <c r="I7424" t="str">
        <f>_xlfn.IFS(B7424&lt;=5,"Night (0-5)",B7424&lt;=9,"Morning peak (6-9)",B7424&lt;=15,"Midday (10-15)",B7424&lt;=19,"Evening peak (16-19)",TRUE,"Late evening (20-23)")</f>
        <v>Evening peak (16-19)</v>
      </c>
    </row>
    <row r="7425" spans="1:9">
      <c r="A7425" s="32">
        <v>42131</v>
      </c>
      <c r="B7425">
        <v>18</v>
      </c>
      <c r="C7425">
        <v>6497</v>
      </c>
      <c r="D7425" t="s">
        <v>304</v>
      </c>
      <c r="E7425">
        <f>YEAR(A7425)</f>
        <v>2015</v>
      </c>
      <c r="F7425" s="33">
        <f>DATE(YEAR(A7425),MONTH(A7425),1)</f>
        <v>42125.0</v>
      </c>
      <c r="G7425" t="str">
        <f>CHOOSE(WEEKDAY(A7425,2),"Mon","Tue","Wed","Thu","Fri","Sat","Sun")</f>
        <v>Thu</v>
      </c>
      <c r="H7425" t="str">
        <f>IF(WEEKDAY(A7425,2)&gt;5,"Weekend","Weekday")</f>
        <v>Weekday</v>
      </c>
      <c r="I7425" t="str">
        <f>_xlfn.IFS(B7425&lt;=5,"Night (0-5)",B7425&lt;=9,"Morning peak (6-9)",B7425&lt;=15,"Midday (10-15)",B7425&lt;=19,"Evening peak (16-19)",TRUE,"Late evening (20-23)")</f>
        <v>Evening peak (16-19)</v>
      </c>
    </row>
    <row r="7426" spans="1:9">
      <c r="A7426" s="32">
        <v>42131</v>
      </c>
      <c r="B7426">
        <v>19</v>
      </c>
      <c r="C7426">
        <v>6175</v>
      </c>
      <c r="D7426" t="s">
        <v>304</v>
      </c>
      <c r="E7426">
        <f>YEAR(A7426)</f>
        <v>2015</v>
      </c>
      <c r="F7426" s="33">
        <f>DATE(YEAR(A7426),MONTH(A7426),1)</f>
        <v>42125.0</v>
      </c>
      <c r="G7426" t="str">
        <f>CHOOSE(WEEKDAY(A7426,2),"Mon","Tue","Wed","Thu","Fri","Sat","Sun")</f>
        <v>Thu</v>
      </c>
      <c r="H7426" t="str">
        <f>IF(WEEKDAY(A7426,2)&gt;5,"Weekend","Weekday")</f>
        <v>Weekday</v>
      </c>
      <c r="I7426" t="str">
        <f>_xlfn.IFS(B7426&lt;=5,"Night (0-5)",B7426&lt;=9,"Morning peak (6-9)",B7426&lt;=15,"Midday (10-15)",B7426&lt;=19,"Evening peak (16-19)",TRUE,"Late evening (20-23)")</f>
        <v>Evening peak (16-19)</v>
      </c>
    </row>
    <row r="7427" spans="1:9">
      <c r="A7427" s="32">
        <v>42131</v>
      </c>
      <c r="B7427">
        <v>20</v>
      </c>
      <c r="C7427">
        <v>5978</v>
      </c>
      <c r="D7427" t="s">
        <v>304</v>
      </c>
      <c r="E7427">
        <f>YEAR(A7427)</f>
        <v>2015</v>
      </c>
      <c r="F7427" s="33">
        <f>DATE(YEAR(A7427),MONTH(A7427),1)</f>
        <v>42125.0</v>
      </c>
      <c r="G7427" t="str">
        <f>CHOOSE(WEEKDAY(A7427,2),"Mon","Tue","Wed","Thu","Fri","Sat","Sun")</f>
        <v>Thu</v>
      </c>
      <c r="H7427" t="str">
        <f>IF(WEEKDAY(A7427,2)&gt;5,"Weekend","Weekday")</f>
        <v>Weekday</v>
      </c>
      <c r="I7427" t="str">
        <f>_xlfn.IFS(B7427&lt;=5,"Night (0-5)",B7427&lt;=9,"Morning peak (6-9)",B7427&lt;=15,"Midday (10-15)",B7427&lt;=19,"Evening peak (16-19)",TRUE,"Late evening (20-23)")</f>
        <v>Late evening (20-23)</v>
      </c>
    </row>
    <row r="7428" spans="1:9">
      <c r="A7428" s="32">
        <v>42131</v>
      </c>
      <c r="B7428">
        <v>21</v>
      </c>
      <c r="C7428">
        <v>6675</v>
      </c>
      <c r="D7428" t="s">
        <v>304</v>
      </c>
      <c r="E7428">
        <f>YEAR(A7428)</f>
        <v>2015</v>
      </c>
      <c r="F7428" s="33">
        <f>DATE(YEAR(A7428),MONTH(A7428),1)</f>
        <v>42125.0</v>
      </c>
      <c r="G7428" t="str">
        <f>CHOOSE(WEEKDAY(A7428,2),"Mon","Tue","Wed","Thu","Fri","Sat","Sun")</f>
        <v>Thu</v>
      </c>
      <c r="H7428" t="str">
        <f>IF(WEEKDAY(A7428,2)&gt;5,"Weekend","Weekday")</f>
        <v>Weekday</v>
      </c>
      <c r="I7428" t="str">
        <f>_xlfn.IFS(B7428&lt;=5,"Night (0-5)",B7428&lt;=9,"Morning peak (6-9)",B7428&lt;=15,"Midday (10-15)",B7428&lt;=19,"Evening peak (16-19)",TRUE,"Late evening (20-23)")</f>
        <v>Late evening (20-23)</v>
      </c>
    </row>
    <row r="7429" spans="1:9">
      <c r="A7429" s="32">
        <v>42131</v>
      </c>
      <c r="B7429">
        <v>22</v>
      </c>
      <c r="C7429">
        <v>6744</v>
      </c>
      <c r="D7429" t="s">
        <v>304</v>
      </c>
      <c r="E7429">
        <f>YEAR(A7429)</f>
        <v>2015</v>
      </c>
      <c r="F7429" s="33">
        <f>DATE(YEAR(A7429),MONTH(A7429),1)</f>
        <v>42125.0</v>
      </c>
      <c r="G7429" t="str">
        <f>CHOOSE(WEEKDAY(A7429,2),"Mon","Tue","Wed","Thu","Fri","Sat","Sun")</f>
        <v>Thu</v>
      </c>
      <c r="H7429" t="str">
        <f>IF(WEEKDAY(A7429,2)&gt;5,"Weekend","Weekday")</f>
        <v>Weekday</v>
      </c>
      <c r="I7429" t="str">
        <f>_xlfn.IFS(B7429&lt;=5,"Night (0-5)",B7429&lt;=9,"Morning peak (6-9)",B7429&lt;=15,"Midday (10-15)",B7429&lt;=19,"Evening peak (16-19)",TRUE,"Late evening (20-23)")</f>
        <v>Late evening (20-23)</v>
      </c>
    </row>
    <row r="7430" spans="1:9">
      <c r="A7430" s="32">
        <v>42131</v>
      </c>
      <c r="B7430">
        <v>23</v>
      </c>
      <c r="C7430">
        <v>5807</v>
      </c>
      <c r="D7430" t="s">
        <v>304</v>
      </c>
      <c r="E7430">
        <f>YEAR(A7430)</f>
        <v>2015</v>
      </c>
      <c r="F7430" s="33">
        <f>DATE(YEAR(A7430),MONTH(A7430),1)</f>
        <v>42125.0</v>
      </c>
      <c r="G7430" t="str">
        <f>CHOOSE(WEEKDAY(A7430,2),"Mon","Tue","Wed","Thu","Fri","Sat","Sun")</f>
        <v>Thu</v>
      </c>
      <c r="H7430" t="str">
        <f>IF(WEEKDAY(A7430,2)&gt;5,"Weekend","Weekday")</f>
        <v>Weekday</v>
      </c>
      <c r="I7430" t="str">
        <f>_xlfn.IFS(B7430&lt;=5,"Night (0-5)",B7430&lt;=9,"Morning peak (6-9)",B7430&lt;=15,"Midday (10-15)",B7430&lt;=19,"Evening peak (16-19)",TRUE,"Late evening (20-23)")</f>
        <v>Late evening (20-23)</v>
      </c>
    </row>
    <row r="7431" spans="1:9">
      <c r="A7431" s="32">
        <v>42132</v>
      </c>
      <c r="B7431">
        <v>0</v>
      </c>
      <c r="C7431">
        <v>3512</v>
      </c>
      <c r="D7431" t="s">
        <v>304</v>
      </c>
      <c r="E7431">
        <f>YEAR(A7431)</f>
        <v>2015</v>
      </c>
      <c r="F7431" s="33">
        <f>DATE(YEAR(A7431),MONTH(A7431),1)</f>
        <v>42125.0</v>
      </c>
      <c r="G7431" t="str">
        <f>CHOOSE(WEEKDAY(A7431,2),"Mon","Tue","Wed","Thu","Fri","Sat","Sun")</f>
        <v>Fri</v>
      </c>
      <c r="H7431" t="str">
        <f>IF(WEEKDAY(A7431,2)&gt;5,"Weekend","Weekday")</f>
        <v>Weekday</v>
      </c>
      <c r="I7431" t="str">
        <f>_xlfn.IFS(B7431&lt;=5,"Night (0-5)",B7431&lt;=9,"Morning peak (6-9)",B7431&lt;=15,"Midday (10-15)",B7431&lt;=19,"Evening peak (16-19)",TRUE,"Late evening (20-23)")</f>
        <v>Night (0-5)</v>
      </c>
    </row>
    <row r="7432" spans="1:9">
      <c r="A7432" s="32">
        <v>42132</v>
      </c>
      <c r="B7432">
        <v>1</v>
      </c>
      <c r="C7432">
        <v>1817</v>
      </c>
      <c r="D7432" t="s">
        <v>304</v>
      </c>
      <c r="E7432">
        <f>YEAR(A7432)</f>
        <v>2015</v>
      </c>
      <c r="F7432" s="33">
        <f>DATE(YEAR(A7432),MONTH(A7432),1)</f>
        <v>42125.0</v>
      </c>
      <c r="G7432" t="str">
        <f>CHOOSE(WEEKDAY(A7432,2),"Mon","Tue","Wed","Thu","Fri","Sat","Sun")</f>
        <v>Fri</v>
      </c>
      <c r="H7432" t="str">
        <f>IF(WEEKDAY(A7432,2)&gt;5,"Weekend","Weekday")</f>
        <v>Weekday</v>
      </c>
      <c r="I7432" t="str">
        <f>_xlfn.IFS(B7432&lt;=5,"Night (0-5)",B7432&lt;=9,"Morning peak (6-9)",B7432&lt;=15,"Midday (10-15)",B7432&lt;=19,"Evening peak (16-19)",TRUE,"Late evening (20-23)")</f>
        <v>Night (0-5)</v>
      </c>
    </row>
    <row r="7433" spans="1:9">
      <c r="A7433" s="32">
        <v>42132</v>
      </c>
      <c r="B7433">
        <v>2</v>
      </c>
      <c r="C7433">
        <v>1186</v>
      </c>
      <c r="D7433" t="s">
        <v>304</v>
      </c>
      <c r="E7433">
        <f>YEAR(A7433)</f>
        <v>2015</v>
      </c>
      <c r="F7433" s="33">
        <f>DATE(YEAR(A7433),MONTH(A7433),1)</f>
        <v>42125.0</v>
      </c>
      <c r="G7433" t="str">
        <f>CHOOSE(WEEKDAY(A7433,2),"Mon","Tue","Wed","Thu","Fri","Sat","Sun")</f>
        <v>Fri</v>
      </c>
      <c r="H7433" t="str">
        <f>IF(WEEKDAY(A7433,2)&gt;5,"Weekend","Weekday")</f>
        <v>Weekday</v>
      </c>
      <c r="I7433" t="str">
        <f>_xlfn.IFS(B7433&lt;=5,"Night (0-5)",B7433&lt;=9,"Morning peak (6-9)",B7433&lt;=15,"Midday (10-15)",B7433&lt;=19,"Evening peak (16-19)",TRUE,"Late evening (20-23)")</f>
        <v>Night (0-5)</v>
      </c>
    </row>
    <row r="7434" spans="1:9">
      <c r="A7434" s="32">
        <v>42132</v>
      </c>
      <c r="B7434">
        <v>3</v>
      </c>
      <c r="C7434">
        <v>794</v>
      </c>
      <c r="D7434" t="s">
        <v>304</v>
      </c>
      <c r="E7434">
        <f>YEAR(A7434)</f>
        <v>2015</v>
      </c>
      <c r="F7434" s="33">
        <f>DATE(YEAR(A7434),MONTH(A7434),1)</f>
        <v>42125.0</v>
      </c>
      <c r="G7434" t="str">
        <f>CHOOSE(WEEKDAY(A7434,2),"Mon","Tue","Wed","Thu","Fri","Sat","Sun")</f>
        <v>Fri</v>
      </c>
      <c r="H7434" t="str">
        <f>IF(WEEKDAY(A7434,2)&gt;5,"Weekend","Weekday")</f>
        <v>Weekday</v>
      </c>
      <c r="I7434" t="str">
        <f>_xlfn.IFS(B7434&lt;=5,"Night (0-5)",B7434&lt;=9,"Morning peak (6-9)",B7434&lt;=15,"Midday (10-15)",B7434&lt;=19,"Evening peak (16-19)",TRUE,"Late evening (20-23)")</f>
        <v>Night (0-5)</v>
      </c>
    </row>
    <row r="7435" spans="1:9">
      <c r="A7435" s="32">
        <v>42132</v>
      </c>
      <c r="B7435">
        <v>4</v>
      </c>
      <c r="C7435">
        <v>960</v>
      </c>
      <c r="D7435" t="s">
        <v>304</v>
      </c>
      <c r="E7435">
        <f>YEAR(A7435)</f>
        <v>2015</v>
      </c>
      <c r="F7435" s="33">
        <f>DATE(YEAR(A7435),MONTH(A7435),1)</f>
        <v>42125.0</v>
      </c>
      <c r="G7435" t="str">
        <f>CHOOSE(WEEKDAY(A7435,2),"Mon","Tue","Wed","Thu","Fri","Sat","Sun")</f>
        <v>Fri</v>
      </c>
      <c r="H7435" t="str">
        <f>IF(WEEKDAY(A7435,2)&gt;5,"Weekend","Weekday")</f>
        <v>Weekday</v>
      </c>
      <c r="I7435" t="str">
        <f>_xlfn.IFS(B7435&lt;=5,"Night (0-5)",B7435&lt;=9,"Morning peak (6-9)",B7435&lt;=15,"Midday (10-15)",B7435&lt;=19,"Evening peak (16-19)",TRUE,"Late evening (20-23)")</f>
        <v>Night (0-5)</v>
      </c>
    </row>
    <row r="7436" spans="1:9">
      <c r="A7436" s="32">
        <v>42132</v>
      </c>
      <c r="B7436">
        <v>5</v>
      </c>
      <c r="C7436">
        <v>1318</v>
      </c>
      <c r="D7436" t="s">
        <v>304</v>
      </c>
      <c r="E7436">
        <f>YEAR(A7436)</f>
        <v>2015</v>
      </c>
      <c r="F7436" s="33">
        <f>DATE(YEAR(A7436),MONTH(A7436),1)</f>
        <v>42125.0</v>
      </c>
      <c r="G7436" t="str">
        <f>CHOOSE(WEEKDAY(A7436,2),"Mon","Tue","Wed","Thu","Fri","Sat","Sun")</f>
        <v>Fri</v>
      </c>
      <c r="H7436" t="str">
        <f>IF(WEEKDAY(A7436,2)&gt;5,"Weekend","Weekday")</f>
        <v>Weekday</v>
      </c>
      <c r="I7436" t="str">
        <f>_xlfn.IFS(B7436&lt;=5,"Night (0-5)",B7436&lt;=9,"Morning peak (6-9)",B7436&lt;=15,"Midday (10-15)",B7436&lt;=19,"Evening peak (16-19)",TRUE,"Late evening (20-23)")</f>
        <v>Night (0-5)</v>
      </c>
    </row>
    <row r="7437" spans="1:9">
      <c r="A7437" s="32">
        <v>42132</v>
      </c>
      <c r="B7437">
        <v>6</v>
      </c>
      <c r="C7437">
        <v>2035</v>
      </c>
      <c r="D7437" t="s">
        <v>304</v>
      </c>
      <c r="E7437">
        <f>YEAR(A7437)</f>
        <v>2015</v>
      </c>
      <c r="F7437" s="33">
        <f>DATE(YEAR(A7437),MONTH(A7437),1)</f>
        <v>42125.0</v>
      </c>
      <c r="G7437" t="str">
        <f>CHOOSE(WEEKDAY(A7437,2),"Mon","Tue","Wed","Thu","Fri","Sat","Sun")</f>
        <v>Fri</v>
      </c>
      <c r="H7437" t="str">
        <f>IF(WEEKDAY(A7437,2)&gt;5,"Weekend","Weekday")</f>
        <v>Weekday</v>
      </c>
      <c r="I7437" t="str">
        <f>_xlfn.IFS(B7437&lt;=5,"Night (0-5)",B7437&lt;=9,"Morning peak (6-9)",B7437&lt;=15,"Midday (10-15)",B7437&lt;=19,"Evening peak (16-19)",TRUE,"Late evening (20-23)")</f>
        <v>Morning peak (6-9)</v>
      </c>
    </row>
    <row r="7438" spans="1:9">
      <c r="A7438" s="32">
        <v>42132</v>
      </c>
      <c r="B7438">
        <v>7</v>
      </c>
      <c r="C7438">
        <v>3178</v>
      </c>
      <c r="D7438" t="s">
        <v>304</v>
      </c>
      <c r="E7438">
        <f>YEAR(A7438)</f>
        <v>2015</v>
      </c>
      <c r="F7438" s="33">
        <f>DATE(YEAR(A7438),MONTH(A7438),1)</f>
        <v>42125.0</v>
      </c>
      <c r="G7438" t="str">
        <f>CHOOSE(WEEKDAY(A7438,2),"Mon","Tue","Wed","Thu","Fri","Sat","Sun")</f>
        <v>Fri</v>
      </c>
      <c r="H7438" t="str">
        <f>IF(WEEKDAY(A7438,2)&gt;5,"Weekend","Weekday")</f>
        <v>Weekday</v>
      </c>
      <c r="I7438" t="str">
        <f>_xlfn.IFS(B7438&lt;=5,"Night (0-5)",B7438&lt;=9,"Morning peak (6-9)",B7438&lt;=15,"Midday (10-15)",B7438&lt;=19,"Evening peak (16-19)",TRUE,"Late evening (20-23)")</f>
        <v>Morning peak (6-9)</v>
      </c>
    </row>
    <row r="7439" spans="1:9">
      <c r="A7439" s="32">
        <v>42132</v>
      </c>
      <c r="B7439">
        <v>8</v>
      </c>
      <c r="C7439">
        <v>4152</v>
      </c>
      <c r="D7439" t="s">
        <v>304</v>
      </c>
      <c r="E7439">
        <f>YEAR(A7439)</f>
        <v>2015</v>
      </c>
      <c r="F7439" s="33">
        <f>DATE(YEAR(A7439),MONTH(A7439),1)</f>
        <v>42125.0</v>
      </c>
      <c r="G7439" t="str">
        <f>CHOOSE(WEEKDAY(A7439,2),"Mon","Tue","Wed","Thu","Fri","Sat","Sun")</f>
        <v>Fri</v>
      </c>
      <c r="H7439" t="str">
        <f>IF(WEEKDAY(A7439,2)&gt;5,"Weekend","Weekday")</f>
        <v>Weekday</v>
      </c>
      <c r="I7439" t="str">
        <f>_xlfn.IFS(B7439&lt;=5,"Night (0-5)",B7439&lt;=9,"Morning peak (6-9)",B7439&lt;=15,"Midday (10-15)",B7439&lt;=19,"Evening peak (16-19)",TRUE,"Late evening (20-23)")</f>
        <v>Morning peak (6-9)</v>
      </c>
    </row>
    <row r="7440" spans="1:9">
      <c r="A7440" s="32">
        <v>42132</v>
      </c>
      <c r="B7440">
        <v>9</v>
      </c>
      <c r="C7440">
        <v>3875</v>
      </c>
      <c r="D7440" t="s">
        <v>304</v>
      </c>
      <c r="E7440">
        <f>YEAR(A7440)</f>
        <v>2015</v>
      </c>
      <c r="F7440" s="33">
        <f>DATE(YEAR(A7440),MONTH(A7440),1)</f>
        <v>42125.0</v>
      </c>
      <c r="G7440" t="str">
        <f>CHOOSE(WEEKDAY(A7440,2),"Mon","Tue","Wed","Thu","Fri","Sat","Sun")</f>
        <v>Fri</v>
      </c>
      <c r="H7440" t="str">
        <f>IF(WEEKDAY(A7440,2)&gt;5,"Weekend","Weekday")</f>
        <v>Weekday</v>
      </c>
      <c r="I7440" t="str">
        <f>_xlfn.IFS(B7440&lt;=5,"Night (0-5)",B7440&lt;=9,"Morning peak (6-9)",B7440&lt;=15,"Midday (10-15)",B7440&lt;=19,"Evening peak (16-19)",TRUE,"Late evening (20-23)")</f>
        <v>Morning peak (6-9)</v>
      </c>
    </row>
    <row r="7441" spans="1:9">
      <c r="A7441" s="32">
        <v>42132</v>
      </c>
      <c r="B7441">
        <v>10</v>
      </c>
      <c r="C7441">
        <v>3301</v>
      </c>
      <c r="D7441" t="s">
        <v>304</v>
      </c>
      <c r="E7441">
        <f>YEAR(A7441)</f>
        <v>2015</v>
      </c>
      <c r="F7441" s="33">
        <f>DATE(YEAR(A7441),MONTH(A7441),1)</f>
        <v>42125.0</v>
      </c>
      <c r="G7441" t="str">
        <f>CHOOSE(WEEKDAY(A7441,2),"Mon","Tue","Wed","Thu","Fri","Sat","Sun")</f>
        <v>Fri</v>
      </c>
      <c r="H7441" t="str">
        <f>IF(WEEKDAY(A7441,2)&gt;5,"Weekend","Weekday")</f>
        <v>Weekday</v>
      </c>
      <c r="I7441" t="str">
        <f>_xlfn.IFS(B7441&lt;=5,"Night (0-5)",B7441&lt;=9,"Morning peak (6-9)",B7441&lt;=15,"Midday (10-15)",B7441&lt;=19,"Evening peak (16-19)",TRUE,"Late evening (20-23)")</f>
        <v>Midday (10-15)</v>
      </c>
    </row>
    <row r="7442" spans="1:9">
      <c r="A7442" s="32">
        <v>42132</v>
      </c>
      <c r="B7442">
        <v>11</v>
      </c>
      <c r="C7442">
        <v>3090</v>
      </c>
      <c r="D7442" t="s">
        <v>304</v>
      </c>
      <c r="E7442">
        <f>YEAR(A7442)</f>
        <v>2015</v>
      </c>
      <c r="F7442" s="33">
        <f>DATE(YEAR(A7442),MONTH(A7442),1)</f>
        <v>42125.0</v>
      </c>
      <c r="G7442" t="str">
        <f>CHOOSE(WEEKDAY(A7442,2),"Mon","Tue","Wed","Thu","Fri","Sat","Sun")</f>
        <v>Fri</v>
      </c>
      <c r="H7442" t="str">
        <f>IF(WEEKDAY(A7442,2)&gt;5,"Weekend","Weekday")</f>
        <v>Weekday</v>
      </c>
      <c r="I7442" t="str">
        <f>_xlfn.IFS(B7442&lt;=5,"Night (0-5)",B7442&lt;=9,"Morning peak (6-9)",B7442&lt;=15,"Midday (10-15)",B7442&lt;=19,"Evening peak (16-19)",TRUE,"Late evening (20-23)")</f>
        <v>Midday (10-15)</v>
      </c>
    </row>
    <row r="7443" spans="1:9">
      <c r="A7443" s="32">
        <v>42132</v>
      </c>
      <c r="B7443">
        <v>12</v>
      </c>
      <c r="C7443">
        <v>3060</v>
      </c>
      <c r="D7443" t="s">
        <v>304</v>
      </c>
      <c r="E7443">
        <f>YEAR(A7443)</f>
        <v>2015</v>
      </c>
      <c r="F7443" s="33">
        <f>DATE(YEAR(A7443),MONTH(A7443),1)</f>
        <v>42125.0</v>
      </c>
      <c r="G7443" t="str">
        <f>CHOOSE(WEEKDAY(A7443,2),"Mon","Tue","Wed","Thu","Fri","Sat","Sun")</f>
        <v>Fri</v>
      </c>
      <c r="H7443" t="str">
        <f>IF(WEEKDAY(A7443,2)&gt;5,"Weekend","Weekday")</f>
        <v>Weekday</v>
      </c>
      <c r="I7443" t="str">
        <f>_xlfn.IFS(B7443&lt;=5,"Night (0-5)",B7443&lt;=9,"Morning peak (6-9)",B7443&lt;=15,"Midday (10-15)",B7443&lt;=19,"Evening peak (16-19)",TRUE,"Late evening (20-23)")</f>
        <v>Midday (10-15)</v>
      </c>
    </row>
    <row r="7444" spans="1:9">
      <c r="A7444" s="32">
        <v>42132</v>
      </c>
      <c r="B7444">
        <v>13</v>
      </c>
      <c r="C7444">
        <v>3100</v>
      </c>
      <c r="D7444" t="s">
        <v>304</v>
      </c>
      <c r="E7444">
        <f>YEAR(A7444)</f>
        <v>2015</v>
      </c>
      <c r="F7444" s="33">
        <f>DATE(YEAR(A7444),MONTH(A7444),1)</f>
        <v>42125.0</v>
      </c>
      <c r="G7444" t="str">
        <f>CHOOSE(WEEKDAY(A7444,2),"Mon","Tue","Wed","Thu","Fri","Sat","Sun")</f>
        <v>Fri</v>
      </c>
      <c r="H7444" t="str">
        <f>IF(WEEKDAY(A7444,2)&gt;5,"Weekend","Weekday")</f>
        <v>Weekday</v>
      </c>
      <c r="I7444" t="str">
        <f>_xlfn.IFS(B7444&lt;=5,"Night (0-5)",B7444&lt;=9,"Morning peak (6-9)",B7444&lt;=15,"Midday (10-15)",B7444&lt;=19,"Evening peak (16-19)",TRUE,"Late evening (20-23)")</f>
        <v>Midday (10-15)</v>
      </c>
    </row>
    <row r="7445" spans="1:9">
      <c r="A7445" s="32">
        <v>42132</v>
      </c>
      <c r="B7445">
        <v>14</v>
      </c>
      <c r="C7445">
        <v>3587</v>
      </c>
      <c r="D7445" t="s">
        <v>304</v>
      </c>
      <c r="E7445">
        <f>YEAR(A7445)</f>
        <v>2015</v>
      </c>
      <c r="F7445" s="33">
        <f>DATE(YEAR(A7445),MONTH(A7445),1)</f>
        <v>42125.0</v>
      </c>
      <c r="G7445" t="str">
        <f>CHOOSE(WEEKDAY(A7445,2),"Mon","Tue","Wed","Thu","Fri","Sat","Sun")</f>
        <v>Fri</v>
      </c>
      <c r="H7445" t="str">
        <f>IF(WEEKDAY(A7445,2)&gt;5,"Weekend","Weekday")</f>
        <v>Weekday</v>
      </c>
      <c r="I7445" t="str">
        <f>_xlfn.IFS(B7445&lt;=5,"Night (0-5)",B7445&lt;=9,"Morning peak (6-9)",B7445&lt;=15,"Midday (10-15)",B7445&lt;=19,"Evening peak (16-19)",TRUE,"Late evening (20-23)")</f>
        <v>Midday (10-15)</v>
      </c>
    </row>
    <row r="7446" spans="1:9">
      <c r="A7446" s="32">
        <v>42132</v>
      </c>
      <c r="B7446">
        <v>15</v>
      </c>
      <c r="C7446">
        <v>3927</v>
      </c>
      <c r="D7446" t="s">
        <v>304</v>
      </c>
      <c r="E7446">
        <f>YEAR(A7446)</f>
        <v>2015</v>
      </c>
      <c r="F7446" s="33">
        <f>DATE(YEAR(A7446),MONTH(A7446),1)</f>
        <v>42125.0</v>
      </c>
      <c r="G7446" t="str">
        <f>CHOOSE(WEEKDAY(A7446,2),"Mon","Tue","Wed","Thu","Fri","Sat","Sun")</f>
        <v>Fri</v>
      </c>
      <c r="H7446" t="str">
        <f>IF(WEEKDAY(A7446,2)&gt;5,"Weekend","Weekday")</f>
        <v>Weekday</v>
      </c>
      <c r="I7446" t="str">
        <f>_xlfn.IFS(B7446&lt;=5,"Night (0-5)",B7446&lt;=9,"Morning peak (6-9)",B7446&lt;=15,"Midday (10-15)",B7446&lt;=19,"Evening peak (16-19)",TRUE,"Late evening (20-23)")</f>
        <v>Midday (10-15)</v>
      </c>
    </row>
    <row r="7447" spans="1:9">
      <c r="A7447" s="32">
        <v>42132</v>
      </c>
      <c r="B7447">
        <v>16</v>
      </c>
      <c r="C7447">
        <v>4500</v>
      </c>
      <c r="D7447" t="s">
        <v>304</v>
      </c>
      <c r="E7447">
        <f>YEAR(A7447)</f>
        <v>2015</v>
      </c>
      <c r="F7447" s="33">
        <f>DATE(YEAR(A7447),MONTH(A7447),1)</f>
        <v>42125.0</v>
      </c>
      <c r="G7447" t="str">
        <f>CHOOSE(WEEKDAY(A7447,2),"Mon","Tue","Wed","Thu","Fri","Sat","Sun")</f>
        <v>Fri</v>
      </c>
      <c r="H7447" t="str">
        <f>IF(WEEKDAY(A7447,2)&gt;5,"Weekend","Weekday")</f>
        <v>Weekday</v>
      </c>
      <c r="I7447" t="str">
        <f>_xlfn.IFS(B7447&lt;=5,"Night (0-5)",B7447&lt;=9,"Morning peak (6-9)",B7447&lt;=15,"Midday (10-15)",B7447&lt;=19,"Evening peak (16-19)",TRUE,"Late evening (20-23)")</f>
        <v>Evening peak (16-19)</v>
      </c>
    </row>
    <row r="7448" spans="1:9">
      <c r="A7448" s="32">
        <v>42132</v>
      </c>
      <c r="B7448">
        <v>17</v>
      </c>
      <c r="C7448">
        <v>5341</v>
      </c>
      <c r="D7448" t="s">
        <v>304</v>
      </c>
      <c r="E7448">
        <f>YEAR(A7448)</f>
        <v>2015</v>
      </c>
      <c r="F7448" s="33">
        <f>DATE(YEAR(A7448),MONTH(A7448),1)</f>
        <v>42125.0</v>
      </c>
      <c r="G7448" t="str">
        <f>CHOOSE(WEEKDAY(A7448,2),"Mon","Tue","Wed","Thu","Fri","Sat","Sun")</f>
        <v>Fri</v>
      </c>
      <c r="H7448" t="str">
        <f>IF(WEEKDAY(A7448,2)&gt;5,"Weekend","Weekday")</f>
        <v>Weekday</v>
      </c>
      <c r="I7448" t="str">
        <f>_xlfn.IFS(B7448&lt;=5,"Night (0-5)",B7448&lt;=9,"Morning peak (6-9)",B7448&lt;=15,"Midday (10-15)",B7448&lt;=19,"Evening peak (16-19)",TRUE,"Late evening (20-23)")</f>
        <v>Evening peak (16-19)</v>
      </c>
    </row>
    <row r="7449" spans="1:9">
      <c r="A7449" s="32">
        <v>42132</v>
      </c>
      <c r="B7449">
        <v>18</v>
      </c>
      <c r="C7449">
        <v>6227</v>
      </c>
      <c r="D7449" t="s">
        <v>304</v>
      </c>
      <c r="E7449">
        <f>YEAR(A7449)</f>
        <v>2015</v>
      </c>
      <c r="F7449" s="33">
        <f>DATE(YEAR(A7449),MONTH(A7449),1)</f>
        <v>42125.0</v>
      </c>
      <c r="G7449" t="str">
        <f>CHOOSE(WEEKDAY(A7449,2),"Mon","Tue","Wed","Thu","Fri","Sat","Sun")</f>
        <v>Fri</v>
      </c>
      <c r="H7449" t="str">
        <f>IF(WEEKDAY(A7449,2)&gt;5,"Weekend","Weekday")</f>
        <v>Weekday</v>
      </c>
      <c r="I7449" t="str">
        <f>_xlfn.IFS(B7449&lt;=5,"Night (0-5)",B7449&lt;=9,"Morning peak (6-9)",B7449&lt;=15,"Midday (10-15)",B7449&lt;=19,"Evening peak (16-19)",TRUE,"Late evening (20-23)")</f>
        <v>Evening peak (16-19)</v>
      </c>
    </row>
    <row r="7450" spans="1:9">
      <c r="A7450" s="32">
        <v>42132</v>
      </c>
      <c r="B7450">
        <v>19</v>
      </c>
      <c r="C7450">
        <v>6415</v>
      </c>
      <c r="D7450" t="s">
        <v>304</v>
      </c>
      <c r="E7450">
        <f>YEAR(A7450)</f>
        <v>2015</v>
      </c>
      <c r="F7450" s="33">
        <f>DATE(YEAR(A7450),MONTH(A7450),1)</f>
        <v>42125.0</v>
      </c>
      <c r="G7450" t="str">
        <f>CHOOSE(WEEKDAY(A7450,2),"Mon","Tue","Wed","Thu","Fri","Sat","Sun")</f>
        <v>Fri</v>
      </c>
      <c r="H7450" t="str">
        <f>IF(WEEKDAY(A7450,2)&gt;5,"Weekend","Weekday")</f>
        <v>Weekday</v>
      </c>
      <c r="I7450" t="str">
        <f>_xlfn.IFS(B7450&lt;=5,"Night (0-5)",B7450&lt;=9,"Morning peak (6-9)",B7450&lt;=15,"Midday (10-15)",B7450&lt;=19,"Evening peak (16-19)",TRUE,"Late evening (20-23)")</f>
        <v>Evening peak (16-19)</v>
      </c>
    </row>
    <row r="7451" spans="1:9">
      <c r="A7451" s="32">
        <v>42132</v>
      </c>
      <c r="B7451">
        <v>20</v>
      </c>
      <c r="C7451">
        <v>5857</v>
      </c>
      <c r="D7451" t="s">
        <v>304</v>
      </c>
      <c r="E7451">
        <f>YEAR(A7451)</f>
        <v>2015</v>
      </c>
      <c r="F7451" s="33">
        <f>DATE(YEAR(A7451),MONTH(A7451),1)</f>
        <v>42125.0</v>
      </c>
      <c r="G7451" t="str">
        <f>CHOOSE(WEEKDAY(A7451,2),"Mon","Tue","Wed","Thu","Fri","Sat","Sun")</f>
        <v>Fri</v>
      </c>
      <c r="H7451" t="str">
        <f>IF(WEEKDAY(A7451,2)&gt;5,"Weekend","Weekday")</f>
        <v>Weekday</v>
      </c>
      <c r="I7451" t="str">
        <f>_xlfn.IFS(B7451&lt;=5,"Night (0-5)",B7451&lt;=9,"Morning peak (6-9)",B7451&lt;=15,"Midday (10-15)",B7451&lt;=19,"Evening peak (16-19)",TRUE,"Late evening (20-23)")</f>
        <v>Late evening (20-23)</v>
      </c>
    </row>
    <row r="7452" spans="1:9">
      <c r="A7452" s="32">
        <v>42132</v>
      </c>
      <c r="B7452">
        <v>21</v>
      </c>
      <c r="C7452">
        <v>5714</v>
      </c>
      <c r="D7452" t="s">
        <v>304</v>
      </c>
      <c r="E7452">
        <f>YEAR(A7452)</f>
        <v>2015</v>
      </c>
      <c r="F7452" s="33">
        <f>DATE(YEAR(A7452),MONTH(A7452),1)</f>
        <v>42125.0</v>
      </c>
      <c r="G7452" t="str">
        <f>CHOOSE(WEEKDAY(A7452,2),"Mon","Tue","Wed","Thu","Fri","Sat","Sun")</f>
        <v>Fri</v>
      </c>
      <c r="H7452" t="str">
        <f>IF(WEEKDAY(A7452,2)&gt;5,"Weekend","Weekday")</f>
        <v>Weekday</v>
      </c>
      <c r="I7452" t="str">
        <f>_xlfn.IFS(B7452&lt;=5,"Night (0-5)",B7452&lt;=9,"Morning peak (6-9)",B7452&lt;=15,"Midday (10-15)",B7452&lt;=19,"Evening peak (16-19)",TRUE,"Late evening (20-23)")</f>
        <v>Late evening (20-23)</v>
      </c>
    </row>
    <row r="7453" spans="1:9">
      <c r="A7453" s="32">
        <v>42132</v>
      </c>
      <c r="B7453">
        <v>22</v>
      </c>
      <c r="C7453">
        <v>6670</v>
      </c>
      <c r="D7453" t="s">
        <v>304</v>
      </c>
      <c r="E7453">
        <f>YEAR(A7453)</f>
        <v>2015</v>
      </c>
      <c r="F7453" s="33">
        <f>DATE(YEAR(A7453),MONTH(A7453),1)</f>
        <v>42125.0</v>
      </c>
      <c r="G7453" t="str">
        <f>CHOOSE(WEEKDAY(A7453,2),"Mon","Tue","Wed","Thu","Fri","Sat","Sun")</f>
        <v>Fri</v>
      </c>
      <c r="H7453" t="str">
        <f>IF(WEEKDAY(A7453,2)&gt;5,"Weekend","Weekday")</f>
        <v>Weekday</v>
      </c>
      <c r="I7453" t="str">
        <f>_xlfn.IFS(B7453&lt;=5,"Night (0-5)",B7453&lt;=9,"Morning peak (6-9)",B7453&lt;=15,"Midday (10-15)",B7453&lt;=19,"Evening peak (16-19)",TRUE,"Late evening (20-23)")</f>
        <v>Late evening (20-23)</v>
      </c>
    </row>
    <row r="7454" spans="1:9">
      <c r="A7454" s="32">
        <v>42132</v>
      </c>
      <c r="B7454">
        <v>23</v>
      </c>
      <c r="C7454">
        <v>7117</v>
      </c>
      <c r="D7454" t="s">
        <v>304</v>
      </c>
      <c r="E7454">
        <f>YEAR(A7454)</f>
        <v>2015</v>
      </c>
      <c r="F7454" s="33">
        <f>DATE(YEAR(A7454),MONTH(A7454),1)</f>
        <v>42125.0</v>
      </c>
      <c r="G7454" t="str">
        <f>CHOOSE(WEEKDAY(A7454,2),"Mon","Tue","Wed","Thu","Fri","Sat","Sun")</f>
        <v>Fri</v>
      </c>
      <c r="H7454" t="str">
        <f>IF(WEEKDAY(A7454,2)&gt;5,"Weekend","Weekday")</f>
        <v>Weekday</v>
      </c>
      <c r="I7454" t="str">
        <f>_xlfn.IFS(B7454&lt;=5,"Night (0-5)",B7454&lt;=9,"Morning peak (6-9)",B7454&lt;=15,"Midday (10-15)",B7454&lt;=19,"Evening peak (16-19)",TRUE,"Late evening (20-23)")</f>
        <v>Late evening (20-23)</v>
      </c>
    </row>
    <row r="7455" spans="1:9">
      <c r="A7455" s="32">
        <v>42133</v>
      </c>
      <c r="B7455">
        <v>0</v>
      </c>
      <c r="C7455">
        <v>6286</v>
      </c>
      <c r="D7455" t="s">
        <v>304</v>
      </c>
      <c r="E7455">
        <f>YEAR(A7455)</f>
        <v>2015</v>
      </c>
      <c r="F7455" s="33">
        <f>DATE(YEAR(A7455),MONTH(A7455),1)</f>
        <v>42125.0</v>
      </c>
      <c r="G7455" t="str">
        <f>CHOOSE(WEEKDAY(A7455,2),"Mon","Tue","Wed","Thu","Fri","Sat","Sun")</f>
        <v>Sat</v>
      </c>
      <c r="H7455" t="str">
        <f>IF(WEEKDAY(A7455,2)&gt;5,"Weekend","Weekday")</f>
        <v>Weekend</v>
      </c>
      <c r="I7455" t="str">
        <f>_xlfn.IFS(B7455&lt;=5,"Night (0-5)",B7455&lt;=9,"Morning peak (6-9)",B7455&lt;=15,"Midday (10-15)",B7455&lt;=19,"Evening peak (16-19)",TRUE,"Late evening (20-23)")</f>
        <v>Night (0-5)</v>
      </c>
    </row>
    <row r="7456" spans="1:9">
      <c r="A7456" s="32">
        <v>42133</v>
      </c>
      <c r="B7456">
        <v>1</v>
      </c>
      <c r="C7456">
        <v>4365</v>
      </c>
      <c r="D7456" t="s">
        <v>304</v>
      </c>
      <c r="E7456">
        <f>YEAR(A7456)</f>
        <v>2015</v>
      </c>
      <c r="F7456" s="33">
        <f>DATE(YEAR(A7456),MONTH(A7456),1)</f>
        <v>42125.0</v>
      </c>
      <c r="G7456" t="str">
        <f>CHOOSE(WEEKDAY(A7456,2),"Mon","Tue","Wed","Thu","Fri","Sat","Sun")</f>
        <v>Sat</v>
      </c>
      <c r="H7456" t="str">
        <f>IF(WEEKDAY(A7456,2)&gt;5,"Weekend","Weekday")</f>
        <v>Weekend</v>
      </c>
      <c r="I7456" t="str">
        <f>_xlfn.IFS(B7456&lt;=5,"Night (0-5)",B7456&lt;=9,"Morning peak (6-9)",B7456&lt;=15,"Midday (10-15)",B7456&lt;=19,"Evening peak (16-19)",TRUE,"Late evening (20-23)")</f>
        <v>Night (0-5)</v>
      </c>
    </row>
    <row r="7457" spans="1:9">
      <c r="A7457" s="32">
        <v>42133</v>
      </c>
      <c r="B7457">
        <v>2</v>
      </c>
      <c r="C7457">
        <v>2868</v>
      </c>
      <c r="D7457" t="s">
        <v>304</v>
      </c>
      <c r="E7457">
        <f>YEAR(A7457)</f>
        <v>2015</v>
      </c>
      <c r="F7457" s="33">
        <f>DATE(YEAR(A7457),MONTH(A7457),1)</f>
        <v>42125.0</v>
      </c>
      <c r="G7457" t="str">
        <f>CHOOSE(WEEKDAY(A7457,2),"Mon","Tue","Wed","Thu","Fri","Sat","Sun")</f>
        <v>Sat</v>
      </c>
      <c r="H7457" t="str">
        <f>IF(WEEKDAY(A7457,2)&gt;5,"Weekend","Weekday")</f>
        <v>Weekend</v>
      </c>
      <c r="I7457" t="str">
        <f>_xlfn.IFS(B7457&lt;=5,"Night (0-5)",B7457&lt;=9,"Morning peak (6-9)",B7457&lt;=15,"Midday (10-15)",B7457&lt;=19,"Evening peak (16-19)",TRUE,"Late evening (20-23)")</f>
        <v>Night (0-5)</v>
      </c>
    </row>
    <row r="7458" spans="1:9">
      <c r="A7458" s="32">
        <v>42133</v>
      </c>
      <c r="B7458">
        <v>3</v>
      </c>
      <c r="C7458">
        <v>1851</v>
      </c>
      <c r="D7458" t="s">
        <v>304</v>
      </c>
      <c r="E7458">
        <f>YEAR(A7458)</f>
        <v>2015</v>
      </c>
      <c r="F7458" s="33">
        <f>DATE(YEAR(A7458),MONTH(A7458),1)</f>
        <v>42125.0</v>
      </c>
      <c r="G7458" t="str">
        <f>CHOOSE(WEEKDAY(A7458,2),"Mon","Tue","Wed","Thu","Fri","Sat","Sun")</f>
        <v>Sat</v>
      </c>
      <c r="H7458" t="str">
        <f>IF(WEEKDAY(A7458,2)&gt;5,"Weekend","Weekday")</f>
        <v>Weekend</v>
      </c>
      <c r="I7458" t="str">
        <f>_xlfn.IFS(B7458&lt;=5,"Night (0-5)",B7458&lt;=9,"Morning peak (6-9)",B7458&lt;=15,"Midday (10-15)",B7458&lt;=19,"Evening peak (16-19)",TRUE,"Late evening (20-23)")</f>
        <v>Night (0-5)</v>
      </c>
    </row>
    <row r="7459" spans="1:9">
      <c r="A7459" s="32">
        <v>42133</v>
      </c>
      <c r="B7459">
        <v>4</v>
      </c>
      <c r="C7459">
        <v>1421</v>
      </c>
      <c r="D7459" t="s">
        <v>304</v>
      </c>
      <c r="E7459">
        <f>YEAR(A7459)</f>
        <v>2015</v>
      </c>
      <c r="F7459" s="33">
        <f>DATE(YEAR(A7459),MONTH(A7459),1)</f>
        <v>42125.0</v>
      </c>
      <c r="G7459" t="str">
        <f>CHOOSE(WEEKDAY(A7459,2),"Mon","Tue","Wed","Thu","Fri","Sat","Sun")</f>
        <v>Sat</v>
      </c>
      <c r="H7459" t="str">
        <f>IF(WEEKDAY(A7459,2)&gt;5,"Weekend","Weekday")</f>
        <v>Weekend</v>
      </c>
      <c r="I7459" t="str">
        <f>_xlfn.IFS(B7459&lt;=5,"Night (0-5)",B7459&lt;=9,"Morning peak (6-9)",B7459&lt;=15,"Midday (10-15)",B7459&lt;=19,"Evening peak (16-19)",TRUE,"Late evening (20-23)")</f>
        <v>Night (0-5)</v>
      </c>
    </row>
    <row r="7460" spans="1:9">
      <c r="A7460" s="32">
        <v>42133</v>
      </c>
      <c r="B7460">
        <v>5</v>
      </c>
      <c r="C7460">
        <v>1060</v>
      </c>
      <c r="D7460" t="s">
        <v>304</v>
      </c>
      <c r="E7460">
        <f>YEAR(A7460)</f>
        <v>2015</v>
      </c>
      <c r="F7460" s="33">
        <f>DATE(YEAR(A7460),MONTH(A7460),1)</f>
        <v>42125.0</v>
      </c>
      <c r="G7460" t="str">
        <f>CHOOSE(WEEKDAY(A7460,2),"Mon","Tue","Wed","Thu","Fri","Sat","Sun")</f>
        <v>Sat</v>
      </c>
      <c r="H7460" t="str">
        <f>IF(WEEKDAY(A7460,2)&gt;5,"Weekend","Weekday")</f>
        <v>Weekend</v>
      </c>
      <c r="I7460" t="str">
        <f>_xlfn.IFS(B7460&lt;=5,"Night (0-5)",B7460&lt;=9,"Morning peak (6-9)",B7460&lt;=15,"Midday (10-15)",B7460&lt;=19,"Evening peak (16-19)",TRUE,"Late evening (20-23)")</f>
        <v>Night (0-5)</v>
      </c>
    </row>
    <row r="7461" spans="1:9">
      <c r="A7461" s="32">
        <v>42133</v>
      </c>
      <c r="B7461">
        <v>6</v>
      </c>
      <c r="C7461">
        <v>1139</v>
      </c>
      <c r="D7461" t="s">
        <v>304</v>
      </c>
      <c r="E7461">
        <f>YEAR(A7461)</f>
        <v>2015</v>
      </c>
      <c r="F7461" s="33">
        <f>DATE(YEAR(A7461),MONTH(A7461),1)</f>
        <v>42125.0</v>
      </c>
      <c r="G7461" t="str">
        <f>CHOOSE(WEEKDAY(A7461,2),"Mon","Tue","Wed","Thu","Fri","Sat","Sun")</f>
        <v>Sat</v>
      </c>
      <c r="H7461" t="str">
        <f>IF(WEEKDAY(A7461,2)&gt;5,"Weekend","Weekday")</f>
        <v>Weekend</v>
      </c>
      <c r="I7461" t="str">
        <f>_xlfn.IFS(B7461&lt;=5,"Night (0-5)",B7461&lt;=9,"Morning peak (6-9)",B7461&lt;=15,"Midday (10-15)",B7461&lt;=19,"Evening peak (16-19)",TRUE,"Late evening (20-23)")</f>
        <v>Morning peak (6-9)</v>
      </c>
    </row>
    <row r="7462" spans="1:9">
      <c r="A7462" s="32">
        <v>42133</v>
      </c>
      <c r="B7462">
        <v>7</v>
      </c>
      <c r="C7462">
        <v>1369</v>
      </c>
      <c r="D7462" t="s">
        <v>304</v>
      </c>
      <c r="E7462">
        <f>YEAR(A7462)</f>
        <v>2015</v>
      </c>
      <c r="F7462" s="33">
        <f>DATE(YEAR(A7462),MONTH(A7462),1)</f>
        <v>42125.0</v>
      </c>
      <c r="G7462" t="str">
        <f>CHOOSE(WEEKDAY(A7462,2),"Mon","Tue","Wed","Thu","Fri","Sat","Sun")</f>
        <v>Sat</v>
      </c>
      <c r="H7462" t="str">
        <f>IF(WEEKDAY(A7462,2)&gt;5,"Weekend","Weekday")</f>
        <v>Weekend</v>
      </c>
      <c r="I7462" t="str">
        <f>_xlfn.IFS(B7462&lt;=5,"Night (0-5)",B7462&lt;=9,"Morning peak (6-9)",B7462&lt;=15,"Midday (10-15)",B7462&lt;=19,"Evening peak (16-19)",TRUE,"Late evening (20-23)")</f>
        <v>Morning peak (6-9)</v>
      </c>
    </row>
    <row r="7463" spans="1:9">
      <c r="A7463" s="32">
        <v>42133</v>
      </c>
      <c r="B7463">
        <v>8</v>
      </c>
      <c r="C7463">
        <v>2090</v>
      </c>
      <c r="D7463" t="s">
        <v>304</v>
      </c>
      <c r="E7463">
        <f>YEAR(A7463)</f>
        <v>2015</v>
      </c>
      <c r="F7463" s="33">
        <f>DATE(YEAR(A7463),MONTH(A7463),1)</f>
        <v>42125.0</v>
      </c>
      <c r="G7463" t="str">
        <f>CHOOSE(WEEKDAY(A7463,2),"Mon","Tue","Wed","Thu","Fri","Sat","Sun")</f>
        <v>Sat</v>
      </c>
      <c r="H7463" t="str">
        <f>IF(WEEKDAY(A7463,2)&gt;5,"Weekend","Weekday")</f>
        <v>Weekend</v>
      </c>
      <c r="I7463" t="str">
        <f>_xlfn.IFS(B7463&lt;=5,"Night (0-5)",B7463&lt;=9,"Morning peak (6-9)",B7463&lt;=15,"Midday (10-15)",B7463&lt;=19,"Evening peak (16-19)",TRUE,"Late evening (20-23)")</f>
        <v>Morning peak (6-9)</v>
      </c>
    </row>
    <row r="7464" spans="1:9">
      <c r="A7464" s="32">
        <v>42133</v>
      </c>
      <c r="B7464">
        <v>9</v>
      </c>
      <c r="C7464">
        <v>2751</v>
      </c>
      <c r="D7464" t="s">
        <v>304</v>
      </c>
      <c r="E7464">
        <f>YEAR(A7464)</f>
        <v>2015</v>
      </c>
      <c r="F7464" s="33">
        <f>DATE(YEAR(A7464),MONTH(A7464),1)</f>
        <v>42125.0</v>
      </c>
      <c r="G7464" t="str">
        <f>CHOOSE(WEEKDAY(A7464,2),"Mon","Tue","Wed","Thu","Fri","Sat","Sun")</f>
        <v>Sat</v>
      </c>
      <c r="H7464" t="str">
        <f>IF(WEEKDAY(A7464,2)&gt;5,"Weekend","Weekday")</f>
        <v>Weekend</v>
      </c>
      <c r="I7464" t="str">
        <f>_xlfn.IFS(B7464&lt;=5,"Night (0-5)",B7464&lt;=9,"Morning peak (6-9)",B7464&lt;=15,"Midday (10-15)",B7464&lt;=19,"Evening peak (16-19)",TRUE,"Late evening (20-23)")</f>
        <v>Morning peak (6-9)</v>
      </c>
    </row>
    <row r="7465" spans="1:9">
      <c r="A7465" s="32">
        <v>42133</v>
      </c>
      <c r="B7465">
        <v>10</v>
      </c>
      <c r="C7465">
        <v>3398</v>
      </c>
      <c r="D7465" t="s">
        <v>304</v>
      </c>
      <c r="E7465">
        <f>YEAR(A7465)</f>
        <v>2015</v>
      </c>
      <c r="F7465" s="33">
        <f>DATE(YEAR(A7465),MONTH(A7465),1)</f>
        <v>42125.0</v>
      </c>
      <c r="G7465" t="str">
        <f>CHOOSE(WEEKDAY(A7465,2),"Mon","Tue","Wed","Thu","Fri","Sat","Sun")</f>
        <v>Sat</v>
      </c>
      <c r="H7465" t="str">
        <f>IF(WEEKDAY(A7465,2)&gt;5,"Weekend","Weekday")</f>
        <v>Weekend</v>
      </c>
      <c r="I7465" t="str">
        <f>_xlfn.IFS(B7465&lt;=5,"Night (0-5)",B7465&lt;=9,"Morning peak (6-9)",B7465&lt;=15,"Midday (10-15)",B7465&lt;=19,"Evening peak (16-19)",TRUE,"Late evening (20-23)")</f>
        <v>Midday (10-15)</v>
      </c>
    </row>
    <row r="7466" spans="1:9">
      <c r="A7466" s="32">
        <v>42133</v>
      </c>
      <c r="B7466">
        <v>11</v>
      </c>
      <c r="C7466">
        <v>3720</v>
      </c>
      <c r="D7466" t="s">
        <v>304</v>
      </c>
      <c r="E7466">
        <f>YEAR(A7466)</f>
        <v>2015</v>
      </c>
      <c r="F7466" s="33">
        <f>DATE(YEAR(A7466),MONTH(A7466),1)</f>
        <v>42125.0</v>
      </c>
      <c r="G7466" t="str">
        <f>CHOOSE(WEEKDAY(A7466,2),"Mon","Tue","Wed","Thu","Fri","Sat","Sun")</f>
        <v>Sat</v>
      </c>
      <c r="H7466" t="str">
        <f>IF(WEEKDAY(A7466,2)&gt;5,"Weekend","Weekday")</f>
        <v>Weekend</v>
      </c>
      <c r="I7466" t="str">
        <f>_xlfn.IFS(B7466&lt;=5,"Night (0-5)",B7466&lt;=9,"Morning peak (6-9)",B7466&lt;=15,"Midday (10-15)",B7466&lt;=19,"Evening peak (16-19)",TRUE,"Late evening (20-23)")</f>
        <v>Midday (10-15)</v>
      </c>
    </row>
    <row r="7467" spans="1:9">
      <c r="A7467" s="32">
        <v>42133</v>
      </c>
      <c r="B7467">
        <v>12</v>
      </c>
      <c r="C7467">
        <v>4203</v>
      </c>
      <c r="D7467" t="s">
        <v>304</v>
      </c>
      <c r="E7467">
        <f>YEAR(A7467)</f>
        <v>2015</v>
      </c>
      <c r="F7467" s="33">
        <f>DATE(YEAR(A7467),MONTH(A7467),1)</f>
        <v>42125.0</v>
      </c>
      <c r="G7467" t="str">
        <f>CHOOSE(WEEKDAY(A7467,2),"Mon","Tue","Wed","Thu","Fri","Sat","Sun")</f>
        <v>Sat</v>
      </c>
      <c r="H7467" t="str">
        <f>IF(WEEKDAY(A7467,2)&gt;5,"Weekend","Weekday")</f>
        <v>Weekend</v>
      </c>
      <c r="I7467" t="str">
        <f>_xlfn.IFS(B7467&lt;=5,"Night (0-5)",B7467&lt;=9,"Morning peak (6-9)",B7467&lt;=15,"Midday (10-15)",B7467&lt;=19,"Evening peak (16-19)",TRUE,"Late evening (20-23)")</f>
        <v>Midday (10-15)</v>
      </c>
    </row>
    <row r="7468" spans="1:9">
      <c r="A7468" s="32">
        <v>42133</v>
      </c>
      <c r="B7468">
        <v>13</v>
      </c>
      <c r="C7468">
        <v>4279</v>
      </c>
      <c r="D7468" t="s">
        <v>304</v>
      </c>
      <c r="E7468">
        <f>YEAR(A7468)</f>
        <v>2015</v>
      </c>
      <c r="F7468" s="33">
        <f>DATE(YEAR(A7468),MONTH(A7468),1)</f>
        <v>42125.0</v>
      </c>
      <c r="G7468" t="str">
        <f>CHOOSE(WEEKDAY(A7468,2),"Mon","Tue","Wed","Thu","Fri","Sat","Sun")</f>
        <v>Sat</v>
      </c>
      <c r="H7468" t="str">
        <f>IF(WEEKDAY(A7468,2)&gt;5,"Weekend","Weekday")</f>
        <v>Weekend</v>
      </c>
      <c r="I7468" t="str">
        <f>_xlfn.IFS(B7468&lt;=5,"Night (0-5)",B7468&lt;=9,"Morning peak (6-9)",B7468&lt;=15,"Midday (10-15)",B7468&lt;=19,"Evening peak (16-19)",TRUE,"Late evening (20-23)")</f>
        <v>Midday (10-15)</v>
      </c>
    </row>
    <row r="7469" spans="1:9">
      <c r="A7469" s="32">
        <v>42133</v>
      </c>
      <c r="B7469">
        <v>14</v>
      </c>
      <c r="C7469">
        <v>4270</v>
      </c>
      <c r="D7469" t="s">
        <v>304</v>
      </c>
      <c r="E7469">
        <f>YEAR(A7469)</f>
        <v>2015</v>
      </c>
      <c r="F7469" s="33">
        <f>DATE(YEAR(A7469),MONTH(A7469),1)</f>
        <v>42125.0</v>
      </c>
      <c r="G7469" t="str">
        <f>CHOOSE(WEEKDAY(A7469,2),"Mon","Tue","Wed","Thu","Fri","Sat","Sun")</f>
        <v>Sat</v>
      </c>
      <c r="H7469" t="str">
        <f>IF(WEEKDAY(A7469,2)&gt;5,"Weekend","Weekday")</f>
        <v>Weekend</v>
      </c>
      <c r="I7469" t="str">
        <f>_xlfn.IFS(B7469&lt;=5,"Night (0-5)",B7469&lt;=9,"Morning peak (6-9)",B7469&lt;=15,"Midday (10-15)",B7469&lt;=19,"Evening peak (16-19)",TRUE,"Late evening (20-23)")</f>
        <v>Midday (10-15)</v>
      </c>
    </row>
    <row r="7470" spans="1:9">
      <c r="A7470" s="32">
        <v>42133</v>
      </c>
      <c r="B7470">
        <v>15</v>
      </c>
      <c r="C7470">
        <v>4495</v>
      </c>
      <c r="D7470" t="s">
        <v>304</v>
      </c>
      <c r="E7470">
        <f>YEAR(A7470)</f>
        <v>2015</v>
      </c>
      <c r="F7470" s="33">
        <f>DATE(YEAR(A7470),MONTH(A7470),1)</f>
        <v>42125.0</v>
      </c>
      <c r="G7470" t="str">
        <f>CHOOSE(WEEKDAY(A7470,2),"Mon","Tue","Wed","Thu","Fri","Sat","Sun")</f>
        <v>Sat</v>
      </c>
      <c r="H7470" t="str">
        <f>IF(WEEKDAY(A7470,2)&gt;5,"Weekend","Weekday")</f>
        <v>Weekend</v>
      </c>
      <c r="I7470" t="str">
        <f>_xlfn.IFS(B7470&lt;=5,"Night (0-5)",B7470&lt;=9,"Morning peak (6-9)",B7470&lt;=15,"Midday (10-15)",B7470&lt;=19,"Evening peak (16-19)",TRUE,"Late evening (20-23)")</f>
        <v>Midday (10-15)</v>
      </c>
    </row>
    <row r="7471" spans="1:9">
      <c r="A7471" s="32">
        <v>42133</v>
      </c>
      <c r="B7471">
        <v>16</v>
      </c>
      <c r="C7471">
        <v>5134</v>
      </c>
      <c r="D7471" t="s">
        <v>304</v>
      </c>
      <c r="E7471">
        <f>YEAR(A7471)</f>
        <v>2015</v>
      </c>
      <c r="F7471" s="33">
        <f>DATE(YEAR(A7471),MONTH(A7471),1)</f>
        <v>42125.0</v>
      </c>
      <c r="G7471" t="str">
        <f>CHOOSE(WEEKDAY(A7471,2),"Mon","Tue","Wed","Thu","Fri","Sat","Sun")</f>
        <v>Sat</v>
      </c>
      <c r="H7471" t="str">
        <f>IF(WEEKDAY(A7471,2)&gt;5,"Weekend","Weekday")</f>
        <v>Weekend</v>
      </c>
      <c r="I7471" t="str">
        <f>_xlfn.IFS(B7471&lt;=5,"Night (0-5)",B7471&lt;=9,"Morning peak (6-9)",B7471&lt;=15,"Midday (10-15)",B7471&lt;=19,"Evening peak (16-19)",TRUE,"Late evening (20-23)")</f>
        <v>Evening peak (16-19)</v>
      </c>
    </row>
    <row r="7472" spans="1:9">
      <c r="A7472" s="32">
        <v>42133</v>
      </c>
      <c r="B7472">
        <v>17</v>
      </c>
      <c r="C7472">
        <v>5952</v>
      </c>
      <c r="D7472" t="s">
        <v>304</v>
      </c>
      <c r="E7472">
        <f>YEAR(A7472)</f>
        <v>2015</v>
      </c>
      <c r="F7472" s="33">
        <f>DATE(YEAR(A7472),MONTH(A7472),1)</f>
        <v>42125.0</v>
      </c>
      <c r="G7472" t="str">
        <f>CHOOSE(WEEKDAY(A7472,2),"Mon","Tue","Wed","Thu","Fri","Sat","Sun")</f>
        <v>Sat</v>
      </c>
      <c r="H7472" t="str">
        <f>IF(WEEKDAY(A7472,2)&gt;5,"Weekend","Weekday")</f>
        <v>Weekend</v>
      </c>
      <c r="I7472" t="str">
        <f>_xlfn.IFS(B7472&lt;=5,"Night (0-5)",B7472&lt;=9,"Morning peak (6-9)",B7472&lt;=15,"Midday (10-15)",B7472&lt;=19,"Evening peak (16-19)",TRUE,"Late evening (20-23)")</f>
        <v>Evening peak (16-19)</v>
      </c>
    </row>
    <row r="7473" spans="1:9">
      <c r="A7473" s="32">
        <v>42133</v>
      </c>
      <c r="B7473">
        <v>18</v>
      </c>
      <c r="C7473">
        <v>5992</v>
      </c>
      <c r="D7473" t="s">
        <v>304</v>
      </c>
      <c r="E7473">
        <f>YEAR(A7473)</f>
        <v>2015</v>
      </c>
      <c r="F7473" s="33">
        <f>DATE(YEAR(A7473),MONTH(A7473),1)</f>
        <v>42125.0</v>
      </c>
      <c r="G7473" t="str">
        <f>CHOOSE(WEEKDAY(A7473,2),"Mon","Tue","Wed","Thu","Fri","Sat","Sun")</f>
        <v>Sat</v>
      </c>
      <c r="H7473" t="str">
        <f>IF(WEEKDAY(A7473,2)&gt;5,"Weekend","Weekday")</f>
        <v>Weekend</v>
      </c>
      <c r="I7473" t="str">
        <f>_xlfn.IFS(B7473&lt;=5,"Night (0-5)",B7473&lt;=9,"Morning peak (6-9)",B7473&lt;=15,"Midday (10-15)",B7473&lt;=19,"Evening peak (16-19)",TRUE,"Late evening (20-23)")</f>
        <v>Evening peak (16-19)</v>
      </c>
    </row>
    <row r="7474" spans="1:9">
      <c r="A7474" s="32">
        <v>42133</v>
      </c>
      <c r="B7474">
        <v>19</v>
      </c>
      <c r="C7474">
        <v>6677</v>
      </c>
      <c r="D7474" t="s">
        <v>304</v>
      </c>
      <c r="E7474">
        <f>YEAR(A7474)</f>
        <v>2015</v>
      </c>
      <c r="F7474" s="33">
        <f>DATE(YEAR(A7474),MONTH(A7474),1)</f>
        <v>42125.0</v>
      </c>
      <c r="G7474" t="str">
        <f>CHOOSE(WEEKDAY(A7474,2),"Mon","Tue","Wed","Thu","Fri","Sat","Sun")</f>
        <v>Sat</v>
      </c>
      <c r="H7474" t="str">
        <f>IF(WEEKDAY(A7474,2)&gt;5,"Weekend","Weekday")</f>
        <v>Weekend</v>
      </c>
      <c r="I7474" t="str">
        <f>_xlfn.IFS(B7474&lt;=5,"Night (0-5)",B7474&lt;=9,"Morning peak (6-9)",B7474&lt;=15,"Midday (10-15)",B7474&lt;=19,"Evening peak (16-19)",TRUE,"Late evening (20-23)")</f>
        <v>Evening peak (16-19)</v>
      </c>
    </row>
    <row r="7475" spans="1:9">
      <c r="A7475" s="32">
        <v>42133</v>
      </c>
      <c r="B7475">
        <v>20</v>
      </c>
      <c r="C7475">
        <v>6038</v>
      </c>
      <c r="D7475" t="s">
        <v>304</v>
      </c>
      <c r="E7475">
        <f>YEAR(A7475)</f>
        <v>2015</v>
      </c>
      <c r="F7475" s="33">
        <f>DATE(YEAR(A7475),MONTH(A7475),1)</f>
        <v>42125.0</v>
      </c>
      <c r="G7475" t="str">
        <f>CHOOSE(WEEKDAY(A7475,2),"Mon","Tue","Wed","Thu","Fri","Sat","Sun")</f>
        <v>Sat</v>
      </c>
      <c r="H7475" t="str">
        <f>IF(WEEKDAY(A7475,2)&gt;5,"Weekend","Weekday")</f>
        <v>Weekend</v>
      </c>
      <c r="I7475" t="str">
        <f>_xlfn.IFS(B7475&lt;=5,"Night (0-5)",B7475&lt;=9,"Morning peak (6-9)",B7475&lt;=15,"Midday (10-15)",B7475&lt;=19,"Evening peak (16-19)",TRUE,"Late evening (20-23)")</f>
        <v>Late evening (20-23)</v>
      </c>
    </row>
    <row r="7476" spans="1:9">
      <c r="A7476" s="32">
        <v>42133</v>
      </c>
      <c r="B7476">
        <v>21</v>
      </c>
      <c r="C7476">
        <v>5774</v>
      </c>
      <c r="D7476" t="s">
        <v>304</v>
      </c>
      <c r="E7476">
        <f>YEAR(A7476)</f>
        <v>2015</v>
      </c>
      <c r="F7476" s="33">
        <f>DATE(YEAR(A7476),MONTH(A7476),1)</f>
        <v>42125.0</v>
      </c>
      <c r="G7476" t="str">
        <f>CHOOSE(WEEKDAY(A7476,2),"Mon","Tue","Wed","Thu","Fri","Sat","Sun")</f>
        <v>Sat</v>
      </c>
      <c r="H7476" t="str">
        <f>IF(WEEKDAY(A7476,2)&gt;5,"Weekend","Weekday")</f>
        <v>Weekend</v>
      </c>
      <c r="I7476" t="str">
        <f>_xlfn.IFS(B7476&lt;=5,"Night (0-5)",B7476&lt;=9,"Morning peak (6-9)",B7476&lt;=15,"Midday (10-15)",B7476&lt;=19,"Evening peak (16-19)",TRUE,"Late evening (20-23)")</f>
        <v>Late evening (20-23)</v>
      </c>
    </row>
    <row r="7477" spans="1:9">
      <c r="A7477" s="32">
        <v>42133</v>
      </c>
      <c r="B7477">
        <v>22</v>
      </c>
      <c r="C7477">
        <v>6289</v>
      </c>
      <c r="D7477" t="s">
        <v>304</v>
      </c>
      <c r="E7477">
        <f>YEAR(A7477)</f>
        <v>2015</v>
      </c>
      <c r="F7477" s="33">
        <f>DATE(YEAR(A7477),MONTH(A7477),1)</f>
        <v>42125.0</v>
      </c>
      <c r="G7477" t="str">
        <f>CHOOSE(WEEKDAY(A7477,2),"Mon","Tue","Wed","Thu","Fri","Sat","Sun")</f>
        <v>Sat</v>
      </c>
      <c r="H7477" t="str">
        <f>IF(WEEKDAY(A7477,2)&gt;5,"Weekend","Weekday")</f>
        <v>Weekend</v>
      </c>
      <c r="I7477" t="str">
        <f>_xlfn.IFS(B7477&lt;=5,"Night (0-5)",B7477&lt;=9,"Morning peak (6-9)",B7477&lt;=15,"Midday (10-15)",B7477&lt;=19,"Evening peak (16-19)",TRUE,"Late evening (20-23)")</f>
        <v>Late evening (20-23)</v>
      </c>
    </row>
    <row r="7478" spans="1:9">
      <c r="A7478" s="32">
        <v>42133</v>
      </c>
      <c r="B7478">
        <v>23</v>
      </c>
      <c r="C7478">
        <v>6938</v>
      </c>
      <c r="D7478" t="s">
        <v>304</v>
      </c>
      <c r="E7478">
        <f>YEAR(A7478)</f>
        <v>2015</v>
      </c>
      <c r="F7478" s="33">
        <f>DATE(YEAR(A7478),MONTH(A7478),1)</f>
        <v>42125.0</v>
      </c>
      <c r="G7478" t="str">
        <f>CHOOSE(WEEKDAY(A7478,2),"Mon","Tue","Wed","Thu","Fri","Sat","Sun")</f>
        <v>Sat</v>
      </c>
      <c r="H7478" t="str">
        <f>IF(WEEKDAY(A7478,2)&gt;5,"Weekend","Weekday")</f>
        <v>Weekend</v>
      </c>
      <c r="I7478" t="str">
        <f>_xlfn.IFS(B7478&lt;=5,"Night (0-5)",B7478&lt;=9,"Morning peak (6-9)",B7478&lt;=15,"Midday (10-15)",B7478&lt;=19,"Evening peak (16-19)",TRUE,"Late evening (20-23)")</f>
        <v>Late evening (20-23)</v>
      </c>
    </row>
    <row r="7479" spans="1:9">
      <c r="A7479" s="32">
        <v>42134</v>
      </c>
      <c r="B7479">
        <v>0</v>
      </c>
      <c r="C7479">
        <v>6192</v>
      </c>
      <c r="D7479" t="s">
        <v>304</v>
      </c>
      <c r="E7479">
        <f>YEAR(A7479)</f>
        <v>2015</v>
      </c>
      <c r="F7479" s="33">
        <f>DATE(YEAR(A7479),MONTH(A7479),1)</f>
        <v>42125.0</v>
      </c>
      <c r="G7479" t="str">
        <f>CHOOSE(WEEKDAY(A7479,2),"Mon","Tue","Wed","Thu","Fri","Sat","Sun")</f>
        <v>Sun</v>
      </c>
      <c r="H7479" t="str">
        <f>IF(WEEKDAY(A7479,2)&gt;5,"Weekend","Weekday")</f>
        <v>Weekend</v>
      </c>
      <c r="I7479" t="str">
        <f>_xlfn.IFS(B7479&lt;=5,"Night (0-5)",B7479&lt;=9,"Morning peak (6-9)",B7479&lt;=15,"Midday (10-15)",B7479&lt;=19,"Evening peak (16-19)",TRUE,"Late evening (20-23)")</f>
        <v>Night (0-5)</v>
      </c>
    </row>
    <row r="7480" spans="1:9">
      <c r="A7480" s="32">
        <v>42134</v>
      </c>
      <c r="B7480">
        <v>1</v>
      </c>
      <c r="C7480">
        <v>4536</v>
      </c>
      <c r="D7480" t="s">
        <v>304</v>
      </c>
      <c r="E7480">
        <f>YEAR(A7480)</f>
        <v>2015</v>
      </c>
      <c r="F7480" s="33">
        <f>DATE(YEAR(A7480),MONTH(A7480),1)</f>
        <v>42125.0</v>
      </c>
      <c r="G7480" t="str">
        <f>CHOOSE(WEEKDAY(A7480,2),"Mon","Tue","Wed","Thu","Fri","Sat","Sun")</f>
        <v>Sun</v>
      </c>
      <c r="H7480" t="str">
        <f>IF(WEEKDAY(A7480,2)&gt;5,"Weekend","Weekday")</f>
        <v>Weekend</v>
      </c>
      <c r="I7480" t="str">
        <f>_xlfn.IFS(B7480&lt;=5,"Night (0-5)",B7480&lt;=9,"Morning peak (6-9)",B7480&lt;=15,"Midday (10-15)",B7480&lt;=19,"Evening peak (16-19)",TRUE,"Late evening (20-23)")</f>
        <v>Night (0-5)</v>
      </c>
    </row>
    <row r="7481" spans="1:9">
      <c r="A7481" s="32">
        <v>42134</v>
      </c>
      <c r="B7481">
        <v>2</v>
      </c>
      <c r="C7481">
        <v>3187</v>
      </c>
      <c r="D7481" t="s">
        <v>304</v>
      </c>
      <c r="E7481">
        <f>YEAR(A7481)</f>
        <v>2015</v>
      </c>
      <c r="F7481" s="33">
        <f>DATE(YEAR(A7481),MONTH(A7481),1)</f>
        <v>42125.0</v>
      </c>
      <c r="G7481" t="str">
        <f>CHOOSE(WEEKDAY(A7481,2),"Mon","Tue","Wed","Thu","Fri","Sat","Sun")</f>
        <v>Sun</v>
      </c>
      <c r="H7481" t="str">
        <f>IF(WEEKDAY(A7481,2)&gt;5,"Weekend","Weekday")</f>
        <v>Weekend</v>
      </c>
      <c r="I7481" t="str">
        <f>_xlfn.IFS(B7481&lt;=5,"Night (0-5)",B7481&lt;=9,"Morning peak (6-9)",B7481&lt;=15,"Midday (10-15)",B7481&lt;=19,"Evening peak (16-19)",TRUE,"Late evening (20-23)")</f>
        <v>Night (0-5)</v>
      </c>
    </row>
    <row r="7482" spans="1:9">
      <c r="A7482" s="32">
        <v>42134</v>
      </c>
      <c r="B7482">
        <v>3</v>
      </c>
      <c r="C7482">
        <v>2112</v>
      </c>
      <c r="D7482" t="s">
        <v>304</v>
      </c>
      <c r="E7482">
        <f>YEAR(A7482)</f>
        <v>2015</v>
      </c>
      <c r="F7482" s="33">
        <f>DATE(YEAR(A7482),MONTH(A7482),1)</f>
        <v>42125.0</v>
      </c>
      <c r="G7482" t="str">
        <f>CHOOSE(WEEKDAY(A7482,2),"Mon","Tue","Wed","Thu","Fri","Sat","Sun")</f>
        <v>Sun</v>
      </c>
      <c r="H7482" t="str">
        <f>IF(WEEKDAY(A7482,2)&gt;5,"Weekend","Weekday")</f>
        <v>Weekend</v>
      </c>
      <c r="I7482" t="str">
        <f>_xlfn.IFS(B7482&lt;=5,"Night (0-5)",B7482&lt;=9,"Morning peak (6-9)",B7482&lt;=15,"Midday (10-15)",B7482&lt;=19,"Evening peak (16-19)",TRUE,"Late evening (20-23)")</f>
        <v>Night (0-5)</v>
      </c>
    </row>
    <row r="7483" spans="1:9">
      <c r="A7483" s="32">
        <v>42134</v>
      </c>
      <c r="B7483">
        <v>4</v>
      </c>
      <c r="C7483">
        <v>1482</v>
      </c>
      <c r="D7483" t="s">
        <v>304</v>
      </c>
      <c r="E7483">
        <f>YEAR(A7483)</f>
        <v>2015</v>
      </c>
      <c r="F7483" s="33">
        <f>DATE(YEAR(A7483),MONTH(A7483),1)</f>
        <v>42125.0</v>
      </c>
      <c r="G7483" t="str">
        <f>CHOOSE(WEEKDAY(A7483,2),"Mon","Tue","Wed","Thu","Fri","Sat","Sun")</f>
        <v>Sun</v>
      </c>
      <c r="H7483" t="str">
        <f>IF(WEEKDAY(A7483,2)&gt;5,"Weekend","Weekday")</f>
        <v>Weekend</v>
      </c>
      <c r="I7483" t="str">
        <f>_xlfn.IFS(B7483&lt;=5,"Night (0-5)",B7483&lt;=9,"Morning peak (6-9)",B7483&lt;=15,"Midday (10-15)",B7483&lt;=19,"Evening peak (16-19)",TRUE,"Late evening (20-23)")</f>
        <v>Night (0-5)</v>
      </c>
    </row>
    <row r="7484" spans="1:9">
      <c r="A7484" s="32">
        <v>42134</v>
      </c>
      <c r="B7484">
        <v>5</v>
      </c>
      <c r="C7484">
        <v>923</v>
      </c>
      <c r="D7484" t="s">
        <v>304</v>
      </c>
      <c r="E7484">
        <f>YEAR(A7484)</f>
        <v>2015</v>
      </c>
      <c r="F7484" s="33">
        <f>DATE(YEAR(A7484),MONTH(A7484),1)</f>
        <v>42125.0</v>
      </c>
      <c r="G7484" t="str">
        <f>CHOOSE(WEEKDAY(A7484,2),"Mon","Tue","Wed","Thu","Fri","Sat","Sun")</f>
        <v>Sun</v>
      </c>
      <c r="H7484" t="str">
        <f>IF(WEEKDAY(A7484,2)&gt;5,"Weekend","Weekday")</f>
        <v>Weekend</v>
      </c>
      <c r="I7484" t="str">
        <f>_xlfn.IFS(B7484&lt;=5,"Night (0-5)",B7484&lt;=9,"Morning peak (6-9)",B7484&lt;=15,"Midday (10-15)",B7484&lt;=19,"Evening peak (16-19)",TRUE,"Late evening (20-23)")</f>
        <v>Night (0-5)</v>
      </c>
    </row>
    <row r="7485" spans="1:9">
      <c r="A7485" s="32">
        <v>42134</v>
      </c>
      <c r="B7485">
        <v>6</v>
      </c>
      <c r="C7485">
        <v>964</v>
      </c>
      <c r="D7485" t="s">
        <v>304</v>
      </c>
      <c r="E7485">
        <f>YEAR(A7485)</f>
        <v>2015</v>
      </c>
      <c r="F7485" s="33">
        <f>DATE(YEAR(A7485),MONTH(A7485),1)</f>
        <v>42125.0</v>
      </c>
      <c r="G7485" t="str">
        <f>CHOOSE(WEEKDAY(A7485,2),"Mon","Tue","Wed","Thu","Fri","Sat","Sun")</f>
        <v>Sun</v>
      </c>
      <c r="H7485" t="str">
        <f>IF(WEEKDAY(A7485,2)&gt;5,"Weekend","Weekday")</f>
        <v>Weekend</v>
      </c>
      <c r="I7485" t="str">
        <f>_xlfn.IFS(B7485&lt;=5,"Night (0-5)",B7485&lt;=9,"Morning peak (6-9)",B7485&lt;=15,"Midday (10-15)",B7485&lt;=19,"Evening peak (16-19)",TRUE,"Late evening (20-23)")</f>
        <v>Morning peak (6-9)</v>
      </c>
    </row>
    <row r="7486" spans="1:9">
      <c r="A7486" s="32">
        <v>42134</v>
      </c>
      <c r="B7486">
        <v>7</v>
      </c>
      <c r="C7486">
        <v>1059</v>
      </c>
      <c r="D7486" t="s">
        <v>304</v>
      </c>
      <c r="E7486">
        <f>YEAR(A7486)</f>
        <v>2015</v>
      </c>
      <c r="F7486" s="33">
        <f>DATE(YEAR(A7486),MONTH(A7486),1)</f>
        <v>42125.0</v>
      </c>
      <c r="G7486" t="str">
        <f>CHOOSE(WEEKDAY(A7486,2),"Mon","Tue","Wed","Thu","Fri","Sat","Sun")</f>
        <v>Sun</v>
      </c>
      <c r="H7486" t="str">
        <f>IF(WEEKDAY(A7486,2)&gt;5,"Weekend","Weekday")</f>
        <v>Weekend</v>
      </c>
      <c r="I7486" t="str">
        <f>_xlfn.IFS(B7486&lt;=5,"Night (0-5)",B7486&lt;=9,"Morning peak (6-9)",B7486&lt;=15,"Midday (10-15)",B7486&lt;=19,"Evening peak (16-19)",TRUE,"Late evening (20-23)")</f>
        <v>Morning peak (6-9)</v>
      </c>
    </row>
    <row r="7487" spans="1:9">
      <c r="A7487" s="32">
        <v>42134</v>
      </c>
      <c r="B7487">
        <v>8</v>
      </c>
      <c r="C7487">
        <v>1593</v>
      </c>
      <c r="D7487" t="s">
        <v>304</v>
      </c>
      <c r="E7487">
        <f>YEAR(A7487)</f>
        <v>2015</v>
      </c>
      <c r="F7487" s="33">
        <f>DATE(YEAR(A7487),MONTH(A7487),1)</f>
        <v>42125.0</v>
      </c>
      <c r="G7487" t="str">
        <f>CHOOSE(WEEKDAY(A7487,2),"Mon","Tue","Wed","Thu","Fri","Sat","Sun")</f>
        <v>Sun</v>
      </c>
      <c r="H7487" t="str">
        <f>IF(WEEKDAY(A7487,2)&gt;5,"Weekend","Weekday")</f>
        <v>Weekend</v>
      </c>
      <c r="I7487" t="str">
        <f>_xlfn.IFS(B7487&lt;=5,"Night (0-5)",B7487&lt;=9,"Morning peak (6-9)",B7487&lt;=15,"Midday (10-15)",B7487&lt;=19,"Evening peak (16-19)",TRUE,"Late evening (20-23)")</f>
        <v>Morning peak (6-9)</v>
      </c>
    </row>
    <row r="7488" spans="1:9">
      <c r="A7488" s="32">
        <v>42134</v>
      </c>
      <c r="B7488">
        <v>9</v>
      </c>
      <c r="C7488">
        <v>2179</v>
      </c>
      <c r="D7488" t="s">
        <v>304</v>
      </c>
      <c r="E7488">
        <f>YEAR(A7488)</f>
        <v>2015</v>
      </c>
      <c r="F7488" s="33">
        <f>DATE(YEAR(A7488),MONTH(A7488),1)</f>
        <v>42125.0</v>
      </c>
      <c r="G7488" t="str">
        <f>CHOOSE(WEEKDAY(A7488,2),"Mon","Tue","Wed","Thu","Fri","Sat","Sun")</f>
        <v>Sun</v>
      </c>
      <c r="H7488" t="str">
        <f>IF(WEEKDAY(A7488,2)&gt;5,"Weekend","Weekday")</f>
        <v>Weekend</v>
      </c>
      <c r="I7488" t="str">
        <f>_xlfn.IFS(B7488&lt;=5,"Night (0-5)",B7488&lt;=9,"Morning peak (6-9)",B7488&lt;=15,"Midday (10-15)",B7488&lt;=19,"Evening peak (16-19)",TRUE,"Late evening (20-23)")</f>
        <v>Morning peak (6-9)</v>
      </c>
    </row>
    <row r="7489" spans="1:9">
      <c r="A7489" s="32">
        <v>42134</v>
      </c>
      <c r="B7489">
        <v>10</v>
      </c>
      <c r="C7489">
        <v>3094</v>
      </c>
      <c r="D7489" t="s">
        <v>304</v>
      </c>
      <c r="E7489">
        <f>YEAR(A7489)</f>
        <v>2015</v>
      </c>
      <c r="F7489" s="33">
        <f>DATE(YEAR(A7489),MONTH(A7489),1)</f>
        <v>42125.0</v>
      </c>
      <c r="G7489" t="str">
        <f>CHOOSE(WEEKDAY(A7489,2),"Mon","Tue","Wed","Thu","Fri","Sat","Sun")</f>
        <v>Sun</v>
      </c>
      <c r="H7489" t="str">
        <f>IF(WEEKDAY(A7489,2)&gt;5,"Weekend","Weekday")</f>
        <v>Weekend</v>
      </c>
      <c r="I7489" t="str">
        <f>_xlfn.IFS(B7489&lt;=5,"Night (0-5)",B7489&lt;=9,"Morning peak (6-9)",B7489&lt;=15,"Midday (10-15)",B7489&lt;=19,"Evening peak (16-19)",TRUE,"Late evening (20-23)")</f>
        <v>Midday (10-15)</v>
      </c>
    </row>
    <row r="7490" spans="1:9">
      <c r="A7490" s="32">
        <v>42134</v>
      </c>
      <c r="B7490">
        <v>11</v>
      </c>
      <c r="C7490">
        <v>3728</v>
      </c>
      <c r="D7490" t="s">
        <v>304</v>
      </c>
      <c r="E7490">
        <f>YEAR(A7490)</f>
        <v>2015</v>
      </c>
      <c r="F7490" s="33">
        <f>DATE(YEAR(A7490),MONTH(A7490),1)</f>
        <v>42125.0</v>
      </c>
      <c r="G7490" t="str">
        <f>CHOOSE(WEEKDAY(A7490,2),"Mon","Tue","Wed","Thu","Fri","Sat","Sun")</f>
        <v>Sun</v>
      </c>
      <c r="H7490" t="str">
        <f>IF(WEEKDAY(A7490,2)&gt;5,"Weekend","Weekday")</f>
        <v>Weekend</v>
      </c>
      <c r="I7490" t="str">
        <f>_xlfn.IFS(B7490&lt;=5,"Night (0-5)",B7490&lt;=9,"Morning peak (6-9)",B7490&lt;=15,"Midday (10-15)",B7490&lt;=19,"Evening peak (16-19)",TRUE,"Late evening (20-23)")</f>
        <v>Midday (10-15)</v>
      </c>
    </row>
    <row r="7491" spans="1:9">
      <c r="A7491" s="32">
        <v>42134</v>
      </c>
      <c r="B7491">
        <v>12</v>
      </c>
      <c r="C7491">
        <v>4031</v>
      </c>
      <c r="D7491" t="s">
        <v>304</v>
      </c>
      <c r="E7491">
        <f>YEAR(A7491)</f>
        <v>2015</v>
      </c>
      <c r="F7491" s="33">
        <f>DATE(YEAR(A7491),MONTH(A7491),1)</f>
        <v>42125.0</v>
      </c>
      <c r="G7491" t="str">
        <f>CHOOSE(WEEKDAY(A7491,2),"Mon","Tue","Wed","Thu","Fri","Sat","Sun")</f>
        <v>Sun</v>
      </c>
      <c r="H7491" t="str">
        <f>IF(WEEKDAY(A7491,2)&gt;5,"Weekend","Weekday")</f>
        <v>Weekend</v>
      </c>
      <c r="I7491" t="str">
        <f>_xlfn.IFS(B7491&lt;=5,"Night (0-5)",B7491&lt;=9,"Morning peak (6-9)",B7491&lt;=15,"Midday (10-15)",B7491&lt;=19,"Evening peak (16-19)",TRUE,"Late evening (20-23)")</f>
        <v>Midday (10-15)</v>
      </c>
    </row>
    <row r="7492" spans="1:9">
      <c r="A7492" s="32">
        <v>42134</v>
      </c>
      <c r="B7492">
        <v>13</v>
      </c>
      <c r="C7492">
        <v>4114</v>
      </c>
      <c r="D7492" t="s">
        <v>304</v>
      </c>
      <c r="E7492">
        <f>YEAR(A7492)</f>
        <v>2015</v>
      </c>
      <c r="F7492" s="33">
        <f>DATE(YEAR(A7492),MONTH(A7492),1)</f>
        <v>42125.0</v>
      </c>
      <c r="G7492" t="str">
        <f>CHOOSE(WEEKDAY(A7492,2),"Mon","Tue","Wed","Thu","Fri","Sat","Sun")</f>
        <v>Sun</v>
      </c>
      <c r="H7492" t="str">
        <f>IF(WEEKDAY(A7492,2)&gt;5,"Weekend","Weekday")</f>
        <v>Weekend</v>
      </c>
      <c r="I7492" t="str">
        <f>_xlfn.IFS(B7492&lt;=5,"Night (0-5)",B7492&lt;=9,"Morning peak (6-9)",B7492&lt;=15,"Midday (10-15)",B7492&lt;=19,"Evening peak (16-19)",TRUE,"Late evening (20-23)")</f>
        <v>Midday (10-15)</v>
      </c>
    </row>
    <row r="7493" spans="1:9">
      <c r="A7493" s="32">
        <v>42134</v>
      </c>
      <c r="B7493">
        <v>14</v>
      </c>
      <c r="C7493">
        <v>4173</v>
      </c>
      <c r="D7493" t="s">
        <v>304</v>
      </c>
      <c r="E7493">
        <f>YEAR(A7493)</f>
        <v>2015</v>
      </c>
      <c r="F7493" s="33">
        <f>DATE(YEAR(A7493),MONTH(A7493),1)</f>
        <v>42125.0</v>
      </c>
      <c r="G7493" t="str">
        <f>CHOOSE(WEEKDAY(A7493,2),"Mon","Tue","Wed","Thu","Fri","Sat","Sun")</f>
        <v>Sun</v>
      </c>
      <c r="H7493" t="str">
        <f>IF(WEEKDAY(A7493,2)&gt;5,"Weekend","Weekday")</f>
        <v>Weekend</v>
      </c>
      <c r="I7493" t="str">
        <f>_xlfn.IFS(B7493&lt;=5,"Night (0-5)",B7493&lt;=9,"Morning peak (6-9)",B7493&lt;=15,"Midday (10-15)",B7493&lt;=19,"Evening peak (16-19)",TRUE,"Late evening (20-23)")</f>
        <v>Midday (10-15)</v>
      </c>
    </row>
    <row r="7494" spans="1:9">
      <c r="A7494" s="32">
        <v>42134</v>
      </c>
      <c r="B7494">
        <v>15</v>
      </c>
      <c r="C7494">
        <v>4114</v>
      </c>
      <c r="D7494" t="s">
        <v>304</v>
      </c>
      <c r="E7494">
        <f>YEAR(A7494)</f>
        <v>2015</v>
      </c>
      <c r="F7494" s="33">
        <f>DATE(YEAR(A7494),MONTH(A7494),1)</f>
        <v>42125.0</v>
      </c>
      <c r="G7494" t="str">
        <f>CHOOSE(WEEKDAY(A7494,2),"Mon","Tue","Wed","Thu","Fri","Sat","Sun")</f>
        <v>Sun</v>
      </c>
      <c r="H7494" t="str">
        <f>IF(WEEKDAY(A7494,2)&gt;5,"Weekend","Weekday")</f>
        <v>Weekend</v>
      </c>
      <c r="I7494" t="str">
        <f>_xlfn.IFS(B7494&lt;=5,"Night (0-5)",B7494&lt;=9,"Morning peak (6-9)",B7494&lt;=15,"Midday (10-15)",B7494&lt;=19,"Evening peak (16-19)",TRUE,"Late evening (20-23)")</f>
        <v>Midday (10-15)</v>
      </c>
    </row>
    <row r="7495" spans="1:9">
      <c r="A7495" s="32">
        <v>42134</v>
      </c>
      <c r="B7495">
        <v>16</v>
      </c>
      <c r="C7495">
        <v>4282</v>
      </c>
      <c r="D7495" t="s">
        <v>304</v>
      </c>
      <c r="E7495">
        <f>YEAR(A7495)</f>
        <v>2015</v>
      </c>
      <c r="F7495" s="33">
        <f>DATE(YEAR(A7495),MONTH(A7495),1)</f>
        <v>42125.0</v>
      </c>
      <c r="G7495" t="str">
        <f>CHOOSE(WEEKDAY(A7495,2),"Mon","Tue","Wed","Thu","Fri","Sat","Sun")</f>
        <v>Sun</v>
      </c>
      <c r="H7495" t="str">
        <f>IF(WEEKDAY(A7495,2)&gt;5,"Weekend","Weekday")</f>
        <v>Weekend</v>
      </c>
      <c r="I7495" t="str">
        <f>_xlfn.IFS(B7495&lt;=5,"Night (0-5)",B7495&lt;=9,"Morning peak (6-9)",B7495&lt;=15,"Midday (10-15)",B7495&lt;=19,"Evening peak (16-19)",TRUE,"Late evening (20-23)")</f>
        <v>Evening peak (16-19)</v>
      </c>
    </row>
    <row r="7496" spans="1:9">
      <c r="A7496" s="32">
        <v>42134</v>
      </c>
      <c r="B7496">
        <v>17</v>
      </c>
      <c r="C7496">
        <v>4500</v>
      </c>
      <c r="D7496" t="s">
        <v>304</v>
      </c>
      <c r="E7496">
        <f>YEAR(A7496)</f>
        <v>2015</v>
      </c>
      <c r="F7496" s="33">
        <f>DATE(YEAR(A7496),MONTH(A7496),1)</f>
        <v>42125.0</v>
      </c>
      <c r="G7496" t="str">
        <f>CHOOSE(WEEKDAY(A7496,2),"Mon","Tue","Wed","Thu","Fri","Sat","Sun")</f>
        <v>Sun</v>
      </c>
      <c r="H7496" t="str">
        <f>IF(WEEKDAY(A7496,2)&gt;5,"Weekend","Weekday")</f>
        <v>Weekend</v>
      </c>
      <c r="I7496" t="str">
        <f>_xlfn.IFS(B7496&lt;=5,"Night (0-5)",B7496&lt;=9,"Morning peak (6-9)",B7496&lt;=15,"Midday (10-15)",B7496&lt;=19,"Evening peak (16-19)",TRUE,"Late evening (20-23)")</f>
        <v>Evening peak (16-19)</v>
      </c>
    </row>
    <row r="7497" spans="1:9">
      <c r="A7497" s="32">
        <v>42134</v>
      </c>
      <c r="B7497">
        <v>18</v>
      </c>
      <c r="C7497">
        <v>4548</v>
      </c>
      <c r="D7497" t="s">
        <v>304</v>
      </c>
      <c r="E7497">
        <f>YEAR(A7497)</f>
        <v>2015</v>
      </c>
      <c r="F7497" s="33">
        <f>DATE(YEAR(A7497),MONTH(A7497),1)</f>
        <v>42125.0</v>
      </c>
      <c r="G7497" t="str">
        <f>CHOOSE(WEEKDAY(A7497,2),"Mon","Tue","Wed","Thu","Fri","Sat","Sun")</f>
        <v>Sun</v>
      </c>
      <c r="H7497" t="str">
        <f>IF(WEEKDAY(A7497,2)&gt;5,"Weekend","Weekday")</f>
        <v>Weekend</v>
      </c>
      <c r="I7497" t="str">
        <f>_xlfn.IFS(B7497&lt;=5,"Night (0-5)",B7497&lt;=9,"Morning peak (6-9)",B7497&lt;=15,"Midday (10-15)",B7497&lt;=19,"Evening peak (16-19)",TRUE,"Late evening (20-23)")</f>
        <v>Evening peak (16-19)</v>
      </c>
    </row>
    <row r="7498" spans="1:9">
      <c r="A7498" s="32">
        <v>42134</v>
      </c>
      <c r="B7498">
        <v>19</v>
      </c>
      <c r="C7498">
        <v>4192</v>
      </c>
      <c r="D7498" t="s">
        <v>304</v>
      </c>
      <c r="E7498">
        <f>YEAR(A7498)</f>
        <v>2015</v>
      </c>
      <c r="F7498" s="33">
        <f>DATE(YEAR(A7498),MONTH(A7498),1)</f>
        <v>42125.0</v>
      </c>
      <c r="G7498" t="str">
        <f>CHOOSE(WEEKDAY(A7498,2),"Mon","Tue","Wed","Thu","Fri","Sat","Sun")</f>
        <v>Sun</v>
      </c>
      <c r="H7498" t="str">
        <f>IF(WEEKDAY(A7498,2)&gt;5,"Weekend","Weekday")</f>
        <v>Weekend</v>
      </c>
      <c r="I7498" t="str">
        <f>_xlfn.IFS(B7498&lt;=5,"Night (0-5)",B7498&lt;=9,"Morning peak (6-9)",B7498&lt;=15,"Midday (10-15)",B7498&lt;=19,"Evening peak (16-19)",TRUE,"Late evening (20-23)")</f>
        <v>Evening peak (16-19)</v>
      </c>
    </row>
    <row r="7499" spans="1:9">
      <c r="A7499" s="32">
        <v>42134</v>
      </c>
      <c r="B7499">
        <v>20</v>
      </c>
      <c r="C7499">
        <v>4176</v>
      </c>
      <c r="D7499" t="s">
        <v>304</v>
      </c>
      <c r="E7499">
        <f>YEAR(A7499)</f>
        <v>2015</v>
      </c>
      <c r="F7499" s="33">
        <f>DATE(YEAR(A7499),MONTH(A7499),1)</f>
        <v>42125.0</v>
      </c>
      <c r="G7499" t="str">
        <f>CHOOSE(WEEKDAY(A7499,2),"Mon","Tue","Wed","Thu","Fri","Sat","Sun")</f>
        <v>Sun</v>
      </c>
      <c r="H7499" t="str">
        <f>IF(WEEKDAY(A7499,2)&gt;5,"Weekend","Weekday")</f>
        <v>Weekend</v>
      </c>
      <c r="I7499" t="str">
        <f>_xlfn.IFS(B7499&lt;=5,"Night (0-5)",B7499&lt;=9,"Morning peak (6-9)",B7499&lt;=15,"Midday (10-15)",B7499&lt;=19,"Evening peak (16-19)",TRUE,"Late evening (20-23)")</f>
        <v>Late evening (20-23)</v>
      </c>
    </row>
    <row r="7500" spans="1:9">
      <c r="A7500" s="32">
        <v>42134</v>
      </c>
      <c r="B7500">
        <v>21</v>
      </c>
      <c r="C7500">
        <v>4069</v>
      </c>
      <c r="D7500" t="s">
        <v>304</v>
      </c>
      <c r="E7500">
        <f>YEAR(A7500)</f>
        <v>2015</v>
      </c>
      <c r="F7500" s="33">
        <f>DATE(YEAR(A7500),MONTH(A7500),1)</f>
        <v>42125.0</v>
      </c>
      <c r="G7500" t="str">
        <f>CHOOSE(WEEKDAY(A7500,2),"Mon","Tue","Wed","Thu","Fri","Sat","Sun")</f>
        <v>Sun</v>
      </c>
      <c r="H7500" t="str">
        <f>IF(WEEKDAY(A7500,2)&gt;5,"Weekend","Weekday")</f>
        <v>Weekend</v>
      </c>
      <c r="I7500" t="str">
        <f>_xlfn.IFS(B7500&lt;=5,"Night (0-5)",B7500&lt;=9,"Morning peak (6-9)",B7500&lt;=15,"Midday (10-15)",B7500&lt;=19,"Evening peak (16-19)",TRUE,"Late evening (20-23)")</f>
        <v>Late evening (20-23)</v>
      </c>
    </row>
    <row r="7501" spans="1:9">
      <c r="A7501" s="32">
        <v>42134</v>
      </c>
      <c r="B7501">
        <v>22</v>
      </c>
      <c r="C7501">
        <v>3870</v>
      </c>
      <c r="D7501" t="s">
        <v>304</v>
      </c>
      <c r="E7501">
        <f>YEAR(A7501)</f>
        <v>2015</v>
      </c>
      <c r="F7501" s="33">
        <f>DATE(YEAR(A7501),MONTH(A7501),1)</f>
        <v>42125.0</v>
      </c>
      <c r="G7501" t="str">
        <f>CHOOSE(WEEKDAY(A7501,2),"Mon","Tue","Wed","Thu","Fri","Sat","Sun")</f>
        <v>Sun</v>
      </c>
      <c r="H7501" t="str">
        <f>IF(WEEKDAY(A7501,2)&gt;5,"Weekend","Weekday")</f>
        <v>Weekend</v>
      </c>
      <c r="I7501" t="str">
        <f>_xlfn.IFS(B7501&lt;=5,"Night (0-5)",B7501&lt;=9,"Morning peak (6-9)",B7501&lt;=15,"Midday (10-15)",B7501&lt;=19,"Evening peak (16-19)",TRUE,"Late evening (20-23)")</f>
        <v>Late evening (20-23)</v>
      </c>
    </row>
    <row r="7502" spans="1:9">
      <c r="A7502" s="32">
        <v>42134</v>
      </c>
      <c r="B7502">
        <v>23</v>
      </c>
      <c r="C7502">
        <v>3028</v>
      </c>
      <c r="D7502" t="s">
        <v>304</v>
      </c>
      <c r="E7502">
        <f>YEAR(A7502)</f>
        <v>2015</v>
      </c>
      <c r="F7502" s="33">
        <f>DATE(YEAR(A7502),MONTH(A7502),1)</f>
        <v>42125.0</v>
      </c>
      <c r="G7502" t="str">
        <f>CHOOSE(WEEKDAY(A7502,2),"Mon","Tue","Wed","Thu","Fri","Sat","Sun")</f>
        <v>Sun</v>
      </c>
      <c r="H7502" t="str">
        <f>IF(WEEKDAY(A7502,2)&gt;5,"Weekend","Weekday")</f>
        <v>Weekend</v>
      </c>
      <c r="I7502" t="str">
        <f>_xlfn.IFS(B7502&lt;=5,"Night (0-5)",B7502&lt;=9,"Morning peak (6-9)",B7502&lt;=15,"Midday (10-15)",B7502&lt;=19,"Evening peak (16-19)",TRUE,"Late evening (20-23)")</f>
        <v>Late evening (20-23)</v>
      </c>
    </row>
    <row r="7503" spans="1:9">
      <c r="A7503" s="32">
        <v>42135</v>
      </c>
      <c r="B7503">
        <v>0</v>
      </c>
      <c r="C7503">
        <v>1936</v>
      </c>
      <c r="D7503" t="s">
        <v>304</v>
      </c>
      <c r="E7503">
        <f>YEAR(A7503)</f>
        <v>2015</v>
      </c>
      <c r="F7503" s="33">
        <f>DATE(YEAR(A7503),MONTH(A7503),1)</f>
        <v>42125.0</v>
      </c>
      <c r="G7503" t="str">
        <f>CHOOSE(WEEKDAY(A7503,2),"Mon","Tue","Wed","Thu","Fri","Sat","Sun")</f>
        <v>Mon</v>
      </c>
      <c r="H7503" t="str">
        <f>IF(WEEKDAY(A7503,2)&gt;5,"Weekend","Weekday")</f>
        <v>Weekday</v>
      </c>
      <c r="I7503" t="str">
        <f>_xlfn.IFS(B7503&lt;=5,"Night (0-5)",B7503&lt;=9,"Morning peak (6-9)",B7503&lt;=15,"Midday (10-15)",B7503&lt;=19,"Evening peak (16-19)",TRUE,"Late evening (20-23)")</f>
        <v>Night (0-5)</v>
      </c>
    </row>
    <row r="7504" spans="1:9">
      <c r="A7504" s="32">
        <v>42135</v>
      </c>
      <c r="B7504">
        <v>1</v>
      </c>
      <c r="C7504">
        <v>915</v>
      </c>
      <c r="D7504" t="s">
        <v>304</v>
      </c>
      <c r="E7504">
        <f>YEAR(A7504)</f>
        <v>2015</v>
      </c>
      <c r="F7504" s="33">
        <f>DATE(YEAR(A7504),MONTH(A7504),1)</f>
        <v>42125.0</v>
      </c>
      <c r="G7504" t="str">
        <f>CHOOSE(WEEKDAY(A7504,2),"Mon","Tue","Wed","Thu","Fri","Sat","Sun")</f>
        <v>Mon</v>
      </c>
      <c r="H7504" t="str">
        <f>IF(WEEKDAY(A7504,2)&gt;5,"Weekend","Weekday")</f>
        <v>Weekday</v>
      </c>
      <c r="I7504" t="str">
        <f>_xlfn.IFS(B7504&lt;=5,"Night (0-5)",B7504&lt;=9,"Morning peak (6-9)",B7504&lt;=15,"Midday (10-15)",B7504&lt;=19,"Evening peak (16-19)",TRUE,"Late evening (20-23)")</f>
        <v>Night (0-5)</v>
      </c>
    </row>
    <row r="7505" spans="1:9">
      <c r="A7505" s="32">
        <v>42135</v>
      </c>
      <c r="B7505">
        <v>2</v>
      </c>
      <c r="C7505">
        <v>555</v>
      </c>
      <c r="D7505" t="s">
        <v>304</v>
      </c>
      <c r="E7505">
        <f>YEAR(A7505)</f>
        <v>2015</v>
      </c>
      <c r="F7505" s="33">
        <f>DATE(YEAR(A7505),MONTH(A7505),1)</f>
        <v>42125.0</v>
      </c>
      <c r="G7505" t="str">
        <f>CHOOSE(WEEKDAY(A7505,2),"Mon","Tue","Wed","Thu","Fri","Sat","Sun")</f>
        <v>Mon</v>
      </c>
      <c r="H7505" t="str">
        <f>IF(WEEKDAY(A7505,2)&gt;5,"Weekend","Weekday")</f>
        <v>Weekday</v>
      </c>
      <c r="I7505" t="str">
        <f>_xlfn.IFS(B7505&lt;=5,"Night (0-5)",B7505&lt;=9,"Morning peak (6-9)",B7505&lt;=15,"Midday (10-15)",B7505&lt;=19,"Evening peak (16-19)",TRUE,"Late evening (20-23)")</f>
        <v>Night (0-5)</v>
      </c>
    </row>
    <row r="7506" spans="1:9">
      <c r="A7506" s="32">
        <v>42135</v>
      </c>
      <c r="B7506">
        <v>3</v>
      </c>
      <c r="C7506">
        <v>466</v>
      </c>
      <c r="D7506" t="s">
        <v>304</v>
      </c>
      <c r="E7506">
        <f>YEAR(A7506)</f>
        <v>2015</v>
      </c>
      <c r="F7506" s="33">
        <f>DATE(YEAR(A7506),MONTH(A7506),1)</f>
        <v>42125.0</v>
      </c>
      <c r="G7506" t="str">
        <f>CHOOSE(WEEKDAY(A7506,2),"Mon","Tue","Wed","Thu","Fri","Sat","Sun")</f>
        <v>Mon</v>
      </c>
      <c r="H7506" t="str">
        <f>IF(WEEKDAY(A7506,2)&gt;5,"Weekend","Weekday")</f>
        <v>Weekday</v>
      </c>
      <c r="I7506" t="str">
        <f>_xlfn.IFS(B7506&lt;=5,"Night (0-5)",B7506&lt;=9,"Morning peak (6-9)",B7506&lt;=15,"Midday (10-15)",B7506&lt;=19,"Evening peak (16-19)",TRUE,"Late evening (20-23)")</f>
        <v>Night (0-5)</v>
      </c>
    </row>
    <row r="7507" spans="1:9">
      <c r="A7507" s="32">
        <v>42135</v>
      </c>
      <c r="B7507">
        <v>4</v>
      </c>
      <c r="C7507">
        <v>739</v>
      </c>
      <c r="D7507" t="s">
        <v>304</v>
      </c>
      <c r="E7507">
        <f>YEAR(A7507)</f>
        <v>2015</v>
      </c>
      <c r="F7507" s="33">
        <f>DATE(YEAR(A7507),MONTH(A7507),1)</f>
        <v>42125.0</v>
      </c>
      <c r="G7507" t="str">
        <f>CHOOSE(WEEKDAY(A7507,2),"Mon","Tue","Wed","Thu","Fri","Sat","Sun")</f>
        <v>Mon</v>
      </c>
      <c r="H7507" t="str">
        <f>IF(WEEKDAY(A7507,2)&gt;5,"Weekend","Weekday")</f>
        <v>Weekday</v>
      </c>
      <c r="I7507" t="str">
        <f>_xlfn.IFS(B7507&lt;=5,"Night (0-5)",B7507&lt;=9,"Morning peak (6-9)",B7507&lt;=15,"Midday (10-15)",B7507&lt;=19,"Evening peak (16-19)",TRUE,"Late evening (20-23)")</f>
        <v>Night (0-5)</v>
      </c>
    </row>
    <row r="7508" spans="1:9">
      <c r="A7508" s="32">
        <v>42135</v>
      </c>
      <c r="B7508">
        <v>5</v>
      </c>
      <c r="C7508">
        <v>1233</v>
      </c>
      <c r="D7508" t="s">
        <v>304</v>
      </c>
      <c r="E7508">
        <f>YEAR(A7508)</f>
        <v>2015</v>
      </c>
      <c r="F7508" s="33">
        <f>DATE(YEAR(A7508),MONTH(A7508),1)</f>
        <v>42125.0</v>
      </c>
      <c r="G7508" t="str">
        <f>CHOOSE(WEEKDAY(A7508,2),"Mon","Tue","Wed","Thu","Fri","Sat","Sun")</f>
        <v>Mon</v>
      </c>
      <c r="H7508" t="str">
        <f>IF(WEEKDAY(A7508,2)&gt;5,"Weekend","Weekday")</f>
        <v>Weekday</v>
      </c>
      <c r="I7508" t="str">
        <f>_xlfn.IFS(B7508&lt;=5,"Night (0-5)",B7508&lt;=9,"Morning peak (6-9)",B7508&lt;=15,"Midday (10-15)",B7508&lt;=19,"Evening peak (16-19)",TRUE,"Late evening (20-23)")</f>
        <v>Night (0-5)</v>
      </c>
    </row>
    <row r="7509" spans="1:9">
      <c r="A7509" s="32">
        <v>42135</v>
      </c>
      <c r="B7509">
        <v>6</v>
      </c>
      <c r="C7509">
        <v>2072</v>
      </c>
      <c r="D7509" t="s">
        <v>304</v>
      </c>
      <c r="E7509">
        <f>YEAR(A7509)</f>
        <v>2015</v>
      </c>
      <c r="F7509" s="33">
        <f>DATE(YEAR(A7509),MONTH(A7509),1)</f>
        <v>42125.0</v>
      </c>
      <c r="G7509" t="str">
        <f>CHOOSE(WEEKDAY(A7509,2),"Mon","Tue","Wed","Thu","Fri","Sat","Sun")</f>
        <v>Mon</v>
      </c>
      <c r="H7509" t="str">
        <f>IF(WEEKDAY(A7509,2)&gt;5,"Weekend","Weekday")</f>
        <v>Weekday</v>
      </c>
      <c r="I7509" t="str">
        <f>_xlfn.IFS(B7509&lt;=5,"Night (0-5)",B7509&lt;=9,"Morning peak (6-9)",B7509&lt;=15,"Midday (10-15)",B7509&lt;=19,"Evening peak (16-19)",TRUE,"Late evening (20-23)")</f>
        <v>Morning peak (6-9)</v>
      </c>
    </row>
    <row r="7510" spans="1:9">
      <c r="A7510" s="32">
        <v>42135</v>
      </c>
      <c r="B7510">
        <v>7</v>
      </c>
      <c r="C7510">
        <v>2818</v>
      </c>
      <c r="D7510" t="s">
        <v>304</v>
      </c>
      <c r="E7510">
        <f>YEAR(A7510)</f>
        <v>2015</v>
      </c>
      <c r="F7510" s="33">
        <f>DATE(YEAR(A7510),MONTH(A7510),1)</f>
        <v>42125.0</v>
      </c>
      <c r="G7510" t="str">
        <f>CHOOSE(WEEKDAY(A7510,2),"Mon","Tue","Wed","Thu","Fri","Sat","Sun")</f>
        <v>Mon</v>
      </c>
      <c r="H7510" t="str">
        <f>IF(WEEKDAY(A7510,2)&gt;5,"Weekend","Weekday")</f>
        <v>Weekday</v>
      </c>
      <c r="I7510" t="str">
        <f>_xlfn.IFS(B7510&lt;=5,"Night (0-5)",B7510&lt;=9,"Morning peak (6-9)",B7510&lt;=15,"Midday (10-15)",B7510&lt;=19,"Evening peak (16-19)",TRUE,"Late evening (20-23)")</f>
        <v>Morning peak (6-9)</v>
      </c>
    </row>
    <row r="7511" spans="1:9">
      <c r="A7511" s="32">
        <v>42135</v>
      </c>
      <c r="B7511">
        <v>8</v>
      </c>
      <c r="C7511">
        <v>3965</v>
      </c>
      <c r="D7511" t="s">
        <v>304</v>
      </c>
      <c r="E7511">
        <f>YEAR(A7511)</f>
        <v>2015</v>
      </c>
      <c r="F7511" s="33">
        <f>DATE(YEAR(A7511),MONTH(A7511),1)</f>
        <v>42125.0</v>
      </c>
      <c r="G7511" t="str">
        <f>CHOOSE(WEEKDAY(A7511,2),"Mon","Tue","Wed","Thu","Fri","Sat","Sun")</f>
        <v>Mon</v>
      </c>
      <c r="H7511" t="str">
        <f>IF(WEEKDAY(A7511,2)&gt;5,"Weekend","Weekday")</f>
        <v>Weekday</v>
      </c>
      <c r="I7511" t="str">
        <f>_xlfn.IFS(B7511&lt;=5,"Night (0-5)",B7511&lt;=9,"Morning peak (6-9)",B7511&lt;=15,"Midday (10-15)",B7511&lt;=19,"Evening peak (16-19)",TRUE,"Late evening (20-23)")</f>
        <v>Morning peak (6-9)</v>
      </c>
    </row>
    <row r="7512" spans="1:9">
      <c r="A7512" s="32">
        <v>42135</v>
      </c>
      <c r="B7512">
        <v>9</v>
      </c>
      <c r="C7512">
        <v>3795</v>
      </c>
      <c r="D7512" t="s">
        <v>304</v>
      </c>
      <c r="E7512">
        <f>YEAR(A7512)</f>
        <v>2015</v>
      </c>
      <c r="F7512" s="33">
        <f>DATE(YEAR(A7512),MONTH(A7512),1)</f>
        <v>42125.0</v>
      </c>
      <c r="G7512" t="str">
        <f>CHOOSE(WEEKDAY(A7512,2),"Mon","Tue","Wed","Thu","Fri","Sat","Sun")</f>
        <v>Mon</v>
      </c>
      <c r="H7512" t="str">
        <f>IF(WEEKDAY(A7512,2)&gt;5,"Weekend","Weekday")</f>
        <v>Weekday</v>
      </c>
      <c r="I7512" t="str">
        <f>_xlfn.IFS(B7512&lt;=5,"Night (0-5)",B7512&lt;=9,"Morning peak (6-9)",B7512&lt;=15,"Midday (10-15)",B7512&lt;=19,"Evening peak (16-19)",TRUE,"Late evening (20-23)")</f>
        <v>Morning peak (6-9)</v>
      </c>
    </row>
    <row r="7513" spans="1:9">
      <c r="A7513" s="32">
        <v>42135</v>
      </c>
      <c r="B7513">
        <v>10</v>
      </c>
      <c r="C7513">
        <v>2939</v>
      </c>
      <c r="D7513" t="s">
        <v>304</v>
      </c>
      <c r="E7513">
        <f>YEAR(A7513)</f>
        <v>2015</v>
      </c>
      <c r="F7513" s="33">
        <f>DATE(YEAR(A7513),MONTH(A7513),1)</f>
        <v>42125.0</v>
      </c>
      <c r="G7513" t="str">
        <f>CHOOSE(WEEKDAY(A7513,2),"Mon","Tue","Wed","Thu","Fri","Sat","Sun")</f>
        <v>Mon</v>
      </c>
      <c r="H7513" t="str">
        <f>IF(WEEKDAY(A7513,2)&gt;5,"Weekend","Weekday")</f>
        <v>Weekday</v>
      </c>
      <c r="I7513" t="str">
        <f>_xlfn.IFS(B7513&lt;=5,"Night (0-5)",B7513&lt;=9,"Morning peak (6-9)",B7513&lt;=15,"Midday (10-15)",B7513&lt;=19,"Evening peak (16-19)",TRUE,"Late evening (20-23)")</f>
        <v>Midday (10-15)</v>
      </c>
    </row>
    <row r="7514" spans="1:9">
      <c r="A7514" s="32">
        <v>42135</v>
      </c>
      <c r="B7514">
        <v>11</v>
      </c>
      <c r="C7514">
        <v>2788</v>
      </c>
      <c r="D7514" t="s">
        <v>304</v>
      </c>
      <c r="E7514">
        <f>YEAR(A7514)</f>
        <v>2015</v>
      </c>
      <c r="F7514" s="33">
        <f>DATE(YEAR(A7514),MONTH(A7514),1)</f>
        <v>42125.0</v>
      </c>
      <c r="G7514" t="str">
        <f>CHOOSE(WEEKDAY(A7514,2),"Mon","Tue","Wed","Thu","Fri","Sat","Sun")</f>
        <v>Mon</v>
      </c>
      <c r="H7514" t="str">
        <f>IF(WEEKDAY(A7514,2)&gt;5,"Weekend","Weekday")</f>
        <v>Weekday</v>
      </c>
      <c r="I7514" t="str">
        <f>_xlfn.IFS(B7514&lt;=5,"Night (0-5)",B7514&lt;=9,"Morning peak (6-9)",B7514&lt;=15,"Midday (10-15)",B7514&lt;=19,"Evening peak (16-19)",TRUE,"Late evening (20-23)")</f>
        <v>Midday (10-15)</v>
      </c>
    </row>
    <row r="7515" spans="1:9">
      <c r="A7515" s="32">
        <v>42135</v>
      </c>
      <c r="B7515">
        <v>12</v>
      </c>
      <c r="C7515">
        <v>2811</v>
      </c>
      <c r="D7515" t="s">
        <v>304</v>
      </c>
      <c r="E7515">
        <f>YEAR(A7515)</f>
        <v>2015</v>
      </c>
      <c r="F7515" s="33">
        <f>DATE(YEAR(A7515),MONTH(A7515),1)</f>
        <v>42125.0</v>
      </c>
      <c r="G7515" t="str">
        <f>CHOOSE(WEEKDAY(A7515,2),"Mon","Tue","Wed","Thu","Fri","Sat","Sun")</f>
        <v>Mon</v>
      </c>
      <c r="H7515" t="str">
        <f>IF(WEEKDAY(A7515,2)&gt;5,"Weekend","Weekday")</f>
        <v>Weekday</v>
      </c>
      <c r="I7515" t="str">
        <f>_xlfn.IFS(B7515&lt;=5,"Night (0-5)",B7515&lt;=9,"Morning peak (6-9)",B7515&lt;=15,"Midday (10-15)",B7515&lt;=19,"Evening peak (16-19)",TRUE,"Late evening (20-23)")</f>
        <v>Midday (10-15)</v>
      </c>
    </row>
    <row r="7516" spans="1:9">
      <c r="A7516" s="32">
        <v>42135</v>
      </c>
      <c r="B7516">
        <v>13</v>
      </c>
      <c r="C7516">
        <v>2781</v>
      </c>
      <c r="D7516" t="s">
        <v>304</v>
      </c>
      <c r="E7516">
        <f>YEAR(A7516)</f>
        <v>2015</v>
      </c>
      <c r="F7516" s="33">
        <f>DATE(YEAR(A7516),MONTH(A7516),1)</f>
        <v>42125.0</v>
      </c>
      <c r="G7516" t="str">
        <f>CHOOSE(WEEKDAY(A7516,2),"Mon","Tue","Wed","Thu","Fri","Sat","Sun")</f>
        <v>Mon</v>
      </c>
      <c r="H7516" t="str">
        <f>IF(WEEKDAY(A7516,2)&gt;5,"Weekend","Weekday")</f>
        <v>Weekday</v>
      </c>
      <c r="I7516" t="str">
        <f>_xlfn.IFS(B7516&lt;=5,"Night (0-5)",B7516&lt;=9,"Morning peak (6-9)",B7516&lt;=15,"Midday (10-15)",B7516&lt;=19,"Evening peak (16-19)",TRUE,"Late evening (20-23)")</f>
        <v>Midday (10-15)</v>
      </c>
    </row>
    <row r="7517" spans="1:9">
      <c r="A7517" s="32">
        <v>42135</v>
      </c>
      <c r="B7517">
        <v>14</v>
      </c>
      <c r="C7517">
        <v>3088</v>
      </c>
      <c r="D7517" t="s">
        <v>304</v>
      </c>
      <c r="E7517">
        <f>YEAR(A7517)</f>
        <v>2015</v>
      </c>
      <c r="F7517" s="33">
        <f>DATE(YEAR(A7517),MONTH(A7517),1)</f>
        <v>42125.0</v>
      </c>
      <c r="G7517" t="str">
        <f>CHOOSE(WEEKDAY(A7517,2),"Mon","Tue","Wed","Thu","Fri","Sat","Sun")</f>
        <v>Mon</v>
      </c>
      <c r="H7517" t="str">
        <f>IF(WEEKDAY(A7517,2)&gt;5,"Weekend","Weekday")</f>
        <v>Weekday</v>
      </c>
      <c r="I7517" t="str">
        <f>_xlfn.IFS(B7517&lt;=5,"Night (0-5)",B7517&lt;=9,"Morning peak (6-9)",B7517&lt;=15,"Midday (10-15)",B7517&lt;=19,"Evening peak (16-19)",TRUE,"Late evening (20-23)")</f>
        <v>Midday (10-15)</v>
      </c>
    </row>
    <row r="7518" spans="1:9">
      <c r="A7518" s="32">
        <v>42135</v>
      </c>
      <c r="B7518">
        <v>15</v>
      </c>
      <c r="C7518">
        <v>3746</v>
      </c>
      <c r="D7518" t="s">
        <v>304</v>
      </c>
      <c r="E7518">
        <f>YEAR(A7518)</f>
        <v>2015</v>
      </c>
      <c r="F7518" s="33">
        <f>DATE(YEAR(A7518),MONTH(A7518),1)</f>
        <v>42125.0</v>
      </c>
      <c r="G7518" t="str">
        <f>CHOOSE(WEEKDAY(A7518,2),"Mon","Tue","Wed","Thu","Fri","Sat","Sun")</f>
        <v>Mon</v>
      </c>
      <c r="H7518" t="str">
        <f>IF(WEEKDAY(A7518,2)&gt;5,"Weekend","Weekday")</f>
        <v>Weekday</v>
      </c>
      <c r="I7518" t="str">
        <f>_xlfn.IFS(B7518&lt;=5,"Night (0-5)",B7518&lt;=9,"Morning peak (6-9)",B7518&lt;=15,"Midday (10-15)",B7518&lt;=19,"Evening peak (16-19)",TRUE,"Late evening (20-23)")</f>
        <v>Midday (10-15)</v>
      </c>
    </row>
    <row r="7519" spans="1:9">
      <c r="A7519" s="32">
        <v>42135</v>
      </c>
      <c r="B7519">
        <v>16</v>
      </c>
      <c r="C7519">
        <v>3882</v>
      </c>
      <c r="D7519" t="s">
        <v>304</v>
      </c>
      <c r="E7519">
        <f>YEAR(A7519)</f>
        <v>2015</v>
      </c>
      <c r="F7519" s="33">
        <f>DATE(YEAR(A7519),MONTH(A7519),1)</f>
        <v>42125.0</v>
      </c>
      <c r="G7519" t="str">
        <f>CHOOSE(WEEKDAY(A7519,2),"Mon","Tue","Wed","Thu","Fri","Sat","Sun")</f>
        <v>Mon</v>
      </c>
      <c r="H7519" t="str">
        <f>IF(WEEKDAY(A7519,2)&gt;5,"Weekend","Weekday")</f>
        <v>Weekday</v>
      </c>
      <c r="I7519" t="str">
        <f>_xlfn.IFS(B7519&lt;=5,"Night (0-5)",B7519&lt;=9,"Morning peak (6-9)",B7519&lt;=15,"Midday (10-15)",B7519&lt;=19,"Evening peak (16-19)",TRUE,"Late evening (20-23)")</f>
        <v>Evening peak (16-19)</v>
      </c>
    </row>
    <row r="7520" spans="1:9">
      <c r="A7520" s="32">
        <v>42135</v>
      </c>
      <c r="B7520">
        <v>17</v>
      </c>
      <c r="C7520">
        <v>4336</v>
      </c>
      <c r="D7520" t="s">
        <v>304</v>
      </c>
      <c r="E7520">
        <f>YEAR(A7520)</f>
        <v>2015</v>
      </c>
      <c r="F7520" s="33">
        <f>DATE(YEAR(A7520),MONTH(A7520),1)</f>
        <v>42125.0</v>
      </c>
      <c r="G7520" t="str">
        <f>CHOOSE(WEEKDAY(A7520,2),"Mon","Tue","Wed","Thu","Fri","Sat","Sun")</f>
        <v>Mon</v>
      </c>
      <c r="H7520" t="str">
        <f>IF(WEEKDAY(A7520,2)&gt;5,"Weekend","Weekday")</f>
        <v>Weekday</v>
      </c>
      <c r="I7520" t="str">
        <f>_xlfn.IFS(B7520&lt;=5,"Night (0-5)",B7520&lt;=9,"Morning peak (6-9)",B7520&lt;=15,"Midday (10-15)",B7520&lt;=19,"Evening peak (16-19)",TRUE,"Late evening (20-23)")</f>
        <v>Evening peak (16-19)</v>
      </c>
    </row>
    <row r="7521" spans="1:9">
      <c r="A7521" s="32">
        <v>42135</v>
      </c>
      <c r="B7521">
        <v>18</v>
      </c>
      <c r="C7521">
        <v>4966</v>
      </c>
      <c r="D7521" t="s">
        <v>304</v>
      </c>
      <c r="E7521">
        <f>YEAR(A7521)</f>
        <v>2015</v>
      </c>
      <c r="F7521" s="33">
        <f>DATE(YEAR(A7521),MONTH(A7521),1)</f>
        <v>42125.0</v>
      </c>
      <c r="G7521" t="str">
        <f>CHOOSE(WEEKDAY(A7521,2),"Mon","Tue","Wed","Thu","Fri","Sat","Sun")</f>
        <v>Mon</v>
      </c>
      <c r="H7521" t="str">
        <f>IF(WEEKDAY(A7521,2)&gt;5,"Weekend","Weekday")</f>
        <v>Weekday</v>
      </c>
      <c r="I7521" t="str">
        <f>_xlfn.IFS(B7521&lt;=5,"Night (0-5)",B7521&lt;=9,"Morning peak (6-9)",B7521&lt;=15,"Midday (10-15)",B7521&lt;=19,"Evening peak (16-19)",TRUE,"Late evening (20-23)")</f>
        <v>Evening peak (16-19)</v>
      </c>
    </row>
    <row r="7522" spans="1:9">
      <c r="A7522" s="32">
        <v>42135</v>
      </c>
      <c r="B7522">
        <v>19</v>
      </c>
      <c r="C7522">
        <v>4533</v>
      </c>
      <c r="D7522" t="s">
        <v>304</v>
      </c>
      <c r="E7522">
        <f>YEAR(A7522)</f>
        <v>2015</v>
      </c>
      <c r="F7522" s="33">
        <f>DATE(YEAR(A7522),MONTH(A7522),1)</f>
        <v>42125.0</v>
      </c>
      <c r="G7522" t="str">
        <f>CHOOSE(WEEKDAY(A7522,2),"Mon","Tue","Wed","Thu","Fri","Sat","Sun")</f>
        <v>Mon</v>
      </c>
      <c r="H7522" t="str">
        <f>IF(WEEKDAY(A7522,2)&gt;5,"Weekend","Weekday")</f>
        <v>Weekday</v>
      </c>
      <c r="I7522" t="str">
        <f>_xlfn.IFS(B7522&lt;=5,"Night (0-5)",B7522&lt;=9,"Morning peak (6-9)",B7522&lt;=15,"Midday (10-15)",B7522&lt;=19,"Evening peak (16-19)",TRUE,"Late evening (20-23)")</f>
        <v>Evening peak (16-19)</v>
      </c>
    </row>
    <row r="7523" spans="1:9">
      <c r="A7523" s="32">
        <v>42135</v>
      </c>
      <c r="B7523">
        <v>20</v>
      </c>
      <c r="C7523">
        <v>4378</v>
      </c>
      <c r="D7523" t="s">
        <v>304</v>
      </c>
      <c r="E7523">
        <f>YEAR(A7523)</f>
        <v>2015</v>
      </c>
      <c r="F7523" s="33">
        <f>DATE(YEAR(A7523),MONTH(A7523),1)</f>
        <v>42125.0</v>
      </c>
      <c r="G7523" t="str">
        <f>CHOOSE(WEEKDAY(A7523,2),"Mon","Tue","Wed","Thu","Fri","Sat","Sun")</f>
        <v>Mon</v>
      </c>
      <c r="H7523" t="str">
        <f>IF(WEEKDAY(A7523,2)&gt;5,"Weekend","Weekday")</f>
        <v>Weekday</v>
      </c>
      <c r="I7523" t="str">
        <f>_xlfn.IFS(B7523&lt;=5,"Night (0-5)",B7523&lt;=9,"Morning peak (6-9)",B7523&lt;=15,"Midday (10-15)",B7523&lt;=19,"Evening peak (16-19)",TRUE,"Late evening (20-23)")</f>
        <v>Late evening (20-23)</v>
      </c>
    </row>
    <row r="7524" spans="1:9">
      <c r="A7524" s="32">
        <v>42135</v>
      </c>
      <c r="B7524">
        <v>21</v>
      </c>
      <c r="C7524">
        <v>4388</v>
      </c>
      <c r="D7524" t="s">
        <v>304</v>
      </c>
      <c r="E7524">
        <f>YEAR(A7524)</f>
        <v>2015</v>
      </c>
      <c r="F7524" s="33">
        <f>DATE(YEAR(A7524),MONTH(A7524),1)</f>
        <v>42125.0</v>
      </c>
      <c r="G7524" t="str">
        <f>CHOOSE(WEEKDAY(A7524,2),"Mon","Tue","Wed","Thu","Fri","Sat","Sun")</f>
        <v>Mon</v>
      </c>
      <c r="H7524" t="str">
        <f>IF(WEEKDAY(A7524,2)&gt;5,"Weekend","Weekday")</f>
        <v>Weekday</v>
      </c>
      <c r="I7524" t="str">
        <f>_xlfn.IFS(B7524&lt;=5,"Night (0-5)",B7524&lt;=9,"Morning peak (6-9)",B7524&lt;=15,"Midday (10-15)",B7524&lt;=19,"Evening peak (16-19)",TRUE,"Late evening (20-23)")</f>
        <v>Late evening (20-23)</v>
      </c>
    </row>
    <row r="7525" spans="1:9">
      <c r="A7525" s="32">
        <v>42135</v>
      </c>
      <c r="B7525">
        <v>22</v>
      </c>
      <c r="C7525">
        <v>4082</v>
      </c>
      <c r="D7525" t="s">
        <v>304</v>
      </c>
      <c r="E7525">
        <f>YEAR(A7525)</f>
        <v>2015</v>
      </c>
      <c r="F7525" s="33">
        <f>DATE(YEAR(A7525),MONTH(A7525),1)</f>
        <v>42125.0</v>
      </c>
      <c r="G7525" t="str">
        <f>CHOOSE(WEEKDAY(A7525,2),"Mon","Tue","Wed","Thu","Fri","Sat","Sun")</f>
        <v>Mon</v>
      </c>
      <c r="H7525" t="str">
        <f>IF(WEEKDAY(A7525,2)&gt;5,"Weekend","Weekday")</f>
        <v>Weekday</v>
      </c>
      <c r="I7525" t="str">
        <f>_xlfn.IFS(B7525&lt;=5,"Night (0-5)",B7525&lt;=9,"Morning peak (6-9)",B7525&lt;=15,"Midday (10-15)",B7525&lt;=19,"Evening peak (16-19)",TRUE,"Late evening (20-23)")</f>
        <v>Late evening (20-23)</v>
      </c>
    </row>
    <row r="7526" spans="1:9">
      <c r="A7526" s="32">
        <v>42135</v>
      </c>
      <c r="B7526">
        <v>23</v>
      </c>
      <c r="C7526">
        <v>3098</v>
      </c>
      <c r="D7526" t="s">
        <v>304</v>
      </c>
      <c r="E7526">
        <f>YEAR(A7526)</f>
        <v>2015</v>
      </c>
      <c r="F7526" s="33">
        <f>DATE(YEAR(A7526),MONTH(A7526),1)</f>
        <v>42125.0</v>
      </c>
      <c r="G7526" t="str">
        <f>CHOOSE(WEEKDAY(A7526,2),"Mon","Tue","Wed","Thu","Fri","Sat","Sun")</f>
        <v>Mon</v>
      </c>
      <c r="H7526" t="str">
        <f>IF(WEEKDAY(A7526,2)&gt;5,"Weekend","Weekday")</f>
        <v>Weekday</v>
      </c>
      <c r="I7526" t="str">
        <f>_xlfn.IFS(B7526&lt;=5,"Night (0-5)",B7526&lt;=9,"Morning peak (6-9)",B7526&lt;=15,"Midday (10-15)",B7526&lt;=19,"Evening peak (16-19)",TRUE,"Late evening (20-23)")</f>
        <v>Late evening (20-23)</v>
      </c>
    </row>
    <row r="7527" spans="1:9">
      <c r="A7527" s="32">
        <v>42136</v>
      </c>
      <c r="B7527">
        <v>0</v>
      </c>
      <c r="C7527">
        <v>2161</v>
      </c>
      <c r="D7527" t="s">
        <v>304</v>
      </c>
      <c r="E7527">
        <f>YEAR(A7527)</f>
        <v>2015</v>
      </c>
      <c r="F7527" s="33">
        <f>DATE(YEAR(A7527),MONTH(A7527),1)</f>
        <v>42125.0</v>
      </c>
      <c r="G7527" t="str">
        <f>CHOOSE(WEEKDAY(A7527,2),"Mon","Tue","Wed","Thu","Fri","Sat","Sun")</f>
        <v>Tue</v>
      </c>
      <c r="H7527" t="str">
        <f>IF(WEEKDAY(A7527,2)&gt;5,"Weekend","Weekday")</f>
        <v>Weekday</v>
      </c>
      <c r="I7527" t="str">
        <f>_xlfn.IFS(B7527&lt;=5,"Night (0-5)",B7527&lt;=9,"Morning peak (6-9)",B7527&lt;=15,"Midday (10-15)",B7527&lt;=19,"Evening peak (16-19)",TRUE,"Late evening (20-23)")</f>
        <v>Night (0-5)</v>
      </c>
    </row>
    <row r="7528" spans="1:9">
      <c r="A7528" s="32">
        <v>42136</v>
      </c>
      <c r="B7528">
        <v>1</v>
      </c>
      <c r="C7528">
        <v>1317</v>
      </c>
      <c r="D7528" t="s">
        <v>304</v>
      </c>
      <c r="E7528">
        <f>YEAR(A7528)</f>
        <v>2015</v>
      </c>
      <c r="F7528" s="33">
        <f>DATE(YEAR(A7528),MONTH(A7528),1)</f>
        <v>42125.0</v>
      </c>
      <c r="G7528" t="str">
        <f>CHOOSE(WEEKDAY(A7528,2),"Mon","Tue","Wed","Thu","Fri","Sat","Sun")</f>
        <v>Tue</v>
      </c>
      <c r="H7528" t="str">
        <f>IF(WEEKDAY(A7528,2)&gt;5,"Weekend","Weekday")</f>
        <v>Weekday</v>
      </c>
      <c r="I7528" t="str">
        <f>_xlfn.IFS(B7528&lt;=5,"Night (0-5)",B7528&lt;=9,"Morning peak (6-9)",B7528&lt;=15,"Midday (10-15)",B7528&lt;=19,"Evening peak (16-19)",TRUE,"Late evening (20-23)")</f>
        <v>Night (0-5)</v>
      </c>
    </row>
    <row r="7529" spans="1:9">
      <c r="A7529" s="32">
        <v>42136</v>
      </c>
      <c r="B7529">
        <v>2</v>
      </c>
      <c r="C7529">
        <v>675</v>
      </c>
      <c r="D7529" t="s">
        <v>304</v>
      </c>
      <c r="E7529">
        <f>YEAR(A7529)</f>
        <v>2015</v>
      </c>
      <c r="F7529" s="33">
        <f>DATE(YEAR(A7529),MONTH(A7529),1)</f>
        <v>42125.0</v>
      </c>
      <c r="G7529" t="str">
        <f>CHOOSE(WEEKDAY(A7529,2),"Mon","Tue","Wed","Thu","Fri","Sat","Sun")</f>
        <v>Tue</v>
      </c>
      <c r="H7529" t="str">
        <f>IF(WEEKDAY(A7529,2)&gt;5,"Weekend","Weekday")</f>
        <v>Weekday</v>
      </c>
      <c r="I7529" t="str">
        <f>_xlfn.IFS(B7529&lt;=5,"Night (0-5)",B7529&lt;=9,"Morning peak (6-9)",B7529&lt;=15,"Midday (10-15)",B7529&lt;=19,"Evening peak (16-19)",TRUE,"Late evening (20-23)")</f>
        <v>Night (0-5)</v>
      </c>
    </row>
    <row r="7530" spans="1:9">
      <c r="A7530" s="32">
        <v>42136</v>
      </c>
      <c r="B7530">
        <v>3</v>
      </c>
      <c r="C7530">
        <v>485</v>
      </c>
      <c r="D7530" t="s">
        <v>304</v>
      </c>
      <c r="E7530">
        <f>YEAR(A7530)</f>
        <v>2015</v>
      </c>
      <c r="F7530" s="33">
        <f>DATE(YEAR(A7530),MONTH(A7530),1)</f>
        <v>42125.0</v>
      </c>
      <c r="G7530" t="str">
        <f>CHOOSE(WEEKDAY(A7530,2),"Mon","Tue","Wed","Thu","Fri","Sat","Sun")</f>
        <v>Tue</v>
      </c>
      <c r="H7530" t="str">
        <f>IF(WEEKDAY(A7530,2)&gt;5,"Weekend","Weekday")</f>
        <v>Weekday</v>
      </c>
      <c r="I7530" t="str">
        <f>_xlfn.IFS(B7530&lt;=5,"Night (0-5)",B7530&lt;=9,"Morning peak (6-9)",B7530&lt;=15,"Midday (10-15)",B7530&lt;=19,"Evening peak (16-19)",TRUE,"Late evening (20-23)")</f>
        <v>Night (0-5)</v>
      </c>
    </row>
    <row r="7531" spans="1:9">
      <c r="A7531" s="32">
        <v>42136</v>
      </c>
      <c r="B7531">
        <v>4</v>
      </c>
      <c r="C7531">
        <v>621</v>
      </c>
      <c r="D7531" t="s">
        <v>304</v>
      </c>
      <c r="E7531">
        <f>YEAR(A7531)</f>
        <v>2015</v>
      </c>
      <c r="F7531" s="33">
        <f>DATE(YEAR(A7531),MONTH(A7531),1)</f>
        <v>42125.0</v>
      </c>
      <c r="G7531" t="str">
        <f>CHOOSE(WEEKDAY(A7531,2),"Mon","Tue","Wed","Thu","Fri","Sat","Sun")</f>
        <v>Tue</v>
      </c>
      <c r="H7531" t="str">
        <f>IF(WEEKDAY(A7531,2)&gt;5,"Weekend","Weekday")</f>
        <v>Weekday</v>
      </c>
      <c r="I7531" t="str">
        <f>_xlfn.IFS(B7531&lt;=5,"Night (0-5)",B7531&lt;=9,"Morning peak (6-9)",B7531&lt;=15,"Midday (10-15)",B7531&lt;=19,"Evening peak (16-19)",TRUE,"Late evening (20-23)")</f>
        <v>Night (0-5)</v>
      </c>
    </row>
    <row r="7532" spans="1:9">
      <c r="A7532" s="32">
        <v>42136</v>
      </c>
      <c r="B7532">
        <v>5</v>
      </c>
      <c r="C7532">
        <v>1072</v>
      </c>
      <c r="D7532" t="s">
        <v>304</v>
      </c>
      <c r="E7532">
        <f>YEAR(A7532)</f>
        <v>2015</v>
      </c>
      <c r="F7532" s="33">
        <f>DATE(YEAR(A7532),MONTH(A7532),1)</f>
        <v>42125.0</v>
      </c>
      <c r="G7532" t="str">
        <f>CHOOSE(WEEKDAY(A7532,2),"Mon","Tue","Wed","Thu","Fri","Sat","Sun")</f>
        <v>Tue</v>
      </c>
      <c r="H7532" t="str">
        <f>IF(WEEKDAY(A7532,2)&gt;5,"Weekend","Weekday")</f>
        <v>Weekday</v>
      </c>
      <c r="I7532" t="str">
        <f>_xlfn.IFS(B7532&lt;=5,"Night (0-5)",B7532&lt;=9,"Morning peak (6-9)",B7532&lt;=15,"Midday (10-15)",B7532&lt;=19,"Evening peak (16-19)",TRUE,"Late evening (20-23)")</f>
        <v>Night (0-5)</v>
      </c>
    </row>
    <row r="7533" spans="1:9">
      <c r="A7533" s="32">
        <v>42136</v>
      </c>
      <c r="B7533">
        <v>6</v>
      </c>
      <c r="C7533">
        <v>1824</v>
      </c>
      <c r="D7533" t="s">
        <v>304</v>
      </c>
      <c r="E7533">
        <f>YEAR(A7533)</f>
        <v>2015</v>
      </c>
      <c r="F7533" s="33">
        <f>DATE(YEAR(A7533),MONTH(A7533),1)</f>
        <v>42125.0</v>
      </c>
      <c r="G7533" t="str">
        <f>CHOOSE(WEEKDAY(A7533,2),"Mon","Tue","Wed","Thu","Fri","Sat","Sun")</f>
        <v>Tue</v>
      </c>
      <c r="H7533" t="str">
        <f>IF(WEEKDAY(A7533,2)&gt;5,"Weekend","Weekday")</f>
        <v>Weekday</v>
      </c>
      <c r="I7533" t="str">
        <f>_xlfn.IFS(B7533&lt;=5,"Night (0-5)",B7533&lt;=9,"Morning peak (6-9)",B7533&lt;=15,"Midday (10-15)",B7533&lt;=19,"Evening peak (16-19)",TRUE,"Late evening (20-23)")</f>
        <v>Morning peak (6-9)</v>
      </c>
    </row>
    <row r="7534" spans="1:9">
      <c r="A7534" s="32">
        <v>42136</v>
      </c>
      <c r="B7534">
        <v>7</v>
      </c>
      <c r="C7534">
        <v>2927</v>
      </c>
      <c r="D7534" t="s">
        <v>304</v>
      </c>
      <c r="E7534">
        <f>YEAR(A7534)</f>
        <v>2015</v>
      </c>
      <c r="F7534" s="33">
        <f>DATE(YEAR(A7534),MONTH(A7534),1)</f>
        <v>42125.0</v>
      </c>
      <c r="G7534" t="str">
        <f>CHOOSE(WEEKDAY(A7534,2),"Mon","Tue","Wed","Thu","Fri","Sat","Sun")</f>
        <v>Tue</v>
      </c>
      <c r="H7534" t="str">
        <f>IF(WEEKDAY(A7534,2)&gt;5,"Weekend","Weekday")</f>
        <v>Weekday</v>
      </c>
      <c r="I7534" t="str">
        <f>_xlfn.IFS(B7534&lt;=5,"Night (0-5)",B7534&lt;=9,"Morning peak (6-9)",B7534&lt;=15,"Midday (10-15)",B7534&lt;=19,"Evening peak (16-19)",TRUE,"Late evening (20-23)")</f>
        <v>Morning peak (6-9)</v>
      </c>
    </row>
    <row r="7535" spans="1:9">
      <c r="A7535" s="32">
        <v>42136</v>
      </c>
      <c r="B7535">
        <v>8</v>
      </c>
      <c r="C7535">
        <v>3969</v>
      </c>
      <c r="D7535" t="s">
        <v>304</v>
      </c>
      <c r="E7535">
        <f>YEAR(A7535)</f>
        <v>2015</v>
      </c>
      <c r="F7535" s="33">
        <f>DATE(YEAR(A7535),MONTH(A7535),1)</f>
        <v>42125.0</v>
      </c>
      <c r="G7535" t="str">
        <f>CHOOSE(WEEKDAY(A7535,2),"Mon","Tue","Wed","Thu","Fri","Sat","Sun")</f>
        <v>Tue</v>
      </c>
      <c r="H7535" t="str">
        <f>IF(WEEKDAY(A7535,2)&gt;5,"Weekend","Weekday")</f>
        <v>Weekday</v>
      </c>
      <c r="I7535" t="str">
        <f>_xlfn.IFS(B7535&lt;=5,"Night (0-5)",B7535&lt;=9,"Morning peak (6-9)",B7535&lt;=15,"Midday (10-15)",B7535&lt;=19,"Evening peak (16-19)",TRUE,"Late evening (20-23)")</f>
        <v>Morning peak (6-9)</v>
      </c>
    </row>
    <row r="7536" spans="1:9">
      <c r="A7536" s="32">
        <v>42136</v>
      </c>
      <c r="B7536">
        <v>9</v>
      </c>
      <c r="C7536">
        <v>3895</v>
      </c>
      <c r="D7536" t="s">
        <v>304</v>
      </c>
      <c r="E7536">
        <f>YEAR(A7536)</f>
        <v>2015</v>
      </c>
      <c r="F7536" s="33">
        <f>DATE(YEAR(A7536),MONTH(A7536),1)</f>
        <v>42125.0</v>
      </c>
      <c r="G7536" t="str">
        <f>CHOOSE(WEEKDAY(A7536,2),"Mon","Tue","Wed","Thu","Fri","Sat","Sun")</f>
        <v>Tue</v>
      </c>
      <c r="H7536" t="str">
        <f>IF(WEEKDAY(A7536,2)&gt;5,"Weekend","Weekday")</f>
        <v>Weekday</v>
      </c>
      <c r="I7536" t="str">
        <f>_xlfn.IFS(B7536&lt;=5,"Night (0-5)",B7536&lt;=9,"Morning peak (6-9)",B7536&lt;=15,"Midday (10-15)",B7536&lt;=19,"Evening peak (16-19)",TRUE,"Late evening (20-23)")</f>
        <v>Morning peak (6-9)</v>
      </c>
    </row>
    <row r="7537" spans="1:9">
      <c r="A7537" s="32">
        <v>42136</v>
      </c>
      <c r="B7537">
        <v>10</v>
      </c>
      <c r="C7537">
        <v>3178</v>
      </c>
      <c r="D7537" t="s">
        <v>304</v>
      </c>
      <c r="E7537">
        <f>YEAR(A7537)</f>
        <v>2015</v>
      </c>
      <c r="F7537" s="33">
        <f>DATE(YEAR(A7537),MONTH(A7537),1)</f>
        <v>42125.0</v>
      </c>
      <c r="G7537" t="str">
        <f>CHOOSE(WEEKDAY(A7537,2),"Mon","Tue","Wed","Thu","Fri","Sat","Sun")</f>
        <v>Tue</v>
      </c>
      <c r="H7537" t="str">
        <f>IF(WEEKDAY(A7537,2)&gt;5,"Weekend","Weekday")</f>
        <v>Weekday</v>
      </c>
      <c r="I7537" t="str">
        <f>_xlfn.IFS(B7537&lt;=5,"Night (0-5)",B7537&lt;=9,"Morning peak (6-9)",B7537&lt;=15,"Midday (10-15)",B7537&lt;=19,"Evening peak (16-19)",TRUE,"Late evening (20-23)")</f>
        <v>Midday (10-15)</v>
      </c>
    </row>
    <row r="7538" spans="1:9">
      <c r="A7538" s="32">
        <v>42136</v>
      </c>
      <c r="B7538">
        <v>11</v>
      </c>
      <c r="C7538">
        <v>2971</v>
      </c>
      <c r="D7538" t="s">
        <v>304</v>
      </c>
      <c r="E7538">
        <f>YEAR(A7538)</f>
        <v>2015</v>
      </c>
      <c r="F7538" s="33">
        <f>DATE(YEAR(A7538),MONTH(A7538),1)</f>
        <v>42125.0</v>
      </c>
      <c r="G7538" t="str">
        <f>CHOOSE(WEEKDAY(A7538,2),"Mon","Tue","Wed","Thu","Fri","Sat","Sun")</f>
        <v>Tue</v>
      </c>
      <c r="H7538" t="str">
        <f>IF(WEEKDAY(A7538,2)&gt;5,"Weekend","Weekday")</f>
        <v>Weekday</v>
      </c>
      <c r="I7538" t="str">
        <f>_xlfn.IFS(B7538&lt;=5,"Night (0-5)",B7538&lt;=9,"Morning peak (6-9)",B7538&lt;=15,"Midday (10-15)",B7538&lt;=19,"Evening peak (16-19)",TRUE,"Late evening (20-23)")</f>
        <v>Midday (10-15)</v>
      </c>
    </row>
    <row r="7539" spans="1:9">
      <c r="A7539" s="32">
        <v>42136</v>
      </c>
      <c r="B7539">
        <v>12</v>
      </c>
      <c r="C7539">
        <v>2909</v>
      </c>
      <c r="D7539" t="s">
        <v>304</v>
      </c>
      <c r="E7539">
        <f>YEAR(A7539)</f>
        <v>2015</v>
      </c>
      <c r="F7539" s="33">
        <f>DATE(YEAR(A7539),MONTH(A7539),1)</f>
        <v>42125.0</v>
      </c>
      <c r="G7539" t="str">
        <f>CHOOSE(WEEKDAY(A7539,2),"Mon","Tue","Wed","Thu","Fri","Sat","Sun")</f>
        <v>Tue</v>
      </c>
      <c r="H7539" t="str">
        <f>IF(WEEKDAY(A7539,2)&gt;5,"Weekend","Weekday")</f>
        <v>Weekday</v>
      </c>
      <c r="I7539" t="str">
        <f>_xlfn.IFS(B7539&lt;=5,"Night (0-5)",B7539&lt;=9,"Morning peak (6-9)",B7539&lt;=15,"Midday (10-15)",B7539&lt;=19,"Evening peak (16-19)",TRUE,"Late evening (20-23)")</f>
        <v>Midday (10-15)</v>
      </c>
    </row>
    <row r="7540" spans="1:9">
      <c r="A7540" s="32">
        <v>42136</v>
      </c>
      <c r="B7540">
        <v>13</v>
      </c>
      <c r="C7540">
        <v>2784</v>
      </c>
      <c r="D7540" t="s">
        <v>304</v>
      </c>
      <c r="E7540">
        <f>YEAR(A7540)</f>
        <v>2015</v>
      </c>
      <c r="F7540" s="33">
        <f>DATE(YEAR(A7540),MONTH(A7540),1)</f>
        <v>42125.0</v>
      </c>
      <c r="G7540" t="str">
        <f>CHOOSE(WEEKDAY(A7540,2),"Mon","Tue","Wed","Thu","Fri","Sat","Sun")</f>
        <v>Tue</v>
      </c>
      <c r="H7540" t="str">
        <f>IF(WEEKDAY(A7540,2)&gt;5,"Weekend","Weekday")</f>
        <v>Weekday</v>
      </c>
      <c r="I7540" t="str">
        <f>_xlfn.IFS(B7540&lt;=5,"Night (0-5)",B7540&lt;=9,"Morning peak (6-9)",B7540&lt;=15,"Midday (10-15)",B7540&lt;=19,"Evening peak (16-19)",TRUE,"Late evening (20-23)")</f>
        <v>Midday (10-15)</v>
      </c>
    </row>
    <row r="7541" spans="1:9">
      <c r="A7541" s="32">
        <v>42136</v>
      </c>
      <c r="B7541">
        <v>14</v>
      </c>
      <c r="C7541">
        <v>3275</v>
      </c>
      <c r="D7541" t="s">
        <v>304</v>
      </c>
      <c r="E7541">
        <f>YEAR(A7541)</f>
        <v>2015</v>
      </c>
      <c r="F7541" s="33">
        <f>DATE(YEAR(A7541),MONTH(A7541),1)</f>
        <v>42125.0</v>
      </c>
      <c r="G7541" t="str">
        <f>CHOOSE(WEEKDAY(A7541,2),"Mon","Tue","Wed","Thu","Fri","Sat","Sun")</f>
        <v>Tue</v>
      </c>
      <c r="H7541" t="str">
        <f>IF(WEEKDAY(A7541,2)&gt;5,"Weekend","Weekday")</f>
        <v>Weekday</v>
      </c>
      <c r="I7541" t="str">
        <f>_xlfn.IFS(B7541&lt;=5,"Night (0-5)",B7541&lt;=9,"Morning peak (6-9)",B7541&lt;=15,"Midday (10-15)",B7541&lt;=19,"Evening peak (16-19)",TRUE,"Late evening (20-23)")</f>
        <v>Midday (10-15)</v>
      </c>
    </row>
    <row r="7542" spans="1:9">
      <c r="A7542" s="32">
        <v>42136</v>
      </c>
      <c r="B7542">
        <v>15</v>
      </c>
      <c r="C7542">
        <v>3814</v>
      </c>
      <c r="D7542" t="s">
        <v>304</v>
      </c>
      <c r="E7542">
        <f>YEAR(A7542)</f>
        <v>2015</v>
      </c>
      <c r="F7542" s="33">
        <f>DATE(YEAR(A7542),MONTH(A7542),1)</f>
        <v>42125.0</v>
      </c>
      <c r="G7542" t="str">
        <f>CHOOSE(WEEKDAY(A7542,2),"Mon","Tue","Wed","Thu","Fri","Sat","Sun")</f>
        <v>Tue</v>
      </c>
      <c r="H7542" t="str">
        <f>IF(WEEKDAY(A7542,2)&gt;5,"Weekend","Weekday")</f>
        <v>Weekday</v>
      </c>
      <c r="I7542" t="str">
        <f>_xlfn.IFS(B7542&lt;=5,"Night (0-5)",B7542&lt;=9,"Morning peak (6-9)",B7542&lt;=15,"Midday (10-15)",B7542&lt;=19,"Evening peak (16-19)",TRUE,"Late evening (20-23)")</f>
        <v>Midday (10-15)</v>
      </c>
    </row>
    <row r="7543" spans="1:9">
      <c r="A7543" s="32">
        <v>42136</v>
      </c>
      <c r="B7543">
        <v>16</v>
      </c>
      <c r="C7543">
        <v>4218</v>
      </c>
      <c r="D7543" t="s">
        <v>304</v>
      </c>
      <c r="E7543">
        <f>YEAR(A7543)</f>
        <v>2015</v>
      </c>
      <c r="F7543" s="33">
        <f>DATE(YEAR(A7543),MONTH(A7543),1)</f>
        <v>42125.0</v>
      </c>
      <c r="G7543" t="str">
        <f>CHOOSE(WEEKDAY(A7543,2),"Mon","Tue","Wed","Thu","Fri","Sat","Sun")</f>
        <v>Tue</v>
      </c>
      <c r="H7543" t="str">
        <f>IF(WEEKDAY(A7543,2)&gt;5,"Weekend","Weekday")</f>
        <v>Weekday</v>
      </c>
      <c r="I7543" t="str">
        <f>_xlfn.IFS(B7543&lt;=5,"Night (0-5)",B7543&lt;=9,"Morning peak (6-9)",B7543&lt;=15,"Midday (10-15)",B7543&lt;=19,"Evening peak (16-19)",TRUE,"Late evening (20-23)")</f>
        <v>Evening peak (16-19)</v>
      </c>
    </row>
    <row r="7544" spans="1:9">
      <c r="A7544" s="32">
        <v>42136</v>
      </c>
      <c r="B7544">
        <v>17</v>
      </c>
      <c r="C7544">
        <v>5072</v>
      </c>
      <c r="D7544" t="s">
        <v>304</v>
      </c>
      <c r="E7544">
        <f>YEAR(A7544)</f>
        <v>2015</v>
      </c>
      <c r="F7544" s="33">
        <f>DATE(YEAR(A7544),MONTH(A7544),1)</f>
        <v>42125.0</v>
      </c>
      <c r="G7544" t="str">
        <f>CHOOSE(WEEKDAY(A7544,2),"Mon","Tue","Wed","Thu","Fri","Sat","Sun")</f>
        <v>Tue</v>
      </c>
      <c r="H7544" t="str">
        <f>IF(WEEKDAY(A7544,2)&gt;5,"Weekend","Weekday")</f>
        <v>Weekday</v>
      </c>
      <c r="I7544" t="str">
        <f>_xlfn.IFS(B7544&lt;=5,"Night (0-5)",B7544&lt;=9,"Morning peak (6-9)",B7544&lt;=15,"Midday (10-15)",B7544&lt;=19,"Evening peak (16-19)",TRUE,"Late evening (20-23)")</f>
        <v>Evening peak (16-19)</v>
      </c>
    </row>
    <row r="7545" spans="1:9">
      <c r="A7545" s="32">
        <v>42136</v>
      </c>
      <c r="B7545">
        <v>18</v>
      </c>
      <c r="C7545">
        <v>5777</v>
      </c>
      <c r="D7545" t="s">
        <v>304</v>
      </c>
      <c r="E7545">
        <f>YEAR(A7545)</f>
        <v>2015</v>
      </c>
      <c r="F7545" s="33">
        <f>DATE(YEAR(A7545),MONTH(A7545),1)</f>
        <v>42125.0</v>
      </c>
      <c r="G7545" t="str">
        <f>CHOOSE(WEEKDAY(A7545,2),"Mon","Tue","Wed","Thu","Fri","Sat","Sun")</f>
        <v>Tue</v>
      </c>
      <c r="H7545" t="str">
        <f>IF(WEEKDAY(A7545,2)&gt;5,"Weekend","Weekday")</f>
        <v>Weekday</v>
      </c>
      <c r="I7545" t="str">
        <f>_xlfn.IFS(B7545&lt;=5,"Night (0-5)",B7545&lt;=9,"Morning peak (6-9)",B7545&lt;=15,"Midday (10-15)",B7545&lt;=19,"Evening peak (16-19)",TRUE,"Late evening (20-23)")</f>
        <v>Evening peak (16-19)</v>
      </c>
    </row>
    <row r="7546" spans="1:9">
      <c r="A7546" s="32">
        <v>42136</v>
      </c>
      <c r="B7546">
        <v>19</v>
      </c>
      <c r="C7546">
        <v>5356</v>
      </c>
      <c r="D7546" t="s">
        <v>304</v>
      </c>
      <c r="E7546">
        <f>YEAR(A7546)</f>
        <v>2015</v>
      </c>
      <c r="F7546" s="33">
        <f>DATE(YEAR(A7546),MONTH(A7546),1)</f>
        <v>42125.0</v>
      </c>
      <c r="G7546" t="str">
        <f>CHOOSE(WEEKDAY(A7546,2),"Mon","Tue","Wed","Thu","Fri","Sat","Sun")</f>
        <v>Tue</v>
      </c>
      <c r="H7546" t="str">
        <f>IF(WEEKDAY(A7546,2)&gt;5,"Weekend","Weekday")</f>
        <v>Weekday</v>
      </c>
      <c r="I7546" t="str">
        <f>_xlfn.IFS(B7546&lt;=5,"Night (0-5)",B7546&lt;=9,"Morning peak (6-9)",B7546&lt;=15,"Midday (10-15)",B7546&lt;=19,"Evening peak (16-19)",TRUE,"Late evening (20-23)")</f>
        <v>Evening peak (16-19)</v>
      </c>
    </row>
    <row r="7547" spans="1:9">
      <c r="A7547" s="32">
        <v>42136</v>
      </c>
      <c r="B7547">
        <v>20</v>
      </c>
      <c r="C7547">
        <v>5076</v>
      </c>
      <c r="D7547" t="s">
        <v>304</v>
      </c>
      <c r="E7547">
        <f>YEAR(A7547)</f>
        <v>2015</v>
      </c>
      <c r="F7547" s="33">
        <f>DATE(YEAR(A7547),MONTH(A7547),1)</f>
        <v>42125.0</v>
      </c>
      <c r="G7547" t="str">
        <f>CHOOSE(WEEKDAY(A7547,2),"Mon","Tue","Wed","Thu","Fri","Sat","Sun")</f>
        <v>Tue</v>
      </c>
      <c r="H7547" t="str">
        <f>IF(WEEKDAY(A7547,2)&gt;5,"Weekend","Weekday")</f>
        <v>Weekday</v>
      </c>
      <c r="I7547" t="str">
        <f>_xlfn.IFS(B7547&lt;=5,"Night (0-5)",B7547&lt;=9,"Morning peak (6-9)",B7547&lt;=15,"Midday (10-15)",B7547&lt;=19,"Evening peak (16-19)",TRUE,"Late evening (20-23)")</f>
        <v>Late evening (20-23)</v>
      </c>
    </row>
    <row r="7548" spans="1:9">
      <c r="A7548" s="32">
        <v>42136</v>
      </c>
      <c r="B7548">
        <v>21</v>
      </c>
      <c r="C7548">
        <v>5460</v>
      </c>
      <c r="D7548" t="s">
        <v>304</v>
      </c>
      <c r="E7548">
        <f>YEAR(A7548)</f>
        <v>2015</v>
      </c>
      <c r="F7548" s="33">
        <f>DATE(YEAR(A7548),MONTH(A7548),1)</f>
        <v>42125.0</v>
      </c>
      <c r="G7548" t="str">
        <f>CHOOSE(WEEKDAY(A7548,2),"Mon","Tue","Wed","Thu","Fri","Sat","Sun")</f>
        <v>Tue</v>
      </c>
      <c r="H7548" t="str">
        <f>IF(WEEKDAY(A7548,2)&gt;5,"Weekend","Weekday")</f>
        <v>Weekday</v>
      </c>
      <c r="I7548" t="str">
        <f>_xlfn.IFS(B7548&lt;=5,"Night (0-5)",B7548&lt;=9,"Morning peak (6-9)",B7548&lt;=15,"Midday (10-15)",B7548&lt;=19,"Evening peak (16-19)",TRUE,"Late evening (20-23)")</f>
        <v>Late evening (20-23)</v>
      </c>
    </row>
    <row r="7549" spans="1:9">
      <c r="A7549" s="32">
        <v>42136</v>
      </c>
      <c r="B7549">
        <v>22</v>
      </c>
      <c r="C7549">
        <v>5315</v>
      </c>
      <c r="D7549" t="s">
        <v>304</v>
      </c>
      <c r="E7549">
        <f>YEAR(A7549)</f>
        <v>2015</v>
      </c>
      <c r="F7549" s="33">
        <f>DATE(YEAR(A7549),MONTH(A7549),1)</f>
        <v>42125.0</v>
      </c>
      <c r="G7549" t="str">
        <f>CHOOSE(WEEKDAY(A7549,2),"Mon","Tue","Wed","Thu","Fri","Sat","Sun")</f>
        <v>Tue</v>
      </c>
      <c r="H7549" t="str">
        <f>IF(WEEKDAY(A7549,2)&gt;5,"Weekend","Weekday")</f>
        <v>Weekday</v>
      </c>
      <c r="I7549" t="str">
        <f>_xlfn.IFS(B7549&lt;=5,"Night (0-5)",B7549&lt;=9,"Morning peak (6-9)",B7549&lt;=15,"Midday (10-15)",B7549&lt;=19,"Evening peak (16-19)",TRUE,"Late evening (20-23)")</f>
        <v>Late evening (20-23)</v>
      </c>
    </row>
    <row r="7550" spans="1:9">
      <c r="A7550" s="32">
        <v>42136</v>
      </c>
      <c r="B7550">
        <v>23</v>
      </c>
      <c r="C7550">
        <v>4286</v>
      </c>
      <c r="D7550" t="s">
        <v>304</v>
      </c>
      <c r="E7550">
        <f>YEAR(A7550)</f>
        <v>2015</v>
      </c>
      <c r="F7550" s="33">
        <f>DATE(YEAR(A7550),MONTH(A7550),1)</f>
        <v>42125.0</v>
      </c>
      <c r="G7550" t="str">
        <f>CHOOSE(WEEKDAY(A7550,2),"Mon","Tue","Wed","Thu","Fri","Sat","Sun")</f>
        <v>Tue</v>
      </c>
      <c r="H7550" t="str">
        <f>IF(WEEKDAY(A7550,2)&gt;5,"Weekend","Weekday")</f>
        <v>Weekday</v>
      </c>
      <c r="I7550" t="str">
        <f>_xlfn.IFS(B7550&lt;=5,"Night (0-5)",B7550&lt;=9,"Morning peak (6-9)",B7550&lt;=15,"Midday (10-15)",B7550&lt;=19,"Evening peak (16-19)",TRUE,"Late evening (20-23)")</f>
        <v>Late evening (20-23)</v>
      </c>
    </row>
    <row r="7551" spans="1:9">
      <c r="A7551" s="32">
        <v>42137</v>
      </c>
      <c r="B7551">
        <v>0</v>
      </c>
      <c r="C7551">
        <v>2460</v>
      </c>
      <c r="D7551" t="s">
        <v>304</v>
      </c>
      <c r="E7551">
        <f>YEAR(A7551)</f>
        <v>2015</v>
      </c>
      <c r="F7551" s="33">
        <f>DATE(YEAR(A7551),MONTH(A7551),1)</f>
        <v>42125.0</v>
      </c>
      <c r="G7551" t="str">
        <f>CHOOSE(WEEKDAY(A7551,2),"Mon","Tue","Wed","Thu","Fri","Sat","Sun")</f>
        <v>Wed</v>
      </c>
      <c r="H7551" t="str">
        <f>IF(WEEKDAY(A7551,2)&gt;5,"Weekend","Weekday")</f>
        <v>Weekday</v>
      </c>
      <c r="I7551" t="str">
        <f>_xlfn.IFS(B7551&lt;=5,"Night (0-5)",B7551&lt;=9,"Morning peak (6-9)",B7551&lt;=15,"Midday (10-15)",B7551&lt;=19,"Evening peak (16-19)",TRUE,"Late evening (20-23)")</f>
        <v>Night (0-5)</v>
      </c>
    </row>
    <row r="7552" spans="1:9">
      <c r="A7552" s="32">
        <v>42137</v>
      </c>
      <c r="B7552">
        <v>1</v>
      </c>
      <c r="C7552">
        <v>1279</v>
      </c>
      <c r="D7552" t="s">
        <v>304</v>
      </c>
      <c r="E7552">
        <f>YEAR(A7552)</f>
        <v>2015</v>
      </c>
      <c r="F7552" s="33">
        <f>DATE(YEAR(A7552),MONTH(A7552),1)</f>
        <v>42125.0</v>
      </c>
      <c r="G7552" t="str">
        <f>CHOOSE(WEEKDAY(A7552,2),"Mon","Tue","Wed","Thu","Fri","Sat","Sun")</f>
        <v>Wed</v>
      </c>
      <c r="H7552" t="str">
        <f>IF(WEEKDAY(A7552,2)&gt;5,"Weekend","Weekday")</f>
        <v>Weekday</v>
      </c>
      <c r="I7552" t="str">
        <f>_xlfn.IFS(B7552&lt;=5,"Night (0-5)",B7552&lt;=9,"Morning peak (6-9)",B7552&lt;=15,"Midday (10-15)",B7552&lt;=19,"Evening peak (16-19)",TRUE,"Late evening (20-23)")</f>
        <v>Night (0-5)</v>
      </c>
    </row>
    <row r="7553" spans="1:9">
      <c r="A7553" s="32">
        <v>42137</v>
      </c>
      <c r="B7553">
        <v>2</v>
      </c>
      <c r="C7553">
        <v>782</v>
      </c>
      <c r="D7553" t="s">
        <v>304</v>
      </c>
      <c r="E7553">
        <f>YEAR(A7553)</f>
        <v>2015</v>
      </c>
      <c r="F7553" s="33">
        <f>DATE(YEAR(A7553),MONTH(A7553),1)</f>
        <v>42125.0</v>
      </c>
      <c r="G7553" t="str">
        <f>CHOOSE(WEEKDAY(A7553,2),"Mon","Tue","Wed","Thu","Fri","Sat","Sun")</f>
        <v>Wed</v>
      </c>
      <c r="H7553" t="str">
        <f>IF(WEEKDAY(A7553,2)&gt;5,"Weekend","Weekday")</f>
        <v>Weekday</v>
      </c>
      <c r="I7553" t="str">
        <f>_xlfn.IFS(B7553&lt;=5,"Night (0-5)",B7553&lt;=9,"Morning peak (6-9)",B7553&lt;=15,"Midday (10-15)",B7553&lt;=19,"Evening peak (16-19)",TRUE,"Late evening (20-23)")</f>
        <v>Night (0-5)</v>
      </c>
    </row>
    <row r="7554" spans="1:9">
      <c r="A7554" s="32">
        <v>42137</v>
      </c>
      <c r="B7554">
        <v>3</v>
      </c>
      <c r="C7554">
        <v>485</v>
      </c>
      <c r="D7554" t="s">
        <v>304</v>
      </c>
      <c r="E7554">
        <f>YEAR(A7554)</f>
        <v>2015</v>
      </c>
      <c r="F7554" s="33">
        <f>DATE(YEAR(A7554),MONTH(A7554),1)</f>
        <v>42125.0</v>
      </c>
      <c r="G7554" t="str">
        <f>CHOOSE(WEEKDAY(A7554,2),"Mon","Tue","Wed","Thu","Fri","Sat","Sun")</f>
        <v>Wed</v>
      </c>
      <c r="H7554" t="str">
        <f>IF(WEEKDAY(A7554,2)&gt;5,"Weekend","Weekday")</f>
        <v>Weekday</v>
      </c>
      <c r="I7554" t="str">
        <f>_xlfn.IFS(B7554&lt;=5,"Night (0-5)",B7554&lt;=9,"Morning peak (6-9)",B7554&lt;=15,"Midday (10-15)",B7554&lt;=19,"Evening peak (16-19)",TRUE,"Late evening (20-23)")</f>
        <v>Night (0-5)</v>
      </c>
    </row>
    <row r="7555" spans="1:9">
      <c r="A7555" s="32">
        <v>42137</v>
      </c>
      <c r="B7555">
        <v>4</v>
      </c>
      <c r="C7555">
        <v>681</v>
      </c>
      <c r="D7555" t="s">
        <v>304</v>
      </c>
      <c r="E7555">
        <f>YEAR(A7555)</f>
        <v>2015</v>
      </c>
      <c r="F7555" s="33">
        <f>DATE(YEAR(A7555),MONTH(A7555),1)</f>
        <v>42125.0</v>
      </c>
      <c r="G7555" t="str">
        <f>CHOOSE(WEEKDAY(A7555,2),"Mon","Tue","Wed","Thu","Fri","Sat","Sun")</f>
        <v>Wed</v>
      </c>
      <c r="H7555" t="str">
        <f>IF(WEEKDAY(A7555,2)&gt;5,"Weekend","Weekday")</f>
        <v>Weekday</v>
      </c>
      <c r="I7555" t="str">
        <f>_xlfn.IFS(B7555&lt;=5,"Night (0-5)",B7555&lt;=9,"Morning peak (6-9)",B7555&lt;=15,"Midday (10-15)",B7555&lt;=19,"Evening peak (16-19)",TRUE,"Late evening (20-23)")</f>
        <v>Night (0-5)</v>
      </c>
    </row>
    <row r="7556" spans="1:9">
      <c r="A7556" s="32">
        <v>42137</v>
      </c>
      <c r="B7556">
        <v>5</v>
      </c>
      <c r="C7556">
        <v>1137</v>
      </c>
      <c r="D7556" t="s">
        <v>304</v>
      </c>
      <c r="E7556">
        <f>YEAR(A7556)</f>
        <v>2015</v>
      </c>
      <c r="F7556" s="33">
        <f>DATE(YEAR(A7556),MONTH(A7556),1)</f>
        <v>42125.0</v>
      </c>
      <c r="G7556" t="str">
        <f>CHOOSE(WEEKDAY(A7556,2),"Mon","Tue","Wed","Thu","Fri","Sat","Sun")</f>
        <v>Wed</v>
      </c>
      <c r="H7556" t="str">
        <f>IF(WEEKDAY(A7556,2)&gt;5,"Weekend","Weekday")</f>
        <v>Weekday</v>
      </c>
      <c r="I7556" t="str">
        <f>_xlfn.IFS(B7556&lt;=5,"Night (0-5)",B7556&lt;=9,"Morning peak (6-9)",B7556&lt;=15,"Midday (10-15)",B7556&lt;=19,"Evening peak (16-19)",TRUE,"Late evening (20-23)")</f>
        <v>Night (0-5)</v>
      </c>
    </row>
    <row r="7557" spans="1:9">
      <c r="A7557" s="32">
        <v>42137</v>
      </c>
      <c r="B7557">
        <v>6</v>
      </c>
      <c r="C7557">
        <v>1923</v>
      </c>
      <c r="D7557" t="s">
        <v>304</v>
      </c>
      <c r="E7557">
        <f>YEAR(A7557)</f>
        <v>2015</v>
      </c>
      <c r="F7557" s="33">
        <f>DATE(YEAR(A7557),MONTH(A7557),1)</f>
        <v>42125.0</v>
      </c>
      <c r="G7557" t="str">
        <f>CHOOSE(WEEKDAY(A7557,2),"Mon","Tue","Wed","Thu","Fri","Sat","Sun")</f>
        <v>Wed</v>
      </c>
      <c r="H7557" t="str">
        <f>IF(WEEKDAY(A7557,2)&gt;5,"Weekend","Weekday")</f>
        <v>Weekday</v>
      </c>
      <c r="I7557" t="str">
        <f>_xlfn.IFS(B7557&lt;=5,"Night (0-5)",B7557&lt;=9,"Morning peak (6-9)",B7557&lt;=15,"Midday (10-15)",B7557&lt;=19,"Evening peak (16-19)",TRUE,"Late evening (20-23)")</f>
        <v>Morning peak (6-9)</v>
      </c>
    </row>
    <row r="7558" spans="1:9">
      <c r="A7558" s="32">
        <v>42137</v>
      </c>
      <c r="B7558">
        <v>7</v>
      </c>
      <c r="C7558">
        <v>3214</v>
      </c>
      <c r="D7558" t="s">
        <v>304</v>
      </c>
      <c r="E7558">
        <f>YEAR(A7558)</f>
        <v>2015</v>
      </c>
      <c r="F7558" s="33">
        <f>DATE(YEAR(A7558),MONTH(A7558),1)</f>
        <v>42125.0</v>
      </c>
      <c r="G7558" t="str">
        <f>CHOOSE(WEEKDAY(A7558,2),"Mon","Tue","Wed","Thu","Fri","Sat","Sun")</f>
        <v>Wed</v>
      </c>
      <c r="H7558" t="str">
        <f>IF(WEEKDAY(A7558,2)&gt;5,"Weekend","Weekday")</f>
        <v>Weekday</v>
      </c>
      <c r="I7558" t="str">
        <f>_xlfn.IFS(B7558&lt;=5,"Night (0-5)",B7558&lt;=9,"Morning peak (6-9)",B7558&lt;=15,"Midday (10-15)",B7558&lt;=19,"Evening peak (16-19)",TRUE,"Late evening (20-23)")</f>
        <v>Morning peak (6-9)</v>
      </c>
    </row>
    <row r="7559" spans="1:9">
      <c r="A7559" s="32">
        <v>42137</v>
      </c>
      <c r="B7559">
        <v>8</v>
      </c>
      <c r="C7559">
        <v>4130</v>
      </c>
      <c r="D7559" t="s">
        <v>304</v>
      </c>
      <c r="E7559">
        <f>YEAR(A7559)</f>
        <v>2015</v>
      </c>
      <c r="F7559" s="33">
        <f>DATE(YEAR(A7559),MONTH(A7559),1)</f>
        <v>42125.0</v>
      </c>
      <c r="G7559" t="str">
        <f>CHOOSE(WEEKDAY(A7559,2),"Mon","Tue","Wed","Thu","Fri","Sat","Sun")</f>
        <v>Wed</v>
      </c>
      <c r="H7559" t="str">
        <f>IF(WEEKDAY(A7559,2)&gt;5,"Weekend","Weekday")</f>
        <v>Weekday</v>
      </c>
      <c r="I7559" t="str">
        <f>_xlfn.IFS(B7559&lt;=5,"Night (0-5)",B7559&lt;=9,"Morning peak (6-9)",B7559&lt;=15,"Midday (10-15)",B7559&lt;=19,"Evening peak (16-19)",TRUE,"Late evening (20-23)")</f>
        <v>Morning peak (6-9)</v>
      </c>
    </row>
    <row r="7560" spans="1:9">
      <c r="A7560" s="32">
        <v>42137</v>
      </c>
      <c r="B7560">
        <v>9</v>
      </c>
      <c r="C7560">
        <v>3946</v>
      </c>
      <c r="D7560" t="s">
        <v>304</v>
      </c>
      <c r="E7560">
        <f>YEAR(A7560)</f>
        <v>2015</v>
      </c>
      <c r="F7560" s="33">
        <f>DATE(YEAR(A7560),MONTH(A7560),1)</f>
        <v>42125.0</v>
      </c>
      <c r="G7560" t="str">
        <f>CHOOSE(WEEKDAY(A7560,2),"Mon","Tue","Wed","Thu","Fri","Sat","Sun")</f>
        <v>Wed</v>
      </c>
      <c r="H7560" t="str">
        <f>IF(WEEKDAY(A7560,2)&gt;5,"Weekend","Weekday")</f>
        <v>Weekday</v>
      </c>
      <c r="I7560" t="str">
        <f>_xlfn.IFS(B7560&lt;=5,"Night (0-5)",B7560&lt;=9,"Morning peak (6-9)",B7560&lt;=15,"Midday (10-15)",B7560&lt;=19,"Evening peak (16-19)",TRUE,"Late evening (20-23)")</f>
        <v>Morning peak (6-9)</v>
      </c>
    </row>
    <row r="7561" spans="1:9">
      <c r="A7561" s="32">
        <v>42137</v>
      </c>
      <c r="B7561">
        <v>10</v>
      </c>
      <c r="C7561">
        <v>3191</v>
      </c>
      <c r="D7561" t="s">
        <v>304</v>
      </c>
      <c r="E7561">
        <f>YEAR(A7561)</f>
        <v>2015</v>
      </c>
      <c r="F7561" s="33">
        <f>DATE(YEAR(A7561),MONTH(A7561),1)</f>
        <v>42125.0</v>
      </c>
      <c r="G7561" t="str">
        <f>CHOOSE(WEEKDAY(A7561,2),"Mon","Tue","Wed","Thu","Fri","Sat","Sun")</f>
        <v>Wed</v>
      </c>
      <c r="H7561" t="str">
        <f>IF(WEEKDAY(A7561,2)&gt;5,"Weekend","Weekday")</f>
        <v>Weekday</v>
      </c>
      <c r="I7561" t="str">
        <f>_xlfn.IFS(B7561&lt;=5,"Night (0-5)",B7561&lt;=9,"Morning peak (6-9)",B7561&lt;=15,"Midday (10-15)",B7561&lt;=19,"Evening peak (16-19)",TRUE,"Late evening (20-23)")</f>
        <v>Midday (10-15)</v>
      </c>
    </row>
    <row r="7562" spans="1:9">
      <c r="A7562" s="32">
        <v>42137</v>
      </c>
      <c r="B7562">
        <v>11</v>
      </c>
      <c r="C7562">
        <v>2993</v>
      </c>
      <c r="D7562" t="s">
        <v>304</v>
      </c>
      <c r="E7562">
        <f>YEAR(A7562)</f>
        <v>2015</v>
      </c>
      <c r="F7562" s="33">
        <f>DATE(YEAR(A7562),MONTH(A7562),1)</f>
        <v>42125.0</v>
      </c>
      <c r="G7562" t="str">
        <f>CHOOSE(WEEKDAY(A7562,2),"Mon","Tue","Wed","Thu","Fri","Sat","Sun")</f>
        <v>Wed</v>
      </c>
      <c r="H7562" t="str">
        <f>IF(WEEKDAY(A7562,2)&gt;5,"Weekend","Weekday")</f>
        <v>Weekday</v>
      </c>
      <c r="I7562" t="str">
        <f>_xlfn.IFS(B7562&lt;=5,"Night (0-5)",B7562&lt;=9,"Morning peak (6-9)",B7562&lt;=15,"Midday (10-15)",B7562&lt;=19,"Evening peak (16-19)",TRUE,"Late evening (20-23)")</f>
        <v>Midday (10-15)</v>
      </c>
    </row>
    <row r="7563" spans="1:9">
      <c r="A7563" s="32">
        <v>42137</v>
      </c>
      <c r="B7563">
        <v>12</v>
      </c>
      <c r="C7563">
        <v>2925</v>
      </c>
      <c r="D7563" t="s">
        <v>304</v>
      </c>
      <c r="E7563">
        <f>YEAR(A7563)</f>
        <v>2015</v>
      </c>
      <c r="F7563" s="33">
        <f>DATE(YEAR(A7563),MONTH(A7563),1)</f>
        <v>42125.0</v>
      </c>
      <c r="G7563" t="str">
        <f>CHOOSE(WEEKDAY(A7563,2),"Mon","Tue","Wed","Thu","Fri","Sat","Sun")</f>
        <v>Wed</v>
      </c>
      <c r="H7563" t="str">
        <f>IF(WEEKDAY(A7563,2)&gt;5,"Weekend","Weekday")</f>
        <v>Weekday</v>
      </c>
      <c r="I7563" t="str">
        <f>_xlfn.IFS(B7563&lt;=5,"Night (0-5)",B7563&lt;=9,"Morning peak (6-9)",B7563&lt;=15,"Midday (10-15)",B7563&lt;=19,"Evening peak (16-19)",TRUE,"Late evening (20-23)")</f>
        <v>Midday (10-15)</v>
      </c>
    </row>
    <row r="7564" spans="1:9">
      <c r="A7564" s="32">
        <v>42137</v>
      </c>
      <c r="B7564">
        <v>13</v>
      </c>
      <c r="C7564">
        <v>2944</v>
      </c>
      <c r="D7564" t="s">
        <v>304</v>
      </c>
      <c r="E7564">
        <f>YEAR(A7564)</f>
        <v>2015</v>
      </c>
      <c r="F7564" s="33">
        <f>DATE(YEAR(A7564),MONTH(A7564),1)</f>
        <v>42125.0</v>
      </c>
      <c r="G7564" t="str">
        <f>CHOOSE(WEEKDAY(A7564,2),"Mon","Tue","Wed","Thu","Fri","Sat","Sun")</f>
        <v>Wed</v>
      </c>
      <c r="H7564" t="str">
        <f>IF(WEEKDAY(A7564,2)&gt;5,"Weekend","Weekday")</f>
        <v>Weekday</v>
      </c>
      <c r="I7564" t="str">
        <f>_xlfn.IFS(B7564&lt;=5,"Night (0-5)",B7564&lt;=9,"Morning peak (6-9)",B7564&lt;=15,"Midday (10-15)",B7564&lt;=19,"Evening peak (16-19)",TRUE,"Late evening (20-23)")</f>
        <v>Midday (10-15)</v>
      </c>
    </row>
    <row r="7565" spans="1:9">
      <c r="A7565" s="32">
        <v>42137</v>
      </c>
      <c r="B7565">
        <v>14</v>
      </c>
      <c r="C7565">
        <v>3136</v>
      </c>
      <c r="D7565" t="s">
        <v>304</v>
      </c>
      <c r="E7565">
        <f>YEAR(A7565)</f>
        <v>2015</v>
      </c>
      <c r="F7565" s="33">
        <f>DATE(YEAR(A7565),MONTH(A7565),1)</f>
        <v>42125.0</v>
      </c>
      <c r="G7565" t="str">
        <f>CHOOSE(WEEKDAY(A7565,2),"Mon","Tue","Wed","Thu","Fri","Sat","Sun")</f>
        <v>Wed</v>
      </c>
      <c r="H7565" t="str">
        <f>IF(WEEKDAY(A7565,2)&gt;5,"Weekend","Weekday")</f>
        <v>Weekday</v>
      </c>
      <c r="I7565" t="str">
        <f>_xlfn.IFS(B7565&lt;=5,"Night (0-5)",B7565&lt;=9,"Morning peak (6-9)",B7565&lt;=15,"Midday (10-15)",B7565&lt;=19,"Evening peak (16-19)",TRUE,"Late evening (20-23)")</f>
        <v>Midday (10-15)</v>
      </c>
    </row>
    <row r="7566" spans="1:9">
      <c r="A7566" s="32">
        <v>42137</v>
      </c>
      <c r="B7566">
        <v>15</v>
      </c>
      <c r="C7566">
        <v>3767</v>
      </c>
      <c r="D7566" t="s">
        <v>304</v>
      </c>
      <c r="E7566">
        <f>YEAR(A7566)</f>
        <v>2015</v>
      </c>
      <c r="F7566" s="33">
        <f>DATE(YEAR(A7566),MONTH(A7566),1)</f>
        <v>42125.0</v>
      </c>
      <c r="G7566" t="str">
        <f>CHOOSE(WEEKDAY(A7566,2),"Mon","Tue","Wed","Thu","Fri","Sat","Sun")</f>
        <v>Wed</v>
      </c>
      <c r="H7566" t="str">
        <f>IF(WEEKDAY(A7566,2)&gt;5,"Weekend","Weekday")</f>
        <v>Weekday</v>
      </c>
      <c r="I7566" t="str">
        <f>_xlfn.IFS(B7566&lt;=5,"Night (0-5)",B7566&lt;=9,"Morning peak (6-9)",B7566&lt;=15,"Midday (10-15)",B7566&lt;=19,"Evening peak (16-19)",TRUE,"Late evening (20-23)")</f>
        <v>Midday (10-15)</v>
      </c>
    </row>
    <row r="7567" spans="1:9">
      <c r="A7567" s="32">
        <v>42137</v>
      </c>
      <c r="B7567">
        <v>16</v>
      </c>
      <c r="C7567">
        <v>4297</v>
      </c>
      <c r="D7567" t="s">
        <v>304</v>
      </c>
      <c r="E7567">
        <f>YEAR(A7567)</f>
        <v>2015</v>
      </c>
      <c r="F7567" s="33">
        <f>DATE(YEAR(A7567),MONTH(A7567),1)</f>
        <v>42125.0</v>
      </c>
      <c r="G7567" t="str">
        <f>CHOOSE(WEEKDAY(A7567,2),"Mon","Tue","Wed","Thu","Fri","Sat","Sun")</f>
        <v>Wed</v>
      </c>
      <c r="H7567" t="str">
        <f>IF(WEEKDAY(A7567,2)&gt;5,"Weekend","Weekday")</f>
        <v>Weekday</v>
      </c>
      <c r="I7567" t="str">
        <f>_xlfn.IFS(B7567&lt;=5,"Night (0-5)",B7567&lt;=9,"Morning peak (6-9)",B7567&lt;=15,"Midday (10-15)",B7567&lt;=19,"Evening peak (16-19)",TRUE,"Late evening (20-23)")</f>
        <v>Evening peak (16-19)</v>
      </c>
    </row>
    <row r="7568" spans="1:9">
      <c r="A7568" s="32">
        <v>42137</v>
      </c>
      <c r="B7568">
        <v>17</v>
      </c>
      <c r="C7568">
        <v>5105</v>
      </c>
      <c r="D7568" t="s">
        <v>304</v>
      </c>
      <c r="E7568">
        <f>YEAR(A7568)</f>
        <v>2015</v>
      </c>
      <c r="F7568" s="33">
        <f>DATE(YEAR(A7568),MONTH(A7568),1)</f>
        <v>42125.0</v>
      </c>
      <c r="G7568" t="str">
        <f>CHOOSE(WEEKDAY(A7568,2),"Mon","Tue","Wed","Thu","Fri","Sat","Sun")</f>
        <v>Wed</v>
      </c>
      <c r="H7568" t="str">
        <f>IF(WEEKDAY(A7568,2)&gt;5,"Weekend","Weekday")</f>
        <v>Weekday</v>
      </c>
      <c r="I7568" t="str">
        <f>_xlfn.IFS(B7568&lt;=5,"Night (0-5)",B7568&lt;=9,"Morning peak (6-9)",B7568&lt;=15,"Midday (10-15)",B7568&lt;=19,"Evening peak (16-19)",TRUE,"Late evening (20-23)")</f>
        <v>Evening peak (16-19)</v>
      </c>
    </row>
    <row r="7569" spans="1:9">
      <c r="A7569" s="32">
        <v>42137</v>
      </c>
      <c r="B7569">
        <v>18</v>
      </c>
      <c r="C7569">
        <v>6168</v>
      </c>
      <c r="D7569" t="s">
        <v>304</v>
      </c>
      <c r="E7569">
        <f>YEAR(A7569)</f>
        <v>2015</v>
      </c>
      <c r="F7569" s="33">
        <f>DATE(YEAR(A7569),MONTH(A7569),1)</f>
        <v>42125.0</v>
      </c>
      <c r="G7569" t="str">
        <f>CHOOSE(WEEKDAY(A7569,2),"Mon","Tue","Wed","Thu","Fri","Sat","Sun")</f>
        <v>Wed</v>
      </c>
      <c r="H7569" t="str">
        <f>IF(WEEKDAY(A7569,2)&gt;5,"Weekend","Weekday")</f>
        <v>Weekday</v>
      </c>
      <c r="I7569" t="str">
        <f>_xlfn.IFS(B7569&lt;=5,"Night (0-5)",B7569&lt;=9,"Morning peak (6-9)",B7569&lt;=15,"Midday (10-15)",B7569&lt;=19,"Evening peak (16-19)",TRUE,"Late evening (20-23)")</f>
        <v>Evening peak (16-19)</v>
      </c>
    </row>
    <row r="7570" spans="1:9">
      <c r="A7570" s="32">
        <v>42137</v>
      </c>
      <c r="B7570">
        <v>19</v>
      </c>
      <c r="C7570">
        <v>6351</v>
      </c>
      <c r="D7570" t="s">
        <v>304</v>
      </c>
      <c r="E7570">
        <f>YEAR(A7570)</f>
        <v>2015</v>
      </c>
      <c r="F7570" s="33">
        <f>DATE(YEAR(A7570),MONTH(A7570),1)</f>
        <v>42125.0</v>
      </c>
      <c r="G7570" t="str">
        <f>CHOOSE(WEEKDAY(A7570,2),"Mon","Tue","Wed","Thu","Fri","Sat","Sun")</f>
        <v>Wed</v>
      </c>
      <c r="H7570" t="str">
        <f>IF(WEEKDAY(A7570,2)&gt;5,"Weekend","Weekday")</f>
        <v>Weekday</v>
      </c>
      <c r="I7570" t="str">
        <f>_xlfn.IFS(B7570&lt;=5,"Night (0-5)",B7570&lt;=9,"Morning peak (6-9)",B7570&lt;=15,"Midday (10-15)",B7570&lt;=19,"Evening peak (16-19)",TRUE,"Late evening (20-23)")</f>
        <v>Evening peak (16-19)</v>
      </c>
    </row>
    <row r="7571" spans="1:9">
      <c r="A7571" s="32">
        <v>42137</v>
      </c>
      <c r="B7571">
        <v>20</v>
      </c>
      <c r="C7571">
        <v>6068</v>
      </c>
      <c r="D7571" t="s">
        <v>304</v>
      </c>
      <c r="E7571">
        <f>YEAR(A7571)</f>
        <v>2015</v>
      </c>
      <c r="F7571" s="33">
        <f>DATE(YEAR(A7571),MONTH(A7571),1)</f>
        <v>42125.0</v>
      </c>
      <c r="G7571" t="str">
        <f>CHOOSE(WEEKDAY(A7571,2),"Mon","Tue","Wed","Thu","Fri","Sat","Sun")</f>
        <v>Wed</v>
      </c>
      <c r="H7571" t="str">
        <f>IF(WEEKDAY(A7571,2)&gt;5,"Weekend","Weekday")</f>
        <v>Weekday</v>
      </c>
      <c r="I7571" t="str">
        <f>_xlfn.IFS(B7571&lt;=5,"Night (0-5)",B7571&lt;=9,"Morning peak (6-9)",B7571&lt;=15,"Midday (10-15)",B7571&lt;=19,"Evening peak (16-19)",TRUE,"Late evening (20-23)")</f>
        <v>Late evening (20-23)</v>
      </c>
    </row>
    <row r="7572" spans="1:9">
      <c r="A7572" s="32">
        <v>42137</v>
      </c>
      <c r="B7572">
        <v>21</v>
      </c>
      <c r="C7572">
        <v>6054</v>
      </c>
      <c r="D7572" t="s">
        <v>304</v>
      </c>
      <c r="E7572">
        <f>YEAR(A7572)</f>
        <v>2015</v>
      </c>
      <c r="F7572" s="33">
        <f>DATE(YEAR(A7572),MONTH(A7572),1)</f>
        <v>42125.0</v>
      </c>
      <c r="G7572" t="str">
        <f>CHOOSE(WEEKDAY(A7572,2),"Mon","Tue","Wed","Thu","Fri","Sat","Sun")</f>
        <v>Wed</v>
      </c>
      <c r="H7572" t="str">
        <f>IF(WEEKDAY(A7572,2)&gt;5,"Weekend","Weekday")</f>
        <v>Weekday</v>
      </c>
      <c r="I7572" t="str">
        <f>_xlfn.IFS(B7572&lt;=5,"Night (0-5)",B7572&lt;=9,"Morning peak (6-9)",B7572&lt;=15,"Midday (10-15)",B7572&lt;=19,"Evening peak (16-19)",TRUE,"Late evening (20-23)")</f>
        <v>Late evening (20-23)</v>
      </c>
    </row>
    <row r="7573" spans="1:9">
      <c r="A7573" s="32">
        <v>42137</v>
      </c>
      <c r="B7573">
        <v>22</v>
      </c>
      <c r="C7573">
        <v>6211</v>
      </c>
      <c r="D7573" t="s">
        <v>304</v>
      </c>
      <c r="E7573">
        <f>YEAR(A7573)</f>
        <v>2015</v>
      </c>
      <c r="F7573" s="33">
        <f>DATE(YEAR(A7573),MONTH(A7573),1)</f>
        <v>42125.0</v>
      </c>
      <c r="G7573" t="str">
        <f>CHOOSE(WEEKDAY(A7573,2),"Mon","Tue","Wed","Thu","Fri","Sat","Sun")</f>
        <v>Wed</v>
      </c>
      <c r="H7573" t="str">
        <f>IF(WEEKDAY(A7573,2)&gt;5,"Weekend","Weekday")</f>
        <v>Weekday</v>
      </c>
      <c r="I7573" t="str">
        <f>_xlfn.IFS(B7573&lt;=5,"Night (0-5)",B7573&lt;=9,"Morning peak (6-9)",B7573&lt;=15,"Midday (10-15)",B7573&lt;=19,"Evening peak (16-19)",TRUE,"Late evening (20-23)")</f>
        <v>Late evening (20-23)</v>
      </c>
    </row>
    <row r="7574" spans="1:9">
      <c r="A7574" s="32">
        <v>42137</v>
      </c>
      <c r="B7574">
        <v>23</v>
      </c>
      <c r="C7574">
        <v>5690</v>
      </c>
      <c r="D7574" t="s">
        <v>304</v>
      </c>
      <c r="E7574">
        <f>YEAR(A7574)</f>
        <v>2015</v>
      </c>
      <c r="F7574" s="33">
        <f>DATE(YEAR(A7574),MONTH(A7574),1)</f>
        <v>42125.0</v>
      </c>
      <c r="G7574" t="str">
        <f>CHOOSE(WEEKDAY(A7574,2),"Mon","Tue","Wed","Thu","Fri","Sat","Sun")</f>
        <v>Wed</v>
      </c>
      <c r="H7574" t="str">
        <f>IF(WEEKDAY(A7574,2)&gt;5,"Weekend","Weekday")</f>
        <v>Weekday</v>
      </c>
      <c r="I7574" t="str">
        <f>_xlfn.IFS(B7574&lt;=5,"Night (0-5)",B7574&lt;=9,"Morning peak (6-9)",B7574&lt;=15,"Midday (10-15)",B7574&lt;=19,"Evening peak (16-19)",TRUE,"Late evening (20-23)")</f>
        <v>Late evening (20-23)</v>
      </c>
    </row>
    <row r="7575" spans="1:9">
      <c r="A7575" s="32">
        <v>42138</v>
      </c>
      <c r="B7575">
        <v>0</v>
      </c>
      <c r="C7575">
        <v>3233</v>
      </c>
      <c r="D7575" t="s">
        <v>304</v>
      </c>
      <c r="E7575">
        <f>YEAR(A7575)</f>
        <v>2015</v>
      </c>
      <c r="F7575" s="33">
        <f>DATE(YEAR(A7575),MONTH(A7575),1)</f>
        <v>42125.0</v>
      </c>
      <c r="G7575" t="str">
        <f>CHOOSE(WEEKDAY(A7575,2),"Mon","Tue","Wed","Thu","Fri","Sat","Sun")</f>
        <v>Thu</v>
      </c>
      <c r="H7575" t="str">
        <f>IF(WEEKDAY(A7575,2)&gt;5,"Weekend","Weekday")</f>
        <v>Weekday</v>
      </c>
      <c r="I7575" t="str">
        <f>_xlfn.IFS(B7575&lt;=5,"Night (0-5)",B7575&lt;=9,"Morning peak (6-9)",B7575&lt;=15,"Midday (10-15)",B7575&lt;=19,"Evening peak (16-19)",TRUE,"Late evening (20-23)")</f>
        <v>Night (0-5)</v>
      </c>
    </row>
    <row r="7576" spans="1:9">
      <c r="A7576" s="32">
        <v>42138</v>
      </c>
      <c r="B7576">
        <v>1</v>
      </c>
      <c r="C7576">
        <v>1551</v>
      </c>
      <c r="D7576" t="s">
        <v>304</v>
      </c>
      <c r="E7576">
        <f>YEAR(A7576)</f>
        <v>2015</v>
      </c>
      <c r="F7576" s="33">
        <f>DATE(YEAR(A7576),MONTH(A7576),1)</f>
        <v>42125.0</v>
      </c>
      <c r="G7576" t="str">
        <f>CHOOSE(WEEKDAY(A7576,2),"Mon","Tue","Wed","Thu","Fri","Sat","Sun")</f>
        <v>Thu</v>
      </c>
      <c r="H7576" t="str">
        <f>IF(WEEKDAY(A7576,2)&gt;5,"Weekend","Weekday")</f>
        <v>Weekday</v>
      </c>
      <c r="I7576" t="str">
        <f>_xlfn.IFS(B7576&lt;=5,"Night (0-5)",B7576&lt;=9,"Morning peak (6-9)",B7576&lt;=15,"Midday (10-15)",B7576&lt;=19,"Evening peak (16-19)",TRUE,"Late evening (20-23)")</f>
        <v>Night (0-5)</v>
      </c>
    </row>
    <row r="7577" spans="1:9">
      <c r="A7577" s="32">
        <v>42138</v>
      </c>
      <c r="B7577">
        <v>2</v>
      </c>
      <c r="C7577">
        <v>931</v>
      </c>
      <c r="D7577" t="s">
        <v>304</v>
      </c>
      <c r="E7577">
        <f>YEAR(A7577)</f>
        <v>2015</v>
      </c>
      <c r="F7577" s="33">
        <f>DATE(YEAR(A7577),MONTH(A7577),1)</f>
        <v>42125.0</v>
      </c>
      <c r="G7577" t="str">
        <f>CHOOSE(WEEKDAY(A7577,2),"Mon","Tue","Wed","Thu","Fri","Sat","Sun")</f>
        <v>Thu</v>
      </c>
      <c r="H7577" t="str">
        <f>IF(WEEKDAY(A7577,2)&gt;5,"Weekend","Weekday")</f>
        <v>Weekday</v>
      </c>
      <c r="I7577" t="str">
        <f>_xlfn.IFS(B7577&lt;=5,"Night (0-5)",B7577&lt;=9,"Morning peak (6-9)",B7577&lt;=15,"Midday (10-15)",B7577&lt;=19,"Evening peak (16-19)",TRUE,"Late evening (20-23)")</f>
        <v>Night (0-5)</v>
      </c>
    </row>
    <row r="7578" spans="1:9">
      <c r="A7578" s="32">
        <v>42138</v>
      </c>
      <c r="B7578">
        <v>3</v>
      </c>
      <c r="C7578">
        <v>668</v>
      </c>
      <c r="D7578" t="s">
        <v>304</v>
      </c>
      <c r="E7578">
        <f>YEAR(A7578)</f>
        <v>2015</v>
      </c>
      <c r="F7578" s="33">
        <f>DATE(YEAR(A7578),MONTH(A7578),1)</f>
        <v>42125.0</v>
      </c>
      <c r="G7578" t="str">
        <f>CHOOSE(WEEKDAY(A7578,2),"Mon","Tue","Wed","Thu","Fri","Sat","Sun")</f>
        <v>Thu</v>
      </c>
      <c r="H7578" t="str">
        <f>IF(WEEKDAY(A7578,2)&gt;5,"Weekend","Weekday")</f>
        <v>Weekday</v>
      </c>
      <c r="I7578" t="str">
        <f>_xlfn.IFS(B7578&lt;=5,"Night (0-5)",B7578&lt;=9,"Morning peak (6-9)",B7578&lt;=15,"Midday (10-15)",B7578&lt;=19,"Evening peak (16-19)",TRUE,"Late evening (20-23)")</f>
        <v>Night (0-5)</v>
      </c>
    </row>
    <row r="7579" spans="1:9">
      <c r="A7579" s="32">
        <v>42138</v>
      </c>
      <c r="B7579">
        <v>4</v>
      </c>
      <c r="C7579">
        <v>855</v>
      </c>
      <c r="D7579" t="s">
        <v>304</v>
      </c>
      <c r="E7579">
        <f>YEAR(A7579)</f>
        <v>2015</v>
      </c>
      <c r="F7579" s="33">
        <f>DATE(YEAR(A7579),MONTH(A7579),1)</f>
        <v>42125.0</v>
      </c>
      <c r="G7579" t="str">
        <f>CHOOSE(WEEKDAY(A7579,2),"Mon","Tue","Wed","Thu","Fri","Sat","Sun")</f>
        <v>Thu</v>
      </c>
      <c r="H7579" t="str">
        <f>IF(WEEKDAY(A7579,2)&gt;5,"Weekend","Weekday")</f>
        <v>Weekday</v>
      </c>
      <c r="I7579" t="str">
        <f>_xlfn.IFS(B7579&lt;=5,"Night (0-5)",B7579&lt;=9,"Morning peak (6-9)",B7579&lt;=15,"Midday (10-15)",B7579&lt;=19,"Evening peak (16-19)",TRUE,"Late evening (20-23)")</f>
        <v>Night (0-5)</v>
      </c>
    </row>
    <row r="7580" spans="1:9">
      <c r="A7580" s="32">
        <v>42138</v>
      </c>
      <c r="B7580">
        <v>5</v>
      </c>
      <c r="C7580">
        <v>1334</v>
      </c>
      <c r="D7580" t="s">
        <v>304</v>
      </c>
      <c r="E7580">
        <f>YEAR(A7580)</f>
        <v>2015</v>
      </c>
      <c r="F7580" s="33">
        <f>DATE(YEAR(A7580),MONTH(A7580),1)</f>
        <v>42125.0</v>
      </c>
      <c r="G7580" t="str">
        <f>CHOOSE(WEEKDAY(A7580,2),"Mon","Tue","Wed","Thu","Fri","Sat","Sun")</f>
        <v>Thu</v>
      </c>
      <c r="H7580" t="str">
        <f>IF(WEEKDAY(A7580,2)&gt;5,"Weekend","Weekday")</f>
        <v>Weekday</v>
      </c>
      <c r="I7580" t="str">
        <f>_xlfn.IFS(B7580&lt;=5,"Night (0-5)",B7580&lt;=9,"Morning peak (6-9)",B7580&lt;=15,"Midday (10-15)",B7580&lt;=19,"Evening peak (16-19)",TRUE,"Late evening (20-23)")</f>
        <v>Night (0-5)</v>
      </c>
    </row>
    <row r="7581" spans="1:9">
      <c r="A7581" s="32">
        <v>42138</v>
      </c>
      <c r="B7581">
        <v>6</v>
      </c>
      <c r="C7581">
        <v>2030</v>
      </c>
      <c r="D7581" t="s">
        <v>304</v>
      </c>
      <c r="E7581">
        <f>YEAR(A7581)</f>
        <v>2015</v>
      </c>
      <c r="F7581" s="33">
        <f>DATE(YEAR(A7581),MONTH(A7581),1)</f>
        <v>42125.0</v>
      </c>
      <c r="G7581" t="str">
        <f>CHOOSE(WEEKDAY(A7581,2),"Mon","Tue","Wed","Thu","Fri","Sat","Sun")</f>
        <v>Thu</v>
      </c>
      <c r="H7581" t="str">
        <f>IF(WEEKDAY(A7581,2)&gt;5,"Weekend","Weekday")</f>
        <v>Weekday</v>
      </c>
      <c r="I7581" t="str">
        <f>_xlfn.IFS(B7581&lt;=5,"Night (0-5)",B7581&lt;=9,"Morning peak (6-9)",B7581&lt;=15,"Midday (10-15)",B7581&lt;=19,"Evening peak (16-19)",TRUE,"Late evening (20-23)")</f>
        <v>Morning peak (6-9)</v>
      </c>
    </row>
    <row r="7582" spans="1:9">
      <c r="A7582" s="32">
        <v>42138</v>
      </c>
      <c r="B7582">
        <v>7</v>
      </c>
      <c r="C7582">
        <v>3268</v>
      </c>
      <c r="D7582" t="s">
        <v>304</v>
      </c>
      <c r="E7582">
        <f>YEAR(A7582)</f>
        <v>2015</v>
      </c>
      <c r="F7582" s="33">
        <f>DATE(YEAR(A7582),MONTH(A7582),1)</f>
        <v>42125.0</v>
      </c>
      <c r="G7582" t="str">
        <f>CHOOSE(WEEKDAY(A7582,2),"Mon","Tue","Wed","Thu","Fri","Sat","Sun")</f>
        <v>Thu</v>
      </c>
      <c r="H7582" t="str">
        <f>IF(WEEKDAY(A7582,2)&gt;5,"Weekend","Weekday")</f>
        <v>Weekday</v>
      </c>
      <c r="I7582" t="str">
        <f>_xlfn.IFS(B7582&lt;=5,"Night (0-5)",B7582&lt;=9,"Morning peak (6-9)",B7582&lt;=15,"Midday (10-15)",B7582&lt;=19,"Evening peak (16-19)",TRUE,"Late evening (20-23)")</f>
        <v>Morning peak (6-9)</v>
      </c>
    </row>
    <row r="7583" spans="1:9">
      <c r="A7583" s="32">
        <v>42138</v>
      </c>
      <c r="B7583">
        <v>8</v>
      </c>
      <c r="C7583">
        <v>4214</v>
      </c>
      <c r="D7583" t="s">
        <v>304</v>
      </c>
      <c r="E7583">
        <f>YEAR(A7583)</f>
        <v>2015</v>
      </c>
      <c r="F7583" s="33">
        <f>DATE(YEAR(A7583),MONTH(A7583),1)</f>
        <v>42125.0</v>
      </c>
      <c r="G7583" t="str">
        <f>CHOOSE(WEEKDAY(A7583,2),"Mon","Tue","Wed","Thu","Fri","Sat","Sun")</f>
        <v>Thu</v>
      </c>
      <c r="H7583" t="str">
        <f>IF(WEEKDAY(A7583,2)&gt;5,"Weekend","Weekday")</f>
        <v>Weekday</v>
      </c>
      <c r="I7583" t="str">
        <f>_xlfn.IFS(B7583&lt;=5,"Night (0-5)",B7583&lt;=9,"Morning peak (6-9)",B7583&lt;=15,"Midday (10-15)",B7583&lt;=19,"Evening peak (16-19)",TRUE,"Late evening (20-23)")</f>
        <v>Morning peak (6-9)</v>
      </c>
    </row>
    <row r="7584" spans="1:9">
      <c r="A7584" s="32">
        <v>42138</v>
      </c>
      <c r="B7584">
        <v>9</v>
      </c>
      <c r="C7584">
        <v>4152</v>
      </c>
      <c r="D7584" t="s">
        <v>304</v>
      </c>
      <c r="E7584">
        <f>YEAR(A7584)</f>
        <v>2015</v>
      </c>
      <c r="F7584" s="33">
        <f>DATE(YEAR(A7584),MONTH(A7584),1)</f>
        <v>42125.0</v>
      </c>
      <c r="G7584" t="str">
        <f>CHOOSE(WEEKDAY(A7584,2),"Mon","Tue","Wed","Thu","Fri","Sat","Sun")</f>
        <v>Thu</v>
      </c>
      <c r="H7584" t="str">
        <f>IF(WEEKDAY(A7584,2)&gt;5,"Weekend","Weekday")</f>
        <v>Weekday</v>
      </c>
      <c r="I7584" t="str">
        <f>_xlfn.IFS(B7584&lt;=5,"Night (0-5)",B7584&lt;=9,"Morning peak (6-9)",B7584&lt;=15,"Midday (10-15)",B7584&lt;=19,"Evening peak (16-19)",TRUE,"Late evening (20-23)")</f>
        <v>Morning peak (6-9)</v>
      </c>
    </row>
    <row r="7585" spans="1:9">
      <c r="A7585" s="32">
        <v>42138</v>
      </c>
      <c r="B7585">
        <v>10</v>
      </c>
      <c r="C7585">
        <v>3404</v>
      </c>
      <c r="D7585" t="s">
        <v>304</v>
      </c>
      <c r="E7585">
        <f>YEAR(A7585)</f>
        <v>2015</v>
      </c>
      <c r="F7585" s="33">
        <f>DATE(YEAR(A7585),MONTH(A7585),1)</f>
        <v>42125.0</v>
      </c>
      <c r="G7585" t="str">
        <f>CHOOSE(WEEKDAY(A7585,2),"Mon","Tue","Wed","Thu","Fri","Sat","Sun")</f>
        <v>Thu</v>
      </c>
      <c r="H7585" t="str">
        <f>IF(WEEKDAY(A7585,2)&gt;5,"Weekend","Weekday")</f>
        <v>Weekday</v>
      </c>
      <c r="I7585" t="str">
        <f>_xlfn.IFS(B7585&lt;=5,"Night (0-5)",B7585&lt;=9,"Morning peak (6-9)",B7585&lt;=15,"Midday (10-15)",B7585&lt;=19,"Evening peak (16-19)",TRUE,"Late evening (20-23)")</f>
        <v>Midday (10-15)</v>
      </c>
    </row>
    <row r="7586" spans="1:9">
      <c r="A7586" s="32">
        <v>42138</v>
      </c>
      <c r="B7586">
        <v>11</v>
      </c>
      <c r="C7586">
        <v>3148</v>
      </c>
      <c r="D7586" t="s">
        <v>304</v>
      </c>
      <c r="E7586">
        <f>YEAR(A7586)</f>
        <v>2015</v>
      </c>
      <c r="F7586" s="33">
        <f>DATE(YEAR(A7586),MONTH(A7586),1)</f>
        <v>42125.0</v>
      </c>
      <c r="G7586" t="str">
        <f>CHOOSE(WEEKDAY(A7586,2),"Mon","Tue","Wed","Thu","Fri","Sat","Sun")</f>
        <v>Thu</v>
      </c>
      <c r="H7586" t="str">
        <f>IF(WEEKDAY(A7586,2)&gt;5,"Weekend","Weekday")</f>
        <v>Weekday</v>
      </c>
      <c r="I7586" t="str">
        <f>_xlfn.IFS(B7586&lt;=5,"Night (0-5)",B7586&lt;=9,"Morning peak (6-9)",B7586&lt;=15,"Midday (10-15)",B7586&lt;=19,"Evening peak (16-19)",TRUE,"Late evening (20-23)")</f>
        <v>Midday (10-15)</v>
      </c>
    </row>
    <row r="7587" spans="1:9">
      <c r="A7587" s="32">
        <v>42138</v>
      </c>
      <c r="B7587">
        <v>12</v>
      </c>
      <c r="C7587">
        <v>3170</v>
      </c>
      <c r="D7587" t="s">
        <v>304</v>
      </c>
      <c r="E7587">
        <f>YEAR(A7587)</f>
        <v>2015</v>
      </c>
      <c r="F7587" s="33">
        <f>DATE(YEAR(A7587),MONTH(A7587),1)</f>
        <v>42125.0</v>
      </c>
      <c r="G7587" t="str">
        <f>CHOOSE(WEEKDAY(A7587,2),"Mon","Tue","Wed","Thu","Fri","Sat","Sun")</f>
        <v>Thu</v>
      </c>
      <c r="H7587" t="str">
        <f>IF(WEEKDAY(A7587,2)&gt;5,"Weekend","Weekday")</f>
        <v>Weekday</v>
      </c>
      <c r="I7587" t="str">
        <f>_xlfn.IFS(B7587&lt;=5,"Night (0-5)",B7587&lt;=9,"Morning peak (6-9)",B7587&lt;=15,"Midday (10-15)",B7587&lt;=19,"Evening peak (16-19)",TRUE,"Late evening (20-23)")</f>
        <v>Midday (10-15)</v>
      </c>
    </row>
    <row r="7588" spans="1:9">
      <c r="A7588" s="32">
        <v>42138</v>
      </c>
      <c r="B7588">
        <v>13</v>
      </c>
      <c r="C7588">
        <v>3062</v>
      </c>
      <c r="D7588" t="s">
        <v>304</v>
      </c>
      <c r="E7588">
        <f>YEAR(A7588)</f>
        <v>2015</v>
      </c>
      <c r="F7588" s="33">
        <f>DATE(YEAR(A7588),MONTH(A7588),1)</f>
        <v>42125.0</v>
      </c>
      <c r="G7588" t="str">
        <f>CHOOSE(WEEKDAY(A7588,2),"Mon","Tue","Wed","Thu","Fri","Sat","Sun")</f>
        <v>Thu</v>
      </c>
      <c r="H7588" t="str">
        <f>IF(WEEKDAY(A7588,2)&gt;5,"Weekend","Weekday")</f>
        <v>Weekday</v>
      </c>
      <c r="I7588" t="str">
        <f>_xlfn.IFS(B7588&lt;=5,"Night (0-5)",B7588&lt;=9,"Morning peak (6-9)",B7588&lt;=15,"Midday (10-15)",B7588&lt;=19,"Evening peak (16-19)",TRUE,"Late evening (20-23)")</f>
        <v>Midday (10-15)</v>
      </c>
    </row>
    <row r="7589" spans="1:9">
      <c r="A7589" s="32">
        <v>42138</v>
      </c>
      <c r="B7589">
        <v>14</v>
      </c>
      <c r="C7589">
        <v>3579</v>
      </c>
      <c r="D7589" t="s">
        <v>304</v>
      </c>
      <c r="E7589">
        <f>YEAR(A7589)</f>
        <v>2015</v>
      </c>
      <c r="F7589" s="33">
        <f>DATE(YEAR(A7589),MONTH(A7589),1)</f>
        <v>42125.0</v>
      </c>
      <c r="G7589" t="str">
        <f>CHOOSE(WEEKDAY(A7589,2),"Mon","Tue","Wed","Thu","Fri","Sat","Sun")</f>
        <v>Thu</v>
      </c>
      <c r="H7589" t="str">
        <f>IF(WEEKDAY(A7589,2)&gt;5,"Weekend","Weekday")</f>
        <v>Weekday</v>
      </c>
      <c r="I7589" t="str">
        <f>_xlfn.IFS(B7589&lt;=5,"Night (0-5)",B7589&lt;=9,"Morning peak (6-9)",B7589&lt;=15,"Midday (10-15)",B7589&lt;=19,"Evening peak (16-19)",TRUE,"Late evening (20-23)")</f>
        <v>Midday (10-15)</v>
      </c>
    </row>
    <row r="7590" spans="1:9">
      <c r="A7590" s="32">
        <v>42138</v>
      </c>
      <c r="B7590">
        <v>15</v>
      </c>
      <c r="C7590">
        <v>4089</v>
      </c>
      <c r="D7590" t="s">
        <v>304</v>
      </c>
      <c r="E7590">
        <f>YEAR(A7590)</f>
        <v>2015</v>
      </c>
      <c r="F7590" s="33">
        <f>DATE(YEAR(A7590),MONTH(A7590),1)</f>
        <v>42125.0</v>
      </c>
      <c r="G7590" t="str">
        <f>CHOOSE(WEEKDAY(A7590,2),"Mon","Tue","Wed","Thu","Fri","Sat","Sun")</f>
        <v>Thu</v>
      </c>
      <c r="H7590" t="str">
        <f>IF(WEEKDAY(A7590,2)&gt;5,"Weekend","Weekday")</f>
        <v>Weekday</v>
      </c>
      <c r="I7590" t="str">
        <f>_xlfn.IFS(B7590&lt;=5,"Night (0-5)",B7590&lt;=9,"Morning peak (6-9)",B7590&lt;=15,"Midday (10-15)",B7590&lt;=19,"Evening peak (16-19)",TRUE,"Late evening (20-23)")</f>
        <v>Midday (10-15)</v>
      </c>
    </row>
    <row r="7591" spans="1:9">
      <c r="A7591" s="32">
        <v>42138</v>
      </c>
      <c r="B7591">
        <v>16</v>
      </c>
      <c r="C7591">
        <v>4553</v>
      </c>
      <c r="D7591" t="s">
        <v>304</v>
      </c>
      <c r="E7591">
        <f>YEAR(A7591)</f>
        <v>2015</v>
      </c>
      <c r="F7591" s="33">
        <f>DATE(YEAR(A7591),MONTH(A7591),1)</f>
        <v>42125.0</v>
      </c>
      <c r="G7591" t="str">
        <f>CHOOSE(WEEKDAY(A7591,2),"Mon","Tue","Wed","Thu","Fri","Sat","Sun")</f>
        <v>Thu</v>
      </c>
      <c r="H7591" t="str">
        <f>IF(WEEKDAY(A7591,2)&gt;5,"Weekend","Weekday")</f>
        <v>Weekday</v>
      </c>
      <c r="I7591" t="str">
        <f>_xlfn.IFS(B7591&lt;=5,"Night (0-5)",B7591&lt;=9,"Morning peak (6-9)",B7591&lt;=15,"Midday (10-15)",B7591&lt;=19,"Evening peak (16-19)",TRUE,"Late evening (20-23)")</f>
        <v>Evening peak (16-19)</v>
      </c>
    </row>
    <row r="7592" spans="1:9">
      <c r="A7592" s="32">
        <v>42138</v>
      </c>
      <c r="B7592">
        <v>17</v>
      </c>
      <c r="C7592">
        <v>5290</v>
      </c>
      <c r="D7592" t="s">
        <v>304</v>
      </c>
      <c r="E7592">
        <f>YEAR(A7592)</f>
        <v>2015</v>
      </c>
      <c r="F7592" s="33">
        <f>DATE(YEAR(A7592),MONTH(A7592),1)</f>
        <v>42125.0</v>
      </c>
      <c r="G7592" t="str">
        <f>CHOOSE(WEEKDAY(A7592,2),"Mon","Tue","Wed","Thu","Fri","Sat","Sun")</f>
        <v>Thu</v>
      </c>
      <c r="H7592" t="str">
        <f>IF(WEEKDAY(A7592,2)&gt;5,"Weekend","Weekday")</f>
        <v>Weekday</v>
      </c>
      <c r="I7592" t="str">
        <f>_xlfn.IFS(B7592&lt;=5,"Night (0-5)",B7592&lt;=9,"Morning peak (6-9)",B7592&lt;=15,"Midday (10-15)",B7592&lt;=19,"Evening peak (16-19)",TRUE,"Late evening (20-23)")</f>
        <v>Evening peak (16-19)</v>
      </c>
    </row>
    <row r="7593" spans="1:9">
      <c r="A7593" s="32">
        <v>42138</v>
      </c>
      <c r="B7593">
        <v>18</v>
      </c>
      <c r="C7593">
        <v>6491</v>
      </c>
      <c r="D7593" t="s">
        <v>304</v>
      </c>
      <c r="E7593">
        <f>YEAR(A7593)</f>
        <v>2015</v>
      </c>
      <c r="F7593" s="33">
        <f>DATE(YEAR(A7593),MONTH(A7593),1)</f>
        <v>42125.0</v>
      </c>
      <c r="G7593" t="str">
        <f>CHOOSE(WEEKDAY(A7593,2),"Mon","Tue","Wed","Thu","Fri","Sat","Sun")</f>
        <v>Thu</v>
      </c>
      <c r="H7593" t="str">
        <f>IF(WEEKDAY(A7593,2)&gt;5,"Weekend","Weekday")</f>
        <v>Weekday</v>
      </c>
      <c r="I7593" t="str">
        <f>_xlfn.IFS(B7593&lt;=5,"Night (0-5)",B7593&lt;=9,"Morning peak (6-9)",B7593&lt;=15,"Midday (10-15)",B7593&lt;=19,"Evening peak (16-19)",TRUE,"Late evening (20-23)")</f>
        <v>Evening peak (16-19)</v>
      </c>
    </row>
    <row r="7594" spans="1:9">
      <c r="A7594" s="32">
        <v>42138</v>
      </c>
      <c r="B7594">
        <v>19</v>
      </c>
      <c r="C7594">
        <v>6731</v>
      </c>
      <c r="D7594" t="s">
        <v>304</v>
      </c>
      <c r="E7594">
        <f>YEAR(A7594)</f>
        <v>2015</v>
      </c>
      <c r="F7594" s="33">
        <f>DATE(YEAR(A7594),MONTH(A7594),1)</f>
        <v>42125.0</v>
      </c>
      <c r="G7594" t="str">
        <f>CHOOSE(WEEKDAY(A7594,2),"Mon","Tue","Wed","Thu","Fri","Sat","Sun")</f>
        <v>Thu</v>
      </c>
      <c r="H7594" t="str">
        <f>IF(WEEKDAY(A7594,2)&gt;5,"Weekend","Weekday")</f>
        <v>Weekday</v>
      </c>
      <c r="I7594" t="str">
        <f>_xlfn.IFS(B7594&lt;=5,"Night (0-5)",B7594&lt;=9,"Morning peak (6-9)",B7594&lt;=15,"Midday (10-15)",B7594&lt;=19,"Evening peak (16-19)",TRUE,"Late evening (20-23)")</f>
        <v>Evening peak (16-19)</v>
      </c>
    </row>
    <row r="7595" spans="1:9">
      <c r="A7595" s="32">
        <v>42138</v>
      </c>
      <c r="B7595">
        <v>20</v>
      </c>
      <c r="C7595">
        <v>6859</v>
      </c>
      <c r="D7595" t="s">
        <v>304</v>
      </c>
      <c r="E7595">
        <f>YEAR(A7595)</f>
        <v>2015</v>
      </c>
      <c r="F7595" s="33">
        <f>DATE(YEAR(A7595),MONTH(A7595),1)</f>
        <v>42125.0</v>
      </c>
      <c r="G7595" t="str">
        <f>CHOOSE(WEEKDAY(A7595,2),"Mon","Tue","Wed","Thu","Fri","Sat","Sun")</f>
        <v>Thu</v>
      </c>
      <c r="H7595" t="str">
        <f>IF(WEEKDAY(A7595,2)&gt;5,"Weekend","Weekday")</f>
        <v>Weekday</v>
      </c>
      <c r="I7595" t="str">
        <f>_xlfn.IFS(B7595&lt;=5,"Night (0-5)",B7595&lt;=9,"Morning peak (6-9)",B7595&lt;=15,"Midday (10-15)",B7595&lt;=19,"Evening peak (16-19)",TRUE,"Late evening (20-23)")</f>
        <v>Late evening (20-23)</v>
      </c>
    </row>
    <row r="7596" spans="1:9">
      <c r="A7596" s="32">
        <v>42138</v>
      </c>
      <c r="B7596">
        <v>21</v>
      </c>
      <c r="C7596">
        <v>7282</v>
      </c>
      <c r="D7596" t="s">
        <v>304</v>
      </c>
      <c r="E7596">
        <f>YEAR(A7596)</f>
        <v>2015</v>
      </c>
      <c r="F7596" s="33">
        <f>DATE(YEAR(A7596),MONTH(A7596),1)</f>
        <v>42125.0</v>
      </c>
      <c r="G7596" t="str">
        <f>CHOOSE(WEEKDAY(A7596,2),"Mon","Tue","Wed","Thu","Fri","Sat","Sun")</f>
        <v>Thu</v>
      </c>
      <c r="H7596" t="str">
        <f>IF(WEEKDAY(A7596,2)&gt;5,"Weekend","Weekday")</f>
        <v>Weekday</v>
      </c>
      <c r="I7596" t="str">
        <f>_xlfn.IFS(B7596&lt;=5,"Night (0-5)",B7596&lt;=9,"Morning peak (6-9)",B7596&lt;=15,"Midday (10-15)",B7596&lt;=19,"Evening peak (16-19)",TRUE,"Late evening (20-23)")</f>
        <v>Late evening (20-23)</v>
      </c>
    </row>
    <row r="7597" spans="1:9">
      <c r="A7597" s="32">
        <v>42138</v>
      </c>
      <c r="B7597">
        <v>22</v>
      </c>
      <c r="C7597">
        <v>7210</v>
      </c>
      <c r="D7597" t="s">
        <v>304</v>
      </c>
      <c r="E7597">
        <f>YEAR(A7597)</f>
        <v>2015</v>
      </c>
      <c r="F7597" s="33">
        <f>DATE(YEAR(A7597),MONTH(A7597),1)</f>
        <v>42125.0</v>
      </c>
      <c r="G7597" t="str">
        <f>CHOOSE(WEEKDAY(A7597,2),"Mon","Tue","Wed","Thu","Fri","Sat","Sun")</f>
        <v>Thu</v>
      </c>
      <c r="H7597" t="str">
        <f>IF(WEEKDAY(A7597,2)&gt;5,"Weekend","Weekday")</f>
        <v>Weekday</v>
      </c>
      <c r="I7597" t="str">
        <f>_xlfn.IFS(B7597&lt;=5,"Night (0-5)",B7597&lt;=9,"Morning peak (6-9)",B7597&lt;=15,"Midday (10-15)",B7597&lt;=19,"Evening peak (16-19)",TRUE,"Late evening (20-23)")</f>
        <v>Late evening (20-23)</v>
      </c>
    </row>
    <row r="7598" spans="1:9">
      <c r="A7598" s="32">
        <v>42138</v>
      </c>
      <c r="B7598">
        <v>23</v>
      </c>
      <c r="C7598">
        <v>6520</v>
      </c>
      <c r="D7598" t="s">
        <v>304</v>
      </c>
      <c r="E7598">
        <f>YEAR(A7598)</f>
        <v>2015</v>
      </c>
      <c r="F7598" s="33">
        <f>DATE(YEAR(A7598),MONTH(A7598),1)</f>
        <v>42125.0</v>
      </c>
      <c r="G7598" t="str">
        <f>CHOOSE(WEEKDAY(A7598,2),"Mon","Tue","Wed","Thu","Fri","Sat","Sun")</f>
        <v>Thu</v>
      </c>
      <c r="H7598" t="str">
        <f>IF(WEEKDAY(A7598,2)&gt;5,"Weekend","Weekday")</f>
        <v>Weekday</v>
      </c>
      <c r="I7598" t="str">
        <f>_xlfn.IFS(B7598&lt;=5,"Night (0-5)",B7598&lt;=9,"Morning peak (6-9)",B7598&lt;=15,"Midday (10-15)",B7598&lt;=19,"Evening peak (16-19)",TRUE,"Late evening (20-23)")</f>
        <v>Late evening (20-23)</v>
      </c>
    </row>
    <row r="7599" spans="1:9">
      <c r="A7599" s="32">
        <v>42139</v>
      </c>
      <c r="B7599">
        <v>0</v>
      </c>
      <c r="C7599">
        <v>4461</v>
      </c>
      <c r="D7599" t="s">
        <v>304</v>
      </c>
      <c r="E7599">
        <f>YEAR(A7599)</f>
        <v>2015</v>
      </c>
      <c r="F7599" s="33">
        <f>DATE(YEAR(A7599),MONTH(A7599),1)</f>
        <v>42125.0</v>
      </c>
      <c r="G7599" t="str">
        <f>CHOOSE(WEEKDAY(A7599,2),"Mon","Tue","Wed","Thu","Fri","Sat","Sun")</f>
        <v>Fri</v>
      </c>
      <c r="H7599" t="str">
        <f>IF(WEEKDAY(A7599,2)&gt;5,"Weekend","Weekday")</f>
        <v>Weekday</v>
      </c>
      <c r="I7599" t="str">
        <f>_xlfn.IFS(B7599&lt;=5,"Night (0-5)",B7599&lt;=9,"Morning peak (6-9)",B7599&lt;=15,"Midday (10-15)",B7599&lt;=19,"Evening peak (16-19)",TRUE,"Late evening (20-23)")</f>
        <v>Night (0-5)</v>
      </c>
    </row>
    <row r="7600" spans="1:9">
      <c r="A7600" s="32">
        <v>42139</v>
      </c>
      <c r="B7600">
        <v>1</v>
      </c>
      <c r="C7600">
        <v>2101</v>
      </c>
      <c r="D7600" t="s">
        <v>304</v>
      </c>
      <c r="E7600">
        <f>YEAR(A7600)</f>
        <v>2015</v>
      </c>
      <c r="F7600" s="33">
        <f>DATE(YEAR(A7600),MONTH(A7600),1)</f>
        <v>42125.0</v>
      </c>
      <c r="G7600" t="str">
        <f>CHOOSE(WEEKDAY(A7600,2),"Mon","Tue","Wed","Thu","Fri","Sat","Sun")</f>
        <v>Fri</v>
      </c>
      <c r="H7600" t="str">
        <f>IF(WEEKDAY(A7600,2)&gt;5,"Weekend","Weekday")</f>
        <v>Weekday</v>
      </c>
      <c r="I7600" t="str">
        <f>_xlfn.IFS(B7600&lt;=5,"Night (0-5)",B7600&lt;=9,"Morning peak (6-9)",B7600&lt;=15,"Midday (10-15)",B7600&lt;=19,"Evening peak (16-19)",TRUE,"Late evening (20-23)")</f>
        <v>Night (0-5)</v>
      </c>
    </row>
    <row r="7601" spans="1:9">
      <c r="A7601" s="32">
        <v>42139</v>
      </c>
      <c r="B7601">
        <v>2</v>
      </c>
      <c r="C7601">
        <v>1230</v>
      </c>
      <c r="D7601" t="s">
        <v>304</v>
      </c>
      <c r="E7601">
        <f>YEAR(A7601)</f>
        <v>2015</v>
      </c>
      <c r="F7601" s="33">
        <f>DATE(YEAR(A7601),MONTH(A7601),1)</f>
        <v>42125.0</v>
      </c>
      <c r="G7601" t="str">
        <f>CHOOSE(WEEKDAY(A7601,2),"Mon","Tue","Wed","Thu","Fri","Sat","Sun")</f>
        <v>Fri</v>
      </c>
      <c r="H7601" t="str">
        <f>IF(WEEKDAY(A7601,2)&gt;5,"Weekend","Weekday")</f>
        <v>Weekday</v>
      </c>
      <c r="I7601" t="str">
        <f>_xlfn.IFS(B7601&lt;=5,"Night (0-5)",B7601&lt;=9,"Morning peak (6-9)",B7601&lt;=15,"Midday (10-15)",B7601&lt;=19,"Evening peak (16-19)",TRUE,"Late evening (20-23)")</f>
        <v>Night (0-5)</v>
      </c>
    </row>
    <row r="7602" spans="1:9">
      <c r="A7602" s="32">
        <v>42139</v>
      </c>
      <c r="B7602">
        <v>3</v>
      </c>
      <c r="C7602">
        <v>905</v>
      </c>
      <c r="D7602" t="s">
        <v>304</v>
      </c>
      <c r="E7602">
        <f>YEAR(A7602)</f>
        <v>2015</v>
      </c>
      <c r="F7602" s="33">
        <f>DATE(YEAR(A7602),MONTH(A7602),1)</f>
        <v>42125.0</v>
      </c>
      <c r="G7602" t="str">
        <f>CHOOSE(WEEKDAY(A7602,2),"Mon","Tue","Wed","Thu","Fri","Sat","Sun")</f>
        <v>Fri</v>
      </c>
      <c r="H7602" t="str">
        <f>IF(WEEKDAY(A7602,2)&gt;5,"Weekend","Weekday")</f>
        <v>Weekday</v>
      </c>
      <c r="I7602" t="str">
        <f>_xlfn.IFS(B7602&lt;=5,"Night (0-5)",B7602&lt;=9,"Morning peak (6-9)",B7602&lt;=15,"Midday (10-15)",B7602&lt;=19,"Evening peak (16-19)",TRUE,"Late evening (20-23)")</f>
        <v>Night (0-5)</v>
      </c>
    </row>
    <row r="7603" spans="1:9">
      <c r="A7603" s="32">
        <v>42139</v>
      </c>
      <c r="B7603">
        <v>4</v>
      </c>
      <c r="C7603">
        <v>1136</v>
      </c>
      <c r="D7603" t="s">
        <v>304</v>
      </c>
      <c r="E7603">
        <f>YEAR(A7603)</f>
        <v>2015</v>
      </c>
      <c r="F7603" s="33">
        <f>DATE(YEAR(A7603),MONTH(A7603),1)</f>
        <v>42125.0</v>
      </c>
      <c r="G7603" t="str">
        <f>CHOOSE(WEEKDAY(A7603,2),"Mon","Tue","Wed","Thu","Fri","Sat","Sun")</f>
        <v>Fri</v>
      </c>
      <c r="H7603" t="str">
        <f>IF(WEEKDAY(A7603,2)&gt;5,"Weekend","Weekday")</f>
        <v>Weekday</v>
      </c>
      <c r="I7603" t="str">
        <f>_xlfn.IFS(B7603&lt;=5,"Night (0-5)",B7603&lt;=9,"Morning peak (6-9)",B7603&lt;=15,"Midday (10-15)",B7603&lt;=19,"Evening peak (16-19)",TRUE,"Late evening (20-23)")</f>
        <v>Night (0-5)</v>
      </c>
    </row>
    <row r="7604" spans="1:9">
      <c r="A7604" s="32">
        <v>42139</v>
      </c>
      <c r="B7604">
        <v>5</v>
      </c>
      <c r="C7604">
        <v>1346</v>
      </c>
      <c r="D7604" t="s">
        <v>304</v>
      </c>
      <c r="E7604">
        <f>YEAR(A7604)</f>
        <v>2015</v>
      </c>
      <c r="F7604" s="33">
        <f>DATE(YEAR(A7604),MONTH(A7604),1)</f>
        <v>42125.0</v>
      </c>
      <c r="G7604" t="str">
        <f>CHOOSE(WEEKDAY(A7604,2),"Mon","Tue","Wed","Thu","Fri","Sat","Sun")</f>
        <v>Fri</v>
      </c>
      <c r="H7604" t="str">
        <f>IF(WEEKDAY(A7604,2)&gt;5,"Weekend","Weekday")</f>
        <v>Weekday</v>
      </c>
      <c r="I7604" t="str">
        <f>_xlfn.IFS(B7604&lt;=5,"Night (0-5)",B7604&lt;=9,"Morning peak (6-9)",B7604&lt;=15,"Midday (10-15)",B7604&lt;=19,"Evening peak (16-19)",TRUE,"Late evening (20-23)")</f>
        <v>Night (0-5)</v>
      </c>
    </row>
    <row r="7605" spans="1:9">
      <c r="A7605" s="32">
        <v>42139</v>
      </c>
      <c r="B7605">
        <v>6</v>
      </c>
      <c r="C7605">
        <v>2002</v>
      </c>
      <c r="D7605" t="s">
        <v>304</v>
      </c>
      <c r="E7605">
        <f>YEAR(A7605)</f>
        <v>2015</v>
      </c>
      <c r="F7605" s="33">
        <f>DATE(YEAR(A7605),MONTH(A7605),1)</f>
        <v>42125.0</v>
      </c>
      <c r="G7605" t="str">
        <f>CHOOSE(WEEKDAY(A7605,2),"Mon","Tue","Wed","Thu","Fri","Sat","Sun")</f>
        <v>Fri</v>
      </c>
      <c r="H7605" t="str">
        <f>IF(WEEKDAY(A7605,2)&gt;5,"Weekend","Weekday")</f>
        <v>Weekday</v>
      </c>
      <c r="I7605" t="str">
        <f>_xlfn.IFS(B7605&lt;=5,"Night (0-5)",B7605&lt;=9,"Morning peak (6-9)",B7605&lt;=15,"Midday (10-15)",B7605&lt;=19,"Evening peak (16-19)",TRUE,"Late evening (20-23)")</f>
        <v>Morning peak (6-9)</v>
      </c>
    </row>
    <row r="7606" spans="1:9">
      <c r="A7606" s="32">
        <v>42139</v>
      </c>
      <c r="B7606">
        <v>7</v>
      </c>
      <c r="C7606">
        <v>3050</v>
      </c>
      <c r="D7606" t="s">
        <v>304</v>
      </c>
      <c r="E7606">
        <f>YEAR(A7606)</f>
        <v>2015</v>
      </c>
      <c r="F7606" s="33">
        <f>DATE(YEAR(A7606),MONTH(A7606),1)</f>
        <v>42125.0</v>
      </c>
      <c r="G7606" t="str">
        <f>CHOOSE(WEEKDAY(A7606,2),"Mon","Tue","Wed","Thu","Fri","Sat","Sun")</f>
        <v>Fri</v>
      </c>
      <c r="H7606" t="str">
        <f>IF(WEEKDAY(A7606,2)&gt;5,"Weekend","Weekday")</f>
        <v>Weekday</v>
      </c>
      <c r="I7606" t="str">
        <f>_xlfn.IFS(B7606&lt;=5,"Night (0-5)",B7606&lt;=9,"Morning peak (6-9)",B7606&lt;=15,"Midday (10-15)",B7606&lt;=19,"Evening peak (16-19)",TRUE,"Late evening (20-23)")</f>
        <v>Morning peak (6-9)</v>
      </c>
    </row>
    <row r="7607" spans="1:9">
      <c r="A7607" s="32">
        <v>42139</v>
      </c>
      <c r="B7607">
        <v>8</v>
      </c>
      <c r="C7607">
        <v>4070</v>
      </c>
      <c r="D7607" t="s">
        <v>304</v>
      </c>
      <c r="E7607">
        <f>YEAR(A7607)</f>
        <v>2015</v>
      </c>
      <c r="F7607" s="33">
        <f>DATE(YEAR(A7607),MONTH(A7607),1)</f>
        <v>42125.0</v>
      </c>
      <c r="G7607" t="str">
        <f>CHOOSE(WEEKDAY(A7607,2),"Mon","Tue","Wed","Thu","Fri","Sat","Sun")</f>
        <v>Fri</v>
      </c>
      <c r="H7607" t="str">
        <f>IF(WEEKDAY(A7607,2)&gt;5,"Weekend","Weekday")</f>
        <v>Weekday</v>
      </c>
      <c r="I7607" t="str">
        <f>_xlfn.IFS(B7607&lt;=5,"Night (0-5)",B7607&lt;=9,"Morning peak (6-9)",B7607&lt;=15,"Midday (10-15)",B7607&lt;=19,"Evening peak (16-19)",TRUE,"Late evening (20-23)")</f>
        <v>Morning peak (6-9)</v>
      </c>
    </row>
    <row r="7608" spans="1:9">
      <c r="A7608" s="32">
        <v>42139</v>
      </c>
      <c r="B7608">
        <v>9</v>
      </c>
      <c r="C7608">
        <v>4100</v>
      </c>
      <c r="D7608" t="s">
        <v>304</v>
      </c>
      <c r="E7608">
        <f>YEAR(A7608)</f>
        <v>2015</v>
      </c>
      <c r="F7608" s="33">
        <f>DATE(YEAR(A7608),MONTH(A7608),1)</f>
        <v>42125.0</v>
      </c>
      <c r="G7608" t="str">
        <f>CHOOSE(WEEKDAY(A7608,2),"Mon","Tue","Wed","Thu","Fri","Sat","Sun")</f>
        <v>Fri</v>
      </c>
      <c r="H7608" t="str">
        <f>IF(WEEKDAY(A7608,2)&gt;5,"Weekend","Weekday")</f>
        <v>Weekday</v>
      </c>
      <c r="I7608" t="str">
        <f>_xlfn.IFS(B7608&lt;=5,"Night (0-5)",B7608&lt;=9,"Morning peak (6-9)",B7608&lt;=15,"Midday (10-15)",B7608&lt;=19,"Evening peak (16-19)",TRUE,"Late evening (20-23)")</f>
        <v>Morning peak (6-9)</v>
      </c>
    </row>
    <row r="7609" spans="1:9">
      <c r="A7609" s="32">
        <v>42139</v>
      </c>
      <c r="B7609">
        <v>10</v>
      </c>
      <c r="C7609">
        <v>3604</v>
      </c>
      <c r="D7609" t="s">
        <v>304</v>
      </c>
      <c r="E7609">
        <f>YEAR(A7609)</f>
        <v>2015</v>
      </c>
      <c r="F7609" s="33">
        <f>DATE(YEAR(A7609),MONTH(A7609),1)</f>
        <v>42125.0</v>
      </c>
      <c r="G7609" t="str">
        <f>CHOOSE(WEEKDAY(A7609,2),"Mon","Tue","Wed","Thu","Fri","Sat","Sun")</f>
        <v>Fri</v>
      </c>
      <c r="H7609" t="str">
        <f>IF(WEEKDAY(A7609,2)&gt;5,"Weekend","Weekday")</f>
        <v>Weekday</v>
      </c>
      <c r="I7609" t="str">
        <f>_xlfn.IFS(B7609&lt;=5,"Night (0-5)",B7609&lt;=9,"Morning peak (6-9)",B7609&lt;=15,"Midday (10-15)",B7609&lt;=19,"Evening peak (16-19)",TRUE,"Late evening (20-23)")</f>
        <v>Midday (10-15)</v>
      </c>
    </row>
    <row r="7610" spans="1:9">
      <c r="A7610" s="32">
        <v>42139</v>
      </c>
      <c r="B7610">
        <v>11</v>
      </c>
      <c r="C7610">
        <v>3316</v>
      </c>
      <c r="D7610" t="s">
        <v>304</v>
      </c>
      <c r="E7610">
        <f>YEAR(A7610)</f>
        <v>2015</v>
      </c>
      <c r="F7610" s="33">
        <f>DATE(YEAR(A7610),MONTH(A7610),1)</f>
        <v>42125.0</v>
      </c>
      <c r="G7610" t="str">
        <f>CHOOSE(WEEKDAY(A7610,2),"Mon","Tue","Wed","Thu","Fri","Sat","Sun")</f>
        <v>Fri</v>
      </c>
      <c r="H7610" t="str">
        <f>IF(WEEKDAY(A7610,2)&gt;5,"Weekend","Weekday")</f>
        <v>Weekday</v>
      </c>
      <c r="I7610" t="str">
        <f>_xlfn.IFS(B7610&lt;=5,"Night (0-5)",B7610&lt;=9,"Morning peak (6-9)",B7610&lt;=15,"Midday (10-15)",B7610&lt;=19,"Evening peak (16-19)",TRUE,"Late evening (20-23)")</f>
        <v>Midday (10-15)</v>
      </c>
    </row>
    <row r="7611" spans="1:9">
      <c r="A7611" s="32">
        <v>42139</v>
      </c>
      <c r="B7611">
        <v>12</v>
      </c>
      <c r="C7611">
        <v>3136</v>
      </c>
      <c r="D7611" t="s">
        <v>304</v>
      </c>
      <c r="E7611">
        <f>YEAR(A7611)</f>
        <v>2015</v>
      </c>
      <c r="F7611" s="33">
        <f>DATE(YEAR(A7611),MONTH(A7611),1)</f>
        <v>42125.0</v>
      </c>
      <c r="G7611" t="str">
        <f>CHOOSE(WEEKDAY(A7611,2),"Mon","Tue","Wed","Thu","Fri","Sat","Sun")</f>
        <v>Fri</v>
      </c>
      <c r="H7611" t="str">
        <f>IF(WEEKDAY(A7611,2)&gt;5,"Weekend","Weekday")</f>
        <v>Weekday</v>
      </c>
      <c r="I7611" t="str">
        <f>_xlfn.IFS(B7611&lt;=5,"Night (0-5)",B7611&lt;=9,"Morning peak (6-9)",B7611&lt;=15,"Midday (10-15)",B7611&lt;=19,"Evening peak (16-19)",TRUE,"Late evening (20-23)")</f>
        <v>Midday (10-15)</v>
      </c>
    </row>
    <row r="7612" spans="1:9">
      <c r="A7612" s="32">
        <v>42139</v>
      </c>
      <c r="B7612">
        <v>13</v>
      </c>
      <c r="C7612">
        <v>3280</v>
      </c>
      <c r="D7612" t="s">
        <v>304</v>
      </c>
      <c r="E7612">
        <f>YEAR(A7612)</f>
        <v>2015</v>
      </c>
      <c r="F7612" s="33">
        <f>DATE(YEAR(A7612),MONTH(A7612),1)</f>
        <v>42125.0</v>
      </c>
      <c r="G7612" t="str">
        <f>CHOOSE(WEEKDAY(A7612,2),"Mon","Tue","Wed","Thu","Fri","Sat","Sun")</f>
        <v>Fri</v>
      </c>
      <c r="H7612" t="str">
        <f>IF(WEEKDAY(A7612,2)&gt;5,"Weekend","Weekday")</f>
        <v>Weekday</v>
      </c>
      <c r="I7612" t="str">
        <f>_xlfn.IFS(B7612&lt;=5,"Night (0-5)",B7612&lt;=9,"Morning peak (6-9)",B7612&lt;=15,"Midday (10-15)",B7612&lt;=19,"Evening peak (16-19)",TRUE,"Late evening (20-23)")</f>
        <v>Midday (10-15)</v>
      </c>
    </row>
    <row r="7613" spans="1:9">
      <c r="A7613" s="32">
        <v>42139</v>
      </c>
      <c r="B7613">
        <v>14</v>
      </c>
      <c r="C7613">
        <v>3719</v>
      </c>
      <c r="D7613" t="s">
        <v>304</v>
      </c>
      <c r="E7613">
        <f>YEAR(A7613)</f>
        <v>2015</v>
      </c>
      <c r="F7613" s="33">
        <f>DATE(YEAR(A7613),MONTH(A7613),1)</f>
        <v>42125.0</v>
      </c>
      <c r="G7613" t="str">
        <f>CHOOSE(WEEKDAY(A7613,2),"Mon","Tue","Wed","Thu","Fri","Sat","Sun")</f>
        <v>Fri</v>
      </c>
      <c r="H7613" t="str">
        <f>IF(WEEKDAY(A7613,2)&gt;5,"Weekend","Weekday")</f>
        <v>Weekday</v>
      </c>
      <c r="I7613" t="str">
        <f>_xlfn.IFS(B7613&lt;=5,"Night (0-5)",B7613&lt;=9,"Morning peak (6-9)",B7613&lt;=15,"Midday (10-15)",B7613&lt;=19,"Evening peak (16-19)",TRUE,"Late evening (20-23)")</f>
        <v>Midday (10-15)</v>
      </c>
    </row>
    <row r="7614" spans="1:9">
      <c r="A7614" s="32">
        <v>42139</v>
      </c>
      <c r="B7614">
        <v>15</v>
      </c>
      <c r="C7614">
        <v>4351</v>
      </c>
      <c r="D7614" t="s">
        <v>304</v>
      </c>
      <c r="E7614">
        <f>YEAR(A7614)</f>
        <v>2015</v>
      </c>
      <c r="F7614" s="33">
        <f>DATE(YEAR(A7614),MONTH(A7614),1)</f>
        <v>42125.0</v>
      </c>
      <c r="G7614" t="str">
        <f>CHOOSE(WEEKDAY(A7614,2),"Mon","Tue","Wed","Thu","Fri","Sat","Sun")</f>
        <v>Fri</v>
      </c>
      <c r="H7614" t="str">
        <f>IF(WEEKDAY(A7614,2)&gt;5,"Weekend","Weekday")</f>
        <v>Weekday</v>
      </c>
      <c r="I7614" t="str">
        <f>_xlfn.IFS(B7614&lt;=5,"Night (0-5)",B7614&lt;=9,"Morning peak (6-9)",B7614&lt;=15,"Midday (10-15)",B7614&lt;=19,"Evening peak (16-19)",TRUE,"Late evening (20-23)")</f>
        <v>Midday (10-15)</v>
      </c>
    </row>
    <row r="7615" spans="1:9">
      <c r="A7615" s="32">
        <v>42139</v>
      </c>
      <c r="B7615">
        <v>16</v>
      </c>
      <c r="C7615">
        <v>4708</v>
      </c>
      <c r="D7615" t="s">
        <v>304</v>
      </c>
      <c r="E7615">
        <f>YEAR(A7615)</f>
        <v>2015</v>
      </c>
      <c r="F7615" s="33">
        <f>DATE(YEAR(A7615),MONTH(A7615),1)</f>
        <v>42125.0</v>
      </c>
      <c r="G7615" t="str">
        <f>CHOOSE(WEEKDAY(A7615,2),"Mon","Tue","Wed","Thu","Fri","Sat","Sun")</f>
        <v>Fri</v>
      </c>
      <c r="H7615" t="str">
        <f>IF(WEEKDAY(A7615,2)&gt;5,"Weekend","Weekday")</f>
        <v>Weekday</v>
      </c>
      <c r="I7615" t="str">
        <f>_xlfn.IFS(B7615&lt;=5,"Night (0-5)",B7615&lt;=9,"Morning peak (6-9)",B7615&lt;=15,"Midday (10-15)",B7615&lt;=19,"Evening peak (16-19)",TRUE,"Late evening (20-23)")</f>
        <v>Evening peak (16-19)</v>
      </c>
    </row>
    <row r="7616" spans="1:9">
      <c r="A7616" s="32">
        <v>42139</v>
      </c>
      <c r="B7616">
        <v>17</v>
      </c>
      <c r="C7616">
        <v>5551</v>
      </c>
      <c r="D7616" t="s">
        <v>304</v>
      </c>
      <c r="E7616">
        <f>YEAR(A7616)</f>
        <v>2015</v>
      </c>
      <c r="F7616" s="33">
        <f>DATE(YEAR(A7616),MONTH(A7616),1)</f>
        <v>42125.0</v>
      </c>
      <c r="G7616" t="str">
        <f>CHOOSE(WEEKDAY(A7616,2),"Mon","Tue","Wed","Thu","Fri","Sat","Sun")</f>
        <v>Fri</v>
      </c>
      <c r="H7616" t="str">
        <f>IF(WEEKDAY(A7616,2)&gt;5,"Weekend","Weekday")</f>
        <v>Weekday</v>
      </c>
      <c r="I7616" t="str">
        <f>_xlfn.IFS(B7616&lt;=5,"Night (0-5)",B7616&lt;=9,"Morning peak (6-9)",B7616&lt;=15,"Midday (10-15)",B7616&lt;=19,"Evening peak (16-19)",TRUE,"Late evening (20-23)")</f>
        <v>Evening peak (16-19)</v>
      </c>
    </row>
    <row r="7617" spans="1:9">
      <c r="A7617" s="32">
        <v>42139</v>
      </c>
      <c r="B7617">
        <v>18</v>
      </c>
      <c r="C7617">
        <v>6744</v>
      </c>
      <c r="D7617" t="s">
        <v>304</v>
      </c>
      <c r="E7617">
        <f>YEAR(A7617)</f>
        <v>2015</v>
      </c>
      <c r="F7617" s="33">
        <f>DATE(YEAR(A7617),MONTH(A7617),1)</f>
        <v>42125.0</v>
      </c>
      <c r="G7617" t="str">
        <f>CHOOSE(WEEKDAY(A7617,2),"Mon","Tue","Wed","Thu","Fri","Sat","Sun")</f>
        <v>Fri</v>
      </c>
      <c r="H7617" t="str">
        <f>IF(WEEKDAY(A7617,2)&gt;5,"Weekend","Weekday")</f>
        <v>Weekday</v>
      </c>
      <c r="I7617" t="str">
        <f>_xlfn.IFS(B7617&lt;=5,"Night (0-5)",B7617&lt;=9,"Morning peak (6-9)",B7617&lt;=15,"Midday (10-15)",B7617&lt;=19,"Evening peak (16-19)",TRUE,"Late evening (20-23)")</f>
        <v>Evening peak (16-19)</v>
      </c>
    </row>
    <row r="7618" spans="1:9">
      <c r="A7618" s="32">
        <v>42139</v>
      </c>
      <c r="B7618">
        <v>19</v>
      </c>
      <c r="C7618">
        <v>7307</v>
      </c>
      <c r="D7618" t="s">
        <v>304</v>
      </c>
      <c r="E7618">
        <f>YEAR(A7618)</f>
        <v>2015</v>
      </c>
      <c r="F7618" s="33">
        <f>DATE(YEAR(A7618),MONTH(A7618),1)</f>
        <v>42125.0</v>
      </c>
      <c r="G7618" t="str">
        <f>CHOOSE(WEEKDAY(A7618,2),"Mon","Tue","Wed","Thu","Fri","Sat","Sun")</f>
        <v>Fri</v>
      </c>
      <c r="H7618" t="str">
        <f>IF(WEEKDAY(A7618,2)&gt;5,"Weekend","Weekday")</f>
        <v>Weekday</v>
      </c>
      <c r="I7618" t="str">
        <f>_xlfn.IFS(B7618&lt;=5,"Night (0-5)",B7618&lt;=9,"Morning peak (6-9)",B7618&lt;=15,"Midday (10-15)",B7618&lt;=19,"Evening peak (16-19)",TRUE,"Late evening (20-23)")</f>
        <v>Evening peak (16-19)</v>
      </c>
    </row>
    <row r="7619" spans="1:9">
      <c r="A7619" s="32">
        <v>42139</v>
      </c>
      <c r="B7619">
        <v>20</v>
      </c>
      <c r="C7619">
        <v>7282</v>
      </c>
      <c r="D7619" t="s">
        <v>304</v>
      </c>
      <c r="E7619">
        <f>YEAR(A7619)</f>
        <v>2015</v>
      </c>
      <c r="F7619" s="33">
        <f>DATE(YEAR(A7619),MONTH(A7619),1)</f>
        <v>42125.0</v>
      </c>
      <c r="G7619" t="str">
        <f>CHOOSE(WEEKDAY(A7619,2),"Mon","Tue","Wed","Thu","Fri","Sat","Sun")</f>
        <v>Fri</v>
      </c>
      <c r="H7619" t="str">
        <f>IF(WEEKDAY(A7619,2)&gt;5,"Weekend","Weekday")</f>
        <v>Weekday</v>
      </c>
      <c r="I7619" t="str">
        <f>_xlfn.IFS(B7619&lt;=5,"Night (0-5)",B7619&lt;=9,"Morning peak (6-9)",B7619&lt;=15,"Midday (10-15)",B7619&lt;=19,"Evening peak (16-19)",TRUE,"Late evening (20-23)")</f>
        <v>Late evening (20-23)</v>
      </c>
    </row>
    <row r="7620" spans="1:9">
      <c r="A7620" s="32">
        <v>42139</v>
      </c>
      <c r="B7620">
        <v>21</v>
      </c>
      <c r="C7620">
        <v>7071</v>
      </c>
      <c r="D7620" t="s">
        <v>304</v>
      </c>
      <c r="E7620">
        <f>YEAR(A7620)</f>
        <v>2015</v>
      </c>
      <c r="F7620" s="33">
        <f>DATE(YEAR(A7620),MONTH(A7620),1)</f>
        <v>42125.0</v>
      </c>
      <c r="G7620" t="str">
        <f>CHOOSE(WEEKDAY(A7620,2),"Mon","Tue","Wed","Thu","Fri","Sat","Sun")</f>
        <v>Fri</v>
      </c>
      <c r="H7620" t="str">
        <f>IF(WEEKDAY(A7620,2)&gt;5,"Weekend","Weekday")</f>
        <v>Weekday</v>
      </c>
      <c r="I7620" t="str">
        <f>_xlfn.IFS(B7620&lt;=5,"Night (0-5)",B7620&lt;=9,"Morning peak (6-9)",B7620&lt;=15,"Midday (10-15)",B7620&lt;=19,"Evening peak (16-19)",TRUE,"Late evening (20-23)")</f>
        <v>Late evening (20-23)</v>
      </c>
    </row>
    <row r="7621" spans="1:9">
      <c r="A7621" s="32">
        <v>42139</v>
      </c>
      <c r="B7621">
        <v>22</v>
      </c>
      <c r="C7621">
        <v>7654</v>
      </c>
      <c r="D7621" t="s">
        <v>304</v>
      </c>
      <c r="E7621">
        <f>YEAR(A7621)</f>
        <v>2015</v>
      </c>
      <c r="F7621" s="33">
        <f>DATE(YEAR(A7621),MONTH(A7621),1)</f>
        <v>42125.0</v>
      </c>
      <c r="G7621" t="str">
        <f>CHOOSE(WEEKDAY(A7621,2),"Mon","Tue","Wed","Thu","Fri","Sat","Sun")</f>
        <v>Fri</v>
      </c>
      <c r="H7621" t="str">
        <f>IF(WEEKDAY(A7621,2)&gt;5,"Weekend","Weekday")</f>
        <v>Weekday</v>
      </c>
      <c r="I7621" t="str">
        <f>_xlfn.IFS(B7621&lt;=5,"Night (0-5)",B7621&lt;=9,"Morning peak (6-9)",B7621&lt;=15,"Midday (10-15)",B7621&lt;=19,"Evening peak (16-19)",TRUE,"Late evening (20-23)")</f>
        <v>Late evening (20-23)</v>
      </c>
    </row>
    <row r="7622" spans="1:9">
      <c r="A7622" s="32">
        <v>42139</v>
      </c>
      <c r="B7622">
        <v>23</v>
      </c>
      <c r="C7622">
        <v>7632</v>
      </c>
      <c r="D7622" t="s">
        <v>304</v>
      </c>
      <c r="E7622">
        <f>YEAR(A7622)</f>
        <v>2015</v>
      </c>
      <c r="F7622" s="33">
        <f>DATE(YEAR(A7622),MONTH(A7622),1)</f>
        <v>42125.0</v>
      </c>
      <c r="G7622" t="str">
        <f>CHOOSE(WEEKDAY(A7622,2),"Mon","Tue","Wed","Thu","Fri","Sat","Sun")</f>
        <v>Fri</v>
      </c>
      <c r="H7622" t="str">
        <f>IF(WEEKDAY(A7622,2)&gt;5,"Weekend","Weekday")</f>
        <v>Weekday</v>
      </c>
      <c r="I7622" t="str">
        <f>_xlfn.IFS(B7622&lt;=5,"Night (0-5)",B7622&lt;=9,"Morning peak (6-9)",B7622&lt;=15,"Midday (10-15)",B7622&lt;=19,"Evening peak (16-19)",TRUE,"Late evening (20-23)")</f>
        <v>Late evening (20-23)</v>
      </c>
    </row>
    <row r="7623" spans="1:9">
      <c r="A7623" s="32">
        <v>42140</v>
      </c>
      <c r="B7623">
        <v>0</v>
      </c>
      <c r="C7623">
        <v>6914</v>
      </c>
      <c r="D7623" t="s">
        <v>304</v>
      </c>
      <c r="E7623">
        <f>YEAR(A7623)</f>
        <v>2015</v>
      </c>
      <c r="F7623" s="33">
        <f>DATE(YEAR(A7623),MONTH(A7623),1)</f>
        <v>42125.0</v>
      </c>
      <c r="G7623" t="str">
        <f>CHOOSE(WEEKDAY(A7623,2),"Mon","Tue","Wed","Thu","Fri","Sat","Sun")</f>
        <v>Sat</v>
      </c>
      <c r="H7623" t="str">
        <f>IF(WEEKDAY(A7623,2)&gt;5,"Weekend","Weekday")</f>
        <v>Weekend</v>
      </c>
      <c r="I7623" t="str">
        <f>_xlfn.IFS(B7623&lt;=5,"Night (0-5)",B7623&lt;=9,"Morning peak (6-9)",B7623&lt;=15,"Midday (10-15)",B7623&lt;=19,"Evening peak (16-19)",TRUE,"Late evening (20-23)")</f>
        <v>Night (0-5)</v>
      </c>
    </row>
    <row r="7624" spans="1:9">
      <c r="A7624" s="32">
        <v>42140</v>
      </c>
      <c r="B7624">
        <v>1</v>
      </c>
      <c r="C7624">
        <v>5106</v>
      </c>
      <c r="D7624" t="s">
        <v>304</v>
      </c>
      <c r="E7624">
        <f>YEAR(A7624)</f>
        <v>2015</v>
      </c>
      <c r="F7624" s="33">
        <f>DATE(YEAR(A7624),MONTH(A7624),1)</f>
        <v>42125.0</v>
      </c>
      <c r="G7624" t="str">
        <f>CHOOSE(WEEKDAY(A7624,2),"Mon","Tue","Wed","Thu","Fri","Sat","Sun")</f>
        <v>Sat</v>
      </c>
      <c r="H7624" t="str">
        <f>IF(WEEKDAY(A7624,2)&gt;5,"Weekend","Weekday")</f>
        <v>Weekend</v>
      </c>
      <c r="I7624" t="str">
        <f>_xlfn.IFS(B7624&lt;=5,"Night (0-5)",B7624&lt;=9,"Morning peak (6-9)",B7624&lt;=15,"Midday (10-15)",B7624&lt;=19,"Evening peak (16-19)",TRUE,"Late evening (20-23)")</f>
        <v>Night (0-5)</v>
      </c>
    </row>
    <row r="7625" spans="1:9">
      <c r="A7625" s="32">
        <v>42140</v>
      </c>
      <c r="B7625">
        <v>2</v>
      </c>
      <c r="C7625">
        <v>3598</v>
      </c>
      <c r="D7625" t="s">
        <v>304</v>
      </c>
      <c r="E7625">
        <f>YEAR(A7625)</f>
        <v>2015</v>
      </c>
      <c r="F7625" s="33">
        <f>DATE(YEAR(A7625),MONTH(A7625),1)</f>
        <v>42125.0</v>
      </c>
      <c r="G7625" t="str">
        <f>CHOOSE(WEEKDAY(A7625,2),"Mon","Tue","Wed","Thu","Fri","Sat","Sun")</f>
        <v>Sat</v>
      </c>
      <c r="H7625" t="str">
        <f>IF(WEEKDAY(A7625,2)&gt;5,"Weekend","Weekday")</f>
        <v>Weekend</v>
      </c>
      <c r="I7625" t="str">
        <f>_xlfn.IFS(B7625&lt;=5,"Night (0-5)",B7625&lt;=9,"Morning peak (6-9)",B7625&lt;=15,"Midday (10-15)",B7625&lt;=19,"Evening peak (16-19)",TRUE,"Late evening (20-23)")</f>
        <v>Night (0-5)</v>
      </c>
    </row>
    <row r="7626" spans="1:9">
      <c r="A7626" s="32">
        <v>42140</v>
      </c>
      <c r="B7626">
        <v>3</v>
      </c>
      <c r="C7626">
        <v>2281</v>
      </c>
      <c r="D7626" t="s">
        <v>304</v>
      </c>
      <c r="E7626">
        <f>YEAR(A7626)</f>
        <v>2015</v>
      </c>
      <c r="F7626" s="33">
        <f>DATE(YEAR(A7626),MONTH(A7626),1)</f>
        <v>42125.0</v>
      </c>
      <c r="G7626" t="str">
        <f>CHOOSE(WEEKDAY(A7626,2),"Mon","Tue","Wed","Thu","Fri","Sat","Sun")</f>
        <v>Sat</v>
      </c>
      <c r="H7626" t="str">
        <f>IF(WEEKDAY(A7626,2)&gt;5,"Weekend","Weekday")</f>
        <v>Weekend</v>
      </c>
      <c r="I7626" t="str">
        <f>_xlfn.IFS(B7626&lt;=5,"Night (0-5)",B7626&lt;=9,"Morning peak (6-9)",B7626&lt;=15,"Midday (10-15)",B7626&lt;=19,"Evening peak (16-19)",TRUE,"Late evening (20-23)")</f>
        <v>Night (0-5)</v>
      </c>
    </row>
    <row r="7627" spans="1:9">
      <c r="A7627" s="32">
        <v>42140</v>
      </c>
      <c r="B7627">
        <v>4</v>
      </c>
      <c r="C7627">
        <v>1742</v>
      </c>
      <c r="D7627" t="s">
        <v>304</v>
      </c>
      <c r="E7627">
        <f>YEAR(A7627)</f>
        <v>2015</v>
      </c>
      <c r="F7627" s="33">
        <f>DATE(YEAR(A7627),MONTH(A7627),1)</f>
        <v>42125.0</v>
      </c>
      <c r="G7627" t="str">
        <f>CHOOSE(WEEKDAY(A7627,2),"Mon","Tue","Wed","Thu","Fri","Sat","Sun")</f>
        <v>Sat</v>
      </c>
      <c r="H7627" t="str">
        <f>IF(WEEKDAY(A7627,2)&gt;5,"Weekend","Weekday")</f>
        <v>Weekend</v>
      </c>
      <c r="I7627" t="str">
        <f>_xlfn.IFS(B7627&lt;=5,"Night (0-5)",B7627&lt;=9,"Morning peak (6-9)",B7627&lt;=15,"Midday (10-15)",B7627&lt;=19,"Evening peak (16-19)",TRUE,"Late evening (20-23)")</f>
        <v>Night (0-5)</v>
      </c>
    </row>
    <row r="7628" spans="1:9">
      <c r="A7628" s="32">
        <v>42140</v>
      </c>
      <c r="B7628">
        <v>5</v>
      </c>
      <c r="C7628">
        <v>1508</v>
      </c>
      <c r="D7628" t="s">
        <v>304</v>
      </c>
      <c r="E7628">
        <f>YEAR(A7628)</f>
        <v>2015</v>
      </c>
      <c r="F7628" s="33">
        <f>DATE(YEAR(A7628),MONTH(A7628),1)</f>
        <v>42125.0</v>
      </c>
      <c r="G7628" t="str">
        <f>CHOOSE(WEEKDAY(A7628,2),"Mon","Tue","Wed","Thu","Fri","Sat","Sun")</f>
        <v>Sat</v>
      </c>
      <c r="H7628" t="str">
        <f>IF(WEEKDAY(A7628,2)&gt;5,"Weekend","Weekday")</f>
        <v>Weekend</v>
      </c>
      <c r="I7628" t="str">
        <f>_xlfn.IFS(B7628&lt;=5,"Night (0-5)",B7628&lt;=9,"Morning peak (6-9)",B7628&lt;=15,"Midday (10-15)",B7628&lt;=19,"Evening peak (16-19)",TRUE,"Late evening (20-23)")</f>
        <v>Night (0-5)</v>
      </c>
    </row>
    <row r="7629" spans="1:9">
      <c r="A7629" s="32">
        <v>42140</v>
      </c>
      <c r="B7629">
        <v>6</v>
      </c>
      <c r="C7629">
        <v>1635</v>
      </c>
      <c r="D7629" t="s">
        <v>304</v>
      </c>
      <c r="E7629">
        <f>YEAR(A7629)</f>
        <v>2015</v>
      </c>
      <c r="F7629" s="33">
        <f>DATE(YEAR(A7629),MONTH(A7629),1)</f>
        <v>42125.0</v>
      </c>
      <c r="G7629" t="str">
        <f>CHOOSE(WEEKDAY(A7629,2),"Mon","Tue","Wed","Thu","Fri","Sat","Sun")</f>
        <v>Sat</v>
      </c>
      <c r="H7629" t="str">
        <f>IF(WEEKDAY(A7629,2)&gt;5,"Weekend","Weekday")</f>
        <v>Weekend</v>
      </c>
      <c r="I7629" t="str">
        <f>_xlfn.IFS(B7629&lt;=5,"Night (0-5)",B7629&lt;=9,"Morning peak (6-9)",B7629&lt;=15,"Midday (10-15)",B7629&lt;=19,"Evening peak (16-19)",TRUE,"Late evening (20-23)")</f>
        <v>Morning peak (6-9)</v>
      </c>
    </row>
    <row r="7630" spans="1:9">
      <c r="A7630" s="32">
        <v>42140</v>
      </c>
      <c r="B7630">
        <v>7</v>
      </c>
      <c r="C7630">
        <v>1604</v>
      </c>
      <c r="D7630" t="s">
        <v>304</v>
      </c>
      <c r="E7630">
        <f>YEAR(A7630)</f>
        <v>2015</v>
      </c>
      <c r="F7630" s="33">
        <f>DATE(YEAR(A7630),MONTH(A7630),1)</f>
        <v>42125.0</v>
      </c>
      <c r="G7630" t="str">
        <f>CHOOSE(WEEKDAY(A7630,2),"Mon","Tue","Wed","Thu","Fri","Sat","Sun")</f>
        <v>Sat</v>
      </c>
      <c r="H7630" t="str">
        <f>IF(WEEKDAY(A7630,2)&gt;5,"Weekend","Weekday")</f>
        <v>Weekend</v>
      </c>
      <c r="I7630" t="str">
        <f>_xlfn.IFS(B7630&lt;=5,"Night (0-5)",B7630&lt;=9,"Morning peak (6-9)",B7630&lt;=15,"Midday (10-15)",B7630&lt;=19,"Evening peak (16-19)",TRUE,"Late evening (20-23)")</f>
        <v>Morning peak (6-9)</v>
      </c>
    </row>
    <row r="7631" spans="1:9">
      <c r="A7631" s="32">
        <v>42140</v>
      </c>
      <c r="B7631">
        <v>8</v>
      </c>
      <c r="C7631">
        <v>2385</v>
      </c>
      <c r="D7631" t="s">
        <v>304</v>
      </c>
      <c r="E7631">
        <f>YEAR(A7631)</f>
        <v>2015</v>
      </c>
      <c r="F7631" s="33">
        <f>DATE(YEAR(A7631),MONTH(A7631),1)</f>
        <v>42125.0</v>
      </c>
      <c r="G7631" t="str">
        <f>CHOOSE(WEEKDAY(A7631,2),"Mon","Tue","Wed","Thu","Fri","Sat","Sun")</f>
        <v>Sat</v>
      </c>
      <c r="H7631" t="str">
        <f>IF(WEEKDAY(A7631,2)&gt;5,"Weekend","Weekday")</f>
        <v>Weekend</v>
      </c>
      <c r="I7631" t="str">
        <f>_xlfn.IFS(B7631&lt;=5,"Night (0-5)",B7631&lt;=9,"Morning peak (6-9)",B7631&lt;=15,"Midday (10-15)",B7631&lt;=19,"Evening peak (16-19)",TRUE,"Late evening (20-23)")</f>
        <v>Morning peak (6-9)</v>
      </c>
    </row>
    <row r="7632" spans="1:9">
      <c r="A7632" s="32">
        <v>42140</v>
      </c>
      <c r="B7632">
        <v>9</v>
      </c>
      <c r="C7632">
        <v>3110</v>
      </c>
      <c r="D7632" t="s">
        <v>304</v>
      </c>
      <c r="E7632">
        <f>YEAR(A7632)</f>
        <v>2015</v>
      </c>
      <c r="F7632" s="33">
        <f>DATE(YEAR(A7632),MONTH(A7632),1)</f>
        <v>42125.0</v>
      </c>
      <c r="G7632" t="str">
        <f>CHOOSE(WEEKDAY(A7632,2),"Mon","Tue","Wed","Thu","Fri","Sat","Sun")</f>
        <v>Sat</v>
      </c>
      <c r="H7632" t="str">
        <f>IF(WEEKDAY(A7632,2)&gt;5,"Weekend","Weekday")</f>
        <v>Weekend</v>
      </c>
      <c r="I7632" t="str">
        <f>_xlfn.IFS(B7632&lt;=5,"Night (0-5)",B7632&lt;=9,"Morning peak (6-9)",B7632&lt;=15,"Midday (10-15)",B7632&lt;=19,"Evening peak (16-19)",TRUE,"Late evening (20-23)")</f>
        <v>Morning peak (6-9)</v>
      </c>
    </row>
    <row r="7633" spans="1:9">
      <c r="A7633" s="32">
        <v>42140</v>
      </c>
      <c r="B7633">
        <v>10</v>
      </c>
      <c r="C7633">
        <v>3466</v>
      </c>
      <c r="D7633" t="s">
        <v>304</v>
      </c>
      <c r="E7633">
        <f>YEAR(A7633)</f>
        <v>2015</v>
      </c>
      <c r="F7633" s="33">
        <f>DATE(YEAR(A7633),MONTH(A7633),1)</f>
        <v>42125.0</v>
      </c>
      <c r="G7633" t="str">
        <f>CHOOSE(WEEKDAY(A7633,2),"Mon","Tue","Wed","Thu","Fri","Sat","Sun")</f>
        <v>Sat</v>
      </c>
      <c r="H7633" t="str">
        <f>IF(WEEKDAY(A7633,2)&gt;5,"Weekend","Weekday")</f>
        <v>Weekend</v>
      </c>
      <c r="I7633" t="str">
        <f>_xlfn.IFS(B7633&lt;=5,"Night (0-5)",B7633&lt;=9,"Morning peak (6-9)",B7633&lt;=15,"Midday (10-15)",B7633&lt;=19,"Evening peak (16-19)",TRUE,"Late evening (20-23)")</f>
        <v>Midday (10-15)</v>
      </c>
    </row>
    <row r="7634" spans="1:9">
      <c r="A7634" s="32">
        <v>42140</v>
      </c>
      <c r="B7634">
        <v>11</v>
      </c>
      <c r="C7634">
        <v>4027</v>
      </c>
      <c r="D7634" t="s">
        <v>304</v>
      </c>
      <c r="E7634">
        <f>YEAR(A7634)</f>
        <v>2015</v>
      </c>
      <c r="F7634" s="33">
        <f>DATE(YEAR(A7634),MONTH(A7634),1)</f>
        <v>42125.0</v>
      </c>
      <c r="G7634" t="str">
        <f>CHOOSE(WEEKDAY(A7634,2),"Mon","Tue","Wed","Thu","Fri","Sat","Sun")</f>
        <v>Sat</v>
      </c>
      <c r="H7634" t="str">
        <f>IF(WEEKDAY(A7634,2)&gt;5,"Weekend","Weekday")</f>
        <v>Weekend</v>
      </c>
      <c r="I7634" t="str">
        <f>_xlfn.IFS(B7634&lt;=5,"Night (0-5)",B7634&lt;=9,"Morning peak (6-9)",B7634&lt;=15,"Midday (10-15)",B7634&lt;=19,"Evening peak (16-19)",TRUE,"Late evening (20-23)")</f>
        <v>Midday (10-15)</v>
      </c>
    </row>
    <row r="7635" spans="1:9">
      <c r="A7635" s="32">
        <v>42140</v>
      </c>
      <c r="B7635">
        <v>12</v>
      </c>
      <c r="C7635">
        <v>4262</v>
      </c>
      <c r="D7635" t="s">
        <v>304</v>
      </c>
      <c r="E7635">
        <f>YEAR(A7635)</f>
        <v>2015</v>
      </c>
      <c r="F7635" s="33">
        <f>DATE(YEAR(A7635),MONTH(A7635),1)</f>
        <v>42125.0</v>
      </c>
      <c r="G7635" t="str">
        <f>CHOOSE(WEEKDAY(A7635,2),"Mon","Tue","Wed","Thu","Fri","Sat","Sun")</f>
        <v>Sat</v>
      </c>
      <c r="H7635" t="str">
        <f>IF(WEEKDAY(A7635,2)&gt;5,"Weekend","Weekday")</f>
        <v>Weekend</v>
      </c>
      <c r="I7635" t="str">
        <f>_xlfn.IFS(B7635&lt;=5,"Night (0-5)",B7635&lt;=9,"Morning peak (6-9)",B7635&lt;=15,"Midday (10-15)",B7635&lt;=19,"Evening peak (16-19)",TRUE,"Late evening (20-23)")</f>
        <v>Midday (10-15)</v>
      </c>
    </row>
    <row r="7636" spans="1:9">
      <c r="A7636" s="32">
        <v>42140</v>
      </c>
      <c r="B7636">
        <v>13</v>
      </c>
      <c r="C7636">
        <v>4621</v>
      </c>
      <c r="D7636" t="s">
        <v>304</v>
      </c>
      <c r="E7636">
        <f>YEAR(A7636)</f>
        <v>2015</v>
      </c>
      <c r="F7636" s="33">
        <f>DATE(YEAR(A7636),MONTH(A7636),1)</f>
        <v>42125.0</v>
      </c>
      <c r="G7636" t="str">
        <f>CHOOSE(WEEKDAY(A7636,2),"Mon","Tue","Wed","Thu","Fri","Sat","Sun")</f>
        <v>Sat</v>
      </c>
      <c r="H7636" t="str">
        <f>IF(WEEKDAY(A7636,2)&gt;5,"Weekend","Weekday")</f>
        <v>Weekend</v>
      </c>
      <c r="I7636" t="str">
        <f>_xlfn.IFS(B7636&lt;=5,"Night (0-5)",B7636&lt;=9,"Morning peak (6-9)",B7636&lt;=15,"Midday (10-15)",B7636&lt;=19,"Evening peak (16-19)",TRUE,"Late evening (20-23)")</f>
        <v>Midday (10-15)</v>
      </c>
    </row>
    <row r="7637" spans="1:9">
      <c r="A7637" s="32">
        <v>42140</v>
      </c>
      <c r="B7637">
        <v>14</v>
      </c>
      <c r="C7637">
        <v>4817</v>
      </c>
      <c r="D7637" t="s">
        <v>304</v>
      </c>
      <c r="E7637">
        <f>YEAR(A7637)</f>
        <v>2015</v>
      </c>
      <c r="F7637" s="33">
        <f>DATE(YEAR(A7637),MONTH(A7637),1)</f>
        <v>42125.0</v>
      </c>
      <c r="G7637" t="str">
        <f>CHOOSE(WEEKDAY(A7637,2),"Mon","Tue","Wed","Thu","Fri","Sat","Sun")</f>
        <v>Sat</v>
      </c>
      <c r="H7637" t="str">
        <f>IF(WEEKDAY(A7637,2)&gt;5,"Weekend","Weekday")</f>
        <v>Weekend</v>
      </c>
      <c r="I7637" t="str">
        <f>_xlfn.IFS(B7637&lt;=5,"Night (0-5)",B7637&lt;=9,"Morning peak (6-9)",B7637&lt;=15,"Midday (10-15)",B7637&lt;=19,"Evening peak (16-19)",TRUE,"Late evening (20-23)")</f>
        <v>Midday (10-15)</v>
      </c>
    </row>
    <row r="7638" spans="1:9">
      <c r="A7638" s="32">
        <v>42140</v>
      </c>
      <c r="B7638">
        <v>15</v>
      </c>
      <c r="C7638">
        <v>4986</v>
      </c>
      <c r="D7638" t="s">
        <v>304</v>
      </c>
      <c r="E7638">
        <f>YEAR(A7638)</f>
        <v>2015</v>
      </c>
      <c r="F7638" s="33">
        <f>DATE(YEAR(A7638),MONTH(A7638),1)</f>
        <v>42125.0</v>
      </c>
      <c r="G7638" t="str">
        <f>CHOOSE(WEEKDAY(A7638,2),"Mon","Tue","Wed","Thu","Fri","Sat","Sun")</f>
        <v>Sat</v>
      </c>
      <c r="H7638" t="str">
        <f>IF(WEEKDAY(A7638,2)&gt;5,"Weekend","Weekday")</f>
        <v>Weekend</v>
      </c>
      <c r="I7638" t="str">
        <f>_xlfn.IFS(B7638&lt;=5,"Night (0-5)",B7638&lt;=9,"Morning peak (6-9)",B7638&lt;=15,"Midday (10-15)",B7638&lt;=19,"Evening peak (16-19)",TRUE,"Late evening (20-23)")</f>
        <v>Midday (10-15)</v>
      </c>
    </row>
    <row r="7639" spans="1:9">
      <c r="A7639" s="32">
        <v>42140</v>
      </c>
      <c r="B7639">
        <v>16</v>
      </c>
      <c r="C7639">
        <v>5907</v>
      </c>
      <c r="D7639" t="s">
        <v>304</v>
      </c>
      <c r="E7639">
        <f>YEAR(A7639)</f>
        <v>2015</v>
      </c>
      <c r="F7639" s="33">
        <f>DATE(YEAR(A7639),MONTH(A7639),1)</f>
        <v>42125.0</v>
      </c>
      <c r="G7639" t="str">
        <f>CHOOSE(WEEKDAY(A7639,2),"Mon","Tue","Wed","Thu","Fri","Sat","Sun")</f>
        <v>Sat</v>
      </c>
      <c r="H7639" t="str">
        <f>IF(WEEKDAY(A7639,2)&gt;5,"Weekend","Weekday")</f>
        <v>Weekend</v>
      </c>
      <c r="I7639" t="str">
        <f>_xlfn.IFS(B7639&lt;=5,"Night (0-5)",B7639&lt;=9,"Morning peak (6-9)",B7639&lt;=15,"Midday (10-15)",B7639&lt;=19,"Evening peak (16-19)",TRUE,"Late evening (20-23)")</f>
        <v>Evening peak (16-19)</v>
      </c>
    </row>
    <row r="7640" spans="1:9">
      <c r="A7640" s="32">
        <v>42140</v>
      </c>
      <c r="B7640">
        <v>17</v>
      </c>
      <c r="C7640">
        <v>6523</v>
      </c>
      <c r="D7640" t="s">
        <v>304</v>
      </c>
      <c r="E7640">
        <f>YEAR(A7640)</f>
        <v>2015</v>
      </c>
      <c r="F7640" s="33">
        <f>DATE(YEAR(A7640),MONTH(A7640),1)</f>
        <v>42125.0</v>
      </c>
      <c r="G7640" t="str">
        <f>CHOOSE(WEEKDAY(A7640,2),"Mon","Tue","Wed","Thu","Fri","Sat","Sun")</f>
        <v>Sat</v>
      </c>
      <c r="H7640" t="str">
        <f>IF(WEEKDAY(A7640,2)&gt;5,"Weekend","Weekday")</f>
        <v>Weekend</v>
      </c>
      <c r="I7640" t="str">
        <f>_xlfn.IFS(B7640&lt;=5,"Night (0-5)",B7640&lt;=9,"Morning peak (6-9)",B7640&lt;=15,"Midday (10-15)",B7640&lt;=19,"Evening peak (16-19)",TRUE,"Late evening (20-23)")</f>
        <v>Evening peak (16-19)</v>
      </c>
    </row>
    <row r="7641" spans="1:9">
      <c r="A7641" s="32">
        <v>42140</v>
      </c>
      <c r="B7641">
        <v>18</v>
      </c>
      <c r="C7641">
        <v>6905</v>
      </c>
      <c r="D7641" t="s">
        <v>304</v>
      </c>
      <c r="E7641">
        <f>YEAR(A7641)</f>
        <v>2015</v>
      </c>
      <c r="F7641" s="33">
        <f>DATE(YEAR(A7641),MONTH(A7641),1)</f>
        <v>42125.0</v>
      </c>
      <c r="G7641" t="str">
        <f>CHOOSE(WEEKDAY(A7641,2),"Mon","Tue","Wed","Thu","Fri","Sat","Sun")</f>
        <v>Sat</v>
      </c>
      <c r="H7641" t="str">
        <f>IF(WEEKDAY(A7641,2)&gt;5,"Weekend","Weekday")</f>
        <v>Weekend</v>
      </c>
      <c r="I7641" t="str">
        <f>_xlfn.IFS(B7641&lt;=5,"Night (0-5)",B7641&lt;=9,"Morning peak (6-9)",B7641&lt;=15,"Midday (10-15)",B7641&lt;=19,"Evening peak (16-19)",TRUE,"Late evening (20-23)")</f>
        <v>Evening peak (16-19)</v>
      </c>
    </row>
    <row r="7642" spans="1:9">
      <c r="A7642" s="32">
        <v>42140</v>
      </c>
      <c r="B7642">
        <v>19</v>
      </c>
      <c r="C7642">
        <v>7798</v>
      </c>
      <c r="D7642" t="s">
        <v>304</v>
      </c>
      <c r="E7642">
        <f>YEAR(A7642)</f>
        <v>2015</v>
      </c>
      <c r="F7642" s="33">
        <f>DATE(YEAR(A7642),MONTH(A7642),1)</f>
        <v>42125.0</v>
      </c>
      <c r="G7642" t="str">
        <f>CHOOSE(WEEKDAY(A7642,2),"Mon","Tue","Wed","Thu","Fri","Sat","Sun")</f>
        <v>Sat</v>
      </c>
      <c r="H7642" t="str">
        <f>IF(WEEKDAY(A7642,2)&gt;5,"Weekend","Weekday")</f>
        <v>Weekend</v>
      </c>
      <c r="I7642" t="str">
        <f>_xlfn.IFS(B7642&lt;=5,"Night (0-5)",B7642&lt;=9,"Morning peak (6-9)",B7642&lt;=15,"Midday (10-15)",B7642&lt;=19,"Evening peak (16-19)",TRUE,"Late evening (20-23)")</f>
        <v>Evening peak (16-19)</v>
      </c>
    </row>
    <row r="7643" spans="1:9">
      <c r="A7643" s="32">
        <v>42140</v>
      </c>
      <c r="B7643">
        <v>20</v>
      </c>
      <c r="C7643">
        <v>9195</v>
      </c>
      <c r="D7643" t="s">
        <v>304</v>
      </c>
      <c r="E7643">
        <f>YEAR(A7643)</f>
        <v>2015</v>
      </c>
      <c r="F7643" s="33">
        <f>DATE(YEAR(A7643),MONTH(A7643),1)</f>
        <v>42125.0</v>
      </c>
      <c r="G7643" t="str">
        <f>CHOOSE(WEEKDAY(A7643,2),"Mon","Tue","Wed","Thu","Fri","Sat","Sun")</f>
        <v>Sat</v>
      </c>
      <c r="H7643" t="str">
        <f>IF(WEEKDAY(A7643,2)&gt;5,"Weekend","Weekday")</f>
        <v>Weekend</v>
      </c>
      <c r="I7643" t="str">
        <f>_xlfn.IFS(B7643&lt;=5,"Night (0-5)",B7643&lt;=9,"Morning peak (6-9)",B7643&lt;=15,"Midday (10-15)",B7643&lt;=19,"Evening peak (16-19)",TRUE,"Late evening (20-23)")</f>
        <v>Late evening (20-23)</v>
      </c>
    </row>
    <row r="7644" spans="1:9">
      <c r="A7644" s="32">
        <v>42140</v>
      </c>
      <c r="B7644">
        <v>21</v>
      </c>
      <c r="C7644">
        <v>9596</v>
      </c>
      <c r="D7644" t="s">
        <v>304</v>
      </c>
      <c r="E7644">
        <f>YEAR(A7644)</f>
        <v>2015</v>
      </c>
      <c r="F7644" s="33">
        <f>DATE(YEAR(A7644),MONTH(A7644),1)</f>
        <v>42125.0</v>
      </c>
      <c r="G7644" t="str">
        <f>CHOOSE(WEEKDAY(A7644,2),"Mon","Tue","Wed","Thu","Fri","Sat","Sun")</f>
        <v>Sat</v>
      </c>
      <c r="H7644" t="str">
        <f>IF(WEEKDAY(A7644,2)&gt;5,"Weekend","Weekday")</f>
        <v>Weekend</v>
      </c>
      <c r="I7644" t="str">
        <f>_xlfn.IFS(B7644&lt;=5,"Night (0-5)",B7644&lt;=9,"Morning peak (6-9)",B7644&lt;=15,"Midday (10-15)",B7644&lt;=19,"Evening peak (16-19)",TRUE,"Late evening (20-23)")</f>
        <v>Late evening (20-23)</v>
      </c>
    </row>
    <row r="7645" spans="1:9">
      <c r="A7645" s="32">
        <v>42140</v>
      </c>
      <c r="B7645">
        <v>22</v>
      </c>
      <c r="C7645">
        <v>10191</v>
      </c>
      <c r="D7645" t="s">
        <v>304</v>
      </c>
      <c r="E7645">
        <f>YEAR(A7645)</f>
        <v>2015</v>
      </c>
      <c r="F7645" s="33">
        <f>DATE(YEAR(A7645),MONTH(A7645),1)</f>
        <v>42125.0</v>
      </c>
      <c r="G7645" t="str">
        <f>CHOOSE(WEEKDAY(A7645,2),"Mon","Tue","Wed","Thu","Fri","Sat","Sun")</f>
        <v>Sat</v>
      </c>
      <c r="H7645" t="str">
        <f>IF(WEEKDAY(A7645,2)&gt;5,"Weekend","Weekday")</f>
        <v>Weekend</v>
      </c>
      <c r="I7645" t="str">
        <f>_xlfn.IFS(B7645&lt;=5,"Night (0-5)",B7645&lt;=9,"Morning peak (6-9)",B7645&lt;=15,"Midday (10-15)",B7645&lt;=19,"Evening peak (16-19)",TRUE,"Late evening (20-23)")</f>
        <v>Late evening (20-23)</v>
      </c>
    </row>
    <row r="7646" spans="1:9">
      <c r="A7646" s="32">
        <v>42140</v>
      </c>
      <c r="B7646">
        <v>23</v>
      </c>
      <c r="C7646">
        <v>9380</v>
      </c>
      <c r="D7646" t="s">
        <v>304</v>
      </c>
      <c r="E7646">
        <f>YEAR(A7646)</f>
        <v>2015</v>
      </c>
      <c r="F7646" s="33">
        <f>DATE(YEAR(A7646),MONTH(A7646),1)</f>
        <v>42125.0</v>
      </c>
      <c r="G7646" t="str">
        <f>CHOOSE(WEEKDAY(A7646,2),"Mon","Tue","Wed","Thu","Fri","Sat","Sun")</f>
        <v>Sat</v>
      </c>
      <c r="H7646" t="str">
        <f>IF(WEEKDAY(A7646,2)&gt;5,"Weekend","Weekday")</f>
        <v>Weekend</v>
      </c>
      <c r="I7646" t="str">
        <f>_xlfn.IFS(B7646&lt;=5,"Night (0-5)",B7646&lt;=9,"Morning peak (6-9)",B7646&lt;=15,"Midday (10-15)",B7646&lt;=19,"Evening peak (16-19)",TRUE,"Late evening (20-23)")</f>
        <v>Late evening (20-23)</v>
      </c>
    </row>
    <row r="7647" spans="1:9">
      <c r="A7647" s="32">
        <v>42141</v>
      </c>
      <c r="B7647">
        <v>0</v>
      </c>
      <c r="C7647">
        <v>8501</v>
      </c>
      <c r="D7647" t="s">
        <v>304</v>
      </c>
      <c r="E7647">
        <f>YEAR(A7647)</f>
        <v>2015</v>
      </c>
      <c r="F7647" s="33">
        <f>DATE(YEAR(A7647),MONTH(A7647),1)</f>
        <v>42125.0</v>
      </c>
      <c r="G7647" t="str">
        <f>CHOOSE(WEEKDAY(A7647,2),"Mon","Tue","Wed","Thu","Fri","Sat","Sun")</f>
        <v>Sun</v>
      </c>
      <c r="H7647" t="str">
        <f>IF(WEEKDAY(A7647,2)&gt;5,"Weekend","Weekday")</f>
        <v>Weekend</v>
      </c>
      <c r="I7647" t="str">
        <f>_xlfn.IFS(B7647&lt;=5,"Night (0-5)",B7647&lt;=9,"Morning peak (6-9)",B7647&lt;=15,"Midday (10-15)",B7647&lt;=19,"Evening peak (16-19)",TRUE,"Late evening (20-23)")</f>
        <v>Night (0-5)</v>
      </c>
    </row>
    <row r="7648" spans="1:9">
      <c r="A7648" s="32">
        <v>42141</v>
      </c>
      <c r="B7648">
        <v>1</v>
      </c>
      <c r="C7648">
        <v>6256</v>
      </c>
      <c r="D7648" t="s">
        <v>304</v>
      </c>
      <c r="E7648">
        <f>YEAR(A7648)</f>
        <v>2015</v>
      </c>
      <c r="F7648" s="33">
        <f>DATE(YEAR(A7648),MONTH(A7648),1)</f>
        <v>42125.0</v>
      </c>
      <c r="G7648" t="str">
        <f>CHOOSE(WEEKDAY(A7648,2),"Mon","Tue","Wed","Thu","Fri","Sat","Sun")</f>
        <v>Sun</v>
      </c>
      <c r="H7648" t="str">
        <f>IF(WEEKDAY(A7648,2)&gt;5,"Weekend","Weekday")</f>
        <v>Weekend</v>
      </c>
      <c r="I7648" t="str">
        <f>_xlfn.IFS(B7648&lt;=5,"Night (0-5)",B7648&lt;=9,"Morning peak (6-9)",B7648&lt;=15,"Midday (10-15)",B7648&lt;=19,"Evening peak (16-19)",TRUE,"Late evening (20-23)")</f>
        <v>Night (0-5)</v>
      </c>
    </row>
    <row r="7649" spans="1:9">
      <c r="A7649" s="32">
        <v>42141</v>
      </c>
      <c r="B7649">
        <v>2</v>
      </c>
      <c r="C7649">
        <v>3913</v>
      </c>
      <c r="D7649" t="s">
        <v>304</v>
      </c>
      <c r="E7649">
        <f>YEAR(A7649)</f>
        <v>2015</v>
      </c>
      <c r="F7649" s="33">
        <f>DATE(YEAR(A7649),MONTH(A7649),1)</f>
        <v>42125.0</v>
      </c>
      <c r="G7649" t="str">
        <f>CHOOSE(WEEKDAY(A7649,2),"Mon","Tue","Wed","Thu","Fri","Sat","Sun")</f>
        <v>Sun</v>
      </c>
      <c r="H7649" t="str">
        <f>IF(WEEKDAY(A7649,2)&gt;5,"Weekend","Weekday")</f>
        <v>Weekend</v>
      </c>
      <c r="I7649" t="str">
        <f>_xlfn.IFS(B7649&lt;=5,"Night (0-5)",B7649&lt;=9,"Morning peak (6-9)",B7649&lt;=15,"Midday (10-15)",B7649&lt;=19,"Evening peak (16-19)",TRUE,"Late evening (20-23)")</f>
        <v>Night (0-5)</v>
      </c>
    </row>
    <row r="7650" spans="1:9">
      <c r="A7650" s="32">
        <v>42141</v>
      </c>
      <c r="B7650">
        <v>3</v>
      </c>
      <c r="C7650">
        <v>2506</v>
      </c>
      <c r="D7650" t="s">
        <v>304</v>
      </c>
      <c r="E7650">
        <f>YEAR(A7650)</f>
        <v>2015</v>
      </c>
      <c r="F7650" s="33">
        <f>DATE(YEAR(A7650),MONTH(A7650),1)</f>
        <v>42125.0</v>
      </c>
      <c r="G7650" t="str">
        <f>CHOOSE(WEEKDAY(A7650,2),"Mon","Tue","Wed","Thu","Fri","Sat","Sun")</f>
        <v>Sun</v>
      </c>
      <c r="H7650" t="str">
        <f>IF(WEEKDAY(A7650,2)&gt;5,"Weekend","Weekday")</f>
        <v>Weekend</v>
      </c>
      <c r="I7650" t="str">
        <f>_xlfn.IFS(B7650&lt;=5,"Night (0-5)",B7650&lt;=9,"Morning peak (6-9)",B7650&lt;=15,"Midday (10-15)",B7650&lt;=19,"Evening peak (16-19)",TRUE,"Late evening (20-23)")</f>
        <v>Night (0-5)</v>
      </c>
    </row>
    <row r="7651" spans="1:9">
      <c r="A7651" s="32">
        <v>42141</v>
      </c>
      <c r="B7651">
        <v>4</v>
      </c>
      <c r="C7651">
        <v>1736</v>
      </c>
      <c r="D7651" t="s">
        <v>304</v>
      </c>
      <c r="E7651">
        <f>YEAR(A7651)</f>
        <v>2015</v>
      </c>
      <c r="F7651" s="33">
        <f>DATE(YEAR(A7651),MONTH(A7651),1)</f>
        <v>42125.0</v>
      </c>
      <c r="G7651" t="str">
        <f>CHOOSE(WEEKDAY(A7651,2),"Mon","Tue","Wed","Thu","Fri","Sat","Sun")</f>
        <v>Sun</v>
      </c>
      <c r="H7651" t="str">
        <f>IF(WEEKDAY(A7651,2)&gt;5,"Weekend","Weekday")</f>
        <v>Weekend</v>
      </c>
      <c r="I7651" t="str">
        <f>_xlfn.IFS(B7651&lt;=5,"Night (0-5)",B7651&lt;=9,"Morning peak (6-9)",B7651&lt;=15,"Midday (10-15)",B7651&lt;=19,"Evening peak (16-19)",TRUE,"Late evening (20-23)")</f>
        <v>Night (0-5)</v>
      </c>
    </row>
    <row r="7652" spans="1:9">
      <c r="A7652" s="32">
        <v>42141</v>
      </c>
      <c r="B7652">
        <v>5</v>
      </c>
      <c r="C7652">
        <v>1213</v>
      </c>
      <c r="D7652" t="s">
        <v>304</v>
      </c>
      <c r="E7652">
        <f>YEAR(A7652)</f>
        <v>2015</v>
      </c>
      <c r="F7652" s="33">
        <f>DATE(YEAR(A7652),MONTH(A7652),1)</f>
        <v>42125.0</v>
      </c>
      <c r="G7652" t="str">
        <f>CHOOSE(WEEKDAY(A7652,2),"Mon","Tue","Wed","Thu","Fri","Sat","Sun")</f>
        <v>Sun</v>
      </c>
      <c r="H7652" t="str">
        <f>IF(WEEKDAY(A7652,2)&gt;5,"Weekend","Weekday")</f>
        <v>Weekend</v>
      </c>
      <c r="I7652" t="str">
        <f>_xlfn.IFS(B7652&lt;=5,"Night (0-5)",B7652&lt;=9,"Morning peak (6-9)",B7652&lt;=15,"Midday (10-15)",B7652&lt;=19,"Evening peak (16-19)",TRUE,"Late evening (20-23)")</f>
        <v>Night (0-5)</v>
      </c>
    </row>
    <row r="7653" spans="1:9">
      <c r="A7653" s="32">
        <v>42141</v>
      </c>
      <c r="B7653">
        <v>6</v>
      </c>
      <c r="C7653">
        <v>1135</v>
      </c>
      <c r="D7653" t="s">
        <v>304</v>
      </c>
      <c r="E7653">
        <f>YEAR(A7653)</f>
        <v>2015</v>
      </c>
      <c r="F7653" s="33">
        <f>DATE(YEAR(A7653),MONTH(A7653),1)</f>
        <v>42125.0</v>
      </c>
      <c r="G7653" t="str">
        <f>CHOOSE(WEEKDAY(A7653,2),"Mon","Tue","Wed","Thu","Fri","Sat","Sun")</f>
        <v>Sun</v>
      </c>
      <c r="H7653" t="str">
        <f>IF(WEEKDAY(A7653,2)&gt;5,"Weekend","Weekday")</f>
        <v>Weekend</v>
      </c>
      <c r="I7653" t="str">
        <f>_xlfn.IFS(B7653&lt;=5,"Night (0-5)",B7653&lt;=9,"Morning peak (6-9)",B7653&lt;=15,"Midday (10-15)",B7653&lt;=19,"Evening peak (16-19)",TRUE,"Late evening (20-23)")</f>
        <v>Morning peak (6-9)</v>
      </c>
    </row>
    <row r="7654" spans="1:9">
      <c r="A7654" s="32">
        <v>42141</v>
      </c>
      <c r="B7654">
        <v>7</v>
      </c>
      <c r="C7654">
        <v>1378</v>
      </c>
      <c r="D7654" t="s">
        <v>304</v>
      </c>
      <c r="E7654">
        <f>YEAR(A7654)</f>
        <v>2015</v>
      </c>
      <c r="F7654" s="33">
        <f>DATE(YEAR(A7654),MONTH(A7654),1)</f>
        <v>42125.0</v>
      </c>
      <c r="G7654" t="str">
        <f>CHOOSE(WEEKDAY(A7654,2),"Mon","Tue","Wed","Thu","Fri","Sat","Sun")</f>
        <v>Sun</v>
      </c>
      <c r="H7654" t="str">
        <f>IF(WEEKDAY(A7654,2)&gt;5,"Weekend","Weekday")</f>
        <v>Weekend</v>
      </c>
      <c r="I7654" t="str">
        <f>_xlfn.IFS(B7654&lt;=5,"Night (0-5)",B7654&lt;=9,"Morning peak (6-9)",B7654&lt;=15,"Midday (10-15)",B7654&lt;=19,"Evening peak (16-19)",TRUE,"Late evening (20-23)")</f>
        <v>Morning peak (6-9)</v>
      </c>
    </row>
    <row r="7655" spans="1:9">
      <c r="A7655" s="32">
        <v>42141</v>
      </c>
      <c r="B7655">
        <v>8</v>
      </c>
      <c r="C7655">
        <v>1873</v>
      </c>
      <c r="D7655" t="s">
        <v>304</v>
      </c>
      <c r="E7655">
        <f>YEAR(A7655)</f>
        <v>2015</v>
      </c>
      <c r="F7655" s="33">
        <f>DATE(YEAR(A7655),MONTH(A7655),1)</f>
        <v>42125.0</v>
      </c>
      <c r="G7655" t="str">
        <f>CHOOSE(WEEKDAY(A7655,2),"Mon","Tue","Wed","Thu","Fri","Sat","Sun")</f>
        <v>Sun</v>
      </c>
      <c r="H7655" t="str">
        <f>IF(WEEKDAY(A7655,2)&gt;5,"Weekend","Weekday")</f>
        <v>Weekend</v>
      </c>
      <c r="I7655" t="str">
        <f>_xlfn.IFS(B7655&lt;=5,"Night (0-5)",B7655&lt;=9,"Morning peak (6-9)",B7655&lt;=15,"Midday (10-15)",B7655&lt;=19,"Evening peak (16-19)",TRUE,"Late evening (20-23)")</f>
        <v>Morning peak (6-9)</v>
      </c>
    </row>
    <row r="7656" spans="1:9">
      <c r="A7656" s="32">
        <v>42141</v>
      </c>
      <c r="B7656">
        <v>9</v>
      </c>
      <c r="C7656">
        <v>2581</v>
      </c>
      <c r="D7656" t="s">
        <v>304</v>
      </c>
      <c r="E7656">
        <f>YEAR(A7656)</f>
        <v>2015</v>
      </c>
      <c r="F7656" s="33">
        <f>DATE(YEAR(A7656),MONTH(A7656),1)</f>
        <v>42125.0</v>
      </c>
      <c r="G7656" t="str">
        <f>CHOOSE(WEEKDAY(A7656,2),"Mon","Tue","Wed","Thu","Fri","Sat","Sun")</f>
        <v>Sun</v>
      </c>
      <c r="H7656" t="str">
        <f>IF(WEEKDAY(A7656,2)&gt;5,"Weekend","Weekday")</f>
        <v>Weekend</v>
      </c>
      <c r="I7656" t="str">
        <f>_xlfn.IFS(B7656&lt;=5,"Night (0-5)",B7656&lt;=9,"Morning peak (6-9)",B7656&lt;=15,"Midday (10-15)",B7656&lt;=19,"Evening peak (16-19)",TRUE,"Late evening (20-23)")</f>
        <v>Morning peak (6-9)</v>
      </c>
    </row>
    <row r="7657" spans="1:9">
      <c r="A7657" s="32">
        <v>42141</v>
      </c>
      <c r="B7657">
        <v>10</v>
      </c>
      <c r="C7657">
        <v>3211</v>
      </c>
      <c r="D7657" t="s">
        <v>304</v>
      </c>
      <c r="E7657">
        <f>YEAR(A7657)</f>
        <v>2015</v>
      </c>
      <c r="F7657" s="33">
        <f>DATE(YEAR(A7657),MONTH(A7657),1)</f>
        <v>42125.0</v>
      </c>
      <c r="G7657" t="str">
        <f>CHOOSE(WEEKDAY(A7657,2),"Mon","Tue","Wed","Thu","Fri","Sat","Sun")</f>
        <v>Sun</v>
      </c>
      <c r="H7657" t="str">
        <f>IF(WEEKDAY(A7657,2)&gt;5,"Weekend","Weekday")</f>
        <v>Weekend</v>
      </c>
      <c r="I7657" t="str">
        <f>_xlfn.IFS(B7657&lt;=5,"Night (0-5)",B7657&lt;=9,"Morning peak (6-9)",B7657&lt;=15,"Midday (10-15)",B7657&lt;=19,"Evening peak (16-19)",TRUE,"Late evening (20-23)")</f>
        <v>Midday (10-15)</v>
      </c>
    </row>
    <row r="7658" spans="1:9">
      <c r="A7658" s="32">
        <v>42141</v>
      </c>
      <c r="B7658">
        <v>11</v>
      </c>
      <c r="C7658">
        <v>3908</v>
      </c>
      <c r="D7658" t="s">
        <v>304</v>
      </c>
      <c r="E7658">
        <f>YEAR(A7658)</f>
        <v>2015</v>
      </c>
      <c r="F7658" s="33">
        <f>DATE(YEAR(A7658),MONTH(A7658),1)</f>
        <v>42125.0</v>
      </c>
      <c r="G7658" t="str">
        <f>CHOOSE(WEEKDAY(A7658,2),"Mon","Tue","Wed","Thu","Fri","Sat","Sun")</f>
        <v>Sun</v>
      </c>
      <c r="H7658" t="str">
        <f>IF(WEEKDAY(A7658,2)&gt;5,"Weekend","Weekday")</f>
        <v>Weekend</v>
      </c>
      <c r="I7658" t="str">
        <f>_xlfn.IFS(B7658&lt;=5,"Night (0-5)",B7658&lt;=9,"Morning peak (6-9)",B7658&lt;=15,"Midday (10-15)",B7658&lt;=19,"Evening peak (16-19)",TRUE,"Late evening (20-23)")</f>
        <v>Midday (10-15)</v>
      </c>
    </row>
    <row r="7659" spans="1:9">
      <c r="A7659" s="32">
        <v>42141</v>
      </c>
      <c r="B7659">
        <v>12</v>
      </c>
      <c r="C7659">
        <v>4110</v>
      </c>
      <c r="D7659" t="s">
        <v>304</v>
      </c>
      <c r="E7659">
        <f>YEAR(A7659)</f>
        <v>2015</v>
      </c>
      <c r="F7659" s="33">
        <f>DATE(YEAR(A7659),MONTH(A7659),1)</f>
        <v>42125.0</v>
      </c>
      <c r="G7659" t="str">
        <f>CHOOSE(WEEKDAY(A7659,2),"Mon","Tue","Wed","Thu","Fri","Sat","Sun")</f>
        <v>Sun</v>
      </c>
      <c r="H7659" t="str">
        <f>IF(WEEKDAY(A7659,2)&gt;5,"Weekend","Weekday")</f>
        <v>Weekend</v>
      </c>
      <c r="I7659" t="str">
        <f>_xlfn.IFS(B7659&lt;=5,"Night (0-5)",B7659&lt;=9,"Morning peak (6-9)",B7659&lt;=15,"Midday (10-15)",B7659&lt;=19,"Evening peak (16-19)",TRUE,"Late evening (20-23)")</f>
        <v>Midday (10-15)</v>
      </c>
    </row>
    <row r="7660" spans="1:9">
      <c r="A7660" s="32">
        <v>42141</v>
      </c>
      <c r="B7660">
        <v>13</v>
      </c>
      <c r="C7660">
        <v>4420</v>
      </c>
      <c r="D7660" t="s">
        <v>304</v>
      </c>
      <c r="E7660">
        <f>YEAR(A7660)</f>
        <v>2015</v>
      </c>
      <c r="F7660" s="33">
        <f>DATE(YEAR(A7660),MONTH(A7660),1)</f>
        <v>42125.0</v>
      </c>
      <c r="G7660" t="str">
        <f>CHOOSE(WEEKDAY(A7660,2),"Mon","Tue","Wed","Thu","Fri","Sat","Sun")</f>
        <v>Sun</v>
      </c>
      <c r="H7660" t="str">
        <f>IF(WEEKDAY(A7660,2)&gt;5,"Weekend","Weekday")</f>
        <v>Weekend</v>
      </c>
      <c r="I7660" t="str">
        <f>_xlfn.IFS(B7660&lt;=5,"Night (0-5)",B7660&lt;=9,"Morning peak (6-9)",B7660&lt;=15,"Midday (10-15)",B7660&lt;=19,"Evening peak (16-19)",TRUE,"Late evening (20-23)")</f>
        <v>Midday (10-15)</v>
      </c>
    </row>
    <row r="7661" spans="1:9">
      <c r="A7661" s="32">
        <v>42141</v>
      </c>
      <c r="B7661">
        <v>14</v>
      </c>
      <c r="C7661">
        <v>4746</v>
      </c>
      <c r="D7661" t="s">
        <v>304</v>
      </c>
      <c r="E7661">
        <f>YEAR(A7661)</f>
        <v>2015</v>
      </c>
      <c r="F7661" s="33">
        <f>DATE(YEAR(A7661),MONTH(A7661),1)</f>
        <v>42125.0</v>
      </c>
      <c r="G7661" t="str">
        <f>CHOOSE(WEEKDAY(A7661,2),"Mon","Tue","Wed","Thu","Fri","Sat","Sun")</f>
        <v>Sun</v>
      </c>
      <c r="H7661" t="str">
        <f>IF(WEEKDAY(A7661,2)&gt;5,"Weekend","Weekday")</f>
        <v>Weekend</v>
      </c>
      <c r="I7661" t="str">
        <f>_xlfn.IFS(B7661&lt;=5,"Night (0-5)",B7661&lt;=9,"Morning peak (6-9)",B7661&lt;=15,"Midday (10-15)",B7661&lt;=19,"Evening peak (16-19)",TRUE,"Late evening (20-23)")</f>
        <v>Midday (10-15)</v>
      </c>
    </row>
    <row r="7662" spans="1:9">
      <c r="A7662" s="32">
        <v>42141</v>
      </c>
      <c r="B7662">
        <v>15</v>
      </c>
      <c r="C7662">
        <v>4932</v>
      </c>
      <c r="D7662" t="s">
        <v>304</v>
      </c>
      <c r="E7662">
        <f>YEAR(A7662)</f>
        <v>2015</v>
      </c>
      <c r="F7662" s="33">
        <f>DATE(YEAR(A7662),MONTH(A7662),1)</f>
        <v>42125.0</v>
      </c>
      <c r="G7662" t="str">
        <f>CHOOSE(WEEKDAY(A7662,2),"Mon","Tue","Wed","Thu","Fri","Sat","Sun")</f>
        <v>Sun</v>
      </c>
      <c r="H7662" t="str">
        <f>IF(WEEKDAY(A7662,2)&gt;5,"Weekend","Weekday")</f>
        <v>Weekend</v>
      </c>
      <c r="I7662" t="str">
        <f>_xlfn.IFS(B7662&lt;=5,"Night (0-5)",B7662&lt;=9,"Morning peak (6-9)",B7662&lt;=15,"Midday (10-15)",B7662&lt;=19,"Evening peak (16-19)",TRUE,"Late evening (20-23)")</f>
        <v>Midday (10-15)</v>
      </c>
    </row>
    <row r="7663" spans="1:9">
      <c r="A7663" s="32">
        <v>42141</v>
      </c>
      <c r="B7663">
        <v>16</v>
      </c>
      <c r="C7663">
        <v>5090</v>
      </c>
      <c r="D7663" t="s">
        <v>304</v>
      </c>
      <c r="E7663">
        <f>YEAR(A7663)</f>
        <v>2015</v>
      </c>
      <c r="F7663" s="33">
        <f>DATE(YEAR(A7663),MONTH(A7663),1)</f>
        <v>42125.0</v>
      </c>
      <c r="G7663" t="str">
        <f>CHOOSE(WEEKDAY(A7663,2),"Mon","Tue","Wed","Thu","Fri","Sat","Sun")</f>
        <v>Sun</v>
      </c>
      <c r="H7663" t="str">
        <f>IF(WEEKDAY(A7663,2)&gt;5,"Weekend","Weekday")</f>
        <v>Weekend</v>
      </c>
      <c r="I7663" t="str">
        <f>_xlfn.IFS(B7663&lt;=5,"Night (0-5)",B7663&lt;=9,"Morning peak (6-9)",B7663&lt;=15,"Midday (10-15)",B7663&lt;=19,"Evening peak (16-19)",TRUE,"Late evening (20-23)")</f>
        <v>Evening peak (16-19)</v>
      </c>
    </row>
    <row r="7664" spans="1:9">
      <c r="A7664" s="32">
        <v>42141</v>
      </c>
      <c r="B7664">
        <v>17</v>
      </c>
      <c r="C7664">
        <v>5131</v>
      </c>
      <c r="D7664" t="s">
        <v>304</v>
      </c>
      <c r="E7664">
        <f>YEAR(A7664)</f>
        <v>2015</v>
      </c>
      <c r="F7664" s="33">
        <f>DATE(YEAR(A7664),MONTH(A7664),1)</f>
        <v>42125.0</v>
      </c>
      <c r="G7664" t="str">
        <f>CHOOSE(WEEKDAY(A7664,2),"Mon","Tue","Wed","Thu","Fri","Sat","Sun")</f>
        <v>Sun</v>
      </c>
      <c r="H7664" t="str">
        <f>IF(WEEKDAY(A7664,2)&gt;5,"Weekend","Weekday")</f>
        <v>Weekend</v>
      </c>
      <c r="I7664" t="str">
        <f>_xlfn.IFS(B7664&lt;=5,"Night (0-5)",B7664&lt;=9,"Morning peak (6-9)",B7664&lt;=15,"Midday (10-15)",B7664&lt;=19,"Evening peak (16-19)",TRUE,"Late evening (20-23)")</f>
        <v>Evening peak (16-19)</v>
      </c>
    </row>
    <row r="7665" spans="1:9">
      <c r="A7665" s="32">
        <v>42141</v>
      </c>
      <c r="B7665">
        <v>18</v>
      </c>
      <c r="C7665">
        <v>5174</v>
      </c>
      <c r="D7665" t="s">
        <v>304</v>
      </c>
      <c r="E7665">
        <f>YEAR(A7665)</f>
        <v>2015</v>
      </c>
      <c r="F7665" s="33">
        <f>DATE(YEAR(A7665),MONTH(A7665),1)</f>
        <v>42125.0</v>
      </c>
      <c r="G7665" t="str">
        <f>CHOOSE(WEEKDAY(A7665,2),"Mon","Tue","Wed","Thu","Fri","Sat","Sun")</f>
        <v>Sun</v>
      </c>
      <c r="H7665" t="str">
        <f>IF(WEEKDAY(A7665,2)&gt;5,"Weekend","Weekday")</f>
        <v>Weekend</v>
      </c>
      <c r="I7665" t="str">
        <f>_xlfn.IFS(B7665&lt;=5,"Night (0-5)",B7665&lt;=9,"Morning peak (6-9)",B7665&lt;=15,"Midday (10-15)",B7665&lt;=19,"Evening peak (16-19)",TRUE,"Late evening (20-23)")</f>
        <v>Evening peak (16-19)</v>
      </c>
    </row>
    <row r="7666" spans="1:9">
      <c r="A7666" s="32">
        <v>42141</v>
      </c>
      <c r="B7666">
        <v>19</v>
      </c>
      <c r="C7666">
        <v>4982</v>
      </c>
      <c r="D7666" t="s">
        <v>304</v>
      </c>
      <c r="E7666">
        <f>YEAR(A7666)</f>
        <v>2015</v>
      </c>
      <c r="F7666" s="33">
        <f>DATE(YEAR(A7666),MONTH(A7666),1)</f>
        <v>42125.0</v>
      </c>
      <c r="G7666" t="str">
        <f>CHOOSE(WEEKDAY(A7666,2),"Mon","Tue","Wed","Thu","Fri","Sat","Sun")</f>
        <v>Sun</v>
      </c>
      <c r="H7666" t="str">
        <f>IF(WEEKDAY(A7666,2)&gt;5,"Weekend","Weekday")</f>
        <v>Weekend</v>
      </c>
      <c r="I7666" t="str">
        <f>_xlfn.IFS(B7666&lt;=5,"Night (0-5)",B7666&lt;=9,"Morning peak (6-9)",B7666&lt;=15,"Midday (10-15)",B7666&lt;=19,"Evening peak (16-19)",TRUE,"Late evening (20-23)")</f>
        <v>Evening peak (16-19)</v>
      </c>
    </row>
    <row r="7667" spans="1:9">
      <c r="A7667" s="32">
        <v>42141</v>
      </c>
      <c r="B7667">
        <v>20</v>
      </c>
      <c r="C7667">
        <v>4748</v>
      </c>
      <c r="D7667" t="s">
        <v>304</v>
      </c>
      <c r="E7667">
        <f>YEAR(A7667)</f>
        <v>2015</v>
      </c>
      <c r="F7667" s="33">
        <f>DATE(YEAR(A7667),MONTH(A7667),1)</f>
        <v>42125.0</v>
      </c>
      <c r="G7667" t="str">
        <f>CHOOSE(WEEKDAY(A7667,2),"Mon","Tue","Wed","Thu","Fri","Sat","Sun")</f>
        <v>Sun</v>
      </c>
      <c r="H7667" t="str">
        <f>IF(WEEKDAY(A7667,2)&gt;5,"Weekend","Weekday")</f>
        <v>Weekend</v>
      </c>
      <c r="I7667" t="str">
        <f>_xlfn.IFS(B7667&lt;=5,"Night (0-5)",B7667&lt;=9,"Morning peak (6-9)",B7667&lt;=15,"Midday (10-15)",B7667&lt;=19,"Evening peak (16-19)",TRUE,"Late evening (20-23)")</f>
        <v>Late evening (20-23)</v>
      </c>
    </row>
    <row r="7668" spans="1:9">
      <c r="A7668" s="32">
        <v>42141</v>
      </c>
      <c r="B7668">
        <v>21</v>
      </c>
      <c r="C7668">
        <v>4540</v>
      </c>
      <c r="D7668" t="s">
        <v>304</v>
      </c>
      <c r="E7668">
        <f>YEAR(A7668)</f>
        <v>2015</v>
      </c>
      <c r="F7668" s="33">
        <f>DATE(YEAR(A7668),MONTH(A7668),1)</f>
        <v>42125.0</v>
      </c>
      <c r="G7668" t="str">
        <f>CHOOSE(WEEKDAY(A7668,2),"Mon","Tue","Wed","Thu","Fri","Sat","Sun")</f>
        <v>Sun</v>
      </c>
      <c r="H7668" t="str">
        <f>IF(WEEKDAY(A7668,2)&gt;5,"Weekend","Weekday")</f>
        <v>Weekend</v>
      </c>
      <c r="I7668" t="str">
        <f>_xlfn.IFS(B7668&lt;=5,"Night (0-5)",B7668&lt;=9,"Morning peak (6-9)",B7668&lt;=15,"Midday (10-15)",B7668&lt;=19,"Evening peak (16-19)",TRUE,"Late evening (20-23)")</f>
        <v>Late evening (20-23)</v>
      </c>
    </row>
    <row r="7669" spans="1:9">
      <c r="A7669" s="32">
        <v>42141</v>
      </c>
      <c r="B7669">
        <v>22</v>
      </c>
      <c r="C7669">
        <v>4400</v>
      </c>
      <c r="D7669" t="s">
        <v>304</v>
      </c>
      <c r="E7669">
        <f>YEAR(A7669)</f>
        <v>2015</v>
      </c>
      <c r="F7669" s="33">
        <f>DATE(YEAR(A7669),MONTH(A7669),1)</f>
        <v>42125.0</v>
      </c>
      <c r="G7669" t="str">
        <f>CHOOSE(WEEKDAY(A7669,2),"Mon","Tue","Wed","Thu","Fri","Sat","Sun")</f>
        <v>Sun</v>
      </c>
      <c r="H7669" t="str">
        <f>IF(WEEKDAY(A7669,2)&gt;5,"Weekend","Weekday")</f>
        <v>Weekend</v>
      </c>
      <c r="I7669" t="str">
        <f>_xlfn.IFS(B7669&lt;=5,"Night (0-5)",B7669&lt;=9,"Morning peak (6-9)",B7669&lt;=15,"Midday (10-15)",B7669&lt;=19,"Evening peak (16-19)",TRUE,"Late evening (20-23)")</f>
        <v>Late evening (20-23)</v>
      </c>
    </row>
    <row r="7670" spans="1:9">
      <c r="A7670" s="32">
        <v>42141</v>
      </c>
      <c r="B7670">
        <v>23</v>
      </c>
      <c r="C7670">
        <v>3838</v>
      </c>
      <c r="D7670" t="s">
        <v>304</v>
      </c>
      <c r="E7670">
        <f>YEAR(A7670)</f>
        <v>2015</v>
      </c>
      <c r="F7670" s="33">
        <f>DATE(YEAR(A7670),MONTH(A7670),1)</f>
        <v>42125.0</v>
      </c>
      <c r="G7670" t="str">
        <f>CHOOSE(WEEKDAY(A7670,2),"Mon","Tue","Wed","Thu","Fri","Sat","Sun")</f>
        <v>Sun</v>
      </c>
      <c r="H7670" t="str">
        <f>IF(WEEKDAY(A7670,2)&gt;5,"Weekend","Weekday")</f>
        <v>Weekend</v>
      </c>
      <c r="I7670" t="str">
        <f>_xlfn.IFS(B7670&lt;=5,"Night (0-5)",B7670&lt;=9,"Morning peak (6-9)",B7670&lt;=15,"Midday (10-15)",B7670&lt;=19,"Evening peak (16-19)",TRUE,"Late evening (20-23)")</f>
        <v>Late evening (20-23)</v>
      </c>
    </row>
    <row r="7671" spans="1:9">
      <c r="A7671" s="32">
        <v>42142</v>
      </c>
      <c r="B7671">
        <v>0</v>
      </c>
      <c r="C7671">
        <v>2354</v>
      </c>
      <c r="D7671" t="s">
        <v>304</v>
      </c>
      <c r="E7671">
        <f>YEAR(A7671)</f>
        <v>2015</v>
      </c>
      <c r="F7671" s="33">
        <f>DATE(YEAR(A7671),MONTH(A7671),1)</f>
        <v>42125.0</v>
      </c>
      <c r="G7671" t="str">
        <f>CHOOSE(WEEKDAY(A7671,2),"Mon","Tue","Wed","Thu","Fri","Sat","Sun")</f>
        <v>Mon</v>
      </c>
      <c r="H7671" t="str">
        <f>IF(WEEKDAY(A7671,2)&gt;5,"Weekend","Weekday")</f>
        <v>Weekday</v>
      </c>
      <c r="I7671" t="str">
        <f>_xlfn.IFS(B7671&lt;=5,"Night (0-5)",B7671&lt;=9,"Morning peak (6-9)",B7671&lt;=15,"Midday (10-15)",B7671&lt;=19,"Evening peak (16-19)",TRUE,"Late evening (20-23)")</f>
        <v>Night (0-5)</v>
      </c>
    </row>
    <row r="7672" spans="1:9">
      <c r="A7672" s="32">
        <v>42142</v>
      </c>
      <c r="B7672">
        <v>1</v>
      </c>
      <c r="C7672">
        <v>1154</v>
      </c>
      <c r="D7672" t="s">
        <v>304</v>
      </c>
      <c r="E7672">
        <f>YEAR(A7672)</f>
        <v>2015</v>
      </c>
      <c r="F7672" s="33">
        <f>DATE(YEAR(A7672),MONTH(A7672),1)</f>
        <v>42125.0</v>
      </c>
      <c r="G7672" t="str">
        <f>CHOOSE(WEEKDAY(A7672,2),"Mon","Tue","Wed","Thu","Fri","Sat","Sun")</f>
        <v>Mon</v>
      </c>
      <c r="H7672" t="str">
        <f>IF(WEEKDAY(A7672,2)&gt;5,"Weekend","Weekday")</f>
        <v>Weekday</v>
      </c>
      <c r="I7672" t="str">
        <f>_xlfn.IFS(B7672&lt;=5,"Night (0-5)",B7672&lt;=9,"Morning peak (6-9)",B7672&lt;=15,"Midday (10-15)",B7672&lt;=19,"Evening peak (16-19)",TRUE,"Late evening (20-23)")</f>
        <v>Night (0-5)</v>
      </c>
    </row>
    <row r="7673" spans="1:9">
      <c r="A7673" s="32">
        <v>42142</v>
      </c>
      <c r="B7673">
        <v>2</v>
      </c>
      <c r="C7673">
        <v>789</v>
      </c>
      <c r="D7673" t="s">
        <v>304</v>
      </c>
      <c r="E7673">
        <f>YEAR(A7673)</f>
        <v>2015</v>
      </c>
      <c r="F7673" s="33">
        <f>DATE(YEAR(A7673),MONTH(A7673),1)</f>
        <v>42125.0</v>
      </c>
      <c r="G7673" t="str">
        <f>CHOOSE(WEEKDAY(A7673,2),"Mon","Tue","Wed","Thu","Fri","Sat","Sun")</f>
        <v>Mon</v>
      </c>
      <c r="H7673" t="str">
        <f>IF(WEEKDAY(A7673,2)&gt;5,"Weekend","Weekday")</f>
        <v>Weekday</v>
      </c>
      <c r="I7673" t="str">
        <f>_xlfn.IFS(B7673&lt;=5,"Night (0-5)",B7673&lt;=9,"Morning peak (6-9)",B7673&lt;=15,"Midday (10-15)",B7673&lt;=19,"Evening peak (16-19)",TRUE,"Late evening (20-23)")</f>
        <v>Night (0-5)</v>
      </c>
    </row>
    <row r="7674" spans="1:9">
      <c r="A7674" s="32">
        <v>42142</v>
      </c>
      <c r="B7674">
        <v>3</v>
      </c>
      <c r="C7674">
        <v>536</v>
      </c>
      <c r="D7674" t="s">
        <v>304</v>
      </c>
      <c r="E7674">
        <f>YEAR(A7674)</f>
        <v>2015</v>
      </c>
      <c r="F7674" s="33">
        <f>DATE(YEAR(A7674),MONTH(A7674),1)</f>
        <v>42125.0</v>
      </c>
      <c r="G7674" t="str">
        <f>CHOOSE(WEEKDAY(A7674,2),"Mon","Tue","Wed","Thu","Fri","Sat","Sun")</f>
        <v>Mon</v>
      </c>
      <c r="H7674" t="str">
        <f>IF(WEEKDAY(A7674,2)&gt;5,"Weekend","Weekday")</f>
        <v>Weekday</v>
      </c>
      <c r="I7674" t="str">
        <f>_xlfn.IFS(B7674&lt;=5,"Night (0-5)",B7674&lt;=9,"Morning peak (6-9)",B7674&lt;=15,"Midday (10-15)",B7674&lt;=19,"Evening peak (16-19)",TRUE,"Late evening (20-23)")</f>
        <v>Night (0-5)</v>
      </c>
    </row>
    <row r="7675" spans="1:9">
      <c r="A7675" s="32">
        <v>42142</v>
      </c>
      <c r="B7675">
        <v>4</v>
      </c>
      <c r="C7675">
        <v>870</v>
      </c>
      <c r="D7675" t="s">
        <v>304</v>
      </c>
      <c r="E7675">
        <f>YEAR(A7675)</f>
        <v>2015</v>
      </c>
      <c r="F7675" s="33">
        <f>DATE(YEAR(A7675),MONTH(A7675),1)</f>
        <v>42125.0</v>
      </c>
      <c r="G7675" t="str">
        <f>CHOOSE(WEEKDAY(A7675,2),"Mon","Tue","Wed","Thu","Fri","Sat","Sun")</f>
        <v>Mon</v>
      </c>
      <c r="H7675" t="str">
        <f>IF(WEEKDAY(A7675,2)&gt;5,"Weekend","Weekday")</f>
        <v>Weekday</v>
      </c>
      <c r="I7675" t="str">
        <f>_xlfn.IFS(B7675&lt;=5,"Night (0-5)",B7675&lt;=9,"Morning peak (6-9)",B7675&lt;=15,"Midday (10-15)",B7675&lt;=19,"Evening peak (16-19)",TRUE,"Late evening (20-23)")</f>
        <v>Night (0-5)</v>
      </c>
    </row>
    <row r="7676" spans="1:9">
      <c r="A7676" s="32">
        <v>42142</v>
      </c>
      <c r="B7676">
        <v>5</v>
      </c>
      <c r="C7676">
        <v>1370</v>
      </c>
      <c r="D7676" t="s">
        <v>304</v>
      </c>
      <c r="E7676">
        <f>YEAR(A7676)</f>
        <v>2015</v>
      </c>
      <c r="F7676" s="33">
        <f>DATE(YEAR(A7676),MONTH(A7676),1)</f>
        <v>42125.0</v>
      </c>
      <c r="G7676" t="str">
        <f>CHOOSE(WEEKDAY(A7676,2),"Mon","Tue","Wed","Thu","Fri","Sat","Sun")</f>
        <v>Mon</v>
      </c>
      <c r="H7676" t="str">
        <f>IF(WEEKDAY(A7676,2)&gt;5,"Weekend","Weekday")</f>
        <v>Weekday</v>
      </c>
      <c r="I7676" t="str">
        <f>_xlfn.IFS(B7676&lt;=5,"Night (0-5)",B7676&lt;=9,"Morning peak (6-9)",B7676&lt;=15,"Midday (10-15)",B7676&lt;=19,"Evening peak (16-19)",TRUE,"Late evening (20-23)")</f>
        <v>Night (0-5)</v>
      </c>
    </row>
    <row r="7677" spans="1:9">
      <c r="A7677" s="32">
        <v>42142</v>
      </c>
      <c r="B7677">
        <v>6</v>
      </c>
      <c r="C7677">
        <v>2080</v>
      </c>
      <c r="D7677" t="s">
        <v>304</v>
      </c>
      <c r="E7677">
        <f>YEAR(A7677)</f>
        <v>2015</v>
      </c>
      <c r="F7677" s="33">
        <f>DATE(YEAR(A7677),MONTH(A7677),1)</f>
        <v>42125.0</v>
      </c>
      <c r="G7677" t="str">
        <f>CHOOSE(WEEKDAY(A7677,2),"Mon","Tue","Wed","Thu","Fri","Sat","Sun")</f>
        <v>Mon</v>
      </c>
      <c r="H7677" t="str">
        <f>IF(WEEKDAY(A7677,2)&gt;5,"Weekend","Weekday")</f>
        <v>Weekday</v>
      </c>
      <c r="I7677" t="str">
        <f>_xlfn.IFS(B7677&lt;=5,"Night (0-5)",B7677&lt;=9,"Morning peak (6-9)",B7677&lt;=15,"Midday (10-15)",B7677&lt;=19,"Evening peak (16-19)",TRUE,"Late evening (20-23)")</f>
        <v>Morning peak (6-9)</v>
      </c>
    </row>
    <row r="7678" spans="1:9">
      <c r="A7678" s="32">
        <v>42142</v>
      </c>
      <c r="B7678">
        <v>7</v>
      </c>
      <c r="C7678">
        <v>3038</v>
      </c>
      <c r="D7678" t="s">
        <v>304</v>
      </c>
      <c r="E7678">
        <f>YEAR(A7678)</f>
        <v>2015</v>
      </c>
      <c r="F7678" s="33">
        <f>DATE(YEAR(A7678),MONTH(A7678),1)</f>
        <v>42125.0</v>
      </c>
      <c r="G7678" t="str">
        <f>CHOOSE(WEEKDAY(A7678,2),"Mon","Tue","Wed","Thu","Fri","Sat","Sun")</f>
        <v>Mon</v>
      </c>
      <c r="H7678" t="str">
        <f>IF(WEEKDAY(A7678,2)&gt;5,"Weekend","Weekday")</f>
        <v>Weekday</v>
      </c>
      <c r="I7678" t="str">
        <f>_xlfn.IFS(B7678&lt;=5,"Night (0-5)",B7678&lt;=9,"Morning peak (6-9)",B7678&lt;=15,"Midday (10-15)",B7678&lt;=19,"Evening peak (16-19)",TRUE,"Late evening (20-23)")</f>
        <v>Morning peak (6-9)</v>
      </c>
    </row>
    <row r="7679" spans="1:9">
      <c r="A7679" s="32">
        <v>42142</v>
      </c>
      <c r="B7679">
        <v>8</v>
      </c>
      <c r="C7679">
        <v>4113</v>
      </c>
      <c r="D7679" t="s">
        <v>304</v>
      </c>
      <c r="E7679">
        <f>YEAR(A7679)</f>
        <v>2015</v>
      </c>
      <c r="F7679" s="33">
        <f>DATE(YEAR(A7679),MONTH(A7679),1)</f>
        <v>42125.0</v>
      </c>
      <c r="G7679" t="str">
        <f>CHOOSE(WEEKDAY(A7679,2),"Mon","Tue","Wed","Thu","Fri","Sat","Sun")</f>
        <v>Mon</v>
      </c>
      <c r="H7679" t="str">
        <f>IF(WEEKDAY(A7679,2)&gt;5,"Weekend","Weekday")</f>
        <v>Weekday</v>
      </c>
      <c r="I7679" t="str">
        <f>_xlfn.IFS(B7679&lt;=5,"Night (0-5)",B7679&lt;=9,"Morning peak (6-9)",B7679&lt;=15,"Midday (10-15)",B7679&lt;=19,"Evening peak (16-19)",TRUE,"Late evening (20-23)")</f>
        <v>Morning peak (6-9)</v>
      </c>
    </row>
    <row r="7680" spans="1:9">
      <c r="A7680" s="32">
        <v>42142</v>
      </c>
      <c r="B7680">
        <v>9</v>
      </c>
      <c r="C7680">
        <v>4033</v>
      </c>
      <c r="D7680" t="s">
        <v>304</v>
      </c>
      <c r="E7680">
        <f>YEAR(A7680)</f>
        <v>2015</v>
      </c>
      <c r="F7680" s="33">
        <f>DATE(YEAR(A7680),MONTH(A7680),1)</f>
        <v>42125.0</v>
      </c>
      <c r="G7680" t="str">
        <f>CHOOSE(WEEKDAY(A7680,2),"Mon","Tue","Wed","Thu","Fri","Sat","Sun")</f>
        <v>Mon</v>
      </c>
      <c r="H7680" t="str">
        <f>IF(WEEKDAY(A7680,2)&gt;5,"Weekend","Weekday")</f>
        <v>Weekday</v>
      </c>
      <c r="I7680" t="str">
        <f>_xlfn.IFS(B7680&lt;=5,"Night (0-5)",B7680&lt;=9,"Morning peak (6-9)",B7680&lt;=15,"Midday (10-15)",B7680&lt;=19,"Evening peak (16-19)",TRUE,"Late evening (20-23)")</f>
        <v>Morning peak (6-9)</v>
      </c>
    </row>
    <row r="7681" spans="1:9">
      <c r="A7681" s="32">
        <v>42142</v>
      </c>
      <c r="B7681">
        <v>10</v>
      </c>
      <c r="C7681">
        <v>3227</v>
      </c>
      <c r="D7681" t="s">
        <v>304</v>
      </c>
      <c r="E7681">
        <f>YEAR(A7681)</f>
        <v>2015</v>
      </c>
      <c r="F7681" s="33">
        <f>DATE(YEAR(A7681),MONTH(A7681),1)</f>
        <v>42125.0</v>
      </c>
      <c r="G7681" t="str">
        <f>CHOOSE(WEEKDAY(A7681,2),"Mon","Tue","Wed","Thu","Fri","Sat","Sun")</f>
        <v>Mon</v>
      </c>
      <c r="H7681" t="str">
        <f>IF(WEEKDAY(A7681,2)&gt;5,"Weekend","Weekday")</f>
        <v>Weekday</v>
      </c>
      <c r="I7681" t="str">
        <f>_xlfn.IFS(B7681&lt;=5,"Night (0-5)",B7681&lt;=9,"Morning peak (6-9)",B7681&lt;=15,"Midday (10-15)",B7681&lt;=19,"Evening peak (16-19)",TRUE,"Late evening (20-23)")</f>
        <v>Midday (10-15)</v>
      </c>
    </row>
    <row r="7682" spans="1:9">
      <c r="A7682" s="32">
        <v>42142</v>
      </c>
      <c r="B7682">
        <v>11</v>
      </c>
      <c r="C7682">
        <v>2979</v>
      </c>
      <c r="D7682" t="s">
        <v>304</v>
      </c>
      <c r="E7682">
        <f>YEAR(A7682)</f>
        <v>2015</v>
      </c>
      <c r="F7682" s="33">
        <f>DATE(YEAR(A7682),MONTH(A7682),1)</f>
        <v>42125.0</v>
      </c>
      <c r="G7682" t="str">
        <f>CHOOSE(WEEKDAY(A7682,2),"Mon","Tue","Wed","Thu","Fri","Sat","Sun")</f>
        <v>Mon</v>
      </c>
      <c r="H7682" t="str">
        <f>IF(WEEKDAY(A7682,2)&gt;5,"Weekend","Weekday")</f>
        <v>Weekday</v>
      </c>
      <c r="I7682" t="str">
        <f>_xlfn.IFS(B7682&lt;=5,"Night (0-5)",B7682&lt;=9,"Morning peak (6-9)",B7682&lt;=15,"Midday (10-15)",B7682&lt;=19,"Evening peak (16-19)",TRUE,"Late evening (20-23)")</f>
        <v>Midday (10-15)</v>
      </c>
    </row>
    <row r="7683" spans="1:9">
      <c r="A7683" s="32">
        <v>42142</v>
      </c>
      <c r="B7683">
        <v>12</v>
      </c>
      <c r="C7683">
        <v>2949</v>
      </c>
      <c r="D7683" t="s">
        <v>304</v>
      </c>
      <c r="E7683">
        <f>YEAR(A7683)</f>
        <v>2015</v>
      </c>
      <c r="F7683" s="33">
        <f>DATE(YEAR(A7683),MONTH(A7683),1)</f>
        <v>42125.0</v>
      </c>
      <c r="G7683" t="str">
        <f>CHOOSE(WEEKDAY(A7683,2),"Mon","Tue","Wed","Thu","Fri","Sat","Sun")</f>
        <v>Mon</v>
      </c>
      <c r="H7683" t="str">
        <f>IF(WEEKDAY(A7683,2)&gt;5,"Weekend","Weekday")</f>
        <v>Weekday</v>
      </c>
      <c r="I7683" t="str">
        <f>_xlfn.IFS(B7683&lt;=5,"Night (0-5)",B7683&lt;=9,"Morning peak (6-9)",B7683&lt;=15,"Midday (10-15)",B7683&lt;=19,"Evening peak (16-19)",TRUE,"Late evening (20-23)")</f>
        <v>Midday (10-15)</v>
      </c>
    </row>
    <row r="7684" spans="1:9">
      <c r="A7684" s="32">
        <v>42142</v>
      </c>
      <c r="B7684">
        <v>13</v>
      </c>
      <c r="C7684">
        <v>2838</v>
      </c>
      <c r="D7684" t="s">
        <v>304</v>
      </c>
      <c r="E7684">
        <f>YEAR(A7684)</f>
        <v>2015</v>
      </c>
      <c r="F7684" s="33">
        <f>DATE(YEAR(A7684),MONTH(A7684),1)</f>
        <v>42125.0</v>
      </c>
      <c r="G7684" t="str">
        <f>CHOOSE(WEEKDAY(A7684,2),"Mon","Tue","Wed","Thu","Fri","Sat","Sun")</f>
        <v>Mon</v>
      </c>
      <c r="H7684" t="str">
        <f>IF(WEEKDAY(A7684,2)&gt;5,"Weekend","Weekday")</f>
        <v>Weekday</v>
      </c>
      <c r="I7684" t="str">
        <f>_xlfn.IFS(B7684&lt;=5,"Night (0-5)",B7684&lt;=9,"Morning peak (6-9)",B7684&lt;=15,"Midday (10-15)",B7684&lt;=19,"Evening peak (16-19)",TRUE,"Late evening (20-23)")</f>
        <v>Midday (10-15)</v>
      </c>
    </row>
    <row r="7685" spans="1:9">
      <c r="A7685" s="32">
        <v>42142</v>
      </c>
      <c r="B7685">
        <v>14</v>
      </c>
      <c r="C7685">
        <v>3118</v>
      </c>
      <c r="D7685" t="s">
        <v>304</v>
      </c>
      <c r="E7685">
        <f>YEAR(A7685)</f>
        <v>2015</v>
      </c>
      <c r="F7685" s="33">
        <f>DATE(YEAR(A7685),MONTH(A7685),1)</f>
        <v>42125.0</v>
      </c>
      <c r="G7685" t="str">
        <f>CHOOSE(WEEKDAY(A7685,2),"Mon","Tue","Wed","Thu","Fri","Sat","Sun")</f>
        <v>Mon</v>
      </c>
      <c r="H7685" t="str">
        <f>IF(WEEKDAY(A7685,2)&gt;5,"Weekend","Weekday")</f>
        <v>Weekday</v>
      </c>
      <c r="I7685" t="str">
        <f>_xlfn.IFS(B7685&lt;=5,"Night (0-5)",B7685&lt;=9,"Morning peak (6-9)",B7685&lt;=15,"Midday (10-15)",B7685&lt;=19,"Evening peak (16-19)",TRUE,"Late evening (20-23)")</f>
        <v>Midday (10-15)</v>
      </c>
    </row>
    <row r="7686" spans="1:9">
      <c r="A7686" s="32">
        <v>42142</v>
      </c>
      <c r="B7686">
        <v>15</v>
      </c>
      <c r="C7686">
        <v>3731</v>
      </c>
      <c r="D7686" t="s">
        <v>304</v>
      </c>
      <c r="E7686">
        <f>YEAR(A7686)</f>
        <v>2015</v>
      </c>
      <c r="F7686" s="33">
        <f>DATE(YEAR(A7686),MONTH(A7686),1)</f>
        <v>42125.0</v>
      </c>
      <c r="G7686" t="str">
        <f>CHOOSE(WEEKDAY(A7686,2),"Mon","Tue","Wed","Thu","Fri","Sat","Sun")</f>
        <v>Mon</v>
      </c>
      <c r="H7686" t="str">
        <f>IF(WEEKDAY(A7686,2)&gt;5,"Weekend","Weekday")</f>
        <v>Weekday</v>
      </c>
      <c r="I7686" t="str">
        <f>_xlfn.IFS(B7686&lt;=5,"Night (0-5)",B7686&lt;=9,"Morning peak (6-9)",B7686&lt;=15,"Midday (10-15)",B7686&lt;=19,"Evening peak (16-19)",TRUE,"Late evening (20-23)")</f>
        <v>Midday (10-15)</v>
      </c>
    </row>
    <row r="7687" spans="1:9">
      <c r="A7687" s="32">
        <v>42142</v>
      </c>
      <c r="B7687">
        <v>16</v>
      </c>
      <c r="C7687">
        <v>4120</v>
      </c>
      <c r="D7687" t="s">
        <v>304</v>
      </c>
      <c r="E7687">
        <f>YEAR(A7687)</f>
        <v>2015</v>
      </c>
      <c r="F7687" s="33">
        <f>DATE(YEAR(A7687),MONTH(A7687),1)</f>
        <v>42125.0</v>
      </c>
      <c r="G7687" t="str">
        <f>CHOOSE(WEEKDAY(A7687,2),"Mon","Tue","Wed","Thu","Fri","Sat","Sun")</f>
        <v>Mon</v>
      </c>
      <c r="H7687" t="str">
        <f>IF(WEEKDAY(A7687,2)&gt;5,"Weekend","Weekday")</f>
        <v>Weekday</v>
      </c>
      <c r="I7687" t="str">
        <f>_xlfn.IFS(B7687&lt;=5,"Night (0-5)",B7687&lt;=9,"Morning peak (6-9)",B7687&lt;=15,"Midday (10-15)",B7687&lt;=19,"Evening peak (16-19)",TRUE,"Late evening (20-23)")</f>
        <v>Evening peak (16-19)</v>
      </c>
    </row>
    <row r="7688" spans="1:9">
      <c r="A7688" s="32">
        <v>42142</v>
      </c>
      <c r="B7688">
        <v>17</v>
      </c>
      <c r="C7688">
        <v>4560</v>
      </c>
      <c r="D7688" t="s">
        <v>304</v>
      </c>
      <c r="E7688">
        <f>YEAR(A7688)</f>
        <v>2015</v>
      </c>
      <c r="F7688" s="33">
        <f>DATE(YEAR(A7688),MONTH(A7688),1)</f>
        <v>42125.0</v>
      </c>
      <c r="G7688" t="str">
        <f>CHOOSE(WEEKDAY(A7688,2),"Mon","Tue","Wed","Thu","Fri","Sat","Sun")</f>
        <v>Mon</v>
      </c>
      <c r="H7688" t="str">
        <f>IF(WEEKDAY(A7688,2)&gt;5,"Weekend","Weekday")</f>
        <v>Weekday</v>
      </c>
      <c r="I7688" t="str">
        <f>_xlfn.IFS(B7688&lt;=5,"Night (0-5)",B7688&lt;=9,"Morning peak (6-9)",B7688&lt;=15,"Midday (10-15)",B7688&lt;=19,"Evening peak (16-19)",TRUE,"Late evening (20-23)")</f>
        <v>Evening peak (16-19)</v>
      </c>
    </row>
    <row r="7689" spans="1:9">
      <c r="A7689" s="32">
        <v>42142</v>
      </c>
      <c r="B7689">
        <v>18</v>
      </c>
      <c r="C7689">
        <v>5485</v>
      </c>
      <c r="D7689" t="s">
        <v>304</v>
      </c>
      <c r="E7689">
        <f>YEAR(A7689)</f>
        <v>2015</v>
      </c>
      <c r="F7689" s="33">
        <f>DATE(YEAR(A7689),MONTH(A7689),1)</f>
        <v>42125.0</v>
      </c>
      <c r="G7689" t="str">
        <f>CHOOSE(WEEKDAY(A7689,2),"Mon","Tue","Wed","Thu","Fri","Sat","Sun")</f>
        <v>Mon</v>
      </c>
      <c r="H7689" t="str">
        <f>IF(WEEKDAY(A7689,2)&gt;5,"Weekend","Weekday")</f>
        <v>Weekday</v>
      </c>
      <c r="I7689" t="str">
        <f>_xlfn.IFS(B7689&lt;=5,"Night (0-5)",B7689&lt;=9,"Morning peak (6-9)",B7689&lt;=15,"Midday (10-15)",B7689&lt;=19,"Evening peak (16-19)",TRUE,"Late evening (20-23)")</f>
        <v>Evening peak (16-19)</v>
      </c>
    </row>
    <row r="7690" spans="1:9">
      <c r="A7690" s="32">
        <v>42142</v>
      </c>
      <c r="B7690">
        <v>19</v>
      </c>
      <c r="C7690">
        <v>5258</v>
      </c>
      <c r="D7690" t="s">
        <v>304</v>
      </c>
      <c r="E7690">
        <f>YEAR(A7690)</f>
        <v>2015</v>
      </c>
      <c r="F7690" s="33">
        <f>DATE(YEAR(A7690),MONTH(A7690),1)</f>
        <v>42125.0</v>
      </c>
      <c r="G7690" t="str">
        <f>CHOOSE(WEEKDAY(A7690,2),"Mon","Tue","Wed","Thu","Fri","Sat","Sun")</f>
        <v>Mon</v>
      </c>
      <c r="H7690" t="str">
        <f>IF(WEEKDAY(A7690,2)&gt;5,"Weekend","Weekday")</f>
        <v>Weekday</v>
      </c>
      <c r="I7690" t="str">
        <f>_xlfn.IFS(B7690&lt;=5,"Night (0-5)",B7690&lt;=9,"Morning peak (6-9)",B7690&lt;=15,"Midday (10-15)",B7690&lt;=19,"Evening peak (16-19)",TRUE,"Late evening (20-23)")</f>
        <v>Evening peak (16-19)</v>
      </c>
    </row>
    <row r="7691" spans="1:9">
      <c r="A7691" s="32">
        <v>42142</v>
      </c>
      <c r="B7691">
        <v>20</v>
      </c>
      <c r="C7691">
        <v>4714</v>
      </c>
      <c r="D7691" t="s">
        <v>304</v>
      </c>
      <c r="E7691">
        <f>YEAR(A7691)</f>
        <v>2015</v>
      </c>
      <c r="F7691" s="33">
        <f>DATE(YEAR(A7691),MONTH(A7691),1)</f>
        <v>42125.0</v>
      </c>
      <c r="G7691" t="str">
        <f>CHOOSE(WEEKDAY(A7691,2),"Mon","Tue","Wed","Thu","Fri","Sat","Sun")</f>
        <v>Mon</v>
      </c>
      <c r="H7691" t="str">
        <f>IF(WEEKDAY(A7691,2)&gt;5,"Weekend","Weekday")</f>
        <v>Weekday</v>
      </c>
      <c r="I7691" t="str">
        <f>_xlfn.IFS(B7691&lt;=5,"Night (0-5)",B7691&lt;=9,"Morning peak (6-9)",B7691&lt;=15,"Midday (10-15)",B7691&lt;=19,"Evening peak (16-19)",TRUE,"Late evening (20-23)")</f>
        <v>Late evening (20-23)</v>
      </c>
    </row>
    <row r="7692" spans="1:9">
      <c r="A7692" s="32">
        <v>42142</v>
      </c>
      <c r="B7692">
        <v>21</v>
      </c>
      <c r="C7692">
        <v>4691</v>
      </c>
      <c r="D7692" t="s">
        <v>304</v>
      </c>
      <c r="E7692">
        <f>YEAR(A7692)</f>
        <v>2015</v>
      </c>
      <c r="F7692" s="33">
        <f>DATE(YEAR(A7692),MONTH(A7692),1)</f>
        <v>42125.0</v>
      </c>
      <c r="G7692" t="str">
        <f>CHOOSE(WEEKDAY(A7692,2),"Mon","Tue","Wed","Thu","Fri","Sat","Sun")</f>
        <v>Mon</v>
      </c>
      <c r="H7692" t="str">
        <f>IF(WEEKDAY(A7692,2)&gt;5,"Weekend","Weekday")</f>
        <v>Weekday</v>
      </c>
      <c r="I7692" t="str">
        <f>_xlfn.IFS(B7692&lt;=5,"Night (0-5)",B7692&lt;=9,"Morning peak (6-9)",B7692&lt;=15,"Midday (10-15)",B7692&lt;=19,"Evening peak (16-19)",TRUE,"Late evening (20-23)")</f>
        <v>Late evening (20-23)</v>
      </c>
    </row>
    <row r="7693" spans="1:9">
      <c r="A7693" s="32">
        <v>42142</v>
      </c>
      <c r="B7693">
        <v>22</v>
      </c>
      <c r="C7693">
        <v>4708</v>
      </c>
      <c r="D7693" t="s">
        <v>304</v>
      </c>
      <c r="E7693">
        <f>YEAR(A7693)</f>
        <v>2015</v>
      </c>
      <c r="F7693" s="33">
        <f>DATE(YEAR(A7693),MONTH(A7693),1)</f>
        <v>42125.0</v>
      </c>
      <c r="G7693" t="str">
        <f>CHOOSE(WEEKDAY(A7693,2),"Mon","Tue","Wed","Thu","Fri","Sat","Sun")</f>
        <v>Mon</v>
      </c>
      <c r="H7693" t="str">
        <f>IF(WEEKDAY(A7693,2)&gt;5,"Weekend","Weekday")</f>
        <v>Weekday</v>
      </c>
      <c r="I7693" t="str">
        <f>_xlfn.IFS(B7693&lt;=5,"Night (0-5)",B7693&lt;=9,"Morning peak (6-9)",B7693&lt;=15,"Midday (10-15)",B7693&lt;=19,"Evening peak (16-19)",TRUE,"Late evening (20-23)")</f>
        <v>Late evening (20-23)</v>
      </c>
    </row>
    <row r="7694" spans="1:9">
      <c r="A7694" s="32">
        <v>42142</v>
      </c>
      <c r="B7694">
        <v>23</v>
      </c>
      <c r="C7694">
        <v>3699</v>
      </c>
      <c r="D7694" t="s">
        <v>304</v>
      </c>
      <c r="E7694">
        <f>YEAR(A7694)</f>
        <v>2015</v>
      </c>
      <c r="F7694" s="33">
        <f>DATE(YEAR(A7694),MONTH(A7694),1)</f>
        <v>42125.0</v>
      </c>
      <c r="G7694" t="str">
        <f>CHOOSE(WEEKDAY(A7694,2),"Mon","Tue","Wed","Thu","Fri","Sat","Sun")</f>
        <v>Mon</v>
      </c>
      <c r="H7694" t="str">
        <f>IF(WEEKDAY(A7694,2)&gt;5,"Weekend","Weekday")</f>
        <v>Weekday</v>
      </c>
      <c r="I7694" t="str">
        <f>_xlfn.IFS(B7694&lt;=5,"Night (0-5)",B7694&lt;=9,"Morning peak (6-9)",B7694&lt;=15,"Midday (10-15)",B7694&lt;=19,"Evening peak (16-19)",TRUE,"Late evening (20-23)")</f>
        <v>Late evening (20-23)</v>
      </c>
    </row>
    <row r="7695" spans="1:9">
      <c r="A7695" s="32">
        <v>42143</v>
      </c>
      <c r="B7695">
        <v>0</v>
      </c>
      <c r="C7695">
        <v>2441</v>
      </c>
      <c r="D7695" t="s">
        <v>304</v>
      </c>
      <c r="E7695">
        <f>YEAR(A7695)</f>
        <v>2015</v>
      </c>
      <c r="F7695" s="33">
        <f>DATE(YEAR(A7695),MONTH(A7695),1)</f>
        <v>42125.0</v>
      </c>
      <c r="G7695" t="str">
        <f>CHOOSE(WEEKDAY(A7695,2),"Mon","Tue","Wed","Thu","Fri","Sat","Sun")</f>
        <v>Tue</v>
      </c>
      <c r="H7695" t="str">
        <f>IF(WEEKDAY(A7695,2)&gt;5,"Weekend","Weekday")</f>
        <v>Weekday</v>
      </c>
      <c r="I7695" t="str">
        <f>_xlfn.IFS(B7695&lt;=5,"Night (0-5)",B7695&lt;=9,"Morning peak (6-9)",B7695&lt;=15,"Midday (10-15)",B7695&lt;=19,"Evening peak (16-19)",TRUE,"Late evening (20-23)")</f>
        <v>Night (0-5)</v>
      </c>
    </row>
    <row r="7696" spans="1:9">
      <c r="A7696" s="32">
        <v>42143</v>
      </c>
      <c r="B7696">
        <v>1</v>
      </c>
      <c r="C7696">
        <v>1470</v>
      </c>
      <c r="D7696" t="s">
        <v>304</v>
      </c>
      <c r="E7696">
        <f>YEAR(A7696)</f>
        <v>2015</v>
      </c>
      <c r="F7696" s="33">
        <f>DATE(YEAR(A7696),MONTH(A7696),1)</f>
        <v>42125.0</v>
      </c>
      <c r="G7696" t="str">
        <f>CHOOSE(WEEKDAY(A7696,2),"Mon","Tue","Wed","Thu","Fri","Sat","Sun")</f>
        <v>Tue</v>
      </c>
      <c r="H7696" t="str">
        <f>IF(WEEKDAY(A7696,2)&gt;5,"Weekend","Weekday")</f>
        <v>Weekday</v>
      </c>
      <c r="I7696" t="str">
        <f>_xlfn.IFS(B7696&lt;=5,"Night (0-5)",B7696&lt;=9,"Morning peak (6-9)",B7696&lt;=15,"Midday (10-15)",B7696&lt;=19,"Evening peak (16-19)",TRUE,"Late evening (20-23)")</f>
        <v>Night (0-5)</v>
      </c>
    </row>
    <row r="7697" spans="1:9">
      <c r="A7697" s="32">
        <v>42143</v>
      </c>
      <c r="B7697">
        <v>2</v>
      </c>
      <c r="C7697">
        <v>950</v>
      </c>
      <c r="D7697" t="s">
        <v>304</v>
      </c>
      <c r="E7697">
        <f>YEAR(A7697)</f>
        <v>2015</v>
      </c>
      <c r="F7697" s="33">
        <f>DATE(YEAR(A7697),MONTH(A7697),1)</f>
        <v>42125.0</v>
      </c>
      <c r="G7697" t="str">
        <f>CHOOSE(WEEKDAY(A7697,2),"Mon","Tue","Wed","Thu","Fri","Sat","Sun")</f>
        <v>Tue</v>
      </c>
      <c r="H7697" t="str">
        <f>IF(WEEKDAY(A7697,2)&gt;5,"Weekend","Weekday")</f>
        <v>Weekday</v>
      </c>
      <c r="I7697" t="str">
        <f>_xlfn.IFS(B7697&lt;=5,"Night (0-5)",B7697&lt;=9,"Morning peak (6-9)",B7697&lt;=15,"Midday (10-15)",B7697&lt;=19,"Evening peak (16-19)",TRUE,"Late evening (20-23)")</f>
        <v>Night (0-5)</v>
      </c>
    </row>
    <row r="7698" spans="1:9">
      <c r="A7698" s="32">
        <v>42143</v>
      </c>
      <c r="B7698">
        <v>3</v>
      </c>
      <c r="C7698">
        <v>544</v>
      </c>
      <c r="D7698" t="s">
        <v>304</v>
      </c>
      <c r="E7698">
        <f>YEAR(A7698)</f>
        <v>2015</v>
      </c>
      <c r="F7698" s="33">
        <f>DATE(YEAR(A7698),MONTH(A7698),1)</f>
        <v>42125.0</v>
      </c>
      <c r="G7698" t="str">
        <f>CHOOSE(WEEKDAY(A7698,2),"Mon","Tue","Wed","Thu","Fri","Sat","Sun")</f>
        <v>Tue</v>
      </c>
      <c r="H7698" t="str">
        <f>IF(WEEKDAY(A7698,2)&gt;5,"Weekend","Weekday")</f>
        <v>Weekday</v>
      </c>
      <c r="I7698" t="str">
        <f>_xlfn.IFS(B7698&lt;=5,"Night (0-5)",B7698&lt;=9,"Morning peak (6-9)",B7698&lt;=15,"Midday (10-15)",B7698&lt;=19,"Evening peak (16-19)",TRUE,"Late evening (20-23)")</f>
        <v>Night (0-5)</v>
      </c>
    </row>
    <row r="7699" spans="1:9">
      <c r="A7699" s="32">
        <v>42143</v>
      </c>
      <c r="B7699">
        <v>4</v>
      </c>
      <c r="C7699">
        <v>831</v>
      </c>
      <c r="D7699" t="s">
        <v>304</v>
      </c>
      <c r="E7699">
        <f>YEAR(A7699)</f>
        <v>2015</v>
      </c>
      <c r="F7699" s="33">
        <f>DATE(YEAR(A7699),MONTH(A7699),1)</f>
        <v>42125.0</v>
      </c>
      <c r="G7699" t="str">
        <f>CHOOSE(WEEKDAY(A7699,2),"Mon","Tue","Wed","Thu","Fri","Sat","Sun")</f>
        <v>Tue</v>
      </c>
      <c r="H7699" t="str">
        <f>IF(WEEKDAY(A7699,2)&gt;5,"Weekend","Weekday")</f>
        <v>Weekday</v>
      </c>
      <c r="I7699" t="str">
        <f>_xlfn.IFS(B7699&lt;=5,"Night (0-5)",B7699&lt;=9,"Morning peak (6-9)",B7699&lt;=15,"Midday (10-15)",B7699&lt;=19,"Evening peak (16-19)",TRUE,"Late evening (20-23)")</f>
        <v>Night (0-5)</v>
      </c>
    </row>
    <row r="7700" spans="1:9">
      <c r="A7700" s="32">
        <v>42143</v>
      </c>
      <c r="B7700">
        <v>5</v>
      </c>
      <c r="C7700">
        <v>1259</v>
      </c>
      <c r="D7700" t="s">
        <v>304</v>
      </c>
      <c r="E7700">
        <f>YEAR(A7700)</f>
        <v>2015</v>
      </c>
      <c r="F7700" s="33">
        <f>DATE(YEAR(A7700),MONTH(A7700),1)</f>
        <v>42125.0</v>
      </c>
      <c r="G7700" t="str">
        <f>CHOOSE(WEEKDAY(A7700,2),"Mon","Tue","Wed","Thu","Fri","Sat","Sun")</f>
        <v>Tue</v>
      </c>
      <c r="H7700" t="str">
        <f>IF(WEEKDAY(A7700,2)&gt;5,"Weekend","Weekday")</f>
        <v>Weekday</v>
      </c>
      <c r="I7700" t="str">
        <f>_xlfn.IFS(B7700&lt;=5,"Night (0-5)",B7700&lt;=9,"Morning peak (6-9)",B7700&lt;=15,"Midday (10-15)",B7700&lt;=19,"Evening peak (16-19)",TRUE,"Late evening (20-23)")</f>
        <v>Night (0-5)</v>
      </c>
    </row>
    <row r="7701" spans="1:9">
      <c r="A7701" s="32">
        <v>42143</v>
      </c>
      <c r="B7701">
        <v>6</v>
      </c>
      <c r="C7701">
        <v>2095</v>
      </c>
      <c r="D7701" t="s">
        <v>304</v>
      </c>
      <c r="E7701">
        <f>YEAR(A7701)</f>
        <v>2015</v>
      </c>
      <c r="F7701" s="33">
        <f>DATE(YEAR(A7701),MONTH(A7701),1)</f>
        <v>42125.0</v>
      </c>
      <c r="G7701" t="str">
        <f>CHOOSE(WEEKDAY(A7701,2),"Mon","Tue","Wed","Thu","Fri","Sat","Sun")</f>
        <v>Tue</v>
      </c>
      <c r="H7701" t="str">
        <f>IF(WEEKDAY(A7701,2)&gt;5,"Weekend","Weekday")</f>
        <v>Weekday</v>
      </c>
      <c r="I7701" t="str">
        <f>_xlfn.IFS(B7701&lt;=5,"Night (0-5)",B7701&lt;=9,"Morning peak (6-9)",B7701&lt;=15,"Midday (10-15)",B7701&lt;=19,"Evening peak (16-19)",TRUE,"Late evening (20-23)")</f>
        <v>Morning peak (6-9)</v>
      </c>
    </row>
    <row r="7702" spans="1:9">
      <c r="A7702" s="32">
        <v>42143</v>
      </c>
      <c r="B7702">
        <v>7</v>
      </c>
      <c r="C7702">
        <v>3431</v>
      </c>
      <c r="D7702" t="s">
        <v>304</v>
      </c>
      <c r="E7702">
        <f>YEAR(A7702)</f>
        <v>2015</v>
      </c>
      <c r="F7702" s="33">
        <f>DATE(YEAR(A7702),MONTH(A7702),1)</f>
        <v>42125.0</v>
      </c>
      <c r="G7702" t="str">
        <f>CHOOSE(WEEKDAY(A7702,2),"Mon","Tue","Wed","Thu","Fri","Sat","Sun")</f>
        <v>Tue</v>
      </c>
      <c r="H7702" t="str">
        <f>IF(WEEKDAY(A7702,2)&gt;5,"Weekend","Weekday")</f>
        <v>Weekday</v>
      </c>
      <c r="I7702" t="str">
        <f>_xlfn.IFS(B7702&lt;=5,"Night (0-5)",B7702&lt;=9,"Morning peak (6-9)",B7702&lt;=15,"Midday (10-15)",B7702&lt;=19,"Evening peak (16-19)",TRUE,"Late evening (20-23)")</f>
        <v>Morning peak (6-9)</v>
      </c>
    </row>
    <row r="7703" spans="1:9">
      <c r="A7703" s="32">
        <v>42143</v>
      </c>
      <c r="B7703">
        <v>8</v>
      </c>
      <c r="C7703">
        <v>4722</v>
      </c>
      <c r="D7703" t="s">
        <v>304</v>
      </c>
      <c r="E7703">
        <f>YEAR(A7703)</f>
        <v>2015</v>
      </c>
      <c r="F7703" s="33">
        <f>DATE(YEAR(A7703),MONTH(A7703),1)</f>
        <v>42125.0</v>
      </c>
      <c r="G7703" t="str">
        <f>CHOOSE(WEEKDAY(A7703,2),"Mon","Tue","Wed","Thu","Fri","Sat","Sun")</f>
        <v>Tue</v>
      </c>
      <c r="H7703" t="str">
        <f>IF(WEEKDAY(A7703,2)&gt;5,"Weekend","Weekday")</f>
        <v>Weekday</v>
      </c>
      <c r="I7703" t="str">
        <f>_xlfn.IFS(B7703&lt;=5,"Night (0-5)",B7703&lt;=9,"Morning peak (6-9)",B7703&lt;=15,"Midday (10-15)",B7703&lt;=19,"Evening peak (16-19)",TRUE,"Late evening (20-23)")</f>
        <v>Morning peak (6-9)</v>
      </c>
    </row>
    <row r="7704" spans="1:9">
      <c r="A7704" s="32">
        <v>42143</v>
      </c>
      <c r="B7704">
        <v>9</v>
      </c>
      <c r="C7704">
        <v>4441</v>
      </c>
      <c r="D7704" t="s">
        <v>304</v>
      </c>
      <c r="E7704">
        <f>YEAR(A7704)</f>
        <v>2015</v>
      </c>
      <c r="F7704" s="33">
        <f>DATE(YEAR(A7704),MONTH(A7704),1)</f>
        <v>42125.0</v>
      </c>
      <c r="G7704" t="str">
        <f>CHOOSE(WEEKDAY(A7704,2),"Mon","Tue","Wed","Thu","Fri","Sat","Sun")</f>
        <v>Tue</v>
      </c>
      <c r="H7704" t="str">
        <f>IF(WEEKDAY(A7704,2)&gt;5,"Weekend","Weekday")</f>
        <v>Weekday</v>
      </c>
      <c r="I7704" t="str">
        <f>_xlfn.IFS(B7704&lt;=5,"Night (0-5)",B7704&lt;=9,"Morning peak (6-9)",B7704&lt;=15,"Midday (10-15)",B7704&lt;=19,"Evening peak (16-19)",TRUE,"Late evening (20-23)")</f>
        <v>Morning peak (6-9)</v>
      </c>
    </row>
    <row r="7705" spans="1:9">
      <c r="A7705" s="32">
        <v>42143</v>
      </c>
      <c r="B7705">
        <v>10</v>
      </c>
      <c r="C7705">
        <v>3363</v>
      </c>
      <c r="D7705" t="s">
        <v>304</v>
      </c>
      <c r="E7705">
        <f>YEAR(A7705)</f>
        <v>2015</v>
      </c>
      <c r="F7705" s="33">
        <f>DATE(YEAR(A7705),MONTH(A7705),1)</f>
        <v>42125.0</v>
      </c>
      <c r="G7705" t="str">
        <f>CHOOSE(WEEKDAY(A7705,2),"Mon","Tue","Wed","Thu","Fri","Sat","Sun")</f>
        <v>Tue</v>
      </c>
      <c r="H7705" t="str">
        <f>IF(WEEKDAY(A7705,2)&gt;5,"Weekend","Weekday")</f>
        <v>Weekday</v>
      </c>
      <c r="I7705" t="str">
        <f>_xlfn.IFS(B7705&lt;=5,"Night (0-5)",B7705&lt;=9,"Morning peak (6-9)",B7705&lt;=15,"Midday (10-15)",B7705&lt;=19,"Evening peak (16-19)",TRUE,"Late evening (20-23)")</f>
        <v>Midday (10-15)</v>
      </c>
    </row>
    <row r="7706" spans="1:9">
      <c r="A7706" s="32">
        <v>42143</v>
      </c>
      <c r="B7706">
        <v>11</v>
      </c>
      <c r="C7706">
        <v>3149</v>
      </c>
      <c r="D7706" t="s">
        <v>304</v>
      </c>
      <c r="E7706">
        <f>YEAR(A7706)</f>
        <v>2015</v>
      </c>
      <c r="F7706" s="33">
        <f>DATE(YEAR(A7706),MONTH(A7706),1)</f>
        <v>42125.0</v>
      </c>
      <c r="G7706" t="str">
        <f>CHOOSE(WEEKDAY(A7706,2),"Mon","Tue","Wed","Thu","Fri","Sat","Sun")</f>
        <v>Tue</v>
      </c>
      <c r="H7706" t="str">
        <f>IF(WEEKDAY(A7706,2)&gt;5,"Weekend","Weekday")</f>
        <v>Weekday</v>
      </c>
      <c r="I7706" t="str">
        <f>_xlfn.IFS(B7706&lt;=5,"Night (0-5)",B7706&lt;=9,"Morning peak (6-9)",B7706&lt;=15,"Midday (10-15)",B7706&lt;=19,"Evening peak (16-19)",TRUE,"Late evening (20-23)")</f>
        <v>Midday (10-15)</v>
      </c>
    </row>
    <row r="7707" spans="1:9">
      <c r="A7707" s="32">
        <v>42143</v>
      </c>
      <c r="B7707">
        <v>12</v>
      </c>
      <c r="C7707">
        <v>3366</v>
      </c>
      <c r="D7707" t="s">
        <v>304</v>
      </c>
      <c r="E7707">
        <f>YEAR(A7707)</f>
        <v>2015</v>
      </c>
      <c r="F7707" s="33">
        <f>DATE(YEAR(A7707),MONTH(A7707),1)</f>
        <v>42125.0</v>
      </c>
      <c r="G7707" t="str">
        <f>CHOOSE(WEEKDAY(A7707,2),"Mon","Tue","Wed","Thu","Fri","Sat","Sun")</f>
        <v>Tue</v>
      </c>
      <c r="H7707" t="str">
        <f>IF(WEEKDAY(A7707,2)&gt;5,"Weekend","Weekday")</f>
        <v>Weekday</v>
      </c>
      <c r="I7707" t="str">
        <f>_xlfn.IFS(B7707&lt;=5,"Night (0-5)",B7707&lt;=9,"Morning peak (6-9)",B7707&lt;=15,"Midday (10-15)",B7707&lt;=19,"Evening peak (16-19)",TRUE,"Late evening (20-23)")</f>
        <v>Midday (10-15)</v>
      </c>
    </row>
    <row r="7708" spans="1:9">
      <c r="A7708" s="32">
        <v>42143</v>
      </c>
      <c r="B7708">
        <v>13</v>
      </c>
      <c r="C7708">
        <v>3229</v>
      </c>
      <c r="D7708" t="s">
        <v>304</v>
      </c>
      <c r="E7708">
        <f>YEAR(A7708)</f>
        <v>2015</v>
      </c>
      <c r="F7708" s="33">
        <f>DATE(YEAR(A7708),MONTH(A7708),1)</f>
        <v>42125.0</v>
      </c>
      <c r="G7708" t="str">
        <f>CHOOSE(WEEKDAY(A7708,2),"Mon","Tue","Wed","Thu","Fri","Sat","Sun")</f>
        <v>Tue</v>
      </c>
      <c r="H7708" t="str">
        <f>IF(WEEKDAY(A7708,2)&gt;5,"Weekend","Weekday")</f>
        <v>Weekday</v>
      </c>
      <c r="I7708" t="str">
        <f>_xlfn.IFS(B7708&lt;=5,"Night (0-5)",B7708&lt;=9,"Morning peak (6-9)",B7708&lt;=15,"Midday (10-15)",B7708&lt;=19,"Evening peak (16-19)",TRUE,"Late evening (20-23)")</f>
        <v>Midday (10-15)</v>
      </c>
    </row>
    <row r="7709" spans="1:9">
      <c r="A7709" s="32">
        <v>42143</v>
      </c>
      <c r="B7709">
        <v>14</v>
      </c>
      <c r="C7709">
        <v>3416</v>
      </c>
      <c r="D7709" t="s">
        <v>304</v>
      </c>
      <c r="E7709">
        <f>YEAR(A7709)</f>
        <v>2015</v>
      </c>
      <c r="F7709" s="33">
        <f>DATE(YEAR(A7709),MONTH(A7709),1)</f>
        <v>42125.0</v>
      </c>
      <c r="G7709" t="str">
        <f>CHOOSE(WEEKDAY(A7709,2),"Mon","Tue","Wed","Thu","Fri","Sat","Sun")</f>
        <v>Tue</v>
      </c>
      <c r="H7709" t="str">
        <f>IF(WEEKDAY(A7709,2)&gt;5,"Weekend","Weekday")</f>
        <v>Weekday</v>
      </c>
      <c r="I7709" t="str">
        <f>_xlfn.IFS(B7709&lt;=5,"Night (0-5)",B7709&lt;=9,"Morning peak (6-9)",B7709&lt;=15,"Midday (10-15)",B7709&lt;=19,"Evening peak (16-19)",TRUE,"Late evening (20-23)")</f>
        <v>Midday (10-15)</v>
      </c>
    </row>
    <row r="7710" spans="1:9">
      <c r="A7710" s="32">
        <v>42143</v>
      </c>
      <c r="B7710">
        <v>15</v>
      </c>
      <c r="C7710">
        <v>3895</v>
      </c>
      <c r="D7710" t="s">
        <v>304</v>
      </c>
      <c r="E7710">
        <f>YEAR(A7710)</f>
        <v>2015</v>
      </c>
      <c r="F7710" s="33">
        <f>DATE(YEAR(A7710),MONTH(A7710),1)</f>
        <v>42125.0</v>
      </c>
      <c r="G7710" t="str">
        <f>CHOOSE(WEEKDAY(A7710,2),"Mon","Tue","Wed","Thu","Fri","Sat","Sun")</f>
        <v>Tue</v>
      </c>
      <c r="H7710" t="str">
        <f>IF(WEEKDAY(A7710,2)&gt;5,"Weekend","Weekday")</f>
        <v>Weekday</v>
      </c>
      <c r="I7710" t="str">
        <f>_xlfn.IFS(B7710&lt;=5,"Night (0-5)",B7710&lt;=9,"Morning peak (6-9)",B7710&lt;=15,"Midday (10-15)",B7710&lt;=19,"Evening peak (16-19)",TRUE,"Late evening (20-23)")</f>
        <v>Midday (10-15)</v>
      </c>
    </row>
    <row r="7711" spans="1:9">
      <c r="A7711" s="32">
        <v>42143</v>
      </c>
      <c r="B7711">
        <v>16</v>
      </c>
      <c r="C7711">
        <v>4477</v>
      </c>
      <c r="D7711" t="s">
        <v>304</v>
      </c>
      <c r="E7711">
        <f>YEAR(A7711)</f>
        <v>2015</v>
      </c>
      <c r="F7711" s="33">
        <f>DATE(YEAR(A7711),MONTH(A7711),1)</f>
        <v>42125.0</v>
      </c>
      <c r="G7711" t="str">
        <f>CHOOSE(WEEKDAY(A7711,2),"Mon","Tue","Wed","Thu","Fri","Sat","Sun")</f>
        <v>Tue</v>
      </c>
      <c r="H7711" t="str">
        <f>IF(WEEKDAY(A7711,2)&gt;5,"Weekend","Weekday")</f>
        <v>Weekday</v>
      </c>
      <c r="I7711" t="str">
        <f>_xlfn.IFS(B7711&lt;=5,"Night (0-5)",B7711&lt;=9,"Morning peak (6-9)",B7711&lt;=15,"Midday (10-15)",B7711&lt;=19,"Evening peak (16-19)",TRUE,"Late evening (20-23)")</f>
        <v>Evening peak (16-19)</v>
      </c>
    </row>
    <row r="7712" spans="1:9">
      <c r="A7712" s="32">
        <v>42143</v>
      </c>
      <c r="B7712">
        <v>17</v>
      </c>
      <c r="C7712">
        <v>5157</v>
      </c>
      <c r="D7712" t="s">
        <v>304</v>
      </c>
      <c r="E7712">
        <f>YEAR(A7712)</f>
        <v>2015</v>
      </c>
      <c r="F7712" s="33">
        <f>DATE(YEAR(A7712),MONTH(A7712),1)</f>
        <v>42125.0</v>
      </c>
      <c r="G7712" t="str">
        <f>CHOOSE(WEEKDAY(A7712,2),"Mon","Tue","Wed","Thu","Fri","Sat","Sun")</f>
        <v>Tue</v>
      </c>
      <c r="H7712" t="str">
        <f>IF(WEEKDAY(A7712,2)&gt;5,"Weekend","Weekday")</f>
        <v>Weekday</v>
      </c>
      <c r="I7712" t="str">
        <f>_xlfn.IFS(B7712&lt;=5,"Night (0-5)",B7712&lt;=9,"Morning peak (6-9)",B7712&lt;=15,"Midday (10-15)",B7712&lt;=19,"Evening peak (16-19)",TRUE,"Late evening (20-23)")</f>
        <v>Evening peak (16-19)</v>
      </c>
    </row>
    <row r="7713" spans="1:9">
      <c r="A7713" s="32">
        <v>42143</v>
      </c>
      <c r="B7713">
        <v>18</v>
      </c>
      <c r="C7713">
        <v>5992</v>
      </c>
      <c r="D7713" t="s">
        <v>304</v>
      </c>
      <c r="E7713">
        <f>YEAR(A7713)</f>
        <v>2015</v>
      </c>
      <c r="F7713" s="33">
        <f>DATE(YEAR(A7713),MONTH(A7713),1)</f>
        <v>42125.0</v>
      </c>
      <c r="G7713" t="str">
        <f>CHOOSE(WEEKDAY(A7713,2),"Mon","Tue","Wed","Thu","Fri","Sat","Sun")</f>
        <v>Tue</v>
      </c>
      <c r="H7713" t="str">
        <f>IF(WEEKDAY(A7713,2)&gt;5,"Weekend","Weekday")</f>
        <v>Weekday</v>
      </c>
      <c r="I7713" t="str">
        <f>_xlfn.IFS(B7713&lt;=5,"Night (0-5)",B7713&lt;=9,"Morning peak (6-9)",B7713&lt;=15,"Midday (10-15)",B7713&lt;=19,"Evening peak (16-19)",TRUE,"Late evening (20-23)")</f>
        <v>Evening peak (16-19)</v>
      </c>
    </row>
    <row r="7714" spans="1:9">
      <c r="A7714" s="32">
        <v>42143</v>
      </c>
      <c r="B7714">
        <v>19</v>
      </c>
      <c r="C7714">
        <v>5778</v>
      </c>
      <c r="D7714" t="s">
        <v>304</v>
      </c>
      <c r="E7714">
        <f>YEAR(A7714)</f>
        <v>2015</v>
      </c>
      <c r="F7714" s="33">
        <f>DATE(YEAR(A7714),MONTH(A7714),1)</f>
        <v>42125.0</v>
      </c>
      <c r="G7714" t="str">
        <f>CHOOSE(WEEKDAY(A7714,2),"Mon","Tue","Wed","Thu","Fri","Sat","Sun")</f>
        <v>Tue</v>
      </c>
      <c r="H7714" t="str">
        <f>IF(WEEKDAY(A7714,2)&gt;5,"Weekend","Weekday")</f>
        <v>Weekday</v>
      </c>
      <c r="I7714" t="str">
        <f>_xlfn.IFS(B7714&lt;=5,"Night (0-5)",B7714&lt;=9,"Morning peak (6-9)",B7714&lt;=15,"Midday (10-15)",B7714&lt;=19,"Evening peak (16-19)",TRUE,"Late evening (20-23)")</f>
        <v>Evening peak (16-19)</v>
      </c>
    </row>
    <row r="7715" spans="1:9">
      <c r="A7715" s="32">
        <v>42143</v>
      </c>
      <c r="B7715">
        <v>20</v>
      </c>
      <c r="C7715">
        <v>5482</v>
      </c>
      <c r="D7715" t="s">
        <v>304</v>
      </c>
      <c r="E7715">
        <f>YEAR(A7715)</f>
        <v>2015</v>
      </c>
      <c r="F7715" s="33">
        <f>DATE(YEAR(A7715),MONTH(A7715),1)</f>
        <v>42125.0</v>
      </c>
      <c r="G7715" t="str">
        <f>CHOOSE(WEEKDAY(A7715,2),"Mon","Tue","Wed","Thu","Fri","Sat","Sun")</f>
        <v>Tue</v>
      </c>
      <c r="H7715" t="str">
        <f>IF(WEEKDAY(A7715,2)&gt;5,"Weekend","Weekday")</f>
        <v>Weekday</v>
      </c>
      <c r="I7715" t="str">
        <f>_xlfn.IFS(B7715&lt;=5,"Night (0-5)",B7715&lt;=9,"Morning peak (6-9)",B7715&lt;=15,"Midday (10-15)",B7715&lt;=19,"Evening peak (16-19)",TRUE,"Late evening (20-23)")</f>
        <v>Late evening (20-23)</v>
      </c>
    </row>
    <row r="7716" spans="1:9">
      <c r="A7716" s="32">
        <v>42143</v>
      </c>
      <c r="B7716">
        <v>21</v>
      </c>
      <c r="C7716">
        <v>5620</v>
      </c>
      <c r="D7716" t="s">
        <v>304</v>
      </c>
      <c r="E7716">
        <f>YEAR(A7716)</f>
        <v>2015</v>
      </c>
      <c r="F7716" s="33">
        <f>DATE(YEAR(A7716),MONTH(A7716),1)</f>
        <v>42125.0</v>
      </c>
      <c r="G7716" t="str">
        <f>CHOOSE(WEEKDAY(A7716,2),"Mon","Tue","Wed","Thu","Fri","Sat","Sun")</f>
        <v>Tue</v>
      </c>
      <c r="H7716" t="str">
        <f>IF(WEEKDAY(A7716,2)&gt;5,"Weekend","Weekday")</f>
        <v>Weekday</v>
      </c>
      <c r="I7716" t="str">
        <f>_xlfn.IFS(B7716&lt;=5,"Night (0-5)",B7716&lt;=9,"Morning peak (6-9)",B7716&lt;=15,"Midday (10-15)",B7716&lt;=19,"Evening peak (16-19)",TRUE,"Late evening (20-23)")</f>
        <v>Late evening (20-23)</v>
      </c>
    </row>
    <row r="7717" spans="1:9">
      <c r="A7717" s="32">
        <v>42143</v>
      </c>
      <c r="B7717">
        <v>22</v>
      </c>
      <c r="C7717">
        <v>5649</v>
      </c>
      <c r="D7717" t="s">
        <v>304</v>
      </c>
      <c r="E7717">
        <f>YEAR(A7717)</f>
        <v>2015</v>
      </c>
      <c r="F7717" s="33">
        <f>DATE(YEAR(A7717),MONTH(A7717),1)</f>
        <v>42125.0</v>
      </c>
      <c r="G7717" t="str">
        <f>CHOOSE(WEEKDAY(A7717,2),"Mon","Tue","Wed","Thu","Fri","Sat","Sun")</f>
        <v>Tue</v>
      </c>
      <c r="H7717" t="str">
        <f>IF(WEEKDAY(A7717,2)&gt;5,"Weekend","Weekday")</f>
        <v>Weekday</v>
      </c>
      <c r="I7717" t="str">
        <f>_xlfn.IFS(B7717&lt;=5,"Night (0-5)",B7717&lt;=9,"Morning peak (6-9)",B7717&lt;=15,"Midday (10-15)",B7717&lt;=19,"Evening peak (16-19)",TRUE,"Late evening (20-23)")</f>
        <v>Late evening (20-23)</v>
      </c>
    </row>
    <row r="7718" spans="1:9">
      <c r="A7718" s="32">
        <v>42143</v>
      </c>
      <c r="B7718">
        <v>23</v>
      </c>
      <c r="C7718">
        <v>4614</v>
      </c>
      <c r="D7718" t="s">
        <v>304</v>
      </c>
      <c r="E7718">
        <f>YEAR(A7718)</f>
        <v>2015</v>
      </c>
      <c r="F7718" s="33">
        <f>DATE(YEAR(A7718),MONTH(A7718),1)</f>
        <v>42125.0</v>
      </c>
      <c r="G7718" t="str">
        <f>CHOOSE(WEEKDAY(A7718,2),"Mon","Tue","Wed","Thu","Fri","Sat","Sun")</f>
        <v>Tue</v>
      </c>
      <c r="H7718" t="str">
        <f>IF(WEEKDAY(A7718,2)&gt;5,"Weekend","Weekday")</f>
        <v>Weekday</v>
      </c>
      <c r="I7718" t="str">
        <f>_xlfn.IFS(B7718&lt;=5,"Night (0-5)",B7718&lt;=9,"Morning peak (6-9)",B7718&lt;=15,"Midday (10-15)",B7718&lt;=19,"Evening peak (16-19)",TRUE,"Late evening (20-23)")</f>
        <v>Late evening (20-23)</v>
      </c>
    </row>
    <row r="7719" spans="1:9">
      <c r="A7719" s="32">
        <v>42144</v>
      </c>
      <c r="B7719">
        <v>0</v>
      </c>
      <c r="C7719">
        <v>2880</v>
      </c>
      <c r="D7719" t="s">
        <v>304</v>
      </c>
      <c r="E7719">
        <f>YEAR(A7719)</f>
        <v>2015</v>
      </c>
      <c r="F7719" s="33">
        <f>DATE(YEAR(A7719),MONTH(A7719),1)</f>
        <v>42125.0</v>
      </c>
      <c r="G7719" t="str">
        <f>CHOOSE(WEEKDAY(A7719,2),"Mon","Tue","Wed","Thu","Fri","Sat","Sun")</f>
        <v>Wed</v>
      </c>
      <c r="H7719" t="str">
        <f>IF(WEEKDAY(A7719,2)&gt;5,"Weekend","Weekday")</f>
        <v>Weekday</v>
      </c>
      <c r="I7719" t="str">
        <f>_xlfn.IFS(B7719&lt;=5,"Night (0-5)",B7719&lt;=9,"Morning peak (6-9)",B7719&lt;=15,"Midday (10-15)",B7719&lt;=19,"Evening peak (16-19)",TRUE,"Late evening (20-23)")</f>
        <v>Night (0-5)</v>
      </c>
    </row>
    <row r="7720" spans="1:9">
      <c r="A7720" s="32">
        <v>42144</v>
      </c>
      <c r="B7720">
        <v>1</v>
      </c>
      <c r="C7720">
        <v>1593</v>
      </c>
      <c r="D7720" t="s">
        <v>304</v>
      </c>
      <c r="E7720">
        <f>YEAR(A7720)</f>
        <v>2015</v>
      </c>
      <c r="F7720" s="33">
        <f>DATE(YEAR(A7720),MONTH(A7720),1)</f>
        <v>42125.0</v>
      </c>
      <c r="G7720" t="str">
        <f>CHOOSE(WEEKDAY(A7720,2),"Mon","Tue","Wed","Thu","Fri","Sat","Sun")</f>
        <v>Wed</v>
      </c>
      <c r="H7720" t="str">
        <f>IF(WEEKDAY(A7720,2)&gt;5,"Weekend","Weekday")</f>
        <v>Weekday</v>
      </c>
      <c r="I7720" t="str">
        <f>_xlfn.IFS(B7720&lt;=5,"Night (0-5)",B7720&lt;=9,"Morning peak (6-9)",B7720&lt;=15,"Midday (10-15)",B7720&lt;=19,"Evening peak (16-19)",TRUE,"Late evening (20-23)")</f>
        <v>Night (0-5)</v>
      </c>
    </row>
    <row r="7721" spans="1:9">
      <c r="A7721" s="32">
        <v>42144</v>
      </c>
      <c r="B7721">
        <v>2</v>
      </c>
      <c r="C7721">
        <v>933</v>
      </c>
      <c r="D7721" t="s">
        <v>304</v>
      </c>
      <c r="E7721">
        <f>YEAR(A7721)</f>
        <v>2015</v>
      </c>
      <c r="F7721" s="33">
        <f>DATE(YEAR(A7721),MONTH(A7721),1)</f>
        <v>42125.0</v>
      </c>
      <c r="G7721" t="str">
        <f>CHOOSE(WEEKDAY(A7721,2),"Mon","Tue","Wed","Thu","Fri","Sat","Sun")</f>
        <v>Wed</v>
      </c>
      <c r="H7721" t="str">
        <f>IF(WEEKDAY(A7721,2)&gt;5,"Weekend","Weekday")</f>
        <v>Weekday</v>
      </c>
      <c r="I7721" t="str">
        <f>_xlfn.IFS(B7721&lt;=5,"Night (0-5)",B7721&lt;=9,"Morning peak (6-9)",B7721&lt;=15,"Midday (10-15)",B7721&lt;=19,"Evening peak (16-19)",TRUE,"Late evening (20-23)")</f>
        <v>Night (0-5)</v>
      </c>
    </row>
    <row r="7722" spans="1:9">
      <c r="A7722" s="32">
        <v>42144</v>
      </c>
      <c r="B7722">
        <v>3</v>
      </c>
      <c r="C7722">
        <v>682</v>
      </c>
      <c r="D7722" t="s">
        <v>304</v>
      </c>
      <c r="E7722">
        <f>YEAR(A7722)</f>
        <v>2015</v>
      </c>
      <c r="F7722" s="33">
        <f>DATE(YEAR(A7722),MONTH(A7722),1)</f>
        <v>42125.0</v>
      </c>
      <c r="G7722" t="str">
        <f>CHOOSE(WEEKDAY(A7722,2),"Mon","Tue","Wed","Thu","Fri","Sat","Sun")</f>
        <v>Wed</v>
      </c>
      <c r="H7722" t="str">
        <f>IF(WEEKDAY(A7722,2)&gt;5,"Weekend","Weekday")</f>
        <v>Weekday</v>
      </c>
      <c r="I7722" t="str">
        <f>_xlfn.IFS(B7722&lt;=5,"Night (0-5)",B7722&lt;=9,"Morning peak (6-9)",B7722&lt;=15,"Midday (10-15)",B7722&lt;=19,"Evening peak (16-19)",TRUE,"Late evening (20-23)")</f>
        <v>Night (0-5)</v>
      </c>
    </row>
    <row r="7723" spans="1:9">
      <c r="A7723" s="32">
        <v>42144</v>
      </c>
      <c r="B7723">
        <v>4</v>
      </c>
      <c r="C7723">
        <v>888</v>
      </c>
      <c r="D7723" t="s">
        <v>304</v>
      </c>
      <c r="E7723">
        <f>YEAR(A7723)</f>
        <v>2015</v>
      </c>
      <c r="F7723" s="33">
        <f>DATE(YEAR(A7723),MONTH(A7723),1)</f>
        <v>42125.0</v>
      </c>
      <c r="G7723" t="str">
        <f>CHOOSE(WEEKDAY(A7723,2),"Mon","Tue","Wed","Thu","Fri","Sat","Sun")</f>
        <v>Wed</v>
      </c>
      <c r="H7723" t="str">
        <f>IF(WEEKDAY(A7723,2)&gt;5,"Weekend","Weekday")</f>
        <v>Weekday</v>
      </c>
      <c r="I7723" t="str">
        <f>_xlfn.IFS(B7723&lt;=5,"Night (0-5)",B7723&lt;=9,"Morning peak (6-9)",B7723&lt;=15,"Midday (10-15)",B7723&lt;=19,"Evening peak (16-19)",TRUE,"Late evening (20-23)")</f>
        <v>Night (0-5)</v>
      </c>
    </row>
    <row r="7724" spans="1:9">
      <c r="A7724" s="32">
        <v>42144</v>
      </c>
      <c r="B7724">
        <v>5</v>
      </c>
      <c r="C7724">
        <v>1364</v>
      </c>
      <c r="D7724" t="s">
        <v>304</v>
      </c>
      <c r="E7724">
        <f>YEAR(A7724)</f>
        <v>2015</v>
      </c>
      <c r="F7724" s="33">
        <f>DATE(YEAR(A7724),MONTH(A7724),1)</f>
        <v>42125.0</v>
      </c>
      <c r="G7724" t="str">
        <f>CHOOSE(WEEKDAY(A7724,2),"Mon","Tue","Wed","Thu","Fri","Sat","Sun")</f>
        <v>Wed</v>
      </c>
      <c r="H7724" t="str">
        <f>IF(WEEKDAY(A7724,2)&gt;5,"Weekend","Weekday")</f>
        <v>Weekday</v>
      </c>
      <c r="I7724" t="str">
        <f>_xlfn.IFS(B7724&lt;=5,"Night (0-5)",B7724&lt;=9,"Morning peak (6-9)",B7724&lt;=15,"Midday (10-15)",B7724&lt;=19,"Evening peak (16-19)",TRUE,"Late evening (20-23)")</f>
        <v>Night (0-5)</v>
      </c>
    </row>
    <row r="7725" spans="1:9">
      <c r="A7725" s="32">
        <v>42144</v>
      </c>
      <c r="B7725">
        <v>6</v>
      </c>
      <c r="C7725">
        <v>1982</v>
      </c>
      <c r="D7725" t="s">
        <v>304</v>
      </c>
      <c r="E7725">
        <f>YEAR(A7725)</f>
        <v>2015</v>
      </c>
      <c r="F7725" s="33">
        <f>DATE(YEAR(A7725),MONTH(A7725),1)</f>
        <v>42125.0</v>
      </c>
      <c r="G7725" t="str">
        <f>CHOOSE(WEEKDAY(A7725,2),"Mon","Tue","Wed","Thu","Fri","Sat","Sun")</f>
        <v>Wed</v>
      </c>
      <c r="H7725" t="str">
        <f>IF(WEEKDAY(A7725,2)&gt;5,"Weekend","Weekday")</f>
        <v>Weekday</v>
      </c>
      <c r="I7725" t="str">
        <f>_xlfn.IFS(B7725&lt;=5,"Night (0-5)",B7725&lt;=9,"Morning peak (6-9)",B7725&lt;=15,"Midday (10-15)",B7725&lt;=19,"Evening peak (16-19)",TRUE,"Late evening (20-23)")</f>
        <v>Morning peak (6-9)</v>
      </c>
    </row>
    <row r="7726" spans="1:9">
      <c r="A7726" s="32">
        <v>42144</v>
      </c>
      <c r="B7726">
        <v>7</v>
      </c>
      <c r="C7726">
        <v>3244</v>
      </c>
      <c r="D7726" t="s">
        <v>304</v>
      </c>
      <c r="E7726">
        <f>YEAR(A7726)</f>
        <v>2015</v>
      </c>
      <c r="F7726" s="33">
        <f>DATE(YEAR(A7726),MONTH(A7726),1)</f>
        <v>42125.0</v>
      </c>
      <c r="G7726" t="str">
        <f>CHOOSE(WEEKDAY(A7726,2),"Mon","Tue","Wed","Thu","Fri","Sat","Sun")</f>
        <v>Wed</v>
      </c>
      <c r="H7726" t="str">
        <f>IF(WEEKDAY(A7726,2)&gt;5,"Weekend","Weekday")</f>
        <v>Weekday</v>
      </c>
      <c r="I7726" t="str">
        <f>_xlfn.IFS(B7726&lt;=5,"Night (0-5)",B7726&lt;=9,"Morning peak (6-9)",B7726&lt;=15,"Midday (10-15)",B7726&lt;=19,"Evening peak (16-19)",TRUE,"Late evening (20-23)")</f>
        <v>Morning peak (6-9)</v>
      </c>
    </row>
    <row r="7727" spans="1:9">
      <c r="A7727" s="32">
        <v>42144</v>
      </c>
      <c r="B7727">
        <v>8</v>
      </c>
      <c r="C7727">
        <v>4326</v>
      </c>
      <c r="D7727" t="s">
        <v>304</v>
      </c>
      <c r="E7727">
        <f>YEAR(A7727)</f>
        <v>2015</v>
      </c>
      <c r="F7727" s="33">
        <f>DATE(YEAR(A7727),MONTH(A7727),1)</f>
        <v>42125.0</v>
      </c>
      <c r="G7727" t="str">
        <f>CHOOSE(WEEKDAY(A7727,2),"Mon","Tue","Wed","Thu","Fri","Sat","Sun")</f>
        <v>Wed</v>
      </c>
      <c r="H7727" t="str">
        <f>IF(WEEKDAY(A7727,2)&gt;5,"Weekend","Weekday")</f>
        <v>Weekday</v>
      </c>
      <c r="I7727" t="str">
        <f>_xlfn.IFS(B7727&lt;=5,"Night (0-5)",B7727&lt;=9,"Morning peak (6-9)",B7727&lt;=15,"Midday (10-15)",B7727&lt;=19,"Evening peak (16-19)",TRUE,"Late evening (20-23)")</f>
        <v>Morning peak (6-9)</v>
      </c>
    </row>
    <row r="7728" spans="1:9">
      <c r="A7728" s="32">
        <v>42144</v>
      </c>
      <c r="B7728">
        <v>9</v>
      </c>
      <c r="C7728">
        <v>4330</v>
      </c>
      <c r="D7728" t="s">
        <v>304</v>
      </c>
      <c r="E7728">
        <f>YEAR(A7728)</f>
        <v>2015</v>
      </c>
      <c r="F7728" s="33">
        <f>DATE(YEAR(A7728),MONTH(A7728),1)</f>
        <v>42125.0</v>
      </c>
      <c r="G7728" t="str">
        <f>CHOOSE(WEEKDAY(A7728,2),"Mon","Tue","Wed","Thu","Fri","Sat","Sun")</f>
        <v>Wed</v>
      </c>
      <c r="H7728" t="str">
        <f>IF(WEEKDAY(A7728,2)&gt;5,"Weekend","Weekday")</f>
        <v>Weekday</v>
      </c>
      <c r="I7728" t="str">
        <f>_xlfn.IFS(B7728&lt;=5,"Night (0-5)",B7728&lt;=9,"Morning peak (6-9)",B7728&lt;=15,"Midday (10-15)",B7728&lt;=19,"Evening peak (16-19)",TRUE,"Late evening (20-23)")</f>
        <v>Morning peak (6-9)</v>
      </c>
    </row>
    <row r="7729" spans="1:9">
      <c r="A7729" s="32">
        <v>42144</v>
      </c>
      <c r="B7729">
        <v>10</v>
      </c>
      <c r="C7729">
        <v>3354</v>
      </c>
      <c r="D7729" t="s">
        <v>304</v>
      </c>
      <c r="E7729">
        <f>YEAR(A7729)</f>
        <v>2015</v>
      </c>
      <c r="F7729" s="33">
        <f>DATE(YEAR(A7729),MONTH(A7729),1)</f>
        <v>42125.0</v>
      </c>
      <c r="G7729" t="str">
        <f>CHOOSE(WEEKDAY(A7729,2),"Mon","Tue","Wed","Thu","Fri","Sat","Sun")</f>
        <v>Wed</v>
      </c>
      <c r="H7729" t="str">
        <f>IF(WEEKDAY(A7729,2)&gt;5,"Weekend","Weekday")</f>
        <v>Weekday</v>
      </c>
      <c r="I7729" t="str">
        <f>_xlfn.IFS(B7729&lt;=5,"Night (0-5)",B7729&lt;=9,"Morning peak (6-9)",B7729&lt;=15,"Midday (10-15)",B7729&lt;=19,"Evening peak (16-19)",TRUE,"Late evening (20-23)")</f>
        <v>Midday (10-15)</v>
      </c>
    </row>
    <row r="7730" spans="1:9">
      <c r="A7730" s="32">
        <v>42144</v>
      </c>
      <c r="B7730">
        <v>11</v>
      </c>
      <c r="C7730">
        <v>3160</v>
      </c>
      <c r="D7730" t="s">
        <v>304</v>
      </c>
      <c r="E7730">
        <f>YEAR(A7730)</f>
        <v>2015</v>
      </c>
      <c r="F7730" s="33">
        <f>DATE(YEAR(A7730),MONTH(A7730),1)</f>
        <v>42125.0</v>
      </c>
      <c r="G7730" t="str">
        <f>CHOOSE(WEEKDAY(A7730,2),"Mon","Tue","Wed","Thu","Fri","Sat","Sun")</f>
        <v>Wed</v>
      </c>
      <c r="H7730" t="str">
        <f>IF(WEEKDAY(A7730,2)&gt;5,"Weekend","Weekday")</f>
        <v>Weekday</v>
      </c>
      <c r="I7730" t="str">
        <f>_xlfn.IFS(B7730&lt;=5,"Night (0-5)",B7730&lt;=9,"Morning peak (6-9)",B7730&lt;=15,"Midday (10-15)",B7730&lt;=19,"Evening peak (16-19)",TRUE,"Late evening (20-23)")</f>
        <v>Midday (10-15)</v>
      </c>
    </row>
    <row r="7731" spans="1:9">
      <c r="A7731" s="32">
        <v>42144</v>
      </c>
      <c r="B7731">
        <v>12</v>
      </c>
      <c r="C7731">
        <v>3243</v>
      </c>
      <c r="D7731" t="s">
        <v>304</v>
      </c>
      <c r="E7731">
        <f>YEAR(A7731)</f>
        <v>2015</v>
      </c>
      <c r="F7731" s="33">
        <f>DATE(YEAR(A7731),MONTH(A7731),1)</f>
        <v>42125.0</v>
      </c>
      <c r="G7731" t="str">
        <f>CHOOSE(WEEKDAY(A7731,2),"Mon","Tue","Wed","Thu","Fri","Sat","Sun")</f>
        <v>Wed</v>
      </c>
      <c r="H7731" t="str">
        <f>IF(WEEKDAY(A7731,2)&gt;5,"Weekend","Weekday")</f>
        <v>Weekday</v>
      </c>
      <c r="I7731" t="str">
        <f>_xlfn.IFS(B7731&lt;=5,"Night (0-5)",B7731&lt;=9,"Morning peak (6-9)",B7731&lt;=15,"Midday (10-15)",B7731&lt;=19,"Evening peak (16-19)",TRUE,"Late evening (20-23)")</f>
        <v>Midday (10-15)</v>
      </c>
    </row>
    <row r="7732" spans="1:9">
      <c r="A7732" s="32">
        <v>42144</v>
      </c>
      <c r="B7732">
        <v>13</v>
      </c>
      <c r="C7732">
        <v>3269</v>
      </c>
      <c r="D7732" t="s">
        <v>304</v>
      </c>
      <c r="E7732">
        <f>YEAR(A7732)</f>
        <v>2015</v>
      </c>
      <c r="F7732" s="33">
        <f>DATE(YEAR(A7732),MONTH(A7732),1)</f>
        <v>42125.0</v>
      </c>
      <c r="G7732" t="str">
        <f>CHOOSE(WEEKDAY(A7732,2),"Mon","Tue","Wed","Thu","Fri","Sat","Sun")</f>
        <v>Wed</v>
      </c>
      <c r="H7732" t="str">
        <f>IF(WEEKDAY(A7732,2)&gt;5,"Weekend","Weekday")</f>
        <v>Weekday</v>
      </c>
      <c r="I7732" t="str">
        <f>_xlfn.IFS(B7732&lt;=5,"Night (0-5)",B7732&lt;=9,"Morning peak (6-9)",B7732&lt;=15,"Midday (10-15)",B7732&lt;=19,"Evening peak (16-19)",TRUE,"Late evening (20-23)")</f>
        <v>Midday (10-15)</v>
      </c>
    </row>
    <row r="7733" spans="1:9">
      <c r="A7733" s="32">
        <v>42144</v>
      </c>
      <c r="B7733">
        <v>14</v>
      </c>
      <c r="C7733">
        <v>3590</v>
      </c>
      <c r="D7733" t="s">
        <v>304</v>
      </c>
      <c r="E7733">
        <f>YEAR(A7733)</f>
        <v>2015</v>
      </c>
      <c r="F7733" s="33">
        <f>DATE(YEAR(A7733),MONTH(A7733),1)</f>
        <v>42125.0</v>
      </c>
      <c r="G7733" t="str">
        <f>CHOOSE(WEEKDAY(A7733,2),"Mon","Tue","Wed","Thu","Fri","Sat","Sun")</f>
        <v>Wed</v>
      </c>
      <c r="H7733" t="str">
        <f>IF(WEEKDAY(A7733,2)&gt;5,"Weekend","Weekday")</f>
        <v>Weekday</v>
      </c>
      <c r="I7733" t="str">
        <f>_xlfn.IFS(B7733&lt;=5,"Night (0-5)",B7733&lt;=9,"Morning peak (6-9)",B7733&lt;=15,"Midday (10-15)",B7733&lt;=19,"Evening peak (16-19)",TRUE,"Late evening (20-23)")</f>
        <v>Midday (10-15)</v>
      </c>
    </row>
    <row r="7734" spans="1:9">
      <c r="A7734" s="32">
        <v>42144</v>
      </c>
      <c r="B7734">
        <v>15</v>
      </c>
      <c r="C7734">
        <v>4190</v>
      </c>
      <c r="D7734" t="s">
        <v>304</v>
      </c>
      <c r="E7734">
        <f>YEAR(A7734)</f>
        <v>2015</v>
      </c>
      <c r="F7734" s="33">
        <f>DATE(YEAR(A7734),MONTH(A7734),1)</f>
        <v>42125.0</v>
      </c>
      <c r="G7734" t="str">
        <f>CHOOSE(WEEKDAY(A7734,2),"Mon","Tue","Wed","Thu","Fri","Sat","Sun")</f>
        <v>Wed</v>
      </c>
      <c r="H7734" t="str">
        <f>IF(WEEKDAY(A7734,2)&gt;5,"Weekend","Weekday")</f>
        <v>Weekday</v>
      </c>
      <c r="I7734" t="str">
        <f>_xlfn.IFS(B7734&lt;=5,"Night (0-5)",B7734&lt;=9,"Morning peak (6-9)",B7734&lt;=15,"Midday (10-15)",B7734&lt;=19,"Evening peak (16-19)",TRUE,"Late evening (20-23)")</f>
        <v>Midday (10-15)</v>
      </c>
    </row>
    <row r="7735" spans="1:9">
      <c r="A7735" s="32">
        <v>42144</v>
      </c>
      <c r="B7735">
        <v>16</v>
      </c>
      <c r="C7735">
        <v>4826</v>
      </c>
      <c r="D7735" t="s">
        <v>304</v>
      </c>
      <c r="E7735">
        <f>YEAR(A7735)</f>
        <v>2015</v>
      </c>
      <c r="F7735" s="33">
        <f>DATE(YEAR(A7735),MONTH(A7735),1)</f>
        <v>42125.0</v>
      </c>
      <c r="G7735" t="str">
        <f>CHOOSE(WEEKDAY(A7735,2),"Mon","Tue","Wed","Thu","Fri","Sat","Sun")</f>
        <v>Wed</v>
      </c>
      <c r="H7735" t="str">
        <f>IF(WEEKDAY(A7735,2)&gt;5,"Weekend","Weekday")</f>
        <v>Weekday</v>
      </c>
      <c r="I7735" t="str">
        <f>_xlfn.IFS(B7735&lt;=5,"Night (0-5)",B7735&lt;=9,"Morning peak (6-9)",B7735&lt;=15,"Midday (10-15)",B7735&lt;=19,"Evening peak (16-19)",TRUE,"Late evening (20-23)")</f>
        <v>Evening peak (16-19)</v>
      </c>
    </row>
    <row r="7736" spans="1:9">
      <c r="A7736" s="32">
        <v>42144</v>
      </c>
      <c r="B7736">
        <v>17</v>
      </c>
      <c r="C7736">
        <v>5451</v>
      </c>
      <c r="D7736" t="s">
        <v>304</v>
      </c>
      <c r="E7736">
        <f>YEAR(A7736)</f>
        <v>2015</v>
      </c>
      <c r="F7736" s="33">
        <f>DATE(YEAR(A7736),MONTH(A7736),1)</f>
        <v>42125.0</v>
      </c>
      <c r="G7736" t="str">
        <f>CHOOSE(WEEKDAY(A7736,2),"Mon","Tue","Wed","Thu","Fri","Sat","Sun")</f>
        <v>Wed</v>
      </c>
      <c r="H7736" t="str">
        <f>IF(WEEKDAY(A7736,2)&gt;5,"Weekend","Weekday")</f>
        <v>Weekday</v>
      </c>
      <c r="I7736" t="str">
        <f>_xlfn.IFS(B7736&lt;=5,"Night (0-5)",B7736&lt;=9,"Morning peak (6-9)",B7736&lt;=15,"Midday (10-15)",B7736&lt;=19,"Evening peak (16-19)",TRUE,"Late evening (20-23)")</f>
        <v>Evening peak (16-19)</v>
      </c>
    </row>
    <row r="7737" spans="1:9">
      <c r="A7737" s="32">
        <v>42144</v>
      </c>
      <c r="B7737">
        <v>18</v>
      </c>
      <c r="C7737">
        <v>6558</v>
      </c>
      <c r="D7737" t="s">
        <v>304</v>
      </c>
      <c r="E7737">
        <f>YEAR(A7737)</f>
        <v>2015</v>
      </c>
      <c r="F7737" s="33">
        <f>DATE(YEAR(A7737),MONTH(A7737),1)</f>
        <v>42125.0</v>
      </c>
      <c r="G7737" t="str">
        <f>CHOOSE(WEEKDAY(A7737,2),"Mon","Tue","Wed","Thu","Fri","Sat","Sun")</f>
        <v>Wed</v>
      </c>
      <c r="H7737" t="str">
        <f>IF(WEEKDAY(A7737,2)&gt;5,"Weekend","Weekday")</f>
        <v>Weekday</v>
      </c>
      <c r="I7737" t="str">
        <f>_xlfn.IFS(B7737&lt;=5,"Night (0-5)",B7737&lt;=9,"Morning peak (6-9)",B7737&lt;=15,"Midday (10-15)",B7737&lt;=19,"Evening peak (16-19)",TRUE,"Late evening (20-23)")</f>
        <v>Evening peak (16-19)</v>
      </c>
    </row>
    <row r="7738" spans="1:9">
      <c r="A7738" s="32">
        <v>42144</v>
      </c>
      <c r="B7738">
        <v>19</v>
      </c>
      <c r="C7738">
        <v>6595</v>
      </c>
      <c r="D7738" t="s">
        <v>304</v>
      </c>
      <c r="E7738">
        <f>YEAR(A7738)</f>
        <v>2015</v>
      </c>
      <c r="F7738" s="33">
        <f>DATE(YEAR(A7738),MONTH(A7738),1)</f>
        <v>42125.0</v>
      </c>
      <c r="G7738" t="str">
        <f>CHOOSE(WEEKDAY(A7738,2),"Mon","Tue","Wed","Thu","Fri","Sat","Sun")</f>
        <v>Wed</v>
      </c>
      <c r="H7738" t="str">
        <f>IF(WEEKDAY(A7738,2)&gt;5,"Weekend","Weekday")</f>
        <v>Weekday</v>
      </c>
      <c r="I7738" t="str">
        <f>_xlfn.IFS(B7738&lt;=5,"Night (0-5)",B7738&lt;=9,"Morning peak (6-9)",B7738&lt;=15,"Midday (10-15)",B7738&lt;=19,"Evening peak (16-19)",TRUE,"Late evening (20-23)")</f>
        <v>Evening peak (16-19)</v>
      </c>
    </row>
    <row r="7739" spans="1:9">
      <c r="A7739" s="32">
        <v>42144</v>
      </c>
      <c r="B7739">
        <v>20</v>
      </c>
      <c r="C7739">
        <v>6302</v>
      </c>
      <c r="D7739" t="s">
        <v>304</v>
      </c>
      <c r="E7739">
        <f>YEAR(A7739)</f>
        <v>2015</v>
      </c>
      <c r="F7739" s="33">
        <f>DATE(YEAR(A7739),MONTH(A7739),1)</f>
        <v>42125.0</v>
      </c>
      <c r="G7739" t="str">
        <f>CHOOSE(WEEKDAY(A7739,2),"Mon","Tue","Wed","Thu","Fri","Sat","Sun")</f>
        <v>Wed</v>
      </c>
      <c r="H7739" t="str">
        <f>IF(WEEKDAY(A7739,2)&gt;5,"Weekend","Weekday")</f>
        <v>Weekday</v>
      </c>
      <c r="I7739" t="str">
        <f>_xlfn.IFS(B7739&lt;=5,"Night (0-5)",B7739&lt;=9,"Morning peak (6-9)",B7739&lt;=15,"Midday (10-15)",B7739&lt;=19,"Evening peak (16-19)",TRUE,"Late evening (20-23)")</f>
        <v>Late evening (20-23)</v>
      </c>
    </row>
    <row r="7740" spans="1:9">
      <c r="A7740" s="32">
        <v>42144</v>
      </c>
      <c r="B7740">
        <v>21</v>
      </c>
      <c r="C7740">
        <v>6528</v>
      </c>
      <c r="D7740" t="s">
        <v>304</v>
      </c>
      <c r="E7740">
        <f>YEAR(A7740)</f>
        <v>2015</v>
      </c>
      <c r="F7740" s="33">
        <f>DATE(YEAR(A7740),MONTH(A7740),1)</f>
        <v>42125.0</v>
      </c>
      <c r="G7740" t="str">
        <f>CHOOSE(WEEKDAY(A7740,2),"Mon","Tue","Wed","Thu","Fri","Sat","Sun")</f>
        <v>Wed</v>
      </c>
      <c r="H7740" t="str">
        <f>IF(WEEKDAY(A7740,2)&gt;5,"Weekend","Weekday")</f>
        <v>Weekday</v>
      </c>
      <c r="I7740" t="str">
        <f>_xlfn.IFS(B7740&lt;=5,"Night (0-5)",B7740&lt;=9,"Morning peak (6-9)",B7740&lt;=15,"Midday (10-15)",B7740&lt;=19,"Evening peak (16-19)",TRUE,"Late evening (20-23)")</f>
        <v>Late evening (20-23)</v>
      </c>
    </row>
    <row r="7741" spans="1:9">
      <c r="A7741" s="32">
        <v>42144</v>
      </c>
      <c r="B7741">
        <v>22</v>
      </c>
      <c r="C7741">
        <v>6225</v>
      </c>
      <c r="D7741" t="s">
        <v>304</v>
      </c>
      <c r="E7741">
        <f>YEAR(A7741)</f>
        <v>2015</v>
      </c>
      <c r="F7741" s="33">
        <f>DATE(YEAR(A7741),MONTH(A7741),1)</f>
        <v>42125.0</v>
      </c>
      <c r="G7741" t="str">
        <f>CHOOSE(WEEKDAY(A7741,2),"Mon","Tue","Wed","Thu","Fri","Sat","Sun")</f>
        <v>Wed</v>
      </c>
      <c r="H7741" t="str">
        <f>IF(WEEKDAY(A7741,2)&gt;5,"Weekend","Weekday")</f>
        <v>Weekday</v>
      </c>
      <c r="I7741" t="str">
        <f>_xlfn.IFS(B7741&lt;=5,"Night (0-5)",B7741&lt;=9,"Morning peak (6-9)",B7741&lt;=15,"Midday (10-15)",B7741&lt;=19,"Evening peak (16-19)",TRUE,"Late evening (20-23)")</f>
        <v>Late evening (20-23)</v>
      </c>
    </row>
    <row r="7742" spans="1:9">
      <c r="A7742" s="32">
        <v>42144</v>
      </c>
      <c r="B7742">
        <v>23</v>
      </c>
      <c r="C7742">
        <v>5549</v>
      </c>
      <c r="D7742" t="s">
        <v>304</v>
      </c>
      <c r="E7742">
        <f>YEAR(A7742)</f>
        <v>2015</v>
      </c>
      <c r="F7742" s="33">
        <f>DATE(YEAR(A7742),MONTH(A7742),1)</f>
        <v>42125.0</v>
      </c>
      <c r="G7742" t="str">
        <f>CHOOSE(WEEKDAY(A7742,2),"Mon","Tue","Wed","Thu","Fri","Sat","Sun")</f>
        <v>Wed</v>
      </c>
      <c r="H7742" t="str">
        <f>IF(WEEKDAY(A7742,2)&gt;5,"Weekend","Weekday")</f>
        <v>Weekday</v>
      </c>
      <c r="I7742" t="str">
        <f>_xlfn.IFS(B7742&lt;=5,"Night (0-5)",B7742&lt;=9,"Morning peak (6-9)",B7742&lt;=15,"Midday (10-15)",B7742&lt;=19,"Evening peak (16-19)",TRUE,"Late evening (20-23)")</f>
        <v>Late evening (20-23)</v>
      </c>
    </row>
    <row r="7743" spans="1:9">
      <c r="A7743" s="32">
        <v>42145</v>
      </c>
      <c r="B7743">
        <v>0</v>
      </c>
      <c r="C7743">
        <v>3218</v>
      </c>
      <c r="D7743" t="s">
        <v>304</v>
      </c>
      <c r="E7743">
        <f>YEAR(A7743)</f>
        <v>2015</v>
      </c>
      <c r="F7743" s="33">
        <f>DATE(YEAR(A7743),MONTH(A7743),1)</f>
        <v>42125.0</v>
      </c>
      <c r="G7743" t="str">
        <f>CHOOSE(WEEKDAY(A7743,2),"Mon","Tue","Wed","Thu","Fri","Sat","Sun")</f>
        <v>Thu</v>
      </c>
      <c r="H7743" t="str">
        <f>IF(WEEKDAY(A7743,2)&gt;5,"Weekend","Weekday")</f>
        <v>Weekday</v>
      </c>
      <c r="I7743" t="str">
        <f>_xlfn.IFS(B7743&lt;=5,"Night (0-5)",B7743&lt;=9,"Morning peak (6-9)",B7743&lt;=15,"Midday (10-15)",B7743&lt;=19,"Evening peak (16-19)",TRUE,"Late evening (20-23)")</f>
        <v>Night (0-5)</v>
      </c>
    </row>
    <row r="7744" spans="1:9">
      <c r="A7744" s="32">
        <v>42145</v>
      </c>
      <c r="B7744">
        <v>1</v>
      </c>
      <c r="C7744">
        <v>1805</v>
      </c>
      <c r="D7744" t="s">
        <v>304</v>
      </c>
      <c r="E7744">
        <f>YEAR(A7744)</f>
        <v>2015</v>
      </c>
      <c r="F7744" s="33">
        <f>DATE(YEAR(A7744),MONTH(A7744),1)</f>
        <v>42125.0</v>
      </c>
      <c r="G7744" t="str">
        <f>CHOOSE(WEEKDAY(A7744,2),"Mon","Tue","Wed","Thu","Fri","Sat","Sun")</f>
        <v>Thu</v>
      </c>
      <c r="H7744" t="str">
        <f>IF(WEEKDAY(A7744,2)&gt;5,"Weekend","Weekday")</f>
        <v>Weekday</v>
      </c>
      <c r="I7744" t="str">
        <f>_xlfn.IFS(B7744&lt;=5,"Night (0-5)",B7744&lt;=9,"Morning peak (6-9)",B7744&lt;=15,"Midday (10-15)",B7744&lt;=19,"Evening peak (16-19)",TRUE,"Late evening (20-23)")</f>
        <v>Night (0-5)</v>
      </c>
    </row>
    <row r="7745" spans="1:9">
      <c r="A7745" s="32">
        <v>42145</v>
      </c>
      <c r="B7745">
        <v>2</v>
      </c>
      <c r="C7745">
        <v>1019</v>
      </c>
      <c r="D7745" t="s">
        <v>304</v>
      </c>
      <c r="E7745">
        <f>YEAR(A7745)</f>
        <v>2015</v>
      </c>
      <c r="F7745" s="33">
        <f>DATE(YEAR(A7745),MONTH(A7745),1)</f>
        <v>42125.0</v>
      </c>
      <c r="G7745" t="str">
        <f>CHOOSE(WEEKDAY(A7745,2),"Mon","Tue","Wed","Thu","Fri","Sat","Sun")</f>
        <v>Thu</v>
      </c>
      <c r="H7745" t="str">
        <f>IF(WEEKDAY(A7745,2)&gt;5,"Weekend","Weekday")</f>
        <v>Weekday</v>
      </c>
      <c r="I7745" t="str">
        <f>_xlfn.IFS(B7745&lt;=5,"Night (0-5)",B7745&lt;=9,"Morning peak (6-9)",B7745&lt;=15,"Midday (10-15)",B7745&lt;=19,"Evening peak (16-19)",TRUE,"Late evening (20-23)")</f>
        <v>Night (0-5)</v>
      </c>
    </row>
    <row r="7746" spans="1:9">
      <c r="A7746" s="32">
        <v>42145</v>
      </c>
      <c r="B7746">
        <v>3</v>
      </c>
      <c r="C7746">
        <v>715</v>
      </c>
      <c r="D7746" t="s">
        <v>304</v>
      </c>
      <c r="E7746">
        <f>YEAR(A7746)</f>
        <v>2015</v>
      </c>
      <c r="F7746" s="33">
        <f>DATE(YEAR(A7746),MONTH(A7746),1)</f>
        <v>42125.0</v>
      </c>
      <c r="G7746" t="str">
        <f>CHOOSE(WEEKDAY(A7746,2),"Mon","Tue","Wed","Thu","Fri","Sat","Sun")</f>
        <v>Thu</v>
      </c>
      <c r="H7746" t="str">
        <f>IF(WEEKDAY(A7746,2)&gt;5,"Weekend","Weekday")</f>
        <v>Weekday</v>
      </c>
      <c r="I7746" t="str">
        <f>_xlfn.IFS(B7746&lt;=5,"Night (0-5)",B7746&lt;=9,"Morning peak (6-9)",B7746&lt;=15,"Midday (10-15)",B7746&lt;=19,"Evening peak (16-19)",TRUE,"Late evening (20-23)")</f>
        <v>Night (0-5)</v>
      </c>
    </row>
    <row r="7747" spans="1:9">
      <c r="A7747" s="32">
        <v>42145</v>
      </c>
      <c r="B7747">
        <v>4</v>
      </c>
      <c r="C7747">
        <v>990</v>
      </c>
      <c r="D7747" t="s">
        <v>304</v>
      </c>
      <c r="E7747">
        <f>YEAR(A7747)</f>
        <v>2015</v>
      </c>
      <c r="F7747" s="33">
        <f>DATE(YEAR(A7747),MONTH(A7747),1)</f>
        <v>42125.0</v>
      </c>
      <c r="G7747" t="str">
        <f>CHOOSE(WEEKDAY(A7747,2),"Mon","Tue","Wed","Thu","Fri","Sat","Sun")</f>
        <v>Thu</v>
      </c>
      <c r="H7747" t="str">
        <f>IF(WEEKDAY(A7747,2)&gt;5,"Weekend","Weekday")</f>
        <v>Weekday</v>
      </c>
      <c r="I7747" t="str">
        <f>_xlfn.IFS(B7747&lt;=5,"Night (0-5)",B7747&lt;=9,"Morning peak (6-9)",B7747&lt;=15,"Midday (10-15)",B7747&lt;=19,"Evening peak (16-19)",TRUE,"Late evening (20-23)")</f>
        <v>Night (0-5)</v>
      </c>
    </row>
    <row r="7748" spans="1:9">
      <c r="A7748" s="32">
        <v>42145</v>
      </c>
      <c r="B7748">
        <v>5</v>
      </c>
      <c r="C7748">
        <v>1423</v>
      </c>
      <c r="D7748" t="s">
        <v>304</v>
      </c>
      <c r="E7748">
        <f>YEAR(A7748)</f>
        <v>2015</v>
      </c>
      <c r="F7748" s="33">
        <f>DATE(YEAR(A7748),MONTH(A7748),1)</f>
        <v>42125.0</v>
      </c>
      <c r="G7748" t="str">
        <f>CHOOSE(WEEKDAY(A7748,2),"Mon","Tue","Wed","Thu","Fri","Sat","Sun")</f>
        <v>Thu</v>
      </c>
      <c r="H7748" t="str">
        <f>IF(WEEKDAY(A7748,2)&gt;5,"Weekend","Weekday")</f>
        <v>Weekday</v>
      </c>
      <c r="I7748" t="str">
        <f>_xlfn.IFS(B7748&lt;=5,"Night (0-5)",B7748&lt;=9,"Morning peak (6-9)",B7748&lt;=15,"Midday (10-15)",B7748&lt;=19,"Evening peak (16-19)",TRUE,"Late evening (20-23)")</f>
        <v>Night (0-5)</v>
      </c>
    </row>
    <row r="7749" spans="1:9">
      <c r="A7749" s="32">
        <v>42145</v>
      </c>
      <c r="B7749">
        <v>6</v>
      </c>
      <c r="C7749">
        <v>2183</v>
      </c>
      <c r="D7749" t="s">
        <v>304</v>
      </c>
      <c r="E7749">
        <f>YEAR(A7749)</f>
        <v>2015</v>
      </c>
      <c r="F7749" s="33">
        <f>DATE(YEAR(A7749),MONTH(A7749),1)</f>
        <v>42125.0</v>
      </c>
      <c r="G7749" t="str">
        <f>CHOOSE(WEEKDAY(A7749,2),"Mon","Tue","Wed","Thu","Fri","Sat","Sun")</f>
        <v>Thu</v>
      </c>
      <c r="H7749" t="str">
        <f>IF(WEEKDAY(A7749,2)&gt;5,"Weekend","Weekday")</f>
        <v>Weekday</v>
      </c>
      <c r="I7749" t="str">
        <f>_xlfn.IFS(B7749&lt;=5,"Night (0-5)",B7749&lt;=9,"Morning peak (6-9)",B7749&lt;=15,"Midday (10-15)",B7749&lt;=19,"Evening peak (16-19)",TRUE,"Late evening (20-23)")</f>
        <v>Morning peak (6-9)</v>
      </c>
    </row>
    <row r="7750" spans="1:9">
      <c r="A7750" s="32">
        <v>42145</v>
      </c>
      <c r="B7750">
        <v>7</v>
      </c>
      <c r="C7750">
        <v>3371</v>
      </c>
      <c r="D7750" t="s">
        <v>304</v>
      </c>
      <c r="E7750">
        <f>YEAR(A7750)</f>
        <v>2015</v>
      </c>
      <c r="F7750" s="33">
        <f>DATE(YEAR(A7750),MONTH(A7750),1)</f>
        <v>42125.0</v>
      </c>
      <c r="G7750" t="str">
        <f>CHOOSE(WEEKDAY(A7750,2),"Mon","Tue","Wed","Thu","Fri","Sat","Sun")</f>
        <v>Thu</v>
      </c>
      <c r="H7750" t="str">
        <f>IF(WEEKDAY(A7750,2)&gt;5,"Weekend","Weekday")</f>
        <v>Weekday</v>
      </c>
      <c r="I7750" t="str">
        <f>_xlfn.IFS(B7750&lt;=5,"Night (0-5)",B7750&lt;=9,"Morning peak (6-9)",B7750&lt;=15,"Midday (10-15)",B7750&lt;=19,"Evening peak (16-19)",TRUE,"Late evening (20-23)")</f>
        <v>Morning peak (6-9)</v>
      </c>
    </row>
    <row r="7751" spans="1:9">
      <c r="A7751" s="32">
        <v>42145</v>
      </c>
      <c r="B7751">
        <v>8</v>
      </c>
      <c r="C7751">
        <v>4409</v>
      </c>
      <c r="D7751" t="s">
        <v>304</v>
      </c>
      <c r="E7751">
        <f>YEAR(A7751)</f>
        <v>2015</v>
      </c>
      <c r="F7751" s="33">
        <f>DATE(YEAR(A7751),MONTH(A7751),1)</f>
        <v>42125.0</v>
      </c>
      <c r="G7751" t="str">
        <f>CHOOSE(WEEKDAY(A7751,2),"Mon","Tue","Wed","Thu","Fri","Sat","Sun")</f>
        <v>Thu</v>
      </c>
      <c r="H7751" t="str">
        <f>IF(WEEKDAY(A7751,2)&gt;5,"Weekend","Weekday")</f>
        <v>Weekday</v>
      </c>
      <c r="I7751" t="str">
        <f>_xlfn.IFS(B7751&lt;=5,"Night (0-5)",B7751&lt;=9,"Morning peak (6-9)",B7751&lt;=15,"Midday (10-15)",B7751&lt;=19,"Evening peak (16-19)",TRUE,"Late evening (20-23)")</f>
        <v>Morning peak (6-9)</v>
      </c>
    </row>
    <row r="7752" spans="1:9">
      <c r="A7752" s="32">
        <v>42145</v>
      </c>
      <c r="B7752">
        <v>9</v>
      </c>
      <c r="C7752">
        <v>4329</v>
      </c>
      <c r="D7752" t="s">
        <v>304</v>
      </c>
      <c r="E7752">
        <f>YEAR(A7752)</f>
        <v>2015</v>
      </c>
      <c r="F7752" s="33">
        <f>DATE(YEAR(A7752),MONTH(A7752),1)</f>
        <v>42125.0</v>
      </c>
      <c r="G7752" t="str">
        <f>CHOOSE(WEEKDAY(A7752,2),"Mon","Tue","Wed","Thu","Fri","Sat","Sun")</f>
        <v>Thu</v>
      </c>
      <c r="H7752" t="str">
        <f>IF(WEEKDAY(A7752,2)&gt;5,"Weekend","Weekday")</f>
        <v>Weekday</v>
      </c>
      <c r="I7752" t="str">
        <f>_xlfn.IFS(B7752&lt;=5,"Night (0-5)",B7752&lt;=9,"Morning peak (6-9)",B7752&lt;=15,"Midday (10-15)",B7752&lt;=19,"Evening peak (16-19)",TRUE,"Late evening (20-23)")</f>
        <v>Morning peak (6-9)</v>
      </c>
    </row>
    <row r="7753" spans="1:9">
      <c r="A7753" s="32">
        <v>42145</v>
      </c>
      <c r="B7753">
        <v>10</v>
      </c>
      <c r="C7753">
        <v>3441</v>
      </c>
      <c r="D7753" t="s">
        <v>304</v>
      </c>
      <c r="E7753">
        <f>YEAR(A7753)</f>
        <v>2015</v>
      </c>
      <c r="F7753" s="33">
        <f>DATE(YEAR(A7753),MONTH(A7753),1)</f>
        <v>42125.0</v>
      </c>
      <c r="G7753" t="str">
        <f>CHOOSE(WEEKDAY(A7753,2),"Mon","Tue","Wed","Thu","Fri","Sat","Sun")</f>
        <v>Thu</v>
      </c>
      <c r="H7753" t="str">
        <f>IF(WEEKDAY(A7753,2)&gt;5,"Weekend","Weekday")</f>
        <v>Weekday</v>
      </c>
      <c r="I7753" t="str">
        <f>_xlfn.IFS(B7753&lt;=5,"Night (0-5)",B7753&lt;=9,"Morning peak (6-9)",B7753&lt;=15,"Midday (10-15)",B7753&lt;=19,"Evening peak (16-19)",TRUE,"Late evening (20-23)")</f>
        <v>Midday (10-15)</v>
      </c>
    </row>
    <row r="7754" spans="1:9">
      <c r="A7754" s="32">
        <v>42145</v>
      </c>
      <c r="B7754">
        <v>11</v>
      </c>
      <c r="C7754">
        <v>3327</v>
      </c>
      <c r="D7754" t="s">
        <v>304</v>
      </c>
      <c r="E7754">
        <f>YEAR(A7754)</f>
        <v>2015</v>
      </c>
      <c r="F7754" s="33">
        <f>DATE(YEAR(A7754),MONTH(A7754),1)</f>
        <v>42125.0</v>
      </c>
      <c r="G7754" t="str">
        <f>CHOOSE(WEEKDAY(A7754,2),"Mon","Tue","Wed","Thu","Fri","Sat","Sun")</f>
        <v>Thu</v>
      </c>
      <c r="H7754" t="str">
        <f>IF(WEEKDAY(A7754,2)&gt;5,"Weekend","Weekday")</f>
        <v>Weekday</v>
      </c>
      <c r="I7754" t="str">
        <f>_xlfn.IFS(B7754&lt;=5,"Night (0-5)",B7754&lt;=9,"Morning peak (6-9)",B7754&lt;=15,"Midday (10-15)",B7754&lt;=19,"Evening peak (16-19)",TRUE,"Late evening (20-23)")</f>
        <v>Midday (10-15)</v>
      </c>
    </row>
    <row r="7755" spans="1:9">
      <c r="A7755" s="32">
        <v>42145</v>
      </c>
      <c r="B7755">
        <v>12</v>
      </c>
      <c r="C7755">
        <v>3327</v>
      </c>
      <c r="D7755" t="s">
        <v>304</v>
      </c>
      <c r="E7755">
        <f>YEAR(A7755)</f>
        <v>2015</v>
      </c>
      <c r="F7755" s="33">
        <f>DATE(YEAR(A7755),MONTH(A7755),1)</f>
        <v>42125.0</v>
      </c>
      <c r="G7755" t="str">
        <f>CHOOSE(WEEKDAY(A7755,2),"Mon","Tue","Wed","Thu","Fri","Sat","Sun")</f>
        <v>Thu</v>
      </c>
      <c r="H7755" t="str">
        <f>IF(WEEKDAY(A7755,2)&gt;5,"Weekend","Weekday")</f>
        <v>Weekday</v>
      </c>
      <c r="I7755" t="str">
        <f>_xlfn.IFS(B7755&lt;=5,"Night (0-5)",B7755&lt;=9,"Morning peak (6-9)",B7755&lt;=15,"Midday (10-15)",B7755&lt;=19,"Evening peak (16-19)",TRUE,"Late evening (20-23)")</f>
        <v>Midday (10-15)</v>
      </c>
    </row>
    <row r="7756" spans="1:9">
      <c r="A7756" s="32">
        <v>42145</v>
      </c>
      <c r="B7756">
        <v>13</v>
      </c>
      <c r="C7756">
        <v>3608</v>
      </c>
      <c r="D7756" t="s">
        <v>304</v>
      </c>
      <c r="E7756">
        <f>YEAR(A7756)</f>
        <v>2015</v>
      </c>
      <c r="F7756" s="33">
        <f>DATE(YEAR(A7756),MONTH(A7756),1)</f>
        <v>42125.0</v>
      </c>
      <c r="G7756" t="str">
        <f>CHOOSE(WEEKDAY(A7756,2),"Mon","Tue","Wed","Thu","Fri","Sat","Sun")</f>
        <v>Thu</v>
      </c>
      <c r="H7756" t="str">
        <f>IF(WEEKDAY(A7756,2)&gt;5,"Weekend","Weekday")</f>
        <v>Weekday</v>
      </c>
      <c r="I7756" t="str">
        <f>_xlfn.IFS(B7756&lt;=5,"Night (0-5)",B7756&lt;=9,"Morning peak (6-9)",B7756&lt;=15,"Midday (10-15)",B7756&lt;=19,"Evening peak (16-19)",TRUE,"Late evening (20-23)")</f>
        <v>Midday (10-15)</v>
      </c>
    </row>
    <row r="7757" spans="1:9">
      <c r="A7757" s="32">
        <v>42145</v>
      </c>
      <c r="B7757">
        <v>14</v>
      </c>
      <c r="C7757">
        <v>3828</v>
      </c>
      <c r="D7757" t="s">
        <v>304</v>
      </c>
      <c r="E7757">
        <f>YEAR(A7757)</f>
        <v>2015</v>
      </c>
      <c r="F7757" s="33">
        <f>DATE(YEAR(A7757),MONTH(A7757),1)</f>
        <v>42125.0</v>
      </c>
      <c r="G7757" t="str">
        <f>CHOOSE(WEEKDAY(A7757,2),"Mon","Tue","Wed","Thu","Fri","Sat","Sun")</f>
        <v>Thu</v>
      </c>
      <c r="H7757" t="str">
        <f>IF(WEEKDAY(A7757,2)&gt;5,"Weekend","Weekday")</f>
        <v>Weekday</v>
      </c>
      <c r="I7757" t="str">
        <f>_xlfn.IFS(B7757&lt;=5,"Night (0-5)",B7757&lt;=9,"Morning peak (6-9)",B7757&lt;=15,"Midday (10-15)",B7757&lt;=19,"Evening peak (16-19)",TRUE,"Late evening (20-23)")</f>
        <v>Midday (10-15)</v>
      </c>
    </row>
    <row r="7758" spans="1:9">
      <c r="A7758" s="32">
        <v>42145</v>
      </c>
      <c r="B7758">
        <v>15</v>
      </c>
      <c r="C7758">
        <v>4470</v>
      </c>
      <c r="D7758" t="s">
        <v>304</v>
      </c>
      <c r="E7758">
        <f>YEAR(A7758)</f>
        <v>2015</v>
      </c>
      <c r="F7758" s="33">
        <f>DATE(YEAR(A7758),MONTH(A7758),1)</f>
        <v>42125.0</v>
      </c>
      <c r="G7758" t="str">
        <f>CHOOSE(WEEKDAY(A7758,2),"Mon","Tue","Wed","Thu","Fri","Sat","Sun")</f>
        <v>Thu</v>
      </c>
      <c r="H7758" t="str">
        <f>IF(WEEKDAY(A7758,2)&gt;5,"Weekend","Weekday")</f>
        <v>Weekday</v>
      </c>
      <c r="I7758" t="str">
        <f>_xlfn.IFS(B7758&lt;=5,"Night (0-5)",B7758&lt;=9,"Morning peak (6-9)",B7758&lt;=15,"Midday (10-15)",B7758&lt;=19,"Evening peak (16-19)",TRUE,"Late evening (20-23)")</f>
        <v>Midday (10-15)</v>
      </c>
    </row>
    <row r="7759" spans="1:9">
      <c r="A7759" s="32">
        <v>42145</v>
      </c>
      <c r="B7759">
        <v>16</v>
      </c>
      <c r="C7759">
        <v>4959</v>
      </c>
      <c r="D7759" t="s">
        <v>304</v>
      </c>
      <c r="E7759">
        <f>YEAR(A7759)</f>
        <v>2015</v>
      </c>
      <c r="F7759" s="33">
        <f>DATE(YEAR(A7759),MONTH(A7759),1)</f>
        <v>42125.0</v>
      </c>
      <c r="G7759" t="str">
        <f>CHOOSE(WEEKDAY(A7759,2),"Mon","Tue","Wed","Thu","Fri","Sat","Sun")</f>
        <v>Thu</v>
      </c>
      <c r="H7759" t="str">
        <f>IF(WEEKDAY(A7759,2)&gt;5,"Weekend","Weekday")</f>
        <v>Weekday</v>
      </c>
      <c r="I7759" t="str">
        <f>_xlfn.IFS(B7759&lt;=5,"Night (0-5)",B7759&lt;=9,"Morning peak (6-9)",B7759&lt;=15,"Midday (10-15)",B7759&lt;=19,"Evening peak (16-19)",TRUE,"Late evening (20-23)")</f>
        <v>Evening peak (16-19)</v>
      </c>
    </row>
    <row r="7760" spans="1:9">
      <c r="A7760" s="32">
        <v>42145</v>
      </c>
      <c r="B7760">
        <v>17</v>
      </c>
      <c r="C7760">
        <v>5635</v>
      </c>
      <c r="D7760" t="s">
        <v>304</v>
      </c>
      <c r="E7760">
        <f>YEAR(A7760)</f>
        <v>2015</v>
      </c>
      <c r="F7760" s="33">
        <f>DATE(YEAR(A7760),MONTH(A7760),1)</f>
        <v>42125.0</v>
      </c>
      <c r="G7760" t="str">
        <f>CHOOSE(WEEKDAY(A7760,2),"Mon","Tue","Wed","Thu","Fri","Sat","Sun")</f>
        <v>Thu</v>
      </c>
      <c r="H7760" t="str">
        <f>IF(WEEKDAY(A7760,2)&gt;5,"Weekend","Weekday")</f>
        <v>Weekday</v>
      </c>
      <c r="I7760" t="str">
        <f>_xlfn.IFS(B7760&lt;=5,"Night (0-5)",B7760&lt;=9,"Morning peak (6-9)",B7760&lt;=15,"Midday (10-15)",B7760&lt;=19,"Evening peak (16-19)",TRUE,"Late evening (20-23)")</f>
        <v>Evening peak (16-19)</v>
      </c>
    </row>
    <row r="7761" spans="1:9">
      <c r="A7761" s="32">
        <v>42145</v>
      </c>
      <c r="B7761">
        <v>18</v>
      </c>
      <c r="C7761">
        <v>6627</v>
      </c>
      <c r="D7761" t="s">
        <v>304</v>
      </c>
      <c r="E7761">
        <f>YEAR(A7761)</f>
        <v>2015</v>
      </c>
      <c r="F7761" s="33">
        <f>DATE(YEAR(A7761),MONTH(A7761),1)</f>
        <v>42125.0</v>
      </c>
      <c r="G7761" t="str">
        <f>CHOOSE(WEEKDAY(A7761,2),"Mon","Tue","Wed","Thu","Fri","Sat","Sun")</f>
        <v>Thu</v>
      </c>
      <c r="H7761" t="str">
        <f>IF(WEEKDAY(A7761,2)&gt;5,"Weekend","Weekday")</f>
        <v>Weekday</v>
      </c>
      <c r="I7761" t="str">
        <f>_xlfn.IFS(B7761&lt;=5,"Night (0-5)",B7761&lt;=9,"Morning peak (6-9)",B7761&lt;=15,"Midday (10-15)",B7761&lt;=19,"Evening peak (16-19)",TRUE,"Late evening (20-23)")</f>
        <v>Evening peak (16-19)</v>
      </c>
    </row>
    <row r="7762" spans="1:9">
      <c r="A7762" s="32">
        <v>42145</v>
      </c>
      <c r="B7762">
        <v>19</v>
      </c>
      <c r="C7762">
        <v>6683</v>
      </c>
      <c r="D7762" t="s">
        <v>304</v>
      </c>
      <c r="E7762">
        <f>YEAR(A7762)</f>
        <v>2015</v>
      </c>
      <c r="F7762" s="33">
        <f>DATE(YEAR(A7762),MONTH(A7762),1)</f>
        <v>42125.0</v>
      </c>
      <c r="G7762" t="str">
        <f>CHOOSE(WEEKDAY(A7762,2),"Mon","Tue","Wed","Thu","Fri","Sat","Sun")</f>
        <v>Thu</v>
      </c>
      <c r="H7762" t="str">
        <f>IF(WEEKDAY(A7762,2)&gt;5,"Weekend","Weekday")</f>
        <v>Weekday</v>
      </c>
      <c r="I7762" t="str">
        <f>_xlfn.IFS(B7762&lt;=5,"Night (0-5)",B7762&lt;=9,"Morning peak (6-9)",B7762&lt;=15,"Midday (10-15)",B7762&lt;=19,"Evening peak (16-19)",TRUE,"Late evening (20-23)")</f>
        <v>Evening peak (16-19)</v>
      </c>
    </row>
    <row r="7763" spans="1:9">
      <c r="A7763" s="32">
        <v>42145</v>
      </c>
      <c r="B7763">
        <v>20</v>
      </c>
      <c r="C7763">
        <v>6521</v>
      </c>
      <c r="D7763" t="s">
        <v>304</v>
      </c>
      <c r="E7763">
        <f>YEAR(A7763)</f>
        <v>2015</v>
      </c>
      <c r="F7763" s="33">
        <f>DATE(YEAR(A7763),MONTH(A7763),1)</f>
        <v>42125.0</v>
      </c>
      <c r="G7763" t="str">
        <f>CHOOSE(WEEKDAY(A7763,2),"Mon","Tue","Wed","Thu","Fri","Sat","Sun")</f>
        <v>Thu</v>
      </c>
      <c r="H7763" t="str">
        <f>IF(WEEKDAY(A7763,2)&gt;5,"Weekend","Weekday")</f>
        <v>Weekday</v>
      </c>
      <c r="I7763" t="str">
        <f>_xlfn.IFS(B7763&lt;=5,"Night (0-5)",B7763&lt;=9,"Morning peak (6-9)",B7763&lt;=15,"Midday (10-15)",B7763&lt;=19,"Evening peak (16-19)",TRUE,"Late evening (20-23)")</f>
        <v>Late evening (20-23)</v>
      </c>
    </row>
    <row r="7764" spans="1:9">
      <c r="A7764" s="32">
        <v>42145</v>
      </c>
      <c r="B7764">
        <v>21</v>
      </c>
      <c r="C7764">
        <v>6841</v>
      </c>
      <c r="D7764" t="s">
        <v>304</v>
      </c>
      <c r="E7764">
        <f>YEAR(A7764)</f>
        <v>2015</v>
      </c>
      <c r="F7764" s="33">
        <f>DATE(YEAR(A7764),MONTH(A7764),1)</f>
        <v>42125.0</v>
      </c>
      <c r="G7764" t="str">
        <f>CHOOSE(WEEKDAY(A7764,2),"Mon","Tue","Wed","Thu","Fri","Sat","Sun")</f>
        <v>Thu</v>
      </c>
      <c r="H7764" t="str">
        <f>IF(WEEKDAY(A7764,2)&gt;5,"Weekend","Weekday")</f>
        <v>Weekday</v>
      </c>
      <c r="I7764" t="str">
        <f>_xlfn.IFS(B7764&lt;=5,"Night (0-5)",B7764&lt;=9,"Morning peak (6-9)",B7764&lt;=15,"Midday (10-15)",B7764&lt;=19,"Evening peak (16-19)",TRUE,"Late evening (20-23)")</f>
        <v>Late evening (20-23)</v>
      </c>
    </row>
    <row r="7765" spans="1:9">
      <c r="A7765" s="32">
        <v>42145</v>
      </c>
      <c r="B7765">
        <v>22</v>
      </c>
      <c r="C7765">
        <v>6660</v>
      </c>
      <c r="D7765" t="s">
        <v>304</v>
      </c>
      <c r="E7765">
        <f>YEAR(A7765)</f>
        <v>2015</v>
      </c>
      <c r="F7765" s="33">
        <f>DATE(YEAR(A7765),MONTH(A7765),1)</f>
        <v>42125.0</v>
      </c>
      <c r="G7765" t="str">
        <f>CHOOSE(WEEKDAY(A7765,2),"Mon","Tue","Wed","Thu","Fri","Sat","Sun")</f>
        <v>Thu</v>
      </c>
      <c r="H7765" t="str">
        <f>IF(WEEKDAY(A7765,2)&gt;5,"Weekend","Weekday")</f>
        <v>Weekday</v>
      </c>
      <c r="I7765" t="str">
        <f>_xlfn.IFS(B7765&lt;=5,"Night (0-5)",B7765&lt;=9,"Morning peak (6-9)",B7765&lt;=15,"Midday (10-15)",B7765&lt;=19,"Evening peak (16-19)",TRUE,"Late evening (20-23)")</f>
        <v>Late evening (20-23)</v>
      </c>
    </row>
    <row r="7766" spans="1:9">
      <c r="A7766" s="32">
        <v>42145</v>
      </c>
      <c r="B7766">
        <v>23</v>
      </c>
      <c r="C7766">
        <v>5757</v>
      </c>
      <c r="D7766" t="s">
        <v>304</v>
      </c>
      <c r="E7766">
        <f>YEAR(A7766)</f>
        <v>2015</v>
      </c>
      <c r="F7766" s="33">
        <f>DATE(YEAR(A7766),MONTH(A7766),1)</f>
        <v>42125.0</v>
      </c>
      <c r="G7766" t="str">
        <f>CHOOSE(WEEKDAY(A7766,2),"Mon","Tue","Wed","Thu","Fri","Sat","Sun")</f>
        <v>Thu</v>
      </c>
      <c r="H7766" t="str">
        <f>IF(WEEKDAY(A7766,2)&gt;5,"Weekend","Weekday")</f>
        <v>Weekday</v>
      </c>
      <c r="I7766" t="str">
        <f>_xlfn.IFS(B7766&lt;=5,"Night (0-5)",B7766&lt;=9,"Morning peak (6-9)",B7766&lt;=15,"Midday (10-15)",B7766&lt;=19,"Evening peak (16-19)",TRUE,"Late evening (20-23)")</f>
        <v>Late evening (20-23)</v>
      </c>
    </row>
    <row r="7767" spans="1:9">
      <c r="A7767" s="32">
        <v>42146</v>
      </c>
      <c r="B7767">
        <v>0</v>
      </c>
      <c r="C7767">
        <v>3903</v>
      </c>
      <c r="D7767" t="s">
        <v>304</v>
      </c>
      <c r="E7767">
        <f>YEAR(A7767)</f>
        <v>2015</v>
      </c>
      <c r="F7767" s="33">
        <f>DATE(YEAR(A7767),MONTH(A7767),1)</f>
        <v>42125.0</v>
      </c>
      <c r="G7767" t="str">
        <f>CHOOSE(WEEKDAY(A7767,2),"Mon","Tue","Wed","Thu","Fri","Sat","Sun")</f>
        <v>Fri</v>
      </c>
      <c r="H7767" t="str">
        <f>IF(WEEKDAY(A7767,2)&gt;5,"Weekend","Weekday")</f>
        <v>Weekday</v>
      </c>
      <c r="I7767" t="str">
        <f>_xlfn.IFS(B7767&lt;=5,"Night (0-5)",B7767&lt;=9,"Morning peak (6-9)",B7767&lt;=15,"Midday (10-15)",B7767&lt;=19,"Evening peak (16-19)",TRUE,"Late evening (20-23)")</f>
        <v>Night (0-5)</v>
      </c>
    </row>
    <row r="7768" spans="1:9">
      <c r="A7768" s="32">
        <v>42146</v>
      </c>
      <c r="B7768">
        <v>1</v>
      </c>
      <c r="C7768">
        <v>2255</v>
      </c>
      <c r="D7768" t="s">
        <v>304</v>
      </c>
      <c r="E7768">
        <f>YEAR(A7768)</f>
        <v>2015</v>
      </c>
      <c r="F7768" s="33">
        <f>DATE(YEAR(A7768),MONTH(A7768),1)</f>
        <v>42125.0</v>
      </c>
      <c r="G7768" t="str">
        <f>CHOOSE(WEEKDAY(A7768,2),"Mon","Tue","Wed","Thu","Fri","Sat","Sun")</f>
        <v>Fri</v>
      </c>
      <c r="H7768" t="str">
        <f>IF(WEEKDAY(A7768,2)&gt;5,"Weekend","Weekday")</f>
        <v>Weekday</v>
      </c>
      <c r="I7768" t="str">
        <f>_xlfn.IFS(B7768&lt;=5,"Night (0-5)",B7768&lt;=9,"Morning peak (6-9)",B7768&lt;=15,"Midday (10-15)",B7768&lt;=19,"Evening peak (16-19)",TRUE,"Late evening (20-23)")</f>
        <v>Night (0-5)</v>
      </c>
    </row>
    <row r="7769" spans="1:9">
      <c r="A7769" s="32">
        <v>42146</v>
      </c>
      <c r="B7769">
        <v>2</v>
      </c>
      <c r="C7769">
        <v>1457</v>
      </c>
      <c r="D7769" t="s">
        <v>304</v>
      </c>
      <c r="E7769">
        <f>YEAR(A7769)</f>
        <v>2015</v>
      </c>
      <c r="F7769" s="33">
        <f>DATE(YEAR(A7769),MONTH(A7769),1)</f>
        <v>42125.0</v>
      </c>
      <c r="G7769" t="str">
        <f>CHOOSE(WEEKDAY(A7769,2),"Mon","Tue","Wed","Thu","Fri","Sat","Sun")</f>
        <v>Fri</v>
      </c>
      <c r="H7769" t="str">
        <f>IF(WEEKDAY(A7769,2)&gt;5,"Weekend","Weekday")</f>
        <v>Weekday</v>
      </c>
      <c r="I7769" t="str">
        <f>_xlfn.IFS(B7769&lt;=5,"Night (0-5)",B7769&lt;=9,"Morning peak (6-9)",B7769&lt;=15,"Midday (10-15)",B7769&lt;=19,"Evening peak (16-19)",TRUE,"Late evening (20-23)")</f>
        <v>Night (0-5)</v>
      </c>
    </row>
    <row r="7770" spans="1:9">
      <c r="A7770" s="32">
        <v>42146</v>
      </c>
      <c r="B7770">
        <v>3</v>
      </c>
      <c r="C7770">
        <v>1057</v>
      </c>
      <c r="D7770" t="s">
        <v>304</v>
      </c>
      <c r="E7770">
        <f>YEAR(A7770)</f>
        <v>2015</v>
      </c>
      <c r="F7770" s="33">
        <f>DATE(YEAR(A7770),MONTH(A7770),1)</f>
        <v>42125.0</v>
      </c>
      <c r="G7770" t="str">
        <f>CHOOSE(WEEKDAY(A7770,2),"Mon","Tue","Wed","Thu","Fri","Sat","Sun")</f>
        <v>Fri</v>
      </c>
      <c r="H7770" t="str">
        <f>IF(WEEKDAY(A7770,2)&gt;5,"Weekend","Weekday")</f>
        <v>Weekday</v>
      </c>
      <c r="I7770" t="str">
        <f>_xlfn.IFS(B7770&lt;=5,"Night (0-5)",B7770&lt;=9,"Morning peak (6-9)",B7770&lt;=15,"Midday (10-15)",B7770&lt;=19,"Evening peak (16-19)",TRUE,"Late evening (20-23)")</f>
        <v>Night (0-5)</v>
      </c>
    </row>
    <row r="7771" spans="1:9">
      <c r="A7771" s="32">
        <v>42146</v>
      </c>
      <c r="B7771">
        <v>4</v>
      </c>
      <c r="C7771">
        <v>1310</v>
      </c>
      <c r="D7771" t="s">
        <v>304</v>
      </c>
      <c r="E7771">
        <f>YEAR(A7771)</f>
        <v>2015</v>
      </c>
      <c r="F7771" s="33">
        <f>DATE(YEAR(A7771),MONTH(A7771),1)</f>
        <v>42125.0</v>
      </c>
      <c r="G7771" t="str">
        <f>CHOOSE(WEEKDAY(A7771,2),"Mon","Tue","Wed","Thu","Fri","Sat","Sun")</f>
        <v>Fri</v>
      </c>
      <c r="H7771" t="str">
        <f>IF(WEEKDAY(A7771,2)&gt;5,"Weekend","Weekday")</f>
        <v>Weekday</v>
      </c>
      <c r="I7771" t="str">
        <f>_xlfn.IFS(B7771&lt;=5,"Night (0-5)",B7771&lt;=9,"Morning peak (6-9)",B7771&lt;=15,"Midday (10-15)",B7771&lt;=19,"Evening peak (16-19)",TRUE,"Late evening (20-23)")</f>
        <v>Night (0-5)</v>
      </c>
    </row>
    <row r="7772" spans="1:9">
      <c r="A7772" s="32">
        <v>42146</v>
      </c>
      <c r="B7772">
        <v>5</v>
      </c>
      <c r="C7772">
        <v>1638</v>
      </c>
      <c r="D7772" t="s">
        <v>304</v>
      </c>
      <c r="E7772">
        <f>YEAR(A7772)</f>
        <v>2015</v>
      </c>
      <c r="F7772" s="33">
        <f>DATE(YEAR(A7772),MONTH(A7772),1)</f>
        <v>42125.0</v>
      </c>
      <c r="G7772" t="str">
        <f>CHOOSE(WEEKDAY(A7772,2),"Mon","Tue","Wed","Thu","Fri","Sat","Sun")</f>
        <v>Fri</v>
      </c>
      <c r="H7772" t="str">
        <f>IF(WEEKDAY(A7772,2)&gt;5,"Weekend","Weekday")</f>
        <v>Weekday</v>
      </c>
      <c r="I7772" t="str">
        <f>_xlfn.IFS(B7772&lt;=5,"Night (0-5)",B7772&lt;=9,"Morning peak (6-9)",B7772&lt;=15,"Midday (10-15)",B7772&lt;=19,"Evening peak (16-19)",TRUE,"Late evening (20-23)")</f>
        <v>Night (0-5)</v>
      </c>
    </row>
    <row r="7773" spans="1:9">
      <c r="A7773" s="32">
        <v>42146</v>
      </c>
      <c r="B7773">
        <v>6</v>
      </c>
      <c r="C7773">
        <v>2153</v>
      </c>
      <c r="D7773" t="s">
        <v>304</v>
      </c>
      <c r="E7773">
        <f>YEAR(A7773)</f>
        <v>2015</v>
      </c>
      <c r="F7773" s="33">
        <f>DATE(YEAR(A7773),MONTH(A7773),1)</f>
        <v>42125.0</v>
      </c>
      <c r="G7773" t="str">
        <f>CHOOSE(WEEKDAY(A7773,2),"Mon","Tue","Wed","Thu","Fri","Sat","Sun")</f>
        <v>Fri</v>
      </c>
      <c r="H7773" t="str">
        <f>IF(WEEKDAY(A7773,2)&gt;5,"Weekend","Weekday")</f>
        <v>Weekday</v>
      </c>
      <c r="I7773" t="str">
        <f>_xlfn.IFS(B7773&lt;=5,"Night (0-5)",B7773&lt;=9,"Morning peak (6-9)",B7773&lt;=15,"Midday (10-15)",B7773&lt;=19,"Evening peak (16-19)",TRUE,"Late evening (20-23)")</f>
        <v>Morning peak (6-9)</v>
      </c>
    </row>
    <row r="7774" spans="1:9">
      <c r="A7774" s="32">
        <v>42146</v>
      </c>
      <c r="B7774">
        <v>7</v>
      </c>
      <c r="C7774">
        <v>3042</v>
      </c>
      <c r="D7774" t="s">
        <v>304</v>
      </c>
      <c r="E7774">
        <f>YEAR(A7774)</f>
        <v>2015</v>
      </c>
      <c r="F7774" s="33">
        <f>DATE(YEAR(A7774),MONTH(A7774),1)</f>
        <v>42125.0</v>
      </c>
      <c r="G7774" t="str">
        <f>CHOOSE(WEEKDAY(A7774,2),"Mon","Tue","Wed","Thu","Fri","Sat","Sun")</f>
        <v>Fri</v>
      </c>
      <c r="H7774" t="str">
        <f>IF(WEEKDAY(A7774,2)&gt;5,"Weekend","Weekday")</f>
        <v>Weekday</v>
      </c>
      <c r="I7774" t="str">
        <f>_xlfn.IFS(B7774&lt;=5,"Night (0-5)",B7774&lt;=9,"Morning peak (6-9)",B7774&lt;=15,"Midday (10-15)",B7774&lt;=19,"Evening peak (16-19)",TRUE,"Late evening (20-23)")</f>
        <v>Morning peak (6-9)</v>
      </c>
    </row>
    <row r="7775" spans="1:9">
      <c r="A7775" s="32">
        <v>42146</v>
      </c>
      <c r="B7775">
        <v>8</v>
      </c>
      <c r="C7775">
        <v>3943</v>
      </c>
      <c r="D7775" t="s">
        <v>304</v>
      </c>
      <c r="E7775">
        <f>YEAR(A7775)</f>
        <v>2015</v>
      </c>
      <c r="F7775" s="33">
        <f>DATE(YEAR(A7775),MONTH(A7775),1)</f>
        <v>42125.0</v>
      </c>
      <c r="G7775" t="str">
        <f>CHOOSE(WEEKDAY(A7775,2),"Mon","Tue","Wed","Thu","Fri","Sat","Sun")</f>
        <v>Fri</v>
      </c>
      <c r="H7775" t="str">
        <f>IF(WEEKDAY(A7775,2)&gt;5,"Weekend","Weekday")</f>
        <v>Weekday</v>
      </c>
      <c r="I7775" t="str">
        <f>_xlfn.IFS(B7775&lt;=5,"Night (0-5)",B7775&lt;=9,"Morning peak (6-9)",B7775&lt;=15,"Midday (10-15)",B7775&lt;=19,"Evening peak (16-19)",TRUE,"Late evening (20-23)")</f>
        <v>Morning peak (6-9)</v>
      </c>
    </row>
    <row r="7776" spans="1:9">
      <c r="A7776" s="32">
        <v>42146</v>
      </c>
      <c r="B7776">
        <v>9</v>
      </c>
      <c r="C7776">
        <v>4111</v>
      </c>
      <c r="D7776" t="s">
        <v>304</v>
      </c>
      <c r="E7776">
        <f>YEAR(A7776)</f>
        <v>2015</v>
      </c>
      <c r="F7776" s="33">
        <f>DATE(YEAR(A7776),MONTH(A7776),1)</f>
        <v>42125.0</v>
      </c>
      <c r="G7776" t="str">
        <f>CHOOSE(WEEKDAY(A7776,2),"Mon","Tue","Wed","Thu","Fri","Sat","Sun")</f>
        <v>Fri</v>
      </c>
      <c r="H7776" t="str">
        <f>IF(WEEKDAY(A7776,2)&gt;5,"Weekend","Weekday")</f>
        <v>Weekday</v>
      </c>
      <c r="I7776" t="str">
        <f>_xlfn.IFS(B7776&lt;=5,"Night (0-5)",B7776&lt;=9,"Morning peak (6-9)",B7776&lt;=15,"Midday (10-15)",B7776&lt;=19,"Evening peak (16-19)",TRUE,"Late evening (20-23)")</f>
        <v>Morning peak (6-9)</v>
      </c>
    </row>
    <row r="7777" spans="1:9">
      <c r="A7777" s="32">
        <v>42146</v>
      </c>
      <c r="B7777">
        <v>10</v>
      </c>
      <c r="C7777">
        <v>3387</v>
      </c>
      <c r="D7777" t="s">
        <v>304</v>
      </c>
      <c r="E7777">
        <f>YEAR(A7777)</f>
        <v>2015</v>
      </c>
      <c r="F7777" s="33">
        <f>DATE(YEAR(A7777),MONTH(A7777),1)</f>
        <v>42125.0</v>
      </c>
      <c r="G7777" t="str">
        <f>CHOOSE(WEEKDAY(A7777,2),"Mon","Tue","Wed","Thu","Fri","Sat","Sun")</f>
        <v>Fri</v>
      </c>
      <c r="H7777" t="str">
        <f>IF(WEEKDAY(A7777,2)&gt;5,"Weekend","Weekday")</f>
        <v>Weekday</v>
      </c>
      <c r="I7777" t="str">
        <f>_xlfn.IFS(B7777&lt;=5,"Night (0-5)",B7777&lt;=9,"Morning peak (6-9)",B7777&lt;=15,"Midday (10-15)",B7777&lt;=19,"Evening peak (16-19)",TRUE,"Late evening (20-23)")</f>
        <v>Midday (10-15)</v>
      </c>
    </row>
    <row r="7778" spans="1:9">
      <c r="A7778" s="32">
        <v>42146</v>
      </c>
      <c r="B7778">
        <v>11</v>
      </c>
      <c r="C7778">
        <v>3247</v>
      </c>
      <c r="D7778" t="s">
        <v>304</v>
      </c>
      <c r="E7778">
        <f>YEAR(A7778)</f>
        <v>2015</v>
      </c>
      <c r="F7778" s="33">
        <f>DATE(YEAR(A7778),MONTH(A7778),1)</f>
        <v>42125.0</v>
      </c>
      <c r="G7778" t="str">
        <f>CHOOSE(WEEKDAY(A7778,2),"Mon","Tue","Wed","Thu","Fri","Sat","Sun")</f>
        <v>Fri</v>
      </c>
      <c r="H7778" t="str">
        <f>IF(WEEKDAY(A7778,2)&gt;5,"Weekend","Weekday")</f>
        <v>Weekday</v>
      </c>
      <c r="I7778" t="str">
        <f>_xlfn.IFS(B7778&lt;=5,"Night (0-5)",B7778&lt;=9,"Morning peak (6-9)",B7778&lt;=15,"Midday (10-15)",B7778&lt;=19,"Evening peak (16-19)",TRUE,"Late evening (20-23)")</f>
        <v>Midday (10-15)</v>
      </c>
    </row>
    <row r="7779" spans="1:9">
      <c r="A7779" s="32">
        <v>42146</v>
      </c>
      <c r="B7779">
        <v>12</v>
      </c>
      <c r="C7779">
        <v>3200</v>
      </c>
      <c r="D7779" t="s">
        <v>304</v>
      </c>
      <c r="E7779">
        <f>YEAR(A7779)</f>
        <v>2015</v>
      </c>
      <c r="F7779" s="33">
        <f>DATE(YEAR(A7779),MONTH(A7779),1)</f>
        <v>42125.0</v>
      </c>
      <c r="G7779" t="str">
        <f>CHOOSE(WEEKDAY(A7779,2),"Mon","Tue","Wed","Thu","Fri","Sat","Sun")</f>
        <v>Fri</v>
      </c>
      <c r="H7779" t="str">
        <f>IF(WEEKDAY(A7779,2)&gt;5,"Weekend","Weekday")</f>
        <v>Weekday</v>
      </c>
      <c r="I7779" t="str">
        <f>_xlfn.IFS(B7779&lt;=5,"Night (0-5)",B7779&lt;=9,"Morning peak (6-9)",B7779&lt;=15,"Midday (10-15)",B7779&lt;=19,"Evening peak (16-19)",TRUE,"Late evening (20-23)")</f>
        <v>Midday (10-15)</v>
      </c>
    </row>
    <row r="7780" spans="1:9">
      <c r="A7780" s="32">
        <v>42146</v>
      </c>
      <c r="B7780">
        <v>13</v>
      </c>
      <c r="C7780">
        <v>3406</v>
      </c>
      <c r="D7780" t="s">
        <v>304</v>
      </c>
      <c r="E7780">
        <f>YEAR(A7780)</f>
        <v>2015</v>
      </c>
      <c r="F7780" s="33">
        <f>DATE(YEAR(A7780),MONTH(A7780),1)</f>
        <v>42125.0</v>
      </c>
      <c r="G7780" t="str">
        <f>CHOOSE(WEEKDAY(A7780,2),"Mon","Tue","Wed","Thu","Fri","Sat","Sun")</f>
        <v>Fri</v>
      </c>
      <c r="H7780" t="str">
        <f>IF(WEEKDAY(A7780,2)&gt;5,"Weekend","Weekday")</f>
        <v>Weekday</v>
      </c>
      <c r="I7780" t="str">
        <f>_xlfn.IFS(B7780&lt;=5,"Night (0-5)",B7780&lt;=9,"Morning peak (6-9)",B7780&lt;=15,"Midday (10-15)",B7780&lt;=19,"Evening peak (16-19)",TRUE,"Late evening (20-23)")</f>
        <v>Midday (10-15)</v>
      </c>
    </row>
    <row r="7781" spans="1:9">
      <c r="A7781" s="32">
        <v>42146</v>
      </c>
      <c r="B7781">
        <v>14</v>
      </c>
      <c r="C7781">
        <v>3718</v>
      </c>
      <c r="D7781" t="s">
        <v>304</v>
      </c>
      <c r="E7781">
        <f>YEAR(A7781)</f>
        <v>2015</v>
      </c>
      <c r="F7781" s="33">
        <f>DATE(YEAR(A7781),MONTH(A7781),1)</f>
        <v>42125.0</v>
      </c>
      <c r="G7781" t="str">
        <f>CHOOSE(WEEKDAY(A7781,2),"Mon","Tue","Wed","Thu","Fri","Sat","Sun")</f>
        <v>Fri</v>
      </c>
      <c r="H7781" t="str">
        <f>IF(WEEKDAY(A7781,2)&gt;5,"Weekend","Weekday")</f>
        <v>Weekday</v>
      </c>
      <c r="I7781" t="str">
        <f>_xlfn.IFS(B7781&lt;=5,"Night (0-5)",B7781&lt;=9,"Morning peak (6-9)",B7781&lt;=15,"Midday (10-15)",B7781&lt;=19,"Evening peak (16-19)",TRUE,"Late evening (20-23)")</f>
        <v>Midday (10-15)</v>
      </c>
    </row>
    <row r="7782" spans="1:9">
      <c r="A7782" s="32">
        <v>42146</v>
      </c>
      <c r="B7782">
        <v>15</v>
      </c>
      <c r="C7782">
        <v>4365</v>
      </c>
      <c r="D7782" t="s">
        <v>304</v>
      </c>
      <c r="E7782">
        <f>YEAR(A7782)</f>
        <v>2015</v>
      </c>
      <c r="F7782" s="33">
        <f>DATE(YEAR(A7782),MONTH(A7782),1)</f>
        <v>42125.0</v>
      </c>
      <c r="G7782" t="str">
        <f>CHOOSE(WEEKDAY(A7782,2),"Mon","Tue","Wed","Thu","Fri","Sat","Sun")</f>
        <v>Fri</v>
      </c>
      <c r="H7782" t="str">
        <f>IF(WEEKDAY(A7782,2)&gt;5,"Weekend","Weekday")</f>
        <v>Weekday</v>
      </c>
      <c r="I7782" t="str">
        <f>_xlfn.IFS(B7782&lt;=5,"Night (0-5)",B7782&lt;=9,"Morning peak (6-9)",B7782&lt;=15,"Midday (10-15)",B7782&lt;=19,"Evening peak (16-19)",TRUE,"Late evening (20-23)")</f>
        <v>Midday (10-15)</v>
      </c>
    </row>
    <row r="7783" spans="1:9">
      <c r="A7783" s="32">
        <v>42146</v>
      </c>
      <c r="B7783">
        <v>16</v>
      </c>
      <c r="C7783">
        <v>4778</v>
      </c>
      <c r="D7783" t="s">
        <v>304</v>
      </c>
      <c r="E7783">
        <f>YEAR(A7783)</f>
        <v>2015</v>
      </c>
      <c r="F7783" s="33">
        <f>DATE(YEAR(A7783),MONTH(A7783),1)</f>
        <v>42125.0</v>
      </c>
      <c r="G7783" t="str">
        <f>CHOOSE(WEEKDAY(A7783,2),"Mon","Tue","Wed","Thu","Fri","Sat","Sun")</f>
        <v>Fri</v>
      </c>
      <c r="H7783" t="str">
        <f>IF(WEEKDAY(A7783,2)&gt;5,"Weekend","Weekday")</f>
        <v>Weekday</v>
      </c>
      <c r="I7783" t="str">
        <f>_xlfn.IFS(B7783&lt;=5,"Night (0-5)",B7783&lt;=9,"Morning peak (6-9)",B7783&lt;=15,"Midday (10-15)",B7783&lt;=19,"Evening peak (16-19)",TRUE,"Late evening (20-23)")</f>
        <v>Evening peak (16-19)</v>
      </c>
    </row>
    <row r="7784" spans="1:9">
      <c r="A7784" s="32">
        <v>42146</v>
      </c>
      <c r="B7784">
        <v>17</v>
      </c>
      <c r="C7784">
        <v>4941</v>
      </c>
      <c r="D7784" t="s">
        <v>304</v>
      </c>
      <c r="E7784">
        <f>YEAR(A7784)</f>
        <v>2015</v>
      </c>
      <c r="F7784" s="33">
        <f>DATE(YEAR(A7784),MONTH(A7784),1)</f>
        <v>42125.0</v>
      </c>
      <c r="G7784" t="str">
        <f>CHOOSE(WEEKDAY(A7784,2),"Mon","Tue","Wed","Thu","Fri","Sat","Sun")</f>
        <v>Fri</v>
      </c>
      <c r="H7784" t="str">
        <f>IF(WEEKDAY(A7784,2)&gt;5,"Weekend","Weekday")</f>
        <v>Weekday</v>
      </c>
      <c r="I7784" t="str">
        <f>_xlfn.IFS(B7784&lt;=5,"Night (0-5)",B7784&lt;=9,"Morning peak (6-9)",B7784&lt;=15,"Midday (10-15)",B7784&lt;=19,"Evening peak (16-19)",TRUE,"Late evening (20-23)")</f>
        <v>Evening peak (16-19)</v>
      </c>
    </row>
    <row r="7785" spans="1:9">
      <c r="A7785" s="32">
        <v>42146</v>
      </c>
      <c r="B7785">
        <v>18</v>
      </c>
      <c r="C7785">
        <v>4829</v>
      </c>
      <c r="D7785" t="s">
        <v>304</v>
      </c>
      <c r="E7785">
        <f>YEAR(A7785)</f>
        <v>2015</v>
      </c>
      <c r="F7785" s="33">
        <f>DATE(YEAR(A7785),MONTH(A7785),1)</f>
        <v>42125.0</v>
      </c>
      <c r="G7785" t="str">
        <f>CHOOSE(WEEKDAY(A7785,2),"Mon","Tue","Wed","Thu","Fri","Sat","Sun")</f>
        <v>Fri</v>
      </c>
      <c r="H7785" t="str">
        <f>IF(WEEKDAY(A7785,2)&gt;5,"Weekend","Weekday")</f>
        <v>Weekday</v>
      </c>
      <c r="I7785" t="str">
        <f>_xlfn.IFS(B7785&lt;=5,"Night (0-5)",B7785&lt;=9,"Morning peak (6-9)",B7785&lt;=15,"Midday (10-15)",B7785&lt;=19,"Evening peak (16-19)",TRUE,"Late evening (20-23)")</f>
        <v>Evening peak (16-19)</v>
      </c>
    </row>
    <row r="7786" spans="1:9">
      <c r="A7786" s="32">
        <v>42146</v>
      </c>
      <c r="B7786">
        <v>19</v>
      </c>
      <c r="C7786">
        <v>4928</v>
      </c>
      <c r="D7786" t="s">
        <v>304</v>
      </c>
      <c r="E7786">
        <f>YEAR(A7786)</f>
        <v>2015</v>
      </c>
      <c r="F7786" s="33">
        <f>DATE(YEAR(A7786),MONTH(A7786),1)</f>
        <v>42125.0</v>
      </c>
      <c r="G7786" t="str">
        <f>CHOOSE(WEEKDAY(A7786,2),"Mon","Tue","Wed","Thu","Fri","Sat","Sun")</f>
        <v>Fri</v>
      </c>
      <c r="H7786" t="str">
        <f>IF(WEEKDAY(A7786,2)&gt;5,"Weekend","Weekday")</f>
        <v>Weekday</v>
      </c>
      <c r="I7786" t="str">
        <f>_xlfn.IFS(B7786&lt;=5,"Night (0-5)",B7786&lt;=9,"Morning peak (6-9)",B7786&lt;=15,"Midday (10-15)",B7786&lt;=19,"Evening peak (16-19)",TRUE,"Late evening (20-23)")</f>
        <v>Evening peak (16-19)</v>
      </c>
    </row>
    <row r="7787" spans="1:9">
      <c r="A7787" s="32">
        <v>42146</v>
      </c>
      <c r="B7787">
        <v>20</v>
      </c>
      <c r="C7787">
        <v>4765</v>
      </c>
      <c r="D7787" t="s">
        <v>304</v>
      </c>
      <c r="E7787">
        <f>YEAR(A7787)</f>
        <v>2015</v>
      </c>
      <c r="F7787" s="33">
        <f>DATE(YEAR(A7787),MONTH(A7787),1)</f>
        <v>42125.0</v>
      </c>
      <c r="G7787" t="str">
        <f>CHOOSE(WEEKDAY(A7787,2),"Mon","Tue","Wed","Thu","Fri","Sat","Sun")</f>
        <v>Fri</v>
      </c>
      <c r="H7787" t="str">
        <f>IF(WEEKDAY(A7787,2)&gt;5,"Weekend","Weekday")</f>
        <v>Weekday</v>
      </c>
      <c r="I7787" t="str">
        <f>_xlfn.IFS(B7787&lt;=5,"Night (0-5)",B7787&lt;=9,"Morning peak (6-9)",B7787&lt;=15,"Midday (10-15)",B7787&lt;=19,"Evening peak (16-19)",TRUE,"Late evening (20-23)")</f>
        <v>Late evening (20-23)</v>
      </c>
    </row>
    <row r="7788" spans="1:9">
      <c r="A7788" s="32">
        <v>42146</v>
      </c>
      <c r="B7788">
        <v>21</v>
      </c>
      <c r="C7788">
        <v>4757</v>
      </c>
      <c r="D7788" t="s">
        <v>304</v>
      </c>
      <c r="E7788">
        <f>YEAR(A7788)</f>
        <v>2015</v>
      </c>
      <c r="F7788" s="33">
        <f>DATE(YEAR(A7788),MONTH(A7788),1)</f>
        <v>42125.0</v>
      </c>
      <c r="G7788" t="str">
        <f>CHOOSE(WEEKDAY(A7788,2),"Mon","Tue","Wed","Thu","Fri","Sat","Sun")</f>
        <v>Fri</v>
      </c>
      <c r="H7788" t="str">
        <f>IF(WEEKDAY(A7788,2)&gt;5,"Weekend","Weekday")</f>
        <v>Weekday</v>
      </c>
      <c r="I7788" t="str">
        <f>_xlfn.IFS(B7788&lt;=5,"Night (0-5)",B7788&lt;=9,"Morning peak (6-9)",B7788&lt;=15,"Midday (10-15)",B7788&lt;=19,"Evening peak (16-19)",TRUE,"Late evening (20-23)")</f>
        <v>Late evening (20-23)</v>
      </c>
    </row>
    <row r="7789" spans="1:9">
      <c r="A7789" s="32">
        <v>42146</v>
      </c>
      <c r="B7789">
        <v>22</v>
      </c>
      <c r="C7789">
        <v>5076</v>
      </c>
      <c r="D7789" t="s">
        <v>304</v>
      </c>
      <c r="E7789">
        <f>YEAR(A7789)</f>
        <v>2015</v>
      </c>
      <c r="F7789" s="33">
        <f>DATE(YEAR(A7789),MONTH(A7789),1)</f>
        <v>42125.0</v>
      </c>
      <c r="G7789" t="str">
        <f>CHOOSE(WEEKDAY(A7789,2),"Mon","Tue","Wed","Thu","Fri","Sat","Sun")</f>
        <v>Fri</v>
      </c>
      <c r="H7789" t="str">
        <f>IF(WEEKDAY(A7789,2)&gt;5,"Weekend","Weekday")</f>
        <v>Weekday</v>
      </c>
      <c r="I7789" t="str">
        <f>_xlfn.IFS(B7789&lt;=5,"Night (0-5)",B7789&lt;=9,"Morning peak (6-9)",B7789&lt;=15,"Midday (10-15)",B7789&lt;=19,"Evening peak (16-19)",TRUE,"Late evening (20-23)")</f>
        <v>Late evening (20-23)</v>
      </c>
    </row>
    <row r="7790" spans="1:9">
      <c r="A7790" s="32">
        <v>42146</v>
      </c>
      <c r="B7790">
        <v>23</v>
      </c>
      <c r="C7790">
        <v>5505</v>
      </c>
      <c r="D7790" t="s">
        <v>304</v>
      </c>
      <c r="E7790">
        <f>YEAR(A7790)</f>
        <v>2015</v>
      </c>
      <c r="F7790" s="33">
        <f>DATE(YEAR(A7790),MONTH(A7790),1)</f>
        <v>42125.0</v>
      </c>
      <c r="G7790" t="str">
        <f>CHOOSE(WEEKDAY(A7790,2),"Mon","Tue","Wed","Thu","Fri","Sat","Sun")</f>
        <v>Fri</v>
      </c>
      <c r="H7790" t="str">
        <f>IF(WEEKDAY(A7790,2)&gt;5,"Weekend","Weekday")</f>
        <v>Weekday</v>
      </c>
      <c r="I7790" t="str">
        <f>_xlfn.IFS(B7790&lt;=5,"Night (0-5)",B7790&lt;=9,"Morning peak (6-9)",B7790&lt;=15,"Midday (10-15)",B7790&lt;=19,"Evening peak (16-19)",TRUE,"Late evening (20-23)")</f>
        <v>Late evening (20-23)</v>
      </c>
    </row>
    <row r="7791" spans="1:9">
      <c r="A7791" s="32">
        <v>42147</v>
      </c>
      <c r="B7791">
        <v>0</v>
      </c>
      <c r="C7791">
        <v>4504</v>
      </c>
      <c r="D7791" t="s">
        <v>304</v>
      </c>
      <c r="E7791">
        <f>YEAR(A7791)</f>
        <v>2015</v>
      </c>
      <c r="F7791" s="33">
        <f>DATE(YEAR(A7791),MONTH(A7791),1)</f>
        <v>42125.0</v>
      </c>
      <c r="G7791" t="str">
        <f>CHOOSE(WEEKDAY(A7791,2),"Mon","Tue","Wed","Thu","Fri","Sat","Sun")</f>
        <v>Sat</v>
      </c>
      <c r="H7791" t="str">
        <f>IF(WEEKDAY(A7791,2)&gt;5,"Weekend","Weekday")</f>
        <v>Weekend</v>
      </c>
      <c r="I7791" t="str">
        <f>_xlfn.IFS(B7791&lt;=5,"Night (0-5)",B7791&lt;=9,"Morning peak (6-9)",B7791&lt;=15,"Midday (10-15)",B7791&lt;=19,"Evening peak (16-19)",TRUE,"Late evening (20-23)")</f>
        <v>Night (0-5)</v>
      </c>
    </row>
    <row r="7792" spans="1:9">
      <c r="A7792" s="32">
        <v>42147</v>
      </c>
      <c r="B7792">
        <v>1</v>
      </c>
      <c r="C7792">
        <v>3312</v>
      </c>
      <c r="D7792" t="s">
        <v>304</v>
      </c>
      <c r="E7792">
        <f>YEAR(A7792)</f>
        <v>2015</v>
      </c>
      <c r="F7792" s="33">
        <f>DATE(YEAR(A7792),MONTH(A7792),1)</f>
        <v>42125.0</v>
      </c>
      <c r="G7792" t="str">
        <f>CHOOSE(WEEKDAY(A7792,2),"Mon","Tue","Wed","Thu","Fri","Sat","Sun")</f>
        <v>Sat</v>
      </c>
      <c r="H7792" t="str">
        <f>IF(WEEKDAY(A7792,2)&gt;5,"Weekend","Weekday")</f>
        <v>Weekend</v>
      </c>
      <c r="I7792" t="str">
        <f>_xlfn.IFS(B7792&lt;=5,"Night (0-5)",B7792&lt;=9,"Morning peak (6-9)",B7792&lt;=15,"Midday (10-15)",B7792&lt;=19,"Evening peak (16-19)",TRUE,"Late evening (20-23)")</f>
        <v>Night (0-5)</v>
      </c>
    </row>
    <row r="7793" spans="1:9">
      <c r="A7793" s="32">
        <v>42147</v>
      </c>
      <c r="B7793">
        <v>2</v>
      </c>
      <c r="C7793">
        <v>2439</v>
      </c>
      <c r="D7793" t="s">
        <v>304</v>
      </c>
      <c r="E7793">
        <f>YEAR(A7793)</f>
        <v>2015</v>
      </c>
      <c r="F7793" s="33">
        <f>DATE(YEAR(A7793),MONTH(A7793),1)</f>
        <v>42125.0</v>
      </c>
      <c r="G7793" t="str">
        <f>CHOOSE(WEEKDAY(A7793,2),"Mon","Tue","Wed","Thu","Fri","Sat","Sun")</f>
        <v>Sat</v>
      </c>
      <c r="H7793" t="str">
        <f>IF(WEEKDAY(A7793,2)&gt;5,"Weekend","Weekday")</f>
        <v>Weekend</v>
      </c>
      <c r="I7793" t="str">
        <f>_xlfn.IFS(B7793&lt;=5,"Night (0-5)",B7793&lt;=9,"Morning peak (6-9)",B7793&lt;=15,"Midday (10-15)",B7793&lt;=19,"Evening peak (16-19)",TRUE,"Late evening (20-23)")</f>
        <v>Night (0-5)</v>
      </c>
    </row>
    <row r="7794" spans="1:9">
      <c r="A7794" s="32">
        <v>42147</v>
      </c>
      <c r="B7794">
        <v>3</v>
      </c>
      <c r="C7794">
        <v>1754</v>
      </c>
      <c r="D7794" t="s">
        <v>304</v>
      </c>
      <c r="E7794">
        <f>YEAR(A7794)</f>
        <v>2015</v>
      </c>
      <c r="F7794" s="33">
        <f>DATE(YEAR(A7794),MONTH(A7794),1)</f>
        <v>42125.0</v>
      </c>
      <c r="G7794" t="str">
        <f>CHOOSE(WEEKDAY(A7794,2),"Mon","Tue","Wed","Thu","Fri","Sat","Sun")</f>
        <v>Sat</v>
      </c>
      <c r="H7794" t="str">
        <f>IF(WEEKDAY(A7794,2)&gt;5,"Weekend","Weekday")</f>
        <v>Weekend</v>
      </c>
      <c r="I7794" t="str">
        <f>_xlfn.IFS(B7794&lt;=5,"Night (0-5)",B7794&lt;=9,"Morning peak (6-9)",B7794&lt;=15,"Midday (10-15)",B7794&lt;=19,"Evening peak (16-19)",TRUE,"Late evening (20-23)")</f>
        <v>Night (0-5)</v>
      </c>
    </row>
    <row r="7795" spans="1:9">
      <c r="A7795" s="32">
        <v>42147</v>
      </c>
      <c r="B7795">
        <v>4</v>
      </c>
      <c r="C7795">
        <v>1522</v>
      </c>
      <c r="D7795" t="s">
        <v>304</v>
      </c>
      <c r="E7795">
        <f>YEAR(A7795)</f>
        <v>2015</v>
      </c>
      <c r="F7795" s="33">
        <f>DATE(YEAR(A7795),MONTH(A7795),1)</f>
        <v>42125.0</v>
      </c>
      <c r="G7795" t="str">
        <f>CHOOSE(WEEKDAY(A7795,2),"Mon","Tue","Wed","Thu","Fri","Sat","Sun")</f>
        <v>Sat</v>
      </c>
      <c r="H7795" t="str">
        <f>IF(WEEKDAY(A7795,2)&gt;5,"Weekend","Weekday")</f>
        <v>Weekend</v>
      </c>
      <c r="I7795" t="str">
        <f>_xlfn.IFS(B7795&lt;=5,"Night (0-5)",B7795&lt;=9,"Morning peak (6-9)",B7795&lt;=15,"Midday (10-15)",B7795&lt;=19,"Evening peak (16-19)",TRUE,"Late evening (20-23)")</f>
        <v>Night (0-5)</v>
      </c>
    </row>
    <row r="7796" spans="1:9">
      <c r="A7796" s="32">
        <v>42147</v>
      </c>
      <c r="B7796">
        <v>5</v>
      </c>
      <c r="C7796">
        <v>1278</v>
      </c>
      <c r="D7796" t="s">
        <v>304</v>
      </c>
      <c r="E7796">
        <f>YEAR(A7796)</f>
        <v>2015</v>
      </c>
      <c r="F7796" s="33">
        <f>DATE(YEAR(A7796),MONTH(A7796),1)</f>
        <v>42125.0</v>
      </c>
      <c r="G7796" t="str">
        <f>CHOOSE(WEEKDAY(A7796,2),"Mon","Tue","Wed","Thu","Fri","Sat","Sun")</f>
        <v>Sat</v>
      </c>
      <c r="H7796" t="str">
        <f>IF(WEEKDAY(A7796,2)&gt;5,"Weekend","Weekday")</f>
        <v>Weekend</v>
      </c>
      <c r="I7796" t="str">
        <f>_xlfn.IFS(B7796&lt;=5,"Night (0-5)",B7796&lt;=9,"Morning peak (6-9)",B7796&lt;=15,"Midday (10-15)",B7796&lt;=19,"Evening peak (16-19)",TRUE,"Late evening (20-23)")</f>
        <v>Night (0-5)</v>
      </c>
    </row>
    <row r="7797" spans="1:9">
      <c r="A7797" s="32">
        <v>42147</v>
      </c>
      <c r="B7797">
        <v>6</v>
      </c>
      <c r="C7797">
        <v>1262</v>
      </c>
      <c r="D7797" t="s">
        <v>304</v>
      </c>
      <c r="E7797">
        <f>YEAR(A7797)</f>
        <v>2015</v>
      </c>
      <c r="F7797" s="33">
        <f>DATE(YEAR(A7797),MONTH(A7797),1)</f>
        <v>42125.0</v>
      </c>
      <c r="G7797" t="str">
        <f>CHOOSE(WEEKDAY(A7797,2),"Mon","Tue","Wed","Thu","Fri","Sat","Sun")</f>
        <v>Sat</v>
      </c>
      <c r="H7797" t="str">
        <f>IF(WEEKDAY(A7797,2)&gt;5,"Weekend","Weekday")</f>
        <v>Weekend</v>
      </c>
      <c r="I7797" t="str">
        <f>_xlfn.IFS(B7797&lt;=5,"Night (0-5)",B7797&lt;=9,"Morning peak (6-9)",B7797&lt;=15,"Midday (10-15)",B7797&lt;=19,"Evening peak (16-19)",TRUE,"Late evening (20-23)")</f>
        <v>Morning peak (6-9)</v>
      </c>
    </row>
    <row r="7798" spans="1:9">
      <c r="A7798" s="32">
        <v>42147</v>
      </c>
      <c r="B7798">
        <v>7</v>
      </c>
      <c r="C7798">
        <v>1379</v>
      </c>
      <c r="D7798" t="s">
        <v>304</v>
      </c>
      <c r="E7798">
        <f>YEAR(A7798)</f>
        <v>2015</v>
      </c>
      <c r="F7798" s="33">
        <f>DATE(YEAR(A7798),MONTH(A7798),1)</f>
        <v>42125.0</v>
      </c>
      <c r="G7798" t="str">
        <f>CHOOSE(WEEKDAY(A7798,2),"Mon","Tue","Wed","Thu","Fri","Sat","Sun")</f>
        <v>Sat</v>
      </c>
      <c r="H7798" t="str">
        <f>IF(WEEKDAY(A7798,2)&gt;5,"Weekend","Weekday")</f>
        <v>Weekend</v>
      </c>
      <c r="I7798" t="str">
        <f>_xlfn.IFS(B7798&lt;=5,"Night (0-5)",B7798&lt;=9,"Morning peak (6-9)",B7798&lt;=15,"Midday (10-15)",B7798&lt;=19,"Evening peak (16-19)",TRUE,"Late evening (20-23)")</f>
        <v>Morning peak (6-9)</v>
      </c>
    </row>
    <row r="7799" spans="1:9">
      <c r="A7799" s="32">
        <v>42147</v>
      </c>
      <c r="B7799">
        <v>8</v>
      </c>
      <c r="C7799">
        <v>1804</v>
      </c>
      <c r="D7799" t="s">
        <v>304</v>
      </c>
      <c r="E7799">
        <f>YEAR(A7799)</f>
        <v>2015</v>
      </c>
      <c r="F7799" s="33">
        <f>DATE(YEAR(A7799),MONTH(A7799),1)</f>
        <v>42125.0</v>
      </c>
      <c r="G7799" t="str">
        <f>CHOOSE(WEEKDAY(A7799,2),"Mon","Tue","Wed","Thu","Fri","Sat","Sun")</f>
        <v>Sat</v>
      </c>
      <c r="H7799" t="str">
        <f>IF(WEEKDAY(A7799,2)&gt;5,"Weekend","Weekday")</f>
        <v>Weekend</v>
      </c>
      <c r="I7799" t="str">
        <f>_xlfn.IFS(B7799&lt;=5,"Night (0-5)",B7799&lt;=9,"Morning peak (6-9)",B7799&lt;=15,"Midday (10-15)",B7799&lt;=19,"Evening peak (16-19)",TRUE,"Late evening (20-23)")</f>
        <v>Morning peak (6-9)</v>
      </c>
    </row>
    <row r="7800" spans="1:9">
      <c r="A7800" s="32">
        <v>42147</v>
      </c>
      <c r="B7800">
        <v>9</v>
      </c>
      <c r="C7800">
        <v>2400</v>
      </c>
      <c r="D7800" t="s">
        <v>304</v>
      </c>
      <c r="E7800">
        <f>YEAR(A7800)</f>
        <v>2015</v>
      </c>
      <c r="F7800" s="33">
        <f>DATE(YEAR(A7800),MONTH(A7800),1)</f>
        <v>42125.0</v>
      </c>
      <c r="G7800" t="str">
        <f>CHOOSE(WEEKDAY(A7800,2),"Mon","Tue","Wed","Thu","Fri","Sat","Sun")</f>
        <v>Sat</v>
      </c>
      <c r="H7800" t="str">
        <f>IF(WEEKDAY(A7800,2)&gt;5,"Weekend","Weekday")</f>
        <v>Weekend</v>
      </c>
      <c r="I7800" t="str">
        <f>_xlfn.IFS(B7800&lt;=5,"Night (0-5)",B7800&lt;=9,"Morning peak (6-9)",B7800&lt;=15,"Midday (10-15)",B7800&lt;=19,"Evening peak (16-19)",TRUE,"Late evening (20-23)")</f>
        <v>Morning peak (6-9)</v>
      </c>
    </row>
    <row r="7801" spans="1:9">
      <c r="A7801" s="32">
        <v>42147</v>
      </c>
      <c r="B7801">
        <v>10</v>
      </c>
      <c r="C7801">
        <v>2780</v>
      </c>
      <c r="D7801" t="s">
        <v>304</v>
      </c>
      <c r="E7801">
        <f>YEAR(A7801)</f>
        <v>2015</v>
      </c>
      <c r="F7801" s="33">
        <f>DATE(YEAR(A7801),MONTH(A7801),1)</f>
        <v>42125.0</v>
      </c>
      <c r="G7801" t="str">
        <f>CHOOSE(WEEKDAY(A7801,2),"Mon","Tue","Wed","Thu","Fri","Sat","Sun")</f>
        <v>Sat</v>
      </c>
      <c r="H7801" t="str">
        <f>IF(WEEKDAY(A7801,2)&gt;5,"Weekend","Weekday")</f>
        <v>Weekend</v>
      </c>
      <c r="I7801" t="str">
        <f>_xlfn.IFS(B7801&lt;=5,"Night (0-5)",B7801&lt;=9,"Morning peak (6-9)",B7801&lt;=15,"Midday (10-15)",B7801&lt;=19,"Evening peak (16-19)",TRUE,"Late evening (20-23)")</f>
        <v>Midday (10-15)</v>
      </c>
    </row>
    <row r="7802" spans="1:9">
      <c r="A7802" s="32">
        <v>42147</v>
      </c>
      <c r="B7802">
        <v>11</v>
      </c>
      <c r="C7802">
        <v>3159</v>
      </c>
      <c r="D7802" t="s">
        <v>304</v>
      </c>
      <c r="E7802">
        <f>YEAR(A7802)</f>
        <v>2015</v>
      </c>
      <c r="F7802" s="33">
        <f>DATE(YEAR(A7802),MONTH(A7802),1)</f>
        <v>42125.0</v>
      </c>
      <c r="G7802" t="str">
        <f>CHOOSE(WEEKDAY(A7802,2),"Mon","Tue","Wed","Thu","Fri","Sat","Sun")</f>
        <v>Sat</v>
      </c>
      <c r="H7802" t="str">
        <f>IF(WEEKDAY(A7802,2)&gt;5,"Weekend","Weekday")</f>
        <v>Weekend</v>
      </c>
      <c r="I7802" t="str">
        <f>_xlfn.IFS(B7802&lt;=5,"Night (0-5)",B7802&lt;=9,"Morning peak (6-9)",B7802&lt;=15,"Midday (10-15)",B7802&lt;=19,"Evening peak (16-19)",TRUE,"Late evening (20-23)")</f>
        <v>Midday (10-15)</v>
      </c>
    </row>
    <row r="7803" spans="1:9">
      <c r="A7803" s="32">
        <v>42147</v>
      </c>
      <c r="B7803">
        <v>12</v>
      </c>
      <c r="C7803">
        <v>3395</v>
      </c>
      <c r="D7803" t="s">
        <v>304</v>
      </c>
      <c r="E7803">
        <f>YEAR(A7803)</f>
        <v>2015</v>
      </c>
      <c r="F7803" s="33">
        <f>DATE(YEAR(A7803),MONTH(A7803),1)</f>
        <v>42125.0</v>
      </c>
      <c r="G7803" t="str">
        <f>CHOOSE(WEEKDAY(A7803,2),"Mon","Tue","Wed","Thu","Fri","Sat","Sun")</f>
        <v>Sat</v>
      </c>
      <c r="H7803" t="str">
        <f>IF(WEEKDAY(A7803,2)&gt;5,"Weekend","Weekday")</f>
        <v>Weekend</v>
      </c>
      <c r="I7803" t="str">
        <f>_xlfn.IFS(B7803&lt;=5,"Night (0-5)",B7803&lt;=9,"Morning peak (6-9)",B7803&lt;=15,"Midday (10-15)",B7803&lt;=19,"Evening peak (16-19)",TRUE,"Late evening (20-23)")</f>
        <v>Midday (10-15)</v>
      </c>
    </row>
    <row r="7804" spans="1:9">
      <c r="A7804" s="32">
        <v>42147</v>
      </c>
      <c r="B7804">
        <v>13</v>
      </c>
      <c r="C7804">
        <v>3338</v>
      </c>
      <c r="D7804" t="s">
        <v>304</v>
      </c>
      <c r="E7804">
        <f>YEAR(A7804)</f>
        <v>2015</v>
      </c>
      <c r="F7804" s="33">
        <f>DATE(YEAR(A7804),MONTH(A7804),1)</f>
        <v>42125.0</v>
      </c>
      <c r="G7804" t="str">
        <f>CHOOSE(WEEKDAY(A7804,2),"Mon","Tue","Wed","Thu","Fri","Sat","Sun")</f>
        <v>Sat</v>
      </c>
      <c r="H7804" t="str">
        <f>IF(WEEKDAY(A7804,2)&gt;5,"Weekend","Weekday")</f>
        <v>Weekend</v>
      </c>
      <c r="I7804" t="str">
        <f>_xlfn.IFS(B7804&lt;=5,"Night (0-5)",B7804&lt;=9,"Morning peak (6-9)",B7804&lt;=15,"Midday (10-15)",B7804&lt;=19,"Evening peak (16-19)",TRUE,"Late evening (20-23)")</f>
        <v>Midday (10-15)</v>
      </c>
    </row>
    <row r="7805" spans="1:9">
      <c r="A7805" s="32">
        <v>42147</v>
      </c>
      <c r="B7805">
        <v>14</v>
      </c>
      <c r="C7805">
        <v>3340</v>
      </c>
      <c r="D7805" t="s">
        <v>304</v>
      </c>
      <c r="E7805">
        <f>YEAR(A7805)</f>
        <v>2015</v>
      </c>
      <c r="F7805" s="33">
        <f>DATE(YEAR(A7805),MONTH(A7805),1)</f>
        <v>42125.0</v>
      </c>
      <c r="G7805" t="str">
        <f>CHOOSE(WEEKDAY(A7805,2),"Mon","Tue","Wed","Thu","Fri","Sat","Sun")</f>
        <v>Sat</v>
      </c>
      <c r="H7805" t="str">
        <f>IF(WEEKDAY(A7805,2)&gt;5,"Weekend","Weekday")</f>
        <v>Weekend</v>
      </c>
      <c r="I7805" t="str">
        <f>_xlfn.IFS(B7805&lt;=5,"Night (0-5)",B7805&lt;=9,"Morning peak (6-9)",B7805&lt;=15,"Midday (10-15)",B7805&lt;=19,"Evening peak (16-19)",TRUE,"Late evening (20-23)")</f>
        <v>Midday (10-15)</v>
      </c>
    </row>
    <row r="7806" spans="1:9">
      <c r="A7806" s="32">
        <v>42147</v>
      </c>
      <c r="B7806">
        <v>15</v>
      </c>
      <c r="C7806">
        <v>3492</v>
      </c>
      <c r="D7806" t="s">
        <v>304</v>
      </c>
      <c r="E7806">
        <f>YEAR(A7806)</f>
        <v>2015</v>
      </c>
      <c r="F7806" s="33">
        <f>DATE(YEAR(A7806),MONTH(A7806),1)</f>
        <v>42125.0</v>
      </c>
      <c r="G7806" t="str">
        <f>CHOOSE(WEEKDAY(A7806,2),"Mon","Tue","Wed","Thu","Fri","Sat","Sun")</f>
        <v>Sat</v>
      </c>
      <c r="H7806" t="str">
        <f>IF(WEEKDAY(A7806,2)&gt;5,"Weekend","Weekday")</f>
        <v>Weekend</v>
      </c>
      <c r="I7806" t="str">
        <f>_xlfn.IFS(B7806&lt;=5,"Night (0-5)",B7806&lt;=9,"Morning peak (6-9)",B7806&lt;=15,"Midday (10-15)",B7806&lt;=19,"Evening peak (16-19)",TRUE,"Late evening (20-23)")</f>
        <v>Midday (10-15)</v>
      </c>
    </row>
    <row r="7807" spans="1:9">
      <c r="A7807" s="32">
        <v>42147</v>
      </c>
      <c r="B7807">
        <v>16</v>
      </c>
      <c r="C7807">
        <v>4044</v>
      </c>
      <c r="D7807" t="s">
        <v>304</v>
      </c>
      <c r="E7807">
        <f>YEAR(A7807)</f>
        <v>2015</v>
      </c>
      <c r="F7807" s="33">
        <f>DATE(YEAR(A7807),MONTH(A7807),1)</f>
        <v>42125.0</v>
      </c>
      <c r="G7807" t="str">
        <f>CHOOSE(WEEKDAY(A7807,2),"Mon","Tue","Wed","Thu","Fri","Sat","Sun")</f>
        <v>Sat</v>
      </c>
      <c r="H7807" t="str">
        <f>IF(WEEKDAY(A7807,2)&gt;5,"Weekend","Weekday")</f>
        <v>Weekend</v>
      </c>
      <c r="I7807" t="str">
        <f>_xlfn.IFS(B7807&lt;=5,"Night (0-5)",B7807&lt;=9,"Morning peak (6-9)",B7807&lt;=15,"Midday (10-15)",B7807&lt;=19,"Evening peak (16-19)",TRUE,"Late evening (20-23)")</f>
        <v>Evening peak (16-19)</v>
      </c>
    </row>
    <row r="7808" spans="1:9">
      <c r="A7808" s="32">
        <v>42147</v>
      </c>
      <c r="B7808">
        <v>17</v>
      </c>
      <c r="C7808">
        <v>4799</v>
      </c>
      <c r="D7808" t="s">
        <v>304</v>
      </c>
      <c r="E7808">
        <f>YEAR(A7808)</f>
        <v>2015</v>
      </c>
      <c r="F7808" s="33">
        <f>DATE(YEAR(A7808),MONTH(A7808),1)</f>
        <v>42125.0</v>
      </c>
      <c r="G7808" t="str">
        <f>CHOOSE(WEEKDAY(A7808,2),"Mon","Tue","Wed","Thu","Fri","Sat","Sun")</f>
        <v>Sat</v>
      </c>
      <c r="H7808" t="str">
        <f>IF(WEEKDAY(A7808,2)&gt;5,"Weekend","Weekday")</f>
        <v>Weekend</v>
      </c>
      <c r="I7808" t="str">
        <f>_xlfn.IFS(B7808&lt;=5,"Night (0-5)",B7808&lt;=9,"Morning peak (6-9)",B7808&lt;=15,"Midday (10-15)",B7808&lt;=19,"Evening peak (16-19)",TRUE,"Late evening (20-23)")</f>
        <v>Evening peak (16-19)</v>
      </c>
    </row>
    <row r="7809" spans="1:9">
      <c r="A7809" s="32">
        <v>42147</v>
      </c>
      <c r="B7809">
        <v>18</v>
      </c>
      <c r="C7809">
        <v>4528</v>
      </c>
      <c r="D7809" t="s">
        <v>304</v>
      </c>
      <c r="E7809">
        <f>YEAR(A7809)</f>
        <v>2015</v>
      </c>
      <c r="F7809" s="33">
        <f>DATE(YEAR(A7809),MONTH(A7809),1)</f>
        <v>42125.0</v>
      </c>
      <c r="G7809" t="str">
        <f>CHOOSE(WEEKDAY(A7809,2),"Mon","Tue","Wed","Thu","Fri","Sat","Sun")</f>
        <v>Sat</v>
      </c>
      <c r="H7809" t="str">
        <f>IF(WEEKDAY(A7809,2)&gt;5,"Weekend","Weekday")</f>
        <v>Weekend</v>
      </c>
      <c r="I7809" t="str">
        <f>_xlfn.IFS(B7809&lt;=5,"Night (0-5)",B7809&lt;=9,"Morning peak (6-9)",B7809&lt;=15,"Midday (10-15)",B7809&lt;=19,"Evening peak (16-19)",TRUE,"Late evening (20-23)")</f>
        <v>Evening peak (16-19)</v>
      </c>
    </row>
    <row r="7810" spans="1:9">
      <c r="A7810" s="32">
        <v>42147</v>
      </c>
      <c r="B7810">
        <v>19</v>
      </c>
      <c r="C7810">
        <v>4752</v>
      </c>
      <c r="D7810" t="s">
        <v>304</v>
      </c>
      <c r="E7810">
        <f>YEAR(A7810)</f>
        <v>2015</v>
      </c>
      <c r="F7810" s="33">
        <f>DATE(YEAR(A7810),MONTH(A7810),1)</f>
        <v>42125.0</v>
      </c>
      <c r="G7810" t="str">
        <f>CHOOSE(WEEKDAY(A7810,2),"Mon","Tue","Wed","Thu","Fri","Sat","Sun")</f>
        <v>Sat</v>
      </c>
      <c r="H7810" t="str">
        <f>IF(WEEKDAY(A7810,2)&gt;5,"Weekend","Weekday")</f>
        <v>Weekend</v>
      </c>
      <c r="I7810" t="str">
        <f>_xlfn.IFS(B7810&lt;=5,"Night (0-5)",B7810&lt;=9,"Morning peak (6-9)",B7810&lt;=15,"Midday (10-15)",B7810&lt;=19,"Evening peak (16-19)",TRUE,"Late evening (20-23)")</f>
        <v>Evening peak (16-19)</v>
      </c>
    </row>
    <row r="7811" spans="1:9">
      <c r="A7811" s="32">
        <v>42147</v>
      </c>
      <c r="B7811">
        <v>20</v>
      </c>
      <c r="C7811">
        <v>4380</v>
      </c>
      <c r="D7811" t="s">
        <v>304</v>
      </c>
      <c r="E7811">
        <f>YEAR(A7811)</f>
        <v>2015</v>
      </c>
      <c r="F7811" s="33">
        <f>DATE(YEAR(A7811),MONTH(A7811),1)</f>
        <v>42125.0</v>
      </c>
      <c r="G7811" t="str">
        <f>CHOOSE(WEEKDAY(A7811,2),"Mon","Tue","Wed","Thu","Fri","Sat","Sun")</f>
        <v>Sat</v>
      </c>
      <c r="H7811" t="str">
        <f>IF(WEEKDAY(A7811,2)&gt;5,"Weekend","Weekday")</f>
        <v>Weekend</v>
      </c>
      <c r="I7811" t="str">
        <f>_xlfn.IFS(B7811&lt;=5,"Night (0-5)",B7811&lt;=9,"Morning peak (6-9)",B7811&lt;=15,"Midday (10-15)",B7811&lt;=19,"Evening peak (16-19)",TRUE,"Late evening (20-23)")</f>
        <v>Late evening (20-23)</v>
      </c>
    </row>
    <row r="7812" spans="1:9">
      <c r="A7812" s="32">
        <v>42147</v>
      </c>
      <c r="B7812">
        <v>21</v>
      </c>
      <c r="C7812">
        <v>4602</v>
      </c>
      <c r="D7812" t="s">
        <v>304</v>
      </c>
      <c r="E7812">
        <f>YEAR(A7812)</f>
        <v>2015</v>
      </c>
      <c r="F7812" s="33">
        <f>DATE(YEAR(A7812),MONTH(A7812),1)</f>
        <v>42125.0</v>
      </c>
      <c r="G7812" t="str">
        <f>CHOOSE(WEEKDAY(A7812,2),"Mon","Tue","Wed","Thu","Fri","Sat","Sun")</f>
        <v>Sat</v>
      </c>
      <c r="H7812" t="str">
        <f>IF(WEEKDAY(A7812,2)&gt;5,"Weekend","Weekday")</f>
        <v>Weekend</v>
      </c>
      <c r="I7812" t="str">
        <f>_xlfn.IFS(B7812&lt;=5,"Night (0-5)",B7812&lt;=9,"Morning peak (6-9)",B7812&lt;=15,"Midday (10-15)",B7812&lt;=19,"Evening peak (16-19)",TRUE,"Late evening (20-23)")</f>
        <v>Late evening (20-23)</v>
      </c>
    </row>
    <row r="7813" spans="1:9">
      <c r="A7813" s="32">
        <v>42147</v>
      </c>
      <c r="B7813">
        <v>22</v>
      </c>
      <c r="C7813">
        <v>5037</v>
      </c>
      <c r="D7813" t="s">
        <v>304</v>
      </c>
      <c r="E7813">
        <f>YEAR(A7813)</f>
        <v>2015</v>
      </c>
      <c r="F7813" s="33">
        <f>DATE(YEAR(A7813),MONTH(A7813),1)</f>
        <v>42125.0</v>
      </c>
      <c r="G7813" t="str">
        <f>CHOOSE(WEEKDAY(A7813,2),"Mon","Tue","Wed","Thu","Fri","Sat","Sun")</f>
        <v>Sat</v>
      </c>
      <c r="H7813" t="str">
        <f>IF(WEEKDAY(A7813,2)&gt;5,"Weekend","Weekday")</f>
        <v>Weekend</v>
      </c>
      <c r="I7813" t="str">
        <f>_xlfn.IFS(B7813&lt;=5,"Night (0-5)",B7813&lt;=9,"Morning peak (6-9)",B7813&lt;=15,"Midday (10-15)",B7813&lt;=19,"Evening peak (16-19)",TRUE,"Late evening (20-23)")</f>
        <v>Late evening (20-23)</v>
      </c>
    </row>
    <row r="7814" spans="1:9">
      <c r="A7814" s="32">
        <v>42147</v>
      </c>
      <c r="B7814">
        <v>23</v>
      </c>
      <c r="C7814">
        <v>5043</v>
      </c>
      <c r="D7814" t="s">
        <v>304</v>
      </c>
      <c r="E7814">
        <f>YEAR(A7814)</f>
        <v>2015</v>
      </c>
      <c r="F7814" s="33">
        <f>DATE(YEAR(A7814),MONTH(A7814),1)</f>
        <v>42125.0</v>
      </c>
      <c r="G7814" t="str">
        <f>CHOOSE(WEEKDAY(A7814,2),"Mon","Tue","Wed","Thu","Fri","Sat","Sun")</f>
        <v>Sat</v>
      </c>
      <c r="H7814" t="str">
        <f>IF(WEEKDAY(A7814,2)&gt;5,"Weekend","Weekday")</f>
        <v>Weekend</v>
      </c>
      <c r="I7814" t="str">
        <f>_xlfn.IFS(B7814&lt;=5,"Night (0-5)",B7814&lt;=9,"Morning peak (6-9)",B7814&lt;=15,"Midday (10-15)",B7814&lt;=19,"Evening peak (16-19)",TRUE,"Late evening (20-23)")</f>
        <v>Late evening (20-23)</v>
      </c>
    </row>
    <row r="7815" spans="1:9">
      <c r="A7815" s="32">
        <v>42148</v>
      </c>
      <c r="B7815">
        <v>0</v>
      </c>
      <c r="C7815">
        <v>4752</v>
      </c>
      <c r="D7815" t="s">
        <v>304</v>
      </c>
      <c r="E7815">
        <f>YEAR(A7815)</f>
        <v>2015</v>
      </c>
      <c r="F7815" s="33">
        <f>DATE(YEAR(A7815),MONTH(A7815),1)</f>
        <v>42125.0</v>
      </c>
      <c r="G7815" t="str">
        <f>CHOOSE(WEEKDAY(A7815,2),"Mon","Tue","Wed","Thu","Fri","Sat","Sun")</f>
        <v>Sun</v>
      </c>
      <c r="H7815" t="str">
        <f>IF(WEEKDAY(A7815,2)&gt;5,"Weekend","Weekday")</f>
        <v>Weekend</v>
      </c>
      <c r="I7815" t="str">
        <f>_xlfn.IFS(B7815&lt;=5,"Night (0-5)",B7815&lt;=9,"Morning peak (6-9)",B7815&lt;=15,"Midday (10-15)",B7815&lt;=19,"Evening peak (16-19)",TRUE,"Late evening (20-23)")</f>
        <v>Night (0-5)</v>
      </c>
    </row>
    <row r="7816" spans="1:9">
      <c r="A7816" s="32">
        <v>42148</v>
      </c>
      <c r="B7816">
        <v>1</v>
      </c>
      <c r="C7816">
        <v>3361</v>
      </c>
      <c r="D7816" t="s">
        <v>304</v>
      </c>
      <c r="E7816">
        <f>YEAR(A7816)</f>
        <v>2015</v>
      </c>
      <c r="F7816" s="33">
        <f>DATE(YEAR(A7816),MONTH(A7816),1)</f>
        <v>42125.0</v>
      </c>
      <c r="G7816" t="str">
        <f>CHOOSE(WEEKDAY(A7816,2),"Mon","Tue","Wed","Thu","Fri","Sat","Sun")</f>
        <v>Sun</v>
      </c>
      <c r="H7816" t="str">
        <f>IF(WEEKDAY(A7816,2)&gt;5,"Weekend","Weekday")</f>
        <v>Weekend</v>
      </c>
      <c r="I7816" t="str">
        <f>_xlfn.IFS(B7816&lt;=5,"Night (0-5)",B7816&lt;=9,"Morning peak (6-9)",B7816&lt;=15,"Midday (10-15)",B7816&lt;=19,"Evening peak (16-19)",TRUE,"Late evening (20-23)")</f>
        <v>Night (0-5)</v>
      </c>
    </row>
    <row r="7817" spans="1:9">
      <c r="A7817" s="32">
        <v>42148</v>
      </c>
      <c r="B7817">
        <v>2</v>
      </c>
      <c r="C7817">
        <v>2418</v>
      </c>
      <c r="D7817" t="s">
        <v>304</v>
      </c>
      <c r="E7817">
        <f>YEAR(A7817)</f>
        <v>2015</v>
      </c>
      <c r="F7817" s="33">
        <f>DATE(YEAR(A7817),MONTH(A7817),1)</f>
        <v>42125.0</v>
      </c>
      <c r="G7817" t="str">
        <f>CHOOSE(WEEKDAY(A7817,2),"Mon","Tue","Wed","Thu","Fri","Sat","Sun")</f>
        <v>Sun</v>
      </c>
      <c r="H7817" t="str">
        <f>IF(WEEKDAY(A7817,2)&gt;5,"Weekend","Weekday")</f>
        <v>Weekend</v>
      </c>
      <c r="I7817" t="str">
        <f>_xlfn.IFS(B7817&lt;=5,"Night (0-5)",B7817&lt;=9,"Morning peak (6-9)",B7817&lt;=15,"Midday (10-15)",B7817&lt;=19,"Evening peak (16-19)",TRUE,"Late evening (20-23)")</f>
        <v>Night (0-5)</v>
      </c>
    </row>
    <row r="7818" spans="1:9">
      <c r="A7818" s="32">
        <v>42148</v>
      </c>
      <c r="B7818">
        <v>3</v>
      </c>
      <c r="C7818">
        <v>1867</v>
      </c>
      <c r="D7818" t="s">
        <v>304</v>
      </c>
      <c r="E7818">
        <f>YEAR(A7818)</f>
        <v>2015</v>
      </c>
      <c r="F7818" s="33">
        <f>DATE(YEAR(A7818),MONTH(A7818),1)</f>
        <v>42125.0</v>
      </c>
      <c r="G7818" t="str">
        <f>CHOOSE(WEEKDAY(A7818,2),"Mon","Tue","Wed","Thu","Fri","Sat","Sun")</f>
        <v>Sun</v>
      </c>
      <c r="H7818" t="str">
        <f>IF(WEEKDAY(A7818,2)&gt;5,"Weekend","Weekday")</f>
        <v>Weekend</v>
      </c>
      <c r="I7818" t="str">
        <f>_xlfn.IFS(B7818&lt;=5,"Night (0-5)",B7818&lt;=9,"Morning peak (6-9)",B7818&lt;=15,"Midday (10-15)",B7818&lt;=19,"Evening peak (16-19)",TRUE,"Late evening (20-23)")</f>
        <v>Night (0-5)</v>
      </c>
    </row>
    <row r="7819" spans="1:9">
      <c r="A7819" s="32">
        <v>42148</v>
      </c>
      <c r="B7819">
        <v>4</v>
      </c>
      <c r="C7819">
        <v>1391</v>
      </c>
      <c r="D7819" t="s">
        <v>304</v>
      </c>
      <c r="E7819">
        <f>YEAR(A7819)</f>
        <v>2015</v>
      </c>
      <c r="F7819" s="33">
        <f>DATE(YEAR(A7819),MONTH(A7819),1)</f>
        <v>42125.0</v>
      </c>
      <c r="G7819" t="str">
        <f>CHOOSE(WEEKDAY(A7819,2),"Mon","Tue","Wed","Thu","Fri","Sat","Sun")</f>
        <v>Sun</v>
      </c>
      <c r="H7819" t="str">
        <f>IF(WEEKDAY(A7819,2)&gt;5,"Weekend","Weekday")</f>
        <v>Weekend</v>
      </c>
      <c r="I7819" t="str">
        <f>_xlfn.IFS(B7819&lt;=5,"Night (0-5)",B7819&lt;=9,"Morning peak (6-9)",B7819&lt;=15,"Midday (10-15)",B7819&lt;=19,"Evening peak (16-19)",TRUE,"Late evening (20-23)")</f>
        <v>Night (0-5)</v>
      </c>
    </row>
    <row r="7820" spans="1:9">
      <c r="A7820" s="32">
        <v>42148</v>
      </c>
      <c r="B7820">
        <v>5</v>
      </c>
      <c r="C7820">
        <v>891</v>
      </c>
      <c r="D7820" t="s">
        <v>304</v>
      </c>
      <c r="E7820">
        <f>YEAR(A7820)</f>
        <v>2015</v>
      </c>
      <c r="F7820" s="33">
        <f>DATE(YEAR(A7820),MONTH(A7820),1)</f>
        <v>42125.0</v>
      </c>
      <c r="G7820" t="str">
        <f>CHOOSE(WEEKDAY(A7820,2),"Mon","Tue","Wed","Thu","Fri","Sat","Sun")</f>
        <v>Sun</v>
      </c>
      <c r="H7820" t="str">
        <f>IF(WEEKDAY(A7820,2)&gt;5,"Weekend","Weekday")</f>
        <v>Weekend</v>
      </c>
      <c r="I7820" t="str">
        <f>_xlfn.IFS(B7820&lt;=5,"Night (0-5)",B7820&lt;=9,"Morning peak (6-9)",B7820&lt;=15,"Midday (10-15)",B7820&lt;=19,"Evening peak (16-19)",TRUE,"Late evening (20-23)")</f>
        <v>Night (0-5)</v>
      </c>
    </row>
    <row r="7821" spans="1:9">
      <c r="A7821" s="32">
        <v>42148</v>
      </c>
      <c r="B7821">
        <v>6</v>
      </c>
      <c r="C7821">
        <v>822</v>
      </c>
      <c r="D7821" t="s">
        <v>304</v>
      </c>
      <c r="E7821">
        <f>YEAR(A7821)</f>
        <v>2015</v>
      </c>
      <c r="F7821" s="33">
        <f>DATE(YEAR(A7821),MONTH(A7821),1)</f>
        <v>42125.0</v>
      </c>
      <c r="G7821" t="str">
        <f>CHOOSE(WEEKDAY(A7821,2),"Mon","Tue","Wed","Thu","Fri","Sat","Sun")</f>
        <v>Sun</v>
      </c>
      <c r="H7821" t="str">
        <f>IF(WEEKDAY(A7821,2)&gt;5,"Weekend","Weekday")</f>
        <v>Weekend</v>
      </c>
      <c r="I7821" t="str">
        <f>_xlfn.IFS(B7821&lt;=5,"Night (0-5)",B7821&lt;=9,"Morning peak (6-9)",B7821&lt;=15,"Midday (10-15)",B7821&lt;=19,"Evening peak (16-19)",TRUE,"Late evening (20-23)")</f>
        <v>Morning peak (6-9)</v>
      </c>
    </row>
    <row r="7822" spans="1:9">
      <c r="A7822" s="32">
        <v>42148</v>
      </c>
      <c r="B7822">
        <v>7</v>
      </c>
      <c r="C7822">
        <v>942</v>
      </c>
      <c r="D7822" t="s">
        <v>304</v>
      </c>
      <c r="E7822">
        <f>YEAR(A7822)</f>
        <v>2015</v>
      </c>
      <c r="F7822" s="33">
        <f>DATE(YEAR(A7822),MONTH(A7822),1)</f>
        <v>42125.0</v>
      </c>
      <c r="G7822" t="str">
        <f>CHOOSE(WEEKDAY(A7822,2),"Mon","Tue","Wed","Thu","Fri","Sat","Sun")</f>
        <v>Sun</v>
      </c>
      <c r="H7822" t="str">
        <f>IF(WEEKDAY(A7822,2)&gt;5,"Weekend","Weekday")</f>
        <v>Weekend</v>
      </c>
      <c r="I7822" t="str">
        <f>_xlfn.IFS(B7822&lt;=5,"Night (0-5)",B7822&lt;=9,"Morning peak (6-9)",B7822&lt;=15,"Midday (10-15)",B7822&lt;=19,"Evening peak (16-19)",TRUE,"Late evening (20-23)")</f>
        <v>Morning peak (6-9)</v>
      </c>
    </row>
    <row r="7823" spans="1:9">
      <c r="A7823" s="32">
        <v>42148</v>
      </c>
      <c r="B7823">
        <v>8</v>
      </c>
      <c r="C7823">
        <v>1211</v>
      </c>
      <c r="D7823" t="s">
        <v>304</v>
      </c>
      <c r="E7823">
        <f>YEAR(A7823)</f>
        <v>2015</v>
      </c>
      <c r="F7823" s="33">
        <f>DATE(YEAR(A7823),MONTH(A7823),1)</f>
        <v>42125.0</v>
      </c>
      <c r="G7823" t="str">
        <f>CHOOSE(WEEKDAY(A7823,2),"Mon","Tue","Wed","Thu","Fri","Sat","Sun")</f>
        <v>Sun</v>
      </c>
      <c r="H7823" t="str">
        <f>IF(WEEKDAY(A7823,2)&gt;5,"Weekend","Weekday")</f>
        <v>Weekend</v>
      </c>
      <c r="I7823" t="str">
        <f>_xlfn.IFS(B7823&lt;=5,"Night (0-5)",B7823&lt;=9,"Morning peak (6-9)",B7823&lt;=15,"Midday (10-15)",B7823&lt;=19,"Evening peak (16-19)",TRUE,"Late evening (20-23)")</f>
        <v>Morning peak (6-9)</v>
      </c>
    </row>
    <row r="7824" spans="1:9">
      <c r="A7824" s="32">
        <v>42148</v>
      </c>
      <c r="B7824">
        <v>9</v>
      </c>
      <c r="C7824">
        <v>1735</v>
      </c>
      <c r="D7824" t="s">
        <v>304</v>
      </c>
      <c r="E7824">
        <f>YEAR(A7824)</f>
        <v>2015</v>
      </c>
      <c r="F7824" s="33">
        <f>DATE(YEAR(A7824),MONTH(A7824),1)</f>
        <v>42125.0</v>
      </c>
      <c r="G7824" t="str">
        <f>CHOOSE(WEEKDAY(A7824,2),"Mon","Tue","Wed","Thu","Fri","Sat","Sun")</f>
        <v>Sun</v>
      </c>
      <c r="H7824" t="str">
        <f>IF(WEEKDAY(A7824,2)&gt;5,"Weekend","Weekday")</f>
        <v>Weekend</v>
      </c>
      <c r="I7824" t="str">
        <f>_xlfn.IFS(B7824&lt;=5,"Night (0-5)",B7824&lt;=9,"Morning peak (6-9)",B7824&lt;=15,"Midday (10-15)",B7824&lt;=19,"Evening peak (16-19)",TRUE,"Late evening (20-23)")</f>
        <v>Morning peak (6-9)</v>
      </c>
    </row>
    <row r="7825" spans="1:9">
      <c r="A7825" s="32">
        <v>42148</v>
      </c>
      <c r="B7825">
        <v>10</v>
      </c>
      <c r="C7825">
        <v>2389</v>
      </c>
      <c r="D7825" t="s">
        <v>304</v>
      </c>
      <c r="E7825">
        <f>YEAR(A7825)</f>
        <v>2015</v>
      </c>
      <c r="F7825" s="33">
        <f>DATE(YEAR(A7825),MONTH(A7825),1)</f>
        <v>42125.0</v>
      </c>
      <c r="G7825" t="str">
        <f>CHOOSE(WEEKDAY(A7825,2),"Mon","Tue","Wed","Thu","Fri","Sat","Sun")</f>
        <v>Sun</v>
      </c>
      <c r="H7825" t="str">
        <f>IF(WEEKDAY(A7825,2)&gt;5,"Weekend","Weekday")</f>
        <v>Weekend</v>
      </c>
      <c r="I7825" t="str">
        <f>_xlfn.IFS(B7825&lt;=5,"Night (0-5)",B7825&lt;=9,"Morning peak (6-9)",B7825&lt;=15,"Midday (10-15)",B7825&lt;=19,"Evening peak (16-19)",TRUE,"Late evening (20-23)")</f>
        <v>Midday (10-15)</v>
      </c>
    </row>
    <row r="7826" spans="1:9">
      <c r="A7826" s="32">
        <v>42148</v>
      </c>
      <c r="B7826">
        <v>11</v>
      </c>
      <c r="C7826">
        <v>2869</v>
      </c>
      <c r="D7826" t="s">
        <v>304</v>
      </c>
      <c r="E7826">
        <f>YEAR(A7826)</f>
        <v>2015</v>
      </c>
      <c r="F7826" s="33">
        <f>DATE(YEAR(A7826),MONTH(A7826),1)</f>
        <v>42125.0</v>
      </c>
      <c r="G7826" t="str">
        <f>CHOOSE(WEEKDAY(A7826,2),"Mon","Tue","Wed","Thu","Fri","Sat","Sun")</f>
        <v>Sun</v>
      </c>
      <c r="H7826" t="str">
        <f>IF(WEEKDAY(A7826,2)&gt;5,"Weekend","Weekday")</f>
        <v>Weekend</v>
      </c>
      <c r="I7826" t="str">
        <f>_xlfn.IFS(B7826&lt;=5,"Night (0-5)",B7826&lt;=9,"Morning peak (6-9)",B7826&lt;=15,"Midday (10-15)",B7826&lt;=19,"Evening peak (16-19)",TRUE,"Late evening (20-23)")</f>
        <v>Midday (10-15)</v>
      </c>
    </row>
    <row r="7827" spans="1:9">
      <c r="A7827" s="32">
        <v>42148</v>
      </c>
      <c r="B7827">
        <v>12</v>
      </c>
      <c r="C7827">
        <v>3003</v>
      </c>
      <c r="D7827" t="s">
        <v>304</v>
      </c>
      <c r="E7827">
        <f>YEAR(A7827)</f>
        <v>2015</v>
      </c>
      <c r="F7827" s="33">
        <f>DATE(YEAR(A7827),MONTH(A7827),1)</f>
        <v>42125.0</v>
      </c>
      <c r="G7827" t="str">
        <f>CHOOSE(WEEKDAY(A7827,2),"Mon","Tue","Wed","Thu","Fri","Sat","Sun")</f>
        <v>Sun</v>
      </c>
      <c r="H7827" t="str">
        <f>IF(WEEKDAY(A7827,2)&gt;5,"Weekend","Weekday")</f>
        <v>Weekend</v>
      </c>
      <c r="I7827" t="str">
        <f>_xlfn.IFS(B7827&lt;=5,"Night (0-5)",B7827&lt;=9,"Morning peak (6-9)",B7827&lt;=15,"Midday (10-15)",B7827&lt;=19,"Evening peak (16-19)",TRUE,"Late evening (20-23)")</f>
        <v>Midday (10-15)</v>
      </c>
    </row>
    <row r="7828" spans="1:9">
      <c r="A7828" s="32">
        <v>42148</v>
      </c>
      <c r="B7828">
        <v>13</v>
      </c>
      <c r="C7828">
        <v>3230</v>
      </c>
      <c r="D7828" t="s">
        <v>304</v>
      </c>
      <c r="E7828">
        <f>YEAR(A7828)</f>
        <v>2015</v>
      </c>
      <c r="F7828" s="33">
        <f>DATE(YEAR(A7828),MONTH(A7828),1)</f>
        <v>42125.0</v>
      </c>
      <c r="G7828" t="str">
        <f>CHOOSE(WEEKDAY(A7828,2),"Mon","Tue","Wed","Thu","Fri","Sat","Sun")</f>
        <v>Sun</v>
      </c>
      <c r="H7828" t="str">
        <f>IF(WEEKDAY(A7828,2)&gt;5,"Weekend","Weekday")</f>
        <v>Weekend</v>
      </c>
      <c r="I7828" t="str">
        <f>_xlfn.IFS(B7828&lt;=5,"Night (0-5)",B7828&lt;=9,"Morning peak (6-9)",B7828&lt;=15,"Midday (10-15)",B7828&lt;=19,"Evening peak (16-19)",TRUE,"Late evening (20-23)")</f>
        <v>Midday (10-15)</v>
      </c>
    </row>
    <row r="7829" spans="1:9">
      <c r="A7829" s="32">
        <v>42148</v>
      </c>
      <c r="B7829">
        <v>14</v>
      </c>
      <c r="C7829">
        <v>3473</v>
      </c>
      <c r="D7829" t="s">
        <v>304</v>
      </c>
      <c r="E7829">
        <f>YEAR(A7829)</f>
        <v>2015</v>
      </c>
      <c r="F7829" s="33">
        <f>DATE(YEAR(A7829),MONTH(A7829),1)</f>
        <v>42125.0</v>
      </c>
      <c r="G7829" t="str">
        <f>CHOOSE(WEEKDAY(A7829,2),"Mon","Tue","Wed","Thu","Fri","Sat","Sun")</f>
        <v>Sun</v>
      </c>
      <c r="H7829" t="str">
        <f>IF(WEEKDAY(A7829,2)&gt;5,"Weekend","Weekday")</f>
        <v>Weekend</v>
      </c>
      <c r="I7829" t="str">
        <f>_xlfn.IFS(B7829&lt;=5,"Night (0-5)",B7829&lt;=9,"Morning peak (6-9)",B7829&lt;=15,"Midday (10-15)",B7829&lt;=19,"Evening peak (16-19)",TRUE,"Late evening (20-23)")</f>
        <v>Midday (10-15)</v>
      </c>
    </row>
    <row r="7830" spans="1:9">
      <c r="A7830" s="32">
        <v>42148</v>
      </c>
      <c r="B7830">
        <v>15</v>
      </c>
      <c r="C7830">
        <v>3484</v>
      </c>
      <c r="D7830" t="s">
        <v>304</v>
      </c>
      <c r="E7830">
        <f>YEAR(A7830)</f>
        <v>2015</v>
      </c>
      <c r="F7830" s="33">
        <f>DATE(YEAR(A7830),MONTH(A7830),1)</f>
        <v>42125.0</v>
      </c>
      <c r="G7830" t="str">
        <f>CHOOSE(WEEKDAY(A7830,2),"Mon","Tue","Wed","Thu","Fri","Sat","Sun")</f>
        <v>Sun</v>
      </c>
      <c r="H7830" t="str">
        <f>IF(WEEKDAY(A7830,2)&gt;5,"Weekend","Weekday")</f>
        <v>Weekend</v>
      </c>
      <c r="I7830" t="str">
        <f>_xlfn.IFS(B7830&lt;=5,"Night (0-5)",B7830&lt;=9,"Morning peak (6-9)",B7830&lt;=15,"Midday (10-15)",B7830&lt;=19,"Evening peak (16-19)",TRUE,"Late evening (20-23)")</f>
        <v>Midday (10-15)</v>
      </c>
    </row>
    <row r="7831" spans="1:9">
      <c r="A7831" s="32">
        <v>42148</v>
      </c>
      <c r="B7831">
        <v>16</v>
      </c>
      <c r="C7831">
        <v>3626</v>
      </c>
      <c r="D7831" t="s">
        <v>304</v>
      </c>
      <c r="E7831">
        <f>YEAR(A7831)</f>
        <v>2015</v>
      </c>
      <c r="F7831" s="33">
        <f>DATE(YEAR(A7831),MONTH(A7831),1)</f>
        <v>42125.0</v>
      </c>
      <c r="G7831" t="str">
        <f>CHOOSE(WEEKDAY(A7831,2),"Mon","Tue","Wed","Thu","Fri","Sat","Sun")</f>
        <v>Sun</v>
      </c>
      <c r="H7831" t="str">
        <f>IF(WEEKDAY(A7831,2)&gt;5,"Weekend","Weekday")</f>
        <v>Weekend</v>
      </c>
      <c r="I7831" t="str">
        <f>_xlfn.IFS(B7831&lt;=5,"Night (0-5)",B7831&lt;=9,"Morning peak (6-9)",B7831&lt;=15,"Midday (10-15)",B7831&lt;=19,"Evening peak (16-19)",TRUE,"Late evening (20-23)")</f>
        <v>Evening peak (16-19)</v>
      </c>
    </row>
    <row r="7832" spans="1:9">
      <c r="A7832" s="32">
        <v>42148</v>
      </c>
      <c r="B7832">
        <v>17</v>
      </c>
      <c r="C7832">
        <v>3857</v>
      </c>
      <c r="D7832" t="s">
        <v>304</v>
      </c>
      <c r="E7832">
        <f>YEAR(A7832)</f>
        <v>2015</v>
      </c>
      <c r="F7832" s="33">
        <f>DATE(YEAR(A7832),MONTH(A7832),1)</f>
        <v>42125.0</v>
      </c>
      <c r="G7832" t="str">
        <f>CHOOSE(WEEKDAY(A7832,2),"Mon","Tue","Wed","Thu","Fri","Sat","Sun")</f>
        <v>Sun</v>
      </c>
      <c r="H7832" t="str">
        <f>IF(WEEKDAY(A7832,2)&gt;5,"Weekend","Weekday")</f>
        <v>Weekend</v>
      </c>
      <c r="I7832" t="str">
        <f>_xlfn.IFS(B7832&lt;=5,"Night (0-5)",B7832&lt;=9,"Morning peak (6-9)",B7832&lt;=15,"Midday (10-15)",B7832&lt;=19,"Evening peak (16-19)",TRUE,"Late evening (20-23)")</f>
        <v>Evening peak (16-19)</v>
      </c>
    </row>
    <row r="7833" spans="1:9">
      <c r="A7833" s="32">
        <v>42148</v>
      </c>
      <c r="B7833">
        <v>18</v>
      </c>
      <c r="C7833">
        <v>3832</v>
      </c>
      <c r="D7833" t="s">
        <v>304</v>
      </c>
      <c r="E7833">
        <f>YEAR(A7833)</f>
        <v>2015</v>
      </c>
      <c r="F7833" s="33">
        <f>DATE(YEAR(A7833),MONTH(A7833),1)</f>
        <v>42125.0</v>
      </c>
      <c r="G7833" t="str">
        <f>CHOOSE(WEEKDAY(A7833,2),"Mon","Tue","Wed","Thu","Fri","Sat","Sun")</f>
        <v>Sun</v>
      </c>
      <c r="H7833" t="str">
        <f>IF(WEEKDAY(A7833,2)&gt;5,"Weekend","Weekday")</f>
        <v>Weekend</v>
      </c>
      <c r="I7833" t="str">
        <f>_xlfn.IFS(B7833&lt;=5,"Night (0-5)",B7833&lt;=9,"Morning peak (6-9)",B7833&lt;=15,"Midday (10-15)",B7833&lt;=19,"Evening peak (16-19)",TRUE,"Late evening (20-23)")</f>
        <v>Evening peak (16-19)</v>
      </c>
    </row>
    <row r="7834" spans="1:9">
      <c r="A7834" s="32">
        <v>42148</v>
      </c>
      <c r="B7834">
        <v>19</v>
      </c>
      <c r="C7834">
        <v>3882</v>
      </c>
      <c r="D7834" t="s">
        <v>304</v>
      </c>
      <c r="E7834">
        <f>YEAR(A7834)</f>
        <v>2015</v>
      </c>
      <c r="F7834" s="33">
        <f>DATE(YEAR(A7834),MONTH(A7834),1)</f>
        <v>42125.0</v>
      </c>
      <c r="G7834" t="str">
        <f>CHOOSE(WEEKDAY(A7834,2),"Mon","Tue","Wed","Thu","Fri","Sat","Sun")</f>
        <v>Sun</v>
      </c>
      <c r="H7834" t="str">
        <f>IF(WEEKDAY(A7834,2)&gt;5,"Weekend","Weekday")</f>
        <v>Weekend</v>
      </c>
      <c r="I7834" t="str">
        <f>_xlfn.IFS(B7834&lt;=5,"Night (0-5)",B7834&lt;=9,"Morning peak (6-9)",B7834&lt;=15,"Midday (10-15)",B7834&lt;=19,"Evening peak (16-19)",TRUE,"Late evening (20-23)")</f>
        <v>Evening peak (16-19)</v>
      </c>
    </row>
    <row r="7835" spans="1:9">
      <c r="A7835" s="32">
        <v>42148</v>
      </c>
      <c r="B7835">
        <v>20</v>
      </c>
      <c r="C7835">
        <v>3644</v>
      </c>
      <c r="D7835" t="s">
        <v>304</v>
      </c>
      <c r="E7835">
        <f>YEAR(A7835)</f>
        <v>2015</v>
      </c>
      <c r="F7835" s="33">
        <f>DATE(YEAR(A7835),MONTH(A7835),1)</f>
        <v>42125.0</v>
      </c>
      <c r="G7835" t="str">
        <f>CHOOSE(WEEKDAY(A7835,2),"Mon","Tue","Wed","Thu","Fri","Sat","Sun")</f>
        <v>Sun</v>
      </c>
      <c r="H7835" t="str">
        <f>IF(WEEKDAY(A7835,2)&gt;5,"Weekend","Weekday")</f>
        <v>Weekend</v>
      </c>
      <c r="I7835" t="str">
        <f>_xlfn.IFS(B7835&lt;=5,"Night (0-5)",B7835&lt;=9,"Morning peak (6-9)",B7835&lt;=15,"Midday (10-15)",B7835&lt;=19,"Evening peak (16-19)",TRUE,"Late evening (20-23)")</f>
        <v>Late evening (20-23)</v>
      </c>
    </row>
    <row r="7836" spans="1:9">
      <c r="A7836" s="32">
        <v>42148</v>
      </c>
      <c r="B7836">
        <v>21</v>
      </c>
      <c r="C7836">
        <v>3660</v>
      </c>
      <c r="D7836" t="s">
        <v>304</v>
      </c>
      <c r="E7836">
        <f>YEAR(A7836)</f>
        <v>2015</v>
      </c>
      <c r="F7836" s="33">
        <f>DATE(YEAR(A7836),MONTH(A7836),1)</f>
        <v>42125.0</v>
      </c>
      <c r="G7836" t="str">
        <f>CHOOSE(WEEKDAY(A7836,2),"Mon","Tue","Wed","Thu","Fri","Sat","Sun")</f>
        <v>Sun</v>
      </c>
      <c r="H7836" t="str">
        <f>IF(WEEKDAY(A7836,2)&gt;5,"Weekend","Weekday")</f>
        <v>Weekend</v>
      </c>
      <c r="I7836" t="str">
        <f>_xlfn.IFS(B7836&lt;=5,"Night (0-5)",B7836&lt;=9,"Morning peak (6-9)",B7836&lt;=15,"Midday (10-15)",B7836&lt;=19,"Evening peak (16-19)",TRUE,"Late evening (20-23)")</f>
        <v>Late evening (20-23)</v>
      </c>
    </row>
    <row r="7837" spans="1:9">
      <c r="A7837" s="32">
        <v>42148</v>
      </c>
      <c r="B7837">
        <v>22</v>
      </c>
      <c r="C7837">
        <v>3910</v>
      </c>
      <c r="D7837" t="s">
        <v>304</v>
      </c>
      <c r="E7837">
        <f>YEAR(A7837)</f>
        <v>2015</v>
      </c>
      <c r="F7837" s="33">
        <f>DATE(YEAR(A7837),MONTH(A7837),1)</f>
        <v>42125.0</v>
      </c>
      <c r="G7837" t="str">
        <f>CHOOSE(WEEKDAY(A7837,2),"Mon","Tue","Wed","Thu","Fri","Sat","Sun")</f>
        <v>Sun</v>
      </c>
      <c r="H7837" t="str">
        <f>IF(WEEKDAY(A7837,2)&gt;5,"Weekend","Weekday")</f>
        <v>Weekend</v>
      </c>
      <c r="I7837" t="str">
        <f>_xlfn.IFS(B7837&lt;=5,"Night (0-5)",B7837&lt;=9,"Morning peak (6-9)",B7837&lt;=15,"Midday (10-15)",B7837&lt;=19,"Evening peak (16-19)",TRUE,"Late evening (20-23)")</f>
        <v>Late evening (20-23)</v>
      </c>
    </row>
    <row r="7838" spans="1:9">
      <c r="A7838" s="32">
        <v>42148</v>
      </c>
      <c r="B7838">
        <v>23</v>
      </c>
      <c r="C7838">
        <v>4079</v>
      </c>
      <c r="D7838" t="s">
        <v>304</v>
      </c>
      <c r="E7838">
        <f>YEAR(A7838)</f>
        <v>2015</v>
      </c>
      <c r="F7838" s="33">
        <f>DATE(YEAR(A7838),MONTH(A7838),1)</f>
        <v>42125.0</v>
      </c>
      <c r="G7838" t="str">
        <f>CHOOSE(WEEKDAY(A7838,2),"Mon","Tue","Wed","Thu","Fri","Sat","Sun")</f>
        <v>Sun</v>
      </c>
      <c r="H7838" t="str">
        <f>IF(WEEKDAY(A7838,2)&gt;5,"Weekend","Weekday")</f>
        <v>Weekend</v>
      </c>
      <c r="I7838" t="str">
        <f>_xlfn.IFS(B7838&lt;=5,"Night (0-5)",B7838&lt;=9,"Morning peak (6-9)",B7838&lt;=15,"Midday (10-15)",B7838&lt;=19,"Evening peak (16-19)",TRUE,"Late evening (20-23)")</f>
        <v>Late evening (20-23)</v>
      </c>
    </row>
    <row r="7839" spans="1:9">
      <c r="A7839" s="32">
        <v>42149</v>
      </c>
      <c r="B7839">
        <v>0</v>
      </c>
      <c r="C7839">
        <v>3434</v>
      </c>
      <c r="D7839" t="s">
        <v>304</v>
      </c>
      <c r="E7839">
        <f>YEAR(A7839)</f>
        <v>2015</v>
      </c>
      <c r="F7839" s="33">
        <f>DATE(YEAR(A7839),MONTH(A7839),1)</f>
        <v>42125.0</v>
      </c>
      <c r="G7839" t="str">
        <f>CHOOSE(WEEKDAY(A7839,2),"Mon","Tue","Wed","Thu","Fri","Sat","Sun")</f>
        <v>Mon</v>
      </c>
      <c r="H7839" t="str">
        <f>IF(WEEKDAY(A7839,2)&gt;5,"Weekend","Weekday")</f>
        <v>Weekday</v>
      </c>
      <c r="I7839" t="str">
        <f>_xlfn.IFS(B7839&lt;=5,"Night (0-5)",B7839&lt;=9,"Morning peak (6-9)",B7839&lt;=15,"Midday (10-15)",B7839&lt;=19,"Evening peak (16-19)",TRUE,"Late evening (20-23)")</f>
        <v>Night (0-5)</v>
      </c>
    </row>
    <row r="7840" spans="1:9">
      <c r="A7840" s="32">
        <v>42149</v>
      </c>
      <c r="B7840">
        <v>1</v>
      </c>
      <c r="C7840">
        <v>2433</v>
      </c>
      <c r="D7840" t="s">
        <v>304</v>
      </c>
      <c r="E7840">
        <f>YEAR(A7840)</f>
        <v>2015</v>
      </c>
      <c r="F7840" s="33">
        <f>DATE(YEAR(A7840),MONTH(A7840),1)</f>
        <v>42125.0</v>
      </c>
      <c r="G7840" t="str">
        <f>CHOOSE(WEEKDAY(A7840,2),"Mon","Tue","Wed","Thu","Fri","Sat","Sun")</f>
        <v>Mon</v>
      </c>
      <c r="H7840" t="str">
        <f>IF(WEEKDAY(A7840,2)&gt;5,"Weekend","Weekday")</f>
        <v>Weekday</v>
      </c>
      <c r="I7840" t="str">
        <f>_xlfn.IFS(B7840&lt;=5,"Night (0-5)",B7840&lt;=9,"Morning peak (6-9)",B7840&lt;=15,"Midday (10-15)",B7840&lt;=19,"Evening peak (16-19)",TRUE,"Late evening (20-23)")</f>
        <v>Night (0-5)</v>
      </c>
    </row>
    <row r="7841" spans="1:9">
      <c r="A7841" s="32">
        <v>42149</v>
      </c>
      <c r="B7841">
        <v>2</v>
      </c>
      <c r="C7841">
        <v>1628</v>
      </c>
      <c r="D7841" t="s">
        <v>304</v>
      </c>
      <c r="E7841">
        <f>YEAR(A7841)</f>
        <v>2015</v>
      </c>
      <c r="F7841" s="33">
        <f>DATE(YEAR(A7841),MONTH(A7841),1)</f>
        <v>42125.0</v>
      </c>
      <c r="G7841" t="str">
        <f>CHOOSE(WEEKDAY(A7841,2),"Mon","Tue","Wed","Thu","Fri","Sat","Sun")</f>
        <v>Mon</v>
      </c>
      <c r="H7841" t="str">
        <f>IF(WEEKDAY(A7841,2)&gt;5,"Weekend","Weekday")</f>
        <v>Weekday</v>
      </c>
      <c r="I7841" t="str">
        <f>_xlfn.IFS(B7841&lt;=5,"Night (0-5)",B7841&lt;=9,"Morning peak (6-9)",B7841&lt;=15,"Midday (10-15)",B7841&lt;=19,"Evening peak (16-19)",TRUE,"Late evening (20-23)")</f>
        <v>Night (0-5)</v>
      </c>
    </row>
    <row r="7842" spans="1:9">
      <c r="A7842" s="32">
        <v>42149</v>
      </c>
      <c r="B7842">
        <v>3</v>
      </c>
      <c r="C7842">
        <v>1160</v>
      </c>
      <c r="D7842" t="s">
        <v>304</v>
      </c>
      <c r="E7842">
        <f>YEAR(A7842)</f>
        <v>2015</v>
      </c>
      <c r="F7842" s="33">
        <f>DATE(YEAR(A7842),MONTH(A7842),1)</f>
        <v>42125.0</v>
      </c>
      <c r="G7842" t="str">
        <f>CHOOSE(WEEKDAY(A7842,2),"Mon","Tue","Wed","Thu","Fri","Sat","Sun")</f>
        <v>Mon</v>
      </c>
      <c r="H7842" t="str">
        <f>IF(WEEKDAY(A7842,2)&gt;5,"Weekend","Weekday")</f>
        <v>Weekday</v>
      </c>
      <c r="I7842" t="str">
        <f>_xlfn.IFS(B7842&lt;=5,"Night (0-5)",B7842&lt;=9,"Morning peak (6-9)",B7842&lt;=15,"Midday (10-15)",B7842&lt;=19,"Evening peak (16-19)",TRUE,"Late evening (20-23)")</f>
        <v>Night (0-5)</v>
      </c>
    </row>
    <row r="7843" spans="1:9">
      <c r="A7843" s="32">
        <v>42149</v>
      </c>
      <c r="B7843">
        <v>4</v>
      </c>
      <c r="C7843">
        <v>964</v>
      </c>
      <c r="D7843" t="s">
        <v>304</v>
      </c>
      <c r="E7843">
        <f>YEAR(A7843)</f>
        <v>2015</v>
      </c>
      <c r="F7843" s="33">
        <f>DATE(YEAR(A7843),MONTH(A7843),1)</f>
        <v>42125.0</v>
      </c>
      <c r="G7843" t="str">
        <f>CHOOSE(WEEKDAY(A7843,2),"Mon","Tue","Wed","Thu","Fri","Sat","Sun")</f>
        <v>Mon</v>
      </c>
      <c r="H7843" t="str">
        <f>IF(WEEKDAY(A7843,2)&gt;5,"Weekend","Weekday")</f>
        <v>Weekday</v>
      </c>
      <c r="I7843" t="str">
        <f>_xlfn.IFS(B7843&lt;=5,"Night (0-5)",B7843&lt;=9,"Morning peak (6-9)",B7843&lt;=15,"Midday (10-15)",B7843&lt;=19,"Evening peak (16-19)",TRUE,"Late evening (20-23)")</f>
        <v>Night (0-5)</v>
      </c>
    </row>
    <row r="7844" spans="1:9">
      <c r="A7844" s="32">
        <v>42149</v>
      </c>
      <c r="B7844">
        <v>5</v>
      </c>
      <c r="C7844">
        <v>809</v>
      </c>
      <c r="D7844" t="s">
        <v>304</v>
      </c>
      <c r="E7844">
        <f>YEAR(A7844)</f>
        <v>2015</v>
      </c>
      <c r="F7844" s="33">
        <f>DATE(YEAR(A7844),MONTH(A7844),1)</f>
        <v>42125.0</v>
      </c>
      <c r="G7844" t="str">
        <f>CHOOSE(WEEKDAY(A7844,2),"Mon","Tue","Wed","Thu","Fri","Sat","Sun")</f>
        <v>Mon</v>
      </c>
      <c r="H7844" t="str">
        <f>IF(WEEKDAY(A7844,2)&gt;5,"Weekend","Weekday")</f>
        <v>Weekday</v>
      </c>
      <c r="I7844" t="str">
        <f>_xlfn.IFS(B7844&lt;=5,"Night (0-5)",B7844&lt;=9,"Morning peak (6-9)",B7844&lt;=15,"Midday (10-15)",B7844&lt;=19,"Evening peak (16-19)",TRUE,"Late evening (20-23)")</f>
        <v>Night (0-5)</v>
      </c>
    </row>
    <row r="7845" spans="1:9">
      <c r="A7845" s="32">
        <v>42149</v>
      </c>
      <c r="B7845">
        <v>6</v>
      </c>
      <c r="C7845">
        <v>903</v>
      </c>
      <c r="D7845" t="s">
        <v>304</v>
      </c>
      <c r="E7845">
        <f>YEAR(A7845)</f>
        <v>2015</v>
      </c>
      <c r="F7845" s="33">
        <f>DATE(YEAR(A7845),MONTH(A7845),1)</f>
        <v>42125.0</v>
      </c>
      <c r="G7845" t="str">
        <f>CHOOSE(WEEKDAY(A7845,2),"Mon","Tue","Wed","Thu","Fri","Sat","Sun")</f>
        <v>Mon</v>
      </c>
      <c r="H7845" t="str">
        <f>IF(WEEKDAY(A7845,2)&gt;5,"Weekend","Weekday")</f>
        <v>Weekday</v>
      </c>
      <c r="I7845" t="str">
        <f>_xlfn.IFS(B7845&lt;=5,"Night (0-5)",B7845&lt;=9,"Morning peak (6-9)",B7845&lt;=15,"Midday (10-15)",B7845&lt;=19,"Evening peak (16-19)",TRUE,"Late evening (20-23)")</f>
        <v>Morning peak (6-9)</v>
      </c>
    </row>
    <row r="7846" spans="1:9">
      <c r="A7846" s="32">
        <v>42149</v>
      </c>
      <c r="B7846">
        <v>7</v>
      </c>
      <c r="C7846">
        <v>896</v>
      </c>
      <c r="D7846" t="s">
        <v>304</v>
      </c>
      <c r="E7846">
        <f>YEAR(A7846)</f>
        <v>2015</v>
      </c>
      <c r="F7846" s="33">
        <f>DATE(YEAR(A7846),MONTH(A7846),1)</f>
        <v>42125.0</v>
      </c>
      <c r="G7846" t="str">
        <f>CHOOSE(WEEKDAY(A7846,2),"Mon","Tue","Wed","Thu","Fri","Sat","Sun")</f>
        <v>Mon</v>
      </c>
      <c r="H7846" t="str">
        <f>IF(WEEKDAY(A7846,2)&gt;5,"Weekend","Weekday")</f>
        <v>Weekday</v>
      </c>
      <c r="I7846" t="str">
        <f>_xlfn.IFS(B7846&lt;=5,"Night (0-5)",B7846&lt;=9,"Morning peak (6-9)",B7846&lt;=15,"Midday (10-15)",B7846&lt;=19,"Evening peak (16-19)",TRUE,"Late evening (20-23)")</f>
        <v>Morning peak (6-9)</v>
      </c>
    </row>
    <row r="7847" spans="1:9">
      <c r="A7847" s="32">
        <v>42149</v>
      </c>
      <c r="B7847">
        <v>8</v>
      </c>
      <c r="C7847">
        <v>1138</v>
      </c>
      <c r="D7847" t="s">
        <v>304</v>
      </c>
      <c r="E7847">
        <f>YEAR(A7847)</f>
        <v>2015</v>
      </c>
      <c r="F7847" s="33">
        <f>DATE(YEAR(A7847),MONTH(A7847),1)</f>
        <v>42125.0</v>
      </c>
      <c r="G7847" t="str">
        <f>CHOOSE(WEEKDAY(A7847,2),"Mon","Tue","Wed","Thu","Fri","Sat","Sun")</f>
        <v>Mon</v>
      </c>
      <c r="H7847" t="str">
        <f>IF(WEEKDAY(A7847,2)&gt;5,"Weekend","Weekday")</f>
        <v>Weekday</v>
      </c>
      <c r="I7847" t="str">
        <f>_xlfn.IFS(B7847&lt;=5,"Night (0-5)",B7847&lt;=9,"Morning peak (6-9)",B7847&lt;=15,"Midday (10-15)",B7847&lt;=19,"Evening peak (16-19)",TRUE,"Late evening (20-23)")</f>
        <v>Morning peak (6-9)</v>
      </c>
    </row>
    <row r="7848" spans="1:9">
      <c r="A7848" s="32">
        <v>42149</v>
      </c>
      <c r="B7848">
        <v>9</v>
      </c>
      <c r="C7848">
        <v>1565</v>
      </c>
      <c r="D7848" t="s">
        <v>304</v>
      </c>
      <c r="E7848">
        <f>YEAR(A7848)</f>
        <v>2015</v>
      </c>
      <c r="F7848" s="33">
        <f>DATE(YEAR(A7848),MONTH(A7848),1)</f>
        <v>42125.0</v>
      </c>
      <c r="G7848" t="str">
        <f>CHOOSE(WEEKDAY(A7848,2),"Mon","Tue","Wed","Thu","Fri","Sat","Sun")</f>
        <v>Mon</v>
      </c>
      <c r="H7848" t="str">
        <f>IF(WEEKDAY(A7848,2)&gt;5,"Weekend","Weekday")</f>
        <v>Weekday</v>
      </c>
      <c r="I7848" t="str">
        <f>_xlfn.IFS(B7848&lt;=5,"Night (0-5)",B7848&lt;=9,"Morning peak (6-9)",B7848&lt;=15,"Midday (10-15)",B7848&lt;=19,"Evening peak (16-19)",TRUE,"Late evening (20-23)")</f>
        <v>Morning peak (6-9)</v>
      </c>
    </row>
    <row r="7849" spans="1:9">
      <c r="A7849" s="32">
        <v>42149</v>
      </c>
      <c r="B7849">
        <v>10</v>
      </c>
      <c r="C7849">
        <v>1964</v>
      </c>
      <c r="D7849" t="s">
        <v>304</v>
      </c>
      <c r="E7849">
        <f>YEAR(A7849)</f>
        <v>2015</v>
      </c>
      <c r="F7849" s="33">
        <f>DATE(YEAR(A7849),MONTH(A7849),1)</f>
        <v>42125.0</v>
      </c>
      <c r="G7849" t="str">
        <f>CHOOSE(WEEKDAY(A7849,2),"Mon","Tue","Wed","Thu","Fri","Sat","Sun")</f>
        <v>Mon</v>
      </c>
      <c r="H7849" t="str">
        <f>IF(WEEKDAY(A7849,2)&gt;5,"Weekend","Weekday")</f>
        <v>Weekday</v>
      </c>
      <c r="I7849" t="str">
        <f>_xlfn.IFS(B7849&lt;=5,"Night (0-5)",B7849&lt;=9,"Morning peak (6-9)",B7849&lt;=15,"Midday (10-15)",B7849&lt;=19,"Evening peak (16-19)",TRUE,"Late evening (20-23)")</f>
        <v>Midday (10-15)</v>
      </c>
    </row>
    <row r="7850" spans="1:9">
      <c r="A7850" s="32">
        <v>42149</v>
      </c>
      <c r="B7850">
        <v>11</v>
      </c>
      <c r="C7850">
        <v>2321</v>
      </c>
      <c r="D7850" t="s">
        <v>304</v>
      </c>
      <c r="E7850">
        <f>YEAR(A7850)</f>
        <v>2015</v>
      </c>
      <c r="F7850" s="33">
        <f>DATE(YEAR(A7850),MONTH(A7850),1)</f>
        <v>42125.0</v>
      </c>
      <c r="G7850" t="str">
        <f>CHOOSE(WEEKDAY(A7850,2),"Mon","Tue","Wed","Thu","Fri","Sat","Sun")</f>
        <v>Mon</v>
      </c>
      <c r="H7850" t="str">
        <f>IF(WEEKDAY(A7850,2)&gt;5,"Weekend","Weekday")</f>
        <v>Weekday</v>
      </c>
      <c r="I7850" t="str">
        <f>_xlfn.IFS(B7850&lt;=5,"Night (0-5)",B7850&lt;=9,"Morning peak (6-9)",B7850&lt;=15,"Midday (10-15)",B7850&lt;=19,"Evening peak (16-19)",TRUE,"Late evening (20-23)")</f>
        <v>Midday (10-15)</v>
      </c>
    </row>
    <row r="7851" spans="1:9">
      <c r="A7851" s="32">
        <v>42149</v>
      </c>
      <c r="B7851">
        <v>12</v>
      </c>
      <c r="C7851">
        <v>2544</v>
      </c>
      <c r="D7851" t="s">
        <v>304</v>
      </c>
      <c r="E7851">
        <f>YEAR(A7851)</f>
        <v>2015</v>
      </c>
      <c r="F7851" s="33">
        <f>DATE(YEAR(A7851),MONTH(A7851),1)</f>
        <v>42125.0</v>
      </c>
      <c r="G7851" t="str">
        <f>CHOOSE(WEEKDAY(A7851,2),"Mon","Tue","Wed","Thu","Fri","Sat","Sun")</f>
        <v>Mon</v>
      </c>
      <c r="H7851" t="str">
        <f>IF(WEEKDAY(A7851,2)&gt;5,"Weekend","Weekday")</f>
        <v>Weekday</v>
      </c>
      <c r="I7851" t="str">
        <f>_xlfn.IFS(B7851&lt;=5,"Night (0-5)",B7851&lt;=9,"Morning peak (6-9)",B7851&lt;=15,"Midday (10-15)",B7851&lt;=19,"Evening peak (16-19)",TRUE,"Late evening (20-23)")</f>
        <v>Midday (10-15)</v>
      </c>
    </row>
    <row r="7852" spans="1:9">
      <c r="A7852" s="32">
        <v>42149</v>
      </c>
      <c r="B7852">
        <v>13</v>
      </c>
      <c r="C7852">
        <v>2811</v>
      </c>
      <c r="D7852" t="s">
        <v>304</v>
      </c>
      <c r="E7852">
        <f>YEAR(A7852)</f>
        <v>2015</v>
      </c>
      <c r="F7852" s="33">
        <f>DATE(YEAR(A7852),MONTH(A7852),1)</f>
        <v>42125.0</v>
      </c>
      <c r="G7852" t="str">
        <f>CHOOSE(WEEKDAY(A7852,2),"Mon","Tue","Wed","Thu","Fri","Sat","Sun")</f>
        <v>Mon</v>
      </c>
      <c r="H7852" t="str">
        <f>IF(WEEKDAY(A7852,2)&gt;5,"Weekend","Weekday")</f>
        <v>Weekday</v>
      </c>
      <c r="I7852" t="str">
        <f>_xlfn.IFS(B7852&lt;=5,"Night (0-5)",B7852&lt;=9,"Morning peak (6-9)",B7852&lt;=15,"Midday (10-15)",B7852&lt;=19,"Evening peak (16-19)",TRUE,"Late evening (20-23)")</f>
        <v>Midday (10-15)</v>
      </c>
    </row>
    <row r="7853" spans="1:9">
      <c r="A7853" s="32">
        <v>42149</v>
      </c>
      <c r="B7853">
        <v>14</v>
      </c>
      <c r="C7853">
        <v>3043</v>
      </c>
      <c r="D7853" t="s">
        <v>304</v>
      </c>
      <c r="E7853">
        <f>YEAR(A7853)</f>
        <v>2015</v>
      </c>
      <c r="F7853" s="33">
        <f>DATE(YEAR(A7853),MONTH(A7853),1)</f>
        <v>42125.0</v>
      </c>
      <c r="G7853" t="str">
        <f>CHOOSE(WEEKDAY(A7853,2),"Mon","Tue","Wed","Thu","Fri","Sat","Sun")</f>
        <v>Mon</v>
      </c>
      <c r="H7853" t="str">
        <f>IF(WEEKDAY(A7853,2)&gt;5,"Weekend","Weekday")</f>
        <v>Weekday</v>
      </c>
      <c r="I7853" t="str">
        <f>_xlfn.IFS(B7853&lt;=5,"Night (0-5)",B7853&lt;=9,"Morning peak (6-9)",B7853&lt;=15,"Midday (10-15)",B7853&lt;=19,"Evening peak (16-19)",TRUE,"Late evening (20-23)")</f>
        <v>Midday (10-15)</v>
      </c>
    </row>
    <row r="7854" spans="1:9">
      <c r="A7854" s="32">
        <v>42149</v>
      </c>
      <c r="B7854">
        <v>15</v>
      </c>
      <c r="C7854">
        <v>3326</v>
      </c>
      <c r="D7854" t="s">
        <v>304</v>
      </c>
      <c r="E7854">
        <f>YEAR(A7854)</f>
        <v>2015</v>
      </c>
      <c r="F7854" s="33">
        <f>DATE(YEAR(A7854),MONTH(A7854),1)</f>
        <v>42125.0</v>
      </c>
      <c r="G7854" t="str">
        <f>CHOOSE(WEEKDAY(A7854,2),"Mon","Tue","Wed","Thu","Fri","Sat","Sun")</f>
        <v>Mon</v>
      </c>
      <c r="H7854" t="str">
        <f>IF(WEEKDAY(A7854,2)&gt;5,"Weekend","Weekday")</f>
        <v>Weekday</v>
      </c>
      <c r="I7854" t="str">
        <f>_xlfn.IFS(B7854&lt;=5,"Night (0-5)",B7854&lt;=9,"Morning peak (6-9)",B7854&lt;=15,"Midday (10-15)",B7854&lt;=19,"Evening peak (16-19)",TRUE,"Late evening (20-23)")</f>
        <v>Midday (10-15)</v>
      </c>
    </row>
    <row r="7855" spans="1:9">
      <c r="A7855" s="32">
        <v>42149</v>
      </c>
      <c r="B7855">
        <v>16</v>
      </c>
      <c r="C7855">
        <v>3557</v>
      </c>
      <c r="D7855" t="s">
        <v>304</v>
      </c>
      <c r="E7855">
        <f>YEAR(A7855)</f>
        <v>2015</v>
      </c>
      <c r="F7855" s="33">
        <f>DATE(YEAR(A7855),MONTH(A7855),1)</f>
        <v>42125.0</v>
      </c>
      <c r="G7855" t="str">
        <f>CHOOSE(WEEKDAY(A7855,2),"Mon","Tue","Wed","Thu","Fri","Sat","Sun")</f>
        <v>Mon</v>
      </c>
      <c r="H7855" t="str">
        <f>IF(WEEKDAY(A7855,2)&gt;5,"Weekend","Weekday")</f>
        <v>Weekday</v>
      </c>
      <c r="I7855" t="str">
        <f>_xlfn.IFS(B7855&lt;=5,"Night (0-5)",B7855&lt;=9,"Morning peak (6-9)",B7855&lt;=15,"Midday (10-15)",B7855&lt;=19,"Evening peak (16-19)",TRUE,"Late evening (20-23)")</f>
        <v>Evening peak (16-19)</v>
      </c>
    </row>
    <row r="7856" spans="1:9">
      <c r="A7856" s="32">
        <v>42149</v>
      </c>
      <c r="B7856">
        <v>17</v>
      </c>
      <c r="C7856">
        <v>3711</v>
      </c>
      <c r="D7856" t="s">
        <v>304</v>
      </c>
      <c r="E7856">
        <f>YEAR(A7856)</f>
        <v>2015</v>
      </c>
      <c r="F7856" s="33">
        <f>DATE(YEAR(A7856),MONTH(A7856),1)</f>
        <v>42125.0</v>
      </c>
      <c r="G7856" t="str">
        <f>CHOOSE(WEEKDAY(A7856,2),"Mon","Tue","Wed","Thu","Fri","Sat","Sun")</f>
        <v>Mon</v>
      </c>
      <c r="H7856" t="str">
        <f>IF(WEEKDAY(A7856,2)&gt;5,"Weekend","Weekday")</f>
        <v>Weekday</v>
      </c>
      <c r="I7856" t="str">
        <f>_xlfn.IFS(B7856&lt;=5,"Night (0-5)",B7856&lt;=9,"Morning peak (6-9)",B7856&lt;=15,"Midday (10-15)",B7856&lt;=19,"Evening peak (16-19)",TRUE,"Late evening (20-23)")</f>
        <v>Evening peak (16-19)</v>
      </c>
    </row>
    <row r="7857" spans="1:9">
      <c r="A7857" s="32">
        <v>42149</v>
      </c>
      <c r="B7857">
        <v>18</v>
      </c>
      <c r="C7857">
        <v>3895</v>
      </c>
      <c r="D7857" t="s">
        <v>304</v>
      </c>
      <c r="E7857">
        <f>YEAR(A7857)</f>
        <v>2015</v>
      </c>
      <c r="F7857" s="33">
        <f>DATE(YEAR(A7857),MONTH(A7857),1)</f>
        <v>42125.0</v>
      </c>
      <c r="G7857" t="str">
        <f>CHOOSE(WEEKDAY(A7857,2),"Mon","Tue","Wed","Thu","Fri","Sat","Sun")</f>
        <v>Mon</v>
      </c>
      <c r="H7857" t="str">
        <f>IF(WEEKDAY(A7857,2)&gt;5,"Weekend","Weekday")</f>
        <v>Weekday</v>
      </c>
      <c r="I7857" t="str">
        <f>_xlfn.IFS(B7857&lt;=5,"Night (0-5)",B7857&lt;=9,"Morning peak (6-9)",B7857&lt;=15,"Midday (10-15)",B7857&lt;=19,"Evening peak (16-19)",TRUE,"Late evening (20-23)")</f>
        <v>Evening peak (16-19)</v>
      </c>
    </row>
    <row r="7858" spans="1:9">
      <c r="A7858" s="32">
        <v>42149</v>
      </c>
      <c r="B7858">
        <v>19</v>
      </c>
      <c r="C7858">
        <v>3829</v>
      </c>
      <c r="D7858" t="s">
        <v>304</v>
      </c>
      <c r="E7858">
        <f>YEAR(A7858)</f>
        <v>2015</v>
      </c>
      <c r="F7858" s="33">
        <f>DATE(YEAR(A7858),MONTH(A7858),1)</f>
        <v>42125.0</v>
      </c>
      <c r="G7858" t="str">
        <f>CHOOSE(WEEKDAY(A7858,2),"Mon","Tue","Wed","Thu","Fri","Sat","Sun")</f>
        <v>Mon</v>
      </c>
      <c r="H7858" t="str">
        <f>IF(WEEKDAY(A7858,2)&gt;5,"Weekend","Weekday")</f>
        <v>Weekday</v>
      </c>
      <c r="I7858" t="str">
        <f>_xlfn.IFS(B7858&lt;=5,"Night (0-5)",B7858&lt;=9,"Morning peak (6-9)",B7858&lt;=15,"Midday (10-15)",B7858&lt;=19,"Evening peak (16-19)",TRUE,"Late evening (20-23)")</f>
        <v>Evening peak (16-19)</v>
      </c>
    </row>
    <row r="7859" spans="1:9">
      <c r="A7859" s="32">
        <v>42149</v>
      </c>
      <c r="B7859">
        <v>20</v>
      </c>
      <c r="C7859">
        <v>3592</v>
      </c>
      <c r="D7859" t="s">
        <v>304</v>
      </c>
      <c r="E7859">
        <f>YEAR(A7859)</f>
        <v>2015</v>
      </c>
      <c r="F7859" s="33">
        <f>DATE(YEAR(A7859),MONTH(A7859),1)</f>
        <v>42125.0</v>
      </c>
      <c r="G7859" t="str">
        <f>CHOOSE(WEEKDAY(A7859,2),"Mon","Tue","Wed","Thu","Fri","Sat","Sun")</f>
        <v>Mon</v>
      </c>
      <c r="H7859" t="str">
        <f>IF(WEEKDAY(A7859,2)&gt;5,"Weekend","Weekday")</f>
        <v>Weekday</v>
      </c>
      <c r="I7859" t="str">
        <f>_xlfn.IFS(B7859&lt;=5,"Night (0-5)",B7859&lt;=9,"Morning peak (6-9)",B7859&lt;=15,"Midday (10-15)",B7859&lt;=19,"Evening peak (16-19)",TRUE,"Late evening (20-23)")</f>
        <v>Late evening (20-23)</v>
      </c>
    </row>
    <row r="7860" spans="1:9">
      <c r="A7860" s="32">
        <v>42149</v>
      </c>
      <c r="B7860">
        <v>21</v>
      </c>
      <c r="C7860">
        <v>3681</v>
      </c>
      <c r="D7860" t="s">
        <v>304</v>
      </c>
      <c r="E7860">
        <f>YEAR(A7860)</f>
        <v>2015</v>
      </c>
      <c r="F7860" s="33">
        <f>DATE(YEAR(A7860),MONTH(A7860),1)</f>
        <v>42125.0</v>
      </c>
      <c r="G7860" t="str">
        <f>CHOOSE(WEEKDAY(A7860,2),"Mon","Tue","Wed","Thu","Fri","Sat","Sun")</f>
        <v>Mon</v>
      </c>
      <c r="H7860" t="str">
        <f>IF(WEEKDAY(A7860,2)&gt;5,"Weekend","Weekday")</f>
        <v>Weekday</v>
      </c>
      <c r="I7860" t="str">
        <f>_xlfn.IFS(B7860&lt;=5,"Night (0-5)",B7860&lt;=9,"Morning peak (6-9)",B7860&lt;=15,"Midday (10-15)",B7860&lt;=19,"Evening peak (16-19)",TRUE,"Late evening (20-23)")</f>
        <v>Late evening (20-23)</v>
      </c>
    </row>
    <row r="7861" spans="1:9">
      <c r="A7861" s="32">
        <v>42149</v>
      </c>
      <c r="B7861">
        <v>22</v>
      </c>
      <c r="C7861">
        <v>3515</v>
      </c>
      <c r="D7861" t="s">
        <v>304</v>
      </c>
      <c r="E7861">
        <f>YEAR(A7861)</f>
        <v>2015</v>
      </c>
      <c r="F7861" s="33">
        <f>DATE(YEAR(A7861),MONTH(A7861),1)</f>
        <v>42125.0</v>
      </c>
      <c r="G7861" t="str">
        <f>CHOOSE(WEEKDAY(A7861,2),"Mon","Tue","Wed","Thu","Fri","Sat","Sun")</f>
        <v>Mon</v>
      </c>
      <c r="H7861" t="str">
        <f>IF(WEEKDAY(A7861,2)&gt;5,"Weekend","Weekday")</f>
        <v>Weekday</v>
      </c>
      <c r="I7861" t="str">
        <f>_xlfn.IFS(B7861&lt;=5,"Night (0-5)",B7861&lt;=9,"Morning peak (6-9)",B7861&lt;=15,"Midday (10-15)",B7861&lt;=19,"Evening peak (16-19)",TRUE,"Late evening (20-23)")</f>
        <v>Late evening (20-23)</v>
      </c>
    </row>
    <row r="7862" spans="1:9">
      <c r="A7862" s="32">
        <v>42149</v>
      </c>
      <c r="B7862">
        <v>23</v>
      </c>
      <c r="C7862">
        <v>3029</v>
      </c>
      <c r="D7862" t="s">
        <v>304</v>
      </c>
      <c r="E7862">
        <f>YEAR(A7862)</f>
        <v>2015</v>
      </c>
      <c r="F7862" s="33">
        <f>DATE(YEAR(A7862),MONTH(A7862),1)</f>
        <v>42125.0</v>
      </c>
      <c r="G7862" t="str">
        <f>CHOOSE(WEEKDAY(A7862,2),"Mon","Tue","Wed","Thu","Fri","Sat","Sun")</f>
        <v>Mon</v>
      </c>
      <c r="H7862" t="str">
        <f>IF(WEEKDAY(A7862,2)&gt;5,"Weekend","Weekday")</f>
        <v>Weekday</v>
      </c>
      <c r="I7862" t="str">
        <f>_xlfn.IFS(B7862&lt;=5,"Night (0-5)",B7862&lt;=9,"Morning peak (6-9)",B7862&lt;=15,"Midday (10-15)",B7862&lt;=19,"Evening peak (16-19)",TRUE,"Late evening (20-23)")</f>
        <v>Late evening (20-23)</v>
      </c>
    </row>
    <row r="7863" spans="1:9">
      <c r="A7863" s="32">
        <v>42150</v>
      </c>
      <c r="B7863">
        <v>0</v>
      </c>
      <c r="C7863">
        <v>2001</v>
      </c>
      <c r="D7863" t="s">
        <v>304</v>
      </c>
      <c r="E7863">
        <f>YEAR(A7863)</f>
        <v>2015</v>
      </c>
      <c r="F7863" s="33">
        <f>DATE(YEAR(A7863),MONTH(A7863),1)</f>
        <v>42125.0</v>
      </c>
      <c r="G7863" t="str">
        <f>CHOOSE(WEEKDAY(A7863,2),"Mon","Tue","Wed","Thu","Fri","Sat","Sun")</f>
        <v>Tue</v>
      </c>
      <c r="H7863" t="str">
        <f>IF(WEEKDAY(A7863,2)&gt;5,"Weekend","Weekday")</f>
        <v>Weekday</v>
      </c>
      <c r="I7863" t="str">
        <f>_xlfn.IFS(B7863&lt;=5,"Night (0-5)",B7863&lt;=9,"Morning peak (6-9)",B7863&lt;=15,"Midday (10-15)",B7863&lt;=19,"Evening peak (16-19)",TRUE,"Late evening (20-23)")</f>
        <v>Night (0-5)</v>
      </c>
    </row>
    <row r="7864" spans="1:9">
      <c r="A7864" s="32">
        <v>42150</v>
      </c>
      <c r="B7864">
        <v>1</v>
      </c>
      <c r="C7864">
        <v>957</v>
      </c>
      <c r="D7864" t="s">
        <v>304</v>
      </c>
      <c r="E7864">
        <f>YEAR(A7864)</f>
        <v>2015</v>
      </c>
      <c r="F7864" s="33">
        <f>DATE(YEAR(A7864),MONTH(A7864),1)</f>
        <v>42125.0</v>
      </c>
      <c r="G7864" t="str">
        <f>CHOOSE(WEEKDAY(A7864,2),"Mon","Tue","Wed","Thu","Fri","Sat","Sun")</f>
        <v>Tue</v>
      </c>
      <c r="H7864" t="str">
        <f>IF(WEEKDAY(A7864,2)&gt;5,"Weekend","Weekday")</f>
        <v>Weekday</v>
      </c>
      <c r="I7864" t="str">
        <f>_xlfn.IFS(B7864&lt;=5,"Night (0-5)",B7864&lt;=9,"Morning peak (6-9)",B7864&lt;=15,"Midday (10-15)",B7864&lt;=19,"Evening peak (16-19)",TRUE,"Late evening (20-23)")</f>
        <v>Night (0-5)</v>
      </c>
    </row>
    <row r="7865" spans="1:9">
      <c r="A7865" s="32">
        <v>42150</v>
      </c>
      <c r="B7865">
        <v>2</v>
      </c>
      <c r="C7865">
        <v>603</v>
      </c>
      <c r="D7865" t="s">
        <v>304</v>
      </c>
      <c r="E7865">
        <f>YEAR(A7865)</f>
        <v>2015</v>
      </c>
      <c r="F7865" s="33">
        <f>DATE(YEAR(A7865),MONTH(A7865),1)</f>
        <v>42125.0</v>
      </c>
      <c r="G7865" t="str">
        <f>CHOOSE(WEEKDAY(A7865,2),"Mon","Tue","Wed","Thu","Fri","Sat","Sun")</f>
        <v>Tue</v>
      </c>
      <c r="H7865" t="str">
        <f>IF(WEEKDAY(A7865,2)&gt;5,"Weekend","Weekday")</f>
        <v>Weekday</v>
      </c>
      <c r="I7865" t="str">
        <f>_xlfn.IFS(B7865&lt;=5,"Night (0-5)",B7865&lt;=9,"Morning peak (6-9)",B7865&lt;=15,"Midday (10-15)",B7865&lt;=19,"Evening peak (16-19)",TRUE,"Late evening (20-23)")</f>
        <v>Night (0-5)</v>
      </c>
    </row>
    <row r="7866" spans="1:9">
      <c r="A7866" s="32">
        <v>42150</v>
      </c>
      <c r="B7866">
        <v>3</v>
      </c>
      <c r="C7866">
        <v>435</v>
      </c>
      <c r="D7866" t="s">
        <v>304</v>
      </c>
      <c r="E7866">
        <f>YEAR(A7866)</f>
        <v>2015</v>
      </c>
      <c r="F7866" s="33">
        <f>DATE(YEAR(A7866),MONTH(A7866),1)</f>
        <v>42125.0</v>
      </c>
      <c r="G7866" t="str">
        <f>CHOOSE(WEEKDAY(A7866,2),"Mon","Tue","Wed","Thu","Fri","Sat","Sun")</f>
        <v>Tue</v>
      </c>
      <c r="H7866" t="str">
        <f>IF(WEEKDAY(A7866,2)&gt;5,"Weekend","Weekday")</f>
        <v>Weekday</v>
      </c>
      <c r="I7866" t="str">
        <f>_xlfn.IFS(B7866&lt;=5,"Night (0-5)",B7866&lt;=9,"Morning peak (6-9)",B7866&lt;=15,"Midday (10-15)",B7866&lt;=19,"Evening peak (16-19)",TRUE,"Late evening (20-23)")</f>
        <v>Night (0-5)</v>
      </c>
    </row>
    <row r="7867" spans="1:9">
      <c r="A7867" s="32">
        <v>42150</v>
      </c>
      <c r="B7867">
        <v>4</v>
      </c>
      <c r="C7867">
        <v>865</v>
      </c>
      <c r="D7867" t="s">
        <v>304</v>
      </c>
      <c r="E7867">
        <f>YEAR(A7867)</f>
        <v>2015</v>
      </c>
      <c r="F7867" s="33">
        <f>DATE(YEAR(A7867),MONTH(A7867),1)</f>
        <v>42125.0</v>
      </c>
      <c r="G7867" t="str">
        <f>CHOOSE(WEEKDAY(A7867,2),"Mon","Tue","Wed","Thu","Fri","Sat","Sun")</f>
        <v>Tue</v>
      </c>
      <c r="H7867" t="str">
        <f>IF(WEEKDAY(A7867,2)&gt;5,"Weekend","Weekday")</f>
        <v>Weekday</v>
      </c>
      <c r="I7867" t="str">
        <f>_xlfn.IFS(B7867&lt;=5,"Night (0-5)",B7867&lt;=9,"Morning peak (6-9)",B7867&lt;=15,"Midday (10-15)",B7867&lt;=19,"Evening peak (16-19)",TRUE,"Late evening (20-23)")</f>
        <v>Night (0-5)</v>
      </c>
    </row>
    <row r="7868" spans="1:9">
      <c r="A7868" s="32">
        <v>42150</v>
      </c>
      <c r="B7868">
        <v>5</v>
      </c>
      <c r="C7868">
        <v>1410</v>
      </c>
      <c r="D7868" t="s">
        <v>304</v>
      </c>
      <c r="E7868">
        <f>YEAR(A7868)</f>
        <v>2015</v>
      </c>
      <c r="F7868" s="33">
        <f>DATE(YEAR(A7868),MONTH(A7868),1)</f>
        <v>42125.0</v>
      </c>
      <c r="G7868" t="str">
        <f>CHOOSE(WEEKDAY(A7868,2),"Mon","Tue","Wed","Thu","Fri","Sat","Sun")</f>
        <v>Tue</v>
      </c>
      <c r="H7868" t="str">
        <f>IF(WEEKDAY(A7868,2)&gt;5,"Weekend","Weekday")</f>
        <v>Weekday</v>
      </c>
      <c r="I7868" t="str">
        <f>_xlfn.IFS(B7868&lt;=5,"Night (0-5)",B7868&lt;=9,"Morning peak (6-9)",B7868&lt;=15,"Midday (10-15)",B7868&lt;=19,"Evening peak (16-19)",TRUE,"Late evening (20-23)")</f>
        <v>Night (0-5)</v>
      </c>
    </row>
    <row r="7869" spans="1:9">
      <c r="A7869" s="32">
        <v>42150</v>
      </c>
      <c r="B7869">
        <v>6</v>
      </c>
      <c r="C7869">
        <v>2132</v>
      </c>
      <c r="D7869" t="s">
        <v>304</v>
      </c>
      <c r="E7869">
        <f>YEAR(A7869)</f>
        <v>2015</v>
      </c>
      <c r="F7869" s="33">
        <f>DATE(YEAR(A7869),MONTH(A7869),1)</f>
        <v>42125.0</v>
      </c>
      <c r="G7869" t="str">
        <f>CHOOSE(WEEKDAY(A7869,2),"Mon","Tue","Wed","Thu","Fri","Sat","Sun")</f>
        <v>Tue</v>
      </c>
      <c r="H7869" t="str">
        <f>IF(WEEKDAY(A7869,2)&gt;5,"Weekend","Weekday")</f>
        <v>Weekday</v>
      </c>
      <c r="I7869" t="str">
        <f>_xlfn.IFS(B7869&lt;=5,"Night (0-5)",B7869&lt;=9,"Morning peak (6-9)",B7869&lt;=15,"Midday (10-15)",B7869&lt;=19,"Evening peak (16-19)",TRUE,"Late evening (20-23)")</f>
        <v>Morning peak (6-9)</v>
      </c>
    </row>
    <row r="7870" spans="1:9">
      <c r="A7870" s="32">
        <v>42150</v>
      </c>
      <c r="B7870">
        <v>7</v>
      </c>
      <c r="C7870">
        <v>3153</v>
      </c>
      <c r="D7870" t="s">
        <v>304</v>
      </c>
      <c r="E7870">
        <f>YEAR(A7870)</f>
        <v>2015</v>
      </c>
      <c r="F7870" s="33">
        <f>DATE(YEAR(A7870),MONTH(A7870),1)</f>
        <v>42125.0</v>
      </c>
      <c r="G7870" t="str">
        <f>CHOOSE(WEEKDAY(A7870,2),"Mon","Tue","Wed","Thu","Fri","Sat","Sun")</f>
        <v>Tue</v>
      </c>
      <c r="H7870" t="str">
        <f>IF(WEEKDAY(A7870,2)&gt;5,"Weekend","Weekday")</f>
        <v>Weekday</v>
      </c>
      <c r="I7870" t="str">
        <f>_xlfn.IFS(B7870&lt;=5,"Night (0-5)",B7870&lt;=9,"Morning peak (6-9)",B7870&lt;=15,"Midday (10-15)",B7870&lt;=19,"Evening peak (16-19)",TRUE,"Late evening (20-23)")</f>
        <v>Morning peak (6-9)</v>
      </c>
    </row>
    <row r="7871" spans="1:9">
      <c r="A7871" s="32">
        <v>42150</v>
      </c>
      <c r="B7871">
        <v>8</v>
      </c>
      <c r="C7871">
        <v>3913</v>
      </c>
      <c r="D7871" t="s">
        <v>304</v>
      </c>
      <c r="E7871">
        <f>YEAR(A7871)</f>
        <v>2015</v>
      </c>
      <c r="F7871" s="33">
        <f>DATE(YEAR(A7871),MONTH(A7871),1)</f>
        <v>42125.0</v>
      </c>
      <c r="G7871" t="str">
        <f>CHOOSE(WEEKDAY(A7871,2),"Mon","Tue","Wed","Thu","Fri","Sat","Sun")</f>
        <v>Tue</v>
      </c>
      <c r="H7871" t="str">
        <f>IF(WEEKDAY(A7871,2)&gt;5,"Weekend","Weekday")</f>
        <v>Weekday</v>
      </c>
      <c r="I7871" t="str">
        <f>_xlfn.IFS(B7871&lt;=5,"Night (0-5)",B7871&lt;=9,"Morning peak (6-9)",B7871&lt;=15,"Midday (10-15)",B7871&lt;=19,"Evening peak (16-19)",TRUE,"Late evening (20-23)")</f>
        <v>Morning peak (6-9)</v>
      </c>
    </row>
    <row r="7872" spans="1:9">
      <c r="A7872" s="32">
        <v>42150</v>
      </c>
      <c r="B7872">
        <v>9</v>
      </c>
      <c r="C7872">
        <v>3695</v>
      </c>
      <c r="D7872" t="s">
        <v>304</v>
      </c>
      <c r="E7872">
        <f>YEAR(A7872)</f>
        <v>2015</v>
      </c>
      <c r="F7872" s="33">
        <f>DATE(YEAR(A7872),MONTH(A7872),1)</f>
        <v>42125.0</v>
      </c>
      <c r="G7872" t="str">
        <f>CHOOSE(WEEKDAY(A7872,2),"Mon","Tue","Wed","Thu","Fri","Sat","Sun")</f>
        <v>Tue</v>
      </c>
      <c r="H7872" t="str">
        <f>IF(WEEKDAY(A7872,2)&gt;5,"Weekend","Weekday")</f>
        <v>Weekday</v>
      </c>
      <c r="I7872" t="str">
        <f>_xlfn.IFS(B7872&lt;=5,"Night (0-5)",B7872&lt;=9,"Morning peak (6-9)",B7872&lt;=15,"Midday (10-15)",B7872&lt;=19,"Evening peak (16-19)",TRUE,"Late evening (20-23)")</f>
        <v>Morning peak (6-9)</v>
      </c>
    </row>
    <row r="7873" spans="1:9">
      <c r="A7873" s="32">
        <v>42150</v>
      </c>
      <c r="B7873">
        <v>10</v>
      </c>
      <c r="C7873">
        <v>2991</v>
      </c>
      <c r="D7873" t="s">
        <v>304</v>
      </c>
      <c r="E7873">
        <f>YEAR(A7873)</f>
        <v>2015</v>
      </c>
      <c r="F7873" s="33">
        <f>DATE(YEAR(A7873),MONTH(A7873),1)</f>
        <v>42125.0</v>
      </c>
      <c r="G7873" t="str">
        <f>CHOOSE(WEEKDAY(A7873,2),"Mon","Tue","Wed","Thu","Fri","Sat","Sun")</f>
        <v>Tue</v>
      </c>
      <c r="H7873" t="str">
        <f>IF(WEEKDAY(A7873,2)&gt;5,"Weekend","Weekday")</f>
        <v>Weekday</v>
      </c>
      <c r="I7873" t="str">
        <f>_xlfn.IFS(B7873&lt;=5,"Night (0-5)",B7873&lt;=9,"Morning peak (6-9)",B7873&lt;=15,"Midday (10-15)",B7873&lt;=19,"Evening peak (16-19)",TRUE,"Late evening (20-23)")</f>
        <v>Midday (10-15)</v>
      </c>
    </row>
    <row r="7874" spans="1:9">
      <c r="A7874" s="32">
        <v>42150</v>
      </c>
      <c r="B7874">
        <v>11</v>
      </c>
      <c r="C7874">
        <v>2692</v>
      </c>
      <c r="D7874" t="s">
        <v>304</v>
      </c>
      <c r="E7874">
        <f>YEAR(A7874)</f>
        <v>2015</v>
      </c>
      <c r="F7874" s="33">
        <f>DATE(YEAR(A7874),MONTH(A7874),1)</f>
        <v>42125.0</v>
      </c>
      <c r="G7874" t="str">
        <f>CHOOSE(WEEKDAY(A7874,2),"Mon","Tue","Wed","Thu","Fri","Sat","Sun")</f>
        <v>Tue</v>
      </c>
      <c r="H7874" t="str">
        <f>IF(WEEKDAY(A7874,2)&gt;5,"Weekend","Weekday")</f>
        <v>Weekday</v>
      </c>
      <c r="I7874" t="str">
        <f>_xlfn.IFS(B7874&lt;=5,"Night (0-5)",B7874&lt;=9,"Morning peak (6-9)",B7874&lt;=15,"Midday (10-15)",B7874&lt;=19,"Evening peak (16-19)",TRUE,"Late evening (20-23)")</f>
        <v>Midday (10-15)</v>
      </c>
    </row>
    <row r="7875" spans="1:9">
      <c r="A7875" s="32">
        <v>42150</v>
      </c>
      <c r="B7875">
        <v>12</v>
      </c>
      <c r="C7875">
        <v>2705</v>
      </c>
      <c r="D7875" t="s">
        <v>304</v>
      </c>
      <c r="E7875">
        <f>YEAR(A7875)</f>
        <v>2015</v>
      </c>
      <c r="F7875" s="33">
        <f>DATE(YEAR(A7875),MONTH(A7875),1)</f>
        <v>42125.0</v>
      </c>
      <c r="G7875" t="str">
        <f>CHOOSE(WEEKDAY(A7875,2),"Mon","Tue","Wed","Thu","Fri","Sat","Sun")</f>
        <v>Tue</v>
      </c>
      <c r="H7875" t="str">
        <f>IF(WEEKDAY(A7875,2)&gt;5,"Weekend","Weekday")</f>
        <v>Weekday</v>
      </c>
      <c r="I7875" t="str">
        <f>_xlfn.IFS(B7875&lt;=5,"Night (0-5)",B7875&lt;=9,"Morning peak (6-9)",B7875&lt;=15,"Midday (10-15)",B7875&lt;=19,"Evening peak (16-19)",TRUE,"Late evening (20-23)")</f>
        <v>Midday (10-15)</v>
      </c>
    </row>
    <row r="7876" spans="1:9">
      <c r="A7876" s="32">
        <v>42150</v>
      </c>
      <c r="B7876">
        <v>13</v>
      </c>
      <c r="C7876">
        <v>2821</v>
      </c>
      <c r="D7876" t="s">
        <v>304</v>
      </c>
      <c r="E7876">
        <f>YEAR(A7876)</f>
        <v>2015</v>
      </c>
      <c r="F7876" s="33">
        <f>DATE(YEAR(A7876),MONTH(A7876),1)</f>
        <v>42125.0</v>
      </c>
      <c r="G7876" t="str">
        <f>CHOOSE(WEEKDAY(A7876,2),"Mon","Tue","Wed","Thu","Fri","Sat","Sun")</f>
        <v>Tue</v>
      </c>
      <c r="H7876" t="str">
        <f>IF(WEEKDAY(A7876,2)&gt;5,"Weekend","Weekday")</f>
        <v>Weekday</v>
      </c>
      <c r="I7876" t="str">
        <f>_xlfn.IFS(B7876&lt;=5,"Night (0-5)",B7876&lt;=9,"Morning peak (6-9)",B7876&lt;=15,"Midday (10-15)",B7876&lt;=19,"Evening peak (16-19)",TRUE,"Late evening (20-23)")</f>
        <v>Midday (10-15)</v>
      </c>
    </row>
    <row r="7877" spans="1:9">
      <c r="A7877" s="32">
        <v>42150</v>
      </c>
      <c r="B7877">
        <v>14</v>
      </c>
      <c r="C7877">
        <v>3207</v>
      </c>
      <c r="D7877" t="s">
        <v>304</v>
      </c>
      <c r="E7877">
        <f>YEAR(A7877)</f>
        <v>2015</v>
      </c>
      <c r="F7877" s="33">
        <f>DATE(YEAR(A7877),MONTH(A7877),1)</f>
        <v>42125.0</v>
      </c>
      <c r="G7877" t="str">
        <f>CHOOSE(WEEKDAY(A7877,2),"Mon","Tue","Wed","Thu","Fri","Sat","Sun")</f>
        <v>Tue</v>
      </c>
      <c r="H7877" t="str">
        <f>IF(WEEKDAY(A7877,2)&gt;5,"Weekend","Weekday")</f>
        <v>Weekday</v>
      </c>
      <c r="I7877" t="str">
        <f>_xlfn.IFS(B7877&lt;=5,"Night (0-5)",B7877&lt;=9,"Morning peak (6-9)",B7877&lt;=15,"Midday (10-15)",B7877&lt;=19,"Evening peak (16-19)",TRUE,"Late evening (20-23)")</f>
        <v>Midday (10-15)</v>
      </c>
    </row>
    <row r="7878" spans="1:9">
      <c r="A7878" s="32">
        <v>42150</v>
      </c>
      <c r="B7878">
        <v>15</v>
      </c>
      <c r="C7878">
        <v>3625</v>
      </c>
      <c r="D7878" t="s">
        <v>304</v>
      </c>
      <c r="E7878">
        <f>YEAR(A7878)</f>
        <v>2015</v>
      </c>
      <c r="F7878" s="33">
        <f>DATE(YEAR(A7878),MONTH(A7878),1)</f>
        <v>42125.0</v>
      </c>
      <c r="G7878" t="str">
        <f>CHOOSE(WEEKDAY(A7878,2),"Mon","Tue","Wed","Thu","Fri","Sat","Sun")</f>
        <v>Tue</v>
      </c>
      <c r="H7878" t="str">
        <f>IF(WEEKDAY(A7878,2)&gt;5,"Weekend","Weekday")</f>
        <v>Weekday</v>
      </c>
      <c r="I7878" t="str">
        <f>_xlfn.IFS(B7878&lt;=5,"Night (0-5)",B7878&lt;=9,"Morning peak (6-9)",B7878&lt;=15,"Midday (10-15)",B7878&lt;=19,"Evening peak (16-19)",TRUE,"Late evening (20-23)")</f>
        <v>Midday (10-15)</v>
      </c>
    </row>
    <row r="7879" spans="1:9">
      <c r="A7879" s="32">
        <v>42150</v>
      </c>
      <c r="B7879">
        <v>16</v>
      </c>
      <c r="C7879">
        <v>4014</v>
      </c>
      <c r="D7879" t="s">
        <v>304</v>
      </c>
      <c r="E7879">
        <f>YEAR(A7879)</f>
        <v>2015</v>
      </c>
      <c r="F7879" s="33">
        <f>DATE(YEAR(A7879),MONTH(A7879),1)</f>
        <v>42125.0</v>
      </c>
      <c r="G7879" t="str">
        <f>CHOOSE(WEEKDAY(A7879,2),"Mon","Tue","Wed","Thu","Fri","Sat","Sun")</f>
        <v>Tue</v>
      </c>
      <c r="H7879" t="str">
        <f>IF(WEEKDAY(A7879,2)&gt;5,"Weekend","Weekday")</f>
        <v>Weekday</v>
      </c>
      <c r="I7879" t="str">
        <f>_xlfn.IFS(B7879&lt;=5,"Night (0-5)",B7879&lt;=9,"Morning peak (6-9)",B7879&lt;=15,"Midday (10-15)",B7879&lt;=19,"Evening peak (16-19)",TRUE,"Late evening (20-23)")</f>
        <v>Evening peak (16-19)</v>
      </c>
    </row>
    <row r="7880" spans="1:9">
      <c r="A7880" s="32">
        <v>42150</v>
      </c>
      <c r="B7880">
        <v>17</v>
      </c>
      <c r="C7880">
        <v>4732</v>
      </c>
      <c r="D7880" t="s">
        <v>304</v>
      </c>
      <c r="E7880">
        <f>YEAR(A7880)</f>
        <v>2015</v>
      </c>
      <c r="F7880" s="33">
        <f>DATE(YEAR(A7880),MONTH(A7880),1)</f>
        <v>42125.0</v>
      </c>
      <c r="G7880" t="str">
        <f>CHOOSE(WEEKDAY(A7880,2),"Mon","Tue","Wed","Thu","Fri","Sat","Sun")</f>
        <v>Tue</v>
      </c>
      <c r="H7880" t="str">
        <f>IF(WEEKDAY(A7880,2)&gt;5,"Weekend","Weekday")</f>
        <v>Weekday</v>
      </c>
      <c r="I7880" t="str">
        <f>_xlfn.IFS(B7880&lt;=5,"Night (0-5)",B7880&lt;=9,"Morning peak (6-9)",B7880&lt;=15,"Midday (10-15)",B7880&lt;=19,"Evening peak (16-19)",TRUE,"Late evening (20-23)")</f>
        <v>Evening peak (16-19)</v>
      </c>
    </row>
    <row r="7881" spans="1:9">
      <c r="A7881" s="32">
        <v>42150</v>
      </c>
      <c r="B7881">
        <v>18</v>
      </c>
      <c r="C7881">
        <v>5198</v>
      </c>
      <c r="D7881" t="s">
        <v>304</v>
      </c>
      <c r="E7881">
        <f>YEAR(A7881)</f>
        <v>2015</v>
      </c>
      <c r="F7881" s="33">
        <f>DATE(YEAR(A7881),MONTH(A7881),1)</f>
        <v>42125.0</v>
      </c>
      <c r="G7881" t="str">
        <f>CHOOSE(WEEKDAY(A7881,2),"Mon","Tue","Wed","Thu","Fri","Sat","Sun")</f>
        <v>Tue</v>
      </c>
      <c r="H7881" t="str">
        <f>IF(WEEKDAY(A7881,2)&gt;5,"Weekend","Weekday")</f>
        <v>Weekday</v>
      </c>
      <c r="I7881" t="str">
        <f>_xlfn.IFS(B7881&lt;=5,"Night (0-5)",B7881&lt;=9,"Morning peak (6-9)",B7881&lt;=15,"Midday (10-15)",B7881&lt;=19,"Evening peak (16-19)",TRUE,"Late evening (20-23)")</f>
        <v>Evening peak (16-19)</v>
      </c>
    </row>
    <row r="7882" spans="1:9">
      <c r="A7882" s="32">
        <v>42150</v>
      </c>
      <c r="B7882">
        <v>19</v>
      </c>
      <c r="C7882">
        <v>4684</v>
      </c>
      <c r="D7882" t="s">
        <v>304</v>
      </c>
      <c r="E7882">
        <f>YEAR(A7882)</f>
        <v>2015</v>
      </c>
      <c r="F7882" s="33">
        <f>DATE(YEAR(A7882),MONTH(A7882),1)</f>
        <v>42125.0</v>
      </c>
      <c r="G7882" t="str">
        <f>CHOOSE(WEEKDAY(A7882,2),"Mon","Tue","Wed","Thu","Fri","Sat","Sun")</f>
        <v>Tue</v>
      </c>
      <c r="H7882" t="str">
        <f>IF(WEEKDAY(A7882,2)&gt;5,"Weekend","Weekday")</f>
        <v>Weekday</v>
      </c>
      <c r="I7882" t="str">
        <f>_xlfn.IFS(B7882&lt;=5,"Night (0-5)",B7882&lt;=9,"Morning peak (6-9)",B7882&lt;=15,"Midday (10-15)",B7882&lt;=19,"Evening peak (16-19)",TRUE,"Late evening (20-23)")</f>
        <v>Evening peak (16-19)</v>
      </c>
    </row>
    <row r="7883" spans="1:9">
      <c r="A7883" s="32">
        <v>42150</v>
      </c>
      <c r="B7883">
        <v>20</v>
      </c>
      <c r="C7883">
        <v>4514</v>
      </c>
      <c r="D7883" t="s">
        <v>304</v>
      </c>
      <c r="E7883">
        <f>YEAR(A7883)</f>
        <v>2015</v>
      </c>
      <c r="F7883" s="33">
        <f>DATE(YEAR(A7883),MONTH(A7883),1)</f>
        <v>42125.0</v>
      </c>
      <c r="G7883" t="str">
        <f>CHOOSE(WEEKDAY(A7883,2),"Mon","Tue","Wed","Thu","Fri","Sat","Sun")</f>
        <v>Tue</v>
      </c>
      <c r="H7883" t="str">
        <f>IF(WEEKDAY(A7883,2)&gt;5,"Weekend","Weekday")</f>
        <v>Weekday</v>
      </c>
      <c r="I7883" t="str">
        <f>_xlfn.IFS(B7883&lt;=5,"Night (0-5)",B7883&lt;=9,"Morning peak (6-9)",B7883&lt;=15,"Midday (10-15)",B7883&lt;=19,"Evening peak (16-19)",TRUE,"Late evening (20-23)")</f>
        <v>Late evening (20-23)</v>
      </c>
    </row>
    <row r="7884" spans="1:9">
      <c r="A7884" s="32">
        <v>42150</v>
      </c>
      <c r="B7884">
        <v>21</v>
      </c>
      <c r="C7884">
        <v>4664</v>
      </c>
      <c r="D7884" t="s">
        <v>304</v>
      </c>
      <c r="E7884">
        <f>YEAR(A7884)</f>
        <v>2015</v>
      </c>
      <c r="F7884" s="33">
        <f>DATE(YEAR(A7884),MONTH(A7884),1)</f>
        <v>42125.0</v>
      </c>
      <c r="G7884" t="str">
        <f>CHOOSE(WEEKDAY(A7884,2),"Mon","Tue","Wed","Thu","Fri","Sat","Sun")</f>
        <v>Tue</v>
      </c>
      <c r="H7884" t="str">
        <f>IF(WEEKDAY(A7884,2)&gt;5,"Weekend","Weekday")</f>
        <v>Weekday</v>
      </c>
      <c r="I7884" t="str">
        <f>_xlfn.IFS(B7884&lt;=5,"Night (0-5)",B7884&lt;=9,"Morning peak (6-9)",B7884&lt;=15,"Midday (10-15)",B7884&lt;=19,"Evening peak (16-19)",TRUE,"Late evening (20-23)")</f>
        <v>Late evening (20-23)</v>
      </c>
    </row>
    <row r="7885" spans="1:9">
      <c r="A7885" s="32">
        <v>42150</v>
      </c>
      <c r="B7885">
        <v>22</v>
      </c>
      <c r="C7885">
        <v>4284</v>
      </c>
      <c r="D7885" t="s">
        <v>304</v>
      </c>
      <c r="E7885">
        <f>YEAR(A7885)</f>
        <v>2015</v>
      </c>
      <c r="F7885" s="33">
        <f>DATE(YEAR(A7885),MONTH(A7885),1)</f>
        <v>42125.0</v>
      </c>
      <c r="G7885" t="str">
        <f>CHOOSE(WEEKDAY(A7885,2),"Mon","Tue","Wed","Thu","Fri","Sat","Sun")</f>
        <v>Tue</v>
      </c>
      <c r="H7885" t="str">
        <f>IF(WEEKDAY(A7885,2)&gt;5,"Weekend","Weekday")</f>
        <v>Weekday</v>
      </c>
      <c r="I7885" t="str">
        <f>_xlfn.IFS(B7885&lt;=5,"Night (0-5)",B7885&lt;=9,"Morning peak (6-9)",B7885&lt;=15,"Midday (10-15)",B7885&lt;=19,"Evening peak (16-19)",TRUE,"Late evening (20-23)")</f>
        <v>Late evening (20-23)</v>
      </c>
    </row>
    <row r="7886" spans="1:9">
      <c r="A7886" s="32">
        <v>42150</v>
      </c>
      <c r="B7886">
        <v>23</v>
      </c>
      <c r="C7886">
        <v>3525</v>
      </c>
      <c r="D7886" t="s">
        <v>304</v>
      </c>
      <c r="E7886">
        <f>YEAR(A7886)</f>
        <v>2015</v>
      </c>
      <c r="F7886" s="33">
        <f>DATE(YEAR(A7886),MONTH(A7886),1)</f>
        <v>42125.0</v>
      </c>
      <c r="G7886" t="str">
        <f>CHOOSE(WEEKDAY(A7886,2),"Mon","Tue","Wed","Thu","Fri","Sat","Sun")</f>
        <v>Tue</v>
      </c>
      <c r="H7886" t="str">
        <f>IF(WEEKDAY(A7886,2)&gt;5,"Weekend","Weekday")</f>
        <v>Weekday</v>
      </c>
      <c r="I7886" t="str">
        <f>_xlfn.IFS(B7886&lt;=5,"Night (0-5)",B7886&lt;=9,"Morning peak (6-9)",B7886&lt;=15,"Midday (10-15)",B7886&lt;=19,"Evening peak (16-19)",TRUE,"Late evening (20-23)")</f>
        <v>Late evening (20-23)</v>
      </c>
    </row>
    <row r="7887" spans="1:9">
      <c r="A7887" s="32">
        <v>42151</v>
      </c>
      <c r="B7887">
        <v>0</v>
      </c>
      <c r="C7887">
        <v>2143</v>
      </c>
      <c r="D7887" t="s">
        <v>304</v>
      </c>
      <c r="E7887">
        <f>YEAR(A7887)</f>
        <v>2015</v>
      </c>
      <c r="F7887" s="33">
        <f>DATE(YEAR(A7887),MONTH(A7887),1)</f>
        <v>42125.0</v>
      </c>
      <c r="G7887" t="str">
        <f>CHOOSE(WEEKDAY(A7887,2),"Mon","Tue","Wed","Thu","Fri","Sat","Sun")</f>
        <v>Wed</v>
      </c>
      <c r="H7887" t="str">
        <f>IF(WEEKDAY(A7887,2)&gt;5,"Weekend","Weekday")</f>
        <v>Weekday</v>
      </c>
      <c r="I7887" t="str">
        <f>_xlfn.IFS(B7887&lt;=5,"Night (0-5)",B7887&lt;=9,"Morning peak (6-9)",B7887&lt;=15,"Midday (10-15)",B7887&lt;=19,"Evening peak (16-19)",TRUE,"Late evening (20-23)")</f>
        <v>Night (0-5)</v>
      </c>
    </row>
    <row r="7888" spans="1:9">
      <c r="A7888" s="32">
        <v>42151</v>
      </c>
      <c r="B7888">
        <v>1</v>
      </c>
      <c r="C7888">
        <v>1218</v>
      </c>
      <c r="D7888" t="s">
        <v>304</v>
      </c>
      <c r="E7888">
        <f>YEAR(A7888)</f>
        <v>2015</v>
      </c>
      <c r="F7888" s="33">
        <f>DATE(YEAR(A7888),MONTH(A7888),1)</f>
        <v>42125.0</v>
      </c>
      <c r="G7888" t="str">
        <f>CHOOSE(WEEKDAY(A7888,2),"Mon","Tue","Wed","Thu","Fri","Sat","Sun")</f>
        <v>Wed</v>
      </c>
      <c r="H7888" t="str">
        <f>IF(WEEKDAY(A7888,2)&gt;5,"Weekend","Weekday")</f>
        <v>Weekday</v>
      </c>
      <c r="I7888" t="str">
        <f>_xlfn.IFS(B7888&lt;=5,"Night (0-5)",B7888&lt;=9,"Morning peak (6-9)",B7888&lt;=15,"Midday (10-15)",B7888&lt;=19,"Evening peak (16-19)",TRUE,"Late evening (20-23)")</f>
        <v>Night (0-5)</v>
      </c>
    </row>
    <row r="7889" spans="1:9">
      <c r="A7889" s="32">
        <v>42151</v>
      </c>
      <c r="B7889">
        <v>2</v>
      </c>
      <c r="C7889">
        <v>714</v>
      </c>
      <c r="D7889" t="s">
        <v>304</v>
      </c>
      <c r="E7889">
        <f>YEAR(A7889)</f>
        <v>2015</v>
      </c>
      <c r="F7889" s="33">
        <f>DATE(YEAR(A7889),MONTH(A7889),1)</f>
        <v>42125.0</v>
      </c>
      <c r="G7889" t="str">
        <f>CHOOSE(WEEKDAY(A7889,2),"Mon","Tue","Wed","Thu","Fri","Sat","Sun")</f>
        <v>Wed</v>
      </c>
      <c r="H7889" t="str">
        <f>IF(WEEKDAY(A7889,2)&gt;5,"Weekend","Weekday")</f>
        <v>Weekday</v>
      </c>
      <c r="I7889" t="str">
        <f>_xlfn.IFS(B7889&lt;=5,"Night (0-5)",B7889&lt;=9,"Morning peak (6-9)",B7889&lt;=15,"Midday (10-15)",B7889&lt;=19,"Evening peak (16-19)",TRUE,"Late evening (20-23)")</f>
        <v>Night (0-5)</v>
      </c>
    </row>
    <row r="7890" spans="1:9">
      <c r="A7890" s="32">
        <v>42151</v>
      </c>
      <c r="B7890">
        <v>3</v>
      </c>
      <c r="C7890">
        <v>496</v>
      </c>
      <c r="D7890" t="s">
        <v>304</v>
      </c>
      <c r="E7890">
        <f>YEAR(A7890)</f>
        <v>2015</v>
      </c>
      <c r="F7890" s="33">
        <f>DATE(YEAR(A7890),MONTH(A7890),1)</f>
        <v>42125.0</v>
      </c>
      <c r="G7890" t="str">
        <f>CHOOSE(WEEKDAY(A7890,2),"Mon","Tue","Wed","Thu","Fri","Sat","Sun")</f>
        <v>Wed</v>
      </c>
      <c r="H7890" t="str">
        <f>IF(WEEKDAY(A7890,2)&gt;5,"Weekend","Weekday")</f>
        <v>Weekday</v>
      </c>
      <c r="I7890" t="str">
        <f>_xlfn.IFS(B7890&lt;=5,"Night (0-5)",B7890&lt;=9,"Morning peak (6-9)",B7890&lt;=15,"Midday (10-15)",B7890&lt;=19,"Evening peak (16-19)",TRUE,"Late evening (20-23)")</f>
        <v>Night (0-5)</v>
      </c>
    </row>
    <row r="7891" spans="1:9">
      <c r="A7891" s="32">
        <v>42151</v>
      </c>
      <c r="B7891">
        <v>4</v>
      </c>
      <c r="C7891">
        <v>708</v>
      </c>
      <c r="D7891" t="s">
        <v>304</v>
      </c>
      <c r="E7891">
        <f>YEAR(A7891)</f>
        <v>2015</v>
      </c>
      <c r="F7891" s="33">
        <f>DATE(YEAR(A7891),MONTH(A7891),1)</f>
        <v>42125.0</v>
      </c>
      <c r="G7891" t="str">
        <f>CHOOSE(WEEKDAY(A7891,2),"Mon","Tue","Wed","Thu","Fri","Sat","Sun")</f>
        <v>Wed</v>
      </c>
      <c r="H7891" t="str">
        <f>IF(WEEKDAY(A7891,2)&gt;5,"Weekend","Weekday")</f>
        <v>Weekday</v>
      </c>
      <c r="I7891" t="str">
        <f>_xlfn.IFS(B7891&lt;=5,"Night (0-5)",B7891&lt;=9,"Morning peak (6-9)",B7891&lt;=15,"Midday (10-15)",B7891&lt;=19,"Evening peak (16-19)",TRUE,"Late evening (20-23)")</f>
        <v>Night (0-5)</v>
      </c>
    </row>
    <row r="7892" spans="1:9">
      <c r="A7892" s="32">
        <v>42151</v>
      </c>
      <c r="B7892">
        <v>5</v>
      </c>
      <c r="C7892">
        <v>1210</v>
      </c>
      <c r="D7892" t="s">
        <v>304</v>
      </c>
      <c r="E7892">
        <f>YEAR(A7892)</f>
        <v>2015</v>
      </c>
      <c r="F7892" s="33">
        <f>DATE(YEAR(A7892),MONTH(A7892),1)</f>
        <v>42125.0</v>
      </c>
      <c r="G7892" t="str">
        <f>CHOOSE(WEEKDAY(A7892,2),"Mon","Tue","Wed","Thu","Fri","Sat","Sun")</f>
        <v>Wed</v>
      </c>
      <c r="H7892" t="str">
        <f>IF(WEEKDAY(A7892,2)&gt;5,"Weekend","Weekday")</f>
        <v>Weekday</v>
      </c>
      <c r="I7892" t="str">
        <f>_xlfn.IFS(B7892&lt;=5,"Night (0-5)",B7892&lt;=9,"Morning peak (6-9)",B7892&lt;=15,"Midday (10-15)",B7892&lt;=19,"Evening peak (16-19)",TRUE,"Late evening (20-23)")</f>
        <v>Night (0-5)</v>
      </c>
    </row>
    <row r="7893" spans="1:9">
      <c r="A7893" s="32">
        <v>42151</v>
      </c>
      <c r="B7893">
        <v>6</v>
      </c>
      <c r="C7893">
        <v>2069</v>
      </c>
      <c r="D7893" t="s">
        <v>304</v>
      </c>
      <c r="E7893">
        <f>YEAR(A7893)</f>
        <v>2015</v>
      </c>
      <c r="F7893" s="33">
        <f>DATE(YEAR(A7893),MONTH(A7893),1)</f>
        <v>42125.0</v>
      </c>
      <c r="G7893" t="str">
        <f>CHOOSE(WEEKDAY(A7893,2),"Mon","Tue","Wed","Thu","Fri","Sat","Sun")</f>
        <v>Wed</v>
      </c>
      <c r="H7893" t="str">
        <f>IF(WEEKDAY(A7893,2)&gt;5,"Weekend","Weekday")</f>
        <v>Weekday</v>
      </c>
      <c r="I7893" t="str">
        <f>_xlfn.IFS(B7893&lt;=5,"Night (0-5)",B7893&lt;=9,"Morning peak (6-9)",B7893&lt;=15,"Midday (10-15)",B7893&lt;=19,"Evening peak (16-19)",TRUE,"Late evening (20-23)")</f>
        <v>Morning peak (6-9)</v>
      </c>
    </row>
    <row r="7894" spans="1:9">
      <c r="A7894" s="32">
        <v>42151</v>
      </c>
      <c r="B7894">
        <v>7</v>
      </c>
      <c r="C7894">
        <v>3444</v>
      </c>
      <c r="D7894" t="s">
        <v>304</v>
      </c>
      <c r="E7894">
        <f>YEAR(A7894)</f>
        <v>2015</v>
      </c>
      <c r="F7894" s="33">
        <f>DATE(YEAR(A7894),MONTH(A7894),1)</f>
        <v>42125.0</v>
      </c>
      <c r="G7894" t="str">
        <f>CHOOSE(WEEKDAY(A7894,2),"Mon","Tue","Wed","Thu","Fri","Sat","Sun")</f>
        <v>Wed</v>
      </c>
      <c r="H7894" t="str">
        <f>IF(WEEKDAY(A7894,2)&gt;5,"Weekend","Weekday")</f>
        <v>Weekday</v>
      </c>
      <c r="I7894" t="str">
        <f>_xlfn.IFS(B7894&lt;=5,"Night (0-5)",B7894&lt;=9,"Morning peak (6-9)",B7894&lt;=15,"Midday (10-15)",B7894&lt;=19,"Evening peak (16-19)",TRUE,"Late evening (20-23)")</f>
        <v>Morning peak (6-9)</v>
      </c>
    </row>
    <row r="7895" spans="1:9">
      <c r="A7895" s="32">
        <v>42151</v>
      </c>
      <c r="B7895">
        <v>8</v>
      </c>
      <c r="C7895">
        <v>4487</v>
      </c>
      <c r="D7895" t="s">
        <v>304</v>
      </c>
      <c r="E7895">
        <f>YEAR(A7895)</f>
        <v>2015</v>
      </c>
      <c r="F7895" s="33">
        <f>DATE(YEAR(A7895),MONTH(A7895),1)</f>
        <v>42125.0</v>
      </c>
      <c r="G7895" t="str">
        <f>CHOOSE(WEEKDAY(A7895,2),"Mon","Tue","Wed","Thu","Fri","Sat","Sun")</f>
        <v>Wed</v>
      </c>
      <c r="H7895" t="str">
        <f>IF(WEEKDAY(A7895,2)&gt;5,"Weekend","Weekday")</f>
        <v>Weekday</v>
      </c>
      <c r="I7895" t="str">
        <f>_xlfn.IFS(B7895&lt;=5,"Night (0-5)",B7895&lt;=9,"Morning peak (6-9)",B7895&lt;=15,"Midday (10-15)",B7895&lt;=19,"Evening peak (16-19)",TRUE,"Late evening (20-23)")</f>
        <v>Morning peak (6-9)</v>
      </c>
    </row>
    <row r="7896" spans="1:9">
      <c r="A7896" s="32">
        <v>42151</v>
      </c>
      <c r="B7896">
        <v>9</v>
      </c>
      <c r="C7896">
        <v>4160</v>
      </c>
      <c r="D7896" t="s">
        <v>304</v>
      </c>
      <c r="E7896">
        <f>YEAR(A7896)</f>
        <v>2015</v>
      </c>
      <c r="F7896" s="33">
        <f>DATE(YEAR(A7896),MONTH(A7896),1)</f>
        <v>42125.0</v>
      </c>
      <c r="G7896" t="str">
        <f>CHOOSE(WEEKDAY(A7896,2),"Mon","Tue","Wed","Thu","Fri","Sat","Sun")</f>
        <v>Wed</v>
      </c>
      <c r="H7896" t="str">
        <f>IF(WEEKDAY(A7896,2)&gt;5,"Weekend","Weekday")</f>
        <v>Weekday</v>
      </c>
      <c r="I7896" t="str">
        <f>_xlfn.IFS(B7896&lt;=5,"Night (0-5)",B7896&lt;=9,"Morning peak (6-9)",B7896&lt;=15,"Midday (10-15)",B7896&lt;=19,"Evening peak (16-19)",TRUE,"Late evening (20-23)")</f>
        <v>Morning peak (6-9)</v>
      </c>
    </row>
    <row r="7897" spans="1:9">
      <c r="A7897" s="32">
        <v>42151</v>
      </c>
      <c r="B7897">
        <v>10</v>
      </c>
      <c r="C7897">
        <v>3158</v>
      </c>
      <c r="D7897" t="s">
        <v>304</v>
      </c>
      <c r="E7897">
        <f>YEAR(A7897)</f>
        <v>2015</v>
      </c>
      <c r="F7897" s="33">
        <f>DATE(YEAR(A7897),MONTH(A7897),1)</f>
        <v>42125.0</v>
      </c>
      <c r="G7897" t="str">
        <f>CHOOSE(WEEKDAY(A7897,2),"Mon","Tue","Wed","Thu","Fri","Sat","Sun")</f>
        <v>Wed</v>
      </c>
      <c r="H7897" t="str">
        <f>IF(WEEKDAY(A7897,2)&gt;5,"Weekend","Weekday")</f>
        <v>Weekday</v>
      </c>
      <c r="I7897" t="str">
        <f>_xlfn.IFS(B7897&lt;=5,"Night (0-5)",B7897&lt;=9,"Morning peak (6-9)",B7897&lt;=15,"Midday (10-15)",B7897&lt;=19,"Evening peak (16-19)",TRUE,"Late evening (20-23)")</f>
        <v>Midday (10-15)</v>
      </c>
    </row>
    <row r="7898" spans="1:9">
      <c r="A7898" s="32">
        <v>42151</v>
      </c>
      <c r="B7898">
        <v>11</v>
      </c>
      <c r="C7898">
        <v>2966</v>
      </c>
      <c r="D7898" t="s">
        <v>304</v>
      </c>
      <c r="E7898">
        <f>YEAR(A7898)</f>
        <v>2015</v>
      </c>
      <c r="F7898" s="33">
        <f>DATE(YEAR(A7898),MONTH(A7898),1)</f>
        <v>42125.0</v>
      </c>
      <c r="G7898" t="str">
        <f>CHOOSE(WEEKDAY(A7898,2),"Mon","Tue","Wed","Thu","Fri","Sat","Sun")</f>
        <v>Wed</v>
      </c>
      <c r="H7898" t="str">
        <f>IF(WEEKDAY(A7898,2)&gt;5,"Weekend","Weekday")</f>
        <v>Weekday</v>
      </c>
      <c r="I7898" t="str">
        <f>_xlfn.IFS(B7898&lt;=5,"Night (0-5)",B7898&lt;=9,"Morning peak (6-9)",B7898&lt;=15,"Midday (10-15)",B7898&lt;=19,"Evening peak (16-19)",TRUE,"Late evening (20-23)")</f>
        <v>Midday (10-15)</v>
      </c>
    </row>
    <row r="7899" spans="1:9">
      <c r="A7899" s="32">
        <v>42151</v>
      </c>
      <c r="B7899">
        <v>12</v>
      </c>
      <c r="C7899">
        <v>3148</v>
      </c>
      <c r="D7899" t="s">
        <v>304</v>
      </c>
      <c r="E7899">
        <f>YEAR(A7899)</f>
        <v>2015</v>
      </c>
      <c r="F7899" s="33">
        <f>DATE(YEAR(A7899),MONTH(A7899),1)</f>
        <v>42125.0</v>
      </c>
      <c r="G7899" t="str">
        <f>CHOOSE(WEEKDAY(A7899,2),"Mon","Tue","Wed","Thu","Fri","Sat","Sun")</f>
        <v>Wed</v>
      </c>
      <c r="H7899" t="str">
        <f>IF(WEEKDAY(A7899,2)&gt;5,"Weekend","Weekday")</f>
        <v>Weekday</v>
      </c>
      <c r="I7899" t="str">
        <f>_xlfn.IFS(B7899&lt;=5,"Night (0-5)",B7899&lt;=9,"Morning peak (6-9)",B7899&lt;=15,"Midday (10-15)",B7899&lt;=19,"Evening peak (16-19)",TRUE,"Late evening (20-23)")</f>
        <v>Midday (10-15)</v>
      </c>
    </row>
    <row r="7900" spans="1:9">
      <c r="A7900" s="32">
        <v>42151</v>
      </c>
      <c r="B7900">
        <v>13</v>
      </c>
      <c r="C7900">
        <v>3038</v>
      </c>
      <c r="D7900" t="s">
        <v>304</v>
      </c>
      <c r="E7900">
        <f>YEAR(A7900)</f>
        <v>2015</v>
      </c>
      <c r="F7900" s="33">
        <f>DATE(YEAR(A7900),MONTH(A7900),1)</f>
        <v>42125.0</v>
      </c>
      <c r="G7900" t="str">
        <f>CHOOSE(WEEKDAY(A7900,2),"Mon","Tue","Wed","Thu","Fri","Sat","Sun")</f>
        <v>Wed</v>
      </c>
      <c r="H7900" t="str">
        <f>IF(WEEKDAY(A7900,2)&gt;5,"Weekend","Weekday")</f>
        <v>Weekday</v>
      </c>
      <c r="I7900" t="str">
        <f>_xlfn.IFS(B7900&lt;=5,"Night (0-5)",B7900&lt;=9,"Morning peak (6-9)",B7900&lt;=15,"Midday (10-15)",B7900&lt;=19,"Evening peak (16-19)",TRUE,"Late evening (20-23)")</f>
        <v>Midday (10-15)</v>
      </c>
    </row>
    <row r="7901" spans="1:9">
      <c r="A7901" s="32">
        <v>42151</v>
      </c>
      <c r="B7901">
        <v>14</v>
      </c>
      <c r="C7901">
        <v>3369</v>
      </c>
      <c r="D7901" t="s">
        <v>304</v>
      </c>
      <c r="E7901">
        <f>YEAR(A7901)</f>
        <v>2015</v>
      </c>
      <c r="F7901" s="33">
        <f>DATE(YEAR(A7901),MONTH(A7901),1)</f>
        <v>42125.0</v>
      </c>
      <c r="G7901" t="str">
        <f>CHOOSE(WEEKDAY(A7901,2),"Mon","Tue","Wed","Thu","Fri","Sat","Sun")</f>
        <v>Wed</v>
      </c>
      <c r="H7901" t="str">
        <f>IF(WEEKDAY(A7901,2)&gt;5,"Weekend","Weekday")</f>
        <v>Weekday</v>
      </c>
      <c r="I7901" t="str">
        <f>_xlfn.IFS(B7901&lt;=5,"Night (0-5)",B7901&lt;=9,"Morning peak (6-9)",B7901&lt;=15,"Midday (10-15)",B7901&lt;=19,"Evening peak (16-19)",TRUE,"Late evening (20-23)")</f>
        <v>Midday (10-15)</v>
      </c>
    </row>
    <row r="7902" spans="1:9">
      <c r="A7902" s="32">
        <v>42151</v>
      </c>
      <c r="B7902">
        <v>15</v>
      </c>
      <c r="C7902">
        <v>3963</v>
      </c>
      <c r="D7902" t="s">
        <v>304</v>
      </c>
      <c r="E7902">
        <f>YEAR(A7902)</f>
        <v>2015</v>
      </c>
      <c r="F7902" s="33">
        <f>DATE(YEAR(A7902),MONTH(A7902),1)</f>
        <v>42125.0</v>
      </c>
      <c r="G7902" t="str">
        <f>CHOOSE(WEEKDAY(A7902,2),"Mon","Tue","Wed","Thu","Fri","Sat","Sun")</f>
        <v>Wed</v>
      </c>
      <c r="H7902" t="str">
        <f>IF(WEEKDAY(A7902,2)&gt;5,"Weekend","Weekday")</f>
        <v>Weekday</v>
      </c>
      <c r="I7902" t="str">
        <f>_xlfn.IFS(B7902&lt;=5,"Night (0-5)",B7902&lt;=9,"Morning peak (6-9)",B7902&lt;=15,"Midday (10-15)",B7902&lt;=19,"Evening peak (16-19)",TRUE,"Late evening (20-23)")</f>
        <v>Midday (10-15)</v>
      </c>
    </row>
    <row r="7903" spans="1:9">
      <c r="A7903" s="32">
        <v>42151</v>
      </c>
      <c r="B7903">
        <v>16</v>
      </c>
      <c r="C7903">
        <v>4475</v>
      </c>
      <c r="D7903" t="s">
        <v>304</v>
      </c>
      <c r="E7903">
        <f>YEAR(A7903)</f>
        <v>2015</v>
      </c>
      <c r="F7903" s="33">
        <f>DATE(YEAR(A7903),MONTH(A7903),1)</f>
        <v>42125.0</v>
      </c>
      <c r="G7903" t="str">
        <f>CHOOSE(WEEKDAY(A7903,2),"Mon","Tue","Wed","Thu","Fri","Sat","Sun")</f>
        <v>Wed</v>
      </c>
      <c r="H7903" t="str">
        <f>IF(WEEKDAY(A7903,2)&gt;5,"Weekend","Weekday")</f>
        <v>Weekday</v>
      </c>
      <c r="I7903" t="str">
        <f>_xlfn.IFS(B7903&lt;=5,"Night (0-5)",B7903&lt;=9,"Morning peak (6-9)",B7903&lt;=15,"Midday (10-15)",B7903&lt;=19,"Evening peak (16-19)",TRUE,"Late evening (20-23)")</f>
        <v>Evening peak (16-19)</v>
      </c>
    </row>
    <row r="7904" spans="1:9">
      <c r="A7904" s="32">
        <v>42151</v>
      </c>
      <c r="B7904">
        <v>17</v>
      </c>
      <c r="C7904">
        <v>5156</v>
      </c>
      <c r="D7904" t="s">
        <v>304</v>
      </c>
      <c r="E7904">
        <f>YEAR(A7904)</f>
        <v>2015</v>
      </c>
      <c r="F7904" s="33">
        <f>DATE(YEAR(A7904),MONTH(A7904),1)</f>
        <v>42125.0</v>
      </c>
      <c r="G7904" t="str">
        <f>CHOOSE(WEEKDAY(A7904,2),"Mon","Tue","Wed","Thu","Fri","Sat","Sun")</f>
        <v>Wed</v>
      </c>
      <c r="H7904" t="str">
        <f>IF(WEEKDAY(A7904,2)&gt;5,"Weekend","Weekday")</f>
        <v>Weekday</v>
      </c>
      <c r="I7904" t="str">
        <f>_xlfn.IFS(B7904&lt;=5,"Night (0-5)",B7904&lt;=9,"Morning peak (6-9)",B7904&lt;=15,"Midday (10-15)",B7904&lt;=19,"Evening peak (16-19)",TRUE,"Late evening (20-23)")</f>
        <v>Evening peak (16-19)</v>
      </c>
    </row>
    <row r="7905" spans="1:9">
      <c r="A7905" s="32">
        <v>42151</v>
      </c>
      <c r="B7905">
        <v>18</v>
      </c>
      <c r="C7905">
        <v>6112</v>
      </c>
      <c r="D7905" t="s">
        <v>304</v>
      </c>
      <c r="E7905">
        <f>YEAR(A7905)</f>
        <v>2015</v>
      </c>
      <c r="F7905" s="33">
        <f>DATE(YEAR(A7905),MONTH(A7905),1)</f>
        <v>42125.0</v>
      </c>
      <c r="G7905" t="str">
        <f>CHOOSE(WEEKDAY(A7905,2),"Mon","Tue","Wed","Thu","Fri","Sat","Sun")</f>
        <v>Wed</v>
      </c>
      <c r="H7905" t="str">
        <f>IF(WEEKDAY(A7905,2)&gt;5,"Weekend","Weekday")</f>
        <v>Weekday</v>
      </c>
      <c r="I7905" t="str">
        <f>_xlfn.IFS(B7905&lt;=5,"Night (0-5)",B7905&lt;=9,"Morning peak (6-9)",B7905&lt;=15,"Midday (10-15)",B7905&lt;=19,"Evening peak (16-19)",TRUE,"Late evening (20-23)")</f>
        <v>Evening peak (16-19)</v>
      </c>
    </row>
    <row r="7906" spans="1:9">
      <c r="A7906" s="32">
        <v>42151</v>
      </c>
      <c r="B7906">
        <v>19</v>
      </c>
      <c r="C7906">
        <v>7253</v>
      </c>
      <c r="D7906" t="s">
        <v>304</v>
      </c>
      <c r="E7906">
        <f>YEAR(A7906)</f>
        <v>2015</v>
      </c>
      <c r="F7906" s="33">
        <f>DATE(YEAR(A7906),MONTH(A7906),1)</f>
        <v>42125.0</v>
      </c>
      <c r="G7906" t="str">
        <f>CHOOSE(WEEKDAY(A7906,2),"Mon","Tue","Wed","Thu","Fri","Sat","Sun")</f>
        <v>Wed</v>
      </c>
      <c r="H7906" t="str">
        <f>IF(WEEKDAY(A7906,2)&gt;5,"Weekend","Weekday")</f>
        <v>Weekday</v>
      </c>
      <c r="I7906" t="str">
        <f>_xlfn.IFS(B7906&lt;=5,"Night (0-5)",B7906&lt;=9,"Morning peak (6-9)",B7906&lt;=15,"Midday (10-15)",B7906&lt;=19,"Evening peak (16-19)",TRUE,"Late evening (20-23)")</f>
        <v>Evening peak (16-19)</v>
      </c>
    </row>
    <row r="7907" spans="1:9">
      <c r="A7907" s="32">
        <v>42151</v>
      </c>
      <c r="B7907">
        <v>20</v>
      </c>
      <c r="C7907">
        <v>8075</v>
      </c>
      <c r="D7907" t="s">
        <v>304</v>
      </c>
      <c r="E7907">
        <f>YEAR(A7907)</f>
        <v>2015</v>
      </c>
      <c r="F7907" s="33">
        <f>DATE(YEAR(A7907),MONTH(A7907),1)</f>
        <v>42125.0</v>
      </c>
      <c r="G7907" t="str">
        <f>CHOOSE(WEEKDAY(A7907,2),"Mon","Tue","Wed","Thu","Fri","Sat","Sun")</f>
        <v>Wed</v>
      </c>
      <c r="H7907" t="str">
        <f>IF(WEEKDAY(A7907,2)&gt;5,"Weekend","Weekday")</f>
        <v>Weekday</v>
      </c>
      <c r="I7907" t="str">
        <f>_xlfn.IFS(B7907&lt;=5,"Night (0-5)",B7907&lt;=9,"Morning peak (6-9)",B7907&lt;=15,"Midday (10-15)",B7907&lt;=19,"Evening peak (16-19)",TRUE,"Late evening (20-23)")</f>
        <v>Late evening (20-23)</v>
      </c>
    </row>
    <row r="7908" spans="1:9">
      <c r="A7908" s="32">
        <v>42151</v>
      </c>
      <c r="B7908">
        <v>21</v>
      </c>
      <c r="C7908">
        <v>7015</v>
      </c>
      <c r="D7908" t="s">
        <v>304</v>
      </c>
      <c r="E7908">
        <f>YEAR(A7908)</f>
        <v>2015</v>
      </c>
      <c r="F7908" s="33">
        <f>DATE(YEAR(A7908),MONTH(A7908),1)</f>
        <v>42125.0</v>
      </c>
      <c r="G7908" t="str">
        <f>CHOOSE(WEEKDAY(A7908,2),"Mon","Tue","Wed","Thu","Fri","Sat","Sun")</f>
        <v>Wed</v>
      </c>
      <c r="H7908" t="str">
        <f>IF(WEEKDAY(A7908,2)&gt;5,"Weekend","Weekday")</f>
        <v>Weekday</v>
      </c>
      <c r="I7908" t="str">
        <f>_xlfn.IFS(B7908&lt;=5,"Night (0-5)",B7908&lt;=9,"Morning peak (6-9)",B7908&lt;=15,"Midday (10-15)",B7908&lt;=19,"Evening peak (16-19)",TRUE,"Late evening (20-23)")</f>
        <v>Late evening (20-23)</v>
      </c>
    </row>
    <row r="7909" spans="1:9">
      <c r="A7909" s="32">
        <v>42151</v>
      </c>
      <c r="B7909">
        <v>22</v>
      </c>
      <c r="C7909">
        <v>6024</v>
      </c>
      <c r="D7909" t="s">
        <v>304</v>
      </c>
      <c r="E7909">
        <f>YEAR(A7909)</f>
        <v>2015</v>
      </c>
      <c r="F7909" s="33">
        <f>DATE(YEAR(A7909),MONTH(A7909),1)</f>
        <v>42125.0</v>
      </c>
      <c r="G7909" t="str">
        <f>CHOOSE(WEEKDAY(A7909,2),"Mon","Tue","Wed","Thu","Fri","Sat","Sun")</f>
        <v>Wed</v>
      </c>
      <c r="H7909" t="str">
        <f>IF(WEEKDAY(A7909,2)&gt;5,"Weekend","Weekday")</f>
        <v>Weekday</v>
      </c>
      <c r="I7909" t="str">
        <f>_xlfn.IFS(B7909&lt;=5,"Night (0-5)",B7909&lt;=9,"Morning peak (6-9)",B7909&lt;=15,"Midday (10-15)",B7909&lt;=19,"Evening peak (16-19)",TRUE,"Late evening (20-23)")</f>
        <v>Late evening (20-23)</v>
      </c>
    </row>
    <row r="7910" spans="1:9">
      <c r="A7910" s="32">
        <v>42151</v>
      </c>
      <c r="B7910">
        <v>23</v>
      </c>
      <c r="C7910">
        <v>4261</v>
      </c>
      <c r="D7910" t="s">
        <v>304</v>
      </c>
      <c r="E7910">
        <f>YEAR(A7910)</f>
        <v>2015</v>
      </c>
      <c r="F7910" s="33">
        <f>DATE(YEAR(A7910),MONTH(A7910),1)</f>
        <v>42125.0</v>
      </c>
      <c r="G7910" t="str">
        <f>CHOOSE(WEEKDAY(A7910,2),"Mon","Tue","Wed","Thu","Fri","Sat","Sun")</f>
        <v>Wed</v>
      </c>
      <c r="H7910" t="str">
        <f>IF(WEEKDAY(A7910,2)&gt;5,"Weekend","Weekday")</f>
        <v>Weekday</v>
      </c>
      <c r="I7910" t="str">
        <f>_xlfn.IFS(B7910&lt;=5,"Night (0-5)",B7910&lt;=9,"Morning peak (6-9)",B7910&lt;=15,"Midday (10-15)",B7910&lt;=19,"Evening peak (16-19)",TRUE,"Late evening (20-23)")</f>
        <v>Late evening (20-23)</v>
      </c>
    </row>
    <row r="7911" spans="1:9">
      <c r="A7911" s="32">
        <v>42152</v>
      </c>
      <c r="B7911">
        <v>0</v>
      </c>
      <c r="C7911">
        <v>2850</v>
      </c>
      <c r="D7911" t="s">
        <v>304</v>
      </c>
      <c r="E7911">
        <f>YEAR(A7911)</f>
        <v>2015</v>
      </c>
      <c r="F7911" s="33">
        <f>DATE(YEAR(A7911),MONTH(A7911),1)</f>
        <v>42125.0</v>
      </c>
      <c r="G7911" t="str">
        <f>CHOOSE(WEEKDAY(A7911,2),"Mon","Tue","Wed","Thu","Fri","Sat","Sun")</f>
        <v>Thu</v>
      </c>
      <c r="H7911" t="str">
        <f>IF(WEEKDAY(A7911,2)&gt;5,"Weekend","Weekday")</f>
        <v>Weekday</v>
      </c>
      <c r="I7911" t="str">
        <f>_xlfn.IFS(B7911&lt;=5,"Night (0-5)",B7911&lt;=9,"Morning peak (6-9)",B7911&lt;=15,"Midday (10-15)",B7911&lt;=19,"Evening peak (16-19)",TRUE,"Late evening (20-23)")</f>
        <v>Night (0-5)</v>
      </c>
    </row>
    <row r="7912" spans="1:9">
      <c r="A7912" s="32">
        <v>42152</v>
      </c>
      <c r="B7912">
        <v>1</v>
      </c>
      <c r="C7912">
        <v>1528</v>
      </c>
      <c r="D7912" t="s">
        <v>304</v>
      </c>
      <c r="E7912">
        <f>YEAR(A7912)</f>
        <v>2015</v>
      </c>
      <c r="F7912" s="33">
        <f>DATE(YEAR(A7912),MONTH(A7912),1)</f>
        <v>42125.0</v>
      </c>
      <c r="G7912" t="str">
        <f>CHOOSE(WEEKDAY(A7912,2),"Mon","Tue","Wed","Thu","Fri","Sat","Sun")</f>
        <v>Thu</v>
      </c>
      <c r="H7912" t="str">
        <f>IF(WEEKDAY(A7912,2)&gt;5,"Weekend","Weekday")</f>
        <v>Weekday</v>
      </c>
      <c r="I7912" t="str">
        <f>_xlfn.IFS(B7912&lt;=5,"Night (0-5)",B7912&lt;=9,"Morning peak (6-9)",B7912&lt;=15,"Midday (10-15)",B7912&lt;=19,"Evening peak (16-19)",TRUE,"Late evening (20-23)")</f>
        <v>Night (0-5)</v>
      </c>
    </row>
    <row r="7913" spans="1:9">
      <c r="A7913" s="32">
        <v>42152</v>
      </c>
      <c r="B7913">
        <v>2</v>
      </c>
      <c r="C7913">
        <v>858</v>
      </c>
      <c r="D7913" t="s">
        <v>304</v>
      </c>
      <c r="E7913">
        <f>YEAR(A7913)</f>
        <v>2015</v>
      </c>
      <c r="F7913" s="33">
        <f>DATE(YEAR(A7913),MONTH(A7913),1)</f>
        <v>42125.0</v>
      </c>
      <c r="G7913" t="str">
        <f>CHOOSE(WEEKDAY(A7913,2),"Mon","Tue","Wed","Thu","Fri","Sat","Sun")</f>
        <v>Thu</v>
      </c>
      <c r="H7913" t="str">
        <f>IF(WEEKDAY(A7913,2)&gt;5,"Weekend","Weekday")</f>
        <v>Weekday</v>
      </c>
      <c r="I7913" t="str">
        <f>_xlfn.IFS(B7913&lt;=5,"Night (0-5)",B7913&lt;=9,"Morning peak (6-9)",B7913&lt;=15,"Midday (10-15)",B7913&lt;=19,"Evening peak (16-19)",TRUE,"Late evening (20-23)")</f>
        <v>Night (0-5)</v>
      </c>
    </row>
    <row r="7914" spans="1:9">
      <c r="A7914" s="32">
        <v>42152</v>
      </c>
      <c r="B7914">
        <v>3</v>
      </c>
      <c r="C7914">
        <v>621</v>
      </c>
      <c r="D7914" t="s">
        <v>304</v>
      </c>
      <c r="E7914">
        <f>YEAR(A7914)</f>
        <v>2015</v>
      </c>
      <c r="F7914" s="33">
        <f>DATE(YEAR(A7914),MONTH(A7914),1)</f>
        <v>42125.0</v>
      </c>
      <c r="G7914" t="str">
        <f>CHOOSE(WEEKDAY(A7914,2),"Mon","Tue","Wed","Thu","Fri","Sat","Sun")</f>
        <v>Thu</v>
      </c>
      <c r="H7914" t="str">
        <f>IF(WEEKDAY(A7914,2)&gt;5,"Weekend","Weekday")</f>
        <v>Weekday</v>
      </c>
      <c r="I7914" t="str">
        <f>_xlfn.IFS(B7914&lt;=5,"Night (0-5)",B7914&lt;=9,"Morning peak (6-9)",B7914&lt;=15,"Midday (10-15)",B7914&lt;=19,"Evening peak (16-19)",TRUE,"Late evening (20-23)")</f>
        <v>Night (0-5)</v>
      </c>
    </row>
    <row r="7915" spans="1:9">
      <c r="A7915" s="32">
        <v>42152</v>
      </c>
      <c r="B7915">
        <v>4</v>
      </c>
      <c r="C7915">
        <v>847</v>
      </c>
      <c r="D7915" t="s">
        <v>304</v>
      </c>
      <c r="E7915">
        <f>YEAR(A7915)</f>
        <v>2015</v>
      </c>
      <c r="F7915" s="33">
        <f>DATE(YEAR(A7915),MONTH(A7915),1)</f>
        <v>42125.0</v>
      </c>
      <c r="G7915" t="str">
        <f>CHOOSE(WEEKDAY(A7915,2),"Mon","Tue","Wed","Thu","Fri","Sat","Sun")</f>
        <v>Thu</v>
      </c>
      <c r="H7915" t="str">
        <f>IF(WEEKDAY(A7915,2)&gt;5,"Weekend","Weekday")</f>
        <v>Weekday</v>
      </c>
      <c r="I7915" t="str">
        <f>_xlfn.IFS(B7915&lt;=5,"Night (0-5)",B7915&lt;=9,"Morning peak (6-9)",B7915&lt;=15,"Midday (10-15)",B7915&lt;=19,"Evening peak (16-19)",TRUE,"Late evening (20-23)")</f>
        <v>Night (0-5)</v>
      </c>
    </row>
    <row r="7916" spans="1:9">
      <c r="A7916" s="32">
        <v>42152</v>
      </c>
      <c r="B7916">
        <v>5</v>
      </c>
      <c r="C7916">
        <v>1268</v>
      </c>
      <c r="D7916" t="s">
        <v>304</v>
      </c>
      <c r="E7916">
        <f>YEAR(A7916)</f>
        <v>2015</v>
      </c>
      <c r="F7916" s="33">
        <f>DATE(YEAR(A7916),MONTH(A7916),1)</f>
        <v>42125.0</v>
      </c>
      <c r="G7916" t="str">
        <f>CHOOSE(WEEKDAY(A7916,2),"Mon","Tue","Wed","Thu","Fri","Sat","Sun")</f>
        <v>Thu</v>
      </c>
      <c r="H7916" t="str">
        <f>IF(WEEKDAY(A7916,2)&gt;5,"Weekend","Weekday")</f>
        <v>Weekday</v>
      </c>
      <c r="I7916" t="str">
        <f>_xlfn.IFS(B7916&lt;=5,"Night (0-5)",B7916&lt;=9,"Morning peak (6-9)",B7916&lt;=15,"Midday (10-15)",B7916&lt;=19,"Evening peak (16-19)",TRUE,"Late evening (20-23)")</f>
        <v>Night (0-5)</v>
      </c>
    </row>
    <row r="7917" spans="1:9">
      <c r="A7917" s="32">
        <v>42152</v>
      </c>
      <c r="B7917">
        <v>6</v>
      </c>
      <c r="C7917">
        <v>2086</v>
      </c>
      <c r="D7917" t="s">
        <v>304</v>
      </c>
      <c r="E7917">
        <f>YEAR(A7917)</f>
        <v>2015</v>
      </c>
      <c r="F7917" s="33">
        <f>DATE(YEAR(A7917),MONTH(A7917),1)</f>
        <v>42125.0</v>
      </c>
      <c r="G7917" t="str">
        <f>CHOOSE(WEEKDAY(A7917,2),"Mon","Tue","Wed","Thu","Fri","Sat","Sun")</f>
        <v>Thu</v>
      </c>
      <c r="H7917" t="str">
        <f>IF(WEEKDAY(A7917,2)&gt;5,"Weekend","Weekday")</f>
        <v>Weekday</v>
      </c>
      <c r="I7917" t="str">
        <f>_xlfn.IFS(B7917&lt;=5,"Night (0-5)",B7917&lt;=9,"Morning peak (6-9)",B7917&lt;=15,"Midday (10-15)",B7917&lt;=19,"Evening peak (16-19)",TRUE,"Late evening (20-23)")</f>
        <v>Morning peak (6-9)</v>
      </c>
    </row>
    <row r="7918" spans="1:9">
      <c r="A7918" s="32">
        <v>42152</v>
      </c>
      <c r="B7918">
        <v>7</v>
      </c>
      <c r="C7918">
        <v>3636</v>
      </c>
      <c r="D7918" t="s">
        <v>304</v>
      </c>
      <c r="E7918">
        <f>YEAR(A7918)</f>
        <v>2015</v>
      </c>
      <c r="F7918" s="33">
        <f>DATE(YEAR(A7918),MONTH(A7918),1)</f>
        <v>42125.0</v>
      </c>
      <c r="G7918" t="str">
        <f>CHOOSE(WEEKDAY(A7918,2),"Mon","Tue","Wed","Thu","Fri","Sat","Sun")</f>
        <v>Thu</v>
      </c>
      <c r="H7918" t="str">
        <f>IF(WEEKDAY(A7918,2)&gt;5,"Weekend","Weekday")</f>
        <v>Weekday</v>
      </c>
      <c r="I7918" t="str">
        <f>_xlfn.IFS(B7918&lt;=5,"Night (0-5)",B7918&lt;=9,"Morning peak (6-9)",B7918&lt;=15,"Midday (10-15)",B7918&lt;=19,"Evening peak (16-19)",TRUE,"Late evening (20-23)")</f>
        <v>Morning peak (6-9)</v>
      </c>
    </row>
    <row r="7919" spans="1:9">
      <c r="A7919" s="32">
        <v>42152</v>
      </c>
      <c r="B7919">
        <v>8</v>
      </c>
      <c r="C7919">
        <v>4601</v>
      </c>
      <c r="D7919" t="s">
        <v>304</v>
      </c>
      <c r="E7919">
        <f>YEAR(A7919)</f>
        <v>2015</v>
      </c>
      <c r="F7919" s="33">
        <f>DATE(YEAR(A7919),MONTH(A7919),1)</f>
        <v>42125.0</v>
      </c>
      <c r="G7919" t="str">
        <f>CHOOSE(WEEKDAY(A7919,2),"Mon","Tue","Wed","Thu","Fri","Sat","Sun")</f>
        <v>Thu</v>
      </c>
      <c r="H7919" t="str">
        <f>IF(WEEKDAY(A7919,2)&gt;5,"Weekend","Weekday")</f>
        <v>Weekday</v>
      </c>
      <c r="I7919" t="str">
        <f>_xlfn.IFS(B7919&lt;=5,"Night (0-5)",B7919&lt;=9,"Morning peak (6-9)",B7919&lt;=15,"Midday (10-15)",B7919&lt;=19,"Evening peak (16-19)",TRUE,"Late evening (20-23)")</f>
        <v>Morning peak (6-9)</v>
      </c>
    </row>
    <row r="7920" spans="1:9">
      <c r="A7920" s="32">
        <v>42152</v>
      </c>
      <c r="B7920">
        <v>9</v>
      </c>
      <c r="C7920">
        <v>4391</v>
      </c>
      <c r="D7920" t="s">
        <v>304</v>
      </c>
      <c r="E7920">
        <f>YEAR(A7920)</f>
        <v>2015</v>
      </c>
      <c r="F7920" s="33">
        <f>DATE(YEAR(A7920),MONTH(A7920),1)</f>
        <v>42125.0</v>
      </c>
      <c r="G7920" t="str">
        <f>CHOOSE(WEEKDAY(A7920,2),"Mon","Tue","Wed","Thu","Fri","Sat","Sun")</f>
        <v>Thu</v>
      </c>
      <c r="H7920" t="str">
        <f>IF(WEEKDAY(A7920,2)&gt;5,"Weekend","Weekday")</f>
        <v>Weekday</v>
      </c>
      <c r="I7920" t="str">
        <f>_xlfn.IFS(B7920&lt;=5,"Night (0-5)",B7920&lt;=9,"Morning peak (6-9)",B7920&lt;=15,"Midday (10-15)",B7920&lt;=19,"Evening peak (16-19)",TRUE,"Late evening (20-23)")</f>
        <v>Morning peak (6-9)</v>
      </c>
    </row>
    <row r="7921" spans="1:9">
      <c r="A7921" s="32">
        <v>42152</v>
      </c>
      <c r="B7921">
        <v>10</v>
      </c>
      <c r="C7921">
        <v>3533</v>
      </c>
      <c r="D7921" t="s">
        <v>304</v>
      </c>
      <c r="E7921">
        <f>YEAR(A7921)</f>
        <v>2015</v>
      </c>
      <c r="F7921" s="33">
        <f>DATE(YEAR(A7921),MONTH(A7921),1)</f>
        <v>42125.0</v>
      </c>
      <c r="G7921" t="str">
        <f>CHOOSE(WEEKDAY(A7921,2),"Mon","Tue","Wed","Thu","Fri","Sat","Sun")</f>
        <v>Thu</v>
      </c>
      <c r="H7921" t="str">
        <f>IF(WEEKDAY(A7921,2)&gt;5,"Weekend","Weekday")</f>
        <v>Weekday</v>
      </c>
      <c r="I7921" t="str">
        <f>_xlfn.IFS(B7921&lt;=5,"Night (0-5)",B7921&lt;=9,"Morning peak (6-9)",B7921&lt;=15,"Midday (10-15)",B7921&lt;=19,"Evening peak (16-19)",TRUE,"Late evening (20-23)")</f>
        <v>Midday (10-15)</v>
      </c>
    </row>
    <row r="7922" spans="1:9">
      <c r="A7922" s="32">
        <v>42152</v>
      </c>
      <c r="B7922">
        <v>11</v>
      </c>
      <c r="C7922">
        <v>3279</v>
      </c>
      <c r="D7922" t="s">
        <v>304</v>
      </c>
      <c r="E7922">
        <f>YEAR(A7922)</f>
        <v>2015</v>
      </c>
      <c r="F7922" s="33">
        <f>DATE(YEAR(A7922),MONTH(A7922),1)</f>
        <v>42125.0</v>
      </c>
      <c r="G7922" t="str">
        <f>CHOOSE(WEEKDAY(A7922,2),"Mon","Tue","Wed","Thu","Fri","Sat","Sun")</f>
        <v>Thu</v>
      </c>
      <c r="H7922" t="str">
        <f>IF(WEEKDAY(A7922,2)&gt;5,"Weekend","Weekday")</f>
        <v>Weekday</v>
      </c>
      <c r="I7922" t="str">
        <f>_xlfn.IFS(B7922&lt;=5,"Night (0-5)",B7922&lt;=9,"Morning peak (6-9)",B7922&lt;=15,"Midday (10-15)",B7922&lt;=19,"Evening peak (16-19)",TRUE,"Late evening (20-23)")</f>
        <v>Midday (10-15)</v>
      </c>
    </row>
    <row r="7923" spans="1:9">
      <c r="A7923" s="32">
        <v>42152</v>
      </c>
      <c r="B7923">
        <v>12</v>
      </c>
      <c r="C7923">
        <v>3302</v>
      </c>
      <c r="D7923" t="s">
        <v>304</v>
      </c>
      <c r="E7923">
        <f>YEAR(A7923)</f>
        <v>2015</v>
      </c>
      <c r="F7923" s="33">
        <f>DATE(YEAR(A7923),MONTH(A7923),1)</f>
        <v>42125.0</v>
      </c>
      <c r="G7923" t="str">
        <f>CHOOSE(WEEKDAY(A7923,2),"Mon","Tue","Wed","Thu","Fri","Sat","Sun")</f>
        <v>Thu</v>
      </c>
      <c r="H7923" t="str">
        <f>IF(WEEKDAY(A7923,2)&gt;5,"Weekend","Weekday")</f>
        <v>Weekday</v>
      </c>
      <c r="I7923" t="str">
        <f>_xlfn.IFS(B7923&lt;=5,"Night (0-5)",B7923&lt;=9,"Morning peak (6-9)",B7923&lt;=15,"Midday (10-15)",B7923&lt;=19,"Evening peak (16-19)",TRUE,"Late evening (20-23)")</f>
        <v>Midday (10-15)</v>
      </c>
    </row>
    <row r="7924" spans="1:9">
      <c r="A7924" s="32">
        <v>42152</v>
      </c>
      <c r="B7924">
        <v>13</v>
      </c>
      <c r="C7924">
        <v>3294</v>
      </c>
      <c r="D7924" t="s">
        <v>304</v>
      </c>
      <c r="E7924">
        <f>YEAR(A7924)</f>
        <v>2015</v>
      </c>
      <c r="F7924" s="33">
        <f>DATE(YEAR(A7924),MONTH(A7924),1)</f>
        <v>42125.0</v>
      </c>
      <c r="G7924" t="str">
        <f>CHOOSE(WEEKDAY(A7924,2),"Mon","Tue","Wed","Thu","Fri","Sat","Sun")</f>
        <v>Thu</v>
      </c>
      <c r="H7924" t="str">
        <f>IF(WEEKDAY(A7924,2)&gt;5,"Weekend","Weekday")</f>
        <v>Weekday</v>
      </c>
      <c r="I7924" t="str">
        <f>_xlfn.IFS(B7924&lt;=5,"Night (0-5)",B7924&lt;=9,"Morning peak (6-9)",B7924&lt;=15,"Midday (10-15)",B7924&lt;=19,"Evening peak (16-19)",TRUE,"Late evening (20-23)")</f>
        <v>Midday (10-15)</v>
      </c>
    </row>
    <row r="7925" spans="1:9">
      <c r="A7925" s="32">
        <v>42152</v>
      </c>
      <c r="B7925">
        <v>14</v>
      </c>
      <c r="C7925">
        <v>3838</v>
      </c>
      <c r="D7925" t="s">
        <v>304</v>
      </c>
      <c r="E7925">
        <f>YEAR(A7925)</f>
        <v>2015</v>
      </c>
      <c r="F7925" s="33">
        <f>DATE(YEAR(A7925),MONTH(A7925),1)</f>
        <v>42125.0</v>
      </c>
      <c r="G7925" t="str">
        <f>CHOOSE(WEEKDAY(A7925,2),"Mon","Tue","Wed","Thu","Fri","Sat","Sun")</f>
        <v>Thu</v>
      </c>
      <c r="H7925" t="str">
        <f>IF(WEEKDAY(A7925,2)&gt;5,"Weekend","Weekday")</f>
        <v>Weekday</v>
      </c>
      <c r="I7925" t="str">
        <f>_xlfn.IFS(B7925&lt;=5,"Night (0-5)",B7925&lt;=9,"Morning peak (6-9)",B7925&lt;=15,"Midday (10-15)",B7925&lt;=19,"Evening peak (16-19)",TRUE,"Late evening (20-23)")</f>
        <v>Midday (10-15)</v>
      </c>
    </row>
    <row r="7926" spans="1:9">
      <c r="A7926" s="32">
        <v>42152</v>
      </c>
      <c r="B7926">
        <v>15</v>
      </c>
      <c r="C7926">
        <v>4325</v>
      </c>
      <c r="D7926" t="s">
        <v>304</v>
      </c>
      <c r="E7926">
        <f>YEAR(A7926)</f>
        <v>2015</v>
      </c>
      <c r="F7926" s="33">
        <f>DATE(YEAR(A7926),MONTH(A7926),1)</f>
        <v>42125.0</v>
      </c>
      <c r="G7926" t="str">
        <f>CHOOSE(WEEKDAY(A7926,2),"Mon","Tue","Wed","Thu","Fri","Sat","Sun")</f>
        <v>Thu</v>
      </c>
      <c r="H7926" t="str">
        <f>IF(WEEKDAY(A7926,2)&gt;5,"Weekend","Weekday")</f>
        <v>Weekday</v>
      </c>
      <c r="I7926" t="str">
        <f>_xlfn.IFS(B7926&lt;=5,"Night (0-5)",B7926&lt;=9,"Morning peak (6-9)",B7926&lt;=15,"Midday (10-15)",B7926&lt;=19,"Evening peak (16-19)",TRUE,"Late evening (20-23)")</f>
        <v>Midday (10-15)</v>
      </c>
    </row>
    <row r="7927" spans="1:9">
      <c r="A7927" s="32">
        <v>42152</v>
      </c>
      <c r="B7927">
        <v>16</v>
      </c>
      <c r="C7927">
        <v>5032</v>
      </c>
      <c r="D7927" t="s">
        <v>304</v>
      </c>
      <c r="E7927">
        <f>YEAR(A7927)</f>
        <v>2015</v>
      </c>
      <c r="F7927" s="33">
        <f>DATE(YEAR(A7927),MONTH(A7927),1)</f>
        <v>42125.0</v>
      </c>
      <c r="G7927" t="str">
        <f>CHOOSE(WEEKDAY(A7927,2),"Mon","Tue","Wed","Thu","Fri","Sat","Sun")</f>
        <v>Thu</v>
      </c>
      <c r="H7927" t="str">
        <f>IF(WEEKDAY(A7927,2)&gt;5,"Weekend","Weekday")</f>
        <v>Weekday</v>
      </c>
      <c r="I7927" t="str">
        <f>_xlfn.IFS(B7927&lt;=5,"Night (0-5)",B7927&lt;=9,"Morning peak (6-9)",B7927&lt;=15,"Midday (10-15)",B7927&lt;=19,"Evening peak (16-19)",TRUE,"Late evening (20-23)")</f>
        <v>Evening peak (16-19)</v>
      </c>
    </row>
    <row r="7928" spans="1:9">
      <c r="A7928" s="32">
        <v>42152</v>
      </c>
      <c r="B7928">
        <v>17</v>
      </c>
      <c r="C7928">
        <v>5987</v>
      </c>
      <c r="D7928" t="s">
        <v>304</v>
      </c>
      <c r="E7928">
        <f>YEAR(A7928)</f>
        <v>2015</v>
      </c>
      <c r="F7928" s="33">
        <f>DATE(YEAR(A7928),MONTH(A7928),1)</f>
        <v>42125.0</v>
      </c>
      <c r="G7928" t="str">
        <f>CHOOSE(WEEKDAY(A7928,2),"Mon","Tue","Wed","Thu","Fri","Sat","Sun")</f>
        <v>Thu</v>
      </c>
      <c r="H7928" t="str">
        <f>IF(WEEKDAY(A7928,2)&gt;5,"Weekend","Weekday")</f>
        <v>Weekday</v>
      </c>
      <c r="I7928" t="str">
        <f>_xlfn.IFS(B7928&lt;=5,"Night (0-5)",B7928&lt;=9,"Morning peak (6-9)",B7928&lt;=15,"Midday (10-15)",B7928&lt;=19,"Evening peak (16-19)",TRUE,"Late evening (20-23)")</f>
        <v>Evening peak (16-19)</v>
      </c>
    </row>
    <row r="7929" spans="1:9">
      <c r="A7929" s="32">
        <v>42152</v>
      </c>
      <c r="B7929">
        <v>18</v>
      </c>
      <c r="C7929">
        <v>7029</v>
      </c>
      <c r="D7929" t="s">
        <v>304</v>
      </c>
      <c r="E7929">
        <f>YEAR(A7929)</f>
        <v>2015</v>
      </c>
      <c r="F7929" s="33">
        <f>DATE(YEAR(A7929),MONTH(A7929),1)</f>
        <v>42125.0</v>
      </c>
      <c r="G7929" t="str">
        <f>CHOOSE(WEEKDAY(A7929,2),"Mon","Tue","Wed","Thu","Fri","Sat","Sun")</f>
        <v>Thu</v>
      </c>
      <c r="H7929" t="str">
        <f>IF(WEEKDAY(A7929,2)&gt;5,"Weekend","Weekday")</f>
        <v>Weekday</v>
      </c>
      <c r="I7929" t="str">
        <f>_xlfn.IFS(B7929&lt;=5,"Night (0-5)",B7929&lt;=9,"Morning peak (6-9)",B7929&lt;=15,"Midday (10-15)",B7929&lt;=19,"Evening peak (16-19)",TRUE,"Late evening (20-23)")</f>
        <v>Evening peak (16-19)</v>
      </c>
    </row>
    <row r="7930" spans="1:9">
      <c r="A7930" s="32">
        <v>42152</v>
      </c>
      <c r="B7930">
        <v>19</v>
      </c>
      <c r="C7930">
        <v>6631</v>
      </c>
      <c r="D7930" t="s">
        <v>304</v>
      </c>
      <c r="E7930">
        <f>YEAR(A7930)</f>
        <v>2015</v>
      </c>
      <c r="F7930" s="33">
        <f>DATE(YEAR(A7930),MONTH(A7930),1)</f>
        <v>42125.0</v>
      </c>
      <c r="G7930" t="str">
        <f>CHOOSE(WEEKDAY(A7930,2),"Mon","Tue","Wed","Thu","Fri","Sat","Sun")</f>
        <v>Thu</v>
      </c>
      <c r="H7930" t="str">
        <f>IF(WEEKDAY(A7930,2)&gt;5,"Weekend","Weekday")</f>
        <v>Weekday</v>
      </c>
      <c r="I7930" t="str">
        <f>_xlfn.IFS(B7930&lt;=5,"Night (0-5)",B7930&lt;=9,"Morning peak (6-9)",B7930&lt;=15,"Midday (10-15)",B7930&lt;=19,"Evening peak (16-19)",TRUE,"Late evening (20-23)")</f>
        <v>Evening peak (16-19)</v>
      </c>
    </row>
    <row r="7931" spans="1:9">
      <c r="A7931" s="32">
        <v>42152</v>
      </c>
      <c r="B7931">
        <v>20</v>
      </c>
      <c r="C7931">
        <v>6214</v>
      </c>
      <c r="D7931" t="s">
        <v>304</v>
      </c>
      <c r="E7931">
        <f>YEAR(A7931)</f>
        <v>2015</v>
      </c>
      <c r="F7931" s="33">
        <f>DATE(YEAR(A7931),MONTH(A7931),1)</f>
        <v>42125.0</v>
      </c>
      <c r="G7931" t="str">
        <f>CHOOSE(WEEKDAY(A7931,2),"Mon","Tue","Wed","Thu","Fri","Sat","Sun")</f>
        <v>Thu</v>
      </c>
      <c r="H7931" t="str">
        <f>IF(WEEKDAY(A7931,2)&gt;5,"Weekend","Weekday")</f>
        <v>Weekday</v>
      </c>
      <c r="I7931" t="str">
        <f>_xlfn.IFS(B7931&lt;=5,"Night (0-5)",B7931&lt;=9,"Morning peak (6-9)",B7931&lt;=15,"Midday (10-15)",B7931&lt;=19,"Evening peak (16-19)",TRUE,"Late evening (20-23)")</f>
        <v>Late evening (20-23)</v>
      </c>
    </row>
    <row r="7932" spans="1:9">
      <c r="A7932" s="32">
        <v>42152</v>
      </c>
      <c r="B7932">
        <v>21</v>
      </c>
      <c r="C7932">
        <v>6806</v>
      </c>
      <c r="D7932" t="s">
        <v>304</v>
      </c>
      <c r="E7932">
        <f>YEAR(A7932)</f>
        <v>2015</v>
      </c>
      <c r="F7932" s="33">
        <f>DATE(YEAR(A7932),MONTH(A7932),1)</f>
        <v>42125.0</v>
      </c>
      <c r="G7932" t="str">
        <f>CHOOSE(WEEKDAY(A7932,2),"Mon","Tue","Wed","Thu","Fri","Sat","Sun")</f>
        <v>Thu</v>
      </c>
      <c r="H7932" t="str">
        <f>IF(WEEKDAY(A7932,2)&gt;5,"Weekend","Weekday")</f>
        <v>Weekday</v>
      </c>
      <c r="I7932" t="str">
        <f>_xlfn.IFS(B7932&lt;=5,"Night (0-5)",B7932&lt;=9,"Morning peak (6-9)",B7932&lt;=15,"Midday (10-15)",B7932&lt;=19,"Evening peak (16-19)",TRUE,"Late evening (20-23)")</f>
        <v>Late evening (20-23)</v>
      </c>
    </row>
    <row r="7933" spans="1:9">
      <c r="A7933" s="32">
        <v>42152</v>
      </c>
      <c r="B7933">
        <v>22</v>
      </c>
      <c r="C7933">
        <v>7033</v>
      </c>
      <c r="D7933" t="s">
        <v>304</v>
      </c>
      <c r="E7933">
        <f>YEAR(A7933)</f>
        <v>2015</v>
      </c>
      <c r="F7933" s="33">
        <f>DATE(YEAR(A7933),MONTH(A7933),1)</f>
        <v>42125.0</v>
      </c>
      <c r="G7933" t="str">
        <f>CHOOSE(WEEKDAY(A7933,2),"Mon","Tue","Wed","Thu","Fri","Sat","Sun")</f>
        <v>Thu</v>
      </c>
      <c r="H7933" t="str">
        <f>IF(WEEKDAY(A7933,2)&gt;5,"Weekend","Weekday")</f>
        <v>Weekday</v>
      </c>
      <c r="I7933" t="str">
        <f>_xlfn.IFS(B7933&lt;=5,"Night (0-5)",B7933&lt;=9,"Morning peak (6-9)",B7933&lt;=15,"Midday (10-15)",B7933&lt;=19,"Evening peak (16-19)",TRUE,"Late evening (20-23)")</f>
        <v>Late evening (20-23)</v>
      </c>
    </row>
    <row r="7934" spans="1:9">
      <c r="A7934" s="32">
        <v>42152</v>
      </c>
      <c r="B7934">
        <v>23</v>
      </c>
      <c r="C7934">
        <v>6085</v>
      </c>
      <c r="D7934" t="s">
        <v>304</v>
      </c>
      <c r="E7934">
        <f>YEAR(A7934)</f>
        <v>2015</v>
      </c>
      <c r="F7934" s="33">
        <f>DATE(YEAR(A7934),MONTH(A7934),1)</f>
        <v>42125.0</v>
      </c>
      <c r="G7934" t="str">
        <f>CHOOSE(WEEKDAY(A7934,2),"Mon","Tue","Wed","Thu","Fri","Sat","Sun")</f>
        <v>Thu</v>
      </c>
      <c r="H7934" t="str">
        <f>IF(WEEKDAY(A7934,2)&gt;5,"Weekend","Weekday")</f>
        <v>Weekday</v>
      </c>
      <c r="I7934" t="str">
        <f>_xlfn.IFS(B7934&lt;=5,"Night (0-5)",B7934&lt;=9,"Morning peak (6-9)",B7934&lt;=15,"Midday (10-15)",B7934&lt;=19,"Evening peak (16-19)",TRUE,"Late evening (20-23)")</f>
        <v>Late evening (20-23)</v>
      </c>
    </row>
    <row r="7935" spans="1:9">
      <c r="A7935" s="32">
        <v>42153</v>
      </c>
      <c r="B7935">
        <v>0</v>
      </c>
      <c r="C7935">
        <v>4014</v>
      </c>
      <c r="D7935" t="s">
        <v>304</v>
      </c>
      <c r="E7935">
        <f>YEAR(A7935)</f>
        <v>2015</v>
      </c>
      <c r="F7935" s="33">
        <f>DATE(YEAR(A7935),MONTH(A7935),1)</f>
        <v>42125.0</v>
      </c>
      <c r="G7935" t="str">
        <f>CHOOSE(WEEKDAY(A7935,2),"Mon","Tue","Wed","Thu","Fri","Sat","Sun")</f>
        <v>Fri</v>
      </c>
      <c r="H7935" t="str">
        <f>IF(WEEKDAY(A7935,2)&gt;5,"Weekend","Weekday")</f>
        <v>Weekday</v>
      </c>
      <c r="I7935" t="str">
        <f>_xlfn.IFS(B7935&lt;=5,"Night (0-5)",B7935&lt;=9,"Morning peak (6-9)",B7935&lt;=15,"Midday (10-15)",B7935&lt;=19,"Evening peak (16-19)",TRUE,"Late evening (20-23)")</f>
        <v>Night (0-5)</v>
      </c>
    </row>
    <row r="7936" spans="1:9">
      <c r="A7936" s="32">
        <v>42153</v>
      </c>
      <c r="B7936">
        <v>1</v>
      </c>
      <c r="C7936">
        <v>2077</v>
      </c>
      <c r="D7936" t="s">
        <v>304</v>
      </c>
      <c r="E7936">
        <f>YEAR(A7936)</f>
        <v>2015</v>
      </c>
      <c r="F7936" s="33">
        <f>DATE(YEAR(A7936),MONTH(A7936),1)</f>
        <v>42125.0</v>
      </c>
      <c r="G7936" t="str">
        <f>CHOOSE(WEEKDAY(A7936,2),"Mon","Tue","Wed","Thu","Fri","Sat","Sun")</f>
        <v>Fri</v>
      </c>
      <c r="H7936" t="str">
        <f>IF(WEEKDAY(A7936,2)&gt;5,"Weekend","Weekday")</f>
        <v>Weekday</v>
      </c>
      <c r="I7936" t="str">
        <f>_xlfn.IFS(B7936&lt;=5,"Night (0-5)",B7936&lt;=9,"Morning peak (6-9)",B7936&lt;=15,"Midday (10-15)",B7936&lt;=19,"Evening peak (16-19)",TRUE,"Late evening (20-23)")</f>
        <v>Night (0-5)</v>
      </c>
    </row>
    <row r="7937" spans="1:9">
      <c r="A7937" s="32">
        <v>42153</v>
      </c>
      <c r="B7937">
        <v>2</v>
      </c>
      <c r="C7937">
        <v>1287</v>
      </c>
      <c r="D7937" t="s">
        <v>304</v>
      </c>
      <c r="E7937">
        <f>YEAR(A7937)</f>
        <v>2015</v>
      </c>
      <c r="F7937" s="33">
        <f>DATE(YEAR(A7937),MONTH(A7937),1)</f>
        <v>42125.0</v>
      </c>
      <c r="G7937" t="str">
        <f>CHOOSE(WEEKDAY(A7937,2),"Mon","Tue","Wed","Thu","Fri","Sat","Sun")</f>
        <v>Fri</v>
      </c>
      <c r="H7937" t="str">
        <f>IF(WEEKDAY(A7937,2)&gt;5,"Weekend","Weekday")</f>
        <v>Weekday</v>
      </c>
      <c r="I7937" t="str">
        <f>_xlfn.IFS(B7937&lt;=5,"Night (0-5)",B7937&lt;=9,"Morning peak (6-9)",B7937&lt;=15,"Midday (10-15)",B7937&lt;=19,"Evening peak (16-19)",TRUE,"Late evening (20-23)")</f>
        <v>Night (0-5)</v>
      </c>
    </row>
    <row r="7938" spans="1:9">
      <c r="A7938" s="32">
        <v>42153</v>
      </c>
      <c r="B7938">
        <v>3</v>
      </c>
      <c r="C7938">
        <v>846</v>
      </c>
      <c r="D7938" t="s">
        <v>304</v>
      </c>
      <c r="E7938">
        <f>YEAR(A7938)</f>
        <v>2015</v>
      </c>
      <c r="F7938" s="33">
        <f>DATE(YEAR(A7938),MONTH(A7938),1)</f>
        <v>42125.0</v>
      </c>
      <c r="G7938" t="str">
        <f>CHOOSE(WEEKDAY(A7938,2),"Mon","Tue","Wed","Thu","Fri","Sat","Sun")</f>
        <v>Fri</v>
      </c>
      <c r="H7938" t="str">
        <f>IF(WEEKDAY(A7938,2)&gt;5,"Weekend","Weekday")</f>
        <v>Weekday</v>
      </c>
      <c r="I7938" t="str">
        <f>_xlfn.IFS(B7938&lt;=5,"Night (0-5)",B7938&lt;=9,"Morning peak (6-9)",B7938&lt;=15,"Midday (10-15)",B7938&lt;=19,"Evening peak (16-19)",TRUE,"Late evening (20-23)")</f>
        <v>Night (0-5)</v>
      </c>
    </row>
    <row r="7939" spans="1:9">
      <c r="A7939" s="32">
        <v>42153</v>
      </c>
      <c r="B7939">
        <v>4</v>
      </c>
      <c r="C7939">
        <v>1088</v>
      </c>
      <c r="D7939" t="s">
        <v>304</v>
      </c>
      <c r="E7939">
        <f>YEAR(A7939)</f>
        <v>2015</v>
      </c>
      <c r="F7939" s="33">
        <f>DATE(YEAR(A7939),MONTH(A7939),1)</f>
        <v>42125.0</v>
      </c>
      <c r="G7939" t="str">
        <f>CHOOSE(WEEKDAY(A7939,2),"Mon","Tue","Wed","Thu","Fri","Sat","Sun")</f>
        <v>Fri</v>
      </c>
      <c r="H7939" t="str">
        <f>IF(WEEKDAY(A7939,2)&gt;5,"Weekend","Weekday")</f>
        <v>Weekday</v>
      </c>
      <c r="I7939" t="str">
        <f>_xlfn.IFS(B7939&lt;=5,"Night (0-5)",B7939&lt;=9,"Morning peak (6-9)",B7939&lt;=15,"Midday (10-15)",B7939&lt;=19,"Evening peak (16-19)",TRUE,"Late evening (20-23)")</f>
        <v>Night (0-5)</v>
      </c>
    </row>
    <row r="7940" spans="1:9">
      <c r="A7940" s="32">
        <v>42153</v>
      </c>
      <c r="B7940">
        <v>5</v>
      </c>
      <c r="C7940">
        <v>1423</v>
      </c>
      <c r="D7940" t="s">
        <v>304</v>
      </c>
      <c r="E7940">
        <f>YEAR(A7940)</f>
        <v>2015</v>
      </c>
      <c r="F7940" s="33">
        <f>DATE(YEAR(A7940),MONTH(A7940),1)</f>
        <v>42125.0</v>
      </c>
      <c r="G7940" t="str">
        <f>CHOOSE(WEEKDAY(A7940,2),"Mon","Tue","Wed","Thu","Fri","Sat","Sun")</f>
        <v>Fri</v>
      </c>
      <c r="H7940" t="str">
        <f>IF(WEEKDAY(A7940,2)&gt;5,"Weekend","Weekday")</f>
        <v>Weekday</v>
      </c>
      <c r="I7940" t="str">
        <f>_xlfn.IFS(B7940&lt;=5,"Night (0-5)",B7940&lt;=9,"Morning peak (6-9)",B7940&lt;=15,"Midday (10-15)",B7940&lt;=19,"Evening peak (16-19)",TRUE,"Late evening (20-23)")</f>
        <v>Night (0-5)</v>
      </c>
    </row>
    <row r="7941" spans="1:9">
      <c r="A7941" s="32">
        <v>42153</v>
      </c>
      <c r="B7941">
        <v>6</v>
      </c>
      <c r="C7941">
        <v>2126</v>
      </c>
      <c r="D7941" t="s">
        <v>304</v>
      </c>
      <c r="E7941">
        <f>YEAR(A7941)</f>
        <v>2015</v>
      </c>
      <c r="F7941" s="33">
        <f>DATE(YEAR(A7941),MONTH(A7941),1)</f>
        <v>42125.0</v>
      </c>
      <c r="G7941" t="str">
        <f>CHOOSE(WEEKDAY(A7941,2),"Mon","Tue","Wed","Thu","Fri","Sat","Sun")</f>
        <v>Fri</v>
      </c>
      <c r="H7941" t="str">
        <f>IF(WEEKDAY(A7941,2)&gt;5,"Weekend","Weekday")</f>
        <v>Weekday</v>
      </c>
      <c r="I7941" t="str">
        <f>_xlfn.IFS(B7941&lt;=5,"Night (0-5)",B7941&lt;=9,"Morning peak (6-9)",B7941&lt;=15,"Midday (10-15)",B7941&lt;=19,"Evening peak (16-19)",TRUE,"Late evening (20-23)")</f>
        <v>Morning peak (6-9)</v>
      </c>
    </row>
    <row r="7942" spans="1:9">
      <c r="A7942" s="32">
        <v>42153</v>
      </c>
      <c r="B7942">
        <v>7</v>
      </c>
      <c r="C7942">
        <v>3352</v>
      </c>
      <c r="D7942" t="s">
        <v>304</v>
      </c>
      <c r="E7942">
        <f>YEAR(A7942)</f>
        <v>2015</v>
      </c>
      <c r="F7942" s="33">
        <f>DATE(YEAR(A7942),MONTH(A7942),1)</f>
        <v>42125.0</v>
      </c>
      <c r="G7942" t="str">
        <f>CHOOSE(WEEKDAY(A7942,2),"Mon","Tue","Wed","Thu","Fri","Sat","Sun")</f>
        <v>Fri</v>
      </c>
      <c r="H7942" t="str">
        <f>IF(WEEKDAY(A7942,2)&gt;5,"Weekend","Weekday")</f>
        <v>Weekday</v>
      </c>
      <c r="I7942" t="str">
        <f>_xlfn.IFS(B7942&lt;=5,"Night (0-5)",B7942&lt;=9,"Morning peak (6-9)",B7942&lt;=15,"Midday (10-15)",B7942&lt;=19,"Evening peak (16-19)",TRUE,"Late evening (20-23)")</f>
        <v>Morning peak (6-9)</v>
      </c>
    </row>
    <row r="7943" spans="1:9">
      <c r="A7943" s="32">
        <v>42153</v>
      </c>
      <c r="B7943">
        <v>8</v>
      </c>
      <c r="C7943">
        <v>4314</v>
      </c>
      <c r="D7943" t="s">
        <v>304</v>
      </c>
      <c r="E7943">
        <f>YEAR(A7943)</f>
        <v>2015</v>
      </c>
      <c r="F7943" s="33">
        <f>DATE(YEAR(A7943),MONTH(A7943),1)</f>
        <v>42125.0</v>
      </c>
      <c r="G7943" t="str">
        <f>CHOOSE(WEEKDAY(A7943,2),"Mon","Tue","Wed","Thu","Fri","Sat","Sun")</f>
        <v>Fri</v>
      </c>
      <c r="H7943" t="str">
        <f>IF(WEEKDAY(A7943,2)&gt;5,"Weekend","Weekday")</f>
        <v>Weekday</v>
      </c>
      <c r="I7943" t="str">
        <f>_xlfn.IFS(B7943&lt;=5,"Night (0-5)",B7943&lt;=9,"Morning peak (6-9)",B7943&lt;=15,"Midday (10-15)",B7943&lt;=19,"Evening peak (16-19)",TRUE,"Late evening (20-23)")</f>
        <v>Morning peak (6-9)</v>
      </c>
    </row>
    <row r="7944" spans="1:9">
      <c r="A7944" s="32">
        <v>42153</v>
      </c>
      <c r="B7944">
        <v>9</v>
      </c>
      <c r="C7944">
        <v>4213</v>
      </c>
      <c r="D7944" t="s">
        <v>304</v>
      </c>
      <c r="E7944">
        <f>YEAR(A7944)</f>
        <v>2015</v>
      </c>
      <c r="F7944" s="33">
        <f>DATE(YEAR(A7944),MONTH(A7944),1)</f>
        <v>42125.0</v>
      </c>
      <c r="G7944" t="str">
        <f>CHOOSE(WEEKDAY(A7944,2),"Mon","Tue","Wed","Thu","Fri","Sat","Sun")</f>
        <v>Fri</v>
      </c>
      <c r="H7944" t="str">
        <f>IF(WEEKDAY(A7944,2)&gt;5,"Weekend","Weekday")</f>
        <v>Weekday</v>
      </c>
      <c r="I7944" t="str">
        <f>_xlfn.IFS(B7944&lt;=5,"Night (0-5)",B7944&lt;=9,"Morning peak (6-9)",B7944&lt;=15,"Midday (10-15)",B7944&lt;=19,"Evening peak (16-19)",TRUE,"Late evening (20-23)")</f>
        <v>Morning peak (6-9)</v>
      </c>
    </row>
    <row r="7945" spans="1:9">
      <c r="A7945" s="32">
        <v>42153</v>
      </c>
      <c r="B7945">
        <v>10</v>
      </c>
      <c r="C7945">
        <v>3609</v>
      </c>
      <c r="D7945" t="s">
        <v>304</v>
      </c>
      <c r="E7945">
        <f>YEAR(A7945)</f>
        <v>2015</v>
      </c>
      <c r="F7945" s="33">
        <f>DATE(YEAR(A7945),MONTH(A7945),1)</f>
        <v>42125.0</v>
      </c>
      <c r="G7945" t="str">
        <f>CHOOSE(WEEKDAY(A7945,2),"Mon","Tue","Wed","Thu","Fri","Sat","Sun")</f>
        <v>Fri</v>
      </c>
      <c r="H7945" t="str">
        <f>IF(WEEKDAY(A7945,2)&gt;5,"Weekend","Weekday")</f>
        <v>Weekday</v>
      </c>
      <c r="I7945" t="str">
        <f>_xlfn.IFS(B7945&lt;=5,"Night (0-5)",B7945&lt;=9,"Morning peak (6-9)",B7945&lt;=15,"Midday (10-15)",B7945&lt;=19,"Evening peak (16-19)",TRUE,"Late evening (20-23)")</f>
        <v>Midday (10-15)</v>
      </c>
    </row>
    <row r="7946" spans="1:9">
      <c r="A7946" s="32">
        <v>42153</v>
      </c>
      <c r="B7946">
        <v>11</v>
      </c>
      <c r="C7946">
        <v>3259</v>
      </c>
      <c r="D7946" t="s">
        <v>304</v>
      </c>
      <c r="E7946">
        <f>YEAR(A7946)</f>
        <v>2015</v>
      </c>
      <c r="F7946" s="33">
        <f>DATE(YEAR(A7946),MONTH(A7946),1)</f>
        <v>42125.0</v>
      </c>
      <c r="G7946" t="str">
        <f>CHOOSE(WEEKDAY(A7946,2),"Mon","Tue","Wed","Thu","Fri","Sat","Sun")</f>
        <v>Fri</v>
      </c>
      <c r="H7946" t="str">
        <f>IF(WEEKDAY(A7946,2)&gt;5,"Weekend","Weekday")</f>
        <v>Weekday</v>
      </c>
      <c r="I7946" t="str">
        <f>_xlfn.IFS(B7946&lt;=5,"Night (0-5)",B7946&lt;=9,"Morning peak (6-9)",B7946&lt;=15,"Midday (10-15)",B7946&lt;=19,"Evening peak (16-19)",TRUE,"Late evening (20-23)")</f>
        <v>Midday (10-15)</v>
      </c>
    </row>
    <row r="7947" spans="1:9">
      <c r="A7947" s="32">
        <v>42153</v>
      </c>
      <c r="B7947">
        <v>12</v>
      </c>
      <c r="C7947">
        <v>3333</v>
      </c>
      <c r="D7947" t="s">
        <v>304</v>
      </c>
      <c r="E7947">
        <f>YEAR(A7947)</f>
        <v>2015</v>
      </c>
      <c r="F7947" s="33">
        <f>DATE(YEAR(A7947),MONTH(A7947),1)</f>
        <v>42125.0</v>
      </c>
      <c r="G7947" t="str">
        <f>CHOOSE(WEEKDAY(A7947,2),"Mon","Tue","Wed","Thu","Fri","Sat","Sun")</f>
        <v>Fri</v>
      </c>
      <c r="H7947" t="str">
        <f>IF(WEEKDAY(A7947,2)&gt;5,"Weekend","Weekday")</f>
        <v>Weekday</v>
      </c>
      <c r="I7947" t="str">
        <f>_xlfn.IFS(B7947&lt;=5,"Night (0-5)",B7947&lt;=9,"Morning peak (6-9)",B7947&lt;=15,"Midday (10-15)",B7947&lt;=19,"Evening peak (16-19)",TRUE,"Late evening (20-23)")</f>
        <v>Midday (10-15)</v>
      </c>
    </row>
    <row r="7948" spans="1:9">
      <c r="A7948" s="32">
        <v>42153</v>
      </c>
      <c r="B7948">
        <v>13</v>
      </c>
      <c r="C7948">
        <v>3445</v>
      </c>
      <c r="D7948" t="s">
        <v>304</v>
      </c>
      <c r="E7948">
        <f>YEAR(A7948)</f>
        <v>2015</v>
      </c>
      <c r="F7948" s="33">
        <f>DATE(YEAR(A7948),MONTH(A7948),1)</f>
        <v>42125.0</v>
      </c>
      <c r="G7948" t="str">
        <f>CHOOSE(WEEKDAY(A7948,2),"Mon","Tue","Wed","Thu","Fri","Sat","Sun")</f>
        <v>Fri</v>
      </c>
      <c r="H7948" t="str">
        <f>IF(WEEKDAY(A7948,2)&gt;5,"Weekend","Weekday")</f>
        <v>Weekday</v>
      </c>
      <c r="I7948" t="str">
        <f>_xlfn.IFS(B7948&lt;=5,"Night (0-5)",B7948&lt;=9,"Morning peak (6-9)",B7948&lt;=15,"Midday (10-15)",B7948&lt;=19,"Evening peak (16-19)",TRUE,"Late evening (20-23)")</f>
        <v>Midday (10-15)</v>
      </c>
    </row>
    <row r="7949" spans="1:9">
      <c r="A7949" s="32">
        <v>42153</v>
      </c>
      <c r="B7949">
        <v>14</v>
      </c>
      <c r="C7949">
        <v>3956</v>
      </c>
      <c r="D7949" t="s">
        <v>304</v>
      </c>
      <c r="E7949">
        <f>YEAR(A7949)</f>
        <v>2015</v>
      </c>
      <c r="F7949" s="33">
        <f>DATE(YEAR(A7949),MONTH(A7949),1)</f>
        <v>42125.0</v>
      </c>
      <c r="G7949" t="str">
        <f>CHOOSE(WEEKDAY(A7949,2),"Mon","Tue","Wed","Thu","Fri","Sat","Sun")</f>
        <v>Fri</v>
      </c>
      <c r="H7949" t="str">
        <f>IF(WEEKDAY(A7949,2)&gt;5,"Weekend","Weekday")</f>
        <v>Weekday</v>
      </c>
      <c r="I7949" t="str">
        <f>_xlfn.IFS(B7949&lt;=5,"Night (0-5)",B7949&lt;=9,"Morning peak (6-9)",B7949&lt;=15,"Midday (10-15)",B7949&lt;=19,"Evening peak (16-19)",TRUE,"Late evening (20-23)")</f>
        <v>Midday (10-15)</v>
      </c>
    </row>
    <row r="7950" spans="1:9">
      <c r="A7950" s="32">
        <v>42153</v>
      </c>
      <c r="B7950">
        <v>15</v>
      </c>
      <c r="C7950">
        <v>4487</v>
      </c>
      <c r="D7950" t="s">
        <v>304</v>
      </c>
      <c r="E7950">
        <f>YEAR(A7950)</f>
        <v>2015</v>
      </c>
      <c r="F7950" s="33">
        <f>DATE(YEAR(A7950),MONTH(A7950),1)</f>
        <v>42125.0</v>
      </c>
      <c r="G7950" t="str">
        <f>CHOOSE(WEEKDAY(A7950,2),"Mon","Tue","Wed","Thu","Fri","Sat","Sun")</f>
        <v>Fri</v>
      </c>
      <c r="H7950" t="str">
        <f>IF(WEEKDAY(A7950,2)&gt;5,"Weekend","Weekday")</f>
        <v>Weekday</v>
      </c>
      <c r="I7950" t="str">
        <f>_xlfn.IFS(B7950&lt;=5,"Night (0-5)",B7950&lt;=9,"Morning peak (6-9)",B7950&lt;=15,"Midday (10-15)",B7950&lt;=19,"Evening peak (16-19)",TRUE,"Late evening (20-23)")</f>
        <v>Midday (10-15)</v>
      </c>
    </row>
    <row r="7951" spans="1:9">
      <c r="A7951" s="32">
        <v>42153</v>
      </c>
      <c r="B7951">
        <v>16</v>
      </c>
      <c r="C7951">
        <v>5121</v>
      </c>
      <c r="D7951" t="s">
        <v>304</v>
      </c>
      <c r="E7951">
        <f>YEAR(A7951)</f>
        <v>2015</v>
      </c>
      <c r="F7951" s="33">
        <f>DATE(YEAR(A7951),MONTH(A7951),1)</f>
        <v>42125.0</v>
      </c>
      <c r="G7951" t="str">
        <f>CHOOSE(WEEKDAY(A7951,2),"Mon","Tue","Wed","Thu","Fri","Sat","Sun")</f>
        <v>Fri</v>
      </c>
      <c r="H7951" t="str">
        <f>IF(WEEKDAY(A7951,2)&gt;5,"Weekend","Weekday")</f>
        <v>Weekday</v>
      </c>
      <c r="I7951" t="str">
        <f>_xlfn.IFS(B7951&lt;=5,"Night (0-5)",B7951&lt;=9,"Morning peak (6-9)",B7951&lt;=15,"Midday (10-15)",B7951&lt;=19,"Evening peak (16-19)",TRUE,"Late evening (20-23)")</f>
        <v>Evening peak (16-19)</v>
      </c>
    </row>
    <row r="7952" spans="1:9">
      <c r="A7952" s="32">
        <v>42153</v>
      </c>
      <c r="B7952">
        <v>17</v>
      </c>
      <c r="C7952">
        <v>5844</v>
      </c>
      <c r="D7952" t="s">
        <v>304</v>
      </c>
      <c r="E7952">
        <f>YEAR(A7952)</f>
        <v>2015</v>
      </c>
      <c r="F7952" s="33">
        <f>DATE(YEAR(A7952),MONTH(A7952),1)</f>
        <v>42125.0</v>
      </c>
      <c r="G7952" t="str">
        <f>CHOOSE(WEEKDAY(A7952,2),"Mon","Tue","Wed","Thu","Fri","Sat","Sun")</f>
        <v>Fri</v>
      </c>
      <c r="H7952" t="str">
        <f>IF(WEEKDAY(A7952,2)&gt;5,"Weekend","Weekday")</f>
        <v>Weekday</v>
      </c>
      <c r="I7952" t="str">
        <f>_xlfn.IFS(B7952&lt;=5,"Night (0-5)",B7952&lt;=9,"Morning peak (6-9)",B7952&lt;=15,"Midday (10-15)",B7952&lt;=19,"Evening peak (16-19)",TRUE,"Late evening (20-23)")</f>
        <v>Evening peak (16-19)</v>
      </c>
    </row>
    <row r="7953" spans="1:9">
      <c r="A7953" s="32">
        <v>42153</v>
      </c>
      <c r="B7953">
        <v>18</v>
      </c>
      <c r="C7953">
        <v>6560</v>
      </c>
      <c r="D7953" t="s">
        <v>304</v>
      </c>
      <c r="E7953">
        <f>YEAR(A7953)</f>
        <v>2015</v>
      </c>
      <c r="F7953" s="33">
        <f>DATE(YEAR(A7953),MONTH(A7953),1)</f>
        <v>42125.0</v>
      </c>
      <c r="G7953" t="str">
        <f>CHOOSE(WEEKDAY(A7953,2),"Mon","Tue","Wed","Thu","Fri","Sat","Sun")</f>
        <v>Fri</v>
      </c>
      <c r="H7953" t="str">
        <f>IF(WEEKDAY(A7953,2)&gt;5,"Weekend","Weekday")</f>
        <v>Weekday</v>
      </c>
      <c r="I7953" t="str">
        <f>_xlfn.IFS(B7953&lt;=5,"Night (0-5)",B7953&lt;=9,"Morning peak (6-9)",B7953&lt;=15,"Midday (10-15)",B7953&lt;=19,"Evening peak (16-19)",TRUE,"Late evening (20-23)")</f>
        <v>Evening peak (16-19)</v>
      </c>
    </row>
    <row r="7954" spans="1:9">
      <c r="A7954" s="32">
        <v>42153</v>
      </c>
      <c r="B7954">
        <v>19</v>
      </c>
      <c r="C7954">
        <v>7116</v>
      </c>
      <c r="D7954" t="s">
        <v>304</v>
      </c>
      <c r="E7954">
        <f>YEAR(A7954)</f>
        <v>2015</v>
      </c>
      <c r="F7954" s="33">
        <f>DATE(YEAR(A7954),MONTH(A7954),1)</f>
        <v>42125.0</v>
      </c>
      <c r="G7954" t="str">
        <f>CHOOSE(WEEKDAY(A7954,2),"Mon","Tue","Wed","Thu","Fri","Sat","Sun")</f>
        <v>Fri</v>
      </c>
      <c r="H7954" t="str">
        <f>IF(WEEKDAY(A7954,2)&gt;5,"Weekend","Weekday")</f>
        <v>Weekday</v>
      </c>
      <c r="I7954" t="str">
        <f>_xlfn.IFS(B7954&lt;=5,"Night (0-5)",B7954&lt;=9,"Morning peak (6-9)",B7954&lt;=15,"Midday (10-15)",B7954&lt;=19,"Evening peak (16-19)",TRUE,"Late evening (20-23)")</f>
        <v>Evening peak (16-19)</v>
      </c>
    </row>
    <row r="7955" spans="1:9">
      <c r="A7955" s="32">
        <v>42153</v>
      </c>
      <c r="B7955">
        <v>20</v>
      </c>
      <c r="C7955">
        <v>6246</v>
      </c>
      <c r="D7955" t="s">
        <v>304</v>
      </c>
      <c r="E7955">
        <f>YEAR(A7955)</f>
        <v>2015</v>
      </c>
      <c r="F7955" s="33">
        <f>DATE(YEAR(A7955),MONTH(A7955),1)</f>
        <v>42125.0</v>
      </c>
      <c r="G7955" t="str">
        <f>CHOOSE(WEEKDAY(A7955,2),"Mon","Tue","Wed","Thu","Fri","Sat","Sun")</f>
        <v>Fri</v>
      </c>
      <c r="H7955" t="str">
        <f>IF(WEEKDAY(A7955,2)&gt;5,"Weekend","Weekday")</f>
        <v>Weekday</v>
      </c>
      <c r="I7955" t="str">
        <f>_xlfn.IFS(B7955&lt;=5,"Night (0-5)",B7955&lt;=9,"Morning peak (6-9)",B7955&lt;=15,"Midday (10-15)",B7955&lt;=19,"Evening peak (16-19)",TRUE,"Late evening (20-23)")</f>
        <v>Late evening (20-23)</v>
      </c>
    </row>
    <row r="7956" spans="1:9">
      <c r="A7956" s="32">
        <v>42153</v>
      </c>
      <c r="B7956">
        <v>21</v>
      </c>
      <c r="C7956">
        <v>5924</v>
      </c>
      <c r="D7956" t="s">
        <v>304</v>
      </c>
      <c r="E7956">
        <f>YEAR(A7956)</f>
        <v>2015</v>
      </c>
      <c r="F7956" s="33">
        <f>DATE(YEAR(A7956),MONTH(A7956),1)</f>
        <v>42125.0</v>
      </c>
      <c r="G7956" t="str">
        <f>CHOOSE(WEEKDAY(A7956,2),"Mon","Tue","Wed","Thu","Fri","Sat","Sun")</f>
        <v>Fri</v>
      </c>
      <c r="H7956" t="str">
        <f>IF(WEEKDAY(A7956,2)&gt;5,"Weekend","Weekday")</f>
        <v>Weekday</v>
      </c>
      <c r="I7956" t="str">
        <f>_xlfn.IFS(B7956&lt;=5,"Night (0-5)",B7956&lt;=9,"Morning peak (6-9)",B7956&lt;=15,"Midday (10-15)",B7956&lt;=19,"Evening peak (16-19)",TRUE,"Late evening (20-23)")</f>
        <v>Late evening (20-23)</v>
      </c>
    </row>
    <row r="7957" spans="1:9">
      <c r="A7957" s="32">
        <v>42153</v>
      </c>
      <c r="B7957">
        <v>22</v>
      </c>
      <c r="C7957">
        <v>6567</v>
      </c>
      <c r="D7957" t="s">
        <v>304</v>
      </c>
      <c r="E7957">
        <f>YEAR(A7957)</f>
        <v>2015</v>
      </c>
      <c r="F7957" s="33">
        <f>DATE(YEAR(A7957),MONTH(A7957),1)</f>
        <v>42125.0</v>
      </c>
      <c r="G7957" t="str">
        <f>CHOOSE(WEEKDAY(A7957,2),"Mon","Tue","Wed","Thu","Fri","Sat","Sun")</f>
        <v>Fri</v>
      </c>
      <c r="H7957" t="str">
        <f>IF(WEEKDAY(A7957,2)&gt;5,"Weekend","Weekday")</f>
        <v>Weekday</v>
      </c>
      <c r="I7957" t="str">
        <f>_xlfn.IFS(B7957&lt;=5,"Night (0-5)",B7957&lt;=9,"Morning peak (6-9)",B7957&lt;=15,"Midday (10-15)",B7957&lt;=19,"Evening peak (16-19)",TRUE,"Late evening (20-23)")</f>
        <v>Late evening (20-23)</v>
      </c>
    </row>
    <row r="7958" spans="1:9">
      <c r="A7958" s="32">
        <v>42153</v>
      </c>
      <c r="B7958">
        <v>23</v>
      </c>
      <c r="C7958">
        <v>7993</v>
      </c>
      <c r="D7958" t="s">
        <v>304</v>
      </c>
      <c r="E7958">
        <f>YEAR(A7958)</f>
        <v>2015</v>
      </c>
      <c r="F7958" s="33">
        <f>DATE(YEAR(A7958),MONTH(A7958),1)</f>
        <v>42125.0</v>
      </c>
      <c r="G7958" t="str">
        <f>CHOOSE(WEEKDAY(A7958,2),"Mon","Tue","Wed","Thu","Fri","Sat","Sun")</f>
        <v>Fri</v>
      </c>
      <c r="H7958" t="str">
        <f>IF(WEEKDAY(A7958,2)&gt;5,"Weekend","Weekday")</f>
        <v>Weekday</v>
      </c>
      <c r="I7958" t="str">
        <f>_xlfn.IFS(B7958&lt;=5,"Night (0-5)",B7958&lt;=9,"Morning peak (6-9)",B7958&lt;=15,"Midday (10-15)",B7958&lt;=19,"Evening peak (16-19)",TRUE,"Late evening (20-23)")</f>
        <v>Late evening (20-23)</v>
      </c>
    </row>
    <row r="7959" spans="1:9">
      <c r="A7959" s="32">
        <v>42154</v>
      </c>
      <c r="B7959">
        <v>0</v>
      </c>
      <c r="C7959">
        <v>7000</v>
      </c>
      <c r="D7959" t="s">
        <v>304</v>
      </c>
      <c r="E7959">
        <f>YEAR(A7959)</f>
        <v>2015</v>
      </c>
      <c r="F7959" s="33">
        <f>DATE(YEAR(A7959),MONTH(A7959),1)</f>
        <v>42125.0</v>
      </c>
      <c r="G7959" t="str">
        <f>CHOOSE(WEEKDAY(A7959,2),"Mon","Tue","Wed","Thu","Fri","Sat","Sun")</f>
        <v>Sat</v>
      </c>
      <c r="H7959" t="str">
        <f>IF(WEEKDAY(A7959,2)&gt;5,"Weekend","Weekday")</f>
        <v>Weekend</v>
      </c>
      <c r="I7959" t="str">
        <f>_xlfn.IFS(B7959&lt;=5,"Night (0-5)",B7959&lt;=9,"Morning peak (6-9)",B7959&lt;=15,"Midday (10-15)",B7959&lt;=19,"Evening peak (16-19)",TRUE,"Late evening (20-23)")</f>
        <v>Night (0-5)</v>
      </c>
    </row>
    <row r="7960" spans="1:9">
      <c r="A7960" s="32">
        <v>42154</v>
      </c>
      <c r="B7960">
        <v>1</v>
      </c>
      <c r="C7960">
        <v>4724</v>
      </c>
      <c r="D7960" t="s">
        <v>304</v>
      </c>
      <c r="E7960">
        <f>YEAR(A7960)</f>
        <v>2015</v>
      </c>
      <c r="F7960" s="33">
        <f>DATE(YEAR(A7960),MONTH(A7960),1)</f>
        <v>42125.0</v>
      </c>
      <c r="G7960" t="str">
        <f>CHOOSE(WEEKDAY(A7960,2),"Mon","Tue","Wed","Thu","Fri","Sat","Sun")</f>
        <v>Sat</v>
      </c>
      <c r="H7960" t="str">
        <f>IF(WEEKDAY(A7960,2)&gt;5,"Weekend","Weekday")</f>
        <v>Weekend</v>
      </c>
      <c r="I7960" t="str">
        <f>_xlfn.IFS(B7960&lt;=5,"Night (0-5)",B7960&lt;=9,"Morning peak (6-9)",B7960&lt;=15,"Midday (10-15)",B7960&lt;=19,"Evening peak (16-19)",TRUE,"Late evening (20-23)")</f>
        <v>Night (0-5)</v>
      </c>
    </row>
    <row r="7961" spans="1:9">
      <c r="A7961" s="32">
        <v>42154</v>
      </c>
      <c r="B7961">
        <v>2</v>
      </c>
      <c r="C7961">
        <v>3153</v>
      </c>
      <c r="D7961" t="s">
        <v>304</v>
      </c>
      <c r="E7961">
        <f>YEAR(A7961)</f>
        <v>2015</v>
      </c>
      <c r="F7961" s="33">
        <f>DATE(YEAR(A7961),MONTH(A7961),1)</f>
        <v>42125.0</v>
      </c>
      <c r="G7961" t="str">
        <f>CHOOSE(WEEKDAY(A7961,2),"Mon","Tue","Wed","Thu","Fri","Sat","Sun")</f>
        <v>Sat</v>
      </c>
      <c r="H7961" t="str">
        <f>IF(WEEKDAY(A7961,2)&gt;5,"Weekend","Weekday")</f>
        <v>Weekend</v>
      </c>
      <c r="I7961" t="str">
        <f>_xlfn.IFS(B7961&lt;=5,"Night (0-5)",B7961&lt;=9,"Morning peak (6-9)",B7961&lt;=15,"Midday (10-15)",B7961&lt;=19,"Evening peak (16-19)",TRUE,"Late evening (20-23)")</f>
        <v>Night (0-5)</v>
      </c>
    </row>
    <row r="7962" spans="1:9">
      <c r="A7962" s="32">
        <v>42154</v>
      </c>
      <c r="B7962">
        <v>3</v>
      </c>
      <c r="C7962">
        <v>2093</v>
      </c>
      <c r="D7962" t="s">
        <v>304</v>
      </c>
      <c r="E7962">
        <f>YEAR(A7962)</f>
        <v>2015</v>
      </c>
      <c r="F7962" s="33">
        <f>DATE(YEAR(A7962),MONTH(A7962),1)</f>
        <v>42125.0</v>
      </c>
      <c r="G7962" t="str">
        <f>CHOOSE(WEEKDAY(A7962,2),"Mon","Tue","Wed","Thu","Fri","Sat","Sun")</f>
        <v>Sat</v>
      </c>
      <c r="H7962" t="str">
        <f>IF(WEEKDAY(A7962,2)&gt;5,"Weekend","Weekday")</f>
        <v>Weekend</v>
      </c>
      <c r="I7962" t="str">
        <f>_xlfn.IFS(B7962&lt;=5,"Night (0-5)",B7962&lt;=9,"Morning peak (6-9)",B7962&lt;=15,"Midday (10-15)",B7962&lt;=19,"Evening peak (16-19)",TRUE,"Late evening (20-23)")</f>
        <v>Night (0-5)</v>
      </c>
    </row>
    <row r="7963" spans="1:9">
      <c r="A7963" s="32">
        <v>42154</v>
      </c>
      <c r="B7963">
        <v>4</v>
      </c>
      <c r="C7963">
        <v>1644</v>
      </c>
      <c r="D7963" t="s">
        <v>304</v>
      </c>
      <c r="E7963">
        <f>YEAR(A7963)</f>
        <v>2015</v>
      </c>
      <c r="F7963" s="33">
        <f>DATE(YEAR(A7963),MONTH(A7963),1)</f>
        <v>42125.0</v>
      </c>
      <c r="G7963" t="str">
        <f>CHOOSE(WEEKDAY(A7963,2),"Mon","Tue","Wed","Thu","Fri","Sat","Sun")</f>
        <v>Sat</v>
      </c>
      <c r="H7963" t="str">
        <f>IF(WEEKDAY(A7963,2)&gt;5,"Weekend","Weekday")</f>
        <v>Weekend</v>
      </c>
      <c r="I7963" t="str">
        <f>_xlfn.IFS(B7963&lt;=5,"Night (0-5)",B7963&lt;=9,"Morning peak (6-9)",B7963&lt;=15,"Midday (10-15)",B7963&lt;=19,"Evening peak (16-19)",TRUE,"Late evening (20-23)")</f>
        <v>Night (0-5)</v>
      </c>
    </row>
    <row r="7964" spans="1:9">
      <c r="A7964" s="32">
        <v>42154</v>
      </c>
      <c r="B7964">
        <v>5</v>
      </c>
      <c r="C7964">
        <v>1108</v>
      </c>
      <c r="D7964" t="s">
        <v>304</v>
      </c>
      <c r="E7964">
        <f>YEAR(A7964)</f>
        <v>2015</v>
      </c>
      <c r="F7964" s="33">
        <f>DATE(YEAR(A7964),MONTH(A7964),1)</f>
        <v>42125.0</v>
      </c>
      <c r="G7964" t="str">
        <f>CHOOSE(WEEKDAY(A7964,2),"Mon","Tue","Wed","Thu","Fri","Sat","Sun")</f>
        <v>Sat</v>
      </c>
      <c r="H7964" t="str">
        <f>IF(WEEKDAY(A7964,2)&gt;5,"Weekend","Weekday")</f>
        <v>Weekend</v>
      </c>
      <c r="I7964" t="str">
        <f>_xlfn.IFS(B7964&lt;=5,"Night (0-5)",B7964&lt;=9,"Morning peak (6-9)",B7964&lt;=15,"Midday (10-15)",B7964&lt;=19,"Evening peak (16-19)",TRUE,"Late evening (20-23)")</f>
        <v>Night (0-5)</v>
      </c>
    </row>
    <row r="7965" spans="1:9">
      <c r="A7965" s="32">
        <v>42154</v>
      </c>
      <c r="B7965">
        <v>6</v>
      </c>
      <c r="C7965">
        <v>1154</v>
      </c>
      <c r="D7965" t="s">
        <v>304</v>
      </c>
      <c r="E7965">
        <f>YEAR(A7965)</f>
        <v>2015</v>
      </c>
      <c r="F7965" s="33">
        <f>DATE(YEAR(A7965),MONTH(A7965),1)</f>
        <v>42125.0</v>
      </c>
      <c r="G7965" t="str">
        <f>CHOOSE(WEEKDAY(A7965,2),"Mon","Tue","Wed","Thu","Fri","Sat","Sun")</f>
        <v>Sat</v>
      </c>
      <c r="H7965" t="str">
        <f>IF(WEEKDAY(A7965,2)&gt;5,"Weekend","Weekday")</f>
        <v>Weekend</v>
      </c>
      <c r="I7965" t="str">
        <f>_xlfn.IFS(B7965&lt;=5,"Night (0-5)",B7965&lt;=9,"Morning peak (6-9)",B7965&lt;=15,"Midday (10-15)",B7965&lt;=19,"Evening peak (16-19)",TRUE,"Late evening (20-23)")</f>
        <v>Morning peak (6-9)</v>
      </c>
    </row>
    <row r="7966" spans="1:9">
      <c r="A7966" s="32">
        <v>42154</v>
      </c>
      <c r="B7966">
        <v>7</v>
      </c>
      <c r="C7966">
        <v>1479</v>
      </c>
      <c r="D7966" t="s">
        <v>304</v>
      </c>
      <c r="E7966">
        <f>YEAR(A7966)</f>
        <v>2015</v>
      </c>
      <c r="F7966" s="33">
        <f>DATE(YEAR(A7966),MONTH(A7966),1)</f>
        <v>42125.0</v>
      </c>
      <c r="G7966" t="str">
        <f>CHOOSE(WEEKDAY(A7966,2),"Mon","Tue","Wed","Thu","Fri","Sat","Sun")</f>
        <v>Sat</v>
      </c>
      <c r="H7966" t="str">
        <f>IF(WEEKDAY(A7966,2)&gt;5,"Weekend","Weekday")</f>
        <v>Weekend</v>
      </c>
      <c r="I7966" t="str">
        <f>_xlfn.IFS(B7966&lt;=5,"Night (0-5)",B7966&lt;=9,"Morning peak (6-9)",B7966&lt;=15,"Midday (10-15)",B7966&lt;=19,"Evening peak (16-19)",TRUE,"Late evening (20-23)")</f>
        <v>Morning peak (6-9)</v>
      </c>
    </row>
    <row r="7967" spans="1:9">
      <c r="A7967" s="32">
        <v>42154</v>
      </c>
      <c r="B7967">
        <v>8</v>
      </c>
      <c r="C7967">
        <v>2133</v>
      </c>
      <c r="D7967" t="s">
        <v>304</v>
      </c>
      <c r="E7967">
        <f>YEAR(A7967)</f>
        <v>2015</v>
      </c>
      <c r="F7967" s="33">
        <f>DATE(YEAR(A7967),MONTH(A7967),1)</f>
        <v>42125.0</v>
      </c>
      <c r="G7967" t="str">
        <f>CHOOSE(WEEKDAY(A7967,2),"Mon","Tue","Wed","Thu","Fri","Sat","Sun")</f>
        <v>Sat</v>
      </c>
      <c r="H7967" t="str">
        <f>IF(WEEKDAY(A7967,2)&gt;5,"Weekend","Weekday")</f>
        <v>Weekend</v>
      </c>
      <c r="I7967" t="str">
        <f>_xlfn.IFS(B7967&lt;=5,"Night (0-5)",B7967&lt;=9,"Morning peak (6-9)",B7967&lt;=15,"Midday (10-15)",B7967&lt;=19,"Evening peak (16-19)",TRUE,"Late evening (20-23)")</f>
        <v>Morning peak (6-9)</v>
      </c>
    </row>
    <row r="7968" spans="1:9">
      <c r="A7968" s="32">
        <v>42154</v>
      </c>
      <c r="B7968">
        <v>9</v>
      </c>
      <c r="C7968">
        <v>2837</v>
      </c>
      <c r="D7968" t="s">
        <v>304</v>
      </c>
      <c r="E7968">
        <f>YEAR(A7968)</f>
        <v>2015</v>
      </c>
      <c r="F7968" s="33">
        <f>DATE(YEAR(A7968),MONTH(A7968),1)</f>
        <v>42125.0</v>
      </c>
      <c r="G7968" t="str">
        <f>CHOOSE(WEEKDAY(A7968,2),"Mon","Tue","Wed","Thu","Fri","Sat","Sun")</f>
        <v>Sat</v>
      </c>
      <c r="H7968" t="str">
        <f>IF(WEEKDAY(A7968,2)&gt;5,"Weekend","Weekday")</f>
        <v>Weekend</v>
      </c>
      <c r="I7968" t="str">
        <f>_xlfn.IFS(B7968&lt;=5,"Night (0-5)",B7968&lt;=9,"Morning peak (6-9)",B7968&lt;=15,"Midday (10-15)",B7968&lt;=19,"Evening peak (16-19)",TRUE,"Late evening (20-23)")</f>
        <v>Morning peak (6-9)</v>
      </c>
    </row>
    <row r="7969" spans="1:9">
      <c r="A7969" s="32">
        <v>42154</v>
      </c>
      <c r="B7969">
        <v>10</v>
      </c>
      <c r="C7969">
        <v>3450</v>
      </c>
      <c r="D7969" t="s">
        <v>304</v>
      </c>
      <c r="E7969">
        <f>YEAR(A7969)</f>
        <v>2015</v>
      </c>
      <c r="F7969" s="33">
        <f>DATE(YEAR(A7969),MONTH(A7969),1)</f>
        <v>42125.0</v>
      </c>
      <c r="G7969" t="str">
        <f>CHOOSE(WEEKDAY(A7969,2),"Mon","Tue","Wed","Thu","Fri","Sat","Sun")</f>
        <v>Sat</v>
      </c>
      <c r="H7969" t="str">
        <f>IF(WEEKDAY(A7969,2)&gt;5,"Weekend","Weekday")</f>
        <v>Weekend</v>
      </c>
      <c r="I7969" t="str">
        <f>_xlfn.IFS(B7969&lt;=5,"Night (0-5)",B7969&lt;=9,"Morning peak (6-9)",B7969&lt;=15,"Midday (10-15)",B7969&lt;=19,"Evening peak (16-19)",TRUE,"Late evening (20-23)")</f>
        <v>Midday (10-15)</v>
      </c>
    </row>
    <row r="7970" spans="1:9">
      <c r="A7970" s="32">
        <v>42154</v>
      </c>
      <c r="B7970">
        <v>11</v>
      </c>
      <c r="C7970">
        <v>3809</v>
      </c>
      <c r="D7970" t="s">
        <v>304</v>
      </c>
      <c r="E7970">
        <f>YEAR(A7970)</f>
        <v>2015</v>
      </c>
      <c r="F7970" s="33">
        <f>DATE(YEAR(A7970),MONTH(A7970),1)</f>
        <v>42125.0</v>
      </c>
      <c r="G7970" t="str">
        <f>CHOOSE(WEEKDAY(A7970,2),"Mon","Tue","Wed","Thu","Fri","Sat","Sun")</f>
        <v>Sat</v>
      </c>
      <c r="H7970" t="str">
        <f>IF(WEEKDAY(A7970,2)&gt;5,"Weekend","Weekday")</f>
        <v>Weekend</v>
      </c>
      <c r="I7970" t="str">
        <f>_xlfn.IFS(B7970&lt;=5,"Night (0-5)",B7970&lt;=9,"Morning peak (6-9)",B7970&lt;=15,"Midday (10-15)",B7970&lt;=19,"Evening peak (16-19)",TRUE,"Late evening (20-23)")</f>
        <v>Midday (10-15)</v>
      </c>
    </row>
    <row r="7971" spans="1:9">
      <c r="A7971" s="32">
        <v>42154</v>
      </c>
      <c r="B7971">
        <v>12</v>
      </c>
      <c r="C7971">
        <v>4019</v>
      </c>
      <c r="D7971" t="s">
        <v>304</v>
      </c>
      <c r="E7971">
        <f>YEAR(A7971)</f>
        <v>2015</v>
      </c>
      <c r="F7971" s="33">
        <f>DATE(YEAR(A7971),MONTH(A7971),1)</f>
        <v>42125.0</v>
      </c>
      <c r="G7971" t="str">
        <f>CHOOSE(WEEKDAY(A7971,2),"Mon","Tue","Wed","Thu","Fri","Sat","Sun")</f>
        <v>Sat</v>
      </c>
      <c r="H7971" t="str">
        <f>IF(WEEKDAY(A7971,2)&gt;5,"Weekend","Weekday")</f>
        <v>Weekend</v>
      </c>
      <c r="I7971" t="str">
        <f>_xlfn.IFS(B7971&lt;=5,"Night (0-5)",B7971&lt;=9,"Morning peak (6-9)",B7971&lt;=15,"Midday (10-15)",B7971&lt;=19,"Evening peak (16-19)",TRUE,"Late evening (20-23)")</f>
        <v>Midday (10-15)</v>
      </c>
    </row>
    <row r="7972" spans="1:9">
      <c r="A7972" s="32">
        <v>42154</v>
      </c>
      <c r="B7972">
        <v>13</v>
      </c>
      <c r="C7972">
        <v>4355</v>
      </c>
      <c r="D7972" t="s">
        <v>304</v>
      </c>
      <c r="E7972">
        <f>YEAR(A7972)</f>
        <v>2015</v>
      </c>
      <c r="F7972" s="33">
        <f>DATE(YEAR(A7972),MONTH(A7972),1)</f>
        <v>42125.0</v>
      </c>
      <c r="G7972" t="str">
        <f>CHOOSE(WEEKDAY(A7972,2),"Mon","Tue","Wed","Thu","Fri","Sat","Sun")</f>
        <v>Sat</v>
      </c>
      <c r="H7972" t="str">
        <f>IF(WEEKDAY(A7972,2)&gt;5,"Weekend","Weekday")</f>
        <v>Weekend</v>
      </c>
      <c r="I7972" t="str">
        <f>_xlfn.IFS(B7972&lt;=5,"Night (0-5)",B7972&lt;=9,"Morning peak (6-9)",B7972&lt;=15,"Midday (10-15)",B7972&lt;=19,"Evening peak (16-19)",TRUE,"Late evening (20-23)")</f>
        <v>Midday (10-15)</v>
      </c>
    </row>
    <row r="7973" spans="1:9">
      <c r="A7973" s="32">
        <v>42154</v>
      </c>
      <c r="B7973">
        <v>14</v>
      </c>
      <c r="C7973">
        <v>4523</v>
      </c>
      <c r="D7973" t="s">
        <v>304</v>
      </c>
      <c r="E7973">
        <f>YEAR(A7973)</f>
        <v>2015</v>
      </c>
      <c r="F7973" s="33">
        <f>DATE(YEAR(A7973),MONTH(A7973),1)</f>
        <v>42125.0</v>
      </c>
      <c r="G7973" t="str">
        <f>CHOOSE(WEEKDAY(A7973,2),"Mon","Tue","Wed","Thu","Fri","Sat","Sun")</f>
        <v>Sat</v>
      </c>
      <c r="H7973" t="str">
        <f>IF(WEEKDAY(A7973,2)&gt;5,"Weekend","Weekday")</f>
        <v>Weekend</v>
      </c>
      <c r="I7973" t="str">
        <f>_xlfn.IFS(B7973&lt;=5,"Night (0-5)",B7973&lt;=9,"Morning peak (6-9)",B7973&lt;=15,"Midday (10-15)",B7973&lt;=19,"Evening peak (16-19)",TRUE,"Late evening (20-23)")</f>
        <v>Midday (10-15)</v>
      </c>
    </row>
    <row r="7974" spans="1:9">
      <c r="A7974" s="32">
        <v>42154</v>
      </c>
      <c r="B7974">
        <v>15</v>
      </c>
      <c r="C7974">
        <v>4893</v>
      </c>
      <c r="D7974" t="s">
        <v>304</v>
      </c>
      <c r="E7974">
        <f>YEAR(A7974)</f>
        <v>2015</v>
      </c>
      <c r="F7974" s="33">
        <f>DATE(YEAR(A7974),MONTH(A7974),1)</f>
        <v>42125.0</v>
      </c>
      <c r="G7974" t="str">
        <f>CHOOSE(WEEKDAY(A7974,2),"Mon","Tue","Wed","Thu","Fri","Sat","Sun")</f>
        <v>Sat</v>
      </c>
      <c r="H7974" t="str">
        <f>IF(WEEKDAY(A7974,2)&gt;5,"Weekend","Weekday")</f>
        <v>Weekend</v>
      </c>
      <c r="I7974" t="str">
        <f>_xlfn.IFS(B7974&lt;=5,"Night (0-5)",B7974&lt;=9,"Morning peak (6-9)",B7974&lt;=15,"Midday (10-15)",B7974&lt;=19,"Evening peak (16-19)",TRUE,"Late evening (20-23)")</f>
        <v>Midday (10-15)</v>
      </c>
    </row>
    <row r="7975" spans="1:9">
      <c r="A7975" s="32">
        <v>42154</v>
      </c>
      <c r="B7975">
        <v>16</v>
      </c>
      <c r="C7975">
        <v>5562</v>
      </c>
      <c r="D7975" t="s">
        <v>304</v>
      </c>
      <c r="E7975">
        <f>YEAR(A7975)</f>
        <v>2015</v>
      </c>
      <c r="F7975" s="33">
        <f>DATE(YEAR(A7975),MONTH(A7975),1)</f>
        <v>42125.0</v>
      </c>
      <c r="G7975" t="str">
        <f>CHOOSE(WEEKDAY(A7975,2),"Mon","Tue","Wed","Thu","Fri","Sat","Sun")</f>
        <v>Sat</v>
      </c>
      <c r="H7975" t="str">
        <f>IF(WEEKDAY(A7975,2)&gt;5,"Weekend","Weekday")</f>
        <v>Weekend</v>
      </c>
      <c r="I7975" t="str">
        <f>_xlfn.IFS(B7975&lt;=5,"Night (0-5)",B7975&lt;=9,"Morning peak (6-9)",B7975&lt;=15,"Midday (10-15)",B7975&lt;=19,"Evening peak (16-19)",TRUE,"Late evening (20-23)")</f>
        <v>Evening peak (16-19)</v>
      </c>
    </row>
    <row r="7976" spans="1:9">
      <c r="A7976" s="32">
        <v>42154</v>
      </c>
      <c r="B7976">
        <v>17</v>
      </c>
      <c r="C7976">
        <v>6368</v>
      </c>
      <c r="D7976" t="s">
        <v>304</v>
      </c>
      <c r="E7976">
        <f>YEAR(A7976)</f>
        <v>2015</v>
      </c>
      <c r="F7976" s="33">
        <f>DATE(YEAR(A7976),MONTH(A7976),1)</f>
        <v>42125.0</v>
      </c>
      <c r="G7976" t="str">
        <f>CHOOSE(WEEKDAY(A7976,2),"Mon","Tue","Wed","Thu","Fri","Sat","Sun")</f>
        <v>Sat</v>
      </c>
      <c r="H7976" t="str">
        <f>IF(WEEKDAY(A7976,2)&gt;5,"Weekend","Weekday")</f>
        <v>Weekend</v>
      </c>
      <c r="I7976" t="str">
        <f>_xlfn.IFS(B7976&lt;=5,"Night (0-5)",B7976&lt;=9,"Morning peak (6-9)",B7976&lt;=15,"Midday (10-15)",B7976&lt;=19,"Evening peak (16-19)",TRUE,"Late evening (20-23)")</f>
        <v>Evening peak (16-19)</v>
      </c>
    </row>
    <row r="7977" spans="1:9">
      <c r="A7977" s="32">
        <v>42154</v>
      </c>
      <c r="B7977">
        <v>18</v>
      </c>
      <c r="C7977">
        <v>6636</v>
      </c>
      <c r="D7977" t="s">
        <v>304</v>
      </c>
      <c r="E7977">
        <f>YEAR(A7977)</f>
        <v>2015</v>
      </c>
      <c r="F7977" s="33">
        <f>DATE(YEAR(A7977),MONTH(A7977),1)</f>
        <v>42125.0</v>
      </c>
      <c r="G7977" t="str">
        <f>CHOOSE(WEEKDAY(A7977,2),"Mon","Tue","Wed","Thu","Fri","Sat","Sun")</f>
        <v>Sat</v>
      </c>
      <c r="H7977" t="str">
        <f>IF(WEEKDAY(A7977,2)&gt;5,"Weekend","Weekday")</f>
        <v>Weekend</v>
      </c>
      <c r="I7977" t="str">
        <f>_xlfn.IFS(B7977&lt;=5,"Night (0-5)",B7977&lt;=9,"Morning peak (6-9)",B7977&lt;=15,"Midday (10-15)",B7977&lt;=19,"Evening peak (16-19)",TRUE,"Late evening (20-23)")</f>
        <v>Evening peak (16-19)</v>
      </c>
    </row>
    <row r="7978" spans="1:9">
      <c r="A7978" s="32">
        <v>42154</v>
      </c>
      <c r="B7978">
        <v>19</v>
      </c>
      <c r="C7978">
        <v>6875</v>
      </c>
      <c r="D7978" t="s">
        <v>304</v>
      </c>
      <c r="E7978">
        <f>YEAR(A7978)</f>
        <v>2015</v>
      </c>
      <c r="F7978" s="33">
        <f>DATE(YEAR(A7978),MONTH(A7978),1)</f>
        <v>42125.0</v>
      </c>
      <c r="G7978" t="str">
        <f>CHOOSE(WEEKDAY(A7978,2),"Mon","Tue","Wed","Thu","Fri","Sat","Sun")</f>
        <v>Sat</v>
      </c>
      <c r="H7978" t="str">
        <f>IF(WEEKDAY(A7978,2)&gt;5,"Weekend","Weekday")</f>
        <v>Weekend</v>
      </c>
      <c r="I7978" t="str">
        <f>_xlfn.IFS(B7978&lt;=5,"Night (0-5)",B7978&lt;=9,"Morning peak (6-9)",B7978&lt;=15,"Midday (10-15)",B7978&lt;=19,"Evening peak (16-19)",TRUE,"Late evening (20-23)")</f>
        <v>Evening peak (16-19)</v>
      </c>
    </row>
    <row r="7979" spans="1:9">
      <c r="A7979" s="32">
        <v>42154</v>
      </c>
      <c r="B7979">
        <v>20</v>
      </c>
      <c r="C7979">
        <v>6044</v>
      </c>
      <c r="D7979" t="s">
        <v>304</v>
      </c>
      <c r="E7979">
        <f>YEAR(A7979)</f>
        <v>2015</v>
      </c>
      <c r="F7979" s="33">
        <f>DATE(YEAR(A7979),MONTH(A7979),1)</f>
        <v>42125.0</v>
      </c>
      <c r="G7979" t="str">
        <f>CHOOSE(WEEKDAY(A7979,2),"Mon","Tue","Wed","Thu","Fri","Sat","Sun")</f>
        <v>Sat</v>
      </c>
      <c r="H7979" t="str">
        <f>IF(WEEKDAY(A7979,2)&gt;5,"Weekend","Weekday")</f>
        <v>Weekend</v>
      </c>
      <c r="I7979" t="str">
        <f>_xlfn.IFS(B7979&lt;=5,"Night (0-5)",B7979&lt;=9,"Morning peak (6-9)",B7979&lt;=15,"Midday (10-15)",B7979&lt;=19,"Evening peak (16-19)",TRUE,"Late evening (20-23)")</f>
        <v>Late evening (20-23)</v>
      </c>
    </row>
    <row r="7980" spans="1:9">
      <c r="A7980" s="32">
        <v>42154</v>
      </c>
      <c r="B7980">
        <v>21</v>
      </c>
      <c r="C7980">
        <v>6164</v>
      </c>
      <c r="D7980" t="s">
        <v>304</v>
      </c>
      <c r="E7980">
        <f>YEAR(A7980)</f>
        <v>2015</v>
      </c>
      <c r="F7980" s="33">
        <f>DATE(YEAR(A7980),MONTH(A7980),1)</f>
        <v>42125.0</v>
      </c>
      <c r="G7980" t="str">
        <f>CHOOSE(WEEKDAY(A7980,2),"Mon","Tue","Wed","Thu","Fri","Sat","Sun")</f>
        <v>Sat</v>
      </c>
      <c r="H7980" t="str">
        <f>IF(WEEKDAY(A7980,2)&gt;5,"Weekend","Weekday")</f>
        <v>Weekend</v>
      </c>
      <c r="I7980" t="str">
        <f>_xlfn.IFS(B7980&lt;=5,"Night (0-5)",B7980&lt;=9,"Morning peak (6-9)",B7980&lt;=15,"Midday (10-15)",B7980&lt;=19,"Evening peak (16-19)",TRUE,"Late evening (20-23)")</f>
        <v>Late evening (20-23)</v>
      </c>
    </row>
    <row r="7981" spans="1:9">
      <c r="A7981" s="32">
        <v>42154</v>
      </c>
      <c r="B7981">
        <v>22</v>
      </c>
      <c r="C7981">
        <v>6903</v>
      </c>
      <c r="D7981" t="s">
        <v>304</v>
      </c>
      <c r="E7981">
        <f>YEAR(A7981)</f>
        <v>2015</v>
      </c>
      <c r="F7981" s="33">
        <f>DATE(YEAR(A7981),MONTH(A7981),1)</f>
        <v>42125.0</v>
      </c>
      <c r="G7981" t="str">
        <f>CHOOSE(WEEKDAY(A7981,2),"Mon","Tue","Wed","Thu","Fri","Sat","Sun")</f>
        <v>Sat</v>
      </c>
      <c r="H7981" t="str">
        <f>IF(WEEKDAY(A7981,2)&gt;5,"Weekend","Weekday")</f>
        <v>Weekend</v>
      </c>
      <c r="I7981" t="str">
        <f>_xlfn.IFS(B7981&lt;=5,"Night (0-5)",B7981&lt;=9,"Morning peak (6-9)",B7981&lt;=15,"Midday (10-15)",B7981&lt;=19,"Evening peak (16-19)",TRUE,"Late evening (20-23)")</f>
        <v>Late evening (20-23)</v>
      </c>
    </row>
    <row r="7982" spans="1:9">
      <c r="A7982" s="32">
        <v>42154</v>
      </c>
      <c r="B7982">
        <v>23</v>
      </c>
      <c r="C7982">
        <v>7503</v>
      </c>
      <c r="D7982" t="s">
        <v>304</v>
      </c>
      <c r="E7982">
        <f>YEAR(A7982)</f>
        <v>2015</v>
      </c>
      <c r="F7982" s="33">
        <f>DATE(YEAR(A7982),MONTH(A7982),1)</f>
        <v>42125.0</v>
      </c>
      <c r="G7982" t="str">
        <f>CHOOSE(WEEKDAY(A7982,2),"Mon","Tue","Wed","Thu","Fri","Sat","Sun")</f>
        <v>Sat</v>
      </c>
      <c r="H7982" t="str">
        <f>IF(WEEKDAY(A7982,2)&gt;5,"Weekend","Weekday")</f>
        <v>Weekend</v>
      </c>
      <c r="I7982" t="str">
        <f>_xlfn.IFS(B7982&lt;=5,"Night (0-5)",B7982&lt;=9,"Morning peak (6-9)",B7982&lt;=15,"Midday (10-15)",B7982&lt;=19,"Evening peak (16-19)",TRUE,"Late evening (20-23)")</f>
        <v>Late evening (20-23)</v>
      </c>
    </row>
    <row r="7983" spans="1:9">
      <c r="A7983" s="32">
        <v>42155</v>
      </c>
      <c r="B7983">
        <v>0</v>
      </c>
      <c r="C7983">
        <v>6833</v>
      </c>
      <c r="D7983" t="s">
        <v>304</v>
      </c>
      <c r="E7983">
        <f>YEAR(A7983)</f>
        <v>2015</v>
      </c>
      <c r="F7983" s="33">
        <f>DATE(YEAR(A7983),MONTH(A7983),1)</f>
        <v>42125.0</v>
      </c>
      <c r="G7983" t="str">
        <f>CHOOSE(WEEKDAY(A7983,2),"Mon","Tue","Wed","Thu","Fri","Sat","Sun")</f>
        <v>Sun</v>
      </c>
      <c r="H7983" t="str">
        <f>IF(WEEKDAY(A7983,2)&gt;5,"Weekend","Weekday")</f>
        <v>Weekend</v>
      </c>
      <c r="I7983" t="str">
        <f>_xlfn.IFS(B7983&lt;=5,"Night (0-5)",B7983&lt;=9,"Morning peak (6-9)",B7983&lt;=15,"Midday (10-15)",B7983&lt;=19,"Evening peak (16-19)",TRUE,"Late evening (20-23)")</f>
        <v>Night (0-5)</v>
      </c>
    </row>
    <row r="7984" spans="1:9">
      <c r="A7984" s="32">
        <v>42155</v>
      </c>
      <c r="B7984">
        <v>1</v>
      </c>
      <c r="C7984">
        <v>5379</v>
      </c>
      <c r="D7984" t="s">
        <v>304</v>
      </c>
      <c r="E7984">
        <f>YEAR(A7984)</f>
        <v>2015</v>
      </c>
      <c r="F7984" s="33">
        <f>DATE(YEAR(A7984),MONTH(A7984),1)</f>
        <v>42125.0</v>
      </c>
      <c r="G7984" t="str">
        <f>CHOOSE(WEEKDAY(A7984,2),"Mon","Tue","Wed","Thu","Fri","Sat","Sun")</f>
        <v>Sun</v>
      </c>
      <c r="H7984" t="str">
        <f>IF(WEEKDAY(A7984,2)&gt;5,"Weekend","Weekday")</f>
        <v>Weekend</v>
      </c>
      <c r="I7984" t="str">
        <f>_xlfn.IFS(B7984&lt;=5,"Night (0-5)",B7984&lt;=9,"Morning peak (6-9)",B7984&lt;=15,"Midday (10-15)",B7984&lt;=19,"Evening peak (16-19)",TRUE,"Late evening (20-23)")</f>
        <v>Night (0-5)</v>
      </c>
    </row>
    <row r="7985" spans="1:9">
      <c r="A7985" s="32">
        <v>42155</v>
      </c>
      <c r="B7985">
        <v>2</v>
      </c>
      <c r="C7985">
        <v>3848</v>
      </c>
      <c r="D7985" t="s">
        <v>304</v>
      </c>
      <c r="E7985">
        <f>YEAR(A7985)</f>
        <v>2015</v>
      </c>
      <c r="F7985" s="33">
        <f>DATE(YEAR(A7985),MONTH(A7985),1)</f>
        <v>42125.0</v>
      </c>
      <c r="G7985" t="str">
        <f>CHOOSE(WEEKDAY(A7985,2),"Mon","Tue","Wed","Thu","Fri","Sat","Sun")</f>
        <v>Sun</v>
      </c>
      <c r="H7985" t="str">
        <f>IF(WEEKDAY(A7985,2)&gt;5,"Weekend","Weekday")</f>
        <v>Weekend</v>
      </c>
      <c r="I7985" t="str">
        <f>_xlfn.IFS(B7985&lt;=5,"Night (0-5)",B7985&lt;=9,"Morning peak (6-9)",B7985&lt;=15,"Midday (10-15)",B7985&lt;=19,"Evening peak (16-19)",TRUE,"Late evening (20-23)")</f>
        <v>Night (0-5)</v>
      </c>
    </row>
    <row r="7986" spans="1:9">
      <c r="A7986" s="32">
        <v>42155</v>
      </c>
      <c r="B7986">
        <v>3</v>
      </c>
      <c r="C7986">
        <v>2687</v>
      </c>
      <c r="D7986" t="s">
        <v>304</v>
      </c>
      <c r="E7986">
        <f>YEAR(A7986)</f>
        <v>2015</v>
      </c>
      <c r="F7986" s="33">
        <f>DATE(YEAR(A7986),MONTH(A7986),1)</f>
        <v>42125.0</v>
      </c>
      <c r="G7986" t="str">
        <f>CHOOSE(WEEKDAY(A7986,2),"Mon","Tue","Wed","Thu","Fri","Sat","Sun")</f>
        <v>Sun</v>
      </c>
      <c r="H7986" t="str">
        <f>IF(WEEKDAY(A7986,2)&gt;5,"Weekend","Weekday")</f>
        <v>Weekend</v>
      </c>
      <c r="I7986" t="str">
        <f>_xlfn.IFS(B7986&lt;=5,"Night (0-5)",B7986&lt;=9,"Morning peak (6-9)",B7986&lt;=15,"Midday (10-15)",B7986&lt;=19,"Evening peak (16-19)",TRUE,"Late evening (20-23)")</f>
        <v>Night (0-5)</v>
      </c>
    </row>
    <row r="7987" spans="1:9">
      <c r="A7987" s="32">
        <v>42155</v>
      </c>
      <c r="B7987">
        <v>4</v>
      </c>
      <c r="C7987">
        <v>1870</v>
      </c>
      <c r="D7987" t="s">
        <v>304</v>
      </c>
      <c r="E7987">
        <f>YEAR(A7987)</f>
        <v>2015</v>
      </c>
      <c r="F7987" s="33">
        <f>DATE(YEAR(A7987),MONTH(A7987),1)</f>
        <v>42125.0</v>
      </c>
      <c r="G7987" t="str">
        <f>CHOOSE(WEEKDAY(A7987,2),"Mon","Tue","Wed","Thu","Fri","Sat","Sun")</f>
        <v>Sun</v>
      </c>
      <c r="H7987" t="str">
        <f>IF(WEEKDAY(A7987,2)&gt;5,"Weekend","Weekday")</f>
        <v>Weekend</v>
      </c>
      <c r="I7987" t="str">
        <f>_xlfn.IFS(B7987&lt;=5,"Night (0-5)",B7987&lt;=9,"Morning peak (6-9)",B7987&lt;=15,"Midday (10-15)",B7987&lt;=19,"Evening peak (16-19)",TRUE,"Late evening (20-23)")</f>
        <v>Night (0-5)</v>
      </c>
    </row>
    <row r="7988" spans="1:9">
      <c r="A7988" s="32">
        <v>42155</v>
      </c>
      <c r="B7988">
        <v>5</v>
      </c>
      <c r="C7988">
        <v>1236</v>
      </c>
      <c r="D7988" t="s">
        <v>304</v>
      </c>
      <c r="E7988">
        <f>YEAR(A7988)</f>
        <v>2015</v>
      </c>
      <c r="F7988" s="33">
        <f>DATE(YEAR(A7988),MONTH(A7988),1)</f>
        <v>42125.0</v>
      </c>
      <c r="G7988" t="str">
        <f>CHOOSE(WEEKDAY(A7988,2),"Mon","Tue","Wed","Thu","Fri","Sat","Sun")</f>
        <v>Sun</v>
      </c>
      <c r="H7988" t="str">
        <f>IF(WEEKDAY(A7988,2)&gt;5,"Weekend","Weekday")</f>
        <v>Weekend</v>
      </c>
      <c r="I7988" t="str">
        <f>_xlfn.IFS(B7988&lt;=5,"Night (0-5)",B7988&lt;=9,"Morning peak (6-9)",B7988&lt;=15,"Midday (10-15)",B7988&lt;=19,"Evening peak (16-19)",TRUE,"Late evening (20-23)")</f>
        <v>Night (0-5)</v>
      </c>
    </row>
    <row r="7989" spans="1:9">
      <c r="A7989" s="32">
        <v>42155</v>
      </c>
      <c r="B7989">
        <v>6</v>
      </c>
      <c r="C7989">
        <v>1062</v>
      </c>
      <c r="D7989" t="s">
        <v>304</v>
      </c>
      <c r="E7989">
        <f>YEAR(A7989)</f>
        <v>2015</v>
      </c>
      <c r="F7989" s="33">
        <f>DATE(YEAR(A7989),MONTH(A7989),1)</f>
        <v>42125.0</v>
      </c>
      <c r="G7989" t="str">
        <f>CHOOSE(WEEKDAY(A7989,2),"Mon","Tue","Wed","Thu","Fri","Sat","Sun")</f>
        <v>Sun</v>
      </c>
      <c r="H7989" t="str">
        <f>IF(WEEKDAY(A7989,2)&gt;5,"Weekend","Weekday")</f>
        <v>Weekend</v>
      </c>
      <c r="I7989" t="str">
        <f>_xlfn.IFS(B7989&lt;=5,"Night (0-5)",B7989&lt;=9,"Morning peak (6-9)",B7989&lt;=15,"Midday (10-15)",B7989&lt;=19,"Evening peak (16-19)",TRUE,"Late evening (20-23)")</f>
        <v>Morning peak (6-9)</v>
      </c>
    </row>
    <row r="7990" spans="1:9">
      <c r="A7990" s="32">
        <v>42155</v>
      </c>
      <c r="B7990">
        <v>7</v>
      </c>
      <c r="C7990">
        <v>1220</v>
      </c>
      <c r="D7990" t="s">
        <v>304</v>
      </c>
      <c r="E7990">
        <f>YEAR(A7990)</f>
        <v>2015</v>
      </c>
      <c r="F7990" s="33">
        <f>DATE(YEAR(A7990),MONTH(A7990),1)</f>
        <v>42125.0</v>
      </c>
      <c r="G7990" t="str">
        <f>CHOOSE(WEEKDAY(A7990,2),"Mon","Tue","Wed","Thu","Fri","Sat","Sun")</f>
        <v>Sun</v>
      </c>
      <c r="H7990" t="str">
        <f>IF(WEEKDAY(A7990,2)&gt;5,"Weekend","Weekday")</f>
        <v>Weekend</v>
      </c>
      <c r="I7990" t="str">
        <f>_xlfn.IFS(B7990&lt;=5,"Night (0-5)",B7990&lt;=9,"Morning peak (6-9)",B7990&lt;=15,"Midday (10-15)",B7990&lt;=19,"Evening peak (16-19)",TRUE,"Late evening (20-23)")</f>
        <v>Morning peak (6-9)</v>
      </c>
    </row>
    <row r="7991" spans="1:9">
      <c r="A7991" s="32">
        <v>42155</v>
      </c>
      <c r="B7991">
        <v>8</v>
      </c>
      <c r="C7991">
        <v>1704</v>
      </c>
      <c r="D7991" t="s">
        <v>304</v>
      </c>
      <c r="E7991">
        <f>YEAR(A7991)</f>
        <v>2015</v>
      </c>
      <c r="F7991" s="33">
        <f>DATE(YEAR(A7991),MONTH(A7991),1)</f>
        <v>42125.0</v>
      </c>
      <c r="G7991" t="str">
        <f>CHOOSE(WEEKDAY(A7991,2),"Mon","Tue","Wed","Thu","Fri","Sat","Sun")</f>
        <v>Sun</v>
      </c>
      <c r="H7991" t="str">
        <f>IF(WEEKDAY(A7991,2)&gt;5,"Weekend","Weekday")</f>
        <v>Weekend</v>
      </c>
      <c r="I7991" t="str">
        <f>_xlfn.IFS(B7991&lt;=5,"Night (0-5)",B7991&lt;=9,"Morning peak (6-9)",B7991&lt;=15,"Midday (10-15)",B7991&lt;=19,"Evening peak (16-19)",TRUE,"Late evening (20-23)")</f>
        <v>Morning peak (6-9)</v>
      </c>
    </row>
    <row r="7992" spans="1:9">
      <c r="A7992" s="32">
        <v>42155</v>
      </c>
      <c r="B7992">
        <v>9</v>
      </c>
      <c r="C7992">
        <v>2416</v>
      </c>
      <c r="D7992" t="s">
        <v>304</v>
      </c>
      <c r="E7992">
        <f>YEAR(A7992)</f>
        <v>2015</v>
      </c>
      <c r="F7992" s="33">
        <f>DATE(YEAR(A7992),MONTH(A7992),1)</f>
        <v>42125.0</v>
      </c>
      <c r="G7992" t="str">
        <f>CHOOSE(WEEKDAY(A7992,2),"Mon","Tue","Wed","Thu","Fri","Sat","Sun")</f>
        <v>Sun</v>
      </c>
      <c r="H7992" t="str">
        <f>IF(WEEKDAY(A7992,2)&gt;5,"Weekend","Weekday")</f>
        <v>Weekend</v>
      </c>
      <c r="I7992" t="str">
        <f>_xlfn.IFS(B7992&lt;=5,"Night (0-5)",B7992&lt;=9,"Morning peak (6-9)",B7992&lt;=15,"Midday (10-15)",B7992&lt;=19,"Evening peak (16-19)",TRUE,"Late evening (20-23)")</f>
        <v>Morning peak (6-9)</v>
      </c>
    </row>
    <row r="7993" spans="1:9">
      <c r="A7993" s="32">
        <v>42155</v>
      </c>
      <c r="B7993">
        <v>10</v>
      </c>
      <c r="C7993">
        <v>3143</v>
      </c>
      <c r="D7993" t="s">
        <v>304</v>
      </c>
      <c r="E7993">
        <f>YEAR(A7993)</f>
        <v>2015</v>
      </c>
      <c r="F7993" s="33">
        <f>DATE(YEAR(A7993),MONTH(A7993),1)</f>
        <v>42125.0</v>
      </c>
      <c r="G7993" t="str">
        <f>CHOOSE(WEEKDAY(A7993,2),"Mon","Tue","Wed","Thu","Fri","Sat","Sun")</f>
        <v>Sun</v>
      </c>
      <c r="H7993" t="str">
        <f>IF(WEEKDAY(A7993,2)&gt;5,"Weekend","Weekday")</f>
        <v>Weekend</v>
      </c>
      <c r="I7993" t="str">
        <f>_xlfn.IFS(B7993&lt;=5,"Night (0-5)",B7993&lt;=9,"Morning peak (6-9)",B7993&lt;=15,"Midday (10-15)",B7993&lt;=19,"Evening peak (16-19)",TRUE,"Late evening (20-23)")</f>
        <v>Midday (10-15)</v>
      </c>
    </row>
    <row r="7994" spans="1:9">
      <c r="A7994" s="32">
        <v>42155</v>
      </c>
      <c r="B7994">
        <v>11</v>
      </c>
      <c r="C7994">
        <v>3654</v>
      </c>
      <c r="D7994" t="s">
        <v>304</v>
      </c>
      <c r="E7994">
        <f>YEAR(A7994)</f>
        <v>2015</v>
      </c>
      <c r="F7994" s="33">
        <f>DATE(YEAR(A7994),MONTH(A7994),1)</f>
        <v>42125.0</v>
      </c>
      <c r="G7994" t="str">
        <f>CHOOSE(WEEKDAY(A7994,2),"Mon","Tue","Wed","Thu","Fri","Sat","Sun")</f>
        <v>Sun</v>
      </c>
      <c r="H7994" t="str">
        <f>IF(WEEKDAY(A7994,2)&gt;5,"Weekend","Weekday")</f>
        <v>Weekend</v>
      </c>
      <c r="I7994" t="str">
        <f>_xlfn.IFS(B7994&lt;=5,"Night (0-5)",B7994&lt;=9,"Morning peak (6-9)",B7994&lt;=15,"Midday (10-15)",B7994&lt;=19,"Evening peak (16-19)",TRUE,"Late evening (20-23)")</f>
        <v>Midday (10-15)</v>
      </c>
    </row>
    <row r="7995" spans="1:9">
      <c r="A7995" s="32">
        <v>42155</v>
      </c>
      <c r="B7995">
        <v>12</v>
      </c>
      <c r="C7995">
        <v>4049</v>
      </c>
      <c r="D7995" t="s">
        <v>304</v>
      </c>
      <c r="E7995">
        <f>YEAR(A7995)</f>
        <v>2015</v>
      </c>
      <c r="F7995" s="33">
        <f>DATE(YEAR(A7995),MONTH(A7995),1)</f>
        <v>42125.0</v>
      </c>
      <c r="G7995" t="str">
        <f>CHOOSE(WEEKDAY(A7995,2),"Mon","Tue","Wed","Thu","Fri","Sat","Sun")</f>
        <v>Sun</v>
      </c>
      <c r="H7995" t="str">
        <f>IF(WEEKDAY(A7995,2)&gt;5,"Weekend","Weekday")</f>
        <v>Weekend</v>
      </c>
      <c r="I7995" t="str">
        <f>_xlfn.IFS(B7995&lt;=5,"Night (0-5)",B7995&lt;=9,"Morning peak (6-9)",B7995&lt;=15,"Midday (10-15)",B7995&lt;=19,"Evening peak (16-19)",TRUE,"Late evening (20-23)")</f>
        <v>Midday (10-15)</v>
      </c>
    </row>
    <row r="7996" spans="1:9">
      <c r="A7996" s="32">
        <v>42155</v>
      </c>
      <c r="B7996">
        <v>13</v>
      </c>
      <c r="C7996">
        <v>4168</v>
      </c>
      <c r="D7996" t="s">
        <v>304</v>
      </c>
      <c r="E7996">
        <f>YEAR(A7996)</f>
        <v>2015</v>
      </c>
      <c r="F7996" s="33">
        <f>DATE(YEAR(A7996),MONTH(A7996),1)</f>
        <v>42125.0</v>
      </c>
      <c r="G7996" t="str">
        <f>CHOOSE(WEEKDAY(A7996,2),"Mon","Tue","Wed","Thu","Fri","Sat","Sun")</f>
        <v>Sun</v>
      </c>
      <c r="H7996" t="str">
        <f>IF(WEEKDAY(A7996,2)&gt;5,"Weekend","Weekday")</f>
        <v>Weekend</v>
      </c>
      <c r="I7996" t="str">
        <f>_xlfn.IFS(B7996&lt;=5,"Night (0-5)",B7996&lt;=9,"Morning peak (6-9)",B7996&lt;=15,"Midday (10-15)",B7996&lt;=19,"Evening peak (16-19)",TRUE,"Late evening (20-23)")</f>
        <v>Midday (10-15)</v>
      </c>
    </row>
    <row r="7997" spans="1:9">
      <c r="A7997" s="32">
        <v>42155</v>
      </c>
      <c r="B7997">
        <v>14</v>
      </c>
      <c r="C7997">
        <v>4510</v>
      </c>
      <c r="D7997" t="s">
        <v>304</v>
      </c>
      <c r="E7997">
        <f>YEAR(A7997)</f>
        <v>2015</v>
      </c>
      <c r="F7997" s="33">
        <f>DATE(YEAR(A7997),MONTH(A7997),1)</f>
        <v>42125.0</v>
      </c>
      <c r="G7997" t="str">
        <f>CHOOSE(WEEKDAY(A7997,2),"Mon","Tue","Wed","Thu","Fri","Sat","Sun")</f>
        <v>Sun</v>
      </c>
      <c r="H7997" t="str">
        <f>IF(WEEKDAY(A7997,2)&gt;5,"Weekend","Weekday")</f>
        <v>Weekend</v>
      </c>
      <c r="I7997" t="str">
        <f>_xlfn.IFS(B7997&lt;=5,"Night (0-5)",B7997&lt;=9,"Morning peak (6-9)",B7997&lt;=15,"Midday (10-15)",B7997&lt;=19,"Evening peak (16-19)",TRUE,"Late evening (20-23)")</f>
        <v>Midday (10-15)</v>
      </c>
    </row>
    <row r="7998" spans="1:9">
      <c r="A7998" s="32">
        <v>42155</v>
      </c>
      <c r="B7998">
        <v>15</v>
      </c>
      <c r="C7998">
        <v>4755</v>
      </c>
      <c r="D7998" t="s">
        <v>304</v>
      </c>
      <c r="E7998">
        <f>YEAR(A7998)</f>
        <v>2015</v>
      </c>
      <c r="F7998" s="33">
        <f>DATE(YEAR(A7998),MONTH(A7998),1)</f>
        <v>42125.0</v>
      </c>
      <c r="G7998" t="str">
        <f>CHOOSE(WEEKDAY(A7998,2),"Mon","Tue","Wed","Thu","Fri","Sat","Sun")</f>
        <v>Sun</v>
      </c>
      <c r="H7998" t="str">
        <f>IF(WEEKDAY(A7998,2)&gt;5,"Weekend","Weekday")</f>
        <v>Weekend</v>
      </c>
      <c r="I7998" t="str">
        <f>_xlfn.IFS(B7998&lt;=5,"Night (0-5)",B7998&lt;=9,"Morning peak (6-9)",B7998&lt;=15,"Midday (10-15)",B7998&lt;=19,"Evening peak (16-19)",TRUE,"Late evening (20-23)")</f>
        <v>Midday (10-15)</v>
      </c>
    </row>
    <row r="7999" spans="1:9">
      <c r="A7999" s="32">
        <v>42155</v>
      </c>
      <c r="B7999">
        <v>16</v>
      </c>
      <c r="C7999">
        <v>5467</v>
      </c>
      <c r="D7999" t="s">
        <v>304</v>
      </c>
      <c r="E7999">
        <f>YEAR(A7999)</f>
        <v>2015</v>
      </c>
      <c r="F7999" s="33">
        <f>DATE(YEAR(A7999),MONTH(A7999),1)</f>
        <v>42125.0</v>
      </c>
      <c r="G7999" t="str">
        <f>CHOOSE(WEEKDAY(A7999,2),"Mon","Tue","Wed","Thu","Fri","Sat","Sun")</f>
        <v>Sun</v>
      </c>
      <c r="H7999" t="str">
        <f>IF(WEEKDAY(A7999,2)&gt;5,"Weekend","Weekday")</f>
        <v>Weekend</v>
      </c>
      <c r="I7999" t="str">
        <f>_xlfn.IFS(B7999&lt;=5,"Night (0-5)",B7999&lt;=9,"Morning peak (6-9)",B7999&lt;=15,"Midday (10-15)",B7999&lt;=19,"Evening peak (16-19)",TRUE,"Late evening (20-23)")</f>
        <v>Evening peak (16-19)</v>
      </c>
    </row>
    <row r="8000" spans="1:9">
      <c r="A8000" s="32">
        <v>42155</v>
      </c>
      <c r="B8000">
        <v>17</v>
      </c>
      <c r="C8000">
        <v>6585</v>
      </c>
      <c r="D8000" t="s">
        <v>304</v>
      </c>
      <c r="E8000">
        <f>YEAR(A8000)</f>
        <v>2015</v>
      </c>
      <c r="F8000" s="33">
        <f>DATE(YEAR(A8000),MONTH(A8000),1)</f>
        <v>42125.0</v>
      </c>
      <c r="G8000" t="str">
        <f>CHOOSE(WEEKDAY(A8000,2),"Mon","Tue","Wed","Thu","Fri","Sat","Sun")</f>
        <v>Sun</v>
      </c>
      <c r="H8000" t="str">
        <f>IF(WEEKDAY(A8000,2)&gt;5,"Weekend","Weekday")</f>
        <v>Weekend</v>
      </c>
      <c r="I8000" t="str">
        <f>_xlfn.IFS(B8000&lt;=5,"Night (0-5)",B8000&lt;=9,"Morning peak (6-9)",B8000&lt;=15,"Midday (10-15)",B8000&lt;=19,"Evening peak (16-19)",TRUE,"Late evening (20-23)")</f>
        <v>Evening peak (16-19)</v>
      </c>
    </row>
    <row r="8001" spans="1:9">
      <c r="A8001" s="32">
        <v>42155</v>
      </c>
      <c r="B8001">
        <v>18</v>
      </c>
      <c r="C8001">
        <v>7189</v>
      </c>
      <c r="D8001" t="s">
        <v>304</v>
      </c>
      <c r="E8001">
        <f>YEAR(A8001)</f>
        <v>2015</v>
      </c>
      <c r="F8001" s="33">
        <f>DATE(YEAR(A8001),MONTH(A8001),1)</f>
        <v>42125.0</v>
      </c>
      <c r="G8001" t="str">
        <f>CHOOSE(WEEKDAY(A8001,2),"Mon","Tue","Wed","Thu","Fri","Sat","Sun")</f>
        <v>Sun</v>
      </c>
      <c r="H8001" t="str">
        <f>IF(WEEKDAY(A8001,2)&gt;5,"Weekend","Weekday")</f>
        <v>Weekend</v>
      </c>
      <c r="I8001" t="str">
        <f>_xlfn.IFS(B8001&lt;=5,"Night (0-5)",B8001&lt;=9,"Morning peak (6-9)",B8001&lt;=15,"Midday (10-15)",B8001&lt;=19,"Evening peak (16-19)",TRUE,"Late evening (20-23)")</f>
        <v>Evening peak (16-19)</v>
      </c>
    </row>
    <row r="8002" spans="1:9">
      <c r="A8002" s="32">
        <v>42155</v>
      </c>
      <c r="B8002">
        <v>19</v>
      </c>
      <c r="C8002">
        <v>6541</v>
      </c>
      <c r="D8002" t="s">
        <v>304</v>
      </c>
      <c r="E8002">
        <f>YEAR(A8002)</f>
        <v>2015</v>
      </c>
      <c r="F8002" s="33">
        <f>DATE(YEAR(A8002),MONTH(A8002),1)</f>
        <v>42125.0</v>
      </c>
      <c r="G8002" t="str">
        <f>CHOOSE(WEEKDAY(A8002,2),"Mon","Tue","Wed","Thu","Fri","Sat","Sun")</f>
        <v>Sun</v>
      </c>
      <c r="H8002" t="str">
        <f>IF(WEEKDAY(A8002,2)&gt;5,"Weekend","Weekday")</f>
        <v>Weekend</v>
      </c>
      <c r="I8002" t="str">
        <f>_xlfn.IFS(B8002&lt;=5,"Night (0-5)",B8002&lt;=9,"Morning peak (6-9)",B8002&lt;=15,"Midday (10-15)",B8002&lt;=19,"Evening peak (16-19)",TRUE,"Late evening (20-23)")</f>
        <v>Evening peak (16-19)</v>
      </c>
    </row>
    <row r="8003" spans="1:9">
      <c r="A8003" s="32">
        <v>42155</v>
      </c>
      <c r="B8003">
        <v>20</v>
      </c>
      <c r="C8003">
        <v>5713</v>
      </c>
      <c r="D8003" t="s">
        <v>304</v>
      </c>
      <c r="E8003">
        <f>YEAR(A8003)</f>
        <v>2015</v>
      </c>
      <c r="F8003" s="33">
        <f>DATE(YEAR(A8003),MONTH(A8003),1)</f>
        <v>42125.0</v>
      </c>
      <c r="G8003" t="str">
        <f>CHOOSE(WEEKDAY(A8003,2),"Mon","Tue","Wed","Thu","Fri","Sat","Sun")</f>
        <v>Sun</v>
      </c>
      <c r="H8003" t="str">
        <f>IF(WEEKDAY(A8003,2)&gt;5,"Weekend","Weekday")</f>
        <v>Weekend</v>
      </c>
      <c r="I8003" t="str">
        <f>_xlfn.IFS(B8003&lt;=5,"Night (0-5)",B8003&lt;=9,"Morning peak (6-9)",B8003&lt;=15,"Midday (10-15)",B8003&lt;=19,"Evening peak (16-19)",TRUE,"Late evening (20-23)")</f>
        <v>Late evening (20-23)</v>
      </c>
    </row>
    <row r="8004" spans="1:9">
      <c r="A8004" s="32">
        <v>42155</v>
      </c>
      <c r="B8004">
        <v>21</v>
      </c>
      <c r="C8004">
        <v>5029</v>
      </c>
      <c r="D8004" t="s">
        <v>304</v>
      </c>
      <c r="E8004">
        <f>YEAR(A8004)</f>
        <v>2015</v>
      </c>
      <c r="F8004" s="33">
        <f>DATE(YEAR(A8004),MONTH(A8004),1)</f>
        <v>42125.0</v>
      </c>
      <c r="G8004" t="str">
        <f>CHOOSE(WEEKDAY(A8004,2),"Mon","Tue","Wed","Thu","Fri","Sat","Sun")</f>
        <v>Sun</v>
      </c>
      <c r="H8004" t="str">
        <f>IF(WEEKDAY(A8004,2)&gt;5,"Weekend","Weekday")</f>
        <v>Weekend</v>
      </c>
      <c r="I8004" t="str">
        <f>_xlfn.IFS(B8004&lt;=5,"Night (0-5)",B8004&lt;=9,"Morning peak (6-9)",B8004&lt;=15,"Midday (10-15)",B8004&lt;=19,"Evening peak (16-19)",TRUE,"Late evening (20-23)")</f>
        <v>Late evening (20-23)</v>
      </c>
    </row>
    <row r="8005" spans="1:9">
      <c r="A8005" s="32">
        <v>42155</v>
      </c>
      <c r="B8005">
        <v>22</v>
      </c>
      <c r="C8005">
        <v>4219</v>
      </c>
      <c r="D8005" t="s">
        <v>304</v>
      </c>
      <c r="E8005">
        <f>YEAR(A8005)</f>
        <v>2015</v>
      </c>
      <c r="F8005" s="33">
        <f>DATE(YEAR(A8005),MONTH(A8005),1)</f>
        <v>42125.0</v>
      </c>
      <c r="G8005" t="str">
        <f>CHOOSE(WEEKDAY(A8005,2),"Mon","Tue","Wed","Thu","Fri","Sat","Sun")</f>
        <v>Sun</v>
      </c>
      <c r="H8005" t="str">
        <f>IF(WEEKDAY(A8005,2)&gt;5,"Weekend","Weekday")</f>
        <v>Weekend</v>
      </c>
      <c r="I8005" t="str">
        <f>_xlfn.IFS(B8005&lt;=5,"Night (0-5)",B8005&lt;=9,"Morning peak (6-9)",B8005&lt;=15,"Midday (10-15)",B8005&lt;=19,"Evening peak (16-19)",TRUE,"Late evening (20-23)")</f>
        <v>Late evening (20-23)</v>
      </c>
    </row>
    <row r="8006" spans="1:9">
      <c r="A8006" s="32">
        <v>42155</v>
      </c>
      <c r="B8006">
        <v>23</v>
      </c>
      <c r="C8006">
        <v>3670</v>
      </c>
      <c r="D8006" t="s">
        <v>304</v>
      </c>
      <c r="E8006">
        <f>YEAR(A8006)</f>
        <v>2015</v>
      </c>
      <c r="F8006" s="33">
        <f>DATE(YEAR(A8006),MONTH(A8006),1)</f>
        <v>42125.0</v>
      </c>
      <c r="G8006" t="str">
        <f>CHOOSE(WEEKDAY(A8006,2),"Mon","Tue","Wed","Thu","Fri","Sat","Sun")</f>
        <v>Sun</v>
      </c>
      <c r="H8006" t="str">
        <f>IF(WEEKDAY(A8006,2)&gt;5,"Weekend","Weekday")</f>
        <v>Weekend</v>
      </c>
      <c r="I8006" t="str">
        <f>_xlfn.IFS(B8006&lt;=5,"Night (0-5)",B8006&lt;=9,"Morning peak (6-9)",B8006&lt;=15,"Midday (10-15)",B8006&lt;=19,"Evening peak (16-19)",TRUE,"Late evening (20-23)")</f>
        <v>Late evening (20-23)</v>
      </c>
    </row>
    <row r="8007" spans="1:9">
      <c r="A8007" s="32">
        <v>42156</v>
      </c>
      <c r="B8007">
        <v>0</v>
      </c>
      <c r="C8007">
        <v>1885</v>
      </c>
      <c r="D8007" t="s">
        <v>304</v>
      </c>
      <c r="E8007">
        <f>YEAR(A8007)</f>
        <v>2015</v>
      </c>
      <c r="F8007" s="33">
        <f>DATE(YEAR(A8007),MONTH(A8007),1)</f>
        <v>42156.0</v>
      </c>
      <c r="G8007" t="str">
        <f>CHOOSE(WEEKDAY(A8007,2),"Mon","Tue","Wed","Thu","Fri","Sat","Sun")</f>
        <v>Mon</v>
      </c>
      <c r="H8007" t="str">
        <f>IF(WEEKDAY(A8007,2)&gt;5,"Weekend","Weekday")</f>
        <v>Weekday</v>
      </c>
      <c r="I8007" t="str">
        <f>_xlfn.IFS(B8007&lt;=5,"Night (0-5)",B8007&lt;=9,"Morning peak (6-9)",B8007&lt;=15,"Midday (10-15)",B8007&lt;=19,"Evening peak (16-19)",TRUE,"Late evening (20-23)")</f>
        <v>Night (0-5)</v>
      </c>
    </row>
    <row r="8008" spans="1:9">
      <c r="A8008" s="32">
        <v>42156</v>
      </c>
      <c r="B8008">
        <v>1</v>
      </c>
      <c r="C8008">
        <v>1488</v>
      </c>
      <c r="D8008" t="s">
        <v>304</v>
      </c>
      <c r="E8008">
        <f>YEAR(A8008)</f>
        <v>2015</v>
      </c>
      <c r="F8008" s="33">
        <f>DATE(YEAR(A8008),MONTH(A8008),1)</f>
        <v>42156.0</v>
      </c>
      <c r="G8008" t="str">
        <f>CHOOSE(WEEKDAY(A8008,2),"Mon","Tue","Wed","Thu","Fri","Sat","Sun")</f>
        <v>Mon</v>
      </c>
      <c r="H8008" t="str">
        <f>IF(WEEKDAY(A8008,2)&gt;5,"Weekend","Weekday")</f>
        <v>Weekday</v>
      </c>
      <c r="I8008" t="str">
        <f>_xlfn.IFS(B8008&lt;=5,"Night (0-5)",B8008&lt;=9,"Morning peak (6-9)",B8008&lt;=15,"Midday (10-15)",B8008&lt;=19,"Evening peak (16-19)",TRUE,"Late evening (20-23)")</f>
        <v>Night (0-5)</v>
      </c>
    </row>
    <row r="8009" spans="1:9">
      <c r="A8009" s="32">
        <v>42156</v>
      </c>
      <c r="B8009">
        <v>2</v>
      </c>
      <c r="C8009">
        <v>1001</v>
      </c>
      <c r="D8009" t="s">
        <v>304</v>
      </c>
      <c r="E8009">
        <f>YEAR(A8009)</f>
        <v>2015</v>
      </c>
      <c r="F8009" s="33">
        <f>DATE(YEAR(A8009),MONTH(A8009),1)</f>
        <v>42156.0</v>
      </c>
      <c r="G8009" t="str">
        <f>CHOOSE(WEEKDAY(A8009,2),"Mon","Tue","Wed","Thu","Fri","Sat","Sun")</f>
        <v>Mon</v>
      </c>
      <c r="H8009" t="str">
        <f>IF(WEEKDAY(A8009,2)&gt;5,"Weekend","Weekday")</f>
        <v>Weekday</v>
      </c>
      <c r="I8009" t="str">
        <f>_xlfn.IFS(B8009&lt;=5,"Night (0-5)",B8009&lt;=9,"Morning peak (6-9)",B8009&lt;=15,"Midday (10-15)",B8009&lt;=19,"Evening peak (16-19)",TRUE,"Late evening (20-23)")</f>
        <v>Night (0-5)</v>
      </c>
    </row>
    <row r="8010" spans="1:9">
      <c r="A8010" s="32">
        <v>42156</v>
      </c>
      <c r="B8010">
        <v>3</v>
      </c>
      <c r="C8010">
        <v>638</v>
      </c>
      <c r="D8010" t="s">
        <v>304</v>
      </c>
      <c r="E8010">
        <f>YEAR(A8010)</f>
        <v>2015</v>
      </c>
      <c r="F8010" s="33">
        <f>DATE(YEAR(A8010),MONTH(A8010),1)</f>
        <v>42156.0</v>
      </c>
      <c r="G8010" t="str">
        <f>CHOOSE(WEEKDAY(A8010,2),"Mon","Tue","Wed","Thu","Fri","Sat","Sun")</f>
        <v>Mon</v>
      </c>
      <c r="H8010" t="str">
        <f>IF(WEEKDAY(A8010,2)&gt;5,"Weekend","Weekday")</f>
        <v>Weekday</v>
      </c>
      <c r="I8010" t="str">
        <f>_xlfn.IFS(B8010&lt;=5,"Night (0-5)",B8010&lt;=9,"Morning peak (6-9)",B8010&lt;=15,"Midday (10-15)",B8010&lt;=19,"Evening peak (16-19)",TRUE,"Late evening (20-23)")</f>
        <v>Night (0-5)</v>
      </c>
    </row>
    <row r="8011" spans="1:9">
      <c r="A8011" s="32">
        <v>42156</v>
      </c>
      <c r="B8011">
        <v>4</v>
      </c>
      <c r="C8011">
        <v>1026</v>
      </c>
      <c r="D8011" t="s">
        <v>304</v>
      </c>
      <c r="E8011">
        <f>YEAR(A8011)</f>
        <v>2015</v>
      </c>
      <c r="F8011" s="33">
        <f>DATE(YEAR(A8011),MONTH(A8011),1)</f>
        <v>42156.0</v>
      </c>
      <c r="G8011" t="str">
        <f>CHOOSE(WEEKDAY(A8011,2),"Mon","Tue","Wed","Thu","Fri","Sat","Sun")</f>
        <v>Mon</v>
      </c>
      <c r="H8011" t="str">
        <f>IF(WEEKDAY(A8011,2)&gt;5,"Weekend","Weekday")</f>
        <v>Weekday</v>
      </c>
      <c r="I8011" t="str">
        <f>_xlfn.IFS(B8011&lt;=5,"Night (0-5)",B8011&lt;=9,"Morning peak (6-9)",B8011&lt;=15,"Midday (10-15)",B8011&lt;=19,"Evening peak (16-19)",TRUE,"Late evening (20-23)")</f>
        <v>Night (0-5)</v>
      </c>
    </row>
    <row r="8012" spans="1:9">
      <c r="A8012" s="32">
        <v>42156</v>
      </c>
      <c r="B8012">
        <v>5</v>
      </c>
      <c r="C8012">
        <v>1535</v>
      </c>
      <c r="D8012" t="s">
        <v>304</v>
      </c>
      <c r="E8012">
        <f>YEAR(A8012)</f>
        <v>2015</v>
      </c>
      <c r="F8012" s="33">
        <f>DATE(YEAR(A8012),MONTH(A8012),1)</f>
        <v>42156.0</v>
      </c>
      <c r="G8012" t="str">
        <f>CHOOSE(WEEKDAY(A8012,2),"Mon","Tue","Wed","Thu","Fri","Sat","Sun")</f>
        <v>Mon</v>
      </c>
      <c r="H8012" t="str">
        <f>IF(WEEKDAY(A8012,2)&gt;5,"Weekend","Weekday")</f>
        <v>Weekday</v>
      </c>
      <c r="I8012" t="str">
        <f>_xlfn.IFS(B8012&lt;=5,"Night (0-5)",B8012&lt;=9,"Morning peak (6-9)",B8012&lt;=15,"Midday (10-15)",B8012&lt;=19,"Evening peak (16-19)",TRUE,"Late evening (20-23)")</f>
        <v>Night (0-5)</v>
      </c>
    </row>
    <row r="8013" spans="1:9">
      <c r="A8013" s="32">
        <v>42156</v>
      </c>
      <c r="B8013">
        <v>6</v>
      </c>
      <c r="C8013">
        <v>2327</v>
      </c>
      <c r="D8013" t="s">
        <v>304</v>
      </c>
      <c r="E8013">
        <f>YEAR(A8013)</f>
        <v>2015</v>
      </c>
      <c r="F8013" s="33">
        <f>DATE(YEAR(A8013),MONTH(A8013),1)</f>
        <v>42156.0</v>
      </c>
      <c r="G8013" t="str">
        <f>CHOOSE(WEEKDAY(A8013,2),"Mon","Tue","Wed","Thu","Fri","Sat","Sun")</f>
        <v>Mon</v>
      </c>
      <c r="H8013" t="str">
        <f>IF(WEEKDAY(A8013,2)&gt;5,"Weekend","Weekday")</f>
        <v>Weekday</v>
      </c>
      <c r="I8013" t="str">
        <f>_xlfn.IFS(B8013&lt;=5,"Night (0-5)",B8013&lt;=9,"Morning peak (6-9)",B8013&lt;=15,"Midday (10-15)",B8013&lt;=19,"Evening peak (16-19)",TRUE,"Late evening (20-23)")</f>
        <v>Morning peak (6-9)</v>
      </c>
    </row>
    <row r="8014" spans="1:9">
      <c r="A8014" s="32">
        <v>42156</v>
      </c>
      <c r="B8014">
        <v>7</v>
      </c>
      <c r="C8014">
        <v>3613</v>
      </c>
      <c r="D8014" t="s">
        <v>304</v>
      </c>
      <c r="E8014">
        <f>YEAR(A8014)</f>
        <v>2015</v>
      </c>
      <c r="F8014" s="33">
        <f>DATE(YEAR(A8014),MONTH(A8014),1)</f>
        <v>42156.0</v>
      </c>
      <c r="G8014" t="str">
        <f>CHOOSE(WEEKDAY(A8014,2),"Mon","Tue","Wed","Thu","Fri","Sat","Sun")</f>
        <v>Mon</v>
      </c>
      <c r="H8014" t="str">
        <f>IF(WEEKDAY(A8014,2)&gt;5,"Weekend","Weekday")</f>
        <v>Weekday</v>
      </c>
      <c r="I8014" t="str">
        <f>_xlfn.IFS(B8014&lt;=5,"Night (0-5)",B8014&lt;=9,"Morning peak (6-9)",B8014&lt;=15,"Midday (10-15)",B8014&lt;=19,"Evening peak (16-19)",TRUE,"Late evening (20-23)")</f>
        <v>Morning peak (6-9)</v>
      </c>
    </row>
    <row r="8015" spans="1:9">
      <c r="A8015" s="32">
        <v>42156</v>
      </c>
      <c r="B8015">
        <v>8</v>
      </c>
      <c r="C8015">
        <v>4969</v>
      </c>
      <c r="D8015" t="s">
        <v>304</v>
      </c>
      <c r="E8015">
        <f>YEAR(A8015)</f>
        <v>2015</v>
      </c>
      <c r="F8015" s="33">
        <f>DATE(YEAR(A8015),MONTH(A8015),1)</f>
        <v>42156.0</v>
      </c>
      <c r="G8015" t="str">
        <f>CHOOSE(WEEKDAY(A8015,2),"Mon","Tue","Wed","Thu","Fri","Sat","Sun")</f>
        <v>Mon</v>
      </c>
      <c r="H8015" t="str">
        <f>IF(WEEKDAY(A8015,2)&gt;5,"Weekend","Weekday")</f>
        <v>Weekday</v>
      </c>
      <c r="I8015" t="str">
        <f>_xlfn.IFS(B8015&lt;=5,"Night (0-5)",B8015&lt;=9,"Morning peak (6-9)",B8015&lt;=15,"Midday (10-15)",B8015&lt;=19,"Evening peak (16-19)",TRUE,"Late evening (20-23)")</f>
        <v>Morning peak (6-9)</v>
      </c>
    </row>
    <row r="8016" spans="1:9">
      <c r="A8016" s="32">
        <v>42156</v>
      </c>
      <c r="B8016">
        <v>9</v>
      </c>
      <c r="C8016">
        <v>4939</v>
      </c>
      <c r="D8016" t="s">
        <v>304</v>
      </c>
      <c r="E8016">
        <f>YEAR(A8016)</f>
        <v>2015</v>
      </c>
      <c r="F8016" s="33">
        <f>DATE(YEAR(A8016),MONTH(A8016),1)</f>
        <v>42156.0</v>
      </c>
      <c r="G8016" t="str">
        <f>CHOOSE(WEEKDAY(A8016,2),"Mon","Tue","Wed","Thu","Fri","Sat","Sun")</f>
        <v>Mon</v>
      </c>
      <c r="H8016" t="str">
        <f>IF(WEEKDAY(A8016,2)&gt;5,"Weekend","Weekday")</f>
        <v>Weekday</v>
      </c>
      <c r="I8016" t="str">
        <f>_xlfn.IFS(B8016&lt;=5,"Night (0-5)",B8016&lt;=9,"Morning peak (6-9)",B8016&lt;=15,"Midday (10-15)",B8016&lt;=19,"Evening peak (16-19)",TRUE,"Late evening (20-23)")</f>
        <v>Morning peak (6-9)</v>
      </c>
    </row>
    <row r="8017" spans="1:9">
      <c r="A8017" s="32">
        <v>42156</v>
      </c>
      <c r="B8017">
        <v>10</v>
      </c>
      <c r="C8017">
        <v>4338</v>
      </c>
      <c r="D8017" t="s">
        <v>304</v>
      </c>
      <c r="E8017">
        <f>YEAR(A8017)</f>
        <v>2015</v>
      </c>
      <c r="F8017" s="33">
        <f>DATE(YEAR(A8017),MONTH(A8017),1)</f>
        <v>42156.0</v>
      </c>
      <c r="G8017" t="str">
        <f>CHOOSE(WEEKDAY(A8017,2),"Mon","Tue","Wed","Thu","Fri","Sat","Sun")</f>
        <v>Mon</v>
      </c>
      <c r="H8017" t="str">
        <f>IF(WEEKDAY(A8017,2)&gt;5,"Weekend","Weekday")</f>
        <v>Weekday</v>
      </c>
      <c r="I8017" t="str">
        <f>_xlfn.IFS(B8017&lt;=5,"Night (0-5)",B8017&lt;=9,"Morning peak (6-9)",B8017&lt;=15,"Midday (10-15)",B8017&lt;=19,"Evening peak (16-19)",TRUE,"Late evening (20-23)")</f>
        <v>Midday (10-15)</v>
      </c>
    </row>
    <row r="8018" spans="1:9">
      <c r="A8018" s="32">
        <v>42156</v>
      </c>
      <c r="B8018">
        <v>11</v>
      </c>
      <c r="C8018">
        <v>5055</v>
      </c>
      <c r="D8018" t="s">
        <v>304</v>
      </c>
      <c r="E8018">
        <f>YEAR(A8018)</f>
        <v>2015</v>
      </c>
      <c r="F8018" s="33">
        <f>DATE(YEAR(A8018),MONTH(A8018),1)</f>
        <v>42156.0</v>
      </c>
      <c r="G8018" t="str">
        <f>CHOOSE(WEEKDAY(A8018,2),"Mon","Tue","Wed","Thu","Fri","Sat","Sun")</f>
        <v>Mon</v>
      </c>
      <c r="H8018" t="str">
        <f>IF(WEEKDAY(A8018,2)&gt;5,"Weekend","Weekday")</f>
        <v>Weekday</v>
      </c>
      <c r="I8018" t="str">
        <f>_xlfn.IFS(B8018&lt;=5,"Night (0-5)",B8018&lt;=9,"Morning peak (6-9)",B8018&lt;=15,"Midday (10-15)",B8018&lt;=19,"Evening peak (16-19)",TRUE,"Late evening (20-23)")</f>
        <v>Midday (10-15)</v>
      </c>
    </row>
    <row r="8019" spans="1:9">
      <c r="A8019" s="32">
        <v>42156</v>
      </c>
      <c r="B8019">
        <v>12</v>
      </c>
      <c r="C8019">
        <v>4542</v>
      </c>
      <c r="D8019" t="s">
        <v>304</v>
      </c>
      <c r="E8019">
        <f>YEAR(A8019)</f>
        <v>2015</v>
      </c>
      <c r="F8019" s="33">
        <f>DATE(YEAR(A8019),MONTH(A8019),1)</f>
        <v>42156.0</v>
      </c>
      <c r="G8019" t="str">
        <f>CHOOSE(WEEKDAY(A8019,2),"Mon","Tue","Wed","Thu","Fri","Sat","Sun")</f>
        <v>Mon</v>
      </c>
      <c r="H8019" t="str">
        <f>IF(WEEKDAY(A8019,2)&gt;5,"Weekend","Weekday")</f>
        <v>Weekday</v>
      </c>
      <c r="I8019" t="str">
        <f>_xlfn.IFS(B8019&lt;=5,"Night (0-5)",B8019&lt;=9,"Morning peak (6-9)",B8019&lt;=15,"Midday (10-15)",B8019&lt;=19,"Evening peak (16-19)",TRUE,"Late evening (20-23)")</f>
        <v>Midday (10-15)</v>
      </c>
    </row>
    <row r="8020" spans="1:9">
      <c r="A8020" s="32">
        <v>42156</v>
      </c>
      <c r="B8020">
        <v>13</v>
      </c>
      <c r="C8020">
        <v>3574</v>
      </c>
      <c r="D8020" t="s">
        <v>304</v>
      </c>
      <c r="E8020">
        <f>YEAR(A8020)</f>
        <v>2015</v>
      </c>
      <c r="F8020" s="33">
        <f>DATE(YEAR(A8020),MONTH(A8020),1)</f>
        <v>42156.0</v>
      </c>
      <c r="G8020" t="str">
        <f>CHOOSE(WEEKDAY(A8020,2),"Mon","Tue","Wed","Thu","Fri","Sat","Sun")</f>
        <v>Mon</v>
      </c>
      <c r="H8020" t="str">
        <f>IF(WEEKDAY(A8020,2)&gt;5,"Weekend","Weekday")</f>
        <v>Weekday</v>
      </c>
      <c r="I8020" t="str">
        <f>_xlfn.IFS(B8020&lt;=5,"Night (0-5)",B8020&lt;=9,"Morning peak (6-9)",B8020&lt;=15,"Midday (10-15)",B8020&lt;=19,"Evening peak (16-19)",TRUE,"Late evening (20-23)")</f>
        <v>Midday (10-15)</v>
      </c>
    </row>
    <row r="8021" spans="1:9">
      <c r="A8021" s="32">
        <v>42156</v>
      </c>
      <c r="B8021">
        <v>14</v>
      </c>
      <c r="C8021">
        <v>3772</v>
      </c>
      <c r="D8021" t="s">
        <v>304</v>
      </c>
      <c r="E8021">
        <f>YEAR(A8021)</f>
        <v>2015</v>
      </c>
      <c r="F8021" s="33">
        <f>DATE(YEAR(A8021),MONTH(A8021),1)</f>
        <v>42156.0</v>
      </c>
      <c r="G8021" t="str">
        <f>CHOOSE(WEEKDAY(A8021,2),"Mon","Tue","Wed","Thu","Fri","Sat","Sun")</f>
        <v>Mon</v>
      </c>
      <c r="H8021" t="str">
        <f>IF(WEEKDAY(A8021,2)&gt;5,"Weekend","Weekday")</f>
        <v>Weekday</v>
      </c>
      <c r="I8021" t="str">
        <f>_xlfn.IFS(B8021&lt;=5,"Night (0-5)",B8021&lt;=9,"Morning peak (6-9)",B8021&lt;=15,"Midday (10-15)",B8021&lt;=19,"Evening peak (16-19)",TRUE,"Late evening (20-23)")</f>
        <v>Midday (10-15)</v>
      </c>
    </row>
    <row r="8022" spans="1:9">
      <c r="A8022" s="32">
        <v>42156</v>
      </c>
      <c r="B8022">
        <v>15</v>
      </c>
      <c r="C8022">
        <v>4137</v>
      </c>
      <c r="D8022" t="s">
        <v>304</v>
      </c>
      <c r="E8022">
        <f>YEAR(A8022)</f>
        <v>2015</v>
      </c>
      <c r="F8022" s="33">
        <f>DATE(YEAR(A8022),MONTH(A8022),1)</f>
        <v>42156.0</v>
      </c>
      <c r="G8022" t="str">
        <f>CHOOSE(WEEKDAY(A8022,2),"Mon","Tue","Wed","Thu","Fri","Sat","Sun")</f>
        <v>Mon</v>
      </c>
      <c r="H8022" t="str">
        <f>IF(WEEKDAY(A8022,2)&gt;5,"Weekend","Weekday")</f>
        <v>Weekday</v>
      </c>
      <c r="I8022" t="str">
        <f>_xlfn.IFS(B8022&lt;=5,"Night (0-5)",B8022&lt;=9,"Morning peak (6-9)",B8022&lt;=15,"Midday (10-15)",B8022&lt;=19,"Evening peak (16-19)",TRUE,"Late evening (20-23)")</f>
        <v>Midday (10-15)</v>
      </c>
    </row>
    <row r="8023" spans="1:9">
      <c r="A8023" s="32">
        <v>42156</v>
      </c>
      <c r="B8023">
        <v>16</v>
      </c>
      <c r="C8023">
        <v>4352</v>
      </c>
      <c r="D8023" t="s">
        <v>304</v>
      </c>
      <c r="E8023">
        <f>YEAR(A8023)</f>
        <v>2015</v>
      </c>
      <c r="F8023" s="33">
        <f>DATE(YEAR(A8023),MONTH(A8023),1)</f>
        <v>42156.0</v>
      </c>
      <c r="G8023" t="str">
        <f>CHOOSE(WEEKDAY(A8023,2),"Mon","Tue","Wed","Thu","Fri","Sat","Sun")</f>
        <v>Mon</v>
      </c>
      <c r="H8023" t="str">
        <f>IF(WEEKDAY(A8023,2)&gt;5,"Weekend","Weekday")</f>
        <v>Weekday</v>
      </c>
      <c r="I8023" t="str">
        <f>_xlfn.IFS(B8023&lt;=5,"Night (0-5)",B8023&lt;=9,"Morning peak (6-9)",B8023&lt;=15,"Midday (10-15)",B8023&lt;=19,"Evening peak (16-19)",TRUE,"Late evening (20-23)")</f>
        <v>Evening peak (16-19)</v>
      </c>
    </row>
    <row r="8024" spans="1:9">
      <c r="A8024" s="32">
        <v>42156</v>
      </c>
      <c r="B8024">
        <v>17</v>
      </c>
      <c r="C8024">
        <v>5307</v>
      </c>
      <c r="D8024" t="s">
        <v>304</v>
      </c>
      <c r="E8024">
        <f>YEAR(A8024)</f>
        <v>2015</v>
      </c>
      <c r="F8024" s="33">
        <f>DATE(YEAR(A8024),MONTH(A8024),1)</f>
        <v>42156.0</v>
      </c>
      <c r="G8024" t="str">
        <f>CHOOSE(WEEKDAY(A8024,2),"Mon","Tue","Wed","Thu","Fri","Sat","Sun")</f>
        <v>Mon</v>
      </c>
      <c r="H8024" t="str">
        <f>IF(WEEKDAY(A8024,2)&gt;5,"Weekend","Weekday")</f>
        <v>Weekday</v>
      </c>
      <c r="I8024" t="str">
        <f>_xlfn.IFS(B8024&lt;=5,"Night (0-5)",B8024&lt;=9,"Morning peak (6-9)",B8024&lt;=15,"Midday (10-15)",B8024&lt;=19,"Evening peak (16-19)",TRUE,"Late evening (20-23)")</f>
        <v>Evening peak (16-19)</v>
      </c>
    </row>
    <row r="8025" spans="1:9">
      <c r="A8025" s="32">
        <v>42156</v>
      </c>
      <c r="B8025">
        <v>18</v>
      </c>
      <c r="C8025">
        <v>6354</v>
      </c>
      <c r="D8025" t="s">
        <v>304</v>
      </c>
      <c r="E8025">
        <f>YEAR(A8025)</f>
        <v>2015</v>
      </c>
      <c r="F8025" s="33">
        <f>DATE(YEAR(A8025),MONTH(A8025),1)</f>
        <v>42156.0</v>
      </c>
      <c r="G8025" t="str">
        <f>CHOOSE(WEEKDAY(A8025,2),"Mon","Tue","Wed","Thu","Fri","Sat","Sun")</f>
        <v>Mon</v>
      </c>
      <c r="H8025" t="str">
        <f>IF(WEEKDAY(A8025,2)&gt;5,"Weekend","Weekday")</f>
        <v>Weekday</v>
      </c>
      <c r="I8025" t="str">
        <f>_xlfn.IFS(B8025&lt;=5,"Night (0-5)",B8025&lt;=9,"Morning peak (6-9)",B8025&lt;=15,"Midday (10-15)",B8025&lt;=19,"Evening peak (16-19)",TRUE,"Late evening (20-23)")</f>
        <v>Evening peak (16-19)</v>
      </c>
    </row>
    <row r="8026" spans="1:9">
      <c r="A8026" s="32">
        <v>42156</v>
      </c>
      <c r="B8026">
        <v>19</v>
      </c>
      <c r="C8026">
        <v>6808</v>
      </c>
      <c r="D8026" t="s">
        <v>304</v>
      </c>
      <c r="E8026">
        <f>YEAR(A8026)</f>
        <v>2015</v>
      </c>
      <c r="F8026" s="33">
        <f>DATE(YEAR(A8026),MONTH(A8026),1)</f>
        <v>42156.0</v>
      </c>
      <c r="G8026" t="str">
        <f>CHOOSE(WEEKDAY(A8026,2),"Mon","Tue","Wed","Thu","Fri","Sat","Sun")</f>
        <v>Mon</v>
      </c>
      <c r="H8026" t="str">
        <f>IF(WEEKDAY(A8026,2)&gt;5,"Weekend","Weekday")</f>
        <v>Weekday</v>
      </c>
      <c r="I8026" t="str">
        <f>_xlfn.IFS(B8026&lt;=5,"Night (0-5)",B8026&lt;=9,"Morning peak (6-9)",B8026&lt;=15,"Midday (10-15)",B8026&lt;=19,"Evening peak (16-19)",TRUE,"Late evening (20-23)")</f>
        <v>Evening peak (16-19)</v>
      </c>
    </row>
    <row r="8027" spans="1:9">
      <c r="A8027" s="32">
        <v>42156</v>
      </c>
      <c r="B8027">
        <v>20</v>
      </c>
      <c r="C8027">
        <v>6028</v>
      </c>
      <c r="D8027" t="s">
        <v>304</v>
      </c>
      <c r="E8027">
        <f>YEAR(A8027)</f>
        <v>2015</v>
      </c>
      <c r="F8027" s="33">
        <f>DATE(YEAR(A8027),MONTH(A8027),1)</f>
        <v>42156.0</v>
      </c>
      <c r="G8027" t="str">
        <f>CHOOSE(WEEKDAY(A8027,2),"Mon","Tue","Wed","Thu","Fri","Sat","Sun")</f>
        <v>Mon</v>
      </c>
      <c r="H8027" t="str">
        <f>IF(WEEKDAY(A8027,2)&gt;5,"Weekend","Weekday")</f>
        <v>Weekday</v>
      </c>
      <c r="I8027" t="str">
        <f>_xlfn.IFS(B8027&lt;=5,"Night (0-5)",B8027&lt;=9,"Morning peak (6-9)",B8027&lt;=15,"Midday (10-15)",B8027&lt;=19,"Evening peak (16-19)",TRUE,"Late evening (20-23)")</f>
        <v>Late evening (20-23)</v>
      </c>
    </row>
    <row r="8028" spans="1:9">
      <c r="A8028" s="32">
        <v>42156</v>
      </c>
      <c r="B8028">
        <v>21</v>
      </c>
      <c r="C8028">
        <v>6173</v>
      </c>
      <c r="D8028" t="s">
        <v>304</v>
      </c>
      <c r="E8028">
        <f>YEAR(A8028)</f>
        <v>2015</v>
      </c>
      <c r="F8028" s="33">
        <f>DATE(YEAR(A8028),MONTH(A8028),1)</f>
        <v>42156.0</v>
      </c>
      <c r="G8028" t="str">
        <f>CHOOSE(WEEKDAY(A8028,2),"Mon","Tue","Wed","Thu","Fri","Sat","Sun")</f>
        <v>Mon</v>
      </c>
      <c r="H8028" t="str">
        <f>IF(WEEKDAY(A8028,2)&gt;5,"Weekend","Weekday")</f>
        <v>Weekday</v>
      </c>
      <c r="I8028" t="str">
        <f>_xlfn.IFS(B8028&lt;=5,"Night (0-5)",B8028&lt;=9,"Morning peak (6-9)",B8028&lt;=15,"Midday (10-15)",B8028&lt;=19,"Evening peak (16-19)",TRUE,"Late evening (20-23)")</f>
        <v>Late evening (20-23)</v>
      </c>
    </row>
    <row r="8029" spans="1:9">
      <c r="A8029" s="32">
        <v>42156</v>
      </c>
      <c r="B8029">
        <v>22</v>
      </c>
      <c r="C8029">
        <v>5564</v>
      </c>
      <c r="D8029" t="s">
        <v>304</v>
      </c>
      <c r="E8029">
        <f>YEAR(A8029)</f>
        <v>2015</v>
      </c>
      <c r="F8029" s="33">
        <f>DATE(YEAR(A8029),MONTH(A8029),1)</f>
        <v>42156.0</v>
      </c>
      <c r="G8029" t="str">
        <f>CHOOSE(WEEKDAY(A8029,2),"Mon","Tue","Wed","Thu","Fri","Sat","Sun")</f>
        <v>Mon</v>
      </c>
      <c r="H8029" t="str">
        <f>IF(WEEKDAY(A8029,2)&gt;5,"Weekend","Weekday")</f>
        <v>Weekday</v>
      </c>
      <c r="I8029" t="str">
        <f>_xlfn.IFS(B8029&lt;=5,"Night (0-5)",B8029&lt;=9,"Morning peak (6-9)",B8029&lt;=15,"Midday (10-15)",B8029&lt;=19,"Evening peak (16-19)",TRUE,"Late evening (20-23)")</f>
        <v>Late evening (20-23)</v>
      </c>
    </row>
    <row r="8030" spans="1:9">
      <c r="A8030" s="32">
        <v>42156</v>
      </c>
      <c r="B8030">
        <v>23</v>
      </c>
      <c r="C8030">
        <v>4074</v>
      </c>
      <c r="D8030" t="s">
        <v>304</v>
      </c>
      <c r="E8030">
        <f>YEAR(A8030)</f>
        <v>2015</v>
      </c>
      <c r="F8030" s="33">
        <f>DATE(YEAR(A8030),MONTH(A8030),1)</f>
        <v>42156.0</v>
      </c>
      <c r="G8030" t="str">
        <f>CHOOSE(WEEKDAY(A8030,2),"Mon","Tue","Wed","Thu","Fri","Sat","Sun")</f>
        <v>Mon</v>
      </c>
      <c r="H8030" t="str">
        <f>IF(WEEKDAY(A8030,2)&gt;5,"Weekend","Weekday")</f>
        <v>Weekday</v>
      </c>
      <c r="I8030" t="str">
        <f>_xlfn.IFS(B8030&lt;=5,"Night (0-5)",B8030&lt;=9,"Morning peak (6-9)",B8030&lt;=15,"Midday (10-15)",B8030&lt;=19,"Evening peak (16-19)",TRUE,"Late evening (20-23)")</f>
        <v>Late evening (20-23)</v>
      </c>
    </row>
    <row r="8031" spans="1:9">
      <c r="A8031" s="32">
        <v>42157</v>
      </c>
      <c r="B8031">
        <v>0</v>
      </c>
      <c r="C8031">
        <v>2461</v>
      </c>
      <c r="D8031" t="s">
        <v>304</v>
      </c>
      <c r="E8031">
        <f>YEAR(A8031)</f>
        <v>2015</v>
      </c>
      <c r="F8031" s="33">
        <f>DATE(YEAR(A8031),MONTH(A8031),1)</f>
        <v>42156.0</v>
      </c>
      <c r="G8031" t="str">
        <f>CHOOSE(WEEKDAY(A8031,2),"Mon","Tue","Wed","Thu","Fri","Sat","Sun")</f>
        <v>Tue</v>
      </c>
      <c r="H8031" t="str">
        <f>IF(WEEKDAY(A8031,2)&gt;5,"Weekend","Weekday")</f>
        <v>Weekday</v>
      </c>
      <c r="I8031" t="str">
        <f>_xlfn.IFS(B8031&lt;=5,"Night (0-5)",B8031&lt;=9,"Morning peak (6-9)",B8031&lt;=15,"Midday (10-15)",B8031&lt;=19,"Evening peak (16-19)",TRUE,"Late evening (20-23)")</f>
        <v>Night (0-5)</v>
      </c>
    </row>
    <row r="8032" spans="1:9">
      <c r="A8032" s="32">
        <v>42157</v>
      </c>
      <c r="B8032">
        <v>1</v>
      </c>
      <c r="C8032">
        <v>1497</v>
      </c>
      <c r="D8032" t="s">
        <v>304</v>
      </c>
      <c r="E8032">
        <f>YEAR(A8032)</f>
        <v>2015</v>
      </c>
      <c r="F8032" s="33">
        <f>DATE(YEAR(A8032),MONTH(A8032),1)</f>
        <v>42156.0</v>
      </c>
      <c r="G8032" t="str">
        <f>CHOOSE(WEEKDAY(A8032,2),"Mon","Tue","Wed","Thu","Fri","Sat","Sun")</f>
        <v>Tue</v>
      </c>
      <c r="H8032" t="str">
        <f>IF(WEEKDAY(A8032,2)&gt;5,"Weekend","Weekday")</f>
        <v>Weekday</v>
      </c>
      <c r="I8032" t="str">
        <f>_xlfn.IFS(B8032&lt;=5,"Night (0-5)",B8032&lt;=9,"Morning peak (6-9)",B8032&lt;=15,"Midday (10-15)",B8032&lt;=19,"Evening peak (16-19)",TRUE,"Late evening (20-23)")</f>
        <v>Night (0-5)</v>
      </c>
    </row>
    <row r="8033" spans="1:9">
      <c r="A8033" s="32">
        <v>42157</v>
      </c>
      <c r="B8033">
        <v>2</v>
      </c>
      <c r="C8033">
        <v>833</v>
      </c>
      <c r="D8033" t="s">
        <v>304</v>
      </c>
      <c r="E8033">
        <f>YEAR(A8033)</f>
        <v>2015</v>
      </c>
      <c r="F8033" s="33">
        <f>DATE(YEAR(A8033),MONTH(A8033),1)</f>
        <v>42156.0</v>
      </c>
      <c r="G8033" t="str">
        <f>CHOOSE(WEEKDAY(A8033,2),"Mon","Tue","Wed","Thu","Fri","Sat","Sun")</f>
        <v>Tue</v>
      </c>
      <c r="H8033" t="str">
        <f>IF(WEEKDAY(A8033,2)&gt;5,"Weekend","Weekday")</f>
        <v>Weekday</v>
      </c>
      <c r="I8033" t="str">
        <f>_xlfn.IFS(B8033&lt;=5,"Night (0-5)",B8033&lt;=9,"Morning peak (6-9)",B8033&lt;=15,"Midday (10-15)",B8033&lt;=19,"Evening peak (16-19)",TRUE,"Late evening (20-23)")</f>
        <v>Night (0-5)</v>
      </c>
    </row>
    <row r="8034" spans="1:9">
      <c r="A8034" s="32">
        <v>42157</v>
      </c>
      <c r="B8034">
        <v>3</v>
      </c>
      <c r="C8034">
        <v>515</v>
      </c>
      <c r="D8034" t="s">
        <v>304</v>
      </c>
      <c r="E8034">
        <f>YEAR(A8034)</f>
        <v>2015</v>
      </c>
      <c r="F8034" s="33">
        <f>DATE(YEAR(A8034),MONTH(A8034),1)</f>
        <v>42156.0</v>
      </c>
      <c r="G8034" t="str">
        <f>CHOOSE(WEEKDAY(A8034,2),"Mon","Tue","Wed","Thu","Fri","Sat","Sun")</f>
        <v>Tue</v>
      </c>
      <c r="H8034" t="str">
        <f>IF(WEEKDAY(A8034,2)&gt;5,"Weekend","Weekday")</f>
        <v>Weekday</v>
      </c>
      <c r="I8034" t="str">
        <f>_xlfn.IFS(B8034&lt;=5,"Night (0-5)",B8034&lt;=9,"Morning peak (6-9)",B8034&lt;=15,"Midday (10-15)",B8034&lt;=19,"Evening peak (16-19)",TRUE,"Late evening (20-23)")</f>
        <v>Night (0-5)</v>
      </c>
    </row>
    <row r="8035" spans="1:9">
      <c r="A8035" s="32">
        <v>42157</v>
      </c>
      <c r="B8035">
        <v>4</v>
      </c>
      <c r="C8035">
        <v>763</v>
      </c>
      <c r="D8035" t="s">
        <v>304</v>
      </c>
      <c r="E8035">
        <f>YEAR(A8035)</f>
        <v>2015</v>
      </c>
      <c r="F8035" s="33">
        <f>DATE(YEAR(A8035),MONTH(A8035),1)</f>
        <v>42156.0</v>
      </c>
      <c r="G8035" t="str">
        <f>CHOOSE(WEEKDAY(A8035,2),"Mon","Tue","Wed","Thu","Fri","Sat","Sun")</f>
        <v>Tue</v>
      </c>
      <c r="H8035" t="str">
        <f>IF(WEEKDAY(A8035,2)&gt;5,"Weekend","Weekday")</f>
        <v>Weekday</v>
      </c>
      <c r="I8035" t="str">
        <f>_xlfn.IFS(B8035&lt;=5,"Night (0-5)",B8035&lt;=9,"Morning peak (6-9)",B8035&lt;=15,"Midday (10-15)",B8035&lt;=19,"Evening peak (16-19)",TRUE,"Late evening (20-23)")</f>
        <v>Night (0-5)</v>
      </c>
    </row>
    <row r="8036" spans="1:9">
      <c r="A8036" s="32">
        <v>42157</v>
      </c>
      <c r="B8036">
        <v>5</v>
      </c>
      <c r="C8036">
        <v>1238</v>
      </c>
      <c r="D8036" t="s">
        <v>304</v>
      </c>
      <c r="E8036">
        <f>YEAR(A8036)</f>
        <v>2015</v>
      </c>
      <c r="F8036" s="33">
        <f>DATE(YEAR(A8036),MONTH(A8036),1)</f>
        <v>42156.0</v>
      </c>
      <c r="G8036" t="str">
        <f>CHOOSE(WEEKDAY(A8036,2),"Mon","Tue","Wed","Thu","Fri","Sat","Sun")</f>
        <v>Tue</v>
      </c>
      <c r="H8036" t="str">
        <f>IF(WEEKDAY(A8036,2)&gt;5,"Weekend","Weekday")</f>
        <v>Weekday</v>
      </c>
      <c r="I8036" t="str">
        <f>_xlfn.IFS(B8036&lt;=5,"Night (0-5)",B8036&lt;=9,"Morning peak (6-9)",B8036&lt;=15,"Midday (10-15)",B8036&lt;=19,"Evening peak (16-19)",TRUE,"Late evening (20-23)")</f>
        <v>Night (0-5)</v>
      </c>
    </row>
    <row r="8037" spans="1:9">
      <c r="A8037" s="32">
        <v>42157</v>
      </c>
      <c r="B8037">
        <v>6</v>
      </c>
      <c r="C8037">
        <v>2133</v>
      </c>
      <c r="D8037" t="s">
        <v>304</v>
      </c>
      <c r="E8037">
        <f>YEAR(A8037)</f>
        <v>2015</v>
      </c>
      <c r="F8037" s="33">
        <f>DATE(YEAR(A8037),MONTH(A8037),1)</f>
        <v>42156.0</v>
      </c>
      <c r="G8037" t="str">
        <f>CHOOSE(WEEKDAY(A8037,2),"Mon","Tue","Wed","Thu","Fri","Sat","Sun")</f>
        <v>Tue</v>
      </c>
      <c r="H8037" t="str">
        <f>IF(WEEKDAY(A8037,2)&gt;5,"Weekend","Weekday")</f>
        <v>Weekday</v>
      </c>
      <c r="I8037" t="str">
        <f>_xlfn.IFS(B8037&lt;=5,"Night (0-5)",B8037&lt;=9,"Morning peak (6-9)",B8037&lt;=15,"Midday (10-15)",B8037&lt;=19,"Evening peak (16-19)",TRUE,"Late evening (20-23)")</f>
        <v>Morning peak (6-9)</v>
      </c>
    </row>
    <row r="8038" spans="1:9">
      <c r="A8038" s="32">
        <v>42157</v>
      </c>
      <c r="B8038">
        <v>7</v>
      </c>
      <c r="C8038">
        <v>3769</v>
      </c>
      <c r="D8038" t="s">
        <v>304</v>
      </c>
      <c r="E8038">
        <f>YEAR(A8038)</f>
        <v>2015</v>
      </c>
      <c r="F8038" s="33">
        <f>DATE(YEAR(A8038),MONTH(A8038),1)</f>
        <v>42156.0</v>
      </c>
      <c r="G8038" t="str">
        <f>CHOOSE(WEEKDAY(A8038,2),"Mon","Tue","Wed","Thu","Fri","Sat","Sun")</f>
        <v>Tue</v>
      </c>
      <c r="H8038" t="str">
        <f>IF(WEEKDAY(A8038,2)&gt;5,"Weekend","Weekday")</f>
        <v>Weekday</v>
      </c>
      <c r="I8038" t="str">
        <f>_xlfn.IFS(B8038&lt;=5,"Night (0-5)",B8038&lt;=9,"Morning peak (6-9)",B8038&lt;=15,"Midday (10-15)",B8038&lt;=19,"Evening peak (16-19)",TRUE,"Late evening (20-23)")</f>
        <v>Morning peak (6-9)</v>
      </c>
    </row>
    <row r="8039" spans="1:9">
      <c r="A8039" s="32">
        <v>42157</v>
      </c>
      <c r="B8039">
        <v>8</v>
      </c>
      <c r="C8039">
        <v>5226</v>
      </c>
      <c r="D8039" t="s">
        <v>304</v>
      </c>
      <c r="E8039">
        <f>YEAR(A8039)</f>
        <v>2015</v>
      </c>
      <c r="F8039" s="33">
        <f>DATE(YEAR(A8039),MONTH(A8039),1)</f>
        <v>42156.0</v>
      </c>
      <c r="G8039" t="str">
        <f>CHOOSE(WEEKDAY(A8039,2),"Mon","Tue","Wed","Thu","Fri","Sat","Sun")</f>
        <v>Tue</v>
      </c>
      <c r="H8039" t="str">
        <f>IF(WEEKDAY(A8039,2)&gt;5,"Weekend","Weekday")</f>
        <v>Weekday</v>
      </c>
      <c r="I8039" t="str">
        <f>_xlfn.IFS(B8039&lt;=5,"Night (0-5)",B8039&lt;=9,"Morning peak (6-9)",B8039&lt;=15,"Midday (10-15)",B8039&lt;=19,"Evening peak (16-19)",TRUE,"Late evening (20-23)")</f>
        <v>Morning peak (6-9)</v>
      </c>
    </row>
    <row r="8040" spans="1:9">
      <c r="A8040" s="32">
        <v>42157</v>
      </c>
      <c r="B8040">
        <v>9</v>
      </c>
      <c r="C8040">
        <v>5053</v>
      </c>
      <c r="D8040" t="s">
        <v>304</v>
      </c>
      <c r="E8040">
        <f>YEAR(A8040)</f>
        <v>2015</v>
      </c>
      <c r="F8040" s="33">
        <f>DATE(YEAR(A8040),MONTH(A8040),1)</f>
        <v>42156.0</v>
      </c>
      <c r="G8040" t="str">
        <f>CHOOSE(WEEKDAY(A8040,2),"Mon","Tue","Wed","Thu","Fri","Sat","Sun")</f>
        <v>Tue</v>
      </c>
      <c r="H8040" t="str">
        <f>IF(WEEKDAY(A8040,2)&gt;5,"Weekend","Weekday")</f>
        <v>Weekday</v>
      </c>
      <c r="I8040" t="str">
        <f>_xlfn.IFS(B8040&lt;=5,"Night (0-5)",B8040&lt;=9,"Morning peak (6-9)",B8040&lt;=15,"Midday (10-15)",B8040&lt;=19,"Evening peak (16-19)",TRUE,"Late evening (20-23)")</f>
        <v>Morning peak (6-9)</v>
      </c>
    </row>
    <row r="8041" spans="1:9">
      <c r="A8041" s="32">
        <v>42157</v>
      </c>
      <c r="B8041">
        <v>10</v>
      </c>
      <c r="C8041">
        <v>3900</v>
      </c>
      <c r="D8041" t="s">
        <v>304</v>
      </c>
      <c r="E8041">
        <f>YEAR(A8041)</f>
        <v>2015</v>
      </c>
      <c r="F8041" s="33">
        <f>DATE(YEAR(A8041),MONTH(A8041),1)</f>
        <v>42156.0</v>
      </c>
      <c r="G8041" t="str">
        <f>CHOOSE(WEEKDAY(A8041,2),"Mon","Tue","Wed","Thu","Fri","Sat","Sun")</f>
        <v>Tue</v>
      </c>
      <c r="H8041" t="str">
        <f>IF(WEEKDAY(A8041,2)&gt;5,"Weekend","Weekday")</f>
        <v>Weekday</v>
      </c>
      <c r="I8041" t="str">
        <f>_xlfn.IFS(B8041&lt;=5,"Night (0-5)",B8041&lt;=9,"Morning peak (6-9)",B8041&lt;=15,"Midday (10-15)",B8041&lt;=19,"Evening peak (16-19)",TRUE,"Late evening (20-23)")</f>
        <v>Midday (10-15)</v>
      </c>
    </row>
    <row r="8042" spans="1:9">
      <c r="A8042" s="32">
        <v>42157</v>
      </c>
      <c r="B8042">
        <v>11</v>
      </c>
      <c r="C8042">
        <v>3328</v>
      </c>
      <c r="D8042" t="s">
        <v>304</v>
      </c>
      <c r="E8042">
        <f>YEAR(A8042)</f>
        <v>2015</v>
      </c>
      <c r="F8042" s="33">
        <f>DATE(YEAR(A8042),MONTH(A8042),1)</f>
        <v>42156.0</v>
      </c>
      <c r="G8042" t="str">
        <f>CHOOSE(WEEKDAY(A8042,2),"Mon","Tue","Wed","Thu","Fri","Sat","Sun")</f>
        <v>Tue</v>
      </c>
      <c r="H8042" t="str">
        <f>IF(WEEKDAY(A8042,2)&gt;5,"Weekend","Weekday")</f>
        <v>Weekday</v>
      </c>
      <c r="I8042" t="str">
        <f>_xlfn.IFS(B8042&lt;=5,"Night (0-5)",B8042&lt;=9,"Morning peak (6-9)",B8042&lt;=15,"Midday (10-15)",B8042&lt;=19,"Evening peak (16-19)",TRUE,"Late evening (20-23)")</f>
        <v>Midday (10-15)</v>
      </c>
    </row>
    <row r="8043" spans="1:9">
      <c r="A8043" s="32">
        <v>42157</v>
      </c>
      <c r="B8043">
        <v>12</v>
      </c>
      <c r="C8043">
        <v>3232</v>
      </c>
      <c r="D8043" t="s">
        <v>304</v>
      </c>
      <c r="E8043">
        <f>YEAR(A8043)</f>
        <v>2015</v>
      </c>
      <c r="F8043" s="33">
        <f>DATE(YEAR(A8043),MONTH(A8043),1)</f>
        <v>42156.0</v>
      </c>
      <c r="G8043" t="str">
        <f>CHOOSE(WEEKDAY(A8043,2),"Mon","Tue","Wed","Thu","Fri","Sat","Sun")</f>
        <v>Tue</v>
      </c>
      <c r="H8043" t="str">
        <f>IF(WEEKDAY(A8043,2)&gt;5,"Weekend","Weekday")</f>
        <v>Weekday</v>
      </c>
      <c r="I8043" t="str">
        <f>_xlfn.IFS(B8043&lt;=5,"Night (0-5)",B8043&lt;=9,"Morning peak (6-9)",B8043&lt;=15,"Midday (10-15)",B8043&lt;=19,"Evening peak (16-19)",TRUE,"Late evening (20-23)")</f>
        <v>Midday (10-15)</v>
      </c>
    </row>
    <row r="8044" spans="1:9">
      <c r="A8044" s="32">
        <v>42157</v>
      </c>
      <c r="B8044">
        <v>13</v>
      </c>
      <c r="C8044">
        <v>3452</v>
      </c>
      <c r="D8044" t="s">
        <v>304</v>
      </c>
      <c r="E8044">
        <f>YEAR(A8044)</f>
        <v>2015</v>
      </c>
      <c r="F8044" s="33">
        <f>DATE(YEAR(A8044),MONTH(A8044),1)</f>
        <v>42156.0</v>
      </c>
      <c r="G8044" t="str">
        <f>CHOOSE(WEEKDAY(A8044,2),"Mon","Tue","Wed","Thu","Fri","Sat","Sun")</f>
        <v>Tue</v>
      </c>
      <c r="H8044" t="str">
        <f>IF(WEEKDAY(A8044,2)&gt;5,"Weekend","Weekday")</f>
        <v>Weekday</v>
      </c>
      <c r="I8044" t="str">
        <f>_xlfn.IFS(B8044&lt;=5,"Night (0-5)",B8044&lt;=9,"Morning peak (6-9)",B8044&lt;=15,"Midday (10-15)",B8044&lt;=19,"Evening peak (16-19)",TRUE,"Late evening (20-23)")</f>
        <v>Midday (10-15)</v>
      </c>
    </row>
    <row r="8045" spans="1:9">
      <c r="A8045" s="32">
        <v>42157</v>
      </c>
      <c r="B8045">
        <v>14</v>
      </c>
      <c r="C8045">
        <v>3915</v>
      </c>
      <c r="D8045" t="s">
        <v>304</v>
      </c>
      <c r="E8045">
        <f>YEAR(A8045)</f>
        <v>2015</v>
      </c>
      <c r="F8045" s="33">
        <f>DATE(YEAR(A8045),MONTH(A8045),1)</f>
        <v>42156.0</v>
      </c>
      <c r="G8045" t="str">
        <f>CHOOSE(WEEKDAY(A8045,2),"Mon","Tue","Wed","Thu","Fri","Sat","Sun")</f>
        <v>Tue</v>
      </c>
      <c r="H8045" t="str">
        <f>IF(WEEKDAY(A8045,2)&gt;5,"Weekend","Weekday")</f>
        <v>Weekday</v>
      </c>
      <c r="I8045" t="str">
        <f>_xlfn.IFS(B8045&lt;=5,"Night (0-5)",B8045&lt;=9,"Morning peak (6-9)",B8045&lt;=15,"Midday (10-15)",B8045&lt;=19,"Evening peak (16-19)",TRUE,"Late evening (20-23)")</f>
        <v>Midday (10-15)</v>
      </c>
    </row>
    <row r="8046" spans="1:9">
      <c r="A8046" s="32">
        <v>42157</v>
      </c>
      <c r="B8046">
        <v>15</v>
      </c>
      <c r="C8046">
        <v>5083</v>
      </c>
      <c r="D8046" t="s">
        <v>304</v>
      </c>
      <c r="E8046">
        <f>YEAR(A8046)</f>
        <v>2015</v>
      </c>
      <c r="F8046" s="33">
        <f>DATE(YEAR(A8046),MONTH(A8046),1)</f>
        <v>42156.0</v>
      </c>
      <c r="G8046" t="str">
        <f>CHOOSE(WEEKDAY(A8046,2),"Mon","Tue","Wed","Thu","Fri","Sat","Sun")</f>
        <v>Tue</v>
      </c>
      <c r="H8046" t="str">
        <f>IF(WEEKDAY(A8046,2)&gt;5,"Weekend","Weekday")</f>
        <v>Weekday</v>
      </c>
      <c r="I8046" t="str">
        <f>_xlfn.IFS(B8046&lt;=5,"Night (0-5)",B8046&lt;=9,"Morning peak (6-9)",B8046&lt;=15,"Midday (10-15)",B8046&lt;=19,"Evening peak (16-19)",TRUE,"Late evening (20-23)")</f>
        <v>Midday (10-15)</v>
      </c>
    </row>
    <row r="8047" spans="1:9">
      <c r="A8047" s="32">
        <v>42157</v>
      </c>
      <c r="B8047">
        <v>16</v>
      </c>
      <c r="C8047">
        <v>5274</v>
      </c>
      <c r="D8047" t="s">
        <v>304</v>
      </c>
      <c r="E8047">
        <f>YEAR(A8047)</f>
        <v>2015</v>
      </c>
      <c r="F8047" s="33">
        <f>DATE(YEAR(A8047),MONTH(A8047),1)</f>
        <v>42156.0</v>
      </c>
      <c r="G8047" t="str">
        <f>CHOOSE(WEEKDAY(A8047,2),"Mon","Tue","Wed","Thu","Fri","Sat","Sun")</f>
        <v>Tue</v>
      </c>
      <c r="H8047" t="str">
        <f>IF(WEEKDAY(A8047,2)&gt;5,"Weekend","Weekday")</f>
        <v>Weekday</v>
      </c>
      <c r="I8047" t="str">
        <f>_xlfn.IFS(B8047&lt;=5,"Night (0-5)",B8047&lt;=9,"Morning peak (6-9)",B8047&lt;=15,"Midday (10-15)",B8047&lt;=19,"Evening peak (16-19)",TRUE,"Late evening (20-23)")</f>
        <v>Evening peak (16-19)</v>
      </c>
    </row>
    <row r="8048" spans="1:9">
      <c r="A8048" s="32">
        <v>42157</v>
      </c>
      <c r="B8048">
        <v>17</v>
      </c>
      <c r="C8048">
        <v>6186</v>
      </c>
      <c r="D8048" t="s">
        <v>304</v>
      </c>
      <c r="E8048">
        <f>YEAR(A8048)</f>
        <v>2015</v>
      </c>
      <c r="F8048" s="33">
        <f>DATE(YEAR(A8048),MONTH(A8048),1)</f>
        <v>42156.0</v>
      </c>
      <c r="G8048" t="str">
        <f>CHOOSE(WEEKDAY(A8048,2),"Mon","Tue","Wed","Thu","Fri","Sat","Sun")</f>
        <v>Tue</v>
      </c>
      <c r="H8048" t="str">
        <f>IF(WEEKDAY(A8048,2)&gt;5,"Weekend","Weekday")</f>
        <v>Weekday</v>
      </c>
      <c r="I8048" t="str">
        <f>_xlfn.IFS(B8048&lt;=5,"Night (0-5)",B8048&lt;=9,"Morning peak (6-9)",B8048&lt;=15,"Midday (10-15)",B8048&lt;=19,"Evening peak (16-19)",TRUE,"Late evening (20-23)")</f>
        <v>Evening peak (16-19)</v>
      </c>
    </row>
    <row r="8049" spans="1:9">
      <c r="A8049" s="32">
        <v>42157</v>
      </c>
      <c r="B8049">
        <v>18</v>
      </c>
      <c r="C8049">
        <v>7351</v>
      </c>
      <c r="D8049" t="s">
        <v>304</v>
      </c>
      <c r="E8049">
        <f>YEAR(A8049)</f>
        <v>2015</v>
      </c>
      <c r="F8049" s="33">
        <f>DATE(YEAR(A8049),MONTH(A8049),1)</f>
        <v>42156.0</v>
      </c>
      <c r="G8049" t="str">
        <f>CHOOSE(WEEKDAY(A8049,2),"Mon","Tue","Wed","Thu","Fri","Sat","Sun")</f>
        <v>Tue</v>
      </c>
      <c r="H8049" t="str">
        <f>IF(WEEKDAY(A8049,2)&gt;5,"Weekend","Weekday")</f>
        <v>Weekday</v>
      </c>
      <c r="I8049" t="str">
        <f>_xlfn.IFS(B8049&lt;=5,"Night (0-5)",B8049&lt;=9,"Morning peak (6-9)",B8049&lt;=15,"Midday (10-15)",B8049&lt;=19,"Evening peak (16-19)",TRUE,"Late evening (20-23)")</f>
        <v>Evening peak (16-19)</v>
      </c>
    </row>
    <row r="8050" spans="1:9">
      <c r="A8050" s="32">
        <v>42157</v>
      </c>
      <c r="B8050">
        <v>19</v>
      </c>
      <c r="C8050">
        <v>7556</v>
      </c>
      <c r="D8050" t="s">
        <v>304</v>
      </c>
      <c r="E8050">
        <f>YEAR(A8050)</f>
        <v>2015</v>
      </c>
      <c r="F8050" s="33">
        <f>DATE(YEAR(A8050),MONTH(A8050),1)</f>
        <v>42156.0</v>
      </c>
      <c r="G8050" t="str">
        <f>CHOOSE(WEEKDAY(A8050,2),"Mon","Tue","Wed","Thu","Fri","Sat","Sun")</f>
        <v>Tue</v>
      </c>
      <c r="H8050" t="str">
        <f>IF(WEEKDAY(A8050,2)&gt;5,"Weekend","Weekday")</f>
        <v>Weekday</v>
      </c>
      <c r="I8050" t="str">
        <f>_xlfn.IFS(B8050&lt;=5,"Night (0-5)",B8050&lt;=9,"Morning peak (6-9)",B8050&lt;=15,"Midday (10-15)",B8050&lt;=19,"Evening peak (16-19)",TRUE,"Late evening (20-23)")</f>
        <v>Evening peak (16-19)</v>
      </c>
    </row>
    <row r="8051" spans="1:9">
      <c r="A8051" s="32">
        <v>42157</v>
      </c>
      <c r="B8051">
        <v>20</v>
      </c>
      <c r="C8051">
        <v>6871</v>
      </c>
      <c r="D8051" t="s">
        <v>304</v>
      </c>
      <c r="E8051">
        <f>YEAR(A8051)</f>
        <v>2015</v>
      </c>
      <c r="F8051" s="33">
        <f>DATE(YEAR(A8051),MONTH(A8051),1)</f>
        <v>42156.0</v>
      </c>
      <c r="G8051" t="str">
        <f>CHOOSE(WEEKDAY(A8051,2),"Mon","Tue","Wed","Thu","Fri","Sat","Sun")</f>
        <v>Tue</v>
      </c>
      <c r="H8051" t="str">
        <f>IF(WEEKDAY(A8051,2)&gt;5,"Weekend","Weekday")</f>
        <v>Weekday</v>
      </c>
      <c r="I8051" t="str">
        <f>_xlfn.IFS(B8051&lt;=5,"Night (0-5)",B8051&lt;=9,"Morning peak (6-9)",B8051&lt;=15,"Midday (10-15)",B8051&lt;=19,"Evening peak (16-19)",TRUE,"Late evening (20-23)")</f>
        <v>Late evening (20-23)</v>
      </c>
    </row>
    <row r="8052" spans="1:9">
      <c r="A8052" s="32">
        <v>42157</v>
      </c>
      <c r="B8052">
        <v>21</v>
      </c>
      <c r="C8052">
        <v>7040</v>
      </c>
      <c r="D8052" t="s">
        <v>304</v>
      </c>
      <c r="E8052">
        <f>YEAR(A8052)</f>
        <v>2015</v>
      </c>
      <c r="F8052" s="33">
        <f>DATE(YEAR(A8052),MONTH(A8052),1)</f>
        <v>42156.0</v>
      </c>
      <c r="G8052" t="str">
        <f>CHOOSE(WEEKDAY(A8052,2),"Mon","Tue","Wed","Thu","Fri","Sat","Sun")</f>
        <v>Tue</v>
      </c>
      <c r="H8052" t="str">
        <f>IF(WEEKDAY(A8052,2)&gt;5,"Weekend","Weekday")</f>
        <v>Weekday</v>
      </c>
      <c r="I8052" t="str">
        <f>_xlfn.IFS(B8052&lt;=5,"Night (0-5)",B8052&lt;=9,"Morning peak (6-9)",B8052&lt;=15,"Midday (10-15)",B8052&lt;=19,"Evening peak (16-19)",TRUE,"Late evening (20-23)")</f>
        <v>Late evening (20-23)</v>
      </c>
    </row>
    <row r="8053" spans="1:9">
      <c r="A8053" s="32">
        <v>42157</v>
      </c>
      <c r="B8053">
        <v>22</v>
      </c>
      <c r="C8053">
        <v>6363</v>
      </c>
      <c r="D8053" t="s">
        <v>304</v>
      </c>
      <c r="E8053">
        <f>YEAR(A8053)</f>
        <v>2015</v>
      </c>
      <c r="F8053" s="33">
        <f>DATE(YEAR(A8053),MONTH(A8053),1)</f>
        <v>42156.0</v>
      </c>
      <c r="G8053" t="str">
        <f>CHOOSE(WEEKDAY(A8053,2),"Mon","Tue","Wed","Thu","Fri","Sat","Sun")</f>
        <v>Tue</v>
      </c>
      <c r="H8053" t="str">
        <f>IF(WEEKDAY(A8053,2)&gt;5,"Weekend","Weekday")</f>
        <v>Weekday</v>
      </c>
      <c r="I8053" t="str">
        <f>_xlfn.IFS(B8053&lt;=5,"Night (0-5)",B8053&lt;=9,"Morning peak (6-9)",B8053&lt;=15,"Midday (10-15)",B8053&lt;=19,"Evening peak (16-19)",TRUE,"Late evening (20-23)")</f>
        <v>Late evening (20-23)</v>
      </c>
    </row>
    <row r="8054" spans="1:9">
      <c r="A8054" s="32">
        <v>42157</v>
      </c>
      <c r="B8054">
        <v>23</v>
      </c>
      <c r="C8054">
        <v>4553</v>
      </c>
      <c r="D8054" t="s">
        <v>304</v>
      </c>
      <c r="E8054">
        <f>YEAR(A8054)</f>
        <v>2015</v>
      </c>
      <c r="F8054" s="33">
        <f>DATE(YEAR(A8054),MONTH(A8054),1)</f>
        <v>42156.0</v>
      </c>
      <c r="G8054" t="str">
        <f>CHOOSE(WEEKDAY(A8054,2),"Mon","Tue","Wed","Thu","Fri","Sat","Sun")</f>
        <v>Tue</v>
      </c>
      <c r="H8054" t="str">
        <f>IF(WEEKDAY(A8054,2)&gt;5,"Weekend","Weekday")</f>
        <v>Weekday</v>
      </c>
      <c r="I8054" t="str">
        <f>_xlfn.IFS(B8054&lt;=5,"Night (0-5)",B8054&lt;=9,"Morning peak (6-9)",B8054&lt;=15,"Midday (10-15)",B8054&lt;=19,"Evening peak (16-19)",TRUE,"Late evening (20-23)")</f>
        <v>Late evening (20-23)</v>
      </c>
    </row>
    <row r="8055" spans="1:9">
      <c r="A8055" s="32">
        <v>42158</v>
      </c>
      <c r="B8055">
        <v>0</v>
      </c>
      <c r="C8055">
        <v>2688</v>
      </c>
      <c r="D8055" t="s">
        <v>304</v>
      </c>
      <c r="E8055">
        <f>YEAR(A8055)</f>
        <v>2015</v>
      </c>
      <c r="F8055" s="33">
        <f>DATE(YEAR(A8055),MONTH(A8055),1)</f>
        <v>42156.0</v>
      </c>
      <c r="G8055" t="str">
        <f>CHOOSE(WEEKDAY(A8055,2),"Mon","Tue","Wed","Thu","Fri","Sat","Sun")</f>
        <v>Wed</v>
      </c>
      <c r="H8055" t="str">
        <f>IF(WEEKDAY(A8055,2)&gt;5,"Weekend","Weekday")</f>
        <v>Weekday</v>
      </c>
      <c r="I8055" t="str">
        <f>_xlfn.IFS(B8055&lt;=5,"Night (0-5)",B8055&lt;=9,"Morning peak (6-9)",B8055&lt;=15,"Midday (10-15)",B8055&lt;=19,"Evening peak (16-19)",TRUE,"Late evening (20-23)")</f>
        <v>Night (0-5)</v>
      </c>
    </row>
    <row r="8056" spans="1:9">
      <c r="A8056" s="32">
        <v>42158</v>
      </c>
      <c r="B8056">
        <v>1</v>
      </c>
      <c r="C8056">
        <v>1368</v>
      </c>
      <c r="D8056" t="s">
        <v>304</v>
      </c>
      <c r="E8056">
        <f>YEAR(A8056)</f>
        <v>2015</v>
      </c>
      <c r="F8056" s="33">
        <f>DATE(YEAR(A8056),MONTH(A8056),1)</f>
        <v>42156.0</v>
      </c>
      <c r="G8056" t="str">
        <f>CHOOSE(WEEKDAY(A8056,2),"Mon","Tue","Wed","Thu","Fri","Sat","Sun")</f>
        <v>Wed</v>
      </c>
      <c r="H8056" t="str">
        <f>IF(WEEKDAY(A8056,2)&gt;5,"Weekend","Weekday")</f>
        <v>Weekday</v>
      </c>
      <c r="I8056" t="str">
        <f>_xlfn.IFS(B8056&lt;=5,"Night (0-5)",B8056&lt;=9,"Morning peak (6-9)",B8056&lt;=15,"Midday (10-15)",B8056&lt;=19,"Evening peak (16-19)",TRUE,"Late evening (20-23)")</f>
        <v>Night (0-5)</v>
      </c>
    </row>
    <row r="8057" spans="1:9">
      <c r="A8057" s="32">
        <v>42158</v>
      </c>
      <c r="B8057">
        <v>2</v>
      </c>
      <c r="C8057">
        <v>795</v>
      </c>
      <c r="D8057" t="s">
        <v>304</v>
      </c>
      <c r="E8057">
        <f>YEAR(A8057)</f>
        <v>2015</v>
      </c>
      <c r="F8057" s="33">
        <f>DATE(YEAR(A8057),MONTH(A8057),1)</f>
        <v>42156.0</v>
      </c>
      <c r="G8057" t="str">
        <f>CHOOSE(WEEKDAY(A8057,2),"Mon","Tue","Wed","Thu","Fri","Sat","Sun")</f>
        <v>Wed</v>
      </c>
      <c r="H8057" t="str">
        <f>IF(WEEKDAY(A8057,2)&gt;5,"Weekend","Weekday")</f>
        <v>Weekday</v>
      </c>
      <c r="I8057" t="str">
        <f>_xlfn.IFS(B8057&lt;=5,"Night (0-5)",B8057&lt;=9,"Morning peak (6-9)",B8057&lt;=15,"Midday (10-15)",B8057&lt;=19,"Evening peak (16-19)",TRUE,"Late evening (20-23)")</f>
        <v>Night (0-5)</v>
      </c>
    </row>
    <row r="8058" spans="1:9">
      <c r="A8058" s="32">
        <v>42158</v>
      </c>
      <c r="B8058">
        <v>3</v>
      </c>
      <c r="C8058">
        <v>530</v>
      </c>
      <c r="D8058" t="s">
        <v>304</v>
      </c>
      <c r="E8058">
        <f>YEAR(A8058)</f>
        <v>2015</v>
      </c>
      <c r="F8058" s="33">
        <f>DATE(YEAR(A8058),MONTH(A8058),1)</f>
        <v>42156.0</v>
      </c>
      <c r="G8058" t="str">
        <f>CHOOSE(WEEKDAY(A8058,2),"Mon","Tue","Wed","Thu","Fri","Sat","Sun")</f>
        <v>Wed</v>
      </c>
      <c r="H8058" t="str">
        <f>IF(WEEKDAY(A8058,2)&gt;5,"Weekend","Weekday")</f>
        <v>Weekday</v>
      </c>
      <c r="I8058" t="str">
        <f>_xlfn.IFS(B8058&lt;=5,"Night (0-5)",B8058&lt;=9,"Morning peak (6-9)",B8058&lt;=15,"Midday (10-15)",B8058&lt;=19,"Evening peak (16-19)",TRUE,"Late evening (20-23)")</f>
        <v>Night (0-5)</v>
      </c>
    </row>
    <row r="8059" spans="1:9">
      <c r="A8059" s="32">
        <v>42158</v>
      </c>
      <c r="B8059">
        <v>4</v>
      </c>
      <c r="C8059">
        <v>735</v>
      </c>
      <c r="D8059" t="s">
        <v>304</v>
      </c>
      <c r="E8059">
        <f>YEAR(A8059)</f>
        <v>2015</v>
      </c>
      <c r="F8059" s="33">
        <f>DATE(YEAR(A8059),MONTH(A8059),1)</f>
        <v>42156.0</v>
      </c>
      <c r="G8059" t="str">
        <f>CHOOSE(WEEKDAY(A8059,2),"Mon","Tue","Wed","Thu","Fri","Sat","Sun")</f>
        <v>Wed</v>
      </c>
      <c r="H8059" t="str">
        <f>IF(WEEKDAY(A8059,2)&gt;5,"Weekend","Weekday")</f>
        <v>Weekday</v>
      </c>
      <c r="I8059" t="str">
        <f>_xlfn.IFS(B8059&lt;=5,"Night (0-5)",B8059&lt;=9,"Morning peak (6-9)",B8059&lt;=15,"Midday (10-15)",B8059&lt;=19,"Evening peak (16-19)",TRUE,"Late evening (20-23)")</f>
        <v>Night (0-5)</v>
      </c>
    </row>
    <row r="8060" spans="1:9">
      <c r="A8060" s="32">
        <v>42158</v>
      </c>
      <c r="B8060">
        <v>5</v>
      </c>
      <c r="C8060">
        <v>1234</v>
      </c>
      <c r="D8060" t="s">
        <v>304</v>
      </c>
      <c r="E8060">
        <f>YEAR(A8060)</f>
        <v>2015</v>
      </c>
      <c r="F8060" s="33">
        <f>DATE(YEAR(A8060),MONTH(A8060),1)</f>
        <v>42156.0</v>
      </c>
      <c r="G8060" t="str">
        <f>CHOOSE(WEEKDAY(A8060,2),"Mon","Tue","Wed","Thu","Fri","Sat","Sun")</f>
        <v>Wed</v>
      </c>
      <c r="H8060" t="str">
        <f>IF(WEEKDAY(A8060,2)&gt;5,"Weekend","Weekday")</f>
        <v>Weekday</v>
      </c>
      <c r="I8060" t="str">
        <f>_xlfn.IFS(B8060&lt;=5,"Night (0-5)",B8060&lt;=9,"Morning peak (6-9)",B8060&lt;=15,"Midday (10-15)",B8060&lt;=19,"Evening peak (16-19)",TRUE,"Late evening (20-23)")</f>
        <v>Night (0-5)</v>
      </c>
    </row>
    <row r="8061" spans="1:9">
      <c r="A8061" s="32">
        <v>42158</v>
      </c>
      <c r="B8061">
        <v>6</v>
      </c>
      <c r="C8061">
        <v>2041</v>
      </c>
      <c r="D8061" t="s">
        <v>304</v>
      </c>
      <c r="E8061">
        <f>YEAR(A8061)</f>
        <v>2015</v>
      </c>
      <c r="F8061" s="33">
        <f>DATE(YEAR(A8061),MONTH(A8061),1)</f>
        <v>42156.0</v>
      </c>
      <c r="G8061" t="str">
        <f>CHOOSE(WEEKDAY(A8061,2),"Mon","Tue","Wed","Thu","Fri","Sat","Sun")</f>
        <v>Wed</v>
      </c>
      <c r="H8061" t="str">
        <f>IF(WEEKDAY(A8061,2)&gt;5,"Weekend","Weekday")</f>
        <v>Weekday</v>
      </c>
      <c r="I8061" t="str">
        <f>_xlfn.IFS(B8061&lt;=5,"Night (0-5)",B8061&lt;=9,"Morning peak (6-9)",B8061&lt;=15,"Midday (10-15)",B8061&lt;=19,"Evening peak (16-19)",TRUE,"Late evening (20-23)")</f>
        <v>Morning peak (6-9)</v>
      </c>
    </row>
    <row r="8062" spans="1:9">
      <c r="A8062" s="32">
        <v>42158</v>
      </c>
      <c r="B8062">
        <v>7</v>
      </c>
      <c r="C8062">
        <v>3362</v>
      </c>
      <c r="D8062" t="s">
        <v>304</v>
      </c>
      <c r="E8062">
        <f>YEAR(A8062)</f>
        <v>2015</v>
      </c>
      <c r="F8062" s="33">
        <f>DATE(YEAR(A8062),MONTH(A8062),1)</f>
        <v>42156.0</v>
      </c>
      <c r="G8062" t="str">
        <f>CHOOSE(WEEKDAY(A8062,2),"Mon","Tue","Wed","Thu","Fri","Sat","Sun")</f>
        <v>Wed</v>
      </c>
      <c r="H8062" t="str">
        <f>IF(WEEKDAY(A8062,2)&gt;5,"Weekend","Weekday")</f>
        <v>Weekday</v>
      </c>
      <c r="I8062" t="str">
        <f>_xlfn.IFS(B8062&lt;=5,"Night (0-5)",B8062&lt;=9,"Morning peak (6-9)",B8062&lt;=15,"Midday (10-15)",B8062&lt;=19,"Evening peak (16-19)",TRUE,"Late evening (20-23)")</f>
        <v>Morning peak (6-9)</v>
      </c>
    </row>
    <row r="8063" spans="1:9">
      <c r="A8063" s="32">
        <v>42158</v>
      </c>
      <c r="B8063">
        <v>8</v>
      </c>
      <c r="C8063">
        <v>4489</v>
      </c>
      <c r="D8063" t="s">
        <v>304</v>
      </c>
      <c r="E8063">
        <f>YEAR(A8063)</f>
        <v>2015</v>
      </c>
      <c r="F8063" s="33">
        <f>DATE(YEAR(A8063),MONTH(A8063),1)</f>
        <v>42156.0</v>
      </c>
      <c r="G8063" t="str">
        <f>CHOOSE(WEEKDAY(A8063,2),"Mon","Tue","Wed","Thu","Fri","Sat","Sun")</f>
        <v>Wed</v>
      </c>
      <c r="H8063" t="str">
        <f>IF(WEEKDAY(A8063,2)&gt;5,"Weekend","Weekday")</f>
        <v>Weekday</v>
      </c>
      <c r="I8063" t="str">
        <f>_xlfn.IFS(B8063&lt;=5,"Night (0-5)",B8063&lt;=9,"Morning peak (6-9)",B8063&lt;=15,"Midday (10-15)",B8063&lt;=19,"Evening peak (16-19)",TRUE,"Late evening (20-23)")</f>
        <v>Morning peak (6-9)</v>
      </c>
    </row>
    <row r="8064" spans="1:9">
      <c r="A8064" s="32">
        <v>42158</v>
      </c>
      <c r="B8064">
        <v>9</v>
      </c>
      <c r="C8064">
        <v>4088</v>
      </c>
      <c r="D8064" t="s">
        <v>304</v>
      </c>
      <c r="E8064">
        <f>YEAR(A8064)</f>
        <v>2015</v>
      </c>
      <c r="F8064" s="33">
        <f>DATE(YEAR(A8064),MONTH(A8064),1)</f>
        <v>42156.0</v>
      </c>
      <c r="G8064" t="str">
        <f>CHOOSE(WEEKDAY(A8064,2),"Mon","Tue","Wed","Thu","Fri","Sat","Sun")</f>
        <v>Wed</v>
      </c>
      <c r="H8064" t="str">
        <f>IF(WEEKDAY(A8064,2)&gt;5,"Weekend","Weekday")</f>
        <v>Weekday</v>
      </c>
      <c r="I8064" t="str">
        <f>_xlfn.IFS(B8064&lt;=5,"Night (0-5)",B8064&lt;=9,"Morning peak (6-9)",B8064&lt;=15,"Midday (10-15)",B8064&lt;=19,"Evening peak (16-19)",TRUE,"Late evening (20-23)")</f>
        <v>Morning peak (6-9)</v>
      </c>
    </row>
    <row r="8065" spans="1:9">
      <c r="A8065" s="32">
        <v>42158</v>
      </c>
      <c r="B8065">
        <v>10</v>
      </c>
      <c r="C8065">
        <v>3316</v>
      </c>
      <c r="D8065" t="s">
        <v>304</v>
      </c>
      <c r="E8065">
        <f>YEAR(A8065)</f>
        <v>2015</v>
      </c>
      <c r="F8065" s="33">
        <f>DATE(YEAR(A8065),MONTH(A8065),1)</f>
        <v>42156.0</v>
      </c>
      <c r="G8065" t="str">
        <f>CHOOSE(WEEKDAY(A8065,2),"Mon","Tue","Wed","Thu","Fri","Sat","Sun")</f>
        <v>Wed</v>
      </c>
      <c r="H8065" t="str">
        <f>IF(WEEKDAY(A8065,2)&gt;5,"Weekend","Weekday")</f>
        <v>Weekday</v>
      </c>
      <c r="I8065" t="str">
        <f>_xlfn.IFS(B8065&lt;=5,"Night (0-5)",B8065&lt;=9,"Morning peak (6-9)",B8065&lt;=15,"Midday (10-15)",B8065&lt;=19,"Evening peak (16-19)",TRUE,"Late evening (20-23)")</f>
        <v>Midday (10-15)</v>
      </c>
    </row>
    <row r="8066" spans="1:9">
      <c r="A8066" s="32">
        <v>42158</v>
      </c>
      <c r="B8066">
        <v>11</v>
      </c>
      <c r="C8066">
        <v>3077</v>
      </c>
      <c r="D8066" t="s">
        <v>304</v>
      </c>
      <c r="E8066">
        <f>YEAR(A8066)</f>
        <v>2015</v>
      </c>
      <c r="F8066" s="33">
        <f>DATE(YEAR(A8066),MONTH(A8066),1)</f>
        <v>42156.0</v>
      </c>
      <c r="G8066" t="str">
        <f>CHOOSE(WEEKDAY(A8066,2),"Mon","Tue","Wed","Thu","Fri","Sat","Sun")</f>
        <v>Wed</v>
      </c>
      <c r="H8066" t="str">
        <f>IF(WEEKDAY(A8066,2)&gt;5,"Weekend","Weekday")</f>
        <v>Weekday</v>
      </c>
      <c r="I8066" t="str">
        <f>_xlfn.IFS(B8066&lt;=5,"Night (0-5)",B8066&lt;=9,"Morning peak (6-9)",B8066&lt;=15,"Midday (10-15)",B8066&lt;=19,"Evening peak (16-19)",TRUE,"Late evening (20-23)")</f>
        <v>Midday (10-15)</v>
      </c>
    </row>
    <row r="8067" spans="1:9">
      <c r="A8067" s="32">
        <v>42158</v>
      </c>
      <c r="B8067">
        <v>12</v>
      </c>
      <c r="C8067">
        <v>2938</v>
      </c>
      <c r="D8067" t="s">
        <v>304</v>
      </c>
      <c r="E8067">
        <f>YEAR(A8067)</f>
        <v>2015</v>
      </c>
      <c r="F8067" s="33">
        <f>DATE(YEAR(A8067),MONTH(A8067),1)</f>
        <v>42156.0</v>
      </c>
      <c r="G8067" t="str">
        <f>CHOOSE(WEEKDAY(A8067,2),"Mon","Tue","Wed","Thu","Fri","Sat","Sun")</f>
        <v>Wed</v>
      </c>
      <c r="H8067" t="str">
        <f>IF(WEEKDAY(A8067,2)&gt;5,"Weekend","Weekday")</f>
        <v>Weekday</v>
      </c>
      <c r="I8067" t="str">
        <f>_xlfn.IFS(B8067&lt;=5,"Night (0-5)",B8067&lt;=9,"Morning peak (6-9)",B8067&lt;=15,"Midday (10-15)",B8067&lt;=19,"Evening peak (16-19)",TRUE,"Late evening (20-23)")</f>
        <v>Midday (10-15)</v>
      </c>
    </row>
    <row r="8068" spans="1:9">
      <c r="A8068" s="32">
        <v>42158</v>
      </c>
      <c r="B8068">
        <v>13</v>
      </c>
      <c r="C8068">
        <v>2980</v>
      </c>
      <c r="D8068" t="s">
        <v>304</v>
      </c>
      <c r="E8068">
        <f>YEAR(A8068)</f>
        <v>2015</v>
      </c>
      <c r="F8068" s="33">
        <f>DATE(YEAR(A8068),MONTH(A8068),1)</f>
        <v>42156.0</v>
      </c>
      <c r="G8068" t="str">
        <f>CHOOSE(WEEKDAY(A8068,2),"Mon","Tue","Wed","Thu","Fri","Sat","Sun")</f>
        <v>Wed</v>
      </c>
      <c r="H8068" t="str">
        <f>IF(WEEKDAY(A8068,2)&gt;5,"Weekend","Weekday")</f>
        <v>Weekday</v>
      </c>
      <c r="I8068" t="str">
        <f>_xlfn.IFS(B8068&lt;=5,"Night (0-5)",B8068&lt;=9,"Morning peak (6-9)",B8068&lt;=15,"Midday (10-15)",B8068&lt;=19,"Evening peak (16-19)",TRUE,"Late evening (20-23)")</f>
        <v>Midday (10-15)</v>
      </c>
    </row>
    <row r="8069" spans="1:9">
      <c r="A8069" s="32">
        <v>42158</v>
      </c>
      <c r="B8069">
        <v>14</v>
      </c>
      <c r="C8069">
        <v>3398</v>
      </c>
      <c r="D8069" t="s">
        <v>304</v>
      </c>
      <c r="E8069">
        <f>YEAR(A8069)</f>
        <v>2015</v>
      </c>
      <c r="F8069" s="33">
        <f>DATE(YEAR(A8069),MONTH(A8069),1)</f>
        <v>42156.0</v>
      </c>
      <c r="G8069" t="str">
        <f>CHOOSE(WEEKDAY(A8069,2),"Mon","Tue","Wed","Thu","Fri","Sat","Sun")</f>
        <v>Wed</v>
      </c>
      <c r="H8069" t="str">
        <f>IF(WEEKDAY(A8069,2)&gt;5,"Weekend","Weekday")</f>
        <v>Weekday</v>
      </c>
      <c r="I8069" t="str">
        <f>_xlfn.IFS(B8069&lt;=5,"Night (0-5)",B8069&lt;=9,"Morning peak (6-9)",B8069&lt;=15,"Midday (10-15)",B8069&lt;=19,"Evening peak (16-19)",TRUE,"Late evening (20-23)")</f>
        <v>Midday (10-15)</v>
      </c>
    </row>
    <row r="8070" spans="1:9">
      <c r="A8070" s="32">
        <v>42158</v>
      </c>
      <c r="B8070">
        <v>15</v>
      </c>
      <c r="C8070">
        <v>3710</v>
      </c>
      <c r="D8070" t="s">
        <v>304</v>
      </c>
      <c r="E8070">
        <f>YEAR(A8070)</f>
        <v>2015</v>
      </c>
      <c r="F8070" s="33">
        <f>DATE(YEAR(A8070),MONTH(A8070),1)</f>
        <v>42156.0</v>
      </c>
      <c r="G8070" t="str">
        <f>CHOOSE(WEEKDAY(A8070,2),"Mon","Tue","Wed","Thu","Fri","Sat","Sun")</f>
        <v>Wed</v>
      </c>
      <c r="H8070" t="str">
        <f>IF(WEEKDAY(A8070,2)&gt;5,"Weekend","Weekday")</f>
        <v>Weekday</v>
      </c>
      <c r="I8070" t="str">
        <f>_xlfn.IFS(B8070&lt;=5,"Night (0-5)",B8070&lt;=9,"Morning peak (6-9)",B8070&lt;=15,"Midday (10-15)",B8070&lt;=19,"Evening peak (16-19)",TRUE,"Late evening (20-23)")</f>
        <v>Midday (10-15)</v>
      </c>
    </row>
    <row r="8071" spans="1:9">
      <c r="A8071" s="32">
        <v>42158</v>
      </c>
      <c r="B8071">
        <v>16</v>
      </c>
      <c r="C8071">
        <v>4344</v>
      </c>
      <c r="D8071" t="s">
        <v>304</v>
      </c>
      <c r="E8071">
        <f>YEAR(A8071)</f>
        <v>2015</v>
      </c>
      <c r="F8071" s="33">
        <f>DATE(YEAR(A8071),MONTH(A8071),1)</f>
        <v>42156.0</v>
      </c>
      <c r="G8071" t="str">
        <f>CHOOSE(WEEKDAY(A8071,2),"Mon","Tue","Wed","Thu","Fri","Sat","Sun")</f>
        <v>Wed</v>
      </c>
      <c r="H8071" t="str">
        <f>IF(WEEKDAY(A8071,2)&gt;5,"Weekend","Weekday")</f>
        <v>Weekday</v>
      </c>
      <c r="I8071" t="str">
        <f>_xlfn.IFS(B8071&lt;=5,"Night (0-5)",B8071&lt;=9,"Morning peak (6-9)",B8071&lt;=15,"Midday (10-15)",B8071&lt;=19,"Evening peak (16-19)",TRUE,"Late evening (20-23)")</f>
        <v>Evening peak (16-19)</v>
      </c>
    </row>
    <row r="8072" spans="1:9">
      <c r="A8072" s="32">
        <v>42158</v>
      </c>
      <c r="B8072">
        <v>17</v>
      </c>
      <c r="C8072">
        <v>5137</v>
      </c>
      <c r="D8072" t="s">
        <v>304</v>
      </c>
      <c r="E8072">
        <f>YEAR(A8072)</f>
        <v>2015</v>
      </c>
      <c r="F8072" s="33">
        <f>DATE(YEAR(A8072),MONTH(A8072),1)</f>
        <v>42156.0</v>
      </c>
      <c r="G8072" t="str">
        <f>CHOOSE(WEEKDAY(A8072,2),"Mon","Tue","Wed","Thu","Fri","Sat","Sun")</f>
        <v>Wed</v>
      </c>
      <c r="H8072" t="str">
        <f>IF(WEEKDAY(A8072,2)&gt;5,"Weekend","Weekday")</f>
        <v>Weekday</v>
      </c>
      <c r="I8072" t="str">
        <f>_xlfn.IFS(B8072&lt;=5,"Night (0-5)",B8072&lt;=9,"Morning peak (6-9)",B8072&lt;=15,"Midday (10-15)",B8072&lt;=19,"Evening peak (16-19)",TRUE,"Late evening (20-23)")</f>
        <v>Evening peak (16-19)</v>
      </c>
    </row>
    <row r="8073" spans="1:9">
      <c r="A8073" s="32">
        <v>42158</v>
      </c>
      <c r="B8073">
        <v>18</v>
      </c>
      <c r="C8073">
        <v>6173</v>
      </c>
      <c r="D8073" t="s">
        <v>304</v>
      </c>
      <c r="E8073">
        <f>YEAR(A8073)</f>
        <v>2015</v>
      </c>
      <c r="F8073" s="33">
        <f>DATE(YEAR(A8073),MONTH(A8073),1)</f>
        <v>42156.0</v>
      </c>
      <c r="G8073" t="str">
        <f>CHOOSE(WEEKDAY(A8073,2),"Mon","Tue","Wed","Thu","Fri","Sat","Sun")</f>
        <v>Wed</v>
      </c>
      <c r="H8073" t="str">
        <f>IF(WEEKDAY(A8073,2)&gt;5,"Weekend","Weekday")</f>
        <v>Weekday</v>
      </c>
      <c r="I8073" t="str">
        <f>_xlfn.IFS(B8073&lt;=5,"Night (0-5)",B8073&lt;=9,"Morning peak (6-9)",B8073&lt;=15,"Midday (10-15)",B8073&lt;=19,"Evening peak (16-19)",TRUE,"Late evening (20-23)")</f>
        <v>Evening peak (16-19)</v>
      </c>
    </row>
    <row r="8074" spans="1:9">
      <c r="A8074" s="32">
        <v>42158</v>
      </c>
      <c r="B8074">
        <v>19</v>
      </c>
      <c r="C8074">
        <v>6328</v>
      </c>
      <c r="D8074" t="s">
        <v>304</v>
      </c>
      <c r="E8074">
        <f>YEAR(A8074)</f>
        <v>2015</v>
      </c>
      <c r="F8074" s="33">
        <f>DATE(YEAR(A8074),MONTH(A8074),1)</f>
        <v>42156.0</v>
      </c>
      <c r="G8074" t="str">
        <f>CHOOSE(WEEKDAY(A8074,2),"Mon","Tue","Wed","Thu","Fri","Sat","Sun")</f>
        <v>Wed</v>
      </c>
      <c r="H8074" t="str">
        <f>IF(WEEKDAY(A8074,2)&gt;5,"Weekend","Weekday")</f>
        <v>Weekday</v>
      </c>
      <c r="I8074" t="str">
        <f>_xlfn.IFS(B8074&lt;=5,"Night (0-5)",B8074&lt;=9,"Morning peak (6-9)",B8074&lt;=15,"Midday (10-15)",B8074&lt;=19,"Evening peak (16-19)",TRUE,"Late evening (20-23)")</f>
        <v>Evening peak (16-19)</v>
      </c>
    </row>
    <row r="8075" spans="1:9">
      <c r="A8075" s="32">
        <v>42158</v>
      </c>
      <c r="B8075">
        <v>20</v>
      </c>
      <c r="C8075">
        <v>5903</v>
      </c>
      <c r="D8075" t="s">
        <v>304</v>
      </c>
      <c r="E8075">
        <f>YEAR(A8075)</f>
        <v>2015</v>
      </c>
      <c r="F8075" s="33">
        <f>DATE(YEAR(A8075),MONTH(A8075),1)</f>
        <v>42156.0</v>
      </c>
      <c r="G8075" t="str">
        <f>CHOOSE(WEEKDAY(A8075,2),"Mon","Tue","Wed","Thu","Fri","Sat","Sun")</f>
        <v>Wed</v>
      </c>
      <c r="H8075" t="str">
        <f>IF(WEEKDAY(A8075,2)&gt;5,"Weekend","Weekday")</f>
        <v>Weekday</v>
      </c>
      <c r="I8075" t="str">
        <f>_xlfn.IFS(B8075&lt;=5,"Night (0-5)",B8075&lt;=9,"Morning peak (6-9)",B8075&lt;=15,"Midday (10-15)",B8075&lt;=19,"Evening peak (16-19)",TRUE,"Late evening (20-23)")</f>
        <v>Late evening (20-23)</v>
      </c>
    </row>
    <row r="8076" spans="1:9">
      <c r="A8076" s="32">
        <v>42158</v>
      </c>
      <c r="B8076">
        <v>21</v>
      </c>
      <c r="C8076">
        <v>6726</v>
      </c>
      <c r="D8076" t="s">
        <v>304</v>
      </c>
      <c r="E8076">
        <f>YEAR(A8076)</f>
        <v>2015</v>
      </c>
      <c r="F8076" s="33">
        <f>DATE(YEAR(A8076),MONTH(A8076),1)</f>
        <v>42156.0</v>
      </c>
      <c r="G8076" t="str">
        <f>CHOOSE(WEEKDAY(A8076,2),"Mon","Tue","Wed","Thu","Fri","Sat","Sun")</f>
        <v>Wed</v>
      </c>
      <c r="H8076" t="str">
        <f>IF(WEEKDAY(A8076,2)&gt;5,"Weekend","Weekday")</f>
        <v>Weekday</v>
      </c>
      <c r="I8076" t="str">
        <f>_xlfn.IFS(B8076&lt;=5,"Night (0-5)",B8076&lt;=9,"Morning peak (6-9)",B8076&lt;=15,"Midday (10-15)",B8076&lt;=19,"Evening peak (16-19)",TRUE,"Late evening (20-23)")</f>
        <v>Late evening (20-23)</v>
      </c>
    </row>
    <row r="8077" spans="1:9">
      <c r="A8077" s="32">
        <v>42158</v>
      </c>
      <c r="B8077">
        <v>22</v>
      </c>
      <c r="C8077">
        <v>6408</v>
      </c>
      <c r="D8077" t="s">
        <v>304</v>
      </c>
      <c r="E8077">
        <f>YEAR(A8077)</f>
        <v>2015</v>
      </c>
      <c r="F8077" s="33">
        <f>DATE(YEAR(A8077),MONTH(A8077),1)</f>
        <v>42156.0</v>
      </c>
      <c r="G8077" t="str">
        <f>CHOOSE(WEEKDAY(A8077,2),"Mon","Tue","Wed","Thu","Fri","Sat","Sun")</f>
        <v>Wed</v>
      </c>
      <c r="H8077" t="str">
        <f>IF(WEEKDAY(A8077,2)&gt;5,"Weekend","Weekday")</f>
        <v>Weekday</v>
      </c>
      <c r="I8077" t="str">
        <f>_xlfn.IFS(B8077&lt;=5,"Night (0-5)",B8077&lt;=9,"Morning peak (6-9)",B8077&lt;=15,"Midday (10-15)",B8077&lt;=19,"Evening peak (16-19)",TRUE,"Late evening (20-23)")</f>
        <v>Late evening (20-23)</v>
      </c>
    </row>
    <row r="8078" spans="1:9">
      <c r="A8078" s="32">
        <v>42158</v>
      </c>
      <c r="B8078">
        <v>23</v>
      </c>
      <c r="C8078">
        <v>5438</v>
      </c>
      <c r="D8078" t="s">
        <v>304</v>
      </c>
      <c r="E8078">
        <f>YEAR(A8078)</f>
        <v>2015</v>
      </c>
      <c r="F8078" s="33">
        <f>DATE(YEAR(A8078),MONTH(A8078),1)</f>
        <v>42156.0</v>
      </c>
      <c r="G8078" t="str">
        <f>CHOOSE(WEEKDAY(A8078,2),"Mon","Tue","Wed","Thu","Fri","Sat","Sun")</f>
        <v>Wed</v>
      </c>
      <c r="H8078" t="str">
        <f>IF(WEEKDAY(A8078,2)&gt;5,"Weekend","Weekday")</f>
        <v>Weekday</v>
      </c>
      <c r="I8078" t="str">
        <f>_xlfn.IFS(B8078&lt;=5,"Night (0-5)",B8078&lt;=9,"Morning peak (6-9)",B8078&lt;=15,"Midday (10-15)",B8078&lt;=19,"Evening peak (16-19)",TRUE,"Late evening (20-23)")</f>
        <v>Late evening (20-23)</v>
      </c>
    </row>
    <row r="8079" spans="1:9">
      <c r="A8079" s="32">
        <v>42159</v>
      </c>
      <c r="B8079">
        <v>0</v>
      </c>
      <c r="C8079">
        <v>3444</v>
      </c>
      <c r="D8079" t="s">
        <v>304</v>
      </c>
      <c r="E8079">
        <f>YEAR(A8079)</f>
        <v>2015</v>
      </c>
      <c r="F8079" s="33">
        <f>DATE(YEAR(A8079),MONTH(A8079),1)</f>
        <v>42156.0</v>
      </c>
      <c r="G8079" t="str">
        <f>CHOOSE(WEEKDAY(A8079,2),"Mon","Tue","Wed","Thu","Fri","Sat","Sun")</f>
        <v>Thu</v>
      </c>
      <c r="H8079" t="str">
        <f>IF(WEEKDAY(A8079,2)&gt;5,"Weekend","Weekday")</f>
        <v>Weekday</v>
      </c>
      <c r="I8079" t="str">
        <f>_xlfn.IFS(B8079&lt;=5,"Night (0-5)",B8079&lt;=9,"Morning peak (6-9)",B8079&lt;=15,"Midday (10-15)",B8079&lt;=19,"Evening peak (16-19)",TRUE,"Late evening (20-23)")</f>
        <v>Night (0-5)</v>
      </c>
    </row>
    <row r="8080" spans="1:9">
      <c r="A8080" s="32">
        <v>42159</v>
      </c>
      <c r="B8080">
        <v>1</v>
      </c>
      <c r="C8080">
        <v>1741</v>
      </c>
      <c r="D8080" t="s">
        <v>304</v>
      </c>
      <c r="E8080">
        <f>YEAR(A8080)</f>
        <v>2015</v>
      </c>
      <c r="F8080" s="33">
        <f>DATE(YEAR(A8080),MONTH(A8080),1)</f>
        <v>42156.0</v>
      </c>
      <c r="G8080" t="str">
        <f>CHOOSE(WEEKDAY(A8080,2),"Mon","Tue","Wed","Thu","Fri","Sat","Sun")</f>
        <v>Thu</v>
      </c>
      <c r="H8080" t="str">
        <f>IF(WEEKDAY(A8080,2)&gt;5,"Weekend","Weekday")</f>
        <v>Weekday</v>
      </c>
      <c r="I8080" t="str">
        <f>_xlfn.IFS(B8080&lt;=5,"Night (0-5)",B8080&lt;=9,"Morning peak (6-9)",B8080&lt;=15,"Midday (10-15)",B8080&lt;=19,"Evening peak (16-19)",TRUE,"Late evening (20-23)")</f>
        <v>Night (0-5)</v>
      </c>
    </row>
    <row r="8081" spans="1:9">
      <c r="A8081" s="32">
        <v>42159</v>
      </c>
      <c r="B8081">
        <v>2</v>
      </c>
      <c r="C8081">
        <v>956</v>
      </c>
      <c r="D8081" t="s">
        <v>304</v>
      </c>
      <c r="E8081">
        <f>YEAR(A8081)</f>
        <v>2015</v>
      </c>
      <c r="F8081" s="33">
        <f>DATE(YEAR(A8081),MONTH(A8081),1)</f>
        <v>42156.0</v>
      </c>
      <c r="G8081" t="str">
        <f>CHOOSE(WEEKDAY(A8081,2),"Mon","Tue","Wed","Thu","Fri","Sat","Sun")</f>
        <v>Thu</v>
      </c>
      <c r="H8081" t="str">
        <f>IF(WEEKDAY(A8081,2)&gt;5,"Weekend","Weekday")</f>
        <v>Weekday</v>
      </c>
      <c r="I8081" t="str">
        <f>_xlfn.IFS(B8081&lt;=5,"Night (0-5)",B8081&lt;=9,"Morning peak (6-9)",B8081&lt;=15,"Midday (10-15)",B8081&lt;=19,"Evening peak (16-19)",TRUE,"Late evening (20-23)")</f>
        <v>Night (0-5)</v>
      </c>
    </row>
    <row r="8082" spans="1:9">
      <c r="A8082" s="32">
        <v>42159</v>
      </c>
      <c r="B8082">
        <v>3</v>
      </c>
      <c r="C8082">
        <v>723</v>
      </c>
      <c r="D8082" t="s">
        <v>304</v>
      </c>
      <c r="E8082">
        <f>YEAR(A8082)</f>
        <v>2015</v>
      </c>
      <c r="F8082" s="33">
        <f>DATE(YEAR(A8082),MONTH(A8082),1)</f>
        <v>42156.0</v>
      </c>
      <c r="G8082" t="str">
        <f>CHOOSE(WEEKDAY(A8082,2),"Mon","Tue","Wed","Thu","Fri","Sat","Sun")</f>
        <v>Thu</v>
      </c>
      <c r="H8082" t="str">
        <f>IF(WEEKDAY(A8082,2)&gt;5,"Weekend","Weekday")</f>
        <v>Weekday</v>
      </c>
      <c r="I8082" t="str">
        <f>_xlfn.IFS(B8082&lt;=5,"Night (0-5)",B8082&lt;=9,"Morning peak (6-9)",B8082&lt;=15,"Midday (10-15)",B8082&lt;=19,"Evening peak (16-19)",TRUE,"Late evening (20-23)")</f>
        <v>Night (0-5)</v>
      </c>
    </row>
    <row r="8083" spans="1:9">
      <c r="A8083" s="32">
        <v>42159</v>
      </c>
      <c r="B8083">
        <v>4</v>
      </c>
      <c r="C8083">
        <v>817</v>
      </c>
      <c r="D8083" t="s">
        <v>304</v>
      </c>
      <c r="E8083">
        <f>YEAR(A8083)</f>
        <v>2015</v>
      </c>
      <c r="F8083" s="33">
        <f>DATE(YEAR(A8083),MONTH(A8083),1)</f>
        <v>42156.0</v>
      </c>
      <c r="G8083" t="str">
        <f>CHOOSE(WEEKDAY(A8083,2),"Mon","Tue","Wed","Thu","Fri","Sat","Sun")</f>
        <v>Thu</v>
      </c>
      <c r="H8083" t="str">
        <f>IF(WEEKDAY(A8083,2)&gt;5,"Weekend","Weekday")</f>
        <v>Weekday</v>
      </c>
      <c r="I8083" t="str">
        <f>_xlfn.IFS(B8083&lt;=5,"Night (0-5)",B8083&lt;=9,"Morning peak (6-9)",B8083&lt;=15,"Midday (10-15)",B8083&lt;=19,"Evening peak (16-19)",TRUE,"Late evening (20-23)")</f>
        <v>Night (0-5)</v>
      </c>
    </row>
    <row r="8084" spans="1:9">
      <c r="A8084" s="32">
        <v>42159</v>
      </c>
      <c r="B8084">
        <v>5</v>
      </c>
      <c r="C8084">
        <v>1314</v>
      </c>
      <c r="D8084" t="s">
        <v>304</v>
      </c>
      <c r="E8084">
        <f>YEAR(A8084)</f>
        <v>2015</v>
      </c>
      <c r="F8084" s="33">
        <f>DATE(YEAR(A8084),MONTH(A8084),1)</f>
        <v>42156.0</v>
      </c>
      <c r="G8084" t="str">
        <f>CHOOSE(WEEKDAY(A8084,2),"Mon","Tue","Wed","Thu","Fri","Sat","Sun")</f>
        <v>Thu</v>
      </c>
      <c r="H8084" t="str">
        <f>IF(WEEKDAY(A8084,2)&gt;5,"Weekend","Weekday")</f>
        <v>Weekday</v>
      </c>
      <c r="I8084" t="str">
        <f>_xlfn.IFS(B8084&lt;=5,"Night (0-5)",B8084&lt;=9,"Morning peak (6-9)",B8084&lt;=15,"Midday (10-15)",B8084&lt;=19,"Evening peak (16-19)",TRUE,"Late evening (20-23)")</f>
        <v>Night (0-5)</v>
      </c>
    </row>
    <row r="8085" spans="1:9">
      <c r="A8085" s="32">
        <v>42159</v>
      </c>
      <c r="B8085">
        <v>6</v>
      </c>
      <c r="C8085">
        <v>2090</v>
      </c>
      <c r="D8085" t="s">
        <v>304</v>
      </c>
      <c r="E8085">
        <f>YEAR(A8085)</f>
        <v>2015</v>
      </c>
      <c r="F8085" s="33">
        <f>DATE(YEAR(A8085),MONTH(A8085),1)</f>
        <v>42156.0</v>
      </c>
      <c r="G8085" t="str">
        <f>CHOOSE(WEEKDAY(A8085,2),"Mon","Tue","Wed","Thu","Fri","Sat","Sun")</f>
        <v>Thu</v>
      </c>
      <c r="H8085" t="str">
        <f>IF(WEEKDAY(A8085,2)&gt;5,"Weekend","Weekday")</f>
        <v>Weekday</v>
      </c>
      <c r="I8085" t="str">
        <f>_xlfn.IFS(B8085&lt;=5,"Night (0-5)",B8085&lt;=9,"Morning peak (6-9)",B8085&lt;=15,"Midday (10-15)",B8085&lt;=19,"Evening peak (16-19)",TRUE,"Late evening (20-23)")</f>
        <v>Morning peak (6-9)</v>
      </c>
    </row>
    <row r="8086" spans="1:9">
      <c r="A8086" s="32">
        <v>42159</v>
      </c>
      <c r="B8086">
        <v>7</v>
      </c>
      <c r="C8086">
        <v>3457</v>
      </c>
      <c r="D8086" t="s">
        <v>304</v>
      </c>
      <c r="E8086">
        <f>YEAR(A8086)</f>
        <v>2015</v>
      </c>
      <c r="F8086" s="33">
        <f>DATE(YEAR(A8086),MONTH(A8086),1)</f>
        <v>42156.0</v>
      </c>
      <c r="G8086" t="str">
        <f>CHOOSE(WEEKDAY(A8086,2),"Mon","Tue","Wed","Thu","Fri","Sat","Sun")</f>
        <v>Thu</v>
      </c>
      <c r="H8086" t="str">
        <f>IF(WEEKDAY(A8086,2)&gt;5,"Weekend","Weekday")</f>
        <v>Weekday</v>
      </c>
      <c r="I8086" t="str">
        <f>_xlfn.IFS(B8086&lt;=5,"Night (0-5)",B8086&lt;=9,"Morning peak (6-9)",B8086&lt;=15,"Midday (10-15)",B8086&lt;=19,"Evening peak (16-19)",TRUE,"Late evening (20-23)")</f>
        <v>Morning peak (6-9)</v>
      </c>
    </row>
    <row r="8087" spans="1:9">
      <c r="A8087" s="32">
        <v>42159</v>
      </c>
      <c r="B8087">
        <v>8</v>
      </c>
      <c r="C8087">
        <v>4036</v>
      </c>
      <c r="D8087" t="s">
        <v>304</v>
      </c>
      <c r="E8087">
        <f>YEAR(A8087)</f>
        <v>2015</v>
      </c>
      <c r="F8087" s="33">
        <f>DATE(YEAR(A8087),MONTH(A8087),1)</f>
        <v>42156.0</v>
      </c>
      <c r="G8087" t="str">
        <f>CHOOSE(WEEKDAY(A8087,2),"Mon","Tue","Wed","Thu","Fri","Sat","Sun")</f>
        <v>Thu</v>
      </c>
      <c r="H8087" t="str">
        <f>IF(WEEKDAY(A8087,2)&gt;5,"Weekend","Weekday")</f>
        <v>Weekday</v>
      </c>
      <c r="I8087" t="str">
        <f>_xlfn.IFS(B8087&lt;=5,"Night (0-5)",B8087&lt;=9,"Morning peak (6-9)",B8087&lt;=15,"Midday (10-15)",B8087&lt;=19,"Evening peak (16-19)",TRUE,"Late evening (20-23)")</f>
        <v>Morning peak (6-9)</v>
      </c>
    </row>
    <row r="8088" spans="1:9">
      <c r="A8088" s="32">
        <v>42159</v>
      </c>
      <c r="B8088">
        <v>9</v>
      </c>
      <c r="C8088">
        <v>3805</v>
      </c>
      <c r="D8088" t="s">
        <v>304</v>
      </c>
      <c r="E8088">
        <f>YEAR(A8088)</f>
        <v>2015</v>
      </c>
      <c r="F8088" s="33">
        <f>DATE(YEAR(A8088),MONTH(A8088),1)</f>
        <v>42156.0</v>
      </c>
      <c r="G8088" t="str">
        <f>CHOOSE(WEEKDAY(A8088,2),"Mon","Tue","Wed","Thu","Fri","Sat","Sun")</f>
        <v>Thu</v>
      </c>
      <c r="H8088" t="str">
        <f>IF(WEEKDAY(A8088,2)&gt;5,"Weekend","Weekday")</f>
        <v>Weekday</v>
      </c>
      <c r="I8088" t="str">
        <f>_xlfn.IFS(B8088&lt;=5,"Night (0-5)",B8088&lt;=9,"Morning peak (6-9)",B8088&lt;=15,"Midday (10-15)",B8088&lt;=19,"Evening peak (16-19)",TRUE,"Late evening (20-23)")</f>
        <v>Morning peak (6-9)</v>
      </c>
    </row>
    <row r="8089" spans="1:9">
      <c r="A8089" s="32">
        <v>42159</v>
      </c>
      <c r="B8089">
        <v>10</v>
      </c>
      <c r="C8089">
        <v>3275</v>
      </c>
      <c r="D8089" t="s">
        <v>304</v>
      </c>
      <c r="E8089">
        <f>YEAR(A8089)</f>
        <v>2015</v>
      </c>
      <c r="F8089" s="33">
        <f>DATE(YEAR(A8089),MONTH(A8089),1)</f>
        <v>42156.0</v>
      </c>
      <c r="G8089" t="str">
        <f>CHOOSE(WEEKDAY(A8089,2),"Mon","Tue","Wed","Thu","Fri","Sat","Sun")</f>
        <v>Thu</v>
      </c>
      <c r="H8089" t="str">
        <f>IF(WEEKDAY(A8089,2)&gt;5,"Weekend","Weekday")</f>
        <v>Weekday</v>
      </c>
      <c r="I8089" t="str">
        <f>_xlfn.IFS(B8089&lt;=5,"Night (0-5)",B8089&lt;=9,"Morning peak (6-9)",B8089&lt;=15,"Midday (10-15)",B8089&lt;=19,"Evening peak (16-19)",TRUE,"Late evening (20-23)")</f>
        <v>Midday (10-15)</v>
      </c>
    </row>
    <row r="8090" spans="1:9">
      <c r="A8090" s="32">
        <v>42159</v>
      </c>
      <c r="B8090">
        <v>11</v>
      </c>
      <c r="C8090">
        <v>3204</v>
      </c>
      <c r="D8090" t="s">
        <v>304</v>
      </c>
      <c r="E8090">
        <f>YEAR(A8090)</f>
        <v>2015</v>
      </c>
      <c r="F8090" s="33">
        <f>DATE(YEAR(A8090),MONTH(A8090),1)</f>
        <v>42156.0</v>
      </c>
      <c r="G8090" t="str">
        <f>CHOOSE(WEEKDAY(A8090,2),"Mon","Tue","Wed","Thu","Fri","Sat","Sun")</f>
        <v>Thu</v>
      </c>
      <c r="H8090" t="str">
        <f>IF(WEEKDAY(A8090,2)&gt;5,"Weekend","Weekday")</f>
        <v>Weekday</v>
      </c>
      <c r="I8090" t="str">
        <f>_xlfn.IFS(B8090&lt;=5,"Night (0-5)",B8090&lt;=9,"Morning peak (6-9)",B8090&lt;=15,"Midday (10-15)",B8090&lt;=19,"Evening peak (16-19)",TRUE,"Late evening (20-23)")</f>
        <v>Midday (10-15)</v>
      </c>
    </row>
    <row r="8091" spans="1:9">
      <c r="A8091" s="32">
        <v>42159</v>
      </c>
      <c r="B8091">
        <v>12</v>
      </c>
      <c r="C8091">
        <v>3294</v>
      </c>
      <c r="D8091" t="s">
        <v>304</v>
      </c>
      <c r="E8091">
        <f>YEAR(A8091)</f>
        <v>2015</v>
      </c>
      <c r="F8091" s="33">
        <f>DATE(YEAR(A8091),MONTH(A8091),1)</f>
        <v>42156.0</v>
      </c>
      <c r="G8091" t="str">
        <f>CHOOSE(WEEKDAY(A8091,2),"Mon","Tue","Wed","Thu","Fri","Sat","Sun")</f>
        <v>Thu</v>
      </c>
      <c r="H8091" t="str">
        <f>IF(WEEKDAY(A8091,2)&gt;5,"Weekend","Weekday")</f>
        <v>Weekday</v>
      </c>
      <c r="I8091" t="str">
        <f>_xlfn.IFS(B8091&lt;=5,"Night (0-5)",B8091&lt;=9,"Morning peak (6-9)",B8091&lt;=15,"Midday (10-15)",B8091&lt;=19,"Evening peak (16-19)",TRUE,"Late evening (20-23)")</f>
        <v>Midday (10-15)</v>
      </c>
    </row>
    <row r="8092" spans="1:9">
      <c r="A8092" s="32">
        <v>42159</v>
      </c>
      <c r="B8092">
        <v>13</v>
      </c>
      <c r="C8092">
        <v>3183</v>
      </c>
      <c r="D8092" t="s">
        <v>304</v>
      </c>
      <c r="E8092">
        <f>YEAR(A8092)</f>
        <v>2015</v>
      </c>
      <c r="F8092" s="33">
        <f>DATE(YEAR(A8092),MONTH(A8092),1)</f>
        <v>42156.0</v>
      </c>
      <c r="G8092" t="str">
        <f>CHOOSE(WEEKDAY(A8092,2),"Mon","Tue","Wed","Thu","Fri","Sat","Sun")</f>
        <v>Thu</v>
      </c>
      <c r="H8092" t="str">
        <f>IF(WEEKDAY(A8092,2)&gt;5,"Weekend","Weekday")</f>
        <v>Weekday</v>
      </c>
      <c r="I8092" t="str">
        <f>_xlfn.IFS(B8092&lt;=5,"Night (0-5)",B8092&lt;=9,"Morning peak (6-9)",B8092&lt;=15,"Midday (10-15)",B8092&lt;=19,"Evening peak (16-19)",TRUE,"Late evening (20-23)")</f>
        <v>Midday (10-15)</v>
      </c>
    </row>
    <row r="8093" spans="1:9">
      <c r="A8093" s="32">
        <v>42159</v>
      </c>
      <c r="B8093">
        <v>14</v>
      </c>
      <c r="C8093">
        <v>3625</v>
      </c>
      <c r="D8093" t="s">
        <v>304</v>
      </c>
      <c r="E8093">
        <f>YEAR(A8093)</f>
        <v>2015</v>
      </c>
      <c r="F8093" s="33">
        <f>DATE(YEAR(A8093),MONTH(A8093),1)</f>
        <v>42156.0</v>
      </c>
      <c r="G8093" t="str">
        <f>CHOOSE(WEEKDAY(A8093,2),"Mon","Tue","Wed","Thu","Fri","Sat","Sun")</f>
        <v>Thu</v>
      </c>
      <c r="H8093" t="str">
        <f>IF(WEEKDAY(A8093,2)&gt;5,"Weekend","Weekday")</f>
        <v>Weekday</v>
      </c>
      <c r="I8093" t="str">
        <f>_xlfn.IFS(B8093&lt;=5,"Night (0-5)",B8093&lt;=9,"Morning peak (6-9)",B8093&lt;=15,"Midday (10-15)",B8093&lt;=19,"Evening peak (16-19)",TRUE,"Late evening (20-23)")</f>
        <v>Midday (10-15)</v>
      </c>
    </row>
    <row r="8094" spans="1:9">
      <c r="A8094" s="32">
        <v>42159</v>
      </c>
      <c r="B8094">
        <v>15</v>
      </c>
      <c r="C8094">
        <v>4174</v>
      </c>
      <c r="D8094" t="s">
        <v>304</v>
      </c>
      <c r="E8094">
        <f>YEAR(A8094)</f>
        <v>2015</v>
      </c>
      <c r="F8094" s="33">
        <f>DATE(YEAR(A8094),MONTH(A8094),1)</f>
        <v>42156.0</v>
      </c>
      <c r="G8094" t="str">
        <f>CHOOSE(WEEKDAY(A8094,2),"Mon","Tue","Wed","Thu","Fri","Sat","Sun")</f>
        <v>Thu</v>
      </c>
      <c r="H8094" t="str">
        <f>IF(WEEKDAY(A8094,2)&gt;5,"Weekend","Weekday")</f>
        <v>Weekday</v>
      </c>
      <c r="I8094" t="str">
        <f>_xlfn.IFS(B8094&lt;=5,"Night (0-5)",B8094&lt;=9,"Morning peak (6-9)",B8094&lt;=15,"Midday (10-15)",B8094&lt;=19,"Evening peak (16-19)",TRUE,"Late evening (20-23)")</f>
        <v>Midday (10-15)</v>
      </c>
    </row>
    <row r="8095" spans="1:9">
      <c r="A8095" s="32">
        <v>42159</v>
      </c>
      <c r="B8095">
        <v>16</v>
      </c>
      <c r="C8095">
        <v>4933</v>
      </c>
      <c r="D8095" t="s">
        <v>304</v>
      </c>
      <c r="E8095">
        <f>YEAR(A8095)</f>
        <v>2015</v>
      </c>
      <c r="F8095" s="33">
        <f>DATE(YEAR(A8095),MONTH(A8095),1)</f>
        <v>42156.0</v>
      </c>
      <c r="G8095" t="str">
        <f>CHOOSE(WEEKDAY(A8095,2),"Mon","Tue","Wed","Thu","Fri","Sat","Sun")</f>
        <v>Thu</v>
      </c>
      <c r="H8095" t="str">
        <f>IF(WEEKDAY(A8095,2)&gt;5,"Weekend","Weekday")</f>
        <v>Weekday</v>
      </c>
      <c r="I8095" t="str">
        <f>_xlfn.IFS(B8095&lt;=5,"Night (0-5)",B8095&lt;=9,"Morning peak (6-9)",B8095&lt;=15,"Midday (10-15)",B8095&lt;=19,"Evening peak (16-19)",TRUE,"Late evening (20-23)")</f>
        <v>Evening peak (16-19)</v>
      </c>
    </row>
    <row r="8096" spans="1:9">
      <c r="A8096" s="32">
        <v>42159</v>
      </c>
      <c r="B8096">
        <v>17</v>
      </c>
      <c r="C8096">
        <v>5664</v>
      </c>
      <c r="D8096" t="s">
        <v>304</v>
      </c>
      <c r="E8096">
        <f>YEAR(A8096)</f>
        <v>2015</v>
      </c>
      <c r="F8096" s="33">
        <f>DATE(YEAR(A8096),MONTH(A8096),1)</f>
        <v>42156.0</v>
      </c>
      <c r="G8096" t="str">
        <f>CHOOSE(WEEKDAY(A8096,2),"Mon","Tue","Wed","Thu","Fri","Sat","Sun")</f>
        <v>Thu</v>
      </c>
      <c r="H8096" t="str">
        <f>IF(WEEKDAY(A8096,2)&gt;5,"Weekend","Weekday")</f>
        <v>Weekday</v>
      </c>
      <c r="I8096" t="str">
        <f>_xlfn.IFS(B8096&lt;=5,"Night (0-5)",B8096&lt;=9,"Morning peak (6-9)",B8096&lt;=15,"Midday (10-15)",B8096&lt;=19,"Evening peak (16-19)",TRUE,"Late evening (20-23)")</f>
        <v>Evening peak (16-19)</v>
      </c>
    </row>
    <row r="8097" spans="1:9">
      <c r="A8097" s="32">
        <v>42159</v>
      </c>
      <c r="B8097">
        <v>18</v>
      </c>
      <c r="C8097">
        <v>6937</v>
      </c>
      <c r="D8097" t="s">
        <v>304</v>
      </c>
      <c r="E8097">
        <f>YEAR(A8097)</f>
        <v>2015</v>
      </c>
      <c r="F8097" s="33">
        <f>DATE(YEAR(A8097),MONTH(A8097),1)</f>
        <v>42156.0</v>
      </c>
      <c r="G8097" t="str">
        <f>CHOOSE(WEEKDAY(A8097,2),"Mon","Tue","Wed","Thu","Fri","Sat","Sun")</f>
        <v>Thu</v>
      </c>
      <c r="H8097" t="str">
        <f>IF(WEEKDAY(A8097,2)&gt;5,"Weekend","Weekday")</f>
        <v>Weekday</v>
      </c>
      <c r="I8097" t="str">
        <f>_xlfn.IFS(B8097&lt;=5,"Night (0-5)",B8097&lt;=9,"Morning peak (6-9)",B8097&lt;=15,"Midday (10-15)",B8097&lt;=19,"Evening peak (16-19)",TRUE,"Late evening (20-23)")</f>
        <v>Evening peak (16-19)</v>
      </c>
    </row>
    <row r="8098" spans="1:9">
      <c r="A8098" s="32">
        <v>42159</v>
      </c>
      <c r="B8098">
        <v>19</v>
      </c>
      <c r="C8098">
        <v>6991</v>
      </c>
      <c r="D8098" t="s">
        <v>304</v>
      </c>
      <c r="E8098">
        <f>YEAR(A8098)</f>
        <v>2015</v>
      </c>
      <c r="F8098" s="33">
        <f>DATE(YEAR(A8098),MONTH(A8098),1)</f>
        <v>42156.0</v>
      </c>
      <c r="G8098" t="str">
        <f>CHOOSE(WEEKDAY(A8098,2),"Mon","Tue","Wed","Thu","Fri","Sat","Sun")</f>
        <v>Thu</v>
      </c>
      <c r="H8098" t="str">
        <f>IF(WEEKDAY(A8098,2)&gt;5,"Weekend","Weekday")</f>
        <v>Weekday</v>
      </c>
      <c r="I8098" t="str">
        <f>_xlfn.IFS(B8098&lt;=5,"Night (0-5)",B8098&lt;=9,"Morning peak (6-9)",B8098&lt;=15,"Midday (10-15)",B8098&lt;=19,"Evening peak (16-19)",TRUE,"Late evening (20-23)")</f>
        <v>Evening peak (16-19)</v>
      </c>
    </row>
    <row r="8099" spans="1:9">
      <c r="A8099" s="32">
        <v>42159</v>
      </c>
      <c r="B8099">
        <v>20</v>
      </c>
      <c r="C8099">
        <v>6600</v>
      </c>
      <c r="D8099" t="s">
        <v>304</v>
      </c>
      <c r="E8099">
        <f>YEAR(A8099)</f>
        <v>2015</v>
      </c>
      <c r="F8099" s="33">
        <f>DATE(YEAR(A8099),MONTH(A8099),1)</f>
        <v>42156.0</v>
      </c>
      <c r="G8099" t="str">
        <f>CHOOSE(WEEKDAY(A8099,2),"Mon","Tue","Wed","Thu","Fri","Sat","Sun")</f>
        <v>Thu</v>
      </c>
      <c r="H8099" t="str">
        <f>IF(WEEKDAY(A8099,2)&gt;5,"Weekend","Weekday")</f>
        <v>Weekday</v>
      </c>
      <c r="I8099" t="str">
        <f>_xlfn.IFS(B8099&lt;=5,"Night (0-5)",B8099&lt;=9,"Morning peak (6-9)",B8099&lt;=15,"Midday (10-15)",B8099&lt;=19,"Evening peak (16-19)",TRUE,"Late evening (20-23)")</f>
        <v>Late evening (20-23)</v>
      </c>
    </row>
    <row r="8100" spans="1:9">
      <c r="A8100" s="32">
        <v>42159</v>
      </c>
      <c r="B8100">
        <v>21</v>
      </c>
      <c r="C8100">
        <v>7215</v>
      </c>
      <c r="D8100" t="s">
        <v>304</v>
      </c>
      <c r="E8100">
        <f>YEAR(A8100)</f>
        <v>2015</v>
      </c>
      <c r="F8100" s="33">
        <f>DATE(YEAR(A8100),MONTH(A8100),1)</f>
        <v>42156.0</v>
      </c>
      <c r="G8100" t="str">
        <f>CHOOSE(WEEKDAY(A8100,2),"Mon","Tue","Wed","Thu","Fri","Sat","Sun")</f>
        <v>Thu</v>
      </c>
      <c r="H8100" t="str">
        <f>IF(WEEKDAY(A8100,2)&gt;5,"Weekend","Weekday")</f>
        <v>Weekday</v>
      </c>
      <c r="I8100" t="str">
        <f>_xlfn.IFS(B8100&lt;=5,"Night (0-5)",B8100&lt;=9,"Morning peak (6-9)",B8100&lt;=15,"Midday (10-15)",B8100&lt;=19,"Evening peak (16-19)",TRUE,"Late evening (20-23)")</f>
        <v>Late evening (20-23)</v>
      </c>
    </row>
    <row r="8101" spans="1:9">
      <c r="A8101" s="32">
        <v>42159</v>
      </c>
      <c r="B8101">
        <v>22</v>
      </c>
      <c r="C8101">
        <v>7203</v>
      </c>
      <c r="D8101" t="s">
        <v>304</v>
      </c>
      <c r="E8101">
        <f>YEAR(A8101)</f>
        <v>2015</v>
      </c>
      <c r="F8101" s="33">
        <f>DATE(YEAR(A8101),MONTH(A8101),1)</f>
        <v>42156.0</v>
      </c>
      <c r="G8101" t="str">
        <f>CHOOSE(WEEKDAY(A8101,2),"Mon","Tue","Wed","Thu","Fri","Sat","Sun")</f>
        <v>Thu</v>
      </c>
      <c r="H8101" t="str">
        <f>IF(WEEKDAY(A8101,2)&gt;5,"Weekend","Weekday")</f>
        <v>Weekday</v>
      </c>
      <c r="I8101" t="str">
        <f>_xlfn.IFS(B8101&lt;=5,"Night (0-5)",B8101&lt;=9,"Morning peak (6-9)",B8101&lt;=15,"Midday (10-15)",B8101&lt;=19,"Evening peak (16-19)",TRUE,"Late evening (20-23)")</f>
        <v>Late evening (20-23)</v>
      </c>
    </row>
    <row r="8102" spans="1:9">
      <c r="A8102" s="32">
        <v>42159</v>
      </c>
      <c r="B8102">
        <v>23</v>
      </c>
      <c r="C8102">
        <v>6342</v>
      </c>
      <c r="D8102" t="s">
        <v>304</v>
      </c>
      <c r="E8102">
        <f>YEAR(A8102)</f>
        <v>2015</v>
      </c>
      <c r="F8102" s="33">
        <f>DATE(YEAR(A8102),MONTH(A8102),1)</f>
        <v>42156.0</v>
      </c>
      <c r="G8102" t="str">
        <f>CHOOSE(WEEKDAY(A8102,2),"Mon","Tue","Wed","Thu","Fri","Sat","Sun")</f>
        <v>Thu</v>
      </c>
      <c r="H8102" t="str">
        <f>IF(WEEKDAY(A8102,2)&gt;5,"Weekend","Weekday")</f>
        <v>Weekday</v>
      </c>
      <c r="I8102" t="str">
        <f>_xlfn.IFS(B8102&lt;=5,"Night (0-5)",B8102&lt;=9,"Morning peak (6-9)",B8102&lt;=15,"Midday (10-15)",B8102&lt;=19,"Evening peak (16-19)",TRUE,"Late evening (20-23)")</f>
        <v>Late evening (20-23)</v>
      </c>
    </row>
    <row r="8103" spans="1:9">
      <c r="A8103" s="32">
        <v>42160</v>
      </c>
      <c r="B8103">
        <v>0</v>
      </c>
      <c r="C8103">
        <v>4667</v>
      </c>
      <c r="D8103" t="s">
        <v>304</v>
      </c>
      <c r="E8103">
        <f>YEAR(A8103)</f>
        <v>2015</v>
      </c>
      <c r="F8103" s="33">
        <f>DATE(YEAR(A8103),MONTH(A8103),1)</f>
        <v>42156.0</v>
      </c>
      <c r="G8103" t="str">
        <f>CHOOSE(WEEKDAY(A8103,2),"Mon","Tue","Wed","Thu","Fri","Sat","Sun")</f>
        <v>Fri</v>
      </c>
      <c r="H8103" t="str">
        <f>IF(WEEKDAY(A8103,2)&gt;5,"Weekend","Weekday")</f>
        <v>Weekday</v>
      </c>
      <c r="I8103" t="str">
        <f>_xlfn.IFS(B8103&lt;=5,"Night (0-5)",B8103&lt;=9,"Morning peak (6-9)",B8103&lt;=15,"Midday (10-15)",B8103&lt;=19,"Evening peak (16-19)",TRUE,"Late evening (20-23)")</f>
        <v>Night (0-5)</v>
      </c>
    </row>
    <row r="8104" spans="1:9">
      <c r="A8104" s="32">
        <v>42160</v>
      </c>
      <c r="B8104">
        <v>1</v>
      </c>
      <c r="C8104">
        <v>2344</v>
      </c>
      <c r="D8104" t="s">
        <v>304</v>
      </c>
      <c r="E8104">
        <f>YEAR(A8104)</f>
        <v>2015</v>
      </c>
      <c r="F8104" s="33">
        <f>DATE(YEAR(A8104),MONTH(A8104),1)</f>
        <v>42156.0</v>
      </c>
      <c r="G8104" t="str">
        <f>CHOOSE(WEEKDAY(A8104,2),"Mon","Tue","Wed","Thu","Fri","Sat","Sun")</f>
        <v>Fri</v>
      </c>
      <c r="H8104" t="str">
        <f>IF(WEEKDAY(A8104,2)&gt;5,"Weekend","Weekday")</f>
        <v>Weekday</v>
      </c>
      <c r="I8104" t="str">
        <f>_xlfn.IFS(B8104&lt;=5,"Night (0-5)",B8104&lt;=9,"Morning peak (6-9)",B8104&lt;=15,"Midday (10-15)",B8104&lt;=19,"Evening peak (16-19)",TRUE,"Late evening (20-23)")</f>
        <v>Night (0-5)</v>
      </c>
    </row>
    <row r="8105" spans="1:9">
      <c r="A8105" s="32">
        <v>42160</v>
      </c>
      <c r="B8105">
        <v>2</v>
      </c>
      <c r="C8105">
        <v>1430</v>
      </c>
      <c r="D8105" t="s">
        <v>304</v>
      </c>
      <c r="E8105">
        <f>YEAR(A8105)</f>
        <v>2015</v>
      </c>
      <c r="F8105" s="33">
        <f>DATE(YEAR(A8105),MONTH(A8105),1)</f>
        <v>42156.0</v>
      </c>
      <c r="G8105" t="str">
        <f>CHOOSE(WEEKDAY(A8105,2),"Mon","Tue","Wed","Thu","Fri","Sat","Sun")</f>
        <v>Fri</v>
      </c>
      <c r="H8105" t="str">
        <f>IF(WEEKDAY(A8105,2)&gt;5,"Weekend","Weekday")</f>
        <v>Weekday</v>
      </c>
      <c r="I8105" t="str">
        <f>_xlfn.IFS(B8105&lt;=5,"Night (0-5)",B8105&lt;=9,"Morning peak (6-9)",B8105&lt;=15,"Midday (10-15)",B8105&lt;=19,"Evening peak (16-19)",TRUE,"Late evening (20-23)")</f>
        <v>Night (0-5)</v>
      </c>
    </row>
    <row r="8106" spans="1:9">
      <c r="A8106" s="32">
        <v>42160</v>
      </c>
      <c r="B8106">
        <v>3</v>
      </c>
      <c r="C8106">
        <v>999</v>
      </c>
      <c r="D8106" t="s">
        <v>304</v>
      </c>
      <c r="E8106">
        <f>YEAR(A8106)</f>
        <v>2015</v>
      </c>
      <c r="F8106" s="33">
        <f>DATE(YEAR(A8106),MONTH(A8106),1)</f>
        <v>42156.0</v>
      </c>
      <c r="G8106" t="str">
        <f>CHOOSE(WEEKDAY(A8106,2),"Mon","Tue","Wed","Thu","Fri","Sat","Sun")</f>
        <v>Fri</v>
      </c>
      <c r="H8106" t="str">
        <f>IF(WEEKDAY(A8106,2)&gt;5,"Weekend","Weekday")</f>
        <v>Weekday</v>
      </c>
      <c r="I8106" t="str">
        <f>_xlfn.IFS(B8106&lt;=5,"Night (0-5)",B8106&lt;=9,"Morning peak (6-9)",B8106&lt;=15,"Midday (10-15)",B8106&lt;=19,"Evening peak (16-19)",TRUE,"Late evening (20-23)")</f>
        <v>Night (0-5)</v>
      </c>
    </row>
    <row r="8107" spans="1:9">
      <c r="A8107" s="32">
        <v>42160</v>
      </c>
      <c r="B8107">
        <v>4</v>
      </c>
      <c r="C8107">
        <v>1122</v>
      </c>
      <c r="D8107" t="s">
        <v>304</v>
      </c>
      <c r="E8107">
        <f>YEAR(A8107)</f>
        <v>2015</v>
      </c>
      <c r="F8107" s="33">
        <f>DATE(YEAR(A8107),MONTH(A8107),1)</f>
        <v>42156.0</v>
      </c>
      <c r="G8107" t="str">
        <f>CHOOSE(WEEKDAY(A8107,2),"Mon","Tue","Wed","Thu","Fri","Sat","Sun")</f>
        <v>Fri</v>
      </c>
      <c r="H8107" t="str">
        <f>IF(WEEKDAY(A8107,2)&gt;5,"Weekend","Weekday")</f>
        <v>Weekday</v>
      </c>
      <c r="I8107" t="str">
        <f>_xlfn.IFS(B8107&lt;=5,"Night (0-5)",B8107&lt;=9,"Morning peak (6-9)",B8107&lt;=15,"Midday (10-15)",B8107&lt;=19,"Evening peak (16-19)",TRUE,"Late evening (20-23)")</f>
        <v>Night (0-5)</v>
      </c>
    </row>
    <row r="8108" spans="1:9">
      <c r="A8108" s="32">
        <v>42160</v>
      </c>
      <c r="B8108">
        <v>5</v>
      </c>
      <c r="C8108">
        <v>1303</v>
      </c>
      <c r="D8108" t="s">
        <v>304</v>
      </c>
      <c r="E8108">
        <f>YEAR(A8108)</f>
        <v>2015</v>
      </c>
      <c r="F8108" s="33">
        <f>DATE(YEAR(A8108),MONTH(A8108),1)</f>
        <v>42156.0</v>
      </c>
      <c r="G8108" t="str">
        <f>CHOOSE(WEEKDAY(A8108,2),"Mon","Tue","Wed","Thu","Fri","Sat","Sun")</f>
        <v>Fri</v>
      </c>
      <c r="H8108" t="str">
        <f>IF(WEEKDAY(A8108,2)&gt;5,"Weekend","Weekday")</f>
        <v>Weekday</v>
      </c>
      <c r="I8108" t="str">
        <f>_xlfn.IFS(B8108&lt;=5,"Night (0-5)",B8108&lt;=9,"Morning peak (6-9)",B8108&lt;=15,"Midday (10-15)",B8108&lt;=19,"Evening peak (16-19)",TRUE,"Late evening (20-23)")</f>
        <v>Night (0-5)</v>
      </c>
    </row>
    <row r="8109" spans="1:9">
      <c r="A8109" s="32">
        <v>42160</v>
      </c>
      <c r="B8109">
        <v>6</v>
      </c>
      <c r="C8109">
        <v>2124</v>
      </c>
      <c r="D8109" t="s">
        <v>304</v>
      </c>
      <c r="E8109">
        <f>YEAR(A8109)</f>
        <v>2015</v>
      </c>
      <c r="F8109" s="33">
        <f>DATE(YEAR(A8109),MONTH(A8109),1)</f>
        <v>42156.0</v>
      </c>
      <c r="G8109" t="str">
        <f>CHOOSE(WEEKDAY(A8109,2),"Mon","Tue","Wed","Thu","Fri","Sat","Sun")</f>
        <v>Fri</v>
      </c>
      <c r="H8109" t="str">
        <f>IF(WEEKDAY(A8109,2)&gt;5,"Weekend","Weekday")</f>
        <v>Weekday</v>
      </c>
      <c r="I8109" t="str">
        <f>_xlfn.IFS(B8109&lt;=5,"Night (0-5)",B8109&lt;=9,"Morning peak (6-9)",B8109&lt;=15,"Midday (10-15)",B8109&lt;=19,"Evening peak (16-19)",TRUE,"Late evening (20-23)")</f>
        <v>Morning peak (6-9)</v>
      </c>
    </row>
    <row r="8110" spans="1:9">
      <c r="A8110" s="32">
        <v>42160</v>
      </c>
      <c r="B8110">
        <v>7</v>
      </c>
      <c r="C8110">
        <v>3301</v>
      </c>
      <c r="D8110" t="s">
        <v>304</v>
      </c>
      <c r="E8110">
        <f>YEAR(A8110)</f>
        <v>2015</v>
      </c>
      <c r="F8110" s="33">
        <f>DATE(YEAR(A8110),MONTH(A8110),1)</f>
        <v>42156.0</v>
      </c>
      <c r="G8110" t="str">
        <f>CHOOSE(WEEKDAY(A8110,2),"Mon","Tue","Wed","Thu","Fri","Sat","Sun")</f>
        <v>Fri</v>
      </c>
      <c r="H8110" t="str">
        <f>IF(WEEKDAY(A8110,2)&gt;5,"Weekend","Weekday")</f>
        <v>Weekday</v>
      </c>
      <c r="I8110" t="str">
        <f>_xlfn.IFS(B8110&lt;=5,"Night (0-5)",B8110&lt;=9,"Morning peak (6-9)",B8110&lt;=15,"Midday (10-15)",B8110&lt;=19,"Evening peak (16-19)",TRUE,"Late evening (20-23)")</f>
        <v>Morning peak (6-9)</v>
      </c>
    </row>
    <row r="8111" spans="1:9">
      <c r="A8111" s="32">
        <v>42160</v>
      </c>
      <c r="B8111">
        <v>8</v>
      </c>
      <c r="C8111">
        <v>4490</v>
      </c>
      <c r="D8111" t="s">
        <v>304</v>
      </c>
      <c r="E8111">
        <f>YEAR(A8111)</f>
        <v>2015</v>
      </c>
      <c r="F8111" s="33">
        <f>DATE(YEAR(A8111),MONTH(A8111),1)</f>
        <v>42156.0</v>
      </c>
      <c r="G8111" t="str">
        <f>CHOOSE(WEEKDAY(A8111,2),"Mon","Tue","Wed","Thu","Fri","Sat","Sun")</f>
        <v>Fri</v>
      </c>
      <c r="H8111" t="str">
        <f>IF(WEEKDAY(A8111,2)&gt;5,"Weekend","Weekday")</f>
        <v>Weekday</v>
      </c>
      <c r="I8111" t="str">
        <f>_xlfn.IFS(B8111&lt;=5,"Night (0-5)",B8111&lt;=9,"Morning peak (6-9)",B8111&lt;=15,"Midday (10-15)",B8111&lt;=19,"Evening peak (16-19)",TRUE,"Late evening (20-23)")</f>
        <v>Morning peak (6-9)</v>
      </c>
    </row>
    <row r="8112" spans="1:9">
      <c r="A8112" s="32">
        <v>42160</v>
      </c>
      <c r="B8112">
        <v>9</v>
      </c>
      <c r="C8112">
        <v>4475</v>
      </c>
      <c r="D8112" t="s">
        <v>304</v>
      </c>
      <c r="E8112">
        <f>YEAR(A8112)</f>
        <v>2015</v>
      </c>
      <c r="F8112" s="33">
        <f>DATE(YEAR(A8112),MONTH(A8112),1)</f>
        <v>42156.0</v>
      </c>
      <c r="G8112" t="str">
        <f>CHOOSE(WEEKDAY(A8112,2),"Mon","Tue","Wed","Thu","Fri","Sat","Sun")</f>
        <v>Fri</v>
      </c>
      <c r="H8112" t="str">
        <f>IF(WEEKDAY(A8112,2)&gt;5,"Weekend","Weekday")</f>
        <v>Weekday</v>
      </c>
      <c r="I8112" t="str">
        <f>_xlfn.IFS(B8112&lt;=5,"Night (0-5)",B8112&lt;=9,"Morning peak (6-9)",B8112&lt;=15,"Midday (10-15)",B8112&lt;=19,"Evening peak (16-19)",TRUE,"Late evening (20-23)")</f>
        <v>Morning peak (6-9)</v>
      </c>
    </row>
    <row r="8113" spans="1:9">
      <c r="A8113" s="32">
        <v>42160</v>
      </c>
      <c r="B8113">
        <v>10</v>
      </c>
      <c r="C8113">
        <v>4310</v>
      </c>
      <c r="D8113" t="s">
        <v>304</v>
      </c>
      <c r="E8113">
        <f>YEAR(A8113)</f>
        <v>2015</v>
      </c>
      <c r="F8113" s="33">
        <f>DATE(YEAR(A8113),MONTH(A8113),1)</f>
        <v>42156.0</v>
      </c>
      <c r="G8113" t="str">
        <f>CHOOSE(WEEKDAY(A8113,2),"Mon","Tue","Wed","Thu","Fri","Sat","Sun")</f>
        <v>Fri</v>
      </c>
      <c r="H8113" t="str">
        <f>IF(WEEKDAY(A8113,2)&gt;5,"Weekend","Weekday")</f>
        <v>Weekday</v>
      </c>
      <c r="I8113" t="str">
        <f>_xlfn.IFS(B8113&lt;=5,"Night (0-5)",B8113&lt;=9,"Morning peak (6-9)",B8113&lt;=15,"Midday (10-15)",B8113&lt;=19,"Evening peak (16-19)",TRUE,"Late evening (20-23)")</f>
        <v>Midday (10-15)</v>
      </c>
    </row>
    <row r="8114" spans="1:9">
      <c r="A8114" s="32">
        <v>42160</v>
      </c>
      <c r="B8114">
        <v>11</v>
      </c>
      <c r="C8114">
        <v>4518</v>
      </c>
      <c r="D8114" t="s">
        <v>304</v>
      </c>
      <c r="E8114">
        <f>YEAR(A8114)</f>
        <v>2015</v>
      </c>
      <c r="F8114" s="33">
        <f>DATE(YEAR(A8114),MONTH(A8114),1)</f>
        <v>42156.0</v>
      </c>
      <c r="G8114" t="str">
        <f>CHOOSE(WEEKDAY(A8114,2),"Mon","Tue","Wed","Thu","Fri","Sat","Sun")</f>
        <v>Fri</v>
      </c>
      <c r="H8114" t="str">
        <f>IF(WEEKDAY(A8114,2)&gt;5,"Weekend","Weekday")</f>
        <v>Weekday</v>
      </c>
      <c r="I8114" t="str">
        <f>_xlfn.IFS(B8114&lt;=5,"Night (0-5)",B8114&lt;=9,"Morning peak (6-9)",B8114&lt;=15,"Midday (10-15)",B8114&lt;=19,"Evening peak (16-19)",TRUE,"Late evening (20-23)")</f>
        <v>Midday (10-15)</v>
      </c>
    </row>
    <row r="8115" spans="1:9">
      <c r="A8115" s="32">
        <v>42160</v>
      </c>
      <c r="B8115">
        <v>12</v>
      </c>
      <c r="C8115">
        <v>4497</v>
      </c>
      <c r="D8115" t="s">
        <v>304</v>
      </c>
      <c r="E8115">
        <f>YEAR(A8115)</f>
        <v>2015</v>
      </c>
      <c r="F8115" s="33">
        <f>DATE(YEAR(A8115),MONTH(A8115),1)</f>
        <v>42156.0</v>
      </c>
      <c r="G8115" t="str">
        <f>CHOOSE(WEEKDAY(A8115,2),"Mon","Tue","Wed","Thu","Fri","Sat","Sun")</f>
        <v>Fri</v>
      </c>
      <c r="H8115" t="str">
        <f>IF(WEEKDAY(A8115,2)&gt;5,"Weekend","Weekday")</f>
        <v>Weekday</v>
      </c>
      <c r="I8115" t="str">
        <f>_xlfn.IFS(B8115&lt;=5,"Night (0-5)",B8115&lt;=9,"Morning peak (6-9)",B8115&lt;=15,"Midday (10-15)",B8115&lt;=19,"Evening peak (16-19)",TRUE,"Late evening (20-23)")</f>
        <v>Midday (10-15)</v>
      </c>
    </row>
    <row r="8116" spans="1:9">
      <c r="A8116" s="32">
        <v>42160</v>
      </c>
      <c r="B8116">
        <v>13</v>
      </c>
      <c r="C8116">
        <v>4286</v>
      </c>
      <c r="D8116" t="s">
        <v>304</v>
      </c>
      <c r="E8116">
        <f>YEAR(A8116)</f>
        <v>2015</v>
      </c>
      <c r="F8116" s="33">
        <f>DATE(YEAR(A8116),MONTH(A8116),1)</f>
        <v>42156.0</v>
      </c>
      <c r="G8116" t="str">
        <f>CHOOSE(WEEKDAY(A8116,2),"Mon","Tue","Wed","Thu","Fri","Sat","Sun")</f>
        <v>Fri</v>
      </c>
      <c r="H8116" t="str">
        <f>IF(WEEKDAY(A8116,2)&gt;5,"Weekend","Weekday")</f>
        <v>Weekday</v>
      </c>
      <c r="I8116" t="str">
        <f>_xlfn.IFS(B8116&lt;=5,"Night (0-5)",B8116&lt;=9,"Morning peak (6-9)",B8116&lt;=15,"Midday (10-15)",B8116&lt;=19,"Evening peak (16-19)",TRUE,"Late evening (20-23)")</f>
        <v>Midday (10-15)</v>
      </c>
    </row>
    <row r="8117" spans="1:9">
      <c r="A8117" s="32">
        <v>42160</v>
      </c>
      <c r="B8117">
        <v>14</v>
      </c>
      <c r="C8117">
        <v>4479</v>
      </c>
      <c r="D8117" t="s">
        <v>304</v>
      </c>
      <c r="E8117">
        <f>YEAR(A8117)</f>
        <v>2015</v>
      </c>
      <c r="F8117" s="33">
        <f>DATE(YEAR(A8117),MONTH(A8117),1)</f>
        <v>42156.0</v>
      </c>
      <c r="G8117" t="str">
        <f>CHOOSE(WEEKDAY(A8117,2),"Mon","Tue","Wed","Thu","Fri","Sat","Sun")</f>
        <v>Fri</v>
      </c>
      <c r="H8117" t="str">
        <f>IF(WEEKDAY(A8117,2)&gt;5,"Weekend","Weekday")</f>
        <v>Weekday</v>
      </c>
      <c r="I8117" t="str">
        <f>_xlfn.IFS(B8117&lt;=5,"Night (0-5)",B8117&lt;=9,"Morning peak (6-9)",B8117&lt;=15,"Midday (10-15)",B8117&lt;=19,"Evening peak (16-19)",TRUE,"Late evening (20-23)")</f>
        <v>Midday (10-15)</v>
      </c>
    </row>
    <row r="8118" spans="1:9">
      <c r="A8118" s="32">
        <v>42160</v>
      </c>
      <c r="B8118">
        <v>15</v>
      </c>
      <c r="C8118">
        <v>4598</v>
      </c>
      <c r="D8118" t="s">
        <v>304</v>
      </c>
      <c r="E8118">
        <f>YEAR(A8118)</f>
        <v>2015</v>
      </c>
      <c r="F8118" s="33">
        <f>DATE(YEAR(A8118),MONTH(A8118),1)</f>
        <v>42156.0</v>
      </c>
      <c r="G8118" t="str">
        <f>CHOOSE(WEEKDAY(A8118,2),"Mon","Tue","Wed","Thu","Fri","Sat","Sun")</f>
        <v>Fri</v>
      </c>
      <c r="H8118" t="str">
        <f>IF(WEEKDAY(A8118,2)&gt;5,"Weekend","Weekday")</f>
        <v>Weekday</v>
      </c>
      <c r="I8118" t="str">
        <f>_xlfn.IFS(B8118&lt;=5,"Night (0-5)",B8118&lt;=9,"Morning peak (6-9)",B8118&lt;=15,"Midday (10-15)",B8118&lt;=19,"Evening peak (16-19)",TRUE,"Late evening (20-23)")</f>
        <v>Midday (10-15)</v>
      </c>
    </row>
    <row r="8119" spans="1:9">
      <c r="A8119" s="32">
        <v>42160</v>
      </c>
      <c r="B8119">
        <v>16</v>
      </c>
      <c r="C8119">
        <v>4976</v>
      </c>
      <c r="D8119" t="s">
        <v>304</v>
      </c>
      <c r="E8119">
        <f>YEAR(A8119)</f>
        <v>2015</v>
      </c>
      <c r="F8119" s="33">
        <f>DATE(YEAR(A8119),MONTH(A8119),1)</f>
        <v>42156.0</v>
      </c>
      <c r="G8119" t="str">
        <f>CHOOSE(WEEKDAY(A8119,2),"Mon","Tue","Wed","Thu","Fri","Sat","Sun")</f>
        <v>Fri</v>
      </c>
      <c r="H8119" t="str">
        <f>IF(WEEKDAY(A8119,2)&gt;5,"Weekend","Weekday")</f>
        <v>Weekday</v>
      </c>
      <c r="I8119" t="str">
        <f>_xlfn.IFS(B8119&lt;=5,"Night (0-5)",B8119&lt;=9,"Morning peak (6-9)",B8119&lt;=15,"Midday (10-15)",B8119&lt;=19,"Evening peak (16-19)",TRUE,"Late evening (20-23)")</f>
        <v>Evening peak (16-19)</v>
      </c>
    </row>
    <row r="8120" spans="1:9">
      <c r="A8120" s="32">
        <v>42160</v>
      </c>
      <c r="B8120">
        <v>17</v>
      </c>
      <c r="C8120">
        <v>5592</v>
      </c>
      <c r="D8120" t="s">
        <v>304</v>
      </c>
      <c r="E8120">
        <f>YEAR(A8120)</f>
        <v>2015</v>
      </c>
      <c r="F8120" s="33">
        <f>DATE(YEAR(A8120),MONTH(A8120),1)</f>
        <v>42156.0</v>
      </c>
      <c r="G8120" t="str">
        <f>CHOOSE(WEEKDAY(A8120,2),"Mon","Tue","Wed","Thu","Fri","Sat","Sun")</f>
        <v>Fri</v>
      </c>
      <c r="H8120" t="str">
        <f>IF(WEEKDAY(A8120,2)&gt;5,"Weekend","Weekday")</f>
        <v>Weekday</v>
      </c>
      <c r="I8120" t="str">
        <f>_xlfn.IFS(B8120&lt;=5,"Night (0-5)",B8120&lt;=9,"Morning peak (6-9)",B8120&lt;=15,"Midday (10-15)",B8120&lt;=19,"Evening peak (16-19)",TRUE,"Late evening (20-23)")</f>
        <v>Evening peak (16-19)</v>
      </c>
    </row>
    <row r="8121" spans="1:9">
      <c r="A8121" s="32">
        <v>42160</v>
      </c>
      <c r="B8121">
        <v>18</v>
      </c>
      <c r="C8121">
        <v>6222</v>
      </c>
      <c r="D8121" t="s">
        <v>304</v>
      </c>
      <c r="E8121">
        <f>YEAR(A8121)</f>
        <v>2015</v>
      </c>
      <c r="F8121" s="33">
        <f>DATE(YEAR(A8121),MONTH(A8121),1)</f>
        <v>42156.0</v>
      </c>
      <c r="G8121" t="str">
        <f>CHOOSE(WEEKDAY(A8121,2),"Mon","Tue","Wed","Thu","Fri","Sat","Sun")</f>
        <v>Fri</v>
      </c>
      <c r="H8121" t="str">
        <f>IF(WEEKDAY(A8121,2)&gt;5,"Weekend","Weekday")</f>
        <v>Weekday</v>
      </c>
      <c r="I8121" t="str">
        <f>_xlfn.IFS(B8121&lt;=5,"Night (0-5)",B8121&lt;=9,"Morning peak (6-9)",B8121&lt;=15,"Midday (10-15)",B8121&lt;=19,"Evening peak (16-19)",TRUE,"Late evening (20-23)")</f>
        <v>Evening peak (16-19)</v>
      </c>
    </row>
    <row r="8122" spans="1:9">
      <c r="A8122" s="32">
        <v>42160</v>
      </c>
      <c r="B8122">
        <v>19</v>
      </c>
      <c r="C8122">
        <v>6399</v>
      </c>
      <c r="D8122" t="s">
        <v>304</v>
      </c>
      <c r="E8122">
        <f>YEAR(A8122)</f>
        <v>2015</v>
      </c>
      <c r="F8122" s="33">
        <f>DATE(YEAR(A8122),MONTH(A8122),1)</f>
        <v>42156.0</v>
      </c>
      <c r="G8122" t="str">
        <f>CHOOSE(WEEKDAY(A8122,2),"Mon","Tue","Wed","Thu","Fri","Sat","Sun")</f>
        <v>Fri</v>
      </c>
      <c r="H8122" t="str">
        <f>IF(WEEKDAY(A8122,2)&gt;5,"Weekend","Weekday")</f>
        <v>Weekday</v>
      </c>
      <c r="I8122" t="str">
        <f>_xlfn.IFS(B8122&lt;=5,"Night (0-5)",B8122&lt;=9,"Morning peak (6-9)",B8122&lt;=15,"Midday (10-15)",B8122&lt;=19,"Evening peak (16-19)",TRUE,"Late evening (20-23)")</f>
        <v>Evening peak (16-19)</v>
      </c>
    </row>
    <row r="8123" spans="1:9">
      <c r="A8123" s="32">
        <v>42160</v>
      </c>
      <c r="B8123">
        <v>20</v>
      </c>
      <c r="C8123">
        <v>5855</v>
      </c>
      <c r="D8123" t="s">
        <v>304</v>
      </c>
      <c r="E8123">
        <f>YEAR(A8123)</f>
        <v>2015</v>
      </c>
      <c r="F8123" s="33">
        <f>DATE(YEAR(A8123),MONTH(A8123),1)</f>
        <v>42156.0</v>
      </c>
      <c r="G8123" t="str">
        <f>CHOOSE(WEEKDAY(A8123,2),"Mon","Tue","Wed","Thu","Fri","Sat","Sun")</f>
        <v>Fri</v>
      </c>
      <c r="H8123" t="str">
        <f>IF(WEEKDAY(A8123,2)&gt;5,"Weekend","Weekday")</f>
        <v>Weekday</v>
      </c>
      <c r="I8123" t="str">
        <f>_xlfn.IFS(B8123&lt;=5,"Night (0-5)",B8123&lt;=9,"Morning peak (6-9)",B8123&lt;=15,"Midday (10-15)",B8123&lt;=19,"Evening peak (16-19)",TRUE,"Late evening (20-23)")</f>
        <v>Late evening (20-23)</v>
      </c>
    </row>
    <row r="8124" spans="1:9">
      <c r="A8124" s="32">
        <v>42160</v>
      </c>
      <c r="B8124">
        <v>21</v>
      </c>
      <c r="C8124">
        <v>5881</v>
      </c>
      <c r="D8124" t="s">
        <v>304</v>
      </c>
      <c r="E8124">
        <f>YEAR(A8124)</f>
        <v>2015</v>
      </c>
      <c r="F8124" s="33">
        <f>DATE(YEAR(A8124),MONTH(A8124),1)</f>
        <v>42156.0</v>
      </c>
      <c r="G8124" t="str">
        <f>CHOOSE(WEEKDAY(A8124,2),"Mon","Tue","Wed","Thu","Fri","Sat","Sun")</f>
        <v>Fri</v>
      </c>
      <c r="H8124" t="str">
        <f>IF(WEEKDAY(A8124,2)&gt;5,"Weekend","Weekday")</f>
        <v>Weekday</v>
      </c>
      <c r="I8124" t="str">
        <f>_xlfn.IFS(B8124&lt;=5,"Night (0-5)",B8124&lt;=9,"Morning peak (6-9)",B8124&lt;=15,"Midday (10-15)",B8124&lt;=19,"Evening peak (16-19)",TRUE,"Late evening (20-23)")</f>
        <v>Late evening (20-23)</v>
      </c>
    </row>
    <row r="8125" spans="1:9">
      <c r="A8125" s="32">
        <v>42160</v>
      </c>
      <c r="B8125">
        <v>22</v>
      </c>
      <c r="C8125">
        <v>6634</v>
      </c>
      <c r="D8125" t="s">
        <v>304</v>
      </c>
      <c r="E8125">
        <f>YEAR(A8125)</f>
        <v>2015</v>
      </c>
      <c r="F8125" s="33">
        <f>DATE(YEAR(A8125),MONTH(A8125),1)</f>
        <v>42156.0</v>
      </c>
      <c r="G8125" t="str">
        <f>CHOOSE(WEEKDAY(A8125,2),"Mon","Tue","Wed","Thu","Fri","Sat","Sun")</f>
        <v>Fri</v>
      </c>
      <c r="H8125" t="str">
        <f>IF(WEEKDAY(A8125,2)&gt;5,"Weekend","Weekday")</f>
        <v>Weekday</v>
      </c>
      <c r="I8125" t="str">
        <f>_xlfn.IFS(B8125&lt;=5,"Night (0-5)",B8125&lt;=9,"Morning peak (6-9)",B8125&lt;=15,"Midday (10-15)",B8125&lt;=19,"Evening peak (16-19)",TRUE,"Late evening (20-23)")</f>
        <v>Late evening (20-23)</v>
      </c>
    </row>
    <row r="8126" spans="1:9">
      <c r="A8126" s="32">
        <v>42160</v>
      </c>
      <c r="B8126">
        <v>23</v>
      </c>
      <c r="C8126">
        <v>7420</v>
      </c>
      <c r="D8126" t="s">
        <v>304</v>
      </c>
      <c r="E8126">
        <f>YEAR(A8126)</f>
        <v>2015</v>
      </c>
      <c r="F8126" s="33">
        <f>DATE(YEAR(A8126),MONTH(A8126),1)</f>
        <v>42156.0</v>
      </c>
      <c r="G8126" t="str">
        <f>CHOOSE(WEEKDAY(A8126,2),"Mon","Tue","Wed","Thu","Fri","Sat","Sun")</f>
        <v>Fri</v>
      </c>
      <c r="H8126" t="str">
        <f>IF(WEEKDAY(A8126,2)&gt;5,"Weekend","Weekday")</f>
        <v>Weekday</v>
      </c>
      <c r="I8126" t="str">
        <f>_xlfn.IFS(B8126&lt;=5,"Night (0-5)",B8126&lt;=9,"Morning peak (6-9)",B8126&lt;=15,"Midday (10-15)",B8126&lt;=19,"Evening peak (16-19)",TRUE,"Late evening (20-23)")</f>
        <v>Late evening (20-23)</v>
      </c>
    </row>
    <row r="8127" spans="1:9">
      <c r="A8127" s="32">
        <v>42161</v>
      </c>
      <c r="B8127">
        <v>0</v>
      </c>
      <c r="C8127">
        <v>6922</v>
      </c>
      <c r="D8127" t="s">
        <v>304</v>
      </c>
      <c r="E8127">
        <f>YEAR(A8127)</f>
        <v>2015</v>
      </c>
      <c r="F8127" s="33">
        <f>DATE(YEAR(A8127),MONTH(A8127),1)</f>
        <v>42156.0</v>
      </c>
      <c r="G8127" t="str">
        <f>CHOOSE(WEEKDAY(A8127,2),"Mon","Tue","Wed","Thu","Fri","Sat","Sun")</f>
        <v>Sat</v>
      </c>
      <c r="H8127" t="str">
        <f>IF(WEEKDAY(A8127,2)&gt;5,"Weekend","Weekday")</f>
        <v>Weekend</v>
      </c>
      <c r="I8127" t="str">
        <f>_xlfn.IFS(B8127&lt;=5,"Night (0-5)",B8127&lt;=9,"Morning peak (6-9)",B8127&lt;=15,"Midday (10-15)",B8127&lt;=19,"Evening peak (16-19)",TRUE,"Late evening (20-23)")</f>
        <v>Night (0-5)</v>
      </c>
    </row>
    <row r="8128" spans="1:9">
      <c r="A8128" s="32">
        <v>42161</v>
      </c>
      <c r="B8128">
        <v>1</v>
      </c>
      <c r="C8128">
        <v>4720</v>
      </c>
      <c r="D8128" t="s">
        <v>304</v>
      </c>
      <c r="E8128">
        <f>YEAR(A8128)</f>
        <v>2015</v>
      </c>
      <c r="F8128" s="33">
        <f>DATE(YEAR(A8128),MONTH(A8128),1)</f>
        <v>42156.0</v>
      </c>
      <c r="G8128" t="str">
        <f>CHOOSE(WEEKDAY(A8128,2),"Mon","Tue","Wed","Thu","Fri","Sat","Sun")</f>
        <v>Sat</v>
      </c>
      <c r="H8128" t="str">
        <f>IF(WEEKDAY(A8128,2)&gt;5,"Weekend","Weekday")</f>
        <v>Weekend</v>
      </c>
      <c r="I8128" t="str">
        <f>_xlfn.IFS(B8128&lt;=5,"Night (0-5)",B8128&lt;=9,"Morning peak (6-9)",B8128&lt;=15,"Midday (10-15)",B8128&lt;=19,"Evening peak (16-19)",TRUE,"Late evening (20-23)")</f>
        <v>Night (0-5)</v>
      </c>
    </row>
    <row r="8129" spans="1:9">
      <c r="A8129" s="32">
        <v>42161</v>
      </c>
      <c r="B8129">
        <v>2</v>
      </c>
      <c r="C8129">
        <v>3173</v>
      </c>
      <c r="D8129" t="s">
        <v>304</v>
      </c>
      <c r="E8129">
        <f>YEAR(A8129)</f>
        <v>2015</v>
      </c>
      <c r="F8129" s="33">
        <f>DATE(YEAR(A8129),MONTH(A8129),1)</f>
        <v>42156.0</v>
      </c>
      <c r="G8129" t="str">
        <f>CHOOSE(WEEKDAY(A8129,2),"Mon","Tue","Wed","Thu","Fri","Sat","Sun")</f>
        <v>Sat</v>
      </c>
      <c r="H8129" t="str">
        <f>IF(WEEKDAY(A8129,2)&gt;5,"Weekend","Weekday")</f>
        <v>Weekend</v>
      </c>
      <c r="I8129" t="str">
        <f>_xlfn.IFS(B8129&lt;=5,"Night (0-5)",B8129&lt;=9,"Morning peak (6-9)",B8129&lt;=15,"Midday (10-15)",B8129&lt;=19,"Evening peak (16-19)",TRUE,"Late evening (20-23)")</f>
        <v>Night (0-5)</v>
      </c>
    </row>
    <row r="8130" spans="1:9">
      <c r="A8130" s="32">
        <v>42161</v>
      </c>
      <c r="B8130">
        <v>3</v>
      </c>
      <c r="C8130">
        <v>2241</v>
      </c>
      <c r="D8130" t="s">
        <v>304</v>
      </c>
      <c r="E8130">
        <f>YEAR(A8130)</f>
        <v>2015</v>
      </c>
      <c r="F8130" s="33">
        <f>DATE(YEAR(A8130),MONTH(A8130),1)</f>
        <v>42156.0</v>
      </c>
      <c r="G8130" t="str">
        <f>CHOOSE(WEEKDAY(A8130,2),"Mon","Tue","Wed","Thu","Fri","Sat","Sun")</f>
        <v>Sat</v>
      </c>
      <c r="H8130" t="str">
        <f>IF(WEEKDAY(A8130,2)&gt;5,"Weekend","Weekday")</f>
        <v>Weekend</v>
      </c>
      <c r="I8130" t="str">
        <f>_xlfn.IFS(B8130&lt;=5,"Night (0-5)",B8130&lt;=9,"Morning peak (6-9)",B8130&lt;=15,"Midday (10-15)",B8130&lt;=19,"Evening peak (16-19)",TRUE,"Late evening (20-23)")</f>
        <v>Night (0-5)</v>
      </c>
    </row>
    <row r="8131" spans="1:9">
      <c r="A8131" s="32">
        <v>42161</v>
      </c>
      <c r="B8131">
        <v>4</v>
      </c>
      <c r="C8131">
        <v>1703</v>
      </c>
      <c r="D8131" t="s">
        <v>304</v>
      </c>
      <c r="E8131">
        <f>YEAR(A8131)</f>
        <v>2015</v>
      </c>
      <c r="F8131" s="33">
        <f>DATE(YEAR(A8131),MONTH(A8131),1)</f>
        <v>42156.0</v>
      </c>
      <c r="G8131" t="str">
        <f>CHOOSE(WEEKDAY(A8131,2),"Mon","Tue","Wed","Thu","Fri","Sat","Sun")</f>
        <v>Sat</v>
      </c>
      <c r="H8131" t="str">
        <f>IF(WEEKDAY(A8131,2)&gt;5,"Weekend","Weekday")</f>
        <v>Weekend</v>
      </c>
      <c r="I8131" t="str">
        <f>_xlfn.IFS(B8131&lt;=5,"Night (0-5)",B8131&lt;=9,"Morning peak (6-9)",B8131&lt;=15,"Midday (10-15)",B8131&lt;=19,"Evening peak (16-19)",TRUE,"Late evening (20-23)")</f>
        <v>Night (0-5)</v>
      </c>
    </row>
    <row r="8132" spans="1:9">
      <c r="A8132" s="32">
        <v>42161</v>
      </c>
      <c r="B8132">
        <v>5</v>
      </c>
      <c r="C8132">
        <v>1504</v>
      </c>
      <c r="D8132" t="s">
        <v>304</v>
      </c>
      <c r="E8132">
        <f>YEAR(A8132)</f>
        <v>2015</v>
      </c>
      <c r="F8132" s="33">
        <f>DATE(YEAR(A8132),MONTH(A8132),1)</f>
        <v>42156.0</v>
      </c>
      <c r="G8132" t="str">
        <f>CHOOSE(WEEKDAY(A8132,2),"Mon","Tue","Wed","Thu","Fri","Sat","Sun")</f>
        <v>Sat</v>
      </c>
      <c r="H8132" t="str">
        <f>IF(WEEKDAY(A8132,2)&gt;5,"Weekend","Weekday")</f>
        <v>Weekend</v>
      </c>
      <c r="I8132" t="str">
        <f>_xlfn.IFS(B8132&lt;=5,"Night (0-5)",B8132&lt;=9,"Morning peak (6-9)",B8132&lt;=15,"Midday (10-15)",B8132&lt;=19,"Evening peak (16-19)",TRUE,"Late evening (20-23)")</f>
        <v>Night (0-5)</v>
      </c>
    </row>
    <row r="8133" spans="1:9">
      <c r="A8133" s="32">
        <v>42161</v>
      </c>
      <c r="B8133">
        <v>6</v>
      </c>
      <c r="C8133">
        <v>1378</v>
      </c>
      <c r="D8133" t="s">
        <v>304</v>
      </c>
      <c r="E8133">
        <f>YEAR(A8133)</f>
        <v>2015</v>
      </c>
      <c r="F8133" s="33">
        <f>DATE(YEAR(A8133),MONTH(A8133),1)</f>
        <v>42156.0</v>
      </c>
      <c r="G8133" t="str">
        <f>CHOOSE(WEEKDAY(A8133,2),"Mon","Tue","Wed","Thu","Fri","Sat","Sun")</f>
        <v>Sat</v>
      </c>
      <c r="H8133" t="str">
        <f>IF(WEEKDAY(A8133,2)&gt;5,"Weekend","Weekday")</f>
        <v>Weekend</v>
      </c>
      <c r="I8133" t="str">
        <f>_xlfn.IFS(B8133&lt;=5,"Night (0-5)",B8133&lt;=9,"Morning peak (6-9)",B8133&lt;=15,"Midday (10-15)",B8133&lt;=19,"Evening peak (16-19)",TRUE,"Late evening (20-23)")</f>
        <v>Morning peak (6-9)</v>
      </c>
    </row>
    <row r="8134" spans="1:9">
      <c r="A8134" s="32">
        <v>42161</v>
      </c>
      <c r="B8134">
        <v>7</v>
      </c>
      <c r="C8134">
        <v>1826</v>
      </c>
      <c r="D8134" t="s">
        <v>304</v>
      </c>
      <c r="E8134">
        <f>YEAR(A8134)</f>
        <v>2015</v>
      </c>
      <c r="F8134" s="33">
        <f>DATE(YEAR(A8134),MONTH(A8134),1)</f>
        <v>42156.0</v>
      </c>
      <c r="G8134" t="str">
        <f>CHOOSE(WEEKDAY(A8134,2),"Mon","Tue","Wed","Thu","Fri","Sat","Sun")</f>
        <v>Sat</v>
      </c>
      <c r="H8134" t="str">
        <f>IF(WEEKDAY(A8134,2)&gt;5,"Weekend","Weekday")</f>
        <v>Weekend</v>
      </c>
      <c r="I8134" t="str">
        <f>_xlfn.IFS(B8134&lt;=5,"Night (0-5)",B8134&lt;=9,"Morning peak (6-9)",B8134&lt;=15,"Midday (10-15)",B8134&lt;=19,"Evening peak (16-19)",TRUE,"Late evening (20-23)")</f>
        <v>Morning peak (6-9)</v>
      </c>
    </row>
    <row r="8135" spans="1:9">
      <c r="A8135" s="32">
        <v>42161</v>
      </c>
      <c r="B8135">
        <v>8</v>
      </c>
      <c r="C8135">
        <v>2214</v>
      </c>
      <c r="D8135" t="s">
        <v>304</v>
      </c>
      <c r="E8135">
        <f>YEAR(A8135)</f>
        <v>2015</v>
      </c>
      <c r="F8135" s="33">
        <f>DATE(YEAR(A8135),MONTH(A8135),1)</f>
        <v>42156.0</v>
      </c>
      <c r="G8135" t="str">
        <f>CHOOSE(WEEKDAY(A8135,2),"Mon","Tue","Wed","Thu","Fri","Sat","Sun")</f>
        <v>Sat</v>
      </c>
      <c r="H8135" t="str">
        <f>IF(WEEKDAY(A8135,2)&gt;5,"Weekend","Weekday")</f>
        <v>Weekend</v>
      </c>
      <c r="I8135" t="str">
        <f>_xlfn.IFS(B8135&lt;=5,"Night (0-5)",B8135&lt;=9,"Morning peak (6-9)",B8135&lt;=15,"Midday (10-15)",B8135&lt;=19,"Evening peak (16-19)",TRUE,"Late evening (20-23)")</f>
        <v>Morning peak (6-9)</v>
      </c>
    </row>
    <row r="8136" spans="1:9">
      <c r="A8136" s="32">
        <v>42161</v>
      </c>
      <c r="B8136">
        <v>9</v>
      </c>
      <c r="C8136">
        <v>2942</v>
      </c>
      <c r="D8136" t="s">
        <v>304</v>
      </c>
      <c r="E8136">
        <f>YEAR(A8136)</f>
        <v>2015</v>
      </c>
      <c r="F8136" s="33">
        <f>DATE(YEAR(A8136),MONTH(A8136),1)</f>
        <v>42156.0</v>
      </c>
      <c r="G8136" t="str">
        <f>CHOOSE(WEEKDAY(A8136,2),"Mon","Tue","Wed","Thu","Fri","Sat","Sun")</f>
        <v>Sat</v>
      </c>
      <c r="H8136" t="str">
        <f>IF(WEEKDAY(A8136,2)&gt;5,"Weekend","Weekday")</f>
        <v>Weekend</v>
      </c>
      <c r="I8136" t="str">
        <f>_xlfn.IFS(B8136&lt;=5,"Night (0-5)",B8136&lt;=9,"Morning peak (6-9)",B8136&lt;=15,"Midday (10-15)",B8136&lt;=19,"Evening peak (16-19)",TRUE,"Late evening (20-23)")</f>
        <v>Morning peak (6-9)</v>
      </c>
    </row>
    <row r="8137" spans="1:9">
      <c r="A8137" s="32">
        <v>42161</v>
      </c>
      <c r="B8137">
        <v>10</v>
      </c>
      <c r="C8137">
        <v>3633</v>
      </c>
      <c r="D8137" t="s">
        <v>304</v>
      </c>
      <c r="E8137">
        <f>YEAR(A8137)</f>
        <v>2015</v>
      </c>
      <c r="F8137" s="33">
        <f>DATE(YEAR(A8137),MONTH(A8137),1)</f>
        <v>42156.0</v>
      </c>
      <c r="G8137" t="str">
        <f>CHOOSE(WEEKDAY(A8137,2),"Mon","Tue","Wed","Thu","Fri","Sat","Sun")</f>
        <v>Sat</v>
      </c>
      <c r="H8137" t="str">
        <f>IF(WEEKDAY(A8137,2)&gt;5,"Weekend","Weekday")</f>
        <v>Weekend</v>
      </c>
      <c r="I8137" t="str">
        <f>_xlfn.IFS(B8137&lt;=5,"Night (0-5)",B8137&lt;=9,"Morning peak (6-9)",B8137&lt;=15,"Midday (10-15)",B8137&lt;=19,"Evening peak (16-19)",TRUE,"Late evening (20-23)")</f>
        <v>Midday (10-15)</v>
      </c>
    </row>
    <row r="8138" spans="1:9">
      <c r="A8138" s="32">
        <v>42161</v>
      </c>
      <c r="B8138">
        <v>11</v>
      </c>
      <c r="C8138">
        <v>4017</v>
      </c>
      <c r="D8138" t="s">
        <v>304</v>
      </c>
      <c r="E8138">
        <f>YEAR(A8138)</f>
        <v>2015</v>
      </c>
      <c r="F8138" s="33">
        <f>DATE(YEAR(A8138),MONTH(A8138),1)</f>
        <v>42156.0</v>
      </c>
      <c r="G8138" t="str">
        <f>CHOOSE(WEEKDAY(A8138,2),"Mon","Tue","Wed","Thu","Fri","Sat","Sun")</f>
        <v>Sat</v>
      </c>
      <c r="H8138" t="str">
        <f>IF(WEEKDAY(A8138,2)&gt;5,"Weekend","Weekday")</f>
        <v>Weekend</v>
      </c>
      <c r="I8138" t="str">
        <f>_xlfn.IFS(B8138&lt;=5,"Night (0-5)",B8138&lt;=9,"Morning peak (6-9)",B8138&lt;=15,"Midday (10-15)",B8138&lt;=19,"Evening peak (16-19)",TRUE,"Late evening (20-23)")</f>
        <v>Midday (10-15)</v>
      </c>
    </row>
    <row r="8139" spans="1:9">
      <c r="A8139" s="32">
        <v>42161</v>
      </c>
      <c r="B8139">
        <v>12</v>
      </c>
      <c r="C8139">
        <v>4232</v>
      </c>
      <c r="D8139" t="s">
        <v>304</v>
      </c>
      <c r="E8139">
        <f>YEAR(A8139)</f>
        <v>2015</v>
      </c>
      <c r="F8139" s="33">
        <f>DATE(YEAR(A8139),MONTH(A8139),1)</f>
        <v>42156.0</v>
      </c>
      <c r="G8139" t="str">
        <f>CHOOSE(WEEKDAY(A8139,2),"Mon","Tue","Wed","Thu","Fri","Sat","Sun")</f>
        <v>Sat</v>
      </c>
      <c r="H8139" t="str">
        <f>IF(WEEKDAY(A8139,2)&gt;5,"Weekend","Weekday")</f>
        <v>Weekend</v>
      </c>
      <c r="I8139" t="str">
        <f>_xlfn.IFS(B8139&lt;=5,"Night (0-5)",B8139&lt;=9,"Morning peak (6-9)",B8139&lt;=15,"Midday (10-15)",B8139&lt;=19,"Evening peak (16-19)",TRUE,"Late evening (20-23)")</f>
        <v>Midday (10-15)</v>
      </c>
    </row>
    <row r="8140" spans="1:9">
      <c r="A8140" s="32">
        <v>42161</v>
      </c>
      <c r="B8140">
        <v>13</v>
      </c>
      <c r="C8140">
        <v>4412</v>
      </c>
      <c r="D8140" t="s">
        <v>304</v>
      </c>
      <c r="E8140">
        <f>YEAR(A8140)</f>
        <v>2015</v>
      </c>
      <c r="F8140" s="33">
        <f>DATE(YEAR(A8140),MONTH(A8140),1)</f>
        <v>42156.0</v>
      </c>
      <c r="G8140" t="str">
        <f>CHOOSE(WEEKDAY(A8140,2),"Mon","Tue","Wed","Thu","Fri","Sat","Sun")</f>
        <v>Sat</v>
      </c>
      <c r="H8140" t="str">
        <f>IF(WEEKDAY(A8140,2)&gt;5,"Weekend","Weekday")</f>
        <v>Weekend</v>
      </c>
      <c r="I8140" t="str">
        <f>_xlfn.IFS(B8140&lt;=5,"Night (0-5)",B8140&lt;=9,"Morning peak (6-9)",B8140&lt;=15,"Midday (10-15)",B8140&lt;=19,"Evening peak (16-19)",TRUE,"Late evening (20-23)")</f>
        <v>Midday (10-15)</v>
      </c>
    </row>
    <row r="8141" spans="1:9">
      <c r="A8141" s="32">
        <v>42161</v>
      </c>
      <c r="B8141">
        <v>14</v>
      </c>
      <c r="C8141">
        <v>4512</v>
      </c>
      <c r="D8141" t="s">
        <v>304</v>
      </c>
      <c r="E8141">
        <f>YEAR(A8141)</f>
        <v>2015</v>
      </c>
      <c r="F8141" s="33">
        <f>DATE(YEAR(A8141),MONTH(A8141),1)</f>
        <v>42156.0</v>
      </c>
      <c r="G8141" t="str">
        <f>CHOOSE(WEEKDAY(A8141,2),"Mon","Tue","Wed","Thu","Fri","Sat","Sun")</f>
        <v>Sat</v>
      </c>
      <c r="H8141" t="str">
        <f>IF(WEEKDAY(A8141,2)&gt;5,"Weekend","Weekday")</f>
        <v>Weekend</v>
      </c>
      <c r="I8141" t="str">
        <f>_xlfn.IFS(B8141&lt;=5,"Night (0-5)",B8141&lt;=9,"Morning peak (6-9)",B8141&lt;=15,"Midday (10-15)",B8141&lt;=19,"Evening peak (16-19)",TRUE,"Late evening (20-23)")</f>
        <v>Midday (10-15)</v>
      </c>
    </row>
    <row r="8142" spans="1:9">
      <c r="A8142" s="32">
        <v>42161</v>
      </c>
      <c r="B8142">
        <v>15</v>
      </c>
      <c r="C8142">
        <v>4466</v>
      </c>
      <c r="D8142" t="s">
        <v>304</v>
      </c>
      <c r="E8142">
        <f>YEAR(A8142)</f>
        <v>2015</v>
      </c>
      <c r="F8142" s="33">
        <f>DATE(YEAR(A8142),MONTH(A8142),1)</f>
        <v>42156.0</v>
      </c>
      <c r="G8142" t="str">
        <f>CHOOSE(WEEKDAY(A8142,2),"Mon","Tue","Wed","Thu","Fri","Sat","Sun")</f>
        <v>Sat</v>
      </c>
      <c r="H8142" t="str">
        <f>IF(WEEKDAY(A8142,2)&gt;5,"Weekend","Weekday")</f>
        <v>Weekend</v>
      </c>
      <c r="I8142" t="str">
        <f>_xlfn.IFS(B8142&lt;=5,"Night (0-5)",B8142&lt;=9,"Morning peak (6-9)",B8142&lt;=15,"Midday (10-15)",B8142&lt;=19,"Evening peak (16-19)",TRUE,"Late evening (20-23)")</f>
        <v>Midday (10-15)</v>
      </c>
    </row>
    <row r="8143" spans="1:9">
      <c r="A8143" s="32">
        <v>42161</v>
      </c>
      <c r="B8143">
        <v>16</v>
      </c>
      <c r="C8143">
        <v>4769</v>
      </c>
      <c r="D8143" t="s">
        <v>304</v>
      </c>
      <c r="E8143">
        <f>YEAR(A8143)</f>
        <v>2015</v>
      </c>
      <c r="F8143" s="33">
        <f>DATE(YEAR(A8143),MONTH(A8143),1)</f>
        <v>42156.0</v>
      </c>
      <c r="G8143" t="str">
        <f>CHOOSE(WEEKDAY(A8143,2),"Mon","Tue","Wed","Thu","Fri","Sat","Sun")</f>
        <v>Sat</v>
      </c>
      <c r="H8143" t="str">
        <f>IF(WEEKDAY(A8143,2)&gt;5,"Weekend","Weekday")</f>
        <v>Weekend</v>
      </c>
      <c r="I8143" t="str">
        <f>_xlfn.IFS(B8143&lt;=5,"Night (0-5)",B8143&lt;=9,"Morning peak (6-9)",B8143&lt;=15,"Midday (10-15)",B8143&lt;=19,"Evening peak (16-19)",TRUE,"Late evening (20-23)")</f>
        <v>Evening peak (16-19)</v>
      </c>
    </row>
    <row r="8144" spans="1:9">
      <c r="A8144" s="32">
        <v>42161</v>
      </c>
      <c r="B8144">
        <v>17</v>
      </c>
      <c r="C8144">
        <v>5654</v>
      </c>
      <c r="D8144" t="s">
        <v>304</v>
      </c>
      <c r="E8144">
        <f>YEAR(A8144)</f>
        <v>2015</v>
      </c>
      <c r="F8144" s="33">
        <f>DATE(YEAR(A8144),MONTH(A8144),1)</f>
        <v>42156.0</v>
      </c>
      <c r="G8144" t="str">
        <f>CHOOSE(WEEKDAY(A8144,2),"Mon","Tue","Wed","Thu","Fri","Sat","Sun")</f>
        <v>Sat</v>
      </c>
      <c r="H8144" t="str">
        <f>IF(WEEKDAY(A8144,2)&gt;5,"Weekend","Weekday")</f>
        <v>Weekend</v>
      </c>
      <c r="I8144" t="str">
        <f>_xlfn.IFS(B8144&lt;=5,"Night (0-5)",B8144&lt;=9,"Morning peak (6-9)",B8144&lt;=15,"Midday (10-15)",B8144&lt;=19,"Evening peak (16-19)",TRUE,"Late evening (20-23)")</f>
        <v>Evening peak (16-19)</v>
      </c>
    </row>
    <row r="8145" spans="1:9">
      <c r="A8145" s="32">
        <v>42161</v>
      </c>
      <c r="B8145">
        <v>18</v>
      </c>
      <c r="C8145">
        <v>5619</v>
      </c>
      <c r="D8145" t="s">
        <v>304</v>
      </c>
      <c r="E8145">
        <f>YEAR(A8145)</f>
        <v>2015</v>
      </c>
      <c r="F8145" s="33">
        <f>DATE(YEAR(A8145),MONTH(A8145),1)</f>
        <v>42156.0</v>
      </c>
      <c r="G8145" t="str">
        <f>CHOOSE(WEEKDAY(A8145,2),"Mon","Tue","Wed","Thu","Fri","Sat","Sun")</f>
        <v>Sat</v>
      </c>
      <c r="H8145" t="str">
        <f>IF(WEEKDAY(A8145,2)&gt;5,"Weekend","Weekday")</f>
        <v>Weekend</v>
      </c>
      <c r="I8145" t="str">
        <f>_xlfn.IFS(B8145&lt;=5,"Night (0-5)",B8145&lt;=9,"Morning peak (6-9)",B8145&lt;=15,"Midday (10-15)",B8145&lt;=19,"Evening peak (16-19)",TRUE,"Late evening (20-23)")</f>
        <v>Evening peak (16-19)</v>
      </c>
    </row>
    <row r="8146" spans="1:9">
      <c r="A8146" s="32">
        <v>42161</v>
      </c>
      <c r="B8146">
        <v>19</v>
      </c>
      <c r="C8146">
        <v>6187</v>
      </c>
      <c r="D8146" t="s">
        <v>304</v>
      </c>
      <c r="E8146">
        <f>YEAR(A8146)</f>
        <v>2015</v>
      </c>
      <c r="F8146" s="33">
        <f>DATE(YEAR(A8146),MONTH(A8146),1)</f>
        <v>42156.0</v>
      </c>
      <c r="G8146" t="str">
        <f>CHOOSE(WEEKDAY(A8146,2),"Mon","Tue","Wed","Thu","Fri","Sat","Sun")</f>
        <v>Sat</v>
      </c>
      <c r="H8146" t="str">
        <f>IF(WEEKDAY(A8146,2)&gt;5,"Weekend","Weekday")</f>
        <v>Weekend</v>
      </c>
      <c r="I8146" t="str">
        <f>_xlfn.IFS(B8146&lt;=5,"Night (0-5)",B8146&lt;=9,"Morning peak (6-9)",B8146&lt;=15,"Midday (10-15)",B8146&lt;=19,"Evening peak (16-19)",TRUE,"Late evening (20-23)")</f>
        <v>Evening peak (16-19)</v>
      </c>
    </row>
    <row r="8147" spans="1:9">
      <c r="A8147" s="32">
        <v>42161</v>
      </c>
      <c r="B8147">
        <v>20</v>
      </c>
      <c r="C8147">
        <v>5307</v>
      </c>
      <c r="D8147" t="s">
        <v>304</v>
      </c>
      <c r="E8147">
        <f>YEAR(A8147)</f>
        <v>2015</v>
      </c>
      <c r="F8147" s="33">
        <f>DATE(YEAR(A8147),MONTH(A8147),1)</f>
        <v>42156.0</v>
      </c>
      <c r="G8147" t="str">
        <f>CHOOSE(WEEKDAY(A8147,2),"Mon","Tue","Wed","Thu","Fri","Sat","Sun")</f>
        <v>Sat</v>
      </c>
      <c r="H8147" t="str">
        <f>IF(WEEKDAY(A8147,2)&gt;5,"Weekend","Weekday")</f>
        <v>Weekend</v>
      </c>
      <c r="I8147" t="str">
        <f>_xlfn.IFS(B8147&lt;=5,"Night (0-5)",B8147&lt;=9,"Morning peak (6-9)",B8147&lt;=15,"Midday (10-15)",B8147&lt;=19,"Evening peak (16-19)",TRUE,"Late evening (20-23)")</f>
        <v>Late evening (20-23)</v>
      </c>
    </row>
    <row r="8148" spans="1:9">
      <c r="A8148" s="32">
        <v>42161</v>
      </c>
      <c r="B8148">
        <v>21</v>
      </c>
      <c r="C8148">
        <v>5886</v>
      </c>
      <c r="D8148" t="s">
        <v>304</v>
      </c>
      <c r="E8148">
        <f>YEAR(A8148)</f>
        <v>2015</v>
      </c>
      <c r="F8148" s="33">
        <f>DATE(YEAR(A8148),MONTH(A8148),1)</f>
        <v>42156.0</v>
      </c>
      <c r="G8148" t="str">
        <f>CHOOSE(WEEKDAY(A8148,2),"Mon","Tue","Wed","Thu","Fri","Sat","Sun")</f>
        <v>Sat</v>
      </c>
      <c r="H8148" t="str">
        <f>IF(WEEKDAY(A8148,2)&gt;5,"Weekend","Weekday")</f>
        <v>Weekend</v>
      </c>
      <c r="I8148" t="str">
        <f>_xlfn.IFS(B8148&lt;=5,"Night (0-5)",B8148&lt;=9,"Morning peak (6-9)",B8148&lt;=15,"Midday (10-15)",B8148&lt;=19,"Evening peak (16-19)",TRUE,"Late evening (20-23)")</f>
        <v>Late evening (20-23)</v>
      </c>
    </row>
    <row r="8149" spans="1:9">
      <c r="A8149" s="32">
        <v>42161</v>
      </c>
      <c r="B8149">
        <v>22</v>
      </c>
      <c r="C8149">
        <v>7039</v>
      </c>
      <c r="D8149" t="s">
        <v>304</v>
      </c>
      <c r="E8149">
        <f>YEAR(A8149)</f>
        <v>2015</v>
      </c>
      <c r="F8149" s="33">
        <f>DATE(YEAR(A8149),MONTH(A8149),1)</f>
        <v>42156.0</v>
      </c>
      <c r="G8149" t="str">
        <f>CHOOSE(WEEKDAY(A8149,2),"Mon","Tue","Wed","Thu","Fri","Sat","Sun")</f>
        <v>Sat</v>
      </c>
      <c r="H8149" t="str">
        <f>IF(WEEKDAY(A8149,2)&gt;5,"Weekend","Weekday")</f>
        <v>Weekend</v>
      </c>
      <c r="I8149" t="str">
        <f>_xlfn.IFS(B8149&lt;=5,"Night (0-5)",B8149&lt;=9,"Morning peak (6-9)",B8149&lt;=15,"Midday (10-15)",B8149&lt;=19,"Evening peak (16-19)",TRUE,"Late evening (20-23)")</f>
        <v>Late evening (20-23)</v>
      </c>
    </row>
    <row r="8150" spans="1:9">
      <c r="A8150" s="32">
        <v>42161</v>
      </c>
      <c r="B8150">
        <v>23</v>
      </c>
      <c r="C8150">
        <v>7417</v>
      </c>
      <c r="D8150" t="s">
        <v>304</v>
      </c>
      <c r="E8150">
        <f>YEAR(A8150)</f>
        <v>2015</v>
      </c>
      <c r="F8150" s="33">
        <f>DATE(YEAR(A8150),MONTH(A8150),1)</f>
        <v>42156.0</v>
      </c>
      <c r="G8150" t="str">
        <f>CHOOSE(WEEKDAY(A8150,2),"Mon","Tue","Wed","Thu","Fri","Sat","Sun")</f>
        <v>Sat</v>
      </c>
      <c r="H8150" t="str">
        <f>IF(WEEKDAY(A8150,2)&gt;5,"Weekend","Weekday")</f>
        <v>Weekend</v>
      </c>
      <c r="I8150" t="str">
        <f>_xlfn.IFS(B8150&lt;=5,"Night (0-5)",B8150&lt;=9,"Morning peak (6-9)",B8150&lt;=15,"Midday (10-15)",B8150&lt;=19,"Evening peak (16-19)",TRUE,"Late evening (20-23)")</f>
        <v>Late evening (20-23)</v>
      </c>
    </row>
    <row r="8151" spans="1:9">
      <c r="A8151" s="32">
        <v>42162</v>
      </c>
      <c r="B8151">
        <v>0</v>
      </c>
      <c r="C8151">
        <v>7274</v>
      </c>
      <c r="D8151" t="s">
        <v>304</v>
      </c>
      <c r="E8151">
        <f>YEAR(A8151)</f>
        <v>2015</v>
      </c>
      <c r="F8151" s="33">
        <f>DATE(YEAR(A8151),MONTH(A8151),1)</f>
        <v>42156.0</v>
      </c>
      <c r="G8151" t="str">
        <f>CHOOSE(WEEKDAY(A8151,2),"Mon","Tue","Wed","Thu","Fri","Sat","Sun")</f>
        <v>Sun</v>
      </c>
      <c r="H8151" t="str">
        <f>IF(WEEKDAY(A8151,2)&gt;5,"Weekend","Weekday")</f>
        <v>Weekend</v>
      </c>
      <c r="I8151" t="str">
        <f>_xlfn.IFS(B8151&lt;=5,"Night (0-5)",B8151&lt;=9,"Morning peak (6-9)",B8151&lt;=15,"Midday (10-15)",B8151&lt;=19,"Evening peak (16-19)",TRUE,"Late evening (20-23)")</f>
        <v>Night (0-5)</v>
      </c>
    </row>
    <row r="8152" spans="1:9">
      <c r="A8152" s="32">
        <v>42162</v>
      </c>
      <c r="B8152">
        <v>1</v>
      </c>
      <c r="C8152">
        <v>5675</v>
      </c>
      <c r="D8152" t="s">
        <v>304</v>
      </c>
      <c r="E8152">
        <f>YEAR(A8152)</f>
        <v>2015</v>
      </c>
      <c r="F8152" s="33">
        <f>DATE(YEAR(A8152),MONTH(A8152),1)</f>
        <v>42156.0</v>
      </c>
      <c r="G8152" t="str">
        <f>CHOOSE(WEEKDAY(A8152,2),"Mon","Tue","Wed","Thu","Fri","Sat","Sun")</f>
        <v>Sun</v>
      </c>
      <c r="H8152" t="str">
        <f>IF(WEEKDAY(A8152,2)&gt;5,"Weekend","Weekday")</f>
        <v>Weekend</v>
      </c>
      <c r="I8152" t="str">
        <f>_xlfn.IFS(B8152&lt;=5,"Night (0-5)",B8152&lt;=9,"Morning peak (6-9)",B8152&lt;=15,"Midday (10-15)",B8152&lt;=19,"Evening peak (16-19)",TRUE,"Late evening (20-23)")</f>
        <v>Night (0-5)</v>
      </c>
    </row>
    <row r="8153" spans="1:9">
      <c r="A8153" s="32">
        <v>42162</v>
      </c>
      <c r="B8153">
        <v>2</v>
      </c>
      <c r="C8153">
        <v>4015</v>
      </c>
      <c r="D8153" t="s">
        <v>304</v>
      </c>
      <c r="E8153">
        <f>YEAR(A8153)</f>
        <v>2015</v>
      </c>
      <c r="F8153" s="33">
        <f>DATE(YEAR(A8153),MONTH(A8153),1)</f>
        <v>42156.0</v>
      </c>
      <c r="G8153" t="str">
        <f>CHOOSE(WEEKDAY(A8153,2),"Mon","Tue","Wed","Thu","Fri","Sat","Sun")</f>
        <v>Sun</v>
      </c>
      <c r="H8153" t="str">
        <f>IF(WEEKDAY(A8153,2)&gt;5,"Weekend","Weekday")</f>
        <v>Weekend</v>
      </c>
      <c r="I8153" t="str">
        <f>_xlfn.IFS(B8153&lt;=5,"Night (0-5)",B8153&lt;=9,"Morning peak (6-9)",B8153&lt;=15,"Midday (10-15)",B8153&lt;=19,"Evening peak (16-19)",TRUE,"Late evening (20-23)")</f>
        <v>Night (0-5)</v>
      </c>
    </row>
    <row r="8154" spans="1:9">
      <c r="A8154" s="32">
        <v>42162</v>
      </c>
      <c r="B8154">
        <v>3</v>
      </c>
      <c r="C8154">
        <v>2804</v>
      </c>
      <c r="D8154" t="s">
        <v>304</v>
      </c>
      <c r="E8154">
        <f>YEAR(A8154)</f>
        <v>2015</v>
      </c>
      <c r="F8154" s="33">
        <f>DATE(YEAR(A8154),MONTH(A8154),1)</f>
        <v>42156.0</v>
      </c>
      <c r="G8154" t="str">
        <f>CHOOSE(WEEKDAY(A8154,2),"Mon","Tue","Wed","Thu","Fri","Sat","Sun")</f>
        <v>Sun</v>
      </c>
      <c r="H8154" t="str">
        <f>IF(WEEKDAY(A8154,2)&gt;5,"Weekend","Weekday")</f>
        <v>Weekend</v>
      </c>
      <c r="I8154" t="str">
        <f>_xlfn.IFS(B8154&lt;=5,"Night (0-5)",B8154&lt;=9,"Morning peak (6-9)",B8154&lt;=15,"Midday (10-15)",B8154&lt;=19,"Evening peak (16-19)",TRUE,"Late evening (20-23)")</f>
        <v>Night (0-5)</v>
      </c>
    </row>
    <row r="8155" spans="1:9">
      <c r="A8155" s="32">
        <v>42162</v>
      </c>
      <c r="B8155">
        <v>4</v>
      </c>
      <c r="C8155">
        <v>2039</v>
      </c>
      <c r="D8155" t="s">
        <v>304</v>
      </c>
      <c r="E8155">
        <f>YEAR(A8155)</f>
        <v>2015</v>
      </c>
      <c r="F8155" s="33">
        <f>DATE(YEAR(A8155),MONTH(A8155),1)</f>
        <v>42156.0</v>
      </c>
      <c r="G8155" t="str">
        <f>CHOOSE(WEEKDAY(A8155,2),"Mon","Tue","Wed","Thu","Fri","Sat","Sun")</f>
        <v>Sun</v>
      </c>
      <c r="H8155" t="str">
        <f>IF(WEEKDAY(A8155,2)&gt;5,"Weekend","Weekday")</f>
        <v>Weekend</v>
      </c>
      <c r="I8155" t="str">
        <f>_xlfn.IFS(B8155&lt;=5,"Night (0-5)",B8155&lt;=9,"Morning peak (6-9)",B8155&lt;=15,"Midday (10-15)",B8155&lt;=19,"Evening peak (16-19)",TRUE,"Late evening (20-23)")</f>
        <v>Night (0-5)</v>
      </c>
    </row>
    <row r="8156" spans="1:9">
      <c r="A8156" s="32">
        <v>42162</v>
      </c>
      <c r="B8156">
        <v>5</v>
      </c>
      <c r="C8156">
        <v>1207</v>
      </c>
      <c r="D8156" t="s">
        <v>304</v>
      </c>
      <c r="E8156">
        <f>YEAR(A8156)</f>
        <v>2015</v>
      </c>
      <c r="F8156" s="33">
        <f>DATE(YEAR(A8156),MONTH(A8156),1)</f>
        <v>42156.0</v>
      </c>
      <c r="G8156" t="str">
        <f>CHOOSE(WEEKDAY(A8156,2),"Mon","Tue","Wed","Thu","Fri","Sat","Sun")</f>
        <v>Sun</v>
      </c>
      <c r="H8156" t="str">
        <f>IF(WEEKDAY(A8156,2)&gt;5,"Weekend","Weekday")</f>
        <v>Weekend</v>
      </c>
      <c r="I8156" t="str">
        <f>_xlfn.IFS(B8156&lt;=5,"Night (0-5)",B8156&lt;=9,"Morning peak (6-9)",B8156&lt;=15,"Midday (10-15)",B8156&lt;=19,"Evening peak (16-19)",TRUE,"Late evening (20-23)")</f>
        <v>Night (0-5)</v>
      </c>
    </row>
    <row r="8157" spans="1:9">
      <c r="A8157" s="32">
        <v>42162</v>
      </c>
      <c r="B8157">
        <v>6</v>
      </c>
      <c r="C8157">
        <v>1098</v>
      </c>
      <c r="D8157" t="s">
        <v>304</v>
      </c>
      <c r="E8157">
        <f>YEAR(A8157)</f>
        <v>2015</v>
      </c>
      <c r="F8157" s="33">
        <f>DATE(YEAR(A8157),MONTH(A8157),1)</f>
        <v>42156.0</v>
      </c>
      <c r="G8157" t="str">
        <f>CHOOSE(WEEKDAY(A8157,2),"Mon","Tue","Wed","Thu","Fri","Sat","Sun")</f>
        <v>Sun</v>
      </c>
      <c r="H8157" t="str">
        <f>IF(WEEKDAY(A8157,2)&gt;5,"Weekend","Weekday")</f>
        <v>Weekend</v>
      </c>
      <c r="I8157" t="str">
        <f>_xlfn.IFS(B8157&lt;=5,"Night (0-5)",B8157&lt;=9,"Morning peak (6-9)",B8157&lt;=15,"Midday (10-15)",B8157&lt;=19,"Evening peak (16-19)",TRUE,"Late evening (20-23)")</f>
        <v>Morning peak (6-9)</v>
      </c>
    </row>
    <row r="8158" spans="1:9">
      <c r="A8158" s="32">
        <v>42162</v>
      </c>
      <c r="B8158">
        <v>7</v>
      </c>
      <c r="C8158">
        <v>1281</v>
      </c>
      <c r="D8158" t="s">
        <v>304</v>
      </c>
      <c r="E8158">
        <f>YEAR(A8158)</f>
        <v>2015</v>
      </c>
      <c r="F8158" s="33">
        <f>DATE(YEAR(A8158),MONTH(A8158),1)</f>
        <v>42156.0</v>
      </c>
      <c r="G8158" t="str">
        <f>CHOOSE(WEEKDAY(A8158,2),"Mon","Tue","Wed","Thu","Fri","Sat","Sun")</f>
        <v>Sun</v>
      </c>
      <c r="H8158" t="str">
        <f>IF(WEEKDAY(A8158,2)&gt;5,"Weekend","Weekday")</f>
        <v>Weekend</v>
      </c>
      <c r="I8158" t="str">
        <f>_xlfn.IFS(B8158&lt;=5,"Night (0-5)",B8158&lt;=9,"Morning peak (6-9)",B8158&lt;=15,"Midday (10-15)",B8158&lt;=19,"Evening peak (16-19)",TRUE,"Late evening (20-23)")</f>
        <v>Morning peak (6-9)</v>
      </c>
    </row>
    <row r="8159" spans="1:9">
      <c r="A8159" s="32">
        <v>42162</v>
      </c>
      <c r="B8159">
        <v>8</v>
      </c>
      <c r="C8159">
        <v>1630</v>
      </c>
      <c r="D8159" t="s">
        <v>304</v>
      </c>
      <c r="E8159">
        <f>YEAR(A8159)</f>
        <v>2015</v>
      </c>
      <c r="F8159" s="33">
        <f>DATE(YEAR(A8159),MONTH(A8159),1)</f>
        <v>42156.0</v>
      </c>
      <c r="G8159" t="str">
        <f>CHOOSE(WEEKDAY(A8159,2),"Mon","Tue","Wed","Thu","Fri","Sat","Sun")</f>
        <v>Sun</v>
      </c>
      <c r="H8159" t="str">
        <f>IF(WEEKDAY(A8159,2)&gt;5,"Weekend","Weekday")</f>
        <v>Weekend</v>
      </c>
      <c r="I8159" t="str">
        <f>_xlfn.IFS(B8159&lt;=5,"Night (0-5)",B8159&lt;=9,"Morning peak (6-9)",B8159&lt;=15,"Midday (10-15)",B8159&lt;=19,"Evening peak (16-19)",TRUE,"Late evening (20-23)")</f>
        <v>Morning peak (6-9)</v>
      </c>
    </row>
    <row r="8160" spans="1:9">
      <c r="A8160" s="32">
        <v>42162</v>
      </c>
      <c r="B8160">
        <v>9</v>
      </c>
      <c r="C8160">
        <v>2245</v>
      </c>
      <c r="D8160" t="s">
        <v>304</v>
      </c>
      <c r="E8160">
        <f>YEAR(A8160)</f>
        <v>2015</v>
      </c>
      <c r="F8160" s="33">
        <f>DATE(YEAR(A8160),MONTH(A8160),1)</f>
        <v>42156.0</v>
      </c>
      <c r="G8160" t="str">
        <f>CHOOSE(WEEKDAY(A8160,2),"Mon","Tue","Wed","Thu","Fri","Sat","Sun")</f>
        <v>Sun</v>
      </c>
      <c r="H8160" t="str">
        <f>IF(WEEKDAY(A8160,2)&gt;5,"Weekend","Weekday")</f>
        <v>Weekend</v>
      </c>
      <c r="I8160" t="str">
        <f>_xlfn.IFS(B8160&lt;=5,"Night (0-5)",B8160&lt;=9,"Morning peak (6-9)",B8160&lt;=15,"Midday (10-15)",B8160&lt;=19,"Evening peak (16-19)",TRUE,"Late evening (20-23)")</f>
        <v>Morning peak (6-9)</v>
      </c>
    </row>
    <row r="8161" spans="1:9">
      <c r="A8161" s="32">
        <v>42162</v>
      </c>
      <c r="B8161">
        <v>10</v>
      </c>
      <c r="C8161">
        <v>3038</v>
      </c>
      <c r="D8161" t="s">
        <v>304</v>
      </c>
      <c r="E8161">
        <f>YEAR(A8161)</f>
        <v>2015</v>
      </c>
      <c r="F8161" s="33">
        <f>DATE(YEAR(A8161),MONTH(A8161),1)</f>
        <v>42156.0</v>
      </c>
      <c r="G8161" t="str">
        <f>CHOOSE(WEEKDAY(A8161,2),"Mon","Tue","Wed","Thu","Fri","Sat","Sun")</f>
        <v>Sun</v>
      </c>
      <c r="H8161" t="str">
        <f>IF(WEEKDAY(A8161,2)&gt;5,"Weekend","Weekday")</f>
        <v>Weekend</v>
      </c>
      <c r="I8161" t="str">
        <f>_xlfn.IFS(B8161&lt;=5,"Night (0-5)",B8161&lt;=9,"Morning peak (6-9)",B8161&lt;=15,"Midday (10-15)",B8161&lt;=19,"Evening peak (16-19)",TRUE,"Late evening (20-23)")</f>
        <v>Midday (10-15)</v>
      </c>
    </row>
    <row r="8162" spans="1:9">
      <c r="A8162" s="32">
        <v>42162</v>
      </c>
      <c r="B8162">
        <v>11</v>
      </c>
      <c r="C8162">
        <v>3643</v>
      </c>
      <c r="D8162" t="s">
        <v>304</v>
      </c>
      <c r="E8162">
        <f>YEAR(A8162)</f>
        <v>2015</v>
      </c>
      <c r="F8162" s="33">
        <f>DATE(YEAR(A8162),MONTH(A8162),1)</f>
        <v>42156.0</v>
      </c>
      <c r="G8162" t="str">
        <f>CHOOSE(WEEKDAY(A8162,2),"Mon","Tue","Wed","Thu","Fri","Sat","Sun")</f>
        <v>Sun</v>
      </c>
      <c r="H8162" t="str">
        <f>IF(WEEKDAY(A8162,2)&gt;5,"Weekend","Weekday")</f>
        <v>Weekend</v>
      </c>
      <c r="I8162" t="str">
        <f>_xlfn.IFS(B8162&lt;=5,"Night (0-5)",B8162&lt;=9,"Morning peak (6-9)",B8162&lt;=15,"Midday (10-15)",B8162&lt;=19,"Evening peak (16-19)",TRUE,"Late evening (20-23)")</f>
        <v>Midday (10-15)</v>
      </c>
    </row>
    <row r="8163" spans="1:9">
      <c r="A8163" s="32">
        <v>42162</v>
      </c>
      <c r="B8163">
        <v>12</v>
      </c>
      <c r="C8163">
        <v>4089</v>
      </c>
      <c r="D8163" t="s">
        <v>304</v>
      </c>
      <c r="E8163">
        <f>YEAR(A8163)</f>
        <v>2015</v>
      </c>
      <c r="F8163" s="33">
        <f>DATE(YEAR(A8163),MONTH(A8163),1)</f>
        <v>42156.0</v>
      </c>
      <c r="G8163" t="str">
        <f>CHOOSE(WEEKDAY(A8163,2),"Mon","Tue","Wed","Thu","Fri","Sat","Sun")</f>
        <v>Sun</v>
      </c>
      <c r="H8163" t="str">
        <f>IF(WEEKDAY(A8163,2)&gt;5,"Weekend","Weekday")</f>
        <v>Weekend</v>
      </c>
      <c r="I8163" t="str">
        <f>_xlfn.IFS(B8163&lt;=5,"Night (0-5)",B8163&lt;=9,"Morning peak (6-9)",B8163&lt;=15,"Midday (10-15)",B8163&lt;=19,"Evening peak (16-19)",TRUE,"Late evening (20-23)")</f>
        <v>Midday (10-15)</v>
      </c>
    </row>
    <row r="8164" spans="1:9">
      <c r="A8164" s="32">
        <v>42162</v>
      </c>
      <c r="B8164">
        <v>13</v>
      </c>
      <c r="C8164">
        <v>4208</v>
      </c>
      <c r="D8164" t="s">
        <v>304</v>
      </c>
      <c r="E8164">
        <f>YEAR(A8164)</f>
        <v>2015</v>
      </c>
      <c r="F8164" s="33">
        <f>DATE(YEAR(A8164),MONTH(A8164),1)</f>
        <v>42156.0</v>
      </c>
      <c r="G8164" t="str">
        <f>CHOOSE(WEEKDAY(A8164,2),"Mon","Tue","Wed","Thu","Fri","Sat","Sun")</f>
        <v>Sun</v>
      </c>
      <c r="H8164" t="str">
        <f>IF(WEEKDAY(A8164,2)&gt;5,"Weekend","Weekday")</f>
        <v>Weekend</v>
      </c>
      <c r="I8164" t="str">
        <f>_xlfn.IFS(B8164&lt;=5,"Night (0-5)",B8164&lt;=9,"Morning peak (6-9)",B8164&lt;=15,"Midday (10-15)",B8164&lt;=19,"Evening peak (16-19)",TRUE,"Late evening (20-23)")</f>
        <v>Midday (10-15)</v>
      </c>
    </row>
    <row r="8165" spans="1:9">
      <c r="A8165" s="32">
        <v>42162</v>
      </c>
      <c r="B8165">
        <v>14</v>
      </c>
      <c r="C8165">
        <v>4323</v>
      </c>
      <c r="D8165" t="s">
        <v>304</v>
      </c>
      <c r="E8165">
        <f>YEAR(A8165)</f>
        <v>2015</v>
      </c>
      <c r="F8165" s="33">
        <f>DATE(YEAR(A8165),MONTH(A8165),1)</f>
        <v>42156.0</v>
      </c>
      <c r="G8165" t="str">
        <f>CHOOSE(WEEKDAY(A8165,2),"Mon","Tue","Wed","Thu","Fri","Sat","Sun")</f>
        <v>Sun</v>
      </c>
      <c r="H8165" t="str">
        <f>IF(WEEKDAY(A8165,2)&gt;5,"Weekend","Weekday")</f>
        <v>Weekend</v>
      </c>
      <c r="I8165" t="str">
        <f>_xlfn.IFS(B8165&lt;=5,"Night (0-5)",B8165&lt;=9,"Morning peak (6-9)",B8165&lt;=15,"Midday (10-15)",B8165&lt;=19,"Evening peak (16-19)",TRUE,"Late evening (20-23)")</f>
        <v>Midday (10-15)</v>
      </c>
    </row>
    <row r="8166" spans="1:9">
      <c r="A8166" s="32">
        <v>42162</v>
      </c>
      <c r="B8166">
        <v>15</v>
      </c>
      <c r="C8166">
        <v>4503</v>
      </c>
      <c r="D8166" t="s">
        <v>304</v>
      </c>
      <c r="E8166">
        <f>YEAR(A8166)</f>
        <v>2015</v>
      </c>
      <c r="F8166" s="33">
        <f>DATE(YEAR(A8166),MONTH(A8166),1)</f>
        <v>42156.0</v>
      </c>
      <c r="G8166" t="str">
        <f>CHOOSE(WEEKDAY(A8166,2),"Mon","Tue","Wed","Thu","Fri","Sat","Sun")</f>
        <v>Sun</v>
      </c>
      <c r="H8166" t="str">
        <f>IF(WEEKDAY(A8166,2)&gt;5,"Weekend","Weekday")</f>
        <v>Weekend</v>
      </c>
      <c r="I8166" t="str">
        <f>_xlfn.IFS(B8166&lt;=5,"Night (0-5)",B8166&lt;=9,"Morning peak (6-9)",B8166&lt;=15,"Midday (10-15)",B8166&lt;=19,"Evening peak (16-19)",TRUE,"Late evening (20-23)")</f>
        <v>Midday (10-15)</v>
      </c>
    </row>
    <row r="8167" spans="1:9">
      <c r="A8167" s="32">
        <v>42162</v>
      </c>
      <c r="B8167">
        <v>16</v>
      </c>
      <c r="C8167">
        <v>4561</v>
      </c>
      <c r="D8167" t="s">
        <v>304</v>
      </c>
      <c r="E8167">
        <f>YEAR(A8167)</f>
        <v>2015</v>
      </c>
      <c r="F8167" s="33">
        <f>DATE(YEAR(A8167),MONTH(A8167),1)</f>
        <v>42156.0</v>
      </c>
      <c r="G8167" t="str">
        <f>CHOOSE(WEEKDAY(A8167,2),"Mon","Tue","Wed","Thu","Fri","Sat","Sun")</f>
        <v>Sun</v>
      </c>
      <c r="H8167" t="str">
        <f>IF(WEEKDAY(A8167,2)&gt;5,"Weekend","Weekday")</f>
        <v>Weekend</v>
      </c>
      <c r="I8167" t="str">
        <f>_xlfn.IFS(B8167&lt;=5,"Night (0-5)",B8167&lt;=9,"Morning peak (6-9)",B8167&lt;=15,"Midday (10-15)",B8167&lt;=19,"Evening peak (16-19)",TRUE,"Late evening (20-23)")</f>
        <v>Evening peak (16-19)</v>
      </c>
    </row>
    <row r="8168" spans="1:9">
      <c r="A8168" s="32">
        <v>42162</v>
      </c>
      <c r="B8168">
        <v>17</v>
      </c>
      <c r="C8168">
        <v>4777</v>
      </c>
      <c r="D8168" t="s">
        <v>304</v>
      </c>
      <c r="E8168">
        <f>YEAR(A8168)</f>
        <v>2015</v>
      </c>
      <c r="F8168" s="33">
        <f>DATE(YEAR(A8168),MONTH(A8168),1)</f>
        <v>42156.0</v>
      </c>
      <c r="G8168" t="str">
        <f>CHOOSE(WEEKDAY(A8168,2),"Mon","Tue","Wed","Thu","Fri","Sat","Sun")</f>
        <v>Sun</v>
      </c>
      <c r="H8168" t="str">
        <f>IF(WEEKDAY(A8168,2)&gt;5,"Weekend","Weekday")</f>
        <v>Weekend</v>
      </c>
      <c r="I8168" t="str">
        <f>_xlfn.IFS(B8168&lt;=5,"Night (0-5)",B8168&lt;=9,"Morning peak (6-9)",B8168&lt;=15,"Midday (10-15)",B8168&lt;=19,"Evening peak (16-19)",TRUE,"Late evening (20-23)")</f>
        <v>Evening peak (16-19)</v>
      </c>
    </row>
    <row r="8169" spans="1:9">
      <c r="A8169" s="32">
        <v>42162</v>
      </c>
      <c r="B8169">
        <v>18</v>
      </c>
      <c r="C8169">
        <v>4756</v>
      </c>
      <c r="D8169" t="s">
        <v>304</v>
      </c>
      <c r="E8169">
        <f>YEAR(A8169)</f>
        <v>2015</v>
      </c>
      <c r="F8169" s="33">
        <f>DATE(YEAR(A8169),MONTH(A8169),1)</f>
        <v>42156.0</v>
      </c>
      <c r="G8169" t="str">
        <f>CHOOSE(WEEKDAY(A8169,2),"Mon","Tue","Wed","Thu","Fri","Sat","Sun")</f>
        <v>Sun</v>
      </c>
      <c r="H8169" t="str">
        <f>IF(WEEKDAY(A8169,2)&gt;5,"Weekend","Weekday")</f>
        <v>Weekend</v>
      </c>
      <c r="I8169" t="str">
        <f>_xlfn.IFS(B8169&lt;=5,"Night (0-5)",B8169&lt;=9,"Morning peak (6-9)",B8169&lt;=15,"Midday (10-15)",B8169&lt;=19,"Evening peak (16-19)",TRUE,"Late evening (20-23)")</f>
        <v>Evening peak (16-19)</v>
      </c>
    </row>
    <row r="8170" spans="1:9">
      <c r="A8170" s="32">
        <v>42162</v>
      </c>
      <c r="B8170">
        <v>19</v>
      </c>
      <c r="C8170">
        <v>4639</v>
      </c>
      <c r="D8170" t="s">
        <v>304</v>
      </c>
      <c r="E8170">
        <f>YEAR(A8170)</f>
        <v>2015</v>
      </c>
      <c r="F8170" s="33">
        <f>DATE(YEAR(A8170),MONTH(A8170),1)</f>
        <v>42156.0</v>
      </c>
      <c r="G8170" t="str">
        <f>CHOOSE(WEEKDAY(A8170,2),"Mon","Tue","Wed","Thu","Fri","Sat","Sun")</f>
        <v>Sun</v>
      </c>
      <c r="H8170" t="str">
        <f>IF(WEEKDAY(A8170,2)&gt;5,"Weekend","Weekday")</f>
        <v>Weekend</v>
      </c>
      <c r="I8170" t="str">
        <f>_xlfn.IFS(B8170&lt;=5,"Night (0-5)",B8170&lt;=9,"Morning peak (6-9)",B8170&lt;=15,"Midday (10-15)",B8170&lt;=19,"Evening peak (16-19)",TRUE,"Late evening (20-23)")</f>
        <v>Evening peak (16-19)</v>
      </c>
    </row>
    <row r="8171" spans="1:9">
      <c r="A8171" s="32">
        <v>42162</v>
      </c>
      <c r="B8171">
        <v>20</v>
      </c>
      <c r="C8171">
        <v>4144</v>
      </c>
      <c r="D8171" t="s">
        <v>304</v>
      </c>
      <c r="E8171">
        <f>YEAR(A8171)</f>
        <v>2015</v>
      </c>
      <c r="F8171" s="33">
        <f>DATE(YEAR(A8171),MONTH(A8171),1)</f>
        <v>42156.0</v>
      </c>
      <c r="G8171" t="str">
        <f>CHOOSE(WEEKDAY(A8171,2),"Mon","Tue","Wed","Thu","Fri","Sat","Sun")</f>
        <v>Sun</v>
      </c>
      <c r="H8171" t="str">
        <f>IF(WEEKDAY(A8171,2)&gt;5,"Weekend","Weekday")</f>
        <v>Weekend</v>
      </c>
      <c r="I8171" t="str">
        <f>_xlfn.IFS(B8171&lt;=5,"Night (0-5)",B8171&lt;=9,"Morning peak (6-9)",B8171&lt;=15,"Midday (10-15)",B8171&lt;=19,"Evening peak (16-19)",TRUE,"Late evening (20-23)")</f>
        <v>Late evening (20-23)</v>
      </c>
    </row>
    <row r="8172" spans="1:9">
      <c r="A8172" s="32">
        <v>42162</v>
      </c>
      <c r="B8172">
        <v>21</v>
      </c>
      <c r="C8172">
        <v>4295</v>
      </c>
      <c r="D8172" t="s">
        <v>304</v>
      </c>
      <c r="E8172">
        <f>YEAR(A8172)</f>
        <v>2015</v>
      </c>
      <c r="F8172" s="33">
        <f>DATE(YEAR(A8172),MONTH(A8172),1)</f>
        <v>42156.0</v>
      </c>
      <c r="G8172" t="str">
        <f>CHOOSE(WEEKDAY(A8172,2),"Mon","Tue","Wed","Thu","Fri","Sat","Sun")</f>
        <v>Sun</v>
      </c>
      <c r="H8172" t="str">
        <f>IF(WEEKDAY(A8172,2)&gt;5,"Weekend","Weekday")</f>
        <v>Weekend</v>
      </c>
      <c r="I8172" t="str">
        <f>_xlfn.IFS(B8172&lt;=5,"Night (0-5)",B8172&lt;=9,"Morning peak (6-9)",B8172&lt;=15,"Midday (10-15)",B8172&lt;=19,"Evening peak (16-19)",TRUE,"Late evening (20-23)")</f>
        <v>Late evening (20-23)</v>
      </c>
    </row>
    <row r="8173" spans="1:9">
      <c r="A8173" s="32">
        <v>42162</v>
      </c>
      <c r="B8173">
        <v>22</v>
      </c>
      <c r="C8173">
        <v>4296</v>
      </c>
      <c r="D8173" t="s">
        <v>304</v>
      </c>
      <c r="E8173">
        <f>YEAR(A8173)</f>
        <v>2015</v>
      </c>
      <c r="F8173" s="33">
        <f>DATE(YEAR(A8173),MONTH(A8173),1)</f>
        <v>42156.0</v>
      </c>
      <c r="G8173" t="str">
        <f>CHOOSE(WEEKDAY(A8173,2),"Mon","Tue","Wed","Thu","Fri","Sat","Sun")</f>
        <v>Sun</v>
      </c>
      <c r="H8173" t="str">
        <f>IF(WEEKDAY(A8173,2)&gt;5,"Weekend","Weekday")</f>
        <v>Weekend</v>
      </c>
      <c r="I8173" t="str">
        <f>_xlfn.IFS(B8173&lt;=5,"Night (0-5)",B8173&lt;=9,"Morning peak (6-9)",B8173&lt;=15,"Midday (10-15)",B8173&lt;=19,"Evening peak (16-19)",TRUE,"Late evening (20-23)")</f>
        <v>Late evening (20-23)</v>
      </c>
    </row>
    <row r="8174" spans="1:9">
      <c r="A8174" s="32">
        <v>42162</v>
      </c>
      <c r="B8174">
        <v>23</v>
      </c>
      <c r="C8174">
        <v>4336</v>
      </c>
      <c r="D8174" t="s">
        <v>304</v>
      </c>
      <c r="E8174">
        <f>YEAR(A8174)</f>
        <v>2015</v>
      </c>
      <c r="F8174" s="33">
        <f>DATE(YEAR(A8174),MONTH(A8174),1)</f>
        <v>42156.0</v>
      </c>
      <c r="G8174" t="str">
        <f>CHOOSE(WEEKDAY(A8174,2),"Mon","Tue","Wed","Thu","Fri","Sat","Sun")</f>
        <v>Sun</v>
      </c>
      <c r="H8174" t="str">
        <f>IF(WEEKDAY(A8174,2)&gt;5,"Weekend","Weekday")</f>
        <v>Weekend</v>
      </c>
      <c r="I8174" t="str">
        <f>_xlfn.IFS(B8174&lt;=5,"Night (0-5)",B8174&lt;=9,"Morning peak (6-9)",B8174&lt;=15,"Midday (10-15)",B8174&lt;=19,"Evening peak (16-19)",TRUE,"Late evening (20-23)")</f>
        <v>Late evening (20-23)</v>
      </c>
    </row>
    <row r="8175" spans="1:9">
      <c r="A8175" s="32">
        <v>42163</v>
      </c>
      <c r="B8175">
        <v>0</v>
      </c>
      <c r="C8175">
        <v>2645</v>
      </c>
      <c r="D8175" t="s">
        <v>304</v>
      </c>
      <c r="E8175">
        <f>YEAR(A8175)</f>
        <v>2015</v>
      </c>
      <c r="F8175" s="33">
        <f>DATE(YEAR(A8175),MONTH(A8175),1)</f>
        <v>42156.0</v>
      </c>
      <c r="G8175" t="str">
        <f>CHOOSE(WEEKDAY(A8175,2),"Mon","Tue","Wed","Thu","Fri","Sat","Sun")</f>
        <v>Mon</v>
      </c>
      <c r="H8175" t="str">
        <f>IF(WEEKDAY(A8175,2)&gt;5,"Weekend","Weekday")</f>
        <v>Weekday</v>
      </c>
      <c r="I8175" t="str">
        <f>_xlfn.IFS(B8175&lt;=5,"Night (0-5)",B8175&lt;=9,"Morning peak (6-9)",B8175&lt;=15,"Midday (10-15)",B8175&lt;=19,"Evening peak (16-19)",TRUE,"Late evening (20-23)")</f>
        <v>Night (0-5)</v>
      </c>
    </row>
    <row r="8176" spans="1:9">
      <c r="A8176" s="32">
        <v>42163</v>
      </c>
      <c r="B8176">
        <v>1</v>
      </c>
      <c r="C8176">
        <v>1279</v>
      </c>
      <c r="D8176" t="s">
        <v>304</v>
      </c>
      <c r="E8176">
        <f>YEAR(A8176)</f>
        <v>2015</v>
      </c>
      <c r="F8176" s="33">
        <f>DATE(YEAR(A8176),MONTH(A8176),1)</f>
        <v>42156.0</v>
      </c>
      <c r="G8176" t="str">
        <f>CHOOSE(WEEKDAY(A8176,2),"Mon","Tue","Wed","Thu","Fri","Sat","Sun")</f>
        <v>Mon</v>
      </c>
      <c r="H8176" t="str">
        <f>IF(WEEKDAY(A8176,2)&gt;5,"Weekend","Weekday")</f>
        <v>Weekday</v>
      </c>
      <c r="I8176" t="str">
        <f>_xlfn.IFS(B8176&lt;=5,"Night (0-5)",B8176&lt;=9,"Morning peak (6-9)",B8176&lt;=15,"Midday (10-15)",B8176&lt;=19,"Evening peak (16-19)",TRUE,"Late evening (20-23)")</f>
        <v>Night (0-5)</v>
      </c>
    </row>
    <row r="8177" spans="1:9">
      <c r="A8177" s="32">
        <v>42163</v>
      </c>
      <c r="B8177">
        <v>2</v>
      </c>
      <c r="C8177">
        <v>787</v>
      </c>
      <c r="D8177" t="s">
        <v>304</v>
      </c>
      <c r="E8177">
        <f>YEAR(A8177)</f>
        <v>2015</v>
      </c>
      <c r="F8177" s="33">
        <f>DATE(YEAR(A8177),MONTH(A8177),1)</f>
        <v>42156.0</v>
      </c>
      <c r="G8177" t="str">
        <f>CHOOSE(WEEKDAY(A8177,2),"Mon","Tue","Wed","Thu","Fri","Sat","Sun")</f>
        <v>Mon</v>
      </c>
      <c r="H8177" t="str">
        <f>IF(WEEKDAY(A8177,2)&gt;5,"Weekend","Weekday")</f>
        <v>Weekday</v>
      </c>
      <c r="I8177" t="str">
        <f>_xlfn.IFS(B8177&lt;=5,"Night (0-5)",B8177&lt;=9,"Morning peak (6-9)",B8177&lt;=15,"Midday (10-15)",B8177&lt;=19,"Evening peak (16-19)",TRUE,"Late evening (20-23)")</f>
        <v>Night (0-5)</v>
      </c>
    </row>
    <row r="8178" spans="1:9">
      <c r="A8178" s="32">
        <v>42163</v>
      </c>
      <c r="B8178">
        <v>3</v>
      </c>
      <c r="C8178">
        <v>643</v>
      </c>
      <c r="D8178" t="s">
        <v>304</v>
      </c>
      <c r="E8178">
        <f>YEAR(A8178)</f>
        <v>2015</v>
      </c>
      <c r="F8178" s="33">
        <f>DATE(YEAR(A8178),MONTH(A8178),1)</f>
        <v>42156.0</v>
      </c>
      <c r="G8178" t="str">
        <f>CHOOSE(WEEKDAY(A8178,2),"Mon","Tue","Wed","Thu","Fri","Sat","Sun")</f>
        <v>Mon</v>
      </c>
      <c r="H8178" t="str">
        <f>IF(WEEKDAY(A8178,2)&gt;5,"Weekend","Weekday")</f>
        <v>Weekday</v>
      </c>
      <c r="I8178" t="str">
        <f>_xlfn.IFS(B8178&lt;=5,"Night (0-5)",B8178&lt;=9,"Morning peak (6-9)",B8178&lt;=15,"Midday (10-15)",B8178&lt;=19,"Evening peak (16-19)",TRUE,"Late evening (20-23)")</f>
        <v>Night (0-5)</v>
      </c>
    </row>
    <row r="8179" spans="1:9">
      <c r="A8179" s="32">
        <v>42163</v>
      </c>
      <c r="B8179">
        <v>4</v>
      </c>
      <c r="C8179">
        <v>909</v>
      </c>
      <c r="D8179" t="s">
        <v>304</v>
      </c>
      <c r="E8179">
        <f>YEAR(A8179)</f>
        <v>2015</v>
      </c>
      <c r="F8179" s="33">
        <f>DATE(YEAR(A8179),MONTH(A8179),1)</f>
        <v>42156.0</v>
      </c>
      <c r="G8179" t="str">
        <f>CHOOSE(WEEKDAY(A8179,2),"Mon","Tue","Wed","Thu","Fri","Sat","Sun")</f>
        <v>Mon</v>
      </c>
      <c r="H8179" t="str">
        <f>IF(WEEKDAY(A8179,2)&gt;5,"Weekend","Weekday")</f>
        <v>Weekday</v>
      </c>
      <c r="I8179" t="str">
        <f>_xlfn.IFS(B8179&lt;=5,"Night (0-5)",B8179&lt;=9,"Morning peak (6-9)",B8179&lt;=15,"Midday (10-15)",B8179&lt;=19,"Evening peak (16-19)",TRUE,"Late evening (20-23)")</f>
        <v>Night (0-5)</v>
      </c>
    </row>
    <row r="8180" spans="1:9">
      <c r="A8180" s="32">
        <v>42163</v>
      </c>
      <c r="B8180">
        <v>5</v>
      </c>
      <c r="C8180">
        <v>1512</v>
      </c>
      <c r="D8180" t="s">
        <v>304</v>
      </c>
      <c r="E8180">
        <f>YEAR(A8180)</f>
        <v>2015</v>
      </c>
      <c r="F8180" s="33">
        <f>DATE(YEAR(A8180),MONTH(A8180),1)</f>
        <v>42156.0</v>
      </c>
      <c r="G8180" t="str">
        <f>CHOOSE(WEEKDAY(A8180,2),"Mon","Tue","Wed","Thu","Fri","Sat","Sun")</f>
        <v>Mon</v>
      </c>
      <c r="H8180" t="str">
        <f>IF(WEEKDAY(A8180,2)&gt;5,"Weekend","Weekday")</f>
        <v>Weekday</v>
      </c>
      <c r="I8180" t="str">
        <f>_xlfn.IFS(B8180&lt;=5,"Night (0-5)",B8180&lt;=9,"Morning peak (6-9)",B8180&lt;=15,"Midday (10-15)",B8180&lt;=19,"Evening peak (16-19)",TRUE,"Late evening (20-23)")</f>
        <v>Night (0-5)</v>
      </c>
    </row>
    <row r="8181" spans="1:9">
      <c r="A8181" s="32">
        <v>42163</v>
      </c>
      <c r="B8181">
        <v>6</v>
      </c>
      <c r="C8181">
        <v>2229</v>
      </c>
      <c r="D8181" t="s">
        <v>304</v>
      </c>
      <c r="E8181">
        <f>YEAR(A8181)</f>
        <v>2015</v>
      </c>
      <c r="F8181" s="33">
        <f>DATE(YEAR(A8181),MONTH(A8181),1)</f>
        <v>42156.0</v>
      </c>
      <c r="G8181" t="str">
        <f>CHOOSE(WEEKDAY(A8181,2),"Mon","Tue","Wed","Thu","Fri","Sat","Sun")</f>
        <v>Mon</v>
      </c>
      <c r="H8181" t="str">
        <f>IF(WEEKDAY(A8181,2)&gt;5,"Weekend","Weekday")</f>
        <v>Weekday</v>
      </c>
      <c r="I8181" t="str">
        <f>_xlfn.IFS(B8181&lt;=5,"Night (0-5)",B8181&lt;=9,"Morning peak (6-9)",B8181&lt;=15,"Midday (10-15)",B8181&lt;=19,"Evening peak (16-19)",TRUE,"Late evening (20-23)")</f>
        <v>Morning peak (6-9)</v>
      </c>
    </row>
    <row r="8182" spans="1:9">
      <c r="A8182" s="32">
        <v>42163</v>
      </c>
      <c r="B8182">
        <v>7</v>
      </c>
      <c r="C8182">
        <v>3350</v>
      </c>
      <c r="D8182" t="s">
        <v>304</v>
      </c>
      <c r="E8182">
        <f>YEAR(A8182)</f>
        <v>2015</v>
      </c>
      <c r="F8182" s="33">
        <f>DATE(YEAR(A8182),MONTH(A8182),1)</f>
        <v>42156.0</v>
      </c>
      <c r="G8182" t="str">
        <f>CHOOSE(WEEKDAY(A8182,2),"Mon","Tue","Wed","Thu","Fri","Sat","Sun")</f>
        <v>Mon</v>
      </c>
      <c r="H8182" t="str">
        <f>IF(WEEKDAY(A8182,2)&gt;5,"Weekend","Weekday")</f>
        <v>Weekday</v>
      </c>
      <c r="I8182" t="str">
        <f>_xlfn.IFS(B8182&lt;=5,"Night (0-5)",B8182&lt;=9,"Morning peak (6-9)",B8182&lt;=15,"Midday (10-15)",B8182&lt;=19,"Evening peak (16-19)",TRUE,"Late evening (20-23)")</f>
        <v>Morning peak (6-9)</v>
      </c>
    </row>
    <row r="8183" spans="1:9">
      <c r="A8183" s="32">
        <v>42163</v>
      </c>
      <c r="B8183">
        <v>8</v>
      </c>
      <c r="C8183">
        <v>4233</v>
      </c>
      <c r="D8183" t="s">
        <v>304</v>
      </c>
      <c r="E8183">
        <f>YEAR(A8183)</f>
        <v>2015</v>
      </c>
      <c r="F8183" s="33">
        <f>DATE(YEAR(A8183),MONTH(A8183),1)</f>
        <v>42156.0</v>
      </c>
      <c r="G8183" t="str">
        <f>CHOOSE(WEEKDAY(A8183,2),"Mon","Tue","Wed","Thu","Fri","Sat","Sun")</f>
        <v>Mon</v>
      </c>
      <c r="H8183" t="str">
        <f>IF(WEEKDAY(A8183,2)&gt;5,"Weekend","Weekday")</f>
        <v>Weekday</v>
      </c>
      <c r="I8183" t="str">
        <f>_xlfn.IFS(B8183&lt;=5,"Night (0-5)",B8183&lt;=9,"Morning peak (6-9)",B8183&lt;=15,"Midday (10-15)",B8183&lt;=19,"Evening peak (16-19)",TRUE,"Late evening (20-23)")</f>
        <v>Morning peak (6-9)</v>
      </c>
    </row>
    <row r="8184" spans="1:9">
      <c r="A8184" s="32">
        <v>42163</v>
      </c>
      <c r="B8184">
        <v>9</v>
      </c>
      <c r="C8184">
        <v>4154</v>
      </c>
      <c r="D8184" t="s">
        <v>304</v>
      </c>
      <c r="E8184">
        <f>YEAR(A8184)</f>
        <v>2015</v>
      </c>
      <c r="F8184" s="33">
        <f>DATE(YEAR(A8184),MONTH(A8184),1)</f>
        <v>42156.0</v>
      </c>
      <c r="G8184" t="str">
        <f>CHOOSE(WEEKDAY(A8184,2),"Mon","Tue","Wed","Thu","Fri","Sat","Sun")</f>
        <v>Mon</v>
      </c>
      <c r="H8184" t="str">
        <f>IF(WEEKDAY(A8184,2)&gt;5,"Weekend","Weekday")</f>
        <v>Weekday</v>
      </c>
      <c r="I8184" t="str">
        <f>_xlfn.IFS(B8184&lt;=5,"Night (0-5)",B8184&lt;=9,"Morning peak (6-9)",B8184&lt;=15,"Midday (10-15)",B8184&lt;=19,"Evening peak (16-19)",TRUE,"Late evening (20-23)")</f>
        <v>Morning peak (6-9)</v>
      </c>
    </row>
    <row r="8185" spans="1:9">
      <c r="A8185" s="32">
        <v>42163</v>
      </c>
      <c r="B8185">
        <v>10</v>
      </c>
      <c r="C8185">
        <v>3472</v>
      </c>
      <c r="D8185" t="s">
        <v>304</v>
      </c>
      <c r="E8185">
        <f>YEAR(A8185)</f>
        <v>2015</v>
      </c>
      <c r="F8185" s="33">
        <f>DATE(YEAR(A8185),MONTH(A8185),1)</f>
        <v>42156.0</v>
      </c>
      <c r="G8185" t="str">
        <f>CHOOSE(WEEKDAY(A8185,2),"Mon","Tue","Wed","Thu","Fri","Sat","Sun")</f>
        <v>Mon</v>
      </c>
      <c r="H8185" t="str">
        <f>IF(WEEKDAY(A8185,2)&gt;5,"Weekend","Weekday")</f>
        <v>Weekday</v>
      </c>
      <c r="I8185" t="str">
        <f>_xlfn.IFS(B8185&lt;=5,"Night (0-5)",B8185&lt;=9,"Morning peak (6-9)",B8185&lt;=15,"Midday (10-15)",B8185&lt;=19,"Evening peak (16-19)",TRUE,"Late evening (20-23)")</f>
        <v>Midday (10-15)</v>
      </c>
    </row>
    <row r="8186" spans="1:9">
      <c r="A8186" s="32">
        <v>42163</v>
      </c>
      <c r="B8186">
        <v>11</v>
      </c>
      <c r="C8186">
        <v>3091</v>
      </c>
      <c r="D8186" t="s">
        <v>304</v>
      </c>
      <c r="E8186">
        <f>YEAR(A8186)</f>
        <v>2015</v>
      </c>
      <c r="F8186" s="33">
        <f>DATE(YEAR(A8186),MONTH(A8186),1)</f>
        <v>42156.0</v>
      </c>
      <c r="G8186" t="str">
        <f>CHOOSE(WEEKDAY(A8186,2),"Mon","Tue","Wed","Thu","Fri","Sat","Sun")</f>
        <v>Mon</v>
      </c>
      <c r="H8186" t="str">
        <f>IF(WEEKDAY(A8186,2)&gt;5,"Weekend","Weekday")</f>
        <v>Weekday</v>
      </c>
      <c r="I8186" t="str">
        <f>_xlfn.IFS(B8186&lt;=5,"Night (0-5)",B8186&lt;=9,"Morning peak (6-9)",B8186&lt;=15,"Midday (10-15)",B8186&lt;=19,"Evening peak (16-19)",TRUE,"Late evening (20-23)")</f>
        <v>Midday (10-15)</v>
      </c>
    </row>
    <row r="8187" spans="1:9">
      <c r="A8187" s="32">
        <v>42163</v>
      </c>
      <c r="B8187">
        <v>12</v>
      </c>
      <c r="C8187">
        <v>2961</v>
      </c>
      <c r="D8187" t="s">
        <v>304</v>
      </c>
      <c r="E8187">
        <f>YEAR(A8187)</f>
        <v>2015</v>
      </c>
      <c r="F8187" s="33">
        <f>DATE(YEAR(A8187),MONTH(A8187),1)</f>
        <v>42156.0</v>
      </c>
      <c r="G8187" t="str">
        <f>CHOOSE(WEEKDAY(A8187,2),"Mon","Tue","Wed","Thu","Fri","Sat","Sun")</f>
        <v>Mon</v>
      </c>
      <c r="H8187" t="str">
        <f>IF(WEEKDAY(A8187,2)&gt;5,"Weekend","Weekday")</f>
        <v>Weekday</v>
      </c>
      <c r="I8187" t="str">
        <f>_xlfn.IFS(B8187&lt;=5,"Night (0-5)",B8187&lt;=9,"Morning peak (6-9)",B8187&lt;=15,"Midday (10-15)",B8187&lt;=19,"Evening peak (16-19)",TRUE,"Late evening (20-23)")</f>
        <v>Midday (10-15)</v>
      </c>
    </row>
    <row r="8188" spans="1:9">
      <c r="A8188" s="32">
        <v>42163</v>
      </c>
      <c r="B8188">
        <v>13</v>
      </c>
      <c r="C8188">
        <v>2855</v>
      </c>
      <c r="D8188" t="s">
        <v>304</v>
      </c>
      <c r="E8188">
        <f>YEAR(A8188)</f>
        <v>2015</v>
      </c>
      <c r="F8188" s="33">
        <f>DATE(YEAR(A8188),MONTH(A8188),1)</f>
        <v>42156.0</v>
      </c>
      <c r="G8188" t="str">
        <f>CHOOSE(WEEKDAY(A8188,2),"Mon","Tue","Wed","Thu","Fri","Sat","Sun")</f>
        <v>Mon</v>
      </c>
      <c r="H8188" t="str">
        <f>IF(WEEKDAY(A8188,2)&gt;5,"Weekend","Weekday")</f>
        <v>Weekday</v>
      </c>
      <c r="I8188" t="str">
        <f>_xlfn.IFS(B8188&lt;=5,"Night (0-5)",B8188&lt;=9,"Morning peak (6-9)",B8188&lt;=15,"Midday (10-15)",B8188&lt;=19,"Evening peak (16-19)",TRUE,"Late evening (20-23)")</f>
        <v>Midday (10-15)</v>
      </c>
    </row>
    <row r="8189" spans="1:9">
      <c r="A8189" s="32">
        <v>42163</v>
      </c>
      <c r="B8189">
        <v>14</v>
      </c>
      <c r="C8189">
        <v>3266</v>
      </c>
      <c r="D8189" t="s">
        <v>304</v>
      </c>
      <c r="E8189">
        <f>YEAR(A8189)</f>
        <v>2015</v>
      </c>
      <c r="F8189" s="33">
        <f>DATE(YEAR(A8189),MONTH(A8189),1)</f>
        <v>42156.0</v>
      </c>
      <c r="G8189" t="str">
        <f>CHOOSE(WEEKDAY(A8189,2),"Mon","Tue","Wed","Thu","Fri","Sat","Sun")</f>
        <v>Mon</v>
      </c>
      <c r="H8189" t="str">
        <f>IF(WEEKDAY(A8189,2)&gt;5,"Weekend","Weekday")</f>
        <v>Weekday</v>
      </c>
      <c r="I8189" t="str">
        <f>_xlfn.IFS(B8189&lt;=5,"Night (0-5)",B8189&lt;=9,"Morning peak (6-9)",B8189&lt;=15,"Midday (10-15)",B8189&lt;=19,"Evening peak (16-19)",TRUE,"Late evening (20-23)")</f>
        <v>Midday (10-15)</v>
      </c>
    </row>
    <row r="8190" spans="1:9">
      <c r="A8190" s="32">
        <v>42163</v>
      </c>
      <c r="B8190">
        <v>15</v>
      </c>
      <c r="C8190">
        <v>3423</v>
      </c>
      <c r="D8190" t="s">
        <v>304</v>
      </c>
      <c r="E8190">
        <f>YEAR(A8190)</f>
        <v>2015</v>
      </c>
      <c r="F8190" s="33">
        <f>DATE(YEAR(A8190),MONTH(A8190),1)</f>
        <v>42156.0</v>
      </c>
      <c r="G8190" t="str">
        <f>CHOOSE(WEEKDAY(A8190,2),"Mon","Tue","Wed","Thu","Fri","Sat","Sun")</f>
        <v>Mon</v>
      </c>
      <c r="H8190" t="str">
        <f>IF(WEEKDAY(A8190,2)&gt;5,"Weekend","Weekday")</f>
        <v>Weekday</v>
      </c>
      <c r="I8190" t="str">
        <f>_xlfn.IFS(B8190&lt;=5,"Night (0-5)",B8190&lt;=9,"Morning peak (6-9)",B8190&lt;=15,"Midday (10-15)",B8190&lt;=19,"Evening peak (16-19)",TRUE,"Late evening (20-23)")</f>
        <v>Midday (10-15)</v>
      </c>
    </row>
    <row r="8191" spans="1:9">
      <c r="A8191" s="32">
        <v>42163</v>
      </c>
      <c r="B8191">
        <v>16</v>
      </c>
      <c r="C8191">
        <v>3717</v>
      </c>
      <c r="D8191" t="s">
        <v>304</v>
      </c>
      <c r="E8191">
        <f>YEAR(A8191)</f>
        <v>2015</v>
      </c>
      <c r="F8191" s="33">
        <f>DATE(YEAR(A8191),MONTH(A8191),1)</f>
        <v>42156.0</v>
      </c>
      <c r="G8191" t="str">
        <f>CHOOSE(WEEKDAY(A8191,2),"Mon","Tue","Wed","Thu","Fri","Sat","Sun")</f>
        <v>Mon</v>
      </c>
      <c r="H8191" t="str">
        <f>IF(WEEKDAY(A8191,2)&gt;5,"Weekend","Weekday")</f>
        <v>Weekday</v>
      </c>
      <c r="I8191" t="str">
        <f>_xlfn.IFS(B8191&lt;=5,"Night (0-5)",B8191&lt;=9,"Morning peak (6-9)",B8191&lt;=15,"Midday (10-15)",B8191&lt;=19,"Evening peak (16-19)",TRUE,"Late evening (20-23)")</f>
        <v>Evening peak (16-19)</v>
      </c>
    </row>
    <row r="8192" spans="1:9">
      <c r="A8192" s="32">
        <v>42163</v>
      </c>
      <c r="B8192">
        <v>17</v>
      </c>
      <c r="C8192">
        <v>4268</v>
      </c>
      <c r="D8192" t="s">
        <v>304</v>
      </c>
      <c r="E8192">
        <f>YEAR(A8192)</f>
        <v>2015</v>
      </c>
      <c r="F8192" s="33">
        <f>DATE(YEAR(A8192),MONTH(A8192),1)</f>
        <v>42156.0</v>
      </c>
      <c r="G8192" t="str">
        <f>CHOOSE(WEEKDAY(A8192,2),"Mon","Tue","Wed","Thu","Fri","Sat","Sun")</f>
        <v>Mon</v>
      </c>
      <c r="H8192" t="str">
        <f>IF(WEEKDAY(A8192,2)&gt;5,"Weekend","Weekday")</f>
        <v>Weekday</v>
      </c>
      <c r="I8192" t="str">
        <f>_xlfn.IFS(B8192&lt;=5,"Night (0-5)",B8192&lt;=9,"Morning peak (6-9)",B8192&lt;=15,"Midday (10-15)",B8192&lt;=19,"Evening peak (16-19)",TRUE,"Late evening (20-23)")</f>
        <v>Evening peak (16-19)</v>
      </c>
    </row>
    <row r="8193" spans="1:9">
      <c r="A8193" s="32">
        <v>42163</v>
      </c>
      <c r="B8193">
        <v>18</v>
      </c>
      <c r="C8193">
        <v>5008</v>
      </c>
      <c r="D8193" t="s">
        <v>304</v>
      </c>
      <c r="E8193">
        <f>YEAR(A8193)</f>
        <v>2015</v>
      </c>
      <c r="F8193" s="33">
        <f>DATE(YEAR(A8193),MONTH(A8193),1)</f>
        <v>42156.0</v>
      </c>
      <c r="G8193" t="str">
        <f>CHOOSE(WEEKDAY(A8193,2),"Mon","Tue","Wed","Thu","Fri","Sat","Sun")</f>
        <v>Mon</v>
      </c>
      <c r="H8193" t="str">
        <f>IF(WEEKDAY(A8193,2)&gt;5,"Weekend","Weekday")</f>
        <v>Weekday</v>
      </c>
      <c r="I8193" t="str">
        <f>_xlfn.IFS(B8193&lt;=5,"Night (0-5)",B8193&lt;=9,"Morning peak (6-9)",B8193&lt;=15,"Midday (10-15)",B8193&lt;=19,"Evening peak (16-19)",TRUE,"Late evening (20-23)")</f>
        <v>Evening peak (16-19)</v>
      </c>
    </row>
    <row r="8194" spans="1:9">
      <c r="A8194" s="32">
        <v>42163</v>
      </c>
      <c r="B8194">
        <v>19</v>
      </c>
      <c r="C8194">
        <v>4690</v>
      </c>
      <c r="D8194" t="s">
        <v>304</v>
      </c>
      <c r="E8194">
        <f>YEAR(A8194)</f>
        <v>2015</v>
      </c>
      <c r="F8194" s="33">
        <f>DATE(YEAR(A8194),MONTH(A8194),1)</f>
        <v>42156.0</v>
      </c>
      <c r="G8194" t="str">
        <f>CHOOSE(WEEKDAY(A8194,2),"Mon","Tue","Wed","Thu","Fri","Sat","Sun")</f>
        <v>Mon</v>
      </c>
      <c r="H8194" t="str">
        <f>IF(WEEKDAY(A8194,2)&gt;5,"Weekend","Weekday")</f>
        <v>Weekday</v>
      </c>
      <c r="I8194" t="str">
        <f>_xlfn.IFS(B8194&lt;=5,"Night (0-5)",B8194&lt;=9,"Morning peak (6-9)",B8194&lt;=15,"Midday (10-15)",B8194&lt;=19,"Evening peak (16-19)",TRUE,"Late evening (20-23)")</f>
        <v>Evening peak (16-19)</v>
      </c>
    </row>
    <row r="8195" spans="1:9">
      <c r="A8195" s="32">
        <v>42163</v>
      </c>
      <c r="B8195">
        <v>20</v>
      </c>
      <c r="C8195">
        <v>4329</v>
      </c>
      <c r="D8195" t="s">
        <v>304</v>
      </c>
      <c r="E8195">
        <f>YEAR(A8195)</f>
        <v>2015</v>
      </c>
      <c r="F8195" s="33">
        <f>DATE(YEAR(A8195),MONTH(A8195),1)</f>
        <v>42156.0</v>
      </c>
      <c r="G8195" t="str">
        <f>CHOOSE(WEEKDAY(A8195,2),"Mon","Tue","Wed","Thu","Fri","Sat","Sun")</f>
        <v>Mon</v>
      </c>
      <c r="H8195" t="str">
        <f>IF(WEEKDAY(A8195,2)&gt;5,"Weekend","Weekday")</f>
        <v>Weekday</v>
      </c>
      <c r="I8195" t="str">
        <f>_xlfn.IFS(B8195&lt;=5,"Night (0-5)",B8195&lt;=9,"Morning peak (6-9)",B8195&lt;=15,"Midday (10-15)",B8195&lt;=19,"Evening peak (16-19)",TRUE,"Late evening (20-23)")</f>
        <v>Late evening (20-23)</v>
      </c>
    </row>
    <row r="8196" spans="1:9">
      <c r="A8196" s="32">
        <v>42163</v>
      </c>
      <c r="B8196">
        <v>21</v>
      </c>
      <c r="C8196">
        <v>5297</v>
      </c>
      <c r="D8196" t="s">
        <v>304</v>
      </c>
      <c r="E8196">
        <f>YEAR(A8196)</f>
        <v>2015</v>
      </c>
      <c r="F8196" s="33">
        <f>DATE(YEAR(A8196),MONTH(A8196),1)</f>
        <v>42156.0</v>
      </c>
      <c r="G8196" t="str">
        <f>CHOOSE(WEEKDAY(A8196,2),"Mon","Tue","Wed","Thu","Fri","Sat","Sun")</f>
        <v>Mon</v>
      </c>
      <c r="H8196" t="str">
        <f>IF(WEEKDAY(A8196,2)&gt;5,"Weekend","Weekday")</f>
        <v>Weekday</v>
      </c>
      <c r="I8196" t="str">
        <f>_xlfn.IFS(B8196&lt;=5,"Night (0-5)",B8196&lt;=9,"Morning peak (6-9)",B8196&lt;=15,"Midday (10-15)",B8196&lt;=19,"Evening peak (16-19)",TRUE,"Late evening (20-23)")</f>
        <v>Late evening (20-23)</v>
      </c>
    </row>
    <row r="8197" spans="1:9">
      <c r="A8197" s="32">
        <v>42163</v>
      </c>
      <c r="B8197">
        <v>22</v>
      </c>
      <c r="C8197">
        <v>4867</v>
      </c>
      <c r="D8197" t="s">
        <v>304</v>
      </c>
      <c r="E8197">
        <f>YEAR(A8197)</f>
        <v>2015</v>
      </c>
      <c r="F8197" s="33">
        <f>DATE(YEAR(A8197),MONTH(A8197),1)</f>
        <v>42156.0</v>
      </c>
      <c r="G8197" t="str">
        <f>CHOOSE(WEEKDAY(A8197,2),"Mon","Tue","Wed","Thu","Fri","Sat","Sun")</f>
        <v>Mon</v>
      </c>
      <c r="H8197" t="str">
        <f>IF(WEEKDAY(A8197,2)&gt;5,"Weekend","Weekday")</f>
        <v>Weekday</v>
      </c>
      <c r="I8197" t="str">
        <f>_xlfn.IFS(B8197&lt;=5,"Night (0-5)",B8197&lt;=9,"Morning peak (6-9)",B8197&lt;=15,"Midday (10-15)",B8197&lt;=19,"Evening peak (16-19)",TRUE,"Late evening (20-23)")</f>
        <v>Late evening (20-23)</v>
      </c>
    </row>
    <row r="8198" spans="1:9">
      <c r="A8198" s="32">
        <v>42163</v>
      </c>
      <c r="B8198">
        <v>23</v>
      </c>
      <c r="C8198">
        <v>3914</v>
      </c>
      <c r="D8198" t="s">
        <v>304</v>
      </c>
      <c r="E8198">
        <f>YEAR(A8198)</f>
        <v>2015</v>
      </c>
      <c r="F8198" s="33">
        <f>DATE(YEAR(A8198),MONTH(A8198),1)</f>
        <v>42156.0</v>
      </c>
      <c r="G8198" t="str">
        <f>CHOOSE(WEEKDAY(A8198,2),"Mon","Tue","Wed","Thu","Fri","Sat","Sun")</f>
        <v>Mon</v>
      </c>
      <c r="H8198" t="str">
        <f>IF(WEEKDAY(A8198,2)&gt;5,"Weekend","Weekday")</f>
        <v>Weekday</v>
      </c>
      <c r="I8198" t="str">
        <f>_xlfn.IFS(B8198&lt;=5,"Night (0-5)",B8198&lt;=9,"Morning peak (6-9)",B8198&lt;=15,"Midday (10-15)",B8198&lt;=19,"Evening peak (16-19)",TRUE,"Late evening (20-23)")</f>
        <v>Late evening (20-23)</v>
      </c>
    </row>
    <row r="8199" spans="1:9">
      <c r="A8199" s="32">
        <v>42164</v>
      </c>
      <c r="B8199">
        <v>0</v>
      </c>
      <c r="C8199">
        <v>2391</v>
      </c>
      <c r="D8199" t="s">
        <v>304</v>
      </c>
      <c r="E8199">
        <f>YEAR(A8199)</f>
        <v>2015</v>
      </c>
      <c r="F8199" s="33">
        <f>DATE(YEAR(A8199),MONTH(A8199),1)</f>
        <v>42156.0</v>
      </c>
      <c r="G8199" t="str">
        <f>CHOOSE(WEEKDAY(A8199,2),"Mon","Tue","Wed","Thu","Fri","Sat","Sun")</f>
        <v>Tue</v>
      </c>
      <c r="H8199" t="str">
        <f>IF(WEEKDAY(A8199,2)&gt;5,"Weekend","Weekday")</f>
        <v>Weekday</v>
      </c>
      <c r="I8199" t="str">
        <f>_xlfn.IFS(B8199&lt;=5,"Night (0-5)",B8199&lt;=9,"Morning peak (6-9)",B8199&lt;=15,"Midday (10-15)",B8199&lt;=19,"Evening peak (16-19)",TRUE,"Late evening (20-23)")</f>
        <v>Night (0-5)</v>
      </c>
    </row>
    <row r="8200" spans="1:9">
      <c r="A8200" s="32">
        <v>42164</v>
      </c>
      <c r="B8200">
        <v>1</v>
      </c>
      <c r="C8200">
        <v>1214</v>
      </c>
      <c r="D8200" t="s">
        <v>304</v>
      </c>
      <c r="E8200">
        <f>YEAR(A8200)</f>
        <v>2015</v>
      </c>
      <c r="F8200" s="33">
        <f>DATE(YEAR(A8200),MONTH(A8200),1)</f>
        <v>42156.0</v>
      </c>
      <c r="G8200" t="str">
        <f>CHOOSE(WEEKDAY(A8200,2),"Mon","Tue","Wed","Thu","Fri","Sat","Sun")</f>
        <v>Tue</v>
      </c>
      <c r="H8200" t="str">
        <f>IF(WEEKDAY(A8200,2)&gt;5,"Weekend","Weekday")</f>
        <v>Weekday</v>
      </c>
      <c r="I8200" t="str">
        <f>_xlfn.IFS(B8200&lt;=5,"Night (0-5)",B8200&lt;=9,"Morning peak (6-9)",B8200&lt;=15,"Midday (10-15)",B8200&lt;=19,"Evening peak (16-19)",TRUE,"Late evening (20-23)")</f>
        <v>Night (0-5)</v>
      </c>
    </row>
    <row r="8201" spans="1:9">
      <c r="A8201" s="32">
        <v>42164</v>
      </c>
      <c r="B8201">
        <v>2</v>
      </c>
      <c r="C8201">
        <v>622</v>
      </c>
      <c r="D8201" t="s">
        <v>304</v>
      </c>
      <c r="E8201">
        <f>YEAR(A8201)</f>
        <v>2015</v>
      </c>
      <c r="F8201" s="33">
        <f>DATE(YEAR(A8201),MONTH(A8201),1)</f>
        <v>42156.0</v>
      </c>
      <c r="G8201" t="str">
        <f>CHOOSE(WEEKDAY(A8201,2),"Mon","Tue","Wed","Thu","Fri","Sat","Sun")</f>
        <v>Tue</v>
      </c>
      <c r="H8201" t="str">
        <f>IF(WEEKDAY(A8201,2)&gt;5,"Weekend","Weekday")</f>
        <v>Weekday</v>
      </c>
      <c r="I8201" t="str">
        <f>_xlfn.IFS(B8201&lt;=5,"Night (0-5)",B8201&lt;=9,"Morning peak (6-9)",B8201&lt;=15,"Midday (10-15)",B8201&lt;=19,"Evening peak (16-19)",TRUE,"Late evening (20-23)")</f>
        <v>Night (0-5)</v>
      </c>
    </row>
    <row r="8202" spans="1:9">
      <c r="A8202" s="32">
        <v>42164</v>
      </c>
      <c r="B8202">
        <v>3</v>
      </c>
      <c r="C8202">
        <v>505</v>
      </c>
      <c r="D8202" t="s">
        <v>304</v>
      </c>
      <c r="E8202">
        <f>YEAR(A8202)</f>
        <v>2015</v>
      </c>
      <c r="F8202" s="33">
        <f>DATE(YEAR(A8202),MONTH(A8202),1)</f>
        <v>42156.0</v>
      </c>
      <c r="G8202" t="str">
        <f>CHOOSE(WEEKDAY(A8202,2),"Mon","Tue","Wed","Thu","Fri","Sat","Sun")</f>
        <v>Tue</v>
      </c>
      <c r="H8202" t="str">
        <f>IF(WEEKDAY(A8202,2)&gt;5,"Weekend","Weekday")</f>
        <v>Weekday</v>
      </c>
      <c r="I8202" t="str">
        <f>_xlfn.IFS(B8202&lt;=5,"Night (0-5)",B8202&lt;=9,"Morning peak (6-9)",B8202&lt;=15,"Midday (10-15)",B8202&lt;=19,"Evening peak (16-19)",TRUE,"Late evening (20-23)")</f>
        <v>Night (0-5)</v>
      </c>
    </row>
    <row r="8203" spans="1:9">
      <c r="A8203" s="32">
        <v>42164</v>
      </c>
      <c r="B8203">
        <v>4</v>
      </c>
      <c r="C8203">
        <v>726</v>
      </c>
      <c r="D8203" t="s">
        <v>304</v>
      </c>
      <c r="E8203">
        <f>YEAR(A8203)</f>
        <v>2015</v>
      </c>
      <c r="F8203" s="33">
        <f>DATE(YEAR(A8203),MONTH(A8203),1)</f>
        <v>42156.0</v>
      </c>
      <c r="G8203" t="str">
        <f>CHOOSE(WEEKDAY(A8203,2),"Mon","Tue","Wed","Thu","Fri","Sat","Sun")</f>
        <v>Tue</v>
      </c>
      <c r="H8203" t="str">
        <f>IF(WEEKDAY(A8203,2)&gt;5,"Weekend","Weekday")</f>
        <v>Weekday</v>
      </c>
      <c r="I8203" t="str">
        <f>_xlfn.IFS(B8203&lt;=5,"Night (0-5)",B8203&lt;=9,"Morning peak (6-9)",B8203&lt;=15,"Midday (10-15)",B8203&lt;=19,"Evening peak (16-19)",TRUE,"Late evening (20-23)")</f>
        <v>Night (0-5)</v>
      </c>
    </row>
    <row r="8204" spans="1:9">
      <c r="A8204" s="32">
        <v>42164</v>
      </c>
      <c r="B8204">
        <v>5</v>
      </c>
      <c r="C8204">
        <v>1183</v>
      </c>
      <c r="D8204" t="s">
        <v>304</v>
      </c>
      <c r="E8204">
        <f>YEAR(A8204)</f>
        <v>2015</v>
      </c>
      <c r="F8204" s="33">
        <f>DATE(YEAR(A8204),MONTH(A8204),1)</f>
        <v>42156.0</v>
      </c>
      <c r="G8204" t="str">
        <f>CHOOSE(WEEKDAY(A8204,2),"Mon","Tue","Wed","Thu","Fri","Sat","Sun")</f>
        <v>Tue</v>
      </c>
      <c r="H8204" t="str">
        <f>IF(WEEKDAY(A8204,2)&gt;5,"Weekend","Weekday")</f>
        <v>Weekday</v>
      </c>
      <c r="I8204" t="str">
        <f>_xlfn.IFS(B8204&lt;=5,"Night (0-5)",B8204&lt;=9,"Morning peak (6-9)",B8204&lt;=15,"Midday (10-15)",B8204&lt;=19,"Evening peak (16-19)",TRUE,"Late evening (20-23)")</f>
        <v>Night (0-5)</v>
      </c>
    </row>
    <row r="8205" spans="1:9">
      <c r="A8205" s="32">
        <v>42164</v>
      </c>
      <c r="B8205">
        <v>6</v>
      </c>
      <c r="C8205">
        <v>2010</v>
      </c>
      <c r="D8205" t="s">
        <v>304</v>
      </c>
      <c r="E8205">
        <f>YEAR(A8205)</f>
        <v>2015</v>
      </c>
      <c r="F8205" s="33">
        <f>DATE(YEAR(A8205),MONTH(A8205),1)</f>
        <v>42156.0</v>
      </c>
      <c r="G8205" t="str">
        <f>CHOOSE(WEEKDAY(A8205,2),"Mon","Tue","Wed","Thu","Fri","Sat","Sun")</f>
        <v>Tue</v>
      </c>
      <c r="H8205" t="str">
        <f>IF(WEEKDAY(A8205,2)&gt;5,"Weekend","Weekday")</f>
        <v>Weekday</v>
      </c>
      <c r="I8205" t="str">
        <f>_xlfn.IFS(B8205&lt;=5,"Night (0-5)",B8205&lt;=9,"Morning peak (6-9)",B8205&lt;=15,"Midday (10-15)",B8205&lt;=19,"Evening peak (16-19)",TRUE,"Late evening (20-23)")</f>
        <v>Morning peak (6-9)</v>
      </c>
    </row>
    <row r="8206" spans="1:9">
      <c r="A8206" s="32">
        <v>42164</v>
      </c>
      <c r="B8206">
        <v>7</v>
      </c>
      <c r="C8206">
        <v>3502</v>
      </c>
      <c r="D8206" t="s">
        <v>304</v>
      </c>
      <c r="E8206">
        <f>YEAR(A8206)</f>
        <v>2015</v>
      </c>
      <c r="F8206" s="33">
        <f>DATE(YEAR(A8206),MONTH(A8206),1)</f>
        <v>42156.0</v>
      </c>
      <c r="G8206" t="str">
        <f>CHOOSE(WEEKDAY(A8206,2),"Mon","Tue","Wed","Thu","Fri","Sat","Sun")</f>
        <v>Tue</v>
      </c>
      <c r="H8206" t="str">
        <f>IF(WEEKDAY(A8206,2)&gt;5,"Weekend","Weekday")</f>
        <v>Weekday</v>
      </c>
      <c r="I8206" t="str">
        <f>_xlfn.IFS(B8206&lt;=5,"Night (0-5)",B8206&lt;=9,"Morning peak (6-9)",B8206&lt;=15,"Midday (10-15)",B8206&lt;=19,"Evening peak (16-19)",TRUE,"Late evening (20-23)")</f>
        <v>Morning peak (6-9)</v>
      </c>
    </row>
    <row r="8207" spans="1:9">
      <c r="A8207" s="32">
        <v>42164</v>
      </c>
      <c r="B8207">
        <v>8</v>
      </c>
      <c r="C8207">
        <v>4778</v>
      </c>
      <c r="D8207" t="s">
        <v>304</v>
      </c>
      <c r="E8207">
        <f>YEAR(A8207)</f>
        <v>2015</v>
      </c>
      <c r="F8207" s="33">
        <f>DATE(YEAR(A8207),MONTH(A8207),1)</f>
        <v>42156.0</v>
      </c>
      <c r="G8207" t="str">
        <f>CHOOSE(WEEKDAY(A8207,2),"Mon","Tue","Wed","Thu","Fri","Sat","Sun")</f>
        <v>Tue</v>
      </c>
      <c r="H8207" t="str">
        <f>IF(WEEKDAY(A8207,2)&gt;5,"Weekend","Weekday")</f>
        <v>Weekday</v>
      </c>
      <c r="I8207" t="str">
        <f>_xlfn.IFS(B8207&lt;=5,"Night (0-5)",B8207&lt;=9,"Morning peak (6-9)",B8207&lt;=15,"Midday (10-15)",B8207&lt;=19,"Evening peak (16-19)",TRUE,"Late evening (20-23)")</f>
        <v>Morning peak (6-9)</v>
      </c>
    </row>
    <row r="8208" spans="1:9">
      <c r="A8208" s="32">
        <v>42164</v>
      </c>
      <c r="B8208">
        <v>9</v>
      </c>
      <c r="C8208">
        <v>4503</v>
      </c>
      <c r="D8208" t="s">
        <v>304</v>
      </c>
      <c r="E8208">
        <f>YEAR(A8208)</f>
        <v>2015</v>
      </c>
      <c r="F8208" s="33">
        <f>DATE(YEAR(A8208),MONTH(A8208),1)</f>
        <v>42156.0</v>
      </c>
      <c r="G8208" t="str">
        <f>CHOOSE(WEEKDAY(A8208,2),"Mon","Tue","Wed","Thu","Fri","Sat","Sun")</f>
        <v>Tue</v>
      </c>
      <c r="H8208" t="str">
        <f>IF(WEEKDAY(A8208,2)&gt;5,"Weekend","Weekday")</f>
        <v>Weekday</v>
      </c>
      <c r="I8208" t="str">
        <f>_xlfn.IFS(B8208&lt;=5,"Night (0-5)",B8208&lt;=9,"Morning peak (6-9)",B8208&lt;=15,"Midday (10-15)",B8208&lt;=19,"Evening peak (16-19)",TRUE,"Late evening (20-23)")</f>
        <v>Morning peak (6-9)</v>
      </c>
    </row>
    <row r="8209" spans="1:9">
      <c r="A8209" s="32">
        <v>42164</v>
      </c>
      <c r="B8209">
        <v>10</v>
      </c>
      <c r="C8209">
        <v>3404</v>
      </c>
      <c r="D8209" t="s">
        <v>304</v>
      </c>
      <c r="E8209">
        <f>YEAR(A8209)</f>
        <v>2015</v>
      </c>
      <c r="F8209" s="33">
        <f>DATE(YEAR(A8209),MONTH(A8209),1)</f>
        <v>42156.0</v>
      </c>
      <c r="G8209" t="str">
        <f>CHOOSE(WEEKDAY(A8209,2),"Mon","Tue","Wed","Thu","Fri","Sat","Sun")</f>
        <v>Tue</v>
      </c>
      <c r="H8209" t="str">
        <f>IF(WEEKDAY(A8209,2)&gt;5,"Weekend","Weekday")</f>
        <v>Weekday</v>
      </c>
      <c r="I8209" t="str">
        <f>_xlfn.IFS(B8209&lt;=5,"Night (0-5)",B8209&lt;=9,"Morning peak (6-9)",B8209&lt;=15,"Midday (10-15)",B8209&lt;=19,"Evening peak (16-19)",TRUE,"Late evening (20-23)")</f>
        <v>Midday (10-15)</v>
      </c>
    </row>
    <row r="8210" spans="1:9">
      <c r="A8210" s="32">
        <v>42164</v>
      </c>
      <c r="B8210">
        <v>11</v>
      </c>
      <c r="C8210">
        <v>3180</v>
      </c>
      <c r="D8210" t="s">
        <v>304</v>
      </c>
      <c r="E8210">
        <f>YEAR(A8210)</f>
        <v>2015</v>
      </c>
      <c r="F8210" s="33">
        <f>DATE(YEAR(A8210),MONTH(A8210),1)</f>
        <v>42156.0</v>
      </c>
      <c r="G8210" t="str">
        <f>CHOOSE(WEEKDAY(A8210,2),"Mon","Tue","Wed","Thu","Fri","Sat","Sun")</f>
        <v>Tue</v>
      </c>
      <c r="H8210" t="str">
        <f>IF(WEEKDAY(A8210,2)&gt;5,"Weekend","Weekday")</f>
        <v>Weekday</v>
      </c>
      <c r="I8210" t="str">
        <f>_xlfn.IFS(B8210&lt;=5,"Night (0-5)",B8210&lt;=9,"Morning peak (6-9)",B8210&lt;=15,"Midday (10-15)",B8210&lt;=19,"Evening peak (16-19)",TRUE,"Late evening (20-23)")</f>
        <v>Midday (10-15)</v>
      </c>
    </row>
    <row r="8211" spans="1:9">
      <c r="A8211" s="32">
        <v>42164</v>
      </c>
      <c r="B8211">
        <v>12</v>
      </c>
      <c r="C8211">
        <v>3167</v>
      </c>
      <c r="D8211" t="s">
        <v>304</v>
      </c>
      <c r="E8211">
        <f>YEAR(A8211)</f>
        <v>2015</v>
      </c>
      <c r="F8211" s="33">
        <f>DATE(YEAR(A8211),MONTH(A8211),1)</f>
        <v>42156.0</v>
      </c>
      <c r="G8211" t="str">
        <f>CHOOSE(WEEKDAY(A8211,2),"Mon","Tue","Wed","Thu","Fri","Sat","Sun")</f>
        <v>Tue</v>
      </c>
      <c r="H8211" t="str">
        <f>IF(WEEKDAY(A8211,2)&gt;5,"Weekend","Weekday")</f>
        <v>Weekday</v>
      </c>
      <c r="I8211" t="str">
        <f>_xlfn.IFS(B8211&lt;=5,"Night (0-5)",B8211&lt;=9,"Morning peak (6-9)",B8211&lt;=15,"Midday (10-15)",B8211&lt;=19,"Evening peak (16-19)",TRUE,"Late evening (20-23)")</f>
        <v>Midday (10-15)</v>
      </c>
    </row>
    <row r="8212" spans="1:9">
      <c r="A8212" s="32">
        <v>42164</v>
      </c>
      <c r="B8212">
        <v>13</v>
      </c>
      <c r="C8212">
        <v>3148</v>
      </c>
      <c r="D8212" t="s">
        <v>304</v>
      </c>
      <c r="E8212">
        <f>YEAR(A8212)</f>
        <v>2015</v>
      </c>
      <c r="F8212" s="33">
        <f>DATE(YEAR(A8212),MONTH(A8212),1)</f>
        <v>42156.0</v>
      </c>
      <c r="G8212" t="str">
        <f>CHOOSE(WEEKDAY(A8212,2),"Mon","Tue","Wed","Thu","Fri","Sat","Sun")</f>
        <v>Tue</v>
      </c>
      <c r="H8212" t="str">
        <f>IF(WEEKDAY(A8212,2)&gt;5,"Weekend","Weekday")</f>
        <v>Weekday</v>
      </c>
      <c r="I8212" t="str">
        <f>_xlfn.IFS(B8212&lt;=5,"Night (0-5)",B8212&lt;=9,"Morning peak (6-9)",B8212&lt;=15,"Midday (10-15)",B8212&lt;=19,"Evening peak (16-19)",TRUE,"Late evening (20-23)")</f>
        <v>Midday (10-15)</v>
      </c>
    </row>
    <row r="8213" spans="1:9">
      <c r="A8213" s="32">
        <v>42164</v>
      </c>
      <c r="B8213">
        <v>14</v>
      </c>
      <c r="C8213">
        <v>3380</v>
      </c>
      <c r="D8213" t="s">
        <v>304</v>
      </c>
      <c r="E8213">
        <f>YEAR(A8213)</f>
        <v>2015</v>
      </c>
      <c r="F8213" s="33">
        <f>DATE(YEAR(A8213),MONTH(A8213),1)</f>
        <v>42156.0</v>
      </c>
      <c r="G8213" t="str">
        <f>CHOOSE(WEEKDAY(A8213,2),"Mon","Tue","Wed","Thu","Fri","Sat","Sun")</f>
        <v>Tue</v>
      </c>
      <c r="H8213" t="str">
        <f>IF(WEEKDAY(A8213,2)&gt;5,"Weekend","Weekday")</f>
        <v>Weekday</v>
      </c>
      <c r="I8213" t="str">
        <f>_xlfn.IFS(B8213&lt;=5,"Night (0-5)",B8213&lt;=9,"Morning peak (6-9)",B8213&lt;=15,"Midday (10-15)",B8213&lt;=19,"Evening peak (16-19)",TRUE,"Late evening (20-23)")</f>
        <v>Midday (10-15)</v>
      </c>
    </row>
    <row r="8214" spans="1:9">
      <c r="A8214" s="32">
        <v>42164</v>
      </c>
      <c r="B8214">
        <v>15</v>
      </c>
      <c r="C8214">
        <v>3855</v>
      </c>
      <c r="D8214" t="s">
        <v>304</v>
      </c>
      <c r="E8214">
        <f>YEAR(A8214)</f>
        <v>2015</v>
      </c>
      <c r="F8214" s="33">
        <f>DATE(YEAR(A8214),MONTH(A8214),1)</f>
        <v>42156.0</v>
      </c>
      <c r="G8214" t="str">
        <f>CHOOSE(WEEKDAY(A8214,2),"Mon","Tue","Wed","Thu","Fri","Sat","Sun")</f>
        <v>Tue</v>
      </c>
      <c r="H8214" t="str">
        <f>IF(WEEKDAY(A8214,2)&gt;5,"Weekend","Weekday")</f>
        <v>Weekday</v>
      </c>
      <c r="I8214" t="str">
        <f>_xlfn.IFS(B8214&lt;=5,"Night (0-5)",B8214&lt;=9,"Morning peak (6-9)",B8214&lt;=15,"Midday (10-15)",B8214&lt;=19,"Evening peak (16-19)",TRUE,"Late evening (20-23)")</f>
        <v>Midday (10-15)</v>
      </c>
    </row>
    <row r="8215" spans="1:9">
      <c r="A8215" s="32">
        <v>42164</v>
      </c>
      <c r="B8215">
        <v>16</v>
      </c>
      <c r="C8215">
        <v>4326</v>
      </c>
      <c r="D8215" t="s">
        <v>304</v>
      </c>
      <c r="E8215">
        <f>YEAR(A8215)</f>
        <v>2015</v>
      </c>
      <c r="F8215" s="33">
        <f>DATE(YEAR(A8215),MONTH(A8215),1)</f>
        <v>42156.0</v>
      </c>
      <c r="G8215" t="str">
        <f>CHOOSE(WEEKDAY(A8215,2),"Mon","Tue","Wed","Thu","Fri","Sat","Sun")</f>
        <v>Tue</v>
      </c>
      <c r="H8215" t="str">
        <f>IF(WEEKDAY(A8215,2)&gt;5,"Weekend","Weekday")</f>
        <v>Weekday</v>
      </c>
      <c r="I8215" t="str">
        <f>_xlfn.IFS(B8215&lt;=5,"Night (0-5)",B8215&lt;=9,"Morning peak (6-9)",B8215&lt;=15,"Midday (10-15)",B8215&lt;=19,"Evening peak (16-19)",TRUE,"Late evening (20-23)")</f>
        <v>Evening peak (16-19)</v>
      </c>
    </row>
    <row r="8216" spans="1:9">
      <c r="A8216" s="32">
        <v>42164</v>
      </c>
      <c r="B8216">
        <v>17</v>
      </c>
      <c r="C8216">
        <v>5029</v>
      </c>
      <c r="D8216" t="s">
        <v>304</v>
      </c>
      <c r="E8216">
        <f>YEAR(A8216)</f>
        <v>2015</v>
      </c>
      <c r="F8216" s="33">
        <f>DATE(YEAR(A8216),MONTH(A8216),1)</f>
        <v>42156.0</v>
      </c>
      <c r="G8216" t="str">
        <f>CHOOSE(WEEKDAY(A8216,2),"Mon","Tue","Wed","Thu","Fri","Sat","Sun")</f>
        <v>Tue</v>
      </c>
      <c r="H8216" t="str">
        <f>IF(WEEKDAY(A8216,2)&gt;5,"Weekend","Weekday")</f>
        <v>Weekday</v>
      </c>
      <c r="I8216" t="str">
        <f>_xlfn.IFS(B8216&lt;=5,"Night (0-5)",B8216&lt;=9,"Morning peak (6-9)",B8216&lt;=15,"Midday (10-15)",B8216&lt;=19,"Evening peak (16-19)",TRUE,"Late evening (20-23)")</f>
        <v>Evening peak (16-19)</v>
      </c>
    </row>
    <row r="8217" spans="1:9">
      <c r="A8217" s="32">
        <v>42164</v>
      </c>
      <c r="B8217">
        <v>18</v>
      </c>
      <c r="C8217">
        <v>5869</v>
      </c>
      <c r="D8217" t="s">
        <v>304</v>
      </c>
      <c r="E8217">
        <f>YEAR(A8217)</f>
        <v>2015</v>
      </c>
      <c r="F8217" s="33">
        <f>DATE(YEAR(A8217),MONTH(A8217),1)</f>
        <v>42156.0</v>
      </c>
      <c r="G8217" t="str">
        <f>CHOOSE(WEEKDAY(A8217,2),"Mon","Tue","Wed","Thu","Fri","Sat","Sun")</f>
        <v>Tue</v>
      </c>
      <c r="H8217" t="str">
        <f>IF(WEEKDAY(A8217,2)&gt;5,"Weekend","Weekday")</f>
        <v>Weekday</v>
      </c>
      <c r="I8217" t="str">
        <f>_xlfn.IFS(B8217&lt;=5,"Night (0-5)",B8217&lt;=9,"Morning peak (6-9)",B8217&lt;=15,"Midday (10-15)",B8217&lt;=19,"Evening peak (16-19)",TRUE,"Late evening (20-23)")</f>
        <v>Evening peak (16-19)</v>
      </c>
    </row>
    <row r="8218" spans="1:9">
      <c r="A8218" s="32">
        <v>42164</v>
      </c>
      <c r="B8218">
        <v>19</v>
      </c>
      <c r="C8218">
        <v>5424</v>
      </c>
      <c r="D8218" t="s">
        <v>304</v>
      </c>
      <c r="E8218">
        <f>YEAR(A8218)</f>
        <v>2015</v>
      </c>
      <c r="F8218" s="33">
        <f>DATE(YEAR(A8218),MONTH(A8218),1)</f>
        <v>42156.0</v>
      </c>
      <c r="G8218" t="str">
        <f>CHOOSE(WEEKDAY(A8218,2),"Mon","Tue","Wed","Thu","Fri","Sat","Sun")</f>
        <v>Tue</v>
      </c>
      <c r="H8218" t="str">
        <f>IF(WEEKDAY(A8218,2)&gt;5,"Weekend","Weekday")</f>
        <v>Weekday</v>
      </c>
      <c r="I8218" t="str">
        <f>_xlfn.IFS(B8218&lt;=5,"Night (0-5)",B8218&lt;=9,"Morning peak (6-9)",B8218&lt;=15,"Midday (10-15)",B8218&lt;=19,"Evening peak (16-19)",TRUE,"Late evening (20-23)")</f>
        <v>Evening peak (16-19)</v>
      </c>
    </row>
    <row r="8219" spans="1:9">
      <c r="A8219" s="32">
        <v>42164</v>
      </c>
      <c r="B8219">
        <v>20</v>
      </c>
      <c r="C8219">
        <v>5080</v>
      </c>
      <c r="D8219" t="s">
        <v>304</v>
      </c>
      <c r="E8219">
        <f>YEAR(A8219)</f>
        <v>2015</v>
      </c>
      <c r="F8219" s="33">
        <f>DATE(YEAR(A8219),MONTH(A8219),1)</f>
        <v>42156.0</v>
      </c>
      <c r="G8219" t="str">
        <f>CHOOSE(WEEKDAY(A8219,2),"Mon","Tue","Wed","Thu","Fri","Sat","Sun")</f>
        <v>Tue</v>
      </c>
      <c r="H8219" t="str">
        <f>IF(WEEKDAY(A8219,2)&gt;5,"Weekend","Weekday")</f>
        <v>Weekday</v>
      </c>
      <c r="I8219" t="str">
        <f>_xlfn.IFS(B8219&lt;=5,"Night (0-5)",B8219&lt;=9,"Morning peak (6-9)",B8219&lt;=15,"Midday (10-15)",B8219&lt;=19,"Evening peak (16-19)",TRUE,"Late evening (20-23)")</f>
        <v>Late evening (20-23)</v>
      </c>
    </row>
    <row r="8220" spans="1:9">
      <c r="A8220" s="32">
        <v>42164</v>
      </c>
      <c r="B8220">
        <v>21</v>
      </c>
      <c r="C8220">
        <v>5758</v>
      </c>
      <c r="D8220" t="s">
        <v>304</v>
      </c>
      <c r="E8220">
        <f>YEAR(A8220)</f>
        <v>2015</v>
      </c>
      <c r="F8220" s="33">
        <f>DATE(YEAR(A8220),MONTH(A8220),1)</f>
        <v>42156.0</v>
      </c>
      <c r="G8220" t="str">
        <f>CHOOSE(WEEKDAY(A8220,2),"Mon","Tue","Wed","Thu","Fri","Sat","Sun")</f>
        <v>Tue</v>
      </c>
      <c r="H8220" t="str">
        <f>IF(WEEKDAY(A8220,2)&gt;5,"Weekend","Weekday")</f>
        <v>Weekday</v>
      </c>
      <c r="I8220" t="str">
        <f>_xlfn.IFS(B8220&lt;=5,"Night (0-5)",B8220&lt;=9,"Morning peak (6-9)",B8220&lt;=15,"Midday (10-15)",B8220&lt;=19,"Evening peak (16-19)",TRUE,"Late evening (20-23)")</f>
        <v>Late evening (20-23)</v>
      </c>
    </row>
    <row r="8221" spans="1:9">
      <c r="A8221" s="32">
        <v>42164</v>
      </c>
      <c r="B8221">
        <v>22</v>
      </c>
      <c r="C8221">
        <v>5273</v>
      </c>
      <c r="D8221" t="s">
        <v>304</v>
      </c>
      <c r="E8221">
        <f>YEAR(A8221)</f>
        <v>2015</v>
      </c>
      <c r="F8221" s="33">
        <f>DATE(YEAR(A8221),MONTH(A8221),1)</f>
        <v>42156.0</v>
      </c>
      <c r="G8221" t="str">
        <f>CHOOSE(WEEKDAY(A8221,2),"Mon","Tue","Wed","Thu","Fri","Sat","Sun")</f>
        <v>Tue</v>
      </c>
      <c r="H8221" t="str">
        <f>IF(WEEKDAY(A8221,2)&gt;5,"Weekend","Weekday")</f>
        <v>Weekday</v>
      </c>
      <c r="I8221" t="str">
        <f>_xlfn.IFS(B8221&lt;=5,"Night (0-5)",B8221&lt;=9,"Morning peak (6-9)",B8221&lt;=15,"Midday (10-15)",B8221&lt;=19,"Evening peak (16-19)",TRUE,"Late evening (20-23)")</f>
        <v>Late evening (20-23)</v>
      </c>
    </row>
    <row r="8222" spans="1:9">
      <c r="A8222" s="32">
        <v>42164</v>
      </c>
      <c r="B8222">
        <v>23</v>
      </c>
      <c r="C8222">
        <v>4136</v>
      </c>
      <c r="D8222" t="s">
        <v>304</v>
      </c>
      <c r="E8222">
        <f>YEAR(A8222)</f>
        <v>2015</v>
      </c>
      <c r="F8222" s="33">
        <f>DATE(YEAR(A8222),MONTH(A8222),1)</f>
        <v>42156.0</v>
      </c>
      <c r="G8222" t="str">
        <f>CHOOSE(WEEKDAY(A8222,2),"Mon","Tue","Wed","Thu","Fri","Sat","Sun")</f>
        <v>Tue</v>
      </c>
      <c r="H8222" t="str">
        <f>IF(WEEKDAY(A8222,2)&gt;5,"Weekend","Weekday")</f>
        <v>Weekday</v>
      </c>
      <c r="I8222" t="str">
        <f>_xlfn.IFS(B8222&lt;=5,"Night (0-5)",B8222&lt;=9,"Morning peak (6-9)",B8222&lt;=15,"Midday (10-15)",B8222&lt;=19,"Evening peak (16-19)",TRUE,"Late evening (20-23)")</f>
        <v>Late evening (20-23)</v>
      </c>
    </row>
    <row r="8223" spans="1:9">
      <c r="A8223" s="32">
        <v>42165</v>
      </c>
      <c r="B8223">
        <v>0</v>
      </c>
      <c r="C8223">
        <v>2895</v>
      </c>
      <c r="D8223" t="s">
        <v>304</v>
      </c>
      <c r="E8223">
        <f>YEAR(A8223)</f>
        <v>2015</v>
      </c>
      <c r="F8223" s="33">
        <f>DATE(YEAR(A8223),MONTH(A8223),1)</f>
        <v>42156.0</v>
      </c>
      <c r="G8223" t="str">
        <f>CHOOSE(WEEKDAY(A8223,2),"Mon","Tue","Wed","Thu","Fri","Sat","Sun")</f>
        <v>Wed</v>
      </c>
      <c r="H8223" t="str">
        <f>IF(WEEKDAY(A8223,2)&gt;5,"Weekend","Weekday")</f>
        <v>Weekday</v>
      </c>
      <c r="I8223" t="str">
        <f>_xlfn.IFS(B8223&lt;=5,"Night (0-5)",B8223&lt;=9,"Morning peak (6-9)",B8223&lt;=15,"Midday (10-15)",B8223&lt;=19,"Evening peak (16-19)",TRUE,"Late evening (20-23)")</f>
        <v>Night (0-5)</v>
      </c>
    </row>
    <row r="8224" spans="1:9">
      <c r="A8224" s="32">
        <v>42165</v>
      </c>
      <c r="B8224">
        <v>1</v>
      </c>
      <c r="C8224">
        <v>1338</v>
      </c>
      <c r="D8224" t="s">
        <v>304</v>
      </c>
      <c r="E8224">
        <f>YEAR(A8224)</f>
        <v>2015</v>
      </c>
      <c r="F8224" s="33">
        <f>DATE(YEAR(A8224),MONTH(A8224),1)</f>
        <v>42156.0</v>
      </c>
      <c r="G8224" t="str">
        <f>CHOOSE(WEEKDAY(A8224,2),"Mon","Tue","Wed","Thu","Fri","Sat","Sun")</f>
        <v>Wed</v>
      </c>
      <c r="H8224" t="str">
        <f>IF(WEEKDAY(A8224,2)&gt;5,"Weekend","Weekday")</f>
        <v>Weekday</v>
      </c>
      <c r="I8224" t="str">
        <f>_xlfn.IFS(B8224&lt;=5,"Night (0-5)",B8224&lt;=9,"Morning peak (6-9)",B8224&lt;=15,"Midday (10-15)",B8224&lt;=19,"Evening peak (16-19)",TRUE,"Late evening (20-23)")</f>
        <v>Night (0-5)</v>
      </c>
    </row>
    <row r="8225" spans="1:9">
      <c r="A8225" s="32">
        <v>42165</v>
      </c>
      <c r="B8225">
        <v>2</v>
      </c>
      <c r="C8225">
        <v>799</v>
      </c>
      <c r="D8225" t="s">
        <v>304</v>
      </c>
      <c r="E8225">
        <f>YEAR(A8225)</f>
        <v>2015</v>
      </c>
      <c r="F8225" s="33">
        <f>DATE(YEAR(A8225),MONTH(A8225),1)</f>
        <v>42156.0</v>
      </c>
      <c r="G8225" t="str">
        <f>CHOOSE(WEEKDAY(A8225,2),"Mon","Tue","Wed","Thu","Fri","Sat","Sun")</f>
        <v>Wed</v>
      </c>
      <c r="H8225" t="str">
        <f>IF(WEEKDAY(A8225,2)&gt;5,"Weekend","Weekday")</f>
        <v>Weekday</v>
      </c>
      <c r="I8225" t="str">
        <f>_xlfn.IFS(B8225&lt;=5,"Night (0-5)",B8225&lt;=9,"Morning peak (6-9)",B8225&lt;=15,"Midday (10-15)",B8225&lt;=19,"Evening peak (16-19)",TRUE,"Late evening (20-23)")</f>
        <v>Night (0-5)</v>
      </c>
    </row>
    <row r="8226" spans="1:9">
      <c r="A8226" s="32">
        <v>42165</v>
      </c>
      <c r="B8226">
        <v>3</v>
      </c>
      <c r="C8226">
        <v>593</v>
      </c>
      <c r="D8226" t="s">
        <v>304</v>
      </c>
      <c r="E8226">
        <f>YEAR(A8226)</f>
        <v>2015</v>
      </c>
      <c r="F8226" s="33">
        <f>DATE(YEAR(A8226),MONTH(A8226),1)</f>
        <v>42156.0</v>
      </c>
      <c r="G8226" t="str">
        <f>CHOOSE(WEEKDAY(A8226,2),"Mon","Tue","Wed","Thu","Fri","Sat","Sun")</f>
        <v>Wed</v>
      </c>
      <c r="H8226" t="str">
        <f>IF(WEEKDAY(A8226,2)&gt;5,"Weekend","Weekday")</f>
        <v>Weekday</v>
      </c>
      <c r="I8226" t="str">
        <f>_xlfn.IFS(B8226&lt;=5,"Night (0-5)",B8226&lt;=9,"Morning peak (6-9)",B8226&lt;=15,"Midday (10-15)",B8226&lt;=19,"Evening peak (16-19)",TRUE,"Late evening (20-23)")</f>
        <v>Night (0-5)</v>
      </c>
    </row>
    <row r="8227" spans="1:9">
      <c r="A8227" s="32">
        <v>42165</v>
      </c>
      <c r="B8227">
        <v>4</v>
      </c>
      <c r="C8227">
        <v>776</v>
      </c>
      <c r="D8227" t="s">
        <v>304</v>
      </c>
      <c r="E8227">
        <f>YEAR(A8227)</f>
        <v>2015</v>
      </c>
      <c r="F8227" s="33">
        <f>DATE(YEAR(A8227),MONTH(A8227),1)</f>
        <v>42156.0</v>
      </c>
      <c r="G8227" t="str">
        <f>CHOOSE(WEEKDAY(A8227,2),"Mon","Tue","Wed","Thu","Fri","Sat","Sun")</f>
        <v>Wed</v>
      </c>
      <c r="H8227" t="str">
        <f>IF(WEEKDAY(A8227,2)&gt;5,"Weekend","Weekday")</f>
        <v>Weekday</v>
      </c>
      <c r="I8227" t="str">
        <f>_xlfn.IFS(B8227&lt;=5,"Night (0-5)",B8227&lt;=9,"Morning peak (6-9)",B8227&lt;=15,"Midday (10-15)",B8227&lt;=19,"Evening peak (16-19)",TRUE,"Late evening (20-23)")</f>
        <v>Night (0-5)</v>
      </c>
    </row>
    <row r="8228" spans="1:9">
      <c r="A8228" s="32">
        <v>42165</v>
      </c>
      <c r="B8228">
        <v>5</v>
      </c>
      <c r="C8228">
        <v>1238</v>
      </c>
      <c r="D8228" t="s">
        <v>304</v>
      </c>
      <c r="E8228">
        <f>YEAR(A8228)</f>
        <v>2015</v>
      </c>
      <c r="F8228" s="33">
        <f>DATE(YEAR(A8228),MONTH(A8228),1)</f>
        <v>42156.0</v>
      </c>
      <c r="G8228" t="str">
        <f>CHOOSE(WEEKDAY(A8228,2),"Mon","Tue","Wed","Thu","Fri","Sat","Sun")</f>
        <v>Wed</v>
      </c>
      <c r="H8228" t="str">
        <f>IF(WEEKDAY(A8228,2)&gt;5,"Weekend","Weekday")</f>
        <v>Weekday</v>
      </c>
      <c r="I8228" t="str">
        <f>_xlfn.IFS(B8228&lt;=5,"Night (0-5)",B8228&lt;=9,"Morning peak (6-9)",B8228&lt;=15,"Midday (10-15)",B8228&lt;=19,"Evening peak (16-19)",TRUE,"Late evening (20-23)")</f>
        <v>Night (0-5)</v>
      </c>
    </row>
    <row r="8229" spans="1:9">
      <c r="A8229" s="32">
        <v>42165</v>
      </c>
      <c r="B8229">
        <v>6</v>
      </c>
      <c r="C8229">
        <v>2069</v>
      </c>
      <c r="D8229" t="s">
        <v>304</v>
      </c>
      <c r="E8229">
        <f>YEAR(A8229)</f>
        <v>2015</v>
      </c>
      <c r="F8229" s="33">
        <f>DATE(YEAR(A8229),MONTH(A8229),1)</f>
        <v>42156.0</v>
      </c>
      <c r="G8229" t="str">
        <f>CHOOSE(WEEKDAY(A8229,2),"Mon","Tue","Wed","Thu","Fri","Sat","Sun")</f>
        <v>Wed</v>
      </c>
      <c r="H8229" t="str">
        <f>IF(WEEKDAY(A8229,2)&gt;5,"Weekend","Weekday")</f>
        <v>Weekday</v>
      </c>
      <c r="I8229" t="str">
        <f>_xlfn.IFS(B8229&lt;=5,"Night (0-5)",B8229&lt;=9,"Morning peak (6-9)",B8229&lt;=15,"Midday (10-15)",B8229&lt;=19,"Evening peak (16-19)",TRUE,"Late evening (20-23)")</f>
        <v>Morning peak (6-9)</v>
      </c>
    </row>
    <row r="8230" spans="1:9">
      <c r="A8230" s="32">
        <v>42165</v>
      </c>
      <c r="B8230">
        <v>7</v>
      </c>
      <c r="C8230">
        <v>3414</v>
      </c>
      <c r="D8230" t="s">
        <v>304</v>
      </c>
      <c r="E8230">
        <f>YEAR(A8230)</f>
        <v>2015</v>
      </c>
      <c r="F8230" s="33">
        <f>DATE(YEAR(A8230),MONTH(A8230),1)</f>
        <v>42156.0</v>
      </c>
      <c r="G8230" t="str">
        <f>CHOOSE(WEEKDAY(A8230,2),"Mon","Tue","Wed","Thu","Fri","Sat","Sun")</f>
        <v>Wed</v>
      </c>
      <c r="H8230" t="str">
        <f>IF(WEEKDAY(A8230,2)&gt;5,"Weekend","Weekday")</f>
        <v>Weekday</v>
      </c>
      <c r="I8230" t="str">
        <f>_xlfn.IFS(B8230&lt;=5,"Night (0-5)",B8230&lt;=9,"Morning peak (6-9)",B8230&lt;=15,"Midday (10-15)",B8230&lt;=19,"Evening peak (16-19)",TRUE,"Late evening (20-23)")</f>
        <v>Morning peak (6-9)</v>
      </c>
    </row>
    <row r="8231" spans="1:9">
      <c r="A8231" s="32">
        <v>42165</v>
      </c>
      <c r="B8231">
        <v>8</v>
      </c>
      <c r="C8231">
        <v>4416</v>
      </c>
      <c r="D8231" t="s">
        <v>304</v>
      </c>
      <c r="E8231">
        <f>YEAR(A8231)</f>
        <v>2015</v>
      </c>
      <c r="F8231" s="33">
        <f>DATE(YEAR(A8231),MONTH(A8231),1)</f>
        <v>42156.0</v>
      </c>
      <c r="G8231" t="str">
        <f>CHOOSE(WEEKDAY(A8231,2),"Mon","Tue","Wed","Thu","Fri","Sat","Sun")</f>
        <v>Wed</v>
      </c>
      <c r="H8231" t="str">
        <f>IF(WEEKDAY(A8231,2)&gt;5,"Weekend","Weekday")</f>
        <v>Weekday</v>
      </c>
      <c r="I8231" t="str">
        <f>_xlfn.IFS(B8231&lt;=5,"Night (0-5)",B8231&lt;=9,"Morning peak (6-9)",B8231&lt;=15,"Midday (10-15)",B8231&lt;=19,"Evening peak (16-19)",TRUE,"Late evening (20-23)")</f>
        <v>Morning peak (6-9)</v>
      </c>
    </row>
    <row r="8232" spans="1:9">
      <c r="A8232" s="32">
        <v>42165</v>
      </c>
      <c r="B8232">
        <v>9</v>
      </c>
      <c r="C8232">
        <v>4351</v>
      </c>
      <c r="D8232" t="s">
        <v>304</v>
      </c>
      <c r="E8232">
        <f>YEAR(A8232)</f>
        <v>2015</v>
      </c>
      <c r="F8232" s="33">
        <f>DATE(YEAR(A8232),MONTH(A8232),1)</f>
        <v>42156.0</v>
      </c>
      <c r="G8232" t="str">
        <f>CHOOSE(WEEKDAY(A8232,2),"Mon","Tue","Wed","Thu","Fri","Sat","Sun")</f>
        <v>Wed</v>
      </c>
      <c r="H8232" t="str">
        <f>IF(WEEKDAY(A8232,2)&gt;5,"Weekend","Weekday")</f>
        <v>Weekday</v>
      </c>
      <c r="I8232" t="str">
        <f>_xlfn.IFS(B8232&lt;=5,"Night (0-5)",B8232&lt;=9,"Morning peak (6-9)",B8232&lt;=15,"Midday (10-15)",B8232&lt;=19,"Evening peak (16-19)",TRUE,"Late evening (20-23)")</f>
        <v>Morning peak (6-9)</v>
      </c>
    </row>
    <row r="8233" spans="1:9">
      <c r="A8233" s="32">
        <v>42165</v>
      </c>
      <c r="B8233">
        <v>10</v>
      </c>
      <c r="C8233">
        <v>3436</v>
      </c>
      <c r="D8233" t="s">
        <v>304</v>
      </c>
      <c r="E8233">
        <f>YEAR(A8233)</f>
        <v>2015</v>
      </c>
      <c r="F8233" s="33">
        <f>DATE(YEAR(A8233),MONTH(A8233),1)</f>
        <v>42156.0</v>
      </c>
      <c r="G8233" t="str">
        <f>CHOOSE(WEEKDAY(A8233,2),"Mon","Tue","Wed","Thu","Fri","Sat","Sun")</f>
        <v>Wed</v>
      </c>
      <c r="H8233" t="str">
        <f>IF(WEEKDAY(A8233,2)&gt;5,"Weekend","Weekday")</f>
        <v>Weekday</v>
      </c>
      <c r="I8233" t="str">
        <f>_xlfn.IFS(B8233&lt;=5,"Night (0-5)",B8233&lt;=9,"Morning peak (6-9)",B8233&lt;=15,"Midday (10-15)",B8233&lt;=19,"Evening peak (16-19)",TRUE,"Late evening (20-23)")</f>
        <v>Midday (10-15)</v>
      </c>
    </row>
    <row r="8234" spans="1:9">
      <c r="A8234" s="32">
        <v>42165</v>
      </c>
      <c r="B8234">
        <v>11</v>
      </c>
      <c r="C8234">
        <v>3221</v>
      </c>
      <c r="D8234" t="s">
        <v>304</v>
      </c>
      <c r="E8234">
        <f>YEAR(A8234)</f>
        <v>2015</v>
      </c>
      <c r="F8234" s="33">
        <f>DATE(YEAR(A8234),MONTH(A8234),1)</f>
        <v>42156.0</v>
      </c>
      <c r="G8234" t="str">
        <f>CHOOSE(WEEKDAY(A8234,2),"Mon","Tue","Wed","Thu","Fri","Sat","Sun")</f>
        <v>Wed</v>
      </c>
      <c r="H8234" t="str">
        <f>IF(WEEKDAY(A8234,2)&gt;5,"Weekend","Weekday")</f>
        <v>Weekday</v>
      </c>
      <c r="I8234" t="str">
        <f>_xlfn.IFS(B8234&lt;=5,"Night (0-5)",B8234&lt;=9,"Morning peak (6-9)",B8234&lt;=15,"Midday (10-15)",B8234&lt;=19,"Evening peak (16-19)",TRUE,"Late evening (20-23)")</f>
        <v>Midday (10-15)</v>
      </c>
    </row>
    <row r="8235" spans="1:9">
      <c r="A8235" s="32">
        <v>42165</v>
      </c>
      <c r="B8235">
        <v>12</v>
      </c>
      <c r="C8235">
        <v>3154</v>
      </c>
      <c r="D8235" t="s">
        <v>304</v>
      </c>
      <c r="E8235">
        <f>YEAR(A8235)</f>
        <v>2015</v>
      </c>
      <c r="F8235" s="33">
        <f>DATE(YEAR(A8235),MONTH(A8235),1)</f>
        <v>42156.0</v>
      </c>
      <c r="G8235" t="str">
        <f>CHOOSE(WEEKDAY(A8235,2),"Mon","Tue","Wed","Thu","Fri","Sat","Sun")</f>
        <v>Wed</v>
      </c>
      <c r="H8235" t="str">
        <f>IF(WEEKDAY(A8235,2)&gt;5,"Weekend","Weekday")</f>
        <v>Weekday</v>
      </c>
      <c r="I8235" t="str">
        <f>_xlfn.IFS(B8235&lt;=5,"Night (0-5)",B8235&lt;=9,"Morning peak (6-9)",B8235&lt;=15,"Midday (10-15)",B8235&lt;=19,"Evening peak (16-19)",TRUE,"Late evening (20-23)")</f>
        <v>Midday (10-15)</v>
      </c>
    </row>
    <row r="8236" spans="1:9">
      <c r="A8236" s="32">
        <v>42165</v>
      </c>
      <c r="B8236">
        <v>13</v>
      </c>
      <c r="C8236">
        <v>3324</v>
      </c>
      <c r="D8236" t="s">
        <v>304</v>
      </c>
      <c r="E8236">
        <f>YEAR(A8236)</f>
        <v>2015</v>
      </c>
      <c r="F8236" s="33">
        <f>DATE(YEAR(A8236),MONTH(A8236),1)</f>
        <v>42156.0</v>
      </c>
      <c r="G8236" t="str">
        <f>CHOOSE(WEEKDAY(A8236,2),"Mon","Tue","Wed","Thu","Fri","Sat","Sun")</f>
        <v>Wed</v>
      </c>
      <c r="H8236" t="str">
        <f>IF(WEEKDAY(A8236,2)&gt;5,"Weekend","Weekday")</f>
        <v>Weekday</v>
      </c>
      <c r="I8236" t="str">
        <f>_xlfn.IFS(B8236&lt;=5,"Night (0-5)",B8236&lt;=9,"Morning peak (6-9)",B8236&lt;=15,"Midday (10-15)",B8236&lt;=19,"Evening peak (16-19)",TRUE,"Late evening (20-23)")</f>
        <v>Midday (10-15)</v>
      </c>
    </row>
    <row r="8237" spans="1:9">
      <c r="A8237" s="32">
        <v>42165</v>
      </c>
      <c r="B8237">
        <v>14</v>
      </c>
      <c r="C8237">
        <v>3582</v>
      </c>
      <c r="D8237" t="s">
        <v>304</v>
      </c>
      <c r="E8237">
        <f>YEAR(A8237)</f>
        <v>2015</v>
      </c>
      <c r="F8237" s="33">
        <f>DATE(YEAR(A8237),MONTH(A8237),1)</f>
        <v>42156.0</v>
      </c>
      <c r="G8237" t="str">
        <f>CHOOSE(WEEKDAY(A8237,2),"Mon","Tue","Wed","Thu","Fri","Sat","Sun")</f>
        <v>Wed</v>
      </c>
      <c r="H8237" t="str">
        <f>IF(WEEKDAY(A8237,2)&gt;5,"Weekend","Weekday")</f>
        <v>Weekday</v>
      </c>
      <c r="I8237" t="str">
        <f>_xlfn.IFS(B8237&lt;=5,"Night (0-5)",B8237&lt;=9,"Morning peak (6-9)",B8237&lt;=15,"Midday (10-15)",B8237&lt;=19,"Evening peak (16-19)",TRUE,"Late evening (20-23)")</f>
        <v>Midday (10-15)</v>
      </c>
    </row>
    <row r="8238" spans="1:9">
      <c r="A8238" s="32">
        <v>42165</v>
      </c>
      <c r="B8238">
        <v>15</v>
      </c>
      <c r="C8238">
        <v>4170</v>
      </c>
      <c r="D8238" t="s">
        <v>304</v>
      </c>
      <c r="E8238">
        <f>YEAR(A8238)</f>
        <v>2015</v>
      </c>
      <c r="F8238" s="33">
        <f>DATE(YEAR(A8238),MONTH(A8238),1)</f>
        <v>42156.0</v>
      </c>
      <c r="G8238" t="str">
        <f>CHOOSE(WEEKDAY(A8238,2),"Mon","Tue","Wed","Thu","Fri","Sat","Sun")</f>
        <v>Wed</v>
      </c>
      <c r="H8238" t="str">
        <f>IF(WEEKDAY(A8238,2)&gt;5,"Weekend","Weekday")</f>
        <v>Weekday</v>
      </c>
      <c r="I8238" t="str">
        <f>_xlfn.IFS(B8238&lt;=5,"Night (0-5)",B8238&lt;=9,"Morning peak (6-9)",B8238&lt;=15,"Midday (10-15)",B8238&lt;=19,"Evening peak (16-19)",TRUE,"Late evening (20-23)")</f>
        <v>Midday (10-15)</v>
      </c>
    </row>
    <row r="8239" spans="1:9">
      <c r="A8239" s="32">
        <v>42165</v>
      </c>
      <c r="B8239">
        <v>16</v>
      </c>
      <c r="C8239">
        <v>4482</v>
      </c>
      <c r="D8239" t="s">
        <v>304</v>
      </c>
      <c r="E8239">
        <f>YEAR(A8239)</f>
        <v>2015</v>
      </c>
      <c r="F8239" s="33">
        <f>DATE(YEAR(A8239),MONTH(A8239),1)</f>
        <v>42156.0</v>
      </c>
      <c r="G8239" t="str">
        <f>CHOOSE(WEEKDAY(A8239,2),"Mon","Tue","Wed","Thu","Fri","Sat","Sun")</f>
        <v>Wed</v>
      </c>
      <c r="H8239" t="str">
        <f>IF(WEEKDAY(A8239,2)&gt;5,"Weekend","Weekday")</f>
        <v>Weekday</v>
      </c>
      <c r="I8239" t="str">
        <f>_xlfn.IFS(B8239&lt;=5,"Night (0-5)",B8239&lt;=9,"Morning peak (6-9)",B8239&lt;=15,"Midday (10-15)",B8239&lt;=19,"Evening peak (16-19)",TRUE,"Late evening (20-23)")</f>
        <v>Evening peak (16-19)</v>
      </c>
    </row>
    <row r="8240" spans="1:9">
      <c r="A8240" s="32">
        <v>42165</v>
      </c>
      <c r="B8240">
        <v>17</v>
      </c>
      <c r="C8240">
        <v>5320</v>
      </c>
      <c r="D8240" t="s">
        <v>304</v>
      </c>
      <c r="E8240">
        <f>YEAR(A8240)</f>
        <v>2015</v>
      </c>
      <c r="F8240" s="33">
        <f>DATE(YEAR(A8240),MONTH(A8240),1)</f>
        <v>42156.0</v>
      </c>
      <c r="G8240" t="str">
        <f>CHOOSE(WEEKDAY(A8240,2),"Mon","Tue","Wed","Thu","Fri","Sat","Sun")</f>
        <v>Wed</v>
      </c>
      <c r="H8240" t="str">
        <f>IF(WEEKDAY(A8240,2)&gt;5,"Weekend","Weekday")</f>
        <v>Weekday</v>
      </c>
      <c r="I8240" t="str">
        <f>_xlfn.IFS(B8240&lt;=5,"Night (0-5)",B8240&lt;=9,"Morning peak (6-9)",B8240&lt;=15,"Midday (10-15)",B8240&lt;=19,"Evening peak (16-19)",TRUE,"Late evening (20-23)")</f>
        <v>Evening peak (16-19)</v>
      </c>
    </row>
    <row r="8241" spans="1:9">
      <c r="A8241" s="32">
        <v>42165</v>
      </c>
      <c r="B8241">
        <v>18</v>
      </c>
      <c r="C8241">
        <v>6174</v>
      </c>
      <c r="D8241" t="s">
        <v>304</v>
      </c>
      <c r="E8241">
        <f>YEAR(A8241)</f>
        <v>2015</v>
      </c>
      <c r="F8241" s="33">
        <f>DATE(YEAR(A8241),MONTH(A8241),1)</f>
        <v>42156.0</v>
      </c>
      <c r="G8241" t="str">
        <f>CHOOSE(WEEKDAY(A8241,2),"Mon","Tue","Wed","Thu","Fri","Sat","Sun")</f>
        <v>Wed</v>
      </c>
      <c r="H8241" t="str">
        <f>IF(WEEKDAY(A8241,2)&gt;5,"Weekend","Weekday")</f>
        <v>Weekday</v>
      </c>
      <c r="I8241" t="str">
        <f>_xlfn.IFS(B8241&lt;=5,"Night (0-5)",B8241&lt;=9,"Morning peak (6-9)",B8241&lt;=15,"Midday (10-15)",B8241&lt;=19,"Evening peak (16-19)",TRUE,"Late evening (20-23)")</f>
        <v>Evening peak (16-19)</v>
      </c>
    </row>
    <row r="8242" spans="1:9">
      <c r="A8242" s="32">
        <v>42165</v>
      </c>
      <c r="B8242">
        <v>19</v>
      </c>
      <c r="C8242">
        <v>6066</v>
      </c>
      <c r="D8242" t="s">
        <v>304</v>
      </c>
      <c r="E8242">
        <f>YEAR(A8242)</f>
        <v>2015</v>
      </c>
      <c r="F8242" s="33">
        <f>DATE(YEAR(A8242),MONTH(A8242),1)</f>
        <v>42156.0</v>
      </c>
      <c r="G8242" t="str">
        <f>CHOOSE(WEEKDAY(A8242,2),"Mon","Tue","Wed","Thu","Fri","Sat","Sun")</f>
        <v>Wed</v>
      </c>
      <c r="H8242" t="str">
        <f>IF(WEEKDAY(A8242,2)&gt;5,"Weekend","Weekday")</f>
        <v>Weekday</v>
      </c>
      <c r="I8242" t="str">
        <f>_xlfn.IFS(B8242&lt;=5,"Night (0-5)",B8242&lt;=9,"Morning peak (6-9)",B8242&lt;=15,"Midday (10-15)",B8242&lt;=19,"Evening peak (16-19)",TRUE,"Late evening (20-23)")</f>
        <v>Evening peak (16-19)</v>
      </c>
    </row>
    <row r="8243" spans="1:9">
      <c r="A8243" s="32">
        <v>42165</v>
      </c>
      <c r="B8243">
        <v>20</v>
      </c>
      <c r="C8243">
        <v>5455</v>
      </c>
      <c r="D8243" t="s">
        <v>304</v>
      </c>
      <c r="E8243">
        <f>YEAR(A8243)</f>
        <v>2015</v>
      </c>
      <c r="F8243" s="33">
        <f>DATE(YEAR(A8243),MONTH(A8243),1)</f>
        <v>42156.0</v>
      </c>
      <c r="G8243" t="str">
        <f>CHOOSE(WEEKDAY(A8243,2),"Mon","Tue","Wed","Thu","Fri","Sat","Sun")</f>
        <v>Wed</v>
      </c>
      <c r="H8243" t="str">
        <f>IF(WEEKDAY(A8243,2)&gt;5,"Weekend","Weekday")</f>
        <v>Weekday</v>
      </c>
      <c r="I8243" t="str">
        <f>_xlfn.IFS(B8243&lt;=5,"Night (0-5)",B8243&lt;=9,"Morning peak (6-9)",B8243&lt;=15,"Midday (10-15)",B8243&lt;=19,"Evening peak (16-19)",TRUE,"Late evening (20-23)")</f>
        <v>Late evening (20-23)</v>
      </c>
    </row>
    <row r="8244" spans="1:9">
      <c r="A8244" s="32">
        <v>42165</v>
      </c>
      <c r="B8244">
        <v>21</v>
      </c>
      <c r="C8244">
        <v>6181</v>
      </c>
      <c r="D8244" t="s">
        <v>304</v>
      </c>
      <c r="E8244">
        <f>YEAR(A8244)</f>
        <v>2015</v>
      </c>
      <c r="F8244" s="33">
        <f>DATE(YEAR(A8244),MONTH(A8244),1)</f>
        <v>42156.0</v>
      </c>
      <c r="G8244" t="str">
        <f>CHOOSE(WEEKDAY(A8244,2),"Mon","Tue","Wed","Thu","Fri","Sat","Sun")</f>
        <v>Wed</v>
      </c>
      <c r="H8244" t="str">
        <f>IF(WEEKDAY(A8244,2)&gt;5,"Weekend","Weekday")</f>
        <v>Weekday</v>
      </c>
      <c r="I8244" t="str">
        <f>_xlfn.IFS(B8244&lt;=5,"Night (0-5)",B8244&lt;=9,"Morning peak (6-9)",B8244&lt;=15,"Midday (10-15)",B8244&lt;=19,"Evening peak (16-19)",TRUE,"Late evening (20-23)")</f>
        <v>Late evening (20-23)</v>
      </c>
    </row>
    <row r="8245" spans="1:9">
      <c r="A8245" s="32">
        <v>42165</v>
      </c>
      <c r="B8245">
        <v>22</v>
      </c>
      <c r="C8245">
        <v>5989</v>
      </c>
      <c r="D8245" t="s">
        <v>304</v>
      </c>
      <c r="E8245">
        <f>YEAR(A8245)</f>
        <v>2015</v>
      </c>
      <c r="F8245" s="33">
        <f>DATE(YEAR(A8245),MONTH(A8245),1)</f>
        <v>42156.0</v>
      </c>
      <c r="G8245" t="str">
        <f>CHOOSE(WEEKDAY(A8245,2),"Mon","Tue","Wed","Thu","Fri","Sat","Sun")</f>
        <v>Wed</v>
      </c>
      <c r="H8245" t="str">
        <f>IF(WEEKDAY(A8245,2)&gt;5,"Weekend","Weekday")</f>
        <v>Weekday</v>
      </c>
      <c r="I8245" t="str">
        <f>_xlfn.IFS(B8245&lt;=5,"Night (0-5)",B8245&lt;=9,"Morning peak (6-9)",B8245&lt;=15,"Midday (10-15)",B8245&lt;=19,"Evening peak (16-19)",TRUE,"Late evening (20-23)")</f>
        <v>Late evening (20-23)</v>
      </c>
    </row>
    <row r="8246" spans="1:9">
      <c r="A8246" s="32">
        <v>42165</v>
      </c>
      <c r="B8246">
        <v>23</v>
      </c>
      <c r="C8246">
        <v>4960</v>
      </c>
      <c r="D8246" t="s">
        <v>304</v>
      </c>
      <c r="E8246">
        <f>YEAR(A8246)</f>
        <v>2015</v>
      </c>
      <c r="F8246" s="33">
        <f>DATE(YEAR(A8246),MONTH(A8246),1)</f>
        <v>42156.0</v>
      </c>
      <c r="G8246" t="str">
        <f>CHOOSE(WEEKDAY(A8246,2),"Mon","Tue","Wed","Thu","Fri","Sat","Sun")</f>
        <v>Wed</v>
      </c>
      <c r="H8246" t="str">
        <f>IF(WEEKDAY(A8246,2)&gt;5,"Weekend","Weekday")</f>
        <v>Weekday</v>
      </c>
      <c r="I8246" t="str">
        <f>_xlfn.IFS(B8246&lt;=5,"Night (0-5)",B8246&lt;=9,"Morning peak (6-9)",B8246&lt;=15,"Midday (10-15)",B8246&lt;=19,"Evening peak (16-19)",TRUE,"Late evening (20-23)")</f>
        <v>Late evening (20-23)</v>
      </c>
    </row>
    <row r="8247" spans="1:9">
      <c r="A8247" s="32">
        <v>42166</v>
      </c>
      <c r="B8247">
        <v>0</v>
      </c>
      <c r="C8247">
        <v>2892</v>
      </c>
      <c r="D8247" t="s">
        <v>304</v>
      </c>
      <c r="E8247">
        <f>YEAR(A8247)</f>
        <v>2015</v>
      </c>
      <c r="F8247" s="33">
        <f>DATE(YEAR(A8247),MONTH(A8247),1)</f>
        <v>42156.0</v>
      </c>
      <c r="G8247" t="str">
        <f>CHOOSE(WEEKDAY(A8247,2),"Mon","Tue","Wed","Thu","Fri","Sat","Sun")</f>
        <v>Thu</v>
      </c>
      <c r="H8247" t="str">
        <f>IF(WEEKDAY(A8247,2)&gt;5,"Weekend","Weekday")</f>
        <v>Weekday</v>
      </c>
      <c r="I8247" t="str">
        <f>_xlfn.IFS(B8247&lt;=5,"Night (0-5)",B8247&lt;=9,"Morning peak (6-9)",B8247&lt;=15,"Midday (10-15)",B8247&lt;=19,"Evening peak (16-19)",TRUE,"Late evening (20-23)")</f>
        <v>Night (0-5)</v>
      </c>
    </row>
    <row r="8248" spans="1:9">
      <c r="A8248" s="32">
        <v>42166</v>
      </c>
      <c r="B8248">
        <v>1</v>
      </c>
      <c r="C8248">
        <v>1644</v>
      </c>
      <c r="D8248" t="s">
        <v>304</v>
      </c>
      <c r="E8248">
        <f>YEAR(A8248)</f>
        <v>2015</v>
      </c>
      <c r="F8248" s="33">
        <f>DATE(YEAR(A8248),MONTH(A8248),1)</f>
        <v>42156.0</v>
      </c>
      <c r="G8248" t="str">
        <f>CHOOSE(WEEKDAY(A8248,2),"Mon","Tue","Wed","Thu","Fri","Sat","Sun")</f>
        <v>Thu</v>
      </c>
      <c r="H8248" t="str">
        <f>IF(WEEKDAY(A8248,2)&gt;5,"Weekend","Weekday")</f>
        <v>Weekday</v>
      </c>
      <c r="I8248" t="str">
        <f>_xlfn.IFS(B8248&lt;=5,"Night (0-5)",B8248&lt;=9,"Morning peak (6-9)",B8248&lt;=15,"Midday (10-15)",B8248&lt;=19,"Evening peak (16-19)",TRUE,"Late evening (20-23)")</f>
        <v>Night (0-5)</v>
      </c>
    </row>
    <row r="8249" spans="1:9">
      <c r="A8249" s="32">
        <v>42166</v>
      </c>
      <c r="B8249">
        <v>2</v>
      </c>
      <c r="C8249">
        <v>935</v>
      </c>
      <c r="D8249" t="s">
        <v>304</v>
      </c>
      <c r="E8249">
        <f>YEAR(A8249)</f>
        <v>2015</v>
      </c>
      <c r="F8249" s="33">
        <f>DATE(YEAR(A8249),MONTH(A8249),1)</f>
        <v>42156.0</v>
      </c>
      <c r="G8249" t="str">
        <f>CHOOSE(WEEKDAY(A8249,2),"Mon","Tue","Wed","Thu","Fri","Sat","Sun")</f>
        <v>Thu</v>
      </c>
      <c r="H8249" t="str">
        <f>IF(WEEKDAY(A8249,2)&gt;5,"Weekend","Weekday")</f>
        <v>Weekday</v>
      </c>
      <c r="I8249" t="str">
        <f>_xlfn.IFS(B8249&lt;=5,"Night (0-5)",B8249&lt;=9,"Morning peak (6-9)",B8249&lt;=15,"Midday (10-15)",B8249&lt;=19,"Evening peak (16-19)",TRUE,"Late evening (20-23)")</f>
        <v>Night (0-5)</v>
      </c>
    </row>
    <row r="8250" spans="1:9">
      <c r="A8250" s="32">
        <v>42166</v>
      </c>
      <c r="B8250">
        <v>3</v>
      </c>
      <c r="C8250">
        <v>622</v>
      </c>
      <c r="D8250" t="s">
        <v>304</v>
      </c>
      <c r="E8250">
        <f>YEAR(A8250)</f>
        <v>2015</v>
      </c>
      <c r="F8250" s="33">
        <f>DATE(YEAR(A8250),MONTH(A8250),1)</f>
        <v>42156.0</v>
      </c>
      <c r="G8250" t="str">
        <f>CHOOSE(WEEKDAY(A8250,2),"Mon","Tue","Wed","Thu","Fri","Sat","Sun")</f>
        <v>Thu</v>
      </c>
      <c r="H8250" t="str">
        <f>IF(WEEKDAY(A8250,2)&gt;5,"Weekend","Weekday")</f>
        <v>Weekday</v>
      </c>
      <c r="I8250" t="str">
        <f>_xlfn.IFS(B8250&lt;=5,"Night (0-5)",B8250&lt;=9,"Morning peak (6-9)",B8250&lt;=15,"Midday (10-15)",B8250&lt;=19,"Evening peak (16-19)",TRUE,"Late evening (20-23)")</f>
        <v>Night (0-5)</v>
      </c>
    </row>
    <row r="8251" spans="1:9">
      <c r="A8251" s="32">
        <v>42166</v>
      </c>
      <c r="B8251">
        <v>4</v>
      </c>
      <c r="C8251">
        <v>785</v>
      </c>
      <c r="D8251" t="s">
        <v>304</v>
      </c>
      <c r="E8251">
        <f>YEAR(A8251)</f>
        <v>2015</v>
      </c>
      <c r="F8251" s="33">
        <f>DATE(YEAR(A8251),MONTH(A8251),1)</f>
        <v>42156.0</v>
      </c>
      <c r="G8251" t="str">
        <f>CHOOSE(WEEKDAY(A8251,2),"Mon","Tue","Wed","Thu","Fri","Sat","Sun")</f>
        <v>Thu</v>
      </c>
      <c r="H8251" t="str">
        <f>IF(WEEKDAY(A8251,2)&gt;5,"Weekend","Weekday")</f>
        <v>Weekday</v>
      </c>
      <c r="I8251" t="str">
        <f>_xlfn.IFS(B8251&lt;=5,"Night (0-5)",B8251&lt;=9,"Morning peak (6-9)",B8251&lt;=15,"Midday (10-15)",B8251&lt;=19,"Evening peak (16-19)",TRUE,"Late evening (20-23)")</f>
        <v>Night (0-5)</v>
      </c>
    </row>
    <row r="8252" spans="1:9">
      <c r="A8252" s="32">
        <v>42166</v>
      </c>
      <c r="B8252">
        <v>5</v>
      </c>
      <c r="C8252">
        <v>1298</v>
      </c>
      <c r="D8252" t="s">
        <v>304</v>
      </c>
      <c r="E8252">
        <f>YEAR(A8252)</f>
        <v>2015</v>
      </c>
      <c r="F8252" s="33">
        <f>DATE(YEAR(A8252),MONTH(A8252),1)</f>
        <v>42156.0</v>
      </c>
      <c r="G8252" t="str">
        <f>CHOOSE(WEEKDAY(A8252,2),"Mon","Tue","Wed","Thu","Fri","Sat","Sun")</f>
        <v>Thu</v>
      </c>
      <c r="H8252" t="str">
        <f>IF(WEEKDAY(A8252,2)&gt;5,"Weekend","Weekday")</f>
        <v>Weekday</v>
      </c>
      <c r="I8252" t="str">
        <f>_xlfn.IFS(B8252&lt;=5,"Night (0-5)",B8252&lt;=9,"Morning peak (6-9)",B8252&lt;=15,"Midday (10-15)",B8252&lt;=19,"Evening peak (16-19)",TRUE,"Late evening (20-23)")</f>
        <v>Night (0-5)</v>
      </c>
    </row>
    <row r="8253" spans="1:9">
      <c r="A8253" s="32">
        <v>42166</v>
      </c>
      <c r="B8253">
        <v>6</v>
      </c>
      <c r="C8253">
        <v>2220</v>
      </c>
      <c r="D8253" t="s">
        <v>304</v>
      </c>
      <c r="E8253">
        <f>YEAR(A8253)</f>
        <v>2015</v>
      </c>
      <c r="F8253" s="33">
        <f>DATE(YEAR(A8253),MONTH(A8253),1)</f>
        <v>42156.0</v>
      </c>
      <c r="G8253" t="str">
        <f>CHOOSE(WEEKDAY(A8253,2),"Mon","Tue","Wed","Thu","Fri","Sat","Sun")</f>
        <v>Thu</v>
      </c>
      <c r="H8253" t="str">
        <f>IF(WEEKDAY(A8253,2)&gt;5,"Weekend","Weekday")</f>
        <v>Weekday</v>
      </c>
      <c r="I8253" t="str">
        <f>_xlfn.IFS(B8253&lt;=5,"Night (0-5)",B8253&lt;=9,"Morning peak (6-9)",B8253&lt;=15,"Midday (10-15)",B8253&lt;=19,"Evening peak (16-19)",TRUE,"Late evening (20-23)")</f>
        <v>Morning peak (6-9)</v>
      </c>
    </row>
    <row r="8254" spans="1:9">
      <c r="A8254" s="32">
        <v>42166</v>
      </c>
      <c r="B8254">
        <v>7</v>
      </c>
      <c r="C8254">
        <v>3494</v>
      </c>
      <c r="D8254" t="s">
        <v>304</v>
      </c>
      <c r="E8254">
        <f>YEAR(A8254)</f>
        <v>2015</v>
      </c>
      <c r="F8254" s="33">
        <f>DATE(YEAR(A8254),MONTH(A8254),1)</f>
        <v>42156.0</v>
      </c>
      <c r="G8254" t="str">
        <f>CHOOSE(WEEKDAY(A8254,2),"Mon","Tue","Wed","Thu","Fri","Sat","Sun")</f>
        <v>Thu</v>
      </c>
      <c r="H8254" t="str">
        <f>IF(WEEKDAY(A8254,2)&gt;5,"Weekend","Weekday")</f>
        <v>Weekday</v>
      </c>
      <c r="I8254" t="str">
        <f>_xlfn.IFS(B8254&lt;=5,"Night (0-5)",B8254&lt;=9,"Morning peak (6-9)",B8254&lt;=15,"Midday (10-15)",B8254&lt;=19,"Evening peak (16-19)",TRUE,"Late evening (20-23)")</f>
        <v>Morning peak (6-9)</v>
      </c>
    </row>
    <row r="8255" spans="1:9">
      <c r="A8255" s="32">
        <v>42166</v>
      </c>
      <c r="B8255">
        <v>8</v>
      </c>
      <c r="C8255">
        <v>4547</v>
      </c>
      <c r="D8255" t="s">
        <v>304</v>
      </c>
      <c r="E8255">
        <f>YEAR(A8255)</f>
        <v>2015</v>
      </c>
      <c r="F8255" s="33">
        <f>DATE(YEAR(A8255),MONTH(A8255),1)</f>
        <v>42156.0</v>
      </c>
      <c r="G8255" t="str">
        <f>CHOOSE(WEEKDAY(A8255,2),"Mon","Tue","Wed","Thu","Fri","Sat","Sun")</f>
        <v>Thu</v>
      </c>
      <c r="H8255" t="str">
        <f>IF(WEEKDAY(A8255,2)&gt;5,"Weekend","Weekday")</f>
        <v>Weekday</v>
      </c>
      <c r="I8255" t="str">
        <f>_xlfn.IFS(B8255&lt;=5,"Night (0-5)",B8255&lt;=9,"Morning peak (6-9)",B8255&lt;=15,"Midday (10-15)",B8255&lt;=19,"Evening peak (16-19)",TRUE,"Late evening (20-23)")</f>
        <v>Morning peak (6-9)</v>
      </c>
    </row>
    <row r="8256" spans="1:9">
      <c r="A8256" s="32">
        <v>42166</v>
      </c>
      <c r="B8256">
        <v>9</v>
      </c>
      <c r="C8256">
        <v>4686</v>
      </c>
      <c r="D8256" t="s">
        <v>304</v>
      </c>
      <c r="E8256">
        <f>YEAR(A8256)</f>
        <v>2015</v>
      </c>
      <c r="F8256" s="33">
        <f>DATE(YEAR(A8256),MONTH(A8256),1)</f>
        <v>42156.0</v>
      </c>
      <c r="G8256" t="str">
        <f>CHOOSE(WEEKDAY(A8256,2),"Mon","Tue","Wed","Thu","Fri","Sat","Sun")</f>
        <v>Thu</v>
      </c>
      <c r="H8256" t="str">
        <f>IF(WEEKDAY(A8256,2)&gt;5,"Weekend","Weekday")</f>
        <v>Weekday</v>
      </c>
      <c r="I8256" t="str">
        <f>_xlfn.IFS(B8256&lt;=5,"Night (0-5)",B8256&lt;=9,"Morning peak (6-9)",B8256&lt;=15,"Midday (10-15)",B8256&lt;=19,"Evening peak (16-19)",TRUE,"Late evening (20-23)")</f>
        <v>Morning peak (6-9)</v>
      </c>
    </row>
    <row r="8257" spans="1:9">
      <c r="A8257" s="32">
        <v>42166</v>
      </c>
      <c r="B8257">
        <v>10</v>
      </c>
      <c r="C8257">
        <v>3670</v>
      </c>
      <c r="D8257" t="s">
        <v>304</v>
      </c>
      <c r="E8257">
        <f>YEAR(A8257)</f>
        <v>2015</v>
      </c>
      <c r="F8257" s="33">
        <f>DATE(YEAR(A8257),MONTH(A8257),1)</f>
        <v>42156.0</v>
      </c>
      <c r="G8257" t="str">
        <f>CHOOSE(WEEKDAY(A8257,2),"Mon","Tue","Wed","Thu","Fri","Sat","Sun")</f>
        <v>Thu</v>
      </c>
      <c r="H8257" t="str">
        <f>IF(WEEKDAY(A8257,2)&gt;5,"Weekend","Weekday")</f>
        <v>Weekday</v>
      </c>
      <c r="I8257" t="str">
        <f>_xlfn.IFS(B8257&lt;=5,"Night (0-5)",B8257&lt;=9,"Morning peak (6-9)",B8257&lt;=15,"Midday (10-15)",B8257&lt;=19,"Evening peak (16-19)",TRUE,"Late evening (20-23)")</f>
        <v>Midday (10-15)</v>
      </c>
    </row>
    <row r="8258" spans="1:9">
      <c r="A8258" s="32">
        <v>42166</v>
      </c>
      <c r="B8258">
        <v>11</v>
      </c>
      <c r="C8258">
        <v>3620</v>
      </c>
      <c r="D8258" t="s">
        <v>304</v>
      </c>
      <c r="E8258">
        <f>YEAR(A8258)</f>
        <v>2015</v>
      </c>
      <c r="F8258" s="33">
        <f>DATE(YEAR(A8258),MONTH(A8258),1)</f>
        <v>42156.0</v>
      </c>
      <c r="G8258" t="str">
        <f>CHOOSE(WEEKDAY(A8258,2),"Mon","Tue","Wed","Thu","Fri","Sat","Sun")</f>
        <v>Thu</v>
      </c>
      <c r="H8258" t="str">
        <f>IF(WEEKDAY(A8258,2)&gt;5,"Weekend","Weekday")</f>
        <v>Weekday</v>
      </c>
      <c r="I8258" t="str">
        <f>_xlfn.IFS(B8258&lt;=5,"Night (0-5)",B8258&lt;=9,"Morning peak (6-9)",B8258&lt;=15,"Midday (10-15)",B8258&lt;=19,"Evening peak (16-19)",TRUE,"Late evening (20-23)")</f>
        <v>Midday (10-15)</v>
      </c>
    </row>
    <row r="8259" spans="1:9">
      <c r="A8259" s="32">
        <v>42166</v>
      </c>
      <c r="B8259">
        <v>12</v>
      </c>
      <c r="C8259">
        <v>3663</v>
      </c>
      <c r="D8259" t="s">
        <v>304</v>
      </c>
      <c r="E8259">
        <f>YEAR(A8259)</f>
        <v>2015</v>
      </c>
      <c r="F8259" s="33">
        <f>DATE(YEAR(A8259),MONTH(A8259),1)</f>
        <v>42156.0</v>
      </c>
      <c r="G8259" t="str">
        <f>CHOOSE(WEEKDAY(A8259,2),"Mon","Tue","Wed","Thu","Fri","Sat","Sun")</f>
        <v>Thu</v>
      </c>
      <c r="H8259" t="str">
        <f>IF(WEEKDAY(A8259,2)&gt;5,"Weekend","Weekday")</f>
        <v>Weekday</v>
      </c>
      <c r="I8259" t="str">
        <f>_xlfn.IFS(B8259&lt;=5,"Night (0-5)",B8259&lt;=9,"Morning peak (6-9)",B8259&lt;=15,"Midday (10-15)",B8259&lt;=19,"Evening peak (16-19)",TRUE,"Late evening (20-23)")</f>
        <v>Midday (10-15)</v>
      </c>
    </row>
    <row r="8260" spans="1:9">
      <c r="A8260" s="32">
        <v>42166</v>
      </c>
      <c r="B8260">
        <v>13</v>
      </c>
      <c r="C8260">
        <v>3801</v>
      </c>
      <c r="D8260" t="s">
        <v>304</v>
      </c>
      <c r="E8260">
        <f>YEAR(A8260)</f>
        <v>2015</v>
      </c>
      <c r="F8260" s="33">
        <f>DATE(YEAR(A8260),MONTH(A8260),1)</f>
        <v>42156.0</v>
      </c>
      <c r="G8260" t="str">
        <f>CHOOSE(WEEKDAY(A8260,2),"Mon","Tue","Wed","Thu","Fri","Sat","Sun")</f>
        <v>Thu</v>
      </c>
      <c r="H8260" t="str">
        <f>IF(WEEKDAY(A8260,2)&gt;5,"Weekend","Weekday")</f>
        <v>Weekday</v>
      </c>
      <c r="I8260" t="str">
        <f>_xlfn.IFS(B8260&lt;=5,"Night (0-5)",B8260&lt;=9,"Morning peak (6-9)",B8260&lt;=15,"Midday (10-15)",B8260&lt;=19,"Evening peak (16-19)",TRUE,"Late evening (20-23)")</f>
        <v>Midday (10-15)</v>
      </c>
    </row>
    <row r="8261" spans="1:9">
      <c r="A8261" s="32">
        <v>42166</v>
      </c>
      <c r="B8261">
        <v>14</v>
      </c>
      <c r="C8261">
        <v>4147</v>
      </c>
      <c r="D8261" t="s">
        <v>304</v>
      </c>
      <c r="E8261">
        <f>YEAR(A8261)</f>
        <v>2015</v>
      </c>
      <c r="F8261" s="33">
        <f>DATE(YEAR(A8261),MONTH(A8261),1)</f>
        <v>42156.0</v>
      </c>
      <c r="G8261" t="str">
        <f>CHOOSE(WEEKDAY(A8261,2),"Mon","Tue","Wed","Thu","Fri","Sat","Sun")</f>
        <v>Thu</v>
      </c>
      <c r="H8261" t="str">
        <f>IF(WEEKDAY(A8261,2)&gt;5,"Weekend","Weekday")</f>
        <v>Weekday</v>
      </c>
      <c r="I8261" t="str">
        <f>_xlfn.IFS(B8261&lt;=5,"Night (0-5)",B8261&lt;=9,"Morning peak (6-9)",B8261&lt;=15,"Midday (10-15)",B8261&lt;=19,"Evening peak (16-19)",TRUE,"Late evening (20-23)")</f>
        <v>Midday (10-15)</v>
      </c>
    </row>
    <row r="8262" spans="1:9">
      <c r="A8262" s="32">
        <v>42166</v>
      </c>
      <c r="B8262">
        <v>15</v>
      </c>
      <c r="C8262">
        <v>4724</v>
      </c>
      <c r="D8262" t="s">
        <v>304</v>
      </c>
      <c r="E8262">
        <f>YEAR(A8262)</f>
        <v>2015</v>
      </c>
      <c r="F8262" s="33">
        <f>DATE(YEAR(A8262),MONTH(A8262),1)</f>
        <v>42156.0</v>
      </c>
      <c r="G8262" t="str">
        <f>CHOOSE(WEEKDAY(A8262,2),"Mon","Tue","Wed","Thu","Fri","Sat","Sun")</f>
        <v>Thu</v>
      </c>
      <c r="H8262" t="str">
        <f>IF(WEEKDAY(A8262,2)&gt;5,"Weekend","Weekday")</f>
        <v>Weekday</v>
      </c>
      <c r="I8262" t="str">
        <f>_xlfn.IFS(B8262&lt;=5,"Night (0-5)",B8262&lt;=9,"Morning peak (6-9)",B8262&lt;=15,"Midday (10-15)",B8262&lt;=19,"Evening peak (16-19)",TRUE,"Late evening (20-23)")</f>
        <v>Midday (10-15)</v>
      </c>
    </row>
    <row r="8263" spans="1:9">
      <c r="A8263" s="32">
        <v>42166</v>
      </c>
      <c r="B8263">
        <v>16</v>
      </c>
      <c r="C8263">
        <v>5340</v>
      </c>
      <c r="D8263" t="s">
        <v>304</v>
      </c>
      <c r="E8263">
        <f>YEAR(A8263)</f>
        <v>2015</v>
      </c>
      <c r="F8263" s="33">
        <f>DATE(YEAR(A8263),MONTH(A8263),1)</f>
        <v>42156.0</v>
      </c>
      <c r="G8263" t="str">
        <f>CHOOSE(WEEKDAY(A8263,2),"Mon","Tue","Wed","Thu","Fri","Sat","Sun")</f>
        <v>Thu</v>
      </c>
      <c r="H8263" t="str">
        <f>IF(WEEKDAY(A8263,2)&gt;5,"Weekend","Weekday")</f>
        <v>Weekday</v>
      </c>
      <c r="I8263" t="str">
        <f>_xlfn.IFS(B8263&lt;=5,"Night (0-5)",B8263&lt;=9,"Morning peak (6-9)",B8263&lt;=15,"Midday (10-15)",B8263&lt;=19,"Evening peak (16-19)",TRUE,"Late evening (20-23)")</f>
        <v>Evening peak (16-19)</v>
      </c>
    </row>
    <row r="8264" spans="1:9">
      <c r="A8264" s="32">
        <v>42166</v>
      </c>
      <c r="B8264">
        <v>17</v>
      </c>
      <c r="C8264">
        <v>6059</v>
      </c>
      <c r="D8264" t="s">
        <v>304</v>
      </c>
      <c r="E8264">
        <f>YEAR(A8264)</f>
        <v>2015</v>
      </c>
      <c r="F8264" s="33">
        <f>DATE(YEAR(A8264),MONTH(A8264),1)</f>
        <v>42156.0</v>
      </c>
      <c r="G8264" t="str">
        <f>CHOOSE(WEEKDAY(A8264,2),"Mon","Tue","Wed","Thu","Fri","Sat","Sun")</f>
        <v>Thu</v>
      </c>
      <c r="H8264" t="str">
        <f>IF(WEEKDAY(A8264,2)&gt;5,"Weekend","Weekday")</f>
        <v>Weekday</v>
      </c>
      <c r="I8264" t="str">
        <f>_xlfn.IFS(B8264&lt;=5,"Night (0-5)",B8264&lt;=9,"Morning peak (6-9)",B8264&lt;=15,"Midday (10-15)",B8264&lt;=19,"Evening peak (16-19)",TRUE,"Late evening (20-23)")</f>
        <v>Evening peak (16-19)</v>
      </c>
    </row>
    <row r="8265" spans="1:9">
      <c r="A8265" s="32">
        <v>42166</v>
      </c>
      <c r="B8265">
        <v>18</v>
      </c>
      <c r="C8265">
        <v>7379</v>
      </c>
      <c r="D8265" t="s">
        <v>304</v>
      </c>
      <c r="E8265">
        <f>YEAR(A8265)</f>
        <v>2015</v>
      </c>
      <c r="F8265" s="33">
        <f>DATE(YEAR(A8265),MONTH(A8265),1)</f>
        <v>42156.0</v>
      </c>
      <c r="G8265" t="str">
        <f>CHOOSE(WEEKDAY(A8265,2),"Mon","Tue","Wed","Thu","Fri","Sat","Sun")</f>
        <v>Thu</v>
      </c>
      <c r="H8265" t="str">
        <f>IF(WEEKDAY(A8265,2)&gt;5,"Weekend","Weekday")</f>
        <v>Weekday</v>
      </c>
      <c r="I8265" t="str">
        <f>_xlfn.IFS(B8265&lt;=5,"Night (0-5)",B8265&lt;=9,"Morning peak (6-9)",B8265&lt;=15,"Midday (10-15)",B8265&lt;=19,"Evening peak (16-19)",TRUE,"Late evening (20-23)")</f>
        <v>Evening peak (16-19)</v>
      </c>
    </row>
    <row r="8266" spans="1:9">
      <c r="A8266" s="32">
        <v>42166</v>
      </c>
      <c r="B8266">
        <v>19</v>
      </c>
      <c r="C8266">
        <v>7513</v>
      </c>
      <c r="D8266" t="s">
        <v>304</v>
      </c>
      <c r="E8266">
        <f>YEAR(A8266)</f>
        <v>2015</v>
      </c>
      <c r="F8266" s="33">
        <f>DATE(YEAR(A8266),MONTH(A8266),1)</f>
        <v>42156.0</v>
      </c>
      <c r="G8266" t="str">
        <f>CHOOSE(WEEKDAY(A8266,2),"Mon","Tue","Wed","Thu","Fri","Sat","Sun")</f>
        <v>Thu</v>
      </c>
      <c r="H8266" t="str">
        <f>IF(WEEKDAY(A8266,2)&gt;5,"Weekend","Weekday")</f>
        <v>Weekday</v>
      </c>
      <c r="I8266" t="str">
        <f>_xlfn.IFS(B8266&lt;=5,"Night (0-5)",B8266&lt;=9,"Morning peak (6-9)",B8266&lt;=15,"Midday (10-15)",B8266&lt;=19,"Evening peak (16-19)",TRUE,"Late evening (20-23)")</f>
        <v>Evening peak (16-19)</v>
      </c>
    </row>
    <row r="8267" spans="1:9">
      <c r="A8267" s="32">
        <v>42166</v>
      </c>
      <c r="B8267">
        <v>20</v>
      </c>
      <c r="C8267">
        <v>6858</v>
      </c>
      <c r="D8267" t="s">
        <v>304</v>
      </c>
      <c r="E8267">
        <f>YEAR(A8267)</f>
        <v>2015</v>
      </c>
      <c r="F8267" s="33">
        <f>DATE(YEAR(A8267),MONTH(A8267),1)</f>
        <v>42156.0</v>
      </c>
      <c r="G8267" t="str">
        <f>CHOOSE(WEEKDAY(A8267,2),"Mon","Tue","Wed","Thu","Fri","Sat","Sun")</f>
        <v>Thu</v>
      </c>
      <c r="H8267" t="str">
        <f>IF(WEEKDAY(A8267,2)&gt;5,"Weekend","Weekday")</f>
        <v>Weekday</v>
      </c>
      <c r="I8267" t="str">
        <f>_xlfn.IFS(B8267&lt;=5,"Night (0-5)",B8267&lt;=9,"Morning peak (6-9)",B8267&lt;=15,"Midday (10-15)",B8267&lt;=19,"Evening peak (16-19)",TRUE,"Late evening (20-23)")</f>
        <v>Late evening (20-23)</v>
      </c>
    </row>
    <row r="8268" spans="1:9">
      <c r="A8268" s="32">
        <v>42166</v>
      </c>
      <c r="B8268">
        <v>21</v>
      </c>
      <c r="C8268">
        <v>7665</v>
      </c>
      <c r="D8268" t="s">
        <v>304</v>
      </c>
      <c r="E8268">
        <f>YEAR(A8268)</f>
        <v>2015</v>
      </c>
      <c r="F8268" s="33">
        <f>DATE(YEAR(A8268),MONTH(A8268),1)</f>
        <v>42156.0</v>
      </c>
      <c r="G8268" t="str">
        <f>CHOOSE(WEEKDAY(A8268,2),"Mon","Tue","Wed","Thu","Fri","Sat","Sun")</f>
        <v>Thu</v>
      </c>
      <c r="H8268" t="str">
        <f>IF(WEEKDAY(A8268,2)&gt;5,"Weekend","Weekday")</f>
        <v>Weekday</v>
      </c>
      <c r="I8268" t="str">
        <f>_xlfn.IFS(B8268&lt;=5,"Night (0-5)",B8268&lt;=9,"Morning peak (6-9)",B8268&lt;=15,"Midday (10-15)",B8268&lt;=19,"Evening peak (16-19)",TRUE,"Late evening (20-23)")</f>
        <v>Late evening (20-23)</v>
      </c>
    </row>
    <row r="8269" spans="1:9">
      <c r="A8269" s="32">
        <v>42166</v>
      </c>
      <c r="B8269">
        <v>22</v>
      </c>
      <c r="C8269">
        <v>7684</v>
      </c>
      <c r="D8269" t="s">
        <v>304</v>
      </c>
      <c r="E8269">
        <f>YEAR(A8269)</f>
        <v>2015</v>
      </c>
      <c r="F8269" s="33">
        <f>DATE(YEAR(A8269),MONTH(A8269),1)</f>
        <v>42156.0</v>
      </c>
      <c r="G8269" t="str">
        <f>CHOOSE(WEEKDAY(A8269,2),"Mon","Tue","Wed","Thu","Fri","Sat","Sun")</f>
        <v>Thu</v>
      </c>
      <c r="H8269" t="str">
        <f>IF(WEEKDAY(A8269,2)&gt;5,"Weekend","Weekday")</f>
        <v>Weekday</v>
      </c>
      <c r="I8269" t="str">
        <f>_xlfn.IFS(B8269&lt;=5,"Night (0-5)",B8269&lt;=9,"Morning peak (6-9)",B8269&lt;=15,"Midday (10-15)",B8269&lt;=19,"Evening peak (16-19)",TRUE,"Late evening (20-23)")</f>
        <v>Late evening (20-23)</v>
      </c>
    </row>
    <row r="8270" spans="1:9">
      <c r="A8270" s="32">
        <v>42166</v>
      </c>
      <c r="B8270">
        <v>23</v>
      </c>
      <c r="C8270">
        <v>6767</v>
      </c>
      <c r="D8270" t="s">
        <v>304</v>
      </c>
      <c r="E8270">
        <f>YEAR(A8270)</f>
        <v>2015</v>
      </c>
      <c r="F8270" s="33">
        <f>DATE(YEAR(A8270),MONTH(A8270),1)</f>
        <v>42156.0</v>
      </c>
      <c r="G8270" t="str">
        <f>CHOOSE(WEEKDAY(A8270,2),"Mon","Tue","Wed","Thu","Fri","Sat","Sun")</f>
        <v>Thu</v>
      </c>
      <c r="H8270" t="str">
        <f>IF(WEEKDAY(A8270,2)&gt;5,"Weekend","Weekday")</f>
        <v>Weekday</v>
      </c>
      <c r="I8270" t="str">
        <f>_xlfn.IFS(B8270&lt;=5,"Night (0-5)",B8270&lt;=9,"Morning peak (6-9)",B8270&lt;=15,"Midday (10-15)",B8270&lt;=19,"Evening peak (16-19)",TRUE,"Late evening (20-23)")</f>
        <v>Late evening (20-23)</v>
      </c>
    </row>
    <row r="8271" spans="1:9">
      <c r="A8271" s="32">
        <v>42167</v>
      </c>
      <c r="B8271">
        <v>0</v>
      </c>
      <c r="C8271">
        <v>4850</v>
      </c>
      <c r="D8271" t="s">
        <v>304</v>
      </c>
      <c r="E8271">
        <f>YEAR(A8271)</f>
        <v>2015</v>
      </c>
      <c r="F8271" s="33">
        <f>DATE(YEAR(A8271),MONTH(A8271),1)</f>
        <v>42156.0</v>
      </c>
      <c r="G8271" t="str">
        <f>CHOOSE(WEEKDAY(A8271,2),"Mon","Tue","Wed","Thu","Fri","Sat","Sun")</f>
        <v>Fri</v>
      </c>
      <c r="H8271" t="str">
        <f>IF(WEEKDAY(A8271,2)&gt;5,"Weekend","Weekday")</f>
        <v>Weekday</v>
      </c>
      <c r="I8271" t="str">
        <f>_xlfn.IFS(B8271&lt;=5,"Night (0-5)",B8271&lt;=9,"Morning peak (6-9)",B8271&lt;=15,"Midday (10-15)",B8271&lt;=19,"Evening peak (16-19)",TRUE,"Late evening (20-23)")</f>
        <v>Night (0-5)</v>
      </c>
    </row>
    <row r="8272" spans="1:9">
      <c r="A8272" s="32">
        <v>42167</v>
      </c>
      <c r="B8272">
        <v>1</v>
      </c>
      <c r="C8272">
        <v>2359</v>
      </c>
      <c r="D8272" t="s">
        <v>304</v>
      </c>
      <c r="E8272">
        <f>YEAR(A8272)</f>
        <v>2015</v>
      </c>
      <c r="F8272" s="33">
        <f>DATE(YEAR(A8272),MONTH(A8272),1)</f>
        <v>42156.0</v>
      </c>
      <c r="G8272" t="str">
        <f>CHOOSE(WEEKDAY(A8272,2),"Mon","Tue","Wed","Thu","Fri","Sat","Sun")</f>
        <v>Fri</v>
      </c>
      <c r="H8272" t="str">
        <f>IF(WEEKDAY(A8272,2)&gt;5,"Weekend","Weekday")</f>
        <v>Weekday</v>
      </c>
      <c r="I8272" t="str">
        <f>_xlfn.IFS(B8272&lt;=5,"Night (0-5)",B8272&lt;=9,"Morning peak (6-9)",B8272&lt;=15,"Midday (10-15)",B8272&lt;=19,"Evening peak (16-19)",TRUE,"Late evening (20-23)")</f>
        <v>Night (0-5)</v>
      </c>
    </row>
    <row r="8273" spans="1:9">
      <c r="A8273" s="32">
        <v>42167</v>
      </c>
      <c r="B8273">
        <v>2</v>
      </c>
      <c r="C8273">
        <v>1427</v>
      </c>
      <c r="D8273" t="s">
        <v>304</v>
      </c>
      <c r="E8273">
        <f>YEAR(A8273)</f>
        <v>2015</v>
      </c>
      <c r="F8273" s="33">
        <f>DATE(YEAR(A8273),MONTH(A8273),1)</f>
        <v>42156.0</v>
      </c>
      <c r="G8273" t="str">
        <f>CHOOSE(WEEKDAY(A8273,2),"Mon","Tue","Wed","Thu","Fri","Sat","Sun")</f>
        <v>Fri</v>
      </c>
      <c r="H8273" t="str">
        <f>IF(WEEKDAY(A8273,2)&gt;5,"Weekend","Weekday")</f>
        <v>Weekday</v>
      </c>
      <c r="I8273" t="str">
        <f>_xlfn.IFS(B8273&lt;=5,"Night (0-5)",B8273&lt;=9,"Morning peak (6-9)",B8273&lt;=15,"Midday (10-15)",B8273&lt;=19,"Evening peak (16-19)",TRUE,"Late evening (20-23)")</f>
        <v>Night (0-5)</v>
      </c>
    </row>
    <row r="8274" spans="1:9">
      <c r="A8274" s="32">
        <v>42167</v>
      </c>
      <c r="B8274">
        <v>3</v>
      </c>
      <c r="C8274">
        <v>947</v>
      </c>
      <c r="D8274" t="s">
        <v>304</v>
      </c>
      <c r="E8274">
        <f>YEAR(A8274)</f>
        <v>2015</v>
      </c>
      <c r="F8274" s="33">
        <f>DATE(YEAR(A8274),MONTH(A8274),1)</f>
        <v>42156.0</v>
      </c>
      <c r="G8274" t="str">
        <f>CHOOSE(WEEKDAY(A8274,2),"Mon","Tue","Wed","Thu","Fri","Sat","Sun")</f>
        <v>Fri</v>
      </c>
      <c r="H8274" t="str">
        <f>IF(WEEKDAY(A8274,2)&gt;5,"Weekend","Weekday")</f>
        <v>Weekday</v>
      </c>
      <c r="I8274" t="str">
        <f>_xlfn.IFS(B8274&lt;=5,"Night (0-5)",B8274&lt;=9,"Morning peak (6-9)",B8274&lt;=15,"Midday (10-15)",B8274&lt;=19,"Evening peak (16-19)",TRUE,"Late evening (20-23)")</f>
        <v>Night (0-5)</v>
      </c>
    </row>
    <row r="8275" spans="1:9">
      <c r="A8275" s="32">
        <v>42167</v>
      </c>
      <c r="B8275">
        <v>4</v>
      </c>
      <c r="C8275">
        <v>1225</v>
      </c>
      <c r="D8275" t="s">
        <v>304</v>
      </c>
      <c r="E8275">
        <f>YEAR(A8275)</f>
        <v>2015</v>
      </c>
      <c r="F8275" s="33">
        <f>DATE(YEAR(A8275),MONTH(A8275),1)</f>
        <v>42156.0</v>
      </c>
      <c r="G8275" t="str">
        <f>CHOOSE(WEEKDAY(A8275,2),"Mon","Tue","Wed","Thu","Fri","Sat","Sun")</f>
        <v>Fri</v>
      </c>
      <c r="H8275" t="str">
        <f>IF(WEEKDAY(A8275,2)&gt;5,"Weekend","Weekday")</f>
        <v>Weekday</v>
      </c>
      <c r="I8275" t="str">
        <f>_xlfn.IFS(B8275&lt;=5,"Night (0-5)",B8275&lt;=9,"Morning peak (6-9)",B8275&lt;=15,"Midday (10-15)",B8275&lt;=19,"Evening peak (16-19)",TRUE,"Late evening (20-23)")</f>
        <v>Night (0-5)</v>
      </c>
    </row>
    <row r="8276" spans="1:9">
      <c r="A8276" s="32">
        <v>42167</v>
      </c>
      <c r="B8276">
        <v>5</v>
      </c>
      <c r="C8276">
        <v>1567</v>
      </c>
      <c r="D8276" t="s">
        <v>304</v>
      </c>
      <c r="E8276">
        <f>YEAR(A8276)</f>
        <v>2015</v>
      </c>
      <c r="F8276" s="33">
        <f>DATE(YEAR(A8276),MONTH(A8276),1)</f>
        <v>42156.0</v>
      </c>
      <c r="G8276" t="str">
        <f>CHOOSE(WEEKDAY(A8276,2),"Mon","Tue","Wed","Thu","Fri","Sat","Sun")</f>
        <v>Fri</v>
      </c>
      <c r="H8276" t="str">
        <f>IF(WEEKDAY(A8276,2)&gt;5,"Weekend","Weekday")</f>
        <v>Weekday</v>
      </c>
      <c r="I8276" t="str">
        <f>_xlfn.IFS(B8276&lt;=5,"Night (0-5)",B8276&lt;=9,"Morning peak (6-9)",B8276&lt;=15,"Midday (10-15)",B8276&lt;=19,"Evening peak (16-19)",TRUE,"Late evening (20-23)")</f>
        <v>Night (0-5)</v>
      </c>
    </row>
    <row r="8277" spans="1:9">
      <c r="A8277" s="32">
        <v>42167</v>
      </c>
      <c r="B8277">
        <v>6</v>
      </c>
      <c r="C8277">
        <v>2223</v>
      </c>
      <c r="D8277" t="s">
        <v>304</v>
      </c>
      <c r="E8277">
        <f>YEAR(A8277)</f>
        <v>2015</v>
      </c>
      <c r="F8277" s="33">
        <f>DATE(YEAR(A8277),MONTH(A8277),1)</f>
        <v>42156.0</v>
      </c>
      <c r="G8277" t="str">
        <f>CHOOSE(WEEKDAY(A8277,2),"Mon","Tue","Wed","Thu","Fri","Sat","Sun")</f>
        <v>Fri</v>
      </c>
      <c r="H8277" t="str">
        <f>IF(WEEKDAY(A8277,2)&gt;5,"Weekend","Weekday")</f>
        <v>Weekday</v>
      </c>
      <c r="I8277" t="str">
        <f>_xlfn.IFS(B8277&lt;=5,"Night (0-5)",B8277&lt;=9,"Morning peak (6-9)",B8277&lt;=15,"Midday (10-15)",B8277&lt;=19,"Evening peak (16-19)",TRUE,"Late evening (20-23)")</f>
        <v>Morning peak (6-9)</v>
      </c>
    </row>
    <row r="8278" spans="1:9">
      <c r="A8278" s="32">
        <v>42167</v>
      </c>
      <c r="B8278">
        <v>7</v>
      </c>
      <c r="C8278">
        <v>3378</v>
      </c>
      <c r="D8278" t="s">
        <v>304</v>
      </c>
      <c r="E8278">
        <f>YEAR(A8278)</f>
        <v>2015</v>
      </c>
      <c r="F8278" s="33">
        <f>DATE(YEAR(A8278),MONTH(A8278),1)</f>
        <v>42156.0</v>
      </c>
      <c r="G8278" t="str">
        <f>CHOOSE(WEEKDAY(A8278,2),"Mon","Tue","Wed","Thu","Fri","Sat","Sun")</f>
        <v>Fri</v>
      </c>
      <c r="H8278" t="str">
        <f>IF(WEEKDAY(A8278,2)&gt;5,"Weekend","Weekday")</f>
        <v>Weekday</v>
      </c>
      <c r="I8278" t="str">
        <f>_xlfn.IFS(B8278&lt;=5,"Night (0-5)",B8278&lt;=9,"Morning peak (6-9)",B8278&lt;=15,"Midday (10-15)",B8278&lt;=19,"Evening peak (16-19)",TRUE,"Late evening (20-23)")</f>
        <v>Morning peak (6-9)</v>
      </c>
    </row>
    <row r="8279" spans="1:9">
      <c r="A8279" s="32">
        <v>42167</v>
      </c>
      <c r="B8279">
        <v>8</v>
      </c>
      <c r="C8279">
        <v>4556</v>
      </c>
      <c r="D8279" t="s">
        <v>304</v>
      </c>
      <c r="E8279">
        <f>YEAR(A8279)</f>
        <v>2015</v>
      </c>
      <c r="F8279" s="33">
        <f>DATE(YEAR(A8279),MONTH(A8279),1)</f>
        <v>42156.0</v>
      </c>
      <c r="G8279" t="str">
        <f>CHOOSE(WEEKDAY(A8279,2),"Mon","Tue","Wed","Thu","Fri","Sat","Sun")</f>
        <v>Fri</v>
      </c>
      <c r="H8279" t="str">
        <f>IF(WEEKDAY(A8279,2)&gt;5,"Weekend","Weekday")</f>
        <v>Weekday</v>
      </c>
      <c r="I8279" t="str">
        <f>_xlfn.IFS(B8279&lt;=5,"Night (0-5)",B8279&lt;=9,"Morning peak (6-9)",B8279&lt;=15,"Midday (10-15)",B8279&lt;=19,"Evening peak (16-19)",TRUE,"Late evening (20-23)")</f>
        <v>Morning peak (6-9)</v>
      </c>
    </row>
    <row r="8280" spans="1:9">
      <c r="A8280" s="32">
        <v>42167</v>
      </c>
      <c r="B8280">
        <v>9</v>
      </c>
      <c r="C8280">
        <v>4459</v>
      </c>
      <c r="D8280" t="s">
        <v>304</v>
      </c>
      <c r="E8280">
        <f>YEAR(A8280)</f>
        <v>2015</v>
      </c>
      <c r="F8280" s="33">
        <f>DATE(YEAR(A8280),MONTH(A8280),1)</f>
        <v>42156.0</v>
      </c>
      <c r="G8280" t="str">
        <f>CHOOSE(WEEKDAY(A8280,2),"Mon","Tue","Wed","Thu","Fri","Sat","Sun")</f>
        <v>Fri</v>
      </c>
      <c r="H8280" t="str">
        <f>IF(WEEKDAY(A8280,2)&gt;5,"Weekend","Weekday")</f>
        <v>Weekday</v>
      </c>
      <c r="I8280" t="str">
        <f>_xlfn.IFS(B8280&lt;=5,"Night (0-5)",B8280&lt;=9,"Morning peak (6-9)",B8280&lt;=15,"Midday (10-15)",B8280&lt;=19,"Evening peak (16-19)",TRUE,"Late evening (20-23)")</f>
        <v>Morning peak (6-9)</v>
      </c>
    </row>
    <row r="8281" spans="1:9">
      <c r="A8281" s="32">
        <v>42167</v>
      </c>
      <c r="B8281">
        <v>10</v>
      </c>
      <c r="C8281">
        <v>3874</v>
      </c>
      <c r="D8281" t="s">
        <v>304</v>
      </c>
      <c r="E8281">
        <f>YEAR(A8281)</f>
        <v>2015</v>
      </c>
      <c r="F8281" s="33">
        <f>DATE(YEAR(A8281),MONTH(A8281),1)</f>
        <v>42156.0</v>
      </c>
      <c r="G8281" t="str">
        <f>CHOOSE(WEEKDAY(A8281,2),"Mon","Tue","Wed","Thu","Fri","Sat","Sun")</f>
        <v>Fri</v>
      </c>
      <c r="H8281" t="str">
        <f>IF(WEEKDAY(A8281,2)&gt;5,"Weekend","Weekday")</f>
        <v>Weekday</v>
      </c>
      <c r="I8281" t="str">
        <f>_xlfn.IFS(B8281&lt;=5,"Night (0-5)",B8281&lt;=9,"Morning peak (6-9)",B8281&lt;=15,"Midday (10-15)",B8281&lt;=19,"Evening peak (16-19)",TRUE,"Late evening (20-23)")</f>
        <v>Midday (10-15)</v>
      </c>
    </row>
    <row r="8282" spans="1:9">
      <c r="A8282" s="32">
        <v>42167</v>
      </c>
      <c r="B8282">
        <v>11</v>
      </c>
      <c r="C8282">
        <v>3593</v>
      </c>
      <c r="D8282" t="s">
        <v>304</v>
      </c>
      <c r="E8282">
        <f>YEAR(A8282)</f>
        <v>2015</v>
      </c>
      <c r="F8282" s="33">
        <f>DATE(YEAR(A8282),MONTH(A8282),1)</f>
        <v>42156.0</v>
      </c>
      <c r="G8282" t="str">
        <f>CHOOSE(WEEKDAY(A8282,2),"Mon","Tue","Wed","Thu","Fri","Sat","Sun")</f>
        <v>Fri</v>
      </c>
      <c r="H8282" t="str">
        <f>IF(WEEKDAY(A8282,2)&gt;5,"Weekend","Weekday")</f>
        <v>Weekday</v>
      </c>
      <c r="I8282" t="str">
        <f>_xlfn.IFS(B8282&lt;=5,"Night (0-5)",B8282&lt;=9,"Morning peak (6-9)",B8282&lt;=15,"Midday (10-15)",B8282&lt;=19,"Evening peak (16-19)",TRUE,"Late evening (20-23)")</f>
        <v>Midday (10-15)</v>
      </c>
    </row>
    <row r="8283" spans="1:9">
      <c r="A8283" s="32">
        <v>42167</v>
      </c>
      <c r="B8283">
        <v>12</v>
      </c>
      <c r="C8283">
        <v>3668</v>
      </c>
      <c r="D8283" t="s">
        <v>304</v>
      </c>
      <c r="E8283">
        <f>YEAR(A8283)</f>
        <v>2015</v>
      </c>
      <c r="F8283" s="33">
        <f>DATE(YEAR(A8283),MONTH(A8283),1)</f>
        <v>42156.0</v>
      </c>
      <c r="G8283" t="str">
        <f>CHOOSE(WEEKDAY(A8283,2),"Mon","Tue","Wed","Thu","Fri","Sat","Sun")</f>
        <v>Fri</v>
      </c>
      <c r="H8283" t="str">
        <f>IF(WEEKDAY(A8283,2)&gt;5,"Weekend","Weekday")</f>
        <v>Weekday</v>
      </c>
      <c r="I8283" t="str">
        <f>_xlfn.IFS(B8283&lt;=5,"Night (0-5)",B8283&lt;=9,"Morning peak (6-9)",B8283&lt;=15,"Midday (10-15)",B8283&lt;=19,"Evening peak (16-19)",TRUE,"Late evening (20-23)")</f>
        <v>Midday (10-15)</v>
      </c>
    </row>
    <row r="8284" spans="1:9">
      <c r="A8284" s="32">
        <v>42167</v>
      </c>
      <c r="B8284">
        <v>13</v>
      </c>
      <c r="C8284">
        <v>3773</v>
      </c>
      <c r="D8284" t="s">
        <v>304</v>
      </c>
      <c r="E8284">
        <f>YEAR(A8284)</f>
        <v>2015</v>
      </c>
      <c r="F8284" s="33">
        <f>DATE(YEAR(A8284),MONTH(A8284),1)</f>
        <v>42156.0</v>
      </c>
      <c r="G8284" t="str">
        <f>CHOOSE(WEEKDAY(A8284,2),"Mon","Tue","Wed","Thu","Fri","Sat","Sun")</f>
        <v>Fri</v>
      </c>
      <c r="H8284" t="str">
        <f>IF(WEEKDAY(A8284,2)&gt;5,"Weekend","Weekday")</f>
        <v>Weekday</v>
      </c>
      <c r="I8284" t="str">
        <f>_xlfn.IFS(B8284&lt;=5,"Night (0-5)",B8284&lt;=9,"Morning peak (6-9)",B8284&lt;=15,"Midday (10-15)",B8284&lt;=19,"Evening peak (16-19)",TRUE,"Late evening (20-23)")</f>
        <v>Midday (10-15)</v>
      </c>
    </row>
    <row r="8285" spans="1:9">
      <c r="A8285" s="32">
        <v>42167</v>
      </c>
      <c r="B8285">
        <v>14</v>
      </c>
      <c r="C8285">
        <v>4171</v>
      </c>
      <c r="D8285" t="s">
        <v>304</v>
      </c>
      <c r="E8285">
        <f>YEAR(A8285)</f>
        <v>2015</v>
      </c>
      <c r="F8285" s="33">
        <f>DATE(YEAR(A8285),MONTH(A8285),1)</f>
        <v>42156.0</v>
      </c>
      <c r="G8285" t="str">
        <f>CHOOSE(WEEKDAY(A8285,2),"Mon","Tue","Wed","Thu","Fri","Sat","Sun")</f>
        <v>Fri</v>
      </c>
      <c r="H8285" t="str">
        <f>IF(WEEKDAY(A8285,2)&gt;5,"Weekend","Weekday")</f>
        <v>Weekday</v>
      </c>
      <c r="I8285" t="str">
        <f>_xlfn.IFS(B8285&lt;=5,"Night (0-5)",B8285&lt;=9,"Morning peak (6-9)",B8285&lt;=15,"Midday (10-15)",B8285&lt;=19,"Evening peak (16-19)",TRUE,"Late evening (20-23)")</f>
        <v>Midday (10-15)</v>
      </c>
    </row>
    <row r="8286" spans="1:9">
      <c r="A8286" s="32">
        <v>42167</v>
      </c>
      <c r="B8286">
        <v>15</v>
      </c>
      <c r="C8286">
        <v>4605</v>
      </c>
      <c r="D8286" t="s">
        <v>304</v>
      </c>
      <c r="E8286">
        <f>YEAR(A8286)</f>
        <v>2015</v>
      </c>
      <c r="F8286" s="33">
        <f>DATE(YEAR(A8286),MONTH(A8286),1)</f>
        <v>42156.0</v>
      </c>
      <c r="G8286" t="str">
        <f>CHOOSE(WEEKDAY(A8286,2),"Mon","Tue","Wed","Thu","Fri","Sat","Sun")</f>
        <v>Fri</v>
      </c>
      <c r="H8286" t="str">
        <f>IF(WEEKDAY(A8286,2)&gt;5,"Weekend","Weekday")</f>
        <v>Weekday</v>
      </c>
      <c r="I8286" t="str">
        <f>_xlfn.IFS(B8286&lt;=5,"Night (0-5)",B8286&lt;=9,"Morning peak (6-9)",B8286&lt;=15,"Midday (10-15)",B8286&lt;=19,"Evening peak (16-19)",TRUE,"Late evening (20-23)")</f>
        <v>Midday (10-15)</v>
      </c>
    </row>
    <row r="8287" spans="1:9">
      <c r="A8287" s="32">
        <v>42167</v>
      </c>
      <c r="B8287">
        <v>16</v>
      </c>
      <c r="C8287">
        <v>5332</v>
      </c>
      <c r="D8287" t="s">
        <v>304</v>
      </c>
      <c r="E8287">
        <f>YEAR(A8287)</f>
        <v>2015</v>
      </c>
      <c r="F8287" s="33">
        <f>DATE(YEAR(A8287),MONTH(A8287),1)</f>
        <v>42156.0</v>
      </c>
      <c r="G8287" t="str">
        <f>CHOOSE(WEEKDAY(A8287,2),"Mon","Tue","Wed","Thu","Fri","Sat","Sun")</f>
        <v>Fri</v>
      </c>
      <c r="H8287" t="str">
        <f>IF(WEEKDAY(A8287,2)&gt;5,"Weekend","Weekday")</f>
        <v>Weekday</v>
      </c>
      <c r="I8287" t="str">
        <f>_xlfn.IFS(B8287&lt;=5,"Night (0-5)",B8287&lt;=9,"Morning peak (6-9)",B8287&lt;=15,"Midday (10-15)",B8287&lt;=19,"Evening peak (16-19)",TRUE,"Late evening (20-23)")</f>
        <v>Evening peak (16-19)</v>
      </c>
    </row>
    <row r="8288" spans="1:9">
      <c r="A8288" s="32">
        <v>42167</v>
      </c>
      <c r="B8288">
        <v>17</v>
      </c>
      <c r="C8288">
        <v>6010</v>
      </c>
      <c r="D8288" t="s">
        <v>304</v>
      </c>
      <c r="E8288">
        <f>YEAR(A8288)</f>
        <v>2015</v>
      </c>
      <c r="F8288" s="33">
        <f>DATE(YEAR(A8288),MONTH(A8288),1)</f>
        <v>42156.0</v>
      </c>
      <c r="G8288" t="str">
        <f>CHOOSE(WEEKDAY(A8288,2),"Mon","Tue","Wed","Thu","Fri","Sat","Sun")</f>
        <v>Fri</v>
      </c>
      <c r="H8288" t="str">
        <f>IF(WEEKDAY(A8288,2)&gt;5,"Weekend","Weekday")</f>
        <v>Weekday</v>
      </c>
      <c r="I8288" t="str">
        <f>_xlfn.IFS(B8288&lt;=5,"Night (0-5)",B8288&lt;=9,"Morning peak (6-9)",B8288&lt;=15,"Midday (10-15)",B8288&lt;=19,"Evening peak (16-19)",TRUE,"Late evening (20-23)")</f>
        <v>Evening peak (16-19)</v>
      </c>
    </row>
    <row r="8289" spans="1:9">
      <c r="A8289" s="32">
        <v>42167</v>
      </c>
      <c r="B8289">
        <v>18</v>
      </c>
      <c r="C8289">
        <v>6773</v>
      </c>
      <c r="D8289" t="s">
        <v>304</v>
      </c>
      <c r="E8289">
        <f>YEAR(A8289)</f>
        <v>2015</v>
      </c>
      <c r="F8289" s="33">
        <f>DATE(YEAR(A8289),MONTH(A8289),1)</f>
        <v>42156.0</v>
      </c>
      <c r="G8289" t="str">
        <f>CHOOSE(WEEKDAY(A8289,2),"Mon","Tue","Wed","Thu","Fri","Sat","Sun")</f>
        <v>Fri</v>
      </c>
      <c r="H8289" t="str">
        <f>IF(WEEKDAY(A8289,2)&gt;5,"Weekend","Weekday")</f>
        <v>Weekday</v>
      </c>
      <c r="I8289" t="str">
        <f>_xlfn.IFS(B8289&lt;=5,"Night (0-5)",B8289&lt;=9,"Morning peak (6-9)",B8289&lt;=15,"Midday (10-15)",B8289&lt;=19,"Evening peak (16-19)",TRUE,"Late evening (20-23)")</f>
        <v>Evening peak (16-19)</v>
      </c>
    </row>
    <row r="8290" spans="1:9">
      <c r="A8290" s="32">
        <v>42167</v>
      </c>
      <c r="B8290">
        <v>19</v>
      </c>
      <c r="C8290">
        <v>6979</v>
      </c>
      <c r="D8290" t="s">
        <v>304</v>
      </c>
      <c r="E8290">
        <f>YEAR(A8290)</f>
        <v>2015</v>
      </c>
      <c r="F8290" s="33">
        <f>DATE(YEAR(A8290),MONTH(A8290),1)</f>
        <v>42156.0</v>
      </c>
      <c r="G8290" t="str">
        <f>CHOOSE(WEEKDAY(A8290,2),"Mon","Tue","Wed","Thu","Fri","Sat","Sun")</f>
        <v>Fri</v>
      </c>
      <c r="H8290" t="str">
        <f>IF(WEEKDAY(A8290,2)&gt;5,"Weekend","Weekday")</f>
        <v>Weekday</v>
      </c>
      <c r="I8290" t="str">
        <f>_xlfn.IFS(B8290&lt;=5,"Night (0-5)",B8290&lt;=9,"Morning peak (6-9)",B8290&lt;=15,"Midday (10-15)",B8290&lt;=19,"Evening peak (16-19)",TRUE,"Late evening (20-23)")</f>
        <v>Evening peak (16-19)</v>
      </c>
    </row>
    <row r="8291" spans="1:9">
      <c r="A8291" s="32">
        <v>42167</v>
      </c>
      <c r="B8291">
        <v>20</v>
      </c>
      <c r="C8291">
        <v>6357</v>
      </c>
      <c r="D8291" t="s">
        <v>304</v>
      </c>
      <c r="E8291">
        <f>YEAR(A8291)</f>
        <v>2015</v>
      </c>
      <c r="F8291" s="33">
        <f>DATE(YEAR(A8291),MONTH(A8291),1)</f>
        <v>42156.0</v>
      </c>
      <c r="G8291" t="str">
        <f>CHOOSE(WEEKDAY(A8291,2),"Mon","Tue","Wed","Thu","Fri","Sat","Sun")</f>
        <v>Fri</v>
      </c>
      <c r="H8291" t="str">
        <f>IF(WEEKDAY(A8291,2)&gt;5,"Weekend","Weekday")</f>
        <v>Weekday</v>
      </c>
      <c r="I8291" t="str">
        <f>_xlfn.IFS(B8291&lt;=5,"Night (0-5)",B8291&lt;=9,"Morning peak (6-9)",B8291&lt;=15,"Midday (10-15)",B8291&lt;=19,"Evening peak (16-19)",TRUE,"Late evening (20-23)")</f>
        <v>Late evening (20-23)</v>
      </c>
    </row>
    <row r="8292" spans="1:9">
      <c r="A8292" s="32">
        <v>42167</v>
      </c>
      <c r="B8292">
        <v>21</v>
      </c>
      <c r="C8292">
        <v>6344</v>
      </c>
      <c r="D8292" t="s">
        <v>304</v>
      </c>
      <c r="E8292">
        <f>YEAR(A8292)</f>
        <v>2015</v>
      </c>
      <c r="F8292" s="33">
        <f>DATE(YEAR(A8292),MONTH(A8292),1)</f>
        <v>42156.0</v>
      </c>
      <c r="G8292" t="str">
        <f>CHOOSE(WEEKDAY(A8292,2),"Mon","Tue","Wed","Thu","Fri","Sat","Sun")</f>
        <v>Fri</v>
      </c>
      <c r="H8292" t="str">
        <f>IF(WEEKDAY(A8292,2)&gt;5,"Weekend","Weekday")</f>
        <v>Weekday</v>
      </c>
      <c r="I8292" t="str">
        <f>_xlfn.IFS(B8292&lt;=5,"Night (0-5)",B8292&lt;=9,"Morning peak (6-9)",B8292&lt;=15,"Midday (10-15)",B8292&lt;=19,"Evening peak (16-19)",TRUE,"Late evening (20-23)")</f>
        <v>Late evening (20-23)</v>
      </c>
    </row>
    <row r="8293" spans="1:9">
      <c r="A8293" s="32">
        <v>42167</v>
      </c>
      <c r="B8293">
        <v>22</v>
      </c>
      <c r="C8293">
        <v>7170</v>
      </c>
      <c r="D8293" t="s">
        <v>304</v>
      </c>
      <c r="E8293">
        <f>YEAR(A8293)</f>
        <v>2015</v>
      </c>
      <c r="F8293" s="33">
        <f>DATE(YEAR(A8293),MONTH(A8293),1)</f>
        <v>42156.0</v>
      </c>
      <c r="G8293" t="str">
        <f>CHOOSE(WEEKDAY(A8293,2),"Mon","Tue","Wed","Thu","Fri","Sat","Sun")</f>
        <v>Fri</v>
      </c>
      <c r="H8293" t="str">
        <f>IF(WEEKDAY(A8293,2)&gt;5,"Weekend","Weekday")</f>
        <v>Weekday</v>
      </c>
      <c r="I8293" t="str">
        <f>_xlfn.IFS(B8293&lt;=5,"Night (0-5)",B8293&lt;=9,"Morning peak (6-9)",B8293&lt;=15,"Midday (10-15)",B8293&lt;=19,"Evening peak (16-19)",TRUE,"Late evening (20-23)")</f>
        <v>Late evening (20-23)</v>
      </c>
    </row>
    <row r="8294" spans="1:9">
      <c r="A8294" s="32">
        <v>42167</v>
      </c>
      <c r="B8294">
        <v>23</v>
      </c>
      <c r="C8294">
        <v>7412</v>
      </c>
      <c r="D8294" t="s">
        <v>304</v>
      </c>
      <c r="E8294">
        <f>YEAR(A8294)</f>
        <v>2015</v>
      </c>
      <c r="F8294" s="33">
        <f>DATE(YEAR(A8294),MONTH(A8294),1)</f>
        <v>42156.0</v>
      </c>
      <c r="G8294" t="str">
        <f>CHOOSE(WEEKDAY(A8294,2),"Mon","Tue","Wed","Thu","Fri","Sat","Sun")</f>
        <v>Fri</v>
      </c>
      <c r="H8294" t="str">
        <f>IF(WEEKDAY(A8294,2)&gt;5,"Weekend","Weekday")</f>
        <v>Weekday</v>
      </c>
      <c r="I8294" t="str">
        <f>_xlfn.IFS(B8294&lt;=5,"Night (0-5)",B8294&lt;=9,"Morning peak (6-9)",B8294&lt;=15,"Midday (10-15)",B8294&lt;=19,"Evening peak (16-19)",TRUE,"Late evening (20-23)")</f>
        <v>Late evening (20-23)</v>
      </c>
    </row>
    <row r="8295" spans="1:9">
      <c r="A8295" s="32">
        <v>42168</v>
      </c>
      <c r="B8295">
        <v>0</v>
      </c>
      <c r="C8295">
        <v>6598</v>
      </c>
      <c r="D8295" t="s">
        <v>304</v>
      </c>
      <c r="E8295">
        <f>YEAR(A8295)</f>
        <v>2015</v>
      </c>
      <c r="F8295" s="33">
        <f>DATE(YEAR(A8295),MONTH(A8295),1)</f>
        <v>42156.0</v>
      </c>
      <c r="G8295" t="str">
        <f>CHOOSE(WEEKDAY(A8295,2),"Mon","Tue","Wed","Thu","Fri","Sat","Sun")</f>
        <v>Sat</v>
      </c>
      <c r="H8295" t="str">
        <f>IF(WEEKDAY(A8295,2)&gt;5,"Weekend","Weekday")</f>
        <v>Weekend</v>
      </c>
      <c r="I8295" t="str">
        <f>_xlfn.IFS(B8295&lt;=5,"Night (0-5)",B8295&lt;=9,"Morning peak (6-9)",B8295&lt;=15,"Midday (10-15)",B8295&lt;=19,"Evening peak (16-19)",TRUE,"Late evening (20-23)")</f>
        <v>Night (0-5)</v>
      </c>
    </row>
    <row r="8296" spans="1:9">
      <c r="A8296" s="32">
        <v>42168</v>
      </c>
      <c r="B8296">
        <v>1</v>
      </c>
      <c r="C8296">
        <v>4690</v>
      </c>
      <c r="D8296" t="s">
        <v>304</v>
      </c>
      <c r="E8296">
        <f>YEAR(A8296)</f>
        <v>2015</v>
      </c>
      <c r="F8296" s="33">
        <f>DATE(YEAR(A8296),MONTH(A8296),1)</f>
        <v>42156.0</v>
      </c>
      <c r="G8296" t="str">
        <f>CHOOSE(WEEKDAY(A8296,2),"Mon","Tue","Wed","Thu","Fri","Sat","Sun")</f>
        <v>Sat</v>
      </c>
      <c r="H8296" t="str">
        <f>IF(WEEKDAY(A8296,2)&gt;5,"Weekend","Weekday")</f>
        <v>Weekend</v>
      </c>
      <c r="I8296" t="str">
        <f>_xlfn.IFS(B8296&lt;=5,"Night (0-5)",B8296&lt;=9,"Morning peak (6-9)",B8296&lt;=15,"Midday (10-15)",B8296&lt;=19,"Evening peak (16-19)",TRUE,"Late evening (20-23)")</f>
        <v>Night (0-5)</v>
      </c>
    </row>
    <row r="8297" spans="1:9">
      <c r="A8297" s="32">
        <v>42168</v>
      </c>
      <c r="B8297">
        <v>2</v>
      </c>
      <c r="C8297">
        <v>3305</v>
      </c>
      <c r="D8297" t="s">
        <v>304</v>
      </c>
      <c r="E8297">
        <f>YEAR(A8297)</f>
        <v>2015</v>
      </c>
      <c r="F8297" s="33">
        <f>DATE(YEAR(A8297),MONTH(A8297),1)</f>
        <v>42156.0</v>
      </c>
      <c r="G8297" t="str">
        <f>CHOOSE(WEEKDAY(A8297,2),"Mon","Tue","Wed","Thu","Fri","Sat","Sun")</f>
        <v>Sat</v>
      </c>
      <c r="H8297" t="str">
        <f>IF(WEEKDAY(A8297,2)&gt;5,"Weekend","Weekday")</f>
        <v>Weekend</v>
      </c>
      <c r="I8297" t="str">
        <f>_xlfn.IFS(B8297&lt;=5,"Night (0-5)",B8297&lt;=9,"Morning peak (6-9)",B8297&lt;=15,"Midday (10-15)",B8297&lt;=19,"Evening peak (16-19)",TRUE,"Late evening (20-23)")</f>
        <v>Night (0-5)</v>
      </c>
    </row>
    <row r="8298" spans="1:9">
      <c r="A8298" s="32">
        <v>42168</v>
      </c>
      <c r="B8298">
        <v>3</v>
      </c>
      <c r="C8298">
        <v>2330</v>
      </c>
      <c r="D8298" t="s">
        <v>304</v>
      </c>
      <c r="E8298">
        <f>YEAR(A8298)</f>
        <v>2015</v>
      </c>
      <c r="F8298" s="33">
        <f>DATE(YEAR(A8298),MONTH(A8298),1)</f>
        <v>42156.0</v>
      </c>
      <c r="G8298" t="str">
        <f>CHOOSE(WEEKDAY(A8298,2),"Mon","Tue","Wed","Thu","Fri","Sat","Sun")</f>
        <v>Sat</v>
      </c>
      <c r="H8298" t="str">
        <f>IF(WEEKDAY(A8298,2)&gt;5,"Weekend","Weekday")</f>
        <v>Weekend</v>
      </c>
      <c r="I8298" t="str">
        <f>_xlfn.IFS(B8298&lt;=5,"Night (0-5)",B8298&lt;=9,"Morning peak (6-9)",B8298&lt;=15,"Midday (10-15)",B8298&lt;=19,"Evening peak (16-19)",TRUE,"Late evening (20-23)")</f>
        <v>Night (0-5)</v>
      </c>
    </row>
    <row r="8299" spans="1:9">
      <c r="A8299" s="32">
        <v>42168</v>
      </c>
      <c r="B8299">
        <v>4</v>
      </c>
      <c r="C8299">
        <v>1766</v>
      </c>
      <c r="D8299" t="s">
        <v>304</v>
      </c>
      <c r="E8299">
        <f>YEAR(A8299)</f>
        <v>2015</v>
      </c>
      <c r="F8299" s="33">
        <f>DATE(YEAR(A8299),MONTH(A8299),1)</f>
        <v>42156.0</v>
      </c>
      <c r="G8299" t="str">
        <f>CHOOSE(WEEKDAY(A8299,2),"Mon","Tue","Wed","Thu","Fri","Sat","Sun")</f>
        <v>Sat</v>
      </c>
      <c r="H8299" t="str">
        <f>IF(WEEKDAY(A8299,2)&gt;5,"Weekend","Weekday")</f>
        <v>Weekend</v>
      </c>
      <c r="I8299" t="str">
        <f>_xlfn.IFS(B8299&lt;=5,"Night (0-5)",B8299&lt;=9,"Morning peak (6-9)",B8299&lt;=15,"Midday (10-15)",B8299&lt;=19,"Evening peak (16-19)",TRUE,"Late evening (20-23)")</f>
        <v>Night (0-5)</v>
      </c>
    </row>
    <row r="8300" spans="1:9">
      <c r="A8300" s="32">
        <v>42168</v>
      </c>
      <c r="B8300">
        <v>5</v>
      </c>
      <c r="C8300">
        <v>1134</v>
      </c>
      <c r="D8300" t="s">
        <v>304</v>
      </c>
      <c r="E8300">
        <f>YEAR(A8300)</f>
        <v>2015</v>
      </c>
      <c r="F8300" s="33">
        <f>DATE(YEAR(A8300),MONTH(A8300),1)</f>
        <v>42156.0</v>
      </c>
      <c r="G8300" t="str">
        <f>CHOOSE(WEEKDAY(A8300,2),"Mon","Tue","Wed","Thu","Fri","Sat","Sun")</f>
        <v>Sat</v>
      </c>
      <c r="H8300" t="str">
        <f>IF(WEEKDAY(A8300,2)&gt;5,"Weekend","Weekday")</f>
        <v>Weekend</v>
      </c>
      <c r="I8300" t="str">
        <f>_xlfn.IFS(B8300&lt;=5,"Night (0-5)",B8300&lt;=9,"Morning peak (6-9)",B8300&lt;=15,"Midday (10-15)",B8300&lt;=19,"Evening peak (16-19)",TRUE,"Late evening (20-23)")</f>
        <v>Night (0-5)</v>
      </c>
    </row>
    <row r="8301" spans="1:9">
      <c r="A8301" s="32">
        <v>42168</v>
      </c>
      <c r="B8301">
        <v>6</v>
      </c>
      <c r="C8301">
        <v>1292</v>
      </c>
      <c r="D8301" t="s">
        <v>304</v>
      </c>
      <c r="E8301">
        <f>YEAR(A8301)</f>
        <v>2015</v>
      </c>
      <c r="F8301" s="33">
        <f>DATE(YEAR(A8301),MONTH(A8301),1)</f>
        <v>42156.0</v>
      </c>
      <c r="G8301" t="str">
        <f>CHOOSE(WEEKDAY(A8301,2),"Mon","Tue","Wed","Thu","Fri","Sat","Sun")</f>
        <v>Sat</v>
      </c>
      <c r="H8301" t="str">
        <f>IF(WEEKDAY(A8301,2)&gt;5,"Weekend","Weekday")</f>
        <v>Weekend</v>
      </c>
      <c r="I8301" t="str">
        <f>_xlfn.IFS(B8301&lt;=5,"Night (0-5)",B8301&lt;=9,"Morning peak (6-9)",B8301&lt;=15,"Midday (10-15)",B8301&lt;=19,"Evening peak (16-19)",TRUE,"Late evening (20-23)")</f>
        <v>Morning peak (6-9)</v>
      </c>
    </row>
    <row r="8302" spans="1:9">
      <c r="A8302" s="32">
        <v>42168</v>
      </c>
      <c r="B8302">
        <v>7</v>
      </c>
      <c r="C8302">
        <v>1595</v>
      </c>
      <c r="D8302" t="s">
        <v>304</v>
      </c>
      <c r="E8302">
        <f>YEAR(A8302)</f>
        <v>2015</v>
      </c>
      <c r="F8302" s="33">
        <f>DATE(YEAR(A8302),MONTH(A8302),1)</f>
        <v>42156.0</v>
      </c>
      <c r="G8302" t="str">
        <f>CHOOSE(WEEKDAY(A8302,2),"Mon","Tue","Wed","Thu","Fri","Sat","Sun")</f>
        <v>Sat</v>
      </c>
      <c r="H8302" t="str">
        <f>IF(WEEKDAY(A8302,2)&gt;5,"Weekend","Weekday")</f>
        <v>Weekend</v>
      </c>
      <c r="I8302" t="str">
        <f>_xlfn.IFS(B8302&lt;=5,"Night (0-5)",B8302&lt;=9,"Morning peak (6-9)",B8302&lt;=15,"Midday (10-15)",B8302&lt;=19,"Evening peak (16-19)",TRUE,"Late evening (20-23)")</f>
        <v>Morning peak (6-9)</v>
      </c>
    </row>
    <row r="8303" spans="1:9">
      <c r="A8303" s="32">
        <v>42168</v>
      </c>
      <c r="B8303">
        <v>8</v>
      </c>
      <c r="C8303">
        <v>2157</v>
      </c>
      <c r="D8303" t="s">
        <v>304</v>
      </c>
      <c r="E8303">
        <f>YEAR(A8303)</f>
        <v>2015</v>
      </c>
      <c r="F8303" s="33">
        <f>DATE(YEAR(A8303),MONTH(A8303),1)</f>
        <v>42156.0</v>
      </c>
      <c r="G8303" t="str">
        <f>CHOOSE(WEEKDAY(A8303,2),"Mon","Tue","Wed","Thu","Fri","Sat","Sun")</f>
        <v>Sat</v>
      </c>
      <c r="H8303" t="str">
        <f>IF(WEEKDAY(A8303,2)&gt;5,"Weekend","Weekday")</f>
        <v>Weekend</v>
      </c>
      <c r="I8303" t="str">
        <f>_xlfn.IFS(B8303&lt;=5,"Night (0-5)",B8303&lt;=9,"Morning peak (6-9)",B8303&lt;=15,"Midday (10-15)",B8303&lt;=19,"Evening peak (16-19)",TRUE,"Late evening (20-23)")</f>
        <v>Morning peak (6-9)</v>
      </c>
    </row>
    <row r="8304" spans="1:9">
      <c r="A8304" s="32">
        <v>42168</v>
      </c>
      <c r="B8304">
        <v>9</v>
      </c>
      <c r="C8304">
        <v>2695</v>
      </c>
      <c r="D8304" t="s">
        <v>304</v>
      </c>
      <c r="E8304">
        <f>YEAR(A8304)</f>
        <v>2015</v>
      </c>
      <c r="F8304" s="33">
        <f>DATE(YEAR(A8304),MONTH(A8304),1)</f>
        <v>42156.0</v>
      </c>
      <c r="G8304" t="str">
        <f>CHOOSE(WEEKDAY(A8304,2),"Mon","Tue","Wed","Thu","Fri","Sat","Sun")</f>
        <v>Sat</v>
      </c>
      <c r="H8304" t="str">
        <f>IF(WEEKDAY(A8304,2)&gt;5,"Weekend","Weekday")</f>
        <v>Weekend</v>
      </c>
      <c r="I8304" t="str">
        <f>_xlfn.IFS(B8304&lt;=5,"Night (0-5)",B8304&lt;=9,"Morning peak (6-9)",B8304&lt;=15,"Midday (10-15)",B8304&lt;=19,"Evening peak (16-19)",TRUE,"Late evening (20-23)")</f>
        <v>Morning peak (6-9)</v>
      </c>
    </row>
    <row r="8305" spans="1:9">
      <c r="A8305" s="32">
        <v>42168</v>
      </c>
      <c r="B8305">
        <v>10</v>
      </c>
      <c r="C8305">
        <v>3339</v>
      </c>
      <c r="D8305" t="s">
        <v>304</v>
      </c>
      <c r="E8305">
        <f>YEAR(A8305)</f>
        <v>2015</v>
      </c>
      <c r="F8305" s="33">
        <f>DATE(YEAR(A8305),MONTH(A8305),1)</f>
        <v>42156.0</v>
      </c>
      <c r="G8305" t="str">
        <f>CHOOSE(WEEKDAY(A8305,2),"Mon","Tue","Wed","Thu","Fri","Sat","Sun")</f>
        <v>Sat</v>
      </c>
      <c r="H8305" t="str">
        <f>IF(WEEKDAY(A8305,2)&gt;5,"Weekend","Weekday")</f>
        <v>Weekend</v>
      </c>
      <c r="I8305" t="str">
        <f>_xlfn.IFS(B8305&lt;=5,"Night (0-5)",B8305&lt;=9,"Morning peak (6-9)",B8305&lt;=15,"Midday (10-15)",B8305&lt;=19,"Evening peak (16-19)",TRUE,"Late evening (20-23)")</f>
        <v>Midday (10-15)</v>
      </c>
    </row>
    <row r="8306" spans="1:9">
      <c r="A8306" s="32">
        <v>42168</v>
      </c>
      <c r="B8306">
        <v>11</v>
      </c>
      <c r="C8306">
        <v>3854</v>
      </c>
      <c r="D8306" t="s">
        <v>304</v>
      </c>
      <c r="E8306">
        <f>YEAR(A8306)</f>
        <v>2015</v>
      </c>
      <c r="F8306" s="33">
        <f>DATE(YEAR(A8306),MONTH(A8306),1)</f>
        <v>42156.0</v>
      </c>
      <c r="G8306" t="str">
        <f>CHOOSE(WEEKDAY(A8306,2),"Mon","Tue","Wed","Thu","Fri","Sat","Sun")</f>
        <v>Sat</v>
      </c>
      <c r="H8306" t="str">
        <f>IF(WEEKDAY(A8306,2)&gt;5,"Weekend","Weekday")</f>
        <v>Weekend</v>
      </c>
      <c r="I8306" t="str">
        <f>_xlfn.IFS(B8306&lt;=5,"Night (0-5)",B8306&lt;=9,"Morning peak (6-9)",B8306&lt;=15,"Midday (10-15)",B8306&lt;=19,"Evening peak (16-19)",TRUE,"Late evening (20-23)")</f>
        <v>Midday (10-15)</v>
      </c>
    </row>
    <row r="8307" spans="1:9">
      <c r="A8307" s="32">
        <v>42168</v>
      </c>
      <c r="B8307">
        <v>12</v>
      </c>
      <c r="C8307">
        <v>4115</v>
      </c>
      <c r="D8307" t="s">
        <v>304</v>
      </c>
      <c r="E8307">
        <f>YEAR(A8307)</f>
        <v>2015</v>
      </c>
      <c r="F8307" s="33">
        <f>DATE(YEAR(A8307),MONTH(A8307),1)</f>
        <v>42156.0</v>
      </c>
      <c r="G8307" t="str">
        <f>CHOOSE(WEEKDAY(A8307,2),"Mon","Tue","Wed","Thu","Fri","Sat","Sun")</f>
        <v>Sat</v>
      </c>
      <c r="H8307" t="str">
        <f>IF(WEEKDAY(A8307,2)&gt;5,"Weekend","Weekday")</f>
        <v>Weekend</v>
      </c>
      <c r="I8307" t="str">
        <f>_xlfn.IFS(B8307&lt;=5,"Night (0-5)",B8307&lt;=9,"Morning peak (6-9)",B8307&lt;=15,"Midday (10-15)",B8307&lt;=19,"Evening peak (16-19)",TRUE,"Late evening (20-23)")</f>
        <v>Midday (10-15)</v>
      </c>
    </row>
    <row r="8308" spans="1:9">
      <c r="A8308" s="32">
        <v>42168</v>
      </c>
      <c r="B8308">
        <v>13</v>
      </c>
      <c r="C8308">
        <v>4415</v>
      </c>
      <c r="D8308" t="s">
        <v>304</v>
      </c>
      <c r="E8308">
        <f>YEAR(A8308)</f>
        <v>2015</v>
      </c>
      <c r="F8308" s="33">
        <f>DATE(YEAR(A8308),MONTH(A8308),1)</f>
        <v>42156.0</v>
      </c>
      <c r="G8308" t="str">
        <f>CHOOSE(WEEKDAY(A8308,2),"Mon","Tue","Wed","Thu","Fri","Sat","Sun")</f>
        <v>Sat</v>
      </c>
      <c r="H8308" t="str">
        <f>IF(WEEKDAY(A8308,2)&gt;5,"Weekend","Weekday")</f>
        <v>Weekend</v>
      </c>
      <c r="I8308" t="str">
        <f>_xlfn.IFS(B8308&lt;=5,"Night (0-5)",B8308&lt;=9,"Morning peak (6-9)",B8308&lt;=15,"Midday (10-15)",B8308&lt;=19,"Evening peak (16-19)",TRUE,"Late evening (20-23)")</f>
        <v>Midday (10-15)</v>
      </c>
    </row>
    <row r="8309" spans="1:9">
      <c r="A8309" s="32">
        <v>42168</v>
      </c>
      <c r="B8309">
        <v>14</v>
      </c>
      <c r="C8309">
        <v>4498</v>
      </c>
      <c r="D8309" t="s">
        <v>304</v>
      </c>
      <c r="E8309">
        <f>YEAR(A8309)</f>
        <v>2015</v>
      </c>
      <c r="F8309" s="33">
        <f>DATE(YEAR(A8309),MONTH(A8309),1)</f>
        <v>42156.0</v>
      </c>
      <c r="G8309" t="str">
        <f>CHOOSE(WEEKDAY(A8309,2),"Mon","Tue","Wed","Thu","Fri","Sat","Sun")</f>
        <v>Sat</v>
      </c>
      <c r="H8309" t="str">
        <f>IF(WEEKDAY(A8309,2)&gt;5,"Weekend","Weekday")</f>
        <v>Weekend</v>
      </c>
      <c r="I8309" t="str">
        <f>_xlfn.IFS(B8309&lt;=5,"Night (0-5)",B8309&lt;=9,"Morning peak (6-9)",B8309&lt;=15,"Midday (10-15)",B8309&lt;=19,"Evening peak (16-19)",TRUE,"Late evening (20-23)")</f>
        <v>Midday (10-15)</v>
      </c>
    </row>
    <row r="8310" spans="1:9">
      <c r="A8310" s="32">
        <v>42168</v>
      </c>
      <c r="B8310">
        <v>15</v>
      </c>
      <c r="C8310">
        <v>4620</v>
      </c>
      <c r="D8310" t="s">
        <v>304</v>
      </c>
      <c r="E8310">
        <f>YEAR(A8310)</f>
        <v>2015</v>
      </c>
      <c r="F8310" s="33">
        <f>DATE(YEAR(A8310),MONTH(A8310),1)</f>
        <v>42156.0</v>
      </c>
      <c r="G8310" t="str">
        <f>CHOOSE(WEEKDAY(A8310,2),"Mon","Tue","Wed","Thu","Fri","Sat","Sun")</f>
        <v>Sat</v>
      </c>
      <c r="H8310" t="str">
        <f>IF(WEEKDAY(A8310,2)&gt;5,"Weekend","Weekday")</f>
        <v>Weekend</v>
      </c>
      <c r="I8310" t="str">
        <f>_xlfn.IFS(B8310&lt;=5,"Night (0-5)",B8310&lt;=9,"Morning peak (6-9)",B8310&lt;=15,"Midday (10-15)",B8310&lt;=19,"Evening peak (16-19)",TRUE,"Late evening (20-23)")</f>
        <v>Midday (10-15)</v>
      </c>
    </row>
    <row r="8311" spans="1:9">
      <c r="A8311" s="32">
        <v>42168</v>
      </c>
      <c r="B8311">
        <v>16</v>
      </c>
      <c r="C8311">
        <v>5289</v>
      </c>
      <c r="D8311" t="s">
        <v>304</v>
      </c>
      <c r="E8311">
        <f>YEAR(A8311)</f>
        <v>2015</v>
      </c>
      <c r="F8311" s="33">
        <f>DATE(YEAR(A8311),MONTH(A8311),1)</f>
        <v>42156.0</v>
      </c>
      <c r="G8311" t="str">
        <f>CHOOSE(WEEKDAY(A8311,2),"Mon","Tue","Wed","Thu","Fri","Sat","Sun")</f>
        <v>Sat</v>
      </c>
      <c r="H8311" t="str">
        <f>IF(WEEKDAY(A8311,2)&gt;5,"Weekend","Weekday")</f>
        <v>Weekend</v>
      </c>
      <c r="I8311" t="str">
        <f>_xlfn.IFS(B8311&lt;=5,"Night (0-5)",B8311&lt;=9,"Morning peak (6-9)",B8311&lt;=15,"Midday (10-15)",B8311&lt;=19,"Evening peak (16-19)",TRUE,"Late evening (20-23)")</f>
        <v>Evening peak (16-19)</v>
      </c>
    </row>
    <row r="8312" spans="1:9">
      <c r="A8312" s="32">
        <v>42168</v>
      </c>
      <c r="B8312">
        <v>17</v>
      </c>
      <c r="C8312">
        <v>5865</v>
      </c>
      <c r="D8312" t="s">
        <v>304</v>
      </c>
      <c r="E8312">
        <f>YEAR(A8312)</f>
        <v>2015</v>
      </c>
      <c r="F8312" s="33">
        <f>DATE(YEAR(A8312),MONTH(A8312),1)</f>
        <v>42156.0</v>
      </c>
      <c r="G8312" t="str">
        <f>CHOOSE(WEEKDAY(A8312,2),"Mon","Tue","Wed","Thu","Fri","Sat","Sun")</f>
        <v>Sat</v>
      </c>
      <c r="H8312" t="str">
        <f>IF(WEEKDAY(A8312,2)&gt;5,"Weekend","Weekday")</f>
        <v>Weekend</v>
      </c>
      <c r="I8312" t="str">
        <f>_xlfn.IFS(B8312&lt;=5,"Night (0-5)",B8312&lt;=9,"Morning peak (6-9)",B8312&lt;=15,"Midday (10-15)",B8312&lt;=19,"Evening peak (16-19)",TRUE,"Late evening (20-23)")</f>
        <v>Evening peak (16-19)</v>
      </c>
    </row>
    <row r="8313" spans="1:9">
      <c r="A8313" s="32">
        <v>42168</v>
      </c>
      <c r="B8313">
        <v>18</v>
      </c>
      <c r="C8313">
        <v>5885</v>
      </c>
      <c r="D8313" t="s">
        <v>304</v>
      </c>
      <c r="E8313">
        <f>YEAR(A8313)</f>
        <v>2015</v>
      </c>
      <c r="F8313" s="33">
        <f>DATE(YEAR(A8313),MONTH(A8313),1)</f>
        <v>42156.0</v>
      </c>
      <c r="G8313" t="str">
        <f>CHOOSE(WEEKDAY(A8313,2),"Mon","Tue","Wed","Thu","Fri","Sat","Sun")</f>
        <v>Sat</v>
      </c>
      <c r="H8313" t="str">
        <f>IF(WEEKDAY(A8313,2)&gt;5,"Weekend","Weekday")</f>
        <v>Weekend</v>
      </c>
      <c r="I8313" t="str">
        <f>_xlfn.IFS(B8313&lt;=5,"Night (0-5)",B8313&lt;=9,"Morning peak (6-9)",B8313&lt;=15,"Midday (10-15)",B8313&lt;=19,"Evening peak (16-19)",TRUE,"Late evening (20-23)")</f>
        <v>Evening peak (16-19)</v>
      </c>
    </row>
    <row r="8314" spans="1:9">
      <c r="A8314" s="32">
        <v>42168</v>
      </c>
      <c r="B8314">
        <v>19</v>
      </c>
      <c r="C8314">
        <v>6329</v>
      </c>
      <c r="D8314" t="s">
        <v>304</v>
      </c>
      <c r="E8314">
        <f>YEAR(A8314)</f>
        <v>2015</v>
      </c>
      <c r="F8314" s="33">
        <f>DATE(YEAR(A8314),MONTH(A8314),1)</f>
        <v>42156.0</v>
      </c>
      <c r="G8314" t="str">
        <f>CHOOSE(WEEKDAY(A8314,2),"Mon","Tue","Wed","Thu","Fri","Sat","Sun")</f>
        <v>Sat</v>
      </c>
      <c r="H8314" t="str">
        <f>IF(WEEKDAY(A8314,2)&gt;5,"Weekend","Weekday")</f>
        <v>Weekend</v>
      </c>
      <c r="I8314" t="str">
        <f>_xlfn.IFS(B8314&lt;=5,"Night (0-5)",B8314&lt;=9,"Morning peak (6-9)",B8314&lt;=15,"Midday (10-15)",B8314&lt;=19,"Evening peak (16-19)",TRUE,"Late evening (20-23)")</f>
        <v>Evening peak (16-19)</v>
      </c>
    </row>
    <row r="8315" spans="1:9">
      <c r="A8315" s="32">
        <v>42168</v>
      </c>
      <c r="B8315">
        <v>20</v>
      </c>
      <c r="C8315">
        <v>5588</v>
      </c>
      <c r="D8315" t="s">
        <v>304</v>
      </c>
      <c r="E8315">
        <f>YEAR(A8315)</f>
        <v>2015</v>
      </c>
      <c r="F8315" s="33">
        <f>DATE(YEAR(A8315),MONTH(A8315),1)</f>
        <v>42156.0</v>
      </c>
      <c r="G8315" t="str">
        <f>CHOOSE(WEEKDAY(A8315,2),"Mon","Tue","Wed","Thu","Fri","Sat","Sun")</f>
        <v>Sat</v>
      </c>
      <c r="H8315" t="str">
        <f>IF(WEEKDAY(A8315,2)&gt;5,"Weekend","Weekday")</f>
        <v>Weekend</v>
      </c>
      <c r="I8315" t="str">
        <f>_xlfn.IFS(B8315&lt;=5,"Night (0-5)",B8315&lt;=9,"Morning peak (6-9)",B8315&lt;=15,"Midday (10-15)",B8315&lt;=19,"Evening peak (16-19)",TRUE,"Late evening (20-23)")</f>
        <v>Late evening (20-23)</v>
      </c>
    </row>
    <row r="8316" spans="1:9">
      <c r="A8316" s="32">
        <v>42168</v>
      </c>
      <c r="B8316">
        <v>21</v>
      </c>
      <c r="C8316">
        <v>6038</v>
      </c>
      <c r="D8316" t="s">
        <v>304</v>
      </c>
      <c r="E8316">
        <f>YEAR(A8316)</f>
        <v>2015</v>
      </c>
      <c r="F8316" s="33">
        <f>DATE(YEAR(A8316),MONTH(A8316),1)</f>
        <v>42156.0</v>
      </c>
      <c r="G8316" t="str">
        <f>CHOOSE(WEEKDAY(A8316,2),"Mon","Tue","Wed","Thu","Fri","Sat","Sun")</f>
        <v>Sat</v>
      </c>
      <c r="H8316" t="str">
        <f>IF(WEEKDAY(A8316,2)&gt;5,"Weekend","Weekday")</f>
        <v>Weekend</v>
      </c>
      <c r="I8316" t="str">
        <f>_xlfn.IFS(B8316&lt;=5,"Night (0-5)",B8316&lt;=9,"Morning peak (6-9)",B8316&lt;=15,"Midday (10-15)",B8316&lt;=19,"Evening peak (16-19)",TRUE,"Late evening (20-23)")</f>
        <v>Late evening (20-23)</v>
      </c>
    </row>
    <row r="8317" spans="1:9">
      <c r="A8317" s="32">
        <v>42168</v>
      </c>
      <c r="B8317">
        <v>22</v>
      </c>
      <c r="C8317">
        <v>6548</v>
      </c>
      <c r="D8317" t="s">
        <v>304</v>
      </c>
      <c r="E8317">
        <f>YEAR(A8317)</f>
        <v>2015</v>
      </c>
      <c r="F8317" s="33">
        <f>DATE(YEAR(A8317),MONTH(A8317),1)</f>
        <v>42156.0</v>
      </c>
      <c r="G8317" t="str">
        <f>CHOOSE(WEEKDAY(A8317,2),"Mon","Tue","Wed","Thu","Fri","Sat","Sun")</f>
        <v>Sat</v>
      </c>
      <c r="H8317" t="str">
        <f>IF(WEEKDAY(A8317,2)&gt;5,"Weekend","Weekday")</f>
        <v>Weekend</v>
      </c>
      <c r="I8317" t="str">
        <f>_xlfn.IFS(B8317&lt;=5,"Night (0-5)",B8317&lt;=9,"Morning peak (6-9)",B8317&lt;=15,"Midday (10-15)",B8317&lt;=19,"Evening peak (16-19)",TRUE,"Late evening (20-23)")</f>
        <v>Late evening (20-23)</v>
      </c>
    </row>
    <row r="8318" spans="1:9">
      <c r="A8318" s="32">
        <v>42168</v>
      </c>
      <c r="B8318">
        <v>23</v>
      </c>
      <c r="C8318">
        <v>7225</v>
      </c>
      <c r="D8318" t="s">
        <v>304</v>
      </c>
      <c r="E8318">
        <f>YEAR(A8318)</f>
        <v>2015</v>
      </c>
      <c r="F8318" s="33">
        <f>DATE(YEAR(A8318),MONTH(A8318),1)</f>
        <v>42156.0</v>
      </c>
      <c r="G8318" t="str">
        <f>CHOOSE(WEEKDAY(A8318,2),"Mon","Tue","Wed","Thu","Fri","Sat","Sun")</f>
        <v>Sat</v>
      </c>
      <c r="H8318" t="str">
        <f>IF(WEEKDAY(A8318,2)&gt;5,"Weekend","Weekday")</f>
        <v>Weekend</v>
      </c>
      <c r="I8318" t="str">
        <f>_xlfn.IFS(B8318&lt;=5,"Night (0-5)",B8318&lt;=9,"Morning peak (6-9)",B8318&lt;=15,"Midday (10-15)",B8318&lt;=19,"Evening peak (16-19)",TRUE,"Late evening (20-23)")</f>
        <v>Late evening (20-23)</v>
      </c>
    </row>
    <row r="8319" spans="1:9">
      <c r="A8319" s="32">
        <v>42169</v>
      </c>
      <c r="B8319">
        <v>0</v>
      </c>
      <c r="C8319">
        <v>6576</v>
      </c>
      <c r="D8319" t="s">
        <v>304</v>
      </c>
      <c r="E8319">
        <f>YEAR(A8319)</f>
        <v>2015</v>
      </c>
      <c r="F8319" s="33">
        <f>DATE(YEAR(A8319),MONTH(A8319),1)</f>
        <v>42156.0</v>
      </c>
      <c r="G8319" t="str">
        <f>CHOOSE(WEEKDAY(A8319,2),"Mon","Tue","Wed","Thu","Fri","Sat","Sun")</f>
        <v>Sun</v>
      </c>
      <c r="H8319" t="str">
        <f>IF(WEEKDAY(A8319,2)&gt;5,"Weekend","Weekday")</f>
        <v>Weekend</v>
      </c>
      <c r="I8319" t="str">
        <f>_xlfn.IFS(B8319&lt;=5,"Night (0-5)",B8319&lt;=9,"Morning peak (6-9)",B8319&lt;=15,"Midday (10-15)",B8319&lt;=19,"Evening peak (16-19)",TRUE,"Late evening (20-23)")</f>
        <v>Night (0-5)</v>
      </c>
    </row>
    <row r="8320" spans="1:9">
      <c r="A8320" s="32">
        <v>42169</v>
      </c>
      <c r="B8320">
        <v>1</v>
      </c>
      <c r="C8320">
        <v>5164</v>
      </c>
      <c r="D8320" t="s">
        <v>304</v>
      </c>
      <c r="E8320">
        <f>YEAR(A8320)</f>
        <v>2015</v>
      </c>
      <c r="F8320" s="33">
        <f>DATE(YEAR(A8320),MONTH(A8320),1)</f>
        <v>42156.0</v>
      </c>
      <c r="G8320" t="str">
        <f>CHOOSE(WEEKDAY(A8320,2),"Mon","Tue","Wed","Thu","Fri","Sat","Sun")</f>
        <v>Sun</v>
      </c>
      <c r="H8320" t="str">
        <f>IF(WEEKDAY(A8320,2)&gt;5,"Weekend","Weekday")</f>
        <v>Weekend</v>
      </c>
      <c r="I8320" t="str">
        <f>_xlfn.IFS(B8320&lt;=5,"Night (0-5)",B8320&lt;=9,"Morning peak (6-9)",B8320&lt;=15,"Midday (10-15)",B8320&lt;=19,"Evening peak (16-19)",TRUE,"Late evening (20-23)")</f>
        <v>Night (0-5)</v>
      </c>
    </row>
    <row r="8321" spans="1:9">
      <c r="A8321" s="32">
        <v>42169</v>
      </c>
      <c r="B8321">
        <v>2</v>
      </c>
      <c r="C8321">
        <v>3880</v>
      </c>
      <c r="D8321" t="s">
        <v>304</v>
      </c>
      <c r="E8321">
        <f>YEAR(A8321)</f>
        <v>2015</v>
      </c>
      <c r="F8321" s="33">
        <f>DATE(YEAR(A8321),MONTH(A8321),1)</f>
        <v>42156.0</v>
      </c>
      <c r="G8321" t="str">
        <f>CHOOSE(WEEKDAY(A8321,2),"Mon","Tue","Wed","Thu","Fri","Sat","Sun")</f>
        <v>Sun</v>
      </c>
      <c r="H8321" t="str">
        <f>IF(WEEKDAY(A8321,2)&gt;5,"Weekend","Weekday")</f>
        <v>Weekend</v>
      </c>
      <c r="I8321" t="str">
        <f>_xlfn.IFS(B8321&lt;=5,"Night (0-5)",B8321&lt;=9,"Morning peak (6-9)",B8321&lt;=15,"Midday (10-15)",B8321&lt;=19,"Evening peak (16-19)",TRUE,"Late evening (20-23)")</f>
        <v>Night (0-5)</v>
      </c>
    </row>
    <row r="8322" spans="1:9">
      <c r="A8322" s="32">
        <v>42169</v>
      </c>
      <c r="B8322">
        <v>3</v>
      </c>
      <c r="C8322">
        <v>2657</v>
      </c>
      <c r="D8322" t="s">
        <v>304</v>
      </c>
      <c r="E8322">
        <f>YEAR(A8322)</f>
        <v>2015</v>
      </c>
      <c r="F8322" s="33">
        <f>DATE(YEAR(A8322),MONTH(A8322),1)</f>
        <v>42156.0</v>
      </c>
      <c r="G8322" t="str">
        <f>CHOOSE(WEEKDAY(A8322,2),"Mon","Tue","Wed","Thu","Fri","Sat","Sun")</f>
        <v>Sun</v>
      </c>
      <c r="H8322" t="str">
        <f>IF(WEEKDAY(A8322,2)&gt;5,"Weekend","Weekday")</f>
        <v>Weekend</v>
      </c>
      <c r="I8322" t="str">
        <f>_xlfn.IFS(B8322&lt;=5,"Night (0-5)",B8322&lt;=9,"Morning peak (6-9)",B8322&lt;=15,"Midday (10-15)",B8322&lt;=19,"Evening peak (16-19)",TRUE,"Late evening (20-23)")</f>
        <v>Night (0-5)</v>
      </c>
    </row>
    <row r="8323" spans="1:9">
      <c r="A8323" s="32">
        <v>42169</v>
      </c>
      <c r="B8323">
        <v>4</v>
      </c>
      <c r="C8323">
        <v>2061</v>
      </c>
      <c r="D8323" t="s">
        <v>304</v>
      </c>
      <c r="E8323">
        <f>YEAR(A8323)</f>
        <v>2015</v>
      </c>
      <c r="F8323" s="33">
        <f>DATE(YEAR(A8323),MONTH(A8323),1)</f>
        <v>42156.0</v>
      </c>
      <c r="G8323" t="str">
        <f>CHOOSE(WEEKDAY(A8323,2),"Mon","Tue","Wed","Thu","Fri","Sat","Sun")</f>
        <v>Sun</v>
      </c>
      <c r="H8323" t="str">
        <f>IF(WEEKDAY(A8323,2)&gt;5,"Weekend","Weekday")</f>
        <v>Weekend</v>
      </c>
      <c r="I8323" t="str">
        <f>_xlfn.IFS(B8323&lt;=5,"Night (0-5)",B8323&lt;=9,"Morning peak (6-9)",B8323&lt;=15,"Midday (10-15)",B8323&lt;=19,"Evening peak (16-19)",TRUE,"Late evening (20-23)")</f>
        <v>Night (0-5)</v>
      </c>
    </row>
    <row r="8324" spans="1:9">
      <c r="A8324" s="32">
        <v>42169</v>
      </c>
      <c r="B8324">
        <v>5</v>
      </c>
      <c r="C8324">
        <v>1186</v>
      </c>
      <c r="D8324" t="s">
        <v>304</v>
      </c>
      <c r="E8324">
        <f>YEAR(A8324)</f>
        <v>2015</v>
      </c>
      <c r="F8324" s="33">
        <f>DATE(YEAR(A8324),MONTH(A8324),1)</f>
        <v>42156.0</v>
      </c>
      <c r="G8324" t="str">
        <f>CHOOSE(WEEKDAY(A8324,2),"Mon","Tue","Wed","Thu","Fri","Sat","Sun")</f>
        <v>Sun</v>
      </c>
      <c r="H8324" t="str">
        <f>IF(WEEKDAY(A8324,2)&gt;5,"Weekend","Weekday")</f>
        <v>Weekend</v>
      </c>
      <c r="I8324" t="str">
        <f>_xlfn.IFS(B8324&lt;=5,"Night (0-5)",B8324&lt;=9,"Morning peak (6-9)",B8324&lt;=15,"Midday (10-15)",B8324&lt;=19,"Evening peak (16-19)",TRUE,"Late evening (20-23)")</f>
        <v>Night (0-5)</v>
      </c>
    </row>
    <row r="8325" spans="1:9">
      <c r="A8325" s="32">
        <v>42169</v>
      </c>
      <c r="B8325">
        <v>6</v>
      </c>
      <c r="C8325">
        <v>1123</v>
      </c>
      <c r="D8325" t="s">
        <v>304</v>
      </c>
      <c r="E8325">
        <f>YEAR(A8325)</f>
        <v>2015</v>
      </c>
      <c r="F8325" s="33">
        <f>DATE(YEAR(A8325),MONTH(A8325),1)</f>
        <v>42156.0</v>
      </c>
      <c r="G8325" t="str">
        <f>CHOOSE(WEEKDAY(A8325,2),"Mon","Tue","Wed","Thu","Fri","Sat","Sun")</f>
        <v>Sun</v>
      </c>
      <c r="H8325" t="str">
        <f>IF(WEEKDAY(A8325,2)&gt;5,"Weekend","Weekday")</f>
        <v>Weekend</v>
      </c>
      <c r="I8325" t="str">
        <f>_xlfn.IFS(B8325&lt;=5,"Night (0-5)",B8325&lt;=9,"Morning peak (6-9)",B8325&lt;=15,"Midday (10-15)",B8325&lt;=19,"Evening peak (16-19)",TRUE,"Late evening (20-23)")</f>
        <v>Morning peak (6-9)</v>
      </c>
    </row>
    <row r="8326" spans="1:9">
      <c r="A8326" s="32">
        <v>42169</v>
      </c>
      <c r="B8326">
        <v>7</v>
      </c>
      <c r="C8326">
        <v>1175</v>
      </c>
      <c r="D8326" t="s">
        <v>304</v>
      </c>
      <c r="E8326">
        <f>YEAR(A8326)</f>
        <v>2015</v>
      </c>
      <c r="F8326" s="33">
        <f>DATE(YEAR(A8326),MONTH(A8326),1)</f>
        <v>42156.0</v>
      </c>
      <c r="G8326" t="str">
        <f>CHOOSE(WEEKDAY(A8326,2),"Mon","Tue","Wed","Thu","Fri","Sat","Sun")</f>
        <v>Sun</v>
      </c>
      <c r="H8326" t="str">
        <f>IF(WEEKDAY(A8326,2)&gt;5,"Weekend","Weekday")</f>
        <v>Weekend</v>
      </c>
      <c r="I8326" t="str">
        <f>_xlfn.IFS(B8326&lt;=5,"Night (0-5)",B8326&lt;=9,"Morning peak (6-9)",B8326&lt;=15,"Midday (10-15)",B8326&lt;=19,"Evening peak (16-19)",TRUE,"Late evening (20-23)")</f>
        <v>Morning peak (6-9)</v>
      </c>
    </row>
    <row r="8327" spans="1:9">
      <c r="A8327" s="32">
        <v>42169</v>
      </c>
      <c r="B8327">
        <v>8</v>
      </c>
      <c r="C8327">
        <v>1688</v>
      </c>
      <c r="D8327" t="s">
        <v>304</v>
      </c>
      <c r="E8327">
        <f>YEAR(A8327)</f>
        <v>2015</v>
      </c>
      <c r="F8327" s="33">
        <f>DATE(YEAR(A8327),MONTH(A8327),1)</f>
        <v>42156.0</v>
      </c>
      <c r="G8327" t="str">
        <f>CHOOSE(WEEKDAY(A8327,2),"Mon","Tue","Wed","Thu","Fri","Sat","Sun")</f>
        <v>Sun</v>
      </c>
      <c r="H8327" t="str">
        <f>IF(WEEKDAY(A8327,2)&gt;5,"Weekend","Weekday")</f>
        <v>Weekend</v>
      </c>
      <c r="I8327" t="str">
        <f>_xlfn.IFS(B8327&lt;=5,"Night (0-5)",B8327&lt;=9,"Morning peak (6-9)",B8327&lt;=15,"Midday (10-15)",B8327&lt;=19,"Evening peak (16-19)",TRUE,"Late evening (20-23)")</f>
        <v>Morning peak (6-9)</v>
      </c>
    </row>
    <row r="8328" spans="1:9">
      <c r="A8328" s="32">
        <v>42169</v>
      </c>
      <c r="B8328">
        <v>9</v>
      </c>
      <c r="C8328">
        <v>2313</v>
      </c>
      <c r="D8328" t="s">
        <v>304</v>
      </c>
      <c r="E8328">
        <f>YEAR(A8328)</f>
        <v>2015</v>
      </c>
      <c r="F8328" s="33">
        <f>DATE(YEAR(A8328),MONTH(A8328),1)</f>
        <v>42156.0</v>
      </c>
      <c r="G8328" t="str">
        <f>CHOOSE(WEEKDAY(A8328,2),"Mon","Tue","Wed","Thu","Fri","Sat","Sun")</f>
        <v>Sun</v>
      </c>
      <c r="H8328" t="str">
        <f>IF(WEEKDAY(A8328,2)&gt;5,"Weekend","Weekday")</f>
        <v>Weekend</v>
      </c>
      <c r="I8328" t="str">
        <f>_xlfn.IFS(B8328&lt;=5,"Night (0-5)",B8328&lt;=9,"Morning peak (6-9)",B8328&lt;=15,"Midday (10-15)",B8328&lt;=19,"Evening peak (16-19)",TRUE,"Late evening (20-23)")</f>
        <v>Morning peak (6-9)</v>
      </c>
    </row>
    <row r="8329" spans="1:9">
      <c r="A8329" s="32">
        <v>42169</v>
      </c>
      <c r="B8329">
        <v>10</v>
      </c>
      <c r="C8329">
        <v>3055</v>
      </c>
      <c r="D8329" t="s">
        <v>304</v>
      </c>
      <c r="E8329">
        <f>YEAR(A8329)</f>
        <v>2015</v>
      </c>
      <c r="F8329" s="33">
        <f>DATE(YEAR(A8329),MONTH(A8329),1)</f>
        <v>42156.0</v>
      </c>
      <c r="G8329" t="str">
        <f>CHOOSE(WEEKDAY(A8329,2),"Mon","Tue","Wed","Thu","Fri","Sat","Sun")</f>
        <v>Sun</v>
      </c>
      <c r="H8329" t="str">
        <f>IF(WEEKDAY(A8329,2)&gt;5,"Weekend","Weekday")</f>
        <v>Weekend</v>
      </c>
      <c r="I8329" t="str">
        <f>_xlfn.IFS(B8329&lt;=5,"Night (0-5)",B8329&lt;=9,"Morning peak (6-9)",B8329&lt;=15,"Midday (10-15)",B8329&lt;=19,"Evening peak (16-19)",TRUE,"Late evening (20-23)")</f>
        <v>Midday (10-15)</v>
      </c>
    </row>
    <row r="8330" spans="1:9">
      <c r="A8330" s="32">
        <v>42169</v>
      </c>
      <c r="B8330">
        <v>11</v>
      </c>
      <c r="C8330">
        <v>3517</v>
      </c>
      <c r="D8330" t="s">
        <v>304</v>
      </c>
      <c r="E8330">
        <f>YEAR(A8330)</f>
        <v>2015</v>
      </c>
      <c r="F8330" s="33">
        <f>DATE(YEAR(A8330),MONTH(A8330),1)</f>
        <v>42156.0</v>
      </c>
      <c r="G8330" t="str">
        <f>CHOOSE(WEEKDAY(A8330,2),"Mon","Tue","Wed","Thu","Fri","Sat","Sun")</f>
        <v>Sun</v>
      </c>
      <c r="H8330" t="str">
        <f>IF(WEEKDAY(A8330,2)&gt;5,"Weekend","Weekday")</f>
        <v>Weekend</v>
      </c>
      <c r="I8330" t="str">
        <f>_xlfn.IFS(B8330&lt;=5,"Night (0-5)",B8330&lt;=9,"Morning peak (6-9)",B8330&lt;=15,"Midday (10-15)",B8330&lt;=19,"Evening peak (16-19)",TRUE,"Late evening (20-23)")</f>
        <v>Midday (10-15)</v>
      </c>
    </row>
    <row r="8331" spans="1:9">
      <c r="A8331" s="32">
        <v>42169</v>
      </c>
      <c r="B8331">
        <v>12</v>
      </c>
      <c r="C8331">
        <v>3944</v>
      </c>
      <c r="D8331" t="s">
        <v>304</v>
      </c>
      <c r="E8331">
        <f>YEAR(A8331)</f>
        <v>2015</v>
      </c>
      <c r="F8331" s="33">
        <f>DATE(YEAR(A8331),MONTH(A8331),1)</f>
        <v>42156.0</v>
      </c>
      <c r="G8331" t="str">
        <f>CHOOSE(WEEKDAY(A8331,2),"Mon","Tue","Wed","Thu","Fri","Sat","Sun")</f>
        <v>Sun</v>
      </c>
      <c r="H8331" t="str">
        <f>IF(WEEKDAY(A8331,2)&gt;5,"Weekend","Weekday")</f>
        <v>Weekend</v>
      </c>
      <c r="I8331" t="str">
        <f>_xlfn.IFS(B8331&lt;=5,"Night (0-5)",B8331&lt;=9,"Morning peak (6-9)",B8331&lt;=15,"Midday (10-15)",B8331&lt;=19,"Evening peak (16-19)",TRUE,"Late evening (20-23)")</f>
        <v>Midday (10-15)</v>
      </c>
    </row>
    <row r="8332" spans="1:9">
      <c r="A8332" s="32">
        <v>42169</v>
      </c>
      <c r="B8332">
        <v>13</v>
      </c>
      <c r="C8332">
        <v>3863</v>
      </c>
      <c r="D8332" t="s">
        <v>304</v>
      </c>
      <c r="E8332">
        <f>YEAR(A8332)</f>
        <v>2015</v>
      </c>
      <c r="F8332" s="33">
        <f>DATE(YEAR(A8332),MONTH(A8332),1)</f>
        <v>42156.0</v>
      </c>
      <c r="G8332" t="str">
        <f>CHOOSE(WEEKDAY(A8332,2),"Mon","Tue","Wed","Thu","Fri","Sat","Sun")</f>
        <v>Sun</v>
      </c>
      <c r="H8332" t="str">
        <f>IF(WEEKDAY(A8332,2)&gt;5,"Weekend","Weekday")</f>
        <v>Weekend</v>
      </c>
      <c r="I8332" t="str">
        <f>_xlfn.IFS(B8332&lt;=5,"Night (0-5)",B8332&lt;=9,"Morning peak (6-9)",B8332&lt;=15,"Midday (10-15)",B8332&lt;=19,"Evening peak (16-19)",TRUE,"Late evening (20-23)")</f>
        <v>Midday (10-15)</v>
      </c>
    </row>
    <row r="8333" spans="1:9">
      <c r="A8333" s="32">
        <v>42169</v>
      </c>
      <c r="B8333">
        <v>14</v>
      </c>
      <c r="C8333">
        <v>4134</v>
      </c>
      <c r="D8333" t="s">
        <v>304</v>
      </c>
      <c r="E8333">
        <f>YEAR(A8333)</f>
        <v>2015</v>
      </c>
      <c r="F8333" s="33">
        <f>DATE(YEAR(A8333),MONTH(A8333),1)</f>
        <v>42156.0</v>
      </c>
      <c r="G8333" t="str">
        <f>CHOOSE(WEEKDAY(A8333,2),"Mon","Tue","Wed","Thu","Fri","Sat","Sun")</f>
        <v>Sun</v>
      </c>
      <c r="H8333" t="str">
        <f>IF(WEEKDAY(A8333,2)&gt;5,"Weekend","Weekday")</f>
        <v>Weekend</v>
      </c>
      <c r="I8333" t="str">
        <f>_xlfn.IFS(B8333&lt;=5,"Night (0-5)",B8333&lt;=9,"Morning peak (6-9)",B8333&lt;=15,"Midday (10-15)",B8333&lt;=19,"Evening peak (16-19)",TRUE,"Late evening (20-23)")</f>
        <v>Midday (10-15)</v>
      </c>
    </row>
    <row r="8334" spans="1:9">
      <c r="A8334" s="32">
        <v>42169</v>
      </c>
      <c r="B8334">
        <v>15</v>
      </c>
      <c r="C8334">
        <v>4468</v>
      </c>
      <c r="D8334" t="s">
        <v>304</v>
      </c>
      <c r="E8334">
        <f>YEAR(A8334)</f>
        <v>2015</v>
      </c>
      <c r="F8334" s="33">
        <f>DATE(YEAR(A8334),MONTH(A8334),1)</f>
        <v>42156.0</v>
      </c>
      <c r="G8334" t="str">
        <f>CHOOSE(WEEKDAY(A8334,2),"Mon","Tue","Wed","Thu","Fri","Sat","Sun")</f>
        <v>Sun</v>
      </c>
      <c r="H8334" t="str">
        <f>IF(WEEKDAY(A8334,2)&gt;5,"Weekend","Weekday")</f>
        <v>Weekend</v>
      </c>
      <c r="I8334" t="str">
        <f>_xlfn.IFS(B8334&lt;=5,"Night (0-5)",B8334&lt;=9,"Morning peak (6-9)",B8334&lt;=15,"Midday (10-15)",B8334&lt;=19,"Evening peak (16-19)",TRUE,"Late evening (20-23)")</f>
        <v>Midday (10-15)</v>
      </c>
    </row>
    <row r="8335" spans="1:9">
      <c r="A8335" s="32">
        <v>42169</v>
      </c>
      <c r="B8335">
        <v>16</v>
      </c>
      <c r="C8335">
        <v>4446</v>
      </c>
      <c r="D8335" t="s">
        <v>304</v>
      </c>
      <c r="E8335">
        <f>YEAR(A8335)</f>
        <v>2015</v>
      </c>
      <c r="F8335" s="33">
        <f>DATE(YEAR(A8335),MONTH(A8335),1)</f>
        <v>42156.0</v>
      </c>
      <c r="G8335" t="str">
        <f>CHOOSE(WEEKDAY(A8335,2),"Mon","Tue","Wed","Thu","Fri","Sat","Sun")</f>
        <v>Sun</v>
      </c>
      <c r="H8335" t="str">
        <f>IF(WEEKDAY(A8335,2)&gt;5,"Weekend","Weekday")</f>
        <v>Weekend</v>
      </c>
      <c r="I8335" t="str">
        <f>_xlfn.IFS(B8335&lt;=5,"Night (0-5)",B8335&lt;=9,"Morning peak (6-9)",B8335&lt;=15,"Midday (10-15)",B8335&lt;=19,"Evening peak (16-19)",TRUE,"Late evening (20-23)")</f>
        <v>Evening peak (16-19)</v>
      </c>
    </row>
    <row r="8336" spans="1:9">
      <c r="A8336" s="32">
        <v>42169</v>
      </c>
      <c r="B8336">
        <v>17</v>
      </c>
      <c r="C8336">
        <v>4591</v>
      </c>
      <c r="D8336" t="s">
        <v>304</v>
      </c>
      <c r="E8336">
        <f>YEAR(A8336)</f>
        <v>2015</v>
      </c>
      <c r="F8336" s="33">
        <f>DATE(YEAR(A8336),MONTH(A8336),1)</f>
        <v>42156.0</v>
      </c>
      <c r="G8336" t="str">
        <f>CHOOSE(WEEKDAY(A8336,2),"Mon","Tue","Wed","Thu","Fri","Sat","Sun")</f>
        <v>Sun</v>
      </c>
      <c r="H8336" t="str">
        <f>IF(WEEKDAY(A8336,2)&gt;5,"Weekend","Weekday")</f>
        <v>Weekend</v>
      </c>
      <c r="I8336" t="str">
        <f>_xlfn.IFS(B8336&lt;=5,"Night (0-5)",B8336&lt;=9,"Morning peak (6-9)",B8336&lt;=15,"Midday (10-15)",B8336&lt;=19,"Evening peak (16-19)",TRUE,"Late evening (20-23)")</f>
        <v>Evening peak (16-19)</v>
      </c>
    </row>
    <row r="8337" spans="1:9">
      <c r="A8337" s="32">
        <v>42169</v>
      </c>
      <c r="B8337">
        <v>18</v>
      </c>
      <c r="C8337">
        <v>4634</v>
      </c>
      <c r="D8337" t="s">
        <v>304</v>
      </c>
      <c r="E8337">
        <f>YEAR(A8337)</f>
        <v>2015</v>
      </c>
      <c r="F8337" s="33">
        <f>DATE(YEAR(A8337),MONTH(A8337),1)</f>
        <v>42156.0</v>
      </c>
      <c r="G8337" t="str">
        <f>CHOOSE(WEEKDAY(A8337,2),"Mon","Tue","Wed","Thu","Fri","Sat","Sun")</f>
        <v>Sun</v>
      </c>
      <c r="H8337" t="str">
        <f>IF(WEEKDAY(A8337,2)&gt;5,"Weekend","Weekday")</f>
        <v>Weekend</v>
      </c>
      <c r="I8337" t="str">
        <f>_xlfn.IFS(B8337&lt;=5,"Night (0-5)",B8337&lt;=9,"Morning peak (6-9)",B8337&lt;=15,"Midday (10-15)",B8337&lt;=19,"Evening peak (16-19)",TRUE,"Late evening (20-23)")</f>
        <v>Evening peak (16-19)</v>
      </c>
    </row>
    <row r="8338" spans="1:9">
      <c r="A8338" s="32">
        <v>42169</v>
      </c>
      <c r="B8338">
        <v>19</v>
      </c>
      <c r="C8338">
        <v>4567</v>
      </c>
      <c r="D8338" t="s">
        <v>304</v>
      </c>
      <c r="E8338">
        <f>YEAR(A8338)</f>
        <v>2015</v>
      </c>
      <c r="F8338" s="33">
        <f>DATE(YEAR(A8338),MONTH(A8338),1)</f>
        <v>42156.0</v>
      </c>
      <c r="G8338" t="str">
        <f>CHOOSE(WEEKDAY(A8338,2),"Mon","Tue","Wed","Thu","Fri","Sat","Sun")</f>
        <v>Sun</v>
      </c>
      <c r="H8338" t="str">
        <f>IF(WEEKDAY(A8338,2)&gt;5,"Weekend","Weekday")</f>
        <v>Weekend</v>
      </c>
      <c r="I8338" t="str">
        <f>_xlfn.IFS(B8338&lt;=5,"Night (0-5)",B8338&lt;=9,"Morning peak (6-9)",B8338&lt;=15,"Midday (10-15)",B8338&lt;=19,"Evening peak (16-19)",TRUE,"Late evening (20-23)")</f>
        <v>Evening peak (16-19)</v>
      </c>
    </row>
    <row r="8339" spans="1:9">
      <c r="A8339" s="32">
        <v>42169</v>
      </c>
      <c r="B8339">
        <v>20</v>
      </c>
      <c r="C8339">
        <v>4135</v>
      </c>
      <c r="D8339" t="s">
        <v>304</v>
      </c>
      <c r="E8339">
        <f>YEAR(A8339)</f>
        <v>2015</v>
      </c>
      <c r="F8339" s="33">
        <f>DATE(YEAR(A8339),MONTH(A8339),1)</f>
        <v>42156.0</v>
      </c>
      <c r="G8339" t="str">
        <f>CHOOSE(WEEKDAY(A8339,2),"Mon","Tue","Wed","Thu","Fri","Sat","Sun")</f>
        <v>Sun</v>
      </c>
      <c r="H8339" t="str">
        <f>IF(WEEKDAY(A8339,2)&gt;5,"Weekend","Weekday")</f>
        <v>Weekend</v>
      </c>
      <c r="I8339" t="str">
        <f>_xlfn.IFS(B8339&lt;=5,"Night (0-5)",B8339&lt;=9,"Morning peak (6-9)",B8339&lt;=15,"Midday (10-15)",B8339&lt;=19,"Evening peak (16-19)",TRUE,"Late evening (20-23)")</f>
        <v>Late evening (20-23)</v>
      </c>
    </row>
    <row r="8340" spans="1:9">
      <c r="A8340" s="32">
        <v>42169</v>
      </c>
      <c r="B8340">
        <v>21</v>
      </c>
      <c r="C8340">
        <v>5081</v>
      </c>
      <c r="D8340" t="s">
        <v>304</v>
      </c>
      <c r="E8340">
        <f>YEAR(A8340)</f>
        <v>2015</v>
      </c>
      <c r="F8340" s="33">
        <f>DATE(YEAR(A8340),MONTH(A8340),1)</f>
        <v>42156.0</v>
      </c>
      <c r="G8340" t="str">
        <f>CHOOSE(WEEKDAY(A8340,2),"Mon","Tue","Wed","Thu","Fri","Sat","Sun")</f>
        <v>Sun</v>
      </c>
      <c r="H8340" t="str">
        <f>IF(WEEKDAY(A8340,2)&gt;5,"Weekend","Weekday")</f>
        <v>Weekend</v>
      </c>
      <c r="I8340" t="str">
        <f>_xlfn.IFS(B8340&lt;=5,"Night (0-5)",B8340&lt;=9,"Morning peak (6-9)",B8340&lt;=15,"Midday (10-15)",B8340&lt;=19,"Evening peak (16-19)",TRUE,"Late evening (20-23)")</f>
        <v>Late evening (20-23)</v>
      </c>
    </row>
    <row r="8341" spans="1:9">
      <c r="A8341" s="32">
        <v>42169</v>
      </c>
      <c r="B8341">
        <v>22</v>
      </c>
      <c r="C8341">
        <v>6410</v>
      </c>
      <c r="D8341" t="s">
        <v>304</v>
      </c>
      <c r="E8341">
        <f>YEAR(A8341)</f>
        <v>2015</v>
      </c>
      <c r="F8341" s="33">
        <f>DATE(YEAR(A8341),MONTH(A8341),1)</f>
        <v>42156.0</v>
      </c>
      <c r="G8341" t="str">
        <f>CHOOSE(WEEKDAY(A8341,2),"Mon","Tue","Wed","Thu","Fri","Sat","Sun")</f>
        <v>Sun</v>
      </c>
      <c r="H8341" t="str">
        <f>IF(WEEKDAY(A8341,2)&gt;5,"Weekend","Weekday")</f>
        <v>Weekend</v>
      </c>
      <c r="I8341" t="str">
        <f>_xlfn.IFS(B8341&lt;=5,"Night (0-5)",B8341&lt;=9,"Morning peak (6-9)",B8341&lt;=15,"Midday (10-15)",B8341&lt;=19,"Evening peak (16-19)",TRUE,"Late evening (20-23)")</f>
        <v>Late evening (20-23)</v>
      </c>
    </row>
    <row r="8342" spans="1:9">
      <c r="A8342" s="32">
        <v>42169</v>
      </c>
      <c r="B8342">
        <v>23</v>
      </c>
      <c r="C8342">
        <v>6188</v>
      </c>
      <c r="D8342" t="s">
        <v>304</v>
      </c>
      <c r="E8342">
        <f>YEAR(A8342)</f>
        <v>2015</v>
      </c>
      <c r="F8342" s="33">
        <f>DATE(YEAR(A8342),MONTH(A8342),1)</f>
        <v>42156.0</v>
      </c>
      <c r="G8342" t="str">
        <f>CHOOSE(WEEKDAY(A8342,2),"Mon","Tue","Wed","Thu","Fri","Sat","Sun")</f>
        <v>Sun</v>
      </c>
      <c r="H8342" t="str">
        <f>IF(WEEKDAY(A8342,2)&gt;5,"Weekend","Weekday")</f>
        <v>Weekend</v>
      </c>
      <c r="I8342" t="str">
        <f>_xlfn.IFS(B8342&lt;=5,"Night (0-5)",B8342&lt;=9,"Morning peak (6-9)",B8342&lt;=15,"Midday (10-15)",B8342&lt;=19,"Evening peak (16-19)",TRUE,"Late evening (20-23)")</f>
        <v>Late evening (20-23)</v>
      </c>
    </row>
    <row r="8343" spans="1:9">
      <c r="A8343" s="32">
        <v>42170</v>
      </c>
      <c r="B8343">
        <v>0</v>
      </c>
      <c r="C8343">
        <v>3144</v>
      </c>
      <c r="D8343" t="s">
        <v>304</v>
      </c>
      <c r="E8343">
        <f>YEAR(A8343)</f>
        <v>2015</v>
      </c>
      <c r="F8343" s="33">
        <f>DATE(YEAR(A8343),MONTH(A8343),1)</f>
        <v>42156.0</v>
      </c>
      <c r="G8343" t="str">
        <f>CHOOSE(WEEKDAY(A8343,2),"Mon","Tue","Wed","Thu","Fri","Sat","Sun")</f>
        <v>Mon</v>
      </c>
      <c r="H8343" t="str">
        <f>IF(WEEKDAY(A8343,2)&gt;5,"Weekend","Weekday")</f>
        <v>Weekday</v>
      </c>
      <c r="I8343" t="str">
        <f>_xlfn.IFS(B8343&lt;=5,"Night (0-5)",B8343&lt;=9,"Morning peak (6-9)",B8343&lt;=15,"Midday (10-15)",B8343&lt;=19,"Evening peak (16-19)",TRUE,"Late evening (20-23)")</f>
        <v>Night (0-5)</v>
      </c>
    </row>
    <row r="8344" spans="1:9">
      <c r="A8344" s="32">
        <v>42170</v>
      </c>
      <c r="B8344">
        <v>1</v>
      </c>
      <c r="C8344">
        <v>1547</v>
      </c>
      <c r="D8344" t="s">
        <v>304</v>
      </c>
      <c r="E8344">
        <f>YEAR(A8344)</f>
        <v>2015</v>
      </c>
      <c r="F8344" s="33">
        <f>DATE(YEAR(A8344),MONTH(A8344),1)</f>
        <v>42156.0</v>
      </c>
      <c r="G8344" t="str">
        <f>CHOOSE(WEEKDAY(A8344,2),"Mon","Tue","Wed","Thu","Fri","Sat","Sun")</f>
        <v>Mon</v>
      </c>
      <c r="H8344" t="str">
        <f>IF(WEEKDAY(A8344,2)&gt;5,"Weekend","Weekday")</f>
        <v>Weekday</v>
      </c>
      <c r="I8344" t="str">
        <f>_xlfn.IFS(B8344&lt;=5,"Night (0-5)",B8344&lt;=9,"Morning peak (6-9)",B8344&lt;=15,"Midday (10-15)",B8344&lt;=19,"Evening peak (16-19)",TRUE,"Late evening (20-23)")</f>
        <v>Night (0-5)</v>
      </c>
    </row>
    <row r="8345" spans="1:9">
      <c r="A8345" s="32">
        <v>42170</v>
      </c>
      <c r="B8345">
        <v>2</v>
      </c>
      <c r="C8345">
        <v>826</v>
      </c>
      <c r="D8345" t="s">
        <v>304</v>
      </c>
      <c r="E8345">
        <f>YEAR(A8345)</f>
        <v>2015</v>
      </c>
      <c r="F8345" s="33">
        <f>DATE(YEAR(A8345),MONTH(A8345),1)</f>
        <v>42156.0</v>
      </c>
      <c r="G8345" t="str">
        <f>CHOOSE(WEEKDAY(A8345,2),"Mon","Tue","Wed","Thu","Fri","Sat","Sun")</f>
        <v>Mon</v>
      </c>
      <c r="H8345" t="str">
        <f>IF(WEEKDAY(A8345,2)&gt;5,"Weekend","Weekday")</f>
        <v>Weekday</v>
      </c>
      <c r="I8345" t="str">
        <f>_xlfn.IFS(B8345&lt;=5,"Night (0-5)",B8345&lt;=9,"Morning peak (6-9)",B8345&lt;=15,"Midday (10-15)",B8345&lt;=19,"Evening peak (16-19)",TRUE,"Late evening (20-23)")</f>
        <v>Night (0-5)</v>
      </c>
    </row>
    <row r="8346" spans="1:9">
      <c r="A8346" s="32">
        <v>42170</v>
      </c>
      <c r="B8346">
        <v>3</v>
      </c>
      <c r="C8346">
        <v>593</v>
      </c>
      <c r="D8346" t="s">
        <v>304</v>
      </c>
      <c r="E8346">
        <f>YEAR(A8346)</f>
        <v>2015</v>
      </c>
      <c r="F8346" s="33">
        <f>DATE(YEAR(A8346),MONTH(A8346),1)</f>
        <v>42156.0</v>
      </c>
      <c r="G8346" t="str">
        <f>CHOOSE(WEEKDAY(A8346,2),"Mon","Tue","Wed","Thu","Fri","Sat","Sun")</f>
        <v>Mon</v>
      </c>
      <c r="H8346" t="str">
        <f>IF(WEEKDAY(A8346,2)&gt;5,"Weekend","Weekday")</f>
        <v>Weekday</v>
      </c>
      <c r="I8346" t="str">
        <f>_xlfn.IFS(B8346&lt;=5,"Night (0-5)",B8346&lt;=9,"Morning peak (6-9)",B8346&lt;=15,"Midday (10-15)",B8346&lt;=19,"Evening peak (16-19)",TRUE,"Late evening (20-23)")</f>
        <v>Night (0-5)</v>
      </c>
    </row>
    <row r="8347" spans="1:9">
      <c r="A8347" s="32">
        <v>42170</v>
      </c>
      <c r="B8347">
        <v>4</v>
      </c>
      <c r="C8347">
        <v>1059</v>
      </c>
      <c r="D8347" t="s">
        <v>304</v>
      </c>
      <c r="E8347">
        <f>YEAR(A8347)</f>
        <v>2015</v>
      </c>
      <c r="F8347" s="33">
        <f>DATE(YEAR(A8347),MONTH(A8347),1)</f>
        <v>42156.0</v>
      </c>
      <c r="G8347" t="str">
        <f>CHOOSE(WEEKDAY(A8347,2),"Mon","Tue","Wed","Thu","Fri","Sat","Sun")</f>
        <v>Mon</v>
      </c>
      <c r="H8347" t="str">
        <f>IF(WEEKDAY(A8347,2)&gt;5,"Weekend","Weekday")</f>
        <v>Weekday</v>
      </c>
      <c r="I8347" t="str">
        <f>_xlfn.IFS(B8347&lt;=5,"Night (0-5)",B8347&lt;=9,"Morning peak (6-9)",B8347&lt;=15,"Midday (10-15)",B8347&lt;=19,"Evening peak (16-19)",TRUE,"Late evening (20-23)")</f>
        <v>Night (0-5)</v>
      </c>
    </row>
    <row r="8348" spans="1:9">
      <c r="A8348" s="32">
        <v>42170</v>
      </c>
      <c r="B8348">
        <v>5</v>
      </c>
      <c r="C8348">
        <v>1651</v>
      </c>
      <c r="D8348" t="s">
        <v>304</v>
      </c>
      <c r="E8348">
        <f>YEAR(A8348)</f>
        <v>2015</v>
      </c>
      <c r="F8348" s="33">
        <f>DATE(YEAR(A8348),MONTH(A8348),1)</f>
        <v>42156.0</v>
      </c>
      <c r="G8348" t="str">
        <f>CHOOSE(WEEKDAY(A8348,2),"Mon","Tue","Wed","Thu","Fri","Sat","Sun")</f>
        <v>Mon</v>
      </c>
      <c r="H8348" t="str">
        <f>IF(WEEKDAY(A8348,2)&gt;5,"Weekend","Weekday")</f>
        <v>Weekday</v>
      </c>
      <c r="I8348" t="str">
        <f>_xlfn.IFS(B8348&lt;=5,"Night (0-5)",B8348&lt;=9,"Morning peak (6-9)",B8348&lt;=15,"Midday (10-15)",B8348&lt;=19,"Evening peak (16-19)",TRUE,"Late evening (20-23)")</f>
        <v>Night (0-5)</v>
      </c>
    </row>
    <row r="8349" spans="1:9">
      <c r="A8349" s="32">
        <v>42170</v>
      </c>
      <c r="B8349">
        <v>6</v>
      </c>
      <c r="C8349">
        <v>2572</v>
      </c>
      <c r="D8349" t="s">
        <v>304</v>
      </c>
      <c r="E8349">
        <f>YEAR(A8349)</f>
        <v>2015</v>
      </c>
      <c r="F8349" s="33">
        <f>DATE(YEAR(A8349),MONTH(A8349),1)</f>
        <v>42156.0</v>
      </c>
      <c r="G8349" t="str">
        <f>CHOOSE(WEEKDAY(A8349,2),"Mon","Tue","Wed","Thu","Fri","Sat","Sun")</f>
        <v>Mon</v>
      </c>
      <c r="H8349" t="str">
        <f>IF(WEEKDAY(A8349,2)&gt;5,"Weekend","Weekday")</f>
        <v>Weekday</v>
      </c>
      <c r="I8349" t="str">
        <f>_xlfn.IFS(B8349&lt;=5,"Night (0-5)",B8349&lt;=9,"Morning peak (6-9)",B8349&lt;=15,"Midday (10-15)",B8349&lt;=19,"Evening peak (16-19)",TRUE,"Late evening (20-23)")</f>
        <v>Morning peak (6-9)</v>
      </c>
    </row>
    <row r="8350" spans="1:9">
      <c r="A8350" s="32">
        <v>42170</v>
      </c>
      <c r="B8350">
        <v>7</v>
      </c>
      <c r="C8350">
        <v>3797</v>
      </c>
      <c r="D8350" t="s">
        <v>304</v>
      </c>
      <c r="E8350">
        <f>YEAR(A8350)</f>
        <v>2015</v>
      </c>
      <c r="F8350" s="33">
        <f>DATE(YEAR(A8350),MONTH(A8350),1)</f>
        <v>42156.0</v>
      </c>
      <c r="G8350" t="str">
        <f>CHOOSE(WEEKDAY(A8350,2),"Mon","Tue","Wed","Thu","Fri","Sat","Sun")</f>
        <v>Mon</v>
      </c>
      <c r="H8350" t="str">
        <f>IF(WEEKDAY(A8350,2)&gt;5,"Weekend","Weekday")</f>
        <v>Weekday</v>
      </c>
      <c r="I8350" t="str">
        <f>_xlfn.IFS(B8350&lt;=5,"Night (0-5)",B8350&lt;=9,"Morning peak (6-9)",B8350&lt;=15,"Midday (10-15)",B8350&lt;=19,"Evening peak (16-19)",TRUE,"Late evening (20-23)")</f>
        <v>Morning peak (6-9)</v>
      </c>
    </row>
    <row r="8351" spans="1:9">
      <c r="A8351" s="32">
        <v>42170</v>
      </c>
      <c r="B8351">
        <v>8</v>
      </c>
      <c r="C8351">
        <v>5029</v>
      </c>
      <c r="D8351" t="s">
        <v>304</v>
      </c>
      <c r="E8351">
        <f>YEAR(A8351)</f>
        <v>2015</v>
      </c>
      <c r="F8351" s="33">
        <f>DATE(YEAR(A8351),MONTH(A8351),1)</f>
        <v>42156.0</v>
      </c>
      <c r="G8351" t="str">
        <f>CHOOSE(WEEKDAY(A8351,2),"Mon","Tue","Wed","Thu","Fri","Sat","Sun")</f>
        <v>Mon</v>
      </c>
      <c r="H8351" t="str">
        <f>IF(WEEKDAY(A8351,2)&gt;5,"Weekend","Weekday")</f>
        <v>Weekday</v>
      </c>
      <c r="I8351" t="str">
        <f>_xlfn.IFS(B8351&lt;=5,"Night (0-5)",B8351&lt;=9,"Morning peak (6-9)",B8351&lt;=15,"Midday (10-15)",B8351&lt;=19,"Evening peak (16-19)",TRUE,"Late evening (20-23)")</f>
        <v>Morning peak (6-9)</v>
      </c>
    </row>
    <row r="8352" spans="1:9">
      <c r="A8352" s="32">
        <v>42170</v>
      </c>
      <c r="B8352">
        <v>9</v>
      </c>
      <c r="C8352">
        <v>4662</v>
      </c>
      <c r="D8352" t="s">
        <v>304</v>
      </c>
      <c r="E8352">
        <f>YEAR(A8352)</f>
        <v>2015</v>
      </c>
      <c r="F8352" s="33">
        <f>DATE(YEAR(A8352),MONTH(A8352),1)</f>
        <v>42156.0</v>
      </c>
      <c r="G8352" t="str">
        <f>CHOOSE(WEEKDAY(A8352,2),"Mon","Tue","Wed","Thu","Fri","Sat","Sun")</f>
        <v>Mon</v>
      </c>
      <c r="H8352" t="str">
        <f>IF(WEEKDAY(A8352,2)&gt;5,"Weekend","Weekday")</f>
        <v>Weekday</v>
      </c>
      <c r="I8352" t="str">
        <f>_xlfn.IFS(B8352&lt;=5,"Night (0-5)",B8352&lt;=9,"Morning peak (6-9)",B8352&lt;=15,"Midday (10-15)",B8352&lt;=19,"Evening peak (16-19)",TRUE,"Late evening (20-23)")</f>
        <v>Morning peak (6-9)</v>
      </c>
    </row>
    <row r="8353" spans="1:9">
      <c r="A8353" s="32">
        <v>42170</v>
      </c>
      <c r="B8353">
        <v>10</v>
      </c>
      <c r="C8353">
        <v>3484</v>
      </c>
      <c r="D8353" t="s">
        <v>304</v>
      </c>
      <c r="E8353">
        <f>YEAR(A8353)</f>
        <v>2015</v>
      </c>
      <c r="F8353" s="33">
        <f>DATE(YEAR(A8353),MONTH(A8353),1)</f>
        <v>42156.0</v>
      </c>
      <c r="G8353" t="str">
        <f>CHOOSE(WEEKDAY(A8353,2),"Mon","Tue","Wed","Thu","Fri","Sat","Sun")</f>
        <v>Mon</v>
      </c>
      <c r="H8353" t="str">
        <f>IF(WEEKDAY(A8353,2)&gt;5,"Weekend","Weekday")</f>
        <v>Weekday</v>
      </c>
      <c r="I8353" t="str">
        <f>_xlfn.IFS(B8353&lt;=5,"Night (0-5)",B8353&lt;=9,"Morning peak (6-9)",B8353&lt;=15,"Midday (10-15)",B8353&lt;=19,"Evening peak (16-19)",TRUE,"Late evening (20-23)")</f>
        <v>Midday (10-15)</v>
      </c>
    </row>
    <row r="8354" spans="1:9">
      <c r="A8354" s="32">
        <v>42170</v>
      </c>
      <c r="B8354">
        <v>11</v>
      </c>
      <c r="C8354">
        <v>3232</v>
      </c>
      <c r="D8354" t="s">
        <v>304</v>
      </c>
      <c r="E8354">
        <f>YEAR(A8354)</f>
        <v>2015</v>
      </c>
      <c r="F8354" s="33">
        <f>DATE(YEAR(A8354),MONTH(A8354),1)</f>
        <v>42156.0</v>
      </c>
      <c r="G8354" t="str">
        <f>CHOOSE(WEEKDAY(A8354,2),"Mon","Tue","Wed","Thu","Fri","Sat","Sun")</f>
        <v>Mon</v>
      </c>
      <c r="H8354" t="str">
        <f>IF(WEEKDAY(A8354,2)&gt;5,"Weekend","Weekday")</f>
        <v>Weekday</v>
      </c>
      <c r="I8354" t="str">
        <f>_xlfn.IFS(B8354&lt;=5,"Night (0-5)",B8354&lt;=9,"Morning peak (6-9)",B8354&lt;=15,"Midday (10-15)",B8354&lt;=19,"Evening peak (16-19)",TRUE,"Late evening (20-23)")</f>
        <v>Midday (10-15)</v>
      </c>
    </row>
    <row r="8355" spans="1:9">
      <c r="A8355" s="32">
        <v>42170</v>
      </c>
      <c r="B8355">
        <v>12</v>
      </c>
      <c r="C8355">
        <v>3155</v>
      </c>
      <c r="D8355" t="s">
        <v>304</v>
      </c>
      <c r="E8355">
        <f>YEAR(A8355)</f>
        <v>2015</v>
      </c>
      <c r="F8355" s="33">
        <f>DATE(YEAR(A8355),MONTH(A8355),1)</f>
        <v>42156.0</v>
      </c>
      <c r="G8355" t="str">
        <f>CHOOSE(WEEKDAY(A8355,2),"Mon","Tue","Wed","Thu","Fri","Sat","Sun")</f>
        <v>Mon</v>
      </c>
      <c r="H8355" t="str">
        <f>IF(WEEKDAY(A8355,2)&gt;5,"Weekend","Weekday")</f>
        <v>Weekday</v>
      </c>
      <c r="I8355" t="str">
        <f>_xlfn.IFS(B8355&lt;=5,"Night (0-5)",B8355&lt;=9,"Morning peak (6-9)",B8355&lt;=15,"Midday (10-15)",B8355&lt;=19,"Evening peak (16-19)",TRUE,"Late evening (20-23)")</f>
        <v>Midday (10-15)</v>
      </c>
    </row>
    <row r="8356" spans="1:9">
      <c r="A8356" s="32">
        <v>42170</v>
      </c>
      <c r="B8356">
        <v>13</v>
      </c>
      <c r="C8356">
        <v>3083</v>
      </c>
      <c r="D8356" t="s">
        <v>304</v>
      </c>
      <c r="E8356">
        <f>YEAR(A8356)</f>
        <v>2015</v>
      </c>
      <c r="F8356" s="33">
        <f>DATE(YEAR(A8356),MONTH(A8356),1)</f>
        <v>42156.0</v>
      </c>
      <c r="G8356" t="str">
        <f>CHOOSE(WEEKDAY(A8356,2),"Mon","Tue","Wed","Thu","Fri","Sat","Sun")</f>
        <v>Mon</v>
      </c>
      <c r="H8356" t="str">
        <f>IF(WEEKDAY(A8356,2)&gt;5,"Weekend","Weekday")</f>
        <v>Weekday</v>
      </c>
      <c r="I8356" t="str">
        <f>_xlfn.IFS(B8356&lt;=5,"Night (0-5)",B8356&lt;=9,"Morning peak (6-9)",B8356&lt;=15,"Midday (10-15)",B8356&lt;=19,"Evening peak (16-19)",TRUE,"Late evening (20-23)")</f>
        <v>Midday (10-15)</v>
      </c>
    </row>
    <row r="8357" spans="1:9">
      <c r="A8357" s="32">
        <v>42170</v>
      </c>
      <c r="B8357">
        <v>14</v>
      </c>
      <c r="C8357">
        <v>4109</v>
      </c>
      <c r="D8357" t="s">
        <v>304</v>
      </c>
      <c r="E8357">
        <f>YEAR(A8357)</f>
        <v>2015</v>
      </c>
      <c r="F8357" s="33">
        <f>DATE(YEAR(A8357),MONTH(A8357),1)</f>
        <v>42156.0</v>
      </c>
      <c r="G8357" t="str">
        <f>CHOOSE(WEEKDAY(A8357,2),"Mon","Tue","Wed","Thu","Fri","Sat","Sun")</f>
        <v>Mon</v>
      </c>
      <c r="H8357" t="str">
        <f>IF(WEEKDAY(A8357,2)&gt;5,"Weekend","Weekday")</f>
        <v>Weekday</v>
      </c>
      <c r="I8357" t="str">
        <f>_xlfn.IFS(B8357&lt;=5,"Night (0-5)",B8357&lt;=9,"Morning peak (6-9)",B8357&lt;=15,"Midday (10-15)",B8357&lt;=19,"Evening peak (16-19)",TRUE,"Late evening (20-23)")</f>
        <v>Midday (10-15)</v>
      </c>
    </row>
    <row r="8358" spans="1:9">
      <c r="A8358" s="32">
        <v>42170</v>
      </c>
      <c r="B8358">
        <v>15</v>
      </c>
      <c r="C8358">
        <v>4709</v>
      </c>
      <c r="D8358" t="s">
        <v>304</v>
      </c>
      <c r="E8358">
        <f>YEAR(A8358)</f>
        <v>2015</v>
      </c>
      <c r="F8358" s="33">
        <f>DATE(YEAR(A8358),MONTH(A8358),1)</f>
        <v>42156.0</v>
      </c>
      <c r="G8358" t="str">
        <f>CHOOSE(WEEKDAY(A8358,2),"Mon","Tue","Wed","Thu","Fri","Sat","Sun")</f>
        <v>Mon</v>
      </c>
      <c r="H8358" t="str">
        <f>IF(WEEKDAY(A8358,2)&gt;5,"Weekend","Weekday")</f>
        <v>Weekday</v>
      </c>
      <c r="I8358" t="str">
        <f>_xlfn.IFS(B8358&lt;=5,"Night (0-5)",B8358&lt;=9,"Morning peak (6-9)",B8358&lt;=15,"Midday (10-15)",B8358&lt;=19,"Evening peak (16-19)",TRUE,"Late evening (20-23)")</f>
        <v>Midday (10-15)</v>
      </c>
    </row>
    <row r="8359" spans="1:9">
      <c r="A8359" s="32">
        <v>42170</v>
      </c>
      <c r="B8359">
        <v>16</v>
      </c>
      <c r="C8359">
        <v>5123</v>
      </c>
      <c r="D8359" t="s">
        <v>304</v>
      </c>
      <c r="E8359">
        <f>YEAR(A8359)</f>
        <v>2015</v>
      </c>
      <c r="F8359" s="33">
        <f>DATE(YEAR(A8359),MONTH(A8359),1)</f>
        <v>42156.0</v>
      </c>
      <c r="G8359" t="str">
        <f>CHOOSE(WEEKDAY(A8359,2),"Mon","Tue","Wed","Thu","Fri","Sat","Sun")</f>
        <v>Mon</v>
      </c>
      <c r="H8359" t="str">
        <f>IF(WEEKDAY(A8359,2)&gt;5,"Weekend","Weekday")</f>
        <v>Weekday</v>
      </c>
      <c r="I8359" t="str">
        <f>_xlfn.IFS(B8359&lt;=5,"Night (0-5)",B8359&lt;=9,"Morning peak (6-9)",B8359&lt;=15,"Midday (10-15)",B8359&lt;=19,"Evening peak (16-19)",TRUE,"Late evening (20-23)")</f>
        <v>Evening peak (16-19)</v>
      </c>
    </row>
    <row r="8360" spans="1:9">
      <c r="A8360" s="32">
        <v>42170</v>
      </c>
      <c r="B8360">
        <v>17</v>
      </c>
      <c r="C8360">
        <v>5498</v>
      </c>
      <c r="D8360" t="s">
        <v>304</v>
      </c>
      <c r="E8360">
        <f>YEAR(A8360)</f>
        <v>2015</v>
      </c>
      <c r="F8360" s="33">
        <f>DATE(YEAR(A8360),MONTH(A8360),1)</f>
        <v>42156.0</v>
      </c>
      <c r="G8360" t="str">
        <f>CHOOSE(WEEKDAY(A8360,2),"Mon","Tue","Wed","Thu","Fri","Sat","Sun")</f>
        <v>Mon</v>
      </c>
      <c r="H8360" t="str">
        <f>IF(WEEKDAY(A8360,2)&gt;5,"Weekend","Weekday")</f>
        <v>Weekday</v>
      </c>
      <c r="I8360" t="str">
        <f>_xlfn.IFS(B8360&lt;=5,"Night (0-5)",B8360&lt;=9,"Morning peak (6-9)",B8360&lt;=15,"Midday (10-15)",B8360&lt;=19,"Evening peak (16-19)",TRUE,"Late evening (20-23)")</f>
        <v>Evening peak (16-19)</v>
      </c>
    </row>
    <row r="8361" spans="1:9">
      <c r="A8361" s="32">
        <v>42170</v>
      </c>
      <c r="B8361">
        <v>18</v>
      </c>
      <c r="C8361">
        <v>5781</v>
      </c>
      <c r="D8361" t="s">
        <v>304</v>
      </c>
      <c r="E8361">
        <f>YEAR(A8361)</f>
        <v>2015</v>
      </c>
      <c r="F8361" s="33">
        <f>DATE(YEAR(A8361),MONTH(A8361),1)</f>
        <v>42156.0</v>
      </c>
      <c r="G8361" t="str">
        <f>CHOOSE(WEEKDAY(A8361,2),"Mon","Tue","Wed","Thu","Fri","Sat","Sun")</f>
        <v>Mon</v>
      </c>
      <c r="H8361" t="str">
        <f>IF(WEEKDAY(A8361,2)&gt;5,"Weekend","Weekday")</f>
        <v>Weekday</v>
      </c>
      <c r="I8361" t="str">
        <f>_xlfn.IFS(B8361&lt;=5,"Night (0-5)",B8361&lt;=9,"Morning peak (6-9)",B8361&lt;=15,"Midday (10-15)",B8361&lt;=19,"Evening peak (16-19)",TRUE,"Late evening (20-23)")</f>
        <v>Evening peak (16-19)</v>
      </c>
    </row>
    <row r="8362" spans="1:9">
      <c r="A8362" s="32">
        <v>42170</v>
      </c>
      <c r="B8362">
        <v>19</v>
      </c>
      <c r="C8362">
        <v>5274</v>
      </c>
      <c r="D8362" t="s">
        <v>304</v>
      </c>
      <c r="E8362">
        <f>YEAR(A8362)</f>
        <v>2015</v>
      </c>
      <c r="F8362" s="33">
        <f>DATE(YEAR(A8362),MONTH(A8362),1)</f>
        <v>42156.0</v>
      </c>
      <c r="G8362" t="str">
        <f>CHOOSE(WEEKDAY(A8362,2),"Mon","Tue","Wed","Thu","Fri","Sat","Sun")</f>
        <v>Mon</v>
      </c>
      <c r="H8362" t="str">
        <f>IF(WEEKDAY(A8362,2)&gt;5,"Weekend","Weekday")</f>
        <v>Weekday</v>
      </c>
      <c r="I8362" t="str">
        <f>_xlfn.IFS(B8362&lt;=5,"Night (0-5)",B8362&lt;=9,"Morning peak (6-9)",B8362&lt;=15,"Midday (10-15)",B8362&lt;=19,"Evening peak (16-19)",TRUE,"Late evening (20-23)")</f>
        <v>Evening peak (16-19)</v>
      </c>
    </row>
    <row r="8363" spans="1:9">
      <c r="A8363" s="32">
        <v>42170</v>
      </c>
      <c r="B8363">
        <v>20</v>
      </c>
      <c r="C8363">
        <v>4795</v>
      </c>
      <c r="D8363" t="s">
        <v>304</v>
      </c>
      <c r="E8363">
        <f>YEAR(A8363)</f>
        <v>2015</v>
      </c>
      <c r="F8363" s="33">
        <f>DATE(YEAR(A8363),MONTH(A8363),1)</f>
        <v>42156.0</v>
      </c>
      <c r="G8363" t="str">
        <f>CHOOSE(WEEKDAY(A8363,2),"Mon","Tue","Wed","Thu","Fri","Sat","Sun")</f>
        <v>Mon</v>
      </c>
      <c r="H8363" t="str">
        <f>IF(WEEKDAY(A8363,2)&gt;5,"Weekend","Weekday")</f>
        <v>Weekday</v>
      </c>
      <c r="I8363" t="str">
        <f>_xlfn.IFS(B8363&lt;=5,"Night (0-5)",B8363&lt;=9,"Morning peak (6-9)",B8363&lt;=15,"Midday (10-15)",B8363&lt;=19,"Evening peak (16-19)",TRUE,"Late evening (20-23)")</f>
        <v>Late evening (20-23)</v>
      </c>
    </row>
    <row r="8364" spans="1:9">
      <c r="A8364" s="32">
        <v>42170</v>
      </c>
      <c r="B8364">
        <v>21</v>
      </c>
      <c r="C8364">
        <v>4887</v>
      </c>
      <c r="D8364" t="s">
        <v>304</v>
      </c>
      <c r="E8364">
        <f>YEAR(A8364)</f>
        <v>2015</v>
      </c>
      <c r="F8364" s="33">
        <f>DATE(YEAR(A8364),MONTH(A8364),1)</f>
        <v>42156.0</v>
      </c>
      <c r="G8364" t="str">
        <f>CHOOSE(WEEKDAY(A8364,2),"Mon","Tue","Wed","Thu","Fri","Sat","Sun")</f>
        <v>Mon</v>
      </c>
      <c r="H8364" t="str">
        <f>IF(WEEKDAY(A8364,2)&gt;5,"Weekend","Weekday")</f>
        <v>Weekday</v>
      </c>
      <c r="I8364" t="str">
        <f>_xlfn.IFS(B8364&lt;=5,"Night (0-5)",B8364&lt;=9,"Morning peak (6-9)",B8364&lt;=15,"Midday (10-15)",B8364&lt;=19,"Evening peak (16-19)",TRUE,"Late evening (20-23)")</f>
        <v>Late evening (20-23)</v>
      </c>
    </row>
    <row r="8365" spans="1:9">
      <c r="A8365" s="32">
        <v>42170</v>
      </c>
      <c r="B8365">
        <v>22</v>
      </c>
      <c r="C8365">
        <v>4344</v>
      </c>
      <c r="D8365" t="s">
        <v>304</v>
      </c>
      <c r="E8365">
        <f>YEAR(A8365)</f>
        <v>2015</v>
      </c>
      <c r="F8365" s="33">
        <f>DATE(YEAR(A8365),MONTH(A8365),1)</f>
        <v>42156.0</v>
      </c>
      <c r="G8365" t="str">
        <f>CHOOSE(WEEKDAY(A8365,2),"Mon","Tue","Wed","Thu","Fri","Sat","Sun")</f>
        <v>Mon</v>
      </c>
      <c r="H8365" t="str">
        <f>IF(WEEKDAY(A8365,2)&gt;5,"Weekend","Weekday")</f>
        <v>Weekday</v>
      </c>
      <c r="I8365" t="str">
        <f>_xlfn.IFS(B8365&lt;=5,"Night (0-5)",B8365&lt;=9,"Morning peak (6-9)",B8365&lt;=15,"Midday (10-15)",B8365&lt;=19,"Evening peak (16-19)",TRUE,"Late evening (20-23)")</f>
        <v>Late evening (20-23)</v>
      </c>
    </row>
    <row r="8366" spans="1:9">
      <c r="A8366" s="32">
        <v>42170</v>
      </c>
      <c r="B8366">
        <v>23</v>
      </c>
      <c r="C8366">
        <v>3503</v>
      </c>
      <c r="D8366" t="s">
        <v>304</v>
      </c>
      <c r="E8366">
        <f>YEAR(A8366)</f>
        <v>2015</v>
      </c>
      <c r="F8366" s="33">
        <f>DATE(YEAR(A8366),MONTH(A8366),1)</f>
        <v>42156.0</v>
      </c>
      <c r="G8366" t="str">
        <f>CHOOSE(WEEKDAY(A8366,2),"Mon","Tue","Wed","Thu","Fri","Sat","Sun")</f>
        <v>Mon</v>
      </c>
      <c r="H8366" t="str">
        <f>IF(WEEKDAY(A8366,2)&gt;5,"Weekend","Weekday")</f>
        <v>Weekday</v>
      </c>
      <c r="I8366" t="str">
        <f>_xlfn.IFS(B8366&lt;=5,"Night (0-5)",B8366&lt;=9,"Morning peak (6-9)",B8366&lt;=15,"Midday (10-15)",B8366&lt;=19,"Evening peak (16-19)",TRUE,"Late evening (20-23)")</f>
        <v>Late evening (20-23)</v>
      </c>
    </row>
    <row r="8367" spans="1:9">
      <c r="A8367" s="32">
        <v>42171</v>
      </c>
      <c r="B8367">
        <v>0</v>
      </c>
      <c r="C8367">
        <v>2242</v>
      </c>
      <c r="D8367" t="s">
        <v>304</v>
      </c>
      <c r="E8367">
        <f>YEAR(A8367)</f>
        <v>2015</v>
      </c>
      <c r="F8367" s="33">
        <f>DATE(YEAR(A8367),MONTH(A8367),1)</f>
        <v>42156.0</v>
      </c>
      <c r="G8367" t="str">
        <f>CHOOSE(WEEKDAY(A8367,2),"Mon","Tue","Wed","Thu","Fri","Sat","Sun")</f>
        <v>Tue</v>
      </c>
      <c r="H8367" t="str">
        <f>IF(WEEKDAY(A8367,2)&gt;5,"Weekend","Weekday")</f>
        <v>Weekday</v>
      </c>
      <c r="I8367" t="str">
        <f>_xlfn.IFS(B8367&lt;=5,"Night (0-5)",B8367&lt;=9,"Morning peak (6-9)",B8367&lt;=15,"Midday (10-15)",B8367&lt;=19,"Evening peak (16-19)",TRUE,"Late evening (20-23)")</f>
        <v>Night (0-5)</v>
      </c>
    </row>
    <row r="8368" spans="1:9">
      <c r="A8368" s="32">
        <v>42171</v>
      </c>
      <c r="B8368">
        <v>1</v>
      </c>
      <c r="C8368">
        <v>1290</v>
      </c>
      <c r="D8368" t="s">
        <v>304</v>
      </c>
      <c r="E8368">
        <f>YEAR(A8368)</f>
        <v>2015</v>
      </c>
      <c r="F8368" s="33">
        <f>DATE(YEAR(A8368),MONTH(A8368),1)</f>
        <v>42156.0</v>
      </c>
      <c r="G8368" t="str">
        <f>CHOOSE(WEEKDAY(A8368,2),"Mon","Tue","Wed","Thu","Fri","Sat","Sun")</f>
        <v>Tue</v>
      </c>
      <c r="H8368" t="str">
        <f>IF(WEEKDAY(A8368,2)&gt;5,"Weekend","Weekday")</f>
        <v>Weekday</v>
      </c>
      <c r="I8368" t="str">
        <f>_xlfn.IFS(B8368&lt;=5,"Night (0-5)",B8368&lt;=9,"Morning peak (6-9)",B8368&lt;=15,"Midday (10-15)",B8368&lt;=19,"Evening peak (16-19)",TRUE,"Late evening (20-23)")</f>
        <v>Night (0-5)</v>
      </c>
    </row>
    <row r="8369" spans="1:9">
      <c r="A8369" s="32">
        <v>42171</v>
      </c>
      <c r="B8369">
        <v>2</v>
      </c>
      <c r="C8369">
        <v>714</v>
      </c>
      <c r="D8369" t="s">
        <v>304</v>
      </c>
      <c r="E8369">
        <f>YEAR(A8369)</f>
        <v>2015</v>
      </c>
      <c r="F8369" s="33">
        <f>DATE(YEAR(A8369),MONTH(A8369),1)</f>
        <v>42156.0</v>
      </c>
      <c r="G8369" t="str">
        <f>CHOOSE(WEEKDAY(A8369,2),"Mon","Tue","Wed","Thu","Fri","Sat","Sun")</f>
        <v>Tue</v>
      </c>
      <c r="H8369" t="str">
        <f>IF(WEEKDAY(A8369,2)&gt;5,"Weekend","Weekday")</f>
        <v>Weekday</v>
      </c>
      <c r="I8369" t="str">
        <f>_xlfn.IFS(B8369&lt;=5,"Night (0-5)",B8369&lt;=9,"Morning peak (6-9)",B8369&lt;=15,"Midday (10-15)",B8369&lt;=19,"Evening peak (16-19)",TRUE,"Late evening (20-23)")</f>
        <v>Night (0-5)</v>
      </c>
    </row>
    <row r="8370" spans="1:9">
      <c r="A8370" s="32">
        <v>42171</v>
      </c>
      <c r="B8370">
        <v>3</v>
      </c>
      <c r="C8370">
        <v>498</v>
      </c>
      <c r="D8370" t="s">
        <v>304</v>
      </c>
      <c r="E8370">
        <f>YEAR(A8370)</f>
        <v>2015</v>
      </c>
      <c r="F8370" s="33">
        <f>DATE(YEAR(A8370),MONTH(A8370),1)</f>
        <v>42156.0</v>
      </c>
      <c r="G8370" t="str">
        <f>CHOOSE(WEEKDAY(A8370,2),"Mon","Tue","Wed","Thu","Fri","Sat","Sun")</f>
        <v>Tue</v>
      </c>
      <c r="H8370" t="str">
        <f>IF(WEEKDAY(A8370,2)&gt;5,"Weekend","Weekday")</f>
        <v>Weekday</v>
      </c>
      <c r="I8370" t="str">
        <f>_xlfn.IFS(B8370&lt;=5,"Night (0-5)",B8370&lt;=9,"Morning peak (6-9)",B8370&lt;=15,"Midday (10-15)",B8370&lt;=19,"Evening peak (16-19)",TRUE,"Late evening (20-23)")</f>
        <v>Night (0-5)</v>
      </c>
    </row>
    <row r="8371" spans="1:9">
      <c r="A8371" s="32">
        <v>42171</v>
      </c>
      <c r="B8371">
        <v>4</v>
      </c>
      <c r="C8371">
        <v>723</v>
      </c>
      <c r="D8371" t="s">
        <v>304</v>
      </c>
      <c r="E8371">
        <f>YEAR(A8371)</f>
        <v>2015</v>
      </c>
      <c r="F8371" s="33">
        <f>DATE(YEAR(A8371),MONTH(A8371),1)</f>
        <v>42156.0</v>
      </c>
      <c r="G8371" t="str">
        <f>CHOOSE(WEEKDAY(A8371,2),"Mon","Tue","Wed","Thu","Fri","Sat","Sun")</f>
        <v>Tue</v>
      </c>
      <c r="H8371" t="str">
        <f>IF(WEEKDAY(A8371,2)&gt;5,"Weekend","Weekday")</f>
        <v>Weekday</v>
      </c>
      <c r="I8371" t="str">
        <f>_xlfn.IFS(B8371&lt;=5,"Night (0-5)",B8371&lt;=9,"Morning peak (6-9)",B8371&lt;=15,"Midday (10-15)",B8371&lt;=19,"Evening peak (16-19)",TRUE,"Late evening (20-23)")</f>
        <v>Night (0-5)</v>
      </c>
    </row>
    <row r="8372" spans="1:9">
      <c r="A8372" s="32">
        <v>42171</v>
      </c>
      <c r="B8372">
        <v>5</v>
      </c>
      <c r="C8372">
        <v>1255</v>
      </c>
      <c r="D8372" t="s">
        <v>304</v>
      </c>
      <c r="E8372">
        <f>YEAR(A8372)</f>
        <v>2015</v>
      </c>
      <c r="F8372" s="33">
        <f>DATE(YEAR(A8372),MONTH(A8372),1)</f>
        <v>42156.0</v>
      </c>
      <c r="G8372" t="str">
        <f>CHOOSE(WEEKDAY(A8372,2),"Mon","Tue","Wed","Thu","Fri","Sat","Sun")</f>
        <v>Tue</v>
      </c>
      <c r="H8372" t="str">
        <f>IF(WEEKDAY(A8372,2)&gt;5,"Weekend","Weekday")</f>
        <v>Weekday</v>
      </c>
      <c r="I8372" t="str">
        <f>_xlfn.IFS(B8372&lt;=5,"Night (0-5)",B8372&lt;=9,"Morning peak (6-9)",B8372&lt;=15,"Midday (10-15)",B8372&lt;=19,"Evening peak (16-19)",TRUE,"Late evening (20-23)")</f>
        <v>Night (0-5)</v>
      </c>
    </row>
    <row r="8373" spans="1:9">
      <c r="A8373" s="32">
        <v>42171</v>
      </c>
      <c r="B8373">
        <v>6</v>
      </c>
      <c r="C8373">
        <v>2195</v>
      </c>
      <c r="D8373" t="s">
        <v>304</v>
      </c>
      <c r="E8373">
        <f>YEAR(A8373)</f>
        <v>2015</v>
      </c>
      <c r="F8373" s="33">
        <f>DATE(YEAR(A8373),MONTH(A8373),1)</f>
        <v>42156.0</v>
      </c>
      <c r="G8373" t="str">
        <f>CHOOSE(WEEKDAY(A8373,2),"Mon","Tue","Wed","Thu","Fri","Sat","Sun")</f>
        <v>Tue</v>
      </c>
      <c r="H8373" t="str">
        <f>IF(WEEKDAY(A8373,2)&gt;5,"Weekend","Weekday")</f>
        <v>Weekday</v>
      </c>
      <c r="I8373" t="str">
        <f>_xlfn.IFS(B8373&lt;=5,"Night (0-5)",B8373&lt;=9,"Morning peak (6-9)",B8373&lt;=15,"Midday (10-15)",B8373&lt;=19,"Evening peak (16-19)",TRUE,"Late evening (20-23)")</f>
        <v>Morning peak (6-9)</v>
      </c>
    </row>
    <row r="8374" spans="1:9">
      <c r="A8374" s="32">
        <v>42171</v>
      </c>
      <c r="B8374">
        <v>7</v>
      </c>
      <c r="C8374">
        <v>3375</v>
      </c>
      <c r="D8374" t="s">
        <v>304</v>
      </c>
      <c r="E8374">
        <f>YEAR(A8374)</f>
        <v>2015</v>
      </c>
      <c r="F8374" s="33">
        <f>DATE(YEAR(A8374),MONTH(A8374),1)</f>
        <v>42156.0</v>
      </c>
      <c r="G8374" t="str">
        <f>CHOOSE(WEEKDAY(A8374,2),"Mon","Tue","Wed","Thu","Fri","Sat","Sun")</f>
        <v>Tue</v>
      </c>
      <c r="H8374" t="str">
        <f>IF(WEEKDAY(A8374,2)&gt;5,"Weekend","Weekday")</f>
        <v>Weekday</v>
      </c>
      <c r="I8374" t="str">
        <f>_xlfn.IFS(B8374&lt;=5,"Night (0-5)",B8374&lt;=9,"Morning peak (6-9)",B8374&lt;=15,"Midday (10-15)",B8374&lt;=19,"Evening peak (16-19)",TRUE,"Late evening (20-23)")</f>
        <v>Morning peak (6-9)</v>
      </c>
    </row>
    <row r="8375" spans="1:9">
      <c r="A8375" s="32">
        <v>42171</v>
      </c>
      <c r="B8375">
        <v>8</v>
      </c>
      <c r="C8375">
        <v>4733</v>
      </c>
      <c r="D8375" t="s">
        <v>304</v>
      </c>
      <c r="E8375">
        <f>YEAR(A8375)</f>
        <v>2015</v>
      </c>
      <c r="F8375" s="33">
        <f>DATE(YEAR(A8375),MONTH(A8375),1)</f>
        <v>42156.0</v>
      </c>
      <c r="G8375" t="str">
        <f>CHOOSE(WEEKDAY(A8375,2),"Mon","Tue","Wed","Thu","Fri","Sat","Sun")</f>
        <v>Tue</v>
      </c>
      <c r="H8375" t="str">
        <f>IF(WEEKDAY(A8375,2)&gt;5,"Weekend","Weekday")</f>
        <v>Weekday</v>
      </c>
      <c r="I8375" t="str">
        <f>_xlfn.IFS(B8375&lt;=5,"Night (0-5)",B8375&lt;=9,"Morning peak (6-9)",B8375&lt;=15,"Midday (10-15)",B8375&lt;=19,"Evening peak (16-19)",TRUE,"Late evening (20-23)")</f>
        <v>Morning peak (6-9)</v>
      </c>
    </row>
    <row r="8376" spans="1:9">
      <c r="A8376" s="32">
        <v>42171</v>
      </c>
      <c r="B8376">
        <v>9</v>
      </c>
      <c r="C8376">
        <v>4374</v>
      </c>
      <c r="D8376" t="s">
        <v>304</v>
      </c>
      <c r="E8376">
        <f>YEAR(A8376)</f>
        <v>2015</v>
      </c>
      <c r="F8376" s="33">
        <f>DATE(YEAR(A8376),MONTH(A8376),1)</f>
        <v>42156.0</v>
      </c>
      <c r="G8376" t="str">
        <f>CHOOSE(WEEKDAY(A8376,2),"Mon","Tue","Wed","Thu","Fri","Sat","Sun")</f>
        <v>Tue</v>
      </c>
      <c r="H8376" t="str">
        <f>IF(WEEKDAY(A8376,2)&gt;5,"Weekend","Weekday")</f>
        <v>Weekday</v>
      </c>
      <c r="I8376" t="str">
        <f>_xlfn.IFS(B8376&lt;=5,"Night (0-5)",B8376&lt;=9,"Morning peak (6-9)",B8376&lt;=15,"Midday (10-15)",B8376&lt;=19,"Evening peak (16-19)",TRUE,"Late evening (20-23)")</f>
        <v>Morning peak (6-9)</v>
      </c>
    </row>
    <row r="8377" spans="1:9">
      <c r="A8377" s="32">
        <v>42171</v>
      </c>
      <c r="B8377">
        <v>10</v>
      </c>
      <c r="C8377">
        <v>3426</v>
      </c>
      <c r="D8377" t="s">
        <v>304</v>
      </c>
      <c r="E8377">
        <f>YEAR(A8377)</f>
        <v>2015</v>
      </c>
      <c r="F8377" s="33">
        <f>DATE(YEAR(A8377),MONTH(A8377),1)</f>
        <v>42156.0</v>
      </c>
      <c r="G8377" t="str">
        <f>CHOOSE(WEEKDAY(A8377,2),"Mon","Tue","Wed","Thu","Fri","Sat","Sun")</f>
        <v>Tue</v>
      </c>
      <c r="H8377" t="str">
        <f>IF(WEEKDAY(A8377,2)&gt;5,"Weekend","Weekday")</f>
        <v>Weekday</v>
      </c>
      <c r="I8377" t="str">
        <f>_xlfn.IFS(B8377&lt;=5,"Night (0-5)",B8377&lt;=9,"Morning peak (6-9)",B8377&lt;=15,"Midday (10-15)",B8377&lt;=19,"Evening peak (16-19)",TRUE,"Late evening (20-23)")</f>
        <v>Midday (10-15)</v>
      </c>
    </row>
    <row r="8378" spans="1:9">
      <c r="A8378" s="32">
        <v>42171</v>
      </c>
      <c r="B8378">
        <v>11</v>
      </c>
      <c r="C8378">
        <v>3177</v>
      </c>
      <c r="D8378" t="s">
        <v>304</v>
      </c>
      <c r="E8378">
        <f>YEAR(A8378)</f>
        <v>2015</v>
      </c>
      <c r="F8378" s="33">
        <f>DATE(YEAR(A8378),MONTH(A8378),1)</f>
        <v>42156.0</v>
      </c>
      <c r="G8378" t="str">
        <f>CHOOSE(WEEKDAY(A8378,2),"Mon","Tue","Wed","Thu","Fri","Sat","Sun")</f>
        <v>Tue</v>
      </c>
      <c r="H8378" t="str">
        <f>IF(WEEKDAY(A8378,2)&gt;5,"Weekend","Weekday")</f>
        <v>Weekday</v>
      </c>
      <c r="I8378" t="str">
        <f>_xlfn.IFS(B8378&lt;=5,"Night (0-5)",B8378&lt;=9,"Morning peak (6-9)",B8378&lt;=15,"Midday (10-15)",B8378&lt;=19,"Evening peak (16-19)",TRUE,"Late evening (20-23)")</f>
        <v>Midday (10-15)</v>
      </c>
    </row>
    <row r="8379" spans="1:9">
      <c r="A8379" s="32">
        <v>42171</v>
      </c>
      <c r="B8379">
        <v>12</v>
      </c>
      <c r="C8379">
        <v>3320</v>
      </c>
      <c r="D8379" t="s">
        <v>304</v>
      </c>
      <c r="E8379">
        <f>YEAR(A8379)</f>
        <v>2015</v>
      </c>
      <c r="F8379" s="33">
        <f>DATE(YEAR(A8379),MONTH(A8379),1)</f>
        <v>42156.0</v>
      </c>
      <c r="G8379" t="str">
        <f>CHOOSE(WEEKDAY(A8379,2),"Mon","Tue","Wed","Thu","Fri","Sat","Sun")</f>
        <v>Tue</v>
      </c>
      <c r="H8379" t="str">
        <f>IF(WEEKDAY(A8379,2)&gt;5,"Weekend","Weekday")</f>
        <v>Weekday</v>
      </c>
      <c r="I8379" t="str">
        <f>_xlfn.IFS(B8379&lt;=5,"Night (0-5)",B8379&lt;=9,"Morning peak (6-9)",B8379&lt;=15,"Midday (10-15)",B8379&lt;=19,"Evening peak (16-19)",TRUE,"Late evening (20-23)")</f>
        <v>Midday (10-15)</v>
      </c>
    </row>
    <row r="8380" spans="1:9">
      <c r="A8380" s="32">
        <v>42171</v>
      </c>
      <c r="B8380">
        <v>13</v>
      </c>
      <c r="C8380">
        <v>3343</v>
      </c>
      <c r="D8380" t="s">
        <v>304</v>
      </c>
      <c r="E8380">
        <f>YEAR(A8380)</f>
        <v>2015</v>
      </c>
      <c r="F8380" s="33">
        <f>DATE(YEAR(A8380),MONTH(A8380),1)</f>
        <v>42156.0</v>
      </c>
      <c r="G8380" t="str">
        <f>CHOOSE(WEEKDAY(A8380,2),"Mon","Tue","Wed","Thu","Fri","Sat","Sun")</f>
        <v>Tue</v>
      </c>
      <c r="H8380" t="str">
        <f>IF(WEEKDAY(A8380,2)&gt;5,"Weekend","Weekday")</f>
        <v>Weekday</v>
      </c>
      <c r="I8380" t="str">
        <f>_xlfn.IFS(B8380&lt;=5,"Night (0-5)",B8380&lt;=9,"Morning peak (6-9)",B8380&lt;=15,"Midday (10-15)",B8380&lt;=19,"Evening peak (16-19)",TRUE,"Late evening (20-23)")</f>
        <v>Midday (10-15)</v>
      </c>
    </row>
    <row r="8381" spans="1:9">
      <c r="A8381" s="32">
        <v>42171</v>
      </c>
      <c r="B8381">
        <v>14</v>
      </c>
      <c r="C8381">
        <v>4119</v>
      </c>
      <c r="D8381" t="s">
        <v>304</v>
      </c>
      <c r="E8381">
        <f>YEAR(A8381)</f>
        <v>2015</v>
      </c>
      <c r="F8381" s="33">
        <f>DATE(YEAR(A8381),MONTH(A8381),1)</f>
        <v>42156.0</v>
      </c>
      <c r="G8381" t="str">
        <f>CHOOSE(WEEKDAY(A8381,2),"Mon","Tue","Wed","Thu","Fri","Sat","Sun")</f>
        <v>Tue</v>
      </c>
      <c r="H8381" t="str">
        <f>IF(WEEKDAY(A8381,2)&gt;5,"Weekend","Weekday")</f>
        <v>Weekday</v>
      </c>
      <c r="I8381" t="str">
        <f>_xlfn.IFS(B8381&lt;=5,"Night (0-5)",B8381&lt;=9,"Morning peak (6-9)",B8381&lt;=15,"Midday (10-15)",B8381&lt;=19,"Evening peak (16-19)",TRUE,"Late evening (20-23)")</f>
        <v>Midday (10-15)</v>
      </c>
    </row>
    <row r="8382" spans="1:9">
      <c r="A8382" s="32">
        <v>42171</v>
      </c>
      <c r="B8382">
        <v>15</v>
      </c>
      <c r="C8382">
        <v>3944</v>
      </c>
      <c r="D8382" t="s">
        <v>304</v>
      </c>
      <c r="E8382">
        <f>YEAR(A8382)</f>
        <v>2015</v>
      </c>
      <c r="F8382" s="33">
        <f>DATE(YEAR(A8382),MONTH(A8382),1)</f>
        <v>42156.0</v>
      </c>
      <c r="G8382" t="str">
        <f>CHOOSE(WEEKDAY(A8382,2),"Mon","Tue","Wed","Thu","Fri","Sat","Sun")</f>
        <v>Tue</v>
      </c>
      <c r="H8382" t="str">
        <f>IF(WEEKDAY(A8382,2)&gt;5,"Weekend","Weekday")</f>
        <v>Weekday</v>
      </c>
      <c r="I8382" t="str">
        <f>_xlfn.IFS(B8382&lt;=5,"Night (0-5)",B8382&lt;=9,"Morning peak (6-9)",B8382&lt;=15,"Midday (10-15)",B8382&lt;=19,"Evening peak (16-19)",TRUE,"Late evening (20-23)")</f>
        <v>Midday (10-15)</v>
      </c>
    </row>
    <row r="8383" spans="1:9">
      <c r="A8383" s="32">
        <v>42171</v>
      </c>
      <c r="B8383">
        <v>16</v>
      </c>
      <c r="C8383">
        <v>4284</v>
      </c>
      <c r="D8383" t="s">
        <v>304</v>
      </c>
      <c r="E8383">
        <f>YEAR(A8383)</f>
        <v>2015</v>
      </c>
      <c r="F8383" s="33">
        <f>DATE(YEAR(A8383),MONTH(A8383),1)</f>
        <v>42156.0</v>
      </c>
      <c r="G8383" t="str">
        <f>CHOOSE(WEEKDAY(A8383,2),"Mon","Tue","Wed","Thu","Fri","Sat","Sun")</f>
        <v>Tue</v>
      </c>
      <c r="H8383" t="str">
        <f>IF(WEEKDAY(A8383,2)&gt;5,"Weekend","Weekday")</f>
        <v>Weekday</v>
      </c>
      <c r="I8383" t="str">
        <f>_xlfn.IFS(B8383&lt;=5,"Night (0-5)",B8383&lt;=9,"Morning peak (6-9)",B8383&lt;=15,"Midday (10-15)",B8383&lt;=19,"Evening peak (16-19)",TRUE,"Late evening (20-23)")</f>
        <v>Evening peak (16-19)</v>
      </c>
    </row>
    <row r="8384" spans="1:9">
      <c r="A8384" s="32">
        <v>42171</v>
      </c>
      <c r="B8384">
        <v>17</v>
      </c>
      <c r="C8384">
        <v>6921</v>
      </c>
      <c r="D8384" t="s">
        <v>304</v>
      </c>
      <c r="E8384">
        <f>YEAR(A8384)</f>
        <v>2015</v>
      </c>
      <c r="F8384" s="33">
        <f>DATE(YEAR(A8384),MONTH(A8384),1)</f>
        <v>42156.0</v>
      </c>
      <c r="G8384" t="str">
        <f>CHOOSE(WEEKDAY(A8384,2),"Mon","Tue","Wed","Thu","Fri","Sat","Sun")</f>
        <v>Tue</v>
      </c>
      <c r="H8384" t="str">
        <f>IF(WEEKDAY(A8384,2)&gt;5,"Weekend","Weekday")</f>
        <v>Weekday</v>
      </c>
      <c r="I8384" t="str">
        <f>_xlfn.IFS(B8384&lt;=5,"Night (0-5)",B8384&lt;=9,"Morning peak (6-9)",B8384&lt;=15,"Midday (10-15)",B8384&lt;=19,"Evening peak (16-19)",TRUE,"Late evening (20-23)")</f>
        <v>Evening peak (16-19)</v>
      </c>
    </row>
    <row r="8385" spans="1:9">
      <c r="A8385" s="32">
        <v>42171</v>
      </c>
      <c r="B8385">
        <v>18</v>
      </c>
      <c r="C8385">
        <v>7372</v>
      </c>
      <c r="D8385" t="s">
        <v>304</v>
      </c>
      <c r="E8385">
        <f>YEAR(A8385)</f>
        <v>2015</v>
      </c>
      <c r="F8385" s="33">
        <f>DATE(YEAR(A8385),MONTH(A8385),1)</f>
        <v>42156.0</v>
      </c>
      <c r="G8385" t="str">
        <f>CHOOSE(WEEKDAY(A8385,2),"Mon","Tue","Wed","Thu","Fri","Sat","Sun")</f>
        <v>Tue</v>
      </c>
      <c r="H8385" t="str">
        <f>IF(WEEKDAY(A8385,2)&gt;5,"Weekend","Weekday")</f>
        <v>Weekday</v>
      </c>
      <c r="I8385" t="str">
        <f>_xlfn.IFS(B8385&lt;=5,"Night (0-5)",B8385&lt;=9,"Morning peak (6-9)",B8385&lt;=15,"Midday (10-15)",B8385&lt;=19,"Evening peak (16-19)",TRUE,"Late evening (20-23)")</f>
        <v>Evening peak (16-19)</v>
      </c>
    </row>
    <row r="8386" spans="1:9">
      <c r="A8386" s="32">
        <v>42171</v>
      </c>
      <c r="B8386">
        <v>19</v>
      </c>
      <c r="C8386">
        <v>6003</v>
      </c>
      <c r="D8386" t="s">
        <v>304</v>
      </c>
      <c r="E8386">
        <f>YEAR(A8386)</f>
        <v>2015</v>
      </c>
      <c r="F8386" s="33">
        <f>DATE(YEAR(A8386),MONTH(A8386),1)</f>
        <v>42156.0</v>
      </c>
      <c r="G8386" t="str">
        <f>CHOOSE(WEEKDAY(A8386,2),"Mon","Tue","Wed","Thu","Fri","Sat","Sun")</f>
        <v>Tue</v>
      </c>
      <c r="H8386" t="str">
        <f>IF(WEEKDAY(A8386,2)&gt;5,"Weekend","Weekday")</f>
        <v>Weekday</v>
      </c>
      <c r="I8386" t="str">
        <f>_xlfn.IFS(B8386&lt;=5,"Night (0-5)",B8386&lt;=9,"Morning peak (6-9)",B8386&lt;=15,"Midday (10-15)",B8386&lt;=19,"Evening peak (16-19)",TRUE,"Late evening (20-23)")</f>
        <v>Evening peak (16-19)</v>
      </c>
    </row>
    <row r="8387" spans="1:9">
      <c r="A8387" s="32">
        <v>42171</v>
      </c>
      <c r="B8387">
        <v>20</v>
      </c>
      <c r="C8387">
        <v>5636</v>
      </c>
      <c r="D8387" t="s">
        <v>304</v>
      </c>
      <c r="E8387">
        <f>YEAR(A8387)</f>
        <v>2015</v>
      </c>
      <c r="F8387" s="33">
        <f>DATE(YEAR(A8387),MONTH(A8387),1)</f>
        <v>42156.0</v>
      </c>
      <c r="G8387" t="str">
        <f>CHOOSE(WEEKDAY(A8387,2),"Mon","Tue","Wed","Thu","Fri","Sat","Sun")</f>
        <v>Tue</v>
      </c>
      <c r="H8387" t="str">
        <f>IF(WEEKDAY(A8387,2)&gt;5,"Weekend","Weekday")</f>
        <v>Weekday</v>
      </c>
      <c r="I8387" t="str">
        <f>_xlfn.IFS(B8387&lt;=5,"Night (0-5)",B8387&lt;=9,"Morning peak (6-9)",B8387&lt;=15,"Midday (10-15)",B8387&lt;=19,"Evening peak (16-19)",TRUE,"Late evening (20-23)")</f>
        <v>Late evening (20-23)</v>
      </c>
    </row>
    <row r="8388" spans="1:9">
      <c r="A8388" s="32">
        <v>42171</v>
      </c>
      <c r="B8388">
        <v>21</v>
      </c>
      <c r="C8388">
        <v>6060</v>
      </c>
      <c r="D8388" t="s">
        <v>304</v>
      </c>
      <c r="E8388">
        <f>YEAR(A8388)</f>
        <v>2015</v>
      </c>
      <c r="F8388" s="33">
        <f>DATE(YEAR(A8388),MONTH(A8388),1)</f>
        <v>42156.0</v>
      </c>
      <c r="G8388" t="str">
        <f>CHOOSE(WEEKDAY(A8388,2),"Mon","Tue","Wed","Thu","Fri","Sat","Sun")</f>
        <v>Tue</v>
      </c>
      <c r="H8388" t="str">
        <f>IF(WEEKDAY(A8388,2)&gt;5,"Weekend","Weekday")</f>
        <v>Weekday</v>
      </c>
      <c r="I8388" t="str">
        <f>_xlfn.IFS(B8388&lt;=5,"Night (0-5)",B8388&lt;=9,"Morning peak (6-9)",B8388&lt;=15,"Midday (10-15)",B8388&lt;=19,"Evening peak (16-19)",TRUE,"Late evening (20-23)")</f>
        <v>Late evening (20-23)</v>
      </c>
    </row>
    <row r="8389" spans="1:9">
      <c r="A8389" s="32">
        <v>42171</v>
      </c>
      <c r="B8389">
        <v>22</v>
      </c>
      <c r="C8389">
        <v>5711</v>
      </c>
      <c r="D8389" t="s">
        <v>304</v>
      </c>
      <c r="E8389">
        <f>YEAR(A8389)</f>
        <v>2015</v>
      </c>
      <c r="F8389" s="33">
        <f>DATE(YEAR(A8389),MONTH(A8389),1)</f>
        <v>42156.0</v>
      </c>
      <c r="G8389" t="str">
        <f>CHOOSE(WEEKDAY(A8389,2),"Mon","Tue","Wed","Thu","Fri","Sat","Sun")</f>
        <v>Tue</v>
      </c>
      <c r="H8389" t="str">
        <f>IF(WEEKDAY(A8389,2)&gt;5,"Weekend","Weekday")</f>
        <v>Weekday</v>
      </c>
      <c r="I8389" t="str">
        <f>_xlfn.IFS(B8389&lt;=5,"Night (0-5)",B8389&lt;=9,"Morning peak (6-9)",B8389&lt;=15,"Midday (10-15)",B8389&lt;=19,"Evening peak (16-19)",TRUE,"Late evening (20-23)")</f>
        <v>Late evening (20-23)</v>
      </c>
    </row>
    <row r="8390" spans="1:9">
      <c r="A8390" s="32">
        <v>42171</v>
      </c>
      <c r="B8390">
        <v>23</v>
      </c>
      <c r="C8390">
        <v>4456</v>
      </c>
      <c r="D8390" t="s">
        <v>304</v>
      </c>
      <c r="E8390">
        <f>YEAR(A8390)</f>
        <v>2015</v>
      </c>
      <c r="F8390" s="33">
        <f>DATE(YEAR(A8390),MONTH(A8390),1)</f>
        <v>42156.0</v>
      </c>
      <c r="G8390" t="str">
        <f>CHOOSE(WEEKDAY(A8390,2),"Mon","Tue","Wed","Thu","Fri","Sat","Sun")</f>
        <v>Tue</v>
      </c>
      <c r="H8390" t="str">
        <f>IF(WEEKDAY(A8390,2)&gt;5,"Weekend","Weekday")</f>
        <v>Weekday</v>
      </c>
      <c r="I8390" t="str">
        <f>_xlfn.IFS(B8390&lt;=5,"Night (0-5)",B8390&lt;=9,"Morning peak (6-9)",B8390&lt;=15,"Midday (10-15)",B8390&lt;=19,"Evening peak (16-19)",TRUE,"Late evening (20-23)")</f>
        <v>Late evening (20-23)</v>
      </c>
    </row>
    <row r="8391" spans="1:9">
      <c r="A8391" s="32">
        <v>42172</v>
      </c>
      <c r="B8391">
        <v>0</v>
      </c>
      <c r="C8391">
        <v>3767</v>
      </c>
      <c r="D8391" t="s">
        <v>304</v>
      </c>
      <c r="E8391">
        <f>YEAR(A8391)</f>
        <v>2015</v>
      </c>
      <c r="F8391" s="33">
        <f>DATE(YEAR(A8391),MONTH(A8391),1)</f>
        <v>42156.0</v>
      </c>
      <c r="G8391" t="str">
        <f>CHOOSE(WEEKDAY(A8391,2),"Mon","Tue","Wed","Thu","Fri","Sat","Sun")</f>
        <v>Wed</v>
      </c>
      <c r="H8391" t="str">
        <f>IF(WEEKDAY(A8391,2)&gt;5,"Weekend","Weekday")</f>
        <v>Weekday</v>
      </c>
      <c r="I8391" t="str">
        <f>_xlfn.IFS(B8391&lt;=5,"Night (0-5)",B8391&lt;=9,"Morning peak (6-9)",B8391&lt;=15,"Midday (10-15)",B8391&lt;=19,"Evening peak (16-19)",TRUE,"Late evening (20-23)")</f>
        <v>Night (0-5)</v>
      </c>
    </row>
    <row r="8392" spans="1:9">
      <c r="A8392" s="32">
        <v>42172</v>
      </c>
      <c r="B8392">
        <v>1</v>
      </c>
      <c r="C8392">
        <v>1599</v>
      </c>
      <c r="D8392" t="s">
        <v>304</v>
      </c>
      <c r="E8392">
        <f>YEAR(A8392)</f>
        <v>2015</v>
      </c>
      <c r="F8392" s="33">
        <f>DATE(YEAR(A8392),MONTH(A8392),1)</f>
        <v>42156.0</v>
      </c>
      <c r="G8392" t="str">
        <f>CHOOSE(WEEKDAY(A8392,2),"Mon","Tue","Wed","Thu","Fri","Sat","Sun")</f>
        <v>Wed</v>
      </c>
      <c r="H8392" t="str">
        <f>IF(WEEKDAY(A8392,2)&gt;5,"Weekend","Weekday")</f>
        <v>Weekday</v>
      </c>
      <c r="I8392" t="str">
        <f>_xlfn.IFS(B8392&lt;=5,"Night (0-5)",B8392&lt;=9,"Morning peak (6-9)",B8392&lt;=15,"Midday (10-15)",B8392&lt;=19,"Evening peak (16-19)",TRUE,"Late evening (20-23)")</f>
        <v>Night (0-5)</v>
      </c>
    </row>
    <row r="8393" spans="1:9">
      <c r="A8393" s="32">
        <v>42172</v>
      </c>
      <c r="B8393">
        <v>2</v>
      </c>
      <c r="C8393">
        <v>903</v>
      </c>
      <c r="D8393" t="s">
        <v>304</v>
      </c>
      <c r="E8393">
        <f>YEAR(A8393)</f>
        <v>2015</v>
      </c>
      <c r="F8393" s="33">
        <f>DATE(YEAR(A8393),MONTH(A8393),1)</f>
        <v>42156.0</v>
      </c>
      <c r="G8393" t="str">
        <f>CHOOSE(WEEKDAY(A8393,2),"Mon","Tue","Wed","Thu","Fri","Sat","Sun")</f>
        <v>Wed</v>
      </c>
      <c r="H8393" t="str">
        <f>IF(WEEKDAY(A8393,2)&gt;5,"Weekend","Weekday")</f>
        <v>Weekday</v>
      </c>
      <c r="I8393" t="str">
        <f>_xlfn.IFS(B8393&lt;=5,"Night (0-5)",B8393&lt;=9,"Morning peak (6-9)",B8393&lt;=15,"Midday (10-15)",B8393&lt;=19,"Evening peak (16-19)",TRUE,"Late evening (20-23)")</f>
        <v>Night (0-5)</v>
      </c>
    </row>
    <row r="8394" spans="1:9">
      <c r="A8394" s="32">
        <v>42172</v>
      </c>
      <c r="B8394">
        <v>3</v>
      </c>
      <c r="C8394">
        <v>601</v>
      </c>
      <c r="D8394" t="s">
        <v>304</v>
      </c>
      <c r="E8394">
        <f>YEAR(A8394)</f>
        <v>2015</v>
      </c>
      <c r="F8394" s="33">
        <f>DATE(YEAR(A8394),MONTH(A8394),1)</f>
        <v>42156.0</v>
      </c>
      <c r="G8394" t="str">
        <f>CHOOSE(WEEKDAY(A8394,2),"Mon","Tue","Wed","Thu","Fri","Sat","Sun")</f>
        <v>Wed</v>
      </c>
      <c r="H8394" t="str">
        <f>IF(WEEKDAY(A8394,2)&gt;5,"Weekend","Weekday")</f>
        <v>Weekday</v>
      </c>
      <c r="I8394" t="str">
        <f>_xlfn.IFS(B8394&lt;=5,"Night (0-5)",B8394&lt;=9,"Morning peak (6-9)",B8394&lt;=15,"Midday (10-15)",B8394&lt;=19,"Evening peak (16-19)",TRUE,"Late evening (20-23)")</f>
        <v>Night (0-5)</v>
      </c>
    </row>
    <row r="8395" spans="1:9">
      <c r="A8395" s="32">
        <v>42172</v>
      </c>
      <c r="B8395">
        <v>4</v>
      </c>
      <c r="C8395">
        <v>810</v>
      </c>
      <c r="D8395" t="s">
        <v>304</v>
      </c>
      <c r="E8395">
        <f>YEAR(A8395)</f>
        <v>2015</v>
      </c>
      <c r="F8395" s="33">
        <f>DATE(YEAR(A8395),MONTH(A8395),1)</f>
        <v>42156.0</v>
      </c>
      <c r="G8395" t="str">
        <f>CHOOSE(WEEKDAY(A8395,2),"Mon","Tue","Wed","Thu","Fri","Sat","Sun")</f>
        <v>Wed</v>
      </c>
      <c r="H8395" t="str">
        <f>IF(WEEKDAY(A8395,2)&gt;5,"Weekend","Weekday")</f>
        <v>Weekday</v>
      </c>
      <c r="I8395" t="str">
        <f>_xlfn.IFS(B8395&lt;=5,"Night (0-5)",B8395&lt;=9,"Morning peak (6-9)",B8395&lt;=15,"Midday (10-15)",B8395&lt;=19,"Evening peak (16-19)",TRUE,"Late evening (20-23)")</f>
        <v>Night (0-5)</v>
      </c>
    </row>
    <row r="8396" spans="1:9">
      <c r="A8396" s="32">
        <v>42172</v>
      </c>
      <c r="B8396">
        <v>5</v>
      </c>
      <c r="C8396">
        <v>1234</v>
      </c>
      <c r="D8396" t="s">
        <v>304</v>
      </c>
      <c r="E8396">
        <f>YEAR(A8396)</f>
        <v>2015</v>
      </c>
      <c r="F8396" s="33">
        <f>DATE(YEAR(A8396),MONTH(A8396),1)</f>
        <v>42156.0</v>
      </c>
      <c r="G8396" t="str">
        <f>CHOOSE(WEEKDAY(A8396,2),"Mon","Tue","Wed","Thu","Fri","Sat","Sun")</f>
        <v>Wed</v>
      </c>
      <c r="H8396" t="str">
        <f>IF(WEEKDAY(A8396,2)&gt;5,"Weekend","Weekday")</f>
        <v>Weekday</v>
      </c>
      <c r="I8396" t="str">
        <f>_xlfn.IFS(B8396&lt;=5,"Night (0-5)",B8396&lt;=9,"Morning peak (6-9)",B8396&lt;=15,"Midday (10-15)",B8396&lt;=19,"Evening peak (16-19)",TRUE,"Late evening (20-23)")</f>
        <v>Night (0-5)</v>
      </c>
    </row>
    <row r="8397" spans="1:9">
      <c r="A8397" s="32">
        <v>42172</v>
      </c>
      <c r="B8397">
        <v>6</v>
      </c>
      <c r="C8397">
        <v>2130</v>
      </c>
      <c r="D8397" t="s">
        <v>304</v>
      </c>
      <c r="E8397">
        <f>YEAR(A8397)</f>
        <v>2015</v>
      </c>
      <c r="F8397" s="33">
        <f>DATE(YEAR(A8397),MONTH(A8397),1)</f>
        <v>42156.0</v>
      </c>
      <c r="G8397" t="str">
        <f>CHOOSE(WEEKDAY(A8397,2),"Mon","Tue","Wed","Thu","Fri","Sat","Sun")</f>
        <v>Wed</v>
      </c>
      <c r="H8397" t="str">
        <f>IF(WEEKDAY(A8397,2)&gt;5,"Weekend","Weekday")</f>
        <v>Weekday</v>
      </c>
      <c r="I8397" t="str">
        <f>_xlfn.IFS(B8397&lt;=5,"Night (0-5)",B8397&lt;=9,"Morning peak (6-9)",B8397&lt;=15,"Midday (10-15)",B8397&lt;=19,"Evening peak (16-19)",TRUE,"Late evening (20-23)")</f>
        <v>Morning peak (6-9)</v>
      </c>
    </row>
    <row r="8398" spans="1:9">
      <c r="A8398" s="32">
        <v>42172</v>
      </c>
      <c r="B8398">
        <v>7</v>
      </c>
      <c r="C8398">
        <v>3542</v>
      </c>
      <c r="D8398" t="s">
        <v>304</v>
      </c>
      <c r="E8398">
        <f>YEAR(A8398)</f>
        <v>2015</v>
      </c>
      <c r="F8398" s="33">
        <f>DATE(YEAR(A8398),MONTH(A8398),1)</f>
        <v>42156.0</v>
      </c>
      <c r="G8398" t="str">
        <f>CHOOSE(WEEKDAY(A8398,2),"Mon","Tue","Wed","Thu","Fri","Sat","Sun")</f>
        <v>Wed</v>
      </c>
      <c r="H8398" t="str">
        <f>IF(WEEKDAY(A8398,2)&gt;5,"Weekend","Weekday")</f>
        <v>Weekday</v>
      </c>
      <c r="I8398" t="str">
        <f>_xlfn.IFS(B8398&lt;=5,"Night (0-5)",B8398&lt;=9,"Morning peak (6-9)",B8398&lt;=15,"Midday (10-15)",B8398&lt;=19,"Evening peak (16-19)",TRUE,"Late evening (20-23)")</f>
        <v>Morning peak (6-9)</v>
      </c>
    </row>
    <row r="8399" spans="1:9">
      <c r="A8399" s="32">
        <v>42172</v>
      </c>
      <c r="B8399">
        <v>8</v>
      </c>
      <c r="C8399">
        <v>4613</v>
      </c>
      <c r="D8399" t="s">
        <v>304</v>
      </c>
      <c r="E8399">
        <f>YEAR(A8399)</f>
        <v>2015</v>
      </c>
      <c r="F8399" s="33">
        <f>DATE(YEAR(A8399),MONTH(A8399),1)</f>
        <v>42156.0</v>
      </c>
      <c r="G8399" t="str">
        <f>CHOOSE(WEEKDAY(A8399,2),"Mon","Tue","Wed","Thu","Fri","Sat","Sun")</f>
        <v>Wed</v>
      </c>
      <c r="H8399" t="str">
        <f>IF(WEEKDAY(A8399,2)&gt;5,"Weekend","Weekday")</f>
        <v>Weekday</v>
      </c>
      <c r="I8399" t="str">
        <f>_xlfn.IFS(B8399&lt;=5,"Night (0-5)",B8399&lt;=9,"Morning peak (6-9)",B8399&lt;=15,"Midday (10-15)",B8399&lt;=19,"Evening peak (16-19)",TRUE,"Late evening (20-23)")</f>
        <v>Morning peak (6-9)</v>
      </c>
    </row>
    <row r="8400" spans="1:9">
      <c r="A8400" s="32">
        <v>42172</v>
      </c>
      <c r="B8400">
        <v>9</v>
      </c>
      <c r="C8400">
        <v>4482</v>
      </c>
      <c r="D8400" t="s">
        <v>304</v>
      </c>
      <c r="E8400">
        <f>YEAR(A8400)</f>
        <v>2015</v>
      </c>
      <c r="F8400" s="33">
        <f>DATE(YEAR(A8400),MONTH(A8400),1)</f>
        <v>42156.0</v>
      </c>
      <c r="G8400" t="str">
        <f>CHOOSE(WEEKDAY(A8400,2),"Mon","Tue","Wed","Thu","Fri","Sat","Sun")</f>
        <v>Wed</v>
      </c>
      <c r="H8400" t="str">
        <f>IF(WEEKDAY(A8400,2)&gt;5,"Weekend","Weekday")</f>
        <v>Weekday</v>
      </c>
      <c r="I8400" t="str">
        <f>_xlfn.IFS(B8400&lt;=5,"Night (0-5)",B8400&lt;=9,"Morning peak (6-9)",B8400&lt;=15,"Midday (10-15)",B8400&lt;=19,"Evening peak (16-19)",TRUE,"Late evening (20-23)")</f>
        <v>Morning peak (6-9)</v>
      </c>
    </row>
    <row r="8401" spans="1:9">
      <c r="A8401" s="32">
        <v>42172</v>
      </c>
      <c r="B8401">
        <v>10</v>
      </c>
      <c r="C8401">
        <v>3563</v>
      </c>
      <c r="D8401" t="s">
        <v>304</v>
      </c>
      <c r="E8401">
        <f>YEAR(A8401)</f>
        <v>2015</v>
      </c>
      <c r="F8401" s="33">
        <f>DATE(YEAR(A8401),MONTH(A8401),1)</f>
        <v>42156.0</v>
      </c>
      <c r="G8401" t="str">
        <f>CHOOSE(WEEKDAY(A8401,2),"Mon","Tue","Wed","Thu","Fri","Sat","Sun")</f>
        <v>Wed</v>
      </c>
      <c r="H8401" t="str">
        <f>IF(WEEKDAY(A8401,2)&gt;5,"Weekend","Weekday")</f>
        <v>Weekday</v>
      </c>
      <c r="I8401" t="str">
        <f>_xlfn.IFS(B8401&lt;=5,"Night (0-5)",B8401&lt;=9,"Morning peak (6-9)",B8401&lt;=15,"Midday (10-15)",B8401&lt;=19,"Evening peak (16-19)",TRUE,"Late evening (20-23)")</f>
        <v>Midday (10-15)</v>
      </c>
    </row>
    <row r="8402" spans="1:9">
      <c r="A8402" s="32">
        <v>42172</v>
      </c>
      <c r="B8402">
        <v>11</v>
      </c>
      <c r="C8402">
        <v>3319</v>
      </c>
      <c r="D8402" t="s">
        <v>304</v>
      </c>
      <c r="E8402">
        <f>YEAR(A8402)</f>
        <v>2015</v>
      </c>
      <c r="F8402" s="33">
        <f>DATE(YEAR(A8402),MONTH(A8402),1)</f>
        <v>42156.0</v>
      </c>
      <c r="G8402" t="str">
        <f>CHOOSE(WEEKDAY(A8402,2),"Mon","Tue","Wed","Thu","Fri","Sat","Sun")</f>
        <v>Wed</v>
      </c>
      <c r="H8402" t="str">
        <f>IF(WEEKDAY(A8402,2)&gt;5,"Weekend","Weekday")</f>
        <v>Weekday</v>
      </c>
      <c r="I8402" t="str">
        <f>_xlfn.IFS(B8402&lt;=5,"Night (0-5)",B8402&lt;=9,"Morning peak (6-9)",B8402&lt;=15,"Midday (10-15)",B8402&lt;=19,"Evening peak (16-19)",TRUE,"Late evening (20-23)")</f>
        <v>Midday (10-15)</v>
      </c>
    </row>
    <row r="8403" spans="1:9">
      <c r="A8403" s="32">
        <v>42172</v>
      </c>
      <c r="B8403">
        <v>12</v>
      </c>
      <c r="C8403">
        <v>3365</v>
      </c>
      <c r="D8403" t="s">
        <v>304</v>
      </c>
      <c r="E8403">
        <f>YEAR(A8403)</f>
        <v>2015</v>
      </c>
      <c r="F8403" s="33">
        <f>DATE(YEAR(A8403),MONTH(A8403),1)</f>
        <v>42156.0</v>
      </c>
      <c r="G8403" t="str">
        <f>CHOOSE(WEEKDAY(A8403,2),"Mon","Tue","Wed","Thu","Fri","Sat","Sun")</f>
        <v>Wed</v>
      </c>
      <c r="H8403" t="str">
        <f>IF(WEEKDAY(A8403,2)&gt;5,"Weekend","Weekday")</f>
        <v>Weekday</v>
      </c>
      <c r="I8403" t="str">
        <f>_xlfn.IFS(B8403&lt;=5,"Night (0-5)",B8403&lt;=9,"Morning peak (6-9)",B8403&lt;=15,"Midday (10-15)",B8403&lt;=19,"Evening peak (16-19)",TRUE,"Late evening (20-23)")</f>
        <v>Midday (10-15)</v>
      </c>
    </row>
    <row r="8404" spans="1:9">
      <c r="A8404" s="32">
        <v>42172</v>
      </c>
      <c r="B8404">
        <v>13</v>
      </c>
      <c r="C8404">
        <v>3429</v>
      </c>
      <c r="D8404" t="s">
        <v>304</v>
      </c>
      <c r="E8404">
        <f>YEAR(A8404)</f>
        <v>2015</v>
      </c>
      <c r="F8404" s="33">
        <f>DATE(YEAR(A8404),MONTH(A8404),1)</f>
        <v>42156.0</v>
      </c>
      <c r="G8404" t="str">
        <f>CHOOSE(WEEKDAY(A8404,2),"Mon","Tue","Wed","Thu","Fri","Sat","Sun")</f>
        <v>Wed</v>
      </c>
      <c r="H8404" t="str">
        <f>IF(WEEKDAY(A8404,2)&gt;5,"Weekend","Weekday")</f>
        <v>Weekday</v>
      </c>
      <c r="I8404" t="str">
        <f>_xlfn.IFS(B8404&lt;=5,"Night (0-5)",B8404&lt;=9,"Morning peak (6-9)",B8404&lt;=15,"Midday (10-15)",B8404&lt;=19,"Evening peak (16-19)",TRUE,"Late evening (20-23)")</f>
        <v>Midday (10-15)</v>
      </c>
    </row>
    <row r="8405" spans="1:9">
      <c r="A8405" s="32">
        <v>42172</v>
      </c>
      <c r="B8405">
        <v>14</v>
      </c>
      <c r="C8405">
        <v>3701</v>
      </c>
      <c r="D8405" t="s">
        <v>304</v>
      </c>
      <c r="E8405">
        <f>YEAR(A8405)</f>
        <v>2015</v>
      </c>
      <c r="F8405" s="33">
        <f>DATE(YEAR(A8405),MONTH(A8405),1)</f>
        <v>42156.0</v>
      </c>
      <c r="G8405" t="str">
        <f>CHOOSE(WEEKDAY(A8405,2),"Mon","Tue","Wed","Thu","Fri","Sat","Sun")</f>
        <v>Wed</v>
      </c>
      <c r="H8405" t="str">
        <f>IF(WEEKDAY(A8405,2)&gt;5,"Weekend","Weekday")</f>
        <v>Weekday</v>
      </c>
      <c r="I8405" t="str">
        <f>_xlfn.IFS(B8405&lt;=5,"Night (0-5)",B8405&lt;=9,"Morning peak (6-9)",B8405&lt;=15,"Midday (10-15)",B8405&lt;=19,"Evening peak (16-19)",TRUE,"Late evening (20-23)")</f>
        <v>Midday (10-15)</v>
      </c>
    </row>
    <row r="8406" spans="1:9">
      <c r="A8406" s="32">
        <v>42172</v>
      </c>
      <c r="B8406">
        <v>15</v>
      </c>
      <c r="C8406">
        <v>4176</v>
      </c>
      <c r="D8406" t="s">
        <v>304</v>
      </c>
      <c r="E8406">
        <f>YEAR(A8406)</f>
        <v>2015</v>
      </c>
      <c r="F8406" s="33">
        <f>DATE(YEAR(A8406),MONTH(A8406),1)</f>
        <v>42156.0</v>
      </c>
      <c r="G8406" t="str">
        <f>CHOOSE(WEEKDAY(A8406,2),"Mon","Tue","Wed","Thu","Fri","Sat","Sun")</f>
        <v>Wed</v>
      </c>
      <c r="H8406" t="str">
        <f>IF(WEEKDAY(A8406,2)&gt;5,"Weekend","Weekday")</f>
        <v>Weekday</v>
      </c>
      <c r="I8406" t="str">
        <f>_xlfn.IFS(B8406&lt;=5,"Night (0-5)",B8406&lt;=9,"Morning peak (6-9)",B8406&lt;=15,"Midday (10-15)",B8406&lt;=19,"Evening peak (16-19)",TRUE,"Late evening (20-23)")</f>
        <v>Midday (10-15)</v>
      </c>
    </row>
    <row r="8407" spans="1:9">
      <c r="A8407" s="32">
        <v>42172</v>
      </c>
      <c r="B8407">
        <v>16</v>
      </c>
      <c r="C8407">
        <v>4788</v>
      </c>
      <c r="D8407" t="s">
        <v>304</v>
      </c>
      <c r="E8407">
        <f>YEAR(A8407)</f>
        <v>2015</v>
      </c>
      <c r="F8407" s="33">
        <f>DATE(YEAR(A8407),MONTH(A8407),1)</f>
        <v>42156.0</v>
      </c>
      <c r="G8407" t="str">
        <f>CHOOSE(WEEKDAY(A8407,2),"Mon","Tue","Wed","Thu","Fri","Sat","Sun")</f>
        <v>Wed</v>
      </c>
      <c r="H8407" t="str">
        <f>IF(WEEKDAY(A8407,2)&gt;5,"Weekend","Weekday")</f>
        <v>Weekday</v>
      </c>
      <c r="I8407" t="str">
        <f>_xlfn.IFS(B8407&lt;=5,"Night (0-5)",B8407&lt;=9,"Morning peak (6-9)",B8407&lt;=15,"Midday (10-15)",B8407&lt;=19,"Evening peak (16-19)",TRUE,"Late evening (20-23)")</f>
        <v>Evening peak (16-19)</v>
      </c>
    </row>
    <row r="8408" spans="1:9">
      <c r="A8408" s="32">
        <v>42172</v>
      </c>
      <c r="B8408">
        <v>17</v>
      </c>
      <c r="C8408">
        <v>5661</v>
      </c>
      <c r="D8408" t="s">
        <v>304</v>
      </c>
      <c r="E8408">
        <f>YEAR(A8408)</f>
        <v>2015</v>
      </c>
      <c r="F8408" s="33">
        <f>DATE(YEAR(A8408),MONTH(A8408),1)</f>
        <v>42156.0</v>
      </c>
      <c r="G8408" t="str">
        <f>CHOOSE(WEEKDAY(A8408,2),"Mon","Tue","Wed","Thu","Fri","Sat","Sun")</f>
        <v>Wed</v>
      </c>
      <c r="H8408" t="str">
        <f>IF(WEEKDAY(A8408,2)&gt;5,"Weekend","Weekday")</f>
        <v>Weekday</v>
      </c>
      <c r="I8408" t="str">
        <f>_xlfn.IFS(B8408&lt;=5,"Night (0-5)",B8408&lt;=9,"Morning peak (6-9)",B8408&lt;=15,"Midday (10-15)",B8408&lt;=19,"Evening peak (16-19)",TRUE,"Late evening (20-23)")</f>
        <v>Evening peak (16-19)</v>
      </c>
    </row>
    <row r="8409" spans="1:9">
      <c r="A8409" s="32">
        <v>42172</v>
      </c>
      <c r="B8409">
        <v>18</v>
      </c>
      <c r="C8409">
        <v>6845</v>
      </c>
      <c r="D8409" t="s">
        <v>304</v>
      </c>
      <c r="E8409">
        <f>YEAR(A8409)</f>
        <v>2015</v>
      </c>
      <c r="F8409" s="33">
        <f>DATE(YEAR(A8409),MONTH(A8409),1)</f>
        <v>42156.0</v>
      </c>
      <c r="G8409" t="str">
        <f>CHOOSE(WEEKDAY(A8409,2),"Mon","Tue","Wed","Thu","Fri","Sat","Sun")</f>
        <v>Wed</v>
      </c>
      <c r="H8409" t="str">
        <f>IF(WEEKDAY(A8409,2)&gt;5,"Weekend","Weekday")</f>
        <v>Weekday</v>
      </c>
      <c r="I8409" t="str">
        <f>_xlfn.IFS(B8409&lt;=5,"Night (0-5)",B8409&lt;=9,"Morning peak (6-9)",B8409&lt;=15,"Midday (10-15)",B8409&lt;=19,"Evening peak (16-19)",TRUE,"Late evening (20-23)")</f>
        <v>Evening peak (16-19)</v>
      </c>
    </row>
    <row r="8410" spans="1:9">
      <c r="A8410" s="32">
        <v>42172</v>
      </c>
      <c r="B8410">
        <v>19</v>
      </c>
      <c r="C8410">
        <v>7071</v>
      </c>
      <c r="D8410" t="s">
        <v>304</v>
      </c>
      <c r="E8410">
        <f>YEAR(A8410)</f>
        <v>2015</v>
      </c>
      <c r="F8410" s="33">
        <f>DATE(YEAR(A8410),MONTH(A8410),1)</f>
        <v>42156.0</v>
      </c>
      <c r="G8410" t="str">
        <f>CHOOSE(WEEKDAY(A8410,2),"Mon","Tue","Wed","Thu","Fri","Sat","Sun")</f>
        <v>Wed</v>
      </c>
      <c r="H8410" t="str">
        <f>IF(WEEKDAY(A8410,2)&gt;5,"Weekend","Weekday")</f>
        <v>Weekday</v>
      </c>
      <c r="I8410" t="str">
        <f>_xlfn.IFS(B8410&lt;=5,"Night (0-5)",B8410&lt;=9,"Morning peak (6-9)",B8410&lt;=15,"Midday (10-15)",B8410&lt;=19,"Evening peak (16-19)",TRUE,"Late evening (20-23)")</f>
        <v>Evening peak (16-19)</v>
      </c>
    </row>
    <row r="8411" spans="1:9">
      <c r="A8411" s="32">
        <v>42172</v>
      </c>
      <c r="B8411">
        <v>20</v>
      </c>
      <c r="C8411">
        <v>6100</v>
      </c>
      <c r="D8411" t="s">
        <v>304</v>
      </c>
      <c r="E8411">
        <f>YEAR(A8411)</f>
        <v>2015</v>
      </c>
      <c r="F8411" s="33">
        <f>DATE(YEAR(A8411),MONTH(A8411),1)</f>
        <v>42156.0</v>
      </c>
      <c r="G8411" t="str">
        <f>CHOOSE(WEEKDAY(A8411,2),"Mon","Tue","Wed","Thu","Fri","Sat","Sun")</f>
        <v>Wed</v>
      </c>
      <c r="H8411" t="str">
        <f>IF(WEEKDAY(A8411,2)&gt;5,"Weekend","Weekday")</f>
        <v>Weekday</v>
      </c>
      <c r="I8411" t="str">
        <f>_xlfn.IFS(B8411&lt;=5,"Night (0-5)",B8411&lt;=9,"Morning peak (6-9)",B8411&lt;=15,"Midday (10-15)",B8411&lt;=19,"Evening peak (16-19)",TRUE,"Late evening (20-23)")</f>
        <v>Late evening (20-23)</v>
      </c>
    </row>
    <row r="8412" spans="1:9">
      <c r="A8412" s="32">
        <v>42172</v>
      </c>
      <c r="B8412">
        <v>21</v>
      </c>
      <c r="C8412">
        <v>6293</v>
      </c>
      <c r="D8412" t="s">
        <v>304</v>
      </c>
      <c r="E8412">
        <f>YEAR(A8412)</f>
        <v>2015</v>
      </c>
      <c r="F8412" s="33">
        <f>DATE(YEAR(A8412),MONTH(A8412),1)</f>
        <v>42156.0</v>
      </c>
      <c r="G8412" t="str">
        <f>CHOOSE(WEEKDAY(A8412,2),"Mon","Tue","Wed","Thu","Fri","Sat","Sun")</f>
        <v>Wed</v>
      </c>
      <c r="H8412" t="str">
        <f>IF(WEEKDAY(A8412,2)&gt;5,"Weekend","Weekday")</f>
        <v>Weekday</v>
      </c>
      <c r="I8412" t="str">
        <f>_xlfn.IFS(B8412&lt;=5,"Night (0-5)",B8412&lt;=9,"Morning peak (6-9)",B8412&lt;=15,"Midday (10-15)",B8412&lt;=19,"Evening peak (16-19)",TRUE,"Late evening (20-23)")</f>
        <v>Late evening (20-23)</v>
      </c>
    </row>
    <row r="8413" spans="1:9">
      <c r="A8413" s="32">
        <v>42172</v>
      </c>
      <c r="B8413">
        <v>22</v>
      </c>
      <c r="C8413">
        <v>6388</v>
      </c>
      <c r="D8413" t="s">
        <v>304</v>
      </c>
      <c r="E8413">
        <f>YEAR(A8413)</f>
        <v>2015</v>
      </c>
      <c r="F8413" s="33">
        <f>DATE(YEAR(A8413),MONTH(A8413),1)</f>
        <v>42156.0</v>
      </c>
      <c r="G8413" t="str">
        <f>CHOOSE(WEEKDAY(A8413,2),"Mon","Tue","Wed","Thu","Fri","Sat","Sun")</f>
        <v>Wed</v>
      </c>
      <c r="H8413" t="str">
        <f>IF(WEEKDAY(A8413,2)&gt;5,"Weekend","Weekday")</f>
        <v>Weekday</v>
      </c>
      <c r="I8413" t="str">
        <f>_xlfn.IFS(B8413&lt;=5,"Night (0-5)",B8413&lt;=9,"Morning peak (6-9)",B8413&lt;=15,"Midday (10-15)",B8413&lt;=19,"Evening peak (16-19)",TRUE,"Late evening (20-23)")</f>
        <v>Late evening (20-23)</v>
      </c>
    </row>
    <row r="8414" spans="1:9">
      <c r="A8414" s="32">
        <v>42172</v>
      </c>
      <c r="B8414">
        <v>23</v>
      </c>
      <c r="C8414">
        <v>5326</v>
      </c>
      <c r="D8414" t="s">
        <v>304</v>
      </c>
      <c r="E8414">
        <f>YEAR(A8414)</f>
        <v>2015</v>
      </c>
      <c r="F8414" s="33">
        <f>DATE(YEAR(A8414),MONTH(A8414),1)</f>
        <v>42156.0</v>
      </c>
      <c r="G8414" t="str">
        <f>CHOOSE(WEEKDAY(A8414,2),"Mon","Tue","Wed","Thu","Fri","Sat","Sun")</f>
        <v>Wed</v>
      </c>
      <c r="H8414" t="str">
        <f>IF(WEEKDAY(A8414,2)&gt;5,"Weekend","Weekday")</f>
        <v>Weekday</v>
      </c>
      <c r="I8414" t="str">
        <f>_xlfn.IFS(B8414&lt;=5,"Night (0-5)",B8414&lt;=9,"Morning peak (6-9)",B8414&lt;=15,"Midday (10-15)",B8414&lt;=19,"Evening peak (16-19)",TRUE,"Late evening (20-23)")</f>
        <v>Late evening (20-23)</v>
      </c>
    </row>
    <row r="8415" spans="1:9">
      <c r="A8415" s="32">
        <v>42173</v>
      </c>
      <c r="B8415">
        <v>0</v>
      </c>
      <c r="C8415">
        <v>3175</v>
      </c>
      <c r="D8415" t="s">
        <v>304</v>
      </c>
      <c r="E8415">
        <f>YEAR(A8415)</f>
        <v>2015</v>
      </c>
      <c r="F8415" s="33">
        <f>DATE(YEAR(A8415),MONTH(A8415),1)</f>
        <v>42156.0</v>
      </c>
      <c r="G8415" t="str">
        <f>CHOOSE(WEEKDAY(A8415,2),"Mon","Tue","Wed","Thu","Fri","Sat","Sun")</f>
        <v>Thu</v>
      </c>
      <c r="H8415" t="str">
        <f>IF(WEEKDAY(A8415,2)&gt;5,"Weekend","Weekday")</f>
        <v>Weekday</v>
      </c>
      <c r="I8415" t="str">
        <f>_xlfn.IFS(B8415&lt;=5,"Night (0-5)",B8415&lt;=9,"Morning peak (6-9)",B8415&lt;=15,"Midday (10-15)",B8415&lt;=19,"Evening peak (16-19)",TRUE,"Late evening (20-23)")</f>
        <v>Night (0-5)</v>
      </c>
    </row>
    <row r="8416" spans="1:9">
      <c r="A8416" s="32">
        <v>42173</v>
      </c>
      <c r="B8416">
        <v>1</v>
      </c>
      <c r="C8416">
        <v>1698</v>
      </c>
      <c r="D8416" t="s">
        <v>304</v>
      </c>
      <c r="E8416">
        <f>YEAR(A8416)</f>
        <v>2015</v>
      </c>
      <c r="F8416" s="33">
        <f>DATE(YEAR(A8416),MONTH(A8416),1)</f>
        <v>42156.0</v>
      </c>
      <c r="G8416" t="str">
        <f>CHOOSE(WEEKDAY(A8416,2),"Mon","Tue","Wed","Thu","Fri","Sat","Sun")</f>
        <v>Thu</v>
      </c>
      <c r="H8416" t="str">
        <f>IF(WEEKDAY(A8416,2)&gt;5,"Weekend","Weekday")</f>
        <v>Weekday</v>
      </c>
      <c r="I8416" t="str">
        <f>_xlfn.IFS(B8416&lt;=5,"Night (0-5)",B8416&lt;=9,"Morning peak (6-9)",B8416&lt;=15,"Midday (10-15)",B8416&lt;=19,"Evening peak (16-19)",TRUE,"Late evening (20-23)")</f>
        <v>Night (0-5)</v>
      </c>
    </row>
    <row r="8417" spans="1:9">
      <c r="A8417" s="32">
        <v>42173</v>
      </c>
      <c r="B8417">
        <v>2</v>
      </c>
      <c r="C8417">
        <v>1015</v>
      </c>
      <c r="D8417" t="s">
        <v>304</v>
      </c>
      <c r="E8417">
        <f>YEAR(A8417)</f>
        <v>2015</v>
      </c>
      <c r="F8417" s="33">
        <f>DATE(YEAR(A8417),MONTH(A8417),1)</f>
        <v>42156.0</v>
      </c>
      <c r="G8417" t="str">
        <f>CHOOSE(WEEKDAY(A8417,2),"Mon","Tue","Wed","Thu","Fri","Sat","Sun")</f>
        <v>Thu</v>
      </c>
      <c r="H8417" t="str">
        <f>IF(WEEKDAY(A8417,2)&gt;5,"Weekend","Weekday")</f>
        <v>Weekday</v>
      </c>
      <c r="I8417" t="str">
        <f>_xlfn.IFS(B8417&lt;=5,"Night (0-5)",B8417&lt;=9,"Morning peak (6-9)",B8417&lt;=15,"Midday (10-15)",B8417&lt;=19,"Evening peak (16-19)",TRUE,"Late evening (20-23)")</f>
        <v>Night (0-5)</v>
      </c>
    </row>
    <row r="8418" spans="1:9">
      <c r="A8418" s="32">
        <v>42173</v>
      </c>
      <c r="B8418">
        <v>3</v>
      </c>
      <c r="C8418">
        <v>738</v>
      </c>
      <c r="D8418" t="s">
        <v>304</v>
      </c>
      <c r="E8418">
        <f>YEAR(A8418)</f>
        <v>2015</v>
      </c>
      <c r="F8418" s="33">
        <f>DATE(YEAR(A8418),MONTH(A8418),1)</f>
        <v>42156.0</v>
      </c>
      <c r="G8418" t="str">
        <f>CHOOSE(WEEKDAY(A8418,2),"Mon","Tue","Wed","Thu","Fri","Sat","Sun")</f>
        <v>Thu</v>
      </c>
      <c r="H8418" t="str">
        <f>IF(WEEKDAY(A8418,2)&gt;5,"Weekend","Weekday")</f>
        <v>Weekday</v>
      </c>
      <c r="I8418" t="str">
        <f>_xlfn.IFS(B8418&lt;=5,"Night (0-5)",B8418&lt;=9,"Morning peak (6-9)",B8418&lt;=15,"Midday (10-15)",B8418&lt;=19,"Evening peak (16-19)",TRUE,"Late evening (20-23)")</f>
        <v>Night (0-5)</v>
      </c>
    </row>
    <row r="8419" spans="1:9">
      <c r="A8419" s="32">
        <v>42173</v>
      </c>
      <c r="B8419">
        <v>4</v>
      </c>
      <c r="C8419">
        <v>951</v>
      </c>
      <c r="D8419" t="s">
        <v>304</v>
      </c>
      <c r="E8419">
        <f>YEAR(A8419)</f>
        <v>2015</v>
      </c>
      <c r="F8419" s="33">
        <f>DATE(YEAR(A8419),MONTH(A8419),1)</f>
        <v>42156.0</v>
      </c>
      <c r="G8419" t="str">
        <f>CHOOSE(WEEKDAY(A8419,2),"Mon","Tue","Wed","Thu","Fri","Sat","Sun")</f>
        <v>Thu</v>
      </c>
      <c r="H8419" t="str">
        <f>IF(WEEKDAY(A8419,2)&gt;5,"Weekend","Weekday")</f>
        <v>Weekday</v>
      </c>
      <c r="I8419" t="str">
        <f>_xlfn.IFS(B8419&lt;=5,"Night (0-5)",B8419&lt;=9,"Morning peak (6-9)",B8419&lt;=15,"Midday (10-15)",B8419&lt;=19,"Evening peak (16-19)",TRUE,"Late evening (20-23)")</f>
        <v>Night (0-5)</v>
      </c>
    </row>
    <row r="8420" spans="1:9">
      <c r="A8420" s="32">
        <v>42173</v>
      </c>
      <c r="B8420">
        <v>5</v>
      </c>
      <c r="C8420">
        <v>1387</v>
      </c>
      <c r="D8420" t="s">
        <v>304</v>
      </c>
      <c r="E8420">
        <f>YEAR(A8420)</f>
        <v>2015</v>
      </c>
      <c r="F8420" s="33">
        <f>DATE(YEAR(A8420),MONTH(A8420),1)</f>
        <v>42156.0</v>
      </c>
      <c r="G8420" t="str">
        <f>CHOOSE(WEEKDAY(A8420,2),"Mon","Tue","Wed","Thu","Fri","Sat","Sun")</f>
        <v>Thu</v>
      </c>
      <c r="H8420" t="str">
        <f>IF(WEEKDAY(A8420,2)&gt;5,"Weekend","Weekday")</f>
        <v>Weekday</v>
      </c>
      <c r="I8420" t="str">
        <f>_xlfn.IFS(B8420&lt;=5,"Night (0-5)",B8420&lt;=9,"Morning peak (6-9)",B8420&lt;=15,"Midday (10-15)",B8420&lt;=19,"Evening peak (16-19)",TRUE,"Late evening (20-23)")</f>
        <v>Night (0-5)</v>
      </c>
    </row>
    <row r="8421" spans="1:9">
      <c r="A8421" s="32">
        <v>42173</v>
      </c>
      <c r="B8421">
        <v>6</v>
      </c>
      <c r="C8421">
        <v>2314</v>
      </c>
      <c r="D8421" t="s">
        <v>304</v>
      </c>
      <c r="E8421">
        <f>YEAR(A8421)</f>
        <v>2015</v>
      </c>
      <c r="F8421" s="33">
        <f>DATE(YEAR(A8421),MONTH(A8421),1)</f>
        <v>42156.0</v>
      </c>
      <c r="G8421" t="str">
        <f>CHOOSE(WEEKDAY(A8421,2),"Mon","Tue","Wed","Thu","Fri","Sat","Sun")</f>
        <v>Thu</v>
      </c>
      <c r="H8421" t="str">
        <f>IF(WEEKDAY(A8421,2)&gt;5,"Weekend","Weekday")</f>
        <v>Weekday</v>
      </c>
      <c r="I8421" t="str">
        <f>_xlfn.IFS(B8421&lt;=5,"Night (0-5)",B8421&lt;=9,"Morning peak (6-9)",B8421&lt;=15,"Midday (10-15)",B8421&lt;=19,"Evening peak (16-19)",TRUE,"Late evening (20-23)")</f>
        <v>Morning peak (6-9)</v>
      </c>
    </row>
    <row r="8422" spans="1:9">
      <c r="A8422" s="32">
        <v>42173</v>
      </c>
      <c r="B8422">
        <v>7</v>
      </c>
      <c r="C8422">
        <v>3709</v>
      </c>
      <c r="D8422" t="s">
        <v>304</v>
      </c>
      <c r="E8422">
        <f>YEAR(A8422)</f>
        <v>2015</v>
      </c>
      <c r="F8422" s="33">
        <f>DATE(YEAR(A8422),MONTH(A8422),1)</f>
        <v>42156.0</v>
      </c>
      <c r="G8422" t="str">
        <f>CHOOSE(WEEKDAY(A8422,2),"Mon","Tue","Wed","Thu","Fri","Sat","Sun")</f>
        <v>Thu</v>
      </c>
      <c r="H8422" t="str">
        <f>IF(WEEKDAY(A8422,2)&gt;5,"Weekend","Weekday")</f>
        <v>Weekday</v>
      </c>
      <c r="I8422" t="str">
        <f>_xlfn.IFS(B8422&lt;=5,"Night (0-5)",B8422&lt;=9,"Morning peak (6-9)",B8422&lt;=15,"Midday (10-15)",B8422&lt;=19,"Evening peak (16-19)",TRUE,"Late evening (20-23)")</f>
        <v>Morning peak (6-9)</v>
      </c>
    </row>
    <row r="8423" spans="1:9">
      <c r="A8423" s="32">
        <v>42173</v>
      </c>
      <c r="B8423">
        <v>8</v>
      </c>
      <c r="C8423">
        <v>5079</v>
      </c>
      <c r="D8423" t="s">
        <v>304</v>
      </c>
      <c r="E8423">
        <f>YEAR(A8423)</f>
        <v>2015</v>
      </c>
      <c r="F8423" s="33">
        <f>DATE(YEAR(A8423),MONTH(A8423),1)</f>
        <v>42156.0</v>
      </c>
      <c r="G8423" t="str">
        <f>CHOOSE(WEEKDAY(A8423,2),"Mon","Tue","Wed","Thu","Fri","Sat","Sun")</f>
        <v>Thu</v>
      </c>
      <c r="H8423" t="str">
        <f>IF(WEEKDAY(A8423,2)&gt;5,"Weekend","Weekday")</f>
        <v>Weekday</v>
      </c>
      <c r="I8423" t="str">
        <f>_xlfn.IFS(B8423&lt;=5,"Night (0-5)",B8423&lt;=9,"Morning peak (6-9)",B8423&lt;=15,"Midday (10-15)",B8423&lt;=19,"Evening peak (16-19)",TRUE,"Late evening (20-23)")</f>
        <v>Morning peak (6-9)</v>
      </c>
    </row>
    <row r="8424" spans="1:9">
      <c r="A8424" s="32">
        <v>42173</v>
      </c>
      <c r="B8424">
        <v>9</v>
      </c>
      <c r="C8424">
        <v>5062</v>
      </c>
      <c r="D8424" t="s">
        <v>304</v>
      </c>
      <c r="E8424">
        <f>YEAR(A8424)</f>
        <v>2015</v>
      </c>
      <c r="F8424" s="33">
        <f>DATE(YEAR(A8424),MONTH(A8424),1)</f>
        <v>42156.0</v>
      </c>
      <c r="G8424" t="str">
        <f>CHOOSE(WEEKDAY(A8424,2),"Mon","Tue","Wed","Thu","Fri","Sat","Sun")</f>
        <v>Thu</v>
      </c>
      <c r="H8424" t="str">
        <f>IF(WEEKDAY(A8424,2)&gt;5,"Weekend","Weekday")</f>
        <v>Weekday</v>
      </c>
      <c r="I8424" t="str">
        <f>_xlfn.IFS(B8424&lt;=5,"Night (0-5)",B8424&lt;=9,"Morning peak (6-9)",B8424&lt;=15,"Midday (10-15)",B8424&lt;=19,"Evening peak (16-19)",TRUE,"Late evening (20-23)")</f>
        <v>Morning peak (6-9)</v>
      </c>
    </row>
    <row r="8425" spans="1:9">
      <c r="A8425" s="32">
        <v>42173</v>
      </c>
      <c r="B8425">
        <v>10</v>
      </c>
      <c r="C8425">
        <v>3919</v>
      </c>
      <c r="D8425" t="s">
        <v>304</v>
      </c>
      <c r="E8425">
        <f>YEAR(A8425)</f>
        <v>2015</v>
      </c>
      <c r="F8425" s="33">
        <f>DATE(YEAR(A8425),MONTH(A8425),1)</f>
        <v>42156.0</v>
      </c>
      <c r="G8425" t="str">
        <f>CHOOSE(WEEKDAY(A8425,2),"Mon","Tue","Wed","Thu","Fri","Sat","Sun")</f>
        <v>Thu</v>
      </c>
      <c r="H8425" t="str">
        <f>IF(WEEKDAY(A8425,2)&gt;5,"Weekend","Weekday")</f>
        <v>Weekday</v>
      </c>
      <c r="I8425" t="str">
        <f>_xlfn.IFS(B8425&lt;=5,"Night (0-5)",B8425&lt;=9,"Morning peak (6-9)",B8425&lt;=15,"Midday (10-15)",B8425&lt;=19,"Evening peak (16-19)",TRUE,"Late evening (20-23)")</f>
        <v>Midday (10-15)</v>
      </c>
    </row>
    <row r="8426" spans="1:9">
      <c r="A8426" s="32">
        <v>42173</v>
      </c>
      <c r="B8426">
        <v>11</v>
      </c>
      <c r="C8426">
        <v>3725</v>
      </c>
      <c r="D8426" t="s">
        <v>304</v>
      </c>
      <c r="E8426">
        <f>YEAR(A8426)</f>
        <v>2015</v>
      </c>
      <c r="F8426" s="33">
        <f>DATE(YEAR(A8426),MONTH(A8426),1)</f>
        <v>42156.0</v>
      </c>
      <c r="G8426" t="str">
        <f>CHOOSE(WEEKDAY(A8426,2),"Mon","Tue","Wed","Thu","Fri","Sat","Sun")</f>
        <v>Thu</v>
      </c>
      <c r="H8426" t="str">
        <f>IF(WEEKDAY(A8426,2)&gt;5,"Weekend","Weekday")</f>
        <v>Weekday</v>
      </c>
      <c r="I8426" t="str">
        <f>_xlfn.IFS(B8426&lt;=5,"Night (0-5)",B8426&lt;=9,"Morning peak (6-9)",B8426&lt;=15,"Midday (10-15)",B8426&lt;=19,"Evening peak (16-19)",TRUE,"Late evening (20-23)")</f>
        <v>Midday (10-15)</v>
      </c>
    </row>
    <row r="8427" spans="1:9">
      <c r="A8427" s="32">
        <v>42173</v>
      </c>
      <c r="B8427">
        <v>12</v>
      </c>
      <c r="C8427">
        <v>3540</v>
      </c>
      <c r="D8427" t="s">
        <v>304</v>
      </c>
      <c r="E8427">
        <f>YEAR(A8427)</f>
        <v>2015</v>
      </c>
      <c r="F8427" s="33">
        <f>DATE(YEAR(A8427),MONTH(A8427),1)</f>
        <v>42156.0</v>
      </c>
      <c r="G8427" t="str">
        <f>CHOOSE(WEEKDAY(A8427,2),"Mon","Tue","Wed","Thu","Fri","Sat","Sun")</f>
        <v>Thu</v>
      </c>
      <c r="H8427" t="str">
        <f>IF(WEEKDAY(A8427,2)&gt;5,"Weekend","Weekday")</f>
        <v>Weekday</v>
      </c>
      <c r="I8427" t="str">
        <f>_xlfn.IFS(B8427&lt;=5,"Night (0-5)",B8427&lt;=9,"Morning peak (6-9)",B8427&lt;=15,"Midday (10-15)",B8427&lt;=19,"Evening peak (16-19)",TRUE,"Late evening (20-23)")</f>
        <v>Midday (10-15)</v>
      </c>
    </row>
    <row r="8428" spans="1:9">
      <c r="A8428" s="32">
        <v>42173</v>
      </c>
      <c r="B8428">
        <v>13</v>
      </c>
      <c r="C8428">
        <v>3617</v>
      </c>
      <c r="D8428" t="s">
        <v>304</v>
      </c>
      <c r="E8428">
        <f>YEAR(A8428)</f>
        <v>2015</v>
      </c>
      <c r="F8428" s="33">
        <f>DATE(YEAR(A8428),MONTH(A8428),1)</f>
        <v>42156.0</v>
      </c>
      <c r="G8428" t="str">
        <f>CHOOSE(WEEKDAY(A8428,2),"Mon","Tue","Wed","Thu","Fri","Sat","Sun")</f>
        <v>Thu</v>
      </c>
      <c r="H8428" t="str">
        <f>IF(WEEKDAY(A8428,2)&gt;5,"Weekend","Weekday")</f>
        <v>Weekday</v>
      </c>
      <c r="I8428" t="str">
        <f>_xlfn.IFS(B8428&lt;=5,"Night (0-5)",B8428&lt;=9,"Morning peak (6-9)",B8428&lt;=15,"Midday (10-15)",B8428&lt;=19,"Evening peak (16-19)",TRUE,"Late evening (20-23)")</f>
        <v>Midday (10-15)</v>
      </c>
    </row>
    <row r="8429" spans="1:9">
      <c r="A8429" s="32">
        <v>42173</v>
      </c>
      <c r="B8429">
        <v>14</v>
      </c>
      <c r="C8429">
        <v>3964</v>
      </c>
      <c r="D8429" t="s">
        <v>304</v>
      </c>
      <c r="E8429">
        <f>YEAR(A8429)</f>
        <v>2015</v>
      </c>
      <c r="F8429" s="33">
        <f>DATE(YEAR(A8429),MONTH(A8429),1)</f>
        <v>42156.0</v>
      </c>
      <c r="G8429" t="str">
        <f>CHOOSE(WEEKDAY(A8429,2),"Mon","Tue","Wed","Thu","Fri","Sat","Sun")</f>
        <v>Thu</v>
      </c>
      <c r="H8429" t="str">
        <f>IF(WEEKDAY(A8429,2)&gt;5,"Weekend","Weekday")</f>
        <v>Weekday</v>
      </c>
      <c r="I8429" t="str">
        <f>_xlfn.IFS(B8429&lt;=5,"Night (0-5)",B8429&lt;=9,"Morning peak (6-9)",B8429&lt;=15,"Midday (10-15)",B8429&lt;=19,"Evening peak (16-19)",TRUE,"Late evening (20-23)")</f>
        <v>Midday (10-15)</v>
      </c>
    </row>
    <row r="8430" spans="1:9">
      <c r="A8430" s="32">
        <v>42173</v>
      </c>
      <c r="B8430">
        <v>15</v>
      </c>
      <c r="C8430">
        <v>4762</v>
      </c>
      <c r="D8430" t="s">
        <v>304</v>
      </c>
      <c r="E8430">
        <f>YEAR(A8430)</f>
        <v>2015</v>
      </c>
      <c r="F8430" s="33">
        <f>DATE(YEAR(A8430),MONTH(A8430),1)</f>
        <v>42156.0</v>
      </c>
      <c r="G8430" t="str">
        <f>CHOOSE(WEEKDAY(A8430,2),"Mon","Tue","Wed","Thu","Fri","Sat","Sun")</f>
        <v>Thu</v>
      </c>
      <c r="H8430" t="str">
        <f>IF(WEEKDAY(A8430,2)&gt;5,"Weekend","Weekday")</f>
        <v>Weekday</v>
      </c>
      <c r="I8430" t="str">
        <f>_xlfn.IFS(B8430&lt;=5,"Night (0-5)",B8430&lt;=9,"Morning peak (6-9)",B8430&lt;=15,"Midday (10-15)",B8430&lt;=19,"Evening peak (16-19)",TRUE,"Late evening (20-23)")</f>
        <v>Midday (10-15)</v>
      </c>
    </row>
    <row r="8431" spans="1:9">
      <c r="A8431" s="32">
        <v>42173</v>
      </c>
      <c r="B8431">
        <v>16</v>
      </c>
      <c r="C8431">
        <v>5218</v>
      </c>
      <c r="D8431" t="s">
        <v>304</v>
      </c>
      <c r="E8431">
        <f>YEAR(A8431)</f>
        <v>2015</v>
      </c>
      <c r="F8431" s="33">
        <f>DATE(YEAR(A8431),MONTH(A8431),1)</f>
        <v>42156.0</v>
      </c>
      <c r="G8431" t="str">
        <f>CHOOSE(WEEKDAY(A8431,2),"Mon","Tue","Wed","Thu","Fri","Sat","Sun")</f>
        <v>Thu</v>
      </c>
      <c r="H8431" t="str">
        <f>IF(WEEKDAY(A8431,2)&gt;5,"Weekend","Weekday")</f>
        <v>Weekday</v>
      </c>
      <c r="I8431" t="str">
        <f>_xlfn.IFS(B8431&lt;=5,"Night (0-5)",B8431&lt;=9,"Morning peak (6-9)",B8431&lt;=15,"Midday (10-15)",B8431&lt;=19,"Evening peak (16-19)",TRUE,"Late evening (20-23)")</f>
        <v>Evening peak (16-19)</v>
      </c>
    </row>
    <row r="8432" spans="1:9">
      <c r="A8432" s="32">
        <v>42173</v>
      </c>
      <c r="B8432">
        <v>17</v>
      </c>
      <c r="C8432">
        <v>6019</v>
      </c>
      <c r="D8432" t="s">
        <v>304</v>
      </c>
      <c r="E8432">
        <f>YEAR(A8432)</f>
        <v>2015</v>
      </c>
      <c r="F8432" s="33">
        <f>DATE(YEAR(A8432),MONTH(A8432),1)</f>
        <v>42156.0</v>
      </c>
      <c r="G8432" t="str">
        <f>CHOOSE(WEEKDAY(A8432,2),"Mon","Tue","Wed","Thu","Fri","Sat","Sun")</f>
        <v>Thu</v>
      </c>
      <c r="H8432" t="str">
        <f>IF(WEEKDAY(A8432,2)&gt;5,"Weekend","Weekday")</f>
        <v>Weekday</v>
      </c>
      <c r="I8432" t="str">
        <f>_xlfn.IFS(B8432&lt;=5,"Night (0-5)",B8432&lt;=9,"Morning peak (6-9)",B8432&lt;=15,"Midday (10-15)",B8432&lt;=19,"Evening peak (16-19)",TRUE,"Late evening (20-23)")</f>
        <v>Evening peak (16-19)</v>
      </c>
    </row>
    <row r="8433" spans="1:9">
      <c r="A8433" s="32">
        <v>42173</v>
      </c>
      <c r="B8433">
        <v>18</v>
      </c>
      <c r="C8433">
        <v>7136</v>
      </c>
      <c r="D8433" t="s">
        <v>304</v>
      </c>
      <c r="E8433">
        <f>YEAR(A8433)</f>
        <v>2015</v>
      </c>
      <c r="F8433" s="33">
        <f>DATE(YEAR(A8433),MONTH(A8433),1)</f>
        <v>42156.0</v>
      </c>
      <c r="G8433" t="str">
        <f>CHOOSE(WEEKDAY(A8433,2),"Mon","Tue","Wed","Thu","Fri","Sat","Sun")</f>
        <v>Thu</v>
      </c>
      <c r="H8433" t="str">
        <f>IF(WEEKDAY(A8433,2)&gt;5,"Weekend","Weekday")</f>
        <v>Weekday</v>
      </c>
      <c r="I8433" t="str">
        <f>_xlfn.IFS(B8433&lt;=5,"Night (0-5)",B8433&lt;=9,"Morning peak (6-9)",B8433&lt;=15,"Midday (10-15)",B8433&lt;=19,"Evening peak (16-19)",TRUE,"Late evening (20-23)")</f>
        <v>Evening peak (16-19)</v>
      </c>
    </row>
    <row r="8434" spans="1:9">
      <c r="A8434" s="32">
        <v>42173</v>
      </c>
      <c r="B8434">
        <v>19</v>
      </c>
      <c r="C8434">
        <v>6718</v>
      </c>
      <c r="D8434" t="s">
        <v>304</v>
      </c>
      <c r="E8434">
        <f>YEAR(A8434)</f>
        <v>2015</v>
      </c>
      <c r="F8434" s="33">
        <f>DATE(YEAR(A8434),MONTH(A8434),1)</f>
        <v>42156.0</v>
      </c>
      <c r="G8434" t="str">
        <f>CHOOSE(WEEKDAY(A8434,2),"Mon","Tue","Wed","Thu","Fri","Sat","Sun")</f>
        <v>Thu</v>
      </c>
      <c r="H8434" t="str">
        <f>IF(WEEKDAY(A8434,2)&gt;5,"Weekend","Weekday")</f>
        <v>Weekday</v>
      </c>
      <c r="I8434" t="str">
        <f>_xlfn.IFS(B8434&lt;=5,"Night (0-5)",B8434&lt;=9,"Morning peak (6-9)",B8434&lt;=15,"Midday (10-15)",B8434&lt;=19,"Evening peak (16-19)",TRUE,"Late evening (20-23)")</f>
        <v>Evening peak (16-19)</v>
      </c>
    </row>
    <row r="8435" spans="1:9">
      <c r="A8435" s="32">
        <v>42173</v>
      </c>
      <c r="B8435">
        <v>20</v>
      </c>
      <c r="C8435">
        <v>6276</v>
      </c>
      <c r="D8435" t="s">
        <v>304</v>
      </c>
      <c r="E8435">
        <f>YEAR(A8435)</f>
        <v>2015</v>
      </c>
      <c r="F8435" s="33">
        <f>DATE(YEAR(A8435),MONTH(A8435),1)</f>
        <v>42156.0</v>
      </c>
      <c r="G8435" t="str">
        <f>CHOOSE(WEEKDAY(A8435,2),"Mon","Tue","Wed","Thu","Fri","Sat","Sun")</f>
        <v>Thu</v>
      </c>
      <c r="H8435" t="str">
        <f>IF(WEEKDAY(A8435,2)&gt;5,"Weekend","Weekday")</f>
        <v>Weekday</v>
      </c>
      <c r="I8435" t="str">
        <f>_xlfn.IFS(B8435&lt;=5,"Night (0-5)",B8435&lt;=9,"Morning peak (6-9)",B8435&lt;=15,"Midday (10-15)",B8435&lt;=19,"Evening peak (16-19)",TRUE,"Late evening (20-23)")</f>
        <v>Late evening (20-23)</v>
      </c>
    </row>
    <row r="8436" spans="1:9">
      <c r="A8436" s="32">
        <v>42173</v>
      </c>
      <c r="B8436">
        <v>21</v>
      </c>
      <c r="C8436">
        <v>6767</v>
      </c>
      <c r="D8436" t="s">
        <v>304</v>
      </c>
      <c r="E8436">
        <f>YEAR(A8436)</f>
        <v>2015</v>
      </c>
      <c r="F8436" s="33">
        <f>DATE(YEAR(A8436),MONTH(A8436),1)</f>
        <v>42156.0</v>
      </c>
      <c r="G8436" t="str">
        <f>CHOOSE(WEEKDAY(A8436,2),"Mon","Tue","Wed","Thu","Fri","Sat","Sun")</f>
        <v>Thu</v>
      </c>
      <c r="H8436" t="str">
        <f>IF(WEEKDAY(A8436,2)&gt;5,"Weekend","Weekday")</f>
        <v>Weekday</v>
      </c>
      <c r="I8436" t="str">
        <f>_xlfn.IFS(B8436&lt;=5,"Night (0-5)",B8436&lt;=9,"Morning peak (6-9)",B8436&lt;=15,"Midday (10-15)",B8436&lt;=19,"Evening peak (16-19)",TRUE,"Late evening (20-23)")</f>
        <v>Late evening (20-23)</v>
      </c>
    </row>
    <row r="8437" spans="1:9">
      <c r="A8437" s="32">
        <v>42173</v>
      </c>
      <c r="B8437">
        <v>22</v>
      </c>
      <c r="C8437">
        <v>6852</v>
      </c>
      <c r="D8437" t="s">
        <v>304</v>
      </c>
      <c r="E8437">
        <f>YEAR(A8437)</f>
        <v>2015</v>
      </c>
      <c r="F8437" s="33">
        <f>DATE(YEAR(A8437),MONTH(A8437),1)</f>
        <v>42156.0</v>
      </c>
      <c r="G8437" t="str">
        <f>CHOOSE(WEEKDAY(A8437,2),"Mon","Tue","Wed","Thu","Fri","Sat","Sun")</f>
        <v>Thu</v>
      </c>
      <c r="H8437" t="str">
        <f>IF(WEEKDAY(A8437,2)&gt;5,"Weekend","Weekday")</f>
        <v>Weekday</v>
      </c>
      <c r="I8437" t="str">
        <f>_xlfn.IFS(B8437&lt;=5,"Night (0-5)",B8437&lt;=9,"Morning peak (6-9)",B8437&lt;=15,"Midday (10-15)",B8437&lt;=19,"Evening peak (16-19)",TRUE,"Late evening (20-23)")</f>
        <v>Late evening (20-23)</v>
      </c>
    </row>
    <row r="8438" spans="1:9">
      <c r="A8438" s="32">
        <v>42173</v>
      </c>
      <c r="B8438">
        <v>23</v>
      </c>
      <c r="C8438">
        <v>6201</v>
      </c>
      <c r="D8438" t="s">
        <v>304</v>
      </c>
      <c r="E8438">
        <f>YEAR(A8438)</f>
        <v>2015</v>
      </c>
      <c r="F8438" s="33">
        <f>DATE(YEAR(A8438),MONTH(A8438),1)</f>
        <v>42156.0</v>
      </c>
      <c r="G8438" t="str">
        <f>CHOOSE(WEEKDAY(A8438,2),"Mon","Tue","Wed","Thu","Fri","Sat","Sun")</f>
        <v>Thu</v>
      </c>
      <c r="H8438" t="str">
        <f>IF(WEEKDAY(A8438,2)&gt;5,"Weekend","Weekday")</f>
        <v>Weekday</v>
      </c>
      <c r="I8438" t="str">
        <f>_xlfn.IFS(B8438&lt;=5,"Night (0-5)",B8438&lt;=9,"Morning peak (6-9)",B8438&lt;=15,"Midday (10-15)",B8438&lt;=19,"Evening peak (16-19)",TRUE,"Late evening (20-23)")</f>
        <v>Late evening (20-23)</v>
      </c>
    </row>
    <row r="8439" spans="1:9">
      <c r="A8439" s="32">
        <v>42174</v>
      </c>
      <c r="B8439">
        <v>0</v>
      </c>
      <c r="C8439">
        <v>4249</v>
      </c>
      <c r="D8439" t="s">
        <v>304</v>
      </c>
      <c r="E8439">
        <f>YEAR(A8439)</f>
        <v>2015</v>
      </c>
      <c r="F8439" s="33">
        <f>DATE(YEAR(A8439),MONTH(A8439),1)</f>
        <v>42156.0</v>
      </c>
      <c r="G8439" t="str">
        <f>CHOOSE(WEEKDAY(A8439,2),"Mon","Tue","Wed","Thu","Fri","Sat","Sun")</f>
        <v>Fri</v>
      </c>
      <c r="H8439" t="str">
        <f>IF(WEEKDAY(A8439,2)&gt;5,"Weekend","Weekday")</f>
        <v>Weekday</v>
      </c>
      <c r="I8439" t="str">
        <f>_xlfn.IFS(B8439&lt;=5,"Night (0-5)",B8439&lt;=9,"Morning peak (6-9)",B8439&lt;=15,"Midday (10-15)",B8439&lt;=19,"Evening peak (16-19)",TRUE,"Late evening (20-23)")</f>
        <v>Night (0-5)</v>
      </c>
    </row>
    <row r="8440" spans="1:9">
      <c r="A8440" s="32">
        <v>42174</v>
      </c>
      <c r="B8440">
        <v>1</v>
      </c>
      <c r="C8440">
        <v>2537</v>
      </c>
      <c r="D8440" t="s">
        <v>304</v>
      </c>
      <c r="E8440">
        <f>YEAR(A8440)</f>
        <v>2015</v>
      </c>
      <c r="F8440" s="33">
        <f>DATE(YEAR(A8440),MONTH(A8440),1)</f>
        <v>42156.0</v>
      </c>
      <c r="G8440" t="str">
        <f>CHOOSE(WEEKDAY(A8440,2),"Mon","Tue","Wed","Thu","Fri","Sat","Sun")</f>
        <v>Fri</v>
      </c>
      <c r="H8440" t="str">
        <f>IF(WEEKDAY(A8440,2)&gt;5,"Weekend","Weekday")</f>
        <v>Weekday</v>
      </c>
      <c r="I8440" t="str">
        <f>_xlfn.IFS(B8440&lt;=5,"Night (0-5)",B8440&lt;=9,"Morning peak (6-9)",B8440&lt;=15,"Midday (10-15)",B8440&lt;=19,"Evening peak (16-19)",TRUE,"Late evening (20-23)")</f>
        <v>Night (0-5)</v>
      </c>
    </row>
    <row r="8441" spans="1:9">
      <c r="A8441" s="32">
        <v>42174</v>
      </c>
      <c r="B8441">
        <v>2</v>
      </c>
      <c r="C8441">
        <v>1385</v>
      </c>
      <c r="D8441" t="s">
        <v>304</v>
      </c>
      <c r="E8441">
        <f>YEAR(A8441)</f>
        <v>2015</v>
      </c>
      <c r="F8441" s="33">
        <f>DATE(YEAR(A8441),MONTH(A8441),1)</f>
        <v>42156.0</v>
      </c>
      <c r="G8441" t="str">
        <f>CHOOSE(WEEKDAY(A8441,2),"Mon","Tue","Wed","Thu","Fri","Sat","Sun")</f>
        <v>Fri</v>
      </c>
      <c r="H8441" t="str">
        <f>IF(WEEKDAY(A8441,2)&gt;5,"Weekend","Weekday")</f>
        <v>Weekday</v>
      </c>
      <c r="I8441" t="str">
        <f>_xlfn.IFS(B8441&lt;=5,"Night (0-5)",B8441&lt;=9,"Morning peak (6-9)",B8441&lt;=15,"Midday (10-15)",B8441&lt;=19,"Evening peak (16-19)",TRUE,"Late evening (20-23)")</f>
        <v>Night (0-5)</v>
      </c>
    </row>
    <row r="8442" spans="1:9">
      <c r="A8442" s="32">
        <v>42174</v>
      </c>
      <c r="B8442">
        <v>3</v>
      </c>
      <c r="C8442">
        <v>1007</v>
      </c>
      <c r="D8442" t="s">
        <v>304</v>
      </c>
      <c r="E8442">
        <f>YEAR(A8442)</f>
        <v>2015</v>
      </c>
      <c r="F8442" s="33">
        <f>DATE(YEAR(A8442),MONTH(A8442),1)</f>
        <v>42156.0</v>
      </c>
      <c r="G8442" t="str">
        <f>CHOOSE(WEEKDAY(A8442,2),"Mon","Tue","Wed","Thu","Fri","Sat","Sun")</f>
        <v>Fri</v>
      </c>
      <c r="H8442" t="str">
        <f>IF(WEEKDAY(A8442,2)&gt;5,"Weekend","Weekday")</f>
        <v>Weekday</v>
      </c>
      <c r="I8442" t="str">
        <f>_xlfn.IFS(B8442&lt;=5,"Night (0-5)",B8442&lt;=9,"Morning peak (6-9)",B8442&lt;=15,"Midday (10-15)",B8442&lt;=19,"Evening peak (16-19)",TRUE,"Late evening (20-23)")</f>
        <v>Night (0-5)</v>
      </c>
    </row>
    <row r="8443" spans="1:9">
      <c r="A8443" s="32">
        <v>42174</v>
      </c>
      <c r="B8443">
        <v>4</v>
      </c>
      <c r="C8443">
        <v>1190</v>
      </c>
      <c r="D8443" t="s">
        <v>304</v>
      </c>
      <c r="E8443">
        <f>YEAR(A8443)</f>
        <v>2015</v>
      </c>
      <c r="F8443" s="33">
        <f>DATE(YEAR(A8443),MONTH(A8443),1)</f>
        <v>42156.0</v>
      </c>
      <c r="G8443" t="str">
        <f>CHOOSE(WEEKDAY(A8443,2),"Mon","Tue","Wed","Thu","Fri","Sat","Sun")</f>
        <v>Fri</v>
      </c>
      <c r="H8443" t="str">
        <f>IF(WEEKDAY(A8443,2)&gt;5,"Weekend","Weekday")</f>
        <v>Weekday</v>
      </c>
      <c r="I8443" t="str">
        <f>_xlfn.IFS(B8443&lt;=5,"Night (0-5)",B8443&lt;=9,"Morning peak (6-9)",B8443&lt;=15,"Midday (10-15)",B8443&lt;=19,"Evening peak (16-19)",TRUE,"Late evening (20-23)")</f>
        <v>Night (0-5)</v>
      </c>
    </row>
    <row r="8444" spans="1:9">
      <c r="A8444" s="32">
        <v>42174</v>
      </c>
      <c r="B8444">
        <v>5</v>
      </c>
      <c r="C8444">
        <v>1474</v>
      </c>
      <c r="D8444" t="s">
        <v>304</v>
      </c>
      <c r="E8444">
        <f>YEAR(A8444)</f>
        <v>2015</v>
      </c>
      <c r="F8444" s="33">
        <f>DATE(YEAR(A8444),MONTH(A8444),1)</f>
        <v>42156.0</v>
      </c>
      <c r="G8444" t="str">
        <f>CHOOSE(WEEKDAY(A8444,2),"Mon","Tue","Wed","Thu","Fri","Sat","Sun")</f>
        <v>Fri</v>
      </c>
      <c r="H8444" t="str">
        <f>IF(WEEKDAY(A8444,2)&gt;5,"Weekend","Weekday")</f>
        <v>Weekday</v>
      </c>
      <c r="I8444" t="str">
        <f>_xlfn.IFS(B8444&lt;=5,"Night (0-5)",B8444&lt;=9,"Morning peak (6-9)",B8444&lt;=15,"Midday (10-15)",B8444&lt;=19,"Evening peak (16-19)",TRUE,"Late evening (20-23)")</f>
        <v>Night (0-5)</v>
      </c>
    </row>
    <row r="8445" spans="1:9">
      <c r="A8445" s="32">
        <v>42174</v>
      </c>
      <c r="B8445">
        <v>6</v>
      </c>
      <c r="C8445">
        <v>2284</v>
      </c>
      <c r="D8445" t="s">
        <v>304</v>
      </c>
      <c r="E8445">
        <f>YEAR(A8445)</f>
        <v>2015</v>
      </c>
      <c r="F8445" s="33">
        <f>DATE(YEAR(A8445),MONTH(A8445),1)</f>
        <v>42156.0</v>
      </c>
      <c r="G8445" t="str">
        <f>CHOOSE(WEEKDAY(A8445,2),"Mon","Tue","Wed","Thu","Fri","Sat","Sun")</f>
        <v>Fri</v>
      </c>
      <c r="H8445" t="str">
        <f>IF(WEEKDAY(A8445,2)&gt;5,"Weekend","Weekday")</f>
        <v>Weekday</v>
      </c>
      <c r="I8445" t="str">
        <f>_xlfn.IFS(B8445&lt;=5,"Night (0-5)",B8445&lt;=9,"Morning peak (6-9)",B8445&lt;=15,"Midday (10-15)",B8445&lt;=19,"Evening peak (16-19)",TRUE,"Late evening (20-23)")</f>
        <v>Morning peak (6-9)</v>
      </c>
    </row>
    <row r="8446" spans="1:9">
      <c r="A8446" s="32">
        <v>42174</v>
      </c>
      <c r="B8446">
        <v>7</v>
      </c>
      <c r="C8446">
        <v>3352</v>
      </c>
      <c r="D8446" t="s">
        <v>304</v>
      </c>
      <c r="E8446">
        <f>YEAR(A8446)</f>
        <v>2015</v>
      </c>
      <c r="F8446" s="33">
        <f>DATE(YEAR(A8446),MONTH(A8446),1)</f>
        <v>42156.0</v>
      </c>
      <c r="G8446" t="str">
        <f>CHOOSE(WEEKDAY(A8446,2),"Mon","Tue","Wed","Thu","Fri","Sat","Sun")</f>
        <v>Fri</v>
      </c>
      <c r="H8446" t="str">
        <f>IF(WEEKDAY(A8446,2)&gt;5,"Weekend","Weekday")</f>
        <v>Weekday</v>
      </c>
      <c r="I8446" t="str">
        <f>_xlfn.IFS(B8446&lt;=5,"Night (0-5)",B8446&lt;=9,"Morning peak (6-9)",B8446&lt;=15,"Midday (10-15)",B8446&lt;=19,"Evening peak (16-19)",TRUE,"Late evening (20-23)")</f>
        <v>Morning peak (6-9)</v>
      </c>
    </row>
    <row r="8447" spans="1:9">
      <c r="A8447" s="32">
        <v>42174</v>
      </c>
      <c r="B8447">
        <v>8</v>
      </c>
      <c r="C8447">
        <v>4597</v>
      </c>
      <c r="D8447" t="s">
        <v>304</v>
      </c>
      <c r="E8447">
        <f>YEAR(A8447)</f>
        <v>2015</v>
      </c>
      <c r="F8447" s="33">
        <f>DATE(YEAR(A8447),MONTH(A8447),1)</f>
        <v>42156.0</v>
      </c>
      <c r="G8447" t="str">
        <f>CHOOSE(WEEKDAY(A8447,2),"Mon","Tue","Wed","Thu","Fri","Sat","Sun")</f>
        <v>Fri</v>
      </c>
      <c r="H8447" t="str">
        <f>IF(WEEKDAY(A8447,2)&gt;5,"Weekend","Weekday")</f>
        <v>Weekday</v>
      </c>
      <c r="I8447" t="str">
        <f>_xlfn.IFS(B8447&lt;=5,"Night (0-5)",B8447&lt;=9,"Morning peak (6-9)",B8447&lt;=15,"Midday (10-15)",B8447&lt;=19,"Evening peak (16-19)",TRUE,"Late evening (20-23)")</f>
        <v>Morning peak (6-9)</v>
      </c>
    </row>
    <row r="8448" spans="1:9">
      <c r="A8448" s="32">
        <v>42174</v>
      </c>
      <c r="B8448">
        <v>9</v>
      </c>
      <c r="C8448">
        <v>4671</v>
      </c>
      <c r="D8448" t="s">
        <v>304</v>
      </c>
      <c r="E8448">
        <f>YEAR(A8448)</f>
        <v>2015</v>
      </c>
      <c r="F8448" s="33">
        <f>DATE(YEAR(A8448),MONTH(A8448),1)</f>
        <v>42156.0</v>
      </c>
      <c r="G8448" t="str">
        <f>CHOOSE(WEEKDAY(A8448,2),"Mon","Tue","Wed","Thu","Fri","Sat","Sun")</f>
        <v>Fri</v>
      </c>
      <c r="H8448" t="str">
        <f>IF(WEEKDAY(A8448,2)&gt;5,"Weekend","Weekday")</f>
        <v>Weekday</v>
      </c>
      <c r="I8448" t="str">
        <f>_xlfn.IFS(B8448&lt;=5,"Night (0-5)",B8448&lt;=9,"Morning peak (6-9)",B8448&lt;=15,"Midday (10-15)",B8448&lt;=19,"Evening peak (16-19)",TRUE,"Late evening (20-23)")</f>
        <v>Morning peak (6-9)</v>
      </c>
    </row>
    <row r="8449" spans="1:9">
      <c r="A8449" s="32">
        <v>42174</v>
      </c>
      <c r="B8449">
        <v>10</v>
      </c>
      <c r="C8449">
        <v>3784</v>
      </c>
      <c r="D8449" t="s">
        <v>304</v>
      </c>
      <c r="E8449">
        <f>YEAR(A8449)</f>
        <v>2015</v>
      </c>
      <c r="F8449" s="33">
        <f>DATE(YEAR(A8449),MONTH(A8449),1)</f>
        <v>42156.0</v>
      </c>
      <c r="G8449" t="str">
        <f>CHOOSE(WEEKDAY(A8449,2),"Mon","Tue","Wed","Thu","Fri","Sat","Sun")</f>
        <v>Fri</v>
      </c>
      <c r="H8449" t="str">
        <f>IF(WEEKDAY(A8449,2)&gt;5,"Weekend","Weekday")</f>
        <v>Weekday</v>
      </c>
      <c r="I8449" t="str">
        <f>_xlfn.IFS(B8449&lt;=5,"Night (0-5)",B8449&lt;=9,"Morning peak (6-9)",B8449&lt;=15,"Midday (10-15)",B8449&lt;=19,"Evening peak (16-19)",TRUE,"Late evening (20-23)")</f>
        <v>Midday (10-15)</v>
      </c>
    </row>
    <row r="8450" spans="1:9">
      <c r="A8450" s="32">
        <v>42174</v>
      </c>
      <c r="B8450">
        <v>11</v>
      </c>
      <c r="C8450">
        <v>3548</v>
      </c>
      <c r="D8450" t="s">
        <v>304</v>
      </c>
      <c r="E8450">
        <f>YEAR(A8450)</f>
        <v>2015</v>
      </c>
      <c r="F8450" s="33">
        <f>DATE(YEAR(A8450),MONTH(A8450),1)</f>
        <v>42156.0</v>
      </c>
      <c r="G8450" t="str">
        <f>CHOOSE(WEEKDAY(A8450,2),"Mon","Tue","Wed","Thu","Fri","Sat","Sun")</f>
        <v>Fri</v>
      </c>
      <c r="H8450" t="str">
        <f>IF(WEEKDAY(A8450,2)&gt;5,"Weekend","Weekday")</f>
        <v>Weekday</v>
      </c>
      <c r="I8450" t="str">
        <f>_xlfn.IFS(B8450&lt;=5,"Night (0-5)",B8450&lt;=9,"Morning peak (6-9)",B8450&lt;=15,"Midday (10-15)",B8450&lt;=19,"Evening peak (16-19)",TRUE,"Late evening (20-23)")</f>
        <v>Midday (10-15)</v>
      </c>
    </row>
    <row r="8451" spans="1:9">
      <c r="A8451" s="32">
        <v>42174</v>
      </c>
      <c r="B8451">
        <v>12</v>
      </c>
      <c r="C8451">
        <v>3720</v>
      </c>
      <c r="D8451" t="s">
        <v>304</v>
      </c>
      <c r="E8451">
        <f>YEAR(A8451)</f>
        <v>2015</v>
      </c>
      <c r="F8451" s="33">
        <f>DATE(YEAR(A8451),MONTH(A8451),1)</f>
        <v>42156.0</v>
      </c>
      <c r="G8451" t="str">
        <f>CHOOSE(WEEKDAY(A8451,2),"Mon","Tue","Wed","Thu","Fri","Sat","Sun")</f>
        <v>Fri</v>
      </c>
      <c r="H8451" t="str">
        <f>IF(WEEKDAY(A8451,2)&gt;5,"Weekend","Weekday")</f>
        <v>Weekday</v>
      </c>
      <c r="I8451" t="str">
        <f>_xlfn.IFS(B8451&lt;=5,"Night (0-5)",B8451&lt;=9,"Morning peak (6-9)",B8451&lt;=15,"Midday (10-15)",B8451&lt;=19,"Evening peak (16-19)",TRUE,"Late evening (20-23)")</f>
        <v>Midday (10-15)</v>
      </c>
    </row>
    <row r="8452" spans="1:9">
      <c r="A8452" s="32">
        <v>42174</v>
      </c>
      <c r="B8452">
        <v>13</v>
      </c>
      <c r="C8452">
        <v>3790</v>
      </c>
      <c r="D8452" t="s">
        <v>304</v>
      </c>
      <c r="E8452">
        <f>YEAR(A8452)</f>
        <v>2015</v>
      </c>
      <c r="F8452" s="33">
        <f>DATE(YEAR(A8452),MONTH(A8452),1)</f>
        <v>42156.0</v>
      </c>
      <c r="G8452" t="str">
        <f>CHOOSE(WEEKDAY(A8452,2),"Mon","Tue","Wed","Thu","Fri","Sat","Sun")</f>
        <v>Fri</v>
      </c>
      <c r="H8452" t="str">
        <f>IF(WEEKDAY(A8452,2)&gt;5,"Weekend","Weekday")</f>
        <v>Weekday</v>
      </c>
      <c r="I8452" t="str">
        <f>_xlfn.IFS(B8452&lt;=5,"Night (0-5)",B8452&lt;=9,"Morning peak (6-9)",B8452&lt;=15,"Midday (10-15)",B8452&lt;=19,"Evening peak (16-19)",TRUE,"Late evening (20-23)")</f>
        <v>Midday (10-15)</v>
      </c>
    </row>
    <row r="8453" spans="1:9">
      <c r="A8453" s="32">
        <v>42174</v>
      </c>
      <c r="B8453">
        <v>14</v>
      </c>
      <c r="C8453">
        <v>4350</v>
      </c>
      <c r="D8453" t="s">
        <v>304</v>
      </c>
      <c r="E8453">
        <f>YEAR(A8453)</f>
        <v>2015</v>
      </c>
      <c r="F8453" s="33">
        <f>DATE(YEAR(A8453),MONTH(A8453),1)</f>
        <v>42156.0</v>
      </c>
      <c r="G8453" t="str">
        <f>CHOOSE(WEEKDAY(A8453,2),"Mon","Tue","Wed","Thu","Fri","Sat","Sun")</f>
        <v>Fri</v>
      </c>
      <c r="H8453" t="str">
        <f>IF(WEEKDAY(A8453,2)&gt;5,"Weekend","Weekday")</f>
        <v>Weekday</v>
      </c>
      <c r="I8453" t="str">
        <f>_xlfn.IFS(B8453&lt;=5,"Night (0-5)",B8453&lt;=9,"Morning peak (6-9)",B8453&lt;=15,"Midday (10-15)",B8453&lt;=19,"Evening peak (16-19)",TRUE,"Late evening (20-23)")</f>
        <v>Midday (10-15)</v>
      </c>
    </row>
    <row r="8454" spans="1:9">
      <c r="A8454" s="32">
        <v>42174</v>
      </c>
      <c r="B8454">
        <v>15</v>
      </c>
      <c r="C8454">
        <v>4848</v>
      </c>
      <c r="D8454" t="s">
        <v>304</v>
      </c>
      <c r="E8454">
        <f>YEAR(A8454)</f>
        <v>2015</v>
      </c>
      <c r="F8454" s="33">
        <f>DATE(YEAR(A8454),MONTH(A8454),1)</f>
        <v>42156.0</v>
      </c>
      <c r="G8454" t="str">
        <f>CHOOSE(WEEKDAY(A8454,2),"Mon","Tue","Wed","Thu","Fri","Sat","Sun")</f>
        <v>Fri</v>
      </c>
      <c r="H8454" t="str">
        <f>IF(WEEKDAY(A8454,2)&gt;5,"Weekend","Weekday")</f>
        <v>Weekday</v>
      </c>
      <c r="I8454" t="str">
        <f>_xlfn.IFS(B8454&lt;=5,"Night (0-5)",B8454&lt;=9,"Morning peak (6-9)",B8454&lt;=15,"Midday (10-15)",B8454&lt;=19,"Evening peak (16-19)",TRUE,"Late evening (20-23)")</f>
        <v>Midday (10-15)</v>
      </c>
    </row>
    <row r="8455" spans="1:9">
      <c r="A8455" s="32">
        <v>42174</v>
      </c>
      <c r="B8455">
        <v>16</v>
      </c>
      <c r="C8455">
        <v>5247</v>
      </c>
      <c r="D8455" t="s">
        <v>304</v>
      </c>
      <c r="E8455">
        <f>YEAR(A8455)</f>
        <v>2015</v>
      </c>
      <c r="F8455" s="33">
        <f>DATE(YEAR(A8455),MONTH(A8455),1)</f>
        <v>42156.0</v>
      </c>
      <c r="G8455" t="str">
        <f>CHOOSE(WEEKDAY(A8455,2),"Mon","Tue","Wed","Thu","Fri","Sat","Sun")</f>
        <v>Fri</v>
      </c>
      <c r="H8455" t="str">
        <f>IF(WEEKDAY(A8455,2)&gt;5,"Weekend","Weekday")</f>
        <v>Weekday</v>
      </c>
      <c r="I8455" t="str">
        <f>_xlfn.IFS(B8455&lt;=5,"Night (0-5)",B8455&lt;=9,"Morning peak (6-9)",B8455&lt;=15,"Midday (10-15)",B8455&lt;=19,"Evening peak (16-19)",TRUE,"Late evening (20-23)")</f>
        <v>Evening peak (16-19)</v>
      </c>
    </row>
    <row r="8456" spans="1:9">
      <c r="A8456" s="32">
        <v>42174</v>
      </c>
      <c r="B8456">
        <v>17</v>
      </c>
      <c r="C8456">
        <v>5895</v>
      </c>
      <c r="D8456" t="s">
        <v>304</v>
      </c>
      <c r="E8456">
        <f>YEAR(A8456)</f>
        <v>2015</v>
      </c>
      <c r="F8456" s="33">
        <f>DATE(YEAR(A8456),MONTH(A8456),1)</f>
        <v>42156.0</v>
      </c>
      <c r="G8456" t="str">
        <f>CHOOSE(WEEKDAY(A8456,2),"Mon","Tue","Wed","Thu","Fri","Sat","Sun")</f>
        <v>Fri</v>
      </c>
      <c r="H8456" t="str">
        <f>IF(WEEKDAY(A8456,2)&gt;5,"Weekend","Weekday")</f>
        <v>Weekday</v>
      </c>
      <c r="I8456" t="str">
        <f>_xlfn.IFS(B8456&lt;=5,"Night (0-5)",B8456&lt;=9,"Morning peak (6-9)",B8456&lt;=15,"Midday (10-15)",B8456&lt;=19,"Evening peak (16-19)",TRUE,"Late evening (20-23)")</f>
        <v>Evening peak (16-19)</v>
      </c>
    </row>
    <row r="8457" spans="1:9">
      <c r="A8457" s="32">
        <v>42174</v>
      </c>
      <c r="B8457">
        <v>18</v>
      </c>
      <c r="C8457">
        <v>6368</v>
      </c>
      <c r="D8457" t="s">
        <v>304</v>
      </c>
      <c r="E8457">
        <f>YEAR(A8457)</f>
        <v>2015</v>
      </c>
      <c r="F8457" s="33">
        <f>DATE(YEAR(A8457),MONTH(A8457),1)</f>
        <v>42156.0</v>
      </c>
      <c r="G8457" t="str">
        <f>CHOOSE(WEEKDAY(A8457,2),"Mon","Tue","Wed","Thu","Fri","Sat","Sun")</f>
        <v>Fri</v>
      </c>
      <c r="H8457" t="str">
        <f>IF(WEEKDAY(A8457,2)&gt;5,"Weekend","Weekday")</f>
        <v>Weekday</v>
      </c>
      <c r="I8457" t="str">
        <f>_xlfn.IFS(B8457&lt;=5,"Night (0-5)",B8457&lt;=9,"Morning peak (6-9)",B8457&lt;=15,"Midday (10-15)",B8457&lt;=19,"Evening peak (16-19)",TRUE,"Late evening (20-23)")</f>
        <v>Evening peak (16-19)</v>
      </c>
    </row>
    <row r="8458" spans="1:9">
      <c r="A8458" s="32">
        <v>42174</v>
      </c>
      <c r="B8458">
        <v>19</v>
      </c>
      <c r="C8458">
        <v>6380</v>
      </c>
      <c r="D8458" t="s">
        <v>304</v>
      </c>
      <c r="E8458">
        <f>YEAR(A8458)</f>
        <v>2015</v>
      </c>
      <c r="F8458" s="33">
        <f>DATE(YEAR(A8458),MONTH(A8458),1)</f>
        <v>42156.0</v>
      </c>
      <c r="G8458" t="str">
        <f>CHOOSE(WEEKDAY(A8458,2),"Mon","Tue","Wed","Thu","Fri","Sat","Sun")</f>
        <v>Fri</v>
      </c>
      <c r="H8458" t="str">
        <f>IF(WEEKDAY(A8458,2)&gt;5,"Weekend","Weekday")</f>
        <v>Weekday</v>
      </c>
      <c r="I8458" t="str">
        <f>_xlfn.IFS(B8458&lt;=5,"Night (0-5)",B8458&lt;=9,"Morning peak (6-9)",B8458&lt;=15,"Midday (10-15)",B8458&lt;=19,"Evening peak (16-19)",TRUE,"Late evening (20-23)")</f>
        <v>Evening peak (16-19)</v>
      </c>
    </row>
    <row r="8459" spans="1:9">
      <c r="A8459" s="32">
        <v>42174</v>
      </c>
      <c r="B8459">
        <v>20</v>
      </c>
      <c r="C8459">
        <v>6047</v>
      </c>
      <c r="D8459" t="s">
        <v>304</v>
      </c>
      <c r="E8459">
        <f>YEAR(A8459)</f>
        <v>2015</v>
      </c>
      <c r="F8459" s="33">
        <f>DATE(YEAR(A8459),MONTH(A8459),1)</f>
        <v>42156.0</v>
      </c>
      <c r="G8459" t="str">
        <f>CHOOSE(WEEKDAY(A8459,2),"Mon","Tue","Wed","Thu","Fri","Sat","Sun")</f>
        <v>Fri</v>
      </c>
      <c r="H8459" t="str">
        <f>IF(WEEKDAY(A8459,2)&gt;5,"Weekend","Weekday")</f>
        <v>Weekday</v>
      </c>
      <c r="I8459" t="str">
        <f>_xlfn.IFS(B8459&lt;=5,"Night (0-5)",B8459&lt;=9,"Morning peak (6-9)",B8459&lt;=15,"Midday (10-15)",B8459&lt;=19,"Evening peak (16-19)",TRUE,"Late evening (20-23)")</f>
        <v>Late evening (20-23)</v>
      </c>
    </row>
    <row r="8460" spans="1:9">
      <c r="A8460" s="32">
        <v>42174</v>
      </c>
      <c r="B8460">
        <v>21</v>
      </c>
      <c r="C8460">
        <v>6244</v>
      </c>
      <c r="D8460" t="s">
        <v>304</v>
      </c>
      <c r="E8460">
        <f>YEAR(A8460)</f>
        <v>2015</v>
      </c>
      <c r="F8460" s="33">
        <f>DATE(YEAR(A8460),MONTH(A8460),1)</f>
        <v>42156.0</v>
      </c>
      <c r="G8460" t="str">
        <f>CHOOSE(WEEKDAY(A8460,2),"Mon","Tue","Wed","Thu","Fri","Sat","Sun")</f>
        <v>Fri</v>
      </c>
      <c r="H8460" t="str">
        <f>IF(WEEKDAY(A8460,2)&gt;5,"Weekend","Weekday")</f>
        <v>Weekday</v>
      </c>
      <c r="I8460" t="str">
        <f>_xlfn.IFS(B8460&lt;=5,"Night (0-5)",B8460&lt;=9,"Morning peak (6-9)",B8460&lt;=15,"Midday (10-15)",B8460&lt;=19,"Evening peak (16-19)",TRUE,"Late evening (20-23)")</f>
        <v>Late evening (20-23)</v>
      </c>
    </row>
    <row r="8461" spans="1:9">
      <c r="A8461" s="32">
        <v>42174</v>
      </c>
      <c r="B8461">
        <v>22</v>
      </c>
      <c r="C8461">
        <v>7167</v>
      </c>
      <c r="D8461" t="s">
        <v>304</v>
      </c>
      <c r="E8461">
        <f>YEAR(A8461)</f>
        <v>2015</v>
      </c>
      <c r="F8461" s="33">
        <f>DATE(YEAR(A8461),MONTH(A8461),1)</f>
        <v>42156.0</v>
      </c>
      <c r="G8461" t="str">
        <f>CHOOSE(WEEKDAY(A8461,2),"Mon","Tue","Wed","Thu","Fri","Sat","Sun")</f>
        <v>Fri</v>
      </c>
      <c r="H8461" t="str">
        <f>IF(WEEKDAY(A8461,2)&gt;5,"Weekend","Weekday")</f>
        <v>Weekday</v>
      </c>
      <c r="I8461" t="str">
        <f>_xlfn.IFS(B8461&lt;=5,"Night (0-5)",B8461&lt;=9,"Morning peak (6-9)",B8461&lt;=15,"Midday (10-15)",B8461&lt;=19,"Evening peak (16-19)",TRUE,"Late evening (20-23)")</f>
        <v>Late evening (20-23)</v>
      </c>
    </row>
    <row r="8462" spans="1:9">
      <c r="A8462" s="32">
        <v>42174</v>
      </c>
      <c r="B8462">
        <v>23</v>
      </c>
      <c r="C8462">
        <v>7569</v>
      </c>
      <c r="D8462" t="s">
        <v>304</v>
      </c>
      <c r="E8462">
        <f>YEAR(A8462)</f>
        <v>2015</v>
      </c>
      <c r="F8462" s="33">
        <f>DATE(YEAR(A8462),MONTH(A8462),1)</f>
        <v>42156.0</v>
      </c>
      <c r="G8462" t="str">
        <f>CHOOSE(WEEKDAY(A8462,2),"Mon","Tue","Wed","Thu","Fri","Sat","Sun")</f>
        <v>Fri</v>
      </c>
      <c r="H8462" t="str">
        <f>IF(WEEKDAY(A8462,2)&gt;5,"Weekend","Weekday")</f>
        <v>Weekday</v>
      </c>
      <c r="I8462" t="str">
        <f>_xlfn.IFS(B8462&lt;=5,"Night (0-5)",B8462&lt;=9,"Morning peak (6-9)",B8462&lt;=15,"Midday (10-15)",B8462&lt;=19,"Evening peak (16-19)",TRUE,"Late evening (20-23)")</f>
        <v>Late evening (20-23)</v>
      </c>
    </row>
    <row r="8463" spans="1:9">
      <c r="A8463" s="32">
        <v>42175</v>
      </c>
      <c r="B8463">
        <v>0</v>
      </c>
      <c r="C8463">
        <v>6719</v>
      </c>
      <c r="D8463" t="s">
        <v>304</v>
      </c>
      <c r="E8463">
        <f>YEAR(A8463)</f>
        <v>2015</v>
      </c>
      <c r="F8463" s="33">
        <f>DATE(YEAR(A8463),MONTH(A8463),1)</f>
        <v>42156.0</v>
      </c>
      <c r="G8463" t="str">
        <f>CHOOSE(WEEKDAY(A8463,2),"Mon","Tue","Wed","Thu","Fri","Sat","Sun")</f>
        <v>Sat</v>
      </c>
      <c r="H8463" t="str">
        <f>IF(WEEKDAY(A8463,2)&gt;5,"Weekend","Weekday")</f>
        <v>Weekend</v>
      </c>
      <c r="I8463" t="str">
        <f>_xlfn.IFS(B8463&lt;=5,"Night (0-5)",B8463&lt;=9,"Morning peak (6-9)",B8463&lt;=15,"Midday (10-15)",B8463&lt;=19,"Evening peak (16-19)",TRUE,"Late evening (20-23)")</f>
        <v>Night (0-5)</v>
      </c>
    </row>
    <row r="8464" spans="1:9">
      <c r="A8464" s="32">
        <v>42175</v>
      </c>
      <c r="B8464">
        <v>1</v>
      </c>
      <c r="C8464">
        <v>5151</v>
      </c>
      <c r="D8464" t="s">
        <v>304</v>
      </c>
      <c r="E8464">
        <f>YEAR(A8464)</f>
        <v>2015</v>
      </c>
      <c r="F8464" s="33">
        <f>DATE(YEAR(A8464),MONTH(A8464),1)</f>
        <v>42156.0</v>
      </c>
      <c r="G8464" t="str">
        <f>CHOOSE(WEEKDAY(A8464,2),"Mon","Tue","Wed","Thu","Fri","Sat","Sun")</f>
        <v>Sat</v>
      </c>
      <c r="H8464" t="str">
        <f>IF(WEEKDAY(A8464,2)&gt;5,"Weekend","Weekday")</f>
        <v>Weekend</v>
      </c>
      <c r="I8464" t="str">
        <f>_xlfn.IFS(B8464&lt;=5,"Night (0-5)",B8464&lt;=9,"Morning peak (6-9)",B8464&lt;=15,"Midday (10-15)",B8464&lt;=19,"Evening peak (16-19)",TRUE,"Late evening (20-23)")</f>
        <v>Night (0-5)</v>
      </c>
    </row>
    <row r="8465" spans="1:9">
      <c r="A8465" s="32">
        <v>42175</v>
      </c>
      <c r="B8465">
        <v>2</v>
      </c>
      <c r="C8465">
        <v>3787</v>
      </c>
      <c r="D8465" t="s">
        <v>304</v>
      </c>
      <c r="E8465">
        <f>YEAR(A8465)</f>
        <v>2015</v>
      </c>
      <c r="F8465" s="33">
        <f>DATE(YEAR(A8465),MONTH(A8465),1)</f>
        <v>42156.0</v>
      </c>
      <c r="G8465" t="str">
        <f>CHOOSE(WEEKDAY(A8465,2),"Mon","Tue","Wed","Thu","Fri","Sat","Sun")</f>
        <v>Sat</v>
      </c>
      <c r="H8465" t="str">
        <f>IF(WEEKDAY(A8465,2)&gt;5,"Weekend","Weekday")</f>
        <v>Weekend</v>
      </c>
      <c r="I8465" t="str">
        <f>_xlfn.IFS(B8465&lt;=5,"Night (0-5)",B8465&lt;=9,"Morning peak (6-9)",B8465&lt;=15,"Midday (10-15)",B8465&lt;=19,"Evening peak (16-19)",TRUE,"Late evening (20-23)")</f>
        <v>Night (0-5)</v>
      </c>
    </row>
    <row r="8466" spans="1:9">
      <c r="A8466" s="32">
        <v>42175</v>
      </c>
      <c r="B8466">
        <v>3</v>
      </c>
      <c r="C8466">
        <v>2831</v>
      </c>
      <c r="D8466" t="s">
        <v>304</v>
      </c>
      <c r="E8466">
        <f>YEAR(A8466)</f>
        <v>2015</v>
      </c>
      <c r="F8466" s="33">
        <f>DATE(YEAR(A8466),MONTH(A8466),1)</f>
        <v>42156.0</v>
      </c>
      <c r="G8466" t="str">
        <f>CHOOSE(WEEKDAY(A8466,2),"Mon","Tue","Wed","Thu","Fri","Sat","Sun")</f>
        <v>Sat</v>
      </c>
      <c r="H8466" t="str">
        <f>IF(WEEKDAY(A8466,2)&gt;5,"Weekend","Weekday")</f>
        <v>Weekend</v>
      </c>
      <c r="I8466" t="str">
        <f>_xlfn.IFS(B8466&lt;=5,"Night (0-5)",B8466&lt;=9,"Morning peak (6-9)",B8466&lt;=15,"Midday (10-15)",B8466&lt;=19,"Evening peak (16-19)",TRUE,"Late evening (20-23)")</f>
        <v>Night (0-5)</v>
      </c>
    </row>
    <row r="8467" spans="1:9">
      <c r="A8467" s="32">
        <v>42175</v>
      </c>
      <c r="B8467">
        <v>4</v>
      </c>
      <c r="C8467">
        <v>2081</v>
      </c>
      <c r="D8467" t="s">
        <v>304</v>
      </c>
      <c r="E8467">
        <f>YEAR(A8467)</f>
        <v>2015</v>
      </c>
      <c r="F8467" s="33">
        <f>DATE(YEAR(A8467),MONTH(A8467),1)</f>
        <v>42156.0</v>
      </c>
      <c r="G8467" t="str">
        <f>CHOOSE(WEEKDAY(A8467,2),"Mon","Tue","Wed","Thu","Fri","Sat","Sun")</f>
        <v>Sat</v>
      </c>
      <c r="H8467" t="str">
        <f>IF(WEEKDAY(A8467,2)&gt;5,"Weekend","Weekday")</f>
        <v>Weekend</v>
      </c>
      <c r="I8467" t="str">
        <f>_xlfn.IFS(B8467&lt;=5,"Night (0-5)",B8467&lt;=9,"Morning peak (6-9)",B8467&lt;=15,"Midday (10-15)",B8467&lt;=19,"Evening peak (16-19)",TRUE,"Late evening (20-23)")</f>
        <v>Night (0-5)</v>
      </c>
    </row>
    <row r="8468" spans="1:9">
      <c r="A8468" s="32">
        <v>42175</v>
      </c>
      <c r="B8468">
        <v>5</v>
      </c>
      <c r="C8468">
        <v>1218</v>
      </c>
      <c r="D8468" t="s">
        <v>304</v>
      </c>
      <c r="E8468">
        <f>YEAR(A8468)</f>
        <v>2015</v>
      </c>
      <c r="F8468" s="33">
        <f>DATE(YEAR(A8468),MONTH(A8468),1)</f>
        <v>42156.0</v>
      </c>
      <c r="G8468" t="str">
        <f>CHOOSE(WEEKDAY(A8468,2),"Mon","Tue","Wed","Thu","Fri","Sat","Sun")</f>
        <v>Sat</v>
      </c>
      <c r="H8468" t="str">
        <f>IF(WEEKDAY(A8468,2)&gt;5,"Weekend","Weekday")</f>
        <v>Weekend</v>
      </c>
      <c r="I8468" t="str">
        <f>_xlfn.IFS(B8468&lt;=5,"Night (0-5)",B8468&lt;=9,"Morning peak (6-9)",B8468&lt;=15,"Midday (10-15)",B8468&lt;=19,"Evening peak (16-19)",TRUE,"Late evening (20-23)")</f>
        <v>Night (0-5)</v>
      </c>
    </row>
    <row r="8469" spans="1:9">
      <c r="A8469" s="32">
        <v>42175</v>
      </c>
      <c r="B8469">
        <v>6</v>
      </c>
      <c r="C8469">
        <v>1243</v>
      </c>
      <c r="D8469" t="s">
        <v>304</v>
      </c>
      <c r="E8469">
        <f>YEAR(A8469)</f>
        <v>2015</v>
      </c>
      <c r="F8469" s="33">
        <f>DATE(YEAR(A8469),MONTH(A8469),1)</f>
        <v>42156.0</v>
      </c>
      <c r="G8469" t="str">
        <f>CHOOSE(WEEKDAY(A8469,2),"Mon","Tue","Wed","Thu","Fri","Sat","Sun")</f>
        <v>Sat</v>
      </c>
      <c r="H8469" t="str">
        <f>IF(WEEKDAY(A8469,2)&gt;5,"Weekend","Weekday")</f>
        <v>Weekend</v>
      </c>
      <c r="I8469" t="str">
        <f>_xlfn.IFS(B8469&lt;=5,"Night (0-5)",B8469&lt;=9,"Morning peak (6-9)",B8469&lt;=15,"Midday (10-15)",B8469&lt;=19,"Evening peak (16-19)",TRUE,"Late evening (20-23)")</f>
        <v>Morning peak (6-9)</v>
      </c>
    </row>
    <row r="8470" spans="1:9">
      <c r="A8470" s="32">
        <v>42175</v>
      </c>
      <c r="B8470">
        <v>7</v>
      </c>
      <c r="C8470">
        <v>1552</v>
      </c>
      <c r="D8470" t="s">
        <v>304</v>
      </c>
      <c r="E8470">
        <f>YEAR(A8470)</f>
        <v>2015</v>
      </c>
      <c r="F8470" s="33">
        <f>DATE(YEAR(A8470),MONTH(A8470),1)</f>
        <v>42156.0</v>
      </c>
      <c r="G8470" t="str">
        <f>CHOOSE(WEEKDAY(A8470,2),"Mon","Tue","Wed","Thu","Fri","Sat","Sun")</f>
        <v>Sat</v>
      </c>
      <c r="H8470" t="str">
        <f>IF(WEEKDAY(A8470,2)&gt;5,"Weekend","Weekday")</f>
        <v>Weekend</v>
      </c>
      <c r="I8470" t="str">
        <f>_xlfn.IFS(B8470&lt;=5,"Night (0-5)",B8470&lt;=9,"Morning peak (6-9)",B8470&lt;=15,"Midday (10-15)",B8470&lt;=19,"Evening peak (16-19)",TRUE,"Late evening (20-23)")</f>
        <v>Morning peak (6-9)</v>
      </c>
    </row>
    <row r="8471" spans="1:9">
      <c r="A8471" s="32">
        <v>42175</v>
      </c>
      <c r="B8471">
        <v>8</v>
      </c>
      <c r="C8471">
        <v>2112</v>
      </c>
      <c r="D8471" t="s">
        <v>304</v>
      </c>
      <c r="E8471">
        <f>YEAR(A8471)</f>
        <v>2015</v>
      </c>
      <c r="F8471" s="33">
        <f>DATE(YEAR(A8471),MONTH(A8471),1)</f>
        <v>42156.0</v>
      </c>
      <c r="G8471" t="str">
        <f>CHOOSE(WEEKDAY(A8471,2),"Mon","Tue","Wed","Thu","Fri","Sat","Sun")</f>
        <v>Sat</v>
      </c>
      <c r="H8471" t="str">
        <f>IF(WEEKDAY(A8471,2)&gt;5,"Weekend","Weekday")</f>
        <v>Weekend</v>
      </c>
      <c r="I8471" t="str">
        <f>_xlfn.IFS(B8471&lt;=5,"Night (0-5)",B8471&lt;=9,"Morning peak (6-9)",B8471&lt;=15,"Midday (10-15)",B8471&lt;=19,"Evening peak (16-19)",TRUE,"Late evening (20-23)")</f>
        <v>Morning peak (6-9)</v>
      </c>
    </row>
    <row r="8472" spans="1:9">
      <c r="A8472" s="32">
        <v>42175</v>
      </c>
      <c r="B8472">
        <v>9</v>
      </c>
      <c r="C8472">
        <v>2772</v>
      </c>
      <c r="D8472" t="s">
        <v>304</v>
      </c>
      <c r="E8472">
        <f>YEAR(A8472)</f>
        <v>2015</v>
      </c>
      <c r="F8472" s="33">
        <f>DATE(YEAR(A8472),MONTH(A8472),1)</f>
        <v>42156.0</v>
      </c>
      <c r="G8472" t="str">
        <f>CHOOSE(WEEKDAY(A8472,2),"Mon","Tue","Wed","Thu","Fri","Sat","Sun")</f>
        <v>Sat</v>
      </c>
      <c r="H8472" t="str">
        <f>IF(WEEKDAY(A8472,2)&gt;5,"Weekend","Weekday")</f>
        <v>Weekend</v>
      </c>
      <c r="I8472" t="str">
        <f>_xlfn.IFS(B8472&lt;=5,"Night (0-5)",B8472&lt;=9,"Morning peak (6-9)",B8472&lt;=15,"Midday (10-15)",B8472&lt;=19,"Evening peak (16-19)",TRUE,"Late evening (20-23)")</f>
        <v>Morning peak (6-9)</v>
      </c>
    </row>
    <row r="8473" spans="1:9">
      <c r="A8473" s="32">
        <v>42175</v>
      </c>
      <c r="B8473">
        <v>10</v>
      </c>
      <c r="C8473">
        <v>3429</v>
      </c>
      <c r="D8473" t="s">
        <v>304</v>
      </c>
      <c r="E8473">
        <f>YEAR(A8473)</f>
        <v>2015</v>
      </c>
      <c r="F8473" s="33">
        <f>DATE(YEAR(A8473),MONTH(A8473),1)</f>
        <v>42156.0</v>
      </c>
      <c r="G8473" t="str">
        <f>CHOOSE(WEEKDAY(A8473,2),"Mon","Tue","Wed","Thu","Fri","Sat","Sun")</f>
        <v>Sat</v>
      </c>
      <c r="H8473" t="str">
        <f>IF(WEEKDAY(A8473,2)&gt;5,"Weekend","Weekday")</f>
        <v>Weekend</v>
      </c>
      <c r="I8473" t="str">
        <f>_xlfn.IFS(B8473&lt;=5,"Night (0-5)",B8473&lt;=9,"Morning peak (6-9)",B8473&lt;=15,"Midday (10-15)",B8473&lt;=19,"Evening peak (16-19)",TRUE,"Late evening (20-23)")</f>
        <v>Midday (10-15)</v>
      </c>
    </row>
    <row r="8474" spans="1:9">
      <c r="A8474" s="32">
        <v>42175</v>
      </c>
      <c r="B8474">
        <v>11</v>
      </c>
      <c r="C8474">
        <v>4054</v>
      </c>
      <c r="D8474" t="s">
        <v>304</v>
      </c>
      <c r="E8474">
        <f>YEAR(A8474)</f>
        <v>2015</v>
      </c>
      <c r="F8474" s="33">
        <f>DATE(YEAR(A8474),MONTH(A8474),1)</f>
        <v>42156.0</v>
      </c>
      <c r="G8474" t="str">
        <f>CHOOSE(WEEKDAY(A8474,2),"Mon","Tue","Wed","Thu","Fri","Sat","Sun")</f>
        <v>Sat</v>
      </c>
      <c r="H8474" t="str">
        <f>IF(WEEKDAY(A8474,2)&gt;5,"Weekend","Weekday")</f>
        <v>Weekend</v>
      </c>
      <c r="I8474" t="str">
        <f>_xlfn.IFS(B8474&lt;=5,"Night (0-5)",B8474&lt;=9,"Morning peak (6-9)",B8474&lt;=15,"Midday (10-15)",B8474&lt;=19,"Evening peak (16-19)",TRUE,"Late evening (20-23)")</f>
        <v>Midday (10-15)</v>
      </c>
    </row>
    <row r="8475" spans="1:9">
      <c r="A8475" s="32">
        <v>42175</v>
      </c>
      <c r="B8475">
        <v>12</v>
      </c>
      <c r="C8475">
        <v>4501</v>
      </c>
      <c r="D8475" t="s">
        <v>304</v>
      </c>
      <c r="E8475">
        <f>YEAR(A8475)</f>
        <v>2015</v>
      </c>
      <c r="F8475" s="33">
        <f>DATE(YEAR(A8475),MONTH(A8475),1)</f>
        <v>42156.0</v>
      </c>
      <c r="G8475" t="str">
        <f>CHOOSE(WEEKDAY(A8475,2),"Mon","Tue","Wed","Thu","Fri","Sat","Sun")</f>
        <v>Sat</v>
      </c>
      <c r="H8475" t="str">
        <f>IF(WEEKDAY(A8475,2)&gt;5,"Weekend","Weekday")</f>
        <v>Weekend</v>
      </c>
      <c r="I8475" t="str">
        <f>_xlfn.IFS(B8475&lt;=5,"Night (0-5)",B8475&lt;=9,"Morning peak (6-9)",B8475&lt;=15,"Midday (10-15)",B8475&lt;=19,"Evening peak (16-19)",TRUE,"Late evening (20-23)")</f>
        <v>Midday (10-15)</v>
      </c>
    </row>
    <row r="8476" spans="1:9">
      <c r="A8476" s="32">
        <v>42175</v>
      </c>
      <c r="B8476">
        <v>13</v>
      </c>
      <c r="C8476">
        <v>4542</v>
      </c>
      <c r="D8476" t="s">
        <v>304</v>
      </c>
      <c r="E8476">
        <f>YEAR(A8476)</f>
        <v>2015</v>
      </c>
      <c r="F8476" s="33">
        <f>DATE(YEAR(A8476),MONTH(A8476),1)</f>
        <v>42156.0</v>
      </c>
      <c r="G8476" t="str">
        <f>CHOOSE(WEEKDAY(A8476,2),"Mon","Tue","Wed","Thu","Fri","Sat","Sun")</f>
        <v>Sat</v>
      </c>
      <c r="H8476" t="str">
        <f>IF(WEEKDAY(A8476,2)&gt;5,"Weekend","Weekday")</f>
        <v>Weekend</v>
      </c>
      <c r="I8476" t="str">
        <f>_xlfn.IFS(B8476&lt;=5,"Night (0-5)",B8476&lt;=9,"Morning peak (6-9)",B8476&lt;=15,"Midday (10-15)",B8476&lt;=19,"Evening peak (16-19)",TRUE,"Late evening (20-23)")</f>
        <v>Midday (10-15)</v>
      </c>
    </row>
    <row r="8477" spans="1:9">
      <c r="A8477" s="32">
        <v>42175</v>
      </c>
      <c r="B8477">
        <v>14</v>
      </c>
      <c r="C8477">
        <v>4218</v>
      </c>
      <c r="D8477" t="s">
        <v>304</v>
      </c>
      <c r="E8477">
        <f>YEAR(A8477)</f>
        <v>2015</v>
      </c>
      <c r="F8477" s="33">
        <f>DATE(YEAR(A8477),MONTH(A8477),1)</f>
        <v>42156.0</v>
      </c>
      <c r="G8477" t="str">
        <f>CHOOSE(WEEKDAY(A8477,2),"Mon","Tue","Wed","Thu","Fri","Sat","Sun")</f>
        <v>Sat</v>
      </c>
      <c r="H8477" t="str">
        <f>IF(WEEKDAY(A8477,2)&gt;5,"Weekend","Weekday")</f>
        <v>Weekend</v>
      </c>
      <c r="I8477" t="str">
        <f>_xlfn.IFS(B8477&lt;=5,"Night (0-5)",B8477&lt;=9,"Morning peak (6-9)",B8477&lt;=15,"Midday (10-15)",B8477&lt;=19,"Evening peak (16-19)",TRUE,"Late evening (20-23)")</f>
        <v>Midday (10-15)</v>
      </c>
    </row>
    <row r="8478" spans="1:9">
      <c r="A8478" s="32">
        <v>42175</v>
      </c>
      <c r="B8478">
        <v>15</v>
      </c>
      <c r="C8478">
        <v>4393</v>
      </c>
      <c r="D8478" t="s">
        <v>304</v>
      </c>
      <c r="E8478">
        <f>YEAR(A8478)</f>
        <v>2015</v>
      </c>
      <c r="F8478" s="33">
        <f>DATE(YEAR(A8478),MONTH(A8478),1)</f>
        <v>42156.0</v>
      </c>
      <c r="G8478" t="str">
        <f>CHOOSE(WEEKDAY(A8478,2),"Mon","Tue","Wed","Thu","Fri","Sat","Sun")</f>
        <v>Sat</v>
      </c>
      <c r="H8478" t="str">
        <f>IF(WEEKDAY(A8478,2)&gt;5,"Weekend","Weekday")</f>
        <v>Weekend</v>
      </c>
      <c r="I8478" t="str">
        <f>_xlfn.IFS(B8478&lt;=5,"Night (0-5)",B8478&lt;=9,"Morning peak (6-9)",B8478&lt;=15,"Midday (10-15)",B8478&lt;=19,"Evening peak (16-19)",TRUE,"Late evening (20-23)")</f>
        <v>Midday (10-15)</v>
      </c>
    </row>
    <row r="8479" spans="1:9">
      <c r="A8479" s="32">
        <v>42175</v>
      </c>
      <c r="B8479">
        <v>16</v>
      </c>
      <c r="C8479">
        <v>5442</v>
      </c>
      <c r="D8479" t="s">
        <v>304</v>
      </c>
      <c r="E8479">
        <f>YEAR(A8479)</f>
        <v>2015</v>
      </c>
      <c r="F8479" s="33">
        <f>DATE(YEAR(A8479),MONTH(A8479),1)</f>
        <v>42156.0</v>
      </c>
      <c r="G8479" t="str">
        <f>CHOOSE(WEEKDAY(A8479,2),"Mon","Tue","Wed","Thu","Fri","Sat","Sun")</f>
        <v>Sat</v>
      </c>
      <c r="H8479" t="str">
        <f>IF(WEEKDAY(A8479,2)&gt;5,"Weekend","Weekday")</f>
        <v>Weekend</v>
      </c>
      <c r="I8479" t="str">
        <f>_xlfn.IFS(B8479&lt;=5,"Night (0-5)",B8479&lt;=9,"Morning peak (6-9)",B8479&lt;=15,"Midday (10-15)",B8479&lt;=19,"Evening peak (16-19)",TRUE,"Late evening (20-23)")</f>
        <v>Evening peak (16-19)</v>
      </c>
    </row>
    <row r="8480" spans="1:9">
      <c r="A8480" s="32">
        <v>42175</v>
      </c>
      <c r="B8480">
        <v>17</v>
      </c>
      <c r="C8480">
        <v>6004</v>
      </c>
      <c r="D8480" t="s">
        <v>304</v>
      </c>
      <c r="E8480">
        <f>YEAR(A8480)</f>
        <v>2015</v>
      </c>
      <c r="F8480" s="33">
        <f>DATE(YEAR(A8480),MONTH(A8480),1)</f>
        <v>42156.0</v>
      </c>
      <c r="G8480" t="str">
        <f>CHOOSE(WEEKDAY(A8480,2),"Mon","Tue","Wed","Thu","Fri","Sat","Sun")</f>
        <v>Sat</v>
      </c>
      <c r="H8480" t="str">
        <f>IF(WEEKDAY(A8480,2)&gt;5,"Weekend","Weekday")</f>
        <v>Weekend</v>
      </c>
      <c r="I8480" t="str">
        <f>_xlfn.IFS(B8480&lt;=5,"Night (0-5)",B8480&lt;=9,"Morning peak (6-9)",B8480&lt;=15,"Midday (10-15)",B8480&lt;=19,"Evening peak (16-19)",TRUE,"Late evening (20-23)")</f>
        <v>Evening peak (16-19)</v>
      </c>
    </row>
    <row r="8481" spans="1:9">
      <c r="A8481" s="32">
        <v>42175</v>
      </c>
      <c r="B8481">
        <v>18</v>
      </c>
      <c r="C8481">
        <v>5737</v>
      </c>
      <c r="D8481" t="s">
        <v>304</v>
      </c>
      <c r="E8481">
        <f>YEAR(A8481)</f>
        <v>2015</v>
      </c>
      <c r="F8481" s="33">
        <f>DATE(YEAR(A8481),MONTH(A8481),1)</f>
        <v>42156.0</v>
      </c>
      <c r="G8481" t="str">
        <f>CHOOSE(WEEKDAY(A8481,2),"Mon","Tue","Wed","Thu","Fri","Sat","Sun")</f>
        <v>Sat</v>
      </c>
      <c r="H8481" t="str">
        <f>IF(WEEKDAY(A8481,2)&gt;5,"Weekend","Weekday")</f>
        <v>Weekend</v>
      </c>
      <c r="I8481" t="str">
        <f>_xlfn.IFS(B8481&lt;=5,"Night (0-5)",B8481&lt;=9,"Morning peak (6-9)",B8481&lt;=15,"Midday (10-15)",B8481&lt;=19,"Evening peak (16-19)",TRUE,"Late evening (20-23)")</f>
        <v>Evening peak (16-19)</v>
      </c>
    </row>
    <row r="8482" spans="1:9">
      <c r="A8482" s="32">
        <v>42175</v>
      </c>
      <c r="B8482">
        <v>19</v>
      </c>
      <c r="C8482">
        <v>6215</v>
      </c>
      <c r="D8482" t="s">
        <v>304</v>
      </c>
      <c r="E8482">
        <f>YEAR(A8482)</f>
        <v>2015</v>
      </c>
      <c r="F8482" s="33">
        <f>DATE(YEAR(A8482),MONTH(A8482),1)</f>
        <v>42156.0</v>
      </c>
      <c r="G8482" t="str">
        <f>CHOOSE(WEEKDAY(A8482,2),"Mon","Tue","Wed","Thu","Fri","Sat","Sun")</f>
        <v>Sat</v>
      </c>
      <c r="H8482" t="str">
        <f>IF(WEEKDAY(A8482,2)&gt;5,"Weekend","Weekday")</f>
        <v>Weekend</v>
      </c>
      <c r="I8482" t="str">
        <f>_xlfn.IFS(B8482&lt;=5,"Night (0-5)",B8482&lt;=9,"Morning peak (6-9)",B8482&lt;=15,"Midday (10-15)",B8482&lt;=19,"Evening peak (16-19)",TRUE,"Late evening (20-23)")</f>
        <v>Evening peak (16-19)</v>
      </c>
    </row>
    <row r="8483" spans="1:9">
      <c r="A8483" s="32">
        <v>42175</v>
      </c>
      <c r="B8483">
        <v>20</v>
      </c>
      <c r="C8483">
        <v>5326</v>
      </c>
      <c r="D8483" t="s">
        <v>304</v>
      </c>
      <c r="E8483">
        <f>YEAR(A8483)</f>
        <v>2015</v>
      </c>
      <c r="F8483" s="33">
        <f>DATE(YEAR(A8483),MONTH(A8483),1)</f>
        <v>42156.0</v>
      </c>
      <c r="G8483" t="str">
        <f>CHOOSE(WEEKDAY(A8483,2),"Mon","Tue","Wed","Thu","Fri","Sat","Sun")</f>
        <v>Sat</v>
      </c>
      <c r="H8483" t="str">
        <f>IF(WEEKDAY(A8483,2)&gt;5,"Weekend","Weekday")</f>
        <v>Weekend</v>
      </c>
      <c r="I8483" t="str">
        <f>_xlfn.IFS(B8483&lt;=5,"Night (0-5)",B8483&lt;=9,"Morning peak (6-9)",B8483&lt;=15,"Midday (10-15)",B8483&lt;=19,"Evening peak (16-19)",TRUE,"Late evening (20-23)")</f>
        <v>Late evening (20-23)</v>
      </c>
    </row>
    <row r="8484" spans="1:9">
      <c r="A8484" s="32">
        <v>42175</v>
      </c>
      <c r="B8484">
        <v>21</v>
      </c>
      <c r="C8484">
        <v>5471</v>
      </c>
      <c r="D8484" t="s">
        <v>304</v>
      </c>
      <c r="E8484">
        <f>YEAR(A8484)</f>
        <v>2015</v>
      </c>
      <c r="F8484" s="33">
        <f>DATE(YEAR(A8484),MONTH(A8484),1)</f>
        <v>42156.0</v>
      </c>
      <c r="G8484" t="str">
        <f>CHOOSE(WEEKDAY(A8484,2),"Mon","Tue","Wed","Thu","Fri","Sat","Sun")</f>
        <v>Sat</v>
      </c>
      <c r="H8484" t="str">
        <f>IF(WEEKDAY(A8484,2)&gt;5,"Weekend","Weekday")</f>
        <v>Weekend</v>
      </c>
      <c r="I8484" t="str">
        <f>_xlfn.IFS(B8484&lt;=5,"Night (0-5)",B8484&lt;=9,"Morning peak (6-9)",B8484&lt;=15,"Midday (10-15)",B8484&lt;=19,"Evening peak (16-19)",TRUE,"Late evening (20-23)")</f>
        <v>Late evening (20-23)</v>
      </c>
    </row>
    <row r="8485" spans="1:9">
      <c r="A8485" s="32">
        <v>42175</v>
      </c>
      <c r="B8485">
        <v>22</v>
      </c>
      <c r="C8485">
        <v>6016</v>
      </c>
      <c r="D8485" t="s">
        <v>304</v>
      </c>
      <c r="E8485">
        <f>YEAR(A8485)</f>
        <v>2015</v>
      </c>
      <c r="F8485" s="33">
        <f>DATE(YEAR(A8485),MONTH(A8485),1)</f>
        <v>42156.0</v>
      </c>
      <c r="G8485" t="str">
        <f>CHOOSE(WEEKDAY(A8485,2),"Mon","Tue","Wed","Thu","Fri","Sat","Sun")</f>
        <v>Sat</v>
      </c>
      <c r="H8485" t="str">
        <f>IF(WEEKDAY(A8485,2)&gt;5,"Weekend","Weekday")</f>
        <v>Weekend</v>
      </c>
      <c r="I8485" t="str">
        <f>_xlfn.IFS(B8485&lt;=5,"Night (0-5)",B8485&lt;=9,"Morning peak (6-9)",B8485&lt;=15,"Midday (10-15)",B8485&lt;=19,"Evening peak (16-19)",TRUE,"Late evening (20-23)")</f>
        <v>Late evening (20-23)</v>
      </c>
    </row>
    <row r="8486" spans="1:9">
      <c r="A8486" s="32">
        <v>42175</v>
      </c>
      <c r="B8486">
        <v>23</v>
      </c>
      <c r="C8486">
        <v>6853</v>
      </c>
      <c r="D8486" t="s">
        <v>304</v>
      </c>
      <c r="E8486">
        <f>YEAR(A8486)</f>
        <v>2015</v>
      </c>
      <c r="F8486" s="33">
        <f>DATE(YEAR(A8486),MONTH(A8486),1)</f>
        <v>42156.0</v>
      </c>
      <c r="G8486" t="str">
        <f>CHOOSE(WEEKDAY(A8486,2),"Mon","Tue","Wed","Thu","Fri","Sat","Sun")</f>
        <v>Sat</v>
      </c>
      <c r="H8486" t="str">
        <f>IF(WEEKDAY(A8486,2)&gt;5,"Weekend","Weekday")</f>
        <v>Weekend</v>
      </c>
      <c r="I8486" t="str">
        <f>_xlfn.IFS(B8486&lt;=5,"Night (0-5)",B8486&lt;=9,"Morning peak (6-9)",B8486&lt;=15,"Midday (10-15)",B8486&lt;=19,"Evening peak (16-19)",TRUE,"Late evening (20-23)")</f>
        <v>Late evening (20-23)</v>
      </c>
    </row>
    <row r="8487" spans="1:9">
      <c r="A8487" s="32">
        <v>42176</v>
      </c>
      <c r="B8487">
        <v>0</v>
      </c>
      <c r="C8487">
        <v>6179</v>
      </c>
      <c r="D8487" t="s">
        <v>304</v>
      </c>
      <c r="E8487">
        <f>YEAR(A8487)</f>
        <v>2015</v>
      </c>
      <c r="F8487" s="33">
        <f>DATE(YEAR(A8487),MONTH(A8487),1)</f>
        <v>42156.0</v>
      </c>
      <c r="G8487" t="str">
        <f>CHOOSE(WEEKDAY(A8487,2),"Mon","Tue","Wed","Thu","Fri","Sat","Sun")</f>
        <v>Sun</v>
      </c>
      <c r="H8487" t="str">
        <f>IF(WEEKDAY(A8487,2)&gt;5,"Weekend","Weekday")</f>
        <v>Weekend</v>
      </c>
      <c r="I8487" t="str">
        <f>_xlfn.IFS(B8487&lt;=5,"Night (0-5)",B8487&lt;=9,"Morning peak (6-9)",B8487&lt;=15,"Midday (10-15)",B8487&lt;=19,"Evening peak (16-19)",TRUE,"Late evening (20-23)")</f>
        <v>Night (0-5)</v>
      </c>
    </row>
    <row r="8488" spans="1:9">
      <c r="A8488" s="32">
        <v>42176</v>
      </c>
      <c r="B8488">
        <v>1</v>
      </c>
      <c r="C8488">
        <v>5425</v>
      </c>
      <c r="D8488" t="s">
        <v>304</v>
      </c>
      <c r="E8488">
        <f>YEAR(A8488)</f>
        <v>2015</v>
      </c>
      <c r="F8488" s="33">
        <f>DATE(YEAR(A8488),MONTH(A8488),1)</f>
        <v>42156.0</v>
      </c>
      <c r="G8488" t="str">
        <f>CHOOSE(WEEKDAY(A8488,2),"Mon","Tue","Wed","Thu","Fri","Sat","Sun")</f>
        <v>Sun</v>
      </c>
      <c r="H8488" t="str">
        <f>IF(WEEKDAY(A8488,2)&gt;5,"Weekend","Weekday")</f>
        <v>Weekend</v>
      </c>
      <c r="I8488" t="str">
        <f>_xlfn.IFS(B8488&lt;=5,"Night (0-5)",B8488&lt;=9,"Morning peak (6-9)",B8488&lt;=15,"Midday (10-15)",B8488&lt;=19,"Evening peak (16-19)",TRUE,"Late evening (20-23)")</f>
        <v>Night (0-5)</v>
      </c>
    </row>
    <row r="8489" spans="1:9">
      <c r="A8489" s="32">
        <v>42176</v>
      </c>
      <c r="B8489">
        <v>2</v>
      </c>
      <c r="C8489">
        <v>4648</v>
      </c>
      <c r="D8489" t="s">
        <v>304</v>
      </c>
      <c r="E8489">
        <f>YEAR(A8489)</f>
        <v>2015</v>
      </c>
      <c r="F8489" s="33">
        <f>DATE(YEAR(A8489),MONTH(A8489),1)</f>
        <v>42156.0</v>
      </c>
      <c r="G8489" t="str">
        <f>CHOOSE(WEEKDAY(A8489,2),"Mon","Tue","Wed","Thu","Fri","Sat","Sun")</f>
        <v>Sun</v>
      </c>
      <c r="H8489" t="str">
        <f>IF(WEEKDAY(A8489,2)&gt;5,"Weekend","Weekday")</f>
        <v>Weekend</v>
      </c>
      <c r="I8489" t="str">
        <f>_xlfn.IFS(B8489&lt;=5,"Night (0-5)",B8489&lt;=9,"Morning peak (6-9)",B8489&lt;=15,"Midday (10-15)",B8489&lt;=19,"Evening peak (16-19)",TRUE,"Late evening (20-23)")</f>
        <v>Night (0-5)</v>
      </c>
    </row>
    <row r="8490" spans="1:9">
      <c r="A8490" s="32">
        <v>42176</v>
      </c>
      <c r="B8490">
        <v>3</v>
      </c>
      <c r="C8490">
        <v>3197</v>
      </c>
      <c r="D8490" t="s">
        <v>304</v>
      </c>
      <c r="E8490">
        <f>YEAR(A8490)</f>
        <v>2015</v>
      </c>
      <c r="F8490" s="33">
        <f>DATE(YEAR(A8490),MONTH(A8490),1)</f>
        <v>42156.0</v>
      </c>
      <c r="G8490" t="str">
        <f>CHOOSE(WEEKDAY(A8490,2),"Mon","Tue","Wed","Thu","Fri","Sat","Sun")</f>
        <v>Sun</v>
      </c>
      <c r="H8490" t="str">
        <f>IF(WEEKDAY(A8490,2)&gt;5,"Weekend","Weekday")</f>
        <v>Weekend</v>
      </c>
      <c r="I8490" t="str">
        <f>_xlfn.IFS(B8490&lt;=5,"Night (0-5)",B8490&lt;=9,"Morning peak (6-9)",B8490&lt;=15,"Midday (10-15)",B8490&lt;=19,"Evening peak (16-19)",TRUE,"Late evening (20-23)")</f>
        <v>Night (0-5)</v>
      </c>
    </row>
    <row r="8491" spans="1:9">
      <c r="A8491" s="32">
        <v>42176</v>
      </c>
      <c r="B8491">
        <v>4</v>
      </c>
      <c r="C8491">
        <v>2490</v>
      </c>
      <c r="D8491" t="s">
        <v>304</v>
      </c>
      <c r="E8491">
        <f>YEAR(A8491)</f>
        <v>2015</v>
      </c>
      <c r="F8491" s="33">
        <f>DATE(YEAR(A8491),MONTH(A8491),1)</f>
        <v>42156.0</v>
      </c>
      <c r="G8491" t="str">
        <f>CHOOSE(WEEKDAY(A8491,2),"Mon","Tue","Wed","Thu","Fri","Sat","Sun")</f>
        <v>Sun</v>
      </c>
      <c r="H8491" t="str">
        <f>IF(WEEKDAY(A8491,2)&gt;5,"Weekend","Weekday")</f>
        <v>Weekend</v>
      </c>
      <c r="I8491" t="str">
        <f>_xlfn.IFS(B8491&lt;=5,"Night (0-5)",B8491&lt;=9,"Morning peak (6-9)",B8491&lt;=15,"Midday (10-15)",B8491&lt;=19,"Evening peak (16-19)",TRUE,"Late evening (20-23)")</f>
        <v>Night (0-5)</v>
      </c>
    </row>
    <row r="8492" spans="1:9">
      <c r="A8492" s="32">
        <v>42176</v>
      </c>
      <c r="B8492">
        <v>5</v>
      </c>
      <c r="C8492">
        <v>1352</v>
      </c>
      <c r="D8492" t="s">
        <v>304</v>
      </c>
      <c r="E8492">
        <f>YEAR(A8492)</f>
        <v>2015</v>
      </c>
      <c r="F8492" s="33">
        <f>DATE(YEAR(A8492),MONTH(A8492),1)</f>
        <v>42156.0</v>
      </c>
      <c r="G8492" t="str">
        <f>CHOOSE(WEEKDAY(A8492,2),"Mon","Tue","Wed","Thu","Fri","Sat","Sun")</f>
        <v>Sun</v>
      </c>
      <c r="H8492" t="str">
        <f>IF(WEEKDAY(A8492,2)&gt;5,"Weekend","Weekday")</f>
        <v>Weekend</v>
      </c>
      <c r="I8492" t="str">
        <f>_xlfn.IFS(B8492&lt;=5,"Night (0-5)",B8492&lt;=9,"Morning peak (6-9)",B8492&lt;=15,"Midday (10-15)",B8492&lt;=19,"Evening peak (16-19)",TRUE,"Late evening (20-23)")</f>
        <v>Night (0-5)</v>
      </c>
    </row>
    <row r="8493" spans="1:9">
      <c r="A8493" s="32">
        <v>42176</v>
      </c>
      <c r="B8493">
        <v>6</v>
      </c>
      <c r="C8493">
        <v>1086</v>
      </c>
      <c r="D8493" t="s">
        <v>304</v>
      </c>
      <c r="E8493">
        <f>YEAR(A8493)</f>
        <v>2015</v>
      </c>
      <c r="F8493" s="33">
        <f>DATE(YEAR(A8493),MONTH(A8493),1)</f>
        <v>42156.0</v>
      </c>
      <c r="G8493" t="str">
        <f>CHOOSE(WEEKDAY(A8493,2),"Mon","Tue","Wed","Thu","Fri","Sat","Sun")</f>
        <v>Sun</v>
      </c>
      <c r="H8493" t="str">
        <f>IF(WEEKDAY(A8493,2)&gt;5,"Weekend","Weekday")</f>
        <v>Weekend</v>
      </c>
      <c r="I8493" t="str">
        <f>_xlfn.IFS(B8493&lt;=5,"Night (0-5)",B8493&lt;=9,"Morning peak (6-9)",B8493&lt;=15,"Midday (10-15)",B8493&lt;=19,"Evening peak (16-19)",TRUE,"Late evening (20-23)")</f>
        <v>Morning peak (6-9)</v>
      </c>
    </row>
    <row r="8494" spans="1:9">
      <c r="A8494" s="32">
        <v>42176</v>
      </c>
      <c r="B8494">
        <v>7</v>
      </c>
      <c r="C8494">
        <v>1230</v>
      </c>
      <c r="D8494" t="s">
        <v>304</v>
      </c>
      <c r="E8494">
        <f>YEAR(A8494)</f>
        <v>2015</v>
      </c>
      <c r="F8494" s="33">
        <f>DATE(YEAR(A8494),MONTH(A8494),1)</f>
        <v>42156.0</v>
      </c>
      <c r="G8494" t="str">
        <f>CHOOSE(WEEKDAY(A8494,2),"Mon","Tue","Wed","Thu","Fri","Sat","Sun")</f>
        <v>Sun</v>
      </c>
      <c r="H8494" t="str">
        <f>IF(WEEKDAY(A8494,2)&gt;5,"Weekend","Weekday")</f>
        <v>Weekend</v>
      </c>
      <c r="I8494" t="str">
        <f>_xlfn.IFS(B8494&lt;=5,"Night (0-5)",B8494&lt;=9,"Morning peak (6-9)",B8494&lt;=15,"Midday (10-15)",B8494&lt;=19,"Evening peak (16-19)",TRUE,"Late evening (20-23)")</f>
        <v>Morning peak (6-9)</v>
      </c>
    </row>
    <row r="8495" spans="1:9">
      <c r="A8495" s="32">
        <v>42176</v>
      </c>
      <c r="B8495">
        <v>8</v>
      </c>
      <c r="C8495">
        <v>1705</v>
      </c>
      <c r="D8495" t="s">
        <v>304</v>
      </c>
      <c r="E8495">
        <f>YEAR(A8495)</f>
        <v>2015</v>
      </c>
      <c r="F8495" s="33">
        <f>DATE(YEAR(A8495),MONTH(A8495),1)</f>
        <v>42156.0</v>
      </c>
      <c r="G8495" t="str">
        <f>CHOOSE(WEEKDAY(A8495,2),"Mon","Tue","Wed","Thu","Fri","Sat","Sun")</f>
        <v>Sun</v>
      </c>
      <c r="H8495" t="str">
        <f>IF(WEEKDAY(A8495,2)&gt;5,"Weekend","Weekday")</f>
        <v>Weekend</v>
      </c>
      <c r="I8495" t="str">
        <f>_xlfn.IFS(B8495&lt;=5,"Night (0-5)",B8495&lt;=9,"Morning peak (6-9)",B8495&lt;=15,"Midday (10-15)",B8495&lt;=19,"Evening peak (16-19)",TRUE,"Late evening (20-23)")</f>
        <v>Morning peak (6-9)</v>
      </c>
    </row>
    <row r="8496" spans="1:9">
      <c r="A8496" s="32">
        <v>42176</v>
      </c>
      <c r="B8496">
        <v>9</v>
      </c>
      <c r="C8496">
        <v>2438</v>
      </c>
      <c r="D8496" t="s">
        <v>304</v>
      </c>
      <c r="E8496">
        <f>YEAR(A8496)</f>
        <v>2015</v>
      </c>
      <c r="F8496" s="33">
        <f>DATE(YEAR(A8496),MONTH(A8496),1)</f>
        <v>42156.0</v>
      </c>
      <c r="G8496" t="str">
        <f>CHOOSE(WEEKDAY(A8496,2),"Mon","Tue","Wed","Thu","Fri","Sat","Sun")</f>
        <v>Sun</v>
      </c>
      <c r="H8496" t="str">
        <f>IF(WEEKDAY(A8496,2)&gt;5,"Weekend","Weekday")</f>
        <v>Weekend</v>
      </c>
      <c r="I8496" t="str">
        <f>_xlfn.IFS(B8496&lt;=5,"Night (0-5)",B8496&lt;=9,"Morning peak (6-9)",B8496&lt;=15,"Midday (10-15)",B8496&lt;=19,"Evening peak (16-19)",TRUE,"Late evening (20-23)")</f>
        <v>Morning peak (6-9)</v>
      </c>
    </row>
    <row r="8497" spans="1:9">
      <c r="A8497" s="32">
        <v>42176</v>
      </c>
      <c r="B8497">
        <v>10</v>
      </c>
      <c r="C8497">
        <v>3180</v>
      </c>
      <c r="D8497" t="s">
        <v>304</v>
      </c>
      <c r="E8497">
        <f>YEAR(A8497)</f>
        <v>2015</v>
      </c>
      <c r="F8497" s="33">
        <f>DATE(YEAR(A8497),MONTH(A8497),1)</f>
        <v>42156.0</v>
      </c>
      <c r="G8497" t="str">
        <f>CHOOSE(WEEKDAY(A8497,2),"Mon","Tue","Wed","Thu","Fri","Sat","Sun")</f>
        <v>Sun</v>
      </c>
      <c r="H8497" t="str">
        <f>IF(WEEKDAY(A8497,2)&gt;5,"Weekend","Weekday")</f>
        <v>Weekend</v>
      </c>
      <c r="I8497" t="str">
        <f>_xlfn.IFS(B8497&lt;=5,"Night (0-5)",B8497&lt;=9,"Morning peak (6-9)",B8497&lt;=15,"Midday (10-15)",B8497&lt;=19,"Evening peak (16-19)",TRUE,"Late evening (20-23)")</f>
        <v>Midday (10-15)</v>
      </c>
    </row>
    <row r="8498" spans="1:9">
      <c r="A8498" s="32">
        <v>42176</v>
      </c>
      <c r="B8498">
        <v>11</v>
      </c>
      <c r="C8498">
        <v>3986</v>
      </c>
      <c r="D8498" t="s">
        <v>304</v>
      </c>
      <c r="E8498">
        <f>YEAR(A8498)</f>
        <v>2015</v>
      </c>
      <c r="F8498" s="33">
        <f>DATE(YEAR(A8498),MONTH(A8498),1)</f>
        <v>42156.0</v>
      </c>
      <c r="G8498" t="str">
        <f>CHOOSE(WEEKDAY(A8498,2),"Mon","Tue","Wed","Thu","Fri","Sat","Sun")</f>
        <v>Sun</v>
      </c>
      <c r="H8498" t="str">
        <f>IF(WEEKDAY(A8498,2)&gt;5,"Weekend","Weekday")</f>
        <v>Weekend</v>
      </c>
      <c r="I8498" t="str">
        <f>_xlfn.IFS(B8498&lt;=5,"Night (0-5)",B8498&lt;=9,"Morning peak (6-9)",B8498&lt;=15,"Midday (10-15)",B8498&lt;=19,"Evening peak (16-19)",TRUE,"Late evening (20-23)")</f>
        <v>Midday (10-15)</v>
      </c>
    </row>
    <row r="8499" spans="1:9">
      <c r="A8499" s="32">
        <v>42176</v>
      </c>
      <c r="B8499">
        <v>12</v>
      </c>
      <c r="C8499">
        <v>4162</v>
      </c>
      <c r="D8499" t="s">
        <v>304</v>
      </c>
      <c r="E8499">
        <f>YEAR(A8499)</f>
        <v>2015</v>
      </c>
      <c r="F8499" s="33">
        <f>DATE(YEAR(A8499),MONTH(A8499),1)</f>
        <v>42156.0</v>
      </c>
      <c r="G8499" t="str">
        <f>CHOOSE(WEEKDAY(A8499,2),"Mon","Tue","Wed","Thu","Fri","Sat","Sun")</f>
        <v>Sun</v>
      </c>
      <c r="H8499" t="str">
        <f>IF(WEEKDAY(A8499,2)&gt;5,"Weekend","Weekday")</f>
        <v>Weekend</v>
      </c>
      <c r="I8499" t="str">
        <f>_xlfn.IFS(B8499&lt;=5,"Night (0-5)",B8499&lt;=9,"Morning peak (6-9)",B8499&lt;=15,"Midday (10-15)",B8499&lt;=19,"Evening peak (16-19)",TRUE,"Late evening (20-23)")</f>
        <v>Midday (10-15)</v>
      </c>
    </row>
    <row r="8500" spans="1:9">
      <c r="A8500" s="32">
        <v>42176</v>
      </c>
      <c r="B8500">
        <v>13</v>
      </c>
      <c r="C8500">
        <v>4141</v>
      </c>
      <c r="D8500" t="s">
        <v>304</v>
      </c>
      <c r="E8500">
        <f>YEAR(A8500)</f>
        <v>2015</v>
      </c>
      <c r="F8500" s="33">
        <f>DATE(YEAR(A8500),MONTH(A8500),1)</f>
        <v>42156.0</v>
      </c>
      <c r="G8500" t="str">
        <f>CHOOSE(WEEKDAY(A8500,2),"Mon","Tue","Wed","Thu","Fri","Sat","Sun")</f>
        <v>Sun</v>
      </c>
      <c r="H8500" t="str">
        <f>IF(WEEKDAY(A8500,2)&gt;5,"Weekend","Weekday")</f>
        <v>Weekend</v>
      </c>
      <c r="I8500" t="str">
        <f>_xlfn.IFS(B8500&lt;=5,"Night (0-5)",B8500&lt;=9,"Morning peak (6-9)",B8500&lt;=15,"Midday (10-15)",B8500&lt;=19,"Evening peak (16-19)",TRUE,"Late evening (20-23)")</f>
        <v>Midday (10-15)</v>
      </c>
    </row>
    <row r="8501" spans="1:9">
      <c r="A8501" s="32">
        <v>42176</v>
      </c>
      <c r="B8501">
        <v>14</v>
      </c>
      <c r="C8501">
        <v>4352</v>
      </c>
      <c r="D8501" t="s">
        <v>304</v>
      </c>
      <c r="E8501">
        <f>YEAR(A8501)</f>
        <v>2015</v>
      </c>
      <c r="F8501" s="33">
        <f>DATE(YEAR(A8501),MONTH(A8501),1)</f>
        <v>42156.0</v>
      </c>
      <c r="G8501" t="str">
        <f>CHOOSE(WEEKDAY(A8501,2),"Mon","Tue","Wed","Thu","Fri","Sat","Sun")</f>
        <v>Sun</v>
      </c>
      <c r="H8501" t="str">
        <f>IF(WEEKDAY(A8501,2)&gt;5,"Weekend","Weekday")</f>
        <v>Weekend</v>
      </c>
      <c r="I8501" t="str">
        <f>_xlfn.IFS(B8501&lt;=5,"Night (0-5)",B8501&lt;=9,"Morning peak (6-9)",B8501&lt;=15,"Midday (10-15)",B8501&lt;=19,"Evening peak (16-19)",TRUE,"Late evening (20-23)")</f>
        <v>Midday (10-15)</v>
      </c>
    </row>
    <row r="8502" spans="1:9">
      <c r="A8502" s="32">
        <v>42176</v>
      </c>
      <c r="B8502">
        <v>15</v>
      </c>
      <c r="C8502">
        <v>4400</v>
      </c>
      <c r="D8502" t="s">
        <v>304</v>
      </c>
      <c r="E8502">
        <f>YEAR(A8502)</f>
        <v>2015</v>
      </c>
      <c r="F8502" s="33">
        <f>DATE(YEAR(A8502),MONTH(A8502),1)</f>
        <v>42156.0</v>
      </c>
      <c r="G8502" t="str">
        <f>CHOOSE(WEEKDAY(A8502,2),"Mon","Tue","Wed","Thu","Fri","Sat","Sun")</f>
        <v>Sun</v>
      </c>
      <c r="H8502" t="str">
        <f>IF(WEEKDAY(A8502,2)&gt;5,"Weekend","Weekday")</f>
        <v>Weekend</v>
      </c>
      <c r="I8502" t="str">
        <f>_xlfn.IFS(B8502&lt;=5,"Night (0-5)",B8502&lt;=9,"Morning peak (6-9)",B8502&lt;=15,"Midday (10-15)",B8502&lt;=19,"Evening peak (16-19)",TRUE,"Late evening (20-23)")</f>
        <v>Midday (10-15)</v>
      </c>
    </row>
    <row r="8503" spans="1:9">
      <c r="A8503" s="32">
        <v>42176</v>
      </c>
      <c r="B8503">
        <v>16</v>
      </c>
      <c r="C8503">
        <v>4519</v>
      </c>
      <c r="D8503" t="s">
        <v>304</v>
      </c>
      <c r="E8503">
        <f>YEAR(A8503)</f>
        <v>2015</v>
      </c>
      <c r="F8503" s="33">
        <f>DATE(YEAR(A8503),MONTH(A8503),1)</f>
        <v>42156.0</v>
      </c>
      <c r="G8503" t="str">
        <f>CHOOSE(WEEKDAY(A8503,2),"Mon","Tue","Wed","Thu","Fri","Sat","Sun")</f>
        <v>Sun</v>
      </c>
      <c r="H8503" t="str">
        <f>IF(WEEKDAY(A8503,2)&gt;5,"Weekend","Weekday")</f>
        <v>Weekend</v>
      </c>
      <c r="I8503" t="str">
        <f>_xlfn.IFS(B8503&lt;=5,"Night (0-5)",B8503&lt;=9,"Morning peak (6-9)",B8503&lt;=15,"Midday (10-15)",B8503&lt;=19,"Evening peak (16-19)",TRUE,"Late evening (20-23)")</f>
        <v>Evening peak (16-19)</v>
      </c>
    </row>
    <row r="8504" spans="1:9">
      <c r="A8504" s="32">
        <v>42176</v>
      </c>
      <c r="B8504">
        <v>17</v>
      </c>
      <c r="C8504">
        <v>4866</v>
      </c>
      <c r="D8504" t="s">
        <v>304</v>
      </c>
      <c r="E8504">
        <f>YEAR(A8504)</f>
        <v>2015</v>
      </c>
      <c r="F8504" s="33">
        <f>DATE(YEAR(A8504),MONTH(A8504),1)</f>
        <v>42156.0</v>
      </c>
      <c r="G8504" t="str">
        <f>CHOOSE(WEEKDAY(A8504,2),"Mon","Tue","Wed","Thu","Fri","Sat","Sun")</f>
        <v>Sun</v>
      </c>
      <c r="H8504" t="str">
        <f>IF(WEEKDAY(A8504,2)&gt;5,"Weekend","Weekday")</f>
        <v>Weekend</v>
      </c>
      <c r="I8504" t="str">
        <f>_xlfn.IFS(B8504&lt;=5,"Night (0-5)",B8504&lt;=9,"Morning peak (6-9)",B8504&lt;=15,"Midday (10-15)",B8504&lt;=19,"Evening peak (16-19)",TRUE,"Late evening (20-23)")</f>
        <v>Evening peak (16-19)</v>
      </c>
    </row>
    <row r="8505" spans="1:9">
      <c r="A8505" s="32">
        <v>42176</v>
      </c>
      <c r="B8505">
        <v>18</v>
      </c>
      <c r="C8505">
        <v>5231</v>
      </c>
      <c r="D8505" t="s">
        <v>304</v>
      </c>
      <c r="E8505">
        <f>YEAR(A8505)</f>
        <v>2015</v>
      </c>
      <c r="F8505" s="33">
        <f>DATE(YEAR(A8505),MONTH(A8505),1)</f>
        <v>42156.0</v>
      </c>
      <c r="G8505" t="str">
        <f>CHOOSE(WEEKDAY(A8505,2),"Mon","Tue","Wed","Thu","Fri","Sat","Sun")</f>
        <v>Sun</v>
      </c>
      <c r="H8505" t="str">
        <f>IF(WEEKDAY(A8505,2)&gt;5,"Weekend","Weekday")</f>
        <v>Weekend</v>
      </c>
      <c r="I8505" t="str">
        <f>_xlfn.IFS(B8505&lt;=5,"Night (0-5)",B8505&lt;=9,"Morning peak (6-9)",B8505&lt;=15,"Midday (10-15)",B8505&lt;=19,"Evening peak (16-19)",TRUE,"Late evening (20-23)")</f>
        <v>Evening peak (16-19)</v>
      </c>
    </row>
    <row r="8506" spans="1:9">
      <c r="A8506" s="32">
        <v>42176</v>
      </c>
      <c r="B8506">
        <v>19</v>
      </c>
      <c r="C8506">
        <v>4252</v>
      </c>
      <c r="D8506" t="s">
        <v>304</v>
      </c>
      <c r="E8506">
        <f>YEAR(A8506)</f>
        <v>2015</v>
      </c>
      <c r="F8506" s="33">
        <f>DATE(YEAR(A8506),MONTH(A8506),1)</f>
        <v>42156.0</v>
      </c>
      <c r="G8506" t="str">
        <f>CHOOSE(WEEKDAY(A8506,2),"Mon","Tue","Wed","Thu","Fri","Sat","Sun")</f>
        <v>Sun</v>
      </c>
      <c r="H8506" t="str">
        <f>IF(WEEKDAY(A8506,2)&gt;5,"Weekend","Weekday")</f>
        <v>Weekend</v>
      </c>
      <c r="I8506" t="str">
        <f>_xlfn.IFS(B8506&lt;=5,"Night (0-5)",B8506&lt;=9,"Morning peak (6-9)",B8506&lt;=15,"Midday (10-15)",B8506&lt;=19,"Evening peak (16-19)",TRUE,"Late evening (20-23)")</f>
        <v>Evening peak (16-19)</v>
      </c>
    </row>
    <row r="8507" spans="1:9">
      <c r="A8507" s="32">
        <v>42176</v>
      </c>
      <c r="B8507">
        <v>20</v>
      </c>
      <c r="C8507">
        <v>3834</v>
      </c>
      <c r="D8507" t="s">
        <v>304</v>
      </c>
      <c r="E8507">
        <f>YEAR(A8507)</f>
        <v>2015</v>
      </c>
      <c r="F8507" s="33">
        <f>DATE(YEAR(A8507),MONTH(A8507),1)</f>
        <v>42156.0</v>
      </c>
      <c r="G8507" t="str">
        <f>CHOOSE(WEEKDAY(A8507,2),"Mon","Tue","Wed","Thu","Fri","Sat","Sun")</f>
        <v>Sun</v>
      </c>
      <c r="H8507" t="str">
        <f>IF(WEEKDAY(A8507,2)&gt;5,"Weekend","Weekday")</f>
        <v>Weekend</v>
      </c>
      <c r="I8507" t="str">
        <f>_xlfn.IFS(B8507&lt;=5,"Night (0-5)",B8507&lt;=9,"Morning peak (6-9)",B8507&lt;=15,"Midday (10-15)",B8507&lt;=19,"Evening peak (16-19)",TRUE,"Late evening (20-23)")</f>
        <v>Late evening (20-23)</v>
      </c>
    </row>
    <row r="8508" spans="1:9">
      <c r="A8508" s="32">
        <v>42176</v>
      </c>
      <c r="B8508">
        <v>21</v>
      </c>
      <c r="C8508">
        <v>4370</v>
      </c>
      <c r="D8508" t="s">
        <v>304</v>
      </c>
      <c r="E8508">
        <f>YEAR(A8508)</f>
        <v>2015</v>
      </c>
      <c r="F8508" s="33">
        <f>DATE(YEAR(A8508),MONTH(A8508),1)</f>
        <v>42156.0</v>
      </c>
      <c r="G8508" t="str">
        <f>CHOOSE(WEEKDAY(A8508,2),"Mon","Tue","Wed","Thu","Fri","Sat","Sun")</f>
        <v>Sun</v>
      </c>
      <c r="H8508" t="str">
        <f>IF(WEEKDAY(A8508,2)&gt;5,"Weekend","Weekday")</f>
        <v>Weekend</v>
      </c>
      <c r="I8508" t="str">
        <f>_xlfn.IFS(B8508&lt;=5,"Night (0-5)",B8508&lt;=9,"Morning peak (6-9)",B8508&lt;=15,"Midday (10-15)",B8508&lt;=19,"Evening peak (16-19)",TRUE,"Late evening (20-23)")</f>
        <v>Late evening (20-23)</v>
      </c>
    </row>
    <row r="8509" spans="1:9">
      <c r="A8509" s="32">
        <v>42176</v>
      </c>
      <c r="B8509">
        <v>22</v>
      </c>
      <c r="C8509">
        <v>4549</v>
      </c>
      <c r="D8509" t="s">
        <v>304</v>
      </c>
      <c r="E8509">
        <f>YEAR(A8509)</f>
        <v>2015</v>
      </c>
      <c r="F8509" s="33">
        <f>DATE(YEAR(A8509),MONTH(A8509),1)</f>
        <v>42156.0</v>
      </c>
      <c r="G8509" t="str">
        <f>CHOOSE(WEEKDAY(A8509,2),"Mon","Tue","Wed","Thu","Fri","Sat","Sun")</f>
        <v>Sun</v>
      </c>
      <c r="H8509" t="str">
        <f>IF(WEEKDAY(A8509,2)&gt;5,"Weekend","Weekday")</f>
        <v>Weekend</v>
      </c>
      <c r="I8509" t="str">
        <f>_xlfn.IFS(B8509&lt;=5,"Night (0-5)",B8509&lt;=9,"Morning peak (6-9)",B8509&lt;=15,"Midday (10-15)",B8509&lt;=19,"Evening peak (16-19)",TRUE,"Late evening (20-23)")</f>
        <v>Late evening (20-23)</v>
      </c>
    </row>
    <row r="8510" spans="1:9">
      <c r="A8510" s="32">
        <v>42176</v>
      </c>
      <c r="B8510">
        <v>23</v>
      </c>
      <c r="C8510">
        <v>3693</v>
      </c>
      <c r="D8510" t="s">
        <v>304</v>
      </c>
      <c r="E8510">
        <f>YEAR(A8510)</f>
        <v>2015</v>
      </c>
      <c r="F8510" s="33">
        <f>DATE(YEAR(A8510),MONTH(A8510),1)</f>
        <v>42156.0</v>
      </c>
      <c r="G8510" t="str">
        <f>CHOOSE(WEEKDAY(A8510,2),"Mon","Tue","Wed","Thu","Fri","Sat","Sun")</f>
        <v>Sun</v>
      </c>
      <c r="H8510" t="str">
        <f>IF(WEEKDAY(A8510,2)&gt;5,"Weekend","Weekday")</f>
        <v>Weekend</v>
      </c>
      <c r="I8510" t="str">
        <f>_xlfn.IFS(B8510&lt;=5,"Night (0-5)",B8510&lt;=9,"Morning peak (6-9)",B8510&lt;=15,"Midday (10-15)",B8510&lt;=19,"Evening peak (16-19)",TRUE,"Late evening (20-23)")</f>
        <v>Late evening (20-23)</v>
      </c>
    </row>
    <row r="8511" spans="1:9">
      <c r="A8511" s="32">
        <v>42177</v>
      </c>
      <c r="B8511">
        <v>0</v>
      </c>
      <c r="C8511">
        <v>2287</v>
      </c>
      <c r="D8511" t="s">
        <v>304</v>
      </c>
      <c r="E8511">
        <f>YEAR(A8511)</f>
        <v>2015</v>
      </c>
      <c r="F8511" s="33">
        <f>DATE(YEAR(A8511),MONTH(A8511),1)</f>
        <v>42156.0</v>
      </c>
      <c r="G8511" t="str">
        <f>CHOOSE(WEEKDAY(A8511,2),"Mon","Tue","Wed","Thu","Fri","Sat","Sun")</f>
        <v>Mon</v>
      </c>
      <c r="H8511" t="str">
        <f>IF(WEEKDAY(A8511,2)&gt;5,"Weekend","Weekday")</f>
        <v>Weekday</v>
      </c>
      <c r="I8511" t="str">
        <f>_xlfn.IFS(B8511&lt;=5,"Night (0-5)",B8511&lt;=9,"Morning peak (6-9)",B8511&lt;=15,"Midday (10-15)",B8511&lt;=19,"Evening peak (16-19)",TRUE,"Late evening (20-23)")</f>
        <v>Night (0-5)</v>
      </c>
    </row>
    <row r="8512" spans="1:9">
      <c r="A8512" s="32">
        <v>42177</v>
      </c>
      <c r="B8512">
        <v>1</v>
      </c>
      <c r="C8512">
        <v>1382</v>
      </c>
      <c r="D8512" t="s">
        <v>304</v>
      </c>
      <c r="E8512">
        <f>YEAR(A8512)</f>
        <v>2015</v>
      </c>
      <c r="F8512" s="33">
        <f>DATE(YEAR(A8512),MONTH(A8512),1)</f>
        <v>42156.0</v>
      </c>
      <c r="G8512" t="str">
        <f>CHOOSE(WEEKDAY(A8512,2),"Mon","Tue","Wed","Thu","Fri","Sat","Sun")</f>
        <v>Mon</v>
      </c>
      <c r="H8512" t="str">
        <f>IF(WEEKDAY(A8512,2)&gt;5,"Weekend","Weekday")</f>
        <v>Weekday</v>
      </c>
      <c r="I8512" t="str">
        <f>_xlfn.IFS(B8512&lt;=5,"Night (0-5)",B8512&lt;=9,"Morning peak (6-9)",B8512&lt;=15,"Midday (10-15)",B8512&lt;=19,"Evening peak (16-19)",TRUE,"Late evening (20-23)")</f>
        <v>Night (0-5)</v>
      </c>
    </row>
    <row r="8513" spans="1:9">
      <c r="A8513" s="32">
        <v>42177</v>
      </c>
      <c r="B8513">
        <v>2</v>
      </c>
      <c r="C8513">
        <v>669</v>
      </c>
      <c r="D8513" t="s">
        <v>304</v>
      </c>
      <c r="E8513">
        <f>YEAR(A8513)</f>
        <v>2015</v>
      </c>
      <c r="F8513" s="33">
        <f>DATE(YEAR(A8513),MONTH(A8513),1)</f>
        <v>42156.0</v>
      </c>
      <c r="G8513" t="str">
        <f>CHOOSE(WEEKDAY(A8513,2),"Mon","Tue","Wed","Thu","Fri","Sat","Sun")</f>
        <v>Mon</v>
      </c>
      <c r="H8513" t="str">
        <f>IF(WEEKDAY(A8513,2)&gt;5,"Weekend","Weekday")</f>
        <v>Weekday</v>
      </c>
      <c r="I8513" t="str">
        <f>_xlfn.IFS(B8513&lt;=5,"Night (0-5)",B8513&lt;=9,"Morning peak (6-9)",B8513&lt;=15,"Midday (10-15)",B8513&lt;=19,"Evening peak (16-19)",TRUE,"Late evening (20-23)")</f>
        <v>Night (0-5)</v>
      </c>
    </row>
    <row r="8514" spans="1:9">
      <c r="A8514" s="32">
        <v>42177</v>
      </c>
      <c r="B8514">
        <v>3</v>
      </c>
      <c r="C8514">
        <v>567</v>
      </c>
      <c r="D8514" t="s">
        <v>304</v>
      </c>
      <c r="E8514">
        <f>YEAR(A8514)</f>
        <v>2015</v>
      </c>
      <c r="F8514" s="33">
        <f>DATE(YEAR(A8514),MONTH(A8514),1)</f>
        <v>42156.0</v>
      </c>
      <c r="G8514" t="str">
        <f>CHOOSE(WEEKDAY(A8514,2),"Mon","Tue","Wed","Thu","Fri","Sat","Sun")</f>
        <v>Mon</v>
      </c>
      <c r="H8514" t="str">
        <f>IF(WEEKDAY(A8514,2)&gt;5,"Weekend","Weekday")</f>
        <v>Weekday</v>
      </c>
      <c r="I8514" t="str">
        <f>_xlfn.IFS(B8514&lt;=5,"Night (0-5)",B8514&lt;=9,"Morning peak (6-9)",B8514&lt;=15,"Midday (10-15)",B8514&lt;=19,"Evening peak (16-19)",TRUE,"Late evening (20-23)")</f>
        <v>Night (0-5)</v>
      </c>
    </row>
    <row r="8515" spans="1:9">
      <c r="A8515" s="32">
        <v>42177</v>
      </c>
      <c r="B8515">
        <v>4</v>
      </c>
      <c r="C8515">
        <v>973</v>
      </c>
      <c r="D8515" t="s">
        <v>304</v>
      </c>
      <c r="E8515">
        <f>YEAR(A8515)</f>
        <v>2015</v>
      </c>
      <c r="F8515" s="33">
        <f>DATE(YEAR(A8515),MONTH(A8515),1)</f>
        <v>42156.0</v>
      </c>
      <c r="G8515" t="str">
        <f>CHOOSE(WEEKDAY(A8515,2),"Mon","Tue","Wed","Thu","Fri","Sat","Sun")</f>
        <v>Mon</v>
      </c>
      <c r="H8515" t="str">
        <f>IF(WEEKDAY(A8515,2)&gt;5,"Weekend","Weekday")</f>
        <v>Weekday</v>
      </c>
      <c r="I8515" t="str">
        <f>_xlfn.IFS(B8515&lt;=5,"Night (0-5)",B8515&lt;=9,"Morning peak (6-9)",B8515&lt;=15,"Midday (10-15)",B8515&lt;=19,"Evening peak (16-19)",TRUE,"Late evening (20-23)")</f>
        <v>Night (0-5)</v>
      </c>
    </row>
    <row r="8516" spans="1:9">
      <c r="A8516" s="32">
        <v>42177</v>
      </c>
      <c r="B8516">
        <v>5</v>
      </c>
      <c r="C8516">
        <v>1597</v>
      </c>
      <c r="D8516" t="s">
        <v>304</v>
      </c>
      <c r="E8516">
        <f>YEAR(A8516)</f>
        <v>2015</v>
      </c>
      <c r="F8516" s="33">
        <f>DATE(YEAR(A8516),MONTH(A8516),1)</f>
        <v>42156.0</v>
      </c>
      <c r="G8516" t="str">
        <f>CHOOSE(WEEKDAY(A8516,2),"Mon","Tue","Wed","Thu","Fri","Sat","Sun")</f>
        <v>Mon</v>
      </c>
      <c r="H8516" t="str">
        <f>IF(WEEKDAY(A8516,2)&gt;5,"Weekend","Weekday")</f>
        <v>Weekday</v>
      </c>
      <c r="I8516" t="str">
        <f>_xlfn.IFS(B8516&lt;=5,"Night (0-5)",B8516&lt;=9,"Morning peak (6-9)",B8516&lt;=15,"Midday (10-15)",B8516&lt;=19,"Evening peak (16-19)",TRUE,"Late evening (20-23)")</f>
        <v>Night (0-5)</v>
      </c>
    </row>
    <row r="8517" spans="1:9">
      <c r="A8517" s="32">
        <v>42177</v>
      </c>
      <c r="B8517">
        <v>6</v>
      </c>
      <c r="C8517">
        <v>2290</v>
      </c>
      <c r="D8517" t="s">
        <v>304</v>
      </c>
      <c r="E8517">
        <f>YEAR(A8517)</f>
        <v>2015</v>
      </c>
      <c r="F8517" s="33">
        <f>DATE(YEAR(A8517),MONTH(A8517),1)</f>
        <v>42156.0</v>
      </c>
      <c r="G8517" t="str">
        <f>CHOOSE(WEEKDAY(A8517,2),"Mon","Tue","Wed","Thu","Fri","Sat","Sun")</f>
        <v>Mon</v>
      </c>
      <c r="H8517" t="str">
        <f>IF(WEEKDAY(A8517,2)&gt;5,"Weekend","Weekday")</f>
        <v>Weekday</v>
      </c>
      <c r="I8517" t="str">
        <f>_xlfn.IFS(B8517&lt;=5,"Night (0-5)",B8517&lt;=9,"Morning peak (6-9)",B8517&lt;=15,"Midday (10-15)",B8517&lt;=19,"Evening peak (16-19)",TRUE,"Late evening (20-23)")</f>
        <v>Morning peak (6-9)</v>
      </c>
    </row>
    <row r="8518" spans="1:9">
      <c r="A8518" s="32">
        <v>42177</v>
      </c>
      <c r="B8518">
        <v>7</v>
      </c>
      <c r="C8518">
        <v>3357</v>
      </c>
      <c r="D8518" t="s">
        <v>304</v>
      </c>
      <c r="E8518">
        <f>YEAR(A8518)</f>
        <v>2015</v>
      </c>
      <c r="F8518" s="33">
        <f>DATE(YEAR(A8518),MONTH(A8518),1)</f>
        <v>42156.0</v>
      </c>
      <c r="G8518" t="str">
        <f>CHOOSE(WEEKDAY(A8518,2),"Mon","Tue","Wed","Thu","Fri","Sat","Sun")</f>
        <v>Mon</v>
      </c>
      <c r="H8518" t="str">
        <f>IF(WEEKDAY(A8518,2)&gt;5,"Weekend","Weekday")</f>
        <v>Weekday</v>
      </c>
      <c r="I8518" t="str">
        <f>_xlfn.IFS(B8518&lt;=5,"Night (0-5)",B8518&lt;=9,"Morning peak (6-9)",B8518&lt;=15,"Midday (10-15)",B8518&lt;=19,"Evening peak (16-19)",TRUE,"Late evening (20-23)")</f>
        <v>Morning peak (6-9)</v>
      </c>
    </row>
    <row r="8519" spans="1:9">
      <c r="A8519" s="32">
        <v>42177</v>
      </c>
      <c r="B8519">
        <v>8</v>
      </c>
      <c r="C8519">
        <v>4279</v>
      </c>
      <c r="D8519" t="s">
        <v>304</v>
      </c>
      <c r="E8519">
        <f>YEAR(A8519)</f>
        <v>2015</v>
      </c>
      <c r="F8519" s="33">
        <f>DATE(YEAR(A8519),MONTH(A8519),1)</f>
        <v>42156.0</v>
      </c>
      <c r="G8519" t="str">
        <f>CHOOSE(WEEKDAY(A8519,2),"Mon","Tue","Wed","Thu","Fri","Sat","Sun")</f>
        <v>Mon</v>
      </c>
      <c r="H8519" t="str">
        <f>IF(WEEKDAY(A8519,2)&gt;5,"Weekend","Weekday")</f>
        <v>Weekday</v>
      </c>
      <c r="I8519" t="str">
        <f>_xlfn.IFS(B8519&lt;=5,"Night (0-5)",B8519&lt;=9,"Morning peak (6-9)",B8519&lt;=15,"Midday (10-15)",B8519&lt;=19,"Evening peak (16-19)",TRUE,"Late evening (20-23)")</f>
        <v>Morning peak (6-9)</v>
      </c>
    </row>
    <row r="8520" spans="1:9">
      <c r="A8520" s="32">
        <v>42177</v>
      </c>
      <c r="B8520">
        <v>9</v>
      </c>
      <c r="C8520">
        <v>4020</v>
      </c>
      <c r="D8520" t="s">
        <v>304</v>
      </c>
      <c r="E8520">
        <f>YEAR(A8520)</f>
        <v>2015</v>
      </c>
      <c r="F8520" s="33">
        <f>DATE(YEAR(A8520),MONTH(A8520),1)</f>
        <v>42156.0</v>
      </c>
      <c r="G8520" t="str">
        <f>CHOOSE(WEEKDAY(A8520,2),"Mon","Tue","Wed","Thu","Fri","Sat","Sun")</f>
        <v>Mon</v>
      </c>
      <c r="H8520" t="str">
        <f>IF(WEEKDAY(A8520,2)&gt;5,"Weekend","Weekday")</f>
        <v>Weekday</v>
      </c>
      <c r="I8520" t="str">
        <f>_xlfn.IFS(B8520&lt;=5,"Night (0-5)",B8520&lt;=9,"Morning peak (6-9)",B8520&lt;=15,"Midday (10-15)",B8520&lt;=19,"Evening peak (16-19)",TRUE,"Late evening (20-23)")</f>
        <v>Morning peak (6-9)</v>
      </c>
    </row>
    <row r="8521" spans="1:9">
      <c r="A8521" s="32">
        <v>42177</v>
      </c>
      <c r="B8521">
        <v>10</v>
      </c>
      <c r="C8521">
        <v>3154</v>
      </c>
      <c r="D8521" t="s">
        <v>304</v>
      </c>
      <c r="E8521">
        <f>YEAR(A8521)</f>
        <v>2015</v>
      </c>
      <c r="F8521" s="33">
        <f>DATE(YEAR(A8521),MONTH(A8521),1)</f>
        <v>42156.0</v>
      </c>
      <c r="G8521" t="str">
        <f>CHOOSE(WEEKDAY(A8521,2),"Mon","Tue","Wed","Thu","Fri","Sat","Sun")</f>
        <v>Mon</v>
      </c>
      <c r="H8521" t="str">
        <f>IF(WEEKDAY(A8521,2)&gt;5,"Weekend","Weekday")</f>
        <v>Weekday</v>
      </c>
      <c r="I8521" t="str">
        <f>_xlfn.IFS(B8521&lt;=5,"Night (0-5)",B8521&lt;=9,"Morning peak (6-9)",B8521&lt;=15,"Midday (10-15)",B8521&lt;=19,"Evening peak (16-19)",TRUE,"Late evening (20-23)")</f>
        <v>Midday (10-15)</v>
      </c>
    </row>
    <row r="8522" spans="1:9">
      <c r="A8522" s="32">
        <v>42177</v>
      </c>
      <c r="B8522">
        <v>11</v>
      </c>
      <c r="C8522">
        <v>3017</v>
      </c>
      <c r="D8522" t="s">
        <v>304</v>
      </c>
      <c r="E8522">
        <f>YEAR(A8522)</f>
        <v>2015</v>
      </c>
      <c r="F8522" s="33">
        <f>DATE(YEAR(A8522),MONTH(A8522),1)</f>
        <v>42156.0</v>
      </c>
      <c r="G8522" t="str">
        <f>CHOOSE(WEEKDAY(A8522,2),"Mon","Tue","Wed","Thu","Fri","Sat","Sun")</f>
        <v>Mon</v>
      </c>
      <c r="H8522" t="str">
        <f>IF(WEEKDAY(A8522,2)&gt;5,"Weekend","Weekday")</f>
        <v>Weekday</v>
      </c>
      <c r="I8522" t="str">
        <f>_xlfn.IFS(B8522&lt;=5,"Night (0-5)",B8522&lt;=9,"Morning peak (6-9)",B8522&lt;=15,"Midday (10-15)",B8522&lt;=19,"Evening peak (16-19)",TRUE,"Late evening (20-23)")</f>
        <v>Midday (10-15)</v>
      </c>
    </row>
    <row r="8523" spans="1:9">
      <c r="A8523" s="32">
        <v>42177</v>
      </c>
      <c r="B8523">
        <v>12</v>
      </c>
      <c r="C8523">
        <v>2925</v>
      </c>
      <c r="D8523" t="s">
        <v>304</v>
      </c>
      <c r="E8523">
        <f>YEAR(A8523)</f>
        <v>2015</v>
      </c>
      <c r="F8523" s="33">
        <f>DATE(YEAR(A8523),MONTH(A8523),1)</f>
        <v>42156.0</v>
      </c>
      <c r="G8523" t="str">
        <f>CHOOSE(WEEKDAY(A8523,2),"Mon","Tue","Wed","Thu","Fri","Sat","Sun")</f>
        <v>Mon</v>
      </c>
      <c r="H8523" t="str">
        <f>IF(WEEKDAY(A8523,2)&gt;5,"Weekend","Weekday")</f>
        <v>Weekday</v>
      </c>
      <c r="I8523" t="str">
        <f>_xlfn.IFS(B8523&lt;=5,"Night (0-5)",B8523&lt;=9,"Morning peak (6-9)",B8523&lt;=15,"Midday (10-15)",B8523&lt;=19,"Evening peak (16-19)",TRUE,"Late evening (20-23)")</f>
        <v>Midday (10-15)</v>
      </c>
    </row>
    <row r="8524" spans="1:9">
      <c r="A8524" s="32">
        <v>42177</v>
      </c>
      <c r="B8524">
        <v>13</v>
      </c>
      <c r="C8524">
        <v>3001</v>
      </c>
      <c r="D8524" t="s">
        <v>304</v>
      </c>
      <c r="E8524">
        <f>YEAR(A8524)</f>
        <v>2015</v>
      </c>
      <c r="F8524" s="33">
        <f>DATE(YEAR(A8524),MONTH(A8524),1)</f>
        <v>42156.0</v>
      </c>
      <c r="G8524" t="str">
        <f>CHOOSE(WEEKDAY(A8524,2),"Mon","Tue","Wed","Thu","Fri","Sat","Sun")</f>
        <v>Mon</v>
      </c>
      <c r="H8524" t="str">
        <f>IF(WEEKDAY(A8524,2)&gt;5,"Weekend","Weekday")</f>
        <v>Weekday</v>
      </c>
      <c r="I8524" t="str">
        <f>_xlfn.IFS(B8524&lt;=5,"Night (0-5)",B8524&lt;=9,"Morning peak (6-9)",B8524&lt;=15,"Midday (10-15)",B8524&lt;=19,"Evening peak (16-19)",TRUE,"Late evening (20-23)")</f>
        <v>Midday (10-15)</v>
      </c>
    </row>
    <row r="8525" spans="1:9">
      <c r="A8525" s="32">
        <v>42177</v>
      </c>
      <c r="B8525">
        <v>14</v>
      </c>
      <c r="C8525">
        <v>3278</v>
      </c>
      <c r="D8525" t="s">
        <v>304</v>
      </c>
      <c r="E8525">
        <f>YEAR(A8525)</f>
        <v>2015</v>
      </c>
      <c r="F8525" s="33">
        <f>DATE(YEAR(A8525),MONTH(A8525),1)</f>
        <v>42156.0</v>
      </c>
      <c r="G8525" t="str">
        <f>CHOOSE(WEEKDAY(A8525,2),"Mon","Tue","Wed","Thu","Fri","Sat","Sun")</f>
        <v>Mon</v>
      </c>
      <c r="H8525" t="str">
        <f>IF(WEEKDAY(A8525,2)&gt;5,"Weekend","Weekday")</f>
        <v>Weekday</v>
      </c>
      <c r="I8525" t="str">
        <f>_xlfn.IFS(B8525&lt;=5,"Night (0-5)",B8525&lt;=9,"Morning peak (6-9)",B8525&lt;=15,"Midday (10-15)",B8525&lt;=19,"Evening peak (16-19)",TRUE,"Late evening (20-23)")</f>
        <v>Midday (10-15)</v>
      </c>
    </row>
    <row r="8526" spans="1:9">
      <c r="A8526" s="32">
        <v>42177</v>
      </c>
      <c r="B8526">
        <v>15</v>
      </c>
      <c r="C8526">
        <v>3603</v>
      </c>
      <c r="D8526" t="s">
        <v>304</v>
      </c>
      <c r="E8526">
        <f>YEAR(A8526)</f>
        <v>2015</v>
      </c>
      <c r="F8526" s="33">
        <f>DATE(YEAR(A8526),MONTH(A8526),1)</f>
        <v>42156.0</v>
      </c>
      <c r="G8526" t="str">
        <f>CHOOSE(WEEKDAY(A8526,2),"Mon","Tue","Wed","Thu","Fri","Sat","Sun")</f>
        <v>Mon</v>
      </c>
      <c r="H8526" t="str">
        <f>IF(WEEKDAY(A8526,2)&gt;5,"Weekend","Weekday")</f>
        <v>Weekday</v>
      </c>
      <c r="I8526" t="str">
        <f>_xlfn.IFS(B8526&lt;=5,"Night (0-5)",B8526&lt;=9,"Morning peak (6-9)",B8526&lt;=15,"Midday (10-15)",B8526&lt;=19,"Evening peak (16-19)",TRUE,"Late evening (20-23)")</f>
        <v>Midday (10-15)</v>
      </c>
    </row>
    <row r="8527" spans="1:9">
      <c r="A8527" s="32">
        <v>42177</v>
      </c>
      <c r="B8527">
        <v>16</v>
      </c>
      <c r="C8527">
        <v>3874</v>
      </c>
      <c r="D8527" t="s">
        <v>304</v>
      </c>
      <c r="E8527">
        <f>YEAR(A8527)</f>
        <v>2015</v>
      </c>
      <c r="F8527" s="33">
        <f>DATE(YEAR(A8527),MONTH(A8527),1)</f>
        <v>42156.0</v>
      </c>
      <c r="G8527" t="str">
        <f>CHOOSE(WEEKDAY(A8527,2),"Mon","Tue","Wed","Thu","Fri","Sat","Sun")</f>
        <v>Mon</v>
      </c>
      <c r="H8527" t="str">
        <f>IF(WEEKDAY(A8527,2)&gt;5,"Weekend","Weekday")</f>
        <v>Weekday</v>
      </c>
      <c r="I8527" t="str">
        <f>_xlfn.IFS(B8527&lt;=5,"Night (0-5)",B8527&lt;=9,"Morning peak (6-9)",B8527&lt;=15,"Midday (10-15)",B8527&lt;=19,"Evening peak (16-19)",TRUE,"Late evening (20-23)")</f>
        <v>Evening peak (16-19)</v>
      </c>
    </row>
    <row r="8528" spans="1:9">
      <c r="A8528" s="32">
        <v>42177</v>
      </c>
      <c r="B8528">
        <v>17</v>
      </c>
      <c r="C8528">
        <v>4340</v>
      </c>
      <c r="D8528" t="s">
        <v>304</v>
      </c>
      <c r="E8528">
        <f>YEAR(A8528)</f>
        <v>2015</v>
      </c>
      <c r="F8528" s="33">
        <f>DATE(YEAR(A8528),MONTH(A8528),1)</f>
        <v>42156.0</v>
      </c>
      <c r="G8528" t="str">
        <f>CHOOSE(WEEKDAY(A8528,2),"Mon","Tue","Wed","Thu","Fri","Sat","Sun")</f>
        <v>Mon</v>
      </c>
      <c r="H8528" t="str">
        <f>IF(WEEKDAY(A8528,2)&gt;5,"Weekend","Weekday")</f>
        <v>Weekday</v>
      </c>
      <c r="I8528" t="str">
        <f>_xlfn.IFS(B8528&lt;=5,"Night (0-5)",B8528&lt;=9,"Morning peak (6-9)",B8528&lt;=15,"Midday (10-15)",B8528&lt;=19,"Evening peak (16-19)",TRUE,"Late evening (20-23)")</f>
        <v>Evening peak (16-19)</v>
      </c>
    </row>
    <row r="8529" spans="1:9">
      <c r="A8529" s="32">
        <v>42177</v>
      </c>
      <c r="B8529">
        <v>18</v>
      </c>
      <c r="C8529">
        <v>4900</v>
      </c>
      <c r="D8529" t="s">
        <v>304</v>
      </c>
      <c r="E8529">
        <f>YEAR(A8529)</f>
        <v>2015</v>
      </c>
      <c r="F8529" s="33">
        <f>DATE(YEAR(A8529),MONTH(A8529),1)</f>
        <v>42156.0</v>
      </c>
      <c r="G8529" t="str">
        <f>CHOOSE(WEEKDAY(A8529,2),"Mon","Tue","Wed","Thu","Fri","Sat","Sun")</f>
        <v>Mon</v>
      </c>
      <c r="H8529" t="str">
        <f>IF(WEEKDAY(A8529,2)&gt;5,"Weekend","Weekday")</f>
        <v>Weekday</v>
      </c>
      <c r="I8529" t="str">
        <f>_xlfn.IFS(B8529&lt;=5,"Night (0-5)",B8529&lt;=9,"Morning peak (6-9)",B8529&lt;=15,"Midday (10-15)",B8529&lt;=19,"Evening peak (16-19)",TRUE,"Late evening (20-23)")</f>
        <v>Evening peak (16-19)</v>
      </c>
    </row>
    <row r="8530" spans="1:9">
      <c r="A8530" s="32">
        <v>42177</v>
      </c>
      <c r="B8530">
        <v>19</v>
      </c>
      <c r="C8530">
        <v>4733</v>
      </c>
      <c r="D8530" t="s">
        <v>304</v>
      </c>
      <c r="E8530">
        <f>YEAR(A8530)</f>
        <v>2015</v>
      </c>
      <c r="F8530" s="33">
        <f>DATE(YEAR(A8530),MONTH(A8530),1)</f>
        <v>42156.0</v>
      </c>
      <c r="G8530" t="str">
        <f>CHOOSE(WEEKDAY(A8530,2),"Mon","Tue","Wed","Thu","Fri","Sat","Sun")</f>
        <v>Mon</v>
      </c>
      <c r="H8530" t="str">
        <f>IF(WEEKDAY(A8530,2)&gt;5,"Weekend","Weekday")</f>
        <v>Weekday</v>
      </c>
      <c r="I8530" t="str">
        <f>_xlfn.IFS(B8530&lt;=5,"Night (0-5)",B8530&lt;=9,"Morning peak (6-9)",B8530&lt;=15,"Midday (10-15)",B8530&lt;=19,"Evening peak (16-19)",TRUE,"Late evening (20-23)")</f>
        <v>Evening peak (16-19)</v>
      </c>
    </row>
    <row r="8531" spans="1:9">
      <c r="A8531" s="32">
        <v>42177</v>
      </c>
      <c r="B8531">
        <v>20</v>
      </c>
      <c r="C8531">
        <v>4359</v>
      </c>
      <c r="D8531" t="s">
        <v>304</v>
      </c>
      <c r="E8531">
        <f>YEAR(A8531)</f>
        <v>2015</v>
      </c>
      <c r="F8531" s="33">
        <f>DATE(YEAR(A8531),MONTH(A8531),1)</f>
        <v>42156.0</v>
      </c>
      <c r="G8531" t="str">
        <f>CHOOSE(WEEKDAY(A8531,2),"Mon","Tue","Wed","Thu","Fri","Sat","Sun")</f>
        <v>Mon</v>
      </c>
      <c r="H8531" t="str">
        <f>IF(WEEKDAY(A8531,2)&gt;5,"Weekend","Weekday")</f>
        <v>Weekday</v>
      </c>
      <c r="I8531" t="str">
        <f>_xlfn.IFS(B8531&lt;=5,"Night (0-5)",B8531&lt;=9,"Morning peak (6-9)",B8531&lt;=15,"Midday (10-15)",B8531&lt;=19,"Evening peak (16-19)",TRUE,"Late evening (20-23)")</f>
        <v>Late evening (20-23)</v>
      </c>
    </row>
    <row r="8532" spans="1:9">
      <c r="A8532" s="32">
        <v>42177</v>
      </c>
      <c r="B8532">
        <v>21</v>
      </c>
      <c r="C8532">
        <v>4616</v>
      </c>
      <c r="D8532" t="s">
        <v>304</v>
      </c>
      <c r="E8532">
        <f>YEAR(A8532)</f>
        <v>2015</v>
      </c>
      <c r="F8532" s="33">
        <f>DATE(YEAR(A8532),MONTH(A8532),1)</f>
        <v>42156.0</v>
      </c>
      <c r="G8532" t="str">
        <f>CHOOSE(WEEKDAY(A8532,2),"Mon","Tue","Wed","Thu","Fri","Sat","Sun")</f>
        <v>Mon</v>
      </c>
      <c r="H8532" t="str">
        <f>IF(WEEKDAY(A8532,2)&gt;5,"Weekend","Weekday")</f>
        <v>Weekday</v>
      </c>
      <c r="I8532" t="str">
        <f>_xlfn.IFS(B8532&lt;=5,"Night (0-5)",B8532&lt;=9,"Morning peak (6-9)",B8532&lt;=15,"Midday (10-15)",B8532&lt;=19,"Evening peak (16-19)",TRUE,"Late evening (20-23)")</f>
        <v>Late evening (20-23)</v>
      </c>
    </row>
    <row r="8533" spans="1:9">
      <c r="A8533" s="32">
        <v>42177</v>
      </c>
      <c r="B8533">
        <v>22</v>
      </c>
      <c r="C8533">
        <v>4610</v>
      </c>
      <c r="D8533" t="s">
        <v>304</v>
      </c>
      <c r="E8533">
        <f>YEAR(A8533)</f>
        <v>2015</v>
      </c>
      <c r="F8533" s="33">
        <f>DATE(YEAR(A8533),MONTH(A8533),1)</f>
        <v>42156.0</v>
      </c>
      <c r="G8533" t="str">
        <f>CHOOSE(WEEKDAY(A8533,2),"Mon","Tue","Wed","Thu","Fri","Sat","Sun")</f>
        <v>Mon</v>
      </c>
      <c r="H8533" t="str">
        <f>IF(WEEKDAY(A8533,2)&gt;5,"Weekend","Weekday")</f>
        <v>Weekday</v>
      </c>
      <c r="I8533" t="str">
        <f>_xlfn.IFS(B8533&lt;=5,"Night (0-5)",B8533&lt;=9,"Morning peak (6-9)",B8533&lt;=15,"Midday (10-15)",B8533&lt;=19,"Evening peak (16-19)",TRUE,"Late evening (20-23)")</f>
        <v>Late evening (20-23)</v>
      </c>
    </row>
    <row r="8534" spans="1:9">
      <c r="A8534" s="32">
        <v>42177</v>
      </c>
      <c r="B8534">
        <v>23</v>
      </c>
      <c r="C8534">
        <v>3587</v>
      </c>
      <c r="D8534" t="s">
        <v>304</v>
      </c>
      <c r="E8534">
        <f>YEAR(A8534)</f>
        <v>2015</v>
      </c>
      <c r="F8534" s="33">
        <f>DATE(YEAR(A8534),MONTH(A8534),1)</f>
        <v>42156.0</v>
      </c>
      <c r="G8534" t="str">
        <f>CHOOSE(WEEKDAY(A8534,2),"Mon","Tue","Wed","Thu","Fri","Sat","Sun")</f>
        <v>Mon</v>
      </c>
      <c r="H8534" t="str">
        <f>IF(WEEKDAY(A8534,2)&gt;5,"Weekend","Weekday")</f>
        <v>Weekday</v>
      </c>
      <c r="I8534" t="str">
        <f>_xlfn.IFS(B8534&lt;=5,"Night (0-5)",B8534&lt;=9,"Morning peak (6-9)",B8534&lt;=15,"Midday (10-15)",B8534&lt;=19,"Evening peak (16-19)",TRUE,"Late evening (20-23)")</f>
        <v>Late evening (20-23)</v>
      </c>
    </row>
    <row r="8535" spans="1:9">
      <c r="A8535" s="32">
        <v>42178</v>
      </c>
      <c r="B8535">
        <v>0</v>
      </c>
      <c r="C8535">
        <v>2279</v>
      </c>
      <c r="D8535" t="s">
        <v>304</v>
      </c>
      <c r="E8535">
        <f>YEAR(A8535)</f>
        <v>2015</v>
      </c>
      <c r="F8535" s="33">
        <f>DATE(YEAR(A8535),MONTH(A8535),1)</f>
        <v>42156.0</v>
      </c>
      <c r="G8535" t="str">
        <f>CHOOSE(WEEKDAY(A8535,2),"Mon","Tue","Wed","Thu","Fri","Sat","Sun")</f>
        <v>Tue</v>
      </c>
      <c r="H8535" t="str">
        <f>IF(WEEKDAY(A8535,2)&gt;5,"Weekend","Weekday")</f>
        <v>Weekday</v>
      </c>
      <c r="I8535" t="str">
        <f>_xlfn.IFS(B8535&lt;=5,"Night (0-5)",B8535&lt;=9,"Morning peak (6-9)",B8535&lt;=15,"Midday (10-15)",B8535&lt;=19,"Evening peak (16-19)",TRUE,"Late evening (20-23)")</f>
        <v>Night (0-5)</v>
      </c>
    </row>
    <row r="8536" spans="1:9">
      <c r="A8536" s="32">
        <v>42178</v>
      </c>
      <c r="B8536">
        <v>1</v>
      </c>
      <c r="C8536">
        <v>1276</v>
      </c>
      <c r="D8536" t="s">
        <v>304</v>
      </c>
      <c r="E8536">
        <f>YEAR(A8536)</f>
        <v>2015</v>
      </c>
      <c r="F8536" s="33">
        <f>DATE(YEAR(A8536),MONTH(A8536),1)</f>
        <v>42156.0</v>
      </c>
      <c r="G8536" t="str">
        <f>CHOOSE(WEEKDAY(A8536,2),"Mon","Tue","Wed","Thu","Fri","Sat","Sun")</f>
        <v>Tue</v>
      </c>
      <c r="H8536" t="str">
        <f>IF(WEEKDAY(A8536,2)&gt;5,"Weekend","Weekday")</f>
        <v>Weekday</v>
      </c>
      <c r="I8536" t="str">
        <f>_xlfn.IFS(B8536&lt;=5,"Night (0-5)",B8536&lt;=9,"Morning peak (6-9)",B8536&lt;=15,"Midday (10-15)",B8536&lt;=19,"Evening peak (16-19)",TRUE,"Late evening (20-23)")</f>
        <v>Night (0-5)</v>
      </c>
    </row>
    <row r="8537" spans="1:9">
      <c r="A8537" s="32">
        <v>42178</v>
      </c>
      <c r="B8537">
        <v>2</v>
      </c>
      <c r="C8537">
        <v>750</v>
      </c>
      <c r="D8537" t="s">
        <v>304</v>
      </c>
      <c r="E8537">
        <f>YEAR(A8537)</f>
        <v>2015</v>
      </c>
      <c r="F8537" s="33">
        <f>DATE(YEAR(A8537),MONTH(A8537),1)</f>
        <v>42156.0</v>
      </c>
      <c r="G8537" t="str">
        <f>CHOOSE(WEEKDAY(A8537,2),"Mon","Tue","Wed","Thu","Fri","Sat","Sun")</f>
        <v>Tue</v>
      </c>
      <c r="H8537" t="str">
        <f>IF(WEEKDAY(A8537,2)&gt;5,"Weekend","Weekday")</f>
        <v>Weekday</v>
      </c>
      <c r="I8537" t="str">
        <f>_xlfn.IFS(B8537&lt;=5,"Night (0-5)",B8537&lt;=9,"Morning peak (6-9)",B8537&lt;=15,"Midday (10-15)",B8537&lt;=19,"Evening peak (16-19)",TRUE,"Late evening (20-23)")</f>
        <v>Night (0-5)</v>
      </c>
    </row>
    <row r="8538" spans="1:9">
      <c r="A8538" s="32">
        <v>42178</v>
      </c>
      <c r="B8538">
        <v>3</v>
      </c>
      <c r="C8538">
        <v>563</v>
      </c>
      <c r="D8538" t="s">
        <v>304</v>
      </c>
      <c r="E8538">
        <f>YEAR(A8538)</f>
        <v>2015</v>
      </c>
      <c r="F8538" s="33">
        <f>DATE(YEAR(A8538),MONTH(A8538),1)</f>
        <v>42156.0</v>
      </c>
      <c r="G8538" t="str">
        <f>CHOOSE(WEEKDAY(A8538,2),"Mon","Tue","Wed","Thu","Fri","Sat","Sun")</f>
        <v>Tue</v>
      </c>
      <c r="H8538" t="str">
        <f>IF(WEEKDAY(A8538,2)&gt;5,"Weekend","Weekday")</f>
        <v>Weekday</v>
      </c>
      <c r="I8538" t="str">
        <f>_xlfn.IFS(B8538&lt;=5,"Night (0-5)",B8538&lt;=9,"Morning peak (6-9)",B8538&lt;=15,"Midday (10-15)",B8538&lt;=19,"Evening peak (16-19)",TRUE,"Late evening (20-23)")</f>
        <v>Night (0-5)</v>
      </c>
    </row>
    <row r="8539" spans="1:9">
      <c r="A8539" s="32">
        <v>42178</v>
      </c>
      <c r="B8539">
        <v>4</v>
      </c>
      <c r="C8539">
        <v>736</v>
      </c>
      <c r="D8539" t="s">
        <v>304</v>
      </c>
      <c r="E8539">
        <f>YEAR(A8539)</f>
        <v>2015</v>
      </c>
      <c r="F8539" s="33">
        <f>DATE(YEAR(A8539),MONTH(A8539),1)</f>
        <v>42156.0</v>
      </c>
      <c r="G8539" t="str">
        <f>CHOOSE(WEEKDAY(A8539,2),"Mon","Tue","Wed","Thu","Fri","Sat","Sun")</f>
        <v>Tue</v>
      </c>
      <c r="H8539" t="str">
        <f>IF(WEEKDAY(A8539,2)&gt;5,"Weekend","Weekday")</f>
        <v>Weekday</v>
      </c>
      <c r="I8539" t="str">
        <f>_xlfn.IFS(B8539&lt;=5,"Night (0-5)",B8539&lt;=9,"Morning peak (6-9)",B8539&lt;=15,"Midday (10-15)",B8539&lt;=19,"Evening peak (16-19)",TRUE,"Late evening (20-23)")</f>
        <v>Night (0-5)</v>
      </c>
    </row>
    <row r="8540" spans="1:9">
      <c r="A8540" s="32">
        <v>42178</v>
      </c>
      <c r="B8540">
        <v>5</v>
      </c>
      <c r="C8540">
        <v>1281</v>
      </c>
      <c r="D8540" t="s">
        <v>304</v>
      </c>
      <c r="E8540">
        <f>YEAR(A8540)</f>
        <v>2015</v>
      </c>
      <c r="F8540" s="33">
        <f>DATE(YEAR(A8540),MONTH(A8540),1)</f>
        <v>42156.0</v>
      </c>
      <c r="G8540" t="str">
        <f>CHOOSE(WEEKDAY(A8540,2),"Mon","Tue","Wed","Thu","Fri","Sat","Sun")</f>
        <v>Tue</v>
      </c>
      <c r="H8540" t="str">
        <f>IF(WEEKDAY(A8540,2)&gt;5,"Weekend","Weekday")</f>
        <v>Weekday</v>
      </c>
      <c r="I8540" t="str">
        <f>_xlfn.IFS(B8540&lt;=5,"Night (0-5)",B8540&lt;=9,"Morning peak (6-9)",B8540&lt;=15,"Midday (10-15)",B8540&lt;=19,"Evening peak (16-19)",TRUE,"Late evening (20-23)")</f>
        <v>Night (0-5)</v>
      </c>
    </row>
    <row r="8541" spans="1:9">
      <c r="A8541" s="32">
        <v>42178</v>
      </c>
      <c r="B8541">
        <v>6</v>
      </c>
      <c r="C8541">
        <v>2087</v>
      </c>
      <c r="D8541" t="s">
        <v>304</v>
      </c>
      <c r="E8541">
        <f>YEAR(A8541)</f>
        <v>2015</v>
      </c>
      <c r="F8541" s="33">
        <f>DATE(YEAR(A8541),MONTH(A8541),1)</f>
        <v>42156.0</v>
      </c>
      <c r="G8541" t="str">
        <f>CHOOSE(WEEKDAY(A8541,2),"Mon","Tue","Wed","Thu","Fri","Sat","Sun")</f>
        <v>Tue</v>
      </c>
      <c r="H8541" t="str">
        <f>IF(WEEKDAY(A8541,2)&gt;5,"Weekend","Weekday")</f>
        <v>Weekday</v>
      </c>
      <c r="I8541" t="str">
        <f>_xlfn.IFS(B8541&lt;=5,"Night (0-5)",B8541&lt;=9,"Morning peak (6-9)",B8541&lt;=15,"Midday (10-15)",B8541&lt;=19,"Evening peak (16-19)",TRUE,"Late evening (20-23)")</f>
        <v>Morning peak (6-9)</v>
      </c>
    </row>
    <row r="8542" spans="1:9">
      <c r="A8542" s="32">
        <v>42178</v>
      </c>
      <c r="B8542">
        <v>7</v>
      </c>
      <c r="C8542">
        <v>3410</v>
      </c>
      <c r="D8542" t="s">
        <v>304</v>
      </c>
      <c r="E8542">
        <f>YEAR(A8542)</f>
        <v>2015</v>
      </c>
      <c r="F8542" s="33">
        <f>DATE(YEAR(A8542),MONTH(A8542),1)</f>
        <v>42156.0</v>
      </c>
      <c r="G8542" t="str">
        <f>CHOOSE(WEEKDAY(A8542,2),"Mon","Tue","Wed","Thu","Fri","Sat","Sun")</f>
        <v>Tue</v>
      </c>
      <c r="H8542" t="str">
        <f>IF(WEEKDAY(A8542,2)&gt;5,"Weekend","Weekday")</f>
        <v>Weekday</v>
      </c>
      <c r="I8542" t="str">
        <f>_xlfn.IFS(B8542&lt;=5,"Night (0-5)",B8542&lt;=9,"Morning peak (6-9)",B8542&lt;=15,"Midday (10-15)",B8542&lt;=19,"Evening peak (16-19)",TRUE,"Late evening (20-23)")</f>
        <v>Morning peak (6-9)</v>
      </c>
    </row>
    <row r="8543" spans="1:9">
      <c r="A8543" s="32">
        <v>42178</v>
      </c>
      <c r="B8543">
        <v>8</v>
      </c>
      <c r="C8543">
        <v>4732</v>
      </c>
      <c r="D8543" t="s">
        <v>304</v>
      </c>
      <c r="E8543">
        <f>YEAR(A8543)</f>
        <v>2015</v>
      </c>
      <c r="F8543" s="33">
        <f>DATE(YEAR(A8543),MONTH(A8543),1)</f>
        <v>42156.0</v>
      </c>
      <c r="G8543" t="str">
        <f>CHOOSE(WEEKDAY(A8543,2),"Mon","Tue","Wed","Thu","Fri","Sat","Sun")</f>
        <v>Tue</v>
      </c>
      <c r="H8543" t="str">
        <f>IF(WEEKDAY(A8543,2)&gt;5,"Weekend","Weekday")</f>
        <v>Weekday</v>
      </c>
      <c r="I8543" t="str">
        <f>_xlfn.IFS(B8543&lt;=5,"Night (0-5)",B8543&lt;=9,"Morning peak (6-9)",B8543&lt;=15,"Midday (10-15)",B8543&lt;=19,"Evening peak (16-19)",TRUE,"Late evening (20-23)")</f>
        <v>Morning peak (6-9)</v>
      </c>
    </row>
    <row r="8544" spans="1:9">
      <c r="A8544" s="32">
        <v>42178</v>
      </c>
      <c r="B8544">
        <v>9</v>
      </c>
      <c r="C8544">
        <v>4742</v>
      </c>
      <c r="D8544" t="s">
        <v>304</v>
      </c>
      <c r="E8544">
        <f>YEAR(A8544)</f>
        <v>2015</v>
      </c>
      <c r="F8544" s="33">
        <f>DATE(YEAR(A8544),MONTH(A8544),1)</f>
        <v>42156.0</v>
      </c>
      <c r="G8544" t="str">
        <f>CHOOSE(WEEKDAY(A8544,2),"Mon","Tue","Wed","Thu","Fri","Sat","Sun")</f>
        <v>Tue</v>
      </c>
      <c r="H8544" t="str">
        <f>IF(WEEKDAY(A8544,2)&gt;5,"Weekend","Weekday")</f>
        <v>Weekday</v>
      </c>
      <c r="I8544" t="str">
        <f>_xlfn.IFS(B8544&lt;=5,"Night (0-5)",B8544&lt;=9,"Morning peak (6-9)",B8544&lt;=15,"Midday (10-15)",B8544&lt;=19,"Evening peak (16-19)",TRUE,"Late evening (20-23)")</f>
        <v>Morning peak (6-9)</v>
      </c>
    </row>
    <row r="8545" spans="1:9">
      <c r="A8545" s="32">
        <v>42178</v>
      </c>
      <c r="B8545">
        <v>10</v>
      </c>
      <c r="C8545">
        <v>3725</v>
      </c>
      <c r="D8545" t="s">
        <v>304</v>
      </c>
      <c r="E8545">
        <f>YEAR(A8545)</f>
        <v>2015</v>
      </c>
      <c r="F8545" s="33">
        <f>DATE(YEAR(A8545),MONTH(A8545),1)</f>
        <v>42156.0</v>
      </c>
      <c r="G8545" t="str">
        <f>CHOOSE(WEEKDAY(A8545,2),"Mon","Tue","Wed","Thu","Fri","Sat","Sun")</f>
        <v>Tue</v>
      </c>
      <c r="H8545" t="str">
        <f>IF(WEEKDAY(A8545,2)&gt;5,"Weekend","Weekday")</f>
        <v>Weekday</v>
      </c>
      <c r="I8545" t="str">
        <f>_xlfn.IFS(B8545&lt;=5,"Night (0-5)",B8545&lt;=9,"Morning peak (6-9)",B8545&lt;=15,"Midday (10-15)",B8545&lt;=19,"Evening peak (16-19)",TRUE,"Late evening (20-23)")</f>
        <v>Midday (10-15)</v>
      </c>
    </row>
    <row r="8546" spans="1:9">
      <c r="A8546" s="32">
        <v>42178</v>
      </c>
      <c r="B8546">
        <v>11</v>
      </c>
      <c r="C8546">
        <v>3507</v>
      </c>
      <c r="D8546" t="s">
        <v>304</v>
      </c>
      <c r="E8546">
        <f>YEAR(A8546)</f>
        <v>2015</v>
      </c>
      <c r="F8546" s="33">
        <f>DATE(YEAR(A8546),MONTH(A8546),1)</f>
        <v>42156.0</v>
      </c>
      <c r="G8546" t="str">
        <f>CHOOSE(WEEKDAY(A8546,2),"Mon","Tue","Wed","Thu","Fri","Sat","Sun")</f>
        <v>Tue</v>
      </c>
      <c r="H8546" t="str">
        <f>IF(WEEKDAY(A8546,2)&gt;5,"Weekend","Weekday")</f>
        <v>Weekday</v>
      </c>
      <c r="I8546" t="str">
        <f>_xlfn.IFS(B8546&lt;=5,"Night (0-5)",B8546&lt;=9,"Morning peak (6-9)",B8546&lt;=15,"Midday (10-15)",B8546&lt;=19,"Evening peak (16-19)",TRUE,"Late evening (20-23)")</f>
        <v>Midday (10-15)</v>
      </c>
    </row>
    <row r="8547" spans="1:9">
      <c r="A8547" s="32">
        <v>42178</v>
      </c>
      <c r="B8547">
        <v>12</v>
      </c>
      <c r="C8547">
        <v>3513</v>
      </c>
      <c r="D8547" t="s">
        <v>304</v>
      </c>
      <c r="E8547">
        <f>YEAR(A8547)</f>
        <v>2015</v>
      </c>
      <c r="F8547" s="33">
        <f>DATE(YEAR(A8547),MONTH(A8547),1)</f>
        <v>42156.0</v>
      </c>
      <c r="G8547" t="str">
        <f>CHOOSE(WEEKDAY(A8547,2),"Mon","Tue","Wed","Thu","Fri","Sat","Sun")</f>
        <v>Tue</v>
      </c>
      <c r="H8547" t="str">
        <f>IF(WEEKDAY(A8547,2)&gt;5,"Weekend","Weekday")</f>
        <v>Weekday</v>
      </c>
      <c r="I8547" t="str">
        <f>_xlfn.IFS(B8547&lt;=5,"Night (0-5)",B8547&lt;=9,"Morning peak (6-9)",B8547&lt;=15,"Midday (10-15)",B8547&lt;=19,"Evening peak (16-19)",TRUE,"Late evening (20-23)")</f>
        <v>Midday (10-15)</v>
      </c>
    </row>
    <row r="8548" spans="1:9">
      <c r="A8548" s="32">
        <v>42178</v>
      </c>
      <c r="B8548">
        <v>13</v>
      </c>
      <c r="C8548">
        <v>3490</v>
      </c>
      <c r="D8548" t="s">
        <v>304</v>
      </c>
      <c r="E8548">
        <f>YEAR(A8548)</f>
        <v>2015</v>
      </c>
      <c r="F8548" s="33">
        <f>DATE(YEAR(A8548),MONTH(A8548),1)</f>
        <v>42156.0</v>
      </c>
      <c r="G8548" t="str">
        <f>CHOOSE(WEEKDAY(A8548,2),"Mon","Tue","Wed","Thu","Fri","Sat","Sun")</f>
        <v>Tue</v>
      </c>
      <c r="H8548" t="str">
        <f>IF(WEEKDAY(A8548,2)&gt;5,"Weekend","Weekday")</f>
        <v>Weekday</v>
      </c>
      <c r="I8548" t="str">
        <f>_xlfn.IFS(B8548&lt;=5,"Night (0-5)",B8548&lt;=9,"Morning peak (6-9)",B8548&lt;=15,"Midday (10-15)",B8548&lt;=19,"Evening peak (16-19)",TRUE,"Late evening (20-23)")</f>
        <v>Midday (10-15)</v>
      </c>
    </row>
    <row r="8549" spans="1:9">
      <c r="A8549" s="32">
        <v>42178</v>
      </c>
      <c r="B8549">
        <v>14</v>
      </c>
      <c r="C8549">
        <v>3910</v>
      </c>
      <c r="D8549" t="s">
        <v>304</v>
      </c>
      <c r="E8549">
        <f>YEAR(A8549)</f>
        <v>2015</v>
      </c>
      <c r="F8549" s="33">
        <f>DATE(YEAR(A8549),MONTH(A8549),1)</f>
        <v>42156.0</v>
      </c>
      <c r="G8549" t="str">
        <f>CHOOSE(WEEKDAY(A8549,2),"Mon","Tue","Wed","Thu","Fri","Sat","Sun")</f>
        <v>Tue</v>
      </c>
      <c r="H8549" t="str">
        <f>IF(WEEKDAY(A8549,2)&gt;5,"Weekend","Weekday")</f>
        <v>Weekday</v>
      </c>
      <c r="I8549" t="str">
        <f>_xlfn.IFS(B8549&lt;=5,"Night (0-5)",B8549&lt;=9,"Morning peak (6-9)",B8549&lt;=15,"Midday (10-15)",B8549&lt;=19,"Evening peak (16-19)",TRUE,"Late evening (20-23)")</f>
        <v>Midday (10-15)</v>
      </c>
    </row>
    <row r="8550" spans="1:9">
      <c r="A8550" s="32">
        <v>42178</v>
      </c>
      <c r="B8550">
        <v>15</v>
      </c>
      <c r="C8550">
        <v>4039</v>
      </c>
      <c r="D8550" t="s">
        <v>304</v>
      </c>
      <c r="E8550">
        <f>YEAR(A8550)</f>
        <v>2015</v>
      </c>
      <c r="F8550" s="33">
        <f>DATE(YEAR(A8550),MONTH(A8550),1)</f>
        <v>42156.0</v>
      </c>
      <c r="G8550" t="str">
        <f>CHOOSE(WEEKDAY(A8550,2),"Mon","Tue","Wed","Thu","Fri","Sat","Sun")</f>
        <v>Tue</v>
      </c>
      <c r="H8550" t="str">
        <f>IF(WEEKDAY(A8550,2)&gt;5,"Weekend","Weekday")</f>
        <v>Weekday</v>
      </c>
      <c r="I8550" t="str">
        <f>_xlfn.IFS(B8550&lt;=5,"Night (0-5)",B8550&lt;=9,"Morning peak (6-9)",B8550&lt;=15,"Midday (10-15)",B8550&lt;=19,"Evening peak (16-19)",TRUE,"Late evening (20-23)")</f>
        <v>Midday (10-15)</v>
      </c>
    </row>
    <row r="8551" spans="1:9">
      <c r="A8551" s="32">
        <v>42178</v>
      </c>
      <c r="B8551">
        <v>16</v>
      </c>
      <c r="C8551">
        <v>4554</v>
      </c>
      <c r="D8551" t="s">
        <v>304</v>
      </c>
      <c r="E8551">
        <f>YEAR(A8551)</f>
        <v>2015</v>
      </c>
      <c r="F8551" s="33">
        <f>DATE(YEAR(A8551),MONTH(A8551),1)</f>
        <v>42156.0</v>
      </c>
      <c r="G8551" t="str">
        <f>CHOOSE(WEEKDAY(A8551,2),"Mon","Tue","Wed","Thu","Fri","Sat","Sun")</f>
        <v>Tue</v>
      </c>
      <c r="H8551" t="str">
        <f>IF(WEEKDAY(A8551,2)&gt;5,"Weekend","Weekday")</f>
        <v>Weekday</v>
      </c>
      <c r="I8551" t="str">
        <f>_xlfn.IFS(B8551&lt;=5,"Night (0-5)",B8551&lt;=9,"Morning peak (6-9)",B8551&lt;=15,"Midday (10-15)",B8551&lt;=19,"Evening peak (16-19)",TRUE,"Late evening (20-23)")</f>
        <v>Evening peak (16-19)</v>
      </c>
    </row>
    <row r="8552" spans="1:9">
      <c r="A8552" s="32">
        <v>42178</v>
      </c>
      <c r="B8552">
        <v>17</v>
      </c>
      <c r="C8552">
        <v>5631</v>
      </c>
      <c r="D8552" t="s">
        <v>304</v>
      </c>
      <c r="E8552">
        <f>YEAR(A8552)</f>
        <v>2015</v>
      </c>
      <c r="F8552" s="33">
        <f>DATE(YEAR(A8552),MONTH(A8552),1)</f>
        <v>42156.0</v>
      </c>
      <c r="G8552" t="str">
        <f>CHOOSE(WEEKDAY(A8552,2),"Mon","Tue","Wed","Thu","Fri","Sat","Sun")</f>
        <v>Tue</v>
      </c>
      <c r="H8552" t="str">
        <f>IF(WEEKDAY(A8552,2)&gt;5,"Weekend","Weekday")</f>
        <v>Weekday</v>
      </c>
      <c r="I8552" t="str">
        <f>_xlfn.IFS(B8552&lt;=5,"Night (0-5)",B8552&lt;=9,"Morning peak (6-9)",B8552&lt;=15,"Midday (10-15)",B8552&lt;=19,"Evening peak (16-19)",TRUE,"Late evening (20-23)")</f>
        <v>Evening peak (16-19)</v>
      </c>
    </row>
    <row r="8553" spans="1:9">
      <c r="A8553" s="32">
        <v>42178</v>
      </c>
      <c r="B8553">
        <v>18</v>
      </c>
      <c r="C8553">
        <v>8233</v>
      </c>
      <c r="D8553" t="s">
        <v>304</v>
      </c>
      <c r="E8553">
        <f>YEAR(A8553)</f>
        <v>2015</v>
      </c>
      <c r="F8553" s="33">
        <f>DATE(YEAR(A8553),MONTH(A8553),1)</f>
        <v>42156.0</v>
      </c>
      <c r="G8553" t="str">
        <f>CHOOSE(WEEKDAY(A8553,2),"Mon","Tue","Wed","Thu","Fri","Sat","Sun")</f>
        <v>Tue</v>
      </c>
      <c r="H8553" t="str">
        <f>IF(WEEKDAY(A8553,2)&gt;5,"Weekend","Weekday")</f>
        <v>Weekday</v>
      </c>
      <c r="I8553" t="str">
        <f>_xlfn.IFS(B8553&lt;=5,"Night (0-5)",B8553&lt;=9,"Morning peak (6-9)",B8553&lt;=15,"Midday (10-15)",B8553&lt;=19,"Evening peak (16-19)",TRUE,"Late evening (20-23)")</f>
        <v>Evening peak (16-19)</v>
      </c>
    </row>
    <row r="8554" spans="1:9">
      <c r="A8554" s="32">
        <v>42178</v>
      </c>
      <c r="B8554">
        <v>19</v>
      </c>
      <c r="C8554">
        <v>8394</v>
      </c>
      <c r="D8554" t="s">
        <v>304</v>
      </c>
      <c r="E8554">
        <f>YEAR(A8554)</f>
        <v>2015</v>
      </c>
      <c r="F8554" s="33">
        <f>DATE(YEAR(A8554),MONTH(A8554),1)</f>
        <v>42156.0</v>
      </c>
      <c r="G8554" t="str">
        <f>CHOOSE(WEEKDAY(A8554,2),"Mon","Tue","Wed","Thu","Fri","Sat","Sun")</f>
        <v>Tue</v>
      </c>
      <c r="H8554" t="str">
        <f>IF(WEEKDAY(A8554,2)&gt;5,"Weekend","Weekday")</f>
        <v>Weekday</v>
      </c>
      <c r="I8554" t="str">
        <f>_xlfn.IFS(B8554&lt;=5,"Night (0-5)",B8554&lt;=9,"Morning peak (6-9)",B8554&lt;=15,"Midday (10-15)",B8554&lt;=19,"Evening peak (16-19)",TRUE,"Late evening (20-23)")</f>
        <v>Evening peak (16-19)</v>
      </c>
    </row>
    <row r="8555" spans="1:9">
      <c r="A8555" s="32">
        <v>42178</v>
      </c>
      <c r="B8555">
        <v>20</v>
      </c>
      <c r="C8555">
        <v>6249</v>
      </c>
      <c r="D8555" t="s">
        <v>304</v>
      </c>
      <c r="E8555">
        <f>YEAR(A8555)</f>
        <v>2015</v>
      </c>
      <c r="F8555" s="33">
        <f>DATE(YEAR(A8555),MONTH(A8555),1)</f>
        <v>42156.0</v>
      </c>
      <c r="G8555" t="str">
        <f>CHOOSE(WEEKDAY(A8555,2),"Mon","Tue","Wed","Thu","Fri","Sat","Sun")</f>
        <v>Tue</v>
      </c>
      <c r="H8555" t="str">
        <f>IF(WEEKDAY(A8555,2)&gt;5,"Weekend","Weekday")</f>
        <v>Weekday</v>
      </c>
      <c r="I8555" t="str">
        <f>_xlfn.IFS(B8555&lt;=5,"Night (0-5)",B8555&lt;=9,"Morning peak (6-9)",B8555&lt;=15,"Midday (10-15)",B8555&lt;=19,"Evening peak (16-19)",TRUE,"Late evening (20-23)")</f>
        <v>Late evening (20-23)</v>
      </c>
    </row>
    <row r="8556" spans="1:9">
      <c r="A8556" s="32">
        <v>42178</v>
      </c>
      <c r="B8556">
        <v>21</v>
      </c>
      <c r="C8556">
        <v>6070</v>
      </c>
      <c r="D8556" t="s">
        <v>304</v>
      </c>
      <c r="E8556">
        <f>YEAR(A8556)</f>
        <v>2015</v>
      </c>
      <c r="F8556" s="33">
        <f>DATE(YEAR(A8556),MONTH(A8556),1)</f>
        <v>42156.0</v>
      </c>
      <c r="G8556" t="str">
        <f>CHOOSE(WEEKDAY(A8556,2),"Mon","Tue","Wed","Thu","Fri","Sat","Sun")</f>
        <v>Tue</v>
      </c>
      <c r="H8556" t="str">
        <f>IF(WEEKDAY(A8556,2)&gt;5,"Weekend","Weekday")</f>
        <v>Weekday</v>
      </c>
      <c r="I8556" t="str">
        <f>_xlfn.IFS(B8556&lt;=5,"Night (0-5)",B8556&lt;=9,"Morning peak (6-9)",B8556&lt;=15,"Midday (10-15)",B8556&lt;=19,"Evening peak (16-19)",TRUE,"Late evening (20-23)")</f>
        <v>Late evening (20-23)</v>
      </c>
    </row>
    <row r="8557" spans="1:9">
      <c r="A8557" s="32">
        <v>42178</v>
      </c>
      <c r="B8557">
        <v>22</v>
      </c>
      <c r="C8557">
        <v>5601</v>
      </c>
      <c r="D8557" t="s">
        <v>304</v>
      </c>
      <c r="E8557">
        <f>YEAR(A8557)</f>
        <v>2015</v>
      </c>
      <c r="F8557" s="33">
        <f>DATE(YEAR(A8557),MONTH(A8557),1)</f>
        <v>42156.0</v>
      </c>
      <c r="G8557" t="str">
        <f>CHOOSE(WEEKDAY(A8557,2),"Mon","Tue","Wed","Thu","Fri","Sat","Sun")</f>
        <v>Tue</v>
      </c>
      <c r="H8557" t="str">
        <f>IF(WEEKDAY(A8557,2)&gt;5,"Weekend","Weekday")</f>
        <v>Weekday</v>
      </c>
      <c r="I8557" t="str">
        <f>_xlfn.IFS(B8557&lt;=5,"Night (0-5)",B8557&lt;=9,"Morning peak (6-9)",B8557&lt;=15,"Midday (10-15)",B8557&lt;=19,"Evening peak (16-19)",TRUE,"Late evening (20-23)")</f>
        <v>Late evening (20-23)</v>
      </c>
    </row>
    <row r="8558" spans="1:9">
      <c r="A8558" s="32">
        <v>42178</v>
      </c>
      <c r="B8558">
        <v>23</v>
      </c>
      <c r="C8558">
        <v>4400</v>
      </c>
      <c r="D8558" t="s">
        <v>304</v>
      </c>
      <c r="E8558">
        <f>YEAR(A8558)</f>
        <v>2015</v>
      </c>
      <c r="F8558" s="33">
        <f>DATE(YEAR(A8558),MONTH(A8558),1)</f>
        <v>42156.0</v>
      </c>
      <c r="G8558" t="str">
        <f>CHOOSE(WEEKDAY(A8558,2),"Mon","Tue","Wed","Thu","Fri","Sat","Sun")</f>
        <v>Tue</v>
      </c>
      <c r="H8558" t="str">
        <f>IF(WEEKDAY(A8558,2)&gt;5,"Weekend","Weekday")</f>
        <v>Weekday</v>
      </c>
      <c r="I8558" t="str">
        <f>_xlfn.IFS(B8558&lt;=5,"Night (0-5)",B8558&lt;=9,"Morning peak (6-9)",B8558&lt;=15,"Midday (10-15)",B8558&lt;=19,"Evening peak (16-19)",TRUE,"Late evening (20-23)")</f>
        <v>Late evening (20-23)</v>
      </c>
    </row>
    <row r="8559" spans="1:9">
      <c r="A8559" s="32">
        <v>42179</v>
      </c>
      <c r="B8559">
        <v>0</v>
      </c>
      <c r="C8559">
        <v>2831</v>
      </c>
      <c r="D8559" t="s">
        <v>304</v>
      </c>
      <c r="E8559">
        <f>YEAR(A8559)</f>
        <v>2015</v>
      </c>
      <c r="F8559" s="33">
        <f>DATE(YEAR(A8559),MONTH(A8559),1)</f>
        <v>42156.0</v>
      </c>
      <c r="G8559" t="str">
        <f>CHOOSE(WEEKDAY(A8559,2),"Mon","Tue","Wed","Thu","Fri","Sat","Sun")</f>
        <v>Wed</v>
      </c>
      <c r="H8559" t="str">
        <f>IF(WEEKDAY(A8559,2)&gt;5,"Weekend","Weekday")</f>
        <v>Weekday</v>
      </c>
      <c r="I8559" t="str">
        <f>_xlfn.IFS(B8559&lt;=5,"Night (0-5)",B8559&lt;=9,"Morning peak (6-9)",B8559&lt;=15,"Midday (10-15)",B8559&lt;=19,"Evening peak (16-19)",TRUE,"Late evening (20-23)")</f>
        <v>Night (0-5)</v>
      </c>
    </row>
    <row r="8560" spans="1:9">
      <c r="A8560" s="32">
        <v>42179</v>
      </c>
      <c r="B8560">
        <v>1</v>
      </c>
      <c r="C8560">
        <v>1640</v>
      </c>
      <c r="D8560" t="s">
        <v>304</v>
      </c>
      <c r="E8560">
        <f>YEAR(A8560)</f>
        <v>2015</v>
      </c>
      <c r="F8560" s="33">
        <f>DATE(YEAR(A8560),MONTH(A8560),1)</f>
        <v>42156.0</v>
      </c>
      <c r="G8560" t="str">
        <f>CHOOSE(WEEKDAY(A8560,2),"Mon","Tue","Wed","Thu","Fri","Sat","Sun")</f>
        <v>Wed</v>
      </c>
      <c r="H8560" t="str">
        <f>IF(WEEKDAY(A8560,2)&gt;5,"Weekend","Weekday")</f>
        <v>Weekday</v>
      </c>
      <c r="I8560" t="str">
        <f>_xlfn.IFS(B8560&lt;=5,"Night (0-5)",B8560&lt;=9,"Morning peak (6-9)",B8560&lt;=15,"Midday (10-15)",B8560&lt;=19,"Evening peak (16-19)",TRUE,"Late evening (20-23)")</f>
        <v>Night (0-5)</v>
      </c>
    </row>
    <row r="8561" spans="1:9">
      <c r="A8561" s="32">
        <v>42179</v>
      </c>
      <c r="B8561">
        <v>2</v>
      </c>
      <c r="C8561">
        <v>910</v>
      </c>
      <c r="D8561" t="s">
        <v>304</v>
      </c>
      <c r="E8561">
        <f>YEAR(A8561)</f>
        <v>2015</v>
      </c>
      <c r="F8561" s="33">
        <f>DATE(YEAR(A8561),MONTH(A8561),1)</f>
        <v>42156.0</v>
      </c>
      <c r="G8561" t="str">
        <f>CHOOSE(WEEKDAY(A8561,2),"Mon","Tue","Wed","Thu","Fri","Sat","Sun")</f>
        <v>Wed</v>
      </c>
      <c r="H8561" t="str">
        <f>IF(WEEKDAY(A8561,2)&gt;5,"Weekend","Weekday")</f>
        <v>Weekday</v>
      </c>
      <c r="I8561" t="str">
        <f>_xlfn.IFS(B8561&lt;=5,"Night (0-5)",B8561&lt;=9,"Morning peak (6-9)",B8561&lt;=15,"Midday (10-15)",B8561&lt;=19,"Evening peak (16-19)",TRUE,"Late evening (20-23)")</f>
        <v>Night (0-5)</v>
      </c>
    </row>
    <row r="8562" spans="1:9">
      <c r="A8562" s="32">
        <v>42179</v>
      </c>
      <c r="B8562">
        <v>3</v>
      </c>
      <c r="C8562">
        <v>660</v>
      </c>
      <c r="D8562" t="s">
        <v>304</v>
      </c>
      <c r="E8562">
        <f>YEAR(A8562)</f>
        <v>2015</v>
      </c>
      <c r="F8562" s="33">
        <f>DATE(YEAR(A8562),MONTH(A8562),1)</f>
        <v>42156.0</v>
      </c>
      <c r="G8562" t="str">
        <f>CHOOSE(WEEKDAY(A8562,2),"Mon","Tue","Wed","Thu","Fri","Sat","Sun")</f>
        <v>Wed</v>
      </c>
      <c r="H8562" t="str">
        <f>IF(WEEKDAY(A8562,2)&gt;5,"Weekend","Weekday")</f>
        <v>Weekday</v>
      </c>
      <c r="I8562" t="str">
        <f>_xlfn.IFS(B8562&lt;=5,"Night (0-5)",B8562&lt;=9,"Morning peak (6-9)",B8562&lt;=15,"Midday (10-15)",B8562&lt;=19,"Evening peak (16-19)",TRUE,"Late evening (20-23)")</f>
        <v>Night (0-5)</v>
      </c>
    </row>
    <row r="8563" spans="1:9">
      <c r="A8563" s="32">
        <v>42179</v>
      </c>
      <c r="B8563">
        <v>4</v>
      </c>
      <c r="C8563">
        <v>837</v>
      </c>
      <c r="D8563" t="s">
        <v>304</v>
      </c>
      <c r="E8563">
        <f>YEAR(A8563)</f>
        <v>2015</v>
      </c>
      <c r="F8563" s="33">
        <f>DATE(YEAR(A8563),MONTH(A8563),1)</f>
        <v>42156.0</v>
      </c>
      <c r="G8563" t="str">
        <f>CHOOSE(WEEKDAY(A8563,2),"Mon","Tue","Wed","Thu","Fri","Sat","Sun")</f>
        <v>Wed</v>
      </c>
      <c r="H8563" t="str">
        <f>IF(WEEKDAY(A8563,2)&gt;5,"Weekend","Weekday")</f>
        <v>Weekday</v>
      </c>
      <c r="I8563" t="str">
        <f>_xlfn.IFS(B8563&lt;=5,"Night (0-5)",B8563&lt;=9,"Morning peak (6-9)",B8563&lt;=15,"Midday (10-15)",B8563&lt;=19,"Evening peak (16-19)",TRUE,"Late evening (20-23)")</f>
        <v>Night (0-5)</v>
      </c>
    </row>
    <row r="8564" spans="1:9">
      <c r="A8564" s="32">
        <v>42179</v>
      </c>
      <c r="B8564">
        <v>5</v>
      </c>
      <c r="C8564">
        <v>1280</v>
      </c>
      <c r="D8564" t="s">
        <v>304</v>
      </c>
      <c r="E8564">
        <f>YEAR(A8564)</f>
        <v>2015</v>
      </c>
      <c r="F8564" s="33">
        <f>DATE(YEAR(A8564),MONTH(A8564),1)</f>
        <v>42156.0</v>
      </c>
      <c r="G8564" t="str">
        <f>CHOOSE(WEEKDAY(A8564,2),"Mon","Tue","Wed","Thu","Fri","Sat","Sun")</f>
        <v>Wed</v>
      </c>
      <c r="H8564" t="str">
        <f>IF(WEEKDAY(A8564,2)&gt;5,"Weekend","Weekday")</f>
        <v>Weekday</v>
      </c>
      <c r="I8564" t="str">
        <f>_xlfn.IFS(B8564&lt;=5,"Night (0-5)",B8564&lt;=9,"Morning peak (6-9)",B8564&lt;=15,"Midday (10-15)",B8564&lt;=19,"Evening peak (16-19)",TRUE,"Late evening (20-23)")</f>
        <v>Night (0-5)</v>
      </c>
    </row>
    <row r="8565" spans="1:9">
      <c r="A8565" s="32">
        <v>42179</v>
      </c>
      <c r="B8565">
        <v>6</v>
      </c>
      <c r="C8565">
        <v>2139</v>
      </c>
      <c r="D8565" t="s">
        <v>304</v>
      </c>
      <c r="E8565">
        <f>YEAR(A8565)</f>
        <v>2015</v>
      </c>
      <c r="F8565" s="33">
        <f>DATE(YEAR(A8565),MONTH(A8565),1)</f>
        <v>42156.0</v>
      </c>
      <c r="G8565" t="str">
        <f>CHOOSE(WEEKDAY(A8565,2),"Mon","Tue","Wed","Thu","Fri","Sat","Sun")</f>
        <v>Wed</v>
      </c>
      <c r="H8565" t="str">
        <f>IF(WEEKDAY(A8565,2)&gt;5,"Weekend","Weekday")</f>
        <v>Weekday</v>
      </c>
      <c r="I8565" t="str">
        <f>_xlfn.IFS(B8565&lt;=5,"Night (0-5)",B8565&lt;=9,"Morning peak (6-9)",B8565&lt;=15,"Midday (10-15)",B8565&lt;=19,"Evening peak (16-19)",TRUE,"Late evening (20-23)")</f>
        <v>Morning peak (6-9)</v>
      </c>
    </row>
    <row r="8566" spans="1:9">
      <c r="A8566" s="32">
        <v>42179</v>
      </c>
      <c r="B8566">
        <v>7</v>
      </c>
      <c r="C8566">
        <v>3417</v>
      </c>
      <c r="D8566" t="s">
        <v>304</v>
      </c>
      <c r="E8566">
        <f>YEAR(A8566)</f>
        <v>2015</v>
      </c>
      <c r="F8566" s="33">
        <f>DATE(YEAR(A8566),MONTH(A8566),1)</f>
        <v>42156.0</v>
      </c>
      <c r="G8566" t="str">
        <f>CHOOSE(WEEKDAY(A8566,2),"Mon","Tue","Wed","Thu","Fri","Sat","Sun")</f>
        <v>Wed</v>
      </c>
      <c r="H8566" t="str">
        <f>IF(WEEKDAY(A8566,2)&gt;5,"Weekend","Weekday")</f>
        <v>Weekday</v>
      </c>
      <c r="I8566" t="str">
        <f>_xlfn.IFS(B8566&lt;=5,"Night (0-5)",B8566&lt;=9,"Morning peak (6-9)",B8566&lt;=15,"Midday (10-15)",B8566&lt;=19,"Evening peak (16-19)",TRUE,"Late evening (20-23)")</f>
        <v>Morning peak (6-9)</v>
      </c>
    </row>
    <row r="8567" spans="1:9">
      <c r="A8567" s="32">
        <v>42179</v>
      </c>
      <c r="B8567">
        <v>8</v>
      </c>
      <c r="C8567">
        <v>4661</v>
      </c>
      <c r="D8567" t="s">
        <v>304</v>
      </c>
      <c r="E8567">
        <f>YEAR(A8567)</f>
        <v>2015</v>
      </c>
      <c r="F8567" s="33">
        <f>DATE(YEAR(A8567),MONTH(A8567),1)</f>
        <v>42156.0</v>
      </c>
      <c r="G8567" t="str">
        <f>CHOOSE(WEEKDAY(A8567,2),"Mon","Tue","Wed","Thu","Fri","Sat","Sun")</f>
        <v>Wed</v>
      </c>
      <c r="H8567" t="str">
        <f>IF(WEEKDAY(A8567,2)&gt;5,"Weekend","Weekday")</f>
        <v>Weekday</v>
      </c>
      <c r="I8567" t="str">
        <f>_xlfn.IFS(B8567&lt;=5,"Night (0-5)",B8567&lt;=9,"Morning peak (6-9)",B8567&lt;=15,"Midday (10-15)",B8567&lt;=19,"Evening peak (16-19)",TRUE,"Late evening (20-23)")</f>
        <v>Morning peak (6-9)</v>
      </c>
    </row>
    <row r="8568" spans="1:9">
      <c r="A8568" s="32">
        <v>42179</v>
      </c>
      <c r="B8568">
        <v>9</v>
      </c>
      <c r="C8568">
        <v>4457</v>
      </c>
      <c r="D8568" t="s">
        <v>304</v>
      </c>
      <c r="E8568">
        <f>YEAR(A8568)</f>
        <v>2015</v>
      </c>
      <c r="F8568" s="33">
        <f>DATE(YEAR(A8568),MONTH(A8568),1)</f>
        <v>42156.0</v>
      </c>
      <c r="G8568" t="str">
        <f>CHOOSE(WEEKDAY(A8568,2),"Mon","Tue","Wed","Thu","Fri","Sat","Sun")</f>
        <v>Wed</v>
      </c>
      <c r="H8568" t="str">
        <f>IF(WEEKDAY(A8568,2)&gt;5,"Weekend","Weekday")</f>
        <v>Weekday</v>
      </c>
      <c r="I8568" t="str">
        <f>_xlfn.IFS(B8568&lt;=5,"Night (0-5)",B8568&lt;=9,"Morning peak (6-9)",B8568&lt;=15,"Midday (10-15)",B8568&lt;=19,"Evening peak (16-19)",TRUE,"Late evening (20-23)")</f>
        <v>Morning peak (6-9)</v>
      </c>
    </row>
    <row r="8569" spans="1:9">
      <c r="A8569" s="32">
        <v>42179</v>
      </c>
      <c r="B8569">
        <v>10</v>
      </c>
      <c r="C8569">
        <v>3514</v>
      </c>
      <c r="D8569" t="s">
        <v>304</v>
      </c>
      <c r="E8569">
        <f>YEAR(A8569)</f>
        <v>2015</v>
      </c>
      <c r="F8569" s="33">
        <f>DATE(YEAR(A8569),MONTH(A8569),1)</f>
        <v>42156.0</v>
      </c>
      <c r="G8569" t="str">
        <f>CHOOSE(WEEKDAY(A8569,2),"Mon","Tue","Wed","Thu","Fri","Sat","Sun")</f>
        <v>Wed</v>
      </c>
      <c r="H8569" t="str">
        <f>IF(WEEKDAY(A8569,2)&gt;5,"Weekend","Weekday")</f>
        <v>Weekday</v>
      </c>
      <c r="I8569" t="str">
        <f>_xlfn.IFS(B8569&lt;=5,"Night (0-5)",B8569&lt;=9,"Morning peak (6-9)",B8569&lt;=15,"Midday (10-15)",B8569&lt;=19,"Evening peak (16-19)",TRUE,"Late evening (20-23)")</f>
        <v>Midday (10-15)</v>
      </c>
    </row>
    <row r="8570" spans="1:9">
      <c r="A8570" s="32">
        <v>42179</v>
      </c>
      <c r="B8570">
        <v>11</v>
      </c>
      <c r="C8570">
        <v>3333</v>
      </c>
      <c r="D8570" t="s">
        <v>304</v>
      </c>
      <c r="E8570">
        <f>YEAR(A8570)</f>
        <v>2015</v>
      </c>
      <c r="F8570" s="33">
        <f>DATE(YEAR(A8570),MONTH(A8570),1)</f>
        <v>42156.0</v>
      </c>
      <c r="G8570" t="str">
        <f>CHOOSE(WEEKDAY(A8570,2),"Mon","Tue","Wed","Thu","Fri","Sat","Sun")</f>
        <v>Wed</v>
      </c>
      <c r="H8570" t="str">
        <f>IF(WEEKDAY(A8570,2)&gt;5,"Weekend","Weekday")</f>
        <v>Weekday</v>
      </c>
      <c r="I8570" t="str">
        <f>_xlfn.IFS(B8570&lt;=5,"Night (0-5)",B8570&lt;=9,"Morning peak (6-9)",B8570&lt;=15,"Midday (10-15)",B8570&lt;=19,"Evening peak (16-19)",TRUE,"Late evening (20-23)")</f>
        <v>Midday (10-15)</v>
      </c>
    </row>
    <row r="8571" spans="1:9">
      <c r="A8571" s="32">
        <v>42179</v>
      </c>
      <c r="B8571">
        <v>12</v>
      </c>
      <c r="C8571">
        <v>3346</v>
      </c>
      <c r="D8571" t="s">
        <v>304</v>
      </c>
      <c r="E8571">
        <f>YEAR(A8571)</f>
        <v>2015</v>
      </c>
      <c r="F8571" s="33">
        <f>DATE(YEAR(A8571),MONTH(A8571),1)</f>
        <v>42156.0</v>
      </c>
      <c r="G8571" t="str">
        <f>CHOOSE(WEEKDAY(A8571,2),"Mon","Tue","Wed","Thu","Fri","Sat","Sun")</f>
        <v>Wed</v>
      </c>
      <c r="H8571" t="str">
        <f>IF(WEEKDAY(A8571,2)&gt;5,"Weekend","Weekday")</f>
        <v>Weekday</v>
      </c>
      <c r="I8571" t="str">
        <f>_xlfn.IFS(B8571&lt;=5,"Night (0-5)",B8571&lt;=9,"Morning peak (6-9)",B8571&lt;=15,"Midday (10-15)",B8571&lt;=19,"Evening peak (16-19)",TRUE,"Late evening (20-23)")</f>
        <v>Midday (10-15)</v>
      </c>
    </row>
    <row r="8572" spans="1:9">
      <c r="A8572" s="32">
        <v>42179</v>
      </c>
      <c r="B8572">
        <v>13</v>
      </c>
      <c r="C8572">
        <v>3381</v>
      </c>
      <c r="D8572" t="s">
        <v>304</v>
      </c>
      <c r="E8572">
        <f>YEAR(A8572)</f>
        <v>2015</v>
      </c>
      <c r="F8572" s="33">
        <f>DATE(YEAR(A8572),MONTH(A8572),1)</f>
        <v>42156.0</v>
      </c>
      <c r="G8572" t="str">
        <f>CHOOSE(WEEKDAY(A8572,2),"Mon","Tue","Wed","Thu","Fri","Sat","Sun")</f>
        <v>Wed</v>
      </c>
      <c r="H8572" t="str">
        <f>IF(WEEKDAY(A8572,2)&gt;5,"Weekend","Weekday")</f>
        <v>Weekday</v>
      </c>
      <c r="I8572" t="str">
        <f>_xlfn.IFS(B8572&lt;=5,"Night (0-5)",B8572&lt;=9,"Morning peak (6-9)",B8572&lt;=15,"Midday (10-15)",B8572&lt;=19,"Evening peak (16-19)",TRUE,"Late evening (20-23)")</f>
        <v>Midday (10-15)</v>
      </c>
    </row>
    <row r="8573" spans="1:9">
      <c r="A8573" s="32">
        <v>42179</v>
      </c>
      <c r="B8573">
        <v>14</v>
      </c>
      <c r="C8573">
        <v>3779</v>
      </c>
      <c r="D8573" t="s">
        <v>304</v>
      </c>
      <c r="E8573">
        <f>YEAR(A8573)</f>
        <v>2015</v>
      </c>
      <c r="F8573" s="33">
        <f>DATE(YEAR(A8573),MONTH(A8573),1)</f>
        <v>42156.0</v>
      </c>
      <c r="G8573" t="str">
        <f>CHOOSE(WEEKDAY(A8573,2),"Mon","Tue","Wed","Thu","Fri","Sat","Sun")</f>
        <v>Wed</v>
      </c>
      <c r="H8573" t="str">
        <f>IF(WEEKDAY(A8573,2)&gt;5,"Weekend","Weekday")</f>
        <v>Weekday</v>
      </c>
      <c r="I8573" t="str">
        <f>_xlfn.IFS(B8573&lt;=5,"Night (0-5)",B8573&lt;=9,"Morning peak (6-9)",B8573&lt;=15,"Midday (10-15)",B8573&lt;=19,"Evening peak (16-19)",TRUE,"Late evening (20-23)")</f>
        <v>Midday (10-15)</v>
      </c>
    </row>
    <row r="8574" spans="1:9">
      <c r="A8574" s="32">
        <v>42179</v>
      </c>
      <c r="B8574">
        <v>15</v>
      </c>
      <c r="C8574">
        <v>4134</v>
      </c>
      <c r="D8574" t="s">
        <v>304</v>
      </c>
      <c r="E8574">
        <f>YEAR(A8574)</f>
        <v>2015</v>
      </c>
      <c r="F8574" s="33">
        <f>DATE(YEAR(A8574),MONTH(A8574),1)</f>
        <v>42156.0</v>
      </c>
      <c r="G8574" t="str">
        <f>CHOOSE(WEEKDAY(A8574,2),"Mon","Tue","Wed","Thu","Fri","Sat","Sun")</f>
        <v>Wed</v>
      </c>
      <c r="H8574" t="str">
        <f>IF(WEEKDAY(A8574,2)&gt;5,"Weekend","Weekday")</f>
        <v>Weekday</v>
      </c>
      <c r="I8574" t="str">
        <f>_xlfn.IFS(B8574&lt;=5,"Night (0-5)",B8574&lt;=9,"Morning peak (6-9)",B8574&lt;=15,"Midday (10-15)",B8574&lt;=19,"Evening peak (16-19)",TRUE,"Late evening (20-23)")</f>
        <v>Midday (10-15)</v>
      </c>
    </row>
    <row r="8575" spans="1:9">
      <c r="A8575" s="32">
        <v>42179</v>
      </c>
      <c r="B8575">
        <v>16</v>
      </c>
      <c r="C8575">
        <v>4684</v>
      </c>
      <c r="D8575" t="s">
        <v>304</v>
      </c>
      <c r="E8575">
        <f>YEAR(A8575)</f>
        <v>2015</v>
      </c>
      <c r="F8575" s="33">
        <f>DATE(YEAR(A8575),MONTH(A8575),1)</f>
        <v>42156.0</v>
      </c>
      <c r="G8575" t="str">
        <f>CHOOSE(WEEKDAY(A8575,2),"Mon","Tue","Wed","Thu","Fri","Sat","Sun")</f>
        <v>Wed</v>
      </c>
      <c r="H8575" t="str">
        <f>IF(WEEKDAY(A8575,2)&gt;5,"Weekend","Weekday")</f>
        <v>Weekday</v>
      </c>
      <c r="I8575" t="str">
        <f>_xlfn.IFS(B8575&lt;=5,"Night (0-5)",B8575&lt;=9,"Morning peak (6-9)",B8575&lt;=15,"Midday (10-15)",B8575&lt;=19,"Evening peak (16-19)",TRUE,"Late evening (20-23)")</f>
        <v>Evening peak (16-19)</v>
      </c>
    </row>
    <row r="8576" spans="1:9">
      <c r="A8576" s="32">
        <v>42179</v>
      </c>
      <c r="B8576">
        <v>17</v>
      </c>
      <c r="C8576">
        <v>5414</v>
      </c>
      <c r="D8576" t="s">
        <v>304</v>
      </c>
      <c r="E8576">
        <f>YEAR(A8576)</f>
        <v>2015</v>
      </c>
      <c r="F8576" s="33">
        <f>DATE(YEAR(A8576),MONTH(A8576),1)</f>
        <v>42156.0</v>
      </c>
      <c r="G8576" t="str">
        <f>CHOOSE(WEEKDAY(A8576,2),"Mon","Tue","Wed","Thu","Fri","Sat","Sun")</f>
        <v>Wed</v>
      </c>
      <c r="H8576" t="str">
        <f>IF(WEEKDAY(A8576,2)&gt;5,"Weekend","Weekday")</f>
        <v>Weekday</v>
      </c>
      <c r="I8576" t="str">
        <f>_xlfn.IFS(B8576&lt;=5,"Night (0-5)",B8576&lt;=9,"Morning peak (6-9)",B8576&lt;=15,"Midday (10-15)",B8576&lt;=19,"Evening peak (16-19)",TRUE,"Late evening (20-23)")</f>
        <v>Evening peak (16-19)</v>
      </c>
    </row>
    <row r="8577" spans="1:9">
      <c r="A8577" s="32">
        <v>42179</v>
      </c>
      <c r="B8577">
        <v>18</v>
      </c>
      <c r="C8577">
        <v>6380</v>
      </c>
      <c r="D8577" t="s">
        <v>304</v>
      </c>
      <c r="E8577">
        <f>YEAR(A8577)</f>
        <v>2015</v>
      </c>
      <c r="F8577" s="33">
        <f>DATE(YEAR(A8577),MONTH(A8577),1)</f>
        <v>42156.0</v>
      </c>
      <c r="G8577" t="str">
        <f>CHOOSE(WEEKDAY(A8577,2),"Mon","Tue","Wed","Thu","Fri","Sat","Sun")</f>
        <v>Wed</v>
      </c>
      <c r="H8577" t="str">
        <f>IF(WEEKDAY(A8577,2)&gt;5,"Weekend","Weekday")</f>
        <v>Weekday</v>
      </c>
      <c r="I8577" t="str">
        <f>_xlfn.IFS(B8577&lt;=5,"Night (0-5)",B8577&lt;=9,"Morning peak (6-9)",B8577&lt;=15,"Midday (10-15)",B8577&lt;=19,"Evening peak (16-19)",TRUE,"Late evening (20-23)")</f>
        <v>Evening peak (16-19)</v>
      </c>
    </row>
    <row r="8578" spans="1:9">
      <c r="A8578" s="32">
        <v>42179</v>
      </c>
      <c r="B8578">
        <v>19</v>
      </c>
      <c r="C8578">
        <v>6269</v>
      </c>
      <c r="D8578" t="s">
        <v>304</v>
      </c>
      <c r="E8578">
        <f>YEAR(A8578)</f>
        <v>2015</v>
      </c>
      <c r="F8578" s="33">
        <f>DATE(YEAR(A8578),MONTH(A8578),1)</f>
        <v>42156.0</v>
      </c>
      <c r="G8578" t="str">
        <f>CHOOSE(WEEKDAY(A8578,2),"Mon","Tue","Wed","Thu","Fri","Sat","Sun")</f>
        <v>Wed</v>
      </c>
      <c r="H8578" t="str">
        <f>IF(WEEKDAY(A8578,2)&gt;5,"Weekend","Weekday")</f>
        <v>Weekday</v>
      </c>
      <c r="I8578" t="str">
        <f>_xlfn.IFS(B8578&lt;=5,"Night (0-5)",B8578&lt;=9,"Morning peak (6-9)",B8578&lt;=15,"Midday (10-15)",B8578&lt;=19,"Evening peak (16-19)",TRUE,"Late evening (20-23)")</f>
        <v>Evening peak (16-19)</v>
      </c>
    </row>
    <row r="8579" spans="1:9">
      <c r="A8579" s="32">
        <v>42179</v>
      </c>
      <c r="B8579">
        <v>20</v>
      </c>
      <c r="C8579">
        <v>5702</v>
      </c>
      <c r="D8579" t="s">
        <v>304</v>
      </c>
      <c r="E8579">
        <f>YEAR(A8579)</f>
        <v>2015</v>
      </c>
      <c r="F8579" s="33">
        <f>DATE(YEAR(A8579),MONTH(A8579),1)</f>
        <v>42156.0</v>
      </c>
      <c r="G8579" t="str">
        <f>CHOOSE(WEEKDAY(A8579,2),"Mon","Tue","Wed","Thu","Fri","Sat","Sun")</f>
        <v>Wed</v>
      </c>
      <c r="H8579" t="str">
        <f>IF(WEEKDAY(A8579,2)&gt;5,"Weekend","Weekday")</f>
        <v>Weekday</v>
      </c>
      <c r="I8579" t="str">
        <f>_xlfn.IFS(B8579&lt;=5,"Night (0-5)",B8579&lt;=9,"Morning peak (6-9)",B8579&lt;=15,"Midday (10-15)",B8579&lt;=19,"Evening peak (16-19)",TRUE,"Late evening (20-23)")</f>
        <v>Late evening (20-23)</v>
      </c>
    </row>
    <row r="8580" spans="1:9">
      <c r="A8580" s="32">
        <v>42179</v>
      </c>
      <c r="B8580">
        <v>21</v>
      </c>
      <c r="C8580">
        <v>6387</v>
      </c>
      <c r="D8580" t="s">
        <v>304</v>
      </c>
      <c r="E8580">
        <f>YEAR(A8580)</f>
        <v>2015</v>
      </c>
      <c r="F8580" s="33">
        <f>DATE(YEAR(A8580),MONTH(A8580),1)</f>
        <v>42156.0</v>
      </c>
      <c r="G8580" t="str">
        <f>CHOOSE(WEEKDAY(A8580,2),"Mon","Tue","Wed","Thu","Fri","Sat","Sun")</f>
        <v>Wed</v>
      </c>
      <c r="H8580" t="str">
        <f>IF(WEEKDAY(A8580,2)&gt;5,"Weekend","Weekday")</f>
        <v>Weekday</v>
      </c>
      <c r="I8580" t="str">
        <f>_xlfn.IFS(B8580&lt;=5,"Night (0-5)",B8580&lt;=9,"Morning peak (6-9)",B8580&lt;=15,"Midday (10-15)",B8580&lt;=19,"Evening peak (16-19)",TRUE,"Late evening (20-23)")</f>
        <v>Late evening (20-23)</v>
      </c>
    </row>
    <row r="8581" spans="1:9">
      <c r="A8581" s="32">
        <v>42179</v>
      </c>
      <c r="B8581">
        <v>22</v>
      </c>
      <c r="C8581">
        <v>6491</v>
      </c>
      <c r="D8581" t="s">
        <v>304</v>
      </c>
      <c r="E8581">
        <f>YEAR(A8581)</f>
        <v>2015</v>
      </c>
      <c r="F8581" s="33">
        <f>DATE(YEAR(A8581),MONTH(A8581),1)</f>
        <v>42156.0</v>
      </c>
      <c r="G8581" t="str">
        <f>CHOOSE(WEEKDAY(A8581,2),"Mon","Tue","Wed","Thu","Fri","Sat","Sun")</f>
        <v>Wed</v>
      </c>
      <c r="H8581" t="str">
        <f>IF(WEEKDAY(A8581,2)&gt;5,"Weekend","Weekday")</f>
        <v>Weekday</v>
      </c>
      <c r="I8581" t="str">
        <f>_xlfn.IFS(B8581&lt;=5,"Night (0-5)",B8581&lt;=9,"Morning peak (6-9)",B8581&lt;=15,"Midday (10-15)",B8581&lt;=19,"Evening peak (16-19)",TRUE,"Late evening (20-23)")</f>
        <v>Late evening (20-23)</v>
      </c>
    </row>
    <row r="8582" spans="1:9">
      <c r="A8582" s="32">
        <v>42179</v>
      </c>
      <c r="B8582">
        <v>23</v>
      </c>
      <c r="C8582">
        <v>5742</v>
      </c>
      <c r="D8582" t="s">
        <v>304</v>
      </c>
      <c r="E8582">
        <f>YEAR(A8582)</f>
        <v>2015</v>
      </c>
      <c r="F8582" s="33">
        <f>DATE(YEAR(A8582),MONTH(A8582),1)</f>
        <v>42156.0</v>
      </c>
      <c r="G8582" t="str">
        <f>CHOOSE(WEEKDAY(A8582,2),"Mon","Tue","Wed","Thu","Fri","Sat","Sun")</f>
        <v>Wed</v>
      </c>
      <c r="H8582" t="str">
        <f>IF(WEEKDAY(A8582,2)&gt;5,"Weekend","Weekday")</f>
        <v>Weekday</v>
      </c>
      <c r="I8582" t="str">
        <f>_xlfn.IFS(B8582&lt;=5,"Night (0-5)",B8582&lt;=9,"Morning peak (6-9)",B8582&lt;=15,"Midday (10-15)",B8582&lt;=19,"Evening peak (16-19)",TRUE,"Late evening (20-23)")</f>
        <v>Late evening (20-23)</v>
      </c>
    </row>
    <row r="8583" spans="1:9">
      <c r="A8583" s="32">
        <v>42180</v>
      </c>
      <c r="B8583">
        <v>0</v>
      </c>
      <c r="C8583">
        <v>3470</v>
      </c>
      <c r="D8583" t="s">
        <v>304</v>
      </c>
      <c r="E8583">
        <f>YEAR(A8583)</f>
        <v>2015</v>
      </c>
      <c r="F8583" s="33">
        <f>DATE(YEAR(A8583),MONTH(A8583),1)</f>
        <v>42156.0</v>
      </c>
      <c r="G8583" t="str">
        <f>CHOOSE(WEEKDAY(A8583,2),"Mon","Tue","Wed","Thu","Fri","Sat","Sun")</f>
        <v>Thu</v>
      </c>
      <c r="H8583" t="str">
        <f>IF(WEEKDAY(A8583,2)&gt;5,"Weekend","Weekday")</f>
        <v>Weekday</v>
      </c>
      <c r="I8583" t="str">
        <f>_xlfn.IFS(B8583&lt;=5,"Night (0-5)",B8583&lt;=9,"Morning peak (6-9)",B8583&lt;=15,"Midday (10-15)",B8583&lt;=19,"Evening peak (16-19)",TRUE,"Late evening (20-23)")</f>
        <v>Night (0-5)</v>
      </c>
    </row>
    <row r="8584" spans="1:9">
      <c r="A8584" s="32">
        <v>42180</v>
      </c>
      <c r="B8584">
        <v>1</v>
      </c>
      <c r="C8584">
        <v>1791</v>
      </c>
      <c r="D8584" t="s">
        <v>304</v>
      </c>
      <c r="E8584">
        <f>YEAR(A8584)</f>
        <v>2015</v>
      </c>
      <c r="F8584" s="33">
        <f>DATE(YEAR(A8584),MONTH(A8584),1)</f>
        <v>42156.0</v>
      </c>
      <c r="G8584" t="str">
        <f>CHOOSE(WEEKDAY(A8584,2),"Mon","Tue","Wed","Thu","Fri","Sat","Sun")</f>
        <v>Thu</v>
      </c>
      <c r="H8584" t="str">
        <f>IF(WEEKDAY(A8584,2)&gt;5,"Weekend","Weekday")</f>
        <v>Weekday</v>
      </c>
      <c r="I8584" t="str">
        <f>_xlfn.IFS(B8584&lt;=5,"Night (0-5)",B8584&lt;=9,"Morning peak (6-9)",B8584&lt;=15,"Midday (10-15)",B8584&lt;=19,"Evening peak (16-19)",TRUE,"Late evening (20-23)")</f>
        <v>Night (0-5)</v>
      </c>
    </row>
    <row r="8585" spans="1:9">
      <c r="A8585" s="32">
        <v>42180</v>
      </c>
      <c r="B8585">
        <v>2</v>
      </c>
      <c r="C8585">
        <v>1123</v>
      </c>
      <c r="D8585" t="s">
        <v>304</v>
      </c>
      <c r="E8585">
        <f>YEAR(A8585)</f>
        <v>2015</v>
      </c>
      <c r="F8585" s="33">
        <f>DATE(YEAR(A8585),MONTH(A8585),1)</f>
        <v>42156.0</v>
      </c>
      <c r="G8585" t="str">
        <f>CHOOSE(WEEKDAY(A8585,2),"Mon","Tue","Wed","Thu","Fri","Sat","Sun")</f>
        <v>Thu</v>
      </c>
      <c r="H8585" t="str">
        <f>IF(WEEKDAY(A8585,2)&gt;5,"Weekend","Weekday")</f>
        <v>Weekday</v>
      </c>
      <c r="I8585" t="str">
        <f>_xlfn.IFS(B8585&lt;=5,"Night (0-5)",B8585&lt;=9,"Morning peak (6-9)",B8585&lt;=15,"Midday (10-15)",B8585&lt;=19,"Evening peak (16-19)",TRUE,"Late evening (20-23)")</f>
        <v>Night (0-5)</v>
      </c>
    </row>
    <row r="8586" spans="1:9">
      <c r="A8586" s="32">
        <v>42180</v>
      </c>
      <c r="B8586">
        <v>3</v>
      </c>
      <c r="C8586">
        <v>790</v>
      </c>
      <c r="D8586" t="s">
        <v>304</v>
      </c>
      <c r="E8586">
        <f>YEAR(A8586)</f>
        <v>2015</v>
      </c>
      <c r="F8586" s="33">
        <f>DATE(YEAR(A8586),MONTH(A8586),1)</f>
        <v>42156.0</v>
      </c>
      <c r="G8586" t="str">
        <f>CHOOSE(WEEKDAY(A8586,2),"Mon","Tue","Wed","Thu","Fri","Sat","Sun")</f>
        <v>Thu</v>
      </c>
      <c r="H8586" t="str">
        <f>IF(WEEKDAY(A8586,2)&gt;5,"Weekend","Weekday")</f>
        <v>Weekday</v>
      </c>
      <c r="I8586" t="str">
        <f>_xlfn.IFS(B8586&lt;=5,"Night (0-5)",B8586&lt;=9,"Morning peak (6-9)",B8586&lt;=15,"Midday (10-15)",B8586&lt;=19,"Evening peak (16-19)",TRUE,"Late evening (20-23)")</f>
        <v>Night (0-5)</v>
      </c>
    </row>
    <row r="8587" spans="1:9">
      <c r="A8587" s="32">
        <v>42180</v>
      </c>
      <c r="B8587">
        <v>4</v>
      </c>
      <c r="C8587">
        <v>888</v>
      </c>
      <c r="D8587" t="s">
        <v>304</v>
      </c>
      <c r="E8587">
        <f>YEAR(A8587)</f>
        <v>2015</v>
      </c>
      <c r="F8587" s="33">
        <f>DATE(YEAR(A8587),MONTH(A8587),1)</f>
        <v>42156.0</v>
      </c>
      <c r="G8587" t="str">
        <f>CHOOSE(WEEKDAY(A8587,2),"Mon","Tue","Wed","Thu","Fri","Sat","Sun")</f>
        <v>Thu</v>
      </c>
      <c r="H8587" t="str">
        <f>IF(WEEKDAY(A8587,2)&gt;5,"Weekend","Weekday")</f>
        <v>Weekday</v>
      </c>
      <c r="I8587" t="str">
        <f>_xlfn.IFS(B8587&lt;=5,"Night (0-5)",B8587&lt;=9,"Morning peak (6-9)",B8587&lt;=15,"Midday (10-15)",B8587&lt;=19,"Evening peak (16-19)",TRUE,"Late evening (20-23)")</f>
        <v>Night (0-5)</v>
      </c>
    </row>
    <row r="8588" spans="1:9">
      <c r="A8588" s="32">
        <v>42180</v>
      </c>
      <c r="B8588">
        <v>5</v>
      </c>
      <c r="C8588">
        <v>1376</v>
      </c>
      <c r="D8588" t="s">
        <v>304</v>
      </c>
      <c r="E8588">
        <f>YEAR(A8588)</f>
        <v>2015</v>
      </c>
      <c r="F8588" s="33">
        <f>DATE(YEAR(A8588),MONTH(A8588),1)</f>
        <v>42156.0</v>
      </c>
      <c r="G8588" t="str">
        <f>CHOOSE(WEEKDAY(A8588,2),"Mon","Tue","Wed","Thu","Fri","Sat","Sun")</f>
        <v>Thu</v>
      </c>
      <c r="H8588" t="str">
        <f>IF(WEEKDAY(A8588,2)&gt;5,"Weekend","Weekday")</f>
        <v>Weekday</v>
      </c>
      <c r="I8588" t="str">
        <f>_xlfn.IFS(B8588&lt;=5,"Night (0-5)",B8588&lt;=9,"Morning peak (6-9)",B8588&lt;=15,"Midday (10-15)",B8588&lt;=19,"Evening peak (16-19)",TRUE,"Late evening (20-23)")</f>
        <v>Night (0-5)</v>
      </c>
    </row>
    <row r="8589" spans="1:9">
      <c r="A8589" s="32">
        <v>42180</v>
      </c>
      <c r="B8589">
        <v>6</v>
      </c>
      <c r="C8589">
        <v>2267</v>
      </c>
      <c r="D8589" t="s">
        <v>304</v>
      </c>
      <c r="E8589">
        <f>YEAR(A8589)</f>
        <v>2015</v>
      </c>
      <c r="F8589" s="33">
        <f>DATE(YEAR(A8589),MONTH(A8589),1)</f>
        <v>42156.0</v>
      </c>
      <c r="G8589" t="str">
        <f>CHOOSE(WEEKDAY(A8589,2),"Mon","Tue","Wed","Thu","Fri","Sat","Sun")</f>
        <v>Thu</v>
      </c>
      <c r="H8589" t="str">
        <f>IF(WEEKDAY(A8589,2)&gt;5,"Weekend","Weekday")</f>
        <v>Weekday</v>
      </c>
      <c r="I8589" t="str">
        <f>_xlfn.IFS(B8589&lt;=5,"Night (0-5)",B8589&lt;=9,"Morning peak (6-9)",B8589&lt;=15,"Midday (10-15)",B8589&lt;=19,"Evening peak (16-19)",TRUE,"Late evening (20-23)")</f>
        <v>Morning peak (6-9)</v>
      </c>
    </row>
    <row r="8590" spans="1:9">
      <c r="A8590" s="32">
        <v>42180</v>
      </c>
      <c r="B8590">
        <v>7</v>
      </c>
      <c r="C8590">
        <v>3558</v>
      </c>
      <c r="D8590" t="s">
        <v>304</v>
      </c>
      <c r="E8590">
        <f>YEAR(A8590)</f>
        <v>2015</v>
      </c>
      <c r="F8590" s="33">
        <f>DATE(YEAR(A8590),MONTH(A8590),1)</f>
        <v>42156.0</v>
      </c>
      <c r="G8590" t="str">
        <f>CHOOSE(WEEKDAY(A8590,2),"Mon","Tue","Wed","Thu","Fri","Sat","Sun")</f>
        <v>Thu</v>
      </c>
      <c r="H8590" t="str">
        <f>IF(WEEKDAY(A8590,2)&gt;5,"Weekend","Weekday")</f>
        <v>Weekday</v>
      </c>
      <c r="I8590" t="str">
        <f>_xlfn.IFS(B8590&lt;=5,"Night (0-5)",B8590&lt;=9,"Morning peak (6-9)",B8590&lt;=15,"Midday (10-15)",B8590&lt;=19,"Evening peak (16-19)",TRUE,"Late evening (20-23)")</f>
        <v>Morning peak (6-9)</v>
      </c>
    </row>
    <row r="8591" spans="1:9">
      <c r="A8591" s="32">
        <v>42180</v>
      </c>
      <c r="B8591">
        <v>8</v>
      </c>
      <c r="C8591">
        <v>4795</v>
      </c>
      <c r="D8591" t="s">
        <v>304</v>
      </c>
      <c r="E8591">
        <f>YEAR(A8591)</f>
        <v>2015</v>
      </c>
      <c r="F8591" s="33">
        <f>DATE(YEAR(A8591),MONTH(A8591),1)</f>
        <v>42156.0</v>
      </c>
      <c r="G8591" t="str">
        <f>CHOOSE(WEEKDAY(A8591,2),"Mon","Tue","Wed","Thu","Fri","Sat","Sun")</f>
        <v>Thu</v>
      </c>
      <c r="H8591" t="str">
        <f>IF(WEEKDAY(A8591,2)&gt;5,"Weekend","Weekday")</f>
        <v>Weekday</v>
      </c>
      <c r="I8591" t="str">
        <f>_xlfn.IFS(B8591&lt;=5,"Night (0-5)",B8591&lt;=9,"Morning peak (6-9)",B8591&lt;=15,"Midday (10-15)",B8591&lt;=19,"Evening peak (16-19)",TRUE,"Late evening (20-23)")</f>
        <v>Morning peak (6-9)</v>
      </c>
    </row>
    <row r="8592" spans="1:9">
      <c r="A8592" s="32">
        <v>42180</v>
      </c>
      <c r="B8592">
        <v>9</v>
      </c>
      <c r="C8592">
        <v>4584</v>
      </c>
      <c r="D8592" t="s">
        <v>304</v>
      </c>
      <c r="E8592">
        <f>YEAR(A8592)</f>
        <v>2015</v>
      </c>
      <c r="F8592" s="33">
        <f>DATE(YEAR(A8592),MONTH(A8592),1)</f>
        <v>42156.0</v>
      </c>
      <c r="G8592" t="str">
        <f>CHOOSE(WEEKDAY(A8592,2),"Mon","Tue","Wed","Thu","Fri","Sat","Sun")</f>
        <v>Thu</v>
      </c>
      <c r="H8592" t="str">
        <f>IF(WEEKDAY(A8592,2)&gt;5,"Weekend","Weekday")</f>
        <v>Weekday</v>
      </c>
      <c r="I8592" t="str">
        <f>_xlfn.IFS(B8592&lt;=5,"Night (0-5)",B8592&lt;=9,"Morning peak (6-9)",B8592&lt;=15,"Midday (10-15)",B8592&lt;=19,"Evening peak (16-19)",TRUE,"Late evening (20-23)")</f>
        <v>Morning peak (6-9)</v>
      </c>
    </row>
    <row r="8593" spans="1:9">
      <c r="A8593" s="32">
        <v>42180</v>
      </c>
      <c r="B8593">
        <v>10</v>
      </c>
      <c r="C8593">
        <v>3564</v>
      </c>
      <c r="D8593" t="s">
        <v>304</v>
      </c>
      <c r="E8593">
        <f>YEAR(A8593)</f>
        <v>2015</v>
      </c>
      <c r="F8593" s="33">
        <f>DATE(YEAR(A8593),MONTH(A8593),1)</f>
        <v>42156.0</v>
      </c>
      <c r="G8593" t="str">
        <f>CHOOSE(WEEKDAY(A8593,2),"Mon","Tue","Wed","Thu","Fri","Sat","Sun")</f>
        <v>Thu</v>
      </c>
      <c r="H8593" t="str">
        <f>IF(WEEKDAY(A8593,2)&gt;5,"Weekend","Weekday")</f>
        <v>Weekday</v>
      </c>
      <c r="I8593" t="str">
        <f>_xlfn.IFS(B8593&lt;=5,"Night (0-5)",B8593&lt;=9,"Morning peak (6-9)",B8593&lt;=15,"Midday (10-15)",B8593&lt;=19,"Evening peak (16-19)",TRUE,"Late evening (20-23)")</f>
        <v>Midday (10-15)</v>
      </c>
    </row>
    <row r="8594" spans="1:9">
      <c r="A8594" s="32">
        <v>42180</v>
      </c>
      <c r="B8594">
        <v>11</v>
      </c>
      <c r="C8594">
        <v>3471</v>
      </c>
      <c r="D8594" t="s">
        <v>304</v>
      </c>
      <c r="E8594">
        <f>YEAR(A8594)</f>
        <v>2015</v>
      </c>
      <c r="F8594" s="33">
        <f>DATE(YEAR(A8594),MONTH(A8594),1)</f>
        <v>42156.0</v>
      </c>
      <c r="G8594" t="str">
        <f>CHOOSE(WEEKDAY(A8594,2),"Mon","Tue","Wed","Thu","Fri","Sat","Sun")</f>
        <v>Thu</v>
      </c>
      <c r="H8594" t="str">
        <f>IF(WEEKDAY(A8594,2)&gt;5,"Weekend","Weekday")</f>
        <v>Weekday</v>
      </c>
      <c r="I8594" t="str">
        <f>_xlfn.IFS(B8594&lt;=5,"Night (0-5)",B8594&lt;=9,"Morning peak (6-9)",B8594&lt;=15,"Midday (10-15)",B8594&lt;=19,"Evening peak (16-19)",TRUE,"Late evening (20-23)")</f>
        <v>Midday (10-15)</v>
      </c>
    </row>
    <row r="8595" spans="1:9">
      <c r="A8595" s="32">
        <v>42180</v>
      </c>
      <c r="B8595">
        <v>12</v>
      </c>
      <c r="C8595">
        <v>3477</v>
      </c>
      <c r="D8595" t="s">
        <v>304</v>
      </c>
      <c r="E8595">
        <f>YEAR(A8595)</f>
        <v>2015</v>
      </c>
      <c r="F8595" s="33">
        <f>DATE(YEAR(A8595),MONTH(A8595),1)</f>
        <v>42156.0</v>
      </c>
      <c r="G8595" t="str">
        <f>CHOOSE(WEEKDAY(A8595,2),"Mon","Tue","Wed","Thu","Fri","Sat","Sun")</f>
        <v>Thu</v>
      </c>
      <c r="H8595" t="str">
        <f>IF(WEEKDAY(A8595,2)&gt;5,"Weekend","Weekday")</f>
        <v>Weekday</v>
      </c>
      <c r="I8595" t="str">
        <f>_xlfn.IFS(B8595&lt;=5,"Night (0-5)",B8595&lt;=9,"Morning peak (6-9)",B8595&lt;=15,"Midday (10-15)",B8595&lt;=19,"Evening peak (16-19)",TRUE,"Late evening (20-23)")</f>
        <v>Midday (10-15)</v>
      </c>
    </row>
    <row r="8596" spans="1:9">
      <c r="A8596" s="32">
        <v>42180</v>
      </c>
      <c r="B8596">
        <v>13</v>
      </c>
      <c r="C8596">
        <v>3514</v>
      </c>
      <c r="D8596" t="s">
        <v>304</v>
      </c>
      <c r="E8596">
        <f>YEAR(A8596)</f>
        <v>2015</v>
      </c>
      <c r="F8596" s="33">
        <f>DATE(YEAR(A8596),MONTH(A8596),1)</f>
        <v>42156.0</v>
      </c>
      <c r="G8596" t="str">
        <f>CHOOSE(WEEKDAY(A8596,2),"Mon","Tue","Wed","Thu","Fri","Sat","Sun")</f>
        <v>Thu</v>
      </c>
      <c r="H8596" t="str">
        <f>IF(WEEKDAY(A8596,2)&gt;5,"Weekend","Weekday")</f>
        <v>Weekday</v>
      </c>
      <c r="I8596" t="str">
        <f>_xlfn.IFS(B8596&lt;=5,"Night (0-5)",B8596&lt;=9,"Morning peak (6-9)",B8596&lt;=15,"Midday (10-15)",B8596&lt;=19,"Evening peak (16-19)",TRUE,"Late evening (20-23)")</f>
        <v>Midday (10-15)</v>
      </c>
    </row>
    <row r="8597" spans="1:9">
      <c r="A8597" s="32">
        <v>42180</v>
      </c>
      <c r="B8597">
        <v>14</v>
      </c>
      <c r="C8597">
        <v>3858</v>
      </c>
      <c r="D8597" t="s">
        <v>304</v>
      </c>
      <c r="E8597">
        <f>YEAR(A8597)</f>
        <v>2015</v>
      </c>
      <c r="F8597" s="33">
        <f>DATE(YEAR(A8597),MONTH(A8597),1)</f>
        <v>42156.0</v>
      </c>
      <c r="G8597" t="str">
        <f>CHOOSE(WEEKDAY(A8597,2),"Mon","Tue","Wed","Thu","Fri","Sat","Sun")</f>
        <v>Thu</v>
      </c>
      <c r="H8597" t="str">
        <f>IF(WEEKDAY(A8597,2)&gt;5,"Weekend","Weekday")</f>
        <v>Weekday</v>
      </c>
      <c r="I8597" t="str">
        <f>_xlfn.IFS(B8597&lt;=5,"Night (0-5)",B8597&lt;=9,"Morning peak (6-9)",B8597&lt;=15,"Midday (10-15)",B8597&lt;=19,"Evening peak (16-19)",TRUE,"Late evening (20-23)")</f>
        <v>Midday (10-15)</v>
      </c>
    </row>
    <row r="8598" spans="1:9">
      <c r="A8598" s="32">
        <v>42180</v>
      </c>
      <c r="B8598">
        <v>15</v>
      </c>
      <c r="C8598">
        <v>4388</v>
      </c>
      <c r="D8598" t="s">
        <v>304</v>
      </c>
      <c r="E8598">
        <f>YEAR(A8598)</f>
        <v>2015</v>
      </c>
      <c r="F8598" s="33">
        <f>DATE(YEAR(A8598),MONTH(A8598),1)</f>
        <v>42156.0</v>
      </c>
      <c r="G8598" t="str">
        <f>CHOOSE(WEEKDAY(A8598,2),"Mon","Tue","Wed","Thu","Fri","Sat","Sun")</f>
        <v>Thu</v>
      </c>
      <c r="H8598" t="str">
        <f>IF(WEEKDAY(A8598,2)&gt;5,"Weekend","Weekday")</f>
        <v>Weekday</v>
      </c>
      <c r="I8598" t="str">
        <f>_xlfn.IFS(B8598&lt;=5,"Night (0-5)",B8598&lt;=9,"Morning peak (6-9)",B8598&lt;=15,"Midday (10-15)",B8598&lt;=19,"Evening peak (16-19)",TRUE,"Late evening (20-23)")</f>
        <v>Midday (10-15)</v>
      </c>
    </row>
    <row r="8599" spans="1:9">
      <c r="A8599" s="32">
        <v>42180</v>
      </c>
      <c r="B8599">
        <v>16</v>
      </c>
      <c r="C8599">
        <v>4924</v>
      </c>
      <c r="D8599" t="s">
        <v>304</v>
      </c>
      <c r="E8599">
        <f>YEAR(A8599)</f>
        <v>2015</v>
      </c>
      <c r="F8599" s="33">
        <f>DATE(YEAR(A8599),MONTH(A8599),1)</f>
        <v>42156.0</v>
      </c>
      <c r="G8599" t="str">
        <f>CHOOSE(WEEKDAY(A8599,2),"Mon","Tue","Wed","Thu","Fri","Sat","Sun")</f>
        <v>Thu</v>
      </c>
      <c r="H8599" t="str">
        <f>IF(WEEKDAY(A8599,2)&gt;5,"Weekend","Weekday")</f>
        <v>Weekday</v>
      </c>
      <c r="I8599" t="str">
        <f>_xlfn.IFS(B8599&lt;=5,"Night (0-5)",B8599&lt;=9,"Morning peak (6-9)",B8599&lt;=15,"Midday (10-15)",B8599&lt;=19,"Evening peak (16-19)",TRUE,"Late evening (20-23)")</f>
        <v>Evening peak (16-19)</v>
      </c>
    </row>
    <row r="8600" spans="1:9">
      <c r="A8600" s="32">
        <v>42180</v>
      </c>
      <c r="B8600">
        <v>17</v>
      </c>
      <c r="C8600">
        <v>5677</v>
      </c>
      <c r="D8600" t="s">
        <v>304</v>
      </c>
      <c r="E8600">
        <f>YEAR(A8600)</f>
        <v>2015</v>
      </c>
      <c r="F8600" s="33">
        <f>DATE(YEAR(A8600),MONTH(A8600),1)</f>
        <v>42156.0</v>
      </c>
      <c r="G8600" t="str">
        <f>CHOOSE(WEEKDAY(A8600,2),"Mon","Tue","Wed","Thu","Fri","Sat","Sun")</f>
        <v>Thu</v>
      </c>
      <c r="H8600" t="str">
        <f>IF(WEEKDAY(A8600,2)&gt;5,"Weekend","Weekday")</f>
        <v>Weekday</v>
      </c>
      <c r="I8600" t="str">
        <f>_xlfn.IFS(B8600&lt;=5,"Night (0-5)",B8600&lt;=9,"Morning peak (6-9)",B8600&lt;=15,"Midday (10-15)",B8600&lt;=19,"Evening peak (16-19)",TRUE,"Late evening (20-23)")</f>
        <v>Evening peak (16-19)</v>
      </c>
    </row>
    <row r="8601" spans="1:9">
      <c r="A8601" s="32">
        <v>42180</v>
      </c>
      <c r="B8601">
        <v>18</v>
      </c>
      <c r="C8601">
        <v>6672</v>
      </c>
      <c r="D8601" t="s">
        <v>304</v>
      </c>
      <c r="E8601">
        <f>YEAR(A8601)</f>
        <v>2015</v>
      </c>
      <c r="F8601" s="33">
        <f>DATE(YEAR(A8601),MONTH(A8601),1)</f>
        <v>42156.0</v>
      </c>
      <c r="G8601" t="str">
        <f>CHOOSE(WEEKDAY(A8601,2),"Mon","Tue","Wed","Thu","Fri","Sat","Sun")</f>
        <v>Thu</v>
      </c>
      <c r="H8601" t="str">
        <f>IF(WEEKDAY(A8601,2)&gt;5,"Weekend","Weekday")</f>
        <v>Weekday</v>
      </c>
      <c r="I8601" t="str">
        <f>_xlfn.IFS(B8601&lt;=5,"Night (0-5)",B8601&lt;=9,"Morning peak (6-9)",B8601&lt;=15,"Midday (10-15)",B8601&lt;=19,"Evening peak (16-19)",TRUE,"Late evening (20-23)")</f>
        <v>Evening peak (16-19)</v>
      </c>
    </row>
    <row r="8602" spans="1:9">
      <c r="A8602" s="32">
        <v>42180</v>
      </c>
      <c r="B8602">
        <v>19</v>
      </c>
      <c r="C8602">
        <v>7018</v>
      </c>
      <c r="D8602" t="s">
        <v>304</v>
      </c>
      <c r="E8602">
        <f>YEAR(A8602)</f>
        <v>2015</v>
      </c>
      <c r="F8602" s="33">
        <f>DATE(YEAR(A8602),MONTH(A8602),1)</f>
        <v>42156.0</v>
      </c>
      <c r="G8602" t="str">
        <f>CHOOSE(WEEKDAY(A8602,2),"Mon","Tue","Wed","Thu","Fri","Sat","Sun")</f>
        <v>Thu</v>
      </c>
      <c r="H8602" t="str">
        <f>IF(WEEKDAY(A8602,2)&gt;5,"Weekend","Weekday")</f>
        <v>Weekday</v>
      </c>
      <c r="I8602" t="str">
        <f>_xlfn.IFS(B8602&lt;=5,"Night (0-5)",B8602&lt;=9,"Morning peak (6-9)",B8602&lt;=15,"Midday (10-15)",B8602&lt;=19,"Evening peak (16-19)",TRUE,"Late evening (20-23)")</f>
        <v>Evening peak (16-19)</v>
      </c>
    </row>
    <row r="8603" spans="1:9">
      <c r="A8603" s="32">
        <v>42180</v>
      </c>
      <c r="B8603">
        <v>20</v>
      </c>
      <c r="C8603">
        <v>6807</v>
      </c>
      <c r="D8603" t="s">
        <v>304</v>
      </c>
      <c r="E8603">
        <f>YEAR(A8603)</f>
        <v>2015</v>
      </c>
      <c r="F8603" s="33">
        <f>DATE(YEAR(A8603),MONTH(A8603),1)</f>
        <v>42156.0</v>
      </c>
      <c r="G8603" t="str">
        <f>CHOOSE(WEEKDAY(A8603,2),"Mon","Tue","Wed","Thu","Fri","Sat","Sun")</f>
        <v>Thu</v>
      </c>
      <c r="H8603" t="str">
        <f>IF(WEEKDAY(A8603,2)&gt;5,"Weekend","Weekday")</f>
        <v>Weekday</v>
      </c>
      <c r="I8603" t="str">
        <f>_xlfn.IFS(B8603&lt;=5,"Night (0-5)",B8603&lt;=9,"Morning peak (6-9)",B8603&lt;=15,"Midday (10-15)",B8603&lt;=19,"Evening peak (16-19)",TRUE,"Late evening (20-23)")</f>
        <v>Late evening (20-23)</v>
      </c>
    </row>
    <row r="8604" spans="1:9">
      <c r="A8604" s="32">
        <v>42180</v>
      </c>
      <c r="B8604">
        <v>21</v>
      </c>
      <c r="C8604">
        <v>7582</v>
      </c>
      <c r="D8604" t="s">
        <v>304</v>
      </c>
      <c r="E8604">
        <f>YEAR(A8604)</f>
        <v>2015</v>
      </c>
      <c r="F8604" s="33">
        <f>DATE(YEAR(A8604),MONTH(A8604),1)</f>
        <v>42156.0</v>
      </c>
      <c r="G8604" t="str">
        <f>CHOOSE(WEEKDAY(A8604,2),"Mon","Tue","Wed","Thu","Fri","Sat","Sun")</f>
        <v>Thu</v>
      </c>
      <c r="H8604" t="str">
        <f>IF(WEEKDAY(A8604,2)&gt;5,"Weekend","Weekday")</f>
        <v>Weekday</v>
      </c>
      <c r="I8604" t="str">
        <f>_xlfn.IFS(B8604&lt;=5,"Night (0-5)",B8604&lt;=9,"Morning peak (6-9)",B8604&lt;=15,"Midday (10-15)",B8604&lt;=19,"Evening peak (16-19)",TRUE,"Late evening (20-23)")</f>
        <v>Late evening (20-23)</v>
      </c>
    </row>
    <row r="8605" spans="1:9">
      <c r="A8605" s="32">
        <v>42180</v>
      </c>
      <c r="B8605">
        <v>22</v>
      </c>
      <c r="C8605">
        <v>7546</v>
      </c>
      <c r="D8605" t="s">
        <v>304</v>
      </c>
      <c r="E8605">
        <f>YEAR(A8605)</f>
        <v>2015</v>
      </c>
      <c r="F8605" s="33">
        <f>DATE(YEAR(A8605),MONTH(A8605),1)</f>
        <v>42156.0</v>
      </c>
      <c r="G8605" t="str">
        <f>CHOOSE(WEEKDAY(A8605,2),"Mon","Tue","Wed","Thu","Fri","Sat","Sun")</f>
        <v>Thu</v>
      </c>
      <c r="H8605" t="str">
        <f>IF(WEEKDAY(A8605,2)&gt;5,"Weekend","Weekday")</f>
        <v>Weekday</v>
      </c>
      <c r="I8605" t="str">
        <f>_xlfn.IFS(B8605&lt;=5,"Night (0-5)",B8605&lt;=9,"Morning peak (6-9)",B8605&lt;=15,"Midday (10-15)",B8605&lt;=19,"Evening peak (16-19)",TRUE,"Late evening (20-23)")</f>
        <v>Late evening (20-23)</v>
      </c>
    </row>
    <row r="8606" spans="1:9">
      <c r="A8606" s="32">
        <v>42180</v>
      </c>
      <c r="B8606">
        <v>23</v>
      </c>
      <c r="C8606">
        <v>6933</v>
      </c>
      <c r="D8606" t="s">
        <v>304</v>
      </c>
      <c r="E8606">
        <f>YEAR(A8606)</f>
        <v>2015</v>
      </c>
      <c r="F8606" s="33">
        <f>DATE(YEAR(A8606),MONTH(A8606),1)</f>
        <v>42156.0</v>
      </c>
      <c r="G8606" t="str">
        <f>CHOOSE(WEEKDAY(A8606,2),"Mon","Tue","Wed","Thu","Fri","Sat","Sun")</f>
        <v>Thu</v>
      </c>
      <c r="H8606" t="str">
        <f>IF(WEEKDAY(A8606,2)&gt;5,"Weekend","Weekday")</f>
        <v>Weekday</v>
      </c>
      <c r="I8606" t="str">
        <f>_xlfn.IFS(B8606&lt;=5,"Night (0-5)",B8606&lt;=9,"Morning peak (6-9)",B8606&lt;=15,"Midday (10-15)",B8606&lt;=19,"Evening peak (16-19)",TRUE,"Late evening (20-23)")</f>
        <v>Late evening (20-23)</v>
      </c>
    </row>
    <row r="8607" spans="1:9">
      <c r="A8607" s="32">
        <v>42181</v>
      </c>
      <c r="B8607">
        <v>0</v>
      </c>
      <c r="C8607">
        <v>4553</v>
      </c>
      <c r="D8607" t="s">
        <v>304</v>
      </c>
      <c r="E8607">
        <f>YEAR(A8607)</f>
        <v>2015</v>
      </c>
      <c r="F8607" s="33">
        <f>DATE(YEAR(A8607),MONTH(A8607),1)</f>
        <v>42156.0</v>
      </c>
      <c r="G8607" t="str">
        <f>CHOOSE(WEEKDAY(A8607,2),"Mon","Tue","Wed","Thu","Fri","Sat","Sun")</f>
        <v>Fri</v>
      </c>
      <c r="H8607" t="str">
        <f>IF(WEEKDAY(A8607,2)&gt;5,"Weekend","Weekday")</f>
        <v>Weekday</v>
      </c>
      <c r="I8607" t="str">
        <f>_xlfn.IFS(B8607&lt;=5,"Night (0-5)",B8607&lt;=9,"Morning peak (6-9)",B8607&lt;=15,"Midday (10-15)",B8607&lt;=19,"Evening peak (16-19)",TRUE,"Late evening (20-23)")</f>
        <v>Night (0-5)</v>
      </c>
    </row>
    <row r="8608" spans="1:9">
      <c r="A8608" s="32">
        <v>42181</v>
      </c>
      <c r="B8608">
        <v>1</v>
      </c>
      <c r="C8608">
        <v>2607</v>
      </c>
      <c r="D8608" t="s">
        <v>304</v>
      </c>
      <c r="E8608">
        <f>YEAR(A8608)</f>
        <v>2015</v>
      </c>
      <c r="F8608" s="33">
        <f>DATE(YEAR(A8608),MONTH(A8608),1)</f>
        <v>42156.0</v>
      </c>
      <c r="G8608" t="str">
        <f>CHOOSE(WEEKDAY(A8608,2),"Mon","Tue","Wed","Thu","Fri","Sat","Sun")</f>
        <v>Fri</v>
      </c>
      <c r="H8608" t="str">
        <f>IF(WEEKDAY(A8608,2)&gt;5,"Weekend","Weekday")</f>
        <v>Weekday</v>
      </c>
      <c r="I8608" t="str">
        <f>_xlfn.IFS(B8608&lt;=5,"Night (0-5)",B8608&lt;=9,"Morning peak (6-9)",B8608&lt;=15,"Midday (10-15)",B8608&lt;=19,"Evening peak (16-19)",TRUE,"Late evening (20-23)")</f>
        <v>Night (0-5)</v>
      </c>
    </row>
    <row r="8609" spans="1:9">
      <c r="A8609" s="32">
        <v>42181</v>
      </c>
      <c r="B8609">
        <v>2</v>
      </c>
      <c r="C8609">
        <v>1543</v>
      </c>
      <c r="D8609" t="s">
        <v>304</v>
      </c>
      <c r="E8609">
        <f>YEAR(A8609)</f>
        <v>2015</v>
      </c>
      <c r="F8609" s="33">
        <f>DATE(YEAR(A8609),MONTH(A8609),1)</f>
        <v>42156.0</v>
      </c>
      <c r="G8609" t="str">
        <f>CHOOSE(WEEKDAY(A8609,2),"Mon","Tue","Wed","Thu","Fri","Sat","Sun")</f>
        <v>Fri</v>
      </c>
      <c r="H8609" t="str">
        <f>IF(WEEKDAY(A8609,2)&gt;5,"Weekend","Weekday")</f>
        <v>Weekday</v>
      </c>
      <c r="I8609" t="str">
        <f>_xlfn.IFS(B8609&lt;=5,"Night (0-5)",B8609&lt;=9,"Morning peak (6-9)",B8609&lt;=15,"Midday (10-15)",B8609&lt;=19,"Evening peak (16-19)",TRUE,"Late evening (20-23)")</f>
        <v>Night (0-5)</v>
      </c>
    </row>
    <row r="8610" spans="1:9">
      <c r="A8610" s="32">
        <v>42181</v>
      </c>
      <c r="B8610">
        <v>3</v>
      </c>
      <c r="C8610">
        <v>1150</v>
      </c>
      <c r="D8610" t="s">
        <v>304</v>
      </c>
      <c r="E8610">
        <f>YEAR(A8610)</f>
        <v>2015</v>
      </c>
      <c r="F8610" s="33">
        <f>DATE(YEAR(A8610),MONTH(A8610),1)</f>
        <v>42156.0</v>
      </c>
      <c r="G8610" t="str">
        <f>CHOOSE(WEEKDAY(A8610,2),"Mon","Tue","Wed","Thu","Fri","Sat","Sun")</f>
        <v>Fri</v>
      </c>
      <c r="H8610" t="str">
        <f>IF(WEEKDAY(A8610,2)&gt;5,"Weekend","Weekday")</f>
        <v>Weekday</v>
      </c>
      <c r="I8610" t="str">
        <f>_xlfn.IFS(B8610&lt;=5,"Night (0-5)",B8610&lt;=9,"Morning peak (6-9)",B8610&lt;=15,"Midday (10-15)",B8610&lt;=19,"Evening peak (16-19)",TRUE,"Late evening (20-23)")</f>
        <v>Night (0-5)</v>
      </c>
    </row>
    <row r="8611" spans="1:9">
      <c r="A8611" s="32">
        <v>42181</v>
      </c>
      <c r="B8611">
        <v>4</v>
      </c>
      <c r="C8611">
        <v>1186</v>
      </c>
      <c r="D8611" t="s">
        <v>304</v>
      </c>
      <c r="E8611">
        <f>YEAR(A8611)</f>
        <v>2015</v>
      </c>
      <c r="F8611" s="33">
        <f>DATE(YEAR(A8611),MONTH(A8611),1)</f>
        <v>42156.0</v>
      </c>
      <c r="G8611" t="str">
        <f>CHOOSE(WEEKDAY(A8611,2),"Mon","Tue","Wed","Thu","Fri","Sat","Sun")</f>
        <v>Fri</v>
      </c>
      <c r="H8611" t="str">
        <f>IF(WEEKDAY(A8611,2)&gt;5,"Weekend","Weekday")</f>
        <v>Weekday</v>
      </c>
      <c r="I8611" t="str">
        <f>_xlfn.IFS(B8611&lt;=5,"Night (0-5)",B8611&lt;=9,"Morning peak (6-9)",B8611&lt;=15,"Midday (10-15)",B8611&lt;=19,"Evening peak (16-19)",TRUE,"Late evening (20-23)")</f>
        <v>Night (0-5)</v>
      </c>
    </row>
    <row r="8612" spans="1:9">
      <c r="A8612" s="32">
        <v>42181</v>
      </c>
      <c r="B8612">
        <v>5</v>
      </c>
      <c r="C8612">
        <v>1515</v>
      </c>
      <c r="D8612" t="s">
        <v>304</v>
      </c>
      <c r="E8612">
        <f>YEAR(A8612)</f>
        <v>2015</v>
      </c>
      <c r="F8612" s="33">
        <f>DATE(YEAR(A8612),MONTH(A8612),1)</f>
        <v>42156.0</v>
      </c>
      <c r="G8612" t="str">
        <f>CHOOSE(WEEKDAY(A8612,2),"Mon","Tue","Wed","Thu","Fri","Sat","Sun")</f>
        <v>Fri</v>
      </c>
      <c r="H8612" t="str">
        <f>IF(WEEKDAY(A8612,2)&gt;5,"Weekend","Weekday")</f>
        <v>Weekday</v>
      </c>
      <c r="I8612" t="str">
        <f>_xlfn.IFS(B8612&lt;=5,"Night (0-5)",B8612&lt;=9,"Morning peak (6-9)",B8612&lt;=15,"Midday (10-15)",B8612&lt;=19,"Evening peak (16-19)",TRUE,"Late evening (20-23)")</f>
        <v>Night (0-5)</v>
      </c>
    </row>
    <row r="8613" spans="1:9">
      <c r="A8613" s="32">
        <v>42181</v>
      </c>
      <c r="B8613">
        <v>6</v>
      </c>
      <c r="C8613">
        <v>2208</v>
      </c>
      <c r="D8613" t="s">
        <v>304</v>
      </c>
      <c r="E8613">
        <f>YEAR(A8613)</f>
        <v>2015</v>
      </c>
      <c r="F8613" s="33">
        <f>DATE(YEAR(A8613),MONTH(A8613),1)</f>
        <v>42156.0</v>
      </c>
      <c r="G8613" t="str">
        <f>CHOOSE(WEEKDAY(A8613,2),"Mon","Tue","Wed","Thu","Fri","Sat","Sun")</f>
        <v>Fri</v>
      </c>
      <c r="H8613" t="str">
        <f>IF(WEEKDAY(A8613,2)&gt;5,"Weekend","Weekday")</f>
        <v>Weekday</v>
      </c>
      <c r="I8613" t="str">
        <f>_xlfn.IFS(B8613&lt;=5,"Night (0-5)",B8613&lt;=9,"Morning peak (6-9)",B8613&lt;=15,"Midday (10-15)",B8613&lt;=19,"Evening peak (16-19)",TRUE,"Late evening (20-23)")</f>
        <v>Morning peak (6-9)</v>
      </c>
    </row>
    <row r="8614" spans="1:9">
      <c r="A8614" s="32">
        <v>42181</v>
      </c>
      <c r="B8614">
        <v>7</v>
      </c>
      <c r="C8614">
        <v>3331</v>
      </c>
      <c r="D8614" t="s">
        <v>304</v>
      </c>
      <c r="E8614">
        <f>YEAR(A8614)</f>
        <v>2015</v>
      </c>
      <c r="F8614" s="33">
        <f>DATE(YEAR(A8614),MONTH(A8614),1)</f>
        <v>42156.0</v>
      </c>
      <c r="G8614" t="str">
        <f>CHOOSE(WEEKDAY(A8614,2),"Mon","Tue","Wed","Thu","Fri","Sat","Sun")</f>
        <v>Fri</v>
      </c>
      <c r="H8614" t="str">
        <f>IF(WEEKDAY(A8614,2)&gt;5,"Weekend","Weekday")</f>
        <v>Weekday</v>
      </c>
      <c r="I8614" t="str">
        <f>_xlfn.IFS(B8614&lt;=5,"Night (0-5)",B8614&lt;=9,"Morning peak (6-9)",B8614&lt;=15,"Midday (10-15)",B8614&lt;=19,"Evening peak (16-19)",TRUE,"Late evening (20-23)")</f>
        <v>Morning peak (6-9)</v>
      </c>
    </row>
    <row r="8615" spans="1:9">
      <c r="A8615" s="32">
        <v>42181</v>
      </c>
      <c r="B8615">
        <v>8</v>
      </c>
      <c r="C8615">
        <v>4550</v>
      </c>
      <c r="D8615" t="s">
        <v>304</v>
      </c>
      <c r="E8615">
        <f>YEAR(A8615)</f>
        <v>2015</v>
      </c>
      <c r="F8615" s="33">
        <f>DATE(YEAR(A8615),MONTH(A8615),1)</f>
        <v>42156.0</v>
      </c>
      <c r="G8615" t="str">
        <f>CHOOSE(WEEKDAY(A8615,2),"Mon","Tue","Wed","Thu","Fri","Sat","Sun")</f>
        <v>Fri</v>
      </c>
      <c r="H8615" t="str">
        <f>IF(WEEKDAY(A8615,2)&gt;5,"Weekend","Weekday")</f>
        <v>Weekday</v>
      </c>
      <c r="I8615" t="str">
        <f>_xlfn.IFS(B8615&lt;=5,"Night (0-5)",B8615&lt;=9,"Morning peak (6-9)",B8615&lt;=15,"Midday (10-15)",B8615&lt;=19,"Evening peak (16-19)",TRUE,"Late evening (20-23)")</f>
        <v>Morning peak (6-9)</v>
      </c>
    </row>
    <row r="8616" spans="1:9">
      <c r="A8616" s="32">
        <v>42181</v>
      </c>
      <c r="B8616">
        <v>9</v>
      </c>
      <c r="C8616">
        <v>4399</v>
      </c>
      <c r="D8616" t="s">
        <v>304</v>
      </c>
      <c r="E8616">
        <f>YEAR(A8616)</f>
        <v>2015</v>
      </c>
      <c r="F8616" s="33">
        <f>DATE(YEAR(A8616),MONTH(A8616),1)</f>
        <v>42156.0</v>
      </c>
      <c r="G8616" t="str">
        <f>CHOOSE(WEEKDAY(A8616,2),"Mon","Tue","Wed","Thu","Fri","Sat","Sun")</f>
        <v>Fri</v>
      </c>
      <c r="H8616" t="str">
        <f>IF(WEEKDAY(A8616,2)&gt;5,"Weekend","Weekday")</f>
        <v>Weekday</v>
      </c>
      <c r="I8616" t="str">
        <f>_xlfn.IFS(B8616&lt;=5,"Night (0-5)",B8616&lt;=9,"Morning peak (6-9)",B8616&lt;=15,"Midday (10-15)",B8616&lt;=19,"Evening peak (16-19)",TRUE,"Late evening (20-23)")</f>
        <v>Morning peak (6-9)</v>
      </c>
    </row>
    <row r="8617" spans="1:9">
      <c r="A8617" s="32">
        <v>42181</v>
      </c>
      <c r="B8617">
        <v>10</v>
      </c>
      <c r="C8617">
        <v>3532</v>
      </c>
      <c r="D8617" t="s">
        <v>304</v>
      </c>
      <c r="E8617">
        <f>YEAR(A8617)</f>
        <v>2015</v>
      </c>
      <c r="F8617" s="33">
        <f>DATE(YEAR(A8617),MONTH(A8617),1)</f>
        <v>42156.0</v>
      </c>
      <c r="G8617" t="str">
        <f>CHOOSE(WEEKDAY(A8617,2),"Mon","Tue","Wed","Thu","Fri","Sat","Sun")</f>
        <v>Fri</v>
      </c>
      <c r="H8617" t="str">
        <f>IF(WEEKDAY(A8617,2)&gt;5,"Weekend","Weekday")</f>
        <v>Weekday</v>
      </c>
      <c r="I8617" t="str">
        <f>_xlfn.IFS(B8617&lt;=5,"Night (0-5)",B8617&lt;=9,"Morning peak (6-9)",B8617&lt;=15,"Midday (10-15)",B8617&lt;=19,"Evening peak (16-19)",TRUE,"Late evening (20-23)")</f>
        <v>Midday (10-15)</v>
      </c>
    </row>
    <row r="8618" spans="1:9">
      <c r="A8618" s="32">
        <v>42181</v>
      </c>
      <c r="B8618">
        <v>11</v>
      </c>
      <c r="C8618">
        <v>3459</v>
      </c>
      <c r="D8618" t="s">
        <v>304</v>
      </c>
      <c r="E8618">
        <f>YEAR(A8618)</f>
        <v>2015</v>
      </c>
      <c r="F8618" s="33">
        <f>DATE(YEAR(A8618),MONTH(A8618),1)</f>
        <v>42156.0</v>
      </c>
      <c r="G8618" t="str">
        <f>CHOOSE(WEEKDAY(A8618,2),"Mon","Tue","Wed","Thu","Fri","Sat","Sun")</f>
        <v>Fri</v>
      </c>
      <c r="H8618" t="str">
        <f>IF(WEEKDAY(A8618,2)&gt;5,"Weekend","Weekday")</f>
        <v>Weekday</v>
      </c>
      <c r="I8618" t="str">
        <f>_xlfn.IFS(B8618&lt;=5,"Night (0-5)",B8618&lt;=9,"Morning peak (6-9)",B8618&lt;=15,"Midday (10-15)",B8618&lt;=19,"Evening peak (16-19)",TRUE,"Late evening (20-23)")</f>
        <v>Midday (10-15)</v>
      </c>
    </row>
    <row r="8619" spans="1:9">
      <c r="A8619" s="32">
        <v>42181</v>
      </c>
      <c r="B8619">
        <v>12</v>
      </c>
      <c r="C8619">
        <v>3627</v>
      </c>
      <c r="D8619" t="s">
        <v>304</v>
      </c>
      <c r="E8619">
        <f>YEAR(A8619)</f>
        <v>2015</v>
      </c>
      <c r="F8619" s="33">
        <f>DATE(YEAR(A8619),MONTH(A8619),1)</f>
        <v>42156.0</v>
      </c>
      <c r="G8619" t="str">
        <f>CHOOSE(WEEKDAY(A8619,2),"Mon","Tue","Wed","Thu","Fri","Sat","Sun")</f>
        <v>Fri</v>
      </c>
      <c r="H8619" t="str">
        <f>IF(WEEKDAY(A8619,2)&gt;5,"Weekend","Weekday")</f>
        <v>Weekday</v>
      </c>
      <c r="I8619" t="str">
        <f>_xlfn.IFS(B8619&lt;=5,"Night (0-5)",B8619&lt;=9,"Morning peak (6-9)",B8619&lt;=15,"Midday (10-15)",B8619&lt;=19,"Evening peak (16-19)",TRUE,"Late evening (20-23)")</f>
        <v>Midday (10-15)</v>
      </c>
    </row>
    <row r="8620" spans="1:9">
      <c r="A8620" s="32">
        <v>42181</v>
      </c>
      <c r="B8620">
        <v>13</v>
      </c>
      <c r="C8620">
        <v>3566</v>
      </c>
      <c r="D8620" t="s">
        <v>304</v>
      </c>
      <c r="E8620">
        <f>YEAR(A8620)</f>
        <v>2015</v>
      </c>
      <c r="F8620" s="33">
        <f>DATE(YEAR(A8620),MONTH(A8620),1)</f>
        <v>42156.0</v>
      </c>
      <c r="G8620" t="str">
        <f>CHOOSE(WEEKDAY(A8620,2),"Mon","Tue","Wed","Thu","Fri","Sat","Sun")</f>
        <v>Fri</v>
      </c>
      <c r="H8620" t="str">
        <f>IF(WEEKDAY(A8620,2)&gt;5,"Weekend","Weekday")</f>
        <v>Weekday</v>
      </c>
      <c r="I8620" t="str">
        <f>_xlfn.IFS(B8620&lt;=5,"Night (0-5)",B8620&lt;=9,"Morning peak (6-9)",B8620&lt;=15,"Midday (10-15)",B8620&lt;=19,"Evening peak (16-19)",TRUE,"Late evening (20-23)")</f>
        <v>Midday (10-15)</v>
      </c>
    </row>
    <row r="8621" spans="1:9">
      <c r="A8621" s="32">
        <v>42181</v>
      </c>
      <c r="B8621">
        <v>14</v>
      </c>
      <c r="C8621">
        <v>4009</v>
      </c>
      <c r="D8621" t="s">
        <v>304</v>
      </c>
      <c r="E8621">
        <f>YEAR(A8621)</f>
        <v>2015</v>
      </c>
      <c r="F8621" s="33">
        <f>DATE(YEAR(A8621),MONTH(A8621),1)</f>
        <v>42156.0</v>
      </c>
      <c r="G8621" t="str">
        <f>CHOOSE(WEEKDAY(A8621,2),"Mon","Tue","Wed","Thu","Fri","Sat","Sun")</f>
        <v>Fri</v>
      </c>
      <c r="H8621" t="str">
        <f>IF(WEEKDAY(A8621,2)&gt;5,"Weekend","Weekday")</f>
        <v>Weekday</v>
      </c>
      <c r="I8621" t="str">
        <f>_xlfn.IFS(B8621&lt;=5,"Night (0-5)",B8621&lt;=9,"Morning peak (6-9)",B8621&lt;=15,"Midday (10-15)",B8621&lt;=19,"Evening peak (16-19)",TRUE,"Late evening (20-23)")</f>
        <v>Midday (10-15)</v>
      </c>
    </row>
    <row r="8622" spans="1:9">
      <c r="A8622" s="32">
        <v>42181</v>
      </c>
      <c r="B8622">
        <v>15</v>
      </c>
      <c r="C8622">
        <v>4372</v>
      </c>
      <c r="D8622" t="s">
        <v>304</v>
      </c>
      <c r="E8622">
        <f>YEAR(A8622)</f>
        <v>2015</v>
      </c>
      <c r="F8622" s="33">
        <f>DATE(YEAR(A8622),MONTH(A8622),1)</f>
        <v>42156.0</v>
      </c>
      <c r="G8622" t="str">
        <f>CHOOSE(WEEKDAY(A8622,2),"Mon","Tue","Wed","Thu","Fri","Sat","Sun")</f>
        <v>Fri</v>
      </c>
      <c r="H8622" t="str">
        <f>IF(WEEKDAY(A8622,2)&gt;5,"Weekend","Weekday")</f>
        <v>Weekday</v>
      </c>
      <c r="I8622" t="str">
        <f>_xlfn.IFS(B8622&lt;=5,"Night (0-5)",B8622&lt;=9,"Morning peak (6-9)",B8622&lt;=15,"Midday (10-15)",B8622&lt;=19,"Evening peak (16-19)",TRUE,"Late evening (20-23)")</f>
        <v>Midday (10-15)</v>
      </c>
    </row>
    <row r="8623" spans="1:9">
      <c r="A8623" s="32">
        <v>42181</v>
      </c>
      <c r="B8623">
        <v>16</v>
      </c>
      <c r="C8623">
        <v>4806</v>
      </c>
      <c r="D8623" t="s">
        <v>304</v>
      </c>
      <c r="E8623">
        <f>YEAR(A8623)</f>
        <v>2015</v>
      </c>
      <c r="F8623" s="33">
        <f>DATE(YEAR(A8623),MONTH(A8623),1)</f>
        <v>42156.0</v>
      </c>
      <c r="G8623" t="str">
        <f>CHOOSE(WEEKDAY(A8623,2),"Mon","Tue","Wed","Thu","Fri","Sat","Sun")</f>
        <v>Fri</v>
      </c>
      <c r="H8623" t="str">
        <f>IF(WEEKDAY(A8623,2)&gt;5,"Weekend","Weekday")</f>
        <v>Weekday</v>
      </c>
      <c r="I8623" t="str">
        <f>_xlfn.IFS(B8623&lt;=5,"Night (0-5)",B8623&lt;=9,"Morning peak (6-9)",B8623&lt;=15,"Midday (10-15)",B8623&lt;=19,"Evening peak (16-19)",TRUE,"Late evening (20-23)")</f>
        <v>Evening peak (16-19)</v>
      </c>
    </row>
    <row r="8624" spans="1:9">
      <c r="A8624" s="32">
        <v>42181</v>
      </c>
      <c r="B8624">
        <v>17</v>
      </c>
      <c r="C8624">
        <v>5310</v>
      </c>
      <c r="D8624" t="s">
        <v>304</v>
      </c>
      <c r="E8624">
        <f>YEAR(A8624)</f>
        <v>2015</v>
      </c>
      <c r="F8624" s="33">
        <f>DATE(YEAR(A8624),MONTH(A8624),1)</f>
        <v>42156.0</v>
      </c>
      <c r="G8624" t="str">
        <f>CHOOSE(WEEKDAY(A8624,2),"Mon","Tue","Wed","Thu","Fri","Sat","Sun")</f>
        <v>Fri</v>
      </c>
      <c r="H8624" t="str">
        <f>IF(WEEKDAY(A8624,2)&gt;5,"Weekend","Weekday")</f>
        <v>Weekday</v>
      </c>
      <c r="I8624" t="str">
        <f>_xlfn.IFS(B8624&lt;=5,"Night (0-5)",B8624&lt;=9,"Morning peak (6-9)",B8624&lt;=15,"Midday (10-15)",B8624&lt;=19,"Evening peak (16-19)",TRUE,"Late evening (20-23)")</f>
        <v>Evening peak (16-19)</v>
      </c>
    </row>
    <row r="8625" spans="1:9">
      <c r="A8625" s="32">
        <v>42181</v>
      </c>
      <c r="B8625">
        <v>18</v>
      </c>
      <c r="C8625">
        <v>6085</v>
      </c>
      <c r="D8625" t="s">
        <v>304</v>
      </c>
      <c r="E8625">
        <f>YEAR(A8625)</f>
        <v>2015</v>
      </c>
      <c r="F8625" s="33">
        <f>DATE(YEAR(A8625),MONTH(A8625),1)</f>
        <v>42156.0</v>
      </c>
      <c r="G8625" t="str">
        <f>CHOOSE(WEEKDAY(A8625,2),"Mon","Tue","Wed","Thu","Fri","Sat","Sun")</f>
        <v>Fri</v>
      </c>
      <c r="H8625" t="str">
        <f>IF(WEEKDAY(A8625,2)&gt;5,"Weekend","Weekday")</f>
        <v>Weekday</v>
      </c>
      <c r="I8625" t="str">
        <f>_xlfn.IFS(B8625&lt;=5,"Night (0-5)",B8625&lt;=9,"Morning peak (6-9)",B8625&lt;=15,"Midday (10-15)",B8625&lt;=19,"Evening peak (16-19)",TRUE,"Late evening (20-23)")</f>
        <v>Evening peak (16-19)</v>
      </c>
    </row>
    <row r="8626" spans="1:9">
      <c r="A8626" s="32">
        <v>42181</v>
      </c>
      <c r="B8626">
        <v>19</v>
      </c>
      <c r="C8626">
        <v>6356</v>
      </c>
      <c r="D8626" t="s">
        <v>304</v>
      </c>
      <c r="E8626">
        <f>YEAR(A8626)</f>
        <v>2015</v>
      </c>
      <c r="F8626" s="33">
        <f>DATE(YEAR(A8626),MONTH(A8626),1)</f>
        <v>42156.0</v>
      </c>
      <c r="G8626" t="str">
        <f>CHOOSE(WEEKDAY(A8626,2),"Mon","Tue","Wed","Thu","Fri","Sat","Sun")</f>
        <v>Fri</v>
      </c>
      <c r="H8626" t="str">
        <f>IF(WEEKDAY(A8626,2)&gt;5,"Weekend","Weekday")</f>
        <v>Weekday</v>
      </c>
      <c r="I8626" t="str">
        <f>_xlfn.IFS(B8626&lt;=5,"Night (0-5)",B8626&lt;=9,"Morning peak (6-9)",B8626&lt;=15,"Midday (10-15)",B8626&lt;=19,"Evening peak (16-19)",TRUE,"Late evening (20-23)")</f>
        <v>Evening peak (16-19)</v>
      </c>
    </row>
    <row r="8627" spans="1:9">
      <c r="A8627" s="32">
        <v>42181</v>
      </c>
      <c r="B8627">
        <v>20</v>
      </c>
      <c r="C8627">
        <v>6026</v>
      </c>
      <c r="D8627" t="s">
        <v>304</v>
      </c>
      <c r="E8627">
        <f>YEAR(A8627)</f>
        <v>2015</v>
      </c>
      <c r="F8627" s="33">
        <f>DATE(YEAR(A8627),MONTH(A8627),1)</f>
        <v>42156.0</v>
      </c>
      <c r="G8627" t="str">
        <f>CHOOSE(WEEKDAY(A8627,2),"Mon","Tue","Wed","Thu","Fri","Sat","Sun")</f>
        <v>Fri</v>
      </c>
      <c r="H8627" t="str">
        <f>IF(WEEKDAY(A8627,2)&gt;5,"Weekend","Weekday")</f>
        <v>Weekday</v>
      </c>
      <c r="I8627" t="str">
        <f>_xlfn.IFS(B8627&lt;=5,"Night (0-5)",B8627&lt;=9,"Morning peak (6-9)",B8627&lt;=15,"Midday (10-15)",B8627&lt;=19,"Evening peak (16-19)",TRUE,"Late evening (20-23)")</f>
        <v>Late evening (20-23)</v>
      </c>
    </row>
    <row r="8628" spans="1:9">
      <c r="A8628" s="32">
        <v>42181</v>
      </c>
      <c r="B8628">
        <v>21</v>
      </c>
      <c r="C8628">
        <v>6187</v>
      </c>
      <c r="D8628" t="s">
        <v>304</v>
      </c>
      <c r="E8628">
        <f>YEAR(A8628)</f>
        <v>2015</v>
      </c>
      <c r="F8628" s="33">
        <f>DATE(YEAR(A8628),MONTH(A8628),1)</f>
        <v>42156.0</v>
      </c>
      <c r="G8628" t="str">
        <f>CHOOSE(WEEKDAY(A8628,2),"Mon","Tue","Wed","Thu","Fri","Sat","Sun")</f>
        <v>Fri</v>
      </c>
      <c r="H8628" t="str">
        <f>IF(WEEKDAY(A8628,2)&gt;5,"Weekend","Weekday")</f>
        <v>Weekday</v>
      </c>
      <c r="I8628" t="str">
        <f>_xlfn.IFS(B8628&lt;=5,"Night (0-5)",B8628&lt;=9,"Morning peak (6-9)",B8628&lt;=15,"Midday (10-15)",B8628&lt;=19,"Evening peak (16-19)",TRUE,"Late evening (20-23)")</f>
        <v>Late evening (20-23)</v>
      </c>
    </row>
    <row r="8629" spans="1:9">
      <c r="A8629" s="32">
        <v>42181</v>
      </c>
      <c r="B8629">
        <v>22</v>
      </c>
      <c r="C8629">
        <v>7275</v>
      </c>
      <c r="D8629" t="s">
        <v>304</v>
      </c>
      <c r="E8629">
        <f>YEAR(A8629)</f>
        <v>2015</v>
      </c>
      <c r="F8629" s="33">
        <f>DATE(YEAR(A8629),MONTH(A8629),1)</f>
        <v>42156.0</v>
      </c>
      <c r="G8629" t="str">
        <f>CHOOSE(WEEKDAY(A8629,2),"Mon","Tue","Wed","Thu","Fri","Sat","Sun")</f>
        <v>Fri</v>
      </c>
      <c r="H8629" t="str">
        <f>IF(WEEKDAY(A8629,2)&gt;5,"Weekend","Weekday")</f>
        <v>Weekday</v>
      </c>
      <c r="I8629" t="str">
        <f>_xlfn.IFS(B8629&lt;=5,"Night (0-5)",B8629&lt;=9,"Morning peak (6-9)",B8629&lt;=15,"Midday (10-15)",B8629&lt;=19,"Evening peak (16-19)",TRUE,"Late evening (20-23)")</f>
        <v>Late evening (20-23)</v>
      </c>
    </row>
    <row r="8630" spans="1:9">
      <c r="A8630" s="32">
        <v>42181</v>
      </c>
      <c r="B8630">
        <v>23</v>
      </c>
      <c r="C8630">
        <v>7856</v>
      </c>
      <c r="D8630" t="s">
        <v>304</v>
      </c>
      <c r="E8630">
        <f>YEAR(A8630)</f>
        <v>2015</v>
      </c>
      <c r="F8630" s="33">
        <f>DATE(YEAR(A8630),MONTH(A8630),1)</f>
        <v>42156.0</v>
      </c>
      <c r="G8630" t="str">
        <f>CHOOSE(WEEKDAY(A8630,2),"Mon","Tue","Wed","Thu","Fri","Sat","Sun")</f>
        <v>Fri</v>
      </c>
      <c r="H8630" t="str">
        <f>IF(WEEKDAY(A8630,2)&gt;5,"Weekend","Weekday")</f>
        <v>Weekday</v>
      </c>
      <c r="I8630" t="str">
        <f>_xlfn.IFS(B8630&lt;=5,"Night (0-5)",B8630&lt;=9,"Morning peak (6-9)",B8630&lt;=15,"Midday (10-15)",B8630&lt;=19,"Evening peak (16-19)",TRUE,"Late evening (20-23)")</f>
        <v>Late evening (20-23)</v>
      </c>
    </row>
    <row r="8631" spans="1:9">
      <c r="A8631" s="32">
        <v>42182</v>
      </c>
      <c r="B8631">
        <v>0</v>
      </c>
      <c r="C8631">
        <v>7588</v>
      </c>
      <c r="D8631" t="s">
        <v>304</v>
      </c>
      <c r="E8631">
        <f>YEAR(A8631)</f>
        <v>2015</v>
      </c>
      <c r="F8631" s="33">
        <f>DATE(YEAR(A8631),MONTH(A8631),1)</f>
        <v>42156.0</v>
      </c>
      <c r="G8631" t="str">
        <f>CHOOSE(WEEKDAY(A8631,2),"Mon","Tue","Wed","Thu","Fri","Sat","Sun")</f>
        <v>Sat</v>
      </c>
      <c r="H8631" t="str">
        <f>IF(WEEKDAY(A8631,2)&gt;5,"Weekend","Weekday")</f>
        <v>Weekend</v>
      </c>
      <c r="I8631" t="str">
        <f>_xlfn.IFS(B8631&lt;=5,"Night (0-5)",B8631&lt;=9,"Morning peak (6-9)",B8631&lt;=15,"Midday (10-15)",B8631&lt;=19,"Evening peak (16-19)",TRUE,"Late evening (20-23)")</f>
        <v>Night (0-5)</v>
      </c>
    </row>
    <row r="8632" spans="1:9">
      <c r="A8632" s="32">
        <v>42182</v>
      </c>
      <c r="B8632">
        <v>1</v>
      </c>
      <c r="C8632">
        <v>5717</v>
      </c>
      <c r="D8632" t="s">
        <v>304</v>
      </c>
      <c r="E8632">
        <f>YEAR(A8632)</f>
        <v>2015</v>
      </c>
      <c r="F8632" s="33">
        <f>DATE(YEAR(A8632),MONTH(A8632),1)</f>
        <v>42156.0</v>
      </c>
      <c r="G8632" t="str">
        <f>CHOOSE(WEEKDAY(A8632,2),"Mon","Tue","Wed","Thu","Fri","Sat","Sun")</f>
        <v>Sat</v>
      </c>
      <c r="H8632" t="str">
        <f>IF(WEEKDAY(A8632,2)&gt;5,"Weekend","Weekday")</f>
        <v>Weekend</v>
      </c>
      <c r="I8632" t="str">
        <f>_xlfn.IFS(B8632&lt;=5,"Night (0-5)",B8632&lt;=9,"Morning peak (6-9)",B8632&lt;=15,"Midday (10-15)",B8632&lt;=19,"Evening peak (16-19)",TRUE,"Late evening (20-23)")</f>
        <v>Night (0-5)</v>
      </c>
    </row>
    <row r="8633" spans="1:9">
      <c r="A8633" s="32">
        <v>42182</v>
      </c>
      <c r="B8633">
        <v>2</v>
      </c>
      <c r="C8633">
        <v>4246</v>
      </c>
      <c r="D8633" t="s">
        <v>304</v>
      </c>
      <c r="E8633">
        <f>YEAR(A8633)</f>
        <v>2015</v>
      </c>
      <c r="F8633" s="33">
        <f>DATE(YEAR(A8633),MONTH(A8633),1)</f>
        <v>42156.0</v>
      </c>
      <c r="G8633" t="str">
        <f>CHOOSE(WEEKDAY(A8633,2),"Mon","Tue","Wed","Thu","Fri","Sat","Sun")</f>
        <v>Sat</v>
      </c>
      <c r="H8633" t="str">
        <f>IF(WEEKDAY(A8633,2)&gt;5,"Weekend","Weekday")</f>
        <v>Weekend</v>
      </c>
      <c r="I8633" t="str">
        <f>_xlfn.IFS(B8633&lt;=5,"Night (0-5)",B8633&lt;=9,"Morning peak (6-9)",B8633&lt;=15,"Midday (10-15)",B8633&lt;=19,"Evening peak (16-19)",TRUE,"Late evening (20-23)")</f>
        <v>Night (0-5)</v>
      </c>
    </row>
    <row r="8634" spans="1:9">
      <c r="A8634" s="32">
        <v>42182</v>
      </c>
      <c r="B8634">
        <v>3</v>
      </c>
      <c r="C8634">
        <v>3350</v>
      </c>
      <c r="D8634" t="s">
        <v>304</v>
      </c>
      <c r="E8634">
        <f>YEAR(A8634)</f>
        <v>2015</v>
      </c>
      <c r="F8634" s="33">
        <f>DATE(YEAR(A8634),MONTH(A8634),1)</f>
        <v>42156.0</v>
      </c>
      <c r="G8634" t="str">
        <f>CHOOSE(WEEKDAY(A8634,2),"Mon","Tue","Wed","Thu","Fri","Sat","Sun")</f>
        <v>Sat</v>
      </c>
      <c r="H8634" t="str">
        <f>IF(WEEKDAY(A8634,2)&gt;5,"Weekend","Weekday")</f>
        <v>Weekend</v>
      </c>
      <c r="I8634" t="str">
        <f>_xlfn.IFS(B8634&lt;=5,"Night (0-5)",B8634&lt;=9,"Morning peak (6-9)",B8634&lt;=15,"Midday (10-15)",B8634&lt;=19,"Evening peak (16-19)",TRUE,"Late evening (20-23)")</f>
        <v>Night (0-5)</v>
      </c>
    </row>
    <row r="8635" spans="1:9">
      <c r="A8635" s="32">
        <v>42182</v>
      </c>
      <c r="B8635">
        <v>4</v>
      </c>
      <c r="C8635">
        <v>2557</v>
      </c>
      <c r="D8635" t="s">
        <v>304</v>
      </c>
      <c r="E8635">
        <f>YEAR(A8635)</f>
        <v>2015</v>
      </c>
      <c r="F8635" s="33">
        <f>DATE(YEAR(A8635),MONTH(A8635),1)</f>
        <v>42156.0</v>
      </c>
      <c r="G8635" t="str">
        <f>CHOOSE(WEEKDAY(A8635,2),"Mon","Tue","Wed","Thu","Fri","Sat","Sun")</f>
        <v>Sat</v>
      </c>
      <c r="H8635" t="str">
        <f>IF(WEEKDAY(A8635,2)&gt;5,"Weekend","Weekday")</f>
        <v>Weekend</v>
      </c>
      <c r="I8635" t="str">
        <f>_xlfn.IFS(B8635&lt;=5,"Night (0-5)",B8635&lt;=9,"Morning peak (6-9)",B8635&lt;=15,"Midday (10-15)",B8635&lt;=19,"Evening peak (16-19)",TRUE,"Late evening (20-23)")</f>
        <v>Night (0-5)</v>
      </c>
    </row>
    <row r="8636" spans="1:9">
      <c r="A8636" s="32">
        <v>42182</v>
      </c>
      <c r="B8636">
        <v>5</v>
      </c>
      <c r="C8636">
        <v>1356</v>
      </c>
      <c r="D8636" t="s">
        <v>304</v>
      </c>
      <c r="E8636">
        <f>YEAR(A8636)</f>
        <v>2015</v>
      </c>
      <c r="F8636" s="33">
        <f>DATE(YEAR(A8636),MONTH(A8636),1)</f>
        <v>42156.0</v>
      </c>
      <c r="G8636" t="str">
        <f>CHOOSE(WEEKDAY(A8636,2),"Mon","Tue","Wed","Thu","Fri","Sat","Sun")</f>
        <v>Sat</v>
      </c>
      <c r="H8636" t="str">
        <f>IF(WEEKDAY(A8636,2)&gt;5,"Weekend","Weekday")</f>
        <v>Weekend</v>
      </c>
      <c r="I8636" t="str">
        <f>_xlfn.IFS(B8636&lt;=5,"Night (0-5)",B8636&lt;=9,"Morning peak (6-9)",B8636&lt;=15,"Midday (10-15)",B8636&lt;=19,"Evening peak (16-19)",TRUE,"Late evening (20-23)")</f>
        <v>Night (0-5)</v>
      </c>
    </row>
    <row r="8637" spans="1:9">
      <c r="A8637" s="32">
        <v>42182</v>
      </c>
      <c r="B8637">
        <v>6</v>
      </c>
      <c r="C8637">
        <v>1353</v>
      </c>
      <c r="D8637" t="s">
        <v>304</v>
      </c>
      <c r="E8637">
        <f>YEAR(A8637)</f>
        <v>2015</v>
      </c>
      <c r="F8637" s="33">
        <f>DATE(YEAR(A8637),MONTH(A8637),1)</f>
        <v>42156.0</v>
      </c>
      <c r="G8637" t="str">
        <f>CHOOSE(WEEKDAY(A8637,2),"Mon","Tue","Wed","Thu","Fri","Sat","Sun")</f>
        <v>Sat</v>
      </c>
      <c r="H8637" t="str">
        <f>IF(WEEKDAY(A8637,2)&gt;5,"Weekend","Weekday")</f>
        <v>Weekend</v>
      </c>
      <c r="I8637" t="str">
        <f>_xlfn.IFS(B8637&lt;=5,"Night (0-5)",B8637&lt;=9,"Morning peak (6-9)",B8637&lt;=15,"Midday (10-15)",B8637&lt;=19,"Evening peak (16-19)",TRUE,"Late evening (20-23)")</f>
        <v>Morning peak (6-9)</v>
      </c>
    </row>
    <row r="8638" spans="1:9">
      <c r="A8638" s="32">
        <v>42182</v>
      </c>
      <c r="B8638">
        <v>7</v>
      </c>
      <c r="C8638">
        <v>1499</v>
      </c>
      <c r="D8638" t="s">
        <v>304</v>
      </c>
      <c r="E8638">
        <f>YEAR(A8638)</f>
        <v>2015</v>
      </c>
      <c r="F8638" s="33">
        <f>DATE(YEAR(A8638),MONTH(A8638),1)</f>
        <v>42156.0</v>
      </c>
      <c r="G8638" t="str">
        <f>CHOOSE(WEEKDAY(A8638,2),"Mon","Tue","Wed","Thu","Fri","Sat","Sun")</f>
        <v>Sat</v>
      </c>
      <c r="H8638" t="str">
        <f>IF(WEEKDAY(A8638,2)&gt;5,"Weekend","Weekday")</f>
        <v>Weekend</v>
      </c>
      <c r="I8638" t="str">
        <f>_xlfn.IFS(B8638&lt;=5,"Night (0-5)",B8638&lt;=9,"Morning peak (6-9)",B8638&lt;=15,"Midday (10-15)",B8638&lt;=19,"Evening peak (16-19)",TRUE,"Late evening (20-23)")</f>
        <v>Morning peak (6-9)</v>
      </c>
    </row>
    <row r="8639" spans="1:9">
      <c r="A8639" s="32">
        <v>42182</v>
      </c>
      <c r="B8639">
        <v>8</v>
      </c>
      <c r="C8639">
        <v>2056</v>
      </c>
      <c r="D8639" t="s">
        <v>304</v>
      </c>
      <c r="E8639">
        <f>YEAR(A8639)</f>
        <v>2015</v>
      </c>
      <c r="F8639" s="33">
        <f>DATE(YEAR(A8639),MONTH(A8639),1)</f>
        <v>42156.0</v>
      </c>
      <c r="G8639" t="str">
        <f>CHOOSE(WEEKDAY(A8639,2),"Mon","Tue","Wed","Thu","Fri","Sat","Sun")</f>
        <v>Sat</v>
      </c>
      <c r="H8639" t="str">
        <f>IF(WEEKDAY(A8639,2)&gt;5,"Weekend","Weekday")</f>
        <v>Weekend</v>
      </c>
      <c r="I8639" t="str">
        <f>_xlfn.IFS(B8639&lt;=5,"Night (0-5)",B8639&lt;=9,"Morning peak (6-9)",B8639&lt;=15,"Midday (10-15)",B8639&lt;=19,"Evening peak (16-19)",TRUE,"Late evening (20-23)")</f>
        <v>Morning peak (6-9)</v>
      </c>
    </row>
    <row r="8640" spans="1:9">
      <c r="A8640" s="32">
        <v>42182</v>
      </c>
      <c r="B8640">
        <v>9</v>
      </c>
      <c r="C8640">
        <v>2662</v>
      </c>
      <c r="D8640" t="s">
        <v>304</v>
      </c>
      <c r="E8640">
        <f>YEAR(A8640)</f>
        <v>2015</v>
      </c>
      <c r="F8640" s="33">
        <f>DATE(YEAR(A8640),MONTH(A8640),1)</f>
        <v>42156.0</v>
      </c>
      <c r="G8640" t="str">
        <f>CHOOSE(WEEKDAY(A8640,2),"Mon","Tue","Wed","Thu","Fri","Sat","Sun")</f>
        <v>Sat</v>
      </c>
      <c r="H8640" t="str">
        <f>IF(WEEKDAY(A8640,2)&gt;5,"Weekend","Weekday")</f>
        <v>Weekend</v>
      </c>
      <c r="I8640" t="str">
        <f>_xlfn.IFS(B8640&lt;=5,"Night (0-5)",B8640&lt;=9,"Morning peak (6-9)",B8640&lt;=15,"Midday (10-15)",B8640&lt;=19,"Evening peak (16-19)",TRUE,"Late evening (20-23)")</f>
        <v>Morning peak (6-9)</v>
      </c>
    </row>
    <row r="8641" spans="1:9">
      <c r="A8641" s="32">
        <v>42182</v>
      </c>
      <c r="B8641">
        <v>10</v>
      </c>
      <c r="C8641">
        <v>3290</v>
      </c>
      <c r="D8641" t="s">
        <v>304</v>
      </c>
      <c r="E8641">
        <f>YEAR(A8641)</f>
        <v>2015</v>
      </c>
      <c r="F8641" s="33">
        <f>DATE(YEAR(A8641),MONTH(A8641),1)</f>
        <v>42156.0</v>
      </c>
      <c r="G8641" t="str">
        <f>CHOOSE(WEEKDAY(A8641,2),"Mon","Tue","Wed","Thu","Fri","Sat","Sun")</f>
        <v>Sat</v>
      </c>
      <c r="H8641" t="str">
        <f>IF(WEEKDAY(A8641,2)&gt;5,"Weekend","Weekday")</f>
        <v>Weekend</v>
      </c>
      <c r="I8641" t="str">
        <f>_xlfn.IFS(B8641&lt;=5,"Night (0-5)",B8641&lt;=9,"Morning peak (6-9)",B8641&lt;=15,"Midday (10-15)",B8641&lt;=19,"Evening peak (16-19)",TRUE,"Late evening (20-23)")</f>
        <v>Midday (10-15)</v>
      </c>
    </row>
    <row r="8642" spans="1:9">
      <c r="A8642" s="32">
        <v>42182</v>
      </c>
      <c r="B8642">
        <v>11</v>
      </c>
      <c r="C8642">
        <v>3790</v>
      </c>
      <c r="D8642" t="s">
        <v>304</v>
      </c>
      <c r="E8642">
        <f>YEAR(A8642)</f>
        <v>2015</v>
      </c>
      <c r="F8642" s="33">
        <f>DATE(YEAR(A8642),MONTH(A8642),1)</f>
        <v>42156.0</v>
      </c>
      <c r="G8642" t="str">
        <f>CHOOSE(WEEKDAY(A8642,2),"Mon","Tue","Wed","Thu","Fri","Sat","Sun")</f>
        <v>Sat</v>
      </c>
      <c r="H8642" t="str">
        <f>IF(WEEKDAY(A8642,2)&gt;5,"Weekend","Weekday")</f>
        <v>Weekend</v>
      </c>
      <c r="I8642" t="str">
        <f>_xlfn.IFS(B8642&lt;=5,"Night (0-5)",B8642&lt;=9,"Morning peak (6-9)",B8642&lt;=15,"Midday (10-15)",B8642&lt;=19,"Evening peak (16-19)",TRUE,"Late evening (20-23)")</f>
        <v>Midday (10-15)</v>
      </c>
    </row>
    <row r="8643" spans="1:9">
      <c r="A8643" s="32">
        <v>42182</v>
      </c>
      <c r="B8643">
        <v>12</v>
      </c>
      <c r="C8643">
        <v>4383</v>
      </c>
      <c r="D8643" t="s">
        <v>304</v>
      </c>
      <c r="E8643">
        <f>YEAR(A8643)</f>
        <v>2015</v>
      </c>
      <c r="F8643" s="33">
        <f>DATE(YEAR(A8643),MONTH(A8643),1)</f>
        <v>42156.0</v>
      </c>
      <c r="G8643" t="str">
        <f>CHOOSE(WEEKDAY(A8643,2),"Mon","Tue","Wed","Thu","Fri","Sat","Sun")</f>
        <v>Sat</v>
      </c>
      <c r="H8643" t="str">
        <f>IF(WEEKDAY(A8643,2)&gt;5,"Weekend","Weekday")</f>
        <v>Weekend</v>
      </c>
      <c r="I8643" t="str">
        <f>_xlfn.IFS(B8643&lt;=5,"Night (0-5)",B8643&lt;=9,"Morning peak (6-9)",B8643&lt;=15,"Midday (10-15)",B8643&lt;=19,"Evening peak (16-19)",TRUE,"Late evening (20-23)")</f>
        <v>Midday (10-15)</v>
      </c>
    </row>
    <row r="8644" spans="1:9">
      <c r="A8644" s="32">
        <v>42182</v>
      </c>
      <c r="B8644">
        <v>13</v>
      </c>
      <c r="C8644">
        <v>4441</v>
      </c>
      <c r="D8644" t="s">
        <v>304</v>
      </c>
      <c r="E8644">
        <f>YEAR(A8644)</f>
        <v>2015</v>
      </c>
      <c r="F8644" s="33">
        <f>DATE(YEAR(A8644),MONTH(A8644),1)</f>
        <v>42156.0</v>
      </c>
      <c r="G8644" t="str">
        <f>CHOOSE(WEEKDAY(A8644,2),"Mon","Tue","Wed","Thu","Fri","Sat","Sun")</f>
        <v>Sat</v>
      </c>
      <c r="H8644" t="str">
        <f>IF(WEEKDAY(A8644,2)&gt;5,"Weekend","Weekday")</f>
        <v>Weekend</v>
      </c>
      <c r="I8644" t="str">
        <f>_xlfn.IFS(B8644&lt;=5,"Night (0-5)",B8644&lt;=9,"Morning peak (6-9)",B8644&lt;=15,"Midday (10-15)",B8644&lt;=19,"Evening peak (16-19)",TRUE,"Late evening (20-23)")</f>
        <v>Midday (10-15)</v>
      </c>
    </row>
    <row r="8645" spans="1:9">
      <c r="A8645" s="32">
        <v>42182</v>
      </c>
      <c r="B8645">
        <v>14</v>
      </c>
      <c r="C8645">
        <v>4523</v>
      </c>
      <c r="D8645" t="s">
        <v>304</v>
      </c>
      <c r="E8645">
        <f>YEAR(A8645)</f>
        <v>2015</v>
      </c>
      <c r="F8645" s="33">
        <f>DATE(YEAR(A8645),MONTH(A8645),1)</f>
        <v>42156.0</v>
      </c>
      <c r="G8645" t="str">
        <f>CHOOSE(WEEKDAY(A8645,2),"Mon","Tue","Wed","Thu","Fri","Sat","Sun")</f>
        <v>Sat</v>
      </c>
      <c r="H8645" t="str">
        <f>IF(WEEKDAY(A8645,2)&gt;5,"Weekend","Weekday")</f>
        <v>Weekend</v>
      </c>
      <c r="I8645" t="str">
        <f>_xlfn.IFS(B8645&lt;=5,"Night (0-5)",B8645&lt;=9,"Morning peak (6-9)",B8645&lt;=15,"Midday (10-15)",B8645&lt;=19,"Evening peak (16-19)",TRUE,"Late evening (20-23)")</f>
        <v>Midday (10-15)</v>
      </c>
    </row>
    <row r="8646" spans="1:9">
      <c r="A8646" s="32">
        <v>42182</v>
      </c>
      <c r="B8646">
        <v>15</v>
      </c>
      <c r="C8646">
        <v>6259</v>
      </c>
      <c r="D8646" t="s">
        <v>304</v>
      </c>
      <c r="E8646">
        <f>YEAR(A8646)</f>
        <v>2015</v>
      </c>
      <c r="F8646" s="33">
        <f>DATE(YEAR(A8646),MONTH(A8646),1)</f>
        <v>42156.0</v>
      </c>
      <c r="G8646" t="str">
        <f>CHOOSE(WEEKDAY(A8646,2),"Mon","Tue","Wed","Thu","Fri","Sat","Sun")</f>
        <v>Sat</v>
      </c>
      <c r="H8646" t="str">
        <f>IF(WEEKDAY(A8646,2)&gt;5,"Weekend","Weekday")</f>
        <v>Weekend</v>
      </c>
      <c r="I8646" t="str">
        <f>_xlfn.IFS(B8646&lt;=5,"Night (0-5)",B8646&lt;=9,"Morning peak (6-9)",B8646&lt;=15,"Midday (10-15)",B8646&lt;=19,"Evening peak (16-19)",TRUE,"Late evening (20-23)")</f>
        <v>Midday (10-15)</v>
      </c>
    </row>
    <row r="8647" spans="1:9">
      <c r="A8647" s="32">
        <v>42182</v>
      </c>
      <c r="B8647">
        <v>16</v>
      </c>
      <c r="C8647">
        <v>7675</v>
      </c>
      <c r="D8647" t="s">
        <v>304</v>
      </c>
      <c r="E8647">
        <f>YEAR(A8647)</f>
        <v>2015</v>
      </c>
      <c r="F8647" s="33">
        <f>DATE(YEAR(A8647),MONTH(A8647),1)</f>
        <v>42156.0</v>
      </c>
      <c r="G8647" t="str">
        <f>CHOOSE(WEEKDAY(A8647,2),"Mon","Tue","Wed","Thu","Fri","Sat","Sun")</f>
        <v>Sat</v>
      </c>
      <c r="H8647" t="str">
        <f>IF(WEEKDAY(A8647,2)&gt;5,"Weekend","Weekday")</f>
        <v>Weekend</v>
      </c>
      <c r="I8647" t="str">
        <f>_xlfn.IFS(B8647&lt;=5,"Night (0-5)",B8647&lt;=9,"Morning peak (6-9)",B8647&lt;=15,"Midday (10-15)",B8647&lt;=19,"Evening peak (16-19)",TRUE,"Late evening (20-23)")</f>
        <v>Evening peak (16-19)</v>
      </c>
    </row>
    <row r="8648" spans="1:9">
      <c r="A8648" s="32">
        <v>42182</v>
      </c>
      <c r="B8648">
        <v>17</v>
      </c>
      <c r="C8648">
        <v>8678</v>
      </c>
      <c r="D8648" t="s">
        <v>304</v>
      </c>
      <c r="E8648">
        <f>YEAR(A8648)</f>
        <v>2015</v>
      </c>
      <c r="F8648" s="33">
        <f>DATE(YEAR(A8648),MONTH(A8648),1)</f>
        <v>42156.0</v>
      </c>
      <c r="G8648" t="str">
        <f>CHOOSE(WEEKDAY(A8648,2),"Mon","Tue","Wed","Thu","Fri","Sat","Sun")</f>
        <v>Sat</v>
      </c>
      <c r="H8648" t="str">
        <f>IF(WEEKDAY(A8648,2)&gt;5,"Weekend","Weekday")</f>
        <v>Weekend</v>
      </c>
      <c r="I8648" t="str">
        <f>_xlfn.IFS(B8648&lt;=5,"Night (0-5)",B8648&lt;=9,"Morning peak (6-9)",B8648&lt;=15,"Midday (10-15)",B8648&lt;=19,"Evening peak (16-19)",TRUE,"Late evening (20-23)")</f>
        <v>Evening peak (16-19)</v>
      </c>
    </row>
    <row r="8649" spans="1:9">
      <c r="A8649" s="32">
        <v>42182</v>
      </c>
      <c r="B8649">
        <v>18</v>
      </c>
      <c r="C8649">
        <v>9313</v>
      </c>
      <c r="D8649" t="s">
        <v>304</v>
      </c>
      <c r="E8649">
        <f>YEAR(A8649)</f>
        <v>2015</v>
      </c>
      <c r="F8649" s="33">
        <f>DATE(YEAR(A8649),MONTH(A8649),1)</f>
        <v>42156.0</v>
      </c>
      <c r="G8649" t="str">
        <f>CHOOSE(WEEKDAY(A8649,2),"Mon","Tue","Wed","Thu","Fri","Sat","Sun")</f>
        <v>Sat</v>
      </c>
      <c r="H8649" t="str">
        <f>IF(WEEKDAY(A8649,2)&gt;5,"Weekend","Weekday")</f>
        <v>Weekend</v>
      </c>
      <c r="I8649" t="str">
        <f>_xlfn.IFS(B8649&lt;=5,"Night (0-5)",B8649&lt;=9,"Morning peak (6-9)",B8649&lt;=15,"Midday (10-15)",B8649&lt;=19,"Evening peak (16-19)",TRUE,"Late evening (20-23)")</f>
        <v>Evening peak (16-19)</v>
      </c>
    </row>
    <row r="8650" spans="1:9">
      <c r="A8650" s="32">
        <v>42182</v>
      </c>
      <c r="B8650">
        <v>19</v>
      </c>
      <c r="C8650">
        <v>10088</v>
      </c>
      <c r="D8650" t="s">
        <v>304</v>
      </c>
      <c r="E8650">
        <f>YEAR(A8650)</f>
        <v>2015</v>
      </c>
      <c r="F8650" s="33">
        <f>DATE(YEAR(A8650),MONTH(A8650),1)</f>
        <v>42156.0</v>
      </c>
      <c r="G8650" t="str">
        <f>CHOOSE(WEEKDAY(A8650,2),"Mon","Tue","Wed","Thu","Fri","Sat","Sun")</f>
        <v>Sat</v>
      </c>
      <c r="H8650" t="str">
        <f>IF(WEEKDAY(A8650,2)&gt;5,"Weekend","Weekday")</f>
        <v>Weekend</v>
      </c>
      <c r="I8650" t="str">
        <f>_xlfn.IFS(B8650&lt;=5,"Night (0-5)",B8650&lt;=9,"Morning peak (6-9)",B8650&lt;=15,"Midday (10-15)",B8650&lt;=19,"Evening peak (16-19)",TRUE,"Late evening (20-23)")</f>
        <v>Evening peak (16-19)</v>
      </c>
    </row>
    <row r="8651" spans="1:9">
      <c r="A8651" s="32">
        <v>42182</v>
      </c>
      <c r="B8651">
        <v>20</v>
      </c>
      <c r="C8651">
        <v>9783</v>
      </c>
      <c r="D8651" t="s">
        <v>304</v>
      </c>
      <c r="E8651">
        <f>YEAR(A8651)</f>
        <v>2015</v>
      </c>
      <c r="F8651" s="33">
        <f>DATE(YEAR(A8651),MONTH(A8651),1)</f>
        <v>42156.0</v>
      </c>
      <c r="G8651" t="str">
        <f>CHOOSE(WEEKDAY(A8651,2),"Mon","Tue","Wed","Thu","Fri","Sat","Sun")</f>
        <v>Sat</v>
      </c>
      <c r="H8651" t="str">
        <f>IF(WEEKDAY(A8651,2)&gt;5,"Weekend","Weekday")</f>
        <v>Weekend</v>
      </c>
      <c r="I8651" t="str">
        <f>_xlfn.IFS(B8651&lt;=5,"Night (0-5)",B8651&lt;=9,"Morning peak (6-9)",B8651&lt;=15,"Midday (10-15)",B8651&lt;=19,"Evening peak (16-19)",TRUE,"Late evening (20-23)")</f>
        <v>Late evening (20-23)</v>
      </c>
    </row>
    <row r="8652" spans="1:9">
      <c r="A8652" s="32">
        <v>42182</v>
      </c>
      <c r="B8652">
        <v>21</v>
      </c>
      <c r="C8652">
        <v>10575</v>
      </c>
      <c r="D8652" t="s">
        <v>304</v>
      </c>
      <c r="E8652">
        <f>YEAR(A8652)</f>
        <v>2015</v>
      </c>
      <c r="F8652" s="33">
        <f>DATE(YEAR(A8652),MONTH(A8652),1)</f>
        <v>42156.0</v>
      </c>
      <c r="G8652" t="str">
        <f>CHOOSE(WEEKDAY(A8652,2),"Mon","Tue","Wed","Thu","Fri","Sat","Sun")</f>
        <v>Sat</v>
      </c>
      <c r="H8652" t="str">
        <f>IF(WEEKDAY(A8652,2)&gt;5,"Weekend","Weekday")</f>
        <v>Weekend</v>
      </c>
      <c r="I8652" t="str">
        <f>_xlfn.IFS(B8652&lt;=5,"Night (0-5)",B8652&lt;=9,"Morning peak (6-9)",B8652&lt;=15,"Midday (10-15)",B8652&lt;=19,"Evening peak (16-19)",TRUE,"Late evening (20-23)")</f>
        <v>Late evening (20-23)</v>
      </c>
    </row>
    <row r="8653" spans="1:9">
      <c r="A8653" s="32">
        <v>42182</v>
      </c>
      <c r="B8653">
        <v>22</v>
      </c>
      <c r="C8653">
        <v>10647</v>
      </c>
      <c r="D8653" t="s">
        <v>304</v>
      </c>
      <c r="E8653">
        <f>YEAR(A8653)</f>
        <v>2015</v>
      </c>
      <c r="F8653" s="33">
        <f>DATE(YEAR(A8653),MONTH(A8653),1)</f>
        <v>42156.0</v>
      </c>
      <c r="G8653" t="str">
        <f>CHOOSE(WEEKDAY(A8653,2),"Mon","Tue","Wed","Thu","Fri","Sat","Sun")</f>
        <v>Sat</v>
      </c>
      <c r="H8653" t="str">
        <f>IF(WEEKDAY(A8653,2)&gt;5,"Weekend","Weekday")</f>
        <v>Weekend</v>
      </c>
      <c r="I8653" t="str">
        <f>_xlfn.IFS(B8653&lt;=5,"Night (0-5)",B8653&lt;=9,"Morning peak (6-9)",B8653&lt;=15,"Midday (10-15)",B8653&lt;=19,"Evening peak (16-19)",TRUE,"Late evening (20-23)")</f>
        <v>Late evening (20-23)</v>
      </c>
    </row>
    <row r="8654" spans="1:9">
      <c r="A8654" s="32">
        <v>42182</v>
      </c>
      <c r="B8654">
        <v>23</v>
      </c>
      <c r="C8654">
        <v>10364</v>
      </c>
      <c r="D8654" t="s">
        <v>304</v>
      </c>
      <c r="E8654">
        <f>YEAR(A8654)</f>
        <v>2015</v>
      </c>
      <c r="F8654" s="33">
        <f>DATE(YEAR(A8654),MONTH(A8654),1)</f>
        <v>42156.0</v>
      </c>
      <c r="G8654" t="str">
        <f>CHOOSE(WEEKDAY(A8654,2),"Mon","Tue","Wed","Thu","Fri","Sat","Sun")</f>
        <v>Sat</v>
      </c>
      <c r="H8654" t="str">
        <f>IF(WEEKDAY(A8654,2)&gt;5,"Weekend","Weekday")</f>
        <v>Weekend</v>
      </c>
      <c r="I8654" t="str">
        <f>_xlfn.IFS(B8654&lt;=5,"Night (0-5)",B8654&lt;=9,"Morning peak (6-9)",B8654&lt;=15,"Midday (10-15)",B8654&lt;=19,"Evening peak (16-19)",TRUE,"Late evening (20-23)")</f>
        <v>Late evening (20-23)</v>
      </c>
    </row>
    <row r="8655" spans="1:9">
      <c r="A8655" s="32">
        <v>42183</v>
      </c>
      <c r="B8655">
        <v>0</v>
      </c>
      <c r="C8655">
        <v>8980</v>
      </c>
      <c r="D8655" t="s">
        <v>304</v>
      </c>
      <c r="E8655">
        <f>YEAR(A8655)</f>
        <v>2015</v>
      </c>
      <c r="F8655" s="33">
        <f>DATE(YEAR(A8655),MONTH(A8655),1)</f>
        <v>42156.0</v>
      </c>
      <c r="G8655" t="str">
        <f>CHOOSE(WEEKDAY(A8655,2),"Mon","Tue","Wed","Thu","Fri","Sat","Sun")</f>
        <v>Sun</v>
      </c>
      <c r="H8655" t="str">
        <f>IF(WEEKDAY(A8655,2)&gt;5,"Weekend","Weekday")</f>
        <v>Weekend</v>
      </c>
      <c r="I8655" t="str">
        <f>_xlfn.IFS(B8655&lt;=5,"Night (0-5)",B8655&lt;=9,"Morning peak (6-9)",B8655&lt;=15,"Midday (10-15)",B8655&lt;=19,"Evening peak (16-19)",TRUE,"Late evening (20-23)")</f>
        <v>Night (0-5)</v>
      </c>
    </row>
    <row r="8656" spans="1:9">
      <c r="A8656" s="32">
        <v>42183</v>
      </c>
      <c r="B8656">
        <v>1</v>
      </c>
      <c r="C8656">
        <v>6638</v>
      </c>
      <c r="D8656" t="s">
        <v>304</v>
      </c>
      <c r="E8656">
        <f>YEAR(A8656)</f>
        <v>2015</v>
      </c>
      <c r="F8656" s="33">
        <f>DATE(YEAR(A8656),MONTH(A8656),1)</f>
        <v>42156.0</v>
      </c>
      <c r="G8656" t="str">
        <f>CHOOSE(WEEKDAY(A8656,2),"Mon","Tue","Wed","Thu","Fri","Sat","Sun")</f>
        <v>Sun</v>
      </c>
      <c r="H8656" t="str">
        <f>IF(WEEKDAY(A8656,2)&gt;5,"Weekend","Weekday")</f>
        <v>Weekend</v>
      </c>
      <c r="I8656" t="str">
        <f>_xlfn.IFS(B8656&lt;=5,"Night (0-5)",B8656&lt;=9,"Morning peak (6-9)",B8656&lt;=15,"Midday (10-15)",B8656&lt;=19,"Evening peak (16-19)",TRUE,"Late evening (20-23)")</f>
        <v>Night (0-5)</v>
      </c>
    </row>
    <row r="8657" spans="1:9">
      <c r="A8657" s="32">
        <v>42183</v>
      </c>
      <c r="B8657">
        <v>2</v>
      </c>
      <c r="C8657">
        <v>4656</v>
      </c>
      <c r="D8657" t="s">
        <v>304</v>
      </c>
      <c r="E8657">
        <f>YEAR(A8657)</f>
        <v>2015</v>
      </c>
      <c r="F8657" s="33">
        <f>DATE(YEAR(A8657),MONTH(A8657),1)</f>
        <v>42156.0</v>
      </c>
      <c r="G8657" t="str">
        <f>CHOOSE(WEEKDAY(A8657,2),"Mon","Tue","Wed","Thu","Fri","Sat","Sun")</f>
        <v>Sun</v>
      </c>
      <c r="H8657" t="str">
        <f>IF(WEEKDAY(A8657,2)&gt;5,"Weekend","Weekday")</f>
        <v>Weekend</v>
      </c>
      <c r="I8657" t="str">
        <f>_xlfn.IFS(B8657&lt;=5,"Night (0-5)",B8657&lt;=9,"Morning peak (6-9)",B8657&lt;=15,"Midday (10-15)",B8657&lt;=19,"Evening peak (16-19)",TRUE,"Late evening (20-23)")</f>
        <v>Night (0-5)</v>
      </c>
    </row>
    <row r="8658" spans="1:9">
      <c r="A8658" s="32">
        <v>42183</v>
      </c>
      <c r="B8658">
        <v>3</v>
      </c>
      <c r="C8658">
        <v>3534</v>
      </c>
      <c r="D8658" t="s">
        <v>304</v>
      </c>
      <c r="E8658">
        <f>YEAR(A8658)</f>
        <v>2015</v>
      </c>
      <c r="F8658" s="33">
        <f>DATE(YEAR(A8658),MONTH(A8658),1)</f>
        <v>42156.0</v>
      </c>
      <c r="G8658" t="str">
        <f>CHOOSE(WEEKDAY(A8658,2),"Mon","Tue","Wed","Thu","Fri","Sat","Sun")</f>
        <v>Sun</v>
      </c>
      <c r="H8658" t="str">
        <f>IF(WEEKDAY(A8658,2)&gt;5,"Weekend","Weekday")</f>
        <v>Weekend</v>
      </c>
      <c r="I8658" t="str">
        <f>_xlfn.IFS(B8658&lt;=5,"Night (0-5)",B8658&lt;=9,"Morning peak (6-9)",B8658&lt;=15,"Midday (10-15)",B8658&lt;=19,"Evening peak (16-19)",TRUE,"Late evening (20-23)")</f>
        <v>Night (0-5)</v>
      </c>
    </row>
    <row r="8659" spans="1:9">
      <c r="A8659" s="32">
        <v>42183</v>
      </c>
      <c r="B8659">
        <v>4</v>
      </c>
      <c r="C8659">
        <v>2285</v>
      </c>
      <c r="D8659" t="s">
        <v>304</v>
      </c>
      <c r="E8659">
        <f>YEAR(A8659)</f>
        <v>2015</v>
      </c>
      <c r="F8659" s="33">
        <f>DATE(YEAR(A8659),MONTH(A8659),1)</f>
        <v>42156.0</v>
      </c>
      <c r="G8659" t="str">
        <f>CHOOSE(WEEKDAY(A8659,2),"Mon","Tue","Wed","Thu","Fri","Sat","Sun")</f>
        <v>Sun</v>
      </c>
      <c r="H8659" t="str">
        <f>IF(WEEKDAY(A8659,2)&gt;5,"Weekend","Weekday")</f>
        <v>Weekend</v>
      </c>
      <c r="I8659" t="str">
        <f>_xlfn.IFS(B8659&lt;=5,"Night (0-5)",B8659&lt;=9,"Morning peak (6-9)",B8659&lt;=15,"Midday (10-15)",B8659&lt;=19,"Evening peak (16-19)",TRUE,"Late evening (20-23)")</f>
        <v>Night (0-5)</v>
      </c>
    </row>
    <row r="8660" spans="1:9">
      <c r="A8660" s="32">
        <v>42183</v>
      </c>
      <c r="B8660">
        <v>5</v>
      </c>
      <c r="C8660">
        <v>1253</v>
      </c>
      <c r="D8660" t="s">
        <v>304</v>
      </c>
      <c r="E8660">
        <f>YEAR(A8660)</f>
        <v>2015</v>
      </c>
      <c r="F8660" s="33">
        <f>DATE(YEAR(A8660),MONTH(A8660),1)</f>
        <v>42156.0</v>
      </c>
      <c r="G8660" t="str">
        <f>CHOOSE(WEEKDAY(A8660,2),"Mon","Tue","Wed","Thu","Fri","Sat","Sun")</f>
        <v>Sun</v>
      </c>
      <c r="H8660" t="str">
        <f>IF(WEEKDAY(A8660,2)&gt;5,"Weekend","Weekday")</f>
        <v>Weekend</v>
      </c>
      <c r="I8660" t="str">
        <f>_xlfn.IFS(B8660&lt;=5,"Night (0-5)",B8660&lt;=9,"Morning peak (6-9)",B8660&lt;=15,"Midday (10-15)",B8660&lt;=19,"Evening peak (16-19)",TRUE,"Late evening (20-23)")</f>
        <v>Night (0-5)</v>
      </c>
    </row>
    <row r="8661" spans="1:9">
      <c r="A8661" s="32">
        <v>42183</v>
      </c>
      <c r="B8661">
        <v>6</v>
      </c>
      <c r="C8661">
        <v>1122</v>
      </c>
      <c r="D8661" t="s">
        <v>304</v>
      </c>
      <c r="E8661">
        <f>YEAR(A8661)</f>
        <v>2015</v>
      </c>
      <c r="F8661" s="33">
        <f>DATE(YEAR(A8661),MONTH(A8661),1)</f>
        <v>42156.0</v>
      </c>
      <c r="G8661" t="str">
        <f>CHOOSE(WEEKDAY(A8661,2),"Mon","Tue","Wed","Thu","Fri","Sat","Sun")</f>
        <v>Sun</v>
      </c>
      <c r="H8661" t="str">
        <f>IF(WEEKDAY(A8661,2)&gt;5,"Weekend","Weekday")</f>
        <v>Weekend</v>
      </c>
      <c r="I8661" t="str">
        <f>_xlfn.IFS(B8661&lt;=5,"Night (0-5)",B8661&lt;=9,"Morning peak (6-9)",B8661&lt;=15,"Midday (10-15)",B8661&lt;=19,"Evening peak (16-19)",TRUE,"Late evening (20-23)")</f>
        <v>Morning peak (6-9)</v>
      </c>
    </row>
    <row r="8662" spans="1:9">
      <c r="A8662" s="32">
        <v>42183</v>
      </c>
      <c r="B8662">
        <v>7</v>
      </c>
      <c r="C8662">
        <v>1275</v>
      </c>
      <c r="D8662" t="s">
        <v>304</v>
      </c>
      <c r="E8662">
        <f>YEAR(A8662)</f>
        <v>2015</v>
      </c>
      <c r="F8662" s="33">
        <f>DATE(YEAR(A8662),MONTH(A8662),1)</f>
        <v>42156.0</v>
      </c>
      <c r="G8662" t="str">
        <f>CHOOSE(WEEKDAY(A8662,2),"Mon","Tue","Wed","Thu","Fri","Sat","Sun")</f>
        <v>Sun</v>
      </c>
      <c r="H8662" t="str">
        <f>IF(WEEKDAY(A8662,2)&gt;5,"Weekend","Weekday")</f>
        <v>Weekend</v>
      </c>
      <c r="I8662" t="str">
        <f>_xlfn.IFS(B8662&lt;=5,"Night (0-5)",B8662&lt;=9,"Morning peak (6-9)",B8662&lt;=15,"Midday (10-15)",B8662&lt;=19,"Evening peak (16-19)",TRUE,"Late evening (20-23)")</f>
        <v>Morning peak (6-9)</v>
      </c>
    </row>
    <row r="8663" spans="1:9">
      <c r="A8663" s="32">
        <v>42183</v>
      </c>
      <c r="B8663">
        <v>8</v>
      </c>
      <c r="C8663">
        <v>1791</v>
      </c>
      <c r="D8663" t="s">
        <v>304</v>
      </c>
      <c r="E8663">
        <f>YEAR(A8663)</f>
        <v>2015</v>
      </c>
      <c r="F8663" s="33">
        <f>DATE(YEAR(A8663),MONTH(A8663),1)</f>
        <v>42156.0</v>
      </c>
      <c r="G8663" t="str">
        <f>CHOOSE(WEEKDAY(A8663,2),"Mon","Tue","Wed","Thu","Fri","Sat","Sun")</f>
        <v>Sun</v>
      </c>
      <c r="H8663" t="str">
        <f>IF(WEEKDAY(A8663,2)&gt;5,"Weekend","Weekday")</f>
        <v>Weekend</v>
      </c>
      <c r="I8663" t="str">
        <f>_xlfn.IFS(B8663&lt;=5,"Night (0-5)",B8663&lt;=9,"Morning peak (6-9)",B8663&lt;=15,"Midday (10-15)",B8663&lt;=19,"Evening peak (16-19)",TRUE,"Late evening (20-23)")</f>
        <v>Morning peak (6-9)</v>
      </c>
    </row>
    <row r="8664" spans="1:9">
      <c r="A8664" s="32">
        <v>42183</v>
      </c>
      <c r="B8664">
        <v>9</v>
      </c>
      <c r="C8664">
        <v>2459</v>
      </c>
      <c r="D8664" t="s">
        <v>304</v>
      </c>
      <c r="E8664">
        <f>YEAR(A8664)</f>
        <v>2015</v>
      </c>
      <c r="F8664" s="33">
        <f>DATE(YEAR(A8664),MONTH(A8664),1)</f>
        <v>42156.0</v>
      </c>
      <c r="G8664" t="str">
        <f>CHOOSE(WEEKDAY(A8664,2),"Mon","Tue","Wed","Thu","Fri","Sat","Sun")</f>
        <v>Sun</v>
      </c>
      <c r="H8664" t="str">
        <f>IF(WEEKDAY(A8664,2)&gt;5,"Weekend","Weekday")</f>
        <v>Weekend</v>
      </c>
      <c r="I8664" t="str">
        <f>_xlfn.IFS(B8664&lt;=5,"Night (0-5)",B8664&lt;=9,"Morning peak (6-9)",B8664&lt;=15,"Midday (10-15)",B8664&lt;=19,"Evening peak (16-19)",TRUE,"Late evening (20-23)")</f>
        <v>Morning peak (6-9)</v>
      </c>
    </row>
    <row r="8665" spans="1:9">
      <c r="A8665" s="32">
        <v>42183</v>
      </c>
      <c r="B8665">
        <v>10</v>
      </c>
      <c r="C8665">
        <v>3405</v>
      </c>
      <c r="D8665" t="s">
        <v>304</v>
      </c>
      <c r="E8665">
        <f>YEAR(A8665)</f>
        <v>2015</v>
      </c>
      <c r="F8665" s="33">
        <f>DATE(YEAR(A8665),MONTH(A8665),1)</f>
        <v>42156.0</v>
      </c>
      <c r="G8665" t="str">
        <f>CHOOSE(WEEKDAY(A8665,2),"Mon","Tue","Wed","Thu","Fri","Sat","Sun")</f>
        <v>Sun</v>
      </c>
      <c r="H8665" t="str">
        <f>IF(WEEKDAY(A8665,2)&gt;5,"Weekend","Weekday")</f>
        <v>Weekend</v>
      </c>
      <c r="I8665" t="str">
        <f>_xlfn.IFS(B8665&lt;=5,"Night (0-5)",B8665&lt;=9,"Morning peak (6-9)",B8665&lt;=15,"Midday (10-15)",B8665&lt;=19,"Evening peak (16-19)",TRUE,"Late evening (20-23)")</f>
        <v>Midday (10-15)</v>
      </c>
    </row>
    <row r="8666" spans="1:9">
      <c r="A8666" s="32">
        <v>42183</v>
      </c>
      <c r="B8666">
        <v>11</v>
      </c>
      <c r="C8666">
        <v>3975</v>
      </c>
      <c r="D8666" t="s">
        <v>304</v>
      </c>
      <c r="E8666">
        <f>YEAR(A8666)</f>
        <v>2015</v>
      </c>
      <c r="F8666" s="33">
        <f>DATE(YEAR(A8666),MONTH(A8666),1)</f>
        <v>42156.0</v>
      </c>
      <c r="G8666" t="str">
        <f>CHOOSE(WEEKDAY(A8666,2),"Mon","Tue","Wed","Thu","Fri","Sat","Sun")</f>
        <v>Sun</v>
      </c>
      <c r="H8666" t="str">
        <f>IF(WEEKDAY(A8666,2)&gt;5,"Weekend","Weekday")</f>
        <v>Weekend</v>
      </c>
      <c r="I8666" t="str">
        <f>_xlfn.IFS(B8666&lt;=5,"Night (0-5)",B8666&lt;=9,"Morning peak (6-9)",B8666&lt;=15,"Midday (10-15)",B8666&lt;=19,"Evening peak (16-19)",TRUE,"Late evening (20-23)")</f>
        <v>Midday (10-15)</v>
      </c>
    </row>
    <row r="8667" spans="1:9">
      <c r="A8667" s="32">
        <v>42183</v>
      </c>
      <c r="B8667">
        <v>12</v>
      </c>
      <c r="C8667">
        <v>4306</v>
      </c>
      <c r="D8667" t="s">
        <v>304</v>
      </c>
      <c r="E8667">
        <f>YEAR(A8667)</f>
        <v>2015</v>
      </c>
      <c r="F8667" s="33">
        <f>DATE(YEAR(A8667),MONTH(A8667),1)</f>
        <v>42156.0</v>
      </c>
      <c r="G8667" t="str">
        <f>CHOOSE(WEEKDAY(A8667,2),"Mon","Tue","Wed","Thu","Fri","Sat","Sun")</f>
        <v>Sun</v>
      </c>
      <c r="H8667" t="str">
        <f>IF(WEEKDAY(A8667,2)&gt;5,"Weekend","Weekday")</f>
        <v>Weekend</v>
      </c>
      <c r="I8667" t="str">
        <f>_xlfn.IFS(B8667&lt;=5,"Night (0-5)",B8667&lt;=9,"Morning peak (6-9)",B8667&lt;=15,"Midday (10-15)",B8667&lt;=19,"Evening peak (16-19)",TRUE,"Late evening (20-23)")</f>
        <v>Midday (10-15)</v>
      </c>
    </row>
    <row r="8668" spans="1:9">
      <c r="A8668" s="32">
        <v>42183</v>
      </c>
      <c r="B8668">
        <v>13</v>
      </c>
      <c r="C8668">
        <v>4245</v>
      </c>
      <c r="D8668" t="s">
        <v>304</v>
      </c>
      <c r="E8668">
        <f>YEAR(A8668)</f>
        <v>2015</v>
      </c>
      <c r="F8668" s="33">
        <f>DATE(YEAR(A8668),MONTH(A8668),1)</f>
        <v>42156.0</v>
      </c>
      <c r="G8668" t="str">
        <f>CHOOSE(WEEKDAY(A8668,2),"Mon","Tue","Wed","Thu","Fri","Sat","Sun")</f>
        <v>Sun</v>
      </c>
      <c r="H8668" t="str">
        <f>IF(WEEKDAY(A8668,2)&gt;5,"Weekend","Weekday")</f>
        <v>Weekend</v>
      </c>
      <c r="I8668" t="str">
        <f>_xlfn.IFS(B8668&lt;=5,"Night (0-5)",B8668&lt;=9,"Morning peak (6-9)",B8668&lt;=15,"Midday (10-15)",B8668&lt;=19,"Evening peak (16-19)",TRUE,"Late evening (20-23)")</f>
        <v>Midday (10-15)</v>
      </c>
    </row>
    <row r="8669" spans="1:9">
      <c r="A8669" s="32">
        <v>42183</v>
      </c>
      <c r="B8669">
        <v>14</v>
      </c>
      <c r="C8669">
        <v>4192</v>
      </c>
      <c r="D8669" t="s">
        <v>304</v>
      </c>
      <c r="E8669">
        <f>YEAR(A8669)</f>
        <v>2015</v>
      </c>
      <c r="F8669" s="33">
        <f>DATE(YEAR(A8669),MONTH(A8669),1)</f>
        <v>42156.0</v>
      </c>
      <c r="G8669" t="str">
        <f>CHOOSE(WEEKDAY(A8669,2),"Mon","Tue","Wed","Thu","Fri","Sat","Sun")</f>
        <v>Sun</v>
      </c>
      <c r="H8669" t="str">
        <f>IF(WEEKDAY(A8669,2)&gt;5,"Weekend","Weekday")</f>
        <v>Weekend</v>
      </c>
      <c r="I8669" t="str">
        <f>_xlfn.IFS(B8669&lt;=5,"Night (0-5)",B8669&lt;=9,"Morning peak (6-9)",B8669&lt;=15,"Midday (10-15)",B8669&lt;=19,"Evening peak (16-19)",TRUE,"Late evening (20-23)")</f>
        <v>Midday (10-15)</v>
      </c>
    </row>
    <row r="8670" spans="1:9">
      <c r="A8670" s="32">
        <v>42183</v>
      </c>
      <c r="B8670">
        <v>15</v>
      </c>
      <c r="C8670">
        <v>4041</v>
      </c>
      <c r="D8670" t="s">
        <v>304</v>
      </c>
      <c r="E8670">
        <f>YEAR(A8670)</f>
        <v>2015</v>
      </c>
      <c r="F8670" s="33">
        <f>DATE(YEAR(A8670),MONTH(A8670),1)</f>
        <v>42156.0</v>
      </c>
      <c r="G8670" t="str">
        <f>CHOOSE(WEEKDAY(A8670,2),"Mon","Tue","Wed","Thu","Fri","Sat","Sun")</f>
        <v>Sun</v>
      </c>
      <c r="H8670" t="str">
        <f>IF(WEEKDAY(A8670,2)&gt;5,"Weekend","Weekday")</f>
        <v>Weekend</v>
      </c>
      <c r="I8670" t="str">
        <f>_xlfn.IFS(B8670&lt;=5,"Night (0-5)",B8670&lt;=9,"Morning peak (6-9)",B8670&lt;=15,"Midday (10-15)",B8670&lt;=19,"Evening peak (16-19)",TRUE,"Late evening (20-23)")</f>
        <v>Midday (10-15)</v>
      </c>
    </row>
    <row r="8671" spans="1:9">
      <c r="A8671" s="32">
        <v>42183</v>
      </c>
      <c r="B8671">
        <v>16</v>
      </c>
      <c r="C8671">
        <v>4283</v>
      </c>
      <c r="D8671" t="s">
        <v>304</v>
      </c>
      <c r="E8671">
        <f>YEAR(A8671)</f>
        <v>2015</v>
      </c>
      <c r="F8671" s="33">
        <f>DATE(YEAR(A8671),MONTH(A8671),1)</f>
        <v>42156.0</v>
      </c>
      <c r="G8671" t="str">
        <f>CHOOSE(WEEKDAY(A8671,2),"Mon","Tue","Wed","Thu","Fri","Sat","Sun")</f>
        <v>Sun</v>
      </c>
      <c r="H8671" t="str">
        <f>IF(WEEKDAY(A8671,2)&gt;5,"Weekend","Weekday")</f>
        <v>Weekend</v>
      </c>
      <c r="I8671" t="str">
        <f>_xlfn.IFS(B8671&lt;=5,"Night (0-5)",B8671&lt;=9,"Morning peak (6-9)",B8671&lt;=15,"Midday (10-15)",B8671&lt;=19,"Evening peak (16-19)",TRUE,"Late evening (20-23)")</f>
        <v>Evening peak (16-19)</v>
      </c>
    </row>
    <row r="8672" spans="1:9">
      <c r="A8672" s="32">
        <v>42183</v>
      </c>
      <c r="B8672">
        <v>17</v>
      </c>
      <c r="C8672">
        <v>4506</v>
      </c>
      <c r="D8672" t="s">
        <v>304</v>
      </c>
      <c r="E8672">
        <f>YEAR(A8672)</f>
        <v>2015</v>
      </c>
      <c r="F8672" s="33">
        <f>DATE(YEAR(A8672),MONTH(A8672),1)</f>
        <v>42156.0</v>
      </c>
      <c r="G8672" t="str">
        <f>CHOOSE(WEEKDAY(A8672,2),"Mon","Tue","Wed","Thu","Fri","Sat","Sun")</f>
        <v>Sun</v>
      </c>
      <c r="H8672" t="str">
        <f>IF(WEEKDAY(A8672,2)&gt;5,"Weekend","Weekday")</f>
        <v>Weekend</v>
      </c>
      <c r="I8672" t="str">
        <f>_xlfn.IFS(B8672&lt;=5,"Night (0-5)",B8672&lt;=9,"Morning peak (6-9)",B8672&lt;=15,"Midday (10-15)",B8672&lt;=19,"Evening peak (16-19)",TRUE,"Late evening (20-23)")</f>
        <v>Evening peak (16-19)</v>
      </c>
    </row>
    <row r="8673" spans="1:9">
      <c r="A8673" s="32">
        <v>42183</v>
      </c>
      <c r="B8673">
        <v>18</v>
      </c>
      <c r="C8673">
        <v>4402</v>
      </c>
      <c r="D8673" t="s">
        <v>304</v>
      </c>
      <c r="E8673">
        <f>YEAR(A8673)</f>
        <v>2015</v>
      </c>
      <c r="F8673" s="33">
        <f>DATE(YEAR(A8673),MONTH(A8673),1)</f>
        <v>42156.0</v>
      </c>
      <c r="G8673" t="str">
        <f>CHOOSE(WEEKDAY(A8673,2),"Mon","Tue","Wed","Thu","Fri","Sat","Sun")</f>
        <v>Sun</v>
      </c>
      <c r="H8673" t="str">
        <f>IF(WEEKDAY(A8673,2)&gt;5,"Weekend","Weekday")</f>
        <v>Weekend</v>
      </c>
      <c r="I8673" t="str">
        <f>_xlfn.IFS(B8673&lt;=5,"Night (0-5)",B8673&lt;=9,"Morning peak (6-9)",B8673&lt;=15,"Midday (10-15)",B8673&lt;=19,"Evening peak (16-19)",TRUE,"Late evening (20-23)")</f>
        <v>Evening peak (16-19)</v>
      </c>
    </row>
    <row r="8674" spans="1:9">
      <c r="A8674" s="32">
        <v>42183</v>
      </c>
      <c r="B8674">
        <v>19</v>
      </c>
      <c r="C8674">
        <v>4287</v>
      </c>
      <c r="D8674" t="s">
        <v>304</v>
      </c>
      <c r="E8674">
        <f>YEAR(A8674)</f>
        <v>2015</v>
      </c>
      <c r="F8674" s="33">
        <f>DATE(YEAR(A8674),MONTH(A8674),1)</f>
        <v>42156.0</v>
      </c>
      <c r="G8674" t="str">
        <f>CHOOSE(WEEKDAY(A8674,2),"Mon","Tue","Wed","Thu","Fri","Sat","Sun")</f>
        <v>Sun</v>
      </c>
      <c r="H8674" t="str">
        <f>IF(WEEKDAY(A8674,2)&gt;5,"Weekend","Weekday")</f>
        <v>Weekend</v>
      </c>
      <c r="I8674" t="str">
        <f>_xlfn.IFS(B8674&lt;=5,"Night (0-5)",B8674&lt;=9,"Morning peak (6-9)",B8674&lt;=15,"Midday (10-15)",B8674&lt;=19,"Evening peak (16-19)",TRUE,"Late evening (20-23)")</f>
        <v>Evening peak (16-19)</v>
      </c>
    </row>
    <row r="8675" spans="1:9">
      <c r="A8675" s="32">
        <v>42183</v>
      </c>
      <c r="B8675">
        <v>20</v>
      </c>
      <c r="C8675">
        <v>4037</v>
      </c>
      <c r="D8675" t="s">
        <v>304</v>
      </c>
      <c r="E8675">
        <f>YEAR(A8675)</f>
        <v>2015</v>
      </c>
      <c r="F8675" s="33">
        <f>DATE(YEAR(A8675),MONTH(A8675),1)</f>
        <v>42156.0</v>
      </c>
      <c r="G8675" t="str">
        <f>CHOOSE(WEEKDAY(A8675,2),"Mon","Tue","Wed","Thu","Fri","Sat","Sun")</f>
        <v>Sun</v>
      </c>
      <c r="H8675" t="str">
        <f>IF(WEEKDAY(A8675,2)&gt;5,"Weekend","Weekday")</f>
        <v>Weekend</v>
      </c>
      <c r="I8675" t="str">
        <f>_xlfn.IFS(B8675&lt;=5,"Night (0-5)",B8675&lt;=9,"Morning peak (6-9)",B8675&lt;=15,"Midday (10-15)",B8675&lt;=19,"Evening peak (16-19)",TRUE,"Late evening (20-23)")</f>
        <v>Late evening (20-23)</v>
      </c>
    </row>
    <row r="8676" spans="1:9">
      <c r="A8676" s="32">
        <v>42183</v>
      </c>
      <c r="B8676">
        <v>21</v>
      </c>
      <c r="C8676">
        <v>4484</v>
      </c>
      <c r="D8676" t="s">
        <v>304</v>
      </c>
      <c r="E8676">
        <f>YEAR(A8676)</f>
        <v>2015</v>
      </c>
      <c r="F8676" s="33">
        <f>DATE(YEAR(A8676),MONTH(A8676),1)</f>
        <v>42156.0</v>
      </c>
      <c r="G8676" t="str">
        <f>CHOOSE(WEEKDAY(A8676,2),"Mon","Tue","Wed","Thu","Fri","Sat","Sun")</f>
        <v>Sun</v>
      </c>
      <c r="H8676" t="str">
        <f>IF(WEEKDAY(A8676,2)&gt;5,"Weekend","Weekday")</f>
        <v>Weekend</v>
      </c>
      <c r="I8676" t="str">
        <f>_xlfn.IFS(B8676&lt;=5,"Night (0-5)",B8676&lt;=9,"Morning peak (6-9)",B8676&lt;=15,"Midday (10-15)",B8676&lt;=19,"Evening peak (16-19)",TRUE,"Late evening (20-23)")</f>
        <v>Late evening (20-23)</v>
      </c>
    </row>
    <row r="8677" spans="1:9">
      <c r="A8677" s="32">
        <v>42183</v>
      </c>
      <c r="B8677">
        <v>22</v>
      </c>
      <c r="C8677">
        <v>4740</v>
      </c>
      <c r="D8677" t="s">
        <v>304</v>
      </c>
      <c r="E8677">
        <f>YEAR(A8677)</f>
        <v>2015</v>
      </c>
      <c r="F8677" s="33">
        <f>DATE(YEAR(A8677),MONTH(A8677),1)</f>
        <v>42156.0</v>
      </c>
      <c r="G8677" t="str">
        <f>CHOOSE(WEEKDAY(A8677,2),"Mon","Tue","Wed","Thu","Fri","Sat","Sun")</f>
        <v>Sun</v>
      </c>
      <c r="H8677" t="str">
        <f>IF(WEEKDAY(A8677,2)&gt;5,"Weekend","Weekday")</f>
        <v>Weekend</v>
      </c>
      <c r="I8677" t="str">
        <f>_xlfn.IFS(B8677&lt;=5,"Night (0-5)",B8677&lt;=9,"Morning peak (6-9)",B8677&lt;=15,"Midday (10-15)",B8677&lt;=19,"Evening peak (16-19)",TRUE,"Late evening (20-23)")</f>
        <v>Late evening (20-23)</v>
      </c>
    </row>
    <row r="8678" spans="1:9">
      <c r="A8678" s="32">
        <v>42183</v>
      </c>
      <c r="B8678">
        <v>23</v>
      </c>
      <c r="C8678">
        <v>4212</v>
      </c>
      <c r="D8678" t="s">
        <v>304</v>
      </c>
      <c r="E8678">
        <f>YEAR(A8678)</f>
        <v>2015</v>
      </c>
      <c r="F8678" s="33">
        <f>DATE(YEAR(A8678),MONTH(A8678),1)</f>
        <v>42156.0</v>
      </c>
      <c r="G8678" t="str">
        <f>CHOOSE(WEEKDAY(A8678,2),"Mon","Tue","Wed","Thu","Fri","Sat","Sun")</f>
        <v>Sun</v>
      </c>
      <c r="H8678" t="str">
        <f>IF(WEEKDAY(A8678,2)&gt;5,"Weekend","Weekday")</f>
        <v>Weekend</v>
      </c>
      <c r="I8678" t="str">
        <f>_xlfn.IFS(B8678&lt;=5,"Night (0-5)",B8678&lt;=9,"Morning peak (6-9)",B8678&lt;=15,"Midday (10-15)",B8678&lt;=19,"Evening peak (16-19)",TRUE,"Late evening (20-23)")</f>
        <v>Late evening (20-23)</v>
      </c>
    </row>
    <row r="8679" spans="1:9">
      <c r="A8679" s="32">
        <v>42184</v>
      </c>
      <c r="B8679">
        <v>0</v>
      </c>
      <c r="C8679">
        <v>2608</v>
      </c>
      <c r="D8679" t="s">
        <v>304</v>
      </c>
      <c r="E8679">
        <f>YEAR(A8679)</f>
        <v>2015</v>
      </c>
      <c r="F8679" s="33">
        <f>DATE(YEAR(A8679),MONTH(A8679),1)</f>
        <v>42156.0</v>
      </c>
      <c r="G8679" t="str">
        <f>CHOOSE(WEEKDAY(A8679,2),"Mon","Tue","Wed","Thu","Fri","Sat","Sun")</f>
        <v>Mon</v>
      </c>
      <c r="H8679" t="str">
        <f>IF(WEEKDAY(A8679,2)&gt;5,"Weekend","Weekday")</f>
        <v>Weekday</v>
      </c>
      <c r="I8679" t="str">
        <f>_xlfn.IFS(B8679&lt;=5,"Night (0-5)",B8679&lt;=9,"Morning peak (6-9)",B8679&lt;=15,"Midday (10-15)",B8679&lt;=19,"Evening peak (16-19)",TRUE,"Late evening (20-23)")</f>
        <v>Night (0-5)</v>
      </c>
    </row>
    <row r="8680" spans="1:9">
      <c r="A8680" s="32">
        <v>42184</v>
      </c>
      <c r="B8680">
        <v>1</v>
      </c>
      <c r="C8680">
        <v>1503</v>
      </c>
      <c r="D8680" t="s">
        <v>304</v>
      </c>
      <c r="E8680">
        <f>YEAR(A8680)</f>
        <v>2015</v>
      </c>
      <c r="F8680" s="33">
        <f>DATE(YEAR(A8680),MONTH(A8680),1)</f>
        <v>42156.0</v>
      </c>
      <c r="G8680" t="str">
        <f>CHOOSE(WEEKDAY(A8680,2),"Mon","Tue","Wed","Thu","Fri","Sat","Sun")</f>
        <v>Mon</v>
      </c>
      <c r="H8680" t="str">
        <f>IF(WEEKDAY(A8680,2)&gt;5,"Weekend","Weekday")</f>
        <v>Weekday</v>
      </c>
      <c r="I8680" t="str">
        <f>_xlfn.IFS(B8680&lt;=5,"Night (0-5)",B8680&lt;=9,"Morning peak (6-9)",B8680&lt;=15,"Midday (10-15)",B8680&lt;=19,"Evening peak (16-19)",TRUE,"Late evening (20-23)")</f>
        <v>Night (0-5)</v>
      </c>
    </row>
    <row r="8681" spans="1:9">
      <c r="A8681" s="32">
        <v>42184</v>
      </c>
      <c r="B8681">
        <v>2</v>
      </c>
      <c r="C8681">
        <v>967</v>
      </c>
      <c r="D8681" t="s">
        <v>304</v>
      </c>
      <c r="E8681">
        <f>YEAR(A8681)</f>
        <v>2015</v>
      </c>
      <c r="F8681" s="33">
        <f>DATE(YEAR(A8681),MONTH(A8681),1)</f>
        <v>42156.0</v>
      </c>
      <c r="G8681" t="str">
        <f>CHOOSE(WEEKDAY(A8681,2),"Mon","Tue","Wed","Thu","Fri","Sat","Sun")</f>
        <v>Mon</v>
      </c>
      <c r="H8681" t="str">
        <f>IF(WEEKDAY(A8681,2)&gt;5,"Weekend","Weekday")</f>
        <v>Weekday</v>
      </c>
      <c r="I8681" t="str">
        <f>_xlfn.IFS(B8681&lt;=5,"Night (0-5)",B8681&lt;=9,"Morning peak (6-9)",B8681&lt;=15,"Midday (10-15)",B8681&lt;=19,"Evening peak (16-19)",TRUE,"Late evening (20-23)")</f>
        <v>Night (0-5)</v>
      </c>
    </row>
    <row r="8682" spans="1:9">
      <c r="A8682" s="32">
        <v>42184</v>
      </c>
      <c r="B8682">
        <v>3</v>
      </c>
      <c r="C8682">
        <v>723</v>
      </c>
      <c r="D8682" t="s">
        <v>304</v>
      </c>
      <c r="E8682">
        <f>YEAR(A8682)</f>
        <v>2015</v>
      </c>
      <c r="F8682" s="33">
        <f>DATE(YEAR(A8682),MONTH(A8682),1)</f>
        <v>42156.0</v>
      </c>
      <c r="G8682" t="str">
        <f>CHOOSE(WEEKDAY(A8682,2),"Mon","Tue","Wed","Thu","Fri","Sat","Sun")</f>
        <v>Mon</v>
      </c>
      <c r="H8682" t="str">
        <f>IF(WEEKDAY(A8682,2)&gt;5,"Weekend","Weekday")</f>
        <v>Weekday</v>
      </c>
      <c r="I8682" t="str">
        <f>_xlfn.IFS(B8682&lt;=5,"Night (0-5)",B8682&lt;=9,"Morning peak (6-9)",B8682&lt;=15,"Midday (10-15)",B8682&lt;=19,"Evening peak (16-19)",TRUE,"Late evening (20-23)")</f>
        <v>Night (0-5)</v>
      </c>
    </row>
    <row r="8683" spans="1:9">
      <c r="A8683" s="32">
        <v>42184</v>
      </c>
      <c r="B8683">
        <v>4</v>
      </c>
      <c r="C8683">
        <v>1112</v>
      </c>
      <c r="D8683" t="s">
        <v>304</v>
      </c>
      <c r="E8683">
        <f>YEAR(A8683)</f>
        <v>2015</v>
      </c>
      <c r="F8683" s="33">
        <f>DATE(YEAR(A8683),MONTH(A8683),1)</f>
        <v>42156.0</v>
      </c>
      <c r="G8683" t="str">
        <f>CHOOSE(WEEKDAY(A8683,2),"Mon","Tue","Wed","Thu","Fri","Sat","Sun")</f>
        <v>Mon</v>
      </c>
      <c r="H8683" t="str">
        <f>IF(WEEKDAY(A8683,2)&gt;5,"Weekend","Weekday")</f>
        <v>Weekday</v>
      </c>
      <c r="I8683" t="str">
        <f>_xlfn.IFS(B8683&lt;=5,"Night (0-5)",B8683&lt;=9,"Morning peak (6-9)",B8683&lt;=15,"Midday (10-15)",B8683&lt;=19,"Evening peak (16-19)",TRUE,"Late evening (20-23)")</f>
        <v>Night (0-5)</v>
      </c>
    </row>
    <row r="8684" spans="1:9">
      <c r="A8684" s="32">
        <v>42184</v>
      </c>
      <c r="B8684">
        <v>5</v>
      </c>
      <c r="C8684">
        <v>1647</v>
      </c>
      <c r="D8684" t="s">
        <v>304</v>
      </c>
      <c r="E8684">
        <f>YEAR(A8684)</f>
        <v>2015</v>
      </c>
      <c r="F8684" s="33">
        <f>DATE(YEAR(A8684),MONTH(A8684),1)</f>
        <v>42156.0</v>
      </c>
      <c r="G8684" t="str">
        <f>CHOOSE(WEEKDAY(A8684,2),"Mon","Tue","Wed","Thu","Fri","Sat","Sun")</f>
        <v>Mon</v>
      </c>
      <c r="H8684" t="str">
        <f>IF(WEEKDAY(A8684,2)&gt;5,"Weekend","Weekday")</f>
        <v>Weekday</v>
      </c>
      <c r="I8684" t="str">
        <f>_xlfn.IFS(B8684&lt;=5,"Night (0-5)",B8684&lt;=9,"Morning peak (6-9)",B8684&lt;=15,"Midday (10-15)",B8684&lt;=19,"Evening peak (16-19)",TRUE,"Late evening (20-23)")</f>
        <v>Night (0-5)</v>
      </c>
    </row>
    <row r="8685" spans="1:9">
      <c r="A8685" s="32">
        <v>42184</v>
      </c>
      <c r="B8685">
        <v>6</v>
      </c>
      <c r="C8685">
        <v>2341</v>
      </c>
      <c r="D8685" t="s">
        <v>304</v>
      </c>
      <c r="E8685">
        <f>YEAR(A8685)</f>
        <v>2015</v>
      </c>
      <c r="F8685" s="33">
        <f>DATE(YEAR(A8685),MONTH(A8685),1)</f>
        <v>42156.0</v>
      </c>
      <c r="G8685" t="str">
        <f>CHOOSE(WEEKDAY(A8685,2),"Mon","Tue","Wed","Thu","Fri","Sat","Sun")</f>
        <v>Mon</v>
      </c>
      <c r="H8685" t="str">
        <f>IF(WEEKDAY(A8685,2)&gt;5,"Weekend","Weekday")</f>
        <v>Weekday</v>
      </c>
      <c r="I8685" t="str">
        <f>_xlfn.IFS(B8685&lt;=5,"Night (0-5)",B8685&lt;=9,"Morning peak (6-9)",B8685&lt;=15,"Midday (10-15)",B8685&lt;=19,"Evening peak (16-19)",TRUE,"Late evening (20-23)")</f>
        <v>Morning peak (6-9)</v>
      </c>
    </row>
    <row r="8686" spans="1:9">
      <c r="A8686" s="32">
        <v>42184</v>
      </c>
      <c r="B8686">
        <v>7</v>
      </c>
      <c r="C8686">
        <v>3140</v>
      </c>
      <c r="D8686" t="s">
        <v>304</v>
      </c>
      <c r="E8686">
        <f>YEAR(A8686)</f>
        <v>2015</v>
      </c>
      <c r="F8686" s="33">
        <f>DATE(YEAR(A8686),MONTH(A8686),1)</f>
        <v>42156.0</v>
      </c>
      <c r="G8686" t="str">
        <f>CHOOSE(WEEKDAY(A8686,2),"Mon","Tue","Wed","Thu","Fri","Sat","Sun")</f>
        <v>Mon</v>
      </c>
      <c r="H8686" t="str">
        <f>IF(WEEKDAY(A8686,2)&gt;5,"Weekend","Weekday")</f>
        <v>Weekday</v>
      </c>
      <c r="I8686" t="str">
        <f>_xlfn.IFS(B8686&lt;=5,"Night (0-5)",B8686&lt;=9,"Morning peak (6-9)",B8686&lt;=15,"Midday (10-15)",B8686&lt;=19,"Evening peak (16-19)",TRUE,"Late evening (20-23)")</f>
        <v>Morning peak (6-9)</v>
      </c>
    </row>
    <row r="8687" spans="1:9">
      <c r="A8687" s="32">
        <v>42184</v>
      </c>
      <c r="B8687">
        <v>8</v>
      </c>
      <c r="C8687">
        <v>4128</v>
      </c>
      <c r="D8687" t="s">
        <v>304</v>
      </c>
      <c r="E8687">
        <f>YEAR(A8687)</f>
        <v>2015</v>
      </c>
      <c r="F8687" s="33">
        <f>DATE(YEAR(A8687),MONTH(A8687),1)</f>
        <v>42156.0</v>
      </c>
      <c r="G8687" t="str">
        <f>CHOOSE(WEEKDAY(A8687,2),"Mon","Tue","Wed","Thu","Fri","Sat","Sun")</f>
        <v>Mon</v>
      </c>
      <c r="H8687" t="str">
        <f>IF(WEEKDAY(A8687,2)&gt;5,"Weekend","Weekday")</f>
        <v>Weekday</v>
      </c>
      <c r="I8687" t="str">
        <f>_xlfn.IFS(B8687&lt;=5,"Night (0-5)",B8687&lt;=9,"Morning peak (6-9)",B8687&lt;=15,"Midday (10-15)",B8687&lt;=19,"Evening peak (16-19)",TRUE,"Late evening (20-23)")</f>
        <v>Morning peak (6-9)</v>
      </c>
    </row>
    <row r="8688" spans="1:9">
      <c r="A8688" s="32">
        <v>42184</v>
      </c>
      <c r="B8688">
        <v>9</v>
      </c>
      <c r="C8688">
        <v>4131</v>
      </c>
      <c r="D8688" t="s">
        <v>304</v>
      </c>
      <c r="E8688">
        <f>YEAR(A8688)</f>
        <v>2015</v>
      </c>
      <c r="F8688" s="33">
        <f>DATE(YEAR(A8688),MONTH(A8688),1)</f>
        <v>42156.0</v>
      </c>
      <c r="G8688" t="str">
        <f>CHOOSE(WEEKDAY(A8688,2),"Mon","Tue","Wed","Thu","Fri","Sat","Sun")</f>
        <v>Mon</v>
      </c>
      <c r="H8688" t="str">
        <f>IF(WEEKDAY(A8688,2)&gt;5,"Weekend","Weekday")</f>
        <v>Weekday</v>
      </c>
      <c r="I8688" t="str">
        <f>_xlfn.IFS(B8688&lt;=5,"Night (0-5)",B8688&lt;=9,"Morning peak (6-9)",B8688&lt;=15,"Midday (10-15)",B8688&lt;=19,"Evening peak (16-19)",TRUE,"Late evening (20-23)")</f>
        <v>Morning peak (6-9)</v>
      </c>
    </row>
    <row r="8689" spans="1:9">
      <c r="A8689" s="32">
        <v>42184</v>
      </c>
      <c r="B8689">
        <v>10</v>
      </c>
      <c r="C8689">
        <v>3171</v>
      </c>
      <c r="D8689" t="s">
        <v>304</v>
      </c>
      <c r="E8689">
        <f>YEAR(A8689)</f>
        <v>2015</v>
      </c>
      <c r="F8689" s="33">
        <f>DATE(YEAR(A8689),MONTH(A8689),1)</f>
        <v>42156.0</v>
      </c>
      <c r="G8689" t="str">
        <f>CHOOSE(WEEKDAY(A8689,2),"Mon","Tue","Wed","Thu","Fri","Sat","Sun")</f>
        <v>Mon</v>
      </c>
      <c r="H8689" t="str">
        <f>IF(WEEKDAY(A8689,2)&gt;5,"Weekend","Weekday")</f>
        <v>Weekday</v>
      </c>
      <c r="I8689" t="str">
        <f>_xlfn.IFS(B8689&lt;=5,"Night (0-5)",B8689&lt;=9,"Morning peak (6-9)",B8689&lt;=15,"Midday (10-15)",B8689&lt;=19,"Evening peak (16-19)",TRUE,"Late evening (20-23)")</f>
        <v>Midday (10-15)</v>
      </c>
    </row>
    <row r="8690" spans="1:9">
      <c r="A8690" s="32">
        <v>42184</v>
      </c>
      <c r="B8690">
        <v>11</v>
      </c>
      <c r="C8690">
        <v>2902</v>
      </c>
      <c r="D8690" t="s">
        <v>304</v>
      </c>
      <c r="E8690">
        <f>YEAR(A8690)</f>
        <v>2015</v>
      </c>
      <c r="F8690" s="33">
        <f>DATE(YEAR(A8690),MONTH(A8690),1)</f>
        <v>42156.0</v>
      </c>
      <c r="G8690" t="str">
        <f>CHOOSE(WEEKDAY(A8690,2),"Mon","Tue","Wed","Thu","Fri","Sat","Sun")</f>
        <v>Mon</v>
      </c>
      <c r="H8690" t="str">
        <f>IF(WEEKDAY(A8690,2)&gt;5,"Weekend","Weekday")</f>
        <v>Weekday</v>
      </c>
      <c r="I8690" t="str">
        <f>_xlfn.IFS(B8690&lt;=5,"Night (0-5)",B8690&lt;=9,"Morning peak (6-9)",B8690&lt;=15,"Midday (10-15)",B8690&lt;=19,"Evening peak (16-19)",TRUE,"Late evening (20-23)")</f>
        <v>Midday (10-15)</v>
      </c>
    </row>
    <row r="8691" spans="1:9">
      <c r="A8691" s="32">
        <v>42184</v>
      </c>
      <c r="B8691">
        <v>12</v>
      </c>
      <c r="C8691">
        <v>2885</v>
      </c>
      <c r="D8691" t="s">
        <v>304</v>
      </c>
      <c r="E8691">
        <f>YEAR(A8691)</f>
        <v>2015</v>
      </c>
      <c r="F8691" s="33">
        <f>DATE(YEAR(A8691),MONTH(A8691),1)</f>
        <v>42156.0</v>
      </c>
      <c r="G8691" t="str">
        <f>CHOOSE(WEEKDAY(A8691,2),"Mon","Tue","Wed","Thu","Fri","Sat","Sun")</f>
        <v>Mon</v>
      </c>
      <c r="H8691" t="str">
        <f>IF(WEEKDAY(A8691,2)&gt;5,"Weekend","Weekday")</f>
        <v>Weekday</v>
      </c>
      <c r="I8691" t="str">
        <f>_xlfn.IFS(B8691&lt;=5,"Night (0-5)",B8691&lt;=9,"Morning peak (6-9)",B8691&lt;=15,"Midday (10-15)",B8691&lt;=19,"Evening peak (16-19)",TRUE,"Late evening (20-23)")</f>
        <v>Midday (10-15)</v>
      </c>
    </row>
    <row r="8692" spans="1:9">
      <c r="A8692" s="32">
        <v>42184</v>
      </c>
      <c r="B8692">
        <v>13</v>
      </c>
      <c r="C8692">
        <v>2719</v>
      </c>
      <c r="D8692" t="s">
        <v>304</v>
      </c>
      <c r="E8692">
        <f>YEAR(A8692)</f>
        <v>2015</v>
      </c>
      <c r="F8692" s="33">
        <f>DATE(YEAR(A8692),MONTH(A8692),1)</f>
        <v>42156.0</v>
      </c>
      <c r="G8692" t="str">
        <f>CHOOSE(WEEKDAY(A8692,2),"Mon","Tue","Wed","Thu","Fri","Sat","Sun")</f>
        <v>Mon</v>
      </c>
      <c r="H8692" t="str">
        <f>IF(WEEKDAY(A8692,2)&gt;5,"Weekend","Weekday")</f>
        <v>Weekday</v>
      </c>
      <c r="I8692" t="str">
        <f>_xlfn.IFS(B8692&lt;=5,"Night (0-5)",B8692&lt;=9,"Morning peak (6-9)",B8692&lt;=15,"Midday (10-15)",B8692&lt;=19,"Evening peak (16-19)",TRUE,"Late evening (20-23)")</f>
        <v>Midday (10-15)</v>
      </c>
    </row>
    <row r="8693" spans="1:9">
      <c r="A8693" s="32">
        <v>42184</v>
      </c>
      <c r="B8693">
        <v>14</v>
      </c>
      <c r="C8693">
        <v>2999</v>
      </c>
      <c r="D8693" t="s">
        <v>304</v>
      </c>
      <c r="E8693">
        <f>YEAR(A8693)</f>
        <v>2015</v>
      </c>
      <c r="F8693" s="33">
        <f>DATE(YEAR(A8693),MONTH(A8693),1)</f>
        <v>42156.0</v>
      </c>
      <c r="G8693" t="str">
        <f>CHOOSE(WEEKDAY(A8693,2),"Mon","Tue","Wed","Thu","Fri","Sat","Sun")</f>
        <v>Mon</v>
      </c>
      <c r="H8693" t="str">
        <f>IF(WEEKDAY(A8693,2)&gt;5,"Weekend","Weekday")</f>
        <v>Weekday</v>
      </c>
      <c r="I8693" t="str">
        <f>_xlfn.IFS(B8693&lt;=5,"Night (0-5)",B8693&lt;=9,"Morning peak (6-9)",B8693&lt;=15,"Midday (10-15)",B8693&lt;=19,"Evening peak (16-19)",TRUE,"Late evening (20-23)")</f>
        <v>Midday (10-15)</v>
      </c>
    </row>
    <row r="8694" spans="1:9">
      <c r="A8694" s="32">
        <v>42184</v>
      </c>
      <c r="B8694">
        <v>15</v>
      </c>
      <c r="C8694">
        <v>3245</v>
      </c>
      <c r="D8694" t="s">
        <v>304</v>
      </c>
      <c r="E8694">
        <f>YEAR(A8694)</f>
        <v>2015</v>
      </c>
      <c r="F8694" s="33">
        <f>DATE(YEAR(A8694),MONTH(A8694),1)</f>
        <v>42156.0</v>
      </c>
      <c r="G8694" t="str">
        <f>CHOOSE(WEEKDAY(A8694,2),"Mon","Tue","Wed","Thu","Fri","Sat","Sun")</f>
        <v>Mon</v>
      </c>
      <c r="H8694" t="str">
        <f>IF(WEEKDAY(A8694,2)&gt;5,"Weekend","Weekday")</f>
        <v>Weekday</v>
      </c>
      <c r="I8694" t="str">
        <f>_xlfn.IFS(B8694&lt;=5,"Night (0-5)",B8694&lt;=9,"Morning peak (6-9)",B8694&lt;=15,"Midday (10-15)",B8694&lt;=19,"Evening peak (16-19)",TRUE,"Late evening (20-23)")</f>
        <v>Midday (10-15)</v>
      </c>
    </row>
    <row r="8695" spans="1:9">
      <c r="A8695" s="32">
        <v>42184</v>
      </c>
      <c r="B8695">
        <v>16</v>
      </c>
      <c r="C8695">
        <v>3498</v>
      </c>
      <c r="D8695" t="s">
        <v>304</v>
      </c>
      <c r="E8695">
        <f>YEAR(A8695)</f>
        <v>2015</v>
      </c>
      <c r="F8695" s="33">
        <f>DATE(YEAR(A8695),MONTH(A8695),1)</f>
        <v>42156.0</v>
      </c>
      <c r="G8695" t="str">
        <f>CHOOSE(WEEKDAY(A8695,2),"Mon","Tue","Wed","Thu","Fri","Sat","Sun")</f>
        <v>Mon</v>
      </c>
      <c r="H8695" t="str">
        <f>IF(WEEKDAY(A8695,2)&gt;5,"Weekend","Weekday")</f>
        <v>Weekday</v>
      </c>
      <c r="I8695" t="str">
        <f>_xlfn.IFS(B8695&lt;=5,"Night (0-5)",B8695&lt;=9,"Morning peak (6-9)",B8695&lt;=15,"Midday (10-15)",B8695&lt;=19,"Evening peak (16-19)",TRUE,"Late evening (20-23)")</f>
        <v>Evening peak (16-19)</v>
      </c>
    </row>
    <row r="8696" spans="1:9">
      <c r="A8696" s="32">
        <v>42184</v>
      </c>
      <c r="B8696">
        <v>17</v>
      </c>
      <c r="C8696">
        <v>4263</v>
      </c>
      <c r="D8696" t="s">
        <v>304</v>
      </c>
      <c r="E8696">
        <f>YEAR(A8696)</f>
        <v>2015</v>
      </c>
      <c r="F8696" s="33">
        <f>DATE(YEAR(A8696),MONTH(A8696),1)</f>
        <v>42156.0</v>
      </c>
      <c r="G8696" t="str">
        <f>CHOOSE(WEEKDAY(A8696,2),"Mon","Tue","Wed","Thu","Fri","Sat","Sun")</f>
        <v>Mon</v>
      </c>
      <c r="H8696" t="str">
        <f>IF(WEEKDAY(A8696,2)&gt;5,"Weekend","Weekday")</f>
        <v>Weekday</v>
      </c>
      <c r="I8696" t="str">
        <f>_xlfn.IFS(B8696&lt;=5,"Night (0-5)",B8696&lt;=9,"Morning peak (6-9)",B8696&lt;=15,"Midday (10-15)",B8696&lt;=19,"Evening peak (16-19)",TRUE,"Late evening (20-23)")</f>
        <v>Evening peak (16-19)</v>
      </c>
    </row>
    <row r="8697" spans="1:9">
      <c r="A8697" s="32">
        <v>42184</v>
      </c>
      <c r="B8697">
        <v>18</v>
      </c>
      <c r="C8697">
        <v>4753</v>
      </c>
      <c r="D8697" t="s">
        <v>304</v>
      </c>
      <c r="E8697">
        <f>YEAR(A8697)</f>
        <v>2015</v>
      </c>
      <c r="F8697" s="33">
        <f>DATE(YEAR(A8697),MONTH(A8697),1)</f>
        <v>42156.0</v>
      </c>
      <c r="G8697" t="str">
        <f>CHOOSE(WEEKDAY(A8697,2),"Mon","Tue","Wed","Thu","Fri","Sat","Sun")</f>
        <v>Mon</v>
      </c>
      <c r="H8697" t="str">
        <f>IF(WEEKDAY(A8697,2)&gt;5,"Weekend","Weekday")</f>
        <v>Weekday</v>
      </c>
      <c r="I8697" t="str">
        <f>_xlfn.IFS(B8697&lt;=5,"Night (0-5)",B8697&lt;=9,"Morning peak (6-9)",B8697&lt;=15,"Midday (10-15)",B8697&lt;=19,"Evening peak (16-19)",TRUE,"Late evening (20-23)")</f>
        <v>Evening peak (16-19)</v>
      </c>
    </row>
    <row r="8698" spans="1:9">
      <c r="A8698" s="32">
        <v>42184</v>
      </c>
      <c r="B8698">
        <v>19</v>
      </c>
      <c r="C8698">
        <v>4536</v>
      </c>
      <c r="D8698" t="s">
        <v>304</v>
      </c>
      <c r="E8698">
        <f>YEAR(A8698)</f>
        <v>2015</v>
      </c>
      <c r="F8698" s="33">
        <f>DATE(YEAR(A8698),MONTH(A8698),1)</f>
        <v>42156.0</v>
      </c>
      <c r="G8698" t="str">
        <f>CHOOSE(WEEKDAY(A8698,2),"Mon","Tue","Wed","Thu","Fri","Sat","Sun")</f>
        <v>Mon</v>
      </c>
      <c r="H8698" t="str">
        <f>IF(WEEKDAY(A8698,2)&gt;5,"Weekend","Weekday")</f>
        <v>Weekday</v>
      </c>
      <c r="I8698" t="str">
        <f>_xlfn.IFS(B8698&lt;=5,"Night (0-5)",B8698&lt;=9,"Morning peak (6-9)",B8698&lt;=15,"Midday (10-15)",B8698&lt;=19,"Evening peak (16-19)",TRUE,"Late evening (20-23)")</f>
        <v>Evening peak (16-19)</v>
      </c>
    </row>
    <row r="8699" spans="1:9">
      <c r="A8699" s="32">
        <v>42184</v>
      </c>
      <c r="B8699">
        <v>20</v>
      </c>
      <c r="C8699">
        <v>4356</v>
      </c>
      <c r="D8699" t="s">
        <v>304</v>
      </c>
      <c r="E8699">
        <f>YEAR(A8699)</f>
        <v>2015</v>
      </c>
      <c r="F8699" s="33">
        <f>DATE(YEAR(A8699),MONTH(A8699),1)</f>
        <v>42156.0</v>
      </c>
      <c r="G8699" t="str">
        <f>CHOOSE(WEEKDAY(A8699,2),"Mon","Tue","Wed","Thu","Fri","Sat","Sun")</f>
        <v>Mon</v>
      </c>
      <c r="H8699" t="str">
        <f>IF(WEEKDAY(A8699,2)&gt;5,"Weekend","Weekday")</f>
        <v>Weekday</v>
      </c>
      <c r="I8699" t="str">
        <f>_xlfn.IFS(B8699&lt;=5,"Night (0-5)",B8699&lt;=9,"Morning peak (6-9)",B8699&lt;=15,"Midday (10-15)",B8699&lt;=19,"Evening peak (16-19)",TRUE,"Late evening (20-23)")</f>
        <v>Late evening (20-23)</v>
      </c>
    </row>
    <row r="8700" spans="1:9">
      <c r="A8700" s="32">
        <v>42184</v>
      </c>
      <c r="B8700">
        <v>21</v>
      </c>
      <c r="C8700">
        <v>4580</v>
      </c>
      <c r="D8700" t="s">
        <v>304</v>
      </c>
      <c r="E8700">
        <f>YEAR(A8700)</f>
        <v>2015</v>
      </c>
      <c r="F8700" s="33">
        <f>DATE(YEAR(A8700),MONTH(A8700),1)</f>
        <v>42156.0</v>
      </c>
      <c r="G8700" t="str">
        <f>CHOOSE(WEEKDAY(A8700,2),"Mon","Tue","Wed","Thu","Fri","Sat","Sun")</f>
        <v>Mon</v>
      </c>
      <c r="H8700" t="str">
        <f>IF(WEEKDAY(A8700,2)&gt;5,"Weekend","Weekday")</f>
        <v>Weekday</v>
      </c>
      <c r="I8700" t="str">
        <f>_xlfn.IFS(B8700&lt;=5,"Night (0-5)",B8700&lt;=9,"Morning peak (6-9)",B8700&lt;=15,"Midday (10-15)",B8700&lt;=19,"Evening peak (16-19)",TRUE,"Late evening (20-23)")</f>
        <v>Late evening (20-23)</v>
      </c>
    </row>
    <row r="8701" spans="1:9">
      <c r="A8701" s="32">
        <v>42184</v>
      </c>
      <c r="B8701">
        <v>22</v>
      </c>
      <c r="C8701">
        <v>4531</v>
      </c>
      <c r="D8701" t="s">
        <v>304</v>
      </c>
      <c r="E8701">
        <f>YEAR(A8701)</f>
        <v>2015</v>
      </c>
      <c r="F8701" s="33">
        <f>DATE(YEAR(A8701),MONTH(A8701),1)</f>
        <v>42156.0</v>
      </c>
      <c r="G8701" t="str">
        <f>CHOOSE(WEEKDAY(A8701,2),"Mon","Tue","Wed","Thu","Fri","Sat","Sun")</f>
        <v>Mon</v>
      </c>
      <c r="H8701" t="str">
        <f>IF(WEEKDAY(A8701,2)&gt;5,"Weekend","Weekday")</f>
        <v>Weekday</v>
      </c>
      <c r="I8701" t="str">
        <f>_xlfn.IFS(B8701&lt;=5,"Night (0-5)",B8701&lt;=9,"Morning peak (6-9)",B8701&lt;=15,"Midday (10-15)",B8701&lt;=19,"Evening peak (16-19)",TRUE,"Late evening (20-23)")</f>
        <v>Late evening (20-23)</v>
      </c>
    </row>
    <row r="8702" spans="1:9">
      <c r="A8702" s="32">
        <v>42184</v>
      </c>
      <c r="B8702">
        <v>23</v>
      </c>
      <c r="C8702">
        <v>3692</v>
      </c>
      <c r="D8702" t="s">
        <v>304</v>
      </c>
      <c r="E8702">
        <f>YEAR(A8702)</f>
        <v>2015</v>
      </c>
      <c r="F8702" s="33">
        <f>DATE(YEAR(A8702),MONTH(A8702),1)</f>
        <v>42156.0</v>
      </c>
      <c r="G8702" t="str">
        <f>CHOOSE(WEEKDAY(A8702,2),"Mon","Tue","Wed","Thu","Fri","Sat","Sun")</f>
        <v>Mon</v>
      </c>
      <c r="H8702" t="str">
        <f>IF(WEEKDAY(A8702,2)&gt;5,"Weekend","Weekday")</f>
        <v>Weekday</v>
      </c>
      <c r="I8702" t="str">
        <f>_xlfn.IFS(B8702&lt;=5,"Night (0-5)",B8702&lt;=9,"Morning peak (6-9)",B8702&lt;=15,"Midday (10-15)",B8702&lt;=19,"Evening peak (16-19)",TRUE,"Late evening (20-23)")</f>
        <v>Late evening (20-23)</v>
      </c>
    </row>
    <row r="8703" spans="1:9">
      <c r="A8703" s="32">
        <v>42185</v>
      </c>
      <c r="B8703">
        <v>0</v>
      </c>
      <c r="C8703">
        <v>2307</v>
      </c>
      <c r="D8703" t="s">
        <v>304</v>
      </c>
      <c r="E8703">
        <f>YEAR(A8703)</f>
        <v>2015</v>
      </c>
      <c r="F8703" s="33">
        <f>DATE(YEAR(A8703),MONTH(A8703),1)</f>
        <v>42156.0</v>
      </c>
      <c r="G8703" t="str">
        <f>CHOOSE(WEEKDAY(A8703,2),"Mon","Tue","Wed","Thu","Fri","Sat","Sun")</f>
        <v>Tue</v>
      </c>
      <c r="H8703" t="str">
        <f>IF(WEEKDAY(A8703,2)&gt;5,"Weekend","Weekday")</f>
        <v>Weekday</v>
      </c>
      <c r="I8703" t="str">
        <f>_xlfn.IFS(B8703&lt;=5,"Night (0-5)",B8703&lt;=9,"Morning peak (6-9)",B8703&lt;=15,"Midday (10-15)",B8703&lt;=19,"Evening peak (16-19)",TRUE,"Late evening (20-23)")</f>
        <v>Night (0-5)</v>
      </c>
    </row>
    <row r="8704" spans="1:9">
      <c r="A8704" s="32">
        <v>42185</v>
      </c>
      <c r="B8704">
        <v>1</v>
      </c>
      <c r="C8704">
        <v>1316</v>
      </c>
      <c r="D8704" t="s">
        <v>304</v>
      </c>
      <c r="E8704">
        <f>YEAR(A8704)</f>
        <v>2015</v>
      </c>
      <c r="F8704" s="33">
        <f>DATE(YEAR(A8704),MONTH(A8704),1)</f>
        <v>42156.0</v>
      </c>
      <c r="G8704" t="str">
        <f>CHOOSE(WEEKDAY(A8704,2),"Mon","Tue","Wed","Thu","Fri","Sat","Sun")</f>
        <v>Tue</v>
      </c>
      <c r="H8704" t="str">
        <f>IF(WEEKDAY(A8704,2)&gt;5,"Weekend","Weekday")</f>
        <v>Weekday</v>
      </c>
      <c r="I8704" t="str">
        <f>_xlfn.IFS(B8704&lt;=5,"Night (0-5)",B8704&lt;=9,"Morning peak (6-9)",B8704&lt;=15,"Midday (10-15)",B8704&lt;=19,"Evening peak (16-19)",TRUE,"Late evening (20-23)")</f>
        <v>Night (0-5)</v>
      </c>
    </row>
    <row r="8705" spans="1:9">
      <c r="A8705" s="32">
        <v>42185</v>
      </c>
      <c r="B8705">
        <v>2</v>
      </c>
      <c r="C8705">
        <v>786</v>
      </c>
      <c r="D8705" t="s">
        <v>304</v>
      </c>
      <c r="E8705">
        <f>YEAR(A8705)</f>
        <v>2015</v>
      </c>
      <c r="F8705" s="33">
        <f>DATE(YEAR(A8705),MONTH(A8705),1)</f>
        <v>42156.0</v>
      </c>
      <c r="G8705" t="str">
        <f>CHOOSE(WEEKDAY(A8705,2),"Mon","Tue","Wed","Thu","Fri","Sat","Sun")</f>
        <v>Tue</v>
      </c>
      <c r="H8705" t="str">
        <f>IF(WEEKDAY(A8705,2)&gt;5,"Weekend","Weekday")</f>
        <v>Weekday</v>
      </c>
      <c r="I8705" t="str">
        <f>_xlfn.IFS(B8705&lt;=5,"Night (0-5)",B8705&lt;=9,"Morning peak (6-9)",B8705&lt;=15,"Midday (10-15)",B8705&lt;=19,"Evening peak (16-19)",TRUE,"Late evening (20-23)")</f>
        <v>Night (0-5)</v>
      </c>
    </row>
    <row r="8706" spans="1:9">
      <c r="A8706" s="32">
        <v>42185</v>
      </c>
      <c r="B8706">
        <v>3</v>
      </c>
      <c r="C8706">
        <v>577</v>
      </c>
      <c r="D8706" t="s">
        <v>304</v>
      </c>
      <c r="E8706">
        <f>YEAR(A8706)</f>
        <v>2015</v>
      </c>
      <c r="F8706" s="33">
        <f>DATE(YEAR(A8706),MONTH(A8706),1)</f>
        <v>42156.0</v>
      </c>
      <c r="G8706" t="str">
        <f>CHOOSE(WEEKDAY(A8706,2),"Mon","Tue","Wed","Thu","Fri","Sat","Sun")</f>
        <v>Tue</v>
      </c>
      <c r="H8706" t="str">
        <f>IF(WEEKDAY(A8706,2)&gt;5,"Weekend","Weekday")</f>
        <v>Weekday</v>
      </c>
      <c r="I8706" t="str">
        <f>_xlfn.IFS(B8706&lt;=5,"Night (0-5)",B8706&lt;=9,"Morning peak (6-9)",B8706&lt;=15,"Midday (10-15)",B8706&lt;=19,"Evening peak (16-19)",TRUE,"Late evening (20-23)")</f>
        <v>Night (0-5)</v>
      </c>
    </row>
    <row r="8707" spans="1:9">
      <c r="A8707" s="32">
        <v>42185</v>
      </c>
      <c r="B8707">
        <v>4</v>
      </c>
      <c r="C8707">
        <v>814</v>
      </c>
      <c r="D8707" t="s">
        <v>304</v>
      </c>
      <c r="E8707">
        <f>YEAR(A8707)</f>
        <v>2015</v>
      </c>
      <c r="F8707" s="33">
        <f>DATE(YEAR(A8707),MONTH(A8707),1)</f>
        <v>42156.0</v>
      </c>
      <c r="G8707" t="str">
        <f>CHOOSE(WEEKDAY(A8707,2),"Mon","Tue","Wed","Thu","Fri","Sat","Sun")</f>
        <v>Tue</v>
      </c>
      <c r="H8707" t="str">
        <f>IF(WEEKDAY(A8707,2)&gt;5,"Weekend","Weekday")</f>
        <v>Weekday</v>
      </c>
      <c r="I8707" t="str">
        <f>_xlfn.IFS(B8707&lt;=5,"Night (0-5)",B8707&lt;=9,"Morning peak (6-9)",B8707&lt;=15,"Midday (10-15)",B8707&lt;=19,"Evening peak (16-19)",TRUE,"Late evening (20-23)")</f>
        <v>Night (0-5)</v>
      </c>
    </row>
    <row r="8708" spans="1:9">
      <c r="A8708" s="32">
        <v>42185</v>
      </c>
      <c r="B8708">
        <v>5</v>
      </c>
      <c r="C8708">
        <v>1198</v>
      </c>
      <c r="D8708" t="s">
        <v>304</v>
      </c>
      <c r="E8708">
        <f>YEAR(A8708)</f>
        <v>2015</v>
      </c>
      <c r="F8708" s="33">
        <f>DATE(YEAR(A8708),MONTH(A8708),1)</f>
        <v>42156.0</v>
      </c>
      <c r="G8708" t="str">
        <f>CHOOSE(WEEKDAY(A8708,2),"Mon","Tue","Wed","Thu","Fri","Sat","Sun")</f>
        <v>Tue</v>
      </c>
      <c r="H8708" t="str">
        <f>IF(WEEKDAY(A8708,2)&gt;5,"Weekend","Weekday")</f>
        <v>Weekday</v>
      </c>
      <c r="I8708" t="str">
        <f>_xlfn.IFS(B8708&lt;=5,"Night (0-5)",B8708&lt;=9,"Morning peak (6-9)",B8708&lt;=15,"Midday (10-15)",B8708&lt;=19,"Evening peak (16-19)",TRUE,"Late evening (20-23)")</f>
        <v>Night (0-5)</v>
      </c>
    </row>
    <row r="8709" spans="1:9">
      <c r="A8709" s="32">
        <v>42185</v>
      </c>
      <c r="B8709">
        <v>6</v>
      </c>
      <c r="C8709">
        <v>1937</v>
      </c>
      <c r="D8709" t="s">
        <v>304</v>
      </c>
      <c r="E8709">
        <f>YEAR(A8709)</f>
        <v>2015</v>
      </c>
      <c r="F8709" s="33">
        <f>DATE(YEAR(A8709),MONTH(A8709),1)</f>
        <v>42156.0</v>
      </c>
      <c r="G8709" t="str">
        <f>CHOOSE(WEEKDAY(A8709,2),"Mon","Tue","Wed","Thu","Fri","Sat","Sun")</f>
        <v>Tue</v>
      </c>
      <c r="H8709" t="str">
        <f>IF(WEEKDAY(A8709,2)&gt;5,"Weekend","Weekday")</f>
        <v>Weekday</v>
      </c>
      <c r="I8709" t="str">
        <f>_xlfn.IFS(B8709&lt;=5,"Night (0-5)",B8709&lt;=9,"Morning peak (6-9)",B8709&lt;=15,"Midday (10-15)",B8709&lt;=19,"Evening peak (16-19)",TRUE,"Late evening (20-23)")</f>
        <v>Morning peak (6-9)</v>
      </c>
    </row>
    <row r="8710" spans="1:9">
      <c r="A8710" s="32">
        <v>42185</v>
      </c>
      <c r="B8710">
        <v>7</v>
      </c>
      <c r="C8710">
        <v>3219</v>
      </c>
      <c r="D8710" t="s">
        <v>304</v>
      </c>
      <c r="E8710">
        <f>YEAR(A8710)</f>
        <v>2015</v>
      </c>
      <c r="F8710" s="33">
        <f>DATE(YEAR(A8710),MONTH(A8710),1)</f>
        <v>42156.0</v>
      </c>
      <c r="G8710" t="str">
        <f>CHOOSE(WEEKDAY(A8710,2),"Mon","Tue","Wed","Thu","Fri","Sat","Sun")</f>
        <v>Tue</v>
      </c>
      <c r="H8710" t="str">
        <f>IF(WEEKDAY(A8710,2)&gt;5,"Weekend","Weekday")</f>
        <v>Weekday</v>
      </c>
      <c r="I8710" t="str">
        <f>_xlfn.IFS(B8710&lt;=5,"Night (0-5)",B8710&lt;=9,"Morning peak (6-9)",B8710&lt;=15,"Midday (10-15)",B8710&lt;=19,"Evening peak (16-19)",TRUE,"Late evening (20-23)")</f>
        <v>Morning peak (6-9)</v>
      </c>
    </row>
    <row r="8711" spans="1:9">
      <c r="A8711" s="32">
        <v>42185</v>
      </c>
      <c r="B8711">
        <v>8</v>
      </c>
      <c r="C8711">
        <v>4477</v>
      </c>
      <c r="D8711" t="s">
        <v>304</v>
      </c>
      <c r="E8711">
        <f>YEAR(A8711)</f>
        <v>2015</v>
      </c>
      <c r="F8711" s="33">
        <f>DATE(YEAR(A8711),MONTH(A8711),1)</f>
        <v>42156.0</v>
      </c>
      <c r="G8711" t="str">
        <f>CHOOSE(WEEKDAY(A8711,2),"Mon","Tue","Wed","Thu","Fri","Sat","Sun")</f>
        <v>Tue</v>
      </c>
      <c r="H8711" t="str">
        <f>IF(WEEKDAY(A8711,2)&gt;5,"Weekend","Weekday")</f>
        <v>Weekday</v>
      </c>
      <c r="I8711" t="str">
        <f>_xlfn.IFS(B8711&lt;=5,"Night (0-5)",B8711&lt;=9,"Morning peak (6-9)",B8711&lt;=15,"Midday (10-15)",B8711&lt;=19,"Evening peak (16-19)",TRUE,"Late evening (20-23)")</f>
        <v>Morning peak (6-9)</v>
      </c>
    </row>
    <row r="8712" spans="1:9">
      <c r="A8712" s="32">
        <v>42185</v>
      </c>
      <c r="B8712">
        <v>9</v>
      </c>
      <c r="C8712">
        <v>4223</v>
      </c>
      <c r="D8712" t="s">
        <v>304</v>
      </c>
      <c r="E8712">
        <f>YEAR(A8712)</f>
        <v>2015</v>
      </c>
      <c r="F8712" s="33">
        <f>DATE(YEAR(A8712),MONTH(A8712),1)</f>
        <v>42156.0</v>
      </c>
      <c r="G8712" t="str">
        <f>CHOOSE(WEEKDAY(A8712,2),"Mon","Tue","Wed","Thu","Fri","Sat","Sun")</f>
        <v>Tue</v>
      </c>
      <c r="H8712" t="str">
        <f>IF(WEEKDAY(A8712,2)&gt;5,"Weekend","Weekday")</f>
        <v>Weekday</v>
      </c>
      <c r="I8712" t="str">
        <f>_xlfn.IFS(B8712&lt;=5,"Night (0-5)",B8712&lt;=9,"Morning peak (6-9)",B8712&lt;=15,"Midday (10-15)",B8712&lt;=19,"Evening peak (16-19)",TRUE,"Late evening (20-23)")</f>
        <v>Morning peak (6-9)</v>
      </c>
    </row>
    <row r="8713" spans="1:9">
      <c r="A8713" s="32">
        <v>42185</v>
      </c>
      <c r="B8713">
        <v>10</v>
      </c>
      <c r="C8713">
        <v>3187</v>
      </c>
      <c r="D8713" t="s">
        <v>304</v>
      </c>
      <c r="E8713">
        <f>YEAR(A8713)</f>
        <v>2015</v>
      </c>
      <c r="F8713" s="33">
        <f>DATE(YEAR(A8713),MONTH(A8713),1)</f>
        <v>42156.0</v>
      </c>
      <c r="G8713" t="str">
        <f>CHOOSE(WEEKDAY(A8713,2),"Mon","Tue","Wed","Thu","Fri","Sat","Sun")</f>
        <v>Tue</v>
      </c>
      <c r="H8713" t="str">
        <f>IF(WEEKDAY(A8713,2)&gt;5,"Weekend","Weekday")</f>
        <v>Weekday</v>
      </c>
      <c r="I8713" t="str">
        <f>_xlfn.IFS(B8713&lt;=5,"Night (0-5)",B8713&lt;=9,"Morning peak (6-9)",B8713&lt;=15,"Midday (10-15)",B8713&lt;=19,"Evening peak (16-19)",TRUE,"Late evening (20-23)")</f>
        <v>Midday (10-15)</v>
      </c>
    </row>
    <row r="8714" spans="1:9">
      <c r="A8714" s="32">
        <v>42185</v>
      </c>
      <c r="B8714">
        <v>11</v>
      </c>
      <c r="C8714">
        <v>3041</v>
      </c>
      <c r="D8714" t="s">
        <v>304</v>
      </c>
      <c r="E8714">
        <f>YEAR(A8714)</f>
        <v>2015</v>
      </c>
      <c r="F8714" s="33">
        <f>DATE(YEAR(A8714),MONTH(A8714),1)</f>
        <v>42156.0</v>
      </c>
      <c r="G8714" t="str">
        <f>CHOOSE(WEEKDAY(A8714,2),"Mon","Tue","Wed","Thu","Fri","Sat","Sun")</f>
        <v>Tue</v>
      </c>
      <c r="H8714" t="str">
        <f>IF(WEEKDAY(A8714,2)&gt;5,"Weekend","Weekday")</f>
        <v>Weekday</v>
      </c>
      <c r="I8714" t="str">
        <f>_xlfn.IFS(B8714&lt;=5,"Night (0-5)",B8714&lt;=9,"Morning peak (6-9)",B8714&lt;=15,"Midday (10-15)",B8714&lt;=19,"Evening peak (16-19)",TRUE,"Late evening (20-23)")</f>
        <v>Midday (10-15)</v>
      </c>
    </row>
    <row r="8715" spans="1:9">
      <c r="A8715" s="32">
        <v>42185</v>
      </c>
      <c r="B8715">
        <v>12</v>
      </c>
      <c r="C8715">
        <v>3103</v>
      </c>
      <c r="D8715" t="s">
        <v>304</v>
      </c>
      <c r="E8715">
        <f>YEAR(A8715)</f>
        <v>2015</v>
      </c>
      <c r="F8715" s="33">
        <f>DATE(YEAR(A8715),MONTH(A8715),1)</f>
        <v>42156.0</v>
      </c>
      <c r="G8715" t="str">
        <f>CHOOSE(WEEKDAY(A8715,2),"Mon","Tue","Wed","Thu","Fri","Sat","Sun")</f>
        <v>Tue</v>
      </c>
      <c r="H8715" t="str">
        <f>IF(WEEKDAY(A8715,2)&gt;5,"Weekend","Weekday")</f>
        <v>Weekday</v>
      </c>
      <c r="I8715" t="str">
        <f>_xlfn.IFS(B8715&lt;=5,"Night (0-5)",B8715&lt;=9,"Morning peak (6-9)",B8715&lt;=15,"Midday (10-15)",B8715&lt;=19,"Evening peak (16-19)",TRUE,"Late evening (20-23)")</f>
        <v>Midday (10-15)</v>
      </c>
    </row>
    <row r="8716" spans="1:9">
      <c r="A8716" s="32">
        <v>42185</v>
      </c>
      <c r="B8716">
        <v>13</v>
      </c>
      <c r="C8716">
        <v>3050</v>
      </c>
      <c r="D8716" t="s">
        <v>304</v>
      </c>
      <c r="E8716">
        <f>YEAR(A8716)</f>
        <v>2015</v>
      </c>
      <c r="F8716" s="33">
        <f>DATE(YEAR(A8716),MONTH(A8716),1)</f>
        <v>42156.0</v>
      </c>
      <c r="G8716" t="str">
        <f>CHOOSE(WEEKDAY(A8716,2),"Mon","Tue","Wed","Thu","Fri","Sat","Sun")</f>
        <v>Tue</v>
      </c>
      <c r="H8716" t="str">
        <f>IF(WEEKDAY(A8716,2)&gt;5,"Weekend","Weekday")</f>
        <v>Weekday</v>
      </c>
      <c r="I8716" t="str">
        <f>_xlfn.IFS(B8716&lt;=5,"Night (0-5)",B8716&lt;=9,"Morning peak (6-9)",B8716&lt;=15,"Midday (10-15)",B8716&lt;=19,"Evening peak (16-19)",TRUE,"Late evening (20-23)")</f>
        <v>Midday (10-15)</v>
      </c>
    </row>
    <row r="8717" spans="1:9">
      <c r="A8717" s="32">
        <v>42185</v>
      </c>
      <c r="B8717">
        <v>14</v>
      </c>
      <c r="C8717">
        <v>3345</v>
      </c>
      <c r="D8717" t="s">
        <v>304</v>
      </c>
      <c r="E8717">
        <f>YEAR(A8717)</f>
        <v>2015</v>
      </c>
      <c r="F8717" s="33">
        <f>DATE(YEAR(A8717),MONTH(A8717),1)</f>
        <v>42156.0</v>
      </c>
      <c r="G8717" t="str">
        <f>CHOOSE(WEEKDAY(A8717,2),"Mon","Tue","Wed","Thu","Fri","Sat","Sun")</f>
        <v>Tue</v>
      </c>
      <c r="H8717" t="str">
        <f>IF(WEEKDAY(A8717,2)&gt;5,"Weekend","Weekday")</f>
        <v>Weekday</v>
      </c>
      <c r="I8717" t="str">
        <f>_xlfn.IFS(B8717&lt;=5,"Night (0-5)",B8717&lt;=9,"Morning peak (6-9)",B8717&lt;=15,"Midday (10-15)",B8717&lt;=19,"Evening peak (16-19)",TRUE,"Late evening (20-23)")</f>
        <v>Midday (10-15)</v>
      </c>
    </row>
    <row r="8718" spans="1:9">
      <c r="A8718" s="32">
        <v>42185</v>
      </c>
      <c r="B8718">
        <v>15</v>
      </c>
      <c r="C8718">
        <v>3571</v>
      </c>
      <c r="D8718" t="s">
        <v>304</v>
      </c>
      <c r="E8718">
        <f>YEAR(A8718)</f>
        <v>2015</v>
      </c>
      <c r="F8718" s="33">
        <f>DATE(YEAR(A8718),MONTH(A8718),1)</f>
        <v>42156.0</v>
      </c>
      <c r="G8718" t="str">
        <f>CHOOSE(WEEKDAY(A8718,2),"Mon","Tue","Wed","Thu","Fri","Sat","Sun")</f>
        <v>Tue</v>
      </c>
      <c r="H8718" t="str">
        <f>IF(WEEKDAY(A8718,2)&gt;5,"Weekend","Weekday")</f>
        <v>Weekday</v>
      </c>
      <c r="I8718" t="str">
        <f>_xlfn.IFS(B8718&lt;=5,"Night (0-5)",B8718&lt;=9,"Morning peak (6-9)",B8718&lt;=15,"Midday (10-15)",B8718&lt;=19,"Evening peak (16-19)",TRUE,"Late evening (20-23)")</f>
        <v>Midday (10-15)</v>
      </c>
    </row>
    <row r="8719" spans="1:9">
      <c r="A8719" s="32">
        <v>42185</v>
      </c>
      <c r="B8719">
        <v>16</v>
      </c>
      <c r="C8719">
        <v>4146</v>
      </c>
      <c r="D8719" t="s">
        <v>304</v>
      </c>
      <c r="E8719">
        <f>YEAR(A8719)</f>
        <v>2015</v>
      </c>
      <c r="F8719" s="33">
        <f>DATE(YEAR(A8719),MONTH(A8719),1)</f>
        <v>42156.0</v>
      </c>
      <c r="G8719" t="str">
        <f>CHOOSE(WEEKDAY(A8719,2),"Mon","Tue","Wed","Thu","Fri","Sat","Sun")</f>
        <v>Tue</v>
      </c>
      <c r="H8719" t="str">
        <f>IF(WEEKDAY(A8719,2)&gt;5,"Weekend","Weekday")</f>
        <v>Weekday</v>
      </c>
      <c r="I8719" t="str">
        <f>_xlfn.IFS(B8719&lt;=5,"Night (0-5)",B8719&lt;=9,"Morning peak (6-9)",B8719&lt;=15,"Midday (10-15)",B8719&lt;=19,"Evening peak (16-19)",TRUE,"Late evening (20-23)")</f>
        <v>Evening peak (16-19)</v>
      </c>
    </row>
    <row r="8720" spans="1:9">
      <c r="A8720" s="32">
        <v>42185</v>
      </c>
      <c r="B8720">
        <v>17</v>
      </c>
      <c r="C8720">
        <v>4875</v>
      </c>
      <c r="D8720" t="s">
        <v>304</v>
      </c>
      <c r="E8720">
        <f>YEAR(A8720)</f>
        <v>2015</v>
      </c>
      <c r="F8720" s="33">
        <f>DATE(YEAR(A8720),MONTH(A8720),1)</f>
        <v>42156.0</v>
      </c>
      <c r="G8720" t="str">
        <f>CHOOSE(WEEKDAY(A8720,2),"Mon","Tue","Wed","Thu","Fri","Sat","Sun")</f>
        <v>Tue</v>
      </c>
      <c r="H8720" t="str">
        <f>IF(WEEKDAY(A8720,2)&gt;5,"Weekend","Weekday")</f>
        <v>Weekday</v>
      </c>
      <c r="I8720" t="str">
        <f>_xlfn.IFS(B8720&lt;=5,"Night (0-5)",B8720&lt;=9,"Morning peak (6-9)",B8720&lt;=15,"Midday (10-15)",B8720&lt;=19,"Evening peak (16-19)",TRUE,"Late evening (20-23)")</f>
        <v>Evening peak (16-19)</v>
      </c>
    </row>
    <row r="8721" spans="1:9">
      <c r="A8721" s="32">
        <v>42185</v>
      </c>
      <c r="B8721">
        <v>18</v>
      </c>
      <c r="C8721">
        <v>5821</v>
      </c>
      <c r="D8721" t="s">
        <v>304</v>
      </c>
      <c r="E8721">
        <f>YEAR(A8721)</f>
        <v>2015</v>
      </c>
      <c r="F8721" s="33">
        <f>DATE(YEAR(A8721),MONTH(A8721),1)</f>
        <v>42156.0</v>
      </c>
      <c r="G8721" t="str">
        <f>CHOOSE(WEEKDAY(A8721,2),"Mon","Tue","Wed","Thu","Fri","Sat","Sun")</f>
        <v>Tue</v>
      </c>
      <c r="H8721" t="str">
        <f>IF(WEEKDAY(A8721,2)&gt;5,"Weekend","Weekday")</f>
        <v>Weekday</v>
      </c>
      <c r="I8721" t="str">
        <f>_xlfn.IFS(B8721&lt;=5,"Night (0-5)",B8721&lt;=9,"Morning peak (6-9)",B8721&lt;=15,"Midday (10-15)",B8721&lt;=19,"Evening peak (16-19)",TRUE,"Late evening (20-23)")</f>
        <v>Evening peak (16-19)</v>
      </c>
    </row>
    <row r="8722" spans="1:9">
      <c r="A8722" s="32">
        <v>42185</v>
      </c>
      <c r="B8722">
        <v>19</v>
      </c>
      <c r="C8722">
        <v>5807</v>
      </c>
      <c r="D8722" t="s">
        <v>304</v>
      </c>
      <c r="E8722">
        <f>YEAR(A8722)</f>
        <v>2015</v>
      </c>
      <c r="F8722" s="33">
        <f>DATE(YEAR(A8722),MONTH(A8722),1)</f>
        <v>42156.0</v>
      </c>
      <c r="G8722" t="str">
        <f>CHOOSE(WEEKDAY(A8722,2),"Mon","Tue","Wed","Thu","Fri","Sat","Sun")</f>
        <v>Tue</v>
      </c>
      <c r="H8722" t="str">
        <f>IF(WEEKDAY(A8722,2)&gt;5,"Weekend","Weekday")</f>
        <v>Weekday</v>
      </c>
      <c r="I8722" t="str">
        <f>_xlfn.IFS(B8722&lt;=5,"Night (0-5)",B8722&lt;=9,"Morning peak (6-9)",B8722&lt;=15,"Midday (10-15)",B8722&lt;=19,"Evening peak (16-19)",TRUE,"Late evening (20-23)")</f>
        <v>Evening peak (16-19)</v>
      </c>
    </row>
    <row r="8723" spans="1:9">
      <c r="A8723" s="32">
        <v>42185</v>
      </c>
      <c r="B8723">
        <v>20</v>
      </c>
      <c r="C8723">
        <v>5392</v>
      </c>
      <c r="D8723" t="s">
        <v>304</v>
      </c>
      <c r="E8723">
        <f>YEAR(A8723)</f>
        <v>2015</v>
      </c>
      <c r="F8723" s="33">
        <f>DATE(YEAR(A8723),MONTH(A8723),1)</f>
        <v>42156.0</v>
      </c>
      <c r="G8723" t="str">
        <f>CHOOSE(WEEKDAY(A8723,2),"Mon","Tue","Wed","Thu","Fri","Sat","Sun")</f>
        <v>Tue</v>
      </c>
      <c r="H8723" t="str">
        <f>IF(WEEKDAY(A8723,2)&gt;5,"Weekend","Weekday")</f>
        <v>Weekday</v>
      </c>
      <c r="I8723" t="str">
        <f>_xlfn.IFS(B8723&lt;=5,"Night (0-5)",B8723&lt;=9,"Morning peak (6-9)",B8723&lt;=15,"Midday (10-15)",B8723&lt;=19,"Evening peak (16-19)",TRUE,"Late evening (20-23)")</f>
        <v>Late evening (20-23)</v>
      </c>
    </row>
    <row r="8724" spans="1:9">
      <c r="A8724" s="32">
        <v>42185</v>
      </c>
      <c r="B8724">
        <v>21</v>
      </c>
      <c r="C8724">
        <v>5955</v>
      </c>
      <c r="D8724" t="s">
        <v>304</v>
      </c>
      <c r="E8724">
        <f>YEAR(A8724)</f>
        <v>2015</v>
      </c>
      <c r="F8724" s="33">
        <f>DATE(YEAR(A8724),MONTH(A8724),1)</f>
        <v>42156.0</v>
      </c>
      <c r="G8724" t="str">
        <f>CHOOSE(WEEKDAY(A8724,2),"Mon","Tue","Wed","Thu","Fri","Sat","Sun")</f>
        <v>Tue</v>
      </c>
      <c r="H8724" t="str">
        <f>IF(WEEKDAY(A8724,2)&gt;5,"Weekend","Weekday")</f>
        <v>Weekday</v>
      </c>
      <c r="I8724" t="str">
        <f>_xlfn.IFS(B8724&lt;=5,"Night (0-5)",B8724&lt;=9,"Morning peak (6-9)",B8724&lt;=15,"Midday (10-15)",B8724&lt;=19,"Evening peak (16-19)",TRUE,"Late evening (20-23)")</f>
        <v>Late evening (20-23)</v>
      </c>
    </row>
    <row r="8725" spans="1:9">
      <c r="A8725" s="32">
        <v>42185</v>
      </c>
      <c r="B8725">
        <v>22</v>
      </c>
      <c r="C8725">
        <v>5749</v>
      </c>
      <c r="D8725" t="s">
        <v>304</v>
      </c>
      <c r="E8725">
        <f>YEAR(A8725)</f>
        <v>2015</v>
      </c>
      <c r="F8725" s="33">
        <f>DATE(YEAR(A8725),MONTH(A8725),1)</f>
        <v>42156.0</v>
      </c>
      <c r="G8725" t="str">
        <f>CHOOSE(WEEKDAY(A8725,2),"Mon","Tue","Wed","Thu","Fri","Sat","Sun")</f>
        <v>Tue</v>
      </c>
      <c r="H8725" t="str">
        <f>IF(WEEKDAY(A8725,2)&gt;5,"Weekend","Weekday")</f>
        <v>Weekday</v>
      </c>
      <c r="I8725" t="str">
        <f>_xlfn.IFS(B8725&lt;=5,"Night (0-5)",B8725&lt;=9,"Morning peak (6-9)",B8725&lt;=15,"Midday (10-15)",B8725&lt;=19,"Evening peak (16-19)",TRUE,"Late evening (20-23)")</f>
        <v>Late evening (20-23)</v>
      </c>
    </row>
    <row r="8726" spans="1:9">
      <c r="A8726" s="32">
        <v>42185</v>
      </c>
      <c r="B8726">
        <v>23</v>
      </c>
      <c r="C8726">
        <v>4731</v>
      </c>
      <c r="D8726" t="s">
        <v>304</v>
      </c>
      <c r="E8726">
        <f>YEAR(A8726)</f>
        <v>2015</v>
      </c>
      <c r="F8726" s="33">
        <f>DATE(YEAR(A8726),MONTH(A8726),1)</f>
        <v>42156.0</v>
      </c>
      <c r="G8726" t="str">
        <f>CHOOSE(WEEKDAY(A8726,2),"Mon","Tue","Wed","Thu","Fri","Sat","Sun")</f>
        <v>Tue</v>
      </c>
      <c r="H8726" t="str">
        <f>IF(WEEKDAY(A8726,2)&gt;5,"Weekend","Weekday")</f>
        <v>Weekday</v>
      </c>
      <c r="I8726" t="str">
        <f>_xlfn.IFS(B8726&lt;=5,"Night (0-5)",B8726&lt;=9,"Morning peak (6-9)",B8726&lt;=15,"Midday (10-15)",B8726&lt;=19,"Evening peak (16-19)",TRUE,"Late evening (20-23)")</f>
        <v>Late evening (20-23)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dimension ref="A1:J365"/>
  <sheetViews>
    <sheetView showGridLines="0" zoomScale="90" zoomScaleNormal="90" workbookViewId="0">
      <pane ySplit="1" topLeftCell="A2" activePane="bottomLeft" state="frozen"/>
      <selection pane="bottomLeft"/>
    </sheetView>
  </sheetViews>
  <sheetFormatPr defaultRowHeight="15"/>
  <cols>
    <col min="1" max="1" width="11.7109375" customWidth="1"/>
    <col min="2" max="2" width="13.7109375" customWidth="1"/>
    <col min="3" max="4" width="9.7109375" customWidth="1"/>
    <col min="5" max="6" width="10.7109375" customWidth="1"/>
    <col min="7" max="7" width="8.7109375" customWidth="1"/>
    <col min="8" max="8" width="11.7109375" customWidth="1"/>
    <col min="9" max="9" width="10.7109375" customWidth="1"/>
    <col min="10" max="10" width="13.7109375" customWidth="1"/>
  </cols>
  <sheetData>
    <row r="1" spans="1:10">
      <c r="A1" t="s">
        <v>305</v>
      </c>
      <c r="B1" t="s">
        <v>308</v>
      </c>
      <c r="C1" t="s">
        <v>307</v>
      </c>
      <c r="D1" t="s">
        <v>311</v>
      </c>
      <c r="E1" t="s">
        <v>312</v>
      </c>
      <c r="F1" t="s">
        <v>310</v>
      </c>
      <c r="G1" t="s">
        <v>314</v>
      </c>
      <c r="H1" t="s">
        <v>315</v>
      </c>
      <c r="I1" t="s">
        <v>316</v>
      </c>
      <c r="J1" t="s">
        <v>317</v>
      </c>
    </row>
    <row r="2" spans="1:10">
      <c r="A2" s="32">
        <v>41730</v>
      </c>
      <c r="B2" t="s">
        <v>303</v>
      </c>
      <c r="C2">
        <f>SUMIFS(tblHourly[Trips],tblHourly[Date],A2)</f>
        <v>14546</v>
      </c>
      <c r="D2" t="str">
        <f>CHOOSE(WEEKDAY(A2,2),"Mon","Tue","Wed","Thu","Fri","Sat","Sun")</f>
        <v>Tue</v>
      </c>
      <c r="E2" t="str">
        <f>IF(WEEKDAY(A2,2)&gt;5,"Weekend","Weekday")</f>
        <v>Weekday</v>
      </c>
      <c r="F2" s="33">
        <f>DATE(YEAR(A2),MONTH(A2),1)</f>
        <v>41730.0</v>
      </c>
      <c r="G2" t="str">
        <f>IF(COUNTIF(HolidayDates,A2)&gt;0,"Yes","No")</f>
        <v>No</v>
      </c>
      <c r="H2" t="str">
        <f>IF(COUNTIF(SpecialDates,A2)&gt;0,"Yes","No")</f>
        <v>No</v>
      </c>
      <c r="I2">
        <f>IF(B2="2015 Jan-Jun",C2,"")</f>
        <v/>
      </c>
      <c r="J2" s="34">
        <f>IF(COUNTIFS(tblDaily[Period],B2,tblDaily[Date],"&lt;="&amp;A2,tblDaily[Date],"&gt;"&amp;(A2-7))=7,AVERAGEIFS(tblDaily[Trips],tblDaily[Period],B2,tblDaily[Date],"&lt;="&amp;A2,tblDaily[Date],"&gt;"&amp;(A2-7)),"")</f>
        <v/>
      </c>
    </row>
    <row r="3" spans="1:10">
      <c r="A3" s="32">
        <v>41731</v>
      </c>
      <c r="B3" t="s">
        <v>303</v>
      </c>
      <c r="C3">
        <f>SUMIFS(tblHourly[Trips],tblHourly[Date],A3)</f>
        <v>17474</v>
      </c>
      <c r="D3" t="str">
        <f>CHOOSE(WEEKDAY(A3,2),"Mon","Tue","Wed","Thu","Fri","Sat","Sun")</f>
        <v>Wed</v>
      </c>
      <c r="E3" t="str">
        <f>IF(WEEKDAY(A3,2)&gt;5,"Weekend","Weekday")</f>
        <v>Weekday</v>
      </c>
      <c r="F3" s="33">
        <f>DATE(YEAR(A3),MONTH(A3),1)</f>
        <v>41730.0</v>
      </c>
      <c r="G3" t="str">
        <f>IF(COUNTIF(HolidayDates,A3)&gt;0,"Yes","No")</f>
        <v>No</v>
      </c>
      <c r="H3" t="str">
        <f>IF(COUNTIF(SpecialDates,A3)&gt;0,"Yes","No")</f>
        <v>No</v>
      </c>
      <c r="I3">
        <f>IF(B3="2015 Jan-Jun",C3,"")</f>
        <v/>
      </c>
      <c r="J3" s="34">
        <f>IF(COUNTIFS(tblDaily[Period],B3,tblDaily[Date],"&lt;="&amp;A3,tblDaily[Date],"&gt;"&amp;(A3-7))=7,AVERAGEIFS(tblDaily[Trips],tblDaily[Period],B3,tblDaily[Date],"&lt;="&amp;A3,tblDaily[Date],"&gt;"&amp;(A3-7)),"")</f>
        <v/>
      </c>
    </row>
    <row r="4" spans="1:10">
      <c r="A4" s="32">
        <v>41732</v>
      </c>
      <c r="B4" t="s">
        <v>303</v>
      </c>
      <c r="C4">
        <f>SUMIFS(tblHourly[Trips],tblHourly[Date],A4)</f>
        <v>20701</v>
      </c>
      <c r="D4" t="str">
        <f>CHOOSE(WEEKDAY(A4,2),"Mon","Tue","Wed","Thu","Fri","Sat","Sun")</f>
        <v>Thu</v>
      </c>
      <c r="E4" t="str">
        <f>IF(WEEKDAY(A4,2)&gt;5,"Weekend","Weekday")</f>
        <v>Weekday</v>
      </c>
      <c r="F4" s="33">
        <f>DATE(YEAR(A4),MONTH(A4),1)</f>
        <v>41730.0</v>
      </c>
      <c r="G4" t="str">
        <f>IF(COUNTIF(HolidayDates,A4)&gt;0,"Yes","No")</f>
        <v>No</v>
      </c>
      <c r="H4" t="str">
        <f>IF(COUNTIF(SpecialDates,A4)&gt;0,"Yes","No")</f>
        <v>No</v>
      </c>
      <c r="I4">
        <f>IF(B4="2015 Jan-Jun",C4,"")</f>
        <v/>
      </c>
      <c r="J4" s="34">
        <f>IF(COUNTIFS(tblDaily[Period],B4,tblDaily[Date],"&lt;="&amp;A4,tblDaily[Date],"&gt;"&amp;(A4-7))=7,AVERAGEIFS(tblDaily[Trips],tblDaily[Period],B4,tblDaily[Date],"&lt;="&amp;A4,tblDaily[Date],"&gt;"&amp;(A4-7)),"")</f>
        <v/>
      </c>
    </row>
    <row r="5" spans="1:10">
      <c r="A5" s="32">
        <v>41733</v>
      </c>
      <c r="B5" t="s">
        <v>303</v>
      </c>
      <c r="C5">
        <f>SUMIFS(tblHourly[Trips],tblHourly[Date],A5)</f>
        <v>26714</v>
      </c>
      <c r="D5" t="str">
        <f>CHOOSE(WEEKDAY(A5,2),"Mon","Tue","Wed","Thu","Fri","Sat","Sun")</f>
        <v>Fri</v>
      </c>
      <c r="E5" t="str">
        <f>IF(WEEKDAY(A5,2)&gt;5,"Weekend","Weekday")</f>
        <v>Weekday</v>
      </c>
      <c r="F5" s="33">
        <f>DATE(YEAR(A5),MONTH(A5),1)</f>
        <v>41730.0</v>
      </c>
      <c r="G5" t="str">
        <f>IF(COUNTIF(HolidayDates,A5)&gt;0,"Yes","No")</f>
        <v>No</v>
      </c>
      <c r="H5" t="str">
        <f>IF(COUNTIF(SpecialDates,A5)&gt;0,"Yes","No")</f>
        <v>No</v>
      </c>
      <c r="I5">
        <f>IF(B5="2015 Jan-Jun",C5,"")</f>
        <v/>
      </c>
      <c r="J5" s="34">
        <f>IF(COUNTIFS(tblDaily[Period],B5,tblDaily[Date],"&lt;="&amp;A5,tblDaily[Date],"&gt;"&amp;(A5-7))=7,AVERAGEIFS(tblDaily[Trips],tblDaily[Period],B5,tblDaily[Date],"&lt;="&amp;A5,tblDaily[Date],"&gt;"&amp;(A5-7)),"")</f>
        <v/>
      </c>
    </row>
    <row r="6" spans="1:10">
      <c r="A6" s="32">
        <v>41734</v>
      </c>
      <c r="B6" t="s">
        <v>303</v>
      </c>
      <c r="C6">
        <f>SUMIFS(tblHourly[Trips],tblHourly[Date],A6)</f>
        <v>19521</v>
      </c>
      <c r="D6" t="str">
        <f>CHOOSE(WEEKDAY(A6,2),"Mon","Tue","Wed","Thu","Fri","Sat","Sun")</f>
        <v>Sat</v>
      </c>
      <c r="E6" t="str">
        <f>IF(WEEKDAY(A6,2)&gt;5,"Weekend","Weekday")</f>
        <v>Weekend</v>
      </c>
      <c r="F6" s="33">
        <f>DATE(YEAR(A6),MONTH(A6),1)</f>
        <v>41730.0</v>
      </c>
      <c r="G6" t="str">
        <f>IF(COUNTIF(HolidayDates,A6)&gt;0,"Yes","No")</f>
        <v>No</v>
      </c>
      <c r="H6" t="str">
        <f>IF(COUNTIF(SpecialDates,A6)&gt;0,"Yes","No")</f>
        <v>No</v>
      </c>
      <c r="I6">
        <f>IF(B6="2015 Jan-Jun",C6,"")</f>
        <v/>
      </c>
      <c r="J6" s="34">
        <f>IF(COUNTIFS(tblDaily[Period],B6,tblDaily[Date],"&lt;="&amp;A6,tblDaily[Date],"&gt;"&amp;(A6-7))=7,AVERAGEIFS(tblDaily[Trips],tblDaily[Period],B6,tblDaily[Date],"&lt;="&amp;A6,tblDaily[Date],"&gt;"&amp;(A6-7)),"")</f>
        <v/>
      </c>
    </row>
    <row r="7" spans="1:10">
      <c r="A7" s="32">
        <v>41735</v>
      </c>
      <c r="B7" t="s">
        <v>303</v>
      </c>
      <c r="C7">
        <f>SUMIFS(tblHourly[Trips],tblHourly[Date],A7)</f>
        <v>13445</v>
      </c>
      <c r="D7" t="str">
        <f>CHOOSE(WEEKDAY(A7,2),"Mon","Tue","Wed","Thu","Fri","Sat","Sun")</f>
        <v>Sun</v>
      </c>
      <c r="E7" t="str">
        <f>IF(WEEKDAY(A7,2)&gt;5,"Weekend","Weekday")</f>
        <v>Weekend</v>
      </c>
      <c r="F7" s="33">
        <f>DATE(YEAR(A7),MONTH(A7),1)</f>
        <v>41730.0</v>
      </c>
      <c r="G7" t="str">
        <f>IF(COUNTIF(HolidayDates,A7)&gt;0,"Yes","No")</f>
        <v>No</v>
      </c>
      <c r="H7" t="str">
        <f>IF(COUNTIF(SpecialDates,A7)&gt;0,"Yes","No")</f>
        <v>No</v>
      </c>
      <c r="I7">
        <f>IF(B7="2015 Jan-Jun",C7,"")</f>
        <v/>
      </c>
      <c r="J7" s="34">
        <f>IF(COUNTIFS(tblDaily[Period],B7,tblDaily[Date],"&lt;="&amp;A7,tblDaily[Date],"&gt;"&amp;(A7-7))=7,AVERAGEIFS(tblDaily[Trips],tblDaily[Period],B7,tblDaily[Date],"&lt;="&amp;A7,tblDaily[Date],"&gt;"&amp;(A7-7)),"")</f>
        <v/>
      </c>
    </row>
    <row r="8" spans="1:10">
      <c r="A8" s="32">
        <v>41736</v>
      </c>
      <c r="B8" t="s">
        <v>303</v>
      </c>
      <c r="C8">
        <f>SUMIFS(tblHourly[Trips],tblHourly[Date],A8)</f>
        <v>19550</v>
      </c>
      <c r="D8" t="str">
        <f>CHOOSE(WEEKDAY(A8,2),"Mon","Tue","Wed","Thu","Fri","Sat","Sun")</f>
        <v>Mon</v>
      </c>
      <c r="E8" t="str">
        <f>IF(WEEKDAY(A8,2)&gt;5,"Weekend","Weekday")</f>
        <v>Weekday</v>
      </c>
      <c r="F8" s="33">
        <f>DATE(YEAR(A8),MONTH(A8),1)</f>
        <v>41730.0</v>
      </c>
      <c r="G8" t="str">
        <f>IF(COUNTIF(HolidayDates,A8)&gt;0,"Yes","No")</f>
        <v>No</v>
      </c>
      <c r="H8" t="str">
        <f>IF(COUNTIF(SpecialDates,A8)&gt;0,"Yes","No")</f>
        <v>No</v>
      </c>
      <c r="I8">
        <f>IF(B8="2015 Jan-Jun",C8,"")</f>
        <v/>
      </c>
      <c r="J8" s="34">
        <f>IF(COUNTIFS(tblDaily[Period],B8,tblDaily[Date],"&lt;="&amp;A8,tblDaily[Date],"&gt;"&amp;(A8-7))=7,AVERAGEIFS(tblDaily[Trips],tblDaily[Period],B8,tblDaily[Date],"&lt;="&amp;A8,tblDaily[Date],"&gt;"&amp;(A8-7)),"")</f>
        <v>18850.14285714286</v>
      </c>
    </row>
    <row r="9" spans="1:10">
      <c r="A9" s="32">
        <v>41737</v>
      </c>
      <c r="B9" t="s">
        <v>303</v>
      </c>
      <c r="C9">
        <f>SUMIFS(tblHourly[Trips],tblHourly[Date],A9)</f>
        <v>16188</v>
      </c>
      <c r="D9" t="str">
        <f>CHOOSE(WEEKDAY(A9,2),"Mon","Tue","Wed","Thu","Fri","Sat","Sun")</f>
        <v>Tue</v>
      </c>
      <c r="E9" t="str">
        <f>IF(WEEKDAY(A9,2)&gt;5,"Weekend","Weekday")</f>
        <v>Weekday</v>
      </c>
      <c r="F9" s="33">
        <f>DATE(YEAR(A9),MONTH(A9),1)</f>
        <v>41730.0</v>
      </c>
      <c r="G9" t="str">
        <f>IF(COUNTIF(HolidayDates,A9)&gt;0,"Yes","No")</f>
        <v>No</v>
      </c>
      <c r="H9" t="str">
        <f>IF(COUNTIF(SpecialDates,A9)&gt;0,"Yes","No")</f>
        <v>No</v>
      </c>
      <c r="I9">
        <f>IF(B9="2015 Jan-Jun",C9,"")</f>
        <v/>
      </c>
      <c r="J9" s="34">
        <f>IF(COUNTIFS(tblDaily[Period],B9,tblDaily[Date],"&lt;="&amp;A9,tblDaily[Date],"&gt;"&amp;(A9-7))=7,AVERAGEIFS(tblDaily[Trips],tblDaily[Period],B9,tblDaily[Date],"&lt;="&amp;A9,tblDaily[Date],"&gt;"&amp;(A9-7)),"")</f>
        <v>19084.714285714286</v>
      </c>
    </row>
    <row r="10" spans="1:10">
      <c r="A10" s="32">
        <v>41738</v>
      </c>
      <c r="B10" t="s">
        <v>303</v>
      </c>
      <c r="C10">
        <f>SUMIFS(tblHourly[Trips],tblHourly[Date],A10)</f>
        <v>16843</v>
      </c>
      <c r="D10" t="str">
        <f>CHOOSE(WEEKDAY(A10,2),"Mon","Tue","Wed","Thu","Fri","Sat","Sun")</f>
        <v>Wed</v>
      </c>
      <c r="E10" t="str">
        <f>IF(WEEKDAY(A10,2)&gt;5,"Weekend","Weekday")</f>
        <v>Weekday</v>
      </c>
      <c r="F10" s="33">
        <f>DATE(YEAR(A10),MONTH(A10),1)</f>
        <v>41730.0</v>
      </c>
      <c r="G10" t="str">
        <f>IF(COUNTIF(HolidayDates,A10)&gt;0,"Yes","No")</f>
        <v>No</v>
      </c>
      <c r="H10" t="str">
        <f>IF(COUNTIF(SpecialDates,A10)&gt;0,"Yes","No")</f>
        <v>No</v>
      </c>
      <c r="I10">
        <f>IF(B10="2015 Jan-Jun",C10,"")</f>
        <v/>
      </c>
      <c r="J10" s="34">
        <f>IF(COUNTIFS(tblDaily[Period],B10,tblDaily[Date],"&lt;="&amp;A10,tblDaily[Date],"&gt;"&amp;(A10-7))=7,AVERAGEIFS(tblDaily[Trips],tblDaily[Period],B10,tblDaily[Date],"&lt;="&amp;A10,tblDaily[Date],"&gt;"&amp;(A10-7)),"")</f>
        <v>18994.571428571428</v>
      </c>
    </row>
    <row r="11" spans="1:10">
      <c r="A11" s="32">
        <v>41739</v>
      </c>
      <c r="B11" t="s">
        <v>303</v>
      </c>
      <c r="C11">
        <f>SUMIFS(tblHourly[Trips],tblHourly[Date],A11)</f>
        <v>20041</v>
      </c>
      <c r="D11" t="str">
        <f>CHOOSE(WEEKDAY(A11,2),"Mon","Tue","Wed","Thu","Fri","Sat","Sun")</f>
        <v>Thu</v>
      </c>
      <c r="E11" t="str">
        <f>IF(WEEKDAY(A11,2)&gt;5,"Weekend","Weekday")</f>
        <v>Weekday</v>
      </c>
      <c r="F11" s="33">
        <f>DATE(YEAR(A11),MONTH(A11),1)</f>
        <v>41730.0</v>
      </c>
      <c r="G11" t="str">
        <f>IF(COUNTIF(HolidayDates,A11)&gt;0,"Yes","No")</f>
        <v>No</v>
      </c>
      <c r="H11" t="str">
        <f>IF(COUNTIF(SpecialDates,A11)&gt;0,"Yes","No")</f>
        <v>No</v>
      </c>
      <c r="I11">
        <f>IF(B11="2015 Jan-Jun",C11,"")</f>
        <v/>
      </c>
      <c r="J11" s="34">
        <f>IF(COUNTIFS(tblDaily[Period],B11,tblDaily[Date],"&lt;="&amp;A11,tblDaily[Date],"&gt;"&amp;(A11-7))=7,AVERAGEIFS(tblDaily[Trips],tblDaily[Period],B11,tblDaily[Date],"&lt;="&amp;A11,tblDaily[Date],"&gt;"&amp;(A11-7)),"")</f>
        <v>18900.285714285714</v>
      </c>
    </row>
    <row r="12" spans="1:10">
      <c r="A12" s="32">
        <v>41740</v>
      </c>
      <c r="B12" t="s">
        <v>303</v>
      </c>
      <c r="C12">
        <f>SUMIFS(tblHourly[Trips],tblHourly[Date],A12)</f>
        <v>20420</v>
      </c>
      <c r="D12" t="str">
        <f>CHOOSE(WEEKDAY(A12,2),"Mon","Tue","Wed","Thu","Fri","Sat","Sun")</f>
        <v>Fri</v>
      </c>
      <c r="E12" t="str">
        <f>IF(WEEKDAY(A12,2)&gt;5,"Weekend","Weekday")</f>
        <v>Weekday</v>
      </c>
      <c r="F12" s="33">
        <f>DATE(YEAR(A12),MONTH(A12),1)</f>
        <v>41730.0</v>
      </c>
      <c r="G12" t="str">
        <f>IF(COUNTIF(HolidayDates,A12)&gt;0,"Yes","No")</f>
        <v>No</v>
      </c>
      <c r="H12" t="str">
        <f>IF(COUNTIF(SpecialDates,A12)&gt;0,"Yes","No")</f>
        <v>No</v>
      </c>
      <c r="I12">
        <f>IF(B12="2015 Jan-Jun",C12,"")</f>
        <v/>
      </c>
      <c r="J12" s="34">
        <f>IF(COUNTIFS(tblDaily[Period],B12,tblDaily[Date],"&lt;="&amp;A12,tblDaily[Date],"&gt;"&amp;(A12-7))=7,AVERAGEIFS(tblDaily[Trips],tblDaily[Period],B12,tblDaily[Date],"&lt;="&amp;A12,tblDaily[Date],"&gt;"&amp;(A12-7)),"")</f>
        <v>18001.14285714286</v>
      </c>
    </row>
    <row r="13" spans="1:10">
      <c r="A13" s="32">
        <v>41741</v>
      </c>
      <c r="B13" t="s">
        <v>303</v>
      </c>
      <c r="C13">
        <f>SUMIFS(tblHourly[Trips],tblHourly[Date],A13)</f>
        <v>18170</v>
      </c>
      <c r="D13" t="str">
        <f>CHOOSE(WEEKDAY(A13,2),"Mon","Tue","Wed","Thu","Fri","Sat","Sun")</f>
        <v>Sat</v>
      </c>
      <c r="E13" t="str">
        <f>IF(WEEKDAY(A13,2)&gt;5,"Weekend","Weekday")</f>
        <v>Weekend</v>
      </c>
      <c r="F13" s="33">
        <f>DATE(YEAR(A13),MONTH(A13),1)</f>
        <v>41730.0</v>
      </c>
      <c r="G13" t="str">
        <f>IF(COUNTIF(HolidayDates,A13)&gt;0,"Yes","No")</f>
        <v>No</v>
      </c>
      <c r="H13" t="str">
        <f>IF(COUNTIF(SpecialDates,A13)&gt;0,"Yes","No")</f>
        <v>No</v>
      </c>
      <c r="I13">
        <f>IF(B13="2015 Jan-Jun",C13,"")</f>
        <v/>
      </c>
      <c r="J13" s="34">
        <f>IF(COUNTIFS(tblDaily[Period],B13,tblDaily[Date],"&lt;="&amp;A13,tblDaily[Date],"&gt;"&amp;(A13-7))=7,AVERAGEIFS(tblDaily[Trips],tblDaily[Period],B13,tblDaily[Date],"&lt;="&amp;A13,tblDaily[Date],"&gt;"&amp;(A13-7)),"")</f>
        <v>17808.14285714286</v>
      </c>
    </row>
    <row r="14" spans="1:10">
      <c r="A14" s="32">
        <v>41742</v>
      </c>
      <c r="B14" t="s">
        <v>303</v>
      </c>
      <c r="C14">
        <f>SUMIFS(tblHourly[Trips],tblHourly[Date],A14)</f>
        <v>12112</v>
      </c>
      <c r="D14" t="str">
        <f>CHOOSE(WEEKDAY(A14,2),"Mon","Tue","Wed","Thu","Fri","Sat","Sun")</f>
        <v>Sun</v>
      </c>
      <c r="E14" t="str">
        <f>IF(WEEKDAY(A14,2)&gt;5,"Weekend","Weekday")</f>
        <v>Weekend</v>
      </c>
      <c r="F14" s="33">
        <f>DATE(YEAR(A14),MONTH(A14),1)</f>
        <v>41730.0</v>
      </c>
      <c r="G14" t="str">
        <f>IF(COUNTIF(HolidayDates,A14)&gt;0,"Yes","No")</f>
        <v>No</v>
      </c>
      <c r="H14" t="str">
        <f>IF(COUNTIF(SpecialDates,A14)&gt;0,"Yes","No")</f>
        <v>No</v>
      </c>
      <c r="I14">
        <f>IF(B14="2015 Jan-Jun",C14,"")</f>
        <v/>
      </c>
      <c r="J14" s="34">
        <f>IF(COUNTIFS(tblDaily[Period],B14,tblDaily[Date],"&lt;="&amp;A14,tblDaily[Date],"&gt;"&amp;(A14-7))=7,AVERAGEIFS(tblDaily[Trips],tblDaily[Period],B14,tblDaily[Date],"&lt;="&amp;A14,tblDaily[Date],"&gt;"&amp;(A14-7)),"")</f>
        <v>17617.714285714286</v>
      </c>
    </row>
    <row r="15" spans="1:10">
      <c r="A15" s="32">
        <v>41743</v>
      </c>
      <c r="B15" t="s">
        <v>303</v>
      </c>
      <c r="C15">
        <f>SUMIFS(tblHourly[Trips],tblHourly[Date],A15)</f>
        <v>12674</v>
      </c>
      <c r="D15" t="str">
        <f>CHOOSE(WEEKDAY(A15,2),"Mon","Tue","Wed","Thu","Fri","Sat","Sun")</f>
        <v>Mon</v>
      </c>
      <c r="E15" t="str">
        <f>IF(WEEKDAY(A15,2)&gt;5,"Weekend","Weekday")</f>
        <v>Weekday</v>
      </c>
      <c r="F15" s="33">
        <f>DATE(YEAR(A15),MONTH(A15),1)</f>
        <v>41730.0</v>
      </c>
      <c r="G15" t="str">
        <f>IF(COUNTIF(HolidayDates,A15)&gt;0,"Yes","No")</f>
        <v>No</v>
      </c>
      <c r="H15" t="str">
        <f>IF(COUNTIF(SpecialDates,A15)&gt;0,"Yes","No")</f>
        <v>No</v>
      </c>
      <c r="I15">
        <f>IF(B15="2015 Jan-Jun",C15,"")</f>
        <v/>
      </c>
      <c r="J15" s="34">
        <f>IF(COUNTIFS(tblDaily[Period],B15,tblDaily[Date],"&lt;="&amp;A15,tblDaily[Date],"&gt;"&amp;(A15-7))=7,AVERAGEIFS(tblDaily[Trips],tblDaily[Period],B15,tblDaily[Date],"&lt;="&amp;A15,tblDaily[Date],"&gt;"&amp;(A15-7)),"")</f>
        <v>16635.428571428572</v>
      </c>
    </row>
    <row r="16" spans="1:10">
      <c r="A16" s="32">
        <v>41744</v>
      </c>
      <c r="B16" t="s">
        <v>303</v>
      </c>
      <c r="C16">
        <f>SUMIFS(tblHourly[Trips],tblHourly[Date],A16)</f>
        <v>20641</v>
      </c>
      <c r="D16" t="str">
        <f>CHOOSE(WEEKDAY(A16,2),"Mon","Tue","Wed","Thu","Fri","Sat","Sun")</f>
        <v>Tue</v>
      </c>
      <c r="E16" t="str">
        <f>IF(WEEKDAY(A16,2)&gt;5,"Weekend","Weekday")</f>
        <v>Weekday</v>
      </c>
      <c r="F16" s="33">
        <f>DATE(YEAR(A16),MONTH(A16),1)</f>
        <v>41730.0</v>
      </c>
      <c r="G16" t="str">
        <f>IF(COUNTIF(HolidayDates,A16)&gt;0,"Yes","No")</f>
        <v>No</v>
      </c>
      <c r="H16" t="str">
        <f>IF(COUNTIF(SpecialDates,A16)&gt;0,"Yes","No")</f>
        <v>No</v>
      </c>
      <c r="I16">
        <f>IF(B16="2015 Jan-Jun",C16,"")</f>
        <v/>
      </c>
      <c r="J16" s="34">
        <f>IF(COUNTIFS(tblDaily[Period],B16,tblDaily[Date],"&lt;="&amp;A16,tblDaily[Date],"&gt;"&amp;(A16-7))=7,AVERAGEIFS(tblDaily[Trips],tblDaily[Period],B16,tblDaily[Date],"&lt;="&amp;A16,tblDaily[Date],"&gt;"&amp;(A16-7)),"")</f>
        <v>17271.571428571428</v>
      </c>
    </row>
    <row r="17" spans="1:10">
      <c r="A17" s="32">
        <v>41745</v>
      </c>
      <c r="B17" t="s">
        <v>303</v>
      </c>
      <c r="C17">
        <f>SUMIFS(tblHourly[Trips],tblHourly[Date],A17)</f>
        <v>17717</v>
      </c>
      <c r="D17" t="str">
        <f>CHOOSE(WEEKDAY(A17,2),"Mon","Tue","Wed","Thu","Fri","Sat","Sun")</f>
        <v>Wed</v>
      </c>
      <c r="E17" t="str">
        <f>IF(WEEKDAY(A17,2)&gt;5,"Weekend","Weekday")</f>
        <v>Weekday</v>
      </c>
      <c r="F17" s="33">
        <f>DATE(YEAR(A17),MONTH(A17),1)</f>
        <v>41730.0</v>
      </c>
      <c r="G17" t="str">
        <f>IF(COUNTIF(HolidayDates,A17)&gt;0,"Yes","No")</f>
        <v>No</v>
      </c>
      <c r="H17" t="str">
        <f>IF(COUNTIF(SpecialDates,A17)&gt;0,"Yes","No")</f>
        <v>No</v>
      </c>
      <c r="I17">
        <f>IF(B17="2015 Jan-Jun",C17,"")</f>
        <v/>
      </c>
      <c r="J17" s="34">
        <f>IF(COUNTIFS(tblDaily[Period],B17,tblDaily[Date],"&lt;="&amp;A17,tblDaily[Date],"&gt;"&amp;(A17-7))=7,AVERAGEIFS(tblDaily[Trips],tblDaily[Period],B17,tblDaily[Date],"&lt;="&amp;A17,tblDaily[Date],"&gt;"&amp;(A17-7)),"")</f>
        <v>17396.428571428572</v>
      </c>
    </row>
    <row r="18" spans="1:10">
      <c r="A18" s="32">
        <v>41746</v>
      </c>
      <c r="B18" t="s">
        <v>303</v>
      </c>
      <c r="C18">
        <f>SUMIFS(tblHourly[Trips],tblHourly[Date],A18)</f>
        <v>20973</v>
      </c>
      <c r="D18" t="str">
        <f>CHOOSE(WEEKDAY(A18,2),"Mon","Tue","Wed","Thu","Fri","Sat","Sun")</f>
        <v>Thu</v>
      </c>
      <c r="E18" t="str">
        <f>IF(WEEKDAY(A18,2)&gt;5,"Weekend","Weekday")</f>
        <v>Weekday</v>
      </c>
      <c r="F18" s="33">
        <f>DATE(YEAR(A18),MONTH(A18),1)</f>
        <v>41730.0</v>
      </c>
      <c r="G18" t="str">
        <f>IF(COUNTIF(HolidayDates,A18)&gt;0,"Yes","No")</f>
        <v>No</v>
      </c>
      <c r="H18" t="str">
        <f>IF(COUNTIF(SpecialDates,A18)&gt;0,"Yes","No")</f>
        <v>No</v>
      </c>
      <c r="I18">
        <f>IF(B18="2015 Jan-Jun",C18,"")</f>
        <v/>
      </c>
      <c r="J18" s="34">
        <f>IF(COUNTIFS(tblDaily[Period],B18,tblDaily[Date],"&lt;="&amp;A18,tblDaily[Date],"&gt;"&amp;(A18-7))=7,AVERAGEIFS(tblDaily[Trips],tblDaily[Period],B18,tblDaily[Date],"&lt;="&amp;A18,tblDaily[Date],"&gt;"&amp;(A18-7)),"")</f>
        <v>17529.571428571428</v>
      </c>
    </row>
    <row r="19" spans="1:10">
      <c r="A19" s="32">
        <v>41747</v>
      </c>
      <c r="B19" t="s">
        <v>303</v>
      </c>
      <c r="C19">
        <f>SUMIFS(tblHourly[Trips],tblHourly[Date],A19)</f>
        <v>18074</v>
      </c>
      <c r="D19" t="str">
        <f>CHOOSE(WEEKDAY(A19,2),"Mon","Tue","Wed","Thu","Fri","Sat","Sun")</f>
        <v>Fri</v>
      </c>
      <c r="E19" t="str">
        <f>IF(WEEKDAY(A19,2)&gt;5,"Weekend","Weekday")</f>
        <v>Weekday</v>
      </c>
      <c r="F19" s="33">
        <f>DATE(YEAR(A19),MONTH(A19),1)</f>
        <v>41730.0</v>
      </c>
      <c r="G19" t="str">
        <f>IF(COUNTIF(HolidayDates,A19)&gt;0,"Yes","No")</f>
        <v>No</v>
      </c>
      <c r="H19" t="str">
        <f>IF(COUNTIF(SpecialDates,A19)&gt;0,"Yes","No")</f>
        <v>No</v>
      </c>
      <c r="I19">
        <f>IF(B19="2015 Jan-Jun",C19,"")</f>
        <v/>
      </c>
      <c r="J19" s="34">
        <f>IF(COUNTIFS(tblDaily[Period],B19,tblDaily[Date],"&lt;="&amp;A19,tblDaily[Date],"&gt;"&amp;(A19-7))=7,AVERAGEIFS(tblDaily[Trips],tblDaily[Period],B19,tblDaily[Date],"&lt;="&amp;A19,tblDaily[Date],"&gt;"&amp;(A19-7)),"")</f>
        <v>17194.428571428572</v>
      </c>
    </row>
    <row r="20" spans="1:10">
      <c r="A20" s="32">
        <v>41748</v>
      </c>
      <c r="B20" t="s">
        <v>303</v>
      </c>
      <c r="C20">
        <f>SUMIFS(tblHourly[Trips],tblHourly[Date],A20)</f>
        <v>14602</v>
      </c>
      <c r="D20" t="str">
        <f>CHOOSE(WEEKDAY(A20,2),"Mon","Tue","Wed","Thu","Fri","Sat","Sun")</f>
        <v>Sat</v>
      </c>
      <c r="E20" t="str">
        <f>IF(WEEKDAY(A20,2)&gt;5,"Weekend","Weekday")</f>
        <v>Weekend</v>
      </c>
      <c r="F20" s="33">
        <f>DATE(YEAR(A20),MONTH(A20),1)</f>
        <v>41730.0</v>
      </c>
      <c r="G20" t="str">
        <f>IF(COUNTIF(HolidayDates,A20)&gt;0,"Yes","No")</f>
        <v>No</v>
      </c>
      <c r="H20" t="str">
        <f>IF(COUNTIF(SpecialDates,A20)&gt;0,"Yes","No")</f>
        <v>No</v>
      </c>
      <c r="I20">
        <f>IF(B20="2015 Jan-Jun",C20,"")</f>
        <v/>
      </c>
      <c r="J20" s="34">
        <f>IF(COUNTIFS(tblDaily[Period],B20,tblDaily[Date],"&lt;="&amp;A20,tblDaily[Date],"&gt;"&amp;(A20-7))=7,AVERAGEIFS(tblDaily[Trips],tblDaily[Period],B20,tblDaily[Date],"&lt;="&amp;A20,tblDaily[Date],"&gt;"&amp;(A20-7)),"")</f>
        <v>16684.714285714286</v>
      </c>
    </row>
    <row r="21" spans="1:10">
      <c r="A21" s="32">
        <v>41749</v>
      </c>
      <c r="B21" t="s">
        <v>303</v>
      </c>
      <c r="C21">
        <f>SUMIFS(tblHourly[Trips],tblHourly[Date],A21)</f>
        <v>11017</v>
      </c>
      <c r="D21" t="str">
        <f>CHOOSE(WEEKDAY(A21,2),"Mon","Tue","Wed","Thu","Fri","Sat","Sun")</f>
        <v>Sun</v>
      </c>
      <c r="E21" t="str">
        <f>IF(WEEKDAY(A21,2)&gt;5,"Weekend","Weekday")</f>
        <v>Weekend</v>
      </c>
      <c r="F21" s="33">
        <f>DATE(YEAR(A21),MONTH(A21),1)</f>
        <v>41730.0</v>
      </c>
      <c r="G21" t="str">
        <f>IF(COUNTIF(HolidayDates,A21)&gt;0,"Yes","No")</f>
        <v>No</v>
      </c>
      <c r="H21" t="str">
        <f>IF(COUNTIF(SpecialDates,A21)&gt;0,"Yes","No")</f>
        <v>No</v>
      </c>
      <c r="I21">
        <f>IF(B21="2015 Jan-Jun",C21,"")</f>
        <v/>
      </c>
      <c r="J21" s="34">
        <f>IF(COUNTIFS(tblDaily[Period],B21,tblDaily[Date],"&lt;="&amp;A21,tblDaily[Date],"&gt;"&amp;(A21-7))=7,AVERAGEIFS(tblDaily[Trips],tblDaily[Period],B21,tblDaily[Date],"&lt;="&amp;A21,tblDaily[Date],"&gt;"&amp;(A21-7)),"")</f>
        <v>16528.285714285714</v>
      </c>
    </row>
    <row r="22" spans="1:10">
      <c r="A22" s="32">
        <v>41750</v>
      </c>
      <c r="B22" t="s">
        <v>303</v>
      </c>
      <c r="C22">
        <f>SUMIFS(tblHourly[Trips],tblHourly[Date],A22)</f>
        <v>13162</v>
      </c>
      <c r="D22" t="str">
        <f>CHOOSE(WEEKDAY(A22,2),"Mon","Tue","Wed","Thu","Fri","Sat","Sun")</f>
        <v>Mon</v>
      </c>
      <c r="E22" t="str">
        <f>IF(WEEKDAY(A22,2)&gt;5,"Weekend","Weekday")</f>
        <v>Weekday</v>
      </c>
      <c r="F22" s="33">
        <f>DATE(YEAR(A22),MONTH(A22),1)</f>
        <v>41730.0</v>
      </c>
      <c r="G22" t="str">
        <f>IF(COUNTIF(HolidayDates,A22)&gt;0,"Yes","No")</f>
        <v>No</v>
      </c>
      <c r="H22" t="str">
        <f>IF(COUNTIF(SpecialDates,A22)&gt;0,"Yes","No")</f>
        <v>No</v>
      </c>
      <c r="I22">
        <f>IF(B22="2015 Jan-Jun",C22,"")</f>
        <v/>
      </c>
      <c r="J22" s="34">
        <f>IF(COUNTIFS(tblDaily[Period],B22,tblDaily[Date],"&lt;="&amp;A22,tblDaily[Date],"&gt;"&amp;(A22-7))=7,AVERAGEIFS(tblDaily[Trips],tblDaily[Period],B22,tblDaily[Date],"&lt;="&amp;A22,tblDaily[Date],"&gt;"&amp;(A22-7)),"")</f>
        <v>16598.0</v>
      </c>
    </row>
    <row r="23" spans="1:10">
      <c r="A23" s="32">
        <v>41751</v>
      </c>
      <c r="B23" t="s">
        <v>303</v>
      </c>
      <c r="C23">
        <f>SUMIFS(tblHourly[Trips],tblHourly[Date],A23)</f>
        <v>16975</v>
      </c>
      <c r="D23" t="str">
        <f>CHOOSE(WEEKDAY(A23,2),"Mon","Tue","Wed","Thu","Fri","Sat","Sun")</f>
        <v>Tue</v>
      </c>
      <c r="E23" t="str">
        <f>IF(WEEKDAY(A23,2)&gt;5,"Weekend","Weekday")</f>
        <v>Weekday</v>
      </c>
      <c r="F23" s="33">
        <f>DATE(YEAR(A23),MONTH(A23),1)</f>
        <v>41730.0</v>
      </c>
      <c r="G23" t="str">
        <f>IF(COUNTIF(HolidayDates,A23)&gt;0,"Yes","No")</f>
        <v>No</v>
      </c>
      <c r="H23" t="str">
        <f>IF(COUNTIF(SpecialDates,A23)&gt;0,"Yes","No")</f>
        <v>No</v>
      </c>
      <c r="I23">
        <f>IF(B23="2015 Jan-Jun",C23,"")</f>
        <v/>
      </c>
      <c r="J23" s="34">
        <f>IF(COUNTIFS(tblDaily[Period],B23,tblDaily[Date],"&lt;="&amp;A23,tblDaily[Date],"&gt;"&amp;(A23-7))=7,AVERAGEIFS(tblDaily[Trips],tblDaily[Period],B23,tblDaily[Date],"&lt;="&amp;A23,tblDaily[Date],"&gt;"&amp;(A23-7)),"")</f>
        <v>16074.285714285714</v>
      </c>
    </row>
    <row r="24" spans="1:10">
      <c r="A24" s="32">
        <v>41752</v>
      </c>
      <c r="B24" t="s">
        <v>303</v>
      </c>
      <c r="C24">
        <f>SUMIFS(tblHourly[Trips],tblHourly[Date],A24)</f>
        <v>20346</v>
      </c>
      <c r="D24" t="str">
        <f>CHOOSE(WEEKDAY(A24,2),"Mon","Tue","Wed","Thu","Fri","Sat","Sun")</f>
        <v>Wed</v>
      </c>
      <c r="E24" t="str">
        <f>IF(WEEKDAY(A24,2)&gt;5,"Weekend","Weekday")</f>
        <v>Weekday</v>
      </c>
      <c r="F24" s="33">
        <f>DATE(YEAR(A24),MONTH(A24),1)</f>
        <v>41730.0</v>
      </c>
      <c r="G24" t="str">
        <f>IF(COUNTIF(HolidayDates,A24)&gt;0,"Yes","No")</f>
        <v>No</v>
      </c>
      <c r="H24" t="str">
        <f>IF(COUNTIF(SpecialDates,A24)&gt;0,"Yes","No")</f>
        <v>No</v>
      </c>
      <c r="I24">
        <f>IF(B24="2015 Jan-Jun",C24,"")</f>
        <v/>
      </c>
      <c r="J24" s="34">
        <f>IF(COUNTIFS(tblDaily[Period],B24,tblDaily[Date],"&lt;="&amp;A24,tblDaily[Date],"&gt;"&amp;(A24-7))=7,AVERAGEIFS(tblDaily[Trips],tblDaily[Period],B24,tblDaily[Date],"&lt;="&amp;A24,tblDaily[Date],"&gt;"&amp;(A24-7)),"")</f>
        <v>16449.85714285714</v>
      </c>
    </row>
    <row r="25" spans="1:10">
      <c r="A25" s="32">
        <v>41753</v>
      </c>
      <c r="B25" t="s">
        <v>303</v>
      </c>
      <c r="C25">
        <f>SUMIFS(tblHourly[Trips],tblHourly[Date],A25)</f>
        <v>23352</v>
      </c>
      <c r="D25" t="str">
        <f>CHOOSE(WEEKDAY(A25,2),"Mon","Tue","Wed","Thu","Fri","Sat","Sun")</f>
        <v>Thu</v>
      </c>
      <c r="E25" t="str">
        <f>IF(WEEKDAY(A25,2)&gt;5,"Weekend","Weekday")</f>
        <v>Weekday</v>
      </c>
      <c r="F25" s="33">
        <f>DATE(YEAR(A25),MONTH(A25),1)</f>
        <v>41730.0</v>
      </c>
      <c r="G25" t="str">
        <f>IF(COUNTIF(HolidayDates,A25)&gt;0,"Yes","No")</f>
        <v>No</v>
      </c>
      <c r="H25" t="str">
        <f>IF(COUNTIF(SpecialDates,A25)&gt;0,"Yes","No")</f>
        <v>No</v>
      </c>
      <c r="I25">
        <f>IF(B25="2015 Jan-Jun",C25,"")</f>
        <v/>
      </c>
      <c r="J25" s="34">
        <f>IF(COUNTIFS(tblDaily[Period],B25,tblDaily[Date],"&lt;="&amp;A25,tblDaily[Date],"&gt;"&amp;(A25-7))=7,AVERAGEIFS(tblDaily[Trips],tblDaily[Period],B25,tblDaily[Date],"&lt;="&amp;A25,tblDaily[Date],"&gt;"&amp;(A25-7)),"")</f>
        <v>16789.714285714286</v>
      </c>
    </row>
    <row r="26" spans="1:10">
      <c r="A26" s="32">
        <v>41754</v>
      </c>
      <c r="B26" t="s">
        <v>303</v>
      </c>
      <c r="C26">
        <f>SUMIFS(tblHourly[Trips],tblHourly[Date],A26)</f>
        <v>25095</v>
      </c>
      <c r="D26" t="str">
        <f>CHOOSE(WEEKDAY(A26,2),"Mon","Tue","Wed","Thu","Fri","Sat","Sun")</f>
        <v>Fri</v>
      </c>
      <c r="E26" t="str">
        <f>IF(WEEKDAY(A26,2)&gt;5,"Weekend","Weekday")</f>
        <v>Weekday</v>
      </c>
      <c r="F26" s="33">
        <f>DATE(YEAR(A26),MONTH(A26),1)</f>
        <v>41730.0</v>
      </c>
      <c r="G26" t="str">
        <f>IF(COUNTIF(HolidayDates,A26)&gt;0,"Yes","No")</f>
        <v>No</v>
      </c>
      <c r="H26" t="str">
        <f>IF(COUNTIF(SpecialDates,A26)&gt;0,"Yes","No")</f>
        <v>No</v>
      </c>
      <c r="I26">
        <f>IF(B26="2015 Jan-Jun",C26,"")</f>
        <v/>
      </c>
      <c r="J26" s="34">
        <f>IF(COUNTIFS(tblDaily[Period],B26,tblDaily[Date],"&lt;="&amp;A26,tblDaily[Date],"&gt;"&amp;(A26-7))=7,AVERAGEIFS(tblDaily[Trips],tblDaily[Period],B26,tblDaily[Date],"&lt;="&amp;A26,tblDaily[Date],"&gt;"&amp;(A26-7)),"")</f>
        <v>17792.714285714286</v>
      </c>
    </row>
    <row r="27" spans="1:10">
      <c r="A27" s="32">
        <v>41755</v>
      </c>
      <c r="B27" t="s">
        <v>303</v>
      </c>
      <c r="C27">
        <f>SUMIFS(tblHourly[Trips],tblHourly[Date],A27)</f>
        <v>24925</v>
      </c>
      <c r="D27" t="str">
        <f>CHOOSE(WEEKDAY(A27,2),"Mon","Tue","Wed","Thu","Fri","Sat","Sun")</f>
        <v>Sat</v>
      </c>
      <c r="E27" t="str">
        <f>IF(WEEKDAY(A27,2)&gt;5,"Weekend","Weekday")</f>
        <v>Weekend</v>
      </c>
      <c r="F27" s="33">
        <f>DATE(YEAR(A27),MONTH(A27),1)</f>
        <v>41730.0</v>
      </c>
      <c r="G27" t="str">
        <f>IF(COUNTIF(HolidayDates,A27)&gt;0,"Yes","No")</f>
        <v>No</v>
      </c>
      <c r="H27" t="str">
        <f>IF(COUNTIF(SpecialDates,A27)&gt;0,"Yes","No")</f>
        <v>No</v>
      </c>
      <c r="I27">
        <f>IF(B27="2015 Jan-Jun",C27,"")</f>
        <v/>
      </c>
      <c r="J27" s="34">
        <f>IF(COUNTIFS(tblDaily[Period],B27,tblDaily[Date],"&lt;="&amp;A27,tblDaily[Date],"&gt;"&amp;(A27-7))=7,AVERAGEIFS(tblDaily[Trips],tblDaily[Period],B27,tblDaily[Date],"&lt;="&amp;A27,tblDaily[Date],"&gt;"&amp;(A27-7)),"")</f>
        <v>19267.428571428572</v>
      </c>
    </row>
    <row r="28" spans="1:10">
      <c r="A28" s="32">
        <v>41756</v>
      </c>
      <c r="B28" t="s">
        <v>303</v>
      </c>
      <c r="C28">
        <f>SUMIFS(tblHourly[Trips],tblHourly[Date],A28)</f>
        <v>14677</v>
      </c>
      <c r="D28" t="str">
        <f>CHOOSE(WEEKDAY(A28,2),"Mon","Tue","Wed","Thu","Fri","Sat","Sun")</f>
        <v>Sun</v>
      </c>
      <c r="E28" t="str">
        <f>IF(WEEKDAY(A28,2)&gt;5,"Weekend","Weekday")</f>
        <v>Weekend</v>
      </c>
      <c r="F28" s="33">
        <f>DATE(YEAR(A28),MONTH(A28),1)</f>
        <v>41730.0</v>
      </c>
      <c r="G28" t="str">
        <f>IF(COUNTIF(HolidayDates,A28)&gt;0,"Yes","No")</f>
        <v>No</v>
      </c>
      <c r="H28" t="str">
        <f>IF(COUNTIF(SpecialDates,A28)&gt;0,"Yes","No")</f>
        <v>No</v>
      </c>
      <c r="I28">
        <f>IF(B28="2015 Jan-Jun",C28,"")</f>
        <v/>
      </c>
      <c r="J28" s="34">
        <f>IF(COUNTIFS(tblDaily[Period],B28,tblDaily[Date],"&lt;="&amp;A28,tblDaily[Date],"&gt;"&amp;(A28-7))=7,AVERAGEIFS(tblDaily[Trips],tblDaily[Period],B28,tblDaily[Date],"&lt;="&amp;A28,tblDaily[Date],"&gt;"&amp;(A28-7)),"")</f>
        <v>19790.285714285714</v>
      </c>
    </row>
    <row r="29" spans="1:10">
      <c r="A29" s="32">
        <v>41757</v>
      </c>
      <c r="B29" t="s">
        <v>303</v>
      </c>
      <c r="C29">
        <f>SUMIFS(tblHourly[Trips],tblHourly[Date],A29)</f>
        <v>15475</v>
      </c>
      <c r="D29" t="str">
        <f>CHOOSE(WEEKDAY(A29,2),"Mon","Tue","Wed","Thu","Fri","Sat","Sun")</f>
        <v>Mon</v>
      </c>
      <c r="E29" t="str">
        <f>IF(WEEKDAY(A29,2)&gt;5,"Weekend","Weekday")</f>
        <v>Weekday</v>
      </c>
      <c r="F29" s="33">
        <f>DATE(YEAR(A29),MONTH(A29),1)</f>
        <v>41730.0</v>
      </c>
      <c r="G29" t="str">
        <f>IF(COUNTIF(HolidayDates,A29)&gt;0,"Yes","No")</f>
        <v>No</v>
      </c>
      <c r="H29" t="str">
        <f>IF(COUNTIF(SpecialDates,A29)&gt;0,"Yes","No")</f>
        <v>No</v>
      </c>
      <c r="I29">
        <f>IF(B29="2015 Jan-Jun",C29,"")</f>
        <v/>
      </c>
      <c r="J29" s="34">
        <f>IF(COUNTIFS(tblDaily[Period],B29,tblDaily[Date],"&lt;="&amp;A29,tblDaily[Date],"&gt;"&amp;(A29-7))=7,AVERAGEIFS(tblDaily[Trips],tblDaily[Period],B29,tblDaily[Date],"&lt;="&amp;A29,tblDaily[Date],"&gt;"&amp;(A29-7)),"")</f>
        <v>20120.714285714286</v>
      </c>
    </row>
    <row r="30" spans="1:10">
      <c r="A30" s="32">
        <v>41758</v>
      </c>
      <c r="B30" t="s">
        <v>303</v>
      </c>
      <c r="C30">
        <f>SUMIFS(tblHourly[Trips],tblHourly[Date],A30)</f>
        <v>22835</v>
      </c>
      <c r="D30" t="str">
        <f>CHOOSE(WEEKDAY(A30,2),"Mon","Tue","Wed","Thu","Fri","Sat","Sun")</f>
        <v>Tue</v>
      </c>
      <c r="E30" t="str">
        <f>IF(WEEKDAY(A30,2)&gt;5,"Weekend","Weekday")</f>
        <v>Weekday</v>
      </c>
      <c r="F30" s="33">
        <f>DATE(YEAR(A30),MONTH(A30),1)</f>
        <v>41730.0</v>
      </c>
      <c r="G30" t="str">
        <f>IF(COUNTIF(HolidayDates,A30)&gt;0,"Yes","No")</f>
        <v>No</v>
      </c>
      <c r="H30" t="str">
        <f>IF(COUNTIF(SpecialDates,A30)&gt;0,"Yes","No")</f>
        <v>No</v>
      </c>
      <c r="I30">
        <f>IF(B30="2015 Jan-Jun",C30,"")</f>
        <v/>
      </c>
      <c r="J30" s="34">
        <f>IF(COUNTIFS(tblDaily[Period],B30,tblDaily[Date],"&lt;="&amp;A30,tblDaily[Date],"&gt;"&amp;(A30-7))=7,AVERAGEIFS(tblDaily[Trips],tblDaily[Period],B30,tblDaily[Date],"&lt;="&amp;A30,tblDaily[Date],"&gt;"&amp;(A30-7)),"")</f>
        <v>20957.85714285714</v>
      </c>
    </row>
    <row r="31" spans="1:10">
      <c r="A31" s="32">
        <v>41759</v>
      </c>
      <c r="B31" t="s">
        <v>303</v>
      </c>
      <c r="C31">
        <f>SUMIFS(tblHourly[Trips],tblHourly[Date],A31)</f>
        <v>36251</v>
      </c>
      <c r="D31" t="str">
        <f>CHOOSE(WEEKDAY(A31,2),"Mon","Tue","Wed","Thu","Fri","Sat","Sun")</f>
        <v>Wed</v>
      </c>
      <c r="E31" t="str">
        <f>IF(WEEKDAY(A31,2)&gt;5,"Weekend","Weekday")</f>
        <v>Weekday</v>
      </c>
      <c r="F31" s="33">
        <f>DATE(YEAR(A31),MONTH(A31),1)</f>
        <v>41730.0</v>
      </c>
      <c r="G31" t="str">
        <f>IF(COUNTIF(HolidayDates,A31)&gt;0,"Yes","No")</f>
        <v>No</v>
      </c>
      <c r="H31" t="str">
        <f>IF(COUNTIF(SpecialDates,A31)&gt;0,"Yes","No")</f>
        <v>No</v>
      </c>
      <c r="I31">
        <f>IF(B31="2015 Jan-Jun",C31,"")</f>
        <v/>
      </c>
      <c r="J31" s="34">
        <f>IF(COUNTIFS(tblDaily[Period],B31,tblDaily[Date],"&lt;="&amp;A31,tblDaily[Date],"&gt;"&amp;(A31-7))=7,AVERAGEIFS(tblDaily[Trips],tblDaily[Period],B31,tblDaily[Date],"&lt;="&amp;A31,tblDaily[Date],"&gt;"&amp;(A31-7)),"")</f>
        <v>23230.0</v>
      </c>
    </row>
    <row r="32" spans="1:10">
      <c r="A32" s="32">
        <v>41760</v>
      </c>
      <c r="B32" t="s">
        <v>303</v>
      </c>
      <c r="C32">
        <f>SUMIFS(tblHourly[Trips],tblHourly[Date],A32)</f>
        <v>23375</v>
      </c>
      <c r="D32" t="str">
        <f>CHOOSE(WEEKDAY(A32,2),"Mon","Tue","Wed","Thu","Fri","Sat","Sun")</f>
        <v>Thu</v>
      </c>
      <c r="E32" t="str">
        <f>IF(WEEKDAY(A32,2)&gt;5,"Weekend","Weekday")</f>
        <v>Weekday</v>
      </c>
      <c r="F32" s="33">
        <f>DATE(YEAR(A32),MONTH(A32),1)</f>
        <v>41760.0</v>
      </c>
      <c r="G32" t="str">
        <f>IF(COUNTIF(HolidayDates,A32)&gt;0,"Yes","No")</f>
        <v>No</v>
      </c>
      <c r="H32" t="str">
        <f>IF(COUNTIF(SpecialDates,A32)&gt;0,"Yes","No")</f>
        <v>No</v>
      </c>
      <c r="I32">
        <f>IF(B32="2015 Jan-Jun",C32,"")</f>
        <v/>
      </c>
      <c r="J32" s="34">
        <f>IF(COUNTIFS(tblDaily[Period],B32,tblDaily[Date],"&lt;="&amp;A32,tblDaily[Date],"&gt;"&amp;(A32-7))=7,AVERAGEIFS(tblDaily[Trips],tblDaily[Period],B32,tblDaily[Date],"&lt;="&amp;A32,tblDaily[Date],"&gt;"&amp;(A32-7)),"")</f>
        <v>23233.285714285714</v>
      </c>
    </row>
    <row r="33" spans="1:10">
      <c r="A33" s="32">
        <v>41761</v>
      </c>
      <c r="B33" t="s">
        <v>303</v>
      </c>
      <c r="C33">
        <f>SUMIFS(tblHourly[Trips],tblHourly[Date],A33)</f>
        <v>24235</v>
      </c>
      <c r="D33" t="str">
        <f>CHOOSE(WEEKDAY(A33,2),"Mon","Tue","Wed","Thu","Fri","Sat","Sun")</f>
        <v>Fri</v>
      </c>
      <c r="E33" t="str">
        <f>IF(WEEKDAY(A33,2)&gt;5,"Weekend","Weekday")</f>
        <v>Weekday</v>
      </c>
      <c r="F33" s="33">
        <f>DATE(YEAR(A33),MONTH(A33),1)</f>
        <v>41760.0</v>
      </c>
      <c r="G33" t="str">
        <f>IF(COUNTIF(HolidayDates,A33)&gt;0,"Yes","No")</f>
        <v>No</v>
      </c>
      <c r="H33" t="str">
        <f>IF(COUNTIF(SpecialDates,A33)&gt;0,"Yes","No")</f>
        <v>No</v>
      </c>
      <c r="I33">
        <f>IF(B33="2015 Jan-Jun",C33,"")</f>
        <v/>
      </c>
      <c r="J33" s="34">
        <f>IF(COUNTIFS(tblDaily[Period],B33,tblDaily[Date],"&lt;="&amp;A33,tblDaily[Date],"&gt;"&amp;(A33-7))=7,AVERAGEIFS(tblDaily[Trips],tblDaily[Period],B33,tblDaily[Date],"&lt;="&amp;A33,tblDaily[Date],"&gt;"&amp;(A33-7)),"")</f>
        <v>23110.428571428572</v>
      </c>
    </row>
    <row r="34" spans="1:10">
      <c r="A34" s="32">
        <v>41762</v>
      </c>
      <c r="B34" t="s">
        <v>303</v>
      </c>
      <c r="C34">
        <f>SUMIFS(tblHourly[Trips],tblHourly[Date],A34)</f>
        <v>22234</v>
      </c>
      <c r="D34" t="str">
        <f>CHOOSE(WEEKDAY(A34,2),"Mon","Tue","Wed","Thu","Fri","Sat","Sun")</f>
        <v>Sat</v>
      </c>
      <c r="E34" t="str">
        <f>IF(WEEKDAY(A34,2)&gt;5,"Weekend","Weekday")</f>
        <v>Weekend</v>
      </c>
      <c r="F34" s="33">
        <f>DATE(YEAR(A34),MONTH(A34),1)</f>
        <v>41760.0</v>
      </c>
      <c r="G34" t="str">
        <f>IF(COUNTIF(HolidayDates,A34)&gt;0,"Yes","No")</f>
        <v>No</v>
      </c>
      <c r="H34" t="str">
        <f>IF(COUNTIF(SpecialDates,A34)&gt;0,"Yes","No")</f>
        <v>No</v>
      </c>
      <c r="I34">
        <f>IF(B34="2015 Jan-Jun",C34,"")</f>
        <v/>
      </c>
      <c r="J34" s="34">
        <f>IF(COUNTIFS(tblDaily[Period],B34,tblDaily[Date],"&lt;="&amp;A34,tblDaily[Date],"&gt;"&amp;(A34-7))=7,AVERAGEIFS(tblDaily[Trips],tblDaily[Period],B34,tblDaily[Date],"&lt;="&amp;A34,tblDaily[Date],"&gt;"&amp;(A34-7)),"")</f>
        <v>22726.0</v>
      </c>
    </row>
    <row r="35" spans="1:10">
      <c r="A35" s="32">
        <v>41763</v>
      </c>
      <c r="B35" t="s">
        <v>303</v>
      </c>
      <c r="C35">
        <f>SUMIFS(tblHourly[Trips],tblHourly[Date],A35)</f>
        <v>13918</v>
      </c>
      <c r="D35" t="str">
        <f>CHOOSE(WEEKDAY(A35,2),"Mon","Tue","Wed","Thu","Fri","Sat","Sun")</f>
        <v>Sun</v>
      </c>
      <c r="E35" t="str">
        <f>IF(WEEKDAY(A35,2)&gt;5,"Weekend","Weekday")</f>
        <v>Weekend</v>
      </c>
      <c r="F35" s="33">
        <f>DATE(YEAR(A35),MONTH(A35),1)</f>
        <v>41760.0</v>
      </c>
      <c r="G35" t="str">
        <f>IF(COUNTIF(HolidayDates,A35)&gt;0,"Yes","No")</f>
        <v>No</v>
      </c>
      <c r="H35" t="str">
        <f>IF(COUNTIF(SpecialDates,A35)&gt;0,"Yes","No")</f>
        <v>No</v>
      </c>
      <c r="I35">
        <f>IF(B35="2015 Jan-Jun",C35,"")</f>
        <v/>
      </c>
      <c r="J35" s="34">
        <f>IF(COUNTIFS(tblDaily[Period],B35,tblDaily[Date],"&lt;="&amp;A35,tblDaily[Date],"&gt;"&amp;(A35-7))=7,AVERAGEIFS(tblDaily[Trips],tblDaily[Period],B35,tblDaily[Date],"&lt;="&amp;A35,tblDaily[Date],"&gt;"&amp;(A35-7)),"")</f>
        <v>22617.571428571428</v>
      </c>
    </row>
    <row r="36" spans="1:10">
      <c r="A36" s="32">
        <v>41764</v>
      </c>
      <c r="B36" t="s">
        <v>303</v>
      </c>
      <c r="C36">
        <f>SUMIFS(tblHourly[Trips],tblHourly[Date],A36)</f>
        <v>17859</v>
      </c>
      <c r="D36" t="str">
        <f>CHOOSE(WEEKDAY(A36,2),"Mon","Tue","Wed","Thu","Fri","Sat","Sun")</f>
        <v>Mon</v>
      </c>
      <c r="E36" t="str">
        <f>IF(WEEKDAY(A36,2)&gt;5,"Weekend","Weekday")</f>
        <v>Weekday</v>
      </c>
      <c r="F36" s="33">
        <f>DATE(YEAR(A36),MONTH(A36),1)</f>
        <v>41760.0</v>
      </c>
      <c r="G36" t="str">
        <f>IF(COUNTIF(HolidayDates,A36)&gt;0,"Yes","No")</f>
        <v>No</v>
      </c>
      <c r="H36" t="str">
        <f>IF(COUNTIF(SpecialDates,A36)&gt;0,"Yes","No")</f>
        <v>No</v>
      </c>
      <c r="I36">
        <f>IF(B36="2015 Jan-Jun",C36,"")</f>
        <v/>
      </c>
      <c r="J36" s="34">
        <f>IF(COUNTIFS(tblDaily[Period],B36,tblDaily[Date],"&lt;="&amp;A36,tblDaily[Date],"&gt;"&amp;(A36-7))=7,AVERAGEIFS(tblDaily[Trips],tblDaily[Period],B36,tblDaily[Date],"&lt;="&amp;A36,tblDaily[Date],"&gt;"&amp;(A36-7)),"")</f>
        <v>22958.14285714286</v>
      </c>
    </row>
    <row r="37" spans="1:10">
      <c r="A37" s="32">
        <v>41765</v>
      </c>
      <c r="B37" t="s">
        <v>303</v>
      </c>
      <c r="C37">
        <f>SUMIFS(tblHourly[Trips],tblHourly[Date],A37)</f>
        <v>19300</v>
      </c>
      <c r="D37" t="str">
        <f>CHOOSE(WEEKDAY(A37,2),"Mon","Tue","Wed","Thu","Fri","Sat","Sun")</f>
        <v>Tue</v>
      </c>
      <c r="E37" t="str">
        <f>IF(WEEKDAY(A37,2)&gt;5,"Weekend","Weekday")</f>
        <v>Weekday</v>
      </c>
      <c r="F37" s="33">
        <f>DATE(YEAR(A37),MONTH(A37),1)</f>
        <v>41760.0</v>
      </c>
      <c r="G37" t="str">
        <f>IF(COUNTIF(HolidayDates,A37)&gt;0,"Yes","No")</f>
        <v>No</v>
      </c>
      <c r="H37" t="str">
        <f>IF(COUNTIF(SpecialDates,A37)&gt;0,"Yes","No")</f>
        <v>No</v>
      </c>
      <c r="I37">
        <f>IF(B37="2015 Jan-Jun",C37,"")</f>
        <v/>
      </c>
      <c r="J37" s="34">
        <f>IF(COUNTIFS(tblDaily[Period],B37,tblDaily[Date],"&lt;="&amp;A37,tblDaily[Date],"&gt;"&amp;(A37-7))=7,AVERAGEIFS(tblDaily[Trips],tblDaily[Period],B37,tblDaily[Date],"&lt;="&amp;A37,tblDaily[Date],"&gt;"&amp;(A37-7)),"")</f>
        <v>22453.14285714286</v>
      </c>
    </row>
    <row r="38" spans="1:10">
      <c r="A38" s="32">
        <v>41766</v>
      </c>
      <c r="B38" t="s">
        <v>303</v>
      </c>
      <c r="C38">
        <f>SUMIFS(tblHourly[Trips],tblHourly[Date],A38)</f>
        <v>21891</v>
      </c>
      <c r="D38" t="str">
        <f>CHOOSE(WEEKDAY(A38,2),"Mon","Tue","Wed","Thu","Fri","Sat","Sun")</f>
        <v>Wed</v>
      </c>
      <c r="E38" t="str">
        <f>IF(WEEKDAY(A38,2)&gt;5,"Weekend","Weekday")</f>
        <v>Weekday</v>
      </c>
      <c r="F38" s="33">
        <f>DATE(YEAR(A38),MONTH(A38),1)</f>
        <v>41760.0</v>
      </c>
      <c r="G38" t="str">
        <f>IF(COUNTIF(HolidayDates,A38)&gt;0,"Yes","No")</f>
        <v>No</v>
      </c>
      <c r="H38" t="str">
        <f>IF(COUNTIF(SpecialDates,A38)&gt;0,"Yes","No")</f>
        <v>No</v>
      </c>
      <c r="I38">
        <f>IF(B38="2015 Jan-Jun",C38,"")</f>
        <v/>
      </c>
      <c r="J38" s="34">
        <f>IF(COUNTIFS(tblDaily[Period],B38,tblDaily[Date],"&lt;="&amp;A38,tblDaily[Date],"&gt;"&amp;(A38-7))=7,AVERAGEIFS(tblDaily[Trips],tblDaily[Period],B38,tblDaily[Date],"&lt;="&amp;A38,tblDaily[Date],"&gt;"&amp;(A38-7)),"")</f>
        <v>20401.714285714286</v>
      </c>
    </row>
    <row r="39" spans="1:10">
      <c r="A39" s="32">
        <v>41767</v>
      </c>
      <c r="B39" t="s">
        <v>303</v>
      </c>
      <c r="C39">
        <f>SUMIFS(tblHourly[Trips],tblHourly[Date],A39)</f>
        <v>27513</v>
      </c>
      <c r="D39" t="str">
        <f>CHOOSE(WEEKDAY(A39,2),"Mon","Tue","Wed","Thu","Fri","Sat","Sun")</f>
        <v>Thu</v>
      </c>
      <c r="E39" t="str">
        <f>IF(WEEKDAY(A39,2)&gt;5,"Weekend","Weekday")</f>
        <v>Weekday</v>
      </c>
      <c r="F39" s="33">
        <f>DATE(YEAR(A39),MONTH(A39),1)</f>
        <v>41760.0</v>
      </c>
      <c r="G39" t="str">
        <f>IF(COUNTIF(HolidayDates,A39)&gt;0,"Yes","No")</f>
        <v>No</v>
      </c>
      <c r="H39" t="str">
        <f>IF(COUNTIF(SpecialDates,A39)&gt;0,"Yes","No")</f>
        <v>No</v>
      </c>
      <c r="I39">
        <f>IF(B39="2015 Jan-Jun",C39,"")</f>
        <v/>
      </c>
      <c r="J39" s="34">
        <f>IF(COUNTIFS(tblDaily[Period],B39,tblDaily[Date],"&lt;="&amp;A39,tblDaily[Date],"&gt;"&amp;(A39-7))=7,AVERAGEIFS(tblDaily[Trips],tblDaily[Period],B39,tblDaily[Date],"&lt;="&amp;A39,tblDaily[Date],"&gt;"&amp;(A39-7)),"")</f>
        <v>20992.85714285714</v>
      </c>
    </row>
    <row r="40" spans="1:10">
      <c r="A40" s="32">
        <v>41768</v>
      </c>
      <c r="B40" t="s">
        <v>303</v>
      </c>
      <c r="C40">
        <f>SUMIFS(tblHourly[Trips],tblHourly[Date],A40)</f>
        <v>26385</v>
      </c>
      <c r="D40" t="str">
        <f>CHOOSE(WEEKDAY(A40,2),"Mon","Tue","Wed","Thu","Fri","Sat","Sun")</f>
        <v>Fri</v>
      </c>
      <c r="E40" t="str">
        <f>IF(WEEKDAY(A40,2)&gt;5,"Weekend","Weekday")</f>
        <v>Weekday</v>
      </c>
      <c r="F40" s="33">
        <f>DATE(YEAR(A40),MONTH(A40),1)</f>
        <v>41760.0</v>
      </c>
      <c r="G40" t="str">
        <f>IF(COUNTIF(HolidayDates,A40)&gt;0,"Yes","No")</f>
        <v>No</v>
      </c>
      <c r="H40" t="str">
        <f>IF(COUNTIF(SpecialDates,A40)&gt;0,"Yes","No")</f>
        <v>No</v>
      </c>
      <c r="I40">
        <f>IF(B40="2015 Jan-Jun",C40,"")</f>
        <v/>
      </c>
      <c r="J40" s="34">
        <f>IF(COUNTIFS(tblDaily[Period],B40,tblDaily[Date],"&lt;="&amp;A40,tblDaily[Date],"&gt;"&amp;(A40-7))=7,AVERAGEIFS(tblDaily[Trips],tblDaily[Period],B40,tblDaily[Date],"&lt;="&amp;A40,tblDaily[Date],"&gt;"&amp;(A40-7)),"")</f>
        <v>21300.0</v>
      </c>
    </row>
    <row r="41" spans="1:10">
      <c r="A41" s="32">
        <v>41769</v>
      </c>
      <c r="B41" t="s">
        <v>303</v>
      </c>
      <c r="C41">
        <f>SUMIFS(tblHourly[Trips],tblHourly[Date],A41)</f>
        <v>22550</v>
      </c>
      <c r="D41" t="str">
        <f>CHOOSE(WEEKDAY(A41,2),"Mon","Tue","Wed","Thu","Fri","Sat","Sun")</f>
        <v>Sat</v>
      </c>
      <c r="E41" t="str">
        <f>IF(WEEKDAY(A41,2)&gt;5,"Weekend","Weekday")</f>
        <v>Weekend</v>
      </c>
      <c r="F41" s="33">
        <f>DATE(YEAR(A41),MONTH(A41),1)</f>
        <v>41760.0</v>
      </c>
      <c r="G41" t="str">
        <f>IF(COUNTIF(HolidayDates,A41)&gt;0,"Yes","No")</f>
        <v>No</v>
      </c>
      <c r="H41" t="str">
        <f>IF(COUNTIF(SpecialDates,A41)&gt;0,"Yes","No")</f>
        <v>No</v>
      </c>
      <c r="I41">
        <f>IF(B41="2015 Jan-Jun",C41,"")</f>
        <v/>
      </c>
      <c r="J41" s="34">
        <f>IF(COUNTIFS(tblDaily[Period],B41,tblDaily[Date],"&lt;="&amp;A41,tblDaily[Date],"&gt;"&amp;(A41-7))=7,AVERAGEIFS(tblDaily[Trips],tblDaily[Period],B41,tblDaily[Date],"&lt;="&amp;A41,tblDaily[Date],"&gt;"&amp;(A41-7)),"")</f>
        <v>21345.14285714286</v>
      </c>
    </row>
    <row r="42" spans="1:10">
      <c r="A42" s="32">
        <v>41770</v>
      </c>
      <c r="B42" t="s">
        <v>303</v>
      </c>
      <c r="C42">
        <f>SUMIFS(tblHourly[Trips],tblHourly[Date],A42)</f>
        <v>14901</v>
      </c>
      <c r="D42" t="str">
        <f>CHOOSE(WEEKDAY(A42,2),"Mon","Tue","Wed","Thu","Fri","Sat","Sun")</f>
        <v>Sun</v>
      </c>
      <c r="E42" t="str">
        <f>IF(WEEKDAY(A42,2)&gt;5,"Weekend","Weekday")</f>
        <v>Weekend</v>
      </c>
      <c r="F42" s="33">
        <f>DATE(YEAR(A42),MONTH(A42),1)</f>
        <v>41760.0</v>
      </c>
      <c r="G42" t="str">
        <f>IF(COUNTIF(HolidayDates,A42)&gt;0,"Yes","No")</f>
        <v>No</v>
      </c>
      <c r="H42" t="str">
        <f>IF(COUNTIF(SpecialDates,A42)&gt;0,"Yes","No")</f>
        <v>No</v>
      </c>
      <c r="I42">
        <f>IF(B42="2015 Jan-Jun",C42,"")</f>
        <v/>
      </c>
      <c r="J42" s="34">
        <f>IF(COUNTIFS(tblDaily[Period],B42,tblDaily[Date],"&lt;="&amp;A42,tblDaily[Date],"&gt;"&amp;(A42-7))=7,AVERAGEIFS(tblDaily[Trips],tblDaily[Period],B42,tblDaily[Date],"&lt;="&amp;A42,tblDaily[Date],"&gt;"&amp;(A42-7)),"")</f>
        <v>21485.571428571428</v>
      </c>
    </row>
    <row r="43" spans="1:10">
      <c r="A43" s="32">
        <v>41771</v>
      </c>
      <c r="B43" t="s">
        <v>303</v>
      </c>
      <c r="C43">
        <f>SUMIFS(tblHourly[Trips],tblHourly[Date],A43)</f>
        <v>17470</v>
      </c>
      <c r="D43" t="str">
        <f>CHOOSE(WEEKDAY(A43,2),"Mon","Tue","Wed","Thu","Fri","Sat","Sun")</f>
        <v>Mon</v>
      </c>
      <c r="E43" t="str">
        <f>IF(WEEKDAY(A43,2)&gt;5,"Weekend","Weekday")</f>
        <v>Weekday</v>
      </c>
      <c r="F43" s="33">
        <f>DATE(YEAR(A43),MONTH(A43),1)</f>
        <v>41760.0</v>
      </c>
      <c r="G43" t="str">
        <f>IF(COUNTIF(HolidayDates,A43)&gt;0,"Yes","No")</f>
        <v>No</v>
      </c>
      <c r="H43" t="str">
        <f>IF(COUNTIF(SpecialDates,A43)&gt;0,"Yes","No")</f>
        <v>No</v>
      </c>
      <c r="I43">
        <f>IF(B43="2015 Jan-Jun",C43,"")</f>
        <v/>
      </c>
      <c r="J43" s="34">
        <f>IF(COUNTIFS(tblDaily[Period],B43,tblDaily[Date],"&lt;="&amp;A43,tblDaily[Date],"&gt;"&amp;(A43-7))=7,AVERAGEIFS(tblDaily[Trips],tblDaily[Period],B43,tblDaily[Date],"&lt;="&amp;A43,tblDaily[Date],"&gt;"&amp;(A43-7)),"")</f>
        <v>21430.0</v>
      </c>
    </row>
    <row r="44" spans="1:10">
      <c r="A44" s="32">
        <v>41772</v>
      </c>
      <c r="B44" t="s">
        <v>303</v>
      </c>
      <c r="C44">
        <f>SUMIFS(tblHourly[Trips],tblHourly[Date],A44)</f>
        <v>19498</v>
      </c>
      <c r="D44" t="str">
        <f>CHOOSE(WEEKDAY(A44,2),"Mon","Tue","Wed","Thu","Fri","Sat","Sun")</f>
        <v>Tue</v>
      </c>
      <c r="E44" t="str">
        <f>IF(WEEKDAY(A44,2)&gt;5,"Weekend","Weekday")</f>
        <v>Weekday</v>
      </c>
      <c r="F44" s="33">
        <f>DATE(YEAR(A44),MONTH(A44),1)</f>
        <v>41760.0</v>
      </c>
      <c r="G44" t="str">
        <f>IF(COUNTIF(HolidayDates,A44)&gt;0,"Yes","No")</f>
        <v>No</v>
      </c>
      <c r="H44" t="str">
        <f>IF(COUNTIF(SpecialDates,A44)&gt;0,"Yes","No")</f>
        <v>No</v>
      </c>
      <c r="I44">
        <f>IF(B44="2015 Jan-Jun",C44,"")</f>
        <v/>
      </c>
      <c r="J44" s="34">
        <f>IF(COUNTIFS(tblDaily[Period],B44,tblDaily[Date],"&lt;="&amp;A44,tblDaily[Date],"&gt;"&amp;(A44-7))=7,AVERAGEIFS(tblDaily[Trips],tblDaily[Period],B44,tblDaily[Date],"&lt;="&amp;A44,tblDaily[Date],"&gt;"&amp;(A44-7)),"")</f>
        <v>21458.285714285714</v>
      </c>
    </row>
    <row r="45" spans="1:10">
      <c r="A45" s="32">
        <v>41773</v>
      </c>
      <c r="B45" t="s">
        <v>303</v>
      </c>
      <c r="C45">
        <f>SUMIFS(tblHourly[Trips],tblHourly[Date],A45)</f>
        <v>22218</v>
      </c>
      <c r="D45" t="str">
        <f>CHOOSE(WEEKDAY(A45,2),"Mon","Tue","Wed","Thu","Fri","Sat","Sun")</f>
        <v>Wed</v>
      </c>
      <c r="E45" t="str">
        <f>IF(WEEKDAY(A45,2)&gt;5,"Weekend","Weekday")</f>
        <v>Weekday</v>
      </c>
      <c r="F45" s="33">
        <f>DATE(YEAR(A45),MONTH(A45),1)</f>
        <v>41760.0</v>
      </c>
      <c r="G45" t="str">
        <f>IF(COUNTIF(HolidayDates,A45)&gt;0,"Yes","No")</f>
        <v>No</v>
      </c>
      <c r="H45" t="str">
        <f>IF(COUNTIF(SpecialDates,A45)&gt;0,"Yes","No")</f>
        <v>No</v>
      </c>
      <c r="I45">
        <f>IF(B45="2015 Jan-Jun",C45,"")</f>
        <v/>
      </c>
      <c r="J45" s="34">
        <f>IF(COUNTIFS(tblDaily[Period],B45,tblDaily[Date],"&lt;="&amp;A45,tblDaily[Date],"&gt;"&amp;(A45-7))=7,AVERAGEIFS(tblDaily[Trips],tblDaily[Period],B45,tblDaily[Date],"&lt;="&amp;A45,tblDaily[Date],"&gt;"&amp;(A45-7)),"")</f>
        <v>21505.0</v>
      </c>
    </row>
    <row r="46" spans="1:10">
      <c r="A46" s="32">
        <v>41774</v>
      </c>
      <c r="B46" t="s">
        <v>303</v>
      </c>
      <c r="C46">
        <f>SUMIFS(tblHourly[Trips],tblHourly[Date],A46)</f>
        <v>26301</v>
      </c>
      <c r="D46" t="str">
        <f>CHOOSE(WEEKDAY(A46,2),"Mon","Tue","Wed","Thu","Fri","Sat","Sun")</f>
        <v>Thu</v>
      </c>
      <c r="E46" t="str">
        <f>IF(WEEKDAY(A46,2)&gt;5,"Weekend","Weekday")</f>
        <v>Weekday</v>
      </c>
      <c r="F46" s="33">
        <f>DATE(YEAR(A46),MONTH(A46),1)</f>
        <v>41760.0</v>
      </c>
      <c r="G46" t="str">
        <f>IF(COUNTIF(HolidayDates,A46)&gt;0,"Yes","No")</f>
        <v>No</v>
      </c>
      <c r="H46" t="str">
        <f>IF(COUNTIF(SpecialDates,A46)&gt;0,"Yes","No")</f>
        <v>No</v>
      </c>
      <c r="I46">
        <f>IF(B46="2015 Jan-Jun",C46,"")</f>
        <v/>
      </c>
      <c r="J46" s="34">
        <f>IF(COUNTIFS(tblDaily[Period],B46,tblDaily[Date],"&lt;="&amp;A46,tblDaily[Date],"&gt;"&amp;(A46-7))=7,AVERAGEIFS(tblDaily[Trips],tblDaily[Period],B46,tblDaily[Date],"&lt;="&amp;A46,tblDaily[Date],"&gt;"&amp;(A46-7)),"")</f>
        <v>21331.85714285714</v>
      </c>
    </row>
    <row r="47" spans="1:10">
      <c r="A47" s="32">
        <v>41775</v>
      </c>
      <c r="B47" t="s">
        <v>303</v>
      </c>
      <c r="C47">
        <f>SUMIFS(tblHourly[Trips],tblHourly[Date],A47)</f>
        <v>32493</v>
      </c>
      <c r="D47" t="str">
        <f>CHOOSE(WEEKDAY(A47,2),"Mon","Tue","Wed","Thu","Fri","Sat","Sun")</f>
        <v>Fri</v>
      </c>
      <c r="E47" t="str">
        <f>IF(WEEKDAY(A47,2)&gt;5,"Weekend","Weekday")</f>
        <v>Weekday</v>
      </c>
      <c r="F47" s="33">
        <f>DATE(YEAR(A47),MONTH(A47),1)</f>
        <v>41760.0</v>
      </c>
      <c r="G47" t="str">
        <f>IF(COUNTIF(HolidayDates,A47)&gt;0,"Yes","No")</f>
        <v>No</v>
      </c>
      <c r="H47" t="str">
        <f>IF(COUNTIF(SpecialDates,A47)&gt;0,"Yes","No")</f>
        <v>No</v>
      </c>
      <c r="I47">
        <f>IF(B47="2015 Jan-Jun",C47,"")</f>
        <v/>
      </c>
      <c r="J47" s="34">
        <f>IF(COUNTIFS(tblDaily[Period],B47,tblDaily[Date],"&lt;="&amp;A47,tblDaily[Date],"&gt;"&amp;(A47-7))=7,AVERAGEIFS(tblDaily[Trips],tblDaily[Period],B47,tblDaily[Date],"&lt;="&amp;A47,tblDaily[Date],"&gt;"&amp;(A47-7)),"")</f>
        <v>22204.428571428572</v>
      </c>
    </row>
    <row r="48" spans="1:10">
      <c r="A48" s="32">
        <v>41776</v>
      </c>
      <c r="B48" t="s">
        <v>303</v>
      </c>
      <c r="C48">
        <f>SUMIFS(tblHourly[Trips],tblHourly[Date],A48)</f>
        <v>22294</v>
      </c>
      <c r="D48" t="str">
        <f>CHOOSE(WEEKDAY(A48,2),"Mon","Tue","Wed","Thu","Fri","Sat","Sun")</f>
        <v>Sat</v>
      </c>
      <c r="E48" t="str">
        <f>IF(WEEKDAY(A48,2)&gt;5,"Weekend","Weekday")</f>
        <v>Weekend</v>
      </c>
      <c r="F48" s="33">
        <f>DATE(YEAR(A48),MONTH(A48),1)</f>
        <v>41760.0</v>
      </c>
      <c r="G48" t="str">
        <f>IF(COUNTIF(HolidayDates,A48)&gt;0,"Yes","No")</f>
        <v>No</v>
      </c>
      <c r="H48" t="str">
        <f>IF(COUNTIF(SpecialDates,A48)&gt;0,"Yes","No")</f>
        <v>No</v>
      </c>
      <c r="I48">
        <f>IF(B48="2015 Jan-Jun",C48,"")</f>
        <v/>
      </c>
      <c r="J48" s="34">
        <f>IF(COUNTIFS(tblDaily[Period],B48,tblDaily[Date],"&lt;="&amp;A48,tblDaily[Date],"&gt;"&amp;(A48-7))=7,AVERAGEIFS(tblDaily[Trips],tblDaily[Period],B48,tblDaily[Date],"&lt;="&amp;A48,tblDaily[Date],"&gt;"&amp;(A48-7)),"")</f>
        <v>22167.85714285714</v>
      </c>
    </row>
    <row r="49" spans="1:10">
      <c r="A49" s="32">
        <v>41777</v>
      </c>
      <c r="B49" t="s">
        <v>303</v>
      </c>
      <c r="C49">
        <f>SUMIFS(tblHourly[Trips],tblHourly[Date],A49)</f>
        <v>16508</v>
      </c>
      <c r="D49" t="str">
        <f>CHOOSE(WEEKDAY(A49,2),"Mon","Tue","Wed","Thu","Fri","Sat","Sun")</f>
        <v>Sun</v>
      </c>
      <c r="E49" t="str">
        <f>IF(WEEKDAY(A49,2)&gt;5,"Weekend","Weekday")</f>
        <v>Weekend</v>
      </c>
      <c r="F49" s="33">
        <f>DATE(YEAR(A49),MONTH(A49),1)</f>
        <v>41760.0</v>
      </c>
      <c r="G49" t="str">
        <f>IF(COUNTIF(HolidayDates,A49)&gt;0,"Yes","No")</f>
        <v>No</v>
      </c>
      <c r="H49" t="str">
        <f>IF(COUNTIF(SpecialDates,A49)&gt;0,"Yes","No")</f>
        <v>No</v>
      </c>
      <c r="I49">
        <f>IF(B49="2015 Jan-Jun",C49,"")</f>
        <v/>
      </c>
      <c r="J49" s="34">
        <f>IF(COUNTIFS(tblDaily[Period],B49,tblDaily[Date],"&lt;="&amp;A49,tblDaily[Date],"&gt;"&amp;(A49-7))=7,AVERAGEIFS(tblDaily[Trips],tblDaily[Period],B49,tblDaily[Date],"&lt;="&amp;A49,tblDaily[Date],"&gt;"&amp;(A49-7)),"")</f>
        <v>22397.428571428572</v>
      </c>
    </row>
    <row r="50" spans="1:10">
      <c r="A50" s="32">
        <v>41778</v>
      </c>
      <c r="B50" t="s">
        <v>303</v>
      </c>
      <c r="C50">
        <f>SUMIFS(tblHourly[Trips],tblHourly[Date],A50)</f>
        <v>18315</v>
      </c>
      <c r="D50" t="str">
        <f>CHOOSE(WEEKDAY(A50,2),"Mon","Tue","Wed","Thu","Fri","Sat","Sun")</f>
        <v>Mon</v>
      </c>
      <c r="E50" t="str">
        <f>IF(WEEKDAY(A50,2)&gt;5,"Weekend","Weekday")</f>
        <v>Weekday</v>
      </c>
      <c r="F50" s="33">
        <f>DATE(YEAR(A50),MONTH(A50),1)</f>
        <v>41760.0</v>
      </c>
      <c r="G50" t="str">
        <f>IF(COUNTIF(HolidayDates,A50)&gt;0,"Yes","No")</f>
        <v>No</v>
      </c>
      <c r="H50" t="str">
        <f>IF(COUNTIF(SpecialDates,A50)&gt;0,"Yes","No")</f>
        <v>No</v>
      </c>
      <c r="I50">
        <f>IF(B50="2015 Jan-Jun",C50,"")</f>
        <v/>
      </c>
      <c r="J50" s="34">
        <f>IF(COUNTIFS(tblDaily[Period],B50,tblDaily[Date],"&lt;="&amp;A50,tblDaily[Date],"&gt;"&amp;(A50-7))=7,AVERAGEIFS(tblDaily[Trips],tblDaily[Period],B50,tblDaily[Date],"&lt;="&amp;A50,tblDaily[Date],"&gt;"&amp;(A50-7)),"")</f>
        <v>22518.14285714286</v>
      </c>
    </row>
    <row r="51" spans="1:10">
      <c r="A51" s="32">
        <v>41779</v>
      </c>
      <c r="B51" t="s">
        <v>303</v>
      </c>
      <c r="C51">
        <f>SUMIFS(tblHourly[Trips],tblHourly[Date],A51)</f>
        <v>20860</v>
      </c>
      <c r="D51" t="str">
        <f>CHOOSE(WEEKDAY(A51,2),"Mon","Tue","Wed","Thu","Fri","Sat","Sun")</f>
        <v>Tue</v>
      </c>
      <c r="E51" t="str">
        <f>IF(WEEKDAY(A51,2)&gt;5,"Weekend","Weekday")</f>
        <v>Weekday</v>
      </c>
      <c r="F51" s="33">
        <f>DATE(YEAR(A51),MONTH(A51),1)</f>
        <v>41760.0</v>
      </c>
      <c r="G51" t="str">
        <f>IF(COUNTIF(HolidayDates,A51)&gt;0,"Yes","No")</f>
        <v>No</v>
      </c>
      <c r="H51" t="str">
        <f>IF(COUNTIF(SpecialDates,A51)&gt;0,"Yes","No")</f>
        <v>No</v>
      </c>
      <c r="I51">
        <f>IF(B51="2015 Jan-Jun",C51,"")</f>
        <v/>
      </c>
      <c r="J51" s="34">
        <f>IF(COUNTIFS(tblDaily[Period],B51,tblDaily[Date],"&lt;="&amp;A51,tblDaily[Date],"&gt;"&amp;(A51-7))=7,AVERAGEIFS(tblDaily[Trips],tblDaily[Period],B51,tblDaily[Date],"&lt;="&amp;A51,tblDaily[Date],"&gt;"&amp;(A51-7)),"")</f>
        <v>22712.714285714286</v>
      </c>
    </row>
    <row r="52" spans="1:10">
      <c r="A52" s="32">
        <v>41780</v>
      </c>
      <c r="B52" t="s">
        <v>303</v>
      </c>
      <c r="C52">
        <f>SUMIFS(tblHourly[Trips],tblHourly[Date],A52)</f>
        <v>23508</v>
      </c>
      <c r="D52" t="str">
        <f>CHOOSE(WEEKDAY(A52,2),"Mon","Tue","Wed","Thu","Fri","Sat","Sun")</f>
        <v>Wed</v>
      </c>
      <c r="E52" t="str">
        <f>IF(WEEKDAY(A52,2)&gt;5,"Weekend","Weekday")</f>
        <v>Weekday</v>
      </c>
      <c r="F52" s="33">
        <f>DATE(YEAR(A52),MONTH(A52),1)</f>
        <v>41760.0</v>
      </c>
      <c r="G52" t="str">
        <f>IF(COUNTIF(HolidayDates,A52)&gt;0,"Yes","No")</f>
        <v>No</v>
      </c>
      <c r="H52" t="str">
        <f>IF(COUNTIF(SpecialDates,A52)&gt;0,"Yes","No")</f>
        <v>No</v>
      </c>
      <c r="I52">
        <f>IF(B52="2015 Jan-Jun",C52,"")</f>
        <v/>
      </c>
      <c r="J52" s="34">
        <f>IF(COUNTIFS(tblDaily[Period],B52,tblDaily[Date],"&lt;="&amp;A52,tblDaily[Date],"&gt;"&amp;(A52-7))=7,AVERAGEIFS(tblDaily[Trips],tblDaily[Period],B52,tblDaily[Date],"&lt;="&amp;A52,tblDaily[Date],"&gt;"&amp;(A52-7)),"")</f>
        <v>22897.0</v>
      </c>
    </row>
    <row r="53" spans="1:10">
      <c r="A53" s="32">
        <v>41781</v>
      </c>
      <c r="B53" t="s">
        <v>303</v>
      </c>
      <c r="C53">
        <f>SUMIFS(tblHourly[Trips],tblHourly[Date],A53)</f>
        <v>26802</v>
      </c>
      <c r="D53" t="str">
        <f>CHOOSE(WEEKDAY(A53,2),"Mon","Tue","Wed","Thu","Fri","Sat","Sun")</f>
        <v>Thu</v>
      </c>
      <c r="E53" t="str">
        <f>IF(WEEKDAY(A53,2)&gt;5,"Weekend","Weekday")</f>
        <v>Weekday</v>
      </c>
      <c r="F53" s="33">
        <f>DATE(YEAR(A53),MONTH(A53),1)</f>
        <v>41760.0</v>
      </c>
      <c r="G53" t="str">
        <f>IF(COUNTIF(HolidayDates,A53)&gt;0,"Yes","No")</f>
        <v>No</v>
      </c>
      <c r="H53" t="str">
        <f>IF(COUNTIF(SpecialDates,A53)&gt;0,"Yes","No")</f>
        <v>No</v>
      </c>
      <c r="I53">
        <f>IF(B53="2015 Jan-Jun",C53,"")</f>
        <v/>
      </c>
      <c r="J53" s="34">
        <f>IF(COUNTIFS(tblDaily[Period],B53,tblDaily[Date],"&lt;="&amp;A53,tblDaily[Date],"&gt;"&amp;(A53-7))=7,AVERAGEIFS(tblDaily[Trips],tblDaily[Period],B53,tblDaily[Date],"&lt;="&amp;A53,tblDaily[Date],"&gt;"&amp;(A53-7)),"")</f>
        <v>22968.571428571428</v>
      </c>
    </row>
    <row r="54" spans="1:10">
      <c r="A54" s="32">
        <v>41782</v>
      </c>
      <c r="B54" t="s">
        <v>303</v>
      </c>
      <c r="C54">
        <f>SUMIFS(tblHourly[Trips],tblHourly[Date],A54)</f>
        <v>26465</v>
      </c>
      <c r="D54" t="str">
        <f>CHOOSE(WEEKDAY(A54,2),"Mon","Tue","Wed","Thu","Fri","Sat","Sun")</f>
        <v>Fri</v>
      </c>
      <c r="E54" t="str">
        <f>IF(WEEKDAY(A54,2)&gt;5,"Weekend","Weekday")</f>
        <v>Weekday</v>
      </c>
      <c r="F54" s="33">
        <f>DATE(YEAR(A54),MONTH(A54),1)</f>
        <v>41760.0</v>
      </c>
      <c r="G54" t="str">
        <f>IF(COUNTIF(HolidayDates,A54)&gt;0,"Yes","No")</f>
        <v>No</v>
      </c>
      <c r="H54" t="str">
        <f>IF(COUNTIF(SpecialDates,A54)&gt;0,"Yes","No")</f>
        <v>No</v>
      </c>
      <c r="I54">
        <f>IF(B54="2015 Jan-Jun",C54,"")</f>
        <v/>
      </c>
      <c r="J54" s="34">
        <f>IF(COUNTIFS(tblDaily[Period],B54,tblDaily[Date],"&lt;="&amp;A54,tblDaily[Date],"&gt;"&amp;(A54-7))=7,AVERAGEIFS(tblDaily[Trips],tblDaily[Period],B54,tblDaily[Date],"&lt;="&amp;A54,tblDaily[Date],"&gt;"&amp;(A54-7)),"")</f>
        <v>22107.428571428572</v>
      </c>
    </row>
    <row r="55" spans="1:10">
      <c r="A55" s="32">
        <v>41783</v>
      </c>
      <c r="B55" t="s">
        <v>303</v>
      </c>
      <c r="C55">
        <f>SUMIFS(tblHourly[Trips],tblHourly[Date],A55)</f>
        <v>14651</v>
      </c>
      <c r="D55" t="str">
        <f>CHOOSE(WEEKDAY(A55,2),"Mon","Tue","Wed","Thu","Fri","Sat","Sun")</f>
        <v>Sat</v>
      </c>
      <c r="E55" t="str">
        <f>IF(WEEKDAY(A55,2)&gt;5,"Weekend","Weekday")</f>
        <v>Weekend</v>
      </c>
      <c r="F55" s="33">
        <f>DATE(YEAR(A55),MONTH(A55),1)</f>
        <v>41760.0</v>
      </c>
      <c r="G55" t="str">
        <f>IF(COUNTIF(HolidayDates,A55)&gt;0,"Yes","No")</f>
        <v>No</v>
      </c>
      <c r="H55" t="str">
        <f>IF(COUNTIF(SpecialDates,A55)&gt;0,"Yes","No")</f>
        <v>No</v>
      </c>
      <c r="I55">
        <f>IF(B55="2015 Jan-Jun",C55,"")</f>
        <v/>
      </c>
      <c r="J55" s="34">
        <f>IF(COUNTIFS(tblDaily[Period],B55,tblDaily[Date],"&lt;="&amp;A55,tblDaily[Date],"&gt;"&amp;(A55-7))=7,AVERAGEIFS(tblDaily[Trips],tblDaily[Period],B55,tblDaily[Date],"&lt;="&amp;A55,tblDaily[Date],"&gt;"&amp;(A55-7)),"")</f>
        <v>21015.571428571428</v>
      </c>
    </row>
    <row r="56" spans="1:10">
      <c r="A56" s="32">
        <v>41784</v>
      </c>
      <c r="B56" t="s">
        <v>303</v>
      </c>
      <c r="C56">
        <f>SUMIFS(tblHourly[Trips],tblHourly[Date],A56)</f>
        <v>10841</v>
      </c>
      <c r="D56" t="str">
        <f>CHOOSE(WEEKDAY(A56,2),"Mon","Tue","Wed","Thu","Fri","Sat","Sun")</f>
        <v>Sun</v>
      </c>
      <c r="E56" t="str">
        <f>IF(WEEKDAY(A56,2)&gt;5,"Weekend","Weekday")</f>
        <v>Weekend</v>
      </c>
      <c r="F56" s="33">
        <f>DATE(YEAR(A56),MONTH(A56),1)</f>
        <v>41760.0</v>
      </c>
      <c r="G56" t="str">
        <f>IF(COUNTIF(HolidayDates,A56)&gt;0,"Yes","No")</f>
        <v>No</v>
      </c>
      <c r="H56" t="str">
        <f>IF(COUNTIF(SpecialDates,A56)&gt;0,"Yes","No")</f>
        <v>No</v>
      </c>
      <c r="I56">
        <f>IF(B56="2015 Jan-Jun",C56,"")</f>
        <v/>
      </c>
      <c r="J56" s="34">
        <f>IF(COUNTIFS(tblDaily[Period],B56,tblDaily[Date],"&lt;="&amp;A56,tblDaily[Date],"&gt;"&amp;(A56-7))=7,AVERAGEIFS(tblDaily[Trips],tblDaily[Period],B56,tblDaily[Date],"&lt;="&amp;A56,tblDaily[Date],"&gt;"&amp;(A56-7)),"")</f>
        <v>20206.0</v>
      </c>
    </row>
    <row r="57" spans="1:10">
      <c r="A57" s="32">
        <v>41785</v>
      </c>
      <c r="B57" t="s">
        <v>303</v>
      </c>
      <c r="C57">
        <f>SUMIFS(tblHourly[Trips],tblHourly[Date],A57)</f>
        <v>10202</v>
      </c>
      <c r="D57" t="str">
        <f>CHOOSE(WEEKDAY(A57,2),"Mon","Tue","Wed","Thu","Fri","Sat","Sun")</f>
        <v>Mon</v>
      </c>
      <c r="E57" t="str">
        <f>IF(WEEKDAY(A57,2)&gt;5,"Weekend","Weekday")</f>
        <v>Weekday</v>
      </c>
      <c r="F57" s="33">
        <f>DATE(YEAR(A57),MONTH(A57),1)</f>
        <v>41760.0</v>
      </c>
      <c r="G57" t="str">
        <f>IF(COUNTIF(HolidayDates,A57)&gt;0,"Yes","No")</f>
        <v>Yes</v>
      </c>
      <c r="H57" t="str">
        <f>IF(COUNTIF(SpecialDates,A57)&gt;0,"Yes","No")</f>
        <v>Yes</v>
      </c>
      <c r="I57">
        <f>IF(B57="2015 Jan-Jun",C57,"")</f>
        <v/>
      </c>
      <c r="J57" s="34">
        <f>IF(COUNTIFS(tblDaily[Period],B57,tblDaily[Date],"&lt;="&amp;A57,tblDaily[Date],"&gt;"&amp;(A57-7))=7,AVERAGEIFS(tblDaily[Trips],tblDaily[Period],B57,tblDaily[Date],"&lt;="&amp;A57,tblDaily[Date],"&gt;"&amp;(A57-7)),"")</f>
        <v>19047.0</v>
      </c>
    </row>
    <row r="58" spans="1:10">
      <c r="A58" s="32">
        <v>41786</v>
      </c>
      <c r="B58" t="s">
        <v>303</v>
      </c>
      <c r="C58">
        <f>SUMIFS(tblHourly[Trips],tblHourly[Date],A58)</f>
        <v>17004</v>
      </c>
      <c r="D58" t="str">
        <f>CHOOSE(WEEKDAY(A58,2),"Mon","Tue","Wed","Thu","Fri","Sat","Sun")</f>
        <v>Tue</v>
      </c>
      <c r="E58" t="str">
        <f>IF(WEEKDAY(A58,2)&gt;5,"Weekend","Weekday")</f>
        <v>Weekday</v>
      </c>
      <c r="F58" s="33">
        <f>DATE(YEAR(A58),MONTH(A58),1)</f>
        <v>41760.0</v>
      </c>
      <c r="G58" t="str">
        <f>IF(COUNTIF(HolidayDates,A58)&gt;0,"Yes","No")</f>
        <v>No</v>
      </c>
      <c r="H58" t="str">
        <f>IF(COUNTIF(SpecialDates,A58)&gt;0,"Yes","No")</f>
        <v>No</v>
      </c>
      <c r="I58">
        <f>IF(B58="2015 Jan-Jun",C58,"")</f>
        <v/>
      </c>
      <c r="J58" s="34">
        <f>IF(COUNTIFS(tblDaily[Period],B58,tblDaily[Date],"&lt;="&amp;A58,tblDaily[Date],"&gt;"&amp;(A58-7))=7,AVERAGEIFS(tblDaily[Trips],tblDaily[Period],B58,tblDaily[Date],"&lt;="&amp;A58,tblDaily[Date],"&gt;"&amp;(A58-7)),"")</f>
        <v>18496.14285714286</v>
      </c>
    </row>
    <row r="59" spans="1:10">
      <c r="A59" s="32">
        <v>41787</v>
      </c>
      <c r="B59" t="s">
        <v>303</v>
      </c>
      <c r="C59">
        <f>SUMIFS(tblHourly[Trips],tblHourly[Date],A59)</f>
        <v>22240</v>
      </c>
      <c r="D59" t="str">
        <f>CHOOSE(WEEKDAY(A59,2),"Mon","Tue","Wed","Thu","Fri","Sat","Sun")</f>
        <v>Wed</v>
      </c>
      <c r="E59" t="str">
        <f>IF(WEEKDAY(A59,2)&gt;5,"Weekend","Weekday")</f>
        <v>Weekday</v>
      </c>
      <c r="F59" s="33">
        <f>DATE(YEAR(A59),MONTH(A59),1)</f>
        <v>41760.0</v>
      </c>
      <c r="G59" t="str">
        <f>IF(COUNTIF(HolidayDates,A59)&gt;0,"Yes","No")</f>
        <v>No</v>
      </c>
      <c r="H59" t="str">
        <f>IF(COUNTIF(SpecialDates,A59)&gt;0,"Yes","No")</f>
        <v>No</v>
      </c>
      <c r="I59">
        <f>IF(B59="2015 Jan-Jun",C59,"")</f>
        <v/>
      </c>
      <c r="J59" s="34">
        <f>IF(COUNTIFS(tblDaily[Period],B59,tblDaily[Date],"&lt;="&amp;A59,tblDaily[Date],"&gt;"&amp;(A59-7))=7,AVERAGEIFS(tblDaily[Trips],tblDaily[Period],B59,tblDaily[Date],"&lt;="&amp;A59,tblDaily[Date],"&gt;"&amp;(A59-7)),"")</f>
        <v>18315.0</v>
      </c>
    </row>
    <row r="60" spans="1:10">
      <c r="A60" s="32">
        <v>41788</v>
      </c>
      <c r="B60" t="s">
        <v>303</v>
      </c>
      <c r="C60">
        <f>SUMIFS(tblHourly[Trips],tblHourly[Date],A60)</f>
        <v>24930</v>
      </c>
      <c r="D60" t="str">
        <f>CHOOSE(WEEKDAY(A60,2),"Mon","Tue","Wed","Thu","Fri","Sat","Sun")</f>
        <v>Thu</v>
      </c>
      <c r="E60" t="str">
        <f>IF(WEEKDAY(A60,2)&gt;5,"Weekend","Weekday")</f>
        <v>Weekday</v>
      </c>
      <c r="F60" s="33">
        <f>DATE(YEAR(A60),MONTH(A60),1)</f>
        <v>41760.0</v>
      </c>
      <c r="G60" t="str">
        <f>IF(COUNTIF(HolidayDates,A60)&gt;0,"Yes","No")</f>
        <v>No</v>
      </c>
      <c r="H60" t="str">
        <f>IF(COUNTIF(SpecialDates,A60)&gt;0,"Yes","No")</f>
        <v>No</v>
      </c>
      <c r="I60">
        <f>IF(B60="2015 Jan-Jun",C60,"")</f>
        <v/>
      </c>
      <c r="J60" s="34">
        <f>IF(COUNTIFS(tblDaily[Period],B60,tblDaily[Date],"&lt;="&amp;A60,tblDaily[Date],"&gt;"&amp;(A60-7))=7,AVERAGEIFS(tblDaily[Trips],tblDaily[Period],B60,tblDaily[Date],"&lt;="&amp;A60,tblDaily[Date],"&gt;"&amp;(A60-7)),"")</f>
        <v>18047.571428571428</v>
      </c>
    </row>
    <row r="61" spans="1:10">
      <c r="A61" s="32">
        <v>41789</v>
      </c>
      <c r="B61" t="s">
        <v>303</v>
      </c>
      <c r="C61">
        <f>SUMIFS(tblHourly[Trips],tblHourly[Date],A61)</f>
        <v>24413</v>
      </c>
      <c r="D61" t="str">
        <f>CHOOSE(WEEKDAY(A61,2),"Mon","Tue","Wed","Thu","Fri","Sat","Sun")</f>
        <v>Fri</v>
      </c>
      <c r="E61" t="str">
        <f>IF(WEEKDAY(A61,2)&gt;5,"Weekend","Weekday")</f>
        <v>Weekday</v>
      </c>
      <c r="F61" s="33">
        <f>DATE(YEAR(A61),MONTH(A61),1)</f>
        <v>41760.0</v>
      </c>
      <c r="G61" t="str">
        <f>IF(COUNTIF(HolidayDates,A61)&gt;0,"Yes","No")</f>
        <v>No</v>
      </c>
      <c r="H61" t="str">
        <f>IF(COUNTIF(SpecialDates,A61)&gt;0,"Yes","No")</f>
        <v>No</v>
      </c>
      <c r="I61">
        <f>IF(B61="2015 Jan-Jun",C61,"")</f>
        <v/>
      </c>
      <c r="J61" s="34">
        <f>IF(COUNTIFS(tblDaily[Period],B61,tblDaily[Date],"&lt;="&amp;A61,tblDaily[Date],"&gt;"&amp;(A61-7))=7,AVERAGEIFS(tblDaily[Trips],tblDaily[Period],B61,tblDaily[Date],"&lt;="&amp;A61,tblDaily[Date],"&gt;"&amp;(A61-7)),"")</f>
        <v>17754.428571428572</v>
      </c>
    </row>
    <row r="62" spans="1:10">
      <c r="A62" s="32">
        <v>41790</v>
      </c>
      <c r="B62" t="s">
        <v>303</v>
      </c>
      <c r="C62">
        <f>SUMIFS(tblHourly[Trips],tblHourly[Date],A62)</f>
        <v>21261</v>
      </c>
      <c r="D62" t="str">
        <f>CHOOSE(WEEKDAY(A62,2),"Mon","Tue","Wed","Thu","Fri","Sat","Sun")</f>
        <v>Sat</v>
      </c>
      <c r="E62" t="str">
        <f>IF(WEEKDAY(A62,2)&gt;5,"Weekend","Weekday")</f>
        <v>Weekend</v>
      </c>
      <c r="F62" s="33">
        <f>DATE(YEAR(A62),MONTH(A62),1)</f>
        <v>41760.0</v>
      </c>
      <c r="G62" t="str">
        <f>IF(COUNTIF(HolidayDates,A62)&gt;0,"Yes","No")</f>
        <v>No</v>
      </c>
      <c r="H62" t="str">
        <f>IF(COUNTIF(SpecialDates,A62)&gt;0,"Yes","No")</f>
        <v>No</v>
      </c>
      <c r="I62">
        <f>IF(B62="2015 Jan-Jun",C62,"")</f>
        <v/>
      </c>
      <c r="J62" s="34">
        <f>IF(COUNTIFS(tblDaily[Period],B62,tblDaily[Date],"&lt;="&amp;A62,tblDaily[Date],"&gt;"&amp;(A62-7))=7,AVERAGEIFS(tblDaily[Trips],tblDaily[Period],B62,tblDaily[Date],"&lt;="&amp;A62,tblDaily[Date],"&gt;"&amp;(A62-7)),"")</f>
        <v>18698.714285714286</v>
      </c>
    </row>
    <row r="63" spans="1:10">
      <c r="A63" s="32">
        <v>41791</v>
      </c>
      <c r="B63" t="s">
        <v>303</v>
      </c>
      <c r="C63">
        <f>SUMIFS(tblHourly[Trips],tblHourly[Date],A63)</f>
        <v>15967</v>
      </c>
      <c r="D63" t="str">
        <f>CHOOSE(WEEKDAY(A63,2),"Mon","Tue","Wed","Thu","Fri","Sat","Sun")</f>
        <v>Sun</v>
      </c>
      <c r="E63" t="str">
        <f>IF(WEEKDAY(A63,2)&gt;5,"Weekend","Weekday")</f>
        <v>Weekend</v>
      </c>
      <c r="F63" s="33">
        <f>DATE(YEAR(A63),MONTH(A63),1)</f>
        <v>41791.0</v>
      </c>
      <c r="G63" t="str">
        <f>IF(COUNTIF(HolidayDates,A63)&gt;0,"Yes","No")</f>
        <v>No</v>
      </c>
      <c r="H63" t="str">
        <f>IF(COUNTIF(SpecialDates,A63)&gt;0,"Yes","No")</f>
        <v>No</v>
      </c>
      <c r="I63">
        <f>IF(B63="2015 Jan-Jun",C63,"")</f>
        <v/>
      </c>
      <c r="J63" s="34">
        <f>IF(COUNTIFS(tblDaily[Period],B63,tblDaily[Date],"&lt;="&amp;A63,tblDaily[Date],"&gt;"&amp;(A63-7))=7,AVERAGEIFS(tblDaily[Trips],tblDaily[Period],B63,tblDaily[Date],"&lt;="&amp;A63,tblDaily[Date],"&gt;"&amp;(A63-7)),"")</f>
        <v>19431.0</v>
      </c>
    </row>
    <row r="64" spans="1:10">
      <c r="A64" s="32">
        <v>41792</v>
      </c>
      <c r="B64" t="s">
        <v>303</v>
      </c>
      <c r="C64">
        <f>SUMIFS(tblHourly[Trips],tblHourly[Date],A64)</f>
        <v>17503</v>
      </c>
      <c r="D64" t="str">
        <f>CHOOSE(WEEKDAY(A64,2),"Mon","Tue","Wed","Thu","Fri","Sat","Sun")</f>
        <v>Mon</v>
      </c>
      <c r="E64" t="str">
        <f>IF(WEEKDAY(A64,2)&gt;5,"Weekend","Weekday")</f>
        <v>Weekday</v>
      </c>
      <c r="F64" s="33">
        <f>DATE(YEAR(A64),MONTH(A64),1)</f>
        <v>41791.0</v>
      </c>
      <c r="G64" t="str">
        <f>IF(COUNTIF(HolidayDates,A64)&gt;0,"Yes","No")</f>
        <v>No</v>
      </c>
      <c r="H64" t="str">
        <f>IF(COUNTIF(SpecialDates,A64)&gt;0,"Yes","No")</f>
        <v>No</v>
      </c>
      <c r="I64">
        <f>IF(B64="2015 Jan-Jun",C64,"")</f>
        <v/>
      </c>
      <c r="J64" s="34">
        <f>IF(COUNTIFS(tblDaily[Period],B64,tblDaily[Date],"&lt;="&amp;A64,tblDaily[Date],"&gt;"&amp;(A64-7))=7,AVERAGEIFS(tblDaily[Trips],tblDaily[Period],B64,tblDaily[Date],"&lt;="&amp;A64,tblDaily[Date],"&gt;"&amp;(A64-7)),"")</f>
        <v>20474.0</v>
      </c>
    </row>
    <row r="65" spans="1:10">
      <c r="A65" s="32">
        <v>41793</v>
      </c>
      <c r="B65" t="s">
        <v>303</v>
      </c>
      <c r="C65">
        <f>SUMIFS(tblHourly[Trips],tblHourly[Date],A65)</f>
        <v>22674</v>
      </c>
      <c r="D65" t="str">
        <f>CHOOSE(WEEKDAY(A65,2),"Mon","Tue","Wed","Thu","Fri","Sat","Sun")</f>
        <v>Tue</v>
      </c>
      <c r="E65" t="str">
        <f>IF(WEEKDAY(A65,2)&gt;5,"Weekend","Weekday")</f>
        <v>Weekday</v>
      </c>
      <c r="F65" s="33">
        <f>DATE(YEAR(A65),MONTH(A65),1)</f>
        <v>41791.0</v>
      </c>
      <c r="G65" t="str">
        <f>IF(COUNTIF(HolidayDates,A65)&gt;0,"Yes","No")</f>
        <v>No</v>
      </c>
      <c r="H65" t="str">
        <f>IF(COUNTIF(SpecialDates,A65)&gt;0,"Yes","No")</f>
        <v>No</v>
      </c>
      <c r="I65">
        <f>IF(B65="2015 Jan-Jun",C65,"")</f>
        <v/>
      </c>
      <c r="J65" s="34">
        <f>IF(COUNTIFS(tblDaily[Period],B65,tblDaily[Date],"&lt;="&amp;A65,tblDaily[Date],"&gt;"&amp;(A65-7))=7,AVERAGEIFS(tblDaily[Trips],tblDaily[Period],B65,tblDaily[Date],"&lt;="&amp;A65,tblDaily[Date],"&gt;"&amp;(A65-7)),"")</f>
        <v>21284.0</v>
      </c>
    </row>
    <row r="66" spans="1:10">
      <c r="A66" s="32">
        <v>41794</v>
      </c>
      <c r="B66" t="s">
        <v>303</v>
      </c>
      <c r="C66">
        <f>SUMIFS(tblHourly[Trips],tblHourly[Date],A66)</f>
        <v>22831</v>
      </c>
      <c r="D66" t="str">
        <f>CHOOSE(WEEKDAY(A66,2),"Mon","Tue","Wed","Thu","Fri","Sat","Sun")</f>
        <v>Wed</v>
      </c>
      <c r="E66" t="str">
        <f>IF(WEEKDAY(A66,2)&gt;5,"Weekend","Weekday")</f>
        <v>Weekday</v>
      </c>
      <c r="F66" s="33">
        <f>DATE(YEAR(A66),MONTH(A66),1)</f>
        <v>41791.0</v>
      </c>
      <c r="G66" t="str">
        <f>IF(COUNTIF(HolidayDates,A66)&gt;0,"Yes","No")</f>
        <v>No</v>
      </c>
      <c r="H66" t="str">
        <f>IF(COUNTIF(SpecialDates,A66)&gt;0,"Yes","No")</f>
        <v>No</v>
      </c>
      <c r="I66">
        <f>IF(B66="2015 Jan-Jun",C66,"")</f>
        <v/>
      </c>
      <c r="J66" s="34">
        <f>IF(COUNTIFS(tblDaily[Period],B66,tblDaily[Date],"&lt;="&amp;A66,tblDaily[Date],"&gt;"&amp;(A66-7))=7,AVERAGEIFS(tblDaily[Trips],tblDaily[Period],B66,tblDaily[Date],"&lt;="&amp;A66,tblDaily[Date],"&gt;"&amp;(A66-7)),"")</f>
        <v>21368.428571428572</v>
      </c>
    </row>
    <row r="67" spans="1:10">
      <c r="A67" s="32">
        <v>41795</v>
      </c>
      <c r="B67" t="s">
        <v>303</v>
      </c>
      <c r="C67">
        <f>SUMIFS(tblHourly[Trips],tblHourly[Date],A67)</f>
        <v>28371</v>
      </c>
      <c r="D67" t="str">
        <f>CHOOSE(WEEKDAY(A67,2),"Mon","Tue","Wed","Thu","Fri","Sat","Sun")</f>
        <v>Thu</v>
      </c>
      <c r="E67" t="str">
        <f>IF(WEEKDAY(A67,2)&gt;5,"Weekend","Weekday")</f>
        <v>Weekday</v>
      </c>
      <c r="F67" s="33">
        <f>DATE(YEAR(A67),MONTH(A67),1)</f>
        <v>41791.0</v>
      </c>
      <c r="G67" t="str">
        <f>IF(COUNTIF(HolidayDates,A67)&gt;0,"Yes","No")</f>
        <v>No</v>
      </c>
      <c r="H67" t="str">
        <f>IF(COUNTIF(SpecialDates,A67)&gt;0,"Yes","No")</f>
        <v>No</v>
      </c>
      <c r="I67">
        <f>IF(B67="2015 Jan-Jun",C67,"")</f>
        <v/>
      </c>
      <c r="J67" s="34">
        <f>IF(COUNTIFS(tblDaily[Period],B67,tblDaily[Date],"&lt;="&amp;A67,tblDaily[Date],"&gt;"&amp;(A67-7))=7,AVERAGEIFS(tblDaily[Trips],tblDaily[Period],B67,tblDaily[Date],"&lt;="&amp;A67,tblDaily[Date],"&gt;"&amp;(A67-7)),"")</f>
        <v>21860.0</v>
      </c>
    </row>
    <row r="68" spans="1:10">
      <c r="A68" s="32">
        <v>41796</v>
      </c>
      <c r="B68" t="s">
        <v>303</v>
      </c>
      <c r="C68">
        <f>SUMIFS(tblHourly[Trips],tblHourly[Date],A68)</f>
        <v>24683</v>
      </c>
      <c r="D68" t="str">
        <f>CHOOSE(WEEKDAY(A68,2),"Mon","Tue","Wed","Thu","Fri","Sat","Sun")</f>
        <v>Fri</v>
      </c>
      <c r="E68" t="str">
        <f>IF(WEEKDAY(A68,2)&gt;5,"Weekend","Weekday")</f>
        <v>Weekday</v>
      </c>
      <c r="F68" s="33">
        <f>DATE(YEAR(A68),MONTH(A68),1)</f>
        <v>41791.0</v>
      </c>
      <c r="G68" t="str">
        <f>IF(COUNTIF(HolidayDates,A68)&gt;0,"Yes","No")</f>
        <v>No</v>
      </c>
      <c r="H68" t="str">
        <f>IF(COUNTIF(SpecialDates,A68)&gt;0,"Yes","No")</f>
        <v>No</v>
      </c>
      <c r="I68">
        <f>IF(B68="2015 Jan-Jun",C68,"")</f>
        <v/>
      </c>
      <c r="J68" s="34">
        <f>IF(COUNTIFS(tblDaily[Period],B68,tblDaily[Date],"&lt;="&amp;A68,tblDaily[Date],"&gt;"&amp;(A68-7))=7,AVERAGEIFS(tblDaily[Trips],tblDaily[Period],B68,tblDaily[Date],"&lt;="&amp;A68,tblDaily[Date],"&gt;"&amp;(A68-7)),"")</f>
        <v>21898.571428571428</v>
      </c>
    </row>
    <row r="69" spans="1:10">
      <c r="A69" s="32">
        <v>41797</v>
      </c>
      <c r="B69" t="s">
        <v>303</v>
      </c>
      <c r="C69">
        <f>SUMIFS(tblHourly[Trips],tblHourly[Date],A69)</f>
        <v>20889</v>
      </c>
      <c r="D69" t="str">
        <f>CHOOSE(WEEKDAY(A69,2),"Mon","Tue","Wed","Thu","Fri","Sat","Sun")</f>
        <v>Sat</v>
      </c>
      <c r="E69" t="str">
        <f>IF(WEEKDAY(A69,2)&gt;5,"Weekend","Weekday")</f>
        <v>Weekend</v>
      </c>
      <c r="F69" s="33">
        <f>DATE(YEAR(A69),MONTH(A69),1)</f>
        <v>41791.0</v>
      </c>
      <c r="G69" t="str">
        <f>IF(COUNTIF(HolidayDates,A69)&gt;0,"Yes","No")</f>
        <v>No</v>
      </c>
      <c r="H69" t="str">
        <f>IF(COUNTIF(SpecialDates,A69)&gt;0,"Yes","No")</f>
        <v>No</v>
      </c>
      <c r="I69">
        <f>IF(B69="2015 Jan-Jun",C69,"")</f>
        <v/>
      </c>
      <c r="J69" s="34">
        <f>IF(COUNTIFS(tblDaily[Period],B69,tblDaily[Date],"&lt;="&amp;A69,tblDaily[Date],"&gt;"&amp;(A69-7))=7,AVERAGEIFS(tblDaily[Trips],tblDaily[Period],B69,tblDaily[Date],"&lt;="&amp;A69,tblDaily[Date],"&gt;"&amp;(A69-7)),"")</f>
        <v>21845.428571428572</v>
      </c>
    </row>
    <row r="70" spans="1:10">
      <c r="A70" s="32">
        <v>41798</v>
      </c>
      <c r="B70" t="s">
        <v>303</v>
      </c>
      <c r="C70">
        <f>SUMIFS(tblHourly[Trips],tblHourly[Date],A70)</f>
        <v>15749</v>
      </c>
      <c r="D70" t="str">
        <f>CHOOSE(WEEKDAY(A70,2),"Mon","Tue","Wed","Thu","Fri","Sat","Sun")</f>
        <v>Sun</v>
      </c>
      <c r="E70" t="str">
        <f>IF(WEEKDAY(A70,2)&gt;5,"Weekend","Weekday")</f>
        <v>Weekend</v>
      </c>
      <c r="F70" s="33">
        <f>DATE(YEAR(A70),MONTH(A70),1)</f>
        <v>41791.0</v>
      </c>
      <c r="G70" t="str">
        <f>IF(COUNTIF(HolidayDates,A70)&gt;0,"Yes","No")</f>
        <v>No</v>
      </c>
      <c r="H70" t="str">
        <f>IF(COUNTIF(SpecialDates,A70)&gt;0,"Yes","No")</f>
        <v>No</v>
      </c>
      <c r="I70">
        <f>IF(B70="2015 Jan-Jun",C70,"")</f>
        <v/>
      </c>
      <c r="J70" s="34">
        <f>IF(COUNTIFS(tblDaily[Period],B70,tblDaily[Date],"&lt;="&amp;A70,tblDaily[Date],"&gt;"&amp;(A70-7))=7,AVERAGEIFS(tblDaily[Trips],tblDaily[Period],B70,tblDaily[Date],"&lt;="&amp;A70,tblDaily[Date],"&gt;"&amp;(A70-7)),"")</f>
        <v>21814.285714285714</v>
      </c>
    </row>
    <row r="71" spans="1:10">
      <c r="A71" s="32">
        <v>41799</v>
      </c>
      <c r="B71" t="s">
        <v>303</v>
      </c>
      <c r="C71">
        <f>SUMIFS(tblHourly[Trips],tblHourly[Date],A71)</f>
        <v>23244</v>
      </c>
      <c r="D71" t="str">
        <f>CHOOSE(WEEKDAY(A71,2),"Mon","Tue","Wed","Thu","Fri","Sat","Sun")</f>
        <v>Mon</v>
      </c>
      <c r="E71" t="str">
        <f>IF(WEEKDAY(A71,2)&gt;5,"Weekend","Weekday")</f>
        <v>Weekday</v>
      </c>
      <c r="F71" s="33">
        <f>DATE(YEAR(A71),MONTH(A71),1)</f>
        <v>41791.0</v>
      </c>
      <c r="G71" t="str">
        <f>IF(COUNTIF(HolidayDates,A71)&gt;0,"Yes","No")</f>
        <v>No</v>
      </c>
      <c r="H71" t="str">
        <f>IF(COUNTIF(SpecialDates,A71)&gt;0,"Yes","No")</f>
        <v>No</v>
      </c>
      <c r="I71">
        <f>IF(B71="2015 Jan-Jun",C71,"")</f>
        <v/>
      </c>
      <c r="J71" s="34">
        <f>IF(COUNTIFS(tblDaily[Period],B71,tblDaily[Date],"&lt;="&amp;A71,tblDaily[Date],"&gt;"&amp;(A71-7))=7,AVERAGEIFS(tblDaily[Trips],tblDaily[Period],B71,tblDaily[Date],"&lt;="&amp;A71,tblDaily[Date],"&gt;"&amp;(A71-7)),"")</f>
        <v>22634.428571428572</v>
      </c>
    </row>
    <row r="72" spans="1:10">
      <c r="A72" s="32">
        <v>41800</v>
      </c>
      <c r="B72" t="s">
        <v>303</v>
      </c>
      <c r="C72">
        <f>SUMIFS(tblHourly[Trips],tblHourly[Date],A72)</f>
        <v>22874</v>
      </c>
      <c r="D72" t="str">
        <f>CHOOSE(WEEKDAY(A72,2),"Mon","Tue","Wed","Thu","Fri","Sat","Sun")</f>
        <v>Tue</v>
      </c>
      <c r="E72" t="str">
        <f>IF(WEEKDAY(A72,2)&gt;5,"Weekend","Weekday")</f>
        <v>Weekday</v>
      </c>
      <c r="F72" s="33">
        <f>DATE(YEAR(A72),MONTH(A72),1)</f>
        <v>41791.0</v>
      </c>
      <c r="G72" t="str">
        <f>IF(COUNTIF(HolidayDates,A72)&gt;0,"Yes","No")</f>
        <v>No</v>
      </c>
      <c r="H72" t="str">
        <f>IF(COUNTIF(SpecialDates,A72)&gt;0,"Yes","No")</f>
        <v>No</v>
      </c>
      <c r="I72">
        <f>IF(B72="2015 Jan-Jun",C72,"")</f>
        <v/>
      </c>
      <c r="J72" s="34">
        <f>IF(COUNTIFS(tblDaily[Period],B72,tblDaily[Date],"&lt;="&amp;A72,tblDaily[Date],"&gt;"&amp;(A72-7))=7,AVERAGEIFS(tblDaily[Trips],tblDaily[Period],B72,tblDaily[Date],"&lt;="&amp;A72,tblDaily[Date],"&gt;"&amp;(A72-7)),"")</f>
        <v>22663.0</v>
      </c>
    </row>
    <row r="73" spans="1:10">
      <c r="A73" s="32">
        <v>41801</v>
      </c>
      <c r="B73" t="s">
        <v>303</v>
      </c>
      <c r="C73">
        <f>SUMIFS(tblHourly[Trips],tblHourly[Date],A73)</f>
        <v>25716</v>
      </c>
      <c r="D73" t="str">
        <f>CHOOSE(WEEKDAY(A73,2),"Mon","Tue","Wed","Thu","Fri","Sat","Sun")</f>
        <v>Wed</v>
      </c>
      <c r="E73" t="str">
        <f>IF(WEEKDAY(A73,2)&gt;5,"Weekend","Weekday")</f>
        <v>Weekday</v>
      </c>
      <c r="F73" s="33">
        <f>DATE(YEAR(A73),MONTH(A73),1)</f>
        <v>41791.0</v>
      </c>
      <c r="G73" t="str">
        <f>IF(COUNTIF(HolidayDates,A73)&gt;0,"Yes","No")</f>
        <v>No</v>
      </c>
      <c r="H73" t="str">
        <f>IF(COUNTIF(SpecialDates,A73)&gt;0,"Yes","No")</f>
        <v>No</v>
      </c>
      <c r="I73">
        <f>IF(B73="2015 Jan-Jun",C73,"")</f>
        <v/>
      </c>
      <c r="J73" s="34">
        <f>IF(COUNTIFS(tblDaily[Period],B73,tblDaily[Date],"&lt;="&amp;A73,tblDaily[Date],"&gt;"&amp;(A73-7))=7,AVERAGEIFS(tblDaily[Trips],tblDaily[Period],B73,tblDaily[Date],"&lt;="&amp;A73,tblDaily[Date],"&gt;"&amp;(A73-7)),"")</f>
        <v>23075.14285714286</v>
      </c>
    </row>
    <row r="74" spans="1:10">
      <c r="A74" s="32">
        <v>41802</v>
      </c>
      <c r="B74" t="s">
        <v>303</v>
      </c>
      <c r="C74">
        <f>SUMIFS(tblHourly[Trips],tblHourly[Date],A74)</f>
        <v>29844</v>
      </c>
      <c r="D74" t="str">
        <f>CHOOSE(WEEKDAY(A74,2),"Mon","Tue","Wed","Thu","Fri","Sat","Sun")</f>
        <v>Thu</v>
      </c>
      <c r="E74" t="str">
        <f>IF(WEEKDAY(A74,2)&gt;5,"Weekend","Weekday")</f>
        <v>Weekday</v>
      </c>
      <c r="F74" s="33">
        <f>DATE(YEAR(A74),MONTH(A74),1)</f>
        <v>41791.0</v>
      </c>
      <c r="G74" t="str">
        <f>IF(COUNTIF(HolidayDates,A74)&gt;0,"Yes","No")</f>
        <v>No</v>
      </c>
      <c r="H74" t="str">
        <f>IF(COUNTIF(SpecialDates,A74)&gt;0,"Yes","No")</f>
        <v>No</v>
      </c>
      <c r="I74">
        <f>IF(B74="2015 Jan-Jun",C74,"")</f>
        <v/>
      </c>
      <c r="J74" s="34">
        <f>IF(COUNTIFS(tblDaily[Period],B74,tblDaily[Date],"&lt;="&amp;A74,tblDaily[Date],"&gt;"&amp;(A74-7))=7,AVERAGEIFS(tblDaily[Trips],tblDaily[Period],B74,tblDaily[Date],"&lt;="&amp;A74,tblDaily[Date],"&gt;"&amp;(A74-7)),"")</f>
        <v>23285.571428571428</v>
      </c>
    </row>
    <row r="75" spans="1:10">
      <c r="A75" s="32">
        <v>41803</v>
      </c>
      <c r="B75" t="s">
        <v>303</v>
      </c>
      <c r="C75">
        <f>SUMIFS(tblHourly[Trips],tblHourly[Date],A75)</f>
        <v>31207</v>
      </c>
      <c r="D75" t="str">
        <f>CHOOSE(WEEKDAY(A75,2),"Mon","Tue","Wed","Thu","Fri","Sat","Sun")</f>
        <v>Fri</v>
      </c>
      <c r="E75" t="str">
        <f>IF(WEEKDAY(A75,2)&gt;5,"Weekend","Weekday")</f>
        <v>Weekday</v>
      </c>
      <c r="F75" s="33">
        <f>DATE(YEAR(A75),MONTH(A75),1)</f>
        <v>41791.0</v>
      </c>
      <c r="G75" t="str">
        <f>IF(COUNTIF(HolidayDates,A75)&gt;0,"Yes","No")</f>
        <v>No</v>
      </c>
      <c r="H75" t="str">
        <f>IF(COUNTIF(SpecialDates,A75)&gt;0,"Yes","No")</f>
        <v>No</v>
      </c>
      <c r="I75">
        <f>IF(B75="2015 Jan-Jun",C75,"")</f>
        <v/>
      </c>
      <c r="J75" s="34">
        <f>IF(COUNTIFS(tblDaily[Period],B75,tblDaily[Date],"&lt;="&amp;A75,tblDaily[Date],"&gt;"&amp;(A75-7))=7,AVERAGEIFS(tblDaily[Trips],tblDaily[Period],B75,tblDaily[Date],"&lt;="&amp;A75,tblDaily[Date],"&gt;"&amp;(A75-7)),"")</f>
        <v>24217.571428571428</v>
      </c>
    </row>
    <row r="76" spans="1:10">
      <c r="A76" s="32">
        <v>41804</v>
      </c>
      <c r="B76" t="s">
        <v>303</v>
      </c>
      <c r="C76">
        <f>SUMIFS(tblHourly[Trips],tblHourly[Date],A76)</f>
        <v>19327</v>
      </c>
      <c r="D76" t="str">
        <f>CHOOSE(WEEKDAY(A76,2),"Mon","Tue","Wed","Thu","Fri","Sat","Sun")</f>
        <v>Sat</v>
      </c>
      <c r="E76" t="str">
        <f>IF(WEEKDAY(A76,2)&gt;5,"Weekend","Weekday")</f>
        <v>Weekend</v>
      </c>
      <c r="F76" s="33">
        <f>DATE(YEAR(A76),MONTH(A76),1)</f>
        <v>41791.0</v>
      </c>
      <c r="G76" t="str">
        <f>IF(COUNTIF(HolidayDates,A76)&gt;0,"Yes","No")</f>
        <v>No</v>
      </c>
      <c r="H76" t="str">
        <f>IF(COUNTIF(SpecialDates,A76)&gt;0,"Yes","No")</f>
        <v>No</v>
      </c>
      <c r="I76">
        <f>IF(B76="2015 Jan-Jun",C76,"")</f>
        <v/>
      </c>
      <c r="J76" s="34">
        <f>IF(COUNTIFS(tblDaily[Period],B76,tblDaily[Date],"&lt;="&amp;A76,tblDaily[Date],"&gt;"&amp;(A76-7))=7,AVERAGEIFS(tblDaily[Trips],tblDaily[Period],B76,tblDaily[Date],"&lt;="&amp;A76,tblDaily[Date],"&gt;"&amp;(A76-7)),"")</f>
        <v>23994.428571428572</v>
      </c>
    </row>
    <row r="77" spans="1:10">
      <c r="A77" s="32">
        <v>41805</v>
      </c>
      <c r="B77" t="s">
        <v>303</v>
      </c>
      <c r="C77">
        <f>SUMIFS(tblHourly[Trips],tblHourly[Date],A77)</f>
        <v>14511</v>
      </c>
      <c r="D77" t="str">
        <f>CHOOSE(WEEKDAY(A77,2),"Mon","Tue","Wed","Thu","Fri","Sat","Sun")</f>
        <v>Sun</v>
      </c>
      <c r="E77" t="str">
        <f>IF(WEEKDAY(A77,2)&gt;5,"Weekend","Weekday")</f>
        <v>Weekend</v>
      </c>
      <c r="F77" s="33">
        <f>DATE(YEAR(A77),MONTH(A77),1)</f>
        <v>41791.0</v>
      </c>
      <c r="G77" t="str">
        <f>IF(COUNTIF(HolidayDates,A77)&gt;0,"Yes","No")</f>
        <v>No</v>
      </c>
      <c r="H77" t="str">
        <f>IF(COUNTIF(SpecialDates,A77)&gt;0,"Yes","No")</f>
        <v>No</v>
      </c>
      <c r="I77">
        <f>IF(B77="2015 Jan-Jun",C77,"")</f>
        <v/>
      </c>
      <c r="J77" s="34">
        <f>IF(COUNTIFS(tblDaily[Period],B77,tblDaily[Date],"&lt;="&amp;A77,tblDaily[Date],"&gt;"&amp;(A77-7))=7,AVERAGEIFS(tblDaily[Trips],tblDaily[Period],B77,tblDaily[Date],"&lt;="&amp;A77,tblDaily[Date],"&gt;"&amp;(A77-7)),"")</f>
        <v>23817.571428571428</v>
      </c>
    </row>
    <row r="78" spans="1:10">
      <c r="A78" s="32">
        <v>41806</v>
      </c>
      <c r="B78" t="s">
        <v>303</v>
      </c>
      <c r="C78">
        <f>SUMIFS(tblHourly[Trips],tblHourly[Date],A78)</f>
        <v>17778</v>
      </c>
      <c r="D78" t="str">
        <f>CHOOSE(WEEKDAY(A78,2),"Mon","Tue","Wed","Thu","Fri","Sat","Sun")</f>
        <v>Mon</v>
      </c>
      <c r="E78" t="str">
        <f>IF(WEEKDAY(A78,2)&gt;5,"Weekend","Weekday")</f>
        <v>Weekday</v>
      </c>
      <c r="F78" s="33">
        <f>DATE(YEAR(A78),MONTH(A78),1)</f>
        <v>41791.0</v>
      </c>
      <c r="G78" t="str">
        <f>IF(COUNTIF(HolidayDates,A78)&gt;0,"Yes","No")</f>
        <v>No</v>
      </c>
      <c r="H78" t="str">
        <f>IF(COUNTIF(SpecialDates,A78)&gt;0,"Yes","No")</f>
        <v>No</v>
      </c>
      <c r="I78">
        <f>IF(B78="2015 Jan-Jun",C78,"")</f>
        <v/>
      </c>
      <c r="J78" s="34">
        <f>IF(COUNTIFS(tblDaily[Period],B78,tblDaily[Date],"&lt;="&amp;A78,tblDaily[Date],"&gt;"&amp;(A78-7))=7,AVERAGEIFS(tblDaily[Trips],tblDaily[Period],B78,tblDaily[Date],"&lt;="&amp;A78,tblDaily[Date],"&gt;"&amp;(A78-7)),"")</f>
        <v>23036.714285714286</v>
      </c>
    </row>
    <row r="79" spans="1:10">
      <c r="A79" s="32">
        <v>41807</v>
      </c>
      <c r="B79" t="s">
        <v>303</v>
      </c>
      <c r="C79">
        <f>SUMIFS(tblHourly[Trips],tblHourly[Date],A79)</f>
        <v>21807</v>
      </c>
      <c r="D79" t="str">
        <f>CHOOSE(WEEKDAY(A79,2),"Mon","Tue","Wed","Thu","Fri","Sat","Sun")</f>
        <v>Tue</v>
      </c>
      <c r="E79" t="str">
        <f>IF(WEEKDAY(A79,2)&gt;5,"Weekend","Weekday")</f>
        <v>Weekday</v>
      </c>
      <c r="F79" s="33">
        <f>DATE(YEAR(A79),MONTH(A79),1)</f>
        <v>41791.0</v>
      </c>
      <c r="G79" t="str">
        <f>IF(COUNTIF(HolidayDates,A79)&gt;0,"Yes","No")</f>
        <v>No</v>
      </c>
      <c r="H79" t="str">
        <f>IF(COUNTIF(SpecialDates,A79)&gt;0,"Yes","No")</f>
        <v>No</v>
      </c>
      <c r="I79">
        <f>IF(B79="2015 Jan-Jun",C79,"")</f>
        <v/>
      </c>
      <c r="J79" s="34">
        <f>IF(COUNTIFS(tblDaily[Period],B79,tblDaily[Date],"&lt;="&amp;A79,tblDaily[Date],"&gt;"&amp;(A79-7))=7,AVERAGEIFS(tblDaily[Trips],tblDaily[Period],B79,tblDaily[Date],"&lt;="&amp;A79,tblDaily[Date],"&gt;"&amp;(A79-7)),"")</f>
        <v>22884.285714285714</v>
      </c>
    </row>
    <row r="80" spans="1:10">
      <c r="A80" s="32">
        <v>41808</v>
      </c>
      <c r="B80" t="s">
        <v>303</v>
      </c>
      <c r="C80">
        <f>SUMIFS(tblHourly[Trips],tblHourly[Date],A80)</f>
        <v>24647</v>
      </c>
      <c r="D80" t="str">
        <f>CHOOSE(WEEKDAY(A80,2),"Mon","Tue","Wed","Thu","Fri","Sat","Sun")</f>
        <v>Wed</v>
      </c>
      <c r="E80" t="str">
        <f>IF(WEEKDAY(A80,2)&gt;5,"Weekend","Weekday")</f>
        <v>Weekday</v>
      </c>
      <c r="F80" s="33">
        <f>DATE(YEAR(A80),MONTH(A80),1)</f>
        <v>41791.0</v>
      </c>
      <c r="G80" t="str">
        <f>IF(COUNTIF(HolidayDates,A80)&gt;0,"Yes","No")</f>
        <v>No</v>
      </c>
      <c r="H80" t="str">
        <f>IF(COUNTIF(SpecialDates,A80)&gt;0,"Yes","No")</f>
        <v>No</v>
      </c>
      <c r="I80">
        <f>IF(B80="2015 Jan-Jun",C80,"")</f>
        <v/>
      </c>
      <c r="J80" s="34">
        <f>IF(COUNTIFS(tblDaily[Period],B80,tblDaily[Date],"&lt;="&amp;A80,tblDaily[Date],"&gt;"&amp;(A80-7))=7,AVERAGEIFS(tblDaily[Trips],tblDaily[Period],B80,tblDaily[Date],"&lt;="&amp;A80,tblDaily[Date],"&gt;"&amp;(A80-7)),"")</f>
        <v>22731.571428571428</v>
      </c>
    </row>
    <row r="81" spans="1:10">
      <c r="A81" s="32">
        <v>41809</v>
      </c>
      <c r="B81" t="s">
        <v>303</v>
      </c>
      <c r="C81">
        <f>SUMIFS(tblHourly[Trips],tblHourly[Date],A81)</f>
        <v>28594</v>
      </c>
      <c r="D81" t="str">
        <f>CHOOSE(WEEKDAY(A81,2),"Mon","Tue","Wed","Thu","Fri","Sat","Sun")</f>
        <v>Thu</v>
      </c>
      <c r="E81" t="str">
        <f>IF(WEEKDAY(A81,2)&gt;5,"Weekend","Weekday")</f>
        <v>Weekday</v>
      </c>
      <c r="F81" s="33">
        <f>DATE(YEAR(A81),MONTH(A81),1)</f>
        <v>41791.0</v>
      </c>
      <c r="G81" t="str">
        <f>IF(COUNTIF(HolidayDates,A81)&gt;0,"Yes","No")</f>
        <v>No</v>
      </c>
      <c r="H81" t="str">
        <f>IF(COUNTIF(SpecialDates,A81)&gt;0,"Yes","No")</f>
        <v>No</v>
      </c>
      <c r="I81">
        <f>IF(B81="2015 Jan-Jun",C81,"")</f>
        <v/>
      </c>
      <c r="J81" s="34">
        <f>IF(COUNTIFS(tblDaily[Period],B81,tblDaily[Date],"&lt;="&amp;A81,tblDaily[Date],"&gt;"&amp;(A81-7))=7,AVERAGEIFS(tblDaily[Trips],tblDaily[Period],B81,tblDaily[Date],"&lt;="&amp;A81,tblDaily[Date],"&gt;"&amp;(A81-7)),"")</f>
        <v>22553.0</v>
      </c>
    </row>
    <row r="82" spans="1:10">
      <c r="A82" s="32">
        <v>41810</v>
      </c>
      <c r="B82" t="s">
        <v>303</v>
      </c>
      <c r="C82">
        <f>SUMIFS(tblHourly[Trips],tblHourly[Date],A82)</f>
        <v>24271</v>
      </c>
      <c r="D82" t="str">
        <f>CHOOSE(WEEKDAY(A82,2),"Mon","Tue","Wed","Thu","Fri","Sat","Sun")</f>
        <v>Fri</v>
      </c>
      <c r="E82" t="str">
        <f>IF(WEEKDAY(A82,2)&gt;5,"Weekend","Weekday")</f>
        <v>Weekday</v>
      </c>
      <c r="F82" s="33">
        <f>DATE(YEAR(A82),MONTH(A82),1)</f>
        <v>41791.0</v>
      </c>
      <c r="G82" t="str">
        <f>IF(COUNTIF(HolidayDates,A82)&gt;0,"Yes","No")</f>
        <v>No</v>
      </c>
      <c r="H82" t="str">
        <f>IF(COUNTIF(SpecialDates,A82)&gt;0,"Yes","No")</f>
        <v>No</v>
      </c>
      <c r="I82">
        <f>IF(B82="2015 Jan-Jun",C82,"")</f>
        <v/>
      </c>
      <c r="J82" s="34">
        <f>IF(COUNTIFS(tblDaily[Period],B82,tblDaily[Date],"&lt;="&amp;A82,tblDaily[Date],"&gt;"&amp;(A82-7))=7,AVERAGEIFS(tblDaily[Trips],tblDaily[Period],B82,tblDaily[Date],"&lt;="&amp;A82,tblDaily[Date],"&gt;"&amp;(A82-7)),"")</f>
        <v>21562.14285714286</v>
      </c>
    </row>
    <row r="83" spans="1:10">
      <c r="A83" s="32">
        <v>41811</v>
      </c>
      <c r="B83" t="s">
        <v>303</v>
      </c>
      <c r="C83">
        <f>SUMIFS(tblHourly[Trips],tblHourly[Date],A83)</f>
        <v>19940</v>
      </c>
      <c r="D83" t="str">
        <f>CHOOSE(WEEKDAY(A83,2),"Mon","Tue","Wed","Thu","Fri","Sat","Sun")</f>
        <v>Sat</v>
      </c>
      <c r="E83" t="str">
        <f>IF(WEEKDAY(A83,2)&gt;5,"Weekend","Weekday")</f>
        <v>Weekend</v>
      </c>
      <c r="F83" s="33">
        <f>DATE(YEAR(A83),MONTH(A83),1)</f>
        <v>41791.0</v>
      </c>
      <c r="G83" t="str">
        <f>IF(COUNTIF(HolidayDates,A83)&gt;0,"Yes","No")</f>
        <v>No</v>
      </c>
      <c r="H83" t="str">
        <f>IF(COUNTIF(SpecialDates,A83)&gt;0,"Yes","No")</f>
        <v>No</v>
      </c>
      <c r="I83">
        <f>IF(B83="2015 Jan-Jun",C83,"")</f>
        <v/>
      </c>
      <c r="J83" s="34">
        <f>IF(COUNTIFS(tblDaily[Period],B83,tblDaily[Date],"&lt;="&amp;A83,tblDaily[Date],"&gt;"&amp;(A83-7))=7,AVERAGEIFS(tblDaily[Trips],tblDaily[Period],B83,tblDaily[Date],"&lt;="&amp;A83,tblDaily[Date],"&gt;"&amp;(A83-7)),"")</f>
        <v>21649.714285714286</v>
      </c>
    </row>
    <row r="84" spans="1:10">
      <c r="A84" s="32">
        <v>41812</v>
      </c>
      <c r="B84" t="s">
        <v>303</v>
      </c>
      <c r="C84">
        <f>SUMIFS(tblHourly[Trips],tblHourly[Date],A84)</f>
        <v>16322</v>
      </c>
      <c r="D84" t="str">
        <f>CHOOSE(WEEKDAY(A84,2),"Mon","Tue","Wed","Thu","Fri","Sat","Sun")</f>
        <v>Sun</v>
      </c>
      <c r="E84" t="str">
        <f>IF(WEEKDAY(A84,2)&gt;5,"Weekend","Weekday")</f>
        <v>Weekend</v>
      </c>
      <c r="F84" s="33">
        <f>DATE(YEAR(A84),MONTH(A84),1)</f>
        <v>41791.0</v>
      </c>
      <c r="G84" t="str">
        <f>IF(COUNTIF(HolidayDates,A84)&gt;0,"Yes","No")</f>
        <v>No</v>
      </c>
      <c r="H84" t="str">
        <f>IF(COUNTIF(SpecialDates,A84)&gt;0,"Yes","No")</f>
        <v>No</v>
      </c>
      <c r="I84">
        <f>IF(B84="2015 Jan-Jun",C84,"")</f>
        <v/>
      </c>
      <c r="J84" s="34">
        <f>IF(COUNTIFS(tblDaily[Period],B84,tblDaily[Date],"&lt;="&amp;A84,tblDaily[Date],"&gt;"&amp;(A84-7))=7,AVERAGEIFS(tblDaily[Trips],tblDaily[Period],B84,tblDaily[Date],"&lt;="&amp;A84,tblDaily[Date],"&gt;"&amp;(A84-7)),"")</f>
        <v>21908.428571428572</v>
      </c>
    </row>
    <row r="85" spans="1:10">
      <c r="A85" s="32">
        <v>41813</v>
      </c>
      <c r="B85" t="s">
        <v>303</v>
      </c>
      <c r="C85">
        <f>SUMIFS(tblHourly[Trips],tblHourly[Date],A85)</f>
        <v>17735</v>
      </c>
      <c r="D85" t="str">
        <f>CHOOSE(WEEKDAY(A85,2),"Mon","Tue","Wed","Thu","Fri","Sat","Sun")</f>
        <v>Mon</v>
      </c>
      <c r="E85" t="str">
        <f>IF(WEEKDAY(A85,2)&gt;5,"Weekend","Weekday")</f>
        <v>Weekday</v>
      </c>
      <c r="F85" s="33">
        <f>DATE(YEAR(A85),MONTH(A85),1)</f>
        <v>41791.0</v>
      </c>
      <c r="G85" t="str">
        <f>IF(COUNTIF(HolidayDates,A85)&gt;0,"Yes","No")</f>
        <v>No</v>
      </c>
      <c r="H85" t="str">
        <f>IF(COUNTIF(SpecialDates,A85)&gt;0,"Yes","No")</f>
        <v>No</v>
      </c>
      <c r="I85">
        <f>IF(B85="2015 Jan-Jun",C85,"")</f>
        <v/>
      </c>
      <c r="J85" s="34">
        <f>IF(COUNTIFS(tblDaily[Period],B85,tblDaily[Date],"&lt;="&amp;A85,tblDaily[Date],"&gt;"&amp;(A85-7))=7,AVERAGEIFS(tblDaily[Trips],tblDaily[Period],B85,tblDaily[Date],"&lt;="&amp;A85,tblDaily[Date],"&gt;"&amp;(A85-7)),"")</f>
        <v>21902.285714285714</v>
      </c>
    </row>
    <row r="86" spans="1:10">
      <c r="A86" s="32">
        <v>41814</v>
      </c>
      <c r="B86" t="s">
        <v>303</v>
      </c>
      <c r="C86">
        <f>SUMIFS(tblHourly[Trips],tblHourly[Date],A86)</f>
        <v>20779</v>
      </c>
      <c r="D86" t="str">
        <f>CHOOSE(WEEKDAY(A86,2),"Mon","Tue","Wed","Thu","Fri","Sat","Sun")</f>
        <v>Tue</v>
      </c>
      <c r="E86" t="str">
        <f>IF(WEEKDAY(A86,2)&gt;5,"Weekend","Weekday")</f>
        <v>Weekday</v>
      </c>
      <c r="F86" s="33">
        <f>DATE(YEAR(A86),MONTH(A86),1)</f>
        <v>41791.0</v>
      </c>
      <c r="G86" t="str">
        <f>IF(COUNTIF(HolidayDates,A86)&gt;0,"Yes","No")</f>
        <v>No</v>
      </c>
      <c r="H86" t="str">
        <f>IF(COUNTIF(SpecialDates,A86)&gt;0,"Yes","No")</f>
        <v>No</v>
      </c>
      <c r="I86">
        <f>IF(B86="2015 Jan-Jun",C86,"")</f>
        <v/>
      </c>
      <c r="J86" s="34">
        <f>IF(COUNTIFS(tblDaily[Period],B86,tblDaily[Date],"&lt;="&amp;A86,tblDaily[Date],"&gt;"&amp;(A86-7))=7,AVERAGEIFS(tblDaily[Trips],tblDaily[Period],B86,tblDaily[Date],"&lt;="&amp;A86,tblDaily[Date],"&gt;"&amp;(A86-7)),"")</f>
        <v>21755.428571428572</v>
      </c>
    </row>
    <row r="87" spans="1:10">
      <c r="A87" s="32">
        <v>41815</v>
      </c>
      <c r="B87" t="s">
        <v>303</v>
      </c>
      <c r="C87">
        <f>SUMIFS(tblHourly[Trips],tblHourly[Date],A87)</f>
        <v>26460</v>
      </c>
      <c r="D87" t="str">
        <f>CHOOSE(WEEKDAY(A87,2),"Mon","Tue","Wed","Thu","Fri","Sat","Sun")</f>
        <v>Wed</v>
      </c>
      <c r="E87" t="str">
        <f>IF(WEEKDAY(A87,2)&gt;5,"Weekend","Weekday")</f>
        <v>Weekday</v>
      </c>
      <c r="F87" s="33">
        <f>DATE(YEAR(A87),MONTH(A87),1)</f>
        <v>41791.0</v>
      </c>
      <c r="G87" t="str">
        <f>IF(COUNTIF(HolidayDates,A87)&gt;0,"Yes","No")</f>
        <v>No</v>
      </c>
      <c r="H87" t="str">
        <f>IF(COUNTIF(SpecialDates,A87)&gt;0,"Yes","No")</f>
        <v>No</v>
      </c>
      <c r="I87">
        <f>IF(B87="2015 Jan-Jun",C87,"")</f>
        <v/>
      </c>
      <c r="J87" s="34">
        <f>IF(COUNTIFS(tblDaily[Period],B87,tblDaily[Date],"&lt;="&amp;A87,tblDaily[Date],"&gt;"&amp;(A87-7))=7,AVERAGEIFS(tblDaily[Trips],tblDaily[Period],B87,tblDaily[Date],"&lt;="&amp;A87,tblDaily[Date],"&gt;"&amp;(A87-7)),"")</f>
        <v>22014.428571428572</v>
      </c>
    </row>
    <row r="88" spans="1:10">
      <c r="A88" s="32">
        <v>41816</v>
      </c>
      <c r="B88" t="s">
        <v>303</v>
      </c>
      <c r="C88">
        <f>SUMIFS(tblHourly[Trips],tblHourly[Date],A88)</f>
        <v>28516</v>
      </c>
      <c r="D88" t="str">
        <f>CHOOSE(WEEKDAY(A88,2),"Mon","Tue","Wed","Thu","Fri","Sat","Sun")</f>
        <v>Thu</v>
      </c>
      <c r="E88" t="str">
        <f>IF(WEEKDAY(A88,2)&gt;5,"Weekend","Weekday")</f>
        <v>Weekday</v>
      </c>
      <c r="F88" s="33">
        <f>DATE(YEAR(A88),MONTH(A88),1)</f>
        <v>41791.0</v>
      </c>
      <c r="G88" t="str">
        <f>IF(COUNTIF(HolidayDates,A88)&gt;0,"Yes","No")</f>
        <v>No</v>
      </c>
      <c r="H88" t="str">
        <f>IF(COUNTIF(SpecialDates,A88)&gt;0,"Yes","No")</f>
        <v>No</v>
      </c>
      <c r="I88">
        <f>IF(B88="2015 Jan-Jun",C88,"")</f>
        <v/>
      </c>
      <c r="J88" s="34">
        <f>IF(COUNTIFS(tblDaily[Period],B88,tblDaily[Date],"&lt;="&amp;A88,tblDaily[Date],"&gt;"&amp;(A88-7))=7,AVERAGEIFS(tblDaily[Trips],tblDaily[Period],B88,tblDaily[Date],"&lt;="&amp;A88,tblDaily[Date],"&gt;"&amp;(A88-7)),"")</f>
        <v>22003.285714285714</v>
      </c>
    </row>
    <row r="89" spans="1:10">
      <c r="A89" s="32">
        <v>41817</v>
      </c>
      <c r="B89" t="s">
        <v>303</v>
      </c>
      <c r="C89">
        <f>SUMIFS(tblHourly[Trips],tblHourly[Date],A89)</f>
        <v>24895</v>
      </c>
      <c r="D89" t="str">
        <f>CHOOSE(WEEKDAY(A89,2),"Mon","Tue","Wed","Thu","Fri","Sat","Sun")</f>
        <v>Fri</v>
      </c>
      <c r="E89" t="str">
        <f>IF(WEEKDAY(A89,2)&gt;5,"Weekend","Weekday")</f>
        <v>Weekday</v>
      </c>
      <c r="F89" s="33">
        <f>DATE(YEAR(A89),MONTH(A89),1)</f>
        <v>41791.0</v>
      </c>
      <c r="G89" t="str">
        <f>IF(COUNTIF(HolidayDates,A89)&gt;0,"Yes","No")</f>
        <v>No</v>
      </c>
      <c r="H89" t="str">
        <f>IF(COUNTIF(SpecialDates,A89)&gt;0,"Yes","No")</f>
        <v>No</v>
      </c>
      <c r="I89">
        <f>IF(B89="2015 Jan-Jun",C89,"")</f>
        <v/>
      </c>
      <c r="J89" s="34">
        <f>IF(COUNTIFS(tblDaily[Period],B89,tblDaily[Date],"&lt;="&amp;A89,tblDaily[Date],"&gt;"&amp;(A89-7))=7,AVERAGEIFS(tblDaily[Trips],tblDaily[Period],B89,tblDaily[Date],"&lt;="&amp;A89,tblDaily[Date],"&gt;"&amp;(A89-7)),"")</f>
        <v>22092.428571428572</v>
      </c>
    </row>
    <row r="90" spans="1:10">
      <c r="A90" s="32">
        <v>41818</v>
      </c>
      <c r="B90" t="s">
        <v>303</v>
      </c>
      <c r="C90">
        <f>SUMIFS(tblHourly[Trips],tblHourly[Date],A90)</f>
        <v>21208</v>
      </c>
      <c r="D90" t="str">
        <f>CHOOSE(WEEKDAY(A90,2),"Mon","Tue","Wed","Thu","Fri","Sat","Sun")</f>
        <v>Sat</v>
      </c>
      <c r="E90" t="str">
        <f>IF(WEEKDAY(A90,2)&gt;5,"Weekend","Weekday")</f>
        <v>Weekend</v>
      </c>
      <c r="F90" s="33">
        <f>DATE(YEAR(A90),MONTH(A90),1)</f>
        <v>41791.0</v>
      </c>
      <c r="G90" t="str">
        <f>IF(COUNTIF(HolidayDates,A90)&gt;0,"Yes","No")</f>
        <v>No</v>
      </c>
      <c r="H90" t="str">
        <f>IF(COUNTIF(SpecialDates,A90)&gt;0,"Yes","No")</f>
        <v>No</v>
      </c>
      <c r="I90">
        <f>IF(B90="2015 Jan-Jun",C90,"")</f>
        <v/>
      </c>
      <c r="J90" s="34">
        <f>IF(COUNTIFS(tblDaily[Period],B90,tblDaily[Date],"&lt;="&amp;A90,tblDaily[Date],"&gt;"&amp;(A90-7))=7,AVERAGEIFS(tblDaily[Trips],tblDaily[Period],B90,tblDaily[Date],"&lt;="&amp;A90,tblDaily[Date],"&gt;"&amp;(A90-7)),"")</f>
        <v>22273.571428571428</v>
      </c>
    </row>
    <row r="91" spans="1:10">
      <c r="A91" s="32">
        <v>41819</v>
      </c>
      <c r="B91" t="s">
        <v>303</v>
      </c>
      <c r="C91">
        <f>SUMIFS(tblHourly[Trips],tblHourly[Date],A91)</f>
        <v>17107</v>
      </c>
      <c r="D91" t="str">
        <f>CHOOSE(WEEKDAY(A91,2),"Mon","Tue","Wed","Thu","Fri","Sat","Sun")</f>
        <v>Sun</v>
      </c>
      <c r="E91" t="str">
        <f>IF(WEEKDAY(A91,2)&gt;5,"Weekend","Weekday")</f>
        <v>Weekend</v>
      </c>
      <c r="F91" s="33">
        <f>DATE(YEAR(A91),MONTH(A91),1)</f>
        <v>41791.0</v>
      </c>
      <c r="G91" t="str">
        <f>IF(COUNTIF(HolidayDates,A91)&gt;0,"Yes","No")</f>
        <v>No</v>
      </c>
      <c r="H91" t="str">
        <f>IF(COUNTIF(SpecialDates,A91)&gt;0,"Yes","No")</f>
        <v>No</v>
      </c>
      <c r="I91">
        <f>IF(B91="2015 Jan-Jun",C91,"")</f>
        <v/>
      </c>
      <c r="J91" s="34">
        <f>IF(COUNTIFS(tblDaily[Period],B91,tblDaily[Date],"&lt;="&amp;A91,tblDaily[Date],"&gt;"&amp;(A91-7))=7,AVERAGEIFS(tblDaily[Trips],tblDaily[Period],B91,tblDaily[Date],"&lt;="&amp;A91,tblDaily[Date],"&gt;"&amp;(A91-7)),"")</f>
        <v>22385.714285714286</v>
      </c>
    </row>
    <row r="92" spans="1:10">
      <c r="A92" s="32">
        <v>41820</v>
      </c>
      <c r="B92" t="s">
        <v>303</v>
      </c>
      <c r="C92">
        <f>SUMIFS(tblHourly[Trips],tblHourly[Date],A92)</f>
        <v>18395</v>
      </c>
      <c r="D92" t="str">
        <f>CHOOSE(WEEKDAY(A92,2),"Mon","Tue","Wed","Thu","Fri","Sat","Sun")</f>
        <v>Mon</v>
      </c>
      <c r="E92" t="str">
        <f>IF(WEEKDAY(A92,2)&gt;5,"Weekend","Weekday")</f>
        <v>Weekday</v>
      </c>
      <c r="F92" s="33">
        <f>DATE(YEAR(A92),MONTH(A92),1)</f>
        <v>41791.0</v>
      </c>
      <c r="G92" t="str">
        <f>IF(COUNTIF(HolidayDates,A92)&gt;0,"Yes","No")</f>
        <v>No</v>
      </c>
      <c r="H92" t="str">
        <f>IF(COUNTIF(SpecialDates,A92)&gt;0,"Yes","No")</f>
        <v>No</v>
      </c>
      <c r="I92">
        <f>IF(B92="2015 Jan-Jun",C92,"")</f>
        <v/>
      </c>
      <c r="J92" s="34">
        <f>IF(COUNTIFS(tblDaily[Period],B92,tblDaily[Date],"&lt;="&amp;A92,tblDaily[Date],"&gt;"&amp;(A92-7))=7,AVERAGEIFS(tblDaily[Trips],tblDaily[Period],B92,tblDaily[Date],"&lt;="&amp;A92,tblDaily[Date],"&gt;"&amp;(A92-7)),"")</f>
        <v>22480.0</v>
      </c>
    </row>
    <row r="93" spans="1:10">
      <c r="A93" s="32">
        <v>41821</v>
      </c>
      <c r="B93" t="s">
        <v>303</v>
      </c>
      <c r="C93">
        <f>SUMIFS(tblHourly[Trips],tblHourly[Date],A93)</f>
        <v>21228</v>
      </c>
      <c r="D93" t="str">
        <f>CHOOSE(WEEKDAY(A93,2),"Mon","Tue","Wed","Thu","Fri","Sat","Sun")</f>
        <v>Tue</v>
      </c>
      <c r="E93" t="str">
        <f>IF(WEEKDAY(A93,2)&gt;5,"Weekend","Weekday")</f>
        <v>Weekday</v>
      </c>
      <c r="F93" s="33">
        <f>DATE(YEAR(A93),MONTH(A93),1)</f>
        <v>41821.0</v>
      </c>
      <c r="G93" t="str">
        <f>IF(COUNTIF(HolidayDates,A93)&gt;0,"Yes","No")</f>
        <v>No</v>
      </c>
      <c r="H93" t="str">
        <f>IF(COUNTIF(SpecialDates,A93)&gt;0,"Yes","No")</f>
        <v>No</v>
      </c>
      <c r="I93">
        <f>IF(B93="2015 Jan-Jun",C93,"")</f>
        <v/>
      </c>
      <c r="J93" s="34">
        <f>IF(COUNTIFS(tblDaily[Period],B93,tblDaily[Date],"&lt;="&amp;A93,tblDaily[Date],"&gt;"&amp;(A93-7))=7,AVERAGEIFS(tblDaily[Trips],tblDaily[Period],B93,tblDaily[Date],"&lt;="&amp;A93,tblDaily[Date],"&gt;"&amp;(A93-7)),"")</f>
        <v>22544.14285714286</v>
      </c>
    </row>
    <row r="94" spans="1:10">
      <c r="A94" s="32">
        <v>41822</v>
      </c>
      <c r="B94" t="s">
        <v>303</v>
      </c>
      <c r="C94">
        <f>SUMIFS(tblHourly[Trips],tblHourly[Date],A94)</f>
        <v>26480</v>
      </c>
      <c r="D94" t="str">
        <f>CHOOSE(WEEKDAY(A94,2),"Mon","Tue","Wed","Thu","Fri","Sat","Sun")</f>
        <v>Wed</v>
      </c>
      <c r="E94" t="str">
        <f>IF(WEEKDAY(A94,2)&gt;5,"Weekend","Weekday")</f>
        <v>Weekday</v>
      </c>
      <c r="F94" s="33">
        <f>DATE(YEAR(A94),MONTH(A94),1)</f>
        <v>41821.0</v>
      </c>
      <c r="G94" t="str">
        <f>IF(COUNTIF(HolidayDates,A94)&gt;0,"Yes","No")</f>
        <v>No</v>
      </c>
      <c r="H94" t="str">
        <f>IF(COUNTIF(SpecialDates,A94)&gt;0,"Yes","No")</f>
        <v>No</v>
      </c>
      <c r="I94">
        <f>IF(B94="2015 Jan-Jun",C94,"")</f>
        <v/>
      </c>
      <c r="J94" s="34">
        <f>IF(COUNTIFS(tblDaily[Period],B94,tblDaily[Date],"&lt;="&amp;A94,tblDaily[Date],"&gt;"&amp;(A94-7))=7,AVERAGEIFS(tblDaily[Trips],tblDaily[Period],B94,tblDaily[Date],"&lt;="&amp;A94,tblDaily[Date],"&gt;"&amp;(A94-7)),"")</f>
        <v>22547.0</v>
      </c>
    </row>
    <row r="95" spans="1:10">
      <c r="A95" s="32">
        <v>41823</v>
      </c>
      <c r="B95" t="s">
        <v>303</v>
      </c>
      <c r="C95">
        <f>SUMIFS(tblHourly[Trips],tblHourly[Date],A95)</f>
        <v>21597</v>
      </c>
      <c r="D95" t="str">
        <f>CHOOSE(WEEKDAY(A95,2),"Mon","Tue","Wed","Thu","Fri","Sat","Sun")</f>
        <v>Thu</v>
      </c>
      <c r="E95" t="str">
        <f>IF(WEEKDAY(A95,2)&gt;5,"Weekend","Weekday")</f>
        <v>Weekday</v>
      </c>
      <c r="F95" s="33">
        <f>DATE(YEAR(A95),MONTH(A95),1)</f>
        <v>41821.0</v>
      </c>
      <c r="G95" t="str">
        <f>IF(COUNTIF(HolidayDates,A95)&gt;0,"Yes","No")</f>
        <v>No</v>
      </c>
      <c r="H95" t="str">
        <f>IF(COUNTIF(SpecialDates,A95)&gt;0,"Yes","No")</f>
        <v>No</v>
      </c>
      <c r="I95">
        <f>IF(B95="2015 Jan-Jun",C95,"")</f>
        <v/>
      </c>
      <c r="J95" s="34">
        <f>IF(COUNTIFS(tblDaily[Period],B95,tblDaily[Date],"&lt;="&amp;A95,tblDaily[Date],"&gt;"&amp;(A95-7))=7,AVERAGEIFS(tblDaily[Trips],tblDaily[Period],B95,tblDaily[Date],"&lt;="&amp;A95,tblDaily[Date],"&gt;"&amp;(A95-7)),"")</f>
        <v>21558.571428571428</v>
      </c>
    </row>
    <row r="96" spans="1:10">
      <c r="A96" s="32">
        <v>41824</v>
      </c>
      <c r="B96" t="s">
        <v>303</v>
      </c>
      <c r="C96">
        <f>SUMIFS(tblHourly[Trips],tblHourly[Date],A96)</f>
        <v>14148</v>
      </c>
      <c r="D96" t="str">
        <f>CHOOSE(WEEKDAY(A96,2),"Mon","Tue","Wed","Thu","Fri","Sat","Sun")</f>
        <v>Fri</v>
      </c>
      <c r="E96" t="str">
        <f>IF(WEEKDAY(A96,2)&gt;5,"Weekend","Weekday")</f>
        <v>Weekday</v>
      </c>
      <c r="F96" s="33">
        <f>DATE(YEAR(A96),MONTH(A96),1)</f>
        <v>41821.0</v>
      </c>
      <c r="G96" t="str">
        <f>IF(COUNTIF(HolidayDates,A96)&gt;0,"Yes","No")</f>
        <v>Yes</v>
      </c>
      <c r="H96" t="str">
        <f>IF(COUNTIF(SpecialDates,A96)&gt;0,"Yes","No")</f>
        <v>Yes</v>
      </c>
      <c r="I96">
        <f>IF(B96="2015 Jan-Jun",C96,"")</f>
        <v/>
      </c>
      <c r="J96" s="34">
        <f>IF(COUNTIFS(tblDaily[Period],B96,tblDaily[Date],"&lt;="&amp;A96,tblDaily[Date],"&gt;"&amp;(A96-7))=7,AVERAGEIFS(tblDaily[Trips],tblDaily[Period],B96,tblDaily[Date],"&lt;="&amp;A96,tblDaily[Date],"&gt;"&amp;(A96-7)),"")</f>
        <v>20023.285714285714</v>
      </c>
    </row>
    <row r="97" spans="1:10">
      <c r="A97" s="32">
        <v>41825</v>
      </c>
      <c r="B97" t="s">
        <v>303</v>
      </c>
      <c r="C97">
        <f>SUMIFS(tblHourly[Trips],tblHourly[Date],A97)</f>
        <v>10890</v>
      </c>
      <c r="D97" t="str">
        <f>CHOOSE(WEEKDAY(A97,2),"Mon","Tue","Wed","Thu","Fri","Sat","Sun")</f>
        <v>Sat</v>
      </c>
      <c r="E97" t="str">
        <f>IF(WEEKDAY(A97,2)&gt;5,"Weekend","Weekday")</f>
        <v>Weekend</v>
      </c>
      <c r="F97" s="33">
        <f>DATE(YEAR(A97),MONTH(A97),1)</f>
        <v>41821.0</v>
      </c>
      <c r="G97" t="str">
        <f>IF(COUNTIF(HolidayDates,A97)&gt;0,"Yes","No")</f>
        <v>No</v>
      </c>
      <c r="H97" t="str">
        <f>IF(COUNTIF(SpecialDates,A97)&gt;0,"Yes","No")</f>
        <v>No</v>
      </c>
      <c r="I97">
        <f>IF(B97="2015 Jan-Jun",C97,"")</f>
        <v/>
      </c>
      <c r="J97" s="34">
        <f>IF(COUNTIFS(tblDaily[Period],B97,tblDaily[Date],"&lt;="&amp;A97,tblDaily[Date],"&gt;"&amp;(A97-7))=7,AVERAGEIFS(tblDaily[Trips],tblDaily[Period],B97,tblDaily[Date],"&lt;="&amp;A97,tblDaily[Date],"&gt;"&amp;(A97-7)),"")</f>
        <v>18549.285714285714</v>
      </c>
    </row>
    <row r="98" spans="1:10">
      <c r="A98" s="32">
        <v>41826</v>
      </c>
      <c r="B98" t="s">
        <v>303</v>
      </c>
      <c r="C98">
        <f>SUMIFS(tblHourly[Trips],tblHourly[Date],A98)</f>
        <v>11443</v>
      </c>
      <c r="D98" t="str">
        <f>CHOOSE(WEEKDAY(A98,2),"Mon","Tue","Wed","Thu","Fri","Sat","Sun")</f>
        <v>Sun</v>
      </c>
      <c r="E98" t="str">
        <f>IF(WEEKDAY(A98,2)&gt;5,"Weekend","Weekday")</f>
        <v>Weekend</v>
      </c>
      <c r="F98" s="33">
        <f>DATE(YEAR(A98),MONTH(A98),1)</f>
        <v>41821.0</v>
      </c>
      <c r="G98" t="str">
        <f>IF(COUNTIF(HolidayDates,A98)&gt;0,"Yes","No")</f>
        <v>No</v>
      </c>
      <c r="H98" t="str">
        <f>IF(COUNTIF(SpecialDates,A98)&gt;0,"Yes","No")</f>
        <v>No</v>
      </c>
      <c r="I98">
        <f>IF(B98="2015 Jan-Jun",C98,"")</f>
        <v/>
      </c>
      <c r="J98" s="34">
        <f>IF(COUNTIFS(tblDaily[Period],B98,tblDaily[Date],"&lt;="&amp;A98,tblDaily[Date],"&gt;"&amp;(A98-7))=7,AVERAGEIFS(tblDaily[Trips],tblDaily[Period],B98,tblDaily[Date],"&lt;="&amp;A98,tblDaily[Date],"&gt;"&amp;(A98-7)),"")</f>
        <v>17740.14285714286</v>
      </c>
    </row>
    <row r="99" spans="1:10">
      <c r="A99" s="32">
        <v>41827</v>
      </c>
      <c r="B99" t="s">
        <v>303</v>
      </c>
      <c r="C99">
        <f>SUMIFS(tblHourly[Trips],tblHourly[Date],A99)</f>
        <v>18280</v>
      </c>
      <c r="D99" t="str">
        <f>CHOOSE(WEEKDAY(A99,2),"Mon","Tue","Wed","Thu","Fri","Sat","Sun")</f>
        <v>Mon</v>
      </c>
      <c r="E99" t="str">
        <f>IF(WEEKDAY(A99,2)&gt;5,"Weekend","Weekday")</f>
        <v>Weekday</v>
      </c>
      <c r="F99" s="33">
        <f>DATE(YEAR(A99),MONTH(A99),1)</f>
        <v>41821.0</v>
      </c>
      <c r="G99" t="str">
        <f>IF(COUNTIF(HolidayDates,A99)&gt;0,"Yes","No")</f>
        <v>No</v>
      </c>
      <c r="H99" t="str">
        <f>IF(COUNTIF(SpecialDates,A99)&gt;0,"Yes","No")</f>
        <v>No</v>
      </c>
      <c r="I99">
        <f>IF(B99="2015 Jan-Jun",C99,"")</f>
        <v/>
      </c>
      <c r="J99" s="34">
        <f>IF(COUNTIFS(tblDaily[Period],B99,tblDaily[Date],"&lt;="&amp;A99,tblDaily[Date],"&gt;"&amp;(A99-7))=7,AVERAGEIFS(tblDaily[Trips],tblDaily[Period],B99,tblDaily[Date],"&lt;="&amp;A99,tblDaily[Date],"&gt;"&amp;(A99-7)),"")</f>
        <v>17723.714285714286</v>
      </c>
    </row>
    <row r="100" spans="1:10">
      <c r="A100" s="32">
        <v>41828</v>
      </c>
      <c r="B100" t="s">
        <v>303</v>
      </c>
      <c r="C100">
        <f>SUMIFS(tblHourly[Trips],tblHourly[Date],A100)</f>
        <v>25763</v>
      </c>
      <c r="D100" t="str">
        <f>CHOOSE(WEEKDAY(A100,2),"Mon","Tue","Wed","Thu","Fri","Sat","Sun")</f>
        <v>Tue</v>
      </c>
      <c r="E100" t="str">
        <f>IF(WEEKDAY(A100,2)&gt;5,"Weekend","Weekday")</f>
        <v>Weekday</v>
      </c>
      <c r="F100" s="33">
        <f>DATE(YEAR(A100),MONTH(A100),1)</f>
        <v>41821.0</v>
      </c>
      <c r="G100" t="str">
        <f>IF(COUNTIF(HolidayDates,A100)&gt;0,"Yes","No")</f>
        <v>No</v>
      </c>
      <c r="H100" t="str">
        <f>IF(COUNTIF(SpecialDates,A100)&gt;0,"Yes","No")</f>
        <v>No</v>
      </c>
      <c r="I100">
        <f>IF(B100="2015 Jan-Jun",C100,"")</f>
        <v/>
      </c>
      <c r="J100" s="34">
        <f>IF(COUNTIFS(tblDaily[Period],B100,tblDaily[Date],"&lt;="&amp;A100,tblDaily[Date],"&gt;"&amp;(A100-7))=7,AVERAGEIFS(tblDaily[Trips],tblDaily[Period],B100,tblDaily[Date],"&lt;="&amp;A100,tblDaily[Date],"&gt;"&amp;(A100-7)),"")</f>
        <v>18371.571428571428</v>
      </c>
    </row>
    <row r="101" spans="1:10">
      <c r="A101" s="32">
        <v>41829</v>
      </c>
      <c r="B101" t="s">
        <v>303</v>
      </c>
      <c r="C101">
        <f>SUMIFS(tblHourly[Trips],tblHourly[Date],A101)</f>
        <v>27817</v>
      </c>
      <c r="D101" t="str">
        <f>CHOOSE(WEEKDAY(A101,2),"Mon","Tue","Wed","Thu","Fri","Sat","Sun")</f>
        <v>Wed</v>
      </c>
      <c r="E101" t="str">
        <f>IF(WEEKDAY(A101,2)&gt;5,"Weekend","Weekday")</f>
        <v>Weekday</v>
      </c>
      <c r="F101" s="33">
        <f>DATE(YEAR(A101),MONTH(A101),1)</f>
        <v>41821.0</v>
      </c>
      <c r="G101" t="str">
        <f>IF(COUNTIF(HolidayDates,A101)&gt;0,"Yes","No")</f>
        <v>No</v>
      </c>
      <c r="H101" t="str">
        <f>IF(COUNTIF(SpecialDates,A101)&gt;0,"Yes","No")</f>
        <v>No</v>
      </c>
      <c r="I101">
        <f>IF(B101="2015 Jan-Jun",C101,"")</f>
        <v/>
      </c>
      <c r="J101" s="34">
        <f>IF(COUNTIFS(tblDaily[Period],B101,tblDaily[Date],"&lt;="&amp;A101,tblDaily[Date],"&gt;"&amp;(A101-7))=7,AVERAGEIFS(tblDaily[Trips],tblDaily[Period],B101,tblDaily[Date],"&lt;="&amp;A101,tblDaily[Date],"&gt;"&amp;(A101-7)),"")</f>
        <v>18562.571428571428</v>
      </c>
    </row>
    <row r="102" spans="1:10">
      <c r="A102" s="32">
        <v>41830</v>
      </c>
      <c r="B102" t="s">
        <v>303</v>
      </c>
      <c r="C102">
        <f>SUMIFS(tblHourly[Trips],tblHourly[Date],A102)</f>
        <v>30541</v>
      </c>
      <c r="D102" t="str">
        <f>CHOOSE(WEEKDAY(A102,2),"Mon","Tue","Wed","Thu","Fri","Sat","Sun")</f>
        <v>Thu</v>
      </c>
      <c r="E102" t="str">
        <f>IF(WEEKDAY(A102,2)&gt;5,"Weekend","Weekday")</f>
        <v>Weekday</v>
      </c>
      <c r="F102" s="33">
        <f>DATE(YEAR(A102),MONTH(A102),1)</f>
        <v>41821.0</v>
      </c>
      <c r="G102" t="str">
        <f>IF(COUNTIF(HolidayDates,A102)&gt;0,"Yes","No")</f>
        <v>No</v>
      </c>
      <c r="H102" t="str">
        <f>IF(COUNTIF(SpecialDates,A102)&gt;0,"Yes","No")</f>
        <v>No</v>
      </c>
      <c r="I102">
        <f>IF(B102="2015 Jan-Jun",C102,"")</f>
        <v/>
      </c>
      <c r="J102" s="34">
        <f>IF(COUNTIFS(tblDaily[Period],B102,tblDaily[Date],"&lt;="&amp;A102,tblDaily[Date],"&gt;"&amp;(A102-7))=7,AVERAGEIFS(tblDaily[Trips],tblDaily[Period],B102,tblDaily[Date],"&lt;="&amp;A102,tblDaily[Date],"&gt;"&amp;(A102-7)),"")</f>
        <v>19840.285714285714</v>
      </c>
    </row>
    <row r="103" spans="1:10">
      <c r="A103" s="32">
        <v>41831</v>
      </c>
      <c r="B103" t="s">
        <v>303</v>
      </c>
      <c r="C103">
        <f>SUMIFS(tblHourly[Trips],tblHourly[Date],A103)</f>
        <v>28752</v>
      </c>
      <c r="D103" t="str">
        <f>CHOOSE(WEEKDAY(A103,2),"Mon","Tue","Wed","Thu","Fri","Sat","Sun")</f>
        <v>Fri</v>
      </c>
      <c r="E103" t="str">
        <f>IF(WEEKDAY(A103,2)&gt;5,"Weekend","Weekday")</f>
        <v>Weekday</v>
      </c>
      <c r="F103" s="33">
        <f>DATE(YEAR(A103),MONTH(A103),1)</f>
        <v>41821.0</v>
      </c>
      <c r="G103" t="str">
        <f>IF(COUNTIF(HolidayDates,A103)&gt;0,"Yes","No")</f>
        <v>No</v>
      </c>
      <c r="H103" t="str">
        <f>IF(COUNTIF(SpecialDates,A103)&gt;0,"Yes","No")</f>
        <v>No</v>
      </c>
      <c r="I103">
        <f>IF(B103="2015 Jan-Jun",C103,"")</f>
        <v/>
      </c>
      <c r="J103" s="34">
        <f>IF(COUNTIFS(tblDaily[Period],B103,tblDaily[Date],"&lt;="&amp;A103,tblDaily[Date],"&gt;"&amp;(A103-7))=7,AVERAGEIFS(tblDaily[Trips],tblDaily[Period],B103,tblDaily[Date],"&lt;="&amp;A103,tblDaily[Date],"&gt;"&amp;(A103-7)),"")</f>
        <v>21926.571428571428</v>
      </c>
    </row>
    <row r="104" spans="1:10">
      <c r="A104" s="32">
        <v>41832</v>
      </c>
      <c r="B104" t="s">
        <v>303</v>
      </c>
      <c r="C104">
        <f>SUMIFS(tblHourly[Trips],tblHourly[Date],A104)</f>
        <v>25936</v>
      </c>
      <c r="D104" t="str">
        <f>CHOOSE(WEEKDAY(A104,2),"Mon","Tue","Wed","Thu","Fri","Sat","Sun")</f>
        <v>Sat</v>
      </c>
      <c r="E104" t="str">
        <f>IF(WEEKDAY(A104,2)&gt;5,"Weekend","Weekday")</f>
        <v>Weekend</v>
      </c>
      <c r="F104" s="33">
        <f>DATE(YEAR(A104),MONTH(A104),1)</f>
        <v>41821.0</v>
      </c>
      <c r="G104" t="str">
        <f>IF(COUNTIF(HolidayDates,A104)&gt;0,"Yes","No")</f>
        <v>No</v>
      </c>
      <c r="H104" t="str">
        <f>IF(COUNTIF(SpecialDates,A104)&gt;0,"Yes","No")</f>
        <v>No</v>
      </c>
      <c r="I104">
        <f>IF(B104="2015 Jan-Jun",C104,"")</f>
        <v/>
      </c>
      <c r="J104" s="34">
        <f>IF(COUNTIFS(tblDaily[Period],B104,tblDaily[Date],"&lt;="&amp;A104,tblDaily[Date],"&gt;"&amp;(A104-7))=7,AVERAGEIFS(tblDaily[Trips],tblDaily[Period],B104,tblDaily[Date],"&lt;="&amp;A104,tblDaily[Date],"&gt;"&amp;(A104-7)),"")</f>
        <v>24076.0</v>
      </c>
    </row>
    <row r="105" spans="1:10">
      <c r="A105" s="32">
        <v>41833</v>
      </c>
      <c r="B105" t="s">
        <v>303</v>
      </c>
      <c r="C105">
        <f>SUMIFS(tblHourly[Trips],tblHourly[Date],A105)</f>
        <v>21082</v>
      </c>
      <c r="D105" t="str">
        <f>CHOOSE(WEEKDAY(A105,2),"Mon","Tue","Wed","Thu","Fri","Sat","Sun")</f>
        <v>Sun</v>
      </c>
      <c r="E105" t="str">
        <f>IF(WEEKDAY(A105,2)&gt;5,"Weekend","Weekday")</f>
        <v>Weekend</v>
      </c>
      <c r="F105" s="33">
        <f>DATE(YEAR(A105),MONTH(A105),1)</f>
        <v>41821.0</v>
      </c>
      <c r="G105" t="str">
        <f>IF(COUNTIF(HolidayDates,A105)&gt;0,"Yes","No")</f>
        <v>No</v>
      </c>
      <c r="H105" t="str">
        <f>IF(COUNTIF(SpecialDates,A105)&gt;0,"Yes","No")</f>
        <v>No</v>
      </c>
      <c r="I105">
        <f>IF(B105="2015 Jan-Jun",C105,"")</f>
        <v/>
      </c>
      <c r="J105" s="34">
        <f>IF(COUNTIFS(tblDaily[Period],B105,tblDaily[Date],"&lt;="&amp;A105,tblDaily[Date],"&gt;"&amp;(A105-7))=7,AVERAGEIFS(tblDaily[Trips],tblDaily[Period],B105,tblDaily[Date],"&lt;="&amp;A105,tblDaily[Date],"&gt;"&amp;(A105-7)),"")</f>
        <v>25453.0</v>
      </c>
    </row>
    <row r="106" spans="1:10">
      <c r="A106" s="32">
        <v>41834</v>
      </c>
      <c r="B106" t="s">
        <v>303</v>
      </c>
      <c r="C106">
        <f>SUMIFS(tblHourly[Trips],tblHourly[Date],A106)</f>
        <v>27350</v>
      </c>
      <c r="D106" t="str">
        <f>CHOOSE(WEEKDAY(A106,2),"Mon","Tue","Wed","Thu","Fri","Sat","Sun")</f>
        <v>Mon</v>
      </c>
      <c r="E106" t="str">
        <f>IF(WEEKDAY(A106,2)&gt;5,"Weekend","Weekday")</f>
        <v>Weekday</v>
      </c>
      <c r="F106" s="33">
        <f>DATE(YEAR(A106),MONTH(A106),1)</f>
        <v>41821.0</v>
      </c>
      <c r="G106" t="str">
        <f>IF(COUNTIF(HolidayDates,A106)&gt;0,"Yes","No")</f>
        <v>No</v>
      </c>
      <c r="H106" t="str">
        <f>IF(COUNTIF(SpecialDates,A106)&gt;0,"Yes","No")</f>
        <v>No</v>
      </c>
      <c r="I106">
        <f>IF(B106="2015 Jan-Jun",C106,"")</f>
        <v/>
      </c>
      <c r="J106" s="34">
        <f>IF(COUNTIFS(tblDaily[Period],B106,tblDaily[Date],"&lt;="&amp;A106,tblDaily[Date],"&gt;"&amp;(A106-7))=7,AVERAGEIFS(tblDaily[Trips],tblDaily[Period],B106,tblDaily[Date],"&lt;="&amp;A106,tblDaily[Date],"&gt;"&amp;(A106-7)),"")</f>
        <v>26748.714285714286</v>
      </c>
    </row>
    <row r="107" spans="1:10">
      <c r="A107" s="32">
        <v>41835</v>
      </c>
      <c r="B107" t="s">
        <v>303</v>
      </c>
      <c r="C107">
        <f>SUMIFS(tblHourly[Trips],tblHourly[Date],A107)</f>
        <v>33845</v>
      </c>
      <c r="D107" t="str">
        <f>CHOOSE(WEEKDAY(A107,2),"Mon","Tue","Wed","Thu","Fri","Sat","Sun")</f>
        <v>Tue</v>
      </c>
      <c r="E107" t="str">
        <f>IF(WEEKDAY(A107,2)&gt;5,"Weekend","Weekday")</f>
        <v>Weekday</v>
      </c>
      <c r="F107" s="33">
        <f>DATE(YEAR(A107),MONTH(A107),1)</f>
        <v>41821.0</v>
      </c>
      <c r="G107" t="str">
        <f>IF(COUNTIF(HolidayDates,A107)&gt;0,"Yes","No")</f>
        <v>No</v>
      </c>
      <c r="H107" t="str">
        <f>IF(COUNTIF(SpecialDates,A107)&gt;0,"Yes","No")</f>
        <v>No</v>
      </c>
      <c r="I107">
        <f>IF(B107="2015 Jan-Jun",C107,"")</f>
        <v/>
      </c>
      <c r="J107" s="34">
        <f>IF(COUNTIFS(tblDaily[Period],B107,tblDaily[Date],"&lt;="&amp;A107,tblDaily[Date],"&gt;"&amp;(A107-7))=7,AVERAGEIFS(tblDaily[Trips],tblDaily[Period],B107,tblDaily[Date],"&lt;="&amp;A107,tblDaily[Date],"&gt;"&amp;(A107-7)),"")</f>
        <v>27903.285714285714</v>
      </c>
    </row>
    <row r="108" spans="1:10">
      <c r="A108" s="32">
        <v>41836</v>
      </c>
      <c r="B108" t="s">
        <v>303</v>
      </c>
      <c r="C108">
        <f>SUMIFS(tblHourly[Trips],tblHourly[Date],A108)</f>
        <v>28607</v>
      </c>
      <c r="D108" t="str">
        <f>CHOOSE(WEEKDAY(A108,2),"Mon","Tue","Wed","Thu","Fri","Sat","Sun")</f>
        <v>Wed</v>
      </c>
      <c r="E108" t="str">
        <f>IF(WEEKDAY(A108,2)&gt;5,"Weekend","Weekday")</f>
        <v>Weekday</v>
      </c>
      <c r="F108" s="33">
        <f>DATE(YEAR(A108),MONTH(A108),1)</f>
        <v>41821.0</v>
      </c>
      <c r="G108" t="str">
        <f>IF(COUNTIF(HolidayDates,A108)&gt;0,"Yes","No")</f>
        <v>No</v>
      </c>
      <c r="H108" t="str">
        <f>IF(COUNTIF(SpecialDates,A108)&gt;0,"Yes","No")</f>
        <v>No</v>
      </c>
      <c r="I108">
        <f>IF(B108="2015 Jan-Jun",C108,"")</f>
        <v/>
      </c>
      <c r="J108" s="34">
        <f>IF(COUNTIFS(tblDaily[Period],B108,tblDaily[Date],"&lt;="&amp;A108,tblDaily[Date],"&gt;"&amp;(A108-7))=7,AVERAGEIFS(tblDaily[Trips],tblDaily[Period],B108,tblDaily[Date],"&lt;="&amp;A108,tblDaily[Date],"&gt;"&amp;(A108-7)),"")</f>
        <v>28016.14285714286</v>
      </c>
    </row>
    <row r="109" spans="1:10">
      <c r="A109" s="32">
        <v>41837</v>
      </c>
      <c r="B109" t="s">
        <v>303</v>
      </c>
      <c r="C109">
        <f>SUMIFS(tblHourly[Trips],tblHourly[Date],A109)</f>
        <v>30710</v>
      </c>
      <c r="D109" t="str">
        <f>CHOOSE(WEEKDAY(A109,2),"Mon","Tue","Wed","Thu","Fri","Sat","Sun")</f>
        <v>Thu</v>
      </c>
      <c r="E109" t="str">
        <f>IF(WEEKDAY(A109,2)&gt;5,"Weekend","Weekday")</f>
        <v>Weekday</v>
      </c>
      <c r="F109" s="33">
        <f>DATE(YEAR(A109),MONTH(A109),1)</f>
        <v>41821.0</v>
      </c>
      <c r="G109" t="str">
        <f>IF(COUNTIF(HolidayDates,A109)&gt;0,"Yes","No")</f>
        <v>No</v>
      </c>
      <c r="H109" t="str">
        <f>IF(COUNTIF(SpecialDates,A109)&gt;0,"Yes","No")</f>
        <v>No</v>
      </c>
      <c r="I109">
        <f>IF(B109="2015 Jan-Jun",C109,"")</f>
        <v/>
      </c>
      <c r="J109" s="34">
        <f>IF(COUNTIFS(tblDaily[Period],B109,tblDaily[Date],"&lt;="&amp;A109,tblDaily[Date],"&gt;"&amp;(A109-7))=7,AVERAGEIFS(tblDaily[Trips],tblDaily[Period],B109,tblDaily[Date],"&lt;="&amp;A109,tblDaily[Date],"&gt;"&amp;(A109-7)),"")</f>
        <v>28040.285714285714</v>
      </c>
    </row>
    <row r="110" spans="1:10">
      <c r="A110" s="32">
        <v>41838</v>
      </c>
      <c r="B110" t="s">
        <v>303</v>
      </c>
      <c r="C110">
        <f>SUMIFS(tblHourly[Trips],tblHourly[Date],A110)</f>
        <v>29860</v>
      </c>
      <c r="D110" t="str">
        <f>CHOOSE(WEEKDAY(A110,2),"Mon","Tue","Wed","Thu","Fri","Sat","Sun")</f>
        <v>Fri</v>
      </c>
      <c r="E110" t="str">
        <f>IF(WEEKDAY(A110,2)&gt;5,"Weekend","Weekday")</f>
        <v>Weekday</v>
      </c>
      <c r="F110" s="33">
        <f>DATE(YEAR(A110),MONTH(A110),1)</f>
        <v>41821.0</v>
      </c>
      <c r="G110" t="str">
        <f>IF(COUNTIF(HolidayDates,A110)&gt;0,"Yes","No")</f>
        <v>No</v>
      </c>
      <c r="H110" t="str">
        <f>IF(COUNTIF(SpecialDates,A110)&gt;0,"Yes","No")</f>
        <v>No</v>
      </c>
      <c r="I110">
        <f>IF(B110="2015 Jan-Jun",C110,"")</f>
        <v/>
      </c>
      <c r="J110" s="34">
        <f>IF(COUNTIFS(tblDaily[Period],B110,tblDaily[Date],"&lt;="&amp;A110,tblDaily[Date],"&gt;"&amp;(A110-7))=7,AVERAGEIFS(tblDaily[Trips],tblDaily[Period],B110,tblDaily[Date],"&lt;="&amp;A110,tblDaily[Date],"&gt;"&amp;(A110-7)),"")</f>
        <v>28198.571428571428</v>
      </c>
    </row>
    <row r="111" spans="1:10">
      <c r="A111" s="32">
        <v>41839</v>
      </c>
      <c r="B111" t="s">
        <v>303</v>
      </c>
      <c r="C111">
        <f>SUMIFS(tblHourly[Trips],tblHourly[Date],A111)</f>
        <v>25726</v>
      </c>
      <c r="D111" t="str">
        <f>CHOOSE(WEEKDAY(A111,2),"Mon","Tue","Wed","Thu","Fri","Sat","Sun")</f>
        <v>Sat</v>
      </c>
      <c r="E111" t="str">
        <f>IF(WEEKDAY(A111,2)&gt;5,"Weekend","Weekday")</f>
        <v>Weekend</v>
      </c>
      <c r="F111" s="33">
        <f>DATE(YEAR(A111),MONTH(A111),1)</f>
        <v>41821.0</v>
      </c>
      <c r="G111" t="str">
        <f>IF(COUNTIF(HolidayDates,A111)&gt;0,"Yes","No")</f>
        <v>No</v>
      </c>
      <c r="H111" t="str">
        <f>IF(COUNTIF(SpecialDates,A111)&gt;0,"Yes","No")</f>
        <v>No</v>
      </c>
      <c r="I111">
        <f>IF(B111="2015 Jan-Jun",C111,"")</f>
        <v/>
      </c>
      <c r="J111" s="34">
        <f>IF(COUNTIFS(tblDaily[Period],B111,tblDaily[Date],"&lt;="&amp;A111,tblDaily[Date],"&gt;"&amp;(A111-7))=7,AVERAGEIFS(tblDaily[Trips],tblDaily[Period],B111,tblDaily[Date],"&lt;="&amp;A111,tblDaily[Date],"&gt;"&amp;(A111-7)),"")</f>
        <v>28168.571428571428</v>
      </c>
    </row>
    <row r="112" spans="1:10">
      <c r="A112" s="32">
        <v>41840</v>
      </c>
      <c r="B112" t="s">
        <v>303</v>
      </c>
      <c r="C112">
        <f>SUMIFS(tblHourly[Trips],tblHourly[Date],A112)</f>
        <v>21212</v>
      </c>
      <c r="D112" t="str">
        <f>CHOOSE(WEEKDAY(A112,2),"Mon","Tue","Wed","Thu","Fri","Sat","Sun")</f>
        <v>Sun</v>
      </c>
      <c r="E112" t="str">
        <f>IF(WEEKDAY(A112,2)&gt;5,"Weekend","Weekday")</f>
        <v>Weekend</v>
      </c>
      <c r="F112" s="33">
        <f>DATE(YEAR(A112),MONTH(A112),1)</f>
        <v>41821.0</v>
      </c>
      <c r="G112" t="str">
        <f>IF(COUNTIF(HolidayDates,A112)&gt;0,"Yes","No")</f>
        <v>No</v>
      </c>
      <c r="H112" t="str">
        <f>IF(COUNTIF(SpecialDates,A112)&gt;0,"Yes","No")</f>
        <v>No</v>
      </c>
      <c r="I112">
        <f>IF(B112="2015 Jan-Jun",C112,"")</f>
        <v/>
      </c>
      <c r="J112" s="34">
        <f>IF(COUNTIFS(tblDaily[Period],B112,tblDaily[Date],"&lt;="&amp;A112,tblDaily[Date],"&gt;"&amp;(A112-7))=7,AVERAGEIFS(tblDaily[Trips],tblDaily[Period],B112,tblDaily[Date],"&lt;="&amp;A112,tblDaily[Date],"&gt;"&amp;(A112-7)),"")</f>
        <v>28187.14285714286</v>
      </c>
    </row>
    <row r="113" spans="1:10">
      <c r="A113" s="32">
        <v>41841</v>
      </c>
      <c r="B113" t="s">
        <v>303</v>
      </c>
      <c r="C113">
        <f>SUMIFS(tblHourly[Trips],tblHourly[Date],A113)</f>
        <v>23578</v>
      </c>
      <c r="D113" t="str">
        <f>CHOOSE(WEEKDAY(A113,2),"Mon","Tue","Wed","Thu","Fri","Sat","Sun")</f>
        <v>Mon</v>
      </c>
      <c r="E113" t="str">
        <f>IF(WEEKDAY(A113,2)&gt;5,"Weekend","Weekday")</f>
        <v>Weekday</v>
      </c>
      <c r="F113" s="33">
        <f>DATE(YEAR(A113),MONTH(A113),1)</f>
        <v>41821.0</v>
      </c>
      <c r="G113" t="str">
        <f>IF(COUNTIF(HolidayDates,A113)&gt;0,"Yes","No")</f>
        <v>No</v>
      </c>
      <c r="H113" t="str">
        <f>IF(COUNTIF(SpecialDates,A113)&gt;0,"Yes","No")</f>
        <v>No</v>
      </c>
      <c r="I113">
        <f>IF(B113="2015 Jan-Jun",C113,"")</f>
        <v/>
      </c>
      <c r="J113" s="34">
        <f>IF(COUNTIFS(tblDaily[Period],B113,tblDaily[Date],"&lt;="&amp;A113,tblDaily[Date],"&gt;"&amp;(A113-7))=7,AVERAGEIFS(tblDaily[Trips],tblDaily[Period],B113,tblDaily[Date],"&lt;="&amp;A113,tblDaily[Date],"&gt;"&amp;(A113-7)),"")</f>
        <v>27648.285714285714</v>
      </c>
    </row>
    <row r="114" spans="1:10">
      <c r="A114" s="32">
        <v>41842</v>
      </c>
      <c r="B114" t="s">
        <v>303</v>
      </c>
      <c r="C114">
        <f>SUMIFS(tblHourly[Trips],tblHourly[Date],A114)</f>
        <v>29029</v>
      </c>
      <c r="D114" t="str">
        <f>CHOOSE(WEEKDAY(A114,2),"Mon","Tue","Wed","Thu","Fri","Sat","Sun")</f>
        <v>Tue</v>
      </c>
      <c r="E114" t="str">
        <f>IF(WEEKDAY(A114,2)&gt;5,"Weekend","Weekday")</f>
        <v>Weekday</v>
      </c>
      <c r="F114" s="33">
        <f>DATE(YEAR(A114),MONTH(A114),1)</f>
        <v>41821.0</v>
      </c>
      <c r="G114" t="str">
        <f>IF(COUNTIF(HolidayDates,A114)&gt;0,"Yes","No")</f>
        <v>No</v>
      </c>
      <c r="H114" t="str">
        <f>IF(COUNTIF(SpecialDates,A114)&gt;0,"Yes","No")</f>
        <v>No</v>
      </c>
      <c r="I114">
        <f>IF(B114="2015 Jan-Jun",C114,"")</f>
        <v/>
      </c>
      <c r="J114" s="34">
        <f>IF(COUNTIFS(tblDaily[Period],B114,tblDaily[Date],"&lt;="&amp;A114,tblDaily[Date],"&gt;"&amp;(A114-7))=7,AVERAGEIFS(tblDaily[Trips],tblDaily[Period],B114,tblDaily[Date],"&lt;="&amp;A114,tblDaily[Date],"&gt;"&amp;(A114-7)),"")</f>
        <v>26960.285714285714</v>
      </c>
    </row>
    <row r="115" spans="1:10">
      <c r="A115" s="32">
        <v>41843</v>
      </c>
      <c r="B115" t="s">
        <v>303</v>
      </c>
      <c r="C115">
        <f>SUMIFS(tblHourly[Trips],tblHourly[Date],A115)</f>
        <v>34073</v>
      </c>
      <c r="D115" t="str">
        <f>CHOOSE(WEEKDAY(A115,2),"Mon","Tue","Wed","Thu","Fri","Sat","Sun")</f>
        <v>Wed</v>
      </c>
      <c r="E115" t="str">
        <f>IF(WEEKDAY(A115,2)&gt;5,"Weekend","Weekday")</f>
        <v>Weekday</v>
      </c>
      <c r="F115" s="33">
        <f>DATE(YEAR(A115),MONTH(A115),1)</f>
        <v>41821.0</v>
      </c>
      <c r="G115" t="str">
        <f>IF(COUNTIF(HolidayDates,A115)&gt;0,"Yes","No")</f>
        <v>No</v>
      </c>
      <c r="H115" t="str">
        <f>IF(COUNTIF(SpecialDates,A115)&gt;0,"Yes","No")</f>
        <v>No</v>
      </c>
      <c r="I115">
        <f>IF(B115="2015 Jan-Jun",C115,"")</f>
        <v/>
      </c>
      <c r="J115" s="34">
        <f>IF(COUNTIFS(tblDaily[Period],B115,tblDaily[Date],"&lt;="&amp;A115,tblDaily[Date],"&gt;"&amp;(A115-7))=7,AVERAGEIFS(tblDaily[Trips],tblDaily[Period],B115,tblDaily[Date],"&lt;="&amp;A115,tblDaily[Date],"&gt;"&amp;(A115-7)),"")</f>
        <v>27741.14285714286</v>
      </c>
    </row>
    <row r="116" spans="1:10">
      <c r="A116" s="32">
        <v>41844</v>
      </c>
      <c r="B116" t="s">
        <v>303</v>
      </c>
      <c r="C116">
        <f>SUMIFS(tblHourly[Trips],tblHourly[Date],A116)</f>
        <v>32050</v>
      </c>
      <c r="D116" t="str">
        <f>CHOOSE(WEEKDAY(A116,2),"Mon","Tue","Wed","Thu","Fri","Sat","Sun")</f>
        <v>Thu</v>
      </c>
      <c r="E116" t="str">
        <f>IF(WEEKDAY(A116,2)&gt;5,"Weekend","Weekday")</f>
        <v>Weekday</v>
      </c>
      <c r="F116" s="33">
        <f>DATE(YEAR(A116),MONTH(A116),1)</f>
        <v>41821.0</v>
      </c>
      <c r="G116" t="str">
        <f>IF(COUNTIF(HolidayDates,A116)&gt;0,"Yes","No")</f>
        <v>No</v>
      </c>
      <c r="H116" t="str">
        <f>IF(COUNTIF(SpecialDates,A116)&gt;0,"Yes","No")</f>
        <v>No</v>
      </c>
      <c r="I116">
        <f>IF(B116="2015 Jan-Jun",C116,"")</f>
        <v/>
      </c>
      <c r="J116" s="34">
        <f>IF(COUNTIFS(tblDaily[Period],B116,tblDaily[Date],"&lt;="&amp;A116,tblDaily[Date],"&gt;"&amp;(A116-7))=7,AVERAGEIFS(tblDaily[Trips],tblDaily[Period],B116,tblDaily[Date],"&lt;="&amp;A116,tblDaily[Date],"&gt;"&amp;(A116-7)),"")</f>
        <v>27932.571428571428</v>
      </c>
    </row>
    <row r="117" spans="1:10">
      <c r="A117" s="32">
        <v>41845</v>
      </c>
      <c r="B117" t="s">
        <v>303</v>
      </c>
      <c r="C117">
        <f>SUMIFS(tblHourly[Trips],tblHourly[Date],A117)</f>
        <v>29975</v>
      </c>
      <c r="D117" t="str">
        <f>CHOOSE(WEEKDAY(A117,2),"Mon","Tue","Wed","Thu","Fri","Sat","Sun")</f>
        <v>Fri</v>
      </c>
      <c r="E117" t="str">
        <f>IF(WEEKDAY(A117,2)&gt;5,"Weekend","Weekday")</f>
        <v>Weekday</v>
      </c>
      <c r="F117" s="33">
        <f>DATE(YEAR(A117),MONTH(A117),1)</f>
        <v>41821.0</v>
      </c>
      <c r="G117" t="str">
        <f>IF(COUNTIF(HolidayDates,A117)&gt;0,"Yes","No")</f>
        <v>No</v>
      </c>
      <c r="H117" t="str">
        <f>IF(COUNTIF(SpecialDates,A117)&gt;0,"Yes","No")</f>
        <v>No</v>
      </c>
      <c r="I117">
        <f>IF(B117="2015 Jan-Jun",C117,"")</f>
        <v/>
      </c>
      <c r="J117" s="34">
        <f>IF(COUNTIFS(tblDaily[Period],B117,tblDaily[Date],"&lt;="&amp;A117,tblDaily[Date],"&gt;"&amp;(A117-7))=7,AVERAGEIFS(tblDaily[Trips],tblDaily[Period],B117,tblDaily[Date],"&lt;="&amp;A117,tblDaily[Date],"&gt;"&amp;(A117-7)),"")</f>
        <v>27949.0</v>
      </c>
    </row>
    <row r="118" spans="1:10">
      <c r="A118" s="32">
        <v>41846</v>
      </c>
      <c r="B118" t="s">
        <v>303</v>
      </c>
      <c r="C118">
        <f>SUMIFS(tblHourly[Trips],tblHourly[Date],A118)</f>
        <v>27708</v>
      </c>
      <c r="D118" t="str">
        <f>CHOOSE(WEEKDAY(A118,2),"Mon","Tue","Wed","Thu","Fri","Sat","Sun")</f>
        <v>Sat</v>
      </c>
      <c r="E118" t="str">
        <f>IF(WEEKDAY(A118,2)&gt;5,"Weekend","Weekday")</f>
        <v>Weekend</v>
      </c>
      <c r="F118" s="33">
        <f>DATE(YEAR(A118),MONTH(A118),1)</f>
        <v>41821.0</v>
      </c>
      <c r="G118" t="str">
        <f>IF(COUNTIF(HolidayDates,A118)&gt;0,"Yes","No")</f>
        <v>No</v>
      </c>
      <c r="H118" t="str">
        <f>IF(COUNTIF(SpecialDates,A118)&gt;0,"Yes","No")</f>
        <v>No</v>
      </c>
      <c r="I118">
        <f>IF(B118="2015 Jan-Jun",C118,"")</f>
        <v/>
      </c>
      <c r="J118" s="34">
        <f>IF(COUNTIFS(tblDaily[Period],B118,tblDaily[Date],"&lt;="&amp;A118,tblDaily[Date],"&gt;"&amp;(A118-7))=7,AVERAGEIFS(tblDaily[Trips],tblDaily[Period],B118,tblDaily[Date],"&lt;="&amp;A118,tblDaily[Date],"&gt;"&amp;(A118-7)),"")</f>
        <v>28232.14285714286</v>
      </c>
    </row>
    <row r="119" spans="1:10">
      <c r="A119" s="32">
        <v>41847</v>
      </c>
      <c r="B119" t="s">
        <v>303</v>
      </c>
      <c r="C119">
        <f>SUMIFS(tblHourly[Trips],tblHourly[Date],A119)</f>
        <v>22590</v>
      </c>
      <c r="D119" t="str">
        <f>CHOOSE(WEEKDAY(A119,2),"Mon","Tue","Wed","Thu","Fri","Sat","Sun")</f>
        <v>Sun</v>
      </c>
      <c r="E119" t="str">
        <f>IF(WEEKDAY(A119,2)&gt;5,"Weekend","Weekday")</f>
        <v>Weekend</v>
      </c>
      <c r="F119" s="33">
        <f>DATE(YEAR(A119),MONTH(A119),1)</f>
        <v>41821.0</v>
      </c>
      <c r="G119" t="str">
        <f>IF(COUNTIF(HolidayDates,A119)&gt;0,"Yes","No")</f>
        <v>No</v>
      </c>
      <c r="H119" t="str">
        <f>IF(COUNTIF(SpecialDates,A119)&gt;0,"Yes","No")</f>
        <v>No</v>
      </c>
      <c r="I119">
        <f>IF(B119="2015 Jan-Jun",C119,"")</f>
        <v/>
      </c>
      <c r="J119" s="34">
        <f>IF(COUNTIFS(tblDaily[Period],B119,tblDaily[Date],"&lt;="&amp;A119,tblDaily[Date],"&gt;"&amp;(A119-7))=7,AVERAGEIFS(tblDaily[Trips],tblDaily[Period],B119,tblDaily[Date],"&lt;="&amp;A119,tblDaily[Date],"&gt;"&amp;(A119-7)),"")</f>
        <v>28429.0</v>
      </c>
    </row>
    <row r="120" spans="1:10">
      <c r="A120" s="32">
        <v>41848</v>
      </c>
      <c r="B120" t="s">
        <v>303</v>
      </c>
      <c r="C120">
        <f>SUMIFS(tblHourly[Trips],tblHourly[Date],A120)</f>
        <v>23981</v>
      </c>
      <c r="D120" t="str">
        <f>CHOOSE(WEEKDAY(A120,2),"Mon","Tue","Wed","Thu","Fri","Sat","Sun")</f>
        <v>Mon</v>
      </c>
      <c r="E120" t="str">
        <f>IF(WEEKDAY(A120,2)&gt;5,"Weekend","Weekday")</f>
        <v>Weekday</v>
      </c>
      <c r="F120" s="33">
        <f>DATE(YEAR(A120),MONTH(A120),1)</f>
        <v>41821.0</v>
      </c>
      <c r="G120" t="str">
        <f>IF(COUNTIF(HolidayDates,A120)&gt;0,"Yes","No")</f>
        <v>No</v>
      </c>
      <c r="H120" t="str">
        <f>IF(COUNTIF(SpecialDates,A120)&gt;0,"Yes","No")</f>
        <v>No</v>
      </c>
      <c r="I120">
        <f>IF(B120="2015 Jan-Jun",C120,"")</f>
        <v/>
      </c>
      <c r="J120" s="34">
        <f>IF(COUNTIFS(tblDaily[Period],B120,tblDaily[Date],"&lt;="&amp;A120,tblDaily[Date],"&gt;"&amp;(A120-7))=7,AVERAGEIFS(tblDaily[Trips],tblDaily[Period],B120,tblDaily[Date],"&lt;="&amp;A120,tblDaily[Date],"&gt;"&amp;(A120-7)),"")</f>
        <v>28486.571428571428</v>
      </c>
    </row>
    <row r="121" spans="1:10">
      <c r="A121" s="32">
        <v>41849</v>
      </c>
      <c r="B121" t="s">
        <v>303</v>
      </c>
      <c r="C121">
        <f>SUMIFS(tblHourly[Trips],tblHourly[Date],A121)</f>
        <v>27589</v>
      </c>
      <c r="D121" t="str">
        <f>CHOOSE(WEEKDAY(A121,2),"Mon","Tue","Wed","Thu","Fri","Sat","Sun")</f>
        <v>Tue</v>
      </c>
      <c r="E121" t="str">
        <f>IF(WEEKDAY(A121,2)&gt;5,"Weekend","Weekday")</f>
        <v>Weekday</v>
      </c>
      <c r="F121" s="33">
        <f>DATE(YEAR(A121),MONTH(A121),1)</f>
        <v>41821.0</v>
      </c>
      <c r="G121" t="str">
        <f>IF(COUNTIF(HolidayDates,A121)&gt;0,"Yes","No")</f>
        <v>No</v>
      </c>
      <c r="H121" t="str">
        <f>IF(COUNTIF(SpecialDates,A121)&gt;0,"Yes","No")</f>
        <v>No</v>
      </c>
      <c r="I121">
        <f>IF(B121="2015 Jan-Jun",C121,"")</f>
        <v/>
      </c>
      <c r="J121" s="34">
        <f>IF(COUNTIFS(tblDaily[Period],B121,tblDaily[Date],"&lt;="&amp;A121,tblDaily[Date],"&gt;"&amp;(A121-7))=7,AVERAGEIFS(tblDaily[Trips],tblDaily[Period],B121,tblDaily[Date],"&lt;="&amp;A121,tblDaily[Date],"&gt;"&amp;(A121-7)),"")</f>
        <v>28280.85714285714</v>
      </c>
    </row>
    <row r="122" spans="1:10">
      <c r="A122" s="32">
        <v>41850</v>
      </c>
      <c r="B122" t="s">
        <v>303</v>
      </c>
      <c r="C122">
        <f>SUMIFS(tblHourly[Trips],tblHourly[Date],A122)</f>
        <v>30740</v>
      </c>
      <c r="D122" t="str">
        <f>CHOOSE(WEEKDAY(A122,2),"Mon","Tue","Wed","Thu","Fri","Sat","Sun")</f>
        <v>Wed</v>
      </c>
      <c r="E122" t="str">
        <f>IF(WEEKDAY(A122,2)&gt;5,"Weekend","Weekday")</f>
        <v>Weekday</v>
      </c>
      <c r="F122" s="33">
        <f>DATE(YEAR(A122),MONTH(A122),1)</f>
        <v>41821.0</v>
      </c>
      <c r="G122" t="str">
        <f>IF(COUNTIF(HolidayDates,A122)&gt;0,"Yes","No")</f>
        <v>No</v>
      </c>
      <c r="H122" t="str">
        <f>IF(COUNTIF(SpecialDates,A122)&gt;0,"Yes","No")</f>
        <v>No</v>
      </c>
      <c r="I122">
        <f>IF(B122="2015 Jan-Jun",C122,"")</f>
        <v/>
      </c>
      <c r="J122" s="34">
        <f>IF(COUNTIFS(tblDaily[Period],B122,tblDaily[Date],"&lt;="&amp;A122,tblDaily[Date],"&gt;"&amp;(A122-7))=7,AVERAGEIFS(tblDaily[Trips],tblDaily[Period],B122,tblDaily[Date],"&lt;="&amp;A122,tblDaily[Date],"&gt;"&amp;(A122-7)),"")</f>
        <v>27804.714285714286</v>
      </c>
    </row>
    <row r="123" spans="1:10">
      <c r="A123" s="32">
        <v>41851</v>
      </c>
      <c r="B123" t="s">
        <v>303</v>
      </c>
      <c r="C123">
        <f>SUMIFS(tblHourly[Trips],tblHourly[Date],A123)</f>
        <v>33541</v>
      </c>
      <c r="D123" t="str">
        <f>CHOOSE(WEEKDAY(A123,2),"Mon","Tue","Wed","Thu","Fri","Sat","Sun")</f>
        <v>Thu</v>
      </c>
      <c r="E123" t="str">
        <f>IF(WEEKDAY(A123,2)&gt;5,"Weekend","Weekday")</f>
        <v>Weekday</v>
      </c>
      <c r="F123" s="33">
        <f>DATE(YEAR(A123),MONTH(A123),1)</f>
        <v>41821.0</v>
      </c>
      <c r="G123" t="str">
        <f>IF(COUNTIF(HolidayDates,A123)&gt;0,"Yes","No")</f>
        <v>No</v>
      </c>
      <c r="H123" t="str">
        <f>IF(COUNTIF(SpecialDates,A123)&gt;0,"Yes","No")</f>
        <v>No</v>
      </c>
      <c r="I123">
        <f>IF(B123="2015 Jan-Jun",C123,"")</f>
        <v/>
      </c>
      <c r="J123" s="34">
        <f>IF(COUNTIFS(tblDaily[Period],B123,tblDaily[Date],"&lt;="&amp;A123,tblDaily[Date],"&gt;"&amp;(A123-7))=7,AVERAGEIFS(tblDaily[Trips],tblDaily[Period],B123,tblDaily[Date],"&lt;="&amp;A123,tblDaily[Date],"&gt;"&amp;(A123-7)),"")</f>
        <v>28017.714285714286</v>
      </c>
    </row>
    <row r="124" spans="1:10">
      <c r="A124" s="32">
        <v>41852</v>
      </c>
      <c r="B124" t="s">
        <v>303</v>
      </c>
      <c r="C124">
        <f>SUMIFS(tblHourly[Trips],tblHourly[Date],A124)</f>
        <v>32353</v>
      </c>
      <c r="D124" t="str">
        <f>CHOOSE(WEEKDAY(A124,2),"Mon","Tue","Wed","Thu","Fri","Sat","Sun")</f>
        <v>Fri</v>
      </c>
      <c r="E124" t="str">
        <f>IF(WEEKDAY(A124,2)&gt;5,"Weekend","Weekday")</f>
        <v>Weekday</v>
      </c>
      <c r="F124" s="33">
        <f>DATE(YEAR(A124),MONTH(A124),1)</f>
        <v>41852.0</v>
      </c>
      <c r="G124" t="str">
        <f>IF(COUNTIF(HolidayDates,A124)&gt;0,"Yes","No")</f>
        <v>No</v>
      </c>
      <c r="H124" t="str">
        <f>IF(COUNTIF(SpecialDates,A124)&gt;0,"Yes","No")</f>
        <v>No</v>
      </c>
      <c r="I124">
        <f>IF(B124="2015 Jan-Jun",C124,"")</f>
        <v/>
      </c>
      <c r="J124" s="34">
        <f>IF(COUNTIFS(tblDaily[Period],B124,tblDaily[Date],"&lt;="&amp;A124,tblDaily[Date],"&gt;"&amp;(A124-7))=7,AVERAGEIFS(tblDaily[Trips],tblDaily[Period],B124,tblDaily[Date],"&lt;="&amp;A124,tblDaily[Date],"&gt;"&amp;(A124-7)),"")</f>
        <v>28357.428571428572</v>
      </c>
    </row>
    <row r="125" spans="1:10">
      <c r="A125" s="32">
        <v>41853</v>
      </c>
      <c r="B125" t="s">
        <v>303</v>
      </c>
      <c r="C125">
        <f>SUMIFS(tblHourly[Trips],tblHourly[Date],A125)</f>
        <v>28678</v>
      </c>
      <c r="D125" t="str">
        <f>CHOOSE(WEEKDAY(A125,2),"Mon","Tue","Wed","Thu","Fri","Sat","Sun")</f>
        <v>Sat</v>
      </c>
      <c r="E125" t="str">
        <f>IF(WEEKDAY(A125,2)&gt;5,"Weekend","Weekday")</f>
        <v>Weekend</v>
      </c>
      <c r="F125" s="33">
        <f>DATE(YEAR(A125),MONTH(A125),1)</f>
        <v>41852.0</v>
      </c>
      <c r="G125" t="str">
        <f>IF(COUNTIF(HolidayDates,A125)&gt;0,"Yes","No")</f>
        <v>No</v>
      </c>
      <c r="H125" t="str">
        <f>IF(COUNTIF(SpecialDates,A125)&gt;0,"Yes","No")</f>
        <v>No</v>
      </c>
      <c r="I125">
        <f>IF(B125="2015 Jan-Jun",C125,"")</f>
        <v/>
      </c>
      <c r="J125" s="34">
        <f>IF(COUNTIFS(tblDaily[Period],B125,tblDaily[Date],"&lt;="&amp;A125,tblDaily[Date],"&gt;"&amp;(A125-7))=7,AVERAGEIFS(tblDaily[Trips],tblDaily[Period],B125,tblDaily[Date],"&lt;="&amp;A125,tblDaily[Date],"&gt;"&amp;(A125-7)),"")</f>
        <v>28496.0</v>
      </c>
    </row>
    <row r="126" spans="1:10">
      <c r="A126" s="32">
        <v>41854</v>
      </c>
      <c r="B126" t="s">
        <v>303</v>
      </c>
      <c r="C126">
        <f>SUMIFS(tblHourly[Trips],tblHourly[Date],A126)</f>
        <v>23146</v>
      </c>
      <c r="D126" t="str">
        <f>CHOOSE(WEEKDAY(A126,2),"Mon","Tue","Wed","Thu","Fri","Sat","Sun")</f>
        <v>Sun</v>
      </c>
      <c r="E126" t="str">
        <f>IF(WEEKDAY(A126,2)&gt;5,"Weekend","Weekday")</f>
        <v>Weekend</v>
      </c>
      <c r="F126" s="33">
        <f>DATE(YEAR(A126),MONTH(A126),1)</f>
        <v>41852.0</v>
      </c>
      <c r="G126" t="str">
        <f>IF(COUNTIF(HolidayDates,A126)&gt;0,"Yes","No")</f>
        <v>No</v>
      </c>
      <c r="H126" t="str">
        <f>IF(COUNTIF(SpecialDates,A126)&gt;0,"Yes","No")</f>
        <v>No</v>
      </c>
      <c r="I126">
        <f>IF(B126="2015 Jan-Jun",C126,"")</f>
        <v/>
      </c>
      <c r="J126" s="34">
        <f>IF(COUNTIFS(tblDaily[Period],B126,tblDaily[Date],"&lt;="&amp;A126,tblDaily[Date],"&gt;"&amp;(A126-7))=7,AVERAGEIFS(tblDaily[Trips],tblDaily[Period],B126,tblDaily[Date],"&lt;="&amp;A126,tblDaily[Date],"&gt;"&amp;(A126-7)),"")</f>
        <v>28575.428571428572</v>
      </c>
    </row>
    <row r="127" spans="1:10">
      <c r="A127" s="32">
        <v>41855</v>
      </c>
      <c r="B127" t="s">
        <v>303</v>
      </c>
      <c r="C127">
        <f>SUMIFS(tblHourly[Trips],tblHourly[Date],A127)</f>
        <v>24952</v>
      </c>
      <c r="D127" t="str">
        <f>CHOOSE(WEEKDAY(A127,2),"Mon","Tue","Wed","Thu","Fri","Sat","Sun")</f>
        <v>Mon</v>
      </c>
      <c r="E127" t="str">
        <f>IF(WEEKDAY(A127,2)&gt;5,"Weekend","Weekday")</f>
        <v>Weekday</v>
      </c>
      <c r="F127" s="33">
        <f>DATE(YEAR(A127),MONTH(A127),1)</f>
        <v>41852.0</v>
      </c>
      <c r="G127" t="str">
        <f>IF(COUNTIF(HolidayDates,A127)&gt;0,"Yes","No")</f>
        <v>No</v>
      </c>
      <c r="H127" t="str">
        <f>IF(COUNTIF(SpecialDates,A127)&gt;0,"Yes","No")</f>
        <v>No</v>
      </c>
      <c r="I127">
        <f>IF(B127="2015 Jan-Jun",C127,"")</f>
        <v/>
      </c>
      <c r="J127" s="34">
        <f>IF(COUNTIFS(tblDaily[Period],B127,tblDaily[Date],"&lt;="&amp;A127,tblDaily[Date],"&gt;"&amp;(A127-7))=7,AVERAGEIFS(tblDaily[Trips],tblDaily[Period],B127,tblDaily[Date],"&lt;="&amp;A127,tblDaily[Date],"&gt;"&amp;(A127-7)),"")</f>
        <v>28714.14285714286</v>
      </c>
    </row>
    <row r="128" spans="1:10">
      <c r="A128" s="32">
        <v>41856</v>
      </c>
      <c r="B128" t="s">
        <v>303</v>
      </c>
      <c r="C128">
        <f>SUMIFS(tblHourly[Trips],tblHourly[Date],A128)</f>
        <v>28094</v>
      </c>
      <c r="D128" t="str">
        <f>CHOOSE(WEEKDAY(A128,2),"Mon","Tue","Wed","Thu","Fri","Sat","Sun")</f>
        <v>Tue</v>
      </c>
      <c r="E128" t="str">
        <f>IF(WEEKDAY(A128,2)&gt;5,"Weekend","Weekday")</f>
        <v>Weekday</v>
      </c>
      <c r="F128" s="33">
        <f>DATE(YEAR(A128),MONTH(A128),1)</f>
        <v>41852.0</v>
      </c>
      <c r="G128" t="str">
        <f>IF(COUNTIF(HolidayDates,A128)&gt;0,"Yes","No")</f>
        <v>No</v>
      </c>
      <c r="H128" t="str">
        <f>IF(COUNTIF(SpecialDates,A128)&gt;0,"Yes","No")</f>
        <v>No</v>
      </c>
      <c r="I128">
        <f>IF(B128="2015 Jan-Jun",C128,"")</f>
        <v/>
      </c>
      <c r="J128" s="34">
        <f>IF(COUNTIFS(tblDaily[Period],B128,tblDaily[Date],"&lt;="&amp;A128,tblDaily[Date],"&gt;"&amp;(A128-7))=7,AVERAGEIFS(tblDaily[Trips],tblDaily[Period],B128,tblDaily[Date],"&lt;="&amp;A128,tblDaily[Date],"&gt;"&amp;(A128-7)),"")</f>
        <v>28786.285714285714</v>
      </c>
    </row>
    <row r="129" spans="1:10">
      <c r="A129" s="32">
        <v>41857</v>
      </c>
      <c r="B129" t="s">
        <v>303</v>
      </c>
      <c r="C129">
        <f>SUMIFS(tblHourly[Trips],tblHourly[Date],A129)</f>
        <v>30495</v>
      </c>
      <c r="D129" t="str">
        <f>CHOOSE(WEEKDAY(A129,2),"Mon","Tue","Wed","Thu","Fri","Sat","Sun")</f>
        <v>Wed</v>
      </c>
      <c r="E129" t="str">
        <f>IF(WEEKDAY(A129,2)&gt;5,"Weekend","Weekday")</f>
        <v>Weekday</v>
      </c>
      <c r="F129" s="33">
        <f>DATE(YEAR(A129),MONTH(A129),1)</f>
        <v>41852.0</v>
      </c>
      <c r="G129" t="str">
        <f>IF(COUNTIF(HolidayDates,A129)&gt;0,"Yes","No")</f>
        <v>No</v>
      </c>
      <c r="H129" t="str">
        <f>IF(COUNTIF(SpecialDates,A129)&gt;0,"Yes","No")</f>
        <v>No</v>
      </c>
      <c r="I129">
        <f>IF(B129="2015 Jan-Jun",C129,"")</f>
        <v/>
      </c>
      <c r="J129" s="34">
        <f>IF(COUNTIFS(tblDaily[Period],B129,tblDaily[Date],"&lt;="&amp;A129,tblDaily[Date],"&gt;"&amp;(A129-7))=7,AVERAGEIFS(tblDaily[Trips],tblDaily[Period],B129,tblDaily[Date],"&lt;="&amp;A129,tblDaily[Date],"&gt;"&amp;(A129-7)),"")</f>
        <v>28751.285714285714</v>
      </c>
    </row>
    <row r="130" spans="1:10">
      <c r="A130" s="32">
        <v>41858</v>
      </c>
      <c r="B130" t="s">
        <v>303</v>
      </c>
      <c r="C130">
        <f>SUMIFS(tblHourly[Trips],tblHourly[Date],A130)</f>
        <v>32759</v>
      </c>
      <c r="D130" t="str">
        <f>CHOOSE(WEEKDAY(A130,2),"Mon","Tue","Wed","Thu","Fri","Sat","Sun")</f>
        <v>Thu</v>
      </c>
      <c r="E130" t="str">
        <f>IF(WEEKDAY(A130,2)&gt;5,"Weekend","Weekday")</f>
        <v>Weekday</v>
      </c>
      <c r="F130" s="33">
        <f>DATE(YEAR(A130),MONTH(A130),1)</f>
        <v>41852.0</v>
      </c>
      <c r="G130" t="str">
        <f>IF(COUNTIF(HolidayDates,A130)&gt;0,"Yes","No")</f>
        <v>No</v>
      </c>
      <c r="H130" t="str">
        <f>IF(COUNTIF(SpecialDates,A130)&gt;0,"Yes","No")</f>
        <v>No</v>
      </c>
      <c r="I130">
        <f>IF(B130="2015 Jan-Jun",C130,"")</f>
        <v/>
      </c>
      <c r="J130" s="34">
        <f>IF(COUNTIFS(tblDaily[Period],B130,tblDaily[Date],"&lt;="&amp;A130,tblDaily[Date],"&gt;"&amp;(A130-7))=7,AVERAGEIFS(tblDaily[Trips],tblDaily[Period],B130,tblDaily[Date],"&lt;="&amp;A130,tblDaily[Date],"&gt;"&amp;(A130-7)),"")</f>
        <v>28639.571428571428</v>
      </c>
    </row>
    <row r="131" spans="1:10">
      <c r="A131" s="32">
        <v>41859</v>
      </c>
      <c r="B131" t="s">
        <v>303</v>
      </c>
      <c r="C131">
        <f>SUMIFS(tblHourly[Trips],tblHourly[Date],A131)</f>
        <v>30411</v>
      </c>
      <c r="D131" t="str">
        <f>CHOOSE(WEEKDAY(A131,2),"Mon","Tue","Wed","Thu","Fri","Sat","Sun")</f>
        <v>Fri</v>
      </c>
      <c r="E131" t="str">
        <f>IF(WEEKDAY(A131,2)&gt;5,"Weekend","Weekday")</f>
        <v>Weekday</v>
      </c>
      <c r="F131" s="33">
        <f>DATE(YEAR(A131),MONTH(A131),1)</f>
        <v>41852.0</v>
      </c>
      <c r="G131" t="str">
        <f>IF(COUNTIF(HolidayDates,A131)&gt;0,"Yes","No")</f>
        <v>No</v>
      </c>
      <c r="H131" t="str">
        <f>IF(COUNTIF(SpecialDates,A131)&gt;0,"Yes","No")</f>
        <v>No</v>
      </c>
      <c r="I131">
        <f>IF(B131="2015 Jan-Jun",C131,"")</f>
        <v/>
      </c>
      <c r="J131" s="34">
        <f>IF(COUNTIFS(tblDaily[Period],B131,tblDaily[Date],"&lt;="&amp;A131,tblDaily[Date],"&gt;"&amp;(A131-7))=7,AVERAGEIFS(tblDaily[Trips],tblDaily[Period],B131,tblDaily[Date],"&lt;="&amp;A131,tblDaily[Date],"&gt;"&amp;(A131-7)),"")</f>
        <v>28362.14285714286</v>
      </c>
    </row>
    <row r="132" spans="1:10">
      <c r="A132" s="32">
        <v>41860</v>
      </c>
      <c r="B132" t="s">
        <v>303</v>
      </c>
      <c r="C132">
        <f>SUMIFS(tblHourly[Trips],tblHourly[Date],A132)</f>
        <v>26286</v>
      </c>
      <c r="D132" t="str">
        <f>CHOOSE(WEEKDAY(A132,2),"Mon","Tue","Wed","Thu","Fri","Sat","Sun")</f>
        <v>Sat</v>
      </c>
      <c r="E132" t="str">
        <f>IF(WEEKDAY(A132,2)&gt;5,"Weekend","Weekday")</f>
        <v>Weekend</v>
      </c>
      <c r="F132" s="33">
        <f>DATE(YEAR(A132),MONTH(A132),1)</f>
        <v>41852.0</v>
      </c>
      <c r="G132" t="str">
        <f>IF(COUNTIF(HolidayDates,A132)&gt;0,"Yes","No")</f>
        <v>No</v>
      </c>
      <c r="H132" t="str">
        <f>IF(COUNTIF(SpecialDates,A132)&gt;0,"Yes","No")</f>
        <v>No</v>
      </c>
      <c r="I132">
        <f>IF(B132="2015 Jan-Jun",C132,"")</f>
        <v/>
      </c>
      <c r="J132" s="34">
        <f>IF(COUNTIFS(tblDaily[Period],B132,tblDaily[Date],"&lt;="&amp;A132,tblDaily[Date],"&gt;"&amp;(A132-7))=7,AVERAGEIFS(tblDaily[Trips],tblDaily[Period],B132,tblDaily[Date],"&lt;="&amp;A132,tblDaily[Date],"&gt;"&amp;(A132-7)),"")</f>
        <v>28020.428571428572</v>
      </c>
    </row>
    <row r="133" spans="1:10">
      <c r="A133" s="32">
        <v>41861</v>
      </c>
      <c r="B133" t="s">
        <v>303</v>
      </c>
      <c r="C133">
        <f>SUMIFS(tblHourly[Trips],tblHourly[Date],A133)</f>
        <v>20584</v>
      </c>
      <c r="D133" t="str">
        <f>CHOOSE(WEEKDAY(A133,2),"Mon","Tue","Wed","Thu","Fri","Sat","Sun")</f>
        <v>Sun</v>
      </c>
      <c r="E133" t="str">
        <f>IF(WEEKDAY(A133,2)&gt;5,"Weekend","Weekday")</f>
        <v>Weekend</v>
      </c>
      <c r="F133" s="33">
        <f>DATE(YEAR(A133),MONTH(A133),1)</f>
        <v>41852.0</v>
      </c>
      <c r="G133" t="str">
        <f>IF(COUNTIF(HolidayDates,A133)&gt;0,"Yes","No")</f>
        <v>No</v>
      </c>
      <c r="H133" t="str">
        <f>IF(COUNTIF(SpecialDates,A133)&gt;0,"Yes","No")</f>
        <v>No</v>
      </c>
      <c r="I133">
        <f>IF(B133="2015 Jan-Jun",C133,"")</f>
        <v/>
      </c>
      <c r="J133" s="34">
        <f>IF(COUNTIFS(tblDaily[Period],B133,tblDaily[Date],"&lt;="&amp;A133,tblDaily[Date],"&gt;"&amp;(A133-7))=7,AVERAGEIFS(tblDaily[Trips],tblDaily[Period],B133,tblDaily[Date],"&lt;="&amp;A133,tblDaily[Date],"&gt;"&amp;(A133-7)),"")</f>
        <v>27654.428571428572</v>
      </c>
    </row>
    <row r="134" spans="1:10">
      <c r="A134" s="32">
        <v>41862</v>
      </c>
      <c r="B134" t="s">
        <v>303</v>
      </c>
      <c r="C134">
        <f>SUMIFS(tblHourly[Trips],tblHourly[Date],A134)</f>
        <v>22632</v>
      </c>
      <c r="D134" t="str">
        <f>CHOOSE(WEEKDAY(A134,2),"Mon","Tue","Wed","Thu","Fri","Sat","Sun")</f>
        <v>Mon</v>
      </c>
      <c r="E134" t="str">
        <f>IF(WEEKDAY(A134,2)&gt;5,"Weekend","Weekday")</f>
        <v>Weekday</v>
      </c>
      <c r="F134" s="33">
        <f>DATE(YEAR(A134),MONTH(A134),1)</f>
        <v>41852.0</v>
      </c>
      <c r="G134" t="str">
        <f>IF(COUNTIF(HolidayDates,A134)&gt;0,"Yes","No")</f>
        <v>No</v>
      </c>
      <c r="H134" t="str">
        <f>IF(COUNTIF(SpecialDates,A134)&gt;0,"Yes","No")</f>
        <v>No</v>
      </c>
      <c r="I134">
        <f>IF(B134="2015 Jan-Jun",C134,"")</f>
        <v/>
      </c>
      <c r="J134" s="34">
        <f>IF(COUNTIFS(tblDaily[Period],B134,tblDaily[Date],"&lt;="&amp;A134,tblDaily[Date],"&gt;"&amp;(A134-7))=7,AVERAGEIFS(tblDaily[Trips],tblDaily[Period],B134,tblDaily[Date],"&lt;="&amp;A134,tblDaily[Date],"&gt;"&amp;(A134-7)),"")</f>
        <v>27323.0</v>
      </c>
    </row>
    <row r="135" spans="1:10">
      <c r="A135" s="32">
        <v>41863</v>
      </c>
      <c r="B135" t="s">
        <v>303</v>
      </c>
      <c r="C135">
        <f>SUMIFS(tblHourly[Trips],tblHourly[Date],A135)</f>
        <v>29646</v>
      </c>
      <c r="D135" t="str">
        <f>CHOOSE(WEEKDAY(A135,2),"Mon","Tue","Wed","Thu","Fri","Sat","Sun")</f>
        <v>Tue</v>
      </c>
      <c r="E135" t="str">
        <f>IF(WEEKDAY(A135,2)&gt;5,"Weekend","Weekday")</f>
        <v>Weekday</v>
      </c>
      <c r="F135" s="33">
        <f>DATE(YEAR(A135),MONTH(A135),1)</f>
        <v>41852.0</v>
      </c>
      <c r="G135" t="str">
        <f>IF(COUNTIF(HolidayDates,A135)&gt;0,"Yes","No")</f>
        <v>No</v>
      </c>
      <c r="H135" t="str">
        <f>IF(COUNTIF(SpecialDates,A135)&gt;0,"Yes","No")</f>
        <v>No</v>
      </c>
      <c r="I135">
        <f>IF(B135="2015 Jan-Jun",C135,"")</f>
        <v/>
      </c>
      <c r="J135" s="34">
        <f>IF(COUNTIFS(tblDaily[Period],B135,tblDaily[Date],"&lt;="&amp;A135,tblDaily[Date],"&gt;"&amp;(A135-7))=7,AVERAGEIFS(tblDaily[Trips],tblDaily[Period],B135,tblDaily[Date],"&lt;="&amp;A135,tblDaily[Date],"&gt;"&amp;(A135-7)),"")</f>
        <v>27544.714285714286</v>
      </c>
    </row>
    <row r="136" spans="1:10">
      <c r="A136" s="32">
        <v>41864</v>
      </c>
      <c r="B136" t="s">
        <v>303</v>
      </c>
      <c r="C136">
        <f>SUMIFS(tblHourly[Trips],tblHourly[Date],A136)</f>
        <v>29788</v>
      </c>
      <c r="D136" t="str">
        <f>CHOOSE(WEEKDAY(A136,2),"Mon","Tue","Wed","Thu","Fri","Sat","Sun")</f>
        <v>Wed</v>
      </c>
      <c r="E136" t="str">
        <f>IF(WEEKDAY(A136,2)&gt;5,"Weekend","Weekday")</f>
        <v>Weekday</v>
      </c>
      <c r="F136" s="33">
        <f>DATE(YEAR(A136),MONTH(A136),1)</f>
        <v>41852.0</v>
      </c>
      <c r="G136" t="str">
        <f>IF(COUNTIF(HolidayDates,A136)&gt;0,"Yes","No")</f>
        <v>No</v>
      </c>
      <c r="H136" t="str">
        <f>IF(COUNTIF(SpecialDates,A136)&gt;0,"Yes","No")</f>
        <v>No</v>
      </c>
      <c r="I136">
        <f>IF(B136="2015 Jan-Jun",C136,"")</f>
        <v/>
      </c>
      <c r="J136" s="34">
        <f>IF(COUNTIFS(tblDaily[Period],B136,tblDaily[Date],"&lt;="&amp;A136,tblDaily[Date],"&gt;"&amp;(A136-7))=7,AVERAGEIFS(tblDaily[Trips],tblDaily[Period],B136,tblDaily[Date],"&lt;="&amp;A136,tblDaily[Date],"&gt;"&amp;(A136-7)),"")</f>
        <v>27443.714285714286</v>
      </c>
    </row>
    <row r="137" spans="1:10">
      <c r="A137" s="32">
        <v>41865</v>
      </c>
      <c r="B137" t="s">
        <v>303</v>
      </c>
      <c r="C137">
        <f>SUMIFS(tblHourly[Trips],tblHourly[Date],A137)</f>
        <v>30457</v>
      </c>
      <c r="D137" t="str">
        <f>CHOOSE(WEEKDAY(A137,2),"Mon","Tue","Wed","Thu","Fri","Sat","Sun")</f>
        <v>Thu</v>
      </c>
      <c r="E137" t="str">
        <f>IF(WEEKDAY(A137,2)&gt;5,"Weekend","Weekday")</f>
        <v>Weekday</v>
      </c>
      <c r="F137" s="33">
        <f>DATE(YEAR(A137),MONTH(A137),1)</f>
        <v>41852.0</v>
      </c>
      <c r="G137" t="str">
        <f>IF(COUNTIF(HolidayDates,A137)&gt;0,"Yes","No")</f>
        <v>No</v>
      </c>
      <c r="H137" t="str">
        <f>IF(COUNTIF(SpecialDates,A137)&gt;0,"Yes","No")</f>
        <v>No</v>
      </c>
      <c r="I137">
        <f>IF(B137="2015 Jan-Jun",C137,"")</f>
        <v/>
      </c>
      <c r="J137" s="34">
        <f>IF(COUNTIFS(tblDaily[Period],B137,tblDaily[Date],"&lt;="&amp;A137,tblDaily[Date],"&gt;"&amp;(A137-7))=7,AVERAGEIFS(tblDaily[Trips],tblDaily[Period],B137,tblDaily[Date],"&lt;="&amp;A137,tblDaily[Date],"&gt;"&amp;(A137-7)),"")</f>
        <v>27114.85714285714</v>
      </c>
    </row>
    <row r="138" spans="1:10">
      <c r="A138" s="32">
        <v>41866</v>
      </c>
      <c r="B138" t="s">
        <v>303</v>
      </c>
      <c r="C138">
        <f>SUMIFS(tblHourly[Trips],tblHourly[Date],A138)</f>
        <v>28974</v>
      </c>
      <c r="D138" t="str">
        <f>CHOOSE(WEEKDAY(A138,2),"Mon","Tue","Wed","Thu","Fri","Sat","Sun")</f>
        <v>Fri</v>
      </c>
      <c r="E138" t="str">
        <f>IF(WEEKDAY(A138,2)&gt;5,"Weekend","Weekday")</f>
        <v>Weekday</v>
      </c>
      <c r="F138" s="33">
        <f>DATE(YEAR(A138),MONTH(A138),1)</f>
        <v>41852.0</v>
      </c>
      <c r="G138" t="str">
        <f>IF(COUNTIF(HolidayDates,A138)&gt;0,"Yes","No")</f>
        <v>No</v>
      </c>
      <c r="H138" t="str">
        <f>IF(COUNTIF(SpecialDates,A138)&gt;0,"Yes","No")</f>
        <v>No</v>
      </c>
      <c r="I138">
        <f>IF(B138="2015 Jan-Jun",C138,"")</f>
        <v/>
      </c>
      <c r="J138" s="34">
        <f>IF(COUNTIFS(tblDaily[Period],B138,tblDaily[Date],"&lt;="&amp;A138,tblDaily[Date],"&gt;"&amp;(A138-7))=7,AVERAGEIFS(tblDaily[Trips],tblDaily[Period],B138,tblDaily[Date],"&lt;="&amp;A138,tblDaily[Date],"&gt;"&amp;(A138-7)),"")</f>
        <v>26909.571428571428</v>
      </c>
    </row>
    <row r="139" spans="1:10">
      <c r="A139" s="32">
        <v>41867</v>
      </c>
      <c r="B139" t="s">
        <v>303</v>
      </c>
      <c r="C139">
        <f>SUMIFS(tblHourly[Trips],tblHourly[Date],A139)</f>
        <v>26234</v>
      </c>
      <c r="D139" t="str">
        <f>CHOOSE(WEEKDAY(A139,2),"Mon","Tue","Wed","Thu","Fri","Sat","Sun")</f>
        <v>Sat</v>
      </c>
      <c r="E139" t="str">
        <f>IF(WEEKDAY(A139,2)&gt;5,"Weekend","Weekday")</f>
        <v>Weekend</v>
      </c>
      <c r="F139" s="33">
        <f>DATE(YEAR(A139),MONTH(A139),1)</f>
        <v>41852.0</v>
      </c>
      <c r="G139" t="str">
        <f>IF(COUNTIF(HolidayDates,A139)&gt;0,"Yes","No")</f>
        <v>No</v>
      </c>
      <c r="H139" t="str">
        <f>IF(COUNTIF(SpecialDates,A139)&gt;0,"Yes","No")</f>
        <v>No</v>
      </c>
      <c r="I139">
        <f>IF(B139="2015 Jan-Jun",C139,"")</f>
        <v/>
      </c>
      <c r="J139" s="34">
        <f>IF(COUNTIFS(tblDaily[Period],B139,tblDaily[Date],"&lt;="&amp;A139,tblDaily[Date],"&gt;"&amp;(A139-7))=7,AVERAGEIFS(tblDaily[Trips],tblDaily[Period],B139,tblDaily[Date],"&lt;="&amp;A139,tblDaily[Date],"&gt;"&amp;(A139-7)),"")</f>
        <v>26902.14285714286</v>
      </c>
    </row>
    <row r="140" spans="1:10">
      <c r="A140" s="32">
        <v>41868</v>
      </c>
      <c r="B140" t="s">
        <v>303</v>
      </c>
      <c r="C140">
        <f>SUMIFS(tblHourly[Trips],tblHourly[Date],A140)</f>
        <v>21209</v>
      </c>
      <c r="D140" t="str">
        <f>CHOOSE(WEEKDAY(A140,2),"Mon","Tue","Wed","Thu","Fri","Sat","Sun")</f>
        <v>Sun</v>
      </c>
      <c r="E140" t="str">
        <f>IF(WEEKDAY(A140,2)&gt;5,"Weekend","Weekday")</f>
        <v>Weekend</v>
      </c>
      <c r="F140" s="33">
        <f>DATE(YEAR(A140),MONTH(A140),1)</f>
        <v>41852.0</v>
      </c>
      <c r="G140" t="str">
        <f>IF(COUNTIF(HolidayDates,A140)&gt;0,"Yes","No")</f>
        <v>No</v>
      </c>
      <c r="H140" t="str">
        <f>IF(COUNTIF(SpecialDates,A140)&gt;0,"Yes","No")</f>
        <v>No</v>
      </c>
      <c r="I140">
        <f>IF(B140="2015 Jan-Jun",C140,"")</f>
        <v/>
      </c>
      <c r="J140" s="34">
        <f>IF(COUNTIFS(tblDaily[Period],B140,tblDaily[Date],"&lt;="&amp;A140,tblDaily[Date],"&gt;"&amp;(A140-7))=7,AVERAGEIFS(tblDaily[Trips],tblDaily[Period],B140,tblDaily[Date],"&lt;="&amp;A140,tblDaily[Date],"&gt;"&amp;(A140-7)),"")</f>
        <v>26991.428571428572</v>
      </c>
    </row>
    <row r="141" spans="1:10">
      <c r="A141" s="32">
        <v>41869</v>
      </c>
      <c r="B141" t="s">
        <v>303</v>
      </c>
      <c r="C141">
        <f>SUMIFS(tblHourly[Trips],tblHourly[Date],A141)</f>
        <v>21956</v>
      </c>
      <c r="D141" t="str">
        <f>CHOOSE(WEEKDAY(A141,2),"Mon","Tue","Wed","Thu","Fri","Sat","Sun")</f>
        <v>Mon</v>
      </c>
      <c r="E141" t="str">
        <f>IF(WEEKDAY(A141,2)&gt;5,"Weekend","Weekday")</f>
        <v>Weekday</v>
      </c>
      <c r="F141" s="33">
        <f>DATE(YEAR(A141),MONTH(A141),1)</f>
        <v>41852.0</v>
      </c>
      <c r="G141" t="str">
        <f>IF(COUNTIF(HolidayDates,A141)&gt;0,"Yes","No")</f>
        <v>No</v>
      </c>
      <c r="H141" t="str">
        <f>IF(COUNTIF(SpecialDates,A141)&gt;0,"Yes","No")</f>
        <v>No</v>
      </c>
      <c r="I141">
        <f>IF(B141="2015 Jan-Jun",C141,"")</f>
        <v/>
      </c>
      <c r="J141" s="34">
        <f>IF(COUNTIFS(tblDaily[Period],B141,tblDaily[Date],"&lt;="&amp;A141,tblDaily[Date],"&gt;"&amp;(A141-7))=7,AVERAGEIFS(tblDaily[Trips],tblDaily[Period],B141,tblDaily[Date],"&lt;="&amp;A141,tblDaily[Date],"&gt;"&amp;(A141-7)),"")</f>
        <v>26894.85714285714</v>
      </c>
    </row>
    <row r="142" spans="1:10">
      <c r="A142" s="32">
        <v>41870</v>
      </c>
      <c r="B142" t="s">
        <v>303</v>
      </c>
      <c r="C142">
        <f>SUMIFS(tblHourly[Trips],tblHourly[Date],A142)</f>
        <v>24834</v>
      </c>
      <c r="D142" t="str">
        <f>CHOOSE(WEEKDAY(A142,2),"Mon","Tue","Wed","Thu","Fri","Sat","Sun")</f>
        <v>Tue</v>
      </c>
      <c r="E142" t="str">
        <f>IF(WEEKDAY(A142,2)&gt;5,"Weekend","Weekday")</f>
        <v>Weekday</v>
      </c>
      <c r="F142" s="33">
        <f>DATE(YEAR(A142),MONTH(A142),1)</f>
        <v>41852.0</v>
      </c>
      <c r="G142" t="str">
        <f>IF(COUNTIF(HolidayDates,A142)&gt;0,"Yes","No")</f>
        <v>No</v>
      </c>
      <c r="H142" t="str">
        <f>IF(COUNTIF(SpecialDates,A142)&gt;0,"Yes","No")</f>
        <v>No</v>
      </c>
      <c r="I142">
        <f>IF(B142="2015 Jan-Jun",C142,"")</f>
        <v/>
      </c>
      <c r="J142" s="34">
        <f>IF(COUNTIFS(tblDaily[Period],B142,tblDaily[Date],"&lt;="&amp;A142,tblDaily[Date],"&gt;"&amp;(A142-7))=7,AVERAGEIFS(tblDaily[Trips],tblDaily[Period],B142,tblDaily[Date],"&lt;="&amp;A142,tblDaily[Date],"&gt;"&amp;(A142-7)),"")</f>
        <v>26207.428571428572</v>
      </c>
    </row>
    <row r="143" spans="1:10">
      <c r="A143" s="32">
        <v>41871</v>
      </c>
      <c r="B143" t="s">
        <v>303</v>
      </c>
      <c r="C143">
        <f>SUMIFS(tblHourly[Trips],tblHourly[Date],A143)</f>
        <v>27955</v>
      </c>
      <c r="D143" t="str">
        <f>CHOOSE(WEEKDAY(A143,2),"Mon","Tue","Wed","Thu","Fri","Sat","Sun")</f>
        <v>Wed</v>
      </c>
      <c r="E143" t="str">
        <f>IF(WEEKDAY(A143,2)&gt;5,"Weekend","Weekday")</f>
        <v>Weekday</v>
      </c>
      <c r="F143" s="33">
        <f>DATE(YEAR(A143),MONTH(A143),1)</f>
        <v>41852.0</v>
      </c>
      <c r="G143" t="str">
        <f>IF(COUNTIF(HolidayDates,A143)&gt;0,"Yes","No")</f>
        <v>No</v>
      </c>
      <c r="H143" t="str">
        <f>IF(COUNTIF(SpecialDates,A143)&gt;0,"Yes","No")</f>
        <v>No</v>
      </c>
      <c r="I143">
        <f>IF(B143="2015 Jan-Jun",C143,"")</f>
        <v/>
      </c>
      <c r="J143" s="34">
        <f>IF(COUNTIFS(tblDaily[Period],B143,tblDaily[Date],"&lt;="&amp;A143,tblDaily[Date],"&gt;"&amp;(A143-7))=7,AVERAGEIFS(tblDaily[Trips],tblDaily[Period],B143,tblDaily[Date],"&lt;="&amp;A143,tblDaily[Date],"&gt;"&amp;(A143-7)),"")</f>
        <v>25945.571428571428</v>
      </c>
    </row>
    <row r="144" spans="1:10">
      <c r="A144" s="32">
        <v>41872</v>
      </c>
      <c r="B144" t="s">
        <v>303</v>
      </c>
      <c r="C144">
        <f>SUMIFS(tblHourly[Trips],tblHourly[Date],A144)</f>
        <v>32304</v>
      </c>
      <c r="D144" t="str">
        <f>CHOOSE(WEEKDAY(A144,2),"Mon","Tue","Wed","Thu","Fri","Sat","Sun")</f>
        <v>Thu</v>
      </c>
      <c r="E144" t="str">
        <f>IF(WEEKDAY(A144,2)&gt;5,"Weekend","Weekday")</f>
        <v>Weekday</v>
      </c>
      <c r="F144" s="33">
        <f>DATE(YEAR(A144),MONTH(A144),1)</f>
        <v>41852.0</v>
      </c>
      <c r="G144" t="str">
        <f>IF(COUNTIF(HolidayDates,A144)&gt;0,"Yes","No")</f>
        <v>No</v>
      </c>
      <c r="H144" t="str">
        <f>IF(COUNTIF(SpecialDates,A144)&gt;0,"Yes","No")</f>
        <v>No</v>
      </c>
      <c r="I144">
        <f>IF(B144="2015 Jan-Jun",C144,"")</f>
        <v/>
      </c>
      <c r="J144" s="34">
        <f>IF(COUNTIFS(tblDaily[Period],B144,tblDaily[Date],"&lt;="&amp;A144,tblDaily[Date],"&gt;"&amp;(A144-7))=7,AVERAGEIFS(tblDaily[Trips],tblDaily[Period],B144,tblDaily[Date],"&lt;="&amp;A144,tblDaily[Date],"&gt;"&amp;(A144-7)),"")</f>
        <v>26209.428571428572</v>
      </c>
    </row>
    <row r="145" spans="1:10">
      <c r="A145" s="32">
        <v>41873</v>
      </c>
      <c r="B145" t="s">
        <v>303</v>
      </c>
      <c r="C145">
        <f>SUMIFS(tblHourly[Trips],tblHourly[Date],A145)</f>
        <v>29512</v>
      </c>
      <c r="D145" t="str">
        <f>CHOOSE(WEEKDAY(A145,2),"Mon","Tue","Wed","Thu","Fri","Sat","Sun")</f>
        <v>Fri</v>
      </c>
      <c r="E145" t="str">
        <f>IF(WEEKDAY(A145,2)&gt;5,"Weekend","Weekday")</f>
        <v>Weekday</v>
      </c>
      <c r="F145" s="33">
        <f>DATE(YEAR(A145),MONTH(A145),1)</f>
        <v>41852.0</v>
      </c>
      <c r="G145" t="str">
        <f>IF(COUNTIF(HolidayDates,A145)&gt;0,"Yes","No")</f>
        <v>No</v>
      </c>
      <c r="H145" t="str">
        <f>IF(COUNTIF(SpecialDates,A145)&gt;0,"Yes","No")</f>
        <v>No</v>
      </c>
      <c r="I145">
        <f>IF(B145="2015 Jan-Jun",C145,"")</f>
        <v/>
      </c>
      <c r="J145" s="34">
        <f>IF(COUNTIFS(tblDaily[Period],B145,tblDaily[Date],"&lt;="&amp;A145,tblDaily[Date],"&gt;"&amp;(A145-7))=7,AVERAGEIFS(tblDaily[Trips],tblDaily[Period],B145,tblDaily[Date],"&lt;="&amp;A145,tblDaily[Date],"&gt;"&amp;(A145-7)),"")</f>
        <v>26286.285714285714</v>
      </c>
    </row>
    <row r="146" spans="1:10">
      <c r="A146" s="32">
        <v>41874</v>
      </c>
      <c r="B146" t="s">
        <v>303</v>
      </c>
      <c r="C146">
        <f>SUMIFS(tblHourly[Trips],tblHourly[Date],A146)</f>
        <v>27097</v>
      </c>
      <c r="D146" t="str">
        <f>CHOOSE(WEEKDAY(A146,2),"Mon","Tue","Wed","Thu","Fri","Sat","Sun")</f>
        <v>Sat</v>
      </c>
      <c r="E146" t="str">
        <f>IF(WEEKDAY(A146,2)&gt;5,"Weekend","Weekday")</f>
        <v>Weekend</v>
      </c>
      <c r="F146" s="33">
        <f>DATE(YEAR(A146),MONTH(A146),1)</f>
        <v>41852.0</v>
      </c>
      <c r="G146" t="str">
        <f>IF(COUNTIF(HolidayDates,A146)&gt;0,"Yes","No")</f>
        <v>No</v>
      </c>
      <c r="H146" t="str">
        <f>IF(COUNTIF(SpecialDates,A146)&gt;0,"Yes","No")</f>
        <v>No</v>
      </c>
      <c r="I146">
        <f>IF(B146="2015 Jan-Jun",C146,"")</f>
        <v/>
      </c>
      <c r="J146" s="34">
        <f>IF(COUNTIFS(tblDaily[Period],B146,tblDaily[Date],"&lt;="&amp;A146,tblDaily[Date],"&gt;"&amp;(A146-7))=7,AVERAGEIFS(tblDaily[Trips],tblDaily[Period],B146,tblDaily[Date],"&lt;="&amp;A146,tblDaily[Date],"&gt;"&amp;(A146-7)),"")</f>
        <v>26409.571428571428</v>
      </c>
    </row>
    <row r="147" spans="1:10">
      <c r="A147" s="32">
        <v>41875</v>
      </c>
      <c r="B147" t="s">
        <v>303</v>
      </c>
      <c r="C147">
        <f>SUMIFS(tblHourly[Trips],tblHourly[Date],A147)</f>
        <v>22036</v>
      </c>
      <c r="D147" t="str">
        <f>CHOOSE(WEEKDAY(A147,2),"Mon","Tue","Wed","Thu","Fri","Sat","Sun")</f>
        <v>Sun</v>
      </c>
      <c r="E147" t="str">
        <f>IF(WEEKDAY(A147,2)&gt;5,"Weekend","Weekday")</f>
        <v>Weekend</v>
      </c>
      <c r="F147" s="33">
        <f>DATE(YEAR(A147),MONTH(A147),1)</f>
        <v>41852.0</v>
      </c>
      <c r="G147" t="str">
        <f>IF(COUNTIF(HolidayDates,A147)&gt;0,"Yes","No")</f>
        <v>No</v>
      </c>
      <c r="H147" t="str">
        <f>IF(COUNTIF(SpecialDates,A147)&gt;0,"Yes","No")</f>
        <v>No</v>
      </c>
      <c r="I147">
        <f>IF(B147="2015 Jan-Jun",C147,"")</f>
        <v/>
      </c>
      <c r="J147" s="34">
        <f>IF(COUNTIFS(tblDaily[Period],B147,tblDaily[Date],"&lt;="&amp;A147,tblDaily[Date],"&gt;"&amp;(A147-7))=7,AVERAGEIFS(tblDaily[Trips],tblDaily[Period],B147,tblDaily[Date],"&lt;="&amp;A147,tblDaily[Date],"&gt;"&amp;(A147-7)),"")</f>
        <v>26527.714285714286</v>
      </c>
    </row>
    <row r="148" spans="1:10">
      <c r="A148" s="32">
        <v>41876</v>
      </c>
      <c r="B148" t="s">
        <v>303</v>
      </c>
      <c r="C148">
        <f>SUMIFS(tblHourly[Trips],tblHourly[Date],A148)</f>
        <v>22093</v>
      </c>
      <c r="D148" t="str">
        <f>CHOOSE(WEEKDAY(A148,2),"Mon","Tue","Wed","Thu","Fri","Sat","Sun")</f>
        <v>Mon</v>
      </c>
      <c r="E148" t="str">
        <f>IF(WEEKDAY(A148,2)&gt;5,"Weekend","Weekday")</f>
        <v>Weekday</v>
      </c>
      <c r="F148" s="33">
        <f>DATE(YEAR(A148),MONTH(A148),1)</f>
        <v>41852.0</v>
      </c>
      <c r="G148" t="str">
        <f>IF(COUNTIF(HolidayDates,A148)&gt;0,"Yes","No")</f>
        <v>No</v>
      </c>
      <c r="H148" t="str">
        <f>IF(COUNTIF(SpecialDates,A148)&gt;0,"Yes","No")</f>
        <v>No</v>
      </c>
      <c r="I148">
        <f>IF(B148="2015 Jan-Jun",C148,"")</f>
        <v/>
      </c>
      <c r="J148" s="34">
        <f>IF(COUNTIFS(tblDaily[Period],B148,tblDaily[Date],"&lt;="&amp;A148,tblDaily[Date],"&gt;"&amp;(A148-7))=7,AVERAGEIFS(tblDaily[Trips],tblDaily[Period],B148,tblDaily[Date],"&lt;="&amp;A148,tblDaily[Date],"&gt;"&amp;(A148-7)),"")</f>
        <v>26547.285714285714</v>
      </c>
    </row>
    <row r="149" spans="1:10">
      <c r="A149" s="32">
        <v>41877</v>
      </c>
      <c r="B149" t="s">
        <v>303</v>
      </c>
      <c r="C149">
        <f>SUMIFS(tblHourly[Trips],tblHourly[Date],A149)</f>
        <v>24550</v>
      </c>
      <c r="D149" t="str">
        <f>CHOOSE(WEEKDAY(A149,2),"Mon","Tue","Wed","Thu","Fri","Sat","Sun")</f>
        <v>Tue</v>
      </c>
      <c r="E149" t="str">
        <f>IF(WEEKDAY(A149,2)&gt;5,"Weekend","Weekday")</f>
        <v>Weekday</v>
      </c>
      <c r="F149" s="33">
        <f>DATE(YEAR(A149),MONTH(A149),1)</f>
        <v>41852.0</v>
      </c>
      <c r="G149" t="str">
        <f>IF(COUNTIF(HolidayDates,A149)&gt;0,"Yes","No")</f>
        <v>No</v>
      </c>
      <c r="H149" t="str">
        <f>IF(COUNTIF(SpecialDates,A149)&gt;0,"Yes","No")</f>
        <v>No</v>
      </c>
      <c r="I149">
        <f>IF(B149="2015 Jan-Jun",C149,"")</f>
        <v/>
      </c>
      <c r="J149" s="34">
        <f>IF(COUNTIFS(tblDaily[Period],B149,tblDaily[Date],"&lt;="&amp;A149,tblDaily[Date],"&gt;"&amp;(A149-7))=7,AVERAGEIFS(tblDaily[Trips],tblDaily[Period],B149,tblDaily[Date],"&lt;="&amp;A149,tblDaily[Date],"&gt;"&amp;(A149-7)),"")</f>
        <v>26506.714285714286</v>
      </c>
    </row>
    <row r="150" spans="1:10">
      <c r="A150" s="32">
        <v>41878</v>
      </c>
      <c r="B150" t="s">
        <v>303</v>
      </c>
      <c r="C150">
        <f>SUMIFS(tblHourly[Trips],tblHourly[Date],A150)</f>
        <v>27018</v>
      </c>
      <c r="D150" t="str">
        <f>CHOOSE(WEEKDAY(A150,2),"Mon","Tue","Wed","Thu","Fri","Sat","Sun")</f>
        <v>Wed</v>
      </c>
      <c r="E150" t="str">
        <f>IF(WEEKDAY(A150,2)&gt;5,"Weekend","Weekday")</f>
        <v>Weekday</v>
      </c>
      <c r="F150" s="33">
        <f>DATE(YEAR(A150),MONTH(A150),1)</f>
        <v>41852.0</v>
      </c>
      <c r="G150" t="str">
        <f>IF(COUNTIF(HolidayDates,A150)&gt;0,"Yes","No")</f>
        <v>No</v>
      </c>
      <c r="H150" t="str">
        <f>IF(COUNTIF(SpecialDates,A150)&gt;0,"Yes","No")</f>
        <v>No</v>
      </c>
      <c r="I150">
        <f>IF(B150="2015 Jan-Jun",C150,"")</f>
        <v/>
      </c>
      <c r="J150" s="34">
        <f>IF(COUNTIFS(tblDaily[Period],B150,tblDaily[Date],"&lt;="&amp;A150,tblDaily[Date],"&gt;"&amp;(A150-7))=7,AVERAGEIFS(tblDaily[Trips],tblDaily[Period],B150,tblDaily[Date],"&lt;="&amp;A150,tblDaily[Date],"&gt;"&amp;(A150-7)),"")</f>
        <v>26372.85714285714</v>
      </c>
    </row>
    <row r="151" spans="1:10">
      <c r="A151" s="32">
        <v>41879</v>
      </c>
      <c r="B151" t="s">
        <v>303</v>
      </c>
      <c r="C151">
        <f>SUMIFS(tblHourly[Trips],tblHourly[Date],A151)</f>
        <v>28597</v>
      </c>
      <c r="D151" t="str">
        <f>CHOOSE(WEEKDAY(A151,2),"Mon","Tue","Wed","Thu","Fri","Sat","Sun")</f>
        <v>Thu</v>
      </c>
      <c r="E151" t="str">
        <f>IF(WEEKDAY(A151,2)&gt;5,"Weekend","Weekday")</f>
        <v>Weekday</v>
      </c>
      <c r="F151" s="33">
        <f>DATE(YEAR(A151),MONTH(A151),1)</f>
        <v>41852.0</v>
      </c>
      <c r="G151" t="str">
        <f>IF(COUNTIF(HolidayDates,A151)&gt;0,"Yes","No")</f>
        <v>No</v>
      </c>
      <c r="H151" t="str">
        <f>IF(COUNTIF(SpecialDates,A151)&gt;0,"Yes","No")</f>
        <v>No</v>
      </c>
      <c r="I151">
        <f>IF(B151="2015 Jan-Jun",C151,"")</f>
        <v/>
      </c>
      <c r="J151" s="34">
        <f>IF(COUNTIFS(tblDaily[Period],B151,tblDaily[Date],"&lt;="&amp;A151,tblDaily[Date],"&gt;"&amp;(A151-7))=7,AVERAGEIFS(tblDaily[Trips],tblDaily[Period],B151,tblDaily[Date],"&lt;="&amp;A151,tblDaily[Date],"&gt;"&amp;(A151-7)),"")</f>
        <v>25843.285714285714</v>
      </c>
    </row>
    <row r="152" spans="1:10">
      <c r="A152" s="32">
        <v>41880</v>
      </c>
      <c r="B152" t="s">
        <v>303</v>
      </c>
      <c r="C152">
        <f>SUMIFS(tblHourly[Trips],tblHourly[Date],A152)</f>
        <v>27424</v>
      </c>
      <c r="D152" t="str">
        <f>CHOOSE(WEEKDAY(A152,2),"Mon","Tue","Wed","Thu","Fri","Sat","Sun")</f>
        <v>Fri</v>
      </c>
      <c r="E152" t="str">
        <f>IF(WEEKDAY(A152,2)&gt;5,"Weekend","Weekday")</f>
        <v>Weekday</v>
      </c>
      <c r="F152" s="33">
        <f>DATE(YEAR(A152),MONTH(A152),1)</f>
        <v>41852.0</v>
      </c>
      <c r="G152" t="str">
        <f>IF(COUNTIF(HolidayDates,A152)&gt;0,"Yes","No")</f>
        <v>No</v>
      </c>
      <c r="H152" t="str">
        <f>IF(COUNTIF(SpecialDates,A152)&gt;0,"Yes","No")</f>
        <v>No</v>
      </c>
      <c r="I152">
        <f>IF(B152="2015 Jan-Jun",C152,"")</f>
        <v/>
      </c>
      <c r="J152" s="34">
        <f>IF(COUNTIFS(tblDaily[Period],B152,tblDaily[Date],"&lt;="&amp;A152,tblDaily[Date],"&gt;"&amp;(A152-7))=7,AVERAGEIFS(tblDaily[Trips],tblDaily[Period],B152,tblDaily[Date],"&lt;="&amp;A152,tblDaily[Date],"&gt;"&amp;(A152-7)),"")</f>
        <v>25545.0</v>
      </c>
    </row>
    <row r="153" spans="1:10">
      <c r="A153" s="32">
        <v>41881</v>
      </c>
      <c r="B153" t="s">
        <v>303</v>
      </c>
      <c r="C153">
        <f>SUMIFS(tblHourly[Trips],tblHourly[Date],A153)</f>
        <v>23930</v>
      </c>
      <c r="D153" t="str">
        <f>CHOOSE(WEEKDAY(A153,2),"Mon","Tue","Wed","Thu","Fri","Sat","Sun")</f>
        <v>Sat</v>
      </c>
      <c r="E153" t="str">
        <f>IF(WEEKDAY(A153,2)&gt;5,"Weekend","Weekday")</f>
        <v>Weekend</v>
      </c>
      <c r="F153" s="33">
        <f>DATE(YEAR(A153),MONTH(A153),1)</f>
        <v>41852.0</v>
      </c>
      <c r="G153" t="str">
        <f>IF(COUNTIF(HolidayDates,A153)&gt;0,"Yes","No")</f>
        <v>No</v>
      </c>
      <c r="H153" t="str">
        <f>IF(COUNTIF(SpecialDates,A153)&gt;0,"Yes","No")</f>
        <v>No</v>
      </c>
      <c r="I153">
        <f>IF(B153="2015 Jan-Jun",C153,"")</f>
        <v/>
      </c>
      <c r="J153" s="34">
        <f>IF(COUNTIFS(tblDaily[Period],B153,tblDaily[Date],"&lt;="&amp;A153,tblDaily[Date],"&gt;"&amp;(A153-7))=7,AVERAGEIFS(tblDaily[Trips],tblDaily[Period],B153,tblDaily[Date],"&lt;="&amp;A153,tblDaily[Date],"&gt;"&amp;(A153-7)),"")</f>
        <v>25092.571428571428</v>
      </c>
    </row>
    <row r="154" spans="1:10">
      <c r="A154" s="32">
        <v>41882</v>
      </c>
      <c r="B154" t="s">
        <v>303</v>
      </c>
      <c r="C154">
        <f>SUMIFS(tblHourly[Trips],tblHourly[Date],A154)</f>
        <v>23271</v>
      </c>
      <c r="D154" t="str">
        <f>CHOOSE(WEEKDAY(A154,2),"Mon","Tue","Wed","Thu","Fri","Sat","Sun")</f>
        <v>Sun</v>
      </c>
      <c r="E154" t="str">
        <f>IF(WEEKDAY(A154,2)&gt;5,"Weekend","Weekday")</f>
        <v>Weekend</v>
      </c>
      <c r="F154" s="33">
        <f>DATE(YEAR(A154),MONTH(A154),1)</f>
        <v>41852.0</v>
      </c>
      <c r="G154" t="str">
        <f>IF(COUNTIF(HolidayDates,A154)&gt;0,"Yes","No")</f>
        <v>No</v>
      </c>
      <c r="H154" t="str">
        <f>IF(COUNTIF(SpecialDates,A154)&gt;0,"Yes","No")</f>
        <v>No</v>
      </c>
      <c r="I154">
        <f>IF(B154="2015 Jan-Jun",C154,"")</f>
        <v/>
      </c>
      <c r="J154" s="34">
        <f>IF(COUNTIFS(tblDaily[Period],B154,tblDaily[Date],"&lt;="&amp;A154,tblDaily[Date],"&gt;"&amp;(A154-7))=7,AVERAGEIFS(tblDaily[Trips],tblDaily[Period],B154,tblDaily[Date],"&lt;="&amp;A154,tblDaily[Date],"&gt;"&amp;(A154-7)),"")</f>
        <v>25269.0</v>
      </c>
    </row>
    <row r="155" spans="1:10">
      <c r="A155" s="32">
        <v>41883</v>
      </c>
      <c r="B155" t="s">
        <v>303</v>
      </c>
      <c r="C155">
        <f>SUMIFS(tblHourly[Trips],tblHourly[Date],A155)</f>
        <v>19961</v>
      </c>
      <c r="D155" t="str">
        <f>CHOOSE(WEEKDAY(A155,2),"Mon","Tue","Wed","Thu","Fri","Sat","Sun")</f>
        <v>Mon</v>
      </c>
      <c r="E155" t="str">
        <f>IF(WEEKDAY(A155,2)&gt;5,"Weekend","Weekday")</f>
        <v>Weekday</v>
      </c>
      <c r="F155" s="33">
        <f>DATE(YEAR(A155),MONTH(A155),1)</f>
        <v>41883.0</v>
      </c>
      <c r="G155" t="str">
        <f>IF(COUNTIF(HolidayDates,A155)&gt;0,"Yes","No")</f>
        <v>Yes</v>
      </c>
      <c r="H155" t="str">
        <f>IF(COUNTIF(SpecialDates,A155)&gt;0,"Yes","No")</f>
        <v>Yes</v>
      </c>
      <c r="I155">
        <f>IF(B155="2015 Jan-Jun",C155,"")</f>
        <v/>
      </c>
      <c r="J155" s="34">
        <f>IF(COUNTIFS(tblDaily[Period],B155,tblDaily[Date],"&lt;="&amp;A155,tblDaily[Date],"&gt;"&amp;(A155-7))=7,AVERAGEIFS(tblDaily[Trips],tblDaily[Period],B155,tblDaily[Date],"&lt;="&amp;A155,tblDaily[Date],"&gt;"&amp;(A155-7)),"")</f>
        <v>24964.428571428572</v>
      </c>
    </row>
    <row r="156" spans="1:10">
      <c r="A156" s="32">
        <v>41884</v>
      </c>
      <c r="B156" t="s">
        <v>303</v>
      </c>
      <c r="C156">
        <f>SUMIFS(tblHourly[Trips],tblHourly[Date],A156)</f>
        <v>28831</v>
      </c>
      <c r="D156" t="str">
        <f>CHOOSE(WEEKDAY(A156,2),"Mon","Tue","Wed","Thu","Fri","Sat","Sun")</f>
        <v>Tue</v>
      </c>
      <c r="E156" t="str">
        <f>IF(WEEKDAY(A156,2)&gt;5,"Weekend","Weekday")</f>
        <v>Weekday</v>
      </c>
      <c r="F156" s="33">
        <f>DATE(YEAR(A156),MONTH(A156),1)</f>
        <v>41883.0</v>
      </c>
      <c r="G156" t="str">
        <f>IF(COUNTIF(HolidayDates,A156)&gt;0,"Yes","No")</f>
        <v>No</v>
      </c>
      <c r="H156" t="str">
        <f>IF(COUNTIF(SpecialDates,A156)&gt;0,"Yes","No")</f>
        <v>No</v>
      </c>
      <c r="I156">
        <f>IF(B156="2015 Jan-Jun",C156,"")</f>
        <v/>
      </c>
      <c r="J156" s="34">
        <f>IF(COUNTIFS(tblDaily[Period],B156,tblDaily[Date],"&lt;="&amp;A156,tblDaily[Date],"&gt;"&amp;(A156-7))=7,AVERAGEIFS(tblDaily[Trips],tblDaily[Period],B156,tblDaily[Date],"&lt;="&amp;A156,tblDaily[Date],"&gt;"&amp;(A156-7)),"")</f>
        <v>25576.0</v>
      </c>
    </row>
    <row r="157" spans="1:10">
      <c r="A157" s="32">
        <v>41885</v>
      </c>
      <c r="B157" t="s">
        <v>303</v>
      </c>
      <c r="C157">
        <f>SUMIFS(tblHourly[Trips],tblHourly[Date],A157)</f>
        <v>32631</v>
      </c>
      <c r="D157" t="str">
        <f>CHOOSE(WEEKDAY(A157,2),"Mon","Tue","Wed","Thu","Fri","Sat","Sun")</f>
        <v>Wed</v>
      </c>
      <c r="E157" t="str">
        <f>IF(WEEKDAY(A157,2)&gt;5,"Weekend","Weekday")</f>
        <v>Weekday</v>
      </c>
      <c r="F157" s="33">
        <f>DATE(YEAR(A157),MONTH(A157),1)</f>
        <v>41883.0</v>
      </c>
      <c r="G157" t="str">
        <f>IF(COUNTIF(HolidayDates,A157)&gt;0,"Yes","No")</f>
        <v>No</v>
      </c>
      <c r="H157" t="str">
        <f>IF(COUNTIF(SpecialDates,A157)&gt;0,"Yes","No")</f>
        <v>No</v>
      </c>
      <c r="I157">
        <f>IF(B157="2015 Jan-Jun",C157,"")</f>
        <v/>
      </c>
      <c r="J157" s="34">
        <f>IF(COUNTIFS(tblDaily[Period],B157,tblDaily[Date],"&lt;="&amp;A157,tblDaily[Date],"&gt;"&amp;(A157-7))=7,AVERAGEIFS(tblDaily[Trips],tblDaily[Period],B157,tblDaily[Date],"&lt;="&amp;A157,tblDaily[Date],"&gt;"&amp;(A157-7)),"")</f>
        <v>26377.85714285714</v>
      </c>
    </row>
    <row r="158" spans="1:10">
      <c r="A158" s="32">
        <v>41886</v>
      </c>
      <c r="B158" t="s">
        <v>303</v>
      </c>
      <c r="C158">
        <f>SUMIFS(tblHourly[Trips],tblHourly[Date],A158)</f>
        <v>38360</v>
      </c>
      <c r="D158" t="str">
        <f>CHOOSE(WEEKDAY(A158,2),"Mon","Tue","Wed","Thu","Fri","Sat","Sun")</f>
        <v>Thu</v>
      </c>
      <c r="E158" t="str">
        <f>IF(WEEKDAY(A158,2)&gt;5,"Weekend","Weekday")</f>
        <v>Weekday</v>
      </c>
      <c r="F158" s="33">
        <f>DATE(YEAR(A158),MONTH(A158),1)</f>
        <v>41883.0</v>
      </c>
      <c r="G158" t="str">
        <f>IF(COUNTIF(HolidayDates,A158)&gt;0,"Yes","No")</f>
        <v>No</v>
      </c>
      <c r="H158" t="str">
        <f>IF(COUNTIF(SpecialDates,A158)&gt;0,"Yes","No")</f>
        <v>No</v>
      </c>
      <c r="I158">
        <f>IF(B158="2015 Jan-Jun",C158,"")</f>
        <v/>
      </c>
      <c r="J158" s="34">
        <f>IF(COUNTIFS(tblDaily[Period],B158,tblDaily[Date],"&lt;="&amp;A158,tblDaily[Date],"&gt;"&amp;(A158-7))=7,AVERAGEIFS(tblDaily[Trips],tblDaily[Period],B158,tblDaily[Date],"&lt;="&amp;A158,tblDaily[Date],"&gt;"&amp;(A158-7)),"")</f>
        <v>27772.571428571428</v>
      </c>
    </row>
    <row r="159" spans="1:10">
      <c r="A159" s="32">
        <v>41887</v>
      </c>
      <c r="B159" t="s">
        <v>303</v>
      </c>
      <c r="C159">
        <f>SUMIFS(tblHourly[Trips],tblHourly[Date],A159)</f>
        <v>42319</v>
      </c>
      <c r="D159" t="str">
        <f>CHOOSE(WEEKDAY(A159,2),"Mon","Tue","Wed","Thu","Fri","Sat","Sun")</f>
        <v>Fri</v>
      </c>
      <c r="E159" t="str">
        <f>IF(WEEKDAY(A159,2)&gt;5,"Weekend","Weekday")</f>
        <v>Weekday</v>
      </c>
      <c r="F159" s="33">
        <f>DATE(YEAR(A159),MONTH(A159),1)</f>
        <v>41883.0</v>
      </c>
      <c r="G159" t="str">
        <f>IF(COUNTIF(HolidayDates,A159)&gt;0,"Yes","No")</f>
        <v>No</v>
      </c>
      <c r="H159" t="str">
        <f>IF(COUNTIF(SpecialDates,A159)&gt;0,"Yes","No")</f>
        <v>No</v>
      </c>
      <c r="I159">
        <f>IF(B159="2015 Jan-Jun",C159,"")</f>
        <v/>
      </c>
      <c r="J159" s="34">
        <f>IF(COUNTIFS(tblDaily[Period],B159,tblDaily[Date],"&lt;="&amp;A159,tblDaily[Date],"&gt;"&amp;(A159-7))=7,AVERAGEIFS(tblDaily[Trips],tblDaily[Period],B159,tblDaily[Date],"&lt;="&amp;A159,tblDaily[Date],"&gt;"&amp;(A159-7)),"")</f>
        <v>29900.428571428572</v>
      </c>
    </row>
    <row r="160" spans="1:10">
      <c r="A160" s="32">
        <v>41888</v>
      </c>
      <c r="B160" t="s">
        <v>303</v>
      </c>
      <c r="C160">
        <f>SUMIFS(tblHourly[Trips],tblHourly[Date],A160)</f>
        <v>40520</v>
      </c>
      <c r="D160" t="str">
        <f>CHOOSE(WEEKDAY(A160,2),"Mon","Tue","Wed","Thu","Fri","Sat","Sun")</f>
        <v>Sat</v>
      </c>
      <c r="E160" t="str">
        <f>IF(WEEKDAY(A160,2)&gt;5,"Weekend","Weekday")</f>
        <v>Weekend</v>
      </c>
      <c r="F160" s="33">
        <f>DATE(YEAR(A160),MONTH(A160),1)</f>
        <v>41883.0</v>
      </c>
      <c r="G160" t="str">
        <f>IF(COUNTIF(HolidayDates,A160)&gt;0,"Yes","No")</f>
        <v>No</v>
      </c>
      <c r="H160" t="str">
        <f>IF(COUNTIF(SpecialDates,A160)&gt;0,"Yes","No")</f>
        <v>No</v>
      </c>
      <c r="I160">
        <f>IF(B160="2015 Jan-Jun",C160,"")</f>
        <v/>
      </c>
      <c r="J160" s="34">
        <f>IF(COUNTIFS(tblDaily[Period],B160,tblDaily[Date],"&lt;="&amp;A160,tblDaily[Date],"&gt;"&amp;(A160-7))=7,AVERAGEIFS(tblDaily[Trips],tblDaily[Period],B160,tblDaily[Date],"&lt;="&amp;A160,tblDaily[Date],"&gt;"&amp;(A160-7)),"")</f>
        <v>32270.428571428572</v>
      </c>
    </row>
    <row r="161" spans="1:10">
      <c r="A161" s="32">
        <v>41889</v>
      </c>
      <c r="B161" t="s">
        <v>303</v>
      </c>
      <c r="C161">
        <f>SUMIFS(tblHourly[Trips],tblHourly[Date],A161)</f>
        <v>30134</v>
      </c>
      <c r="D161" t="str">
        <f>CHOOSE(WEEKDAY(A161,2),"Mon","Tue","Wed","Thu","Fri","Sat","Sun")</f>
        <v>Sun</v>
      </c>
      <c r="E161" t="str">
        <f>IF(WEEKDAY(A161,2)&gt;5,"Weekend","Weekday")</f>
        <v>Weekend</v>
      </c>
      <c r="F161" s="33">
        <f>DATE(YEAR(A161),MONTH(A161),1)</f>
        <v>41883.0</v>
      </c>
      <c r="G161" t="str">
        <f>IF(COUNTIF(HolidayDates,A161)&gt;0,"Yes","No")</f>
        <v>No</v>
      </c>
      <c r="H161" t="str">
        <f>IF(COUNTIF(SpecialDates,A161)&gt;0,"Yes","No")</f>
        <v>No</v>
      </c>
      <c r="I161">
        <f>IF(B161="2015 Jan-Jun",C161,"")</f>
        <v/>
      </c>
      <c r="J161" s="34">
        <f>IF(COUNTIFS(tblDaily[Period],B161,tblDaily[Date],"&lt;="&amp;A161,tblDaily[Date],"&gt;"&amp;(A161-7))=7,AVERAGEIFS(tblDaily[Trips],tblDaily[Period],B161,tblDaily[Date],"&lt;="&amp;A161,tblDaily[Date],"&gt;"&amp;(A161-7)),"")</f>
        <v>33250.857142857145</v>
      </c>
    </row>
    <row r="162" spans="1:10">
      <c r="A162" s="32">
        <v>41890</v>
      </c>
      <c r="B162" t="s">
        <v>303</v>
      </c>
      <c r="C162">
        <f>SUMIFS(tblHourly[Trips],tblHourly[Date],A162)</f>
        <v>30360</v>
      </c>
      <c r="D162" t="str">
        <f>CHOOSE(WEEKDAY(A162,2),"Mon","Tue","Wed","Thu","Fri","Sat","Sun")</f>
        <v>Mon</v>
      </c>
      <c r="E162" t="str">
        <f>IF(WEEKDAY(A162,2)&gt;5,"Weekend","Weekday")</f>
        <v>Weekday</v>
      </c>
      <c r="F162" s="33">
        <f>DATE(YEAR(A162),MONTH(A162),1)</f>
        <v>41883.0</v>
      </c>
      <c r="G162" t="str">
        <f>IF(COUNTIF(HolidayDates,A162)&gt;0,"Yes","No")</f>
        <v>No</v>
      </c>
      <c r="H162" t="str">
        <f>IF(COUNTIF(SpecialDates,A162)&gt;0,"Yes","No")</f>
        <v>No</v>
      </c>
      <c r="I162">
        <f>IF(B162="2015 Jan-Jun",C162,"")</f>
        <v/>
      </c>
      <c r="J162" s="34">
        <f>IF(COUNTIFS(tblDaily[Period],B162,tblDaily[Date],"&lt;="&amp;A162,tblDaily[Date],"&gt;"&amp;(A162-7))=7,AVERAGEIFS(tblDaily[Trips],tblDaily[Period],B162,tblDaily[Date],"&lt;="&amp;A162,tblDaily[Date],"&gt;"&amp;(A162-7)),"")</f>
        <v>34736.42857142857</v>
      </c>
    </row>
    <row r="163" spans="1:10">
      <c r="A163" s="32">
        <v>41891</v>
      </c>
      <c r="B163" t="s">
        <v>303</v>
      </c>
      <c r="C163">
        <f>SUMIFS(tblHourly[Trips],tblHourly[Date],A163)</f>
        <v>34560</v>
      </c>
      <c r="D163" t="str">
        <f>CHOOSE(WEEKDAY(A163,2),"Mon","Tue","Wed","Thu","Fri","Sat","Sun")</f>
        <v>Tue</v>
      </c>
      <c r="E163" t="str">
        <f>IF(WEEKDAY(A163,2)&gt;5,"Weekend","Weekday")</f>
        <v>Weekday</v>
      </c>
      <c r="F163" s="33">
        <f>DATE(YEAR(A163),MONTH(A163),1)</f>
        <v>41883.0</v>
      </c>
      <c r="G163" t="str">
        <f>IF(COUNTIF(HolidayDates,A163)&gt;0,"Yes","No")</f>
        <v>No</v>
      </c>
      <c r="H163" t="str">
        <f>IF(COUNTIF(SpecialDates,A163)&gt;0,"Yes","No")</f>
        <v>No</v>
      </c>
      <c r="I163">
        <f>IF(B163="2015 Jan-Jun",C163,"")</f>
        <v/>
      </c>
      <c r="J163" s="34">
        <f>IF(COUNTIFS(tblDaily[Period],B163,tblDaily[Date],"&lt;="&amp;A163,tblDaily[Date],"&gt;"&amp;(A163-7))=7,AVERAGEIFS(tblDaily[Trips],tblDaily[Period],B163,tblDaily[Date],"&lt;="&amp;A163,tblDaily[Date],"&gt;"&amp;(A163-7)),"")</f>
        <v>35554.857142857145</v>
      </c>
    </row>
    <row r="164" spans="1:10">
      <c r="A164" s="32">
        <v>41892</v>
      </c>
      <c r="B164" t="s">
        <v>303</v>
      </c>
      <c r="C164">
        <f>SUMIFS(tblHourly[Trips],tblHourly[Date],A164)</f>
        <v>35910</v>
      </c>
      <c r="D164" t="str">
        <f>CHOOSE(WEEKDAY(A164,2),"Mon","Tue","Wed","Thu","Fri","Sat","Sun")</f>
        <v>Wed</v>
      </c>
      <c r="E164" t="str">
        <f>IF(WEEKDAY(A164,2)&gt;5,"Weekend","Weekday")</f>
        <v>Weekday</v>
      </c>
      <c r="F164" s="33">
        <f>DATE(YEAR(A164),MONTH(A164),1)</f>
        <v>41883.0</v>
      </c>
      <c r="G164" t="str">
        <f>IF(COUNTIF(HolidayDates,A164)&gt;0,"Yes","No")</f>
        <v>No</v>
      </c>
      <c r="H164" t="str">
        <f>IF(COUNTIF(SpecialDates,A164)&gt;0,"Yes","No")</f>
        <v>No</v>
      </c>
      <c r="I164">
        <f>IF(B164="2015 Jan-Jun",C164,"")</f>
        <v/>
      </c>
      <c r="J164" s="34">
        <f>IF(COUNTIFS(tblDaily[Period],B164,tblDaily[Date],"&lt;="&amp;A164,tblDaily[Date],"&gt;"&amp;(A164-7))=7,AVERAGEIFS(tblDaily[Trips],tblDaily[Period],B164,tblDaily[Date],"&lt;="&amp;A164,tblDaily[Date],"&gt;"&amp;(A164-7)),"")</f>
        <v>36023.28571428572</v>
      </c>
    </row>
    <row r="165" spans="1:10">
      <c r="A165" s="32">
        <v>41893</v>
      </c>
      <c r="B165" t="s">
        <v>303</v>
      </c>
      <c r="C165">
        <f>SUMIFS(tblHourly[Trips],tblHourly[Date],A165)</f>
        <v>36439</v>
      </c>
      <c r="D165" t="str">
        <f>CHOOSE(WEEKDAY(A165,2),"Mon","Tue","Wed","Thu","Fri","Sat","Sun")</f>
        <v>Thu</v>
      </c>
      <c r="E165" t="str">
        <f>IF(WEEKDAY(A165,2)&gt;5,"Weekend","Weekday")</f>
        <v>Weekday</v>
      </c>
      <c r="F165" s="33">
        <f>DATE(YEAR(A165),MONTH(A165),1)</f>
        <v>41883.0</v>
      </c>
      <c r="G165" t="str">
        <f>IF(COUNTIF(HolidayDates,A165)&gt;0,"Yes","No")</f>
        <v>No</v>
      </c>
      <c r="H165" t="str">
        <f>IF(COUNTIF(SpecialDates,A165)&gt;0,"Yes","No")</f>
        <v>No</v>
      </c>
      <c r="I165">
        <f>IF(B165="2015 Jan-Jun",C165,"")</f>
        <v/>
      </c>
      <c r="J165" s="34">
        <f>IF(COUNTIFS(tblDaily[Period],B165,tblDaily[Date],"&lt;="&amp;A165,tblDaily[Date],"&gt;"&amp;(A165-7))=7,AVERAGEIFS(tblDaily[Trips],tblDaily[Period],B165,tblDaily[Date],"&lt;="&amp;A165,tblDaily[Date],"&gt;"&amp;(A165-7)),"")</f>
        <v>35748.857142857145</v>
      </c>
    </row>
    <row r="166" spans="1:10">
      <c r="A166" s="32">
        <v>41894</v>
      </c>
      <c r="B166" t="s">
        <v>303</v>
      </c>
      <c r="C166">
        <f>SUMIFS(tblHourly[Trips],tblHourly[Date],A166)</f>
        <v>39540</v>
      </c>
      <c r="D166" t="str">
        <f>CHOOSE(WEEKDAY(A166,2),"Mon","Tue","Wed","Thu","Fri","Sat","Sun")</f>
        <v>Fri</v>
      </c>
      <c r="E166" t="str">
        <f>IF(WEEKDAY(A166,2)&gt;5,"Weekend","Weekday")</f>
        <v>Weekday</v>
      </c>
      <c r="F166" s="33">
        <f>DATE(YEAR(A166),MONTH(A166),1)</f>
        <v>41883.0</v>
      </c>
      <c r="G166" t="str">
        <f>IF(COUNTIF(HolidayDates,A166)&gt;0,"Yes","No")</f>
        <v>No</v>
      </c>
      <c r="H166" t="str">
        <f>IF(COUNTIF(SpecialDates,A166)&gt;0,"Yes","No")</f>
        <v>No</v>
      </c>
      <c r="I166">
        <f>IF(B166="2015 Jan-Jun",C166,"")</f>
        <v/>
      </c>
      <c r="J166" s="34">
        <f>IF(COUNTIFS(tblDaily[Period],B166,tblDaily[Date],"&lt;="&amp;A166,tblDaily[Date],"&gt;"&amp;(A166-7))=7,AVERAGEIFS(tblDaily[Trips],tblDaily[Period],B166,tblDaily[Date],"&lt;="&amp;A166,tblDaily[Date],"&gt;"&amp;(A166-7)),"")</f>
        <v>35351.857142857145</v>
      </c>
    </row>
    <row r="167" spans="1:10">
      <c r="A167" s="32">
        <v>41895</v>
      </c>
      <c r="B167" t="s">
        <v>303</v>
      </c>
      <c r="C167">
        <f>SUMIFS(tblHourly[Trips],tblHourly[Date],A167)</f>
        <v>43205</v>
      </c>
      <c r="D167" t="str">
        <f>CHOOSE(WEEKDAY(A167,2),"Mon","Tue","Wed","Thu","Fri","Sat","Sun")</f>
        <v>Sat</v>
      </c>
      <c r="E167" t="str">
        <f>IF(WEEKDAY(A167,2)&gt;5,"Weekend","Weekday")</f>
        <v>Weekend</v>
      </c>
      <c r="F167" s="33">
        <f>DATE(YEAR(A167),MONTH(A167),1)</f>
        <v>41883.0</v>
      </c>
      <c r="G167" t="str">
        <f>IF(COUNTIF(HolidayDates,A167)&gt;0,"Yes","No")</f>
        <v>No</v>
      </c>
      <c r="H167" t="str">
        <f>IF(COUNTIF(SpecialDates,A167)&gt;0,"Yes","No")</f>
        <v>No</v>
      </c>
      <c r="I167">
        <f>IF(B167="2015 Jan-Jun",C167,"")</f>
        <v/>
      </c>
      <c r="J167" s="34">
        <f>IF(COUNTIFS(tblDaily[Period],B167,tblDaily[Date],"&lt;="&amp;A167,tblDaily[Date],"&gt;"&amp;(A167-7))=7,AVERAGEIFS(tblDaily[Trips],tblDaily[Period],B167,tblDaily[Date],"&lt;="&amp;A167,tblDaily[Date],"&gt;"&amp;(A167-7)),"")</f>
        <v>35735.42857142857</v>
      </c>
    </row>
    <row r="168" spans="1:10">
      <c r="A168" s="32">
        <v>41896</v>
      </c>
      <c r="B168" t="s">
        <v>303</v>
      </c>
      <c r="C168">
        <f>SUMIFS(tblHourly[Trips],tblHourly[Date],A168)</f>
        <v>28122</v>
      </c>
      <c r="D168" t="str">
        <f>CHOOSE(WEEKDAY(A168,2),"Mon","Tue","Wed","Thu","Fri","Sat","Sun")</f>
        <v>Sun</v>
      </c>
      <c r="E168" t="str">
        <f>IF(WEEKDAY(A168,2)&gt;5,"Weekend","Weekday")</f>
        <v>Weekend</v>
      </c>
      <c r="F168" s="33">
        <f>DATE(YEAR(A168),MONTH(A168),1)</f>
        <v>41883.0</v>
      </c>
      <c r="G168" t="str">
        <f>IF(COUNTIF(HolidayDates,A168)&gt;0,"Yes","No")</f>
        <v>No</v>
      </c>
      <c r="H168" t="str">
        <f>IF(COUNTIF(SpecialDates,A168)&gt;0,"Yes","No")</f>
        <v>No</v>
      </c>
      <c r="I168">
        <f>IF(B168="2015 Jan-Jun",C168,"")</f>
        <v/>
      </c>
      <c r="J168" s="34">
        <f>IF(COUNTIFS(tblDaily[Period],B168,tblDaily[Date],"&lt;="&amp;A168,tblDaily[Date],"&gt;"&amp;(A168-7))=7,AVERAGEIFS(tblDaily[Trips],tblDaily[Period],B168,tblDaily[Date],"&lt;="&amp;A168,tblDaily[Date],"&gt;"&amp;(A168-7)),"")</f>
        <v>35448.0</v>
      </c>
    </row>
    <row r="169" spans="1:10">
      <c r="A169" s="32">
        <v>41897</v>
      </c>
      <c r="B169" t="s">
        <v>303</v>
      </c>
      <c r="C169">
        <f>SUMIFS(tblHourly[Trips],tblHourly[Date],A169)</f>
        <v>29454</v>
      </c>
      <c r="D169" t="str">
        <f>CHOOSE(WEEKDAY(A169,2),"Mon","Tue","Wed","Thu","Fri","Sat","Sun")</f>
        <v>Mon</v>
      </c>
      <c r="E169" t="str">
        <f>IF(WEEKDAY(A169,2)&gt;5,"Weekend","Weekday")</f>
        <v>Weekday</v>
      </c>
      <c r="F169" s="33">
        <f>DATE(YEAR(A169),MONTH(A169),1)</f>
        <v>41883.0</v>
      </c>
      <c r="G169" t="str">
        <f>IF(COUNTIF(HolidayDates,A169)&gt;0,"Yes","No")</f>
        <v>No</v>
      </c>
      <c r="H169" t="str">
        <f>IF(COUNTIF(SpecialDates,A169)&gt;0,"Yes","No")</f>
        <v>No</v>
      </c>
      <c r="I169">
        <f>IF(B169="2015 Jan-Jun",C169,"")</f>
        <v/>
      </c>
      <c r="J169" s="34">
        <f>IF(COUNTIFS(tblDaily[Period],B169,tblDaily[Date],"&lt;="&amp;A169,tblDaily[Date],"&gt;"&amp;(A169-7))=7,AVERAGEIFS(tblDaily[Trips],tblDaily[Period],B169,tblDaily[Date],"&lt;="&amp;A169,tblDaily[Date],"&gt;"&amp;(A169-7)),"")</f>
        <v>35318.57142857143</v>
      </c>
    </row>
    <row r="170" spans="1:10">
      <c r="A170" s="32">
        <v>41898</v>
      </c>
      <c r="B170" t="s">
        <v>303</v>
      </c>
      <c r="C170">
        <f>SUMIFS(tblHourly[Trips],tblHourly[Date],A170)</f>
        <v>36092</v>
      </c>
      <c r="D170" t="str">
        <f>CHOOSE(WEEKDAY(A170,2),"Mon","Tue","Wed","Thu","Fri","Sat","Sun")</f>
        <v>Tue</v>
      </c>
      <c r="E170" t="str">
        <f>IF(WEEKDAY(A170,2)&gt;5,"Weekend","Weekday")</f>
        <v>Weekday</v>
      </c>
      <c r="F170" s="33">
        <f>DATE(YEAR(A170),MONTH(A170),1)</f>
        <v>41883.0</v>
      </c>
      <c r="G170" t="str">
        <f>IF(COUNTIF(HolidayDates,A170)&gt;0,"Yes","No")</f>
        <v>No</v>
      </c>
      <c r="H170" t="str">
        <f>IF(COUNTIF(SpecialDates,A170)&gt;0,"Yes","No")</f>
        <v>No</v>
      </c>
      <c r="I170">
        <f>IF(B170="2015 Jan-Jun",C170,"")</f>
        <v/>
      </c>
      <c r="J170" s="34">
        <f>IF(COUNTIFS(tblDaily[Period],B170,tblDaily[Date],"&lt;="&amp;A170,tblDaily[Date],"&gt;"&amp;(A170-7))=7,AVERAGEIFS(tblDaily[Trips],tblDaily[Period],B170,tblDaily[Date],"&lt;="&amp;A170,tblDaily[Date],"&gt;"&amp;(A170-7)),"")</f>
        <v>35537.42857142857</v>
      </c>
    </row>
    <row r="171" spans="1:10">
      <c r="A171" s="32">
        <v>41899</v>
      </c>
      <c r="B171" t="s">
        <v>303</v>
      </c>
      <c r="C171">
        <f>SUMIFS(tblHourly[Trips],tblHourly[Date],A171)</f>
        <v>35531</v>
      </c>
      <c r="D171" t="str">
        <f>CHOOSE(WEEKDAY(A171,2),"Mon","Tue","Wed","Thu","Fri","Sat","Sun")</f>
        <v>Wed</v>
      </c>
      <c r="E171" t="str">
        <f>IF(WEEKDAY(A171,2)&gt;5,"Weekend","Weekday")</f>
        <v>Weekday</v>
      </c>
      <c r="F171" s="33">
        <f>DATE(YEAR(A171),MONTH(A171),1)</f>
        <v>41883.0</v>
      </c>
      <c r="G171" t="str">
        <f>IF(COUNTIF(HolidayDates,A171)&gt;0,"Yes","No")</f>
        <v>No</v>
      </c>
      <c r="H171" t="str">
        <f>IF(COUNTIF(SpecialDates,A171)&gt;0,"Yes","No")</f>
        <v>No</v>
      </c>
      <c r="I171">
        <f>IF(B171="2015 Jan-Jun",C171,"")</f>
        <v/>
      </c>
      <c r="J171" s="34">
        <f>IF(COUNTIFS(tblDaily[Period],B171,tblDaily[Date],"&lt;="&amp;A171,tblDaily[Date],"&gt;"&amp;(A171-7))=7,AVERAGEIFS(tblDaily[Trips],tblDaily[Period],B171,tblDaily[Date],"&lt;="&amp;A171,tblDaily[Date],"&gt;"&amp;(A171-7)),"")</f>
        <v>35483.28571428572</v>
      </c>
    </row>
    <row r="172" spans="1:10">
      <c r="A172" s="32">
        <v>41900</v>
      </c>
      <c r="B172" t="s">
        <v>303</v>
      </c>
      <c r="C172">
        <f>SUMIFS(tblHourly[Trips],tblHourly[Date],A172)</f>
        <v>40274</v>
      </c>
      <c r="D172" t="str">
        <f>CHOOSE(WEEKDAY(A172,2),"Mon","Tue","Wed","Thu","Fri","Sat","Sun")</f>
        <v>Thu</v>
      </c>
      <c r="E172" t="str">
        <f>IF(WEEKDAY(A172,2)&gt;5,"Weekend","Weekday")</f>
        <v>Weekday</v>
      </c>
      <c r="F172" s="33">
        <f>DATE(YEAR(A172),MONTH(A172),1)</f>
        <v>41883.0</v>
      </c>
      <c r="G172" t="str">
        <f>IF(COUNTIF(HolidayDates,A172)&gt;0,"Yes","No")</f>
        <v>No</v>
      </c>
      <c r="H172" t="str">
        <f>IF(COUNTIF(SpecialDates,A172)&gt;0,"Yes","No")</f>
        <v>No</v>
      </c>
      <c r="I172">
        <f>IF(B172="2015 Jan-Jun",C172,"")</f>
        <v/>
      </c>
      <c r="J172" s="34">
        <f>IF(COUNTIFS(tblDaily[Period],B172,tblDaily[Date],"&lt;="&amp;A172,tblDaily[Date],"&gt;"&amp;(A172-7))=7,AVERAGEIFS(tblDaily[Trips],tblDaily[Period],B172,tblDaily[Date],"&lt;="&amp;A172,tblDaily[Date],"&gt;"&amp;(A172-7)),"")</f>
        <v>36031.142857142855</v>
      </c>
    </row>
    <row r="173" spans="1:10">
      <c r="A173" s="32">
        <v>41901</v>
      </c>
      <c r="B173" t="s">
        <v>303</v>
      </c>
      <c r="C173">
        <f>SUMIFS(tblHourly[Trips],tblHourly[Date],A173)</f>
        <v>41017</v>
      </c>
      <c r="D173" t="str">
        <f>CHOOSE(WEEKDAY(A173,2),"Mon","Tue","Wed","Thu","Fri","Sat","Sun")</f>
        <v>Fri</v>
      </c>
      <c r="E173" t="str">
        <f>IF(WEEKDAY(A173,2)&gt;5,"Weekend","Weekday")</f>
        <v>Weekday</v>
      </c>
      <c r="F173" s="33">
        <f>DATE(YEAR(A173),MONTH(A173),1)</f>
        <v>41883.0</v>
      </c>
      <c r="G173" t="str">
        <f>IF(COUNTIF(HolidayDates,A173)&gt;0,"Yes","No")</f>
        <v>No</v>
      </c>
      <c r="H173" t="str">
        <f>IF(COUNTIF(SpecialDates,A173)&gt;0,"Yes","No")</f>
        <v>No</v>
      </c>
      <c r="I173">
        <f>IF(B173="2015 Jan-Jun",C173,"")</f>
        <v/>
      </c>
      <c r="J173" s="34">
        <f>IF(COUNTIFS(tblDaily[Period],B173,tblDaily[Date],"&lt;="&amp;A173,tblDaily[Date],"&gt;"&amp;(A173-7))=7,AVERAGEIFS(tblDaily[Trips],tblDaily[Period],B173,tblDaily[Date],"&lt;="&amp;A173,tblDaily[Date],"&gt;"&amp;(A173-7)),"")</f>
        <v>36242.142857142855</v>
      </c>
    </row>
    <row r="174" spans="1:10">
      <c r="A174" s="32">
        <v>41902</v>
      </c>
      <c r="B174" t="s">
        <v>303</v>
      </c>
      <c r="C174">
        <f>SUMIFS(tblHourly[Trips],tblHourly[Date],A174)</f>
        <v>38864</v>
      </c>
      <c r="D174" t="str">
        <f>CHOOSE(WEEKDAY(A174,2),"Mon","Tue","Wed","Thu","Fri","Sat","Sun")</f>
        <v>Sat</v>
      </c>
      <c r="E174" t="str">
        <f>IF(WEEKDAY(A174,2)&gt;5,"Weekend","Weekday")</f>
        <v>Weekend</v>
      </c>
      <c r="F174" s="33">
        <f>DATE(YEAR(A174),MONTH(A174),1)</f>
        <v>41883.0</v>
      </c>
      <c r="G174" t="str">
        <f>IF(COUNTIF(HolidayDates,A174)&gt;0,"Yes","No")</f>
        <v>No</v>
      </c>
      <c r="H174" t="str">
        <f>IF(COUNTIF(SpecialDates,A174)&gt;0,"Yes","No")</f>
        <v>No</v>
      </c>
      <c r="I174">
        <f>IF(B174="2015 Jan-Jun",C174,"")</f>
        <v/>
      </c>
      <c r="J174" s="34">
        <f>IF(COUNTIFS(tblDaily[Period],B174,tblDaily[Date],"&lt;="&amp;A174,tblDaily[Date],"&gt;"&amp;(A174-7))=7,AVERAGEIFS(tblDaily[Trips],tblDaily[Period],B174,tblDaily[Date],"&lt;="&amp;A174,tblDaily[Date],"&gt;"&amp;(A174-7)),"")</f>
        <v>35622.0</v>
      </c>
    </row>
    <row r="175" spans="1:10">
      <c r="A175" s="32">
        <v>41903</v>
      </c>
      <c r="B175" t="s">
        <v>303</v>
      </c>
      <c r="C175">
        <f>SUMIFS(tblHourly[Trips],tblHourly[Date],A175)</f>
        <v>28620</v>
      </c>
      <c r="D175" t="str">
        <f>CHOOSE(WEEKDAY(A175,2),"Mon","Tue","Wed","Thu","Fri","Sat","Sun")</f>
        <v>Sun</v>
      </c>
      <c r="E175" t="str">
        <f>IF(WEEKDAY(A175,2)&gt;5,"Weekend","Weekday")</f>
        <v>Weekend</v>
      </c>
      <c r="F175" s="33">
        <f>DATE(YEAR(A175),MONTH(A175),1)</f>
        <v>41883.0</v>
      </c>
      <c r="G175" t="str">
        <f>IF(COUNTIF(HolidayDates,A175)&gt;0,"Yes","No")</f>
        <v>No</v>
      </c>
      <c r="H175" t="str">
        <f>IF(COUNTIF(SpecialDates,A175)&gt;0,"Yes","No")</f>
        <v>No</v>
      </c>
      <c r="I175">
        <f>IF(B175="2015 Jan-Jun",C175,"")</f>
        <v/>
      </c>
      <c r="J175" s="34">
        <f>IF(COUNTIFS(tblDaily[Period],B175,tblDaily[Date],"&lt;="&amp;A175,tblDaily[Date],"&gt;"&amp;(A175-7))=7,AVERAGEIFS(tblDaily[Trips],tblDaily[Period],B175,tblDaily[Date],"&lt;="&amp;A175,tblDaily[Date],"&gt;"&amp;(A175-7)),"")</f>
        <v>35693.142857142855</v>
      </c>
    </row>
    <row r="176" spans="1:10">
      <c r="A176" s="32">
        <v>41904</v>
      </c>
      <c r="B176" t="s">
        <v>303</v>
      </c>
      <c r="C176">
        <f>SUMIFS(tblHourly[Trips],tblHourly[Date],A176)</f>
        <v>28312</v>
      </c>
      <c r="D176" t="str">
        <f>CHOOSE(WEEKDAY(A176,2),"Mon","Tue","Wed","Thu","Fri","Sat","Sun")</f>
        <v>Mon</v>
      </c>
      <c r="E176" t="str">
        <f>IF(WEEKDAY(A176,2)&gt;5,"Weekend","Weekday")</f>
        <v>Weekday</v>
      </c>
      <c r="F176" s="33">
        <f>DATE(YEAR(A176),MONTH(A176),1)</f>
        <v>41883.0</v>
      </c>
      <c r="G176" t="str">
        <f>IF(COUNTIF(HolidayDates,A176)&gt;0,"Yes","No")</f>
        <v>No</v>
      </c>
      <c r="H176" t="str">
        <f>IF(COUNTIF(SpecialDates,A176)&gt;0,"Yes","No")</f>
        <v>No</v>
      </c>
      <c r="I176">
        <f>IF(B176="2015 Jan-Jun",C176,"")</f>
        <v/>
      </c>
      <c r="J176" s="34">
        <f>IF(COUNTIFS(tblDaily[Period],B176,tblDaily[Date],"&lt;="&amp;A176,tblDaily[Date],"&gt;"&amp;(A176-7))=7,AVERAGEIFS(tblDaily[Trips],tblDaily[Period],B176,tblDaily[Date],"&lt;="&amp;A176,tblDaily[Date],"&gt;"&amp;(A176-7)),"")</f>
        <v>35530.0</v>
      </c>
    </row>
    <row r="177" spans="1:10">
      <c r="A177" s="32">
        <v>41905</v>
      </c>
      <c r="B177" t="s">
        <v>303</v>
      </c>
      <c r="C177">
        <f>SUMIFS(tblHourly[Trips],tblHourly[Date],A177)</f>
        <v>30316</v>
      </c>
      <c r="D177" t="str">
        <f>CHOOSE(WEEKDAY(A177,2),"Mon","Tue","Wed","Thu","Fri","Sat","Sun")</f>
        <v>Tue</v>
      </c>
      <c r="E177" t="str">
        <f>IF(WEEKDAY(A177,2)&gt;5,"Weekend","Weekday")</f>
        <v>Weekday</v>
      </c>
      <c r="F177" s="33">
        <f>DATE(YEAR(A177),MONTH(A177),1)</f>
        <v>41883.0</v>
      </c>
      <c r="G177" t="str">
        <f>IF(COUNTIF(HolidayDates,A177)&gt;0,"Yes","No")</f>
        <v>No</v>
      </c>
      <c r="H177" t="str">
        <f>IF(COUNTIF(SpecialDates,A177)&gt;0,"Yes","No")</f>
        <v>No</v>
      </c>
      <c r="I177">
        <f>IF(B177="2015 Jan-Jun",C177,"")</f>
        <v/>
      </c>
      <c r="J177" s="34">
        <f>IF(COUNTIFS(tblDaily[Period],B177,tblDaily[Date],"&lt;="&amp;A177,tblDaily[Date],"&gt;"&amp;(A177-7))=7,AVERAGEIFS(tblDaily[Trips],tblDaily[Period],B177,tblDaily[Date],"&lt;="&amp;A177,tblDaily[Date],"&gt;"&amp;(A177-7)),"")</f>
        <v>34704.857142857145</v>
      </c>
    </row>
    <row r="178" spans="1:10">
      <c r="A178" s="32">
        <v>41906</v>
      </c>
      <c r="B178" t="s">
        <v>303</v>
      </c>
      <c r="C178">
        <f>SUMIFS(tblHourly[Trips],tblHourly[Date],A178)</f>
        <v>31301</v>
      </c>
      <c r="D178" t="str">
        <f>CHOOSE(WEEKDAY(A178,2),"Mon","Tue","Wed","Thu","Fri","Sat","Sun")</f>
        <v>Wed</v>
      </c>
      <c r="E178" t="str">
        <f>IF(WEEKDAY(A178,2)&gt;5,"Weekend","Weekday")</f>
        <v>Weekday</v>
      </c>
      <c r="F178" s="33">
        <f>DATE(YEAR(A178),MONTH(A178),1)</f>
        <v>41883.0</v>
      </c>
      <c r="G178" t="str">
        <f>IF(COUNTIF(HolidayDates,A178)&gt;0,"Yes","No")</f>
        <v>No</v>
      </c>
      <c r="H178" t="str">
        <f>IF(COUNTIF(SpecialDates,A178)&gt;0,"Yes","No")</f>
        <v>No</v>
      </c>
      <c r="I178">
        <f>IF(B178="2015 Jan-Jun",C178,"")</f>
        <v/>
      </c>
      <c r="J178" s="34">
        <f>IF(COUNTIFS(tblDaily[Period],B178,tblDaily[Date],"&lt;="&amp;A178,tblDaily[Date],"&gt;"&amp;(A178-7))=7,AVERAGEIFS(tblDaily[Trips],tblDaily[Period],B178,tblDaily[Date],"&lt;="&amp;A178,tblDaily[Date],"&gt;"&amp;(A178-7)),"")</f>
        <v>34100.57142857143</v>
      </c>
    </row>
    <row r="179" spans="1:10">
      <c r="A179" s="32">
        <v>41907</v>
      </c>
      <c r="B179" t="s">
        <v>303</v>
      </c>
      <c r="C179">
        <f>SUMIFS(tblHourly[Trips],tblHourly[Date],A179)</f>
        <v>38203</v>
      </c>
      <c r="D179" t="str">
        <f>CHOOSE(WEEKDAY(A179,2),"Mon","Tue","Wed","Thu","Fri","Sat","Sun")</f>
        <v>Thu</v>
      </c>
      <c r="E179" t="str">
        <f>IF(WEEKDAY(A179,2)&gt;5,"Weekend","Weekday")</f>
        <v>Weekday</v>
      </c>
      <c r="F179" s="33">
        <f>DATE(YEAR(A179),MONTH(A179),1)</f>
        <v>41883.0</v>
      </c>
      <c r="G179" t="str">
        <f>IF(COUNTIF(HolidayDates,A179)&gt;0,"Yes","No")</f>
        <v>No</v>
      </c>
      <c r="H179" t="str">
        <f>IF(COUNTIF(SpecialDates,A179)&gt;0,"Yes","No")</f>
        <v>No</v>
      </c>
      <c r="I179">
        <f>IF(B179="2015 Jan-Jun",C179,"")</f>
        <v/>
      </c>
      <c r="J179" s="34">
        <f>IF(COUNTIFS(tblDaily[Period],B179,tblDaily[Date],"&lt;="&amp;A179,tblDaily[Date],"&gt;"&amp;(A179-7))=7,AVERAGEIFS(tblDaily[Trips],tblDaily[Period],B179,tblDaily[Date],"&lt;="&amp;A179,tblDaily[Date],"&gt;"&amp;(A179-7)),"")</f>
        <v>33804.71428571428</v>
      </c>
    </row>
    <row r="180" spans="1:10">
      <c r="A180" s="32">
        <v>41908</v>
      </c>
      <c r="B180" t="s">
        <v>303</v>
      </c>
      <c r="C180">
        <f>SUMIFS(tblHourly[Trips],tblHourly[Date],A180)</f>
        <v>37504</v>
      </c>
      <c r="D180" t="str">
        <f>CHOOSE(WEEKDAY(A180,2),"Mon","Tue","Wed","Thu","Fri","Sat","Sun")</f>
        <v>Fri</v>
      </c>
      <c r="E180" t="str">
        <f>IF(WEEKDAY(A180,2)&gt;5,"Weekend","Weekday")</f>
        <v>Weekday</v>
      </c>
      <c r="F180" s="33">
        <f>DATE(YEAR(A180),MONTH(A180),1)</f>
        <v>41883.0</v>
      </c>
      <c r="G180" t="str">
        <f>IF(COUNTIF(HolidayDates,A180)&gt;0,"Yes","No")</f>
        <v>No</v>
      </c>
      <c r="H180" t="str">
        <f>IF(COUNTIF(SpecialDates,A180)&gt;0,"Yes","No")</f>
        <v>No</v>
      </c>
      <c r="I180">
        <f>IF(B180="2015 Jan-Jun",C180,"")</f>
        <v/>
      </c>
      <c r="J180" s="34">
        <f>IF(COUNTIFS(tblDaily[Period],B180,tblDaily[Date],"&lt;="&amp;A180,tblDaily[Date],"&gt;"&amp;(A180-7))=7,AVERAGEIFS(tblDaily[Trips],tblDaily[Period],B180,tblDaily[Date],"&lt;="&amp;A180,tblDaily[Date],"&gt;"&amp;(A180-7)),"")</f>
        <v>33302.857142857145</v>
      </c>
    </row>
    <row r="181" spans="1:10">
      <c r="A181" s="32">
        <v>41909</v>
      </c>
      <c r="B181" t="s">
        <v>303</v>
      </c>
      <c r="C181">
        <f>SUMIFS(tblHourly[Trips],tblHourly[Date],A181)</f>
        <v>39468</v>
      </c>
      <c r="D181" t="str">
        <f>CHOOSE(WEEKDAY(A181,2),"Mon","Tue","Wed","Thu","Fri","Sat","Sun")</f>
        <v>Sat</v>
      </c>
      <c r="E181" t="str">
        <f>IF(WEEKDAY(A181,2)&gt;5,"Weekend","Weekday")</f>
        <v>Weekend</v>
      </c>
      <c r="F181" s="33">
        <f>DATE(YEAR(A181),MONTH(A181),1)</f>
        <v>41883.0</v>
      </c>
      <c r="G181" t="str">
        <f>IF(COUNTIF(HolidayDates,A181)&gt;0,"Yes","No")</f>
        <v>No</v>
      </c>
      <c r="H181" t="str">
        <f>IF(COUNTIF(SpecialDates,A181)&gt;0,"Yes","No")</f>
        <v>No</v>
      </c>
      <c r="I181">
        <f>IF(B181="2015 Jan-Jun",C181,"")</f>
        <v/>
      </c>
      <c r="J181" s="34">
        <f>IF(COUNTIFS(tblDaily[Period],B181,tblDaily[Date],"&lt;="&amp;A181,tblDaily[Date],"&gt;"&amp;(A181-7))=7,AVERAGEIFS(tblDaily[Trips],tblDaily[Period],B181,tblDaily[Date],"&lt;="&amp;A181,tblDaily[Date],"&gt;"&amp;(A181-7)),"")</f>
        <v>33389.142857142855</v>
      </c>
    </row>
    <row r="182" spans="1:10">
      <c r="A182" s="32">
        <v>41910</v>
      </c>
      <c r="B182" t="s">
        <v>303</v>
      </c>
      <c r="C182">
        <f>SUMIFS(tblHourly[Trips],tblHourly[Date],A182)</f>
        <v>29656</v>
      </c>
      <c r="D182" t="str">
        <f>CHOOSE(WEEKDAY(A182,2),"Mon","Tue","Wed","Thu","Fri","Sat","Sun")</f>
        <v>Sun</v>
      </c>
      <c r="E182" t="str">
        <f>IF(WEEKDAY(A182,2)&gt;5,"Weekend","Weekday")</f>
        <v>Weekend</v>
      </c>
      <c r="F182" s="33">
        <f>DATE(YEAR(A182),MONTH(A182),1)</f>
        <v>41883.0</v>
      </c>
      <c r="G182" t="str">
        <f>IF(COUNTIF(HolidayDates,A182)&gt;0,"Yes","No")</f>
        <v>No</v>
      </c>
      <c r="H182" t="str">
        <f>IF(COUNTIF(SpecialDates,A182)&gt;0,"Yes","No")</f>
        <v>No</v>
      </c>
      <c r="I182">
        <f>IF(B182="2015 Jan-Jun",C182,"")</f>
        <v/>
      </c>
      <c r="J182" s="34">
        <f>IF(COUNTIFS(tblDaily[Period],B182,tblDaily[Date],"&lt;="&amp;A182,tblDaily[Date],"&gt;"&amp;(A182-7))=7,AVERAGEIFS(tblDaily[Trips],tblDaily[Period],B182,tblDaily[Date],"&lt;="&amp;A182,tblDaily[Date],"&gt;"&amp;(A182-7)),"")</f>
        <v>33537.142857142855</v>
      </c>
    </row>
    <row r="183" spans="1:10">
      <c r="A183" s="32">
        <v>41911</v>
      </c>
      <c r="B183" t="s">
        <v>303</v>
      </c>
      <c r="C183">
        <f>SUMIFS(tblHourly[Trips],tblHourly[Date],A183)</f>
        <v>29201</v>
      </c>
      <c r="D183" t="str">
        <f>CHOOSE(WEEKDAY(A183,2),"Mon","Tue","Wed","Thu","Fri","Sat","Sun")</f>
        <v>Mon</v>
      </c>
      <c r="E183" t="str">
        <f>IF(WEEKDAY(A183,2)&gt;5,"Weekend","Weekday")</f>
        <v>Weekday</v>
      </c>
      <c r="F183" s="33">
        <f>DATE(YEAR(A183),MONTH(A183),1)</f>
        <v>41883.0</v>
      </c>
      <c r="G183" t="str">
        <f>IF(COUNTIF(HolidayDates,A183)&gt;0,"Yes","No")</f>
        <v>No</v>
      </c>
      <c r="H183" t="str">
        <f>IF(COUNTIF(SpecialDates,A183)&gt;0,"Yes","No")</f>
        <v>No</v>
      </c>
      <c r="I183">
        <f>IF(B183="2015 Jan-Jun",C183,"")</f>
        <v/>
      </c>
      <c r="J183" s="34">
        <f>IF(COUNTIFS(tblDaily[Period],B183,tblDaily[Date],"&lt;="&amp;A183,tblDaily[Date],"&gt;"&amp;(A183-7))=7,AVERAGEIFS(tblDaily[Trips],tblDaily[Period],B183,tblDaily[Date],"&lt;="&amp;A183,tblDaily[Date],"&gt;"&amp;(A183-7)),"")</f>
        <v>33664.142857142855</v>
      </c>
    </row>
    <row r="184" spans="1:10">
      <c r="A184" s="32">
        <v>41912</v>
      </c>
      <c r="B184" t="s">
        <v>303</v>
      </c>
      <c r="C184">
        <f>SUMIFS(tblHourly[Trips],tblHourly[Date],A184)</f>
        <v>33431</v>
      </c>
      <c r="D184" t="str">
        <f>CHOOSE(WEEKDAY(A184,2),"Mon","Tue","Wed","Thu","Fri","Sat","Sun")</f>
        <v>Tue</v>
      </c>
      <c r="E184" t="str">
        <f>IF(WEEKDAY(A184,2)&gt;5,"Weekend","Weekday")</f>
        <v>Weekday</v>
      </c>
      <c r="F184" s="33">
        <f>DATE(YEAR(A184),MONTH(A184),1)</f>
        <v>41883.0</v>
      </c>
      <c r="G184" t="str">
        <f>IF(COUNTIF(HolidayDates,A184)&gt;0,"Yes","No")</f>
        <v>No</v>
      </c>
      <c r="H184" t="str">
        <f>IF(COUNTIF(SpecialDates,A184)&gt;0,"Yes","No")</f>
        <v>No</v>
      </c>
      <c r="I184">
        <f>IF(B184="2015 Jan-Jun",C184,"")</f>
        <v/>
      </c>
      <c r="J184" s="34">
        <f>IF(COUNTIFS(tblDaily[Period],B184,tblDaily[Date],"&lt;="&amp;A184,tblDaily[Date],"&gt;"&amp;(A184-7))=7,AVERAGEIFS(tblDaily[Trips],tblDaily[Period],B184,tblDaily[Date],"&lt;="&amp;A184,tblDaily[Date],"&gt;"&amp;(A184-7)),"")</f>
        <v>34109.142857142855</v>
      </c>
    </row>
    <row r="185" spans="1:10">
      <c r="A185" s="32">
        <v>42005</v>
      </c>
      <c r="B185" t="s">
        <v>304</v>
      </c>
      <c r="C185">
        <f>SUMIFS(tblHourly[Trips],tblHourly[Date],A185)</f>
        <v>58045</v>
      </c>
      <c r="D185" t="str">
        <f>CHOOSE(WEEKDAY(A185,2),"Mon","Tue","Wed","Thu","Fri","Sat","Sun")</f>
        <v>Thu</v>
      </c>
      <c r="E185" t="str">
        <f>IF(WEEKDAY(A185,2)&gt;5,"Weekend","Weekday")</f>
        <v>Weekday</v>
      </c>
      <c r="F185" s="33">
        <f>DATE(YEAR(A185),MONTH(A185),1)</f>
        <v>42005.0</v>
      </c>
      <c r="G185" t="str">
        <f>IF(COUNTIF(HolidayDates,A185)&gt;0,"Yes","No")</f>
        <v>Yes</v>
      </c>
      <c r="H185" t="str">
        <f>IF(COUNTIF(SpecialDates,A185)&gt;0,"Yes","No")</f>
        <v>Yes</v>
      </c>
      <c r="I185">
        <f>IF(B185="2015 Jan-Jun",C185,"")</f>
        <v>58045.0</v>
      </c>
      <c r="J185" s="34">
        <f>IF(COUNTIFS(tblDaily[Period],B185,tblDaily[Date],"&lt;="&amp;A185,tblDaily[Date],"&gt;"&amp;(A185-7))=7,AVERAGEIFS(tblDaily[Trips],tblDaily[Period],B185,tblDaily[Date],"&lt;="&amp;A185,tblDaily[Date],"&gt;"&amp;(A185-7)),"")</f>
        <v/>
      </c>
    </row>
    <row r="186" spans="1:10">
      <c r="A186" s="32">
        <v>42006</v>
      </c>
      <c r="B186" t="s">
        <v>304</v>
      </c>
      <c r="C186">
        <f>SUMIFS(tblHourly[Trips],tblHourly[Date],A186)</f>
        <v>40287</v>
      </c>
      <c r="D186" t="str">
        <f>CHOOSE(WEEKDAY(A186,2),"Mon","Tue","Wed","Thu","Fri","Sat","Sun")</f>
        <v>Fri</v>
      </c>
      <c r="E186" t="str">
        <f>IF(WEEKDAY(A186,2)&gt;5,"Weekend","Weekday")</f>
        <v>Weekday</v>
      </c>
      <c r="F186" s="33">
        <f>DATE(YEAR(A186),MONTH(A186),1)</f>
        <v>42005.0</v>
      </c>
      <c r="G186" t="str">
        <f>IF(COUNTIF(HolidayDates,A186)&gt;0,"Yes","No")</f>
        <v>No</v>
      </c>
      <c r="H186" t="str">
        <f>IF(COUNTIF(SpecialDates,A186)&gt;0,"Yes","No")</f>
        <v>No</v>
      </c>
      <c r="I186">
        <f>IF(B186="2015 Jan-Jun",C186,"")</f>
        <v>40287.0</v>
      </c>
      <c r="J186" s="34">
        <f>IF(COUNTIFS(tblDaily[Period],B186,tblDaily[Date],"&lt;="&amp;A186,tblDaily[Date],"&gt;"&amp;(A186-7))=7,AVERAGEIFS(tblDaily[Trips],tblDaily[Period],B186,tblDaily[Date],"&lt;="&amp;A186,tblDaily[Date],"&gt;"&amp;(A186-7)),"")</f>
        <v/>
      </c>
    </row>
    <row r="187" spans="1:10">
      <c r="A187" s="32">
        <v>42007</v>
      </c>
      <c r="B187" t="s">
        <v>304</v>
      </c>
      <c r="C187">
        <f>SUMIFS(tblHourly[Trips],tblHourly[Date],A187)</f>
        <v>59844</v>
      </c>
      <c r="D187" t="str">
        <f>CHOOSE(WEEKDAY(A187,2),"Mon","Tue","Wed","Thu","Fri","Sat","Sun")</f>
        <v>Sat</v>
      </c>
      <c r="E187" t="str">
        <f>IF(WEEKDAY(A187,2)&gt;5,"Weekend","Weekday")</f>
        <v>Weekend</v>
      </c>
      <c r="F187" s="33">
        <f>DATE(YEAR(A187),MONTH(A187),1)</f>
        <v>42005.0</v>
      </c>
      <c r="G187" t="str">
        <f>IF(COUNTIF(HolidayDates,A187)&gt;0,"Yes","No")</f>
        <v>No</v>
      </c>
      <c r="H187" t="str">
        <f>IF(COUNTIF(SpecialDates,A187)&gt;0,"Yes","No")</f>
        <v>No</v>
      </c>
      <c r="I187">
        <f>IF(B187="2015 Jan-Jun",C187,"")</f>
        <v>59844.0</v>
      </c>
      <c r="J187" s="34">
        <f>IF(COUNTIFS(tblDaily[Period],B187,tblDaily[Date],"&lt;="&amp;A187,tblDaily[Date],"&gt;"&amp;(A187-7))=7,AVERAGEIFS(tblDaily[Trips],tblDaily[Period],B187,tblDaily[Date],"&lt;="&amp;A187,tblDaily[Date],"&gt;"&amp;(A187-7)),"")</f>
        <v/>
      </c>
    </row>
    <row r="188" spans="1:10">
      <c r="A188" s="32">
        <v>42008</v>
      </c>
      <c r="B188" t="s">
        <v>304</v>
      </c>
      <c r="C188">
        <f>SUMIFS(tblHourly[Trips],tblHourly[Date],A188)</f>
        <v>41943</v>
      </c>
      <c r="D188" t="str">
        <f>CHOOSE(WEEKDAY(A188,2),"Mon","Tue","Wed","Thu","Fri","Sat","Sun")</f>
        <v>Sun</v>
      </c>
      <c r="E188" t="str">
        <f>IF(WEEKDAY(A188,2)&gt;5,"Weekend","Weekday")</f>
        <v>Weekend</v>
      </c>
      <c r="F188" s="33">
        <f>DATE(YEAR(A188),MONTH(A188),1)</f>
        <v>42005.0</v>
      </c>
      <c r="G188" t="str">
        <f>IF(COUNTIF(HolidayDates,A188)&gt;0,"Yes","No")</f>
        <v>No</v>
      </c>
      <c r="H188" t="str">
        <f>IF(COUNTIF(SpecialDates,A188)&gt;0,"Yes","No")</f>
        <v>No</v>
      </c>
      <c r="I188">
        <f>IF(B188="2015 Jan-Jun",C188,"")</f>
        <v>41943.0</v>
      </c>
      <c r="J188" s="34">
        <f>IF(COUNTIFS(tblDaily[Period],B188,tblDaily[Date],"&lt;="&amp;A188,tblDaily[Date],"&gt;"&amp;(A188-7))=7,AVERAGEIFS(tblDaily[Trips],tblDaily[Period],B188,tblDaily[Date],"&lt;="&amp;A188,tblDaily[Date],"&gt;"&amp;(A188-7)),"")</f>
        <v/>
      </c>
    </row>
    <row r="189" spans="1:10">
      <c r="A189" s="32">
        <v>42009</v>
      </c>
      <c r="B189" t="s">
        <v>304</v>
      </c>
      <c r="C189">
        <f>SUMIFS(tblHourly[Trips],tblHourly[Date],A189)</f>
        <v>43678</v>
      </c>
      <c r="D189" t="str">
        <f>CHOOSE(WEEKDAY(A189,2),"Mon","Tue","Wed","Thu","Fri","Sat","Sun")</f>
        <v>Mon</v>
      </c>
      <c r="E189" t="str">
        <f>IF(WEEKDAY(A189,2)&gt;5,"Weekend","Weekday")</f>
        <v>Weekday</v>
      </c>
      <c r="F189" s="33">
        <f>DATE(YEAR(A189),MONTH(A189),1)</f>
        <v>42005.0</v>
      </c>
      <c r="G189" t="str">
        <f>IF(COUNTIF(HolidayDates,A189)&gt;0,"Yes","No")</f>
        <v>No</v>
      </c>
      <c r="H189" t="str">
        <f>IF(COUNTIF(SpecialDates,A189)&gt;0,"Yes","No")</f>
        <v>No</v>
      </c>
      <c r="I189">
        <f>IF(B189="2015 Jan-Jun",C189,"")</f>
        <v>43678.0</v>
      </c>
      <c r="J189" s="34">
        <f>IF(COUNTIFS(tblDaily[Period],B189,tblDaily[Date],"&lt;="&amp;A189,tblDaily[Date],"&gt;"&amp;(A189-7))=7,AVERAGEIFS(tblDaily[Trips],tblDaily[Period],B189,tblDaily[Date],"&lt;="&amp;A189,tblDaily[Date],"&gt;"&amp;(A189-7)),"")</f>
        <v/>
      </c>
    </row>
    <row r="190" spans="1:10">
      <c r="A190" s="32">
        <v>42010</v>
      </c>
      <c r="B190" t="s">
        <v>304</v>
      </c>
      <c r="C190">
        <f>SUMIFS(tblHourly[Trips],tblHourly[Date],A190)</f>
        <v>53539</v>
      </c>
      <c r="D190" t="str">
        <f>CHOOSE(WEEKDAY(A190,2),"Mon","Tue","Wed","Thu","Fri","Sat","Sun")</f>
        <v>Tue</v>
      </c>
      <c r="E190" t="str">
        <f>IF(WEEKDAY(A190,2)&gt;5,"Weekend","Weekday")</f>
        <v>Weekday</v>
      </c>
      <c r="F190" s="33">
        <f>DATE(YEAR(A190),MONTH(A190),1)</f>
        <v>42005.0</v>
      </c>
      <c r="G190" t="str">
        <f>IF(COUNTIF(HolidayDates,A190)&gt;0,"Yes","No")</f>
        <v>No</v>
      </c>
      <c r="H190" t="str">
        <f>IF(COUNTIF(SpecialDates,A190)&gt;0,"Yes","No")</f>
        <v>No</v>
      </c>
      <c r="I190">
        <f>IF(B190="2015 Jan-Jun",C190,"")</f>
        <v>53539.0</v>
      </c>
      <c r="J190" s="34">
        <f>IF(COUNTIFS(tblDaily[Period],B190,tblDaily[Date],"&lt;="&amp;A190,tblDaily[Date],"&gt;"&amp;(A190-7))=7,AVERAGEIFS(tblDaily[Trips],tblDaily[Period],B190,tblDaily[Date],"&lt;="&amp;A190,tblDaily[Date],"&gt;"&amp;(A190-7)),"")</f>
        <v/>
      </c>
    </row>
    <row r="191" spans="1:10">
      <c r="A191" s="32">
        <v>42011</v>
      </c>
      <c r="B191" t="s">
        <v>304</v>
      </c>
      <c r="C191">
        <f>SUMIFS(tblHourly[Trips],tblHourly[Date],A191)</f>
        <v>63375</v>
      </c>
      <c r="D191" t="str">
        <f>CHOOSE(WEEKDAY(A191,2),"Mon","Tue","Wed","Thu","Fri","Sat","Sun")</f>
        <v>Wed</v>
      </c>
      <c r="E191" t="str">
        <f>IF(WEEKDAY(A191,2)&gt;5,"Weekend","Weekday")</f>
        <v>Weekday</v>
      </c>
      <c r="F191" s="33">
        <f>DATE(YEAR(A191),MONTH(A191),1)</f>
        <v>42005.0</v>
      </c>
      <c r="G191" t="str">
        <f>IF(COUNTIF(HolidayDates,A191)&gt;0,"Yes","No")</f>
        <v>No</v>
      </c>
      <c r="H191" t="str">
        <f>IF(COUNTIF(SpecialDates,A191)&gt;0,"Yes","No")</f>
        <v>No</v>
      </c>
      <c r="I191">
        <f>IF(B191="2015 Jan-Jun",C191,"")</f>
        <v>63375.0</v>
      </c>
      <c r="J191" s="34">
        <f>IF(COUNTIFS(tblDaily[Period],B191,tblDaily[Date],"&lt;="&amp;A191,tblDaily[Date],"&gt;"&amp;(A191-7))=7,AVERAGEIFS(tblDaily[Trips],tblDaily[Period],B191,tblDaily[Date],"&lt;="&amp;A191,tblDaily[Date],"&gt;"&amp;(A191-7)),"")</f>
        <v>51530.142857142855</v>
      </c>
    </row>
    <row r="192" spans="1:10">
      <c r="A192" s="32">
        <v>42012</v>
      </c>
      <c r="B192" t="s">
        <v>304</v>
      </c>
      <c r="C192">
        <f>SUMIFS(tblHourly[Trips],tblHourly[Date],A192)</f>
        <v>73016</v>
      </c>
      <c r="D192" t="str">
        <f>CHOOSE(WEEKDAY(A192,2),"Mon","Tue","Wed","Thu","Fri","Sat","Sun")</f>
        <v>Thu</v>
      </c>
      <c r="E192" t="str">
        <f>IF(WEEKDAY(A192,2)&gt;5,"Weekend","Weekday")</f>
        <v>Weekday</v>
      </c>
      <c r="F192" s="33">
        <f>DATE(YEAR(A192),MONTH(A192),1)</f>
        <v>42005.0</v>
      </c>
      <c r="G192" t="str">
        <f>IF(COUNTIF(HolidayDates,A192)&gt;0,"Yes","No")</f>
        <v>No</v>
      </c>
      <c r="H192" t="str">
        <f>IF(COUNTIF(SpecialDates,A192)&gt;0,"Yes","No")</f>
        <v>No</v>
      </c>
      <c r="I192">
        <f>IF(B192="2015 Jan-Jun",C192,"")</f>
        <v>73016.0</v>
      </c>
      <c r="J192" s="34">
        <f>IF(COUNTIFS(tblDaily[Period],B192,tblDaily[Date],"&lt;="&amp;A192,tblDaily[Date],"&gt;"&amp;(A192-7))=7,AVERAGEIFS(tblDaily[Trips],tblDaily[Period],B192,tblDaily[Date],"&lt;="&amp;A192,tblDaily[Date],"&gt;"&amp;(A192-7)),"")</f>
        <v>53668.857142857145</v>
      </c>
    </row>
    <row r="193" spans="1:10">
      <c r="A193" s="32">
        <v>42013</v>
      </c>
      <c r="B193" t="s">
        <v>304</v>
      </c>
      <c r="C193">
        <f>SUMIFS(tblHourly[Trips],tblHourly[Date],A193)</f>
        <v>72124</v>
      </c>
      <c r="D193" t="str">
        <f>CHOOSE(WEEKDAY(A193,2),"Mon","Tue","Wed","Thu","Fri","Sat","Sun")</f>
        <v>Fri</v>
      </c>
      <c r="E193" t="str">
        <f>IF(WEEKDAY(A193,2)&gt;5,"Weekend","Weekday")</f>
        <v>Weekday</v>
      </c>
      <c r="F193" s="33">
        <f>DATE(YEAR(A193),MONTH(A193),1)</f>
        <v>42005.0</v>
      </c>
      <c r="G193" t="str">
        <f>IF(COUNTIF(HolidayDates,A193)&gt;0,"Yes","No")</f>
        <v>No</v>
      </c>
      <c r="H193" t="str">
        <f>IF(COUNTIF(SpecialDates,A193)&gt;0,"Yes","No")</f>
        <v>No</v>
      </c>
      <c r="I193">
        <f>IF(B193="2015 Jan-Jun",C193,"")</f>
        <v>72124.0</v>
      </c>
      <c r="J193" s="34">
        <f>IF(COUNTIFS(tblDaily[Period],B193,tblDaily[Date],"&lt;="&amp;A193,tblDaily[Date],"&gt;"&amp;(A193-7))=7,AVERAGEIFS(tblDaily[Trips],tblDaily[Period],B193,tblDaily[Date],"&lt;="&amp;A193,tblDaily[Date],"&gt;"&amp;(A193-7)),"")</f>
        <v>58217.0</v>
      </c>
    </row>
    <row r="194" spans="1:10">
      <c r="A194" s="32">
        <v>42014</v>
      </c>
      <c r="B194" t="s">
        <v>304</v>
      </c>
      <c r="C194">
        <f>SUMIFS(tblHourly[Trips],tblHourly[Date],A194)</f>
        <v>80656</v>
      </c>
      <c r="D194" t="str">
        <f>CHOOSE(WEEKDAY(A194,2),"Mon","Tue","Wed","Thu","Fri","Sat","Sun")</f>
        <v>Sat</v>
      </c>
      <c r="E194" t="str">
        <f>IF(WEEKDAY(A194,2)&gt;5,"Weekend","Weekday")</f>
        <v>Weekend</v>
      </c>
      <c r="F194" s="33">
        <f>DATE(YEAR(A194),MONTH(A194),1)</f>
        <v>42005.0</v>
      </c>
      <c r="G194" t="str">
        <f>IF(COUNTIF(HolidayDates,A194)&gt;0,"Yes","No")</f>
        <v>No</v>
      </c>
      <c r="H194" t="str">
        <f>IF(COUNTIF(SpecialDates,A194)&gt;0,"Yes","No")</f>
        <v>No</v>
      </c>
      <c r="I194">
        <f>IF(B194="2015 Jan-Jun",C194,"")</f>
        <v>80656.0</v>
      </c>
      <c r="J194" s="34">
        <f>IF(COUNTIFS(tblDaily[Period],B194,tblDaily[Date],"&lt;="&amp;A194,tblDaily[Date],"&gt;"&amp;(A194-7))=7,AVERAGEIFS(tblDaily[Trips],tblDaily[Period],B194,tblDaily[Date],"&lt;="&amp;A194,tblDaily[Date],"&gt;"&amp;(A194-7)),"")</f>
        <v>61190.142857142855</v>
      </c>
    </row>
    <row r="195" spans="1:10">
      <c r="A195" s="32">
        <v>42015</v>
      </c>
      <c r="B195" t="s">
        <v>304</v>
      </c>
      <c r="C195">
        <f>SUMIFS(tblHourly[Trips],tblHourly[Date],A195)</f>
        <v>58751</v>
      </c>
      <c r="D195" t="str">
        <f>CHOOSE(WEEKDAY(A195,2),"Mon","Tue","Wed","Thu","Fri","Sat","Sun")</f>
        <v>Sun</v>
      </c>
      <c r="E195" t="str">
        <f>IF(WEEKDAY(A195,2)&gt;5,"Weekend","Weekday")</f>
        <v>Weekend</v>
      </c>
      <c r="F195" s="33">
        <f>DATE(YEAR(A195),MONTH(A195),1)</f>
        <v>42005.0</v>
      </c>
      <c r="G195" t="str">
        <f>IF(COUNTIF(HolidayDates,A195)&gt;0,"Yes","No")</f>
        <v>No</v>
      </c>
      <c r="H195" t="str">
        <f>IF(COUNTIF(SpecialDates,A195)&gt;0,"Yes","No")</f>
        <v>No</v>
      </c>
      <c r="I195">
        <f>IF(B195="2015 Jan-Jun",C195,"")</f>
        <v>58751.0</v>
      </c>
      <c r="J195" s="34">
        <f>IF(COUNTIFS(tblDaily[Period],B195,tblDaily[Date],"&lt;="&amp;A195,tblDaily[Date],"&gt;"&amp;(A195-7))=7,AVERAGEIFS(tblDaily[Trips],tblDaily[Period],B195,tblDaily[Date],"&lt;="&amp;A195,tblDaily[Date],"&gt;"&amp;(A195-7)),"")</f>
        <v>63591.28571428572</v>
      </c>
    </row>
    <row r="196" spans="1:10">
      <c r="A196" s="32">
        <v>42016</v>
      </c>
      <c r="B196" t="s">
        <v>304</v>
      </c>
      <c r="C196">
        <f>SUMIFS(tblHourly[Trips],tblHourly[Date],A196)</f>
        <v>58991</v>
      </c>
      <c r="D196" t="str">
        <f>CHOOSE(WEEKDAY(A196,2),"Mon","Tue","Wed","Thu","Fri","Sat","Sun")</f>
        <v>Mon</v>
      </c>
      <c r="E196" t="str">
        <f>IF(WEEKDAY(A196,2)&gt;5,"Weekend","Weekday")</f>
        <v>Weekday</v>
      </c>
      <c r="F196" s="33">
        <f>DATE(YEAR(A196),MONTH(A196),1)</f>
        <v>42005.0</v>
      </c>
      <c r="G196" t="str">
        <f>IF(COUNTIF(HolidayDates,A196)&gt;0,"Yes","No")</f>
        <v>No</v>
      </c>
      <c r="H196" t="str">
        <f>IF(COUNTIF(SpecialDates,A196)&gt;0,"Yes","No")</f>
        <v>No</v>
      </c>
      <c r="I196">
        <f>IF(B196="2015 Jan-Jun",C196,"")</f>
        <v>58991.0</v>
      </c>
      <c r="J196" s="34">
        <f>IF(COUNTIFS(tblDaily[Period],B196,tblDaily[Date],"&lt;="&amp;A196,tblDaily[Date],"&gt;"&amp;(A196-7))=7,AVERAGEIFS(tblDaily[Trips],tblDaily[Period],B196,tblDaily[Date],"&lt;="&amp;A196,tblDaily[Date],"&gt;"&amp;(A196-7)),"")</f>
        <v>65778.85714285714</v>
      </c>
    </row>
    <row r="197" spans="1:10">
      <c r="A197" s="32">
        <v>42017</v>
      </c>
      <c r="B197" t="s">
        <v>304</v>
      </c>
      <c r="C197">
        <f>SUMIFS(tblHourly[Trips],tblHourly[Date],A197)</f>
        <v>64765</v>
      </c>
      <c r="D197" t="str">
        <f>CHOOSE(WEEKDAY(A197,2),"Mon","Tue","Wed","Thu","Fri","Sat","Sun")</f>
        <v>Tue</v>
      </c>
      <c r="E197" t="str">
        <f>IF(WEEKDAY(A197,2)&gt;5,"Weekend","Weekday")</f>
        <v>Weekday</v>
      </c>
      <c r="F197" s="33">
        <f>DATE(YEAR(A197),MONTH(A197),1)</f>
        <v>42005.0</v>
      </c>
      <c r="G197" t="str">
        <f>IF(COUNTIF(HolidayDates,A197)&gt;0,"Yes","No")</f>
        <v>No</v>
      </c>
      <c r="H197" t="str">
        <f>IF(COUNTIF(SpecialDates,A197)&gt;0,"Yes","No")</f>
        <v>No</v>
      </c>
      <c r="I197">
        <f>IF(B197="2015 Jan-Jun",C197,"")</f>
        <v>64765.0</v>
      </c>
      <c r="J197" s="34">
        <f>IF(COUNTIFS(tblDaily[Period],B197,tblDaily[Date],"&lt;="&amp;A197,tblDaily[Date],"&gt;"&amp;(A197-7))=7,AVERAGEIFS(tblDaily[Trips],tblDaily[Period],B197,tblDaily[Date],"&lt;="&amp;A197,tblDaily[Date],"&gt;"&amp;(A197-7)),"")</f>
        <v>67382.57142857143</v>
      </c>
    </row>
    <row r="198" spans="1:10">
      <c r="A198" s="32">
        <v>42018</v>
      </c>
      <c r="B198" t="s">
        <v>304</v>
      </c>
      <c r="C198">
        <f>SUMIFS(tblHourly[Trips],tblHourly[Date],A198)</f>
        <v>64725</v>
      </c>
      <c r="D198" t="str">
        <f>CHOOSE(WEEKDAY(A198,2),"Mon","Tue","Wed","Thu","Fri","Sat","Sun")</f>
        <v>Wed</v>
      </c>
      <c r="E198" t="str">
        <f>IF(WEEKDAY(A198,2)&gt;5,"Weekend","Weekday")</f>
        <v>Weekday</v>
      </c>
      <c r="F198" s="33">
        <f>DATE(YEAR(A198),MONTH(A198),1)</f>
        <v>42005.0</v>
      </c>
      <c r="G198" t="str">
        <f>IF(COUNTIF(HolidayDates,A198)&gt;0,"Yes","No")</f>
        <v>No</v>
      </c>
      <c r="H198" t="str">
        <f>IF(COUNTIF(SpecialDates,A198)&gt;0,"Yes","No")</f>
        <v>No</v>
      </c>
      <c r="I198">
        <f>IF(B198="2015 Jan-Jun",C198,"")</f>
        <v>64725.0</v>
      </c>
      <c r="J198" s="34">
        <f>IF(COUNTIFS(tblDaily[Period],B198,tblDaily[Date],"&lt;="&amp;A198,tblDaily[Date],"&gt;"&amp;(A198-7))=7,AVERAGEIFS(tblDaily[Trips],tblDaily[Period],B198,tblDaily[Date],"&lt;="&amp;A198,tblDaily[Date],"&gt;"&amp;(A198-7)),"")</f>
        <v>67575.42857142857</v>
      </c>
    </row>
    <row r="199" spans="1:10">
      <c r="A199" s="32">
        <v>42019</v>
      </c>
      <c r="B199" t="s">
        <v>304</v>
      </c>
      <c r="C199">
        <f>SUMIFS(tblHourly[Trips],tblHourly[Date],A199)</f>
        <v>68211</v>
      </c>
      <c r="D199" t="str">
        <f>CHOOSE(WEEKDAY(A199,2),"Mon","Tue","Wed","Thu","Fri","Sat","Sun")</f>
        <v>Thu</v>
      </c>
      <c r="E199" t="str">
        <f>IF(WEEKDAY(A199,2)&gt;5,"Weekend","Weekday")</f>
        <v>Weekday</v>
      </c>
      <c r="F199" s="33">
        <f>DATE(YEAR(A199),MONTH(A199),1)</f>
        <v>42005.0</v>
      </c>
      <c r="G199" t="str">
        <f>IF(COUNTIF(HolidayDates,A199)&gt;0,"Yes","No")</f>
        <v>No</v>
      </c>
      <c r="H199" t="str">
        <f>IF(COUNTIF(SpecialDates,A199)&gt;0,"Yes","No")</f>
        <v>No</v>
      </c>
      <c r="I199">
        <f>IF(B199="2015 Jan-Jun",C199,"")</f>
        <v>68211.0</v>
      </c>
      <c r="J199" s="34">
        <f>IF(COUNTIFS(tblDaily[Period],B199,tblDaily[Date],"&lt;="&amp;A199,tblDaily[Date],"&gt;"&amp;(A199-7))=7,AVERAGEIFS(tblDaily[Trips],tblDaily[Period],B199,tblDaily[Date],"&lt;="&amp;A199,tblDaily[Date],"&gt;"&amp;(A199-7)),"")</f>
        <v>66889.0</v>
      </c>
    </row>
    <row r="200" spans="1:10">
      <c r="A200" s="32">
        <v>42020</v>
      </c>
      <c r="B200" t="s">
        <v>304</v>
      </c>
      <c r="C200">
        <f>SUMIFS(tblHourly[Trips],tblHourly[Date],A200)</f>
        <v>74193</v>
      </c>
      <c r="D200" t="str">
        <f>CHOOSE(WEEKDAY(A200,2),"Mon","Tue","Wed","Thu","Fri","Sat","Sun")</f>
        <v>Fri</v>
      </c>
      <c r="E200" t="str">
        <f>IF(WEEKDAY(A200,2)&gt;5,"Weekend","Weekday")</f>
        <v>Weekday</v>
      </c>
      <c r="F200" s="33">
        <f>DATE(YEAR(A200),MONTH(A200),1)</f>
        <v>42005.0</v>
      </c>
      <c r="G200" t="str">
        <f>IF(COUNTIF(HolidayDates,A200)&gt;0,"Yes","No")</f>
        <v>No</v>
      </c>
      <c r="H200" t="str">
        <f>IF(COUNTIF(SpecialDates,A200)&gt;0,"Yes","No")</f>
        <v>No</v>
      </c>
      <c r="I200">
        <f>IF(B200="2015 Jan-Jun",C200,"")</f>
        <v>74193.0</v>
      </c>
      <c r="J200" s="34">
        <f>IF(COUNTIFS(tblDaily[Period],B200,tblDaily[Date],"&lt;="&amp;A200,tblDaily[Date],"&gt;"&amp;(A200-7))=7,AVERAGEIFS(tblDaily[Trips],tblDaily[Period],B200,tblDaily[Date],"&lt;="&amp;A200,tblDaily[Date],"&gt;"&amp;(A200-7)),"")</f>
        <v>67184.57142857143</v>
      </c>
    </row>
    <row r="201" spans="1:10">
      <c r="A201" s="32">
        <v>42021</v>
      </c>
      <c r="B201" t="s">
        <v>304</v>
      </c>
      <c r="C201">
        <f>SUMIFS(tblHourly[Trips],tblHourly[Date],A201)</f>
        <v>75364</v>
      </c>
      <c r="D201" t="str">
        <f>CHOOSE(WEEKDAY(A201,2),"Mon","Tue","Wed","Thu","Fri","Sat","Sun")</f>
        <v>Sat</v>
      </c>
      <c r="E201" t="str">
        <f>IF(WEEKDAY(A201,2)&gt;5,"Weekend","Weekday")</f>
        <v>Weekend</v>
      </c>
      <c r="F201" s="33">
        <f>DATE(YEAR(A201),MONTH(A201),1)</f>
        <v>42005.0</v>
      </c>
      <c r="G201" t="str">
        <f>IF(COUNTIF(HolidayDates,A201)&gt;0,"Yes","No")</f>
        <v>No</v>
      </c>
      <c r="H201" t="str">
        <f>IF(COUNTIF(SpecialDates,A201)&gt;0,"Yes","No")</f>
        <v>No</v>
      </c>
      <c r="I201">
        <f>IF(B201="2015 Jan-Jun",C201,"")</f>
        <v>75364.0</v>
      </c>
      <c r="J201" s="34">
        <f>IF(COUNTIFS(tblDaily[Period],B201,tblDaily[Date],"&lt;="&amp;A201,tblDaily[Date],"&gt;"&amp;(A201-7))=7,AVERAGEIFS(tblDaily[Trips],tblDaily[Period],B201,tblDaily[Date],"&lt;="&amp;A201,tblDaily[Date],"&gt;"&amp;(A201-7)),"")</f>
        <v>66428.57142857143</v>
      </c>
    </row>
    <row r="202" spans="1:10">
      <c r="A202" s="32">
        <v>42022</v>
      </c>
      <c r="B202" t="s">
        <v>304</v>
      </c>
      <c r="C202">
        <f>SUMIFS(tblHourly[Trips],tblHourly[Date],A202)</f>
        <v>74523</v>
      </c>
      <c r="D202" t="str">
        <f>CHOOSE(WEEKDAY(A202,2),"Mon","Tue","Wed","Thu","Fri","Sat","Sun")</f>
        <v>Sun</v>
      </c>
      <c r="E202" t="str">
        <f>IF(WEEKDAY(A202,2)&gt;5,"Weekend","Weekday")</f>
        <v>Weekend</v>
      </c>
      <c r="F202" s="33">
        <f>DATE(YEAR(A202),MONTH(A202),1)</f>
        <v>42005.0</v>
      </c>
      <c r="G202" t="str">
        <f>IF(COUNTIF(HolidayDates,A202)&gt;0,"Yes","No")</f>
        <v>No</v>
      </c>
      <c r="H202" t="str">
        <f>IF(COUNTIF(SpecialDates,A202)&gt;0,"Yes","No")</f>
        <v>No</v>
      </c>
      <c r="I202">
        <f>IF(B202="2015 Jan-Jun",C202,"")</f>
        <v>74523.0</v>
      </c>
      <c r="J202" s="34">
        <f>IF(COUNTIFS(tblDaily[Period],B202,tblDaily[Date],"&lt;="&amp;A202,tblDaily[Date],"&gt;"&amp;(A202-7))=7,AVERAGEIFS(tblDaily[Trips],tblDaily[Period],B202,tblDaily[Date],"&lt;="&amp;A202,tblDaily[Date],"&gt;"&amp;(A202-7)),"")</f>
        <v>68681.71428571429</v>
      </c>
    </row>
    <row r="203" spans="1:10">
      <c r="A203" s="32">
        <v>42023</v>
      </c>
      <c r="B203" t="s">
        <v>304</v>
      </c>
      <c r="C203">
        <f>SUMIFS(tblHourly[Trips],tblHourly[Date],A203)</f>
        <v>47025</v>
      </c>
      <c r="D203" t="str">
        <f>CHOOSE(WEEKDAY(A203,2),"Mon","Tue","Wed","Thu","Fri","Sat","Sun")</f>
        <v>Mon</v>
      </c>
      <c r="E203" t="str">
        <f>IF(WEEKDAY(A203,2)&gt;5,"Weekend","Weekday")</f>
        <v>Weekday</v>
      </c>
      <c r="F203" s="33">
        <f>DATE(YEAR(A203),MONTH(A203),1)</f>
        <v>42005.0</v>
      </c>
      <c r="G203" t="str">
        <f>IF(COUNTIF(HolidayDates,A203)&gt;0,"Yes","No")</f>
        <v>Yes</v>
      </c>
      <c r="H203" t="str">
        <f>IF(COUNTIF(SpecialDates,A203)&gt;0,"Yes","No")</f>
        <v>Yes</v>
      </c>
      <c r="I203">
        <f>IF(B203="2015 Jan-Jun",C203,"")</f>
        <v>47025.0</v>
      </c>
      <c r="J203" s="34">
        <f>IF(COUNTIFS(tblDaily[Period],B203,tblDaily[Date],"&lt;="&amp;A203,tblDaily[Date],"&gt;"&amp;(A203-7))=7,AVERAGEIFS(tblDaily[Trips],tblDaily[Period],B203,tblDaily[Date],"&lt;="&amp;A203,tblDaily[Date],"&gt;"&amp;(A203-7)),"")</f>
        <v>66972.28571428571</v>
      </c>
    </row>
    <row r="204" spans="1:10">
      <c r="A204" s="32">
        <v>42024</v>
      </c>
      <c r="B204" t="s">
        <v>304</v>
      </c>
      <c r="C204">
        <f>SUMIFS(tblHourly[Trips],tblHourly[Date],A204)</f>
        <v>55867</v>
      </c>
      <c r="D204" t="str">
        <f>CHOOSE(WEEKDAY(A204,2),"Mon","Tue","Wed","Thu","Fri","Sat","Sun")</f>
        <v>Tue</v>
      </c>
      <c r="E204" t="str">
        <f>IF(WEEKDAY(A204,2)&gt;5,"Weekend","Weekday")</f>
        <v>Weekday</v>
      </c>
      <c r="F204" s="33">
        <f>DATE(YEAR(A204),MONTH(A204),1)</f>
        <v>42005.0</v>
      </c>
      <c r="G204" t="str">
        <f>IF(COUNTIF(HolidayDates,A204)&gt;0,"Yes","No")</f>
        <v>No</v>
      </c>
      <c r="H204" t="str">
        <f>IF(COUNTIF(SpecialDates,A204)&gt;0,"Yes","No")</f>
        <v>No</v>
      </c>
      <c r="I204">
        <f>IF(B204="2015 Jan-Jun",C204,"")</f>
        <v>55867.0</v>
      </c>
      <c r="J204" s="34">
        <f>IF(COUNTIFS(tblDaily[Period],B204,tblDaily[Date],"&lt;="&amp;A204,tblDaily[Date],"&gt;"&amp;(A204-7))=7,AVERAGEIFS(tblDaily[Trips],tblDaily[Period],B204,tblDaily[Date],"&lt;="&amp;A204,tblDaily[Date],"&gt;"&amp;(A204-7)),"")</f>
        <v>65701.14285714286</v>
      </c>
    </row>
    <row r="205" spans="1:10">
      <c r="A205" s="32">
        <v>42025</v>
      </c>
      <c r="B205" t="s">
        <v>304</v>
      </c>
      <c r="C205">
        <f>SUMIFS(tblHourly[Trips],tblHourly[Date],A205)</f>
        <v>60383</v>
      </c>
      <c r="D205" t="str">
        <f>CHOOSE(WEEKDAY(A205,2),"Mon","Tue","Wed","Thu","Fri","Sat","Sun")</f>
        <v>Wed</v>
      </c>
      <c r="E205" t="str">
        <f>IF(WEEKDAY(A205,2)&gt;5,"Weekend","Weekday")</f>
        <v>Weekday</v>
      </c>
      <c r="F205" s="33">
        <f>DATE(YEAR(A205),MONTH(A205),1)</f>
        <v>42005.0</v>
      </c>
      <c r="G205" t="str">
        <f>IF(COUNTIF(HolidayDates,A205)&gt;0,"Yes","No")</f>
        <v>No</v>
      </c>
      <c r="H205" t="str">
        <f>IF(COUNTIF(SpecialDates,A205)&gt;0,"Yes","No")</f>
        <v>No</v>
      </c>
      <c r="I205">
        <f>IF(B205="2015 Jan-Jun",C205,"")</f>
        <v>60383.0</v>
      </c>
      <c r="J205" s="34">
        <f>IF(COUNTIFS(tblDaily[Period],B205,tblDaily[Date],"&lt;="&amp;A205,tblDaily[Date],"&gt;"&amp;(A205-7))=7,AVERAGEIFS(tblDaily[Trips],tblDaily[Period],B205,tblDaily[Date],"&lt;="&amp;A205,tblDaily[Date],"&gt;"&amp;(A205-7)),"")</f>
        <v>65080.857142857145</v>
      </c>
    </row>
    <row r="206" spans="1:10">
      <c r="A206" s="32">
        <v>42026</v>
      </c>
      <c r="B206" t="s">
        <v>304</v>
      </c>
      <c r="C206">
        <f>SUMIFS(tblHourly[Trips],tblHourly[Date],A206)</f>
        <v>66819</v>
      </c>
      <c r="D206" t="str">
        <f>CHOOSE(WEEKDAY(A206,2),"Mon","Tue","Wed","Thu","Fri","Sat","Sun")</f>
        <v>Thu</v>
      </c>
      <c r="E206" t="str">
        <f>IF(WEEKDAY(A206,2)&gt;5,"Weekend","Weekday")</f>
        <v>Weekday</v>
      </c>
      <c r="F206" s="33">
        <f>DATE(YEAR(A206),MONTH(A206),1)</f>
        <v>42005.0</v>
      </c>
      <c r="G206" t="str">
        <f>IF(COUNTIF(HolidayDates,A206)&gt;0,"Yes","No")</f>
        <v>No</v>
      </c>
      <c r="H206" t="str">
        <f>IF(COUNTIF(SpecialDates,A206)&gt;0,"Yes","No")</f>
        <v>No</v>
      </c>
      <c r="I206">
        <f>IF(B206="2015 Jan-Jun",C206,"")</f>
        <v>66819.0</v>
      </c>
      <c r="J206" s="34">
        <f>IF(COUNTIFS(tblDaily[Period],B206,tblDaily[Date],"&lt;="&amp;A206,tblDaily[Date],"&gt;"&amp;(A206-7))=7,AVERAGEIFS(tblDaily[Trips],tblDaily[Period],B206,tblDaily[Date],"&lt;="&amp;A206,tblDaily[Date],"&gt;"&amp;(A206-7)),"")</f>
        <v>64882.0</v>
      </c>
    </row>
    <row r="207" spans="1:10">
      <c r="A207" s="32">
        <v>42027</v>
      </c>
      <c r="B207" t="s">
        <v>304</v>
      </c>
      <c r="C207">
        <f>SUMIFS(tblHourly[Trips],tblHourly[Date],A207)</f>
        <v>73363</v>
      </c>
      <c r="D207" t="str">
        <f>CHOOSE(WEEKDAY(A207,2),"Mon","Tue","Wed","Thu","Fri","Sat","Sun")</f>
        <v>Fri</v>
      </c>
      <c r="E207" t="str">
        <f>IF(WEEKDAY(A207,2)&gt;5,"Weekend","Weekday")</f>
        <v>Weekday</v>
      </c>
      <c r="F207" s="33">
        <f>DATE(YEAR(A207),MONTH(A207),1)</f>
        <v>42005.0</v>
      </c>
      <c r="G207" t="str">
        <f>IF(COUNTIF(HolidayDates,A207)&gt;0,"Yes","No")</f>
        <v>No</v>
      </c>
      <c r="H207" t="str">
        <f>IF(COUNTIF(SpecialDates,A207)&gt;0,"Yes","No")</f>
        <v>No</v>
      </c>
      <c r="I207">
        <f>IF(B207="2015 Jan-Jun",C207,"")</f>
        <v>73363.0</v>
      </c>
      <c r="J207" s="34">
        <f>IF(COUNTIFS(tblDaily[Period],B207,tblDaily[Date],"&lt;="&amp;A207,tblDaily[Date],"&gt;"&amp;(A207-7))=7,AVERAGEIFS(tblDaily[Trips],tblDaily[Period],B207,tblDaily[Date],"&lt;="&amp;A207,tblDaily[Date],"&gt;"&amp;(A207-7)),"")</f>
        <v>64763.42857142857</v>
      </c>
    </row>
    <row r="208" spans="1:10">
      <c r="A208" s="32">
        <v>42028</v>
      </c>
      <c r="B208" t="s">
        <v>304</v>
      </c>
      <c r="C208">
        <f>SUMIFS(tblHourly[Trips],tblHourly[Date],A208)</f>
        <v>82588</v>
      </c>
      <c r="D208" t="str">
        <f>CHOOSE(WEEKDAY(A208,2),"Mon","Tue","Wed","Thu","Fri","Sat","Sun")</f>
        <v>Sat</v>
      </c>
      <c r="E208" t="str">
        <f>IF(WEEKDAY(A208,2)&gt;5,"Weekend","Weekday")</f>
        <v>Weekend</v>
      </c>
      <c r="F208" s="33">
        <f>DATE(YEAR(A208),MONTH(A208),1)</f>
        <v>42005.0</v>
      </c>
      <c r="G208" t="str">
        <f>IF(COUNTIF(HolidayDates,A208)&gt;0,"Yes","No")</f>
        <v>No</v>
      </c>
      <c r="H208" t="str">
        <f>IF(COUNTIF(SpecialDates,A208)&gt;0,"Yes","No")</f>
        <v>No</v>
      </c>
      <c r="I208">
        <f>IF(B208="2015 Jan-Jun",C208,"")</f>
        <v>82588.0</v>
      </c>
      <c r="J208" s="34">
        <f>IF(COUNTIFS(tblDaily[Period],B208,tblDaily[Date],"&lt;="&amp;A208,tblDaily[Date],"&gt;"&amp;(A208-7))=7,AVERAGEIFS(tblDaily[Trips],tblDaily[Period],B208,tblDaily[Date],"&lt;="&amp;A208,tblDaily[Date],"&gt;"&amp;(A208-7)),"")</f>
        <v>65795.42857142857</v>
      </c>
    </row>
    <row r="209" spans="1:10">
      <c r="A209" s="32">
        <v>42029</v>
      </c>
      <c r="B209" t="s">
        <v>304</v>
      </c>
      <c r="C209">
        <f>SUMIFS(tblHourly[Trips],tblHourly[Date],A209)</f>
        <v>59382</v>
      </c>
      <c r="D209" t="str">
        <f>CHOOSE(WEEKDAY(A209,2),"Mon","Tue","Wed","Thu","Fri","Sat","Sun")</f>
        <v>Sun</v>
      </c>
      <c r="E209" t="str">
        <f>IF(WEEKDAY(A209,2)&gt;5,"Weekend","Weekday")</f>
        <v>Weekend</v>
      </c>
      <c r="F209" s="33">
        <f>DATE(YEAR(A209),MONTH(A209),1)</f>
        <v>42005.0</v>
      </c>
      <c r="G209" t="str">
        <f>IF(COUNTIF(HolidayDates,A209)&gt;0,"Yes","No")</f>
        <v>No</v>
      </c>
      <c r="H209" t="str">
        <f>IF(COUNTIF(SpecialDates,A209)&gt;0,"Yes","No")</f>
        <v>No</v>
      </c>
      <c r="I209">
        <f>IF(B209="2015 Jan-Jun",C209,"")</f>
        <v>59382.0</v>
      </c>
      <c r="J209" s="34">
        <f>IF(COUNTIFS(tblDaily[Period],B209,tblDaily[Date],"&lt;="&amp;A209,tblDaily[Date],"&gt;"&amp;(A209-7))=7,AVERAGEIFS(tblDaily[Trips],tblDaily[Period],B209,tblDaily[Date],"&lt;="&amp;A209,tblDaily[Date],"&gt;"&amp;(A209-7)),"")</f>
        <v>63632.42857142857</v>
      </c>
    </row>
    <row r="210" spans="1:10">
      <c r="A210" s="32">
        <v>42030</v>
      </c>
      <c r="B210" t="s">
        <v>304</v>
      </c>
      <c r="C210">
        <f>SUMIFS(tblHourly[Trips],tblHourly[Date],A210)</f>
        <v>44310</v>
      </c>
      <c r="D210" t="str">
        <f>CHOOSE(WEEKDAY(A210,2),"Mon","Tue","Wed","Thu","Fri","Sat","Sun")</f>
        <v>Mon</v>
      </c>
      <c r="E210" t="str">
        <f>IF(WEEKDAY(A210,2)&gt;5,"Weekend","Weekday")</f>
        <v>Weekday</v>
      </c>
      <c r="F210" s="33">
        <f>DATE(YEAR(A210),MONTH(A210),1)</f>
        <v>42005.0</v>
      </c>
      <c r="G210" t="str">
        <f>IF(COUNTIF(HolidayDates,A210)&gt;0,"Yes","No")</f>
        <v>No</v>
      </c>
      <c r="H210" t="str">
        <f>IF(COUNTIF(SpecialDates,A210)&gt;0,"Yes","No")</f>
        <v>Yes</v>
      </c>
      <c r="I210">
        <f>IF(B210="2015 Jan-Jun",C210,"")</f>
        <v>44310.0</v>
      </c>
      <c r="J210" s="34">
        <f>IF(COUNTIFS(tblDaily[Period],B210,tblDaily[Date],"&lt;="&amp;A210,tblDaily[Date],"&gt;"&amp;(A210-7))=7,AVERAGEIFS(tblDaily[Trips],tblDaily[Period],B210,tblDaily[Date],"&lt;="&amp;A210,tblDaily[Date],"&gt;"&amp;(A210-7)),"")</f>
        <v>63244.57142857143</v>
      </c>
    </row>
    <row r="211" spans="1:10">
      <c r="A211" s="32">
        <v>42031</v>
      </c>
      <c r="B211" t="s">
        <v>304</v>
      </c>
      <c r="C211">
        <f>SUMIFS(tblHourly[Trips],tblHourly[Date],A211)</f>
        <v>25954</v>
      </c>
      <c r="D211" t="str">
        <f>CHOOSE(WEEKDAY(A211,2),"Mon","Tue","Wed","Thu","Fri","Sat","Sun")</f>
        <v>Tue</v>
      </c>
      <c r="E211" t="str">
        <f>IF(WEEKDAY(A211,2)&gt;5,"Weekend","Weekday")</f>
        <v>Weekday</v>
      </c>
      <c r="F211" s="33">
        <f>DATE(YEAR(A211),MONTH(A211),1)</f>
        <v>42005.0</v>
      </c>
      <c r="G211" t="str">
        <f>IF(COUNTIF(HolidayDates,A211)&gt;0,"Yes","No")</f>
        <v>No</v>
      </c>
      <c r="H211" t="str">
        <f>IF(COUNTIF(SpecialDates,A211)&gt;0,"Yes","No")</f>
        <v>Yes</v>
      </c>
      <c r="I211">
        <f>IF(B211="2015 Jan-Jun",C211,"")</f>
        <v>25954.0</v>
      </c>
      <c r="J211" s="34">
        <f>IF(COUNTIFS(tblDaily[Period],B211,tblDaily[Date],"&lt;="&amp;A211,tblDaily[Date],"&gt;"&amp;(A211-7))=7,AVERAGEIFS(tblDaily[Trips],tblDaily[Period],B211,tblDaily[Date],"&lt;="&amp;A211,tblDaily[Date],"&gt;"&amp;(A211-7)),"")</f>
        <v>58971.28571428572</v>
      </c>
    </row>
    <row r="212" spans="1:10">
      <c r="A212" s="32">
        <v>42032</v>
      </c>
      <c r="B212" t="s">
        <v>304</v>
      </c>
      <c r="C212">
        <f>SUMIFS(tblHourly[Trips],tblHourly[Date],A212)</f>
        <v>61626</v>
      </c>
      <c r="D212" t="str">
        <f>CHOOSE(WEEKDAY(A212,2),"Mon","Tue","Wed","Thu","Fri","Sat","Sun")</f>
        <v>Wed</v>
      </c>
      <c r="E212" t="str">
        <f>IF(WEEKDAY(A212,2)&gt;5,"Weekend","Weekday")</f>
        <v>Weekday</v>
      </c>
      <c r="F212" s="33">
        <f>DATE(YEAR(A212),MONTH(A212),1)</f>
        <v>42005.0</v>
      </c>
      <c r="G212" t="str">
        <f>IF(COUNTIF(HolidayDates,A212)&gt;0,"Yes","No")</f>
        <v>No</v>
      </c>
      <c r="H212" t="str">
        <f>IF(COUNTIF(SpecialDates,A212)&gt;0,"Yes","No")</f>
        <v>No</v>
      </c>
      <c r="I212">
        <f>IF(B212="2015 Jan-Jun",C212,"")</f>
        <v>61626.0</v>
      </c>
      <c r="J212" s="34">
        <f>IF(COUNTIFS(tblDaily[Period],B212,tblDaily[Date],"&lt;="&amp;A212,tblDaily[Date],"&gt;"&amp;(A212-7))=7,AVERAGEIFS(tblDaily[Trips],tblDaily[Period],B212,tblDaily[Date],"&lt;="&amp;A212,tblDaily[Date],"&gt;"&amp;(A212-7)),"")</f>
        <v>59148.857142857145</v>
      </c>
    </row>
    <row r="213" spans="1:10">
      <c r="A213" s="32">
        <v>42033</v>
      </c>
      <c r="B213" t="s">
        <v>304</v>
      </c>
      <c r="C213">
        <f>SUMIFS(tblHourly[Trips],tblHourly[Date],A213)</f>
        <v>70441</v>
      </c>
      <c r="D213" t="str">
        <f>CHOOSE(WEEKDAY(A213,2),"Mon","Tue","Wed","Thu","Fri","Sat","Sun")</f>
        <v>Thu</v>
      </c>
      <c r="E213" t="str">
        <f>IF(WEEKDAY(A213,2)&gt;5,"Weekend","Weekday")</f>
        <v>Weekday</v>
      </c>
      <c r="F213" s="33">
        <f>DATE(YEAR(A213),MONTH(A213),1)</f>
        <v>42005.0</v>
      </c>
      <c r="G213" t="str">
        <f>IF(COUNTIF(HolidayDates,A213)&gt;0,"Yes","No")</f>
        <v>No</v>
      </c>
      <c r="H213" t="str">
        <f>IF(COUNTIF(SpecialDates,A213)&gt;0,"Yes","No")</f>
        <v>No</v>
      </c>
      <c r="I213">
        <f>IF(B213="2015 Jan-Jun",C213,"")</f>
        <v>70441.0</v>
      </c>
      <c r="J213" s="34">
        <f>IF(COUNTIFS(tblDaily[Period],B213,tblDaily[Date],"&lt;="&amp;A213,tblDaily[Date],"&gt;"&amp;(A213-7))=7,AVERAGEIFS(tblDaily[Trips],tblDaily[Period],B213,tblDaily[Date],"&lt;="&amp;A213,tblDaily[Date],"&gt;"&amp;(A213-7)),"")</f>
        <v>59666.28571428572</v>
      </c>
    </row>
    <row r="214" spans="1:10">
      <c r="A214" s="32">
        <v>42034</v>
      </c>
      <c r="B214" t="s">
        <v>304</v>
      </c>
      <c r="C214">
        <f>SUMIFS(tblHourly[Trips],tblHourly[Date],A214)</f>
        <v>85565</v>
      </c>
      <c r="D214" t="str">
        <f>CHOOSE(WEEKDAY(A214,2),"Mon","Tue","Wed","Thu","Fri","Sat","Sun")</f>
        <v>Fri</v>
      </c>
      <c r="E214" t="str">
        <f>IF(WEEKDAY(A214,2)&gt;5,"Weekend","Weekday")</f>
        <v>Weekday</v>
      </c>
      <c r="F214" s="33">
        <f>DATE(YEAR(A214),MONTH(A214),1)</f>
        <v>42005.0</v>
      </c>
      <c r="G214" t="str">
        <f>IF(COUNTIF(HolidayDates,A214)&gt;0,"Yes","No")</f>
        <v>No</v>
      </c>
      <c r="H214" t="str">
        <f>IF(COUNTIF(SpecialDates,A214)&gt;0,"Yes","No")</f>
        <v>No</v>
      </c>
      <c r="I214">
        <f>IF(B214="2015 Jan-Jun",C214,"")</f>
        <v>85565.0</v>
      </c>
      <c r="J214" s="34">
        <f>IF(COUNTIFS(tblDaily[Period],B214,tblDaily[Date],"&lt;="&amp;A214,tblDaily[Date],"&gt;"&amp;(A214-7))=7,AVERAGEIFS(tblDaily[Trips],tblDaily[Period],B214,tblDaily[Date],"&lt;="&amp;A214,tblDaily[Date],"&gt;"&amp;(A214-7)),"")</f>
        <v>61409.42857142857</v>
      </c>
    </row>
    <row r="215" spans="1:10">
      <c r="A215" s="32">
        <v>42035</v>
      </c>
      <c r="B215" t="s">
        <v>304</v>
      </c>
      <c r="C215">
        <f>SUMIFS(tblHourly[Trips],tblHourly[Date],A215)</f>
        <v>94448</v>
      </c>
      <c r="D215" t="str">
        <f>CHOOSE(WEEKDAY(A215,2),"Mon","Tue","Wed","Thu","Fri","Sat","Sun")</f>
        <v>Sat</v>
      </c>
      <c r="E215" t="str">
        <f>IF(WEEKDAY(A215,2)&gt;5,"Weekend","Weekday")</f>
        <v>Weekend</v>
      </c>
      <c r="F215" s="33">
        <f>DATE(YEAR(A215),MONTH(A215),1)</f>
        <v>42005.0</v>
      </c>
      <c r="G215" t="str">
        <f>IF(COUNTIF(HolidayDates,A215)&gt;0,"Yes","No")</f>
        <v>No</v>
      </c>
      <c r="H215" t="str">
        <f>IF(COUNTIF(SpecialDates,A215)&gt;0,"Yes","No")</f>
        <v>No</v>
      </c>
      <c r="I215">
        <f>IF(B215="2015 Jan-Jun",C215,"")</f>
        <v>94448.0</v>
      </c>
      <c r="J215" s="34">
        <f>IF(COUNTIFS(tblDaily[Period],B215,tblDaily[Date],"&lt;="&amp;A215,tblDaily[Date],"&gt;"&amp;(A215-7))=7,AVERAGEIFS(tblDaily[Trips],tblDaily[Period],B215,tblDaily[Date],"&lt;="&amp;A215,tblDaily[Date],"&gt;"&amp;(A215-7)),"")</f>
        <v>63103.71428571428</v>
      </c>
    </row>
    <row r="216" spans="1:10">
      <c r="A216" s="32">
        <v>42036</v>
      </c>
      <c r="B216" t="s">
        <v>304</v>
      </c>
      <c r="C216">
        <f>SUMIFS(tblHourly[Trips],tblHourly[Date],A216)</f>
        <v>78592</v>
      </c>
      <c r="D216" t="str">
        <f>CHOOSE(WEEKDAY(A216,2),"Mon","Tue","Wed","Thu","Fri","Sat","Sun")</f>
        <v>Sun</v>
      </c>
      <c r="E216" t="str">
        <f>IF(WEEKDAY(A216,2)&gt;5,"Weekend","Weekday")</f>
        <v>Weekend</v>
      </c>
      <c r="F216" s="33">
        <f>DATE(YEAR(A216),MONTH(A216),1)</f>
        <v>42036.0</v>
      </c>
      <c r="G216" t="str">
        <f>IF(COUNTIF(HolidayDates,A216)&gt;0,"Yes","No")</f>
        <v>No</v>
      </c>
      <c r="H216" t="str">
        <f>IF(COUNTIF(SpecialDates,A216)&gt;0,"Yes","No")</f>
        <v>No</v>
      </c>
      <c r="I216">
        <f>IF(B216="2015 Jan-Jun",C216,"")</f>
        <v>78592.0</v>
      </c>
      <c r="J216" s="34">
        <f>IF(COUNTIFS(tblDaily[Period],B216,tblDaily[Date],"&lt;="&amp;A216,tblDaily[Date],"&gt;"&amp;(A216-7))=7,AVERAGEIFS(tblDaily[Trips],tblDaily[Period],B216,tblDaily[Date],"&lt;="&amp;A216,tblDaily[Date],"&gt;"&amp;(A216-7)),"")</f>
        <v>65848.0</v>
      </c>
    </row>
    <row r="217" spans="1:10">
      <c r="A217" s="32">
        <v>42037</v>
      </c>
      <c r="B217" t="s">
        <v>304</v>
      </c>
      <c r="C217">
        <f>SUMIFS(tblHourly[Trips],tblHourly[Date],A217)</f>
        <v>70193</v>
      </c>
      <c r="D217" t="str">
        <f>CHOOSE(WEEKDAY(A217,2),"Mon","Tue","Wed","Thu","Fri","Sat","Sun")</f>
        <v>Mon</v>
      </c>
      <c r="E217" t="str">
        <f>IF(WEEKDAY(A217,2)&gt;5,"Weekend","Weekday")</f>
        <v>Weekday</v>
      </c>
      <c r="F217" s="33">
        <f>DATE(YEAR(A217),MONTH(A217),1)</f>
        <v>42036.0</v>
      </c>
      <c r="G217" t="str">
        <f>IF(COUNTIF(HolidayDates,A217)&gt;0,"Yes","No")</f>
        <v>No</v>
      </c>
      <c r="H217" t="str">
        <f>IF(COUNTIF(SpecialDates,A217)&gt;0,"Yes","No")</f>
        <v>No</v>
      </c>
      <c r="I217">
        <f>IF(B217="2015 Jan-Jun",C217,"")</f>
        <v>70193.0</v>
      </c>
      <c r="J217" s="34">
        <f>IF(COUNTIFS(tblDaily[Period],B217,tblDaily[Date],"&lt;="&amp;A217,tblDaily[Date],"&gt;"&amp;(A217-7))=7,AVERAGEIFS(tblDaily[Trips],tblDaily[Period],B217,tblDaily[Date],"&lt;="&amp;A217,tblDaily[Date],"&gt;"&amp;(A217-7)),"")</f>
        <v>69545.57142857143</v>
      </c>
    </row>
    <row r="218" spans="1:10">
      <c r="A218" s="32">
        <v>42038</v>
      </c>
      <c r="B218" t="s">
        <v>304</v>
      </c>
      <c r="C218">
        <f>SUMIFS(tblHourly[Trips],tblHourly[Date],A218)</f>
        <v>71532</v>
      </c>
      <c r="D218" t="str">
        <f>CHOOSE(WEEKDAY(A218,2),"Mon","Tue","Wed","Thu","Fri","Sat","Sun")</f>
        <v>Tue</v>
      </c>
      <c r="E218" t="str">
        <f>IF(WEEKDAY(A218,2)&gt;5,"Weekend","Weekday")</f>
        <v>Weekday</v>
      </c>
      <c r="F218" s="33">
        <f>DATE(YEAR(A218),MONTH(A218),1)</f>
        <v>42036.0</v>
      </c>
      <c r="G218" t="str">
        <f>IF(COUNTIF(HolidayDates,A218)&gt;0,"Yes","No")</f>
        <v>No</v>
      </c>
      <c r="H218" t="str">
        <f>IF(COUNTIF(SpecialDates,A218)&gt;0,"Yes","No")</f>
        <v>No</v>
      </c>
      <c r="I218">
        <f>IF(B218="2015 Jan-Jun",C218,"")</f>
        <v>71532.0</v>
      </c>
      <c r="J218" s="34">
        <f>IF(COUNTIFS(tblDaily[Period],B218,tblDaily[Date],"&lt;="&amp;A218,tblDaily[Date],"&gt;"&amp;(A218-7))=7,AVERAGEIFS(tblDaily[Trips],tblDaily[Period],B218,tblDaily[Date],"&lt;="&amp;A218,tblDaily[Date],"&gt;"&amp;(A218-7)),"")</f>
        <v>76056.71428571429</v>
      </c>
    </row>
    <row r="219" spans="1:10">
      <c r="A219" s="32">
        <v>42039</v>
      </c>
      <c r="B219" t="s">
        <v>304</v>
      </c>
      <c r="C219">
        <f>SUMIFS(tblHourly[Trips],tblHourly[Date],A219)</f>
        <v>68237</v>
      </c>
      <c r="D219" t="str">
        <f>CHOOSE(WEEKDAY(A219,2),"Mon","Tue","Wed","Thu","Fri","Sat","Sun")</f>
        <v>Wed</v>
      </c>
      <c r="E219" t="str">
        <f>IF(WEEKDAY(A219,2)&gt;5,"Weekend","Weekday")</f>
        <v>Weekday</v>
      </c>
      <c r="F219" s="33">
        <f>DATE(YEAR(A219),MONTH(A219),1)</f>
        <v>42036.0</v>
      </c>
      <c r="G219" t="str">
        <f>IF(COUNTIF(HolidayDates,A219)&gt;0,"Yes","No")</f>
        <v>No</v>
      </c>
      <c r="H219" t="str">
        <f>IF(COUNTIF(SpecialDates,A219)&gt;0,"Yes","No")</f>
        <v>No</v>
      </c>
      <c r="I219">
        <f>IF(B219="2015 Jan-Jun",C219,"")</f>
        <v>68237.0</v>
      </c>
      <c r="J219" s="34">
        <f>IF(COUNTIFS(tblDaily[Period],B219,tblDaily[Date],"&lt;="&amp;A219,tblDaily[Date],"&gt;"&amp;(A219-7))=7,AVERAGEIFS(tblDaily[Trips],tblDaily[Period],B219,tblDaily[Date],"&lt;="&amp;A219,tblDaily[Date],"&gt;"&amp;(A219-7)),"")</f>
        <v>77001.14285714286</v>
      </c>
    </row>
    <row r="220" spans="1:10">
      <c r="A220" s="32">
        <v>42040</v>
      </c>
      <c r="B220" t="s">
        <v>304</v>
      </c>
      <c r="C220">
        <f>SUMIFS(tblHourly[Trips],tblHourly[Date],A220)</f>
        <v>82336</v>
      </c>
      <c r="D220" t="str">
        <f>CHOOSE(WEEKDAY(A220,2),"Mon","Tue","Wed","Thu","Fri","Sat","Sun")</f>
        <v>Thu</v>
      </c>
      <c r="E220" t="str">
        <f>IF(WEEKDAY(A220,2)&gt;5,"Weekend","Weekday")</f>
        <v>Weekday</v>
      </c>
      <c r="F220" s="33">
        <f>DATE(YEAR(A220),MONTH(A220),1)</f>
        <v>42036.0</v>
      </c>
      <c r="G220" t="str">
        <f>IF(COUNTIF(HolidayDates,A220)&gt;0,"Yes","No")</f>
        <v>No</v>
      </c>
      <c r="H220" t="str">
        <f>IF(COUNTIF(SpecialDates,A220)&gt;0,"Yes","No")</f>
        <v>No</v>
      </c>
      <c r="I220">
        <f>IF(B220="2015 Jan-Jun",C220,"")</f>
        <v>82336.0</v>
      </c>
      <c r="J220" s="34">
        <f>IF(COUNTIFS(tblDaily[Period],B220,tblDaily[Date],"&lt;="&amp;A220,tblDaily[Date],"&gt;"&amp;(A220-7))=7,AVERAGEIFS(tblDaily[Trips],tblDaily[Period],B220,tblDaily[Date],"&lt;="&amp;A220,tblDaily[Date],"&gt;"&amp;(A220-7)),"")</f>
        <v>78700.42857142857</v>
      </c>
    </row>
    <row r="221" spans="1:10">
      <c r="A221" s="32">
        <v>42041</v>
      </c>
      <c r="B221" t="s">
        <v>304</v>
      </c>
      <c r="C221">
        <f>SUMIFS(tblHourly[Trips],tblHourly[Date],A221)</f>
        <v>87568</v>
      </c>
      <c r="D221" t="str">
        <f>CHOOSE(WEEKDAY(A221,2),"Mon","Tue","Wed","Thu","Fri","Sat","Sun")</f>
        <v>Fri</v>
      </c>
      <c r="E221" t="str">
        <f>IF(WEEKDAY(A221,2)&gt;5,"Weekend","Weekday")</f>
        <v>Weekday</v>
      </c>
      <c r="F221" s="33">
        <f>DATE(YEAR(A221),MONTH(A221),1)</f>
        <v>42036.0</v>
      </c>
      <c r="G221" t="str">
        <f>IF(COUNTIF(HolidayDates,A221)&gt;0,"Yes","No")</f>
        <v>No</v>
      </c>
      <c r="H221" t="str">
        <f>IF(COUNTIF(SpecialDates,A221)&gt;0,"Yes","No")</f>
        <v>No</v>
      </c>
      <c r="I221">
        <f>IF(B221="2015 Jan-Jun",C221,"")</f>
        <v>87568.0</v>
      </c>
      <c r="J221" s="34">
        <f>IF(COUNTIFS(tblDaily[Period],B221,tblDaily[Date],"&lt;="&amp;A221,tblDaily[Date],"&gt;"&amp;(A221-7))=7,AVERAGEIFS(tblDaily[Trips],tblDaily[Period],B221,tblDaily[Date],"&lt;="&amp;A221,tblDaily[Date],"&gt;"&amp;(A221-7)),"")</f>
        <v>78986.57142857143</v>
      </c>
    </row>
    <row r="222" spans="1:10">
      <c r="A222" s="32">
        <v>42042</v>
      </c>
      <c r="B222" t="s">
        <v>304</v>
      </c>
      <c r="C222">
        <f>SUMIFS(tblHourly[Trips],tblHourly[Date],A222)</f>
        <v>82752</v>
      </c>
      <c r="D222" t="str">
        <f>CHOOSE(WEEKDAY(A222,2),"Mon","Tue","Wed","Thu","Fri","Sat","Sun")</f>
        <v>Sat</v>
      </c>
      <c r="E222" t="str">
        <f>IF(WEEKDAY(A222,2)&gt;5,"Weekend","Weekday")</f>
        <v>Weekend</v>
      </c>
      <c r="F222" s="33">
        <f>DATE(YEAR(A222),MONTH(A222),1)</f>
        <v>42036.0</v>
      </c>
      <c r="G222" t="str">
        <f>IF(COUNTIF(HolidayDates,A222)&gt;0,"Yes","No")</f>
        <v>No</v>
      </c>
      <c r="H222" t="str">
        <f>IF(COUNTIF(SpecialDates,A222)&gt;0,"Yes","No")</f>
        <v>No</v>
      </c>
      <c r="I222">
        <f>IF(B222="2015 Jan-Jun",C222,"")</f>
        <v>82752.0</v>
      </c>
      <c r="J222" s="34">
        <f>IF(COUNTIFS(tblDaily[Period],B222,tblDaily[Date],"&lt;="&amp;A222,tblDaily[Date],"&gt;"&amp;(A222-7))=7,AVERAGEIFS(tblDaily[Trips],tblDaily[Period],B222,tblDaily[Date],"&lt;="&amp;A222,tblDaily[Date],"&gt;"&amp;(A222-7)),"")</f>
        <v>77315.71428571429</v>
      </c>
    </row>
    <row r="223" spans="1:10">
      <c r="A223" s="32">
        <v>42043</v>
      </c>
      <c r="B223" t="s">
        <v>304</v>
      </c>
      <c r="C223">
        <f>SUMIFS(tblHourly[Trips],tblHourly[Date],A223)</f>
        <v>64327</v>
      </c>
      <c r="D223" t="str">
        <f>CHOOSE(WEEKDAY(A223,2),"Mon","Tue","Wed","Thu","Fri","Sat","Sun")</f>
        <v>Sun</v>
      </c>
      <c r="E223" t="str">
        <f>IF(WEEKDAY(A223,2)&gt;5,"Weekend","Weekday")</f>
        <v>Weekend</v>
      </c>
      <c r="F223" s="33">
        <f>DATE(YEAR(A223),MONTH(A223),1)</f>
        <v>42036.0</v>
      </c>
      <c r="G223" t="str">
        <f>IF(COUNTIF(HolidayDates,A223)&gt;0,"Yes","No")</f>
        <v>No</v>
      </c>
      <c r="H223" t="str">
        <f>IF(COUNTIF(SpecialDates,A223)&gt;0,"Yes","No")</f>
        <v>No</v>
      </c>
      <c r="I223">
        <f>IF(B223="2015 Jan-Jun",C223,"")</f>
        <v>64327.0</v>
      </c>
      <c r="J223" s="34">
        <f>IF(COUNTIFS(tblDaily[Period],B223,tblDaily[Date],"&lt;="&amp;A223,tblDaily[Date],"&gt;"&amp;(A223-7))=7,AVERAGEIFS(tblDaily[Trips],tblDaily[Period],B223,tblDaily[Date],"&lt;="&amp;A223,tblDaily[Date],"&gt;"&amp;(A223-7)),"")</f>
        <v>75277.85714285714</v>
      </c>
    </row>
    <row r="224" spans="1:10">
      <c r="A224" s="32">
        <v>42044</v>
      </c>
      <c r="B224" t="s">
        <v>304</v>
      </c>
      <c r="C224">
        <f>SUMIFS(tblHourly[Trips],tblHourly[Date],A224)</f>
        <v>63306</v>
      </c>
      <c r="D224" t="str">
        <f>CHOOSE(WEEKDAY(A224,2),"Mon","Tue","Wed","Thu","Fri","Sat","Sun")</f>
        <v>Mon</v>
      </c>
      <c r="E224" t="str">
        <f>IF(WEEKDAY(A224,2)&gt;5,"Weekend","Weekday")</f>
        <v>Weekday</v>
      </c>
      <c r="F224" s="33">
        <f>DATE(YEAR(A224),MONTH(A224),1)</f>
        <v>42036.0</v>
      </c>
      <c r="G224" t="str">
        <f>IF(COUNTIF(HolidayDates,A224)&gt;0,"Yes","No")</f>
        <v>No</v>
      </c>
      <c r="H224" t="str">
        <f>IF(COUNTIF(SpecialDates,A224)&gt;0,"Yes","No")</f>
        <v>No</v>
      </c>
      <c r="I224">
        <f>IF(B224="2015 Jan-Jun",C224,"")</f>
        <v>63306.0</v>
      </c>
      <c r="J224" s="34">
        <f>IF(COUNTIFS(tblDaily[Period],B224,tblDaily[Date],"&lt;="&amp;A224,tblDaily[Date],"&gt;"&amp;(A224-7))=7,AVERAGEIFS(tblDaily[Trips],tblDaily[Period],B224,tblDaily[Date],"&lt;="&amp;A224,tblDaily[Date],"&gt;"&amp;(A224-7)),"")</f>
        <v>74294.0</v>
      </c>
    </row>
    <row r="225" spans="1:10">
      <c r="A225" s="32">
        <v>42045</v>
      </c>
      <c r="B225" t="s">
        <v>304</v>
      </c>
      <c r="C225">
        <f>SUMIFS(tblHourly[Trips],tblHourly[Date],A225)</f>
        <v>66197</v>
      </c>
      <c r="D225" t="str">
        <f>CHOOSE(WEEKDAY(A225,2),"Mon","Tue","Wed","Thu","Fri","Sat","Sun")</f>
        <v>Tue</v>
      </c>
      <c r="E225" t="str">
        <f>IF(WEEKDAY(A225,2)&gt;5,"Weekend","Weekday")</f>
        <v>Weekday</v>
      </c>
      <c r="F225" s="33">
        <f>DATE(YEAR(A225),MONTH(A225),1)</f>
        <v>42036.0</v>
      </c>
      <c r="G225" t="str">
        <f>IF(COUNTIF(HolidayDates,A225)&gt;0,"Yes","No")</f>
        <v>No</v>
      </c>
      <c r="H225" t="str">
        <f>IF(COUNTIF(SpecialDates,A225)&gt;0,"Yes","No")</f>
        <v>No</v>
      </c>
      <c r="I225">
        <f>IF(B225="2015 Jan-Jun",C225,"")</f>
        <v>66197.0</v>
      </c>
      <c r="J225" s="34">
        <f>IF(COUNTIFS(tblDaily[Period],B225,tblDaily[Date],"&lt;="&amp;A225,tblDaily[Date],"&gt;"&amp;(A225-7))=7,AVERAGEIFS(tblDaily[Trips],tblDaily[Period],B225,tblDaily[Date],"&lt;="&amp;A225,tblDaily[Date],"&gt;"&amp;(A225-7)),"")</f>
        <v>73531.85714285714</v>
      </c>
    </row>
    <row r="226" spans="1:10">
      <c r="A226" s="32">
        <v>42046</v>
      </c>
      <c r="B226" t="s">
        <v>304</v>
      </c>
      <c r="C226">
        <f>SUMIFS(tblHourly[Trips],tblHourly[Date],A226)</f>
        <v>73742</v>
      </c>
      <c r="D226" t="str">
        <f>CHOOSE(WEEKDAY(A226,2),"Mon","Tue","Wed","Thu","Fri","Sat","Sun")</f>
        <v>Wed</v>
      </c>
      <c r="E226" t="str">
        <f>IF(WEEKDAY(A226,2)&gt;5,"Weekend","Weekday")</f>
        <v>Weekday</v>
      </c>
      <c r="F226" s="33">
        <f>DATE(YEAR(A226),MONTH(A226),1)</f>
        <v>42036.0</v>
      </c>
      <c r="G226" t="str">
        <f>IF(COUNTIF(HolidayDates,A226)&gt;0,"Yes","No")</f>
        <v>No</v>
      </c>
      <c r="H226" t="str">
        <f>IF(COUNTIF(SpecialDates,A226)&gt;0,"Yes","No")</f>
        <v>No</v>
      </c>
      <c r="I226">
        <f>IF(B226="2015 Jan-Jun",C226,"")</f>
        <v>73742.0</v>
      </c>
      <c r="J226" s="34">
        <f>IF(COUNTIFS(tblDaily[Period],B226,tblDaily[Date],"&lt;="&amp;A226,tblDaily[Date],"&gt;"&amp;(A226-7))=7,AVERAGEIFS(tblDaily[Trips],tblDaily[Period],B226,tblDaily[Date],"&lt;="&amp;A226,tblDaily[Date],"&gt;"&amp;(A226-7)),"")</f>
        <v>74318.28571428571</v>
      </c>
    </row>
    <row r="227" spans="1:10">
      <c r="A227" s="32">
        <v>42047</v>
      </c>
      <c r="B227" t="s">
        <v>304</v>
      </c>
      <c r="C227">
        <f>SUMIFS(tblHourly[Trips],tblHourly[Date],A227)</f>
        <v>84751</v>
      </c>
      <c r="D227" t="str">
        <f>CHOOSE(WEEKDAY(A227,2),"Mon","Tue","Wed","Thu","Fri","Sat","Sun")</f>
        <v>Thu</v>
      </c>
      <c r="E227" t="str">
        <f>IF(WEEKDAY(A227,2)&gt;5,"Weekend","Weekday")</f>
        <v>Weekday</v>
      </c>
      <c r="F227" s="33">
        <f>DATE(YEAR(A227),MONTH(A227),1)</f>
        <v>42036.0</v>
      </c>
      <c r="G227" t="str">
        <f>IF(COUNTIF(HolidayDates,A227)&gt;0,"Yes","No")</f>
        <v>No</v>
      </c>
      <c r="H227" t="str">
        <f>IF(COUNTIF(SpecialDates,A227)&gt;0,"Yes","No")</f>
        <v>No</v>
      </c>
      <c r="I227">
        <f>IF(B227="2015 Jan-Jun",C227,"")</f>
        <v>84751.0</v>
      </c>
      <c r="J227" s="34">
        <f>IF(COUNTIFS(tblDaily[Period],B227,tblDaily[Date],"&lt;="&amp;A227,tblDaily[Date],"&gt;"&amp;(A227-7))=7,AVERAGEIFS(tblDaily[Trips],tblDaily[Period],B227,tblDaily[Date],"&lt;="&amp;A227,tblDaily[Date],"&gt;"&amp;(A227-7)),"")</f>
        <v>74663.28571428571</v>
      </c>
    </row>
    <row r="228" spans="1:10">
      <c r="A228" s="32">
        <v>42048</v>
      </c>
      <c r="B228" t="s">
        <v>304</v>
      </c>
      <c r="C228">
        <f>SUMIFS(tblHourly[Trips],tblHourly[Date],A228)</f>
        <v>99897</v>
      </c>
      <c r="D228" t="str">
        <f>CHOOSE(WEEKDAY(A228,2),"Mon","Tue","Wed","Thu","Fri","Sat","Sun")</f>
        <v>Fri</v>
      </c>
      <c r="E228" t="str">
        <f>IF(WEEKDAY(A228,2)&gt;5,"Weekend","Weekday")</f>
        <v>Weekday</v>
      </c>
      <c r="F228" s="33">
        <f>DATE(YEAR(A228),MONTH(A228),1)</f>
        <v>42036.0</v>
      </c>
      <c r="G228" t="str">
        <f>IF(COUNTIF(HolidayDates,A228)&gt;0,"Yes","No")</f>
        <v>No</v>
      </c>
      <c r="H228" t="str">
        <f>IF(COUNTIF(SpecialDates,A228)&gt;0,"Yes","No")</f>
        <v>No</v>
      </c>
      <c r="I228">
        <f>IF(B228="2015 Jan-Jun",C228,"")</f>
        <v>99897.0</v>
      </c>
      <c r="J228" s="34">
        <f>IF(COUNTIFS(tblDaily[Period],B228,tblDaily[Date],"&lt;="&amp;A228,tblDaily[Date],"&gt;"&amp;(A228-7))=7,AVERAGEIFS(tblDaily[Trips],tblDaily[Period],B228,tblDaily[Date],"&lt;="&amp;A228,tblDaily[Date],"&gt;"&amp;(A228-7)),"")</f>
        <v>76424.57142857143</v>
      </c>
    </row>
    <row r="229" spans="1:10">
      <c r="A229" s="32">
        <v>42049</v>
      </c>
      <c r="B229" t="s">
        <v>304</v>
      </c>
      <c r="C229">
        <f>SUMIFS(tblHourly[Trips],tblHourly[Date],A229)</f>
        <v>102347</v>
      </c>
      <c r="D229" t="str">
        <f>CHOOSE(WEEKDAY(A229,2),"Mon","Tue","Wed","Thu","Fri","Sat","Sun")</f>
        <v>Sat</v>
      </c>
      <c r="E229" t="str">
        <f>IF(WEEKDAY(A229,2)&gt;5,"Weekend","Weekday")</f>
        <v>Weekend</v>
      </c>
      <c r="F229" s="33">
        <f>DATE(YEAR(A229),MONTH(A229),1)</f>
        <v>42036.0</v>
      </c>
      <c r="G229" t="str">
        <f>IF(COUNTIF(HolidayDates,A229)&gt;0,"Yes","No")</f>
        <v>No</v>
      </c>
      <c r="H229" t="str">
        <f>IF(COUNTIF(SpecialDates,A229)&gt;0,"Yes","No")</f>
        <v>No</v>
      </c>
      <c r="I229">
        <f>IF(B229="2015 Jan-Jun",C229,"")</f>
        <v>102347.0</v>
      </c>
      <c r="J229" s="34">
        <f>IF(COUNTIFS(tblDaily[Period],B229,tblDaily[Date],"&lt;="&amp;A229,tblDaily[Date],"&gt;"&amp;(A229-7))=7,AVERAGEIFS(tblDaily[Trips],tblDaily[Period],B229,tblDaily[Date],"&lt;="&amp;A229,tblDaily[Date],"&gt;"&amp;(A229-7)),"")</f>
        <v>79223.85714285714</v>
      </c>
    </row>
    <row r="230" spans="1:10">
      <c r="A230" s="32">
        <v>42050</v>
      </c>
      <c r="B230" t="s">
        <v>304</v>
      </c>
      <c r="C230">
        <f>SUMIFS(tblHourly[Trips],tblHourly[Date],A230)</f>
        <v>91320</v>
      </c>
      <c r="D230" t="str">
        <f>CHOOSE(WEEKDAY(A230,2),"Mon","Tue","Wed","Thu","Fri","Sat","Sun")</f>
        <v>Sun</v>
      </c>
      <c r="E230" t="str">
        <f>IF(WEEKDAY(A230,2)&gt;5,"Weekend","Weekday")</f>
        <v>Weekend</v>
      </c>
      <c r="F230" s="33">
        <f>DATE(YEAR(A230),MONTH(A230),1)</f>
        <v>42036.0</v>
      </c>
      <c r="G230" t="str">
        <f>IF(COUNTIF(HolidayDates,A230)&gt;0,"Yes","No")</f>
        <v>No</v>
      </c>
      <c r="H230" t="str">
        <f>IF(COUNTIF(SpecialDates,A230)&gt;0,"Yes","No")</f>
        <v>No</v>
      </c>
      <c r="I230">
        <f>IF(B230="2015 Jan-Jun",C230,"")</f>
        <v>91320.0</v>
      </c>
      <c r="J230" s="34">
        <f>IF(COUNTIFS(tblDaily[Period],B230,tblDaily[Date],"&lt;="&amp;A230,tblDaily[Date],"&gt;"&amp;(A230-7))=7,AVERAGEIFS(tblDaily[Trips],tblDaily[Period],B230,tblDaily[Date],"&lt;="&amp;A230,tblDaily[Date],"&gt;"&amp;(A230-7)),"")</f>
        <v>83080.0</v>
      </c>
    </row>
    <row r="231" spans="1:10">
      <c r="A231" s="32">
        <v>42051</v>
      </c>
      <c r="B231" t="s">
        <v>304</v>
      </c>
      <c r="C231">
        <f>SUMIFS(tblHourly[Trips],tblHourly[Date],A231)</f>
        <v>73672</v>
      </c>
      <c r="D231" t="str">
        <f>CHOOSE(WEEKDAY(A231,2),"Mon","Tue","Wed","Thu","Fri","Sat","Sun")</f>
        <v>Mon</v>
      </c>
      <c r="E231" t="str">
        <f>IF(WEEKDAY(A231,2)&gt;5,"Weekend","Weekday")</f>
        <v>Weekday</v>
      </c>
      <c r="F231" s="33">
        <f>DATE(YEAR(A231),MONTH(A231),1)</f>
        <v>42036.0</v>
      </c>
      <c r="G231" t="str">
        <f>IF(COUNTIF(HolidayDates,A231)&gt;0,"Yes","No")</f>
        <v>Yes</v>
      </c>
      <c r="H231" t="str">
        <f>IF(COUNTIF(SpecialDates,A231)&gt;0,"Yes","No")</f>
        <v>Yes</v>
      </c>
      <c r="I231">
        <f>IF(B231="2015 Jan-Jun",C231,"")</f>
        <v>73672.0</v>
      </c>
      <c r="J231" s="34">
        <f>IF(COUNTIFS(tblDaily[Period],B231,tblDaily[Date],"&lt;="&amp;A231,tblDaily[Date],"&gt;"&amp;(A231-7))=7,AVERAGEIFS(tblDaily[Trips],tblDaily[Period],B231,tblDaily[Date],"&lt;="&amp;A231,tblDaily[Date],"&gt;"&amp;(A231-7)),"")</f>
        <v>84560.85714285714</v>
      </c>
    </row>
    <row r="232" spans="1:10">
      <c r="A232" s="32">
        <v>42052</v>
      </c>
      <c r="B232" t="s">
        <v>304</v>
      </c>
      <c r="C232">
        <f>SUMIFS(tblHourly[Trips],tblHourly[Date],A232)</f>
        <v>74221</v>
      </c>
      <c r="D232" t="str">
        <f>CHOOSE(WEEKDAY(A232,2),"Mon","Tue","Wed","Thu","Fri","Sat","Sun")</f>
        <v>Tue</v>
      </c>
      <c r="E232" t="str">
        <f>IF(WEEKDAY(A232,2)&gt;5,"Weekend","Weekday")</f>
        <v>Weekday</v>
      </c>
      <c r="F232" s="33">
        <f>DATE(YEAR(A232),MONTH(A232),1)</f>
        <v>42036.0</v>
      </c>
      <c r="G232" t="str">
        <f>IF(COUNTIF(HolidayDates,A232)&gt;0,"Yes","No")</f>
        <v>No</v>
      </c>
      <c r="H232" t="str">
        <f>IF(COUNTIF(SpecialDates,A232)&gt;0,"Yes","No")</f>
        <v>No</v>
      </c>
      <c r="I232">
        <f>IF(B232="2015 Jan-Jun",C232,"")</f>
        <v>74221.0</v>
      </c>
      <c r="J232" s="34">
        <f>IF(COUNTIFS(tblDaily[Period],B232,tblDaily[Date],"&lt;="&amp;A232,tblDaily[Date],"&gt;"&amp;(A232-7))=7,AVERAGEIFS(tblDaily[Trips],tblDaily[Period],B232,tblDaily[Date],"&lt;="&amp;A232,tblDaily[Date],"&gt;"&amp;(A232-7)),"")</f>
        <v>85707.14285714286</v>
      </c>
    </row>
    <row r="233" spans="1:10">
      <c r="A233" s="32">
        <v>42053</v>
      </c>
      <c r="B233" t="s">
        <v>304</v>
      </c>
      <c r="C233">
        <f>SUMIFS(tblHourly[Trips],tblHourly[Date],A233)</f>
        <v>73493</v>
      </c>
      <c r="D233" t="str">
        <f>CHOOSE(WEEKDAY(A233,2),"Mon","Tue","Wed","Thu","Fri","Sat","Sun")</f>
        <v>Wed</v>
      </c>
      <c r="E233" t="str">
        <f>IF(WEEKDAY(A233,2)&gt;5,"Weekend","Weekday")</f>
        <v>Weekday</v>
      </c>
      <c r="F233" s="33">
        <f>DATE(YEAR(A233),MONTH(A233),1)</f>
        <v>42036.0</v>
      </c>
      <c r="G233" t="str">
        <f>IF(COUNTIF(HolidayDates,A233)&gt;0,"Yes","No")</f>
        <v>No</v>
      </c>
      <c r="H233" t="str">
        <f>IF(COUNTIF(SpecialDates,A233)&gt;0,"Yes","No")</f>
        <v>No</v>
      </c>
      <c r="I233">
        <f>IF(B233="2015 Jan-Jun",C233,"")</f>
        <v>73493.0</v>
      </c>
      <c r="J233" s="34">
        <f>IF(COUNTIFS(tblDaily[Period],B233,tblDaily[Date],"&lt;="&amp;A233,tblDaily[Date],"&gt;"&amp;(A233-7))=7,AVERAGEIFS(tblDaily[Trips],tblDaily[Period],B233,tblDaily[Date],"&lt;="&amp;A233,tblDaily[Date],"&gt;"&amp;(A233-7)),"")</f>
        <v>85671.57142857143</v>
      </c>
    </row>
    <row r="234" spans="1:10">
      <c r="A234" s="32">
        <v>42054</v>
      </c>
      <c r="B234" t="s">
        <v>304</v>
      </c>
      <c r="C234">
        <f>SUMIFS(tblHourly[Trips],tblHourly[Date],A234)</f>
        <v>90271</v>
      </c>
      <c r="D234" t="str">
        <f>CHOOSE(WEEKDAY(A234,2),"Mon","Tue","Wed","Thu","Fri","Sat","Sun")</f>
        <v>Thu</v>
      </c>
      <c r="E234" t="str">
        <f>IF(WEEKDAY(A234,2)&gt;5,"Weekend","Weekday")</f>
        <v>Weekday</v>
      </c>
      <c r="F234" s="33">
        <f>DATE(YEAR(A234),MONTH(A234),1)</f>
        <v>42036.0</v>
      </c>
      <c r="G234" t="str">
        <f>IF(COUNTIF(HolidayDates,A234)&gt;0,"Yes","No")</f>
        <v>No</v>
      </c>
      <c r="H234" t="str">
        <f>IF(COUNTIF(SpecialDates,A234)&gt;0,"Yes","No")</f>
        <v>No</v>
      </c>
      <c r="I234">
        <f>IF(B234="2015 Jan-Jun",C234,"")</f>
        <v>90271.0</v>
      </c>
      <c r="J234" s="34">
        <f>IF(COUNTIFS(tblDaily[Period],B234,tblDaily[Date],"&lt;="&amp;A234,tblDaily[Date],"&gt;"&amp;(A234-7))=7,AVERAGEIFS(tblDaily[Trips],tblDaily[Period],B234,tblDaily[Date],"&lt;="&amp;A234,tblDaily[Date],"&gt;"&amp;(A234-7)),"")</f>
        <v>86460.14285714286</v>
      </c>
    </row>
    <row r="235" spans="1:10">
      <c r="A235" s="32">
        <v>42055</v>
      </c>
      <c r="B235" t="s">
        <v>304</v>
      </c>
      <c r="C235">
        <f>SUMIFS(tblHourly[Trips],tblHourly[Date],A235)</f>
        <v>102762</v>
      </c>
      <c r="D235" t="str">
        <f>CHOOSE(WEEKDAY(A235,2),"Mon","Tue","Wed","Thu","Fri","Sat","Sun")</f>
        <v>Fri</v>
      </c>
      <c r="E235" t="str">
        <f>IF(WEEKDAY(A235,2)&gt;5,"Weekend","Weekday")</f>
        <v>Weekday</v>
      </c>
      <c r="F235" s="33">
        <f>DATE(YEAR(A235),MONTH(A235),1)</f>
        <v>42036.0</v>
      </c>
      <c r="G235" t="str">
        <f>IF(COUNTIF(HolidayDates,A235)&gt;0,"Yes","No")</f>
        <v>No</v>
      </c>
      <c r="H235" t="str">
        <f>IF(COUNTIF(SpecialDates,A235)&gt;0,"Yes","No")</f>
        <v>No</v>
      </c>
      <c r="I235">
        <f>IF(B235="2015 Jan-Jun",C235,"")</f>
        <v>102762.0</v>
      </c>
      <c r="J235" s="34">
        <f>IF(COUNTIFS(tblDaily[Period],B235,tblDaily[Date],"&lt;="&amp;A235,tblDaily[Date],"&gt;"&amp;(A235-7))=7,AVERAGEIFS(tblDaily[Trips],tblDaily[Period],B235,tblDaily[Date],"&lt;="&amp;A235,tblDaily[Date],"&gt;"&amp;(A235-7)),"")</f>
        <v>86869.42857142857</v>
      </c>
    </row>
    <row r="236" spans="1:10">
      <c r="A236" s="32">
        <v>42056</v>
      </c>
      <c r="B236" t="s">
        <v>304</v>
      </c>
      <c r="C236">
        <f>SUMIFS(tblHourly[Trips],tblHourly[Date],A236)</f>
        <v>100481</v>
      </c>
      <c r="D236" t="str">
        <f>CHOOSE(WEEKDAY(A236,2),"Mon","Tue","Wed","Thu","Fri","Sat","Sun")</f>
        <v>Sat</v>
      </c>
      <c r="E236" t="str">
        <f>IF(WEEKDAY(A236,2)&gt;5,"Weekend","Weekday")</f>
        <v>Weekend</v>
      </c>
      <c r="F236" s="33">
        <f>DATE(YEAR(A236),MONTH(A236),1)</f>
        <v>42036.0</v>
      </c>
      <c r="G236" t="str">
        <f>IF(COUNTIF(HolidayDates,A236)&gt;0,"Yes","No")</f>
        <v>No</v>
      </c>
      <c r="H236" t="str">
        <f>IF(COUNTIF(SpecialDates,A236)&gt;0,"Yes","No")</f>
        <v>No</v>
      </c>
      <c r="I236">
        <f>IF(B236="2015 Jan-Jun",C236,"")</f>
        <v>100481.0</v>
      </c>
      <c r="J236" s="34">
        <f>IF(COUNTIFS(tblDaily[Period],B236,tblDaily[Date],"&lt;="&amp;A236,tblDaily[Date],"&gt;"&amp;(A236-7))=7,AVERAGEIFS(tblDaily[Trips],tblDaily[Period],B236,tblDaily[Date],"&lt;="&amp;A236,tblDaily[Date],"&gt;"&amp;(A236-7)),"")</f>
        <v>86602.85714285714</v>
      </c>
    </row>
    <row r="237" spans="1:10">
      <c r="A237" s="32">
        <v>42057</v>
      </c>
      <c r="B237" t="s">
        <v>304</v>
      </c>
      <c r="C237">
        <f>SUMIFS(tblHourly[Trips],tblHourly[Date],A237)</f>
        <v>67844</v>
      </c>
      <c r="D237" t="str">
        <f>CHOOSE(WEEKDAY(A237,2),"Mon","Tue","Wed","Thu","Fri","Sat","Sun")</f>
        <v>Sun</v>
      </c>
      <c r="E237" t="str">
        <f>IF(WEEKDAY(A237,2)&gt;5,"Weekend","Weekday")</f>
        <v>Weekend</v>
      </c>
      <c r="F237" s="33">
        <f>DATE(YEAR(A237),MONTH(A237),1)</f>
        <v>42036.0</v>
      </c>
      <c r="G237" t="str">
        <f>IF(COUNTIF(HolidayDates,A237)&gt;0,"Yes","No")</f>
        <v>No</v>
      </c>
      <c r="H237" t="str">
        <f>IF(COUNTIF(SpecialDates,A237)&gt;0,"Yes","No")</f>
        <v>No</v>
      </c>
      <c r="I237">
        <f>IF(B237="2015 Jan-Jun",C237,"")</f>
        <v>67844.0</v>
      </c>
      <c r="J237" s="34">
        <f>IF(COUNTIFS(tblDaily[Period],B237,tblDaily[Date],"&lt;="&amp;A237,tblDaily[Date],"&gt;"&amp;(A237-7))=7,AVERAGEIFS(tblDaily[Trips],tblDaily[Period],B237,tblDaily[Date],"&lt;="&amp;A237,tblDaily[Date],"&gt;"&amp;(A237-7)),"")</f>
        <v>83249.14285714286</v>
      </c>
    </row>
    <row r="238" spans="1:10">
      <c r="A238" s="32">
        <v>42058</v>
      </c>
      <c r="B238" t="s">
        <v>304</v>
      </c>
      <c r="C238">
        <f>SUMIFS(tblHourly[Trips],tblHourly[Date],A238)</f>
        <v>72494</v>
      </c>
      <c r="D238" t="str">
        <f>CHOOSE(WEEKDAY(A238,2),"Mon","Tue","Wed","Thu","Fri","Sat","Sun")</f>
        <v>Mon</v>
      </c>
      <c r="E238" t="str">
        <f>IF(WEEKDAY(A238,2)&gt;5,"Weekend","Weekday")</f>
        <v>Weekday</v>
      </c>
      <c r="F238" s="33">
        <f>DATE(YEAR(A238),MONTH(A238),1)</f>
        <v>42036.0</v>
      </c>
      <c r="G238" t="str">
        <f>IF(COUNTIF(HolidayDates,A238)&gt;0,"Yes","No")</f>
        <v>No</v>
      </c>
      <c r="H238" t="str">
        <f>IF(COUNTIF(SpecialDates,A238)&gt;0,"Yes","No")</f>
        <v>No</v>
      </c>
      <c r="I238">
        <f>IF(B238="2015 Jan-Jun",C238,"")</f>
        <v>72494.0</v>
      </c>
      <c r="J238" s="34">
        <f>IF(COUNTIFS(tblDaily[Period],B238,tblDaily[Date],"&lt;="&amp;A238,tblDaily[Date],"&gt;"&amp;(A238-7))=7,AVERAGEIFS(tblDaily[Trips],tblDaily[Period],B238,tblDaily[Date],"&lt;="&amp;A238,tblDaily[Date],"&gt;"&amp;(A238-7)),"")</f>
        <v>83080.85714285714</v>
      </c>
    </row>
    <row r="239" spans="1:10">
      <c r="A239" s="32">
        <v>42059</v>
      </c>
      <c r="B239" t="s">
        <v>304</v>
      </c>
      <c r="C239">
        <f>SUMIFS(tblHourly[Trips],tblHourly[Date],A239)</f>
        <v>80520</v>
      </c>
      <c r="D239" t="str">
        <f>CHOOSE(WEEKDAY(A239,2),"Mon","Tue","Wed","Thu","Fri","Sat","Sun")</f>
        <v>Tue</v>
      </c>
      <c r="E239" t="str">
        <f>IF(WEEKDAY(A239,2)&gt;5,"Weekend","Weekday")</f>
        <v>Weekday</v>
      </c>
      <c r="F239" s="33">
        <f>DATE(YEAR(A239),MONTH(A239),1)</f>
        <v>42036.0</v>
      </c>
      <c r="G239" t="str">
        <f>IF(COUNTIF(HolidayDates,A239)&gt;0,"Yes","No")</f>
        <v>No</v>
      </c>
      <c r="H239" t="str">
        <f>IF(COUNTIF(SpecialDates,A239)&gt;0,"Yes","No")</f>
        <v>No</v>
      </c>
      <c r="I239">
        <f>IF(B239="2015 Jan-Jun",C239,"")</f>
        <v>80520.0</v>
      </c>
      <c r="J239" s="34">
        <f>IF(COUNTIFS(tblDaily[Period],B239,tblDaily[Date],"&lt;="&amp;A239,tblDaily[Date],"&gt;"&amp;(A239-7))=7,AVERAGEIFS(tblDaily[Trips],tblDaily[Period],B239,tblDaily[Date],"&lt;="&amp;A239,tblDaily[Date],"&gt;"&amp;(A239-7)),"")</f>
        <v>83980.71428571429</v>
      </c>
    </row>
    <row r="240" spans="1:10">
      <c r="A240" s="32">
        <v>42060</v>
      </c>
      <c r="B240" t="s">
        <v>304</v>
      </c>
      <c r="C240">
        <f>SUMIFS(tblHourly[Trips],tblHourly[Date],A240)</f>
        <v>75992</v>
      </c>
      <c r="D240" t="str">
        <f>CHOOSE(WEEKDAY(A240,2),"Mon","Tue","Wed","Thu","Fri","Sat","Sun")</f>
        <v>Wed</v>
      </c>
      <c r="E240" t="str">
        <f>IF(WEEKDAY(A240,2)&gt;5,"Weekend","Weekday")</f>
        <v>Weekday</v>
      </c>
      <c r="F240" s="33">
        <f>DATE(YEAR(A240),MONTH(A240),1)</f>
        <v>42036.0</v>
      </c>
      <c r="G240" t="str">
        <f>IF(COUNTIF(HolidayDates,A240)&gt;0,"Yes","No")</f>
        <v>No</v>
      </c>
      <c r="H240" t="str">
        <f>IF(COUNTIF(SpecialDates,A240)&gt;0,"Yes","No")</f>
        <v>No</v>
      </c>
      <c r="I240">
        <f>IF(B240="2015 Jan-Jun",C240,"")</f>
        <v>75992.0</v>
      </c>
      <c r="J240" s="34">
        <f>IF(COUNTIFS(tblDaily[Period],B240,tblDaily[Date],"&lt;="&amp;A240,tblDaily[Date],"&gt;"&amp;(A240-7))=7,AVERAGEIFS(tblDaily[Trips],tblDaily[Period],B240,tblDaily[Date],"&lt;="&amp;A240,tblDaily[Date],"&gt;"&amp;(A240-7)),"")</f>
        <v>84337.71428571429</v>
      </c>
    </row>
    <row r="241" spans="1:10">
      <c r="A241" s="32">
        <v>42061</v>
      </c>
      <c r="B241" t="s">
        <v>304</v>
      </c>
      <c r="C241">
        <f>SUMIFS(tblHourly[Trips],tblHourly[Date],A241)</f>
        <v>84840</v>
      </c>
      <c r="D241" t="str">
        <f>CHOOSE(WEEKDAY(A241,2),"Mon","Tue","Wed","Thu","Fri","Sat","Sun")</f>
        <v>Thu</v>
      </c>
      <c r="E241" t="str">
        <f>IF(WEEKDAY(A241,2)&gt;5,"Weekend","Weekday")</f>
        <v>Weekday</v>
      </c>
      <c r="F241" s="33">
        <f>DATE(YEAR(A241),MONTH(A241),1)</f>
        <v>42036.0</v>
      </c>
      <c r="G241" t="str">
        <f>IF(COUNTIF(HolidayDates,A241)&gt;0,"Yes","No")</f>
        <v>No</v>
      </c>
      <c r="H241" t="str">
        <f>IF(COUNTIF(SpecialDates,A241)&gt;0,"Yes","No")</f>
        <v>No</v>
      </c>
      <c r="I241">
        <f>IF(B241="2015 Jan-Jun",C241,"")</f>
        <v>84840.0</v>
      </c>
      <c r="J241" s="34">
        <f>IF(COUNTIFS(tblDaily[Period],B241,tblDaily[Date],"&lt;="&amp;A241,tblDaily[Date],"&gt;"&amp;(A241-7))=7,AVERAGEIFS(tblDaily[Trips],tblDaily[Period],B241,tblDaily[Date],"&lt;="&amp;A241,tblDaily[Date],"&gt;"&amp;(A241-7)),"")</f>
        <v>83561.85714285714</v>
      </c>
    </row>
    <row r="242" spans="1:10">
      <c r="A242" s="32">
        <v>42062</v>
      </c>
      <c r="B242" t="s">
        <v>304</v>
      </c>
      <c r="C242">
        <f>SUMIFS(tblHourly[Trips],tblHourly[Date],A242)</f>
        <v>90217</v>
      </c>
      <c r="D242" t="str">
        <f>CHOOSE(WEEKDAY(A242,2),"Mon","Tue","Wed","Thu","Fri","Sat","Sun")</f>
        <v>Fri</v>
      </c>
      <c r="E242" t="str">
        <f>IF(WEEKDAY(A242,2)&gt;5,"Weekend","Weekday")</f>
        <v>Weekday</v>
      </c>
      <c r="F242" s="33">
        <f>DATE(YEAR(A242),MONTH(A242),1)</f>
        <v>42036.0</v>
      </c>
      <c r="G242" t="str">
        <f>IF(COUNTIF(HolidayDates,A242)&gt;0,"Yes","No")</f>
        <v>No</v>
      </c>
      <c r="H242" t="str">
        <f>IF(COUNTIF(SpecialDates,A242)&gt;0,"Yes","No")</f>
        <v>No</v>
      </c>
      <c r="I242">
        <f>IF(B242="2015 Jan-Jun",C242,"")</f>
        <v>90217.0</v>
      </c>
      <c r="J242" s="34">
        <f>IF(COUNTIFS(tblDaily[Period],B242,tblDaily[Date],"&lt;="&amp;A242,tblDaily[Date],"&gt;"&amp;(A242-7))=7,AVERAGEIFS(tblDaily[Trips],tblDaily[Period],B242,tblDaily[Date],"&lt;="&amp;A242,tblDaily[Date],"&gt;"&amp;(A242-7)),"")</f>
        <v>81769.71428571429</v>
      </c>
    </row>
    <row r="243" spans="1:10">
      <c r="A243" s="32">
        <v>42063</v>
      </c>
      <c r="B243" t="s">
        <v>304</v>
      </c>
      <c r="C243">
        <f>SUMIFS(tblHourly[Trips],tblHourly[Date],A243)</f>
        <v>89716</v>
      </c>
      <c r="D243" t="str">
        <f>CHOOSE(WEEKDAY(A243,2),"Mon","Tue","Wed","Thu","Fri","Sat","Sun")</f>
        <v>Sat</v>
      </c>
      <c r="E243" t="str">
        <f>IF(WEEKDAY(A243,2)&gt;5,"Weekend","Weekday")</f>
        <v>Weekend</v>
      </c>
      <c r="F243" s="33">
        <f>DATE(YEAR(A243),MONTH(A243),1)</f>
        <v>42036.0</v>
      </c>
      <c r="G243" t="str">
        <f>IF(COUNTIF(HolidayDates,A243)&gt;0,"Yes","No")</f>
        <v>No</v>
      </c>
      <c r="H243" t="str">
        <f>IF(COUNTIF(SpecialDates,A243)&gt;0,"Yes","No")</f>
        <v>No</v>
      </c>
      <c r="I243">
        <f>IF(B243="2015 Jan-Jun",C243,"")</f>
        <v>89716.0</v>
      </c>
      <c r="J243" s="34">
        <f>IF(COUNTIFS(tblDaily[Period],B243,tblDaily[Date],"&lt;="&amp;A243,tblDaily[Date],"&gt;"&amp;(A243-7))=7,AVERAGEIFS(tblDaily[Trips],tblDaily[Period],B243,tblDaily[Date],"&lt;="&amp;A243,tblDaily[Date],"&gt;"&amp;(A243-7)),"")</f>
        <v>80231.85714285714</v>
      </c>
    </row>
    <row r="244" spans="1:10">
      <c r="A244" s="32">
        <v>42064</v>
      </c>
      <c r="B244" t="s">
        <v>304</v>
      </c>
      <c r="C244">
        <f>SUMIFS(tblHourly[Trips],tblHourly[Date],A244)</f>
        <v>70839</v>
      </c>
      <c r="D244" t="str">
        <f>CHOOSE(WEEKDAY(A244,2),"Mon","Tue","Wed","Thu","Fri","Sat","Sun")</f>
        <v>Sun</v>
      </c>
      <c r="E244" t="str">
        <f>IF(WEEKDAY(A244,2)&gt;5,"Weekend","Weekday")</f>
        <v>Weekend</v>
      </c>
      <c r="F244" s="33">
        <f>DATE(YEAR(A244),MONTH(A244),1)</f>
        <v>42064.0</v>
      </c>
      <c r="G244" t="str">
        <f>IF(COUNTIF(HolidayDates,A244)&gt;0,"Yes","No")</f>
        <v>No</v>
      </c>
      <c r="H244" t="str">
        <f>IF(COUNTIF(SpecialDates,A244)&gt;0,"Yes","No")</f>
        <v>No</v>
      </c>
      <c r="I244">
        <f>IF(B244="2015 Jan-Jun",C244,"")</f>
        <v>70839.0</v>
      </c>
      <c r="J244" s="34">
        <f>IF(COUNTIFS(tblDaily[Period],B244,tblDaily[Date],"&lt;="&amp;A244,tblDaily[Date],"&gt;"&amp;(A244-7))=7,AVERAGEIFS(tblDaily[Trips],tblDaily[Period],B244,tblDaily[Date],"&lt;="&amp;A244,tblDaily[Date],"&gt;"&amp;(A244-7)),"")</f>
        <v>80659.71428571429</v>
      </c>
    </row>
    <row r="245" spans="1:10">
      <c r="A245" s="32">
        <v>42065</v>
      </c>
      <c r="B245" t="s">
        <v>304</v>
      </c>
      <c r="C245">
        <f>SUMIFS(tblHourly[Trips],tblHourly[Date],A245)</f>
        <v>57460</v>
      </c>
      <c r="D245" t="str">
        <f>CHOOSE(WEEKDAY(A245,2),"Mon","Tue","Wed","Thu","Fri","Sat","Sun")</f>
        <v>Mon</v>
      </c>
      <c r="E245" t="str">
        <f>IF(WEEKDAY(A245,2)&gt;5,"Weekend","Weekday")</f>
        <v>Weekday</v>
      </c>
      <c r="F245" s="33">
        <f>DATE(YEAR(A245),MONTH(A245),1)</f>
        <v>42064.0</v>
      </c>
      <c r="G245" t="str">
        <f>IF(COUNTIF(HolidayDates,A245)&gt;0,"Yes","No")</f>
        <v>No</v>
      </c>
      <c r="H245" t="str">
        <f>IF(COUNTIF(SpecialDates,A245)&gt;0,"Yes","No")</f>
        <v>No</v>
      </c>
      <c r="I245">
        <f>IF(B245="2015 Jan-Jun",C245,"")</f>
        <v>57460.0</v>
      </c>
      <c r="J245" s="34">
        <f>IF(COUNTIFS(tblDaily[Period],B245,tblDaily[Date],"&lt;="&amp;A245,tblDaily[Date],"&gt;"&amp;(A245-7))=7,AVERAGEIFS(tblDaily[Trips],tblDaily[Period],B245,tblDaily[Date],"&lt;="&amp;A245,tblDaily[Date],"&gt;"&amp;(A245-7)),"")</f>
        <v>78512.0</v>
      </c>
    </row>
    <row r="246" spans="1:10">
      <c r="A246" s="32">
        <v>42066</v>
      </c>
      <c r="B246" t="s">
        <v>304</v>
      </c>
      <c r="C246">
        <f>SUMIFS(tblHourly[Trips],tblHourly[Date],A246)</f>
        <v>75048</v>
      </c>
      <c r="D246" t="str">
        <f>CHOOSE(WEEKDAY(A246,2),"Mon","Tue","Wed","Thu","Fri","Sat","Sun")</f>
        <v>Tue</v>
      </c>
      <c r="E246" t="str">
        <f>IF(WEEKDAY(A246,2)&gt;5,"Weekend","Weekday")</f>
        <v>Weekday</v>
      </c>
      <c r="F246" s="33">
        <f>DATE(YEAR(A246),MONTH(A246),1)</f>
        <v>42064.0</v>
      </c>
      <c r="G246" t="str">
        <f>IF(COUNTIF(HolidayDates,A246)&gt;0,"Yes","No")</f>
        <v>No</v>
      </c>
      <c r="H246" t="str">
        <f>IF(COUNTIF(SpecialDates,A246)&gt;0,"Yes","No")</f>
        <v>No</v>
      </c>
      <c r="I246">
        <f>IF(B246="2015 Jan-Jun",C246,"")</f>
        <v>75048.0</v>
      </c>
      <c r="J246" s="34">
        <f>IF(COUNTIFS(tblDaily[Period],B246,tblDaily[Date],"&lt;="&amp;A246,tblDaily[Date],"&gt;"&amp;(A246-7))=7,AVERAGEIFS(tblDaily[Trips],tblDaily[Period],B246,tblDaily[Date],"&lt;="&amp;A246,tblDaily[Date],"&gt;"&amp;(A246-7)),"")</f>
        <v>77730.28571428571</v>
      </c>
    </row>
    <row r="247" spans="1:10">
      <c r="A247" s="32">
        <v>42067</v>
      </c>
      <c r="B247" t="s">
        <v>304</v>
      </c>
      <c r="C247">
        <f>SUMIFS(tblHourly[Trips],tblHourly[Date],A247)</f>
        <v>71931</v>
      </c>
      <c r="D247" t="str">
        <f>CHOOSE(WEEKDAY(A247,2),"Mon","Tue","Wed","Thu","Fri","Sat","Sun")</f>
        <v>Wed</v>
      </c>
      <c r="E247" t="str">
        <f>IF(WEEKDAY(A247,2)&gt;5,"Weekend","Weekday")</f>
        <v>Weekday</v>
      </c>
      <c r="F247" s="33">
        <f>DATE(YEAR(A247),MONTH(A247),1)</f>
        <v>42064.0</v>
      </c>
      <c r="G247" t="str">
        <f>IF(COUNTIF(HolidayDates,A247)&gt;0,"Yes","No")</f>
        <v>No</v>
      </c>
      <c r="H247" t="str">
        <f>IF(COUNTIF(SpecialDates,A247)&gt;0,"Yes","No")</f>
        <v>No</v>
      </c>
      <c r="I247">
        <f>IF(B247="2015 Jan-Jun",C247,"")</f>
        <v>71931.0</v>
      </c>
      <c r="J247" s="34">
        <f>IF(COUNTIFS(tblDaily[Period],B247,tblDaily[Date],"&lt;="&amp;A247,tblDaily[Date],"&gt;"&amp;(A247-7))=7,AVERAGEIFS(tblDaily[Trips],tblDaily[Period],B247,tblDaily[Date],"&lt;="&amp;A247,tblDaily[Date],"&gt;"&amp;(A247-7)),"")</f>
        <v>77150.14285714286</v>
      </c>
    </row>
    <row r="248" spans="1:10">
      <c r="A248" s="32">
        <v>42068</v>
      </c>
      <c r="B248" t="s">
        <v>304</v>
      </c>
      <c r="C248">
        <f>SUMIFS(tblHourly[Trips],tblHourly[Date],A248)</f>
        <v>77446</v>
      </c>
      <c r="D248" t="str">
        <f>CHOOSE(WEEKDAY(A248,2),"Mon","Tue","Wed","Thu","Fri","Sat","Sun")</f>
        <v>Thu</v>
      </c>
      <c r="E248" t="str">
        <f>IF(WEEKDAY(A248,2)&gt;5,"Weekend","Weekday")</f>
        <v>Weekday</v>
      </c>
      <c r="F248" s="33">
        <f>DATE(YEAR(A248),MONTH(A248),1)</f>
        <v>42064.0</v>
      </c>
      <c r="G248" t="str">
        <f>IF(COUNTIF(HolidayDates,A248)&gt;0,"Yes","No")</f>
        <v>No</v>
      </c>
      <c r="H248" t="str">
        <f>IF(COUNTIF(SpecialDates,A248)&gt;0,"Yes","No")</f>
        <v>No</v>
      </c>
      <c r="I248">
        <f>IF(B248="2015 Jan-Jun",C248,"")</f>
        <v>77446.0</v>
      </c>
      <c r="J248" s="34">
        <f>IF(COUNTIFS(tblDaily[Period],B248,tblDaily[Date],"&lt;="&amp;A248,tblDaily[Date],"&gt;"&amp;(A248-7))=7,AVERAGEIFS(tblDaily[Trips],tblDaily[Period],B248,tblDaily[Date],"&lt;="&amp;A248,tblDaily[Date],"&gt;"&amp;(A248-7)),"")</f>
        <v>76093.85714285714</v>
      </c>
    </row>
    <row r="249" spans="1:10">
      <c r="A249" s="32">
        <v>42069</v>
      </c>
      <c r="B249" t="s">
        <v>304</v>
      </c>
      <c r="C249">
        <f>SUMIFS(tblHourly[Trips],tblHourly[Date],A249)</f>
        <v>83134</v>
      </c>
      <c r="D249" t="str">
        <f>CHOOSE(WEEKDAY(A249,2),"Mon","Tue","Wed","Thu","Fri","Sat","Sun")</f>
        <v>Fri</v>
      </c>
      <c r="E249" t="str">
        <f>IF(WEEKDAY(A249,2)&gt;5,"Weekend","Weekday")</f>
        <v>Weekday</v>
      </c>
      <c r="F249" s="33">
        <f>DATE(YEAR(A249),MONTH(A249),1)</f>
        <v>42064.0</v>
      </c>
      <c r="G249" t="str">
        <f>IF(COUNTIF(HolidayDates,A249)&gt;0,"Yes","No")</f>
        <v>No</v>
      </c>
      <c r="H249" t="str">
        <f>IF(COUNTIF(SpecialDates,A249)&gt;0,"Yes","No")</f>
        <v>No</v>
      </c>
      <c r="I249">
        <f>IF(B249="2015 Jan-Jun",C249,"")</f>
        <v>83134.0</v>
      </c>
      <c r="J249" s="34">
        <f>IF(COUNTIFS(tblDaily[Period],B249,tblDaily[Date],"&lt;="&amp;A249,tblDaily[Date],"&gt;"&amp;(A249-7))=7,AVERAGEIFS(tblDaily[Trips],tblDaily[Period],B249,tblDaily[Date],"&lt;="&amp;A249,tblDaily[Date],"&gt;"&amp;(A249-7)),"")</f>
        <v>75082.0</v>
      </c>
    </row>
    <row r="250" spans="1:10">
      <c r="A250" s="32">
        <v>42070</v>
      </c>
      <c r="B250" t="s">
        <v>304</v>
      </c>
      <c r="C250">
        <f>SUMIFS(tblHourly[Trips],tblHourly[Date],A250)</f>
        <v>81468</v>
      </c>
      <c r="D250" t="str">
        <f>CHOOSE(WEEKDAY(A250,2),"Mon","Tue","Wed","Thu","Fri","Sat","Sun")</f>
        <v>Sat</v>
      </c>
      <c r="E250" t="str">
        <f>IF(WEEKDAY(A250,2)&gt;5,"Weekend","Weekday")</f>
        <v>Weekend</v>
      </c>
      <c r="F250" s="33">
        <f>DATE(YEAR(A250),MONTH(A250),1)</f>
        <v>42064.0</v>
      </c>
      <c r="G250" t="str">
        <f>IF(COUNTIF(HolidayDates,A250)&gt;0,"Yes","No")</f>
        <v>No</v>
      </c>
      <c r="H250" t="str">
        <f>IF(COUNTIF(SpecialDates,A250)&gt;0,"Yes","No")</f>
        <v>No</v>
      </c>
      <c r="I250">
        <f>IF(B250="2015 Jan-Jun",C250,"")</f>
        <v>81468.0</v>
      </c>
      <c r="J250" s="34">
        <f>IF(COUNTIFS(tblDaily[Period],B250,tblDaily[Date],"&lt;="&amp;A250,tblDaily[Date],"&gt;"&amp;(A250-7))=7,AVERAGEIFS(tblDaily[Trips],tblDaily[Period],B250,tblDaily[Date],"&lt;="&amp;A250,tblDaily[Date],"&gt;"&amp;(A250-7)),"")</f>
        <v>73903.71428571429</v>
      </c>
    </row>
    <row r="251" spans="1:10">
      <c r="A251" s="32">
        <v>42071</v>
      </c>
      <c r="B251" t="s">
        <v>304</v>
      </c>
      <c r="C251">
        <f>SUMIFS(tblHourly[Trips],tblHourly[Date],A251)</f>
        <v>61824</v>
      </c>
      <c r="D251" t="str">
        <f>CHOOSE(WEEKDAY(A251,2),"Mon","Tue","Wed","Thu","Fri","Sat","Sun")</f>
        <v>Sun</v>
      </c>
      <c r="E251" t="str">
        <f>IF(WEEKDAY(A251,2)&gt;5,"Weekend","Weekday")</f>
        <v>Weekend</v>
      </c>
      <c r="F251" s="33">
        <f>DATE(YEAR(A251),MONTH(A251),1)</f>
        <v>42064.0</v>
      </c>
      <c r="G251" t="str">
        <f>IF(COUNTIF(HolidayDates,A251)&gt;0,"Yes","No")</f>
        <v>No</v>
      </c>
      <c r="H251" t="str">
        <f>IF(COUNTIF(SpecialDates,A251)&gt;0,"Yes","No")</f>
        <v>No</v>
      </c>
      <c r="I251">
        <f>IF(B251="2015 Jan-Jun",C251,"")</f>
        <v>61824.0</v>
      </c>
      <c r="J251" s="34">
        <f>IF(COUNTIFS(tblDaily[Period],B251,tblDaily[Date],"&lt;="&amp;A251,tblDaily[Date],"&gt;"&amp;(A251-7))=7,AVERAGEIFS(tblDaily[Trips],tblDaily[Period],B251,tblDaily[Date],"&lt;="&amp;A251,tblDaily[Date],"&gt;"&amp;(A251-7)),"")</f>
        <v>72615.85714285714</v>
      </c>
    </row>
    <row r="252" spans="1:10">
      <c r="A252" s="32">
        <v>42072</v>
      </c>
      <c r="B252" t="s">
        <v>304</v>
      </c>
      <c r="C252">
        <f>SUMIFS(tblHourly[Trips],tblHourly[Date],A252)</f>
        <v>53920</v>
      </c>
      <c r="D252" t="str">
        <f>CHOOSE(WEEKDAY(A252,2),"Mon","Tue","Wed","Thu","Fri","Sat","Sun")</f>
        <v>Mon</v>
      </c>
      <c r="E252" t="str">
        <f>IF(WEEKDAY(A252,2)&gt;5,"Weekend","Weekday")</f>
        <v>Weekday</v>
      </c>
      <c r="F252" s="33">
        <f>DATE(YEAR(A252),MONTH(A252),1)</f>
        <v>42064.0</v>
      </c>
      <c r="G252" t="str">
        <f>IF(COUNTIF(HolidayDates,A252)&gt;0,"Yes","No")</f>
        <v>No</v>
      </c>
      <c r="H252" t="str">
        <f>IF(COUNTIF(SpecialDates,A252)&gt;0,"Yes","No")</f>
        <v>No</v>
      </c>
      <c r="I252">
        <f>IF(B252="2015 Jan-Jun",C252,"")</f>
        <v>53920.0</v>
      </c>
      <c r="J252" s="34">
        <f>IF(COUNTIFS(tblDaily[Period],B252,tblDaily[Date],"&lt;="&amp;A252,tblDaily[Date],"&gt;"&amp;(A252-7))=7,AVERAGEIFS(tblDaily[Trips],tblDaily[Period],B252,tblDaily[Date],"&lt;="&amp;A252,tblDaily[Date],"&gt;"&amp;(A252-7)),"")</f>
        <v>72110.14285714286</v>
      </c>
    </row>
    <row r="253" spans="1:10">
      <c r="A253" s="32">
        <v>42073</v>
      </c>
      <c r="B253" t="s">
        <v>304</v>
      </c>
      <c r="C253">
        <f>SUMIFS(tblHourly[Trips],tblHourly[Date],A253)</f>
        <v>72185</v>
      </c>
      <c r="D253" t="str">
        <f>CHOOSE(WEEKDAY(A253,2),"Mon","Tue","Wed","Thu","Fri","Sat","Sun")</f>
        <v>Tue</v>
      </c>
      <c r="E253" t="str">
        <f>IF(WEEKDAY(A253,2)&gt;5,"Weekend","Weekday")</f>
        <v>Weekday</v>
      </c>
      <c r="F253" s="33">
        <f>DATE(YEAR(A253),MONTH(A253),1)</f>
        <v>42064.0</v>
      </c>
      <c r="G253" t="str">
        <f>IF(COUNTIF(HolidayDates,A253)&gt;0,"Yes","No")</f>
        <v>No</v>
      </c>
      <c r="H253" t="str">
        <f>IF(COUNTIF(SpecialDates,A253)&gt;0,"Yes","No")</f>
        <v>No</v>
      </c>
      <c r="I253">
        <f>IF(B253="2015 Jan-Jun",C253,"")</f>
        <v>72185.0</v>
      </c>
      <c r="J253" s="34">
        <f>IF(COUNTIFS(tblDaily[Period],B253,tblDaily[Date],"&lt;="&amp;A253,tblDaily[Date],"&gt;"&amp;(A253-7))=7,AVERAGEIFS(tblDaily[Trips],tblDaily[Period],B253,tblDaily[Date],"&lt;="&amp;A253,tblDaily[Date],"&gt;"&amp;(A253-7)),"")</f>
        <v>71701.14285714286</v>
      </c>
    </row>
    <row r="254" spans="1:10">
      <c r="A254" s="32">
        <v>42074</v>
      </c>
      <c r="B254" t="s">
        <v>304</v>
      </c>
      <c r="C254">
        <f>SUMIFS(tblHourly[Trips],tblHourly[Date],A254)</f>
        <v>65315</v>
      </c>
      <c r="D254" t="str">
        <f>CHOOSE(WEEKDAY(A254,2),"Mon","Tue","Wed","Thu","Fri","Sat","Sun")</f>
        <v>Wed</v>
      </c>
      <c r="E254" t="str">
        <f>IF(WEEKDAY(A254,2)&gt;5,"Weekend","Weekday")</f>
        <v>Weekday</v>
      </c>
      <c r="F254" s="33">
        <f>DATE(YEAR(A254),MONTH(A254),1)</f>
        <v>42064.0</v>
      </c>
      <c r="G254" t="str">
        <f>IF(COUNTIF(HolidayDates,A254)&gt;0,"Yes","No")</f>
        <v>No</v>
      </c>
      <c r="H254" t="str">
        <f>IF(COUNTIF(SpecialDates,A254)&gt;0,"Yes","No")</f>
        <v>No</v>
      </c>
      <c r="I254">
        <f>IF(B254="2015 Jan-Jun",C254,"")</f>
        <v>65315.0</v>
      </c>
      <c r="J254" s="34">
        <f>IF(COUNTIFS(tblDaily[Period],B254,tblDaily[Date],"&lt;="&amp;A254,tblDaily[Date],"&gt;"&amp;(A254-7))=7,AVERAGEIFS(tblDaily[Trips],tblDaily[Period],B254,tblDaily[Date],"&lt;="&amp;A254,tblDaily[Date],"&gt;"&amp;(A254-7)),"")</f>
        <v>70756.0</v>
      </c>
    </row>
    <row r="255" spans="1:10">
      <c r="A255" s="32">
        <v>42075</v>
      </c>
      <c r="B255" t="s">
        <v>304</v>
      </c>
      <c r="C255">
        <f>SUMIFS(tblHourly[Trips],tblHourly[Date],A255)</f>
        <v>74038</v>
      </c>
      <c r="D255" t="str">
        <f>CHOOSE(WEEKDAY(A255,2),"Mon","Tue","Wed","Thu","Fri","Sat","Sun")</f>
        <v>Thu</v>
      </c>
      <c r="E255" t="str">
        <f>IF(WEEKDAY(A255,2)&gt;5,"Weekend","Weekday")</f>
        <v>Weekday</v>
      </c>
      <c r="F255" s="33">
        <f>DATE(YEAR(A255),MONTH(A255),1)</f>
        <v>42064.0</v>
      </c>
      <c r="G255" t="str">
        <f>IF(COUNTIF(HolidayDates,A255)&gt;0,"Yes","No")</f>
        <v>No</v>
      </c>
      <c r="H255" t="str">
        <f>IF(COUNTIF(SpecialDates,A255)&gt;0,"Yes","No")</f>
        <v>No</v>
      </c>
      <c r="I255">
        <f>IF(B255="2015 Jan-Jun",C255,"")</f>
        <v>74038.0</v>
      </c>
      <c r="J255" s="34">
        <f>IF(COUNTIFS(tblDaily[Period],B255,tblDaily[Date],"&lt;="&amp;A255,tblDaily[Date],"&gt;"&amp;(A255-7))=7,AVERAGEIFS(tblDaily[Trips],tblDaily[Period],B255,tblDaily[Date],"&lt;="&amp;A255,tblDaily[Date],"&gt;"&amp;(A255-7)),"")</f>
        <v>70269.14285714286</v>
      </c>
    </row>
    <row r="256" spans="1:10">
      <c r="A256" s="32">
        <v>42076</v>
      </c>
      <c r="B256" t="s">
        <v>304</v>
      </c>
      <c r="C256">
        <f>SUMIFS(tblHourly[Trips],tblHourly[Date],A256)</f>
        <v>79272</v>
      </c>
      <c r="D256" t="str">
        <f>CHOOSE(WEEKDAY(A256,2),"Mon","Tue","Wed","Thu","Fri","Sat","Sun")</f>
        <v>Fri</v>
      </c>
      <c r="E256" t="str">
        <f>IF(WEEKDAY(A256,2)&gt;5,"Weekend","Weekday")</f>
        <v>Weekday</v>
      </c>
      <c r="F256" s="33">
        <f>DATE(YEAR(A256),MONTH(A256),1)</f>
        <v>42064.0</v>
      </c>
      <c r="G256" t="str">
        <f>IF(COUNTIF(HolidayDates,A256)&gt;0,"Yes","No")</f>
        <v>No</v>
      </c>
      <c r="H256" t="str">
        <f>IF(COUNTIF(SpecialDates,A256)&gt;0,"Yes","No")</f>
        <v>No</v>
      </c>
      <c r="I256">
        <f>IF(B256="2015 Jan-Jun",C256,"")</f>
        <v>79272.0</v>
      </c>
      <c r="J256" s="34">
        <f>IF(COUNTIFS(tblDaily[Period],B256,tblDaily[Date],"&lt;="&amp;A256,tblDaily[Date],"&gt;"&amp;(A256-7))=7,AVERAGEIFS(tblDaily[Trips],tblDaily[Period],B256,tblDaily[Date],"&lt;="&amp;A256,tblDaily[Date],"&gt;"&amp;(A256-7)),"")</f>
        <v>69717.42857142857</v>
      </c>
    </row>
    <row r="257" spans="1:10">
      <c r="A257" s="32">
        <v>42077</v>
      </c>
      <c r="B257" t="s">
        <v>304</v>
      </c>
      <c r="C257">
        <f>SUMIFS(tblHourly[Trips],tblHourly[Date],A257)</f>
        <v>90956</v>
      </c>
      <c r="D257" t="str">
        <f>CHOOSE(WEEKDAY(A257,2),"Mon","Tue","Wed","Thu","Fri","Sat","Sun")</f>
        <v>Sat</v>
      </c>
      <c r="E257" t="str">
        <f>IF(WEEKDAY(A257,2)&gt;5,"Weekend","Weekday")</f>
        <v>Weekend</v>
      </c>
      <c r="F257" s="33">
        <f>DATE(YEAR(A257),MONTH(A257),1)</f>
        <v>42064.0</v>
      </c>
      <c r="G257" t="str">
        <f>IF(COUNTIF(HolidayDates,A257)&gt;0,"Yes","No")</f>
        <v>No</v>
      </c>
      <c r="H257" t="str">
        <f>IF(COUNTIF(SpecialDates,A257)&gt;0,"Yes","No")</f>
        <v>No</v>
      </c>
      <c r="I257">
        <f>IF(B257="2015 Jan-Jun",C257,"")</f>
        <v>90956.0</v>
      </c>
      <c r="J257" s="34">
        <f>IF(COUNTIFS(tblDaily[Period],B257,tblDaily[Date],"&lt;="&amp;A257,tblDaily[Date],"&gt;"&amp;(A257-7))=7,AVERAGEIFS(tblDaily[Trips],tblDaily[Period],B257,tblDaily[Date],"&lt;="&amp;A257,tblDaily[Date],"&gt;"&amp;(A257-7)),"")</f>
        <v>71072.85714285714</v>
      </c>
    </row>
    <row r="258" spans="1:10">
      <c r="A258" s="32">
        <v>42078</v>
      </c>
      <c r="B258" t="s">
        <v>304</v>
      </c>
      <c r="C258">
        <f>SUMIFS(tblHourly[Trips],tblHourly[Date],A258)</f>
        <v>63421</v>
      </c>
      <c r="D258" t="str">
        <f>CHOOSE(WEEKDAY(A258,2),"Mon","Tue","Wed","Thu","Fri","Sat","Sun")</f>
        <v>Sun</v>
      </c>
      <c r="E258" t="str">
        <f>IF(WEEKDAY(A258,2)&gt;5,"Weekend","Weekday")</f>
        <v>Weekend</v>
      </c>
      <c r="F258" s="33">
        <f>DATE(YEAR(A258),MONTH(A258),1)</f>
        <v>42064.0</v>
      </c>
      <c r="G258" t="str">
        <f>IF(COUNTIF(HolidayDates,A258)&gt;0,"Yes","No")</f>
        <v>No</v>
      </c>
      <c r="H258" t="str">
        <f>IF(COUNTIF(SpecialDates,A258)&gt;0,"Yes","No")</f>
        <v>No</v>
      </c>
      <c r="I258">
        <f>IF(B258="2015 Jan-Jun",C258,"")</f>
        <v>63421.0</v>
      </c>
      <c r="J258" s="34">
        <f>IF(COUNTIFS(tblDaily[Period],B258,tblDaily[Date],"&lt;="&amp;A258,tblDaily[Date],"&gt;"&amp;(A258-7))=7,AVERAGEIFS(tblDaily[Trips],tblDaily[Period],B258,tblDaily[Date],"&lt;="&amp;A258,tblDaily[Date],"&gt;"&amp;(A258-7)),"")</f>
        <v>71301.0</v>
      </c>
    </row>
    <row r="259" spans="1:10">
      <c r="A259" s="32">
        <v>42079</v>
      </c>
      <c r="B259" t="s">
        <v>304</v>
      </c>
      <c r="C259">
        <f>SUMIFS(tblHourly[Trips],tblHourly[Date],A259)</f>
        <v>54824</v>
      </c>
      <c r="D259" t="str">
        <f>CHOOSE(WEEKDAY(A259,2),"Mon","Tue","Wed","Thu","Fri","Sat","Sun")</f>
        <v>Mon</v>
      </c>
      <c r="E259" t="str">
        <f>IF(WEEKDAY(A259,2)&gt;5,"Weekend","Weekday")</f>
        <v>Weekday</v>
      </c>
      <c r="F259" s="33">
        <f>DATE(YEAR(A259),MONTH(A259),1)</f>
        <v>42064.0</v>
      </c>
      <c r="G259" t="str">
        <f>IF(COUNTIF(HolidayDates,A259)&gt;0,"Yes","No")</f>
        <v>No</v>
      </c>
      <c r="H259" t="str">
        <f>IF(COUNTIF(SpecialDates,A259)&gt;0,"Yes","No")</f>
        <v>No</v>
      </c>
      <c r="I259">
        <f>IF(B259="2015 Jan-Jun",C259,"")</f>
        <v>54824.0</v>
      </c>
      <c r="J259" s="34">
        <f>IF(COUNTIFS(tblDaily[Period],B259,tblDaily[Date],"&lt;="&amp;A259,tblDaily[Date],"&gt;"&amp;(A259-7))=7,AVERAGEIFS(tblDaily[Trips],tblDaily[Period],B259,tblDaily[Date],"&lt;="&amp;A259,tblDaily[Date],"&gt;"&amp;(A259-7)),"")</f>
        <v>71430.14285714286</v>
      </c>
    </row>
    <row r="260" spans="1:10">
      <c r="A260" s="32">
        <v>42080</v>
      </c>
      <c r="B260" t="s">
        <v>304</v>
      </c>
      <c r="C260">
        <f>SUMIFS(tblHourly[Trips],tblHourly[Date],A260)</f>
        <v>62886</v>
      </c>
      <c r="D260" t="str">
        <f>CHOOSE(WEEKDAY(A260,2),"Mon","Tue","Wed","Thu","Fri","Sat","Sun")</f>
        <v>Tue</v>
      </c>
      <c r="E260" t="str">
        <f>IF(WEEKDAY(A260,2)&gt;5,"Weekend","Weekday")</f>
        <v>Weekday</v>
      </c>
      <c r="F260" s="33">
        <f>DATE(YEAR(A260),MONTH(A260),1)</f>
        <v>42064.0</v>
      </c>
      <c r="G260" t="str">
        <f>IF(COUNTIF(HolidayDates,A260)&gt;0,"Yes","No")</f>
        <v>No</v>
      </c>
      <c r="H260" t="str">
        <f>IF(COUNTIF(SpecialDates,A260)&gt;0,"Yes","No")</f>
        <v>No</v>
      </c>
      <c r="I260">
        <f>IF(B260="2015 Jan-Jun",C260,"")</f>
        <v>62886.0</v>
      </c>
      <c r="J260" s="34">
        <f>IF(COUNTIFS(tblDaily[Period],B260,tblDaily[Date],"&lt;="&amp;A260,tblDaily[Date],"&gt;"&amp;(A260-7))=7,AVERAGEIFS(tblDaily[Trips],tblDaily[Period],B260,tblDaily[Date],"&lt;="&amp;A260,tblDaily[Date],"&gt;"&amp;(A260-7)),"")</f>
        <v>70101.71428571429</v>
      </c>
    </row>
    <row r="261" spans="1:10">
      <c r="A261" s="32">
        <v>42081</v>
      </c>
      <c r="B261" t="s">
        <v>304</v>
      </c>
      <c r="C261">
        <f>SUMIFS(tblHourly[Trips],tblHourly[Date],A261)</f>
        <v>70384</v>
      </c>
      <c r="D261" t="str">
        <f>CHOOSE(WEEKDAY(A261,2),"Mon","Tue","Wed","Thu","Fri","Sat","Sun")</f>
        <v>Wed</v>
      </c>
      <c r="E261" t="str">
        <f>IF(WEEKDAY(A261,2)&gt;5,"Weekend","Weekday")</f>
        <v>Weekday</v>
      </c>
      <c r="F261" s="33">
        <f>DATE(YEAR(A261),MONTH(A261),1)</f>
        <v>42064.0</v>
      </c>
      <c r="G261" t="str">
        <f>IF(COUNTIF(HolidayDates,A261)&gt;0,"Yes","No")</f>
        <v>No</v>
      </c>
      <c r="H261" t="str">
        <f>IF(COUNTIF(SpecialDates,A261)&gt;0,"Yes","No")</f>
        <v>No</v>
      </c>
      <c r="I261">
        <f>IF(B261="2015 Jan-Jun",C261,"")</f>
        <v>70384.0</v>
      </c>
      <c r="J261" s="34">
        <f>IF(COUNTIFS(tblDaily[Period],B261,tblDaily[Date],"&lt;="&amp;A261,tblDaily[Date],"&gt;"&amp;(A261-7))=7,AVERAGEIFS(tblDaily[Trips],tblDaily[Period],B261,tblDaily[Date],"&lt;="&amp;A261,tblDaily[Date],"&gt;"&amp;(A261-7)),"")</f>
        <v>70825.85714285714</v>
      </c>
    </row>
    <row r="262" spans="1:10">
      <c r="A262" s="32">
        <v>42082</v>
      </c>
      <c r="B262" t="s">
        <v>304</v>
      </c>
      <c r="C262">
        <f>SUMIFS(tblHourly[Trips],tblHourly[Date],A262)</f>
        <v>75839</v>
      </c>
      <c r="D262" t="str">
        <f>CHOOSE(WEEKDAY(A262,2),"Mon","Tue","Wed","Thu","Fri","Sat","Sun")</f>
        <v>Thu</v>
      </c>
      <c r="E262" t="str">
        <f>IF(WEEKDAY(A262,2)&gt;5,"Weekend","Weekday")</f>
        <v>Weekday</v>
      </c>
      <c r="F262" s="33">
        <f>DATE(YEAR(A262),MONTH(A262),1)</f>
        <v>42064.0</v>
      </c>
      <c r="G262" t="str">
        <f>IF(COUNTIF(HolidayDates,A262)&gt;0,"Yes","No")</f>
        <v>No</v>
      </c>
      <c r="H262" t="str">
        <f>IF(COUNTIF(SpecialDates,A262)&gt;0,"Yes","No")</f>
        <v>No</v>
      </c>
      <c r="I262">
        <f>IF(B262="2015 Jan-Jun",C262,"")</f>
        <v>75839.0</v>
      </c>
      <c r="J262" s="34">
        <f>IF(COUNTIFS(tblDaily[Period],B262,tblDaily[Date],"&lt;="&amp;A262,tblDaily[Date],"&gt;"&amp;(A262-7))=7,AVERAGEIFS(tblDaily[Trips],tblDaily[Period],B262,tblDaily[Date],"&lt;="&amp;A262,tblDaily[Date],"&gt;"&amp;(A262-7)),"")</f>
        <v>71083.14285714286</v>
      </c>
    </row>
    <row r="263" spans="1:10">
      <c r="A263" s="32">
        <v>42083</v>
      </c>
      <c r="B263" t="s">
        <v>304</v>
      </c>
      <c r="C263">
        <f>SUMIFS(tblHourly[Trips],tblHourly[Date],A263)</f>
        <v>95273</v>
      </c>
      <c r="D263" t="str">
        <f>CHOOSE(WEEKDAY(A263,2),"Mon","Tue","Wed","Thu","Fri","Sat","Sun")</f>
        <v>Fri</v>
      </c>
      <c r="E263" t="str">
        <f>IF(WEEKDAY(A263,2)&gt;5,"Weekend","Weekday")</f>
        <v>Weekday</v>
      </c>
      <c r="F263" s="33">
        <f>DATE(YEAR(A263),MONTH(A263),1)</f>
        <v>42064.0</v>
      </c>
      <c r="G263" t="str">
        <f>IF(COUNTIF(HolidayDates,A263)&gt;0,"Yes","No")</f>
        <v>No</v>
      </c>
      <c r="H263" t="str">
        <f>IF(COUNTIF(SpecialDates,A263)&gt;0,"Yes","No")</f>
        <v>No</v>
      </c>
      <c r="I263">
        <f>IF(B263="2015 Jan-Jun",C263,"")</f>
        <v>95273.0</v>
      </c>
      <c r="J263" s="34">
        <f>IF(COUNTIFS(tblDaily[Period],B263,tblDaily[Date],"&lt;="&amp;A263,tblDaily[Date],"&gt;"&amp;(A263-7))=7,AVERAGEIFS(tblDaily[Trips],tblDaily[Period],B263,tblDaily[Date],"&lt;="&amp;A263,tblDaily[Date],"&gt;"&amp;(A263-7)),"")</f>
        <v>73369.0</v>
      </c>
    </row>
    <row r="264" spans="1:10">
      <c r="A264" s="32">
        <v>42084</v>
      </c>
      <c r="B264" t="s">
        <v>304</v>
      </c>
      <c r="C264">
        <f>SUMIFS(tblHourly[Trips],tblHourly[Date],A264)</f>
        <v>80745</v>
      </c>
      <c r="D264" t="str">
        <f>CHOOSE(WEEKDAY(A264,2),"Mon","Tue","Wed","Thu","Fri","Sat","Sun")</f>
        <v>Sat</v>
      </c>
      <c r="E264" t="str">
        <f>IF(WEEKDAY(A264,2)&gt;5,"Weekend","Weekday")</f>
        <v>Weekend</v>
      </c>
      <c r="F264" s="33">
        <f>DATE(YEAR(A264),MONTH(A264),1)</f>
        <v>42064.0</v>
      </c>
      <c r="G264" t="str">
        <f>IF(COUNTIF(HolidayDates,A264)&gt;0,"Yes","No")</f>
        <v>No</v>
      </c>
      <c r="H264" t="str">
        <f>IF(COUNTIF(SpecialDates,A264)&gt;0,"Yes","No")</f>
        <v>No</v>
      </c>
      <c r="I264">
        <f>IF(B264="2015 Jan-Jun",C264,"")</f>
        <v>80745.0</v>
      </c>
      <c r="J264" s="34">
        <f>IF(COUNTIFS(tblDaily[Period],B264,tblDaily[Date],"&lt;="&amp;A264,tblDaily[Date],"&gt;"&amp;(A264-7))=7,AVERAGEIFS(tblDaily[Trips],tblDaily[Period],B264,tblDaily[Date],"&lt;="&amp;A264,tblDaily[Date],"&gt;"&amp;(A264-7)),"")</f>
        <v>71910.28571428571</v>
      </c>
    </row>
    <row r="265" spans="1:10">
      <c r="A265" s="32">
        <v>42085</v>
      </c>
      <c r="B265" t="s">
        <v>304</v>
      </c>
      <c r="C265">
        <f>SUMIFS(tblHourly[Trips],tblHourly[Date],A265)</f>
        <v>69337</v>
      </c>
      <c r="D265" t="str">
        <f>CHOOSE(WEEKDAY(A265,2),"Mon","Tue","Wed","Thu","Fri","Sat","Sun")</f>
        <v>Sun</v>
      </c>
      <c r="E265" t="str">
        <f>IF(WEEKDAY(A265,2)&gt;5,"Weekend","Weekday")</f>
        <v>Weekend</v>
      </c>
      <c r="F265" s="33">
        <f>DATE(YEAR(A265),MONTH(A265),1)</f>
        <v>42064.0</v>
      </c>
      <c r="G265" t="str">
        <f>IF(COUNTIF(HolidayDates,A265)&gt;0,"Yes","No")</f>
        <v>No</v>
      </c>
      <c r="H265" t="str">
        <f>IF(COUNTIF(SpecialDates,A265)&gt;0,"Yes","No")</f>
        <v>No</v>
      </c>
      <c r="I265">
        <f>IF(B265="2015 Jan-Jun",C265,"")</f>
        <v>69337.0</v>
      </c>
      <c r="J265" s="34">
        <f>IF(COUNTIFS(tblDaily[Period],B265,tblDaily[Date],"&lt;="&amp;A265,tblDaily[Date],"&gt;"&amp;(A265-7))=7,AVERAGEIFS(tblDaily[Trips],tblDaily[Period],B265,tblDaily[Date],"&lt;="&amp;A265,tblDaily[Date],"&gt;"&amp;(A265-7)),"")</f>
        <v>72755.42857142857</v>
      </c>
    </row>
    <row r="266" spans="1:10">
      <c r="A266" s="32">
        <v>42086</v>
      </c>
      <c r="B266" t="s">
        <v>304</v>
      </c>
      <c r="C266">
        <f>SUMIFS(tblHourly[Trips],tblHourly[Date],A266)</f>
        <v>60498</v>
      </c>
      <c r="D266" t="str">
        <f>CHOOSE(WEEKDAY(A266,2),"Mon","Tue","Wed","Thu","Fri","Sat","Sun")</f>
        <v>Mon</v>
      </c>
      <c r="E266" t="str">
        <f>IF(WEEKDAY(A266,2)&gt;5,"Weekend","Weekday")</f>
        <v>Weekday</v>
      </c>
      <c r="F266" s="33">
        <f>DATE(YEAR(A266),MONTH(A266),1)</f>
        <v>42064.0</v>
      </c>
      <c r="G266" t="str">
        <f>IF(COUNTIF(HolidayDates,A266)&gt;0,"Yes","No")</f>
        <v>No</v>
      </c>
      <c r="H266" t="str">
        <f>IF(COUNTIF(SpecialDates,A266)&gt;0,"Yes","No")</f>
        <v>No</v>
      </c>
      <c r="I266">
        <f>IF(B266="2015 Jan-Jun",C266,"")</f>
        <v>60498.0</v>
      </c>
      <c r="J266" s="34">
        <f>IF(COUNTIFS(tblDaily[Period],B266,tblDaily[Date],"&lt;="&amp;A266,tblDaily[Date],"&gt;"&amp;(A266-7))=7,AVERAGEIFS(tblDaily[Trips],tblDaily[Period],B266,tblDaily[Date],"&lt;="&amp;A266,tblDaily[Date],"&gt;"&amp;(A266-7)),"")</f>
        <v>73566.0</v>
      </c>
    </row>
    <row r="267" spans="1:10">
      <c r="A267" s="32">
        <v>42087</v>
      </c>
      <c r="B267" t="s">
        <v>304</v>
      </c>
      <c r="C267">
        <f>SUMIFS(tblHourly[Trips],tblHourly[Date],A267)</f>
        <v>64400</v>
      </c>
      <c r="D267" t="str">
        <f>CHOOSE(WEEKDAY(A267,2),"Mon","Tue","Wed","Thu","Fri","Sat","Sun")</f>
        <v>Tue</v>
      </c>
      <c r="E267" t="str">
        <f>IF(WEEKDAY(A267,2)&gt;5,"Weekend","Weekday")</f>
        <v>Weekday</v>
      </c>
      <c r="F267" s="33">
        <f>DATE(YEAR(A267),MONTH(A267),1)</f>
        <v>42064.0</v>
      </c>
      <c r="G267" t="str">
        <f>IF(COUNTIF(HolidayDates,A267)&gt;0,"Yes","No")</f>
        <v>No</v>
      </c>
      <c r="H267" t="str">
        <f>IF(COUNTIF(SpecialDates,A267)&gt;0,"Yes","No")</f>
        <v>No</v>
      </c>
      <c r="I267">
        <f>IF(B267="2015 Jan-Jun",C267,"")</f>
        <v>64400.0</v>
      </c>
      <c r="J267" s="34">
        <f>IF(COUNTIFS(tblDaily[Period],B267,tblDaily[Date],"&lt;="&amp;A267,tblDaily[Date],"&gt;"&amp;(A267-7))=7,AVERAGEIFS(tblDaily[Trips],tblDaily[Period],B267,tblDaily[Date],"&lt;="&amp;A267,tblDaily[Date],"&gt;"&amp;(A267-7)),"")</f>
        <v>73782.28571428571</v>
      </c>
    </row>
    <row r="268" spans="1:10">
      <c r="A268" s="32">
        <v>42088</v>
      </c>
      <c r="B268" t="s">
        <v>304</v>
      </c>
      <c r="C268">
        <f>SUMIFS(tblHourly[Trips],tblHourly[Date],A268)</f>
        <v>73953</v>
      </c>
      <c r="D268" t="str">
        <f>CHOOSE(WEEKDAY(A268,2),"Mon","Tue","Wed","Thu","Fri","Sat","Sun")</f>
        <v>Wed</v>
      </c>
      <c r="E268" t="str">
        <f>IF(WEEKDAY(A268,2)&gt;5,"Weekend","Weekday")</f>
        <v>Weekday</v>
      </c>
      <c r="F268" s="33">
        <f>DATE(YEAR(A268),MONTH(A268),1)</f>
        <v>42064.0</v>
      </c>
      <c r="G268" t="str">
        <f>IF(COUNTIF(HolidayDates,A268)&gt;0,"Yes","No")</f>
        <v>No</v>
      </c>
      <c r="H268" t="str">
        <f>IF(COUNTIF(SpecialDates,A268)&gt;0,"Yes","No")</f>
        <v>No</v>
      </c>
      <c r="I268">
        <f>IF(B268="2015 Jan-Jun",C268,"")</f>
        <v>73953.0</v>
      </c>
      <c r="J268" s="34">
        <f>IF(COUNTIFS(tblDaily[Period],B268,tblDaily[Date],"&lt;="&amp;A268,tblDaily[Date],"&gt;"&amp;(A268-7))=7,AVERAGEIFS(tblDaily[Trips],tblDaily[Period],B268,tblDaily[Date],"&lt;="&amp;A268,tblDaily[Date],"&gt;"&amp;(A268-7)),"")</f>
        <v>74292.14285714286</v>
      </c>
    </row>
    <row r="269" spans="1:10">
      <c r="A269" s="32">
        <v>42089</v>
      </c>
      <c r="B269" t="s">
        <v>304</v>
      </c>
      <c r="C269">
        <f>SUMIFS(tblHourly[Trips],tblHourly[Date],A269)</f>
        <v>78552</v>
      </c>
      <c r="D269" t="str">
        <f>CHOOSE(WEEKDAY(A269,2),"Mon","Tue","Wed","Thu","Fri","Sat","Sun")</f>
        <v>Thu</v>
      </c>
      <c r="E269" t="str">
        <f>IF(WEEKDAY(A269,2)&gt;5,"Weekend","Weekday")</f>
        <v>Weekday</v>
      </c>
      <c r="F269" s="33">
        <f>DATE(YEAR(A269),MONTH(A269),1)</f>
        <v>42064.0</v>
      </c>
      <c r="G269" t="str">
        <f>IF(COUNTIF(HolidayDates,A269)&gt;0,"Yes","No")</f>
        <v>No</v>
      </c>
      <c r="H269" t="str">
        <f>IF(COUNTIF(SpecialDates,A269)&gt;0,"Yes","No")</f>
        <v>No</v>
      </c>
      <c r="I269">
        <f>IF(B269="2015 Jan-Jun",C269,"")</f>
        <v>78552.0</v>
      </c>
      <c r="J269" s="34">
        <f>IF(COUNTIFS(tblDaily[Period],B269,tblDaily[Date],"&lt;="&amp;A269,tblDaily[Date],"&gt;"&amp;(A269-7))=7,AVERAGEIFS(tblDaily[Trips],tblDaily[Period],B269,tblDaily[Date],"&lt;="&amp;A269,tblDaily[Date],"&gt;"&amp;(A269-7)),"")</f>
        <v>74679.71428571429</v>
      </c>
    </row>
    <row r="270" spans="1:10">
      <c r="A270" s="32">
        <v>42090</v>
      </c>
      <c r="B270" t="s">
        <v>304</v>
      </c>
      <c r="C270">
        <f>SUMIFS(tblHourly[Trips],tblHourly[Date],A270)</f>
        <v>84977</v>
      </c>
      <c r="D270" t="str">
        <f>CHOOSE(WEEKDAY(A270,2),"Mon","Tue","Wed","Thu","Fri","Sat","Sun")</f>
        <v>Fri</v>
      </c>
      <c r="E270" t="str">
        <f>IF(WEEKDAY(A270,2)&gt;5,"Weekend","Weekday")</f>
        <v>Weekday</v>
      </c>
      <c r="F270" s="33">
        <f>DATE(YEAR(A270),MONTH(A270),1)</f>
        <v>42064.0</v>
      </c>
      <c r="G270" t="str">
        <f>IF(COUNTIF(HolidayDates,A270)&gt;0,"Yes","No")</f>
        <v>No</v>
      </c>
      <c r="H270" t="str">
        <f>IF(COUNTIF(SpecialDates,A270)&gt;0,"Yes","No")</f>
        <v>No</v>
      </c>
      <c r="I270">
        <f>IF(B270="2015 Jan-Jun",C270,"")</f>
        <v>84977.0</v>
      </c>
      <c r="J270" s="34">
        <f>IF(COUNTIFS(tblDaily[Period],B270,tblDaily[Date],"&lt;="&amp;A270,tblDaily[Date],"&gt;"&amp;(A270-7))=7,AVERAGEIFS(tblDaily[Trips],tblDaily[Period],B270,tblDaily[Date],"&lt;="&amp;A270,tblDaily[Date],"&gt;"&amp;(A270-7)),"")</f>
        <v>73208.85714285714</v>
      </c>
    </row>
    <row r="271" spans="1:10">
      <c r="A271" s="32">
        <v>42091</v>
      </c>
      <c r="B271" t="s">
        <v>304</v>
      </c>
      <c r="C271">
        <f>SUMIFS(tblHourly[Trips],tblHourly[Date],A271)</f>
        <v>92527</v>
      </c>
      <c r="D271" t="str">
        <f>CHOOSE(WEEKDAY(A271,2),"Mon","Tue","Wed","Thu","Fri","Sat","Sun")</f>
        <v>Sat</v>
      </c>
      <c r="E271" t="str">
        <f>IF(WEEKDAY(A271,2)&gt;5,"Weekend","Weekday")</f>
        <v>Weekend</v>
      </c>
      <c r="F271" s="33">
        <f>DATE(YEAR(A271),MONTH(A271),1)</f>
        <v>42064.0</v>
      </c>
      <c r="G271" t="str">
        <f>IF(COUNTIF(HolidayDates,A271)&gt;0,"Yes","No")</f>
        <v>No</v>
      </c>
      <c r="H271" t="str">
        <f>IF(COUNTIF(SpecialDates,A271)&gt;0,"Yes","No")</f>
        <v>No</v>
      </c>
      <c r="I271">
        <f>IF(B271="2015 Jan-Jun",C271,"")</f>
        <v>92527.0</v>
      </c>
      <c r="J271" s="34">
        <f>IF(COUNTIFS(tblDaily[Period],B271,tblDaily[Date],"&lt;="&amp;A271,tblDaily[Date],"&gt;"&amp;(A271-7))=7,AVERAGEIFS(tblDaily[Trips],tblDaily[Period],B271,tblDaily[Date],"&lt;="&amp;A271,tblDaily[Date],"&gt;"&amp;(A271-7)),"")</f>
        <v>74892.0</v>
      </c>
    </row>
    <row r="272" spans="1:10">
      <c r="A272" s="32">
        <v>42092</v>
      </c>
      <c r="B272" t="s">
        <v>304</v>
      </c>
      <c r="C272">
        <f>SUMIFS(tblHourly[Trips],tblHourly[Date],A272)</f>
        <v>75648</v>
      </c>
      <c r="D272" t="str">
        <f>CHOOSE(WEEKDAY(A272,2),"Mon","Tue","Wed","Thu","Fri","Sat","Sun")</f>
        <v>Sun</v>
      </c>
      <c r="E272" t="str">
        <f>IF(WEEKDAY(A272,2)&gt;5,"Weekend","Weekday")</f>
        <v>Weekend</v>
      </c>
      <c r="F272" s="33">
        <f>DATE(YEAR(A272),MONTH(A272),1)</f>
        <v>42064.0</v>
      </c>
      <c r="G272" t="str">
        <f>IF(COUNTIF(HolidayDates,A272)&gt;0,"Yes","No")</f>
        <v>No</v>
      </c>
      <c r="H272" t="str">
        <f>IF(COUNTIF(SpecialDates,A272)&gt;0,"Yes","No")</f>
        <v>No</v>
      </c>
      <c r="I272">
        <f>IF(B272="2015 Jan-Jun",C272,"")</f>
        <v>75648.0</v>
      </c>
      <c r="J272" s="34">
        <f>IF(COUNTIFS(tblDaily[Period],B272,tblDaily[Date],"&lt;="&amp;A272,tblDaily[Date],"&gt;"&amp;(A272-7))=7,AVERAGEIFS(tblDaily[Trips],tblDaily[Period],B272,tblDaily[Date],"&lt;="&amp;A272,tblDaily[Date],"&gt;"&amp;(A272-7)),"")</f>
        <v>75793.57142857143</v>
      </c>
    </row>
    <row r="273" spans="1:10">
      <c r="A273" s="32">
        <v>42093</v>
      </c>
      <c r="B273" t="s">
        <v>304</v>
      </c>
      <c r="C273">
        <f>SUMIFS(tblHourly[Trips],tblHourly[Date],A273)</f>
        <v>62780</v>
      </c>
      <c r="D273" t="str">
        <f>CHOOSE(WEEKDAY(A273,2),"Mon","Tue","Wed","Thu","Fri","Sat","Sun")</f>
        <v>Mon</v>
      </c>
      <c r="E273" t="str">
        <f>IF(WEEKDAY(A273,2)&gt;5,"Weekend","Weekday")</f>
        <v>Weekday</v>
      </c>
      <c r="F273" s="33">
        <f>DATE(YEAR(A273),MONTH(A273),1)</f>
        <v>42064.0</v>
      </c>
      <c r="G273" t="str">
        <f>IF(COUNTIF(HolidayDates,A273)&gt;0,"Yes","No")</f>
        <v>No</v>
      </c>
      <c r="H273" t="str">
        <f>IF(COUNTIF(SpecialDates,A273)&gt;0,"Yes","No")</f>
        <v>No</v>
      </c>
      <c r="I273">
        <f>IF(B273="2015 Jan-Jun",C273,"")</f>
        <v>62780.0</v>
      </c>
      <c r="J273" s="34">
        <f>IF(COUNTIFS(tblDaily[Period],B273,tblDaily[Date],"&lt;="&amp;A273,tblDaily[Date],"&gt;"&amp;(A273-7))=7,AVERAGEIFS(tblDaily[Trips],tblDaily[Period],B273,tblDaily[Date],"&lt;="&amp;A273,tblDaily[Date],"&gt;"&amp;(A273-7)),"")</f>
        <v>76119.57142857143</v>
      </c>
    </row>
    <row r="274" spans="1:10">
      <c r="A274" s="32">
        <v>42094</v>
      </c>
      <c r="B274" t="s">
        <v>304</v>
      </c>
      <c r="C274">
        <f>SUMIFS(tblHourly[Trips],tblHourly[Date],A274)</f>
        <v>78893</v>
      </c>
      <c r="D274" t="str">
        <f>CHOOSE(WEEKDAY(A274,2),"Mon","Tue","Wed","Thu","Fri","Sat","Sun")</f>
        <v>Tue</v>
      </c>
      <c r="E274" t="str">
        <f>IF(WEEKDAY(A274,2)&gt;5,"Weekend","Weekday")</f>
        <v>Weekday</v>
      </c>
      <c r="F274" s="33">
        <f>DATE(YEAR(A274),MONTH(A274),1)</f>
        <v>42064.0</v>
      </c>
      <c r="G274" t="str">
        <f>IF(COUNTIF(HolidayDates,A274)&gt;0,"Yes","No")</f>
        <v>No</v>
      </c>
      <c r="H274" t="str">
        <f>IF(COUNTIF(SpecialDates,A274)&gt;0,"Yes","No")</f>
        <v>No</v>
      </c>
      <c r="I274">
        <f>IF(B274="2015 Jan-Jun",C274,"")</f>
        <v>78893.0</v>
      </c>
      <c r="J274" s="34">
        <f>IF(COUNTIFS(tblDaily[Period],B274,tblDaily[Date],"&lt;="&amp;A274,tblDaily[Date],"&gt;"&amp;(A274-7))=7,AVERAGEIFS(tblDaily[Trips],tblDaily[Period],B274,tblDaily[Date],"&lt;="&amp;A274,tblDaily[Date],"&gt;"&amp;(A274-7)),"")</f>
        <v>78190.0</v>
      </c>
    </row>
    <row r="275" spans="1:10">
      <c r="A275" s="32">
        <v>42095</v>
      </c>
      <c r="B275" t="s">
        <v>304</v>
      </c>
      <c r="C275">
        <f>SUMIFS(tblHourly[Trips],tblHourly[Date],A275)</f>
        <v>69223</v>
      </c>
      <c r="D275" t="str">
        <f>CHOOSE(WEEKDAY(A275,2),"Mon","Tue","Wed","Thu","Fri","Sat","Sun")</f>
        <v>Wed</v>
      </c>
      <c r="E275" t="str">
        <f>IF(WEEKDAY(A275,2)&gt;5,"Weekend","Weekday")</f>
        <v>Weekday</v>
      </c>
      <c r="F275" s="33">
        <f>DATE(YEAR(A275),MONTH(A275),1)</f>
        <v>42095.0</v>
      </c>
      <c r="G275" t="str">
        <f>IF(COUNTIF(HolidayDates,A275)&gt;0,"Yes","No")</f>
        <v>No</v>
      </c>
      <c r="H275" t="str">
        <f>IF(COUNTIF(SpecialDates,A275)&gt;0,"Yes","No")</f>
        <v>No</v>
      </c>
      <c r="I275">
        <f>IF(B275="2015 Jan-Jun",C275,"")</f>
        <v>69223.0</v>
      </c>
      <c r="J275" s="34">
        <f>IF(COUNTIFS(tblDaily[Period],B275,tblDaily[Date],"&lt;="&amp;A275,tblDaily[Date],"&gt;"&amp;(A275-7))=7,AVERAGEIFS(tblDaily[Trips],tblDaily[Period],B275,tblDaily[Date],"&lt;="&amp;A275,tblDaily[Date],"&gt;"&amp;(A275-7)),"")</f>
        <v>77514.28571428571</v>
      </c>
    </row>
    <row r="276" spans="1:10">
      <c r="A276" s="32">
        <v>42096</v>
      </c>
      <c r="B276" t="s">
        <v>304</v>
      </c>
      <c r="C276">
        <f>SUMIFS(tblHourly[Trips],tblHourly[Date],A276)</f>
        <v>74069</v>
      </c>
      <c r="D276" t="str">
        <f>CHOOSE(WEEKDAY(A276,2),"Mon","Tue","Wed","Thu","Fri","Sat","Sun")</f>
        <v>Thu</v>
      </c>
      <c r="E276" t="str">
        <f>IF(WEEKDAY(A276,2)&gt;5,"Weekend","Weekday")</f>
        <v>Weekday</v>
      </c>
      <c r="F276" s="33">
        <f>DATE(YEAR(A276),MONTH(A276),1)</f>
        <v>42095.0</v>
      </c>
      <c r="G276" t="str">
        <f>IF(COUNTIF(HolidayDates,A276)&gt;0,"Yes","No")</f>
        <v>No</v>
      </c>
      <c r="H276" t="str">
        <f>IF(COUNTIF(SpecialDates,A276)&gt;0,"Yes","No")</f>
        <v>No</v>
      </c>
      <c r="I276">
        <f>IF(B276="2015 Jan-Jun",C276,"")</f>
        <v>74069.0</v>
      </c>
      <c r="J276" s="34">
        <f>IF(COUNTIFS(tblDaily[Period],B276,tblDaily[Date],"&lt;="&amp;A276,tblDaily[Date],"&gt;"&amp;(A276-7))=7,AVERAGEIFS(tblDaily[Trips],tblDaily[Period],B276,tblDaily[Date],"&lt;="&amp;A276,tblDaily[Date],"&gt;"&amp;(A276-7)),"")</f>
        <v>76873.85714285714</v>
      </c>
    </row>
    <row r="277" spans="1:10">
      <c r="A277" s="32">
        <v>42097</v>
      </c>
      <c r="B277" t="s">
        <v>304</v>
      </c>
      <c r="C277">
        <f>SUMIFS(tblHourly[Trips],tblHourly[Date],A277)</f>
        <v>75983</v>
      </c>
      <c r="D277" t="str">
        <f>CHOOSE(WEEKDAY(A277,2),"Mon","Tue","Wed","Thu","Fri","Sat","Sun")</f>
        <v>Fri</v>
      </c>
      <c r="E277" t="str">
        <f>IF(WEEKDAY(A277,2)&gt;5,"Weekend","Weekday")</f>
        <v>Weekday</v>
      </c>
      <c r="F277" s="33">
        <f>DATE(YEAR(A277),MONTH(A277),1)</f>
        <v>42095.0</v>
      </c>
      <c r="G277" t="str">
        <f>IF(COUNTIF(HolidayDates,A277)&gt;0,"Yes","No")</f>
        <v>No</v>
      </c>
      <c r="H277" t="str">
        <f>IF(COUNTIF(SpecialDates,A277)&gt;0,"Yes","No")</f>
        <v>No</v>
      </c>
      <c r="I277">
        <f>IF(B277="2015 Jan-Jun",C277,"")</f>
        <v>75983.0</v>
      </c>
      <c r="J277" s="34">
        <f>IF(COUNTIFS(tblDaily[Period],B277,tblDaily[Date],"&lt;="&amp;A277,tblDaily[Date],"&gt;"&amp;(A277-7))=7,AVERAGEIFS(tblDaily[Trips],tblDaily[Period],B277,tblDaily[Date],"&lt;="&amp;A277,tblDaily[Date],"&gt;"&amp;(A277-7)),"")</f>
        <v>75589.0</v>
      </c>
    </row>
    <row r="278" spans="1:10">
      <c r="A278" s="32">
        <v>42098</v>
      </c>
      <c r="B278" t="s">
        <v>304</v>
      </c>
      <c r="C278">
        <f>SUMIFS(tblHourly[Trips],tblHourly[Date],A278)</f>
        <v>69189</v>
      </c>
      <c r="D278" t="str">
        <f>CHOOSE(WEEKDAY(A278,2),"Mon","Tue","Wed","Thu","Fri","Sat","Sun")</f>
        <v>Sat</v>
      </c>
      <c r="E278" t="str">
        <f>IF(WEEKDAY(A278,2)&gt;5,"Weekend","Weekday")</f>
        <v>Weekend</v>
      </c>
      <c r="F278" s="33">
        <f>DATE(YEAR(A278),MONTH(A278),1)</f>
        <v>42095.0</v>
      </c>
      <c r="G278" t="str">
        <f>IF(COUNTIF(HolidayDates,A278)&gt;0,"Yes","No")</f>
        <v>No</v>
      </c>
      <c r="H278" t="str">
        <f>IF(COUNTIF(SpecialDates,A278)&gt;0,"Yes","No")</f>
        <v>No</v>
      </c>
      <c r="I278">
        <f>IF(B278="2015 Jan-Jun",C278,"")</f>
        <v>69189.0</v>
      </c>
      <c r="J278" s="34">
        <f>IF(COUNTIFS(tblDaily[Period],B278,tblDaily[Date],"&lt;="&amp;A278,tblDaily[Date],"&gt;"&amp;(A278-7))=7,AVERAGEIFS(tblDaily[Trips],tblDaily[Period],B278,tblDaily[Date],"&lt;="&amp;A278,tblDaily[Date],"&gt;"&amp;(A278-7)),"")</f>
        <v>72255.0</v>
      </c>
    </row>
    <row r="279" spans="1:10">
      <c r="A279" s="32">
        <v>42099</v>
      </c>
      <c r="B279" t="s">
        <v>304</v>
      </c>
      <c r="C279">
        <f>SUMIFS(tblHourly[Trips],tblHourly[Date],A279)</f>
        <v>58357</v>
      </c>
      <c r="D279" t="str">
        <f>CHOOSE(WEEKDAY(A279,2),"Mon","Tue","Wed","Thu","Fri","Sat","Sun")</f>
        <v>Sun</v>
      </c>
      <c r="E279" t="str">
        <f>IF(WEEKDAY(A279,2)&gt;5,"Weekend","Weekday")</f>
        <v>Weekend</v>
      </c>
      <c r="F279" s="33">
        <f>DATE(YEAR(A279),MONTH(A279),1)</f>
        <v>42095.0</v>
      </c>
      <c r="G279" t="str">
        <f>IF(COUNTIF(HolidayDates,A279)&gt;0,"Yes","No")</f>
        <v>No</v>
      </c>
      <c r="H279" t="str">
        <f>IF(COUNTIF(SpecialDates,A279)&gt;0,"Yes","No")</f>
        <v>No</v>
      </c>
      <c r="I279">
        <f>IF(B279="2015 Jan-Jun",C279,"")</f>
        <v>58357.0</v>
      </c>
      <c r="J279" s="34">
        <f>IF(COUNTIFS(tblDaily[Period],B279,tblDaily[Date],"&lt;="&amp;A279,tblDaily[Date],"&gt;"&amp;(A279-7))=7,AVERAGEIFS(tblDaily[Trips],tblDaily[Period],B279,tblDaily[Date],"&lt;="&amp;A279,tblDaily[Date],"&gt;"&amp;(A279-7)),"")</f>
        <v>69784.85714285714</v>
      </c>
    </row>
    <row r="280" spans="1:10">
      <c r="A280" s="32">
        <v>42100</v>
      </c>
      <c r="B280" t="s">
        <v>304</v>
      </c>
      <c r="C280">
        <f>SUMIFS(tblHourly[Trips],tblHourly[Date],A280)</f>
        <v>53565</v>
      </c>
      <c r="D280" t="str">
        <f>CHOOSE(WEEKDAY(A280,2),"Mon","Tue","Wed","Thu","Fri","Sat","Sun")</f>
        <v>Mon</v>
      </c>
      <c r="E280" t="str">
        <f>IF(WEEKDAY(A280,2)&gt;5,"Weekend","Weekday")</f>
        <v>Weekday</v>
      </c>
      <c r="F280" s="33">
        <f>DATE(YEAR(A280),MONTH(A280),1)</f>
        <v>42095.0</v>
      </c>
      <c r="G280" t="str">
        <f>IF(COUNTIF(HolidayDates,A280)&gt;0,"Yes","No")</f>
        <v>No</v>
      </c>
      <c r="H280" t="str">
        <f>IF(COUNTIF(SpecialDates,A280)&gt;0,"Yes","No")</f>
        <v>No</v>
      </c>
      <c r="I280">
        <f>IF(B280="2015 Jan-Jun",C280,"")</f>
        <v>53565.0</v>
      </c>
      <c r="J280" s="34">
        <f>IF(COUNTIFS(tblDaily[Period],B280,tblDaily[Date],"&lt;="&amp;A280,tblDaily[Date],"&gt;"&amp;(A280-7))=7,AVERAGEIFS(tblDaily[Trips],tblDaily[Period],B280,tblDaily[Date],"&lt;="&amp;A280,tblDaily[Date],"&gt;"&amp;(A280-7)),"")</f>
        <v>68468.42857142857</v>
      </c>
    </row>
    <row r="281" spans="1:10">
      <c r="A281" s="32">
        <v>42101</v>
      </c>
      <c r="B281" t="s">
        <v>304</v>
      </c>
      <c r="C281">
        <f>SUMIFS(tblHourly[Trips],tblHourly[Date],A281)</f>
        <v>68079</v>
      </c>
      <c r="D281" t="str">
        <f>CHOOSE(WEEKDAY(A281,2),"Mon","Tue","Wed","Thu","Fri","Sat","Sun")</f>
        <v>Tue</v>
      </c>
      <c r="E281" t="str">
        <f>IF(WEEKDAY(A281,2)&gt;5,"Weekend","Weekday")</f>
        <v>Weekday</v>
      </c>
      <c r="F281" s="33">
        <f>DATE(YEAR(A281),MONTH(A281),1)</f>
        <v>42095.0</v>
      </c>
      <c r="G281" t="str">
        <f>IF(COUNTIF(HolidayDates,A281)&gt;0,"Yes","No")</f>
        <v>No</v>
      </c>
      <c r="H281" t="str">
        <f>IF(COUNTIF(SpecialDates,A281)&gt;0,"Yes","No")</f>
        <v>No</v>
      </c>
      <c r="I281">
        <f>IF(B281="2015 Jan-Jun",C281,"")</f>
        <v>68079.0</v>
      </c>
      <c r="J281" s="34">
        <f>IF(COUNTIFS(tblDaily[Period],B281,tblDaily[Date],"&lt;="&amp;A281,tblDaily[Date],"&gt;"&amp;(A281-7))=7,AVERAGEIFS(tblDaily[Trips],tblDaily[Period],B281,tblDaily[Date],"&lt;="&amp;A281,tblDaily[Date],"&gt;"&amp;(A281-7)),"")</f>
        <v>66923.57142857143</v>
      </c>
    </row>
    <row r="282" spans="1:10">
      <c r="A282" s="32">
        <v>42102</v>
      </c>
      <c r="B282" t="s">
        <v>304</v>
      </c>
      <c r="C282">
        <f>SUMIFS(tblHourly[Trips],tblHourly[Date],A282)</f>
        <v>72023</v>
      </c>
      <c r="D282" t="str">
        <f>CHOOSE(WEEKDAY(A282,2),"Mon","Tue","Wed","Thu","Fri","Sat","Sun")</f>
        <v>Wed</v>
      </c>
      <c r="E282" t="str">
        <f>IF(WEEKDAY(A282,2)&gt;5,"Weekend","Weekday")</f>
        <v>Weekday</v>
      </c>
      <c r="F282" s="33">
        <f>DATE(YEAR(A282),MONTH(A282),1)</f>
        <v>42095.0</v>
      </c>
      <c r="G282" t="str">
        <f>IF(COUNTIF(HolidayDates,A282)&gt;0,"Yes","No")</f>
        <v>No</v>
      </c>
      <c r="H282" t="str">
        <f>IF(COUNTIF(SpecialDates,A282)&gt;0,"Yes","No")</f>
        <v>No</v>
      </c>
      <c r="I282">
        <f>IF(B282="2015 Jan-Jun",C282,"")</f>
        <v>72023.0</v>
      </c>
      <c r="J282" s="34">
        <f>IF(COUNTIFS(tblDaily[Period],B282,tblDaily[Date],"&lt;="&amp;A282,tblDaily[Date],"&gt;"&amp;(A282-7))=7,AVERAGEIFS(tblDaily[Trips],tblDaily[Period],B282,tblDaily[Date],"&lt;="&amp;A282,tblDaily[Date],"&gt;"&amp;(A282-7)),"")</f>
        <v>67323.57142857143</v>
      </c>
    </row>
    <row r="283" spans="1:10">
      <c r="A283" s="32">
        <v>42103</v>
      </c>
      <c r="B283" t="s">
        <v>304</v>
      </c>
      <c r="C283">
        <f>SUMIFS(tblHourly[Trips],tblHourly[Date],A283)</f>
        <v>77520</v>
      </c>
      <c r="D283" t="str">
        <f>CHOOSE(WEEKDAY(A283,2),"Mon","Tue","Wed","Thu","Fri","Sat","Sun")</f>
        <v>Thu</v>
      </c>
      <c r="E283" t="str">
        <f>IF(WEEKDAY(A283,2)&gt;5,"Weekend","Weekday")</f>
        <v>Weekday</v>
      </c>
      <c r="F283" s="33">
        <f>DATE(YEAR(A283),MONTH(A283),1)</f>
        <v>42095.0</v>
      </c>
      <c r="G283" t="str">
        <f>IF(COUNTIF(HolidayDates,A283)&gt;0,"Yes","No")</f>
        <v>No</v>
      </c>
      <c r="H283" t="str">
        <f>IF(COUNTIF(SpecialDates,A283)&gt;0,"Yes","No")</f>
        <v>No</v>
      </c>
      <c r="I283">
        <f>IF(B283="2015 Jan-Jun",C283,"")</f>
        <v>77520.0</v>
      </c>
      <c r="J283" s="34">
        <f>IF(COUNTIFS(tblDaily[Period],B283,tblDaily[Date],"&lt;="&amp;A283,tblDaily[Date],"&gt;"&amp;(A283-7))=7,AVERAGEIFS(tblDaily[Trips],tblDaily[Period],B283,tblDaily[Date],"&lt;="&amp;A283,tblDaily[Date],"&gt;"&amp;(A283-7)),"")</f>
        <v>67816.57142857143</v>
      </c>
    </row>
    <row r="284" spans="1:10">
      <c r="A284" s="32">
        <v>42104</v>
      </c>
      <c r="B284" t="s">
        <v>304</v>
      </c>
      <c r="C284">
        <f>SUMIFS(tblHourly[Trips],tblHourly[Date],A284)</f>
        <v>81439</v>
      </c>
      <c r="D284" t="str">
        <f>CHOOSE(WEEKDAY(A284,2),"Mon","Tue","Wed","Thu","Fri","Sat","Sun")</f>
        <v>Fri</v>
      </c>
      <c r="E284" t="str">
        <f>IF(WEEKDAY(A284,2)&gt;5,"Weekend","Weekday")</f>
        <v>Weekday</v>
      </c>
      <c r="F284" s="33">
        <f>DATE(YEAR(A284),MONTH(A284),1)</f>
        <v>42095.0</v>
      </c>
      <c r="G284" t="str">
        <f>IF(COUNTIF(HolidayDates,A284)&gt;0,"Yes","No")</f>
        <v>No</v>
      </c>
      <c r="H284" t="str">
        <f>IF(COUNTIF(SpecialDates,A284)&gt;0,"Yes","No")</f>
        <v>No</v>
      </c>
      <c r="I284">
        <f>IF(B284="2015 Jan-Jun",C284,"")</f>
        <v>81439.0</v>
      </c>
      <c r="J284" s="34">
        <f>IF(COUNTIFS(tblDaily[Period],B284,tblDaily[Date],"&lt;="&amp;A284,tblDaily[Date],"&gt;"&amp;(A284-7))=7,AVERAGEIFS(tblDaily[Trips],tblDaily[Period],B284,tblDaily[Date],"&lt;="&amp;A284,tblDaily[Date],"&gt;"&amp;(A284-7)),"")</f>
        <v>68596.0</v>
      </c>
    </row>
    <row r="285" spans="1:10">
      <c r="A285" s="32">
        <v>42105</v>
      </c>
      <c r="B285" t="s">
        <v>304</v>
      </c>
      <c r="C285">
        <f>SUMIFS(tblHourly[Trips],tblHourly[Date],A285)</f>
        <v>82547</v>
      </c>
      <c r="D285" t="str">
        <f>CHOOSE(WEEKDAY(A285,2),"Mon","Tue","Wed","Thu","Fri","Sat","Sun")</f>
        <v>Sat</v>
      </c>
      <c r="E285" t="str">
        <f>IF(WEEKDAY(A285,2)&gt;5,"Weekend","Weekday")</f>
        <v>Weekend</v>
      </c>
      <c r="F285" s="33">
        <f>DATE(YEAR(A285),MONTH(A285),1)</f>
        <v>42095.0</v>
      </c>
      <c r="G285" t="str">
        <f>IF(COUNTIF(HolidayDates,A285)&gt;0,"Yes","No")</f>
        <v>No</v>
      </c>
      <c r="H285" t="str">
        <f>IF(COUNTIF(SpecialDates,A285)&gt;0,"Yes","No")</f>
        <v>No</v>
      </c>
      <c r="I285">
        <f>IF(B285="2015 Jan-Jun",C285,"")</f>
        <v>82547.0</v>
      </c>
      <c r="J285" s="34">
        <f>IF(COUNTIFS(tblDaily[Period],B285,tblDaily[Date],"&lt;="&amp;A285,tblDaily[Date],"&gt;"&amp;(A285-7))=7,AVERAGEIFS(tblDaily[Trips],tblDaily[Period],B285,tblDaily[Date],"&lt;="&amp;A285,tblDaily[Date],"&gt;"&amp;(A285-7)),"")</f>
        <v>70504.28571428571</v>
      </c>
    </row>
    <row r="286" spans="1:10">
      <c r="A286" s="32">
        <v>42106</v>
      </c>
      <c r="B286" t="s">
        <v>304</v>
      </c>
      <c r="C286">
        <f>SUMIFS(tblHourly[Trips],tblHourly[Date],A286)</f>
        <v>67726</v>
      </c>
      <c r="D286" t="str">
        <f>CHOOSE(WEEKDAY(A286,2),"Mon","Tue","Wed","Thu","Fri","Sat","Sun")</f>
        <v>Sun</v>
      </c>
      <c r="E286" t="str">
        <f>IF(WEEKDAY(A286,2)&gt;5,"Weekend","Weekday")</f>
        <v>Weekend</v>
      </c>
      <c r="F286" s="33">
        <f>DATE(YEAR(A286),MONTH(A286),1)</f>
        <v>42095.0</v>
      </c>
      <c r="G286" t="str">
        <f>IF(COUNTIF(HolidayDates,A286)&gt;0,"Yes","No")</f>
        <v>No</v>
      </c>
      <c r="H286" t="str">
        <f>IF(COUNTIF(SpecialDates,A286)&gt;0,"Yes","No")</f>
        <v>No</v>
      </c>
      <c r="I286">
        <f>IF(B286="2015 Jan-Jun",C286,"")</f>
        <v>67726.0</v>
      </c>
      <c r="J286" s="34">
        <f>IF(COUNTIFS(tblDaily[Period],B286,tblDaily[Date],"&lt;="&amp;A286,tblDaily[Date],"&gt;"&amp;(A286-7))=7,AVERAGEIFS(tblDaily[Trips],tblDaily[Period],B286,tblDaily[Date],"&lt;="&amp;A286,tblDaily[Date],"&gt;"&amp;(A286-7)),"")</f>
        <v>71842.71428571429</v>
      </c>
    </row>
    <row r="287" spans="1:10">
      <c r="A287" s="32">
        <v>42107</v>
      </c>
      <c r="B287" t="s">
        <v>304</v>
      </c>
      <c r="C287">
        <f>SUMIFS(tblHourly[Trips],tblHourly[Date],A287)</f>
        <v>56655</v>
      </c>
      <c r="D287" t="str">
        <f>CHOOSE(WEEKDAY(A287,2),"Mon","Tue","Wed","Thu","Fri","Sat","Sun")</f>
        <v>Mon</v>
      </c>
      <c r="E287" t="str">
        <f>IF(WEEKDAY(A287,2)&gt;5,"Weekend","Weekday")</f>
        <v>Weekday</v>
      </c>
      <c r="F287" s="33">
        <f>DATE(YEAR(A287),MONTH(A287),1)</f>
        <v>42095.0</v>
      </c>
      <c r="G287" t="str">
        <f>IF(COUNTIF(HolidayDates,A287)&gt;0,"Yes","No")</f>
        <v>No</v>
      </c>
      <c r="H287" t="str">
        <f>IF(COUNTIF(SpecialDates,A287)&gt;0,"Yes","No")</f>
        <v>No</v>
      </c>
      <c r="I287">
        <f>IF(B287="2015 Jan-Jun",C287,"")</f>
        <v>56655.0</v>
      </c>
      <c r="J287" s="34">
        <f>IF(COUNTIFS(tblDaily[Period],B287,tblDaily[Date],"&lt;="&amp;A287,tblDaily[Date],"&gt;"&amp;(A287-7))=7,AVERAGEIFS(tblDaily[Trips],tblDaily[Period],B287,tblDaily[Date],"&lt;="&amp;A287,tblDaily[Date],"&gt;"&amp;(A287-7)),"")</f>
        <v>72284.14285714286</v>
      </c>
    </row>
    <row r="288" spans="1:10">
      <c r="A288" s="32">
        <v>42108</v>
      </c>
      <c r="B288" t="s">
        <v>304</v>
      </c>
      <c r="C288">
        <f>SUMIFS(tblHourly[Trips],tblHourly[Date],A288)</f>
        <v>63393</v>
      </c>
      <c r="D288" t="str">
        <f>CHOOSE(WEEKDAY(A288,2),"Mon","Tue","Wed","Thu","Fri","Sat","Sun")</f>
        <v>Tue</v>
      </c>
      <c r="E288" t="str">
        <f>IF(WEEKDAY(A288,2)&gt;5,"Weekend","Weekday")</f>
        <v>Weekday</v>
      </c>
      <c r="F288" s="33">
        <f>DATE(YEAR(A288),MONTH(A288),1)</f>
        <v>42095.0</v>
      </c>
      <c r="G288" t="str">
        <f>IF(COUNTIF(HolidayDates,A288)&gt;0,"Yes","No")</f>
        <v>No</v>
      </c>
      <c r="H288" t="str">
        <f>IF(COUNTIF(SpecialDates,A288)&gt;0,"Yes","No")</f>
        <v>No</v>
      </c>
      <c r="I288">
        <f>IF(B288="2015 Jan-Jun",C288,"")</f>
        <v>63393.0</v>
      </c>
      <c r="J288" s="34">
        <f>IF(COUNTIFS(tblDaily[Period],B288,tblDaily[Date],"&lt;="&amp;A288,tblDaily[Date],"&gt;"&amp;(A288-7))=7,AVERAGEIFS(tblDaily[Trips],tblDaily[Period],B288,tblDaily[Date],"&lt;="&amp;A288,tblDaily[Date],"&gt;"&amp;(A288-7)),"")</f>
        <v>71614.71428571429</v>
      </c>
    </row>
    <row r="289" spans="1:10">
      <c r="A289" s="32">
        <v>42109</v>
      </c>
      <c r="B289" t="s">
        <v>304</v>
      </c>
      <c r="C289">
        <f>SUMIFS(tblHourly[Trips],tblHourly[Date],A289)</f>
        <v>66534</v>
      </c>
      <c r="D289" t="str">
        <f>CHOOSE(WEEKDAY(A289,2),"Mon","Tue","Wed","Thu","Fri","Sat","Sun")</f>
        <v>Wed</v>
      </c>
      <c r="E289" t="str">
        <f>IF(WEEKDAY(A289,2)&gt;5,"Weekend","Weekday")</f>
        <v>Weekday</v>
      </c>
      <c r="F289" s="33">
        <f>DATE(YEAR(A289),MONTH(A289),1)</f>
        <v>42095.0</v>
      </c>
      <c r="G289" t="str">
        <f>IF(COUNTIF(HolidayDates,A289)&gt;0,"Yes","No")</f>
        <v>No</v>
      </c>
      <c r="H289" t="str">
        <f>IF(COUNTIF(SpecialDates,A289)&gt;0,"Yes","No")</f>
        <v>No</v>
      </c>
      <c r="I289">
        <f>IF(B289="2015 Jan-Jun",C289,"")</f>
        <v>66534.0</v>
      </c>
      <c r="J289" s="34">
        <f>IF(COUNTIFS(tblDaily[Period],B289,tblDaily[Date],"&lt;="&amp;A289,tblDaily[Date],"&gt;"&amp;(A289-7))=7,AVERAGEIFS(tblDaily[Trips],tblDaily[Period],B289,tblDaily[Date],"&lt;="&amp;A289,tblDaily[Date],"&gt;"&amp;(A289-7)),"")</f>
        <v>70830.57142857143</v>
      </c>
    </row>
    <row r="290" spans="1:10">
      <c r="A290" s="32">
        <v>42110</v>
      </c>
      <c r="B290" t="s">
        <v>304</v>
      </c>
      <c r="C290">
        <f>SUMIFS(tblHourly[Trips],tblHourly[Date],A290)</f>
        <v>78808</v>
      </c>
      <c r="D290" t="str">
        <f>CHOOSE(WEEKDAY(A290,2),"Mon","Tue","Wed","Thu","Fri","Sat","Sun")</f>
        <v>Thu</v>
      </c>
      <c r="E290" t="str">
        <f>IF(WEEKDAY(A290,2)&gt;5,"Weekend","Weekday")</f>
        <v>Weekday</v>
      </c>
      <c r="F290" s="33">
        <f>DATE(YEAR(A290),MONTH(A290),1)</f>
        <v>42095.0</v>
      </c>
      <c r="G290" t="str">
        <f>IF(COUNTIF(HolidayDates,A290)&gt;0,"Yes","No")</f>
        <v>No</v>
      </c>
      <c r="H290" t="str">
        <f>IF(COUNTIF(SpecialDates,A290)&gt;0,"Yes","No")</f>
        <v>No</v>
      </c>
      <c r="I290">
        <f>IF(B290="2015 Jan-Jun",C290,"")</f>
        <v>78808.0</v>
      </c>
      <c r="J290" s="34">
        <f>IF(COUNTIFS(tblDaily[Period],B290,tblDaily[Date],"&lt;="&amp;A290,tblDaily[Date],"&gt;"&amp;(A290-7))=7,AVERAGEIFS(tblDaily[Trips],tblDaily[Period],B290,tblDaily[Date],"&lt;="&amp;A290,tblDaily[Date],"&gt;"&amp;(A290-7)),"")</f>
        <v>71014.57142857143</v>
      </c>
    </row>
    <row r="291" spans="1:10">
      <c r="A291" s="32">
        <v>42111</v>
      </c>
      <c r="B291" t="s">
        <v>304</v>
      </c>
      <c r="C291">
        <f>SUMIFS(tblHourly[Trips],tblHourly[Date],A291)</f>
        <v>83855</v>
      </c>
      <c r="D291" t="str">
        <f>CHOOSE(WEEKDAY(A291,2),"Mon","Tue","Wed","Thu","Fri","Sat","Sun")</f>
        <v>Fri</v>
      </c>
      <c r="E291" t="str">
        <f>IF(WEEKDAY(A291,2)&gt;5,"Weekend","Weekday")</f>
        <v>Weekday</v>
      </c>
      <c r="F291" s="33">
        <f>DATE(YEAR(A291),MONTH(A291),1)</f>
        <v>42095.0</v>
      </c>
      <c r="G291" t="str">
        <f>IF(COUNTIF(HolidayDates,A291)&gt;0,"Yes","No")</f>
        <v>No</v>
      </c>
      <c r="H291" t="str">
        <f>IF(COUNTIF(SpecialDates,A291)&gt;0,"Yes","No")</f>
        <v>No</v>
      </c>
      <c r="I291">
        <f>IF(B291="2015 Jan-Jun",C291,"")</f>
        <v>83855.0</v>
      </c>
      <c r="J291" s="34">
        <f>IF(COUNTIFS(tblDaily[Period],B291,tblDaily[Date],"&lt;="&amp;A291,tblDaily[Date],"&gt;"&amp;(A291-7))=7,AVERAGEIFS(tblDaily[Trips],tblDaily[Period],B291,tblDaily[Date],"&lt;="&amp;A291,tblDaily[Date],"&gt;"&amp;(A291-7)),"")</f>
        <v>71359.71428571429</v>
      </c>
    </row>
    <row r="292" spans="1:10">
      <c r="A292" s="32">
        <v>42112</v>
      </c>
      <c r="B292" t="s">
        <v>304</v>
      </c>
      <c r="C292">
        <f>SUMIFS(tblHourly[Trips],tblHourly[Date],A292)</f>
        <v>94196</v>
      </c>
      <c r="D292" t="str">
        <f>CHOOSE(WEEKDAY(A292,2),"Mon","Tue","Wed","Thu","Fri","Sat","Sun")</f>
        <v>Sat</v>
      </c>
      <c r="E292" t="str">
        <f>IF(WEEKDAY(A292,2)&gt;5,"Weekend","Weekday")</f>
        <v>Weekend</v>
      </c>
      <c r="F292" s="33">
        <f>DATE(YEAR(A292),MONTH(A292),1)</f>
        <v>42095.0</v>
      </c>
      <c r="G292" t="str">
        <f>IF(COUNTIF(HolidayDates,A292)&gt;0,"Yes","No")</f>
        <v>No</v>
      </c>
      <c r="H292" t="str">
        <f>IF(COUNTIF(SpecialDates,A292)&gt;0,"Yes","No")</f>
        <v>No</v>
      </c>
      <c r="I292">
        <f>IF(B292="2015 Jan-Jun",C292,"")</f>
        <v>94196.0</v>
      </c>
      <c r="J292" s="34">
        <f>IF(COUNTIFS(tblDaily[Period],B292,tblDaily[Date],"&lt;="&amp;A292,tblDaily[Date],"&gt;"&amp;(A292-7))=7,AVERAGEIFS(tblDaily[Trips],tblDaily[Period],B292,tblDaily[Date],"&lt;="&amp;A292,tblDaily[Date],"&gt;"&amp;(A292-7)),"")</f>
        <v>73023.85714285714</v>
      </c>
    </row>
    <row r="293" spans="1:10">
      <c r="A293" s="32">
        <v>42113</v>
      </c>
      <c r="B293" t="s">
        <v>304</v>
      </c>
      <c r="C293">
        <f>SUMIFS(tblHourly[Trips],tblHourly[Date],A293)</f>
        <v>78107</v>
      </c>
      <c r="D293" t="str">
        <f>CHOOSE(WEEKDAY(A293,2),"Mon","Tue","Wed","Thu","Fri","Sat","Sun")</f>
        <v>Sun</v>
      </c>
      <c r="E293" t="str">
        <f>IF(WEEKDAY(A293,2)&gt;5,"Weekend","Weekday")</f>
        <v>Weekend</v>
      </c>
      <c r="F293" s="33">
        <f>DATE(YEAR(A293),MONTH(A293),1)</f>
        <v>42095.0</v>
      </c>
      <c r="G293" t="str">
        <f>IF(COUNTIF(HolidayDates,A293)&gt;0,"Yes","No")</f>
        <v>No</v>
      </c>
      <c r="H293" t="str">
        <f>IF(COUNTIF(SpecialDates,A293)&gt;0,"Yes","No")</f>
        <v>No</v>
      </c>
      <c r="I293">
        <f>IF(B293="2015 Jan-Jun",C293,"")</f>
        <v>78107.0</v>
      </c>
      <c r="J293" s="34">
        <f>IF(COUNTIFS(tblDaily[Period],B293,tblDaily[Date],"&lt;="&amp;A293,tblDaily[Date],"&gt;"&amp;(A293-7))=7,AVERAGEIFS(tblDaily[Trips],tblDaily[Period],B293,tblDaily[Date],"&lt;="&amp;A293,tblDaily[Date],"&gt;"&amp;(A293-7)),"")</f>
        <v>74506.85714285714</v>
      </c>
    </row>
    <row r="294" spans="1:10">
      <c r="A294" s="32">
        <v>42114</v>
      </c>
      <c r="B294" t="s">
        <v>304</v>
      </c>
      <c r="C294">
        <f>SUMIFS(tblHourly[Trips],tblHourly[Date],A294)</f>
        <v>78076</v>
      </c>
      <c r="D294" t="str">
        <f>CHOOSE(WEEKDAY(A294,2),"Mon","Tue","Wed","Thu","Fri","Sat","Sun")</f>
        <v>Mon</v>
      </c>
      <c r="E294" t="str">
        <f>IF(WEEKDAY(A294,2)&gt;5,"Weekend","Weekday")</f>
        <v>Weekday</v>
      </c>
      <c r="F294" s="33">
        <f>DATE(YEAR(A294),MONTH(A294),1)</f>
        <v>42095.0</v>
      </c>
      <c r="G294" t="str">
        <f>IF(COUNTIF(HolidayDates,A294)&gt;0,"Yes","No")</f>
        <v>No</v>
      </c>
      <c r="H294" t="str">
        <f>IF(COUNTIF(SpecialDates,A294)&gt;0,"Yes","No")</f>
        <v>No</v>
      </c>
      <c r="I294">
        <f>IF(B294="2015 Jan-Jun",C294,"")</f>
        <v>78076.0</v>
      </c>
      <c r="J294" s="34">
        <f>IF(COUNTIFS(tblDaily[Period],B294,tblDaily[Date],"&lt;="&amp;A294,tblDaily[Date],"&gt;"&amp;(A294-7))=7,AVERAGEIFS(tblDaily[Trips],tblDaily[Period],B294,tblDaily[Date],"&lt;="&amp;A294,tblDaily[Date],"&gt;"&amp;(A294-7)),"")</f>
        <v>77567.0</v>
      </c>
    </row>
    <row r="295" spans="1:10">
      <c r="A295" s="32">
        <v>42115</v>
      </c>
      <c r="B295" t="s">
        <v>304</v>
      </c>
      <c r="C295">
        <f>SUMIFS(tblHourly[Trips],tblHourly[Date],A295)</f>
        <v>68712</v>
      </c>
      <c r="D295" t="str">
        <f>CHOOSE(WEEKDAY(A295,2),"Mon","Tue","Wed","Thu","Fri","Sat","Sun")</f>
        <v>Tue</v>
      </c>
      <c r="E295" t="str">
        <f>IF(WEEKDAY(A295,2)&gt;5,"Weekend","Weekday")</f>
        <v>Weekday</v>
      </c>
      <c r="F295" s="33">
        <f>DATE(YEAR(A295),MONTH(A295),1)</f>
        <v>42095.0</v>
      </c>
      <c r="G295" t="str">
        <f>IF(COUNTIF(HolidayDates,A295)&gt;0,"Yes","No")</f>
        <v>No</v>
      </c>
      <c r="H295" t="str">
        <f>IF(COUNTIF(SpecialDates,A295)&gt;0,"Yes","No")</f>
        <v>No</v>
      </c>
      <c r="I295">
        <f>IF(B295="2015 Jan-Jun",C295,"")</f>
        <v>68712.0</v>
      </c>
      <c r="J295" s="34">
        <f>IF(COUNTIFS(tblDaily[Period],B295,tblDaily[Date],"&lt;="&amp;A295,tblDaily[Date],"&gt;"&amp;(A295-7))=7,AVERAGEIFS(tblDaily[Trips],tblDaily[Period],B295,tblDaily[Date],"&lt;="&amp;A295,tblDaily[Date],"&gt;"&amp;(A295-7)),"")</f>
        <v>78326.85714285714</v>
      </c>
    </row>
    <row r="296" spans="1:10">
      <c r="A296" s="32">
        <v>42116</v>
      </c>
      <c r="B296" t="s">
        <v>304</v>
      </c>
      <c r="C296">
        <f>SUMIFS(tblHourly[Trips],tblHourly[Date],A296)</f>
        <v>82124</v>
      </c>
      <c r="D296" t="str">
        <f>CHOOSE(WEEKDAY(A296,2),"Mon","Tue","Wed","Thu","Fri","Sat","Sun")</f>
        <v>Wed</v>
      </c>
      <c r="E296" t="str">
        <f>IF(WEEKDAY(A296,2)&gt;5,"Weekend","Weekday")</f>
        <v>Weekday</v>
      </c>
      <c r="F296" s="33">
        <f>DATE(YEAR(A296),MONTH(A296),1)</f>
        <v>42095.0</v>
      </c>
      <c r="G296" t="str">
        <f>IF(COUNTIF(HolidayDates,A296)&gt;0,"Yes","No")</f>
        <v>No</v>
      </c>
      <c r="H296" t="str">
        <f>IF(COUNTIF(SpecialDates,A296)&gt;0,"Yes","No")</f>
        <v>No</v>
      </c>
      <c r="I296">
        <f>IF(B296="2015 Jan-Jun",C296,"")</f>
        <v>82124.0</v>
      </c>
      <c r="J296" s="34">
        <f>IF(COUNTIFS(tblDaily[Period],B296,tblDaily[Date],"&lt;="&amp;A296,tblDaily[Date],"&gt;"&amp;(A296-7))=7,AVERAGEIFS(tblDaily[Trips],tblDaily[Period],B296,tblDaily[Date],"&lt;="&amp;A296,tblDaily[Date],"&gt;"&amp;(A296-7)),"")</f>
        <v>80554.0</v>
      </c>
    </row>
    <row r="297" spans="1:10">
      <c r="A297" s="32">
        <v>42117</v>
      </c>
      <c r="B297" t="s">
        <v>304</v>
      </c>
      <c r="C297">
        <f>SUMIFS(tblHourly[Trips],tblHourly[Date],A297)</f>
        <v>92110</v>
      </c>
      <c r="D297" t="str">
        <f>CHOOSE(WEEKDAY(A297,2),"Mon","Tue","Wed","Thu","Fri","Sat","Sun")</f>
        <v>Thu</v>
      </c>
      <c r="E297" t="str">
        <f>IF(WEEKDAY(A297,2)&gt;5,"Weekend","Weekday")</f>
        <v>Weekday</v>
      </c>
      <c r="F297" s="33">
        <f>DATE(YEAR(A297),MONTH(A297),1)</f>
        <v>42095.0</v>
      </c>
      <c r="G297" t="str">
        <f>IF(COUNTIF(HolidayDates,A297)&gt;0,"Yes","No")</f>
        <v>No</v>
      </c>
      <c r="H297" t="str">
        <f>IF(COUNTIF(SpecialDates,A297)&gt;0,"Yes","No")</f>
        <v>No</v>
      </c>
      <c r="I297">
        <f>IF(B297="2015 Jan-Jun",C297,"")</f>
        <v>92110.0</v>
      </c>
      <c r="J297" s="34">
        <f>IF(COUNTIFS(tblDaily[Period],B297,tblDaily[Date],"&lt;="&amp;A297,tblDaily[Date],"&gt;"&amp;(A297-7))=7,AVERAGEIFS(tblDaily[Trips],tblDaily[Period],B297,tblDaily[Date],"&lt;="&amp;A297,tblDaily[Date],"&gt;"&amp;(A297-7)),"")</f>
        <v>82454.28571428571</v>
      </c>
    </row>
    <row r="298" spans="1:10">
      <c r="A298" s="32">
        <v>42118</v>
      </c>
      <c r="B298" t="s">
        <v>304</v>
      </c>
      <c r="C298">
        <f>SUMIFS(tblHourly[Trips],tblHourly[Date],A298)</f>
        <v>99688</v>
      </c>
      <c r="D298" t="str">
        <f>CHOOSE(WEEKDAY(A298,2),"Mon","Tue","Wed","Thu","Fri","Sat","Sun")</f>
        <v>Fri</v>
      </c>
      <c r="E298" t="str">
        <f>IF(WEEKDAY(A298,2)&gt;5,"Weekend","Weekday")</f>
        <v>Weekday</v>
      </c>
      <c r="F298" s="33">
        <f>DATE(YEAR(A298),MONTH(A298),1)</f>
        <v>42095.0</v>
      </c>
      <c r="G298" t="str">
        <f>IF(COUNTIF(HolidayDates,A298)&gt;0,"Yes","No")</f>
        <v>No</v>
      </c>
      <c r="H298" t="str">
        <f>IF(COUNTIF(SpecialDates,A298)&gt;0,"Yes","No")</f>
        <v>No</v>
      </c>
      <c r="I298">
        <f>IF(B298="2015 Jan-Jun",C298,"")</f>
        <v>99688.0</v>
      </c>
      <c r="J298" s="34">
        <f>IF(COUNTIFS(tblDaily[Period],B298,tblDaily[Date],"&lt;="&amp;A298,tblDaily[Date],"&gt;"&amp;(A298-7))=7,AVERAGEIFS(tblDaily[Trips],tblDaily[Period],B298,tblDaily[Date],"&lt;="&amp;A298,tblDaily[Date],"&gt;"&amp;(A298-7)),"")</f>
        <v>84716.14285714286</v>
      </c>
    </row>
    <row r="299" spans="1:10">
      <c r="A299" s="32">
        <v>42119</v>
      </c>
      <c r="B299" t="s">
        <v>304</v>
      </c>
      <c r="C299">
        <f>SUMIFS(tblHourly[Trips],tblHourly[Date],A299)</f>
        <v>106270</v>
      </c>
      <c r="D299" t="str">
        <f>CHOOSE(WEEKDAY(A299,2),"Mon","Tue","Wed","Thu","Fri","Sat","Sun")</f>
        <v>Sat</v>
      </c>
      <c r="E299" t="str">
        <f>IF(WEEKDAY(A299,2)&gt;5,"Weekend","Weekday")</f>
        <v>Weekend</v>
      </c>
      <c r="F299" s="33">
        <f>DATE(YEAR(A299),MONTH(A299),1)</f>
        <v>42095.0</v>
      </c>
      <c r="G299" t="str">
        <f>IF(COUNTIF(HolidayDates,A299)&gt;0,"Yes","No")</f>
        <v>No</v>
      </c>
      <c r="H299" t="str">
        <f>IF(COUNTIF(SpecialDates,A299)&gt;0,"Yes","No")</f>
        <v>No</v>
      </c>
      <c r="I299">
        <f>IF(B299="2015 Jan-Jun",C299,"")</f>
        <v>106270.0</v>
      </c>
      <c r="J299" s="34">
        <f>IF(COUNTIFS(tblDaily[Period],B299,tblDaily[Date],"&lt;="&amp;A299,tblDaily[Date],"&gt;"&amp;(A299-7))=7,AVERAGEIFS(tblDaily[Trips],tblDaily[Period],B299,tblDaily[Date],"&lt;="&amp;A299,tblDaily[Date],"&gt;"&amp;(A299-7)),"")</f>
        <v>86441.0</v>
      </c>
    </row>
    <row r="300" spans="1:10">
      <c r="A300" s="32">
        <v>42120</v>
      </c>
      <c r="B300" t="s">
        <v>304</v>
      </c>
      <c r="C300">
        <f>SUMIFS(tblHourly[Trips],tblHourly[Date],A300)</f>
        <v>88673</v>
      </c>
      <c r="D300" t="str">
        <f>CHOOSE(WEEKDAY(A300,2),"Mon","Tue","Wed","Thu","Fri","Sat","Sun")</f>
        <v>Sun</v>
      </c>
      <c r="E300" t="str">
        <f>IF(WEEKDAY(A300,2)&gt;5,"Weekend","Weekday")</f>
        <v>Weekend</v>
      </c>
      <c r="F300" s="33">
        <f>DATE(YEAR(A300),MONTH(A300),1)</f>
        <v>42095.0</v>
      </c>
      <c r="G300" t="str">
        <f>IF(COUNTIF(HolidayDates,A300)&gt;0,"Yes","No")</f>
        <v>No</v>
      </c>
      <c r="H300" t="str">
        <f>IF(COUNTIF(SpecialDates,A300)&gt;0,"Yes","No")</f>
        <v>No</v>
      </c>
      <c r="I300">
        <f>IF(B300="2015 Jan-Jun",C300,"")</f>
        <v>88673.0</v>
      </c>
      <c r="J300" s="34">
        <f>IF(COUNTIFS(tblDaily[Period],B300,tblDaily[Date],"&lt;="&amp;A300,tblDaily[Date],"&gt;"&amp;(A300-7))=7,AVERAGEIFS(tblDaily[Trips],tblDaily[Period],B300,tblDaily[Date],"&lt;="&amp;A300,tblDaily[Date],"&gt;"&amp;(A300-7)),"")</f>
        <v>87950.42857142857</v>
      </c>
    </row>
    <row r="301" spans="1:10">
      <c r="A301" s="32">
        <v>42121</v>
      </c>
      <c r="B301" t="s">
        <v>304</v>
      </c>
      <c r="C301">
        <f>SUMIFS(tblHourly[Trips],tblHourly[Date],A301)</f>
        <v>64783</v>
      </c>
      <c r="D301" t="str">
        <f>CHOOSE(WEEKDAY(A301,2),"Mon","Tue","Wed","Thu","Fri","Sat","Sun")</f>
        <v>Mon</v>
      </c>
      <c r="E301" t="str">
        <f>IF(WEEKDAY(A301,2)&gt;5,"Weekend","Weekday")</f>
        <v>Weekday</v>
      </c>
      <c r="F301" s="33">
        <f>DATE(YEAR(A301),MONTH(A301),1)</f>
        <v>42095.0</v>
      </c>
      <c r="G301" t="str">
        <f>IF(COUNTIF(HolidayDates,A301)&gt;0,"Yes","No")</f>
        <v>No</v>
      </c>
      <c r="H301" t="str">
        <f>IF(COUNTIF(SpecialDates,A301)&gt;0,"Yes","No")</f>
        <v>No</v>
      </c>
      <c r="I301">
        <f>IF(B301="2015 Jan-Jun",C301,"")</f>
        <v>64783.0</v>
      </c>
      <c r="J301" s="34">
        <f>IF(COUNTIFS(tblDaily[Period],B301,tblDaily[Date],"&lt;="&amp;A301,tblDaily[Date],"&gt;"&amp;(A301-7))=7,AVERAGEIFS(tblDaily[Trips],tblDaily[Period],B301,tblDaily[Date],"&lt;="&amp;A301,tblDaily[Date],"&gt;"&amp;(A301-7)),"")</f>
        <v>86051.42857142857</v>
      </c>
    </row>
    <row r="302" spans="1:10">
      <c r="A302" s="32">
        <v>42122</v>
      </c>
      <c r="B302" t="s">
        <v>304</v>
      </c>
      <c r="C302">
        <f>SUMIFS(tblHourly[Trips],tblHourly[Date],A302)</f>
        <v>68863</v>
      </c>
      <c r="D302" t="str">
        <f>CHOOSE(WEEKDAY(A302,2),"Mon","Tue","Wed","Thu","Fri","Sat","Sun")</f>
        <v>Tue</v>
      </c>
      <c r="E302" t="str">
        <f>IF(WEEKDAY(A302,2)&gt;5,"Weekend","Weekday")</f>
        <v>Weekday</v>
      </c>
      <c r="F302" s="33">
        <f>DATE(YEAR(A302),MONTH(A302),1)</f>
        <v>42095.0</v>
      </c>
      <c r="G302" t="str">
        <f>IF(COUNTIF(HolidayDates,A302)&gt;0,"Yes","No")</f>
        <v>No</v>
      </c>
      <c r="H302" t="str">
        <f>IF(COUNTIF(SpecialDates,A302)&gt;0,"Yes","No")</f>
        <v>No</v>
      </c>
      <c r="I302">
        <f>IF(B302="2015 Jan-Jun",C302,"")</f>
        <v>68863.0</v>
      </c>
      <c r="J302" s="34">
        <f>IF(COUNTIFS(tblDaily[Period],B302,tblDaily[Date],"&lt;="&amp;A302,tblDaily[Date],"&gt;"&amp;(A302-7))=7,AVERAGEIFS(tblDaily[Trips],tblDaily[Period],B302,tblDaily[Date],"&lt;="&amp;A302,tblDaily[Date],"&gt;"&amp;(A302-7)),"")</f>
        <v>86073.0</v>
      </c>
    </row>
    <row r="303" spans="1:10">
      <c r="A303" s="32">
        <v>42123</v>
      </c>
      <c r="B303" t="s">
        <v>304</v>
      </c>
      <c r="C303">
        <f>SUMIFS(tblHourly[Trips],tblHourly[Date],A303)</f>
        <v>75940</v>
      </c>
      <c r="D303" t="str">
        <f>CHOOSE(WEEKDAY(A303,2),"Mon","Tue","Wed","Thu","Fri","Sat","Sun")</f>
        <v>Wed</v>
      </c>
      <c r="E303" t="str">
        <f>IF(WEEKDAY(A303,2)&gt;5,"Weekend","Weekday")</f>
        <v>Weekday</v>
      </c>
      <c r="F303" s="33">
        <f>DATE(YEAR(A303),MONTH(A303),1)</f>
        <v>42095.0</v>
      </c>
      <c r="G303" t="str">
        <f>IF(COUNTIF(HolidayDates,A303)&gt;0,"Yes","No")</f>
        <v>No</v>
      </c>
      <c r="H303" t="str">
        <f>IF(COUNTIF(SpecialDates,A303)&gt;0,"Yes","No")</f>
        <v>No</v>
      </c>
      <c r="I303">
        <f>IF(B303="2015 Jan-Jun",C303,"")</f>
        <v>75940.0</v>
      </c>
      <c r="J303" s="34">
        <f>IF(COUNTIFS(tblDaily[Period],B303,tblDaily[Date],"&lt;="&amp;A303,tblDaily[Date],"&gt;"&amp;(A303-7))=7,AVERAGEIFS(tblDaily[Trips],tblDaily[Period],B303,tblDaily[Date],"&lt;="&amp;A303,tblDaily[Date],"&gt;"&amp;(A303-7)),"")</f>
        <v>85189.57142857143</v>
      </c>
    </row>
    <row r="304" spans="1:10">
      <c r="A304" s="32">
        <v>42124</v>
      </c>
      <c r="B304" t="s">
        <v>304</v>
      </c>
      <c r="C304">
        <f>SUMIFS(tblHourly[Trips],tblHourly[Date],A304)</f>
        <v>84330</v>
      </c>
      <c r="D304" t="str">
        <f>CHOOSE(WEEKDAY(A304,2),"Mon","Tue","Wed","Thu","Fri","Sat","Sun")</f>
        <v>Thu</v>
      </c>
      <c r="E304" t="str">
        <f>IF(WEEKDAY(A304,2)&gt;5,"Weekend","Weekday")</f>
        <v>Weekday</v>
      </c>
      <c r="F304" s="33">
        <f>DATE(YEAR(A304),MONTH(A304),1)</f>
        <v>42095.0</v>
      </c>
      <c r="G304" t="str">
        <f>IF(COUNTIF(HolidayDates,A304)&gt;0,"Yes","No")</f>
        <v>No</v>
      </c>
      <c r="H304" t="str">
        <f>IF(COUNTIF(SpecialDates,A304)&gt;0,"Yes","No")</f>
        <v>No</v>
      </c>
      <c r="I304">
        <f>IF(B304="2015 Jan-Jun",C304,"")</f>
        <v>84330.0</v>
      </c>
      <c r="J304" s="34">
        <f>IF(COUNTIFS(tblDaily[Period],B304,tblDaily[Date],"&lt;="&amp;A304,tblDaily[Date],"&gt;"&amp;(A304-7))=7,AVERAGEIFS(tblDaily[Trips],tblDaily[Period],B304,tblDaily[Date],"&lt;="&amp;A304,tblDaily[Date],"&gt;"&amp;(A304-7)),"")</f>
        <v>84078.14285714286</v>
      </c>
    </row>
    <row r="305" spans="1:10">
      <c r="A305" s="32">
        <v>42125</v>
      </c>
      <c r="B305" t="s">
        <v>304</v>
      </c>
      <c r="C305">
        <f>SUMIFS(tblHourly[Trips],tblHourly[Date],A305)</f>
        <v>92329</v>
      </c>
      <c r="D305" t="str">
        <f>CHOOSE(WEEKDAY(A305,2),"Mon","Tue","Wed","Thu","Fri","Sat","Sun")</f>
        <v>Fri</v>
      </c>
      <c r="E305" t="str">
        <f>IF(WEEKDAY(A305,2)&gt;5,"Weekend","Weekday")</f>
        <v>Weekday</v>
      </c>
      <c r="F305" s="33">
        <f>DATE(YEAR(A305),MONTH(A305),1)</f>
        <v>42125.0</v>
      </c>
      <c r="G305" t="str">
        <f>IF(COUNTIF(HolidayDates,A305)&gt;0,"Yes","No")</f>
        <v>No</v>
      </c>
      <c r="H305" t="str">
        <f>IF(COUNTIF(SpecialDates,A305)&gt;0,"Yes","No")</f>
        <v>No</v>
      </c>
      <c r="I305">
        <f>IF(B305="2015 Jan-Jun",C305,"")</f>
        <v>92329.0</v>
      </c>
      <c r="J305" s="34">
        <f>IF(COUNTIFS(tblDaily[Period],B305,tblDaily[Date],"&lt;="&amp;A305,tblDaily[Date],"&gt;"&amp;(A305-7))=7,AVERAGEIFS(tblDaily[Trips],tblDaily[Period],B305,tblDaily[Date],"&lt;="&amp;A305,tblDaily[Date],"&gt;"&amp;(A305-7)),"")</f>
        <v>83026.85714285714</v>
      </c>
    </row>
    <row r="306" spans="1:10">
      <c r="A306" s="32">
        <v>42126</v>
      </c>
      <c r="B306" t="s">
        <v>304</v>
      </c>
      <c r="C306">
        <f>SUMIFS(tblHourly[Trips],tblHourly[Date],A306)</f>
        <v>104978</v>
      </c>
      <c r="D306" t="str">
        <f>CHOOSE(WEEKDAY(A306,2),"Mon","Tue","Wed","Thu","Fri","Sat","Sun")</f>
        <v>Sat</v>
      </c>
      <c r="E306" t="str">
        <f>IF(WEEKDAY(A306,2)&gt;5,"Weekend","Weekday")</f>
        <v>Weekend</v>
      </c>
      <c r="F306" s="33">
        <f>DATE(YEAR(A306),MONTH(A306),1)</f>
        <v>42125.0</v>
      </c>
      <c r="G306" t="str">
        <f>IF(COUNTIF(HolidayDates,A306)&gt;0,"Yes","No")</f>
        <v>No</v>
      </c>
      <c r="H306" t="str">
        <f>IF(COUNTIF(SpecialDates,A306)&gt;0,"Yes","No")</f>
        <v>No</v>
      </c>
      <c r="I306">
        <f>IF(B306="2015 Jan-Jun",C306,"")</f>
        <v>104978.0</v>
      </c>
      <c r="J306" s="34">
        <f>IF(COUNTIFS(tblDaily[Period],B306,tblDaily[Date],"&lt;="&amp;A306,tblDaily[Date],"&gt;"&amp;(A306-7))=7,AVERAGEIFS(tblDaily[Trips],tblDaily[Period],B306,tblDaily[Date],"&lt;="&amp;A306,tblDaily[Date],"&gt;"&amp;(A306-7)),"")</f>
        <v>82842.28571428571</v>
      </c>
    </row>
    <row r="307" spans="1:10">
      <c r="A307" s="32">
        <v>42127</v>
      </c>
      <c r="B307" t="s">
        <v>304</v>
      </c>
      <c r="C307">
        <f>SUMIFS(tblHourly[Trips],tblHourly[Date],A307)</f>
        <v>80300</v>
      </c>
      <c r="D307" t="str">
        <f>CHOOSE(WEEKDAY(A307,2),"Mon","Tue","Wed","Thu","Fri","Sat","Sun")</f>
        <v>Sun</v>
      </c>
      <c r="E307" t="str">
        <f>IF(WEEKDAY(A307,2)&gt;5,"Weekend","Weekday")</f>
        <v>Weekend</v>
      </c>
      <c r="F307" s="33">
        <f>DATE(YEAR(A307),MONTH(A307),1)</f>
        <v>42125.0</v>
      </c>
      <c r="G307" t="str">
        <f>IF(COUNTIF(HolidayDates,A307)&gt;0,"Yes","No")</f>
        <v>No</v>
      </c>
      <c r="H307" t="str">
        <f>IF(COUNTIF(SpecialDates,A307)&gt;0,"Yes","No")</f>
        <v>No</v>
      </c>
      <c r="I307">
        <f>IF(B307="2015 Jan-Jun",C307,"")</f>
        <v>80300.0</v>
      </c>
      <c r="J307" s="34">
        <f>IF(COUNTIFS(tblDaily[Period],B307,tblDaily[Date],"&lt;="&amp;A307,tblDaily[Date],"&gt;"&amp;(A307-7))=7,AVERAGEIFS(tblDaily[Trips],tblDaily[Period],B307,tblDaily[Date],"&lt;="&amp;A307,tblDaily[Date],"&gt;"&amp;(A307-7)),"")</f>
        <v>81646.14285714286</v>
      </c>
    </row>
    <row r="308" spans="1:10">
      <c r="A308" s="32">
        <v>42128</v>
      </c>
      <c r="B308" t="s">
        <v>304</v>
      </c>
      <c r="C308">
        <f>SUMIFS(tblHourly[Trips],tblHourly[Date],A308)</f>
        <v>65447</v>
      </c>
      <c r="D308" t="str">
        <f>CHOOSE(WEEKDAY(A308,2),"Mon","Tue","Wed","Thu","Fri","Sat","Sun")</f>
        <v>Mon</v>
      </c>
      <c r="E308" t="str">
        <f>IF(WEEKDAY(A308,2)&gt;5,"Weekend","Weekday")</f>
        <v>Weekday</v>
      </c>
      <c r="F308" s="33">
        <f>DATE(YEAR(A308),MONTH(A308),1)</f>
        <v>42125.0</v>
      </c>
      <c r="G308" t="str">
        <f>IF(COUNTIF(HolidayDates,A308)&gt;0,"Yes","No")</f>
        <v>No</v>
      </c>
      <c r="H308" t="str">
        <f>IF(COUNTIF(SpecialDates,A308)&gt;0,"Yes","No")</f>
        <v>No</v>
      </c>
      <c r="I308">
        <f>IF(B308="2015 Jan-Jun",C308,"")</f>
        <v>65447.0</v>
      </c>
      <c r="J308" s="34">
        <f>IF(COUNTIFS(tblDaily[Period],B308,tblDaily[Date],"&lt;="&amp;A308,tblDaily[Date],"&gt;"&amp;(A308-7))=7,AVERAGEIFS(tblDaily[Trips],tblDaily[Period],B308,tblDaily[Date],"&lt;="&amp;A308,tblDaily[Date],"&gt;"&amp;(A308-7)),"")</f>
        <v>81741.0</v>
      </c>
    </row>
    <row r="309" spans="1:10">
      <c r="A309" s="32">
        <v>42129</v>
      </c>
      <c r="B309" t="s">
        <v>304</v>
      </c>
      <c r="C309">
        <f>SUMIFS(tblHourly[Trips],tblHourly[Date],A309)</f>
        <v>76195</v>
      </c>
      <c r="D309" t="str">
        <f>CHOOSE(WEEKDAY(A309,2),"Mon","Tue","Wed","Thu","Fri","Sat","Sun")</f>
        <v>Tue</v>
      </c>
      <c r="E309" t="str">
        <f>IF(WEEKDAY(A309,2)&gt;5,"Weekend","Weekday")</f>
        <v>Weekday</v>
      </c>
      <c r="F309" s="33">
        <f>DATE(YEAR(A309),MONTH(A309),1)</f>
        <v>42125.0</v>
      </c>
      <c r="G309" t="str">
        <f>IF(COUNTIF(HolidayDates,A309)&gt;0,"Yes","No")</f>
        <v>No</v>
      </c>
      <c r="H309" t="str">
        <f>IF(COUNTIF(SpecialDates,A309)&gt;0,"Yes","No")</f>
        <v>No</v>
      </c>
      <c r="I309">
        <f>IF(B309="2015 Jan-Jun",C309,"")</f>
        <v>76195.0</v>
      </c>
      <c r="J309" s="34">
        <f>IF(COUNTIFS(tblDaily[Period],B309,tblDaily[Date],"&lt;="&amp;A309,tblDaily[Date],"&gt;"&amp;(A309-7))=7,AVERAGEIFS(tblDaily[Trips],tblDaily[Period],B309,tblDaily[Date],"&lt;="&amp;A309,tblDaily[Date],"&gt;"&amp;(A309-7)),"")</f>
        <v>82788.42857142857</v>
      </c>
    </row>
    <row r="310" spans="1:10">
      <c r="A310" s="32">
        <v>42130</v>
      </c>
      <c r="B310" t="s">
        <v>304</v>
      </c>
      <c r="C310">
        <f>SUMIFS(tblHourly[Trips],tblHourly[Date],A310)</f>
        <v>80447</v>
      </c>
      <c r="D310" t="str">
        <f>CHOOSE(WEEKDAY(A310,2),"Mon","Tue","Wed","Thu","Fri","Sat","Sun")</f>
        <v>Wed</v>
      </c>
      <c r="E310" t="str">
        <f>IF(WEEKDAY(A310,2)&gt;5,"Weekend","Weekday")</f>
        <v>Weekday</v>
      </c>
      <c r="F310" s="33">
        <f>DATE(YEAR(A310),MONTH(A310),1)</f>
        <v>42125.0</v>
      </c>
      <c r="G310" t="str">
        <f>IF(COUNTIF(HolidayDates,A310)&gt;0,"Yes","No")</f>
        <v>No</v>
      </c>
      <c r="H310" t="str">
        <f>IF(COUNTIF(SpecialDates,A310)&gt;0,"Yes","No")</f>
        <v>No</v>
      </c>
      <c r="I310">
        <f>IF(B310="2015 Jan-Jun",C310,"")</f>
        <v>80447.0</v>
      </c>
      <c r="J310" s="34">
        <f>IF(COUNTIFS(tblDaily[Period],B310,tblDaily[Date],"&lt;="&amp;A310,tblDaily[Date],"&gt;"&amp;(A310-7))=7,AVERAGEIFS(tblDaily[Trips],tblDaily[Period],B310,tblDaily[Date],"&lt;="&amp;A310,tblDaily[Date],"&gt;"&amp;(A310-7)),"")</f>
        <v>83432.28571428571</v>
      </c>
    </row>
    <row r="311" spans="1:10">
      <c r="A311" s="32">
        <v>42131</v>
      </c>
      <c r="B311" t="s">
        <v>304</v>
      </c>
      <c r="C311">
        <f>SUMIFS(tblHourly[Trips],tblHourly[Date],A311)</f>
        <v>87361</v>
      </c>
      <c r="D311" t="str">
        <f>CHOOSE(WEEKDAY(A311,2),"Mon","Tue","Wed","Thu","Fri","Sat","Sun")</f>
        <v>Thu</v>
      </c>
      <c r="E311" t="str">
        <f>IF(WEEKDAY(A311,2)&gt;5,"Weekend","Weekday")</f>
        <v>Weekday</v>
      </c>
      <c r="F311" s="33">
        <f>DATE(YEAR(A311),MONTH(A311),1)</f>
        <v>42125.0</v>
      </c>
      <c r="G311" t="str">
        <f>IF(COUNTIF(HolidayDates,A311)&gt;0,"Yes","No")</f>
        <v>No</v>
      </c>
      <c r="H311" t="str">
        <f>IF(COUNTIF(SpecialDates,A311)&gt;0,"Yes","No")</f>
        <v>No</v>
      </c>
      <c r="I311">
        <f>IF(B311="2015 Jan-Jun",C311,"")</f>
        <v>87361.0</v>
      </c>
      <c r="J311" s="34">
        <f>IF(COUNTIFS(tblDaily[Period],B311,tblDaily[Date],"&lt;="&amp;A311,tblDaily[Date],"&gt;"&amp;(A311-7))=7,AVERAGEIFS(tblDaily[Trips],tblDaily[Period],B311,tblDaily[Date],"&lt;="&amp;A311,tblDaily[Date],"&gt;"&amp;(A311-7)),"")</f>
        <v>83865.28571428571</v>
      </c>
    </row>
    <row r="312" spans="1:10">
      <c r="A312" s="32">
        <v>42132</v>
      </c>
      <c r="B312" t="s">
        <v>304</v>
      </c>
      <c r="C312">
        <f>SUMIFS(tblHourly[Trips],tblHourly[Date],A312)</f>
        <v>90733</v>
      </c>
      <c r="D312" t="str">
        <f>CHOOSE(WEEKDAY(A312,2),"Mon","Tue","Wed","Thu","Fri","Sat","Sun")</f>
        <v>Fri</v>
      </c>
      <c r="E312" t="str">
        <f>IF(WEEKDAY(A312,2)&gt;5,"Weekend","Weekday")</f>
        <v>Weekday</v>
      </c>
      <c r="F312" s="33">
        <f>DATE(YEAR(A312),MONTH(A312),1)</f>
        <v>42125.0</v>
      </c>
      <c r="G312" t="str">
        <f>IF(COUNTIF(HolidayDates,A312)&gt;0,"Yes","No")</f>
        <v>No</v>
      </c>
      <c r="H312" t="str">
        <f>IF(COUNTIF(SpecialDates,A312)&gt;0,"Yes","No")</f>
        <v>No</v>
      </c>
      <c r="I312">
        <f>IF(B312="2015 Jan-Jun",C312,"")</f>
        <v>90733.0</v>
      </c>
      <c r="J312" s="34">
        <f>IF(COUNTIFS(tblDaily[Period],B312,tblDaily[Date],"&lt;="&amp;A312,tblDaily[Date],"&gt;"&amp;(A312-7))=7,AVERAGEIFS(tblDaily[Trips],tblDaily[Period],B312,tblDaily[Date],"&lt;="&amp;A312,tblDaily[Date],"&gt;"&amp;(A312-7)),"")</f>
        <v>83637.28571428571</v>
      </c>
    </row>
    <row r="313" spans="1:10">
      <c r="A313" s="32">
        <v>42133</v>
      </c>
      <c r="B313" t="s">
        <v>304</v>
      </c>
      <c r="C313">
        <f>SUMIFS(tblHourly[Trips],tblHourly[Date],A313)</f>
        <v>98359</v>
      </c>
      <c r="D313" t="str">
        <f>CHOOSE(WEEKDAY(A313,2),"Mon","Tue","Wed","Thu","Fri","Sat","Sun")</f>
        <v>Sat</v>
      </c>
      <c r="E313" t="str">
        <f>IF(WEEKDAY(A313,2)&gt;5,"Weekend","Weekday")</f>
        <v>Weekend</v>
      </c>
      <c r="F313" s="33">
        <f>DATE(YEAR(A313),MONTH(A313),1)</f>
        <v>42125.0</v>
      </c>
      <c r="G313" t="str">
        <f>IF(COUNTIF(HolidayDates,A313)&gt;0,"Yes","No")</f>
        <v>No</v>
      </c>
      <c r="H313" t="str">
        <f>IF(COUNTIF(SpecialDates,A313)&gt;0,"Yes","No")</f>
        <v>No</v>
      </c>
      <c r="I313">
        <f>IF(B313="2015 Jan-Jun",C313,"")</f>
        <v>98359.0</v>
      </c>
      <c r="J313" s="34">
        <f>IF(COUNTIFS(tblDaily[Period],B313,tblDaily[Date],"&lt;="&amp;A313,tblDaily[Date],"&gt;"&amp;(A313-7))=7,AVERAGEIFS(tblDaily[Trips],tblDaily[Period],B313,tblDaily[Date],"&lt;="&amp;A313,tblDaily[Date],"&gt;"&amp;(A313-7)),"")</f>
        <v>82691.71428571429</v>
      </c>
    </row>
    <row r="314" spans="1:10">
      <c r="A314" s="32">
        <v>42134</v>
      </c>
      <c r="B314" t="s">
        <v>304</v>
      </c>
      <c r="C314">
        <f>SUMIFS(tblHourly[Trips],tblHourly[Date],A314)</f>
        <v>80146</v>
      </c>
      <c r="D314" t="str">
        <f>CHOOSE(WEEKDAY(A314,2),"Mon","Tue","Wed","Thu","Fri","Sat","Sun")</f>
        <v>Sun</v>
      </c>
      <c r="E314" t="str">
        <f>IF(WEEKDAY(A314,2)&gt;5,"Weekend","Weekday")</f>
        <v>Weekend</v>
      </c>
      <c r="F314" s="33">
        <f>DATE(YEAR(A314),MONTH(A314),1)</f>
        <v>42125.0</v>
      </c>
      <c r="G314" t="str">
        <f>IF(COUNTIF(HolidayDates,A314)&gt;0,"Yes","No")</f>
        <v>No</v>
      </c>
      <c r="H314" t="str">
        <f>IF(COUNTIF(SpecialDates,A314)&gt;0,"Yes","No")</f>
        <v>No</v>
      </c>
      <c r="I314">
        <f>IF(B314="2015 Jan-Jun",C314,"")</f>
        <v>80146.0</v>
      </c>
      <c r="J314" s="34">
        <f>IF(COUNTIFS(tblDaily[Period],B314,tblDaily[Date],"&lt;="&amp;A314,tblDaily[Date],"&gt;"&amp;(A314-7))=7,AVERAGEIFS(tblDaily[Trips],tblDaily[Period],B314,tblDaily[Date],"&lt;="&amp;A314,tblDaily[Date],"&gt;"&amp;(A314-7)),"")</f>
        <v>82669.71428571429</v>
      </c>
    </row>
    <row r="315" spans="1:10">
      <c r="A315" s="32">
        <v>42135</v>
      </c>
      <c r="B315" t="s">
        <v>304</v>
      </c>
      <c r="C315">
        <f>SUMIFS(tblHourly[Trips],tblHourly[Date],A315)</f>
        <v>70310</v>
      </c>
      <c r="D315" t="str">
        <f>CHOOSE(WEEKDAY(A315,2),"Mon","Tue","Wed","Thu","Fri","Sat","Sun")</f>
        <v>Mon</v>
      </c>
      <c r="E315" t="str">
        <f>IF(WEEKDAY(A315,2)&gt;5,"Weekend","Weekday")</f>
        <v>Weekday</v>
      </c>
      <c r="F315" s="33">
        <f>DATE(YEAR(A315),MONTH(A315),1)</f>
        <v>42125.0</v>
      </c>
      <c r="G315" t="str">
        <f>IF(COUNTIF(HolidayDates,A315)&gt;0,"Yes","No")</f>
        <v>No</v>
      </c>
      <c r="H315" t="str">
        <f>IF(COUNTIF(SpecialDates,A315)&gt;0,"Yes","No")</f>
        <v>No</v>
      </c>
      <c r="I315">
        <f>IF(B315="2015 Jan-Jun",C315,"")</f>
        <v>70310.0</v>
      </c>
      <c r="J315" s="34">
        <f>IF(COUNTIFS(tblDaily[Period],B315,tblDaily[Date],"&lt;="&amp;A315,tblDaily[Date],"&gt;"&amp;(A315-7))=7,AVERAGEIFS(tblDaily[Trips],tblDaily[Period],B315,tblDaily[Date],"&lt;="&amp;A315,tblDaily[Date],"&gt;"&amp;(A315-7)),"")</f>
        <v>83364.42857142857</v>
      </c>
    </row>
    <row r="316" spans="1:10">
      <c r="A316" s="32">
        <v>42136</v>
      </c>
      <c r="B316" t="s">
        <v>304</v>
      </c>
      <c r="C316">
        <f>SUMIFS(tblHourly[Trips],tblHourly[Date],A316)</f>
        <v>78437</v>
      </c>
      <c r="D316" t="str">
        <f>CHOOSE(WEEKDAY(A316,2),"Mon","Tue","Wed","Thu","Fri","Sat","Sun")</f>
        <v>Tue</v>
      </c>
      <c r="E316" t="str">
        <f>IF(WEEKDAY(A316,2)&gt;5,"Weekend","Weekday")</f>
        <v>Weekday</v>
      </c>
      <c r="F316" s="33">
        <f>DATE(YEAR(A316),MONTH(A316),1)</f>
        <v>42125.0</v>
      </c>
      <c r="G316" t="str">
        <f>IF(COUNTIF(HolidayDates,A316)&gt;0,"Yes","No")</f>
        <v>No</v>
      </c>
      <c r="H316" t="str">
        <f>IF(COUNTIF(SpecialDates,A316)&gt;0,"Yes","No")</f>
        <v>No</v>
      </c>
      <c r="I316">
        <f>IF(B316="2015 Jan-Jun",C316,"")</f>
        <v>78437.0</v>
      </c>
      <c r="J316" s="34">
        <f>IF(COUNTIFS(tblDaily[Period],B316,tblDaily[Date],"&lt;="&amp;A316,tblDaily[Date],"&gt;"&amp;(A316-7))=7,AVERAGEIFS(tblDaily[Trips],tblDaily[Period],B316,tblDaily[Date],"&lt;="&amp;A316,tblDaily[Date],"&gt;"&amp;(A316-7)),"")</f>
        <v>83684.71428571429</v>
      </c>
    </row>
    <row r="317" spans="1:10">
      <c r="A317" s="32">
        <v>42137</v>
      </c>
      <c r="B317" t="s">
        <v>304</v>
      </c>
      <c r="C317">
        <f>SUMIFS(tblHourly[Trips],tblHourly[Date],A317)</f>
        <v>84937</v>
      </c>
      <c r="D317" t="str">
        <f>CHOOSE(WEEKDAY(A317,2),"Mon","Tue","Wed","Thu","Fri","Sat","Sun")</f>
        <v>Wed</v>
      </c>
      <c r="E317" t="str">
        <f>IF(WEEKDAY(A317,2)&gt;5,"Weekend","Weekday")</f>
        <v>Weekday</v>
      </c>
      <c r="F317" s="33">
        <f>DATE(YEAR(A317),MONTH(A317),1)</f>
        <v>42125.0</v>
      </c>
      <c r="G317" t="str">
        <f>IF(COUNTIF(HolidayDates,A317)&gt;0,"Yes","No")</f>
        <v>No</v>
      </c>
      <c r="H317" t="str">
        <f>IF(COUNTIF(SpecialDates,A317)&gt;0,"Yes","No")</f>
        <v>No</v>
      </c>
      <c r="I317">
        <f>IF(B317="2015 Jan-Jun",C317,"")</f>
        <v>84937.0</v>
      </c>
      <c r="J317" s="34">
        <f>IF(COUNTIFS(tblDaily[Period],B317,tblDaily[Date],"&lt;="&amp;A317,tblDaily[Date],"&gt;"&amp;(A317-7))=7,AVERAGEIFS(tblDaily[Trips],tblDaily[Period],B317,tblDaily[Date],"&lt;="&amp;A317,tblDaily[Date],"&gt;"&amp;(A317-7)),"")</f>
        <v>84326.14285714286</v>
      </c>
    </row>
    <row r="318" spans="1:10">
      <c r="A318" s="32">
        <v>42138</v>
      </c>
      <c r="B318" t="s">
        <v>304</v>
      </c>
      <c r="C318">
        <f>SUMIFS(tblHourly[Trips],tblHourly[Date],A318)</f>
        <v>93624</v>
      </c>
      <c r="D318" t="str">
        <f>CHOOSE(WEEKDAY(A318,2),"Mon","Tue","Wed","Thu","Fri","Sat","Sun")</f>
        <v>Thu</v>
      </c>
      <c r="E318" t="str">
        <f>IF(WEEKDAY(A318,2)&gt;5,"Weekend","Weekday")</f>
        <v>Weekday</v>
      </c>
      <c r="F318" s="33">
        <f>DATE(YEAR(A318),MONTH(A318),1)</f>
        <v>42125.0</v>
      </c>
      <c r="G318" t="str">
        <f>IF(COUNTIF(HolidayDates,A318)&gt;0,"Yes","No")</f>
        <v>No</v>
      </c>
      <c r="H318" t="str">
        <f>IF(COUNTIF(SpecialDates,A318)&gt;0,"Yes","No")</f>
        <v>No</v>
      </c>
      <c r="I318">
        <f>IF(B318="2015 Jan-Jun",C318,"")</f>
        <v>93624.0</v>
      </c>
      <c r="J318" s="34">
        <f>IF(COUNTIFS(tblDaily[Period],B318,tblDaily[Date],"&lt;="&amp;A318,tblDaily[Date],"&gt;"&amp;(A318-7))=7,AVERAGEIFS(tblDaily[Trips],tblDaily[Period],B318,tblDaily[Date],"&lt;="&amp;A318,tblDaily[Date],"&gt;"&amp;(A318-7)),"")</f>
        <v>85220.85714285714</v>
      </c>
    </row>
    <row r="319" spans="1:10">
      <c r="A319" s="32">
        <v>42139</v>
      </c>
      <c r="B319" t="s">
        <v>304</v>
      </c>
      <c r="C319">
        <f>SUMIFS(tblHourly[Trips],tblHourly[Date],A319)</f>
        <v>99756</v>
      </c>
      <c r="D319" t="str">
        <f>CHOOSE(WEEKDAY(A319,2),"Mon","Tue","Wed","Thu","Fri","Sat","Sun")</f>
        <v>Fri</v>
      </c>
      <c r="E319" t="str">
        <f>IF(WEEKDAY(A319,2)&gt;5,"Weekend","Weekday")</f>
        <v>Weekday</v>
      </c>
      <c r="F319" s="33">
        <f>DATE(YEAR(A319),MONTH(A319),1)</f>
        <v>42125.0</v>
      </c>
      <c r="G319" t="str">
        <f>IF(COUNTIF(HolidayDates,A319)&gt;0,"Yes","No")</f>
        <v>No</v>
      </c>
      <c r="H319" t="str">
        <f>IF(COUNTIF(SpecialDates,A319)&gt;0,"Yes","No")</f>
        <v>No</v>
      </c>
      <c r="I319">
        <f>IF(B319="2015 Jan-Jun",C319,"")</f>
        <v>99756.0</v>
      </c>
      <c r="J319" s="34">
        <f>IF(COUNTIFS(tblDaily[Period],B319,tblDaily[Date],"&lt;="&amp;A319,tblDaily[Date],"&gt;"&amp;(A319-7))=7,AVERAGEIFS(tblDaily[Trips],tblDaily[Period],B319,tblDaily[Date],"&lt;="&amp;A319,tblDaily[Date],"&gt;"&amp;(A319-7)),"")</f>
        <v>86509.85714285714</v>
      </c>
    </row>
    <row r="320" spans="1:10">
      <c r="A320" s="32">
        <v>42140</v>
      </c>
      <c r="B320" t="s">
        <v>304</v>
      </c>
      <c r="C320">
        <f>SUMIFS(tblHourly[Trips],tblHourly[Date],A320)</f>
        <v>121557</v>
      </c>
      <c r="D320" t="str">
        <f>CHOOSE(WEEKDAY(A320,2),"Mon","Tue","Wed","Thu","Fri","Sat","Sun")</f>
        <v>Sat</v>
      </c>
      <c r="E320" t="str">
        <f>IF(WEEKDAY(A320,2)&gt;5,"Weekend","Weekday")</f>
        <v>Weekend</v>
      </c>
      <c r="F320" s="33">
        <f>DATE(YEAR(A320),MONTH(A320),1)</f>
        <v>42125.0</v>
      </c>
      <c r="G320" t="str">
        <f>IF(COUNTIF(HolidayDates,A320)&gt;0,"Yes","No")</f>
        <v>No</v>
      </c>
      <c r="H320" t="str">
        <f>IF(COUNTIF(SpecialDates,A320)&gt;0,"Yes","No")</f>
        <v>No</v>
      </c>
      <c r="I320">
        <f>IF(B320="2015 Jan-Jun",C320,"")</f>
        <v>121557.0</v>
      </c>
      <c r="J320" s="34">
        <f>IF(COUNTIFS(tblDaily[Period],B320,tblDaily[Date],"&lt;="&amp;A320,tblDaily[Date],"&gt;"&amp;(A320-7))=7,AVERAGEIFS(tblDaily[Trips],tblDaily[Period],B320,tblDaily[Date],"&lt;="&amp;A320,tblDaily[Date],"&gt;"&amp;(A320-7)),"")</f>
        <v>89823.85714285714</v>
      </c>
    </row>
    <row r="321" spans="1:10">
      <c r="A321" s="32">
        <v>42141</v>
      </c>
      <c r="B321" t="s">
        <v>304</v>
      </c>
      <c r="C321">
        <f>SUMIFS(tblHourly[Trips],tblHourly[Date],A321)</f>
        <v>94322</v>
      </c>
      <c r="D321" t="str">
        <f>CHOOSE(WEEKDAY(A321,2),"Mon","Tue","Wed","Thu","Fri","Sat","Sun")</f>
        <v>Sun</v>
      </c>
      <c r="E321" t="str">
        <f>IF(WEEKDAY(A321,2)&gt;5,"Weekend","Weekday")</f>
        <v>Weekend</v>
      </c>
      <c r="F321" s="33">
        <f>DATE(YEAR(A321),MONTH(A321),1)</f>
        <v>42125.0</v>
      </c>
      <c r="G321" t="str">
        <f>IF(COUNTIF(HolidayDates,A321)&gt;0,"Yes","No")</f>
        <v>No</v>
      </c>
      <c r="H321" t="str">
        <f>IF(COUNTIF(SpecialDates,A321)&gt;0,"Yes","No")</f>
        <v>No</v>
      </c>
      <c r="I321">
        <f>IF(B321="2015 Jan-Jun",C321,"")</f>
        <v>94322.0</v>
      </c>
      <c r="J321" s="34">
        <f>IF(COUNTIFS(tblDaily[Period],B321,tblDaily[Date],"&lt;="&amp;A321,tblDaily[Date],"&gt;"&amp;(A321-7))=7,AVERAGEIFS(tblDaily[Trips],tblDaily[Period],B321,tblDaily[Date],"&lt;="&amp;A321,tblDaily[Date],"&gt;"&amp;(A321-7)),"")</f>
        <v>91849.0</v>
      </c>
    </row>
    <row r="322" spans="1:10">
      <c r="A322" s="32">
        <v>42142</v>
      </c>
      <c r="B322" t="s">
        <v>304</v>
      </c>
      <c r="C322">
        <f>SUMIFS(tblHourly[Trips],tblHourly[Date],A322)</f>
        <v>76414</v>
      </c>
      <c r="D322" t="str">
        <f>CHOOSE(WEEKDAY(A322,2),"Mon","Tue","Wed","Thu","Fri","Sat","Sun")</f>
        <v>Mon</v>
      </c>
      <c r="E322" t="str">
        <f>IF(WEEKDAY(A322,2)&gt;5,"Weekend","Weekday")</f>
        <v>Weekday</v>
      </c>
      <c r="F322" s="33">
        <f>DATE(YEAR(A322),MONTH(A322),1)</f>
        <v>42125.0</v>
      </c>
      <c r="G322" t="str">
        <f>IF(COUNTIF(HolidayDates,A322)&gt;0,"Yes","No")</f>
        <v>No</v>
      </c>
      <c r="H322" t="str">
        <f>IF(COUNTIF(SpecialDates,A322)&gt;0,"Yes","No")</f>
        <v>No</v>
      </c>
      <c r="I322">
        <f>IF(B322="2015 Jan-Jun",C322,"")</f>
        <v>76414.0</v>
      </c>
      <c r="J322" s="34">
        <f>IF(COUNTIFS(tblDaily[Period],B322,tblDaily[Date],"&lt;="&amp;A322,tblDaily[Date],"&gt;"&amp;(A322-7))=7,AVERAGEIFS(tblDaily[Trips],tblDaily[Period],B322,tblDaily[Date],"&lt;="&amp;A322,tblDaily[Date],"&gt;"&amp;(A322-7)),"")</f>
        <v>92721.0</v>
      </c>
    </row>
    <row r="323" spans="1:10">
      <c r="A323" s="32">
        <v>42143</v>
      </c>
      <c r="B323" t="s">
        <v>304</v>
      </c>
      <c r="C323">
        <f>SUMIFS(tblHourly[Trips],tblHourly[Date],A323)</f>
        <v>85371</v>
      </c>
      <c r="D323" t="str">
        <f>CHOOSE(WEEKDAY(A323,2),"Mon","Tue","Wed","Thu","Fri","Sat","Sun")</f>
        <v>Tue</v>
      </c>
      <c r="E323" t="str">
        <f>IF(WEEKDAY(A323,2)&gt;5,"Weekend","Weekday")</f>
        <v>Weekday</v>
      </c>
      <c r="F323" s="33">
        <f>DATE(YEAR(A323),MONTH(A323),1)</f>
        <v>42125.0</v>
      </c>
      <c r="G323" t="str">
        <f>IF(COUNTIF(HolidayDates,A323)&gt;0,"Yes","No")</f>
        <v>No</v>
      </c>
      <c r="H323" t="str">
        <f>IF(COUNTIF(SpecialDates,A323)&gt;0,"Yes","No")</f>
        <v>No</v>
      </c>
      <c r="I323">
        <f>IF(B323="2015 Jan-Jun",C323,"")</f>
        <v>85371.0</v>
      </c>
      <c r="J323" s="34">
        <f>IF(COUNTIFS(tblDaily[Period],B323,tblDaily[Date],"&lt;="&amp;A323,tblDaily[Date],"&gt;"&amp;(A323-7))=7,AVERAGEIFS(tblDaily[Trips],tblDaily[Period],B323,tblDaily[Date],"&lt;="&amp;A323,tblDaily[Date],"&gt;"&amp;(A323-7)),"")</f>
        <v>93711.57142857143</v>
      </c>
    </row>
    <row r="324" spans="1:10">
      <c r="A324" s="32">
        <v>42144</v>
      </c>
      <c r="B324" t="s">
        <v>304</v>
      </c>
      <c r="C324">
        <f>SUMIFS(tblHourly[Trips],tblHourly[Date],A324)</f>
        <v>91062</v>
      </c>
      <c r="D324" t="str">
        <f>CHOOSE(WEEKDAY(A324,2),"Mon","Tue","Wed","Thu","Fri","Sat","Sun")</f>
        <v>Wed</v>
      </c>
      <c r="E324" t="str">
        <f>IF(WEEKDAY(A324,2)&gt;5,"Weekend","Weekday")</f>
        <v>Weekday</v>
      </c>
      <c r="F324" s="33">
        <f>DATE(YEAR(A324),MONTH(A324),1)</f>
        <v>42125.0</v>
      </c>
      <c r="G324" t="str">
        <f>IF(COUNTIF(HolidayDates,A324)&gt;0,"Yes","No")</f>
        <v>No</v>
      </c>
      <c r="H324" t="str">
        <f>IF(COUNTIF(SpecialDates,A324)&gt;0,"Yes","No")</f>
        <v>No</v>
      </c>
      <c r="I324">
        <f>IF(B324="2015 Jan-Jun",C324,"")</f>
        <v>91062.0</v>
      </c>
      <c r="J324" s="34">
        <f>IF(COUNTIFS(tblDaily[Period],B324,tblDaily[Date],"&lt;="&amp;A324,tblDaily[Date],"&gt;"&amp;(A324-7))=7,AVERAGEIFS(tblDaily[Trips],tblDaily[Period],B324,tblDaily[Date],"&lt;="&amp;A324,tblDaily[Date],"&gt;"&amp;(A324-7)),"")</f>
        <v>94586.57142857143</v>
      </c>
    </row>
    <row r="325" spans="1:10">
      <c r="A325" s="32">
        <v>42145</v>
      </c>
      <c r="B325" t="s">
        <v>304</v>
      </c>
      <c r="C325">
        <f>SUMIFS(tblHourly[Trips],tblHourly[Date],A325)</f>
        <v>95146</v>
      </c>
      <c r="D325" t="str">
        <f>CHOOSE(WEEKDAY(A325,2),"Mon","Tue","Wed","Thu","Fri","Sat","Sun")</f>
        <v>Thu</v>
      </c>
      <c r="E325" t="str">
        <f>IF(WEEKDAY(A325,2)&gt;5,"Weekend","Weekday")</f>
        <v>Weekday</v>
      </c>
      <c r="F325" s="33">
        <f>DATE(YEAR(A325),MONTH(A325),1)</f>
        <v>42125.0</v>
      </c>
      <c r="G325" t="str">
        <f>IF(COUNTIF(HolidayDates,A325)&gt;0,"Yes","No")</f>
        <v>No</v>
      </c>
      <c r="H325" t="str">
        <f>IF(COUNTIF(SpecialDates,A325)&gt;0,"Yes","No")</f>
        <v>No</v>
      </c>
      <c r="I325">
        <f>IF(B325="2015 Jan-Jun",C325,"")</f>
        <v>95146.0</v>
      </c>
      <c r="J325" s="34">
        <f>IF(COUNTIFS(tblDaily[Period],B325,tblDaily[Date],"&lt;="&amp;A325,tblDaily[Date],"&gt;"&amp;(A325-7))=7,AVERAGEIFS(tblDaily[Trips],tblDaily[Period],B325,tblDaily[Date],"&lt;="&amp;A325,tblDaily[Date],"&gt;"&amp;(A325-7)),"")</f>
        <v>94804.0</v>
      </c>
    </row>
    <row r="326" spans="1:10">
      <c r="A326" s="32">
        <v>42146</v>
      </c>
      <c r="B326" t="s">
        <v>304</v>
      </c>
      <c r="C326">
        <f>SUMIFS(tblHourly[Trips],tblHourly[Date],A326)</f>
        <v>85771</v>
      </c>
      <c r="D326" t="str">
        <f>CHOOSE(WEEKDAY(A326,2),"Mon","Tue","Wed","Thu","Fri","Sat","Sun")</f>
        <v>Fri</v>
      </c>
      <c r="E326" t="str">
        <f>IF(WEEKDAY(A326,2)&gt;5,"Weekend","Weekday")</f>
        <v>Weekday</v>
      </c>
      <c r="F326" s="33">
        <f>DATE(YEAR(A326),MONTH(A326),1)</f>
        <v>42125.0</v>
      </c>
      <c r="G326" t="str">
        <f>IF(COUNTIF(HolidayDates,A326)&gt;0,"Yes","No")</f>
        <v>No</v>
      </c>
      <c r="H326" t="str">
        <f>IF(COUNTIF(SpecialDates,A326)&gt;0,"Yes","No")</f>
        <v>No</v>
      </c>
      <c r="I326">
        <f>IF(B326="2015 Jan-Jun",C326,"")</f>
        <v>85771.0</v>
      </c>
      <c r="J326" s="34">
        <f>IF(COUNTIFS(tblDaily[Period],B326,tblDaily[Date],"&lt;="&amp;A326,tblDaily[Date],"&gt;"&amp;(A326-7))=7,AVERAGEIFS(tblDaily[Trips],tblDaily[Period],B326,tblDaily[Date],"&lt;="&amp;A326,tblDaily[Date],"&gt;"&amp;(A326-7)),"")</f>
        <v>92806.14285714286</v>
      </c>
    </row>
    <row r="327" spans="1:10">
      <c r="A327" s="32">
        <v>42147</v>
      </c>
      <c r="B327" t="s">
        <v>304</v>
      </c>
      <c r="C327">
        <f>SUMIFS(tblHourly[Trips],tblHourly[Date],A327)</f>
        <v>78343</v>
      </c>
      <c r="D327" t="str">
        <f>CHOOSE(WEEKDAY(A327,2),"Mon","Tue","Wed","Thu","Fri","Sat","Sun")</f>
        <v>Sat</v>
      </c>
      <c r="E327" t="str">
        <f>IF(WEEKDAY(A327,2)&gt;5,"Weekend","Weekday")</f>
        <v>Weekend</v>
      </c>
      <c r="F327" s="33">
        <f>DATE(YEAR(A327),MONTH(A327),1)</f>
        <v>42125.0</v>
      </c>
      <c r="G327" t="str">
        <f>IF(COUNTIF(HolidayDates,A327)&gt;0,"Yes","No")</f>
        <v>No</v>
      </c>
      <c r="H327" t="str">
        <f>IF(COUNTIF(SpecialDates,A327)&gt;0,"Yes","No")</f>
        <v>No</v>
      </c>
      <c r="I327">
        <f>IF(B327="2015 Jan-Jun",C327,"")</f>
        <v>78343.0</v>
      </c>
      <c r="J327" s="34">
        <f>IF(COUNTIFS(tblDaily[Period],B327,tblDaily[Date],"&lt;="&amp;A327,tblDaily[Date],"&gt;"&amp;(A327-7))=7,AVERAGEIFS(tblDaily[Trips],tblDaily[Period],B327,tblDaily[Date],"&lt;="&amp;A327,tblDaily[Date],"&gt;"&amp;(A327-7)),"")</f>
        <v>86632.71428571429</v>
      </c>
    </row>
    <row r="328" spans="1:10">
      <c r="A328" s="32">
        <v>42148</v>
      </c>
      <c r="B328" t="s">
        <v>304</v>
      </c>
      <c r="C328">
        <f>SUMIFS(tblHourly[Trips],tblHourly[Date],A328)</f>
        <v>68328</v>
      </c>
      <c r="D328" t="str">
        <f>CHOOSE(WEEKDAY(A328,2),"Mon","Tue","Wed","Thu","Fri","Sat","Sun")</f>
        <v>Sun</v>
      </c>
      <c r="E328" t="str">
        <f>IF(WEEKDAY(A328,2)&gt;5,"Weekend","Weekday")</f>
        <v>Weekend</v>
      </c>
      <c r="F328" s="33">
        <f>DATE(YEAR(A328),MONTH(A328),1)</f>
        <v>42125.0</v>
      </c>
      <c r="G328" t="str">
        <f>IF(COUNTIF(HolidayDates,A328)&gt;0,"Yes","No")</f>
        <v>No</v>
      </c>
      <c r="H328" t="str">
        <f>IF(COUNTIF(SpecialDates,A328)&gt;0,"Yes","No")</f>
        <v>No</v>
      </c>
      <c r="I328">
        <f>IF(B328="2015 Jan-Jun",C328,"")</f>
        <v>68328.0</v>
      </c>
      <c r="J328" s="34">
        <f>IF(COUNTIFS(tblDaily[Period],B328,tblDaily[Date],"&lt;="&amp;A328,tblDaily[Date],"&gt;"&amp;(A328-7))=7,AVERAGEIFS(tblDaily[Trips],tblDaily[Period],B328,tblDaily[Date],"&lt;="&amp;A328,tblDaily[Date],"&gt;"&amp;(A328-7)),"")</f>
        <v>82919.28571428571</v>
      </c>
    </row>
    <row r="329" spans="1:10">
      <c r="A329" s="32">
        <v>42149</v>
      </c>
      <c r="B329" t="s">
        <v>304</v>
      </c>
      <c r="C329">
        <f>SUMIFS(tblHourly[Trips],tblHourly[Date],A329)</f>
        <v>59748</v>
      </c>
      <c r="D329" t="str">
        <f>CHOOSE(WEEKDAY(A329,2),"Mon","Tue","Wed","Thu","Fri","Sat","Sun")</f>
        <v>Mon</v>
      </c>
      <c r="E329" t="str">
        <f>IF(WEEKDAY(A329,2)&gt;5,"Weekend","Weekday")</f>
        <v>Weekday</v>
      </c>
      <c r="F329" s="33">
        <f>DATE(YEAR(A329),MONTH(A329),1)</f>
        <v>42125.0</v>
      </c>
      <c r="G329" t="str">
        <f>IF(COUNTIF(HolidayDates,A329)&gt;0,"Yes","No")</f>
        <v>Yes</v>
      </c>
      <c r="H329" t="str">
        <f>IF(COUNTIF(SpecialDates,A329)&gt;0,"Yes","No")</f>
        <v>Yes</v>
      </c>
      <c r="I329">
        <f>IF(B329="2015 Jan-Jun",C329,"")</f>
        <v>59748.0</v>
      </c>
      <c r="J329" s="34">
        <f>IF(COUNTIFS(tblDaily[Period],B329,tblDaily[Date],"&lt;="&amp;A329,tblDaily[Date],"&gt;"&amp;(A329-7))=7,AVERAGEIFS(tblDaily[Trips],tblDaily[Period],B329,tblDaily[Date],"&lt;="&amp;A329,tblDaily[Date],"&gt;"&amp;(A329-7)),"")</f>
        <v>80538.42857142857</v>
      </c>
    </row>
    <row r="330" spans="1:10">
      <c r="A330" s="32">
        <v>42150</v>
      </c>
      <c r="B330" t="s">
        <v>304</v>
      </c>
      <c r="C330">
        <f>SUMIFS(tblHourly[Trips],tblHourly[Date],A330)</f>
        <v>72820</v>
      </c>
      <c r="D330" t="str">
        <f>CHOOSE(WEEKDAY(A330,2),"Mon","Tue","Wed","Thu","Fri","Sat","Sun")</f>
        <v>Tue</v>
      </c>
      <c r="E330" t="str">
        <f>IF(WEEKDAY(A330,2)&gt;5,"Weekend","Weekday")</f>
        <v>Weekday</v>
      </c>
      <c r="F330" s="33">
        <f>DATE(YEAR(A330),MONTH(A330),1)</f>
        <v>42125.0</v>
      </c>
      <c r="G330" t="str">
        <f>IF(COUNTIF(HolidayDates,A330)&gt;0,"Yes","No")</f>
        <v>No</v>
      </c>
      <c r="H330" t="str">
        <f>IF(COUNTIF(SpecialDates,A330)&gt;0,"Yes","No")</f>
        <v>No</v>
      </c>
      <c r="I330">
        <f>IF(B330="2015 Jan-Jun",C330,"")</f>
        <v>72820.0</v>
      </c>
      <c r="J330" s="34">
        <f>IF(COUNTIFS(tblDaily[Period],B330,tblDaily[Date],"&lt;="&amp;A330,tblDaily[Date],"&gt;"&amp;(A330-7))=7,AVERAGEIFS(tblDaily[Trips],tblDaily[Period],B330,tblDaily[Date],"&lt;="&amp;A330,tblDaily[Date],"&gt;"&amp;(A330-7)),"")</f>
        <v>78745.42857142857</v>
      </c>
    </row>
    <row r="331" spans="1:10">
      <c r="A331" s="32">
        <v>42151</v>
      </c>
      <c r="B331" t="s">
        <v>304</v>
      </c>
      <c r="C331">
        <f>SUMIFS(tblHourly[Trips],tblHourly[Date],A331)</f>
        <v>88662</v>
      </c>
      <c r="D331" t="str">
        <f>CHOOSE(WEEKDAY(A331,2),"Mon","Tue","Wed","Thu","Fri","Sat","Sun")</f>
        <v>Wed</v>
      </c>
      <c r="E331" t="str">
        <f>IF(WEEKDAY(A331,2)&gt;5,"Weekend","Weekday")</f>
        <v>Weekday</v>
      </c>
      <c r="F331" s="33">
        <f>DATE(YEAR(A331),MONTH(A331),1)</f>
        <v>42125.0</v>
      </c>
      <c r="G331" t="str">
        <f>IF(COUNTIF(HolidayDates,A331)&gt;0,"Yes","No")</f>
        <v>No</v>
      </c>
      <c r="H331" t="str">
        <f>IF(COUNTIF(SpecialDates,A331)&gt;0,"Yes","No")</f>
        <v>No</v>
      </c>
      <c r="I331">
        <f>IF(B331="2015 Jan-Jun",C331,"")</f>
        <v>88662.0</v>
      </c>
      <c r="J331" s="34">
        <f>IF(COUNTIFS(tblDaily[Period],B331,tblDaily[Date],"&lt;="&amp;A331,tblDaily[Date],"&gt;"&amp;(A331-7))=7,AVERAGEIFS(tblDaily[Trips],tblDaily[Period],B331,tblDaily[Date],"&lt;="&amp;A331,tblDaily[Date],"&gt;"&amp;(A331-7)),"")</f>
        <v>78402.57142857143</v>
      </c>
    </row>
    <row r="332" spans="1:10">
      <c r="A332" s="32">
        <v>42152</v>
      </c>
      <c r="B332" t="s">
        <v>304</v>
      </c>
      <c r="C332">
        <f>SUMIFS(tblHourly[Trips],tblHourly[Date],A332)</f>
        <v>95074</v>
      </c>
      <c r="D332" t="str">
        <f>CHOOSE(WEEKDAY(A332,2),"Mon","Tue","Wed","Thu","Fri","Sat","Sun")</f>
        <v>Thu</v>
      </c>
      <c r="E332" t="str">
        <f>IF(WEEKDAY(A332,2)&gt;5,"Weekend","Weekday")</f>
        <v>Weekday</v>
      </c>
      <c r="F332" s="33">
        <f>DATE(YEAR(A332),MONTH(A332),1)</f>
        <v>42125.0</v>
      </c>
      <c r="G332" t="str">
        <f>IF(COUNTIF(HolidayDates,A332)&gt;0,"Yes","No")</f>
        <v>No</v>
      </c>
      <c r="H332" t="str">
        <f>IF(COUNTIF(SpecialDates,A332)&gt;0,"Yes","No")</f>
        <v>No</v>
      </c>
      <c r="I332">
        <f>IF(B332="2015 Jan-Jun",C332,"")</f>
        <v>95074.0</v>
      </c>
      <c r="J332" s="34">
        <f>IF(COUNTIFS(tblDaily[Period],B332,tblDaily[Date],"&lt;="&amp;A332,tblDaily[Date],"&gt;"&amp;(A332-7))=7,AVERAGEIFS(tblDaily[Trips],tblDaily[Period],B332,tblDaily[Date],"&lt;="&amp;A332,tblDaily[Date],"&gt;"&amp;(A332-7)),"")</f>
        <v>78392.28571428571</v>
      </c>
    </row>
    <row r="333" spans="1:10">
      <c r="A333" s="32">
        <v>42153</v>
      </c>
      <c r="B333" t="s">
        <v>304</v>
      </c>
      <c r="C333">
        <f>SUMIFS(tblHourly[Trips],tblHourly[Date],A333)</f>
        <v>98200</v>
      </c>
      <c r="D333" t="str">
        <f>CHOOSE(WEEKDAY(A333,2),"Mon","Tue","Wed","Thu","Fri","Sat","Sun")</f>
        <v>Fri</v>
      </c>
      <c r="E333" t="str">
        <f>IF(WEEKDAY(A333,2)&gt;5,"Weekend","Weekday")</f>
        <v>Weekday</v>
      </c>
      <c r="F333" s="33">
        <f>DATE(YEAR(A333),MONTH(A333),1)</f>
        <v>42125.0</v>
      </c>
      <c r="G333" t="str">
        <f>IF(COUNTIF(HolidayDates,A333)&gt;0,"Yes","No")</f>
        <v>No</v>
      </c>
      <c r="H333" t="str">
        <f>IF(COUNTIF(SpecialDates,A333)&gt;0,"Yes","No")</f>
        <v>No</v>
      </c>
      <c r="I333">
        <f>IF(B333="2015 Jan-Jun",C333,"")</f>
        <v>98200.0</v>
      </c>
      <c r="J333" s="34">
        <f>IF(COUNTIFS(tblDaily[Period],B333,tblDaily[Date],"&lt;="&amp;A333,tblDaily[Date],"&gt;"&amp;(A333-7))=7,AVERAGEIFS(tblDaily[Trips],tblDaily[Period],B333,tblDaily[Date],"&lt;="&amp;A333,tblDaily[Date],"&gt;"&amp;(A333-7)),"")</f>
        <v>80167.85714285714</v>
      </c>
    </row>
    <row r="334" spans="1:10">
      <c r="A334" s="32">
        <v>42154</v>
      </c>
      <c r="B334" t="s">
        <v>304</v>
      </c>
      <c r="C334">
        <f>SUMIFS(tblHourly[Trips],tblHourly[Date],A334)</f>
        <v>104429</v>
      </c>
      <c r="D334" t="str">
        <f>CHOOSE(WEEKDAY(A334,2),"Mon","Tue","Wed","Thu","Fri","Sat","Sun")</f>
        <v>Sat</v>
      </c>
      <c r="E334" t="str">
        <f>IF(WEEKDAY(A334,2)&gt;5,"Weekend","Weekday")</f>
        <v>Weekend</v>
      </c>
      <c r="F334" s="33">
        <f>DATE(YEAR(A334),MONTH(A334),1)</f>
        <v>42125.0</v>
      </c>
      <c r="G334" t="str">
        <f>IF(COUNTIF(HolidayDates,A334)&gt;0,"Yes","No")</f>
        <v>No</v>
      </c>
      <c r="H334" t="str">
        <f>IF(COUNTIF(SpecialDates,A334)&gt;0,"Yes","No")</f>
        <v>No</v>
      </c>
      <c r="I334">
        <f>IF(B334="2015 Jan-Jun",C334,"")</f>
        <v>104429.0</v>
      </c>
      <c r="J334" s="34">
        <f>IF(COUNTIFS(tblDaily[Period],B334,tblDaily[Date],"&lt;="&amp;A334,tblDaily[Date],"&gt;"&amp;(A334-7))=7,AVERAGEIFS(tblDaily[Trips],tblDaily[Period],B334,tblDaily[Date],"&lt;="&amp;A334,tblDaily[Date],"&gt;"&amp;(A334-7)),"")</f>
        <v>83894.42857142857</v>
      </c>
    </row>
    <row r="335" spans="1:10">
      <c r="A335" s="32">
        <v>42155</v>
      </c>
      <c r="B335" t="s">
        <v>304</v>
      </c>
      <c r="C335">
        <f>SUMIFS(tblHourly[Trips],tblHourly[Date],A335)</f>
        <v>96947</v>
      </c>
      <c r="D335" t="str">
        <f>CHOOSE(WEEKDAY(A335,2),"Mon","Tue","Wed","Thu","Fri","Sat","Sun")</f>
        <v>Sun</v>
      </c>
      <c r="E335" t="str">
        <f>IF(WEEKDAY(A335,2)&gt;5,"Weekend","Weekday")</f>
        <v>Weekend</v>
      </c>
      <c r="F335" s="33">
        <f>DATE(YEAR(A335),MONTH(A335),1)</f>
        <v>42125.0</v>
      </c>
      <c r="G335" t="str">
        <f>IF(COUNTIF(HolidayDates,A335)&gt;0,"Yes","No")</f>
        <v>No</v>
      </c>
      <c r="H335" t="str">
        <f>IF(COUNTIF(SpecialDates,A335)&gt;0,"Yes","No")</f>
        <v>No</v>
      </c>
      <c r="I335">
        <f>IF(B335="2015 Jan-Jun",C335,"")</f>
        <v>96947.0</v>
      </c>
      <c r="J335" s="34">
        <f>IF(COUNTIFS(tblDaily[Period],B335,tblDaily[Date],"&lt;="&amp;A335,tblDaily[Date],"&gt;"&amp;(A335-7))=7,AVERAGEIFS(tblDaily[Trips],tblDaily[Period],B335,tblDaily[Date],"&lt;="&amp;A335,tblDaily[Date],"&gt;"&amp;(A335-7)),"")</f>
        <v>87982.85714285714</v>
      </c>
    </row>
    <row r="336" spans="1:10">
      <c r="A336" s="32">
        <v>42156</v>
      </c>
      <c r="B336" t="s">
        <v>304</v>
      </c>
      <c r="C336">
        <f>SUMIFS(tblHourly[Trips],tblHourly[Date],A336)</f>
        <v>93499</v>
      </c>
      <c r="D336" t="str">
        <f>CHOOSE(WEEKDAY(A336,2),"Mon","Tue","Wed","Thu","Fri","Sat","Sun")</f>
        <v>Mon</v>
      </c>
      <c r="E336" t="str">
        <f>IF(WEEKDAY(A336,2)&gt;5,"Weekend","Weekday")</f>
        <v>Weekday</v>
      </c>
      <c r="F336" s="33">
        <f>DATE(YEAR(A336),MONTH(A336),1)</f>
        <v>42156.0</v>
      </c>
      <c r="G336" t="str">
        <f>IF(COUNTIF(HolidayDates,A336)&gt;0,"Yes","No")</f>
        <v>No</v>
      </c>
      <c r="H336" t="str">
        <f>IF(COUNTIF(SpecialDates,A336)&gt;0,"Yes","No")</f>
        <v>No</v>
      </c>
      <c r="I336">
        <f>IF(B336="2015 Jan-Jun",C336,"")</f>
        <v>93499.0</v>
      </c>
      <c r="J336" s="34">
        <f>IF(COUNTIFS(tblDaily[Period],B336,tblDaily[Date],"&lt;="&amp;A336,tblDaily[Date],"&gt;"&amp;(A336-7))=7,AVERAGEIFS(tblDaily[Trips],tblDaily[Period],B336,tblDaily[Date],"&lt;="&amp;A336,tblDaily[Date],"&gt;"&amp;(A336-7)),"")</f>
        <v>92804.42857142857</v>
      </c>
    </row>
    <row r="337" spans="1:10">
      <c r="A337" s="32">
        <v>42157</v>
      </c>
      <c r="B337" t="s">
        <v>304</v>
      </c>
      <c r="C337">
        <f>SUMIFS(tblHourly[Trips],tblHourly[Date],A337)</f>
        <v>97592</v>
      </c>
      <c r="D337" t="str">
        <f>CHOOSE(WEEKDAY(A337,2),"Mon","Tue","Wed","Thu","Fri","Sat","Sun")</f>
        <v>Tue</v>
      </c>
      <c r="E337" t="str">
        <f>IF(WEEKDAY(A337,2)&gt;5,"Weekend","Weekday")</f>
        <v>Weekday</v>
      </c>
      <c r="F337" s="33">
        <f>DATE(YEAR(A337),MONTH(A337),1)</f>
        <v>42156.0</v>
      </c>
      <c r="G337" t="str">
        <f>IF(COUNTIF(HolidayDates,A337)&gt;0,"Yes","No")</f>
        <v>No</v>
      </c>
      <c r="H337" t="str">
        <f>IF(COUNTIF(SpecialDates,A337)&gt;0,"Yes","No")</f>
        <v>No</v>
      </c>
      <c r="I337">
        <f>IF(B337="2015 Jan-Jun",C337,"")</f>
        <v>97592.0</v>
      </c>
      <c r="J337" s="34">
        <f>IF(COUNTIFS(tblDaily[Period],B337,tblDaily[Date],"&lt;="&amp;A337,tblDaily[Date],"&gt;"&amp;(A337-7))=7,AVERAGEIFS(tblDaily[Trips],tblDaily[Period],B337,tblDaily[Date],"&lt;="&amp;A337,tblDaily[Date],"&gt;"&amp;(A337-7)),"")</f>
        <v>96343.28571428571</v>
      </c>
    </row>
    <row r="338" spans="1:10">
      <c r="A338" s="32">
        <v>42158</v>
      </c>
      <c r="B338" t="s">
        <v>304</v>
      </c>
      <c r="C338">
        <f>SUMIFS(tblHourly[Trips],tblHourly[Date],A338)</f>
        <v>87206</v>
      </c>
      <c r="D338" t="str">
        <f>CHOOSE(WEEKDAY(A338,2),"Mon","Tue","Wed","Thu","Fri","Sat","Sun")</f>
        <v>Wed</v>
      </c>
      <c r="E338" t="str">
        <f>IF(WEEKDAY(A338,2)&gt;5,"Weekend","Weekday")</f>
        <v>Weekday</v>
      </c>
      <c r="F338" s="33">
        <f>DATE(YEAR(A338),MONTH(A338),1)</f>
        <v>42156.0</v>
      </c>
      <c r="G338" t="str">
        <f>IF(COUNTIF(HolidayDates,A338)&gt;0,"Yes","No")</f>
        <v>No</v>
      </c>
      <c r="H338" t="str">
        <f>IF(COUNTIF(SpecialDates,A338)&gt;0,"Yes","No")</f>
        <v>No</v>
      </c>
      <c r="I338">
        <f>IF(B338="2015 Jan-Jun",C338,"")</f>
        <v>87206.0</v>
      </c>
      <c r="J338" s="34">
        <f>IF(COUNTIFS(tblDaily[Period],B338,tblDaily[Date],"&lt;="&amp;A338,tblDaily[Date],"&gt;"&amp;(A338-7))=7,AVERAGEIFS(tblDaily[Trips],tblDaily[Period],B338,tblDaily[Date],"&lt;="&amp;A338,tblDaily[Date],"&gt;"&amp;(A338-7)),"")</f>
        <v>96135.28571428571</v>
      </c>
    </row>
    <row r="339" spans="1:10">
      <c r="A339" s="32">
        <v>42159</v>
      </c>
      <c r="B339" t="s">
        <v>304</v>
      </c>
      <c r="C339">
        <f>SUMIFS(tblHourly[Trips],tblHourly[Date],A339)</f>
        <v>95023</v>
      </c>
      <c r="D339" t="str">
        <f>CHOOSE(WEEKDAY(A339,2),"Mon","Tue","Wed","Thu","Fri","Sat","Sun")</f>
        <v>Thu</v>
      </c>
      <c r="E339" t="str">
        <f>IF(WEEKDAY(A339,2)&gt;5,"Weekend","Weekday")</f>
        <v>Weekday</v>
      </c>
      <c r="F339" s="33">
        <f>DATE(YEAR(A339),MONTH(A339),1)</f>
        <v>42156.0</v>
      </c>
      <c r="G339" t="str">
        <f>IF(COUNTIF(HolidayDates,A339)&gt;0,"Yes","No")</f>
        <v>No</v>
      </c>
      <c r="H339" t="str">
        <f>IF(COUNTIF(SpecialDates,A339)&gt;0,"Yes","No")</f>
        <v>No</v>
      </c>
      <c r="I339">
        <f>IF(B339="2015 Jan-Jun",C339,"")</f>
        <v>95023.0</v>
      </c>
      <c r="J339" s="34">
        <f>IF(COUNTIFS(tblDaily[Period],B339,tblDaily[Date],"&lt;="&amp;A339,tblDaily[Date],"&gt;"&amp;(A339-7))=7,AVERAGEIFS(tblDaily[Trips],tblDaily[Period],B339,tblDaily[Date],"&lt;="&amp;A339,tblDaily[Date],"&gt;"&amp;(A339-7)),"")</f>
        <v>96128.0</v>
      </c>
    </row>
    <row r="340" spans="1:10">
      <c r="A340" s="32">
        <v>42160</v>
      </c>
      <c r="B340" t="s">
        <v>304</v>
      </c>
      <c r="C340">
        <f>SUMIFS(tblHourly[Trips],tblHourly[Date],A340)</f>
        <v>101922</v>
      </c>
      <c r="D340" t="str">
        <f>CHOOSE(WEEKDAY(A340,2),"Mon","Tue","Wed","Thu","Fri","Sat","Sun")</f>
        <v>Fri</v>
      </c>
      <c r="E340" t="str">
        <f>IF(WEEKDAY(A340,2)&gt;5,"Weekend","Weekday")</f>
        <v>Weekday</v>
      </c>
      <c r="F340" s="33">
        <f>DATE(YEAR(A340),MONTH(A340),1)</f>
        <v>42156.0</v>
      </c>
      <c r="G340" t="str">
        <f>IF(COUNTIF(HolidayDates,A340)&gt;0,"Yes","No")</f>
        <v>No</v>
      </c>
      <c r="H340" t="str">
        <f>IF(COUNTIF(SpecialDates,A340)&gt;0,"Yes","No")</f>
        <v>No</v>
      </c>
      <c r="I340">
        <f>IF(B340="2015 Jan-Jun",C340,"")</f>
        <v>101922.0</v>
      </c>
      <c r="J340" s="34">
        <f>IF(COUNTIFS(tblDaily[Period],B340,tblDaily[Date],"&lt;="&amp;A340,tblDaily[Date],"&gt;"&amp;(A340-7))=7,AVERAGEIFS(tblDaily[Trips],tblDaily[Period],B340,tblDaily[Date],"&lt;="&amp;A340,tblDaily[Date],"&gt;"&amp;(A340-7)),"")</f>
        <v>96659.71428571429</v>
      </c>
    </row>
    <row r="341" spans="1:10">
      <c r="A341" s="32">
        <v>42161</v>
      </c>
      <c r="B341" t="s">
        <v>304</v>
      </c>
      <c r="C341">
        <f>SUMIFS(tblHourly[Trips],tblHourly[Date],A341)</f>
        <v>101773</v>
      </c>
      <c r="D341" t="str">
        <f>CHOOSE(WEEKDAY(A341,2),"Mon","Tue","Wed","Thu","Fri","Sat","Sun")</f>
        <v>Sat</v>
      </c>
      <c r="E341" t="str">
        <f>IF(WEEKDAY(A341,2)&gt;5,"Weekend","Weekday")</f>
        <v>Weekend</v>
      </c>
      <c r="F341" s="33">
        <f>DATE(YEAR(A341),MONTH(A341),1)</f>
        <v>42156.0</v>
      </c>
      <c r="G341" t="str">
        <f>IF(COUNTIF(HolidayDates,A341)&gt;0,"Yes","No")</f>
        <v>No</v>
      </c>
      <c r="H341" t="str">
        <f>IF(COUNTIF(SpecialDates,A341)&gt;0,"Yes","No")</f>
        <v>No</v>
      </c>
      <c r="I341">
        <f>IF(B341="2015 Jan-Jun",C341,"")</f>
        <v>101773.0</v>
      </c>
      <c r="J341" s="34">
        <f>IF(COUNTIFS(tblDaily[Period],B341,tblDaily[Date],"&lt;="&amp;A341,tblDaily[Date],"&gt;"&amp;(A341-7))=7,AVERAGEIFS(tblDaily[Trips],tblDaily[Period],B341,tblDaily[Date],"&lt;="&amp;A341,tblDaily[Date],"&gt;"&amp;(A341-7)),"")</f>
        <v>96280.28571428571</v>
      </c>
    </row>
    <row r="342" spans="1:10">
      <c r="A342" s="32">
        <v>42162</v>
      </c>
      <c r="B342" t="s">
        <v>304</v>
      </c>
      <c r="C342">
        <f>SUMIFS(tblHourly[Trips],tblHourly[Date],A342)</f>
        <v>88876</v>
      </c>
      <c r="D342" t="str">
        <f>CHOOSE(WEEKDAY(A342,2),"Mon","Tue","Wed","Thu","Fri","Sat","Sun")</f>
        <v>Sun</v>
      </c>
      <c r="E342" t="str">
        <f>IF(WEEKDAY(A342,2)&gt;5,"Weekend","Weekday")</f>
        <v>Weekend</v>
      </c>
      <c r="F342" s="33">
        <f>DATE(YEAR(A342),MONTH(A342),1)</f>
        <v>42156.0</v>
      </c>
      <c r="G342" t="str">
        <f>IF(COUNTIF(HolidayDates,A342)&gt;0,"Yes","No")</f>
        <v>No</v>
      </c>
      <c r="H342" t="str">
        <f>IF(COUNTIF(SpecialDates,A342)&gt;0,"Yes","No")</f>
        <v>No</v>
      </c>
      <c r="I342">
        <f>IF(B342="2015 Jan-Jun",C342,"")</f>
        <v>88876.0</v>
      </c>
      <c r="J342" s="34">
        <f>IF(COUNTIFS(tblDaily[Period],B342,tblDaily[Date],"&lt;="&amp;A342,tblDaily[Date],"&gt;"&amp;(A342-7))=7,AVERAGEIFS(tblDaily[Trips],tblDaily[Period],B342,tblDaily[Date],"&lt;="&amp;A342,tblDaily[Date],"&gt;"&amp;(A342-7)),"")</f>
        <v>95127.28571428571</v>
      </c>
    </row>
    <row r="343" spans="1:10">
      <c r="A343" s="32">
        <v>42163</v>
      </c>
      <c r="B343" t="s">
        <v>304</v>
      </c>
      <c r="C343">
        <f>SUMIFS(tblHourly[Trips],tblHourly[Date],A343)</f>
        <v>76899</v>
      </c>
      <c r="D343" t="str">
        <f>CHOOSE(WEEKDAY(A343,2),"Mon","Tue","Wed","Thu","Fri","Sat","Sun")</f>
        <v>Mon</v>
      </c>
      <c r="E343" t="str">
        <f>IF(WEEKDAY(A343,2)&gt;5,"Weekend","Weekday")</f>
        <v>Weekday</v>
      </c>
      <c r="F343" s="33">
        <f>DATE(YEAR(A343),MONTH(A343),1)</f>
        <v>42156.0</v>
      </c>
      <c r="G343" t="str">
        <f>IF(COUNTIF(HolidayDates,A343)&gt;0,"Yes","No")</f>
        <v>No</v>
      </c>
      <c r="H343" t="str">
        <f>IF(COUNTIF(SpecialDates,A343)&gt;0,"Yes","No")</f>
        <v>No</v>
      </c>
      <c r="I343">
        <f>IF(B343="2015 Jan-Jun",C343,"")</f>
        <v>76899.0</v>
      </c>
      <c r="J343" s="34">
        <f>IF(COUNTIFS(tblDaily[Period],B343,tblDaily[Date],"&lt;="&amp;A343,tblDaily[Date],"&gt;"&amp;(A343-7))=7,AVERAGEIFS(tblDaily[Trips],tblDaily[Period],B343,tblDaily[Date],"&lt;="&amp;A343,tblDaily[Date],"&gt;"&amp;(A343-7)),"")</f>
        <v>92755.85714285714</v>
      </c>
    </row>
    <row r="344" spans="1:10">
      <c r="A344" s="32">
        <v>42164</v>
      </c>
      <c r="B344" t="s">
        <v>304</v>
      </c>
      <c r="C344">
        <f>SUMIFS(tblHourly[Trips],tblHourly[Date],A344)</f>
        <v>82463</v>
      </c>
      <c r="D344" t="str">
        <f>CHOOSE(WEEKDAY(A344,2),"Mon","Tue","Wed","Thu","Fri","Sat","Sun")</f>
        <v>Tue</v>
      </c>
      <c r="E344" t="str">
        <f>IF(WEEKDAY(A344,2)&gt;5,"Weekend","Weekday")</f>
        <v>Weekday</v>
      </c>
      <c r="F344" s="33">
        <f>DATE(YEAR(A344),MONTH(A344),1)</f>
        <v>42156.0</v>
      </c>
      <c r="G344" t="str">
        <f>IF(COUNTIF(HolidayDates,A344)&gt;0,"Yes","No")</f>
        <v>No</v>
      </c>
      <c r="H344" t="str">
        <f>IF(COUNTIF(SpecialDates,A344)&gt;0,"Yes","No")</f>
        <v>No</v>
      </c>
      <c r="I344">
        <f>IF(B344="2015 Jan-Jun",C344,"")</f>
        <v>82463.0</v>
      </c>
      <c r="J344" s="34">
        <f>IF(COUNTIFS(tblDaily[Period],B344,tblDaily[Date],"&lt;="&amp;A344,tblDaily[Date],"&gt;"&amp;(A344-7))=7,AVERAGEIFS(tblDaily[Trips],tblDaily[Period],B344,tblDaily[Date],"&lt;="&amp;A344,tblDaily[Date],"&gt;"&amp;(A344-7)),"")</f>
        <v>90594.57142857143</v>
      </c>
    </row>
    <row r="345" spans="1:10">
      <c r="A345" s="32">
        <v>42165</v>
      </c>
      <c r="B345" t="s">
        <v>304</v>
      </c>
      <c r="C345">
        <f>SUMIFS(tblHourly[Trips],tblHourly[Date],A345)</f>
        <v>87403</v>
      </c>
      <c r="D345" t="str">
        <f>CHOOSE(WEEKDAY(A345,2),"Mon","Tue","Wed","Thu","Fri","Sat","Sun")</f>
        <v>Wed</v>
      </c>
      <c r="E345" t="str">
        <f>IF(WEEKDAY(A345,2)&gt;5,"Weekend","Weekday")</f>
        <v>Weekday</v>
      </c>
      <c r="F345" s="33">
        <f>DATE(YEAR(A345),MONTH(A345),1)</f>
        <v>42156.0</v>
      </c>
      <c r="G345" t="str">
        <f>IF(COUNTIF(HolidayDates,A345)&gt;0,"Yes","No")</f>
        <v>No</v>
      </c>
      <c r="H345" t="str">
        <f>IF(COUNTIF(SpecialDates,A345)&gt;0,"Yes","No")</f>
        <v>No</v>
      </c>
      <c r="I345">
        <f>IF(B345="2015 Jan-Jun",C345,"")</f>
        <v>87403.0</v>
      </c>
      <c r="J345" s="34">
        <f>IF(COUNTIFS(tblDaily[Period],B345,tblDaily[Date],"&lt;="&amp;A345,tblDaily[Date],"&gt;"&amp;(A345-7))=7,AVERAGEIFS(tblDaily[Trips],tblDaily[Period],B345,tblDaily[Date],"&lt;="&amp;A345,tblDaily[Date],"&gt;"&amp;(A345-7)),"")</f>
        <v>90622.71428571429</v>
      </c>
    </row>
    <row r="346" spans="1:10">
      <c r="A346" s="32">
        <v>42166</v>
      </c>
      <c r="B346" t="s">
        <v>304</v>
      </c>
      <c r="C346">
        <f>SUMIFS(tblHourly[Trips],tblHourly[Date],A346)</f>
        <v>102013</v>
      </c>
      <c r="D346" t="str">
        <f>CHOOSE(WEEKDAY(A346,2),"Mon","Tue","Wed","Thu","Fri","Sat","Sun")</f>
        <v>Thu</v>
      </c>
      <c r="E346" t="str">
        <f>IF(WEEKDAY(A346,2)&gt;5,"Weekend","Weekday")</f>
        <v>Weekday</v>
      </c>
      <c r="F346" s="33">
        <f>DATE(YEAR(A346),MONTH(A346),1)</f>
        <v>42156.0</v>
      </c>
      <c r="G346" t="str">
        <f>IF(COUNTIF(HolidayDates,A346)&gt;0,"Yes","No")</f>
        <v>No</v>
      </c>
      <c r="H346" t="str">
        <f>IF(COUNTIF(SpecialDates,A346)&gt;0,"Yes","No")</f>
        <v>No</v>
      </c>
      <c r="I346">
        <f>IF(B346="2015 Jan-Jun",C346,"")</f>
        <v>102013.0</v>
      </c>
      <c r="J346" s="34">
        <f>IF(COUNTIFS(tblDaily[Period],B346,tblDaily[Date],"&lt;="&amp;A346,tblDaily[Date],"&gt;"&amp;(A346-7))=7,AVERAGEIFS(tblDaily[Trips],tblDaily[Period],B346,tblDaily[Date],"&lt;="&amp;A346,tblDaily[Date],"&gt;"&amp;(A346-7)),"")</f>
        <v>91621.28571428571</v>
      </c>
    </row>
    <row r="347" spans="1:10">
      <c r="A347" s="32">
        <v>42167</v>
      </c>
      <c r="B347" t="s">
        <v>304</v>
      </c>
      <c r="C347">
        <f>SUMIFS(tblHourly[Trips],tblHourly[Date],A347)</f>
        <v>103052</v>
      </c>
      <c r="D347" t="str">
        <f>CHOOSE(WEEKDAY(A347,2),"Mon","Tue","Wed","Thu","Fri","Sat","Sun")</f>
        <v>Fri</v>
      </c>
      <c r="E347" t="str">
        <f>IF(WEEKDAY(A347,2)&gt;5,"Weekend","Weekday")</f>
        <v>Weekday</v>
      </c>
      <c r="F347" s="33">
        <f>DATE(YEAR(A347),MONTH(A347),1)</f>
        <v>42156.0</v>
      </c>
      <c r="G347" t="str">
        <f>IF(COUNTIF(HolidayDates,A347)&gt;0,"Yes","No")</f>
        <v>No</v>
      </c>
      <c r="H347" t="str">
        <f>IF(COUNTIF(SpecialDates,A347)&gt;0,"Yes","No")</f>
        <v>No</v>
      </c>
      <c r="I347">
        <f>IF(B347="2015 Jan-Jun",C347,"")</f>
        <v>103052.0</v>
      </c>
      <c r="J347" s="34">
        <f>IF(COUNTIFS(tblDaily[Period],B347,tblDaily[Date],"&lt;="&amp;A347,tblDaily[Date],"&gt;"&amp;(A347-7))=7,AVERAGEIFS(tblDaily[Trips],tblDaily[Period],B347,tblDaily[Date],"&lt;="&amp;A347,tblDaily[Date],"&gt;"&amp;(A347-7)),"")</f>
        <v>91782.71428571429</v>
      </c>
    </row>
    <row r="348" spans="1:10">
      <c r="A348" s="32">
        <v>42168</v>
      </c>
      <c r="B348" t="s">
        <v>304</v>
      </c>
      <c r="C348">
        <f>SUMIFS(tblHourly[Trips],tblHourly[Date],A348)</f>
        <v>101170</v>
      </c>
      <c r="D348" t="str">
        <f>CHOOSE(WEEKDAY(A348,2),"Mon","Tue","Wed","Thu","Fri","Sat","Sun")</f>
        <v>Sat</v>
      </c>
      <c r="E348" t="str">
        <f>IF(WEEKDAY(A348,2)&gt;5,"Weekend","Weekday")</f>
        <v>Weekend</v>
      </c>
      <c r="F348" s="33">
        <f>DATE(YEAR(A348),MONTH(A348),1)</f>
        <v>42156.0</v>
      </c>
      <c r="G348" t="str">
        <f>IF(COUNTIF(HolidayDates,A348)&gt;0,"Yes","No")</f>
        <v>No</v>
      </c>
      <c r="H348" t="str">
        <f>IF(COUNTIF(SpecialDates,A348)&gt;0,"Yes","No")</f>
        <v>No</v>
      </c>
      <c r="I348">
        <f>IF(B348="2015 Jan-Jun",C348,"")</f>
        <v>101170.0</v>
      </c>
      <c r="J348" s="34">
        <f>IF(COUNTIFS(tblDaily[Period],B348,tblDaily[Date],"&lt;="&amp;A348,tblDaily[Date],"&gt;"&amp;(A348-7))=7,AVERAGEIFS(tblDaily[Trips],tblDaily[Period],B348,tblDaily[Date],"&lt;="&amp;A348,tblDaily[Date],"&gt;"&amp;(A348-7)),"")</f>
        <v>91696.57142857143</v>
      </c>
    </row>
    <row r="349" spans="1:10">
      <c r="A349" s="32">
        <v>42169</v>
      </c>
      <c r="B349" t="s">
        <v>304</v>
      </c>
      <c r="C349">
        <f>SUMIFS(tblHourly[Trips],tblHourly[Date],A349)</f>
        <v>90856</v>
      </c>
      <c r="D349" t="str">
        <f>CHOOSE(WEEKDAY(A349,2),"Mon","Tue","Wed","Thu","Fri","Sat","Sun")</f>
        <v>Sun</v>
      </c>
      <c r="E349" t="str">
        <f>IF(WEEKDAY(A349,2)&gt;5,"Weekend","Weekday")</f>
        <v>Weekend</v>
      </c>
      <c r="F349" s="33">
        <f>DATE(YEAR(A349),MONTH(A349),1)</f>
        <v>42156.0</v>
      </c>
      <c r="G349" t="str">
        <f>IF(COUNTIF(HolidayDates,A349)&gt;0,"Yes","No")</f>
        <v>No</v>
      </c>
      <c r="H349" t="str">
        <f>IF(COUNTIF(SpecialDates,A349)&gt;0,"Yes","No")</f>
        <v>No</v>
      </c>
      <c r="I349">
        <f>IF(B349="2015 Jan-Jun",C349,"")</f>
        <v>90856.0</v>
      </c>
      <c r="J349" s="34">
        <f>IF(COUNTIFS(tblDaily[Period],B349,tblDaily[Date],"&lt;="&amp;A349,tblDaily[Date],"&gt;"&amp;(A349-7))=7,AVERAGEIFS(tblDaily[Trips],tblDaily[Period],B349,tblDaily[Date],"&lt;="&amp;A349,tblDaily[Date],"&gt;"&amp;(A349-7)),"")</f>
        <v>91979.42857142857</v>
      </c>
    </row>
    <row r="350" spans="1:10">
      <c r="A350" s="32">
        <v>42170</v>
      </c>
      <c r="B350" t="s">
        <v>304</v>
      </c>
      <c r="C350">
        <f>SUMIFS(tblHourly[Trips],tblHourly[Date],A350)</f>
        <v>85857</v>
      </c>
      <c r="D350" t="str">
        <f>CHOOSE(WEEKDAY(A350,2),"Mon","Tue","Wed","Thu","Fri","Sat","Sun")</f>
        <v>Mon</v>
      </c>
      <c r="E350" t="str">
        <f>IF(WEEKDAY(A350,2)&gt;5,"Weekend","Weekday")</f>
        <v>Weekday</v>
      </c>
      <c r="F350" s="33">
        <f>DATE(YEAR(A350),MONTH(A350),1)</f>
        <v>42156.0</v>
      </c>
      <c r="G350" t="str">
        <f>IF(COUNTIF(HolidayDates,A350)&gt;0,"Yes","No")</f>
        <v>No</v>
      </c>
      <c r="H350" t="str">
        <f>IF(COUNTIF(SpecialDates,A350)&gt;0,"Yes","No")</f>
        <v>No</v>
      </c>
      <c r="I350">
        <f>IF(B350="2015 Jan-Jun",C350,"")</f>
        <v>85857.0</v>
      </c>
      <c r="J350" s="34">
        <f>IF(COUNTIFS(tblDaily[Period],B350,tblDaily[Date],"&lt;="&amp;A350,tblDaily[Date],"&gt;"&amp;(A350-7))=7,AVERAGEIFS(tblDaily[Trips],tblDaily[Period],B350,tblDaily[Date],"&lt;="&amp;A350,tblDaily[Date],"&gt;"&amp;(A350-7)),"")</f>
        <v>93259.14285714286</v>
      </c>
    </row>
    <row r="351" spans="1:10">
      <c r="A351" s="32">
        <v>42171</v>
      </c>
      <c r="B351" t="s">
        <v>304</v>
      </c>
      <c r="C351">
        <f>SUMIFS(tblHourly[Trips],tblHourly[Date],A351)</f>
        <v>89171</v>
      </c>
      <c r="D351" t="str">
        <f>CHOOSE(WEEKDAY(A351,2),"Mon","Tue","Wed","Thu","Fri","Sat","Sun")</f>
        <v>Tue</v>
      </c>
      <c r="E351" t="str">
        <f>IF(WEEKDAY(A351,2)&gt;5,"Weekend","Weekday")</f>
        <v>Weekday</v>
      </c>
      <c r="F351" s="33">
        <f>DATE(YEAR(A351),MONTH(A351),1)</f>
        <v>42156.0</v>
      </c>
      <c r="G351" t="str">
        <f>IF(COUNTIF(HolidayDates,A351)&gt;0,"Yes","No")</f>
        <v>No</v>
      </c>
      <c r="H351" t="str">
        <f>IF(COUNTIF(SpecialDates,A351)&gt;0,"Yes","No")</f>
        <v>No</v>
      </c>
      <c r="I351">
        <f>IF(B351="2015 Jan-Jun",C351,"")</f>
        <v>89171.0</v>
      </c>
      <c r="J351" s="34">
        <f>IF(COUNTIFS(tblDaily[Period],B351,tblDaily[Date],"&lt;="&amp;A351,tblDaily[Date],"&gt;"&amp;(A351-7))=7,AVERAGEIFS(tblDaily[Trips],tblDaily[Period],B351,tblDaily[Date],"&lt;="&amp;A351,tblDaily[Date],"&gt;"&amp;(A351-7)),"")</f>
        <v>94217.42857142857</v>
      </c>
    </row>
    <row r="352" spans="1:10">
      <c r="A352" s="32">
        <v>42172</v>
      </c>
      <c r="B352" t="s">
        <v>304</v>
      </c>
      <c r="C352">
        <f>SUMIFS(tblHourly[Trips],tblHourly[Date],A352)</f>
        <v>93706</v>
      </c>
      <c r="D352" t="str">
        <f>CHOOSE(WEEKDAY(A352,2),"Mon","Tue","Wed","Thu","Fri","Sat","Sun")</f>
        <v>Wed</v>
      </c>
      <c r="E352" t="str">
        <f>IF(WEEKDAY(A352,2)&gt;5,"Weekend","Weekday")</f>
        <v>Weekday</v>
      </c>
      <c r="F352" s="33">
        <f>DATE(YEAR(A352),MONTH(A352),1)</f>
        <v>42156.0</v>
      </c>
      <c r="G352" t="str">
        <f>IF(COUNTIF(HolidayDates,A352)&gt;0,"Yes","No")</f>
        <v>No</v>
      </c>
      <c r="H352" t="str">
        <f>IF(COUNTIF(SpecialDates,A352)&gt;0,"Yes","No")</f>
        <v>No</v>
      </c>
      <c r="I352">
        <f>IF(B352="2015 Jan-Jun",C352,"")</f>
        <v>93706.0</v>
      </c>
      <c r="J352" s="34">
        <f>IF(COUNTIFS(tblDaily[Period],B352,tblDaily[Date],"&lt;="&amp;A352,tblDaily[Date],"&gt;"&amp;(A352-7))=7,AVERAGEIFS(tblDaily[Trips],tblDaily[Period],B352,tblDaily[Date],"&lt;="&amp;A352,tblDaily[Date],"&gt;"&amp;(A352-7)),"")</f>
        <v>95117.85714285714</v>
      </c>
    </row>
    <row r="353" spans="1:10">
      <c r="A353" s="32">
        <v>42173</v>
      </c>
      <c r="B353" t="s">
        <v>304</v>
      </c>
      <c r="C353">
        <f>SUMIFS(tblHourly[Trips],tblHourly[Date],A353)</f>
        <v>99842</v>
      </c>
      <c r="D353" t="str">
        <f>CHOOSE(WEEKDAY(A353,2),"Mon","Tue","Wed","Thu","Fri","Sat","Sun")</f>
        <v>Thu</v>
      </c>
      <c r="E353" t="str">
        <f>IF(WEEKDAY(A353,2)&gt;5,"Weekend","Weekday")</f>
        <v>Weekday</v>
      </c>
      <c r="F353" s="33">
        <f>DATE(YEAR(A353),MONTH(A353),1)</f>
        <v>42156.0</v>
      </c>
      <c r="G353" t="str">
        <f>IF(COUNTIF(HolidayDates,A353)&gt;0,"Yes","No")</f>
        <v>No</v>
      </c>
      <c r="H353" t="str">
        <f>IF(COUNTIF(SpecialDates,A353)&gt;0,"Yes","No")</f>
        <v>No</v>
      </c>
      <c r="I353">
        <f>IF(B353="2015 Jan-Jun",C353,"")</f>
        <v>99842.0</v>
      </c>
      <c r="J353" s="34">
        <f>IF(COUNTIFS(tblDaily[Period],B353,tblDaily[Date],"&lt;="&amp;A353,tblDaily[Date],"&gt;"&amp;(A353-7))=7,AVERAGEIFS(tblDaily[Trips],tblDaily[Period],B353,tblDaily[Date],"&lt;="&amp;A353,tblDaily[Date],"&gt;"&amp;(A353-7)),"")</f>
        <v>94807.71428571429</v>
      </c>
    </row>
    <row r="354" spans="1:10">
      <c r="A354" s="32">
        <v>42174</v>
      </c>
      <c r="B354" t="s">
        <v>304</v>
      </c>
      <c r="C354">
        <f>SUMIFS(tblHourly[Trips],tblHourly[Date],A354)</f>
        <v>101703</v>
      </c>
      <c r="D354" t="str">
        <f>CHOOSE(WEEKDAY(A354,2),"Mon","Tue","Wed","Thu","Fri","Sat","Sun")</f>
        <v>Fri</v>
      </c>
      <c r="E354" t="str">
        <f>IF(WEEKDAY(A354,2)&gt;5,"Weekend","Weekday")</f>
        <v>Weekday</v>
      </c>
      <c r="F354" s="33">
        <f>DATE(YEAR(A354),MONTH(A354),1)</f>
        <v>42156.0</v>
      </c>
      <c r="G354" t="str">
        <f>IF(COUNTIF(HolidayDates,A354)&gt;0,"Yes","No")</f>
        <v>No</v>
      </c>
      <c r="H354" t="str">
        <f>IF(COUNTIF(SpecialDates,A354)&gt;0,"Yes","No")</f>
        <v>No</v>
      </c>
      <c r="I354">
        <f>IF(B354="2015 Jan-Jun",C354,"")</f>
        <v>101703.0</v>
      </c>
      <c r="J354" s="34">
        <f>IF(COUNTIFS(tblDaily[Period],B354,tblDaily[Date],"&lt;="&amp;A354,tblDaily[Date],"&gt;"&amp;(A354-7))=7,AVERAGEIFS(tblDaily[Trips],tblDaily[Period],B354,tblDaily[Date],"&lt;="&amp;A354,tblDaily[Date],"&gt;"&amp;(A354-7)),"")</f>
        <v>94615.0</v>
      </c>
    </row>
    <row r="355" spans="1:10">
      <c r="A355" s="32">
        <v>42175</v>
      </c>
      <c r="B355" t="s">
        <v>304</v>
      </c>
      <c r="C355">
        <f>SUMIFS(tblHourly[Trips],tblHourly[Date],A355)</f>
        <v>101667</v>
      </c>
      <c r="D355" t="str">
        <f>CHOOSE(WEEKDAY(A355,2),"Mon","Tue","Wed","Thu","Fri","Sat","Sun")</f>
        <v>Sat</v>
      </c>
      <c r="E355" t="str">
        <f>IF(WEEKDAY(A355,2)&gt;5,"Weekend","Weekday")</f>
        <v>Weekend</v>
      </c>
      <c r="F355" s="33">
        <f>DATE(YEAR(A355),MONTH(A355),1)</f>
        <v>42156.0</v>
      </c>
      <c r="G355" t="str">
        <f>IF(COUNTIF(HolidayDates,A355)&gt;0,"Yes","No")</f>
        <v>No</v>
      </c>
      <c r="H355" t="str">
        <f>IF(COUNTIF(SpecialDates,A355)&gt;0,"Yes","No")</f>
        <v>No</v>
      </c>
      <c r="I355">
        <f>IF(B355="2015 Jan-Jun",C355,"")</f>
        <v>101667.0</v>
      </c>
      <c r="J355" s="34">
        <f>IF(COUNTIFS(tblDaily[Period],B355,tblDaily[Date],"&lt;="&amp;A355,tblDaily[Date],"&gt;"&amp;(A355-7))=7,AVERAGEIFS(tblDaily[Trips],tblDaily[Period],B355,tblDaily[Date],"&lt;="&amp;A355,tblDaily[Date],"&gt;"&amp;(A355-7)),"")</f>
        <v>94686.0</v>
      </c>
    </row>
    <row r="356" spans="1:10">
      <c r="A356" s="32">
        <v>42176</v>
      </c>
      <c r="B356" t="s">
        <v>304</v>
      </c>
      <c r="C356">
        <f>SUMIFS(tblHourly[Trips],tblHourly[Date],A356)</f>
        <v>89285</v>
      </c>
      <c r="D356" t="str">
        <f>CHOOSE(WEEKDAY(A356,2),"Mon","Tue","Wed","Thu","Fri","Sat","Sun")</f>
        <v>Sun</v>
      </c>
      <c r="E356" t="str">
        <f>IF(WEEKDAY(A356,2)&gt;5,"Weekend","Weekday")</f>
        <v>Weekend</v>
      </c>
      <c r="F356" s="33">
        <f>DATE(YEAR(A356),MONTH(A356),1)</f>
        <v>42156.0</v>
      </c>
      <c r="G356" t="str">
        <f>IF(COUNTIF(HolidayDates,A356)&gt;0,"Yes","No")</f>
        <v>No</v>
      </c>
      <c r="H356" t="str">
        <f>IF(COUNTIF(SpecialDates,A356)&gt;0,"Yes","No")</f>
        <v>No</v>
      </c>
      <c r="I356">
        <f>IF(B356="2015 Jan-Jun",C356,"")</f>
        <v>89285.0</v>
      </c>
      <c r="J356" s="34">
        <f>IF(COUNTIFS(tblDaily[Period],B356,tblDaily[Date],"&lt;="&amp;A356,tblDaily[Date],"&gt;"&amp;(A356-7))=7,AVERAGEIFS(tblDaily[Trips],tblDaily[Period],B356,tblDaily[Date],"&lt;="&amp;A356,tblDaily[Date],"&gt;"&amp;(A356-7)),"")</f>
        <v>94461.57142857143</v>
      </c>
    </row>
    <row r="357" spans="1:10">
      <c r="A357" s="32">
        <v>42177</v>
      </c>
      <c r="B357" t="s">
        <v>304</v>
      </c>
      <c r="C357">
        <f>SUMIFS(tblHourly[Trips],tblHourly[Date],A357)</f>
        <v>75418</v>
      </c>
      <c r="D357" t="str">
        <f>CHOOSE(WEEKDAY(A357,2),"Mon","Tue","Wed","Thu","Fri","Sat","Sun")</f>
        <v>Mon</v>
      </c>
      <c r="E357" t="str">
        <f>IF(WEEKDAY(A357,2)&gt;5,"Weekend","Weekday")</f>
        <v>Weekday</v>
      </c>
      <c r="F357" s="33">
        <f>DATE(YEAR(A357),MONTH(A357),1)</f>
        <v>42156.0</v>
      </c>
      <c r="G357" t="str">
        <f>IF(COUNTIF(HolidayDates,A357)&gt;0,"Yes","No")</f>
        <v>No</v>
      </c>
      <c r="H357" t="str">
        <f>IF(COUNTIF(SpecialDates,A357)&gt;0,"Yes","No")</f>
        <v>No</v>
      </c>
      <c r="I357">
        <f>IF(B357="2015 Jan-Jun",C357,"")</f>
        <v>75418.0</v>
      </c>
      <c r="J357" s="34">
        <f>IF(COUNTIFS(tblDaily[Period],B357,tblDaily[Date],"&lt;="&amp;A357,tblDaily[Date],"&gt;"&amp;(A357-7))=7,AVERAGEIFS(tblDaily[Trips],tblDaily[Period],B357,tblDaily[Date],"&lt;="&amp;A357,tblDaily[Date],"&gt;"&amp;(A357-7)),"")</f>
        <v>92970.28571428571</v>
      </c>
    </row>
    <row r="358" spans="1:10">
      <c r="A358" s="32">
        <v>42178</v>
      </c>
      <c r="B358" t="s">
        <v>304</v>
      </c>
      <c r="C358">
        <f>SUMIFS(tblHourly[Trips],tblHourly[Date],A358)</f>
        <v>93172</v>
      </c>
      <c r="D358" t="str">
        <f>CHOOSE(WEEKDAY(A358,2),"Mon","Tue","Wed","Thu","Fri","Sat","Sun")</f>
        <v>Tue</v>
      </c>
      <c r="E358" t="str">
        <f>IF(WEEKDAY(A358,2)&gt;5,"Weekend","Weekday")</f>
        <v>Weekday</v>
      </c>
      <c r="F358" s="33">
        <f>DATE(YEAR(A358),MONTH(A358),1)</f>
        <v>42156.0</v>
      </c>
      <c r="G358" t="str">
        <f>IF(COUNTIF(HolidayDates,A358)&gt;0,"Yes","No")</f>
        <v>No</v>
      </c>
      <c r="H358" t="str">
        <f>IF(COUNTIF(SpecialDates,A358)&gt;0,"Yes","No")</f>
        <v>No</v>
      </c>
      <c r="I358">
        <f>IF(B358="2015 Jan-Jun",C358,"")</f>
        <v>93172.0</v>
      </c>
      <c r="J358" s="34">
        <f>IF(COUNTIFS(tblDaily[Period],B358,tblDaily[Date],"&lt;="&amp;A358,tblDaily[Date],"&gt;"&amp;(A358-7))=7,AVERAGEIFS(tblDaily[Trips],tblDaily[Period],B358,tblDaily[Date],"&lt;="&amp;A358,tblDaily[Date],"&gt;"&amp;(A358-7)),"")</f>
        <v>93541.85714285714</v>
      </c>
    </row>
    <row r="359" spans="1:10">
      <c r="A359" s="32">
        <v>42179</v>
      </c>
      <c r="B359" t="s">
        <v>304</v>
      </c>
      <c r="C359">
        <f>SUMIFS(tblHourly[Trips],tblHourly[Date],A359)</f>
        <v>91388</v>
      </c>
      <c r="D359" t="str">
        <f>CHOOSE(WEEKDAY(A359,2),"Mon","Tue","Wed","Thu","Fri","Sat","Sun")</f>
        <v>Wed</v>
      </c>
      <c r="E359" t="str">
        <f>IF(WEEKDAY(A359,2)&gt;5,"Weekend","Weekday")</f>
        <v>Weekday</v>
      </c>
      <c r="F359" s="33">
        <f>DATE(YEAR(A359),MONTH(A359),1)</f>
        <v>42156.0</v>
      </c>
      <c r="G359" t="str">
        <f>IF(COUNTIF(HolidayDates,A359)&gt;0,"Yes","No")</f>
        <v>No</v>
      </c>
      <c r="H359" t="str">
        <f>IF(COUNTIF(SpecialDates,A359)&gt;0,"Yes","No")</f>
        <v>No</v>
      </c>
      <c r="I359">
        <f>IF(B359="2015 Jan-Jun",C359,"")</f>
        <v>91388.0</v>
      </c>
      <c r="J359" s="34">
        <f>IF(COUNTIFS(tblDaily[Period],B359,tblDaily[Date],"&lt;="&amp;A359,tblDaily[Date],"&gt;"&amp;(A359-7))=7,AVERAGEIFS(tblDaily[Trips],tblDaily[Period],B359,tblDaily[Date],"&lt;="&amp;A359,tblDaily[Date],"&gt;"&amp;(A359-7)),"")</f>
        <v>93210.71428571429</v>
      </c>
    </row>
    <row r="360" spans="1:10">
      <c r="A360" s="32">
        <v>42180</v>
      </c>
      <c r="B360" t="s">
        <v>304</v>
      </c>
      <c r="C360">
        <f>SUMIFS(tblHourly[Trips],tblHourly[Date],A360)</f>
        <v>100073</v>
      </c>
      <c r="D360" t="str">
        <f>CHOOSE(WEEKDAY(A360,2),"Mon","Tue","Wed","Thu","Fri","Sat","Sun")</f>
        <v>Thu</v>
      </c>
      <c r="E360" t="str">
        <f>IF(WEEKDAY(A360,2)&gt;5,"Weekend","Weekday")</f>
        <v>Weekday</v>
      </c>
      <c r="F360" s="33">
        <f>DATE(YEAR(A360),MONTH(A360),1)</f>
        <v>42156.0</v>
      </c>
      <c r="G360" t="str">
        <f>IF(COUNTIF(HolidayDates,A360)&gt;0,"Yes","No")</f>
        <v>No</v>
      </c>
      <c r="H360" t="str">
        <f>IF(COUNTIF(SpecialDates,A360)&gt;0,"Yes","No")</f>
        <v>No</v>
      </c>
      <c r="I360">
        <f>IF(B360="2015 Jan-Jun",C360,"")</f>
        <v>100073.0</v>
      </c>
      <c r="J360" s="34">
        <f>IF(COUNTIFS(tblDaily[Period],B360,tblDaily[Date],"&lt;="&amp;A360,tblDaily[Date],"&gt;"&amp;(A360-7))=7,AVERAGEIFS(tblDaily[Trips],tblDaily[Period],B360,tblDaily[Date],"&lt;="&amp;A360,tblDaily[Date],"&gt;"&amp;(A360-7)),"")</f>
        <v>93243.71428571429</v>
      </c>
    </row>
    <row r="361" spans="1:10">
      <c r="A361" s="32">
        <v>42181</v>
      </c>
      <c r="B361" t="s">
        <v>304</v>
      </c>
      <c r="C361">
        <f>SUMIFS(tblHourly[Trips],tblHourly[Date],A361)</f>
        <v>99508</v>
      </c>
      <c r="D361" t="str">
        <f>CHOOSE(WEEKDAY(A361,2),"Mon","Tue","Wed","Thu","Fri","Sat","Sun")</f>
        <v>Fri</v>
      </c>
      <c r="E361" t="str">
        <f>IF(WEEKDAY(A361,2)&gt;5,"Weekend","Weekday")</f>
        <v>Weekday</v>
      </c>
      <c r="F361" s="33">
        <f>DATE(YEAR(A361),MONTH(A361),1)</f>
        <v>42156.0</v>
      </c>
      <c r="G361" t="str">
        <f>IF(COUNTIF(HolidayDates,A361)&gt;0,"Yes","No")</f>
        <v>No</v>
      </c>
      <c r="H361" t="str">
        <f>IF(COUNTIF(SpecialDates,A361)&gt;0,"Yes","No")</f>
        <v>No</v>
      </c>
      <c r="I361">
        <f>IF(B361="2015 Jan-Jun",C361,"")</f>
        <v>99508.0</v>
      </c>
      <c r="J361" s="34">
        <f>IF(COUNTIFS(tblDaily[Period],B361,tblDaily[Date],"&lt;="&amp;A361,tblDaily[Date],"&gt;"&amp;(A361-7))=7,AVERAGEIFS(tblDaily[Trips],tblDaily[Period],B361,tblDaily[Date],"&lt;="&amp;A361,tblDaily[Date],"&gt;"&amp;(A361-7)),"")</f>
        <v>92930.14285714286</v>
      </c>
    </row>
    <row r="362" spans="1:10">
      <c r="A362" s="32">
        <v>42182</v>
      </c>
      <c r="B362" t="s">
        <v>304</v>
      </c>
      <c r="C362">
        <f>SUMIFS(tblHourly[Trips],tblHourly[Date],A362)</f>
        <v>136193</v>
      </c>
      <c r="D362" t="str">
        <f>CHOOSE(WEEKDAY(A362,2),"Mon","Tue","Wed","Thu","Fri","Sat","Sun")</f>
        <v>Sat</v>
      </c>
      <c r="E362" t="str">
        <f>IF(WEEKDAY(A362,2)&gt;5,"Weekend","Weekday")</f>
        <v>Weekend</v>
      </c>
      <c r="F362" s="33">
        <f>DATE(YEAR(A362),MONTH(A362),1)</f>
        <v>42156.0</v>
      </c>
      <c r="G362" t="str">
        <f>IF(COUNTIF(HolidayDates,A362)&gt;0,"Yes","No")</f>
        <v>No</v>
      </c>
      <c r="H362" t="str">
        <f>IF(COUNTIF(SpecialDates,A362)&gt;0,"Yes","No")</f>
        <v>No</v>
      </c>
      <c r="I362">
        <f>IF(B362="2015 Jan-Jun",C362,"")</f>
        <v>136193.0</v>
      </c>
      <c r="J362" s="34">
        <f>IF(COUNTIFS(tblDaily[Period],B362,tblDaily[Date],"&lt;="&amp;A362,tblDaily[Date],"&gt;"&amp;(A362-7))=7,AVERAGEIFS(tblDaily[Trips],tblDaily[Period],B362,tblDaily[Date],"&lt;="&amp;A362,tblDaily[Date],"&gt;"&amp;(A362-7)),"")</f>
        <v>97862.42857142857</v>
      </c>
    </row>
    <row r="363" spans="1:10">
      <c r="A363" s="32">
        <v>42183</v>
      </c>
      <c r="B363" t="s">
        <v>304</v>
      </c>
      <c r="C363">
        <f>SUMIFS(tblHourly[Trips],tblHourly[Date],A363)</f>
        <v>93108</v>
      </c>
      <c r="D363" t="str">
        <f>CHOOSE(WEEKDAY(A363,2),"Mon","Tue","Wed","Thu","Fri","Sat","Sun")</f>
        <v>Sun</v>
      </c>
      <c r="E363" t="str">
        <f>IF(WEEKDAY(A363,2)&gt;5,"Weekend","Weekday")</f>
        <v>Weekend</v>
      </c>
      <c r="F363" s="33">
        <f>DATE(YEAR(A363),MONTH(A363),1)</f>
        <v>42156.0</v>
      </c>
      <c r="G363" t="str">
        <f>IF(COUNTIF(HolidayDates,A363)&gt;0,"Yes","No")</f>
        <v>No</v>
      </c>
      <c r="H363" t="str">
        <f>IF(COUNTIF(SpecialDates,A363)&gt;0,"Yes","No")</f>
        <v>No</v>
      </c>
      <c r="I363">
        <f>IF(B363="2015 Jan-Jun",C363,"")</f>
        <v>93108.0</v>
      </c>
      <c r="J363" s="34">
        <f>IF(COUNTIFS(tblDaily[Period],B363,tblDaily[Date],"&lt;="&amp;A363,tblDaily[Date],"&gt;"&amp;(A363-7))=7,AVERAGEIFS(tblDaily[Trips],tblDaily[Period],B363,tblDaily[Date],"&lt;="&amp;A363,tblDaily[Date],"&gt;"&amp;(A363-7)),"")</f>
        <v>98408.57142857143</v>
      </c>
    </row>
    <row r="364" spans="1:10">
      <c r="A364" s="32">
        <v>42184</v>
      </c>
      <c r="B364" t="s">
        <v>304</v>
      </c>
      <c r="C364">
        <f>SUMIFS(tblHourly[Trips],tblHourly[Date],A364)</f>
        <v>74430</v>
      </c>
      <c r="D364" t="str">
        <f>CHOOSE(WEEKDAY(A364,2),"Mon","Tue","Wed","Thu","Fri","Sat","Sun")</f>
        <v>Mon</v>
      </c>
      <c r="E364" t="str">
        <f>IF(WEEKDAY(A364,2)&gt;5,"Weekend","Weekday")</f>
        <v>Weekday</v>
      </c>
      <c r="F364" s="33">
        <f>DATE(YEAR(A364),MONTH(A364),1)</f>
        <v>42156.0</v>
      </c>
      <c r="G364" t="str">
        <f>IF(COUNTIF(HolidayDates,A364)&gt;0,"Yes","No")</f>
        <v>No</v>
      </c>
      <c r="H364" t="str">
        <f>IF(COUNTIF(SpecialDates,A364)&gt;0,"Yes","No")</f>
        <v>No</v>
      </c>
      <c r="I364">
        <f>IF(B364="2015 Jan-Jun",C364,"")</f>
        <v>74430.0</v>
      </c>
      <c r="J364" s="34">
        <f>IF(COUNTIFS(tblDaily[Period],B364,tblDaily[Date],"&lt;="&amp;A364,tblDaily[Date],"&gt;"&amp;(A364-7))=7,AVERAGEIFS(tblDaily[Trips],tblDaily[Period],B364,tblDaily[Date],"&lt;="&amp;A364,tblDaily[Date],"&gt;"&amp;(A364-7)),"")</f>
        <v>98267.42857142857</v>
      </c>
    </row>
    <row r="365" spans="1:10">
      <c r="A365" s="32">
        <v>42185</v>
      </c>
      <c r="B365" t="s">
        <v>304</v>
      </c>
      <c r="C365">
        <f>SUMIFS(tblHourly[Trips],tblHourly[Date],A365)</f>
        <v>82627</v>
      </c>
      <c r="D365" t="str">
        <f>CHOOSE(WEEKDAY(A365,2),"Mon","Tue","Wed","Thu","Fri","Sat","Sun")</f>
        <v>Tue</v>
      </c>
      <c r="E365" t="str">
        <f>IF(WEEKDAY(A365,2)&gt;5,"Weekend","Weekday")</f>
        <v>Weekday</v>
      </c>
      <c r="F365" s="33">
        <f>DATE(YEAR(A365),MONTH(A365),1)</f>
        <v>42156.0</v>
      </c>
      <c r="G365" t="str">
        <f>IF(COUNTIF(HolidayDates,A365)&gt;0,"Yes","No")</f>
        <v>No</v>
      </c>
      <c r="H365" t="str">
        <f>IF(COUNTIF(SpecialDates,A365)&gt;0,"Yes","No")</f>
        <v>No</v>
      </c>
      <c r="I365">
        <f>IF(B365="2015 Jan-Jun",C365,"")</f>
        <v>82627.0</v>
      </c>
      <c r="J365" s="34">
        <f>IF(COUNTIFS(tblDaily[Period],B365,tblDaily[Date],"&lt;="&amp;A365,tblDaily[Date],"&gt;"&amp;(A365-7))=7,AVERAGEIFS(tblDaily[Trips],tblDaily[Period],B365,tblDaily[Date],"&lt;="&amp;A365,tblDaily[Date],"&gt;"&amp;(A365-7)),"")</f>
        <v>96761.0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dimension ref="A1:E2062"/>
  <sheetViews>
    <sheetView showGridLines="0" zoomScale="90" zoomScaleNormal="90" workbookViewId="0">
      <pane ySplit="1" topLeftCell="A2" activePane="bottomLeft" state="frozen"/>
      <selection pane="bottomLeft"/>
    </sheetView>
  </sheetViews>
  <sheetFormatPr defaultRowHeight="15"/>
  <cols>
    <col min="1" max="1" width="11.7109375" customWidth="1"/>
    <col min="2" max="2" width="10.7109375" customWidth="1"/>
    <col min="3" max="3" width="8.7109375" customWidth="1"/>
    <col min="4" max="4" width="12.7109375" customWidth="1"/>
    <col min="5" max="5" width="6.7109375" customWidth="1"/>
  </cols>
  <sheetData>
    <row r="1" spans="1:5">
      <c r="A1" t="s">
        <v>305</v>
      </c>
      <c r="B1" t="s">
        <v>16</v>
      </c>
      <c r="C1" t="s">
        <v>307</v>
      </c>
      <c r="D1" t="s">
        <v>17</v>
      </c>
      <c r="E1" t="s">
        <v>309</v>
      </c>
    </row>
    <row r="2" spans="1:5">
      <c r="A2" s="32">
        <v>41730</v>
      </c>
      <c r="B2" t="s">
        <v>0</v>
      </c>
      <c r="C2">
        <v>1011</v>
      </c>
      <c r="D2" t="str">
        <f>VLOOKUP(B2,BaseTable,2,FALSE)</f>
        <v>Unter</v>
      </c>
      <c r="E2">
        <f>YEAR(A2)</f>
        <v>2014</v>
      </c>
    </row>
    <row r="3" spans="1:5">
      <c r="A3" s="32">
        <v>41730</v>
      </c>
      <c r="B3" t="s">
        <v>1</v>
      </c>
      <c r="C3">
        <v>3738</v>
      </c>
      <c r="D3" t="str">
        <f>VLOOKUP(B3,BaseTable,2,FALSE)</f>
        <v>Hinter</v>
      </c>
      <c r="E3">
        <f>YEAR(A3)</f>
        <v>2014</v>
      </c>
    </row>
    <row r="4" spans="1:5">
      <c r="A4" s="32">
        <v>41730</v>
      </c>
      <c r="B4" t="s">
        <v>2</v>
      </c>
      <c r="C4">
        <v>3219</v>
      </c>
      <c r="D4" t="str">
        <f>VLOOKUP(B4,BaseTable,2,FALSE)</f>
        <v>Weiter</v>
      </c>
      <c r="E4">
        <f>YEAR(A4)</f>
        <v>2014</v>
      </c>
    </row>
    <row r="5" spans="1:5">
      <c r="A5" s="32">
        <v>41730</v>
      </c>
      <c r="B5" t="s">
        <v>3</v>
      </c>
      <c r="C5">
        <v>6255</v>
      </c>
      <c r="D5" t="str">
        <f>VLOOKUP(B5,BaseTable,2,FALSE)</f>
        <v>Schmecken</v>
      </c>
      <c r="E5">
        <f>YEAR(A5)</f>
        <v>2014</v>
      </c>
    </row>
    <row r="6" spans="1:5">
      <c r="A6" s="32">
        <v>41730</v>
      </c>
      <c r="B6" t="s">
        <v>4</v>
      </c>
      <c r="C6">
        <v>323</v>
      </c>
      <c r="D6" t="str">
        <f>VLOOKUP(B6,BaseTable,2,FALSE)</f>
        <v>Danach-NY</v>
      </c>
      <c r="E6">
        <f>YEAR(A6)</f>
        <v>2014</v>
      </c>
    </row>
    <row r="7" spans="1:5">
      <c r="A7" s="32">
        <v>41731</v>
      </c>
      <c r="B7" t="s">
        <v>0</v>
      </c>
      <c r="C7">
        <v>1336</v>
      </c>
      <c r="D7" t="str">
        <f>VLOOKUP(B7,BaseTable,2,FALSE)</f>
        <v>Unter</v>
      </c>
      <c r="E7">
        <f>YEAR(A7)</f>
        <v>2014</v>
      </c>
    </row>
    <row r="8" spans="1:5">
      <c r="A8" s="32">
        <v>41731</v>
      </c>
      <c r="B8" t="s">
        <v>1</v>
      </c>
      <c r="C8">
        <v>4526</v>
      </c>
      <c r="D8" t="str">
        <f>VLOOKUP(B8,BaseTable,2,FALSE)</f>
        <v>Hinter</v>
      </c>
      <c r="E8">
        <f>YEAR(A8)</f>
        <v>2014</v>
      </c>
    </row>
    <row r="9" spans="1:5">
      <c r="A9" s="32">
        <v>41731</v>
      </c>
      <c r="B9" t="s">
        <v>2</v>
      </c>
      <c r="C9">
        <v>3752</v>
      </c>
      <c r="D9" t="str">
        <f>VLOOKUP(B9,BaseTable,2,FALSE)</f>
        <v>Weiter</v>
      </c>
      <c r="E9">
        <f>YEAR(A9)</f>
        <v>2014</v>
      </c>
    </row>
    <row r="10" spans="1:5">
      <c r="A10" s="32">
        <v>41731</v>
      </c>
      <c r="B10" t="s">
        <v>3</v>
      </c>
      <c r="C10">
        <v>7515</v>
      </c>
      <c r="D10" t="str">
        <f>VLOOKUP(B10,BaseTable,2,FALSE)</f>
        <v>Schmecken</v>
      </c>
      <c r="E10">
        <f>YEAR(A10)</f>
        <v>2014</v>
      </c>
    </row>
    <row r="11" spans="1:5">
      <c r="A11" s="32">
        <v>41731</v>
      </c>
      <c r="B11" t="s">
        <v>4</v>
      </c>
      <c r="C11">
        <v>345</v>
      </c>
      <c r="D11" t="str">
        <f>VLOOKUP(B11,BaseTable,2,FALSE)</f>
        <v>Danach-NY</v>
      </c>
      <c r="E11">
        <f>YEAR(A11)</f>
        <v>2014</v>
      </c>
    </row>
    <row r="12" spans="1:5">
      <c r="A12" s="32">
        <v>41732</v>
      </c>
      <c r="B12" t="s">
        <v>0</v>
      </c>
      <c r="C12">
        <v>1482</v>
      </c>
      <c r="D12" t="str">
        <f>VLOOKUP(B12,BaseTable,2,FALSE)</f>
        <v>Unter</v>
      </c>
      <c r="E12">
        <f>YEAR(A12)</f>
        <v>2014</v>
      </c>
    </row>
    <row r="13" spans="1:5">
      <c r="A13" s="32">
        <v>41732</v>
      </c>
      <c r="B13" t="s">
        <v>1</v>
      </c>
      <c r="C13">
        <v>5499</v>
      </c>
      <c r="D13" t="str">
        <f>VLOOKUP(B13,BaseTable,2,FALSE)</f>
        <v>Hinter</v>
      </c>
      <c r="E13">
        <f>YEAR(A13)</f>
        <v>2014</v>
      </c>
    </row>
    <row r="14" spans="1:5">
      <c r="A14" s="32">
        <v>41732</v>
      </c>
      <c r="B14" t="s">
        <v>2</v>
      </c>
      <c r="C14">
        <v>4254</v>
      </c>
      <c r="D14" t="str">
        <f>VLOOKUP(B14,BaseTable,2,FALSE)</f>
        <v>Weiter</v>
      </c>
      <c r="E14">
        <f>YEAR(A14)</f>
        <v>2014</v>
      </c>
    </row>
    <row r="15" spans="1:5">
      <c r="A15" s="32">
        <v>41732</v>
      </c>
      <c r="B15" t="s">
        <v>3</v>
      </c>
      <c r="C15">
        <v>9061</v>
      </c>
      <c r="D15" t="str">
        <f>VLOOKUP(B15,BaseTable,2,FALSE)</f>
        <v>Schmecken</v>
      </c>
      <c r="E15">
        <f>YEAR(A15)</f>
        <v>2014</v>
      </c>
    </row>
    <row r="16" spans="1:5">
      <c r="A16" s="32">
        <v>41732</v>
      </c>
      <c r="B16" t="s">
        <v>4</v>
      </c>
      <c r="C16">
        <v>405</v>
      </c>
      <c r="D16" t="str">
        <f>VLOOKUP(B16,BaseTable,2,FALSE)</f>
        <v>Danach-NY</v>
      </c>
      <c r="E16">
        <f>YEAR(A16)</f>
        <v>2014</v>
      </c>
    </row>
    <row r="17" spans="1:5">
      <c r="A17" s="32">
        <v>41733</v>
      </c>
      <c r="B17" t="s">
        <v>0</v>
      </c>
      <c r="C17">
        <v>1827</v>
      </c>
      <c r="D17" t="str">
        <f>VLOOKUP(B17,BaseTable,2,FALSE)</f>
        <v>Unter</v>
      </c>
      <c r="E17">
        <f>YEAR(A17)</f>
        <v>2014</v>
      </c>
    </row>
    <row r="18" spans="1:5">
      <c r="A18" s="32">
        <v>41733</v>
      </c>
      <c r="B18" t="s">
        <v>1</v>
      </c>
      <c r="C18">
        <v>7151</v>
      </c>
      <c r="D18" t="str">
        <f>VLOOKUP(B18,BaseTable,2,FALSE)</f>
        <v>Hinter</v>
      </c>
      <c r="E18">
        <f>YEAR(A18)</f>
        <v>2014</v>
      </c>
    </row>
    <row r="19" spans="1:5">
      <c r="A19" s="32">
        <v>41733</v>
      </c>
      <c r="B19" t="s">
        <v>2</v>
      </c>
      <c r="C19">
        <v>5387</v>
      </c>
      <c r="D19" t="str">
        <f>VLOOKUP(B19,BaseTable,2,FALSE)</f>
        <v>Weiter</v>
      </c>
      <c r="E19">
        <f>YEAR(A19)</f>
        <v>2014</v>
      </c>
    </row>
    <row r="20" spans="1:5">
      <c r="A20" s="32">
        <v>41733</v>
      </c>
      <c r="B20" t="s">
        <v>3</v>
      </c>
      <c r="C20">
        <v>11865</v>
      </c>
      <c r="D20" t="str">
        <f>VLOOKUP(B20,BaseTable,2,FALSE)</f>
        <v>Schmecken</v>
      </c>
      <c r="E20">
        <f>YEAR(A20)</f>
        <v>2014</v>
      </c>
    </row>
    <row r="21" spans="1:5">
      <c r="A21" s="32">
        <v>41733</v>
      </c>
      <c r="B21" t="s">
        <v>4</v>
      </c>
      <c r="C21">
        <v>484</v>
      </c>
      <c r="D21" t="str">
        <f>VLOOKUP(B21,BaseTable,2,FALSE)</f>
        <v>Danach-NY</v>
      </c>
      <c r="E21">
        <f>YEAR(A21)</f>
        <v>2014</v>
      </c>
    </row>
    <row r="22" spans="1:5">
      <c r="A22" s="32">
        <v>41734</v>
      </c>
      <c r="B22" t="s">
        <v>0</v>
      </c>
      <c r="C22">
        <v>1309</v>
      </c>
      <c r="D22" t="str">
        <f>VLOOKUP(B22,BaseTable,2,FALSE)</f>
        <v>Unter</v>
      </c>
      <c r="E22">
        <f>YEAR(A22)</f>
        <v>2014</v>
      </c>
    </row>
    <row r="23" spans="1:5">
      <c r="A23" s="32">
        <v>41734</v>
      </c>
      <c r="B23" t="s">
        <v>1</v>
      </c>
      <c r="C23">
        <v>5508</v>
      </c>
      <c r="D23" t="str">
        <f>VLOOKUP(B23,BaseTable,2,FALSE)</f>
        <v>Hinter</v>
      </c>
      <c r="E23">
        <f>YEAR(A23)</f>
        <v>2014</v>
      </c>
    </row>
    <row r="24" spans="1:5">
      <c r="A24" s="32">
        <v>41734</v>
      </c>
      <c r="B24" t="s">
        <v>2</v>
      </c>
      <c r="C24">
        <v>3691</v>
      </c>
      <c r="D24" t="str">
        <f>VLOOKUP(B24,BaseTable,2,FALSE)</f>
        <v>Weiter</v>
      </c>
      <c r="E24">
        <f>YEAR(A24)</f>
        <v>2014</v>
      </c>
    </row>
    <row r="25" spans="1:5">
      <c r="A25" s="32">
        <v>41734</v>
      </c>
      <c r="B25" t="s">
        <v>3</v>
      </c>
      <c r="C25">
        <v>8640</v>
      </c>
      <c r="D25" t="str">
        <f>VLOOKUP(B25,BaseTable,2,FALSE)</f>
        <v>Schmecken</v>
      </c>
      <c r="E25">
        <f>YEAR(A25)</f>
        <v>2014</v>
      </c>
    </row>
    <row r="26" spans="1:5">
      <c r="A26" s="32">
        <v>41734</v>
      </c>
      <c r="B26" t="s">
        <v>4</v>
      </c>
      <c r="C26">
        <v>373</v>
      </c>
      <c r="D26" t="str">
        <f>VLOOKUP(B26,BaseTable,2,FALSE)</f>
        <v>Danach-NY</v>
      </c>
      <c r="E26">
        <f>YEAR(A26)</f>
        <v>2014</v>
      </c>
    </row>
    <row r="27" spans="1:5">
      <c r="A27" s="32">
        <v>41735</v>
      </c>
      <c r="B27" t="s">
        <v>0</v>
      </c>
      <c r="C27">
        <v>820</v>
      </c>
      <c r="D27" t="str">
        <f>VLOOKUP(B27,BaseTable,2,FALSE)</f>
        <v>Unter</v>
      </c>
      <c r="E27">
        <f>YEAR(A27)</f>
        <v>2014</v>
      </c>
    </row>
    <row r="28" spans="1:5">
      <c r="A28" s="32">
        <v>41735</v>
      </c>
      <c r="B28" t="s">
        <v>1</v>
      </c>
      <c r="C28">
        <v>3828</v>
      </c>
      <c r="D28" t="str">
        <f>VLOOKUP(B28,BaseTable,2,FALSE)</f>
        <v>Hinter</v>
      </c>
      <c r="E28">
        <f>YEAR(A28)</f>
        <v>2014</v>
      </c>
    </row>
    <row r="29" spans="1:5">
      <c r="A29" s="32">
        <v>41735</v>
      </c>
      <c r="B29" t="s">
        <v>2</v>
      </c>
      <c r="C29">
        <v>2747</v>
      </c>
      <c r="D29" t="str">
        <f>VLOOKUP(B29,BaseTable,2,FALSE)</f>
        <v>Weiter</v>
      </c>
      <c r="E29">
        <f>YEAR(A29)</f>
        <v>2014</v>
      </c>
    </row>
    <row r="30" spans="1:5">
      <c r="A30" s="32">
        <v>41735</v>
      </c>
      <c r="B30" t="s">
        <v>3</v>
      </c>
      <c r="C30">
        <v>5840</v>
      </c>
      <c r="D30" t="str">
        <f>VLOOKUP(B30,BaseTable,2,FALSE)</f>
        <v>Schmecken</v>
      </c>
      <c r="E30">
        <f>YEAR(A30)</f>
        <v>2014</v>
      </c>
    </row>
    <row r="31" spans="1:5">
      <c r="A31" s="32">
        <v>41735</v>
      </c>
      <c r="B31" t="s">
        <v>4</v>
      </c>
      <c r="C31">
        <v>210</v>
      </c>
      <c r="D31" t="str">
        <f>VLOOKUP(B31,BaseTable,2,FALSE)</f>
        <v>Danach-NY</v>
      </c>
      <c r="E31">
        <f>YEAR(A31)</f>
        <v>2014</v>
      </c>
    </row>
    <row r="32" spans="1:5">
      <c r="A32" s="32">
        <v>41736</v>
      </c>
      <c r="B32" t="s">
        <v>0</v>
      </c>
      <c r="C32">
        <v>1376</v>
      </c>
      <c r="D32" t="str">
        <f>VLOOKUP(B32,BaseTable,2,FALSE)</f>
        <v>Unter</v>
      </c>
      <c r="E32">
        <f>YEAR(A32)</f>
        <v>2014</v>
      </c>
    </row>
    <row r="33" spans="1:5">
      <c r="A33" s="32">
        <v>41736</v>
      </c>
      <c r="B33" t="s">
        <v>1</v>
      </c>
      <c r="C33">
        <v>5336</v>
      </c>
      <c r="D33" t="str">
        <f>VLOOKUP(B33,BaseTable,2,FALSE)</f>
        <v>Hinter</v>
      </c>
      <c r="E33">
        <f>YEAR(A33)</f>
        <v>2014</v>
      </c>
    </row>
    <row r="34" spans="1:5">
      <c r="A34" s="32">
        <v>41736</v>
      </c>
      <c r="B34" t="s">
        <v>2</v>
      </c>
      <c r="C34">
        <v>4009</v>
      </c>
      <c r="D34" t="str">
        <f>VLOOKUP(B34,BaseTable,2,FALSE)</f>
        <v>Weiter</v>
      </c>
      <c r="E34">
        <f>YEAR(A34)</f>
        <v>2014</v>
      </c>
    </row>
    <row r="35" spans="1:5">
      <c r="A35" s="32">
        <v>41736</v>
      </c>
      <c r="B35" t="s">
        <v>3</v>
      </c>
      <c r="C35">
        <v>8537</v>
      </c>
      <c r="D35" t="str">
        <f>VLOOKUP(B35,BaseTable,2,FALSE)</f>
        <v>Schmecken</v>
      </c>
      <c r="E35">
        <f>YEAR(A35)</f>
        <v>2014</v>
      </c>
    </row>
    <row r="36" spans="1:5">
      <c r="A36" s="32">
        <v>41736</v>
      </c>
      <c r="B36" t="s">
        <v>4</v>
      </c>
      <c r="C36">
        <v>292</v>
      </c>
      <c r="D36" t="str">
        <f>VLOOKUP(B36,BaseTable,2,FALSE)</f>
        <v>Danach-NY</v>
      </c>
      <c r="E36">
        <f>YEAR(A36)</f>
        <v>2014</v>
      </c>
    </row>
    <row r="37" spans="1:5">
      <c r="A37" s="32">
        <v>41737</v>
      </c>
      <c r="B37" t="s">
        <v>0</v>
      </c>
      <c r="C37">
        <v>1023</v>
      </c>
      <c r="D37" t="str">
        <f>VLOOKUP(B37,BaseTable,2,FALSE)</f>
        <v>Unter</v>
      </c>
      <c r="E37">
        <f>YEAR(A37)</f>
        <v>2014</v>
      </c>
    </row>
    <row r="38" spans="1:5">
      <c r="A38" s="32">
        <v>41737</v>
      </c>
      <c r="B38" t="s">
        <v>1</v>
      </c>
      <c r="C38">
        <v>4781</v>
      </c>
      <c r="D38" t="str">
        <f>VLOOKUP(B38,BaseTable,2,FALSE)</f>
        <v>Hinter</v>
      </c>
      <c r="E38">
        <f>YEAR(A38)</f>
        <v>2014</v>
      </c>
    </row>
    <row r="39" spans="1:5">
      <c r="A39" s="32">
        <v>41737</v>
      </c>
      <c r="B39" t="s">
        <v>2</v>
      </c>
      <c r="C39">
        <v>3345</v>
      </c>
      <c r="D39" t="str">
        <f>VLOOKUP(B39,BaseTable,2,FALSE)</f>
        <v>Weiter</v>
      </c>
      <c r="E39">
        <f>YEAR(A39)</f>
        <v>2014</v>
      </c>
    </row>
    <row r="40" spans="1:5">
      <c r="A40" s="32">
        <v>41737</v>
      </c>
      <c r="B40" t="s">
        <v>3</v>
      </c>
      <c r="C40">
        <v>6763</v>
      </c>
      <c r="D40" t="str">
        <f>VLOOKUP(B40,BaseTable,2,FALSE)</f>
        <v>Schmecken</v>
      </c>
      <c r="E40">
        <f>YEAR(A40)</f>
        <v>2014</v>
      </c>
    </row>
    <row r="41" spans="1:5">
      <c r="A41" s="32">
        <v>41737</v>
      </c>
      <c r="B41" t="s">
        <v>4</v>
      </c>
      <c r="C41">
        <v>276</v>
      </c>
      <c r="D41" t="str">
        <f>VLOOKUP(B41,BaseTable,2,FALSE)</f>
        <v>Danach-NY</v>
      </c>
      <c r="E41">
        <f>YEAR(A41)</f>
        <v>2014</v>
      </c>
    </row>
    <row r="42" spans="1:5">
      <c r="A42" s="32">
        <v>41738</v>
      </c>
      <c r="B42" t="s">
        <v>0</v>
      </c>
      <c r="C42">
        <v>1167</v>
      </c>
      <c r="D42" t="str">
        <f>VLOOKUP(B42,BaseTable,2,FALSE)</f>
        <v>Unter</v>
      </c>
      <c r="E42">
        <f>YEAR(A42)</f>
        <v>2014</v>
      </c>
    </row>
    <row r="43" spans="1:5">
      <c r="A43" s="32">
        <v>41738</v>
      </c>
      <c r="B43" t="s">
        <v>1</v>
      </c>
      <c r="C43">
        <v>4812</v>
      </c>
      <c r="D43" t="str">
        <f>VLOOKUP(B43,BaseTable,2,FALSE)</f>
        <v>Hinter</v>
      </c>
      <c r="E43">
        <f>YEAR(A43)</f>
        <v>2014</v>
      </c>
    </row>
    <row r="44" spans="1:5">
      <c r="A44" s="32">
        <v>41738</v>
      </c>
      <c r="B44" t="s">
        <v>2</v>
      </c>
      <c r="C44">
        <v>3439</v>
      </c>
      <c r="D44" t="str">
        <f>VLOOKUP(B44,BaseTable,2,FALSE)</f>
        <v>Weiter</v>
      </c>
      <c r="E44">
        <f>YEAR(A44)</f>
        <v>2014</v>
      </c>
    </row>
    <row r="45" spans="1:5">
      <c r="A45" s="32">
        <v>41738</v>
      </c>
      <c r="B45" t="s">
        <v>3</v>
      </c>
      <c r="C45">
        <v>7100</v>
      </c>
      <c r="D45" t="str">
        <f>VLOOKUP(B45,BaseTable,2,FALSE)</f>
        <v>Schmecken</v>
      </c>
      <c r="E45">
        <f>YEAR(A45)</f>
        <v>2014</v>
      </c>
    </row>
    <row r="46" spans="1:5">
      <c r="A46" s="32">
        <v>41738</v>
      </c>
      <c r="B46" t="s">
        <v>4</v>
      </c>
      <c r="C46">
        <v>325</v>
      </c>
      <c r="D46" t="str">
        <f>VLOOKUP(B46,BaseTable,2,FALSE)</f>
        <v>Danach-NY</v>
      </c>
      <c r="E46">
        <f>YEAR(A46)</f>
        <v>2014</v>
      </c>
    </row>
    <row r="47" spans="1:5">
      <c r="A47" s="32">
        <v>41739</v>
      </c>
      <c r="B47" t="s">
        <v>0</v>
      </c>
      <c r="C47">
        <v>1274</v>
      </c>
      <c r="D47" t="str">
        <f>VLOOKUP(B47,BaseTable,2,FALSE)</f>
        <v>Unter</v>
      </c>
      <c r="E47">
        <f>YEAR(A47)</f>
        <v>2014</v>
      </c>
    </row>
    <row r="48" spans="1:5">
      <c r="A48" s="32">
        <v>41739</v>
      </c>
      <c r="B48" t="s">
        <v>1</v>
      </c>
      <c r="C48">
        <v>6061</v>
      </c>
      <c r="D48" t="str">
        <f>VLOOKUP(B48,BaseTable,2,FALSE)</f>
        <v>Hinter</v>
      </c>
      <c r="E48">
        <f>YEAR(A48)</f>
        <v>2014</v>
      </c>
    </row>
    <row r="49" spans="1:5">
      <c r="A49" s="32">
        <v>41739</v>
      </c>
      <c r="B49" t="s">
        <v>2</v>
      </c>
      <c r="C49">
        <v>3974</v>
      </c>
      <c r="D49" t="str">
        <f>VLOOKUP(B49,BaseTable,2,FALSE)</f>
        <v>Weiter</v>
      </c>
      <c r="E49">
        <f>YEAR(A49)</f>
        <v>2014</v>
      </c>
    </row>
    <row r="50" spans="1:5">
      <c r="A50" s="32">
        <v>41739</v>
      </c>
      <c r="B50" t="s">
        <v>3</v>
      </c>
      <c r="C50">
        <v>8360</v>
      </c>
      <c r="D50" t="str">
        <f>VLOOKUP(B50,BaseTable,2,FALSE)</f>
        <v>Schmecken</v>
      </c>
      <c r="E50">
        <f>YEAR(A50)</f>
        <v>2014</v>
      </c>
    </row>
    <row r="51" spans="1:5">
      <c r="A51" s="32">
        <v>41739</v>
      </c>
      <c r="B51" t="s">
        <v>4</v>
      </c>
      <c r="C51">
        <v>372</v>
      </c>
      <c r="D51" t="str">
        <f>VLOOKUP(B51,BaseTable,2,FALSE)</f>
        <v>Danach-NY</v>
      </c>
      <c r="E51">
        <f>YEAR(A51)</f>
        <v>2014</v>
      </c>
    </row>
    <row r="52" spans="1:5">
      <c r="A52" s="32">
        <v>41740</v>
      </c>
      <c r="B52" t="s">
        <v>0</v>
      </c>
      <c r="C52">
        <v>1362</v>
      </c>
      <c r="D52" t="str">
        <f>VLOOKUP(B52,BaseTable,2,FALSE)</f>
        <v>Unter</v>
      </c>
      <c r="E52">
        <f>YEAR(A52)</f>
        <v>2014</v>
      </c>
    </row>
    <row r="53" spans="1:5">
      <c r="A53" s="32">
        <v>41740</v>
      </c>
      <c r="B53" t="s">
        <v>1</v>
      </c>
      <c r="C53">
        <v>6213</v>
      </c>
      <c r="D53" t="str">
        <f>VLOOKUP(B53,BaseTable,2,FALSE)</f>
        <v>Hinter</v>
      </c>
      <c r="E53">
        <f>YEAR(A53)</f>
        <v>2014</v>
      </c>
    </row>
    <row r="54" spans="1:5">
      <c r="A54" s="32">
        <v>41740</v>
      </c>
      <c r="B54" t="s">
        <v>2</v>
      </c>
      <c r="C54">
        <v>4075</v>
      </c>
      <c r="D54" t="str">
        <f>VLOOKUP(B54,BaseTable,2,FALSE)</f>
        <v>Weiter</v>
      </c>
      <c r="E54">
        <f>YEAR(A54)</f>
        <v>2014</v>
      </c>
    </row>
    <row r="55" spans="1:5">
      <c r="A55" s="32">
        <v>41740</v>
      </c>
      <c r="B55" t="s">
        <v>3</v>
      </c>
      <c r="C55">
        <v>8452</v>
      </c>
      <c r="D55" t="str">
        <f>VLOOKUP(B55,BaseTable,2,FALSE)</f>
        <v>Schmecken</v>
      </c>
      <c r="E55">
        <f>YEAR(A55)</f>
        <v>2014</v>
      </c>
    </row>
    <row r="56" spans="1:5">
      <c r="A56" s="32">
        <v>41740</v>
      </c>
      <c r="B56" t="s">
        <v>4</v>
      </c>
      <c r="C56">
        <v>318</v>
      </c>
      <c r="D56" t="str">
        <f>VLOOKUP(B56,BaseTable,2,FALSE)</f>
        <v>Danach-NY</v>
      </c>
      <c r="E56">
        <f>YEAR(A56)</f>
        <v>2014</v>
      </c>
    </row>
    <row r="57" spans="1:5">
      <c r="A57" s="32">
        <v>41741</v>
      </c>
      <c r="B57" t="s">
        <v>0</v>
      </c>
      <c r="C57">
        <v>1087</v>
      </c>
      <c r="D57" t="str">
        <f>VLOOKUP(B57,BaseTable,2,FALSE)</f>
        <v>Unter</v>
      </c>
      <c r="E57">
        <f>YEAR(A57)</f>
        <v>2014</v>
      </c>
    </row>
    <row r="58" spans="1:5">
      <c r="A58" s="32">
        <v>41741</v>
      </c>
      <c r="B58" t="s">
        <v>1</v>
      </c>
      <c r="C58">
        <v>5908</v>
      </c>
      <c r="D58" t="str">
        <f>VLOOKUP(B58,BaseTable,2,FALSE)</f>
        <v>Hinter</v>
      </c>
      <c r="E58">
        <f>YEAR(A58)</f>
        <v>2014</v>
      </c>
    </row>
    <row r="59" spans="1:5">
      <c r="A59" s="32">
        <v>41741</v>
      </c>
      <c r="B59" t="s">
        <v>2</v>
      </c>
      <c r="C59">
        <v>3302</v>
      </c>
      <c r="D59" t="str">
        <f>VLOOKUP(B59,BaseTable,2,FALSE)</f>
        <v>Weiter</v>
      </c>
      <c r="E59">
        <f>YEAR(A59)</f>
        <v>2014</v>
      </c>
    </row>
    <row r="60" spans="1:5">
      <c r="A60" s="32">
        <v>41741</v>
      </c>
      <c r="B60" t="s">
        <v>3</v>
      </c>
      <c r="C60">
        <v>7505</v>
      </c>
      <c r="D60" t="str">
        <f>VLOOKUP(B60,BaseTable,2,FALSE)</f>
        <v>Schmecken</v>
      </c>
      <c r="E60">
        <f>YEAR(A60)</f>
        <v>2014</v>
      </c>
    </row>
    <row r="61" spans="1:5">
      <c r="A61" s="32">
        <v>41741</v>
      </c>
      <c r="B61" t="s">
        <v>4</v>
      </c>
      <c r="C61">
        <v>368</v>
      </c>
      <c r="D61" t="str">
        <f>VLOOKUP(B61,BaseTable,2,FALSE)</f>
        <v>Danach-NY</v>
      </c>
      <c r="E61">
        <f>YEAR(A61)</f>
        <v>2014</v>
      </c>
    </row>
    <row r="62" spans="1:5">
      <c r="A62" s="32">
        <v>41742</v>
      </c>
      <c r="B62" t="s">
        <v>0</v>
      </c>
      <c r="C62">
        <v>783</v>
      </c>
      <c r="D62" t="str">
        <f>VLOOKUP(B62,BaseTable,2,FALSE)</f>
        <v>Unter</v>
      </c>
      <c r="E62">
        <f>YEAR(A62)</f>
        <v>2014</v>
      </c>
    </row>
    <row r="63" spans="1:5">
      <c r="A63" s="32">
        <v>41742</v>
      </c>
      <c r="B63" t="s">
        <v>1</v>
      </c>
      <c r="C63">
        <v>3803</v>
      </c>
      <c r="D63" t="str">
        <f>VLOOKUP(B63,BaseTable,2,FALSE)</f>
        <v>Hinter</v>
      </c>
      <c r="E63">
        <f>YEAR(A63)</f>
        <v>2014</v>
      </c>
    </row>
    <row r="64" spans="1:5">
      <c r="A64" s="32">
        <v>41742</v>
      </c>
      <c r="B64" t="s">
        <v>2</v>
      </c>
      <c r="C64">
        <v>2316</v>
      </c>
      <c r="D64" t="str">
        <f>VLOOKUP(B64,BaseTable,2,FALSE)</f>
        <v>Weiter</v>
      </c>
      <c r="E64">
        <f>YEAR(A64)</f>
        <v>2014</v>
      </c>
    </row>
    <row r="65" spans="1:5">
      <c r="A65" s="32">
        <v>41742</v>
      </c>
      <c r="B65" t="s">
        <v>3</v>
      </c>
      <c r="C65">
        <v>5000</v>
      </c>
      <c r="D65" t="str">
        <f>VLOOKUP(B65,BaseTable,2,FALSE)</f>
        <v>Schmecken</v>
      </c>
      <c r="E65">
        <f>YEAR(A65)</f>
        <v>2014</v>
      </c>
    </row>
    <row r="66" spans="1:5">
      <c r="A66" s="32">
        <v>41742</v>
      </c>
      <c r="B66" t="s">
        <v>4</v>
      </c>
      <c r="C66">
        <v>210</v>
      </c>
      <c r="D66" t="str">
        <f>VLOOKUP(B66,BaseTable,2,FALSE)</f>
        <v>Danach-NY</v>
      </c>
      <c r="E66">
        <f>YEAR(A66)</f>
        <v>2014</v>
      </c>
    </row>
    <row r="67" spans="1:5">
      <c r="A67" s="32">
        <v>41743</v>
      </c>
      <c r="B67" t="s">
        <v>0</v>
      </c>
      <c r="C67">
        <v>854</v>
      </c>
      <c r="D67" t="str">
        <f>VLOOKUP(B67,BaseTable,2,FALSE)</f>
        <v>Unter</v>
      </c>
      <c r="E67">
        <f>YEAR(A67)</f>
        <v>2014</v>
      </c>
    </row>
    <row r="68" spans="1:5">
      <c r="A68" s="32">
        <v>41743</v>
      </c>
      <c r="B68" t="s">
        <v>1</v>
      </c>
      <c r="C68">
        <v>3889</v>
      </c>
      <c r="D68" t="str">
        <f>VLOOKUP(B68,BaseTable,2,FALSE)</f>
        <v>Hinter</v>
      </c>
      <c r="E68">
        <f>YEAR(A68)</f>
        <v>2014</v>
      </c>
    </row>
    <row r="69" spans="1:5">
      <c r="A69" s="32">
        <v>41743</v>
      </c>
      <c r="B69" t="s">
        <v>2</v>
      </c>
      <c r="C69">
        <v>2460</v>
      </c>
      <c r="D69" t="str">
        <f>VLOOKUP(B69,BaseTable,2,FALSE)</f>
        <v>Weiter</v>
      </c>
      <c r="E69">
        <f>YEAR(A69)</f>
        <v>2014</v>
      </c>
    </row>
    <row r="70" spans="1:5">
      <c r="A70" s="32">
        <v>41743</v>
      </c>
      <c r="B70" t="s">
        <v>3</v>
      </c>
      <c r="C70">
        <v>5228</v>
      </c>
      <c r="D70" t="str">
        <f>VLOOKUP(B70,BaseTable,2,FALSE)</f>
        <v>Schmecken</v>
      </c>
      <c r="E70">
        <f>YEAR(A70)</f>
        <v>2014</v>
      </c>
    </row>
    <row r="71" spans="1:5">
      <c r="A71" s="32">
        <v>41743</v>
      </c>
      <c r="B71" t="s">
        <v>4</v>
      </c>
      <c r="C71">
        <v>243</v>
      </c>
      <c r="D71" t="str">
        <f>VLOOKUP(B71,BaseTable,2,FALSE)</f>
        <v>Danach-NY</v>
      </c>
      <c r="E71">
        <f>YEAR(A71)</f>
        <v>2014</v>
      </c>
    </row>
    <row r="72" spans="1:5">
      <c r="A72" s="32">
        <v>41744</v>
      </c>
      <c r="B72" t="s">
        <v>0</v>
      </c>
      <c r="C72">
        <v>1391</v>
      </c>
      <c r="D72" t="str">
        <f>VLOOKUP(B72,BaseTable,2,FALSE)</f>
        <v>Unter</v>
      </c>
      <c r="E72">
        <f>YEAR(A72)</f>
        <v>2014</v>
      </c>
    </row>
    <row r="73" spans="1:5">
      <c r="A73" s="32">
        <v>41744</v>
      </c>
      <c r="B73" t="s">
        <v>1</v>
      </c>
      <c r="C73">
        <v>6327</v>
      </c>
      <c r="D73" t="str">
        <f>VLOOKUP(B73,BaseTable,2,FALSE)</f>
        <v>Hinter</v>
      </c>
      <c r="E73">
        <f>YEAR(A73)</f>
        <v>2014</v>
      </c>
    </row>
    <row r="74" spans="1:5">
      <c r="A74" s="32">
        <v>41744</v>
      </c>
      <c r="B74" t="s">
        <v>2</v>
      </c>
      <c r="C74">
        <v>4135</v>
      </c>
      <c r="D74" t="str">
        <f>VLOOKUP(B74,BaseTable,2,FALSE)</f>
        <v>Weiter</v>
      </c>
      <c r="E74">
        <f>YEAR(A74)</f>
        <v>2014</v>
      </c>
    </row>
    <row r="75" spans="1:5">
      <c r="A75" s="32">
        <v>41744</v>
      </c>
      <c r="B75" t="s">
        <v>3</v>
      </c>
      <c r="C75">
        <v>8460</v>
      </c>
      <c r="D75" t="str">
        <f>VLOOKUP(B75,BaseTable,2,FALSE)</f>
        <v>Schmecken</v>
      </c>
      <c r="E75">
        <f>YEAR(A75)</f>
        <v>2014</v>
      </c>
    </row>
    <row r="76" spans="1:5">
      <c r="A76" s="32">
        <v>41744</v>
      </c>
      <c r="B76" t="s">
        <v>4</v>
      </c>
      <c r="C76">
        <v>328</v>
      </c>
      <c r="D76" t="str">
        <f>VLOOKUP(B76,BaseTable,2,FALSE)</f>
        <v>Danach-NY</v>
      </c>
      <c r="E76">
        <f>YEAR(A76)</f>
        <v>2014</v>
      </c>
    </row>
    <row r="77" spans="1:5">
      <c r="A77" s="32">
        <v>41745</v>
      </c>
      <c r="B77" t="s">
        <v>0</v>
      </c>
      <c r="C77">
        <v>1059</v>
      </c>
      <c r="D77" t="str">
        <f>VLOOKUP(B77,BaseTable,2,FALSE)</f>
        <v>Unter</v>
      </c>
      <c r="E77">
        <f>YEAR(A77)</f>
        <v>2014</v>
      </c>
    </row>
    <row r="78" spans="1:5">
      <c r="A78" s="32">
        <v>41745</v>
      </c>
      <c r="B78" t="s">
        <v>1</v>
      </c>
      <c r="C78">
        <v>5727</v>
      </c>
      <c r="D78" t="str">
        <f>VLOOKUP(B78,BaseTable,2,FALSE)</f>
        <v>Hinter</v>
      </c>
      <c r="E78">
        <f>YEAR(A78)</f>
        <v>2014</v>
      </c>
    </row>
    <row r="79" spans="1:5">
      <c r="A79" s="32">
        <v>41745</v>
      </c>
      <c r="B79" t="s">
        <v>2</v>
      </c>
      <c r="C79">
        <v>3500</v>
      </c>
      <c r="D79" t="str">
        <f>VLOOKUP(B79,BaseTable,2,FALSE)</f>
        <v>Weiter</v>
      </c>
      <c r="E79">
        <f>YEAR(A79)</f>
        <v>2014</v>
      </c>
    </row>
    <row r="80" spans="1:5">
      <c r="A80" s="32">
        <v>41745</v>
      </c>
      <c r="B80" t="s">
        <v>3</v>
      </c>
      <c r="C80">
        <v>7139</v>
      </c>
      <c r="D80" t="str">
        <f>VLOOKUP(B80,BaseTable,2,FALSE)</f>
        <v>Schmecken</v>
      </c>
      <c r="E80">
        <f>YEAR(A80)</f>
        <v>2014</v>
      </c>
    </row>
    <row r="81" spans="1:5">
      <c r="A81" s="32">
        <v>41745</v>
      </c>
      <c r="B81" t="s">
        <v>4</v>
      </c>
      <c r="C81">
        <v>292</v>
      </c>
      <c r="D81" t="str">
        <f>VLOOKUP(B81,BaseTable,2,FALSE)</f>
        <v>Danach-NY</v>
      </c>
      <c r="E81">
        <f>YEAR(A81)</f>
        <v>2014</v>
      </c>
    </row>
    <row r="82" spans="1:5">
      <c r="A82" s="32">
        <v>41746</v>
      </c>
      <c r="B82" t="s">
        <v>0</v>
      </c>
      <c r="C82">
        <v>1343</v>
      </c>
      <c r="D82" t="str">
        <f>VLOOKUP(B82,BaseTable,2,FALSE)</f>
        <v>Unter</v>
      </c>
      <c r="E82">
        <f>YEAR(A82)</f>
        <v>2014</v>
      </c>
    </row>
    <row r="83" spans="1:5">
      <c r="A83" s="32">
        <v>41746</v>
      </c>
      <c r="B83" t="s">
        <v>1</v>
      </c>
      <c r="C83">
        <v>6948</v>
      </c>
      <c r="D83" t="str">
        <f>VLOOKUP(B83,BaseTable,2,FALSE)</f>
        <v>Hinter</v>
      </c>
      <c r="E83">
        <f>YEAR(A83)</f>
        <v>2014</v>
      </c>
    </row>
    <row r="84" spans="1:5">
      <c r="A84" s="32">
        <v>41746</v>
      </c>
      <c r="B84" t="s">
        <v>2</v>
      </c>
      <c r="C84">
        <v>4013</v>
      </c>
      <c r="D84" t="str">
        <f>VLOOKUP(B84,BaseTable,2,FALSE)</f>
        <v>Weiter</v>
      </c>
      <c r="E84">
        <f>YEAR(A84)</f>
        <v>2014</v>
      </c>
    </row>
    <row r="85" spans="1:5">
      <c r="A85" s="32">
        <v>41746</v>
      </c>
      <c r="B85" t="s">
        <v>3</v>
      </c>
      <c r="C85">
        <v>8305</v>
      </c>
      <c r="D85" t="str">
        <f>VLOOKUP(B85,BaseTable,2,FALSE)</f>
        <v>Schmecken</v>
      </c>
      <c r="E85">
        <f>YEAR(A85)</f>
        <v>2014</v>
      </c>
    </row>
    <row r="86" spans="1:5">
      <c r="A86" s="32">
        <v>41746</v>
      </c>
      <c r="B86" t="s">
        <v>4</v>
      </c>
      <c r="C86">
        <v>364</v>
      </c>
      <c r="D86" t="str">
        <f>VLOOKUP(B86,BaseTable,2,FALSE)</f>
        <v>Danach-NY</v>
      </c>
      <c r="E86">
        <f>YEAR(A86)</f>
        <v>2014</v>
      </c>
    </row>
    <row r="87" spans="1:5">
      <c r="A87" s="32">
        <v>41747</v>
      </c>
      <c r="B87" t="s">
        <v>0</v>
      </c>
      <c r="C87">
        <v>953</v>
      </c>
      <c r="D87" t="str">
        <f>VLOOKUP(B87,BaseTable,2,FALSE)</f>
        <v>Unter</v>
      </c>
      <c r="E87">
        <f>YEAR(A87)</f>
        <v>2014</v>
      </c>
    </row>
    <row r="88" spans="1:5">
      <c r="A88" s="32">
        <v>41747</v>
      </c>
      <c r="B88" t="s">
        <v>1</v>
      </c>
      <c r="C88">
        <v>6154</v>
      </c>
      <c r="D88" t="str">
        <f>VLOOKUP(B88,BaseTable,2,FALSE)</f>
        <v>Hinter</v>
      </c>
      <c r="E88">
        <f>YEAR(A88)</f>
        <v>2014</v>
      </c>
    </row>
    <row r="89" spans="1:5">
      <c r="A89" s="32">
        <v>41747</v>
      </c>
      <c r="B89" t="s">
        <v>2</v>
      </c>
      <c r="C89">
        <v>3328</v>
      </c>
      <c r="D89" t="str">
        <f>VLOOKUP(B89,BaseTable,2,FALSE)</f>
        <v>Weiter</v>
      </c>
      <c r="E89">
        <f>YEAR(A89)</f>
        <v>2014</v>
      </c>
    </row>
    <row r="90" spans="1:5">
      <c r="A90" s="32">
        <v>41747</v>
      </c>
      <c r="B90" t="s">
        <v>3</v>
      </c>
      <c r="C90">
        <v>7289</v>
      </c>
      <c r="D90" t="str">
        <f>VLOOKUP(B90,BaseTable,2,FALSE)</f>
        <v>Schmecken</v>
      </c>
      <c r="E90">
        <f>YEAR(A90)</f>
        <v>2014</v>
      </c>
    </row>
    <row r="91" spans="1:5">
      <c r="A91" s="32">
        <v>41747</v>
      </c>
      <c r="B91" t="s">
        <v>4</v>
      </c>
      <c r="C91">
        <v>350</v>
      </c>
      <c r="D91" t="str">
        <f>VLOOKUP(B91,BaseTable,2,FALSE)</f>
        <v>Danach-NY</v>
      </c>
      <c r="E91">
        <f>YEAR(A91)</f>
        <v>2014</v>
      </c>
    </row>
    <row r="92" spans="1:5">
      <c r="A92" s="32">
        <v>41748</v>
      </c>
      <c r="B92" t="s">
        <v>0</v>
      </c>
      <c r="C92">
        <v>851</v>
      </c>
      <c r="D92" t="str">
        <f>VLOOKUP(B92,BaseTable,2,FALSE)</f>
        <v>Unter</v>
      </c>
      <c r="E92">
        <f>YEAR(A92)</f>
        <v>2014</v>
      </c>
    </row>
    <row r="93" spans="1:5">
      <c r="A93" s="32">
        <v>41748</v>
      </c>
      <c r="B93" t="s">
        <v>1</v>
      </c>
      <c r="C93">
        <v>5082</v>
      </c>
      <c r="D93" t="str">
        <f>VLOOKUP(B93,BaseTable,2,FALSE)</f>
        <v>Hinter</v>
      </c>
      <c r="E93">
        <f>YEAR(A93)</f>
        <v>2014</v>
      </c>
    </row>
    <row r="94" spans="1:5">
      <c r="A94" s="32">
        <v>41748</v>
      </c>
      <c r="B94" t="s">
        <v>2</v>
      </c>
      <c r="C94">
        <v>2645</v>
      </c>
      <c r="D94" t="str">
        <f>VLOOKUP(B94,BaseTable,2,FALSE)</f>
        <v>Weiter</v>
      </c>
      <c r="E94">
        <f>YEAR(A94)</f>
        <v>2014</v>
      </c>
    </row>
    <row r="95" spans="1:5">
      <c r="A95" s="32">
        <v>41748</v>
      </c>
      <c r="B95" t="s">
        <v>3</v>
      </c>
      <c r="C95">
        <v>5775</v>
      </c>
      <c r="D95" t="str">
        <f>VLOOKUP(B95,BaseTable,2,FALSE)</f>
        <v>Schmecken</v>
      </c>
      <c r="E95">
        <f>YEAR(A95)</f>
        <v>2014</v>
      </c>
    </row>
    <row r="96" spans="1:5">
      <c r="A96" s="32">
        <v>41748</v>
      </c>
      <c r="B96" t="s">
        <v>4</v>
      </c>
      <c r="C96">
        <v>249</v>
      </c>
      <c r="D96" t="str">
        <f>VLOOKUP(B96,BaseTable,2,FALSE)</f>
        <v>Danach-NY</v>
      </c>
      <c r="E96">
        <f>YEAR(A96)</f>
        <v>2014</v>
      </c>
    </row>
    <row r="97" spans="1:5">
      <c r="A97" s="32">
        <v>41749</v>
      </c>
      <c r="B97" t="s">
        <v>0</v>
      </c>
      <c r="C97">
        <v>615</v>
      </c>
      <c r="D97" t="str">
        <f>VLOOKUP(B97,BaseTable,2,FALSE)</f>
        <v>Unter</v>
      </c>
      <c r="E97">
        <f>YEAR(A97)</f>
        <v>2014</v>
      </c>
    </row>
    <row r="98" spans="1:5">
      <c r="A98" s="32">
        <v>41749</v>
      </c>
      <c r="B98" t="s">
        <v>1</v>
      </c>
      <c r="C98">
        <v>3674</v>
      </c>
      <c r="D98" t="str">
        <f>VLOOKUP(B98,BaseTable,2,FALSE)</f>
        <v>Hinter</v>
      </c>
      <c r="E98">
        <f>YEAR(A98)</f>
        <v>2014</v>
      </c>
    </row>
    <row r="99" spans="1:5">
      <c r="A99" s="32">
        <v>41749</v>
      </c>
      <c r="B99" t="s">
        <v>2</v>
      </c>
      <c r="C99">
        <v>1985</v>
      </c>
      <c r="D99" t="str">
        <f>VLOOKUP(B99,BaseTable,2,FALSE)</f>
        <v>Weiter</v>
      </c>
      <c r="E99">
        <f>YEAR(A99)</f>
        <v>2014</v>
      </c>
    </row>
    <row r="100" spans="1:5">
      <c r="A100" s="32">
        <v>41749</v>
      </c>
      <c r="B100" t="s">
        <v>3</v>
      </c>
      <c r="C100">
        <v>4498</v>
      </c>
      <c r="D100" t="str">
        <f>VLOOKUP(B100,BaseTable,2,FALSE)</f>
        <v>Schmecken</v>
      </c>
      <c r="E100">
        <f>YEAR(A100)</f>
        <v>2014</v>
      </c>
    </row>
    <row r="101" spans="1:5">
      <c r="A101" s="32">
        <v>41749</v>
      </c>
      <c r="B101" t="s">
        <v>4</v>
      </c>
      <c r="C101">
        <v>245</v>
      </c>
      <c r="D101" t="str">
        <f>VLOOKUP(B101,BaseTable,2,FALSE)</f>
        <v>Danach-NY</v>
      </c>
      <c r="E101">
        <f>YEAR(A101)</f>
        <v>2014</v>
      </c>
    </row>
    <row r="102" spans="1:5">
      <c r="A102" s="32">
        <v>41750</v>
      </c>
      <c r="B102" t="s">
        <v>0</v>
      </c>
      <c r="C102">
        <v>744</v>
      </c>
      <c r="D102" t="str">
        <f>VLOOKUP(B102,BaseTable,2,FALSE)</f>
        <v>Unter</v>
      </c>
      <c r="E102">
        <f>YEAR(A102)</f>
        <v>2014</v>
      </c>
    </row>
    <row r="103" spans="1:5">
      <c r="A103" s="32">
        <v>41750</v>
      </c>
      <c r="B103" t="s">
        <v>1</v>
      </c>
      <c r="C103">
        <v>4592</v>
      </c>
      <c r="D103" t="str">
        <f>VLOOKUP(B103,BaseTable,2,FALSE)</f>
        <v>Hinter</v>
      </c>
      <c r="E103">
        <f>YEAR(A103)</f>
        <v>2014</v>
      </c>
    </row>
    <row r="104" spans="1:5">
      <c r="A104" s="32">
        <v>41750</v>
      </c>
      <c r="B104" t="s">
        <v>2</v>
      </c>
      <c r="C104">
        <v>2354</v>
      </c>
      <c r="D104" t="str">
        <f>VLOOKUP(B104,BaseTable,2,FALSE)</f>
        <v>Weiter</v>
      </c>
      <c r="E104">
        <f>YEAR(A104)</f>
        <v>2014</v>
      </c>
    </row>
    <row r="105" spans="1:5">
      <c r="A105" s="32">
        <v>41750</v>
      </c>
      <c r="B105" t="s">
        <v>3</v>
      </c>
      <c r="C105">
        <v>5258</v>
      </c>
      <c r="D105" t="str">
        <f>VLOOKUP(B105,BaseTable,2,FALSE)</f>
        <v>Schmecken</v>
      </c>
      <c r="E105">
        <f>YEAR(A105)</f>
        <v>2014</v>
      </c>
    </row>
    <row r="106" spans="1:5">
      <c r="A106" s="32">
        <v>41750</v>
      </c>
      <c r="B106" t="s">
        <v>4</v>
      </c>
      <c r="C106">
        <v>214</v>
      </c>
      <c r="D106" t="str">
        <f>VLOOKUP(B106,BaseTable,2,FALSE)</f>
        <v>Danach-NY</v>
      </c>
      <c r="E106">
        <f>YEAR(A106)</f>
        <v>2014</v>
      </c>
    </row>
    <row r="107" spans="1:5">
      <c r="A107" s="32">
        <v>41751</v>
      </c>
      <c r="B107" t="s">
        <v>0</v>
      </c>
      <c r="C107">
        <v>959</v>
      </c>
      <c r="D107" t="str">
        <f>VLOOKUP(B107,BaseTable,2,FALSE)</f>
        <v>Unter</v>
      </c>
      <c r="E107">
        <f>YEAR(A107)</f>
        <v>2014</v>
      </c>
    </row>
    <row r="108" spans="1:5">
      <c r="A108" s="32">
        <v>41751</v>
      </c>
      <c r="B108" t="s">
        <v>1</v>
      </c>
      <c r="C108">
        <v>6015</v>
      </c>
      <c r="D108" t="str">
        <f>VLOOKUP(B108,BaseTable,2,FALSE)</f>
        <v>Hinter</v>
      </c>
      <c r="E108">
        <f>YEAR(A108)</f>
        <v>2014</v>
      </c>
    </row>
    <row r="109" spans="1:5">
      <c r="A109" s="32">
        <v>41751</v>
      </c>
      <c r="B109" t="s">
        <v>2</v>
      </c>
      <c r="C109">
        <v>3115</v>
      </c>
      <c r="D109" t="str">
        <f>VLOOKUP(B109,BaseTable,2,FALSE)</f>
        <v>Weiter</v>
      </c>
      <c r="E109">
        <f>YEAR(A109)</f>
        <v>2014</v>
      </c>
    </row>
    <row r="110" spans="1:5">
      <c r="A110" s="32">
        <v>41751</v>
      </c>
      <c r="B110" t="s">
        <v>3</v>
      </c>
      <c r="C110">
        <v>6612</v>
      </c>
      <c r="D110" t="str">
        <f>VLOOKUP(B110,BaseTable,2,FALSE)</f>
        <v>Schmecken</v>
      </c>
      <c r="E110">
        <f>YEAR(A110)</f>
        <v>2014</v>
      </c>
    </row>
    <row r="111" spans="1:5">
      <c r="A111" s="32">
        <v>41751</v>
      </c>
      <c r="B111" t="s">
        <v>4</v>
      </c>
      <c r="C111">
        <v>274</v>
      </c>
      <c r="D111" t="str">
        <f>VLOOKUP(B111,BaseTable,2,FALSE)</f>
        <v>Danach-NY</v>
      </c>
      <c r="E111">
        <f>YEAR(A111)</f>
        <v>2014</v>
      </c>
    </row>
    <row r="112" spans="1:5">
      <c r="A112" s="32">
        <v>41752</v>
      </c>
      <c r="B112" t="s">
        <v>0</v>
      </c>
      <c r="C112">
        <v>1196</v>
      </c>
      <c r="D112" t="str">
        <f>VLOOKUP(B112,BaseTable,2,FALSE)</f>
        <v>Unter</v>
      </c>
      <c r="E112">
        <f>YEAR(A112)</f>
        <v>2014</v>
      </c>
    </row>
    <row r="113" spans="1:5">
      <c r="A113" s="32">
        <v>41752</v>
      </c>
      <c r="B113" t="s">
        <v>1</v>
      </c>
      <c r="C113">
        <v>7288</v>
      </c>
      <c r="D113" t="str">
        <f>VLOOKUP(B113,BaseTable,2,FALSE)</f>
        <v>Hinter</v>
      </c>
      <c r="E113">
        <f>YEAR(A113)</f>
        <v>2014</v>
      </c>
    </row>
    <row r="114" spans="1:5">
      <c r="A114" s="32">
        <v>41752</v>
      </c>
      <c r="B114" t="s">
        <v>2</v>
      </c>
      <c r="C114">
        <v>3771</v>
      </c>
      <c r="D114" t="str">
        <f>VLOOKUP(B114,BaseTable,2,FALSE)</f>
        <v>Weiter</v>
      </c>
      <c r="E114">
        <f>YEAR(A114)</f>
        <v>2014</v>
      </c>
    </row>
    <row r="115" spans="1:5">
      <c r="A115" s="32">
        <v>41752</v>
      </c>
      <c r="B115" t="s">
        <v>3</v>
      </c>
      <c r="C115">
        <v>7740</v>
      </c>
      <c r="D115" t="str">
        <f>VLOOKUP(B115,BaseTable,2,FALSE)</f>
        <v>Schmecken</v>
      </c>
      <c r="E115">
        <f>YEAR(A115)</f>
        <v>2014</v>
      </c>
    </row>
    <row r="116" spans="1:5">
      <c r="A116" s="32">
        <v>41752</v>
      </c>
      <c r="B116" t="s">
        <v>4</v>
      </c>
      <c r="C116">
        <v>351</v>
      </c>
      <c r="D116" t="str">
        <f>VLOOKUP(B116,BaseTable,2,FALSE)</f>
        <v>Danach-NY</v>
      </c>
      <c r="E116">
        <f>YEAR(A116)</f>
        <v>2014</v>
      </c>
    </row>
    <row r="117" spans="1:5">
      <c r="A117" s="32">
        <v>41753</v>
      </c>
      <c r="B117" t="s">
        <v>0</v>
      </c>
      <c r="C117">
        <v>1394</v>
      </c>
      <c r="D117" t="str">
        <f>VLOOKUP(B117,BaseTable,2,FALSE)</f>
        <v>Unter</v>
      </c>
      <c r="E117">
        <f>YEAR(A117)</f>
        <v>2014</v>
      </c>
    </row>
    <row r="118" spans="1:5">
      <c r="A118" s="32">
        <v>41753</v>
      </c>
      <c r="B118" t="s">
        <v>1</v>
      </c>
      <c r="C118">
        <v>8232</v>
      </c>
      <c r="D118" t="str">
        <f>VLOOKUP(B118,BaseTable,2,FALSE)</f>
        <v>Hinter</v>
      </c>
      <c r="E118">
        <f>YEAR(A118)</f>
        <v>2014</v>
      </c>
    </row>
    <row r="119" spans="1:5">
      <c r="A119" s="32">
        <v>41753</v>
      </c>
      <c r="B119" t="s">
        <v>2</v>
      </c>
      <c r="C119">
        <v>4375</v>
      </c>
      <c r="D119" t="str">
        <f>VLOOKUP(B119,BaseTable,2,FALSE)</f>
        <v>Weiter</v>
      </c>
      <c r="E119">
        <f>YEAR(A119)</f>
        <v>2014</v>
      </c>
    </row>
    <row r="120" spans="1:5">
      <c r="A120" s="32">
        <v>41753</v>
      </c>
      <c r="B120" t="s">
        <v>3</v>
      </c>
      <c r="C120">
        <v>8938</v>
      </c>
      <c r="D120" t="str">
        <f>VLOOKUP(B120,BaseTable,2,FALSE)</f>
        <v>Schmecken</v>
      </c>
      <c r="E120">
        <f>YEAR(A120)</f>
        <v>2014</v>
      </c>
    </row>
    <row r="121" spans="1:5">
      <c r="A121" s="32">
        <v>41753</v>
      </c>
      <c r="B121" t="s">
        <v>4</v>
      </c>
      <c r="C121">
        <v>413</v>
      </c>
      <c r="D121" t="str">
        <f>VLOOKUP(B121,BaseTable,2,FALSE)</f>
        <v>Danach-NY</v>
      </c>
      <c r="E121">
        <f>YEAR(A121)</f>
        <v>2014</v>
      </c>
    </row>
    <row r="122" spans="1:5">
      <c r="A122" s="32">
        <v>41754</v>
      </c>
      <c r="B122" t="s">
        <v>0</v>
      </c>
      <c r="C122">
        <v>1410</v>
      </c>
      <c r="D122" t="str">
        <f>VLOOKUP(B122,BaseTable,2,FALSE)</f>
        <v>Unter</v>
      </c>
      <c r="E122">
        <f>YEAR(A122)</f>
        <v>2014</v>
      </c>
    </row>
    <row r="123" spans="1:5">
      <c r="A123" s="32">
        <v>41754</v>
      </c>
      <c r="B123" t="s">
        <v>1</v>
      </c>
      <c r="C123">
        <v>9356</v>
      </c>
      <c r="D123" t="str">
        <f>VLOOKUP(B123,BaseTable,2,FALSE)</f>
        <v>Hinter</v>
      </c>
      <c r="E123">
        <f>YEAR(A123)</f>
        <v>2014</v>
      </c>
    </row>
    <row r="124" spans="1:5">
      <c r="A124" s="32">
        <v>41754</v>
      </c>
      <c r="B124" t="s">
        <v>2</v>
      </c>
      <c r="C124">
        <v>4505</v>
      </c>
      <c r="D124" t="str">
        <f>VLOOKUP(B124,BaseTable,2,FALSE)</f>
        <v>Weiter</v>
      </c>
      <c r="E124">
        <f>YEAR(A124)</f>
        <v>2014</v>
      </c>
    </row>
    <row r="125" spans="1:5">
      <c r="A125" s="32">
        <v>41754</v>
      </c>
      <c r="B125" t="s">
        <v>3</v>
      </c>
      <c r="C125">
        <v>9462</v>
      </c>
      <c r="D125" t="str">
        <f>VLOOKUP(B125,BaseTable,2,FALSE)</f>
        <v>Schmecken</v>
      </c>
      <c r="E125">
        <f>YEAR(A125)</f>
        <v>2014</v>
      </c>
    </row>
    <row r="126" spans="1:5">
      <c r="A126" s="32">
        <v>41754</v>
      </c>
      <c r="B126" t="s">
        <v>4</v>
      </c>
      <c r="C126">
        <v>362</v>
      </c>
      <c r="D126" t="str">
        <f>VLOOKUP(B126,BaseTable,2,FALSE)</f>
        <v>Danach-NY</v>
      </c>
      <c r="E126">
        <f>YEAR(A126)</f>
        <v>2014</v>
      </c>
    </row>
    <row r="127" spans="1:5">
      <c r="A127" s="32">
        <v>41755</v>
      </c>
      <c r="B127" t="s">
        <v>0</v>
      </c>
      <c r="C127">
        <v>1418</v>
      </c>
      <c r="D127" t="str">
        <f>VLOOKUP(B127,BaseTable,2,FALSE)</f>
        <v>Unter</v>
      </c>
      <c r="E127">
        <f>YEAR(A127)</f>
        <v>2014</v>
      </c>
    </row>
    <row r="128" spans="1:5">
      <c r="A128" s="32">
        <v>41755</v>
      </c>
      <c r="B128" t="s">
        <v>1</v>
      </c>
      <c r="C128">
        <v>9468</v>
      </c>
      <c r="D128" t="str">
        <f>VLOOKUP(B128,BaseTable,2,FALSE)</f>
        <v>Hinter</v>
      </c>
      <c r="E128">
        <f>YEAR(A128)</f>
        <v>2014</v>
      </c>
    </row>
    <row r="129" spans="1:5">
      <c r="A129" s="32">
        <v>41755</v>
      </c>
      <c r="B129" t="s">
        <v>2</v>
      </c>
      <c r="C129">
        <v>4184</v>
      </c>
      <c r="D129" t="str">
        <f>VLOOKUP(B129,BaseTable,2,FALSE)</f>
        <v>Weiter</v>
      </c>
      <c r="E129">
        <f>YEAR(A129)</f>
        <v>2014</v>
      </c>
    </row>
    <row r="130" spans="1:5">
      <c r="A130" s="32">
        <v>41755</v>
      </c>
      <c r="B130" t="s">
        <v>3</v>
      </c>
      <c r="C130">
        <v>9410</v>
      </c>
      <c r="D130" t="str">
        <f>VLOOKUP(B130,BaseTable,2,FALSE)</f>
        <v>Schmecken</v>
      </c>
      <c r="E130">
        <f>YEAR(A130)</f>
        <v>2014</v>
      </c>
    </row>
    <row r="131" spans="1:5">
      <c r="A131" s="32">
        <v>41755</v>
      </c>
      <c r="B131" t="s">
        <v>4</v>
      </c>
      <c r="C131">
        <v>445</v>
      </c>
      <c r="D131" t="str">
        <f>VLOOKUP(B131,BaseTable,2,FALSE)</f>
        <v>Danach-NY</v>
      </c>
      <c r="E131">
        <f>YEAR(A131)</f>
        <v>2014</v>
      </c>
    </row>
    <row r="132" spans="1:5">
      <c r="A132" s="32">
        <v>41756</v>
      </c>
      <c r="B132" t="s">
        <v>0</v>
      </c>
      <c r="C132">
        <v>848</v>
      </c>
      <c r="D132" t="str">
        <f>VLOOKUP(B132,BaseTable,2,FALSE)</f>
        <v>Unter</v>
      </c>
      <c r="E132">
        <f>YEAR(A132)</f>
        <v>2014</v>
      </c>
    </row>
    <row r="133" spans="1:5">
      <c r="A133" s="32">
        <v>41756</v>
      </c>
      <c r="B133" t="s">
        <v>1</v>
      </c>
      <c r="C133">
        <v>5595</v>
      </c>
      <c r="D133" t="str">
        <f>VLOOKUP(B133,BaseTable,2,FALSE)</f>
        <v>Hinter</v>
      </c>
      <c r="E133">
        <f>YEAR(A133)</f>
        <v>2014</v>
      </c>
    </row>
    <row r="134" spans="1:5">
      <c r="A134" s="32">
        <v>41756</v>
      </c>
      <c r="B134" t="s">
        <v>2</v>
      </c>
      <c r="C134">
        <v>2660</v>
      </c>
      <c r="D134" t="str">
        <f>VLOOKUP(B134,BaseTable,2,FALSE)</f>
        <v>Weiter</v>
      </c>
      <c r="E134">
        <f>YEAR(A134)</f>
        <v>2014</v>
      </c>
    </row>
    <row r="135" spans="1:5">
      <c r="A135" s="32">
        <v>41756</v>
      </c>
      <c r="B135" t="s">
        <v>3</v>
      </c>
      <c r="C135">
        <v>5335</v>
      </c>
      <c r="D135" t="str">
        <f>VLOOKUP(B135,BaseTable,2,FALSE)</f>
        <v>Schmecken</v>
      </c>
      <c r="E135">
        <f>YEAR(A135)</f>
        <v>2014</v>
      </c>
    </row>
    <row r="136" spans="1:5">
      <c r="A136" s="32">
        <v>41756</v>
      </c>
      <c r="B136" t="s">
        <v>4</v>
      </c>
      <c r="C136">
        <v>239</v>
      </c>
      <c r="D136" t="str">
        <f>VLOOKUP(B136,BaseTable,2,FALSE)</f>
        <v>Danach-NY</v>
      </c>
      <c r="E136">
        <f>YEAR(A136)</f>
        <v>2014</v>
      </c>
    </row>
    <row r="137" spans="1:5">
      <c r="A137" s="32">
        <v>41757</v>
      </c>
      <c r="B137" t="s">
        <v>0</v>
      </c>
      <c r="C137">
        <v>971</v>
      </c>
      <c r="D137" t="str">
        <f>VLOOKUP(B137,BaseTable,2,FALSE)</f>
        <v>Unter</v>
      </c>
      <c r="E137">
        <f>YEAR(A137)</f>
        <v>2014</v>
      </c>
    </row>
    <row r="138" spans="1:5">
      <c r="A138" s="32">
        <v>41757</v>
      </c>
      <c r="B138" t="s">
        <v>1</v>
      </c>
      <c r="C138">
        <v>5753</v>
      </c>
      <c r="D138" t="str">
        <f>VLOOKUP(B138,BaseTable,2,FALSE)</f>
        <v>Hinter</v>
      </c>
      <c r="E138">
        <f>YEAR(A138)</f>
        <v>2014</v>
      </c>
    </row>
    <row r="139" spans="1:5">
      <c r="A139" s="32">
        <v>41757</v>
      </c>
      <c r="B139" t="s">
        <v>2</v>
      </c>
      <c r="C139">
        <v>2714</v>
      </c>
      <c r="D139" t="str">
        <f>VLOOKUP(B139,BaseTable,2,FALSE)</f>
        <v>Weiter</v>
      </c>
      <c r="E139">
        <f>YEAR(A139)</f>
        <v>2014</v>
      </c>
    </row>
    <row r="140" spans="1:5">
      <c r="A140" s="32">
        <v>41757</v>
      </c>
      <c r="B140" t="s">
        <v>3</v>
      </c>
      <c r="C140">
        <v>5791</v>
      </c>
      <c r="D140" t="str">
        <f>VLOOKUP(B140,BaseTable,2,FALSE)</f>
        <v>Schmecken</v>
      </c>
      <c r="E140">
        <f>YEAR(A140)</f>
        <v>2014</v>
      </c>
    </row>
    <row r="141" spans="1:5">
      <c r="A141" s="32">
        <v>41757</v>
      </c>
      <c r="B141" t="s">
        <v>4</v>
      </c>
      <c r="C141">
        <v>246</v>
      </c>
      <c r="D141" t="str">
        <f>VLOOKUP(B141,BaseTable,2,FALSE)</f>
        <v>Danach-NY</v>
      </c>
      <c r="E141">
        <f>YEAR(A141)</f>
        <v>2014</v>
      </c>
    </row>
    <row r="142" spans="1:5">
      <c r="A142" s="32">
        <v>41758</v>
      </c>
      <c r="B142" t="s">
        <v>0</v>
      </c>
      <c r="C142">
        <v>1487</v>
      </c>
      <c r="D142" t="str">
        <f>VLOOKUP(B142,BaseTable,2,FALSE)</f>
        <v>Unter</v>
      </c>
      <c r="E142">
        <f>YEAR(A142)</f>
        <v>2014</v>
      </c>
    </row>
    <row r="143" spans="1:5">
      <c r="A143" s="32">
        <v>41758</v>
      </c>
      <c r="B143" t="s">
        <v>1</v>
      </c>
      <c r="C143">
        <v>8515</v>
      </c>
      <c r="D143" t="str">
        <f>VLOOKUP(B143,BaseTable,2,FALSE)</f>
        <v>Hinter</v>
      </c>
      <c r="E143">
        <f>YEAR(A143)</f>
        <v>2014</v>
      </c>
    </row>
    <row r="144" spans="1:5">
      <c r="A144" s="32">
        <v>41758</v>
      </c>
      <c r="B144" t="s">
        <v>2</v>
      </c>
      <c r="C144">
        <v>4099</v>
      </c>
      <c r="D144" t="str">
        <f>VLOOKUP(B144,BaseTable,2,FALSE)</f>
        <v>Weiter</v>
      </c>
      <c r="E144">
        <f>YEAR(A144)</f>
        <v>2014</v>
      </c>
    </row>
    <row r="145" spans="1:5">
      <c r="A145" s="32">
        <v>41758</v>
      </c>
      <c r="B145" t="s">
        <v>3</v>
      </c>
      <c r="C145">
        <v>8348</v>
      </c>
      <c r="D145" t="str">
        <f>VLOOKUP(B145,BaseTable,2,FALSE)</f>
        <v>Schmecken</v>
      </c>
      <c r="E145">
        <f>YEAR(A145)</f>
        <v>2014</v>
      </c>
    </row>
    <row r="146" spans="1:5">
      <c r="A146" s="32">
        <v>41758</v>
      </c>
      <c r="B146" t="s">
        <v>4</v>
      </c>
      <c r="C146">
        <v>386</v>
      </c>
      <c r="D146" t="str">
        <f>VLOOKUP(B146,BaseTable,2,FALSE)</f>
        <v>Danach-NY</v>
      </c>
      <c r="E146">
        <f>YEAR(A146)</f>
        <v>2014</v>
      </c>
    </row>
    <row r="147" spans="1:5">
      <c r="A147" s="32">
        <v>41759</v>
      </c>
      <c r="B147" t="s">
        <v>0</v>
      </c>
      <c r="C147">
        <v>2186</v>
      </c>
      <c r="D147" t="str">
        <f>VLOOKUP(B147,BaseTable,2,FALSE)</f>
        <v>Unter</v>
      </c>
      <c r="E147">
        <f>YEAR(A147)</f>
        <v>2014</v>
      </c>
    </row>
    <row r="148" spans="1:5">
      <c r="A148" s="32">
        <v>41759</v>
      </c>
      <c r="B148" t="s">
        <v>1</v>
      </c>
      <c r="C148">
        <v>13484</v>
      </c>
      <c r="D148" t="str">
        <f>VLOOKUP(B148,BaseTable,2,FALSE)</f>
        <v>Hinter</v>
      </c>
      <c r="E148">
        <f>YEAR(A148)</f>
        <v>2014</v>
      </c>
    </row>
    <row r="149" spans="1:5">
      <c r="A149" s="32">
        <v>41759</v>
      </c>
      <c r="B149" t="s">
        <v>2</v>
      </c>
      <c r="C149">
        <v>6648</v>
      </c>
      <c r="D149" t="str">
        <f>VLOOKUP(B149,BaseTable,2,FALSE)</f>
        <v>Weiter</v>
      </c>
      <c r="E149">
        <f>YEAR(A149)</f>
        <v>2014</v>
      </c>
    </row>
    <row r="150" spans="1:5">
      <c r="A150" s="32">
        <v>41759</v>
      </c>
      <c r="B150" t="s">
        <v>3</v>
      </c>
      <c r="C150">
        <v>13327</v>
      </c>
      <c r="D150" t="str">
        <f>VLOOKUP(B150,BaseTable,2,FALSE)</f>
        <v>Schmecken</v>
      </c>
      <c r="E150">
        <f>YEAR(A150)</f>
        <v>2014</v>
      </c>
    </row>
    <row r="151" spans="1:5">
      <c r="A151" s="32">
        <v>41759</v>
      </c>
      <c r="B151" t="s">
        <v>4</v>
      </c>
      <c r="C151">
        <v>606</v>
      </c>
      <c r="D151" t="str">
        <f>VLOOKUP(B151,BaseTable,2,FALSE)</f>
        <v>Danach-NY</v>
      </c>
      <c r="E151">
        <f>YEAR(A151)</f>
        <v>2014</v>
      </c>
    </row>
    <row r="152" spans="1:5">
      <c r="A152" s="32">
        <v>41760</v>
      </c>
      <c r="B152" t="s">
        <v>0</v>
      </c>
      <c r="C152">
        <v>1368</v>
      </c>
      <c r="D152" t="str">
        <f>VLOOKUP(B152,BaseTable,2,FALSE)</f>
        <v>Unter</v>
      </c>
      <c r="E152">
        <f>YEAR(A152)</f>
        <v>2014</v>
      </c>
    </row>
    <row r="153" spans="1:5">
      <c r="A153" s="32">
        <v>41760</v>
      </c>
      <c r="B153" t="s">
        <v>1</v>
      </c>
      <c r="C153">
        <v>8814</v>
      </c>
      <c r="D153" t="str">
        <f>VLOOKUP(B153,BaseTable,2,FALSE)</f>
        <v>Hinter</v>
      </c>
      <c r="E153">
        <f>YEAR(A153)</f>
        <v>2014</v>
      </c>
    </row>
    <row r="154" spans="1:5">
      <c r="A154" s="32">
        <v>41760</v>
      </c>
      <c r="B154" t="s">
        <v>2</v>
      </c>
      <c r="C154">
        <v>4236</v>
      </c>
      <c r="D154" t="str">
        <f>VLOOKUP(B154,BaseTable,2,FALSE)</f>
        <v>Weiter</v>
      </c>
      <c r="E154">
        <f>YEAR(A154)</f>
        <v>2014</v>
      </c>
    </row>
    <row r="155" spans="1:5">
      <c r="A155" s="32">
        <v>41760</v>
      </c>
      <c r="B155" t="s">
        <v>3</v>
      </c>
      <c r="C155">
        <v>8582</v>
      </c>
      <c r="D155" t="str">
        <f>VLOOKUP(B155,BaseTable,2,FALSE)</f>
        <v>Schmecken</v>
      </c>
      <c r="E155">
        <f>YEAR(A155)</f>
        <v>2014</v>
      </c>
    </row>
    <row r="156" spans="1:5">
      <c r="A156" s="32">
        <v>41760</v>
      </c>
      <c r="B156" t="s">
        <v>4</v>
      </c>
      <c r="C156">
        <v>375</v>
      </c>
      <c r="D156" t="str">
        <f>VLOOKUP(B156,BaseTable,2,FALSE)</f>
        <v>Danach-NY</v>
      </c>
      <c r="E156">
        <f>YEAR(A156)</f>
        <v>2014</v>
      </c>
    </row>
    <row r="157" spans="1:5">
      <c r="A157" s="32">
        <v>41761</v>
      </c>
      <c r="B157" t="s">
        <v>0</v>
      </c>
      <c r="C157">
        <v>1467</v>
      </c>
      <c r="D157" t="str">
        <f>VLOOKUP(B157,BaseTable,2,FALSE)</f>
        <v>Unter</v>
      </c>
      <c r="E157">
        <f>YEAR(A157)</f>
        <v>2014</v>
      </c>
    </row>
    <row r="158" spans="1:5">
      <c r="A158" s="32">
        <v>41761</v>
      </c>
      <c r="B158" t="s">
        <v>1</v>
      </c>
      <c r="C158">
        <v>9394</v>
      </c>
      <c r="D158" t="str">
        <f>VLOOKUP(B158,BaseTable,2,FALSE)</f>
        <v>Hinter</v>
      </c>
      <c r="E158">
        <f>YEAR(A158)</f>
        <v>2014</v>
      </c>
    </row>
    <row r="159" spans="1:5">
      <c r="A159" s="32">
        <v>41761</v>
      </c>
      <c r="B159" t="s">
        <v>2</v>
      </c>
      <c r="C159">
        <v>4289</v>
      </c>
      <c r="D159" t="str">
        <f>VLOOKUP(B159,BaseTable,2,FALSE)</f>
        <v>Weiter</v>
      </c>
      <c r="E159">
        <f>YEAR(A159)</f>
        <v>2014</v>
      </c>
    </row>
    <row r="160" spans="1:5">
      <c r="A160" s="32">
        <v>41761</v>
      </c>
      <c r="B160" t="s">
        <v>3</v>
      </c>
      <c r="C160">
        <v>8752</v>
      </c>
      <c r="D160" t="str">
        <f>VLOOKUP(B160,BaseTable,2,FALSE)</f>
        <v>Schmecken</v>
      </c>
      <c r="E160">
        <f>YEAR(A160)</f>
        <v>2014</v>
      </c>
    </row>
    <row r="161" spans="1:5">
      <c r="A161" s="32">
        <v>41761</v>
      </c>
      <c r="B161" t="s">
        <v>4</v>
      </c>
      <c r="C161">
        <v>333</v>
      </c>
      <c r="D161" t="str">
        <f>VLOOKUP(B161,BaseTable,2,FALSE)</f>
        <v>Danach-NY</v>
      </c>
      <c r="E161">
        <f>YEAR(A161)</f>
        <v>2014</v>
      </c>
    </row>
    <row r="162" spans="1:5">
      <c r="A162" s="32">
        <v>41762</v>
      </c>
      <c r="B162" t="s">
        <v>0</v>
      </c>
      <c r="C162">
        <v>1287</v>
      </c>
      <c r="D162" t="str">
        <f>VLOOKUP(B162,BaseTable,2,FALSE)</f>
        <v>Unter</v>
      </c>
      <c r="E162">
        <f>YEAR(A162)</f>
        <v>2014</v>
      </c>
    </row>
    <row r="163" spans="1:5">
      <c r="A163" s="32">
        <v>41762</v>
      </c>
      <c r="B163" t="s">
        <v>1</v>
      </c>
      <c r="C163">
        <v>8946</v>
      </c>
      <c r="D163" t="str">
        <f>VLOOKUP(B163,BaseTable,2,FALSE)</f>
        <v>Hinter</v>
      </c>
      <c r="E163">
        <f>YEAR(A163)</f>
        <v>2014</v>
      </c>
    </row>
    <row r="164" spans="1:5">
      <c r="A164" s="32">
        <v>41762</v>
      </c>
      <c r="B164" t="s">
        <v>2</v>
      </c>
      <c r="C164">
        <v>3439</v>
      </c>
      <c r="D164" t="str">
        <f>VLOOKUP(B164,BaseTable,2,FALSE)</f>
        <v>Weiter</v>
      </c>
      <c r="E164">
        <f>YEAR(A164)</f>
        <v>2014</v>
      </c>
    </row>
    <row r="165" spans="1:5">
      <c r="A165" s="32">
        <v>41762</v>
      </c>
      <c r="B165" t="s">
        <v>3</v>
      </c>
      <c r="C165">
        <v>8240</v>
      </c>
      <c r="D165" t="str">
        <f>VLOOKUP(B165,BaseTable,2,FALSE)</f>
        <v>Schmecken</v>
      </c>
      <c r="E165">
        <f>YEAR(A165)</f>
        <v>2014</v>
      </c>
    </row>
    <row r="166" spans="1:5">
      <c r="A166" s="32">
        <v>41762</v>
      </c>
      <c r="B166" t="s">
        <v>4</v>
      </c>
      <c r="C166">
        <v>322</v>
      </c>
      <c r="D166" t="str">
        <f>VLOOKUP(B166,BaseTable,2,FALSE)</f>
        <v>Danach-NY</v>
      </c>
      <c r="E166">
        <f>YEAR(A166)</f>
        <v>2014</v>
      </c>
    </row>
    <row r="167" spans="1:5">
      <c r="A167" s="32">
        <v>41763</v>
      </c>
      <c r="B167" t="s">
        <v>0</v>
      </c>
      <c r="C167">
        <v>890</v>
      </c>
      <c r="D167" t="str">
        <f>VLOOKUP(B167,BaseTable,2,FALSE)</f>
        <v>Unter</v>
      </c>
      <c r="E167">
        <f>YEAR(A167)</f>
        <v>2014</v>
      </c>
    </row>
    <row r="168" spans="1:5">
      <c r="A168" s="32">
        <v>41763</v>
      </c>
      <c r="B168" t="s">
        <v>1</v>
      </c>
      <c r="C168">
        <v>5378</v>
      </c>
      <c r="D168" t="str">
        <f>VLOOKUP(B168,BaseTable,2,FALSE)</f>
        <v>Hinter</v>
      </c>
      <c r="E168">
        <f>YEAR(A168)</f>
        <v>2014</v>
      </c>
    </row>
    <row r="169" spans="1:5">
      <c r="A169" s="32">
        <v>41763</v>
      </c>
      <c r="B169" t="s">
        <v>2</v>
      </c>
      <c r="C169">
        <v>2430</v>
      </c>
      <c r="D169" t="str">
        <f>VLOOKUP(B169,BaseTable,2,FALSE)</f>
        <v>Weiter</v>
      </c>
      <c r="E169">
        <f>YEAR(A169)</f>
        <v>2014</v>
      </c>
    </row>
    <row r="170" spans="1:5">
      <c r="A170" s="32">
        <v>41763</v>
      </c>
      <c r="B170" t="s">
        <v>3</v>
      </c>
      <c r="C170">
        <v>5038</v>
      </c>
      <c r="D170" t="str">
        <f>VLOOKUP(B170,BaseTable,2,FALSE)</f>
        <v>Schmecken</v>
      </c>
      <c r="E170">
        <f>YEAR(A170)</f>
        <v>2014</v>
      </c>
    </row>
    <row r="171" spans="1:5">
      <c r="A171" s="32">
        <v>41763</v>
      </c>
      <c r="B171" t="s">
        <v>4</v>
      </c>
      <c r="C171">
        <v>182</v>
      </c>
      <c r="D171" t="str">
        <f>VLOOKUP(B171,BaseTable,2,FALSE)</f>
        <v>Danach-NY</v>
      </c>
      <c r="E171">
        <f>YEAR(A171)</f>
        <v>2014</v>
      </c>
    </row>
    <row r="172" spans="1:5">
      <c r="A172" s="32">
        <v>41764</v>
      </c>
      <c r="B172" t="s">
        <v>0</v>
      </c>
      <c r="C172">
        <v>1173</v>
      </c>
      <c r="D172" t="str">
        <f>VLOOKUP(B172,BaseTable,2,FALSE)</f>
        <v>Unter</v>
      </c>
      <c r="E172">
        <f>YEAR(A172)</f>
        <v>2014</v>
      </c>
    </row>
    <row r="173" spans="1:5">
      <c r="A173" s="32">
        <v>41764</v>
      </c>
      <c r="B173" t="s">
        <v>1</v>
      </c>
      <c r="C173">
        <v>7035</v>
      </c>
      <c r="D173" t="str">
        <f>VLOOKUP(B173,BaseTable,2,FALSE)</f>
        <v>Hinter</v>
      </c>
      <c r="E173">
        <f>YEAR(A173)</f>
        <v>2014</v>
      </c>
    </row>
    <row r="174" spans="1:5">
      <c r="A174" s="32">
        <v>41764</v>
      </c>
      <c r="B174" t="s">
        <v>2</v>
      </c>
      <c r="C174">
        <v>2992</v>
      </c>
      <c r="D174" t="str">
        <f>VLOOKUP(B174,BaseTable,2,FALSE)</f>
        <v>Weiter</v>
      </c>
      <c r="E174">
        <f>YEAR(A174)</f>
        <v>2014</v>
      </c>
    </row>
    <row r="175" spans="1:5">
      <c r="A175" s="32">
        <v>41764</v>
      </c>
      <c r="B175" t="s">
        <v>3</v>
      </c>
      <c r="C175">
        <v>6403</v>
      </c>
      <c r="D175" t="str">
        <f>VLOOKUP(B175,BaseTable,2,FALSE)</f>
        <v>Schmecken</v>
      </c>
      <c r="E175">
        <f>YEAR(A175)</f>
        <v>2014</v>
      </c>
    </row>
    <row r="176" spans="1:5">
      <c r="A176" s="32">
        <v>41764</v>
      </c>
      <c r="B176" t="s">
        <v>4</v>
      </c>
      <c r="C176">
        <v>256</v>
      </c>
      <c r="D176" t="str">
        <f>VLOOKUP(B176,BaseTable,2,FALSE)</f>
        <v>Danach-NY</v>
      </c>
      <c r="E176">
        <f>YEAR(A176)</f>
        <v>2014</v>
      </c>
    </row>
    <row r="177" spans="1:5">
      <c r="A177" s="32">
        <v>41765</v>
      </c>
      <c r="B177" t="s">
        <v>0</v>
      </c>
      <c r="C177">
        <v>1283</v>
      </c>
      <c r="D177" t="str">
        <f>VLOOKUP(B177,BaseTable,2,FALSE)</f>
        <v>Unter</v>
      </c>
      <c r="E177">
        <f>YEAR(A177)</f>
        <v>2014</v>
      </c>
    </row>
    <row r="178" spans="1:5">
      <c r="A178" s="32">
        <v>41765</v>
      </c>
      <c r="B178" t="s">
        <v>1</v>
      </c>
      <c r="C178">
        <v>7586</v>
      </c>
      <c r="D178" t="str">
        <f>VLOOKUP(B178,BaseTable,2,FALSE)</f>
        <v>Hinter</v>
      </c>
      <c r="E178">
        <f>YEAR(A178)</f>
        <v>2014</v>
      </c>
    </row>
    <row r="179" spans="1:5">
      <c r="A179" s="32">
        <v>41765</v>
      </c>
      <c r="B179" t="s">
        <v>2</v>
      </c>
      <c r="C179">
        <v>3466</v>
      </c>
      <c r="D179" t="str">
        <f>VLOOKUP(B179,BaseTable,2,FALSE)</f>
        <v>Weiter</v>
      </c>
      <c r="E179">
        <f>YEAR(A179)</f>
        <v>2014</v>
      </c>
    </row>
    <row r="180" spans="1:5">
      <c r="A180" s="32">
        <v>41765</v>
      </c>
      <c r="B180" t="s">
        <v>3</v>
      </c>
      <c r="C180">
        <v>6660</v>
      </c>
      <c r="D180" t="str">
        <f>VLOOKUP(B180,BaseTable,2,FALSE)</f>
        <v>Schmecken</v>
      </c>
      <c r="E180">
        <f>YEAR(A180)</f>
        <v>2014</v>
      </c>
    </row>
    <row r="181" spans="1:5">
      <c r="A181" s="32">
        <v>41765</v>
      </c>
      <c r="B181" t="s">
        <v>4</v>
      </c>
      <c r="C181">
        <v>305</v>
      </c>
      <c r="D181" t="str">
        <f>VLOOKUP(B181,BaseTable,2,FALSE)</f>
        <v>Danach-NY</v>
      </c>
      <c r="E181">
        <f>YEAR(A181)</f>
        <v>2014</v>
      </c>
    </row>
    <row r="182" spans="1:5">
      <c r="A182" s="32">
        <v>41766</v>
      </c>
      <c r="B182" t="s">
        <v>0</v>
      </c>
      <c r="C182">
        <v>1221</v>
      </c>
      <c r="D182" t="str">
        <f>VLOOKUP(B182,BaseTable,2,FALSE)</f>
        <v>Unter</v>
      </c>
      <c r="E182">
        <f>YEAR(A182)</f>
        <v>2014</v>
      </c>
    </row>
    <row r="183" spans="1:5">
      <c r="A183" s="32">
        <v>41766</v>
      </c>
      <c r="B183" t="s">
        <v>1</v>
      </c>
      <c r="C183">
        <v>8672</v>
      </c>
      <c r="D183" t="str">
        <f>VLOOKUP(B183,BaseTable,2,FALSE)</f>
        <v>Hinter</v>
      </c>
      <c r="E183">
        <f>YEAR(A183)</f>
        <v>2014</v>
      </c>
    </row>
    <row r="184" spans="1:5">
      <c r="A184" s="32">
        <v>41766</v>
      </c>
      <c r="B184" t="s">
        <v>2</v>
      </c>
      <c r="C184">
        <v>3920</v>
      </c>
      <c r="D184" t="str">
        <f>VLOOKUP(B184,BaseTable,2,FALSE)</f>
        <v>Weiter</v>
      </c>
      <c r="E184">
        <f>YEAR(A184)</f>
        <v>2014</v>
      </c>
    </row>
    <row r="185" spans="1:5">
      <c r="A185" s="32">
        <v>41766</v>
      </c>
      <c r="B185" t="s">
        <v>3</v>
      </c>
      <c r="C185">
        <v>7729</v>
      </c>
      <c r="D185" t="str">
        <f>VLOOKUP(B185,BaseTable,2,FALSE)</f>
        <v>Schmecken</v>
      </c>
      <c r="E185">
        <f>YEAR(A185)</f>
        <v>2014</v>
      </c>
    </row>
    <row r="186" spans="1:5">
      <c r="A186" s="32">
        <v>41766</v>
      </c>
      <c r="B186" t="s">
        <v>4</v>
      </c>
      <c r="C186">
        <v>349</v>
      </c>
      <c r="D186" t="str">
        <f>VLOOKUP(B186,BaseTable,2,FALSE)</f>
        <v>Danach-NY</v>
      </c>
      <c r="E186">
        <f>YEAR(A186)</f>
        <v>2014</v>
      </c>
    </row>
    <row r="187" spans="1:5">
      <c r="A187" s="32">
        <v>41767</v>
      </c>
      <c r="B187" t="s">
        <v>0</v>
      </c>
      <c r="C187">
        <v>1575</v>
      </c>
      <c r="D187" t="str">
        <f>VLOOKUP(B187,BaseTable,2,FALSE)</f>
        <v>Unter</v>
      </c>
      <c r="E187">
        <f>YEAR(A187)</f>
        <v>2014</v>
      </c>
    </row>
    <row r="188" spans="1:5">
      <c r="A188" s="32">
        <v>41767</v>
      </c>
      <c r="B188" t="s">
        <v>1</v>
      </c>
      <c r="C188">
        <v>10784</v>
      </c>
      <c r="D188" t="str">
        <f>VLOOKUP(B188,BaseTable,2,FALSE)</f>
        <v>Hinter</v>
      </c>
      <c r="E188">
        <f>YEAR(A188)</f>
        <v>2014</v>
      </c>
    </row>
    <row r="189" spans="1:5">
      <c r="A189" s="32">
        <v>41767</v>
      </c>
      <c r="B189" t="s">
        <v>2</v>
      </c>
      <c r="C189">
        <v>4802</v>
      </c>
      <c r="D189" t="str">
        <f>VLOOKUP(B189,BaseTable,2,FALSE)</f>
        <v>Weiter</v>
      </c>
      <c r="E189">
        <f>YEAR(A189)</f>
        <v>2014</v>
      </c>
    </row>
    <row r="190" spans="1:5">
      <c r="A190" s="32">
        <v>41767</v>
      </c>
      <c r="B190" t="s">
        <v>3</v>
      </c>
      <c r="C190">
        <v>9918</v>
      </c>
      <c r="D190" t="str">
        <f>VLOOKUP(B190,BaseTable,2,FALSE)</f>
        <v>Schmecken</v>
      </c>
      <c r="E190">
        <f>YEAR(A190)</f>
        <v>2014</v>
      </c>
    </row>
    <row r="191" spans="1:5">
      <c r="A191" s="32">
        <v>41767</v>
      </c>
      <c r="B191" t="s">
        <v>4</v>
      </c>
      <c r="C191">
        <v>434</v>
      </c>
      <c r="D191" t="str">
        <f>VLOOKUP(B191,BaseTable,2,FALSE)</f>
        <v>Danach-NY</v>
      </c>
      <c r="E191">
        <f>YEAR(A191)</f>
        <v>2014</v>
      </c>
    </row>
    <row r="192" spans="1:5">
      <c r="A192" s="32">
        <v>41768</v>
      </c>
      <c r="B192" t="s">
        <v>0</v>
      </c>
      <c r="C192">
        <v>1554</v>
      </c>
      <c r="D192" t="str">
        <f>VLOOKUP(B192,BaseTable,2,FALSE)</f>
        <v>Unter</v>
      </c>
      <c r="E192">
        <f>YEAR(A192)</f>
        <v>2014</v>
      </c>
    </row>
    <row r="193" spans="1:5">
      <c r="A193" s="32">
        <v>41768</v>
      </c>
      <c r="B193" t="s">
        <v>1</v>
      </c>
      <c r="C193">
        <v>10469</v>
      </c>
      <c r="D193" t="str">
        <f>VLOOKUP(B193,BaseTable,2,FALSE)</f>
        <v>Hinter</v>
      </c>
      <c r="E193">
        <f>YEAR(A193)</f>
        <v>2014</v>
      </c>
    </row>
    <row r="194" spans="1:5">
      <c r="A194" s="32">
        <v>41768</v>
      </c>
      <c r="B194" t="s">
        <v>2</v>
      </c>
      <c r="C194">
        <v>4591</v>
      </c>
      <c r="D194" t="str">
        <f>VLOOKUP(B194,BaseTable,2,FALSE)</f>
        <v>Weiter</v>
      </c>
      <c r="E194">
        <f>YEAR(A194)</f>
        <v>2014</v>
      </c>
    </row>
    <row r="195" spans="1:5">
      <c r="A195" s="32">
        <v>41768</v>
      </c>
      <c r="B195" t="s">
        <v>3</v>
      </c>
      <c r="C195">
        <v>9414</v>
      </c>
      <c r="D195" t="str">
        <f>VLOOKUP(B195,BaseTable,2,FALSE)</f>
        <v>Schmecken</v>
      </c>
      <c r="E195">
        <f>YEAR(A195)</f>
        <v>2014</v>
      </c>
    </row>
    <row r="196" spans="1:5">
      <c r="A196" s="32">
        <v>41768</v>
      </c>
      <c r="B196" t="s">
        <v>4</v>
      </c>
      <c r="C196">
        <v>357</v>
      </c>
      <c r="D196" t="str">
        <f>VLOOKUP(B196,BaseTable,2,FALSE)</f>
        <v>Danach-NY</v>
      </c>
      <c r="E196">
        <f>YEAR(A196)</f>
        <v>2014</v>
      </c>
    </row>
    <row r="197" spans="1:5">
      <c r="A197" s="32">
        <v>41769</v>
      </c>
      <c r="B197" t="s">
        <v>0</v>
      </c>
      <c r="C197">
        <v>1318</v>
      </c>
      <c r="D197" t="str">
        <f>VLOOKUP(B197,BaseTable,2,FALSE)</f>
        <v>Unter</v>
      </c>
      <c r="E197">
        <f>YEAR(A197)</f>
        <v>2014</v>
      </c>
    </row>
    <row r="198" spans="1:5">
      <c r="A198" s="32">
        <v>41769</v>
      </c>
      <c r="B198" t="s">
        <v>1</v>
      </c>
      <c r="C198">
        <v>9372</v>
      </c>
      <c r="D198" t="str">
        <f>VLOOKUP(B198,BaseTable,2,FALSE)</f>
        <v>Hinter</v>
      </c>
      <c r="E198">
        <f>YEAR(A198)</f>
        <v>2014</v>
      </c>
    </row>
    <row r="199" spans="1:5">
      <c r="A199" s="32">
        <v>41769</v>
      </c>
      <c r="B199" t="s">
        <v>2</v>
      </c>
      <c r="C199">
        <v>3630</v>
      </c>
      <c r="D199" t="str">
        <f>VLOOKUP(B199,BaseTable,2,FALSE)</f>
        <v>Weiter</v>
      </c>
      <c r="E199">
        <f>YEAR(A199)</f>
        <v>2014</v>
      </c>
    </row>
    <row r="200" spans="1:5">
      <c r="A200" s="32">
        <v>41769</v>
      </c>
      <c r="B200" t="s">
        <v>3</v>
      </c>
      <c r="C200">
        <v>7910</v>
      </c>
      <c r="D200" t="str">
        <f>VLOOKUP(B200,BaseTable,2,FALSE)</f>
        <v>Schmecken</v>
      </c>
      <c r="E200">
        <f>YEAR(A200)</f>
        <v>2014</v>
      </c>
    </row>
    <row r="201" spans="1:5">
      <c r="A201" s="32">
        <v>41769</v>
      </c>
      <c r="B201" t="s">
        <v>4</v>
      </c>
      <c r="C201">
        <v>320</v>
      </c>
      <c r="D201" t="str">
        <f>VLOOKUP(B201,BaseTable,2,FALSE)</f>
        <v>Danach-NY</v>
      </c>
      <c r="E201">
        <f>YEAR(A201)</f>
        <v>2014</v>
      </c>
    </row>
    <row r="202" spans="1:5">
      <c r="A202" s="32">
        <v>41770</v>
      </c>
      <c r="B202" t="s">
        <v>0</v>
      </c>
      <c r="C202">
        <v>767</v>
      </c>
      <c r="D202" t="str">
        <f>VLOOKUP(B202,BaseTable,2,FALSE)</f>
        <v>Unter</v>
      </c>
      <c r="E202">
        <f>YEAR(A202)</f>
        <v>2014</v>
      </c>
    </row>
    <row r="203" spans="1:5">
      <c r="A203" s="32">
        <v>41770</v>
      </c>
      <c r="B203" t="s">
        <v>1</v>
      </c>
      <c r="C203">
        <v>6198</v>
      </c>
      <c r="D203" t="str">
        <f>VLOOKUP(B203,BaseTable,2,FALSE)</f>
        <v>Hinter</v>
      </c>
      <c r="E203">
        <f>YEAR(A203)</f>
        <v>2014</v>
      </c>
    </row>
    <row r="204" spans="1:5">
      <c r="A204" s="32">
        <v>41770</v>
      </c>
      <c r="B204" t="s">
        <v>2</v>
      </c>
      <c r="C204">
        <v>2613</v>
      </c>
      <c r="D204" t="str">
        <f>VLOOKUP(B204,BaseTable,2,FALSE)</f>
        <v>Weiter</v>
      </c>
      <c r="E204">
        <f>YEAR(A204)</f>
        <v>2014</v>
      </c>
    </row>
    <row r="205" spans="1:5">
      <c r="A205" s="32">
        <v>41770</v>
      </c>
      <c r="B205" t="s">
        <v>3</v>
      </c>
      <c r="C205">
        <v>5117</v>
      </c>
      <c r="D205" t="str">
        <f>VLOOKUP(B205,BaseTable,2,FALSE)</f>
        <v>Schmecken</v>
      </c>
      <c r="E205">
        <f>YEAR(A205)</f>
        <v>2014</v>
      </c>
    </row>
    <row r="206" spans="1:5">
      <c r="A206" s="32">
        <v>41770</v>
      </c>
      <c r="B206" t="s">
        <v>4</v>
      </c>
      <c r="C206">
        <v>206</v>
      </c>
      <c r="D206" t="str">
        <f>VLOOKUP(B206,BaseTable,2,FALSE)</f>
        <v>Danach-NY</v>
      </c>
      <c r="E206">
        <f>YEAR(A206)</f>
        <v>2014</v>
      </c>
    </row>
    <row r="207" spans="1:5">
      <c r="A207" s="32">
        <v>41771</v>
      </c>
      <c r="B207" t="s">
        <v>0</v>
      </c>
      <c r="C207">
        <v>1023</v>
      </c>
      <c r="D207" t="str">
        <f>VLOOKUP(B207,BaseTable,2,FALSE)</f>
        <v>Unter</v>
      </c>
      <c r="E207">
        <f>YEAR(A207)</f>
        <v>2014</v>
      </c>
    </row>
    <row r="208" spans="1:5">
      <c r="A208" s="32">
        <v>41771</v>
      </c>
      <c r="B208" t="s">
        <v>1</v>
      </c>
      <c r="C208">
        <v>7115</v>
      </c>
      <c r="D208" t="str">
        <f>VLOOKUP(B208,BaseTable,2,FALSE)</f>
        <v>Hinter</v>
      </c>
      <c r="E208">
        <f>YEAR(A208)</f>
        <v>2014</v>
      </c>
    </row>
    <row r="209" spans="1:5">
      <c r="A209" s="32">
        <v>41771</v>
      </c>
      <c r="B209" t="s">
        <v>2</v>
      </c>
      <c r="C209">
        <v>3021</v>
      </c>
      <c r="D209" t="str">
        <f>VLOOKUP(B209,BaseTable,2,FALSE)</f>
        <v>Weiter</v>
      </c>
      <c r="E209">
        <f>YEAR(A209)</f>
        <v>2014</v>
      </c>
    </row>
    <row r="210" spans="1:5">
      <c r="A210" s="32">
        <v>41771</v>
      </c>
      <c r="B210" t="s">
        <v>3</v>
      </c>
      <c r="C210">
        <v>6075</v>
      </c>
      <c r="D210" t="str">
        <f>VLOOKUP(B210,BaseTable,2,FALSE)</f>
        <v>Schmecken</v>
      </c>
      <c r="E210">
        <f>YEAR(A210)</f>
        <v>2014</v>
      </c>
    </row>
    <row r="211" spans="1:5">
      <c r="A211" s="32">
        <v>41771</v>
      </c>
      <c r="B211" t="s">
        <v>4</v>
      </c>
      <c r="C211">
        <v>236</v>
      </c>
      <c r="D211" t="str">
        <f>VLOOKUP(B211,BaseTable,2,FALSE)</f>
        <v>Danach-NY</v>
      </c>
      <c r="E211">
        <f>YEAR(A211)</f>
        <v>2014</v>
      </c>
    </row>
    <row r="212" spans="1:5">
      <c r="A212" s="32">
        <v>41772</v>
      </c>
      <c r="B212" t="s">
        <v>0</v>
      </c>
      <c r="C212">
        <v>1149</v>
      </c>
      <c r="D212" t="str">
        <f>VLOOKUP(B212,BaseTable,2,FALSE)</f>
        <v>Unter</v>
      </c>
      <c r="E212">
        <f>YEAR(A212)</f>
        <v>2014</v>
      </c>
    </row>
    <row r="213" spans="1:5">
      <c r="A213" s="32">
        <v>41772</v>
      </c>
      <c r="B213" t="s">
        <v>1</v>
      </c>
      <c r="C213">
        <v>7873</v>
      </c>
      <c r="D213" t="str">
        <f>VLOOKUP(B213,BaseTable,2,FALSE)</f>
        <v>Hinter</v>
      </c>
      <c r="E213">
        <f>YEAR(A213)</f>
        <v>2014</v>
      </c>
    </row>
    <row r="214" spans="1:5">
      <c r="A214" s="32">
        <v>41772</v>
      </c>
      <c r="B214" t="s">
        <v>2</v>
      </c>
      <c r="C214">
        <v>3443</v>
      </c>
      <c r="D214" t="str">
        <f>VLOOKUP(B214,BaseTable,2,FALSE)</f>
        <v>Weiter</v>
      </c>
      <c r="E214">
        <f>YEAR(A214)</f>
        <v>2014</v>
      </c>
    </row>
    <row r="215" spans="1:5">
      <c r="A215" s="32">
        <v>41772</v>
      </c>
      <c r="B215" t="s">
        <v>3</v>
      </c>
      <c r="C215">
        <v>6719</v>
      </c>
      <c r="D215" t="str">
        <f>VLOOKUP(B215,BaseTable,2,FALSE)</f>
        <v>Schmecken</v>
      </c>
      <c r="E215">
        <f>YEAR(A215)</f>
        <v>2014</v>
      </c>
    </row>
    <row r="216" spans="1:5">
      <c r="A216" s="32">
        <v>41772</v>
      </c>
      <c r="B216" t="s">
        <v>4</v>
      </c>
      <c r="C216">
        <v>314</v>
      </c>
      <c r="D216" t="str">
        <f>VLOOKUP(B216,BaseTable,2,FALSE)</f>
        <v>Danach-NY</v>
      </c>
      <c r="E216">
        <f>YEAR(A216)</f>
        <v>2014</v>
      </c>
    </row>
    <row r="217" spans="1:5">
      <c r="A217" s="32">
        <v>41773</v>
      </c>
      <c r="B217" t="s">
        <v>0</v>
      </c>
      <c r="C217">
        <v>1203</v>
      </c>
      <c r="D217" t="str">
        <f>VLOOKUP(B217,BaseTable,2,FALSE)</f>
        <v>Unter</v>
      </c>
      <c r="E217">
        <f>YEAR(A217)</f>
        <v>2014</v>
      </c>
    </row>
    <row r="218" spans="1:5">
      <c r="A218" s="32">
        <v>41773</v>
      </c>
      <c r="B218" t="s">
        <v>1</v>
      </c>
      <c r="C218">
        <v>9002</v>
      </c>
      <c r="D218" t="str">
        <f>VLOOKUP(B218,BaseTable,2,FALSE)</f>
        <v>Hinter</v>
      </c>
      <c r="E218">
        <f>YEAR(A218)</f>
        <v>2014</v>
      </c>
    </row>
    <row r="219" spans="1:5">
      <c r="A219" s="32">
        <v>41773</v>
      </c>
      <c r="B219" t="s">
        <v>2</v>
      </c>
      <c r="C219">
        <v>3995</v>
      </c>
      <c r="D219" t="str">
        <f>VLOOKUP(B219,BaseTable,2,FALSE)</f>
        <v>Weiter</v>
      </c>
      <c r="E219">
        <f>YEAR(A219)</f>
        <v>2014</v>
      </c>
    </row>
    <row r="220" spans="1:5">
      <c r="A220" s="32">
        <v>41773</v>
      </c>
      <c r="B220" t="s">
        <v>3</v>
      </c>
      <c r="C220">
        <v>7721</v>
      </c>
      <c r="D220" t="str">
        <f>VLOOKUP(B220,BaseTable,2,FALSE)</f>
        <v>Schmecken</v>
      </c>
      <c r="E220">
        <f>YEAR(A220)</f>
        <v>2014</v>
      </c>
    </row>
    <row r="221" spans="1:5">
      <c r="A221" s="32">
        <v>41773</v>
      </c>
      <c r="B221" t="s">
        <v>4</v>
      </c>
      <c r="C221">
        <v>297</v>
      </c>
      <c r="D221" t="str">
        <f>VLOOKUP(B221,BaseTable,2,FALSE)</f>
        <v>Danach-NY</v>
      </c>
      <c r="E221">
        <f>YEAR(A221)</f>
        <v>2014</v>
      </c>
    </row>
    <row r="222" spans="1:5">
      <c r="A222" s="32">
        <v>41774</v>
      </c>
      <c r="B222" t="s">
        <v>0</v>
      </c>
      <c r="C222">
        <v>1407</v>
      </c>
      <c r="D222" t="str">
        <f>VLOOKUP(B222,BaseTable,2,FALSE)</f>
        <v>Unter</v>
      </c>
      <c r="E222">
        <f>YEAR(A222)</f>
        <v>2014</v>
      </c>
    </row>
    <row r="223" spans="1:5">
      <c r="A223" s="32">
        <v>41774</v>
      </c>
      <c r="B223" t="s">
        <v>1</v>
      </c>
      <c r="C223">
        <v>10577</v>
      </c>
      <c r="D223" t="str">
        <f>VLOOKUP(B223,BaseTable,2,FALSE)</f>
        <v>Hinter</v>
      </c>
      <c r="E223">
        <f>YEAR(A223)</f>
        <v>2014</v>
      </c>
    </row>
    <row r="224" spans="1:5">
      <c r="A224" s="32">
        <v>41774</v>
      </c>
      <c r="B224" t="s">
        <v>2</v>
      </c>
      <c r="C224">
        <v>4798</v>
      </c>
      <c r="D224" t="str">
        <f>VLOOKUP(B224,BaseTable,2,FALSE)</f>
        <v>Weiter</v>
      </c>
      <c r="E224">
        <f>YEAR(A224)</f>
        <v>2014</v>
      </c>
    </row>
    <row r="225" spans="1:5">
      <c r="A225" s="32">
        <v>41774</v>
      </c>
      <c r="B225" t="s">
        <v>3</v>
      </c>
      <c r="C225">
        <v>9159</v>
      </c>
      <c r="D225" t="str">
        <f>VLOOKUP(B225,BaseTable,2,FALSE)</f>
        <v>Schmecken</v>
      </c>
      <c r="E225">
        <f>YEAR(A225)</f>
        <v>2014</v>
      </c>
    </row>
    <row r="226" spans="1:5">
      <c r="A226" s="32">
        <v>41774</v>
      </c>
      <c r="B226" t="s">
        <v>4</v>
      </c>
      <c r="C226">
        <v>360</v>
      </c>
      <c r="D226" t="str">
        <f>VLOOKUP(B226,BaseTable,2,FALSE)</f>
        <v>Danach-NY</v>
      </c>
      <c r="E226">
        <f>YEAR(A226)</f>
        <v>2014</v>
      </c>
    </row>
    <row r="227" spans="1:5">
      <c r="A227" s="32">
        <v>41775</v>
      </c>
      <c r="B227" t="s">
        <v>0</v>
      </c>
      <c r="C227">
        <v>1750</v>
      </c>
      <c r="D227" t="str">
        <f>VLOOKUP(B227,BaseTable,2,FALSE)</f>
        <v>Unter</v>
      </c>
      <c r="E227">
        <f>YEAR(A227)</f>
        <v>2014</v>
      </c>
    </row>
    <row r="228" spans="1:5">
      <c r="A228" s="32">
        <v>41775</v>
      </c>
      <c r="B228" t="s">
        <v>1</v>
      </c>
      <c r="C228">
        <v>12991</v>
      </c>
      <c r="D228" t="str">
        <f>VLOOKUP(B228,BaseTable,2,FALSE)</f>
        <v>Hinter</v>
      </c>
      <c r="E228">
        <f>YEAR(A228)</f>
        <v>2014</v>
      </c>
    </row>
    <row r="229" spans="1:5">
      <c r="A229" s="32">
        <v>41775</v>
      </c>
      <c r="B229" t="s">
        <v>2</v>
      </c>
      <c r="C229">
        <v>5982</v>
      </c>
      <c r="D229" t="str">
        <f>VLOOKUP(B229,BaseTable,2,FALSE)</f>
        <v>Weiter</v>
      </c>
      <c r="E229">
        <f>YEAR(A229)</f>
        <v>2014</v>
      </c>
    </row>
    <row r="230" spans="1:5">
      <c r="A230" s="32">
        <v>41775</v>
      </c>
      <c r="B230" t="s">
        <v>3</v>
      </c>
      <c r="C230">
        <v>11284</v>
      </c>
      <c r="D230" t="str">
        <f>VLOOKUP(B230,BaseTable,2,FALSE)</f>
        <v>Schmecken</v>
      </c>
      <c r="E230">
        <f>YEAR(A230)</f>
        <v>2014</v>
      </c>
    </row>
    <row r="231" spans="1:5">
      <c r="A231" s="32">
        <v>41775</v>
      </c>
      <c r="B231" t="s">
        <v>4</v>
      </c>
      <c r="C231">
        <v>486</v>
      </c>
      <c r="D231" t="str">
        <f>VLOOKUP(B231,BaseTable,2,FALSE)</f>
        <v>Danach-NY</v>
      </c>
      <c r="E231">
        <f>YEAR(A231)</f>
        <v>2014</v>
      </c>
    </row>
    <row r="232" spans="1:5">
      <c r="A232" s="32">
        <v>41776</v>
      </c>
      <c r="B232" t="s">
        <v>0</v>
      </c>
      <c r="C232">
        <v>1149</v>
      </c>
      <c r="D232" t="str">
        <f>VLOOKUP(B232,BaseTable,2,FALSE)</f>
        <v>Unter</v>
      </c>
      <c r="E232">
        <f>YEAR(A232)</f>
        <v>2014</v>
      </c>
    </row>
    <row r="233" spans="1:5">
      <c r="A233" s="32">
        <v>41776</v>
      </c>
      <c r="B233" t="s">
        <v>1</v>
      </c>
      <c r="C233">
        <v>9327</v>
      </c>
      <c r="D233" t="str">
        <f>VLOOKUP(B233,BaseTable,2,FALSE)</f>
        <v>Hinter</v>
      </c>
      <c r="E233">
        <f>YEAR(A233)</f>
        <v>2014</v>
      </c>
    </row>
    <row r="234" spans="1:5">
      <c r="A234" s="32">
        <v>41776</v>
      </c>
      <c r="B234" t="s">
        <v>2</v>
      </c>
      <c r="C234">
        <v>3856</v>
      </c>
      <c r="D234" t="str">
        <f>VLOOKUP(B234,BaseTable,2,FALSE)</f>
        <v>Weiter</v>
      </c>
      <c r="E234">
        <f>YEAR(A234)</f>
        <v>2014</v>
      </c>
    </row>
    <row r="235" spans="1:5">
      <c r="A235" s="32">
        <v>41776</v>
      </c>
      <c r="B235" t="s">
        <v>3</v>
      </c>
      <c r="C235">
        <v>7635</v>
      </c>
      <c r="D235" t="str">
        <f>VLOOKUP(B235,BaseTable,2,FALSE)</f>
        <v>Schmecken</v>
      </c>
      <c r="E235">
        <f>YEAR(A235)</f>
        <v>2014</v>
      </c>
    </row>
    <row r="236" spans="1:5">
      <c r="A236" s="32">
        <v>41776</v>
      </c>
      <c r="B236" t="s">
        <v>4</v>
      </c>
      <c r="C236">
        <v>327</v>
      </c>
      <c r="D236" t="str">
        <f>VLOOKUP(B236,BaseTable,2,FALSE)</f>
        <v>Danach-NY</v>
      </c>
      <c r="E236">
        <f>YEAR(A236)</f>
        <v>2014</v>
      </c>
    </row>
    <row r="237" spans="1:5">
      <c r="A237" s="32">
        <v>41777</v>
      </c>
      <c r="B237" t="s">
        <v>0</v>
      </c>
      <c r="C237">
        <v>991</v>
      </c>
      <c r="D237" t="str">
        <f>VLOOKUP(B237,BaseTable,2,FALSE)</f>
        <v>Unter</v>
      </c>
      <c r="E237">
        <f>YEAR(A237)</f>
        <v>2014</v>
      </c>
    </row>
    <row r="238" spans="1:5">
      <c r="A238" s="32">
        <v>41777</v>
      </c>
      <c r="B238" t="s">
        <v>1</v>
      </c>
      <c r="C238">
        <v>6901</v>
      </c>
      <c r="D238" t="str">
        <f>VLOOKUP(B238,BaseTable,2,FALSE)</f>
        <v>Hinter</v>
      </c>
      <c r="E238">
        <f>YEAR(A238)</f>
        <v>2014</v>
      </c>
    </row>
    <row r="239" spans="1:5">
      <c r="A239" s="32">
        <v>41777</v>
      </c>
      <c r="B239" t="s">
        <v>2</v>
      </c>
      <c r="C239">
        <v>2988</v>
      </c>
      <c r="D239" t="str">
        <f>VLOOKUP(B239,BaseTable,2,FALSE)</f>
        <v>Weiter</v>
      </c>
      <c r="E239">
        <f>YEAR(A239)</f>
        <v>2014</v>
      </c>
    </row>
    <row r="240" spans="1:5">
      <c r="A240" s="32">
        <v>41777</v>
      </c>
      <c r="B240" t="s">
        <v>3</v>
      </c>
      <c r="C240">
        <v>5445</v>
      </c>
      <c r="D240" t="str">
        <f>VLOOKUP(B240,BaseTable,2,FALSE)</f>
        <v>Schmecken</v>
      </c>
      <c r="E240">
        <f>YEAR(A240)</f>
        <v>2014</v>
      </c>
    </row>
    <row r="241" spans="1:5">
      <c r="A241" s="32">
        <v>41777</v>
      </c>
      <c r="B241" t="s">
        <v>4</v>
      </c>
      <c r="C241">
        <v>183</v>
      </c>
      <c r="D241" t="str">
        <f>VLOOKUP(B241,BaseTable,2,FALSE)</f>
        <v>Danach-NY</v>
      </c>
      <c r="E241">
        <f>YEAR(A241)</f>
        <v>2014</v>
      </c>
    </row>
    <row r="242" spans="1:5">
      <c r="A242" s="32">
        <v>41778</v>
      </c>
      <c r="B242" t="s">
        <v>0</v>
      </c>
      <c r="C242">
        <v>1089</v>
      </c>
      <c r="D242" t="str">
        <f>VLOOKUP(B242,BaseTable,2,FALSE)</f>
        <v>Unter</v>
      </c>
      <c r="E242">
        <f>YEAR(A242)</f>
        <v>2014</v>
      </c>
    </row>
    <row r="243" spans="1:5">
      <c r="A243" s="32">
        <v>41778</v>
      </c>
      <c r="B243" t="s">
        <v>1</v>
      </c>
      <c r="C243">
        <v>7300</v>
      </c>
      <c r="D243" t="str">
        <f>VLOOKUP(B243,BaseTable,2,FALSE)</f>
        <v>Hinter</v>
      </c>
      <c r="E243">
        <f>YEAR(A243)</f>
        <v>2014</v>
      </c>
    </row>
    <row r="244" spans="1:5">
      <c r="A244" s="32">
        <v>41778</v>
      </c>
      <c r="B244" t="s">
        <v>2</v>
      </c>
      <c r="C244">
        <v>3502</v>
      </c>
      <c r="D244" t="str">
        <f>VLOOKUP(B244,BaseTable,2,FALSE)</f>
        <v>Weiter</v>
      </c>
      <c r="E244">
        <f>YEAR(A244)</f>
        <v>2014</v>
      </c>
    </row>
    <row r="245" spans="1:5">
      <c r="A245" s="32">
        <v>41778</v>
      </c>
      <c r="B245" t="s">
        <v>3</v>
      </c>
      <c r="C245">
        <v>6090</v>
      </c>
      <c r="D245" t="str">
        <f>VLOOKUP(B245,BaseTable,2,FALSE)</f>
        <v>Schmecken</v>
      </c>
      <c r="E245">
        <f>YEAR(A245)</f>
        <v>2014</v>
      </c>
    </row>
    <row r="246" spans="1:5">
      <c r="A246" s="32">
        <v>41778</v>
      </c>
      <c r="B246" t="s">
        <v>4</v>
      </c>
      <c r="C246">
        <v>334</v>
      </c>
      <c r="D246" t="str">
        <f>VLOOKUP(B246,BaseTable,2,FALSE)</f>
        <v>Danach-NY</v>
      </c>
      <c r="E246">
        <f>YEAR(A246)</f>
        <v>2014</v>
      </c>
    </row>
    <row r="247" spans="1:5">
      <c r="A247" s="32">
        <v>41779</v>
      </c>
      <c r="B247" t="s">
        <v>0</v>
      </c>
      <c r="C247">
        <v>1293</v>
      </c>
      <c r="D247" t="str">
        <f>VLOOKUP(B247,BaseTable,2,FALSE)</f>
        <v>Unter</v>
      </c>
      <c r="E247">
        <f>YEAR(A247)</f>
        <v>2014</v>
      </c>
    </row>
    <row r="248" spans="1:5">
      <c r="A248" s="32">
        <v>41779</v>
      </c>
      <c r="B248" t="s">
        <v>1</v>
      </c>
      <c r="C248">
        <v>8291</v>
      </c>
      <c r="D248" t="str">
        <f>VLOOKUP(B248,BaseTable,2,FALSE)</f>
        <v>Hinter</v>
      </c>
      <c r="E248">
        <f>YEAR(A248)</f>
        <v>2014</v>
      </c>
    </row>
    <row r="249" spans="1:5">
      <c r="A249" s="32">
        <v>41779</v>
      </c>
      <c r="B249" t="s">
        <v>2</v>
      </c>
      <c r="C249">
        <v>3856</v>
      </c>
      <c r="D249" t="str">
        <f>VLOOKUP(B249,BaseTable,2,FALSE)</f>
        <v>Weiter</v>
      </c>
      <c r="E249">
        <f>YEAR(A249)</f>
        <v>2014</v>
      </c>
    </row>
    <row r="250" spans="1:5">
      <c r="A250" s="32">
        <v>41779</v>
      </c>
      <c r="B250" t="s">
        <v>3</v>
      </c>
      <c r="C250">
        <v>7119</v>
      </c>
      <c r="D250" t="str">
        <f>VLOOKUP(B250,BaseTable,2,FALSE)</f>
        <v>Schmecken</v>
      </c>
      <c r="E250">
        <f>YEAR(A250)</f>
        <v>2014</v>
      </c>
    </row>
    <row r="251" spans="1:5">
      <c r="A251" s="32">
        <v>41779</v>
      </c>
      <c r="B251" t="s">
        <v>4</v>
      </c>
      <c r="C251">
        <v>301</v>
      </c>
      <c r="D251" t="str">
        <f>VLOOKUP(B251,BaseTable,2,FALSE)</f>
        <v>Danach-NY</v>
      </c>
      <c r="E251">
        <f>YEAR(A251)</f>
        <v>2014</v>
      </c>
    </row>
    <row r="252" spans="1:5">
      <c r="A252" s="32">
        <v>41780</v>
      </c>
      <c r="B252" t="s">
        <v>0</v>
      </c>
      <c r="C252">
        <v>1377</v>
      </c>
      <c r="D252" t="str">
        <f>VLOOKUP(B252,BaseTable,2,FALSE)</f>
        <v>Unter</v>
      </c>
      <c r="E252">
        <f>YEAR(A252)</f>
        <v>2014</v>
      </c>
    </row>
    <row r="253" spans="1:5">
      <c r="A253" s="32">
        <v>41780</v>
      </c>
      <c r="B253" t="s">
        <v>1</v>
      </c>
      <c r="C253">
        <v>9241</v>
      </c>
      <c r="D253" t="str">
        <f>VLOOKUP(B253,BaseTable,2,FALSE)</f>
        <v>Hinter</v>
      </c>
      <c r="E253">
        <f>YEAR(A253)</f>
        <v>2014</v>
      </c>
    </row>
    <row r="254" spans="1:5">
      <c r="A254" s="32">
        <v>41780</v>
      </c>
      <c r="B254" t="s">
        <v>2</v>
      </c>
      <c r="C254">
        <v>4549</v>
      </c>
      <c r="D254" t="str">
        <f>VLOOKUP(B254,BaseTable,2,FALSE)</f>
        <v>Weiter</v>
      </c>
      <c r="E254">
        <f>YEAR(A254)</f>
        <v>2014</v>
      </c>
    </row>
    <row r="255" spans="1:5">
      <c r="A255" s="32">
        <v>41780</v>
      </c>
      <c r="B255" t="s">
        <v>3</v>
      </c>
      <c r="C255">
        <v>7963</v>
      </c>
      <c r="D255" t="str">
        <f>VLOOKUP(B255,BaseTable,2,FALSE)</f>
        <v>Schmecken</v>
      </c>
      <c r="E255">
        <f>YEAR(A255)</f>
        <v>2014</v>
      </c>
    </row>
    <row r="256" spans="1:5">
      <c r="A256" s="32">
        <v>41780</v>
      </c>
      <c r="B256" t="s">
        <v>4</v>
      </c>
      <c r="C256">
        <v>378</v>
      </c>
      <c r="D256" t="str">
        <f>VLOOKUP(B256,BaseTable,2,FALSE)</f>
        <v>Danach-NY</v>
      </c>
      <c r="E256">
        <f>YEAR(A256)</f>
        <v>2014</v>
      </c>
    </row>
    <row r="257" spans="1:5">
      <c r="A257" s="32">
        <v>41781</v>
      </c>
      <c r="B257" t="s">
        <v>0</v>
      </c>
      <c r="C257">
        <v>1480</v>
      </c>
      <c r="D257" t="str">
        <f>VLOOKUP(B257,BaseTable,2,FALSE)</f>
        <v>Unter</v>
      </c>
      <c r="E257">
        <f>YEAR(A257)</f>
        <v>2014</v>
      </c>
    </row>
    <row r="258" spans="1:5">
      <c r="A258" s="32">
        <v>41781</v>
      </c>
      <c r="B258" t="s">
        <v>1</v>
      </c>
      <c r="C258">
        <v>10479</v>
      </c>
      <c r="D258" t="str">
        <f>VLOOKUP(B258,BaseTable,2,FALSE)</f>
        <v>Hinter</v>
      </c>
      <c r="E258">
        <f>YEAR(A258)</f>
        <v>2014</v>
      </c>
    </row>
    <row r="259" spans="1:5">
      <c r="A259" s="32">
        <v>41781</v>
      </c>
      <c r="B259" t="s">
        <v>2</v>
      </c>
      <c r="C259">
        <v>5440</v>
      </c>
      <c r="D259" t="str">
        <f>VLOOKUP(B259,BaseTable,2,FALSE)</f>
        <v>Weiter</v>
      </c>
      <c r="E259">
        <f>YEAR(A259)</f>
        <v>2014</v>
      </c>
    </row>
    <row r="260" spans="1:5">
      <c r="A260" s="32">
        <v>41781</v>
      </c>
      <c r="B260" t="s">
        <v>3</v>
      </c>
      <c r="C260">
        <v>9029</v>
      </c>
      <c r="D260" t="str">
        <f>VLOOKUP(B260,BaseTable,2,FALSE)</f>
        <v>Schmecken</v>
      </c>
      <c r="E260">
        <f>YEAR(A260)</f>
        <v>2014</v>
      </c>
    </row>
    <row r="261" spans="1:5">
      <c r="A261" s="32">
        <v>41781</v>
      </c>
      <c r="B261" t="s">
        <v>4</v>
      </c>
      <c r="C261">
        <v>374</v>
      </c>
      <c r="D261" t="str">
        <f>VLOOKUP(B261,BaseTable,2,FALSE)</f>
        <v>Danach-NY</v>
      </c>
      <c r="E261">
        <f>YEAR(A261)</f>
        <v>2014</v>
      </c>
    </row>
    <row r="262" spans="1:5">
      <c r="A262" s="32">
        <v>41782</v>
      </c>
      <c r="B262" t="s">
        <v>0</v>
      </c>
      <c r="C262">
        <v>1349</v>
      </c>
      <c r="D262" t="str">
        <f>VLOOKUP(B262,BaseTable,2,FALSE)</f>
        <v>Unter</v>
      </c>
      <c r="E262">
        <f>YEAR(A262)</f>
        <v>2014</v>
      </c>
    </row>
    <row r="263" spans="1:5">
      <c r="A263" s="32">
        <v>41782</v>
      </c>
      <c r="B263" t="s">
        <v>1</v>
      </c>
      <c r="C263">
        <v>10629</v>
      </c>
      <c r="D263" t="str">
        <f>VLOOKUP(B263,BaseTable,2,FALSE)</f>
        <v>Hinter</v>
      </c>
      <c r="E263">
        <f>YEAR(A263)</f>
        <v>2014</v>
      </c>
    </row>
    <row r="264" spans="1:5">
      <c r="A264" s="32">
        <v>41782</v>
      </c>
      <c r="B264" t="s">
        <v>2</v>
      </c>
      <c r="C264">
        <v>5366</v>
      </c>
      <c r="D264" t="str">
        <f>VLOOKUP(B264,BaseTable,2,FALSE)</f>
        <v>Weiter</v>
      </c>
      <c r="E264">
        <f>YEAR(A264)</f>
        <v>2014</v>
      </c>
    </row>
    <row r="265" spans="1:5">
      <c r="A265" s="32">
        <v>41782</v>
      </c>
      <c r="B265" t="s">
        <v>3</v>
      </c>
      <c r="C265">
        <v>8754</v>
      </c>
      <c r="D265" t="str">
        <f>VLOOKUP(B265,BaseTable,2,FALSE)</f>
        <v>Schmecken</v>
      </c>
      <c r="E265">
        <f>YEAR(A265)</f>
        <v>2014</v>
      </c>
    </row>
    <row r="266" spans="1:5">
      <c r="A266" s="32">
        <v>41782</v>
      </c>
      <c r="B266" t="s">
        <v>4</v>
      </c>
      <c r="C266">
        <v>367</v>
      </c>
      <c r="D266" t="str">
        <f>VLOOKUP(B266,BaseTable,2,FALSE)</f>
        <v>Danach-NY</v>
      </c>
      <c r="E266">
        <f>YEAR(A266)</f>
        <v>2014</v>
      </c>
    </row>
    <row r="267" spans="1:5">
      <c r="A267" s="32">
        <v>41783</v>
      </c>
      <c r="B267" t="s">
        <v>0</v>
      </c>
      <c r="C267">
        <v>705</v>
      </c>
      <c r="D267" t="str">
        <f>VLOOKUP(B267,BaseTable,2,FALSE)</f>
        <v>Unter</v>
      </c>
      <c r="E267">
        <f>YEAR(A267)</f>
        <v>2014</v>
      </c>
    </row>
    <row r="268" spans="1:5">
      <c r="A268" s="32">
        <v>41783</v>
      </c>
      <c r="B268" t="s">
        <v>1</v>
      </c>
      <c r="C268">
        <v>5910</v>
      </c>
      <c r="D268" t="str">
        <f>VLOOKUP(B268,BaseTable,2,FALSE)</f>
        <v>Hinter</v>
      </c>
      <c r="E268">
        <f>YEAR(A268)</f>
        <v>2014</v>
      </c>
    </row>
    <row r="269" spans="1:5">
      <c r="A269" s="32">
        <v>41783</v>
      </c>
      <c r="B269" t="s">
        <v>2</v>
      </c>
      <c r="C269">
        <v>2959</v>
      </c>
      <c r="D269" t="str">
        <f>VLOOKUP(B269,BaseTable,2,FALSE)</f>
        <v>Weiter</v>
      </c>
      <c r="E269">
        <f>YEAR(A269)</f>
        <v>2014</v>
      </c>
    </row>
    <row r="270" spans="1:5">
      <c r="A270" s="32">
        <v>41783</v>
      </c>
      <c r="B270" t="s">
        <v>3</v>
      </c>
      <c r="C270">
        <v>4864</v>
      </c>
      <c r="D270" t="str">
        <f>VLOOKUP(B270,BaseTable,2,FALSE)</f>
        <v>Schmecken</v>
      </c>
      <c r="E270">
        <f>YEAR(A270)</f>
        <v>2014</v>
      </c>
    </row>
    <row r="271" spans="1:5">
      <c r="A271" s="32">
        <v>41783</v>
      </c>
      <c r="B271" t="s">
        <v>4</v>
      </c>
      <c r="C271">
        <v>213</v>
      </c>
      <c r="D271" t="str">
        <f>VLOOKUP(B271,BaseTable,2,FALSE)</f>
        <v>Danach-NY</v>
      </c>
      <c r="E271">
        <f>YEAR(A271)</f>
        <v>2014</v>
      </c>
    </row>
    <row r="272" spans="1:5">
      <c r="A272" s="32">
        <v>41784</v>
      </c>
      <c r="B272" t="s">
        <v>0</v>
      </c>
      <c r="C272">
        <v>544</v>
      </c>
      <c r="D272" t="str">
        <f>VLOOKUP(B272,BaseTable,2,FALSE)</f>
        <v>Unter</v>
      </c>
      <c r="E272">
        <f>YEAR(A272)</f>
        <v>2014</v>
      </c>
    </row>
    <row r="273" spans="1:5">
      <c r="A273" s="32">
        <v>41784</v>
      </c>
      <c r="B273" t="s">
        <v>1</v>
      </c>
      <c r="C273">
        <v>4306</v>
      </c>
      <c r="D273" t="str">
        <f>VLOOKUP(B273,BaseTable,2,FALSE)</f>
        <v>Hinter</v>
      </c>
      <c r="E273">
        <f>YEAR(A273)</f>
        <v>2014</v>
      </c>
    </row>
    <row r="274" spans="1:5">
      <c r="A274" s="32">
        <v>41784</v>
      </c>
      <c r="B274" t="s">
        <v>2</v>
      </c>
      <c r="C274">
        <v>2312</v>
      </c>
      <c r="D274" t="str">
        <f>VLOOKUP(B274,BaseTable,2,FALSE)</f>
        <v>Weiter</v>
      </c>
      <c r="E274">
        <f>YEAR(A274)</f>
        <v>2014</v>
      </c>
    </row>
    <row r="275" spans="1:5">
      <c r="A275" s="32">
        <v>41784</v>
      </c>
      <c r="B275" t="s">
        <v>3</v>
      </c>
      <c r="C275">
        <v>3505</v>
      </c>
      <c r="D275" t="str">
        <f>VLOOKUP(B275,BaseTable,2,FALSE)</f>
        <v>Schmecken</v>
      </c>
      <c r="E275">
        <f>YEAR(A275)</f>
        <v>2014</v>
      </c>
    </row>
    <row r="276" spans="1:5">
      <c r="A276" s="32">
        <v>41784</v>
      </c>
      <c r="B276" t="s">
        <v>4</v>
      </c>
      <c r="C276">
        <v>174</v>
      </c>
      <c r="D276" t="str">
        <f>VLOOKUP(B276,BaseTable,2,FALSE)</f>
        <v>Danach-NY</v>
      </c>
      <c r="E276">
        <f>YEAR(A276)</f>
        <v>2014</v>
      </c>
    </row>
    <row r="277" spans="1:5">
      <c r="A277" s="32">
        <v>41785</v>
      </c>
      <c r="B277" t="s">
        <v>0</v>
      </c>
      <c r="C277">
        <v>471</v>
      </c>
      <c r="D277" t="str">
        <f>VLOOKUP(B277,BaseTable,2,FALSE)</f>
        <v>Unter</v>
      </c>
      <c r="E277">
        <f>YEAR(A277)</f>
        <v>2014</v>
      </c>
    </row>
    <row r="278" spans="1:5">
      <c r="A278" s="32">
        <v>41785</v>
      </c>
      <c r="B278" t="s">
        <v>1</v>
      </c>
      <c r="C278">
        <v>4284</v>
      </c>
      <c r="D278" t="str">
        <f>VLOOKUP(B278,BaseTable,2,FALSE)</f>
        <v>Hinter</v>
      </c>
      <c r="E278">
        <f>YEAR(A278)</f>
        <v>2014</v>
      </c>
    </row>
    <row r="279" spans="1:5">
      <c r="A279" s="32">
        <v>41785</v>
      </c>
      <c r="B279" t="s">
        <v>2</v>
      </c>
      <c r="C279">
        <v>2196</v>
      </c>
      <c r="D279" t="str">
        <f>VLOOKUP(B279,BaseTable,2,FALSE)</f>
        <v>Weiter</v>
      </c>
      <c r="E279">
        <f>YEAR(A279)</f>
        <v>2014</v>
      </c>
    </row>
    <row r="280" spans="1:5">
      <c r="A280" s="32">
        <v>41785</v>
      </c>
      <c r="B280" t="s">
        <v>3</v>
      </c>
      <c r="C280">
        <v>3074</v>
      </c>
      <c r="D280" t="str">
        <f>VLOOKUP(B280,BaseTable,2,FALSE)</f>
        <v>Schmecken</v>
      </c>
      <c r="E280">
        <f>YEAR(A280)</f>
        <v>2014</v>
      </c>
    </row>
    <row r="281" spans="1:5">
      <c r="A281" s="32">
        <v>41785</v>
      </c>
      <c r="B281" t="s">
        <v>4</v>
      </c>
      <c r="C281">
        <v>177</v>
      </c>
      <c r="D281" t="str">
        <f>VLOOKUP(B281,BaseTable,2,FALSE)</f>
        <v>Danach-NY</v>
      </c>
      <c r="E281">
        <f>YEAR(A281)</f>
        <v>2014</v>
      </c>
    </row>
    <row r="282" spans="1:5">
      <c r="A282" s="32">
        <v>41786</v>
      </c>
      <c r="B282" t="s">
        <v>0</v>
      </c>
      <c r="C282">
        <v>936</v>
      </c>
      <c r="D282" t="str">
        <f>VLOOKUP(B282,BaseTable,2,FALSE)</f>
        <v>Unter</v>
      </c>
      <c r="E282">
        <f>YEAR(A282)</f>
        <v>2014</v>
      </c>
    </row>
    <row r="283" spans="1:5">
      <c r="A283" s="32">
        <v>41786</v>
      </c>
      <c r="B283" t="s">
        <v>1</v>
      </c>
      <c r="C283">
        <v>6801</v>
      </c>
      <c r="D283" t="str">
        <f>VLOOKUP(B283,BaseTable,2,FALSE)</f>
        <v>Hinter</v>
      </c>
      <c r="E283">
        <f>YEAR(A283)</f>
        <v>2014</v>
      </c>
    </row>
    <row r="284" spans="1:5">
      <c r="A284" s="32">
        <v>41786</v>
      </c>
      <c r="B284" t="s">
        <v>2</v>
      </c>
      <c r="C284">
        <v>3496</v>
      </c>
      <c r="D284" t="str">
        <f>VLOOKUP(B284,BaseTable,2,FALSE)</f>
        <v>Weiter</v>
      </c>
      <c r="E284">
        <f>YEAR(A284)</f>
        <v>2014</v>
      </c>
    </row>
    <row r="285" spans="1:5">
      <c r="A285" s="32">
        <v>41786</v>
      </c>
      <c r="B285" t="s">
        <v>3</v>
      </c>
      <c r="C285">
        <v>5532</v>
      </c>
      <c r="D285" t="str">
        <f>VLOOKUP(B285,BaseTable,2,FALSE)</f>
        <v>Schmecken</v>
      </c>
      <c r="E285">
        <f>YEAR(A285)</f>
        <v>2014</v>
      </c>
    </row>
    <row r="286" spans="1:5">
      <c r="A286" s="32">
        <v>41786</v>
      </c>
      <c r="B286" t="s">
        <v>4</v>
      </c>
      <c r="C286">
        <v>239</v>
      </c>
      <c r="D286" t="str">
        <f>VLOOKUP(B286,BaseTable,2,FALSE)</f>
        <v>Danach-NY</v>
      </c>
      <c r="E286">
        <f>YEAR(A286)</f>
        <v>2014</v>
      </c>
    </row>
    <row r="287" spans="1:5">
      <c r="A287" s="32">
        <v>41787</v>
      </c>
      <c r="B287" t="s">
        <v>0</v>
      </c>
      <c r="C287">
        <v>1266</v>
      </c>
      <c r="D287" t="str">
        <f>VLOOKUP(B287,BaseTable,2,FALSE)</f>
        <v>Unter</v>
      </c>
      <c r="E287">
        <f>YEAR(A287)</f>
        <v>2014</v>
      </c>
    </row>
    <row r="288" spans="1:5">
      <c r="A288" s="32">
        <v>41787</v>
      </c>
      <c r="B288" t="s">
        <v>1</v>
      </c>
      <c r="C288">
        <v>8889</v>
      </c>
      <c r="D288" t="str">
        <f>VLOOKUP(B288,BaseTable,2,FALSE)</f>
        <v>Hinter</v>
      </c>
      <c r="E288">
        <f>YEAR(A288)</f>
        <v>2014</v>
      </c>
    </row>
    <row r="289" spans="1:5">
      <c r="A289" s="32">
        <v>41787</v>
      </c>
      <c r="B289" t="s">
        <v>2</v>
      </c>
      <c r="C289">
        <v>4842</v>
      </c>
      <c r="D289" t="str">
        <f>VLOOKUP(B289,BaseTable,2,FALSE)</f>
        <v>Weiter</v>
      </c>
      <c r="E289">
        <f>YEAR(A289)</f>
        <v>2014</v>
      </c>
    </row>
    <row r="290" spans="1:5">
      <c r="A290" s="32">
        <v>41787</v>
      </c>
      <c r="B290" t="s">
        <v>3</v>
      </c>
      <c r="C290">
        <v>6891</v>
      </c>
      <c r="D290" t="str">
        <f>VLOOKUP(B290,BaseTable,2,FALSE)</f>
        <v>Schmecken</v>
      </c>
      <c r="E290">
        <f>YEAR(A290)</f>
        <v>2014</v>
      </c>
    </row>
    <row r="291" spans="1:5">
      <c r="A291" s="32">
        <v>41787</v>
      </c>
      <c r="B291" t="s">
        <v>4</v>
      </c>
      <c r="C291">
        <v>352</v>
      </c>
      <c r="D291" t="str">
        <f>VLOOKUP(B291,BaseTable,2,FALSE)</f>
        <v>Danach-NY</v>
      </c>
      <c r="E291">
        <f>YEAR(A291)</f>
        <v>2014</v>
      </c>
    </row>
    <row r="292" spans="1:5">
      <c r="A292" s="32">
        <v>41788</v>
      </c>
      <c r="B292" t="s">
        <v>0</v>
      </c>
      <c r="C292">
        <v>1342</v>
      </c>
      <c r="D292" t="str">
        <f>VLOOKUP(B292,BaseTable,2,FALSE)</f>
        <v>Unter</v>
      </c>
      <c r="E292">
        <f>YEAR(A292)</f>
        <v>2014</v>
      </c>
    </row>
    <row r="293" spans="1:5">
      <c r="A293" s="32">
        <v>41788</v>
      </c>
      <c r="B293" t="s">
        <v>1</v>
      </c>
      <c r="C293">
        <v>9719</v>
      </c>
      <c r="D293" t="str">
        <f>VLOOKUP(B293,BaseTable,2,FALSE)</f>
        <v>Hinter</v>
      </c>
      <c r="E293">
        <f>YEAR(A293)</f>
        <v>2014</v>
      </c>
    </row>
    <row r="294" spans="1:5">
      <c r="A294" s="32">
        <v>41788</v>
      </c>
      <c r="B294" t="s">
        <v>2</v>
      </c>
      <c r="C294">
        <v>5586</v>
      </c>
      <c r="D294" t="str">
        <f>VLOOKUP(B294,BaseTable,2,FALSE)</f>
        <v>Weiter</v>
      </c>
      <c r="E294">
        <f>YEAR(A294)</f>
        <v>2014</v>
      </c>
    </row>
    <row r="295" spans="1:5">
      <c r="A295" s="32">
        <v>41788</v>
      </c>
      <c r="B295" t="s">
        <v>3</v>
      </c>
      <c r="C295">
        <v>7942</v>
      </c>
      <c r="D295" t="str">
        <f>VLOOKUP(B295,BaseTable,2,FALSE)</f>
        <v>Schmecken</v>
      </c>
      <c r="E295">
        <f>YEAR(A295)</f>
        <v>2014</v>
      </c>
    </row>
    <row r="296" spans="1:5">
      <c r="A296" s="32">
        <v>41788</v>
      </c>
      <c r="B296" t="s">
        <v>4</v>
      </c>
      <c r="C296">
        <v>341</v>
      </c>
      <c r="D296" t="str">
        <f>VLOOKUP(B296,BaseTable,2,FALSE)</f>
        <v>Danach-NY</v>
      </c>
      <c r="E296">
        <f>YEAR(A296)</f>
        <v>2014</v>
      </c>
    </row>
    <row r="297" spans="1:5">
      <c r="A297" s="32">
        <v>41789</v>
      </c>
      <c r="B297" t="s">
        <v>0</v>
      </c>
      <c r="C297">
        <v>1293</v>
      </c>
      <c r="D297" t="str">
        <f>VLOOKUP(B297,BaseTable,2,FALSE)</f>
        <v>Unter</v>
      </c>
      <c r="E297">
        <f>YEAR(A297)</f>
        <v>2014</v>
      </c>
    </row>
    <row r="298" spans="1:5">
      <c r="A298" s="32">
        <v>41789</v>
      </c>
      <c r="B298" t="s">
        <v>1</v>
      </c>
      <c r="C298">
        <v>9642</v>
      </c>
      <c r="D298" t="str">
        <f>VLOOKUP(B298,BaseTable,2,FALSE)</f>
        <v>Hinter</v>
      </c>
      <c r="E298">
        <f>YEAR(A298)</f>
        <v>2014</v>
      </c>
    </row>
    <row r="299" spans="1:5">
      <c r="A299" s="32">
        <v>41789</v>
      </c>
      <c r="B299" t="s">
        <v>2</v>
      </c>
      <c r="C299">
        <v>5447</v>
      </c>
      <c r="D299" t="str">
        <f>VLOOKUP(B299,BaseTable,2,FALSE)</f>
        <v>Weiter</v>
      </c>
      <c r="E299">
        <f>YEAR(A299)</f>
        <v>2014</v>
      </c>
    </row>
    <row r="300" spans="1:5">
      <c r="A300" s="32">
        <v>41789</v>
      </c>
      <c r="B300" t="s">
        <v>3</v>
      </c>
      <c r="C300">
        <v>7725</v>
      </c>
      <c r="D300" t="str">
        <f>VLOOKUP(B300,BaseTable,2,FALSE)</f>
        <v>Schmecken</v>
      </c>
      <c r="E300">
        <f>YEAR(A300)</f>
        <v>2014</v>
      </c>
    </row>
    <row r="301" spans="1:5">
      <c r="A301" s="32">
        <v>41789</v>
      </c>
      <c r="B301" t="s">
        <v>4</v>
      </c>
      <c r="C301">
        <v>306</v>
      </c>
      <c r="D301" t="str">
        <f>VLOOKUP(B301,BaseTable,2,FALSE)</f>
        <v>Danach-NY</v>
      </c>
      <c r="E301">
        <f>YEAR(A301)</f>
        <v>2014</v>
      </c>
    </row>
    <row r="302" spans="1:5">
      <c r="A302" s="32">
        <v>41790</v>
      </c>
      <c r="B302" t="s">
        <v>0</v>
      </c>
      <c r="C302">
        <v>1045</v>
      </c>
      <c r="D302" t="str">
        <f>VLOOKUP(B302,BaseTable,2,FALSE)</f>
        <v>Unter</v>
      </c>
      <c r="E302">
        <f>YEAR(A302)</f>
        <v>2014</v>
      </c>
    </row>
    <row r="303" spans="1:5">
      <c r="A303" s="32">
        <v>41790</v>
      </c>
      <c r="B303" t="s">
        <v>1</v>
      </c>
      <c r="C303">
        <v>8624</v>
      </c>
      <c r="D303" t="str">
        <f>VLOOKUP(B303,BaseTable,2,FALSE)</f>
        <v>Hinter</v>
      </c>
      <c r="E303">
        <f>YEAR(A303)</f>
        <v>2014</v>
      </c>
    </row>
    <row r="304" spans="1:5">
      <c r="A304" s="32">
        <v>41790</v>
      </c>
      <c r="B304" t="s">
        <v>2</v>
      </c>
      <c r="C304">
        <v>4692</v>
      </c>
      <c r="D304" t="str">
        <f>VLOOKUP(B304,BaseTable,2,FALSE)</f>
        <v>Weiter</v>
      </c>
      <c r="E304">
        <f>YEAR(A304)</f>
        <v>2014</v>
      </c>
    </row>
    <row r="305" spans="1:5">
      <c r="A305" s="32">
        <v>41790</v>
      </c>
      <c r="B305" t="s">
        <v>3</v>
      </c>
      <c r="C305">
        <v>6594</v>
      </c>
      <c r="D305" t="str">
        <f>VLOOKUP(B305,BaseTable,2,FALSE)</f>
        <v>Schmecken</v>
      </c>
      <c r="E305">
        <f>YEAR(A305)</f>
        <v>2014</v>
      </c>
    </row>
    <row r="306" spans="1:5">
      <c r="A306" s="32">
        <v>41790</v>
      </c>
      <c r="B306" t="s">
        <v>4</v>
      </c>
      <c r="C306">
        <v>306</v>
      </c>
      <c r="D306" t="str">
        <f>VLOOKUP(B306,BaseTable,2,FALSE)</f>
        <v>Danach-NY</v>
      </c>
      <c r="E306">
        <f>YEAR(A306)</f>
        <v>2014</v>
      </c>
    </row>
    <row r="307" spans="1:5">
      <c r="A307" s="32">
        <v>41791</v>
      </c>
      <c r="B307" t="s">
        <v>0</v>
      </c>
      <c r="C307">
        <v>825</v>
      </c>
      <c r="D307" t="str">
        <f>VLOOKUP(B307,BaseTable,2,FALSE)</f>
        <v>Unter</v>
      </c>
      <c r="E307">
        <f>YEAR(A307)</f>
        <v>2014</v>
      </c>
    </row>
    <row r="308" spans="1:5">
      <c r="A308" s="32">
        <v>41791</v>
      </c>
      <c r="B308" t="s">
        <v>1</v>
      </c>
      <c r="C308">
        <v>6257</v>
      </c>
      <c r="D308" t="str">
        <f>VLOOKUP(B308,BaseTable,2,FALSE)</f>
        <v>Hinter</v>
      </c>
      <c r="E308">
        <f>YEAR(A308)</f>
        <v>2014</v>
      </c>
    </row>
    <row r="309" spans="1:5">
      <c r="A309" s="32">
        <v>41791</v>
      </c>
      <c r="B309" t="s">
        <v>2</v>
      </c>
      <c r="C309">
        <v>3747</v>
      </c>
      <c r="D309" t="str">
        <f>VLOOKUP(B309,BaseTable,2,FALSE)</f>
        <v>Weiter</v>
      </c>
      <c r="E309">
        <f>YEAR(A309)</f>
        <v>2014</v>
      </c>
    </row>
    <row r="310" spans="1:5">
      <c r="A310" s="32">
        <v>41791</v>
      </c>
      <c r="B310" t="s">
        <v>3</v>
      </c>
      <c r="C310">
        <v>4949</v>
      </c>
      <c r="D310" t="str">
        <f>VLOOKUP(B310,BaseTable,2,FALSE)</f>
        <v>Schmecken</v>
      </c>
      <c r="E310">
        <f>YEAR(A310)</f>
        <v>2014</v>
      </c>
    </row>
    <row r="311" spans="1:5">
      <c r="A311" s="32">
        <v>41791</v>
      </c>
      <c r="B311" t="s">
        <v>4</v>
      </c>
      <c r="C311">
        <v>189</v>
      </c>
      <c r="D311" t="str">
        <f>VLOOKUP(B311,BaseTable,2,FALSE)</f>
        <v>Danach-NY</v>
      </c>
      <c r="E311">
        <f>YEAR(A311)</f>
        <v>2014</v>
      </c>
    </row>
    <row r="312" spans="1:5">
      <c r="A312" s="32">
        <v>41792</v>
      </c>
      <c r="B312" t="s">
        <v>0</v>
      </c>
      <c r="C312">
        <v>975</v>
      </c>
      <c r="D312" t="str">
        <f>VLOOKUP(B312,BaseTable,2,FALSE)</f>
        <v>Unter</v>
      </c>
      <c r="E312">
        <f>YEAR(A312)</f>
        <v>2014</v>
      </c>
    </row>
    <row r="313" spans="1:5">
      <c r="A313" s="32">
        <v>41792</v>
      </c>
      <c r="B313" t="s">
        <v>1</v>
      </c>
      <c r="C313">
        <v>6717</v>
      </c>
      <c r="D313" t="str">
        <f>VLOOKUP(B313,BaseTable,2,FALSE)</f>
        <v>Hinter</v>
      </c>
      <c r="E313">
        <f>YEAR(A313)</f>
        <v>2014</v>
      </c>
    </row>
    <row r="314" spans="1:5">
      <c r="A314" s="32">
        <v>41792</v>
      </c>
      <c r="B314" t="s">
        <v>2</v>
      </c>
      <c r="C314">
        <v>3943</v>
      </c>
      <c r="D314" t="str">
        <f>VLOOKUP(B314,BaseTable,2,FALSE)</f>
        <v>Weiter</v>
      </c>
      <c r="E314">
        <f>YEAR(A314)</f>
        <v>2014</v>
      </c>
    </row>
    <row r="315" spans="1:5">
      <c r="A315" s="32">
        <v>41792</v>
      </c>
      <c r="B315" t="s">
        <v>3</v>
      </c>
      <c r="C315">
        <v>5637</v>
      </c>
      <c r="D315" t="str">
        <f>VLOOKUP(B315,BaseTable,2,FALSE)</f>
        <v>Schmecken</v>
      </c>
      <c r="E315">
        <f>YEAR(A315)</f>
        <v>2014</v>
      </c>
    </row>
    <row r="316" spans="1:5">
      <c r="A316" s="32">
        <v>41792</v>
      </c>
      <c r="B316" t="s">
        <v>4</v>
      </c>
      <c r="C316">
        <v>231</v>
      </c>
      <c r="D316" t="str">
        <f>VLOOKUP(B316,BaseTable,2,FALSE)</f>
        <v>Danach-NY</v>
      </c>
      <c r="E316">
        <f>YEAR(A316)</f>
        <v>2014</v>
      </c>
    </row>
    <row r="317" spans="1:5">
      <c r="A317" s="32">
        <v>41793</v>
      </c>
      <c r="B317" t="s">
        <v>0</v>
      </c>
      <c r="C317">
        <v>1237</v>
      </c>
      <c r="D317" t="str">
        <f>VLOOKUP(B317,BaseTable,2,FALSE)</f>
        <v>Unter</v>
      </c>
      <c r="E317">
        <f>YEAR(A317)</f>
        <v>2014</v>
      </c>
    </row>
    <row r="318" spans="1:5">
      <c r="A318" s="32">
        <v>41793</v>
      </c>
      <c r="B318" t="s">
        <v>1</v>
      </c>
      <c r="C318">
        <v>8924</v>
      </c>
      <c r="D318" t="str">
        <f>VLOOKUP(B318,BaseTable,2,FALSE)</f>
        <v>Hinter</v>
      </c>
      <c r="E318">
        <f>YEAR(A318)</f>
        <v>2014</v>
      </c>
    </row>
    <row r="319" spans="1:5">
      <c r="A319" s="32">
        <v>41793</v>
      </c>
      <c r="B319" t="s">
        <v>2</v>
      </c>
      <c r="C319">
        <v>5249</v>
      </c>
      <c r="D319" t="str">
        <f>VLOOKUP(B319,BaseTable,2,FALSE)</f>
        <v>Weiter</v>
      </c>
      <c r="E319">
        <f>YEAR(A319)</f>
        <v>2014</v>
      </c>
    </row>
    <row r="320" spans="1:5">
      <c r="A320" s="32">
        <v>41793</v>
      </c>
      <c r="B320" t="s">
        <v>3</v>
      </c>
      <c r="C320">
        <v>6915</v>
      </c>
      <c r="D320" t="str">
        <f>VLOOKUP(B320,BaseTable,2,FALSE)</f>
        <v>Schmecken</v>
      </c>
      <c r="E320">
        <f>YEAR(A320)</f>
        <v>2014</v>
      </c>
    </row>
    <row r="321" spans="1:5">
      <c r="A321" s="32">
        <v>41793</v>
      </c>
      <c r="B321" t="s">
        <v>4</v>
      </c>
      <c r="C321">
        <v>349</v>
      </c>
      <c r="D321" t="str">
        <f>VLOOKUP(B321,BaseTable,2,FALSE)</f>
        <v>Danach-NY</v>
      </c>
      <c r="E321">
        <f>YEAR(A321)</f>
        <v>2014</v>
      </c>
    </row>
    <row r="322" spans="1:5">
      <c r="A322" s="32">
        <v>41794</v>
      </c>
      <c r="B322" t="s">
        <v>0</v>
      </c>
      <c r="C322">
        <v>1194</v>
      </c>
      <c r="D322" t="str">
        <f>VLOOKUP(B322,BaseTable,2,FALSE)</f>
        <v>Unter</v>
      </c>
      <c r="E322">
        <f>YEAR(A322)</f>
        <v>2014</v>
      </c>
    </row>
    <row r="323" spans="1:5">
      <c r="A323" s="32">
        <v>41794</v>
      </c>
      <c r="B323" t="s">
        <v>1</v>
      </c>
      <c r="C323">
        <v>8898</v>
      </c>
      <c r="D323" t="str">
        <f>VLOOKUP(B323,BaseTable,2,FALSE)</f>
        <v>Hinter</v>
      </c>
      <c r="E323">
        <f>YEAR(A323)</f>
        <v>2014</v>
      </c>
    </row>
    <row r="324" spans="1:5">
      <c r="A324" s="32">
        <v>41794</v>
      </c>
      <c r="B324" t="s">
        <v>2</v>
      </c>
      <c r="C324">
        <v>5560</v>
      </c>
      <c r="D324" t="str">
        <f>VLOOKUP(B324,BaseTable,2,FALSE)</f>
        <v>Weiter</v>
      </c>
      <c r="E324">
        <f>YEAR(A324)</f>
        <v>2014</v>
      </c>
    </row>
    <row r="325" spans="1:5">
      <c r="A325" s="32">
        <v>41794</v>
      </c>
      <c r="B325" t="s">
        <v>3</v>
      </c>
      <c r="C325">
        <v>6924</v>
      </c>
      <c r="D325" t="str">
        <f>VLOOKUP(B325,BaseTable,2,FALSE)</f>
        <v>Schmecken</v>
      </c>
      <c r="E325">
        <f>YEAR(A325)</f>
        <v>2014</v>
      </c>
    </row>
    <row r="326" spans="1:5">
      <c r="A326" s="32">
        <v>41794</v>
      </c>
      <c r="B326" t="s">
        <v>4</v>
      </c>
      <c r="C326">
        <v>255</v>
      </c>
      <c r="D326" t="str">
        <f>VLOOKUP(B326,BaseTable,2,FALSE)</f>
        <v>Danach-NY</v>
      </c>
      <c r="E326">
        <f>YEAR(A326)</f>
        <v>2014</v>
      </c>
    </row>
    <row r="327" spans="1:5">
      <c r="A327" s="32">
        <v>41795</v>
      </c>
      <c r="B327" t="s">
        <v>0</v>
      </c>
      <c r="C327">
        <v>1586</v>
      </c>
      <c r="D327" t="str">
        <f>VLOOKUP(B327,BaseTable,2,FALSE)</f>
        <v>Unter</v>
      </c>
      <c r="E327">
        <f>YEAR(A327)</f>
        <v>2014</v>
      </c>
    </row>
    <row r="328" spans="1:5">
      <c r="A328" s="32">
        <v>41795</v>
      </c>
      <c r="B328" t="s">
        <v>1</v>
      </c>
      <c r="C328">
        <v>10970</v>
      </c>
      <c r="D328" t="str">
        <f>VLOOKUP(B328,BaseTable,2,FALSE)</f>
        <v>Hinter</v>
      </c>
      <c r="E328">
        <f>YEAR(A328)</f>
        <v>2014</v>
      </c>
    </row>
    <row r="329" spans="1:5">
      <c r="A329" s="32">
        <v>41795</v>
      </c>
      <c r="B329" t="s">
        <v>2</v>
      </c>
      <c r="C329">
        <v>6745</v>
      </c>
      <c r="D329" t="str">
        <f>VLOOKUP(B329,BaseTable,2,FALSE)</f>
        <v>Weiter</v>
      </c>
      <c r="E329">
        <f>YEAR(A329)</f>
        <v>2014</v>
      </c>
    </row>
    <row r="330" spans="1:5">
      <c r="A330" s="32">
        <v>41795</v>
      </c>
      <c r="B330" t="s">
        <v>3</v>
      </c>
      <c r="C330">
        <v>8680</v>
      </c>
      <c r="D330" t="str">
        <f>VLOOKUP(B330,BaseTable,2,FALSE)</f>
        <v>Schmecken</v>
      </c>
      <c r="E330">
        <f>YEAR(A330)</f>
        <v>2014</v>
      </c>
    </row>
    <row r="331" spans="1:5">
      <c r="A331" s="32">
        <v>41795</v>
      </c>
      <c r="B331" t="s">
        <v>4</v>
      </c>
      <c r="C331">
        <v>390</v>
      </c>
      <c r="D331" t="str">
        <f>VLOOKUP(B331,BaseTable,2,FALSE)</f>
        <v>Danach-NY</v>
      </c>
      <c r="E331">
        <f>YEAR(A331)</f>
        <v>2014</v>
      </c>
    </row>
    <row r="332" spans="1:5">
      <c r="A332" s="32">
        <v>41796</v>
      </c>
      <c r="B332" t="s">
        <v>0</v>
      </c>
      <c r="C332">
        <v>1225</v>
      </c>
      <c r="D332" t="str">
        <f>VLOOKUP(B332,BaseTable,2,FALSE)</f>
        <v>Unter</v>
      </c>
      <c r="E332">
        <f>YEAR(A332)</f>
        <v>2014</v>
      </c>
    </row>
    <row r="333" spans="1:5">
      <c r="A333" s="32">
        <v>41796</v>
      </c>
      <c r="B333" t="s">
        <v>1</v>
      </c>
      <c r="C333">
        <v>9396</v>
      </c>
      <c r="D333" t="str">
        <f>VLOOKUP(B333,BaseTable,2,FALSE)</f>
        <v>Hinter</v>
      </c>
      <c r="E333">
        <f>YEAR(A333)</f>
        <v>2014</v>
      </c>
    </row>
    <row r="334" spans="1:5">
      <c r="A334" s="32">
        <v>41796</v>
      </c>
      <c r="B334" t="s">
        <v>2</v>
      </c>
      <c r="C334">
        <v>6003</v>
      </c>
      <c r="D334" t="str">
        <f>VLOOKUP(B334,BaseTable,2,FALSE)</f>
        <v>Weiter</v>
      </c>
      <c r="E334">
        <f>YEAR(A334)</f>
        <v>2014</v>
      </c>
    </row>
    <row r="335" spans="1:5">
      <c r="A335" s="32">
        <v>41796</v>
      </c>
      <c r="B335" t="s">
        <v>3</v>
      </c>
      <c r="C335">
        <v>7745</v>
      </c>
      <c r="D335" t="str">
        <f>VLOOKUP(B335,BaseTable,2,FALSE)</f>
        <v>Schmecken</v>
      </c>
      <c r="E335">
        <f>YEAR(A335)</f>
        <v>2014</v>
      </c>
    </row>
    <row r="336" spans="1:5">
      <c r="A336" s="32">
        <v>41796</v>
      </c>
      <c r="B336" t="s">
        <v>4</v>
      </c>
      <c r="C336">
        <v>314</v>
      </c>
      <c r="D336" t="str">
        <f>VLOOKUP(B336,BaseTable,2,FALSE)</f>
        <v>Danach-NY</v>
      </c>
      <c r="E336">
        <f>YEAR(A336)</f>
        <v>2014</v>
      </c>
    </row>
    <row r="337" spans="1:5">
      <c r="A337" s="32">
        <v>41797</v>
      </c>
      <c r="B337" t="s">
        <v>0</v>
      </c>
      <c r="C337">
        <v>960</v>
      </c>
      <c r="D337" t="str">
        <f>VLOOKUP(B337,BaseTable,2,FALSE)</f>
        <v>Unter</v>
      </c>
      <c r="E337">
        <f>YEAR(A337)</f>
        <v>2014</v>
      </c>
    </row>
    <row r="338" spans="1:5">
      <c r="A338" s="32">
        <v>41797</v>
      </c>
      <c r="B338" t="s">
        <v>1</v>
      </c>
      <c r="C338">
        <v>7985</v>
      </c>
      <c r="D338" t="str">
        <f>VLOOKUP(B338,BaseTable,2,FALSE)</f>
        <v>Hinter</v>
      </c>
      <c r="E338">
        <f>YEAR(A338)</f>
        <v>2014</v>
      </c>
    </row>
    <row r="339" spans="1:5">
      <c r="A339" s="32">
        <v>41797</v>
      </c>
      <c r="B339" t="s">
        <v>2</v>
      </c>
      <c r="C339">
        <v>5213</v>
      </c>
      <c r="D339" t="str">
        <f>VLOOKUP(B339,BaseTable,2,FALSE)</f>
        <v>Weiter</v>
      </c>
      <c r="E339">
        <f>YEAR(A339)</f>
        <v>2014</v>
      </c>
    </row>
    <row r="340" spans="1:5">
      <c r="A340" s="32">
        <v>41797</v>
      </c>
      <c r="B340" t="s">
        <v>3</v>
      </c>
      <c r="C340">
        <v>6419</v>
      </c>
      <c r="D340" t="str">
        <f>VLOOKUP(B340,BaseTable,2,FALSE)</f>
        <v>Schmecken</v>
      </c>
      <c r="E340">
        <f>YEAR(A340)</f>
        <v>2014</v>
      </c>
    </row>
    <row r="341" spans="1:5">
      <c r="A341" s="32">
        <v>41797</v>
      </c>
      <c r="B341" t="s">
        <v>4</v>
      </c>
      <c r="C341">
        <v>312</v>
      </c>
      <c r="D341" t="str">
        <f>VLOOKUP(B341,BaseTable,2,FALSE)</f>
        <v>Danach-NY</v>
      </c>
      <c r="E341">
        <f>YEAR(A341)</f>
        <v>2014</v>
      </c>
    </row>
    <row r="342" spans="1:5">
      <c r="A342" s="32">
        <v>41798</v>
      </c>
      <c r="B342" t="s">
        <v>0</v>
      </c>
      <c r="C342">
        <v>787</v>
      </c>
      <c r="D342" t="str">
        <f>VLOOKUP(B342,BaseTable,2,FALSE)</f>
        <v>Unter</v>
      </c>
      <c r="E342">
        <f>YEAR(A342)</f>
        <v>2014</v>
      </c>
    </row>
    <row r="343" spans="1:5">
      <c r="A343" s="32">
        <v>41798</v>
      </c>
      <c r="B343" t="s">
        <v>1</v>
      </c>
      <c r="C343">
        <v>5936</v>
      </c>
      <c r="D343" t="str">
        <f>VLOOKUP(B343,BaseTable,2,FALSE)</f>
        <v>Hinter</v>
      </c>
      <c r="E343">
        <f>YEAR(A343)</f>
        <v>2014</v>
      </c>
    </row>
    <row r="344" spans="1:5">
      <c r="A344" s="32">
        <v>41798</v>
      </c>
      <c r="B344" t="s">
        <v>2</v>
      </c>
      <c r="C344">
        <v>4059</v>
      </c>
      <c r="D344" t="str">
        <f>VLOOKUP(B344,BaseTable,2,FALSE)</f>
        <v>Weiter</v>
      </c>
      <c r="E344">
        <f>YEAR(A344)</f>
        <v>2014</v>
      </c>
    </row>
    <row r="345" spans="1:5">
      <c r="A345" s="32">
        <v>41798</v>
      </c>
      <c r="B345" t="s">
        <v>3</v>
      </c>
      <c r="C345">
        <v>4773</v>
      </c>
      <c r="D345" t="str">
        <f>VLOOKUP(B345,BaseTable,2,FALSE)</f>
        <v>Schmecken</v>
      </c>
      <c r="E345">
        <f>YEAR(A345)</f>
        <v>2014</v>
      </c>
    </row>
    <row r="346" spans="1:5">
      <c r="A346" s="32">
        <v>41798</v>
      </c>
      <c r="B346" t="s">
        <v>4</v>
      </c>
      <c r="C346">
        <v>194</v>
      </c>
      <c r="D346" t="str">
        <f>VLOOKUP(B346,BaseTable,2,FALSE)</f>
        <v>Danach-NY</v>
      </c>
      <c r="E346">
        <f>YEAR(A346)</f>
        <v>2014</v>
      </c>
    </row>
    <row r="347" spans="1:5">
      <c r="A347" s="32">
        <v>41799</v>
      </c>
      <c r="B347" t="s">
        <v>0</v>
      </c>
      <c r="C347">
        <v>1193</v>
      </c>
      <c r="D347" t="str">
        <f>VLOOKUP(B347,BaseTable,2,FALSE)</f>
        <v>Unter</v>
      </c>
      <c r="E347">
        <f>YEAR(A347)</f>
        <v>2014</v>
      </c>
    </row>
    <row r="348" spans="1:5">
      <c r="A348" s="32">
        <v>41799</v>
      </c>
      <c r="B348" t="s">
        <v>1</v>
      </c>
      <c r="C348">
        <v>8772</v>
      </c>
      <c r="D348" t="str">
        <f>VLOOKUP(B348,BaseTable,2,FALSE)</f>
        <v>Hinter</v>
      </c>
      <c r="E348">
        <f>YEAR(A348)</f>
        <v>2014</v>
      </c>
    </row>
    <row r="349" spans="1:5">
      <c r="A349" s="32">
        <v>41799</v>
      </c>
      <c r="B349" t="s">
        <v>2</v>
      </c>
      <c r="C349">
        <v>5758</v>
      </c>
      <c r="D349" t="str">
        <f>VLOOKUP(B349,BaseTable,2,FALSE)</f>
        <v>Weiter</v>
      </c>
      <c r="E349">
        <f>YEAR(A349)</f>
        <v>2014</v>
      </c>
    </row>
    <row r="350" spans="1:5">
      <c r="A350" s="32">
        <v>41799</v>
      </c>
      <c r="B350" t="s">
        <v>3</v>
      </c>
      <c r="C350">
        <v>7147</v>
      </c>
      <c r="D350" t="str">
        <f>VLOOKUP(B350,BaseTable,2,FALSE)</f>
        <v>Schmecken</v>
      </c>
      <c r="E350">
        <f>YEAR(A350)</f>
        <v>2014</v>
      </c>
    </row>
    <row r="351" spans="1:5">
      <c r="A351" s="32">
        <v>41799</v>
      </c>
      <c r="B351" t="s">
        <v>4</v>
      </c>
      <c r="C351">
        <v>374</v>
      </c>
      <c r="D351" t="str">
        <f>VLOOKUP(B351,BaseTable,2,FALSE)</f>
        <v>Danach-NY</v>
      </c>
      <c r="E351">
        <f>YEAR(A351)</f>
        <v>2014</v>
      </c>
    </row>
    <row r="352" spans="1:5">
      <c r="A352" s="32">
        <v>41800</v>
      </c>
      <c r="B352" t="s">
        <v>0</v>
      </c>
      <c r="C352">
        <v>1204</v>
      </c>
      <c r="D352" t="str">
        <f>VLOOKUP(B352,BaseTable,2,FALSE)</f>
        <v>Unter</v>
      </c>
      <c r="E352">
        <f>YEAR(A352)</f>
        <v>2014</v>
      </c>
    </row>
    <row r="353" spans="1:5">
      <c r="A353" s="32">
        <v>41800</v>
      </c>
      <c r="B353" t="s">
        <v>1</v>
      </c>
      <c r="C353">
        <v>8639</v>
      </c>
      <c r="D353" t="str">
        <f>VLOOKUP(B353,BaseTable,2,FALSE)</f>
        <v>Hinter</v>
      </c>
      <c r="E353">
        <f>YEAR(A353)</f>
        <v>2014</v>
      </c>
    </row>
    <row r="354" spans="1:5">
      <c r="A354" s="32">
        <v>41800</v>
      </c>
      <c r="B354" t="s">
        <v>2</v>
      </c>
      <c r="C354">
        <v>5826</v>
      </c>
      <c r="D354" t="str">
        <f>VLOOKUP(B354,BaseTable,2,FALSE)</f>
        <v>Weiter</v>
      </c>
      <c r="E354">
        <f>YEAR(A354)</f>
        <v>2014</v>
      </c>
    </row>
    <row r="355" spans="1:5">
      <c r="A355" s="32">
        <v>41800</v>
      </c>
      <c r="B355" t="s">
        <v>3</v>
      </c>
      <c r="C355">
        <v>6902</v>
      </c>
      <c r="D355" t="str">
        <f>VLOOKUP(B355,BaseTable,2,FALSE)</f>
        <v>Schmecken</v>
      </c>
      <c r="E355">
        <f>YEAR(A355)</f>
        <v>2014</v>
      </c>
    </row>
    <row r="356" spans="1:5">
      <c r="A356" s="32">
        <v>41800</v>
      </c>
      <c r="B356" t="s">
        <v>4</v>
      </c>
      <c r="C356">
        <v>303</v>
      </c>
      <c r="D356" t="str">
        <f>VLOOKUP(B356,BaseTable,2,FALSE)</f>
        <v>Danach-NY</v>
      </c>
      <c r="E356">
        <f>YEAR(A356)</f>
        <v>2014</v>
      </c>
    </row>
    <row r="357" spans="1:5">
      <c r="A357" s="32">
        <v>41801</v>
      </c>
      <c r="B357" t="s">
        <v>0</v>
      </c>
      <c r="C357">
        <v>1330</v>
      </c>
      <c r="D357" t="str">
        <f>VLOOKUP(B357,BaseTable,2,FALSE)</f>
        <v>Unter</v>
      </c>
      <c r="E357">
        <f>YEAR(A357)</f>
        <v>2014</v>
      </c>
    </row>
    <row r="358" spans="1:5">
      <c r="A358" s="32">
        <v>41801</v>
      </c>
      <c r="B358" t="s">
        <v>1</v>
      </c>
      <c r="C358">
        <v>9503</v>
      </c>
      <c r="D358" t="str">
        <f>VLOOKUP(B358,BaseTable,2,FALSE)</f>
        <v>Hinter</v>
      </c>
      <c r="E358">
        <f>YEAR(A358)</f>
        <v>2014</v>
      </c>
    </row>
    <row r="359" spans="1:5">
      <c r="A359" s="32">
        <v>41801</v>
      </c>
      <c r="B359" t="s">
        <v>2</v>
      </c>
      <c r="C359">
        <v>6601</v>
      </c>
      <c r="D359" t="str">
        <f>VLOOKUP(B359,BaseTable,2,FALSE)</f>
        <v>Weiter</v>
      </c>
      <c r="E359">
        <f>YEAR(A359)</f>
        <v>2014</v>
      </c>
    </row>
    <row r="360" spans="1:5">
      <c r="A360" s="32">
        <v>41801</v>
      </c>
      <c r="B360" t="s">
        <v>3</v>
      </c>
      <c r="C360">
        <v>7914</v>
      </c>
      <c r="D360" t="str">
        <f>VLOOKUP(B360,BaseTable,2,FALSE)</f>
        <v>Schmecken</v>
      </c>
      <c r="E360">
        <f>YEAR(A360)</f>
        <v>2014</v>
      </c>
    </row>
    <row r="361" spans="1:5">
      <c r="A361" s="32">
        <v>41801</v>
      </c>
      <c r="B361" t="s">
        <v>4</v>
      </c>
      <c r="C361">
        <v>368</v>
      </c>
      <c r="D361" t="str">
        <f>VLOOKUP(B361,BaseTable,2,FALSE)</f>
        <v>Danach-NY</v>
      </c>
      <c r="E361">
        <f>YEAR(A361)</f>
        <v>2014</v>
      </c>
    </row>
    <row r="362" spans="1:5">
      <c r="A362" s="32">
        <v>41802</v>
      </c>
      <c r="B362" t="s">
        <v>0</v>
      </c>
      <c r="C362">
        <v>1590</v>
      </c>
      <c r="D362" t="str">
        <f>VLOOKUP(B362,BaseTable,2,FALSE)</f>
        <v>Unter</v>
      </c>
      <c r="E362">
        <f>YEAR(A362)</f>
        <v>2014</v>
      </c>
    </row>
    <row r="363" spans="1:5">
      <c r="A363" s="32">
        <v>41802</v>
      </c>
      <c r="B363" t="s">
        <v>1</v>
      </c>
      <c r="C363">
        <v>10898</v>
      </c>
      <c r="D363" t="str">
        <f>VLOOKUP(B363,BaseTable,2,FALSE)</f>
        <v>Hinter</v>
      </c>
      <c r="E363">
        <f>YEAR(A363)</f>
        <v>2014</v>
      </c>
    </row>
    <row r="364" spans="1:5">
      <c r="A364" s="32">
        <v>41802</v>
      </c>
      <c r="B364" t="s">
        <v>2</v>
      </c>
      <c r="C364">
        <v>7965</v>
      </c>
      <c r="D364" t="str">
        <f>VLOOKUP(B364,BaseTable,2,FALSE)</f>
        <v>Weiter</v>
      </c>
      <c r="E364">
        <f>YEAR(A364)</f>
        <v>2014</v>
      </c>
    </row>
    <row r="365" spans="1:5">
      <c r="A365" s="32">
        <v>41802</v>
      </c>
      <c r="B365" t="s">
        <v>3</v>
      </c>
      <c r="C365">
        <v>8881</v>
      </c>
      <c r="D365" t="str">
        <f>VLOOKUP(B365,BaseTable,2,FALSE)</f>
        <v>Schmecken</v>
      </c>
      <c r="E365">
        <f>YEAR(A365)</f>
        <v>2014</v>
      </c>
    </row>
    <row r="366" spans="1:5">
      <c r="A366" s="32">
        <v>41802</v>
      </c>
      <c r="B366" t="s">
        <v>4</v>
      </c>
      <c r="C366">
        <v>510</v>
      </c>
      <c r="D366" t="str">
        <f>VLOOKUP(B366,BaseTable,2,FALSE)</f>
        <v>Danach-NY</v>
      </c>
      <c r="E366">
        <f>YEAR(A366)</f>
        <v>2014</v>
      </c>
    </row>
    <row r="367" spans="1:5">
      <c r="A367" s="32">
        <v>41803</v>
      </c>
      <c r="B367" t="s">
        <v>0</v>
      </c>
      <c r="C367">
        <v>1651</v>
      </c>
      <c r="D367" t="str">
        <f>VLOOKUP(B367,BaseTable,2,FALSE)</f>
        <v>Unter</v>
      </c>
      <c r="E367">
        <f>YEAR(A367)</f>
        <v>2014</v>
      </c>
    </row>
    <row r="368" spans="1:5">
      <c r="A368" s="32">
        <v>41803</v>
      </c>
      <c r="B368" t="s">
        <v>1</v>
      </c>
      <c r="C368">
        <v>11382</v>
      </c>
      <c r="D368" t="str">
        <f>VLOOKUP(B368,BaseTable,2,FALSE)</f>
        <v>Hinter</v>
      </c>
      <c r="E368">
        <f>YEAR(A368)</f>
        <v>2014</v>
      </c>
    </row>
    <row r="369" spans="1:5">
      <c r="A369" s="32">
        <v>41803</v>
      </c>
      <c r="B369" t="s">
        <v>2</v>
      </c>
      <c r="C369">
        <v>8234</v>
      </c>
      <c r="D369" t="str">
        <f>VLOOKUP(B369,BaseTable,2,FALSE)</f>
        <v>Weiter</v>
      </c>
      <c r="E369">
        <f>YEAR(A369)</f>
        <v>2014</v>
      </c>
    </row>
    <row r="370" spans="1:5">
      <c r="A370" s="32">
        <v>41803</v>
      </c>
      <c r="B370" t="s">
        <v>3</v>
      </c>
      <c r="C370">
        <v>9502</v>
      </c>
      <c r="D370" t="str">
        <f>VLOOKUP(B370,BaseTable,2,FALSE)</f>
        <v>Schmecken</v>
      </c>
      <c r="E370">
        <f>YEAR(A370)</f>
        <v>2014</v>
      </c>
    </row>
    <row r="371" spans="1:5">
      <c r="A371" s="32">
        <v>41803</v>
      </c>
      <c r="B371" t="s">
        <v>4</v>
      </c>
      <c r="C371">
        <v>438</v>
      </c>
      <c r="D371" t="str">
        <f>VLOOKUP(B371,BaseTable,2,FALSE)</f>
        <v>Danach-NY</v>
      </c>
      <c r="E371">
        <f>YEAR(A371)</f>
        <v>2014</v>
      </c>
    </row>
    <row r="372" spans="1:5">
      <c r="A372" s="32">
        <v>41804</v>
      </c>
      <c r="B372" t="s">
        <v>0</v>
      </c>
      <c r="C372">
        <v>910</v>
      </c>
      <c r="D372" t="str">
        <f>VLOOKUP(B372,BaseTable,2,FALSE)</f>
        <v>Unter</v>
      </c>
      <c r="E372">
        <f>YEAR(A372)</f>
        <v>2014</v>
      </c>
    </row>
    <row r="373" spans="1:5">
      <c r="A373" s="32">
        <v>41804</v>
      </c>
      <c r="B373" t="s">
        <v>1</v>
      </c>
      <c r="C373">
        <v>7190</v>
      </c>
      <c r="D373" t="str">
        <f>VLOOKUP(B373,BaseTable,2,FALSE)</f>
        <v>Hinter</v>
      </c>
      <c r="E373">
        <f>YEAR(A373)</f>
        <v>2014</v>
      </c>
    </row>
    <row r="374" spans="1:5">
      <c r="A374" s="32">
        <v>41804</v>
      </c>
      <c r="B374" t="s">
        <v>2</v>
      </c>
      <c r="C374">
        <v>5144</v>
      </c>
      <c r="D374" t="str">
        <f>VLOOKUP(B374,BaseTable,2,FALSE)</f>
        <v>Weiter</v>
      </c>
      <c r="E374">
        <f>YEAR(A374)</f>
        <v>2014</v>
      </c>
    </row>
    <row r="375" spans="1:5">
      <c r="A375" s="32">
        <v>41804</v>
      </c>
      <c r="B375" t="s">
        <v>3</v>
      </c>
      <c r="C375">
        <v>5833</v>
      </c>
      <c r="D375" t="str">
        <f>VLOOKUP(B375,BaseTable,2,FALSE)</f>
        <v>Schmecken</v>
      </c>
      <c r="E375">
        <f>YEAR(A375)</f>
        <v>2014</v>
      </c>
    </row>
    <row r="376" spans="1:5">
      <c r="A376" s="32">
        <v>41804</v>
      </c>
      <c r="B376" t="s">
        <v>4</v>
      </c>
      <c r="C376">
        <v>250</v>
      </c>
      <c r="D376" t="str">
        <f>VLOOKUP(B376,BaseTable,2,FALSE)</f>
        <v>Danach-NY</v>
      </c>
      <c r="E376">
        <f>YEAR(A376)</f>
        <v>2014</v>
      </c>
    </row>
    <row r="377" spans="1:5">
      <c r="A377" s="32">
        <v>41805</v>
      </c>
      <c r="B377" t="s">
        <v>0</v>
      </c>
      <c r="C377">
        <v>649</v>
      </c>
      <c r="D377" t="str">
        <f>VLOOKUP(B377,BaseTable,2,FALSE)</f>
        <v>Unter</v>
      </c>
      <c r="E377">
        <f>YEAR(A377)</f>
        <v>2014</v>
      </c>
    </row>
    <row r="378" spans="1:5">
      <c r="A378" s="32">
        <v>41805</v>
      </c>
      <c r="B378" t="s">
        <v>1</v>
      </c>
      <c r="C378">
        <v>5369</v>
      </c>
      <c r="D378" t="str">
        <f>VLOOKUP(B378,BaseTable,2,FALSE)</f>
        <v>Hinter</v>
      </c>
      <c r="E378">
        <f>YEAR(A378)</f>
        <v>2014</v>
      </c>
    </row>
    <row r="379" spans="1:5">
      <c r="A379" s="32">
        <v>41805</v>
      </c>
      <c r="B379" t="s">
        <v>2</v>
      </c>
      <c r="C379">
        <v>4139</v>
      </c>
      <c r="D379" t="str">
        <f>VLOOKUP(B379,BaseTable,2,FALSE)</f>
        <v>Weiter</v>
      </c>
      <c r="E379">
        <f>YEAR(A379)</f>
        <v>2014</v>
      </c>
    </row>
    <row r="380" spans="1:5">
      <c r="A380" s="32">
        <v>41805</v>
      </c>
      <c r="B380" t="s">
        <v>3</v>
      </c>
      <c r="C380">
        <v>4163</v>
      </c>
      <c r="D380" t="str">
        <f>VLOOKUP(B380,BaseTable,2,FALSE)</f>
        <v>Schmecken</v>
      </c>
      <c r="E380">
        <f>YEAR(A380)</f>
        <v>2014</v>
      </c>
    </row>
    <row r="381" spans="1:5">
      <c r="A381" s="32">
        <v>41805</v>
      </c>
      <c r="B381" t="s">
        <v>4</v>
      </c>
      <c r="C381">
        <v>191</v>
      </c>
      <c r="D381" t="str">
        <f>VLOOKUP(B381,BaseTable,2,FALSE)</f>
        <v>Danach-NY</v>
      </c>
      <c r="E381">
        <f>YEAR(A381)</f>
        <v>2014</v>
      </c>
    </row>
    <row r="382" spans="1:5">
      <c r="A382" s="32">
        <v>41806</v>
      </c>
      <c r="B382" t="s">
        <v>0</v>
      </c>
      <c r="C382">
        <v>931</v>
      </c>
      <c r="D382" t="str">
        <f>VLOOKUP(B382,BaseTable,2,FALSE)</f>
        <v>Unter</v>
      </c>
      <c r="E382">
        <f>YEAR(A382)</f>
        <v>2014</v>
      </c>
    </row>
    <row r="383" spans="1:5">
      <c r="A383" s="32">
        <v>41806</v>
      </c>
      <c r="B383" t="s">
        <v>1</v>
      </c>
      <c r="C383">
        <v>6540</v>
      </c>
      <c r="D383" t="str">
        <f>VLOOKUP(B383,BaseTable,2,FALSE)</f>
        <v>Hinter</v>
      </c>
      <c r="E383">
        <f>YEAR(A383)</f>
        <v>2014</v>
      </c>
    </row>
    <row r="384" spans="1:5">
      <c r="A384" s="32">
        <v>41806</v>
      </c>
      <c r="B384" t="s">
        <v>2</v>
      </c>
      <c r="C384">
        <v>4962</v>
      </c>
      <c r="D384" t="str">
        <f>VLOOKUP(B384,BaseTable,2,FALSE)</f>
        <v>Weiter</v>
      </c>
      <c r="E384">
        <f>YEAR(A384)</f>
        <v>2014</v>
      </c>
    </row>
    <row r="385" spans="1:5">
      <c r="A385" s="32">
        <v>41806</v>
      </c>
      <c r="B385" t="s">
        <v>3</v>
      </c>
      <c r="C385">
        <v>5069</v>
      </c>
      <c r="D385" t="str">
        <f>VLOOKUP(B385,BaseTable,2,FALSE)</f>
        <v>Schmecken</v>
      </c>
      <c r="E385">
        <f>YEAR(A385)</f>
        <v>2014</v>
      </c>
    </row>
    <row r="386" spans="1:5">
      <c r="A386" s="32">
        <v>41806</v>
      </c>
      <c r="B386" t="s">
        <v>4</v>
      </c>
      <c r="C386">
        <v>276</v>
      </c>
      <c r="D386" t="str">
        <f>VLOOKUP(B386,BaseTable,2,FALSE)</f>
        <v>Danach-NY</v>
      </c>
      <c r="E386">
        <f>YEAR(A386)</f>
        <v>2014</v>
      </c>
    </row>
    <row r="387" spans="1:5">
      <c r="A387" s="32">
        <v>41807</v>
      </c>
      <c r="B387" t="s">
        <v>0</v>
      </c>
      <c r="C387">
        <v>1125</v>
      </c>
      <c r="D387" t="str">
        <f>VLOOKUP(B387,BaseTable,2,FALSE)</f>
        <v>Unter</v>
      </c>
      <c r="E387">
        <f>YEAR(A387)</f>
        <v>2014</v>
      </c>
    </row>
    <row r="388" spans="1:5">
      <c r="A388" s="32">
        <v>41807</v>
      </c>
      <c r="B388" t="s">
        <v>1</v>
      </c>
      <c r="C388">
        <v>7975</v>
      </c>
      <c r="D388" t="str">
        <f>VLOOKUP(B388,BaseTable,2,FALSE)</f>
        <v>Hinter</v>
      </c>
      <c r="E388">
        <f>YEAR(A388)</f>
        <v>2014</v>
      </c>
    </row>
    <row r="389" spans="1:5">
      <c r="A389" s="32">
        <v>41807</v>
      </c>
      <c r="B389" t="s">
        <v>2</v>
      </c>
      <c r="C389">
        <v>6071</v>
      </c>
      <c r="D389" t="str">
        <f>VLOOKUP(B389,BaseTable,2,FALSE)</f>
        <v>Weiter</v>
      </c>
      <c r="E389">
        <f>YEAR(A389)</f>
        <v>2014</v>
      </c>
    </row>
    <row r="390" spans="1:5">
      <c r="A390" s="32">
        <v>41807</v>
      </c>
      <c r="B390" t="s">
        <v>3</v>
      </c>
      <c r="C390">
        <v>6310</v>
      </c>
      <c r="D390" t="str">
        <f>VLOOKUP(B390,BaseTable,2,FALSE)</f>
        <v>Schmecken</v>
      </c>
      <c r="E390">
        <f>YEAR(A390)</f>
        <v>2014</v>
      </c>
    </row>
    <row r="391" spans="1:5">
      <c r="A391" s="32">
        <v>41807</v>
      </c>
      <c r="B391" t="s">
        <v>4</v>
      </c>
      <c r="C391">
        <v>326</v>
      </c>
      <c r="D391" t="str">
        <f>VLOOKUP(B391,BaseTable,2,FALSE)</f>
        <v>Danach-NY</v>
      </c>
      <c r="E391">
        <f>YEAR(A391)</f>
        <v>2014</v>
      </c>
    </row>
    <row r="392" spans="1:5">
      <c r="A392" s="32">
        <v>41808</v>
      </c>
      <c r="B392" t="s">
        <v>0</v>
      </c>
      <c r="C392">
        <v>1198</v>
      </c>
      <c r="D392" t="str">
        <f>VLOOKUP(B392,BaseTable,2,FALSE)</f>
        <v>Unter</v>
      </c>
      <c r="E392">
        <f>YEAR(A392)</f>
        <v>2014</v>
      </c>
    </row>
    <row r="393" spans="1:5">
      <c r="A393" s="32">
        <v>41808</v>
      </c>
      <c r="B393" t="s">
        <v>1</v>
      </c>
      <c r="C393">
        <v>8911</v>
      </c>
      <c r="D393" t="str">
        <f>VLOOKUP(B393,BaseTable,2,FALSE)</f>
        <v>Hinter</v>
      </c>
      <c r="E393">
        <f>YEAR(A393)</f>
        <v>2014</v>
      </c>
    </row>
    <row r="394" spans="1:5">
      <c r="A394" s="32">
        <v>41808</v>
      </c>
      <c r="B394" t="s">
        <v>2</v>
      </c>
      <c r="C394">
        <v>6958</v>
      </c>
      <c r="D394" t="str">
        <f>VLOOKUP(B394,BaseTable,2,FALSE)</f>
        <v>Weiter</v>
      </c>
      <c r="E394">
        <f>YEAR(A394)</f>
        <v>2014</v>
      </c>
    </row>
    <row r="395" spans="1:5">
      <c r="A395" s="32">
        <v>41808</v>
      </c>
      <c r="B395" t="s">
        <v>3</v>
      </c>
      <c r="C395">
        <v>7223</v>
      </c>
      <c r="D395" t="str">
        <f>VLOOKUP(B395,BaseTable,2,FALSE)</f>
        <v>Schmecken</v>
      </c>
      <c r="E395">
        <f>YEAR(A395)</f>
        <v>2014</v>
      </c>
    </row>
    <row r="396" spans="1:5">
      <c r="A396" s="32">
        <v>41808</v>
      </c>
      <c r="B396" t="s">
        <v>4</v>
      </c>
      <c r="C396">
        <v>357</v>
      </c>
      <c r="D396" t="str">
        <f>VLOOKUP(B396,BaseTable,2,FALSE)</f>
        <v>Danach-NY</v>
      </c>
      <c r="E396">
        <f>YEAR(A396)</f>
        <v>2014</v>
      </c>
    </row>
    <row r="397" spans="1:5">
      <c r="A397" s="32">
        <v>41809</v>
      </c>
      <c r="B397" t="s">
        <v>0</v>
      </c>
      <c r="C397">
        <v>1528</v>
      </c>
      <c r="D397" t="str">
        <f>VLOOKUP(B397,BaseTable,2,FALSE)</f>
        <v>Unter</v>
      </c>
      <c r="E397">
        <f>YEAR(A397)</f>
        <v>2014</v>
      </c>
    </row>
    <row r="398" spans="1:5">
      <c r="A398" s="32">
        <v>41809</v>
      </c>
      <c r="B398" t="s">
        <v>1</v>
      </c>
      <c r="C398">
        <v>10342</v>
      </c>
      <c r="D398" t="str">
        <f>VLOOKUP(B398,BaseTable,2,FALSE)</f>
        <v>Hinter</v>
      </c>
      <c r="E398">
        <f>YEAR(A398)</f>
        <v>2014</v>
      </c>
    </row>
    <row r="399" spans="1:5">
      <c r="A399" s="32">
        <v>41809</v>
      </c>
      <c r="B399" t="s">
        <v>2</v>
      </c>
      <c r="C399">
        <v>8303</v>
      </c>
      <c r="D399" t="str">
        <f>VLOOKUP(B399,BaseTable,2,FALSE)</f>
        <v>Weiter</v>
      </c>
      <c r="E399">
        <f>YEAR(A399)</f>
        <v>2014</v>
      </c>
    </row>
    <row r="400" spans="1:5">
      <c r="A400" s="32">
        <v>41809</v>
      </c>
      <c r="B400" t="s">
        <v>3</v>
      </c>
      <c r="C400">
        <v>7995</v>
      </c>
      <c r="D400" t="str">
        <f>VLOOKUP(B400,BaseTable,2,FALSE)</f>
        <v>Schmecken</v>
      </c>
      <c r="E400">
        <f>YEAR(A400)</f>
        <v>2014</v>
      </c>
    </row>
    <row r="401" spans="1:5">
      <c r="A401" s="32">
        <v>41809</v>
      </c>
      <c r="B401" t="s">
        <v>4</v>
      </c>
      <c r="C401">
        <v>426</v>
      </c>
      <c r="D401" t="str">
        <f>VLOOKUP(B401,BaseTable,2,FALSE)</f>
        <v>Danach-NY</v>
      </c>
      <c r="E401">
        <f>YEAR(A401)</f>
        <v>2014</v>
      </c>
    </row>
    <row r="402" spans="1:5">
      <c r="A402" s="32">
        <v>41810</v>
      </c>
      <c r="B402" t="s">
        <v>0</v>
      </c>
      <c r="C402">
        <v>1094</v>
      </c>
      <c r="D402" t="str">
        <f>VLOOKUP(B402,BaseTable,2,FALSE)</f>
        <v>Unter</v>
      </c>
      <c r="E402">
        <f>YEAR(A402)</f>
        <v>2014</v>
      </c>
    </row>
    <row r="403" spans="1:5">
      <c r="A403" s="32">
        <v>41810</v>
      </c>
      <c r="B403" t="s">
        <v>1</v>
      </c>
      <c r="C403">
        <v>8584</v>
      </c>
      <c r="D403" t="str">
        <f>VLOOKUP(B403,BaseTable,2,FALSE)</f>
        <v>Hinter</v>
      </c>
      <c r="E403">
        <f>YEAR(A403)</f>
        <v>2014</v>
      </c>
    </row>
    <row r="404" spans="1:5">
      <c r="A404" s="32">
        <v>41810</v>
      </c>
      <c r="B404" t="s">
        <v>2</v>
      </c>
      <c r="C404">
        <v>7421</v>
      </c>
      <c r="D404" t="str">
        <f>VLOOKUP(B404,BaseTable,2,FALSE)</f>
        <v>Weiter</v>
      </c>
      <c r="E404">
        <f>YEAR(A404)</f>
        <v>2014</v>
      </c>
    </row>
    <row r="405" spans="1:5">
      <c r="A405" s="32">
        <v>41810</v>
      </c>
      <c r="B405" t="s">
        <v>3</v>
      </c>
      <c r="C405">
        <v>6851</v>
      </c>
      <c r="D405" t="str">
        <f>VLOOKUP(B405,BaseTable,2,FALSE)</f>
        <v>Schmecken</v>
      </c>
      <c r="E405">
        <f>YEAR(A405)</f>
        <v>2014</v>
      </c>
    </row>
    <row r="406" spans="1:5">
      <c r="A406" s="32">
        <v>41810</v>
      </c>
      <c r="B406" t="s">
        <v>4</v>
      </c>
      <c r="C406">
        <v>321</v>
      </c>
      <c r="D406" t="str">
        <f>VLOOKUP(B406,BaseTable,2,FALSE)</f>
        <v>Danach-NY</v>
      </c>
      <c r="E406">
        <f>YEAR(A406)</f>
        <v>2014</v>
      </c>
    </row>
    <row r="407" spans="1:5">
      <c r="A407" s="32">
        <v>41811</v>
      </c>
      <c r="B407" t="s">
        <v>0</v>
      </c>
      <c r="C407">
        <v>859</v>
      </c>
      <c r="D407" t="str">
        <f>VLOOKUP(B407,BaseTable,2,FALSE)</f>
        <v>Unter</v>
      </c>
      <c r="E407">
        <f>YEAR(A407)</f>
        <v>2014</v>
      </c>
    </row>
    <row r="408" spans="1:5">
      <c r="A408" s="32">
        <v>41811</v>
      </c>
      <c r="B408" t="s">
        <v>1</v>
      </c>
      <c r="C408">
        <v>7148</v>
      </c>
      <c r="D408" t="str">
        <f>VLOOKUP(B408,BaseTable,2,FALSE)</f>
        <v>Hinter</v>
      </c>
      <c r="E408">
        <f>YEAR(A408)</f>
        <v>2014</v>
      </c>
    </row>
    <row r="409" spans="1:5">
      <c r="A409" s="32">
        <v>41811</v>
      </c>
      <c r="B409" t="s">
        <v>2</v>
      </c>
      <c r="C409">
        <v>6006</v>
      </c>
      <c r="D409" t="str">
        <f>VLOOKUP(B409,BaseTable,2,FALSE)</f>
        <v>Weiter</v>
      </c>
      <c r="E409">
        <f>YEAR(A409)</f>
        <v>2014</v>
      </c>
    </row>
    <row r="410" spans="1:5">
      <c r="A410" s="32">
        <v>41811</v>
      </c>
      <c r="B410" t="s">
        <v>3</v>
      </c>
      <c r="C410">
        <v>5687</v>
      </c>
      <c r="D410" t="str">
        <f>VLOOKUP(B410,BaseTable,2,FALSE)</f>
        <v>Schmecken</v>
      </c>
      <c r="E410">
        <f>YEAR(A410)</f>
        <v>2014</v>
      </c>
    </row>
    <row r="411" spans="1:5">
      <c r="A411" s="32">
        <v>41811</v>
      </c>
      <c r="B411" t="s">
        <v>4</v>
      </c>
      <c r="C411">
        <v>240</v>
      </c>
      <c r="D411" t="str">
        <f>VLOOKUP(B411,BaseTable,2,FALSE)</f>
        <v>Danach-NY</v>
      </c>
      <c r="E411">
        <f>YEAR(A411)</f>
        <v>2014</v>
      </c>
    </row>
    <row r="412" spans="1:5">
      <c r="A412" s="32">
        <v>41812</v>
      </c>
      <c r="B412" t="s">
        <v>0</v>
      </c>
      <c r="C412">
        <v>757</v>
      </c>
      <c r="D412" t="str">
        <f>VLOOKUP(B412,BaseTable,2,FALSE)</f>
        <v>Unter</v>
      </c>
      <c r="E412">
        <f>YEAR(A412)</f>
        <v>2014</v>
      </c>
    </row>
    <row r="413" spans="1:5">
      <c r="A413" s="32">
        <v>41812</v>
      </c>
      <c r="B413" t="s">
        <v>1</v>
      </c>
      <c r="C413">
        <v>5649</v>
      </c>
      <c r="D413" t="str">
        <f>VLOOKUP(B413,BaseTable,2,FALSE)</f>
        <v>Hinter</v>
      </c>
      <c r="E413">
        <f>YEAR(A413)</f>
        <v>2014</v>
      </c>
    </row>
    <row r="414" spans="1:5">
      <c r="A414" s="32">
        <v>41812</v>
      </c>
      <c r="B414" t="s">
        <v>2</v>
      </c>
      <c r="C414">
        <v>5033</v>
      </c>
      <c r="D414" t="str">
        <f>VLOOKUP(B414,BaseTable,2,FALSE)</f>
        <v>Weiter</v>
      </c>
      <c r="E414">
        <f>YEAR(A414)</f>
        <v>2014</v>
      </c>
    </row>
    <row r="415" spans="1:5">
      <c r="A415" s="32">
        <v>41812</v>
      </c>
      <c r="B415" t="s">
        <v>3</v>
      </c>
      <c r="C415">
        <v>4691</v>
      </c>
      <c r="D415" t="str">
        <f>VLOOKUP(B415,BaseTable,2,FALSE)</f>
        <v>Schmecken</v>
      </c>
      <c r="E415">
        <f>YEAR(A415)</f>
        <v>2014</v>
      </c>
    </row>
    <row r="416" spans="1:5">
      <c r="A416" s="32">
        <v>41812</v>
      </c>
      <c r="B416" t="s">
        <v>4</v>
      </c>
      <c r="C416">
        <v>192</v>
      </c>
      <c r="D416" t="str">
        <f>VLOOKUP(B416,BaseTable,2,FALSE)</f>
        <v>Danach-NY</v>
      </c>
      <c r="E416">
        <f>YEAR(A416)</f>
        <v>2014</v>
      </c>
    </row>
    <row r="417" spans="1:5">
      <c r="A417" s="32">
        <v>41813</v>
      </c>
      <c r="B417" t="s">
        <v>0</v>
      </c>
      <c r="C417">
        <v>809</v>
      </c>
      <c r="D417" t="str">
        <f>VLOOKUP(B417,BaseTable,2,FALSE)</f>
        <v>Unter</v>
      </c>
      <c r="E417">
        <f>YEAR(A417)</f>
        <v>2014</v>
      </c>
    </row>
    <row r="418" spans="1:5">
      <c r="A418" s="32">
        <v>41813</v>
      </c>
      <c r="B418" t="s">
        <v>1</v>
      </c>
      <c r="C418">
        <v>6206</v>
      </c>
      <c r="D418" t="str">
        <f>VLOOKUP(B418,BaseTable,2,FALSE)</f>
        <v>Hinter</v>
      </c>
      <c r="E418">
        <f>YEAR(A418)</f>
        <v>2014</v>
      </c>
    </row>
    <row r="419" spans="1:5">
      <c r="A419" s="32">
        <v>41813</v>
      </c>
      <c r="B419" t="s">
        <v>2</v>
      </c>
      <c r="C419">
        <v>5429</v>
      </c>
      <c r="D419" t="str">
        <f>VLOOKUP(B419,BaseTable,2,FALSE)</f>
        <v>Weiter</v>
      </c>
      <c r="E419">
        <f>YEAR(A419)</f>
        <v>2014</v>
      </c>
    </row>
    <row r="420" spans="1:5">
      <c r="A420" s="32">
        <v>41813</v>
      </c>
      <c r="B420" t="s">
        <v>3</v>
      </c>
      <c r="C420">
        <v>5013</v>
      </c>
      <c r="D420" t="str">
        <f>VLOOKUP(B420,BaseTable,2,FALSE)</f>
        <v>Schmecken</v>
      </c>
      <c r="E420">
        <f>YEAR(A420)</f>
        <v>2014</v>
      </c>
    </row>
    <row r="421" spans="1:5">
      <c r="A421" s="32">
        <v>41813</v>
      </c>
      <c r="B421" t="s">
        <v>4</v>
      </c>
      <c r="C421">
        <v>278</v>
      </c>
      <c r="D421" t="str">
        <f>VLOOKUP(B421,BaseTable,2,FALSE)</f>
        <v>Danach-NY</v>
      </c>
      <c r="E421">
        <f>YEAR(A421)</f>
        <v>2014</v>
      </c>
    </row>
    <row r="422" spans="1:5">
      <c r="A422" s="32">
        <v>41814</v>
      </c>
      <c r="B422" t="s">
        <v>0</v>
      </c>
      <c r="C422">
        <v>856</v>
      </c>
      <c r="D422" t="str">
        <f>VLOOKUP(B422,BaseTable,2,FALSE)</f>
        <v>Unter</v>
      </c>
      <c r="E422">
        <f>YEAR(A422)</f>
        <v>2014</v>
      </c>
    </row>
    <row r="423" spans="1:5">
      <c r="A423" s="32">
        <v>41814</v>
      </c>
      <c r="B423" t="s">
        <v>1</v>
      </c>
      <c r="C423">
        <v>7318</v>
      </c>
      <c r="D423" t="str">
        <f>VLOOKUP(B423,BaseTable,2,FALSE)</f>
        <v>Hinter</v>
      </c>
      <c r="E423">
        <f>YEAR(A423)</f>
        <v>2014</v>
      </c>
    </row>
    <row r="424" spans="1:5">
      <c r="A424" s="32">
        <v>41814</v>
      </c>
      <c r="B424" t="s">
        <v>2</v>
      </c>
      <c r="C424">
        <v>6507</v>
      </c>
      <c r="D424" t="str">
        <f>VLOOKUP(B424,BaseTable,2,FALSE)</f>
        <v>Weiter</v>
      </c>
      <c r="E424">
        <f>YEAR(A424)</f>
        <v>2014</v>
      </c>
    </row>
    <row r="425" spans="1:5">
      <c r="A425" s="32">
        <v>41814</v>
      </c>
      <c r="B425" t="s">
        <v>3</v>
      </c>
      <c r="C425">
        <v>5812</v>
      </c>
      <c r="D425" t="str">
        <f>VLOOKUP(B425,BaseTable,2,FALSE)</f>
        <v>Schmecken</v>
      </c>
      <c r="E425">
        <f>YEAR(A425)</f>
        <v>2014</v>
      </c>
    </row>
    <row r="426" spans="1:5">
      <c r="A426" s="32">
        <v>41814</v>
      </c>
      <c r="B426" t="s">
        <v>4</v>
      </c>
      <c r="C426">
        <v>286</v>
      </c>
      <c r="D426" t="str">
        <f>VLOOKUP(B426,BaseTable,2,FALSE)</f>
        <v>Danach-NY</v>
      </c>
      <c r="E426">
        <f>YEAR(A426)</f>
        <v>2014</v>
      </c>
    </row>
    <row r="427" spans="1:5">
      <c r="A427" s="32">
        <v>41815</v>
      </c>
      <c r="B427" t="s">
        <v>0</v>
      </c>
      <c r="C427">
        <v>1144</v>
      </c>
      <c r="D427" t="str">
        <f>VLOOKUP(B427,BaseTable,2,FALSE)</f>
        <v>Unter</v>
      </c>
      <c r="E427">
        <f>YEAR(A427)</f>
        <v>2014</v>
      </c>
    </row>
    <row r="428" spans="1:5">
      <c r="A428" s="32">
        <v>41815</v>
      </c>
      <c r="B428" t="s">
        <v>1</v>
      </c>
      <c r="C428">
        <v>9311</v>
      </c>
      <c r="D428" t="str">
        <f>VLOOKUP(B428,BaseTable,2,FALSE)</f>
        <v>Hinter</v>
      </c>
      <c r="E428">
        <f>YEAR(A428)</f>
        <v>2014</v>
      </c>
    </row>
    <row r="429" spans="1:5">
      <c r="A429" s="32">
        <v>41815</v>
      </c>
      <c r="B429" t="s">
        <v>2</v>
      </c>
      <c r="C429">
        <v>8299</v>
      </c>
      <c r="D429" t="str">
        <f>VLOOKUP(B429,BaseTable,2,FALSE)</f>
        <v>Weiter</v>
      </c>
      <c r="E429">
        <f>YEAR(A429)</f>
        <v>2014</v>
      </c>
    </row>
    <row r="430" spans="1:5">
      <c r="A430" s="32">
        <v>41815</v>
      </c>
      <c r="B430" t="s">
        <v>3</v>
      </c>
      <c r="C430">
        <v>7363</v>
      </c>
      <c r="D430" t="str">
        <f>VLOOKUP(B430,BaseTable,2,FALSE)</f>
        <v>Schmecken</v>
      </c>
      <c r="E430">
        <f>YEAR(A430)</f>
        <v>2014</v>
      </c>
    </row>
    <row r="431" spans="1:5">
      <c r="A431" s="32">
        <v>41815</v>
      </c>
      <c r="B431" t="s">
        <v>4</v>
      </c>
      <c r="C431">
        <v>343</v>
      </c>
      <c r="D431" t="str">
        <f>VLOOKUP(B431,BaseTable,2,FALSE)</f>
        <v>Danach-NY</v>
      </c>
      <c r="E431">
        <f>YEAR(A431)</f>
        <v>2014</v>
      </c>
    </row>
    <row r="432" spans="1:5">
      <c r="A432" s="32">
        <v>41816</v>
      </c>
      <c r="B432" t="s">
        <v>0</v>
      </c>
      <c r="C432">
        <v>1351</v>
      </c>
      <c r="D432" t="str">
        <f>VLOOKUP(B432,BaseTable,2,FALSE)</f>
        <v>Unter</v>
      </c>
      <c r="E432">
        <f>YEAR(A432)</f>
        <v>2014</v>
      </c>
    </row>
    <row r="433" spans="1:5">
      <c r="A433" s="32">
        <v>41816</v>
      </c>
      <c r="B433" t="s">
        <v>1</v>
      </c>
      <c r="C433">
        <v>9818</v>
      </c>
      <c r="D433" t="str">
        <f>VLOOKUP(B433,BaseTable,2,FALSE)</f>
        <v>Hinter</v>
      </c>
      <c r="E433">
        <f>YEAR(A433)</f>
        <v>2014</v>
      </c>
    </row>
    <row r="434" spans="1:5">
      <c r="A434" s="32">
        <v>41816</v>
      </c>
      <c r="B434" t="s">
        <v>2</v>
      </c>
      <c r="C434">
        <v>8999</v>
      </c>
      <c r="D434" t="str">
        <f>VLOOKUP(B434,BaseTable,2,FALSE)</f>
        <v>Weiter</v>
      </c>
      <c r="E434">
        <f>YEAR(A434)</f>
        <v>2014</v>
      </c>
    </row>
    <row r="435" spans="1:5">
      <c r="A435" s="32">
        <v>41816</v>
      </c>
      <c r="B435" t="s">
        <v>3</v>
      </c>
      <c r="C435">
        <v>8002</v>
      </c>
      <c r="D435" t="str">
        <f>VLOOKUP(B435,BaseTable,2,FALSE)</f>
        <v>Schmecken</v>
      </c>
      <c r="E435">
        <f>YEAR(A435)</f>
        <v>2014</v>
      </c>
    </row>
    <row r="436" spans="1:5">
      <c r="A436" s="32">
        <v>41816</v>
      </c>
      <c r="B436" t="s">
        <v>4</v>
      </c>
      <c r="C436">
        <v>346</v>
      </c>
      <c r="D436" t="str">
        <f>VLOOKUP(B436,BaseTable,2,FALSE)</f>
        <v>Danach-NY</v>
      </c>
      <c r="E436">
        <f>YEAR(A436)</f>
        <v>2014</v>
      </c>
    </row>
    <row r="437" spans="1:5">
      <c r="A437" s="32">
        <v>41817</v>
      </c>
      <c r="B437" t="s">
        <v>0</v>
      </c>
      <c r="C437">
        <v>1054</v>
      </c>
      <c r="D437" t="str">
        <f>VLOOKUP(B437,BaseTable,2,FALSE)</f>
        <v>Unter</v>
      </c>
      <c r="E437">
        <f>YEAR(A437)</f>
        <v>2014</v>
      </c>
    </row>
    <row r="438" spans="1:5">
      <c r="A438" s="32">
        <v>41817</v>
      </c>
      <c r="B438" t="s">
        <v>1</v>
      </c>
      <c r="C438">
        <v>8646</v>
      </c>
      <c r="D438" t="str">
        <f>VLOOKUP(B438,BaseTable,2,FALSE)</f>
        <v>Hinter</v>
      </c>
      <c r="E438">
        <f>YEAR(A438)</f>
        <v>2014</v>
      </c>
    </row>
    <row r="439" spans="1:5">
      <c r="A439" s="32">
        <v>41817</v>
      </c>
      <c r="B439" t="s">
        <v>2</v>
      </c>
      <c r="C439">
        <v>7946</v>
      </c>
      <c r="D439" t="str">
        <f>VLOOKUP(B439,BaseTable,2,FALSE)</f>
        <v>Weiter</v>
      </c>
      <c r="E439">
        <f>YEAR(A439)</f>
        <v>2014</v>
      </c>
    </row>
    <row r="440" spans="1:5">
      <c r="A440" s="32">
        <v>41817</v>
      </c>
      <c r="B440" t="s">
        <v>3</v>
      </c>
      <c r="C440">
        <v>6938</v>
      </c>
      <c r="D440" t="str">
        <f>VLOOKUP(B440,BaseTable,2,FALSE)</f>
        <v>Schmecken</v>
      </c>
      <c r="E440">
        <f>YEAR(A440)</f>
        <v>2014</v>
      </c>
    </row>
    <row r="441" spans="1:5">
      <c r="A441" s="32">
        <v>41817</v>
      </c>
      <c r="B441" t="s">
        <v>4</v>
      </c>
      <c r="C441">
        <v>311</v>
      </c>
      <c r="D441" t="str">
        <f>VLOOKUP(B441,BaseTable,2,FALSE)</f>
        <v>Danach-NY</v>
      </c>
      <c r="E441">
        <f>YEAR(A441)</f>
        <v>2014</v>
      </c>
    </row>
    <row r="442" spans="1:5">
      <c r="A442" s="32">
        <v>41818</v>
      </c>
      <c r="B442" t="s">
        <v>0</v>
      </c>
      <c r="C442">
        <v>892</v>
      </c>
      <c r="D442" t="str">
        <f>VLOOKUP(B442,BaseTable,2,FALSE)</f>
        <v>Unter</v>
      </c>
      <c r="E442">
        <f>YEAR(A442)</f>
        <v>2014</v>
      </c>
    </row>
    <row r="443" spans="1:5">
      <c r="A443" s="32">
        <v>41818</v>
      </c>
      <c r="B443" t="s">
        <v>1</v>
      </c>
      <c r="C443">
        <v>7287</v>
      </c>
      <c r="D443" t="str">
        <f>VLOOKUP(B443,BaseTable,2,FALSE)</f>
        <v>Hinter</v>
      </c>
      <c r="E443">
        <f>YEAR(A443)</f>
        <v>2014</v>
      </c>
    </row>
    <row r="444" spans="1:5">
      <c r="A444" s="32">
        <v>41818</v>
      </c>
      <c r="B444" t="s">
        <v>2</v>
      </c>
      <c r="C444">
        <v>6940</v>
      </c>
      <c r="D444" t="str">
        <f>VLOOKUP(B444,BaseTable,2,FALSE)</f>
        <v>Weiter</v>
      </c>
      <c r="E444">
        <f>YEAR(A444)</f>
        <v>2014</v>
      </c>
    </row>
    <row r="445" spans="1:5">
      <c r="A445" s="32">
        <v>41818</v>
      </c>
      <c r="B445" t="s">
        <v>3</v>
      </c>
      <c r="C445">
        <v>5885</v>
      </c>
      <c r="D445" t="str">
        <f>VLOOKUP(B445,BaseTable,2,FALSE)</f>
        <v>Schmecken</v>
      </c>
      <c r="E445">
        <f>YEAR(A445)</f>
        <v>2014</v>
      </c>
    </row>
    <row r="446" spans="1:5">
      <c r="A446" s="32">
        <v>41818</v>
      </c>
      <c r="B446" t="s">
        <v>4</v>
      </c>
      <c r="C446">
        <v>204</v>
      </c>
      <c r="D446" t="str">
        <f>VLOOKUP(B446,BaseTable,2,FALSE)</f>
        <v>Danach-NY</v>
      </c>
      <c r="E446">
        <f>YEAR(A446)</f>
        <v>2014</v>
      </c>
    </row>
    <row r="447" spans="1:5">
      <c r="A447" s="32">
        <v>41819</v>
      </c>
      <c r="B447" t="s">
        <v>0</v>
      </c>
      <c r="C447">
        <v>718</v>
      </c>
      <c r="D447" t="str">
        <f>VLOOKUP(B447,BaseTable,2,FALSE)</f>
        <v>Unter</v>
      </c>
      <c r="E447">
        <f>YEAR(A447)</f>
        <v>2014</v>
      </c>
    </row>
    <row r="448" spans="1:5">
      <c r="A448" s="32">
        <v>41819</v>
      </c>
      <c r="B448" t="s">
        <v>1</v>
      </c>
      <c r="C448">
        <v>6038</v>
      </c>
      <c r="D448" t="str">
        <f>VLOOKUP(B448,BaseTable,2,FALSE)</f>
        <v>Hinter</v>
      </c>
      <c r="E448">
        <f>YEAR(A448)</f>
        <v>2014</v>
      </c>
    </row>
    <row r="449" spans="1:5">
      <c r="A449" s="32">
        <v>41819</v>
      </c>
      <c r="B449" t="s">
        <v>2</v>
      </c>
      <c r="C449">
        <v>5645</v>
      </c>
      <c r="D449" t="str">
        <f>VLOOKUP(B449,BaseTable,2,FALSE)</f>
        <v>Weiter</v>
      </c>
      <c r="E449">
        <f>YEAR(A449)</f>
        <v>2014</v>
      </c>
    </row>
    <row r="450" spans="1:5">
      <c r="A450" s="32">
        <v>41819</v>
      </c>
      <c r="B450" t="s">
        <v>3</v>
      </c>
      <c r="C450">
        <v>4535</v>
      </c>
      <c r="D450" t="str">
        <f>VLOOKUP(B450,BaseTable,2,FALSE)</f>
        <v>Schmecken</v>
      </c>
      <c r="E450">
        <f>YEAR(A450)</f>
        <v>2014</v>
      </c>
    </row>
    <row r="451" spans="1:5">
      <c r="A451" s="32">
        <v>41819</v>
      </c>
      <c r="B451" t="s">
        <v>4</v>
      </c>
      <c r="C451">
        <v>171</v>
      </c>
      <c r="D451" t="str">
        <f>VLOOKUP(B451,BaseTable,2,FALSE)</f>
        <v>Danach-NY</v>
      </c>
      <c r="E451">
        <f>YEAR(A451)</f>
        <v>2014</v>
      </c>
    </row>
    <row r="452" spans="1:5">
      <c r="A452" s="32">
        <v>41820</v>
      </c>
      <c r="B452" t="s">
        <v>0</v>
      </c>
      <c r="C452">
        <v>877</v>
      </c>
      <c r="D452" t="str">
        <f>VLOOKUP(B452,BaseTable,2,FALSE)</f>
        <v>Unter</v>
      </c>
      <c r="E452">
        <f>YEAR(A452)</f>
        <v>2014</v>
      </c>
    </row>
    <row r="453" spans="1:5">
      <c r="A453" s="32">
        <v>41820</v>
      </c>
      <c r="B453" t="s">
        <v>1</v>
      </c>
      <c r="C453">
        <v>6366</v>
      </c>
      <c r="D453" t="str">
        <f>VLOOKUP(B453,BaseTable,2,FALSE)</f>
        <v>Hinter</v>
      </c>
      <c r="E453">
        <f>YEAR(A453)</f>
        <v>2014</v>
      </c>
    </row>
    <row r="454" spans="1:5">
      <c r="A454" s="32">
        <v>41820</v>
      </c>
      <c r="B454" t="s">
        <v>2</v>
      </c>
      <c r="C454">
        <v>5755</v>
      </c>
      <c r="D454" t="str">
        <f>VLOOKUP(B454,BaseTable,2,FALSE)</f>
        <v>Weiter</v>
      </c>
      <c r="E454">
        <f>YEAR(A454)</f>
        <v>2014</v>
      </c>
    </row>
    <row r="455" spans="1:5">
      <c r="A455" s="32">
        <v>41820</v>
      </c>
      <c r="B455" t="s">
        <v>3</v>
      </c>
      <c r="C455">
        <v>5168</v>
      </c>
      <c r="D455" t="str">
        <f>VLOOKUP(B455,BaseTable,2,FALSE)</f>
        <v>Schmecken</v>
      </c>
      <c r="E455">
        <f>YEAR(A455)</f>
        <v>2014</v>
      </c>
    </row>
    <row r="456" spans="1:5">
      <c r="A456" s="32">
        <v>41820</v>
      </c>
      <c r="B456" t="s">
        <v>4</v>
      </c>
      <c r="C456">
        <v>229</v>
      </c>
      <c r="D456" t="str">
        <f>VLOOKUP(B456,BaseTable,2,FALSE)</f>
        <v>Danach-NY</v>
      </c>
      <c r="E456">
        <f>YEAR(A456)</f>
        <v>2014</v>
      </c>
    </row>
    <row r="457" spans="1:5">
      <c r="A457" s="32">
        <v>41821</v>
      </c>
      <c r="B457" t="s">
        <v>0</v>
      </c>
      <c r="C457">
        <v>1020</v>
      </c>
      <c r="D457" t="str">
        <f>VLOOKUP(B457,BaseTable,2,FALSE)</f>
        <v>Unter</v>
      </c>
      <c r="E457">
        <f>YEAR(A457)</f>
        <v>2014</v>
      </c>
    </row>
    <row r="458" spans="1:5">
      <c r="A458" s="32">
        <v>41821</v>
      </c>
      <c r="B458" t="s">
        <v>1</v>
      </c>
      <c r="C458">
        <v>7236</v>
      </c>
      <c r="D458" t="str">
        <f>VLOOKUP(B458,BaseTable,2,FALSE)</f>
        <v>Hinter</v>
      </c>
      <c r="E458">
        <f>YEAR(A458)</f>
        <v>2014</v>
      </c>
    </row>
    <row r="459" spans="1:5">
      <c r="A459" s="32">
        <v>41821</v>
      </c>
      <c r="B459" t="s">
        <v>2</v>
      </c>
      <c r="C459">
        <v>6955</v>
      </c>
      <c r="D459" t="str">
        <f>VLOOKUP(B459,BaseTable,2,FALSE)</f>
        <v>Weiter</v>
      </c>
      <c r="E459">
        <f>YEAR(A459)</f>
        <v>2014</v>
      </c>
    </row>
    <row r="460" spans="1:5">
      <c r="A460" s="32">
        <v>41821</v>
      </c>
      <c r="B460" t="s">
        <v>3</v>
      </c>
      <c r="C460">
        <v>5744</v>
      </c>
      <c r="D460" t="str">
        <f>VLOOKUP(B460,BaseTable,2,FALSE)</f>
        <v>Schmecken</v>
      </c>
      <c r="E460">
        <f>YEAR(A460)</f>
        <v>2014</v>
      </c>
    </row>
    <row r="461" spans="1:5">
      <c r="A461" s="32">
        <v>41821</v>
      </c>
      <c r="B461" t="s">
        <v>4</v>
      </c>
      <c r="C461">
        <v>273</v>
      </c>
      <c r="D461" t="str">
        <f>VLOOKUP(B461,BaseTable,2,FALSE)</f>
        <v>Danach-NY</v>
      </c>
      <c r="E461">
        <f>YEAR(A461)</f>
        <v>2014</v>
      </c>
    </row>
    <row r="462" spans="1:5">
      <c r="A462" s="32">
        <v>41822</v>
      </c>
      <c r="B462" t="s">
        <v>0</v>
      </c>
      <c r="C462">
        <v>1265</v>
      </c>
      <c r="D462" t="str">
        <f>VLOOKUP(B462,BaseTable,2,FALSE)</f>
        <v>Unter</v>
      </c>
      <c r="E462">
        <f>YEAR(A462)</f>
        <v>2014</v>
      </c>
    </row>
    <row r="463" spans="1:5">
      <c r="A463" s="32">
        <v>41822</v>
      </c>
      <c r="B463" t="s">
        <v>1</v>
      </c>
      <c r="C463">
        <v>8799</v>
      </c>
      <c r="D463" t="str">
        <f>VLOOKUP(B463,BaseTable,2,FALSE)</f>
        <v>Hinter</v>
      </c>
      <c r="E463">
        <f>YEAR(A463)</f>
        <v>2014</v>
      </c>
    </row>
    <row r="464" spans="1:5">
      <c r="A464" s="32">
        <v>41822</v>
      </c>
      <c r="B464" t="s">
        <v>2</v>
      </c>
      <c r="C464">
        <v>8636</v>
      </c>
      <c r="D464" t="str">
        <f>VLOOKUP(B464,BaseTable,2,FALSE)</f>
        <v>Weiter</v>
      </c>
      <c r="E464">
        <f>YEAR(A464)</f>
        <v>2014</v>
      </c>
    </row>
    <row r="465" spans="1:5">
      <c r="A465" s="32">
        <v>41822</v>
      </c>
      <c r="B465" t="s">
        <v>3</v>
      </c>
      <c r="C465">
        <v>7457</v>
      </c>
      <c r="D465" t="str">
        <f>VLOOKUP(B465,BaseTable,2,FALSE)</f>
        <v>Schmecken</v>
      </c>
      <c r="E465">
        <f>YEAR(A465)</f>
        <v>2014</v>
      </c>
    </row>
    <row r="466" spans="1:5">
      <c r="A466" s="32">
        <v>41822</v>
      </c>
      <c r="B466" t="s">
        <v>4</v>
      </c>
      <c r="C466">
        <v>323</v>
      </c>
      <c r="D466" t="str">
        <f>VLOOKUP(B466,BaseTable,2,FALSE)</f>
        <v>Danach-NY</v>
      </c>
      <c r="E466">
        <f>YEAR(A466)</f>
        <v>2014</v>
      </c>
    </row>
    <row r="467" spans="1:5">
      <c r="A467" s="32">
        <v>41823</v>
      </c>
      <c r="B467" t="s">
        <v>0</v>
      </c>
      <c r="C467">
        <v>1014</v>
      </c>
      <c r="D467" t="str">
        <f>VLOOKUP(B467,BaseTable,2,FALSE)</f>
        <v>Unter</v>
      </c>
      <c r="E467">
        <f>YEAR(A467)</f>
        <v>2014</v>
      </c>
    </row>
    <row r="468" spans="1:5">
      <c r="A468" s="32">
        <v>41823</v>
      </c>
      <c r="B468" t="s">
        <v>1</v>
      </c>
      <c r="C468">
        <v>7240</v>
      </c>
      <c r="D468" t="str">
        <f>VLOOKUP(B468,BaseTable,2,FALSE)</f>
        <v>Hinter</v>
      </c>
      <c r="E468">
        <f>YEAR(A468)</f>
        <v>2014</v>
      </c>
    </row>
    <row r="469" spans="1:5">
      <c r="A469" s="32">
        <v>41823</v>
      </c>
      <c r="B469" t="s">
        <v>2</v>
      </c>
      <c r="C469">
        <v>7105</v>
      </c>
      <c r="D469" t="str">
        <f>VLOOKUP(B469,BaseTable,2,FALSE)</f>
        <v>Weiter</v>
      </c>
      <c r="E469">
        <f>YEAR(A469)</f>
        <v>2014</v>
      </c>
    </row>
    <row r="470" spans="1:5">
      <c r="A470" s="32">
        <v>41823</v>
      </c>
      <c r="B470" t="s">
        <v>3</v>
      </c>
      <c r="C470">
        <v>5986</v>
      </c>
      <c r="D470" t="str">
        <f>VLOOKUP(B470,BaseTable,2,FALSE)</f>
        <v>Schmecken</v>
      </c>
      <c r="E470">
        <f>YEAR(A470)</f>
        <v>2014</v>
      </c>
    </row>
    <row r="471" spans="1:5">
      <c r="A471" s="32">
        <v>41823</v>
      </c>
      <c r="B471" t="s">
        <v>4</v>
      </c>
      <c r="C471">
        <v>252</v>
      </c>
      <c r="D471" t="str">
        <f>VLOOKUP(B471,BaseTable,2,FALSE)</f>
        <v>Danach-NY</v>
      </c>
      <c r="E471">
        <f>YEAR(A471)</f>
        <v>2014</v>
      </c>
    </row>
    <row r="472" spans="1:5">
      <c r="A472" s="32">
        <v>41824</v>
      </c>
      <c r="B472" t="s">
        <v>0</v>
      </c>
      <c r="C472">
        <v>547</v>
      </c>
      <c r="D472" t="str">
        <f>VLOOKUP(B472,BaseTable,2,FALSE)</f>
        <v>Unter</v>
      </c>
      <c r="E472">
        <f>YEAR(A472)</f>
        <v>2014</v>
      </c>
    </row>
    <row r="473" spans="1:5">
      <c r="A473" s="32">
        <v>41824</v>
      </c>
      <c r="B473" t="s">
        <v>1</v>
      </c>
      <c r="C473">
        <v>4515</v>
      </c>
      <c r="D473" t="str">
        <f>VLOOKUP(B473,BaseTable,2,FALSE)</f>
        <v>Hinter</v>
      </c>
      <c r="E473">
        <f>YEAR(A473)</f>
        <v>2014</v>
      </c>
    </row>
    <row r="474" spans="1:5">
      <c r="A474" s="32">
        <v>41824</v>
      </c>
      <c r="B474" t="s">
        <v>2</v>
      </c>
      <c r="C474">
        <v>5133</v>
      </c>
      <c r="D474" t="str">
        <f>VLOOKUP(B474,BaseTable,2,FALSE)</f>
        <v>Weiter</v>
      </c>
      <c r="E474">
        <f>YEAR(A474)</f>
        <v>2014</v>
      </c>
    </row>
    <row r="475" spans="1:5">
      <c r="A475" s="32">
        <v>41824</v>
      </c>
      <c r="B475" t="s">
        <v>3</v>
      </c>
      <c r="C475">
        <v>3812</v>
      </c>
      <c r="D475" t="str">
        <f>VLOOKUP(B475,BaseTable,2,FALSE)</f>
        <v>Schmecken</v>
      </c>
      <c r="E475">
        <f>YEAR(A475)</f>
        <v>2014</v>
      </c>
    </row>
    <row r="476" spans="1:5">
      <c r="A476" s="32">
        <v>41824</v>
      </c>
      <c r="B476" t="s">
        <v>4</v>
      </c>
      <c r="C476">
        <v>141</v>
      </c>
      <c r="D476" t="str">
        <f>VLOOKUP(B476,BaseTable,2,FALSE)</f>
        <v>Danach-NY</v>
      </c>
      <c r="E476">
        <f>YEAR(A476)</f>
        <v>2014</v>
      </c>
    </row>
    <row r="477" spans="1:5">
      <c r="A477" s="32">
        <v>41825</v>
      </c>
      <c r="B477" t="s">
        <v>0</v>
      </c>
      <c r="C477">
        <v>397</v>
      </c>
      <c r="D477" t="str">
        <f>VLOOKUP(B477,BaseTable,2,FALSE)</f>
        <v>Unter</v>
      </c>
      <c r="E477">
        <f>YEAR(A477)</f>
        <v>2014</v>
      </c>
    </row>
    <row r="478" spans="1:5">
      <c r="A478" s="32">
        <v>41825</v>
      </c>
      <c r="B478" t="s">
        <v>1</v>
      </c>
      <c r="C478">
        <v>3557</v>
      </c>
      <c r="D478" t="str">
        <f>VLOOKUP(B478,BaseTable,2,FALSE)</f>
        <v>Hinter</v>
      </c>
      <c r="E478">
        <f>YEAR(A478)</f>
        <v>2014</v>
      </c>
    </row>
    <row r="479" spans="1:5">
      <c r="A479" s="32">
        <v>41825</v>
      </c>
      <c r="B479" t="s">
        <v>2</v>
      </c>
      <c r="C479">
        <v>3940</v>
      </c>
      <c r="D479" t="str">
        <f>VLOOKUP(B479,BaseTable,2,FALSE)</f>
        <v>Weiter</v>
      </c>
      <c r="E479">
        <f>YEAR(A479)</f>
        <v>2014</v>
      </c>
    </row>
    <row r="480" spans="1:5">
      <c r="A480" s="32">
        <v>41825</v>
      </c>
      <c r="B480" t="s">
        <v>3</v>
      </c>
      <c r="C480">
        <v>2882</v>
      </c>
      <c r="D480" t="str">
        <f>VLOOKUP(B480,BaseTable,2,FALSE)</f>
        <v>Schmecken</v>
      </c>
      <c r="E480">
        <f>YEAR(A480)</f>
        <v>2014</v>
      </c>
    </row>
    <row r="481" spans="1:5">
      <c r="A481" s="32">
        <v>41825</v>
      </c>
      <c r="B481" t="s">
        <v>4</v>
      </c>
      <c r="C481">
        <v>114</v>
      </c>
      <c r="D481" t="str">
        <f>VLOOKUP(B481,BaseTable,2,FALSE)</f>
        <v>Danach-NY</v>
      </c>
      <c r="E481">
        <f>YEAR(A481)</f>
        <v>2014</v>
      </c>
    </row>
    <row r="482" spans="1:5">
      <c r="A482" s="32">
        <v>41826</v>
      </c>
      <c r="B482" t="s">
        <v>0</v>
      </c>
      <c r="C482">
        <v>430</v>
      </c>
      <c r="D482" t="str">
        <f>VLOOKUP(B482,BaseTable,2,FALSE)</f>
        <v>Unter</v>
      </c>
      <c r="E482">
        <f>YEAR(A482)</f>
        <v>2014</v>
      </c>
    </row>
    <row r="483" spans="1:5">
      <c r="A483" s="32">
        <v>41826</v>
      </c>
      <c r="B483" t="s">
        <v>1</v>
      </c>
      <c r="C483">
        <v>3780</v>
      </c>
      <c r="D483" t="str">
        <f>VLOOKUP(B483,BaseTable,2,FALSE)</f>
        <v>Hinter</v>
      </c>
      <c r="E483">
        <f>YEAR(A483)</f>
        <v>2014</v>
      </c>
    </row>
    <row r="484" spans="1:5">
      <c r="A484" s="32">
        <v>41826</v>
      </c>
      <c r="B484" t="s">
        <v>2</v>
      </c>
      <c r="C484">
        <v>3988</v>
      </c>
      <c r="D484" t="str">
        <f>VLOOKUP(B484,BaseTable,2,FALSE)</f>
        <v>Weiter</v>
      </c>
      <c r="E484">
        <f>YEAR(A484)</f>
        <v>2014</v>
      </c>
    </row>
    <row r="485" spans="1:5">
      <c r="A485" s="32">
        <v>41826</v>
      </c>
      <c r="B485" t="s">
        <v>3</v>
      </c>
      <c r="C485">
        <v>3125</v>
      </c>
      <c r="D485" t="str">
        <f>VLOOKUP(B485,BaseTable,2,FALSE)</f>
        <v>Schmecken</v>
      </c>
      <c r="E485">
        <f>YEAR(A485)</f>
        <v>2014</v>
      </c>
    </row>
    <row r="486" spans="1:5">
      <c r="A486" s="32">
        <v>41826</v>
      </c>
      <c r="B486" t="s">
        <v>4</v>
      </c>
      <c r="C486">
        <v>120</v>
      </c>
      <c r="D486" t="str">
        <f>VLOOKUP(B486,BaseTable,2,FALSE)</f>
        <v>Danach-NY</v>
      </c>
      <c r="E486">
        <f>YEAR(A486)</f>
        <v>2014</v>
      </c>
    </row>
    <row r="487" spans="1:5">
      <c r="A487" s="32">
        <v>41827</v>
      </c>
      <c r="B487" t="s">
        <v>0</v>
      </c>
      <c r="C487">
        <v>874</v>
      </c>
      <c r="D487" t="str">
        <f>VLOOKUP(B487,BaseTable,2,FALSE)</f>
        <v>Unter</v>
      </c>
      <c r="E487">
        <f>YEAR(A487)</f>
        <v>2014</v>
      </c>
    </row>
    <row r="488" spans="1:5">
      <c r="A488" s="32">
        <v>41827</v>
      </c>
      <c r="B488" t="s">
        <v>1</v>
      </c>
      <c r="C488">
        <v>5882</v>
      </c>
      <c r="D488" t="str">
        <f>VLOOKUP(B488,BaseTable,2,FALSE)</f>
        <v>Hinter</v>
      </c>
      <c r="E488">
        <f>YEAR(A488)</f>
        <v>2014</v>
      </c>
    </row>
    <row r="489" spans="1:5">
      <c r="A489" s="32">
        <v>41827</v>
      </c>
      <c r="B489" t="s">
        <v>2</v>
      </c>
      <c r="C489">
        <v>6358</v>
      </c>
      <c r="D489" t="str">
        <f>VLOOKUP(B489,BaseTable,2,FALSE)</f>
        <v>Weiter</v>
      </c>
      <c r="E489">
        <f>YEAR(A489)</f>
        <v>2014</v>
      </c>
    </row>
    <row r="490" spans="1:5">
      <c r="A490" s="32">
        <v>41827</v>
      </c>
      <c r="B490" t="s">
        <v>3</v>
      </c>
      <c r="C490">
        <v>4976</v>
      </c>
      <c r="D490" t="str">
        <f>VLOOKUP(B490,BaseTable,2,FALSE)</f>
        <v>Schmecken</v>
      </c>
      <c r="E490">
        <f>YEAR(A490)</f>
        <v>2014</v>
      </c>
    </row>
    <row r="491" spans="1:5">
      <c r="A491" s="32">
        <v>41827</v>
      </c>
      <c r="B491" t="s">
        <v>4</v>
      </c>
      <c r="C491">
        <v>190</v>
      </c>
      <c r="D491" t="str">
        <f>VLOOKUP(B491,BaseTable,2,FALSE)</f>
        <v>Danach-NY</v>
      </c>
      <c r="E491">
        <f>YEAR(A491)</f>
        <v>2014</v>
      </c>
    </row>
    <row r="492" spans="1:5">
      <c r="A492" s="32">
        <v>41828</v>
      </c>
      <c r="B492" t="s">
        <v>0</v>
      </c>
      <c r="C492">
        <v>1221</v>
      </c>
      <c r="D492" t="str">
        <f>VLOOKUP(B492,BaseTable,2,FALSE)</f>
        <v>Unter</v>
      </c>
      <c r="E492">
        <f>YEAR(A492)</f>
        <v>2014</v>
      </c>
    </row>
    <row r="493" spans="1:5">
      <c r="A493" s="32">
        <v>41828</v>
      </c>
      <c r="B493" t="s">
        <v>1</v>
      </c>
      <c r="C493">
        <v>8442</v>
      </c>
      <c r="D493" t="str">
        <f>VLOOKUP(B493,BaseTable,2,FALSE)</f>
        <v>Hinter</v>
      </c>
      <c r="E493">
        <f>YEAR(A493)</f>
        <v>2014</v>
      </c>
    </row>
    <row r="494" spans="1:5">
      <c r="A494" s="32">
        <v>41828</v>
      </c>
      <c r="B494" t="s">
        <v>2</v>
      </c>
      <c r="C494">
        <v>8921</v>
      </c>
      <c r="D494" t="str">
        <f>VLOOKUP(B494,BaseTable,2,FALSE)</f>
        <v>Weiter</v>
      </c>
      <c r="E494">
        <f>YEAR(A494)</f>
        <v>2014</v>
      </c>
    </row>
    <row r="495" spans="1:5">
      <c r="A495" s="32">
        <v>41828</v>
      </c>
      <c r="B495" t="s">
        <v>3</v>
      </c>
      <c r="C495">
        <v>6819</v>
      </c>
      <c r="D495" t="str">
        <f>VLOOKUP(B495,BaseTable,2,FALSE)</f>
        <v>Schmecken</v>
      </c>
      <c r="E495">
        <f>YEAR(A495)</f>
        <v>2014</v>
      </c>
    </row>
    <row r="496" spans="1:5">
      <c r="A496" s="32">
        <v>41828</v>
      </c>
      <c r="B496" t="s">
        <v>4</v>
      </c>
      <c r="C496">
        <v>360</v>
      </c>
      <c r="D496" t="str">
        <f>VLOOKUP(B496,BaseTable,2,FALSE)</f>
        <v>Danach-NY</v>
      </c>
      <c r="E496">
        <f>YEAR(A496)</f>
        <v>2014</v>
      </c>
    </row>
    <row r="497" spans="1:5">
      <c r="A497" s="32">
        <v>41829</v>
      </c>
      <c r="B497" t="s">
        <v>0</v>
      </c>
      <c r="C497">
        <v>1366</v>
      </c>
      <c r="D497" t="str">
        <f>VLOOKUP(B497,BaseTable,2,FALSE)</f>
        <v>Unter</v>
      </c>
      <c r="E497">
        <f>YEAR(A497)</f>
        <v>2014</v>
      </c>
    </row>
    <row r="498" spans="1:5">
      <c r="A498" s="32">
        <v>41829</v>
      </c>
      <c r="B498" t="s">
        <v>1</v>
      </c>
      <c r="C498">
        <v>8941</v>
      </c>
      <c r="D498" t="str">
        <f>VLOOKUP(B498,BaseTable,2,FALSE)</f>
        <v>Hinter</v>
      </c>
      <c r="E498">
        <f>YEAR(A498)</f>
        <v>2014</v>
      </c>
    </row>
    <row r="499" spans="1:5">
      <c r="A499" s="32">
        <v>41829</v>
      </c>
      <c r="B499" t="s">
        <v>2</v>
      </c>
      <c r="C499">
        <v>10002</v>
      </c>
      <c r="D499" t="str">
        <f>VLOOKUP(B499,BaseTable,2,FALSE)</f>
        <v>Weiter</v>
      </c>
      <c r="E499">
        <f>YEAR(A499)</f>
        <v>2014</v>
      </c>
    </row>
    <row r="500" spans="1:5">
      <c r="A500" s="32">
        <v>41829</v>
      </c>
      <c r="B500" t="s">
        <v>3</v>
      </c>
      <c r="C500">
        <v>7249</v>
      </c>
      <c r="D500" t="str">
        <f>VLOOKUP(B500,BaseTable,2,FALSE)</f>
        <v>Schmecken</v>
      </c>
      <c r="E500">
        <f>YEAR(A500)</f>
        <v>2014</v>
      </c>
    </row>
    <row r="501" spans="1:5">
      <c r="A501" s="32">
        <v>41829</v>
      </c>
      <c r="B501" t="s">
        <v>4</v>
      </c>
      <c r="C501">
        <v>259</v>
      </c>
      <c r="D501" t="str">
        <f>VLOOKUP(B501,BaseTable,2,FALSE)</f>
        <v>Danach-NY</v>
      </c>
      <c r="E501">
        <f>YEAR(A501)</f>
        <v>2014</v>
      </c>
    </row>
    <row r="502" spans="1:5">
      <c r="A502" s="32">
        <v>41830</v>
      </c>
      <c r="B502" t="s">
        <v>0</v>
      </c>
      <c r="C502">
        <v>1401</v>
      </c>
      <c r="D502" t="str">
        <f>VLOOKUP(B502,BaseTable,2,FALSE)</f>
        <v>Unter</v>
      </c>
      <c r="E502">
        <f>YEAR(A502)</f>
        <v>2014</v>
      </c>
    </row>
    <row r="503" spans="1:5">
      <c r="A503" s="32">
        <v>41830</v>
      </c>
      <c r="B503" t="s">
        <v>1</v>
      </c>
      <c r="C503">
        <v>9805</v>
      </c>
      <c r="D503" t="str">
        <f>VLOOKUP(B503,BaseTable,2,FALSE)</f>
        <v>Hinter</v>
      </c>
      <c r="E503">
        <f>YEAR(A503)</f>
        <v>2014</v>
      </c>
    </row>
    <row r="504" spans="1:5">
      <c r="A504" s="32">
        <v>41830</v>
      </c>
      <c r="B504" t="s">
        <v>2</v>
      </c>
      <c r="C504">
        <v>11146</v>
      </c>
      <c r="D504" t="str">
        <f>VLOOKUP(B504,BaseTable,2,FALSE)</f>
        <v>Weiter</v>
      </c>
      <c r="E504">
        <f>YEAR(A504)</f>
        <v>2014</v>
      </c>
    </row>
    <row r="505" spans="1:5">
      <c r="A505" s="32">
        <v>41830</v>
      </c>
      <c r="B505" t="s">
        <v>3</v>
      </c>
      <c r="C505">
        <v>7803</v>
      </c>
      <c r="D505" t="str">
        <f>VLOOKUP(B505,BaseTable,2,FALSE)</f>
        <v>Schmecken</v>
      </c>
      <c r="E505">
        <f>YEAR(A505)</f>
        <v>2014</v>
      </c>
    </row>
    <row r="506" spans="1:5">
      <c r="A506" s="32">
        <v>41830</v>
      </c>
      <c r="B506" t="s">
        <v>4</v>
      </c>
      <c r="C506">
        <v>386</v>
      </c>
      <c r="D506" t="str">
        <f>VLOOKUP(B506,BaseTable,2,FALSE)</f>
        <v>Danach-NY</v>
      </c>
      <c r="E506">
        <f>YEAR(A506)</f>
        <v>2014</v>
      </c>
    </row>
    <row r="507" spans="1:5">
      <c r="A507" s="32">
        <v>41831</v>
      </c>
      <c r="B507" t="s">
        <v>0</v>
      </c>
      <c r="C507">
        <v>1232</v>
      </c>
      <c r="D507" t="str">
        <f>VLOOKUP(B507,BaseTable,2,FALSE)</f>
        <v>Unter</v>
      </c>
      <c r="E507">
        <f>YEAR(A507)</f>
        <v>2014</v>
      </c>
    </row>
    <row r="508" spans="1:5">
      <c r="A508" s="32">
        <v>41831</v>
      </c>
      <c r="B508" t="s">
        <v>1</v>
      </c>
      <c r="C508">
        <v>9145</v>
      </c>
      <c r="D508" t="str">
        <f>VLOOKUP(B508,BaseTable,2,FALSE)</f>
        <v>Hinter</v>
      </c>
      <c r="E508">
        <f>YEAR(A508)</f>
        <v>2014</v>
      </c>
    </row>
    <row r="509" spans="1:5">
      <c r="A509" s="32">
        <v>41831</v>
      </c>
      <c r="B509" t="s">
        <v>2</v>
      </c>
      <c r="C509">
        <v>10835</v>
      </c>
      <c r="D509" t="str">
        <f>VLOOKUP(B509,BaseTable,2,FALSE)</f>
        <v>Weiter</v>
      </c>
      <c r="E509">
        <f>YEAR(A509)</f>
        <v>2014</v>
      </c>
    </row>
    <row r="510" spans="1:5">
      <c r="A510" s="32">
        <v>41831</v>
      </c>
      <c r="B510" t="s">
        <v>3</v>
      </c>
      <c r="C510">
        <v>7242</v>
      </c>
      <c r="D510" t="str">
        <f>VLOOKUP(B510,BaseTable,2,FALSE)</f>
        <v>Schmecken</v>
      </c>
      <c r="E510">
        <f>YEAR(A510)</f>
        <v>2014</v>
      </c>
    </row>
    <row r="511" spans="1:5">
      <c r="A511" s="32">
        <v>41831</v>
      </c>
      <c r="B511" t="s">
        <v>4</v>
      </c>
      <c r="C511">
        <v>298</v>
      </c>
      <c r="D511" t="str">
        <f>VLOOKUP(B511,BaseTable,2,FALSE)</f>
        <v>Danach-NY</v>
      </c>
      <c r="E511">
        <f>YEAR(A511)</f>
        <v>2014</v>
      </c>
    </row>
    <row r="512" spans="1:5">
      <c r="A512" s="32">
        <v>41832</v>
      </c>
      <c r="B512" t="s">
        <v>0</v>
      </c>
      <c r="C512">
        <v>955</v>
      </c>
      <c r="D512" t="str">
        <f>VLOOKUP(B512,BaseTable,2,FALSE)</f>
        <v>Unter</v>
      </c>
      <c r="E512">
        <f>YEAR(A512)</f>
        <v>2014</v>
      </c>
    </row>
    <row r="513" spans="1:5">
      <c r="A513" s="32">
        <v>41832</v>
      </c>
      <c r="B513" t="s">
        <v>1</v>
      </c>
      <c r="C513">
        <v>8380</v>
      </c>
      <c r="D513" t="str">
        <f>VLOOKUP(B513,BaseTable,2,FALSE)</f>
        <v>Hinter</v>
      </c>
      <c r="E513">
        <f>YEAR(A513)</f>
        <v>2014</v>
      </c>
    </row>
    <row r="514" spans="1:5">
      <c r="A514" s="32">
        <v>41832</v>
      </c>
      <c r="B514" t="s">
        <v>2</v>
      </c>
      <c r="C514">
        <v>9867</v>
      </c>
      <c r="D514" t="str">
        <f>VLOOKUP(B514,BaseTable,2,FALSE)</f>
        <v>Weiter</v>
      </c>
      <c r="E514">
        <f>YEAR(A514)</f>
        <v>2014</v>
      </c>
    </row>
    <row r="515" spans="1:5">
      <c r="A515" s="32">
        <v>41832</v>
      </c>
      <c r="B515" t="s">
        <v>3</v>
      </c>
      <c r="C515">
        <v>6503</v>
      </c>
      <c r="D515" t="str">
        <f>VLOOKUP(B515,BaseTable,2,FALSE)</f>
        <v>Schmecken</v>
      </c>
      <c r="E515">
        <f>YEAR(A515)</f>
        <v>2014</v>
      </c>
    </row>
    <row r="516" spans="1:5">
      <c r="A516" s="32">
        <v>41832</v>
      </c>
      <c r="B516" t="s">
        <v>4</v>
      </c>
      <c r="C516">
        <v>231</v>
      </c>
      <c r="D516" t="str">
        <f>VLOOKUP(B516,BaseTable,2,FALSE)</f>
        <v>Danach-NY</v>
      </c>
      <c r="E516">
        <f>YEAR(A516)</f>
        <v>2014</v>
      </c>
    </row>
    <row r="517" spans="1:5">
      <c r="A517" s="32">
        <v>41833</v>
      </c>
      <c r="B517" t="s">
        <v>0</v>
      </c>
      <c r="C517">
        <v>915</v>
      </c>
      <c r="D517" t="str">
        <f>VLOOKUP(B517,BaseTable,2,FALSE)</f>
        <v>Unter</v>
      </c>
      <c r="E517">
        <f>YEAR(A517)</f>
        <v>2014</v>
      </c>
    </row>
    <row r="518" spans="1:5">
      <c r="A518" s="32">
        <v>41833</v>
      </c>
      <c r="B518" t="s">
        <v>1</v>
      </c>
      <c r="C518">
        <v>6532</v>
      </c>
      <c r="D518" t="str">
        <f>VLOOKUP(B518,BaseTable,2,FALSE)</f>
        <v>Hinter</v>
      </c>
      <c r="E518">
        <f>YEAR(A518)</f>
        <v>2014</v>
      </c>
    </row>
    <row r="519" spans="1:5">
      <c r="A519" s="32">
        <v>41833</v>
      </c>
      <c r="B519" t="s">
        <v>2</v>
      </c>
      <c r="C519">
        <v>8209</v>
      </c>
      <c r="D519" t="str">
        <f>VLOOKUP(B519,BaseTable,2,FALSE)</f>
        <v>Weiter</v>
      </c>
      <c r="E519">
        <f>YEAR(A519)</f>
        <v>2014</v>
      </c>
    </row>
    <row r="520" spans="1:5">
      <c r="A520" s="32">
        <v>41833</v>
      </c>
      <c r="B520" t="s">
        <v>3</v>
      </c>
      <c r="C520">
        <v>5211</v>
      </c>
      <c r="D520" t="str">
        <f>VLOOKUP(B520,BaseTable,2,FALSE)</f>
        <v>Schmecken</v>
      </c>
      <c r="E520">
        <f>YEAR(A520)</f>
        <v>2014</v>
      </c>
    </row>
    <row r="521" spans="1:5">
      <c r="A521" s="32">
        <v>41833</v>
      </c>
      <c r="B521" t="s">
        <v>4</v>
      </c>
      <c r="C521">
        <v>215</v>
      </c>
      <c r="D521" t="str">
        <f>VLOOKUP(B521,BaseTable,2,FALSE)</f>
        <v>Danach-NY</v>
      </c>
      <c r="E521">
        <f>YEAR(A521)</f>
        <v>2014</v>
      </c>
    </row>
    <row r="522" spans="1:5">
      <c r="A522" s="32">
        <v>41834</v>
      </c>
      <c r="B522" t="s">
        <v>0</v>
      </c>
      <c r="C522">
        <v>1375</v>
      </c>
      <c r="D522" t="str">
        <f>VLOOKUP(B522,BaseTable,2,FALSE)</f>
        <v>Unter</v>
      </c>
      <c r="E522">
        <f>YEAR(A522)</f>
        <v>2014</v>
      </c>
    </row>
    <row r="523" spans="1:5">
      <c r="A523" s="32">
        <v>41834</v>
      </c>
      <c r="B523" t="s">
        <v>1</v>
      </c>
      <c r="C523">
        <v>8564</v>
      </c>
      <c r="D523" t="str">
        <f>VLOOKUP(B523,BaseTable,2,FALSE)</f>
        <v>Hinter</v>
      </c>
      <c r="E523">
        <f>YEAR(A523)</f>
        <v>2014</v>
      </c>
    </row>
    <row r="524" spans="1:5">
      <c r="A524" s="32">
        <v>41834</v>
      </c>
      <c r="B524" t="s">
        <v>2</v>
      </c>
      <c r="C524">
        <v>10269</v>
      </c>
      <c r="D524" t="str">
        <f>VLOOKUP(B524,BaseTable,2,FALSE)</f>
        <v>Weiter</v>
      </c>
      <c r="E524">
        <f>YEAR(A524)</f>
        <v>2014</v>
      </c>
    </row>
    <row r="525" spans="1:5">
      <c r="A525" s="32">
        <v>41834</v>
      </c>
      <c r="B525" t="s">
        <v>3</v>
      </c>
      <c r="C525">
        <v>6799</v>
      </c>
      <c r="D525" t="str">
        <f>VLOOKUP(B525,BaseTable,2,FALSE)</f>
        <v>Schmecken</v>
      </c>
      <c r="E525">
        <f>YEAR(A525)</f>
        <v>2014</v>
      </c>
    </row>
    <row r="526" spans="1:5">
      <c r="A526" s="32">
        <v>41834</v>
      </c>
      <c r="B526" t="s">
        <v>4</v>
      </c>
      <c r="C526">
        <v>343</v>
      </c>
      <c r="D526" t="str">
        <f>VLOOKUP(B526,BaseTable,2,FALSE)</f>
        <v>Danach-NY</v>
      </c>
      <c r="E526">
        <f>YEAR(A526)</f>
        <v>2014</v>
      </c>
    </row>
    <row r="527" spans="1:5">
      <c r="A527" s="32">
        <v>41835</v>
      </c>
      <c r="B527" t="s">
        <v>0</v>
      </c>
      <c r="C527">
        <v>1654</v>
      </c>
      <c r="D527" t="str">
        <f>VLOOKUP(B527,BaseTable,2,FALSE)</f>
        <v>Unter</v>
      </c>
      <c r="E527">
        <f>YEAR(A527)</f>
        <v>2014</v>
      </c>
    </row>
    <row r="528" spans="1:5">
      <c r="A528" s="32">
        <v>41835</v>
      </c>
      <c r="B528" t="s">
        <v>1</v>
      </c>
      <c r="C528">
        <v>10750</v>
      </c>
      <c r="D528" t="str">
        <f>VLOOKUP(B528,BaseTable,2,FALSE)</f>
        <v>Hinter</v>
      </c>
      <c r="E528">
        <f>YEAR(A528)</f>
        <v>2014</v>
      </c>
    </row>
    <row r="529" spans="1:5">
      <c r="A529" s="32">
        <v>41835</v>
      </c>
      <c r="B529" t="s">
        <v>2</v>
      </c>
      <c r="C529">
        <v>12777</v>
      </c>
      <c r="D529" t="str">
        <f>VLOOKUP(B529,BaseTable,2,FALSE)</f>
        <v>Weiter</v>
      </c>
      <c r="E529">
        <f>YEAR(A529)</f>
        <v>2014</v>
      </c>
    </row>
    <row r="530" spans="1:5">
      <c r="A530" s="32">
        <v>41835</v>
      </c>
      <c r="B530" t="s">
        <v>3</v>
      </c>
      <c r="C530">
        <v>8302</v>
      </c>
      <c r="D530" t="str">
        <f>VLOOKUP(B530,BaseTable,2,FALSE)</f>
        <v>Schmecken</v>
      </c>
      <c r="E530">
        <f>YEAR(A530)</f>
        <v>2014</v>
      </c>
    </row>
    <row r="531" spans="1:5">
      <c r="A531" s="32">
        <v>41835</v>
      </c>
      <c r="B531" t="s">
        <v>4</v>
      </c>
      <c r="C531">
        <v>362</v>
      </c>
      <c r="D531" t="str">
        <f>VLOOKUP(B531,BaseTable,2,FALSE)</f>
        <v>Danach-NY</v>
      </c>
      <c r="E531">
        <f>YEAR(A531)</f>
        <v>2014</v>
      </c>
    </row>
    <row r="532" spans="1:5">
      <c r="A532" s="32">
        <v>41836</v>
      </c>
      <c r="B532" t="s">
        <v>0</v>
      </c>
      <c r="C532">
        <v>1311</v>
      </c>
      <c r="D532" t="str">
        <f>VLOOKUP(B532,BaseTable,2,FALSE)</f>
        <v>Unter</v>
      </c>
      <c r="E532">
        <f>YEAR(A532)</f>
        <v>2014</v>
      </c>
    </row>
    <row r="533" spans="1:5">
      <c r="A533" s="32">
        <v>41836</v>
      </c>
      <c r="B533" t="s">
        <v>1</v>
      </c>
      <c r="C533">
        <v>8590</v>
      </c>
      <c r="D533" t="str">
        <f>VLOOKUP(B533,BaseTable,2,FALSE)</f>
        <v>Hinter</v>
      </c>
      <c r="E533">
        <f>YEAR(A533)</f>
        <v>2014</v>
      </c>
    </row>
    <row r="534" spans="1:5">
      <c r="A534" s="32">
        <v>41836</v>
      </c>
      <c r="B534" t="s">
        <v>2</v>
      </c>
      <c r="C534">
        <v>11259</v>
      </c>
      <c r="D534" t="str">
        <f>VLOOKUP(B534,BaseTable,2,FALSE)</f>
        <v>Weiter</v>
      </c>
      <c r="E534">
        <f>YEAR(A534)</f>
        <v>2014</v>
      </c>
    </row>
    <row r="535" spans="1:5">
      <c r="A535" s="32">
        <v>41836</v>
      </c>
      <c r="B535" t="s">
        <v>3</v>
      </c>
      <c r="C535">
        <v>7105</v>
      </c>
      <c r="D535" t="str">
        <f>VLOOKUP(B535,BaseTable,2,FALSE)</f>
        <v>Schmecken</v>
      </c>
      <c r="E535">
        <f>YEAR(A535)</f>
        <v>2014</v>
      </c>
    </row>
    <row r="536" spans="1:5">
      <c r="A536" s="32">
        <v>41836</v>
      </c>
      <c r="B536" t="s">
        <v>4</v>
      </c>
      <c r="C536">
        <v>342</v>
      </c>
      <c r="D536" t="str">
        <f>VLOOKUP(B536,BaseTable,2,FALSE)</f>
        <v>Danach-NY</v>
      </c>
      <c r="E536">
        <f>YEAR(A536)</f>
        <v>2014</v>
      </c>
    </row>
    <row r="537" spans="1:5">
      <c r="A537" s="32">
        <v>41837</v>
      </c>
      <c r="B537" t="s">
        <v>0</v>
      </c>
      <c r="C537">
        <v>1284</v>
      </c>
      <c r="D537" t="str">
        <f>VLOOKUP(B537,BaseTable,2,FALSE)</f>
        <v>Unter</v>
      </c>
      <c r="E537">
        <f>YEAR(A537)</f>
        <v>2014</v>
      </c>
    </row>
    <row r="538" spans="1:5">
      <c r="A538" s="32">
        <v>41837</v>
      </c>
      <c r="B538" t="s">
        <v>1</v>
      </c>
      <c r="C538">
        <v>9446</v>
      </c>
      <c r="D538" t="str">
        <f>VLOOKUP(B538,BaseTable,2,FALSE)</f>
        <v>Hinter</v>
      </c>
      <c r="E538">
        <f>YEAR(A538)</f>
        <v>2014</v>
      </c>
    </row>
    <row r="539" spans="1:5">
      <c r="A539" s="32">
        <v>41837</v>
      </c>
      <c r="B539" t="s">
        <v>2</v>
      </c>
      <c r="C539">
        <v>12064</v>
      </c>
      <c r="D539" t="str">
        <f>VLOOKUP(B539,BaseTable,2,FALSE)</f>
        <v>Weiter</v>
      </c>
      <c r="E539">
        <f>YEAR(A539)</f>
        <v>2014</v>
      </c>
    </row>
    <row r="540" spans="1:5">
      <c r="A540" s="32">
        <v>41837</v>
      </c>
      <c r="B540" t="s">
        <v>3</v>
      </c>
      <c r="C540">
        <v>7557</v>
      </c>
      <c r="D540" t="str">
        <f>VLOOKUP(B540,BaseTable,2,FALSE)</f>
        <v>Schmecken</v>
      </c>
      <c r="E540">
        <f>YEAR(A540)</f>
        <v>2014</v>
      </c>
    </row>
    <row r="541" spans="1:5">
      <c r="A541" s="32">
        <v>41837</v>
      </c>
      <c r="B541" t="s">
        <v>4</v>
      </c>
      <c r="C541">
        <v>359</v>
      </c>
      <c r="D541" t="str">
        <f>VLOOKUP(B541,BaseTable,2,FALSE)</f>
        <v>Danach-NY</v>
      </c>
      <c r="E541">
        <f>YEAR(A541)</f>
        <v>2014</v>
      </c>
    </row>
    <row r="542" spans="1:5">
      <c r="A542" s="32">
        <v>41838</v>
      </c>
      <c r="B542" t="s">
        <v>0</v>
      </c>
      <c r="C542">
        <v>1220</v>
      </c>
      <c r="D542" t="str">
        <f>VLOOKUP(B542,BaseTable,2,FALSE)</f>
        <v>Unter</v>
      </c>
      <c r="E542">
        <f>YEAR(A542)</f>
        <v>2014</v>
      </c>
    </row>
    <row r="543" spans="1:5">
      <c r="A543" s="32">
        <v>41838</v>
      </c>
      <c r="B543" t="s">
        <v>1</v>
      </c>
      <c r="C543">
        <v>8897</v>
      </c>
      <c r="D543" t="str">
        <f>VLOOKUP(B543,BaseTable,2,FALSE)</f>
        <v>Hinter</v>
      </c>
      <c r="E543">
        <f>YEAR(A543)</f>
        <v>2014</v>
      </c>
    </row>
    <row r="544" spans="1:5">
      <c r="A544" s="32">
        <v>41838</v>
      </c>
      <c r="B544" t="s">
        <v>2</v>
      </c>
      <c r="C544">
        <v>12151</v>
      </c>
      <c r="D544" t="str">
        <f>VLOOKUP(B544,BaseTable,2,FALSE)</f>
        <v>Weiter</v>
      </c>
      <c r="E544">
        <f>YEAR(A544)</f>
        <v>2014</v>
      </c>
    </row>
    <row r="545" spans="1:5">
      <c r="A545" s="32">
        <v>41838</v>
      </c>
      <c r="B545" t="s">
        <v>3</v>
      </c>
      <c r="C545">
        <v>7308</v>
      </c>
      <c r="D545" t="str">
        <f>VLOOKUP(B545,BaseTable,2,FALSE)</f>
        <v>Schmecken</v>
      </c>
      <c r="E545">
        <f>YEAR(A545)</f>
        <v>2014</v>
      </c>
    </row>
    <row r="546" spans="1:5">
      <c r="A546" s="32">
        <v>41838</v>
      </c>
      <c r="B546" t="s">
        <v>4</v>
      </c>
      <c r="C546">
        <v>284</v>
      </c>
      <c r="D546" t="str">
        <f>VLOOKUP(B546,BaseTable,2,FALSE)</f>
        <v>Danach-NY</v>
      </c>
      <c r="E546">
        <f>YEAR(A546)</f>
        <v>2014</v>
      </c>
    </row>
    <row r="547" spans="1:5">
      <c r="A547" s="32">
        <v>41839</v>
      </c>
      <c r="B547" t="s">
        <v>0</v>
      </c>
      <c r="C547">
        <v>946</v>
      </c>
      <c r="D547" t="str">
        <f>VLOOKUP(B547,BaseTable,2,FALSE)</f>
        <v>Unter</v>
      </c>
      <c r="E547">
        <f>YEAR(A547)</f>
        <v>2014</v>
      </c>
    </row>
    <row r="548" spans="1:5">
      <c r="A548" s="32">
        <v>41839</v>
      </c>
      <c r="B548" t="s">
        <v>1</v>
      </c>
      <c r="C548">
        <v>7848</v>
      </c>
      <c r="D548" t="str">
        <f>VLOOKUP(B548,BaseTable,2,FALSE)</f>
        <v>Hinter</v>
      </c>
      <c r="E548">
        <f>YEAR(A548)</f>
        <v>2014</v>
      </c>
    </row>
    <row r="549" spans="1:5">
      <c r="A549" s="32">
        <v>41839</v>
      </c>
      <c r="B549" t="s">
        <v>2</v>
      </c>
      <c r="C549">
        <v>10412</v>
      </c>
      <c r="D549" t="str">
        <f>VLOOKUP(B549,BaseTable,2,FALSE)</f>
        <v>Weiter</v>
      </c>
      <c r="E549">
        <f>YEAR(A549)</f>
        <v>2014</v>
      </c>
    </row>
    <row r="550" spans="1:5">
      <c r="A550" s="32">
        <v>41839</v>
      </c>
      <c r="B550" t="s">
        <v>3</v>
      </c>
      <c r="C550">
        <v>6302</v>
      </c>
      <c r="D550" t="str">
        <f>VLOOKUP(B550,BaseTable,2,FALSE)</f>
        <v>Schmecken</v>
      </c>
      <c r="E550">
        <f>YEAR(A550)</f>
        <v>2014</v>
      </c>
    </row>
    <row r="551" spans="1:5">
      <c r="A551" s="32">
        <v>41839</v>
      </c>
      <c r="B551" t="s">
        <v>4</v>
      </c>
      <c r="C551">
        <v>218</v>
      </c>
      <c r="D551" t="str">
        <f>VLOOKUP(B551,BaseTable,2,FALSE)</f>
        <v>Danach-NY</v>
      </c>
      <c r="E551">
        <f>YEAR(A551)</f>
        <v>2014</v>
      </c>
    </row>
    <row r="552" spans="1:5">
      <c r="A552" s="32">
        <v>41840</v>
      </c>
      <c r="B552" t="s">
        <v>0</v>
      </c>
      <c r="C552">
        <v>850</v>
      </c>
      <c r="D552" t="str">
        <f>VLOOKUP(B552,BaseTable,2,FALSE)</f>
        <v>Unter</v>
      </c>
      <c r="E552">
        <f>YEAR(A552)</f>
        <v>2014</v>
      </c>
    </row>
    <row r="553" spans="1:5">
      <c r="A553" s="32">
        <v>41840</v>
      </c>
      <c r="B553" t="s">
        <v>1</v>
      </c>
      <c r="C553">
        <v>6342</v>
      </c>
      <c r="D553" t="str">
        <f>VLOOKUP(B553,BaseTable,2,FALSE)</f>
        <v>Hinter</v>
      </c>
      <c r="E553">
        <f>YEAR(A553)</f>
        <v>2014</v>
      </c>
    </row>
    <row r="554" spans="1:5">
      <c r="A554" s="32">
        <v>41840</v>
      </c>
      <c r="B554" t="s">
        <v>2</v>
      </c>
      <c r="C554">
        <v>8688</v>
      </c>
      <c r="D554" t="str">
        <f>VLOOKUP(B554,BaseTable,2,FALSE)</f>
        <v>Weiter</v>
      </c>
      <c r="E554">
        <f>YEAR(A554)</f>
        <v>2014</v>
      </c>
    </row>
    <row r="555" spans="1:5">
      <c r="A555" s="32">
        <v>41840</v>
      </c>
      <c r="B555" t="s">
        <v>3</v>
      </c>
      <c r="C555">
        <v>5155</v>
      </c>
      <c r="D555" t="str">
        <f>VLOOKUP(B555,BaseTable,2,FALSE)</f>
        <v>Schmecken</v>
      </c>
      <c r="E555">
        <f>YEAR(A555)</f>
        <v>2014</v>
      </c>
    </row>
    <row r="556" spans="1:5">
      <c r="A556" s="32">
        <v>41840</v>
      </c>
      <c r="B556" t="s">
        <v>4</v>
      </c>
      <c r="C556">
        <v>177</v>
      </c>
      <c r="D556" t="str">
        <f>VLOOKUP(B556,BaseTable,2,FALSE)</f>
        <v>Danach-NY</v>
      </c>
      <c r="E556">
        <f>YEAR(A556)</f>
        <v>2014</v>
      </c>
    </row>
    <row r="557" spans="1:5">
      <c r="A557" s="32">
        <v>41841</v>
      </c>
      <c r="B557" t="s">
        <v>0</v>
      </c>
      <c r="C557">
        <v>1002</v>
      </c>
      <c r="D557" t="str">
        <f>VLOOKUP(B557,BaseTable,2,FALSE)</f>
        <v>Unter</v>
      </c>
      <c r="E557">
        <f>YEAR(A557)</f>
        <v>2014</v>
      </c>
    </row>
    <row r="558" spans="1:5">
      <c r="A558" s="32">
        <v>41841</v>
      </c>
      <c r="B558" t="s">
        <v>1</v>
      </c>
      <c r="C558">
        <v>6837</v>
      </c>
      <c r="D558" t="str">
        <f>VLOOKUP(B558,BaseTable,2,FALSE)</f>
        <v>Hinter</v>
      </c>
      <c r="E558">
        <f>YEAR(A558)</f>
        <v>2014</v>
      </c>
    </row>
    <row r="559" spans="1:5">
      <c r="A559" s="32">
        <v>41841</v>
      </c>
      <c r="B559" t="s">
        <v>2</v>
      </c>
      <c r="C559">
        <v>9699</v>
      </c>
      <c r="D559" t="str">
        <f>VLOOKUP(B559,BaseTable,2,FALSE)</f>
        <v>Weiter</v>
      </c>
      <c r="E559">
        <f>YEAR(A559)</f>
        <v>2014</v>
      </c>
    </row>
    <row r="560" spans="1:5">
      <c r="A560" s="32">
        <v>41841</v>
      </c>
      <c r="B560" t="s">
        <v>3</v>
      </c>
      <c r="C560">
        <v>5725</v>
      </c>
      <c r="D560" t="str">
        <f>VLOOKUP(B560,BaseTable,2,FALSE)</f>
        <v>Schmecken</v>
      </c>
      <c r="E560">
        <f>YEAR(A560)</f>
        <v>2014</v>
      </c>
    </row>
    <row r="561" spans="1:5">
      <c r="A561" s="32">
        <v>41841</v>
      </c>
      <c r="B561" t="s">
        <v>4</v>
      </c>
      <c r="C561">
        <v>315</v>
      </c>
      <c r="D561" t="str">
        <f>VLOOKUP(B561,BaseTable,2,FALSE)</f>
        <v>Danach-NY</v>
      </c>
      <c r="E561">
        <f>YEAR(A561)</f>
        <v>2014</v>
      </c>
    </row>
    <row r="562" spans="1:5">
      <c r="A562" s="32">
        <v>41842</v>
      </c>
      <c r="B562" t="s">
        <v>0</v>
      </c>
      <c r="C562">
        <v>1345</v>
      </c>
      <c r="D562" t="str">
        <f>VLOOKUP(B562,BaseTable,2,FALSE)</f>
        <v>Unter</v>
      </c>
      <c r="E562">
        <f>YEAR(A562)</f>
        <v>2014</v>
      </c>
    </row>
    <row r="563" spans="1:5">
      <c r="A563" s="32">
        <v>41842</v>
      </c>
      <c r="B563" t="s">
        <v>1</v>
      </c>
      <c r="C563">
        <v>8541</v>
      </c>
      <c r="D563" t="str">
        <f>VLOOKUP(B563,BaseTable,2,FALSE)</f>
        <v>Hinter</v>
      </c>
      <c r="E563">
        <f>YEAR(A563)</f>
        <v>2014</v>
      </c>
    </row>
    <row r="564" spans="1:5">
      <c r="A564" s="32">
        <v>41842</v>
      </c>
      <c r="B564" t="s">
        <v>2</v>
      </c>
      <c r="C564">
        <v>11847</v>
      </c>
      <c r="D564" t="str">
        <f>VLOOKUP(B564,BaseTable,2,FALSE)</f>
        <v>Weiter</v>
      </c>
      <c r="E564">
        <f>YEAR(A564)</f>
        <v>2014</v>
      </c>
    </row>
    <row r="565" spans="1:5">
      <c r="A565" s="32">
        <v>41842</v>
      </c>
      <c r="B565" t="s">
        <v>3</v>
      </c>
      <c r="C565">
        <v>6981</v>
      </c>
      <c r="D565" t="str">
        <f>VLOOKUP(B565,BaseTable,2,FALSE)</f>
        <v>Schmecken</v>
      </c>
      <c r="E565">
        <f>YEAR(A565)</f>
        <v>2014</v>
      </c>
    </row>
    <row r="566" spans="1:5">
      <c r="A566" s="32">
        <v>41842</v>
      </c>
      <c r="B566" t="s">
        <v>4</v>
      </c>
      <c r="C566">
        <v>315</v>
      </c>
      <c r="D566" t="str">
        <f>VLOOKUP(B566,BaseTable,2,FALSE)</f>
        <v>Danach-NY</v>
      </c>
      <c r="E566">
        <f>YEAR(A566)</f>
        <v>2014</v>
      </c>
    </row>
    <row r="567" spans="1:5">
      <c r="A567" s="32">
        <v>41843</v>
      </c>
      <c r="B567" t="s">
        <v>0</v>
      </c>
      <c r="C567">
        <v>1584</v>
      </c>
      <c r="D567" t="str">
        <f>VLOOKUP(B567,BaseTable,2,FALSE)</f>
        <v>Unter</v>
      </c>
      <c r="E567">
        <f>YEAR(A567)</f>
        <v>2014</v>
      </c>
    </row>
    <row r="568" spans="1:5">
      <c r="A568" s="32">
        <v>41843</v>
      </c>
      <c r="B568" t="s">
        <v>1</v>
      </c>
      <c r="C568">
        <v>10104</v>
      </c>
      <c r="D568" t="str">
        <f>VLOOKUP(B568,BaseTable,2,FALSE)</f>
        <v>Hinter</v>
      </c>
      <c r="E568">
        <f>YEAR(A568)</f>
        <v>2014</v>
      </c>
    </row>
    <row r="569" spans="1:5">
      <c r="A569" s="32">
        <v>41843</v>
      </c>
      <c r="B569" t="s">
        <v>2</v>
      </c>
      <c r="C569">
        <v>13873</v>
      </c>
      <c r="D569" t="str">
        <f>VLOOKUP(B569,BaseTable,2,FALSE)</f>
        <v>Weiter</v>
      </c>
      <c r="E569">
        <f>YEAR(A569)</f>
        <v>2014</v>
      </c>
    </row>
    <row r="570" spans="1:5">
      <c r="A570" s="32">
        <v>41843</v>
      </c>
      <c r="B570" t="s">
        <v>3</v>
      </c>
      <c r="C570">
        <v>8106</v>
      </c>
      <c r="D570" t="str">
        <f>VLOOKUP(B570,BaseTable,2,FALSE)</f>
        <v>Schmecken</v>
      </c>
      <c r="E570">
        <f>YEAR(A570)</f>
        <v>2014</v>
      </c>
    </row>
    <row r="571" spans="1:5">
      <c r="A571" s="32">
        <v>41843</v>
      </c>
      <c r="B571" t="s">
        <v>4</v>
      </c>
      <c r="C571">
        <v>406</v>
      </c>
      <c r="D571" t="str">
        <f>VLOOKUP(B571,BaseTable,2,FALSE)</f>
        <v>Danach-NY</v>
      </c>
      <c r="E571">
        <f>YEAR(A571)</f>
        <v>2014</v>
      </c>
    </row>
    <row r="572" spans="1:5">
      <c r="A572" s="32">
        <v>41844</v>
      </c>
      <c r="B572" t="s">
        <v>0</v>
      </c>
      <c r="C572">
        <v>1313</v>
      </c>
      <c r="D572" t="str">
        <f>VLOOKUP(B572,BaseTable,2,FALSE)</f>
        <v>Unter</v>
      </c>
      <c r="E572">
        <f>YEAR(A572)</f>
        <v>2014</v>
      </c>
    </row>
    <row r="573" spans="1:5">
      <c r="A573" s="32">
        <v>41844</v>
      </c>
      <c r="B573" t="s">
        <v>1</v>
      </c>
      <c r="C573">
        <v>9803</v>
      </c>
      <c r="D573" t="str">
        <f>VLOOKUP(B573,BaseTable,2,FALSE)</f>
        <v>Hinter</v>
      </c>
      <c r="E573">
        <f>YEAR(A573)</f>
        <v>2014</v>
      </c>
    </row>
    <row r="574" spans="1:5">
      <c r="A574" s="32">
        <v>41844</v>
      </c>
      <c r="B574" t="s">
        <v>2</v>
      </c>
      <c r="C574">
        <v>13171</v>
      </c>
      <c r="D574" t="str">
        <f>VLOOKUP(B574,BaseTable,2,FALSE)</f>
        <v>Weiter</v>
      </c>
      <c r="E574">
        <f>YEAR(A574)</f>
        <v>2014</v>
      </c>
    </row>
    <row r="575" spans="1:5">
      <c r="A575" s="32">
        <v>41844</v>
      </c>
      <c r="B575" t="s">
        <v>3</v>
      </c>
      <c r="C575">
        <v>7408</v>
      </c>
      <c r="D575" t="str">
        <f>VLOOKUP(B575,BaseTable,2,FALSE)</f>
        <v>Schmecken</v>
      </c>
      <c r="E575">
        <f>YEAR(A575)</f>
        <v>2014</v>
      </c>
    </row>
    <row r="576" spans="1:5">
      <c r="A576" s="32">
        <v>41844</v>
      </c>
      <c r="B576" t="s">
        <v>4</v>
      </c>
      <c r="C576">
        <v>355</v>
      </c>
      <c r="D576" t="str">
        <f>VLOOKUP(B576,BaseTable,2,FALSE)</f>
        <v>Danach-NY</v>
      </c>
      <c r="E576">
        <f>YEAR(A576)</f>
        <v>2014</v>
      </c>
    </row>
    <row r="577" spans="1:5">
      <c r="A577" s="32">
        <v>41845</v>
      </c>
      <c r="B577" t="s">
        <v>0</v>
      </c>
      <c r="C577">
        <v>1265</v>
      </c>
      <c r="D577" t="str">
        <f>VLOOKUP(B577,BaseTable,2,FALSE)</f>
        <v>Unter</v>
      </c>
      <c r="E577">
        <f>YEAR(A577)</f>
        <v>2014</v>
      </c>
    </row>
    <row r="578" spans="1:5">
      <c r="A578" s="32">
        <v>41845</v>
      </c>
      <c r="B578" t="s">
        <v>1</v>
      </c>
      <c r="C578">
        <v>8909</v>
      </c>
      <c r="D578" t="str">
        <f>VLOOKUP(B578,BaseTable,2,FALSE)</f>
        <v>Hinter</v>
      </c>
      <c r="E578">
        <f>YEAR(A578)</f>
        <v>2014</v>
      </c>
    </row>
    <row r="579" spans="1:5">
      <c r="A579" s="32">
        <v>41845</v>
      </c>
      <c r="B579" t="s">
        <v>2</v>
      </c>
      <c r="C579">
        <v>12466</v>
      </c>
      <c r="D579" t="str">
        <f>VLOOKUP(B579,BaseTable,2,FALSE)</f>
        <v>Weiter</v>
      </c>
      <c r="E579">
        <f>YEAR(A579)</f>
        <v>2014</v>
      </c>
    </row>
    <row r="580" spans="1:5">
      <c r="A580" s="32">
        <v>41845</v>
      </c>
      <c r="B580" t="s">
        <v>3</v>
      </c>
      <c r="C580">
        <v>7021</v>
      </c>
      <c r="D580" t="str">
        <f>VLOOKUP(B580,BaseTable,2,FALSE)</f>
        <v>Schmecken</v>
      </c>
      <c r="E580">
        <f>YEAR(A580)</f>
        <v>2014</v>
      </c>
    </row>
    <row r="581" spans="1:5">
      <c r="A581" s="32">
        <v>41845</v>
      </c>
      <c r="B581" t="s">
        <v>4</v>
      </c>
      <c r="C581">
        <v>314</v>
      </c>
      <c r="D581" t="str">
        <f>VLOOKUP(B581,BaseTable,2,FALSE)</f>
        <v>Danach-NY</v>
      </c>
      <c r="E581">
        <f>YEAR(A581)</f>
        <v>2014</v>
      </c>
    </row>
    <row r="582" spans="1:5">
      <c r="A582" s="32">
        <v>41846</v>
      </c>
      <c r="B582" t="s">
        <v>0</v>
      </c>
      <c r="C582">
        <v>1121</v>
      </c>
      <c r="D582" t="str">
        <f>VLOOKUP(B582,BaseTable,2,FALSE)</f>
        <v>Unter</v>
      </c>
      <c r="E582">
        <f>YEAR(A582)</f>
        <v>2014</v>
      </c>
    </row>
    <row r="583" spans="1:5">
      <c r="A583" s="32">
        <v>41846</v>
      </c>
      <c r="B583" t="s">
        <v>1</v>
      </c>
      <c r="C583">
        <v>8463</v>
      </c>
      <c r="D583" t="str">
        <f>VLOOKUP(B583,BaseTable,2,FALSE)</f>
        <v>Hinter</v>
      </c>
      <c r="E583">
        <f>YEAR(A583)</f>
        <v>2014</v>
      </c>
    </row>
    <row r="584" spans="1:5">
      <c r="A584" s="32">
        <v>41846</v>
      </c>
      <c r="B584" t="s">
        <v>2</v>
      </c>
      <c r="C584">
        <v>11634</v>
      </c>
      <c r="D584" t="str">
        <f>VLOOKUP(B584,BaseTable,2,FALSE)</f>
        <v>Weiter</v>
      </c>
      <c r="E584">
        <f>YEAR(A584)</f>
        <v>2014</v>
      </c>
    </row>
    <row r="585" spans="1:5">
      <c r="A585" s="32">
        <v>41846</v>
      </c>
      <c r="B585" t="s">
        <v>3</v>
      </c>
      <c r="C585">
        <v>6230</v>
      </c>
      <c r="D585" t="str">
        <f>VLOOKUP(B585,BaseTable,2,FALSE)</f>
        <v>Schmecken</v>
      </c>
      <c r="E585">
        <f>YEAR(A585)</f>
        <v>2014</v>
      </c>
    </row>
    <row r="586" spans="1:5">
      <c r="A586" s="32">
        <v>41846</v>
      </c>
      <c r="B586" t="s">
        <v>4</v>
      </c>
      <c r="C586">
        <v>260</v>
      </c>
      <c r="D586" t="str">
        <f>VLOOKUP(B586,BaseTable,2,FALSE)</f>
        <v>Danach-NY</v>
      </c>
      <c r="E586">
        <f>YEAR(A586)</f>
        <v>2014</v>
      </c>
    </row>
    <row r="587" spans="1:5">
      <c r="A587" s="32">
        <v>41847</v>
      </c>
      <c r="B587" t="s">
        <v>0</v>
      </c>
      <c r="C587">
        <v>749</v>
      </c>
      <c r="D587" t="str">
        <f>VLOOKUP(B587,BaseTable,2,FALSE)</f>
        <v>Unter</v>
      </c>
      <c r="E587">
        <f>YEAR(A587)</f>
        <v>2014</v>
      </c>
    </row>
    <row r="588" spans="1:5">
      <c r="A588" s="32">
        <v>41847</v>
      </c>
      <c r="B588" t="s">
        <v>1</v>
      </c>
      <c r="C588">
        <v>6725</v>
      </c>
      <c r="D588" t="str">
        <f>VLOOKUP(B588,BaseTable,2,FALSE)</f>
        <v>Hinter</v>
      </c>
      <c r="E588">
        <f>YEAR(A588)</f>
        <v>2014</v>
      </c>
    </row>
    <row r="589" spans="1:5">
      <c r="A589" s="32">
        <v>41847</v>
      </c>
      <c r="B589" t="s">
        <v>2</v>
      </c>
      <c r="C589">
        <v>9749</v>
      </c>
      <c r="D589" t="str">
        <f>VLOOKUP(B589,BaseTable,2,FALSE)</f>
        <v>Weiter</v>
      </c>
      <c r="E589">
        <f>YEAR(A589)</f>
        <v>2014</v>
      </c>
    </row>
    <row r="590" spans="1:5">
      <c r="A590" s="32">
        <v>41847</v>
      </c>
      <c r="B590" t="s">
        <v>3</v>
      </c>
      <c r="C590">
        <v>5184</v>
      </c>
      <c r="D590" t="str">
        <f>VLOOKUP(B590,BaseTable,2,FALSE)</f>
        <v>Schmecken</v>
      </c>
      <c r="E590">
        <f>YEAR(A590)</f>
        <v>2014</v>
      </c>
    </row>
    <row r="591" spans="1:5">
      <c r="A591" s="32">
        <v>41847</v>
      </c>
      <c r="B591" t="s">
        <v>4</v>
      </c>
      <c r="C591">
        <v>183</v>
      </c>
      <c r="D591" t="str">
        <f>VLOOKUP(B591,BaseTable,2,FALSE)</f>
        <v>Danach-NY</v>
      </c>
      <c r="E591">
        <f>YEAR(A591)</f>
        <v>2014</v>
      </c>
    </row>
    <row r="592" spans="1:5">
      <c r="A592" s="32">
        <v>41848</v>
      </c>
      <c r="B592" t="s">
        <v>0</v>
      </c>
      <c r="C592">
        <v>1240</v>
      </c>
      <c r="D592" t="str">
        <f>VLOOKUP(B592,BaseTable,2,FALSE)</f>
        <v>Unter</v>
      </c>
      <c r="E592">
        <f>YEAR(A592)</f>
        <v>2014</v>
      </c>
    </row>
    <row r="593" spans="1:5">
      <c r="A593" s="32">
        <v>41848</v>
      </c>
      <c r="B593" t="s">
        <v>1</v>
      </c>
      <c r="C593">
        <v>6828</v>
      </c>
      <c r="D593" t="str">
        <f>VLOOKUP(B593,BaseTable,2,FALSE)</f>
        <v>Hinter</v>
      </c>
      <c r="E593">
        <f>YEAR(A593)</f>
        <v>2014</v>
      </c>
    </row>
    <row r="594" spans="1:5">
      <c r="A594" s="32">
        <v>41848</v>
      </c>
      <c r="B594" t="s">
        <v>2</v>
      </c>
      <c r="C594">
        <v>10201</v>
      </c>
      <c r="D594" t="str">
        <f>VLOOKUP(B594,BaseTable,2,FALSE)</f>
        <v>Weiter</v>
      </c>
      <c r="E594">
        <f>YEAR(A594)</f>
        <v>2014</v>
      </c>
    </row>
    <row r="595" spans="1:5">
      <c r="A595" s="32">
        <v>41848</v>
      </c>
      <c r="B595" t="s">
        <v>3</v>
      </c>
      <c r="C595">
        <v>5509</v>
      </c>
      <c r="D595" t="str">
        <f>VLOOKUP(B595,BaseTable,2,FALSE)</f>
        <v>Schmecken</v>
      </c>
      <c r="E595">
        <f>YEAR(A595)</f>
        <v>2014</v>
      </c>
    </row>
    <row r="596" spans="1:5">
      <c r="A596" s="32">
        <v>41848</v>
      </c>
      <c r="B596" t="s">
        <v>4</v>
      </c>
      <c r="C596">
        <v>203</v>
      </c>
      <c r="D596" t="str">
        <f>VLOOKUP(B596,BaseTable,2,FALSE)</f>
        <v>Danach-NY</v>
      </c>
      <c r="E596">
        <f>YEAR(A596)</f>
        <v>2014</v>
      </c>
    </row>
    <row r="597" spans="1:5">
      <c r="A597" s="32">
        <v>41849</v>
      </c>
      <c r="B597" t="s">
        <v>0</v>
      </c>
      <c r="C597">
        <v>1340</v>
      </c>
      <c r="D597" t="str">
        <f>VLOOKUP(B597,BaseTable,2,FALSE)</f>
        <v>Unter</v>
      </c>
      <c r="E597">
        <f>YEAR(A597)</f>
        <v>2014</v>
      </c>
    </row>
    <row r="598" spans="1:5">
      <c r="A598" s="32">
        <v>41849</v>
      </c>
      <c r="B598" t="s">
        <v>1</v>
      </c>
      <c r="C598">
        <v>7969</v>
      </c>
      <c r="D598" t="str">
        <f>VLOOKUP(B598,BaseTable,2,FALSE)</f>
        <v>Hinter</v>
      </c>
      <c r="E598">
        <f>YEAR(A598)</f>
        <v>2014</v>
      </c>
    </row>
    <row r="599" spans="1:5">
      <c r="A599" s="32">
        <v>41849</v>
      </c>
      <c r="B599" t="s">
        <v>2</v>
      </c>
      <c r="C599">
        <v>11735</v>
      </c>
      <c r="D599" t="str">
        <f>VLOOKUP(B599,BaseTable,2,FALSE)</f>
        <v>Weiter</v>
      </c>
      <c r="E599">
        <f>YEAR(A599)</f>
        <v>2014</v>
      </c>
    </row>
    <row r="600" spans="1:5">
      <c r="A600" s="32">
        <v>41849</v>
      </c>
      <c r="B600" t="s">
        <v>3</v>
      </c>
      <c r="C600">
        <v>6275</v>
      </c>
      <c r="D600" t="str">
        <f>VLOOKUP(B600,BaseTable,2,FALSE)</f>
        <v>Schmecken</v>
      </c>
      <c r="E600">
        <f>YEAR(A600)</f>
        <v>2014</v>
      </c>
    </row>
    <row r="601" spans="1:5">
      <c r="A601" s="32">
        <v>41849</v>
      </c>
      <c r="B601" t="s">
        <v>4</v>
      </c>
      <c r="C601">
        <v>270</v>
      </c>
      <c r="D601" t="str">
        <f>VLOOKUP(B601,BaseTable,2,FALSE)</f>
        <v>Danach-NY</v>
      </c>
      <c r="E601">
        <f>YEAR(A601)</f>
        <v>2014</v>
      </c>
    </row>
    <row r="602" spans="1:5">
      <c r="A602" s="32">
        <v>41850</v>
      </c>
      <c r="B602" t="s">
        <v>0</v>
      </c>
      <c r="C602">
        <v>1334</v>
      </c>
      <c r="D602" t="str">
        <f>VLOOKUP(B602,BaseTable,2,FALSE)</f>
        <v>Unter</v>
      </c>
      <c r="E602">
        <f>YEAR(A602)</f>
        <v>2014</v>
      </c>
    </row>
    <row r="603" spans="1:5">
      <c r="A603" s="32">
        <v>41850</v>
      </c>
      <c r="B603" t="s">
        <v>1</v>
      </c>
      <c r="C603">
        <v>8883</v>
      </c>
      <c r="D603" t="str">
        <f>VLOOKUP(B603,BaseTable,2,FALSE)</f>
        <v>Hinter</v>
      </c>
      <c r="E603">
        <f>YEAR(A603)</f>
        <v>2014</v>
      </c>
    </row>
    <row r="604" spans="1:5">
      <c r="A604" s="32">
        <v>41850</v>
      </c>
      <c r="B604" t="s">
        <v>2</v>
      </c>
      <c r="C604">
        <v>13030</v>
      </c>
      <c r="D604" t="str">
        <f>VLOOKUP(B604,BaseTable,2,FALSE)</f>
        <v>Weiter</v>
      </c>
      <c r="E604">
        <f>YEAR(A604)</f>
        <v>2014</v>
      </c>
    </row>
    <row r="605" spans="1:5">
      <c r="A605" s="32">
        <v>41850</v>
      </c>
      <c r="B605" t="s">
        <v>3</v>
      </c>
      <c r="C605">
        <v>7174</v>
      </c>
      <c r="D605" t="str">
        <f>VLOOKUP(B605,BaseTable,2,FALSE)</f>
        <v>Schmecken</v>
      </c>
      <c r="E605">
        <f>YEAR(A605)</f>
        <v>2014</v>
      </c>
    </row>
    <row r="606" spans="1:5">
      <c r="A606" s="32">
        <v>41850</v>
      </c>
      <c r="B606" t="s">
        <v>4</v>
      </c>
      <c r="C606">
        <v>319</v>
      </c>
      <c r="D606" t="str">
        <f>VLOOKUP(B606,BaseTable,2,FALSE)</f>
        <v>Danach-NY</v>
      </c>
      <c r="E606">
        <f>YEAR(A606)</f>
        <v>2014</v>
      </c>
    </row>
    <row r="607" spans="1:5">
      <c r="A607" s="32">
        <v>41851</v>
      </c>
      <c r="B607" t="s">
        <v>0</v>
      </c>
      <c r="C607">
        <v>1451</v>
      </c>
      <c r="D607" t="str">
        <f>VLOOKUP(B607,BaseTable,2,FALSE)</f>
        <v>Unter</v>
      </c>
      <c r="E607">
        <f>YEAR(A607)</f>
        <v>2014</v>
      </c>
    </row>
    <row r="608" spans="1:5">
      <c r="A608" s="32">
        <v>41851</v>
      </c>
      <c r="B608" t="s">
        <v>1</v>
      </c>
      <c r="C608">
        <v>9844</v>
      </c>
      <c r="D608" t="str">
        <f>VLOOKUP(B608,BaseTable,2,FALSE)</f>
        <v>Hinter</v>
      </c>
      <c r="E608">
        <f>YEAR(A608)</f>
        <v>2014</v>
      </c>
    </row>
    <row r="609" spans="1:5">
      <c r="A609" s="32">
        <v>41851</v>
      </c>
      <c r="B609" t="s">
        <v>2</v>
      </c>
      <c r="C609">
        <v>14040</v>
      </c>
      <c r="D609" t="str">
        <f>VLOOKUP(B609,BaseTable,2,FALSE)</f>
        <v>Weiter</v>
      </c>
      <c r="E609">
        <f>YEAR(A609)</f>
        <v>2014</v>
      </c>
    </row>
    <row r="610" spans="1:5">
      <c r="A610" s="32">
        <v>41851</v>
      </c>
      <c r="B610" t="s">
        <v>3</v>
      </c>
      <c r="C610">
        <v>7804</v>
      </c>
      <c r="D610" t="str">
        <f>VLOOKUP(B610,BaseTable,2,FALSE)</f>
        <v>Schmecken</v>
      </c>
      <c r="E610">
        <f>YEAR(A610)</f>
        <v>2014</v>
      </c>
    </row>
    <row r="611" spans="1:5">
      <c r="A611" s="32">
        <v>41851</v>
      </c>
      <c r="B611" t="s">
        <v>4</v>
      </c>
      <c r="C611">
        <v>402</v>
      </c>
      <c r="D611" t="str">
        <f>VLOOKUP(B611,BaseTable,2,FALSE)</f>
        <v>Danach-NY</v>
      </c>
      <c r="E611">
        <f>YEAR(A611)</f>
        <v>2014</v>
      </c>
    </row>
    <row r="612" spans="1:5">
      <c r="A612" s="32">
        <v>41852</v>
      </c>
      <c r="B612" t="s">
        <v>0</v>
      </c>
      <c r="C612">
        <v>1342</v>
      </c>
      <c r="D612" t="str">
        <f>VLOOKUP(B612,BaseTable,2,FALSE)</f>
        <v>Unter</v>
      </c>
      <c r="E612">
        <f>YEAR(A612)</f>
        <v>2014</v>
      </c>
    </row>
    <row r="613" spans="1:5">
      <c r="A613" s="32">
        <v>41852</v>
      </c>
      <c r="B613" t="s">
        <v>1</v>
      </c>
      <c r="C613">
        <v>9392</v>
      </c>
      <c r="D613" t="str">
        <f>VLOOKUP(B613,BaseTable,2,FALSE)</f>
        <v>Hinter</v>
      </c>
      <c r="E613">
        <f>YEAR(A613)</f>
        <v>2014</v>
      </c>
    </row>
    <row r="614" spans="1:5">
      <c r="A614" s="32">
        <v>41852</v>
      </c>
      <c r="B614" t="s">
        <v>2</v>
      </c>
      <c r="C614">
        <v>13810</v>
      </c>
      <c r="D614" t="str">
        <f>VLOOKUP(B614,BaseTable,2,FALSE)</f>
        <v>Weiter</v>
      </c>
      <c r="E614">
        <f>YEAR(A614)</f>
        <v>2014</v>
      </c>
    </row>
    <row r="615" spans="1:5">
      <c r="A615" s="32">
        <v>41852</v>
      </c>
      <c r="B615" t="s">
        <v>3</v>
      </c>
      <c r="C615">
        <v>7433</v>
      </c>
      <c r="D615" t="str">
        <f>VLOOKUP(B615,BaseTable,2,FALSE)</f>
        <v>Schmecken</v>
      </c>
      <c r="E615">
        <f>YEAR(A615)</f>
        <v>2014</v>
      </c>
    </row>
    <row r="616" spans="1:5">
      <c r="A616" s="32">
        <v>41852</v>
      </c>
      <c r="B616" t="s">
        <v>4</v>
      </c>
      <c r="C616">
        <v>376</v>
      </c>
      <c r="D616" t="str">
        <f>VLOOKUP(B616,BaseTable,2,FALSE)</f>
        <v>Danach-NY</v>
      </c>
      <c r="E616">
        <f>YEAR(A616)</f>
        <v>2014</v>
      </c>
    </row>
    <row r="617" spans="1:5">
      <c r="A617" s="32">
        <v>41853</v>
      </c>
      <c r="B617" t="s">
        <v>0</v>
      </c>
      <c r="C617">
        <v>1062</v>
      </c>
      <c r="D617" t="str">
        <f>VLOOKUP(B617,BaseTable,2,FALSE)</f>
        <v>Unter</v>
      </c>
      <c r="E617">
        <f>YEAR(A617)</f>
        <v>2014</v>
      </c>
    </row>
    <row r="618" spans="1:5">
      <c r="A618" s="32">
        <v>41853</v>
      </c>
      <c r="B618" t="s">
        <v>1</v>
      </c>
      <c r="C618">
        <v>8208</v>
      </c>
      <c r="D618" t="str">
        <f>VLOOKUP(B618,BaseTable,2,FALSE)</f>
        <v>Hinter</v>
      </c>
      <c r="E618">
        <f>YEAR(A618)</f>
        <v>2014</v>
      </c>
    </row>
    <row r="619" spans="1:5">
      <c r="A619" s="32">
        <v>41853</v>
      </c>
      <c r="B619" t="s">
        <v>2</v>
      </c>
      <c r="C619">
        <v>12752</v>
      </c>
      <c r="D619" t="str">
        <f>VLOOKUP(B619,BaseTable,2,FALSE)</f>
        <v>Weiter</v>
      </c>
      <c r="E619">
        <f>YEAR(A619)</f>
        <v>2014</v>
      </c>
    </row>
    <row r="620" spans="1:5">
      <c r="A620" s="32">
        <v>41853</v>
      </c>
      <c r="B620" t="s">
        <v>3</v>
      </c>
      <c r="C620">
        <v>6300</v>
      </c>
      <c r="D620" t="str">
        <f>VLOOKUP(B620,BaseTable,2,FALSE)</f>
        <v>Schmecken</v>
      </c>
      <c r="E620">
        <f>YEAR(A620)</f>
        <v>2014</v>
      </c>
    </row>
    <row r="621" spans="1:5">
      <c r="A621" s="32">
        <v>41853</v>
      </c>
      <c r="B621" t="s">
        <v>4</v>
      </c>
      <c r="C621">
        <v>356</v>
      </c>
      <c r="D621" t="str">
        <f>VLOOKUP(B621,BaseTable,2,FALSE)</f>
        <v>Danach-NY</v>
      </c>
      <c r="E621">
        <f>YEAR(A621)</f>
        <v>2014</v>
      </c>
    </row>
    <row r="622" spans="1:5">
      <c r="A622" s="32">
        <v>41854</v>
      </c>
      <c r="B622" t="s">
        <v>0</v>
      </c>
      <c r="C622">
        <v>914</v>
      </c>
      <c r="D622" t="str">
        <f>VLOOKUP(B622,BaseTable,2,FALSE)</f>
        <v>Unter</v>
      </c>
      <c r="E622">
        <f>YEAR(A622)</f>
        <v>2014</v>
      </c>
    </row>
    <row r="623" spans="1:5">
      <c r="A623" s="32">
        <v>41854</v>
      </c>
      <c r="B623" t="s">
        <v>1</v>
      </c>
      <c r="C623">
        <v>6293</v>
      </c>
      <c r="D623" t="str">
        <f>VLOOKUP(B623,BaseTable,2,FALSE)</f>
        <v>Hinter</v>
      </c>
      <c r="E623">
        <f>YEAR(A623)</f>
        <v>2014</v>
      </c>
    </row>
    <row r="624" spans="1:5">
      <c r="A624" s="32">
        <v>41854</v>
      </c>
      <c r="B624" t="s">
        <v>2</v>
      </c>
      <c r="C624">
        <v>10394</v>
      </c>
      <c r="D624" t="str">
        <f>VLOOKUP(B624,BaseTable,2,FALSE)</f>
        <v>Weiter</v>
      </c>
      <c r="E624">
        <f>YEAR(A624)</f>
        <v>2014</v>
      </c>
    </row>
    <row r="625" spans="1:5">
      <c r="A625" s="32">
        <v>41854</v>
      </c>
      <c r="B625" t="s">
        <v>3</v>
      </c>
      <c r="C625">
        <v>5246</v>
      </c>
      <c r="D625" t="str">
        <f>VLOOKUP(B625,BaseTable,2,FALSE)</f>
        <v>Schmecken</v>
      </c>
      <c r="E625">
        <f>YEAR(A625)</f>
        <v>2014</v>
      </c>
    </row>
    <row r="626" spans="1:5">
      <c r="A626" s="32">
        <v>41854</v>
      </c>
      <c r="B626" t="s">
        <v>4</v>
      </c>
      <c r="C626">
        <v>299</v>
      </c>
      <c r="D626" t="str">
        <f>VLOOKUP(B626,BaseTable,2,FALSE)</f>
        <v>Danach-NY</v>
      </c>
      <c r="E626">
        <f>YEAR(A626)</f>
        <v>2014</v>
      </c>
    </row>
    <row r="627" spans="1:5">
      <c r="A627" s="32">
        <v>41855</v>
      </c>
      <c r="B627" t="s">
        <v>0</v>
      </c>
      <c r="C627">
        <v>1145</v>
      </c>
      <c r="D627" t="str">
        <f>VLOOKUP(B627,BaseTable,2,FALSE)</f>
        <v>Unter</v>
      </c>
      <c r="E627">
        <f>YEAR(A627)</f>
        <v>2014</v>
      </c>
    </row>
    <row r="628" spans="1:5">
      <c r="A628" s="32">
        <v>41855</v>
      </c>
      <c r="B628" t="s">
        <v>1</v>
      </c>
      <c r="C628">
        <v>6824</v>
      </c>
      <c r="D628" t="str">
        <f>VLOOKUP(B628,BaseTable,2,FALSE)</f>
        <v>Hinter</v>
      </c>
      <c r="E628">
        <f>YEAR(A628)</f>
        <v>2014</v>
      </c>
    </row>
    <row r="629" spans="1:5">
      <c r="A629" s="32">
        <v>41855</v>
      </c>
      <c r="B629" t="s">
        <v>2</v>
      </c>
      <c r="C629">
        <v>11121</v>
      </c>
      <c r="D629" t="str">
        <f>VLOOKUP(B629,BaseTable,2,FALSE)</f>
        <v>Weiter</v>
      </c>
      <c r="E629">
        <f>YEAR(A629)</f>
        <v>2014</v>
      </c>
    </row>
    <row r="630" spans="1:5">
      <c r="A630" s="32">
        <v>41855</v>
      </c>
      <c r="B630" t="s">
        <v>3</v>
      </c>
      <c r="C630">
        <v>5489</v>
      </c>
      <c r="D630" t="str">
        <f>VLOOKUP(B630,BaseTable,2,FALSE)</f>
        <v>Schmecken</v>
      </c>
      <c r="E630">
        <f>YEAR(A630)</f>
        <v>2014</v>
      </c>
    </row>
    <row r="631" spans="1:5">
      <c r="A631" s="32">
        <v>41855</v>
      </c>
      <c r="B631" t="s">
        <v>4</v>
      </c>
      <c r="C631">
        <v>373</v>
      </c>
      <c r="D631" t="str">
        <f>VLOOKUP(B631,BaseTable,2,FALSE)</f>
        <v>Danach-NY</v>
      </c>
      <c r="E631">
        <f>YEAR(A631)</f>
        <v>2014</v>
      </c>
    </row>
    <row r="632" spans="1:5">
      <c r="A632" s="32">
        <v>41856</v>
      </c>
      <c r="B632" t="s">
        <v>0</v>
      </c>
      <c r="C632">
        <v>1167</v>
      </c>
      <c r="D632" t="str">
        <f>VLOOKUP(B632,BaseTable,2,FALSE)</f>
        <v>Unter</v>
      </c>
      <c r="E632">
        <f>YEAR(A632)</f>
        <v>2014</v>
      </c>
    </row>
    <row r="633" spans="1:5">
      <c r="A633" s="32">
        <v>41856</v>
      </c>
      <c r="B633" t="s">
        <v>1</v>
      </c>
      <c r="C633">
        <v>7624</v>
      </c>
      <c r="D633" t="str">
        <f>VLOOKUP(B633,BaseTable,2,FALSE)</f>
        <v>Hinter</v>
      </c>
      <c r="E633">
        <f>YEAR(A633)</f>
        <v>2014</v>
      </c>
    </row>
    <row r="634" spans="1:5">
      <c r="A634" s="32">
        <v>41856</v>
      </c>
      <c r="B634" t="s">
        <v>2</v>
      </c>
      <c r="C634">
        <v>12611</v>
      </c>
      <c r="D634" t="str">
        <f>VLOOKUP(B634,BaseTable,2,FALSE)</f>
        <v>Weiter</v>
      </c>
      <c r="E634">
        <f>YEAR(A634)</f>
        <v>2014</v>
      </c>
    </row>
    <row r="635" spans="1:5">
      <c r="A635" s="32">
        <v>41856</v>
      </c>
      <c r="B635" t="s">
        <v>3</v>
      </c>
      <c r="C635">
        <v>6230</v>
      </c>
      <c r="D635" t="str">
        <f>VLOOKUP(B635,BaseTable,2,FALSE)</f>
        <v>Schmecken</v>
      </c>
      <c r="E635">
        <f>YEAR(A635)</f>
        <v>2014</v>
      </c>
    </row>
    <row r="636" spans="1:5">
      <c r="A636" s="32">
        <v>41856</v>
      </c>
      <c r="B636" t="s">
        <v>4</v>
      </c>
      <c r="C636">
        <v>462</v>
      </c>
      <c r="D636" t="str">
        <f>VLOOKUP(B636,BaseTable,2,FALSE)</f>
        <v>Danach-NY</v>
      </c>
      <c r="E636">
        <f>YEAR(A636)</f>
        <v>2014</v>
      </c>
    </row>
    <row r="637" spans="1:5">
      <c r="A637" s="32">
        <v>41857</v>
      </c>
      <c r="B637" t="s">
        <v>0</v>
      </c>
      <c r="C637">
        <v>1314</v>
      </c>
      <c r="D637" t="str">
        <f>VLOOKUP(B637,BaseTable,2,FALSE)</f>
        <v>Unter</v>
      </c>
      <c r="E637">
        <f>YEAR(A637)</f>
        <v>2014</v>
      </c>
    </row>
    <row r="638" spans="1:5">
      <c r="A638" s="32">
        <v>41857</v>
      </c>
      <c r="B638" t="s">
        <v>1</v>
      </c>
      <c r="C638">
        <v>8587</v>
      </c>
      <c r="D638" t="str">
        <f>VLOOKUP(B638,BaseTable,2,FALSE)</f>
        <v>Hinter</v>
      </c>
      <c r="E638">
        <f>YEAR(A638)</f>
        <v>2014</v>
      </c>
    </row>
    <row r="639" spans="1:5">
      <c r="A639" s="32">
        <v>41857</v>
      </c>
      <c r="B639" t="s">
        <v>2</v>
      </c>
      <c r="C639">
        <v>13282</v>
      </c>
      <c r="D639" t="str">
        <f>VLOOKUP(B639,BaseTable,2,FALSE)</f>
        <v>Weiter</v>
      </c>
      <c r="E639">
        <f>YEAR(A639)</f>
        <v>2014</v>
      </c>
    </row>
    <row r="640" spans="1:5">
      <c r="A640" s="32">
        <v>41857</v>
      </c>
      <c r="B640" t="s">
        <v>3</v>
      </c>
      <c r="C640">
        <v>6748</v>
      </c>
      <c r="D640" t="str">
        <f>VLOOKUP(B640,BaseTable,2,FALSE)</f>
        <v>Schmecken</v>
      </c>
      <c r="E640">
        <f>YEAR(A640)</f>
        <v>2014</v>
      </c>
    </row>
    <row r="641" spans="1:5">
      <c r="A641" s="32">
        <v>41857</v>
      </c>
      <c r="B641" t="s">
        <v>4</v>
      </c>
      <c r="C641">
        <v>564</v>
      </c>
      <c r="D641" t="str">
        <f>VLOOKUP(B641,BaseTable,2,FALSE)</f>
        <v>Danach-NY</v>
      </c>
      <c r="E641">
        <f>YEAR(A641)</f>
        <v>2014</v>
      </c>
    </row>
    <row r="642" spans="1:5">
      <c r="A642" s="32">
        <v>41858</v>
      </c>
      <c r="B642" t="s">
        <v>0</v>
      </c>
      <c r="C642">
        <v>1400</v>
      </c>
      <c r="D642" t="str">
        <f>VLOOKUP(B642,BaseTable,2,FALSE)</f>
        <v>Unter</v>
      </c>
      <c r="E642">
        <f>YEAR(A642)</f>
        <v>2014</v>
      </c>
    </row>
    <row r="643" spans="1:5">
      <c r="A643" s="32">
        <v>41858</v>
      </c>
      <c r="B643" t="s">
        <v>1</v>
      </c>
      <c r="C643">
        <v>9175</v>
      </c>
      <c r="D643" t="str">
        <f>VLOOKUP(B643,BaseTable,2,FALSE)</f>
        <v>Hinter</v>
      </c>
      <c r="E643">
        <f>YEAR(A643)</f>
        <v>2014</v>
      </c>
    </row>
    <row r="644" spans="1:5">
      <c r="A644" s="32">
        <v>41858</v>
      </c>
      <c r="B644" t="s">
        <v>2</v>
      </c>
      <c r="C644">
        <v>14214</v>
      </c>
      <c r="D644" t="str">
        <f>VLOOKUP(B644,BaseTable,2,FALSE)</f>
        <v>Weiter</v>
      </c>
      <c r="E644">
        <f>YEAR(A644)</f>
        <v>2014</v>
      </c>
    </row>
    <row r="645" spans="1:5">
      <c r="A645" s="32">
        <v>41858</v>
      </c>
      <c r="B645" t="s">
        <v>3</v>
      </c>
      <c r="C645">
        <v>7288</v>
      </c>
      <c r="D645" t="str">
        <f>VLOOKUP(B645,BaseTable,2,FALSE)</f>
        <v>Schmecken</v>
      </c>
      <c r="E645">
        <f>YEAR(A645)</f>
        <v>2014</v>
      </c>
    </row>
    <row r="646" spans="1:5">
      <c r="A646" s="32">
        <v>41858</v>
      </c>
      <c r="B646" t="s">
        <v>4</v>
      </c>
      <c r="C646">
        <v>682</v>
      </c>
      <c r="D646" t="str">
        <f>VLOOKUP(B646,BaseTable,2,FALSE)</f>
        <v>Danach-NY</v>
      </c>
      <c r="E646">
        <f>YEAR(A646)</f>
        <v>2014</v>
      </c>
    </row>
    <row r="647" spans="1:5">
      <c r="A647" s="32">
        <v>41859</v>
      </c>
      <c r="B647" t="s">
        <v>0</v>
      </c>
      <c r="C647">
        <v>1173</v>
      </c>
      <c r="D647" t="str">
        <f>VLOOKUP(B647,BaseTable,2,FALSE)</f>
        <v>Unter</v>
      </c>
      <c r="E647">
        <f>YEAR(A647)</f>
        <v>2014</v>
      </c>
    </row>
    <row r="648" spans="1:5">
      <c r="A648" s="32">
        <v>41859</v>
      </c>
      <c r="B648" t="s">
        <v>1</v>
      </c>
      <c r="C648">
        <v>8633</v>
      </c>
      <c r="D648" t="str">
        <f>VLOOKUP(B648,BaseTable,2,FALSE)</f>
        <v>Hinter</v>
      </c>
      <c r="E648">
        <f>YEAR(A648)</f>
        <v>2014</v>
      </c>
    </row>
    <row r="649" spans="1:5">
      <c r="A649" s="32">
        <v>41859</v>
      </c>
      <c r="B649" t="s">
        <v>2</v>
      </c>
      <c r="C649">
        <v>13198</v>
      </c>
      <c r="D649" t="str">
        <f>VLOOKUP(B649,BaseTable,2,FALSE)</f>
        <v>Weiter</v>
      </c>
      <c r="E649">
        <f>YEAR(A649)</f>
        <v>2014</v>
      </c>
    </row>
    <row r="650" spans="1:5">
      <c r="A650" s="32">
        <v>41859</v>
      </c>
      <c r="B650" t="s">
        <v>3</v>
      </c>
      <c r="C650">
        <v>6652</v>
      </c>
      <c r="D650" t="str">
        <f>VLOOKUP(B650,BaseTable,2,FALSE)</f>
        <v>Schmecken</v>
      </c>
      <c r="E650">
        <f>YEAR(A650)</f>
        <v>2014</v>
      </c>
    </row>
    <row r="651" spans="1:5">
      <c r="A651" s="32">
        <v>41859</v>
      </c>
      <c r="B651" t="s">
        <v>4</v>
      </c>
      <c r="C651">
        <v>755</v>
      </c>
      <c r="D651" t="str">
        <f>VLOOKUP(B651,BaseTable,2,FALSE)</f>
        <v>Danach-NY</v>
      </c>
      <c r="E651">
        <f>YEAR(A651)</f>
        <v>2014</v>
      </c>
    </row>
    <row r="652" spans="1:5">
      <c r="A652" s="32">
        <v>41860</v>
      </c>
      <c r="B652" t="s">
        <v>0</v>
      </c>
      <c r="C652">
        <v>923</v>
      </c>
      <c r="D652" t="str">
        <f>VLOOKUP(B652,BaseTable,2,FALSE)</f>
        <v>Unter</v>
      </c>
      <c r="E652">
        <f>YEAR(A652)</f>
        <v>2014</v>
      </c>
    </row>
    <row r="653" spans="1:5">
      <c r="A653" s="32">
        <v>41860</v>
      </c>
      <c r="B653" t="s">
        <v>1</v>
      </c>
      <c r="C653">
        <v>7387</v>
      </c>
      <c r="D653" t="str">
        <f>VLOOKUP(B653,BaseTable,2,FALSE)</f>
        <v>Hinter</v>
      </c>
      <c r="E653">
        <f>YEAR(A653)</f>
        <v>2014</v>
      </c>
    </row>
    <row r="654" spans="1:5">
      <c r="A654" s="32">
        <v>41860</v>
      </c>
      <c r="B654" t="s">
        <v>2</v>
      </c>
      <c r="C654">
        <v>11704</v>
      </c>
      <c r="D654" t="str">
        <f>VLOOKUP(B654,BaseTable,2,FALSE)</f>
        <v>Weiter</v>
      </c>
      <c r="E654">
        <f>YEAR(A654)</f>
        <v>2014</v>
      </c>
    </row>
    <row r="655" spans="1:5">
      <c r="A655" s="32">
        <v>41860</v>
      </c>
      <c r="B655" t="s">
        <v>3</v>
      </c>
      <c r="C655">
        <v>5429</v>
      </c>
      <c r="D655" t="str">
        <f>VLOOKUP(B655,BaseTable,2,FALSE)</f>
        <v>Schmecken</v>
      </c>
      <c r="E655">
        <f>YEAR(A655)</f>
        <v>2014</v>
      </c>
    </row>
    <row r="656" spans="1:5">
      <c r="A656" s="32">
        <v>41860</v>
      </c>
      <c r="B656" t="s">
        <v>4</v>
      </c>
      <c r="C656">
        <v>843</v>
      </c>
      <c r="D656" t="str">
        <f>VLOOKUP(B656,BaseTable,2,FALSE)</f>
        <v>Danach-NY</v>
      </c>
      <c r="E656">
        <f>YEAR(A656)</f>
        <v>2014</v>
      </c>
    </row>
    <row r="657" spans="1:5">
      <c r="A657" s="32">
        <v>41861</v>
      </c>
      <c r="B657" t="s">
        <v>0</v>
      </c>
      <c r="C657">
        <v>770</v>
      </c>
      <c r="D657" t="str">
        <f>VLOOKUP(B657,BaseTable,2,FALSE)</f>
        <v>Unter</v>
      </c>
      <c r="E657">
        <f>YEAR(A657)</f>
        <v>2014</v>
      </c>
    </row>
    <row r="658" spans="1:5">
      <c r="A658" s="32">
        <v>41861</v>
      </c>
      <c r="B658" t="s">
        <v>1</v>
      </c>
      <c r="C658">
        <v>5481</v>
      </c>
      <c r="D658" t="str">
        <f>VLOOKUP(B658,BaseTable,2,FALSE)</f>
        <v>Hinter</v>
      </c>
      <c r="E658">
        <f>YEAR(A658)</f>
        <v>2014</v>
      </c>
    </row>
    <row r="659" spans="1:5">
      <c r="A659" s="32">
        <v>41861</v>
      </c>
      <c r="B659" t="s">
        <v>2</v>
      </c>
      <c r="C659">
        <v>9367</v>
      </c>
      <c r="D659" t="str">
        <f>VLOOKUP(B659,BaseTable,2,FALSE)</f>
        <v>Weiter</v>
      </c>
      <c r="E659">
        <f>YEAR(A659)</f>
        <v>2014</v>
      </c>
    </row>
    <row r="660" spans="1:5">
      <c r="A660" s="32">
        <v>41861</v>
      </c>
      <c r="B660" t="s">
        <v>3</v>
      </c>
      <c r="C660">
        <v>4389</v>
      </c>
      <c r="D660" t="str">
        <f>VLOOKUP(B660,BaseTable,2,FALSE)</f>
        <v>Schmecken</v>
      </c>
      <c r="E660">
        <f>YEAR(A660)</f>
        <v>2014</v>
      </c>
    </row>
    <row r="661" spans="1:5">
      <c r="A661" s="32">
        <v>41861</v>
      </c>
      <c r="B661" t="s">
        <v>4</v>
      </c>
      <c r="C661">
        <v>577</v>
      </c>
      <c r="D661" t="str">
        <f>VLOOKUP(B661,BaseTable,2,FALSE)</f>
        <v>Danach-NY</v>
      </c>
      <c r="E661">
        <f>YEAR(A661)</f>
        <v>2014</v>
      </c>
    </row>
    <row r="662" spans="1:5">
      <c r="A662" s="32">
        <v>41862</v>
      </c>
      <c r="B662" t="s">
        <v>0</v>
      </c>
      <c r="C662">
        <v>909</v>
      </c>
      <c r="D662" t="str">
        <f>VLOOKUP(B662,BaseTable,2,FALSE)</f>
        <v>Unter</v>
      </c>
      <c r="E662">
        <f>YEAR(A662)</f>
        <v>2014</v>
      </c>
    </row>
    <row r="663" spans="1:5">
      <c r="A663" s="32">
        <v>41862</v>
      </c>
      <c r="B663" t="s">
        <v>1</v>
      </c>
      <c r="C663">
        <v>6089</v>
      </c>
      <c r="D663" t="str">
        <f>VLOOKUP(B663,BaseTable,2,FALSE)</f>
        <v>Hinter</v>
      </c>
      <c r="E663">
        <f>YEAR(A663)</f>
        <v>2014</v>
      </c>
    </row>
    <row r="664" spans="1:5">
      <c r="A664" s="32">
        <v>41862</v>
      </c>
      <c r="B664" t="s">
        <v>2</v>
      </c>
      <c r="C664">
        <v>9996</v>
      </c>
      <c r="D664" t="str">
        <f>VLOOKUP(B664,BaseTable,2,FALSE)</f>
        <v>Weiter</v>
      </c>
      <c r="E664">
        <f>YEAR(A664)</f>
        <v>2014</v>
      </c>
    </row>
    <row r="665" spans="1:5">
      <c r="A665" s="32">
        <v>41862</v>
      </c>
      <c r="B665" t="s">
        <v>3</v>
      </c>
      <c r="C665">
        <v>4876</v>
      </c>
      <c r="D665" t="str">
        <f>VLOOKUP(B665,BaseTable,2,FALSE)</f>
        <v>Schmecken</v>
      </c>
      <c r="E665">
        <f>YEAR(A665)</f>
        <v>2014</v>
      </c>
    </row>
    <row r="666" spans="1:5">
      <c r="A666" s="32">
        <v>41862</v>
      </c>
      <c r="B666" t="s">
        <v>4</v>
      </c>
      <c r="C666">
        <v>762</v>
      </c>
      <c r="D666" t="str">
        <f>VLOOKUP(B666,BaseTable,2,FALSE)</f>
        <v>Danach-NY</v>
      </c>
      <c r="E666">
        <f>YEAR(A666)</f>
        <v>2014</v>
      </c>
    </row>
    <row r="667" spans="1:5">
      <c r="A667" s="32">
        <v>41863</v>
      </c>
      <c r="B667" t="s">
        <v>0</v>
      </c>
      <c r="C667">
        <v>1387</v>
      </c>
      <c r="D667" t="str">
        <f>VLOOKUP(B667,BaseTable,2,FALSE)</f>
        <v>Unter</v>
      </c>
      <c r="E667">
        <f>YEAR(A667)</f>
        <v>2014</v>
      </c>
    </row>
    <row r="668" spans="1:5">
      <c r="A668" s="32">
        <v>41863</v>
      </c>
      <c r="B668" t="s">
        <v>1</v>
      </c>
      <c r="C668">
        <v>7939</v>
      </c>
      <c r="D668" t="str">
        <f>VLOOKUP(B668,BaseTable,2,FALSE)</f>
        <v>Hinter</v>
      </c>
      <c r="E668">
        <f>YEAR(A668)</f>
        <v>2014</v>
      </c>
    </row>
    <row r="669" spans="1:5">
      <c r="A669" s="32">
        <v>41863</v>
      </c>
      <c r="B669" t="s">
        <v>2</v>
      </c>
      <c r="C669">
        <v>12969</v>
      </c>
      <c r="D669" t="str">
        <f>VLOOKUP(B669,BaseTable,2,FALSE)</f>
        <v>Weiter</v>
      </c>
      <c r="E669">
        <f>YEAR(A669)</f>
        <v>2014</v>
      </c>
    </row>
    <row r="670" spans="1:5">
      <c r="A670" s="32">
        <v>41863</v>
      </c>
      <c r="B670" t="s">
        <v>3</v>
      </c>
      <c r="C670">
        <v>6196</v>
      </c>
      <c r="D670" t="str">
        <f>VLOOKUP(B670,BaseTable,2,FALSE)</f>
        <v>Schmecken</v>
      </c>
      <c r="E670">
        <f>YEAR(A670)</f>
        <v>2014</v>
      </c>
    </row>
    <row r="671" spans="1:5">
      <c r="A671" s="32">
        <v>41863</v>
      </c>
      <c r="B671" t="s">
        <v>4</v>
      </c>
      <c r="C671">
        <v>1155</v>
      </c>
      <c r="D671" t="str">
        <f>VLOOKUP(B671,BaseTable,2,FALSE)</f>
        <v>Danach-NY</v>
      </c>
      <c r="E671">
        <f>YEAR(A671)</f>
        <v>2014</v>
      </c>
    </row>
    <row r="672" spans="1:5">
      <c r="A672" s="32">
        <v>41864</v>
      </c>
      <c r="B672" t="s">
        <v>0</v>
      </c>
      <c r="C672">
        <v>1180</v>
      </c>
      <c r="D672" t="str">
        <f>VLOOKUP(B672,BaseTable,2,FALSE)</f>
        <v>Unter</v>
      </c>
      <c r="E672">
        <f>YEAR(A672)</f>
        <v>2014</v>
      </c>
    </row>
    <row r="673" spans="1:5">
      <c r="A673" s="32">
        <v>41864</v>
      </c>
      <c r="B673" t="s">
        <v>1</v>
      </c>
      <c r="C673">
        <v>8103</v>
      </c>
      <c r="D673" t="str">
        <f>VLOOKUP(B673,BaseTable,2,FALSE)</f>
        <v>Hinter</v>
      </c>
      <c r="E673">
        <f>YEAR(A673)</f>
        <v>2014</v>
      </c>
    </row>
    <row r="674" spans="1:5">
      <c r="A674" s="32">
        <v>41864</v>
      </c>
      <c r="B674" t="s">
        <v>2</v>
      </c>
      <c r="C674">
        <v>12945</v>
      </c>
      <c r="D674" t="str">
        <f>VLOOKUP(B674,BaseTable,2,FALSE)</f>
        <v>Weiter</v>
      </c>
      <c r="E674">
        <f>YEAR(A674)</f>
        <v>2014</v>
      </c>
    </row>
    <row r="675" spans="1:5">
      <c r="A675" s="32">
        <v>41864</v>
      </c>
      <c r="B675" t="s">
        <v>3</v>
      </c>
      <c r="C675">
        <v>6341</v>
      </c>
      <c r="D675" t="str">
        <f>VLOOKUP(B675,BaseTable,2,FALSE)</f>
        <v>Schmecken</v>
      </c>
      <c r="E675">
        <f>YEAR(A675)</f>
        <v>2014</v>
      </c>
    </row>
    <row r="676" spans="1:5">
      <c r="A676" s="32">
        <v>41864</v>
      </c>
      <c r="B676" t="s">
        <v>4</v>
      </c>
      <c r="C676">
        <v>1219</v>
      </c>
      <c r="D676" t="str">
        <f>VLOOKUP(B676,BaseTable,2,FALSE)</f>
        <v>Danach-NY</v>
      </c>
      <c r="E676">
        <f>YEAR(A676)</f>
        <v>2014</v>
      </c>
    </row>
    <row r="677" spans="1:5">
      <c r="A677" s="32">
        <v>41865</v>
      </c>
      <c r="B677" t="s">
        <v>0</v>
      </c>
      <c r="C677">
        <v>1147</v>
      </c>
      <c r="D677" t="str">
        <f>VLOOKUP(B677,BaseTable,2,FALSE)</f>
        <v>Unter</v>
      </c>
      <c r="E677">
        <f>YEAR(A677)</f>
        <v>2014</v>
      </c>
    </row>
    <row r="678" spans="1:5">
      <c r="A678" s="32">
        <v>41865</v>
      </c>
      <c r="B678" t="s">
        <v>1</v>
      </c>
      <c r="C678">
        <v>8433</v>
      </c>
      <c r="D678" t="str">
        <f>VLOOKUP(B678,BaseTable,2,FALSE)</f>
        <v>Hinter</v>
      </c>
      <c r="E678">
        <f>YEAR(A678)</f>
        <v>2014</v>
      </c>
    </row>
    <row r="679" spans="1:5">
      <c r="A679" s="32">
        <v>41865</v>
      </c>
      <c r="B679" t="s">
        <v>2</v>
      </c>
      <c r="C679">
        <v>13232</v>
      </c>
      <c r="D679" t="str">
        <f>VLOOKUP(B679,BaseTable,2,FALSE)</f>
        <v>Weiter</v>
      </c>
      <c r="E679">
        <f>YEAR(A679)</f>
        <v>2014</v>
      </c>
    </row>
    <row r="680" spans="1:5">
      <c r="A680" s="32">
        <v>41865</v>
      </c>
      <c r="B680" t="s">
        <v>3</v>
      </c>
      <c r="C680">
        <v>6250</v>
      </c>
      <c r="D680" t="str">
        <f>VLOOKUP(B680,BaseTable,2,FALSE)</f>
        <v>Schmecken</v>
      </c>
      <c r="E680">
        <f>YEAR(A680)</f>
        <v>2014</v>
      </c>
    </row>
    <row r="681" spans="1:5">
      <c r="A681" s="32">
        <v>41865</v>
      </c>
      <c r="B681" t="s">
        <v>4</v>
      </c>
      <c r="C681">
        <v>1395</v>
      </c>
      <c r="D681" t="str">
        <f>VLOOKUP(B681,BaseTable,2,FALSE)</f>
        <v>Danach-NY</v>
      </c>
      <c r="E681">
        <f>YEAR(A681)</f>
        <v>2014</v>
      </c>
    </row>
    <row r="682" spans="1:5">
      <c r="A682" s="32">
        <v>41866</v>
      </c>
      <c r="B682" t="s">
        <v>0</v>
      </c>
      <c r="C682">
        <v>1051</v>
      </c>
      <c r="D682" t="str">
        <f>VLOOKUP(B682,BaseTable,2,FALSE)</f>
        <v>Unter</v>
      </c>
      <c r="E682">
        <f>YEAR(A682)</f>
        <v>2014</v>
      </c>
    </row>
    <row r="683" spans="1:5">
      <c r="A683" s="32">
        <v>41866</v>
      </c>
      <c r="B683" t="s">
        <v>1</v>
      </c>
      <c r="C683">
        <v>7901</v>
      </c>
      <c r="D683" t="str">
        <f>VLOOKUP(B683,BaseTable,2,FALSE)</f>
        <v>Hinter</v>
      </c>
      <c r="E683">
        <f>YEAR(A683)</f>
        <v>2014</v>
      </c>
    </row>
    <row r="684" spans="1:5">
      <c r="A684" s="32">
        <v>41866</v>
      </c>
      <c r="B684" t="s">
        <v>2</v>
      </c>
      <c r="C684">
        <v>12469</v>
      </c>
      <c r="D684" t="str">
        <f>VLOOKUP(B684,BaseTable,2,FALSE)</f>
        <v>Weiter</v>
      </c>
      <c r="E684">
        <f>YEAR(A684)</f>
        <v>2014</v>
      </c>
    </row>
    <row r="685" spans="1:5">
      <c r="A685" s="32">
        <v>41866</v>
      </c>
      <c r="B685" t="s">
        <v>3</v>
      </c>
      <c r="C685">
        <v>5966</v>
      </c>
      <c r="D685" t="str">
        <f>VLOOKUP(B685,BaseTable,2,FALSE)</f>
        <v>Schmecken</v>
      </c>
      <c r="E685">
        <f>YEAR(A685)</f>
        <v>2014</v>
      </c>
    </row>
    <row r="686" spans="1:5">
      <c r="A686" s="32">
        <v>41866</v>
      </c>
      <c r="B686" t="s">
        <v>4</v>
      </c>
      <c r="C686">
        <v>1587</v>
      </c>
      <c r="D686" t="str">
        <f>VLOOKUP(B686,BaseTable,2,FALSE)</f>
        <v>Danach-NY</v>
      </c>
      <c r="E686">
        <f>YEAR(A686)</f>
        <v>2014</v>
      </c>
    </row>
    <row r="687" spans="1:5">
      <c r="A687" s="32">
        <v>41867</v>
      </c>
      <c r="B687" t="s">
        <v>0</v>
      </c>
      <c r="C687">
        <v>861</v>
      </c>
      <c r="D687" t="str">
        <f>VLOOKUP(B687,BaseTable,2,FALSE)</f>
        <v>Unter</v>
      </c>
      <c r="E687">
        <f>YEAR(A687)</f>
        <v>2014</v>
      </c>
    </row>
    <row r="688" spans="1:5">
      <c r="A688" s="32">
        <v>41867</v>
      </c>
      <c r="B688" t="s">
        <v>1</v>
      </c>
      <c r="C688">
        <v>6948</v>
      </c>
      <c r="D688" t="str">
        <f>VLOOKUP(B688,BaseTable,2,FALSE)</f>
        <v>Hinter</v>
      </c>
      <c r="E688">
        <f>YEAR(A688)</f>
        <v>2014</v>
      </c>
    </row>
    <row r="689" spans="1:5">
      <c r="A689" s="32">
        <v>41867</v>
      </c>
      <c r="B689" t="s">
        <v>2</v>
      </c>
      <c r="C689">
        <v>11514</v>
      </c>
      <c r="D689" t="str">
        <f>VLOOKUP(B689,BaseTable,2,FALSE)</f>
        <v>Weiter</v>
      </c>
      <c r="E689">
        <f>YEAR(A689)</f>
        <v>2014</v>
      </c>
    </row>
    <row r="690" spans="1:5">
      <c r="A690" s="32">
        <v>41867</v>
      </c>
      <c r="B690" t="s">
        <v>3</v>
      </c>
      <c r="C690">
        <v>5343</v>
      </c>
      <c r="D690" t="str">
        <f>VLOOKUP(B690,BaseTable,2,FALSE)</f>
        <v>Schmecken</v>
      </c>
      <c r="E690">
        <f>YEAR(A690)</f>
        <v>2014</v>
      </c>
    </row>
    <row r="691" spans="1:5">
      <c r="A691" s="32">
        <v>41867</v>
      </c>
      <c r="B691" t="s">
        <v>4</v>
      </c>
      <c r="C691">
        <v>1568</v>
      </c>
      <c r="D691" t="str">
        <f>VLOOKUP(B691,BaseTable,2,FALSE)</f>
        <v>Danach-NY</v>
      </c>
      <c r="E691">
        <f>YEAR(A691)</f>
        <v>2014</v>
      </c>
    </row>
    <row r="692" spans="1:5">
      <c r="A692" s="32">
        <v>41868</v>
      </c>
      <c r="B692" t="s">
        <v>0</v>
      </c>
      <c r="C692">
        <v>823</v>
      </c>
      <c r="D692" t="str">
        <f>VLOOKUP(B692,BaseTable,2,FALSE)</f>
        <v>Unter</v>
      </c>
      <c r="E692">
        <f>YEAR(A692)</f>
        <v>2014</v>
      </c>
    </row>
    <row r="693" spans="1:5">
      <c r="A693" s="32">
        <v>41868</v>
      </c>
      <c r="B693" t="s">
        <v>1</v>
      </c>
      <c r="C693">
        <v>5318</v>
      </c>
      <c r="D693" t="str">
        <f>VLOOKUP(B693,BaseTable,2,FALSE)</f>
        <v>Hinter</v>
      </c>
      <c r="E693">
        <f>YEAR(A693)</f>
        <v>2014</v>
      </c>
    </row>
    <row r="694" spans="1:5">
      <c r="A694" s="32">
        <v>41868</v>
      </c>
      <c r="B694" t="s">
        <v>2</v>
      </c>
      <c r="C694">
        <v>9434</v>
      </c>
      <c r="D694" t="str">
        <f>VLOOKUP(B694,BaseTable,2,FALSE)</f>
        <v>Weiter</v>
      </c>
      <c r="E694">
        <f>YEAR(A694)</f>
        <v>2014</v>
      </c>
    </row>
    <row r="695" spans="1:5">
      <c r="A695" s="32">
        <v>41868</v>
      </c>
      <c r="B695" t="s">
        <v>3</v>
      </c>
      <c r="C695">
        <v>4425</v>
      </c>
      <c r="D695" t="str">
        <f>VLOOKUP(B695,BaseTable,2,FALSE)</f>
        <v>Schmecken</v>
      </c>
      <c r="E695">
        <f>YEAR(A695)</f>
        <v>2014</v>
      </c>
    </row>
    <row r="696" spans="1:5">
      <c r="A696" s="32">
        <v>41868</v>
      </c>
      <c r="B696" t="s">
        <v>4</v>
      </c>
      <c r="C696">
        <v>1209</v>
      </c>
      <c r="D696" t="str">
        <f>VLOOKUP(B696,BaseTable,2,FALSE)</f>
        <v>Danach-NY</v>
      </c>
      <c r="E696">
        <f>YEAR(A696)</f>
        <v>2014</v>
      </c>
    </row>
    <row r="697" spans="1:5">
      <c r="A697" s="32">
        <v>41869</v>
      </c>
      <c r="B697" t="s">
        <v>0</v>
      </c>
      <c r="C697">
        <v>898</v>
      </c>
      <c r="D697" t="str">
        <f>VLOOKUP(B697,BaseTable,2,FALSE)</f>
        <v>Unter</v>
      </c>
      <c r="E697">
        <f>YEAR(A697)</f>
        <v>2014</v>
      </c>
    </row>
    <row r="698" spans="1:5">
      <c r="A698" s="32">
        <v>41869</v>
      </c>
      <c r="B698" t="s">
        <v>1</v>
      </c>
      <c r="C698">
        <v>5477</v>
      </c>
      <c r="D698" t="str">
        <f>VLOOKUP(B698,BaseTable,2,FALSE)</f>
        <v>Hinter</v>
      </c>
      <c r="E698">
        <f>YEAR(A698)</f>
        <v>2014</v>
      </c>
    </row>
    <row r="699" spans="1:5">
      <c r="A699" s="32">
        <v>41869</v>
      </c>
      <c r="B699" t="s">
        <v>2</v>
      </c>
      <c r="C699">
        <v>9629</v>
      </c>
      <c r="D699" t="str">
        <f>VLOOKUP(B699,BaseTable,2,FALSE)</f>
        <v>Weiter</v>
      </c>
      <c r="E699">
        <f>YEAR(A699)</f>
        <v>2014</v>
      </c>
    </row>
    <row r="700" spans="1:5">
      <c r="A700" s="32">
        <v>41869</v>
      </c>
      <c r="B700" t="s">
        <v>3</v>
      </c>
      <c r="C700">
        <v>4491</v>
      </c>
      <c r="D700" t="str">
        <f>VLOOKUP(B700,BaseTable,2,FALSE)</f>
        <v>Schmecken</v>
      </c>
      <c r="E700">
        <f>YEAR(A700)</f>
        <v>2014</v>
      </c>
    </row>
    <row r="701" spans="1:5">
      <c r="A701" s="32">
        <v>41869</v>
      </c>
      <c r="B701" t="s">
        <v>4</v>
      </c>
      <c r="C701">
        <v>1461</v>
      </c>
      <c r="D701" t="str">
        <f>VLOOKUP(B701,BaseTable,2,FALSE)</f>
        <v>Danach-NY</v>
      </c>
      <c r="E701">
        <f>YEAR(A701)</f>
        <v>2014</v>
      </c>
    </row>
    <row r="702" spans="1:5">
      <c r="A702" s="32">
        <v>41870</v>
      </c>
      <c r="B702" t="s">
        <v>0</v>
      </c>
      <c r="C702">
        <v>1024</v>
      </c>
      <c r="D702" t="str">
        <f>VLOOKUP(B702,BaseTable,2,FALSE)</f>
        <v>Unter</v>
      </c>
      <c r="E702">
        <f>YEAR(A702)</f>
        <v>2014</v>
      </c>
    </row>
    <row r="703" spans="1:5">
      <c r="A703" s="32">
        <v>41870</v>
      </c>
      <c r="B703" t="s">
        <v>1</v>
      </c>
      <c r="C703">
        <v>6664</v>
      </c>
      <c r="D703" t="str">
        <f>VLOOKUP(B703,BaseTable,2,FALSE)</f>
        <v>Hinter</v>
      </c>
      <c r="E703">
        <f>YEAR(A703)</f>
        <v>2014</v>
      </c>
    </row>
    <row r="704" spans="1:5">
      <c r="A704" s="32">
        <v>41870</v>
      </c>
      <c r="B704" t="s">
        <v>2</v>
      </c>
      <c r="C704">
        <v>10544</v>
      </c>
      <c r="D704" t="str">
        <f>VLOOKUP(B704,BaseTable,2,FALSE)</f>
        <v>Weiter</v>
      </c>
      <c r="E704">
        <f>YEAR(A704)</f>
        <v>2014</v>
      </c>
    </row>
    <row r="705" spans="1:5">
      <c r="A705" s="32">
        <v>41870</v>
      </c>
      <c r="B705" t="s">
        <v>3</v>
      </c>
      <c r="C705">
        <v>4831</v>
      </c>
      <c r="D705" t="str">
        <f>VLOOKUP(B705,BaseTable,2,FALSE)</f>
        <v>Schmecken</v>
      </c>
      <c r="E705">
        <f>YEAR(A705)</f>
        <v>2014</v>
      </c>
    </row>
    <row r="706" spans="1:5">
      <c r="A706" s="32">
        <v>41870</v>
      </c>
      <c r="B706" t="s">
        <v>4</v>
      </c>
      <c r="C706">
        <v>1771</v>
      </c>
      <c r="D706" t="str">
        <f>VLOOKUP(B706,BaseTable,2,FALSE)</f>
        <v>Danach-NY</v>
      </c>
      <c r="E706">
        <f>YEAR(A706)</f>
        <v>2014</v>
      </c>
    </row>
    <row r="707" spans="1:5">
      <c r="A707" s="32">
        <v>41871</v>
      </c>
      <c r="B707" t="s">
        <v>0</v>
      </c>
      <c r="C707">
        <v>1092</v>
      </c>
      <c r="D707" t="str">
        <f>VLOOKUP(B707,BaseTable,2,FALSE)</f>
        <v>Unter</v>
      </c>
      <c r="E707">
        <f>YEAR(A707)</f>
        <v>2014</v>
      </c>
    </row>
    <row r="708" spans="1:5">
      <c r="A708" s="32">
        <v>41871</v>
      </c>
      <c r="B708" t="s">
        <v>1</v>
      </c>
      <c r="C708">
        <v>7310</v>
      </c>
      <c r="D708" t="str">
        <f>VLOOKUP(B708,BaseTable,2,FALSE)</f>
        <v>Hinter</v>
      </c>
      <c r="E708">
        <f>YEAR(A708)</f>
        <v>2014</v>
      </c>
    </row>
    <row r="709" spans="1:5">
      <c r="A709" s="32">
        <v>41871</v>
      </c>
      <c r="B709" t="s">
        <v>2</v>
      </c>
      <c r="C709">
        <v>11940</v>
      </c>
      <c r="D709" t="str">
        <f>VLOOKUP(B709,BaseTable,2,FALSE)</f>
        <v>Weiter</v>
      </c>
      <c r="E709">
        <f>YEAR(A709)</f>
        <v>2014</v>
      </c>
    </row>
    <row r="710" spans="1:5">
      <c r="A710" s="32">
        <v>41871</v>
      </c>
      <c r="B710" t="s">
        <v>3</v>
      </c>
      <c r="C710">
        <v>5627</v>
      </c>
      <c r="D710" t="str">
        <f>VLOOKUP(B710,BaseTable,2,FALSE)</f>
        <v>Schmecken</v>
      </c>
      <c r="E710">
        <f>YEAR(A710)</f>
        <v>2014</v>
      </c>
    </row>
    <row r="711" spans="1:5">
      <c r="A711" s="32">
        <v>41871</v>
      </c>
      <c r="B711" t="s">
        <v>4</v>
      </c>
      <c r="C711">
        <v>1986</v>
      </c>
      <c r="D711" t="str">
        <f>VLOOKUP(B711,BaseTable,2,FALSE)</f>
        <v>Danach-NY</v>
      </c>
      <c r="E711">
        <f>YEAR(A711)</f>
        <v>2014</v>
      </c>
    </row>
    <row r="712" spans="1:5">
      <c r="A712" s="32">
        <v>41872</v>
      </c>
      <c r="B712" t="s">
        <v>0</v>
      </c>
      <c r="C712">
        <v>1203</v>
      </c>
      <c r="D712" t="str">
        <f>VLOOKUP(B712,BaseTable,2,FALSE)</f>
        <v>Unter</v>
      </c>
      <c r="E712">
        <f>YEAR(A712)</f>
        <v>2014</v>
      </c>
    </row>
    <row r="713" spans="1:5">
      <c r="A713" s="32">
        <v>41872</v>
      </c>
      <c r="B713" t="s">
        <v>1</v>
      </c>
      <c r="C713">
        <v>8523</v>
      </c>
      <c r="D713" t="str">
        <f>VLOOKUP(B713,BaseTable,2,FALSE)</f>
        <v>Hinter</v>
      </c>
      <c r="E713">
        <f>YEAR(A713)</f>
        <v>2014</v>
      </c>
    </row>
    <row r="714" spans="1:5">
      <c r="A714" s="32">
        <v>41872</v>
      </c>
      <c r="B714" t="s">
        <v>2</v>
      </c>
      <c r="C714">
        <v>13646</v>
      </c>
      <c r="D714" t="str">
        <f>VLOOKUP(B714,BaseTable,2,FALSE)</f>
        <v>Weiter</v>
      </c>
      <c r="E714">
        <f>YEAR(A714)</f>
        <v>2014</v>
      </c>
    </row>
    <row r="715" spans="1:5">
      <c r="A715" s="32">
        <v>41872</v>
      </c>
      <c r="B715" t="s">
        <v>3</v>
      </c>
      <c r="C715">
        <v>6639</v>
      </c>
      <c r="D715" t="str">
        <f>VLOOKUP(B715,BaseTable,2,FALSE)</f>
        <v>Schmecken</v>
      </c>
      <c r="E715">
        <f>YEAR(A715)</f>
        <v>2014</v>
      </c>
    </row>
    <row r="716" spans="1:5">
      <c r="A716" s="32">
        <v>41872</v>
      </c>
      <c r="B716" t="s">
        <v>4</v>
      </c>
      <c r="C716">
        <v>2293</v>
      </c>
      <c r="D716" t="str">
        <f>VLOOKUP(B716,BaseTable,2,FALSE)</f>
        <v>Danach-NY</v>
      </c>
      <c r="E716">
        <f>YEAR(A716)</f>
        <v>2014</v>
      </c>
    </row>
    <row r="717" spans="1:5">
      <c r="A717" s="32">
        <v>41873</v>
      </c>
      <c r="B717" t="s">
        <v>0</v>
      </c>
      <c r="C717">
        <v>1032</v>
      </c>
      <c r="D717" t="str">
        <f>VLOOKUP(B717,BaseTable,2,FALSE)</f>
        <v>Unter</v>
      </c>
      <c r="E717">
        <f>YEAR(A717)</f>
        <v>2014</v>
      </c>
    </row>
    <row r="718" spans="1:5">
      <c r="A718" s="32">
        <v>41873</v>
      </c>
      <c r="B718" t="s">
        <v>1</v>
      </c>
      <c r="C718">
        <v>7688</v>
      </c>
      <c r="D718" t="str">
        <f>VLOOKUP(B718,BaseTable,2,FALSE)</f>
        <v>Hinter</v>
      </c>
      <c r="E718">
        <f>YEAR(A718)</f>
        <v>2014</v>
      </c>
    </row>
    <row r="719" spans="1:5">
      <c r="A719" s="32">
        <v>41873</v>
      </c>
      <c r="B719" t="s">
        <v>2</v>
      </c>
      <c r="C719">
        <v>12361</v>
      </c>
      <c r="D719" t="str">
        <f>VLOOKUP(B719,BaseTable,2,FALSE)</f>
        <v>Weiter</v>
      </c>
      <c r="E719">
        <f>YEAR(A719)</f>
        <v>2014</v>
      </c>
    </row>
    <row r="720" spans="1:5">
      <c r="A720" s="32">
        <v>41873</v>
      </c>
      <c r="B720" t="s">
        <v>3</v>
      </c>
      <c r="C720">
        <v>5965</v>
      </c>
      <c r="D720" t="str">
        <f>VLOOKUP(B720,BaseTable,2,FALSE)</f>
        <v>Schmecken</v>
      </c>
      <c r="E720">
        <f>YEAR(A720)</f>
        <v>2014</v>
      </c>
    </row>
    <row r="721" spans="1:5">
      <c r="A721" s="32">
        <v>41873</v>
      </c>
      <c r="B721" t="s">
        <v>4</v>
      </c>
      <c r="C721">
        <v>2466</v>
      </c>
      <c r="D721" t="str">
        <f>VLOOKUP(B721,BaseTable,2,FALSE)</f>
        <v>Danach-NY</v>
      </c>
      <c r="E721">
        <f>YEAR(A721)</f>
        <v>2014</v>
      </c>
    </row>
    <row r="722" spans="1:5">
      <c r="A722" s="32">
        <v>41874</v>
      </c>
      <c r="B722" t="s">
        <v>0</v>
      </c>
      <c r="C722">
        <v>879</v>
      </c>
      <c r="D722" t="str">
        <f>VLOOKUP(B722,BaseTable,2,FALSE)</f>
        <v>Unter</v>
      </c>
      <c r="E722">
        <f>YEAR(A722)</f>
        <v>2014</v>
      </c>
    </row>
    <row r="723" spans="1:5">
      <c r="A723" s="32">
        <v>41874</v>
      </c>
      <c r="B723" t="s">
        <v>1</v>
      </c>
      <c r="C723">
        <v>6852</v>
      </c>
      <c r="D723" t="str">
        <f>VLOOKUP(B723,BaseTable,2,FALSE)</f>
        <v>Hinter</v>
      </c>
      <c r="E723">
        <f>YEAR(A723)</f>
        <v>2014</v>
      </c>
    </row>
    <row r="724" spans="1:5">
      <c r="A724" s="32">
        <v>41874</v>
      </c>
      <c r="B724" t="s">
        <v>2</v>
      </c>
      <c r="C724">
        <v>11355</v>
      </c>
      <c r="D724" t="str">
        <f>VLOOKUP(B724,BaseTable,2,FALSE)</f>
        <v>Weiter</v>
      </c>
      <c r="E724">
        <f>YEAR(A724)</f>
        <v>2014</v>
      </c>
    </row>
    <row r="725" spans="1:5">
      <c r="A725" s="32">
        <v>41874</v>
      </c>
      <c r="B725" t="s">
        <v>3</v>
      </c>
      <c r="C725">
        <v>5449</v>
      </c>
      <c r="D725" t="str">
        <f>VLOOKUP(B725,BaseTable,2,FALSE)</f>
        <v>Schmecken</v>
      </c>
      <c r="E725">
        <f>YEAR(A725)</f>
        <v>2014</v>
      </c>
    </row>
    <row r="726" spans="1:5">
      <c r="A726" s="32">
        <v>41874</v>
      </c>
      <c r="B726" t="s">
        <v>4</v>
      </c>
      <c r="C726">
        <v>2562</v>
      </c>
      <c r="D726" t="str">
        <f>VLOOKUP(B726,BaseTable,2,FALSE)</f>
        <v>Danach-NY</v>
      </c>
      <c r="E726">
        <f>YEAR(A726)</f>
        <v>2014</v>
      </c>
    </row>
    <row r="727" spans="1:5">
      <c r="A727" s="32">
        <v>41875</v>
      </c>
      <c r="B727" t="s">
        <v>0</v>
      </c>
      <c r="C727">
        <v>769</v>
      </c>
      <c r="D727" t="str">
        <f>VLOOKUP(B727,BaseTable,2,FALSE)</f>
        <v>Unter</v>
      </c>
      <c r="E727">
        <f>YEAR(A727)</f>
        <v>2014</v>
      </c>
    </row>
    <row r="728" spans="1:5">
      <c r="A728" s="32">
        <v>41875</v>
      </c>
      <c r="B728" t="s">
        <v>1</v>
      </c>
      <c r="C728">
        <v>5631</v>
      </c>
      <c r="D728" t="str">
        <f>VLOOKUP(B728,BaseTable,2,FALSE)</f>
        <v>Hinter</v>
      </c>
      <c r="E728">
        <f>YEAR(A728)</f>
        <v>2014</v>
      </c>
    </row>
    <row r="729" spans="1:5">
      <c r="A729" s="32">
        <v>41875</v>
      </c>
      <c r="B729" t="s">
        <v>2</v>
      </c>
      <c r="C729">
        <v>9475</v>
      </c>
      <c r="D729" t="str">
        <f>VLOOKUP(B729,BaseTable,2,FALSE)</f>
        <v>Weiter</v>
      </c>
      <c r="E729">
        <f>YEAR(A729)</f>
        <v>2014</v>
      </c>
    </row>
    <row r="730" spans="1:5">
      <c r="A730" s="32">
        <v>41875</v>
      </c>
      <c r="B730" t="s">
        <v>3</v>
      </c>
      <c r="C730">
        <v>4329</v>
      </c>
      <c r="D730" t="str">
        <f>VLOOKUP(B730,BaseTable,2,FALSE)</f>
        <v>Schmecken</v>
      </c>
      <c r="E730">
        <f>YEAR(A730)</f>
        <v>2014</v>
      </c>
    </row>
    <row r="731" spans="1:5">
      <c r="A731" s="32">
        <v>41875</v>
      </c>
      <c r="B731" t="s">
        <v>4</v>
      </c>
      <c r="C731">
        <v>1832</v>
      </c>
      <c r="D731" t="str">
        <f>VLOOKUP(B731,BaseTable,2,FALSE)</f>
        <v>Danach-NY</v>
      </c>
      <c r="E731">
        <f>YEAR(A731)</f>
        <v>2014</v>
      </c>
    </row>
    <row r="732" spans="1:5">
      <c r="A732" s="32">
        <v>41876</v>
      </c>
      <c r="B732" t="s">
        <v>0</v>
      </c>
      <c r="C732">
        <v>777</v>
      </c>
      <c r="D732" t="str">
        <f>VLOOKUP(B732,BaseTable,2,FALSE)</f>
        <v>Unter</v>
      </c>
      <c r="E732">
        <f>YEAR(A732)</f>
        <v>2014</v>
      </c>
    </row>
    <row r="733" spans="1:5">
      <c r="A733" s="32">
        <v>41876</v>
      </c>
      <c r="B733" t="s">
        <v>1</v>
      </c>
      <c r="C733">
        <v>5521</v>
      </c>
      <c r="D733" t="str">
        <f>VLOOKUP(B733,BaseTable,2,FALSE)</f>
        <v>Hinter</v>
      </c>
      <c r="E733">
        <f>YEAR(A733)</f>
        <v>2014</v>
      </c>
    </row>
    <row r="734" spans="1:5">
      <c r="A734" s="32">
        <v>41876</v>
      </c>
      <c r="B734" t="s">
        <v>2</v>
      </c>
      <c r="C734">
        <v>9266</v>
      </c>
      <c r="D734" t="str">
        <f>VLOOKUP(B734,BaseTable,2,FALSE)</f>
        <v>Weiter</v>
      </c>
      <c r="E734">
        <f>YEAR(A734)</f>
        <v>2014</v>
      </c>
    </row>
    <row r="735" spans="1:5">
      <c r="A735" s="32">
        <v>41876</v>
      </c>
      <c r="B735" t="s">
        <v>3</v>
      </c>
      <c r="C735">
        <v>4445</v>
      </c>
      <c r="D735" t="str">
        <f>VLOOKUP(B735,BaseTable,2,FALSE)</f>
        <v>Schmecken</v>
      </c>
      <c r="E735">
        <f>YEAR(A735)</f>
        <v>2014</v>
      </c>
    </row>
    <row r="736" spans="1:5">
      <c r="A736" s="32">
        <v>41876</v>
      </c>
      <c r="B736" t="s">
        <v>4</v>
      </c>
      <c r="C736">
        <v>2084</v>
      </c>
      <c r="D736" t="str">
        <f>VLOOKUP(B736,BaseTable,2,FALSE)</f>
        <v>Danach-NY</v>
      </c>
      <c r="E736">
        <f>YEAR(A736)</f>
        <v>2014</v>
      </c>
    </row>
    <row r="737" spans="1:5">
      <c r="A737" s="32">
        <v>41877</v>
      </c>
      <c r="B737" t="s">
        <v>0</v>
      </c>
      <c r="C737">
        <v>943</v>
      </c>
      <c r="D737" t="str">
        <f>VLOOKUP(B737,BaseTable,2,FALSE)</f>
        <v>Unter</v>
      </c>
      <c r="E737">
        <f>YEAR(A737)</f>
        <v>2014</v>
      </c>
    </row>
    <row r="738" spans="1:5">
      <c r="A738" s="32">
        <v>41877</v>
      </c>
      <c r="B738" t="s">
        <v>1</v>
      </c>
      <c r="C738">
        <v>6015</v>
      </c>
      <c r="D738" t="str">
        <f>VLOOKUP(B738,BaseTable,2,FALSE)</f>
        <v>Hinter</v>
      </c>
      <c r="E738">
        <f>YEAR(A738)</f>
        <v>2014</v>
      </c>
    </row>
    <row r="739" spans="1:5">
      <c r="A739" s="32">
        <v>41877</v>
      </c>
      <c r="B739" t="s">
        <v>2</v>
      </c>
      <c r="C739">
        <v>9952</v>
      </c>
      <c r="D739" t="str">
        <f>VLOOKUP(B739,BaseTable,2,FALSE)</f>
        <v>Weiter</v>
      </c>
      <c r="E739">
        <f>YEAR(A739)</f>
        <v>2014</v>
      </c>
    </row>
    <row r="740" spans="1:5">
      <c r="A740" s="32">
        <v>41877</v>
      </c>
      <c r="B740" t="s">
        <v>3</v>
      </c>
      <c r="C740">
        <v>5198</v>
      </c>
      <c r="D740" t="str">
        <f>VLOOKUP(B740,BaseTable,2,FALSE)</f>
        <v>Schmecken</v>
      </c>
      <c r="E740">
        <f>YEAR(A740)</f>
        <v>2014</v>
      </c>
    </row>
    <row r="741" spans="1:5">
      <c r="A741" s="32">
        <v>41877</v>
      </c>
      <c r="B741" t="s">
        <v>4</v>
      </c>
      <c r="C741">
        <v>2442</v>
      </c>
      <c r="D741" t="str">
        <f>VLOOKUP(B741,BaseTable,2,FALSE)</f>
        <v>Danach-NY</v>
      </c>
      <c r="E741">
        <f>YEAR(A741)</f>
        <v>2014</v>
      </c>
    </row>
    <row r="742" spans="1:5">
      <c r="A742" s="32">
        <v>41878</v>
      </c>
      <c r="B742" t="s">
        <v>0</v>
      </c>
      <c r="C742">
        <v>930</v>
      </c>
      <c r="D742" t="str">
        <f>VLOOKUP(B742,BaseTable,2,FALSE)</f>
        <v>Unter</v>
      </c>
      <c r="E742">
        <f>YEAR(A742)</f>
        <v>2014</v>
      </c>
    </row>
    <row r="743" spans="1:5">
      <c r="A743" s="32">
        <v>41878</v>
      </c>
      <c r="B743" t="s">
        <v>1</v>
      </c>
      <c r="C743">
        <v>6828</v>
      </c>
      <c r="D743" t="str">
        <f>VLOOKUP(B743,BaseTable,2,FALSE)</f>
        <v>Hinter</v>
      </c>
      <c r="E743">
        <f>YEAR(A743)</f>
        <v>2014</v>
      </c>
    </row>
    <row r="744" spans="1:5">
      <c r="A744" s="32">
        <v>41878</v>
      </c>
      <c r="B744" t="s">
        <v>2</v>
      </c>
      <c r="C744">
        <v>11047</v>
      </c>
      <c r="D744" t="str">
        <f>VLOOKUP(B744,BaseTable,2,FALSE)</f>
        <v>Weiter</v>
      </c>
      <c r="E744">
        <f>YEAR(A744)</f>
        <v>2014</v>
      </c>
    </row>
    <row r="745" spans="1:5">
      <c r="A745" s="32">
        <v>41878</v>
      </c>
      <c r="B745" t="s">
        <v>3</v>
      </c>
      <c r="C745">
        <v>5553</v>
      </c>
      <c r="D745" t="str">
        <f>VLOOKUP(B745,BaseTable,2,FALSE)</f>
        <v>Schmecken</v>
      </c>
      <c r="E745">
        <f>YEAR(A745)</f>
        <v>2014</v>
      </c>
    </row>
    <row r="746" spans="1:5">
      <c r="A746" s="32">
        <v>41878</v>
      </c>
      <c r="B746" t="s">
        <v>4</v>
      </c>
      <c r="C746">
        <v>2660</v>
      </c>
      <c r="D746" t="str">
        <f>VLOOKUP(B746,BaseTable,2,FALSE)</f>
        <v>Danach-NY</v>
      </c>
      <c r="E746">
        <f>YEAR(A746)</f>
        <v>2014</v>
      </c>
    </row>
    <row r="747" spans="1:5">
      <c r="A747" s="32">
        <v>41879</v>
      </c>
      <c r="B747" t="s">
        <v>0</v>
      </c>
      <c r="C747">
        <v>959</v>
      </c>
      <c r="D747" t="str">
        <f>VLOOKUP(B747,BaseTable,2,FALSE)</f>
        <v>Unter</v>
      </c>
      <c r="E747">
        <f>YEAR(A747)</f>
        <v>2014</v>
      </c>
    </row>
    <row r="748" spans="1:5">
      <c r="A748" s="32">
        <v>41879</v>
      </c>
      <c r="B748" t="s">
        <v>1</v>
      </c>
      <c r="C748">
        <v>7126</v>
      </c>
      <c r="D748" t="str">
        <f>VLOOKUP(B748,BaseTable,2,FALSE)</f>
        <v>Hinter</v>
      </c>
      <c r="E748">
        <f>YEAR(A748)</f>
        <v>2014</v>
      </c>
    </row>
    <row r="749" spans="1:5">
      <c r="A749" s="32">
        <v>41879</v>
      </c>
      <c r="B749" t="s">
        <v>2</v>
      </c>
      <c r="C749">
        <v>11663</v>
      </c>
      <c r="D749" t="str">
        <f>VLOOKUP(B749,BaseTable,2,FALSE)</f>
        <v>Weiter</v>
      </c>
      <c r="E749">
        <f>YEAR(A749)</f>
        <v>2014</v>
      </c>
    </row>
    <row r="750" spans="1:5">
      <c r="A750" s="32">
        <v>41879</v>
      </c>
      <c r="B750" t="s">
        <v>3</v>
      </c>
      <c r="C750">
        <v>5654</v>
      </c>
      <c r="D750" t="str">
        <f>VLOOKUP(B750,BaseTable,2,FALSE)</f>
        <v>Schmecken</v>
      </c>
      <c r="E750">
        <f>YEAR(A750)</f>
        <v>2014</v>
      </c>
    </row>
    <row r="751" spans="1:5">
      <c r="A751" s="32">
        <v>41879</v>
      </c>
      <c r="B751" t="s">
        <v>4</v>
      </c>
      <c r="C751">
        <v>3195</v>
      </c>
      <c r="D751" t="str">
        <f>VLOOKUP(B751,BaseTable,2,FALSE)</f>
        <v>Danach-NY</v>
      </c>
      <c r="E751">
        <f>YEAR(A751)</f>
        <v>2014</v>
      </c>
    </row>
    <row r="752" spans="1:5">
      <c r="A752" s="32">
        <v>41880</v>
      </c>
      <c r="B752" t="s">
        <v>0</v>
      </c>
      <c r="C752">
        <v>936</v>
      </c>
      <c r="D752" t="str">
        <f>VLOOKUP(B752,BaseTable,2,FALSE)</f>
        <v>Unter</v>
      </c>
      <c r="E752">
        <f>YEAR(A752)</f>
        <v>2014</v>
      </c>
    </row>
    <row r="753" spans="1:5">
      <c r="A753" s="32">
        <v>41880</v>
      </c>
      <c r="B753" t="s">
        <v>1</v>
      </c>
      <c r="C753">
        <v>6819</v>
      </c>
      <c r="D753" t="str">
        <f>VLOOKUP(B753,BaseTable,2,FALSE)</f>
        <v>Hinter</v>
      </c>
      <c r="E753">
        <f>YEAR(A753)</f>
        <v>2014</v>
      </c>
    </row>
    <row r="754" spans="1:5">
      <c r="A754" s="32">
        <v>41880</v>
      </c>
      <c r="B754" t="s">
        <v>2</v>
      </c>
      <c r="C754">
        <v>10910</v>
      </c>
      <c r="D754" t="str">
        <f>VLOOKUP(B754,BaseTable,2,FALSE)</f>
        <v>Weiter</v>
      </c>
      <c r="E754">
        <f>YEAR(A754)</f>
        <v>2014</v>
      </c>
    </row>
    <row r="755" spans="1:5">
      <c r="A755" s="32">
        <v>41880</v>
      </c>
      <c r="B755" t="s">
        <v>3</v>
      </c>
      <c r="C755">
        <v>5437</v>
      </c>
      <c r="D755" t="str">
        <f>VLOOKUP(B755,BaseTable,2,FALSE)</f>
        <v>Schmecken</v>
      </c>
      <c r="E755">
        <f>YEAR(A755)</f>
        <v>2014</v>
      </c>
    </row>
    <row r="756" spans="1:5">
      <c r="A756" s="32">
        <v>41880</v>
      </c>
      <c r="B756" t="s">
        <v>4</v>
      </c>
      <c r="C756">
        <v>3322</v>
      </c>
      <c r="D756" t="str">
        <f>VLOOKUP(B756,BaseTable,2,FALSE)</f>
        <v>Danach-NY</v>
      </c>
      <c r="E756">
        <f>YEAR(A756)</f>
        <v>2014</v>
      </c>
    </row>
    <row r="757" spans="1:5">
      <c r="A757" s="32">
        <v>41881</v>
      </c>
      <c r="B757" t="s">
        <v>0</v>
      </c>
      <c r="C757">
        <v>724</v>
      </c>
      <c r="D757" t="str">
        <f>VLOOKUP(B757,BaseTable,2,FALSE)</f>
        <v>Unter</v>
      </c>
      <c r="E757">
        <f>YEAR(A757)</f>
        <v>2014</v>
      </c>
    </row>
    <row r="758" spans="1:5">
      <c r="A758" s="32">
        <v>41881</v>
      </c>
      <c r="B758" t="s">
        <v>1</v>
      </c>
      <c r="C758">
        <v>5756</v>
      </c>
      <c r="D758" t="str">
        <f>VLOOKUP(B758,BaseTable,2,FALSE)</f>
        <v>Hinter</v>
      </c>
      <c r="E758">
        <f>YEAR(A758)</f>
        <v>2014</v>
      </c>
    </row>
    <row r="759" spans="1:5">
      <c r="A759" s="32">
        <v>41881</v>
      </c>
      <c r="B759" t="s">
        <v>2</v>
      </c>
      <c r="C759">
        <v>9445</v>
      </c>
      <c r="D759" t="str">
        <f>VLOOKUP(B759,BaseTable,2,FALSE)</f>
        <v>Weiter</v>
      </c>
      <c r="E759">
        <f>YEAR(A759)</f>
        <v>2014</v>
      </c>
    </row>
    <row r="760" spans="1:5">
      <c r="A760" s="32">
        <v>41881</v>
      </c>
      <c r="B760" t="s">
        <v>3</v>
      </c>
      <c r="C760">
        <v>4719</v>
      </c>
      <c r="D760" t="str">
        <f>VLOOKUP(B760,BaseTable,2,FALSE)</f>
        <v>Schmecken</v>
      </c>
      <c r="E760">
        <f>YEAR(A760)</f>
        <v>2014</v>
      </c>
    </row>
    <row r="761" spans="1:5">
      <c r="A761" s="32">
        <v>41881</v>
      </c>
      <c r="B761" t="s">
        <v>4</v>
      </c>
      <c r="C761">
        <v>3286</v>
      </c>
      <c r="D761" t="str">
        <f>VLOOKUP(B761,BaseTable,2,FALSE)</f>
        <v>Danach-NY</v>
      </c>
      <c r="E761">
        <f>YEAR(A761)</f>
        <v>2014</v>
      </c>
    </row>
    <row r="762" spans="1:5">
      <c r="A762" s="32">
        <v>41882</v>
      </c>
      <c r="B762" t="s">
        <v>0</v>
      </c>
      <c r="C762">
        <v>738</v>
      </c>
      <c r="D762" t="str">
        <f>VLOOKUP(B762,BaseTable,2,FALSE)</f>
        <v>Unter</v>
      </c>
      <c r="E762">
        <f>YEAR(A762)</f>
        <v>2014</v>
      </c>
    </row>
    <row r="763" spans="1:5">
      <c r="A763" s="32">
        <v>41882</v>
      </c>
      <c r="B763" t="s">
        <v>1</v>
      </c>
      <c r="C763">
        <v>5584</v>
      </c>
      <c r="D763" t="str">
        <f>VLOOKUP(B763,BaseTable,2,FALSE)</f>
        <v>Hinter</v>
      </c>
      <c r="E763">
        <f>YEAR(A763)</f>
        <v>2014</v>
      </c>
    </row>
    <row r="764" spans="1:5">
      <c r="A764" s="32">
        <v>41882</v>
      </c>
      <c r="B764" t="s">
        <v>2</v>
      </c>
      <c r="C764">
        <v>9558</v>
      </c>
      <c r="D764" t="str">
        <f>VLOOKUP(B764,BaseTable,2,FALSE)</f>
        <v>Weiter</v>
      </c>
      <c r="E764">
        <f>YEAR(A764)</f>
        <v>2014</v>
      </c>
    </row>
    <row r="765" spans="1:5">
      <c r="A765" s="32">
        <v>41882</v>
      </c>
      <c r="B765" t="s">
        <v>3</v>
      </c>
      <c r="C765">
        <v>4342</v>
      </c>
      <c r="D765" t="str">
        <f>VLOOKUP(B765,BaseTable,2,FALSE)</f>
        <v>Schmecken</v>
      </c>
      <c r="E765">
        <f>YEAR(A765)</f>
        <v>2014</v>
      </c>
    </row>
    <row r="766" spans="1:5">
      <c r="A766" s="32">
        <v>41882</v>
      </c>
      <c r="B766" t="s">
        <v>4</v>
      </c>
      <c r="C766">
        <v>3049</v>
      </c>
      <c r="D766" t="str">
        <f>VLOOKUP(B766,BaseTable,2,FALSE)</f>
        <v>Danach-NY</v>
      </c>
      <c r="E766">
        <f>YEAR(A766)</f>
        <v>2014</v>
      </c>
    </row>
    <row r="767" spans="1:5">
      <c r="A767" s="32">
        <v>41883</v>
      </c>
      <c r="B767" t="s">
        <v>0</v>
      </c>
      <c r="C767">
        <v>638</v>
      </c>
      <c r="D767" t="str">
        <f>VLOOKUP(B767,BaseTable,2,FALSE)</f>
        <v>Unter</v>
      </c>
      <c r="E767">
        <f>YEAR(A767)</f>
        <v>2014</v>
      </c>
    </row>
    <row r="768" spans="1:5">
      <c r="A768" s="32">
        <v>41883</v>
      </c>
      <c r="B768" t="s">
        <v>1</v>
      </c>
      <c r="C768">
        <v>4626</v>
      </c>
      <c r="D768" t="str">
        <f>VLOOKUP(B768,BaseTable,2,FALSE)</f>
        <v>Hinter</v>
      </c>
      <c r="E768">
        <f>YEAR(A768)</f>
        <v>2014</v>
      </c>
    </row>
    <row r="769" spans="1:5">
      <c r="A769" s="32">
        <v>41883</v>
      </c>
      <c r="B769" t="s">
        <v>2</v>
      </c>
      <c r="C769">
        <v>7940</v>
      </c>
      <c r="D769" t="str">
        <f>VLOOKUP(B769,BaseTable,2,FALSE)</f>
        <v>Weiter</v>
      </c>
      <c r="E769">
        <f>YEAR(A769)</f>
        <v>2014</v>
      </c>
    </row>
    <row r="770" spans="1:5">
      <c r="A770" s="32">
        <v>41883</v>
      </c>
      <c r="B770" t="s">
        <v>3</v>
      </c>
      <c r="C770">
        <v>3677</v>
      </c>
      <c r="D770" t="str">
        <f>VLOOKUP(B770,BaseTable,2,FALSE)</f>
        <v>Schmecken</v>
      </c>
      <c r="E770">
        <f>YEAR(A770)</f>
        <v>2014</v>
      </c>
    </row>
    <row r="771" spans="1:5">
      <c r="A771" s="32">
        <v>41883</v>
      </c>
      <c r="B771" t="s">
        <v>4</v>
      </c>
      <c r="C771">
        <v>3080</v>
      </c>
      <c r="D771" t="str">
        <f>VLOOKUP(B771,BaseTable,2,FALSE)</f>
        <v>Danach-NY</v>
      </c>
      <c r="E771">
        <f>YEAR(A771)</f>
        <v>2014</v>
      </c>
    </row>
    <row r="772" spans="1:5">
      <c r="A772" s="32">
        <v>41884</v>
      </c>
      <c r="B772" t="s">
        <v>0</v>
      </c>
      <c r="C772">
        <v>1188</v>
      </c>
      <c r="D772" t="str">
        <f>VLOOKUP(B772,BaseTable,2,FALSE)</f>
        <v>Unter</v>
      </c>
      <c r="E772">
        <f>YEAR(A772)</f>
        <v>2014</v>
      </c>
    </row>
    <row r="773" spans="1:5">
      <c r="A773" s="32">
        <v>41884</v>
      </c>
      <c r="B773" t="s">
        <v>1</v>
      </c>
      <c r="C773">
        <v>6970</v>
      </c>
      <c r="D773" t="str">
        <f>VLOOKUP(B773,BaseTable,2,FALSE)</f>
        <v>Hinter</v>
      </c>
      <c r="E773">
        <f>YEAR(A773)</f>
        <v>2014</v>
      </c>
    </row>
    <row r="774" spans="1:5">
      <c r="A774" s="32">
        <v>41884</v>
      </c>
      <c r="B774" t="s">
        <v>2</v>
      </c>
      <c r="C774">
        <v>11642</v>
      </c>
      <c r="D774" t="str">
        <f>VLOOKUP(B774,BaseTable,2,FALSE)</f>
        <v>Weiter</v>
      </c>
      <c r="E774">
        <f>YEAR(A774)</f>
        <v>2014</v>
      </c>
    </row>
    <row r="775" spans="1:5">
      <c r="A775" s="32">
        <v>41884</v>
      </c>
      <c r="B775" t="s">
        <v>3</v>
      </c>
      <c r="C775">
        <v>5729</v>
      </c>
      <c r="D775" t="str">
        <f>VLOOKUP(B775,BaseTable,2,FALSE)</f>
        <v>Schmecken</v>
      </c>
      <c r="E775">
        <f>YEAR(A775)</f>
        <v>2014</v>
      </c>
    </row>
    <row r="776" spans="1:5">
      <c r="A776" s="32">
        <v>41884</v>
      </c>
      <c r="B776" t="s">
        <v>4</v>
      </c>
      <c r="C776">
        <v>3302</v>
      </c>
      <c r="D776" t="str">
        <f>VLOOKUP(B776,BaseTable,2,FALSE)</f>
        <v>Danach-NY</v>
      </c>
      <c r="E776">
        <f>YEAR(A776)</f>
        <v>2014</v>
      </c>
    </row>
    <row r="777" spans="1:5">
      <c r="A777" s="32">
        <v>41885</v>
      </c>
      <c r="B777" t="s">
        <v>0</v>
      </c>
      <c r="C777">
        <v>1284</v>
      </c>
      <c r="D777" t="str">
        <f>VLOOKUP(B777,BaseTable,2,FALSE)</f>
        <v>Unter</v>
      </c>
      <c r="E777">
        <f>YEAR(A777)</f>
        <v>2014</v>
      </c>
    </row>
    <row r="778" spans="1:5">
      <c r="A778" s="32">
        <v>41885</v>
      </c>
      <c r="B778" t="s">
        <v>1</v>
      </c>
      <c r="C778">
        <v>8079</v>
      </c>
      <c r="D778" t="str">
        <f>VLOOKUP(B778,BaseTable,2,FALSE)</f>
        <v>Hinter</v>
      </c>
      <c r="E778">
        <f>YEAR(A778)</f>
        <v>2014</v>
      </c>
    </row>
    <row r="779" spans="1:5">
      <c r="A779" s="32">
        <v>41885</v>
      </c>
      <c r="B779" t="s">
        <v>2</v>
      </c>
      <c r="C779">
        <v>13019</v>
      </c>
      <c r="D779" t="str">
        <f>VLOOKUP(B779,BaseTable,2,FALSE)</f>
        <v>Weiter</v>
      </c>
      <c r="E779">
        <f>YEAR(A779)</f>
        <v>2014</v>
      </c>
    </row>
    <row r="780" spans="1:5">
      <c r="A780" s="32">
        <v>41885</v>
      </c>
      <c r="B780" t="s">
        <v>3</v>
      </c>
      <c r="C780">
        <v>6462</v>
      </c>
      <c r="D780" t="str">
        <f>VLOOKUP(B780,BaseTable,2,FALSE)</f>
        <v>Schmecken</v>
      </c>
      <c r="E780">
        <f>YEAR(A780)</f>
        <v>2014</v>
      </c>
    </row>
    <row r="781" spans="1:5">
      <c r="A781" s="32">
        <v>41885</v>
      </c>
      <c r="B781" t="s">
        <v>4</v>
      </c>
      <c r="C781">
        <v>3787</v>
      </c>
      <c r="D781" t="str">
        <f>VLOOKUP(B781,BaseTable,2,FALSE)</f>
        <v>Danach-NY</v>
      </c>
      <c r="E781">
        <f>YEAR(A781)</f>
        <v>2014</v>
      </c>
    </row>
    <row r="782" spans="1:5">
      <c r="A782" s="32">
        <v>41886</v>
      </c>
      <c r="B782" t="s">
        <v>0</v>
      </c>
      <c r="C782">
        <v>1513</v>
      </c>
      <c r="D782" t="str">
        <f>VLOOKUP(B782,BaseTable,2,FALSE)</f>
        <v>Unter</v>
      </c>
      <c r="E782">
        <f>YEAR(A782)</f>
        <v>2014</v>
      </c>
    </row>
    <row r="783" spans="1:5">
      <c r="A783" s="32">
        <v>41886</v>
      </c>
      <c r="B783" t="s">
        <v>1</v>
      </c>
      <c r="C783">
        <v>9412</v>
      </c>
      <c r="D783" t="str">
        <f>VLOOKUP(B783,BaseTable,2,FALSE)</f>
        <v>Hinter</v>
      </c>
      <c r="E783">
        <f>YEAR(A783)</f>
        <v>2014</v>
      </c>
    </row>
    <row r="784" spans="1:5">
      <c r="A784" s="32">
        <v>41886</v>
      </c>
      <c r="B784" t="s">
        <v>2</v>
      </c>
      <c r="C784">
        <v>15185</v>
      </c>
      <c r="D784" t="str">
        <f>VLOOKUP(B784,BaseTable,2,FALSE)</f>
        <v>Weiter</v>
      </c>
      <c r="E784">
        <f>YEAR(A784)</f>
        <v>2014</v>
      </c>
    </row>
    <row r="785" spans="1:5">
      <c r="A785" s="32">
        <v>41886</v>
      </c>
      <c r="B785" t="s">
        <v>3</v>
      </c>
      <c r="C785">
        <v>7670</v>
      </c>
      <c r="D785" t="str">
        <f>VLOOKUP(B785,BaseTable,2,FALSE)</f>
        <v>Schmecken</v>
      </c>
      <c r="E785">
        <f>YEAR(A785)</f>
        <v>2014</v>
      </c>
    </row>
    <row r="786" spans="1:5">
      <c r="A786" s="32">
        <v>41886</v>
      </c>
      <c r="B786" t="s">
        <v>4</v>
      </c>
      <c r="C786">
        <v>4580</v>
      </c>
      <c r="D786" t="str">
        <f>VLOOKUP(B786,BaseTable,2,FALSE)</f>
        <v>Danach-NY</v>
      </c>
      <c r="E786">
        <f>YEAR(A786)</f>
        <v>2014</v>
      </c>
    </row>
    <row r="787" spans="1:5">
      <c r="A787" s="32">
        <v>41887</v>
      </c>
      <c r="B787" t="s">
        <v>0</v>
      </c>
      <c r="C787">
        <v>1808</v>
      </c>
      <c r="D787" t="str">
        <f>VLOOKUP(B787,BaseTable,2,FALSE)</f>
        <v>Unter</v>
      </c>
      <c r="E787">
        <f>YEAR(A787)</f>
        <v>2014</v>
      </c>
    </row>
    <row r="788" spans="1:5">
      <c r="A788" s="32">
        <v>41887</v>
      </c>
      <c r="B788" t="s">
        <v>1</v>
      </c>
      <c r="C788">
        <v>10036</v>
      </c>
      <c r="D788" t="str">
        <f>VLOOKUP(B788,BaseTable,2,FALSE)</f>
        <v>Hinter</v>
      </c>
      <c r="E788">
        <f>YEAR(A788)</f>
        <v>2014</v>
      </c>
    </row>
    <row r="789" spans="1:5">
      <c r="A789" s="32">
        <v>41887</v>
      </c>
      <c r="B789" t="s">
        <v>2</v>
      </c>
      <c r="C789">
        <v>16472</v>
      </c>
      <c r="D789" t="str">
        <f>VLOOKUP(B789,BaseTable,2,FALSE)</f>
        <v>Weiter</v>
      </c>
      <c r="E789">
        <f>YEAR(A789)</f>
        <v>2014</v>
      </c>
    </row>
    <row r="790" spans="1:5">
      <c r="A790" s="32">
        <v>41887</v>
      </c>
      <c r="B790" t="s">
        <v>3</v>
      </c>
      <c r="C790">
        <v>8660</v>
      </c>
      <c r="D790" t="str">
        <f>VLOOKUP(B790,BaseTable,2,FALSE)</f>
        <v>Schmecken</v>
      </c>
      <c r="E790">
        <f>YEAR(A790)</f>
        <v>2014</v>
      </c>
    </row>
    <row r="791" spans="1:5">
      <c r="A791" s="32">
        <v>41887</v>
      </c>
      <c r="B791" t="s">
        <v>4</v>
      </c>
      <c r="C791">
        <v>5343</v>
      </c>
      <c r="D791" t="str">
        <f>VLOOKUP(B791,BaseTable,2,FALSE)</f>
        <v>Danach-NY</v>
      </c>
      <c r="E791">
        <f>YEAR(A791)</f>
        <v>2014</v>
      </c>
    </row>
    <row r="792" spans="1:5">
      <c r="A792" s="32">
        <v>41888</v>
      </c>
      <c r="B792" t="s">
        <v>0</v>
      </c>
      <c r="C792">
        <v>1580</v>
      </c>
      <c r="D792" t="str">
        <f>VLOOKUP(B792,BaseTable,2,FALSE)</f>
        <v>Unter</v>
      </c>
      <c r="E792">
        <f>YEAR(A792)</f>
        <v>2014</v>
      </c>
    </row>
    <row r="793" spans="1:5">
      <c r="A793" s="32">
        <v>41888</v>
      </c>
      <c r="B793" t="s">
        <v>1</v>
      </c>
      <c r="C793">
        <v>9848</v>
      </c>
      <c r="D793" t="str">
        <f>VLOOKUP(B793,BaseTable,2,FALSE)</f>
        <v>Hinter</v>
      </c>
      <c r="E793">
        <f>YEAR(A793)</f>
        <v>2014</v>
      </c>
    </row>
    <row r="794" spans="1:5">
      <c r="A794" s="32">
        <v>41888</v>
      </c>
      <c r="B794" t="s">
        <v>2</v>
      </c>
      <c r="C794">
        <v>15573</v>
      </c>
      <c r="D794" t="str">
        <f>VLOOKUP(B794,BaseTable,2,FALSE)</f>
        <v>Weiter</v>
      </c>
      <c r="E794">
        <f>YEAR(A794)</f>
        <v>2014</v>
      </c>
    </row>
    <row r="795" spans="1:5">
      <c r="A795" s="32">
        <v>41888</v>
      </c>
      <c r="B795" t="s">
        <v>3</v>
      </c>
      <c r="C795">
        <v>8132</v>
      </c>
      <c r="D795" t="str">
        <f>VLOOKUP(B795,BaseTable,2,FALSE)</f>
        <v>Schmecken</v>
      </c>
      <c r="E795">
        <f>YEAR(A795)</f>
        <v>2014</v>
      </c>
    </row>
    <row r="796" spans="1:5">
      <c r="A796" s="32">
        <v>41888</v>
      </c>
      <c r="B796" t="s">
        <v>4</v>
      </c>
      <c r="C796">
        <v>5387</v>
      </c>
      <c r="D796" t="str">
        <f>VLOOKUP(B796,BaseTable,2,FALSE)</f>
        <v>Danach-NY</v>
      </c>
      <c r="E796">
        <f>YEAR(A796)</f>
        <v>2014</v>
      </c>
    </row>
    <row r="797" spans="1:5">
      <c r="A797" s="32">
        <v>41889</v>
      </c>
      <c r="B797" t="s">
        <v>0</v>
      </c>
      <c r="C797">
        <v>1124</v>
      </c>
      <c r="D797" t="str">
        <f>VLOOKUP(B797,BaseTable,2,FALSE)</f>
        <v>Unter</v>
      </c>
      <c r="E797">
        <f>YEAR(A797)</f>
        <v>2014</v>
      </c>
    </row>
    <row r="798" spans="1:5">
      <c r="A798" s="32">
        <v>41889</v>
      </c>
      <c r="B798" t="s">
        <v>1</v>
      </c>
      <c r="C798">
        <v>7122</v>
      </c>
      <c r="D798" t="str">
        <f>VLOOKUP(B798,BaseTable,2,FALSE)</f>
        <v>Hinter</v>
      </c>
      <c r="E798">
        <f>YEAR(A798)</f>
        <v>2014</v>
      </c>
    </row>
    <row r="799" spans="1:5">
      <c r="A799" s="32">
        <v>41889</v>
      </c>
      <c r="B799" t="s">
        <v>2</v>
      </c>
      <c r="C799">
        <v>11639</v>
      </c>
      <c r="D799" t="str">
        <f>VLOOKUP(B799,BaseTable,2,FALSE)</f>
        <v>Weiter</v>
      </c>
      <c r="E799">
        <f>YEAR(A799)</f>
        <v>2014</v>
      </c>
    </row>
    <row r="800" spans="1:5">
      <c r="A800" s="32">
        <v>41889</v>
      </c>
      <c r="B800" t="s">
        <v>3</v>
      </c>
      <c r="C800">
        <v>5983</v>
      </c>
      <c r="D800" t="str">
        <f>VLOOKUP(B800,BaseTable,2,FALSE)</f>
        <v>Schmecken</v>
      </c>
      <c r="E800">
        <f>YEAR(A800)</f>
        <v>2014</v>
      </c>
    </row>
    <row r="801" spans="1:5">
      <c r="A801" s="32">
        <v>41889</v>
      </c>
      <c r="B801" t="s">
        <v>4</v>
      </c>
      <c r="C801">
        <v>4266</v>
      </c>
      <c r="D801" t="str">
        <f>VLOOKUP(B801,BaseTable,2,FALSE)</f>
        <v>Danach-NY</v>
      </c>
      <c r="E801">
        <f>YEAR(A801)</f>
        <v>2014</v>
      </c>
    </row>
    <row r="802" spans="1:5">
      <c r="A802" s="32">
        <v>41890</v>
      </c>
      <c r="B802" t="s">
        <v>0</v>
      </c>
      <c r="C802">
        <v>1211</v>
      </c>
      <c r="D802" t="str">
        <f>VLOOKUP(B802,BaseTable,2,FALSE)</f>
        <v>Unter</v>
      </c>
      <c r="E802">
        <f>YEAR(A802)</f>
        <v>2014</v>
      </c>
    </row>
    <row r="803" spans="1:5">
      <c r="A803" s="32">
        <v>41890</v>
      </c>
      <c r="B803" t="s">
        <v>1</v>
      </c>
      <c r="C803">
        <v>7286</v>
      </c>
      <c r="D803" t="str">
        <f>VLOOKUP(B803,BaseTable,2,FALSE)</f>
        <v>Hinter</v>
      </c>
      <c r="E803">
        <f>YEAR(A803)</f>
        <v>2014</v>
      </c>
    </row>
    <row r="804" spans="1:5">
      <c r="A804" s="32">
        <v>41890</v>
      </c>
      <c r="B804" t="s">
        <v>2</v>
      </c>
      <c r="C804">
        <v>11752</v>
      </c>
      <c r="D804" t="str">
        <f>VLOOKUP(B804,BaseTable,2,FALSE)</f>
        <v>Weiter</v>
      </c>
      <c r="E804">
        <f>YEAR(A804)</f>
        <v>2014</v>
      </c>
    </row>
    <row r="805" spans="1:5">
      <c r="A805" s="32">
        <v>41890</v>
      </c>
      <c r="B805" t="s">
        <v>3</v>
      </c>
      <c r="C805">
        <v>6257</v>
      </c>
      <c r="D805" t="str">
        <f>VLOOKUP(B805,BaseTable,2,FALSE)</f>
        <v>Schmecken</v>
      </c>
      <c r="E805">
        <f>YEAR(A805)</f>
        <v>2014</v>
      </c>
    </row>
    <row r="806" spans="1:5">
      <c r="A806" s="32">
        <v>41890</v>
      </c>
      <c r="B806" t="s">
        <v>4</v>
      </c>
      <c r="C806">
        <v>3854</v>
      </c>
      <c r="D806" t="str">
        <f>VLOOKUP(B806,BaseTable,2,FALSE)</f>
        <v>Danach-NY</v>
      </c>
      <c r="E806">
        <f>YEAR(A806)</f>
        <v>2014</v>
      </c>
    </row>
    <row r="807" spans="1:5">
      <c r="A807" s="32">
        <v>41891</v>
      </c>
      <c r="B807" t="s">
        <v>0</v>
      </c>
      <c r="C807">
        <v>1254</v>
      </c>
      <c r="D807" t="str">
        <f>VLOOKUP(B807,BaseTable,2,FALSE)</f>
        <v>Unter</v>
      </c>
      <c r="E807">
        <f>YEAR(A807)</f>
        <v>2014</v>
      </c>
    </row>
    <row r="808" spans="1:5">
      <c r="A808" s="32">
        <v>41891</v>
      </c>
      <c r="B808" t="s">
        <v>1</v>
      </c>
      <c r="C808">
        <v>8393</v>
      </c>
      <c r="D808" t="str">
        <f>VLOOKUP(B808,BaseTable,2,FALSE)</f>
        <v>Hinter</v>
      </c>
      <c r="E808">
        <f>YEAR(A808)</f>
        <v>2014</v>
      </c>
    </row>
    <row r="809" spans="1:5">
      <c r="A809" s="32">
        <v>41891</v>
      </c>
      <c r="B809" t="s">
        <v>2</v>
      </c>
      <c r="C809">
        <v>13211</v>
      </c>
      <c r="D809" t="str">
        <f>VLOOKUP(B809,BaseTable,2,FALSE)</f>
        <v>Weiter</v>
      </c>
      <c r="E809">
        <f>YEAR(A809)</f>
        <v>2014</v>
      </c>
    </row>
    <row r="810" spans="1:5">
      <c r="A810" s="32">
        <v>41891</v>
      </c>
      <c r="B810" t="s">
        <v>3</v>
      </c>
      <c r="C810">
        <v>6776</v>
      </c>
      <c r="D810" t="str">
        <f>VLOOKUP(B810,BaseTable,2,FALSE)</f>
        <v>Schmecken</v>
      </c>
      <c r="E810">
        <f>YEAR(A810)</f>
        <v>2014</v>
      </c>
    </row>
    <row r="811" spans="1:5">
      <c r="A811" s="32">
        <v>41891</v>
      </c>
      <c r="B811" t="s">
        <v>4</v>
      </c>
      <c r="C811">
        <v>4926</v>
      </c>
      <c r="D811" t="str">
        <f>VLOOKUP(B811,BaseTable,2,FALSE)</f>
        <v>Danach-NY</v>
      </c>
      <c r="E811">
        <f>YEAR(A811)</f>
        <v>2014</v>
      </c>
    </row>
    <row r="812" spans="1:5">
      <c r="A812" s="32">
        <v>41892</v>
      </c>
      <c r="B812" t="s">
        <v>0</v>
      </c>
      <c r="C812">
        <v>1374</v>
      </c>
      <c r="D812" t="str">
        <f>VLOOKUP(B812,BaseTable,2,FALSE)</f>
        <v>Unter</v>
      </c>
      <c r="E812">
        <f>YEAR(A812)</f>
        <v>2014</v>
      </c>
    </row>
    <row r="813" spans="1:5">
      <c r="A813" s="32">
        <v>41892</v>
      </c>
      <c r="B813" t="s">
        <v>1</v>
      </c>
      <c r="C813">
        <v>8802</v>
      </c>
      <c r="D813" t="str">
        <f>VLOOKUP(B813,BaseTable,2,FALSE)</f>
        <v>Hinter</v>
      </c>
      <c r="E813">
        <f>YEAR(A813)</f>
        <v>2014</v>
      </c>
    </row>
    <row r="814" spans="1:5">
      <c r="A814" s="32">
        <v>41892</v>
      </c>
      <c r="B814" t="s">
        <v>2</v>
      </c>
      <c r="C814">
        <v>13582</v>
      </c>
      <c r="D814" t="str">
        <f>VLOOKUP(B814,BaseTable,2,FALSE)</f>
        <v>Weiter</v>
      </c>
      <c r="E814">
        <f>YEAR(A814)</f>
        <v>2014</v>
      </c>
    </row>
    <row r="815" spans="1:5">
      <c r="A815" s="32">
        <v>41892</v>
      </c>
      <c r="B815" t="s">
        <v>3</v>
      </c>
      <c r="C815">
        <v>6859</v>
      </c>
      <c r="D815" t="str">
        <f>VLOOKUP(B815,BaseTable,2,FALSE)</f>
        <v>Schmecken</v>
      </c>
      <c r="E815">
        <f>YEAR(A815)</f>
        <v>2014</v>
      </c>
    </row>
    <row r="816" spans="1:5">
      <c r="A816" s="32">
        <v>41892</v>
      </c>
      <c r="B816" t="s">
        <v>4</v>
      </c>
      <c r="C816">
        <v>5293</v>
      </c>
      <c r="D816" t="str">
        <f>VLOOKUP(B816,BaseTable,2,FALSE)</f>
        <v>Danach-NY</v>
      </c>
      <c r="E816">
        <f>YEAR(A816)</f>
        <v>2014</v>
      </c>
    </row>
    <row r="817" spans="1:5">
      <c r="A817" s="32">
        <v>41893</v>
      </c>
      <c r="B817" t="s">
        <v>0</v>
      </c>
      <c r="C817">
        <v>1365</v>
      </c>
      <c r="D817" t="str">
        <f>VLOOKUP(B817,BaseTable,2,FALSE)</f>
        <v>Unter</v>
      </c>
      <c r="E817">
        <f>YEAR(A817)</f>
        <v>2014</v>
      </c>
    </row>
    <row r="818" spans="1:5">
      <c r="A818" s="32">
        <v>41893</v>
      </c>
      <c r="B818" t="s">
        <v>1</v>
      </c>
      <c r="C818">
        <v>8954</v>
      </c>
      <c r="D818" t="str">
        <f>VLOOKUP(B818,BaseTable,2,FALSE)</f>
        <v>Hinter</v>
      </c>
      <c r="E818">
        <f>YEAR(A818)</f>
        <v>2014</v>
      </c>
    </row>
    <row r="819" spans="1:5">
      <c r="A819" s="32">
        <v>41893</v>
      </c>
      <c r="B819" t="s">
        <v>2</v>
      </c>
      <c r="C819">
        <v>13518</v>
      </c>
      <c r="D819" t="str">
        <f>VLOOKUP(B819,BaseTable,2,FALSE)</f>
        <v>Weiter</v>
      </c>
      <c r="E819">
        <f>YEAR(A819)</f>
        <v>2014</v>
      </c>
    </row>
    <row r="820" spans="1:5">
      <c r="A820" s="32">
        <v>41893</v>
      </c>
      <c r="B820" t="s">
        <v>3</v>
      </c>
      <c r="C820">
        <v>7202</v>
      </c>
      <c r="D820" t="str">
        <f>VLOOKUP(B820,BaseTable,2,FALSE)</f>
        <v>Schmecken</v>
      </c>
      <c r="E820">
        <f>YEAR(A820)</f>
        <v>2014</v>
      </c>
    </row>
    <row r="821" spans="1:5">
      <c r="A821" s="32">
        <v>41893</v>
      </c>
      <c r="B821" t="s">
        <v>4</v>
      </c>
      <c r="C821">
        <v>5400</v>
      </c>
      <c r="D821" t="str">
        <f>VLOOKUP(B821,BaseTable,2,FALSE)</f>
        <v>Danach-NY</v>
      </c>
      <c r="E821">
        <f>YEAR(A821)</f>
        <v>2014</v>
      </c>
    </row>
    <row r="822" spans="1:5">
      <c r="A822" s="32">
        <v>41894</v>
      </c>
      <c r="B822" t="s">
        <v>0</v>
      </c>
      <c r="C822">
        <v>1423</v>
      </c>
      <c r="D822" t="str">
        <f>VLOOKUP(B822,BaseTable,2,FALSE)</f>
        <v>Unter</v>
      </c>
      <c r="E822">
        <f>YEAR(A822)</f>
        <v>2014</v>
      </c>
    </row>
    <row r="823" spans="1:5">
      <c r="A823" s="32">
        <v>41894</v>
      </c>
      <c r="B823" t="s">
        <v>1</v>
      </c>
      <c r="C823">
        <v>9690</v>
      </c>
      <c r="D823" t="str">
        <f>VLOOKUP(B823,BaseTable,2,FALSE)</f>
        <v>Hinter</v>
      </c>
      <c r="E823">
        <f>YEAR(A823)</f>
        <v>2014</v>
      </c>
    </row>
    <row r="824" spans="1:5">
      <c r="A824" s="32">
        <v>41894</v>
      </c>
      <c r="B824" t="s">
        <v>2</v>
      </c>
      <c r="C824">
        <v>14597</v>
      </c>
      <c r="D824" t="str">
        <f>VLOOKUP(B824,BaseTable,2,FALSE)</f>
        <v>Weiter</v>
      </c>
      <c r="E824">
        <f>YEAR(A824)</f>
        <v>2014</v>
      </c>
    </row>
    <row r="825" spans="1:5">
      <c r="A825" s="32">
        <v>41894</v>
      </c>
      <c r="B825" t="s">
        <v>3</v>
      </c>
      <c r="C825">
        <v>7593</v>
      </c>
      <c r="D825" t="str">
        <f>VLOOKUP(B825,BaseTable,2,FALSE)</f>
        <v>Schmecken</v>
      </c>
      <c r="E825">
        <f>YEAR(A825)</f>
        <v>2014</v>
      </c>
    </row>
    <row r="826" spans="1:5">
      <c r="A826" s="32">
        <v>41894</v>
      </c>
      <c r="B826" t="s">
        <v>4</v>
      </c>
      <c r="C826">
        <v>6237</v>
      </c>
      <c r="D826" t="str">
        <f>VLOOKUP(B826,BaseTable,2,FALSE)</f>
        <v>Danach-NY</v>
      </c>
      <c r="E826">
        <f>YEAR(A826)</f>
        <v>2014</v>
      </c>
    </row>
    <row r="827" spans="1:5">
      <c r="A827" s="32">
        <v>41895</v>
      </c>
      <c r="B827" t="s">
        <v>0</v>
      </c>
      <c r="C827">
        <v>1426</v>
      </c>
      <c r="D827" t="str">
        <f>VLOOKUP(B827,BaseTable,2,FALSE)</f>
        <v>Unter</v>
      </c>
      <c r="E827">
        <f>YEAR(A827)</f>
        <v>2014</v>
      </c>
    </row>
    <row r="828" spans="1:5">
      <c r="A828" s="32">
        <v>41895</v>
      </c>
      <c r="B828" t="s">
        <v>1</v>
      </c>
      <c r="C828">
        <v>10438</v>
      </c>
      <c r="D828" t="str">
        <f>VLOOKUP(B828,BaseTable,2,FALSE)</f>
        <v>Hinter</v>
      </c>
      <c r="E828">
        <f>YEAR(A828)</f>
        <v>2014</v>
      </c>
    </row>
    <row r="829" spans="1:5">
      <c r="A829" s="32">
        <v>41895</v>
      </c>
      <c r="B829" t="s">
        <v>2</v>
      </c>
      <c r="C829">
        <v>15692</v>
      </c>
      <c r="D829" t="str">
        <f>VLOOKUP(B829,BaseTable,2,FALSE)</f>
        <v>Weiter</v>
      </c>
      <c r="E829">
        <f>YEAR(A829)</f>
        <v>2014</v>
      </c>
    </row>
    <row r="830" spans="1:5">
      <c r="A830" s="32">
        <v>41895</v>
      </c>
      <c r="B830" t="s">
        <v>3</v>
      </c>
      <c r="C830">
        <v>8207</v>
      </c>
      <c r="D830" t="str">
        <f>VLOOKUP(B830,BaseTable,2,FALSE)</f>
        <v>Schmecken</v>
      </c>
      <c r="E830">
        <f>YEAR(A830)</f>
        <v>2014</v>
      </c>
    </row>
    <row r="831" spans="1:5">
      <c r="A831" s="32">
        <v>41895</v>
      </c>
      <c r="B831" t="s">
        <v>4</v>
      </c>
      <c r="C831">
        <v>7442</v>
      </c>
      <c r="D831" t="str">
        <f>VLOOKUP(B831,BaseTable,2,FALSE)</f>
        <v>Danach-NY</v>
      </c>
      <c r="E831">
        <f>YEAR(A831)</f>
        <v>2014</v>
      </c>
    </row>
    <row r="832" spans="1:5">
      <c r="A832" s="32">
        <v>41896</v>
      </c>
      <c r="B832" t="s">
        <v>0</v>
      </c>
      <c r="C832">
        <v>846</v>
      </c>
      <c r="D832" t="str">
        <f>VLOOKUP(B832,BaseTable,2,FALSE)</f>
        <v>Unter</v>
      </c>
      <c r="E832">
        <f>YEAR(A832)</f>
        <v>2014</v>
      </c>
    </row>
    <row r="833" spans="1:5">
      <c r="A833" s="32">
        <v>41896</v>
      </c>
      <c r="B833" t="s">
        <v>1</v>
      </c>
      <c r="C833">
        <v>6384</v>
      </c>
      <c r="D833" t="str">
        <f>VLOOKUP(B833,BaseTable,2,FALSE)</f>
        <v>Hinter</v>
      </c>
      <c r="E833">
        <f>YEAR(A833)</f>
        <v>2014</v>
      </c>
    </row>
    <row r="834" spans="1:5">
      <c r="A834" s="32">
        <v>41896</v>
      </c>
      <c r="B834" t="s">
        <v>2</v>
      </c>
      <c r="C834">
        <v>10581</v>
      </c>
      <c r="D834" t="str">
        <f>VLOOKUP(B834,BaseTable,2,FALSE)</f>
        <v>Weiter</v>
      </c>
      <c r="E834">
        <f>YEAR(A834)</f>
        <v>2014</v>
      </c>
    </row>
    <row r="835" spans="1:5">
      <c r="A835" s="32">
        <v>41896</v>
      </c>
      <c r="B835" t="s">
        <v>3</v>
      </c>
      <c r="C835">
        <v>5317</v>
      </c>
      <c r="D835" t="str">
        <f>VLOOKUP(B835,BaseTable,2,FALSE)</f>
        <v>Schmecken</v>
      </c>
      <c r="E835">
        <f>YEAR(A835)</f>
        <v>2014</v>
      </c>
    </row>
    <row r="836" spans="1:5">
      <c r="A836" s="32">
        <v>41896</v>
      </c>
      <c r="B836" t="s">
        <v>4</v>
      </c>
      <c r="C836">
        <v>4994</v>
      </c>
      <c r="D836" t="str">
        <f>VLOOKUP(B836,BaseTable,2,FALSE)</f>
        <v>Danach-NY</v>
      </c>
      <c r="E836">
        <f>YEAR(A836)</f>
        <v>2014</v>
      </c>
    </row>
    <row r="837" spans="1:5">
      <c r="A837" s="32">
        <v>41897</v>
      </c>
      <c r="B837" t="s">
        <v>0</v>
      </c>
      <c r="C837">
        <v>1083</v>
      </c>
      <c r="D837" t="str">
        <f>VLOOKUP(B837,BaseTable,2,FALSE)</f>
        <v>Unter</v>
      </c>
      <c r="E837">
        <f>YEAR(A837)</f>
        <v>2014</v>
      </c>
    </row>
    <row r="838" spans="1:5">
      <c r="A838" s="32">
        <v>41897</v>
      </c>
      <c r="B838" t="s">
        <v>1</v>
      </c>
      <c r="C838">
        <v>6920</v>
      </c>
      <c r="D838" t="str">
        <f>VLOOKUP(B838,BaseTable,2,FALSE)</f>
        <v>Hinter</v>
      </c>
      <c r="E838">
        <f>YEAR(A838)</f>
        <v>2014</v>
      </c>
    </row>
    <row r="839" spans="1:5">
      <c r="A839" s="32">
        <v>41897</v>
      </c>
      <c r="B839" t="s">
        <v>2</v>
      </c>
      <c r="C839">
        <v>10831</v>
      </c>
      <c r="D839" t="str">
        <f>VLOOKUP(B839,BaseTable,2,FALSE)</f>
        <v>Weiter</v>
      </c>
      <c r="E839">
        <f>YEAR(A839)</f>
        <v>2014</v>
      </c>
    </row>
    <row r="840" spans="1:5">
      <c r="A840" s="32">
        <v>41897</v>
      </c>
      <c r="B840" t="s">
        <v>3</v>
      </c>
      <c r="C840">
        <v>5780</v>
      </c>
      <c r="D840" t="str">
        <f>VLOOKUP(B840,BaseTable,2,FALSE)</f>
        <v>Schmecken</v>
      </c>
      <c r="E840">
        <f>YEAR(A840)</f>
        <v>2014</v>
      </c>
    </row>
    <row r="841" spans="1:5">
      <c r="A841" s="32">
        <v>41897</v>
      </c>
      <c r="B841" t="s">
        <v>4</v>
      </c>
      <c r="C841">
        <v>4840</v>
      </c>
      <c r="D841" t="str">
        <f>VLOOKUP(B841,BaseTable,2,FALSE)</f>
        <v>Danach-NY</v>
      </c>
      <c r="E841">
        <f>YEAR(A841)</f>
        <v>2014</v>
      </c>
    </row>
    <row r="842" spans="1:5">
      <c r="A842" s="32">
        <v>41898</v>
      </c>
      <c r="B842" t="s">
        <v>0</v>
      </c>
      <c r="C842">
        <v>1339</v>
      </c>
      <c r="D842" t="str">
        <f>VLOOKUP(B842,BaseTable,2,FALSE)</f>
        <v>Unter</v>
      </c>
      <c r="E842">
        <f>YEAR(A842)</f>
        <v>2014</v>
      </c>
    </row>
    <row r="843" spans="1:5">
      <c r="A843" s="32">
        <v>41898</v>
      </c>
      <c r="B843" t="s">
        <v>1</v>
      </c>
      <c r="C843">
        <v>8654</v>
      </c>
      <c r="D843" t="str">
        <f>VLOOKUP(B843,BaseTable,2,FALSE)</f>
        <v>Hinter</v>
      </c>
      <c r="E843">
        <f>YEAR(A843)</f>
        <v>2014</v>
      </c>
    </row>
    <row r="844" spans="1:5">
      <c r="A844" s="32">
        <v>41898</v>
      </c>
      <c r="B844" t="s">
        <v>2</v>
      </c>
      <c r="C844">
        <v>12973</v>
      </c>
      <c r="D844" t="str">
        <f>VLOOKUP(B844,BaseTable,2,FALSE)</f>
        <v>Weiter</v>
      </c>
      <c r="E844">
        <f>YEAR(A844)</f>
        <v>2014</v>
      </c>
    </row>
    <row r="845" spans="1:5">
      <c r="A845" s="32">
        <v>41898</v>
      </c>
      <c r="B845" t="s">
        <v>3</v>
      </c>
      <c r="C845">
        <v>6972</v>
      </c>
      <c r="D845" t="str">
        <f>VLOOKUP(B845,BaseTable,2,FALSE)</f>
        <v>Schmecken</v>
      </c>
      <c r="E845">
        <f>YEAR(A845)</f>
        <v>2014</v>
      </c>
    </row>
    <row r="846" spans="1:5">
      <c r="A846" s="32">
        <v>41898</v>
      </c>
      <c r="B846" t="s">
        <v>4</v>
      </c>
      <c r="C846">
        <v>6154</v>
      </c>
      <c r="D846" t="str">
        <f>VLOOKUP(B846,BaseTable,2,FALSE)</f>
        <v>Danach-NY</v>
      </c>
      <c r="E846">
        <f>YEAR(A846)</f>
        <v>2014</v>
      </c>
    </row>
    <row r="847" spans="1:5">
      <c r="A847" s="32">
        <v>41899</v>
      </c>
      <c r="B847" t="s">
        <v>0</v>
      </c>
      <c r="C847">
        <v>1158</v>
      </c>
      <c r="D847" t="str">
        <f>VLOOKUP(B847,BaseTable,2,FALSE)</f>
        <v>Unter</v>
      </c>
      <c r="E847">
        <f>YEAR(A847)</f>
        <v>2014</v>
      </c>
    </row>
    <row r="848" spans="1:5">
      <c r="A848" s="32">
        <v>41899</v>
      </c>
      <c r="B848" t="s">
        <v>1</v>
      </c>
      <c r="C848">
        <v>8231</v>
      </c>
      <c r="D848" t="str">
        <f>VLOOKUP(B848,BaseTable,2,FALSE)</f>
        <v>Hinter</v>
      </c>
      <c r="E848">
        <f>YEAR(A848)</f>
        <v>2014</v>
      </c>
    </row>
    <row r="849" spans="1:5">
      <c r="A849" s="32">
        <v>41899</v>
      </c>
      <c r="B849" t="s">
        <v>2</v>
      </c>
      <c r="C849">
        <v>13106</v>
      </c>
      <c r="D849" t="str">
        <f>VLOOKUP(B849,BaseTable,2,FALSE)</f>
        <v>Weiter</v>
      </c>
      <c r="E849">
        <f>YEAR(A849)</f>
        <v>2014</v>
      </c>
    </row>
    <row r="850" spans="1:5">
      <c r="A850" s="32">
        <v>41899</v>
      </c>
      <c r="B850" t="s">
        <v>3</v>
      </c>
      <c r="C850">
        <v>6807</v>
      </c>
      <c r="D850" t="str">
        <f>VLOOKUP(B850,BaseTable,2,FALSE)</f>
        <v>Schmecken</v>
      </c>
      <c r="E850">
        <f>YEAR(A850)</f>
        <v>2014</v>
      </c>
    </row>
    <row r="851" spans="1:5">
      <c r="A851" s="32">
        <v>41899</v>
      </c>
      <c r="B851" t="s">
        <v>4</v>
      </c>
      <c r="C851">
        <v>6229</v>
      </c>
      <c r="D851" t="str">
        <f>VLOOKUP(B851,BaseTable,2,FALSE)</f>
        <v>Danach-NY</v>
      </c>
      <c r="E851">
        <f>YEAR(A851)</f>
        <v>2014</v>
      </c>
    </row>
    <row r="852" spans="1:5">
      <c r="A852" s="32">
        <v>41900</v>
      </c>
      <c r="B852" t="s">
        <v>0</v>
      </c>
      <c r="C852">
        <v>1247</v>
      </c>
      <c r="D852" t="str">
        <f>VLOOKUP(B852,BaseTable,2,FALSE)</f>
        <v>Unter</v>
      </c>
      <c r="E852">
        <f>YEAR(A852)</f>
        <v>2014</v>
      </c>
    </row>
    <row r="853" spans="1:5">
      <c r="A853" s="32">
        <v>41900</v>
      </c>
      <c r="B853" t="s">
        <v>1</v>
      </c>
      <c r="C853">
        <v>9581</v>
      </c>
      <c r="D853" t="str">
        <f>VLOOKUP(B853,BaseTable,2,FALSE)</f>
        <v>Hinter</v>
      </c>
      <c r="E853">
        <f>YEAR(A853)</f>
        <v>2014</v>
      </c>
    </row>
    <row r="854" spans="1:5">
      <c r="A854" s="32">
        <v>41900</v>
      </c>
      <c r="B854" t="s">
        <v>2</v>
      </c>
      <c r="C854">
        <v>14615</v>
      </c>
      <c r="D854" t="str">
        <f>VLOOKUP(B854,BaseTable,2,FALSE)</f>
        <v>Weiter</v>
      </c>
      <c r="E854">
        <f>YEAR(A854)</f>
        <v>2014</v>
      </c>
    </row>
    <row r="855" spans="1:5">
      <c r="A855" s="32">
        <v>41900</v>
      </c>
      <c r="B855" t="s">
        <v>3</v>
      </c>
      <c r="C855">
        <v>7812</v>
      </c>
      <c r="D855" t="str">
        <f>VLOOKUP(B855,BaseTable,2,FALSE)</f>
        <v>Schmecken</v>
      </c>
      <c r="E855">
        <f>YEAR(A855)</f>
        <v>2014</v>
      </c>
    </row>
    <row r="856" spans="1:5">
      <c r="A856" s="32">
        <v>41900</v>
      </c>
      <c r="B856" t="s">
        <v>4</v>
      </c>
      <c r="C856">
        <v>7019</v>
      </c>
      <c r="D856" t="str">
        <f>VLOOKUP(B856,BaseTable,2,FALSE)</f>
        <v>Danach-NY</v>
      </c>
      <c r="E856">
        <f>YEAR(A856)</f>
        <v>2014</v>
      </c>
    </row>
    <row r="857" spans="1:5">
      <c r="A857" s="32">
        <v>41901</v>
      </c>
      <c r="B857" t="s">
        <v>0</v>
      </c>
      <c r="C857">
        <v>1348</v>
      </c>
      <c r="D857" t="str">
        <f>VLOOKUP(B857,BaseTable,2,FALSE)</f>
        <v>Unter</v>
      </c>
      <c r="E857">
        <f>YEAR(A857)</f>
        <v>2014</v>
      </c>
    </row>
    <row r="858" spans="1:5">
      <c r="A858" s="32">
        <v>41901</v>
      </c>
      <c r="B858" t="s">
        <v>1</v>
      </c>
      <c r="C858">
        <v>9969</v>
      </c>
      <c r="D858" t="str">
        <f>VLOOKUP(B858,BaseTable,2,FALSE)</f>
        <v>Hinter</v>
      </c>
      <c r="E858">
        <f>YEAR(A858)</f>
        <v>2014</v>
      </c>
    </row>
    <row r="859" spans="1:5">
      <c r="A859" s="32">
        <v>41901</v>
      </c>
      <c r="B859" t="s">
        <v>2</v>
      </c>
      <c r="C859">
        <v>14359</v>
      </c>
      <c r="D859" t="str">
        <f>VLOOKUP(B859,BaseTable,2,FALSE)</f>
        <v>Weiter</v>
      </c>
      <c r="E859">
        <f>YEAR(A859)</f>
        <v>2014</v>
      </c>
    </row>
    <row r="860" spans="1:5">
      <c r="A860" s="32">
        <v>41901</v>
      </c>
      <c r="B860" t="s">
        <v>3</v>
      </c>
      <c r="C860">
        <v>7905</v>
      </c>
      <c r="D860" t="str">
        <f>VLOOKUP(B860,BaseTable,2,FALSE)</f>
        <v>Schmecken</v>
      </c>
      <c r="E860">
        <f>YEAR(A860)</f>
        <v>2014</v>
      </c>
    </row>
    <row r="861" spans="1:5">
      <c r="A861" s="32">
        <v>41901</v>
      </c>
      <c r="B861" t="s">
        <v>4</v>
      </c>
      <c r="C861">
        <v>7436</v>
      </c>
      <c r="D861" t="str">
        <f>VLOOKUP(B861,BaseTable,2,FALSE)</f>
        <v>Danach-NY</v>
      </c>
      <c r="E861">
        <f>YEAR(A861)</f>
        <v>2014</v>
      </c>
    </row>
    <row r="862" spans="1:5">
      <c r="A862" s="32">
        <v>41902</v>
      </c>
      <c r="B862" t="s">
        <v>0</v>
      </c>
      <c r="C862">
        <v>1104</v>
      </c>
      <c r="D862" t="str">
        <f>VLOOKUP(B862,BaseTable,2,FALSE)</f>
        <v>Unter</v>
      </c>
      <c r="E862">
        <f>YEAR(A862)</f>
        <v>2014</v>
      </c>
    </row>
    <row r="863" spans="1:5">
      <c r="A863" s="32">
        <v>41902</v>
      </c>
      <c r="B863" t="s">
        <v>1</v>
      </c>
      <c r="C863">
        <v>8896</v>
      </c>
      <c r="D863" t="str">
        <f>VLOOKUP(B863,BaseTable,2,FALSE)</f>
        <v>Hinter</v>
      </c>
      <c r="E863">
        <f>YEAR(A863)</f>
        <v>2014</v>
      </c>
    </row>
    <row r="864" spans="1:5">
      <c r="A864" s="32">
        <v>41902</v>
      </c>
      <c r="B864" t="s">
        <v>2</v>
      </c>
      <c r="C864">
        <v>13529</v>
      </c>
      <c r="D864" t="str">
        <f>VLOOKUP(B864,BaseTable,2,FALSE)</f>
        <v>Weiter</v>
      </c>
      <c r="E864">
        <f>YEAR(A864)</f>
        <v>2014</v>
      </c>
    </row>
    <row r="865" spans="1:5">
      <c r="A865" s="32">
        <v>41902</v>
      </c>
      <c r="B865" t="s">
        <v>3</v>
      </c>
      <c r="C865">
        <v>7368</v>
      </c>
      <c r="D865" t="str">
        <f>VLOOKUP(B865,BaseTable,2,FALSE)</f>
        <v>Schmecken</v>
      </c>
      <c r="E865">
        <f>YEAR(A865)</f>
        <v>2014</v>
      </c>
    </row>
    <row r="866" spans="1:5">
      <c r="A866" s="32">
        <v>41902</v>
      </c>
      <c r="B866" t="s">
        <v>4</v>
      </c>
      <c r="C866">
        <v>7967</v>
      </c>
      <c r="D866" t="str">
        <f>VLOOKUP(B866,BaseTable,2,FALSE)</f>
        <v>Danach-NY</v>
      </c>
      <c r="E866">
        <f>YEAR(A866)</f>
        <v>2014</v>
      </c>
    </row>
    <row r="867" spans="1:5">
      <c r="A867" s="32">
        <v>41903</v>
      </c>
      <c r="B867" t="s">
        <v>0</v>
      </c>
      <c r="C867">
        <v>834</v>
      </c>
      <c r="D867" t="str">
        <f>VLOOKUP(B867,BaseTable,2,FALSE)</f>
        <v>Unter</v>
      </c>
      <c r="E867">
        <f>YEAR(A867)</f>
        <v>2014</v>
      </c>
    </row>
    <row r="868" spans="1:5">
      <c r="A868" s="32">
        <v>41903</v>
      </c>
      <c r="B868" t="s">
        <v>1</v>
      </c>
      <c r="C868">
        <v>6429</v>
      </c>
      <c r="D868" t="str">
        <f>VLOOKUP(B868,BaseTable,2,FALSE)</f>
        <v>Hinter</v>
      </c>
      <c r="E868">
        <f>YEAR(A868)</f>
        <v>2014</v>
      </c>
    </row>
    <row r="869" spans="1:5">
      <c r="A869" s="32">
        <v>41903</v>
      </c>
      <c r="B869" t="s">
        <v>2</v>
      </c>
      <c r="C869">
        <v>10132</v>
      </c>
      <c r="D869" t="str">
        <f>VLOOKUP(B869,BaseTable,2,FALSE)</f>
        <v>Weiter</v>
      </c>
      <c r="E869">
        <f>YEAR(A869)</f>
        <v>2014</v>
      </c>
    </row>
    <row r="870" spans="1:5">
      <c r="A870" s="32">
        <v>41903</v>
      </c>
      <c r="B870" t="s">
        <v>3</v>
      </c>
      <c r="C870">
        <v>5589</v>
      </c>
      <c r="D870" t="str">
        <f>VLOOKUP(B870,BaseTable,2,FALSE)</f>
        <v>Schmecken</v>
      </c>
      <c r="E870">
        <f>YEAR(A870)</f>
        <v>2014</v>
      </c>
    </row>
    <row r="871" spans="1:5">
      <c r="A871" s="32">
        <v>41903</v>
      </c>
      <c r="B871" t="s">
        <v>4</v>
      </c>
      <c r="C871">
        <v>5636</v>
      </c>
      <c r="D871" t="str">
        <f>VLOOKUP(B871,BaseTable,2,FALSE)</f>
        <v>Danach-NY</v>
      </c>
      <c r="E871">
        <f>YEAR(A871)</f>
        <v>2014</v>
      </c>
    </row>
    <row r="872" spans="1:5">
      <c r="A872" s="32">
        <v>41904</v>
      </c>
      <c r="B872" t="s">
        <v>0</v>
      </c>
      <c r="C872">
        <v>917</v>
      </c>
      <c r="D872" t="str">
        <f>VLOOKUP(B872,BaseTable,2,FALSE)</f>
        <v>Unter</v>
      </c>
      <c r="E872">
        <f>YEAR(A872)</f>
        <v>2014</v>
      </c>
    </row>
    <row r="873" spans="1:5">
      <c r="A873" s="32">
        <v>41904</v>
      </c>
      <c r="B873" t="s">
        <v>1</v>
      </c>
      <c r="C873">
        <v>6389</v>
      </c>
      <c r="D873" t="str">
        <f>VLOOKUP(B873,BaseTable,2,FALSE)</f>
        <v>Hinter</v>
      </c>
      <c r="E873">
        <f>YEAR(A873)</f>
        <v>2014</v>
      </c>
    </row>
    <row r="874" spans="1:5">
      <c r="A874" s="32">
        <v>41904</v>
      </c>
      <c r="B874" t="s">
        <v>2</v>
      </c>
      <c r="C874">
        <v>10134</v>
      </c>
      <c r="D874" t="str">
        <f>VLOOKUP(B874,BaseTable,2,FALSE)</f>
        <v>Weiter</v>
      </c>
      <c r="E874">
        <f>YEAR(A874)</f>
        <v>2014</v>
      </c>
    </row>
    <row r="875" spans="1:5">
      <c r="A875" s="32">
        <v>41904</v>
      </c>
      <c r="B875" t="s">
        <v>3</v>
      </c>
      <c r="C875">
        <v>5506</v>
      </c>
      <c r="D875" t="str">
        <f>VLOOKUP(B875,BaseTable,2,FALSE)</f>
        <v>Schmecken</v>
      </c>
      <c r="E875">
        <f>YEAR(A875)</f>
        <v>2014</v>
      </c>
    </row>
    <row r="876" spans="1:5">
      <c r="A876" s="32">
        <v>41904</v>
      </c>
      <c r="B876" t="s">
        <v>4</v>
      </c>
      <c r="C876">
        <v>5366</v>
      </c>
      <c r="D876" t="str">
        <f>VLOOKUP(B876,BaseTable,2,FALSE)</f>
        <v>Danach-NY</v>
      </c>
      <c r="E876">
        <f>YEAR(A876)</f>
        <v>2014</v>
      </c>
    </row>
    <row r="877" spans="1:5">
      <c r="A877" s="32">
        <v>41905</v>
      </c>
      <c r="B877" t="s">
        <v>0</v>
      </c>
      <c r="C877">
        <v>866</v>
      </c>
      <c r="D877" t="str">
        <f>VLOOKUP(B877,BaseTable,2,FALSE)</f>
        <v>Unter</v>
      </c>
      <c r="E877">
        <f>YEAR(A877)</f>
        <v>2014</v>
      </c>
    </row>
    <row r="878" spans="1:5">
      <c r="A878" s="32">
        <v>41905</v>
      </c>
      <c r="B878" t="s">
        <v>1</v>
      </c>
      <c r="C878">
        <v>6852</v>
      </c>
      <c r="D878" t="str">
        <f>VLOOKUP(B878,BaseTable,2,FALSE)</f>
        <v>Hinter</v>
      </c>
      <c r="E878">
        <f>YEAR(A878)</f>
        <v>2014</v>
      </c>
    </row>
    <row r="879" spans="1:5">
      <c r="A879" s="32">
        <v>41905</v>
      </c>
      <c r="B879" t="s">
        <v>2</v>
      </c>
      <c r="C879">
        <v>10911</v>
      </c>
      <c r="D879" t="str">
        <f>VLOOKUP(B879,BaseTable,2,FALSE)</f>
        <v>Weiter</v>
      </c>
      <c r="E879">
        <f>YEAR(A879)</f>
        <v>2014</v>
      </c>
    </row>
    <row r="880" spans="1:5">
      <c r="A880" s="32">
        <v>41905</v>
      </c>
      <c r="B880" t="s">
        <v>3</v>
      </c>
      <c r="C880">
        <v>5681</v>
      </c>
      <c r="D880" t="str">
        <f>VLOOKUP(B880,BaseTable,2,FALSE)</f>
        <v>Schmecken</v>
      </c>
      <c r="E880">
        <f>YEAR(A880)</f>
        <v>2014</v>
      </c>
    </row>
    <row r="881" spans="1:5">
      <c r="A881" s="32">
        <v>41905</v>
      </c>
      <c r="B881" t="s">
        <v>4</v>
      </c>
      <c r="C881">
        <v>6006</v>
      </c>
      <c r="D881" t="str">
        <f>VLOOKUP(B881,BaseTable,2,FALSE)</f>
        <v>Danach-NY</v>
      </c>
      <c r="E881">
        <f>YEAR(A881)</f>
        <v>2014</v>
      </c>
    </row>
    <row r="882" spans="1:5">
      <c r="A882" s="32">
        <v>41906</v>
      </c>
      <c r="B882" t="s">
        <v>0</v>
      </c>
      <c r="C882">
        <v>860</v>
      </c>
      <c r="D882" t="str">
        <f>VLOOKUP(B882,BaseTable,2,FALSE)</f>
        <v>Unter</v>
      </c>
      <c r="E882">
        <f>YEAR(A882)</f>
        <v>2014</v>
      </c>
    </row>
    <row r="883" spans="1:5">
      <c r="A883" s="32">
        <v>41906</v>
      </c>
      <c r="B883" t="s">
        <v>1</v>
      </c>
      <c r="C883">
        <v>7123</v>
      </c>
      <c r="D883" t="str">
        <f>VLOOKUP(B883,BaseTable,2,FALSE)</f>
        <v>Hinter</v>
      </c>
      <c r="E883">
        <f>YEAR(A883)</f>
        <v>2014</v>
      </c>
    </row>
    <row r="884" spans="1:5">
      <c r="A884" s="32">
        <v>41906</v>
      </c>
      <c r="B884" t="s">
        <v>2</v>
      </c>
      <c r="C884">
        <v>11114</v>
      </c>
      <c r="D884" t="str">
        <f>VLOOKUP(B884,BaseTable,2,FALSE)</f>
        <v>Weiter</v>
      </c>
      <c r="E884">
        <f>YEAR(A884)</f>
        <v>2014</v>
      </c>
    </row>
    <row r="885" spans="1:5">
      <c r="A885" s="32">
        <v>41906</v>
      </c>
      <c r="B885" t="s">
        <v>3</v>
      </c>
      <c r="C885">
        <v>5826</v>
      </c>
      <c r="D885" t="str">
        <f>VLOOKUP(B885,BaseTable,2,FALSE)</f>
        <v>Schmecken</v>
      </c>
      <c r="E885">
        <f>YEAR(A885)</f>
        <v>2014</v>
      </c>
    </row>
    <row r="886" spans="1:5">
      <c r="A886" s="32">
        <v>41906</v>
      </c>
      <c r="B886" t="s">
        <v>4</v>
      </c>
      <c r="C886">
        <v>6378</v>
      </c>
      <c r="D886" t="str">
        <f>VLOOKUP(B886,BaseTable,2,FALSE)</f>
        <v>Danach-NY</v>
      </c>
      <c r="E886">
        <f>YEAR(A886)</f>
        <v>2014</v>
      </c>
    </row>
    <row r="887" spans="1:5">
      <c r="A887" s="32">
        <v>41907</v>
      </c>
      <c r="B887" t="s">
        <v>0</v>
      </c>
      <c r="C887">
        <v>1015</v>
      </c>
      <c r="D887" t="str">
        <f>VLOOKUP(B887,BaseTable,2,FALSE)</f>
        <v>Unter</v>
      </c>
      <c r="E887">
        <f>YEAR(A887)</f>
        <v>2014</v>
      </c>
    </row>
    <row r="888" spans="1:5">
      <c r="A888" s="32">
        <v>41907</v>
      </c>
      <c r="B888" t="s">
        <v>1</v>
      </c>
      <c r="C888">
        <v>8674</v>
      </c>
      <c r="D888" t="str">
        <f>VLOOKUP(B888,BaseTable,2,FALSE)</f>
        <v>Hinter</v>
      </c>
      <c r="E888">
        <f>YEAR(A888)</f>
        <v>2014</v>
      </c>
    </row>
    <row r="889" spans="1:5">
      <c r="A889" s="32">
        <v>41907</v>
      </c>
      <c r="B889" t="s">
        <v>2</v>
      </c>
      <c r="C889">
        <v>13127</v>
      </c>
      <c r="D889" t="str">
        <f>VLOOKUP(B889,BaseTable,2,FALSE)</f>
        <v>Weiter</v>
      </c>
      <c r="E889">
        <f>YEAR(A889)</f>
        <v>2014</v>
      </c>
    </row>
    <row r="890" spans="1:5">
      <c r="A890" s="32">
        <v>41907</v>
      </c>
      <c r="B890" t="s">
        <v>3</v>
      </c>
      <c r="C890">
        <v>7166</v>
      </c>
      <c r="D890" t="str">
        <f>VLOOKUP(B890,BaseTable,2,FALSE)</f>
        <v>Schmecken</v>
      </c>
      <c r="E890">
        <f>YEAR(A890)</f>
        <v>2014</v>
      </c>
    </row>
    <row r="891" spans="1:5">
      <c r="A891" s="32">
        <v>41907</v>
      </c>
      <c r="B891" t="s">
        <v>4</v>
      </c>
      <c r="C891">
        <v>8221</v>
      </c>
      <c r="D891" t="str">
        <f>VLOOKUP(B891,BaseTable,2,FALSE)</f>
        <v>Danach-NY</v>
      </c>
      <c r="E891">
        <f>YEAR(A891)</f>
        <v>2014</v>
      </c>
    </row>
    <row r="892" spans="1:5">
      <c r="A892" s="32">
        <v>41908</v>
      </c>
      <c r="B892" t="s">
        <v>0</v>
      </c>
      <c r="C892">
        <v>953</v>
      </c>
      <c r="D892" t="str">
        <f>VLOOKUP(B892,BaseTable,2,FALSE)</f>
        <v>Unter</v>
      </c>
      <c r="E892">
        <f>YEAR(A892)</f>
        <v>2014</v>
      </c>
    </row>
    <row r="893" spans="1:5">
      <c r="A893" s="32">
        <v>41908</v>
      </c>
      <c r="B893" t="s">
        <v>1</v>
      </c>
      <c r="C893">
        <v>8307</v>
      </c>
      <c r="D893" t="str">
        <f>VLOOKUP(B893,BaseTable,2,FALSE)</f>
        <v>Hinter</v>
      </c>
      <c r="E893">
        <f>YEAR(A893)</f>
        <v>2014</v>
      </c>
    </row>
    <row r="894" spans="1:5">
      <c r="A894" s="32">
        <v>41908</v>
      </c>
      <c r="B894" t="s">
        <v>2</v>
      </c>
      <c r="C894">
        <v>13044</v>
      </c>
      <c r="D894" t="str">
        <f>VLOOKUP(B894,BaseTable,2,FALSE)</f>
        <v>Weiter</v>
      </c>
      <c r="E894">
        <f>YEAR(A894)</f>
        <v>2014</v>
      </c>
    </row>
    <row r="895" spans="1:5">
      <c r="A895" s="32">
        <v>41908</v>
      </c>
      <c r="B895" t="s">
        <v>3</v>
      </c>
      <c r="C895">
        <v>6567</v>
      </c>
      <c r="D895" t="str">
        <f>VLOOKUP(B895,BaseTable,2,FALSE)</f>
        <v>Schmecken</v>
      </c>
      <c r="E895">
        <f>YEAR(A895)</f>
        <v>2014</v>
      </c>
    </row>
    <row r="896" spans="1:5">
      <c r="A896" s="32">
        <v>41908</v>
      </c>
      <c r="B896" t="s">
        <v>4</v>
      </c>
      <c r="C896">
        <v>8633</v>
      </c>
      <c r="D896" t="str">
        <f>VLOOKUP(B896,BaseTable,2,FALSE)</f>
        <v>Danach-NY</v>
      </c>
      <c r="E896">
        <f>YEAR(A896)</f>
        <v>2014</v>
      </c>
    </row>
    <row r="897" spans="1:5">
      <c r="A897" s="32">
        <v>41909</v>
      </c>
      <c r="B897" t="s">
        <v>0</v>
      </c>
      <c r="C897">
        <v>1005</v>
      </c>
      <c r="D897" t="str">
        <f>VLOOKUP(B897,BaseTable,2,FALSE)</f>
        <v>Unter</v>
      </c>
      <c r="E897">
        <f>YEAR(A897)</f>
        <v>2014</v>
      </c>
    </row>
    <row r="898" spans="1:5">
      <c r="A898" s="32">
        <v>41909</v>
      </c>
      <c r="B898" t="s">
        <v>1</v>
      </c>
      <c r="C898">
        <v>8496</v>
      </c>
      <c r="D898" t="str">
        <f>VLOOKUP(B898,BaseTable,2,FALSE)</f>
        <v>Hinter</v>
      </c>
      <c r="E898">
        <f>YEAR(A898)</f>
        <v>2014</v>
      </c>
    </row>
    <row r="899" spans="1:5">
      <c r="A899" s="32">
        <v>41909</v>
      </c>
      <c r="B899" t="s">
        <v>2</v>
      </c>
      <c r="C899">
        <v>13436</v>
      </c>
      <c r="D899" t="str">
        <f>VLOOKUP(B899,BaseTable,2,FALSE)</f>
        <v>Weiter</v>
      </c>
      <c r="E899">
        <f>YEAR(A899)</f>
        <v>2014</v>
      </c>
    </row>
    <row r="900" spans="1:5">
      <c r="A900" s="32">
        <v>41909</v>
      </c>
      <c r="B900" t="s">
        <v>3</v>
      </c>
      <c r="C900">
        <v>6899</v>
      </c>
      <c r="D900" t="str">
        <f>VLOOKUP(B900,BaseTable,2,FALSE)</f>
        <v>Schmecken</v>
      </c>
      <c r="E900">
        <f>YEAR(A900)</f>
        <v>2014</v>
      </c>
    </row>
    <row r="901" spans="1:5">
      <c r="A901" s="32">
        <v>41909</v>
      </c>
      <c r="B901" t="s">
        <v>4</v>
      </c>
      <c r="C901">
        <v>9632</v>
      </c>
      <c r="D901" t="str">
        <f>VLOOKUP(B901,BaseTable,2,FALSE)</f>
        <v>Danach-NY</v>
      </c>
      <c r="E901">
        <f>YEAR(A901)</f>
        <v>2014</v>
      </c>
    </row>
    <row r="902" spans="1:5">
      <c r="A902" s="32">
        <v>41910</v>
      </c>
      <c r="B902" t="s">
        <v>0</v>
      </c>
      <c r="C902">
        <v>734</v>
      </c>
      <c r="D902" t="str">
        <f>VLOOKUP(B902,BaseTable,2,FALSE)</f>
        <v>Unter</v>
      </c>
      <c r="E902">
        <f>YEAR(A902)</f>
        <v>2014</v>
      </c>
    </row>
    <row r="903" spans="1:5">
      <c r="A903" s="32">
        <v>41910</v>
      </c>
      <c r="B903" t="s">
        <v>1</v>
      </c>
      <c r="C903">
        <v>6099</v>
      </c>
      <c r="D903" t="str">
        <f>VLOOKUP(B903,BaseTable,2,FALSE)</f>
        <v>Hinter</v>
      </c>
      <c r="E903">
        <f>YEAR(A903)</f>
        <v>2014</v>
      </c>
    </row>
    <row r="904" spans="1:5">
      <c r="A904" s="32">
        <v>41910</v>
      </c>
      <c r="B904" t="s">
        <v>2</v>
      </c>
      <c r="C904">
        <v>10564</v>
      </c>
      <c r="D904" t="str">
        <f>VLOOKUP(B904,BaseTable,2,FALSE)</f>
        <v>Weiter</v>
      </c>
      <c r="E904">
        <f>YEAR(A904)</f>
        <v>2014</v>
      </c>
    </row>
    <row r="905" spans="1:5">
      <c r="A905" s="32">
        <v>41910</v>
      </c>
      <c r="B905" t="s">
        <v>3</v>
      </c>
      <c r="C905">
        <v>5327</v>
      </c>
      <c r="D905" t="str">
        <f>VLOOKUP(B905,BaseTable,2,FALSE)</f>
        <v>Schmecken</v>
      </c>
      <c r="E905">
        <f>YEAR(A905)</f>
        <v>2014</v>
      </c>
    </row>
    <row r="906" spans="1:5">
      <c r="A906" s="32">
        <v>41910</v>
      </c>
      <c r="B906" t="s">
        <v>4</v>
      </c>
      <c r="C906">
        <v>6932</v>
      </c>
      <c r="D906" t="str">
        <f>VLOOKUP(B906,BaseTable,2,FALSE)</f>
        <v>Danach-NY</v>
      </c>
      <c r="E906">
        <f>YEAR(A906)</f>
        <v>2014</v>
      </c>
    </row>
    <row r="907" spans="1:5">
      <c r="A907" s="32">
        <v>41911</v>
      </c>
      <c r="B907" t="s">
        <v>0</v>
      </c>
      <c r="C907">
        <v>905</v>
      </c>
      <c r="D907" t="str">
        <f>VLOOKUP(B907,BaseTable,2,FALSE)</f>
        <v>Unter</v>
      </c>
      <c r="E907">
        <f>YEAR(A907)</f>
        <v>2014</v>
      </c>
    </row>
    <row r="908" spans="1:5">
      <c r="A908" s="32">
        <v>41911</v>
      </c>
      <c r="B908" t="s">
        <v>1</v>
      </c>
      <c r="C908">
        <v>6394</v>
      </c>
      <c r="D908" t="str">
        <f>VLOOKUP(B908,BaseTable,2,FALSE)</f>
        <v>Hinter</v>
      </c>
      <c r="E908">
        <f>YEAR(A908)</f>
        <v>2014</v>
      </c>
    </row>
    <row r="909" spans="1:5">
      <c r="A909" s="32">
        <v>41911</v>
      </c>
      <c r="B909" t="s">
        <v>2</v>
      </c>
      <c r="C909">
        <v>10125</v>
      </c>
      <c r="D909" t="str">
        <f>VLOOKUP(B909,BaseTable,2,FALSE)</f>
        <v>Weiter</v>
      </c>
      <c r="E909">
        <f>YEAR(A909)</f>
        <v>2014</v>
      </c>
    </row>
    <row r="910" spans="1:5">
      <c r="A910" s="32">
        <v>41911</v>
      </c>
      <c r="B910" t="s">
        <v>3</v>
      </c>
      <c r="C910">
        <v>5352</v>
      </c>
      <c r="D910" t="str">
        <f>VLOOKUP(B910,BaseTable,2,FALSE)</f>
        <v>Schmecken</v>
      </c>
      <c r="E910">
        <f>YEAR(A910)</f>
        <v>2014</v>
      </c>
    </row>
    <row r="911" spans="1:5">
      <c r="A911" s="32">
        <v>41911</v>
      </c>
      <c r="B911" t="s">
        <v>4</v>
      </c>
      <c r="C911">
        <v>6425</v>
      </c>
      <c r="D911" t="str">
        <f>VLOOKUP(B911,BaseTable,2,FALSE)</f>
        <v>Danach-NY</v>
      </c>
      <c r="E911">
        <f>YEAR(A911)</f>
        <v>2014</v>
      </c>
    </row>
    <row r="912" spans="1:5">
      <c r="A912" s="32">
        <v>41912</v>
      </c>
      <c r="B912" t="s">
        <v>0</v>
      </c>
      <c r="C912">
        <v>968</v>
      </c>
      <c r="D912" t="str">
        <f>VLOOKUP(B912,BaseTable,2,FALSE)</f>
        <v>Unter</v>
      </c>
      <c r="E912">
        <f>YEAR(A912)</f>
        <v>2014</v>
      </c>
    </row>
    <row r="913" spans="1:5">
      <c r="A913" s="32">
        <v>41912</v>
      </c>
      <c r="B913" t="s">
        <v>1</v>
      </c>
      <c r="C913">
        <v>7546</v>
      </c>
      <c r="D913" t="str">
        <f>VLOOKUP(B913,BaseTable,2,FALSE)</f>
        <v>Hinter</v>
      </c>
      <c r="E913">
        <f>YEAR(A913)</f>
        <v>2014</v>
      </c>
    </row>
    <row r="914" spans="1:5">
      <c r="A914" s="32">
        <v>41912</v>
      </c>
      <c r="B914" t="s">
        <v>2</v>
      </c>
      <c r="C914">
        <v>11292</v>
      </c>
      <c r="D914" t="str">
        <f>VLOOKUP(B914,BaseTable,2,FALSE)</f>
        <v>Weiter</v>
      </c>
      <c r="E914">
        <f>YEAR(A914)</f>
        <v>2014</v>
      </c>
    </row>
    <row r="915" spans="1:5">
      <c r="A915" s="32">
        <v>41912</v>
      </c>
      <c r="B915" t="s">
        <v>3</v>
      </c>
      <c r="C915">
        <v>6057</v>
      </c>
      <c r="D915" t="str">
        <f>VLOOKUP(B915,BaseTable,2,FALSE)</f>
        <v>Schmecken</v>
      </c>
      <c r="E915">
        <f>YEAR(A915)</f>
        <v>2014</v>
      </c>
    </row>
    <row r="916" spans="1:5">
      <c r="A916" s="32">
        <v>41912</v>
      </c>
      <c r="B916" t="s">
        <v>4</v>
      </c>
      <c r="C916">
        <v>7568</v>
      </c>
      <c r="D916" t="str">
        <f>VLOOKUP(B916,BaseTable,2,FALSE)</f>
        <v>Danach-NY</v>
      </c>
      <c r="E916">
        <f>YEAR(A916)</f>
        <v>2014</v>
      </c>
    </row>
    <row r="917" spans="1:5">
      <c r="A917" s="32">
        <v>42005</v>
      </c>
      <c r="B917" t="s">
        <v>0</v>
      </c>
      <c r="C917">
        <v>1275</v>
      </c>
      <c r="D917" t="str">
        <f>VLOOKUP(B917,BaseTable,2,FALSE)</f>
        <v>Unter</v>
      </c>
      <c r="E917">
        <f>YEAR(A917)</f>
        <v>2015</v>
      </c>
    </row>
    <row r="918" spans="1:5">
      <c r="A918" s="32">
        <v>42005</v>
      </c>
      <c r="B918" t="s">
        <v>1</v>
      </c>
      <c r="C918">
        <v>7029</v>
      </c>
      <c r="D918" t="str">
        <f>VLOOKUP(B918,BaseTable,2,FALSE)</f>
        <v>Hinter</v>
      </c>
      <c r="E918">
        <f>YEAR(A918)</f>
        <v>2015</v>
      </c>
    </row>
    <row r="919" spans="1:5">
      <c r="A919" s="32">
        <v>42005</v>
      </c>
      <c r="B919" t="s">
        <v>2</v>
      </c>
      <c r="C919">
        <v>9845</v>
      </c>
      <c r="D919" t="str">
        <f>VLOOKUP(B919,BaseTable,2,FALSE)</f>
        <v>Weiter</v>
      </c>
      <c r="E919">
        <f>YEAR(A919)</f>
        <v>2015</v>
      </c>
    </row>
    <row r="920" spans="1:5">
      <c r="A920" s="32">
        <v>42005</v>
      </c>
      <c r="B920" t="s">
        <v>3</v>
      </c>
      <c r="C920">
        <v>7715</v>
      </c>
      <c r="D920" t="str">
        <f>VLOOKUP(B920,BaseTable,2,FALSE)</f>
        <v>Schmecken</v>
      </c>
      <c r="E920">
        <f>YEAR(A920)</f>
        <v>2015</v>
      </c>
    </row>
    <row r="921" spans="1:5">
      <c r="A921" s="32">
        <v>42005</v>
      </c>
      <c r="B921" t="s">
        <v>4</v>
      </c>
      <c r="C921">
        <v>30347</v>
      </c>
      <c r="D921" t="str">
        <f>VLOOKUP(B921,BaseTable,2,FALSE)</f>
        <v>Danach-NY</v>
      </c>
      <c r="E921">
        <f>YEAR(A921)</f>
        <v>2015</v>
      </c>
    </row>
    <row r="922" spans="1:5">
      <c r="A922" s="32">
        <v>42005</v>
      </c>
      <c r="B922" t="s">
        <v>5</v>
      </c>
      <c r="C922">
        <v>1834</v>
      </c>
      <c r="D922" t="str">
        <f>VLOOKUP(B922,BaseTable,2,FALSE)</f>
        <v>Grun</v>
      </c>
      <c r="E922">
        <f>YEAR(A922)</f>
        <v>2015</v>
      </c>
    </row>
    <row r="923" spans="1:5">
      <c r="A923" s="32">
        <v>42006</v>
      </c>
      <c r="B923" t="s">
        <v>0</v>
      </c>
      <c r="C923">
        <v>933</v>
      </c>
      <c r="D923" t="str">
        <f>VLOOKUP(B923,BaseTable,2,FALSE)</f>
        <v>Unter</v>
      </c>
      <c r="E923">
        <f>YEAR(A923)</f>
        <v>2015</v>
      </c>
    </row>
    <row r="924" spans="1:5">
      <c r="A924" s="32">
        <v>42006</v>
      </c>
      <c r="B924" t="s">
        <v>1</v>
      </c>
      <c r="C924">
        <v>4825</v>
      </c>
      <c r="D924" t="str">
        <f>VLOOKUP(B924,BaseTable,2,FALSE)</f>
        <v>Hinter</v>
      </c>
      <c r="E924">
        <f>YEAR(A924)</f>
        <v>2015</v>
      </c>
    </row>
    <row r="925" spans="1:5">
      <c r="A925" s="32">
        <v>42006</v>
      </c>
      <c r="B925" t="s">
        <v>2</v>
      </c>
      <c r="C925">
        <v>7332</v>
      </c>
      <c r="D925" t="str">
        <f>VLOOKUP(B925,BaseTable,2,FALSE)</f>
        <v>Weiter</v>
      </c>
      <c r="E925">
        <f>YEAR(A925)</f>
        <v>2015</v>
      </c>
    </row>
    <row r="926" spans="1:5">
      <c r="A926" s="32">
        <v>42006</v>
      </c>
      <c r="B926" t="s">
        <v>3</v>
      </c>
      <c r="C926">
        <v>5540</v>
      </c>
      <c r="D926" t="str">
        <f>VLOOKUP(B926,BaseTable,2,FALSE)</f>
        <v>Schmecken</v>
      </c>
      <c r="E926">
        <f>YEAR(A926)</f>
        <v>2015</v>
      </c>
    </row>
    <row r="927" spans="1:5">
      <c r="A927" s="32">
        <v>42006</v>
      </c>
      <c r="B927" t="s">
        <v>4</v>
      </c>
      <c r="C927">
        <v>20617</v>
      </c>
      <c r="D927" t="str">
        <f>VLOOKUP(B927,BaseTable,2,FALSE)</f>
        <v>Danach-NY</v>
      </c>
      <c r="E927">
        <f>YEAR(A927)</f>
        <v>2015</v>
      </c>
    </row>
    <row r="928" spans="1:5">
      <c r="A928" s="32">
        <v>42006</v>
      </c>
      <c r="B928" t="s">
        <v>5</v>
      </c>
      <c r="C928">
        <v>1040</v>
      </c>
      <c r="D928" t="str">
        <f>VLOOKUP(B928,BaseTable,2,FALSE)</f>
        <v>Grun</v>
      </c>
      <c r="E928">
        <f>YEAR(A928)</f>
        <v>2015</v>
      </c>
    </row>
    <row r="929" spans="1:5">
      <c r="A929" s="32">
        <v>42007</v>
      </c>
      <c r="B929" t="s">
        <v>0</v>
      </c>
      <c r="C929">
        <v>1157</v>
      </c>
      <c r="D929" t="str">
        <f>VLOOKUP(B929,BaseTable,2,FALSE)</f>
        <v>Unter</v>
      </c>
      <c r="E929">
        <f>YEAR(A929)</f>
        <v>2015</v>
      </c>
    </row>
    <row r="930" spans="1:5">
      <c r="A930" s="32">
        <v>42007</v>
      </c>
      <c r="B930" t="s">
        <v>1</v>
      </c>
      <c r="C930">
        <v>7437</v>
      </c>
      <c r="D930" t="str">
        <f>VLOOKUP(B930,BaseTable,2,FALSE)</f>
        <v>Hinter</v>
      </c>
      <c r="E930">
        <f>YEAR(A930)</f>
        <v>2015</v>
      </c>
    </row>
    <row r="931" spans="1:5">
      <c r="A931" s="32">
        <v>42007</v>
      </c>
      <c r="B931" t="s">
        <v>2</v>
      </c>
      <c r="C931">
        <v>11001</v>
      </c>
      <c r="D931" t="str">
        <f>VLOOKUP(B931,BaseTable,2,FALSE)</f>
        <v>Weiter</v>
      </c>
      <c r="E931">
        <f>YEAR(A931)</f>
        <v>2015</v>
      </c>
    </row>
    <row r="932" spans="1:5">
      <c r="A932" s="32">
        <v>42007</v>
      </c>
      <c r="B932" t="s">
        <v>3</v>
      </c>
      <c r="C932">
        <v>8090</v>
      </c>
      <c r="D932" t="str">
        <f>VLOOKUP(B932,BaseTable,2,FALSE)</f>
        <v>Schmecken</v>
      </c>
      <c r="E932">
        <f>YEAR(A932)</f>
        <v>2015</v>
      </c>
    </row>
    <row r="933" spans="1:5">
      <c r="A933" s="32">
        <v>42007</v>
      </c>
      <c r="B933" t="s">
        <v>4</v>
      </c>
      <c r="C933">
        <v>30598</v>
      </c>
      <c r="D933" t="str">
        <f>VLOOKUP(B933,BaseTable,2,FALSE)</f>
        <v>Danach-NY</v>
      </c>
      <c r="E933">
        <f>YEAR(A933)</f>
        <v>2015</v>
      </c>
    </row>
    <row r="934" spans="1:5">
      <c r="A934" s="32">
        <v>42007</v>
      </c>
      <c r="B934" t="s">
        <v>5</v>
      </c>
      <c r="C934">
        <v>1561</v>
      </c>
      <c r="D934" t="str">
        <f>VLOOKUP(B934,BaseTable,2,FALSE)</f>
        <v>Grun</v>
      </c>
      <c r="E934">
        <f>YEAR(A934)</f>
        <v>2015</v>
      </c>
    </row>
    <row r="935" spans="1:5">
      <c r="A935" s="32">
        <v>42008</v>
      </c>
      <c r="B935" t="s">
        <v>0</v>
      </c>
      <c r="C935">
        <v>848</v>
      </c>
      <c r="D935" t="str">
        <f>VLOOKUP(B935,BaseTable,2,FALSE)</f>
        <v>Unter</v>
      </c>
      <c r="E935">
        <f>YEAR(A935)</f>
        <v>2015</v>
      </c>
    </row>
    <row r="936" spans="1:5">
      <c r="A936" s="32">
        <v>42008</v>
      </c>
      <c r="B936" t="s">
        <v>1</v>
      </c>
      <c r="C936">
        <v>5295</v>
      </c>
      <c r="D936" t="str">
        <f>VLOOKUP(B936,BaseTable,2,FALSE)</f>
        <v>Hinter</v>
      </c>
      <c r="E936">
        <f>YEAR(A936)</f>
        <v>2015</v>
      </c>
    </row>
    <row r="937" spans="1:5">
      <c r="A937" s="32">
        <v>42008</v>
      </c>
      <c r="B937" t="s">
        <v>2</v>
      </c>
      <c r="C937">
        <v>8017</v>
      </c>
      <c r="D937" t="str">
        <f>VLOOKUP(B937,BaseTable,2,FALSE)</f>
        <v>Weiter</v>
      </c>
      <c r="E937">
        <f>YEAR(A937)</f>
        <v>2015</v>
      </c>
    </row>
    <row r="938" spans="1:5">
      <c r="A938" s="32">
        <v>42008</v>
      </c>
      <c r="B938" t="s">
        <v>3</v>
      </c>
      <c r="C938">
        <v>5655</v>
      </c>
      <c r="D938" t="str">
        <f>VLOOKUP(B938,BaseTable,2,FALSE)</f>
        <v>Schmecken</v>
      </c>
      <c r="E938">
        <f>YEAR(A938)</f>
        <v>2015</v>
      </c>
    </row>
    <row r="939" spans="1:5">
      <c r="A939" s="32">
        <v>42008</v>
      </c>
      <c r="B939" t="s">
        <v>4</v>
      </c>
      <c r="C939">
        <v>21110</v>
      </c>
      <c r="D939" t="str">
        <f>VLOOKUP(B939,BaseTable,2,FALSE)</f>
        <v>Danach-NY</v>
      </c>
      <c r="E939">
        <f>YEAR(A939)</f>
        <v>2015</v>
      </c>
    </row>
    <row r="940" spans="1:5">
      <c r="A940" s="32">
        <v>42008</v>
      </c>
      <c r="B940" t="s">
        <v>5</v>
      </c>
      <c r="C940">
        <v>1018</v>
      </c>
      <c r="D940" t="str">
        <f>VLOOKUP(B940,BaseTable,2,FALSE)</f>
        <v>Grun</v>
      </c>
      <c r="E940">
        <f>YEAR(A940)</f>
        <v>2015</v>
      </c>
    </row>
    <row r="941" spans="1:5">
      <c r="A941" s="32">
        <v>42009</v>
      </c>
      <c r="B941" t="s">
        <v>0</v>
      </c>
      <c r="C941">
        <v>1063</v>
      </c>
      <c r="D941" t="str">
        <f>VLOOKUP(B941,BaseTable,2,FALSE)</f>
        <v>Unter</v>
      </c>
      <c r="E941">
        <f>YEAR(A941)</f>
        <v>2015</v>
      </c>
    </row>
    <row r="942" spans="1:5">
      <c r="A942" s="32">
        <v>42009</v>
      </c>
      <c r="B942" t="s">
        <v>1</v>
      </c>
      <c r="C942">
        <v>5801</v>
      </c>
      <c r="D942" t="str">
        <f>VLOOKUP(B942,BaseTable,2,FALSE)</f>
        <v>Hinter</v>
      </c>
      <c r="E942">
        <f>YEAR(A942)</f>
        <v>2015</v>
      </c>
    </row>
    <row r="943" spans="1:5">
      <c r="A943" s="32">
        <v>42009</v>
      </c>
      <c r="B943" t="s">
        <v>2</v>
      </c>
      <c r="C943">
        <v>8075</v>
      </c>
      <c r="D943" t="str">
        <f>VLOOKUP(B943,BaseTable,2,FALSE)</f>
        <v>Weiter</v>
      </c>
      <c r="E943">
        <f>YEAR(A943)</f>
        <v>2015</v>
      </c>
    </row>
    <row r="944" spans="1:5">
      <c r="A944" s="32">
        <v>42009</v>
      </c>
      <c r="B944" t="s">
        <v>3</v>
      </c>
      <c r="C944">
        <v>6102</v>
      </c>
      <c r="D944" t="str">
        <f>VLOOKUP(B944,BaseTable,2,FALSE)</f>
        <v>Schmecken</v>
      </c>
      <c r="E944">
        <f>YEAR(A944)</f>
        <v>2015</v>
      </c>
    </row>
    <row r="945" spans="1:5">
      <c r="A945" s="32">
        <v>42009</v>
      </c>
      <c r="B945" t="s">
        <v>4</v>
      </c>
      <c r="C945">
        <v>21506</v>
      </c>
      <c r="D945" t="str">
        <f>VLOOKUP(B945,BaseTable,2,FALSE)</f>
        <v>Danach-NY</v>
      </c>
      <c r="E945">
        <f>YEAR(A945)</f>
        <v>2015</v>
      </c>
    </row>
    <row r="946" spans="1:5">
      <c r="A946" s="32">
        <v>42009</v>
      </c>
      <c r="B946" t="s">
        <v>5</v>
      </c>
      <c r="C946">
        <v>1131</v>
      </c>
      <c r="D946" t="str">
        <f>VLOOKUP(B946,BaseTable,2,FALSE)</f>
        <v>Grun</v>
      </c>
      <c r="E946">
        <f>YEAR(A946)</f>
        <v>2015</v>
      </c>
    </row>
    <row r="947" spans="1:5">
      <c r="A947" s="32">
        <v>42010</v>
      </c>
      <c r="B947" t="s">
        <v>0</v>
      </c>
      <c r="C947">
        <v>1399</v>
      </c>
      <c r="D947" t="str">
        <f>VLOOKUP(B947,BaseTable,2,FALSE)</f>
        <v>Unter</v>
      </c>
      <c r="E947">
        <f>YEAR(A947)</f>
        <v>2015</v>
      </c>
    </row>
    <row r="948" spans="1:5">
      <c r="A948" s="32">
        <v>42010</v>
      </c>
      <c r="B948" t="s">
        <v>1</v>
      </c>
      <c r="C948">
        <v>6797</v>
      </c>
      <c r="D948" t="str">
        <f>VLOOKUP(B948,BaseTable,2,FALSE)</f>
        <v>Hinter</v>
      </c>
      <c r="E948">
        <f>YEAR(A948)</f>
        <v>2015</v>
      </c>
    </row>
    <row r="949" spans="1:5">
      <c r="A949" s="32">
        <v>42010</v>
      </c>
      <c r="B949" t="s">
        <v>2</v>
      </c>
      <c r="C949">
        <v>10383</v>
      </c>
      <c r="D949" t="str">
        <f>VLOOKUP(B949,BaseTable,2,FALSE)</f>
        <v>Weiter</v>
      </c>
      <c r="E949">
        <f>YEAR(A949)</f>
        <v>2015</v>
      </c>
    </row>
    <row r="950" spans="1:5">
      <c r="A950" s="32">
        <v>42010</v>
      </c>
      <c r="B950" t="s">
        <v>3</v>
      </c>
      <c r="C950">
        <v>7609</v>
      </c>
      <c r="D950" t="str">
        <f>VLOOKUP(B950,BaseTable,2,FALSE)</f>
        <v>Schmecken</v>
      </c>
      <c r="E950">
        <f>YEAR(A950)</f>
        <v>2015</v>
      </c>
    </row>
    <row r="951" spans="1:5">
      <c r="A951" s="32">
        <v>42010</v>
      </c>
      <c r="B951" t="s">
        <v>4</v>
      </c>
      <c r="C951">
        <v>25974</v>
      </c>
      <c r="D951" t="str">
        <f>VLOOKUP(B951,BaseTable,2,FALSE)</f>
        <v>Danach-NY</v>
      </c>
      <c r="E951">
        <f>YEAR(A951)</f>
        <v>2015</v>
      </c>
    </row>
    <row r="952" spans="1:5">
      <c r="A952" s="32">
        <v>42010</v>
      </c>
      <c r="B952" t="s">
        <v>5</v>
      </c>
      <c r="C952">
        <v>1377</v>
      </c>
      <c r="D952" t="str">
        <f>VLOOKUP(B952,BaseTable,2,FALSE)</f>
        <v>Grun</v>
      </c>
      <c r="E952">
        <f>YEAR(A952)</f>
        <v>2015</v>
      </c>
    </row>
    <row r="953" spans="1:5">
      <c r="A953" s="32">
        <v>42011</v>
      </c>
      <c r="B953" t="s">
        <v>0</v>
      </c>
      <c r="C953">
        <v>1532</v>
      </c>
      <c r="D953" t="str">
        <f>VLOOKUP(B953,BaseTable,2,FALSE)</f>
        <v>Unter</v>
      </c>
      <c r="E953">
        <f>YEAR(A953)</f>
        <v>2015</v>
      </c>
    </row>
    <row r="954" spans="1:5">
      <c r="A954" s="32">
        <v>42011</v>
      </c>
      <c r="B954" t="s">
        <v>1</v>
      </c>
      <c r="C954">
        <v>8334</v>
      </c>
      <c r="D954" t="str">
        <f>VLOOKUP(B954,BaseTable,2,FALSE)</f>
        <v>Hinter</v>
      </c>
      <c r="E954">
        <f>YEAR(A954)</f>
        <v>2015</v>
      </c>
    </row>
    <row r="955" spans="1:5">
      <c r="A955" s="32">
        <v>42011</v>
      </c>
      <c r="B955" t="s">
        <v>2</v>
      </c>
      <c r="C955">
        <v>11794</v>
      </c>
      <c r="D955" t="str">
        <f>VLOOKUP(B955,BaseTable,2,FALSE)</f>
        <v>Weiter</v>
      </c>
      <c r="E955">
        <f>YEAR(A955)</f>
        <v>2015</v>
      </c>
    </row>
    <row r="956" spans="1:5">
      <c r="A956" s="32">
        <v>42011</v>
      </c>
      <c r="B956" t="s">
        <v>3</v>
      </c>
      <c r="C956">
        <v>9225</v>
      </c>
      <c r="D956" t="str">
        <f>VLOOKUP(B956,BaseTable,2,FALSE)</f>
        <v>Schmecken</v>
      </c>
      <c r="E956">
        <f>YEAR(A956)</f>
        <v>2015</v>
      </c>
    </row>
    <row r="957" spans="1:5">
      <c r="A957" s="32">
        <v>42011</v>
      </c>
      <c r="B957" t="s">
        <v>4</v>
      </c>
      <c r="C957">
        <v>30748</v>
      </c>
      <c r="D957" t="str">
        <f>VLOOKUP(B957,BaseTable,2,FALSE)</f>
        <v>Danach-NY</v>
      </c>
      <c r="E957">
        <f>YEAR(A957)</f>
        <v>2015</v>
      </c>
    </row>
    <row r="958" spans="1:5">
      <c r="A958" s="32">
        <v>42011</v>
      </c>
      <c r="B958" t="s">
        <v>5</v>
      </c>
      <c r="C958">
        <v>1742</v>
      </c>
      <c r="D958" t="str">
        <f>VLOOKUP(B958,BaseTable,2,FALSE)</f>
        <v>Grun</v>
      </c>
      <c r="E958">
        <f>YEAR(A958)</f>
        <v>2015</v>
      </c>
    </row>
    <row r="959" spans="1:5">
      <c r="A959" s="32">
        <v>42012</v>
      </c>
      <c r="B959" t="s">
        <v>0</v>
      </c>
      <c r="C959">
        <v>1907</v>
      </c>
      <c r="D959" t="str">
        <f>VLOOKUP(B959,BaseTable,2,FALSE)</f>
        <v>Unter</v>
      </c>
      <c r="E959">
        <f>YEAR(A959)</f>
        <v>2015</v>
      </c>
    </row>
    <row r="960" spans="1:5">
      <c r="A960" s="32">
        <v>42012</v>
      </c>
      <c r="B960" t="s">
        <v>1</v>
      </c>
      <c r="C960">
        <v>10155</v>
      </c>
      <c r="D960" t="str">
        <f>VLOOKUP(B960,BaseTable,2,FALSE)</f>
        <v>Hinter</v>
      </c>
      <c r="E960">
        <f>YEAR(A960)</f>
        <v>2015</v>
      </c>
    </row>
    <row r="961" spans="1:5">
      <c r="A961" s="32">
        <v>42012</v>
      </c>
      <c r="B961" t="s">
        <v>2</v>
      </c>
      <c r="C961">
        <v>13853</v>
      </c>
      <c r="D961" t="str">
        <f>VLOOKUP(B961,BaseTable,2,FALSE)</f>
        <v>Weiter</v>
      </c>
      <c r="E961">
        <f>YEAR(A961)</f>
        <v>2015</v>
      </c>
    </row>
    <row r="962" spans="1:5">
      <c r="A962" s="32">
        <v>42012</v>
      </c>
      <c r="B962" t="s">
        <v>3</v>
      </c>
      <c r="C962">
        <v>10532</v>
      </c>
      <c r="D962" t="str">
        <f>VLOOKUP(B962,BaseTable,2,FALSE)</f>
        <v>Schmecken</v>
      </c>
      <c r="E962">
        <f>YEAR(A962)</f>
        <v>2015</v>
      </c>
    </row>
    <row r="963" spans="1:5">
      <c r="A963" s="32">
        <v>42012</v>
      </c>
      <c r="B963" t="s">
        <v>4</v>
      </c>
      <c r="C963">
        <v>34615</v>
      </c>
      <c r="D963" t="str">
        <f>VLOOKUP(B963,BaseTable,2,FALSE)</f>
        <v>Danach-NY</v>
      </c>
      <c r="E963">
        <f>YEAR(A963)</f>
        <v>2015</v>
      </c>
    </row>
    <row r="964" spans="1:5">
      <c r="A964" s="32">
        <v>42012</v>
      </c>
      <c r="B964" t="s">
        <v>5</v>
      </c>
      <c r="C964">
        <v>1954</v>
      </c>
      <c r="D964" t="str">
        <f>VLOOKUP(B964,BaseTable,2,FALSE)</f>
        <v>Grun</v>
      </c>
      <c r="E964">
        <f>YEAR(A964)</f>
        <v>2015</v>
      </c>
    </row>
    <row r="965" spans="1:5">
      <c r="A965" s="32">
        <v>42013</v>
      </c>
      <c r="B965" t="s">
        <v>0</v>
      </c>
      <c r="C965">
        <v>1713</v>
      </c>
      <c r="D965" t="str">
        <f>VLOOKUP(B965,BaseTable,2,FALSE)</f>
        <v>Unter</v>
      </c>
      <c r="E965">
        <f>YEAR(A965)</f>
        <v>2015</v>
      </c>
    </row>
    <row r="966" spans="1:5">
      <c r="A966" s="32">
        <v>42013</v>
      </c>
      <c r="B966" t="s">
        <v>1</v>
      </c>
      <c r="C966">
        <v>9584</v>
      </c>
      <c r="D966" t="str">
        <f>VLOOKUP(B966,BaseTable,2,FALSE)</f>
        <v>Hinter</v>
      </c>
      <c r="E966">
        <f>YEAR(A966)</f>
        <v>2015</v>
      </c>
    </row>
    <row r="967" spans="1:5">
      <c r="A967" s="32">
        <v>42013</v>
      </c>
      <c r="B967" t="s">
        <v>2</v>
      </c>
      <c r="C967">
        <v>13532</v>
      </c>
      <c r="D967" t="str">
        <f>VLOOKUP(B967,BaseTable,2,FALSE)</f>
        <v>Weiter</v>
      </c>
      <c r="E967">
        <f>YEAR(A967)</f>
        <v>2015</v>
      </c>
    </row>
    <row r="968" spans="1:5">
      <c r="A968" s="32">
        <v>42013</v>
      </c>
      <c r="B968" t="s">
        <v>3</v>
      </c>
      <c r="C968">
        <v>10622</v>
      </c>
      <c r="D968" t="str">
        <f>VLOOKUP(B968,BaseTable,2,FALSE)</f>
        <v>Schmecken</v>
      </c>
      <c r="E968">
        <f>YEAR(A968)</f>
        <v>2015</v>
      </c>
    </row>
    <row r="969" spans="1:5">
      <c r="A969" s="32">
        <v>42013</v>
      </c>
      <c r="B969" t="s">
        <v>4</v>
      </c>
      <c r="C969">
        <v>34577</v>
      </c>
      <c r="D969" t="str">
        <f>VLOOKUP(B969,BaseTable,2,FALSE)</f>
        <v>Danach-NY</v>
      </c>
      <c r="E969">
        <f>YEAR(A969)</f>
        <v>2015</v>
      </c>
    </row>
    <row r="970" spans="1:5">
      <c r="A970" s="32">
        <v>42013</v>
      </c>
      <c r="B970" t="s">
        <v>5</v>
      </c>
      <c r="C970">
        <v>2096</v>
      </c>
      <c r="D970" t="str">
        <f>VLOOKUP(B970,BaseTable,2,FALSE)</f>
        <v>Grun</v>
      </c>
      <c r="E970">
        <f>YEAR(A970)</f>
        <v>2015</v>
      </c>
    </row>
    <row r="971" spans="1:5">
      <c r="A971" s="32">
        <v>42014</v>
      </c>
      <c r="B971" t="s">
        <v>0</v>
      </c>
      <c r="C971">
        <v>1810</v>
      </c>
      <c r="D971" t="str">
        <f>VLOOKUP(B971,BaseTable,2,FALSE)</f>
        <v>Unter</v>
      </c>
      <c r="E971">
        <f>YEAR(A971)</f>
        <v>2015</v>
      </c>
    </row>
    <row r="972" spans="1:5">
      <c r="A972" s="32">
        <v>42014</v>
      </c>
      <c r="B972" t="s">
        <v>1</v>
      </c>
      <c r="C972">
        <v>10383</v>
      </c>
      <c r="D972" t="str">
        <f>VLOOKUP(B972,BaseTable,2,FALSE)</f>
        <v>Hinter</v>
      </c>
      <c r="E972">
        <f>YEAR(A972)</f>
        <v>2015</v>
      </c>
    </row>
    <row r="973" spans="1:5">
      <c r="A973" s="32">
        <v>42014</v>
      </c>
      <c r="B973" t="s">
        <v>2</v>
      </c>
      <c r="C973">
        <v>14242</v>
      </c>
      <c r="D973" t="str">
        <f>VLOOKUP(B973,BaseTable,2,FALSE)</f>
        <v>Weiter</v>
      </c>
      <c r="E973">
        <f>YEAR(A973)</f>
        <v>2015</v>
      </c>
    </row>
    <row r="974" spans="1:5">
      <c r="A974" s="32">
        <v>42014</v>
      </c>
      <c r="B974" t="s">
        <v>3</v>
      </c>
      <c r="C974">
        <v>11786</v>
      </c>
      <c r="D974" t="str">
        <f>VLOOKUP(B974,BaseTable,2,FALSE)</f>
        <v>Schmecken</v>
      </c>
      <c r="E974">
        <f>YEAR(A974)</f>
        <v>2015</v>
      </c>
    </row>
    <row r="975" spans="1:5">
      <c r="A975" s="32">
        <v>42014</v>
      </c>
      <c r="B975" t="s">
        <v>4</v>
      </c>
      <c r="C975">
        <v>40187</v>
      </c>
      <c r="D975" t="str">
        <f>VLOOKUP(B975,BaseTable,2,FALSE)</f>
        <v>Danach-NY</v>
      </c>
      <c r="E975">
        <f>YEAR(A975)</f>
        <v>2015</v>
      </c>
    </row>
    <row r="976" spans="1:5">
      <c r="A976" s="32">
        <v>42014</v>
      </c>
      <c r="B976" t="s">
        <v>5</v>
      </c>
      <c r="C976">
        <v>2248</v>
      </c>
      <c r="D976" t="str">
        <f>VLOOKUP(B976,BaseTable,2,FALSE)</f>
        <v>Grun</v>
      </c>
      <c r="E976">
        <f>YEAR(A976)</f>
        <v>2015</v>
      </c>
    </row>
    <row r="977" spans="1:5">
      <c r="A977" s="32">
        <v>42015</v>
      </c>
      <c r="B977" t="s">
        <v>0</v>
      </c>
      <c r="C977">
        <v>1255</v>
      </c>
      <c r="D977" t="str">
        <f>VLOOKUP(B977,BaseTable,2,FALSE)</f>
        <v>Unter</v>
      </c>
      <c r="E977">
        <f>YEAR(A977)</f>
        <v>2015</v>
      </c>
    </row>
    <row r="978" spans="1:5">
      <c r="A978" s="32">
        <v>42015</v>
      </c>
      <c r="B978" t="s">
        <v>1</v>
      </c>
      <c r="C978">
        <v>7374</v>
      </c>
      <c r="D978" t="str">
        <f>VLOOKUP(B978,BaseTable,2,FALSE)</f>
        <v>Hinter</v>
      </c>
      <c r="E978">
        <f>YEAR(A978)</f>
        <v>2015</v>
      </c>
    </row>
    <row r="979" spans="1:5">
      <c r="A979" s="32">
        <v>42015</v>
      </c>
      <c r="B979" t="s">
        <v>2</v>
      </c>
      <c r="C979">
        <v>11254</v>
      </c>
      <c r="D979" t="str">
        <f>VLOOKUP(B979,BaseTable,2,FALSE)</f>
        <v>Weiter</v>
      </c>
      <c r="E979">
        <f>YEAR(A979)</f>
        <v>2015</v>
      </c>
    </row>
    <row r="980" spans="1:5">
      <c r="A980" s="32">
        <v>42015</v>
      </c>
      <c r="B980" t="s">
        <v>3</v>
      </c>
      <c r="C980">
        <v>8611</v>
      </c>
      <c r="D980" t="str">
        <f>VLOOKUP(B980,BaseTable,2,FALSE)</f>
        <v>Schmecken</v>
      </c>
      <c r="E980">
        <f>YEAR(A980)</f>
        <v>2015</v>
      </c>
    </row>
    <row r="981" spans="1:5">
      <c r="A981" s="32">
        <v>42015</v>
      </c>
      <c r="B981" t="s">
        <v>4</v>
      </c>
      <c r="C981">
        <v>28581</v>
      </c>
      <c r="D981" t="str">
        <f>VLOOKUP(B981,BaseTable,2,FALSE)</f>
        <v>Danach-NY</v>
      </c>
      <c r="E981">
        <f>YEAR(A981)</f>
        <v>2015</v>
      </c>
    </row>
    <row r="982" spans="1:5">
      <c r="A982" s="32">
        <v>42015</v>
      </c>
      <c r="B982" t="s">
        <v>5</v>
      </c>
      <c r="C982">
        <v>1676</v>
      </c>
      <c r="D982" t="str">
        <f>VLOOKUP(B982,BaseTable,2,FALSE)</f>
        <v>Grun</v>
      </c>
      <c r="E982">
        <f>YEAR(A982)</f>
        <v>2015</v>
      </c>
    </row>
    <row r="983" spans="1:5">
      <c r="A983" s="32">
        <v>42016</v>
      </c>
      <c r="B983" t="s">
        <v>0</v>
      </c>
      <c r="C983">
        <v>1530</v>
      </c>
      <c r="D983" t="str">
        <f>VLOOKUP(B983,BaseTable,2,FALSE)</f>
        <v>Unter</v>
      </c>
      <c r="E983">
        <f>YEAR(A983)</f>
        <v>2015</v>
      </c>
    </row>
    <row r="984" spans="1:5">
      <c r="A984" s="32">
        <v>42016</v>
      </c>
      <c r="B984" t="s">
        <v>1</v>
      </c>
      <c r="C984">
        <v>7885</v>
      </c>
      <c r="D984" t="str">
        <f>VLOOKUP(B984,BaseTable,2,FALSE)</f>
        <v>Hinter</v>
      </c>
      <c r="E984">
        <f>YEAR(A984)</f>
        <v>2015</v>
      </c>
    </row>
    <row r="985" spans="1:5">
      <c r="A985" s="32">
        <v>42016</v>
      </c>
      <c r="B985" t="s">
        <v>2</v>
      </c>
      <c r="C985">
        <v>10919</v>
      </c>
      <c r="D985" t="str">
        <f>VLOOKUP(B985,BaseTable,2,FALSE)</f>
        <v>Weiter</v>
      </c>
      <c r="E985">
        <f>YEAR(A985)</f>
        <v>2015</v>
      </c>
    </row>
    <row r="986" spans="1:5">
      <c r="A986" s="32">
        <v>42016</v>
      </c>
      <c r="B986" t="s">
        <v>3</v>
      </c>
      <c r="C986">
        <v>9232</v>
      </c>
      <c r="D986" t="str">
        <f>VLOOKUP(B986,BaseTable,2,FALSE)</f>
        <v>Schmecken</v>
      </c>
      <c r="E986">
        <f>YEAR(A986)</f>
        <v>2015</v>
      </c>
    </row>
    <row r="987" spans="1:5">
      <c r="A987" s="32">
        <v>42016</v>
      </c>
      <c r="B987" t="s">
        <v>4</v>
      </c>
      <c r="C987">
        <v>27665</v>
      </c>
      <c r="D987" t="str">
        <f>VLOOKUP(B987,BaseTable,2,FALSE)</f>
        <v>Danach-NY</v>
      </c>
      <c r="E987">
        <f>YEAR(A987)</f>
        <v>2015</v>
      </c>
    </row>
    <row r="988" spans="1:5">
      <c r="A988" s="32">
        <v>42016</v>
      </c>
      <c r="B988" t="s">
        <v>5</v>
      </c>
      <c r="C988">
        <v>1760</v>
      </c>
      <c r="D988" t="str">
        <f>VLOOKUP(B988,BaseTable,2,FALSE)</f>
        <v>Grun</v>
      </c>
      <c r="E988">
        <f>YEAR(A988)</f>
        <v>2015</v>
      </c>
    </row>
    <row r="989" spans="1:5">
      <c r="A989" s="32">
        <v>42017</v>
      </c>
      <c r="B989" t="s">
        <v>0</v>
      </c>
      <c r="C989">
        <v>1800</v>
      </c>
      <c r="D989" t="str">
        <f>VLOOKUP(B989,BaseTable,2,FALSE)</f>
        <v>Unter</v>
      </c>
      <c r="E989">
        <f>YEAR(A989)</f>
        <v>2015</v>
      </c>
    </row>
    <row r="990" spans="1:5">
      <c r="A990" s="32">
        <v>42017</v>
      </c>
      <c r="B990" t="s">
        <v>1</v>
      </c>
      <c r="C990">
        <v>8611</v>
      </c>
      <c r="D990" t="str">
        <f>VLOOKUP(B990,BaseTable,2,FALSE)</f>
        <v>Hinter</v>
      </c>
      <c r="E990">
        <f>YEAR(A990)</f>
        <v>2015</v>
      </c>
    </row>
    <row r="991" spans="1:5">
      <c r="A991" s="32">
        <v>42017</v>
      </c>
      <c r="B991" t="s">
        <v>2</v>
      </c>
      <c r="C991">
        <v>12049</v>
      </c>
      <c r="D991" t="str">
        <f>VLOOKUP(B991,BaseTable,2,FALSE)</f>
        <v>Weiter</v>
      </c>
      <c r="E991">
        <f>YEAR(A991)</f>
        <v>2015</v>
      </c>
    </row>
    <row r="992" spans="1:5">
      <c r="A992" s="32">
        <v>42017</v>
      </c>
      <c r="B992" t="s">
        <v>3</v>
      </c>
      <c r="C992">
        <v>9775</v>
      </c>
      <c r="D992" t="str">
        <f>VLOOKUP(B992,BaseTable,2,FALSE)</f>
        <v>Schmecken</v>
      </c>
      <c r="E992">
        <f>YEAR(A992)</f>
        <v>2015</v>
      </c>
    </row>
    <row r="993" spans="1:5">
      <c r="A993" s="32">
        <v>42017</v>
      </c>
      <c r="B993" t="s">
        <v>4</v>
      </c>
      <c r="C993">
        <v>30788</v>
      </c>
      <c r="D993" t="str">
        <f>VLOOKUP(B993,BaseTable,2,FALSE)</f>
        <v>Danach-NY</v>
      </c>
      <c r="E993">
        <f>YEAR(A993)</f>
        <v>2015</v>
      </c>
    </row>
    <row r="994" spans="1:5">
      <c r="A994" s="32">
        <v>42017</v>
      </c>
      <c r="B994" t="s">
        <v>5</v>
      </c>
      <c r="C994">
        <v>1742</v>
      </c>
      <c r="D994" t="str">
        <f>VLOOKUP(B994,BaseTable,2,FALSE)</f>
        <v>Grun</v>
      </c>
      <c r="E994">
        <f>YEAR(A994)</f>
        <v>2015</v>
      </c>
    </row>
    <row r="995" spans="1:5">
      <c r="A995" s="32">
        <v>42018</v>
      </c>
      <c r="B995" t="s">
        <v>0</v>
      </c>
      <c r="C995">
        <v>1720</v>
      </c>
      <c r="D995" t="str">
        <f>VLOOKUP(B995,BaseTable,2,FALSE)</f>
        <v>Unter</v>
      </c>
      <c r="E995">
        <f>YEAR(A995)</f>
        <v>2015</v>
      </c>
    </row>
    <row r="996" spans="1:5">
      <c r="A996" s="32">
        <v>42018</v>
      </c>
      <c r="B996" t="s">
        <v>1</v>
      </c>
      <c r="C996">
        <v>8809</v>
      </c>
      <c r="D996" t="str">
        <f>VLOOKUP(B996,BaseTable,2,FALSE)</f>
        <v>Hinter</v>
      </c>
      <c r="E996">
        <f>YEAR(A996)</f>
        <v>2015</v>
      </c>
    </row>
    <row r="997" spans="1:5">
      <c r="A997" s="32">
        <v>42018</v>
      </c>
      <c r="B997" t="s">
        <v>2</v>
      </c>
      <c r="C997">
        <v>12202</v>
      </c>
      <c r="D997" t="str">
        <f>VLOOKUP(B997,BaseTable,2,FALSE)</f>
        <v>Weiter</v>
      </c>
      <c r="E997">
        <f>YEAR(A997)</f>
        <v>2015</v>
      </c>
    </row>
    <row r="998" spans="1:5">
      <c r="A998" s="32">
        <v>42018</v>
      </c>
      <c r="B998" t="s">
        <v>3</v>
      </c>
      <c r="C998">
        <v>9899</v>
      </c>
      <c r="D998" t="str">
        <f>VLOOKUP(B998,BaseTable,2,FALSE)</f>
        <v>Schmecken</v>
      </c>
      <c r="E998">
        <f>YEAR(A998)</f>
        <v>2015</v>
      </c>
    </row>
    <row r="999" spans="1:5">
      <c r="A999" s="32">
        <v>42018</v>
      </c>
      <c r="B999" t="s">
        <v>4</v>
      </c>
      <c r="C999">
        <v>30473</v>
      </c>
      <c r="D999" t="str">
        <f>VLOOKUP(B999,BaseTable,2,FALSE)</f>
        <v>Danach-NY</v>
      </c>
      <c r="E999">
        <f>YEAR(A999)</f>
        <v>2015</v>
      </c>
    </row>
    <row r="1000" spans="1:5">
      <c r="A1000" s="32">
        <v>42018</v>
      </c>
      <c r="B1000" t="s">
        <v>5</v>
      </c>
      <c r="C1000">
        <v>1622</v>
      </c>
      <c r="D1000" t="str">
        <f>VLOOKUP(B1000,BaseTable,2,FALSE)</f>
        <v>Grun</v>
      </c>
      <c r="E1000">
        <f>YEAR(A1000)</f>
        <v>2015</v>
      </c>
    </row>
    <row r="1001" spans="1:5">
      <c r="A1001" s="32">
        <v>42019</v>
      </c>
      <c r="B1001" t="s">
        <v>0</v>
      </c>
      <c r="C1001">
        <v>1753</v>
      </c>
      <c r="D1001" t="str">
        <f>VLOOKUP(B1001,BaseTable,2,FALSE)</f>
        <v>Unter</v>
      </c>
      <c r="E1001">
        <f>YEAR(A1001)</f>
        <v>2015</v>
      </c>
    </row>
    <row r="1002" spans="1:5">
      <c r="A1002" s="32">
        <v>42019</v>
      </c>
      <c r="B1002" t="s">
        <v>1</v>
      </c>
      <c r="C1002">
        <v>9129</v>
      </c>
      <c r="D1002" t="str">
        <f>VLOOKUP(B1002,BaseTable,2,FALSE)</f>
        <v>Hinter</v>
      </c>
      <c r="E1002">
        <f>YEAR(A1002)</f>
        <v>2015</v>
      </c>
    </row>
    <row r="1003" spans="1:5">
      <c r="A1003" s="32">
        <v>42019</v>
      </c>
      <c r="B1003" t="s">
        <v>2</v>
      </c>
      <c r="C1003">
        <v>12888</v>
      </c>
      <c r="D1003" t="str">
        <f>VLOOKUP(B1003,BaseTable,2,FALSE)</f>
        <v>Weiter</v>
      </c>
      <c r="E1003">
        <f>YEAR(A1003)</f>
        <v>2015</v>
      </c>
    </row>
    <row r="1004" spans="1:5">
      <c r="A1004" s="32">
        <v>42019</v>
      </c>
      <c r="B1004" t="s">
        <v>3</v>
      </c>
      <c r="C1004">
        <v>10484</v>
      </c>
      <c r="D1004" t="str">
        <f>VLOOKUP(B1004,BaseTable,2,FALSE)</f>
        <v>Schmecken</v>
      </c>
      <c r="E1004">
        <f>YEAR(A1004)</f>
        <v>2015</v>
      </c>
    </row>
    <row r="1005" spans="1:5">
      <c r="A1005" s="32">
        <v>42019</v>
      </c>
      <c r="B1005" t="s">
        <v>4</v>
      </c>
      <c r="C1005">
        <v>32136</v>
      </c>
      <c r="D1005" t="str">
        <f>VLOOKUP(B1005,BaseTable,2,FALSE)</f>
        <v>Danach-NY</v>
      </c>
      <c r="E1005">
        <f>YEAR(A1005)</f>
        <v>2015</v>
      </c>
    </row>
    <row r="1006" spans="1:5">
      <c r="A1006" s="32">
        <v>42019</v>
      </c>
      <c r="B1006" t="s">
        <v>5</v>
      </c>
      <c r="C1006">
        <v>1821</v>
      </c>
      <c r="D1006" t="str">
        <f>VLOOKUP(B1006,BaseTable,2,FALSE)</f>
        <v>Grun</v>
      </c>
      <c r="E1006">
        <f>YEAR(A1006)</f>
        <v>2015</v>
      </c>
    </row>
    <row r="1007" spans="1:5">
      <c r="A1007" s="32">
        <v>42020</v>
      </c>
      <c r="B1007" t="s">
        <v>0</v>
      </c>
      <c r="C1007">
        <v>1630</v>
      </c>
      <c r="D1007" t="str">
        <f>VLOOKUP(B1007,BaseTable,2,FALSE)</f>
        <v>Unter</v>
      </c>
      <c r="E1007">
        <f>YEAR(A1007)</f>
        <v>2015</v>
      </c>
    </row>
    <row r="1008" spans="1:5">
      <c r="A1008" s="32">
        <v>42020</v>
      </c>
      <c r="B1008" t="s">
        <v>1</v>
      </c>
      <c r="C1008">
        <v>9839</v>
      </c>
      <c r="D1008" t="str">
        <f>VLOOKUP(B1008,BaseTable,2,FALSE)</f>
        <v>Hinter</v>
      </c>
      <c r="E1008">
        <f>YEAR(A1008)</f>
        <v>2015</v>
      </c>
    </row>
    <row r="1009" spans="1:5">
      <c r="A1009" s="32">
        <v>42020</v>
      </c>
      <c r="B1009" t="s">
        <v>2</v>
      </c>
      <c r="C1009">
        <v>13283</v>
      </c>
      <c r="D1009" t="str">
        <f>VLOOKUP(B1009,BaseTable,2,FALSE)</f>
        <v>Weiter</v>
      </c>
      <c r="E1009">
        <f>YEAR(A1009)</f>
        <v>2015</v>
      </c>
    </row>
    <row r="1010" spans="1:5">
      <c r="A1010" s="32">
        <v>42020</v>
      </c>
      <c r="B1010" t="s">
        <v>3</v>
      </c>
      <c r="C1010">
        <v>11385</v>
      </c>
      <c r="D1010" t="str">
        <f>VLOOKUP(B1010,BaseTable,2,FALSE)</f>
        <v>Schmecken</v>
      </c>
      <c r="E1010">
        <f>YEAR(A1010)</f>
        <v>2015</v>
      </c>
    </row>
    <row r="1011" spans="1:5">
      <c r="A1011" s="32">
        <v>42020</v>
      </c>
      <c r="B1011" t="s">
        <v>4</v>
      </c>
      <c r="C1011">
        <v>35910</v>
      </c>
      <c r="D1011" t="str">
        <f>VLOOKUP(B1011,BaseTable,2,FALSE)</f>
        <v>Danach-NY</v>
      </c>
      <c r="E1011">
        <f>YEAR(A1011)</f>
        <v>2015</v>
      </c>
    </row>
    <row r="1012" spans="1:5">
      <c r="A1012" s="32">
        <v>42020</v>
      </c>
      <c r="B1012" t="s">
        <v>5</v>
      </c>
      <c r="C1012">
        <v>2146</v>
      </c>
      <c r="D1012" t="str">
        <f>VLOOKUP(B1012,BaseTable,2,FALSE)</f>
        <v>Grun</v>
      </c>
      <c r="E1012">
        <f>YEAR(A1012)</f>
        <v>2015</v>
      </c>
    </row>
    <row r="1013" spans="1:5">
      <c r="A1013" s="32">
        <v>42021</v>
      </c>
      <c r="B1013" t="s">
        <v>0</v>
      </c>
      <c r="C1013">
        <v>1382</v>
      </c>
      <c r="D1013" t="str">
        <f>VLOOKUP(B1013,BaseTable,2,FALSE)</f>
        <v>Unter</v>
      </c>
      <c r="E1013">
        <f>YEAR(A1013)</f>
        <v>2015</v>
      </c>
    </row>
    <row r="1014" spans="1:5">
      <c r="A1014" s="32">
        <v>42021</v>
      </c>
      <c r="B1014" t="s">
        <v>1</v>
      </c>
      <c r="C1014">
        <v>9587</v>
      </c>
      <c r="D1014" t="str">
        <f>VLOOKUP(B1014,BaseTable,2,FALSE)</f>
        <v>Hinter</v>
      </c>
      <c r="E1014">
        <f>YEAR(A1014)</f>
        <v>2015</v>
      </c>
    </row>
    <row r="1015" spans="1:5">
      <c r="A1015" s="32">
        <v>42021</v>
      </c>
      <c r="B1015" t="s">
        <v>2</v>
      </c>
      <c r="C1015">
        <v>13102</v>
      </c>
      <c r="D1015" t="str">
        <f>VLOOKUP(B1015,BaseTable,2,FALSE)</f>
        <v>Weiter</v>
      </c>
      <c r="E1015">
        <f>YEAR(A1015)</f>
        <v>2015</v>
      </c>
    </row>
    <row r="1016" spans="1:5">
      <c r="A1016" s="32">
        <v>42021</v>
      </c>
      <c r="B1016" t="s">
        <v>3</v>
      </c>
      <c r="C1016">
        <v>11414</v>
      </c>
      <c r="D1016" t="str">
        <f>VLOOKUP(B1016,BaseTable,2,FALSE)</f>
        <v>Schmecken</v>
      </c>
      <c r="E1016">
        <f>YEAR(A1016)</f>
        <v>2015</v>
      </c>
    </row>
    <row r="1017" spans="1:5">
      <c r="A1017" s="32">
        <v>42021</v>
      </c>
      <c r="B1017" t="s">
        <v>4</v>
      </c>
      <c r="C1017">
        <v>37689</v>
      </c>
      <c r="D1017" t="str">
        <f>VLOOKUP(B1017,BaseTable,2,FALSE)</f>
        <v>Danach-NY</v>
      </c>
      <c r="E1017">
        <f>YEAR(A1017)</f>
        <v>2015</v>
      </c>
    </row>
    <row r="1018" spans="1:5">
      <c r="A1018" s="32">
        <v>42021</v>
      </c>
      <c r="B1018" t="s">
        <v>5</v>
      </c>
      <c r="C1018">
        <v>2190</v>
      </c>
      <c r="D1018" t="str">
        <f>VLOOKUP(B1018,BaseTable,2,FALSE)</f>
        <v>Grun</v>
      </c>
      <c r="E1018">
        <f>YEAR(A1018)</f>
        <v>2015</v>
      </c>
    </row>
    <row r="1019" spans="1:5">
      <c r="A1019" s="32">
        <v>42022</v>
      </c>
      <c r="B1019" t="s">
        <v>0</v>
      </c>
      <c r="C1019">
        <v>1677</v>
      </c>
      <c r="D1019" t="str">
        <f>VLOOKUP(B1019,BaseTable,2,FALSE)</f>
        <v>Unter</v>
      </c>
      <c r="E1019">
        <f>YEAR(A1019)</f>
        <v>2015</v>
      </c>
    </row>
    <row r="1020" spans="1:5">
      <c r="A1020" s="32">
        <v>42022</v>
      </c>
      <c r="B1020" t="s">
        <v>1</v>
      </c>
      <c r="C1020">
        <v>9552</v>
      </c>
      <c r="D1020" t="str">
        <f>VLOOKUP(B1020,BaseTable,2,FALSE)</f>
        <v>Hinter</v>
      </c>
      <c r="E1020">
        <f>YEAR(A1020)</f>
        <v>2015</v>
      </c>
    </row>
    <row r="1021" spans="1:5">
      <c r="A1021" s="32">
        <v>42022</v>
      </c>
      <c r="B1021" t="s">
        <v>2</v>
      </c>
      <c r="C1021">
        <v>13301</v>
      </c>
      <c r="D1021" t="str">
        <f>VLOOKUP(B1021,BaseTable,2,FALSE)</f>
        <v>Weiter</v>
      </c>
      <c r="E1021">
        <f>YEAR(A1021)</f>
        <v>2015</v>
      </c>
    </row>
    <row r="1022" spans="1:5">
      <c r="A1022" s="32">
        <v>42022</v>
      </c>
      <c r="B1022" t="s">
        <v>3</v>
      </c>
      <c r="C1022">
        <v>11303</v>
      </c>
      <c r="D1022" t="str">
        <f>VLOOKUP(B1022,BaseTable,2,FALSE)</f>
        <v>Schmecken</v>
      </c>
      <c r="E1022">
        <f>YEAR(A1022)</f>
        <v>2015</v>
      </c>
    </row>
    <row r="1023" spans="1:5">
      <c r="A1023" s="32">
        <v>42022</v>
      </c>
      <c r="B1023" t="s">
        <v>4</v>
      </c>
      <c r="C1023">
        <v>36356</v>
      </c>
      <c r="D1023" t="str">
        <f>VLOOKUP(B1023,BaseTable,2,FALSE)</f>
        <v>Danach-NY</v>
      </c>
      <c r="E1023">
        <f>YEAR(A1023)</f>
        <v>2015</v>
      </c>
    </row>
    <row r="1024" spans="1:5">
      <c r="A1024" s="32">
        <v>42022</v>
      </c>
      <c r="B1024" t="s">
        <v>5</v>
      </c>
      <c r="C1024">
        <v>2334</v>
      </c>
      <c r="D1024" t="str">
        <f>VLOOKUP(B1024,BaseTable,2,FALSE)</f>
        <v>Grun</v>
      </c>
      <c r="E1024">
        <f>YEAR(A1024)</f>
        <v>2015</v>
      </c>
    </row>
    <row r="1025" spans="1:5">
      <c r="A1025" s="32">
        <v>42023</v>
      </c>
      <c r="B1025" t="s">
        <v>0</v>
      </c>
      <c r="C1025">
        <v>1129</v>
      </c>
      <c r="D1025" t="str">
        <f>VLOOKUP(B1025,BaseTable,2,FALSE)</f>
        <v>Unter</v>
      </c>
      <c r="E1025">
        <f>YEAR(A1025)</f>
        <v>2015</v>
      </c>
    </row>
    <row r="1026" spans="1:5">
      <c r="A1026" s="32">
        <v>42023</v>
      </c>
      <c r="B1026" t="s">
        <v>1</v>
      </c>
      <c r="C1026">
        <v>5558</v>
      </c>
      <c r="D1026" t="str">
        <f>VLOOKUP(B1026,BaseTable,2,FALSE)</f>
        <v>Hinter</v>
      </c>
      <c r="E1026">
        <f>YEAR(A1026)</f>
        <v>2015</v>
      </c>
    </row>
    <row r="1027" spans="1:5">
      <c r="A1027" s="32">
        <v>42023</v>
      </c>
      <c r="B1027" t="s">
        <v>2</v>
      </c>
      <c r="C1027">
        <v>8015</v>
      </c>
      <c r="D1027" t="str">
        <f>VLOOKUP(B1027,BaseTable,2,FALSE)</f>
        <v>Weiter</v>
      </c>
      <c r="E1027">
        <f>YEAR(A1027)</f>
        <v>2015</v>
      </c>
    </row>
    <row r="1028" spans="1:5">
      <c r="A1028" s="32">
        <v>42023</v>
      </c>
      <c r="B1028" t="s">
        <v>3</v>
      </c>
      <c r="C1028">
        <v>7155</v>
      </c>
      <c r="D1028" t="str">
        <f>VLOOKUP(B1028,BaseTable,2,FALSE)</f>
        <v>Schmecken</v>
      </c>
      <c r="E1028">
        <f>YEAR(A1028)</f>
        <v>2015</v>
      </c>
    </row>
    <row r="1029" spans="1:5">
      <c r="A1029" s="32">
        <v>42023</v>
      </c>
      <c r="B1029" t="s">
        <v>4</v>
      </c>
      <c r="C1029">
        <v>23581</v>
      </c>
      <c r="D1029" t="str">
        <f>VLOOKUP(B1029,BaseTable,2,FALSE)</f>
        <v>Danach-NY</v>
      </c>
      <c r="E1029">
        <f>YEAR(A1029)</f>
        <v>2015</v>
      </c>
    </row>
    <row r="1030" spans="1:5">
      <c r="A1030" s="32">
        <v>42023</v>
      </c>
      <c r="B1030" t="s">
        <v>5</v>
      </c>
      <c r="C1030">
        <v>1587</v>
      </c>
      <c r="D1030" t="str">
        <f>VLOOKUP(B1030,BaseTable,2,FALSE)</f>
        <v>Grun</v>
      </c>
      <c r="E1030">
        <f>YEAR(A1030)</f>
        <v>2015</v>
      </c>
    </row>
    <row r="1031" spans="1:5">
      <c r="A1031" s="32">
        <v>42024</v>
      </c>
      <c r="B1031" t="s">
        <v>0</v>
      </c>
      <c r="C1031">
        <v>1411</v>
      </c>
      <c r="D1031" t="str">
        <f>VLOOKUP(B1031,BaseTable,2,FALSE)</f>
        <v>Unter</v>
      </c>
      <c r="E1031">
        <f>YEAR(A1031)</f>
        <v>2015</v>
      </c>
    </row>
    <row r="1032" spans="1:5">
      <c r="A1032" s="32">
        <v>42024</v>
      </c>
      <c r="B1032" t="s">
        <v>1</v>
      </c>
      <c r="C1032">
        <v>7156</v>
      </c>
      <c r="D1032" t="str">
        <f>VLOOKUP(B1032,BaseTable,2,FALSE)</f>
        <v>Hinter</v>
      </c>
      <c r="E1032">
        <f>YEAR(A1032)</f>
        <v>2015</v>
      </c>
    </row>
    <row r="1033" spans="1:5">
      <c r="A1033" s="32">
        <v>42024</v>
      </c>
      <c r="B1033" t="s">
        <v>2</v>
      </c>
      <c r="C1033">
        <v>10171</v>
      </c>
      <c r="D1033" t="str">
        <f>VLOOKUP(B1033,BaseTable,2,FALSE)</f>
        <v>Weiter</v>
      </c>
      <c r="E1033">
        <f>YEAR(A1033)</f>
        <v>2015</v>
      </c>
    </row>
    <row r="1034" spans="1:5">
      <c r="A1034" s="32">
        <v>42024</v>
      </c>
      <c r="B1034" t="s">
        <v>3</v>
      </c>
      <c r="C1034">
        <v>8647</v>
      </c>
      <c r="D1034" t="str">
        <f>VLOOKUP(B1034,BaseTable,2,FALSE)</f>
        <v>Schmecken</v>
      </c>
      <c r="E1034">
        <f>YEAR(A1034)</f>
        <v>2015</v>
      </c>
    </row>
    <row r="1035" spans="1:5">
      <c r="A1035" s="32">
        <v>42024</v>
      </c>
      <c r="B1035" t="s">
        <v>4</v>
      </c>
      <c r="C1035">
        <v>26829</v>
      </c>
      <c r="D1035" t="str">
        <f>VLOOKUP(B1035,BaseTable,2,FALSE)</f>
        <v>Danach-NY</v>
      </c>
      <c r="E1035">
        <f>YEAR(A1035)</f>
        <v>2015</v>
      </c>
    </row>
    <row r="1036" spans="1:5">
      <c r="A1036" s="32">
        <v>42024</v>
      </c>
      <c r="B1036" t="s">
        <v>5</v>
      </c>
      <c r="C1036">
        <v>1653</v>
      </c>
      <c r="D1036" t="str">
        <f>VLOOKUP(B1036,BaseTable,2,FALSE)</f>
        <v>Grun</v>
      </c>
      <c r="E1036">
        <f>YEAR(A1036)</f>
        <v>2015</v>
      </c>
    </row>
    <row r="1037" spans="1:5">
      <c r="A1037" s="32">
        <v>42025</v>
      </c>
      <c r="B1037" t="s">
        <v>0</v>
      </c>
      <c r="C1037">
        <v>1612</v>
      </c>
      <c r="D1037" t="str">
        <f>VLOOKUP(B1037,BaseTable,2,FALSE)</f>
        <v>Unter</v>
      </c>
      <c r="E1037">
        <f>YEAR(A1037)</f>
        <v>2015</v>
      </c>
    </row>
    <row r="1038" spans="1:5">
      <c r="A1038" s="32">
        <v>42025</v>
      </c>
      <c r="B1038" t="s">
        <v>1</v>
      </c>
      <c r="C1038">
        <v>7947</v>
      </c>
      <c r="D1038" t="str">
        <f>VLOOKUP(B1038,BaseTable,2,FALSE)</f>
        <v>Hinter</v>
      </c>
      <c r="E1038">
        <f>YEAR(A1038)</f>
        <v>2015</v>
      </c>
    </row>
    <row r="1039" spans="1:5">
      <c r="A1039" s="32">
        <v>42025</v>
      </c>
      <c r="B1039" t="s">
        <v>2</v>
      </c>
      <c r="C1039">
        <v>11262</v>
      </c>
      <c r="D1039" t="str">
        <f>VLOOKUP(B1039,BaseTable,2,FALSE)</f>
        <v>Weiter</v>
      </c>
      <c r="E1039">
        <f>YEAR(A1039)</f>
        <v>2015</v>
      </c>
    </row>
    <row r="1040" spans="1:5">
      <c r="A1040" s="32">
        <v>42025</v>
      </c>
      <c r="B1040" t="s">
        <v>3</v>
      </c>
      <c r="C1040">
        <v>9567</v>
      </c>
      <c r="D1040" t="str">
        <f>VLOOKUP(B1040,BaseTable,2,FALSE)</f>
        <v>Schmecken</v>
      </c>
      <c r="E1040">
        <f>YEAR(A1040)</f>
        <v>2015</v>
      </c>
    </row>
    <row r="1041" spans="1:5">
      <c r="A1041" s="32">
        <v>42025</v>
      </c>
      <c r="B1041" t="s">
        <v>4</v>
      </c>
      <c r="C1041">
        <v>28175</v>
      </c>
      <c r="D1041" t="str">
        <f>VLOOKUP(B1041,BaseTable,2,FALSE)</f>
        <v>Danach-NY</v>
      </c>
      <c r="E1041">
        <f>YEAR(A1041)</f>
        <v>2015</v>
      </c>
    </row>
    <row r="1042" spans="1:5">
      <c r="A1042" s="32">
        <v>42025</v>
      </c>
      <c r="B1042" t="s">
        <v>5</v>
      </c>
      <c r="C1042">
        <v>1820</v>
      </c>
      <c r="D1042" t="str">
        <f>VLOOKUP(B1042,BaseTable,2,FALSE)</f>
        <v>Grun</v>
      </c>
      <c r="E1042">
        <f>YEAR(A1042)</f>
        <v>2015</v>
      </c>
    </row>
    <row r="1043" spans="1:5">
      <c r="A1043" s="32">
        <v>42026</v>
      </c>
      <c r="B1043" t="s">
        <v>0</v>
      </c>
      <c r="C1043">
        <v>1665</v>
      </c>
      <c r="D1043" t="str">
        <f>VLOOKUP(B1043,BaseTable,2,FALSE)</f>
        <v>Unter</v>
      </c>
      <c r="E1043">
        <f>YEAR(A1043)</f>
        <v>2015</v>
      </c>
    </row>
    <row r="1044" spans="1:5">
      <c r="A1044" s="32">
        <v>42026</v>
      </c>
      <c r="B1044" t="s">
        <v>1</v>
      </c>
      <c r="C1044">
        <v>8979</v>
      </c>
      <c r="D1044" t="str">
        <f>VLOOKUP(B1044,BaseTable,2,FALSE)</f>
        <v>Hinter</v>
      </c>
      <c r="E1044">
        <f>YEAR(A1044)</f>
        <v>2015</v>
      </c>
    </row>
    <row r="1045" spans="1:5">
      <c r="A1045" s="32">
        <v>42026</v>
      </c>
      <c r="B1045" t="s">
        <v>2</v>
      </c>
      <c r="C1045">
        <v>12414</v>
      </c>
      <c r="D1045" t="str">
        <f>VLOOKUP(B1045,BaseTable,2,FALSE)</f>
        <v>Weiter</v>
      </c>
      <c r="E1045">
        <f>YEAR(A1045)</f>
        <v>2015</v>
      </c>
    </row>
    <row r="1046" spans="1:5">
      <c r="A1046" s="32">
        <v>42026</v>
      </c>
      <c r="B1046" t="s">
        <v>3</v>
      </c>
      <c r="C1046">
        <v>10785</v>
      </c>
      <c r="D1046" t="str">
        <f>VLOOKUP(B1046,BaseTable,2,FALSE)</f>
        <v>Schmecken</v>
      </c>
      <c r="E1046">
        <f>YEAR(A1046)</f>
        <v>2015</v>
      </c>
    </row>
    <row r="1047" spans="1:5">
      <c r="A1047" s="32">
        <v>42026</v>
      </c>
      <c r="B1047" t="s">
        <v>4</v>
      </c>
      <c r="C1047">
        <v>30919</v>
      </c>
      <c r="D1047" t="str">
        <f>VLOOKUP(B1047,BaseTable,2,FALSE)</f>
        <v>Danach-NY</v>
      </c>
      <c r="E1047">
        <f>YEAR(A1047)</f>
        <v>2015</v>
      </c>
    </row>
    <row r="1048" spans="1:5">
      <c r="A1048" s="32">
        <v>42026</v>
      </c>
      <c r="B1048" t="s">
        <v>5</v>
      </c>
      <c r="C1048">
        <v>2057</v>
      </c>
      <c r="D1048" t="str">
        <f>VLOOKUP(B1048,BaseTable,2,FALSE)</f>
        <v>Grun</v>
      </c>
      <c r="E1048">
        <f>YEAR(A1048)</f>
        <v>2015</v>
      </c>
    </row>
    <row r="1049" spans="1:5">
      <c r="A1049" s="32">
        <v>42027</v>
      </c>
      <c r="B1049" t="s">
        <v>0</v>
      </c>
      <c r="C1049">
        <v>1809</v>
      </c>
      <c r="D1049" t="str">
        <f>VLOOKUP(B1049,BaseTable,2,FALSE)</f>
        <v>Unter</v>
      </c>
      <c r="E1049">
        <f>YEAR(A1049)</f>
        <v>2015</v>
      </c>
    </row>
    <row r="1050" spans="1:5">
      <c r="A1050" s="32">
        <v>42027</v>
      </c>
      <c r="B1050" t="s">
        <v>1</v>
      </c>
      <c r="C1050">
        <v>9333</v>
      </c>
      <c r="D1050" t="str">
        <f>VLOOKUP(B1050,BaseTable,2,FALSE)</f>
        <v>Hinter</v>
      </c>
      <c r="E1050">
        <f>YEAR(A1050)</f>
        <v>2015</v>
      </c>
    </row>
    <row r="1051" spans="1:5">
      <c r="A1051" s="32">
        <v>42027</v>
      </c>
      <c r="B1051" t="s">
        <v>2</v>
      </c>
      <c r="C1051">
        <v>13365</v>
      </c>
      <c r="D1051" t="str">
        <f>VLOOKUP(B1051,BaseTable,2,FALSE)</f>
        <v>Weiter</v>
      </c>
      <c r="E1051">
        <f>YEAR(A1051)</f>
        <v>2015</v>
      </c>
    </row>
    <row r="1052" spans="1:5">
      <c r="A1052" s="32">
        <v>42027</v>
      </c>
      <c r="B1052" t="s">
        <v>3</v>
      </c>
      <c r="C1052">
        <v>11914</v>
      </c>
      <c r="D1052" t="str">
        <f>VLOOKUP(B1052,BaseTable,2,FALSE)</f>
        <v>Schmecken</v>
      </c>
      <c r="E1052">
        <f>YEAR(A1052)</f>
        <v>2015</v>
      </c>
    </row>
    <row r="1053" spans="1:5">
      <c r="A1053" s="32">
        <v>42027</v>
      </c>
      <c r="B1053" t="s">
        <v>4</v>
      </c>
      <c r="C1053">
        <v>34745</v>
      </c>
      <c r="D1053" t="str">
        <f>VLOOKUP(B1053,BaseTable,2,FALSE)</f>
        <v>Danach-NY</v>
      </c>
      <c r="E1053">
        <f>YEAR(A1053)</f>
        <v>2015</v>
      </c>
    </row>
    <row r="1054" spans="1:5">
      <c r="A1054" s="32">
        <v>42027</v>
      </c>
      <c r="B1054" t="s">
        <v>5</v>
      </c>
      <c r="C1054">
        <v>2197</v>
      </c>
      <c r="D1054" t="str">
        <f>VLOOKUP(B1054,BaseTable,2,FALSE)</f>
        <v>Grun</v>
      </c>
      <c r="E1054">
        <f>YEAR(A1054)</f>
        <v>2015</v>
      </c>
    </row>
    <row r="1055" spans="1:5">
      <c r="A1055" s="32">
        <v>42028</v>
      </c>
      <c r="B1055" t="s">
        <v>0</v>
      </c>
      <c r="C1055">
        <v>1740</v>
      </c>
      <c r="D1055" t="str">
        <f>VLOOKUP(B1055,BaseTable,2,FALSE)</f>
        <v>Unter</v>
      </c>
      <c r="E1055">
        <f>YEAR(A1055)</f>
        <v>2015</v>
      </c>
    </row>
    <row r="1056" spans="1:5">
      <c r="A1056" s="32">
        <v>42028</v>
      </c>
      <c r="B1056" t="s">
        <v>1</v>
      </c>
      <c r="C1056">
        <v>10009</v>
      </c>
      <c r="D1056" t="str">
        <f>VLOOKUP(B1056,BaseTable,2,FALSE)</f>
        <v>Hinter</v>
      </c>
      <c r="E1056">
        <f>YEAR(A1056)</f>
        <v>2015</v>
      </c>
    </row>
    <row r="1057" spans="1:5">
      <c r="A1057" s="32">
        <v>42028</v>
      </c>
      <c r="B1057" t="s">
        <v>2</v>
      </c>
      <c r="C1057">
        <v>14549</v>
      </c>
      <c r="D1057" t="str">
        <f>VLOOKUP(B1057,BaseTable,2,FALSE)</f>
        <v>Weiter</v>
      </c>
      <c r="E1057">
        <f>YEAR(A1057)</f>
        <v>2015</v>
      </c>
    </row>
    <row r="1058" spans="1:5">
      <c r="A1058" s="32">
        <v>42028</v>
      </c>
      <c r="B1058" t="s">
        <v>3</v>
      </c>
      <c r="C1058">
        <v>13539</v>
      </c>
      <c r="D1058" t="str">
        <f>VLOOKUP(B1058,BaseTable,2,FALSE)</f>
        <v>Schmecken</v>
      </c>
      <c r="E1058">
        <f>YEAR(A1058)</f>
        <v>2015</v>
      </c>
    </row>
    <row r="1059" spans="1:5">
      <c r="A1059" s="32">
        <v>42028</v>
      </c>
      <c r="B1059" t="s">
        <v>4</v>
      </c>
      <c r="C1059">
        <v>40325</v>
      </c>
      <c r="D1059" t="str">
        <f>VLOOKUP(B1059,BaseTable,2,FALSE)</f>
        <v>Danach-NY</v>
      </c>
      <c r="E1059">
        <f>YEAR(A1059)</f>
        <v>2015</v>
      </c>
    </row>
    <row r="1060" spans="1:5">
      <c r="A1060" s="32">
        <v>42028</v>
      </c>
      <c r="B1060" t="s">
        <v>5</v>
      </c>
      <c r="C1060">
        <v>2426</v>
      </c>
      <c r="D1060" t="str">
        <f>VLOOKUP(B1060,BaseTable,2,FALSE)</f>
        <v>Grun</v>
      </c>
      <c r="E1060">
        <f>YEAR(A1060)</f>
        <v>2015</v>
      </c>
    </row>
    <row r="1061" spans="1:5">
      <c r="A1061" s="32">
        <v>42029</v>
      </c>
      <c r="B1061" t="s">
        <v>0</v>
      </c>
      <c r="C1061">
        <v>1312</v>
      </c>
      <c r="D1061" t="str">
        <f>VLOOKUP(B1061,BaseTable,2,FALSE)</f>
        <v>Unter</v>
      </c>
      <c r="E1061">
        <f>YEAR(A1061)</f>
        <v>2015</v>
      </c>
    </row>
    <row r="1062" spans="1:5">
      <c r="A1062" s="32">
        <v>42029</v>
      </c>
      <c r="B1062" t="s">
        <v>1</v>
      </c>
      <c r="C1062">
        <v>7220</v>
      </c>
      <c r="D1062" t="str">
        <f>VLOOKUP(B1062,BaseTable,2,FALSE)</f>
        <v>Hinter</v>
      </c>
      <c r="E1062">
        <f>YEAR(A1062)</f>
        <v>2015</v>
      </c>
    </row>
    <row r="1063" spans="1:5">
      <c r="A1063" s="32">
        <v>42029</v>
      </c>
      <c r="B1063" t="s">
        <v>2</v>
      </c>
      <c r="C1063">
        <v>10646</v>
      </c>
      <c r="D1063" t="str">
        <f>VLOOKUP(B1063,BaseTable,2,FALSE)</f>
        <v>Weiter</v>
      </c>
      <c r="E1063">
        <f>YEAR(A1063)</f>
        <v>2015</v>
      </c>
    </row>
    <row r="1064" spans="1:5">
      <c r="A1064" s="32">
        <v>42029</v>
      </c>
      <c r="B1064" t="s">
        <v>3</v>
      </c>
      <c r="C1064">
        <v>9455</v>
      </c>
      <c r="D1064" t="str">
        <f>VLOOKUP(B1064,BaseTable,2,FALSE)</f>
        <v>Schmecken</v>
      </c>
      <c r="E1064">
        <f>YEAR(A1064)</f>
        <v>2015</v>
      </c>
    </row>
    <row r="1065" spans="1:5">
      <c r="A1065" s="32">
        <v>42029</v>
      </c>
      <c r="B1065" t="s">
        <v>4</v>
      </c>
      <c r="C1065">
        <v>28980</v>
      </c>
      <c r="D1065" t="str">
        <f>VLOOKUP(B1065,BaseTable,2,FALSE)</f>
        <v>Danach-NY</v>
      </c>
      <c r="E1065">
        <f>YEAR(A1065)</f>
        <v>2015</v>
      </c>
    </row>
    <row r="1066" spans="1:5">
      <c r="A1066" s="32">
        <v>42029</v>
      </c>
      <c r="B1066" t="s">
        <v>5</v>
      </c>
      <c r="C1066">
        <v>1769</v>
      </c>
      <c r="D1066" t="str">
        <f>VLOOKUP(B1066,BaseTable,2,FALSE)</f>
        <v>Grun</v>
      </c>
      <c r="E1066">
        <f>YEAR(A1066)</f>
        <v>2015</v>
      </c>
    </row>
    <row r="1067" spans="1:5">
      <c r="A1067" s="32">
        <v>42030</v>
      </c>
      <c r="B1067" t="s">
        <v>0</v>
      </c>
      <c r="C1067">
        <v>1054</v>
      </c>
      <c r="D1067" t="str">
        <f>VLOOKUP(B1067,BaseTable,2,FALSE)</f>
        <v>Unter</v>
      </c>
      <c r="E1067">
        <f>YEAR(A1067)</f>
        <v>2015</v>
      </c>
    </row>
    <row r="1068" spans="1:5">
      <c r="A1068" s="32">
        <v>42030</v>
      </c>
      <c r="B1068" t="s">
        <v>1</v>
      </c>
      <c r="C1068">
        <v>5862</v>
      </c>
      <c r="D1068" t="str">
        <f>VLOOKUP(B1068,BaseTable,2,FALSE)</f>
        <v>Hinter</v>
      </c>
      <c r="E1068">
        <f>YEAR(A1068)</f>
        <v>2015</v>
      </c>
    </row>
    <row r="1069" spans="1:5">
      <c r="A1069" s="32">
        <v>42030</v>
      </c>
      <c r="B1069" t="s">
        <v>2</v>
      </c>
      <c r="C1069">
        <v>7820</v>
      </c>
      <c r="D1069" t="str">
        <f>VLOOKUP(B1069,BaseTable,2,FALSE)</f>
        <v>Weiter</v>
      </c>
      <c r="E1069">
        <f>YEAR(A1069)</f>
        <v>2015</v>
      </c>
    </row>
    <row r="1070" spans="1:5">
      <c r="A1070" s="32">
        <v>42030</v>
      </c>
      <c r="B1070" t="s">
        <v>3</v>
      </c>
      <c r="C1070">
        <v>7640</v>
      </c>
      <c r="D1070" t="str">
        <f>VLOOKUP(B1070,BaseTable,2,FALSE)</f>
        <v>Schmecken</v>
      </c>
      <c r="E1070">
        <f>YEAR(A1070)</f>
        <v>2015</v>
      </c>
    </row>
    <row r="1071" spans="1:5">
      <c r="A1071" s="32">
        <v>42030</v>
      </c>
      <c r="B1071" t="s">
        <v>4</v>
      </c>
      <c r="C1071">
        <v>20553</v>
      </c>
      <c r="D1071" t="str">
        <f>VLOOKUP(B1071,BaseTable,2,FALSE)</f>
        <v>Danach-NY</v>
      </c>
      <c r="E1071">
        <f>YEAR(A1071)</f>
        <v>2015</v>
      </c>
    </row>
    <row r="1072" spans="1:5">
      <c r="A1072" s="32">
        <v>42030</v>
      </c>
      <c r="B1072" t="s">
        <v>5</v>
      </c>
      <c r="C1072">
        <v>1381</v>
      </c>
      <c r="D1072" t="str">
        <f>VLOOKUP(B1072,BaseTable,2,FALSE)</f>
        <v>Grun</v>
      </c>
      <c r="E1072">
        <f>YEAR(A1072)</f>
        <v>2015</v>
      </c>
    </row>
    <row r="1073" spans="1:5">
      <c r="A1073" s="32">
        <v>42031</v>
      </c>
      <c r="B1073" t="s">
        <v>0</v>
      </c>
      <c r="C1073">
        <v>683</v>
      </c>
      <c r="D1073" t="str">
        <f>VLOOKUP(B1073,BaseTable,2,FALSE)</f>
        <v>Unter</v>
      </c>
      <c r="E1073">
        <f>YEAR(A1073)</f>
        <v>2015</v>
      </c>
    </row>
    <row r="1074" spans="1:5">
      <c r="A1074" s="32">
        <v>42031</v>
      </c>
      <c r="B1074" t="s">
        <v>1</v>
      </c>
      <c r="C1074">
        <v>2942</v>
      </c>
      <c r="D1074" t="str">
        <f>VLOOKUP(B1074,BaseTable,2,FALSE)</f>
        <v>Hinter</v>
      </c>
      <c r="E1074">
        <f>YEAR(A1074)</f>
        <v>2015</v>
      </c>
    </row>
    <row r="1075" spans="1:5">
      <c r="A1075" s="32">
        <v>42031</v>
      </c>
      <c r="B1075" t="s">
        <v>2</v>
      </c>
      <c r="C1075">
        <v>4425</v>
      </c>
      <c r="D1075" t="str">
        <f>VLOOKUP(B1075,BaseTable,2,FALSE)</f>
        <v>Weiter</v>
      </c>
      <c r="E1075">
        <f>YEAR(A1075)</f>
        <v>2015</v>
      </c>
    </row>
    <row r="1076" spans="1:5">
      <c r="A1076" s="32">
        <v>42031</v>
      </c>
      <c r="B1076" t="s">
        <v>3</v>
      </c>
      <c r="C1076">
        <v>4511</v>
      </c>
      <c r="D1076" t="str">
        <f>VLOOKUP(B1076,BaseTable,2,FALSE)</f>
        <v>Schmecken</v>
      </c>
      <c r="E1076">
        <f>YEAR(A1076)</f>
        <v>2015</v>
      </c>
    </row>
    <row r="1077" spans="1:5">
      <c r="A1077" s="32">
        <v>42031</v>
      </c>
      <c r="B1077" t="s">
        <v>4</v>
      </c>
      <c r="C1077">
        <v>12455</v>
      </c>
      <c r="D1077" t="str">
        <f>VLOOKUP(B1077,BaseTable,2,FALSE)</f>
        <v>Danach-NY</v>
      </c>
      <c r="E1077">
        <f>YEAR(A1077)</f>
        <v>2015</v>
      </c>
    </row>
    <row r="1078" spans="1:5">
      <c r="A1078" s="32">
        <v>42031</v>
      </c>
      <c r="B1078" t="s">
        <v>5</v>
      </c>
      <c r="C1078">
        <v>938</v>
      </c>
      <c r="D1078" t="str">
        <f>VLOOKUP(B1078,BaseTable,2,FALSE)</f>
        <v>Grun</v>
      </c>
      <c r="E1078">
        <f>YEAR(A1078)</f>
        <v>2015</v>
      </c>
    </row>
    <row r="1079" spans="1:5">
      <c r="A1079" s="32">
        <v>42032</v>
      </c>
      <c r="B1079" t="s">
        <v>0</v>
      </c>
      <c r="C1079">
        <v>1530</v>
      </c>
      <c r="D1079" t="str">
        <f>VLOOKUP(B1079,BaseTable,2,FALSE)</f>
        <v>Unter</v>
      </c>
      <c r="E1079">
        <f>YEAR(A1079)</f>
        <v>2015</v>
      </c>
    </row>
    <row r="1080" spans="1:5">
      <c r="A1080" s="32">
        <v>42032</v>
      </c>
      <c r="B1080" t="s">
        <v>1</v>
      </c>
      <c r="C1080">
        <v>7957</v>
      </c>
      <c r="D1080" t="str">
        <f>VLOOKUP(B1080,BaseTable,2,FALSE)</f>
        <v>Hinter</v>
      </c>
      <c r="E1080">
        <f>YEAR(A1080)</f>
        <v>2015</v>
      </c>
    </row>
    <row r="1081" spans="1:5">
      <c r="A1081" s="32">
        <v>42032</v>
      </c>
      <c r="B1081" t="s">
        <v>2</v>
      </c>
      <c r="C1081">
        <v>11015</v>
      </c>
      <c r="D1081" t="str">
        <f>VLOOKUP(B1081,BaseTable,2,FALSE)</f>
        <v>Weiter</v>
      </c>
      <c r="E1081">
        <f>YEAR(A1081)</f>
        <v>2015</v>
      </c>
    </row>
    <row r="1082" spans="1:5">
      <c r="A1082" s="32">
        <v>42032</v>
      </c>
      <c r="B1082" t="s">
        <v>3</v>
      </c>
      <c r="C1082">
        <v>10116</v>
      </c>
      <c r="D1082" t="str">
        <f>VLOOKUP(B1082,BaseTable,2,FALSE)</f>
        <v>Schmecken</v>
      </c>
      <c r="E1082">
        <f>YEAR(A1082)</f>
        <v>2015</v>
      </c>
    </row>
    <row r="1083" spans="1:5">
      <c r="A1083" s="32">
        <v>42032</v>
      </c>
      <c r="B1083" t="s">
        <v>4</v>
      </c>
      <c r="C1083">
        <v>29084</v>
      </c>
      <c r="D1083" t="str">
        <f>VLOOKUP(B1083,BaseTable,2,FALSE)</f>
        <v>Danach-NY</v>
      </c>
      <c r="E1083">
        <f>YEAR(A1083)</f>
        <v>2015</v>
      </c>
    </row>
    <row r="1084" spans="1:5">
      <c r="A1084" s="32">
        <v>42032</v>
      </c>
      <c r="B1084" t="s">
        <v>5</v>
      </c>
      <c r="C1084">
        <v>1924</v>
      </c>
      <c r="D1084" t="str">
        <f>VLOOKUP(B1084,BaseTable,2,FALSE)</f>
        <v>Grun</v>
      </c>
      <c r="E1084">
        <f>YEAR(A1084)</f>
        <v>2015</v>
      </c>
    </row>
    <row r="1085" spans="1:5">
      <c r="A1085" s="32">
        <v>42033</v>
      </c>
      <c r="B1085" t="s">
        <v>0</v>
      </c>
      <c r="C1085">
        <v>1767</v>
      </c>
      <c r="D1085" t="str">
        <f>VLOOKUP(B1085,BaseTable,2,FALSE)</f>
        <v>Unter</v>
      </c>
      <c r="E1085">
        <f>YEAR(A1085)</f>
        <v>2015</v>
      </c>
    </row>
    <row r="1086" spans="1:5">
      <c r="A1086" s="32">
        <v>42033</v>
      </c>
      <c r="B1086" t="s">
        <v>1</v>
      </c>
      <c r="C1086">
        <v>9443</v>
      </c>
      <c r="D1086" t="str">
        <f>VLOOKUP(B1086,BaseTable,2,FALSE)</f>
        <v>Hinter</v>
      </c>
      <c r="E1086">
        <f>YEAR(A1086)</f>
        <v>2015</v>
      </c>
    </row>
    <row r="1087" spans="1:5">
      <c r="A1087" s="32">
        <v>42033</v>
      </c>
      <c r="B1087" t="s">
        <v>2</v>
      </c>
      <c r="C1087">
        <v>12841</v>
      </c>
      <c r="D1087" t="str">
        <f>VLOOKUP(B1087,BaseTable,2,FALSE)</f>
        <v>Weiter</v>
      </c>
      <c r="E1087">
        <f>YEAR(A1087)</f>
        <v>2015</v>
      </c>
    </row>
    <row r="1088" spans="1:5">
      <c r="A1088" s="32">
        <v>42033</v>
      </c>
      <c r="B1088" t="s">
        <v>3</v>
      </c>
      <c r="C1088">
        <v>11619</v>
      </c>
      <c r="D1088" t="str">
        <f>VLOOKUP(B1088,BaseTable,2,FALSE)</f>
        <v>Schmecken</v>
      </c>
      <c r="E1088">
        <f>YEAR(A1088)</f>
        <v>2015</v>
      </c>
    </row>
    <row r="1089" spans="1:5">
      <c r="A1089" s="32">
        <v>42033</v>
      </c>
      <c r="B1089" t="s">
        <v>4</v>
      </c>
      <c r="C1089">
        <v>32673</v>
      </c>
      <c r="D1089" t="str">
        <f>VLOOKUP(B1089,BaseTable,2,FALSE)</f>
        <v>Danach-NY</v>
      </c>
      <c r="E1089">
        <f>YEAR(A1089)</f>
        <v>2015</v>
      </c>
    </row>
    <row r="1090" spans="1:5">
      <c r="A1090" s="32">
        <v>42033</v>
      </c>
      <c r="B1090" t="s">
        <v>5</v>
      </c>
      <c r="C1090">
        <v>2098</v>
      </c>
      <c r="D1090" t="str">
        <f>VLOOKUP(B1090,BaseTable,2,FALSE)</f>
        <v>Grun</v>
      </c>
      <c r="E1090">
        <f>YEAR(A1090)</f>
        <v>2015</v>
      </c>
    </row>
    <row r="1091" spans="1:5">
      <c r="A1091" s="32">
        <v>42034</v>
      </c>
      <c r="B1091" t="s">
        <v>0</v>
      </c>
      <c r="C1091">
        <v>2136</v>
      </c>
      <c r="D1091" t="str">
        <f>VLOOKUP(B1091,BaseTable,2,FALSE)</f>
        <v>Unter</v>
      </c>
      <c r="E1091">
        <f>YEAR(A1091)</f>
        <v>2015</v>
      </c>
    </row>
    <row r="1092" spans="1:5">
      <c r="A1092" s="32">
        <v>42034</v>
      </c>
      <c r="B1092" t="s">
        <v>1</v>
      </c>
      <c r="C1092">
        <v>11136</v>
      </c>
      <c r="D1092" t="str">
        <f>VLOOKUP(B1092,BaseTable,2,FALSE)</f>
        <v>Hinter</v>
      </c>
      <c r="E1092">
        <f>YEAR(A1092)</f>
        <v>2015</v>
      </c>
    </row>
    <row r="1093" spans="1:5">
      <c r="A1093" s="32">
        <v>42034</v>
      </c>
      <c r="B1093" t="s">
        <v>2</v>
      </c>
      <c r="C1093">
        <v>15110</v>
      </c>
      <c r="D1093" t="str">
        <f>VLOOKUP(B1093,BaseTable,2,FALSE)</f>
        <v>Weiter</v>
      </c>
      <c r="E1093">
        <f>YEAR(A1093)</f>
        <v>2015</v>
      </c>
    </row>
    <row r="1094" spans="1:5">
      <c r="A1094" s="32">
        <v>42034</v>
      </c>
      <c r="B1094" t="s">
        <v>3</v>
      </c>
      <c r="C1094">
        <v>13959</v>
      </c>
      <c r="D1094" t="str">
        <f>VLOOKUP(B1094,BaseTable,2,FALSE)</f>
        <v>Schmecken</v>
      </c>
      <c r="E1094">
        <f>YEAR(A1094)</f>
        <v>2015</v>
      </c>
    </row>
    <row r="1095" spans="1:5">
      <c r="A1095" s="32">
        <v>42034</v>
      </c>
      <c r="B1095" t="s">
        <v>4</v>
      </c>
      <c r="C1095">
        <v>40445</v>
      </c>
      <c r="D1095" t="str">
        <f>VLOOKUP(B1095,BaseTable,2,FALSE)</f>
        <v>Danach-NY</v>
      </c>
      <c r="E1095">
        <f>YEAR(A1095)</f>
        <v>2015</v>
      </c>
    </row>
    <row r="1096" spans="1:5">
      <c r="A1096" s="32">
        <v>42034</v>
      </c>
      <c r="B1096" t="s">
        <v>5</v>
      </c>
      <c r="C1096">
        <v>2779</v>
      </c>
      <c r="D1096" t="str">
        <f>VLOOKUP(B1096,BaseTable,2,FALSE)</f>
        <v>Grun</v>
      </c>
      <c r="E1096">
        <f>YEAR(A1096)</f>
        <v>2015</v>
      </c>
    </row>
    <row r="1097" spans="1:5">
      <c r="A1097" s="32">
        <v>42035</v>
      </c>
      <c r="B1097" t="s">
        <v>0</v>
      </c>
      <c r="C1097">
        <v>1984</v>
      </c>
      <c r="D1097" t="str">
        <f>VLOOKUP(B1097,BaseTable,2,FALSE)</f>
        <v>Unter</v>
      </c>
      <c r="E1097">
        <f>YEAR(A1097)</f>
        <v>2015</v>
      </c>
    </row>
    <row r="1098" spans="1:5">
      <c r="A1098" s="32">
        <v>42035</v>
      </c>
      <c r="B1098" t="s">
        <v>1</v>
      </c>
      <c r="C1098">
        <v>11652</v>
      </c>
      <c r="D1098" t="str">
        <f>VLOOKUP(B1098,BaseTable,2,FALSE)</f>
        <v>Hinter</v>
      </c>
      <c r="E1098">
        <f>YEAR(A1098)</f>
        <v>2015</v>
      </c>
    </row>
    <row r="1099" spans="1:5">
      <c r="A1099" s="32">
        <v>42035</v>
      </c>
      <c r="B1099" t="s">
        <v>2</v>
      </c>
      <c r="C1099">
        <v>16143</v>
      </c>
      <c r="D1099" t="str">
        <f>VLOOKUP(B1099,BaseTable,2,FALSE)</f>
        <v>Weiter</v>
      </c>
      <c r="E1099">
        <f>YEAR(A1099)</f>
        <v>2015</v>
      </c>
    </row>
    <row r="1100" spans="1:5">
      <c r="A1100" s="32">
        <v>42035</v>
      </c>
      <c r="B1100" t="s">
        <v>3</v>
      </c>
      <c r="C1100">
        <v>15485</v>
      </c>
      <c r="D1100" t="str">
        <f>VLOOKUP(B1100,BaseTable,2,FALSE)</f>
        <v>Schmecken</v>
      </c>
      <c r="E1100">
        <f>YEAR(A1100)</f>
        <v>2015</v>
      </c>
    </row>
    <row r="1101" spans="1:5">
      <c r="A1101" s="32">
        <v>42035</v>
      </c>
      <c r="B1101" t="s">
        <v>4</v>
      </c>
      <c r="C1101">
        <v>45866</v>
      </c>
      <c r="D1101" t="str">
        <f>VLOOKUP(B1101,BaseTable,2,FALSE)</f>
        <v>Danach-NY</v>
      </c>
      <c r="E1101">
        <f>YEAR(A1101)</f>
        <v>2015</v>
      </c>
    </row>
    <row r="1102" spans="1:5">
      <c r="A1102" s="32">
        <v>42035</v>
      </c>
      <c r="B1102" t="s">
        <v>5</v>
      </c>
      <c r="C1102">
        <v>3318</v>
      </c>
      <c r="D1102" t="str">
        <f>VLOOKUP(B1102,BaseTable,2,FALSE)</f>
        <v>Grun</v>
      </c>
      <c r="E1102">
        <f>YEAR(A1102)</f>
        <v>2015</v>
      </c>
    </row>
    <row r="1103" spans="1:5">
      <c r="A1103" s="32">
        <v>42036</v>
      </c>
      <c r="B1103" t="s">
        <v>0</v>
      </c>
      <c r="C1103">
        <v>1511</v>
      </c>
      <c r="D1103" t="str">
        <f>VLOOKUP(B1103,BaseTable,2,FALSE)</f>
        <v>Unter</v>
      </c>
      <c r="E1103">
        <f>YEAR(A1103)</f>
        <v>2015</v>
      </c>
    </row>
    <row r="1104" spans="1:5">
      <c r="A1104" s="32">
        <v>42036</v>
      </c>
      <c r="B1104" t="s">
        <v>1</v>
      </c>
      <c r="C1104">
        <v>9456</v>
      </c>
      <c r="D1104" t="str">
        <f>VLOOKUP(B1104,BaseTable,2,FALSE)</f>
        <v>Hinter</v>
      </c>
      <c r="E1104">
        <f>YEAR(A1104)</f>
        <v>2015</v>
      </c>
    </row>
    <row r="1105" spans="1:5">
      <c r="A1105" s="32">
        <v>42036</v>
      </c>
      <c r="B1105" t="s">
        <v>2</v>
      </c>
      <c r="C1105">
        <v>13790</v>
      </c>
      <c r="D1105" t="str">
        <f>VLOOKUP(B1105,BaseTable,2,FALSE)</f>
        <v>Weiter</v>
      </c>
      <c r="E1105">
        <f>YEAR(A1105)</f>
        <v>2015</v>
      </c>
    </row>
    <row r="1106" spans="1:5">
      <c r="A1106" s="32">
        <v>42036</v>
      </c>
      <c r="B1106" t="s">
        <v>3</v>
      </c>
      <c r="C1106">
        <v>12533</v>
      </c>
      <c r="D1106" t="str">
        <f>VLOOKUP(B1106,BaseTable,2,FALSE)</f>
        <v>Schmecken</v>
      </c>
      <c r="E1106">
        <f>YEAR(A1106)</f>
        <v>2015</v>
      </c>
    </row>
    <row r="1107" spans="1:5">
      <c r="A1107" s="32">
        <v>42036</v>
      </c>
      <c r="B1107" t="s">
        <v>4</v>
      </c>
      <c r="C1107">
        <v>38656</v>
      </c>
      <c r="D1107" t="str">
        <f>VLOOKUP(B1107,BaseTable,2,FALSE)</f>
        <v>Danach-NY</v>
      </c>
      <c r="E1107">
        <f>YEAR(A1107)</f>
        <v>2015</v>
      </c>
    </row>
    <row r="1108" spans="1:5">
      <c r="A1108" s="32">
        <v>42036</v>
      </c>
      <c r="B1108" t="s">
        <v>5</v>
      </c>
      <c r="C1108">
        <v>2646</v>
      </c>
      <c r="D1108" t="str">
        <f>VLOOKUP(B1108,BaseTable,2,FALSE)</f>
        <v>Grun</v>
      </c>
      <c r="E1108">
        <f>YEAR(A1108)</f>
        <v>2015</v>
      </c>
    </row>
    <row r="1109" spans="1:5">
      <c r="A1109" s="32">
        <v>42037</v>
      </c>
      <c r="B1109" t="s">
        <v>0</v>
      </c>
      <c r="C1109">
        <v>1965</v>
      </c>
      <c r="D1109" t="str">
        <f>VLOOKUP(B1109,BaseTable,2,FALSE)</f>
        <v>Unter</v>
      </c>
      <c r="E1109">
        <f>YEAR(A1109)</f>
        <v>2015</v>
      </c>
    </row>
    <row r="1110" spans="1:5">
      <c r="A1110" s="32">
        <v>42037</v>
      </c>
      <c r="B1110" t="s">
        <v>1</v>
      </c>
      <c r="C1110">
        <v>9308</v>
      </c>
      <c r="D1110" t="str">
        <f>VLOOKUP(B1110,BaseTable,2,FALSE)</f>
        <v>Hinter</v>
      </c>
      <c r="E1110">
        <f>YEAR(A1110)</f>
        <v>2015</v>
      </c>
    </row>
    <row r="1111" spans="1:5">
      <c r="A1111" s="32">
        <v>42037</v>
      </c>
      <c r="B1111" t="s">
        <v>2</v>
      </c>
      <c r="C1111">
        <v>12529</v>
      </c>
      <c r="D1111" t="str">
        <f>VLOOKUP(B1111,BaseTable,2,FALSE)</f>
        <v>Weiter</v>
      </c>
      <c r="E1111">
        <f>YEAR(A1111)</f>
        <v>2015</v>
      </c>
    </row>
    <row r="1112" spans="1:5">
      <c r="A1112" s="32">
        <v>42037</v>
      </c>
      <c r="B1112" t="s">
        <v>3</v>
      </c>
      <c r="C1112">
        <v>12081</v>
      </c>
      <c r="D1112" t="str">
        <f>VLOOKUP(B1112,BaseTable,2,FALSE)</f>
        <v>Schmecken</v>
      </c>
      <c r="E1112">
        <f>YEAR(A1112)</f>
        <v>2015</v>
      </c>
    </row>
    <row r="1113" spans="1:5">
      <c r="A1113" s="32">
        <v>42037</v>
      </c>
      <c r="B1113" t="s">
        <v>4</v>
      </c>
      <c r="C1113">
        <v>31691</v>
      </c>
      <c r="D1113" t="str">
        <f>VLOOKUP(B1113,BaseTable,2,FALSE)</f>
        <v>Danach-NY</v>
      </c>
      <c r="E1113">
        <f>YEAR(A1113)</f>
        <v>2015</v>
      </c>
    </row>
    <row r="1114" spans="1:5">
      <c r="A1114" s="32">
        <v>42037</v>
      </c>
      <c r="B1114" t="s">
        <v>5</v>
      </c>
      <c r="C1114">
        <v>2619</v>
      </c>
      <c r="D1114" t="str">
        <f>VLOOKUP(B1114,BaseTable,2,FALSE)</f>
        <v>Grun</v>
      </c>
      <c r="E1114">
        <f>YEAR(A1114)</f>
        <v>2015</v>
      </c>
    </row>
    <row r="1115" spans="1:5">
      <c r="A1115" s="32">
        <v>42038</v>
      </c>
      <c r="B1115" t="s">
        <v>0</v>
      </c>
      <c r="C1115">
        <v>2086</v>
      </c>
      <c r="D1115" t="str">
        <f>VLOOKUP(B1115,BaseTable,2,FALSE)</f>
        <v>Unter</v>
      </c>
      <c r="E1115">
        <f>YEAR(A1115)</f>
        <v>2015</v>
      </c>
    </row>
    <row r="1116" spans="1:5">
      <c r="A1116" s="32">
        <v>42038</v>
      </c>
      <c r="B1116" t="s">
        <v>1</v>
      </c>
      <c r="C1116">
        <v>9473</v>
      </c>
      <c r="D1116" t="str">
        <f>VLOOKUP(B1116,BaseTable,2,FALSE)</f>
        <v>Hinter</v>
      </c>
      <c r="E1116">
        <f>YEAR(A1116)</f>
        <v>2015</v>
      </c>
    </row>
    <row r="1117" spans="1:5">
      <c r="A1117" s="32">
        <v>42038</v>
      </c>
      <c r="B1117" t="s">
        <v>2</v>
      </c>
      <c r="C1117">
        <v>12903</v>
      </c>
      <c r="D1117" t="str">
        <f>VLOOKUP(B1117,BaseTable,2,FALSE)</f>
        <v>Weiter</v>
      </c>
      <c r="E1117">
        <f>YEAR(A1117)</f>
        <v>2015</v>
      </c>
    </row>
    <row r="1118" spans="1:5">
      <c r="A1118" s="32">
        <v>42038</v>
      </c>
      <c r="B1118" t="s">
        <v>3</v>
      </c>
      <c r="C1118">
        <v>12134</v>
      </c>
      <c r="D1118" t="str">
        <f>VLOOKUP(B1118,BaseTable,2,FALSE)</f>
        <v>Schmecken</v>
      </c>
      <c r="E1118">
        <f>YEAR(A1118)</f>
        <v>2015</v>
      </c>
    </row>
    <row r="1119" spans="1:5">
      <c r="A1119" s="32">
        <v>42038</v>
      </c>
      <c r="B1119" t="s">
        <v>4</v>
      </c>
      <c r="C1119">
        <v>32542</v>
      </c>
      <c r="D1119" t="str">
        <f>VLOOKUP(B1119,BaseTable,2,FALSE)</f>
        <v>Danach-NY</v>
      </c>
      <c r="E1119">
        <f>YEAR(A1119)</f>
        <v>2015</v>
      </c>
    </row>
    <row r="1120" spans="1:5">
      <c r="A1120" s="32">
        <v>42038</v>
      </c>
      <c r="B1120" t="s">
        <v>5</v>
      </c>
      <c r="C1120">
        <v>2394</v>
      </c>
      <c r="D1120" t="str">
        <f>VLOOKUP(B1120,BaseTable,2,FALSE)</f>
        <v>Grun</v>
      </c>
      <c r="E1120">
        <f>YEAR(A1120)</f>
        <v>2015</v>
      </c>
    </row>
    <row r="1121" spans="1:5">
      <c r="A1121" s="32">
        <v>42039</v>
      </c>
      <c r="B1121" t="s">
        <v>0</v>
      </c>
      <c r="C1121">
        <v>1748</v>
      </c>
      <c r="D1121" t="str">
        <f>VLOOKUP(B1121,BaseTable,2,FALSE)</f>
        <v>Unter</v>
      </c>
      <c r="E1121">
        <f>YEAR(A1121)</f>
        <v>2015</v>
      </c>
    </row>
    <row r="1122" spans="1:5">
      <c r="A1122" s="32">
        <v>42039</v>
      </c>
      <c r="B1122" t="s">
        <v>1</v>
      </c>
      <c r="C1122">
        <v>9476</v>
      </c>
      <c r="D1122" t="str">
        <f>VLOOKUP(B1122,BaseTable,2,FALSE)</f>
        <v>Hinter</v>
      </c>
      <c r="E1122">
        <f>YEAR(A1122)</f>
        <v>2015</v>
      </c>
    </row>
    <row r="1123" spans="1:5">
      <c r="A1123" s="32">
        <v>42039</v>
      </c>
      <c r="B1123" t="s">
        <v>2</v>
      </c>
      <c r="C1123">
        <v>12268</v>
      </c>
      <c r="D1123" t="str">
        <f>VLOOKUP(B1123,BaseTable,2,FALSE)</f>
        <v>Weiter</v>
      </c>
      <c r="E1123">
        <f>YEAR(A1123)</f>
        <v>2015</v>
      </c>
    </row>
    <row r="1124" spans="1:5">
      <c r="A1124" s="32">
        <v>42039</v>
      </c>
      <c r="B1124" t="s">
        <v>3</v>
      </c>
      <c r="C1124">
        <v>11467</v>
      </c>
      <c r="D1124" t="str">
        <f>VLOOKUP(B1124,BaseTable,2,FALSE)</f>
        <v>Schmecken</v>
      </c>
      <c r="E1124">
        <f>YEAR(A1124)</f>
        <v>2015</v>
      </c>
    </row>
    <row r="1125" spans="1:5">
      <c r="A1125" s="32">
        <v>42039</v>
      </c>
      <c r="B1125" t="s">
        <v>4</v>
      </c>
      <c r="C1125">
        <v>30974</v>
      </c>
      <c r="D1125" t="str">
        <f>VLOOKUP(B1125,BaseTable,2,FALSE)</f>
        <v>Danach-NY</v>
      </c>
      <c r="E1125">
        <f>YEAR(A1125)</f>
        <v>2015</v>
      </c>
    </row>
    <row r="1126" spans="1:5">
      <c r="A1126" s="32">
        <v>42039</v>
      </c>
      <c r="B1126" t="s">
        <v>5</v>
      </c>
      <c r="C1126">
        <v>2304</v>
      </c>
      <c r="D1126" t="str">
        <f>VLOOKUP(B1126,BaseTable,2,FALSE)</f>
        <v>Grun</v>
      </c>
      <c r="E1126">
        <f>YEAR(A1126)</f>
        <v>2015</v>
      </c>
    </row>
    <row r="1127" spans="1:5">
      <c r="A1127" s="32">
        <v>42040</v>
      </c>
      <c r="B1127" t="s">
        <v>0</v>
      </c>
      <c r="C1127">
        <v>2145</v>
      </c>
      <c r="D1127" t="str">
        <f>VLOOKUP(B1127,BaseTable,2,FALSE)</f>
        <v>Unter</v>
      </c>
      <c r="E1127">
        <f>YEAR(A1127)</f>
        <v>2015</v>
      </c>
    </row>
    <row r="1128" spans="1:5">
      <c r="A1128" s="32">
        <v>42040</v>
      </c>
      <c r="B1128" t="s">
        <v>1</v>
      </c>
      <c r="C1128">
        <v>11482</v>
      </c>
      <c r="D1128" t="str">
        <f>VLOOKUP(B1128,BaseTable,2,FALSE)</f>
        <v>Hinter</v>
      </c>
      <c r="E1128">
        <f>YEAR(A1128)</f>
        <v>2015</v>
      </c>
    </row>
    <row r="1129" spans="1:5">
      <c r="A1129" s="32">
        <v>42040</v>
      </c>
      <c r="B1129" t="s">
        <v>2</v>
      </c>
      <c r="C1129">
        <v>14824</v>
      </c>
      <c r="D1129" t="str">
        <f>VLOOKUP(B1129,BaseTable,2,FALSE)</f>
        <v>Weiter</v>
      </c>
      <c r="E1129">
        <f>YEAR(A1129)</f>
        <v>2015</v>
      </c>
    </row>
    <row r="1130" spans="1:5">
      <c r="A1130" s="32">
        <v>42040</v>
      </c>
      <c r="B1130" t="s">
        <v>3</v>
      </c>
      <c r="C1130">
        <v>13876</v>
      </c>
      <c r="D1130" t="str">
        <f>VLOOKUP(B1130,BaseTable,2,FALSE)</f>
        <v>Schmecken</v>
      </c>
      <c r="E1130">
        <f>YEAR(A1130)</f>
        <v>2015</v>
      </c>
    </row>
    <row r="1131" spans="1:5">
      <c r="A1131" s="32">
        <v>42040</v>
      </c>
      <c r="B1131" t="s">
        <v>4</v>
      </c>
      <c r="C1131">
        <v>36995</v>
      </c>
      <c r="D1131" t="str">
        <f>VLOOKUP(B1131,BaseTable,2,FALSE)</f>
        <v>Danach-NY</v>
      </c>
      <c r="E1131">
        <f>YEAR(A1131)</f>
        <v>2015</v>
      </c>
    </row>
    <row r="1132" spans="1:5">
      <c r="A1132" s="32">
        <v>42040</v>
      </c>
      <c r="B1132" t="s">
        <v>5</v>
      </c>
      <c r="C1132">
        <v>3014</v>
      </c>
      <c r="D1132" t="str">
        <f>VLOOKUP(B1132,BaseTable,2,FALSE)</f>
        <v>Grun</v>
      </c>
      <c r="E1132">
        <f>YEAR(A1132)</f>
        <v>2015</v>
      </c>
    </row>
    <row r="1133" spans="1:5">
      <c r="A1133" s="32">
        <v>42041</v>
      </c>
      <c r="B1133" t="s">
        <v>0</v>
      </c>
      <c r="C1133">
        <v>2172</v>
      </c>
      <c r="D1133" t="str">
        <f>VLOOKUP(B1133,BaseTable,2,FALSE)</f>
        <v>Unter</v>
      </c>
      <c r="E1133">
        <f>YEAR(A1133)</f>
        <v>2015</v>
      </c>
    </row>
    <row r="1134" spans="1:5">
      <c r="A1134" s="32">
        <v>42041</v>
      </c>
      <c r="B1134" t="s">
        <v>1</v>
      </c>
      <c r="C1134">
        <v>11756</v>
      </c>
      <c r="D1134" t="str">
        <f>VLOOKUP(B1134,BaseTable,2,FALSE)</f>
        <v>Hinter</v>
      </c>
      <c r="E1134">
        <f>YEAR(A1134)</f>
        <v>2015</v>
      </c>
    </row>
    <row r="1135" spans="1:5">
      <c r="A1135" s="32">
        <v>42041</v>
      </c>
      <c r="B1135" t="s">
        <v>2</v>
      </c>
      <c r="C1135">
        <v>15702</v>
      </c>
      <c r="D1135" t="str">
        <f>VLOOKUP(B1135,BaseTable,2,FALSE)</f>
        <v>Weiter</v>
      </c>
      <c r="E1135">
        <f>YEAR(A1135)</f>
        <v>2015</v>
      </c>
    </row>
    <row r="1136" spans="1:5">
      <c r="A1136" s="32">
        <v>42041</v>
      </c>
      <c r="B1136" t="s">
        <v>3</v>
      </c>
      <c r="C1136">
        <v>14525</v>
      </c>
      <c r="D1136" t="str">
        <f>VLOOKUP(B1136,BaseTable,2,FALSE)</f>
        <v>Schmecken</v>
      </c>
      <c r="E1136">
        <f>YEAR(A1136)</f>
        <v>2015</v>
      </c>
    </row>
    <row r="1137" spans="1:5">
      <c r="A1137" s="32">
        <v>42041</v>
      </c>
      <c r="B1137" t="s">
        <v>4</v>
      </c>
      <c r="C1137">
        <v>39846</v>
      </c>
      <c r="D1137" t="str">
        <f>VLOOKUP(B1137,BaseTable,2,FALSE)</f>
        <v>Danach-NY</v>
      </c>
      <c r="E1137">
        <f>YEAR(A1137)</f>
        <v>2015</v>
      </c>
    </row>
    <row r="1138" spans="1:5">
      <c r="A1138" s="32">
        <v>42041</v>
      </c>
      <c r="B1138" t="s">
        <v>5</v>
      </c>
      <c r="C1138">
        <v>3567</v>
      </c>
      <c r="D1138" t="str">
        <f>VLOOKUP(B1138,BaseTable,2,FALSE)</f>
        <v>Grun</v>
      </c>
      <c r="E1138">
        <f>YEAR(A1138)</f>
        <v>2015</v>
      </c>
    </row>
    <row r="1139" spans="1:5">
      <c r="A1139" s="32">
        <v>42042</v>
      </c>
      <c r="B1139" t="s">
        <v>0</v>
      </c>
      <c r="C1139">
        <v>1637</v>
      </c>
      <c r="D1139" t="str">
        <f>VLOOKUP(B1139,BaseTable,2,FALSE)</f>
        <v>Unter</v>
      </c>
      <c r="E1139">
        <f>YEAR(A1139)</f>
        <v>2015</v>
      </c>
    </row>
    <row r="1140" spans="1:5">
      <c r="A1140" s="32">
        <v>42042</v>
      </c>
      <c r="B1140" t="s">
        <v>1</v>
      </c>
      <c r="C1140">
        <v>10426</v>
      </c>
      <c r="D1140" t="str">
        <f>VLOOKUP(B1140,BaseTable,2,FALSE)</f>
        <v>Hinter</v>
      </c>
      <c r="E1140">
        <f>YEAR(A1140)</f>
        <v>2015</v>
      </c>
    </row>
    <row r="1141" spans="1:5">
      <c r="A1141" s="32">
        <v>42042</v>
      </c>
      <c r="B1141" t="s">
        <v>2</v>
      </c>
      <c r="C1141">
        <v>13937</v>
      </c>
      <c r="D1141" t="str">
        <f>VLOOKUP(B1141,BaseTable,2,FALSE)</f>
        <v>Weiter</v>
      </c>
      <c r="E1141">
        <f>YEAR(A1141)</f>
        <v>2015</v>
      </c>
    </row>
    <row r="1142" spans="1:5">
      <c r="A1142" s="32">
        <v>42042</v>
      </c>
      <c r="B1142" t="s">
        <v>3</v>
      </c>
      <c r="C1142">
        <v>13600</v>
      </c>
      <c r="D1142" t="str">
        <f>VLOOKUP(B1142,BaseTable,2,FALSE)</f>
        <v>Schmecken</v>
      </c>
      <c r="E1142">
        <f>YEAR(A1142)</f>
        <v>2015</v>
      </c>
    </row>
    <row r="1143" spans="1:5">
      <c r="A1143" s="32">
        <v>42042</v>
      </c>
      <c r="B1143" t="s">
        <v>4</v>
      </c>
      <c r="C1143">
        <v>39699</v>
      </c>
      <c r="D1143" t="str">
        <f>VLOOKUP(B1143,BaseTable,2,FALSE)</f>
        <v>Danach-NY</v>
      </c>
      <c r="E1143">
        <f>YEAR(A1143)</f>
        <v>2015</v>
      </c>
    </row>
    <row r="1144" spans="1:5">
      <c r="A1144" s="32">
        <v>42042</v>
      </c>
      <c r="B1144" t="s">
        <v>5</v>
      </c>
      <c r="C1144">
        <v>3453</v>
      </c>
      <c r="D1144" t="str">
        <f>VLOOKUP(B1144,BaseTable,2,FALSE)</f>
        <v>Grun</v>
      </c>
      <c r="E1144">
        <f>YEAR(A1144)</f>
        <v>2015</v>
      </c>
    </row>
    <row r="1145" spans="1:5">
      <c r="A1145" s="32">
        <v>42043</v>
      </c>
      <c r="B1145" t="s">
        <v>0</v>
      </c>
      <c r="C1145">
        <v>1321</v>
      </c>
      <c r="D1145" t="str">
        <f>VLOOKUP(B1145,BaseTable,2,FALSE)</f>
        <v>Unter</v>
      </c>
      <c r="E1145">
        <f>YEAR(A1145)</f>
        <v>2015</v>
      </c>
    </row>
    <row r="1146" spans="1:5">
      <c r="A1146" s="32">
        <v>42043</v>
      </c>
      <c r="B1146" t="s">
        <v>1</v>
      </c>
      <c r="C1146">
        <v>8098</v>
      </c>
      <c r="D1146" t="str">
        <f>VLOOKUP(B1146,BaseTable,2,FALSE)</f>
        <v>Hinter</v>
      </c>
      <c r="E1146">
        <f>YEAR(A1146)</f>
        <v>2015</v>
      </c>
    </row>
    <row r="1147" spans="1:5">
      <c r="A1147" s="32">
        <v>42043</v>
      </c>
      <c r="B1147" t="s">
        <v>2</v>
      </c>
      <c r="C1147">
        <v>11202</v>
      </c>
      <c r="D1147" t="str">
        <f>VLOOKUP(B1147,BaseTable,2,FALSE)</f>
        <v>Weiter</v>
      </c>
      <c r="E1147">
        <f>YEAR(A1147)</f>
        <v>2015</v>
      </c>
    </row>
    <row r="1148" spans="1:5">
      <c r="A1148" s="32">
        <v>42043</v>
      </c>
      <c r="B1148" t="s">
        <v>3</v>
      </c>
      <c r="C1148">
        <v>10491</v>
      </c>
      <c r="D1148" t="str">
        <f>VLOOKUP(B1148,BaseTable,2,FALSE)</f>
        <v>Schmecken</v>
      </c>
      <c r="E1148">
        <f>YEAR(A1148)</f>
        <v>2015</v>
      </c>
    </row>
    <row r="1149" spans="1:5">
      <c r="A1149" s="32">
        <v>42043</v>
      </c>
      <c r="B1149" t="s">
        <v>4</v>
      </c>
      <c r="C1149">
        <v>30596</v>
      </c>
      <c r="D1149" t="str">
        <f>VLOOKUP(B1149,BaseTable,2,FALSE)</f>
        <v>Danach-NY</v>
      </c>
      <c r="E1149">
        <f>YEAR(A1149)</f>
        <v>2015</v>
      </c>
    </row>
    <row r="1150" spans="1:5">
      <c r="A1150" s="32">
        <v>42043</v>
      </c>
      <c r="B1150" t="s">
        <v>5</v>
      </c>
      <c r="C1150">
        <v>2619</v>
      </c>
      <c r="D1150" t="str">
        <f>VLOOKUP(B1150,BaseTable,2,FALSE)</f>
        <v>Grun</v>
      </c>
      <c r="E1150">
        <f>YEAR(A1150)</f>
        <v>2015</v>
      </c>
    </row>
    <row r="1151" spans="1:5">
      <c r="A1151" s="32">
        <v>42044</v>
      </c>
      <c r="B1151" t="s">
        <v>0</v>
      </c>
      <c r="C1151">
        <v>1666</v>
      </c>
      <c r="D1151" t="str">
        <f>VLOOKUP(B1151,BaseTable,2,FALSE)</f>
        <v>Unter</v>
      </c>
      <c r="E1151">
        <f>YEAR(A1151)</f>
        <v>2015</v>
      </c>
    </row>
    <row r="1152" spans="1:5">
      <c r="A1152" s="32">
        <v>42044</v>
      </c>
      <c r="B1152" t="s">
        <v>1</v>
      </c>
      <c r="C1152">
        <v>8059</v>
      </c>
      <c r="D1152" t="str">
        <f>VLOOKUP(B1152,BaseTable,2,FALSE)</f>
        <v>Hinter</v>
      </c>
      <c r="E1152">
        <f>YEAR(A1152)</f>
        <v>2015</v>
      </c>
    </row>
    <row r="1153" spans="1:5">
      <c r="A1153" s="32">
        <v>42044</v>
      </c>
      <c r="B1153" t="s">
        <v>2</v>
      </c>
      <c r="C1153">
        <v>11172</v>
      </c>
      <c r="D1153" t="str">
        <f>VLOOKUP(B1153,BaseTable,2,FALSE)</f>
        <v>Weiter</v>
      </c>
      <c r="E1153">
        <f>YEAR(A1153)</f>
        <v>2015</v>
      </c>
    </row>
    <row r="1154" spans="1:5">
      <c r="A1154" s="32">
        <v>42044</v>
      </c>
      <c r="B1154" t="s">
        <v>3</v>
      </c>
      <c r="C1154">
        <v>10367</v>
      </c>
      <c r="D1154" t="str">
        <f>VLOOKUP(B1154,BaseTable,2,FALSE)</f>
        <v>Schmecken</v>
      </c>
      <c r="E1154">
        <f>YEAR(A1154)</f>
        <v>2015</v>
      </c>
    </row>
    <row r="1155" spans="1:5">
      <c r="A1155" s="32">
        <v>42044</v>
      </c>
      <c r="B1155" t="s">
        <v>4</v>
      </c>
      <c r="C1155">
        <v>29172</v>
      </c>
      <c r="D1155" t="str">
        <f>VLOOKUP(B1155,BaseTable,2,FALSE)</f>
        <v>Danach-NY</v>
      </c>
      <c r="E1155">
        <f>YEAR(A1155)</f>
        <v>2015</v>
      </c>
    </row>
    <row r="1156" spans="1:5">
      <c r="A1156" s="32">
        <v>42044</v>
      </c>
      <c r="B1156" t="s">
        <v>5</v>
      </c>
      <c r="C1156">
        <v>2870</v>
      </c>
      <c r="D1156" t="str">
        <f>VLOOKUP(B1156,BaseTable,2,FALSE)</f>
        <v>Grun</v>
      </c>
      <c r="E1156">
        <f>YEAR(A1156)</f>
        <v>2015</v>
      </c>
    </row>
    <row r="1157" spans="1:5">
      <c r="A1157" s="32">
        <v>42045</v>
      </c>
      <c r="B1157" t="s">
        <v>0</v>
      </c>
      <c r="C1157">
        <v>1676</v>
      </c>
      <c r="D1157" t="str">
        <f>VLOOKUP(B1157,BaseTable,2,FALSE)</f>
        <v>Unter</v>
      </c>
      <c r="E1157">
        <f>YEAR(A1157)</f>
        <v>2015</v>
      </c>
    </row>
    <row r="1158" spans="1:5">
      <c r="A1158" s="32">
        <v>42045</v>
      </c>
      <c r="B1158" t="s">
        <v>1</v>
      </c>
      <c r="C1158">
        <v>8601</v>
      </c>
      <c r="D1158" t="str">
        <f>VLOOKUP(B1158,BaseTable,2,FALSE)</f>
        <v>Hinter</v>
      </c>
      <c r="E1158">
        <f>YEAR(A1158)</f>
        <v>2015</v>
      </c>
    </row>
    <row r="1159" spans="1:5">
      <c r="A1159" s="32">
        <v>42045</v>
      </c>
      <c r="B1159" t="s">
        <v>2</v>
      </c>
      <c r="C1159">
        <v>11636</v>
      </c>
      <c r="D1159" t="str">
        <f>VLOOKUP(B1159,BaseTable,2,FALSE)</f>
        <v>Weiter</v>
      </c>
      <c r="E1159">
        <f>YEAR(A1159)</f>
        <v>2015</v>
      </c>
    </row>
    <row r="1160" spans="1:5">
      <c r="A1160" s="32">
        <v>42045</v>
      </c>
      <c r="B1160" t="s">
        <v>3</v>
      </c>
      <c r="C1160">
        <v>10730</v>
      </c>
      <c r="D1160" t="str">
        <f>VLOOKUP(B1160,BaseTable,2,FALSE)</f>
        <v>Schmecken</v>
      </c>
      <c r="E1160">
        <f>YEAR(A1160)</f>
        <v>2015</v>
      </c>
    </row>
    <row r="1161" spans="1:5">
      <c r="A1161" s="32">
        <v>42045</v>
      </c>
      <c r="B1161" t="s">
        <v>4</v>
      </c>
      <c r="C1161">
        <v>30079</v>
      </c>
      <c r="D1161" t="str">
        <f>VLOOKUP(B1161,BaseTable,2,FALSE)</f>
        <v>Danach-NY</v>
      </c>
      <c r="E1161">
        <f>YEAR(A1161)</f>
        <v>2015</v>
      </c>
    </row>
    <row r="1162" spans="1:5">
      <c r="A1162" s="32">
        <v>42045</v>
      </c>
      <c r="B1162" t="s">
        <v>5</v>
      </c>
      <c r="C1162">
        <v>3475</v>
      </c>
      <c r="D1162" t="str">
        <f>VLOOKUP(B1162,BaseTable,2,FALSE)</f>
        <v>Grun</v>
      </c>
      <c r="E1162">
        <f>YEAR(A1162)</f>
        <v>2015</v>
      </c>
    </row>
    <row r="1163" spans="1:5">
      <c r="A1163" s="32">
        <v>42046</v>
      </c>
      <c r="B1163" t="s">
        <v>0</v>
      </c>
      <c r="C1163">
        <v>1944</v>
      </c>
      <c r="D1163" t="str">
        <f>VLOOKUP(B1163,BaseTable,2,FALSE)</f>
        <v>Unter</v>
      </c>
      <c r="E1163">
        <f>YEAR(A1163)</f>
        <v>2015</v>
      </c>
    </row>
    <row r="1164" spans="1:5">
      <c r="A1164" s="32">
        <v>42046</v>
      </c>
      <c r="B1164" t="s">
        <v>1</v>
      </c>
      <c r="C1164">
        <v>9901</v>
      </c>
      <c r="D1164" t="str">
        <f>VLOOKUP(B1164,BaseTable,2,FALSE)</f>
        <v>Hinter</v>
      </c>
      <c r="E1164">
        <f>YEAR(A1164)</f>
        <v>2015</v>
      </c>
    </row>
    <row r="1165" spans="1:5">
      <c r="A1165" s="32">
        <v>42046</v>
      </c>
      <c r="B1165" t="s">
        <v>2</v>
      </c>
      <c r="C1165">
        <v>13003</v>
      </c>
      <c r="D1165" t="str">
        <f>VLOOKUP(B1165,BaseTable,2,FALSE)</f>
        <v>Weiter</v>
      </c>
      <c r="E1165">
        <f>YEAR(A1165)</f>
        <v>2015</v>
      </c>
    </row>
    <row r="1166" spans="1:5">
      <c r="A1166" s="32">
        <v>42046</v>
      </c>
      <c r="B1166" t="s">
        <v>3</v>
      </c>
      <c r="C1166">
        <v>12366</v>
      </c>
      <c r="D1166" t="str">
        <f>VLOOKUP(B1166,BaseTable,2,FALSE)</f>
        <v>Schmecken</v>
      </c>
      <c r="E1166">
        <f>YEAR(A1166)</f>
        <v>2015</v>
      </c>
    </row>
    <row r="1167" spans="1:5">
      <c r="A1167" s="32">
        <v>42046</v>
      </c>
      <c r="B1167" t="s">
        <v>4</v>
      </c>
      <c r="C1167">
        <v>32730</v>
      </c>
      <c r="D1167" t="str">
        <f>VLOOKUP(B1167,BaseTable,2,FALSE)</f>
        <v>Danach-NY</v>
      </c>
      <c r="E1167">
        <f>YEAR(A1167)</f>
        <v>2015</v>
      </c>
    </row>
    <row r="1168" spans="1:5">
      <c r="A1168" s="32">
        <v>42046</v>
      </c>
      <c r="B1168" t="s">
        <v>5</v>
      </c>
      <c r="C1168">
        <v>3798</v>
      </c>
      <c r="D1168" t="str">
        <f>VLOOKUP(B1168,BaseTable,2,FALSE)</f>
        <v>Grun</v>
      </c>
      <c r="E1168">
        <f>YEAR(A1168)</f>
        <v>2015</v>
      </c>
    </row>
    <row r="1169" spans="1:5">
      <c r="A1169" s="32">
        <v>42047</v>
      </c>
      <c r="B1169" t="s">
        <v>0</v>
      </c>
      <c r="C1169">
        <v>2218</v>
      </c>
      <c r="D1169" t="str">
        <f>VLOOKUP(B1169,BaseTable,2,FALSE)</f>
        <v>Unter</v>
      </c>
      <c r="E1169">
        <f>YEAR(A1169)</f>
        <v>2015</v>
      </c>
    </row>
    <row r="1170" spans="1:5">
      <c r="A1170" s="32">
        <v>42047</v>
      </c>
      <c r="B1170" t="s">
        <v>1</v>
      </c>
      <c r="C1170">
        <v>11531</v>
      </c>
      <c r="D1170" t="str">
        <f>VLOOKUP(B1170,BaseTable,2,FALSE)</f>
        <v>Hinter</v>
      </c>
      <c r="E1170">
        <f>YEAR(A1170)</f>
        <v>2015</v>
      </c>
    </row>
    <row r="1171" spans="1:5">
      <c r="A1171" s="32">
        <v>42047</v>
      </c>
      <c r="B1171" t="s">
        <v>2</v>
      </c>
      <c r="C1171">
        <v>14547</v>
      </c>
      <c r="D1171" t="str">
        <f>VLOOKUP(B1171,BaseTable,2,FALSE)</f>
        <v>Weiter</v>
      </c>
      <c r="E1171">
        <f>YEAR(A1171)</f>
        <v>2015</v>
      </c>
    </row>
    <row r="1172" spans="1:5">
      <c r="A1172" s="32">
        <v>42047</v>
      </c>
      <c r="B1172" t="s">
        <v>3</v>
      </c>
      <c r="C1172">
        <v>14031</v>
      </c>
      <c r="D1172" t="str">
        <f>VLOOKUP(B1172,BaseTable,2,FALSE)</f>
        <v>Schmecken</v>
      </c>
      <c r="E1172">
        <f>YEAR(A1172)</f>
        <v>2015</v>
      </c>
    </row>
    <row r="1173" spans="1:5">
      <c r="A1173" s="32">
        <v>42047</v>
      </c>
      <c r="B1173" t="s">
        <v>4</v>
      </c>
      <c r="C1173">
        <v>37781</v>
      </c>
      <c r="D1173" t="str">
        <f>VLOOKUP(B1173,BaseTable,2,FALSE)</f>
        <v>Danach-NY</v>
      </c>
      <c r="E1173">
        <f>YEAR(A1173)</f>
        <v>2015</v>
      </c>
    </row>
    <row r="1174" spans="1:5">
      <c r="A1174" s="32">
        <v>42047</v>
      </c>
      <c r="B1174" t="s">
        <v>5</v>
      </c>
      <c r="C1174">
        <v>4643</v>
      </c>
      <c r="D1174" t="str">
        <f>VLOOKUP(B1174,BaseTable,2,FALSE)</f>
        <v>Grun</v>
      </c>
      <c r="E1174">
        <f>YEAR(A1174)</f>
        <v>2015</v>
      </c>
    </row>
    <row r="1175" spans="1:5">
      <c r="A1175" s="32">
        <v>42048</v>
      </c>
      <c r="B1175" t="s">
        <v>0</v>
      </c>
      <c r="C1175">
        <v>2585</v>
      </c>
      <c r="D1175" t="str">
        <f>VLOOKUP(B1175,BaseTable,2,FALSE)</f>
        <v>Unter</v>
      </c>
      <c r="E1175">
        <f>YEAR(A1175)</f>
        <v>2015</v>
      </c>
    </row>
    <row r="1176" spans="1:5">
      <c r="A1176" s="32">
        <v>42048</v>
      </c>
      <c r="B1176" t="s">
        <v>1</v>
      </c>
      <c r="C1176">
        <v>12881</v>
      </c>
      <c r="D1176" t="str">
        <f>VLOOKUP(B1176,BaseTable,2,FALSE)</f>
        <v>Hinter</v>
      </c>
      <c r="E1176">
        <f>YEAR(A1176)</f>
        <v>2015</v>
      </c>
    </row>
    <row r="1177" spans="1:5">
      <c r="A1177" s="32">
        <v>42048</v>
      </c>
      <c r="B1177" t="s">
        <v>2</v>
      </c>
      <c r="C1177">
        <v>17324</v>
      </c>
      <c r="D1177" t="str">
        <f>VLOOKUP(B1177,BaseTable,2,FALSE)</f>
        <v>Weiter</v>
      </c>
      <c r="E1177">
        <f>YEAR(A1177)</f>
        <v>2015</v>
      </c>
    </row>
    <row r="1178" spans="1:5">
      <c r="A1178" s="32">
        <v>42048</v>
      </c>
      <c r="B1178" t="s">
        <v>3</v>
      </c>
      <c r="C1178">
        <v>16225</v>
      </c>
      <c r="D1178" t="str">
        <f>VLOOKUP(B1178,BaseTable,2,FALSE)</f>
        <v>Schmecken</v>
      </c>
      <c r="E1178">
        <f>YEAR(A1178)</f>
        <v>2015</v>
      </c>
    </row>
    <row r="1179" spans="1:5">
      <c r="A1179" s="32">
        <v>42048</v>
      </c>
      <c r="B1179" t="s">
        <v>4</v>
      </c>
      <c r="C1179">
        <v>44958</v>
      </c>
      <c r="D1179" t="str">
        <f>VLOOKUP(B1179,BaseTable,2,FALSE)</f>
        <v>Danach-NY</v>
      </c>
      <c r="E1179">
        <f>YEAR(A1179)</f>
        <v>2015</v>
      </c>
    </row>
    <row r="1180" spans="1:5">
      <c r="A1180" s="32">
        <v>42048</v>
      </c>
      <c r="B1180" t="s">
        <v>5</v>
      </c>
      <c r="C1180">
        <v>5924</v>
      </c>
      <c r="D1180" t="str">
        <f>VLOOKUP(B1180,BaseTable,2,FALSE)</f>
        <v>Grun</v>
      </c>
      <c r="E1180">
        <f>YEAR(A1180)</f>
        <v>2015</v>
      </c>
    </row>
    <row r="1181" spans="1:5">
      <c r="A1181" s="32">
        <v>42049</v>
      </c>
      <c r="B1181" t="s">
        <v>0</v>
      </c>
      <c r="C1181">
        <v>2185</v>
      </c>
      <c r="D1181" t="str">
        <f>VLOOKUP(B1181,BaseTable,2,FALSE)</f>
        <v>Unter</v>
      </c>
      <c r="E1181">
        <f>YEAR(A1181)</f>
        <v>2015</v>
      </c>
    </row>
    <row r="1182" spans="1:5">
      <c r="A1182" s="32">
        <v>42049</v>
      </c>
      <c r="B1182" t="s">
        <v>1</v>
      </c>
      <c r="C1182">
        <v>12549</v>
      </c>
      <c r="D1182" t="str">
        <f>VLOOKUP(B1182,BaseTable,2,FALSE)</f>
        <v>Hinter</v>
      </c>
      <c r="E1182">
        <f>YEAR(A1182)</f>
        <v>2015</v>
      </c>
    </row>
    <row r="1183" spans="1:5">
      <c r="A1183" s="32">
        <v>42049</v>
      </c>
      <c r="B1183" t="s">
        <v>2</v>
      </c>
      <c r="C1183">
        <v>17362</v>
      </c>
      <c r="D1183" t="str">
        <f>VLOOKUP(B1183,BaseTable,2,FALSE)</f>
        <v>Weiter</v>
      </c>
      <c r="E1183">
        <f>YEAR(A1183)</f>
        <v>2015</v>
      </c>
    </row>
    <row r="1184" spans="1:5">
      <c r="A1184" s="32">
        <v>42049</v>
      </c>
      <c r="B1184" t="s">
        <v>3</v>
      </c>
      <c r="C1184">
        <v>16617</v>
      </c>
      <c r="D1184" t="str">
        <f>VLOOKUP(B1184,BaseTable,2,FALSE)</f>
        <v>Schmecken</v>
      </c>
      <c r="E1184">
        <f>YEAR(A1184)</f>
        <v>2015</v>
      </c>
    </row>
    <row r="1185" spans="1:5">
      <c r="A1185" s="32">
        <v>42049</v>
      </c>
      <c r="B1185" t="s">
        <v>4</v>
      </c>
      <c r="C1185">
        <v>47259</v>
      </c>
      <c r="D1185" t="str">
        <f>VLOOKUP(B1185,BaseTable,2,FALSE)</f>
        <v>Danach-NY</v>
      </c>
      <c r="E1185">
        <f>YEAR(A1185)</f>
        <v>2015</v>
      </c>
    </row>
    <row r="1186" spans="1:5">
      <c r="A1186" s="32">
        <v>42049</v>
      </c>
      <c r="B1186" t="s">
        <v>5</v>
      </c>
      <c r="C1186">
        <v>6375</v>
      </c>
      <c r="D1186" t="str">
        <f>VLOOKUP(B1186,BaseTable,2,FALSE)</f>
        <v>Grun</v>
      </c>
      <c r="E1186">
        <f>YEAR(A1186)</f>
        <v>2015</v>
      </c>
    </row>
    <row r="1187" spans="1:5">
      <c r="A1187" s="32">
        <v>42050</v>
      </c>
      <c r="B1187" t="s">
        <v>0</v>
      </c>
      <c r="C1187">
        <v>2156</v>
      </c>
      <c r="D1187" t="str">
        <f>VLOOKUP(B1187,BaseTable,2,FALSE)</f>
        <v>Unter</v>
      </c>
      <c r="E1187">
        <f>YEAR(A1187)</f>
        <v>2015</v>
      </c>
    </row>
    <row r="1188" spans="1:5">
      <c r="A1188" s="32">
        <v>42050</v>
      </c>
      <c r="B1188" t="s">
        <v>1</v>
      </c>
      <c r="C1188">
        <v>11377</v>
      </c>
      <c r="D1188" t="str">
        <f>VLOOKUP(B1188,BaseTable,2,FALSE)</f>
        <v>Hinter</v>
      </c>
      <c r="E1188">
        <f>YEAR(A1188)</f>
        <v>2015</v>
      </c>
    </row>
    <row r="1189" spans="1:5">
      <c r="A1189" s="32">
        <v>42050</v>
      </c>
      <c r="B1189" t="s">
        <v>2</v>
      </c>
      <c r="C1189">
        <v>15001</v>
      </c>
      <c r="D1189" t="str">
        <f>VLOOKUP(B1189,BaseTable,2,FALSE)</f>
        <v>Weiter</v>
      </c>
      <c r="E1189">
        <f>YEAR(A1189)</f>
        <v>2015</v>
      </c>
    </row>
    <row r="1190" spans="1:5">
      <c r="A1190" s="32">
        <v>42050</v>
      </c>
      <c r="B1190" t="s">
        <v>3</v>
      </c>
      <c r="C1190">
        <v>14830</v>
      </c>
      <c r="D1190" t="str">
        <f>VLOOKUP(B1190,BaseTable,2,FALSE)</f>
        <v>Schmecken</v>
      </c>
      <c r="E1190">
        <f>YEAR(A1190)</f>
        <v>2015</v>
      </c>
    </row>
    <row r="1191" spans="1:5">
      <c r="A1191" s="32">
        <v>42050</v>
      </c>
      <c r="B1191" t="s">
        <v>4</v>
      </c>
      <c r="C1191">
        <v>42487</v>
      </c>
      <c r="D1191" t="str">
        <f>VLOOKUP(B1191,BaseTable,2,FALSE)</f>
        <v>Danach-NY</v>
      </c>
      <c r="E1191">
        <f>YEAR(A1191)</f>
        <v>2015</v>
      </c>
    </row>
    <row r="1192" spans="1:5">
      <c r="A1192" s="32">
        <v>42050</v>
      </c>
      <c r="B1192" t="s">
        <v>5</v>
      </c>
      <c r="C1192">
        <v>5469</v>
      </c>
      <c r="D1192" t="str">
        <f>VLOOKUP(B1192,BaseTable,2,FALSE)</f>
        <v>Grun</v>
      </c>
      <c r="E1192">
        <f>YEAR(A1192)</f>
        <v>2015</v>
      </c>
    </row>
    <row r="1193" spans="1:5">
      <c r="A1193" s="32">
        <v>42051</v>
      </c>
      <c r="B1193" t="s">
        <v>0</v>
      </c>
      <c r="C1193">
        <v>1703</v>
      </c>
      <c r="D1193" t="str">
        <f>VLOOKUP(B1193,BaseTable,2,FALSE)</f>
        <v>Unter</v>
      </c>
      <c r="E1193">
        <f>YEAR(A1193)</f>
        <v>2015</v>
      </c>
    </row>
    <row r="1194" spans="1:5">
      <c r="A1194" s="32">
        <v>42051</v>
      </c>
      <c r="B1194" t="s">
        <v>1</v>
      </c>
      <c r="C1194">
        <v>8921</v>
      </c>
      <c r="D1194" t="str">
        <f>VLOOKUP(B1194,BaseTable,2,FALSE)</f>
        <v>Hinter</v>
      </c>
      <c r="E1194">
        <f>YEAR(A1194)</f>
        <v>2015</v>
      </c>
    </row>
    <row r="1195" spans="1:5">
      <c r="A1195" s="32">
        <v>42051</v>
      </c>
      <c r="B1195" t="s">
        <v>2</v>
      </c>
      <c r="C1195">
        <v>12130</v>
      </c>
      <c r="D1195" t="str">
        <f>VLOOKUP(B1195,BaseTable,2,FALSE)</f>
        <v>Weiter</v>
      </c>
      <c r="E1195">
        <f>YEAR(A1195)</f>
        <v>2015</v>
      </c>
    </row>
    <row r="1196" spans="1:5">
      <c r="A1196" s="32">
        <v>42051</v>
      </c>
      <c r="B1196" t="s">
        <v>3</v>
      </c>
      <c r="C1196">
        <v>11431</v>
      </c>
      <c r="D1196" t="str">
        <f>VLOOKUP(B1196,BaseTable,2,FALSE)</f>
        <v>Schmecken</v>
      </c>
      <c r="E1196">
        <f>YEAR(A1196)</f>
        <v>2015</v>
      </c>
    </row>
    <row r="1197" spans="1:5">
      <c r="A1197" s="32">
        <v>42051</v>
      </c>
      <c r="B1197" t="s">
        <v>4</v>
      </c>
      <c r="C1197">
        <v>34540</v>
      </c>
      <c r="D1197" t="str">
        <f>VLOOKUP(B1197,BaseTable,2,FALSE)</f>
        <v>Danach-NY</v>
      </c>
      <c r="E1197">
        <f>YEAR(A1197)</f>
        <v>2015</v>
      </c>
    </row>
    <row r="1198" spans="1:5">
      <c r="A1198" s="32">
        <v>42051</v>
      </c>
      <c r="B1198" t="s">
        <v>5</v>
      </c>
      <c r="C1198">
        <v>4947</v>
      </c>
      <c r="D1198" t="str">
        <f>VLOOKUP(B1198,BaseTable,2,FALSE)</f>
        <v>Grun</v>
      </c>
      <c r="E1198">
        <f>YEAR(A1198)</f>
        <v>2015</v>
      </c>
    </row>
    <row r="1199" spans="1:5">
      <c r="A1199" s="32">
        <v>42052</v>
      </c>
      <c r="B1199" t="s">
        <v>0</v>
      </c>
      <c r="C1199">
        <v>1940</v>
      </c>
      <c r="D1199" t="str">
        <f>VLOOKUP(B1199,BaseTable,2,FALSE)</f>
        <v>Unter</v>
      </c>
      <c r="E1199">
        <f>YEAR(A1199)</f>
        <v>2015</v>
      </c>
    </row>
    <row r="1200" spans="1:5">
      <c r="A1200" s="32">
        <v>42052</v>
      </c>
      <c r="B1200" t="s">
        <v>1</v>
      </c>
      <c r="C1200">
        <v>9362</v>
      </c>
      <c r="D1200" t="str">
        <f>VLOOKUP(B1200,BaseTable,2,FALSE)</f>
        <v>Hinter</v>
      </c>
      <c r="E1200">
        <f>YEAR(A1200)</f>
        <v>2015</v>
      </c>
    </row>
    <row r="1201" spans="1:5">
      <c r="A1201" s="32">
        <v>42052</v>
      </c>
      <c r="B1201" t="s">
        <v>2</v>
      </c>
      <c r="C1201">
        <v>12676</v>
      </c>
      <c r="D1201" t="str">
        <f>VLOOKUP(B1201,BaseTable,2,FALSE)</f>
        <v>Weiter</v>
      </c>
      <c r="E1201">
        <f>YEAR(A1201)</f>
        <v>2015</v>
      </c>
    </row>
    <row r="1202" spans="1:5">
      <c r="A1202" s="32">
        <v>42052</v>
      </c>
      <c r="B1202" t="s">
        <v>3</v>
      </c>
      <c r="C1202">
        <v>11949</v>
      </c>
      <c r="D1202" t="str">
        <f>VLOOKUP(B1202,BaseTable,2,FALSE)</f>
        <v>Schmecken</v>
      </c>
      <c r="E1202">
        <f>YEAR(A1202)</f>
        <v>2015</v>
      </c>
    </row>
    <row r="1203" spans="1:5">
      <c r="A1203" s="32">
        <v>42052</v>
      </c>
      <c r="B1203" t="s">
        <v>4</v>
      </c>
      <c r="C1203">
        <v>33387</v>
      </c>
      <c r="D1203" t="str">
        <f>VLOOKUP(B1203,BaseTable,2,FALSE)</f>
        <v>Danach-NY</v>
      </c>
      <c r="E1203">
        <f>YEAR(A1203)</f>
        <v>2015</v>
      </c>
    </row>
    <row r="1204" spans="1:5">
      <c r="A1204" s="32">
        <v>42052</v>
      </c>
      <c r="B1204" t="s">
        <v>5</v>
      </c>
      <c r="C1204">
        <v>4907</v>
      </c>
      <c r="D1204" t="str">
        <f>VLOOKUP(B1204,BaseTable,2,FALSE)</f>
        <v>Grun</v>
      </c>
      <c r="E1204">
        <f>YEAR(A1204)</f>
        <v>2015</v>
      </c>
    </row>
    <row r="1205" spans="1:5">
      <c r="A1205" s="32">
        <v>42053</v>
      </c>
      <c r="B1205" t="s">
        <v>0</v>
      </c>
      <c r="C1205">
        <v>1729</v>
      </c>
      <c r="D1205" t="str">
        <f>VLOOKUP(B1205,BaseTable,2,FALSE)</f>
        <v>Unter</v>
      </c>
      <c r="E1205">
        <f>YEAR(A1205)</f>
        <v>2015</v>
      </c>
    </row>
    <row r="1206" spans="1:5">
      <c r="A1206" s="32">
        <v>42053</v>
      </c>
      <c r="B1206" t="s">
        <v>1</v>
      </c>
      <c r="C1206">
        <v>9374</v>
      </c>
      <c r="D1206" t="str">
        <f>VLOOKUP(B1206,BaseTable,2,FALSE)</f>
        <v>Hinter</v>
      </c>
      <c r="E1206">
        <f>YEAR(A1206)</f>
        <v>2015</v>
      </c>
    </row>
    <row r="1207" spans="1:5">
      <c r="A1207" s="32">
        <v>42053</v>
      </c>
      <c r="B1207" t="s">
        <v>2</v>
      </c>
      <c r="C1207">
        <v>12204</v>
      </c>
      <c r="D1207" t="str">
        <f>VLOOKUP(B1207,BaseTable,2,FALSE)</f>
        <v>Weiter</v>
      </c>
      <c r="E1207">
        <f>YEAR(A1207)</f>
        <v>2015</v>
      </c>
    </row>
    <row r="1208" spans="1:5">
      <c r="A1208" s="32">
        <v>42053</v>
      </c>
      <c r="B1208" t="s">
        <v>3</v>
      </c>
      <c r="C1208">
        <v>11867</v>
      </c>
      <c r="D1208" t="str">
        <f>VLOOKUP(B1208,BaseTable,2,FALSE)</f>
        <v>Schmecken</v>
      </c>
      <c r="E1208">
        <f>YEAR(A1208)</f>
        <v>2015</v>
      </c>
    </row>
    <row r="1209" spans="1:5">
      <c r="A1209" s="32">
        <v>42053</v>
      </c>
      <c r="B1209" t="s">
        <v>4</v>
      </c>
      <c r="C1209">
        <v>33222</v>
      </c>
      <c r="D1209" t="str">
        <f>VLOOKUP(B1209,BaseTable,2,FALSE)</f>
        <v>Danach-NY</v>
      </c>
      <c r="E1209">
        <f>YEAR(A1209)</f>
        <v>2015</v>
      </c>
    </row>
    <row r="1210" spans="1:5">
      <c r="A1210" s="32">
        <v>42053</v>
      </c>
      <c r="B1210" t="s">
        <v>5</v>
      </c>
      <c r="C1210">
        <v>5097</v>
      </c>
      <c r="D1210" t="str">
        <f>VLOOKUP(B1210,BaseTable,2,FALSE)</f>
        <v>Grun</v>
      </c>
      <c r="E1210">
        <f>YEAR(A1210)</f>
        <v>2015</v>
      </c>
    </row>
    <row r="1211" spans="1:5">
      <c r="A1211" s="32">
        <v>42054</v>
      </c>
      <c r="B1211" t="s">
        <v>0</v>
      </c>
      <c r="C1211">
        <v>2263</v>
      </c>
      <c r="D1211" t="str">
        <f>VLOOKUP(B1211,BaseTable,2,FALSE)</f>
        <v>Unter</v>
      </c>
      <c r="E1211">
        <f>YEAR(A1211)</f>
        <v>2015</v>
      </c>
    </row>
    <row r="1212" spans="1:5">
      <c r="A1212" s="32">
        <v>42054</v>
      </c>
      <c r="B1212" t="s">
        <v>1</v>
      </c>
      <c r="C1212">
        <v>11569</v>
      </c>
      <c r="D1212" t="str">
        <f>VLOOKUP(B1212,BaseTable,2,FALSE)</f>
        <v>Hinter</v>
      </c>
      <c r="E1212">
        <f>YEAR(A1212)</f>
        <v>2015</v>
      </c>
    </row>
    <row r="1213" spans="1:5">
      <c r="A1213" s="32">
        <v>42054</v>
      </c>
      <c r="B1213" t="s">
        <v>2</v>
      </c>
      <c r="C1213">
        <v>15014</v>
      </c>
      <c r="D1213" t="str">
        <f>VLOOKUP(B1213,BaseTable,2,FALSE)</f>
        <v>Weiter</v>
      </c>
      <c r="E1213">
        <f>YEAR(A1213)</f>
        <v>2015</v>
      </c>
    </row>
    <row r="1214" spans="1:5">
      <c r="A1214" s="32">
        <v>42054</v>
      </c>
      <c r="B1214" t="s">
        <v>3</v>
      </c>
      <c r="C1214">
        <v>14716</v>
      </c>
      <c r="D1214" t="str">
        <f>VLOOKUP(B1214,BaseTable,2,FALSE)</f>
        <v>Schmecken</v>
      </c>
      <c r="E1214">
        <f>YEAR(A1214)</f>
        <v>2015</v>
      </c>
    </row>
    <row r="1215" spans="1:5">
      <c r="A1215" s="32">
        <v>42054</v>
      </c>
      <c r="B1215" t="s">
        <v>4</v>
      </c>
      <c r="C1215">
        <v>40229</v>
      </c>
      <c r="D1215" t="str">
        <f>VLOOKUP(B1215,BaseTable,2,FALSE)</f>
        <v>Danach-NY</v>
      </c>
      <c r="E1215">
        <f>YEAR(A1215)</f>
        <v>2015</v>
      </c>
    </row>
    <row r="1216" spans="1:5">
      <c r="A1216" s="32">
        <v>42054</v>
      </c>
      <c r="B1216" t="s">
        <v>5</v>
      </c>
      <c r="C1216">
        <v>6480</v>
      </c>
      <c r="D1216" t="str">
        <f>VLOOKUP(B1216,BaseTable,2,FALSE)</f>
        <v>Grun</v>
      </c>
      <c r="E1216">
        <f>YEAR(A1216)</f>
        <v>2015</v>
      </c>
    </row>
    <row r="1217" spans="1:5">
      <c r="A1217" s="32">
        <v>42055</v>
      </c>
      <c r="B1217" t="s">
        <v>0</v>
      </c>
      <c r="C1217">
        <v>2568</v>
      </c>
      <c r="D1217" t="str">
        <f>VLOOKUP(B1217,BaseTable,2,FALSE)</f>
        <v>Unter</v>
      </c>
      <c r="E1217">
        <f>YEAR(A1217)</f>
        <v>2015</v>
      </c>
    </row>
    <row r="1218" spans="1:5">
      <c r="A1218" s="32">
        <v>42055</v>
      </c>
      <c r="B1218" t="s">
        <v>1</v>
      </c>
      <c r="C1218">
        <v>12680</v>
      </c>
      <c r="D1218" t="str">
        <f>VLOOKUP(B1218,BaseTable,2,FALSE)</f>
        <v>Hinter</v>
      </c>
      <c r="E1218">
        <f>YEAR(A1218)</f>
        <v>2015</v>
      </c>
    </row>
    <row r="1219" spans="1:5">
      <c r="A1219" s="32">
        <v>42055</v>
      </c>
      <c r="B1219" t="s">
        <v>2</v>
      </c>
      <c r="C1219">
        <v>17158</v>
      </c>
      <c r="D1219" t="str">
        <f>VLOOKUP(B1219,BaseTable,2,FALSE)</f>
        <v>Weiter</v>
      </c>
      <c r="E1219">
        <f>YEAR(A1219)</f>
        <v>2015</v>
      </c>
    </row>
    <row r="1220" spans="1:5">
      <c r="A1220" s="32">
        <v>42055</v>
      </c>
      <c r="B1220" t="s">
        <v>3</v>
      </c>
      <c r="C1220">
        <v>16465</v>
      </c>
      <c r="D1220" t="str">
        <f>VLOOKUP(B1220,BaseTable,2,FALSE)</f>
        <v>Schmecken</v>
      </c>
      <c r="E1220">
        <f>YEAR(A1220)</f>
        <v>2015</v>
      </c>
    </row>
    <row r="1221" spans="1:5">
      <c r="A1221" s="32">
        <v>42055</v>
      </c>
      <c r="B1221" t="s">
        <v>4</v>
      </c>
      <c r="C1221">
        <v>46018</v>
      </c>
      <c r="D1221" t="str">
        <f>VLOOKUP(B1221,BaseTable,2,FALSE)</f>
        <v>Danach-NY</v>
      </c>
      <c r="E1221">
        <f>YEAR(A1221)</f>
        <v>2015</v>
      </c>
    </row>
    <row r="1222" spans="1:5">
      <c r="A1222" s="32">
        <v>42055</v>
      </c>
      <c r="B1222" t="s">
        <v>5</v>
      </c>
      <c r="C1222">
        <v>7873</v>
      </c>
      <c r="D1222" t="str">
        <f>VLOOKUP(B1222,BaseTable,2,FALSE)</f>
        <v>Grun</v>
      </c>
      <c r="E1222">
        <f>YEAR(A1222)</f>
        <v>2015</v>
      </c>
    </row>
    <row r="1223" spans="1:5">
      <c r="A1223" s="32">
        <v>42056</v>
      </c>
      <c r="B1223" t="s">
        <v>0</v>
      </c>
      <c r="C1223">
        <v>2267</v>
      </c>
      <c r="D1223" t="str">
        <f>VLOOKUP(B1223,BaseTable,2,FALSE)</f>
        <v>Unter</v>
      </c>
      <c r="E1223">
        <f>YEAR(A1223)</f>
        <v>2015</v>
      </c>
    </row>
    <row r="1224" spans="1:5">
      <c r="A1224" s="32">
        <v>42056</v>
      </c>
      <c r="B1224" t="s">
        <v>1</v>
      </c>
      <c r="C1224">
        <v>12026</v>
      </c>
      <c r="D1224" t="str">
        <f>VLOOKUP(B1224,BaseTable,2,FALSE)</f>
        <v>Hinter</v>
      </c>
      <c r="E1224">
        <f>YEAR(A1224)</f>
        <v>2015</v>
      </c>
    </row>
    <row r="1225" spans="1:5">
      <c r="A1225" s="32">
        <v>42056</v>
      </c>
      <c r="B1225" t="s">
        <v>2</v>
      </c>
      <c r="C1225">
        <v>16485</v>
      </c>
      <c r="D1225" t="str">
        <f>VLOOKUP(B1225,BaseTable,2,FALSE)</f>
        <v>Weiter</v>
      </c>
      <c r="E1225">
        <f>YEAR(A1225)</f>
        <v>2015</v>
      </c>
    </row>
    <row r="1226" spans="1:5">
      <c r="A1226" s="32">
        <v>42056</v>
      </c>
      <c r="B1226" t="s">
        <v>3</v>
      </c>
      <c r="C1226">
        <v>16459</v>
      </c>
      <c r="D1226" t="str">
        <f>VLOOKUP(B1226,BaseTable,2,FALSE)</f>
        <v>Schmecken</v>
      </c>
      <c r="E1226">
        <f>YEAR(A1226)</f>
        <v>2015</v>
      </c>
    </row>
    <row r="1227" spans="1:5">
      <c r="A1227" s="32">
        <v>42056</v>
      </c>
      <c r="B1227" t="s">
        <v>4</v>
      </c>
      <c r="C1227">
        <v>45499</v>
      </c>
      <c r="D1227" t="str">
        <f>VLOOKUP(B1227,BaseTable,2,FALSE)</f>
        <v>Danach-NY</v>
      </c>
      <c r="E1227">
        <f>YEAR(A1227)</f>
        <v>2015</v>
      </c>
    </row>
    <row r="1228" spans="1:5">
      <c r="A1228" s="32">
        <v>42056</v>
      </c>
      <c r="B1228" t="s">
        <v>5</v>
      </c>
      <c r="C1228">
        <v>7745</v>
      </c>
      <c r="D1228" t="str">
        <f>VLOOKUP(B1228,BaseTable,2,FALSE)</f>
        <v>Grun</v>
      </c>
      <c r="E1228">
        <f>YEAR(A1228)</f>
        <v>2015</v>
      </c>
    </row>
    <row r="1229" spans="1:5">
      <c r="A1229" s="32">
        <v>42057</v>
      </c>
      <c r="B1229" t="s">
        <v>0</v>
      </c>
      <c r="C1229">
        <v>1441</v>
      </c>
      <c r="D1229" t="str">
        <f>VLOOKUP(B1229,BaseTable,2,FALSE)</f>
        <v>Unter</v>
      </c>
      <c r="E1229">
        <f>YEAR(A1229)</f>
        <v>2015</v>
      </c>
    </row>
    <row r="1230" spans="1:5">
      <c r="A1230" s="32">
        <v>42057</v>
      </c>
      <c r="B1230" t="s">
        <v>1</v>
      </c>
      <c r="C1230">
        <v>8222</v>
      </c>
      <c r="D1230" t="str">
        <f>VLOOKUP(B1230,BaseTable,2,FALSE)</f>
        <v>Hinter</v>
      </c>
      <c r="E1230">
        <f>YEAR(A1230)</f>
        <v>2015</v>
      </c>
    </row>
    <row r="1231" spans="1:5">
      <c r="A1231" s="32">
        <v>42057</v>
      </c>
      <c r="B1231" t="s">
        <v>2</v>
      </c>
      <c r="C1231">
        <v>11051</v>
      </c>
      <c r="D1231" t="str">
        <f>VLOOKUP(B1231,BaseTable,2,FALSE)</f>
        <v>Weiter</v>
      </c>
      <c r="E1231">
        <f>YEAR(A1231)</f>
        <v>2015</v>
      </c>
    </row>
    <row r="1232" spans="1:5">
      <c r="A1232" s="32">
        <v>42057</v>
      </c>
      <c r="B1232" t="s">
        <v>3</v>
      </c>
      <c r="C1232">
        <v>11066</v>
      </c>
      <c r="D1232" t="str">
        <f>VLOOKUP(B1232,BaseTable,2,FALSE)</f>
        <v>Schmecken</v>
      </c>
      <c r="E1232">
        <f>YEAR(A1232)</f>
        <v>2015</v>
      </c>
    </row>
    <row r="1233" spans="1:5">
      <c r="A1233" s="32">
        <v>42057</v>
      </c>
      <c r="B1233" t="s">
        <v>4</v>
      </c>
      <c r="C1233">
        <v>31005</v>
      </c>
      <c r="D1233" t="str">
        <f>VLOOKUP(B1233,BaseTable,2,FALSE)</f>
        <v>Danach-NY</v>
      </c>
      <c r="E1233">
        <f>YEAR(A1233)</f>
        <v>2015</v>
      </c>
    </row>
    <row r="1234" spans="1:5">
      <c r="A1234" s="32">
        <v>42057</v>
      </c>
      <c r="B1234" t="s">
        <v>5</v>
      </c>
      <c r="C1234">
        <v>5059</v>
      </c>
      <c r="D1234" t="str">
        <f>VLOOKUP(B1234,BaseTable,2,FALSE)</f>
        <v>Grun</v>
      </c>
      <c r="E1234">
        <f>YEAR(A1234)</f>
        <v>2015</v>
      </c>
    </row>
    <row r="1235" spans="1:5">
      <c r="A1235" s="32">
        <v>42058</v>
      </c>
      <c r="B1235" t="s">
        <v>0</v>
      </c>
      <c r="C1235">
        <v>1946</v>
      </c>
      <c r="D1235" t="str">
        <f>VLOOKUP(B1235,BaseTable,2,FALSE)</f>
        <v>Unter</v>
      </c>
      <c r="E1235">
        <f>YEAR(A1235)</f>
        <v>2015</v>
      </c>
    </row>
    <row r="1236" spans="1:5">
      <c r="A1236" s="32">
        <v>42058</v>
      </c>
      <c r="B1236" t="s">
        <v>1</v>
      </c>
      <c r="C1236">
        <v>8847</v>
      </c>
      <c r="D1236" t="str">
        <f>VLOOKUP(B1236,BaseTable,2,FALSE)</f>
        <v>Hinter</v>
      </c>
      <c r="E1236">
        <f>YEAR(A1236)</f>
        <v>2015</v>
      </c>
    </row>
    <row r="1237" spans="1:5">
      <c r="A1237" s="32">
        <v>42058</v>
      </c>
      <c r="B1237" t="s">
        <v>2</v>
      </c>
      <c r="C1237">
        <v>11943</v>
      </c>
      <c r="D1237" t="str">
        <f>VLOOKUP(B1237,BaseTable,2,FALSE)</f>
        <v>Weiter</v>
      </c>
      <c r="E1237">
        <f>YEAR(A1237)</f>
        <v>2015</v>
      </c>
    </row>
    <row r="1238" spans="1:5">
      <c r="A1238" s="32">
        <v>42058</v>
      </c>
      <c r="B1238" t="s">
        <v>3</v>
      </c>
      <c r="C1238">
        <v>11875</v>
      </c>
      <c r="D1238" t="str">
        <f>VLOOKUP(B1238,BaseTable,2,FALSE)</f>
        <v>Schmecken</v>
      </c>
      <c r="E1238">
        <f>YEAR(A1238)</f>
        <v>2015</v>
      </c>
    </row>
    <row r="1239" spans="1:5">
      <c r="A1239" s="32">
        <v>42058</v>
      </c>
      <c r="B1239" t="s">
        <v>4</v>
      </c>
      <c r="C1239">
        <v>32010</v>
      </c>
      <c r="D1239" t="str">
        <f>VLOOKUP(B1239,BaseTable,2,FALSE)</f>
        <v>Danach-NY</v>
      </c>
      <c r="E1239">
        <f>YEAR(A1239)</f>
        <v>2015</v>
      </c>
    </row>
    <row r="1240" spans="1:5">
      <c r="A1240" s="32">
        <v>42058</v>
      </c>
      <c r="B1240" t="s">
        <v>5</v>
      </c>
      <c r="C1240">
        <v>5873</v>
      </c>
      <c r="D1240" t="str">
        <f>VLOOKUP(B1240,BaseTable,2,FALSE)</f>
        <v>Grun</v>
      </c>
      <c r="E1240">
        <f>YEAR(A1240)</f>
        <v>2015</v>
      </c>
    </row>
    <row r="1241" spans="1:5">
      <c r="A1241" s="32">
        <v>42059</v>
      </c>
      <c r="B1241" t="s">
        <v>0</v>
      </c>
      <c r="C1241">
        <v>2014</v>
      </c>
      <c r="D1241" t="str">
        <f>VLOOKUP(B1241,BaseTable,2,FALSE)</f>
        <v>Unter</v>
      </c>
      <c r="E1241">
        <f>YEAR(A1241)</f>
        <v>2015</v>
      </c>
    </row>
    <row r="1242" spans="1:5">
      <c r="A1242" s="32">
        <v>42059</v>
      </c>
      <c r="B1242" t="s">
        <v>1</v>
      </c>
      <c r="C1242">
        <v>9709</v>
      </c>
      <c r="D1242" t="str">
        <f>VLOOKUP(B1242,BaseTable,2,FALSE)</f>
        <v>Hinter</v>
      </c>
      <c r="E1242">
        <f>YEAR(A1242)</f>
        <v>2015</v>
      </c>
    </row>
    <row r="1243" spans="1:5">
      <c r="A1243" s="32">
        <v>42059</v>
      </c>
      <c r="B1243" t="s">
        <v>2</v>
      </c>
      <c r="C1243">
        <v>13938</v>
      </c>
      <c r="D1243" t="str">
        <f>VLOOKUP(B1243,BaseTable,2,FALSE)</f>
        <v>Weiter</v>
      </c>
      <c r="E1243">
        <f>YEAR(A1243)</f>
        <v>2015</v>
      </c>
    </row>
    <row r="1244" spans="1:5">
      <c r="A1244" s="32">
        <v>42059</v>
      </c>
      <c r="B1244" t="s">
        <v>3</v>
      </c>
      <c r="C1244">
        <v>12752</v>
      </c>
      <c r="D1244" t="str">
        <f>VLOOKUP(B1244,BaseTable,2,FALSE)</f>
        <v>Schmecken</v>
      </c>
      <c r="E1244">
        <f>YEAR(A1244)</f>
        <v>2015</v>
      </c>
    </row>
    <row r="1245" spans="1:5">
      <c r="A1245" s="32">
        <v>42059</v>
      </c>
      <c r="B1245" t="s">
        <v>4</v>
      </c>
      <c r="C1245">
        <v>35692</v>
      </c>
      <c r="D1245" t="str">
        <f>VLOOKUP(B1245,BaseTable,2,FALSE)</f>
        <v>Danach-NY</v>
      </c>
      <c r="E1245">
        <f>YEAR(A1245)</f>
        <v>2015</v>
      </c>
    </row>
    <row r="1246" spans="1:5">
      <c r="A1246" s="32">
        <v>42059</v>
      </c>
      <c r="B1246" t="s">
        <v>5</v>
      </c>
      <c r="C1246">
        <v>6415</v>
      </c>
      <c r="D1246" t="str">
        <f>VLOOKUP(B1246,BaseTable,2,FALSE)</f>
        <v>Grun</v>
      </c>
      <c r="E1246">
        <f>YEAR(A1246)</f>
        <v>2015</v>
      </c>
    </row>
    <row r="1247" spans="1:5">
      <c r="A1247" s="32">
        <v>42060</v>
      </c>
      <c r="B1247" t="s">
        <v>0</v>
      </c>
      <c r="C1247">
        <v>1756</v>
      </c>
      <c r="D1247" t="str">
        <f>VLOOKUP(B1247,BaseTable,2,FALSE)</f>
        <v>Unter</v>
      </c>
      <c r="E1247">
        <f>YEAR(A1247)</f>
        <v>2015</v>
      </c>
    </row>
    <row r="1248" spans="1:5">
      <c r="A1248" s="32">
        <v>42060</v>
      </c>
      <c r="B1248" t="s">
        <v>1</v>
      </c>
      <c r="C1248">
        <v>9277</v>
      </c>
      <c r="D1248" t="str">
        <f>VLOOKUP(B1248,BaseTable,2,FALSE)</f>
        <v>Hinter</v>
      </c>
      <c r="E1248">
        <f>YEAR(A1248)</f>
        <v>2015</v>
      </c>
    </row>
    <row r="1249" spans="1:5">
      <c r="A1249" s="32">
        <v>42060</v>
      </c>
      <c r="B1249" t="s">
        <v>2</v>
      </c>
      <c r="C1249">
        <v>13081</v>
      </c>
      <c r="D1249" t="str">
        <f>VLOOKUP(B1249,BaseTable,2,FALSE)</f>
        <v>Weiter</v>
      </c>
      <c r="E1249">
        <f>YEAR(A1249)</f>
        <v>2015</v>
      </c>
    </row>
    <row r="1250" spans="1:5">
      <c r="A1250" s="32">
        <v>42060</v>
      </c>
      <c r="B1250" t="s">
        <v>3</v>
      </c>
      <c r="C1250">
        <v>12851</v>
      </c>
      <c r="D1250" t="str">
        <f>VLOOKUP(B1250,BaseTable,2,FALSE)</f>
        <v>Schmecken</v>
      </c>
      <c r="E1250">
        <f>YEAR(A1250)</f>
        <v>2015</v>
      </c>
    </row>
    <row r="1251" spans="1:5">
      <c r="A1251" s="32">
        <v>42060</v>
      </c>
      <c r="B1251" t="s">
        <v>4</v>
      </c>
      <c r="C1251">
        <v>32780</v>
      </c>
      <c r="D1251" t="str">
        <f>VLOOKUP(B1251,BaseTable,2,FALSE)</f>
        <v>Danach-NY</v>
      </c>
      <c r="E1251">
        <f>YEAR(A1251)</f>
        <v>2015</v>
      </c>
    </row>
    <row r="1252" spans="1:5">
      <c r="A1252" s="32">
        <v>42060</v>
      </c>
      <c r="B1252" t="s">
        <v>5</v>
      </c>
      <c r="C1252">
        <v>6247</v>
      </c>
      <c r="D1252" t="str">
        <f>VLOOKUP(B1252,BaseTable,2,FALSE)</f>
        <v>Grun</v>
      </c>
      <c r="E1252">
        <f>YEAR(A1252)</f>
        <v>2015</v>
      </c>
    </row>
    <row r="1253" spans="1:5">
      <c r="A1253" s="32">
        <v>42061</v>
      </c>
      <c r="B1253" t="s">
        <v>0</v>
      </c>
      <c r="C1253">
        <v>1931</v>
      </c>
      <c r="D1253" t="str">
        <f>VLOOKUP(B1253,BaseTable,2,FALSE)</f>
        <v>Unter</v>
      </c>
      <c r="E1253">
        <f>YEAR(A1253)</f>
        <v>2015</v>
      </c>
    </row>
    <row r="1254" spans="1:5">
      <c r="A1254" s="32">
        <v>42061</v>
      </c>
      <c r="B1254" t="s">
        <v>1</v>
      </c>
      <c r="C1254">
        <v>10447</v>
      </c>
      <c r="D1254" t="str">
        <f>VLOOKUP(B1254,BaseTable,2,FALSE)</f>
        <v>Hinter</v>
      </c>
      <c r="E1254">
        <f>YEAR(A1254)</f>
        <v>2015</v>
      </c>
    </row>
    <row r="1255" spans="1:5">
      <c r="A1255" s="32">
        <v>42061</v>
      </c>
      <c r="B1255" t="s">
        <v>2</v>
      </c>
      <c r="C1255">
        <v>14749</v>
      </c>
      <c r="D1255" t="str">
        <f>VLOOKUP(B1255,BaseTable,2,FALSE)</f>
        <v>Weiter</v>
      </c>
      <c r="E1255">
        <f>YEAR(A1255)</f>
        <v>2015</v>
      </c>
    </row>
    <row r="1256" spans="1:5">
      <c r="A1256" s="32">
        <v>42061</v>
      </c>
      <c r="B1256" t="s">
        <v>3</v>
      </c>
      <c r="C1256">
        <v>13962</v>
      </c>
      <c r="D1256" t="str">
        <f>VLOOKUP(B1256,BaseTable,2,FALSE)</f>
        <v>Schmecken</v>
      </c>
      <c r="E1256">
        <f>YEAR(A1256)</f>
        <v>2015</v>
      </c>
    </row>
    <row r="1257" spans="1:5">
      <c r="A1257" s="32">
        <v>42061</v>
      </c>
      <c r="B1257" t="s">
        <v>4</v>
      </c>
      <c r="C1257">
        <v>36931</v>
      </c>
      <c r="D1257" t="str">
        <f>VLOOKUP(B1257,BaseTable,2,FALSE)</f>
        <v>Danach-NY</v>
      </c>
      <c r="E1257">
        <f>YEAR(A1257)</f>
        <v>2015</v>
      </c>
    </row>
    <row r="1258" spans="1:5">
      <c r="A1258" s="32">
        <v>42061</v>
      </c>
      <c r="B1258" t="s">
        <v>5</v>
      </c>
      <c r="C1258">
        <v>6820</v>
      </c>
      <c r="D1258" t="str">
        <f>VLOOKUP(B1258,BaseTable,2,FALSE)</f>
        <v>Grun</v>
      </c>
      <c r="E1258">
        <f>YEAR(A1258)</f>
        <v>2015</v>
      </c>
    </row>
    <row r="1259" spans="1:5">
      <c r="A1259" s="32">
        <v>42062</v>
      </c>
      <c r="B1259" t="s">
        <v>0</v>
      </c>
      <c r="C1259">
        <v>2204</v>
      </c>
      <c r="D1259" t="str">
        <f>VLOOKUP(B1259,BaseTable,2,FALSE)</f>
        <v>Unter</v>
      </c>
      <c r="E1259">
        <f>YEAR(A1259)</f>
        <v>2015</v>
      </c>
    </row>
    <row r="1260" spans="1:5">
      <c r="A1260" s="32">
        <v>42062</v>
      </c>
      <c r="B1260" t="s">
        <v>1</v>
      </c>
      <c r="C1260">
        <v>10605</v>
      </c>
      <c r="D1260" t="str">
        <f>VLOOKUP(B1260,BaseTable,2,FALSE)</f>
        <v>Hinter</v>
      </c>
      <c r="E1260">
        <f>YEAR(A1260)</f>
        <v>2015</v>
      </c>
    </row>
    <row r="1261" spans="1:5">
      <c r="A1261" s="32">
        <v>42062</v>
      </c>
      <c r="B1261" t="s">
        <v>2</v>
      </c>
      <c r="C1261">
        <v>14900</v>
      </c>
      <c r="D1261" t="str">
        <f>VLOOKUP(B1261,BaseTable,2,FALSE)</f>
        <v>Weiter</v>
      </c>
      <c r="E1261">
        <f>YEAR(A1261)</f>
        <v>2015</v>
      </c>
    </row>
    <row r="1262" spans="1:5">
      <c r="A1262" s="32">
        <v>42062</v>
      </c>
      <c r="B1262" t="s">
        <v>3</v>
      </c>
      <c r="C1262">
        <v>15174</v>
      </c>
      <c r="D1262" t="str">
        <f>VLOOKUP(B1262,BaseTable,2,FALSE)</f>
        <v>Schmecken</v>
      </c>
      <c r="E1262">
        <f>YEAR(A1262)</f>
        <v>2015</v>
      </c>
    </row>
    <row r="1263" spans="1:5">
      <c r="A1263" s="32">
        <v>42062</v>
      </c>
      <c r="B1263" t="s">
        <v>4</v>
      </c>
      <c r="C1263">
        <v>39703</v>
      </c>
      <c r="D1263" t="str">
        <f>VLOOKUP(B1263,BaseTable,2,FALSE)</f>
        <v>Danach-NY</v>
      </c>
      <c r="E1263">
        <f>YEAR(A1263)</f>
        <v>2015</v>
      </c>
    </row>
    <row r="1264" spans="1:5">
      <c r="A1264" s="32">
        <v>42062</v>
      </c>
      <c r="B1264" t="s">
        <v>5</v>
      </c>
      <c r="C1264">
        <v>7631</v>
      </c>
      <c r="D1264" t="str">
        <f>VLOOKUP(B1264,BaseTable,2,FALSE)</f>
        <v>Grun</v>
      </c>
      <c r="E1264">
        <f>YEAR(A1264)</f>
        <v>2015</v>
      </c>
    </row>
    <row r="1265" spans="1:5">
      <c r="A1265" s="32">
        <v>42063</v>
      </c>
      <c r="B1265" t="s">
        <v>0</v>
      </c>
      <c r="C1265">
        <v>1915</v>
      </c>
      <c r="D1265" t="str">
        <f>VLOOKUP(B1265,BaseTable,2,FALSE)</f>
        <v>Unter</v>
      </c>
      <c r="E1265">
        <f>YEAR(A1265)</f>
        <v>2015</v>
      </c>
    </row>
    <row r="1266" spans="1:5">
      <c r="A1266" s="32">
        <v>42063</v>
      </c>
      <c r="B1266" t="s">
        <v>1</v>
      </c>
      <c r="C1266">
        <v>10209</v>
      </c>
      <c r="D1266" t="str">
        <f>VLOOKUP(B1266,BaseTable,2,FALSE)</f>
        <v>Hinter</v>
      </c>
      <c r="E1266">
        <f>YEAR(A1266)</f>
        <v>2015</v>
      </c>
    </row>
    <row r="1267" spans="1:5">
      <c r="A1267" s="32">
        <v>42063</v>
      </c>
      <c r="B1267" t="s">
        <v>2</v>
      </c>
      <c r="C1267">
        <v>14238</v>
      </c>
      <c r="D1267" t="str">
        <f>VLOOKUP(B1267,BaseTable,2,FALSE)</f>
        <v>Weiter</v>
      </c>
      <c r="E1267">
        <f>YEAR(A1267)</f>
        <v>2015</v>
      </c>
    </row>
    <row r="1268" spans="1:5">
      <c r="A1268" s="32">
        <v>42063</v>
      </c>
      <c r="B1268" t="s">
        <v>3</v>
      </c>
      <c r="C1268">
        <v>14654</v>
      </c>
      <c r="D1268" t="str">
        <f>VLOOKUP(B1268,BaseTable,2,FALSE)</f>
        <v>Schmecken</v>
      </c>
      <c r="E1268">
        <f>YEAR(A1268)</f>
        <v>2015</v>
      </c>
    </row>
    <row r="1269" spans="1:5">
      <c r="A1269" s="32">
        <v>42063</v>
      </c>
      <c r="B1269" t="s">
        <v>4</v>
      </c>
      <c r="C1269">
        <v>40849</v>
      </c>
      <c r="D1269" t="str">
        <f>VLOOKUP(B1269,BaseTable,2,FALSE)</f>
        <v>Danach-NY</v>
      </c>
      <c r="E1269">
        <f>YEAR(A1269)</f>
        <v>2015</v>
      </c>
    </row>
    <row r="1270" spans="1:5">
      <c r="A1270" s="32">
        <v>42063</v>
      </c>
      <c r="B1270" t="s">
        <v>5</v>
      </c>
      <c r="C1270">
        <v>7851</v>
      </c>
      <c r="D1270" t="str">
        <f>VLOOKUP(B1270,BaseTable,2,FALSE)</f>
        <v>Grun</v>
      </c>
      <c r="E1270">
        <f>YEAR(A1270)</f>
        <v>2015</v>
      </c>
    </row>
    <row r="1271" spans="1:5">
      <c r="A1271" s="32">
        <v>42064</v>
      </c>
      <c r="B1271" t="s">
        <v>0</v>
      </c>
      <c r="C1271">
        <v>1512</v>
      </c>
      <c r="D1271" t="str">
        <f>VLOOKUP(B1271,BaseTable,2,FALSE)</f>
        <v>Unter</v>
      </c>
      <c r="E1271">
        <f>YEAR(A1271)</f>
        <v>2015</v>
      </c>
    </row>
    <row r="1272" spans="1:5">
      <c r="A1272" s="32">
        <v>42064</v>
      </c>
      <c r="B1272" t="s">
        <v>1</v>
      </c>
      <c r="C1272">
        <v>7536</v>
      </c>
      <c r="D1272" t="str">
        <f>VLOOKUP(B1272,BaseTable,2,FALSE)</f>
        <v>Hinter</v>
      </c>
      <c r="E1272">
        <f>YEAR(A1272)</f>
        <v>2015</v>
      </c>
    </row>
    <row r="1273" spans="1:5">
      <c r="A1273" s="32">
        <v>42064</v>
      </c>
      <c r="B1273" t="s">
        <v>2</v>
      </c>
      <c r="C1273">
        <v>11658</v>
      </c>
      <c r="D1273" t="str">
        <f>VLOOKUP(B1273,BaseTable,2,FALSE)</f>
        <v>Weiter</v>
      </c>
      <c r="E1273">
        <f>YEAR(A1273)</f>
        <v>2015</v>
      </c>
    </row>
    <row r="1274" spans="1:5">
      <c r="A1274" s="32">
        <v>42064</v>
      </c>
      <c r="B1274" t="s">
        <v>3</v>
      </c>
      <c r="C1274">
        <v>11983</v>
      </c>
      <c r="D1274" t="str">
        <f>VLOOKUP(B1274,BaseTable,2,FALSE)</f>
        <v>Schmecken</v>
      </c>
      <c r="E1274">
        <f>YEAR(A1274)</f>
        <v>2015</v>
      </c>
    </row>
    <row r="1275" spans="1:5">
      <c r="A1275" s="32">
        <v>42064</v>
      </c>
      <c r="B1275" t="s">
        <v>4</v>
      </c>
      <c r="C1275">
        <v>31783</v>
      </c>
      <c r="D1275" t="str">
        <f>VLOOKUP(B1275,BaseTable,2,FALSE)</f>
        <v>Danach-NY</v>
      </c>
      <c r="E1275">
        <f>YEAR(A1275)</f>
        <v>2015</v>
      </c>
    </row>
    <row r="1276" spans="1:5">
      <c r="A1276" s="32">
        <v>42064</v>
      </c>
      <c r="B1276" t="s">
        <v>5</v>
      </c>
      <c r="C1276">
        <v>6367</v>
      </c>
      <c r="D1276" t="str">
        <f>VLOOKUP(B1276,BaseTable,2,FALSE)</f>
        <v>Grun</v>
      </c>
      <c r="E1276">
        <f>YEAR(A1276)</f>
        <v>2015</v>
      </c>
    </row>
    <row r="1277" spans="1:5">
      <c r="A1277" s="32">
        <v>42065</v>
      </c>
      <c r="B1277" t="s">
        <v>0</v>
      </c>
      <c r="C1277">
        <v>1500</v>
      </c>
      <c r="D1277" t="str">
        <f>VLOOKUP(B1277,BaseTable,2,FALSE)</f>
        <v>Unter</v>
      </c>
      <c r="E1277">
        <f>YEAR(A1277)</f>
        <v>2015</v>
      </c>
    </row>
    <row r="1278" spans="1:5">
      <c r="A1278" s="32">
        <v>42065</v>
      </c>
      <c r="B1278" t="s">
        <v>1</v>
      </c>
      <c r="C1278">
        <v>6812</v>
      </c>
      <c r="D1278" t="str">
        <f>VLOOKUP(B1278,BaseTable,2,FALSE)</f>
        <v>Hinter</v>
      </c>
      <c r="E1278">
        <f>YEAR(A1278)</f>
        <v>2015</v>
      </c>
    </row>
    <row r="1279" spans="1:5">
      <c r="A1279" s="32">
        <v>42065</v>
      </c>
      <c r="B1279" t="s">
        <v>2</v>
      </c>
      <c r="C1279">
        <v>9567</v>
      </c>
      <c r="D1279" t="str">
        <f>VLOOKUP(B1279,BaseTable,2,FALSE)</f>
        <v>Weiter</v>
      </c>
      <c r="E1279">
        <f>YEAR(A1279)</f>
        <v>2015</v>
      </c>
    </row>
    <row r="1280" spans="1:5">
      <c r="A1280" s="32">
        <v>42065</v>
      </c>
      <c r="B1280" t="s">
        <v>3</v>
      </c>
      <c r="C1280">
        <v>9800</v>
      </c>
      <c r="D1280" t="str">
        <f>VLOOKUP(B1280,BaseTable,2,FALSE)</f>
        <v>Schmecken</v>
      </c>
      <c r="E1280">
        <f>YEAR(A1280)</f>
        <v>2015</v>
      </c>
    </row>
    <row r="1281" spans="1:5">
      <c r="A1281" s="32">
        <v>42065</v>
      </c>
      <c r="B1281" t="s">
        <v>4</v>
      </c>
      <c r="C1281">
        <v>24519</v>
      </c>
      <c r="D1281" t="str">
        <f>VLOOKUP(B1281,BaseTable,2,FALSE)</f>
        <v>Danach-NY</v>
      </c>
      <c r="E1281">
        <f>YEAR(A1281)</f>
        <v>2015</v>
      </c>
    </row>
    <row r="1282" spans="1:5">
      <c r="A1282" s="32">
        <v>42065</v>
      </c>
      <c r="B1282" t="s">
        <v>5</v>
      </c>
      <c r="C1282">
        <v>5262</v>
      </c>
      <c r="D1282" t="str">
        <f>VLOOKUP(B1282,BaseTable,2,FALSE)</f>
        <v>Grun</v>
      </c>
      <c r="E1282">
        <f>YEAR(A1282)</f>
        <v>2015</v>
      </c>
    </row>
    <row r="1283" spans="1:5">
      <c r="A1283" s="32">
        <v>42066</v>
      </c>
      <c r="B1283" t="s">
        <v>0</v>
      </c>
      <c r="C1283">
        <v>1969</v>
      </c>
      <c r="D1283" t="str">
        <f>VLOOKUP(B1283,BaseTable,2,FALSE)</f>
        <v>Unter</v>
      </c>
      <c r="E1283">
        <f>YEAR(A1283)</f>
        <v>2015</v>
      </c>
    </row>
    <row r="1284" spans="1:5">
      <c r="A1284" s="32">
        <v>42066</v>
      </c>
      <c r="B1284" t="s">
        <v>1</v>
      </c>
      <c r="C1284">
        <v>8759</v>
      </c>
      <c r="D1284" t="str">
        <f>VLOOKUP(B1284,BaseTable,2,FALSE)</f>
        <v>Hinter</v>
      </c>
      <c r="E1284">
        <f>YEAR(A1284)</f>
        <v>2015</v>
      </c>
    </row>
    <row r="1285" spans="1:5">
      <c r="A1285" s="32">
        <v>42066</v>
      </c>
      <c r="B1285" t="s">
        <v>2</v>
      </c>
      <c r="C1285">
        <v>12245</v>
      </c>
      <c r="D1285" t="str">
        <f>VLOOKUP(B1285,BaseTable,2,FALSE)</f>
        <v>Weiter</v>
      </c>
      <c r="E1285">
        <f>YEAR(A1285)</f>
        <v>2015</v>
      </c>
    </row>
    <row r="1286" spans="1:5">
      <c r="A1286" s="32">
        <v>42066</v>
      </c>
      <c r="B1286" t="s">
        <v>3</v>
      </c>
      <c r="C1286">
        <v>13083</v>
      </c>
      <c r="D1286" t="str">
        <f>VLOOKUP(B1286,BaseTable,2,FALSE)</f>
        <v>Schmecken</v>
      </c>
      <c r="E1286">
        <f>YEAR(A1286)</f>
        <v>2015</v>
      </c>
    </row>
    <row r="1287" spans="1:5">
      <c r="A1287" s="32">
        <v>42066</v>
      </c>
      <c r="B1287" t="s">
        <v>4</v>
      </c>
      <c r="C1287">
        <v>31937</v>
      </c>
      <c r="D1287" t="str">
        <f>VLOOKUP(B1287,BaseTable,2,FALSE)</f>
        <v>Danach-NY</v>
      </c>
      <c r="E1287">
        <f>YEAR(A1287)</f>
        <v>2015</v>
      </c>
    </row>
    <row r="1288" spans="1:5">
      <c r="A1288" s="32">
        <v>42066</v>
      </c>
      <c r="B1288" t="s">
        <v>5</v>
      </c>
      <c r="C1288">
        <v>7055</v>
      </c>
      <c r="D1288" t="str">
        <f>VLOOKUP(B1288,BaseTable,2,FALSE)</f>
        <v>Grun</v>
      </c>
      <c r="E1288">
        <f>YEAR(A1288)</f>
        <v>2015</v>
      </c>
    </row>
    <row r="1289" spans="1:5">
      <c r="A1289" s="32">
        <v>42067</v>
      </c>
      <c r="B1289" t="s">
        <v>0</v>
      </c>
      <c r="C1289">
        <v>1626</v>
      </c>
      <c r="D1289" t="str">
        <f>VLOOKUP(B1289,BaseTable,2,FALSE)</f>
        <v>Unter</v>
      </c>
      <c r="E1289">
        <f>YEAR(A1289)</f>
        <v>2015</v>
      </c>
    </row>
    <row r="1290" spans="1:5">
      <c r="A1290" s="32">
        <v>42067</v>
      </c>
      <c r="B1290" t="s">
        <v>1</v>
      </c>
      <c r="C1290">
        <v>8323</v>
      </c>
      <c r="D1290" t="str">
        <f>VLOOKUP(B1290,BaseTable,2,FALSE)</f>
        <v>Hinter</v>
      </c>
      <c r="E1290">
        <f>YEAR(A1290)</f>
        <v>2015</v>
      </c>
    </row>
    <row r="1291" spans="1:5">
      <c r="A1291" s="32">
        <v>42067</v>
      </c>
      <c r="B1291" t="s">
        <v>2</v>
      </c>
      <c r="C1291">
        <v>12049</v>
      </c>
      <c r="D1291" t="str">
        <f>VLOOKUP(B1291,BaseTable,2,FALSE)</f>
        <v>Weiter</v>
      </c>
      <c r="E1291">
        <f>YEAR(A1291)</f>
        <v>2015</v>
      </c>
    </row>
    <row r="1292" spans="1:5">
      <c r="A1292" s="32">
        <v>42067</v>
      </c>
      <c r="B1292" t="s">
        <v>3</v>
      </c>
      <c r="C1292">
        <v>12771</v>
      </c>
      <c r="D1292" t="str">
        <f>VLOOKUP(B1292,BaseTable,2,FALSE)</f>
        <v>Schmecken</v>
      </c>
      <c r="E1292">
        <f>YEAR(A1292)</f>
        <v>2015</v>
      </c>
    </row>
    <row r="1293" spans="1:5">
      <c r="A1293" s="32">
        <v>42067</v>
      </c>
      <c r="B1293" t="s">
        <v>4</v>
      </c>
      <c r="C1293">
        <v>30607</v>
      </c>
      <c r="D1293" t="str">
        <f>VLOOKUP(B1293,BaseTable,2,FALSE)</f>
        <v>Danach-NY</v>
      </c>
      <c r="E1293">
        <f>YEAR(A1293)</f>
        <v>2015</v>
      </c>
    </row>
    <row r="1294" spans="1:5">
      <c r="A1294" s="32">
        <v>42067</v>
      </c>
      <c r="B1294" t="s">
        <v>5</v>
      </c>
      <c r="C1294">
        <v>6555</v>
      </c>
      <c r="D1294" t="str">
        <f>VLOOKUP(B1294,BaseTable,2,FALSE)</f>
        <v>Grun</v>
      </c>
      <c r="E1294">
        <f>YEAR(A1294)</f>
        <v>2015</v>
      </c>
    </row>
    <row r="1295" spans="1:5">
      <c r="A1295" s="32">
        <v>42068</v>
      </c>
      <c r="B1295" t="s">
        <v>0</v>
      </c>
      <c r="C1295">
        <v>1917</v>
      </c>
      <c r="D1295" t="str">
        <f>VLOOKUP(B1295,BaseTable,2,FALSE)</f>
        <v>Unter</v>
      </c>
      <c r="E1295">
        <f>YEAR(A1295)</f>
        <v>2015</v>
      </c>
    </row>
    <row r="1296" spans="1:5">
      <c r="A1296" s="32">
        <v>42068</v>
      </c>
      <c r="B1296" t="s">
        <v>1</v>
      </c>
      <c r="C1296">
        <v>9376</v>
      </c>
      <c r="D1296" t="str">
        <f>VLOOKUP(B1296,BaseTable,2,FALSE)</f>
        <v>Hinter</v>
      </c>
      <c r="E1296">
        <f>YEAR(A1296)</f>
        <v>2015</v>
      </c>
    </row>
    <row r="1297" spans="1:5">
      <c r="A1297" s="32">
        <v>42068</v>
      </c>
      <c r="B1297" t="s">
        <v>2</v>
      </c>
      <c r="C1297">
        <v>12384</v>
      </c>
      <c r="D1297" t="str">
        <f>VLOOKUP(B1297,BaseTable,2,FALSE)</f>
        <v>Weiter</v>
      </c>
      <c r="E1297">
        <f>YEAR(A1297)</f>
        <v>2015</v>
      </c>
    </row>
    <row r="1298" spans="1:5">
      <c r="A1298" s="32">
        <v>42068</v>
      </c>
      <c r="B1298" t="s">
        <v>3</v>
      </c>
      <c r="C1298">
        <v>13855</v>
      </c>
      <c r="D1298" t="str">
        <f>VLOOKUP(B1298,BaseTable,2,FALSE)</f>
        <v>Schmecken</v>
      </c>
      <c r="E1298">
        <f>YEAR(A1298)</f>
        <v>2015</v>
      </c>
    </row>
    <row r="1299" spans="1:5">
      <c r="A1299" s="32">
        <v>42068</v>
      </c>
      <c r="B1299" t="s">
        <v>4</v>
      </c>
      <c r="C1299">
        <v>33113</v>
      </c>
      <c r="D1299" t="str">
        <f>VLOOKUP(B1299,BaseTable,2,FALSE)</f>
        <v>Danach-NY</v>
      </c>
      <c r="E1299">
        <f>YEAR(A1299)</f>
        <v>2015</v>
      </c>
    </row>
    <row r="1300" spans="1:5">
      <c r="A1300" s="32">
        <v>42068</v>
      </c>
      <c r="B1300" t="s">
        <v>5</v>
      </c>
      <c r="C1300">
        <v>6801</v>
      </c>
      <c r="D1300" t="str">
        <f>VLOOKUP(B1300,BaseTable,2,FALSE)</f>
        <v>Grun</v>
      </c>
      <c r="E1300">
        <f>YEAR(A1300)</f>
        <v>2015</v>
      </c>
    </row>
    <row r="1301" spans="1:5">
      <c r="A1301" s="32">
        <v>42069</v>
      </c>
      <c r="B1301" t="s">
        <v>0</v>
      </c>
      <c r="C1301">
        <v>2036</v>
      </c>
      <c r="D1301" t="str">
        <f>VLOOKUP(B1301,BaseTable,2,FALSE)</f>
        <v>Unter</v>
      </c>
      <c r="E1301">
        <f>YEAR(A1301)</f>
        <v>2015</v>
      </c>
    </row>
    <row r="1302" spans="1:5">
      <c r="A1302" s="32">
        <v>42069</v>
      </c>
      <c r="B1302" t="s">
        <v>1</v>
      </c>
      <c r="C1302">
        <v>9936</v>
      </c>
      <c r="D1302" t="str">
        <f>VLOOKUP(B1302,BaseTable,2,FALSE)</f>
        <v>Hinter</v>
      </c>
      <c r="E1302">
        <f>YEAR(A1302)</f>
        <v>2015</v>
      </c>
    </row>
    <row r="1303" spans="1:5">
      <c r="A1303" s="32">
        <v>42069</v>
      </c>
      <c r="B1303" t="s">
        <v>2</v>
      </c>
      <c r="C1303">
        <v>13492</v>
      </c>
      <c r="D1303" t="str">
        <f>VLOOKUP(B1303,BaseTable,2,FALSE)</f>
        <v>Weiter</v>
      </c>
      <c r="E1303">
        <f>YEAR(A1303)</f>
        <v>2015</v>
      </c>
    </row>
    <row r="1304" spans="1:5">
      <c r="A1304" s="32">
        <v>42069</v>
      </c>
      <c r="B1304" t="s">
        <v>3</v>
      </c>
      <c r="C1304">
        <v>14687</v>
      </c>
      <c r="D1304" t="str">
        <f>VLOOKUP(B1304,BaseTable,2,FALSE)</f>
        <v>Schmecken</v>
      </c>
      <c r="E1304">
        <f>YEAR(A1304)</f>
        <v>2015</v>
      </c>
    </row>
    <row r="1305" spans="1:5">
      <c r="A1305" s="32">
        <v>42069</v>
      </c>
      <c r="B1305" t="s">
        <v>4</v>
      </c>
      <c r="C1305">
        <v>35454</v>
      </c>
      <c r="D1305" t="str">
        <f>VLOOKUP(B1305,BaseTable,2,FALSE)</f>
        <v>Danach-NY</v>
      </c>
      <c r="E1305">
        <f>YEAR(A1305)</f>
        <v>2015</v>
      </c>
    </row>
    <row r="1306" spans="1:5">
      <c r="A1306" s="32">
        <v>42069</v>
      </c>
      <c r="B1306" t="s">
        <v>5</v>
      </c>
      <c r="C1306">
        <v>7529</v>
      </c>
      <c r="D1306" t="str">
        <f>VLOOKUP(B1306,BaseTable,2,FALSE)</f>
        <v>Grun</v>
      </c>
      <c r="E1306">
        <f>YEAR(A1306)</f>
        <v>2015</v>
      </c>
    </row>
    <row r="1307" spans="1:5">
      <c r="A1307" s="32">
        <v>42070</v>
      </c>
      <c r="B1307" t="s">
        <v>0</v>
      </c>
      <c r="C1307">
        <v>1670</v>
      </c>
      <c r="D1307" t="str">
        <f>VLOOKUP(B1307,BaseTable,2,FALSE)</f>
        <v>Unter</v>
      </c>
      <c r="E1307">
        <f>YEAR(A1307)</f>
        <v>2015</v>
      </c>
    </row>
    <row r="1308" spans="1:5">
      <c r="A1308" s="32">
        <v>42070</v>
      </c>
      <c r="B1308" t="s">
        <v>1</v>
      </c>
      <c r="C1308">
        <v>8879</v>
      </c>
      <c r="D1308" t="str">
        <f>VLOOKUP(B1308,BaseTable,2,FALSE)</f>
        <v>Hinter</v>
      </c>
      <c r="E1308">
        <f>YEAR(A1308)</f>
        <v>2015</v>
      </c>
    </row>
    <row r="1309" spans="1:5">
      <c r="A1309" s="32">
        <v>42070</v>
      </c>
      <c r="B1309" t="s">
        <v>2</v>
      </c>
      <c r="C1309">
        <v>12568</v>
      </c>
      <c r="D1309" t="str">
        <f>VLOOKUP(B1309,BaseTable,2,FALSE)</f>
        <v>Weiter</v>
      </c>
      <c r="E1309">
        <f>YEAR(A1309)</f>
        <v>2015</v>
      </c>
    </row>
    <row r="1310" spans="1:5">
      <c r="A1310" s="32">
        <v>42070</v>
      </c>
      <c r="B1310" t="s">
        <v>3</v>
      </c>
      <c r="C1310">
        <v>14716</v>
      </c>
      <c r="D1310" t="str">
        <f>VLOOKUP(B1310,BaseTable,2,FALSE)</f>
        <v>Schmecken</v>
      </c>
      <c r="E1310">
        <f>YEAR(A1310)</f>
        <v>2015</v>
      </c>
    </row>
    <row r="1311" spans="1:5">
      <c r="A1311" s="32">
        <v>42070</v>
      </c>
      <c r="B1311" t="s">
        <v>4</v>
      </c>
      <c r="C1311">
        <v>35934</v>
      </c>
      <c r="D1311" t="str">
        <f>VLOOKUP(B1311,BaseTable,2,FALSE)</f>
        <v>Danach-NY</v>
      </c>
      <c r="E1311">
        <f>YEAR(A1311)</f>
        <v>2015</v>
      </c>
    </row>
    <row r="1312" spans="1:5">
      <c r="A1312" s="32">
        <v>42070</v>
      </c>
      <c r="B1312" t="s">
        <v>5</v>
      </c>
      <c r="C1312">
        <v>7701</v>
      </c>
      <c r="D1312" t="str">
        <f>VLOOKUP(B1312,BaseTable,2,FALSE)</f>
        <v>Grun</v>
      </c>
      <c r="E1312">
        <f>YEAR(A1312)</f>
        <v>2015</v>
      </c>
    </row>
    <row r="1313" spans="1:5">
      <c r="A1313" s="32">
        <v>42071</v>
      </c>
      <c r="B1313" t="s">
        <v>0</v>
      </c>
      <c r="C1313">
        <v>1154</v>
      </c>
      <c r="D1313" t="str">
        <f>VLOOKUP(B1313,BaseTable,2,FALSE)</f>
        <v>Unter</v>
      </c>
      <c r="E1313">
        <f>YEAR(A1313)</f>
        <v>2015</v>
      </c>
    </row>
    <row r="1314" spans="1:5">
      <c r="A1314" s="32">
        <v>42071</v>
      </c>
      <c r="B1314" t="s">
        <v>1</v>
      </c>
      <c r="C1314">
        <v>6744</v>
      </c>
      <c r="D1314" t="str">
        <f>VLOOKUP(B1314,BaseTable,2,FALSE)</f>
        <v>Hinter</v>
      </c>
      <c r="E1314">
        <f>YEAR(A1314)</f>
        <v>2015</v>
      </c>
    </row>
    <row r="1315" spans="1:5">
      <c r="A1315" s="32">
        <v>42071</v>
      </c>
      <c r="B1315" t="s">
        <v>2</v>
      </c>
      <c r="C1315">
        <v>9854</v>
      </c>
      <c r="D1315" t="str">
        <f>VLOOKUP(B1315,BaseTable,2,FALSE)</f>
        <v>Weiter</v>
      </c>
      <c r="E1315">
        <f>YEAR(A1315)</f>
        <v>2015</v>
      </c>
    </row>
    <row r="1316" spans="1:5">
      <c r="A1316" s="32">
        <v>42071</v>
      </c>
      <c r="B1316" t="s">
        <v>3</v>
      </c>
      <c r="C1316">
        <v>11087</v>
      </c>
      <c r="D1316" t="str">
        <f>VLOOKUP(B1316,BaseTable,2,FALSE)</f>
        <v>Schmecken</v>
      </c>
      <c r="E1316">
        <f>YEAR(A1316)</f>
        <v>2015</v>
      </c>
    </row>
    <row r="1317" spans="1:5">
      <c r="A1317" s="32">
        <v>42071</v>
      </c>
      <c r="B1317" t="s">
        <v>4</v>
      </c>
      <c r="C1317">
        <v>27364</v>
      </c>
      <c r="D1317" t="str">
        <f>VLOOKUP(B1317,BaseTable,2,FALSE)</f>
        <v>Danach-NY</v>
      </c>
      <c r="E1317">
        <f>YEAR(A1317)</f>
        <v>2015</v>
      </c>
    </row>
    <row r="1318" spans="1:5">
      <c r="A1318" s="32">
        <v>42071</v>
      </c>
      <c r="B1318" t="s">
        <v>5</v>
      </c>
      <c r="C1318">
        <v>5621</v>
      </c>
      <c r="D1318" t="str">
        <f>VLOOKUP(B1318,BaseTable,2,FALSE)</f>
        <v>Grun</v>
      </c>
      <c r="E1318">
        <f>YEAR(A1318)</f>
        <v>2015</v>
      </c>
    </row>
    <row r="1319" spans="1:5">
      <c r="A1319" s="32">
        <v>42072</v>
      </c>
      <c r="B1319" t="s">
        <v>0</v>
      </c>
      <c r="C1319">
        <v>1434</v>
      </c>
      <c r="D1319" t="str">
        <f>VLOOKUP(B1319,BaseTable,2,FALSE)</f>
        <v>Unter</v>
      </c>
      <c r="E1319">
        <f>YEAR(A1319)</f>
        <v>2015</v>
      </c>
    </row>
    <row r="1320" spans="1:5">
      <c r="A1320" s="32">
        <v>42072</v>
      </c>
      <c r="B1320" t="s">
        <v>1</v>
      </c>
      <c r="C1320">
        <v>6213</v>
      </c>
      <c r="D1320" t="str">
        <f>VLOOKUP(B1320,BaseTable,2,FALSE)</f>
        <v>Hinter</v>
      </c>
      <c r="E1320">
        <f>YEAR(A1320)</f>
        <v>2015</v>
      </c>
    </row>
    <row r="1321" spans="1:5">
      <c r="A1321" s="32">
        <v>42072</v>
      </c>
      <c r="B1321" t="s">
        <v>2</v>
      </c>
      <c r="C1321">
        <v>8647</v>
      </c>
      <c r="D1321" t="str">
        <f>VLOOKUP(B1321,BaseTable,2,FALSE)</f>
        <v>Weiter</v>
      </c>
      <c r="E1321">
        <f>YEAR(A1321)</f>
        <v>2015</v>
      </c>
    </row>
    <row r="1322" spans="1:5">
      <c r="A1322" s="32">
        <v>42072</v>
      </c>
      <c r="B1322" t="s">
        <v>3</v>
      </c>
      <c r="C1322">
        <v>9736</v>
      </c>
      <c r="D1322" t="str">
        <f>VLOOKUP(B1322,BaseTable,2,FALSE)</f>
        <v>Schmecken</v>
      </c>
      <c r="E1322">
        <f>YEAR(A1322)</f>
        <v>2015</v>
      </c>
    </row>
    <row r="1323" spans="1:5">
      <c r="A1323" s="32">
        <v>42072</v>
      </c>
      <c r="B1323" t="s">
        <v>4</v>
      </c>
      <c r="C1323">
        <v>22761</v>
      </c>
      <c r="D1323" t="str">
        <f>VLOOKUP(B1323,BaseTable,2,FALSE)</f>
        <v>Danach-NY</v>
      </c>
      <c r="E1323">
        <f>YEAR(A1323)</f>
        <v>2015</v>
      </c>
    </row>
    <row r="1324" spans="1:5">
      <c r="A1324" s="32">
        <v>42072</v>
      </c>
      <c r="B1324" t="s">
        <v>5</v>
      </c>
      <c r="C1324">
        <v>5129</v>
      </c>
      <c r="D1324" t="str">
        <f>VLOOKUP(B1324,BaseTable,2,FALSE)</f>
        <v>Grun</v>
      </c>
      <c r="E1324">
        <f>YEAR(A1324)</f>
        <v>2015</v>
      </c>
    </row>
    <row r="1325" spans="1:5">
      <c r="A1325" s="32">
        <v>42073</v>
      </c>
      <c r="B1325" t="s">
        <v>0</v>
      </c>
      <c r="C1325">
        <v>1881</v>
      </c>
      <c r="D1325" t="str">
        <f>VLOOKUP(B1325,BaseTable,2,FALSE)</f>
        <v>Unter</v>
      </c>
      <c r="E1325">
        <f>YEAR(A1325)</f>
        <v>2015</v>
      </c>
    </row>
    <row r="1326" spans="1:5">
      <c r="A1326" s="32">
        <v>42073</v>
      </c>
      <c r="B1326" t="s">
        <v>1</v>
      </c>
      <c r="C1326">
        <v>8305</v>
      </c>
      <c r="D1326" t="str">
        <f>VLOOKUP(B1326,BaseTable,2,FALSE)</f>
        <v>Hinter</v>
      </c>
      <c r="E1326">
        <f>YEAR(A1326)</f>
        <v>2015</v>
      </c>
    </row>
    <row r="1327" spans="1:5">
      <c r="A1327" s="32">
        <v>42073</v>
      </c>
      <c r="B1327" t="s">
        <v>2</v>
      </c>
      <c r="C1327">
        <v>11663</v>
      </c>
      <c r="D1327" t="str">
        <f>VLOOKUP(B1327,BaseTable,2,FALSE)</f>
        <v>Weiter</v>
      </c>
      <c r="E1327">
        <f>YEAR(A1327)</f>
        <v>2015</v>
      </c>
    </row>
    <row r="1328" spans="1:5">
      <c r="A1328" s="32">
        <v>42073</v>
      </c>
      <c r="B1328" t="s">
        <v>3</v>
      </c>
      <c r="C1328">
        <v>12973</v>
      </c>
      <c r="D1328" t="str">
        <f>VLOOKUP(B1328,BaseTable,2,FALSE)</f>
        <v>Schmecken</v>
      </c>
      <c r="E1328">
        <f>YEAR(A1328)</f>
        <v>2015</v>
      </c>
    </row>
    <row r="1329" spans="1:5">
      <c r="A1329" s="32">
        <v>42073</v>
      </c>
      <c r="B1329" t="s">
        <v>4</v>
      </c>
      <c r="C1329">
        <v>30384</v>
      </c>
      <c r="D1329" t="str">
        <f>VLOOKUP(B1329,BaseTable,2,FALSE)</f>
        <v>Danach-NY</v>
      </c>
      <c r="E1329">
        <f>YEAR(A1329)</f>
        <v>2015</v>
      </c>
    </row>
    <row r="1330" spans="1:5">
      <c r="A1330" s="32">
        <v>42073</v>
      </c>
      <c r="B1330" t="s">
        <v>5</v>
      </c>
      <c r="C1330">
        <v>6979</v>
      </c>
      <c r="D1330" t="str">
        <f>VLOOKUP(B1330,BaseTable,2,FALSE)</f>
        <v>Grun</v>
      </c>
      <c r="E1330">
        <f>YEAR(A1330)</f>
        <v>2015</v>
      </c>
    </row>
    <row r="1331" spans="1:5">
      <c r="A1331" s="32">
        <v>42074</v>
      </c>
      <c r="B1331" t="s">
        <v>0</v>
      </c>
      <c r="C1331">
        <v>1636</v>
      </c>
      <c r="D1331" t="str">
        <f>VLOOKUP(B1331,BaseTable,2,FALSE)</f>
        <v>Unter</v>
      </c>
      <c r="E1331">
        <f>YEAR(A1331)</f>
        <v>2015</v>
      </c>
    </row>
    <row r="1332" spans="1:5">
      <c r="A1332" s="32">
        <v>42074</v>
      </c>
      <c r="B1332" t="s">
        <v>1</v>
      </c>
      <c r="C1332">
        <v>7617</v>
      </c>
      <c r="D1332" t="str">
        <f>VLOOKUP(B1332,BaseTable,2,FALSE)</f>
        <v>Hinter</v>
      </c>
      <c r="E1332">
        <f>YEAR(A1332)</f>
        <v>2015</v>
      </c>
    </row>
    <row r="1333" spans="1:5">
      <c r="A1333" s="32">
        <v>42074</v>
      </c>
      <c r="B1333" t="s">
        <v>2</v>
      </c>
      <c r="C1333">
        <v>10611</v>
      </c>
      <c r="D1333" t="str">
        <f>VLOOKUP(B1333,BaseTable,2,FALSE)</f>
        <v>Weiter</v>
      </c>
      <c r="E1333">
        <f>YEAR(A1333)</f>
        <v>2015</v>
      </c>
    </row>
    <row r="1334" spans="1:5">
      <c r="A1334" s="32">
        <v>42074</v>
      </c>
      <c r="B1334" t="s">
        <v>3</v>
      </c>
      <c r="C1334">
        <v>11939</v>
      </c>
      <c r="D1334" t="str">
        <f>VLOOKUP(B1334,BaseTable,2,FALSE)</f>
        <v>Schmecken</v>
      </c>
      <c r="E1334">
        <f>YEAR(A1334)</f>
        <v>2015</v>
      </c>
    </row>
    <row r="1335" spans="1:5">
      <c r="A1335" s="32">
        <v>42074</v>
      </c>
      <c r="B1335" t="s">
        <v>4</v>
      </c>
      <c r="C1335">
        <v>27364</v>
      </c>
      <c r="D1335" t="str">
        <f>VLOOKUP(B1335,BaseTable,2,FALSE)</f>
        <v>Danach-NY</v>
      </c>
      <c r="E1335">
        <f>YEAR(A1335)</f>
        <v>2015</v>
      </c>
    </row>
    <row r="1336" spans="1:5">
      <c r="A1336" s="32">
        <v>42074</v>
      </c>
      <c r="B1336" t="s">
        <v>5</v>
      </c>
      <c r="C1336">
        <v>6148</v>
      </c>
      <c r="D1336" t="str">
        <f>VLOOKUP(B1336,BaseTable,2,FALSE)</f>
        <v>Grun</v>
      </c>
      <c r="E1336">
        <f>YEAR(A1336)</f>
        <v>2015</v>
      </c>
    </row>
    <row r="1337" spans="1:5">
      <c r="A1337" s="32">
        <v>42075</v>
      </c>
      <c r="B1337" t="s">
        <v>0</v>
      </c>
      <c r="C1337">
        <v>1713</v>
      </c>
      <c r="D1337" t="str">
        <f>VLOOKUP(B1337,BaseTable,2,FALSE)</f>
        <v>Unter</v>
      </c>
      <c r="E1337">
        <f>YEAR(A1337)</f>
        <v>2015</v>
      </c>
    </row>
    <row r="1338" spans="1:5">
      <c r="A1338" s="32">
        <v>42075</v>
      </c>
      <c r="B1338" t="s">
        <v>1</v>
      </c>
      <c r="C1338">
        <v>8831</v>
      </c>
      <c r="D1338" t="str">
        <f>VLOOKUP(B1338,BaseTable,2,FALSE)</f>
        <v>Hinter</v>
      </c>
      <c r="E1338">
        <f>YEAR(A1338)</f>
        <v>2015</v>
      </c>
    </row>
    <row r="1339" spans="1:5">
      <c r="A1339" s="32">
        <v>42075</v>
      </c>
      <c r="B1339" t="s">
        <v>2</v>
      </c>
      <c r="C1339">
        <v>11729</v>
      </c>
      <c r="D1339" t="str">
        <f>VLOOKUP(B1339,BaseTable,2,FALSE)</f>
        <v>Weiter</v>
      </c>
      <c r="E1339">
        <f>YEAR(A1339)</f>
        <v>2015</v>
      </c>
    </row>
    <row r="1340" spans="1:5">
      <c r="A1340" s="32">
        <v>42075</v>
      </c>
      <c r="B1340" t="s">
        <v>3</v>
      </c>
      <c r="C1340">
        <v>13738</v>
      </c>
      <c r="D1340" t="str">
        <f>VLOOKUP(B1340,BaseTable,2,FALSE)</f>
        <v>Schmecken</v>
      </c>
      <c r="E1340">
        <f>YEAR(A1340)</f>
        <v>2015</v>
      </c>
    </row>
    <row r="1341" spans="1:5">
      <c r="A1341" s="32">
        <v>42075</v>
      </c>
      <c r="B1341" t="s">
        <v>4</v>
      </c>
      <c r="C1341">
        <v>31188</v>
      </c>
      <c r="D1341" t="str">
        <f>VLOOKUP(B1341,BaseTable,2,FALSE)</f>
        <v>Danach-NY</v>
      </c>
      <c r="E1341">
        <f>YEAR(A1341)</f>
        <v>2015</v>
      </c>
    </row>
    <row r="1342" spans="1:5">
      <c r="A1342" s="32">
        <v>42075</v>
      </c>
      <c r="B1342" t="s">
        <v>5</v>
      </c>
      <c r="C1342">
        <v>6839</v>
      </c>
      <c r="D1342" t="str">
        <f>VLOOKUP(B1342,BaseTable,2,FALSE)</f>
        <v>Grun</v>
      </c>
      <c r="E1342">
        <f>YEAR(A1342)</f>
        <v>2015</v>
      </c>
    </row>
    <row r="1343" spans="1:5">
      <c r="A1343" s="32">
        <v>42076</v>
      </c>
      <c r="B1343" t="s">
        <v>0</v>
      </c>
      <c r="C1343">
        <v>1787</v>
      </c>
      <c r="D1343" t="str">
        <f>VLOOKUP(B1343,BaseTable,2,FALSE)</f>
        <v>Unter</v>
      </c>
      <c r="E1343">
        <f>YEAR(A1343)</f>
        <v>2015</v>
      </c>
    </row>
    <row r="1344" spans="1:5">
      <c r="A1344" s="32">
        <v>42076</v>
      </c>
      <c r="B1344" t="s">
        <v>1</v>
      </c>
      <c r="C1344">
        <v>8837</v>
      </c>
      <c r="D1344" t="str">
        <f>VLOOKUP(B1344,BaseTable,2,FALSE)</f>
        <v>Hinter</v>
      </c>
      <c r="E1344">
        <f>YEAR(A1344)</f>
        <v>2015</v>
      </c>
    </row>
    <row r="1345" spans="1:5">
      <c r="A1345" s="32">
        <v>42076</v>
      </c>
      <c r="B1345" t="s">
        <v>2</v>
      </c>
      <c r="C1345">
        <v>12237</v>
      </c>
      <c r="D1345" t="str">
        <f>VLOOKUP(B1345,BaseTable,2,FALSE)</f>
        <v>Weiter</v>
      </c>
      <c r="E1345">
        <f>YEAR(A1345)</f>
        <v>2015</v>
      </c>
    </row>
    <row r="1346" spans="1:5">
      <c r="A1346" s="32">
        <v>42076</v>
      </c>
      <c r="B1346" t="s">
        <v>3</v>
      </c>
      <c r="C1346">
        <v>14703</v>
      </c>
      <c r="D1346" t="str">
        <f>VLOOKUP(B1346,BaseTable,2,FALSE)</f>
        <v>Schmecken</v>
      </c>
      <c r="E1346">
        <f>YEAR(A1346)</f>
        <v>2015</v>
      </c>
    </row>
    <row r="1347" spans="1:5">
      <c r="A1347" s="32">
        <v>42076</v>
      </c>
      <c r="B1347" t="s">
        <v>4</v>
      </c>
      <c r="C1347">
        <v>33756</v>
      </c>
      <c r="D1347" t="str">
        <f>VLOOKUP(B1347,BaseTable,2,FALSE)</f>
        <v>Danach-NY</v>
      </c>
      <c r="E1347">
        <f>YEAR(A1347)</f>
        <v>2015</v>
      </c>
    </row>
    <row r="1348" spans="1:5">
      <c r="A1348" s="32">
        <v>42076</v>
      </c>
      <c r="B1348" t="s">
        <v>5</v>
      </c>
      <c r="C1348">
        <v>7952</v>
      </c>
      <c r="D1348" t="str">
        <f>VLOOKUP(B1348,BaseTable,2,FALSE)</f>
        <v>Grun</v>
      </c>
      <c r="E1348">
        <f>YEAR(A1348)</f>
        <v>2015</v>
      </c>
    </row>
    <row r="1349" spans="1:5">
      <c r="A1349" s="32">
        <v>42077</v>
      </c>
      <c r="B1349" t="s">
        <v>0</v>
      </c>
      <c r="C1349">
        <v>1843</v>
      </c>
      <c r="D1349" t="str">
        <f>VLOOKUP(B1349,BaseTable,2,FALSE)</f>
        <v>Unter</v>
      </c>
      <c r="E1349">
        <f>YEAR(A1349)</f>
        <v>2015</v>
      </c>
    </row>
    <row r="1350" spans="1:5">
      <c r="A1350" s="32">
        <v>42077</v>
      </c>
      <c r="B1350" t="s">
        <v>1</v>
      </c>
      <c r="C1350">
        <v>9717</v>
      </c>
      <c r="D1350" t="str">
        <f>VLOOKUP(B1350,BaseTable,2,FALSE)</f>
        <v>Hinter</v>
      </c>
      <c r="E1350">
        <f>YEAR(A1350)</f>
        <v>2015</v>
      </c>
    </row>
    <row r="1351" spans="1:5">
      <c r="A1351" s="32">
        <v>42077</v>
      </c>
      <c r="B1351" t="s">
        <v>2</v>
      </c>
      <c r="C1351">
        <v>13845</v>
      </c>
      <c r="D1351" t="str">
        <f>VLOOKUP(B1351,BaseTable,2,FALSE)</f>
        <v>Weiter</v>
      </c>
      <c r="E1351">
        <f>YEAR(A1351)</f>
        <v>2015</v>
      </c>
    </row>
    <row r="1352" spans="1:5">
      <c r="A1352" s="32">
        <v>42077</v>
      </c>
      <c r="B1352" t="s">
        <v>3</v>
      </c>
      <c r="C1352">
        <v>17155</v>
      </c>
      <c r="D1352" t="str">
        <f>VLOOKUP(B1352,BaseTable,2,FALSE)</f>
        <v>Schmecken</v>
      </c>
      <c r="E1352">
        <f>YEAR(A1352)</f>
        <v>2015</v>
      </c>
    </row>
    <row r="1353" spans="1:5">
      <c r="A1353" s="32">
        <v>42077</v>
      </c>
      <c r="B1353" t="s">
        <v>4</v>
      </c>
      <c r="C1353">
        <v>39040</v>
      </c>
      <c r="D1353" t="str">
        <f>VLOOKUP(B1353,BaseTable,2,FALSE)</f>
        <v>Danach-NY</v>
      </c>
      <c r="E1353">
        <f>YEAR(A1353)</f>
        <v>2015</v>
      </c>
    </row>
    <row r="1354" spans="1:5">
      <c r="A1354" s="32">
        <v>42077</v>
      </c>
      <c r="B1354" t="s">
        <v>5</v>
      </c>
      <c r="C1354">
        <v>9356</v>
      </c>
      <c r="D1354" t="str">
        <f>VLOOKUP(B1354,BaseTable,2,FALSE)</f>
        <v>Grun</v>
      </c>
      <c r="E1354">
        <f>YEAR(A1354)</f>
        <v>2015</v>
      </c>
    </row>
    <row r="1355" spans="1:5">
      <c r="A1355" s="32">
        <v>42078</v>
      </c>
      <c r="B1355" t="s">
        <v>0</v>
      </c>
      <c r="C1355">
        <v>1153</v>
      </c>
      <c r="D1355" t="str">
        <f>VLOOKUP(B1355,BaseTable,2,FALSE)</f>
        <v>Unter</v>
      </c>
      <c r="E1355">
        <f>YEAR(A1355)</f>
        <v>2015</v>
      </c>
    </row>
    <row r="1356" spans="1:5">
      <c r="A1356" s="32">
        <v>42078</v>
      </c>
      <c r="B1356" t="s">
        <v>1</v>
      </c>
      <c r="C1356">
        <v>7034</v>
      </c>
      <c r="D1356" t="str">
        <f>VLOOKUP(B1356,BaseTable,2,FALSE)</f>
        <v>Hinter</v>
      </c>
      <c r="E1356">
        <f>YEAR(A1356)</f>
        <v>2015</v>
      </c>
    </row>
    <row r="1357" spans="1:5">
      <c r="A1357" s="32">
        <v>42078</v>
      </c>
      <c r="B1357" t="s">
        <v>2</v>
      </c>
      <c r="C1357">
        <v>9715</v>
      </c>
      <c r="D1357" t="str">
        <f>VLOOKUP(B1357,BaseTable,2,FALSE)</f>
        <v>Weiter</v>
      </c>
      <c r="E1357">
        <f>YEAR(A1357)</f>
        <v>2015</v>
      </c>
    </row>
    <row r="1358" spans="1:5">
      <c r="A1358" s="32">
        <v>42078</v>
      </c>
      <c r="B1358" t="s">
        <v>3</v>
      </c>
      <c r="C1358">
        <v>11721</v>
      </c>
      <c r="D1358" t="str">
        <f>VLOOKUP(B1358,BaseTable,2,FALSE)</f>
        <v>Schmecken</v>
      </c>
      <c r="E1358">
        <f>YEAR(A1358)</f>
        <v>2015</v>
      </c>
    </row>
    <row r="1359" spans="1:5">
      <c r="A1359" s="32">
        <v>42078</v>
      </c>
      <c r="B1359" t="s">
        <v>4</v>
      </c>
      <c r="C1359">
        <v>27513</v>
      </c>
      <c r="D1359" t="str">
        <f>VLOOKUP(B1359,BaseTable,2,FALSE)</f>
        <v>Danach-NY</v>
      </c>
      <c r="E1359">
        <f>YEAR(A1359)</f>
        <v>2015</v>
      </c>
    </row>
    <row r="1360" spans="1:5">
      <c r="A1360" s="32">
        <v>42078</v>
      </c>
      <c r="B1360" t="s">
        <v>5</v>
      </c>
      <c r="C1360">
        <v>6285</v>
      </c>
      <c r="D1360" t="str">
        <f>VLOOKUP(B1360,BaseTable,2,FALSE)</f>
        <v>Grun</v>
      </c>
      <c r="E1360">
        <f>YEAR(A1360)</f>
        <v>2015</v>
      </c>
    </row>
    <row r="1361" spans="1:5">
      <c r="A1361" s="32">
        <v>42079</v>
      </c>
      <c r="B1361" t="s">
        <v>0</v>
      </c>
      <c r="C1361">
        <v>1325</v>
      </c>
      <c r="D1361" t="str">
        <f>VLOOKUP(B1361,BaseTable,2,FALSE)</f>
        <v>Unter</v>
      </c>
      <c r="E1361">
        <f>YEAR(A1361)</f>
        <v>2015</v>
      </c>
    </row>
    <row r="1362" spans="1:5">
      <c r="A1362" s="32">
        <v>42079</v>
      </c>
      <c r="B1362" t="s">
        <v>1</v>
      </c>
      <c r="C1362">
        <v>5995</v>
      </c>
      <c r="D1362" t="str">
        <f>VLOOKUP(B1362,BaseTable,2,FALSE)</f>
        <v>Hinter</v>
      </c>
      <c r="E1362">
        <f>YEAR(A1362)</f>
        <v>2015</v>
      </c>
    </row>
    <row r="1363" spans="1:5">
      <c r="A1363" s="32">
        <v>42079</v>
      </c>
      <c r="B1363" t="s">
        <v>2</v>
      </c>
      <c r="C1363">
        <v>8690</v>
      </c>
      <c r="D1363" t="str">
        <f>VLOOKUP(B1363,BaseTable,2,FALSE)</f>
        <v>Weiter</v>
      </c>
      <c r="E1363">
        <f>YEAR(A1363)</f>
        <v>2015</v>
      </c>
    </row>
    <row r="1364" spans="1:5">
      <c r="A1364" s="32">
        <v>42079</v>
      </c>
      <c r="B1364" t="s">
        <v>3</v>
      </c>
      <c r="C1364">
        <v>10198</v>
      </c>
      <c r="D1364" t="str">
        <f>VLOOKUP(B1364,BaseTable,2,FALSE)</f>
        <v>Schmecken</v>
      </c>
      <c r="E1364">
        <f>YEAR(A1364)</f>
        <v>2015</v>
      </c>
    </row>
    <row r="1365" spans="1:5">
      <c r="A1365" s="32">
        <v>42079</v>
      </c>
      <c r="B1365" t="s">
        <v>4</v>
      </c>
      <c r="C1365">
        <v>23077</v>
      </c>
      <c r="D1365" t="str">
        <f>VLOOKUP(B1365,BaseTable,2,FALSE)</f>
        <v>Danach-NY</v>
      </c>
      <c r="E1365">
        <f>YEAR(A1365)</f>
        <v>2015</v>
      </c>
    </row>
    <row r="1366" spans="1:5">
      <c r="A1366" s="32">
        <v>42079</v>
      </c>
      <c r="B1366" t="s">
        <v>5</v>
      </c>
      <c r="C1366">
        <v>5539</v>
      </c>
      <c r="D1366" t="str">
        <f>VLOOKUP(B1366,BaseTable,2,FALSE)</f>
        <v>Grun</v>
      </c>
      <c r="E1366">
        <f>YEAR(A1366)</f>
        <v>2015</v>
      </c>
    </row>
    <row r="1367" spans="1:5">
      <c r="A1367" s="32">
        <v>42080</v>
      </c>
      <c r="B1367" t="s">
        <v>0</v>
      </c>
      <c r="C1367">
        <v>1373</v>
      </c>
      <c r="D1367" t="str">
        <f>VLOOKUP(B1367,BaseTable,2,FALSE)</f>
        <v>Unter</v>
      </c>
      <c r="E1367">
        <f>YEAR(A1367)</f>
        <v>2015</v>
      </c>
    </row>
    <row r="1368" spans="1:5">
      <c r="A1368" s="32">
        <v>42080</v>
      </c>
      <c r="B1368" t="s">
        <v>1</v>
      </c>
      <c r="C1368">
        <v>7020</v>
      </c>
      <c r="D1368" t="str">
        <f>VLOOKUP(B1368,BaseTable,2,FALSE)</f>
        <v>Hinter</v>
      </c>
      <c r="E1368">
        <f>YEAR(A1368)</f>
        <v>2015</v>
      </c>
    </row>
    <row r="1369" spans="1:5">
      <c r="A1369" s="32">
        <v>42080</v>
      </c>
      <c r="B1369" t="s">
        <v>2</v>
      </c>
      <c r="C1369">
        <v>9566</v>
      </c>
      <c r="D1369" t="str">
        <f>VLOOKUP(B1369,BaseTable,2,FALSE)</f>
        <v>Weiter</v>
      </c>
      <c r="E1369">
        <f>YEAR(A1369)</f>
        <v>2015</v>
      </c>
    </row>
    <row r="1370" spans="1:5">
      <c r="A1370" s="32">
        <v>42080</v>
      </c>
      <c r="B1370" t="s">
        <v>3</v>
      </c>
      <c r="C1370">
        <v>11999</v>
      </c>
      <c r="D1370" t="str">
        <f>VLOOKUP(B1370,BaseTable,2,FALSE)</f>
        <v>Schmecken</v>
      </c>
      <c r="E1370">
        <f>YEAR(A1370)</f>
        <v>2015</v>
      </c>
    </row>
    <row r="1371" spans="1:5">
      <c r="A1371" s="32">
        <v>42080</v>
      </c>
      <c r="B1371" t="s">
        <v>4</v>
      </c>
      <c r="C1371">
        <v>26846</v>
      </c>
      <c r="D1371" t="str">
        <f>VLOOKUP(B1371,BaseTable,2,FALSE)</f>
        <v>Danach-NY</v>
      </c>
      <c r="E1371">
        <f>YEAR(A1371)</f>
        <v>2015</v>
      </c>
    </row>
    <row r="1372" spans="1:5">
      <c r="A1372" s="32">
        <v>42080</v>
      </c>
      <c r="B1372" t="s">
        <v>5</v>
      </c>
      <c r="C1372">
        <v>6082</v>
      </c>
      <c r="D1372" t="str">
        <f>VLOOKUP(B1372,BaseTable,2,FALSE)</f>
        <v>Grun</v>
      </c>
      <c r="E1372">
        <f>YEAR(A1372)</f>
        <v>2015</v>
      </c>
    </row>
    <row r="1373" spans="1:5">
      <c r="A1373" s="32">
        <v>42081</v>
      </c>
      <c r="B1373" t="s">
        <v>0</v>
      </c>
      <c r="C1373">
        <v>1538</v>
      </c>
      <c r="D1373" t="str">
        <f>VLOOKUP(B1373,BaseTable,2,FALSE)</f>
        <v>Unter</v>
      </c>
      <c r="E1373">
        <f>YEAR(A1373)</f>
        <v>2015</v>
      </c>
    </row>
    <row r="1374" spans="1:5">
      <c r="A1374" s="32">
        <v>42081</v>
      </c>
      <c r="B1374" t="s">
        <v>1</v>
      </c>
      <c r="C1374">
        <v>8017</v>
      </c>
      <c r="D1374" t="str">
        <f>VLOOKUP(B1374,BaseTable,2,FALSE)</f>
        <v>Hinter</v>
      </c>
      <c r="E1374">
        <f>YEAR(A1374)</f>
        <v>2015</v>
      </c>
    </row>
    <row r="1375" spans="1:5">
      <c r="A1375" s="32">
        <v>42081</v>
      </c>
      <c r="B1375" t="s">
        <v>2</v>
      </c>
      <c r="C1375">
        <v>11015</v>
      </c>
      <c r="D1375" t="str">
        <f>VLOOKUP(B1375,BaseTable,2,FALSE)</f>
        <v>Weiter</v>
      </c>
      <c r="E1375">
        <f>YEAR(A1375)</f>
        <v>2015</v>
      </c>
    </row>
    <row r="1376" spans="1:5">
      <c r="A1376" s="32">
        <v>42081</v>
      </c>
      <c r="B1376" t="s">
        <v>3</v>
      </c>
      <c r="C1376">
        <v>13567</v>
      </c>
      <c r="D1376" t="str">
        <f>VLOOKUP(B1376,BaseTable,2,FALSE)</f>
        <v>Schmecken</v>
      </c>
      <c r="E1376">
        <f>YEAR(A1376)</f>
        <v>2015</v>
      </c>
    </row>
    <row r="1377" spans="1:5">
      <c r="A1377" s="32">
        <v>42081</v>
      </c>
      <c r="B1377" t="s">
        <v>4</v>
      </c>
      <c r="C1377">
        <v>29614</v>
      </c>
      <c r="D1377" t="str">
        <f>VLOOKUP(B1377,BaseTable,2,FALSE)</f>
        <v>Danach-NY</v>
      </c>
      <c r="E1377">
        <f>YEAR(A1377)</f>
        <v>2015</v>
      </c>
    </row>
    <row r="1378" spans="1:5">
      <c r="A1378" s="32">
        <v>42081</v>
      </c>
      <c r="B1378" t="s">
        <v>5</v>
      </c>
      <c r="C1378">
        <v>6633</v>
      </c>
      <c r="D1378" t="str">
        <f>VLOOKUP(B1378,BaseTable,2,FALSE)</f>
        <v>Grun</v>
      </c>
      <c r="E1378">
        <f>YEAR(A1378)</f>
        <v>2015</v>
      </c>
    </row>
    <row r="1379" spans="1:5">
      <c r="A1379" s="32">
        <v>42082</v>
      </c>
      <c r="B1379" t="s">
        <v>0</v>
      </c>
      <c r="C1379">
        <v>1657</v>
      </c>
      <c r="D1379" t="str">
        <f>VLOOKUP(B1379,BaseTable,2,FALSE)</f>
        <v>Unter</v>
      </c>
      <c r="E1379">
        <f>YEAR(A1379)</f>
        <v>2015</v>
      </c>
    </row>
    <row r="1380" spans="1:5">
      <c r="A1380" s="32">
        <v>42082</v>
      </c>
      <c r="B1380" t="s">
        <v>1</v>
      </c>
      <c r="C1380">
        <v>8724</v>
      </c>
      <c r="D1380" t="str">
        <f>VLOOKUP(B1380,BaseTable,2,FALSE)</f>
        <v>Hinter</v>
      </c>
      <c r="E1380">
        <f>YEAR(A1380)</f>
        <v>2015</v>
      </c>
    </row>
    <row r="1381" spans="1:5">
      <c r="A1381" s="32">
        <v>42082</v>
      </c>
      <c r="B1381" t="s">
        <v>2</v>
      </c>
      <c r="C1381">
        <v>11891</v>
      </c>
      <c r="D1381" t="str">
        <f>VLOOKUP(B1381,BaseTable,2,FALSE)</f>
        <v>Weiter</v>
      </c>
      <c r="E1381">
        <f>YEAR(A1381)</f>
        <v>2015</v>
      </c>
    </row>
    <row r="1382" spans="1:5">
      <c r="A1382" s="32">
        <v>42082</v>
      </c>
      <c r="B1382" t="s">
        <v>3</v>
      </c>
      <c r="C1382">
        <v>14890</v>
      </c>
      <c r="D1382" t="str">
        <f>VLOOKUP(B1382,BaseTable,2,FALSE)</f>
        <v>Schmecken</v>
      </c>
      <c r="E1382">
        <f>YEAR(A1382)</f>
        <v>2015</v>
      </c>
    </row>
    <row r="1383" spans="1:5">
      <c r="A1383" s="32">
        <v>42082</v>
      </c>
      <c r="B1383" t="s">
        <v>4</v>
      </c>
      <c r="C1383">
        <v>31437</v>
      </c>
      <c r="D1383" t="str">
        <f>VLOOKUP(B1383,BaseTable,2,FALSE)</f>
        <v>Danach-NY</v>
      </c>
      <c r="E1383">
        <f>YEAR(A1383)</f>
        <v>2015</v>
      </c>
    </row>
    <row r="1384" spans="1:5">
      <c r="A1384" s="32">
        <v>42082</v>
      </c>
      <c r="B1384" t="s">
        <v>5</v>
      </c>
      <c r="C1384">
        <v>7240</v>
      </c>
      <c r="D1384" t="str">
        <f>VLOOKUP(B1384,BaseTable,2,FALSE)</f>
        <v>Grun</v>
      </c>
      <c r="E1384">
        <f>YEAR(A1384)</f>
        <v>2015</v>
      </c>
    </row>
    <row r="1385" spans="1:5">
      <c r="A1385" s="32">
        <v>42083</v>
      </c>
      <c r="B1385" t="s">
        <v>0</v>
      </c>
      <c r="C1385">
        <v>2031</v>
      </c>
      <c r="D1385" t="str">
        <f>VLOOKUP(B1385,BaseTable,2,FALSE)</f>
        <v>Unter</v>
      </c>
      <c r="E1385">
        <f>YEAR(A1385)</f>
        <v>2015</v>
      </c>
    </row>
    <row r="1386" spans="1:5">
      <c r="A1386" s="32">
        <v>42083</v>
      </c>
      <c r="B1386" t="s">
        <v>1</v>
      </c>
      <c r="C1386">
        <v>10488</v>
      </c>
      <c r="D1386" t="str">
        <f>VLOOKUP(B1386,BaseTable,2,FALSE)</f>
        <v>Hinter</v>
      </c>
      <c r="E1386">
        <f>YEAR(A1386)</f>
        <v>2015</v>
      </c>
    </row>
    <row r="1387" spans="1:5">
      <c r="A1387" s="32">
        <v>42083</v>
      </c>
      <c r="B1387" t="s">
        <v>2</v>
      </c>
      <c r="C1387">
        <v>14277</v>
      </c>
      <c r="D1387" t="str">
        <f>VLOOKUP(B1387,BaseTable,2,FALSE)</f>
        <v>Weiter</v>
      </c>
      <c r="E1387">
        <f>YEAR(A1387)</f>
        <v>2015</v>
      </c>
    </row>
    <row r="1388" spans="1:5">
      <c r="A1388" s="32">
        <v>42083</v>
      </c>
      <c r="B1388" t="s">
        <v>3</v>
      </c>
      <c r="C1388">
        <v>18879</v>
      </c>
      <c r="D1388" t="str">
        <f>VLOOKUP(B1388,BaseTable,2,FALSE)</f>
        <v>Schmecken</v>
      </c>
      <c r="E1388">
        <f>YEAR(A1388)</f>
        <v>2015</v>
      </c>
    </row>
    <row r="1389" spans="1:5">
      <c r="A1389" s="32">
        <v>42083</v>
      </c>
      <c r="B1389" t="s">
        <v>4</v>
      </c>
      <c r="C1389">
        <v>40040</v>
      </c>
      <c r="D1389" t="str">
        <f>VLOOKUP(B1389,BaseTable,2,FALSE)</f>
        <v>Danach-NY</v>
      </c>
      <c r="E1389">
        <f>YEAR(A1389)</f>
        <v>2015</v>
      </c>
    </row>
    <row r="1390" spans="1:5">
      <c r="A1390" s="32">
        <v>42083</v>
      </c>
      <c r="B1390" t="s">
        <v>5</v>
      </c>
      <c r="C1390">
        <v>9558</v>
      </c>
      <c r="D1390" t="str">
        <f>VLOOKUP(B1390,BaseTable,2,FALSE)</f>
        <v>Grun</v>
      </c>
      <c r="E1390">
        <f>YEAR(A1390)</f>
        <v>2015</v>
      </c>
    </row>
    <row r="1391" spans="1:5">
      <c r="A1391" s="32">
        <v>42084</v>
      </c>
      <c r="B1391" t="s">
        <v>0</v>
      </c>
      <c r="C1391">
        <v>1487</v>
      </c>
      <c r="D1391" t="str">
        <f>VLOOKUP(B1391,BaseTable,2,FALSE)</f>
        <v>Unter</v>
      </c>
      <c r="E1391">
        <f>YEAR(A1391)</f>
        <v>2015</v>
      </c>
    </row>
    <row r="1392" spans="1:5">
      <c r="A1392" s="32">
        <v>42084</v>
      </c>
      <c r="B1392" t="s">
        <v>1</v>
      </c>
      <c r="C1392">
        <v>8419</v>
      </c>
      <c r="D1392" t="str">
        <f>VLOOKUP(B1392,BaseTable,2,FALSE)</f>
        <v>Hinter</v>
      </c>
      <c r="E1392">
        <f>YEAR(A1392)</f>
        <v>2015</v>
      </c>
    </row>
    <row r="1393" spans="1:5">
      <c r="A1393" s="32">
        <v>42084</v>
      </c>
      <c r="B1393" t="s">
        <v>2</v>
      </c>
      <c r="C1393">
        <v>11733</v>
      </c>
      <c r="D1393" t="str">
        <f>VLOOKUP(B1393,BaseTable,2,FALSE)</f>
        <v>Weiter</v>
      </c>
      <c r="E1393">
        <f>YEAR(A1393)</f>
        <v>2015</v>
      </c>
    </row>
    <row r="1394" spans="1:5">
      <c r="A1394" s="32">
        <v>42084</v>
      </c>
      <c r="B1394" t="s">
        <v>3</v>
      </c>
      <c r="C1394">
        <v>16346</v>
      </c>
      <c r="D1394" t="str">
        <f>VLOOKUP(B1394,BaseTable,2,FALSE)</f>
        <v>Schmecken</v>
      </c>
      <c r="E1394">
        <f>YEAR(A1394)</f>
        <v>2015</v>
      </c>
    </row>
    <row r="1395" spans="1:5">
      <c r="A1395" s="32">
        <v>42084</v>
      </c>
      <c r="B1395" t="s">
        <v>4</v>
      </c>
      <c r="C1395">
        <v>34352</v>
      </c>
      <c r="D1395" t="str">
        <f>VLOOKUP(B1395,BaseTable,2,FALSE)</f>
        <v>Danach-NY</v>
      </c>
      <c r="E1395">
        <f>YEAR(A1395)</f>
        <v>2015</v>
      </c>
    </row>
    <row r="1396" spans="1:5">
      <c r="A1396" s="32">
        <v>42084</v>
      </c>
      <c r="B1396" t="s">
        <v>5</v>
      </c>
      <c r="C1396">
        <v>8408</v>
      </c>
      <c r="D1396" t="str">
        <f>VLOOKUP(B1396,BaseTable,2,FALSE)</f>
        <v>Grun</v>
      </c>
      <c r="E1396">
        <f>YEAR(A1396)</f>
        <v>2015</v>
      </c>
    </row>
    <row r="1397" spans="1:5">
      <c r="A1397" s="32">
        <v>42085</v>
      </c>
      <c r="B1397" t="s">
        <v>0</v>
      </c>
      <c r="C1397">
        <v>1338</v>
      </c>
      <c r="D1397" t="str">
        <f>VLOOKUP(B1397,BaseTable,2,FALSE)</f>
        <v>Unter</v>
      </c>
      <c r="E1397">
        <f>YEAR(A1397)</f>
        <v>2015</v>
      </c>
    </row>
    <row r="1398" spans="1:5">
      <c r="A1398" s="32">
        <v>42085</v>
      </c>
      <c r="B1398" t="s">
        <v>1</v>
      </c>
      <c r="C1398">
        <v>7315</v>
      </c>
      <c r="D1398" t="str">
        <f>VLOOKUP(B1398,BaseTable,2,FALSE)</f>
        <v>Hinter</v>
      </c>
      <c r="E1398">
        <f>YEAR(A1398)</f>
        <v>2015</v>
      </c>
    </row>
    <row r="1399" spans="1:5">
      <c r="A1399" s="32">
        <v>42085</v>
      </c>
      <c r="B1399" t="s">
        <v>2</v>
      </c>
      <c r="C1399">
        <v>9843</v>
      </c>
      <c r="D1399" t="str">
        <f>VLOOKUP(B1399,BaseTable,2,FALSE)</f>
        <v>Weiter</v>
      </c>
      <c r="E1399">
        <f>YEAR(A1399)</f>
        <v>2015</v>
      </c>
    </row>
    <row r="1400" spans="1:5">
      <c r="A1400" s="32">
        <v>42085</v>
      </c>
      <c r="B1400" t="s">
        <v>3</v>
      </c>
      <c r="C1400">
        <v>13599</v>
      </c>
      <c r="D1400" t="str">
        <f>VLOOKUP(B1400,BaseTable,2,FALSE)</f>
        <v>Schmecken</v>
      </c>
      <c r="E1400">
        <f>YEAR(A1400)</f>
        <v>2015</v>
      </c>
    </row>
    <row r="1401" spans="1:5">
      <c r="A1401" s="32">
        <v>42085</v>
      </c>
      <c r="B1401" t="s">
        <v>4</v>
      </c>
      <c r="C1401">
        <v>30318</v>
      </c>
      <c r="D1401" t="str">
        <f>VLOOKUP(B1401,BaseTable,2,FALSE)</f>
        <v>Danach-NY</v>
      </c>
      <c r="E1401">
        <f>YEAR(A1401)</f>
        <v>2015</v>
      </c>
    </row>
    <row r="1402" spans="1:5">
      <c r="A1402" s="32">
        <v>42085</v>
      </c>
      <c r="B1402" t="s">
        <v>5</v>
      </c>
      <c r="C1402">
        <v>6924</v>
      </c>
      <c r="D1402" t="str">
        <f>VLOOKUP(B1402,BaseTable,2,FALSE)</f>
        <v>Grun</v>
      </c>
      <c r="E1402">
        <f>YEAR(A1402)</f>
        <v>2015</v>
      </c>
    </row>
    <row r="1403" spans="1:5">
      <c r="A1403" s="32">
        <v>42086</v>
      </c>
      <c r="B1403" t="s">
        <v>0</v>
      </c>
      <c r="C1403">
        <v>1492</v>
      </c>
      <c r="D1403" t="str">
        <f>VLOOKUP(B1403,BaseTable,2,FALSE)</f>
        <v>Unter</v>
      </c>
      <c r="E1403">
        <f>YEAR(A1403)</f>
        <v>2015</v>
      </c>
    </row>
    <row r="1404" spans="1:5">
      <c r="A1404" s="32">
        <v>42086</v>
      </c>
      <c r="B1404" t="s">
        <v>1</v>
      </c>
      <c r="C1404">
        <v>6609</v>
      </c>
      <c r="D1404" t="str">
        <f>VLOOKUP(B1404,BaseTable,2,FALSE)</f>
        <v>Hinter</v>
      </c>
      <c r="E1404">
        <f>YEAR(A1404)</f>
        <v>2015</v>
      </c>
    </row>
    <row r="1405" spans="1:5">
      <c r="A1405" s="32">
        <v>42086</v>
      </c>
      <c r="B1405" t="s">
        <v>2</v>
      </c>
      <c r="C1405">
        <v>9545</v>
      </c>
      <c r="D1405" t="str">
        <f>VLOOKUP(B1405,BaseTable,2,FALSE)</f>
        <v>Weiter</v>
      </c>
      <c r="E1405">
        <f>YEAR(A1405)</f>
        <v>2015</v>
      </c>
    </row>
    <row r="1406" spans="1:5">
      <c r="A1406" s="32">
        <v>42086</v>
      </c>
      <c r="B1406" t="s">
        <v>3</v>
      </c>
      <c r="C1406">
        <v>11770</v>
      </c>
      <c r="D1406" t="str">
        <f>VLOOKUP(B1406,BaseTable,2,FALSE)</f>
        <v>Schmecken</v>
      </c>
      <c r="E1406">
        <f>YEAR(A1406)</f>
        <v>2015</v>
      </c>
    </row>
    <row r="1407" spans="1:5">
      <c r="A1407" s="32">
        <v>42086</v>
      </c>
      <c r="B1407" t="s">
        <v>4</v>
      </c>
      <c r="C1407">
        <v>25033</v>
      </c>
      <c r="D1407" t="str">
        <f>VLOOKUP(B1407,BaseTable,2,FALSE)</f>
        <v>Danach-NY</v>
      </c>
      <c r="E1407">
        <f>YEAR(A1407)</f>
        <v>2015</v>
      </c>
    </row>
    <row r="1408" spans="1:5">
      <c r="A1408" s="32">
        <v>42086</v>
      </c>
      <c r="B1408" t="s">
        <v>5</v>
      </c>
      <c r="C1408">
        <v>6049</v>
      </c>
      <c r="D1408" t="str">
        <f>VLOOKUP(B1408,BaseTable,2,FALSE)</f>
        <v>Grun</v>
      </c>
      <c r="E1408">
        <f>YEAR(A1408)</f>
        <v>2015</v>
      </c>
    </row>
    <row r="1409" spans="1:5">
      <c r="A1409" s="32">
        <v>42087</v>
      </c>
      <c r="B1409" t="s">
        <v>0</v>
      </c>
      <c r="C1409">
        <v>1499</v>
      </c>
      <c r="D1409" t="str">
        <f>VLOOKUP(B1409,BaseTable,2,FALSE)</f>
        <v>Unter</v>
      </c>
      <c r="E1409">
        <f>YEAR(A1409)</f>
        <v>2015</v>
      </c>
    </row>
    <row r="1410" spans="1:5">
      <c r="A1410" s="32">
        <v>42087</v>
      </c>
      <c r="B1410" t="s">
        <v>1</v>
      </c>
      <c r="C1410">
        <v>7291</v>
      </c>
      <c r="D1410" t="str">
        <f>VLOOKUP(B1410,BaseTable,2,FALSE)</f>
        <v>Hinter</v>
      </c>
      <c r="E1410">
        <f>YEAR(A1410)</f>
        <v>2015</v>
      </c>
    </row>
    <row r="1411" spans="1:5">
      <c r="A1411" s="32">
        <v>42087</v>
      </c>
      <c r="B1411" t="s">
        <v>2</v>
      </c>
      <c r="C1411">
        <v>9795</v>
      </c>
      <c r="D1411" t="str">
        <f>VLOOKUP(B1411,BaseTable,2,FALSE)</f>
        <v>Weiter</v>
      </c>
      <c r="E1411">
        <f>YEAR(A1411)</f>
        <v>2015</v>
      </c>
    </row>
    <row r="1412" spans="1:5">
      <c r="A1412" s="32">
        <v>42087</v>
      </c>
      <c r="B1412" t="s">
        <v>3</v>
      </c>
      <c r="C1412">
        <v>12463</v>
      </c>
      <c r="D1412" t="str">
        <f>VLOOKUP(B1412,BaseTable,2,FALSE)</f>
        <v>Schmecken</v>
      </c>
      <c r="E1412">
        <f>YEAR(A1412)</f>
        <v>2015</v>
      </c>
    </row>
    <row r="1413" spans="1:5">
      <c r="A1413" s="32">
        <v>42087</v>
      </c>
      <c r="B1413" t="s">
        <v>4</v>
      </c>
      <c r="C1413">
        <v>27155</v>
      </c>
      <c r="D1413" t="str">
        <f>VLOOKUP(B1413,BaseTable,2,FALSE)</f>
        <v>Danach-NY</v>
      </c>
      <c r="E1413">
        <f>YEAR(A1413)</f>
        <v>2015</v>
      </c>
    </row>
    <row r="1414" spans="1:5">
      <c r="A1414" s="32">
        <v>42087</v>
      </c>
      <c r="B1414" t="s">
        <v>5</v>
      </c>
      <c r="C1414">
        <v>6197</v>
      </c>
      <c r="D1414" t="str">
        <f>VLOOKUP(B1414,BaseTable,2,FALSE)</f>
        <v>Grun</v>
      </c>
      <c r="E1414">
        <f>YEAR(A1414)</f>
        <v>2015</v>
      </c>
    </row>
    <row r="1415" spans="1:5">
      <c r="A1415" s="32">
        <v>42088</v>
      </c>
      <c r="B1415" t="s">
        <v>0</v>
      </c>
      <c r="C1415">
        <v>1675</v>
      </c>
      <c r="D1415" t="str">
        <f>VLOOKUP(B1415,BaseTable,2,FALSE)</f>
        <v>Unter</v>
      </c>
      <c r="E1415">
        <f>YEAR(A1415)</f>
        <v>2015</v>
      </c>
    </row>
    <row r="1416" spans="1:5">
      <c r="A1416" s="32">
        <v>42088</v>
      </c>
      <c r="B1416" t="s">
        <v>1</v>
      </c>
      <c r="C1416">
        <v>8518</v>
      </c>
      <c r="D1416" t="str">
        <f>VLOOKUP(B1416,BaseTable,2,FALSE)</f>
        <v>Hinter</v>
      </c>
      <c r="E1416">
        <f>YEAR(A1416)</f>
        <v>2015</v>
      </c>
    </row>
    <row r="1417" spans="1:5">
      <c r="A1417" s="32">
        <v>42088</v>
      </c>
      <c r="B1417" t="s">
        <v>2</v>
      </c>
      <c r="C1417">
        <v>11152</v>
      </c>
      <c r="D1417" t="str">
        <f>VLOOKUP(B1417,BaseTable,2,FALSE)</f>
        <v>Weiter</v>
      </c>
      <c r="E1417">
        <f>YEAR(A1417)</f>
        <v>2015</v>
      </c>
    </row>
    <row r="1418" spans="1:5">
      <c r="A1418" s="32">
        <v>42088</v>
      </c>
      <c r="B1418" t="s">
        <v>3</v>
      </c>
      <c r="C1418">
        <v>14818</v>
      </c>
      <c r="D1418" t="str">
        <f>VLOOKUP(B1418,BaseTable,2,FALSE)</f>
        <v>Schmecken</v>
      </c>
      <c r="E1418">
        <f>YEAR(A1418)</f>
        <v>2015</v>
      </c>
    </row>
    <row r="1419" spans="1:5">
      <c r="A1419" s="32">
        <v>42088</v>
      </c>
      <c r="B1419" t="s">
        <v>4</v>
      </c>
      <c r="C1419">
        <v>30528</v>
      </c>
      <c r="D1419" t="str">
        <f>VLOOKUP(B1419,BaseTable,2,FALSE)</f>
        <v>Danach-NY</v>
      </c>
      <c r="E1419">
        <f>YEAR(A1419)</f>
        <v>2015</v>
      </c>
    </row>
    <row r="1420" spans="1:5">
      <c r="A1420" s="32">
        <v>42088</v>
      </c>
      <c r="B1420" t="s">
        <v>5</v>
      </c>
      <c r="C1420">
        <v>7262</v>
      </c>
      <c r="D1420" t="str">
        <f>VLOOKUP(B1420,BaseTable,2,FALSE)</f>
        <v>Grun</v>
      </c>
      <c r="E1420">
        <f>YEAR(A1420)</f>
        <v>2015</v>
      </c>
    </row>
    <row r="1421" spans="1:5">
      <c r="A1421" s="32">
        <v>42089</v>
      </c>
      <c r="B1421" t="s">
        <v>0</v>
      </c>
      <c r="C1421">
        <v>1726</v>
      </c>
      <c r="D1421" t="str">
        <f>VLOOKUP(B1421,BaseTable,2,FALSE)</f>
        <v>Unter</v>
      </c>
      <c r="E1421">
        <f>YEAR(A1421)</f>
        <v>2015</v>
      </c>
    </row>
    <row r="1422" spans="1:5">
      <c r="A1422" s="32">
        <v>42089</v>
      </c>
      <c r="B1422" t="s">
        <v>1</v>
      </c>
      <c r="C1422">
        <v>9224</v>
      </c>
      <c r="D1422" t="str">
        <f>VLOOKUP(B1422,BaseTable,2,FALSE)</f>
        <v>Hinter</v>
      </c>
      <c r="E1422">
        <f>YEAR(A1422)</f>
        <v>2015</v>
      </c>
    </row>
    <row r="1423" spans="1:5">
      <c r="A1423" s="32">
        <v>42089</v>
      </c>
      <c r="B1423" t="s">
        <v>2</v>
      </c>
      <c r="C1423">
        <v>11961</v>
      </c>
      <c r="D1423" t="str">
        <f>VLOOKUP(B1423,BaseTable,2,FALSE)</f>
        <v>Weiter</v>
      </c>
      <c r="E1423">
        <f>YEAR(A1423)</f>
        <v>2015</v>
      </c>
    </row>
    <row r="1424" spans="1:5">
      <c r="A1424" s="32">
        <v>42089</v>
      </c>
      <c r="B1424" t="s">
        <v>3</v>
      </c>
      <c r="C1424">
        <v>15634</v>
      </c>
      <c r="D1424" t="str">
        <f>VLOOKUP(B1424,BaseTable,2,FALSE)</f>
        <v>Schmecken</v>
      </c>
      <c r="E1424">
        <f>YEAR(A1424)</f>
        <v>2015</v>
      </c>
    </row>
    <row r="1425" spans="1:5">
      <c r="A1425" s="32">
        <v>42089</v>
      </c>
      <c r="B1425" t="s">
        <v>4</v>
      </c>
      <c r="C1425">
        <v>32309</v>
      </c>
      <c r="D1425" t="str">
        <f>VLOOKUP(B1425,BaseTable,2,FALSE)</f>
        <v>Danach-NY</v>
      </c>
      <c r="E1425">
        <f>YEAR(A1425)</f>
        <v>2015</v>
      </c>
    </row>
    <row r="1426" spans="1:5">
      <c r="A1426" s="32">
        <v>42089</v>
      </c>
      <c r="B1426" t="s">
        <v>5</v>
      </c>
      <c r="C1426">
        <v>7698</v>
      </c>
      <c r="D1426" t="str">
        <f>VLOOKUP(B1426,BaseTable,2,FALSE)</f>
        <v>Grun</v>
      </c>
      <c r="E1426">
        <f>YEAR(A1426)</f>
        <v>2015</v>
      </c>
    </row>
    <row r="1427" spans="1:5">
      <c r="A1427" s="32">
        <v>42090</v>
      </c>
      <c r="B1427" t="s">
        <v>0</v>
      </c>
      <c r="C1427">
        <v>1731</v>
      </c>
      <c r="D1427" t="str">
        <f>VLOOKUP(B1427,BaseTable,2,FALSE)</f>
        <v>Unter</v>
      </c>
      <c r="E1427">
        <f>YEAR(A1427)</f>
        <v>2015</v>
      </c>
    </row>
    <row r="1428" spans="1:5">
      <c r="A1428" s="32">
        <v>42090</v>
      </c>
      <c r="B1428" t="s">
        <v>1</v>
      </c>
      <c r="C1428">
        <v>9088</v>
      </c>
      <c r="D1428" t="str">
        <f>VLOOKUP(B1428,BaseTable,2,FALSE)</f>
        <v>Hinter</v>
      </c>
      <c r="E1428">
        <f>YEAR(A1428)</f>
        <v>2015</v>
      </c>
    </row>
    <row r="1429" spans="1:5">
      <c r="A1429" s="32">
        <v>42090</v>
      </c>
      <c r="B1429" t="s">
        <v>2</v>
      </c>
      <c r="C1429">
        <v>12111</v>
      </c>
      <c r="D1429" t="str">
        <f>VLOOKUP(B1429,BaseTable,2,FALSE)</f>
        <v>Weiter</v>
      </c>
      <c r="E1429">
        <f>YEAR(A1429)</f>
        <v>2015</v>
      </c>
    </row>
    <row r="1430" spans="1:5">
      <c r="A1430" s="32">
        <v>42090</v>
      </c>
      <c r="B1430" t="s">
        <v>3</v>
      </c>
      <c r="C1430">
        <v>17673</v>
      </c>
      <c r="D1430" t="str">
        <f>VLOOKUP(B1430,BaseTable,2,FALSE)</f>
        <v>Schmecken</v>
      </c>
      <c r="E1430">
        <f>YEAR(A1430)</f>
        <v>2015</v>
      </c>
    </row>
    <row r="1431" spans="1:5">
      <c r="A1431" s="32">
        <v>42090</v>
      </c>
      <c r="B1431" t="s">
        <v>4</v>
      </c>
      <c r="C1431">
        <v>35834</v>
      </c>
      <c r="D1431" t="str">
        <f>VLOOKUP(B1431,BaseTable,2,FALSE)</f>
        <v>Danach-NY</v>
      </c>
      <c r="E1431">
        <f>YEAR(A1431)</f>
        <v>2015</v>
      </c>
    </row>
    <row r="1432" spans="1:5">
      <c r="A1432" s="32">
        <v>42090</v>
      </c>
      <c r="B1432" t="s">
        <v>5</v>
      </c>
      <c r="C1432">
        <v>8540</v>
      </c>
      <c r="D1432" t="str">
        <f>VLOOKUP(B1432,BaseTable,2,FALSE)</f>
        <v>Grun</v>
      </c>
      <c r="E1432">
        <f>YEAR(A1432)</f>
        <v>2015</v>
      </c>
    </row>
    <row r="1433" spans="1:5">
      <c r="A1433" s="32">
        <v>42091</v>
      </c>
      <c r="B1433" t="s">
        <v>0</v>
      </c>
      <c r="C1433">
        <v>1647</v>
      </c>
      <c r="D1433" t="str">
        <f>VLOOKUP(B1433,BaseTable,2,FALSE)</f>
        <v>Unter</v>
      </c>
      <c r="E1433">
        <f>YEAR(A1433)</f>
        <v>2015</v>
      </c>
    </row>
    <row r="1434" spans="1:5">
      <c r="A1434" s="32">
        <v>42091</v>
      </c>
      <c r="B1434" t="s">
        <v>1</v>
      </c>
      <c r="C1434">
        <v>9308</v>
      </c>
      <c r="D1434" t="str">
        <f>VLOOKUP(B1434,BaseTable,2,FALSE)</f>
        <v>Hinter</v>
      </c>
      <c r="E1434">
        <f>YEAR(A1434)</f>
        <v>2015</v>
      </c>
    </row>
    <row r="1435" spans="1:5">
      <c r="A1435" s="32">
        <v>42091</v>
      </c>
      <c r="B1435" t="s">
        <v>2</v>
      </c>
      <c r="C1435">
        <v>12998</v>
      </c>
      <c r="D1435" t="str">
        <f>VLOOKUP(B1435,BaseTable,2,FALSE)</f>
        <v>Weiter</v>
      </c>
      <c r="E1435">
        <f>YEAR(A1435)</f>
        <v>2015</v>
      </c>
    </row>
    <row r="1436" spans="1:5">
      <c r="A1436" s="32">
        <v>42091</v>
      </c>
      <c r="B1436" t="s">
        <v>3</v>
      </c>
      <c r="C1436">
        <v>19512</v>
      </c>
      <c r="D1436" t="str">
        <f>VLOOKUP(B1436,BaseTable,2,FALSE)</f>
        <v>Schmecken</v>
      </c>
      <c r="E1436">
        <f>YEAR(A1436)</f>
        <v>2015</v>
      </c>
    </row>
    <row r="1437" spans="1:5">
      <c r="A1437" s="32">
        <v>42091</v>
      </c>
      <c r="B1437" t="s">
        <v>4</v>
      </c>
      <c r="C1437">
        <v>39464</v>
      </c>
      <c r="D1437" t="str">
        <f>VLOOKUP(B1437,BaseTable,2,FALSE)</f>
        <v>Danach-NY</v>
      </c>
      <c r="E1437">
        <f>YEAR(A1437)</f>
        <v>2015</v>
      </c>
    </row>
    <row r="1438" spans="1:5">
      <c r="A1438" s="32">
        <v>42091</v>
      </c>
      <c r="B1438" t="s">
        <v>5</v>
      </c>
      <c r="C1438">
        <v>9598</v>
      </c>
      <c r="D1438" t="str">
        <f>VLOOKUP(B1438,BaseTable,2,FALSE)</f>
        <v>Grun</v>
      </c>
      <c r="E1438">
        <f>YEAR(A1438)</f>
        <v>2015</v>
      </c>
    </row>
    <row r="1439" spans="1:5">
      <c r="A1439" s="32">
        <v>42092</v>
      </c>
      <c r="B1439" t="s">
        <v>0</v>
      </c>
      <c r="C1439">
        <v>1535</v>
      </c>
      <c r="D1439" t="str">
        <f>VLOOKUP(B1439,BaseTable,2,FALSE)</f>
        <v>Unter</v>
      </c>
      <c r="E1439">
        <f>YEAR(A1439)</f>
        <v>2015</v>
      </c>
    </row>
    <row r="1440" spans="1:5">
      <c r="A1440" s="32">
        <v>42092</v>
      </c>
      <c r="B1440" t="s">
        <v>1</v>
      </c>
      <c r="C1440">
        <v>7787</v>
      </c>
      <c r="D1440" t="str">
        <f>VLOOKUP(B1440,BaseTable,2,FALSE)</f>
        <v>Hinter</v>
      </c>
      <c r="E1440">
        <f>YEAR(A1440)</f>
        <v>2015</v>
      </c>
    </row>
    <row r="1441" spans="1:5">
      <c r="A1441" s="32">
        <v>42092</v>
      </c>
      <c r="B1441" t="s">
        <v>2</v>
      </c>
      <c r="C1441">
        <v>10699</v>
      </c>
      <c r="D1441" t="str">
        <f>VLOOKUP(B1441,BaseTable,2,FALSE)</f>
        <v>Weiter</v>
      </c>
      <c r="E1441">
        <f>YEAR(A1441)</f>
        <v>2015</v>
      </c>
    </row>
    <row r="1442" spans="1:5">
      <c r="A1442" s="32">
        <v>42092</v>
      </c>
      <c r="B1442" t="s">
        <v>3</v>
      </c>
      <c r="C1442">
        <v>15528</v>
      </c>
      <c r="D1442" t="str">
        <f>VLOOKUP(B1442,BaseTable,2,FALSE)</f>
        <v>Schmecken</v>
      </c>
      <c r="E1442">
        <f>YEAR(A1442)</f>
        <v>2015</v>
      </c>
    </row>
    <row r="1443" spans="1:5">
      <c r="A1443" s="32">
        <v>42092</v>
      </c>
      <c r="B1443" t="s">
        <v>4</v>
      </c>
      <c r="C1443">
        <v>32403</v>
      </c>
      <c r="D1443" t="str">
        <f>VLOOKUP(B1443,BaseTable,2,FALSE)</f>
        <v>Danach-NY</v>
      </c>
      <c r="E1443">
        <f>YEAR(A1443)</f>
        <v>2015</v>
      </c>
    </row>
    <row r="1444" spans="1:5">
      <c r="A1444" s="32">
        <v>42092</v>
      </c>
      <c r="B1444" t="s">
        <v>5</v>
      </c>
      <c r="C1444">
        <v>7696</v>
      </c>
      <c r="D1444" t="str">
        <f>VLOOKUP(B1444,BaseTable,2,FALSE)</f>
        <v>Grun</v>
      </c>
      <c r="E1444">
        <f>YEAR(A1444)</f>
        <v>2015</v>
      </c>
    </row>
    <row r="1445" spans="1:5">
      <c r="A1445" s="32">
        <v>42093</v>
      </c>
      <c r="B1445" t="s">
        <v>0</v>
      </c>
      <c r="C1445">
        <v>1437</v>
      </c>
      <c r="D1445" t="str">
        <f>VLOOKUP(B1445,BaseTable,2,FALSE)</f>
        <v>Unter</v>
      </c>
      <c r="E1445">
        <f>YEAR(A1445)</f>
        <v>2015</v>
      </c>
    </row>
    <row r="1446" spans="1:5">
      <c r="A1446" s="32">
        <v>42093</v>
      </c>
      <c r="B1446" t="s">
        <v>1</v>
      </c>
      <c r="C1446">
        <v>6672</v>
      </c>
      <c r="D1446" t="str">
        <f>VLOOKUP(B1446,BaseTable,2,FALSE)</f>
        <v>Hinter</v>
      </c>
      <c r="E1446">
        <f>YEAR(A1446)</f>
        <v>2015</v>
      </c>
    </row>
    <row r="1447" spans="1:5">
      <c r="A1447" s="32">
        <v>42093</v>
      </c>
      <c r="B1447" t="s">
        <v>2</v>
      </c>
      <c r="C1447">
        <v>9232</v>
      </c>
      <c r="D1447" t="str">
        <f>VLOOKUP(B1447,BaseTable,2,FALSE)</f>
        <v>Weiter</v>
      </c>
      <c r="E1447">
        <f>YEAR(A1447)</f>
        <v>2015</v>
      </c>
    </row>
    <row r="1448" spans="1:5">
      <c r="A1448" s="32">
        <v>42093</v>
      </c>
      <c r="B1448" t="s">
        <v>3</v>
      </c>
      <c r="C1448">
        <v>13040</v>
      </c>
      <c r="D1448" t="str">
        <f>VLOOKUP(B1448,BaseTable,2,FALSE)</f>
        <v>Schmecken</v>
      </c>
      <c r="E1448">
        <f>YEAR(A1448)</f>
        <v>2015</v>
      </c>
    </row>
    <row r="1449" spans="1:5">
      <c r="A1449" s="32">
        <v>42093</v>
      </c>
      <c r="B1449" t="s">
        <v>4</v>
      </c>
      <c r="C1449">
        <v>26030</v>
      </c>
      <c r="D1449" t="str">
        <f>VLOOKUP(B1449,BaseTable,2,FALSE)</f>
        <v>Danach-NY</v>
      </c>
      <c r="E1449">
        <f>YEAR(A1449)</f>
        <v>2015</v>
      </c>
    </row>
    <row r="1450" spans="1:5">
      <c r="A1450" s="32">
        <v>42093</v>
      </c>
      <c r="B1450" t="s">
        <v>5</v>
      </c>
      <c r="C1450">
        <v>6369</v>
      </c>
      <c r="D1450" t="str">
        <f>VLOOKUP(B1450,BaseTable,2,FALSE)</f>
        <v>Grun</v>
      </c>
      <c r="E1450">
        <f>YEAR(A1450)</f>
        <v>2015</v>
      </c>
    </row>
    <row r="1451" spans="1:5">
      <c r="A1451" s="32">
        <v>42094</v>
      </c>
      <c r="B1451" t="s">
        <v>0</v>
      </c>
      <c r="C1451">
        <v>1743</v>
      </c>
      <c r="D1451" t="str">
        <f>VLOOKUP(B1451,BaseTable,2,FALSE)</f>
        <v>Unter</v>
      </c>
      <c r="E1451">
        <f>YEAR(A1451)</f>
        <v>2015</v>
      </c>
    </row>
    <row r="1452" spans="1:5">
      <c r="A1452" s="32">
        <v>42094</v>
      </c>
      <c r="B1452" t="s">
        <v>1</v>
      </c>
      <c r="C1452">
        <v>8817</v>
      </c>
      <c r="D1452" t="str">
        <f>VLOOKUP(B1452,BaseTable,2,FALSE)</f>
        <v>Hinter</v>
      </c>
      <c r="E1452">
        <f>YEAR(A1452)</f>
        <v>2015</v>
      </c>
    </row>
    <row r="1453" spans="1:5">
      <c r="A1453" s="32">
        <v>42094</v>
      </c>
      <c r="B1453" t="s">
        <v>2</v>
      </c>
      <c r="C1453">
        <v>11766</v>
      </c>
      <c r="D1453" t="str">
        <f>VLOOKUP(B1453,BaseTable,2,FALSE)</f>
        <v>Weiter</v>
      </c>
      <c r="E1453">
        <f>YEAR(A1453)</f>
        <v>2015</v>
      </c>
    </row>
    <row r="1454" spans="1:5">
      <c r="A1454" s="32">
        <v>42094</v>
      </c>
      <c r="B1454" t="s">
        <v>3</v>
      </c>
      <c r="C1454">
        <v>16257</v>
      </c>
      <c r="D1454" t="str">
        <f>VLOOKUP(B1454,BaseTable,2,FALSE)</f>
        <v>Schmecken</v>
      </c>
      <c r="E1454">
        <f>YEAR(A1454)</f>
        <v>2015</v>
      </c>
    </row>
    <row r="1455" spans="1:5">
      <c r="A1455" s="32">
        <v>42094</v>
      </c>
      <c r="B1455" t="s">
        <v>4</v>
      </c>
      <c r="C1455">
        <v>32611</v>
      </c>
      <c r="D1455" t="str">
        <f>VLOOKUP(B1455,BaseTable,2,FALSE)</f>
        <v>Danach-NY</v>
      </c>
      <c r="E1455">
        <f>YEAR(A1455)</f>
        <v>2015</v>
      </c>
    </row>
    <row r="1456" spans="1:5">
      <c r="A1456" s="32">
        <v>42094</v>
      </c>
      <c r="B1456" t="s">
        <v>5</v>
      </c>
      <c r="C1456">
        <v>7699</v>
      </c>
      <c r="D1456" t="str">
        <f>VLOOKUP(B1456,BaseTable,2,FALSE)</f>
        <v>Grun</v>
      </c>
      <c r="E1456">
        <f>YEAR(A1456)</f>
        <v>2015</v>
      </c>
    </row>
    <row r="1457" spans="1:5">
      <c r="A1457" s="32">
        <v>42095</v>
      </c>
      <c r="B1457" t="s">
        <v>0</v>
      </c>
      <c r="C1457">
        <v>461</v>
      </c>
      <c r="D1457" t="str">
        <f>VLOOKUP(B1457,BaseTable,2,FALSE)</f>
        <v>Unter</v>
      </c>
      <c r="E1457">
        <f>YEAR(A1457)</f>
        <v>2015</v>
      </c>
    </row>
    <row r="1458" spans="1:5">
      <c r="A1458" s="32">
        <v>42095</v>
      </c>
      <c r="B1458" t="s">
        <v>1</v>
      </c>
      <c r="C1458">
        <v>7942</v>
      </c>
      <c r="D1458" t="str">
        <f>VLOOKUP(B1458,BaseTable,2,FALSE)</f>
        <v>Hinter</v>
      </c>
      <c r="E1458">
        <f>YEAR(A1458)</f>
        <v>2015</v>
      </c>
    </row>
    <row r="1459" spans="1:5">
      <c r="A1459" s="32">
        <v>42095</v>
      </c>
      <c r="B1459" t="s">
        <v>2</v>
      </c>
      <c r="C1459">
        <v>10573</v>
      </c>
      <c r="D1459" t="str">
        <f>VLOOKUP(B1459,BaseTable,2,FALSE)</f>
        <v>Weiter</v>
      </c>
      <c r="E1459">
        <f>YEAR(A1459)</f>
        <v>2015</v>
      </c>
    </row>
    <row r="1460" spans="1:5">
      <c r="A1460" s="32">
        <v>42095</v>
      </c>
      <c r="B1460" t="s">
        <v>3</v>
      </c>
      <c r="C1460">
        <v>14991</v>
      </c>
      <c r="D1460" t="str">
        <f>VLOOKUP(B1460,BaseTable,2,FALSE)</f>
        <v>Schmecken</v>
      </c>
      <c r="E1460">
        <f>YEAR(A1460)</f>
        <v>2015</v>
      </c>
    </row>
    <row r="1461" spans="1:5">
      <c r="A1461" s="32">
        <v>42095</v>
      </c>
      <c r="B1461" t="s">
        <v>4</v>
      </c>
      <c r="C1461">
        <v>28273</v>
      </c>
      <c r="D1461" t="str">
        <f>VLOOKUP(B1461,BaseTable,2,FALSE)</f>
        <v>Danach-NY</v>
      </c>
      <c r="E1461">
        <f>YEAR(A1461)</f>
        <v>2015</v>
      </c>
    </row>
    <row r="1462" spans="1:5">
      <c r="A1462" s="32">
        <v>42095</v>
      </c>
      <c r="B1462" t="s">
        <v>5</v>
      </c>
      <c r="C1462">
        <v>6983</v>
      </c>
      <c r="D1462" t="str">
        <f>VLOOKUP(B1462,BaseTable,2,FALSE)</f>
        <v>Grun</v>
      </c>
      <c r="E1462">
        <f>YEAR(A1462)</f>
        <v>2015</v>
      </c>
    </row>
    <row r="1463" spans="1:5">
      <c r="A1463" s="32">
        <v>42096</v>
      </c>
      <c r="B1463" t="s">
        <v>0</v>
      </c>
      <c r="C1463">
        <v>481</v>
      </c>
      <c r="D1463" t="str">
        <f>VLOOKUP(B1463,BaseTable,2,FALSE)</f>
        <v>Unter</v>
      </c>
      <c r="E1463">
        <f>YEAR(A1463)</f>
        <v>2015</v>
      </c>
    </row>
    <row r="1464" spans="1:5">
      <c r="A1464" s="32">
        <v>42096</v>
      </c>
      <c r="B1464" t="s">
        <v>1</v>
      </c>
      <c r="C1464">
        <v>8610</v>
      </c>
      <c r="D1464" t="str">
        <f>VLOOKUP(B1464,BaseTable,2,FALSE)</f>
        <v>Hinter</v>
      </c>
      <c r="E1464">
        <f>YEAR(A1464)</f>
        <v>2015</v>
      </c>
    </row>
    <row r="1465" spans="1:5">
      <c r="A1465" s="32">
        <v>42096</v>
      </c>
      <c r="B1465" t="s">
        <v>2</v>
      </c>
      <c r="C1465">
        <v>11247</v>
      </c>
      <c r="D1465" t="str">
        <f>VLOOKUP(B1465,BaseTable,2,FALSE)</f>
        <v>Weiter</v>
      </c>
      <c r="E1465">
        <f>YEAR(A1465)</f>
        <v>2015</v>
      </c>
    </row>
    <row r="1466" spans="1:5">
      <c r="A1466" s="32">
        <v>42096</v>
      </c>
      <c r="B1466" t="s">
        <v>3</v>
      </c>
      <c r="C1466">
        <v>16065</v>
      </c>
      <c r="D1466" t="str">
        <f>VLOOKUP(B1466,BaseTable,2,FALSE)</f>
        <v>Schmecken</v>
      </c>
      <c r="E1466">
        <f>YEAR(A1466)</f>
        <v>2015</v>
      </c>
    </row>
    <row r="1467" spans="1:5">
      <c r="A1467" s="32">
        <v>42096</v>
      </c>
      <c r="B1467" t="s">
        <v>4</v>
      </c>
      <c r="C1467">
        <v>30064</v>
      </c>
      <c r="D1467" t="str">
        <f>VLOOKUP(B1467,BaseTable,2,FALSE)</f>
        <v>Danach-NY</v>
      </c>
      <c r="E1467">
        <f>YEAR(A1467)</f>
        <v>2015</v>
      </c>
    </row>
    <row r="1468" spans="1:5">
      <c r="A1468" s="32">
        <v>42096</v>
      </c>
      <c r="B1468" t="s">
        <v>5</v>
      </c>
      <c r="C1468">
        <v>7602</v>
      </c>
      <c r="D1468" t="str">
        <f>VLOOKUP(B1468,BaseTable,2,FALSE)</f>
        <v>Grun</v>
      </c>
      <c r="E1468">
        <f>YEAR(A1468)</f>
        <v>2015</v>
      </c>
    </row>
    <row r="1469" spans="1:5">
      <c r="A1469" s="32">
        <v>42097</v>
      </c>
      <c r="B1469" t="s">
        <v>0</v>
      </c>
      <c r="C1469">
        <v>391</v>
      </c>
      <c r="D1469" t="str">
        <f>VLOOKUP(B1469,BaseTable,2,FALSE)</f>
        <v>Unter</v>
      </c>
      <c r="E1469">
        <f>YEAR(A1469)</f>
        <v>2015</v>
      </c>
    </row>
    <row r="1470" spans="1:5">
      <c r="A1470" s="32">
        <v>42097</v>
      </c>
      <c r="B1470" t="s">
        <v>1</v>
      </c>
      <c r="C1470">
        <v>7742</v>
      </c>
      <c r="D1470" t="str">
        <f>VLOOKUP(B1470,BaseTable,2,FALSE)</f>
        <v>Hinter</v>
      </c>
      <c r="E1470">
        <f>YEAR(A1470)</f>
        <v>2015</v>
      </c>
    </row>
    <row r="1471" spans="1:5">
      <c r="A1471" s="32">
        <v>42097</v>
      </c>
      <c r="B1471" t="s">
        <v>2</v>
      </c>
      <c r="C1471">
        <v>10820</v>
      </c>
      <c r="D1471" t="str">
        <f>VLOOKUP(B1471,BaseTable,2,FALSE)</f>
        <v>Weiter</v>
      </c>
      <c r="E1471">
        <f>YEAR(A1471)</f>
        <v>2015</v>
      </c>
    </row>
    <row r="1472" spans="1:5">
      <c r="A1472" s="32">
        <v>42097</v>
      </c>
      <c r="B1472" t="s">
        <v>3</v>
      </c>
      <c r="C1472">
        <v>16942</v>
      </c>
      <c r="D1472" t="str">
        <f>VLOOKUP(B1472,BaseTable,2,FALSE)</f>
        <v>Schmecken</v>
      </c>
      <c r="E1472">
        <f>YEAR(A1472)</f>
        <v>2015</v>
      </c>
    </row>
    <row r="1473" spans="1:5">
      <c r="A1473" s="32">
        <v>42097</v>
      </c>
      <c r="B1473" t="s">
        <v>4</v>
      </c>
      <c r="C1473">
        <v>32076</v>
      </c>
      <c r="D1473" t="str">
        <f>VLOOKUP(B1473,BaseTable,2,FALSE)</f>
        <v>Danach-NY</v>
      </c>
      <c r="E1473">
        <f>YEAR(A1473)</f>
        <v>2015</v>
      </c>
    </row>
    <row r="1474" spans="1:5">
      <c r="A1474" s="32">
        <v>42097</v>
      </c>
      <c r="B1474" t="s">
        <v>5</v>
      </c>
      <c r="C1474">
        <v>8012</v>
      </c>
      <c r="D1474" t="str">
        <f>VLOOKUP(B1474,BaseTable,2,FALSE)</f>
        <v>Grun</v>
      </c>
      <c r="E1474">
        <f>YEAR(A1474)</f>
        <v>2015</v>
      </c>
    </row>
    <row r="1475" spans="1:5">
      <c r="A1475" s="32">
        <v>42098</v>
      </c>
      <c r="B1475" t="s">
        <v>0</v>
      </c>
      <c r="C1475">
        <v>381</v>
      </c>
      <c r="D1475" t="str">
        <f>VLOOKUP(B1475,BaseTable,2,FALSE)</f>
        <v>Unter</v>
      </c>
      <c r="E1475">
        <f>YEAR(A1475)</f>
        <v>2015</v>
      </c>
    </row>
    <row r="1476" spans="1:5">
      <c r="A1476" s="32">
        <v>42098</v>
      </c>
      <c r="B1476" t="s">
        <v>1</v>
      </c>
      <c r="C1476">
        <v>6960</v>
      </c>
      <c r="D1476" t="str">
        <f>VLOOKUP(B1476,BaseTable,2,FALSE)</f>
        <v>Hinter</v>
      </c>
      <c r="E1476">
        <f>YEAR(A1476)</f>
        <v>2015</v>
      </c>
    </row>
    <row r="1477" spans="1:5">
      <c r="A1477" s="32">
        <v>42098</v>
      </c>
      <c r="B1477" t="s">
        <v>2</v>
      </c>
      <c r="C1477">
        <v>9647</v>
      </c>
      <c r="D1477" t="str">
        <f>VLOOKUP(B1477,BaseTable,2,FALSE)</f>
        <v>Weiter</v>
      </c>
      <c r="E1477">
        <f>YEAR(A1477)</f>
        <v>2015</v>
      </c>
    </row>
    <row r="1478" spans="1:5">
      <c r="A1478" s="32">
        <v>42098</v>
      </c>
      <c r="B1478" t="s">
        <v>3</v>
      </c>
      <c r="C1478">
        <v>15752</v>
      </c>
      <c r="D1478" t="str">
        <f>VLOOKUP(B1478,BaseTable,2,FALSE)</f>
        <v>Schmecken</v>
      </c>
      <c r="E1478">
        <f>YEAR(A1478)</f>
        <v>2015</v>
      </c>
    </row>
    <row r="1479" spans="1:5">
      <c r="A1479" s="32">
        <v>42098</v>
      </c>
      <c r="B1479" t="s">
        <v>4</v>
      </c>
      <c r="C1479">
        <v>29081</v>
      </c>
      <c r="D1479" t="str">
        <f>VLOOKUP(B1479,BaseTable,2,FALSE)</f>
        <v>Danach-NY</v>
      </c>
      <c r="E1479">
        <f>YEAR(A1479)</f>
        <v>2015</v>
      </c>
    </row>
    <row r="1480" spans="1:5">
      <c r="A1480" s="32">
        <v>42098</v>
      </c>
      <c r="B1480" t="s">
        <v>5</v>
      </c>
      <c r="C1480">
        <v>7368</v>
      </c>
      <c r="D1480" t="str">
        <f>VLOOKUP(B1480,BaseTable,2,FALSE)</f>
        <v>Grun</v>
      </c>
      <c r="E1480">
        <f>YEAR(A1480)</f>
        <v>2015</v>
      </c>
    </row>
    <row r="1481" spans="1:5">
      <c r="A1481" s="32">
        <v>42099</v>
      </c>
      <c r="B1481" t="s">
        <v>0</v>
      </c>
      <c r="C1481">
        <v>379</v>
      </c>
      <c r="D1481" t="str">
        <f>VLOOKUP(B1481,BaseTable,2,FALSE)</f>
        <v>Unter</v>
      </c>
      <c r="E1481">
        <f>YEAR(A1481)</f>
        <v>2015</v>
      </c>
    </row>
    <row r="1482" spans="1:5">
      <c r="A1482" s="32">
        <v>42099</v>
      </c>
      <c r="B1482" t="s">
        <v>1</v>
      </c>
      <c r="C1482">
        <v>5893</v>
      </c>
      <c r="D1482" t="str">
        <f>VLOOKUP(B1482,BaseTable,2,FALSE)</f>
        <v>Hinter</v>
      </c>
      <c r="E1482">
        <f>YEAR(A1482)</f>
        <v>2015</v>
      </c>
    </row>
    <row r="1483" spans="1:5">
      <c r="A1483" s="32">
        <v>42099</v>
      </c>
      <c r="B1483" t="s">
        <v>2</v>
      </c>
      <c r="C1483">
        <v>8188</v>
      </c>
      <c r="D1483" t="str">
        <f>VLOOKUP(B1483,BaseTable,2,FALSE)</f>
        <v>Weiter</v>
      </c>
      <c r="E1483">
        <f>YEAR(A1483)</f>
        <v>2015</v>
      </c>
    </row>
    <row r="1484" spans="1:5">
      <c r="A1484" s="32">
        <v>42099</v>
      </c>
      <c r="B1484" t="s">
        <v>3</v>
      </c>
      <c r="C1484">
        <v>13022</v>
      </c>
      <c r="D1484" t="str">
        <f>VLOOKUP(B1484,BaseTable,2,FALSE)</f>
        <v>Schmecken</v>
      </c>
      <c r="E1484">
        <f>YEAR(A1484)</f>
        <v>2015</v>
      </c>
    </row>
    <row r="1485" spans="1:5">
      <c r="A1485" s="32">
        <v>42099</v>
      </c>
      <c r="B1485" t="s">
        <v>4</v>
      </c>
      <c r="C1485">
        <v>24542</v>
      </c>
      <c r="D1485" t="str">
        <f>VLOOKUP(B1485,BaseTable,2,FALSE)</f>
        <v>Danach-NY</v>
      </c>
      <c r="E1485">
        <f>YEAR(A1485)</f>
        <v>2015</v>
      </c>
    </row>
    <row r="1486" spans="1:5">
      <c r="A1486" s="32">
        <v>42099</v>
      </c>
      <c r="B1486" t="s">
        <v>5</v>
      </c>
      <c r="C1486">
        <v>6333</v>
      </c>
      <c r="D1486" t="str">
        <f>VLOOKUP(B1486,BaseTable,2,FALSE)</f>
        <v>Grun</v>
      </c>
      <c r="E1486">
        <f>YEAR(A1486)</f>
        <v>2015</v>
      </c>
    </row>
    <row r="1487" spans="1:5">
      <c r="A1487" s="32">
        <v>42100</v>
      </c>
      <c r="B1487" t="s">
        <v>0</v>
      </c>
      <c r="C1487">
        <v>392</v>
      </c>
      <c r="D1487" t="str">
        <f>VLOOKUP(B1487,BaseTable,2,FALSE)</f>
        <v>Unter</v>
      </c>
      <c r="E1487">
        <f>YEAR(A1487)</f>
        <v>2015</v>
      </c>
    </row>
    <row r="1488" spans="1:5">
      <c r="A1488" s="32">
        <v>42100</v>
      </c>
      <c r="B1488" t="s">
        <v>1</v>
      </c>
      <c r="C1488">
        <v>5564</v>
      </c>
      <c r="D1488" t="str">
        <f>VLOOKUP(B1488,BaseTable,2,FALSE)</f>
        <v>Hinter</v>
      </c>
      <c r="E1488">
        <f>YEAR(A1488)</f>
        <v>2015</v>
      </c>
    </row>
    <row r="1489" spans="1:5">
      <c r="A1489" s="32">
        <v>42100</v>
      </c>
      <c r="B1489" t="s">
        <v>2</v>
      </c>
      <c r="C1489">
        <v>7454</v>
      </c>
      <c r="D1489" t="str">
        <f>VLOOKUP(B1489,BaseTable,2,FALSE)</f>
        <v>Weiter</v>
      </c>
      <c r="E1489">
        <f>YEAR(A1489)</f>
        <v>2015</v>
      </c>
    </row>
    <row r="1490" spans="1:5">
      <c r="A1490" s="32">
        <v>42100</v>
      </c>
      <c r="B1490" t="s">
        <v>3</v>
      </c>
      <c r="C1490">
        <v>12277</v>
      </c>
      <c r="D1490" t="str">
        <f>VLOOKUP(B1490,BaseTable,2,FALSE)</f>
        <v>Schmecken</v>
      </c>
      <c r="E1490">
        <f>YEAR(A1490)</f>
        <v>2015</v>
      </c>
    </row>
    <row r="1491" spans="1:5">
      <c r="A1491" s="32">
        <v>42100</v>
      </c>
      <c r="B1491" t="s">
        <v>4</v>
      </c>
      <c r="C1491">
        <v>22038</v>
      </c>
      <c r="D1491" t="str">
        <f>VLOOKUP(B1491,BaseTable,2,FALSE)</f>
        <v>Danach-NY</v>
      </c>
      <c r="E1491">
        <f>YEAR(A1491)</f>
        <v>2015</v>
      </c>
    </row>
    <row r="1492" spans="1:5">
      <c r="A1492" s="32">
        <v>42100</v>
      </c>
      <c r="B1492" t="s">
        <v>5</v>
      </c>
      <c r="C1492">
        <v>5840</v>
      </c>
      <c r="D1492" t="str">
        <f>VLOOKUP(B1492,BaseTable,2,FALSE)</f>
        <v>Grun</v>
      </c>
      <c r="E1492">
        <f>YEAR(A1492)</f>
        <v>2015</v>
      </c>
    </row>
    <row r="1493" spans="1:5">
      <c r="A1493" s="32">
        <v>42101</v>
      </c>
      <c r="B1493" t="s">
        <v>0</v>
      </c>
      <c r="C1493">
        <v>519</v>
      </c>
      <c r="D1493" t="str">
        <f>VLOOKUP(B1493,BaseTable,2,FALSE)</f>
        <v>Unter</v>
      </c>
      <c r="E1493">
        <f>YEAR(A1493)</f>
        <v>2015</v>
      </c>
    </row>
    <row r="1494" spans="1:5">
      <c r="A1494" s="32">
        <v>42101</v>
      </c>
      <c r="B1494" t="s">
        <v>1</v>
      </c>
      <c r="C1494">
        <v>7144</v>
      </c>
      <c r="D1494" t="str">
        <f>VLOOKUP(B1494,BaseTable,2,FALSE)</f>
        <v>Hinter</v>
      </c>
      <c r="E1494">
        <f>YEAR(A1494)</f>
        <v>2015</v>
      </c>
    </row>
    <row r="1495" spans="1:5">
      <c r="A1495" s="32">
        <v>42101</v>
      </c>
      <c r="B1495" t="s">
        <v>2</v>
      </c>
      <c r="C1495">
        <v>10001</v>
      </c>
      <c r="D1495" t="str">
        <f>VLOOKUP(B1495,BaseTable,2,FALSE)</f>
        <v>Weiter</v>
      </c>
      <c r="E1495">
        <f>YEAR(A1495)</f>
        <v>2015</v>
      </c>
    </row>
    <row r="1496" spans="1:5">
      <c r="A1496" s="32">
        <v>42101</v>
      </c>
      <c r="B1496" t="s">
        <v>3</v>
      </c>
      <c r="C1496">
        <v>15027</v>
      </c>
      <c r="D1496" t="str">
        <f>VLOOKUP(B1496,BaseTable,2,FALSE)</f>
        <v>Schmecken</v>
      </c>
      <c r="E1496">
        <f>YEAR(A1496)</f>
        <v>2015</v>
      </c>
    </row>
    <row r="1497" spans="1:5">
      <c r="A1497" s="32">
        <v>42101</v>
      </c>
      <c r="B1497" t="s">
        <v>4</v>
      </c>
      <c r="C1497">
        <v>28295</v>
      </c>
      <c r="D1497" t="str">
        <f>VLOOKUP(B1497,BaseTable,2,FALSE)</f>
        <v>Danach-NY</v>
      </c>
      <c r="E1497">
        <f>YEAR(A1497)</f>
        <v>2015</v>
      </c>
    </row>
    <row r="1498" spans="1:5">
      <c r="A1498" s="32">
        <v>42101</v>
      </c>
      <c r="B1498" t="s">
        <v>5</v>
      </c>
      <c r="C1498">
        <v>7093</v>
      </c>
      <c r="D1498" t="str">
        <f>VLOOKUP(B1498,BaseTable,2,FALSE)</f>
        <v>Grun</v>
      </c>
      <c r="E1498">
        <f>YEAR(A1498)</f>
        <v>2015</v>
      </c>
    </row>
    <row r="1499" spans="1:5">
      <c r="A1499" s="32">
        <v>42102</v>
      </c>
      <c r="B1499" t="s">
        <v>0</v>
      </c>
      <c r="C1499">
        <v>472</v>
      </c>
      <c r="D1499" t="str">
        <f>VLOOKUP(B1499,BaseTable,2,FALSE)</f>
        <v>Unter</v>
      </c>
      <c r="E1499">
        <f>YEAR(A1499)</f>
        <v>2015</v>
      </c>
    </row>
    <row r="1500" spans="1:5">
      <c r="A1500" s="32">
        <v>42102</v>
      </c>
      <c r="B1500" t="s">
        <v>1</v>
      </c>
      <c r="C1500">
        <v>8030</v>
      </c>
      <c r="D1500" t="str">
        <f>VLOOKUP(B1500,BaseTable,2,FALSE)</f>
        <v>Hinter</v>
      </c>
      <c r="E1500">
        <f>YEAR(A1500)</f>
        <v>2015</v>
      </c>
    </row>
    <row r="1501" spans="1:5">
      <c r="A1501" s="32">
        <v>42102</v>
      </c>
      <c r="B1501" t="s">
        <v>2</v>
      </c>
      <c r="C1501">
        <v>10447</v>
      </c>
      <c r="D1501" t="str">
        <f>VLOOKUP(B1501,BaseTable,2,FALSE)</f>
        <v>Weiter</v>
      </c>
      <c r="E1501">
        <f>YEAR(A1501)</f>
        <v>2015</v>
      </c>
    </row>
    <row r="1502" spans="1:5">
      <c r="A1502" s="32">
        <v>42102</v>
      </c>
      <c r="B1502" t="s">
        <v>3</v>
      </c>
      <c r="C1502">
        <v>16125</v>
      </c>
      <c r="D1502" t="str">
        <f>VLOOKUP(B1502,BaseTable,2,FALSE)</f>
        <v>Schmecken</v>
      </c>
      <c r="E1502">
        <f>YEAR(A1502)</f>
        <v>2015</v>
      </c>
    </row>
    <row r="1503" spans="1:5">
      <c r="A1503" s="32">
        <v>42102</v>
      </c>
      <c r="B1503" t="s">
        <v>4</v>
      </c>
      <c r="C1503">
        <v>29273</v>
      </c>
      <c r="D1503" t="str">
        <f>VLOOKUP(B1503,BaseTable,2,FALSE)</f>
        <v>Danach-NY</v>
      </c>
      <c r="E1503">
        <f>YEAR(A1503)</f>
        <v>2015</v>
      </c>
    </row>
    <row r="1504" spans="1:5">
      <c r="A1504" s="32">
        <v>42102</v>
      </c>
      <c r="B1504" t="s">
        <v>5</v>
      </c>
      <c r="C1504">
        <v>7676</v>
      </c>
      <c r="D1504" t="str">
        <f>VLOOKUP(B1504,BaseTable,2,FALSE)</f>
        <v>Grun</v>
      </c>
      <c r="E1504">
        <f>YEAR(A1504)</f>
        <v>2015</v>
      </c>
    </row>
    <row r="1505" spans="1:5">
      <c r="A1505" s="32">
        <v>42103</v>
      </c>
      <c r="B1505" t="s">
        <v>0</v>
      </c>
      <c r="C1505">
        <v>507</v>
      </c>
      <c r="D1505" t="str">
        <f>VLOOKUP(B1505,BaseTable,2,FALSE)</f>
        <v>Unter</v>
      </c>
      <c r="E1505">
        <f>YEAR(A1505)</f>
        <v>2015</v>
      </c>
    </row>
    <row r="1506" spans="1:5">
      <c r="A1506" s="32">
        <v>42103</v>
      </c>
      <c r="B1506" t="s">
        <v>1</v>
      </c>
      <c r="C1506">
        <v>8374</v>
      </c>
      <c r="D1506" t="str">
        <f>VLOOKUP(B1506,BaseTable,2,FALSE)</f>
        <v>Hinter</v>
      </c>
      <c r="E1506">
        <f>YEAR(A1506)</f>
        <v>2015</v>
      </c>
    </row>
    <row r="1507" spans="1:5">
      <c r="A1507" s="32">
        <v>42103</v>
      </c>
      <c r="B1507" t="s">
        <v>2</v>
      </c>
      <c r="C1507">
        <v>11561</v>
      </c>
      <c r="D1507" t="str">
        <f>VLOOKUP(B1507,BaseTable,2,FALSE)</f>
        <v>Weiter</v>
      </c>
      <c r="E1507">
        <f>YEAR(A1507)</f>
        <v>2015</v>
      </c>
    </row>
    <row r="1508" spans="1:5">
      <c r="A1508" s="32">
        <v>42103</v>
      </c>
      <c r="B1508" t="s">
        <v>3</v>
      </c>
      <c r="C1508">
        <v>17725</v>
      </c>
      <c r="D1508" t="str">
        <f>VLOOKUP(B1508,BaseTable,2,FALSE)</f>
        <v>Schmecken</v>
      </c>
      <c r="E1508">
        <f>YEAR(A1508)</f>
        <v>2015</v>
      </c>
    </row>
    <row r="1509" spans="1:5">
      <c r="A1509" s="32">
        <v>42103</v>
      </c>
      <c r="B1509" t="s">
        <v>4</v>
      </c>
      <c r="C1509">
        <v>31522</v>
      </c>
      <c r="D1509" t="str">
        <f>VLOOKUP(B1509,BaseTable,2,FALSE)</f>
        <v>Danach-NY</v>
      </c>
      <c r="E1509">
        <f>YEAR(A1509)</f>
        <v>2015</v>
      </c>
    </row>
    <row r="1510" spans="1:5">
      <c r="A1510" s="32">
        <v>42103</v>
      </c>
      <c r="B1510" t="s">
        <v>5</v>
      </c>
      <c r="C1510">
        <v>7831</v>
      </c>
      <c r="D1510" t="str">
        <f>VLOOKUP(B1510,BaseTable,2,FALSE)</f>
        <v>Grun</v>
      </c>
      <c r="E1510">
        <f>YEAR(A1510)</f>
        <v>2015</v>
      </c>
    </row>
    <row r="1511" spans="1:5">
      <c r="A1511" s="32">
        <v>42104</v>
      </c>
      <c r="B1511" t="s">
        <v>0</v>
      </c>
      <c r="C1511">
        <v>480</v>
      </c>
      <c r="D1511" t="str">
        <f>VLOOKUP(B1511,BaseTable,2,FALSE)</f>
        <v>Unter</v>
      </c>
      <c r="E1511">
        <f>YEAR(A1511)</f>
        <v>2015</v>
      </c>
    </row>
    <row r="1512" spans="1:5">
      <c r="A1512" s="32">
        <v>42104</v>
      </c>
      <c r="B1512" t="s">
        <v>1</v>
      </c>
      <c r="C1512">
        <v>8611</v>
      </c>
      <c r="D1512" t="str">
        <f>VLOOKUP(B1512,BaseTable,2,FALSE)</f>
        <v>Hinter</v>
      </c>
      <c r="E1512">
        <f>YEAR(A1512)</f>
        <v>2015</v>
      </c>
    </row>
    <row r="1513" spans="1:5">
      <c r="A1513" s="32">
        <v>42104</v>
      </c>
      <c r="B1513" t="s">
        <v>2</v>
      </c>
      <c r="C1513">
        <v>11576</v>
      </c>
      <c r="D1513" t="str">
        <f>VLOOKUP(B1513,BaseTable,2,FALSE)</f>
        <v>Weiter</v>
      </c>
      <c r="E1513">
        <f>YEAR(A1513)</f>
        <v>2015</v>
      </c>
    </row>
    <row r="1514" spans="1:5">
      <c r="A1514" s="32">
        <v>42104</v>
      </c>
      <c r="B1514" t="s">
        <v>3</v>
      </c>
      <c r="C1514">
        <v>18658</v>
      </c>
      <c r="D1514" t="str">
        <f>VLOOKUP(B1514,BaseTable,2,FALSE)</f>
        <v>Schmecken</v>
      </c>
      <c r="E1514">
        <f>YEAR(A1514)</f>
        <v>2015</v>
      </c>
    </row>
    <row r="1515" spans="1:5">
      <c r="A1515" s="32">
        <v>42104</v>
      </c>
      <c r="B1515" t="s">
        <v>4</v>
      </c>
      <c r="C1515">
        <v>33486</v>
      </c>
      <c r="D1515" t="str">
        <f>VLOOKUP(B1515,BaseTable,2,FALSE)</f>
        <v>Danach-NY</v>
      </c>
      <c r="E1515">
        <f>YEAR(A1515)</f>
        <v>2015</v>
      </c>
    </row>
    <row r="1516" spans="1:5">
      <c r="A1516" s="32">
        <v>42104</v>
      </c>
      <c r="B1516" t="s">
        <v>5</v>
      </c>
      <c r="C1516">
        <v>8628</v>
      </c>
      <c r="D1516" t="str">
        <f>VLOOKUP(B1516,BaseTable,2,FALSE)</f>
        <v>Grun</v>
      </c>
      <c r="E1516">
        <f>YEAR(A1516)</f>
        <v>2015</v>
      </c>
    </row>
    <row r="1517" spans="1:5">
      <c r="A1517" s="32">
        <v>42105</v>
      </c>
      <c r="B1517" t="s">
        <v>0</v>
      </c>
      <c r="C1517">
        <v>493</v>
      </c>
      <c r="D1517" t="str">
        <f>VLOOKUP(B1517,BaseTable,2,FALSE)</f>
        <v>Unter</v>
      </c>
      <c r="E1517">
        <f>YEAR(A1517)</f>
        <v>2015</v>
      </c>
    </row>
    <row r="1518" spans="1:5">
      <c r="A1518" s="32">
        <v>42105</v>
      </c>
      <c r="B1518" t="s">
        <v>1</v>
      </c>
      <c r="C1518">
        <v>8487</v>
      </c>
      <c r="D1518" t="str">
        <f>VLOOKUP(B1518,BaseTable,2,FALSE)</f>
        <v>Hinter</v>
      </c>
      <c r="E1518">
        <f>YEAR(A1518)</f>
        <v>2015</v>
      </c>
    </row>
    <row r="1519" spans="1:5">
      <c r="A1519" s="32">
        <v>42105</v>
      </c>
      <c r="B1519" t="s">
        <v>2</v>
      </c>
      <c r="C1519">
        <v>11265</v>
      </c>
      <c r="D1519" t="str">
        <f>VLOOKUP(B1519,BaseTable,2,FALSE)</f>
        <v>Weiter</v>
      </c>
      <c r="E1519">
        <f>YEAR(A1519)</f>
        <v>2015</v>
      </c>
    </row>
    <row r="1520" spans="1:5">
      <c r="A1520" s="32">
        <v>42105</v>
      </c>
      <c r="B1520" t="s">
        <v>3</v>
      </c>
      <c r="C1520">
        <v>19759</v>
      </c>
      <c r="D1520" t="str">
        <f>VLOOKUP(B1520,BaseTable,2,FALSE)</f>
        <v>Schmecken</v>
      </c>
      <c r="E1520">
        <f>YEAR(A1520)</f>
        <v>2015</v>
      </c>
    </row>
    <row r="1521" spans="1:5">
      <c r="A1521" s="32">
        <v>42105</v>
      </c>
      <c r="B1521" t="s">
        <v>4</v>
      </c>
      <c r="C1521">
        <v>33763</v>
      </c>
      <c r="D1521" t="str">
        <f>VLOOKUP(B1521,BaseTable,2,FALSE)</f>
        <v>Danach-NY</v>
      </c>
      <c r="E1521">
        <f>YEAR(A1521)</f>
        <v>2015</v>
      </c>
    </row>
    <row r="1522" spans="1:5">
      <c r="A1522" s="32">
        <v>42105</v>
      </c>
      <c r="B1522" t="s">
        <v>5</v>
      </c>
      <c r="C1522">
        <v>8780</v>
      </c>
      <c r="D1522" t="str">
        <f>VLOOKUP(B1522,BaseTable,2,FALSE)</f>
        <v>Grun</v>
      </c>
      <c r="E1522">
        <f>YEAR(A1522)</f>
        <v>2015</v>
      </c>
    </row>
    <row r="1523" spans="1:5">
      <c r="A1523" s="32">
        <v>42106</v>
      </c>
      <c r="B1523" t="s">
        <v>0</v>
      </c>
      <c r="C1523">
        <v>409</v>
      </c>
      <c r="D1523" t="str">
        <f>VLOOKUP(B1523,BaseTable,2,FALSE)</f>
        <v>Unter</v>
      </c>
      <c r="E1523">
        <f>YEAR(A1523)</f>
        <v>2015</v>
      </c>
    </row>
    <row r="1524" spans="1:5">
      <c r="A1524" s="32">
        <v>42106</v>
      </c>
      <c r="B1524" t="s">
        <v>1</v>
      </c>
      <c r="C1524">
        <v>7003</v>
      </c>
      <c r="D1524" t="str">
        <f>VLOOKUP(B1524,BaseTable,2,FALSE)</f>
        <v>Hinter</v>
      </c>
      <c r="E1524">
        <f>YEAR(A1524)</f>
        <v>2015</v>
      </c>
    </row>
    <row r="1525" spans="1:5">
      <c r="A1525" s="32">
        <v>42106</v>
      </c>
      <c r="B1525" t="s">
        <v>2</v>
      </c>
      <c r="C1525">
        <v>9663</v>
      </c>
      <c r="D1525" t="str">
        <f>VLOOKUP(B1525,BaseTable,2,FALSE)</f>
        <v>Weiter</v>
      </c>
      <c r="E1525">
        <f>YEAR(A1525)</f>
        <v>2015</v>
      </c>
    </row>
    <row r="1526" spans="1:5">
      <c r="A1526" s="32">
        <v>42106</v>
      </c>
      <c r="B1526" t="s">
        <v>3</v>
      </c>
      <c r="C1526">
        <v>15524</v>
      </c>
      <c r="D1526" t="str">
        <f>VLOOKUP(B1526,BaseTable,2,FALSE)</f>
        <v>Schmecken</v>
      </c>
      <c r="E1526">
        <f>YEAR(A1526)</f>
        <v>2015</v>
      </c>
    </row>
    <row r="1527" spans="1:5">
      <c r="A1527" s="32">
        <v>42106</v>
      </c>
      <c r="B1527" t="s">
        <v>4</v>
      </c>
      <c r="C1527">
        <v>28310</v>
      </c>
      <c r="D1527" t="str">
        <f>VLOOKUP(B1527,BaseTable,2,FALSE)</f>
        <v>Danach-NY</v>
      </c>
      <c r="E1527">
        <f>YEAR(A1527)</f>
        <v>2015</v>
      </c>
    </row>
    <row r="1528" spans="1:5">
      <c r="A1528" s="32">
        <v>42106</v>
      </c>
      <c r="B1528" t="s">
        <v>5</v>
      </c>
      <c r="C1528">
        <v>6817</v>
      </c>
      <c r="D1528" t="str">
        <f>VLOOKUP(B1528,BaseTable,2,FALSE)</f>
        <v>Grun</v>
      </c>
      <c r="E1528">
        <f>YEAR(A1528)</f>
        <v>2015</v>
      </c>
    </row>
    <row r="1529" spans="1:5">
      <c r="A1529" s="32">
        <v>42107</v>
      </c>
      <c r="B1529" t="s">
        <v>0</v>
      </c>
      <c r="C1529">
        <v>426</v>
      </c>
      <c r="D1529" t="str">
        <f>VLOOKUP(B1529,BaseTable,2,FALSE)</f>
        <v>Unter</v>
      </c>
      <c r="E1529">
        <f>YEAR(A1529)</f>
        <v>2015</v>
      </c>
    </row>
    <row r="1530" spans="1:5">
      <c r="A1530" s="32">
        <v>42107</v>
      </c>
      <c r="B1530" t="s">
        <v>1</v>
      </c>
      <c r="C1530">
        <v>5979</v>
      </c>
      <c r="D1530" t="str">
        <f>VLOOKUP(B1530,BaseTable,2,FALSE)</f>
        <v>Hinter</v>
      </c>
      <c r="E1530">
        <f>YEAR(A1530)</f>
        <v>2015</v>
      </c>
    </row>
    <row r="1531" spans="1:5">
      <c r="A1531" s="32">
        <v>42107</v>
      </c>
      <c r="B1531" t="s">
        <v>2</v>
      </c>
      <c r="C1531">
        <v>8181</v>
      </c>
      <c r="D1531" t="str">
        <f>VLOOKUP(B1531,BaseTable,2,FALSE)</f>
        <v>Weiter</v>
      </c>
      <c r="E1531">
        <f>YEAR(A1531)</f>
        <v>2015</v>
      </c>
    </row>
    <row r="1532" spans="1:5">
      <c r="A1532" s="32">
        <v>42107</v>
      </c>
      <c r="B1532" t="s">
        <v>3</v>
      </c>
      <c r="C1532">
        <v>13281</v>
      </c>
      <c r="D1532" t="str">
        <f>VLOOKUP(B1532,BaseTable,2,FALSE)</f>
        <v>Schmecken</v>
      </c>
      <c r="E1532">
        <f>YEAR(A1532)</f>
        <v>2015</v>
      </c>
    </row>
    <row r="1533" spans="1:5">
      <c r="A1533" s="32">
        <v>42107</v>
      </c>
      <c r="B1533" t="s">
        <v>4</v>
      </c>
      <c r="C1533">
        <v>22810</v>
      </c>
      <c r="D1533" t="str">
        <f>VLOOKUP(B1533,BaseTable,2,FALSE)</f>
        <v>Danach-NY</v>
      </c>
      <c r="E1533">
        <f>YEAR(A1533)</f>
        <v>2015</v>
      </c>
    </row>
    <row r="1534" spans="1:5">
      <c r="A1534" s="32">
        <v>42107</v>
      </c>
      <c r="B1534" t="s">
        <v>5</v>
      </c>
      <c r="C1534">
        <v>5978</v>
      </c>
      <c r="D1534" t="str">
        <f>VLOOKUP(B1534,BaseTable,2,FALSE)</f>
        <v>Grun</v>
      </c>
      <c r="E1534">
        <f>YEAR(A1534)</f>
        <v>2015</v>
      </c>
    </row>
    <row r="1535" spans="1:5">
      <c r="A1535" s="32">
        <v>42108</v>
      </c>
      <c r="B1535" t="s">
        <v>0</v>
      </c>
      <c r="C1535">
        <v>451</v>
      </c>
      <c r="D1535" t="str">
        <f>VLOOKUP(B1535,BaseTable,2,FALSE)</f>
        <v>Unter</v>
      </c>
      <c r="E1535">
        <f>YEAR(A1535)</f>
        <v>2015</v>
      </c>
    </row>
    <row r="1536" spans="1:5">
      <c r="A1536" s="32">
        <v>42108</v>
      </c>
      <c r="B1536" t="s">
        <v>1</v>
      </c>
      <c r="C1536">
        <v>6930</v>
      </c>
      <c r="D1536" t="str">
        <f>VLOOKUP(B1536,BaseTable,2,FALSE)</f>
        <v>Hinter</v>
      </c>
      <c r="E1536">
        <f>YEAR(A1536)</f>
        <v>2015</v>
      </c>
    </row>
    <row r="1537" spans="1:5">
      <c r="A1537" s="32">
        <v>42108</v>
      </c>
      <c r="B1537" t="s">
        <v>2</v>
      </c>
      <c r="C1537">
        <v>9382</v>
      </c>
      <c r="D1537" t="str">
        <f>VLOOKUP(B1537,BaseTable,2,FALSE)</f>
        <v>Weiter</v>
      </c>
      <c r="E1537">
        <f>YEAR(A1537)</f>
        <v>2015</v>
      </c>
    </row>
    <row r="1538" spans="1:5">
      <c r="A1538" s="32">
        <v>42108</v>
      </c>
      <c r="B1538" t="s">
        <v>3</v>
      </c>
      <c r="C1538">
        <v>14875</v>
      </c>
      <c r="D1538" t="str">
        <f>VLOOKUP(B1538,BaseTable,2,FALSE)</f>
        <v>Schmecken</v>
      </c>
      <c r="E1538">
        <f>YEAR(A1538)</f>
        <v>2015</v>
      </c>
    </row>
    <row r="1539" spans="1:5">
      <c r="A1539" s="32">
        <v>42108</v>
      </c>
      <c r="B1539" t="s">
        <v>4</v>
      </c>
      <c r="C1539">
        <v>25332</v>
      </c>
      <c r="D1539" t="str">
        <f>VLOOKUP(B1539,BaseTable,2,FALSE)</f>
        <v>Danach-NY</v>
      </c>
      <c r="E1539">
        <f>YEAR(A1539)</f>
        <v>2015</v>
      </c>
    </row>
    <row r="1540" spans="1:5">
      <c r="A1540" s="32">
        <v>42108</v>
      </c>
      <c r="B1540" t="s">
        <v>5</v>
      </c>
      <c r="C1540">
        <v>6423</v>
      </c>
      <c r="D1540" t="str">
        <f>VLOOKUP(B1540,BaseTable,2,FALSE)</f>
        <v>Grun</v>
      </c>
      <c r="E1540">
        <f>YEAR(A1540)</f>
        <v>2015</v>
      </c>
    </row>
    <row r="1541" spans="1:5">
      <c r="A1541" s="32">
        <v>42109</v>
      </c>
      <c r="B1541" t="s">
        <v>0</v>
      </c>
      <c r="C1541">
        <v>453</v>
      </c>
      <c r="D1541" t="str">
        <f>VLOOKUP(B1541,BaseTable,2,FALSE)</f>
        <v>Unter</v>
      </c>
      <c r="E1541">
        <f>YEAR(A1541)</f>
        <v>2015</v>
      </c>
    </row>
    <row r="1542" spans="1:5">
      <c r="A1542" s="32">
        <v>42109</v>
      </c>
      <c r="B1542" t="s">
        <v>1</v>
      </c>
      <c r="C1542">
        <v>7334</v>
      </c>
      <c r="D1542" t="str">
        <f>VLOOKUP(B1542,BaseTable,2,FALSE)</f>
        <v>Hinter</v>
      </c>
      <c r="E1542">
        <f>YEAR(A1542)</f>
        <v>2015</v>
      </c>
    </row>
    <row r="1543" spans="1:5">
      <c r="A1543" s="32">
        <v>42109</v>
      </c>
      <c r="B1543" t="s">
        <v>2</v>
      </c>
      <c r="C1543">
        <v>9945</v>
      </c>
      <c r="D1543" t="str">
        <f>VLOOKUP(B1543,BaseTable,2,FALSE)</f>
        <v>Weiter</v>
      </c>
      <c r="E1543">
        <f>YEAR(A1543)</f>
        <v>2015</v>
      </c>
    </row>
    <row r="1544" spans="1:5">
      <c r="A1544" s="32">
        <v>42109</v>
      </c>
      <c r="B1544" t="s">
        <v>3</v>
      </c>
      <c r="C1544">
        <v>15581</v>
      </c>
      <c r="D1544" t="str">
        <f>VLOOKUP(B1544,BaseTable,2,FALSE)</f>
        <v>Schmecken</v>
      </c>
      <c r="E1544">
        <f>YEAR(A1544)</f>
        <v>2015</v>
      </c>
    </row>
    <row r="1545" spans="1:5">
      <c r="A1545" s="32">
        <v>42109</v>
      </c>
      <c r="B1545" t="s">
        <v>4</v>
      </c>
      <c r="C1545">
        <v>26650</v>
      </c>
      <c r="D1545" t="str">
        <f>VLOOKUP(B1545,BaseTable,2,FALSE)</f>
        <v>Danach-NY</v>
      </c>
      <c r="E1545">
        <f>YEAR(A1545)</f>
        <v>2015</v>
      </c>
    </row>
    <row r="1546" spans="1:5">
      <c r="A1546" s="32">
        <v>42109</v>
      </c>
      <c r="B1546" t="s">
        <v>5</v>
      </c>
      <c r="C1546">
        <v>6571</v>
      </c>
      <c r="D1546" t="str">
        <f>VLOOKUP(B1546,BaseTable,2,FALSE)</f>
        <v>Grun</v>
      </c>
      <c r="E1546">
        <f>YEAR(A1546)</f>
        <v>2015</v>
      </c>
    </row>
    <row r="1547" spans="1:5">
      <c r="A1547" s="32">
        <v>42110</v>
      </c>
      <c r="B1547" t="s">
        <v>0</v>
      </c>
      <c r="C1547">
        <v>512</v>
      </c>
      <c r="D1547" t="str">
        <f>VLOOKUP(B1547,BaseTable,2,FALSE)</f>
        <v>Unter</v>
      </c>
      <c r="E1547">
        <f>YEAR(A1547)</f>
        <v>2015</v>
      </c>
    </row>
    <row r="1548" spans="1:5">
      <c r="A1548" s="32">
        <v>42110</v>
      </c>
      <c r="B1548" t="s">
        <v>1</v>
      </c>
      <c r="C1548">
        <v>9004</v>
      </c>
      <c r="D1548" t="str">
        <f>VLOOKUP(B1548,BaseTable,2,FALSE)</f>
        <v>Hinter</v>
      </c>
      <c r="E1548">
        <f>YEAR(A1548)</f>
        <v>2015</v>
      </c>
    </row>
    <row r="1549" spans="1:5">
      <c r="A1549" s="32">
        <v>42110</v>
      </c>
      <c r="B1549" t="s">
        <v>2</v>
      </c>
      <c r="C1549">
        <v>11714</v>
      </c>
      <c r="D1549" t="str">
        <f>VLOOKUP(B1549,BaseTable,2,FALSE)</f>
        <v>Weiter</v>
      </c>
      <c r="E1549">
        <f>YEAR(A1549)</f>
        <v>2015</v>
      </c>
    </row>
    <row r="1550" spans="1:5">
      <c r="A1550" s="32">
        <v>42110</v>
      </c>
      <c r="B1550" t="s">
        <v>3</v>
      </c>
      <c r="C1550">
        <v>18442</v>
      </c>
      <c r="D1550" t="str">
        <f>VLOOKUP(B1550,BaseTable,2,FALSE)</f>
        <v>Schmecken</v>
      </c>
      <c r="E1550">
        <f>YEAR(A1550)</f>
        <v>2015</v>
      </c>
    </row>
    <row r="1551" spans="1:5">
      <c r="A1551" s="32">
        <v>42110</v>
      </c>
      <c r="B1551" t="s">
        <v>4</v>
      </c>
      <c r="C1551">
        <v>31129</v>
      </c>
      <c r="D1551" t="str">
        <f>VLOOKUP(B1551,BaseTable,2,FALSE)</f>
        <v>Danach-NY</v>
      </c>
      <c r="E1551">
        <f>YEAR(A1551)</f>
        <v>2015</v>
      </c>
    </row>
    <row r="1552" spans="1:5">
      <c r="A1552" s="32">
        <v>42110</v>
      </c>
      <c r="B1552" t="s">
        <v>5</v>
      </c>
      <c r="C1552">
        <v>8007</v>
      </c>
      <c r="D1552" t="str">
        <f>VLOOKUP(B1552,BaseTable,2,FALSE)</f>
        <v>Grun</v>
      </c>
      <c r="E1552">
        <f>YEAR(A1552)</f>
        <v>2015</v>
      </c>
    </row>
    <row r="1553" spans="1:5">
      <c r="A1553" s="32">
        <v>42111</v>
      </c>
      <c r="B1553" t="s">
        <v>0</v>
      </c>
      <c r="C1553">
        <v>453</v>
      </c>
      <c r="D1553" t="str">
        <f>VLOOKUP(B1553,BaseTable,2,FALSE)</f>
        <v>Unter</v>
      </c>
      <c r="E1553">
        <f>YEAR(A1553)</f>
        <v>2015</v>
      </c>
    </row>
    <row r="1554" spans="1:5">
      <c r="A1554" s="32">
        <v>42111</v>
      </c>
      <c r="B1554" t="s">
        <v>1</v>
      </c>
      <c r="C1554">
        <v>9147</v>
      </c>
      <c r="D1554" t="str">
        <f>VLOOKUP(B1554,BaseTable,2,FALSE)</f>
        <v>Hinter</v>
      </c>
      <c r="E1554">
        <f>YEAR(A1554)</f>
        <v>2015</v>
      </c>
    </row>
    <row r="1555" spans="1:5">
      <c r="A1555" s="32">
        <v>42111</v>
      </c>
      <c r="B1555" t="s">
        <v>2</v>
      </c>
      <c r="C1555">
        <v>12042</v>
      </c>
      <c r="D1555" t="str">
        <f>VLOOKUP(B1555,BaseTable,2,FALSE)</f>
        <v>Weiter</v>
      </c>
      <c r="E1555">
        <f>YEAR(A1555)</f>
        <v>2015</v>
      </c>
    </row>
    <row r="1556" spans="1:5">
      <c r="A1556" s="32">
        <v>42111</v>
      </c>
      <c r="B1556" t="s">
        <v>3</v>
      </c>
      <c r="C1556">
        <v>20305</v>
      </c>
      <c r="D1556" t="str">
        <f>VLOOKUP(B1556,BaseTable,2,FALSE)</f>
        <v>Schmecken</v>
      </c>
      <c r="E1556">
        <f>YEAR(A1556)</f>
        <v>2015</v>
      </c>
    </row>
    <row r="1557" spans="1:5">
      <c r="A1557" s="32">
        <v>42111</v>
      </c>
      <c r="B1557" t="s">
        <v>4</v>
      </c>
      <c r="C1557">
        <v>33198</v>
      </c>
      <c r="D1557" t="str">
        <f>VLOOKUP(B1557,BaseTable,2,FALSE)</f>
        <v>Danach-NY</v>
      </c>
      <c r="E1557">
        <f>YEAR(A1557)</f>
        <v>2015</v>
      </c>
    </row>
    <row r="1558" spans="1:5">
      <c r="A1558" s="32">
        <v>42111</v>
      </c>
      <c r="B1558" t="s">
        <v>5</v>
      </c>
      <c r="C1558">
        <v>8710</v>
      </c>
      <c r="D1558" t="str">
        <f>VLOOKUP(B1558,BaseTable,2,FALSE)</f>
        <v>Grun</v>
      </c>
      <c r="E1558">
        <f>YEAR(A1558)</f>
        <v>2015</v>
      </c>
    </row>
    <row r="1559" spans="1:5">
      <c r="A1559" s="32">
        <v>42112</v>
      </c>
      <c r="B1559" t="s">
        <v>0</v>
      </c>
      <c r="C1559">
        <v>519</v>
      </c>
      <c r="D1559" t="str">
        <f>VLOOKUP(B1559,BaseTable,2,FALSE)</f>
        <v>Unter</v>
      </c>
      <c r="E1559">
        <f>YEAR(A1559)</f>
        <v>2015</v>
      </c>
    </row>
    <row r="1560" spans="1:5">
      <c r="A1560" s="32">
        <v>42112</v>
      </c>
      <c r="B1560" t="s">
        <v>1</v>
      </c>
      <c r="C1560">
        <v>9448</v>
      </c>
      <c r="D1560" t="str">
        <f>VLOOKUP(B1560,BaseTable,2,FALSE)</f>
        <v>Hinter</v>
      </c>
      <c r="E1560">
        <f>YEAR(A1560)</f>
        <v>2015</v>
      </c>
    </row>
    <row r="1561" spans="1:5">
      <c r="A1561" s="32">
        <v>42112</v>
      </c>
      <c r="B1561" t="s">
        <v>2</v>
      </c>
      <c r="C1561">
        <v>13287</v>
      </c>
      <c r="D1561" t="str">
        <f>VLOOKUP(B1561,BaseTable,2,FALSE)</f>
        <v>Weiter</v>
      </c>
      <c r="E1561">
        <f>YEAR(A1561)</f>
        <v>2015</v>
      </c>
    </row>
    <row r="1562" spans="1:5">
      <c r="A1562" s="32">
        <v>42112</v>
      </c>
      <c r="B1562" t="s">
        <v>3</v>
      </c>
      <c r="C1562">
        <v>23304</v>
      </c>
      <c r="D1562" t="str">
        <f>VLOOKUP(B1562,BaseTable,2,FALSE)</f>
        <v>Schmecken</v>
      </c>
      <c r="E1562">
        <f>YEAR(A1562)</f>
        <v>2015</v>
      </c>
    </row>
    <row r="1563" spans="1:5">
      <c r="A1563" s="32">
        <v>42112</v>
      </c>
      <c r="B1563" t="s">
        <v>4</v>
      </c>
      <c r="C1563">
        <v>38314</v>
      </c>
      <c r="D1563" t="str">
        <f>VLOOKUP(B1563,BaseTable,2,FALSE)</f>
        <v>Danach-NY</v>
      </c>
      <c r="E1563">
        <f>YEAR(A1563)</f>
        <v>2015</v>
      </c>
    </row>
    <row r="1564" spans="1:5">
      <c r="A1564" s="32">
        <v>42112</v>
      </c>
      <c r="B1564" t="s">
        <v>5</v>
      </c>
      <c r="C1564">
        <v>9324</v>
      </c>
      <c r="D1564" t="str">
        <f>VLOOKUP(B1564,BaseTable,2,FALSE)</f>
        <v>Grun</v>
      </c>
      <c r="E1564">
        <f>YEAR(A1564)</f>
        <v>2015</v>
      </c>
    </row>
    <row r="1565" spans="1:5">
      <c r="A1565" s="32">
        <v>42113</v>
      </c>
      <c r="B1565" t="s">
        <v>0</v>
      </c>
      <c r="C1565">
        <v>452</v>
      </c>
      <c r="D1565" t="str">
        <f>VLOOKUP(B1565,BaseTable,2,FALSE)</f>
        <v>Unter</v>
      </c>
      <c r="E1565">
        <f>YEAR(A1565)</f>
        <v>2015</v>
      </c>
    </row>
    <row r="1566" spans="1:5">
      <c r="A1566" s="32">
        <v>42113</v>
      </c>
      <c r="B1566" t="s">
        <v>1</v>
      </c>
      <c r="C1566">
        <v>8049</v>
      </c>
      <c r="D1566" t="str">
        <f>VLOOKUP(B1566,BaseTable,2,FALSE)</f>
        <v>Hinter</v>
      </c>
      <c r="E1566">
        <f>YEAR(A1566)</f>
        <v>2015</v>
      </c>
    </row>
    <row r="1567" spans="1:5">
      <c r="A1567" s="32">
        <v>42113</v>
      </c>
      <c r="B1567" t="s">
        <v>2</v>
      </c>
      <c r="C1567">
        <v>10840</v>
      </c>
      <c r="D1567" t="str">
        <f>VLOOKUP(B1567,BaseTable,2,FALSE)</f>
        <v>Weiter</v>
      </c>
      <c r="E1567">
        <f>YEAR(A1567)</f>
        <v>2015</v>
      </c>
    </row>
    <row r="1568" spans="1:5">
      <c r="A1568" s="32">
        <v>42113</v>
      </c>
      <c r="B1568" t="s">
        <v>3</v>
      </c>
      <c r="C1568">
        <v>18860</v>
      </c>
      <c r="D1568" t="str">
        <f>VLOOKUP(B1568,BaseTable,2,FALSE)</f>
        <v>Schmecken</v>
      </c>
      <c r="E1568">
        <f>YEAR(A1568)</f>
        <v>2015</v>
      </c>
    </row>
    <row r="1569" spans="1:5">
      <c r="A1569" s="32">
        <v>42113</v>
      </c>
      <c r="B1569" t="s">
        <v>4</v>
      </c>
      <c r="C1569">
        <v>32263</v>
      </c>
      <c r="D1569" t="str">
        <f>VLOOKUP(B1569,BaseTable,2,FALSE)</f>
        <v>Danach-NY</v>
      </c>
      <c r="E1569">
        <f>YEAR(A1569)</f>
        <v>2015</v>
      </c>
    </row>
    <row r="1570" spans="1:5">
      <c r="A1570" s="32">
        <v>42113</v>
      </c>
      <c r="B1570" t="s">
        <v>5</v>
      </c>
      <c r="C1570">
        <v>7643</v>
      </c>
      <c r="D1570" t="str">
        <f>VLOOKUP(B1570,BaseTable,2,FALSE)</f>
        <v>Grun</v>
      </c>
      <c r="E1570">
        <f>YEAR(A1570)</f>
        <v>2015</v>
      </c>
    </row>
    <row r="1571" spans="1:5">
      <c r="A1571" s="32">
        <v>42114</v>
      </c>
      <c r="B1571" t="s">
        <v>0</v>
      </c>
      <c r="C1571">
        <v>529</v>
      </c>
      <c r="D1571" t="str">
        <f>VLOOKUP(B1571,BaseTable,2,FALSE)</f>
        <v>Unter</v>
      </c>
      <c r="E1571">
        <f>YEAR(A1571)</f>
        <v>2015</v>
      </c>
    </row>
    <row r="1572" spans="1:5">
      <c r="A1572" s="32">
        <v>42114</v>
      </c>
      <c r="B1572" t="s">
        <v>1</v>
      </c>
      <c r="C1572">
        <v>8521</v>
      </c>
      <c r="D1572" t="str">
        <f>VLOOKUP(B1572,BaseTable,2,FALSE)</f>
        <v>Hinter</v>
      </c>
      <c r="E1572">
        <f>YEAR(A1572)</f>
        <v>2015</v>
      </c>
    </row>
    <row r="1573" spans="1:5">
      <c r="A1573" s="32">
        <v>42114</v>
      </c>
      <c r="B1573" t="s">
        <v>2</v>
      </c>
      <c r="C1573">
        <v>11481</v>
      </c>
      <c r="D1573" t="str">
        <f>VLOOKUP(B1573,BaseTable,2,FALSE)</f>
        <v>Weiter</v>
      </c>
      <c r="E1573">
        <f>YEAR(A1573)</f>
        <v>2015</v>
      </c>
    </row>
    <row r="1574" spans="1:5">
      <c r="A1574" s="32">
        <v>42114</v>
      </c>
      <c r="B1574" t="s">
        <v>3</v>
      </c>
      <c r="C1574">
        <v>19270</v>
      </c>
      <c r="D1574" t="str">
        <f>VLOOKUP(B1574,BaseTable,2,FALSE)</f>
        <v>Schmecken</v>
      </c>
      <c r="E1574">
        <f>YEAR(A1574)</f>
        <v>2015</v>
      </c>
    </row>
    <row r="1575" spans="1:5">
      <c r="A1575" s="32">
        <v>42114</v>
      </c>
      <c r="B1575" t="s">
        <v>4</v>
      </c>
      <c r="C1575">
        <v>30662</v>
      </c>
      <c r="D1575" t="str">
        <f>VLOOKUP(B1575,BaseTable,2,FALSE)</f>
        <v>Danach-NY</v>
      </c>
      <c r="E1575">
        <f>YEAR(A1575)</f>
        <v>2015</v>
      </c>
    </row>
    <row r="1576" spans="1:5">
      <c r="A1576" s="32">
        <v>42114</v>
      </c>
      <c r="B1576" t="s">
        <v>5</v>
      </c>
      <c r="C1576">
        <v>7613</v>
      </c>
      <c r="D1576" t="str">
        <f>VLOOKUP(B1576,BaseTable,2,FALSE)</f>
        <v>Grun</v>
      </c>
      <c r="E1576">
        <f>YEAR(A1576)</f>
        <v>2015</v>
      </c>
    </row>
    <row r="1577" spans="1:5">
      <c r="A1577" s="32">
        <v>42115</v>
      </c>
      <c r="B1577" t="s">
        <v>0</v>
      </c>
      <c r="C1577">
        <v>437</v>
      </c>
      <c r="D1577" t="str">
        <f>VLOOKUP(B1577,BaseTable,2,FALSE)</f>
        <v>Unter</v>
      </c>
      <c r="E1577">
        <f>YEAR(A1577)</f>
        <v>2015</v>
      </c>
    </row>
    <row r="1578" spans="1:5">
      <c r="A1578" s="32">
        <v>42115</v>
      </c>
      <c r="B1578" t="s">
        <v>1</v>
      </c>
      <c r="C1578">
        <v>7411</v>
      </c>
      <c r="D1578" t="str">
        <f>VLOOKUP(B1578,BaseTable,2,FALSE)</f>
        <v>Hinter</v>
      </c>
      <c r="E1578">
        <f>YEAR(A1578)</f>
        <v>2015</v>
      </c>
    </row>
    <row r="1579" spans="1:5">
      <c r="A1579" s="32">
        <v>42115</v>
      </c>
      <c r="B1579" t="s">
        <v>2</v>
      </c>
      <c r="C1579">
        <v>10042</v>
      </c>
      <c r="D1579" t="str">
        <f>VLOOKUP(B1579,BaseTable,2,FALSE)</f>
        <v>Weiter</v>
      </c>
      <c r="E1579">
        <f>YEAR(A1579)</f>
        <v>2015</v>
      </c>
    </row>
    <row r="1580" spans="1:5">
      <c r="A1580" s="32">
        <v>42115</v>
      </c>
      <c r="B1580" t="s">
        <v>3</v>
      </c>
      <c r="C1580">
        <v>16673</v>
      </c>
      <c r="D1580" t="str">
        <f>VLOOKUP(B1580,BaseTable,2,FALSE)</f>
        <v>Schmecken</v>
      </c>
      <c r="E1580">
        <f>YEAR(A1580)</f>
        <v>2015</v>
      </c>
    </row>
    <row r="1581" spans="1:5">
      <c r="A1581" s="32">
        <v>42115</v>
      </c>
      <c r="B1581" t="s">
        <v>4</v>
      </c>
      <c r="C1581">
        <v>27421</v>
      </c>
      <c r="D1581" t="str">
        <f>VLOOKUP(B1581,BaseTable,2,FALSE)</f>
        <v>Danach-NY</v>
      </c>
      <c r="E1581">
        <f>YEAR(A1581)</f>
        <v>2015</v>
      </c>
    </row>
    <row r="1582" spans="1:5">
      <c r="A1582" s="32">
        <v>42115</v>
      </c>
      <c r="B1582" t="s">
        <v>5</v>
      </c>
      <c r="C1582">
        <v>6728</v>
      </c>
      <c r="D1582" t="str">
        <f>VLOOKUP(B1582,BaseTable,2,FALSE)</f>
        <v>Grun</v>
      </c>
      <c r="E1582">
        <f>YEAR(A1582)</f>
        <v>2015</v>
      </c>
    </row>
    <row r="1583" spans="1:5">
      <c r="A1583" s="32">
        <v>42116</v>
      </c>
      <c r="B1583" t="s">
        <v>0</v>
      </c>
      <c r="C1583">
        <v>531</v>
      </c>
      <c r="D1583" t="str">
        <f>VLOOKUP(B1583,BaseTable,2,FALSE)</f>
        <v>Unter</v>
      </c>
      <c r="E1583">
        <f>YEAR(A1583)</f>
        <v>2015</v>
      </c>
    </row>
    <row r="1584" spans="1:5">
      <c r="A1584" s="32">
        <v>42116</v>
      </c>
      <c r="B1584" t="s">
        <v>1</v>
      </c>
      <c r="C1584">
        <v>8911</v>
      </c>
      <c r="D1584" t="str">
        <f>VLOOKUP(B1584,BaseTable,2,FALSE)</f>
        <v>Hinter</v>
      </c>
      <c r="E1584">
        <f>YEAR(A1584)</f>
        <v>2015</v>
      </c>
    </row>
    <row r="1585" spans="1:5">
      <c r="A1585" s="32">
        <v>42116</v>
      </c>
      <c r="B1585" t="s">
        <v>2</v>
      </c>
      <c r="C1585">
        <v>12168</v>
      </c>
      <c r="D1585" t="str">
        <f>VLOOKUP(B1585,BaseTable,2,FALSE)</f>
        <v>Weiter</v>
      </c>
      <c r="E1585">
        <f>YEAR(A1585)</f>
        <v>2015</v>
      </c>
    </row>
    <row r="1586" spans="1:5">
      <c r="A1586" s="32">
        <v>42116</v>
      </c>
      <c r="B1586" t="s">
        <v>3</v>
      </c>
      <c r="C1586">
        <v>20189</v>
      </c>
      <c r="D1586" t="str">
        <f>VLOOKUP(B1586,BaseTable,2,FALSE)</f>
        <v>Schmecken</v>
      </c>
      <c r="E1586">
        <f>YEAR(A1586)</f>
        <v>2015</v>
      </c>
    </row>
    <row r="1587" spans="1:5">
      <c r="A1587" s="32">
        <v>42116</v>
      </c>
      <c r="B1587" t="s">
        <v>4</v>
      </c>
      <c r="C1587">
        <v>32010</v>
      </c>
      <c r="D1587" t="str">
        <f>VLOOKUP(B1587,BaseTable,2,FALSE)</f>
        <v>Danach-NY</v>
      </c>
      <c r="E1587">
        <f>YEAR(A1587)</f>
        <v>2015</v>
      </c>
    </row>
    <row r="1588" spans="1:5">
      <c r="A1588" s="32">
        <v>42116</v>
      </c>
      <c r="B1588" t="s">
        <v>5</v>
      </c>
      <c r="C1588">
        <v>8315</v>
      </c>
      <c r="D1588" t="str">
        <f>VLOOKUP(B1588,BaseTable,2,FALSE)</f>
        <v>Grun</v>
      </c>
      <c r="E1588">
        <f>YEAR(A1588)</f>
        <v>2015</v>
      </c>
    </row>
    <row r="1589" spans="1:5">
      <c r="A1589" s="32">
        <v>42117</v>
      </c>
      <c r="B1589" t="s">
        <v>0</v>
      </c>
      <c r="C1589">
        <v>511</v>
      </c>
      <c r="D1589" t="str">
        <f>VLOOKUP(B1589,BaseTable,2,FALSE)</f>
        <v>Unter</v>
      </c>
      <c r="E1589">
        <f>YEAR(A1589)</f>
        <v>2015</v>
      </c>
    </row>
    <row r="1590" spans="1:5">
      <c r="A1590" s="32">
        <v>42117</v>
      </c>
      <c r="B1590" t="s">
        <v>1</v>
      </c>
      <c r="C1590">
        <v>10415</v>
      </c>
      <c r="D1590" t="str">
        <f>VLOOKUP(B1590,BaseTable,2,FALSE)</f>
        <v>Hinter</v>
      </c>
      <c r="E1590">
        <f>YEAR(A1590)</f>
        <v>2015</v>
      </c>
    </row>
    <row r="1591" spans="1:5">
      <c r="A1591" s="32">
        <v>42117</v>
      </c>
      <c r="B1591" t="s">
        <v>2</v>
      </c>
      <c r="C1591">
        <v>13628</v>
      </c>
      <c r="D1591" t="str">
        <f>VLOOKUP(B1591,BaseTable,2,FALSE)</f>
        <v>Weiter</v>
      </c>
      <c r="E1591">
        <f>YEAR(A1591)</f>
        <v>2015</v>
      </c>
    </row>
    <row r="1592" spans="1:5">
      <c r="A1592" s="32">
        <v>42117</v>
      </c>
      <c r="B1592" t="s">
        <v>3</v>
      </c>
      <c r="C1592">
        <v>22601</v>
      </c>
      <c r="D1592" t="str">
        <f>VLOOKUP(B1592,BaseTable,2,FALSE)</f>
        <v>Schmecken</v>
      </c>
      <c r="E1592">
        <f>YEAR(A1592)</f>
        <v>2015</v>
      </c>
    </row>
    <row r="1593" spans="1:5">
      <c r="A1593" s="32">
        <v>42117</v>
      </c>
      <c r="B1593" t="s">
        <v>4</v>
      </c>
      <c r="C1593">
        <v>35899</v>
      </c>
      <c r="D1593" t="str">
        <f>VLOOKUP(B1593,BaseTable,2,FALSE)</f>
        <v>Danach-NY</v>
      </c>
      <c r="E1593">
        <f>YEAR(A1593)</f>
        <v>2015</v>
      </c>
    </row>
    <row r="1594" spans="1:5">
      <c r="A1594" s="32">
        <v>42117</v>
      </c>
      <c r="B1594" t="s">
        <v>5</v>
      </c>
      <c r="C1594">
        <v>9056</v>
      </c>
      <c r="D1594" t="str">
        <f>VLOOKUP(B1594,BaseTable,2,FALSE)</f>
        <v>Grun</v>
      </c>
      <c r="E1594">
        <f>YEAR(A1594)</f>
        <v>2015</v>
      </c>
    </row>
    <row r="1595" spans="1:5">
      <c r="A1595" s="32">
        <v>42118</v>
      </c>
      <c r="B1595" t="s">
        <v>0</v>
      </c>
      <c r="C1595">
        <v>596</v>
      </c>
      <c r="D1595" t="str">
        <f>VLOOKUP(B1595,BaseTable,2,FALSE)</f>
        <v>Unter</v>
      </c>
      <c r="E1595">
        <f>YEAR(A1595)</f>
        <v>2015</v>
      </c>
    </row>
    <row r="1596" spans="1:5">
      <c r="A1596" s="32">
        <v>42118</v>
      </c>
      <c r="B1596" t="s">
        <v>1</v>
      </c>
      <c r="C1596">
        <v>10908</v>
      </c>
      <c r="D1596" t="str">
        <f>VLOOKUP(B1596,BaseTable,2,FALSE)</f>
        <v>Hinter</v>
      </c>
      <c r="E1596">
        <f>YEAR(A1596)</f>
        <v>2015</v>
      </c>
    </row>
    <row r="1597" spans="1:5">
      <c r="A1597" s="32">
        <v>42118</v>
      </c>
      <c r="B1597" t="s">
        <v>2</v>
      </c>
      <c r="C1597">
        <v>14332</v>
      </c>
      <c r="D1597" t="str">
        <f>VLOOKUP(B1597,BaseTable,2,FALSE)</f>
        <v>Weiter</v>
      </c>
      <c r="E1597">
        <f>YEAR(A1597)</f>
        <v>2015</v>
      </c>
    </row>
    <row r="1598" spans="1:5">
      <c r="A1598" s="32">
        <v>42118</v>
      </c>
      <c r="B1598" t="s">
        <v>3</v>
      </c>
      <c r="C1598">
        <v>24790</v>
      </c>
      <c r="D1598" t="str">
        <f>VLOOKUP(B1598,BaseTable,2,FALSE)</f>
        <v>Schmecken</v>
      </c>
      <c r="E1598">
        <f>YEAR(A1598)</f>
        <v>2015</v>
      </c>
    </row>
    <row r="1599" spans="1:5">
      <c r="A1599" s="32">
        <v>42118</v>
      </c>
      <c r="B1599" t="s">
        <v>4</v>
      </c>
      <c r="C1599">
        <v>39026</v>
      </c>
      <c r="D1599" t="str">
        <f>VLOOKUP(B1599,BaseTable,2,FALSE)</f>
        <v>Danach-NY</v>
      </c>
      <c r="E1599">
        <f>YEAR(A1599)</f>
        <v>2015</v>
      </c>
    </row>
    <row r="1600" spans="1:5">
      <c r="A1600" s="32">
        <v>42118</v>
      </c>
      <c r="B1600" t="s">
        <v>5</v>
      </c>
      <c r="C1600">
        <v>10036</v>
      </c>
      <c r="D1600" t="str">
        <f>VLOOKUP(B1600,BaseTable,2,FALSE)</f>
        <v>Grun</v>
      </c>
      <c r="E1600">
        <f>YEAR(A1600)</f>
        <v>2015</v>
      </c>
    </row>
    <row r="1601" spans="1:5">
      <c r="A1601" s="32">
        <v>42119</v>
      </c>
      <c r="B1601" t="s">
        <v>0</v>
      </c>
      <c r="C1601">
        <v>636</v>
      </c>
      <c r="D1601" t="str">
        <f>VLOOKUP(B1601,BaseTable,2,FALSE)</f>
        <v>Unter</v>
      </c>
      <c r="E1601">
        <f>YEAR(A1601)</f>
        <v>2015</v>
      </c>
    </row>
    <row r="1602" spans="1:5">
      <c r="A1602" s="32">
        <v>42119</v>
      </c>
      <c r="B1602" t="s">
        <v>1</v>
      </c>
      <c r="C1602">
        <v>10819</v>
      </c>
      <c r="D1602" t="str">
        <f>VLOOKUP(B1602,BaseTable,2,FALSE)</f>
        <v>Hinter</v>
      </c>
      <c r="E1602">
        <f>YEAR(A1602)</f>
        <v>2015</v>
      </c>
    </row>
    <row r="1603" spans="1:5">
      <c r="A1603" s="32">
        <v>42119</v>
      </c>
      <c r="B1603" t="s">
        <v>2</v>
      </c>
      <c r="C1603">
        <v>13907</v>
      </c>
      <c r="D1603" t="str">
        <f>VLOOKUP(B1603,BaseTable,2,FALSE)</f>
        <v>Weiter</v>
      </c>
      <c r="E1603">
        <f>YEAR(A1603)</f>
        <v>2015</v>
      </c>
    </row>
    <row r="1604" spans="1:5">
      <c r="A1604" s="32">
        <v>42119</v>
      </c>
      <c r="B1604" t="s">
        <v>3</v>
      </c>
      <c r="C1604">
        <v>27090</v>
      </c>
      <c r="D1604" t="str">
        <f>VLOOKUP(B1604,BaseTable,2,FALSE)</f>
        <v>Schmecken</v>
      </c>
      <c r="E1604">
        <f>YEAR(A1604)</f>
        <v>2015</v>
      </c>
    </row>
    <row r="1605" spans="1:5">
      <c r="A1605" s="32">
        <v>42119</v>
      </c>
      <c r="B1605" t="s">
        <v>4</v>
      </c>
      <c r="C1605">
        <v>43169</v>
      </c>
      <c r="D1605" t="str">
        <f>VLOOKUP(B1605,BaseTable,2,FALSE)</f>
        <v>Danach-NY</v>
      </c>
      <c r="E1605">
        <f>YEAR(A1605)</f>
        <v>2015</v>
      </c>
    </row>
    <row r="1606" spans="1:5">
      <c r="A1606" s="32">
        <v>42119</v>
      </c>
      <c r="B1606" t="s">
        <v>5</v>
      </c>
      <c r="C1606">
        <v>10649</v>
      </c>
      <c r="D1606" t="str">
        <f>VLOOKUP(B1606,BaseTable,2,FALSE)</f>
        <v>Grun</v>
      </c>
      <c r="E1606">
        <f>YEAR(A1606)</f>
        <v>2015</v>
      </c>
    </row>
    <row r="1607" spans="1:5">
      <c r="A1607" s="32">
        <v>42120</v>
      </c>
      <c r="B1607" t="s">
        <v>0</v>
      </c>
      <c r="C1607">
        <v>474</v>
      </c>
      <c r="D1607" t="str">
        <f>VLOOKUP(B1607,BaseTable,2,FALSE)</f>
        <v>Unter</v>
      </c>
      <c r="E1607">
        <f>YEAR(A1607)</f>
        <v>2015</v>
      </c>
    </row>
    <row r="1608" spans="1:5">
      <c r="A1608" s="32">
        <v>42120</v>
      </c>
      <c r="B1608" t="s">
        <v>1</v>
      </c>
      <c r="C1608">
        <v>9036</v>
      </c>
      <c r="D1608" t="str">
        <f>VLOOKUP(B1608,BaseTable,2,FALSE)</f>
        <v>Hinter</v>
      </c>
      <c r="E1608">
        <f>YEAR(A1608)</f>
        <v>2015</v>
      </c>
    </row>
    <row r="1609" spans="1:5">
      <c r="A1609" s="32">
        <v>42120</v>
      </c>
      <c r="B1609" t="s">
        <v>2</v>
      </c>
      <c r="C1609">
        <v>12049</v>
      </c>
      <c r="D1609" t="str">
        <f>VLOOKUP(B1609,BaseTable,2,FALSE)</f>
        <v>Weiter</v>
      </c>
      <c r="E1609">
        <f>YEAR(A1609)</f>
        <v>2015</v>
      </c>
    </row>
    <row r="1610" spans="1:5">
      <c r="A1610" s="32">
        <v>42120</v>
      </c>
      <c r="B1610" t="s">
        <v>3</v>
      </c>
      <c r="C1610">
        <v>21777</v>
      </c>
      <c r="D1610" t="str">
        <f>VLOOKUP(B1610,BaseTable,2,FALSE)</f>
        <v>Schmecken</v>
      </c>
      <c r="E1610">
        <f>YEAR(A1610)</f>
        <v>2015</v>
      </c>
    </row>
    <row r="1611" spans="1:5">
      <c r="A1611" s="32">
        <v>42120</v>
      </c>
      <c r="B1611" t="s">
        <v>4</v>
      </c>
      <c r="C1611">
        <v>36443</v>
      </c>
      <c r="D1611" t="str">
        <f>VLOOKUP(B1611,BaseTable,2,FALSE)</f>
        <v>Danach-NY</v>
      </c>
      <c r="E1611">
        <f>YEAR(A1611)</f>
        <v>2015</v>
      </c>
    </row>
    <row r="1612" spans="1:5">
      <c r="A1612" s="32">
        <v>42120</v>
      </c>
      <c r="B1612" t="s">
        <v>5</v>
      </c>
      <c r="C1612">
        <v>8894</v>
      </c>
      <c r="D1612" t="str">
        <f>VLOOKUP(B1612,BaseTable,2,FALSE)</f>
        <v>Grun</v>
      </c>
      <c r="E1612">
        <f>YEAR(A1612)</f>
        <v>2015</v>
      </c>
    </row>
    <row r="1613" spans="1:5">
      <c r="A1613" s="32">
        <v>42121</v>
      </c>
      <c r="B1613" t="s">
        <v>0</v>
      </c>
      <c r="C1613">
        <v>487</v>
      </c>
      <c r="D1613" t="str">
        <f>VLOOKUP(B1613,BaseTable,2,FALSE)</f>
        <v>Unter</v>
      </c>
      <c r="E1613">
        <f>YEAR(A1613)</f>
        <v>2015</v>
      </c>
    </row>
    <row r="1614" spans="1:5">
      <c r="A1614" s="32">
        <v>42121</v>
      </c>
      <c r="B1614" t="s">
        <v>1</v>
      </c>
      <c r="C1614">
        <v>6922</v>
      </c>
      <c r="D1614" t="str">
        <f>VLOOKUP(B1614,BaseTable,2,FALSE)</f>
        <v>Hinter</v>
      </c>
      <c r="E1614">
        <f>YEAR(A1614)</f>
        <v>2015</v>
      </c>
    </row>
    <row r="1615" spans="1:5">
      <c r="A1615" s="32">
        <v>42121</v>
      </c>
      <c r="B1615" t="s">
        <v>2</v>
      </c>
      <c r="C1615">
        <v>9101</v>
      </c>
      <c r="D1615" t="str">
        <f>VLOOKUP(B1615,BaseTable,2,FALSE)</f>
        <v>Weiter</v>
      </c>
      <c r="E1615">
        <f>YEAR(A1615)</f>
        <v>2015</v>
      </c>
    </row>
    <row r="1616" spans="1:5">
      <c r="A1616" s="32">
        <v>42121</v>
      </c>
      <c r="B1616" t="s">
        <v>3</v>
      </c>
      <c r="C1616">
        <v>16436</v>
      </c>
      <c r="D1616" t="str">
        <f>VLOOKUP(B1616,BaseTable,2,FALSE)</f>
        <v>Schmecken</v>
      </c>
      <c r="E1616">
        <f>YEAR(A1616)</f>
        <v>2015</v>
      </c>
    </row>
    <row r="1617" spans="1:5">
      <c r="A1617" s="32">
        <v>42121</v>
      </c>
      <c r="B1617" t="s">
        <v>4</v>
      </c>
      <c r="C1617">
        <v>25395</v>
      </c>
      <c r="D1617" t="str">
        <f>VLOOKUP(B1617,BaseTable,2,FALSE)</f>
        <v>Danach-NY</v>
      </c>
      <c r="E1617">
        <f>YEAR(A1617)</f>
        <v>2015</v>
      </c>
    </row>
    <row r="1618" spans="1:5">
      <c r="A1618" s="32">
        <v>42121</v>
      </c>
      <c r="B1618" t="s">
        <v>5</v>
      </c>
      <c r="C1618">
        <v>6442</v>
      </c>
      <c r="D1618" t="str">
        <f>VLOOKUP(B1618,BaseTable,2,FALSE)</f>
        <v>Grun</v>
      </c>
      <c r="E1618">
        <f>YEAR(A1618)</f>
        <v>2015</v>
      </c>
    </row>
    <row r="1619" spans="1:5">
      <c r="A1619" s="32">
        <v>42122</v>
      </c>
      <c r="B1619" t="s">
        <v>0</v>
      </c>
      <c r="C1619">
        <v>530</v>
      </c>
      <c r="D1619" t="str">
        <f>VLOOKUP(B1619,BaseTable,2,FALSE)</f>
        <v>Unter</v>
      </c>
      <c r="E1619">
        <f>YEAR(A1619)</f>
        <v>2015</v>
      </c>
    </row>
    <row r="1620" spans="1:5">
      <c r="A1620" s="32">
        <v>42122</v>
      </c>
      <c r="B1620" t="s">
        <v>1</v>
      </c>
      <c r="C1620">
        <v>7077</v>
      </c>
      <c r="D1620" t="str">
        <f>VLOOKUP(B1620,BaseTable,2,FALSE)</f>
        <v>Hinter</v>
      </c>
      <c r="E1620">
        <f>YEAR(A1620)</f>
        <v>2015</v>
      </c>
    </row>
    <row r="1621" spans="1:5">
      <c r="A1621" s="32">
        <v>42122</v>
      </c>
      <c r="B1621" t="s">
        <v>2</v>
      </c>
      <c r="C1621">
        <v>9508</v>
      </c>
      <c r="D1621" t="str">
        <f>VLOOKUP(B1621,BaseTable,2,FALSE)</f>
        <v>Weiter</v>
      </c>
      <c r="E1621">
        <f>YEAR(A1621)</f>
        <v>2015</v>
      </c>
    </row>
    <row r="1622" spans="1:5">
      <c r="A1622" s="32">
        <v>42122</v>
      </c>
      <c r="B1622" t="s">
        <v>3</v>
      </c>
      <c r="C1622">
        <v>17644</v>
      </c>
      <c r="D1622" t="str">
        <f>VLOOKUP(B1622,BaseTable,2,FALSE)</f>
        <v>Schmecken</v>
      </c>
      <c r="E1622">
        <f>YEAR(A1622)</f>
        <v>2015</v>
      </c>
    </row>
    <row r="1623" spans="1:5">
      <c r="A1623" s="32">
        <v>42122</v>
      </c>
      <c r="B1623" t="s">
        <v>4</v>
      </c>
      <c r="C1623">
        <v>27115</v>
      </c>
      <c r="D1623" t="str">
        <f>VLOOKUP(B1623,BaseTable,2,FALSE)</f>
        <v>Danach-NY</v>
      </c>
      <c r="E1623">
        <f>YEAR(A1623)</f>
        <v>2015</v>
      </c>
    </row>
    <row r="1624" spans="1:5">
      <c r="A1624" s="32">
        <v>42122</v>
      </c>
      <c r="B1624" t="s">
        <v>5</v>
      </c>
      <c r="C1624">
        <v>6989</v>
      </c>
      <c r="D1624" t="str">
        <f>VLOOKUP(B1624,BaseTable,2,FALSE)</f>
        <v>Grun</v>
      </c>
      <c r="E1624">
        <f>YEAR(A1624)</f>
        <v>2015</v>
      </c>
    </row>
    <row r="1625" spans="1:5">
      <c r="A1625" s="32">
        <v>42123</v>
      </c>
      <c r="B1625" t="s">
        <v>0</v>
      </c>
      <c r="C1625">
        <v>505</v>
      </c>
      <c r="D1625" t="str">
        <f>VLOOKUP(B1625,BaseTable,2,FALSE)</f>
        <v>Unter</v>
      </c>
      <c r="E1625">
        <f>YEAR(A1625)</f>
        <v>2015</v>
      </c>
    </row>
    <row r="1626" spans="1:5">
      <c r="A1626" s="32">
        <v>42123</v>
      </c>
      <c r="B1626" t="s">
        <v>1</v>
      </c>
      <c r="C1626">
        <v>8119</v>
      </c>
      <c r="D1626" t="str">
        <f>VLOOKUP(B1626,BaseTable,2,FALSE)</f>
        <v>Hinter</v>
      </c>
      <c r="E1626">
        <f>YEAR(A1626)</f>
        <v>2015</v>
      </c>
    </row>
    <row r="1627" spans="1:5">
      <c r="A1627" s="32">
        <v>42123</v>
      </c>
      <c r="B1627" t="s">
        <v>2</v>
      </c>
      <c r="C1627">
        <v>10823</v>
      </c>
      <c r="D1627" t="str">
        <f>VLOOKUP(B1627,BaseTable,2,FALSE)</f>
        <v>Weiter</v>
      </c>
      <c r="E1627">
        <f>YEAR(A1627)</f>
        <v>2015</v>
      </c>
    </row>
    <row r="1628" spans="1:5">
      <c r="A1628" s="32">
        <v>42123</v>
      </c>
      <c r="B1628" t="s">
        <v>3</v>
      </c>
      <c r="C1628">
        <v>19642</v>
      </c>
      <c r="D1628" t="str">
        <f>VLOOKUP(B1628,BaseTable,2,FALSE)</f>
        <v>Schmecken</v>
      </c>
      <c r="E1628">
        <f>YEAR(A1628)</f>
        <v>2015</v>
      </c>
    </row>
    <row r="1629" spans="1:5">
      <c r="A1629" s="32">
        <v>42123</v>
      </c>
      <c r="B1629" t="s">
        <v>4</v>
      </c>
      <c r="C1629">
        <v>29325</v>
      </c>
      <c r="D1629" t="str">
        <f>VLOOKUP(B1629,BaseTable,2,FALSE)</f>
        <v>Danach-NY</v>
      </c>
      <c r="E1629">
        <f>YEAR(A1629)</f>
        <v>2015</v>
      </c>
    </row>
    <row r="1630" spans="1:5">
      <c r="A1630" s="32">
        <v>42123</v>
      </c>
      <c r="B1630" t="s">
        <v>5</v>
      </c>
      <c r="C1630">
        <v>7526</v>
      </c>
      <c r="D1630" t="str">
        <f>VLOOKUP(B1630,BaseTable,2,FALSE)</f>
        <v>Grun</v>
      </c>
      <c r="E1630">
        <f>YEAR(A1630)</f>
        <v>2015</v>
      </c>
    </row>
    <row r="1631" spans="1:5">
      <c r="A1631" s="32">
        <v>42124</v>
      </c>
      <c r="B1631" t="s">
        <v>0</v>
      </c>
      <c r="C1631">
        <v>521</v>
      </c>
      <c r="D1631" t="str">
        <f>VLOOKUP(B1631,BaseTable,2,FALSE)</f>
        <v>Unter</v>
      </c>
      <c r="E1631">
        <f>YEAR(A1631)</f>
        <v>2015</v>
      </c>
    </row>
    <row r="1632" spans="1:5">
      <c r="A1632" s="32">
        <v>42124</v>
      </c>
      <c r="B1632" t="s">
        <v>1</v>
      </c>
      <c r="C1632">
        <v>9098</v>
      </c>
      <c r="D1632" t="str">
        <f>VLOOKUP(B1632,BaseTable,2,FALSE)</f>
        <v>Hinter</v>
      </c>
      <c r="E1632">
        <f>YEAR(A1632)</f>
        <v>2015</v>
      </c>
    </row>
    <row r="1633" spans="1:5">
      <c r="A1633" s="32">
        <v>42124</v>
      </c>
      <c r="B1633" t="s">
        <v>2</v>
      </c>
      <c r="C1633">
        <v>12058</v>
      </c>
      <c r="D1633" t="str">
        <f>VLOOKUP(B1633,BaseTable,2,FALSE)</f>
        <v>Weiter</v>
      </c>
      <c r="E1633">
        <f>YEAR(A1633)</f>
        <v>2015</v>
      </c>
    </row>
    <row r="1634" spans="1:5">
      <c r="A1634" s="32">
        <v>42124</v>
      </c>
      <c r="B1634" t="s">
        <v>3</v>
      </c>
      <c r="C1634">
        <v>21686</v>
      </c>
      <c r="D1634" t="str">
        <f>VLOOKUP(B1634,BaseTable,2,FALSE)</f>
        <v>Schmecken</v>
      </c>
      <c r="E1634">
        <f>YEAR(A1634)</f>
        <v>2015</v>
      </c>
    </row>
    <row r="1635" spans="1:5">
      <c r="A1635" s="32">
        <v>42124</v>
      </c>
      <c r="B1635" t="s">
        <v>4</v>
      </c>
      <c r="C1635">
        <v>32672</v>
      </c>
      <c r="D1635" t="str">
        <f>VLOOKUP(B1635,BaseTable,2,FALSE)</f>
        <v>Danach-NY</v>
      </c>
      <c r="E1635">
        <f>YEAR(A1635)</f>
        <v>2015</v>
      </c>
    </row>
    <row r="1636" spans="1:5">
      <c r="A1636" s="32">
        <v>42124</v>
      </c>
      <c r="B1636" t="s">
        <v>5</v>
      </c>
      <c r="C1636">
        <v>8295</v>
      </c>
      <c r="D1636" t="str">
        <f>VLOOKUP(B1636,BaseTable,2,FALSE)</f>
        <v>Grun</v>
      </c>
      <c r="E1636">
        <f>YEAR(A1636)</f>
        <v>2015</v>
      </c>
    </row>
    <row r="1637" spans="1:5">
      <c r="A1637" s="32">
        <v>42125</v>
      </c>
      <c r="B1637" t="s">
        <v>0</v>
      </c>
      <c r="C1637">
        <v>1779</v>
      </c>
      <c r="D1637" t="str">
        <f>VLOOKUP(B1637,BaseTable,2,FALSE)</f>
        <v>Unter</v>
      </c>
      <c r="E1637">
        <f>YEAR(A1637)</f>
        <v>2015</v>
      </c>
    </row>
    <row r="1638" spans="1:5">
      <c r="A1638" s="32">
        <v>42125</v>
      </c>
      <c r="B1638" t="s">
        <v>1</v>
      </c>
      <c r="C1638">
        <v>8930</v>
      </c>
      <c r="D1638" t="str">
        <f>VLOOKUP(B1638,BaseTable,2,FALSE)</f>
        <v>Hinter</v>
      </c>
      <c r="E1638">
        <f>YEAR(A1638)</f>
        <v>2015</v>
      </c>
    </row>
    <row r="1639" spans="1:5">
      <c r="A1639" s="32">
        <v>42125</v>
      </c>
      <c r="B1639" t="s">
        <v>2</v>
      </c>
      <c r="C1639">
        <v>11872</v>
      </c>
      <c r="D1639" t="str">
        <f>VLOOKUP(B1639,BaseTable,2,FALSE)</f>
        <v>Weiter</v>
      </c>
      <c r="E1639">
        <f>YEAR(A1639)</f>
        <v>2015</v>
      </c>
    </row>
    <row r="1640" spans="1:5">
      <c r="A1640" s="32">
        <v>42125</v>
      </c>
      <c r="B1640" t="s">
        <v>3</v>
      </c>
      <c r="C1640">
        <v>26039</v>
      </c>
      <c r="D1640" t="str">
        <f>VLOOKUP(B1640,BaseTable,2,FALSE)</f>
        <v>Schmecken</v>
      </c>
      <c r="E1640">
        <f>YEAR(A1640)</f>
        <v>2015</v>
      </c>
    </row>
    <row r="1641" spans="1:5">
      <c r="A1641" s="32">
        <v>42125</v>
      </c>
      <c r="B1641" t="s">
        <v>4</v>
      </c>
      <c r="C1641">
        <v>34478</v>
      </c>
      <c r="D1641" t="str">
        <f>VLOOKUP(B1641,BaseTable,2,FALSE)</f>
        <v>Danach-NY</v>
      </c>
      <c r="E1641">
        <f>YEAR(A1641)</f>
        <v>2015</v>
      </c>
    </row>
    <row r="1642" spans="1:5">
      <c r="A1642" s="32">
        <v>42125</v>
      </c>
      <c r="B1642" t="s">
        <v>5</v>
      </c>
      <c r="C1642">
        <v>9231</v>
      </c>
      <c r="D1642" t="str">
        <f>VLOOKUP(B1642,BaseTable,2,FALSE)</f>
        <v>Grun</v>
      </c>
      <c r="E1642">
        <f>YEAR(A1642)</f>
        <v>2015</v>
      </c>
    </row>
    <row r="1643" spans="1:5">
      <c r="A1643" s="32">
        <v>42126</v>
      </c>
      <c r="B1643" t="s">
        <v>0</v>
      </c>
      <c r="C1643">
        <v>1774</v>
      </c>
      <c r="D1643" t="str">
        <f>VLOOKUP(B1643,BaseTable,2,FALSE)</f>
        <v>Unter</v>
      </c>
      <c r="E1643">
        <f>YEAR(A1643)</f>
        <v>2015</v>
      </c>
    </row>
    <row r="1644" spans="1:5">
      <c r="A1644" s="32">
        <v>42126</v>
      </c>
      <c r="B1644" t="s">
        <v>1</v>
      </c>
      <c r="C1644">
        <v>9330</v>
      </c>
      <c r="D1644" t="str">
        <f>VLOOKUP(B1644,BaseTable,2,FALSE)</f>
        <v>Hinter</v>
      </c>
      <c r="E1644">
        <f>YEAR(A1644)</f>
        <v>2015</v>
      </c>
    </row>
    <row r="1645" spans="1:5">
      <c r="A1645" s="32">
        <v>42126</v>
      </c>
      <c r="B1645" t="s">
        <v>2</v>
      </c>
      <c r="C1645">
        <v>12734</v>
      </c>
      <c r="D1645" t="str">
        <f>VLOOKUP(B1645,BaseTable,2,FALSE)</f>
        <v>Weiter</v>
      </c>
      <c r="E1645">
        <f>YEAR(A1645)</f>
        <v>2015</v>
      </c>
    </row>
    <row r="1646" spans="1:5">
      <c r="A1646" s="32">
        <v>42126</v>
      </c>
      <c r="B1646" t="s">
        <v>3</v>
      </c>
      <c r="C1646">
        <v>30380</v>
      </c>
      <c r="D1646" t="str">
        <f>VLOOKUP(B1646,BaseTable,2,FALSE)</f>
        <v>Schmecken</v>
      </c>
      <c r="E1646">
        <f>YEAR(A1646)</f>
        <v>2015</v>
      </c>
    </row>
    <row r="1647" spans="1:5">
      <c r="A1647" s="32">
        <v>42126</v>
      </c>
      <c r="B1647" t="s">
        <v>4</v>
      </c>
      <c r="C1647">
        <v>40140</v>
      </c>
      <c r="D1647" t="str">
        <f>VLOOKUP(B1647,BaseTable,2,FALSE)</f>
        <v>Danach-NY</v>
      </c>
      <c r="E1647">
        <f>YEAR(A1647)</f>
        <v>2015</v>
      </c>
    </row>
    <row r="1648" spans="1:5">
      <c r="A1648" s="32">
        <v>42126</v>
      </c>
      <c r="B1648" t="s">
        <v>5</v>
      </c>
      <c r="C1648">
        <v>10620</v>
      </c>
      <c r="D1648" t="str">
        <f>VLOOKUP(B1648,BaseTable,2,FALSE)</f>
        <v>Grun</v>
      </c>
      <c r="E1648">
        <f>YEAR(A1648)</f>
        <v>2015</v>
      </c>
    </row>
    <row r="1649" spans="1:5">
      <c r="A1649" s="32">
        <v>42127</v>
      </c>
      <c r="B1649" t="s">
        <v>0</v>
      </c>
      <c r="C1649">
        <v>1352</v>
      </c>
      <c r="D1649" t="str">
        <f>VLOOKUP(B1649,BaseTable,2,FALSE)</f>
        <v>Unter</v>
      </c>
      <c r="E1649">
        <f>YEAR(A1649)</f>
        <v>2015</v>
      </c>
    </row>
    <row r="1650" spans="1:5">
      <c r="A1650" s="32">
        <v>42127</v>
      </c>
      <c r="B1650" t="s">
        <v>1</v>
      </c>
      <c r="C1650">
        <v>7431</v>
      </c>
      <c r="D1650" t="str">
        <f>VLOOKUP(B1650,BaseTable,2,FALSE)</f>
        <v>Hinter</v>
      </c>
      <c r="E1650">
        <f>YEAR(A1650)</f>
        <v>2015</v>
      </c>
    </row>
    <row r="1651" spans="1:5">
      <c r="A1651" s="32">
        <v>42127</v>
      </c>
      <c r="B1651" t="s">
        <v>2</v>
      </c>
      <c r="C1651">
        <v>9992</v>
      </c>
      <c r="D1651" t="str">
        <f>VLOOKUP(B1651,BaseTable,2,FALSE)</f>
        <v>Weiter</v>
      </c>
      <c r="E1651">
        <f>YEAR(A1651)</f>
        <v>2015</v>
      </c>
    </row>
    <row r="1652" spans="1:5">
      <c r="A1652" s="32">
        <v>42127</v>
      </c>
      <c r="B1652" t="s">
        <v>3</v>
      </c>
      <c r="C1652">
        <v>22803</v>
      </c>
      <c r="D1652" t="str">
        <f>VLOOKUP(B1652,BaseTable,2,FALSE)</f>
        <v>Schmecken</v>
      </c>
      <c r="E1652">
        <f>YEAR(A1652)</f>
        <v>2015</v>
      </c>
    </row>
    <row r="1653" spans="1:5">
      <c r="A1653" s="32">
        <v>42127</v>
      </c>
      <c r="B1653" t="s">
        <v>4</v>
      </c>
      <c r="C1653">
        <v>30941</v>
      </c>
      <c r="D1653" t="str">
        <f>VLOOKUP(B1653,BaseTable,2,FALSE)</f>
        <v>Danach-NY</v>
      </c>
      <c r="E1653">
        <f>YEAR(A1653)</f>
        <v>2015</v>
      </c>
    </row>
    <row r="1654" spans="1:5">
      <c r="A1654" s="32">
        <v>42127</v>
      </c>
      <c r="B1654" t="s">
        <v>5</v>
      </c>
      <c r="C1654">
        <v>7781</v>
      </c>
      <c r="D1654" t="str">
        <f>VLOOKUP(B1654,BaseTable,2,FALSE)</f>
        <v>Grun</v>
      </c>
      <c r="E1654">
        <f>YEAR(A1654)</f>
        <v>2015</v>
      </c>
    </row>
    <row r="1655" spans="1:5">
      <c r="A1655" s="32">
        <v>42128</v>
      </c>
      <c r="B1655" t="s">
        <v>0</v>
      </c>
      <c r="C1655">
        <v>1324</v>
      </c>
      <c r="D1655" t="str">
        <f>VLOOKUP(B1655,BaseTable,2,FALSE)</f>
        <v>Unter</v>
      </c>
      <c r="E1655">
        <f>YEAR(A1655)</f>
        <v>2015</v>
      </c>
    </row>
    <row r="1656" spans="1:5">
      <c r="A1656" s="32">
        <v>42128</v>
      </c>
      <c r="B1656" t="s">
        <v>1</v>
      </c>
      <c r="C1656">
        <v>6610</v>
      </c>
      <c r="D1656" t="str">
        <f>VLOOKUP(B1656,BaseTable,2,FALSE)</f>
        <v>Hinter</v>
      </c>
      <c r="E1656">
        <f>YEAR(A1656)</f>
        <v>2015</v>
      </c>
    </row>
    <row r="1657" spans="1:5">
      <c r="A1657" s="32">
        <v>42128</v>
      </c>
      <c r="B1657" t="s">
        <v>2</v>
      </c>
      <c r="C1657">
        <v>8370</v>
      </c>
      <c r="D1657" t="str">
        <f>VLOOKUP(B1657,BaseTable,2,FALSE)</f>
        <v>Weiter</v>
      </c>
      <c r="E1657">
        <f>YEAR(A1657)</f>
        <v>2015</v>
      </c>
    </row>
    <row r="1658" spans="1:5">
      <c r="A1658" s="32">
        <v>42128</v>
      </c>
      <c r="B1658" t="s">
        <v>3</v>
      </c>
      <c r="C1658">
        <v>18624</v>
      </c>
      <c r="D1658" t="str">
        <f>VLOOKUP(B1658,BaseTable,2,FALSE)</f>
        <v>Schmecken</v>
      </c>
      <c r="E1658">
        <f>YEAR(A1658)</f>
        <v>2015</v>
      </c>
    </row>
    <row r="1659" spans="1:5">
      <c r="A1659" s="32">
        <v>42128</v>
      </c>
      <c r="B1659" t="s">
        <v>4</v>
      </c>
      <c r="C1659">
        <v>24155</v>
      </c>
      <c r="D1659" t="str">
        <f>VLOOKUP(B1659,BaseTable,2,FALSE)</f>
        <v>Danach-NY</v>
      </c>
      <c r="E1659">
        <f>YEAR(A1659)</f>
        <v>2015</v>
      </c>
    </row>
    <row r="1660" spans="1:5">
      <c r="A1660" s="32">
        <v>42128</v>
      </c>
      <c r="B1660" t="s">
        <v>5</v>
      </c>
      <c r="C1660">
        <v>6364</v>
      </c>
      <c r="D1660" t="str">
        <f>VLOOKUP(B1660,BaseTable,2,FALSE)</f>
        <v>Grun</v>
      </c>
      <c r="E1660">
        <f>YEAR(A1660)</f>
        <v>2015</v>
      </c>
    </row>
    <row r="1661" spans="1:5">
      <c r="A1661" s="32">
        <v>42129</v>
      </c>
      <c r="B1661" t="s">
        <v>0</v>
      </c>
      <c r="C1661">
        <v>1458</v>
      </c>
      <c r="D1661" t="str">
        <f>VLOOKUP(B1661,BaseTable,2,FALSE)</f>
        <v>Unter</v>
      </c>
      <c r="E1661">
        <f>YEAR(A1661)</f>
        <v>2015</v>
      </c>
    </row>
    <row r="1662" spans="1:5">
      <c r="A1662" s="32">
        <v>42129</v>
      </c>
      <c r="B1662" t="s">
        <v>1</v>
      </c>
      <c r="C1662">
        <v>7581</v>
      </c>
      <c r="D1662" t="str">
        <f>VLOOKUP(B1662,BaseTable,2,FALSE)</f>
        <v>Hinter</v>
      </c>
      <c r="E1662">
        <f>YEAR(A1662)</f>
        <v>2015</v>
      </c>
    </row>
    <row r="1663" spans="1:5">
      <c r="A1663" s="32">
        <v>42129</v>
      </c>
      <c r="B1663" t="s">
        <v>2</v>
      </c>
      <c r="C1663">
        <v>10146</v>
      </c>
      <c r="D1663" t="str">
        <f>VLOOKUP(B1663,BaseTable,2,FALSE)</f>
        <v>Weiter</v>
      </c>
      <c r="E1663">
        <f>YEAR(A1663)</f>
        <v>2015</v>
      </c>
    </row>
    <row r="1664" spans="1:5">
      <c r="A1664" s="32">
        <v>42129</v>
      </c>
      <c r="B1664" t="s">
        <v>3</v>
      </c>
      <c r="C1664">
        <v>21527</v>
      </c>
      <c r="D1664" t="str">
        <f>VLOOKUP(B1664,BaseTable,2,FALSE)</f>
        <v>Schmecken</v>
      </c>
      <c r="E1664">
        <f>YEAR(A1664)</f>
        <v>2015</v>
      </c>
    </row>
    <row r="1665" spans="1:5">
      <c r="A1665" s="32">
        <v>42129</v>
      </c>
      <c r="B1665" t="s">
        <v>4</v>
      </c>
      <c r="C1665">
        <v>27934</v>
      </c>
      <c r="D1665" t="str">
        <f>VLOOKUP(B1665,BaseTable,2,FALSE)</f>
        <v>Danach-NY</v>
      </c>
      <c r="E1665">
        <f>YEAR(A1665)</f>
        <v>2015</v>
      </c>
    </row>
    <row r="1666" spans="1:5">
      <c r="A1666" s="32">
        <v>42129</v>
      </c>
      <c r="B1666" t="s">
        <v>5</v>
      </c>
      <c r="C1666">
        <v>7549</v>
      </c>
      <c r="D1666" t="str">
        <f>VLOOKUP(B1666,BaseTable,2,FALSE)</f>
        <v>Grun</v>
      </c>
      <c r="E1666">
        <f>YEAR(A1666)</f>
        <v>2015</v>
      </c>
    </row>
    <row r="1667" spans="1:5">
      <c r="A1667" s="32">
        <v>42130</v>
      </c>
      <c r="B1667" t="s">
        <v>0</v>
      </c>
      <c r="C1667">
        <v>1568</v>
      </c>
      <c r="D1667" t="str">
        <f>VLOOKUP(B1667,BaseTable,2,FALSE)</f>
        <v>Unter</v>
      </c>
      <c r="E1667">
        <f>YEAR(A1667)</f>
        <v>2015</v>
      </c>
    </row>
    <row r="1668" spans="1:5">
      <c r="A1668" s="32">
        <v>42130</v>
      </c>
      <c r="B1668" t="s">
        <v>1</v>
      </c>
      <c r="C1668">
        <v>8095</v>
      </c>
      <c r="D1668" t="str">
        <f>VLOOKUP(B1668,BaseTable,2,FALSE)</f>
        <v>Hinter</v>
      </c>
      <c r="E1668">
        <f>YEAR(A1668)</f>
        <v>2015</v>
      </c>
    </row>
    <row r="1669" spans="1:5">
      <c r="A1669" s="32">
        <v>42130</v>
      </c>
      <c r="B1669" t="s">
        <v>2</v>
      </c>
      <c r="C1669">
        <v>10768</v>
      </c>
      <c r="D1669" t="str">
        <f>VLOOKUP(B1669,BaseTable,2,FALSE)</f>
        <v>Weiter</v>
      </c>
      <c r="E1669">
        <f>YEAR(A1669)</f>
        <v>2015</v>
      </c>
    </row>
    <row r="1670" spans="1:5">
      <c r="A1670" s="32">
        <v>42130</v>
      </c>
      <c r="B1670" t="s">
        <v>3</v>
      </c>
      <c r="C1670">
        <v>23270</v>
      </c>
      <c r="D1670" t="str">
        <f>VLOOKUP(B1670,BaseTable,2,FALSE)</f>
        <v>Schmecken</v>
      </c>
      <c r="E1670">
        <f>YEAR(A1670)</f>
        <v>2015</v>
      </c>
    </row>
    <row r="1671" spans="1:5">
      <c r="A1671" s="32">
        <v>42130</v>
      </c>
      <c r="B1671" t="s">
        <v>4</v>
      </c>
      <c r="C1671">
        <v>29134</v>
      </c>
      <c r="D1671" t="str">
        <f>VLOOKUP(B1671,BaseTable,2,FALSE)</f>
        <v>Danach-NY</v>
      </c>
      <c r="E1671">
        <f>YEAR(A1671)</f>
        <v>2015</v>
      </c>
    </row>
    <row r="1672" spans="1:5">
      <c r="A1672" s="32">
        <v>42130</v>
      </c>
      <c r="B1672" t="s">
        <v>5</v>
      </c>
      <c r="C1672">
        <v>7612</v>
      </c>
      <c r="D1672" t="str">
        <f>VLOOKUP(B1672,BaseTable,2,FALSE)</f>
        <v>Grun</v>
      </c>
      <c r="E1672">
        <f>YEAR(A1672)</f>
        <v>2015</v>
      </c>
    </row>
    <row r="1673" spans="1:5">
      <c r="A1673" s="32">
        <v>42131</v>
      </c>
      <c r="B1673" t="s">
        <v>0</v>
      </c>
      <c r="C1673">
        <v>1693</v>
      </c>
      <c r="D1673" t="str">
        <f>VLOOKUP(B1673,BaseTable,2,FALSE)</f>
        <v>Unter</v>
      </c>
      <c r="E1673">
        <f>YEAR(A1673)</f>
        <v>2015</v>
      </c>
    </row>
    <row r="1674" spans="1:5">
      <c r="A1674" s="32">
        <v>42131</v>
      </c>
      <c r="B1674" t="s">
        <v>1</v>
      </c>
      <c r="C1674">
        <v>8736</v>
      </c>
      <c r="D1674" t="str">
        <f>VLOOKUP(B1674,BaseTable,2,FALSE)</f>
        <v>Hinter</v>
      </c>
      <c r="E1674">
        <f>YEAR(A1674)</f>
        <v>2015</v>
      </c>
    </row>
    <row r="1675" spans="1:5">
      <c r="A1675" s="32">
        <v>42131</v>
      </c>
      <c r="B1675" t="s">
        <v>2</v>
      </c>
      <c r="C1675">
        <v>11611</v>
      </c>
      <c r="D1675" t="str">
        <f>VLOOKUP(B1675,BaseTable,2,FALSE)</f>
        <v>Weiter</v>
      </c>
      <c r="E1675">
        <f>YEAR(A1675)</f>
        <v>2015</v>
      </c>
    </row>
    <row r="1676" spans="1:5">
      <c r="A1676" s="32">
        <v>42131</v>
      </c>
      <c r="B1676" t="s">
        <v>3</v>
      </c>
      <c r="C1676">
        <v>25745</v>
      </c>
      <c r="D1676" t="str">
        <f>VLOOKUP(B1676,BaseTable,2,FALSE)</f>
        <v>Schmecken</v>
      </c>
      <c r="E1676">
        <f>YEAR(A1676)</f>
        <v>2015</v>
      </c>
    </row>
    <row r="1677" spans="1:5">
      <c r="A1677" s="32">
        <v>42131</v>
      </c>
      <c r="B1677" t="s">
        <v>4</v>
      </c>
      <c r="C1677">
        <v>31437</v>
      </c>
      <c r="D1677" t="str">
        <f>VLOOKUP(B1677,BaseTable,2,FALSE)</f>
        <v>Danach-NY</v>
      </c>
      <c r="E1677">
        <f>YEAR(A1677)</f>
        <v>2015</v>
      </c>
    </row>
    <row r="1678" spans="1:5">
      <c r="A1678" s="32">
        <v>42131</v>
      </c>
      <c r="B1678" t="s">
        <v>5</v>
      </c>
      <c r="C1678">
        <v>8139</v>
      </c>
      <c r="D1678" t="str">
        <f>VLOOKUP(B1678,BaseTable,2,FALSE)</f>
        <v>Grun</v>
      </c>
      <c r="E1678">
        <f>YEAR(A1678)</f>
        <v>2015</v>
      </c>
    </row>
    <row r="1679" spans="1:5">
      <c r="A1679" s="32">
        <v>42132</v>
      </c>
      <c r="B1679" t="s">
        <v>0</v>
      </c>
      <c r="C1679">
        <v>1679</v>
      </c>
      <c r="D1679" t="str">
        <f>VLOOKUP(B1679,BaseTable,2,FALSE)</f>
        <v>Unter</v>
      </c>
      <c r="E1679">
        <f>YEAR(A1679)</f>
        <v>2015</v>
      </c>
    </row>
    <row r="1680" spans="1:5">
      <c r="A1680" s="32">
        <v>42132</v>
      </c>
      <c r="B1680" t="s">
        <v>1</v>
      </c>
      <c r="C1680">
        <v>8751</v>
      </c>
      <c r="D1680" t="str">
        <f>VLOOKUP(B1680,BaseTable,2,FALSE)</f>
        <v>Hinter</v>
      </c>
      <c r="E1680">
        <f>YEAR(A1680)</f>
        <v>2015</v>
      </c>
    </row>
    <row r="1681" spans="1:5">
      <c r="A1681" s="32">
        <v>42132</v>
      </c>
      <c r="B1681" t="s">
        <v>2</v>
      </c>
      <c r="C1681">
        <v>11703</v>
      </c>
      <c r="D1681" t="str">
        <f>VLOOKUP(B1681,BaseTable,2,FALSE)</f>
        <v>Weiter</v>
      </c>
      <c r="E1681">
        <f>YEAR(A1681)</f>
        <v>2015</v>
      </c>
    </row>
    <row r="1682" spans="1:5">
      <c r="A1682" s="32">
        <v>42132</v>
      </c>
      <c r="B1682" t="s">
        <v>3</v>
      </c>
      <c r="C1682">
        <v>26542</v>
      </c>
      <c r="D1682" t="str">
        <f>VLOOKUP(B1682,BaseTable,2,FALSE)</f>
        <v>Schmecken</v>
      </c>
      <c r="E1682">
        <f>YEAR(A1682)</f>
        <v>2015</v>
      </c>
    </row>
    <row r="1683" spans="1:5">
      <c r="A1683" s="32">
        <v>42132</v>
      </c>
      <c r="B1683" t="s">
        <v>4</v>
      </c>
      <c r="C1683">
        <v>32980</v>
      </c>
      <c r="D1683" t="str">
        <f>VLOOKUP(B1683,BaseTable,2,FALSE)</f>
        <v>Danach-NY</v>
      </c>
      <c r="E1683">
        <f>YEAR(A1683)</f>
        <v>2015</v>
      </c>
    </row>
    <row r="1684" spans="1:5">
      <c r="A1684" s="32">
        <v>42132</v>
      </c>
      <c r="B1684" t="s">
        <v>5</v>
      </c>
      <c r="C1684">
        <v>9078</v>
      </c>
      <c r="D1684" t="str">
        <f>VLOOKUP(B1684,BaseTable,2,FALSE)</f>
        <v>Grun</v>
      </c>
      <c r="E1684">
        <f>YEAR(A1684)</f>
        <v>2015</v>
      </c>
    </row>
    <row r="1685" spans="1:5">
      <c r="A1685" s="32">
        <v>42133</v>
      </c>
      <c r="B1685" t="s">
        <v>0</v>
      </c>
      <c r="C1685">
        <v>1432</v>
      </c>
      <c r="D1685" t="str">
        <f>VLOOKUP(B1685,BaseTable,2,FALSE)</f>
        <v>Unter</v>
      </c>
      <c r="E1685">
        <f>YEAR(A1685)</f>
        <v>2015</v>
      </c>
    </row>
    <row r="1686" spans="1:5">
      <c r="A1686" s="32">
        <v>42133</v>
      </c>
      <c r="B1686" t="s">
        <v>1</v>
      </c>
      <c r="C1686">
        <v>9014</v>
      </c>
      <c r="D1686" t="str">
        <f>VLOOKUP(B1686,BaseTable,2,FALSE)</f>
        <v>Hinter</v>
      </c>
      <c r="E1686">
        <f>YEAR(A1686)</f>
        <v>2015</v>
      </c>
    </row>
    <row r="1687" spans="1:5">
      <c r="A1687" s="32">
        <v>42133</v>
      </c>
      <c r="B1687" t="s">
        <v>2</v>
      </c>
      <c r="C1687">
        <v>11786</v>
      </c>
      <c r="D1687" t="str">
        <f>VLOOKUP(B1687,BaseTable,2,FALSE)</f>
        <v>Weiter</v>
      </c>
      <c r="E1687">
        <f>YEAR(A1687)</f>
        <v>2015</v>
      </c>
    </row>
    <row r="1688" spans="1:5">
      <c r="A1688" s="32">
        <v>42133</v>
      </c>
      <c r="B1688" t="s">
        <v>3</v>
      </c>
      <c r="C1688">
        <v>30128</v>
      </c>
      <c r="D1688" t="str">
        <f>VLOOKUP(B1688,BaseTable,2,FALSE)</f>
        <v>Schmecken</v>
      </c>
      <c r="E1688">
        <f>YEAR(A1688)</f>
        <v>2015</v>
      </c>
    </row>
    <row r="1689" spans="1:5">
      <c r="A1689" s="32">
        <v>42133</v>
      </c>
      <c r="B1689" t="s">
        <v>4</v>
      </c>
      <c r="C1689">
        <v>36157</v>
      </c>
      <c r="D1689" t="str">
        <f>VLOOKUP(B1689,BaseTable,2,FALSE)</f>
        <v>Danach-NY</v>
      </c>
      <c r="E1689">
        <f>YEAR(A1689)</f>
        <v>2015</v>
      </c>
    </row>
    <row r="1690" spans="1:5">
      <c r="A1690" s="32">
        <v>42133</v>
      </c>
      <c r="B1690" t="s">
        <v>5</v>
      </c>
      <c r="C1690">
        <v>9842</v>
      </c>
      <c r="D1690" t="str">
        <f>VLOOKUP(B1690,BaseTable,2,FALSE)</f>
        <v>Grun</v>
      </c>
      <c r="E1690">
        <f>YEAR(A1690)</f>
        <v>2015</v>
      </c>
    </row>
    <row r="1691" spans="1:5">
      <c r="A1691" s="32">
        <v>42134</v>
      </c>
      <c r="B1691" t="s">
        <v>0</v>
      </c>
      <c r="C1691">
        <v>1110</v>
      </c>
      <c r="D1691" t="str">
        <f>VLOOKUP(B1691,BaseTable,2,FALSE)</f>
        <v>Unter</v>
      </c>
      <c r="E1691">
        <f>YEAR(A1691)</f>
        <v>2015</v>
      </c>
    </row>
    <row r="1692" spans="1:5">
      <c r="A1692" s="32">
        <v>42134</v>
      </c>
      <c r="B1692" t="s">
        <v>1</v>
      </c>
      <c r="C1692">
        <v>7504</v>
      </c>
      <c r="D1692" t="str">
        <f>VLOOKUP(B1692,BaseTable,2,FALSE)</f>
        <v>Hinter</v>
      </c>
      <c r="E1692">
        <f>YEAR(A1692)</f>
        <v>2015</v>
      </c>
    </row>
    <row r="1693" spans="1:5">
      <c r="A1693" s="32">
        <v>42134</v>
      </c>
      <c r="B1693" t="s">
        <v>2</v>
      </c>
      <c r="C1693">
        <v>9876</v>
      </c>
      <c r="D1693" t="str">
        <f>VLOOKUP(B1693,BaseTable,2,FALSE)</f>
        <v>Weiter</v>
      </c>
      <c r="E1693">
        <f>YEAR(A1693)</f>
        <v>2015</v>
      </c>
    </row>
    <row r="1694" spans="1:5">
      <c r="A1694" s="32">
        <v>42134</v>
      </c>
      <c r="B1694" t="s">
        <v>3</v>
      </c>
      <c r="C1694">
        <v>24208</v>
      </c>
      <c r="D1694" t="str">
        <f>VLOOKUP(B1694,BaseTable,2,FALSE)</f>
        <v>Schmecken</v>
      </c>
      <c r="E1694">
        <f>YEAR(A1694)</f>
        <v>2015</v>
      </c>
    </row>
    <row r="1695" spans="1:5">
      <c r="A1695" s="32">
        <v>42134</v>
      </c>
      <c r="B1695" t="s">
        <v>4</v>
      </c>
      <c r="C1695">
        <v>29612</v>
      </c>
      <c r="D1695" t="str">
        <f>VLOOKUP(B1695,BaseTable,2,FALSE)</f>
        <v>Danach-NY</v>
      </c>
      <c r="E1695">
        <f>YEAR(A1695)</f>
        <v>2015</v>
      </c>
    </row>
    <row r="1696" spans="1:5">
      <c r="A1696" s="32">
        <v>42134</v>
      </c>
      <c r="B1696" t="s">
        <v>5</v>
      </c>
      <c r="C1696">
        <v>7836</v>
      </c>
      <c r="D1696" t="str">
        <f>VLOOKUP(B1696,BaseTable,2,FALSE)</f>
        <v>Grun</v>
      </c>
      <c r="E1696">
        <f>YEAR(A1696)</f>
        <v>2015</v>
      </c>
    </row>
    <row r="1697" spans="1:5">
      <c r="A1697" s="32">
        <v>42135</v>
      </c>
      <c r="B1697" t="s">
        <v>0</v>
      </c>
      <c r="C1697">
        <v>1370</v>
      </c>
      <c r="D1697" t="str">
        <f>VLOOKUP(B1697,BaseTable,2,FALSE)</f>
        <v>Unter</v>
      </c>
      <c r="E1697">
        <f>YEAR(A1697)</f>
        <v>2015</v>
      </c>
    </row>
    <row r="1698" spans="1:5">
      <c r="A1698" s="32">
        <v>42135</v>
      </c>
      <c r="B1698" t="s">
        <v>1</v>
      </c>
      <c r="C1698">
        <v>7245</v>
      </c>
      <c r="D1698" t="str">
        <f>VLOOKUP(B1698,BaseTable,2,FALSE)</f>
        <v>Hinter</v>
      </c>
      <c r="E1698">
        <f>YEAR(A1698)</f>
        <v>2015</v>
      </c>
    </row>
    <row r="1699" spans="1:5">
      <c r="A1699" s="32">
        <v>42135</v>
      </c>
      <c r="B1699" t="s">
        <v>2</v>
      </c>
      <c r="C1699">
        <v>8845</v>
      </c>
      <c r="D1699" t="str">
        <f>VLOOKUP(B1699,BaseTable,2,FALSE)</f>
        <v>Weiter</v>
      </c>
      <c r="E1699">
        <f>YEAR(A1699)</f>
        <v>2015</v>
      </c>
    </row>
    <row r="1700" spans="1:5">
      <c r="A1700" s="32">
        <v>42135</v>
      </c>
      <c r="B1700" t="s">
        <v>3</v>
      </c>
      <c r="C1700">
        <v>21045</v>
      </c>
      <c r="D1700" t="str">
        <f>VLOOKUP(B1700,BaseTable,2,FALSE)</f>
        <v>Schmecken</v>
      </c>
      <c r="E1700">
        <f>YEAR(A1700)</f>
        <v>2015</v>
      </c>
    </row>
    <row r="1701" spans="1:5">
      <c r="A1701" s="32">
        <v>42135</v>
      </c>
      <c r="B1701" t="s">
        <v>4</v>
      </c>
      <c r="C1701">
        <v>25004</v>
      </c>
      <c r="D1701" t="str">
        <f>VLOOKUP(B1701,BaseTable,2,FALSE)</f>
        <v>Danach-NY</v>
      </c>
      <c r="E1701">
        <f>YEAR(A1701)</f>
        <v>2015</v>
      </c>
    </row>
    <row r="1702" spans="1:5">
      <c r="A1702" s="32">
        <v>42135</v>
      </c>
      <c r="B1702" t="s">
        <v>5</v>
      </c>
      <c r="C1702">
        <v>6801</v>
      </c>
      <c r="D1702" t="str">
        <f>VLOOKUP(B1702,BaseTable,2,FALSE)</f>
        <v>Grun</v>
      </c>
      <c r="E1702">
        <f>YEAR(A1702)</f>
        <v>2015</v>
      </c>
    </row>
    <row r="1703" spans="1:5">
      <c r="A1703" s="32">
        <v>42136</v>
      </c>
      <c r="B1703" t="s">
        <v>0</v>
      </c>
      <c r="C1703">
        <v>1463</v>
      </c>
      <c r="D1703" t="str">
        <f>VLOOKUP(B1703,BaseTable,2,FALSE)</f>
        <v>Unter</v>
      </c>
      <c r="E1703">
        <f>YEAR(A1703)</f>
        <v>2015</v>
      </c>
    </row>
    <row r="1704" spans="1:5">
      <c r="A1704" s="32">
        <v>42136</v>
      </c>
      <c r="B1704" t="s">
        <v>1</v>
      </c>
      <c r="C1704">
        <v>7926</v>
      </c>
      <c r="D1704" t="str">
        <f>VLOOKUP(B1704,BaseTable,2,FALSE)</f>
        <v>Hinter</v>
      </c>
      <c r="E1704">
        <f>YEAR(A1704)</f>
        <v>2015</v>
      </c>
    </row>
    <row r="1705" spans="1:5">
      <c r="A1705" s="32">
        <v>42136</v>
      </c>
      <c r="B1705" t="s">
        <v>2</v>
      </c>
      <c r="C1705">
        <v>9866</v>
      </c>
      <c r="D1705" t="str">
        <f>VLOOKUP(B1705,BaseTable,2,FALSE)</f>
        <v>Weiter</v>
      </c>
      <c r="E1705">
        <f>YEAR(A1705)</f>
        <v>2015</v>
      </c>
    </row>
    <row r="1706" spans="1:5">
      <c r="A1706" s="32">
        <v>42136</v>
      </c>
      <c r="B1706" t="s">
        <v>3</v>
      </c>
      <c r="C1706">
        <v>23548</v>
      </c>
      <c r="D1706" t="str">
        <f>VLOOKUP(B1706,BaseTable,2,FALSE)</f>
        <v>Schmecken</v>
      </c>
      <c r="E1706">
        <f>YEAR(A1706)</f>
        <v>2015</v>
      </c>
    </row>
    <row r="1707" spans="1:5">
      <c r="A1707" s="32">
        <v>42136</v>
      </c>
      <c r="B1707" t="s">
        <v>4</v>
      </c>
      <c r="C1707">
        <v>28203</v>
      </c>
      <c r="D1707" t="str">
        <f>VLOOKUP(B1707,BaseTable,2,FALSE)</f>
        <v>Danach-NY</v>
      </c>
      <c r="E1707">
        <f>YEAR(A1707)</f>
        <v>2015</v>
      </c>
    </row>
    <row r="1708" spans="1:5">
      <c r="A1708" s="32">
        <v>42136</v>
      </c>
      <c r="B1708" t="s">
        <v>5</v>
      </c>
      <c r="C1708">
        <v>7431</v>
      </c>
      <c r="D1708" t="str">
        <f>VLOOKUP(B1708,BaseTable,2,FALSE)</f>
        <v>Grun</v>
      </c>
      <c r="E1708">
        <f>YEAR(A1708)</f>
        <v>2015</v>
      </c>
    </row>
    <row r="1709" spans="1:5">
      <c r="A1709" s="32">
        <v>42137</v>
      </c>
      <c r="B1709" t="s">
        <v>0</v>
      </c>
      <c r="C1709">
        <v>1625</v>
      </c>
      <c r="D1709" t="str">
        <f>VLOOKUP(B1709,BaseTable,2,FALSE)</f>
        <v>Unter</v>
      </c>
      <c r="E1709">
        <f>YEAR(A1709)</f>
        <v>2015</v>
      </c>
    </row>
    <row r="1710" spans="1:5">
      <c r="A1710" s="32">
        <v>42137</v>
      </c>
      <c r="B1710" t="s">
        <v>1</v>
      </c>
      <c r="C1710">
        <v>8575</v>
      </c>
      <c r="D1710" t="str">
        <f>VLOOKUP(B1710,BaseTable,2,FALSE)</f>
        <v>Hinter</v>
      </c>
      <c r="E1710">
        <f>YEAR(A1710)</f>
        <v>2015</v>
      </c>
    </row>
    <row r="1711" spans="1:5">
      <c r="A1711" s="32">
        <v>42137</v>
      </c>
      <c r="B1711" t="s">
        <v>2</v>
      </c>
      <c r="C1711">
        <v>11231</v>
      </c>
      <c r="D1711" t="str">
        <f>VLOOKUP(B1711,BaseTable,2,FALSE)</f>
        <v>Weiter</v>
      </c>
      <c r="E1711">
        <f>YEAR(A1711)</f>
        <v>2015</v>
      </c>
    </row>
    <row r="1712" spans="1:5">
      <c r="A1712" s="32">
        <v>42137</v>
      </c>
      <c r="B1712" t="s">
        <v>3</v>
      </c>
      <c r="C1712">
        <v>25426</v>
      </c>
      <c r="D1712" t="str">
        <f>VLOOKUP(B1712,BaseTable,2,FALSE)</f>
        <v>Schmecken</v>
      </c>
      <c r="E1712">
        <f>YEAR(A1712)</f>
        <v>2015</v>
      </c>
    </row>
    <row r="1713" spans="1:5">
      <c r="A1713" s="32">
        <v>42137</v>
      </c>
      <c r="B1713" t="s">
        <v>4</v>
      </c>
      <c r="C1713">
        <v>30024</v>
      </c>
      <c r="D1713" t="str">
        <f>VLOOKUP(B1713,BaseTable,2,FALSE)</f>
        <v>Danach-NY</v>
      </c>
      <c r="E1713">
        <f>YEAR(A1713)</f>
        <v>2015</v>
      </c>
    </row>
    <row r="1714" spans="1:5">
      <c r="A1714" s="32">
        <v>42137</v>
      </c>
      <c r="B1714" t="s">
        <v>5</v>
      </c>
      <c r="C1714">
        <v>8056</v>
      </c>
      <c r="D1714" t="str">
        <f>VLOOKUP(B1714,BaseTable,2,FALSE)</f>
        <v>Grun</v>
      </c>
      <c r="E1714">
        <f>YEAR(A1714)</f>
        <v>2015</v>
      </c>
    </row>
    <row r="1715" spans="1:5">
      <c r="A1715" s="32">
        <v>42138</v>
      </c>
      <c r="B1715" t="s">
        <v>0</v>
      </c>
      <c r="C1715">
        <v>1659</v>
      </c>
      <c r="D1715" t="str">
        <f>VLOOKUP(B1715,BaseTable,2,FALSE)</f>
        <v>Unter</v>
      </c>
      <c r="E1715">
        <f>YEAR(A1715)</f>
        <v>2015</v>
      </c>
    </row>
    <row r="1716" spans="1:5">
      <c r="A1716" s="32">
        <v>42138</v>
      </c>
      <c r="B1716" t="s">
        <v>1</v>
      </c>
      <c r="C1716">
        <v>9696</v>
      </c>
      <c r="D1716" t="str">
        <f>VLOOKUP(B1716,BaseTable,2,FALSE)</f>
        <v>Hinter</v>
      </c>
      <c r="E1716">
        <f>YEAR(A1716)</f>
        <v>2015</v>
      </c>
    </row>
    <row r="1717" spans="1:5">
      <c r="A1717" s="32">
        <v>42138</v>
      </c>
      <c r="B1717" t="s">
        <v>2</v>
      </c>
      <c r="C1717">
        <v>11902</v>
      </c>
      <c r="D1717" t="str">
        <f>VLOOKUP(B1717,BaseTable,2,FALSE)</f>
        <v>Weiter</v>
      </c>
      <c r="E1717">
        <f>YEAR(A1717)</f>
        <v>2015</v>
      </c>
    </row>
    <row r="1718" spans="1:5">
      <c r="A1718" s="32">
        <v>42138</v>
      </c>
      <c r="B1718" t="s">
        <v>3</v>
      </c>
      <c r="C1718">
        <v>28502</v>
      </c>
      <c r="D1718" t="str">
        <f>VLOOKUP(B1718,BaseTable,2,FALSE)</f>
        <v>Schmecken</v>
      </c>
      <c r="E1718">
        <f>YEAR(A1718)</f>
        <v>2015</v>
      </c>
    </row>
    <row r="1719" spans="1:5">
      <c r="A1719" s="32">
        <v>42138</v>
      </c>
      <c r="B1719" t="s">
        <v>4</v>
      </c>
      <c r="C1719">
        <v>33373</v>
      </c>
      <c r="D1719" t="str">
        <f>VLOOKUP(B1719,BaseTable,2,FALSE)</f>
        <v>Danach-NY</v>
      </c>
      <c r="E1719">
        <f>YEAR(A1719)</f>
        <v>2015</v>
      </c>
    </row>
    <row r="1720" spans="1:5">
      <c r="A1720" s="32">
        <v>42138</v>
      </c>
      <c r="B1720" t="s">
        <v>5</v>
      </c>
      <c r="C1720">
        <v>8492</v>
      </c>
      <c r="D1720" t="str">
        <f>VLOOKUP(B1720,BaseTable,2,FALSE)</f>
        <v>Grun</v>
      </c>
      <c r="E1720">
        <f>YEAR(A1720)</f>
        <v>2015</v>
      </c>
    </row>
    <row r="1721" spans="1:5">
      <c r="A1721" s="32">
        <v>42139</v>
      </c>
      <c r="B1721" t="s">
        <v>0</v>
      </c>
      <c r="C1721">
        <v>1680</v>
      </c>
      <c r="D1721" t="str">
        <f>VLOOKUP(B1721,BaseTable,2,FALSE)</f>
        <v>Unter</v>
      </c>
      <c r="E1721">
        <f>YEAR(A1721)</f>
        <v>2015</v>
      </c>
    </row>
    <row r="1722" spans="1:5">
      <c r="A1722" s="32">
        <v>42139</v>
      </c>
      <c r="B1722" t="s">
        <v>1</v>
      </c>
      <c r="C1722">
        <v>9603</v>
      </c>
      <c r="D1722" t="str">
        <f>VLOOKUP(B1722,BaseTable,2,FALSE)</f>
        <v>Hinter</v>
      </c>
      <c r="E1722">
        <f>YEAR(A1722)</f>
        <v>2015</v>
      </c>
    </row>
    <row r="1723" spans="1:5">
      <c r="A1723" s="32">
        <v>42139</v>
      </c>
      <c r="B1723" t="s">
        <v>2</v>
      </c>
      <c r="C1723">
        <v>12372</v>
      </c>
      <c r="D1723" t="str">
        <f>VLOOKUP(B1723,BaseTable,2,FALSE)</f>
        <v>Weiter</v>
      </c>
      <c r="E1723">
        <f>YEAR(A1723)</f>
        <v>2015</v>
      </c>
    </row>
    <row r="1724" spans="1:5">
      <c r="A1724" s="32">
        <v>42139</v>
      </c>
      <c r="B1724" t="s">
        <v>3</v>
      </c>
      <c r="C1724">
        <v>30978</v>
      </c>
      <c r="D1724" t="str">
        <f>VLOOKUP(B1724,BaseTable,2,FALSE)</f>
        <v>Schmecken</v>
      </c>
      <c r="E1724">
        <f>YEAR(A1724)</f>
        <v>2015</v>
      </c>
    </row>
    <row r="1725" spans="1:5">
      <c r="A1725" s="32">
        <v>42139</v>
      </c>
      <c r="B1725" t="s">
        <v>4</v>
      </c>
      <c r="C1725">
        <v>35824</v>
      </c>
      <c r="D1725" t="str">
        <f>VLOOKUP(B1725,BaseTable,2,FALSE)</f>
        <v>Danach-NY</v>
      </c>
      <c r="E1725">
        <f>YEAR(A1725)</f>
        <v>2015</v>
      </c>
    </row>
    <row r="1726" spans="1:5">
      <c r="A1726" s="32">
        <v>42139</v>
      </c>
      <c r="B1726" t="s">
        <v>5</v>
      </c>
      <c r="C1726">
        <v>9299</v>
      </c>
      <c r="D1726" t="str">
        <f>VLOOKUP(B1726,BaseTable,2,FALSE)</f>
        <v>Grun</v>
      </c>
      <c r="E1726">
        <f>YEAR(A1726)</f>
        <v>2015</v>
      </c>
    </row>
    <row r="1727" spans="1:5">
      <c r="A1727" s="32">
        <v>42140</v>
      </c>
      <c r="B1727" t="s">
        <v>0</v>
      </c>
      <c r="C1727">
        <v>1758</v>
      </c>
      <c r="D1727" t="str">
        <f>VLOOKUP(B1727,BaseTable,2,FALSE)</f>
        <v>Unter</v>
      </c>
      <c r="E1727">
        <f>YEAR(A1727)</f>
        <v>2015</v>
      </c>
    </row>
    <row r="1728" spans="1:5">
      <c r="A1728" s="32">
        <v>42140</v>
      </c>
      <c r="B1728" t="s">
        <v>1</v>
      </c>
      <c r="C1728">
        <v>11125</v>
      </c>
      <c r="D1728" t="str">
        <f>VLOOKUP(B1728,BaseTable,2,FALSE)</f>
        <v>Hinter</v>
      </c>
      <c r="E1728">
        <f>YEAR(A1728)</f>
        <v>2015</v>
      </c>
    </row>
    <row r="1729" spans="1:5">
      <c r="A1729" s="32">
        <v>42140</v>
      </c>
      <c r="B1729" t="s">
        <v>2</v>
      </c>
      <c r="C1729">
        <v>14281</v>
      </c>
      <c r="D1729" t="str">
        <f>VLOOKUP(B1729,BaseTable,2,FALSE)</f>
        <v>Weiter</v>
      </c>
      <c r="E1729">
        <f>YEAR(A1729)</f>
        <v>2015</v>
      </c>
    </row>
    <row r="1730" spans="1:5">
      <c r="A1730" s="32">
        <v>42140</v>
      </c>
      <c r="B1730" t="s">
        <v>3</v>
      </c>
      <c r="C1730">
        <v>38170</v>
      </c>
      <c r="D1730" t="str">
        <f>VLOOKUP(B1730,BaseTable,2,FALSE)</f>
        <v>Schmecken</v>
      </c>
      <c r="E1730">
        <f>YEAR(A1730)</f>
        <v>2015</v>
      </c>
    </row>
    <row r="1731" spans="1:5">
      <c r="A1731" s="32">
        <v>42140</v>
      </c>
      <c r="B1731" t="s">
        <v>4</v>
      </c>
      <c r="C1731">
        <v>44338</v>
      </c>
      <c r="D1731" t="str">
        <f>VLOOKUP(B1731,BaseTable,2,FALSE)</f>
        <v>Danach-NY</v>
      </c>
      <c r="E1731">
        <f>YEAR(A1731)</f>
        <v>2015</v>
      </c>
    </row>
    <row r="1732" spans="1:5">
      <c r="A1732" s="32">
        <v>42140</v>
      </c>
      <c r="B1732" t="s">
        <v>5</v>
      </c>
      <c r="C1732">
        <v>11885</v>
      </c>
      <c r="D1732" t="str">
        <f>VLOOKUP(B1732,BaseTable,2,FALSE)</f>
        <v>Grun</v>
      </c>
      <c r="E1732">
        <f>YEAR(A1732)</f>
        <v>2015</v>
      </c>
    </row>
    <row r="1733" spans="1:5">
      <c r="A1733" s="32">
        <v>42141</v>
      </c>
      <c r="B1733" t="s">
        <v>0</v>
      </c>
      <c r="C1733">
        <v>1449</v>
      </c>
      <c r="D1733" t="str">
        <f>VLOOKUP(B1733,BaseTable,2,FALSE)</f>
        <v>Unter</v>
      </c>
      <c r="E1733">
        <f>YEAR(A1733)</f>
        <v>2015</v>
      </c>
    </row>
    <row r="1734" spans="1:5">
      <c r="A1734" s="32">
        <v>42141</v>
      </c>
      <c r="B1734" t="s">
        <v>1</v>
      </c>
      <c r="C1734">
        <v>8341</v>
      </c>
      <c r="D1734" t="str">
        <f>VLOOKUP(B1734,BaseTable,2,FALSE)</f>
        <v>Hinter</v>
      </c>
      <c r="E1734">
        <f>YEAR(A1734)</f>
        <v>2015</v>
      </c>
    </row>
    <row r="1735" spans="1:5">
      <c r="A1735" s="32">
        <v>42141</v>
      </c>
      <c r="B1735" t="s">
        <v>2</v>
      </c>
      <c r="C1735">
        <v>11185</v>
      </c>
      <c r="D1735" t="str">
        <f>VLOOKUP(B1735,BaseTable,2,FALSE)</f>
        <v>Weiter</v>
      </c>
      <c r="E1735">
        <f>YEAR(A1735)</f>
        <v>2015</v>
      </c>
    </row>
    <row r="1736" spans="1:5">
      <c r="A1736" s="32">
        <v>42141</v>
      </c>
      <c r="B1736" t="s">
        <v>3</v>
      </c>
      <c r="C1736">
        <v>29798</v>
      </c>
      <c r="D1736" t="str">
        <f>VLOOKUP(B1736,BaseTable,2,FALSE)</f>
        <v>Schmecken</v>
      </c>
      <c r="E1736">
        <f>YEAR(A1736)</f>
        <v>2015</v>
      </c>
    </row>
    <row r="1737" spans="1:5">
      <c r="A1737" s="32">
        <v>42141</v>
      </c>
      <c r="B1737" t="s">
        <v>4</v>
      </c>
      <c r="C1737">
        <v>34394</v>
      </c>
      <c r="D1737" t="str">
        <f>VLOOKUP(B1737,BaseTable,2,FALSE)</f>
        <v>Danach-NY</v>
      </c>
      <c r="E1737">
        <f>YEAR(A1737)</f>
        <v>2015</v>
      </c>
    </row>
    <row r="1738" spans="1:5">
      <c r="A1738" s="32">
        <v>42141</v>
      </c>
      <c r="B1738" t="s">
        <v>5</v>
      </c>
      <c r="C1738">
        <v>9155</v>
      </c>
      <c r="D1738" t="str">
        <f>VLOOKUP(B1738,BaseTable,2,FALSE)</f>
        <v>Grun</v>
      </c>
      <c r="E1738">
        <f>YEAR(A1738)</f>
        <v>2015</v>
      </c>
    </row>
    <row r="1739" spans="1:5">
      <c r="A1739" s="32">
        <v>42142</v>
      </c>
      <c r="B1739" t="s">
        <v>0</v>
      </c>
      <c r="C1739">
        <v>1403</v>
      </c>
      <c r="D1739" t="str">
        <f>VLOOKUP(B1739,BaseTable,2,FALSE)</f>
        <v>Unter</v>
      </c>
      <c r="E1739">
        <f>YEAR(A1739)</f>
        <v>2015</v>
      </c>
    </row>
    <row r="1740" spans="1:5">
      <c r="A1740" s="32">
        <v>42142</v>
      </c>
      <c r="B1740" t="s">
        <v>1</v>
      </c>
      <c r="C1740">
        <v>7375</v>
      </c>
      <c r="D1740" t="str">
        <f>VLOOKUP(B1740,BaseTable,2,FALSE)</f>
        <v>Hinter</v>
      </c>
      <c r="E1740">
        <f>YEAR(A1740)</f>
        <v>2015</v>
      </c>
    </row>
    <row r="1741" spans="1:5">
      <c r="A1741" s="32">
        <v>42142</v>
      </c>
      <c r="B1741" t="s">
        <v>2</v>
      </c>
      <c r="C1741">
        <v>9536</v>
      </c>
      <c r="D1741" t="str">
        <f>VLOOKUP(B1741,BaseTable,2,FALSE)</f>
        <v>Weiter</v>
      </c>
      <c r="E1741">
        <f>YEAR(A1741)</f>
        <v>2015</v>
      </c>
    </row>
    <row r="1742" spans="1:5">
      <c r="A1742" s="32">
        <v>42142</v>
      </c>
      <c r="B1742" t="s">
        <v>3</v>
      </c>
      <c r="C1742">
        <v>23824</v>
      </c>
      <c r="D1742" t="str">
        <f>VLOOKUP(B1742,BaseTable,2,FALSE)</f>
        <v>Schmecken</v>
      </c>
      <c r="E1742">
        <f>YEAR(A1742)</f>
        <v>2015</v>
      </c>
    </row>
    <row r="1743" spans="1:5">
      <c r="A1743" s="32">
        <v>42142</v>
      </c>
      <c r="B1743" t="s">
        <v>4</v>
      </c>
      <c r="C1743">
        <v>27165</v>
      </c>
      <c r="D1743" t="str">
        <f>VLOOKUP(B1743,BaseTable,2,FALSE)</f>
        <v>Danach-NY</v>
      </c>
      <c r="E1743">
        <f>YEAR(A1743)</f>
        <v>2015</v>
      </c>
    </row>
    <row r="1744" spans="1:5">
      <c r="A1744" s="32">
        <v>42142</v>
      </c>
      <c r="B1744" t="s">
        <v>5</v>
      </c>
      <c r="C1744">
        <v>7111</v>
      </c>
      <c r="D1744" t="str">
        <f>VLOOKUP(B1744,BaseTable,2,FALSE)</f>
        <v>Grun</v>
      </c>
      <c r="E1744">
        <f>YEAR(A1744)</f>
        <v>2015</v>
      </c>
    </row>
    <row r="1745" spans="1:5">
      <c r="A1745" s="32">
        <v>42143</v>
      </c>
      <c r="B1745" t="s">
        <v>0</v>
      </c>
      <c r="C1745">
        <v>1622</v>
      </c>
      <c r="D1745" t="str">
        <f>VLOOKUP(B1745,BaseTable,2,FALSE)</f>
        <v>Unter</v>
      </c>
      <c r="E1745">
        <f>YEAR(A1745)</f>
        <v>2015</v>
      </c>
    </row>
    <row r="1746" spans="1:5">
      <c r="A1746" s="32">
        <v>42143</v>
      </c>
      <c r="B1746" t="s">
        <v>1</v>
      </c>
      <c r="C1746">
        <v>8373</v>
      </c>
      <c r="D1746" t="str">
        <f>VLOOKUP(B1746,BaseTable,2,FALSE)</f>
        <v>Hinter</v>
      </c>
      <c r="E1746">
        <f>YEAR(A1746)</f>
        <v>2015</v>
      </c>
    </row>
    <row r="1747" spans="1:5">
      <c r="A1747" s="32">
        <v>42143</v>
      </c>
      <c r="B1747" t="s">
        <v>2</v>
      </c>
      <c r="C1747">
        <v>11009</v>
      </c>
      <c r="D1747" t="str">
        <f>VLOOKUP(B1747,BaseTable,2,FALSE)</f>
        <v>Weiter</v>
      </c>
      <c r="E1747">
        <f>YEAR(A1747)</f>
        <v>2015</v>
      </c>
    </row>
    <row r="1748" spans="1:5">
      <c r="A1748" s="32">
        <v>42143</v>
      </c>
      <c r="B1748" t="s">
        <v>3</v>
      </c>
      <c r="C1748">
        <v>26549</v>
      </c>
      <c r="D1748" t="str">
        <f>VLOOKUP(B1748,BaseTable,2,FALSE)</f>
        <v>Schmecken</v>
      </c>
      <c r="E1748">
        <f>YEAR(A1748)</f>
        <v>2015</v>
      </c>
    </row>
    <row r="1749" spans="1:5">
      <c r="A1749" s="32">
        <v>42143</v>
      </c>
      <c r="B1749" t="s">
        <v>4</v>
      </c>
      <c r="C1749">
        <v>30286</v>
      </c>
      <c r="D1749" t="str">
        <f>VLOOKUP(B1749,BaseTable,2,FALSE)</f>
        <v>Danach-NY</v>
      </c>
      <c r="E1749">
        <f>YEAR(A1749)</f>
        <v>2015</v>
      </c>
    </row>
    <row r="1750" spans="1:5">
      <c r="A1750" s="32">
        <v>42143</v>
      </c>
      <c r="B1750" t="s">
        <v>5</v>
      </c>
      <c r="C1750">
        <v>7532</v>
      </c>
      <c r="D1750" t="str">
        <f>VLOOKUP(B1750,BaseTable,2,FALSE)</f>
        <v>Grun</v>
      </c>
      <c r="E1750">
        <f>YEAR(A1750)</f>
        <v>2015</v>
      </c>
    </row>
    <row r="1751" spans="1:5">
      <c r="A1751" s="32">
        <v>42144</v>
      </c>
      <c r="B1751" t="s">
        <v>0</v>
      </c>
      <c r="C1751">
        <v>1696</v>
      </c>
      <c r="D1751" t="str">
        <f>VLOOKUP(B1751,BaseTable,2,FALSE)</f>
        <v>Unter</v>
      </c>
      <c r="E1751">
        <f>YEAR(A1751)</f>
        <v>2015</v>
      </c>
    </row>
    <row r="1752" spans="1:5">
      <c r="A1752" s="32">
        <v>42144</v>
      </c>
      <c r="B1752" t="s">
        <v>1</v>
      </c>
      <c r="C1752">
        <v>8823</v>
      </c>
      <c r="D1752" t="str">
        <f>VLOOKUP(B1752,BaseTable,2,FALSE)</f>
        <v>Hinter</v>
      </c>
      <c r="E1752">
        <f>YEAR(A1752)</f>
        <v>2015</v>
      </c>
    </row>
    <row r="1753" spans="1:5">
      <c r="A1753" s="32">
        <v>42144</v>
      </c>
      <c r="B1753" t="s">
        <v>2</v>
      </c>
      <c r="C1753">
        <v>11439</v>
      </c>
      <c r="D1753" t="str">
        <f>VLOOKUP(B1753,BaseTable,2,FALSE)</f>
        <v>Weiter</v>
      </c>
      <c r="E1753">
        <f>YEAR(A1753)</f>
        <v>2015</v>
      </c>
    </row>
    <row r="1754" spans="1:5">
      <c r="A1754" s="32">
        <v>42144</v>
      </c>
      <c r="B1754" t="s">
        <v>3</v>
      </c>
      <c r="C1754">
        <v>28707</v>
      </c>
      <c r="D1754" t="str">
        <f>VLOOKUP(B1754,BaseTable,2,FALSE)</f>
        <v>Schmecken</v>
      </c>
      <c r="E1754">
        <f>YEAR(A1754)</f>
        <v>2015</v>
      </c>
    </row>
    <row r="1755" spans="1:5">
      <c r="A1755" s="32">
        <v>42144</v>
      </c>
      <c r="B1755" t="s">
        <v>4</v>
      </c>
      <c r="C1755">
        <v>32211</v>
      </c>
      <c r="D1755" t="str">
        <f>VLOOKUP(B1755,BaseTable,2,FALSE)</f>
        <v>Danach-NY</v>
      </c>
      <c r="E1755">
        <f>YEAR(A1755)</f>
        <v>2015</v>
      </c>
    </row>
    <row r="1756" spans="1:5">
      <c r="A1756" s="32">
        <v>42144</v>
      </c>
      <c r="B1756" t="s">
        <v>5</v>
      </c>
      <c r="C1756">
        <v>8186</v>
      </c>
      <c r="D1756" t="str">
        <f>VLOOKUP(B1756,BaseTable,2,FALSE)</f>
        <v>Grun</v>
      </c>
      <c r="E1756">
        <f>YEAR(A1756)</f>
        <v>2015</v>
      </c>
    </row>
    <row r="1757" spans="1:5">
      <c r="A1757" s="32">
        <v>42145</v>
      </c>
      <c r="B1757" t="s">
        <v>0</v>
      </c>
      <c r="C1757">
        <v>1803</v>
      </c>
      <c r="D1757" t="str">
        <f>VLOOKUP(B1757,BaseTable,2,FALSE)</f>
        <v>Unter</v>
      </c>
      <c r="E1757">
        <f>YEAR(A1757)</f>
        <v>2015</v>
      </c>
    </row>
    <row r="1758" spans="1:5">
      <c r="A1758" s="32">
        <v>42145</v>
      </c>
      <c r="B1758" t="s">
        <v>1</v>
      </c>
      <c r="C1758">
        <v>9259</v>
      </c>
      <c r="D1758" t="str">
        <f>VLOOKUP(B1758,BaseTable,2,FALSE)</f>
        <v>Hinter</v>
      </c>
      <c r="E1758">
        <f>YEAR(A1758)</f>
        <v>2015</v>
      </c>
    </row>
    <row r="1759" spans="1:5">
      <c r="A1759" s="32">
        <v>42145</v>
      </c>
      <c r="B1759" t="s">
        <v>2</v>
      </c>
      <c r="C1759">
        <v>12079</v>
      </c>
      <c r="D1759" t="str">
        <f>VLOOKUP(B1759,BaseTable,2,FALSE)</f>
        <v>Weiter</v>
      </c>
      <c r="E1759">
        <f>YEAR(A1759)</f>
        <v>2015</v>
      </c>
    </row>
    <row r="1760" spans="1:5">
      <c r="A1760" s="32">
        <v>42145</v>
      </c>
      <c r="B1760" t="s">
        <v>3</v>
      </c>
      <c r="C1760">
        <v>29895</v>
      </c>
      <c r="D1760" t="str">
        <f>VLOOKUP(B1760,BaseTable,2,FALSE)</f>
        <v>Schmecken</v>
      </c>
      <c r="E1760">
        <f>YEAR(A1760)</f>
        <v>2015</v>
      </c>
    </row>
    <row r="1761" spans="1:5">
      <c r="A1761" s="32">
        <v>42145</v>
      </c>
      <c r="B1761" t="s">
        <v>4</v>
      </c>
      <c r="C1761">
        <v>33646</v>
      </c>
      <c r="D1761" t="str">
        <f>VLOOKUP(B1761,BaseTable,2,FALSE)</f>
        <v>Danach-NY</v>
      </c>
      <c r="E1761">
        <f>YEAR(A1761)</f>
        <v>2015</v>
      </c>
    </row>
    <row r="1762" spans="1:5">
      <c r="A1762" s="32">
        <v>42145</v>
      </c>
      <c r="B1762" t="s">
        <v>5</v>
      </c>
      <c r="C1762">
        <v>8464</v>
      </c>
      <c r="D1762" t="str">
        <f>VLOOKUP(B1762,BaseTable,2,FALSE)</f>
        <v>Grun</v>
      </c>
      <c r="E1762">
        <f>YEAR(A1762)</f>
        <v>2015</v>
      </c>
    </row>
    <row r="1763" spans="1:5">
      <c r="A1763" s="32">
        <v>42146</v>
      </c>
      <c r="B1763" t="s">
        <v>0</v>
      </c>
      <c r="C1763">
        <v>1240</v>
      </c>
      <c r="D1763" t="str">
        <f>VLOOKUP(B1763,BaseTable,2,FALSE)</f>
        <v>Unter</v>
      </c>
      <c r="E1763">
        <f>YEAR(A1763)</f>
        <v>2015</v>
      </c>
    </row>
    <row r="1764" spans="1:5">
      <c r="A1764" s="32">
        <v>42146</v>
      </c>
      <c r="B1764" t="s">
        <v>1</v>
      </c>
      <c r="C1764">
        <v>7465</v>
      </c>
      <c r="D1764" t="str">
        <f>VLOOKUP(B1764,BaseTable,2,FALSE)</f>
        <v>Hinter</v>
      </c>
      <c r="E1764">
        <f>YEAR(A1764)</f>
        <v>2015</v>
      </c>
    </row>
    <row r="1765" spans="1:5">
      <c r="A1765" s="32">
        <v>42146</v>
      </c>
      <c r="B1765" t="s">
        <v>2</v>
      </c>
      <c r="C1765">
        <v>9944</v>
      </c>
      <c r="D1765" t="str">
        <f>VLOOKUP(B1765,BaseTable,2,FALSE)</f>
        <v>Weiter</v>
      </c>
      <c r="E1765">
        <f>YEAR(A1765)</f>
        <v>2015</v>
      </c>
    </row>
    <row r="1766" spans="1:5">
      <c r="A1766" s="32">
        <v>42146</v>
      </c>
      <c r="B1766" t="s">
        <v>3</v>
      </c>
      <c r="C1766">
        <v>28408</v>
      </c>
      <c r="D1766" t="str">
        <f>VLOOKUP(B1766,BaseTable,2,FALSE)</f>
        <v>Schmecken</v>
      </c>
      <c r="E1766">
        <f>YEAR(A1766)</f>
        <v>2015</v>
      </c>
    </row>
    <row r="1767" spans="1:5">
      <c r="A1767" s="32">
        <v>42146</v>
      </c>
      <c r="B1767" t="s">
        <v>4</v>
      </c>
      <c r="C1767">
        <v>30753</v>
      </c>
      <c r="D1767" t="str">
        <f>VLOOKUP(B1767,BaseTable,2,FALSE)</f>
        <v>Danach-NY</v>
      </c>
      <c r="E1767">
        <f>YEAR(A1767)</f>
        <v>2015</v>
      </c>
    </row>
    <row r="1768" spans="1:5">
      <c r="A1768" s="32">
        <v>42146</v>
      </c>
      <c r="B1768" t="s">
        <v>5</v>
      </c>
      <c r="C1768">
        <v>7961</v>
      </c>
      <c r="D1768" t="str">
        <f>VLOOKUP(B1768,BaseTable,2,FALSE)</f>
        <v>Grun</v>
      </c>
      <c r="E1768">
        <f>YEAR(A1768)</f>
        <v>2015</v>
      </c>
    </row>
    <row r="1769" spans="1:5">
      <c r="A1769" s="32">
        <v>42147</v>
      </c>
      <c r="B1769" t="s">
        <v>0</v>
      </c>
      <c r="C1769">
        <v>982</v>
      </c>
      <c r="D1769" t="str">
        <f>VLOOKUP(B1769,BaseTable,2,FALSE)</f>
        <v>Unter</v>
      </c>
      <c r="E1769">
        <f>YEAR(A1769)</f>
        <v>2015</v>
      </c>
    </row>
    <row r="1770" spans="1:5">
      <c r="A1770" s="32">
        <v>42147</v>
      </c>
      <c r="B1770" t="s">
        <v>1</v>
      </c>
      <c r="C1770">
        <v>6375</v>
      </c>
      <c r="D1770" t="str">
        <f>VLOOKUP(B1770,BaseTable,2,FALSE)</f>
        <v>Hinter</v>
      </c>
      <c r="E1770">
        <f>YEAR(A1770)</f>
        <v>2015</v>
      </c>
    </row>
    <row r="1771" spans="1:5">
      <c r="A1771" s="32">
        <v>42147</v>
      </c>
      <c r="B1771" t="s">
        <v>2</v>
      </c>
      <c r="C1771">
        <v>8743</v>
      </c>
      <c r="D1771" t="str">
        <f>VLOOKUP(B1771,BaseTable,2,FALSE)</f>
        <v>Weiter</v>
      </c>
      <c r="E1771">
        <f>YEAR(A1771)</f>
        <v>2015</v>
      </c>
    </row>
    <row r="1772" spans="1:5">
      <c r="A1772" s="32">
        <v>42147</v>
      </c>
      <c r="B1772" t="s">
        <v>3</v>
      </c>
      <c r="C1772">
        <v>26942</v>
      </c>
      <c r="D1772" t="str">
        <f>VLOOKUP(B1772,BaseTable,2,FALSE)</f>
        <v>Schmecken</v>
      </c>
      <c r="E1772">
        <f>YEAR(A1772)</f>
        <v>2015</v>
      </c>
    </row>
    <row r="1773" spans="1:5">
      <c r="A1773" s="32">
        <v>42147</v>
      </c>
      <c r="B1773" t="s">
        <v>4</v>
      </c>
      <c r="C1773">
        <v>27597</v>
      </c>
      <c r="D1773" t="str">
        <f>VLOOKUP(B1773,BaseTable,2,FALSE)</f>
        <v>Danach-NY</v>
      </c>
      <c r="E1773">
        <f>YEAR(A1773)</f>
        <v>2015</v>
      </c>
    </row>
    <row r="1774" spans="1:5">
      <c r="A1774" s="32">
        <v>42147</v>
      </c>
      <c r="B1774" t="s">
        <v>5</v>
      </c>
      <c r="C1774">
        <v>7704</v>
      </c>
      <c r="D1774" t="str">
        <f>VLOOKUP(B1774,BaseTable,2,FALSE)</f>
        <v>Grun</v>
      </c>
      <c r="E1774">
        <f>YEAR(A1774)</f>
        <v>2015</v>
      </c>
    </row>
    <row r="1775" spans="1:5">
      <c r="A1775" s="32">
        <v>42148</v>
      </c>
      <c r="B1775" t="s">
        <v>0</v>
      </c>
      <c r="C1775">
        <v>884</v>
      </c>
      <c r="D1775" t="str">
        <f>VLOOKUP(B1775,BaseTable,2,FALSE)</f>
        <v>Unter</v>
      </c>
      <c r="E1775">
        <f>YEAR(A1775)</f>
        <v>2015</v>
      </c>
    </row>
    <row r="1776" spans="1:5">
      <c r="A1776" s="32">
        <v>42148</v>
      </c>
      <c r="B1776" t="s">
        <v>1</v>
      </c>
      <c r="C1776">
        <v>5466</v>
      </c>
      <c r="D1776" t="str">
        <f>VLOOKUP(B1776,BaseTable,2,FALSE)</f>
        <v>Hinter</v>
      </c>
      <c r="E1776">
        <f>YEAR(A1776)</f>
        <v>2015</v>
      </c>
    </row>
    <row r="1777" spans="1:5">
      <c r="A1777" s="32">
        <v>42148</v>
      </c>
      <c r="B1777" t="s">
        <v>2</v>
      </c>
      <c r="C1777">
        <v>7707</v>
      </c>
      <c r="D1777" t="str">
        <f>VLOOKUP(B1777,BaseTable,2,FALSE)</f>
        <v>Weiter</v>
      </c>
      <c r="E1777">
        <f>YEAR(A1777)</f>
        <v>2015</v>
      </c>
    </row>
    <row r="1778" spans="1:5">
      <c r="A1778" s="32">
        <v>42148</v>
      </c>
      <c r="B1778" t="s">
        <v>3</v>
      </c>
      <c r="C1778">
        <v>23002</v>
      </c>
      <c r="D1778" t="str">
        <f>VLOOKUP(B1778,BaseTable,2,FALSE)</f>
        <v>Schmecken</v>
      </c>
      <c r="E1778">
        <f>YEAR(A1778)</f>
        <v>2015</v>
      </c>
    </row>
    <row r="1779" spans="1:5">
      <c r="A1779" s="32">
        <v>42148</v>
      </c>
      <c r="B1779" t="s">
        <v>4</v>
      </c>
      <c r="C1779">
        <v>24420</v>
      </c>
      <c r="D1779" t="str">
        <f>VLOOKUP(B1779,BaseTable,2,FALSE)</f>
        <v>Danach-NY</v>
      </c>
      <c r="E1779">
        <f>YEAR(A1779)</f>
        <v>2015</v>
      </c>
    </row>
    <row r="1780" spans="1:5">
      <c r="A1780" s="32">
        <v>42148</v>
      </c>
      <c r="B1780" t="s">
        <v>5</v>
      </c>
      <c r="C1780">
        <v>6849</v>
      </c>
      <c r="D1780" t="str">
        <f>VLOOKUP(B1780,BaseTable,2,FALSE)</f>
        <v>Grun</v>
      </c>
      <c r="E1780">
        <f>YEAR(A1780)</f>
        <v>2015</v>
      </c>
    </row>
    <row r="1781" spans="1:5">
      <c r="A1781" s="32">
        <v>42149</v>
      </c>
      <c r="B1781" t="s">
        <v>0</v>
      </c>
      <c r="C1781">
        <v>794</v>
      </c>
      <c r="D1781" t="str">
        <f>VLOOKUP(B1781,BaseTable,2,FALSE)</f>
        <v>Unter</v>
      </c>
      <c r="E1781">
        <f>YEAR(A1781)</f>
        <v>2015</v>
      </c>
    </row>
    <row r="1782" spans="1:5">
      <c r="A1782" s="32">
        <v>42149</v>
      </c>
      <c r="B1782" t="s">
        <v>1</v>
      </c>
      <c r="C1782">
        <v>4776</v>
      </c>
      <c r="D1782" t="str">
        <f>VLOOKUP(B1782,BaseTable,2,FALSE)</f>
        <v>Hinter</v>
      </c>
      <c r="E1782">
        <f>YEAR(A1782)</f>
        <v>2015</v>
      </c>
    </row>
    <row r="1783" spans="1:5">
      <c r="A1783" s="32">
        <v>42149</v>
      </c>
      <c r="B1783" t="s">
        <v>2</v>
      </c>
      <c r="C1783">
        <v>6386</v>
      </c>
      <c r="D1783" t="str">
        <f>VLOOKUP(B1783,BaseTable,2,FALSE)</f>
        <v>Weiter</v>
      </c>
      <c r="E1783">
        <f>YEAR(A1783)</f>
        <v>2015</v>
      </c>
    </row>
    <row r="1784" spans="1:5">
      <c r="A1784" s="32">
        <v>42149</v>
      </c>
      <c r="B1784" t="s">
        <v>3</v>
      </c>
      <c r="C1784">
        <v>20745</v>
      </c>
      <c r="D1784" t="str">
        <f>VLOOKUP(B1784,BaseTable,2,FALSE)</f>
        <v>Schmecken</v>
      </c>
      <c r="E1784">
        <f>YEAR(A1784)</f>
        <v>2015</v>
      </c>
    </row>
    <row r="1785" spans="1:5">
      <c r="A1785" s="32">
        <v>42149</v>
      </c>
      <c r="B1785" t="s">
        <v>4</v>
      </c>
      <c r="C1785">
        <v>21159</v>
      </c>
      <c r="D1785" t="str">
        <f>VLOOKUP(B1785,BaseTable,2,FALSE)</f>
        <v>Danach-NY</v>
      </c>
      <c r="E1785">
        <f>YEAR(A1785)</f>
        <v>2015</v>
      </c>
    </row>
    <row r="1786" spans="1:5">
      <c r="A1786" s="32">
        <v>42149</v>
      </c>
      <c r="B1786" t="s">
        <v>5</v>
      </c>
      <c r="C1786">
        <v>5888</v>
      </c>
      <c r="D1786" t="str">
        <f>VLOOKUP(B1786,BaseTable,2,FALSE)</f>
        <v>Grun</v>
      </c>
      <c r="E1786">
        <f>YEAR(A1786)</f>
        <v>2015</v>
      </c>
    </row>
    <row r="1787" spans="1:5">
      <c r="A1787" s="32">
        <v>42150</v>
      </c>
      <c r="B1787" t="s">
        <v>0</v>
      </c>
      <c r="C1787">
        <v>1228</v>
      </c>
      <c r="D1787" t="str">
        <f>VLOOKUP(B1787,BaseTable,2,FALSE)</f>
        <v>Unter</v>
      </c>
      <c r="E1787">
        <f>YEAR(A1787)</f>
        <v>2015</v>
      </c>
    </row>
    <row r="1788" spans="1:5">
      <c r="A1788" s="32">
        <v>42150</v>
      </c>
      <c r="B1788" t="s">
        <v>1</v>
      </c>
      <c r="C1788">
        <v>6500</v>
      </c>
      <c r="D1788" t="str">
        <f>VLOOKUP(B1788,BaseTable,2,FALSE)</f>
        <v>Hinter</v>
      </c>
      <c r="E1788">
        <f>YEAR(A1788)</f>
        <v>2015</v>
      </c>
    </row>
    <row r="1789" spans="1:5">
      <c r="A1789" s="32">
        <v>42150</v>
      </c>
      <c r="B1789" t="s">
        <v>2</v>
      </c>
      <c r="C1789">
        <v>8915</v>
      </c>
      <c r="D1789" t="str">
        <f>VLOOKUP(B1789,BaseTable,2,FALSE)</f>
        <v>Weiter</v>
      </c>
      <c r="E1789">
        <f>YEAR(A1789)</f>
        <v>2015</v>
      </c>
    </row>
    <row r="1790" spans="1:5">
      <c r="A1790" s="32">
        <v>42150</v>
      </c>
      <c r="B1790" t="s">
        <v>3</v>
      </c>
      <c r="C1790">
        <v>23714</v>
      </c>
      <c r="D1790" t="str">
        <f>VLOOKUP(B1790,BaseTable,2,FALSE)</f>
        <v>Schmecken</v>
      </c>
      <c r="E1790">
        <f>YEAR(A1790)</f>
        <v>2015</v>
      </c>
    </row>
    <row r="1791" spans="1:5">
      <c r="A1791" s="32">
        <v>42150</v>
      </c>
      <c r="B1791" t="s">
        <v>4</v>
      </c>
      <c r="C1791">
        <v>25809</v>
      </c>
      <c r="D1791" t="str">
        <f>VLOOKUP(B1791,BaseTable,2,FALSE)</f>
        <v>Danach-NY</v>
      </c>
      <c r="E1791">
        <f>YEAR(A1791)</f>
        <v>2015</v>
      </c>
    </row>
    <row r="1792" spans="1:5">
      <c r="A1792" s="32">
        <v>42150</v>
      </c>
      <c r="B1792" t="s">
        <v>5</v>
      </c>
      <c r="C1792">
        <v>6654</v>
      </c>
      <c r="D1792" t="str">
        <f>VLOOKUP(B1792,BaseTable,2,FALSE)</f>
        <v>Grun</v>
      </c>
      <c r="E1792">
        <f>YEAR(A1792)</f>
        <v>2015</v>
      </c>
    </row>
    <row r="1793" spans="1:5">
      <c r="A1793" s="32">
        <v>42151</v>
      </c>
      <c r="B1793" t="s">
        <v>0</v>
      </c>
      <c r="C1793">
        <v>1683</v>
      </c>
      <c r="D1793" t="str">
        <f>VLOOKUP(B1793,BaseTable,2,FALSE)</f>
        <v>Unter</v>
      </c>
      <c r="E1793">
        <f>YEAR(A1793)</f>
        <v>2015</v>
      </c>
    </row>
    <row r="1794" spans="1:5">
      <c r="A1794" s="32">
        <v>42151</v>
      </c>
      <c r="B1794" t="s">
        <v>1</v>
      </c>
      <c r="C1794">
        <v>8339</v>
      </c>
      <c r="D1794" t="str">
        <f>VLOOKUP(B1794,BaseTable,2,FALSE)</f>
        <v>Hinter</v>
      </c>
      <c r="E1794">
        <f>YEAR(A1794)</f>
        <v>2015</v>
      </c>
    </row>
    <row r="1795" spans="1:5">
      <c r="A1795" s="32">
        <v>42151</v>
      </c>
      <c r="B1795" t="s">
        <v>2</v>
      </c>
      <c r="C1795">
        <v>11328</v>
      </c>
      <c r="D1795" t="str">
        <f>VLOOKUP(B1795,BaseTable,2,FALSE)</f>
        <v>Weiter</v>
      </c>
      <c r="E1795">
        <f>YEAR(A1795)</f>
        <v>2015</v>
      </c>
    </row>
    <row r="1796" spans="1:5">
      <c r="A1796" s="32">
        <v>42151</v>
      </c>
      <c r="B1796" t="s">
        <v>3</v>
      </c>
      <c r="C1796">
        <v>28857</v>
      </c>
      <c r="D1796" t="str">
        <f>VLOOKUP(B1796,BaseTable,2,FALSE)</f>
        <v>Schmecken</v>
      </c>
      <c r="E1796">
        <f>YEAR(A1796)</f>
        <v>2015</v>
      </c>
    </row>
    <row r="1797" spans="1:5">
      <c r="A1797" s="32">
        <v>42151</v>
      </c>
      <c r="B1797" t="s">
        <v>4</v>
      </c>
      <c r="C1797">
        <v>30445</v>
      </c>
      <c r="D1797" t="str">
        <f>VLOOKUP(B1797,BaseTable,2,FALSE)</f>
        <v>Danach-NY</v>
      </c>
      <c r="E1797">
        <f>YEAR(A1797)</f>
        <v>2015</v>
      </c>
    </row>
    <row r="1798" spans="1:5">
      <c r="A1798" s="32">
        <v>42151</v>
      </c>
      <c r="B1798" t="s">
        <v>5</v>
      </c>
      <c r="C1798">
        <v>8010</v>
      </c>
      <c r="D1798" t="str">
        <f>VLOOKUP(B1798,BaseTable,2,FALSE)</f>
        <v>Grun</v>
      </c>
      <c r="E1798">
        <f>YEAR(A1798)</f>
        <v>2015</v>
      </c>
    </row>
    <row r="1799" spans="1:5">
      <c r="A1799" s="32">
        <v>42152</v>
      </c>
      <c r="B1799" t="s">
        <v>0</v>
      </c>
      <c r="C1799">
        <v>1570</v>
      </c>
      <c r="D1799" t="str">
        <f>VLOOKUP(B1799,BaseTable,2,FALSE)</f>
        <v>Unter</v>
      </c>
      <c r="E1799">
        <f>YEAR(A1799)</f>
        <v>2015</v>
      </c>
    </row>
    <row r="1800" spans="1:5">
      <c r="A1800" s="32">
        <v>42152</v>
      </c>
      <c r="B1800" t="s">
        <v>1</v>
      </c>
      <c r="C1800">
        <v>9159</v>
      </c>
      <c r="D1800" t="str">
        <f>VLOOKUP(B1800,BaseTable,2,FALSE)</f>
        <v>Hinter</v>
      </c>
      <c r="E1800">
        <f>YEAR(A1800)</f>
        <v>2015</v>
      </c>
    </row>
    <row r="1801" spans="1:5">
      <c r="A1801" s="32">
        <v>42152</v>
      </c>
      <c r="B1801" t="s">
        <v>2</v>
      </c>
      <c r="C1801">
        <v>11625</v>
      </c>
      <c r="D1801" t="str">
        <f>VLOOKUP(B1801,BaseTable,2,FALSE)</f>
        <v>Weiter</v>
      </c>
      <c r="E1801">
        <f>YEAR(A1801)</f>
        <v>2015</v>
      </c>
    </row>
    <row r="1802" spans="1:5">
      <c r="A1802" s="32">
        <v>42152</v>
      </c>
      <c r="B1802" t="s">
        <v>3</v>
      </c>
      <c r="C1802">
        <v>31259</v>
      </c>
      <c r="D1802" t="str">
        <f>VLOOKUP(B1802,BaseTable,2,FALSE)</f>
        <v>Schmecken</v>
      </c>
      <c r="E1802">
        <f>YEAR(A1802)</f>
        <v>2015</v>
      </c>
    </row>
    <row r="1803" spans="1:5">
      <c r="A1803" s="32">
        <v>42152</v>
      </c>
      <c r="B1803" t="s">
        <v>4</v>
      </c>
      <c r="C1803">
        <v>32603</v>
      </c>
      <c r="D1803" t="str">
        <f>VLOOKUP(B1803,BaseTable,2,FALSE)</f>
        <v>Danach-NY</v>
      </c>
      <c r="E1803">
        <f>YEAR(A1803)</f>
        <v>2015</v>
      </c>
    </row>
    <row r="1804" spans="1:5">
      <c r="A1804" s="32">
        <v>42152</v>
      </c>
      <c r="B1804" t="s">
        <v>5</v>
      </c>
      <c r="C1804">
        <v>8858</v>
      </c>
      <c r="D1804" t="str">
        <f>VLOOKUP(B1804,BaseTable,2,FALSE)</f>
        <v>Grun</v>
      </c>
      <c r="E1804">
        <f>YEAR(A1804)</f>
        <v>2015</v>
      </c>
    </row>
    <row r="1805" spans="1:5">
      <c r="A1805" s="32">
        <v>42153</v>
      </c>
      <c r="B1805" t="s">
        <v>0</v>
      </c>
      <c r="C1805">
        <v>1540</v>
      </c>
      <c r="D1805" t="str">
        <f>VLOOKUP(B1805,BaseTable,2,FALSE)</f>
        <v>Unter</v>
      </c>
      <c r="E1805">
        <f>YEAR(A1805)</f>
        <v>2015</v>
      </c>
    </row>
    <row r="1806" spans="1:5">
      <c r="A1806" s="32">
        <v>42153</v>
      </c>
      <c r="B1806" t="s">
        <v>1</v>
      </c>
      <c r="C1806">
        <v>8935</v>
      </c>
      <c r="D1806" t="str">
        <f>VLOOKUP(B1806,BaseTable,2,FALSE)</f>
        <v>Hinter</v>
      </c>
      <c r="E1806">
        <f>YEAR(A1806)</f>
        <v>2015</v>
      </c>
    </row>
    <row r="1807" spans="1:5">
      <c r="A1807" s="32">
        <v>42153</v>
      </c>
      <c r="B1807" t="s">
        <v>2</v>
      </c>
      <c r="C1807">
        <v>11575</v>
      </c>
      <c r="D1807" t="str">
        <f>VLOOKUP(B1807,BaseTable,2,FALSE)</f>
        <v>Weiter</v>
      </c>
      <c r="E1807">
        <f>YEAR(A1807)</f>
        <v>2015</v>
      </c>
    </row>
    <row r="1808" spans="1:5">
      <c r="A1808" s="32">
        <v>42153</v>
      </c>
      <c r="B1808" t="s">
        <v>3</v>
      </c>
      <c r="C1808">
        <v>33179</v>
      </c>
      <c r="D1808" t="str">
        <f>VLOOKUP(B1808,BaseTable,2,FALSE)</f>
        <v>Schmecken</v>
      </c>
      <c r="E1808">
        <f>YEAR(A1808)</f>
        <v>2015</v>
      </c>
    </row>
    <row r="1809" spans="1:5">
      <c r="A1809" s="32">
        <v>42153</v>
      </c>
      <c r="B1809" t="s">
        <v>4</v>
      </c>
      <c r="C1809">
        <v>33577</v>
      </c>
      <c r="D1809" t="str">
        <f>VLOOKUP(B1809,BaseTable,2,FALSE)</f>
        <v>Danach-NY</v>
      </c>
      <c r="E1809">
        <f>YEAR(A1809)</f>
        <v>2015</v>
      </c>
    </row>
    <row r="1810" spans="1:5">
      <c r="A1810" s="32">
        <v>42153</v>
      </c>
      <c r="B1810" t="s">
        <v>5</v>
      </c>
      <c r="C1810">
        <v>9394</v>
      </c>
      <c r="D1810" t="str">
        <f>VLOOKUP(B1810,BaseTable,2,FALSE)</f>
        <v>Grun</v>
      </c>
      <c r="E1810">
        <f>YEAR(A1810)</f>
        <v>2015</v>
      </c>
    </row>
    <row r="1811" spans="1:5">
      <c r="A1811" s="32">
        <v>42154</v>
      </c>
      <c r="B1811" t="s">
        <v>0</v>
      </c>
      <c r="C1811">
        <v>1450</v>
      </c>
      <c r="D1811" t="str">
        <f>VLOOKUP(B1811,BaseTable,2,FALSE)</f>
        <v>Unter</v>
      </c>
      <c r="E1811">
        <f>YEAR(A1811)</f>
        <v>2015</v>
      </c>
    </row>
    <row r="1812" spans="1:5">
      <c r="A1812" s="32">
        <v>42154</v>
      </c>
      <c r="B1812" t="s">
        <v>1</v>
      </c>
      <c r="C1812">
        <v>8543</v>
      </c>
      <c r="D1812" t="str">
        <f>VLOOKUP(B1812,BaseTable,2,FALSE)</f>
        <v>Hinter</v>
      </c>
      <c r="E1812">
        <f>YEAR(A1812)</f>
        <v>2015</v>
      </c>
    </row>
    <row r="1813" spans="1:5">
      <c r="A1813" s="32">
        <v>42154</v>
      </c>
      <c r="B1813" t="s">
        <v>2</v>
      </c>
      <c r="C1813">
        <v>11958</v>
      </c>
      <c r="D1813" t="str">
        <f>VLOOKUP(B1813,BaseTable,2,FALSE)</f>
        <v>Weiter</v>
      </c>
      <c r="E1813">
        <f>YEAR(A1813)</f>
        <v>2015</v>
      </c>
    </row>
    <row r="1814" spans="1:5">
      <c r="A1814" s="32">
        <v>42154</v>
      </c>
      <c r="B1814" t="s">
        <v>3</v>
      </c>
      <c r="C1814">
        <v>35822</v>
      </c>
      <c r="D1814" t="str">
        <f>VLOOKUP(B1814,BaseTable,2,FALSE)</f>
        <v>Schmecken</v>
      </c>
      <c r="E1814">
        <f>YEAR(A1814)</f>
        <v>2015</v>
      </c>
    </row>
    <row r="1815" spans="1:5">
      <c r="A1815" s="32">
        <v>42154</v>
      </c>
      <c r="B1815" t="s">
        <v>4</v>
      </c>
      <c r="C1815">
        <v>36753</v>
      </c>
      <c r="D1815" t="str">
        <f>VLOOKUP(B1815,BaseTable,2,FALSE)</f>
        <v>Danach-NY</v>
      </c>
      <c r="E1815">
        <f>YEAR(A1815)</f>
        <v>2015</v>
      </c>
    </row>
    <row r="1816" spans="1:5">
      <c r="A1816" s="32">
        <v>42154</v>
      </c>
      <c r="B1816" t="s">
        <v>5</v>
      </c>
      <c r="C1816">
        <v>9903</v>
      </c>
      <c r="D1816" t="str">
        <f>VLOOKUP(B1816,BaseTable,2,FALSE)</f>
        <v>Grun</v>
      </c>
      <c r="E1816">
        <f>YEAR(A1816)</f>
        <v>2015</v>
      </c>
    </row>
    <row r="1817" spans="1:5">
      <c r="A1817" s="32">
        <v>42155</v>
      </c>
      <c r="B1817" t="s">
        <v>0</v>
      </c>
      <c r="C1817">
        <v>1378</v>
      </c>
      <c r="D1817" t="str">
        <f>VLOOKUP(B1817,BaseTable,2,FALSE)</f>
        <v>Unter</v>
      </c>
      <c r="E1817">
        <f>YEAR(A1817)</f>
        <v>2015</v>
      </c>
    </row>
    <row r="1818" spans="1:5">
      <c r="A1818" s="32">
        <v>42155</v>
      </c>
      <c r="B1818" t="s">
        <v>1</v>
      </c>
      <c r="C1818">
        <v>7965</v>
      </c>
      <c r="D1818" t="str">
        <f>VLOOKUP(B1818,BaseTable,2,FALSE)</f>
        <v>Hinter</v>
      </c>
      <c r="E1818">
        <f>YEAR(A1818)</f>
        <v>2015</v>
      </c>
    </row>
    <row r="1819" spans="1:5">
      <c r="A1819" s="32">
        <v>42155</v>
      </c>
      <c r="B1819" t="s">
        <v>2</v>
      </c>
      <c r="C1819">
        <v>11099</v>
      </c>
      <c r="D1819" t="str">
        <f>VLOOKUP(B1819,BaseTable,2,FALSE)</f>
        <v>Weiter</v>
      </c>
      <c r="E1819">
        <f>YEAR(A1819)</f>
        <v>2015</v>
      </c>
    </row>
    <row r="1820" spans="1:5">
      <c r="A1820" s="32">
        <v>42155</v>
      </c>
      <c r="B1820" t="s">
        <v>3</v>
      </c>
      <c r="C1820">
        <v>32840</v>
      </c>
      <c r="D1820" t="str">
        <f>VLOOKUP(B1820,BaseTable,2,FALSE)</f>
        <v>Schmecken</v>
      </c>
      <c r="E1820">
        <f>YEAR(A1820)</f>
        <v>2015</v>
      </c>
    </row>
    <row r="1821" spans="1:5">
      <c r="A1821" s="32">
        <v>42155</v>
      </c>
      <c r="B1821" t="s">
        <v>4</v>
      </c>
      <c r="C1821">
        <v>34178</v>
      </c>
      <c r="D1821" t="str">
        <f>VLOOKUP(B1821,BaseTable,2,FALSE)</f>
        <v>Danach-NY</v>
      </c>
      <c r="E1821">
        <f>YEAR(A1821)</f>
        <v>2015</v>
      </c>
    </row>
    <row r="1822" spans="1:5">
      <c r="A1822" s="32">
        <v>42155</v>
      </c>
      <c r="B1822" t="s">
        <v>5</v>
      </c>
      <c r="C1822">
        <v>9487</v>
      </c>
      <c r="D1822" t="str">
        <f>VLOOKUP(B1822,BaseTable,2,FALSE)</f>
        <v>Grun</v>
      </c>
      <c r="E1822">
        <f>YEAR(A1822)</f>
        <v>2015</v>
      </c>
    </row>
    <row r="1823" spans="1:5">
      <c r="A1823" s="32">
        <v>42156</v>
      </c>
      <c r="B1823" t="s">
        <v>0</v>
      </c>
      <c r="C1823">
        <v>1673</v>
      </c>
      <c r="D1823" t="str">
        <f>VLOOKUP(B1823,BaseTable,2,FALSE)</f>
        <v>Unter</v>
      </c>
      <c r="E1823">
        <f>YEAR(A1823)</f>
        <v>2015</v>
      </c>
    </row>
    <row r="1824" spans="1:5">
      <c r="A1824" s="32">
        <v>42156</v>
      </c>
      <c r="B1824" t="s">
        <v>1</v>
      </c>
      <c r="C1824">
        <v>8767</v>
      </c>
      <c r="D1824" t="str">
        <f>VLOOKUP(B1824,BaseTable,2,FALSE)</f>
        <v>Hinter</v>
      </c>
      <c r="E1824">
        <f>YEAR(A1824)</f>
        <v>2015</v>
      </c>
    </row>
    <row r="1825" spans="1:5">
      <c r="A1825" s="32">
        <v>42156</v>
      </c>
      <c r="B1825" t="s">
        <v>2</v>
      </c>
      <c r="C1825">
        <v>10972</v>
      </c>
      <c r="D1825" t="str">
        <f>VLOOKUP(B1825,BaseTable,2,FALSE)</f>
        <v>Weiter</v>
      </c>
      <c r="E1825">
        <f>YEAR(A1825)</f>
        <v>2015</v>
      </c>
    </row>
    <row r="1826" spans="1:5">
      <c r="A1826" s="32">
        <v>42156</v>
      </c>
      <c r="B1826" t="s">
        <v>3</v>
      </c>
      <c r="C1826">
        <v>30983</v>
      </c>
      <c r="D1826" t="str">
        <f>VLOOKUP(B1826,BaseTable,2,FALSE)</f>
        <v>Schmecken</v>
      </c>
      <c r="E1826">
        <f>YEAR(A1826)</f>
        <v>2015</v>
      </c>
    </row>
    <row r="1827" spans="1:5">
      <c r="A1827" s="32">
        <v>42156</v>
      </c>
      <c r="B1827" t="s">
        <v>4</v>
      </c>
      <c r="C1827">
        <v>32210</v>
      </c>
      <c r="D1827" t="str">
        <f>VLOOKUP(B1827,BaseTable,2,FALSE)</f>
        <v>Danach-NY</v>
      </c>
      <c r="E1827">
        <f>YEAR(A1827)</f>
        <v>2015</v>
      </c>
    </row>
    <row r="1828" spans="1:5">
      <c r="A1828" s="32">
        <v>42156</v>
      </c>
      <c r="B1828" t="s">
        <v>5</v>
      </c>
      <c r="C1828">
        <v>8478</v>
      </c>
      <c r="D1828" t="str">
        <f>VLOOKUP(B1828,BaseTable,2,FALSE)</f>
        <v>Grun</v>
      </c>
      <c r="E1828">
        <f>YEAR(A1828)</f>
        <v>2015</v>
      </c>
    </row>
    <row r="1829" spans="1:5">
      <c r="A1829" s="32">
        <v>42156</v>
      </c>
      <c r="B1829" t="s">
        <v>6</v>
      </c>
      <c r="C1829">
        <v>345</v>
      </c>
      <c r="D1829" t="str">
        <f>VLOOKUP(B1829,BaseTable,2,FALSE)</f>
        <v>Dreist</v>
      </c>
      <c r="E1829">
        <f>YEAR(A1829)</f>
        <v>2015</v>
      </c>
    </row>
    <row r="1830" spans="1:5">
      <c r="A1830" s="32">
        <v>42156</v>
      </c>
      <c r="B1830" t="s">
        <v>7</v>
      </c>
      <c r="C1830">
        <v>71</v>
      </c>
      <c r="D1830" t="str">
        <f>VLOOKUP(B1830,BaseTable,2,FALSE)</f>
        <v>Drinnen</v>
      </c>
      <c r="E1830">
        <f>YEAR(A1830)</f>
        <v>2015</v>
      </c>
    </row>
    <row r="1831" spans="1:5">
      <c r="A1831" s="32">
        <v>42157</v>
      </c>
      <c r="B1831" t="s">
        <v>0</v>
      </c>
      <c r="C1831">
        <v>1746</v>
      </c>
      <c r="D1831" t="str">
        <f>VLOOKUP(B1831,BaseTable,2,FALSE)</f>
        <v>Unter</v>
      </c>
      <c r="E1831">
        <f>YEAR(A1831)</f>
        <v>2015</v>
      </c>
    </row>
    <row r="1832" spans="1:5">
      <c r="A1832" s="32">
        <v>42157</v>
      </c>
      <c r="B1832" t="s">
        <v>1</v>
      </c>
      <c r="C1832">
        <v>9069</v>
      </c>
      <c r="D1832" t="str">
        <f>VLOOKUP(B1832,BaseTable,2,FALSE)</f>
        <v>Hinter</v>
      </c>
      <c r="E1832">
        <f>YEAR(A1832)</f>
        <v>2015</v>
      </c>
    </row>
    <row r="1833" spans="1:5">
      <c r="A1833" s="32">
        <v>42157</v>
      </c>
      <c r="B1833" t="s">
        <v>2</v>
      </c>
      <c r="C1833">
        <v>12038</v>
      </c>
      <c r="D1833" t="str">
        <f>VLOOKUP(B1833,BaseTable,2,FALSE)</f>
        <v>Weiter</v>
      </c>
      <c r="E1833">
        <f>YEAR(A1833)</f>
        <v>2015</v>
      </c>
    </row>
    <row r="1834" spans="1:5">
      <c r="A1834" s="32">
        <v>42157</v>
      </c>
      <c r="B1834" t="s">
        <v>3</v>
      </c>
      <c r="C1834">
        <v>32679</v>
      </c>
      <c r="D1834" t="str">
        <f>VLOOKUP(B1834,BaseTable,2,FALSE)</f>
        <v>Schmecken</v>
      </c>
      <c r="E1834">
        <f>YEAR(A1834)</f>
        <v>2015</v>
      </c>
    </row>
    <row r="1835" spans="1:5">
      <c r="A1835" s="32">
        <v>42157</v>
      </c>
      <c r="B1835" t="s">
        <v>4</v>
      </c>
      <c r="C1835">
        <v>33107</v>
      </c>
      <c r="D1835" t="str">
        <f>VLOOKUP(B1835,BaseTable,2,FALSE)</f>
        <v>Danach-NY</v>
      </c>
      <c r="E1835">
        <f>YEAR(A1835)</f>
        <v>2015</v>
      </c>
    </row>
    <row r="1836" spans="1:5">
      <c r="A1836" s="32">
        <v>42157</v>
      </c>
      <c r="B1836" t="s">
        <v>5</v>
      </c>
      <c r="C1836">
        <v>8532</v>
      </c>
      <c r="D1836" t="str">
        <f>VLOOKUP(B1836,BaseTable,2,FALSE)</f>
        <v>Grun</v>
      </c>
      <c r="E1836">
        <f>YEAR(A1836)</f>
        <v>2015</v>
      </c>
    </row>
    <row r="1837" spans="1:5">
      <c r="A1837" s="32">
        <v>42157</v>
      </c>
      <c r="B1837" t="s">
        <v>6</v>
      </c>
      <c r="C1837">
        <v>346</v>
      </c>
      <c r="D1837" t="str">
        <f>VLOOKUP(B1837,BaseTable,2,FALSE)</f>
        <v>Dreist</v>
      </c>
      <c r="E1837">
        <f>YEAR(A1837)</f>
        <v>2015</v>
      </c>
    </row>
    <row r="1838" spans="1:5">
      <c r="A1838" s="32">
        <v>42157</v>
      </c>
      <c r="B1838" t="s">
        <v>7</v>
      </c>
      <c r="C1838">
        <v>75</v>
      </c>
      <c r="D1838" t="str">
        <f>VLOOKUP(B1838,BaseTable,2,FALSE)</f>
        <v>Drinnen</v>
      </c>
      <c r="E1838">
        <f>YEAR(A1838)</f>
        <v>2015</v>
      </c>
    </row>
    <row r="1839" spans="1:5">
      <c r="A1839" s="32">
        <v>42158</v>
      </c>
      <c r="B1839" t="s">
        <v>0</v>
      </c>
      <c r="C1839">
        <v>1467</v>
      </c>
      <c r="D1839" t="str">
        <f>VLOOKUP(B1839,BaseTable,2,FALSE)</f>
        <v>Unter</v>
      </c>
      <c r="E1839">
        <f>YEAR(A1839)</f>
        <v>2015</v>
      </c>
    </row>
    <row r="1840" spans="1:5">
      <c r="A1840" s="32">
        <v>42158</v>
      </c>
      <c r="B1840" t="s">
        <v>1</v>
      </c>
      <c r="C1840">
        <v>8047</v>
      </c>
      <c r="D1840" t="str">
        <f>VLOOKUP(B1840,BaseTable,2,FALSE)</f>
        <v>Hinter</v>
      </c>
      <c r="E1840">
        <f>YEAR(A1840)</f>
        <v>2015</v>
      </c>
    </row>
    <row r="1841" spans="1:5">
      <c r="A1841" s="32">
        <v>42158</v>
      </c>
      <c r="B1841" t="s">
        <v>2</v>
      </c>
      <c r="C1841">
        <v>10795</v>
      </c>
      <c r="D1841" t="str">
        <f>VLOOKUP(B1841,BaseTable,2,FALSE)</f>
        <v>Weiter</v>
      </c>
      <c r="E1841">
        <f>YEAR(A1841)</f>
        <v>2015</v>
      </c>
    </row>
    <row r="1842" spans="1:5">
      <c r="A1842" s="32">
        <v>42158</v>
      </c>
      <c r="B1842" t="s">
        <v>3</v>
      </c>
      <c r="C1842">
        <v>29385</v>
      </c>
      <c r="D1842" t="str">
        <f>VLOOKUP(B1842,BaseTable,2,FALSE)</f>
        <v>Schmecken</v>
      </c>
      <c r="E1842">
        <f>YEAR(A1842)</f>
        <v>2015</v>
      </c>
    </row>
    <row r="1843" spans="1:5">
      <c r="A1843" s="32">
        <v>42158</v>
      </c>
      <c r="B1843" t="s">
        <v>4</v>
      </c>
      <c r="C1843">
        <v>29417</v>
      </c>
      <c r="D1843" t="str">
        <f>VLOOKUP(B1843,BaseTable,2,FALSE)</f>
        <v>Danach-NY</v>
      </c>
      <c r="E1843">
        <f>YEAR(A1843)</f>
        <v>2015</v>
      </c>
    </row>
    <row r="1844" spans="1:5">
      <c r="A1844" s="32">
        <v>42158</v>
      </c>
      <c r="B1844" t="s">
        <v>5</v>
      </c>
      <c r="C1844">
        <v>7707</v>
      </c>
      <c r="D1844" t="str">
        <f>VLOOKUP(B1844,BaseTable,2,FALSE)</f>
        <v>Grun</v>
      </c>
      <c r="E1844">
        <f>YEAR(A1844)</f>
        <v>2015</v>
      </c>
    </row>
    <row r="1845" spans="1:5">
      <c r="A1845" s="32">
        <v>42158</v>
      </c>
      <c r="B1845" t="s">
        <v>6</v>
      </c>
      <c r="C1845">
        <v>348</v>
      </c>
      <c r="D1845" t="str">
        <f>VLOOKUP(B1845,BaseTable,2,FALSE)</f>
        <v>Dreist</v>
      </c>
      <c r="E1845">
        <f>YEAR(A1845)</f>
        <v>2015</v>
      </c>
    </row>
    <row r="1846" spans="1:5">
      <c r="A1846" s="32">
        <v>42158</v>
      </c>
      <c r="B1846" t="s">
        <v>7</v>
      </c>
      <c r="C1846">
        <v>40</v>
      </c>
      <c r="D1846" t="str">
        <f>VLOOKUP(B1846,BaseTable,2,FALSE)</f>
        <v>Drinnen</v>
      </c>
      <c r="E1846">
        <f>YEAR(A1846)</f>
        <v>2015</v>
      </c>
    </row>
    <row r="1847" spans="1:5">
      <c r="A1847" s="32">
        <v>42159</v>
      </c>
      <c r="B1847" t="s">
        <v>0</v>
      </c>
      <c r="C1847">
        <v>1450</v>
      </c>
      <c r="D1847" t="str">
        <f>VLOOKUP(B1847,BaseTable,2,FALSE)</f>
        <v>Unter</v>
      </c>
      <c r="E1847">
        <f>YEAR(A1847)</f>
        <v>2015</v>
      </c>
    </row>
    <row r="1848" spans="1:5">
      <c r="A1848" s="32">
        <v>42159</v>
      </c>
      <c r="B1848" t="s">
        <v>1</v>
      </c>
      <c r="C1848">
        <v>8914</v>
      </c>
      <c r="D1848" t="str">
        <f>VLOOKUP(B1848,BaseTable,2,FALSE)</f>
        <v>Hinter</v>
      </c>
      <c r="E1848">
        <f>YEAR(A1848)</f>
        <v>2015</v>
      </c>
    </row>
    <row r="1849" spans="1:5">
      <c r="A1849" s="32">
        <v>42159</v>
      </c>
      <c r="B1849" t="s">
        <v>2</v>
      </c>
      <c r="C1849">
        <v>11570</v>
      </c>
      <c r="D1849" t="str">
        <f>VLOOKUP(B1849,BaseTable,2,FALSE)</f>
        <v>Weiter</v>
      </c>
      <c r="E1849">
        <f>YEAR(A1849)</f>
        <v>2015</v>
      </c>
    </row>
    <row r="1850" spans="1:5">
      <c r="A1850" s="32">
        <v>42159</v>
      </c>
      <c r="B1850" t="s">
        <v>3</v>
      </c>
      <c r="C1850">
        <v>31917</v>
      </c>
      <c r="D1850" t="str">
        <f>VLOOKUP(B1850,BaseTable,2,FALSE)</f>
        <v>Schmecken</v>
      </c>
      <c r="E1850">
        <f>YEAR(A1850)</f>
        <v>2015</v>
      </c>
    </row>
    <row r="1851" spans="1:5">
      <c r="A1851" s="32">
        <v>42159</v>
      </c>
      <c r="B1851" t="s">
        <v>4</v>
      </c>
      <c r="C1851">
        <v>32305</v>
      </c>
      <c r="D1851" t="str">
        <f>VLOOKUP(B1851,BaseTable,2,FALSE)</f>
        <v>Danach-NY</v>
      </c>
      <c r="E1851">
        <f>YEAR(A1851)</f>
        <v>2015</v>
      </c>
    </row>
    <row r="1852" spans="1:5">
      <c r="A1852" s="32">
        <v>42159</v>
      </c>
      <c r="B1852" t="s">
        <v>5</v>
      </c>
      <c r="C1852">
        <v>8464</v>
      </c>
      <c r="D1852" t="str">
        <f>VLOOKUP(B1852,BaseTable,2,FALSE)</f>
        <v>Grun</v>
      </c>
      <c r="E1852">
        <f>YEAR(A1852)</f>
        <v>2015</v>
      </c>
    </row>
    <row r="1853" spans="1:5">
      <c r="A1853" s="32">
        <v>42159</v>
      </c>
      <c r="B1853" t="s">
        <v>6</v>
      </c>
      <c r="C1853">
        <v>343</v>
      </c>
      <c r="D1853" t="str">
        <f>VLOOKUP(B1853,BaseTable,2,FALSE)</f>
        <v>Dreist</v>
      </c>
      <c r="E1853">
        <f>YEAR(A1853)</f>
        <v>2015</v>
      </c>
    </row>
    <row r="1854" spans="1:5">
      <c r="A1854" s="32">
        <v>42159</v>
      </c>
      <c r="B1854" t="s">
        <v>7</v>
      </c>
      <c r="C1854">
        <v>60</v>
      </c>
      <c r="D1854" t="str">
        <f>VLOOKUP(B1854,BaseTable,2,FALSE)</f>
        <v>Drinnen</v>
      </c>
      <c r="E1854">
        <f>YEAR(A1854)</f>
        <v>2015</v>
      </c>
    </row>
    <row r="1855" spans="1:5">
      <c r="A1855" s="32">
        <v>42160</v>
      </c>
      <c r="B1855" t="s">
        <v>0</v>
      </c>
      <c r="C1855">
        <v>1638</v>
      </c>
      <c r="D1855" t="str">
        <f>VLOOKUP(B1855,BaseTable,2,FALSE)</f>
        <v>Unter</v>
      </c>
      <c r="E1855">
        <f>YEAR(A1855)</f>
        <v>2015</v>
      </c>
    </row>
    <row r="1856" spans="1:5">
      <c r="A1856" s="32">
        <v>42160</v>
      </c>
      <c r="B1856" t="s">
        <v>1</v>
      </c>
      <c r="C1856">
        <v>8782</v>
      </c>
      <c r="D1856" t="str">
        <f>VLOOKUP(B1856,BaseTable,2,FALSE)</f>
        <v>Hinter</v>
      </c>
      <c r="E1856">
        <f>YEAR(A1856)</f>
        <v>2015</v>
      </c>
    </row>
    <row r="1857" spans="1:5">
      <c r="A1857" s="32">
        <v>42160</v>
      </c>
      <c r="B1857" t="s">
        <v>2</v>
      </c>
      <c r="C1857">
        <v>11704</v>
      </c>
      <c r="D1857" t="str">
        <f>VLOOKUP(B1857,BaseTable,2,FALSE)</f>
        <v>Weiter</v>
      </c>
      <c r="E1857">
        <f>YEAR(A1857)</f>
        <v>2015</v>
      </c>
    </row>
    <row r="1858" spans="1:5">
      <c r="A1858" s="32">
        <v>42160</v>
      </c>
      <c r="B1858" t="s">
        <v>3</v>
      </c>
      <c r="C1858">
        <v>35173</v>
      </c>
      <c r="D1858" t="str">
        <f>VLOOKUP(B1858,BaseTable,2,FALSE)</f>
        <v>Schmecken</v>
      </c>
      <c r="E1858">
        <f>YEAR(A1858)</f>
        <v>2015</v>
      </c>
    </row>
    <row r="1859" spans="1:5">
      <c r="A1859" s="32">
        <v>42160</v>
      </c>
      <c r="B1859" t="s">
        <v>4</v>
      </c>
      <c r="C1859">
        <v>34724</v>
      </c>
      <c r="D1859" t="str">
        <f>VLOOKUP(B1859,BaseTable,2,FALSE)</f>
        <v>Danach-NY</v>
      </c>
      <c r="E1859">
        <f>YEAR(A1859)</f>
        <v>2015</v>
      </c>
    </row>
    <row r="1860" spans="1:5">
      <c r="A1860" s="32">
        <v>42160</v>
      </c>
      <c r="B1860" t="s">
        <v>5</v>
      </c>
      <c r="C1860">
        <v>9475</v>
      </c>
      <c r="D1860" t="str">
        <f>VLOOKUP(B1860,BaseTable,2,FALSE)</f>
        <v>Grun</v>
      </c>
      <c r="E1860">
        <f>YEAR(A1860)</f>
        <v>2015</v>
      </c>
    </row>
    <row r="1861" spans="1:5">
      <c r="A1861" s="32">
        <v>42160</v>
      </c>
      <c r="B1861" t="s">
        <v>6</v>
      </c>
      <c r="C1861">
        <v>374</v>
      </c>
      <c r="D1861" t="str">
        <f>VLOOKUP(B1861,BaseTable,2,FALSE)</f>
        <v>Dreist</v>
      </c>
      <c r="E1861">
        <f>YEAR(A1861)</f>
        <v>2015</v>
      </c>
    </row>
    <row r="1862" spans="1:5">
      <c r="A1862" s="32">
        <v>42160</v>
      </c>
      <c r="B1862" t="s">
        <v>7</v>
      </c>
      <c r="C1862">
        <v>52</v>
      </c>
      <c r="D1862" t="str">
        <f>VLOOKUP(B1862,BaseTable,2,FALSE)</f>
        <v>Drinnen</v>
      </c>
      <c r="E1862">
        <f>YEAR(A1862)</f>
        <v>2015</v>
      </c>
    </row>
    <row r="1863" spans="1:5">
      <c r="A1863" s="32">
        <v>42161</v>
      </c>
      <c r="B1863" t="s">
        <v>0</v>
      </c>
      <c r="C1863">
        <v>1324</v>
      </c>
      <c r="D1863" t="str">
        <f>VLOOKUP(B1863,BaseTable,2,FALSE)</f>
        <v>Unter</v>
      </c>
      <c r="E1863">
        <f>YEAR(A1863)</f>
        <v>2015</v>
      </c>
    </row>
    <row r="1864" spans="1:5">
      <c r="A1864" s="32">
        <v>42161</v>
      </c>
      <c r="B1864" t="s">
        <v>1</v>
      </c>
      <c r="C1864">
        <v>8321</v>
      </c>
      <c r="D1864" t="str">
        <f>VLOOKUP(B1864,BaseTable,2,FALSE)</f>
        <v>Hinter</v>
      </c>
      <c r="E1864">
        <f>YEAR(A1864)</f>
        <v>2015</v>
      </c>
    </row>
    <row r="1865" spans="1:5">
      <c r="A1865" s="32">
        <v>42161</v>
      </c>
      <c r="B1865" t="s">
        <v>2</v>
      </c>
      <c r="C1865">
        <v>10989</v>
      </c>
      <c r="D1865" t="str">
        <f>VLOOKUP(B1865,BaseTable,2,FALSE)</f>
        <v>Weiter</v>
      </c>
      <c r="E1865">
        <f>YEAR(A1865)</f>
        <v>2015</v>
      </c>
    </row>
    <row r="1866" spans="1:5">
      <c r="A1866" s="32">
        <v>42161</v>
      </c>
      <c r="B1866" t="s">
        <v>3</v>
      </c>
      <c r="C1866">
        <v>36512</v>
      </c>
      <c r="D1866" t="str">
        <f>VLOOKUP(B1866,BaseTable,2,FALSE)</f>
        <v>Schmecken</v>
      </c>
      <c r="E1866">
        <f>YEAR(A1866)</f>
        <v>2015</v>
      </c>
    </row>
    <row r="1867" spans="1:5">
      <c r="A1867" s="32">
        <v>42161</v>
      </c>
      <c r="B1867" t="s">
        <v>4</v>
      </c>
      <c r="C1867">
        <v>34844</v>
      </c>
      <c r="D1867" t="str">
        <f>VLOOKUP(B1867,BaseTable,2,FALSE)</f>
        <v>Danach-NY</v>
      </c>
      <c r="E1867">
        <f>YEAR(A1867)</f>
        <v>2015</v>
      </c>
    </row>
    <row r="1868" spans="1:5">
      <c r="A1868" s="32">
        <v>42161</v>
      </c>
      <c r="B1868" t="s">
        <v>5</v>
      </c>
      <c r="C1868">
        <v>9319</v>
      </c>
      <c r="D1868" t="str">
        <f>VLOOKUP(B1868,BaseTable,2,FALSE)</f>
        <v>Grun</v>
      </c>
      <c r="E1868">
        <f>YEAR(A1868)</f>
        <v>2015</v>
      </c>
    </row>
    <row r="1869" spans="1:5">
      <c r="A1869" s="32">
        <v>42161</v>
      </c>
      <c r="B1869" t="s">
        <v>6</v>
      </c>
      <c r="C1869">
        <v>382</v>
      </c>
      <c r="D1869" t="str">
        <f>VLOOKUP(B1869,BaseTable,2,FALSE)</f>
        <v>Dreist</v>
      </c>
      <c r="E1869">
        <f>YEAR(A1869)</f>
        <v>2015</v>
      </c>
    </row>
    <row r="1870" spans="1:5">
      <c r="A1870" s="32">
        <v>42161</v>
      </c>
      <c r="B1870" t="s">
        <v>7</v>
      </c>
      <c r="C1870">
        <v>82</v>
      </c>
      <c r="D1870" t="str">
        <f>VLOOKUP(B1870,BaseTable,2,FALSE)</f>
        <v>Drinnen</v>
      </c>
      <c r="E1870">
        <f>YEAR(A1870)</f>
        <v>2015</v>
      </c>
    </row>
    <row r="1871" spans="1:5">
      <c r="A1871" s="32">
        <v>42162</v>
      </c>
      <c r="B1871" t="s">
        <v>0</v>
      </c>
      <c r="C1871">
        <v>1260</v>
      </c>
      <c r="D1871" t="str">
        <f>VLOOKUP(B1871,BaseTable,2,FALSE)</f>
        <v>Unter</v>
      </c>
      <c r="E1871">
        <f>YEAR(A1871)</f>
        <v>2015</v>
      </c>
    </row>
    <row r="1872" spans="1:5">
      <c r="A1872" s="32">
        <v>42162</v>
      </c>
      <c r="B1872" t="s">
        <v>1</v>
      </c>
      <c r="C1872">
        <v>7271</v>
      </c>
      <c r="D1872" t="str">
        <f>VLOOKUP(B1872,BaseTable,2,FALSE)</f>
        <v>Hinter</v>
      </c>
      <c r="E1872">
        <f>YEAR(A1872)</f>
        <v>2015</v>
      </c>
    </row>
    <row r="1873" spans="1:5">
      <c r="A1873" s="32">
        <v>42162</v>
      </c>
      <c r="B1873" t="s">
        <v>2</v>
      </c>
      <c r="C1873">
        <v>10084</v>
      </c>
      <c r="D1873" t="str">
        <f>VLOOKUP(B1873,BaseTable,2,FALSE)</f>
        <v>Weiter</v>
      </c>
      <c r="E1873">
        <f>YEAR(A1873)</f>
        <v>2015</v>
      </c>
    </row>
    <row r="1874" spans="1:5">
      <c r="A1874" s="32">
        <v>42162</v>
      </c>
      <c r="B1874" t="s">
        <v>3</v>
      </c>
      <c r="C1874">
        <v>30810</v>
      </c>
      <c r="D1874" t="str">
        <f>VLOOKUP(B1874,BaseTable,2,FALSE)</f>
        <v>Schmecken</v>
      </c>
      <c r="E1874">
        <f>YEAR(A1874)</f>
        <v>2015</v>
      </c>
    </row>
    <row r="1875" spans="1:5">
      <c r="A1875" s="32">
        <v>42162</v>
      </c>
      <c r="B1875" t="s">
        <v>4</v>
      </c>
      <c r="C1875">
        <v>30956</v>
      </c>
      <c r="D1875" t="str">
        <f>VLOOKUP(B1875,BaseTable,2,FALSE)</f>
        <v>Danach-NY</v>
      </c>
      <c r="E1875">
        <f>YEAR(A1875)</f>
        <v>2015</v>
      </c>
    </row>
    <row r="1876" spans="1:5">
      <c r="A1876" s="32">
        <v>42162</v>
      </c>
      <c r="B1876" t="s">
        <v>5</v>
      </c>
      <c r="C1876">
        <v>8071</v>
      </c>
      <c r="D1876" t="str">
        <f>VLOOKUP(B1876,BaseTable,2,FALSE)</f>
        <v>Grun</v>
      </c>
      <c r="E1876">
        <f>YEAR(A1876)</f>
        <v>2015</v>
      </c>
    </row>
    <row r="1877" spans="1:5">
      <c r="A1877" s="32">
        <v>42162</v>
      </c>
      <c r="B1877" t="s">
        <v>6</v>
      </c>
      <c r="C1877">
        <v>343</v>
      </c>
      <c r="D1877" t="str">
        <f>VLOOKUP(B1877,BaseTable,2,FALSE)</f>
        <v>Dreist</v>
      </c>
      <c r="E1877">
        <f>YEAR(A1877)</f>
        <v>2015</v>
      </c>
    </row>
    <row r="1878" spans="1:5">
      <c r="A1878" s="32">
        <v>42162</v>
      </c>
      <c r="B1878" t="s">
        <v>7</v>
      </c>
      <c r="C1878">
        <v>81</v>
      </c>
      <c r="D1878" t="str">
        <f>VLOOKUP(B1878,BaseTable,2,FALSE)</f>
        <v>Drinnen</v>
      </c>
      <c r="E1878">
        <f>YEAR(A1878)</f>
        <v>2015</v>
      </c>
    </row>
    <row r="1879" spans="1:5">
      <c r="A1879" s="32">
        <v>42163</v>
      </c>
      <c r="B1879" t="s">
        <v>0</v>
      </c>
      <c r="C1879">
        <v>1290</v>
      </c>
      <c r="D1879" t="str">
        <f>VLOOKUP(B1879,BaseTable,2,FALSE)</f>
        <v>Unter</v>
      </c>
      <c r="E1879">
        <f>YEAR(A1879)</f>
        <v>2015</v>
      </c>
    </row>
    <row r="1880" spans="1:5">
      <c r="A1880" s="32">
        <v>42163</v>
      </c>
      <c r="B1880" t="s">
        <v>1</v>
      </c>
      <c r="C1880">
        <v>6950</v>
      </c>
      <c r="D1880" t="str">
        <f>VLOOKUP(B1880,BaseTable,2,FALSE)</f>
        <v>Hinter</v>
      </c>
      <c r="E1880">
        <f>YEAR(A1880)</f>
        <v>2015</v>
      </c>
    </row>
    <row r="1881" spans="1:5">
      <c r="A1881" s="32">
        <v>42163</v>
      </c>
      <c r="B1881" t="s">
        <v>2</v>
      </c>
      <c r="C1881">
        <v>9095</v>
      </c>
      <c r="D1881" t="str">
        <f>VLOOKUP(B1881,BaseTable,2,FALSE)</f>
        <v>Weiter</v>
      </c>
      <c r="E1881">
        <f>YEAR(A1881)</f>
        <v>2015</v>
      </c>
    </row>
    <row r="1882" spans="1:5">
      <c r="A1882" s="32">
        <v>42163</v>
      </c>
      <c r="B1882" t="s">
        <v>3</v>
      </c>
      <c r="C1882">
        <v>26671</v>
      </c>
      <c r="D1882" t="str">
        <f>VLOOKUP(B1882,BaseTable,2,FALSE)</f>
        <v>Schmecken</v>
      </c>
      <c r="E1882">
        <f>YEAR(A1882)</f>
        <v>2015</v>
      </c>
    </row>
    <row r="1883" spans="1:5">
      <c r="A1883" s="32">
        <v>42163</v>
      </c>
      <c r="B1883" t="s">
        <v>4</v>
      </c>
      <c r="C1883">
        <v>25793</v>
      </c>
      <c r="D1883" t="str">
        <f>VLOOKUP(B1883,BaseTable,2,FALSE)</f>
        <v>Danach-NY</v>
      </c>
      <c r="E1883">
        <f>YEAR(A1883)</f>
        <v>2015</v>
      </c>
    </row>
    <row r="1884" spans="1:5">
      <c r="A1884" s="32">
        <v>42163</v>
      </c>
      <c r="B1884" t="s">
        <v>5</v>
      </c>
      <c r="C1884">
        <v>6752</v>
      </c>
      <c r="D1884" t="str">
        <f>VLOOKUP(B1884,BaseTable,2,FALSE)</f>
        <v>Grun</v>
      </c>
      <c r="E1884">
        <f>YEAR(A1884)</f>
        <v>2015</v>
      </c>
    </row>
    <row r="1885" spans="1:5">
      <c r="A1885" s="32">
        <v>42163</v>
      </c>
      <c r="B1885" t="s">
        <v>6</v>
      </c>
      <c r="C1885">
        <v>301</v>
      </c>
      <c r="D1885" t="str">
        <f>VLOOKUP(B1885,BaseTable,2,FALSE)</f>
        <v>Dreist</v>
      </c>
      <c r="E1885">
        <f>YEAR(A1885)</f>
        <v>2015</v>
      </c>
    </row>
    <row r="1886" spans="1:5">
      <c r="A1886" s="32">
        <v>42163</v>
      </c>
      <c r="B1886" t="s">
        <v>7</v>
      </c>
      <c r="C1886">
        <v>47</v>
      </c>
      <c r="D1886" t="str">
        <f>VLOOKUP(B1886,BaseTable,2,FALSE)</f>
        <v>Drinnen</v>
      </c>
      <c r="E1886">
        <f>YEAR(A1886)</f>
        <v>2015</v>
      </c>
    </row>
    <row r="1887" spans="1:5">
      <c r="A1887" s="32">
        <v>42164</v>
      </c>
      <c r="B1887" t="s">
        <v>0</v>
      </c>
      <c r="C1887">
        <v>1520</v>
      </c>
      <c r="D1887" t="str">
        <f>VLOOKUP(B1887,BaseTable,2,FALSE)</f>
        <v>Unter</v>
      </c>
      <c r="E1887">
        <f>YEAR(A1887)</f>
        <v>2015</v>
      </c>
    </row>
    <row r="1888" spans="1:5">
      <c r="A1888" s="32">
        <v>42164</v>
      </c>
      <c r="B1888" t="s">
        <v>1</v>
      </c>
      <c r="C1888">
        <v>7516</v>
      </c>
      <c r="D1888" t="str">
        <f>VLOOKUP(B1888,BaseTable,2,FALSE)</f>
        <v>Hinter</v>
      </c>
      <c r="E1888">
        <f>YEAR(A1888)</f>
        <v>2015</v>
      </c>
    </row>
    <row r="1889" spans="1:5">
      <c r="A1889" s="32">
        <v>42164</v>
      </c>
      <c r="B1889" t="s">
        <v>2</v>
      </c>
      <c r="C1889">
        <v>9936</v>
      </c>
      <c r="D1889" t="str">
        <f>VLOOKUP(B1889,BaseTable,2,FALSE)</f>
        <v>Weiter</v>
      </c>
      <c r="E1889">
        <f>YEAR(A1889)</f>
        <v>2015</v>
      </c>
    </row>
    <row r="1890" spans="1:5">
      <c r="A1890" s="32">
        <v>42164</v>
      </c>
      <c r="B1890" t="s">
        <v>3</v>
      </c>
      <c r="C1890">
        <v>28113</v>
      </c>
      <c r="D1890" t="str">
        <f>VLOOKUP(B1890,BaseTable,2,FALSE)</f>
        <v>Schmecken</v>
      </c>
      <c r="E1890">
        <f>YEAR(A1890)</f>
        <v>2015</v>
      </c>
    </row>
    <row r="1891" spans="1:5">
      <c r="A1891" s="32">
        <v>42164</v>
      </c>
      <c r="B1891" t="s">
        <v>4</v>
      </c>
      <c r="C1891">
        <v>27533</v>
      </c>
      <c r="D1891" t="str">
        <f>VLOOKUP(B1891,BaseTable,2,FALSE)</f>
        <v>Danach-NY</v>
      </c>
      <c r="E1891">
        <f>YEAR(A1891)</f>
        <v>2015</v>
      </c>
    </row>
    <row r="1892" spans="1:5">
      <c r="A1892" s="32">
        <v>42164</v>
      </c>
      <c r="B1892" t="s">
        <v>5</v>
      </c>
      <c r="C1892">
        <v>7441</v>
      </c>
      <c r="D1892" t="str">
        <f>VLOOKUP(B1892,BaseTable,2,FALSE)</f>
        <v>Grun</v>
      </c>
      <c r="E1892">
        <f>YEAR(A1892)</f>
        <v>2015</v>
      </c>
    </row>
    <row r="1893" spans="1:5">
      <c r="A1893" s="32">
        <v>42164</v>
      </c>
      <c r="B1893" t="s">
        <v>6</v>
      </c>
      <c r="C1893">
        <v>362</v>
      </c>
      <c r="D1893" t="str">
        <f>VLOOKUP(B1893,BaseTable,2,FALSE)</f>
        <v>Dreist</v>
      </c>
      <c r="E1893">
        <f>YEAR(A1893)</f>
        <v>2015</v>
      </c>
    </row>
    <row r="1894" spans="1:5">
      <c r="A1894" s="32">
        <v>42164</v>
      </c>
      <c r="B1894" t="s">
        <v>7</v>
      </c>
      <c r="C1894">
        <v>42</v>
      </c>
      <c r="D1894" t="str">
        <f>VLOOKUP(B1894,BaseTable,2,FALSE)</f>
        <v>Drinnen</v>
      </c>
      <c r="E1894">
        <f>YEAR(A1894)</f>
        <v>2015</v>
      </c>
    </row>
    <row r="1895" spans="1:5">
      <c r="A1895" s="32">
        <v>42165</v>
      </c>
      <c r="B1895" t="s">
        <v>0</v>
      </c>
      <c r="C1895">
        <v>1537</v>
      </c>
      <c r="D1895" t="str">
        <f>VLOOKUP(B1895,BaseTable,2,FALSE)</f>
        <v>Unter</v>
      </c>
      <c r="E1895">
        <f>YEAR(A1895)</f>
        <v>2015</v>
      </c>
    </row>
    <row r="1896" spans="1:5">
      <c r="A1896" s="32">
        <v>42165</v>
      </c>
      <c r="B1896" t="s">
        <v>1</v>
      </c>
      <c r="C1896">
        <v>8108</v>
      </c>
      <c r="D1896" t="str">
        <f>VLOOKUP(B1896,BaseTable,2,FALSE)</f>
        <v>Hinter</v>
      </c>
      <c r="E1896">
        <f>YEAR(A1896)</f>
        <v>2015</v>
      </c>
    </row>
    <row r="1897" spans="1:5">
      <c r="A1897" s="32">
        <v>42165</v>
      </c>
      <c r="B1897" t="s">
        <v>2</v>
      </c>
      <c r="C1897">
        <v>10443</v>
      </c>
      <c r="D1897" t="str">
        <f>VLOOKUP(B1897,BaseTable,2,FALSE)</f>
        <v>Weiter</v>
      </c>
      <c r="E1897">
        <f>YEAR(A1897)</f>
        <v>2015</v>
      </c>
    </row>
    <row r="1898" spans="1:5">
      <c r="A1898" s="32">
        <v>42165</v>
      </c>
      <c r="B1898" t="s">
        <v>3</v>
      </c>
      <c r="C1898">
        <v>30392</v>
      </c>
      <c r="D1898" t="str">
        <f>VLOOKUP(B1898,BaseTable,2,FALSE)</f>
        <v>Schmecken</v>
      </c>
      <c r="E1898">
        <f>YEAR(A1898)</f>
        <v>2015</v>
      </c>
    </row>
    <row r="1899" spans="1:5">
      <c r="A1899" s="32">
        <v>42165</v>
      </c>
      <c r="B1899" t="s">
        <v>4</v>
      </c>
      <c r="C1899">
        <v>28936</v>
      </c>
      <c r="D1899" t="str">
        <f>VLOOKUP(B1899,BaseTable,2,FALSE)</f>
        <v>Danach-NY</v>
      </c>
      <c r="E1899">
        <f>YEAR(A1899)</f>
        <v>2015</v>
      </c>
    </row>
    <row r="1900" spans="1:5">
      <c r="A1900" s="32">
        <v>42165</v>
      </c>
      <c r="B1900" t="s">
        <v>5</v>
      </c>
      <c r="C1900">
        <v>7522</v>
      </c>
      <c r="D1900" t="str">
        <f>VLOOKUP(B1900,BaseTable,2,FALSE)</f>
        <v>Grun</v>
      </c>
      <c r="E1900">
        <f>YEAR(A1900)</f>
        <v>2015</v>
      </c>
    </row>
    <row r="1901" spans="1:5">
      <c r="A1901" s="32">
        <v>42165</v>
      </c>
      <c r="B1901" t="s">
        <v>6</v>
      </c>
      <c r="C1901">
        <v>398</v>
      </c>
      <c r="D1901" t="str">
        <f>VLOOKUP(B1901,BaseTable,2,FALSE)</f>
        <v>Dreist</v>
      </c>
      <c r="E1901">
        <f>YEAR(A1901)</f>
        <v>2015</v>
      </c>
    </row>
    <row r="1902" spans="1:5">
      <c r="A1902" s="32">
        <v>42165</v>
      </c>
      <c r="B1902" t="s">
        <v>7</v>
      </c>
      <c r="C1902">
        <v>67</v>
      </c>
      <c r="D1902" t="str">
        <f>VLOOKUP(B1902,BaseTable,2,FALSE)</f>
        <v>Drinnen</v>
      </c>
      <c r="E1902">
        <f>YEAR(A1902)</f>
        <v>2015</v>
      </c>
    </row>
    <row r="1903" spans="1:5">
      <c r="A1903" s="32">
        <v>42166</v>
      </c>
      <c r="B1903" t="s">
        <v>0</v>
      </c>
      <c r="C1903">
        <v>1678</v>
      </c>
      <c r="D1903" t="str">
        <f>VLOOKUP(B1903,BaseTable,2,FALSE)</f>
        <v>Unter</v>
      </c>
      <c r="E1903">
        <f>YEAR(A1903)</f>
        <v>2015</v>
      </c>
    </row>
    <row r="1904" spans="1:5">
      <c r="A1904" s="32">
        <v>42166</v>
      </c>
      <c r="B1904" t="s">
        <v>1</v>
      </c>
      <c r="C1904">
        <v>9315</v>
      </c>
      <c r="D1904" t="str">
        <f>VLOOKUP(B1904,BaseTable,2,FALSE)</f>
        <v>Hinter</v>
      </c>
      <c r="E1904">
        <f>YEAR(A1904)</f>
        <v>2015</v>
      </c>
    </row>
    <row r="1905" spans="1:5">
      <c r="A1905" s="32">
        <v>42166</v>
      </c>
      <c r="B1905" t="s">
        <v>2</v>
      </c>
      <c r="C1905">
        <v>12040</v>
      </c>
      <c r="D1905" t="str">
        <f>VLOOKUP(B1905,BaseTable,2,FALSE)</f>
        <v>Weiter</v>
      </c>
      <c r="E1905">
        <f>YEAR(A1905)</f>
        <v>2015</v>
      </c>
    </row>
    <row r="1906" spans="1:5">
      <c r="A1906" s="32">
        <v>42166</v>
      </c>
      <c r="B1906" t="s">
        <v>3</v>
      </c>
      <c r="C1906">
        <v>35865</v>
      </c>
      <c r="D1906" t="str">
        <f>VLOOKUP(B1906,BaseTable,2,FALSE)</f>
        <v>Schmecken</v>
      </c>
      <c r="E1906">
        <f>YEAR(A1906)</f>
        <v>2015</v>
      </c>
    </row>
    <row r="1907" spans="1:5">
      <c r="A1907" s="32">
        <v>42166</v>
      </c>
      <c r="B1907" t="s">
        <v>4</v>
      </c>
      <c r="C1907">
        <v>33617</v>
      </c>
      <c r="D1907" t="str">
        <f>VLOOKUP(B1907,BaseTable,2,FALSE)</f>
        <v>Danach-NY</v>
      </c>
      <c r="E1907">
        <f>YEAR(A1907)</f>
        <v>2015</v>
      </c>
    </row>
    <row r="1908" spans="1:5">
      <c r="A1908" s="32">
        <v>42166</v>
      </c>
      <c r="B1908" t="s">
        <v>5</v>
      </c>
      <c r="C1908">
        <v>9013</v>
      </c>
      <c r="D1908" t="str">
        <f>VLOOKUP(B1908,BaseTable,2,FALSE)</f>
        <v>Grun</v>
      </c>
      <c r="E1908">
        <f>YEAR(A1908)</f>
        <v>2015</v>
      </c>
    </row>
    <row r="1909" spans="1:5">
      <c r="A1909" s="32">
        <v>42166</v>
      </c>
      <c r="B1909" t="s">
        <v>6</v>
      </c>
      <c r="C1909">
        <v>414</v>
      </c>
      <c r="D1909" t="str">
        <f>VLOOKUP(B1909,BaseTable,2,FALSE)</f>
        <v>Dreist</v>
      </c>
      <c r="E1909">
        <f>YEAR(A1909)</f>
        <v>2015</v>
      </c>
    </row>
    <row r="1910" spans="1:5">
      <c r="A1910" s="32">
        <v>42166</v>
      </c>
      <c r="B1910" t="s">
        <v>7</v>
      </c>
      <c r="C1910">
        <v>71</v>
      </c>
      <c r="D1910" t="str">
        <f>VLOOKUP(B1910,BaseTable,2,FALSE)</f>
        <v>Drinnen</v>
      </c>
      <c r="E1910">
        <f>YEAR(A1910)</f>
        <v>2015</v>
      </c>
    </row>
    <row r="1911" spans="1:5">
      <c r="A1911" s="32">
        <v>42167</v>
      </c>
      <c r="B1911" t="s">
        <v>0</v>
      </c>
      <c r="C1911">
        <v>1746</v>
      </c>
      <c r="D1911" t="str">
        <f>VLOOKUP(B1911,BaseTable,2,FALSE)</f>
        <v>Unter</v>
      </c>
      <c r="E1911">
        <f>YEAR(A1911)</f>
        <v>2015</v>
      </c>
    </row>
    <row r="1912" spans="1:5">
      <c r="A1912" s="32">
        <v>42167</v>
      </c>
      <c r="B1912" t="s">
        <v>1</v>
      </c>
      <c r="C1912">
        <v>8864</v>
      </c>
      <c r="D1912" t="str">
        <f>VLOOKUP(B1912,BaseTable,2,FALSE)</f>
        <v>Hinter</v>
      </c>
      <c r="E1912">
        <f>YEAR(A1912)</f>
        <v>2015</v>
      </c>
    </row>
    <row r="1913" spans="1:5">
      <c r="A1913" s="32">
        <v>42167</v>
      </c>
      <c r="B1913" t="s">
        <v>2</v>
      </c>
      <c r="C1913">
        <v>11573</v>
      </c>
      <c r="D1913" t="str">
        <f>VLOOKUP(B1913,BaseTable,2,FALSE)</f>
        <v>Weiter</v>
      </c>
      <c r="E1913">
        <f>YEAR(A1913)</f>
        <v>2015</v>
      </c>
    </row>
    <row r="1914" spans="1:5">
      <c r="A1914" s="32">
        <v>42167</v>
      </c>
      <c r="B1914" t="s">
        <v>3</v>
      </c>
      <c r="C1914">
        <v>36735</v>
      </c>
      <c r="D1914" t="str">
        <f>VLOOKUP(B1914,BaseTable,2,FALSE)</f>
        <v>Schmecken</v>
      </c>
      <c r="E1914">
        <f>YEAR(A1914)</f>
        <v>2015</v>
      </c>
    </row>
    <row r="1915" spans="1:5">
      <c r="A1915" s="32">
        <v>42167</v>
      </c>
      <c r="B1915" t="s">
        <v>4</v>
      </c>
      <c r="C1915">
        <v>34346</v>
      </c>
      <c r="D1915" t="str">
        <f>VLOOKUP(B1915,BaseTable,2,FALSE)</f>
        <v>Danach-NY</v>
      </c>
      <c r="E1915">
        <f>YEAR(A1915)</f>
        <v>2015</v>
      </c>
    </row>
    <row r="1916" spans="1:5">
      <c r="A1916" s="32">
        <v>42167</v>
      </c>
      <c r="B1916" t="s">
        <v>5</v>
      </c>
      <c r="C1916">
        <v>9203</v>
      </c>
      <c r="D1916" t="str">
        <f>VLOOKUP(B1916,BaseTable,2,FALSE)</f>
        <v>Grun</v>
      </c>
      <c r="E1916">
        <f>YEAR(A1916)</f>
        <v>2015</v>
      </c>
    </row>
    <row r="1917" spans="1:5">
      <c r="A1917" s="32">
        <v>42167</v>
      </c>
      <c r="B1917" t="s">
        <v>6</v>
      </c>
      <c r="C1917">
        <v>512</v>
      </c>
      <c r="D1917" t="str">
        <f>VLOOKUP(B1917,BaseTable,2,FALSE)</f>
        <v>Dreist</v>
      </c>
      <c r="E1917">
        <f>YEAR(A1917)</f>
        <v>2015</v>
      </c>
    </row>
    <row r="1918" spans="1:5">
      <c r="A1918" s="32">
        <v>42167</v>
      </c>
      <c r="B1918" t="s">
        <v>7</v>
      </c>
      <c r="C1918">
        <v>73</v>
      </c>
      <c r="D1918" t="str">
        <f>VLOOKUP(B1918,BaseTable,2,FALSE)</f>
        <v>Drinnen</v>
      </c>
      <c r="E1918">
        <f>YEAR(A1918)</f>
        <v>2015</v>
      </c>
    </row>
    <row r="1919" spans="1:5">
      <c r="A1919" s="32">
        <v>42168</v>
      </c>
      <c r="B1919" t="s">
        <v>0</v>
      </c>
      <c r="C1919">
        <v>1319</v>
      </c>
      <c r="D1919" t="str">
        <f>VLOOKUP(B1919,BaseTable,2,FALSE)</f>
        <v>Unter</v>
      </c>
      <c r="E1919">
        <f>YEAR(A1919)</f>
        <v>2015</v>
      </c>
    </row>
    <row r="1920" spans="1:5">
      <c r="A1920" s="32">
        <v>42168</v>
      </c>
      <c r="B1920" t="s">
        <v>1</v>
      </c>
      <c r="C1920">
        <v>8376</v>
      </c>
      <c r="D1920" t="str">
        <f>VLOOKUP(B1920,BaseTable,2,FALSE)</f>
        <v>Hinter</v>
      </c>
      <c r="E1920">
        <f>YEAR(A1920)</f>
        <v>2015</v>
      </c>
    </row>
    <row r="1921" spans="1:5">
      <c r="A1921" s="32">
        <v>42168</v>
      </c>
      <c r="B1921" t="s">
        <v>2</v>
      </c>
      <c r="C1921">
        <v>10823</v>
      </c>
      <c r="D1921" t="str">
        <f>VLOOKUP(B1921,BaseTable,2,FALSE)</f>
        <v>Weiter</v>
      </c>
      <c r="E1921">
        <f>YEAR(A1921)</f>
        <v>2015</v>
      </c>
    </row>
    <row r="1922" spans="1:5">
      <c r="A1922" s="32">
        <v>42168</v>
      </c>
      <c r="B1922" t="s">
        <v>3</v>
      </c>
      <c r="C1922">
        <v>37210</v>
      </c>
      <c r="D1922" t="str">
        <f>VLOOKUP(B1922,BaseTable,2,FALSE)</f>
        <v>Schmecken</v>
      </c>
      <c r="E1922">
        <f>YEAR(A1922)</f>
        <v>2015</v>
      </c>
    </row>
    <row r="1923" spans="1:5">
      <c r="A1923" s="32">
        <v>42168</v>
      </c>
      <c r="B1923" t="s">
        <v>4</v>
      </c>
      <c r="C1923">
        <v>33615</v>
      </c>
      <c r="D1923" t="str">
        <f>VLOOKUP(B1923,BaseTable,2,FALSE)</f>
        <v>Danach-NY</v>
      </c>
      <c r="E1923">
        <f>YEAR(A1923)</f>
        <v>2015</v>
      </c>
    </row>
    <row r="1924" spans="1:5">
      <c r="A1924" s="32">
        <v>42168</v>
      </c>
      <c r="B1924" t="s">
        <v>5</v>
      </c>
      <c r="C1924">
        <v>9076</v>
      </c>
      <c r="D1924" t="str">
        <f>VLOOKUP(B1924,BaseTable,2,FALSE)</f>
        <v>Grun</v>
      </c>
      <c r="E1924">
        <f>YEAR(A1924)</f>
        <v>2015</v>
      </c>
    </row>
    <row r="1925" spans="1:5">
      <c r="A1925" s="32">
        <v>42168</v>
      </c>
      <c r="B1925" t="s">
        <v>6</v>
      </c>
      <c r="C1925">
        <v>653</v>
      </c>
      <c r="D1925" t="str">
        <f>VLOOKUP(B1925,BaseTable,2,FALSE)</f>
        <v>Dreist</v>
      </c>
      <c r="E1925">
        <f>YEAR(A1925)</f>
        <v>2015</v>
      </c>
    </row>
    <row r="1926" spans="1:5">
      <c r="A1926" s="32">
        <v>42168</v>
      </c>
      <c r="B1926" t="s">
        <v>7</v>
      </c>
      <c r="C1926">
        <v>98</v>
      </c>
      <c r="D1926" t="str">
        <f>VLOOKUP(B1926,BaseTable,2,FALSE)</f>
        <v>Drinnen</v>
      </c>
      <c r="E1926">
        <f>YEAR(A1926)</f>
        <v>2015</v>
      </c>
    </row>
    <row r="1927" spans="1:5">
      <c r="A1927" s="32">
        <v>42169</v>
      </c>
      <c r="B1927" t="s">
        <v>0</v>
      </c>
      <c r="C1927">
        <v>1160</v>
      </c>
      <c r="D1927" t="str">
        <f>VLOOKUP(B1927,BaseTable,2,FALSE)</f>
        <v>Unter</v>
      </c>
      <c r="E1927">
        <f>YEAR(A1927)</f>
        <v>2015</v>
      </c>
    </row>
    <row r="1928" spans="1:5">
      <c r="A1928" s="32">
        <v>42169</v>
      </c>
      <c r="B1928" t="s">
        <v>1</v>
      </c>
      <c r="C1928">
        <v>7284</v>
      </c>
      <c r="D1928" t="str">
        <f>VLOOKUP(B1928,BaseTable,2,FALSE)</f>
        <v>Hinter</v>
      </c>
      <c r="E1928">
        <f>YEAR(A1928)</f>
        <v>2015</v>
      </c>
    </row>
    <row r="1929" spans="1:5">
      <c r="A1929" s="32">
        <v>42169</v>
      </c>
      <c r="B1929" t="s">
        <v>2</v>
      </c>
      <c r="C1929">
        <v>10060</v>
      </c>
      <c r="D1929" t="str">
        <f>VLOOKUP(B1929,BaseTable,2,FALSE)</f>
        <v>Weiter</v>
      </c>
      <c r="E1929">
        <f>YEAR(A1929)</f>
        <v>2015</v>
      </c>
    </row>
    <row r="1930" spans="1:5">
      <c r="A1930" s="32">
        <v>42169</v>
      </c>
      <c r="B1930" t="s">
        <v>3</v>
      </c>
      <c r="C1930">
        <v>32537</v>
      </c>
      <c r="D1930" t="str">
        <f>VLOOKUP(B1930,BaseTable,2,FALSE)</f>
        <v>Schmecken</v>
      </c>
      <c r="E1930">
        <f>YEAR(A1930)</f>
        <v>2015</v>
      </c>
    </row>
    <row r="1931" spans="1:5">
      <c r="A1931" s="32">
        <v>42169</v>
      </c>
      <c r="B1931" t="s">
        <v>4</v>
      </c>
      <c r="C1931">
        <v>30968</v>
      </c>
      <c r="D1931" t="str">
        <f>VLOOKUP(B1931,BaseTable,2,FALSE)</f>
        <v>Danach-NY</v>
      </c>
      <c r="E1931">
        <f>YEAR(A1931)</f>
        <v>2015</v>
      </c>
    </row>
    <row r="1932" spans="1:5">
      <c r="A1932" s="32">
        <v>42169</v>
      </c>
      <c r="B1932" t="s">
        <v>5</v>
      </c>
      <c r="C1932">
        <v>8129</v>
      </c>
      <c r="D1932" t="str">
        <f>VLOOKUP(B1932,BaseTable,2,FALSE)</f>
        <v>Grun</v>
      </c>
      <c r="E1932">
        <f>YEAR(A1932)</f>
        <v>2015</v>
      </c>
    </row>
    <row r="1933" spans="1:5">
      <c r="A1933" s="32">
        <v>42169</v>
      </c>
      <c r="B1933" t="s">
        <v>6</v>
      </c>
      <c r="C1933">
        <v>636</v>
      </c>
      <c r="D1933" t="str">
        <f>VLOOKUP(B1933,BaseTable,2,FALSE)</f>
        <v>Dreist</v>
      </c>
      <c r="E1933">
        <f>YEAR(A1933)</f>
        <v>2015</v>
      </c>
    </row>
    <row r="1934" spans="1:5">
      <c r="A1934" s="32">
        <v>42169</v>
      </c>
      <c r="B1934" t="s">
        <v>7</v>
      </c>
      <c r="C1934">
        <v>82</v>
      </c>
      <c r="D1934" t="str">
        <f>VLOOKUP(B1934,BaseTable,2,FALSE)</f>
        <v>Drinnen</v>
      </c>
      <c r="E1934">
        <f>YEAR(A1934)</f>
        <v>2015</v>
      </c>
    </row>
    <row r="1935" spans="1:5">
      <c r="A1935" s="32">
        <v>42170</v>
      </c>
      <c r="B1935" t="s">
        <v>0</v>
      </c>
      <c r="C1935">
        <v>1396</v>
      </c>
      <c r="D1935" t="str">
        <f>VLOOKUP(B1935,BaseTable,2,FALSE)</f>
        <v>Unter</v>
      </c>
      <c r="E1935">
        <f>YEAR(A1935)</f>
        <v>2015</v>
      </c>
    </row>
    <row r="1936" spans="1:5">
      <c r="A1936" s="32">
        <v>42170</v>
      </c>
      <c r="B1936" t="s">
        <v>1</v>
      </c>
      <c r="C1936">
        <v>7893</v>
      </c>
      <c r="D1936" t="str">
        <f>VLOOKUP(B1936,BaseTable,2,FALSE)</f>
        <v>Hinter</v>
      </c>
      <c r="E1936">
        <f>YEAR(A1936)</f>
        <v>2015</v>
      </c>
    </row>
    <row r="1937" spans="1:5">
      <c r="A1937" s="32">
        <v>42170</v>
      </c>
      <c r="B1937" t="s">
        <v>2</v>
      </c>
      <c r="C1937">
        <v>9644</v>
      </c>
      <c r="D1937" t="str">
        <f>VLOOKUP(B1937,BaseTable,2,FALSE)</f>
        <v>Weiter</v>
      </c>
      <c r="E1937">
        <f>YEAR(A1937)</f>
        <v>2015</v>
      </c>
    </row>
    <row r="1938" spans="1:5">
      <c r="A1938" s="32">
        <v>42170</v>
      </c>
      <c r="B1938" t="s">
        <v>3</v>
      </c>
      <c r="C1938">
        <v>30228</v>
      </c>
      <c r="D1938" t="str">
        <f>VLOOKUP(B1938,BaseTable,2,FALSE)</f>
        <v>Schmecken</v>
      </c>
      <c r="E1938">
        <f>YEAR(A1938)</f>
        <v>2015</v>
      </c>
    </row>
    <row r="1939" spans="1:5">
      <c r="A1939" s="32">
        <v>42170</v>
      </c>
      <c r="B1939" t="s">
        <v>4</v>
      </c>
      <c r="C1939">
        <v>28509</v>
      </c>
      <c r="D1939" t="str">
        <f>VLOOKUP(B1939,BaseTable,2,FALSE)</f>
        <v>Danach-NY</v>
      </c>
      <c r="E1939">
        <f>YEAR(A1939)</f>
        <v>2015</v>
      </c>
    </row>
    <row r="1940" spans="1:5">
      <c r="A1940" s="32">
        <v>42170</v>
      </c>
      <c r="B1940" t="s">
        <v>5</v>
      </c>
      <c r="C1940">
        <v>7593</v>
      </c>
      <c r="D1940" t="str">
        <f>VLOOKUP(B1940,BaseTable,2,FALSE)</f>
        <v>Grun</v>
      </c>
      <c r="E1940">
        <f>YEAR(A1940)</f>
        <v>2015</v>
      </c>
    </row>
    <row r="1941" spans="1:5">
      <c r="A1941" s="32">
        <v>42170</v>
      </c>
      <c r="B1941" t="s">
        <v>6</v>
      </c>
      <c r="C1941">
        <v>536</v>
      </c>
      <c r="D1941" t="str">
        <f>VLOOKUP(B1941,BaseTable,2,FALSE)</f>
        <v>Dreist</v>
      </c>
      <c r="E1941">
        <f>YEAR(A1941)</f>
        <v>2015</v>
      </c>
    </row>
    <row r="1942" spans="1:5">
      <c r="A1942" s="32">
        <v>42170</v>
      </c>
      <c r="B1942" t="s">
        <v>7</v>
      </c>
      <c r="C1942">
        <v>58</v>
      </c>
      <c r="D1942" t="str">
        <f>VLOOKUP(B1942,BaseTable,2,FALSE)</f>
        <v>Drinnen</v>
      </c>
      <c r="E1942">
        <f>YEAR(A1942)</f>
        <v>2015</v>
      </c>
    </row>
    <row r="1943" spans="1:5">
      <c r="A1943" s="32">
        <v>42171</v>
      </c>
      <c r="B1943" t="s">
        <v>0</v>
      </c>
      <c r="C1943">
        <v>1612</v>
      </c>
      <c r="D1943" t="str">
        <f>VLOOKUP(B1943,BaseTable,2,FALSE)</f>
        <v>Unter</v>
      </c>
      <c r="E1943">
        <f>YEAR(A1943)</f>
        <v>2015</v>
      </c>
    </row>
    <row r="1944" spans="1:5">
      <c r="A1944" s="32">
        <v>42171</v>
      </c>
      <c r="B1944" t="s">
        <v>1</v>
      </c>
      <c r="C1944">
        <v>7445</v>
      </c>
      <c r="D1944" t="str">
        <f>VLOOKUP(B1944,BaseTable,2,FALSE)</f>
        <v>Hinter</v>
      </c>
      <c r="E1944">
        <f>YEAR(A1944)</f>
        <v>2015</v>
      </c>
    </row>
    <row r="1945" spans="1:5">
      <c r="A1945" s="32">
        <v>42171</v>
      </c>
      <c r="B1945" t="s">
        <v>2</v>
      </c>
      <c r="C1945">
        <v>10263</v>
      </c>
      <c r="D1945" t="str">
        <f>VLOOKUP(B1945,BaseTable,2,FALSE)</f>
        <v>Weiter</v>
      </c>
      <c r="E1945">
        <f>YEAR(A1945)</f>
        <v>2015</v>
      </c>
    </row>
    <row r="1946" spans="1:5">
      <c r="A1946" s="32">
        <v>42171</v>
      </c>
      <c r="B1946" t="s">
        <v>3</v>
      </c>
      <c r="C1946">
        <v>31654</v>
      </c>
      <c r="D1946" t="str">
        <f>VLOOKUP(B1946,BaseTable,2,FALSE)</f>
        <v>Schmecken</v>
      </c>
      <c r="E1946">
        <f>YEAR(A1946)</f>
        <v>2015</v>
      </c>
    </row>
    <row r="1947" spans="1:5">
      <c r="A1947" s="32">
        <v>42171</v>
      </c>
      <c r="B1947" t="s">
        <v>4</v>
      </c>
      <c r="C1947">
        <v>29472</v>
      </c>
      <c r="D1947" t="str">
        <f>VLOOKUP(B1947,BaseTable,2,FALSE)</f>
        <v>Danach-NY</v>
      </c>
      <c r="E1947">
        <f>YEAR(A1947)</f>
        <v>2015</v>
      </c>
    </row>
    <row r="1948" spans="1:5">
      <c r="A1948" s="32">
        <v>42171</v>
      </c>
      <c r="B1948" t="s">
        <v>5</v>
      </c>
      <c r="C1948">
        <v>7939</v>
      </c>
      <c r="D1948" t="str">
        <f>VLOOKUP(B1948,BaseTable,2,FALSE)</f>
        <v>Grun</v>
      </c>
      <c r="E1948">
        <f>YEAR(A1948)</f>
        <v>2015</v>
      </c>
    </row>
    <row r="1949" spans="1:5">
      <c r="A1949" s="32">
        <v>42171</v>
      </c>
      <c r="B1949" t="s">
        <v>6</v>
      </c>
      <c r="C1949">
        <v>706</v>
      </c>
      <c r="D1949" t="str">
        <f>VLOOKUP(B1949,BaseTable,2,FALSE)</f>
        <v>Dreist</v>
      </c>
      <c r="E1949">
        <f>YEAR(A1949)</f>
        <v>2015</v>
      </c>
    </row>
    <row r="1950" spans="1:5">
      <c r="A1950" s="32">
        <v>42171</v>
      </c>
      <c r="B1950" t="s">
        <v>7</v>
      </c>
      <c r="C1950">
        <v>80</v>
      </c>
      <c r="D1950" t="str">
        <f>VLOOKUP(B1950,BaseTable,2,FALSE)</f>
        <v>Drinnen</v>
      </c>
      <c r="E1950">
        <f>YEAR(A1950)</f>
        <v>2015</v>
      </c>
    </row>
    <row r="1951" spans="1:5">
      <c r="A1951" s="32">
        <v>42172</v>
      </c>
      <c r="B1951" t="s">
        <v>0</v>
      </c>
      <c r="C1951">
        <v>1586</v>
      </c>
      <c r="D1951" t="str">
        <f>VLOOKUP(B1951,BaseTable,2,FALSE)</f>
        <v>Unter</v>
      </c>
      <c r="E1951">
        <f>YEAR(A1951)</f>
        <v>2015</v>
      </c>
    </row>
    <row r="1952" spans="1:5">
      <c r="A1952" s="32">
        <v>42172</v>
      </c>
      <c r="B1952" t="s">
        <v>1</v>
      </c>
      <c r="C1952">
        <v>8453</v>
      </c>
      <c r="D1952" t="str">
        <f>VLOOKUP(B1952,BaseTable,2,FALSE)</f>
        <v>Hinter</v>
      </c>
      <c r="E1952">
        <f>YEAR(A1952)</f>
        <v>2015</v>
      </c>
    </row>
    <row r="1953" spans="1:5">
      <c r="A1953" s="32">
        <v>42172</v>
      </c>
      <c r="B1953" t="s">
        <v>2</v>
      </c>
      <c r="C1953">
        <v>11113</v>
      </c>
      <c r="D1953" t="str">
        <f>VLOOKUP(B1953,BaseTable,2,FALSE)</f>
        <v>Weiter</v>
      </c>
      <c r="E1953">
        <f>YEAR(A1953)</f>
        <v>2015</v>
      </c>
    </row>
    <row r="1954" spans="1:5">
      <c r="A1954" s="32">
        <v>42172</v>
      </c>
      <c r="B1954" t="s">
        <v>3</v>
      </c>
      <c r="C1954">
        <v>32962</v>
      </c>
      <c r="D1954" t="str">
        <f>VLOOKUP(B1954,BaseTable,2,FALSE)</f>
        <v>Schmecken</v>
      </c>
      <c r="E1954">
        <f>YEAR(A1954)</f>
        <v>2015</v>
      </c>
    </row>
    <row r="1955" spans="1:5">
      <c r="A1955" s="32">
        <v>42172</v>
      </c>
      <c r="B1955" t="s">
        <v>4</v>
      </c>
      <c r="C1955">
        <v>30523</v>
      </c>
      <c r="D1955" t="str">
        <f>VLOOKUP(B1955,BaseTable,2,FALSE)</f>
        <v>Danach-NY</v>
      </c>
      <c r="E1955">
        <f>YEAR(A1955)</f>
        <v>2015</v>
      </c>
    </row>
    <row r="1956" spans="1:5">
      <c r="A1956" s="32">
        <v>42172</v>
      </c>
      <c r="B1956" t="s">
        <v>5</v>
      </c>
      <c r="C1956">
        <v>8157</v>
      </c>
      <c r="D1956" t="str">
        <f>VLOOKUP(B1956,BaseTable,2,FALSE)</f>
        <v>Grun</v>
      </c>
      <c r="E1956">
        <f>YEAR(A1956)</f>
        <v>2015</v>
      </c>
    </row>
    <row r="1957" spans="1:5">
      <c r="A1957" s="32">
        <v>42172</v>
      </c>
      <c r="B1957" t="s">
        <v>6</v>
      </c>
      <c r="C1957">
        <v>858</v>
      </c>
      <c r="D1957" t="str">
        <f>VLOOKUP(B1957,BaseTable,2,FALSE)</f>
        <v>Dreist</v>
      </c>
      <c r="E1957">
        <f>YEAR(A1957)</f>
        <v>2015</v>
      </c>
    </row>
    <row r="1958" spans="1:5">
      <c r="A1958" s="32">
        <v>42172</v>
      </c>
      <c r="B1958" t="s">
        <v>7</v>
      </c>
      <c r="C1958">
        <v>54</v>
      </c>
      <c r="D1958" t="str">
        <f>VLOOKUP(B1958,BaseTable,2,FALSE)</f>
        <v>Drinnen</v>
      </c>
      <c r="E1958">
        <f>YEAR(A1958)</f>
        <v>2015</v>
      </c>
    </row>
    <row r="1959" spans="1:5">
      <c r="A1959" s="32">
        <v>42173</v>
      </c>
      <c r="B1959" t="s">
        <v>0</v>
      </c>
      <c r="C1959">
        <v>1763</v>
      </c>
      <c r="D1959" t="str">
        <f>VLOOKUP(B1959,BaseTable,2,FALSE)</f>
        <v>Unter</v>
      </c>
      <c r="E1959">
        <f>YEAR(A1959)</f>
        <v>2015</v>
      </c>
    </row>
    <row r="1960" spans="1:5">
      <c r="A1960" s="32">
        <v>42173</v>
      </c>
      <c r="B1960" t="s">
        <v>1</v>
      </c>
      <c r="C1960">
        <v>9123</v>
      </c>
      <c r="D1960" t="str">
        <f>VLOOKUP(B1960,BaseTable,2,FALSE)</f>
        <v>Hinter</v>
      </c>
      <c r="E1960">
        <f>YEAR(A1960)</f>
        <v>2015</v>
      </c>
    </row>
    <row r="1961" spans="1:5">
      <c r="A1961" s="32">
        <v>42173</v>
      </c>
      <c r="B1961" t="s">
        <v>2</v>
      </c>
      <c r="C1961">
        <v>11816</v>
      </c>
      <c r="D1961" t="str">
        <f>VLOOKUP(B1961,BaseTable,2,FALSE)</f>
        <v>Weiter</v>
      </c>
      <c r="E1961">
        <f>YEAR(A1961)</f>
        <v>2015</v>
      </c>
    </row>
    <row r="1962" spans="1:5">
      <c r="A1962" s="32">
        <v>42173</v>
      </c>
      <c r="B1962" t="s">
        <v>3</v>
      </c>
      <c r="C1962">
        <v>35315</v>
      </c>
      <c r="D1962" t="str">
        <f>VLOOKUP(B1962,BaseTable,2,FALSE)</f>
        <v>Schmecken</v>
      </c>
      <c r="E1962">
        <f>YEAR(A1962)</f>
        <v>2015</v>
      </c>
    </row>
    <row r="1963" spans="1:5">
      <c r="A1963" s="32">
        <v>42173</v>
      </c>
      <c r="B1963" t="s">
        <v>4</v>
      </c>
      <c r="C1963">
        <v>32021</v>
      </c>
      <c r="D1963" t="str">
        <f>VLOOKUP(B1963,BaseTable,2,FALSE)</f>
        <v>Danach-NY</v>
      </c>
      <c r="E1963">
        <f>YEAR(A1963)</f>
        <v>2015</v>
      </c>
    </row>
    <row r="1964" spans="1:5">
      <c r="A1964" s="32">
        <v>42173</v>
      </c>
      <c r="B1964" t="s">
        <v>5</v>
      </c>
      <c r="C1964">
        <v>8809</v>
      </c>
      <c r="D1964" t="str">
        <f>VLOOKUP(B1964,BaseTable,2,FALSE)</f>
        <v>Grun</v>
      </c>
      <c r="E1964">
        <f>YEAR(A1964)</f>
        <v>2015</v>
      </c>
    </row>
    <row r="1965" spans="1:5">
      <c r="A1965" s="32">
        <v>42173</v>
      </c>
      <c r="B1965" t="s">
        <v>6</v>
      </c>
      <c r="C1965">
        <v>955</v>
      </c>
      <c r="D1965" t="str">
        <f>VLOOKUP(B1965,BaseTable,2,FALSE)</f>
        <v>Dreist</v>
      </c>
      <c r="E1965">
        <f>YEAR(A1965)</f>
        <v>2015</v>
      </c>
    </row>
    <row r="1966" spans="1:5">
      <c r="A1966" s="32">
        <v>42173</v>
      </c>
      <c r="B1966" t="s">
        <v>7</v>
      </c>
      <c r="C1966">
        <v>40</v>
      </c>
      <c r="D1966" t="str">
        <f>VLOOKUP(B1966,BaseTable,2,FALSE)</f>
        <v>Drinnen</v>
      </c>
      <c r="E1966">
        <f>YEAR(A1966)</f>
        <v>2015</v>
      </c>
    </row>
    <row r="1967" spans="1:5">
      <c r="A1967" s="32">
        <v>42174</v>
      </c>
      <c r="B1967" t="s">
        <v>0</v>
      </c>
      <c r="C1967">
        <v>1593</v>
      </c>
      <c r="D1967" t="str">
        <f>VLOOKUP(B1967,BaseTable,2,FALSE)</f>
        <v>Unter</v>
      </c>
      <c r="E1967">
        <f>YEAR(A1967)</f>
        <v>2015</v>
      </c>
    </row>
    <row r="1968" spans="1:5">
      <c r="A1968" s="32">
        <v>42174</v>
      </c>
      <c r="B1968" t="s">
        <v>1</v>
      </c>
      <c r="C1968">
        <v>8393</v>
      </c>
      <c r="D1968" t="str">
        <f>VLOOKUP(B1968,BaseTable,2,FALSE)</f>
        <v>Hinter</v>
      </c>
      <c r="E1968">
        <f>YEAR(A1968)</f>
        <v>2015</v>
      </c>
    </row>
    <row r="1969" spans="1:5">
      <c r="A1969" s="32">
        <v>42174</v>
      </c>
      <c r="B1969" t="s">
        <v>2</v>
      </c>
      <c r="C1969">
        <v>11198</v>
      </c>
      <c r="D1969" t="str">
        <f>VLOOKUP(B1969,BaseTable,2,FALSE)</f>
        <v>Weiter</v>
      </c>
      <c r="E1969">
        <f>YEAR(A1969)</f>
        <v>2015</v>
      </c>
    </row>
    <row r="1970" spans="1:5">
      <c r="A1970" s="32">
        <v>42174</v>
      </c>
      <c r="B1970" t="s">
        <v>3</v>
      </c>
      <c r="C1970">
        <v>36978</v>
      </c>
      <c r="D1970" t="str">
        <f>VLOOKUP(B1970,BaseTable,2,FALSE)</f>
        <v>Schmecken</v>
      </c>
      <c r="E1970">
        <f>YEAR(A1970)</f>
        <v>2015</v>
      </c>
    </row>
    <row r="1971" spans="1:5">
      <c r="A1971" s="32">
        <v>42174</v>
      </c>
      <c r="B1971" t="s">
        <v>4</v>
      </c>
      <c r="C1971">
        <v>33281</v>
      </c>
      <c r="D1971" t="str">
        <f>VLOOKUP(B1971,BaseTable,2,FALSE)</f>
        <v>Danach-NY</v>
      </c>
      <c r="E1971">
        <f>YEAR(A1971)</f>
        <v>2015</v>
      </c>
    </row>
    <row r="1972" spans="1:5">
      <c r="A1972" s="32">
        <v>42174</v>
      </c>
      <c r="B1972" t="s">
        <v>5</v>
      </c>
      <c r="C1972">
        <v>9055</v>
      </c>
      <c r="D1972" t="str">
        <f>VLOOKUP(B1972,BaseTable,2,FALSE)</f>
        <v>Grun</v>
      </c>
      <c r="E1972">
        <f>YEAR(A1972)</f>
        <v>2015</v>
      </c>
    </row>
    <row r="1973" spans="1:5">
      <c r="A1973" s="32">
        <v>42174</v>
      </c>
      <c r="B1973" t="s">
        <v>6</v>
      </c>
      <c r="C1973">
        <v>1130</v>
      </c>
      <c r="D1973" t="str">
        <f>VLOOKUP(B1973,BaseTable,2,FALSE)</f>
        <v>Dreist</v>
      </c>
      <c r="E1973">
        <f>YEAR(A1973)</f>
        <v>2015</v>
      </c>
    </row>
    <row r="1974" spans="1:5">
      <c r="A1974" s="32">
        <v>42174</v>
      </c>
      <c r="B1974" t="s">
        <v>7</v>
      </c>
      <c r="C1974">
        <v>75</v>
      </c>
      <c r="D1974" t="str">
        <f>VLOOKUP(B1974,BaseTable,2,FALSE)</f>
        <v>Drinnen</v>
      </c>
      <c r="E1974">
        <f>YEAR(A1974)</f>
        <v>2015</v>
      </c>
    </row>
    <row r="1975" spans="1:5">
      <c r="A1975" s="32">
        <v>42175</v>
      </c>
      <c r="B1975" t="s">
        <v>0</v>
      </c>
      <c r="C1975">
        <v>1263</v>
      </c>
      <c r="D1975" t="str">
        <f>VLOOKUP(B1975,BaseTable,2,FALSE)</f>
        <v>Unter</v>
      </c>
      <c r="E1975">
        <f>YEAR(A1975)</f>
        <v>2015</v>
      </c>
    </row>
    <row r="1976" spans="1:5">
      <c r="A1976" s="32">
        <v>42175</v>
      </c>
      <c r="B1976" t="s">
        <v>1</v>
      </c>
      <c r="C1976">
        <v>7792</v>
      </c>
      <c r="D1976" t="str">
        <f>VLOOKUP(B1976,BaseTable,2,FALSE)</f>
        <v>Hinter</v>
      </c>
      <c r="E1976">
        <f>YEAR(A1976)</f>
        <v>2015</v>
      </c>
    </row>
    <row r="1977" spans="1:5">
      <c r="A1977" s="32">
        <v>42175</v>
      </c>
      <c r="B1977" t="s">
        <v>2</v>
      </c>
      <c r="C1977">
        <v>10653</v>
      </c>
      <c r="D1977" t="str">
        <f>VLOOKUP(B1977,BaseTable,2,FALSE)</f>
        <v>Weiter</v>
      </c>
      <c r="E1977">
        <f>YEAR(A1977)</f>
        <v>2015</v>
      </c>
    </row>
    <row r="1978" spans="1:5">
      <c r="A1978" s="32">
        <v>42175</v>
      </c>
      <c r="B1978" t="s">
        <v>3</v>
      </c>
      <c r="C1978">
        <v>38040</v>
      </c>
      <c r="D1978" t="str">
        <f>VLOOKUP(B1978,BaseTable,2,FALSE)</f>
        <v>Schmecken</v>
      </c>
      <c r="E1978">
        <f>YEAR(A1978)</f>
        <v>2015</v>
      </c>
    </row>
    <row r="1979" spans="1:5">
      <c r="A1979" s="32">
        <v>42175</v>
      </c>
      <c r="B1979" t="s">
        <v>4</v>
      </c>
      <c r="C1979">
        <v>33376</v>
      </c>
      <c r="D1979" t="str">
        <f>VLOOKUP(B1979,BaseTable,2,FALSE)</f>
        <v>Danach-NY</v>
      </c>
      <c r="E1979">
        <f>YEAR(A1979)</f>
        <v>2015</v>
      </c>
    </row>
    <row r="1980" spans="1:5">
      <c r="A1980" s="32">
        <v>42175</v>
      </c>
      <c r="B1980" t="s">
        <v>5</v>
      </c>
      <c r="C1980">
        <v>9161</v>
      </c>
      <c r="D1980" t="str">
        <f>VLOOKUP(B1980,BaseTable,2,FALSE)</f>
        <v>Grun</v>
      </c>
      <c r="E1980">
        <f>YEAR(A1980)</f>
        <v>2015</v>
      </c>
    </row>
    <row r="1981" spans="1:5">
      <c r="A1981" s="32">
        <v>42175</v>
      </c>
      <c r="B1981" t="s">
        <v>6</v>
      </c>
      <c r="C1981">
        <v>1302</v>
      </c>
      <c r="D1981" t="str">
        <f>VLOOKUP(B1981,BaseTable,2,FALSE)</f>
        <v>Dreist</v>
      </c>
      <c r="E1981">
        <f>YEAR(A1981)</f>
        <v>2015</v>
      </c>
    </row>
    <row r="1982" spans="1:5">
      <c r="A1982" s="32">
        <v>42175</v>
      </c>
      <c r="B1982" t="s">
        <v>7</v>
      </c>
      <c r="C1982">
        <v>80</v>
      </c>
      <c r="D1982" t="str">
        <f>VLOOKUP(B1982,BaseTable,2,FALSE)</f>
        <v>Drinnen</v>
      </c>
      <c r="E1982">
        <f>YEAR(A1982)</f>
        <v>2015</v>
      </c>
    </row>
    <row r="1983" spans="1:5">
      <c r="A1983" s="32">
        <v>42176</v>
      </c>
      <c r="B1983" t="s">
        <v>0</v>
      </c>
      <c r="C1983">
        <v>1169</v>
      </c>
      <c r="D1983" t="str">
        <f>VLOOKUP(B1983,BaseTable,2,FALSE)</f>
        <v>Unter</v>
      </c>
      <c r="E1983">
        <f>YEAR(A1983)</f>
        <v>2015</v>
      </c>
    </row>
    <row r="1984" spans="1:5">
      <c r="A1984" s="32">
        <v>42176</v>
      </c>
      <c r="B1984" t="s">
        <v>1</v>
      </c>
      <c r="C1984">
        <v>7241</v>
      </c>
      <c r="D1984" t="str">
        <f>VLOOKUP(B1984,BaseTable,2,FALSE)</f>
        <v>Hinter</v>
      </c>
      <c r="E1984">
        <f>YEAR(A1984)</f>
        <v>2015</v>
      </c>
    </row>
    <row r="1985" spans="1:5">
      <c r="A1985" s="32">
        <v>42176</v>
      </c>
      <c r="B1985" t="s">
        <v>2</v>
      </c>
      <c r="C1985">
        <v>9527</v>
      </c>
      <c r="D1985" t="str">
        <f>VLOOKUP(B1985,BaseTable,2,FALSE)</f>
        <v>Weiter</v>
      </c>
      <c r="E1985">
        <f>YEAR(A1985)</f>
        <v>2015</v>
      </c>
    </row>
    <row r="1986" spans="1:5">
      <c r="A1986" s="32">
        <v>42176</v>
      </c>
      <c r="B1986" t="s">
        <v>3</v>
      </c>
      <c r="C1986">
        <v>32457</v>
      </c>
      <c r="D1986" t="str">
        <f>VLOOKUP(B1986,BaseTable,2,FALSE)</f>
        <v>Schmecken</v>
      </c>
      <c r="E1986">
        <f>YEAR(A1986)</f>
        <v>2015</v>
      </c>
    </row>
    <row r="1987" spans="1:5">
      <c r="A1987" s="32">
        <v>42176</v>
      </c>
      <c r="B1987" t="s">
        <v>4</v>
      </c>
      <c r="C1987">
        <v>29872</v>
      </c>
      <c r="D1987" t="str">
        <f>VLOOKUP(B1987,BaseTable,2,FALSE)</f>
        <v>Danach-NY</v>
      </c>
      <c r="E1987">
        <f>YEAR(A1987)</f>
        <v>2015</v>
      </c>
    </row>
    <row r="1988" spans="1:5">
      <c r="A1988" s="32">
        <v>42176</v>
      </c>
      <c r="B1988" t="s">
        <v>5</v>
      </c>
      <c r="C1988">
        <v>7944</v>
      </c>
      <c r="D1988" t="str">
        <f>VLOOKUP(B1988,BaseTable,2,FALSE)</f>
        <v>Grun</v>
      </c>
      <c r="E1988">
        <f>YEAR(A1988)</f>
        <v>2015</v>
      </c>
    </row>
    <row r="1989" spans="1:5">
      <c r="A1989" s="32">
        <v>42176</v>
      </c>
      <c r="B1989" t="s">
        <v>6</v>
      </c>
      <c r="C1989">
        <v>998</v>
      </c>
      <c r="D1989" t="str">
        <f>VLOOKUP(B1989,BaseTable,2,FALSE)</f>
        <v>Dreist</v>
      </c>
      <c r="E1989">
        <f>YEAR(A1989)</f>
        <v>2015</v>
      </c>
    </row>
    <row r="1990" spans="1:5">
      <c r="A1990" s="32">
        <v>42176</v>
      </c>
      <c r="B1990" t="s">
        <v>7</v>
      </c>
      <c r="C1990">
        <v>77</v>
      </c>
      <c r="D1990" t="str">
        <f>VLOOKUP(B1990,BaseTable,2,FALSE)</f>
        <v>Drinnen</v>
      </c>
      <c r="E1990">
        <f>YEAR(A1990)</f>
        <v>2015</v>
      </c>
    </row>
    <row r="1991" spans="1:5">
      <c r="A1991" s="32">
        <v>42177</v>
      </c>
      <c r="B1991" t="s">
        <v>0</v>
      </c>
      <c r="C1991">
        <v>1251</v>
      </c>
      <c r="D1991" t="str">
        <f>VLOOKUP(B1991,BaseTable,2,FALSE)</f>
        <v>Unter</v>
      </c>
      <c r="E1991">
        <f>YEAR(A1991)</f>
        <v>2015</v>
      </c>
    </row>
    <row r="1992" spans="1:5">
      <c r="A1992" s="32">
        <v>42177</v>
      </c>
      <c r="B1992" t="s">
        <v>1</v>
      </c>
      <c r="C1992">
        <v>6604</v>
      </c>
      <c r="D1992" t="str">
        <f>VLOOKUP(B1992,BaseTable,2,FALSE)</f>
        <v>Hinter</v>
      </c>
      <c r="E1992">
        <f>YEAR(A1992)</f>
        <v>2015</v>
      </c>
    </row>
    <row r="1993" spans="1:5">
      <c r="A1993" s="32">
        <v>42177</v>
      </c>
      <c r="B1993" t="s">
        <v>2</v>
      </c>
      <c r="C1993">
        <v>8505</v>
      </c>
      <c r="D1993" t="str">
        <f>VLOOKUP(B1993,BaseTable,2,FALSE)</f>
        <v>Weiter</v>
      </c>
      <c r="E1993">
        <f>YEAR(A1993)</f>
        <v>2015</v>
      </c>
    </row>
    <row r="1994" spans="1:5">
      <c r="A1994" s="32">
        <v>42177</v>
      </c>
      <c r="B1994" t="s">
        <v>3</v>
      </c>
      <c r="C1994">
        <v>27302</v>
      </c>
      <c r="D1994" t="str">
        <f>VLOOKUP(B1994,BaseTable,2,FALSE)</f>
        <v>Schmecken</v>
      </c>
      <c r="E1994">
        <f>YEAR(A1994)</f>
        <v>2015</v>
      </c>
    </row>
    <row r="1995" spans="1:5">
      <c r="A1995" s="32">
        <v>42177</v>
      </c>
      <c r="B1995" t="s">
        <v>4</v>
      </c>
      <c r="C1995">
        <v>24489</v>
      </c>
      <c r="D1995" t="str">
        <f>VLOOKUP(B1995,BaseTable,2,FALSE)</f>
        <v>Danach-NY</v>
      </c>
      <c r="E1995">
        <f>YEAR(A1995)</f>
        <v>2015</v>
      </c>
    </row>
    <row r="1996" spans="1:5">
      <c r="A1996" s="32">
        <v>42177</v>
      </c>
      <c r="B1996" t="s">
        <v>5</v>
      </c>
      <c r="C1996">
        <v>6252</v>
      </c>
      <c r="D1996" t="str">
        <f>VLOOKUP(B1996,BaseTable,2,FALSE)</f>
        <v>Grun</v>
      </c>
      <c r="E1996">
        <f>YEAR(A1996)</f>
        <v>2015</v>
      </c>
    </row>
    <row r="1997" spans="1:5">
      <c r="A1997" s="32">
        <v>42177</v>
      </c>
      <c r="B1997" t="s">
        <v>6</v>
      </c>
      <c r="C1997">
        <v>964</v>
      </c>
      <c r="D1997" t="str">
        <f>VLOOKUP(B1997,BaseTable,2,FALSE)</f>
        <v>Dreist</v>
      </c>
      <c r="E1997">
        <f>YEAR(A1997)</f>
        <v>2015</v>
      </c>
    </row>
    <row r="1998" spans="1:5">
      <c r="A1998" s="32">
        <v>42177</v>
      </c>
      <c r="B1998" t="s">
        <v>7</v>
      </c>
      <c r="C1998">
        <v>51</v>
      </c>
      <c r="D1998" t="str">
        <f>VLOOKUP(B1998,BaseTable,2,FALSE)</f>
        <v>Drinnen</v>
      </c>
      <c r="E1998">
        <f>YEAR(A1998)</f>
        <v>2015</v>
      </c>
    </row>
    <row r="1999" spans="1:5">
      <c r="A1999" s="32">
        <v>42178</v>
      </c>
      <c r="B1999" t="s">
        <v>0</v>
      </c>
      <c r="C1999">
        <v>1709</v>
      </c>
      <c r="D1999" t="str">
        <f>VLOOKUP(B1999,BaseTable,2,FALSE)</f>
        <v>Unter</v>
      </c>
      <c r="E1999">
        <f>YEAR(A1999)</f>
        <v>2015</v>
      </c>
    </row>
    <row r="2000" spans="1:5">
      <c r="A2000" s="32">
        <v>42178</v>
      </c>
      <c r="B2000" t="s">
        <v>1</v>
      </c>
      <c r="C2000">
        <v>7962</v>
      </c>
      <c r="D2000" t="str">
        <f>VLOOKUP(B2000,BaseTable,2,FALSE)</f>
        <v>Hinter</v>
      </c>
      <c r="E2000">
        <f>YEAR(A2000)</f>
        <v>2015</v>
      </c>
    </row>
    <row r="2001" spans="1:5">
      <c r="A2001" s="32">
        <v>42178</v>
      </c>
      <c r="B2001" t="s">
        <v>2</v>
      </c>
      <c r="C2001">
        <v>10867</v>
      </c>
      <c r="D2001" t="str">
        <f>VLOOKUP(B2001,BaseTable,2,FALSE)</f>
        <v>Weiter</v>
      </c>
      <c r="E2001">
        <f>YEAR(A2001)</f>
        <v>2015</v>
      </c>
    </row>
    <row r="2002" spans="1:5">
      <c r="A2002" s="32">
        <v>42178</v>
      </c>
      <c r="B2002" t="s">
        <v>3</v>
      </c>
      <c r="C2002">
        <v>33647</v>
      </c>
      <c r="D2002" t="str">
        <f>VLOOKUP(B2002,BaseTable,2,FALSE)</f>
        <v>Schmecken</v>
      </c>
      <c r="E2002">
        <f>YEAR(A2002)</f>
        <v>2015</v>
      </c>
    </row>
    <row r="2003" spans="1:5">
      <c r="A2003" s="32">
        <v>42178</v>
      </c>
      <c r="B2003" t="s">
        <v>4</v>
      </c>
      <c r="C2003">
        <v>29774</v>
      </c>
      <c r="D2003" t="str">
        <f>VLOOKUP(B2003,BaseTable,2,FALSE)</f>
        <v>Danach-NY</v>
      </c>
      <c r="E2003">
        <f>YEAR(A2003)</f>
        <v>2015</v>
      </c>
    </row>
    <row r="2004" spans="1:5">
      <c r="A2004" s="32">
        <v>42178</v>
      </c>
      <c r="B2004" t="s">
        <v>5</v>
      </c>
      <c r="C2004">
        <v>7999</v>
      </c>
      <c r="D2004" t="str">
        <f>VLOOKUP(B2004,BaseTable,2,FALSE)</f>
        <v>Grun</v>
      </c>
      <c r="E2004">
        <f>YEAR(A2004)</f>
        <v>2015</v>
      </c>
    </row>
    <row r="2005" spans="1:5">
      <c r="A2005" s="32">
        <v>42178</v>
      </c>
      <c r="B2005" t="s">
        <v>6</v>
      </c>
      <c r="C2005">
        <v>1146</v>
      </c>
      <c r="D2005" t="str">
        <f>VLOOKUP(B2005,BaseTable,2,FALSE)</f>
        <v>Dreist</v>
      </c>
      <c r="E2005">
        <f>YEAR(A2005)</f>
        <v>2015</v>
      </c>
    </row>
    <row r="2006" spans="1:5">
      <c r="A2006" s="32">
        <v>42178</v>
      </c>
      <c r="B2006" t="s">
        <v>7</v>
      </c>
      <c r="C2006">
        <v>68</v>
      </c>
      <c r="D2006" t="str">
        <f>VLOOKUP(B2006,BaseTable,2,FALSE)</f>
        <v>Drinnen</v>
      </c>
      <c r="E2006">
        <f>YEAR(A2006)</f>
        <v>2015</v>
      </c>
    </row>
    <row r="2007" spans="1:5">
      <c r="A2007" s="32">
        <v>42179</v>
      </c>
      <c r="B2007" t="s">
        <v>0</v>
      </c>
      <c r="C2007">
        <v>1628</v>
      </c>
      <c r="D2007" t="str">
        <f>VLOOKUP(B2007,BaseTable,2,FALSE)</f>
        <v>Unter</v>
      </c>
      <c r="E2007">
        <f>YEAR(A2007)</f>
        <v>2015</v>
      </c>
    </row>
    <row r="2008" spans="1:5">
      <c r="A2008" s="32">
        <v>42179</v>
      </c>
      <c r="B2008" t="s">
        <v>1</v>
      </c>
      <c r="C2008">
        <v>7864</v>
      </c>
      <c r="D2008" t="str">
        <f>VLOOKUP(B2008,BaseTable,2,FALSE)</f>
        <v>Hinter</v>
      </c>
      <c r="E2008">
        <f>YEAR(A2008)</f>
        <v>2015</v>
      </c>
    </row>
    <row r="2009" spans="1:5">
      <c r="A2009" s="32">
        <v>42179</v>
      </c>
      <c r="B2009" t="s">
        <v>2</v>
      </c>
      <c r="C2009">
        <v>10435</v>
      </c>
      <c r="D2009" t="str">
        <f>VLOOKUP(B2009,BaseTable,2,FALSE)</f>
        <v>Weiter</v>
      </c>
      <c r="E2009">
        <f>YEAR(A2009)</f>
        <v>2015</v>
      </c>
    </row>
    <row r="2010" spans="1:5">
      <c r="A2010" s="32">
        <v>42179</v>
      </c>
      <c r="B2010" t="s">
        <v>3</v>
      </c>
      <c r="C2010">
        <v>33231</v>
      </c>
      <c r="D2010" t="str">
        <f>VLOOKUP(B2010,BaseTable,2,FALSE)</f>
        <v>Schmecken</v>
      </c>
      <c r="E2010">
        <f>YEAR(A2010)</f>
        <v>2015</v>
      </c>
    </row>
    <row r="2011" spans="1:5">
      <c r="A2011" s="32">
        <v>42179</v>
      </c>
      <c r="B2011" t="s">
        <v>4</v>
      </c>
      <c r="C2011">
        <v>29191</v>
      </c>
      <c r="D2011" t="str">
        <f>VLOOKUP(B2011,BaseTable,2,FALSE)</f>
        <v>Danach-NY</v>
      </c>
      <c r="E2011">
        <f>YEAR(A2011)</f>
        <v>2015</v>
      </c>
    </row>
    <row r="2012" spans="1:5">
      <c r="A2012" s="32">
        <v>42179</v>
      </c>
      <c r="B2012" t="s">
        <v>5</v>
      </c>
      <c r="C2012">
        <v>7609</v>
      </c>
      <c r="D2012" t="str">
        <f>VLOOKUP(B2012,BaseTable,2,FALSE)</f>
        <v>Grun</v>
      </c>
      <c r="E2012">
        <f>YEAR(A2012)</f>
        <v>2015</v>
      </c>
    </row>
    <row r="2013" spans="1:5">
      <c r="A2013" s="32">
        <v>42179</v>
      </c>
      <c r="B2013" t="s">
        <v>6</v>
      </c>
      <c r="C2013">
        <v>1373</v>
      </c>
      <c r="D2013" t="str">
        <f>VLOOKUP(B2013,BaseTable,2,FALSE)</f>
        <v>Dreist</v>
      </c>
      <c r="E2013">
        <f>YEAR(A2013)</f>
        <v>2015</v>
      </c>
    </row>
    <row r="2014" spans="1:5">
      <c r="A2014" s="32">
        <v>42179</v>
      </c>
      <c r="B2014" t="s">
        <v>7</v>
      </c>
      <c r="C2014">
        <v>57</v>
      </c>
      <c r="D2014" t="str">
        <f>VLOOKUP(B2014,BaseTable,2,FALSE)</f>
        <v>Drinnen</v>
      </c>
      <c r="E2014">
        <f>YEAR(A2014)</f>
        <v>2015</v>
      </c>
    </row>
    <row r="2015" spans="1:5">
      <c r="A2015" s="32">
        <v>42180</v>
      </c>
      <c r="B2015" t="s">
        <v>0</v>
      </c>
      <c r="C2015">
        <v>1653</v>
      </c>
      <c r="D2015" t="str">
        <f>VLOOKUP(B2015,BaseTable,2,FALSE)</f>
        <v>Unter</v>
      </c>
      <c r="E2015">
        <f>YEAR(A2015)</f>
        <v>2015</v>
      </c>
    </row>
    <row r="2016" spans="1:5">
      <c r="A2016" s="32">
        <v>42180</v>
      </c>
      <c r="B2016" t="s">
        <v>1</v>
      </c>
      <c r="C2016">
        <v>8662</v>
      </c>
      <c r="D2016" t="str">
        <f>VLOOKUP(B2016,BaseTable,2,FALSE)</f>
        <v>Hinter</v>
      </c>
      <c r="E2016">
        <f>YEAR(A2016)</f>
        <v>2015</v>
      </c>
    </row>
    <row r="2017" spans="1:5">
      <c r="A2017" s="32">
        <v>42180</v>
      </c>
      <c r="B2017" t="s">
        <v>2</v>
      </c>
      <c r="C2017">
        <v>11426</v>
      </c>
      <c r="D2017" t="str">
        <f>VLOOKUP(B2017,BaseTable,2,FALSE)</f>
        <v>Weiter</v>
      </c>
      <c r="E2017">
        <f>YEAR(A2017)</f>
        <v>2015</v>
      </c>
    </row>
    <row r="2018" spans="1:5">
      <c r="A2018" s="32">
        <v>42180</v>
      </c>
      <c r="B2018" t="s">
        <v>3</v>
      </c>
      <c r="C2018">
        <v>36047</v>
      </c>
      <c r="D2018" t="str">
        <f>VLOOKUP(B2018,BaseTable,2,FALSE)</f>
        <v>Schmecken</v>
      </c>
      <c r="E2018">
        <f>YEAR(A2018)</f>
        <v>2015</v>
      </c>
    </row>
    <row r="2019" spans="1:5">
      <c r="A2019" s="32">
        <v>42180</v>
      </c>
      <c r="B2019" t="s">
        <v>4</v>
      </c>
      <c r="C2019">
        <v>32060</v>
      </c>
      <c r="D2019" t="str">
        <f>VLOOKUP(B2019,BaseTable,2,FALSE)</f>
        <v>Danach-NY</v>
      </c>
      <c r="E2019">
        <f>YEAR(A2019)</f>
        <v>2015</v>
      </c>
    </row>
    <row r="2020" spans="1:5">
      <c r="A2020" s="32">
        <v>42180</v>
      </c>
      <c r="B2020" t="s">
        <v>5</v>
      </c>
      <c r="C2020">
        <v>8602</v>
      </c>
      <c r="D2020" t="str">
        <f>VLOOKUP(B2020,BaseTable,2,FALSE)</f>
        <v>Grun</v>
      </c>
      <c r="E2020">
        <f>YEAR(A2020)</f>
        <v>2015</v>
      </c>
    </row>
    <row r="2021" spans="1:5">
      <c r="A2021" s="32">
        <v>42180</v>
      </c>
      <c r="B2021" t="s">
        <v>6</v>
      </c>
      <c r="C2021">
        <v>1561</v>
      </c>
      <c r="D2021" t="str">
        <f>VLOOKUP(B2021,BaseTable,2,FALSE)</f>
        <v>Dreist</v>
      </c>
      <c r="E2021">
        <f>YEAR(A2021)</f>
        <v>2015</v>
      </c>
    </row>
    <row r="2022" spans="1:5">
      <c r="A2022" s="32">
        <v>42180</v>
      </c>
      <c r="B2022" t="s">
        <v>7</v>
      </c>
      <c r="C2022">
        <v>62</v>
      </c>
      <c r="D2022" t="str">
        <f>VLOOKUP(B2022,BaseTable,2,FALSE)</f>
        <v>Drinnen</v>
      </c>
      <c r="E2022">
        <f>YEAR(A2022)</f>
        <v>2015</v>
      </c>
    </row>
    <row r="2023" spans="1:5">
      <c r="A2023" s="32">
        <v>42181</v>
      </c>
      <c r="B2023" t="s">
        <v>0</v>
      </c>
      <c r="C2023">
        <v>1604</v>
      </c>
      <c r="D2023" t="str">
        <f>VLOOKUP(B2023,BaseTable,2,FALSE)</f>
        <v>Unter</v>
      </c>
      <c r="E2023">
        <f>YEAR(A2023)</f>
        <v>2015</v>
      </c>
    </row>
    <row r="2024" spans="1:5">
      <c r="A2024" s="32">
        <v>42181</v>
      </c>
      <c r="B2024" t="s">
        <v>1</v>
      </c>
      <c r="C2024">
        <v>8183</v>
      </c>
      <c r="D2024" t="str">
        <f>VLOOKUP(B2024,BaseTable,2,FALSE)</f>
        <v>Hinter</v>
      </c>
      <c r="E2024">
        <f>YEAR(A2024)</f>
        <v>2015</v>
      </c>
    </row>
    <row r="2025" spans="1:5">
      <c r="A2025" s="32">
        <v>42181</v>
      </c>
      <c r="B2025" t="s">
        <v>2</v>
      </c>
      <c r="C2025">
        <v>10831</v>
      </c>
      <c r="D2025" t="str">
        <f>VLOOKUP(B2025,BaseTable,2,FALSE)</f>
        <v>Weiter</v>
      </c>
      <c r="E2025">
        <f>YEAR(A2025)</f>
        <v>2015</v>
      </c>
    </row>
    <row r="2026" spans="1:5">
      <c r="A2026" s="32">
        <v>42181</v>
      </c>
      <c r="B2026" t="s">
        <v>3</v>
      </c>
      <c r="C2026">
        <v>36307</v>
      </c>
      <c r="D2026" t="str">
        <f>VLOOKUP(B2026,BaseTable,2,FALSE)</f>
        <v>Schmecken</v>
      </c>
      <c r="E2026">
        <f>YEAR(A2026)</f>
        <v>2015</v>
      </c>
    </row>
    <row r="2027" spans="1:5">
      <c r="A2027" s="32">
        <v>42181</v>
      </c>
      <c r="B2027" t="s">
        <v>4</v>
      </c>
      <c r="C2027">
        <v>32050</v>
      </c>
      <c r="D2027" t="str">
        <f>VLOOKUP(B2027,BaseTable,2,FALSE)</f>
        <v>Danach-NY</v>
      </c>
      <c r="E2027">
        <f>YEAR(A2027)</f>
        <v>2015</v>
      </c>
    </row>
    <row r="2028" spans="1:5">
      <c r="A2028" s="32">
        <v>42181</v>
      </c>
      <c r="B2028" t="s">
        <v>5</v>
      </c>
      <c r="C2028">
        <v>8616</v>
      </c>
      <c r="D2028" t="str">
        <f>VLOOKUP(B2028,BaseTable,2,FALSE)</f>
        <v>Grun</v>
      </c>
      <c r="E2028">
        <f>YEAR(A2028)</f>
        <v>2015</v>
      </c>
    </row>
    <row r="2029" spans="1:5">
      <c r="A2029" s="32">
        <v>42181</v>
      </c>
      <c r="B2029" t="s">
        <v>6</v>
      </c>
      <c r="C2029">
        <v>1843</v>
      </c>
      <c r="D2029" t="str">
        <f>VLOOKUP(B2029,BaseTable,2,FALSE)</f>
        <v>Dreist</v>
      </c>
      <c r="E2029">
        <f>YEAR(A2029)</f>
        <v>2015</v>
      </c>
    </row>
    <row r="2030" spans="1:5">
      <c r="A2030" s="32">
        <v>42181</v>
      </c>
      <c r="B2030" t="s">
        <v>7</v>
      </c>
      <c r="C2030">
        <v>74</v>
      </c>
      <c r="D2030" t="str">
        <f>VLOOKUP(B2030,BaseTable,2,FALSE)</f>
        <v>Drinnen</v>
      </c>
      <c r="E2030">
        <f>YEAR(A2030)</f>
        <v>2015</v>
      </c>
    </row>
    <row r="2031" spans="1:5">
      <c r="A2031" s="32">
        <v>42182</v>
      </c>
      <c r="B2031" t="s">
        <v>0</v>
      </c>
      <c r="C2031">
        <v>1885</v>
      </c>
      <c r="D2031" t="str">
        <f>VLOOKUP(B2031,BaseTable,2,FALSE)</f>
        <v>Unter</v>
      </c>
      <c r="E2031">
        <f>YEAR(A2031)</f>
        <v>2015</v>
      </c>
    </row>
    <row r="2032" spans="1:5">
      <c r="A2032" s="32">
        <v>42182</v>
      </c>
      <c r="B2032" t="s">
        <v>1</v>
      </c>
      <c r="C2032">
        <v>10701</v>
      </c>
      <c r="D2032" t="str">
        <f>VLOOKUP(B2032,BaseTable,2,FALSE)</f>
        <v>Hinter</v>
      </c>
      <c r="E2032">
        <f>YEAR(A2032)</f>
        <v>2015</v>
      </c>
    </row>
    <row r="2033" spans="1:5">
      <c r="A2033" s="32">
        <v>42182</v>
      </c>
      <c r="B2033" t="s">
        <v>2</v>
      </c>
      <c r="C2033">
        <v>13992</v>
      </c>
      <c r="D2033" t="str">
        <f>VLOOKUP(B2033,BaseTable,2,FALSE)</f>
        <v>Weiter</v>
      </c>
      <c r="E2033">
        <f>YEAR(A2033)</f>
        <v>2015</v>
      </c>
    </row>
    <row r="2034" spans="1:5">
      <c r="A2034" s="32">
        <v>42182</v>
      </c>
      <c r="B2034" t="s">
        <v>3</v>
      </c>
      <c r="C2034">
        <v>49929</v>
      </c>
      <c r="D2034" t="str">
        <f>VLOOKUP(B2034,BaseTable,2,FALSE)</f>
        <v>Schmecken</v>
      </c>
      <c r="E2034">
        <f>YEAR(A2034)</f>
        <v>2015</v>
      </c>
    </row>
    <row r="2035" spans="1:5">
      <c r="A2035" s="32">
        <v>42182</v>
      </c>
      <c r="B2035" t="s">
        <v>4</v>
      </c>
      <c r="C2035">
        <v>44842</v>
      </c>
      <c r="D2035" t="str">
        <f>VLOOKUP(B2035,BaseTable,2,FALSE)</f>
        <v>Danach-NY</v>
      </c>
      <c r="E2035">
        <f>YEAR(A2035)</f>
        <v>2015</v>
      </c>
    </row>
    <row r="2036" spans="1:5">
      <c r="A2036" s="32">
        <v>42182</v>
      </c>
      <c r="B2036" t="s">
        <v>5</v>
      </c>
      <c r="C2036">
        <v>12226</v>
      </c>
      <c r="D2036" t="str">
        <f>VLOOKUP(B2036,BaseTable,2,FALSE)</f>
        <v>Grun</v>
      </c>
      <c r="E2036">
        <f>YEAR(A2036)</f>
        <v>2015</v>
      </c>
    </row>
    <row r="2037" spans="1:5">
      <c r="A2037" s="32">
        <v>42182</v>
      </c>
      <c r="B2037" t="s">
        <v>6</v>
      </c>
      <c r="C2037">
        <v>2515</v>
      </c>
      <c r="D2037" t="str">
        <f>VLOOKUP(B2037,BaseTable,2,FALSE)</f>
        <v>Dreist</v>
      </c>
      <c r="E2037">
        <f>YEAR(A2037)</f>
        <v>2015</v>
      </c>
    </row>
    <row r="2038" spans="1:5">
      <c r="A2038" s="32">
        <v>42182</v>
      </c>
      <c r="B2038" t="s">
        <v>7</v>
      </c>
      <c r="C2038">
        <v>103</v>
      </c>
      <c r="D2038" t="str">
        <f>VLOOKUP(B2038,BaseTable,2,FALSE)</f>
        <v>Drinnen</v>
      </c>
      <c r="E2038">
        <f>YEAR(A2038)</f>
        <v>2015</v>
      </c>
    </row>
    <row r="2039" spans="1:5">
      <c r="A2039" s="32">
        <v>42183</v>
      </c>
      <c r="B2039" t="s">
        <v>0</v>
      </c>
      <c r="C2039">
        <v>1318</v>
      </c>
      <c r="D2039" t="str">
        <f>VLOOKUP(B2039,BaseTable,2,FALSE)</f>
        <v>Unter</v>
      </c>
      <c r="E2039">
        <f>YEAR(A2039)</f>
        <v>2015</v>
      </c>
    </row>
    <row r="2040" spans="1:5">
      <c r="A2040" s="32">
        <v>42183</v>
      </c>
      <c r="B2040" t="s">
        <v>1</v>
      </c>
      <c r="C2040">
        <v>7115</v>
      </c>
      <c r="D2040" t="str">
        <f>VLOOKUP(B2040,BaseTable,2,FALSE)</f>
        <v>Hinter</v>
      </c>
      <c r="E2040">
        <f>YEAR(A2040)</f>
        <v>2015</v>
      </c>
    </row>
    <row r="2041" spans="1:5">
      <c r="A2041" s="32">
        <v>42183</v>
      </c>
      <c r="B2041" t="s">
        <v>2</v>
      </c>
      <c r="C2041">
        <v>9824</v>
      </c>
      <c r="D2041" t="str">
        <f>VLOOKUP(B2041,BaseTable,2,FALSE)</f>
        <v>Weiter</v>
      </c>
      <c r="E2041">
        <f>YEAR(A2041)</f>
        <v>2015</v>
      </c>
    </row>
    <row r="2042" spans="1:5">
      <c r="A2042" s="32">
        <v>42183</v>
      </c>
      <c r="B2042" t="s">
        <v>3</v>
      </c>
      <c r="C2042">
        <v>33562</v>
      </c>
      <c r="D2042" t="str">
        <f>VLOOKUP(B2042,BaseTable,2,FALSE)</f>
        <v>Schmecken</v>
      </c>
      <c r="E2042">
        <f>YEAR(A2042)</f>
        <v>2015</v>
      </c>
    </row>
    <row r="2043" spans="1:5">
      <c r="A2043" s="32">
        <v>42183</v>
      </c>
      <c r="B2043" t="s">
        <v>4</v>
      </c>
      <c r="C2043">
        <v>30931</v>
      </c>
      <c r="D2043" t="str">
        <f>VLOOKUP(B2043,BaseTable,2,FALSE)</f>
        <v>Danach-NY</v>
      </c>
      <c r="E2043">
        <f>YEAR(A2043)</f>
        <v>2015</v>
      </c>
    </row>
    <row r="2044" spans="1:5">
      <c r="A2044" s="32">
        <v>42183</v>
      </c>
      <c r="B2044" t="s">
        <v>5</v>
      </c>
      <c r="C2044">
        <v>8518</v>
      </c>
      <c r="D2044" t="str">
        <f>VLOOKUP(B2044,BaseTable,2,FALSE)</f>
        <v>Grun</v>
      </c>
      <c r="E2044">
        <f>YEAR(A2044)</f>
        <v>2015</v>
      </c>
    </row>
    <row r="2045" spans="1:5">
      <c r="A2045" s="32">
        <v>42183</v>
      </c>
      <c r="B2045" t="s">
        <v>6</v>
      </c>
      <c r="C2045">
        <v>1764</v>
      </c>
      <c r="D2045" t="str">
        <f>VLOOKUP(B2045,BaseTable,2,FALSE)</f>
        <v>Dreist</v>
      </c>
      <c r="E2045">
        <f>YEAR(A2045)</f>
        <v>2015</v>
      </c>
    </row>
    <row r="2046" spans="1:5">
      <c r="A2046" s="32">
        <v>42183</v>
      </c>
      <c r="B2046" t="s">
        <v>7</v>
      </c>
      <c r="C2046">
        <v>76</v>
      </c>
      <c r="D2046" t="str">
        <f>VLOOKUP(B2046,BaseTable,2,FALSE)</f>
        <v>Drinnen</v>
      </c>
      <c r="E2046">
        <f>YEAR(A2046)</f>
        <v>2015</v>
      </c>
    </row>
    <row r="2047" spans="1:5">
      <c r="A2047" s="32">
        <v>42184</v>
      </c>
      <c r="B2047" t="s">
        <v>0</v>
      </c>
      <c r="C2047">
        <v>1226</v>
      </c>
      <c r="D2047" t="str">
        <f>VLOOKUP(B2047,BaseTable,2,FALSE)</f>
        <v>Unter</v>
      </c>
      <c r="E2047">
        <f>YEAR(A2047)</f>
        <v>2015</v>
      </c>
    </row>
    <row r="2048" spans="1:5">
      <c r="A2048" s="32">
        <v>42184</v>
      </c>
      <c r="B2048" t="s">
        <v>1</v>
      </c>
      <c r="C2048">
        <v>6163</v>
      </c>
      <c r="D2048" t="str">
        <f>VLOOKUP(B2048,BaseTable,2,FALSE)</f>
        <v>Hinter</v>
      </c>
      <c r="E2048">
        <f>YEAR(A2048)</f>
        <v>2015</v>
      </c>
    </row>
    <row r="2049" spans="1:5">
      <c r="A2049" s="32">
        <v>42184</v>
      </c>
      <c r="B2049" t="s">
        <v>2</v>
      </c>
      <c r="C2049">
        <v>8180</v>
      </c>
      <c r="D2049" t="str">
        <f>VLOOKUP(B2049,BaseTable,2,FALSE)</f>
        <v>Weiter</v>
      </c>
      <c r="E2049">
        <f>YEAR(A2049)</f>
        <v>2015</v>
      </c>
    </row>
    <row r="2050" spans="1:5">
      <c r="A2050" s="32">
        <v>42184</v>
      </c>
      <c r="B2050" t="s">
        <v>3</v>
      </c>
      <c r="C2050">
        <v>27028</v>
      </c>
      <c r="D2050" t="str">
        <f>VLOOKUP(B2050,BaseTable,2,FALSE)</f>
        <v>Schmecken</v>
      </c>
      <c r="E2050">
        <f>YEAR(A2050)</f>
        <v>2015</v>
      </c>
    </row>
    <row r="2051" spans="1:5">
      <c r="A2051" s="32">
        <v>42184</v>
      </c>
      <c r="B2051" t="s">
        <v>4</v>
      </c>
      <c r="C2051">
        <v>24020</v>
      </c>
      <c r="D2051" t="str">
        <f>VLOOKUP(B2051,BaseTable,2,FALSE)</f>
        <v>Danach-NY</v>
      </c>
      <c r="E2051">
        <f>YEAR(A2051)</f>
        <v>2015</v>
      </c>
    </row>
    <row r="2052" spans="1:5">
      <c r="A2052" s="32">
        <v>42184</v>
      </c>
      <c r="B2052" t="s">
        <v>5</v>
      </c>
      <c r="C2052">
        <v>6359</v>
      </c>
      <c r="D2052" t="str">
        <f>VLOOKUP(B2052,BaseTable,2,FALSE)</f>
        <v>Grun</v>
      </c>
      <c r="E2052">
        <f>YEAR(A2052)</f>
        <v>2015</v>
      </c>
    </row>
    <row r="2053" spans="1:5">
      <c r="A2053" s="32">
        <v>42184</v>
      </c>
      <c r="B2053" t="s">
        <v>6</v>
      </c>
      <c r="C2053">
        <v>1406</v>
      </c>
      <c r="D2053" t="str">
        <f>VLOOKUP(B2053,BaseTable,2,FALSE)</f>
        <v>Dreist</v>
      </c>
      <c r="E2053">
        <f>YEAR(A2053)</f>
        <v>2015</v>
      </c>
    </row>
    <row r="2054" spans="1:5">
      <c r="A2054" s="32">
        <v>42184</v>
      </c>
      <c r="B2054" t="s">
        <v>7</v>
      </c>
      <c r="C2054">
        <v>48</v>
      </c>
      <c r="D2054" t="str">
        <f>VLOOKUP(B2054,BaseTable,2,FALSE)</f>
        <v>Drinnen</v>
      </c>
      <c r="E2054">
        <f>YEAR(A2054)</f>
        <v>2015</v>
      </c>
    </row>
    <row r="2055" spans="1:5">
      <c r="A2055" s="32">
        <v>42185</v>
      </c>
      <c r="B2055" t="s">
        <v>0</v>
      </c>
      <c r="C2055">
        <v>1501</v>
      </c>
      <c r="D2055" t="str">
        <f>VLOOKUP(B2055,BaseTable,2,FALSE)</f>
        <v>Unter</v>
      </c>
      <c r="E2055">
        <f>YEAR(A2055)</f>
        <v>2015</v>
      </c>
    </row>
    <row r="2056" spans="1:5">
      <c r="A2056" s="32">
        <v>42185</v>
      </c>
      <c r="B2056" t="s">
        <v>1</v>
      </c>
      <c r="C2056">
        <v>6695</v>
      </c>
      <c r="D2056" t="str">
        <f>VLOOKUP(B2056,BaseTable,2,FALSE)</f>
        <v>Hinter</v>
      </c>
      <c r="E2056">
        <f>YEAR(A2056)</f>
        <v>2015</v>
      </c>
    </row>
    <row r="2057" spans="1:5">
      <c r="A2057" s="32">
        <v>42185</v>
      </c>
      <c r="B2057" t="s">
        <v>2</v>
      </c>
      <c r="C2057">
        <v>9163</v>
      </c>
      <c r="D2057" t="str">
        <f>VLOOKUP(B2057,BaseTable,2,FALSE)</f>
        <v>Weiter</v>
      </c>
      <c r="E2057">
        <f>YEAR(A2057)</f>
        <v>2015</v>
      </c>
    </row>
    <row r="2058" spans="1:5">
      <c r="A2058" s="32">
        <v>42185</v>
      </c>
      <c r="B2058" t="s">
        <v>3</v>
      </c>
      <c r="C2058">
        <v>29487</v>
      </c>
      <c r="D2058" t="str">
        <f>VLOOKUP(B2058,BaseTable,2,FALSE)</f>
        <v>Schmecken</v>
      </c>
      <c r="E2058">
        <f>YEAR(A2058)</f>
        <v>2015</v>
      </c>
    </row>
    <row r="2059" spans="1:5">
      <c r="A2059" s="32">
        <v>42185</v>
      </c>
      <c r="B2059" t="s">
        <v>4</v>
      </c>
      <c r="C2059">
        <v>26980</v>
      </c>
      <c r="D2059" t="str">
        <f>VLOOKUP(B2059,BaseTable,2,FALSE)</f>
        <v>Danach-NY</v>
      </c>
      <c r="E2059">
        <f>YEAR(A2059)</f>
        <v>2015</v>
      </c>
    </row>
    <row r="2060" spans="1:5">
      <c r="A2060" s="32">
        <v>42185</v>
      </c>
      <c r="B2060" t="s">
        <v>5</v>
      </c>
      <c r="C2060">
        <v>6947</v>
      </c>
      <c r="D2060" t="str">
        <f>VLOOKUP(B2060,BaseTable,2,FALSE)</f>
        <v>Grun</v>
      </c>
      <c r="E2060">
        <f>YEAR(A2060)</f>
        <v>2015</v>
      </c>
    </row>
    <row r="2061" spans="1:5">
      <c r="A2061" s="32">
        <v>42185</v>
      </c>
      <c r="B2061" t="s">
        <v>6</v>
      </c>
      <c r="C2061">
        <v>1808</v>
      </c>
      <c r="D2061" t="str">
        <f>VLOOKUP(B2061,BaseTable,2,FALSE)</f>
        <v>Dreist</v>
      </c>
      <c r="E2061">
        <f>YEAR(A2061)</f>
        <v>2015</v>
      </c>
    </row>
    <row r="2062" spans="1:5">
      <c r="A2062" s="32">
        <v>42185</v>
      </c>
      <c r="B2062" t="s">
        <v>7</v>
      </c>
      <c r="C2062">
        <v>46</v>
      </c>
      <c r="D2062" t="str">
        <f>VLOOKUP(B2062,BaseTable,2,FALSE)</f>
        <v>Drinnen</v>
      </c>
      <c r="E2062">
        <f>YEAR(A2062)</f>
        <v>2015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dimension ref="A1:F1563"/>
  <sheetViews>
    <sheetView showGridLines="0" zoomScale="90" zoomScaleNormal="90" workbookViewId="0">
      <pane ySplit="1" topLeftCell="A2" activePane="bottomLeft" state="frozen"/>
      <selection pane="bottomLeft"/>
    </sheetView>
  </sheetViews>
  <sheetFormatPr defaultRowHeight="15"/>
  <cols>
    <col min="1" max="1" width="10.7109375" customWidth="1"/>
    <col min="2" max="2" width="11.7109375" customWidth="1"/>
    <col min="3" max="3" width="9.7109375" customWidth="1"/>
    <col min="4" max="4" width="14.7109375" customWidth="1"/>
    <col min="5" max="5" width="40.7109375" customWidth="1"/>
    <col min="6" max="6" width="14.7109375" customWidth="1"/>
  </cols>
  <sheetData>
    <row r="1" spans="1:6">
      <c r="A1" t="s">
        <v>310</v>
      </c>
      <c r="B1" t="s">
        <v>18</v>
      </c>
      <c r="C1" t="s">
        <v>307</v>
      </c>
      <c r="D1" t="s">
        <v>19</v>
      </c>
      <c r="E1" t="s">
        <v>20</v>
      </c>
      <c r="F1" t="s">
        <v>318</v>
      </c>
    </row>
    <row r="2" spans="1:6">
      <c r="A2" s="33">
        <v>42005</v>
      </c>
      <c r="B2">
        <v>1</v>
      </c>
      <c r="C2">
        <v>11</v>
      </c>
      <c r="D2" t="str">
        <f>VLOOKUP(B2,ZoneTable,2,FALSE)</f>
        <v>EWR</v>
      </c>
      <c r="E2" t="str">
        <f>VLOOKUP(B2,ZoneTable,3,FALSE)</f>
        <v>Newark Airport</v>
      </c>
      <c r="F2" t="str">
        <f>IF(OR(B2=1,B2=132,B2=138),"Airports",D2)</f>
        <v>Airports</v>
      </c>
    </row>
    <row r="3" spans="1:6">
      <c r="A3" s="33">
        <v>42005</v>
      </c>
      <c r="B3">
        <v>3</v>
      </c>
      <c r="C3">
        <v>359</v>
      </c>
      <c r="D3" t="str">
        <f>VLOOKUP(B3,ZoneTable,2,FALSE)</f>
        <v>Bronx</v>
      </c>
      <c r="E3" t="str">
        <f>VLOOKUP(B3,ZoneTable,3,FALSE)</f>
        <v>Allerton/Pelham Gardens</v>
      </c>
      <c r="F3" t="str">
        <f>IF(OR(B3=1,B3=132,B3=138),"Airports",D3)</f>
        <v>Bronx</v>
      </c>
    </row>
    <row r="4" spans="1:6">
      <c r="A4" s="33">
        <v>42005</v>
      </c>
      <c r="B4">
        <v>4</v>
      </c>
      <c r="C4">
        <v>12968</v>
      </c>
      <c r="D4" t="str">
        <f>VLOOKUP(B4,ZoneTable,2,FALSE)</f>
        <v>Manhattan</v>
      </c>
      <c r="E4" t="str">
        <f>VLOOKUP(B4,ZoneTable,3,FALSE)</f>
        <v>Alphabet City</v>
      </c>
      <c r="F4" t="str">
        <f>IF(OR(B4=1,B4=132,B4=138),"Airports",D4)</f>
        <v>Manhattan</v>
      </c>
    </row>
    <row r="5" spans="1:6">
      <c r="A5" s="33">
        <v>42005</v>
      </c>
      <c r="B5">
        <v>5</v>
      </c>
      <c r="C5">
        <v>3</v>
      </c>
      <c r="D5" t="str">
        <f>VLOOKUP(B5,ZoneTable,2,FALSE)</f>
        <v>Staten Island</v>
      </c>
      <c r="E5" t="str">
        <f>VLOOKUP(B5,ZoneTable,3,FALSE)</f>
        <v>Arden Heights</v>
      </c>
      <c r="F5" t="str">
        <f>IF(OR(B5=1,B5=132,B5=138),"Airports",D5)</f>
        <v>Staten Island</v>
      </c>
    </row>
    <row r="6" spans="1:6">
      <c r="A6" s="33">
        <v>42005</v>
      </c>
      <c r="B6">
        <v>6</v>
      </c>
      <c r="C6">
        <v>96</v>
      </c>
      <c r="D6" t="str">
        <f>VLOOKUP(B6,ZoneTable,2,FALSE)</f>
        <v>Staten Island</v>
      </c>
      <c r="E6" t="str">
        <f>VLOOKUP(B6,ZoneTable,3,FALSE)</f>
        <v>Arrochar/Fort Wadsworth</v>
      </c>
      <c r="F6" t="str">
        <f>IF(OR(B6=1,B6=132,B6=138),"Airports",D6)</f>
        <v>Staten Island</v>
      </c>
    </row>
    <row r="7" spans="1:6">
      <c r="A7" s="33">
        <v>42005</v>
      </c>
      <c r="B7">
        <v>7</v>
      </c>
      <c r="C7">
        <v>11824</v>
      </c>
      <c r="D7" t="str">
        <f>VLOOKUP(B7,ZoneTable,2,FALSE)</f>
        <v>Queens</v>
      </c>
      <c r="E7" t="str">
        <f>VLOOKUP(B7,ZoneTable,3,FALSE)</f>
        <v>Astoria</v>
      </c>
      <c r="F7" t="str">
        <f>IF(OR(B7=1,B7=132,B7=138),"Airports",D7)</f>
        <v>Queens</v>
      </c>
    </row>
    <row r="8" spans="1:6">
      <c r="A8" s="33">
        <v>42005</v>
      </c>
      <c r="B8">
        <v>8</v>
      </c>
      <c r="C8">
        <v>39</v>
      </c>
      <c r="D8" t="str">
        <f>VLOOKUP(B8,ZoneTable,2,FALSE)</f>
        <v>Queens</v>
      </c>
      <c r="E8" t="str">
        <f>VLOOKUP(B8,ZoneTable,3,FALSE)</f>
        <v>Astoria Park</v>
      </c>
      <c r="F8" t="str">
        <f>IF(OR(B8=1,B8=132,B8=138),"Airports",D8)</f>
        <v>Queens</v>
      </c>
    </row>
    <row r="9" spans="1:6">
      <c r="A9" s="33">
        <v>42005</v>
      </c>
      <c r="B9">
        <v>9</v>
      </c>
      <c r="C9">
        <v>317</v>
      </c>
      <c r="D9" t="str">
        <f>VLOOKUP(B9,ZoneTable,2,FALSE)</f>
        <v>Queens</v>
      </c>
      <c r="E9" t="str">
        <f>VLOOKUP(B9,ZoneTable,3,FALSE)</f>
        <v>Auburndale</v>
      </c>
      <c r="F9" t="str">
        <f>IF(OR(B9=1,B9=132,B9=138),"Airports",D9)</f>
        <v>Queens</v>
      </c>
    </row>
    <row r="10" spans="1:6">
      <c r="A10" s="33">
        <v>42005</v>
      </c>
      <c r="B10">
        <v>10</v>
      </c>
      <c r="C10">
        <v>565</v>
      </c>
      <c r="D10" t="str">
        <f>VLOOKUP(B10,ZoneTable,2,FALSE)</f>
        <v>Queens</v>
      </c>
      <c r="E10" t="str">
        <f>VLOOKUP(B10,ZoneTable,3,FALSE)</f>
        <v>Baisley Park</v>
      </c>
      <c r="F10" t="str">
        <f>IF(OR(B10=1,B10=132,B10=138),"Airports",D10)</f>
        <v>Queens</v>
      </c>
    </row>
    <row r="11" spans="1:6">
      <c r="A11" s="33">
        <v>42005</v>
      </c>
      <c r="B11">
        <v>11</v>
      </c>
      <c r="C11">
        <v>405</v>
      </c>
      <c r="D11" t="str">
        <f>VLOOKUP(B11,ZoneTable,2,FALSE)</f>
        <v>Brooklyn</v>
      </c>
      <c r="E11" t="str">
        <f>VLOOKUP(B11,ZoneTable,3,FALSE)</f>
        <v>Bath Beach</v>
      </c>
      <c r="F11" t="str">
        <f>IF(OR(B11=1,B11=132,B11=138),"Airports",D11)</f>
        <v>Brooklyn</v>
      </c>
    </row>
    <row r="12" spans="1:6">
      <c r="A12" s="33">
        <v>42005</v>
      </c>
      <c r="B12">
        <v>12</v>
      </c>
      <c r="C12">
        <v>307</v>
      </c>
      <c r="D12" t="str">
        <f>VLOOKUP(B12,ZoneTable,2,FALSE)</f>
        <v>Manhattan</v>
      </c>
      <c r="E12" t="str">
        <f>VLOOKUP(B12,ZoneTable,3,FALSE)</f>
        <v>Battery Park</v>
      </c>
      <c r="F12" t="str">
        <f>IF(OR(B12=1,B12=132,B12=138),"Airports",D12)</f>
        <v>Manhattan</v>
      </c>
    </row>
    <row r="13" spans="1:6">
      <c r="A13" s="33">
        <v>42005</v>
      </c>
      <c r="B13">
        <v>13</v>
      </c>
      <c r="C13">
        <v>19554</v>
      </c>
      <c r="D13" t="str">
        <f>VLOOKUP(B13,ZoneTable,2,FALSE)</f>
        <v>Manhattan</v>
      </c>
      <c r="E13" t="str">
        <f>VLOOKUP(B13,ZoneTable,3,FALSE)</f>
        <v>Battery Park City</v>
      </c>
      <c r="F13" t="str">
        <f>IF(OR(B13=1,B13=132,B13=138),"Airports",D13)</f>
        <v>Manhattan</v>
      </c>
    </row>
    <row r="14" spans="1:6">
      <c r="A14" s="33">
        <v>42005</v>
      </c>
      <c r="B14">
        <v>14</v>
      </c>
      <c r="C14">
        <v>4264</v>
      </c>
      <c r="D14" t="str">
        <f>VLOOKUP(B14,ZoneTable,2,FALSE)</f>
        <v>Brooklyn</v>
      </c>
      <c r="E14" t="str">
        <f>VLOOKUP(B14,ZoneTable,3,FALSE)</f>
        <v>Bay Ridge</v>
      </c>
      <c r="F14" t="str">
        <f>IF(OR(B14=1,B14=132,B14=138),"Airports",D14)</f>
        <v>Brooklyn</v>
      </c>
    </row>
    <row r="15" spans="1:6">
      <c r="A15" s="33">
        <v>42005</v>
      </c>
      <c r="B15">
        <v>15</v>
      </c>
      <c r="C15">
        <v>388</v>
      </c>
      <c r="D15" t="str">
        <f>VLOOKUP(B15,ZoneTable,2,FALSE)</f>
        <v>Queens</v>
      </c>
      <c r="E15" t="str">
        <f>VLOOKUP(B15,ZoneTable,3,FALSE)</f>
        <v>Bay Terrace/Fort Totten</v>
      </c>
      <c r="F15" t="str">
        <f>IF(OR(B15=1,B15=132,B15=138),"Airports",D15)</f>
        <v>Queens</v>
      </c>
    </row>
    <row r="16" spans="1:6">
      <c r="A16" s="33">
        <v>42005</v>
      </c>
      <c r="B16">
        <v>16</v>
      </c>
      <c r="C16">
        <v>956</v>
      </c>
      <c r="D16" t="str">
        <f>VLOOKUP(B16,ZoneTable,2,FALSE)</f>
        <v>Queens</v>
      </c>
      <c r="E16" t="str">
        <f>VLOOKUP(B16,ZoneTable,3,FALSE)</f>
        <v>Bayside</v>
      </c>
      <c r="F16" t="str">
        <f>IF(OR(B16=1,B16=132,B16=138),"Airports",D16)</f>
        <v>Queens</v>
      </c>
    </row>
    <row r="17" spans="1:6">
      <c r="A17" s="33">
        <v>42005</v>
      </c>
      <c r="B17">
        <v>17</v>
      </c>
      <c r="C17">
        <v>11219</v>
      </c>
      <c r="D17" t="str">
        <f>VLOOKUP(B17,ZoneTable,2,FALSE)</f>
        <v>Brooklyn</v>
      </c>
      <c r="E17" t="str">
        <f>VLOOKUP(B17,ZoneTable,3,FALSE)</f>
        <v>Bedford</v>
      </c>
      <c r="F17" t="str">
        <f>IF(OR(B17=1,B17=132,B17=138),"Airports",D17)</f>
        <v>Brooklyn</v>
      </c>
    </row>
    <row r="18" spans="1:6">
      <c r="A18" s="33">
        <v>42005</v>
      </c>
      <c r="B18">
        <v>18</v>
      </c>
      <c r="C18">
        <v>609</v>
      </c>
      <c r="D18" t="str">
        <f>VLOOKUP(B18,ZoneTable,2,FALSE)</f>
        <v>Bronx</v>
      </c>
      <c r="E18" t="str">
        <f>VLOOKUP(B18,ZoneTable,3,FALSE)</f>
        <v>Bedford Park</v>
      </c>
      <c r="F18" t="str">
        <f>IF(OR(B18=1,B18=132,B18=138),"Airports",D18)</f>
        <v>Bronx</v>
      </c>
    </row>
    <row r="19" spans="1:6">
      <c r="A19" s="33">
        <v>42005</v>
      </c>
      <c r="B19">
        <v>19</v>
      </c>
      <c r="C19">
        <v>293</v>
      </c>
      <c r="D19" t="str">
        <f>VLOOKUP(B19,ZoneTable,2,FALSE)</f>
        <v>Queens</v>
      </c>
      <c r="E19" t="str">
        <f>VLOOKUP(B19,ZoneTable,3,FALSE)</f>
        <v>Bellerose</v>
      </c>
      <c r="F19" t="str">
        <f>IF(OR(B19=1,B19=132,B19=138),"Airports",D19)</f>
        <v>Queens</v>
      </c>
    </row>
    <row r="20" spans="1:6">
      <c r="A20" s="33">
        <v>42005</v>
      </c>
      <c r="B20">
        <v>20</v>
      </c>
      <c r="C20">
        <v>937</v>
      </c>
      <c r="D20" t="str">
        <f>VLOOKUP(B20,ZoneTable,2,FALSE)</f>
        <v>Bronx</v>
      </c>
      <c r="E20" t="str">
        <f>VLOOKUP(B20,ZoneTable,3,FALSE)</f>
        <v>Belmont</v>
      </c>
      <c r="F20" t="str">
        <f>IF(OR(B20=1,B20=132,B20=138),"Airports",D20)</f>
        <v>Bronx</v>
      </c>
    </row>
    <row r="21" spans="1:6">
      <c r="A21" s="33">
        <v>42005</v>
      </c>
      <c r="B21">
        <v>21</v>
      </c>
      <c r="C21">
        <v>933</v>
      </c>
      <c r="D21" t="str">
        <f>VLOOKUP(B21,ZoneTable,2,FALSE)</f>
        <v>Brooklyn</v>
      </c>
      <c r="E21" t="str">
        <f>VLOOKUP(B21,ZoneTable,3,FALSE)</f>
        <v>Bensonhurst East</v>
      </c>
      <c r="F21" t="str">
        <f>IF(OR(B21=1,B21=132,B21=138),"Airports",D21)</f>
        <v>Brooklyn</v>
      </c>
    </row>
    <row r="22" spans="1:6">
      <c r="A22" s="33">
        <v>42005</v>
      </c>
      <c r="B22">
        <v>22</v>
      </c>
      <c r="C22">
        <v>1197</v>
      </c>
      <c r="D22" t="str">
        <f>VLOOKUP(B22,ZoneTable,2,FALSE)</f>
        <v>Brooklyn</v>
      </c>
      <c r="E22" t="str">
        <f>VLOOKUP(B22,ZoneTable,3,FALSE)</f>
        <v>Bensonhurst West</v>
      </c>
      <c r="F22" t="str">
        <f>IF(OR(B22=1,B22=132,B22=138),"Airports",D22)</f>
        <v>Brooklyn</v>
      </c>
    </row>
    <row r="23" spans="1:6">
      <c r="A23" s="33">
        <v>42005</v>
      </c>
      <c r="B23">
        <v>23</v>
      </c>
      <c r="C23">
        <v>82</v>
      </c>
      <c r="D23" t="str">
        <f>VLOOKUP(B23,ZoneTable,2,FALSE)</f>
        <v>Staten Island</v>
      </c>
      <c r="E23" t="str">
        <f>VLOOKUP(B23,ZoneTable,3,FALSE)</f>
        <v>Bloomfield/Emerson Hill</v>
      </c>
      <c r="F23" t="str">
        <f>IF(OR(B23=1,B23=132,B23=138),"Airports",D23)</f>
        <v>Staten Island</v>
      </c>
    </row>
    <row r="24" spans="1:6">
      <c r="A24" s="33">
        <v>42005</v>
      </c>
      <c r="B24">
        <v>24</v>
      </c>
      <c r="C24">
        <v>2967</v>
      </c>
      <c r="D24" t="str">
        <f>VLOOKUP(B24,ZoneTable,2,FALSE)</f>
        <v>Manhattan</v>
      </c>
      <c r="E24" t="str">
        <f>VLOOKUP(B24,ZoneTable,3,FALSE)</f>
        <v>Bloomingdale</v>
      </c>
      <c r="F24" t="str">
        <f>IF(OR(B24=1,B24=132,B24=138),"Airports",D24)</f>
        <v>Manhattan</v>
      </c>
    </row>
    <row r="25" spans="1:6">
      <c r="A25" s="33">
        <v>42005</v>
      </c>
      <c r="B25">
        <v>25</v>
      </c>
      <c r="C25">
        <v>9766</v>
      </c>
      <c r="D25" t="str">
        <f>VLOOKUP(B25,ZoneTable,2,FALSE)</f>
        <v>Brooklyn</v>
      </c>
      <c r="E25" t="str">
        <f>VLOOKUP(B25,ZoneTable,3,FALSE)</f>
        <v>Boerum Hill</v>
      </c>
      <c r="F25" t="str">
        <f>IF(OR(B25=1,B25=132,B25=138),"Airports",D25)</f>
        <v>Brooklyn</v>
      </c>
    </row>
    <row r="26" spans="1:6">
      <c r="A26" s="33">
        <v>42005</v>
      </c>
      <c r="B26">
        <v>26</v>
      </c>
      <c r="C26">
        <v>1743</v>
      </c>
      <c r="D26" t="str">
        <f>VLOOKUP(B26,ZoneTable,2,FALSE)</f>
        <v>Brooklyn</v>
      </c>
      <c r="E26" t="str">
        <f>VLOOKUP(B26,ZoneTable,3,FALSE)</f>
        <v>Borough Park</v>
      </c>
      <c r="F26" t="str">
        <f>IF(OR(B26=1,B26=132,B26=138),"Airports",D26)</f>
        <v>Brooklyn</v>
      </c>
    </row>
    <row r="27" spans="1:6">
      <c r="A27" s="33">
        <v>42005</v>
      </c>
      <c r="B27">
        <v>27</v>
      </c>
      <c r="C27">
        <v>8</v>
      </c>
      <c r="D27" t="str">
        <f>VLOOKUP(B27,ZoneTable,2,FALSE)</f>
        <v>Queens</v>
      </c>
      <c r="E27" t="str">
        <f>VLOOKUP(B27,ZoneTable,3,FALSE)</f>
        <v>Breezy Point/Fort Tilden/Riis Beach</v>
      </c>
      <c r="F27" t="str">
        <f>IF(OR(B27=1,B27=132,B27=138),"Airports",D27)</f>
        <v>Queens</v>
      </c>
    </row>
    <row r="28" spans="1:6">
      <c r="A28" s="33">
        <v>42005</v>
      </c>
      <c r="B28">
        <v>28</v>
      </c>
      <c r="C28">
        <v>1205</v>
      </c>
      <c r="D28" t="str">
        <f>VLOOKUP(B28,ZoneTable,2,FALSE)</f>
        <v>Queens</v>
      </c>
      <c r="E28" t="str">
        <f>VLOOKUP(B28,ZoneTable,3,FALSE)</f>
        <v>Briarwood/Jamaica Hills</v>
      </c>
      <c r="F28" t="str">
        <f>IF(OR(B28=1,B28=132,B28=138),"Airports",D28)</f>
        <v>Queens</v>
      </c>
    </row>
    <row r="29" spans="1:6">
      <c r="A29" s="33">
        <v>42005</v>
      </c>
      <c r="B29">
        <v>29</v>
      </c>
      <c r="C29">
        <v>573</v>
      </c>
      <c r="D29" t="str">
        <f>VLOOKUP(B29,ZoneTable,2,FALSE)</f>
        <v>Brooklyn</v>
      </c>
      <c r="E29" t="str">
        <f>VLOOKUP(B29,ZoneTable,3,FALSE)</f>
        <v>Brighton Beach</v>
      </c>
      <c r="F29" t="str">
        <f>IF(OR(B29=1,B29=132,B29=138),"Airports",D29)</f>
        <v>Brooklyn</v>
      </c>
    </row>
    <row r="30" spans="1:6">
      <c r="A30" s="33">
        <v>42005</v>
      </c>
      <c r="B30">
        <v>30</v>
      </c>
      <c r="C30">
        <v>9</v>
      </c>
      <c r="D30" t="str">
        <f>VLOOKUP(B30,ZoneTable,2,FALSE)</f>
        <v>Queens</v>
      </c>
      <c r="E30" t="str">
        <f>VLOOKUP(B30,ZoneTable,3,FALSE)</f>
        <v>Broad Channel</v>
      </c>
      <c r="F30" t="str">
        <f>IF(OR(B30=1,B30=132,B30=138),"Airports",D30)</f>
        <v>Queens</v>
      </c>
    </row>
    <row r="31" spans="1:6">
      <c r="A31" s="33">
        <v>42005</v>
      </c>
      <c r="B31">
        <v>31</v>
      </c>
      <c r="C31">
        <v>178</v>
      </c>
      <c r="D31" t="str">
        <f>VLOOKUP(B31,ZoneTable,2,FALSE)</f>
        <v>Bronx</v>
      </c>
      <c r="E31" t="str">
        <f>VLOOKUP(B31,ZoneTable,3,FALSE)</f>
        <v>Bronx Park</v>
      </c>
      <c r="F31" t="str">
        <f>IF(OR(B31=1,B31=132,B31=138),"Airports",D31)</f>
        <v>Bronx</v>
      </c>
    </row>
    <row r="32" spans="1:6">
      <c r="A32" s="33">
        <v>42005</v>
      </c>
      <c r="B32">
        <v>32</v>
      </c>
      <c r="C32">
        <v>387</v>
      </c>
      <c r="D32" t="str">
        <f>VLOOKUP(B32,ZoneTable,2,FALSE)</f>
        <v>Bronx</v>
      </c>
      <c r="E32" t="str">
        <f>VLOOKUP(B32,ZoneTable,3,FALSE)</f>
        <v>Bronxdale</v>
      </c>
      <c r="F32" t="str">
        <f>IF(OR(B32=1,B32=132,B32=138),"Airports",D32)</f>
        <v>Bronx</v>
      </c>
    </row>
    <row r="33" spans="1:6">
      <c r="A33" s="33">
        <v>42005</v>
      </c>
      <c r="B33">
        <v>33</v>
      </c>
      <c r="C33">
        <v>11370</v>
      </c>
      <c r="D33" t="str">
        <f>VLOOKUP(B33,ZoneTable,2,FALSE)</f>
        <v>Brooklyn</v>
      </c>
      <c r="E33" t="str">
        <f>VLOOKUP(B33,ZoneTable,3,FALSE)</f>
        <v>Brooklyn Heights</v>
      </c>
      <c r="F33" t="str">
        <f>IF(OR(B33=1,B33=132,B33=138),"Airports",D33)</f>
        <v>Brooklyn</v>
      </c>
    </row>
    <row r="34" spans="1:6">
      <c r="A34" s="33">
        <v>42005</v>
      </c>
      <c r="B34">
        <v>34</v>
      </c>
      <c r="C34">
        <v>1302</v>
      </c>
      <c r="D34" t="str">
        <f>VLOOKUP(B34,ZoneTable,2,FALSE)</f>
        <v>Brooklyn</v>
      </c>
      <c r="E34" t="str">
        <f>VLOOKUP(B34,ZoneTable,3,FALSE)</f>
        <v>Brooklyn Navy Yard</v>
      </c>
      <c r="F34" t="str">
        <f>IF(OR(B34=1,B34=132,B34=138),"Airports",D34)</f>
        <v>Brooklyn</v>
      </c>
    </row>
    <row r="35" spans="1:6">
      <c r="A35" s="33">
        <v>42005</v>
      </c>
      <c r="B35">
        <v>35</v>
      </c>
      <c r="C35">
        <v>998</v>
      </c>
      <c r="D35" t="str">
        <f>VLOOKUP(B35,ZoneTable,2,FALSE)</f>
        <v>Brooklyn</v>
      </c>
      <c r="E35" t="str">
        <f>VLOOKUP(B35,ZoneTable,3,FALSE)</f>
        <v>Brownsville</v>
      </c>
      <c r="F35" t="str">
        <f>IF(OR(B35=1,B35=132,B35=138),"Airports",D35)</f>
        <v>Brooklyn</v>
      </c>
    </row>
    <row r="36" spans="1:6">
      <c r="A36" s="33">
        <v>42005</v>
      </c>
      <c r="B36">
        <v>36</v>
      </c>
      <c r="C36">
        <v>10332</v>
      </c>
      <c r="D36" t="str">
        <f>VLOOKUP(B36,ZoneTable,2,FALSE)</f>
        <v>Brooklyn</v>
      </c>
      <c r="E36" t="str">
        <f>VLOOKUP(B36,ZoneTable,3,FALSE)</f>
        <v>Bushwick North</v>
      </c>
      <c r="F36" t="str">
        <f>IF(OR(B36=1,B36=132,B36=138),"Airports",D36)</f>
        <v>Brooklyn</v>
      </c>
    </row>
    <row r="37" spans="1:6">
      <c r="A37" s="33">
        <v>42005</v>
      </c>
      <c r="B37">
        <v>37</v>
      </c>
      <c r="C37">
        <v>14147</v>
      </c>
      <c r="D37" t="str">
        <f>VLOOKUP(B37,ZoneTable,2,FALSE)</f>
        <v>Brooklyn</v>
      </c>
      <c r="E37" t="str">
        <f>VLOOKUP(B37,ZoneTable,3,FALSE)</f>
        <v>Bushwick South</v>
      </c>
      <c r="F37" t="str">
        <f>IF(OR(B37=1,B37=132,B37=138),"Airports",D37)</f>
        <v>Brooklyn</v>
      </c>
    </row>
    <row r="38" spans="1:6">
      <c r="A38" s="33">
        <v>42005</v>
      </c>
      <c r="B38">
        <v>38</v>
      </c>
      <c r="C38">
        <v>208</v>
      </c>
      <c r="D38" t="str">
        <f>VLOOKUP(B38,ZoneTable,2,FALSE)</f>
        <v>Queens</v>
      </c>
      <c r="E38" t="str">
        <f>VLOOKUP(B38,ZoneTable,3,FALSE)</f>
        <v>Cambria Heights</v>
      </c>
      <c r="F38" t="str">
        <f>IF(OR(B38=1,B38=132,B38=138),"Airports",D38)</f>
        <v>Queens</v>
      </c>
    </row>
    <row r="39" spans="1:6">
      <c r="A39" s="33">
        <v>42005</v>
      </c>
      <c r="B39">
        <v>39</v>
      </c>
      <c r="C39">
        <v>1450</v>
      </c>
      <c r="D39" t="str">
        <f>VLOOKUP(B39,ZoneTable,2,FALSE)</f>
        <v>Brooklyn</v>
      </c>
      <c r="E39" t="str">
        <f>VLOOKUP(B39,ZoneTable,3,FALSE)</f>
        <v>Canarsie</v>
      </c>
      <c r="F39" t="str">
        <f>IF(OR(B39=1,B39=132,B39=138),"Airports",D39)</f>
        <v>Brooklyn</v>
      </c>
    </row>
    <row r="40" spans="1:6">
      <c r="A40" s="33">
        <v>42005</v>
      </c>
      <c r="B40">
        <v>40</v>
      </c>
      <c r="C40">
        <v>6375</v>
      </c>
      <c r="D40" t="str">
        <f>VLOOKUP(B40,ZoneTable,2,FALSE)</f>
        <v>Brooklyn</v>
      </c>
      <c r="E40" t="str">
        <f>VLOOKUP(B40,ZoneTable,3,FALSE)</f>
        <v>Carroll Gardens</v>
      </c>
      <c r="F40" t="str">
        <f>IF(OR(B40=1,B40=132,B40=138),"Airports",D40)</f>
        <v>Brooklyn</v>
      </c>
    </row>
    <row r="41" spans="1:6">
      <c r="A41" s="33">
        <v>42005</v>
      </c>
      <c r="B41">
        <v>41</v>
      </c>
      <c r="C41">
        <v>8475</v>
      </c>
      <c r="D41" t="str">
        <f>VLOOKUP(B41,ZoneTable,2,FALSE)</f>
        <v>Manhattan</v>
      </c>
      <c r="E41" t="str">
        <f>VLOOKUP(B41,ZoneTable,3,FALSE)</f>
        <v>Central Harlem</v>
      </c>
      <c r="F41" t="str">
        <f>IF(OR(B41=1,B41=132,B41=138),"Airports",D41)</f>
        <v>Manhattan</v>
      </c>
    </row>
    <row r="42" spans="1:6">
      <c r="A42" s="33">
        <v>42005</v>
      </c>
      <c r="B42">
        <v>42</v>
      </c>
      <c r="C42">
        <v>8424</v>
      </c>
      <c r="D42" t="str">
        <f>VLOOKUP(B42,ZoneTable,2,FALSE)</f>
        <v>Manhattan</v>
      </c>
      <c r="E42" t="str">
        <f>VLOOKUP(B42,ZoneTable,3,FALSE)</f>
        <v>Central Harlem North</v>
      </c>
      <c r="F42" t="str">
        <f>IF(OR(B42=1,B42=132,B42=138),"Airports",D42)</f>
        <v>Manhattan</v>
      </c>
    </row>
    <row r="43" spans="1:6">
      <c r="A43" s="33">
        <v>42005</v>
      </c>
      <c r="B43">
        <v>43</v>
      </c>
      <c r="C43">
        <v>5872</v>
      </c>
      <c r="D43" t="str">
        <f>VLOOKUP(B43,ZoneTable,2,FALSE)</f>
        <v>Manhattan</v>
      </c>
      <c r="E43" t="str">
        <f>VLOOKUP(B43,ZoneTable,3,FALSE)</f>
        <v>Central Park</v>
      </c>
      <c r="F43" t="str">
        <f>IF(OR(B43=1,B43=132,B43=138),"Airports",D43)</f>
        <v>Manhattan</v>
      </c>
    </row>
    <row r="44" spans="1:6">
      <c r="A44" s="33">
        <v>42005</v>
      </c>
      <c r="B44">
        <v>44</v>
      </c>
      <c r="C44">
        <v>3</v>
      </c>
      <c r="D44" t="str">
        <f>VLOOKUP(B44,ZoneTable,2,FALSE)</f>
        <v>Staten Island</v>
      </c>
      <c r="E44" t="str">
        <f>VLOOKUP(B44,ZoneTable,3,FALSE)</f>
        <v>Charleston/Tottenville</v>
      </c>
      <c r="F44" t="str">
        <f>IF(OR(B44=1,B44=132,B44=138),"Airports",D44)</f>
        <v>Staten Island</v>
      </c>
    </row>
    <row r="45" spans="1:6">
      <c r="A45" s="33">
        <v>42005</v>
      </c>
      <c r="B45">
        <v>45</v>
      </c>
      <c r="C45">
        <v>6310</v>
      </c>
      <c r="D45" t="str">
        <f>VLOOKUP(B45,ZoneTable,2,FALSE)</f>
        <v>Manhattan</v>
      </c>
      <c r="E45" t="str">
        <f>VLOOKUP(B45,ZoneTable,3,FALSE)</f>
        <v>Chinatown</v>
      </c>
      <c r="F45" t="str">
        <f>IF(OR(B45=1,B45=132,B45=138),"Airports",D45)</f>
        <v>Manhattan</v>
      </c>
    </row>
    <row r="46" spans="1:6">
      <c r="A46" s="33">
        <v>42005</v>
      </c>
      <c r="B46">
        <v>46</v>
      </c>
      <c r="C46">
        <v>22</v>
      </c>
      <c r="D46" t="str">
        <f>VLOOKUP(B46,ZoneTable,2,FALSE)</f>
        <v>Bronx</v>
      </c>
      <c r="E46" t="str">
        <f>VLOOKUP(B46,ZoneTable,3,FALSE)</f>
        <v>City Island</v>
      </c>
      <c r="F46" t="str">
        <f>IF(OR(B46=1,B46=132,B46=138),"Airports",D46)</f>
        <v>Bronx</v>
      </c>
    </row>
    <row r="47" spans="1:6">
      <c r="A47" s="33">
        <v>42005</v>
      </c>
      <c r="B47">
        <v>47</v>
      </c>
      <c r="C47">
        <v>422</v>
      </c>
      <c r="D47" t="str">
        <f>VLOOKUP(B47,ZoneTable,2,FALSE)</f>
        <v>Bronx</v>
      </c>
      <c r="E47" t="str">
        <f>VLOOKUP(B47,ZoneTable,3,FALSE)</f>
        <v>Claremont/Bathgate</v>
      </c>
      <c r="F47" t="str">
        <f>IF(OR(B47=1,B47=132,B47=138),"Airports",D47)</f>
        <v>Bronx</v>
      </c>
    </row>
    <row r="48" spans="1:6">
      <c r="A48" s="33">
        <v>42005</v>
      </c>
      <c r="B48">
        <v>48</v>
      </c>
      <c r="C48">
        <v>35935</v>
      </c>
      <c r="D48" t="str">
        <f>VLOOKUP(B48,ZoneTable,2,FALSE)</f>
        <v>Manhattan</v>
      </c>
      <c r="E48" t="str">
        <f>VLOOKUP(B48,ZoneTable,3,FALSE)</f>
        <v>Clinton East</v>
      </c>
      <c r="F48" t="str">
        <f>IF(OR(B48=1,B48=132,B48=138),"Airports",D48)</f>
        <v>Manhattan</v>
      </c>
    </row>
    <row r="49" spans="1:6">
      <c r="A49" s="33">
        <v>42005</v>
      </c>
      <c r="B49">
        <v>49</v>
      </c>
      <c r="C49">
        <v>12415</v>
      </c>
      <c r="D49" t="str">
        <f>VLOOKUP(B49,ZoneTable,2,FALSE)</f>
        <v>Brooklyn</v>
      </c>
      <c r="E49" t="str">
        <f>VLOOKUP(B49,ZoneTable,3,FALSE)</f>
        <v>Clinton Hill</v>
      </c>
      <c r="F49" t="str">
        <f>IF(OR(B49=1,B49=132,B49=138),"Airports",D49)</f>
        <v>Brooklyn</v>
      </c>
    </row>
    <row r="50" spans="1:6">
      <c r="A50" s="33">
        <v>42005</v>
      </c>
      <c r="B50">
        <v>50</v>
      </c>
      <c r="C50">
        <v>21111</v>
      </c>
      <c r="D50" t="str">
        <f>VLOOKUP(B50,ZoneTable,2,FALSE)</f>
        <v>Manhattan</v>
      </c>
      <c r="E50" t="str">
        <f>VLOOKUP(B50,ZoneTable,3,FALSE)</f>
        <v>Clinton West</v>
      </c>
      <c r="F50" t="str">
        <f>IF(OR(B50=1,B50=132,B50=138),"Airports",D50)</f>
        <v>Manhattan</v>
      </c>
    </row>
    <row r="51" spans="1:6">
      <c r="A51" s="33">
        <v>42005</v>
      </c>
      <c r="B51">
        <v>51</v>
      </c>
      <c r="C51">
        <v>435</v>
      </c>
      <c r="D51" t="str">
        <f>VLOOKUP(B51,ZoneTable,2,FALSE)</f>
        <v>Bronx</v>
      </c>
      <c r="E51" t="str">
        <f>VLOOKUP(B51,ZoneTable,3,FALSE)</f>
        <v>Co-Op City</v>
      </c>
      <c r="F51" t="str">
        <f>IF(OR(B51=1,B51=132,B51=138),"Airports",D51)</f>
        <v>Bronx</v>
      </c>
    </row>
    <row r="52" spans="1:6">
      <c r="A52" s="33">
        <v>42005</v>
      </c>
      <c r="B52">
        <v>52</v>
      </c>
      <c r="C52">
        <v>3925</v>
      </c>
      <c r="D52" t="str">
        <f>VLOOKUP(B52,ZoneTable,2,FALSE)</f>
        <v>Brooklyn</v>
      </c>
      <c r="E52" t="str">
        <f>VLOOKUP(B52,ZoneTable,3,FALSE)</f>
        <v>Cobble Hill</v>
      </c>
      <c r="F52" t="str">
        <f>IF(OR(B52=1,B52=132,B52=138),"Airports",D52)</f>
        <v>Brooklyn</v>
      </c>
    </row>
    <row r="53" spans="1:6">
      <c r="A53" s="33">
        <v>42005</v>
      </c>
      <c r="B53">
        <v>53</v>
      </c>
      <c r="C53">
        <v>405</v>
      </c>
      <c r="D53" t="str">
        <f>VLOOKUP(B53,ZoneTable,2,FALSE)</f>
        <v>Queens</v>
      </c>
      <c r="E53" t="str">
        <f>VLOOKUP(B53,ZoneTable,3,FALSE)</f>
        <v>College Point</v>
      </c>
      <c r="F53" t="str">
        <f>IF(OR(B53=1,B53=132,B53=138),"Airports",D53)</f>
        <v>Queens</v>
      </c>
    </row>
    <row r="54" spans="1:6">
      <c r="A54" s="33">
        <v>42005</v>
      </c>
      <c r="B54">
        <v>54</v>
      </c>
      <c r="C54">
        <v>1867</v>
      </c>
      <c r="D54" t="str">
        <f>VLOOKUP(B54,ZoneTable,2,FALSE)</f>
        <v>Brooklyn</v>
      </c>
      <c r="E54" t="str">
        <f>VLOOKUP(B54,ZoneTable,3,FALSE)</f>
        <v>Columbia Street</v>
      </c>
      <c r="F54" t="str">
        <f>IF(OR(B54=1,B54=132,B54=138),"Airports",D54)</f>
        <v>Brooklyn</v>
      </c>
    </row>
    <row r="55" spans="1:6">
      <c r="A55" s="33">
        <v>42005</v>
      </c>
      <c r="B55">
        <v>55</v>
      </c>
      <c r="C55">
        <v>446</v>
      </c>
      <c r="D55" t="str">
        <f>VLOOKUP(B55,ZoneTable,2,FALSE)</f>
        <v>Brooklyn</v>
      </c>
      <c r="E55" t="str">
        <f>VLOOKUP(B55,ZoneTable,3,FALSE)</f>
        <v>Coney Island</v>
      </c>
      <c r="F55" t="str">
        <f>IF(OR(B55=1,B55=132,B55=138),"Airports",D55)</f>
        <v>Brooklyn</v>
      </c>
    </row>
    <row r="56" spans="1:6">
      <c r="A56" s="33">
        <v>42005</v>
      </c>
      <c r="B56">
        <v>56</v>
      </c>
      <c r="C56">
        <v>868</v>
      </c>
      <c r="D56" t="str">
        <f>VLOOKUP(B56,ZoneTable,2,FALSE)</f>
        <v>Queens</v>
      </c>
      <c r="E56" t="str">
        <f>VLOOKUP(B56,ZoneTable,3,FALSE)</f>
        <v>Corona</v>
      </c>
      <c r="F56" t="str">
        <f>IF(OR(B56=1,B56=132,B56=138),"Airports",D56)</f>
        <v>Queens</v>
      </c>
    </row>
    <row r="57" spans="1:6">
      <c r="A57" s="33">
        <v>42005</v>
      </c>
      <c r="B57">
        <v>57</v>
      </c>
      <c r="C57">
        <v>63</v>
      </c>
      <c r="D57" t="str">
        <f>VLOOKUP(B57,ZoneTable,2,FALSE)</f>
        <v>Queens</v>
      </c>
      <c r="E57" t="str">
        <f>VLOOKUP(B57,ZoneTable,3,FALSE)</f>
        <v>Corona</v>
      </c>
      <c r="F57" t="str">
        <f>IF(OR(B57=1,B57=132,B57=138),"Airports",D57)</f>
        <v>Queens</v>
      </c>
    </row>
    <row r="58" spans="1:6">
      <c r="A58" s="33">
        <v>42005</v>
      </c>
      <c r="B58">
        <v>58</v>
      </c>
      <c r="C58">
        <v>74</v>
      </c>
      <c r="D58" t="str">
        <f>VLOOKUP(B58,ZoneTable,2,FALSE)</f>
        <v>Bronx</v>
      </c>
      <c r="E58" t="str">
        <f>VLOOKUP(B58,ZoneTable,3,FALSE)</f>
        <v>Country Club</v>
      </c>
      <c r="F58" t="str">
        <f>IF(OR(B58=1,B58=132,B58=138),"Airports",D58)</f>
        <v>Bronx</v>
      </c>
    </row>
    <row r="59" spans="1:6">
      <c r="A59" s="33">
        <v>42005</v>
      </c>
      <c r="B59">
        <v>59</v>
      </c>
      <c r="C59">
        <v>10</v>
      </c>
      <c r="D59" t="str">
        <f>VLOOKUP(B59,ZoneTable,2,FALSE)</f>
        <v>Bronx</v>
      </c>
      <c r="E59" t="str">
        <f>VLOOKUP(B59,ZoneTable,3,FALSE)</f>
        <v>Crotona Park</v>
      </c>
      <c r="F59" t="str">
        <f>IF(OR(B59=1,B59=132,B59=138),"Airports",D59)</f>
        <v>Bronx</v>
      </c>
    </row>
    <row r="60" spans="1:6">
      <c r="A60" s="33">
        <v>42005</v>
      </c>
      <c r="B60">
        <v>60</v>
      </c>
      <c r="C60">
        <v>264</v>
      </c>
      <c r="D60" t="str">
        <f>VLOOKUP(B60,ZoneTable,2,FALSE)</f>
        <v>Bronx</v>
      </c>
      <c r="E60" t="str">
        <f>VLOOKUP(B60,ZoneTable,3,FALSE)</f>
        <v>Crotona Park East</v>
      </c>
      <c r="F60" t="str">
        <f>IF(OR(B60=1,B60=132,B60=138),"Airports",D60)</f>
        <v>Bronx</v>
      </c>
    </row>
    <row r="61" spans="1:6">
      <c r="A61" s="33">
        <v>42005</v>
      </c>
      <c r="B61">
        <v>61</v>
      </c>
      <c r="C61">
        <v>14234</v>
      </c>
      <c r="D61" t="str">
        <f>VLOOKUP(B61,ZoneTable,2,FALSE)</f>
        <v>Brooklyn</v>
      </c>
      <c r="E61" t="str">
        <f>VLOOKUP(B61,ZoneTable,3,FALSE)</f>
        <v>Crown Heights North</v>
      </c>
      <c r="F61" t="str">
        <f>IF(OR(B61=1,B61=132,B61=138),"Airports",D61)</f>
        <v>Brooklyn</v>
      </c>
    </row>
    <row r="62" spans="1:6">
      <c r="A62" s="33">
        <v>42005</v>
      </c>
      <c r="B62">
        <v>62</v>
      </c>
      <c r="C62">
        <v>3067</v>
      </c>
      <c r="D62" t="str">
        <f>VLOOKUP(B62,ZoneTable,2,FALSE)</f>
        <v>Brooklyn</v>
      </c>
      <c r="E62" t="str">
        <f>VLOOKUP(B62,ZoneTable,3,FALSE)</f>
        <v>Crown Heights South</v>
      </c>
      <c r="F62" t="str">
        <f>IF(OR(B62=1,B62=132,B62=138),"Airports",D62)</f>
        <v>Brooklyn</v>
      </c>
    </row>
    <row r="63" spans="1:6">
      <c r="A63" s="33">
        <v>42005</v>
      </c>
      <c r="B63">
        <v>63</v>
      </c>
      <c r="C63">
        <v>585</v>
      </c>
      <c r="D63" t="str">
        <f>VLOOKUP(B63,ZoneTable,2,FALSE)</f>
        <v>Brooklyn</v>
      </c>
      <c r="E63" t="str">
        <f>VLOOKUP(B63,ZoneTable,3,FALSE)</f>
        <v>Cypress Hills</v>
      </c>
      <c r="F63" t="str">
        <f>IF(OR(B63=1,B63=132,B63=138),"Airports",D63)</f>
        <v>Brooklyn</v>
      </c>
    </row>
    <row r="64" spans="1:6">
      <c r="A64" s="33">
        <v>42005</v>
      </c>
      <c r="B64">
        <v>64</v>
      </c>
      <c r="C64">
        <v>289</v>
      </c>
      <c r="D64" t="str">
        <f>VLOOKUP(B64,ZoneTable,2,FALSE)</f>
        <v>Queens</v>
      </c>
      <c r="E64" t="str">
        <f>VLOOKUP(B64,ZoneTable,3,FALSE)</f>
        <v>Douglaston</v>
      </c>
      <c r="F64" t="str">
        <f>IF(OR(B64=1,B64=132,B64=138),"Airports",D64)</f>
        <v>Queens</v>
      </c>
    </row>
    <row r="65" spans="1:6">
      <c r="A65" s="33">
        <v>42005</v>
      </c>
      <c r="B65">
        <v>65</v>
      </c>
      <c r="C65">
        <v>6995</v>
      </c>
      <c r="D65" t="str">
        <f>VLOOKUP(B65,ZoneTable,2,FALSE)</f>
        <v>Brooklyn</v>
      </c>
      <c r="E65" t="str">
        <f>VLOOKUP(B65,ZoneTable,3,FALSE)</f>
        <v>Downtown Brooklyn/MetroTech</v>
      </c>
      <c r="F65" t="str">
        <f>IF(OR(B65=1,B65=132,B65=138),"Airports",D65)</f>
        <v>Brooklyn</v>
      </c>
    </row>
    <row r="66" spans="1:6">
      <c r="A66" s="33">
        <v>42005</v>
      </c>
      <c r="B66">
        <v>66</v>
      </c>
      <c r="C66">
        <v>7823</v>
      </c>
      <c r="D66" t="str">
        <f>VLOOKUP(B66,ZoneTable,2,FALSE)</f>
        <v>Brooklyn</v>
      </c>
      <c r="E66" t="str">
        <f>VLOOKUP(B66,ZoneTable,3,FALSE)</f>
        <v>DUMBO/Vinegar Hill</v>
      </c>
      <c r="F66" t="str">
        <f>IF(OR(B66=1,B66=132,B66=138),"Airports",D66)</f>
        <v>Brooklyn</v>
      </c>
    </row>
    <row r="67" spans="1:6">
      <c r="A67" s="33">
        <v>42005</v>
      </c>
      <c r="B67">
        <v>67</v>
      </c>
      <c r="C67">
        <v>1068</v>
      </c>
      <c r="D67" t="str">
        <f>VLOOKUP(B67,ZoneTable,2,FALSE)</f>
        <v>Brooklyn</v>
      </c>
      <c r="E67" t="str">
        <f>VLOOKUP(B67,ZoneTable,3,FALSE)</f>
        <v>Dyker Heights</v>
      </c>
      <c r="F67" t="str">
        <f>IF(OR(B67=1,B67=132,B67=138),"Airports",D67)</f>
        <v>Brooklyn</v>
      </c>
    </row>
    <row r="68" spans="1:6">
      <c r="A68" s="33">
        <v>42005</v>
      </c>
      <c r="B68">
        <v>68</v>
      </c>
      <c r="C68">
        <v>40006</v>
      </c>
      <c r="D68" t="str">
        <f>VLOOKUP(B68,ZoneTable,2,FALSE)</f>
        <v>Manhattan</v>
      </c>
      <c r="E68" t="str">
        <f>VLOOKUP(B68,ZoneTable,3,FALSE)</f>
        <v>East Chelsea</v>
      </c>
      <c r="F68" t="str">
        <f>IF(OR(B68=1,B68=132,B68=138),"Airports",D68)</f>
        <v>Manhattan</v>
      </c>
    </row>
    <row r="69" spans="1:6">
      <c r="A69" s="33">
        <v>42005</v>
      </c>
      <c r="B69">
        <v>69</v>
      </c>
      <c r="C69">
        <v>890</v>
      </c>
      <c r="D69" t="str">
        <f>VLOOKUP(B69,ZoneTable,2,FALSE)</f>
        <v>Bronx</v>
      </c>
      <c r="E69" t="str">
        <f>VLOOKUP(B69,ZoneTable,3,FALSE)</f>
        <v>East Concourse/Concourse Village</v>
      </c>
      <c r="F69" t="str">
        <f>IF(OR(B69=1,B69=132,B69=138),"Airports",D69)</f>
        <v>Bronx</v>
      </c>
    </row>
    <row r="70" spans="1:6">
      <c r="A70" s="33">
        <v>42005</v>
      </c>
      <c r="B70">
        <v>70</v>
      </c>
      <c r="C70">
        <v>995</v>
      </c>
      <c r="D70" t="str">
        <f>VLOOKUP(B70,ZoneTable,2,FALSE)</f>
        <v>Queens</v>
      </c>
      <c r="E70" t="str">
        <f>VLOOKUP(B70,ZoneTable,3,FALSE)</f>
        <v>East Elmhurst</v>
      </c>
      <c r="F70" t="str">
        <f>IF(OR(B70=1,B70=132,B70=138),"Airports",D70)</f>
        <v>Queens</v>
      </c>
    </row>
    <row r="71" spans="1:6">
      <c r="A71" s="33">
        <v>42005</v>
      </c>
      <c r="B71">
        <v>71</v>
      </c>
      <c r="C71">
        <v>1417</v>
      </c>
      <c r="D71" t="str">
        <f>VLOOKUP(B71,ZoneTable,2,FALSE)</f>
        <v>Brooklyn</v>
      </c>
      <c r="E71" t="str">
        <f>VLOOKUP(B71,ZoneTable,3,FALSE)</f>
        <v>East Flatbush/Farragut</v>
      </c>
      <c r="F71" t="str">
        <f>IF(OR(B71=1,B71=132,B71=138),"Airports",D71)</f>
        <v>Brooklyn</v>
      </c>
    </row>
    <row r="72" spans="1:6">
      <c r="A72" s="33">
        <v>42005</v>
      </c>
      <c r="B72">
        <v>72</v>
      </c>
      <c r="C72">
        <v>1394</v>
      </c>
      <c r="D72" t="str">
        <f>VLOOKUP(B72,ZoneTable,2,FALSE)</f>
        <v>Brooklyn</v>
      </c>
      <c r="E72" t="str">
        <f>VLOOKUP(B72,ZoneTable,3,FALSE)</f>
        <v>East Flatbush/Remsen Village</v>
      </c>
      <c r="F72" t="str">
        <f>IF(OR(B72=1,B72=132,B72=138),"Airports",D72)</f>
        <v>Brooklyn</v>
      </c>
    </row>
    <row r="73" spans="1:6">
      <c r="A73" s="33">
        <v>42005</v>
      </c>
      <c r="B73">
        <v>73</v>
      </c>
      <c r="C73">
        <v>433</v>
      </c>
      <c r="D73" t="str">
        <f>VLOOKUP(B73,ZoneTable,2,FALSE)</f>
        <v>Queens</v>
      </c>
      <c r="E73" t="str">
        <f>VLOOKUP(B73,ZoneTable,3,FALSE)</f>
        <v>East Flushing</v>
      </c>
      <c r="F73" t="str">
        <f>IF(OR(B73=1,B73=132,B73=138),"Airports",D73)</f>
        <v>Queens</v>
      </c>
    </row>
    <row r="74" spans="1:6">
      <c r="A74" s="33">
        <v>42005</v>
      </c>
      <c r="B74">
        <v>74</v>
      </c>
      <c r="C74">
        <v>6161</v>
      </c>
      <c r="D74" t="str">
        <f>VLOOKUP(B74,ZoneTable,2,FALSE)</f>
        <v>Manhattan</v>
      </c>
      <c r="E74" t="str">
        <f>VLOOKUP(B74,ZoneTable,3,FALSE)</f>
        <v>East Harlem North</v>
      </c>
      <c r="F74" t="str">
        <f>IF(OR(B74=1,B74=132,B74=138),"Airports",D74)</f>
        <v>Manhattan</v>
      </c>
    </row>
    <row r="75" spans="1:6">
      <c r="A75" s="33">
        <v>42005</v>
      </c>
      <c r="B75">
        <v>75</v>
      </c>
      <c r="C75">
        <v>6905</v>
      </c>
      <c r="D75" t="str">
        <f>VLOOKUP(B75,ZoneTable,2,FALSE)</f>
        <v>Manhattan</v>
      </c>
      <c r="E75" t="str">
        <f>VLOOKUP(B75,ZoneTable,3,FALSE)</f>
        <v>East Harlem South</v>
      </c>
      <c r="F75" t="str">
        <f>IF(OR(B75=1,B75=132,B75=138),"Airports",D75)</f>
        <v>Manhattan</v>
      </c>
    </row>
    <row r="76" spans="1:6">
      <c r="A76" s="33">
        <v>42005</v>
      </c>
      <c r="B76">
        <v>76</v>
      </c>
      <c r="C76">
        <v>1449</v>
      </c>
      <c r="D76" t="str">
        <f>VLOOKUP(B76,ZoneTable,2,FALSE)</f>
        <v>Brooklyn</v>
      </c>
      <c r="E76" t="str">
        <f>VLOOKUP(B76,ZoneTable,3,FALSE)</f>
        <v>East New York</v>
      </c>
      <c r="F76" t="str">
        <f>IF(OR(B76=1,B76=132,B76=138),"Airports",D76)</f>
        <v>Brooklyn</v>
      </c>
    </row>
    <row r="77" spans="1:6">
      <c r="A77" s="33">
        <v>42005</v>
      </c>
      <c r="B77">
        <v>77</v>
      </c>
      <c r="C77">
        <v>436</v>
      </c>
      <c r="D77" t="str">
        <f>VLOOKUP(B77,ZoneTable,2,FALSE)</f>
        <v>Brooklyn</v>
      </c>
      <c r="E77" t="str">
        <f>VLOOKUP(B77,ZoneTable,3,FALSE)</f>
        <v>East New York/Pennsylvania Avenue</v>
      </c>
      <c r="F77" t="str">
        <f>IF(OR(B77=1,B77=132,B77=138),"Airports",D77)</f>
        <v>Brooklyn</v>
      </c>
    </row>
    <row r="78" spans="1:6">
      <c r="A78" s="33">
        <v>42005</v>
      </c>
      <c r="B78">
        <v>78</v>
      </c>
      <c r="C78">
        <v>509</v>
      </c>
      <c r="D78" t="str">
        <f>VLOOKUP(B78,ZoneTable,2,FALSE)</f>
        <v>Bronx</v>
      </c>
      <c r="E78" t="str">
        <f>VLOOKUP(B78,ZoneTable,3,FALSE)</f>
        <v>East Tremont</v>
      </c>
      <c r="F78" t="str">
        <f>IF(OR(B78=1,B78=132,B78=138),"Airports",D78)</f>
        <v>Bronx</v>
      </c>
    </row>
    <row r="79" spans="1:6">
      <c r="A79" s="33">
        <v>42005</v>
      </c>
      <c r="B79">
        <v>79</v>
      </c>
      <c r="C79">
        <v>58727</v>
      </c>
      <c r="D79" t="str">
        <f>VLOOKUP(B79,ZoneTable,2,FALSE)</f>
        <v>Manhattan</v>
      </c>
      <c r="E79" t="str">
        <f>VLOOKUP(B79,ZoneTable,3,FALSE)</f>
        <v>East Village</v>
      </c>
      <c r="F79" t="str">
        <f>IF(OR(B79=1,B79=132,B79=138),"Airports",D79)</f>
        <v>Manhattan</v>
      </c>
    </row>
    <row r="80" spans="1:6">
      <c r="A80" s="33">
        <v>42005</v>
      </c>
      <c r="B80">
        <v>80</v>
      </c>
      <c r="C80">
        <v>15962</v>
      </c>
      <c r="D80" t="str">
        <f>VLOOKUP(B80,ZoneTable,2,FALSE)</f>
        <v>Brooklyn</v>
      </c>
      <c r="E80" t="str">
        <f>VLOOKUP(B80,ZoneTable,3,FALSE)</f>
        <v>East Williamsburg</v>
      </c>
      <c r="F80" t="str">
        <f>IF(OR(B80=1,B80=132,B80=138),"Airports",D80)</f>
        <v>Brooklyn</v>
      </c>
    </row>
    <row r="81" spans="1:6">
      <c r="A81" s="33">
        <v>42005</v>
      </c>
      <c r="B81">
        <v>81</v>
      </c>
      <c r="C81">
        <v>307</v>
      </c>
      <c r="D81" t="str">
        <f>VLOOKUP(B81,ZoneTable,2,FALSE)</f>
        <v>Bronx</v>
      </c>
      <c r="E81" t="str">
        <f>VLOOKUP(B81,ZoneTable,3,FALSE)</f>
        <v>Eastchester</v>
      </c>
      <c r="F81" t="str">
        <f>IF(OR(B81=1,B81=132,B81=138),"Airports",D81)</f>
        <v>Bronx</v>
      </c>
    </row>
    <row r="82" spans="1:6">
      <c r="A82" s="33">
        <v>42005</v>
      </c>
      <c r="B82">
        <v>82</v>
      </c>
      <c r="C82">
        <v>2447</v>
      </c>
      <c r="D82" t="str">
        <f>VLOOKUP(B82,ZoneTable,2,FALSE)</f>
        <v>Queens</v>
      </c>
      <c r="E82" t="str">
        <f>VLOOKUP(B82,ZoneTable,3,FALSE)</f>
        <v>Elmhurst</v>
      </c>
      <c r="F82" t="str">
        <f>IF(OR(B82=1,B82=132,B82=138),"Airports",D82)</f>
        <v>Queens</v>
      </c>
    </row>
    <row r="83" spans="1:6">
      <c r="A83" s="33">
        <v>42005</v>
      </c>
      <c r="B83">
        <v>83</v>
      </c>
      <c r="C83">
        <v>967</v>
      </c>
      <c r="D83" t="str">
        <f>VLOOKUP(B83,ZoneTable,2,FALSE)</f>
        <v>Queens</v>
      </c>
      <c r="E83" t="str">
        <f>VLOOKUP(B83,ZoneTable,3,FALSE)</f>
        <v>Elmhurst/Maspeth</v>
      </c>
      <c r="F83" t="str">
        <f>IF(OR(B83=1,B83=132,B83=138),"Airports",D83)</f>
        <v>Queens</v>
      </c>
    </row>
    <row r="84" spans="1:6">
      <c r="A84" s="33">
        <v>42005</v>
      </c>
      <c r="B84">
        <v>84</v>
      </c>
      <c r="C84">
        <v>4</v>
      </c>
      <c r="D84" t="str">
        <f>VLOOKUP(B84,ZoneTable,2,FALSE)</f>
        <v>Staten Island</v>
      </c>
      <c r="E84" t="str">
        <f>VLOOKUP(B84,ZoneTable,3,FALSE)</f>
        <v>Eltingville/Annadale/Prince's Bay</v>
      </c>
      <c r="F84" t="str">
        <f>IF(OR(B84=1,B84=132,B84=138),"Airports",D84)</f>
        <v>Staten Island</v>
      </c>
    </row>
    <row r="85" spans="1:6">
      <c r="A85" s="33">
        <v>42005</v>
      </c>
      <c r="B85">
        <v>85</v>
      </c>
      <c r="C85">
        <v>1051</v>
      </c>
      <c r="D85" t="str">
        <f>VLOOKUP(B85,ZoneTable,2,FALSE)</f>
        <v>Brooklyn</v>
      </c>
      <c r="E85" t="str">
        <f>VLOOKUP(B85,ZoneTable,3,FALSE)</f>
        <v>Erasmus</v>
      </c>
      <c r="F85" t="str">
        <f>IF(OR(B85=1,B85=132,B85=138),"Airports",D85)</f>
        <v>Brooklyn</v>
      </c>
    </row>
    <row r="86" spans="1:6">
      <c r="A86" s="33">
        <v>42005</v>
      </c>
      <c r="B86">
        <v>86</v>
      </c>
      <c r="C86">
        <v>67</v>
      </c>
      <c r="D86" t="str">
        <f>VLOOKUP(B86,ZoneTable,2,FALSE)</f>
        <v>Queens</v>
      </c>
      <c r="E86" t="str">
        <f>VLOOKUP(B86,ZoneTable,3,FALSE)</f>
        <v>Far Rockaway</v>
      </c>
      <c r="F86" t="str">
        <f>IF(OR(B86=1,B86=132,B86=138),"Airports",D86)</f>
        <v>Queens</v>
      </c>
    </row>
    <row r="87" spans="1:6">
      <c r="A87" s="33">
        <v>42005</v>
      </c>
      <c r="B87">
        <v>87</v>
      </c>
      <c r="C87">
        <v>21092</v>
      </c>
      <c r="D87" t="str">
        <f>VLOOKUP(B87,ZoneTable,2,FALSE)</f>
        <v>Manhattan</v>
      </c>
      <c r="E87" t="str">
        <f>VLOOKUP(B87,ZoneTable,3,FALSE)</f>
        <v>Financial District North</v>
      </c>
      <c r="F87" t="str">
        <f>IF(OR(B87=1,B87=132,B87=138),"Airports",D87)</f>
        <v>Manhattan</v>
      </c>
    </row>
    <row r="88" spans="1:6">
      <c r="A88" s="33">
        <v>42005</v>
      </c>
      <c r="B88">
        <v>88</v>
      </c>
      <c r="C88">
        <v>7716</v>
      </c>
      <c r="D88" t="str">
        <f>VLOOKUP(B88,ZoneTable,2,FALSE)</f>
        <v>Manhattan</v>
      </c>
      <c r="E88" t="str">
        <f>VLOOKUP(B88,ZoneTable,3,FALSE)</f>
        <v>Financial District South</v>
      </c>
      <c r="F88" t="str">
        <f>IF(OR(B88=1,B88=132,B88=138),"Airports",D88)</f>
        <v>Manhattan</v>
      </c>
    </row>
    <row r="89" spans="1:6">
      <c r="A89" s="33">
        <v>42005</v>
      </c>
      <c r="B89">
        <v>89</v>
      </c>
      <c r="C89">
        <v>5320</v>
      </c>
      <c r="D89" t="str">
        <f>VLOOKUP(B89,ZoneTable,2,FALSE)</f>
        <v>Brooklyn</v>
      </c>
      <c r="E89" t="str">
        <f>VLOOKUP(B89,ZoneTable,3,FALSE)</f>
        <v>Flatbush/Ditmas Park</v>
      </c>
      <c r="F89" t="str">
        <f>IF(OR(B89=1,B89=132,B89=138),"Airports",D89)</f>
        <v>Brooklyn</v>
      </c>
    </row>
    <row r="90" spans="1:6">
      <c r="A90" s="33">
        <v>42005</v>
      </c>
      <c r="B90">
        <v>90</v>
      </c>
      <c r="C90">
        <v>31159</v>
      </c>
      <c r="D90" t="str">
        <f>VLOOKUP(B90,ZoneTable,2,FALSE)</f>
        <v>Manhattan</v>
      </c>
      <c r="E90" t="str">
        <f>VLOOKUP(B90,ZoneTable,3,FALSE)</f>
        <v>Flatiron</v>
      </c>
      <c r="F90" t="str">
        <f>IF(OR(B90=1,B90=132,B90=138),"Airports",D90)</f>
        <v>Manhattan</v>
      </c>
    </row>
    <row r="91" spans="1:6">
      <c r="A91" s="33">
        <v>42005</v>
      </c>
      <c r="B91">
        <v>91</v>
      </c>
      <c r="C91">
        <v>1582</v>
      </c>
      <c r="D91" t="str">
        <f>VLOOKUP(B91,ZoneTable,2,FALSE)</f>
        <v>Brooklyn</v>
      </c>
      <c r="E91" t="str">
        <f>VLOOKUP(B91,ZoneTable,3,FALSE)</f>
        <v>Flatlands</v>
      </c>
      <c r="F91" t="str">
        <f>IF(OR(B91=1,B91=132,B91=138),"Airports",D91)</f>
        <v>Brooklyn</v>
      </c>
    </row>
    <row r="92" spans="1:6">
      <c r="A92" s="33">
        <v>42005</v>
      </c>
      <c r="B92">
        <v>92</v>
      </c>
      <c r="C92">
        <v>1994</v>
      </c>
      <c r="D92" t="str">
        <f>VLOOKUP(B92,ZoneTable,2,FALSE)</f>
        <v>Queens</v>
      </c>
      <c r="E92" t="str">
        <f>VLOOKUP(B92,ZoneTable,3,FALSE)</f>
        <v>Flushing</v>
      </c>
      <c r="F92" t="str">
        <f>IF(OR(B92=1,B92=132,B92=138),"Airports",D92)</f>
        <v>Queens</v>
      </c>
    </row>
    <row r="93" spans="1:6">
      <c r="A93" s="33">
        <v>42005</v>
      </c>
      <c r="B93">
        <v>93</v>
      </c>
      <c r="C93">
        <v>273</v>
      </c>
      <c r="D93" t="str">
        <f>VLOOKUP(B93,ZoneTable,2,FALSE)</f>
        <v>Queens</v>
      </c>
      <c r="E93" t="str">
        <f>VLOOKUP(B93,ZoneTable,3,FALSE)</f>
        <v>Flushing Meadows-Corona Park</v>
      </c>
      <c r="F93" t="str">
        <f>IF(OR(B93=1,B93=132,B93=138),"Airports",D93)</f>
        <v>Queens</v>
      </c>
    </row>
    <row r="94" spans="1:6">
      <c r="A94" s="33">
        <v>42005</v>
      </c>
      <c r="B94">
        <v>94</v>
      </c>
      <c r="C94">
        <v>256</v>
      </c>
      <c r="D94" t="str">
        <f>VLOOKUP(B94,ZoneTable,2,FALSE)</f>
        <v>Bronx</v>
      </c>
      <c r="E94" t="str">
        <f>VLOOKUP(B94,ZoneTable,3,FALSE)</f>
        <v>Fordham South</v>
      </c>
      <c r="F94" t="str">
        <f>IF(OR(B94=1,B94=132,B94=138),"Airports",D94)</f>
        <v>Bronx</v>
      </c>
    </row>
    <row r="95" spans="1:6">
      <c r="A95" s="33">
        <v>42005</v>
      </c>
      <c r="B95">
        <v>95</v>
      </c>
      <c r="C95">
        <v>4668</v>
      </c>
      <c r="D95" t="str">
        <f>VLOOKUP(B95,ZoneTable,2,FALSE)</f>
        <v>Queens</v>
      </c>
      <c r="E95" t="str">
        <f>VLOOKUP(B95,ZoneTable,3,FALSE)</f>
        <v>Forest Hills</v>
      </c>
      <c r="F95" t="str">
        <f>IF(OR(B95=1,B95=132,B95=138),"Airports",D95)</f>
        <v>Queens</v>
      </c>
    </row>
    <row r="96" spans="1:6">
      <c r="A96" s="33">
        <v>42005</v>
      </c>
      <c r="B96">
        <v>96</v>
      </c>
      <c r="C96">
        <v>40</v>
      </c>
      <c r="D96" t="str">
        <f>VLOOKUP(B96,ZoneTable,2,FALSE)</f>
        <v>Queens</v>
      </c>
      <c r="E96" t="str">
        <f>VLOOKUP(B96,ZoneTable,3,FALSE)</f>
        <v>Forest Park/Highland Park</v>
      </c>
      <c r="F96" t="str">
        <f>IF(OR(B96=1,B96=132,B96=138),"Airports",D96)</f>
        <v>Queens</v>
      </c>
    </row>
    <row r="97" spans="1:6">
      <c r="A97" s="33">
        <v>42005</v>
      </c>
      <c r="B97">
        <v>97</v>
      </c>
      <c r="C97">
        <v>10520</v>
      </c>
      <c r="D97" t="str">
        <f>VLOOKUP(B97,ZoneTable,2,FALSE)</f>
        <v>Brooklyn</v>
      </c>
      <c r="E97" t="str">
        <f>VLOOKUP(B97,ZoneTable,3,FALSE)</f>
        <v>Fort Greene</v>
      </c>
      <c r="F97" t="str">
        <f>IF(OR(B97=1,B97=132,B97=138),"Airports",D97)</f>
        <v>Brooklyn</v>
      </c>
    </row>
    <row r="98" spans="1:6">
      <c r="A98" s="33">
        <v>42005</v>
      </c>
      <c r="B98">
        <v>98</v>
      </c>
      <c r="C98">
        <v>360</v>
      </c>
      <c r="D98" t="str">
        <f>VLOOKUP(B98,ZoneTable,2,FALSE)</f>
        <v>Queens</v>
      </c>
      <c r="E98" t="str">
        <f>VLOOKUP(B98,ZoneTable,3,FALSE)</f>
        <v>Fresh Meadows</v>
      </c>
      <c r="F98" t="str">
        <f>IF(OR(B98=1,B98=132,B98=138),"Airports",D98)</f>
        <v>Queens</v>
      </c>
    </row>
    <row r="99" spans="1:6">
      <c r="A99" s="33">
        <v>42005</v>
      </c>
      <c r="B99">
        <v>99</v>
      </c>
      <c r="C99">
        <v>3</v>
      </c>
      <c r="D99" t="str">
        <f>VLOOKUP(B99,ZoneTable,2,FALSE)</f>
        <v>Staten Island</v>
      </c>
      <c r="E99" t="str">
        <f>VLOOKUP(B99,ZoneTable,3,FALSE)</f>
        <v>Freshkills Park</v>
      </c>
      <c r="F99" t="str">
        <f>IF(OR(B99=1,B99=132,B99=138),"Airports",D99)</f>
        <v>Staten Island</v>
      </c>
    </row>
    <row r="100" spans="1:6">
      <c r="A100" s="33">
        <v>42005</v>
      </c>
      <c r="B100">
        <v>100</v>
      </c>
      <c r="C100">
        <v>20924</v>
      </c>
      <c r="D100" t="str">
        <f>VLOOKUP(B100,ZoneTable,2,FALSE)</f>
        <v>Manhattan</v>
      </c>
      <c r="E100" t="str">
        <f>VLOOKUP(B100,ZoneTable,3,FALSE)</f>
        <v>Garment District</v>
      </c>
      <c r="F100" t="str">
        <f>IF(OR(B100=1,B100=132,B100=138),"Airports",D100)</f>
        <v>Manhattan</v>
      </c>
    </row>
    <row r="101" spans="1:6">
      <c r="A101" s="33">
        <v>42005</v>
      </c>
      <c r="B101">
        <v>101</v>
      </c>
      <c r="C101">
        <v>165</v>
      </c>
      <c r="D101" t="str">
        <f>VLOOKUP(B101,ZoneTable,2,FALSE)</f>
        <v>Queens</v>
      </c>
      <c r="E101" t="str">
        <f>VLOOKUP(B101,ZoneTable,3,FALSE)</f>
        <v>Glen Oaks</v>
      </c>
      <c r="F101" t="str">
        <f>IF(OR(B101=1,B101=132,B101=138),"Airports",D101)</f>
        <v>Queens</v>
      </c>
    </row>
    <row r="102" spans="1:6">
      <c r="A102" s="33">
        <v>42005</v>
      </c>
      <c r="B102">
        <v>102</v>
      </c>
      <c r="C102">
        <v>928</v>
      </c>
      <c r="D102" t="str">
        <f>VLOOKUP(B102,ZoneTable,2,FALSE)</f>
        <v>Queens</v>
      </c>
      <c r="E102" t="str">
        <f>VLOOKUP(B102,ZoneTable,3,FALSE)</f>
        <v>Glendale</v>
      </c>
      <c r="F102" t="str">
        <f>IF(OR(B102=1,B102=132,B102=138),"Airports",D102)</f>
        <v>Queens</v>
      </c>
    </row>
    <row r="103" spans="1:6">
      <c r="A103" s="33">
        <v>42005</v>
      </c>
      <c r="B103">
        <v>105</v>
      </c>
      <c r="C103">
        <v>3</v>
      </c>
      <c r="D103" t="str">
        <f>VLOOKUP(B103,ZoneTable,2,FALSE)</f>
        <v>Manhattan</v>
      </c>
      <c r="E103" t="str">
        <f>VLOOKUP(B103,ZoneTable,3,FALSE)</f>
        <v>Governor's Island/Ellis Island/Liberty Island</v>
      </c>
      <c r="F103" t="str">
        <f>IF(OR(B103=1,B103=132,B103=138),"Airports",D103)</f>
        <v>Manhattan</v>
      </c>
    </row>
    <row r="104" spans="1:6">
      <c r="A104" s="33">
        <v>42005</v>
      </c>
      <c r="B104">
        <v>106</v>
      </c>
      <c r="C104">
        <v>5420</v>
      </c>
      <c r="D104" t="str">
        <f>VLOOKUP(B104,ZoneTable,2,FALSE)</f>
        <v>Brooklyn</v>
      </c>
      <c r="E104" t="str">
        <f>VLOOKUP(B104,ZoneTable,3,FALSE)</f>
        <v>Gowanus</v>
      </c>
      <c r="F104" t="str">
        <f>IF(OR(B104=1,B104=132,B104=138),"Airports",D104)</f>
        <v>Brooklyn</v>
      </c>
    </row>
    <row r="105" spans="1:6">
      <c r="A105" s="33">
        <v>42005</v>
      </c>
      <c r="B105">
        <v>107</v>
      </c>
      <c r="C105">
        <v>35040</v>
      </c>
      <c r="D105" t="str">
        <f>VLOOKUP(B105,ZoneTable,2,FALSE)</f>
        <v>Manhattan</v>
      </c>
      <c r="E105" t="str">
        <f>VLOOKUP(B105,ZoneTable,3,FALSE)</f>
        <v>Gramercy</v>
      </c>
      <c r="F105" t="str">
        <f>IF(OR(B105=1,B105=132,B105=138),"Airports",D105)</f>
        <v>Manhattan</v>
      </c>
    </row>
    <row r="106" spans="1:6">
      <c r="A106" s="33">
        <v>42005</v>
      </c>
      <c r="B106">
        <v>108</v>
      </c>
      <c r="C106">
        <v>366</v>
      </c>
      <c r="D106" t="str">
        <f>VLOOKUP(B106,ZoneTable,2,FALSE)</f>
        <v>Brooklyn</v>
      </c>
      <c r="E106" t="str">
        <f>VLOOKUP(B106,ZoneTable,3,FALSE)</f>
        <v>Gravesend</v>
      </c>
      <c r="F106" t="str">
        <f>IF(OR(B106=1,B106=132,B106=138),"Airports",D106)</f>
        <v>Brooklyn</v>
      </c>
    </row>
    <row r="107" spans="1:6">
      <c r="A107" s="33">
        <v>42005</v>
      </c>
      <c r="B107">
        <v>109</v>
      </c>
      <c r="C107">
        <v>21</v>
      </c>
      <c r="D107" t="str">
        <f>VLOOKUP(B107,ZoneTable,2,FALSE)</f>
        <v>Staten Island</v>
      </c>
      <c r="E107" t="str">
        <f>VLOOKUP(B107,ZoneTable,3,FALSE)</f>
        <v>Great Kills</v>
      </c>
      <c r="F107" t="str">
        <f>IF(OR(B107=1,B107=132,B107=138),"Airports",D107)</f>
        <v>Staten Island</v>
      </c>
    </row>
    <row r="108" spans="1:6">
      <c r="A108" s="33">
        <v>42005</v>
      </c>
      <c r="B108">
        <v>110</v>
      </c>
      <c r="C108">
        <v>1</v>
      </c>
      <c r="D108" t="str">
        <f>VLOOKUP(B108,ZoneTable,2,FALSE)</f>
        <v>Staten Island</v>
      </c>
      <c r="E108" t="str">
        <f>VLOOKUP(B108,ZoneTable,3,FALSE)</f>
        <v>Great Kills Park</v>
      </c>
      <c r="F108" t="str">
        <f>IF(OR(B108=1,B108=132,B108=138),"Airports",D108)</f>
        <v>Staten Island</v>
      </c>
    </row>
    <row r="109" spans="1:6">
      <c r="A109" s="33">
        <v>42005</v>
      </c>
      <c r="B109">
        <v>111</v>
      </c>
      <c r="C109">
        <v>27</v>
      </c>
      <c r="D109" t="str">
        <f>VLOOKUP(B109,ZoneTable,2,FALSE)</f>
        <v>Brooklyn</v>
      </c>
      <c r="E109" t="str">
        <f>VLOOKUP(B109,ZoneTable,3,FALSE)</f>
        <v>Green-Wood Cemetery</v>
      </c>
      <c r="F109" t="str">
        <f>IF(OR(B109=1,B109=132,B109=138),"Airports",D109)</f>
        <v>Brooklyn</v>
      </c>
    </row>
    <row r="110" spans="1:6">
      <c r="A110" s="33">
        <v>42005</v>
      </c>
      <c r="B110">
        <v>112</v>
      </c>
      <c r="C110">
        <v>19717</v>
      </c>
      <c r="D110" t="str">
        <f>VLOOKUP(B110,ZoneTable,2,FALSE)</f>
        <v>Brooklyn</v>
      </c>
      <c r="E110" t="str">
        <f>VLOOKUP(B110,ZoneTable,3,FALSE)</f>
        <v>Greenpoint</v>
      </c>
      <c r="F110" t="str">
        <f>IF(OR(B110=1,B110=132,B110=138),"Airports",D110)</f>
        <v>Brooklyn</v>
      </c>
    </row>
    <row r="111" spans="1:6">
      <c r="A111" s="33">
        <v>42005</v>
      </c>
      <c r="B111">
        <v>113</v>
      </c>
      <c r="C111">
        <v>34400</v>
      </c>
      <c r="D111" t="str">
        <f>VLOOKUP(B111,ZoneTable,2,FALSE)</f>
        <v>Manhattan</v>
      </c>
      <c r="E111" t="str">
        <f>VLOOKUP(B111,ZoneTable,3,FALSE)</f>
        <v>Greenwich Village North</v>
      </c>
      <c r="F111" t="str">
        <f>IF(OR(B111=1,B111=132,B111=138),"Airports",D111)</f>
        <v>Manhattan</v>
      </c>
    </row>
    <row r="112" spans="1:6">
      <c r="A112" s="33">
        <v>42005</v>
      </c>
      <c r="B112">
        <v>114</v>
      </c>
      <c r="C112">
        <v>29659</v>
      </c>
      <c r="D112" t="str">
        <f>VLOOKUP(B112,ZoneTable,2,FALSE)</f>
        <v>Manhattan</v>
      </c>
      <c r="E112" t="str">
        <f>VLOOKUP(B112,ZoneTable,3,FALSE)</f>
        <v>Greenwich Village South</v>
      </c>
      <c r="F112" t="str">
        <f>IF(OR(B112=1,B112=132,B112=138),"Airports",D112)</f>
        <v>Manhattan</v>
      </c>
    </row>
    <row r="113" spans="1:6">
      <c r="A113" s="33">
        <v>42005</v>
      </c>
      <c r="B113">
        <v>115</v>
      </c>
      <c r="C113">
        <v>65</v>
      </c>
      <c r="D113" t="str">
        <f>VLOOKUP(B113,ZoneTable,2,FALSE)</f>
        <v>Staten Island</v>
      </c>
      <c r="E113" t="str">
        <f>VLOOKUP(B113,ZoneTable,3,FALSE)</f>
        <v>Grymes Hill/Clifton</v>
      </c>
      <c r="F113" t="str">
        <f>IF(OR(B113=1,B113=132,B113=138),"Airports",D113)</f>
        <v>Staten Island</v>
      </c>
    </row>
    <row r="114" spans="1:6">
      <c r="A114" s="33">
        <v>42005</v>
      </c>
      <c r="B114">
        <v>116</v>
      </c>
      <c r="C114">
        <v>4195</v>
      </c>
      <c r="D114" t="str">
        <f>VLOOKUP(B114,ZoneTable,2,FALSE)</f>
        <v>Manhattan</v>
      </c>
      <c r="E114" t="str">
        <f>VLOOKUP(B114,ZoneTable,3,FALSE)</f>
        <v>Hamilton Heights</v>
      </c>
      <c r="F114" t="str">
        <f>IF(OR(B114=1,B114=132,B114=138),"Airports",D114)</f>
        <v>Manhattan</v>
      </c>
    </row>
    <row r="115" spans="1:6">
      <c r="A115" s="33">
        <v>42005</v>
      </c>
      <c r="B115">
        <v>117</v>
      </c>
      <c r="C115">
        <v>52</v>
      </c>
      <c r="D115" t="str">
        <f>VLOOKUP(B115,ZoneTable,2,FALSE)</f>
        <v>Queens</v>
      </c>
      <c r="E115" t="str">
        <f>VLOOKUP(B115,ZoneTable,3,FALSE)</f>
        <v>Hammels/Arverne</v>
      </c>
      <c r="F115" t="str">
        <f>IF(OR(B115=1,B115=132,B115=138),"Airports",D115)</f>
        <v>Queens</v>
      </c>
    </row>
    <row r="116" spans="1:6">
      <c r="A116" s="33">
        <v>42005</v>
      </c>
      <c r="B116">
        <v>118</v>
      </c>
      <c r="C116">
        <v>77</v>
      </c>
      <c r="D116" t="str">
        <f>VLOOKUP(B116,ZoneTable,2,FALSE)</f>
        <v>Staten Island</v>
      </c>
      <c r="E116" t="str">
        <f>VLOOKUP(B116,ZoneTable,3,FALSE)</f>
        <v>Heartland Village/Todt Hill</v>
      </c>
      <c r="F116" t="str">
        <f>IF(OR(B116=1,B116=132,B116=138),"Airports",D116)</f>
        <v>Staten Island</v>
      </c>
    </row>
    <row r="117" spans="1:6">
      <c r="A117" s="33">
        <v>42005</v>
      </c>
      <c r="B117">
        <v>119</v>
      </c>
      <c r="C117">
        <v>551</v>
      </c>
      <c r="D117" t="str">
        <f>VLOOKUP(B117,ZoneTable,2,FALSE)</f>
        <v>Bronx</v>
      </c>
      <c r="E117" t="str">
        <f>VLOOKUP(B117,ZoneTable,3,FALSE)</f>
        <v>Highbridge</v>
      </c>
      <c r="F117" t="str">
        <f>IF(OR(B117=1,B117=132,B117=138),"Airports",D117)</f>
        <v>Bronx</v>
      </c>
    </row>
    <row r="118" spans="1:6">
      <c r="A118" s="33">
        <v>42005</v>
      </c>
      <c r="B118">
        <v>120</v>
      </c>
      <c r="C118">
        <v>41</v>
      </c>
      <c r="D118" t="str">
        <f>VLOOKUP(B118,ZoneTable,2,FALSE)</f>
        <v>Manhattan</v>
      </c>
      <c r="E118" t="str">
        <f>VLOOKUP(B118,ZoneTable,3,FALSE)</f>
        <v>Highbridge Park</v>
      </c>
      <c r="F118" t="str">
        <f>IF(OR(B118=1,B118=132,B118=138),"Airports",D118)</f>
        <v>Manhattan</v>
      </c>
    </row>
    <row r="119" spans="1:6">
      <c r="A119" s="33">
        <v>42005</v>
      </c>
      <c r="B119">
        <v>121</v>
      </c>
      <c r="C119">
        <v>1338</v>
      </c>
      <c r="D119" t="str">
        <f>VLOOKUP(B119,ZoneTable,2,FALSE)</f>
        <v>Queens</v>
      </c>
      <c r="E119" t="str">
        <f>VLOOKUP(B119,ZoneTable,3,FALSE)</f>
        <v>Hillcrest/Pomonok</v>
      </c>
      <c r="F119" t="str">
        <f>IF(OR(B119=1,B119=132,B119=138),"Airports",D119)</f>
        <v>Queens</v>
      </c>
    </row>
    <row r="120" spans="1:6">
      <c r="A120" s="33">
        <v>42005</v>
      </c>
      <c r="B120">
        <v>122</v>
      </c>
      <c r="C120">
        <v>143</v>
      </c>
      <c r="D120" t="str">
        <f>VLOOKUP(B120,ZoneTable,2,FALSE)</f>
        <v>Queens</v>
      </c>
      <c r="E120" t="str">
        <f>VLOOKUP(B120,ZoneTable,3,FALSE)</f>
        <v>Hollis</v>
      </c>
      <c r="F120" t="str">
        <f>IF(OR(B120=1,B120=132,B120=138),"Airports",D120)</f>
        <v>Queens</v>
      </c>
    </row>
    <row r="121" spans="1:6">
      <c r="A121" s="33">
        <v>42005</v>
      </c>
      <c r="B121">
        <v>123</v>
      </c>
      <c r="C121">
        <v>1841</v>
      </c>
      <c r="D121" t="str">
        <f>VLOOKUP(B121,ZoneTable,2,FALSE)</f>
        <v>Brooklyn</v>
      </c>
      <c r="E121" t="str">
        <f>VLOOKUP(B121,ZoneTable,3,FALSE)</f>
        <v>Homecrest</v>
      </c>
      <c r="F121" t="str">
        <f>IF(OR(B121=1,B121=132,B121=138),"Airports",D121)</f>
        <v>Brooklyn</v>
      </c>
    </row>
    <row r="122" spans="1:6">
      <c r="A122" s="33">
        <v>42005</v>
      </c>
      <c r="B122">
        <v>124</v>
      </c>
      <c r="C122">
        <v>502</v>
      </c>
      <c r="D122" t="str">
        <f>VLOOKUP(B122,ZoneTable,2,FALSE)</f>
        <v>Queens</v>
      </c>
      <c r="E122" t="str">
        <f>VLOOKUP(B122,ZoneTable,3,FALSE)</f>
        <v>Howard Beach</v>
      </c>
      <c r="F122" t="str">
        <f>IF(OR(B122=1,B122=132,B122=138),"Airports",D122)</f>
        <v>Queens</v>
      </c>
    </row>
    <row r="123" spans="1:6">
      <c r="A123" s="33">
        <v>42005</v>
      </c>
      <c r="B123">
        <v>125</v>
      </c>
      <c r="C123">
        <v>18103</v>
      </c>
      <c r="D123" t="str">
        <f>VLOOKUP(B123,ZoneTable,2,FALSE)</f>
        <v>Manhattan</v>
      </c>
      <c r="E123" t="str">
        <f>VLOOKUP(B123,ZoneTable,3,FALSE)</f>
        <v>Hudson Sq</v>
      </c>
      <c r="F123" t="str">
        <f>IF(OR(B123=1,B123=132,B123=138),"Airports",D123)</f>
        <v>Manhattan</v>
      </c>
    </row>
    <row r="124" spans="1:6">
      <c r="A124" s="33">
        <v>42005</v>
      </c>
      <c r="B124">
        <v>126</v>
      </c>
      <c r="C124">
        <v>335</v>
      </c>
      <c r="D124" t="str">
        <f>VLOOKUP(B124,ZoneTable,2,FALSE)</f>
        <v>Bronx</v>
      </c>
      <c r="E124" t="str">
        <f>VLOOKUP(B124,ZoneTable,3,FALSE)</f>
        <v>Hunts Point</v>
      </c>
      <c r="F124" t="str">
        <f>IF(OR(B124=1,B124=132,B124=138),"Airports",D124)</f>
        <v>Bronx</v>
      </c>
    </row>
    <row r="125" spans="1:6">
      <c r="A125" s="33">
        <v>42005</v>
      </c>
      <c r="B125">
        <v>127</v>
      </c>
      <c r="C125">
        <v>1597</v>
      </c>
      <c r="D125" t="str">
        <f>VLOOKUP(B125,ZoneTable,2,FALSE)</f>
        <v>Manhattan</v>
      </c>
      <c r="E125" t="str">
        <f>VLOOKUP(B125,ZoneTable,3,FALSE)</f>
        <v>Inwood</v>
      </c>
      <c r="F125" t="str">
        <f>IF(OR(B125=1,B125=132,B125=138),"Airports",D125)</f>
        <v>Manhattan</v>
      </c>
    </row>
    <row r="126" spans="1:6">
      <c r="A126" s="33">
        <v>42005</v>
      </c>
      <c r="B126">
        <v>128</v>
      </c>
      <c r="C126">
        <v>128</v>
      </c>
      <c r="D126" t="str">
        <f>VLOOKUP(B126,ZoneTable,2,FALSE)</f>
        <v>Manhattan</v>
      </c>
      <c r="E126" t="str">
        <f>VLOOKUP(B126,ZoneTable,3,FALSE)</f>
        <v>Inwood Hill Park</v>
      </c>
      <c r="F126" t="str">
        <f>IF(OR(B126=1,B126=132,B126=138),"Airports",D126)</f>
        <v>Manhattan</v>
      </c>
    </row>
    <row r="127" spans="1:6">
      <c r="A127" s="33">
        <v>42005</v>
      </c>
      <c r="B127">
        <v>129</v>
      </c>
      <c r="C127">
        <v>4006</v>
      </c>
      <c r="D127" t="str">
        <f>VLOOKUP(B127,ZoneTable,2,FALSE)</f>
        <v>Queens</v>
      </c>
      <c r="E127" t="str">
        <f>VLOOKUP(B127,ZoneTable,3,FALSE)</f>
        <v>Jackson Heights</v>
      </c>
      <c r="F127" t="str">
        <f>IF(OR(B127=1,B127=132,B127=138),"Airports",D127)</f>
        <v>Queens</v>
      </c>
    </row>
    <row r="128" spans="1:6">
      <c r="A128" s="33">
        <v>42005</v>
      </c>
      <c r="B128">
        <v>130</v>
      </c>
      <c r="C128">
        <v>1609</v>
      </c>
      <c r="D128" t="str">
        <f>VLOOKUP(B128,ZoneTable,2,FALSE)</f>
        <v>Queens</v>
      </c>
      <c r="E128" t="str">
        <f>VLOOKUP(B128,ZoneTable,3,FALSE)</f>
        <v>Jamaica</v>
      </c>
      <c r="F128" t="str">
        <f>IF(OR(B128=1,B128=132,B128=138),"Airports",D128)</f>
        <v>Queens</v>
      </c>
    </row>
    <row r="129" spans="1:6">
      <c r="A129" s="33">
        <v>42005</v>
      </c>
      <c r="B129">
        <v>131</v>
      </c>
      <c r="C129">
        <v>647</v>
      </c>
      <c r="D129" t="str">
        <f>VLOOKUP(B129,ZoneTable,2,FALSE)</f>
        <v>Queens</v>
      </c>
      <c r="E129" t="str">
        <f>VLOOKUP(B129,ZoneTable,3,FALSE)</f>
        <v>Jamaica Estates</v>
      </c>
      <c r="F129" t="str">
        <f>IF(OR(B129=1,B129=132,B129=138),"Airports",D129)</f>
        <v>Queens</v>
      </c>
    </row>
    <row r="130" spans="1:6">
      <c r="A130" s="33">
        <v>42005</v>
      </c>
      <c r="B130">
        <v>132</v>
      </c>
      <c r="C130">
        <v>38501</v>
      </c>
      <c r="D130" t="str">
        <f>VLOOKUP(B130,ZoneTable,2,FALSE)</f>
        <v>Queens</v>
      </c>
      <c r="E130" t="str">
        <f>VLOOKUP(B130,ZoneTable,3,FALSE)</f>
        <v>JFK Airport</v>
      </c>
      <c r="F130" t="str">
        <f>IF(OR(B130=1,B130=132,B130=138),"Airports",D130)</f>
        <v>Airports</v>
      </c>
    </row>
    <row r="131" spans="1:6">
      <c r="A131" s="33">
        <v>42005</v>
      </c>
      <c r="B131">
        <v>133</v>
      </c>
      <c r="C131">
        <v>1625</v>
      </c>
      <c r="D131" t="str">
        <f>VLOOKUP(B131,ZoneTable,2,FALSE)</f>
        <v>Brooklyn</v>
      </c>
      <c r="E131" t="str">
        <f>VLOOKUP(B131,ZoneTable,3,FALSE)</f>
        <v>Kensington</v>
      </c>
      <c r="F131" t="str">
        <f>IF(OR(B131=1,B131=132,B131=138),"Airports",D131)</f>
        <v>Brooklyn</v>
      </c>
    </row>
    <row r="132" spans="1:6">
      <c r="A132" s="33">
        <v>42005</v>
      </c>
      <c r="B132">
        <v>134</v>
      </c>
      <c r="C132">
        <v>1270</v>
      </c>
      <c r="D132" t="str">
        <f>VLOOKUP(B132,ZoneTable,2,FALSE)</f>
        <v>Queens</v>
      </c>
      <c r="E132" t="str">
        <f>VLOOKUP(B132,ZoneTable,3,FALSE)</f>
        <v>Kew Gardens</v>
      </c>
      <c r="F132" t="str">
        <f>IF(OR(B132=1,B132=132,B132=138),"Airports",D132)</f>
        <v>Queens</v>
      </c>
    </row>
    <row r="133" spans="1:6">
      <c r="A133" s="33">
        <v>42005</v>
      </c>
      <c r="B133">
        <v>135</v>
      </c>
      <c r="C133">
        <v>1067</v>
      </c>
      <c r="D133" t="str">
        <f>VLOOKUP(B133,ZoneTable,2,FALSE)</f>
        <v>Queens</v>
      </c>
      <c r="E133" t="str">
        <f>VLOOKUP(B133,ZoneTable,3,FALSE)</f>
        <v>Kew Gardens Hills</v>
      </c>
      <c r="F133" t="str">
        <f>IF(OR(B133=1,B133=132,B133=138),"Airports",D133)</f>
        <v>Queens</v>
      </c>
    </row>
    <row r="134" spans="1:6">
      <c r="A134" s="33">
        <v>42005</v>
      </c>
      <c r="B134">
        <v>136</v>
      </c>
      <c r="C134">
        <v>419</v>
      </c>
      <c r="D134" t="str">
        <f>VLOOKUP(B134,ZoneTable,2,FALSE)</f>
        <v>Bronx</v>
      </c>
      <c r="E134" t="str">
        <f>VLOOKUP(B134,ZoneTable,3,FALSE)</f>
        <v>Kingsbridge Heights</v>
      </c>
      <c r="F134" t="str">
        <f>IF(OR(B134=1,B134=132,B134=138),"Airports",D134)</f>
        <v>Bronx</v>
      </c>
    </row>
    <row r="135" spans="1:6">
      <c r="A135" s="33">
        <v>42005</v>
      </c>
      <c r="B135">
        <v>137</v>
      </c>
      <c r="C135">
        <v>18047</v>
      </c>
      <c r="D135" t="str">
        <f>VLOOKUP(B135,ZoneTable,2,FALSE)</f>
        <v>Manhattan</v>
      </c>
      <c r="E135" t="str">
        <f>VLOOKUP(B135,ZoneTable,3,FALSE)</f>
        <v>Kips Bay</v>
      </c>
      <c r="F135" t="str">
        <f>IF(OR(B135=1,B135=132,B135=138),"Airports",D135)</f>
        <v>Manhattan</v>
      </c>
    </row>
    <row r="136" spans="1:6">
      <c r="A136" s="33">
        <v>42005</v>
      </c>
      <c r="B136">
        <v>138</v>
      </c>
      <c r="C136">
        <v>30477</v>
      </c>
      <c r="D136" t="str">
        <f>VLOOKUP(B136,ZoneTable,2,FALSE)</f>
        <v>Queens</v>
      </c>
      <c r="E136" t="str">
        <f>VLOOKUP(B136,ZoneTable,3,FALSE)</f>
        <v>LaGuardia Airport</v>
      </c>
      <c r="F136" t="str">
        <f>IF(OR(B136=1,B136=132,B136=138),"Airports",D136)</f>
        <v>Airports</v>
      </c>
    </row>
    <row r="137" spans="1:6">
      <c r="A137" s="33">
        <v>42005</v>
      </c>
      <c r="B137">
        <v>139</v>
      </c>
      <c r="C137">
        <v>264</v>
      </c>
      <c r="D137" t="str">
        <f>VLOOKUP(B137,ZoneTable,2,FALSE)</f>
        <v>Queens</v>
      </c>
      <c r="E137" t="str">
        <f>VLOOKUP(B137,ZoneTable,3,FALSE)</f>
        <v>Laurelton</v>
      </c>
      <c r="F137" t="str">
        <f>IF(OR(B137=1,B137=132,B137=138),"Airports",D137)</f>
        <v>Queens</v>
      </c>
    </row>
    <row r="138" spans="1:6">
      <c r="A138" s="33">
        <v>42005</v>
      </c>
      <c r="B138">
        <v>140</v>
      </c>
      <c r="C138">
        <v>19205</v>
      </c>
      <c r="D138" t="str">
        <f>VLOOKUP(B138,ZoneTable,2,FALSE)</f>
        <v>Manhattan</v>
      </c>
      <c r="E138" t="str">
        <f>VLOOKUP(B138,ZoneTable,3,FALSE)</f>
        <v>Lenox Hill East</v>
      </c>
      <c r="F138" t="str">
        <f>IF(OR(B138=1,B138=132,B138=138),"Airports",D138)</f>
        <v>Manhattan</v>
      </c>
    </row>
    <row r="139" spans="1:6">
      <c r="A139" s="33">
        <v>42005</v>
      </c>
      <c r="B139">
        <v>141</v>
      </c>
      <c r="C139">
        <v>30534</v>
      </c>
      <c r="D139" t="str">
        <f>VLOOKUP(B139,ZoneTable,2,FALSE)</f>
        <v>Manhattan</v>
      </c>
      <c r="E139" t="str">
        <f>VLOOKUP(B139,ZoneTable,3,FALSE)</f>
        <v>Lenox Hill West</v>
      </c>
      <c r="F139" t="str">
        <f>IF(OR(B139=1,B139=132,B139=138),"Airports",D139)</f>
        <v>Manhattan</v>
      </c>
    </row>
    <row r="140" spans="1:6">
      <c r="A140" s="33">
        <v>42005</v>
      </c>
      <c r="B140">
        <v>142</v>
      </c>
      <c r="C140">
        <v>28362</v>
      </c>
      <c r="D140" t="str">
        <f>VLOOKUP(B140,ZoneTable,2,FALSE)</f>
        <v>Manhattan</v>
      </c>
      <c r="E140" t="str">
        <f>VLOOKUP(B140,ZoneTable,3,FALSE)</f>
        <v>Lincoln Square East</v>
      </c>
      <c r="F140" t="str">
        <f>IF(OR(B140=1,B140=132,B140=138),"Airports",D140)</f>
        <v>Manhattan</v>
      </c>
    </row>
    <row r="141" spans="1:6">
      <c r="A141" s="33">
        <v>42005</v>
      </c>
      <c r="B141">
        <v>143</v>
      </c>
      <c r="C141">
        <v>17058</v>
      </c>
      <c r="D141" t="str">
        <f>VLOOKUP(B141,ZoneTable,2,FALSE)</f>
        <v>Manhattan</v>
      </c>
      <c r="E141" t="str">
        <f>VLOOKUP(B141,ZoneTable,3,FALSE)</f>
        <v>Lincoln Square West</v>
      </c>
      <c r="F141" t="str">
        <f>IF(OR(B141=1,B141=132,B141=138),"Airports",D141)</f>
        <v>Manhattan</v>
      </c>
    </row>
    <row r="142" spans="1:6">
      <c r="A142" s="33">
        <v>42005</v>
      </c>
      <c r="B142">
        <v>144</v>
      </c>
      <c r="C142">
        <v>36778</v>
      </c>
      <c r="D142" t="str">
        <f>VLOOKUP(B142,ZoneTable,2,FALSE)</f>
        <v>Manhattan</v>
      </c>
      <c r="E142" t="str">
        <f>VLOOKUP(B142,ZoneTable,3,FALSE)</f>
        <v>Little Italy/NoLiTa</v>
      </c>
      <c r="F142" t="str">
        <f>IF(OR(B142=1,B142=132,B142=138),"Airports",D142)</f>
        <v>Manhattan</v>
      </c>
    </row>
    <row r="143" spans="1:6">
      <c r="A143" s="33">
        <v>42005</v>
      </c>
      <c r="B143">
        <v>145</v>
      </c>
      <c r="C143">
        <v>10982</v>
      </c>
      <c r="D143" t="str">
        <f>VLOOKUP(B143,ZoneTable,2,FALSE)</f>
        <v>Queens</v>
      </c>
      <c r="E143" t="str">
        <f>VLOOKUP(B143,ZoneTable,3,FALSE)</f>
        <v>Long Island City/Hunters Point</v>
      </c>
      <c r="F143" t="str">
        <f>IF(OR(B143=1,B143=132,B143=138),"Airports",D143)</f>
        <v>Queens</v>
      </c>
    </row>
    <row r="144" spans="1:6">
      <c r="A144" s="33">
        <v>42005</v>
      </c>
      <c r="B144">
        <v>146</v>
      </c>
      <c r="C144">
        <v>2395</v>
      </c>
      <c r="D144" t="str">
        <f>VLOOKUP(B144,ZoneTable,2,FALSE)</f>
        <v>Queens</v>
      </c>
      <c r="E144" t="str">
        <f>VLOOKUP(B144,ZoneTable,3,FALSE)</f>
        <v>Long Island City/Queens Plaza</v>
      </c>
      <c r="F144" t="str">
        <f>IF(OR(B144=1,B144=132,B144=138),"Airports",D144)</f>
        <v>Queens</v>
      </c>
    </row>
    <row r="145" spans="1:6">
      <c r="A145" s="33">
        <v>42005</v>
      </c>
      <c r="B145">
        <v>147</v>
      </c>
      <c r="C145">
        <v>253</v>
      </c>
      <c r="D145" t="str">
        <f>VLOOKUP(B145,ZoneTable,2,FALSE)</f>
        <v>Bronx</v>
      </c>
      <c r="E145" t="str">
        <f>VLOOKUP(B145,ZoneTable,3,FALSE)</f>
        <v>Longwood</v>
      </c>
      <c r="F145" t="str">
        <f>IF(OR(B145=1,B145=132,B145=138),"Airports",D145)</f>
        <v>Bronx</v>
      </c>
    </row>
    <row r="146" spans="1:6">
      <c r="A146" s="33">
        <v>42005</v>
      </c>
      <c r="B146">
        <v>148</v>
      </c>
      <c r="C146">
        <v>36112</v>
      </c>
      <c r="D146" t="str">
        <f>VLOOKUP(B146,ZoneTable,2,FALSE)</f>
        <v>Manhattan</v>
      </c>
      <c r="E146" t="str">
        <f>VLOOKUP(B146,ZoneTable,3,FALSE)</f>
        <v>Lower East Side</v>
      </c>
      <c r="F146" t="str">
        <f>IF(OR(B146=1,B146=132,B146=138),"Airports",D146)</f>
        <v>Manhattan</v>
      </c>
    </row>
    <row r="147" spans="1:6">
      <c r="A147" s="33">
        <v>42005</v>
      </c>
      <c r="B147">
        <v>149</v>
      </c>
      <c r="C147">
        <v>936</v>
      </c>
      <c r="D147" t="str">
        <f>VLOOKUP(B147,ZoneTable,2,FALSE)</f>
        <v>Brooklyn</v>
      </c>
      <c r="E147" t="str">
        <f>VLOOKUP(B147,ZoneTable,3,FALSE)</f>
        <v>Madison</v>
      </c>
      <c r="F147" t="str">
        <f>IF(OR(B147=1,B147=132,B147=138),"Airports",D147)</f>
        <v>Brooklyn</v>
      </c>
    </row>
    <row r="148" spans="1:6">
      <c r="A148" s="33">
        <v>42005</v>
      </c>
      <c r="B148">
        <v>150</v>
      </c>
      <c r="C148">
        <v>495</v>
      </c>
      <c r="D148" t="str">
        <f>VLOOKUP(B148,ZoneTable,2,FALSE)</f>
        <v>Brooklyn</v>
      </c>
      <c r="E148" t="str">
        <f>VLOOKUP(B148,ZoneTable,3,FALSE)</f>
        <v>Manhattan Beach</v>
      </c>
      <c r="F148" t="str">
        <f>IF(OR(B148=1,B148=132,B148=138),"Airports",D148)</f>
        <v>Brooklyn</v>
      </c>
    </row>
    <row r="149" spans="1:6">
      <c r="A149" s="33">
        <v>42005</v>
      </c>
      <c r="B149">
        <v>151</v>
      </c>
      <c r="C149">
        <v>7864</v>
      </c>
      <c r="D149" t="str">
        <f>VLOOKUP(B149,ZoneTable,2,FALSE)</f>
        <v>Manhattan</v>
      </c>
      <c r="E149" t="str">
        <f>VLOOKUP(B149,ZoneTable,3,FALSE)</f>
        <v>Manhattan Valley</v>
      </c>
      <c r="F149" t="str">
        <f>IF(OR(B149=1,B149=132,B149=138),"Airports",D149)</f>
        <v>Manhattan</v>
      </c>
    </row>
    <row r="150" spans="1:6">
      <c r="A150" s="33">
        <v>42005</v>
      </c>
      <c r="B150">
        <v>152</v>
      </c>
      <c r="C150">
        <v>2367</v>
      </c>
      <c r="D150" t="str">
        <f>VLOOKUP(B150,ZoneTable,2,FALSE)</f>
        <v>Manhattan</v>
      </c>
      <c r="E150" t="str">
        <f>VLOOKUP(B150,ZoneTable,3,FALSE)</f>
        <v>Manhattanville</v>
      </c>
      <c r="F150" t="str">
        <f>IF(OR(B150=1,B150=132,B150=138),"Airports",D150)</f>
        <v>Manhattan</v>
      </c>
    </row>
    <row r="151" spans="1:6">
      <c r="A151" s="33">
        <v>42005</v>
      </c>
      <c r="B151">
        <v>153</v>
      </c>
      <c r="C151">
        <v>277</v>
      </c>
      <c r="D151" t="str">
        <f>VLOOKUP(B151,ZoneTable,2,FALSE)</f>
        <v>Manhattan</v>
      </c>
      <c r="E151" t="str">
        <f>VLOOKUP(B151,ZoneTable,3,FALSE)</f>
        <v>Marble Hill</v>
      </c>
      <c r="F151" t="str">
        <f>IF(OR(B151=1,B151=132,B151=138),"Airports",D151)</f>
        <v>Manhattan</v>
      </c>
    </row>
    <row r="152" spans="1:6">
      <c r="A152" s="33">
        <v>42005</v>
      </c>
      <c r="B152">
        <v>154</v>
      </c>
      <c r="C152">
        <v>43</v>
      </c>
      <c r="D152" t="str">
        <f>VLOOKUP(B152,ZoneTable,2,FALSE)</f>
        <v>Brooklyn</v>
      </c>
      <c r="E152" t="str">
        <f>VLOOKUP(B152,ZoneTable,3,FALSE)</f>
        <v>Marine Park/Floyd Bennett Field</v>
      </c>
      <c r="F152" t="str">
        <f>IF(OR(B152=1,B152=132,B152=138),"Airports",D152)</f>
        <v>Brooklyn</v>
      </c>
    </row>
    <row r="153" spans="1:6">
      <c r="A153" s="33">
        <v>42005</v>
      </c>
      <c r="B153">
        <v>155</v>
      </c>
      <c r="C153">
        <v>957</v>
      </c>
      <c r="D153" t="str">
        <f>VLOOKUP(B153,ZoneTable,2,FALSE)</f>
        <v>Brooklyn</v>
      </c>
      <c r="E153" t="str">
        <f>VLOOKUP(B153,ZoneTable,3,FALSE)</f>
        <v>Marine Park/Mill Basin</v>
      </c>
      <c r="F153" t="str">
        <f>IF(OR(B153=1,B153=132,B153=138),"Airports",D153)</f>
        <v>Brooklyn</v>
      </c>
    </row>
    <row r="154" spans="1:6">
      <c r="A154" s="33">
        <v>42005</v>
      </c>
      <c r="B154">
        <v>156</v>
      </c>
      <c r="C154">
        <v>62</v>
      </c>
      <c r="D154" t="str">
        <f>VLOOKUP(B154,ZoneTable,2,FALSE)</f>
        <v>Staten Island</v>
      </c>
      <c r="E154" t="str">
        <f>VLOOKUP(B154,ZoneTable,3,FALSE)</f>
        <v>Mariners Harbor</v>
      </c>
      <c r="F154" t="str">
        <f>IF(OR(B154=1,B154=132,B154=138),"Airports",D154)</f>
        <v>Staten Island</v>
      </c>
    </row>
    <row r="155" spans="1:6">
      <c r="A155" s="33">
        <v>42005</v>
      </c>
      <c r="B155">
        <v>157</v>
      </c>
      <c r="C155">
        <v>1513</v>
      </c>
      <c r="D155" t="str">
        <f>VLOOKUP(B155,ZoneTable,2,FALSE)</f>
        <v>Queens</v>
      </c>
      <c r="E155" t="str">
        <f>VLOOKUP(B155,ZoneTable,3,FALSE)</f>
        <v>Maspeth</v>
      </c>
      <c r="F155" t="str">
        <f>IF(OR(B155=1,B155=132,B155=138),"Airports",D155)</f>
        <v>Queens</v>
      </c>
    </row>
    <row r="156" spans="1:6">
      <c r="A156" s="33">
        <v>42005</v>
      </c>
      <c r="B156">
        <v>158</v>
      </c>
      <c r="C156">
        <v>36464</v>
      </c>
      <c r="D156" t="str">
        <f>VLOOKUP(B156,ZoneTable,2,FALSE)</f>
        <v>Manhattan</v>
      </c>
      <c r="E156" t="str">
        <f>VLOOKUP(B156,ZoneTable,3,FALSE)</f>
        <v>Meatpacking/West Village West</v>
      </c>
      <c r="F156" t="str">
        <f>IF(OR(B156=1,B156=132,B156=138),"Airports",D156)</f>
        <v>Manhattan</v>
      </c>
    </row>
    <row r="157" spans="1:6">
      <c r="A157" s="33">
        <v>42005</v>
      </c>
      <c r="B157">
        <v>159</v>
      </c>
      <c r="C157">
        <v>579</v>
      </c>
      <c r="D157" t="str">
        <f>VLOOKUP(B157,ZoneTable,2,FALSE)</f>
        <v>Bronx</v>
      </c>
      <c r="E157" t="str">
        <f>VLOOKUP(B157,ZoneTable,3,FALSE)</f>
        <v>Melrose South</v>
      </c>
      <c r="F157" t="str">
        <f>IF(OR(B157=1,B157=132,B157=138),"Airports",D157)</f>
        <v>Bronx</v>
      </c>
    </row>
    <row r="158" spans="1:6">
      <c r="A158" s="33">
        <v>42005</v>
      </c>
      <c r="B158">
        <v>160</v>
      </c>
      <c r="C158">
        <v>1182</v>
      </c>
      <c r="D158" t="str">
        <f>VLOOKUP(B158,ZoneTable,2,FALSE)</f>
        <v>Queens</v>
      </c>
      <c r="E158" t="str">
        <f>VLOOKUP(B158,ZoneTable,3,FALSE)</f>
        <v>Middle Village</v>
      </c>
      <c r="F158" t="str">
        <f>IF(OR(B158=1,B158=132,B158=138),"Airports",D158)</f>
        <v>Queens</v>
      </c>
    </row>
    <row r="159" spans="1:6">
      <c r="A159" s="33">
        <v>42005</v>
      </c>
      <c r="B159">
        <v>161</v>
      </c>
      <c r="C159">
        <v>64145</v>
      </c>
      <c r="D159" t="str">
        <f>VLOOKUP(B159,ZoneTable,2,FALSE)</f>
        <v>Manhattan</v>
      </c>
      <c r="E159" t="str">
        <f>VLOOKUP(B159,ZoneTable,3,FALSE)</f>
        <v>Midtown Center</v>
      </c>
      <c r="F159" t="str">
        <f>IF(OR(B159=1,B159=132,B159=138),"Airports",D159)</f>
        <v>Manhattan</v>
      </c>
    </row>
    <row r="160" spans="1:6">
      <c r="A160" s="33">
        <v>42005</v>
      </c>
      <c r="B160">
        <v>162</v>
      </c>
      <c r="C160">
        <v>38794</v>
      </c>
      <c r="D160" t="str">
        <f>VLOOKUP(B160,ZoneTable,2,FALSE)</f>
        <v>Manhattan</v>
      </c>
      <c r="E160" t="str">
        <f>VLOOKUP(B160,ZoneTable,3,FALSE)</f>
        <v>Midtown East</v>
      </c>
      <c r="F160" t="str">
        <f>IF(OR(B160=1,B160=132,B160=138),"Airports",D160)</f>
        <v>Manhattan</v>
      </c>
    </row>
    <row r="161" spans="1:6">
      <c r="A161" s="33">
        <v>42005</v>
      </c>
      <c r="B161">
        <v>163</v>
      </c>
      <c r="C161">
        <v>40122</v>
      </c>
      <c r="D161" t="str">
        <f>VLOOKUP(B161,ZoneTable,2,FALSE)</f>
        <v>Manhattan</v>
      </c>
      <c r="E161" t="str">
        <f>VLOOKUP(B161,ZoneTable,3,FALSE)</f>
        <v>Midtown North</v>
      </c>
      <c r="F161" t="str">
        <f>IF(OR(B161=1,B161=132,B161=138),"Airports",D161)</f>
        <v>Manhattan</v>
      </c>
    </row>
    <row r="162" spans="1:6">
      <c r="A162" s="33">
        <v>42005</v>
      </c>
      <c r="B162">
        <v>164</v>
      </c>
      <c r="C162">
        <v>36847</v>
      </c>
      <c r="D162" t="str">
        <f>VLOOKUP(B162,ZoneTable,2,FALSE)</f>
        <v>Manhattan</v>
      </c>
      <c r="E162" t="str">
        <f>VLOOKUP(B162,ZoneTable,3,FALSE)</f>
        <v>Midtown South</v>
      </c>
      <c r="F162" t="str">
        <f>IF(OR(B162=1,B162=132,B162=138),"Airports",D162)</f>
        <v>Manhattan</v>
      </c>
    </row>
    <row r="163" spans="1:6">
      <c r="A163" s="33">
        <v>42005</v>
      </c>
      <c r="B163">
        <v>165</v>
      </c>
      <c r="C163">
        <v>1853</v>
      </c>
      <c r="D163" t="str">
        <f>VLOOKUP(B163,ZoneTable,2,FALSE)</f>
        <v>Brooklyn</v>
      </c>
      <c r="E163" t="str">
        <f>VLOOKUP(B163,ZoneTable,3,FALSE)</f>
        <v>Midwood</v>
      </c>
      <c r="F163" t="str">
        <f>IF(OR(B163=1,B163=132,B163=138),"Airports",D163)</f>
        <v>Brooklyn</v>
      </c>
    </row>
    <row r="164" spans="1:6">
      <c r="A164" s="33">
        <v>42005</v>
      </c>
      <c r="B164">
        <v>166</v>
      </c>
      <c r="C164">
        <v>6168</v>
      </c>
      <c r="D164" t="str">
        <f>VLOOKUP(B164,ZoneTable,2,FALSE)</f>
        <v>Manhattan</v>
      </c>
      <c r="E164" t="str">
        <f>VLOOKUP(B164,ZoneTable,3,FALSE)</f>
        <v>Morningside Heights</v>
      </c>
      <c r="F164" t="str">
        <f>IF(OR(B164=1,B164=132,B164=138),"Airports",D164)</f>
        <v>Manhattan</v>
      </c>
    </row>
    <row r="165" spans="1:6">
      <c r="A165" s="33">
        <v>42005</v>
      </c>
      <c r="B165">
        <v>167</v>
      </c>
      <c r="C165">
        <v>512</v>
      </c>
      <c r="D165" t="str">
        <f>VLOOKUP(B165,ZoneTable,2,FALSE)</f>
        <v>Bronx</v>
      </c>
      <c r="E165" t="str">
        <f>VLOOKUP(B165,ZoneTable,3,FALSE)</f>
        <v>Morrisania/Melrose</v>
      </c>
      <c r="F165" t="str">
        <f>IF(OR(B165=1,B165=132,B165=138),"Airports",D165)</f>
        <v>Bronx</v>
      </c>
    </row>
    <row r="166" spans="1:6">
      <c r="A166" s="33">
        <v>42005</v>
      </c>
      <c r="B166">
        <v>168</v>
      </c>
      <c r="C166">
        <v>1233</v>
      </c>
      <c r="D166" t="str">
        <f>VLOOKUP(B166,ZoneTable,2,FALSE)</f>
        <v>Bronx</v>
      </c>
      <c r="E166" t="str">
        <f>VLOOKUP(B166,ZoneTable,3,FALSE)</f>
        <v>Mott Haven/Port Morris</v>
      </c>
      <c r="F166" t="str">
        <f>IF(OR(B166=1,B166=132,B166=138),"Airports",D166)</f>
        <v>Bronx</v>
      </c>
    </row>
    <row r="167" spans="1:6">
      <c r="A167" s="33">
        <v>42005</v>
      </c>
      <c r="B167">
        <v>169</v>
      </c>
      <c r="C167">
        <v>548</v>
      </c>
      <c r="D167" t="str">
        <f>VLOOKUP(B167,ZoneTable,2,FALSE)</f>
        <v>Bronx</v>
      </c>
      <c r="E167" t="str">
        <f>VLOOKUP(B167,ZoneTable,3,FALSE)</f>
        <v>Mount Hope</v>
      </c>
      <c r="F167" t="str">
        <f>IF(OR(B167=1,B167=132,B167=138),"Airports",D167)</f>
        <v>Bronx</v>
      </c>
    </row>
    <row r="168" spans="1:6">
      <c r="A168" s="33">
        <v>42005</v>
      </c>
      <c r="B168">
        <v>170</v>
      </c>
      <c r="C168">
        <v>41154</v>
      </c>
      <c r="D168" t="str">
        <f>VLOOKUP(B168,ZoneTable,2,FALSE)</f>
        <v>Manhattan</v>
      </c>
      <c r="E168" t="str">
        <f>VLOOKUP(B168,ZoneTable,3,FALSE)</f>
        <v>Murray Hill</v>
      </c>
      <c r="F168" t="str">
        <f>IF(OR(B168=1,B168=132,B168=138),"Airports",D168)</f>
        <v>Manhattan</v>
      </c>
    </row>
    <row r="169" spans="1:6">
      <c r="A169" s="33">
        <v>42005</v>
      </c>
      <c r="B169">
        <v>171</v>
      </c>
      <c r="C169">
        <v>800</v>
      </c>
      <c r="D169" t="str">
        <f>VLOOKUP(B169,ZoneTable,2,FALSE)</f>
        <v>Queens</v>
      </c>
      <c r="E169" t="str">
        <f>VLOOKUP(B169,ZoneTable,3,FALSE)</f>
        <v>Murray Hill-Queens</v>
      </c>
      <c r="F169" t="str">
        <f>IF(OR(B169=1,B169=132,B169=138),"Airports",D169)</f>
        <v>Queens</v>
      </c>
    </row>
    <row r="170" spans="1:6">
      <c r="A170" s="33">
        <v>42005</v>
      </c>
      <c r="B170">
        <v>172</v>
      </c>
      <c r="C170">
        <v>23</v>
      </c>
      <c r="D170" t="str">
        <f>VLOOKUP(B170,ZoneTable,2,FALSE)</f>
        <v>Staten Island</v>
      </c>
      <c r="E170" t="str">
        <f>VLOOKUP(B170,ZoneTable,3,FALSE)</f>
        <v>New Dorp/Midland Beach</v>
      </c>
      <c r="F170" t="str">
        <f>IF(OR(B170=1,B170=132,B170=138),"Airports",D170)</f>
        <v>Staten Island</v>
      </c>
    </row>
    <row r="171" spans="1:6">
      <c r="A171" s="33">
        <v>42005</v>
      </c>
      <c r="B171">
        <v>173</v>
      </c>
      <c r="C171">
        <v>445</v>
      </c>
      <c r="D171" t="str">
        <f>VLOOKUP(B171,ZoneTable,2,FALSE)</f>
        <v>Queens</v>
      </c>
      <c r="E171" t="str">
        <f>VLOOKUP(B171,ZoneTable,3,FALSE)</f>
        <v>North Corona</v>
      </c>
      <c r="F171" t="str">
        <f>IF(OR(B171=1,B171=132,B171=138),"Airports",D171)</f>
        <v>Queens</v>
      </c>
    </row>
    <row r="172" spans="1:6">
      <c r="A172" s="33">
        <v>42005</v>
      </c>
      <c r="B172">
        <v>174</v>
      </c>
      <c r="C172">
        <v>799</v>
      </c>
      <c r="D172" t="str">
        <f>VLOOKUP(B172,ZoneTable,2,FALSE)</f>
        <v>Bronx</v>
      </c>
      <c r="E172" t="str">
        <f>VLOOKUP(B172,ZoneTable,3,FALSE)</f>
        <v>Norwood</v>
      </c>
      <c r="F172" t="str">
        <f>IF(OR(B172=1,B172=132,B172=138),"Airports",D172)</f>
        <v>Bronx</v>
      </c>
    </row>
    <row r="173" spans="1:6">
      <c r="A173" s="33">
        <v>42005</v>
      </c>
      <c r="B173">
        <v>175</v>
      </c>
      <c r="C173">
        <v>388</v>
      </c>
      <c r="D173" t="str">
        <f>VLOOKUP(B173,ZoneTable,2,FALSE)</f>
        <v>Queens</v>
      </c>
      <c r="E173" t="str">
        <f>VLOOKUP(B173,ZoneTable,3,FALSE)</f>
        <v>Oakland Gardens</v>
      </c>
      <c r="F173" t="str">
        <f>IF(OR(B173=1,B173=132,B173=138),"Airports",D173)</f>
        <v>Queens</v>
      </c>
    </row>
    <row r="174" spans="1:6">
      <c r="A174" s="33">
        <v>42005</v>
      </c>
      <c r="B174">
        <v>176</v>
      </c>
      <c r="C174">
        <v>26</v>
      </c>
      <c r="D174" t="str">
        <f>VLOOKUP(B174,ZoneTable,2,FALSE)</f>
        <v>Staten Island</v>
      </c>
      <c r="E174" t="str">
        <f>VLOOKUP(B174,ZoneTable,3,FALSE)</f>
        <v>Oakwood</v>
      </c>
      <c r="F174" t="str">
        <f>IF(OR(B174=1,B174=132,B174=138),"Airports",D174)</f>
        <v>Staten Island</v>
      </c>
    </row>
    <row r="175" spans="1:6">
      <c r="A175" s="33">
        <v>42005</v>
      </c>
      <c r="B175">
        <v>177</v>
      </c>
      <c r="C175">
        <v>1387</v>
      </c>
      <c r="D175" t="str">
        <f>VLOOKUP(B175,ZoneTable,2,FALSE)</f>
        <v>Brooklyn</v>
      </c>
      <c r="E175" t="str">
        <f>VLOOKUP(B175,ZoneTable,3,FALSE)</f>
        <v>Ocean Hill</v>
      </c>
      <c r="F175" t="str">
        <f>IF(OR(B175=1,B175=132,B175=138),"Airports",D175)</f>
        <v>Brooklyn</v>
      </c>
    </row>
    <row r="176" spans="1:6">
      <c r="A176" s="33">
        <v>42005</v>
      </c>
      <c r="B176">
        <v>178</v>
      </c>
      <c r="C176">
        <v>871</v>
      </c>
      <c r="D176" t="str">
        <f>VLOOKUP(B176,ZoneTable,2,FALSE)</f>
        <v>Brooklyn</v>
      </c>
      <c r="E176" t="str">
        <f>VLOOKUP(B176,ZoneTable,3,FALSE)</f>
        <v>Ocean Parkway South</v>
      </c>
      <c r="F176" t="str">
        <f>IF(OR(B176=1,B176=132,B176=138),"Airports",D176)</f>
        <v>Brooklyn</v>
      </c>
    </row>
    <row r="177" spans="1:6">
      <c r="A177" s="33">
        <v>42005</v>
      </c>
      <c r="B177">
        <v>179</v>
      </c>
      <c r="C177">
        <v>3593</v>
      </c>
      <c r="D177" t="str">
        <f>VLOOKUP(B177,ZoneTable,2,FALSE)</f>
        <v>Queens</v>
      </c>
      <c r="E177" t="str">
        <f>VLOOKUP(B177,ZoneTable,3,FALSE)</f>
        <v>Old Astoria</v>
      </c>
      <c r="F177" t="str">
        <f>IF(OR(B177=1,B177=132,B177=138),"Airports",D177)</f>
        <v>Queens</v>
      </c>
    </row>
    <row r="178" spans="1:6">
      <c r="A178" s="33">
        <v>42005</v>
      </c>
      <c r="B178">
        <v>180</v>
      </c>
      <c r="C178">
        <v>491</v>
      </c>
      <c r="D178" t="str">
        <f>VLOOKUP(B178,ZoneTable,2,FALSE)</f>
        <v>Queens</v>
      </c>
      <c r="E178" t="str">
        <f>VLOOKUP(B178,ZoneTable,3,FALSE)</f>
        <v>Ozone Park</v>
      </c>
      <c r="F178" t="str">
        <f>IF(OR(B178=1,B178=132,B178=138),"Airports",D178)</f>
        <v>Queens</v>
      </c>
    </row>
    <row r="179" spans="1:6">
      <c r="A179" s="33">
        <v>42005</v>
      </c>
      <c r="B179">
        <v>181</v>
      </c>
      <c r="C179">
        <v>23180</v>
      </c>
      <c r="D179" t="str">
        <f>VLOOKUP(B179,ZoneTable,2,FALSE)</f>
        <v>Brooklyn</v>
      </c>
      <c r="E179" t="str">
        <f>VLOOKUP(B179,ZoneTable,3,FALSE)</f>
        <v>Park Slope</v>
      </c>
      <c r="F179" t="str">
        <f>IF(OR(B179=1,B179=132,B179=138),"Airports",D179)</f>
        <v>Brooklyn</v>
      </c>
    </row>
    <row r="180" spans="1:6">
      <c r="A180" s="33">
        <v>42005</v>
      </c>
      <c r="B180">
        <v>182</v>
      </c>
      <c r="C180">
        <v>420</v>
      </c>
      <c r="D180" t="str">
        <f>VLOOKUP(B180,ZoneTable,2,FALSE)</f>
        <v>Bronx</v>
      </c>
      <c r="E180" t="str">
        <f>VLOOKUP(B180,ZoneTable,3,FALSE)</f>
        <v>Parkchester</v>
      </c>
      <c r="F180" t="str">
        <f>IF(OR(B180=1,B180=132,B180=138),"Airports",D180)</f>
        <v>Bronx</v>
      </c>
    </row>
    <row r="181" spans="1:6">
      <c r="A181" s="33">
        <v>42005</v>
      </c>
      <c r="B181">
        <v>183</v>
      </c>
      <c r="C181">
        <v>263</v>
      </c>
      <c r="D181" t="str">
        <f>VLOOKUP(B181,ZoneTable,2,FALSE)</f>
        <v>Bronx</v>
      </c>
      <c r="E181" t="str">
        <f>VLOOKUP(B181,ZoneTable,3,FALSE)</f>
        <v>Pelham Bay</v>
      </c>
      <c r="F181" t="str">
        <f>IF(OR(B181=1,B181=132,B181=138),"Airports",D181)</f>
        <v>Bronx</v>
      </c>
    </row>
    <row r="182" spans="1:6">
      <c r="A182" s="33">
        <v>42005</v>
      </c>
      <c r="B182">
        <v>184</v>
      </c>
      <c r="C182">
        <v>20</v>
      </c>
      <c r="D182" t="str">
        <f>VLOOKUP(B182,ZoneTable,2,FALSE)</f>
        <v>Bronx</v>
      </c>
      <c r="E182" t="str">
        <f>VLOOKUP(B182,ZoneTable,3,FALSE)</f>
        <v>Pelham Bay Park</v>
      </c>
      <c r="F182" t="str">
        <f>IF(OR(B182=1,B182=132,B182=138),"Airports",D182)</f>
        <v>Bronx</v>
      </c>
    </row>
    <row r="183" spans="1:6">
      <c r="A183" s="33">
        <v>42005</v>
      </c>
      <c r="B183">
        <v>185</v>
      </c>
      <c r="C183">
        <v>764</v>
      </c>
      <c r="D183" t="str">
        <f>VLOOKUP(B183,ZoneTable,2,FALSE)</f>
        <v>Bronx</v>
      </c>
      <c r="E183" t="str">
        <f>VLOOKUP(B183,ZoneTable,3,FALSE)</f>
        <v>Pelham Parkway</v>
      </c>
      <c r="F183" t="str">
        <f>IF(OR(B183=1,B183=132,B183=138),"Airports",D183)</f>
        <v>Bronx</v>
      </c>
    </row>
    <row r="184" spans="1:6">
      <c r="A184" s="33">
        <v>42005</v>
      </c>
      <c r="B184">
        <v>186</v>
      </c>
      <c r="C184">
        <v>26434</v>
      </c>
      <c r="D184" t="str">
        <f>VLOOKUP(B184,ZoneTable,2,FALSE)</f>
        <v>Manhattan</v>
      </c>
      <c r="E184" t="str">
        <f>VLOOKUP(B184,ZoneTable,3,FALSE)</f>
        <v>Penn Station/Madison Sq West</v>
      </c>
      <c r="F184" t="str">
        <f>IF(OR(B184=1,B184=132,B184=138),"Airports",D184)</f>
        <v>Manhattan</v>
      </c>
    </row>
    <row r="185" spans="1:6">
      <c r="A185" s="33">
        <v>42005</v>
      </c>
      <c r="B185">
        <v>187</v>
      </c>
      <c r="C185">
        <v>19</v>
      </c>
      <c r="D185" t="str">
        <f>VLOOKUP(B185,ZoneTable,2,FALSE)</f>
        <v>Staten Island</v>
      </c>
      <c r="E185" t="str">
        <f>VLOOKUP(B185,ZoneTable,3,FALSE)</f>
        <v>Port Richmond</v>
      </c>
      <c r="F185" t="str">
        <f>IF(OR(B185=1,B185=132,B185=138),"Airports",D185)</f>
        <v>Staten Island</v>
      </c>
    </row>
    <row r="186" spans="1:6">
      <c r="A186" s="33">
        <v>42005</v>
      </c>
      <c r="B186">
        <v>188</v>
      </c>
      <c r="C186">
        <v>5108</v>
      </c>
      <c r="D186" t="str">
        <f>VLOOKUP(B186,ZoneTable,2,FALSE)</f>
        <v>Brooklyn</v>
      </c>
      <c r="E186" t="str">
        <f>VLOOKUP(B186,ZoneTable,3,FALSE)</f>
        <v>Prospect-Lefferts Gardens</v>
      </c>
      <c r="F186" t="str">
        <f>IF(OR(B186=1,B186=132,B186=138),"Airports",D186)</f>
        <v>Brooklyn</v>
      </c>
    </row>
    <row r="187" spans="1:6">
      <c r="A187" s="33">
        <v>42005</v>
      </c>
      <c r="B187">
        <v>189</v>
      </c>
      <c r="C187">
        <v>8239</v>
      </c>
      <c r="D187" t="str">
        <f>VLOOKUP(B187,ZoneTable,2,FALSE)</f>
        <v>Brooklyn</v>
      </c>
      <c r="E187" t="str">
        <f>VLOOKUP(B187,ZoneTable,3,FALSE)</f>
        <v>Prospect Heights</v>
      </c>
      <c r="F187" t="str">
        <f>IF(OR(B187=1,B187=132,B187=138),"Airports",D187)</f>
        <v>Brooklyn</v>
      </c>
    </row>
    <row r="188" spans="1:6">
      <c r="A188" s="33">
        <v>42005</v>
      </c>
      <c r="B188">
        <v>190</v>
      </c>
      <c r="C188">
        <v>744</v>
      </c>
      <c r="D188" t="str">
        <f>VLOOKUP(B188,ZoneTable,2,FALSE)</f>
        <v>Brooklyn</v>
      </c>
      <c r="E188" t="str">
        <f>VLOOKUP(B188,ZoneTable,3,FALSE)</f>
        <v>Prospect Park</v>
      </c>
      <c r="F188" t="str">
        <f>IF(OR(B188=1,B188=132,B188=138),"Airports",D188)</f>
        <v>Brooklyn</v>
      </c>
    </row>
    <row r="189" spans="1:6">
      <c r="A189" s="33">
        <v>42005</v>
      </c>
      <c r="B189">
        <v>191</v>
      </c>
      <c r="C189">
        <v>507</v>
      </c>
      <c r="D189" t="str">
        <f>VLOOKUP(B189,ZoneTable,2,FALSE)</f>
        <v>Queens</v>
      </c>
      <c r="E189" t="str">
        <f>VLOOKUP(B189,ZoneTable,3,FALSE)</f>
        <v>Queens Village</v>
      </c>
      <c r="F189" t="str">
        <f>IF(OR(B189=1,B189=132,B189=138),"Airports",D189)</f>
        <v>Queens</v>
      </c>
    </row>
    <row r="190" spans="1:6">
      <c r="A190" s="33">
        <v>42005</v>
      </c>
      <c r="B190">
        <v>192</v>
      </c>
      <c r="C190">
        <v>596</v>
      </c>
      <c r="D190" t="str">
        <f>VLOOKUP(B190,ZoneTable,2,FALSE)</f>
        <v>Queens</v>
      </c>
      <c r="E190" t="str">
        <f>VLOOKUP(B190,ZoneTable,3,FALSE)</f>
        <v>Queensboro Hill</v>
      </c>
      <c r="F190" t="str">
        <f>IF(OR(B190=1,B190=132,B190=138),"Airports",D190)</f>
        <v>Queens</v>
      </c>
    </row>
    <row r="191" spans="1:6">
      <c r="A191" s="33">
        <v>42005</v>
      </c>
      <c r="B191">
        <v>193</v>
      </c>
      <c r="C191">
        <v>734</v>
      </c>
      <c r="D191" t="str">
        <f>VLOOKUP(B191,ZoneTable,2,FALSE)</f>
        <v>Queens</v>
      </c>
      <c r="E191" t="str">
        <f>VLOOKUP(B191,ZoneTable,3,FALSE)</f>
        <v>Queensbridge/Ravenswood</v>
      </c>
      <c r="F191" t="str">
        <f>IF(OR(B191=1,B191=132,B191=138),"Airports",D191)</f>
        <v>Queens</v>
      </c>
    </row>
    <row r="192" spans="1:6">
      <c r="A192" s="33">
        <v>42005</v>
      </c>
      <c r="B192">
        <v>194</v>
      </c>
      <c r="C192">
        <v>108</v>
      </c>
      <c r="D192" t="str">
        <f>VLOOKUP(B192,ZoneTable,2,FALSE)</f>
        <v>Manhattan</v>
      </c>
      <c r="E192" t="str">
        <f>VLOOKUP(B192,ZoneTable,3,FALSE)</f>
        <v>Randalls Island</v>
      </c>
      <c r="F192" t="str">
        <f>IF(OR(B192=1,B192=132,B192=138),"Airports",D192)</f>
        <v>Manhattan</v>
      </c>
    </row>
    <row r="193" spans="1:6">
      <c r="A193" s="33">
        <v>42005</v>
      </c>
      <c r="B193">
        <v>195</v>
      </c>
      <c r="C193">
        <v>3022</v>
      </c>
      <c r="D193" t="str">
        <f>VLOOKUP(B193,ZoneTable,2,FALSE)</f>
        <v>Brooklyn</v>
      </c>
      <c r="E193" t="str">
        <f>VLOOKUP(B193,ZoneTable,3,FALSE)</f>
        <v>Red Hook</v>
      </c>
      <c r="F193" t="str">
        <f>IF(OR(B193=1,B193=132,B193=138),"Airports",D193)</f>
        <v>Brooklyn</v>
      </c>
    </row>
    <row r="194" spans="1:6">
      <c r="A194" s="33">
        <v>42005</v>
      </c>
      <c r="B194">
        <v>196</v>
      </c>
      <c r="C194">
        <v>1381</v>
      </c>
      <c r="D194" t="str">
        <f>VLOOKUP(B194,ZoneTable,2,FALSE)</f>
        <v>Queens</v>
      </c>
      <c r="E194" t="str">
        <f>VLOOKUP(B194,ZoneTable,3,FALSE)</f>
        <v>Rego Park</v>
      </c>
      <c r="F194" t="str">
        <f>IF(OR(B194=1,B194=132,B194=138),"Airports",D194)</f>
        <v>Queens</v>
      </c>
    </row>
    <row r="195" spans="1:6">
      <c r="A195" s="33">
        <v>42005</v>
      </c>
      <c r="B195">
        <v>197</v>
      </c>
      <c r="C195">
        <v>1058</v>
      </c>
      <c r="D195" t="str">
        <f>VLOOKUP(B195,ZoneTable,2,FALSE)</f>
        <v>Queens</v>
      </c>
      <c r="E195" t="str">
        <f>VLOOKUP(B195,ZoneTable,3,FALSE)</f>
        <v>Richmond Hill</v>
      </c>
      <c r="F195" t="str">
        <f>IF(OR(B195=1,B195=132,B195=138),"Airports",D195)</f>
        <v>Queens</v>
      </c>
    </row>
    <row r="196" spans="1:6">
      <c r="A196" s="33">
        <v>42005</v>
      </c>
      <c r="B196">
        <v>198</v>
      </c>
      <c r="C196">
        <v>2940</v>
      </c>
      <c r="D196" t="str">
        <f>VLOOKUP(B196,ZoneTable,2,FALSE)</f>
        <v>Queens</v>
      </c>
      <c r="E196" t="str">
        <f>VLOOKUP(B196,ZoneTable,3,FALSE)</f>
        <v>Ridgewood</v>
      </c>
      <c r="F196" t="str">
        <f>IF(OR(B196=1,B196=132,B196=138),"Airports",D196)</f>
        <v>Queens</v>
      </c>
    </row>
    <row r="197" spans="1:6">
      <c r="A197" s="33">
        <v>42005</v>
      </c>
      <c r="B197">
        <v>200</v>
      </c>
      <c r="C197">
        <v>1912</v>
      </c>
      <c r="D197" t="str">
        <f>VLOOKUP(B197,ZoneTable,2,FALSE)</f>
        <v>Bronx</v>
      </c>
      <c r="E197" t="str">
        <f>VLOOKUP(B197,ZoneTable,3,FALSE)</f>
        <v>Riverdale/North Riverdale/Fieldston</v>
      </c>
      <c r="F197" t="str">
        <f>IF(OR(B197=1,B197=132,B197=138),"Airports",D197)</f>
        <v>Bronx</v>
      </c>
    </row>
    <row r="198" spans="1:6">
      <c r="A198" s="33">
        <v>42005</v>
      </c>
      <c r="B198">
        <v>201</v>
      </c>
      <c r="C198">
        <v>38</v>
      </c>
      <c r="D198" t="str">
        <f>VLOOKUP(B198,ZoneTable,2,FALSE)</f>
        <v>Queens</v>
      </c>
      <c r="E198" t="str">
        <f>VLOOKUP(B198,ZoneTable,3,FALSE)</f>
        <v>Rockaway Park</v>
      </c>
      <c r="F198" t="str">
        <f>IF(OR(B198=1,B198=132,B198=138),"Airports",D198)</f>
        <v>Queens</v>
      </c>
    </row>
    <row r="199" spans="1:6">
      <c r="A199" s="33">
        <v>42005</v>
      </c>
      <c r="B199">
        <v>202</v>
      </c>
      <c r="C199">
        <v>489</v>
      </c>
      <c r="D199" t="str">
        <f>VLOOKUP(B199,ZoneTable,2,FALSE)</f>
        <v>Manhattan</v>
      </c>
      <c r="E199" t="str">
        <f>VLOOKUP(B199,ZoneTable,3,FALSE)</f>
        <v>Roosevelt Island</v>
      </c>
      <c r="F199" t="str">
        <f>IF(OR(B199=1,B199=132,B199=138),"Airports",D199)</f>
        <v>Manhattan</v>
      </c>
    </row>
    <row r="200" spans="1:6">
      <c r="A200" s="33">
        <v>42005</v>
      </c>
      <c r="B200">
        <v>203</v>
      </c>
      <c r="C200">
        <v>253</v>
      </c>
      <c r="D200" t="str">
        <f>VLOOKUP(B200,ZoneTable,2,FALSE)</f>
        <v>Queens</v>
      </c>
      <c r="E200" t="str">
        <f>VLOOKUP(B200,ZoneTable,3,FALSE)</f>
        <v>Rosedale</v>
      </c>
      <c r="F200" t="str">
        <f>IF(OR(B200=1,B200=132,B200=138),"Airports",D200)</f>
        <v>Queens</v>
      </c>
    </row>
    <row r="201" spans="1:6">
      <c r="A201" s="33">
        <v>42005</v>
      </c>
      <c r="B201">
        <v>204</v>
      </c>
      <c r="C201">
        <v>2</v>
      </c>
      <c r="D201" t="str">
        <f>VLOOKUP(B201,ZoneTable,2,FALSE)</f>
        <v>Staten Island</v>
      </c>
      <c r="E201" t="str">
        <f>VLOOKUP(B201,ZoneTable,3,FALSE)</f>
        <v>Rossville/Woodrow</v>
      </c>
      <c r="F201" t="str">
        <f>IF(OR(B201=1,B201=132,B201=138),"Airports",D201)</f>
        <v>Staten Island</v>
      </c>
    </row>
    <row r="202" spans="1:6">
      <c r="A202" s="33">
        <v>42005</v>
      </c>
      <c r="B202">
        <v>205</v>
      </c>
      <c r="C202">
        <v>451</v>
      </c>
      <c r="D202" t="str">
        <f>VLOOKUP(B202,ZoneTable,2,FALSE)</f>
        <v>Queens</v>
      </c>
      <c r="E202" t="str">
        <f>VLOOKUP(B202,ZoneTable,3,FALSE)</f>
        <v>Saint Albans</v>
      </c>
      <c r="F202" t="str">
        <f>IF(OR(B202=1,B202=132,B202=138),"Airports",D202)</f>
        <v>Queens</v>
      </c>
    </row>
    <row r="203" spans="1:6">
      <c r="A203" s="33">
        <v>42005</v>
      </c>
      <c r="B203">
        <v>206</v>
      </c>
      <c r="C203">
        <v>55</v>
      </c>
      <c r="D203" t="str">
        <f>VLOOKUP(B203,ZoneTable,2,FALSE)</f>
        <v>Staten Island</v>
      </c>
      <c r="E203" t="str">
        <f>VLOOKUP(B203,ZoneTable,3,FALSE)</f>
        <v>Saint George/New Brighton</v>
      </c>
      <c r="F203" t="str">
        <f>IF(OR(B203=1,B203=132,B203=138),"Airports",D203)</f>
        <v>Staten Island</v>
      </c>
    </row>
    <row r="204" spans="1:6">
      <c r="A204" s="33">
        <v>42005</v>
      </c>
      <c r="B204">
        <v>207</v>
      </c>
      <c r="C204">
        <v>58</v>
      </c>
      <c r="D204" t="str">
        <f>VLOOKUP(B204,ZoneTable,2,FALSE)</f>
        <v>Queens</v>
      </c>
      <c r="E204" t="str">
        <f>VLOOKUP(B204,ZoneTable,3,FALSE)</f>
        <v>Saint Michaels Cemetery/Woodside</v>
      </c>
      <c r="F204" t="str">
        <f>IF(OR(B204=1,B204=132,B204=138),"Airports",D204)</f>
        <v>Queens</v>
      </c>
    </row>
    <row r="205" spans="1:6">
      <c r="A205" s="33">
        <v>42005</v>
      </c>
      <c r="B205">
        <v>208</v>
      </c>
      <c r="C205">
        <v>511</v>
      </c>
      <c r="D205" t="str">
        <f>VLOOKUP(B205,ZoneTable,2,FALSE)</f>
        <v>Bronx</v>
      </c>
      <c r="E205" t="str">
        <f>VLOOKUP(B205,ZoneTable,3,FALSE)</f>
        <v>Schuylerville/Edgewater Park</v>
      </c>
      <c r="F205" t="str">
        <f>IF(OR(B205=1,B205=132,B205=138),"Airports",D205)</f>
        <v>Bronx</v>
      </c>
    </row>
    <row r="206" spans="1:6">
      <c r="A206" s="33">
        <v>42005</v>
      </c>
      <c r="B206">
        <v>209</v>
      </c>
      <c r="C206">
        <v>7466</v>
      </c>
      <c r="D206" t="str">
        <f>VLOOKUP(B206,ZoneTable,2,FALSE)</f>
        <v>Manhattan</v>
      </c>
      <c r="E206" t="str">
        <f>VLOOKUP(B206,ZoneTable,3,FALSE)</f>
        <v>Seaport</v>
      </c>
      <c r="F206" t="str">
        <f>IF(OR(B206=1,B206=132,B206=138),"Airports",D206)</f>
        <v>Manhattan</v>
      </c>
    </row>
    <row r="207" spans="1:6">
      <c r="A207" s="33">
        <v>42005</v>
      </c>
      <c r="B207">
        <v>210</v>
      </c>
      <c r="C207">
        <v>800</v>
      </c>
      <c r="D207" t="str">
        <f>VLOOKUP(B207,ZoneTable,2,FALSE)</f>
        <v>Brooklyn</v>
      </c>
      <c r="E207" t="str">
        <f>VLOOKUP(B207,ZoneTable,3,FALSE)</f>
        <v>Sheepshead Bay</v>
      </c>
      <c r="F207" t="str">
        <f>IF(OR(B207=1,B207=132,B207=138),"Airports",D207)</f>
        <v>Brooklyn</v>
      </c>
    </row>
    <row r="208" spans="1:6">
      <c r="A208" s="33">
        <v>42005</v>
      </c>
      <c r="B208">
        <v>211</v>
      </c>
      <c r="C208">
        <v>33485</v>
      </c>
      <c r="D208" t="str">
        <f>VLOOKUP(B208,ZoneTable,2,FALSE)</f>
        <v>Manhattan</v>
      </c>
      <c r="E208" t="str">
        <f>VLOOKUP(B208,ZoneTable,3,FALSE)</f>
        <v>SoHo</v>
      </c>
      <c r="F208" t="str">
        <f>IF(OR(B208=1,B208=132,B208=138),"Airports",D208)</f>
        <v>Manhattan</v>
      </c>
    </row>
    <row r="209" spans="1:6">
      <c r="A209" s="33">
        <v>42005</v>
      </c>
      <c r="B209">
        <v>212</v>
      </c>
      <c r="C209">
        <v>361</v>
      </c>
      <c r="D209" t="str">
        <f>VLOOKUP(B209,ZoneTable,2,FALSE)</f>
        <v>Bronx</v>
      </c>
      <c r="E209" t="str">
        <f>VLOOKUP(B209,ZoneTable,3,FALSE)</f>
        <v>Soundview/Bruckner</v>
      </c>
      <c r="F209" t="str">
        <f>IF(OR(B209=1,B209=132,B209=138),"Airports",D209)</f>
        <v>Bronx</v>
      </c>
    </row>
    <row r="210" spans="1:6">
      <c r="A210" s="33">
        <v>42005</v>
      </c>
      <c r="B210">
        <v>213</v>
      </c>
      <c r="C210">
        <v>567</v>
      </c>
      <c r="D210" t="str">
        <f>VLOOKUP(B210,ZoneTable,2,FALSE)</f>
        <v>Bronx</v>
      </c>
      <c r="E210" t="str">
        <f>VLOOKUP(B210,ZoneTable,3,FALSE)</f>
        <v>Soundview/Castle Hill</v>
      </c>
      <c r="F210" t="str">
        <f>IF(OR(B210=1,B210=132,B210=138),"Airports",D210)</f>
        <v>Bronx</v>
      </c>
    </row>
    <row r="211" spans="1:6">
      <c r="A211" s="33">
        <v>42005</v>
      </c>
      <c r="B211">
        <v>214</v>
      </c>
      <c r="C211">
        <v>86</v>
      </c>
      <c r="D211" t="str">
        <f>VLOOKUP(B211,ZoneTable,2,FALSE)</f>
        <v>Staten Island</v>
      </c>
      <c r="E211" t="str">
        <f>VLOOKUP(B211,ZoneTable,3,FALSE)</f>
        <v>South Beach/Dongan Hills</v>
      </c>
      <c r="F211" t="str">
        <f>IF(OR(B211=1,B211=132,B211=138),"Airports",D211)</f>
        <v>Staten Island</v>
      </c>
    </row>
    <row r="212" spans="1:6">
      <c r="A212" s="33">
        <v>42005</v>
      </c>
      <c r="B212">
        <v>215</v>
      </c>
      <c r="C212">
        <v>356</v>
      </c>
      <c r="D212" t="str">
        <f>VLOOKUP(B212,ZoneTable,2,FALSE)</f>
        <v>Queens</v>
      </c>
      <c r="E212" t="str">
        <f>VLOOKUP(B212,ZoneTable,3,FALSE)</f>
        <v>South Jamaica</v>
      </c>
      <c r="F212" t="str">
        <f>IF(OR(B212=1,B212=132,B212=138),"Airports",D212)</f>
        <v>Queens</v>
      </c>
    </row>
    <row r="213" spans="1:6">
      <c r="A213" s="33">
        <v>42005</v>
      </c>
      <c r="B213">
        <v>216</v>
      </c>
      <c r="C213">
        <v>1031</v>
      </c>
      <c r="D213" t="str">
        <f>VLOOKUP(B213,ZoneTable,2,FALSE)</f>
        <v>Queens</v>
      </c>
      <c r="E213" t="str">
        <f>VLOOKUP(B213,ZoneTable,3,FALSE)</f>
        <v>South Ozone Park</v>
      </c>
      <c r="F213" t="str">
        <f>IF(OR(B213=1,B213=132,B213=138),"Airports",D213)</f>
        <v>Queens</v>
      </c>
    </row>
    <row r="214" spans="1:6">
      <c r="A214" s="33">
        <v>42005</v>
      </c>
      <c r="B214">
        <v>217</v>
      </c>
      <c r="C214">
        <v>860</v>
      </c>
      <c r="D214" t="str">
        <f>VLOOKUP(B214,ZoneTable,2,FALSE)</f>
        <v>Brooklyn</v>
      </c>
      <c r="E214" t="str">
        <f>VLOOKUP(B214,ZoneTable,3,FALSE)</f>
        <v>South Williamsburg</v>
      </c>
      <c r="F214" t="str">
        <f>IF(OR(B214=1,B214=132,B214=138),"Airports",D214)</f>
        <v>Brooklyn</v>
      </c>
    </row>
    <row r="215" spans="1:6">
      <c r="A215" s="33">
        <v>42005</v>
      </c>
      <c r="B215">
        <v>218</v>
      </c>
      <c r="C215">
        <v>304</v>
      </c>
      <c r="D215" t="str">
        <f>VLOOKUP(B215,ZoneTable,2,FALSE)</f>
        <v>Queens</v>
      </c>
      <c r="E215" t="str">
        <f>VLOOKUP(B215,ZoneTable,3,FALSE)</f>
        <v>Springfield Gardens North</v>
      </c>
      <c r="F215" t="str">
        <f>IF(OR(B215=1,B215=132,B215=138),"Airports",D215)</f>
        <v>Queens</v>
      </c>
    </row>
    <row r="216" spans="1:6">
      <c r="A216" s="33">
        <v>42005</v>
      </c>
      <c r="B216">
        <v>219</v>
      </c>
      <c r="C216">
        <v>378</v>
      </c>
      <c r="D216" t="str">
        <f>VLOOKUP(B216,ZoneTable,2,FALSE)</f>
        <v>Queens</v>
      </c>
      <c r="E216" t="str">
        <f>VLOOKUP(B216,ZoneTable,3,FALSE)</f>
        <v>Springfield Gardens South</v>
      </c>
      <c r="F216" t="str">
        <f>IF(OR(B216=1,B216=132,B216=138),"Airports",D216)</f>
        <v>Queens</v>
      </c>
    </row>
    <row r="217" spans="1:6">
      <c r="A217" s="33">
        <v>42005</v>
      </c>
      <c r="B217">
        <v>220</v>
      </c>
      <c r="C217">
        <v>1655</v>
      </c>
      <c r="D217" t="str">
        <f>VLOOKUP(B217,ZoneTable,2,FALSE)</f>
        <v>Bronx</v>
      </c>
      <c r="E217" t="str">
        <f>VLOOKUP(B217,ZoneTable,3,FALSE)</f>
        <v>Spuyten Duyvil/Kingsbridge</v>
      </c>
      <c r="F217" t="str">
        <f>IF(OR(B217=1,B217=132,B217=138),"Airports",D217)</f>
        <v>Bronx</v>
      </c>
    </row>
    <row r="218" spans="1:6">
      <c r="A218" s="33">
        <v>42005</v>
      </c>
      <c r="B218">
        <v>221</v>
      </c>
      <c r="C218">
        <v>74</v>
      </c>
      <c r="D218" t="str">
        <f>VLOOKUP(B218,ZoneTable,2,FALSE)</f>
        <v>Staten Island</v>
      </c>
      <c r="E218" t="str">
        <f>VLOOKUP(B218,ZoneTable,3,FALSE)</f>
        <v>Stapleton</v>
      </c>
      <c r="F218" t="str">
        <f>IF(OR(B218=1,B218=132,B218=138),"Airports",D218)</f>
        <v>Staten Island</v>
      </c>
    </row>
    <row r="219" spans="1:6">
      <c r="A219" s="33">
        <v>42005</v>
      </c>
      <c r="B219">
        <v>222</v>
      </c>
      <c r="C219">
        <v>247</v>
      </c>
      <c r="D219" t="str">
        <f>VLOOKUP(B219,ZoneTable,2,FALSE)</f>
        <v>Brooklyn</v>
      </c>
      <c r="E219" t="str">
        <f>VLOOKUP(B219,ZoneTable,3,FALSE)</f>
        <v>Starrett City</v>
      </c>
      <c r="F219" t="str">
        <f>IF(OR(B219=1,B219=132,B219=138),"Airports",D219)</f>
        <v>Brooklyn</v>
      </c>
    </row>
    <row r="220" spans="1:6">
      <c r="A220" s="33">
        <v>42005</v>
      </c>
      <c r="B220">
        <v>223</v>
      </c>
      <c r="C220">
        <v>6100</v>
      </c>
      <c r="D220" t="str">
        <f>VLOOKUP(B220,ZoneTable,2,FALSE)</f>
        <v>Queens</v>
      </c>
      <c r="E220" t="str">
        <f>VLOOKUP(B220,ZoneTable,3,FALSE)</f>
        <v>Steinway</v>
      </c>
      <c r="F220" t="str">
        <f>IF(OR(B220=1,B220=132,B220=138),"Airports",D220)</f>
        <v>Queens</v>
      </c>
    </row>
    <row r="221" spans="1:6">
      <c r="A221" s="33">
        <v>42005</v>
      </c>
      <c r="B221">
        <v>224</v>
      </c>
      <c r="C221">
        <v>10613</v>
      </c>
      <c r="D221" t="str">
        <f>VLOOKUP(B221,ZoneTable,2,FALSE)</f>
        <v>Manhattan</v>
      </c>
      <c r="E221" t="str">
        <f>VLOOKUP(B221,ZoneTable,3,FALSE)</f>
        <v>Stuy Town/Peter Cooper Village</v>
      </c>
      <c r="F221" t="str">
        <f>IF(OR(B221=1,B221=132,B221=138),"Airports",D221)</f>
        <v>Manhattan</v>
      </c>
    </row>
    <row r="222" spans="1:6">
      <c r="A222" s="33">
        <v>42005</v>
      </c>
      <c r="B222">
        <v>225</v>
      </c>
      <c r="C222">
        <v>7996</v>
      </c>
      <c r="D222" t="str">
        <f>VLOOKUP(B222,ZoneTable,2,FALSE)</f>
        <v>Brooklyn</v>
      </c>
      <c r="E222" t="str">
        <f>VLOOKUP(B222,ZoneTable,3,FALSE)</f>
        <v>Stuyvesant Heights</v>
      </c>
      <c r="F222" t="str">
        <f>IF(OR(B222=1,B222=132,B222=138),"Airports",D222)</f>
        <v>Brooklyn</v>
      </c>
    </row>
    <row r="223" spans="1:6">
      <c r="A223" s="33">
        <v>42005</v>
      </c>
      <c r="B223">
        <v>226</v>
      </c>
      <c r="C223">
        <v>6989</v>
      </c>
      <c r="D223" t="str">
        <f>VLOOKUP(B223,ZoneTable,2,FALSE)</f>
        <v>Queens</v>
      </c>
      <c r="E223" t="str">
        <f>VLOOKUP(B223,ZoneTable,3,FALSE)</f>
        <v>Sunnyside</v>
      </c>
      <c r="F223" t="str">
        <f>IF(OR(B223=1,B223=132,B223=138),"Airports",D223)</f>
        <v>Queens</v>
      </c>
    </row>
    <row r="224" spans="1:6">
      <c r="A224" s="33">
        <v>42005</v>
      </c>
      <c r="B224">
        <v>227</v>
      </c>
      <c r="C224">
        <v>1162</v>
      </c>
      <c r="D224" t="str">
        <f>VLOOKUP(B224,ZoneTable,2,FALSE)</f>
        <v>Brooklyn</v>
      </c>
      <c r="E224" t="str">
        <f>VLOOKUP(B224,ZoneTable,3,FALSE)</f>
        <v>Sunset Park East</v>
      </c>
      <c r="F224" t="str">
        <f>IF(OR(B224=1,B224=132,B224=138),"Airports",D224)</f>
        <v>Brooklyn</v>
      </c>
    </row>
    <row r="225" spans="1:6">
      <c r="A225" s="33">
        <v>42005</v>
      </c>
      <c r="B225">
        <v>228</v>
      </c>
      <c r="C225">
        <v>3967</v>
      </c>
      <c r="D225" t="str">
        <f>VLOOKUP(B225,ZoneTable,2,FALSE)</f>
        <v>Brooklyn</v>
      </c>
      <c r="E225" t="str">
        <f>VLOOKUP(B225,ZoneTable,3,FALSE)</f>
        <v>Sunset Park West</v>
      </c>
      <c r="F225" t="str">
        <f>IF(OR(B225=1,B225=132,B225=138),"Airports",D225)</f>
        <v>Brooklyn</v>
      </c>
    </row>
    <row r="226" spans="1:6">
      <c r="A226" s="33">
        <v>42005</v>
      </c>
      <c r="B226">
        <v>229</v>
      </c>
      <c r="C226">
        <v>24492</v>
      </c>
      <c r="D226" t="str">
        <f>VLOOKUP(B226,ZoneTable,2,FALSE)</f>
        <v>Manhattan</v>
      </c>
      <c r="E226" t="str">
        <f>VLOOKUP(B226,ZoneTable,3,FALSE)</f>
        <v>Sutton Place/Turtle Bay North</v>
      </c>
      <c r="F226" t="str">
        <f>IF(OR(B226=1,B226=132,B226=138),"Airports",D226)</f>
        <v>Manhattan</v>
      </c>
    </row>
    <row r="227" spans="1:6">
      <c r="A227" s="33">
        <v>42005</v>
      </c>
      <c r="B227">
        <v>230</v>
      </c>
      <c r="C227">
        <v>42247</v>
      </c>
      <c r="D227" t="str">
        <f>VLOOKUP(B227,ZoneTable,2,FALSE)</f>
        <v>Manhattan</v>
      </c>
      <c r="E227" t="str">
        <f>VLOOKUP(B227,ZoneTable,3,FALSE)</f>
        <v>Times Sq/Theatre District</v>
      </c>
      <c r="F227" t="str">
        <f>IF(OR(B227=1,B227=132,B227=138),"Airports",D227)</f>
        <v>Manhattan</v>
      </c>
    </row>
    <row r="228" spans="1:6">
      <c r="A228" s="33">
        <v>42005</v>
      </c>
      <c r="B228">
        <v>231</v>
      </c>
      <c r="C228">
        <v>62310</v>
      </c>
      <c r="D228" t="str">
        <f>VLOOKUP(B228,ZoneTable,2,FALSE)</f>
        <v>Manhattan</v>
      </c>
      <c r="E228" t="str">
        <f>VLOOKUP(B228,ZoneTable,3,FALSE)</f>
        <v>TriBeCa/Civic Center</v>
      </c>
      <c r="F228" t="str">
        <f>IF(OR(B228=1,B228=132,B228=138),"Airports",D228)</f>
        <v>Manhattan</v>
      </c>
    </row>
    <row r="229" spans="1:6">
      <c r="A229" s="33">
        <v>42005</v>
      </c>
      <c r="B229">
        <v>232</v>
      </c>
      <c r="C229">
        <v>10868</v>
      </c>
      <c r="D229" t="str">
        <f>VLOOKUP(B229,ZoneTable,2,FALSE)</f>
        <v>Manhattan</v>
      </c>
      <c r="E229" t="str">
        <f>VLOOKUP(B229,ZoneTable,3,FALSE)</f>
        <v>Two Bridges/Seward Park</v>
      </c>
      <c r="F229" t="str">
        <f>IF(OR(B229=1,B229=132,B229=138),"Airports",D229)</f>
        <v>Manhattan</v>
      </c>
    </row>
    <row r="230" spans="1:6">
      <c r="A230" s="33">
        <v>42005</v>
      </c>
      <c r="B230">
        <v>233</v>
      </c>
      <c r="C230">
        <v>20334</v>
      </c>
      <c r="D230" t="str">
        <f>VLOOKUP(B230,ZoneTable,2,FALSE)</f>
        <v>Manhattan</v>
      </c>
      <c r="E230" t="str">
        <f>VLOOKUP(B230,ZoneTable,3,FALSE)</f>
        <v>UN/Turtle Bay South</v>
      </c>
      <c r="F230" t="str">
        <f>IF(OR(B230=1,B230=132,B230=138),"Airports",D230)</f>
        <v>Manhattan</v>
      </c>
    </row>
    <row r="231" spans="1:6">
      <c r="A231" s="33">
        <v>42005</v>
      </c>
      <c r="B231">
        <v>234</v>
      </c>
      <c r="C231">
        <v>58708</v>
      </c>
      <c r="D231" t="str">
        <f>VLOOKUP(B231,ZoneTable,2,FALSE)</f>
        <v>Manhattan</v>
      </c>
      <c r="E231" t="str">
        <f>VLOOKUP(B231,ZoneTable,3,FALSE)</f>
        <v>Union Sq</v>
      </c>
      <c r="F231" t="str">
        <f>IF(OR(B231=1,B231=132,B231=138),"Airports",D231)</f>
        <v>Manhattan</v>
      </c>
    </row>
    <row r="232" spans="1:6">
      <c r="A232" s="33">
        <v>42005</v>
      </c>
      <c r="B232">
        <v>235</v>
      </c>
      <c r="C232">
        <v>602</v>
      </c>
      <c r="D232" t="str">
        <f>VLOOKUP(B232,ZoneTable,2,FALSE)</f>
        <v>Bronx</v>
      </c>
      <c r="E232" t="str">
        <f>VLOOKUP(B232,ZoneTable,3,FALSE)</f>
        <v>University Heights/Morris Heights</v>
      </c>
      <c r="F232" t="str">
        <f>IF(OR(B232=1,B232=132,B232=138),"Airports",D232)</f>
        <v>Bronx</v>
      </c>
    </row>
    <row r="233" spans="1:6">
      <c r="A233" s="33">
        <v>42005</v>
      </c>
      <c r="B233">
        <v>236</v>
      </c>
      <c r="C233">
        <v>35763</v>
      </c>
      <c r="D233" t="str">
        <f>VLOOKUP(B233,ZoneTable,2,FALSE)</f>
        <v>Manhattan</v>
      </c>
      <c r="E233" t="str">
        <f>VLOOKUP(B233,ZoneTable,3,FALSE)</f>
        <v>Upper East Side North</v>
      </c>
      <c r="F233" t="str">
        <f>IF(OR(B233=1,B233=132,B233=138),"Airports",D233)</f>
        <v>Manhattan</v>
      </c>
    </row>
    <row r="234" spans="1:6">
      <c r="A234" s="33">
        <v>42005</v>
      </c>
      <c r="B234">
        <v>237</v>
      </c>
      <c r="C234">
        <v>41231</v>
      </c>
      <c r="D234" t="str">
        <f>VLOOKUP(B234,ZoneTable,2,FALSE)</f>
        <v>Manhattan</v>
      </c>
      <c r="E234" t="str">
        <f>VLOOKUP(B234,ZoneTable,3,FALSE)</f>
        <v>Upper East Side South</v>
      </c>
      <c r="F234" t="str">
        <f>IF(OR(B234=1,B234=132,B234=138),"Airports",D234)</f>
        <v>Manhattan</v>
      </c>
    </row>
    <row r="235" spans="1:6">
      <c r="A235" s="33">
        <v>42005</v>
      </c>
      <c r="B235">
        <v>238</v>
      </c>
      <c r="C235">
        <v>20101</v>
      </c>
      <c r="D235" t="str">
        <f>VLOOKUP(B235,ZoneTable,2,FALSE)</f>
        <v>Manhattan</v>
      </c>
      <c r="E235" t="str">
        <f>VLOOKUP(B235,ZoneTable,3,FALSE)</f>
        <v>Upper West Side North</v>
      </c>
      <c r="F235" t="str">
        <f>IF(OR(B235=1,B235=132,B235=138),"Airports",D235)</f>
        <v>Manhattan</v>
      </c>
    </row>
    <row r="236" spans="1:6">
      <c r="A236" s="33">
        <v>42005</v>
      </c>
      <c r="B236">
        <v>239</v>
      </c>
      <c r="C236">
        <v>27729</v>
      </c>
      <c r="D236" t="str">
        <f>VLOOKUP(B236,ZoneTable,2,FALSE)</f>
        <v>Manhattan</v>
      </c>
      <c r="E236" t="str">
        <f>VLOOKUP(B236,ZoneTable,3,FALSE)</f>
        <v>Upper West Side South</v>
      </c>
      <c r="F236" t="str">
        <f>IF(OR(B236=1,B236=132,B236=138),"Airports",D236)</f>
        <v>Manhattan</v>
      </c>
    </row>
    <row r="237" spans="1:6">
      <c r="A237" s="33">
        <v>42005</v>
      </c>
      <c r="B237">
        <v>240</v>
      </c>
      <c r="C237">
        <v>104</v>
      </c>
      <c r="D237" t="str">
        <f>VLOOKUP(B237,ZoneTable,2,FALSE)</f>
        <v>Bronx</v>
      </c>
      <c r="E237" t="str">
        <f>VLOOKUP(B237,ZoneTable,3,FALSE)</f>
        <v>Van Cortlandt Park</v>
      </c>
      <c r="F237" t="str">
        <f>IF(OR(B237=1,B237=132,B237=138),"Airports",D237)</f>
        <v>Bronx</v>
      </c>
    </row>
    <row r="238" spans="1:6">
      <c r="A238" s="33">
        <v>42005</v>
      </c>
      <c r="B238">
        <v>241</v>
      </c>
      <c r="C238">
        <v>913</v>
      </c>
      <c r="D238" t="str">
        <f>VLOOKUP(B238,ZoneTable,2,FALSE)</f>
        <v>Bronx</v>
      </c>
      <c r="E238" t="str">
        <f>VLOOKUP(B238,ZoneTable,3,FALSE)</f>
        <v>Van Cortlandt Village</v>
      </c>
      <c r="F238" t="str">
        <f>IF(OR(B238=1,B238=132,B238=138),"Airports",D238)</f>
        <v>Bronx</v>
      </c>
    </row>
    <row r="239" spans="1:6">
      <c r="A239" s="33">
        <v>42005</v>
      </c>
      <c r="B239">
        <v>242</v>
      </c>
      <c r="C239">
        <v>829</v>
      </c>
      <c r="D239" t="str">
        <f>VLOOKUP(B239,ZoneTable,2,FALSE)</f>
        <v>Bronx</v>
      </c>
      <c r="E239" t="str">
        <f>VLOOKUP(B239,ZoneTable,3,FALSE)</f>
        <v>Van Nest/Morris Park</v>
      </c>
      <c r="F239" t="str">
        <f>IF(OR(B239=1,B239=132,B239=138),"Airports",D239)</f>
        <v>Bronx</v>
      </c>
    </row>
    <row r="240" spans="1:6">
      <c r="A240" s="33">
        <v>42005</v>
      </c>
      <c r="B240">
        <v>243</v>
      </c>
      <c r="C240">
        <v>3847</v>
      </c>
      <c r="D240" t="str">
        <f>VLOOKUP(B240,ZoneTable,2,FALSE)</f>
        <v>Manhattan</v>
      </c>
      <c r="E240" t="str">
        <f>VLOOKUP(B240,ZoneTable,3,FALSE)</f>
        <v>Washington Heights North</v>
      </c>
      <c r="F240" t="str">
        <f>IF(OR(B240=1,B240=132,B240=138),"Airports",D240)</f>
        <v>Manhattan</v>
      </c>
    </row>
    <row r="241" spans="1:6">
      <c r="A241" s="33">
        <v>42005</v>
      </c>
      <c r="B241">
        <v>244</v>
      </c>
      <c r="C241">
        <v>5870</v>
      </c>
      <c r="D241" t="str">
        <f>VLOOKUP(B241,ZoneTable,2,FALSE)</f>
        <v>Manhattan</v>
      </c>
      <c r="E241" t="str">
        <f>VLOOKUP(B241,ZoneTable,3,FALSE)</f>
        <v>Washington Heights South</v>
      </c>
      <c r="F241" t="str">
        <f>IF(OR(B241=1,B241=132,B241=138),"Airports",D241)</f>
        <v>Manhattan</v>
      </c>
    </row>
    <row r="242" spans="1:6">
      <c r="A242" s="33">
        <v>42005</v>
      </c>
      <c r="B242">
        <v>245</v>
      </c>
      <c r="C242">
        <v>47</v>
      </c>
      <c r="D242" t="str">
        <f>VLOOKUP(B242,ZoneTable,2,FALSE)</f>
        <v>Staten Island</v>
      </c>
      <c r="E242" t="str">
        <f>VLOOKUP(B242,ZoneTable,3,FALSE)</f>
        <v>West Brighton</v>
      </c>
      <c r="F242" t="str">
        <f>IF(OR(B242=1,B242=132,B242=138),"Airports",D242)</f>
        <v>Staten Island</v>
      </c>
    </row>
    <row r="243" spans="1:6">
      <c r="A243" s="33">
        <v>42005</v>
      </c>
      <c r="B243">
        <v>246</v>
      </c>
      <c r="C243">
        <v>37891</v>
      </c>
      <c r="D243" t="str">
        <f>VLOOKUP(B243,ZoneTable,2,FALSE)</f>
        <v>Manhattan</v>
      </c>
      <c r="E243" t="str">
        <f>VLOOKUP(B243,ZoneTable,3,FALSE)</f>
        <v>West Chelsea/Hudson Yards</v>
      </c>
      <c r="F243" t="str">
        <f>IF(OR(B243=1,B243=132,B243=138),"Airports",D243)</f>
        <v>Manhattan</v>
      </c>
    </row>
    <row r="244" spans="1:6">
      <c r="A244" s="33">
        <v>42005</v>
      </c>
      <c r="B244">
        <v>247</v>
      </c>
      <c r="C244">
        <v>1042</v>
      </c>
      <c r="D244" t="str">
        <f>VLOOKUP(B244,ZoneTable,2,FALSE)</f>
        <v>Bronx</v>
      </c>
      <c r="E244" t="str">
        <f>VLOOKUP(B244,ZoneTable,3,FALSE)</f>
        <v>West Concourse</v>
      </c>
      <c r="F244" t="str">
        <f>IF(OR(B244=1,B244=132,B244=138),"Airports",D244)</f>
        <v>Bronx</v>
      </c>
    </row>
    <row r="245" spans="1:6">
      <c r="A245" s="33">
        <v>42005</v>
      </c>
      <c r="B245">
        <v>248</v>
      </c>
      <c r="C245">
        <v>334</v>
      </c>
      <c r="D245" t="str">
        <f>VLOOKUP(B245,ZoneTable,2,FALSE)</f>
        <v>Bronx</v>
      </c>
      <c r="E245" t="str">
        <f>VLOOKUP(B245,ZoneTable,3,FALSE)</f>
        <v>West Farms/Bronx River</v>
      </c>
      <c r="F245" t="str">
        <f>IF(OR(B245=1,B245=132,B245=138),"Airports",D245)</f>
        <v>Bronx</v>
      </c>
    </row>
    <row r="246" spans="1:6">
      <c r="A246" s="33">
        <v>42005</v>
      </c>
      <c r="B246">
        <v>249</v>
      </c>
      <c r="C246">
        <v>46731</v>
      </c>
      <c r="D246" t="str">
        <f>VLOOKUP(B246,ZoneTable,2,FALSE)</f>
        <v>Manhattan</v>
      </c>
      <c r="E246" t="str">
        <f>VLOOKUP(B246,ZoneTable,3,FALSE)</f>
        <v>West Village</v>
      </c>
      <c r="F246" t="str">
        <f>IF(OR(B246=1,B246=132,B246=138),"Airports",D246)</f>
        <v>Manhattan</v>
      </c>
    </row>
    <row r="247" spans="1:6">
      <c r="A247" s="33">
        <v>42005</v>
      </c>
      <c r="B247">
        <v>250</v>
      </c>
      <c r="C247">
        <v>470</v>
      </c>
      <c r="D247" t="str">
        <f>VLOOKUP(B247,ZoneTable,2,FALSE)</f>
        <v>Bronx</v>
      </c>
      <c r="E247" t="str">
        <f>VLOOKUP(B247,ZoneTable,3,FALSE)</f>
        <v>Westchester Village/Unionport</v>
      </c>
      <c r="F247" t="str">
        <f>IF(OR(B247=1,B247=132,B247=138),"Airports",D247)</f>
        <v>Bronx</v>
      </c>
    </row>
    <row r="248" spans="1:6">
      <c r="A248" s="33">
        <v>42005</v>
      </c>
      <c r="B248">
        <v>251</v>
      </c>
      <c r="C248">
        <v>74</v>
      </c>
      <c r="D248" t="str">
        <f>VLOOKUP(B248,ZoneTable,2,FALSE)</f>
        <v>Staten Island</v>
      </c>
      <c r="E248" t="str">
        <f>VLOOKUP(B248,ZoneTable,3,FALSE)</f>
        <v>Westerleigh</v>
      </c>
      <c r="F248" t="str">
        <f>IF(OR(B248=1,B248=132,B248=138),"Airports",D248)</f>
        <v>Staten Island</v>
      </c>
    </row>
    <row r="249" spans="1:6">
      <c r="A249" s="33">
        <v>42005</v>
      </c>
      <c r="B249">
        <v>252</v>
      </c>
      <c r="C249">
        <v>596</v>
      </c>
      <c r="D249" t="str">
        <f>VLOOKUP(B249,ZoneTable,2,FALSE)</f>
        <v>Queens</v>
      </c>
      <c r="E249" t="str">
        <f>VLOOKUP(B249,ZoneTable,3,FALSE)</f>
        <v>Whitestone</v>
      </c>
      <c r="F249" t="str">
        <f>IF(OR(B249=1,B249=132,B249=138),"Airports",D249)</f>
        <v>Queens</v>
      </c>
    </row>
    <row r="250" spans="1:6">
      <c r="A250" s="33">
        <v>42005</v>
      </c>
      <c r="B250">
        <v>253</v>
      </c>
      <c r="C250">
        <v>16</v>
      </c>
      <c r="D250" t="str">
        <f>VLOOKUP(B250,ZoneTable,2,FALSE)</f>
        <v>Queens</v>
      </c>
      <c r="E250" t="str">
        <f>VLOOKUP(B250,ZoneTable,3,FALSE)</f>
        <v>Willets Point</v>
      </c>
      <c r="F250" t="str">
        <f>IF(OR(B250=1,B250=132,B250=138),"Airports",D250)</f>
        <v>Queens</v>
      </c>
    </row>
    <row r="251" spans="1:6">
      <c r="A251" s="33">
        <v>42005</v>
      </c>
      <c r="B251">
        <v>254</v>
      </c>
      <c r="C251">
        <v>493</v>
      </c>
      <c r="D251" t="str">
        <f>VLOOKUP(B251,ZoneTable,2,FALSE)</f>
        <v>Bronx</v>
      </c>
      <c r="E251" t="str">
        <f>VLOOKUP(B251,ZoneTable,3,FALSE)</f>
        <v>Williamsbridge/Olinville</v>
      </c>
      <c r="F251" t="str">
        <f>IF(OR(B251=1,B251=132,B251=138),"Airports",D251)</f>
        <v>Bronx</v>
      </c>
    </row>
    <row r="252" spans="1:6">
      <c r="A252" s="33">
        <v>42005</v>
      </c>
      <c r="B252">
        <v>255</v>
      </c>
      <c r="C252">
        <v>28858</v>
      </c>
      <c r="D252" t="str">
        <f>VLOOKUP(B252,ZoneTable,2,FALSE)</f>
        <v>Brooklyn</v>
      </c>
      <c r="E252" t="str">
        <f>VLOOKUP(B252,ZoneTable,3,FALSE)</f>
        <v>Williamsburg (North Side)</v>
      </c>
      <c r="F252" t="str">
        <f>IF(OR(B252=1,B252=132,B252=138),"Airports",D252)</f>
        <v>Brooklyn</v>
      </c>
    </row>
    <row r="253" spans="1:6">
      <c r="A253" s="33">
        <v>42005</v>
      </c>
      <c r="B253">
        <v>256</v>
      </c>
      <c r="C253">
        <v>19989</v>
      </c>
      <c r="D253" t="str">
        <f>VLOOKUP(B253,ZoneTable,2,FALSE)</f>
        <v>Brooklyn</v>
      </c>
      <c r="E253" t="str">
        <f>VLOOKUP(B253,ZoneTable,3,FALSE)</f>
        <v>Williamsburg (South Side)</v>
      </c>
      <c r="F253" t="str">
        <f>IF(OR(B253=1,B253=132,B253=138),"Airports",D253)</f>
        <v>Brooklyn</v>
      </c>
    </row>
    <row r="254" spans="1:6">
      <c r="A254" s="33">
        <v>42005</v>
      </c>
      <c r="B254">
        <v>257</v>
      </c>
      <c r="C254">
        <v>2894</v>
      </c>
      <c r="D254" t="str">
        <f>VLOOKUP(B254,ZoneTable,2,FALSE)</f>
        <v>Brooklyn</v>
      </c>
      <c r="E254" t="str">
        <f>VLOOKUP(B254,ZoneTable,3,FALSE)</f>
        <v>Windsor Terrace</v>
      </c>
      <c r="F254" t="str">
        <f>IF(OR(B254=1,B254=132,B254=138),"Airports",D254)</f>
        <v>Brooklyn</v>
      </c>
    </row>
    <row r="255" spans="1:6">
      <c r="A255" s="33">
        <v>42005</v>
      </c>
      <c r="B255">
        <v>258</v>
      </c>
      <c r="C255">
        <v>1051</v>
      </c>
      <c r="D255" t="str">
        <f>VLOOKUP(B255,ZoneTable,2,FALSE)</f>
        <v>Queens</v>
      </c>
      <c r="E255" t="str">
        <f>VLOOKUP(B255,ZoneTable,3,FALSE)</f>
        <v>Woodhaven</v>
      </c>
      <c r="F255" t="str">
        <f>IF(OR(B255=1,B255=132,B255=138),"Airports",D255)</f>
        <v>Queens</v>
      </c>
    </row>
    <row r="256" spans="1:6">
      <c r="A256" s="33">
        <v>42005</v>
      </c>
      <c r="B256">
        <v>259</v>
      </c>
      <c r="C256">
        <v>412</v>
      </c>
      <c r="D256" t="str">
        <f>VLOOKUP(B256,ZoneTable,2,FALSE)</f>
        <v>Bronx</v>
      </c>
      <c r="E256" t="str">
        <f>VLOOKUP(B256,ZoneTable,3,FALSE)</f>
        <v>Woodlawn/Wakefield</v>
      </c>
      <c r="F256" t="str">
        <f>IF(OR(B256=1,B256=132,B256=138),"Airports",D256)</f>
        <v>Bronx</v>
      </c>
    </row>
    <row r="257" spans="1:6">
      <c r="A257" s="33">
        <v>42005</v>
      </c>
      <c r="B257">
        <v>260</v>
      </c>
      <c r="C257">
        <v>2270</v>
      </c>
      <c r="D257" t="str">
        <f>VLOOKUP(B257,ZoneTable,2,FALSE)</f>
        <v>Queens</v>
      </c>
      <c r="E257" t="str">
        <f>VLOOKUP(B257,ZoneTable,3,FALSE)</f>
        <v>Woodside</v>
      </c>
      <c r="F257" t="str">
        <f>IF(OR(B257=1,B257=132,B257=138),"Airports",D257)</f>
        <v>Queens</v>
      </c>
    </row>
    <row r="258" spans="1:6">
      <c r="A258" s="33">
        <v>42005</v>
      </c>
      <c r="B258">
        <v>261</v>
      </c>
      <c r="C258">
        <v>8626</v>
      </c>
      <c r="D258" t="str">
        <f>VLOOKUP(B258,ZoneTable,2,FALSE)</f>
        <v>Manhattan</v>
      </c>
      <c r="E258" t="str">
        <f>VLOOKUP(B258,ZoneTable,3,FALSE)</f>
        <v>World Trade Center</v>
      </c>
      <c r="F258" t="str">
        <f>IF(OR(B258=1,B258=132,B258=138),"Airports",D258)</f>
        <v>Manhattan</v>
      </c>
    </row>
    <row r="259" spans="1:6">
      <c r="A259" s="33">
        <v>42005</v>
      </c>
      <c r="B259">
        <v>262</v>
      </c>
      <c r="C259">
        <v>16334</v>
      </c>
      <c r="D259" t="str">
        <f>VLOOKUP(B259,ZoneTable,2,FALSE)</f>
        <v>Manhattan</v>
      </c>
      <c r="E259" t="str">
        <f>VLOOKUP(B259,ZoneTable,3,FALSE)</f>
        <v>Yorkville East</v>
      </c>
      <c r="F259" t="str">
        <f>IF(OR(B259=1,B259=132,B259=138),"Airports",D259)</f>
        <v>Manhattan</v>
      </c>
    </row>
    <row r="260" spans="1:6">
      <c r="A260" s="33">
        <v>42005</v>
      </c>
      <c r="B260">
        <v>263</v>
      </c>
      <c r="C260">
        <v>20121</v>
      </c>
      <c r="D260" t="str">
        <f>VLOOKUP(B260,ZoneTable,2,FALSE)</f>
        <v>Manhattan</v>
      </c>
      <c r="E260" t="str">
        <f>VLOOKUP(B260,ZoneTable,3,FALSE)</f>
        <v>Yorkville West</v>
      </c>
      <c r="F260" t="str">
        <f>IF(OR(B260=1,B260=132,B260=138),"Airports",D260)</f>
        <v>Manhattan</v>
      </c>
    </row>
    <row r="261" spans="1:6">
      <c r="A261" s="33">
        <v>42005</v>
      </c>
      <c r="B261">
        <v>264</v>
      </c>
      <c r="C261">
        <v>3</v>
      </c>
      <c r="D261" t="str">
        <f>VLOOKUP(B261,ZoneTable,2,FALSE)</f>
        <v>Unknown</v>
      </c>
      <c r="E261" t="str">
        <f>VLOOKUP(B261,ZoneTable,3,FALSE)</f>
        <v>Unknown</v>
      </c>
      <c r="F261" t="str">
        <f>IF(OR(B261=1,B261=132,B261=138),"Airports",D261)</f>
        <v>Unknown</v>
      </c>
    </row>
    <row r="262" spans="1:6">
      <c r="A262" s="33">
        <v>42005</v>
      </c>
      <c r="B262">
        <v>265</v>
      </c>
      <c r="C262">
        <v>749</v>
      </c>
      <c r="D262" t="str">
        <f>VLOOKUP(B262,ZoneTable,2,FALSE)</f>
        <v>Unknown</v>
      </c>
      <c r="E262" t="str">
        <f>VLOOKUP(B262,ZoneTable,3,FALSE)</f>
        <v>Unknown</v>
      </c>
      <c r="F262" t="str">
        <f>IF(OR(B262=1,B262=132,B262=138),"Airports",D262)</f>
        <v>Unknown</v>
      </c>
    </row>
    <row r="263" spans="1:6">
      <c r="A263" s="33">
        <v>42036</v>
      </c>
      <c r="B263">
        <v>1</v>
      </c>
      <c r="C263">
        <v>14</v>
      </c>
      <c r="D263" t="str">
        <f>VLOOKUP(B263,ZoneTable,2,FALSE)</f>
        <v>EWR</v>
      </c>
      <c r="E263" t="str">
        <f>VLOOKUP(B263,ZoneTable,3,FALSE)</f>
        <v>Newark Airport</v>
      </c>
      <c r="F263" t="str">
        <f>IF(OR(B263=1,B263=132,B263=138),"Airports",D263)</f>
        <v>Airports</v>
      </c>
    </row>
    <row r="264" spans="1:6">
      <c r="A264" s="33">
        <v>42036</v>
      </c>
      <c r="B264">
        <v>2</v>
      </c>
      <c r="C264">
        <v>1</v>
      </c>
      <c r="D264" t="str">
        <f>VLOOKUP(B264,ZoneTable,2,FALSE)</f>
        <v>Queens</v>
      </c>
      <c r="E264" t="str">
        <f>VLOOKUP(B264,ZoneTable,3,FALSE)</f>
        <v>Jamaica Bay</v>
      </c>
      <c r="F264" t="str">
        <f>IF(OR(B264=1,B264=132,B264=138),"Airports",D264)</f>
        <v>Queens</v>
      </c>
    </row>
    <row r="265" spans="1:6">
      <c r="A265" s="33">
        <v>42036</v>
      </c>
      <c r="B265">
        <v>3</v>
      </c>
      <c r="C265">
        <v>486</v>
      </c>
      <c r="D265" t="str">
        <f>VLOOKUP(B265,ZoneTable,2,FALSE)</f>
        <v>Bronx</v>
      </c>
      <c r="E265" t="str">
        <f>VLOOKUP(B265,ZoneTable,3,FALSE)</f>
        <v>Allerton/Pelham Gardens</v>
      </c>
      <c r="F265" t="str">
        <f>IF(OR(B265=1,B265=132,B265=138),"Airports",D265)</f>
        <v>Bronx</v>
      </c>
    </row>
    <row r="266" spans="1:6">
      <c r="A266" s="33">
        <v>42036</v>
      </c>
      <c r="B266">
        <v>4</v>
      </c>
      <c r="C266">
        <v>13595</v>
      </c>
      <c r="D266" t="str">
        <f>VLOOKUP(B266,ZoneTable,2,FALSE)</f>
        <v>Manhattan</v>
      </c>
      <c r="E266" t="str">
        <f>VLOOKUP(B266,ZoneTable,3,FALSE)</f>
        <v>Alphabet City</v>
      </c>
      <c r="F266" t="str">
        <f>IF(OR(B266=1,B266=132,B266=138),"Airports",D266)</f>
        <v>Manhattan</v>
      </c>
    </row>
    <row r="267" spans="1:6">
      <c r="A267" s="33">
        <v>42036</v>
      </c>
      <c r="B267">
        <v>6</v>
      </c>
      <c r="C267">
        <v>84</v>
      </c>
      <c r="D267" t="str">
        <f>VLOOKUP(B267,ZoneTable,2,FALSE)</f>
        <v>Staten Island</v>
      </c>
      <c r="E267" t="str">
        <f>VLOOKUP(B267,ZoneTable,3,FALSE)</f>
        <v>Arrochar/Fort Wadsworth</v>
      </c>
      <c r="F267" t="str">
        <f>IF(OR(B267=1,B267=132,B267=138),"Airports",D267)</f>
        <v>Staten Island</v>
      </c>
    </row>
    <row r="268" spans="1:6">
      <c r="A268" s="33">
        <v>42036</v>
      </c>
      <c r="B268">
        <v>7</v>
      </c>
      <c r="C268">
        <v>14272</v>
      </c>
      <c r="D268" t="str">
        <f>VLOOKUP(B268,ZoneTable,2,FALSE)</f>
        <v>Queens</v>
      </c>
      <c r="E268" t="str">
        <f>VLOOKUP(B268,ZoneTable,3,FALSE)</f>
        <v>Astoria</v>
      </c>
      <c r="F268" t="str">
        <f>IF(OR(B268=1,B268=132,B268=138),"Airports",D268)</f>
        <v>Queens</v>
      </c>
    </row>
    <row r="269" spans="1:6">
      <c r="A269" s="33">
        <v>42036</v>
      </c>
      <c r="B269">
        <v>8</v>
      </c>
      <c r="C269">
        <v>32</v>
      </c>
      <c r="D269" t="str">
        <f>VLOOKUP(B269,ZoneTable,2,FALSE)</f>
        <v>Queens</v>
      </c>
      <c r="E269" t="str">
        <f>VLOOKUP(B269,ZoneTable,3,FALSE)</f>
        <v>Astoria Park</v>
      </c>
      <c r="F269" t="str">
        <f>IF(OR(B269=1,B269=132,B269=138),"Airports",D269)</f>
        <v>Queens</v>
      </c>
    </row>
    <row r="270" spans="1:6">
      <c r="A270" s="33">
        <v>42036</v>
      </c>
      <c r="B270">
        <v>9</v>
      </c>
      <c r="C270">
        <v>420</v>
      </c>
      <c r="D270" t="str">
        <f>VLOOKUP(B270,ZoneTable,2,FALSE)</f>
        <v>Queens</v>
      </c>
      <c r="E270" t="str">
        <f>VLOOKUP(B270,ZoneTable,3,FALSE)</f>
        <v>Auburndale</v>
      </c>
      <c r="F270" t="str">
        <f>IF(OR(B270=1,B270=132,B270=138),"Airports",D270)</f>
        <v>Queens</v>
      </c>
    </row>
    <row r="271" spans="1:6">
      <c r="A271" s="33">
        <v>42036</v>
      </c>
      <c r="B271">
        <v>10</v>
      </c>
      <c r="C271">
        <v>780</v>
      </c>
      <c r="D271" t="str">
        <f>VLOOKUP(B271,ZoneTable,2,FALSE)</f>
        <v>Queens</v>
      </c>
      <c r="E271" t="str">
        <f>VLOOKUP(B271,ZoneTable,3,FALSE)</f>
        <v>Baisley Park</v>
      </c>
      <c r="F271" t="str">
        <f>IF(OR(B271=1,B271=132,B271=138),"Airports",D271)</f>
        <v>Queens</v>
      </c>
    </row>
    <row r="272" spans="1:6">
      <c r="A272" s="33">
        <v>42036</v>
      </c>
      <c r="B272">
        <v>11</v>
      </c>
      <c r="C272">
        <v>543</v>
      </c>
      <c r="D272" t="str">
        <f>VLOOKUP(B272,ZoneTable,2,FALSE)</f>
        <v>Brooklyn</v>
      </c>
      <c r="E272" t="str">
        <f>VLOOKUP(B272,ZoneTable,3,FALSE)</f>
        <v>Bath Beach</v>
      </c>
      <c r="F272" t="str">
        <f>IF(OR(B272=1,B272=132,B272=138),"Airports",D272)</f>
        <v>Brooklyn</v>
      </c>
    </row>
    <row r="273" spans="1:6">
      <c r="A273" s="33">
        <v>42036</v>
      </c>
      <c r="B273">
        <v>12</v>
      </c>
      <c r="C273">
        <v>244</v>
      </c>
      <c r="D273" t="str">
        <f>VLOOKUP(B273,ZoneTable,2,FALSE)</f>
        <v>Manhattan</v>
      </c>
      <c r="E273" t="str">
        <f>VLOOKUP(B273,ZoneTable,3,FALSE)</f>
        <v>Battery Park</v>
      </c>
      <c r="F273" t="str">
        <f>IF(OR(B273=1,B273=132,B273=138),"Airports",D273)</f>
        <v>Manhattan</v>
      </c>
    </row>
    <row r="274" spans="1:6">
      <c r="A274" s="33">
        <v>42036</v>
      </c>
      <c r="B274">
        <v>13</v>
      </c>
      <c r="C274">
        <v>21617</v>
      </c>
      <c r="D274" t="str">
        <f>VLOOKUP(B274,ZoneTable,2,FALSE)</f>
        <v>Manhattan</v>
      </c>
      <c r="E274" t="str">
        <f>VLOOKUP(B274,ZoneTable,3,FALSE)</f>
        <v>Battery Park City</v>
      </c>
      <c r="F274" t="str">
        <f>IF(OR(B274=1,B274=132,B274=138),"Airports",D274)</f>
        <v>Manhattan</v>
      </c>
    </row>
    <row r="275" spans="1:6">
      <c r="A275" s="33">
        <v>42036</v>
      </c>
      <c r="B275">
        <v>14</v>
      </c>
      <c r="C275">
        <v>4960</v>
      </c>
      <c r="D275" t="str">
        <f>VLOOKUP(B275,ZoneTable,2,FALSE)</f>
        <v>Brooklyn</v>
      </c>
      <c r="E275" t="str">
        <f>VLOOKUP(B275,ZoneTable,3,FALSE)</f>
        <v>Bay Ridge</v>
      </c>
      <c r="F275" t="str">
        <f>IF(OR(B275=1,B275=132,B275=138),"Airports",D275)</f>
        <v>Brooklyn</v>
      </c>
    </row>
    <row r="276" spans="1:6">
      <c r="A276" s="33">
        <v>42036</v>
      </c>
      <c r="B276">
        <v>15</v>
      </c>
      <c r="C276">
        <v>435</v>
      </c>
      <c r="D276" t="str">
        <f>VLOOKUP(B276,ZoneTable,2,FALSE)</f>
        <v>Queens</v>
      </c>
      <c r="E276" t="str">
        <f>VLOOKUP(B276,ZoneTable,3,FALSE)</f>
        <v>Bay Terrace/Fort Totten</v>
      </c>
      <c r="F276" t="str">
        <f>IF(OR(B276=1,B276=132,B276=138),"Airports",D276)</f>
        <v>Queens</v>
      </c>
    </row>
    <row r="277" spans="1:6">
      <c r="A277" s="33">
        <v>42036</v>
      </c>
      <c r="B277">
        <v>16</v>
      </c>
      <c r="C277">
        <v>1162</v>
      </c>
      <c r="D277" t="str">
        <f>VLOOKUP(B277,ZoneTable,2,FALSE)</f>
        <v>Queens</v>
      </c>
      <c r="E277" t="str">
        <f>VLOOKUP(B277,ZoneTable,3,FALSE)</f>
        <v>Bayside</v>
      </c>
      <c r="F277" t="str">
        <f>IF(OR(B277=1,B277=132,B277=138),"Airports",D277)</f>
        <v>Queens</v>
      </c>
    </row>
    <row r="278" spans="1:6">
      <c r="A278" s="33">
        <v>42036</v>
      </c>
      <c r="B278">
        <v>17</v>
      </c>
      <c r="C278">
        <v>11421</v>
      </c>
      <c r="D278" t="str">
        <f>VLOOKUP(B278,ZoneTable,2,FALSE)</f>
        <v>Brooklyn</v>
      </c>
      <c r="E278" t="str">
        <f>VLOOKUP(B278,ZoneTable,3,FALSE)</f>
        <v>Bedford</v>
      </c>
      <c r="F278" t="str">
        <f>IF(OR(B278=1,B278=132,B278=138),"Airports",D278)</f>
        <v>Brooklyn</v>
      </c>
    </row>
    <row r="279" spans="1:6">
      <c r="A279" s="33">
        <v>42036</v>
      </c>
      <c r="B279">
        <v>18</v>
      </c>
      <c r="C279">
        <v>963</v>
      </c>
      <c r="D279" t="str">
        <f>VLOOKUP(B279,ZoneTable,2,FALSE)</f>
        <v>Bronx</v>
      </c>
      <c r="E279" t="str">
        <f>VLOOKUP(B279,ZoneTable,3,FALSE)</f>
        <v>Bedford Park</v>
      </c>
      <c r="F279" t="str">
        <f>IF(OR(B279=1,B279=132,B279=138),"Airports",D279)</f>
        <v>Bronx</v>
      </c>
    </row>
    <row r="280" spans="1:6">
      <c r="A280" s="33">
        <v>42036</v>
      </c>
      <c r="B280">
        <v>19</v>
      </c>
      <c r="C280">
        <v>374</v>
      </c>
      <c r="D280" t="str">
        <f>VLOOKUP(B280,ZoneTable,2,FALSE)</f>
        <v>Queens</v>
      </c>
      <c r="E280" t="str">
        <f>VLOOKUP(B280,ZoneTable,3,FALSE)</f>
        <v>Bellerose</v>
      </c>
      <c r="F280" t="str">
        <f>IF(OR(B280=1,B280=132,B280=138),"Airports",D280)</f>
        <v>Queens</v>
      </c>
    </row>
    <row r="281" spans="1:6">
      <c r="A281" s="33">
        <v>42036</v>
      </c>
      <c r="B281">
        <v>20</v>
      </c>
      <c r="C281">
        <v>1165</v>
      </c>
      <c r="D281" t="str">
        <f>VLOOKUP(B281,ZoneTable,2,FALSE)</f>
        <v>Bronx</v>
      </c>
      <c r="E281" t="str">
        <f>VLOOKUP(B281,ZoneTable,3,FALSE)</f>
        <v>Belmont</v>
      </c>
      <c r="F281" t="str">
        <f>IF(OR(B281=1,B281=132,B281=138),"Airports",D281)</f>
        <v>Bronx</v>
      </c>
    </row>
    <row r="282" spans="1:6">
      <c r="A282" s="33">
        <v>42036</v>
      </c>
      <c r="B282">
        <v>21</v>
      </c>
      <c r="C282">
        <v>1229</v>
      </c>
      <c r="D282" t="str">
        <f>VLOOKUP(B282,ZoneTable,2,FALSE)</f>
        <v>Brooklyn</v>
      </c>
      <c r="E282" t="str">
        <f>VLOOKUP(B282,ZoneTable,3,FALSE)</f>
        <v>Bensonhurst East</v>
      </c>
      <c r="F282" t="str">
        <f>IF(OR(B282=1,B282=132,B282=138),"Airports",D282)</f>
        <v>Brooklyn</v>
      </c>
    </row>
    <row r="283" spans="1:6">
      <c r="A283" s="33">
        <v>42036</v>
      </c>
      <c r="B283">
        <v>22</v>
      </c>
      <c r="C283">
        <v>1501</v>
      </c>
      <c r="D283" t="str">
        <f>VLOOKUP(B283,ZoneTable,2,FALSE)</f>
        <v>Brooklyn</v>
      </c>
      <c r="E283" t="str">
        <f>VLOOKUP(B283,ZoneTable,3,FALSE)</f>
        <v>Bensonhurst West</v>
      </c>
      <c r="F283" t="str">
        <f>IF(OR(B283=1,B283=132,B283=138),"Airports",D283)</f>
        <v>Brooklyn</v>
      </c>
    </row>
    <row r="284" spans="1:6">
      <c r="A284" s="33">
        <v>42036</v>
      </c>
      <c r="B284">
        <v>23</v>
      </c>
      <c r="C284">
        <v>123</v>
      </c>
      <c r="D284" t="str">
        <f>VLOOKUP(B284,ZoneTable,2,FALSE)</f>
        <v>Staten Island</v>
      </c>
      <c r="E284" t="str">
        <f>VLOOKUP(B284,ZoneTable,3,FALSE)</f>
        <v>Bloomfield/Emerson Hill</v>
      </c>
      <c r="F284" t="str">
        <f>IF(OR(B284=1,B284=132,B284=138),"Airports",D284)</f>
        <v>Staten Island</v>
      </c>
    </row>
    <row r="285" spans="1:6">
      <c r="A285" s="33">
        <v>42036</v>
      </c>
      <c r="B285">
        <v>24</v>
      </c>
      <c r="C285">
        <v>3663</v>
      </c>
      <c r="D285" t="str">
        <f>VLOOKUP(B285,ZoneTable,2,FALSE)</f>
        <v>Manhattan</v>
      </c>
      <c r="E285" t="str">
        <f>VLOOKUP(B285,ZoneTable,3,FALSE)</f>
        <v>Bloomingdale</v>
      </c>
      <c r="F285" t="str">
        <f>IF(OR(B285=1,B285=132,B285=138),"Airports",D285)</f>
        <v>Manhattan</v>
      </c>
    </row>
    <row r="286" spans="1:6">
      <c r="A286" s="33">
        <v>42036</v>
      </c>
      <c r="B286">
        <v>25</v>
      </c>
      <c r="C286">
        <v>10342</v>
      </c>
      <c r="D286" t="str">
        <f>VLOOKUP(B286,ZoneTable,2,FALSE)</f>
        <v>Brooklyn</v>
      </c>
      <c r="E286" t="str">
        <f>VLOOKUP(B286,ZoneTable,3,FALSE)</f>
        <v>Boerum Hill</v>
      </c>
      <c r="F286" t="str">
        <f>IF(OR(B286=1,B286=132,B286=138),"Airports",D286)</f>
        <v>Brooklyn</v>
      </c>
    </row>
    <row r="287" spans="1:6">
      <c r="A287" s="33">
        <v>42036</v>
      </c>
      <c r="B287">
        <v>26</v>
      </c>
      <c r="C287">
        <v>2373</v>
      </c>
      <c r="D287" t="str">
        <f>VLOOKUP(B287,ZoneTable,2,FALSE)</f>
        <v>Brooklyn</v>
      </c>
      <c r="E287" t="str">
        <f>VLOOKUP(B287,ZoneTable,3,FALSE)</f>
        <v>Borough Park</v>
      </c>
      <c r="F287" t="str">
        <f>IF(OR(B287=1,B287=132,B287=138),"Airports",D287)</f>
        <v>Brooklyn</v>
      </c>
    </row>
    <row r="288" spans="1:6">
      <c r="A288" s="33">
        <v>42036</v>
      </c>
      <c r="B288">
        <v>27</v>
      </c>
      <c r="C288">
        <v>2</v>
      </c>
      <c r="D288" t="str">
        <f>VLOOKUP(B288,ZoneTable,2,FALSE)</f>
        <v>Queens</v>
      </c>
      <c r="E288" t="str">
        <f>VLOOKUP(B288,ZoneTable,3,FALSE)</f>
        <v>Breezy Point/Fort Tilden/Riis Beach</v>
      </c>
      <c r="F288" t="str">
        <f>IF(OR(B288=1,B288=132,B288=138),"Airports",D288)</f>
        <v>Queens</v>
      </c>
    </row>
    <row r="289" spans="1:6">
      <c r="A289" s="33">
        <v>42036</v>
      </c>
      <c r="B289">
        <v>28</v>
      </c>
      <c r="C289">
        <v>1762</v>
      </c>
      <c r="D289" t="str">
        <f>VLOOKUP(B289,ZoneTable,2,FALSE)</f>
        <v>Queens</v>
      </c>
      <c r="E289" t="str">
        <f>VLOOKUP(B289,ZoneTable,3,FALSE)</f>
        <v>Briarwood/Jamaica Hills</v>
      </c>
      <c r="F289" t="str">
        <f>IF(OR(B289=1,B289=132,B289=138),"Airports",D289)</f>
        <v>Queens</v>
      </c>
    </row>
    <row r="290" spans="1:6">
      <c r="A290" s="33">
        <v>42036</v>
      </c>
      <c r="B290">
        <v>29</v>
      </c>
      <c r="C290">
        <v>596</v>
      </c>
      <c r="D290" t="str">
        <f>VLOOKUP(B290,ZoneTable,2,FALSE)</f>
        <v>Brooklyn</v>
      </c>
      <c r="E290" t="str">
        <f>VLOOKUP(B290,ZoneTable,3,FALSE)</f>
        <v>Brighton Beach</v>
      </c>
      <c r="F290" t="str">
        <f>IF(OR(B290=1,B290=132,B290=138),"Airports",D290)</f>
        <v>Brooklyn</v>
      </c>
    </row>
    <row r="291" spans="1:6">
      <c r="A291" s="33">
        <v>42036</v>
      </c>
      <c r="B291">
        <v>30</v>
      </c>
      <c r="C291">
        <v>10</v>
      </c>
      <c r="D291" t="str">
        <f>VLOOKUP(B291,ZoneTable,2,FALSE)</f>
        <v>Queens</v>
      </c>
      <c r="E291" t="str">
        <f>VLOOKUP(B291,ZoneTable,3,FALSE)</f>
        <v>Broad Channel</v>
      </c>
      <c r="F291" t="str">
        <f>IF(OR(B291=1,B291=132,B291=138),"Airports",D291)</f>
        <v>Queens</v>
      </c>
    </row>
    <row r="292" spans="1:6">
      <c r="A292" s="33">
        <v>42036</v>
      </c>
      <c r="B292">
        <v>31</v>
      </c>
      <c r="C292">
        <v>66</v>
      </c>
      <c r="D292" t="str">
        <f>VLOOKUP(B292,ZoneTable,2,FALSE)</f>
        <v>Bronx</v>
      </c>
      <c r="E292" t="str">
        <f>VLOOKUP(B292,ZoneTable,3,FALSE)</f>
        <v>Bronx Park</v>
      </c>
      <c r="F292" t="str">
        <f>IF(OR(B292=1,B292=132,B292=138),"Airports",D292)</f>
        <v>Bronx</v>
      </c>
    </row>
    <row r="293" spans="1:6">
      <c r="A293" s="33">
        <v>42036</v>
      </c>
      <c r="B293">
        <v>32</v>
      </c>
      <c r="C293">
        <v>522</v>
      </c>
      <c r="D293" t="str">
        <f>VLOOKUP(B293,ZoneTable,2,FALSE)</f>
        <v>Bronx</v>
      </c>
      <c r="E293" t="str">
        <f>VLOOKUP(B293,ZoneTable,3,FALSE)</f>
        <v>Bronxdale</v>
      </c>
      <c r="F293" t="str">
        <f>IF(OR(B293=1,B293=132,B293=138),"Airports",D293)</f>
        <v>Bronx</v>
      </c>
    </row>
    <row r="294" spans="1:6">
      <c r="A294" s="33">
        <v>42036</v>
      </c>
      <c r="B294">
        <v>33</v>
      </c>
      <c r="C294">
        <v>11015</v>
      </c>
      <c r="D294" t="str">
        <f>VLOOKUP(B294,ZoneTable,2,FALSE)</f>
        <v>Brooklyn</v>
      </c>
      <c r="E294" t="str">
        <f>VLOOKUP(B294,ZoneTable,3,FALSE)</f>
        <v>Brooklyn Heights</v>
      </c>
      <c r="F294" t="str">
        <f>IF(OR(B294=1,B294=132,B294=138),"Airports",D294)</f>
        <v>Brooklyn</v>
      </c>
    </row>
    <row r="295" spans="1:6">
      <c r="A295" s="33">
        <v>42036</v>
      </c>
      <c r="B295">
        <v>34</v>
      </c>
      <c r="C295">
        <v>1556</v>
      </c>
      <c r="D295" t="str">
        <f>VLOOKUP(B295,ZoneTable,2,FALSE)</f>
        <v>Brooklyn</v>
      </c>
      <c r="E295" t="str">
        <f>VLOOKUP(B295,ZoneTable,3,FALSE)</f>
        <v>Brooklyn Navy Yard</v>
      </c>
      <c r="F295" t="str">
        <f>IF(OR(B295=1,B295=132,B295=138),"Airports",D295)</f>
        <v>Brooklyn</v>
      </c>
    </row>
    <row r="296" spans="1:6">
      <c r="A296" s="33">
        <v>42036</v>
      </c>
      <c r="B296">
        <v>35</v>
      </c>
      <c r="C296">
        <v>1315</v>
      </c>
      <c r="D296" t="str">
        <f>VLOOKUP(B296,ZoneTable,2,FALSE)</f>
        <v>Brooklyn</v>
      </c>
      <c r="E296" t="str">
        <f>VLOOKUP(B296,ZoneTable,3,FALSE)</f>
        <v>Brownsville</v>
      </c>
      <c r="F296" t="str">
        <f>IF(OR(B296=1,B296=132,B296=138),"Airports",D296)</f>
        <v>Brooklyn</v>
      </c>
    </row>
    <row r="297" spans="1:6">
      <c r="A297" s="33">
        <v>42036</v>
      </c>
      <c r="B297">
        <v>36</v>
      </c>
      <c r="C297">
        <v>10223</v>
      </c>
      <c r="D297" t="str">
        <f>VLOOKUP(B297,ZoneTable,2,FALSE)</f>
        <v>Brooklyn</v>
      </c>
      <c r="E297" t="str">
        <f>VLOOKUP(B297,ZoneTable,3,FALSE)</f>
        <v>Bushwick North</v>
      </c>
      <c r="F297" t="str">
        <f>IF(OR(B297=1,B297=132,B297=138),"Airports",D297)</f>
        <v>Brooklyn</v>
      </c>
    </row>
    <row r="298" spans="1:6">
      <c r="A298" s="33">
        <v>42036</v>
      </c>
      <c r="B298">
        <v>37</v>
      </c>
      <c r="C298">
        <v>14574</v>
      </c>
      <c r="D298" t="str">
        <f>VLOOKUP(B298,ZoneTable,2,FALSE)</f>
        <v>Brooklyn</v>
      </c>
      <c r="E298" t="str">
        <f>VLOOKUP(B298,ZoneTable,3,FALSE)</f>
        <v>Bushwick South</v>
      </c>
      <c r="F298" t="str">
        <f>IF(OR(B298=1,B298=132,B298=138),"Airports",D298)</f>
        <v>Brooklyn</v>
      </c>
    </row>
    <row r="299" spans="1:6">
      <c r="A299" s="33">
        <v>42036</v>
      </c>
      <c r="B299">
        <v>38</v>
      </c>
      <c r="C299">
        <v>306</v>
      </c>
      <c r="D299" t="str">
        <f>VLOOKUP(B299,ZoneTable,2,FALSE)</f>
        <v>Queens</v>
      </c>
      <c r="E299" t="str">
        <f>VLOOKUP(B299,ZoneTable,3,FALSE)</f>
        <v>Cambria Heights</v>
      </c>
      <c r="F299" t="str">
        <f>IF(OR(B299=1,B299=132,B299=138),"Airports",D299)</f>
        <v>Queens</v>
      </c>
    </row>
    <row r="300" spans="1:6">
      <c r="A300" s="33">
        <v>42036</v>
      </c>
      <c r="B300">
        <v>39</v>
      </c>
      <c r="C300">
        <v>1988</v>
      </c>
      <c r="D300" t="str">
        <f>VLOOKUP(B300,ZoneTable,2,FALSE)</f>
        <v>Brooklyn</v>
      </c>
      <c r="E300" t="str">
        <f>VLOOKUP(B300,ZoneTable,3,FALSE)</f>
        <v>Canarsie</v>
      </c>
      <c r="F300" t="str">
        <f>IF(OR(B300=1,B300=132,B300=138),"Airports",D300)</f>
        <v>Brooklyn</v>
      </c>
    </row>
    <row r="301" spans="1:6">
      <c r="A301" s="33">
        <v>42036</v>
      </c>
      <c r="B301">
        <v>40</v>
      </c>
      <c r="C301">
        <v>6486</v>
      </c>
      <c r="D301" t="str">
        <f>VLOOKUP(B301,ZoneTable,2,FALSE)</f>
        <v>Brooklyn</v>
      </c>
      <c r="E301" t="str">
        <f>VLOOKUP(B301,ZoneTable,3,FALSE)</f>
        <v>Carroll Gardens</v>
      </c>
      <c r="F301" t="str">
        <f>IF(OR(B301=1,B301=132,B301=138),"Airports",D301)</f>
        <v>Brooklyn</v>
      </c>
    </row>
    <row r="302" spans="1:6">
      <c r="A302" s="33">
        <v>42036</v>
      </c>
      <c r="B302">
        <v>41</v>
      </c>
      <c r="C302">
        <v>9636</v>
      </c>
      <c r="D302" t="str">
        <f>VLOOKUP(B302,ZoneTable,2,FALSE)</f>
        <v>Manhattan</v>
      </c>
      <c r="E302" t="str">
        <f>VLOOKUP(B302,ZoneTable,3,FALSE)</f>
        <v>Central Harlem</v>
      </c>
      <c r="F302" t="str">
        <f>IF(OR(B302=1,B302=132,B302=138),"Airports",D302)</f>
        <v>Manhattan</v>
      </c>
    </row>
    <row r="303" spans="1:6">
      <c r="A303" s="33">
        <v>42036</v>
      </c>
      <c r="B303">
        <v>42</v>
      </c>
      <c r="C303">
        <v>9499</v>
      </c>
      <c r="D303" t="str">
        <f>VLOOKUP(B303,ZoneTable,2,FALSE)</f>
        <v>Manhattan</v>
      </c>
      <c r="E303" t="str">
        <f>VLOOKUP(B303,ZoneTable,3,FALSE)</f>
        <v>Central Harlem North</v>
      </c>
      <c r="F303" t="str">
        <f>IF(OR(B303=1,B303=132,B303=138),"Airports",D303)</f>
        <v>Manhattan</v>
      </c>
    </row>
    <row r="304" spans="1:6">
      <c r="A304" s="33">
        <v>42036</v>
      </c>
      <c r="B304">
        <v>43</v>
      </c>
      <c r="C304">
        <v>6378</v>
      </c>
      <c r="D304" t="str">
        <f>VLOOKUP(B304,ZoneTable,2,FALSE)</f>
        <v>Manhattan</v>
      </c>
      <c r="E304" t="str">
        <f>VLOOKUP(B304,ZoneTable,3,FALSE)</f>
        <v>Central Park</v>
      </c>
      <c r="F304" t="str">
        <f>IF(OR(B304=1,B304=132,B304=138),"Airports",D304)</f>
        <v>Manhattan</v>
      </c>
    </row>
    <row r="305" spans="1:6">
      <c r="A305" s="33">
        <v>42036</v>
      </c>
      <c r="B305">
        <v>44</v>
      </c>
      <c r="C305">
        <v>3</v>
      </c>
      <c r="D305" t="str">
        <f>VLOOKUP(B305,ZoneTable,2,FALSE)</f>
        <v>Staten Island</v>
      </c>
      <c r="E305" t="str">
        <f>VLOOKUP(B305,ZoneTable,3,FALSE)</f>
        <v>Charleston/Tottenville</v>
      </c>
      <c r="F305" t="str">
        <f>IF(OR(B305=1,B305=132,B305=138),"Airports",D305)</f>
        <v>Staten Island</v>
      </c>
    </row>
    <row r="306" spans="1:6">
      <c r="A306" s="33">
        <v>42036</v>
      </c>
      <c r="B306">
        <v>45</v>
      </c>
      <c r="C306">
        <v>6762</v>
      </c>
      <c r="D306" t="str">
        <f>VLOOKUP(B306,ZoneTable,2,FALSE)</f>
        <v>Manhattan</v>
      </c>
      <c r="E306" t="str">
        <f>VLOOKUP(B306,ZoneTable,3,FALSE)</f>
        <v>Chinatown</v>
      </c>
      <c r="F306" t="str">
        <f>IF(OR(B306=1,B306=132,B306=138),"Airports",D306)</f>
        <v>Manhattan</v>
      </c>
    </row>
    <row r="307" spans="1:6">
      <c r="A307" s="33">
        <v>42036</v>
      </c>
      <c r="B307">
        <v>46</v>
      </c>
      <c r="C307">
        <v>36</v>
      </c>
      <c r="D307" t="str">
        <f>VLOOKUP(B307,ZoneTable,2,FALSE)</f>
        <v>Bronx</v>
      </c>
      <c r="E307" t="str">
        <f>VLOOKUP(B307,ZoneTable,3,FALSE)</f>
        <v>City Island</v>
      </c>
      <c r="F307" t="str">
        <f>IF(OR(B307=1,B307=132,B307=138),"Airports",D307)</f>
        <v>Bronx</v>
      </c>
    </row>
    <row r="308" spans="1:6">
      <c r="A308" s="33">
        <v>42036</v>
      </c>
      <c r="B308">
        <v>47</v>
      </c>
      <c r="C308">
        <v>590</v>
      </c>
      <c r="D308" t="str">
        <f>VLOOKUP(B308,ZoneTable,2,FALSE)</f>
        <v>Bronx</v>
      </c>
      <c r="E308" t="str">
        <f>VLOOKUP(B308,ZoneTable,3,FALSE)</f>
        <v>Claremont/Bathgate</v>
      </c>
      <c r="F308" t="str">
        <f>IF(OR(B308=1,B308=132,B308=138),"Airports",D308)</f>
        <v>Bronx</v>
      </c>
    </row>
    <row r="309" spans="1:6">
      <c r="A309" s="33">
        <v>42036</v>
      </c>
      <c r="B309">
        <v>48</v>
      </c>
      <c r="C309">
        <v>40383</v>
      </c>
      <c r="D309" t="str">
        <f>VLOOKUP(B309,ZoneTable,2,FALSE)</f>
        <v>Manhattan</v>
      </c>
      <c r="E309" t="str">
        <f>VLOOKUP(B309,ZoneTable,3,FALSE)</f>
        <v>Clinton East</v>
      </c>
      <c r="F309" t="str">
        <f>IF(OR(B309=1,B309=132,B309=138),"Airports",D309)</f>
        <v>Manhattan</v>
      </c>
    </row>
    <row r="310" spans="1:6">
      <c r="A310" s="33">
        <v>42036</v>
      </c>
      <c r="B310">
        <v>49</v>
      </c>
      <c r="C310">
        <v>13331</v>
      </c>
      <c r="D310" t="str">
        <f>VLOOKUP(B310,ZoneTable,2,FALSE)</f>
        <v>Brooklyn</v>
      </c>
      <c r="E310" t="str">
        <f>VLOOKUP(B310,ZoneTable,3,FALSE)</f>
        <v>Clinton Hill</v>
      </c>
      <c r="F310" t="str">
        <f>IF(OR(B310=1,B310=132,B310=138),"Airports",D310)</f>
        <v>Brooklyn</v>
      </c>
    </row>
    <row r="311" spans="1:6">
      <c r="A311" s="33">
        <v>42036</v>
      </c>
      <c r="B311">
        <v>50</v>
      </c>
      <c r="C311">
        <v>22073</v>
      </c>
      <c r="D311" t="str">
        <f>VLOOKUP(B311,ZoneTable,2,FALSE)</f>
        <v>Manhattan</v>
      </c>
      <c r="E311" t="str">
        <f>VLOOKUP(B311,ZoneTable,3,FALSE)</f>
        <v>Clinton West</v>
      </c>
      <c r="F311" t="str">
        <f>IF(OR(B311=1,B311=132,B311=138),"Airports",D311)</f>
        <v>Manhattan</v>
      </c>
    </row>
    <row r="312" spans="1:6">
      <c r="A312" s="33">
        <v>42036</v>
      </c>
      <c r="B312">
        <v>51</v>
      </c>
      <c r="C312">
        <v>573</v>
      </c>
      <c r="D312" t="str">
        <f>VLOOKUP(B312,ZoneTable,2,FALSE)</f>
        <v>Bronx</v>
      </c>
      <c r="E312" t="str">
        <f>VLOOKUP(B312,ZoneTable,3,FALSE)</f>
        <v>Co-Op City</v>
      </c>
      <c r="F312" t="str">
        <f>IF(OR(B312=1,B312=132,B312=138),"Airports",D312)</f>
        <v>Bronx</v>
      </c>
    </row>
    <row r="313" spans="1:6">
      <c r="A313" s="33">
        <v>42036</v>
      </c>
      <c r="B313">
        <v>52</v>
      </c>
      <c r="C313">
        <v>3977</v>
      </c>
      <c r="D313" t="str">
        <f>VLOOKUP(B313,ZoneTable,2,FALSE)</f>
        <v>Brooklyn</v>
      </c>
      <c r="E313" t="str">
        <f>VLOOKUP(B313,ZoneTable,3,FALSE)</f>
        <v>Cobble Hill</v>
      </c>
      <c r="F313" t="str">
        <f>IF(OR(B313=1,B313=132,B313=138),"Airports",D313)</f>
        <v>Brooklyn</v>
      </c>
    </row>
    <row r="314" spans="1:6">
      <c r="A314" s="33">
        <v>42036</v>
      </c>
      <c r="B314">
        <v>53</v>
      </c>
      <c r="C314">
        <v>482</v>
      </c>
      <c r="D314" t="str">
        <f>VLOOKUP(B314,ZoneTable,2,FALSE)</f>
        <v>Queens</v>
      </c>
      <c r="E314" t="str">
        <f>VLOOKUP(B314,ZoneTable,3,FALSE)</f>
        <v>College Point</v>
      </c>
      <c r="F314" t="str">
        <f>IF(OR(B314=1,B314=132,B314=138),"Airports",D314)</f>
        <v>Queens</v>
      </c>
    </row>
    <row r="315" spans="1:6">
      <c r="A315" s="33">
        <v>42036</v>
      </c>
      <c r="B315">
        <v>54</v>
      </c>
      <c r="C315">
        <v>1818</v>
      </c>
      <c r="D315" t="str">
        <f>VLOOKUP(B315,ZoneTable,2,FALSE)</f>
        <v>Brooklyn</v>
      </c>
      <c r="E315" t="str">
        <f>VLOOKUP(B315,ZoneTable,3,FALSE)</f>
        <v>Columbia Street</v>
      </c>
      <c r="F315" t="str">
        <f>IF(OR(B315=1,B315=132,B315=138),"Airports",D315)</f>
        <v>Brooklyn</v>
      </c>
    </row>
    <row r="316" spans="1:6">
      <c r="A316" s="33">
        <v>42036</v>
      </c>
      <c r="B316">
        <v>55</v>
      </c>
      <c r="C316">
        <v>475</v>
      </c>
      <c r="D316" t="str">
        <f>VLOOKUP(B316,ZoneTable,2,FALSE)</f>
        <v>Brooklyn</v>
      </c>
      <c r="E316" t="str">
        <f>VLOOKUP(B316,ZoneTable,3,FALSE)</f>
        <v>Coney Island</v>
      </c>
      <c r="F316" t="str">
        <f>IF(OR(B316=1,B316=132,B316=138),"Airports",D316)</f>
        <v>Brooklyn</v>
      </c>
    </row>
    <row r="317" spans="1:6">
      <c r="A317" s="33">
        <v>42036</v>
      </c>
      <c r="B317">
        <v>56</v>
      </c>
      <c r="C317">
        <v>1166</v>
      </c>
      <c r="D317" t="str">
        <f>VLOOKUP(B317,ZoneTable,2,FALSE)</f>
        <v>Queens</v>
      </c>
      <c r="E317" t="str">
        <f>VLOOKUP(B317,ZoneTable,3,FALSE)</f>
        <v>Corona</v>
      </c>
      <c r="F317" t="str">
        <f>IF(OR(B317=1,B317=132,B317=138),"Airports",D317)</f>
        <v>Queens</v>
      </c>
    </row>
    <row r="318" spans="1:6">
      <c r="A318" s="33">
        <v>42036</v>
      </c>
      <c r="B318">
        <v>57</v>
      </c>
      <c r="C318">
        <v>89</v>
      </c>
      <c r="D318" t="str">
        <f>VLOOKUP(B318,ZoneTable,2,FALSE)</f>
        <v>Queens</v>
      </c>
      <c r="E318" t="str">
        <f>VLOOKUP(B318,ZoneTable,3,FALSE)</f>
        <v>Corona</v>
      </c>
      <c r="F318" t="str">
        <f>IF(OR(B318=1,B318=132,B318=138),"Airports",D318)</f>
        <v>Queens</v>
      </c>
    </row>
    <row r="319" spans="1:6">
      <c r="A319" s="33">
        <v>42036</v>
      </c>
      <c r="B319">
        <v>58</v>
      </c>
      <c r="C319">
        <v>86</v>
      </c>
      <c r="D319" t="str">
        <f>VLOOKUP(B319,ZoneTable,2,FALSE)</f>
        <v>Bronx</v>
      </c>
      <c r="E319" t="str">
        <f>VLOOKUP(B319,ZoneTable,3,FALSE)</f>
        <v>Country Club</v>
      </c>
      <c r="F319" t="str">
        <f>IF(OR(B319=1,B319=132,B319=138),"Airports",D319)</f>
        <v>Bronx</v>
      </c>
    </row>
    <row r="320" spans="1:6">
      <c r="A320" s="33">
        <v>42036</v>
      </c>
      <c r="B320">
        <v>59</v>
      </c>
      <c r="C320">
        <v>18</v>
      </c>
      <c r="D320" t="str">
        <f>VLOOKUP(B320,ZoneTable,2,FALSE)</f>
        <v>Bronx</v>
      </c>
      <c r="E320" t="str">
        <f>VLOOKUP(B320,ZoneTable,3,FALSE)</f>
        <v>Crotona Park</v>
      </c>
      <c r="F320" t="str">
        <f>IF(OR(B320=1,B320=132,B320=138),"Airports",D320)</f>
        <v>Bronx</v>
      </c>
    </row>
    <row r="321" spans="1:6">
      <c r="A321" s="33">
        <v>42036</v>
      </c>
      <c r="B321">
        <v>60</v>
      </c>
      <c r="C321">
        <v>355</v>
      </c>
      <c r="D321" t="str">
        <f>VLOOKUP(B321,ZoneTable,2,FALSE)</f>
        <v>Bronx</v>
      </c>
      <c r="E321" t="str">
        <f>VLOOKUP(B321,ZoneTable,3,FALSE)</f>
        <v>Crotona Park East</v>
      </c>
      <c r="F321" t="str">
        <f>IF(OR(B321=1,B321=132,B321=138),"Airports",D321)</f>
        <v>Bronx</v>
      </c>
    </row>
    <row r="322" spans="1:6">
      <c r="A322" s="33">
        <v>42036</v>
      </c>
      <c r="B322">
        <v>61</v>
      </c>
      <c r="C322">
        <v>14582</v>
      </c>
      <c r="D322" t="str">
        <f>VLOOKUP(B322,ZoneTable,2,FALSE)</f>
        <v>Brooklyn</v>
      </c>
      <c r="E322" t="str">
        <f>VLOOKUP(B322,ZoneTable,3,FALSE)</f>
        <v>Crown Heights North</v>
      </c>
      <c r="F322" t="str">
        <f>IF(OR(B322=1,B322=132,B322=138),"Airports",D322)</f>
        <v>Brooklyn</v>
      </c>
    </row>
    <row r="323" spans="1:6">
      <c r="A323" s="33">
        <v>42036</v>
      </c>
      <c r="B323">
        <v>62</v>
      </c>
      <c r="C323">
        <v>3434</v>
      </c>
      <c r="D323" t="str">
        <f>VLOOKUP(B323,ZoneTable,2,FALSE)</f>
        <v>Brooklyn</v>
      </c>
      <c r="E323" t="str">
        <f>VLOOKUP(B323,ZoneTable,3,FALSE)</f>
        <v>Crown Heights South</v>
      </c>
      <c r="F323" t="str">
        <f>IF(OR(B323=1,B323=132,B323=138),"Airports",D323)</f>
        <v>Brooklyn</v>
      </c>
    </row>
    <row r="324" spans="1:6">
      <c r="A324" s="33">
        <v>42036</v>
      </c>
      <c r="B324">
        <v>63</v>
      </c>
      <c r="C324">
        <v>764</v>
      </c>
      <c r="D324" t="str">
        <f>VLOOKUP(B324,ZoneTable,2,FALSE)</f>
        <v>Brooklyn</v>
      </c>
      <c r="E324" t="str">
        <f>VLOOKUP(B324,ZoneTable,3,FALSE)</f>
        <v>Cypress Hills</v>
      </c>
      <c r="F324" t="str">
        <f>IF(OR(B324=1,B324=132,B324=138),"Airports",D324)</f>
        <v>Brooklyn</v>
      </c>
    </row>
    <row r="325" spans="1:6">
      <c r="A325" s="33">
        <v>42036</v>
      </c>
      <c r="B325">
        <v>64</v>
      </c>
      <c r="C325">
        <v>345</v>
      </c>
      <c r="D325" t="str">
        <f>VLOOKUP(B325,ZoneTable,2,FALSE)</f>
        <v>Queens</v>
      </c>
      <c r="E325" t="str">
        <f>VLOOKUP(B325,ZoneTable,3,FALSE)</f>
        <v>Douglaston</v>
      </c>
      <c r="F325" t="str">
        <f>IF(OR(B325=1,B325=132,B325=138),"Airports",D325)</f>
        <v>Queens</v>
      </c>
    </row>
    <row r="326" spans="1:6">
      <c r="A326" s="33">
        <v>42036</v>
      </c>
      <c r="B326">
        <v>65</v>
      </c>
      <c r="C326">
        <v>7543</v>
      </c>
      <c r="D326" t="str">
        <f>VLOOKUP(B326,ZoneTable,2,FALSE)</f>
        <v>Brooklyn</v>
      </c>
      <c r="E326" t="str">
        <f>VLOOKUP(B326,ZoneTable,3,FALSE)</f>
        <v>Downtown Brooklyn/MetroTech</v>
      </c>
      <c r="F326" t="str">
        <f>IF(OR(B326=1,B326=132,B326=138),"Airports",D326)</f>
        <v>Brooklyn</v>
      </c>
    </row>
    <row r="327" spans="1:6">
      <c r="A327" s="33">
        <v>42036</v>
      </c>
      <c r="B327">
        <v>66</v>
      </c>
      <c r="C327">
        <v>7707</v>
      </c>
      <c r="D327" t="str">
        <f>VLOOKUP(B327,ZoneTable,2,FALSE)</f>
        <v>Brooklyn</v>
      </c>
      <c r="E327" t="str">
        <f>VLOOKUP(B327,ZoneTable,3,FALSE)</f>
        <v>DUMBO/Vinegar Hill</v>
      </c>
      <c r="F327" t="str">
        <f>IF(OR(B327=1,B327=132,B327=138),"Airports",D327)</f>
        <v>Brooklyn</v>
      </c>
    </row>
    <row r="328" spans="1:6">
      <c r="A328" s="33">
        <v>42036</v>
      </c>
      <c r="B328">
        <v>67</v>
      </c>
      <c r="C328">
        <v>1215</v>
      </c>
      <c r="D328" t="str">
        <f>VLOOKUP(B328,ZoneTable,2,FALSE)</f>
        <v>Brooklyn</v>
      </c>
      <c r="E328" t="str">
        <f>VLOOKUP(B328,ZoneTable,3,FALSE)</f>
        <v>Dyker Heights</v>
      </c>
      <c r="F328" t="str">
        <f>IF(OR(B328=1,B328=132,B328=138),"Airports",D328)</f>
        <v>Brooklyn</v>
      </c>
    </row>
    <row r="329" spans="1:6">
      <c r="A329" s="33">
        <v>42036</v>
      </c>
      <c r="B329">
        <v>68</v>
      </c>
      <c r="C329">
        <v>50587</v>
      </c>
      <c r="D329" t="str">
        <f>VLOOKUP(B329,ZoneTable,2,FALSE)</f>
        <v>Manhattan</v>
      </c>
      <c r="E329" t="str">
        <f>VLOOKUP(B329,ZoneTable,3,FALSE)</f>
        <v>East Chelsea</v>
      </c>
      <c r="F329" t="str">
        <f>IF(OR(B329=1,B329=132,B329=138),"Airports",D329)</f>
        <v>Manhattan</v>
      </c>
    </row>
    <row r="330" spans="1:6">
      <c r="A330" s="33">
        <v>42036</v>
      </c>
      <c r="B330">
        <v>69</v>
      </c>
      <c r="C330">
        <v>1010</v>
      </c>
      <c r="D330" t="str">
        <f>VLOOKUP(B330,ZoneTable,2,FALSE)</f>
        <v>Bronx</v>
      </c>
      <c r="E330" t="str">
        <f>VLOOKUP(B330,ZoneTable,3,FALSE)</f>
        <v>East Concourse/Concourse Village</v>
      </c>
      <c r="F330" t="str">
        <f>IF(OR(B330=1,B330=132,B330=138),"Airports",D330)</f>
        <v>Bronx</v>
      </c>
    </row>
    <row r="331" spans="1:6">
      <c r="A331" s="33">
        <v>42036</v>
      </c>
      <c r="B331">
        <v>70</v>
      </c>
      <c r="C331">
        <v>1461</v>
      </c>
      <c r="D331" t="str">
        <f>VLOOKUP(B331,ZoneTable,2,FALSE)</f>
        <v>Queens</v>
      </c>
      <c r="E331" t="str">
        <f>VLOOKUP(B331,ZoneTable,3,FALSE)</f>
        <v>East Elmhurst</v>
      </c>
      <c r="F331" t="str">
        <f>IF(OR(B331=1,B331=132,B331=138),"Airports",D331)</f>
        <v>Queens</v>
      </c>
    </row>
    <row r="332" spans="1:6">
      <c r="A332" s="33">
        <v>42036</v>
      </c>
      <c r="B332">
        <v>71</v>
      </c>
      <c r="C332">
        <v>1666</v>
      </c>
      <c r="D332" t="str">
        <f>VLOOKUP(B332,ZoneTable,2,FALSE)</f>
        <v>Brooklyn</v>
      </c>
      <c r="E332" t="str">
        <f>VLOOKUP(B332,ZoneTable,3,FALSE)</f>
        <v>East Flatbush/Farragut</v>
      </c>
      <c r="F332" t="str">
        <f>IF(OR(B332=1,B332=132,B332=138),"Airports",D332)</f>
        <v>Brooklyn</v>
      </c>
    </row>
    <row r="333" spans="1:6">
      <c r="A333" s="33">
        <v>42036</v>
      </c>
      <c r="B333">
        <v>72</v>
      </c>
      <c r="C333">
        <v>1733</v>
      </c>
      <c r="D333" t="str">
        <f>VLOOKUP(B333,ZoneTable,2,FALSE)</f>
        <v>Brooklyn</v>
      </c>
      <c r="E333" t="str">
        <f>VLOOKUP(B333,ZoneTable,3,FALSE)</f>
        <v>East Flatbush/Remsen Village</v>
      </c>
      <c r="F333" t="str">
        <f>IF(OR(B333=1,B333=132,B333=138),"Airports",D333)</f>
        <v>Brooklyn</v>
      </c>
    </row>
    <row r="334" spans="1:6">
      <c r="A334" s="33">
        <v>42036</v>
      </c>
      <c r="B334">
        <v>73</v>
      </c>
      <c r="C334">
        <v>573</v>
      </c>
      <c r="D334" t="str">
        <f>VLOOKUP(B334,ZoneTable,2,FALSE)</f>
        <v>Queens</v>
      </c>
      <c r="E334" t="str">
        <f>VLOOKUP(B334,ZoneTable,3,FALSE)</f>
        <v>East Flushing</v>
      </c>
      <c r="F334" t="str">
        <f>IF(OR(B334=1,B334=132,B334=138),"Airports",D334)</f>
        <v>Queens</v>
      </c>
    </row>
    <row r="335" spans="1:6">
      <c r="A335" s="33">
        <v>42036</v>
      </c>
      <c r="B335">
        <v>74</v>
      </c>
      <c r="C335">
        <v>6933</v>
      </c>
      <c r="D335" t="str">
        <f>VLOOKUP(B335,ZoneTable,2,FALSE)</f>
        <v>Manhattan</v>
      </c>
      <c r="E335" t="str">
        <f>VLOOKUP(B335,ZoneTable,3,FALSE)</f>
        <v>East Harlem North</v>
      </c>
      <c r="F335" t="str">
        <f>IF(OR(B335=1,B335=132,B335=138),"Airports",D335)</f>
        <v>Manhattan</v>
      </c>
    </row>
    <row r="336" spans="1:6">
      <c r="A336" s="33">
        <v>42036</v>
      </c>
      <c r="B336">
        <v>75</v>
      </c>
      <c r="C336">
        <v>7756</v>
      </c>
      <c r="D336" t="str">
        <f>VLOOKUP(B336,ZoneTable,2,FALSE)</f>
        <v>Manhattan</v>
      </c>
      <c r="E336" t="str">
        <f>VLOOKUP(B336,ZoneTable,3,FALSE)</f>
        <v>East Harlem South</v>
      </c>
      <c r="F336" t="str">
        <f>IF(OR(B336=1,B336=132,B336=138),"Airports",D336)</f>
        <v>Manhattan</v>
      </c>
    </row>
    <row r="337" spans="1:6">
      <c r="A337" s="33">
        <v>42036</v>
      </c>
      <c r="B337">
        <v>76</v>
      </c>
      <c r="C337">
        <v>2100</v>
      </c>
      <c r="D337" t="str">
        <f>VLOOKUP(B337,ZoneTable,2,FALSE)</f>
        <v>Brooklyn</v>
      </c>
      <c r="E337" t="str">
        <f>VLOOKUP(B337,ZoneTable,3,FALSE)</f>
        <v>East New York</v>
      </c>
      <c r="F337" t="str">
        <f>IF(OR(B337=1,B337=132,B337=138),"Airports",D337)</f>
        <v>Brooklyn</v>
      </c>
    </row>
    <row r="338" spans="1:6">
      <c r="A338" s="33">
        <v>42036</v>
      </c>
      <c r="B338">
        <v>77</v>
      </c>
      <c r="C338">
        <v>635</v>
      </c>
      <c r="D338" t="str">
        <f>VLOOKUP(B338,ZoneTable,2,FALSE)</f>
        <v>Brooklyn</v>
      </c>
      <c r="E338" t="str">
        <f>VLOOKUP(B338,ZoneTable,3,FALSE)</f>
        <v>East New York/Pennsylvania Avenue</v>
      </c>
      <c r="F338" t="str">
        <f>IF(OR(B338=1,B338=132,B338=138),"Airports",D338)</f>
        <v>Brooklyn</v>
      </c>
    </row>
    <row r="339" spans="1:6">
      <c r="A339" s="33">
        <v>42036</v>
      </c>
      <c r="B339">
        <v>78</v>
      </c>
      <c r="C339">
        <v>711</v>
      </c>
      <c r="D339" t="str">
        <f>VLOOKUP(B339,ZoneTable,2,FALSE)</f>
        <v>Bronx</v>
      </c>
      <c r="E339" t="str">
        <f>VLOOKUP(B339,ZoneTable,3,FALSE)</f>
        <v>East Tremont</v>
      </c>
      <c r="F339" t="str">
        <f>IF(OR(B339=1,B339=132,B339=138),"Airports",D339)</f>
        <v>Bronx</v>
      </c>
    </row>
    <row r="340" spans="1:6">
      <c r="A340" s="33">
        <v>42036</v>
      </c>
      <c r="B340">
        <v>79</v>
      </c>
      <c r="C340">
        <v>65763</v>
      </c>
      <c r="D340" t="str">
        <f>VLOOKUP(B340,ZoneTable,2,FALSE)</f>
        <v>Manhattan</v>
      </c>
      <c r="E340" t="str">
        <f>VLOOKUP(B340,ZoneTable,3,FALSE)</f>
        <v>East Village</v>
      </c>
      <c r="F340" t="str">
        <f>IF(OR(B340=1,B340=132,B340=138),"Airports",D340)</f>
        <v>Manhattan</v>
      </c>
    </row>
    <row r="341" spans="1:6">
      <c r="A341" s="33">
        <v>42036</v>
      </c>
      <c r="B341">
        <v>80</v>
      </c>
      <c r="C341">
        <v>16327</v>
      </c>
      <c r="D341" t="str">
        <f>VLOOKUP(B341,ZoneTable,2,FALSE)</f>
        <v>Brooklyn</v>
      </c>
      <c r="E341" t="str">
        <f>VLOOKUP(B341,ZoneTable,3,FALSE)</f>
        <v>East Williamsburg</v>
      </c>
      <c r="F341" t="str">
        <f>IF(OR(B341=1,B341=132,B341=138),"Airports",D341)</f>
        <v>Brooklyn</v>
      </c>
    </row>
    <row r="342" spans="1:6">
      <c r="A342" s="33">
        <v>42036</v>
      </c>
      <c r="B342">
        <v>81</v>
      </c>
      <c r="C342">
        <v>459</v>
      </c>
      <c r="D342" t="str">
        <f>VLOOKUP(B342,ZoneTable,2,FALSE)</f>
        <v>Bronx</v>
      </c>
      <c r="E342" t="str">
        <f>VLOOKUP(B342,ZoneTable,3,FALSE)</f>
        <v>Eastchester</v>
      </c>
      <c r="F342" t="str">
        <f>IF(OR(B342=1,B342=132,B342=138),"Airports",D342)</f>
        <v>Bronx</v>
      </c>
    </row>
    <row r="343" spans="1:6">
      <c r="A343" s="33">
        <v>42036</v>
      </c>
      <c r="B343">
        <v>82</v>
      </c>
      <c r="C343">
        <v>3423</v>
      </c>
      <c r="D343" t="str">
        <f>VLOOKUP(B343,ZoneTable,2,FALSE)</f>
        <v>Queens</v>
      </c>
      <c r="E343" t="str">
        <f>VLOOKUP(B343,ZoneTable,3,FALSE)</f>
        <v>Elmhurst</v>
      </c>
      <c r="F343" t="str">
        <f>IF(OR(B343=1,B343=132,B343=138),"Airports",D343)</f>
        <v>Queens</v>
      </c>
    </row>
    <row r="344" spans="1:6">
      <c r="A344" s="33">
        <v>42036</v>
      </c>
      <c r="B344">
        <v>83</v>
      </c>
      <c r="C344">
        <v>1238</v>
      </c>
      <c r="D344" t="str">
        <f>VLOOKUP(B344,ZoneTable,2,FALSE)</f>
        <v>Queens</v>
      </c>
      <c r="E344" t="str">
        <f>VLOOKUP(B344,ZoneTable,3,FALSE)</f>
        <v>Elmhurst/Maspeth</v>
      </c>
      <c r="F344" t="str">
        <f>IF(OR(B344=1,B344=132,B344=138),"Airports",D344)</f>
        <v>Queens</v>
      </c>
    </row>
    <row r="345" spans="1:6">
      <c r="A345" s="33">
        <v>42036</v>
      </c>
      <c r="B345">
        <v>84</v>
      </c>
      <c r="C345">
        <v>1</v>
      </c>
      <c r="D345" t="str">
        <f>VLOOKUP(B345,ZoneTable,2,FALSE)</f>
        <v>Staten Island</v>
      </c>
      <c r="E345" t="str">
        <f>VLOOKUP(B345,ZoneTable,3,FALSE)</f>
        <v>Eltingville/Annadale/Prince's Bay</v>
      </c>
      <c r="F345" t="str">
        <f>IF(OR(B345=1,B345=132,B345=138),"Airports",D345)</f>
        <v>Staten Island</v>
      </c>
    </row>
    <row r="346" spans="1:6">
      <c r="A346" s="33">
        <v>42036</v>
      </c>
      <c r="B346">
        <v>85</v>
      </c>
      <c r="C346">
        <v>1333</v>
      </c>
      <c r="D346" t="str">
        <f>VLOOKUP(B346,ZoneTable,2,FALSE)</f>
        <v>Brooklyn</v>
      </c>
      <c r="E346" t="str">
        <f>VLOOKUP(B346,ZoneTable,3,FALSE)</f>
        <v>Erasmus</v>
      </c>
      <c r="F346" t="str">
        <f>IF(OR(B346=1,B346=132,B346=138),"Airports",D346)</f>
        <v>Brooklyn</v>
      </c>
    </row>
    <row r="347" spans="1:6">
      <c r="A347" s="33">
        <v>42036</v>
      </c>
      <c r="B347">
        <v>86</v>
      </c>
      <c r="C347">
        <v>80</v>
      </c>
      <c r="D347" t="str">
        <f>VLOOKUP(B347,ZoneTable,2,FALSE)</f>
        <v>Queens</v>
      </c>
      <c r="E347" t="str">
        <f>VLOOKUP(B347,ZoneTable,3,FALSE)</f>
        <v>Far Rockaway</v>
      </c>
      <c r="F347" t="str">
        <f>IF(OR(B347=1,B347=132,B347=138),"Airports",D347)</f>
        <v>Queens</v>
      </c>
    </row>
    <row r="348" spans="1:6">
      <c r="A348" s="33">
        <v>42036</v>
      </c>
      <c r="B348">
        <v>87</v>
      </c>
      <c r="C348">
        <v>24614</v>
      </c>
      <c r="D348" t="str">
        <f>VLOOKUP(B348,ZoneTable,2,FALSE)</f>
        <v>Manhattan</v>
      </c>
      <c r="E348" t="str">
        <f>VLOOKUP(B348,ZoneTable,3,FALSE)</f>
        <v>Financial District North</v>
      </c>
      <c r="F348" t="str">
        <f>IF(OR(B348=1,B348=132,B348=138),"Airports",D348)</f>
        <v>Manhattan</v>
      </c>
    </row>
    <row r="349" spans="1:6">
      <c r="A349" s="33">
        <v>42036</v>
      </c>
      <c r="B349">
        <v>88</v>
      </c>
      <c r="C349">
        <v>9175</v>
      </c>
      <c r="D349" t="str">
        <f>VLOOKUP(B349,ZoneTable,2,FALSE)</f>
        <v>Manhattan</v>
      </c>
      <c r="E349" t="str">
        <f>VLOOKUP(B349,ZoneTable,3,FALSE)</f>
        <v>Financial District South</v>
      </c>
      <c r="F349" t="str">
        <f>IF(OR(B349=1,B349=132,B349=138),"Airports",D349)</f>
        <v>Manhattan</v>
      </c>
    </row>
    <row r="350" spans="1:6">
      <c r="A350" s="33">
        <v>42036</v>
      </c>
      <c r="B350">
        <v>89</v>
      </c>
      <c r="C350">
        <v>6491</v>
      </c>
      <c r="D350" t="str">
        <f>VLOOKUP(B350,ZoneTable,2,FALSE)</f>
        <v>Brooklyn</v>
      </c>
      <c r="E350" t="str">
        <f>VLOOKUP(B350,ZoneTable,3,FALSE)</f>
        <v>Flatbush/Ditmas Park</v>
      </c>
      <c r="F350" t="str">
        <f>IF(OR(B350=1,B350=132,B350=138),"Airports",D350)</f>
        <v>Brooklyn</v>
      </c>
    </row>
    <row r="351" spans="1:6">
      <c r="A351" s="33">
        <v>42036</v>
      </c>
      <c r="B351">
        <v>90</v>
      </c>
      <c r="C351">
        <v>37875</v>
      </c>
      <c r="D351" t="str">
        <f>VLOOKUP(B351,ZoneTable,2,FALSE)</f>
        <v>Manhattan</v>
      </c>
      <c r="E351" t="str">
        <f>VLOOKUP(B351,ZoneTable,3,FALSE)</f>
        <v>Flatiron</v>
      </c>
      <c r="F351" t="str">
        <f>IF(OR(B351=1,B351=132,B351=138),"Airports",D351)</f>
        <v>Manhattan</v>
      </c>
    </row>
    <row r="352" spans="1:6">
      <c r="A352" s="33">
        <v>42036</v>
      </c>
      <c r="B352">
        <v>91</v>
      </c>
      <c r="C352">
        <v>2004</v>
      </c>
      <c r="D352" t="str">
        <f>VLOOKUP(B352,ZoneTable,2,FALSE)</f>
        <v>Brooklyn</v>
      </c>
      <c r="E352" t="str">
        <f>VLOOKUP(B352,ZoneTable,3,FALSE)</f>
        <v>Flatlands</v>
      </c>
      <c r="F352" t="str">
        <f>IF(OR(B352=1,B352=132,B352=138),"Airports",D352)</f>
        <v>Brooklyn</v>
      </c>
    </row>
    <row r="353" spans="1:6">
      <c r="A353" s="33">
        <v>42036</v>
      </c>
      <c r="B353">
        <v>92</v>
      </c>
      <c r="C353">
        <v>2597</v>
      </c>
      <c r="D353" t="str">
        <f>VLOOKUP(B353,ZoneTable,2,FALSE)</f>
        <v>Queens</v>
      </c>
      <c r="E353" t="str">
        <f>VLOOKUP(B353,ZoneTable,3,FALSE)</f>
        <v>Flushing</v>
      </c>
      <c r="F353" t="str">
        <f>IF(OR(B353=1,B353=132,B353=138),"Airports",D353)</f>
        <v>Queens</v>
      </c>
    </row>
    <row r="354" spans="1:6">
      <c r="A354" s="33">
        <v>42036</v>
      </c>
      <c r="B354">
        <v>93</v>
      </c>
      <c r="C354">
        <v>305</v>
      </c>
      <c r="D354" t="str">
        <f>VLOOKUP(B354,ZoneTable,2,FALSE)</f>
        <v>Queens</v>
      </c>
      <c r="E354" t="str">
        <f>VLOOKUP(B354,ZoneTable,3,FALSE)</f>
        <v>Flushing Meadows-Corona Park</v>
      </c>
      <c r="F354" t="str">
        <f>IF(OR(B354=1,B354=132,B354=138),"Airports",D354)</f>
        <v>Queens</v>
      </c>
    </row>
    <row r="355" spans="1:6">
      <c r="A355" s="33">
        <v>42036</v>
      </c>
      <c r="B355">
        <v>94</v>
      </c>
      <c r="C355">
        <v>318</v>
      </c>
      <c r="D355" t="str">
        <f>VLOOKUP(B355,ZoneTable,2,FALSE)</f>
        <v>Bronx</v>
      </c>
      <c r="E355" t="str">
        <f>VLOOKUP(B355,ZoneTable,3,FALSE)</f>
        <v>Fordham South</v>
      </c>
      <c r="F355" t="str">
        <f>IF(OR(B355=1,B355=132,B355=138),"Airports",D355)</f>
        <v>Bronx</v>
      </c>
    </row>
    <row r="356" spans="1:6">
      <c r="A356" s="33">
        <v>42036</v>
      </c>
      <c r="B356">
        <v>95</v>
      </c>
      <c r="C356">
        <v>5884</v>
      </c>
      <c r="D356" t="str">
        <f>VLOOKUP(B356,ZoneTable,2,FALSE)</f>
        <v>Queens</v>
      </c>
      <c r="E356" t="str">
        <f>VLOOKUP(B356,ZoneTable,3,FALSE)</f>
        <v>Forest Hills</v>
      </c>
      <c r="F356" t="str">
        <f>IF(OR(B356=1,B356=132,B356=138),"Airports",D356)</f>
        <v>Queens</v>
      </c>
    </row>
    <row r="357" spans="1:6">
      <c r="A357" s="33">
        <v>42036</v>
      </c>
      <c r="B357">
        <v>96</v>
      </c>
      <c r="C357">
        <v>41</v>
      </c>
      <c r="D357" t="str">
        <f>VLOOKUP(B357,ZoneTable,2,FALSE)</f>
        <v>Queens</v>
      </c>
      <c r="E357" t="str">
        <f>VLOOKUP(B357,ZoneTable,3,FALSE)</f>
        <v>Forest Park/Highland Park</v>
      </c>
      <c r="F357" t="str">
        <f>IF(OR(B357=1,B357=132,B357=138),"Airports",D357)</f>
        <v>Queens</v>
      </c>
    </row>
    <row r="358" spans="1:6">
      <c r="A358" s="33">
        <v>42036</v>
      </c>
      <c r="B358">
        <v>97</v>
      </c>
      <c r="C358">
        <v>10837</v>
      </c>
      <c r="D358" t="str">
        <f>VLOOKUP(B358,ZoneTable,2,FALSE)</f>
        <v>Brooklyn</v>
      </c>
      <c r="E358" t="str">
        <f>VLOOKUP(B358,ZoneTable,3,FALSE)</f>
        <v>Fort Greene</v>
      </c>
      <c r="F358" t="str">
        <f>IF(OR(B358=1,B358=132,B358=138),"Airports",D358)</f>
        <v>Brooklyn</v>
      </c>
    </row>
    <row r="359" spans="1:6">
      <c r="A359" s="33">
        <v>42036</v>
      </c>
      <c r="B359">
        <v>98</v>
      </c>
      <c r="C359">
        <v>537</v>
      </c>
      <c r="D359" t="str">
        <f>VLOOKUP(B359,ZoneTable,2,FALSE)</f>
        <v>Queens</v>
      </c>
      <c r="E359" t="str">
        <f>VLOOKUP(B359,ZoneTable,3,FALSE)</f>
        <v>Fresh Meadows</v>
      </c>
      <c r="F359" t="str">
        <f>IF(OR(B359=1,B359=132,B359=138),"Airports",D359)</f>
        <v>Queens</v>
      </c>
    </row>
    <row r="360" spans="1:6">
      <c r="A360" s="33">
        <v>42036</v>
      </c>
      <c r="B360">
        <v>100</v>
      </c>
      <c r="C360">
        <v>27104</v>
      </c>
      <c r="D360" t="str">
        <f>VLOOKUP(B360,ZoneTable,2,FALSE)</f>
        <v>Manhattan</v>
      </c>
      <c r="E360" t="str">
        <f>VLOOKUP(B360,ZoneTable,3,FALSE)</f>
        <v>Garment District</v>
      </c>
      <c r="F360" t="str">
        <f>IF(OR(B360=1,B360=132,B360=138),"Airports",D360)</f>
        <v>Manhattan</v>
      </c>
    </row>
    <row r="361" spans="1:6">
      <c r="A361" s="33">
        <v>42036</v>
      </c>
      <c r="B361">
        <v>101</v>
      </c>
      <c r="C361">
        <v>264</v>
      </c>
      <c r="D361" t="str">
        <f>VLOOKUP(B361,ZoneTable,2,FALSE)</f>
        <v>Queens</v>
      </c>
      <c r="E361" t="str">
        <f>VLOOKUP(B361,ZoneTable,3,FALSE)</f>
        <v>Glen Oaks</v>
      </c>
      <c r="F361" t="str">
        <f>IF(OR(B361=1,B361=132,B361=138),"Airports",D361)</f>
        <v>Queens</v>
      </c>
    </row>
    <row r="362" spans="1:6">
      <c r="A362" s="33">
        <v>42036</v>
      </c>
      <c r="B362">
        <v>102</v>
      </c>
      <c r="C362">
        <v>1358</v>
      </c>
      <c r="D362" t="str">
        <f>VLOOKUP(B362,ZoneTable,2,FALSE)</f>
        <v>Queens</v>
      </c>
      <c r="E362" t="str">
        <f>VLOOKUP(B362,ZoneTable,3,FALSE)</f>
        <v>Glendale</v>
      </c>
      <c r="F362" t="str">
        <f>IF(OR(B362=1,B362=132,B362=138),"Airports",D362)</f>
        <v>Queens</v>
      </c>
    </row>
    <row r="363" spans="1:6">
      <c r="A363" s="33">
        <v>42036</v>
      </c>
      <c r="B363">
        <v>105</v>
      </c>
      <c r="C363">
        <v>4</v>
      </c>
      <c r="D363" t="str">
        <f>VLOOKUP(B363,ZoneTable,2,FALSE)</f>
        <v>Manhattan</v>
      </c>
      <c r="E363" t="str">
        <f>VLOOKUP(B363,ZoneTable,3,FALSE)</f>
        <v>Governor's Island/Ellis Island/Liberty Island</v>
      </c>
      <c r="F363" t="str">
        <f>IF(OR(B363=1,B363=132,B363=138),"Airports",D363)</f>
        <v>Manhattan</v>
      </c>
    </row>
    <row r="364" spans="1:6">
      <c r="A364" s="33">
        <v>42036</v>
      </c>
      <c r="B364">
        <v>106</v>
      </c>
      <c r="C364">
        <v>5702</v>
      </c>
      <c r="D364" t="str">
        <f>VLOOKUP(B364,ZoneTable,2,FALSE)</f>
        <v>Brooklyn</v>
      </c>
      <c r="E364" t="str">
        <f>VLOOKUP(B364,ZoneTable,3,FALSE)</f>
        <v>Gowanus</v>
      </c>
      <c r="F364" t="str">
        <f>IF(OR(B364=1,B364=132,B364=138),"Airports",D364)</f>
        <v>Brooklyn</v>
      </c>
    </row>
    <row r="365" spans="1:6">
      <c r="A365" s="33">
        <v>42036</v>
      </c>
      <c r="B365">
        <v>107</v>
      </c>
      <c r="C365">
        <v>41390</v>
      </c>
      <c r="D365" t="str">
        <f>VLOOKUP(B365,ZoneTable,2,FALSE)</f>
        <v>Manhattan</v>
      </c>
      <c r="E365" t="str">
        <f>VLOOKUP(B365,ZoneTable,3,FALSE)</f>
        <v>Gramercy</v>
      </c>
      <c r="F365" t="str">
        <f>IF(OR(B365=1,B365=132,B365=138),"Airports",D365)</f>
        <v>Manhattan</v>
      </c>
    </row>
    <row r="366" spans="1:6">
      <c r="A366" s="33">
        <v>42036</v>
      </c>
      <c r="B366">
        <v>108</v>
      </c>
      <c r="C366">
        <v>493</v>
      </c>
      <c r="D366" t="str">
        <f>VLOOKUP(B366,ZoneTable,2,FALSE)</f>
        <v>Brooklyn</v>
      </c>
      <c r="E366" t="str">
        <f>VLOOKUP(B366,ZoneTable,3,FALSE)</f>
        <v>Gravesend</v>
      </c>
      <c r="F366" t="str">
        <f>IF(OR(B366=1,B366=132,B366=138),"Airports",D366)</f>
        <v>Brooklyn</v>
      </c>
    </row>
    <row r="367" spans="1:6">
      <c r="A367" s="33">
        <v>42036</v>
      </c>
      <c r="B367">
        <v>109</v>
      </c>
      <c r="C367">
        <v>28</v>
      </c>
      <c r="D367" t="str">
        <f>VLOOKUP(B367,ZoneTable,2,FALSE)</f>
        <v>Staten Island</v>
      </c>
      <c r="E367" t="str">
        <f>VLOOKUP(B367,ZoneTable,3,FALSE)</f>
        <v>Great Kills</v>
      </c>
      <c r="F367" t="str">
        <f>IF(OR(B367=1,B367=132,B367=138),"Airports",D367)</f>
        <v>Staten Island</v>
      </c>
    </row>
    <row r="368" spans="1:6">
      <c r="A368" s="33">
        <v>42036</v>
      </c>
      <c r="B368">
        <v>111</v>
      </c>
      <c r="C368">
        <v>20</v>
      </c>
      <c r="D368" t="str">
        <f>VLOOKUP(B368,ZoneTable,2,FALSE)</f>
        <v>Brooklyn</v>
      </c>
      <c r="E368" t="str">
        <f>VLOOKUP(B368,ZoneTable,3,FALSE)</f>
        <v>Green-Wood Cemetery</v>
      </c>
      <c r="F368" t="str">
        <f>IF(OR(B368=1,B368=132,B368=138),"Airports",D368)</f>
        <v>Brooklyn</v>
      </c>
    </row>
    <row r="369" spans="1:6">
      <c r="A369" s="33">
        <v>42036</v>
      </c>
      <c r="B369">
        <v>112</v>
      </c>
      <c r="C369">
        <v>19925</v>
      </c>
      <c r="D369" t="str">
        <f>VLOOKUP(B369,ZoneTable,2,FALSE)</f>
        <v>Brooklyn</v>
      </c>
      <c r="E369" t="str">
        <f>VLOOKUP(B369,ZoneTable,3,FALSE)</f>
        <v>Greenpoint</v>
      </c>
      <c r="F369" t="str">
        <f>IF(OR(B369=1,B369=132,B369=138),"Airports",D369)</f>
        <v>Brooklyn</v>
      </c>
    </row>
    <row r="370" spans="1:6">
      <c r="A370" s="33">
        <v>42036</v>
      </c>
      <c r="B370">
        <v>113</v>
      </c>
      <c r="C370">
        <v>43703</v>
      </c>
      <c r="D370" t="str">
        <f>VLOOKUP(B370,ZoneTable,2,FALSE)</f>
        <v>Manhattan</v>
      </c>
      <c r="E370" t="str">
        <f>VLOOKUP(B370,ZoneTable,3,FALSE)</f>
        <v>Greenwich Village North</v>
      </c>
      <c r="F370" t="str">
        <f>IF(OR(B370=1,B370=132,B370=138),"Airports",D370)</f>
        <v>Manhattan</v>
      </c>
    </row>
    <row r="371" spans="1:6">
      <c r="A371" s="33">
        <v>42036</v>
      </c>
      <c r="B371">
        <v>114</v>
      </c>
      <c r="C371">
        <v>35482</v>
      </c>
      <c r="D371" t="str">
        <f>VLOOKUP(B371,ZoneTable,2,FALSE)</f>
        <v>Manhattan</v>
      </c>
      <c r="E371" t="str">
        <f>VLOOKUP(B371,ZoneTable,3,FALSE)</f>
        <v>Greenwich Village South</v>
      </c>
      <c r="F371" t="str">
        <f>IF(OR(B371=1,B371=132,B371=138),"Airports",D371)</f>
        <v>Manhattan</v>
      </c>
    </row>
    <row r="372" spans="1:6">
      <c r="A372" s="33">
        <v>42036</v>
      </c>
      <c r="B372">
        <v>115</v>
      </c>
      <c r="C372">
        <v>86</v>
      </c>
      <c r="D372" t="str">
        <f>VLOOKUP(B372,ZoneTable,2,FALSE)</f>
        <v>Staten Island</v>
      </c>
      <c r="E372" t="str">
        <f>VLOOKUP(B372,ZoneTable,3,FALSE)</f>
        <v>Grymes Hill/Clifton</v>
      </c>
      <c r="F372" t="str">
        <f>IF(OR(B372=1,B372=132,B372=138),"Airports",D372)</f>
        <v>Staten Island</v>
      </c>
    </row>
    <row r="373" spans="1:6">
      <c r="A373" s="33">
        <v>42036</v>
      </c>
      <c r="B373">
        <v>116</v>
      </c>
      <c r="C373">
        <v>4984</v>
      </c>
      <c r="D373" t="str">
        <f>VLOOKUP(B373,ZoneTable,2,FALSE)</f>
        <v>Manhattan</v>
      </c>
      <c r="E373" t="str">
        <f>VLOOKUP(B373,ZoneTable,3,FALSE)</f>
        <v>Hamilton Heights</v>
      </c>
      <c r="F373" t="str">
        <f>IF(OR(B373=1,B373=132,B373=138),"Airports",D373)</f>
        <v>Manhattan</v>
      </c>
    </row>
    <row r="374" spans="1:6">
      <c r="A374" s="33">
        <v>42036</v>
      </c>
      <c r="B374">
        <v>117</v>
      </c>
      <c r="C374">
        <v>99</v>
      </c>
      <c r="D374" t="str">
        <f>VLOOKUP(B374,ZoneTable,2,FALSE)</f>
        <v>Queens</v>
      </c>
      <c r="E374" t="str">
        <f>VLOOKUP(B374,ZoneTable,3,FALSE)</f>
        <v>Hammels/Arverne</v>
      </c>
      <c r="F374" t="str">
        <f>IF(OR(B374=1,B374=132,B374=138),"Airports",D374)</f>
        <v>Queens</v>
      </c>
    </row>
    <row r="375" spans="1:6">
      <c r="A375" s="33">
        <v>42036</v>
      </c>
      <c r="B375">
        <v>118</v>
      </c>
      <c r="C375">
        <v>82</v>
      </c>
      <c r="D375" t="str">
        <f>VLOOKUP(B375,ZoneTable,2,FALSE)</f>
        <v>Staten Island</v>
      </c>
      <c r="E375" t="str">
        <f>VLOOKUP(B375,ZoneTable,3,FALSE)</f>
        <v>Heartland Village/Todt Hill</v>
      </c>
      <c r="F375" t="str">
        <f>IF(OR(B375=1,B375=132,B375=138),"Airports",D375)</f>
        <v>Staten Island</v>
      </c>
    </row>
    <row r="376" spans="1:6">
      <c r="A376" s="33">
        <v>42036</v>
      </c>
      <c r="B376">
        <v>119</v>
      </c>
      <c r="C376">
        <v>639</v>
      </c>
      <c r="D376" t="str">
        <f>VLOOKUP(B376,ZoneTable,2,FALSE)</f>
        <v>Bronx</v>
      </c>
      <c r="E376" t="str">
        <f>VLOOKUP(B376,ZoneTable,3,FALSE)</f>
        <v>Highbridge</v>
      </c>
      <c r="F376" t="str">
        <f>IF(OR(B376=1,B376=132,B376=138),"Airports",D376)</f>
        <v>Bronx</v>
      </c>
    </row>
    <row r="377" spans="1:6">
      <c r="A377" s="33">
        <v>42036</v>
      </c>
      <c r="B377">
        <v>120</v>
      </c>
      <c r="C377">
        <v>55</v>
      </c>
      <c r="D377" t="str">
        <f>VLOOKUP(B377,ZoneTable,2,FALSE)</f>
        <v>Manhattan</v>
      </c>
      <c r="E377" t="str">
        <f>VLOOKUP(B377,ZoneTable,3,FALSE)</f>
        <v>Highbridge Park</v>
      </c>
      <c r="F377" t="str">
        <f>IF(OR(B377=1,B377=132,B377=138),"Airports",D377)</f>
        <v>Manhattan</v>
      </c>
    </row>
    <row r="378" spans="1:6">
      <c r="A378" s="33">
        <v>42036</v>
      </c>
      <c r="B378">
        <v>121</v>
      </c>
      <c r="C378">
        <v>2382</v>
      </c>
      <c r="D378" t="str">
        <f>VLOOKUP(B378,ZoneTable,2,FALSE)</f>
        <v>Queens</v>
      </c>
      <c r="E378" t="str">
        <f>VLOOKUP(B378,ZoneTable,3,FALSE)</f>
        <v>Hillcrest/Pomonok</v>
      </c>
      <c r="F378" t="str">
        <f>IF(OR(B378=1,B378=132,B378=138),"Airports",D378)</f>
        <v>Queens</v>
      </c>
    </row>
    <row r="379" spans="1:6">
      <c r="A379" s="33">
        <v>42036</v>
      </c>
      <c r="B379">
        <v>122</v>
      </c>
      <c r="C379">
        <v>236</v>
      </c>
      <c r="D379" t="str">
        <f>VLOOKUP(B379,ZoneTable,2,FALSE)</f>
        <v>Queens</v>
      </c>
      <c r="E379" t="str">
        <f>VLOOKUP(B379,ZoneTable,3,FALSE)</f>
        <v>Hollis</v>
      </c>
      <c r="F379" t="str">
        <f>IF(OR(B379=1,B379=132,B379=138),"Airports",D379)</f>
        <v>Queens</v>
      </c>
    </row>
    <row r="380" spans="1:6">
      <c r="A380" s="33">
        <v>42036</v>
      </c>
      <c r="B380">
        <v>123</v>
      </c>
      <c r="C380">
        <v>2905</v>
      </c>
      <c r="D380" t="str">
        <f>VLOOKUP(B380,ZoneTable,2,FALSE)</f>
        <v>Brooklyn</v>
      </c>
      <c r="E380" t="str">
        <f>VLOOKUP(B380,ZoneTable,3,FALSE)</f>
        <v>Homecrest</v>
      </c>
      <c r="F380" t="str">
        <f>IF(OR(B380=1,B380=132,B380=138),"Airports",D380)</f>
        <v>Brooklyn</v>
      </c>
    </row>
    <row r="381" spans="1:6">
      <c r="A381" s="33">
        <v>42036</v>
      </c>
      <c r="B381">
        <v>124</v>
      </c>
      <c r="C381">
        <v>706</v>
      </c>
      <c r="D381" t="str">
        <f>VLOOKUP(B381,ZoneTable,2,FALSE)</f>
        <v>Queens</v>
      </c>
      <c r="E381" t="str">
        <f>VLOOKUP(B381,ZoneTable,3,FALSE)</f>
        <v>Howard Beach</v>
      </c>
      <c r="F381" t="str">
        <f>IF(OR(B381=1,B381=132,B381=138),"Airports",D381)</f>
        <v>Queens</v>
      </c>
    </row>
    <row r="382" spans="1:6">
      <c r="A382" s="33">
        <v>42036</v>
      </c>
      <c r="B382">
        <v>125</v>
      </c>
      <c r="C382">
        <v>23404</v>
      </c>
      <c r="D382" t="str">
        <f>VLOOKUP(B382,ZoneTable,2,FALSE)</f>
        <v>Manhattan</v>
      </c>
      <c r="E382" t="str">
        <f>VLOOKUP(B382,ZoneTable,3,FALSE)</f>
        <v>Hudson Sq</v>
      </c>
      <c r="F382" t="str">
        <f>IF(OR(B382=1,B382=132,B382=138),"Airports",D382)</f>
        <v>Manhattan</v>
      </c>
    </row>
    <row r="383" spans="1:6">
      <c r="A383" s="33">
        <v>42036</v>
      </c>
      <c r="B383">
        <v>126</v>
      </c>
      <c r="C383">
        <v>427</v>
      </c>
      <c r="D383" t="str">
        <f>VLOOKUP(B383,ZoneTable,2,FALSE)</f>
        <v>Bronx</v>
      </c>
      <c r="E383" t="str">
        <f>VLOOKUP(B383,ZoneTable,3,FALSE)</f>
        <v>Hunts Point</v>
      </c>
      <c r="F383" t="str">
        <f>IF(OR(B383=1,B383=132,B383=138),"Airports",D383)</f>
        <v>Bronx</v>
      </c>
    </row>
    <row r="384" spans="1:6">
      <c r="A384" s="33">
        <v>42036</v>
      </c>
      <c r="B384">
        <v>127</v>
      </c>
      <c r="C384">
        <v>2083</v>
      </c>
      <c r="D384" t="str">
        <f>VLOOKUP(B384,ZoneTable,2,FALSE)</f>
        <v>Manhattan</v>
      </c>
      <c r="E384" t="str">
        <f>VLOOKUP(B384,ZoneTable,3,FALSE)</f>
        <v>Inwood</v>
      </c>
      <c r="F384" t="str">
        <f>IF(OR(B384=1,B384=132,B384=138),"Airports",D384)</f>
        <v>Manhattan</v>
      </c>
    </row>
    <row r="385" spans="1:6">
      <c r="A385" s="33">
        <v>42036</v>
      </c>
      <c r="B385">
        <v>128</v>
      </c>
      <c r="C385">
        <v>123</v>
      </c>
      <c r="D385" t="str">
        <f>VLOOKUP(B385,ZoneTable,2,FALSE)</f>
        <v>Manhattan</v>
      </c>
      <c r="E385" t="str">
        <f>VLOOKUP(B385,ZoneTable,3,FALSE)</f>
        <v>Inwood Hill Park</v>
      </c>
      <c r="F385" t="str">
        <f>IF(OR(B385=1,B385=132,B385=138),"Airports",D385)</f>
        <v>Manhattan</v>
      </c>
    </row>
    <row r="386" spans="1:6">
      <c r="A386" s="33">
        <v>42036</v>
      </c>
      <c r="B386">
        <v>129</v>
      </c>
      <c r="C386">
        <v>5188</v>
      </c>
      <c r="D386" t="str">
        <f>VLOOKUP(B386,ZoneTable,2,FALSE)</f>
        <v>Queens</v>
      </c>
      <c r="E386" t="str">
        <f>VLOOKUP(B386,ZoneTable,3,FALSE)</f>
        <v>Jackson Heights</v>
      </c>
      <c r="F386" t="str">
        <f>IF(OR(B386=1,B386=132,B386=138),"Airports",D386)</f>
        <v>Queens</v>
      </c>
    </row>
    <row r="387" spans="1:6">
      <c r="A387" s="33">
        <v>42036</v>
      </c>
      <c r="B387">
        <v>130</v>
      </c>
      <c r="C387">
        <v>1906</v>
      </c>
      <c r="D387" t="str">
        <f>VLOOKUP(B387,ZoneTable,2,FALSE)</f>
        <v>Queens</v>
      </c>
      <c r="E387" t="str">
        <f>VLOOKUP(B387,ZoneTable,3,FALSE)</f>
        <v>Jamaica</v>
      </c>
      <c r="F387" t="str">
        <f>IF(OR(B387=1,B387=132,B387=138),"Airports",D387)</f>
        <v>Queens</v>
      </c>
    </row>
    <row r="388" spans="1:6">
      <c r="A388" s="33">
        <v>42036</v>
      </c>
      <c r="B388">
        <v>131</v>
      </c>
      <c r="C388">
        <v>996</v>
      </c>
      <c r="D388" t="str">
        <f>VLOOKUP(B388,ZoneTable,2,FALSE)</f>
        <v>Queens</v>
      </c>
      <c r="E388" t="str">
        <f>VLOOKUP(B388,ZoneTable,3,FALSE)</f>
        <v>Jamaica Estates</v>
      </c>
      <c r="F388" t="str">
        <f>IF(OR(B388=1,B388=132,B388=138),"Airports",D388)</f>
        <v>Queens</v>
      </c>
    </row>
    <row r="389" spans="1:6">
      <c r="A389" s="33">
        <v>42036</v>
      </c>
      <c r="B389">
        <v>132</v>
      </c>
      <c r="C389">
        <v>38392</v>
      </c>
      <c r="D389" t="str">
        <f>VLOOKUP(B389,ZoneTable,2,FALSE)</f>
        <v>Queens</v>
      </c>
      <c r="E389" t="str">
        <f>VLOOKUP(B389,ZoneTable,3,FALSE)</f>
        <v>JFK Airport</v>
      </c>
      <c r="F389" t="str">
        <f>IF(OR(B389=1,B389=132,B389=138),"Airports",D389)</f>
        <v>Airports</v>
      </c>
    </row>
    <row r="390" spans="1:6">
      <c r="A390" s="33">
        <v>42036</v>
      </c>
      <c r="B390">
        <v>133</v>
      </c>
      <c r="C390">
        <v>1845</v>
      </c>
      <c r="D390" t="str">
        <f>VLOOKUP(B390,ZoneTable,2,FALSE)</f>
        <v>Brooklyn</v>
      </c>
      <c r="E390" t="str">
        <f>VLOOKUP(B390,ZoneTable,3,FALSE)</f>
        <v>Kensington</v>
      </c>
      <c r="F390" t="str">
        <f>IF(OR(B390=1,B390=132,B390=138),"Airports",D390)</f>
        <v>Brooklyn</v>
      </c>
    </row>
    <row r="391" spans="1:6">
      <c r="A391" s="33">
        <v>42036</v>
      </c>
      <c r="B391">
        <v>134</v>
      </c>
      <c r="C391">
        <v>1581</v>
      </c>
      <c r="D391" t="str">
        <f>VLOOKUP(B391,ZoneTable,2,FALSE)</f>
        <v>Queens</v>
      </c>
      <c r="E391" t="str">
        <f>VLOOKUP(B391,ZoneTable,3,FALSE)</f>
        <v>Kew Gardens</v>
      </c>
      <c r="F391" t="str">
        <f>IF(OR(B391=1,B391=132,B391=138),"Airports",D391)</f>
        <v>Queens</v>
      </c>
    </row>
    <row r="392" spans="1:6">
      <c r="A392" s="33">
        <v>42036</v>
      </c>
      <c r="B392">
        <v>135</v>
      </c>
      <c r="C392">
        <v>1757</v>
      </c>
      <c r="D392" t="str">
        <f>VLOOKUP(B392,ZoneTable,2,FALSE)</f>
        <v>Queens</v>
      </c>
      <c r="E392" t="str">
        <f>VLOOKUP(B392,ZoneTable,3,FALSE)</f>
        <v>Kew Gardens Hills</v>
      </c>
      <c r="F392" t="str">
        <f>IF(OR(B392=1,B392=132,B392=138),"Airports",D392)</f>
        <v>Queens</v>
      </c>
    </row>
    <row r="393" spans="1:6">
      <c r="A393" s="33">
        <v>42036</v>
      </c>
      <c r="B393">
        <v>136</v>
      </c>
      <c r="C393">
        <v>625</v>
      </c>
      <c r="D393" t="str">
        <f>VLOOKUP(B393,ZoneTable,2,FALSE)</f>
        <v>Bronx</v>
      </c>
      <c r="E393" t="str">
        <f>VLOOKUP(B393,ZoneTable,3,FALSE)</f>
        <v>Kingsbridge Heights</v>
      </c>
      <c r="F393" t="str">
        <f>IF(OR(B393=1,B393=132,B393=138),"Airports",D393)</f>
        <v>Bronx</v>
      </c>
    </row>
    <row r="394" spans="1:6">
      <c r="A394" s="33">
        <v>42036</v>
      </c>
      <c r="B394">
        <v>137</v>
      </c>
      <c r="C394">
        <v>19121</v>
      </c>
      <c r="D394" t="str">
        <f>VLOOKUP(B394,ZoneTable,2,FALSE)</f>
        <v>Manhattan</v>
      </c>
      <c r="E394" t="str">
        <f>VLOOKUP(B394,ZoneTable,3,FALSE)</f>
        <v>Kips Bay</v>
      </c>
      <c r="F394" t="str">
        <f>IF(OR(B394=1,B394=132,B394=138),"Airports",D394)</f>
        <v>Manhattan</v>
      </c>
    </row>
    <row r="395" spans="1:6">
      <c r="A395" s="33">
        <v>42036</v>
      </c>
      <c r="B395">
        <v>138</v>
      </c>
      <c r="C395">
        <v>34186</v>
      </c>
      <c r="D395" t="str">
        <f>VLOOKUP(B395,ZoneTable,2,FALSE)</f>
        <v>Queens</v>
      </c>
      <c r="E395" t="str">
        <f>VLOOKUP(B395,ZoneTable,3,FALSE)</f>
        <v>LaGuardia Airport</v>
      </c>
      <c r="F395" t="str">
        <f>IF(OR(B395=1,B395=132,B395=138),"Airports",D395)</f>
        <v>Airports</v>
      </c>
    </row>
    <row r="396" spans="1:6">
      <c r="A396" s="33">
        <v>42036</v>
      </c>
      <c r="B396">
        <v>139</v>
      </c>
      <c r="C396">
        <v>354</v>
      </c>
      <c r="D396" t="str">
        <f>VLOOKUP(B396,ZoneTable,2,FALSE)</f>
        <v>Queens</v>
      </c>
      <c r="E396" t="str">
        <f>VLOOKUP(B396,ZoneTable,3,FALSE)</f>
        <v>Laurelton</v>
      </c>
      <c r="F396" t="str">
        <f>IF(OR(B396=1,B396=132,B396=138),"Airports",D396)</f>
        <v>Queens</v>
      </c>
    </row>
    <row r="397" spans="1:6">
      <c r="A397" s="33">
        <v>42036</v>
      </c>
      <c r="B397">
        <v>140</v>
      </c>
      <c r="C397">
        <v>20103</v>
      </c>
      <c r="D397" t="str">
        <f>VLOOKUP(B397,ZoneTable,2,FALSE)</f>
        <v>Manhattan</v>
      </c>
      <c r="E397" t="str">
        <f>VLOOKUP(B397,ZoneTable,3,FALSE)</f>
        <v>Lenox Hill East</v>
      </c>
      <c r="F397" t="str">
        <f>IF(OR(B397=1,B397=132,B397=138),"Airports",D397)</f>
        <v>Manhattan</v>
      </c>
    </row>
    <row r="398" spans="1:6">
      <c r="A398" s="33">
        <v>42036</v>
      </c>
      <c r="B398">
        <v>141</v>
      </c>
      <c r="C398">
        <v>33187</v>
      </c>
      <c r="D398" t="str">
        <f>VLOOKUP(B398,ZoneTable,2,FALSE)</f>
        <v>Manhattan</v>
      </c>
      <c r="E398" t="str">
        <f>VLOOKUP(B398,ZoneTable,3,FALSE)</f>
        <v>Lenox Hill West</v>
      </c>
      <c r="F398" t="str">
        <f>IF(OR(B398=1,B398=132,B398=138),"Airports",D398)</f>
        <v>Manhattan</v>
      </c>
    </row>
    <row r="399" spans="1:6">
      <c r="A399" s="33">
        <v>42036</v>
      </c>
      <c r="B399">
        <v>142</v>
      </c>
      <c r="C399">
        <v>33476</v>
      </c>
      <c r="D399" t="str">
        <f>VLOOKUP(B399,ZoneTable,2,FALSE)</f>
        <v>Manhattan</v>
      </c>
      <c r="E399" t="str">
        <f>VLOOKUP(B399,ZoneTable,3,FALSE)</f>
        <v>Lincoln Square East</v>
      </c>
      <c r="F399" t="str">
        <f>IF(OR(B399=1,B399=132,B399=138),"Airports",D399)</f>
        <v>Manhattan</v>
      </c>
    </row>
    <row r="400" spans="1:6">
      <c r="A400" s="33">
        <v>42036</v>
      </c>
      <c r="B400">
        <v>143</v>
      </c>
      <c r="C400">
        <v>18538</v>
      </c>
      <c r="D400" t="str">
        <f>VLOOKUP(B400,ZoneTable,2,FALSE)</f>
        <v>Manhattan</v>
      </c>
      <c r="E400" t="str">
        <f>VLOOKUP(B400,ZoneTable,3,FALSE)</f>
        <v>Lincoln Square West</v>
      </c>
      <c r="F400" t="str">
        <f>IF(OR(B400=1,B400=132,B400=138),"Airports",D400)</f>
        <v>Manhattan</v>
      </c>
    </row>
    <row r="401" spans="1:6">
      <c r="A401" s="33">
        <v>42036</v>
      </c>
      <c r="B401">
        <v>144</v>
      </c>
      <c r="C401">
        <v>44387</v>
      </c>
      <c r="D401" t="str">
        <f>VLOOKUP(B401,ZoneTable,2,FALSE)</f>
        <v>Manhattan</v>
      </c>
      <c r="E401" t="str">
        <f>VLOOKUP(B401,ZoneTable,3,FALSE)</f>
        <v>Little Italy/NoLiTa</v>
      </c>
      <c r="F401" t="str">
        <f>IF(OR(B401=1,B401=132,B401=138),"Airports",D401)</f>
        <v>Manhattan</v>
      </c>
    </row>
    <row r="402" spans="1:6">
      <c r="A402" s="33">
        <v>42036</v>
      </c>
      <c r="B402">
        <v>145</v>
      </c>
      <c r="C402">
        <v>11847</v>
      </c>
      <c r="D402" t="str">
        <f>VLOOKUP(B402,ZoneTable,2,FALSE)</f>
        <v>Queens</v>
      </c>
      <c r="E402" t="str">
        <f>VLOOKUP(B402,ZoneTable,3,FALSE)</f>
        <v>Long Island City/Hunters Point</v>
      </c>
      <c r="F402" t="str">
        <f>IF(OR(B402=1,B402=132,B402=138),"Airports",D402)</f>
        <v>Queens</v>
      </c>
    </row>
    <row r="403" spans="1:6">
      <c r="A403" s="33">
        <v>42036</v>
      </c>
      <c r="B403">
        <v>146</v>
      </c>
      <c r="C403">
        <v>2788</v>
      </c>
      <c r="D403" t="str">
        <f>VLOOKUP(B403,ZoneTable,2,FALSE)</f>
        <v>Queens</v>
      </c>
      <c r="E403" t="str">
        <f>VLOOKUP(B403,ZoneTable,3,FALSE)</f>
        <v>Long Island City/Queens Plaza</v>
      </c>
      <c r="F403" t="str">
        <f>IF(OR(B403=1,B403=132,B403=138),"Airports",D403)</f>
        <v>Queens</v>
      </c>
    </row>
    <row r="404" spans="1:6">
      <c r="A404" s="33">
        <v>42036</v>
      </c>
      <c r="B404">
        <v>147</v>
      </c>
      <c r="C404">
        <v>368</v>
      </c>
      <c r="D404" t="str">
        <f>VLOOKUP(B404,ZoneTable,2,FALSE)</f>
        <v>Bronx</v>
      </c>
      <c r="E404" t="str">
        <f>VLOOKUP(B404,ZoneTable,3,FALSE)</f>
        <v>Longwood</v>
      </c>
      <c r="F404" t="str">
        <f>IF(OR(B404=1,B404=132,B404=138),"Airports",D404)</f>
        <v>Bronx</v>
      </c>
    </row>
    <row r="405" spans="1:6">
      <c r="A405" s="33">
        <v>42036</v>
      </c>
      <c r="B405">
        <v>148</v>
      </c>
      <c r="C405">
        <v>40509</v>
      </c>
      <c r="D405" t="str">
        <f>VLOOKUP(B405,ZoneTable,2,FALSE)</f>
        <v>Manhattan</v>
      </c>
      <c r="E405" t="str">
        <f>VLOOKUP(B405,ZoneTable,3,FALSE)</f>
        <v>Lower East Side</v>
      </c>
      <c r="F405" t="str">
        <f>IF(OR(B405=1,B405=132,B405=138),"Airports",D405)</f>
        <v>Manhattan</v>
      </c>
    </row>
    <row r="406" spans="1:6">
      <c r="A406" s="33">
        <v>42036</v>
      </c>
      <c r="B406">
        <v>149</v>
      </c>
      <c r="C406">
        <v>1246</v>
      </c>
      <c r="D406" t="str">
        <f>VLOOKUP(B406,ZoneTable,2,FALSE)</f>
        <v>Brooklyn</v>
      </c>
      <c r="E406" t="str">
        <f>VLOOKUP(B406,ZoneTable,3,FALSE)</f>
        <v>Madison</v>
      </c>
      <c r="F406" t="str">
        <f>IF(OR(B406=1,B406=132,B406=138),"Airports",D406)</f>
        <v>Brooklyn</v>
      </c>
    </row>
    <row r="407" spans="1:6">
      <c r="A407" s="33">
        <v>42036</v>
      </c>
      <c r="B407">
        <v>150</v>
      </c>
      <c r="C407">
        <v>537</v>
      </c>
      <c r="D407" t="str">
        <f>VLOOKUP(B407,ZoneTable,2,FALSE)</f>
        <v>Brooklyn</v>
      </c>
      <c r="E407" t="str">
        <f>VLOOKUP(B407,ZoneTable,3,FALSE)</f>
        <v>Manhattan Beach</v>
      </c>
      <c r="F407" t="str">
        <f>IF(OR(B407=1,B407=132,B407=138),"Airports",D407)</f>
        <v>Brooklyn</v>
      </c>
    </row>
    <row r="408" spans="1:6">
      <c r="A408" s="33">
        <v>42036</v>
      </c>
      <c r="B408">
        <v>151</v>
      </c>
      <c r="C408">
        <v>9308</v>
      </c>
      <c r="D408" t="str">
        <f>VLOOKUP(B408,ZoneTable,2,FALSE)</f>
        <v>Manhattan</v>
      </c>
      <c r="E408" t="str">
        <f>VLOOKUP(B408,ZoneTable,3,FALSE)</f>
        <v>Manhattan Valley</v>
      </c>
      <c r="F408" t="str">
        <f>IF(OR(B408=1,B408=132,B408=138),"Airports",D408)</f>
        <v>Manhattan</v>
      </c>
    </row>
    <row r="409" spans="1:6">
      <c r="A409" s="33">
        <v>42036</v>
      </c>
      <c r="B409">
        <v>152</v>
      </c>
      <c r="C409">
        <v>2586</v>
      </c>
      <c r="D409" t="str">
        <f>VLOOKUP(B409,ZoneTable,2,FALSE)</f>
        <v>Manhattan</v>
      </c>
      <c r="E409" t="str">
        <f>VLOOKUP(B409,ZoneTable,3,FALSE)</f>
        <v>Manhattanville</v>
      </c>
      <c r="F409" t="str">
        <f>IF(OR(B409=1,B409=132,B409=138),"Airports",D409)</f>
        <v>Manhattan</v>
      </c>
    </row>
    <row r="410" spans="1:6">
      <c r="A410" s="33">
        <v>42036</v>
      </c>
      <c r="B410">
        <v>153</v>
      </c>
      <c r="C410">
        <v>438</v>
      </c>
      <c r="D410" t="str">
        <f>VLOOKUP(B410,ZoneTable,2,FALSE)</f>
        <v>Manhattan</v>
      </c>
      <c r="E410" t="str">
        <f>VLOOKUP(B410,ZoneTable,3,FALSE)</f>
        <v>Marble Hill</v>
      </c>
      <c r="F410" t="str">
        <f>IF(OR(B410=1,B410=132,B410=138),"Airports",D410)</f>
        <v>Manhattan</v>
      </c>
    </row>
    <row r="411" spans="1:6">
      <c r="A411" s="33">
        <v>42036</v>
      </c>
      <c r="B411">
        <v>154</v>
      </c>
      <c r="C411">
        <v>39</v>
      </c>
      <c r="D411" t="str">
        <f>VLOOKUP(B411,ZoneTable,2,FALSE)</f>
        <v>Brooklyn</v>
      </c>
      <c r="E411" t="str">
        <f>VLOOKUP(B411,ZoneTable,3,FALSE)</f>
        <v>Marine Park/Floyd Bennett Field</v>
      </c>
      <c r="F411" t="str">
        <f>IF(OR(B411=1,B411=132,B411=138),"Airports",D411)</f>
        <v>Brooklyn</v>
      </c>
    </row>
    <row r="412" spans="1:6">
      <c r="A412" s="33">
        <v>42036</v>
      </c>
      <c r="B412">
        <v>155</v>
      </c>
      <c r="C412">
        <v>1145</v>
      </c>
      <c r="D412" t="str">
        <f>VLOOKUP(B412,ZoneTable,2,FALSE)</f>
        <v>Brooklyn</v>
      </c>
      <c r="E412" t="str">
        <f>VLOOKUP(B412,ZoneTable,3,FALSE)</f>
        <v>Marine Park/Mill Basin</v>
      </c>
      <c r="F412" t="str">
        <f>IF(OR(B412=1,B412=132,B412=138),"Airports",D412)</f>
        <v>Brooklyn</v>
      </c>
    </row>
    <row r="413" spans="1:6">
      <c r="A413" s="33">
        <v>42036</v>
      </c>
      <c r="B413">
        <v>156</v>
      </c>
      <c r="C413">
        <v>82</v>
      </c>
      <c r="D413" t="str">
        <f>VLOOKUP(B413,ZoneTable,2,FALSE)</f>
        <v>Staten Island</v>
      </c>
      <c r="E413" t="str">
        <f>VLOOKUP(B413,ZoneTable,3,FALSE)</f>
        <v>Mariners Harbor</v>
      </c>
      <c r="F413" t="str">
        <f>IF(OR(B413=1,B413=132,B413=138),"Airports",D413)</f>
        <v>Staten Island</v>
      </c>
    </row>
    <row r="414" spans="1:6">
      <c r="A414" s="33">
        <v>42036</v>
      </c>
      <c r="B414">
        <v>157</v>
      </c>
      <c r="C414">
        <v>2064</v>
      </c>
      <c r="D414" t="str">
        <f>VLOOKUP(B414,ZoneTable,2,FALSE)</f>
        <v>Queens</v>
      </c>
      <c r="E414" t="str">
        <f>VLOOKUP(B414,ZoneTable,3,FALSE)</f>
        <v>Maspeth</v>
      </c>
      <c r="F414" t="str">
        <f>IF(OR(B414=1,B414=132,B414=138),"Airports",D414)</f>
        <v>Queens</v>
      </c>
    </row>
    <row r="415" spans="1:6">
      <c r="A415" s="33">
        <v>42036</v>
      </c>
      <c r="B415">
        <v>158</v>
      </c>
      <c r="C415">
        <v>43654</v>
      </c>
      <c r="D415" t="str">
        <f>VLOOKUP(B415,ZoneTable,2,FALSE)</f>
        <v>Manhattan</v>
      </c>
      <c r="E415" t="str">
        <f>VLOOKUP(B415,ZoneTable,3,FALSE)</f>
        <v>Meatpacking/West Village West</v>
      </c>
      <c r="F415" t="str">
        <f>IF(OR(B415=1,B415=132,B415=138),"Airports",D415)</f>
        <v>Manhattan</v>
      </c>
    </row>
    <row r="416" spans="1:6">
      <c r="A416" s="33">
        <v>42036</v>
      </c>
      <c r="B416">
        <v>159</v>
      </c>
      <c r="C416">
        <v>774</v>
      </c>
      <c r="D416" t="str">
        <f>VLOOKUP(B416,ZoneTable,2,FALSE)</f>
        <v>Bronx</v>
      </c>
      <c r="E416" t="str">
        <f>VLOOKUP(B416,ZoneTable,3,FALSE)</f>
        <v>Melrose South</v>
      </c>
      <c r="F416" t="str">
        <f>IF(OR(B416=1,B416=132,B416=138),"Airports",D416)</f>
        <v>Bronx</v>
      </c>
    </row>
    <row r="417" spans="1:6">
      <c r="A417" s="33">
        <v>42036</v>
      </c>
      <c r="B417">
        <v>160</v>
      </c>
      <c r="C417">
        <v>1720</v>
      </c>
      <c r="D417" t="str">
        <f>VLOOKUP(B417,ZoneTable,2,FALSE)</f>
        <v>Queens</v>
      </c>
      <c r="E417" t="str">
        <f>VLOOKUP(B417,ZoneTable,3,FALSE)</f>
        <v>Middle Village</v>
      </c>
      <c r="F417" t="str">
        <f>IF(OR(B417=1,B417=132,B417=138),"Airports",D417)</f>
        <v>Queens</v>
      </c>
    </row>
    <row r="418" spans="1:6">
      <c r="A418" s="33">
        <v>42036</v>
      </c>
      <c r="B418">
        <v>161</v>
      </c>
      <c r="C418">
        <v>80102</v>
      </c>
      <c r="D418" t="str">
        <f>VLOOKUP(B418,ZoneTable,2,FALSE)</f>
        <v>Manhattan</v>
      </c>
      <c r="E418" t="str">
        <f>VLOOKUP(B418,ZoneTable,3,FALSE)</f>
        <v>Midtown Center</v>
      </c>
      <c r="F418" t="str">
        <f>IF(OR(B418=1,B418=132,B418=138),"Airports",D418)</f>
        <v>Manhattan</v>
      </c>
    </row>
    <row r="419" spans="1:6">
      <c r="A419" s="33">
        <v>42036</v>
      </c>
      <c r="B419">
        <v>162</v>
      </c>
      <c r="C419">
        <v>47947</v>
      </c>
      <c r="D419" t="str">
        <f>VLOOKUP(B419,ZoneTable,2,FALSE)</f>
        <v>Manhattan</v>
      </c>
      <c r="E419" t="str">
        <f>VLOOKUP(B419,ZoneTable,3,FALSE)</f>
        <v>Midtown East</v>
      </c>
      <c r="F419" t="str">
        <f>IF(OR(B419=1,B419=132,B419=138),"Airports",D419)</f>
        <v>Manhattan</v>
      </c>
    </row>
    <row r="420" spans="1:6">
      <c r="A420" s="33">
        <v>42036</v>
      </c>
      <c r="B420">
        <v>163</v>
      </c>
      <c r="C420">
        <v>50072</v>
      </c>
      <c r="D420" t="str">
        <f>VLOOKUP(B420,ZoneTable,2,FALSE)</f>
        <v>Manhattan</v>
      </c>
      <c r="E420" t="str">
        <f>VLOOKUP(B420,ZoneTable,3,FALSE)</f>
        <v>Midtown North</v>
      </c>
      <c r="F420" t="str">
        <f>IF(OR(B420=1,B420=132,B420=138),"Airports",D420)</f>
        <v>Manhattan</v>
      </c>
    </row>
    <row r="421" spans="1:6">
      <c r="A421" s="33">
        <v>42036</v>
      </c>
      <c r="B421">
        <v>164</v>
      </c>
      <c r="C421">
        <v>43950</v>
      </c>
      <c r="D421" t="str">
        <f>VLOOKUP(B421,ZoneTable,2,FALSE)</f>
        <v>Manhattan</v>
      </c>
      <c r="E421" t="str">
        <f>VLOOKUP(B421,ZoneTable,3,FALSE)</f>
        <v>Midtown South</v>
      </c>
      <c r="F421" t="str">
        <f>IF(OR(B421=1,B421=132,B421=138),"Airports",D421)</f>
        <v>Manhattan</v>
      </c>
    </row>
    <row r="422" spans="1:6">
      <c r="A422" s="33">
        <v>42036</v>
      </c>
      <c r="B422">
        <v>165</v>
      </c>
      <c r="C422">
        <v>2788</v>
      </c>
      <c r="D422" t="str">
        <f>VLOOKUP(B422,ZoneTable,2,FALSE)</f>
        <v>Brooklyn</v>
      </c>
      <c r="E422" t="str">
        <f>VLOOKUP(B422,ZoneTable,3,FALSE)</f>
        <v>Midwood</v>
      </c>
      <c r="F422" t="str">
        <f>IF(OR(B422=1,B422=132,B422=138),"Airports",D422)</f>
        <v>Brooklyn</v>
      </c>
    </row>
    <row r="423" spans="1:6">
      <c r="A423" s="33">
        <v>42036</v>
      </c>
      <c r="B423">
        <v>166</v>
      </c>
      <c r="C423">
        <v>8670</v>
      </c>
      <c r="D423" t="str">
        <f>VLOOKUP(B423,ZoneTable,2,FALSE)</f>
        <v>Manhattan</v>
      </c>
      <c r="E423" t="str">
        <f>VLOOKUP(B423,ZoneTable,3,FALSE)</f>
        <v>Morningside Heights</v>
      </c>
      <c r="F423" t="str">
        <f>IF(OR(B423=1,B423=132,B423=138),"Airports",D423)</f>
        <v>Manhattan</v>
      </c>
    </row>
    <row r="424" spans="1:6">
      <c r="A424" s="33">
        <v>42036</v>
      </c>
      <c r="B424">
        <v>167</v>
      </c>
      <c r="C424">
        <v>749</v>
      </c>
      <c r="D424" t="str">
        <f>VLOOKUP(B424,ZoneTable,2,FALSE)</f>
        <v>Bronx</v>
      </c>
      <c r="E424" t="str">
        <f>VLOOKUP(B424,ZoneTable,3,FALSE)</f>
        <v>Morrisania/Melrose</v>
      </c>
      <c r="F424" t="str">
        <f>IF(OR(B424=1,B424=132,B424=138),"Airports",D424)</f>
        <v>Bronx</v>
      </c>
    </row>
    <row r="425" spans="1:6">
      <c r="A425" s="33">
        <v>42036</v>
      </c>
      <c r="B425">
        <v>168</v>
      </c>
      <c r="C425">
        <v>1588</v>
      </c>
      <c r="D425" t="str">
        <f>VLOOKUP(B425,ZoneTable,2,FALSE)</f>
        <v>Bronx</v>
      </c>
      <c r="E425" t="str">
        <f>VLOOKUP(B425,ZoneTable,3,FALSE)</f>
        <v>Mott Haven/Port Morris</v>
      </c>
      <c r="F425" t="str">
        <f>IF(OR(B425=1,B425=132,B425=138),"Airports",D425)</f>
        <v>Bronx</v>
      </c>
    </row>
    <row r="426" spans="1:6">
      <c r="A426" s="33">
        <v>42036</v>
      </c>
      <c r="B426">
        <v>169</v>
      </c>
      <c r="C426">
        <v>700</v>
      </c>
      <c r="D426" t="str">
        <f>VLOOKUP(B426,ZoneTable,2,FALSE)</f>
        <v>Bronx</v>
      </c>
      <c r="E426" t="str">
        <f>VLOOKUP(B426,ZoneTable,3,FALSE)</f>
        <v>Mount Hope</v>
      </c>
      <c r="F426" t="str">
        <f>IF(OR(B426=1,B426=132,B426=138),"Airports",D426)</f>
        <v>Bronx</v>
      </c>
    </row>
    <row r="427" spans="1:6">
      <c r="A427" s="33">
        <v>42036</v>
      </c>
      <c r="B427">
        <v>170</v>
      </c>
      <c r="C427">
        <v>47535</v>
      </c>
      <c r="D427" t="str">
        <f>VLOOKUP(B427,ZoneTable,2,FALSE)</f>
        <v>Manhattan</v>
      </c>
      <c r="E427" t="str">
        <f>VLOOKUP(B427,ZoneTable,3,FALSE)</f>
        <v>Murray Hill</v>
      </c>
      <c r="F427" t="str">
        <f>IF(OR(B427=1,B427=132,B427=138),"Airports",D427)</f>
        <v>Manhattan</v>
      </c>
    </row>
    <row r="428" spans="1:6">
      <c r="A428" s="33">
        <v>42036</v>
      </c>
      <c r="B428">
        <v>171</v>
      </c>
      <c r="C428">
        <v>878</v>
      </c>
      <c r="D428" t="str">
        <f>VLOOKUP(B428,ZoneTable,2,FALSE)</f>
        <v>Queens</v>
      </c>
      <c r="E428" t="str">
        <f>VLOOKUP(B428,ZoneTable,3,FALSE)</f>
        <v>Murray Hill-Queens</v>
      </c>
      <c r="F428" t="str">
        <f>IF(OR(B428=1,B428=132,B428=138),"Airports",D428)</f>
        <v>Queens</v>
      </c>
    </row>
    <row r="429" spans="1:6">
      <c r="A429" s="33">
        <v>42036</v>
      </c>
      <c r="B429">
        <v>172</v>
      </c>
      <c r="C429">
        <v>31</v>
      </c>
      <c r="D429" t="str">
        <f>VLOOKUP(B429,ZoneTable,2,FALSE)</f>
        <v>Staten Island</v>
      </c>
      <c r="E429" t="str">
        <f>VLOOKUP(B429,ZoneTable,3,FALSE)</f>
        <v>New Dorp/Midland Beach</v>
      </c>
      <c r="F429" t="str">
        <f>IF(OR(B429=1,B429=132,B429=138),"Airports",D429)</f>
        <v>Staten Island</v>
      </c>
    </row>
    <row r="430" spans="1:6">
      <c r="A430" s="33">
        <v>42036</v>
      </c>
      <c r="B430">
        <v>173</v>
      </c>
      <c r="C430">
        <v>548</v>
      </c>
      <c r="D430" t="str">
        <f>VLOOKUP(B430,ZoneTable,2,FALSE)</f>
        <v>Queens</v>
      </c>
      <c r="E430" t="str">
        <f>VLOOKUP(B430,ZoneTable,3,FALSE)</f>
        <v>North Corona</v>
      </c>
      <c r="F430" t="str">
        <f>IF(OR(B430=1,B430=132,B430=138),"Airports",D430)</f>
        <v>Queens</v>
      </c>
    </row>
    <row r="431" spans="1:6">
      <c r="A431" s="33">
        <v>42036</v>
      </c>
      <c r="B431">
        <v>174</v>
      </c>
      <c r="C431">
        <v>907</v>
      </c>
      <c r="D431" t="str">
        <f>VLOOKUP(B431,ZoneTable,2,FALSE)</f>
        <v>Bronx</v>
      </c>
      <c r="E431" t="str">
        <f>VLOOKUP(B431,ZoneTable,3,FALSE)</f>
        <v>Norwood</v>
      </c>
      <c r="F431" t="str">
        <f>IF(OR(B431=1,B431=132,B431=138),"Airports",D431)</f>
        <v>Bronx</v>
      </c>
    </row>
    <row r="432" spans="1:6">
      <c r="A432" s="33">
        <v>42036</v>
      </c>
      <c r="B432">
        <v>175</v>
      </c>
      <c r="C432">
        <v>524</v>
      </c>
      <c r="D432" t="str">
        <f>VLOOKUP(B432,ZoneTable,2,FALSE)</f>
        <v>Queens</v>
      </c>
      <c r="E432" t="str">
        <f>VLOOKUP(B432,ZoneTable,3,FALSE)</f>
        <v>Oakland Gardens</v>
      </c>
      <c r="F432" t="str">
        <f>IF(OR(B432=1,B432=132,B432=138),"Airports",D432)</f>
        <v>Queens</v>
      </c>
    </row>
    <row r="433" spans="1:6">
      <c r="A433" s="33">
        <v>42036</v>
      </c>
      <c r="B433">
        <v>176</v>
      </c>
      <c r="C433">
        <v>21</v>
      </c>
      <c r="D433" t="str">
        <f>VLOOKUP(B433,ZoneTable,2,FALSE)</f>
        <v>Staten Island</v>
      </c>
      <c r="E433" t="str">
        <f>VLOOKUP(B433,ZoneTable,3,FALSE)</f>
        <v>Oakwood</v>
      </c>
      <c r="F433" t="str">
        <f>IF(OR(B433=1,B433=132,B433=138),"Airports",D433)</f>
        <v>Staten Island</v>
      </c>
    </row>
    <row r="434" spans="1:6">
      <c r="A434" s="33">
        <v>42036</v>
      </c>
      <c r="B434">
        <v>177</v>
      </c>
      <c r="C434">
        <v>1843</v>
      </c>
      <c r="D434" t="str">
        <f>VLOOKUP(B434,ZoneTable,2,FALSE)</f>
        <v>Brooklyn</v>
      </c>
      <c r="E434" t="str">
        <f>VLOOKUP(B434,ZoneTable,3,FALSE)</f>
        <v>Ocean Hill</v>
      </c>
      <c r="F434" t="str">
        <f>IF(OR(B434=1,B434=132,B434=138),"Airports",D434)</f>
        <v>Brooklyn</v>
      </c>
    </row>
    <row r="435" spans="1:6">
      <c r="A435" s="33">
        <v>42036</v>
      </c>
      <c r="B435">
        <v>178</v>
      </c>
      <c r="C435">
        <v>1223</v>
      </c>
      <c r="D435" t="str">
        <f>VLOOKUP(B435,ZoneTable,2,FALSE)</f>
        <v>Brooklyn</v>
      </c>
      <c r="E435" t="str">
        <f>VLOOKUP(B435,ZoneTable,3,FALSE)</f>
        <v>Ocean Parkway South</v>
      </c>
      <c r="F435" t="str">
        <f>IF(OR(B435=1,B435=132,B435=138),"Airports",D435)</f>
        <v>Brooklyn</v>
      </c>
    </row>
    <row r="436" spans="1:6">
      <c r="A436" s="33">
        <v>42036</v>
      </c>
      <c r="B436">
        <v>179</v>
      </c>
      <c r="C436">
        <v>4216</v>
      </c>
      <c r="D436" t="str">
        <f>VLOOKUP(B436,ZoneTable,2,FALSE)</f>
        <v>Queens</v>
      </c>
      <c r="E436" t="str">
        <f>VLOOKUP(B436,ZoneTable,3,FALSE)</f>
        <v>Old Astoria</v>
      </c>
      <c r="F436" t="str">
        <f>IF(OR(B436=1,B436=132,B436=138),"Airports",D436)</f>
        <v>Queens</v>
      </c>
    </row>
    <row r="437" spans="1:6">
      <c r="A437" s="33">
        <v>42036</v>
      </c>
      <c r="B437">
        <v>180</v>
      </c>
      <c r="C437">
        <v>653</v>
      </c>
      <c r="D437" t="str">
        <f>VLOOKUP(B437,ZoneTable,2,FALSE)</f>
        <v>Queens</v>
      </c>
      <c r="E437" t="str">
        <f>VLOOKUP(B437,ZoneTable,3,FALSE)</f>
        <v>Ozone Park</v>
      </c>
      <c r="F437" t="str">
        <f>IF(OR(B437=1,B437=132,B437=138),"Airports",D437)</f>
        <v>Queens</v>
      </c>
    </row>
    <row r="438" spans="1:6">
      <c r="A438" s="33">
        <v>42036</v>
      </c>
      <c r="B438">
        <v>181</v>
      </c>
      <c r="C438">
        <v>23532</v>
      </c>
      <c r="D438" t="str">
        <f>VLOOKUP(B438,ZoneTable,2,FALSE)</f>
        <v>Brooklyn</v>
      </c>
      <c r="E438" t="str">
        <f>VLOOKUP(B438,ZoneTable,3,FALSE)</f>
        <v>Park Slope</v>
      </c>
      <c r="F438" t="str">
        <f>IF(OR(B438=1,B438=132,B438=138),"Airports",D438)</f>
        <v>Brooklyn</v>
      </c>
    </row>
    <row r="439" spans="1:6">
      <c r="A439" s="33">
        <v>42036</v>
      </c>
      <c r="B439">
        <v>182</v>
      </c>
      <c r="C439">
        <v>468</v>
      </c>
      <c r="D439" t="str">
        <f>VLOOKUP(B439,ZoneTable,2,FALSE)</f>
        <v>Bronx</v>
      </c>
      <c r="E439" t="str">
        <f>VLOOKUP(B439,ZoneTable,3,FALSE)</f>
        <v>Parkchester</v>
      </c>
      <c r="F439" t="str">
        <f>IF(OR(B439=1,B439=132,B439=138),"Airports",D439)</f>
        <v>Bronx</v>
      </c>
    </row>
    <row r="440" spans="1:6">
      <c r="A440" s="33">
        <v>42036</v>
      </c>
      <c r="B440">
        <v>183</v>
      </c>
      <c r="C440">
        <v>324</v>
      </c>
      <c r="D440" t="str">
        <f>VLOOKUP(B440,ZoneTable,2,FALSE)</f>
        <v>Bronx</v>
      </c>
      <c r="E440" t="str">
        <f>VLOOKUP(B440,ZoneTable,3,FALSE)</f>
        <v>Pelham Bay</v>
      </c>
      <c r="F440" t="str">
        <f>IF(OR(B440=1,B440=132,B440=138),"Airports",D440)</f>
        <v>Bronx</v>
      </c>
    </row>
    <row r="441" spans="1:6">
      <c r="A441" s="33">
        <v>42036</v>
      </c>
      <c r="B441">
        <v>184</v>
      </c>
      <c r="C441">
        <v>17</v>
      </c>
      <c r="D441" t="str">
        <f>VLOOKUP(B441,ZoneTable,2,FALSE)</f>
        <v>Bronx</v>
      </c>
      <c r="E441" t="str">
        <f>VLOOKUP(B441,ZoneTable,3,FALSE)</f>
        <v>Pelham Bay Park</v>
      </c>
      <c r="F441" t="str">
        <f>IF(OR(B441=1,B441=132,B441=138),"Airports",D441)</f>
        <v>Bronx</v>
      </c>
    </row>
    <row r="442" spans="1:6">
      <c r="A442" s="33">
        <v>42036</v>
      </c>
      <c r="B442">
        <v>185</v>
      </c>
      <c r="C442">
        <v>983</v>
      </c>
      <c r="D442" t="str">
        <f>VLOOKUP(B442,ZoneTable,2,FALSE)</f>
        <v>Bronx</v>
      </c>
      <c r="E442" t="str">
        <f>VLOOKUP(B442,ZoneTable,3,FALSE)</f>
        <v>Pelham Parkway</v>
      </c>
      <c r="F442" t="str">
        <f>IF(OR(B442=1,B442=132,B442=138),"Airports",D442)</f>
        <v>Bronx</v>
      </c>
    </row>
    <row r="443" spans="1:6">
      <c r="A443" s="33">
        <v>42036</v>
      </c>
      <c r="B443">
        <v>186</v>
      </c>
      <c r="C443">
        <v>31708</v>
      </c>
      <c r="D443" t="str">
        <f>VLOOKUP(B443,ZoneTable,2,FALSE)</f>
        <v>Manhattan</v>
      </c>
      <c r="E443" t="str">
        <f>VLOOKUP(B443,ZoneTable,3,FALSE)</f>
        <v>Penn Station/Madison Sq West</v>
      </c>
      <c r="F443" t="str">
        <f>IF(OR(B443=1,B443=132,B443=138),"Airports",D443)</f>
        <v>Manhattan</v>
      </c>
    </row>
    <row r="444" spans="1:6">
      <c r="A444" s="33">
        <v>42036</v>
      </c>
      <c r="B444">
        <v>187</v>
      </c>
      <c r="C444">
        <v>25</v>
      </c>
      <c r="D444" t="str">
        <f>VLOOKUP(B444,ZoneTable,2,FALSE)</f>
        <v>Staten Island</v>
      </c>
      <c r="E444" t="str">
        <f>VLOOKUP(B444,ZoneTable,3,FALSE)</f>
        <v>Port Richmond</v>
      </c>
      <c r="F444" t="str">
        <f>IF(OR(B444=1,B444=132,B444=138),"Airports",D444)</f>
        <v>Staten Island</v>
      </c>
    </row>
    <row r="445" spans="1:6">
      <c r="A445" s="33">
        <v>42036</v>
      </c>
      <c r="B445">
        <v>188</v>
      </c>
      <c r="C445">
        <v>5186</v>
      </c>
      <c r="D445" t="str">
        <f>VLOOKUP(B445,ZoneTable,2,FALSE)</f>
        <v>Brooklyn</v>
      </c>
      <c r="E445" t="str">
        <f>VLOOKUP(B445,ZoneTable,3,FALSE)</f>
        <v>Prospect-Lefferts Gardens</v>
      </c>
      <c r="F445" t="str">
        <f>IF(OR(B445=1,B445=132,B445=138),"Airports",D445)</f>
        <v>Brooklyn</v>
      </c>
    </row>
    <row r="446" spans="1:6">
      <c r="A446" s="33">
        <v>42036</v>
      </c>
      <c r="B446">
        <v>189</v>
      </c>
      <c r="C446">
        <v>7950</v>
      </c>
      <c r="D446" t="str">
        <f>VLOOKUP(B446,ZoneTable,2,FALSE)</f>
        <v>Brooklyn</v>
      </c>
      <c r="E446" t="str">
        <f>VLOOKUP(B446,ZoneTable,3,FALSE)</f>
        <v>Prospect Heights</v>
      </c>
      <c r="F446" t="str">
        <f>IF(OR(B446=1,B446=132,B446=138),"Airports",D446)</f>
        <v>Brooklyn</v>
      </c>
    </row>
    <row r="447" spans="1:6">
      <c r="A447" s="33">
        <v>42036</v>
      </c>
      <c r="B447">
        <v>190</v>
      </c>
      <c r="C447">
        <v>890</v>
      </c>
      <c r="D447" t="str">
        <f>VLOOKUP(B447,ZoneTable,2,FALSE)</f>
        <v>Brooklyn</v>
      </c>
      <c r="E447" t="str">
        <f>VLOOKUP(B447,ZoneTable,3,FALSE)</f>
        <v>Prospect Park</v>
      </c>
      <c r="F447" t="str">
        <f>IF(OR(B447=1,B447=132,B447=138),"Airports",D447)</f>
        <v>Brooklyn</v>
      </c>
    </row>
    <row r="448" spans="1:6">
      <c r="A448" s="33">
        <v>42036</v>
      </c>
      <c r="B448">
        <v>191</v>
      </c>
      <c r="C448">
        <v>673</v>
      </c>
      <c r="D448" t="str">
        <f>VLOOKUP(B448,ZoneTable,2,FALSE)</f>
        <v>Queens</v>
      </c>
      <c r="E448" t="str">
        <f>VLOOKUP(B448,ZoneTable,3,FALSE)</f>
        <v>Queens Village</v>
      </c>
      <c r="F448" t="str">
        <f>IF(OR(B448=1,B448=132,B448=138),"Airports",D448)</f>
        <v>Queens</v>
      </c>
    </row>
    <row r="449" spans="1:6">
      <c r="A449" s="33">
        <v>42036</v>
      </c>
      <c r="B449">
        <v>192</v>
      </c>
      <c r="C449">
        <v>753</v>
      </c>
      <c r="D449" t="str">
        <f>VLOOKUP(B449,ZoneTable,2,FALSE)</f>
        <v>Queens</v>
      </c>
      <c r="E449" t="str">
        <f>VLOOKUP(B449,ZoneTable,3,FALSE)</f>
        <v>Queensboro Hill</v>
      </c>
      <c r="F449" t="str">
        <f>IF(OR(B449=1,B449=132,B449=138),"Airports",D449)</f>
        <v>Queens</v>
      </c>
    </row>
    <row r="450" spans="1:6">
      <c r="A450" s="33">
        <v>42036</v>
      </c>
      <c r="B450">
        <v>193</v>
      </c>
      <c r="C450">
        <v>767</v>
      </c>
      <c r="D450" t="str">
        <f>VLOOKUP(B450,ZoneTable,2,FALSE)</f>
        <v>Queens</v>
      </c>
      <c r="E450" t="str">
        <f>VLOOKUP(B450,ZoneTable,3,FALSE)</f>
        <v>Queensbridge/Ravenswood</v>
      </c>
      <c r="F450" t="str">
        <f>IF(OR(B450=1,B450=132,B450=138),"Airports",D450)</f>
        <v>Queens</v>
      </c>
    </row>
    <row r="451" spans="1:6">
      <c r="A451" s="33">
        <v>42036</v>
      </c>
      <c r="B451">
        <v>194</v>
      </c>
      <c r="C451">
        <v>107</v>
      </c>
      <c r="D451" t="str">
        <f>VLOOKUP(B451,ZoneTable,2,FALSE)</f>
        <v>Manhattan</v>
      </c>
      <c r="E451" t="str">
        <f>VLOOKUP(B451,ZoneTable,3,FALSE)</f>
        <v>Randalls Island</v>
      </c>
      <c r="F451" t="str">
        <f>IF(OR(B451=1,B451=132,B451=138),"Airports",D451)</f>
        <v>Manhattan</v>
      </c>
    </row>
    <row r="452" spans="1:6">
      <c r="A452" s="33">
        <v>42036</v>
      </c>
      <c r="B452">
        <v>195</v>
      </c>
      <c r="C452">
        <v>2469</v>
      </c>
      <c r="D452" t="str">
        <f>VLOOKUP(B452,ZoneTable,2,FALSE)</f>
        <v>Brooklyn</v>
      </c>
      <c r="E452" t="str">
        <f>VLOOKUP(B452,ZoneTable,3,FALSE)</f>
        <v>Red Hook</v>
      </c>
      <c r="F452" t="str">
        <f>IF(OR(B452=1,B452=132,B452=138),"Airports",D452)</f>
        <v>Brooklyn</v>
      </c>
    </row>
    <row r="453" spans="1:6">
      <c r="A453" s="33">
        <v>42036</v>
      </c>
      <c r="B453">
        <v>196</v>
      </c>
      <c r="C453">
        <v>1955</v>
      </c>
      <c r="D453" t="str">
        <f>VLOOKUP(B453,ZoneTable,2,FALSE)</f>
        <v>Queens</v>
      </c>
      <c r="E453" t="str">
        <f>VLOOKUP(B453,ZoneTable,3,FALSE)</f>
        <v>Rego Park</v>
      </c>
      <c r="F453" t="str">
        <f>IF(OR(B453=1,B453=132,B453=138),"Airports",D453)</f>
        <v>Queens</v>
      </c>
    </row>
    <row r="454" spans="1:6">
      <c r="A454" s="33">
        <v>42036</v>
      </c>
      <c r="B454">
        <v>197</v>
      </c>
      <c r="C454">
        <v>1390</v>
      </c>
      <c r="D454" t="str">
        <f>VLOOKUP(B454,ZoneTable,2,FALSE)</f>
        <v>Queens</v>
      </c>
      <c r="E454" t="str">
        <f>VLOOKUP(B454,ZoneTable,3,FALSE)</f>
        <v>Richmond Hill</v>
      </c>
      <c r="F454" t="str">
        <f>IF(OR(B454=1,B454=132,B454=138),"Airports",D454)</f>
        <v>Queens</v>
      </c>
    </row>
    <row r="455" spans="1:6">
      <c r="A455" s="33">
        <v>42036</v>
      </c>
      <c r="B455">
        <v>198</v>
      </c>
      <c r="C455">
        <v>3494</v>
      </c>
      <c r="D455" t="str">
        <f>VLOOKUP(B455,ZoneTable,2,FALSE)</f>
        <v>Queens</v>
      </c>
      <c r="E455" t="str">
        <f>VLOOKUP(B455,ZoneTable,3,FALSE)</f>
        <v>Ridgewood</v>
      </c>
      <c r="F455" t="str">
        <f>IF(OR(B455=1,B455=132,B455=138),"Airports",D455)</f>
        <v>Queens</v>
      </c>
    </row>
    <row r="456" spans="1:6">
      <c r="A456" s="33">
        <v>42036</v>
      </c>
      <c r="B456">
        <v>200</v>
      </c>
      <c r="C456">
        <v>2334</v>
      </c>
      <c r="D456" t="str">
        <f>VLOOKUP(B456,ZoneTable,2,FALSE)</f>
        <v>Bronx</v>
      </c>
      <c r="E456" t="str">
        <f>VLOOKUP(B456,ZoneTable,3,FALSE)</f>
        <v>Riverdale/North Riverdale/Fieldston</v>
      </c>
      <c r="F456" t="str">
        <f>IF(OR(B456=1,B456=132,B456=138),"Airports",D456)</f>
        <v>Bronx</v>
      </c>
    </row>
    <row r="457" spans="1:6">
      <c r="A457" s="33">
        <v>42036</v>
      </c>
      <c r="B457">
        <v>201</v>
      </c>
      <c r="C457">
        <v>38</v>
      </c>
      <c r="D457" t="str">
        <f>VLOOKUP(B457,ZoneTable,2,FALSE)</f>
        <v>Queens</v>
      </c>
      <c r="E457" t="str">
        <f>VLOOKUP(B457,ZoneTable,3,FALSE)</f>
        <v>Rockaway Park</v>
      </c>
      <c r="F457" t="str">
        <f>IF(OR(B457=1,B457=132,B457=138),"Airports",D457)</f>
        <v>Queens</v>
      </c>
    </row>
    <row r="458" spans="1:6">
      <c r="A458" s="33">
        <v>42036</v>
      </c>
      <c r="B458">
        <v>202</v>
      </c>
      <c r="C458">
        <v>359</v>
      </c>
      <c r="D458" t="str">
        <f>VLOOKUP(B458,ZoneTable,2,FALSE)</f>
        <v>Manhattan</v>
      </c>
      <c r="E458" t="str">
        <f>VLOOKUP(B458,ZoneTable,3,FALSE)</f>
        <v>Roosevelt Island</v>
      </c>
      <c r="F458" t="str">
        <f>IF(OR(B458=1,B458=132,B458=138),"Airports",D458)</f>
        <v>Manhattan</v>
      </c>
    </row>
    <row r="459" spans="1:6">
      <c r="A459" s="33">
        <v>42036</v>
      </c>
      <c r="B459">
        <v>203</v>
      </c>
      <c r="C459">
        <v>311</v>
      </c>
      <c r="D459" t="str">
        <f>VLOOKUP(B459,ZoneTable,2,FALSE)</f>
        <v>Queens</v>
      </c>
      <c r="E459" t="str">
        <f>VLOOKUP(B459,ZoneTable,3,FALSE)</f>
        <v>Rosedale</v>
      </c>
      <c r="F459" t="str">
        <f>IF(OR(B459=1,B459=132,B459=138),"Airports",D459)</f>
        <v>Queens</v>
      </c>
    </row>
    <row r="460" spans="1:6">
      <c r="A460" s="33">
        <v>42036</v>
      </c>
      <c r="B460">
        <v>204</v>
      </c>
      <c r="C460">
        <v>1</v>
      </c>
      <c r="D460" t="str">
        <f>VLOOKUP(B460,ZoneTable,2,FALSE)</f>
        <v>Staten Island</v>
      </c>
      <c r="E460" t="str">
        <f>VLOOKUP(B460,ZoneTable,3,FALSE)</f>
        <v>Rossville/Woodrow</v>
      </c>
      <c r="F460" t="str">
        <f>IF(OR(B460=1,B460=132,B460=138),"Airports",D460)</f>
        <v>Staten Island</v>
      </c>
    </row>
    <row r="461" spans="1:6">
      <c r="A461" s="33">
        <v>42036</v>
      </c>
      <c r="B461">
        <v>205</v>
      </c>
      <c r="C461">
        <v>709</v>
      </c>
      <c r="D461" t="str">
        <f>VLOOKUP(B461,ZoneTable,2,FALSE)</f>
        <v>Queens</v>
      </c>
      <c r="E461" t="str">
        <f>VLOOKUP(B461,ZoneTable,3,FALSE)</f>
        <v>Saint Albans</v>
      </c>
      <c r="F461" t="str">
        <f>IF(OR(B461=1,B461=132,B461=138),"Airports",D461)</f>
        <v>Queens</v>
      </c>
    </row>
    <row r="462" spans="1:6">
      <c r="A462" s="33">
        <v>42036</v>
      </c>
      <c r="B462">
        <v>206</v>
      </c>
      <c r="C462">
        <v>37</v>
      </c>
      <c r="D462" t="str">
        <f>VLOOKUP(B462,ZoneTable,2,FALSE)</f>
        <v>Staten Island</v>
      </c>
      <c r="E462" t="str">
        <f>VLOOKUP(B462,ZoneTable,3,FALSE)</f>
        <v>Saint George/New Brighton</v>
      </c>
      <c r="F462" t="str">
        <f>IF(OR(B462=1,B462=132,B462=138),"Airports",D462)</f>
        <v>Staten Island</v>
      </c>
    </row>
    <row r="463" spans="1:6">
      <c r="A463" s="33">
        <v>42036</v>
      </c>
      <c r="B463">
        <v>207</v>
      </c>
      <c r="C463">
        <v>43</v>
      </c>
      <c r="D463" t="str">
        <f>VLOOKUP(B463,ZoneTable,2,FALSE)</f>
        <v>Queens</v>
      </c>
      <c r="E463" t="str">
        <f>VLOOKUP(B463,ZoneTable,3,FALSE)</f>
        <v>Saint Michaels Cemetery/Woodside</v>
      </c>
      <c r="F463" t="str">
        <f>IF(OR(B463=1,B463=132,B463=138),"Airports",D463)</f>
        <v>Queens</v>
      </c>
    </row>
    <row r="464" spans="1:6">
      <c r="A464" s="33">
        <v>42036</v>
      </c>
      <c r="B464">
        <v>208</v>
      </c>
      <c r="C464">
        <v>596</v>
      </c>
      <c r="D464" t="str">
        <f>VLOOKUP(B464,ZoneTable,2,FALSE)</f>
        <v>Bronx</v>
      </c>
      <c r="E464" t="str">
        <f>VLOOKUP(B464,ZoneTable,3,FALSE)</f>
        <v>Schuylerville/Edgewater Park</v>
      </c>
      <c r="F464" t="str">
        <f>IF(OR(B464=1,B464=132,B464=138),"Airports",D464)</f>
        <v>Bronx</v>
      </c>
    </row>
    <row r="465" spans="1:6">
      <c r="A465" s="33">
        <v>42036</v>
      </c>
      <c r="B465">
        <v>209</v>
      </c>
      <c r="C465">
        <v>8255</v>
      </c>
      <c r="D465" t="str">
        <f>VLOOKUP(B465,ZoneTable,2,FALSE)</f>
        <v>Manhattan</v>
      </c>
      <c r="E465" t="str">
        <f>VLOOKUP(B465,ZoneTable,3,FALSE)</f>
        <v>Seaport</v>
      </c>
      <c r="F465" t="str">
        <f>IF(OR(B465=1,B465=132,B465=138),"Airports",D465)</f>
        <v>Manhattan</v>
      </c>
    </row>
    <row r="466" spans="1:6">
      <c r="A466" s="33">
        <v>42036</v>
      </c>
      <c r="B466">
        <v>210</v>
      </c>
      <c r="C466">
        <v>963</v>
      </c>
      <c r="D466" t="str">
        <f>VLOOKUP(B466,ZoneTable,2,FALSE)</f>
        <v>Brooklyn</v>
      </c>
      <c r="E466" t="str">
        <f>VLOOKUP(B466,ZoneTable,3,FALSE)</f>
        <v>Sheepshead Bay</v>
      </c>
      <c r="F466" t="str">
        <f>IF(OR(B466=1,B466=132,B466=138),"Airports",D466)</f>
        <v>Brooklyn</v>
      </c>
    </row>
    <row r="467" spans="1:6">
      <c r="A467" s="33">
        <v>42036</v>
      </c>
      <c r="B467">
        <v>211</v>
      </c>
      <c r="C467">
        <v>41456</v>
      </c>
      <c r="D467" t="str">
        <f>VLOOKUP(B467,ZoneTable,2,FALSE)</f>
        <v>Manhattan</v>
      </c>
      <c r="E467" t="str">
        <f>VLOOKUP(B467,ZoneTable,3,FALSE)</f>
        <v>SoHo</v>
      </c>
      <c r="F467" t="str">
        <f>IF(OR(B467=1,B467=132,B467=138),"Airports",D467)</f>
        <v>Manhattan</v>
      </c>
    </row>
    <row r="468" spans="1:6">
      <c r="A468" s="33">
        <v>42036</v>
      </c>
      <c r="B468">
        <v>212</v>
      </c>
      <c r="C468">
        <v>438</v>
      </c>
      <c r="D468" t="str">
        <f>VLOOKUP(B468,ZoneTable,2,FALSE)</f>
        <v>Bronx</v>
      </c>
      <c r="E468" t="str">
        <f>VLOOKUP(B468,ZoneTable,3,FALSE)</f>
        <v>Soundview/Bruckner</v>
      </c>
      <c r="F468" t="str">
        <f>IF(OR(B468=1,B468=132,B468=138),"Airports",D468)</f>
        <v>Bronx</v>
      </c>
    </row>
    <row r="469" spans="1:6">
      <c r="A469" s="33">
        <v>42036</v>
      </c>
      <c r="B469">
        <v>213</v>
      </c>
      <c r="C469">
        <v>687</v>
      </c>
      <c r="D469" t="str">
        <f>VLOOKUP(B469,ZoneTable,2,FALSE)</f>
        <v>Bronx</v>
      </c>
      <c r="E469" t="str">
        <f>VLOOKUP(B469,ZoneTable,3,FALSE)</f>
        <v>Soundview/Castle Hill</v>
      </c>
      <c r="F469" t="str">
        <f>IF(OR(B469=1,B469=132,B469=138),"Airports",D469)</f>
        <v>Bronx</v>
      </c>
    </row>
    <row r="470" spans="1:6">
      <c r="A470" s="33">
        <v>42036</v>
      </c>
      <c r="B470">
        <v>214</v>
      </c>
      <c r="C470">
        <v>97</v>
      </c>
      <c r="D470" t="str">
        <f>VLOOKUP(B470,ZoneTable,2,FALSE)</f>
        <v>Staten Island</v>
      </c>
      <c r="E470" t="str">
        <f>VLOOKUP(B470,ZoneTable,3,FALSE)</f>
        <v>South Beach/Dongan Hills</v>
      </c>
      <c r="F470" t="str">
        <f>IF(OR(B470=1,B470=132,B470=138),"Airports",D470)</f>
        <v>Staten Island</v>
      </c>
    </row>
    <row r="471" spans="1:6">
      <c r="A471" s="33">
        <v>42036</v>
      </c>
      <c r="B471">
        <v>215</v>
      </c>
      <c r="C471">
        <v>454</v>
      </c>
      <c r="D471" t="str">
        <f>VLOOKUP(B471,ZoneTable,2,FALSE)</f>
        <v>Queens</v>
      </c>
      <c r="E471" t="str">
        <f>VLOOKUP(B471,ZoneTable,3,FALSE)</f>
        <v>South Jamaica</v>
      </c>
      <c r="F471" t="str">
        <f>IF(OR(B471=1,B471=132,B471=138),"Airports",D471)</f>
        <v>Queens</v>
      </c>
    </row>
    <row r="472" spans="1:6">
      <c r="A472" s="33">
        <v>42036</v>
      </c>
      <c r="B472">
        <v>216</v>
      </c>
      <c r="C472">
        <v>1235</v>
      </c>
      <c r="D472" t="str">
        <f>VLOOKUP(B472,ZoneTable,2,FALSE)</f>
        <v>Queens</v>
      </c>
      <c r="E472" t="str">
        <f>VLOOKUP(B472,ZoneTable,3,FALSE)</f>
        <v>South Ozone Park</v>
      </c>
      <c r="F472" t="str">
        <f>IF(OR(B472=1,B472=132,B472=138),"Airports",D472)</f>
        <v>Queens</v>
      </c>
    </row>
    <row r="473" spans="1:6">
      <c r="A473" s="33">
        <v>42036</v>
      </c>
      <c r="B473">
        <v>217</v>
      </c>
      <c r="C473">
        <v>1095</v>
      </c>
      <c r="D473" t="str">
        <f>VLOOKUP(B473,ZoneTable,2,FALSE)</f>
        <v>Brooklyn</v>
      </c>
      <c r="E473" t="str">
        <f>VLOOKUP(B473,ZoneTable,3,FALSE)</f>
        <v>South Williamsburg</v>
      </c>
      <c r="F473" t="str">
        <f>IF(OR(B473=1,B473=132,B473=138),"Airports",D473)</f>
        <v>Brooklyn</v>
      </c>
    </row>
    <row r="474" spans="1:6">
      <c r="A474" s="33">
        <v>42036</v>
      </c>
      <c r="B474">
        <v>218</v>
      </c>
      <c r="C474">
        <v>486</v>
      </c>
      <c r="D474" t="str">
        <f>VLOOKUP(B474,ZoneTable,2,FALSE)</f>
        <v>Queens</v>
      </c>
      <c r="E474" t="str">
        <f>VLOOKUP(B474,ZoneTable,3,FALSE)</f>
        <v>Springfield Gardens North</v>
      </c>
      <c r="F474" t="str">
        <f>IF(OR(B474=1,B474=132,B474=138),"Airports",D474)</f>
        <v>Queens</v>
      </c>
    </row>
    <row r="475" spans="1:6">
      <c r="A475" s="33">
        <v>42036</v>
      </c>
      <c r="B475">
        <v>219</v>
      </c>
      <c r="C475">
        <v>478</v>
      </c>
      <c r="D475" t="str">
        <f>VLOOKUP(B475,ZoneTable,2,FALSE)</f>
        <v>Queens</v>
      </c>
      <c r="E475" t="str">
        <f>VLOOKUP(B475,ZoneTable,3,FALSE)</f>
        <v>Springfield Gardens South</v>
      </c>
      <c r="F475" t="str">
        <f>IF(OR(B475=1,B475=132,B475=138),"Airports",D475)</f>
        <v>Queens</v>
      </c>
    </row>
    <row r="476" spans="1:6">
      <c r="A476" s="33">
        <v>42036</v>
      </c>
      <c r="B476">
        <v>220</v>
      </c>
      <c r="C476">
        <v>2157</v>
      </c>
      <c r="D476" t="str">
        <f>VLOOKUP(B476,ZoneTable,2,FALSE)</f>
        <v>Bronx</v>
      </c>
      <c r="E476" t="str">
        <f>VLOOKUP(B476,ZoneTable,3,FALSE)</f>
        <v>Spuyten Duyvil/Kingsbridge</v>
      </c>
      <c r="F476" t="str">
        <f>IF(OR(B476=1,B476=132,B476=138),"Airports",D476)</f>
        <v>Bronx</v>
      </c>
    </row>
    <row r="477" spans="1:6">
      <c r="A477" s="33">
        <v>42036</v>
      </c>
      <c r="B477">
        <v>221</v>
      </c>
      <c r="C477">
        <v>77</v>
      </c>
      <c r="D477" t="str">
        <f>VLOOKUP(B477,ZoneTable,2,FALSE)</f>
        <v>Staten Island</v>
      </c>
      <c r="E477" t="str">
        <f>VLOOKUP(B477,ZoneTable,3,FALSE)</f>
        <v>Stapleton</v>
      </c>
      <c r="F477" t="str">
        <f>IF(OR(B477=1,B477=132,B477=138),"Airports",D477)</f>
        <v>Staten Island</v>
      </c>
    </row>
    <row r="478" spans="1:6">
      <c r="A478" s="33">
        <v>42036</v>
      </c>
      <c r="B478">
        <v>222</v>
      </c>
      <c r="C478">
        <v>329</v>
      </c>
      <c r="D478" t="str">
        <f>VLOOKUP(B478,ZoneTable,2,FALSE)</f>
        <v>Brooklyn</v>
      </c>
      <c r="E478" t="str">
        <f>VLOOKUP(B478,ZoneTable,3,FALSE)</f>
        <v>Starrett City</v>
      </c>
      <c r="F478" t="str">
        <f>IF(OR(B478=1,B478=132,B478=138),"Airports",D478)</f>
        <v>Brooklyn</v>
      </c>
    </row>
    <row r="479" spans="1:6">
      <c r="A479" s="33">
        <v>42036</v>
      </c>
      <c r="B479">
        <v>223</v>
      </c>
      <c r="C479">
        <v>7089</v>
      </c>
      <c r="D479" t="str">
        <f>VLOOKUP(B479,ZoneTable,2,FALSE)</f>
        <v>Queens</v>
      </c>
      <c r="E479" t="str">
        <f>VLOOKUP(B479,ZoneTable,3,FALSE)</f>
        <v>Steinway</v>
      </c>
      <c r="F479" t="str">
        <f>IF(OR(B479=1,B479=132,B479=138),"Airports",D479)</f>
        <v>Queens</v>
      </c>
    </row>
    <row r="480" spans="1:6">
      <c r="A480" s="33">
        <v>42036</v>
      </c>
      <c r="B480">
        <v>224</v>
      </c>
      <c r="C480">
        <v>11452</v>
      </c>
      <c r="D480" t="str">
        <f>VLOOKUP(B480,ZoneTable,2,FALSE)</f>
        <v>Manhattan</v>
      </c>
      <c r="E480" t="str">
        <f>VLOOKUP(B480,ZoneTable,3,FALSE)</f>
        <v>Stuy Town/Peter Cooper Village</v>
      </c>
      <c r="F480" t="str">
        <f>IF(OR(B480=1,B480=132,B480=138),"Airports",D480)</f>
        <v>Manhattan</v>
      </c>
    </row>
    <row r="481" spans="1:6">
      <c r="A481" s="33">
        <v>42036</v>
      </c>
      <c r="B481">
        <v>225</v>
      </c>
      <c r="C481">
        <v>8308</v>
      </c>
      <c r="D481" t="str">
        <f>VLOOKUP(B481,ZoneTable,2,FALSE)</f>
        <v>Brooklyn</v>
      </c>
      <c r="E481" t="str">
        <f>VLOOKUP(B481,ZoneTable,3,FALSE)</f>
        <v>Stuyvesant Heights</v>
      </c>
      <c r="F481" t="str">
        <f>IF(OR(B481=1,B481=132,B481=138),"Airports",D481)</f>
        <v>Brooklyn</v>
      </c>
    </row>
    <row r="482" spans="1:6">
      <c r="A482" s="33">
        <v>42036</v>
      </c>
      <c r="B482">
        <v>226</v>
      </c>
      <c r="C482">
        <v>8178</v>
      </c>
      <c r="D482" t="str">
        <f>VLOOKUP(B482,ZoneTable,2,FALSE)</f>
        <v>Queens</v>
      </c>
      <c r="E482" t="str">
        <f>VLOOKUP(B482,ZoneTable,3,FALSE)</f>
        <v>Sunnyside</v>
      </c>
      <c r="F482" t="str">
        <f>IF(OR(B482=1,B482=132,B482=138),"Airports",D482)</f>
        <v>Queens</v>
      </c>
    </row>
    <row r="483" spans="1:6">
      <c r="A483" s="33">
        <v>42036</v>
      </c>
      <c r="B483">
        <v>227</v>
      </c>
      <c r="C483">
        <v>1413</v>
      </c>
      <c r="D483" t="str">
        <f>VLOOKUP(B483,ZoneTable,2,FALSE)</f>
        <v>Brooklyn</v>
      </c>
      <c r="E483" t="str">
        <f>VLOOKUP(B483,ZoneTable,3,FALSE)</f>
        <v>Sunset Park East</v>
      </c>
      <c r="F483" t="str">
        <f>IF(OR(B483=1,B483=132,B483=138),"Airports",D483)</f>
        <v>Brooklyn</v>
      </c>
    </row>
    <row r="484" spans="1:6">
      <c r="A484" s="33">
        <v>42036</v>
      </c>
      <c r="B484">
        <v>228</v>
      </c>
      <c r="C484">
        <v>4627</v>
      </c>
      <c r="D484" t="str">
        <f>VLOOKUP(B484,ZoneTable,2,FALSE)</f>
        <v>Brooklyn</v>
      </c>
      <c r="E484" t="str">
        <f>VLOOKUP(B484,ZoneTable,3,FALSE)</f>
        <v>Sunset Park West</v>
      </c>
      <c r="F484" t="str">
        <f>IF(OR(B484=1,B484=132,B484=138),"Airports",D484)</f>
        <v>Brooklyn</v>
      </c>
    </row>
    <row r="485" spans="1:6">
      <c r="A485" s="33">
        <v>42036</v>
      </c>
      <c r="B485">
        <v>229</v>
      </c>
      <c r="C485">
        <v>28118</v>
      </c>
      <c r="D485" t="str">
        <f>VLOOKUP(B485,ZoneTable,2,FALSE)</f>
        <v>Manhattan</v>
      </c>
      <c r="E485" t="str">
        <f>VLOOKUP(B485,ZoneTable,3,FALSE)</f>
        <v>Sutton Place/Turtle Bay North</v>
      </c>
      <c r="F485" t="str">
        <f>IF(OR(B485=1,B485=132,B485=138),"Airports",D485)</f>
        <v>Manhattan</v>
      </c>
    </row>
    <row r="486" spans="1:6">
      <c r="A486" s="33">
        <v>42036</v>
      </c>
      <c r="B486">
        <v>230</v>
      </c>
      <c r="C486">
        <v>53193</v>
      </c>
      <c r="D486" t="str">
        <f>VLOOKUP(B486,ZoneTable,2,FALSE)</f>
        <v>Manhattan</v>
      </c>
      <c r="E486" t="str">
        <f>VLOOKUP(B486,ZoneTable,3,FALSE)</f>
        <v>Times Sq/Theatre District</v>
      </c>
      <c r="F486" t="str">
        <f>IF(OR(B486=1,B486=132,B486=138),"Airports",D486)</f>
        <v>Manhattan</v>
      </c>
    </row>
    <row r="487" spans="1:6">
      <c r="A487" s="33">
        <v>42036</v>
      </c>
      <c r="B487">
        <v>231</v>
      </c>
      <c r="C487">
        <v>72734</v>
      </c>
      <c r="D487" t="str">
        <f>VLOOKUP(B487,ZoneTable,2,FALSE)</f>
        <v>Manhattan</v>
      </c>
      <c r="E487" t="str">
        <f>VLOOKUP(B487,ZoneTable,3,FALSE)</f>
        <v>TriBeCa/Civic Center</v>
      </c>
      <c r="F487" t="str">
        <f>IF(OR(B487=1,B487=132,B487=138),"Airports",D487)</f>
        <v>Manhattan</v>
      </c>
    </row>
    <row r="488" spans="1:6">
      <c r="A488" s="33">
        <v>42036</v>
      </c>
      <c r="B488">
        <v>232</v>
      </c>
      <c r="C488">
        <v>10889</v>
      </c>
      <c r="D488" t="str">
        <f>VLOOKUP(B488,ZoneTable,2,FALSE)</f>
        <v>Manhattan</v>
      </c>
      <c r="E488" t="str">
        <f>VLOOKUP(B488,ZoneTable,3,FALSE)</f>
        <v>Two Bridges/Seward Park</v>
      </c>
      <c r="F488" t="str">
        <f>IF(OR(B488=1,B488=132,B488=138),"Airports",D488)</f>
        <v>Manhattan</v>
      </c>
    </row>
    <row r="489" spans="1:6">
      <c r="A489" s="33">
        <v>42036</v>
      </c>
      <c r="B489">
        <v>233</v>
      </c>
      <c r="C489">
        <v>22417</v>
      </c>
      <c r="D489" t="str">
        <f>VLOOKUP(B489,ZoneTable,2,FALSE)</f>
        <v>Manhattan</v>
      </c>
      <c r="E489" t="str">
        <f>VLOOKUP(B489,ZoneTable,3,FALSE)</f>
        <v>UN/Turtle Bay South</v>
      </c>
      <c r="F489" t="str">
        <f>IF(OR(B489=1,B489=132,B489=138),"Airports",D489)</f>
        <v>Manhattan</v>
      </c>
    </row>
    <row r="490" spans="1:6">
      <c r="A490" s="33">
        <v>42036</v>
      </c>
      <c r="B490">
        <v>234</v>
      </c>
      <c r="C490">
        <v>72956</v>
      </c>
      <c r="D490" t="str">
        <f>VLOOKUP(B490,ZoneTable,2,FALSE)</f>
        <v>Manhattan</v>
      </c>
      <c r="E490" t="str">
        <f>VLOOKUP(B490,ZoneTable,3,FALSE)</f>
        <v>Union Sq</v>
      </c>
      <c r="F490" t="str">
        <f>IF(OR(B490=1,B490=132,B490=138),"Airports",D490)</f>
        <v>Manhattan</v>
      </c>
    </row>
    <row r="491" spans="1:6">
      <c r="A491" s="33">
        <v>42036</v>
      </c>
      <c r="B491">
        <v>235</v>
      </c>
      <c r="C491">
        <v>890</v>
      </c>
      <c r="D491" t="str">
        <f>VLOOKUP(B491,ZoneTable,2,FALSE)</f>
        <v>Bronx</v>
      </c>
      <c r="E491" t="str">
        <f>VLOOKUP(B491,ZoneTable,3,FALSE)</f>
        <v>University Heights/Morris Heights</v>
      </c>
      <c r="F491" t="str">
        <f>IF(OR(B491=1,B491=132,B491=138),"Airports",D491)</f>
        <v>Bronx</v>
      </c>
    </row>
    <row r="492" spans="1:6">
      <c r="A492" s="33">
        <v>42036</v>
      </c>
      <c r="B492">
        <v>236</v>
      </c>
      <c r="C492">
        <v>39172</v>
      </c>
      <c r="D492" t="str">
        <f>VLOOKUP(B492,ZoneTable,2,FALSE)</f>
        <v>Manhattan</v>
      </c>
      <c r="E492" t="str">
        <f>VLOOKUP(B492,ZoneTable,3,FALSE)</f>
        <v>Upper East Side North</v>
      </c>
      <c r="F492" t="str">
        <f>IF(OR(B492=1,B492=132,B492=138),"Airports",D492)</f>
        <v>Manhattan</v>
      </c>
    </row>
    <row r="493" spans="1:6">
      <c r="A493" s="33">
        <v>42036</v>
      </c>
      <c r="B493">
        <v>237</v>
      </c>
      <c r="C493">
        <v>48295</v>
      </c>
      <c r="D493" t="str">
        <f>VLOOKUP(B493,ZoneTable,2,FALSE)</f>
        <v>Manhattan</v>
      </c>
      <c r="E493" t="str">
        <f>VLOOKUP(B493,ZoneTable,3,FALSE)</f>
        <v>Upper East Side South</v>
      </c>
      <c r="F493" t="str">
        <f>IF(OR(B493=1,B493=132,B493=138),"Airports",D493)</f>
        <v>Manhattan</v>
      </c>
    </row>
    <row r="494" spans="1:6">
      <c r="A494" s="33">
        <v>42036</v>
      </c>
      <c r="B494">
        <v>238</v>
      </c>
      <c r="C494">
        <v>22008</v>
      </c>
      <c r="D494" t="str">
        <f>VLOOKUP(B494,ZoneTable,2,FALSE)</f>
        <v>Manhattan</v>
      </c>
      <c r="E494" t="str">
        <f>VLOOKUP(B494,ZoneTable,3,FALSE)</f>
        <v>Upper West Side North</v>
      </c>
      <c r="F494" t="str">
        <f>IF(OR(B494=1,B494=132,B494=138),"Airports",D494)</f>
        <v>Manhattan</v>
      </c>
    </row>
    <row r="495" spans="1:6">
      <c r="A495" s="33">
        <v>42036</v>
      </c>
      <c r="B495">
        <v>239</v>
      </c>
      <c r="C495">
        <v>29931</v>
      </c>
      <c r="D495" t="str">
        <f>VLOOKUP(B495,ZoneTable,2,FALSE)</f>
        <v>Manhattan</v>
      </c>
      <c r="E495" t="str">
        <f>VLOOKUP(B495,ZoneTable,3,FALSE)</f>
        <v>Upper West Side South</v>
      </c>
      <c r="F495" t="str">
        <f>IF(OR(B495=1,B495=132,B495=138),"Airports",D495)</f>
        <v>Manhattan</v>
      </c>
    </row>
    <row r="496" spans="1:6">
      <c r="A496" s="33">
        <v>42036</v>
      </c>
      <c r="B496">
        <v>240</v>
      </c>
      <c r="C496">
        <v>138</v>
      </c>
      <c r="D496" t="str">
        <f>VLOOKUP(B496,ZoneTable,2,FALSE)</f>
        <v>Bronx</v>
      </c>
      <c r="E496" t="str">
        <f>VLOOKUP(B496,ZoneTable,3,FALSE)</f>
        <v>Van Cortlandt Park</v>
      </c>
      <c r="F496" t="str">
        <f>IF(OR(B496=1,B496=132,B496=138),"Airports",D496)</f>
        <v>Bronx</v>
      </c>
    </row>
    <row r="497" spans="1:6">
      <c r="A497" s="33">
        <v>42036</v>
      </c>
      <c r="B497">
        <v>241</v>
      </c>
      <c r="C497">
        <v>1274</v>
      </c>
      <c r="D497" t="str">
        <f>VLOOKUP(B497,ZoneTable,2,FALSE)</f>
        <v>Bronx</v>
      </c>
      <c r="E497" t="str">
        <f>VLOOKUP(B497,ZoneTable,3,FALSE)</f>
        <v>Van Cortlandt Village</v>
      </c>
      <c r="F497" t="str">
        <f>IF(OR(B497=1,B497=132,B497=138),"Airports",D497)</f>
        <v>Bronx</v>
      </c>
    </row>
    <row r="498" spans="1:6">
      <c r="A498" s="33">
        <v>42036</v>
      </c>
      <c r="B498">
        <v>242</v>
      </c>
      <c r="C498">
        <v>912</v>
      </c>
      <c r="D498" t="str">
        <f>VLOOKUP(B498,ZoneTable,2,FALSE)</f>
        <v>Bronx</v>
      </c>
      <c r="E498" t="str">
        <f>VLOOKUP(B498,ZoneTable,3,FALSE)</f>
        <v>Van Nest/Morris Park</v>
      </c>
      <c r="F498" t="str">
        <f>IF(OR(B498=1,B498=132,B498=138),"Airports",D498)</f>
        <v>Bronx</v>
      </c>
    </row>
    <row r="499" spans="1:6">
      <c r="A499" s="33">
        <v>42036</v>
      </c>
      <c r="B499">
        <v>243</v>
      </c>
      <c r="C499">
        <v>5051</v>
      </c>
      <c r="D499" t="str">
        <f>VLOOKUP(B499,ZoneTable,2,FALSE)</f>
        <v>Manhattan</v>
      </c>
      <c r="E499" t="str">
        <f>VLOOKUP(B499,ZoneTable,3,FALSE)</f>
        <v>Washington Heights North</v>
      </c>
      <c r="F499" t="str">
        <f>IF(OR(B499=1,B499=132,B499=138),"Airports",D499)</f>
        <v>Manhattan</v>
      </c>
    </row>
    <row r="500" spans="1:6">
      <c r="A500" s="33">
        <v>42036</v>
      </c>
      <c r="B500">
        <v>244</v>
      </c>
      <c r="C500">
        <v>7159</v>
      </c>
      <c r="D500" t="str">
        <f>VLOOKUP(B500,ZoneTable,2,FALSE)</f>
        <v>Manhattan</v>
      </c>
      <c r="E500" t="str">
        <f>VLOOKUP(B500,ZoneTable,3,FALSE)</f>
        <v>Washington Heights South</v>
      </c>
      <c r="F500" t="str">
        <f>IF(OR(B500=1,B500=132,B500=138),"Airports",D500)</f>
        <v>Manhattan</v>
      </c>
    </row>
    <row r="501" spans="1:6">
      <c r="A501" s="33">
        <v>42036</v>
      </c>
      <c r="B501">
        <v>245</v>
      </c>
      <c r="C501">
        <v>51</v>
      </c>
      <c r="D501" t="str">
        <f>VLOOKUP(B501,ZoneTable,2,FALSE)</f>
        <v>Staten Island</v>
      </c>
      <c r="E501" t="str">
        <f>VLOOKUP(B501,ZoneTable,3,FALSE)</f>
        <v>West Brighton</v>
      </c>
      <c r="F501" t="str">
        <f>IF(OR(B501=1,B501=132,B501=138),"Airports",D501)</f>
        <v>Staten Island</v>
      </c>
    </row>
    <row r="502" spans="1:6">
      <c r="A502" s="33">
        <v>42036</v>
      </c>
      <c r="B502">
        <v>246</v>
      </c>
      <c r="C502">
        <v>49644</v>
      </c>
      <c r="D502" t="str">
        <f>VLOOKUP(B502,ZoneTable,2,FALSE)</f>
        <v>Manhattan</v>
      </c>
      <c r="E502" t="str">
        <f>VLOOKUP(B502,ZoneTable,3,FALSE)</f>
        <v>West Chelsea/Hudson Yards</v>
      </c>
      <c r="F502" t="str">
        <f>IF(OR(B502=1,B502=132,B502=138),"Airports",D502)</f>
        <v>Manhattan</v>
      </c>
    </row>
    <row r="503" spans="1:6">
      <c r="A503" s="33">
        <v>42036</v>
      </c>
      <c r="B503">
        <v>247</v>
      </c>
      <c r="C503">
        <v>1126</v>
      </c>
      <c r="D503" t="str">
        <f>VLOOKUP(B503,ZoneTable,2,FALSE)</f>
        <v>Bronx</v>
      </c>
      <c r="E503" t="str">
        <f>VLOOKUP(B503,ZoneTable,3,FALSE)</f>
        <v>West Concourse</v>
      </c>
      <c r="F503" t="str">
        <f>IF(OR(B503=1,B503=132,B503=138),"Airports",D503)</f>
        <v>Bronx</v>
      </c>
    </row>
    <row r="504" spans="1:6">
      <c r="A504" s="33">
        <v>42036</v>
      </c>
      <c r="B504">
        <v>248</v>
      </c>
      <c r="C504">
        <v>487</v>
      </c>
      <c r="D504" t="str">
        <f>VLOOKUP(B504,ZoneTable,2,FALSE)</f>
        <v>Bronx</v>
      </c>
      <c r="E504" t="str">
        <f>VLOOKUP(B504,ZoneTable,3,FALSE)</f>
        <v>West Farms/Bronx River</v>
      </c>
      <c r="F504" t="str">
        <f>IF(OR(B504=1,B504=132,B504=138),"Airports",D504)</f>
        <v>Bronx</v>
      </c>
    </row>
    <row r="505" spans="1:6">
      <c r="A505" s="33">
        <v>42036</v>
      </c>
      <c r="B505">
        <v>249</v>
      </c>
      <c r="C505">
        <v>55695</v>
      </c>
      <c r="D505" t="str">
        <f>VLOOKUP(B505,ZoneTable,2,FALSE)</f>
        <v>Manhattan</v>
      </c>
      <c r="E505" t="str">
        <f>VLOOKUP(B505,ZoneTable,3,FALSE)</f>
        <v>West Village</v>
      </c>
      <c r="F505" t="str">
        <f>IF(OR(B505=1,B505=132,B505=138),"Airports",D505)</f>
        <v>Manhattan</v>
      </c>
    </row>
    <row r="506" spans="1:6">
      <c r="A506" s="33">
        <v>42036</v>
      </c>
      <c r="B506">
        <v>250</v>
      </c>
      <c r="C506">
        <v>588</v>
      </c>
      <c r="D506" t="str">
        <f>VLOOKUP(B506,ZoneTable,2,FALSE)</f>
        <v>Bronx</v>
      </c>
      <c r="E506" t="str">
        <f>VLOOKUP(B506,ZoneTable,3,FALSE)</f>
        <v>Westchester Village/Unionport</v>
      </c>
      <c r="F506" t="str">
        <f>IF(OR(B506=1,B506=132,B506=138),"Airports",D506)</f>
        <v>Bronx</v>
      </c>
    </row>
    <row r="507" spans="1:6">
      <c r="A507" s="33">
        <v>42036</v>
      </c>
      <c r="B507">
        <v>251</v>
      </c>
      <c r="C507">
        <v>73</v>
      </c>
      <c r="D507" t="str">
        <f>VLOOKUP(B507,ZoneTable,2,FALSE)</f>
        <v>Staten Island</v>
      </c>
      <c r="E507" t="str">
        <f>VLOOKUP(B507,ZoneTable,3,FALSE)</f>
        <v>Westerleigh</v>
      </c>
      <c r="F507" t="str">
        <f>IF(OR(B507=1,B507=132,B507=138),"Airports",D507)</f>
        <v>Staten Island</v>
      </c>
    </row>
    <row r="508" spans="1:6">
      <c r="A508" s="33">
        <v>42036</v>
      </c>
      <c r="B508">
        <v>252</v>
      </c>
      <c r="C508">
        <v>714</v>
      </c>
      <c r="D508" t="str">
        <f>VLOOKUP(B508,ZoneTable,2,FALSE)</f>
        <v>Queens</v>
      </c>
      <c r="E508" t="str">
        <f>VLOOKUP(B508,ZoneTable,3,FALSE)</f>
        <v>Whitestone</v>
      </c>
      <c r="F508" t="str">
        <f>IF(OR(B508=1,B508=132,B508=138),"Airports",D508)</f>
        <v>Queens</v>
      </c>
    </row>
    <row r="509" spans="1:6">
      <c r="A509" s="33">
        <v>42036</v>
      </c>
      <c r="B509">
        <v>253</v>
      </c>
      <c r="C509">
        <v>19</v>
      </c>
      <c r="D509" t="str">
        <f>VLOOKUP(B509,ZoneTable,2,FALSE)</f>
        <v>Queens</v>
      </c>
      <c r="E509" t="str">
        <f>VLOOKUP(B509,ZoneTable,3,FALSE)</f>
        <v>Willets Point</v>
      </c>
      <c r="F509" t="str">
        <f>IF(OR(B509=1,B509=132,B509=138),"Airports",D509)</f>
        <v>Queens</v>
      </c>
    </row>
    <row r="510" spans="1:6">
      <c r="A510" s="33">
        <v>42036</v>
      </c>
      <c r="B510">
        <v>254</v>
      </c>
      <c r="C510">
        <v>653</v>
      </c>
      <c r="D510" t="str">
        <f>VLOOKUP(B510,ZoneTable,2,FALSE)</f>
        <v>Bronx</v>
      </c>
      <c r="E510" t="str">
        <f>VLOOKUP(B510,ZoneTable,3,FALSE)</f>
        <v>Williamsbridge/Olinville</v>
      </c>
      <c r="F510" t="str">
        <f>IF(OR(B510=1,B510=132,B510=138),"Airports",D510)</f>
        <v>Bronx</v>
      </c>
    </row>
    <row r="511" spans="1:6">
      <c r="A511" s="33">
        <v>42036</v>
      </c>
      <c r="B511">
        <v>255</v>
      </c>
      <c r="C511">
        <v>31197</v>
      </c>
      <c r="D511" t="str">
        <f>VLOOKUP(B511,ZoneTable,2,FALSE)</f>
        <v>Brooklyn</v>
      </c>
      <c r="E511" t="str">
        <f>VLOOKUP(B511,ZoneTable,3,FALSE)</f>
        <v>Williamsburg (North Side)</v>
      </c>
      <c r="F511" t="str">
        <f>IF(OR(B511=1,B511=132,B511=138),"Airports",D511)</f>
        <v>Brooklyn</v>
      </c>
    </row>
    <row r="512" spans="1:6">
      <c r="A512" s="33">
        <v>42036</v>
      </c>
      <c r="B512">
        <v>256</v>
      </c>
      <c r="C512">
        <v>20078</v>
      </c>
      <c r="D512" t="str">
        <f>VLOOKUP(B512,ZoneTable,2,FALSE)</f>
        <v>Brooklyn</v>
      </c>
      <c r="E512" t="str">
        <f>VLOOKUP(B512,ZoneTable,3,FALSE)</f>
        <v>Williamsburg (South Side)</v>
      </c>
      <c r="F512" t="str">
        <f>IF(OR(B512=1,B512=132,B512=138),"Airports",D512)</f>
        <v>Brooklyn</v>
      </c>
    </row>
    <row r="513" spans="1:6">
      <c r="A513" s="33">
        <v>42036</v>
      </c>
      <c r="B513">
        <v>257</v>
      </c>
      <c r="C513">
        <v>2754</v>
      </c>
      <c r="D513" t="str">
        <f>VLOOKUP(B513,ZoneTable,2,FALSE)</f>
        <v>Brooklyn</v>
      </c>
      <c r="E513" t="str">
        <f>VLOOKUP(B513,ZoneTable,3,FALSE)</f>
        <v>Windsor Terrace</v>
      </c>
      <c r="F513" t="str">
        <f>IF(OR(B513=1,B513=132,B513=138),"Airports",D513)</f>
        <v>Brooklyn</v>
      </c>
    </row>
    <row r="514" spans="1:6">
      <c r="A514" s="33">
        <v>42036</v>
      </c>
      <c r="B514">
        <v>258</v>
      </c>
      <c r="C514">
        <v>1549</v>
      </c>
      <c r="D514" t="str">
        <f>VLOOKUP(B514,ZoneTable,2,FALSE)</f>
        <v>Queens</v>
      </c>
      <c r="E514" t="str">
        <f>VLOOKUP(B514,ZoneTable,3,FALSE)</f>
        <v>Woodhaven</v>
      </c>
      <c r="F514" t="str">
        <f>IF(OR(B514=1,B514=132,B514=138),"Airports",D514)</f>
        <v>Queens</v>
      </c>
    </row>
    <row r="515" spans="1:6">
      <c r="A515" s="33">
        <v>42036</v>
      </c>
      <c r="B515">
        <v>259</v>
      </c>
      <c r="C515">
        <v>488</v>
      </c>
      <c r="D515" t="str">
        <f>VLOOKUP(B515,ZoneTable,2,FALSE)</f>
        <v>Bronx</v>
      </c>
      <c r="E515" t="str">
        <f>VLOOKUP(B515,ZoneTable,3,FALSE)</f>
        <v>Woodlawn/Wakefield</v>
      </c>
      <c r="F515" t="str">
        <f>IF(OR(B515=1,B515=132,B515=138),"Airports",D515)</f>
        <v>Bronx</v>
      </c>
    </row>
    <row r="516" spans="1:6">
      <c r="A516" s="33">
        <v>42036</v>
      </c>
      <c r="B516">
        <v>260</v>
      </c>
      <c r="C516">
        <v>2999</v>
      </c>
      <c r="D516" t="str">
        <f>VLOOKUP(B516,ZoneTable,2,FALSE)</f>
        <v>Queens</v>
      </c>
      <c r="E516" t="str">
        <f>VLOOKUP(B516,ZoneTable,3,FALSE)</f>
        <v>Woodside</v>
      </c>
      <c r="F516" t="str">
        <f>IF(OR(B516=1,B516=132,B516=138),"Airports",D516)</f>
        <v>Queens</v>
      </c>
    </row>
    <row r="517" spans="1:6">
      <c r="A517" s="33">
        <v>42036</v>
      </c>
      <c r="B517">
        <v>261</v>
      </c>
      <c r="C517">
        <v>10403</v>
      </c>
      <c r="D517" t="str">
        <f>VLOOKUP(B517,ZoneTable,2,FALSE)</f>
        <v>Manhattan</v>
      </c>
      <c r="E517" t="str">
        <f>VLOOKUP(B517,ZoneTable,3,FALSE)</f>
        <v>World Trade Center</v>
      </c>
      <c r="F517" t="str">
        <f>IF(OR(B517=1,B517=132,B517=138),"Airports",D517)</f>
        <v>Manhattan</v>
      </c>
    </row>
    <row r="518" spans="1:6">
      <c r="A518" s="33">
        <v>42036</v>
      </c>
      <c r="B518">
        <v>262</v>
      </c>
      <c r="C518">
        <v>17478</v>
      </c>
      <c r="D518" t="str">
        <f>VLOOKUP(B518,ZoneTable,2,FALSE)</f>
        <v>Manhattan</v>
      </c>
      <c r="E518" t="str">
        <f>VLOOKUP(B518,ZoneTable,3,FALSE)</f>
        <v>Yorkville East</v>
      </c>
      <c r="F518" t="str">
        <f>IF(OR(B518=1,B518=132,B518=138),"Airports",D518)</f>
        <v>Manhattan</v>
      </c>
    </row>
    <row r="519" spans="1:6">
      <c r="A519" s="33">
        <v>42036</v>
      </c>
      <c r="B519">
        <v>263</v>
      </c>
      <c r="C519">
        <v>21810</v>
      </c>
      <c r="D519" t="str">
        <f>VLOOKUP(B519,ZoneTable,2,FALSE)</f>
        <v>Manhattan</v>
      </c>
      <c r="E519" t="str">
        <f>VLOOKUP(B519,ZoneTable,3,FALSE)</f>
        <v>Yorkville West</v>
      </c>
      <c r="F519" t="str">
        <f>IF(OR(B519=1,B519=132,B519=138),"Airports",D519)</f>
        <v>Manhattan</v>
      </c>
    </row>
    <row r="520" spans="1:6">
      <c r="A520" s="33">
        <v>42036</v>
      </c>
      <c r="B520">
        <v>264</v>
      </c>
      <c r="C520">
        <v>1</v>
      </c>
      <c r="D520" t="str">
        <f>VLOOKUP(B520,ZoneTable,2,FALSE)</f>
        <v>Unknown</v>
      </c>
      <c r="E520" t="str">
        <f>VLOOKUP(B520,ZoneTable,3,FALSE)</f>
        <v>Unknown</v>
      </c>
      <c r="F520" t="str">
        <f>IF(OR(B520=1,B520=132,B520=138),"Airports",D520)</f>
        <v>Unknown</v>
      </c>
    </row>
    <row r="521" spans="1:6">
      <c r="A521" s="33">
        <v>42036</v>
      </c>
      <c r="B521">
        <v>265</v>
      </c>
      <c r="C521">
        <v>900</v>
      </c>
      <c r="D521" t="str">
        <f>VLOOKUP(B521,ZoneTable,2,FALSE)</f>
        <v>Unknown</v>
      </c>
      <c r="E521" t="str">
        <f>VLOOKUP(B521,ZoneTable,3,FALSE)</f>
        <v>Unknown</v>
      </c>
      <c r="F521" t="str">
        <f>IF(OR(B521=1,B521=132,B521=138),"Airports",D521)</f>
        <v>Unknown</v>
      </c>
    </row>
    <row r="522" spans="1:6">
      <c r="A522" s="33">
        <v>42064</v>
      </c>
      <c r="B522">
        <v>1</v>
      </c>
      <c r="C522">
        <v>14</v>
      </c>
      <c r="D522" t="str">
        <f>VLOOKUP(B522,ZoneTable,2,FALSE)</f>
        <v>EWR</v>
      </c>
      <c r="E522" t="str">
        <f>VLOOKUP(B522,ZoneTable,3,FALSE)</f>
        <v>Newark Airport</v>
      </c>
      <c r="F522" t="str">
        <f>IF(OR(B522=1,B522=132,B522=138),"Airports",D522)</f>
        <v>Airports</v>
      </c>
    </row>
    <row r="523" spans="1:6">
      <c r="A523" s="33">
        <v>42064</v>
      </c>
      <c r="B523">
        <v>2</v>
      </c>
      <c r="C523">
        <v>1</v>
      </c>
      <c r="D523" t="str">
        <f>VLOOKUP(B523,ZoneTable,2,FALSE)</f>
        <v>Queens</v>
      </c>
      <c r="E523" t="str">
        <f>VLOOKUP(B523,ZoneTable,3,FALSE)</f>
        <v>Jamaica Bay</v>
      </c>
      <c r="F523" t="str">
        <f>IF(OR(B523=1,B523=132,B523=138),"Airports",D523)</f>
        <v>Queens</v>
      </c>
    </row>
    <row r="524" spans="1:6">
      <c r="A524" s="33">
        <v>42064</v>
      </c>
      <c r="B524">
        <v>3</v>
      </c>
      <c r="C524">
        <v>571</v>
      </c>
      <c r="D524" t="str">
        <f>VLOOKUP(B524,ZoneTable,2,FALSE)</f>
        <v>Bronx</v>
      </c>
      <c r="E524" t="str">
        <f>VLOOKUP(B524,ZoneTable,3,FALSE)</f>
        <v>Allerton/Pelham Gardens</v>
      </c>
      <c r="F524" t="str">
        <f>IF(OR(B524=1,B524=132,B524=138),"Airports",D524)</f>
        <v>Bronx</v>
      </c>
    </row>
    <row r="525" spans="1:6">
      <c r="A525" s="33">
        <v>42064</v>
      </c>
      <c r="B525">
        <v>4</v>
      </c>
      <c r="C525">
        <v>13933</v>
      </c>
      <c r="D525" t="str">
        <f>VLOOKUP(B525,ZoneTable,2,FALSE)</f>
        <v>Manhattan</v>
      </c>
      <c r="E525" t="str">
        <f>VLOOKUP(B525,ZoneTable,3,FALSE)</f>
        <v>Alphabet City</v>
      </c>
      <c r="F525" t="str">
        <f>IF(OR(B525=1,B525=132,B525=138),"Airports",D525)</f>
        <v>Manhattan</v>
      </c>
    </row>
    <row r="526" spans="1:6">
      <c r="A526" s="33">
        <v>42064</v>
      </c>
      <c r="B526">
        <v>5</v>
      </c>
      <c r="C526">
        <v>2</v>
      </c>
      <c r="D526" t="str">
        <f>VLOOKUP(B526,ZoneTable,2,FALSE)</f>
        <v>Staten Island</v>
      </c>
      <c r="E526" t="str">
        <f>VLOOKUP(B526,ZoneTable,3,FALSE)</f>
        <v>Arden Heights</v>
      </c>
      <c r="F526" t="str">
        <f>IF(OR(B526=1,B526=132,B526=138),"Airports",D526)</f>
        <v>Staten Island</v>
      </c>
    </row>
    <row r="527" spans="1:6">
      <c r="A527" s="33">
        <v>42064</v>
      </c>
      <c r="B527">
        <v>6</v>
      </c>
      <c r="C527">
        <v>95</v>
      </c>
      <c r="D527" t="str">
        <f>VLOOKUP(B527,ZoneTable,2,FALSE)</f>
        <v>Staten Island</v>
      </c>
      <c r="E527" t="str">
        <f>VLOOKUP(B527,ZoneTable,3,FALSE)</f>
        <v>Arrochar/Fort Wadsworth</v>
      </c>
      <c r="F527" t="str">
        <f>IF(OR(B527=1,B527=132,B527=138),"Airports",D527)</f>
        <v>Staten Island</v>
      </c>
    </row>
    <row r="528" spans="1:6">
      <c r="A528" s="33">
        <v>42064</v>
      </c>
      <c r="B528">
        <v>7</v>
      </c>
      <c r="C528">
        <v>13894</v>
      </c>
      <c r="D528" t="str">
        <f>VLOOKUP(B528,ZoneTable,2,FALSE)</f>
        <v>Queens</v>
      </c>
      <c r="E528" t="str">
        <f>VLOOKUP(B528,ZoneTable,3,FALSE)</f>
        <v>Astoria</v>
      </c>
      <c r="F528" t="str">
        <f>IF(OR(B528=1,B528=132,B528=138),"Airports",D528)</f>
        <v>Queens</v>
      </c>
    </row>
    <row r="529" spans="1:6">
      <c r="A529" s="33">
        <v>42064</v>
      </c>
      <c r="B529">
        <v>8</v>
      </c>
      <c r="C529">
        <v>39</v>
      </c>
      <c r="D529" t="str">
        <f>VLOOKUP(B529,ZoneTable,2,FALSE)</f>
        <v>Queens</v>
      </c>
      <c r="E529" t="str">
        <f>VLOOKUP(B529,ZoneTable,3,FALSE)</f>
        <v>Astoria Park</v>
      </c>
      <c r="F529" t="str">
        <f>IF(OR(B529=1,B529=132,B529=138),"Airports",D529)</f>
        <v>Queens</v>
      </c>
    </row>
    <row r="530" spans="1:6">
      <c r="A530" s="33">
        <v>42064</v>
      </c>
      <c r="B530">
        <v>9</v>
      </c>
      <c r="C530">
        <v>525</v>
      </c>
      <c r="D530" t="str">
        <f>VLOOKUP(B530,ZoneTable,2,FALSE)</f>
        <v>Queens</v>
      </c>
      <c r="E530" t="str">
        <f>VLOOKUP(B530,ZoneTable,3,FALSE)</f>
        <v>Auburndale</v>
      </c>
      <c r="F530" t="str">
        <f>IF(OR(B530=1,B530=132,B530=138),"Airports",D530)</f>
        <v>Queens</v>
      </c>
    </row>
    <row r="531" spans="1:6">
      <c r="A531" s="33">
        <v>42064</v>
      </c>
      <c r="B531">
        <v>10</v>
      </c>
      <c r="C531">
        <v>1003</v>
      </c>
      <c r="D531" t="str">
        <f>VLOOKUP(B531,ZoneTable,2,FALSE)</f>
        <v>Queens</v>
      </c>
      <c r="E531" t="str">
        <f>VLOOKUP(B531,ZoneTable,3,FALSE)</f>
        <v>Baisley Park</v>
      </c>
      <c r="F531" t="str">
        <f>IF(OR(B531=1,B531=132,B531=138),"Airports",D531)</f>
        <v>Queens</v>
      </c>
    </row>
    <row r="532" spans="1:6">
      <c r="A532" s="33">
        <v>42064</v>
      </c>
      <c r="B532">
        <v>11</v>
      </c>
      <c r="C532">
        <v>591</v>
      </c>
      <c r="D532" t="str">
        <f>VLOOKUP(B532,ZoneTable,2,FALSE)</f>
        <v>Brooklyn</v>
      </c>
      <c r="E532" t="str">
        <f>VLOOKUP(B532,ZoneTable,3,FALSE)</f>
        <v>Bath Beach</v>
      </c>
      <c r="F532" t="str">
        <f>IF(OR(B532=1,B532=132,B532=138),"Airports",D532)</f>
        <v>Brooklyn</v>
      </c>
    </row>
    <row r="533" spans="1:6">
      <c r="A533" s="33">
        <v>42064</v>
      </c>
      <c r="B533">
        <v>12</v>
      </c>
      <c r="C533">
        <v>317</v>
      </c>
      <c r="D533" t="str">
        <f>VLOOKUP(B533,ZoneTable,2,FALSE)</f>
        <v>Manhattan</v>
      </c>
      <c r="E533" t="str">
        <f>VLOOKUP(B533,ZoneTable,3,FALSE)</f>
        <v>Battery Park</v>
      </c>
      <c r="F533" t="str">
        <f>IF(OR(B533=1,B533=132,B533=138),"Airports",D533)</f>
        <v>Manhattan</v>
      </c>
    </row>
    <row r="534" spans="1:6">
      <c r="A534" s="33">
        <v>42064</v>
      </c>
      <c r="B534">
        <v>13</v>
      </c>
      <c r="C534">
        <v>21630</v>
      </c>
      <c r="D534" t="str">
        <f>VLOOKUP(B534,ZoneTable,2,FALSE)</f>
        <v>Manhattan</v>
      </c>
      <c r="E534" t="str">
        <f>VLOOKUP(B534,ZoneTable,3,FALSE)</f>
        <v>Battery Park City</v>
      </c>
      <c r="F534" t="str">
        <f>IF(OR(B534=1,B534=132,B534=138),"Airports",D534)</f>
        <v>Manhattan</v>
      </c>
    </row>
    <row r="535" spans="1:6">
      <c r="A535" s="33">
        <v>42064</v>
      </c>
      <c r="B535">
        <v>14</v>
      </c>
      <c r="C535">
        <v>5489</v>
      </c>
      <c r="D535" t="str">
        <f>VLOOKUP(B535,ZoneTable,2,FALSE)</f>
        <v>Brooklyn</v>
      </c>
      <c r="E535" t="str">
        <f>VLOOKUP(B535,ZoneTable,3,FALSE)</f>
        <v>Bay Ridge</v>
      </c>
      <c r="F535" t="str">
        <f>IF(OR(B535=1,B535=132,B535=138),"Airports",D535)</f>
        <v>Brooklyn</v>
      </c>
    </row>
    <row r="536" spans="1:6">
      <c r="A536" s="33">
        <v>42064</v>
      </c>
      <c r="B536">
        <v>15</v>
      </c>
      <c r="C536">
        <v>504</v>
      </c>
      <c r="D536" t="str">
        <f>VLOOKUP(B536,ZoneTable,2,FALSE)</f>
        <v>Queens</v>
      </c>
      <c r="E536" t="str">
        <f>VLOOKUP(B536,ZoneTable,3,FALSE)</f>
        <v>Bay Terrace/Fort Totten</v>
      </c>
      <c r="F536" t="str">
        <f>IF(OR(B536=1,B536=132,B536=138),"Airports",D536)</f>
        <v>Queens</v>
      </c>
    </row>
    <row r="537" spans="1:6">
      <c r="A537" s="33">
        <v>42064</v>
      </c>
      <c r="B537">
        <v>16</v>
      </c>
      <c r="C537">
        <v>1341</v>
      </c>
      <c r="D537" t="str">
        <f>VLOOKUP(B537,ZoneTable,2,FALSE)</f>
        <v>Queens</v>
      </c>
      <c r="E537" t="str">
        <f>VLOOKUP(B537,ZoneTable,3,FALSE)</f>
        <v>Bayside</v>
      </c>
      <c r="F537" t="str">
        <f>IF(OR(B537=1,B537=132,B537=138),"Airports",D537)</f>
        <v>Queens</v>
      </c>
    </row>
    <row r="538" spans="1:6">
      <c r="A538" s="33">
        <v>42064</v>
      </c>
      <c r="B538">
        <v>17</v>
      </c>
      <c r="C538">
        <v>11278</v>
      </c>
      <c r="D538" t="str">
        <f>VLOOKUP(B538,ZoneTable,2,FALSE)</f>
        <v>Brooklyn</v>
      </c>
      <c r="E538" t="str">
        <f>VLOOKUP(B538,ZoneTable,3,FALSE)</f>
        <v>Bedford</v>
      </c>
      <c r="F538" t="str">
        <f>IF(OR(B538=1,B538=132,B538=138),"Airports",D538)</f>
        <v>Brooklyn</v>
      </c>
    </row>
    <row r="539" spans="1:6">
      <c r="A539" s="33">
        <v>42064</v>
      </c>
      <c r="B539">
        <v>18</v>
      </c>
      <c r="C539">
        <v>1013</v>
      </c>
      <c r="D539" t="str">
        <f>VLOOKUP(B539,ZoneTable,2,FALSE)</f>
        <v>Bronx</v>
      </c>
      <c r="E539" t="str">
        <f>VLOOKUP(B539,ZoneTable,3,FALSE)</f>
        <v>Bedford Park</v>
      </c>
      <c r="F539" t="str">
        <f>IF(OR(B539=1,B539=132,B539=138),"Airports",D539)</f>
        <v>Bronx</v>
      </c>
    </row>
    <row r="540" spans="1:6">
      <c r="A540" s="33">
        <v>42064</v>
      </c>
      <c r="B540">
        <v>19</v>
      </c>
      <c r="C540">
        <v>449</v>
      </c>
      <c r="D540" t="str">
        <f>VLOOKUP(B540,ZoneTable,2,FALSE)</f>
        <v>Queens</v>
      </c>
      <c r="E540" t="str">
        <f>VLOOKUP(B540,ZoneTable,3,FALSE)</f>
        <v>Bellerose</v>
      </c>
      <c r="F540" t="str">
        <f>IF(OR(B540=1,B540=132,B540=138),"Airports",D540)</f>
        <v>Queens</v>
      </c>
    </row>
    <row r="541" spans="1:6">
      <c r="A541" s="33">
        <v>42064</v>
      </c>
      <c r="B541">
        <v>20</v>
      </c>
      <c r="C541">
        <v>1370</v>
      </c>
      <c r="D541" t="str">
        <f>VLOOKUP(B541,ZoneTable,2,FALSE)</f>
        <v>Bronx</v>
      </c>
      <c r="E541" t="str">
        <f>VLOOKUP(B541,ZoneTable,3,FALSE)</f>
        <v>Belmont</v>
      </c>
      <c r="F541" t="str">
        <f>IF(OR(B541=1,B541=132,B541=138),"Airports",D541)</f>
        <v>Bronx</v>
      </c>
    </row>
    <row r="542" spans="1:6">
      <c r="A542" s="33">
        <v>42064</v>
      </c>
      <c r="B542">
        <v>21</v>
      </c>
      <c r="C542">
        <v>1417</v>
      </c>
      <c r="D542" t="str">
        <f>VLOOKUP(B542,ZoneTable,2,FALSE)</f>
        <v>Brooklyn</v>
      </c>
      <c r="E542" t="str">
        <f>VLOOKUP(B542,ZoneTable,3,FALSE)</f>
        <v>Bensonhurst East</v>
      </c>
      <c r="F542" t="str">
        <f>IF(OR(B542=1,B542=132,B542=138),"Airports",D542)</f>
        <v>Brooklyn</v>
      </c>
    </row>
    <row r="543" spans="1:6">
      <c r="A543" s="33">
        <v>42064</v>
      </c>
      <c r="B543">
        <v>22</v>
      </c>
      <c r="C543">
        <v>1650</v>
      </c>
      <c r="D543" t="str">
        <f>VLOOKUP(B543,ZoneTable,2,FALSE)</f>
        <v>Brooklyn</v>
      </c>
      <c r="E543" t="str">
        <f>VLOOKUP(B543,ZoneTable,3,FALSE)</f>
        <v>Bensonhurst West</v>
      </c>
      <c r="F543" t="str">
        <f>IF(OR(B543=1,B543=132,B543=138),"Airports",D543)</f>
        <v>Brooklyn</v>
      </c>
    </row>
    <row r="544" spans="1:6">
      <c r="A544" s="33">
        <v>42064</v>
      </c>
      <c r="B544">
        <v>23</v>
      </c>
      <c r="C544">
        <v>149</v>
      </c>
      <c r="D544" t="str">
        <f>VLOOKUP(B544,ZoneTable,2,FALSE)</f>
        <v>Staten Island</v>
      </c>
      <c r="E544" t="str">
        <f>VLOOKUP(B544,ZoneTable,3,FALSE)</f>
        <v>Bloomfield/Emerson Hill</v>
      </c>
      <c r="F544" t="str">
        <f>IF(OR(B544=1,B544=132,B544=138),"Airports",D544)</f>
        <v>Staten Island</v>
      </c>
    </row>
    <row r="545" spans="1:6">
      <c r="A545" s="33">
        <v>42064</v>
      </c>
      <c r="B545">
        <v>24</v>
      </c>
      <c r="C545">
        <v>3650</v>
      </c>
      <c r="D545" t="str">
        <f>VLOOKUP(B545,ZoneTable,2,FALSE)</f>
        <v>Manhattan</v>
      </c>
      <c r="E545" t="str">
        <f>VLOOKUP(B545,ZoneTable,3,FALSE)</f>
        <v>Bloomingdale</v>
      </c>
      <c r="F545" t="str">
        <f>IF(OR(B545=1,B545=132,B545=138),"Airports",D545)</f>
        <v>Manhattan</v>
      </c>
    </row>
    <row r="546" spans="1:6">
      <c r="A546" s="33">
        <v>42064</v>
      </c>
      <c r="B546">
        <v>25</v>
      </c>
      <c r="C546">
        <v>10240</v>
      </c>
      <c r="D546" t="str">
        <f>VLOOKUP(B546,ZoneTable,2,FALSE)</f>
        <v>Brooklyn</v>
      </c>
      <c r="E546" t="str">
        <f>VLOOKUP(B546,ZoneTable,3,FALSE)</f>
        <v>Boerum Hill</v>
      </c>
      <c r="F546" t="str">
        <f>IF(OR(B546=1,B546=132,B546=138),"Airports",D546)</f>
        <v>Brooklyn</v>
      </c>
    </row>
    <row r="547" spans="1:6">
      <c r="A547" s="33">
        <v>42064</v>
      </c>
      <c r="B547">
        <v>26</v>
      </c>
      <c r="C547">
        <v>2735</v>
      </c>
      <c r="D547" t="str">
        <f>VLOOKUP(B547,ZoneTable,2,FALSE)</f>
        <v>Brooklyn</v>
      </c>
      <c r="E547" t="str">
        <f>VLOOKUP(B547,ZoneTable,3,FALSE)</f>
        <v>Borough Park</v>
      </c>
      <c r="F547" t="str">
        <f>IF(OR(B547=1,B547=132,B547=138),"Airports",D547)</f>
        <v>Brooklyn</v>
      </c>
    </row>
    <row r="548" spans="1:6">
      <c r="A548" s="33">
        <v>42064</v>
      </c>
      <c r="B548">
        <v>27</v>
      </c>
      <c r="C548">
        <v>8</v>
      </c>
      <c r="D548" t="str">
        <f>VLOOKUP(B548,ZoneTable,2,FALSE)</f>
        <v>Queens</v>
      </c>
      <c r="E548" t="str">
        <f>VLOOKUP(B548,ZoneTable,3,FALSE)</f>
        <v>Breezy Point/Fort Tilden/Riis Beach</v>
      </c>
      <c r="F548" t="str">
        <f>IF(OR(B548=1,B548=132,B548=138),"Airports",D548)</f>
        <v>Queens</v>
      </c>
    </row>
    <row r="549" spans="1:6">
      <c r="A549" s="33">
        <v>42064</v>
      </c>
      <c r="B549">
        <v>28</v>
      </c>
      <c r="C549">
        <v>2057</v>
      </c>
      <c r="D549" t="str">
        <f>VLOOKUP(B549,ZoneTable,2,FALSE)</f>
        <v>Queens</v>
      </c>
      <c r="E549" t="str">
        <f>VLOOKUP(B549,ZoneTable,3,FALSE)</f>
        <v>Briarwood/Jamaica Hills</v>
      </c>
      <c r="F549" t="str">
        <f>IF(OR(B549=1,B549=132,B549=138),"Airports",D549)</f>
        <v>Queens</v>
      </c>
    </row>
    <row r="550" spans="1:6">
      <c r="A550" s="33">
        <v>42064</v>
      </c>
      <c r="B550">
        <v>29</v>
      </c>
      <c r="C550">
        <v>679</v>
      </c>
      <c r="D550" t="str">
        <f>VLOOKUP(B550,ZoneTable,2,FALSE)</f>
        <v>Brooklyn</v>
      </c>
      <c r="E550" t="str">
        <f>VLOOKUP(B550,ZoneTable,3,FALSE)</f>
        <v>Brighton Beach</v>
      </c>
      <c r="F550" t="str">
        <f>IF(OR(B550=1,B550=132,B550=138),"Airports",D550)</f>
        <v>Brooklyn</v>
      </c>
    </row>
    <row r="551" spans="1:6">
      <c r="A551" s="33">
        <v>42064</v>
      </c>
      <c r="B551">
        <v>30</v>
      </c>
      <c r="C551">
        <v>6</v>
      </c>
      <c r="D551" t="str">
        <f>VLOOKUP(B551,ZoneTable,2,FALSE)</f>
        <v>Queens</v>
      </c>
      <c r="E551" t="str">
        <f>VLOOKUP(B551,ZoneTable,3,FALSE)</f>
        <v>Broad Channel</v>
      </c>
      <c r="F551" t="str">
        <f>IF(OR(B551=1,B551=132,B551=138),"Airports",D551)</f>
        <v>Queens</v>
      </c>
    </row>
    <row r="552" spans="1:6">
      <c r="A552" s="33">
        <v>42064</v>
      </c>
      <c r="B552">
        <v>31</v>
      </c>
      <c r="C552">
        <v>250</v>
      </c>
      <c r="D552" t="str">
        <f>VLOOKUP(B552,ZoneTable,2,FALSE)</f>
        <v>Bronx</v>
      </c>
      <c r="E552" t="str">
        <f>VLOOKUP(B552,ZoneTable,3,FALSE)</f>
        <v>Bronx Park</v>
      </c>
      <c r="F552" t="str">
        <f>IF(OR(B552=1,B552=132,B552=138),"Airports",D552)</f>
        <v>Bronx</v>
      </c>
    </row>
    <row r="553" spans="1:6">
      <c r="A553" s="33">
        <v>42064</v>
      </c>
      <c r="B553">
        <v>32</v>
      </c>
      <c r="C553">
        <v>561</v>
      </c>
      <c r="D553" t="str">
        <f>VLOOKUP(B553,ZoneTable,2,FALSE)</f>
        <v>Bronx</v>
      </c>
      <c r="E553" t="str">
        <f>VLOOKUP(B553,ZoneTable,3,FALSE)</f>
        <v>Bronxdale</v>
      </c>
      <c r="F553" t="str">
        <f>IF(OR(B553=1,B553=132,B553=138),"Airports",D553)</f>
        <v>Bronx</v>
      </c>
    </row>
    <row r="554" spans="1:6">
      <c r="A554" s="33">
        <v>42064</v>
      </c>
      <c r="B554">
        <v>33</v>
      </c>
      <c r="C554">
        <v>11450</v>
      </c>
      <c r="D554" t="str">
        <f>VLOOKUP(B554,ZoneTable,2,FALSE)</f>
        <v>Brooklyn</v>
      </c>
      <c r="E554" t="str">
        <f>VLOOKUP(B554,ZoneTable,3,FALSE)</f>
        <v>Brooklyn Heights</v>
      </c>
      <c r="F554" t="str">
        <f>IF(OR(B554=1,B554=132,B554=138),"Airports",D554)</f>
        <v>Brooklyn</v>
      </c>
    </row>
    <row r="555" spans="1:6">
      <c r="A555" s="33">
        <v>42064</v>
      </c>
      <c r="B555">
        <v>34</v>
      </c>
      <c r="C555">
        <v>1553</v>
      </c>
      <c r="D555" t="str">
        <f>VLOOKUP(B555,ZoneTable,2,FALSE)</f>
        <v>Brooklyn</v>
      </c>
      <c r="E555" t="str">
        <f>VLOOKUP(B555,ZoneTable,3,FALSE)</f>
        <v>Brooklyn Navy Yard</v>
      </c>
      <c r="F555" t="str">
        <f>IF(OR(B555=1,B555=132,B555=138),"Airports",D555)</f>
        <v>Brooklyn</v>
      </c>
    </row>
    <row r="556" spans="1:6">
      <c r="A556" s="33">
        <v>42064</v>
      </c>
      <c r="B556">
        <v>35</v>
      </c>
      <c r="C556">
        <v>1705</v>
      </c>
      <c r="D556" t="str">
        <f>VLOOKUP(B556,ZoneTable,2,FALSE)</f>
        <v>Brooklyn</v>
      </c>
      <c r="E556" t="str">
        <f>VLOOKUP(B556,ZoneTable,3,FALSE)</f>
        <v>Brownsville</v>
      </c>
      <c r="F556" t="str">
        <f>IF(OR(B556=1,B556=132,B556=138),"Airports",D556)</f>
        <v>Brooklyn</v>
      </c>
    </row>
    <row r="557" spans="1:6">
      <c r="A557" s="33">
        <v>42064</v>
      </c>
      <c r="B557">
        <v>36</v>
      </c>
      <c r="C557">
        <v>11318</v>
      </c>
      <c r="D557" t="str">
        <f>VLOOKUP(B557,ZoneTable,2,FALSE)</f>
        <v>Brooklyn</v>
      </c>
      <c r="E557" t="str">
        <f>VLOOKUP(B557,ZoneTable,3,FALSE)</f>
        <v>Bushwick North</v>
      </c>
      <c r="F557" t="str">
        <f>IF(OR(B557=1,B557=132,B557=138),"Airports",D557)</f>
        <v>Brooklyn</v>
      </c>
    </row>
    <row r="558" spans="1:6">
      <c r="A558" s="33">
        <v>42064</v>
      </c>
      <c r="B558">
        <v>37</v>
      </c>
      <c r="C558">
        <v>15411</v>
      </c>
      <c r="D558" t="str">
        <f>VLOOKUP(B558,ZoneTable,2,FALSE)</f>
        <v>Brooklyn</v>
      </c>
      <c r="E558" t="str">
        <f>VLOOKUP(B558,ZoneTable,3,FALSE)</f>
        <v>Bushwick South</v>
      </c>
      <c r="F558" t="str">
        <f>IF(OR(B558=1,B558=132,B558=138),"Airports",D558)</f>
        <v>Brooklyn</v>
      </c>
    </row>
    <row r="559" spans="1:6">
      <c r="A559" s="33">
        <v>42064</v>
      </c>
      <c r="B559">
        <v>38</v>
      </c>
      <c r="C559">
        <v>420</v>
      </c>
      <c r="D559" t="str">
        <f>VLOOKUP(B559,ZoneTable,2,FALSE)</f>
        <v>Queens</v>
      </c>
      <c r="E559" t="str">
        <f>VLOOKUP(B559,ZoneTable,3,FALSE)</f>
        <v>Cambria Heights</v>
      </c>
      <c r="F559" t="str">
        <f>IF(OR(B559=1,B559=132,B559=138),"Airports",D559)</f>
        <v>Queens</v>
      </c>
    </row>
    <row r="560" spans="1:6">
      <c r="A560" s="33">
        <v>42064</v>
      </c>
      <c r="B560">
        <v>39</v>
      </c>
      <c r="C560">
        <v>2438</v>
      </c>
      <c r="D560" t="str">
        <f>VLOOKUP(B560,ZoneTable,2,FALSE)</f>
        <v>Brooklyn</v>
      </c>
      <c r="E560" t="str">
        <f>VLOOKUP(B560,ZoneTable,3,FALSE)</f>
        <v>Canarsie</v>
      </c>
      <c r="F560" t="str">
        <f>IF(OR(B560=1,B560=132,B560=138),"Airports",D560)</f>
        <v>Brooklyn</v>
      </c>
    </row>
    <row r="561" spans="1:6">
      <c r="A561" s="33">
        <v>42064</v>
      </c>
      <c r="B561">
        <v>40</v>
      </c>
      <c r="C561">
        <v>6454</v>
      </c>
      <c r="D561" t="str">
        <f>VLOOKUP(B561,ZoneTable,2,FALSE)</f>
        <v>Brooklyn</v>
      </c>
      <c r="E561" t="str">
        <f>VLOOKUP(B561,ZoneTable,3,FALSE)</f>
        <v>Carroll Gardens</v>
      </c>
      <c r="F561" t="str">
        <f>IF(OR(B561=1,B561=132,B561=138),"Airports",D561)</f>
        <v>Brooklyn</v>
      </c>
    </row>
    <row r="562" spans="1:6">
      <c r="A562" s="33">
        <v>42064</v>
      </c>
      <c r="B562">
        <v>41</v>
      </c>
      <c r="C562">
        <v>9687</v>
      </c>
      <c r="D562" t="str">
        <f>VLOOKUP(B562,ZoneTable,2,FALSE)</f>
        <v>Manhattan</v>
      </c>
      <c r="E562" t="str">
        <f>VLOOKUP(B562,ZoneTable,3,FALSE)</f>
        <v>Central Harlem</v>
      </c>
      <c r="F562" t="str">
        <f>IF(OR(B562=1,B562=132,B562=138),"Airports",D562)</f>
        <v>Manhattan</v>
      </c>
    </row>
    <row r="563" spans="1:6">
      <c r="A563" s="33">
        <v>42064</v>
      </c>
      <c r="B563">
        <v>42</v>
      </c>
      <c r="C563">
        <v>9844</v>
      </c>
      <c r="D563" t="str">
        <f>VLOOKUP(B563,ZoneTable,2,FALSE)</f>
        <v>Manhattan</v>
      </c>
      <c r="E563" t="str">
        <f>VLOOKUP(B563,ZoneTable,3,FALSE)</f>
        <v>Central Harlem North</v>
      </c>
      <c r="F563" t="str">
        <f>IF(OR(B563=1,B563=132,B563=138),"Airports",D563)</f>
        <v>Manhattan</v>
      </c>
    </row>
    <row r="564" spans="1:6">
      <c r="A564" s="33">
        <v>42064</v>
      </c>
      <c r="B564">
        <v>43</v>
      </c>
      <c r="C564">
        <v>6532</v>
      </c>
      <c r="D564" t="str">
        <f>VLOOKUP(B564,ZoneTable,2,FALSE)</f>
        <v>Manhattan</v>
      </c>
      <c r="E564" t="str">
        <f>VLOOKUP(B564,ZoneTable,3,FALSE)</f>
        <v>Central Park</v>
      </c>
      <c r="F564" t="str">
        <f>IF(OR(B564=1,B564=132,B564=138),"Airports",D564)</f>
        <v>Manhattan</v>
      </c>
    </row>
    <row r="565" spans="1:6">
      <c r="A565" s="33">
        <v>42064</v>
      </c>
      <c r="B565">
        <v>44</v>
      </c>
      <c r="C565">
        <v>9</v>
      </c>
      <c r="D565" t="str">
        <f>VLOOKUP(B565,ZoneTable,2,FALSE)</f>
        <v>Staten Island</v>
      </c>
      <c r="E565" t="str">
        <f>VLOOKUP(B565,ZoneTable,3,FALSE)</f>
        <v>Charleston/Tottenville</v>
      </c>
      <c r="F565" t="str">
        <f>IF(OR(B565=1,B565=132,B565=138),"Airports",D565)</f>
        <v>Staten Island</v>
      </c>
    </row>
    <row r="566" spans="1:6">
      <c r="A566" s="33">
        <v>42064</v>
      </c>
      <c r="B566">
        <v>45</v>
      </c>
      <c r="C566">
        <v>6769</v>
      </c>
      <c r="D566" t="str">
        <f>VLOOKUP(B566,ZoneTable,2,FALSE)</f>
        <v>Manhattan</v>
      </c>
      <c r="E566" t="str">
        <f>VLOOKUP(B566,ZoneTable,3,FALSE)</f>
        <v>Chinatown</v>
      </c>
      <c r="F566" t="str">
        <f>IF(OR(B566=1,B566=132,B566=138),"Airports",D566)</f>
        <v>Manhattan</v>
      </c>
    </row>
    <row r="567" spans="1:6">
      <c r="A567" s="33">
        <v>42064</v>
      </c>
      <c r="B567">
        <v>46</v>
      </c>
      <c r="C567">
        <v>33</v>
      </c>
      <c r="D567" t="str">
        <f>VLOOKUP(B567,ZoneTable,2,FALSE)</f>
        <v>Bronx</v>
      </c>
      <c r="E567" t="str">
        <f>VLOOKUP(B567,ZoneTable,3,FALSE)</f>
        <v>City Island</v>
      </c>
      <c r="F567" t="str">
        <f>IF(OR(B567=1,B567=132,B567=138),"Airports",D567)</f>
        <v>Bronx</v>
      </c>
    </row>
    <row r="568" spans="1:6">
      <c r="A568" s="33">
        <v>42064</v>
      </c>
      <c r="B568">
        <v>47</v>
      </c>
      <c r="C568">
        <v>631</v>
      </c>
      <c r="D568" t="str">
        <f>VLOOKUP(B568,ZoneTable,2,FALSE)</f>
        <v>Bronx</v>
      </c>
      <c r="E568" t="str">
        <f>VLOOKUP(B568,ZoneTable,3,FALSE)</f>
        <v>Claremont/Bathgate</v>
      </c>
      <c r="F568" t="str">
        <f>IF(OR(B568=1,B568=132,B568=138),"Airports",D568)</f>
        <v>Bronx</v>
      </c>
    </row>
    <row r="569" spans="1:6">
      <c r="A569" s="33">
        <v>42064</v>
      </c>
      <c r="B569">
        <v>48</v>
      </c>
      <c r="C569">
        <v>40637</v>
      </c>
      <c r="D569" t="str">
        <f>VLOOKUP(B569,ZoneTable,2,FALSE)</f>
        <v>Manhattan</v>
      </c>
      <c r="E569" t="str">
        <f>VLOOKUP(B569,ZoneTable,3,FALSE)</f>
        <v>Clinton East</v>
      </c>
      <c r="F569" t="str">
        <f>IF(OR(B569=1,B569=132,B569=138),"Airports",D569)</f>
        <v>Manhattan</v>
      </c>
    </row>
    <row r="570" spans="1:6">
      <c r="A570" s="33">
        <v>42064</v>
      </c>
      <c r="B570">
        <v>49</v>
      </c>
      <c r="C570">
        <v>13394</v>
      </c>
      <c r="D570" t="str">
        <f>VLOOKUP(B570,ZoneTable,2,FALSE)</f>
        <v>Brooklyn</v>
      </c>
      <c r="E570" t="str">
        <f>VLOOKUP(B570,ZoneTable,3,FALSE)</f>
        <v>Clinton Hill</v>
      </c>
      <c r="F570" t="str">
        <f>IF(OR(B570=1,B570=132,B570=138),"Airports",D570)</f>
        <v>Brooklyn</v>
      </c>
    </row>
    <row r="571" spans="1:6">
      <c r="A571" s="33">
        <v>42064</v>
      </c>
      <c r="B571">
        <v>50</v>
      </c>
      <c r="C571">
        <v>24677</v>
      </c>
      <c r="D571" t="str">
        <f>VLOOKUP(B571,ZoneTable,2,FALSE)</f>
        <v>Manhattan</v>
      </c>
      <c r="E571" t="str">
        <f>VLOOKUP(B571,ZoneTable,3,FALSE)</f>
        <v>Clinton West</v>
      </c>
      <c r="F571" t="str">
        <f>IF(OR(B571=1,B571=132,B571=138),"Airports",D571)</f>
        <v>Manhattan</v>
      </c>
    </row>
    <row r="572" spans="1:6">
      <c r="A572" s="33">
        <v>42064</v>
      </c>
      <c r="B572">
        <v>51</v>
      </c>
      <c r="C572">
        <v>613</v>
      </c>
      <c r="D572" t="str">
        <f>VLOOKUP(B572,ZoneTable,2,FALSE)</f>
        <v>Bronx</v>
      </c>
      <c r="E572" t="str">
        <f>VLOOKUP(B572,ZoneTable,3,FALSE)</f>
        <v>Co-Op City</v>
      </c>
      <c r="F572" t="str">
        <f>IF(OR(B572=1,B572=132,B572=138),"Airports",D572)</f>
        <v>Bronx</v>
      </c>
    </row>
    <row r="573" spans="1:6">
      <c r="A573" s="33">
        <v>42064</v>
      </c>
      <c r="B573">
        <v>52</v>
      </c>
      <c r="C573">
        <v>3895</v>
      </c>
      <c r="D573" t="str">
        <f>VLOOKUP(B573,ZoneTable,2,FALSE)</f>
        <v>Brooklyn</v>
      </c>
      <c r="E573" t="str">
        <f>VLOOKUP(B573,ZoneTable,3,FALSE)</f>
        <v>Cobble Hill</v>
      </c>
      <c r="F573" t="str">
        <f>IF(OR(B573=1,B573=132,B573=138),"Airports",D573)</f>
        <v>Brooklyn</v>
      </c>
    </row>
    <row r="574" spans="1:6">
      <c r="A574" s="33">
        <v>42064</v>
      </c>
      <c r="B574">
        <v>53</v>
      </c>
      <c r="C574">
        <v>527</v>
      </c>
      <c r="D574" t="str">
        <f>VLOOKUP(B574,ZoneTable,2,FALSE)</f>
        <v>Queens</v>
      </c>
      <c r="E574" t="str">
        <f>VLOOKUP(B574,ZoneTable,3,FALSE)</f>
        <v>College Point</v>
      </c>
      <c r="F574" t="str">
        <f>IF(OR(B574=1,B574=132,B574=138),"Airports",D574)</f>
        <v>Queens</v>
      </c>
    </row>
    <row r="575" spans="1:6">
      <c r="A575" s="33">
        <v>42064</v>
      </c>
      <c r="B575">
        <v>54</v>
      </c>
      <c r="C575">
        <v>1868</v>
      </c>
      <c r="D575" t="str">
        <f>VLOOKUP(B575,ZoneTable,2,FALSE)</f>
        <v>Brooklyn</v>
      </c>
      <c r="E575" t="str">
        <f>VLOOKUP(B575,ZoneTable,3,FALSE)</f>
        <v>Columbia Street</v>
      </c>
      <c r="F575" t="str">
        <f>IF(OR(B575=1,B575=132,B575=138),"Airports",D575)</f>
        <v>Brooklyn</v>
      </c>
    </row>
    <row r="576" spans="1:6">
      <c r="A576" s="33">
        <v>42064</v>
      </c>
      <c r="B576">
        <v>55</v>
      </c>
      <c r="C576">
        <v>631</v>
      </c>
      <c r="D576" t="str">
        <f>VLOOKUP(B576,ZoneTable,2,FALSE)</f>
        <v>Brooklyn</v>
      </c>
      <c r="E576" t="str">
        <f>VLOOKUP(B576,ZoneTable,3,FALSE)</f>
        <v>Coney Island</v>
      </c>
      <c r="F576" t="str">
        <f>IF(OR(B576=1,B576=132,B576=138),"Airports",D576)</f>
        <v>Brooklyn</v>
      </c>
    </row>
    <row r="577" spans="1:6">
      <c r="A577" s="33">
        <v>42064</v>
      </c>
      <c r="B577">
        <v>56</v>
      </c>
      <c r="C577">
        <v>1287</v>
      </c>
      <c r="D577" t="str">
        <f>VLOOKUP(B577,ZoneTable,2,FALSE)</f>
        <v>Queens</v>
      </c>
      <c r="E577" t="str">
        <f>VLOOKUP(B577,ZoneTable,3,FALSE)</f>
        <v>Corona</v>
      </c>
      <c r="F577" t="str">
        <f>IF(OR(B577=1,B577=132,B577=138),"Airports",D577)</f>
        <v>Queens</v>
      </c>
    </row>
    <row r="578" spans="1:6">
      <c r="A578" s="33">
        <v>42064</v>
      </c>
      <c r="B578">
        <v>57</v>
      </c>
      <c r="C578">
        <v>88</v>
      </c>
      <c r="D578" t="str">
        <f>VLOOKUP(B578,ZoneTable,2,FALSE)</f>
        <v>Queens</v>
      </c>
      <c r="E578" t="str">
        <f>VLOOKUP(B578,ZoneTable,3,FALSE)</f>
        <v>Corona</v>
      </c>
      <c r="F578" t="str">
        <f>IF(OR(B578=1,B578=132,B578=138),"Airports",D578)</f>
        <v>Queens</v>
      </c>
    </row>
    <row r="579" spans="1:6">
      <c r="A579" s="33">
        <v>42064</v>
      </c>
      <c r="B579">
        <v>58</v>
      </c>
      <c r="C579">
        <v>128</v>
      </c>
      <c r="D579" t="str">
        <f>VLOOKUP(B579,ZoneTable,2,FALSE)</f>
        <v>Bronx</v>
      </c>
      <c r="E579" t="str">
        <f>VLOOKUP(B579,ZoneTable,3,FALSE)</f>
        <v>Country Club</v>
      </c>
      <c r="F579" t="str">
        <f>IF(OR(B579=1,B579=132,B579=138),"Airports",D579)</f>
        <v>Bronx</v>
      </c>
    </row>
    <row r="580" spans="1:6">
      <c r="A580" s="33">
        <v>42064</v>
      </c>
      <c r="B580">
        <v>59</v>
      </c>
      <c r="C580">
        <v>22</v>
      </c>
      <c r="D580" t="str">
        <f>VLOOKUP(B580,ZoneTable,2,FALSE)</f>
        <v>Bronx</v>
      </c>
      <c r="E580" t="str">
        <f>VLOOKUP(B580,ZoneTable,3,FALSE)</f>
        <v>Crotona Park</v>
      </c>
      <c r="F580" t="str">
        <f>IF(OR(B580=1,B580=132,B580=138),"Airports",D580)</f>
        <v>Bronx</v>
      </c>
    </row>
    <row r="581" spans="1:6">
      <c r="A581" s="33">
        <v>42064</v>
      </c>
      <c r="B581">
        <v>60</v>
      </c>
      <c r="C581">
        <v>448</v>
      </c>
      <c r="D581" t="str">
        <f>VLOOKUP(B581,ZoneTable,2,FALSE)</f>
        <v>Bronx</v>
      </c>
      <c r="E581" t="str">
        <f>VLOOKUP(B581,ZoneTable,3,FALSE)</f>
        <v>Crotona Park East</v>
      </c>
      <c r="F581" t="str">
        <f>IF(OR(B581=1,B581=132,B581=138),"Airports",D581)</f>
        <v>Bronx</v>
      </c>
    </row>
    <row r="582" spans="1:6">
      <c r="A582" s="33">
        <v>42064</v>
      </c>
      <c r="B582">
        <v>61</v>
      </c>
      <c r="C582">
        <v>16114</v>
      </c>
      <c r="D582" t="str">
        <f>VLOOKUP(B582,ZoneTable,2,FALSE)</f>
        <v>Brooklyn</v>
      </c>
      <c r="E582" t="str">
        <f>VLOOKUP(B582,ZoneTable,3,FALSE)</f>
        <v>Crown Heights North</v>
      </c>
      <c r="F582" t="str">
        <f>IF(OR(B582=1,B582=132,B582=138),"Airports",D582)</f>
        <v>Brooklyn</v>
      </c>
    </row>
    <row r="583" spans="1:6">
      <c r="A583" s="33">
        <v>42064</v>
      </c>
      <c r="B583">
        <v>62</v>
      </c>
      <c r="C583">
        <v>3740</v>
      </c>
      <c r="D583" t="str">
        <f>VLOOKUP(B583,ZoneTable,2,FALSE)</f>
        <v>Brooklyn</v>
      </c>
      <c r="E583" t="str">
        <f>VLOOKUP(B583,ZoneTable,3,FALSE)</f>
        <v>Crown Heights South</v>
      </c>
      <c r="F583" t="str">
        <f>IF(OR(B583=1,B583=132,B583=138),"Airports",D583)</f>
        <v>Brooklyn</v>
      </c>
    </row>
    <row r="584" spans="1:6">
      <c r="A584" s="33">
        <v>42064</v>
      </c>
      <c r="B584">
        <v>63</v>
      </c>
      <c r="C584">
        <v>917</v>
      </c>
      <c r="D584" t="str">
        <f>VLOOKUP(B584,ZoneTable,2,FALSE)</f>
        <v>Brooklyn</v>
      </c>
      <c r="E584" t="str">
        <f>VLOOKUP(B584,ZoneTable,3,FALSE)</f>
        <v>Cypress Hills</v>
      </c>
      <c r="F584" t="str">
        <f>IF(OR(B584=1,B584=132,B584=138),"Airports",D584)</f>
        <v>Brooklyn</v>
      </c>
    </row>
    <row r="585" spans="1:6">
      <c r="A585" s="33">
        <v>42064</v>
      </c>
      <c r="B585">
        <v>64</v>
      </c>
      <c r="C585">
        <v>397</v>
      </c>
      <c r="D585" t="str">
        <f>VLOOKUP(B585,ZoneTable,2,FALSE)</f>
        <v>Queens</v>
      </c>
      <c r="E585" t="str">
        <f>VLOOKUP(B585,ZoneTable,3,FALSE)</f>
        <v>Douglaston</v>
      </c>
      <c r="F585" t="str">
        <f>IF(OR(B585=1,B585=132,B585=138),"Airports",D585)</f>
        <v>Queens</v>
      </c>
    </row>
    <row r="586" spans="1:6">
      <c r="A586" s="33">
        <v>42064</v>
      </c>
      <c r="B586">
        <v>65</v>
      </c>
      <c r="C586">
        <v>8486</v>
      </c>
      <c r="D586" t="str">
        <f>VLOOKUP(B586,ZoneTable,2,FALSE)</f>
        <v>Brooklyn</v>
      </c>
      <c r="E586" t="str">
        <f>VLOOKUP(B586,ZoneTable,3,FALSE)</f>
        <v>Downtown Brooklyn/MetroTech</v>
      </c>
      <c r="F586" t="str">
        <f>IF(OR(B586=1,B586=132,B586=138),"Airports",D586)</f>
        <v>Brooklyn</v>
      </c>
    </row>
    <row r="587" spans="1:6">
      <c r="A587" s="33">
        <v>42064</v>
      </c>
      <c r="B587">
        <v>66</v>
      </c>
      <c r="C587">
        <v>8010</v>
      </c>
      <c r="D587" t="str">
        <f>VLOOKUP(B587,ZoneTable,2,FALSE)</f>
        <v>Brooklyn</v>
      </c>
      <c r="E587" t="str">
        <f>VLOOKUP(B587,ZoneTable,3,FALSE)</f>
        <v>DUMBO/Vinegar Hill</v>
      </c>
      <c r="F587" t="str">
        <f>IF(OR(B587=1,B587=132,B587=138),"Airports",D587)</f>
        <v>Brooklyn</v>
      </c>
    </row>
    <row r="588" spans="1:6">
      <c r="A588" s="33">
        <v>42064</v>
      </c>
      <c r="B588">
        <v>67</v>
      </c>
      <c r="C588">
        <v>1290</v>
      </c>
      <c r="D588" t="str">
        <f>VLOOKUP(B588,ZoneTable,2,FALSE)</f>
        <v>Brooklyn</v>
      </c>
      <c r="E588" t="str">
        <f>VLOOKUP(B588,ZoneTable,3,FALSE)</f>
        <v>Dyker Heights</v>
      </c>
      <c r="F588" t="str">
        <f>IF(OR(B588=1,B588=132,B588=138),"Airports",D588)</f>
        <v>Brooklyn</v>
      </c>
    </row>
    <row r="589" spans="1:6">
      <c r="A589" s="33">
        <v>42064</v>
      </c>
      <c r="B589">
        <v>68</v>
      </c>
      <c r="C589">
        <v>45694</v>
      </c>
      <c r="D589" t="str">
        <f>VLOOKUP(B589,ZoneTable,2,FALSE)</f>
        <v>Manhattan</v>
      </c>
      <c r="E589" t="str">
        <f>VLOOKUP(B589,ZoneTable,3,FALSE)</f>
        <v>East Chelsea</v>
      </c>
      <c r="F589" t="str">
        <f>IF(OR(B589=1,B589=132,B589=138),"Airports",D589)</f>
        <v>Manhattan</v>
      </c>
    </row>
    <row r="590" spans="1:6">
      <c r="A590" s="33">
        <v>42064</v>
      </c>
      <c r="B590">
        <v>69</v>
      </c>
      <c r="C590">
        <v>1214</v>
      </c>
      <c r="D590" t="str">
        <f>VLOOKUP(B590,ZoneTable,2,FALSE)</f>
        <v>Bronx</v>
      </c>
      <c r="E590" t="str">
        <f>VLOOKUP(B590,ZoneTable,3,FALSE)</f>
        <v>East Concourse/Concourse Village</v>
      </c>
      <c r="F590" t="str">
        <f>IF(OR(B590=1,B590=132,B590=138),"Airports",D590)</f>
        <v>Bronx</v>
      </c>
    </row>
    <row r="591" spans="1:6">
      <c r="A591" s="33">
        <v>42064</v>
      </c>
      <c r="B591">
        <v>70</v>
      </c>
      <c r="C591">
        <v>1828</v>
      </c>
      <c r="D591" t="str">
        <f>VLOOKUP(B591,ZoneTable,2,FALSE)</f>
        <v>Queens</v>
      </c>
      <c r="E591" t="str">
        <f>VLOOKUP(B591,ZoneTable,3,FALSE)</f>
        <v>East Elmhurst</v>
      </c>
      <c r="F591" t="str">
        <f>IF(OR(B591=1,B591=132,B591=138),"Airports",D591)</f>
        <v>Queens</v>
      </c>
    </row>
    <row r="592" spans="1:6">
      <c r="A592" s="33">
        <v>42064</v>
      </c>
      <c r="B592">
        <v>71</v>
      </c>
      <c r="C592">
        <v>1926</v>
      </c>
      <c r="D592" t="str">
        <f>VLOOKUP(B592,ZoneTable,2,FALSE)</f>
        <v>Brooklyn</v>
      </c>
      <c r="E592" t="str">
        <f>VLOOKUP(B592,ZoneTable,3,FALSE)</f>
        <v>East Flatbush/Farragut</v>
      </c>
      <c r="F592" t="str">
        <f>IF(OR(B592=1,B592=132,B592=138),"Airports",D592)</f>
        <v>Brooklyn</v>
      </c>
    </row>
    <row r="593" spans="1:6">
      <c r="A593" s="33">
        <v>42064</v>
      </c>
      <c r="B593">
        <v>72</v>
      </c>
      <c r="C593">
        <v>2334</v>
      </c>
      <c r="D593" t="str">
        <f>VLOOKUP(B593,ZoneTable,2,FALSE)</f>
        <v>Brooklyn</v>
      </c>
      <c r="E593" t="str">
        <f>VLOOKUP(B593,ZoneTable,3,FALSE)</f>
        <v>East Flatbush/Remsen Village</v>
      </c>
      <c r="F593" t="str">
        <f>IF(OR(B593=1,B593=132,B593=138),"Airports",D593)</f>
        <v>Brooklyn</v>
      </c>
    </row>
    <row r="594" spans="1:6">
      <c r="A594" s="33">
        <v>42064</v>
      </c>
      <c r="B594">
        <v>73</v>
      </c>
      <c r="C594">
        <v>491</v>
      </c>
      <c r="D594" t="str">
        <f>VLOOKUP(B594,ZoneTable,2,FALSE)</f>
        <v>Queens</v>
      </c>
      <c r="E594" t="str">
        <f>VLOOKUP(B594,ZoneTable,3,FALSE)</f>
        <v>East Flushing</v>
      </c>
      <c r="F594" t="str">
        <f>IF(OR(B594=1,B594=132,B594=138),"Airports",D594)</f>
        <v>Queens</v>
      </c>
    </row>
    <row r="595" spans="1:6">
      <c r="A595" s="33">
        <v>42064</v>
      </c>
      <c r="B595">
        <v>74</v>
      </c>
      <c r="C595">
        <v>7579</v>
      </c>
      <c r="D595" t="str">
        <f>VLOOKUP(B595,ZoneTable,2,FALSE)</f>
        <v>Manhattan</v>
      </c>
      <c r="E595" t="str">
        <f>VLOOKUP(B595,ZoneTable,3,FALSE)</f>
        <v>East Harlem North</v>
      </c>
      <c r="F595" t="str">
        <f>IF(OR(B595=1,B595=132,B595=138),"Airports",D595)</f>
        <v>Manhattan</v>
      </c>
    </row>
    <row r="596" spans="1:6">
      <c r="A596" s="33">
        <v>42064</v>
      </c>
      <c r="B596">
        <v>75</v>
      </c>
      <c r="C596">
        <v>8148</v>
      </c>
      <c r="D596" t="str">
        <f>VLOOKUP(B596,ZoneTable,2,FALSE)</f>
        <v>Manhattan</v>
      </c>
      <c r="E596" t="str">
        <f>VLOOKUP(B596,ZoneTable,3,FALSE)</f>
        <v>East Harlem South</v>
      </c>
      <c r="F596" t="str">
        <f>IF(OR(B596=1,B596=132,B596=138),"Airports",D596)</f>
        <v>Manhattan</v>
      </c>
    </row>
    <row r="597" spans="1:6">
      <c r="A597" s="33">
        <v>42064</v>
      </c>
      <c r="B597">
        <v>76</v>
      </c>
      <c r="C597">
        <v>2691</v>
      </c>
      <c r="D597" t="str">
        <f>VLOOKUP(B597,ZoneTable,2,FALSE)</f>
        <v>Brooklyn</v>
      </c>
      <c r="E597" t="str">
        <f>VLOOKUP(B597,ZoneTable,3,FALSE)</f>
        <v>East New York</v>
      </c>
      <c r="F597" t="str">
        <f>IF(OR(B597=1,B597=132,B597=138),"Airports",D597)</f>
        <v>Brooklyn</v>
      </c>
    </row>
    <row r="598" spans="1:6">
      <c r="A598" s="33">
        <v>42064</v>
      </c>
      <c r="B598">
        <v>77</v>
      </c>
      <c r="C598">
        <v>753</v>
      </c>
      <c r="D598" t="str">
        <f>VLOOKUP(B598,ZoneTable,2,FALSE)</f>
        <v>Brooklyn</v>
      </c>
      <c r="E598" t="str">
        <f>VLOOKUP(B598,ZoneTable,3,FALSE)</f>
        <v>East New York/Pennsylvania Avenue</v>
      </c>
      <c r="F598" t="str">
        <f>IF(OR(B598=1,B598=132,B598=138),"Airports",D598)</f>
        <v>Brooklyn</v>
      </c>
    </row>
    <row r="599" spans="1:6">
      <c r="A599" s="33">
        <v>42064</v>
      </c>
      <c r="B599">
        <v>78</v>
      </c>
      <c r="C599">
        <v>799</v>
      </c>
      <c r="D599" t="str">
        <f>VLOOKUP(B599,ZoneTable,2,FALSE)</f>
        <v>Bronx</v>
      </c>
      <c r="E599" t="str">
        <f>VLOOKUP(B599,ZoneTable,3,FALSE)</f>
        <v>East Tremont</v>
      </c>
      <c r="F599" t="str">
        <f>IF(OR(B599=1,B599=132,B599=138),"Airports",D599)</f>
        <v>Bronx</v>
      </c>
    </row>
    <row r="600" spans="1:6">
      <c r="A600" s="33">
        <v>42064</v>
      </c>
      <c r="B600">
        <v>79</v>
      </c>
      <c r="C600">
        <v>64532</v>
      </c>
      <c r="D600" t="str">
        <f>VLOOKUP(B600,ZoneTable,2,FALSE)</f>
        <v>Manhattan</v>
      </c>
      <c r="E600" t="str">
        <f>VLOOKUP(B600,ZoneTable,3,FALSE)</f>
        <v>East Village</v>
      </c>
      <c r="F600" t="str">
        <f>IF(OR(B600=1,B600=132,B600=138),"Airports",D600)</f>
        <v>Manhattan</v>
      </c>
    </row>
    <row r="601" spans="1:6">
      <c r="A601" s="33">
        <v>42064</v>
      </c>
      <c r="B601">
        <v>80</v>
      </c>
      <c r="C601">
        <v>16159</v>
      </c>
      <c r="D601" t="str">
        <f>VLOOKUP(B601,ZoneTable,2,FALSE)</f>
        <v>Brooklyn</v>
      </c>
      <c r="E601" t="str">
        <f>VLOOKUP(B601,ZoneTable,3,FALSE)</f>
        <v>East Williamsburg</v>
      </c>
      <c r="F601" t="str">
        <f>IF(OR(B601=1,B601=132,B601=138),"Airports",D601)</f>
        <v>Brooklyn</v>
      </c>
    </row>
    <row r="602" spans="1:6">
      <c r="A602" s="33">
        <v>42064</v>
      </c>
      <c r="B602">
        <v>81</v>
      </c>
      <c r="C602">
        <v>493</v>
      </c>
      <c r="D602" t="str">
        <f>VLOOKUP(B602,ZoneTable,2,FALSE)</f>
        <v>Bronx</v>
      </c>
      <c r="E602" t="str">
        <f>VLOOKUP(B602,ZoneTable,3,FALSE)</f>
        <v>Eastchester</v>
      </c>
      <c r="F602" t="str">
        <f>IF(OR(B602=1,B602=132,B602=138),"Airports",D602)</f>
        <v>Bronx</v>
      </c>
    </row>
    <row r="603" spans="1:6">
      <c r="A603" s="33">
        <v>42064</v>
      </c>
      <c r="B603">
        <v>82</v>
      </c>
      <c r="C603">
        <v>3573</v>
      </c>
      <c r="D603" t="str">
        <f>VLOOKUP(B603,ZoneTable,2,FALSE)</f>
        <v>Queens</v>
      </c>
      <c r="E603" t="str">
        <f>VLOOKUP(B603,ZoneTable,3,FALSE)</f>
        <v>Elmhurst</v>
      </c>
      <c r="F603" t="str">
        <f>IF(OR(B603=1,B603=132,B603=138),"Airports",D603)</f>
        <v>Queens</v>
      </c>
    </row>
    <row r="604" spans="1:6">
      <c r="A604" s="33">
        <v>42064</v>
      </c>
      <c r="B604">
        <v>83</v>
      </c>
      <c r="C604">
        <v>1371</v>
      </c>
      <c r="D604" t="str">
        <f>VLOOKUP(B604,ZoneTable,2,FALSE)</f>
        <v>Queens</v>
      </c>
      <c r="E604" t="str">
        <f>VLOOKUP(B604,ZoneTable,3,FALSE)</f>
        <v>Elmhurst/Maspeth</v>
      </c>
      <c r="F604" t="str">
        <f>IF(OR(B604=1,B604=132,B604=138),"Airports",D604)</f>
        <v>Queens</v>
      </c>
    </row>
    <row r="605" spans="1:6">
      <c r="A605" s="33">
        <v>42064</v>
      </c>
      <c r="B605">
        <v>84</v>
      </c>
      <c r="C605">
        <v>8</v>
      </c>
      <c r="D605" t="str">
        <f>VLOOKUP(B605,ZoneTable,2,FALSE)</f>
        <v>Staten Island</v>
      </c>
      <c r="E605" t="str">
        <f>VLOOKUP(B605,ZoneTable,3,FALSE)</f>
        <v>Eltingville/Annadale/Prince's Bay</v>
      </c>
      <c r="F605" t="str">
        <f>IF(OR(B605=1,B605=132,B605=138),"Airports",D605)</f>
        <v>Staten Island</v>
      </c>
    </row>
    <row r="606" spans="1:6">
      <c r="A606" s="33">
        <v>42064</v>
      </c>
      <c r="B606">
        <v>85</v>
      </c>
      <c r="C606">
        <v>1686</v>
      </c>
      <c r="D606" t="str">
        <f>VLOOKUP(B606,ZoneTable,2,FALSE)</f>
        <v>Brooklyn</v>
      </c>
      <c r="E606" t="str">
        <f>VLOOKUP(B606,ZoneTable,3,FALSE)</f>
        <v>Erasmus</v>
      </c>
      <c r="F606" t="str">
        <f>IF(OR(B606=1,B606=132,B606=138),"Airports",D606)</f>
        <v>Brooklyn</v>
      </c>
    </row>
    <row r="607" spans="1:6">
      <c r="A607" s="33">
        <v>42064</v>
      </c>
      <c r="B607">
        <v>86</v>
      </c>
      <c r="C607">
        <v>96</v>
      </c>
      <c r="D607" t="str">
        <f>VLOOKUP(B607,ZoneTable,2,FALSE)</f>
        <v>Queens</v>
      </c>
      <c r="E607" t="str">
        <f>VLOOKUP(B607,ZoneTable,3,FALSE)</f>
        <v>Far Rockaway</v>
      </c>
      <c r="F607" t="str">
        <f>IF(OR(B607=1,B607=132,B607=138),"Airports",D607)</f>
        <v>Queens</v>
      </c>
    </row>
    <row r="608" spans="1:6">
      <c r="A608" s="33">
        <v>42064</v>
      </c>
      <c r="B608">
        <v>87</v>
      </c>
      <c r="C608">
        <v>24862</v>
      </c>
      <c r="D608" t="str">
        <f>VLOOKUP(B608,ZoneTable,2,FALSE)</f>
        <v>Manhattan</v>
      </c>
      <c r="E608" t="str">
        <f>VLOOKUP(B608,ZoneTable,3,FALSE)</f>
        <v>Financial District North</v>
      </c>
      <c r="F608" t="str">
        <f>IF(OR(B608=1,B608=132,B608=138),"Airports",D608)</f>
        <v>Manhattan</v>
      </c>
    </row>
    <row r="609" spans="1:6">
      <c r="A609" s="33">
        <v>42064</v>
      </c>
      <c r="B609">
        <v>88</v>
      </c>
      <c r="C609">
        <v>9421</v>
      </c>
      <c r="D609" t="str">
        <f>VLOOKUP(B609,ZoneTable,2,FALSE)</f>
        <v>Manhattan</v>
      </c>
      <c r="E609" t="str">
        <f>VLOOKUP(B609,ZoneTable,3,FALSE)</f>
        <v>Financial District South</v>
      </c>
      <c r="F609" t="str">
        <f>IF(OR(B609=1,B609=132,B609=138),"Airports",D609)</f>
        <v>Manhattan</v>
      </c>
    </row>
    <row r="610" spans="1:6">
      <c r="A610" s="33">
        <v>42064</v>
      </c>
      <c r="B610">
        <v>89</v>
      </c>
      <c r="C610">
        <v>7303</v>
      </c>
      <c r="D610" t="str">
        <f>VLOOKUP(B610,ZoneTable,2,FALSE)</f>
        <v>Brooklyn</v>
      </c>
      <c r="E610" t="str">
        <f>VLOOKUP(B610,ZoneTable,3,FALSE)</f>
        <v>Flatbush/Ditmas Park</v>
      </c>
      <c r="F610" t="str">
        <f>IF(OR(B610=1,B610=132,B610=138),"Airports",D610)</f>
        <v>Brooklyn</v>
      </c>
    </row>
    <row r="611" spans="1:6">
      <c r="A611" s="33">
        <v>42064</v>
      </c>
      <c r="B611">
        <v>90</v>
      </c>
      <c r="C611">
        <v>36212</v>
      </c>
      <c r="D611" t="str">
        <f>VLOOKUP(B611,ZoneTable,2,FALSE)</f>
        <v>Manhattan</v>
      </c>
      <c r="E611" t="str">
        <f>VLOOKUP(B611,ZoneTable,3,FALSE)</f>
        <v>Flatiron</v>
      </c>
      <c r="F611" t="str">
        <f>IF(OR(B611=1,B611=132,B611=138),"Airports",D611)</f>
        <v>Manhattan</v>
      </c>
    </row>
    <row r="612" spans="1:6">
      <c r="A612" s="33">
        <v>42064</v>
      </c>
      <c r="B612">
        <v>91</v>
      </c>
      <c r="C612">
        <v>2436</v>
      </c>
      <c r="D612" t="str">
        <f>VLOOKUP(B612,ZoneTable,2,FALSE)</f>
        <v>Brooklyn</v>
      </c>
      <c r="E612" t="str">
        <f>VLOOKUP(B612,ZoneTable,3,FALSE)</f>
        <v>Flatlands</v>
      </c>
      <c r="F612" t="str">
        <f>IF(OR(B612=1,B612=132,B612=138),"Airports",D612)</f>
        <v>Brooklyn</v>
      </c>
    </row>
    <row r="613" spans="1:6">
      <c r="A613" s="33">
        <v>42064</v>
      </c>
      <c r="B613">
        <v>92</v>
      </c>
      <c r="C613">
        <v>2991</v>
      </c>
      <c r="D613" t="str">
        <f>VLOOKUP(B613,ZoneTable,2,FALSE)</f>
        <v>Queens</v>
      </c>
      <c r="E613" t="str">
        <f>VLOOKUP(B613,ZoneTable,3,FALSE)</f>
        <v>Flushing</v>
      </c>
      <c r="F613" t="str">
        <f>IF(OR(B613=1,B613=132,B613=138),"Airports",D613)</f>
        <v>Queens</v>
      </c>
    </row>
    <row r="614" spans="1:6">
      <c r="A614" s="33">
        <v>42064</v>
      </c>
      <c r="B614">
        <v>93</v>
      </c>
      <c r="C614">
        <v>380</v>
      </c>
      <c r="D614" t="str">
        <f>VLOOKUP(B614,ZoneTable,2,FALSE)</f>
        <v>Queens</v>
      </c>
      <c r="E614" t="str">
        <f>VLOOKUP(B614,ZoneTable,3,FALSE)</f>
        <v>Flushing Meadows-Corona Park</v>
      </c>
      <c r="F614" t="str">
        <f>IF(OR(B614=1,B614=132,B614=138),"Airports",D614)</f>
        <v>Queens</v>
      </c>
    </row>
    <row r="615" spans="1:6">
      <c r="A615" s="33">
        <v>42064</v>
      </c>
      <c r="B615">
        <v>94</v>
      </c>
      <c r="C615">
        <v>370</v>
      </c>
      <c r="D615" t="str">
        <f>VLOOKUP(B615,ZoneTable,2,FALSE)</f>
        <v>Bronx</v>
      </c>
      <c r="E615" t="str">
        <f>VLOOKUP(B615,ZoneTable,3,FALSE)</f>
        <v>Fordham South</v>
      </c>
      <c r="F615" t="str">
        <f>IF(OR(B615=1,B615=132,B615=138),"Airports",D615)</f>
        <v>Bronx</v>
      </c>
    </row>
    <row r="616" spans="1:6">
      <c r="A616" s="33">
        <v>42064</v>
      </c>
      <c r="B616">
        <v>95</v>
      </c>
      <c r="C616">
        <v>6432</v>
      </c>
      <c r="D616" t="str">
        <f>VLOOKUP(B616,ZoneTable,2,FALSE)</f>
        <v>Queens</v>
      </c>
      <c r="E616" t="str">
        <f>VLOOKUP(B616,ZoneTable,3,FALSE)</f>
        <v>Forest Hills</v>
      </c>
      <c r="F616" t="str">
        <f>IF(OR(B616=1,B616=132,B616=138),"Airports",D616)</f>
        <v>Queens</v>
      </c>
    </row>
    <row r="617" spans="1:6">
      <c r="A617" s="33">
        <v>42064</v>
      </c>
      <c r="B617">
        <v>96</v>
      </c>
      <c r="C617">
        <v>58</v>
      </c>
      <c r="D617" t="str">
        <f>VLOOKUP(B617,ZoneTable,2,FALSE)</f>
        <v>Queens</v>
      </c>
      <c r="E617" t="str">
        <f>VLOOKUP(B617,ZoneTable,3,FALSE)</f>
        <v>Forest Park/Highland Park</v>
      </c>
      <c r="F617" t="str">
        <f>IF(OR(B617=1,B617=132,B617=138),"Airports",D617)</f>
        <v>Queens</v>
      </c>
    </row>
    <row r="618" spans="1:6">
      <c r="A618" s="33">
        <v>42064</v>
      </c>
      <c r="B618">
        <v>97</v>
      </c>
      <c r="C618">
        <v>11391</v>
      </c>
      <c r="D618" t="str">
        <f>VLOOKUP(B618,ZoneTable,2,FALSE)</f>
        <v>Brooklyn</v>
      </c>
      <c r="E618" t="str">
        <f>VLOOKUP(B618,ZoneTable,3,FALSE)</f>
        <v>Fort Greene</v>
      </c>
      <c r="F618" t="str">
        <f>IF(OR(B618=1,B618=132,B618=138),"Airports",D618)</f>
        <v>Brooklyn</v>
      </c>
    </row>
    <row r="619" spans="1:6">
      <c r="A619" s="33">
        <v>42064</v>
      </c>
      <c r="B619">
        <v>98</v>
      </c>
      <c r="C619">
        <v>665</v>
      </c>
      <c r="D619" t="str">
        <f>VLOOKUP(B619,ZoneTable,2,FALSE)</f>
        <v>Queens</v>
      </c>
      <c r="E619" t="str">
        <f>VLOOKUP(B619,ZoneTable,3,FALSE)</f>
        <v>Fresh Meadows</v>
      </c>
      <c r="F619" t="str">
        <f>IF(OR(B619=1,B619=132,B619=138),"Airports",D619)</f>
        <v>Queens</v>
      </c>
    </row>
    <row r="620" spans="1:6">
      <c r="A620" s="33">
        <v>42064</v>
      </c>
      <c r="B620">
        <v>99</v>
      </c>
      <c r="C620">
        <v>2</v>
      </c>
      <c r="D620" t="str">
        <f>VLOOKUP(B620,ZoneTable,2,FALSE)</f>
        <v>Staten Island</v>
      </c>
      <c r="E620" t="str">
        <f>VLOOKUP(B620,ZoneTable,3,FALSE)</f>
        <v>Freshkills Park</v>
      </c>
      <c r="F620" t="str">
        <f>IF(OR(B620=1,B620=132,B620=138),"Airports",D620)</f>
        <v>Staten Island</v>
      </c>
    </row>
    <row r="621" spans="1:6">
      <c r="A621" s="33">
        <v>42064</v>
      </c>
      <c r="B621">
        <v>100</v>
      </c>
      <c r="C621">
        <v>27520</v>
      </c>
      <c r="D621" t="str">
        <f>VLOOKUP(B621,ZoneTable,2,FALSE)</f>
        <v>Manhattan</v>
      </c>
      <c r="E621" t="str">
        <f>VLOOKUP(B621,ZoneTable,3,FALSE)</f>
        <v>Garment District</v>
      </c>
      <c r="F621" t="str">
        <f>IF(OR(B621=1,B621=132,B621=138),"Airports",D621)</f>
        <v>Manhattan</v>
      </c>
    </row>
    <row r="622" spans="1:6">
      <c r="A622" s="33">
        <v>42064</v>
      </c>
      <c r="B622">
        <v>101</v>
      </c>
      <c r="C622">
        <v>293</v>
      </c>
      <c r="D622" t="str">
        <f>VLOOKUP(B622,ZoneTable,2,FALSE)</f>
        <v>Queens</v>
      </c>
      <c r="E622" t="str">
        <f>VLOOKUP(B622,ZoneTable,3,FALSE)</f>
        <v>Glen Oaks</v>
      </c>
      <c r="F622" t="str">
        <f>IF(OR(B622=1,B622=132,B622=138),"Airports",D622)</f>
        <v>Queens</v>
      </c>
    </row>
    <row r="623" spans="1:6">
      <c r="A623" s="33">
        <v>42064</v>
      </c>
      <c r="B623">
        <v>102</v>
      </c>
      <c r="C623">
        <v>1416</v>
      </c>
      <c r="D623" t="str">
        <f>VLOOKUP(B623,ZoneTable,2,FALSE)</f>
        <v>Queens</v>
      </c>
      <c r="E623" t="str">
        <f>VLOOKUP(B623,ZoneTable,3,FALSE)</f>
        <v>Glendale</v>
      </c>
      <c r="F623" t="str">
        <f>IF(OR(B623=1,B623=132,B623=138),"Airports",D623)</f>
        <v>Queens</v>
      </c>
    </row>
    <row r="624" spans="1:6">
      <c r="A624" s="33">
        <v>42064</v>
      </c>
      <c r="B624">
        <v>105</v>
      </c>
      <c r="C624">
        <v>1</v>
      </c>
      <c r="D624" t="str">
        <f>VLOOKUP(B624,ZoneTable,2,FALSE)</f>
        <v>Manhattan</v>
      </c>
      <c r="E624" t="str">
        <f>VLOOKUP(B624,ZoneTable,3,FALSE)</f>
        <v>Governor's Island/Ellis Island/Liberty Island</v>
      </c>
      <c r="F624" t="str">
        <f>IF(OR(B624=1,B624=132,B624=138),"Airports",D624)</f>
        <v>Manhattan</v>
      </c>
    </row>
    <row r="625" spans="1:6">
      <c r="A625" s="33">
        <v>42064</v>
      </c>
      <c r="B625">
        <v>106</v>
      </c>
      <c r="C625">
        <v>6012</v>
      </c>
      <c r="D625" t="str">
        <f>VLOOKUP(B625,ZoneTable,2,FALSE)</f>
        <v>Brooklyn</v>
      </c>
      <c r="E625" t="str">
        <f>VLOOKUP(B625,ZoneTable,3,FALSE)</f>
        <v>Gowanus</v>
      </c>
      <c r="F625" t="str">
        <f>IF(OR(B625=1,B625=132,B625=138),"Airports",D625)</f>
        <v>Brooklyn</v>
      </c>
    </row>
    <row r="626" spans="1:6">
      <c r="A626" s="33">
        <v>42064</v>
      </c>
      <c r="B626">
        <v>107</v>
      </c>
      <c r="C626">
        <v>40737</v>
      </c>
      <c r="D626" t="str">
        <f>VLOOKUP(B626,ZoneTable,2,FALSE)</f>
        <v>Manhattan</v>
      </c>
      <c r="E626" t="str">
        <f>VLOOKUP(B626,ZoneTable,3,FALSE)</f>
        <v>Gramercy</v>
      </c>
      <c r="F626" t="str">
        <f>IF(OR(B626=1,B626=132,B626=138),"Airports",D626)</f>
        <v>Manhattan</v>
      </c>
    </row>
    <row r="627" spans="1:6">
      <c r="A627" s="33">
        <v>42064</v>
      </c>
      <c r="B627">
        <v>108</v>
      </c>
      <c r="C627">
        <v>596</v>
      </c>
      <c r="D627" t="str">
        <f>VLOOKUP(B627,ZoneTable,2,FALSE)</f>
        <v>Brooklyn</v>
      </c>
      <c r="E627" t="str">
        <f>VLOOKUP(B627,ZoneTable,3,FALSE)</f>
        <v>Gravesend</v>
      </c>
      <c r="F627" t="str">
        <f>IF(OR(B627=1,B627=132,B627=138),"Airports",D627)</f>
        <v>Brooklyn</v>
      </c>
    </row>
    <row r="628" spans="1:6">
      <c r="A628" s="33">
        <v>42064</v>
      </c>
      <c r="B628">
        <v>109</v>
      </c>
      <c r="C628">
        <v>26</v>
      </c>
      <c r="D628" t="str">
        <f>VLOOKUP(B628,ZoneTable,2,FALSE)</f>
        <v>Staten Island</v>
      </c>
      <c r="E628" t="str">
        <f>VLOOKUP(B628,ZoneTable,3,FALSE)</f>
        <v>Great Kills</v>
      </c>
      <c r="F628" t="str">
        <f>IF(OR(B628=1,B628=132,B628=138),"Airports",D628)</f>
        <v>Staten Island</v>
      </c>
    </row>
    <row r="629" spans="1:6">
      <c r="A629" s="33">
        <v>42064</v>
      </c>
      <c r="B629">
        <v>111</v>
      </c>
      <c r="C629">
        <v>33</v>
      </c>
      <c r="D629" t="str">
        <f>VLOOKUP(B629,ZoneTable,2,FALSE)</f>
        <v>Brooklyn</v>
      </c>
      <c r="E629" t="str">
        <f>VLOOKUP(B629,ZoneTable,3,FALSE)</f>
        <v>Green-Wood Cemetery</v>
      </c>
      <c r="F629" t="str">
        <f>IF(OR(B629=1,B629=132,B629=138),"Airports",D629)</f>
        <v>Brooklyn</v>
      </c>
    </row>
    <row r="630" spans="1:6">
      <c r="A630" s="33">
        <v>42064</v>
      </c>
      <c r="B630">
        <v>112</v>
      </c>
      <c r="C630">
        <v>20127</v>
      </c>
      <c r="D630" t="str">
        <f>VLOOKUP(B630,ZoneTable,2,FALSE)</f>
        <v>Brooklyn</v>
      </c>
      <c r="E630" t="str">
        <f>VLOOKUP(B630,ZoneTable,3,FALSE)</f>
        <v>Greenpoint</v>
      </c>
      <c r="F630" t="str">
        <f>IF(OR(B630=1,B630=132,B630=138),"Airports",D630)</f>
        <v>Brooklyn</v>
      </c>
    </row>
    <row r="631" spans="1:6">
      <c r="A631" s="33">
        <v>42064</v>
      </c>
      <c r="B631">
        <v>113</v>
      </c>
      <c r="C631">
        <v>40040</v>
      </c>
      <c r="D631" t="str">
        <f>VLOOKUP(B631,ZoneTable,2,FALSE)</f>
        <v>Manhattan</v>
      </c>
      <c r="E631" t="str">
        <f>VLOOKUP(B631,ZoneTable,3,FALSE)</f>
        <v>Greenwich Village North</v>
      </c>
      <c r="F631" t="str">
        <f>IF(OR(B631=1,B631=132,B631=138),"Airports",D631)</f>
        <v>Manhattan</v>
      </c>
    </row>
    <row r="632" spans="1:6">
      <c r="A632" s="33">
        <v>42064</v>
      </c>
      <c r="B632">
        <v>114</v>
      </c>
      <c r="C632">
        <v>34319</v>
      </c>
      <c r="D632" t="str">
        <f>VLOOKUP(B632,ZoneTable,2,FALSE)</f>
        <v>Manhattan</v>
      </c>
      <c r="E632" t="str">
        <f>VLOOKUP(B632,ZoneTable,3,FALSE)</f>
        <v>Greenwich Village South</v>
      </c>
      <c r="F632" t="str">
        <f>IF(OR(B632=1,B632=132,B632=138),"Airports",D632)</f>
        <v>Manhattan</v>
      </c>
    </row>
    <row r="633" spans="1:6">
      <c r="A633" s="33">
        <v>42064</v>
      </c>
      <c r="B633">
        <v>115</v>
      </c>
      <c r="C633">
        <v>68</v>
      </c>
      <c r="D633" t="str">
        <f>VLOOKUP(B633,ZoneTable,2,FALSE)</f>
        <v>Staten Island</v>
      </c>
      <c r="E633" t="str">
        <f>VLOOKUP(B633,ZoneTable,3,FALSE)</f>
        <v>Grymes Hill/Clifton</v>
      </c>
      <c r="F633" t="str">
        <f>IF(OR(B633=1,B633=132,B633=138),"Airports",D633)</f>
        <v>Staten Island</v>
      </c>
    </row>
    <row r="634" spans="1:6">
      <c r="A634" s="33">
        <v>42064</v>
      </c>
      <c r="B634">
        <v>116</v>
      </c>
      <c r="C634">
        <v>5191</v>
      </c>
      <c r="D634" t="str">
        <f>VLOOKUP(B634,ZoneTable,2,FALSE)</f>
        <v>Manhattan</v>
      </c>
      <c r="E634" t="str">
        <f>VLOOKUP(B634,ZoneTable,3,FALSE)</f>
        <v>Hamilton Heights</v>
      </c>
      <c r="F634" t="str">
        <f>IF(OR(B634=1,B634=132,B634=138),"Airports",D634)</f>
        <v>Manhattan</v>
      </c>
    </row>
    <row r="635" spans="1:6">
      <c r="A635" s="33">
        <v>42064</v>
      </c>
      <c r="B635">
        <v>117</v>
      </c>
      <c r="C635">
        <v>103</v>
      </c>
      <c r="D635" t="str">
        <f>VLOOKUP(B635,ZoneTable,2,FALSE)</f>
        <v>Queens</v>
      </c>
      <c r="E635" t="str">
        <f>VLOOKUP(B635,ZoneTable,3,FALSE)</f>
        <v>Hammels/Arverne</v>
      </c>
      <c r="F635" t="str">
        <f>IF(OR(B635=1,B635=132,B635=138),"Airports",D635)</f>
        <v>Queens</v>
      </c>
    </row>
    <row r="636" spans="1:6">
      <c r="A636" s="33">
        <v>42064</v>
      </c>
      <c r="B636">
        <v>118</v>
      </c>
      <c r="C636">
        <v>95</v>
      </c>
      <c r="D636" t="str">
        <f>VLOOKUP(B636,ZoneTable,2,FALSE)</f>
        <v>Staten Island</v>
      </c>
      <c r="E636" t="str">
        <f>VLOOKUP(B636,ZoneTable,3,FALSE)</f>
        <v>Heartland Village/Todt Hill</v>
      </c>
      <c r="F636" t="str">
        <f>IF(OR(B636=1,B636=132,B636=138),"Airports",D636)</f>
        <v>Staten Island</v>
      </c>
    </row>
    <row r="637" spans="1:6">
      <c r="A637" s="33">
        <v>42064</v>
      </c>
      <c r="B637">
        <v>119</v>
      </c>
      <c r="C637">
        <v>806</v>
      </c>
      <c r="D637" t="str">
        <f>VLOOKUP(B637,ZoneTable,2,FALSE)</f>
        <v>Bronx</v>
      </c>
      <c r="E637" t="str">
        <f>VLOOKUP(B637,ZoneTable,3,FALSE)</f>
        <v>Highbridge</v>
      </c>
      <c r="F637" t="str">
        <f>IF(OR(B637=1,B637=132,B637=138),"Airports",D637)</f>
        <v>Bronx</v>
      </c>
    </row>
    <row r="638" spans="1:6">
      <c r="A638" s="33">
        <v>42064</v>
      </c>
      <c r="B638">
        <v>120</v>
      </c>
      <c r="C638">
        <v>77</v>
      </c>
      <c r="D638" t="str">
        <f>VLOOKUP(B638,ZoneTable,2,FALSE)</f>
        <v>Manhattan</v>
      </c>
      <c r="E638" t="str">
        <f>VLOOKUP(B638,ZoneTable,3,FALSE)</f>
        <v>Highbridge Park</v>
      </c>
      <c r="F638" t="str">
        <f>IF(OR(B638=1,B638=132,B638=138),"Airports",D638)</f>
        <v>Manhattan</v>
      </c>
    </row>
    <row r="639" spans="1:6">
      <c r="A639" s="33">
        <v>42064</v>
      </c>
      <c r="B639">
        <v>121</v>
      </c>
      <c r="C639">
        <v>2764</v>
      </c>
      <c r="D639" t="str">
        <f>VLOOKUP(B639,ZoneTable,2,FALSE)</f>
        <v>Queens</v>
      </c>
      <c r="E639" t="str">
        <f>VLOOKUP(B639,ZoneTable,3,FALSE)</f>
        <v>Hillcrest/Pomonok</v>
      </c>
      <c r="F639" t="str">
        <f>IF(OR(B639=1,B639=132,B639=138),"Airports",D639)</f>
        <v>Queens</v>
      </c>
    </row>
    <row r="640" spans="1:6">
      <c r="A640" s="33">
        <v>42064</v>
      </c>
      <c r="B640">
        <v>122</v>
      </c>
      <c r="C640">
        <v>340</v>
      </c>
      <c r="D640" t="str">
        <f>VLOOKUP(B640,ZoneTable,2,FALSE)</f>
        <v>Queens</v>
      </c>
      <c r="E640" t="str">
        <f>VLOOKUP(B640,ZoneTable,3,FALSE)</f>
        <v>Hollis</v>
      </c>
      <c r="F640" t="str">
        <f>IF(OR(B640=1,B640=132,B640=138),"Airports",D640)</f>
        <v>Queens</v>
      </c>
    </row>
    <row r="641" spans="1:6">
      <c r="A641" s="33">
        <v>42064</v>
      </c>
      <c r="B641">
        <v>123</v>
      </c>
      <c r="C641">
        <v>3467</v>
      </c>
      <c r="D641" t="str">
        <f>VLOOKUP(B641,ZoneTable,2,FALSE)</f>
        <v>Brooklyn</v>
      </c>
      <c r="E641" t="str">
        <f>VLOOKUP(B641,ZoneTable,3,FALSE)</f>
        <v>Homecrest</v>
      </c>
      <c r="F641" t="str">
        <f>IF(OR(B641=1,B641=132,B641=138),"Airports",D641)</f>
        <v>Brooklyn</v>
      </c>
    </row>
    <row r="642" spans="1:6">
      <c r="A642" s="33">
        <v>42064</v>
      </c>
      <c r="B642">
        <v>124</v>
      </c>
      <c r="C642">
        <v>844</v>
      </c>
      <c r="D642" t="str">
        <f>VLOOKUP(B642,ZoneTable,2,FALSE)</f>
        <v>Queens</v>
      </c>
      <c r="E642" t="str">
        <f>VLOOKUP(B642,ZoneTable,3,FALSE)</f>
        <v>Howard Beach</v>
      </c>
      <c r="F642" t="str">
        <f>IF(OR(B642=1,B642=132,B642=138),"Airports",D642)</f>
        <v>Queens</v>
      </c>
    </row>
    <row r="643" spans="1:6">
      <c r="A643" s="33">
        <v>42064</v>
      </c>
      <c r="B643">
        <v>125</v>
      </c>
      <c r="C643">
        <v>20400</v>
      </c>
      <c r="D643" t="str">
        <f>VLOOKUP(B643,ZoneTable,2,FALSE)</f>
        <v>Manhattan</v>
      </c>
      <c r="E643" t="str">
        <f>VLOOKUP(B643,ZoneTable,3,FALSE)</f>
        <v>Hudson Sq</v>
      </c>
      <c r="F643" t="str">
        <f>IF(OR(B643=1,B643=132,B643=138),"Airports",D643)</f>
        <v>Manhattan</v>
      </c>
    </row>
    <row r="644" spans="1:6">
      <c r="A644" s="33">
        <v>42064</v>
      </c>
      <c r="B644">
        <v>126</v>
      </c>
      <c r="C644">
        <v>469</v>
      </c>
      <c r="D644" t="str">
        <f>VLOOKUP(B644,ZoneTable,2,FALSE)</f>
        <v>Bronx</v>
      </c>
      <c r="E644" t="str">
        <f>VLOOKUP(B644,ZoneTable,3,FALSE)</f>
        <v>Hunts Point</v>
      </c>
      <c r="F644" t="str">
        <f>IF(OR(B644=1,B644=132,B644=138),"Airports",D644)</f>
        <v>Bronx</v>
      </c>
    </row>
    <row r="645" spans="1:6">
      <c r="A645" s="33">
        <v>42064</v>
      </c>
      <c r="B645">
        <v>127</v>
      </c>
      <c r="C645">
        <v>2207</v>
      </c>
      <c r="D645" t="str">
        <f>VLOOKUP(B645,ZoneTable,2,FALSE)</f>
        <v>Manhattan</v>
      </c>
      <c r="E645" t="str">
        <f>VLOOKUP(B645,ZoneTable,3,FALSE)</f>
        <v>Inwood</v>
      </c>
      <c r="F645" t="str">
        <f>IF(OR(B645=1,B645=132,B645=138),"Airports",D645)</f>
        <v>Manhattan</v>
      </c>
    </row>
    <row r="646" spans="1:6">
      <c r="A646" s="33">
        <v>42064</v>
      </c>
      <c r="B646">
        <v>128</v>
      </c>
      <c r="C646">
        <v>161</v>
      </c>
      <c r="D646" t="str">
        <f>VLOOKUP(B646,ZoneTable,2,FALSE)</f>
        <v>Manhattan</v>
      </c>
      <c r="E646" t="str">
        <f>VLOOKUP(B646,ZoneTable,3,FALSE)</f>
        <v>Inwood Hill Park</v>
      </c>
      <c r="F646" t="str">
        <f>IF(OR(B646=1,B646=132,B646=138),"Airports",D646)</f>
        <v>Manhattan</v>
      </c>
    </row>
    <row r="647" spans="1:6">
      <c r="A647" s="33">
        <v>42064</v>
      </c>
      <c r="B647">
        <v>129</v>
      </c>
      <c r="C647">
        <v>5701</v>
      </c>
      <c r="D647" t="str">
        <f>VLOOKUP(B647,ZoneTable,2,FALSE)</f>
        <v>Queens</v>
      </c>
      <c r="E647" t="str">
        <f>VLOOKUP(B647,ZoneTable,3,FALSE)</f>
        <v>Jackson Heights</v>
      </c>
      <c r="F647" t="str">
        <f>IF(OR(B647=1,B647=132,B647=138),"Airports",D647)</f>
        <v>Queens</v>
      </c>
    </row>
    <row r="648" spans="1:6">
      <c r="A648" s="33">
        <v>42064</v>
      </c>
      <c r="B648">
        <v>130</v>
      </c>
      <c r="C648">
        <v>2470</v>
      </c>
      <c r="D648" t="str">
        <f>VLOOKUP(B648,ZoneTable,2,FALSE)</f>
        <v>Queens</v>
      </c>
      <c r="E648" t="str">
        <f>VLOOKUP(B648,ZoneTable,3,FALSE)</f>
        <v>Jamaica</v>
      </c>
      <c r="F648" t="str">
        <f>IF(OR(B648=1,B648=132,B648=138),"Airports",D648)</f>
        <v>Queens</v>
      </c>
    </row>
    <row r="649" spans="1:6">
      <c r="A649" s="33">
        <v>42064</v>
      </c>
      <c r="B649">
        <v>131</v>
      </c>
      <c r="C649">
        <v>1177</v>
      </c>
      <c r="D649" t="str">
        <f>VLOOKUP(B649,ZoneTable,2,FALSE)</f>
        <v>Queens</v>
      </c>
      <c r="E649" t="str">
        <f>VLOOKUP(B649,ZoneTable,3,FALSE)</f>
        <v>Jamaica Estates</v>
      </c>
      <c r="F649" t="str">
        <f>IF(OR(B649=1,B649=132,B649=138),"Airports",D649)</f>
        <v>Queens</v>
      </c>
    </row>
    <row r="650" spans="1:6">
      <c r="A650" s="33">
        <v>42064</v>
      </c>
      <c r="B650">
        <v>132</v>
      </c>
      <c r="C650">
        <v>52800</v>
      </c>
      <c r="D650" t="str">
        <f>VLOOKUP(B650,ZoneTable,2,FALSE)</f>
        <v>Queens</v>
      </c>
      <c r="E650" t="str">
        <f>VLOOKUP(B650,ZoneTable,3,FALSE)</f>
        <v>JFK Airport</v>
      </c>
      <c r="F650" t="str">
        <f>IF(OR(B650=1,B650=132,B650=138),"Airports",D650)</f>
        <v>Airports</v>
      </c>
    </row>
    <row r="651" spans="1:6">
      <c r="A651" s="33">
        <v>42064</v>
      </c>
      <c r="B651">
        <v>133</v>
      </c>
      <c r="C651">
        <v>1940</v>
      </c>
      <c r="D651" t="str">
        <f>VLOOKUP(B651,ZoneTable,2,FALSE)</f>
        <v>Brooklyn</v>
      </c>
      <c r="E651" t="str">
        <f>VLOOKUP(B651,ZoneTable,3,FALSE)</f>
        <v>Kensington</v>
      </c>
      <c r="F651" t="str">
        <f>IF(OR(B651=1,B651=132,B651=138),"Airports",D651)</f>
        <v>Brooklyn</v>
      </c>
    </row>
    <row r="652" spans="1:6">
      <c r="A652" s="33">
        <v>42064</v>
      </c>
      <c r="B652">
        <v>134</v>
      </c>
      <c r="C652">
        <v>1926</v>
      </c>
      <c r="D652" t="str">
        <f>VLOOKUP(B652,ZoneTable,2,FALSE)</f>
        <v>Queens</v>
      </c>
      <c r="E652" t="str">
        <f>VLOOKUP(B652,ZoneTable,3,FALSE)</f>
        <v>Kew Gardens</v>
      </c>
      <c r="F652" t="str">
        <f>IF(OR(B652=1,B652=132,B652=138),"Airports",D652)</f>
        <v>Queens</v>
      </c>
    </row>
    <row r="653" spans="1:6">
      <c r="A653" s="33">
        <v>42064</v>
      </c>
      <c r="B653">
        <v>135</v>
      </c>
      <c r="C653">
        <v>2000</v>
      </c>
      <c r="D653" t="str">
        <f>VLOOKUP(B653,ZoneTable,2,FALSE)</f>
        <v>Queens</v>
      </c>
      <c r="E653" t="str">
        <f>VLOOKUP(B653,ZoneTable,3,FALSE)</f>
        <v>Kew Gardens Hills</v>
      </c>
      <c r="F653" t="str">
        <f>IF(OR(B653=1,B653=132,B653=138),"Airports",D653)</f>
        <v>Queens</v>
      </c>
    </row>
    <row r="654" spans="1:6">
      <c r="A654" s="33">
        <v>42064</v>
      </c>
      <c r="B654">
        <v>136</v>
      </c>
      <c r="C654">
        <v>747</v>
      </c>
      <c r="D654" t="str">
        <f>VLOOKUP(B654,ZoneTable,2,FALSE)</f>
        <v>Bronx</v>
      </c>
      <c r="E654" t="str">
        <f>VLOOKUP(B654,ZoneTable,3,FALSE)</f>
        <v>Kingsbridge Heights</v>
      </c>
      <c r="F654" t="str">
        <f>IF(OR(B654=1,B654=132,B654=138),"Airports",D654)</f>
        <v>Bronx</v>
      </c>
    </row>
    <row r="655" spans="1:6">
      <c r="A655" s="33">
        <v>42064</v>
      </c>
      <c r="B655">
        <v>137</v>
      </c>
      <c r="C655">
        <v>19235</v>
      </c>
      <c r="D655" t="str">
        <f>VLOOKUP(B655,ZoneTable,2,FALSE)</f>
        <v>Manhattan</v>
      </c>
      <c r="E655" t="str">
        <f>VLOOKUP(B655,ZoneTable,3,FALSE)</f>
        <v>Kips Bay</v>
      </c>
      <c r="F655" t="str">
        <f>IF(OR(B655=1,B655=132,B655=138),"Airports",D655)</f>
        <v>Manhattan</v>
      </c>
    </row>
    <row r="656" spans="1:6">
      <c r="A656" s="33">
        <v>42064</v>
      </c>
      <c r="B656">
        <v>138</v>
      </c>
      <c r="C656">
        <v>43059</v>
      </c>
      <c r="D656" t="str">
        <f>VLOOKUP(B656,ZoneTable,2,FALSE)</f>
        <v>Queens</v>
      </c>
      <c r="E656" t="str">
        <f>VLOOKUP(B656,ZoneTable,3,FALSE)</f>
        <v>LaGuardia Airport</v>
      </c>
      <c r="F656" t="str">
        <f>IF(OR(B656=1,B656=132,B656=138),"Airports",D656)</f>
        <v>Airports</v>
      </c>
    </row>
    <row r="657" spans="1:6">
      <c r="A657" s="33">
        <v>42064</v>
      </c>
      <c r="B657">
        <v>139</v>
      </c>
      <c r="C657">
        <v>470</v>
      </c>
      <c r="D657" t="str">
        <f>VLOOKUP(B657,ZoneTable,2,FALSE)</f>
        <v>Queens</v>
      </c>
      <c r="E657" t="str">
        <f>VLOOKUP(B657,ZoneTable,3,FALSE)</f>
        <v>Laurelton</v>
      </c>
      <c r="F657" t="str">
        <f>IF(OR(B657=1,B657=132,B657=138),"Airports",D657)</f>
        <v>Queens</v>
      </c>
    </row>
    <row r="658" spans="1:6">
      <c r="A658" s="33">
        <v>42064</v>
      </c>
      <c r="B658">
        <v>140</v>
      </c>
      <c r="C658">
        <v>20252</v>
      </c>
      <c r="D658" t="str">
        <f>VLOOKUP(B658,ZoneTable,2,FALSE)</f>
        <v>Manhattan</v>
      </c>
      <c r="E658" t="str">
        <f>VLOOKUP(B658,ZoneTable,3,FALSE)</f>
        <v>Lenox Hill East</v>
      </c>
      <c r="F658" t="str">
        <f>IF(OR(B658=1,B658=132,B658=138),"Airports",D658)</f>
        <v>Manhattan</v>
      </c>
    </row>
    <row r="659" spans="1:6">
      <c r="A659" s="33">
        <v>42064</v>
      </c>
      <c r="B659">
        <v>141</v>
      </c>
      <c r="C659">
        <v>31967</v>
      </c>
      <c r="D659" t="str">
        <f>VLOOKUP(B659,ZoneTable,2,FALSE)</f>
        <v>Manhattan</v>
      </c>
      <c r="E659" t="str">
        <f>VLOOKUP(B659,ZoneTable,3,FALSE)</f>
        <v>Lenox Hill West</v>
      </c>
      <c r="F659" t="str">
        <f>IF(OR(B659=1,B659=132,B659=138),"Airports",D659)</f>
        <v>Manhattan</v>
      </c>
    </row>
    <row r="660" spans="1:6">
      <c r="A660" s="33">
        <v>42064</v>
      </c>
      <c r="B660">
        <v>142</v>
      </c>
      <c r="C660">
        <v>29524</v>
      </c>
      <c r="D660" t="str">
        <f>VLOOKUP(B660,ZoneTable,2,FALSE)</f>
        <v>Manhattan</v>
      </c>
      <c r="E660" t="str">
        <f>VLOOKUP(B660,ZoneTable,3,FALSE)</f>
        <v>Lincoln Square East</v>
      </c>
      <c r="F660" t="str">
        <f>IF(OR(B660=1,B660=132,B660=138),"Airports",D660)</f>
        <v>Manhattan</v>
      </c>
    </row>
    <row r="661" spans="1:6">
      <c r="A661" s="33">
        <v>42064</v>
      </c>
      <c r="B661">
        <v>143</v>
      </c>
      <c r="C661">
        <v>18097</v>
      </c>
      <c r="D661" t="str">
        <f>VLOOKUP(B661,ZoneTable,2,FALSE)</f>
        <v>Manhattan</v>
      </c>
      <c r="E661" t="str">
        <f>VLOOKUP(B661,ZoneTable,3,FALSE)</f>
        <v>Lincoln Square West</v>
      </c>
      <c r="F661" t="str">
        <f>IF(OR(B661=1,B661=132,B661=138),"Airports",D661)</f>
        <v>Manhattan</v>
      </c>
    </row>
    <row r="662" spans="1:6">
      <c r="A662" s="33">
        <v>42064</v>
      </c>
      <c r="B662">
        <v>144</v>
      </c>
      <c r="C662">
        <v>41376</v>
      </c>
      <c r="D662" t="str">
        <f>VLOOKUP(B662,ZoneTable,2,FALSE)</f>
        <v>Manhattan</v>
      </c>
      <c r="E662" t="str">
        <f>VLOOKUP(B662,ZoneTable,3,FALSE)</f>
        <v>Little Italy/NoLiTa</v>
      </c>
      <c r="F662" t="str">
        <f>IF(OR(B662=1,B662=132,B662=138),"Airports",D662)</f>
        <v>Manhattan</v>
      </c>
    </row>
    <row r="663" spans="1:6">
      <c r="A663" s="33">
        <v>42064</v>
      </c>
      <c r="B663">
        <v>145</v>
      </c>
      <c r="C663">
        <v>12634</v>
      </c>
      <c r="D663" t="str">
        <f>VLOOKUP(B663,ZoneTable,2,FALSE)</f>
        <v>Queens</v>
      </c>
      <c r="E663" t="str">
        <f>VLOOKUP(B663,ZoneTable,3,FALSE)</f>
        <v>Long Island City/Hunters Point</v>
      </c>
      <c r="F663" t="str">
        <f>IF(OR(B663=1,B663=132,B663=138),"Airports",D663)</f>
        <v>Queens</v>
      </c>
    </row>
    <row r="664" spans="1:6">
      <c r="A664" s="33">
        <v>42064</v>
      </c>
      <c r="B664">
        <v>146</v>
      </c>
      <c r="C664">
        <v>3029</v>
      </c>
      <c r="D664" t="str">
        <f>VLOOKUP(B664,ZoneTable,2,FALSE)</f>
        <v>Queens</v>
      </c>
      <c r="E664" t="str">
        <f>VLOOKUP(B664,ZoneTable,3,FALSE)</f>
        <v>Long Island City/Queens Plaza</v>
      </c>
      <c r="F664" t="str">
        <f>IF(OR(B664=1,B664=132,B664=138),"Airports",D664)</f>
        <v>Queens</v>
      </c>
    </row>
    <row r="665" spans="1:6">
      <c r="A665" s="33">
        <v>42064</v>
      </c>
      <c r="B665">
        <v>147</v>
      </c>
      <c r="C665">
        <v>436</v>
      </c>
      <c r="D665" t="str">
        <f>VLOOKUP(B665,ZoneTable,2,FALSE)</f>
        <v>Bronx</v>
      </c>
      <c r="E665" t="str">
        <f>VLOOKUP(B665,ZoneTable,3,FALSE)</f>
        <v>Longwood</v>
      </c>
      <c r="F665" t="str">
        <f>IF(OR(B665=1,B665=132,B665=138),"Airports",D665)</f>
        <v>Bronx</v>
      </c>
    </row>
    <row r="666" spans="1:6">
      <c r="A666" s="33">
        <v>42064</v>
      </c>
      <c r="B666">
        <v>148</v>
      </c>
      <c r="C666">
        <v>40603</v>
      </c>
      <c r="D666" t="str">
        <f>VLOOKUP(B666,ZoneTable,2,FALSE)</f>
        <v>Manhattan</v>
      </c>
      <c r="E666" t="str">
        <f>VLOOKUP(B666,ZoneTable,3,FALSE)</f>
        <v>Lower East Side</v>
      </c>
      <c r="F666" t="str">
        <f>IF(OR(B666=1,B666=132,B666=138),"Airports",D666)</f>
        <v>Manhattan</v>
      </c>
    </row>
    <row r="667" spans="1:6">
      <c r="A667" s="33">
        <v>42064</v>
      </c>
      <c r="B667">
        <v>149</v>
      </c>
      <c r="C667">
        <v>1465</v>
      </c>
      <c r="D667" t="str">
        <f>VLOOKUP(B667,ZoneTable,2,FALSE)</f>
        <v>Brooklyn</v>
      </c>
      <c r="E667" t="str">
        <f>VLOOKUP(B667,ZoneTable,3,FALSE)</f>
        <v>Madison</v>
      </c>
      <c r="F667" t="str">
        <f>IF(OR(B667=1,B667=132,B667=138),"Airports",D667)</f>
        <v>Brooklyn</v>
      </c>
    </row>
    <row r="668" spans="1:6">
      <c r="A668" s="33">
        <v>42064</v>
      </c>
      <c r="B668">
        <v>150</v>
      </c>
      <c r="C668">
        <v>702</v>
      </c>
      <c r="D668" t="str">
        <f>VLOOKUP(B668,ZoneTable,2,FALSE)</f>
        <v>Brooklyn</v>
      </c>
      <c r="E668" t="str">
        <f>VLOOKUP(B668,ZoneTable,3,FALSE)</f>
        <v>Manhattan Beach</v>
      </c>
      <c r="F668" t="str">
        <f>IF(OR(B668=1,B668=132,B668=138),"Airports",D668)</f>
        <v>Brooklyn</v>
      </c>
    </row>
    <row r="669" spans="1:6">
      <c r="A669" s="33">
        <v>42064</v>
      </c>
      <c r="B669">
        <v>151</v>
      </c>
      <c r="C669">
        <v>9135</v>
      </c>
      <c r="D669" t="str">
        <f>VLOOKUP(B669,ZoneTable,2,FALSE)</f>
        <v>Manhattan</v>
      </c>
      <c r="E669" t="str">
        <f>VLOOKUP(B669,ZoneTable,3,FALSE)</f>
        <v>Manhattan Valley</v>
      </c>
      <c r="F669" t="str">
        <f>IF(OR(B669=1,B669=132,B669=138),"Airports",D669)</f>
        <v>Manhattan</v>
      </c>
    </row>
    <row r="670" spans="1:6">
      <c r="A670" s="33">
        <v>42064</v>
      </c>
      <c r="B670">
        <v>152</v>
      </c>
      <c r="C670">
        <v>2794</v>
      </c>
      <c r="D670" t="str">
        <f>VLOOKUP(B670,ZoneTable,2,FALSE)</f>
        <v>Manhattan</v>
      </c>
      <c r="E670" t="str">
        <f>VLOOKUP(B670,ZoneTable,3,FALSE)</f>
        <v>Manhattanville</v>
      </c>
      <c r="F670" t="str">
        <f>IF(OR(B670=1,B670=132,B670=138),"Airports",D670)</f>
        <v>Manhattan</v>
      </c>
    </row>
    <row r="671" spans="1:6">
      <c r="A671" s="33">
        <v>42064</v>
      </c>
      <c r="B671">
        <v>153</v>
      </c>
      <c r="C671">
        <v>483</v>
      </c>
      <c r="D671" t="str">
        <f>VLOOKUP(B671,ZoneTable,2,FALSE)</f>
        <v>Manhattan</v>
      </c>
      <c r="E671" t="str">
        <f>VLOOKUP(B671,ZoneTable,3,FALSE)</f>
        <v>Marble Hill</v>
      </c>
      <c r="F671" t="str">
        <f>IF(OR(B671=1,B671=132,B671=138),"Airports",D671)</f>
        <v>Manhattan</v>
      </c>
    </row>
    <row r="672" spans="1:6">
      <c r="A672" s="33">
        <v>42064</v>
      </c>
      <c r="B672">
        <v>154</v>
      </c>
      <c r="C672">
        <v>43</v>
      </c>
      <c r="D672" t="str">
        <f>VLOOKUP(B672,ZoneTable,2,FALSE)</f>
        <v>Brooklyn</v>
      </c>
      <c r="E672" t="str">
        <f>VLOOKUP(B672,ZoneTable,3,FALSE)</f>
        <v>Marine Park/Floyd Bennett Field</v>
      </c>
      <c r="F672" t="str">
        <f>IF(OR(B672=1,B672=132,B672=138),"Airports",D672)</f>
        <v>Brooklyn</v>
      </c>
    </row>
    <row r="673" spans="1:6">
      <c r="A673" s="33">
        <v>42064</v>
      </c>
      <c r="B673">
        <v>155</v>
      </c>
      <c r="C673">
        <v>1374</v>
      </c>
      <c r="D673" t="str">
        <f>VLOOKUP(B673,ZoneTable,2,FALSE)</f>
        <v>Brooklyn</v>
      </c>
      <c r="E673" t="str">
        <f>VLOOKUP(B673,ZoneTable,3,FALSE)</f>
        <v>Marine Park/Mill Basin</v>
      </c>
      <c r="F673" t="str">
        <f>IF(OR(B673=1,B673=132,B673=138),"Airports",D673)</f>
        <v>Brooklyn</v>
      </c>
    </row>
    <row r="674" spans="1:6">
      <c r="A674" s="33">
        <v>42064</v>
      </c>
      <c r="B674">
        <v>156</v>
      </c>
      <c r="C674">
        <v>57</v>
      </c>
      <c r="D674" t="str">
        <f>VLOOKUP(B674,ZoneTable,2,FALSE)</f>
        <v>Staten Island</v>
      </c>
      <c r="E674" t="str">
        <f>VLOOKUP(B674,ZoneTable,3,FALSE)</f>
        <v>Mariners Harbor</v>
      </c>
      <c r="F674" t="str">
        <f>IF(OR(B674=1,B674=132,B674=138),"Airports",D674)</f>
        <v>Staten Island</v>
      </c>
    </row>
    <row r="675" spans="1:6">
      <c r="A675" s="33">
        <v>42064</v>
      </c>
      <c r="B675">
        <v>157</v>
      </c>
      <c r="C675">
        <v>2233</v>
      </c>
      <c r="D675" t="str">
        <f>VLOOKUP(B675,ZoneTable,2,FALSE)</f>
        <v>Queens</v>
      </c>
      <c r="E675" t="str">
        <f>VLOOKUP(B675,ZoneTable,3,FALSE)</f>
        <v>Maspeth</v>
      </c>
      <c r="F675" t="str">
        <f>IF(OR(B675=1,B675=132,B675=138),"Airports",D675)</f>
        <v>Queens</v>
      </c>
    </row>
    <row r="676" spans="1:6">
      <c r="A676" s="33">
        <v>42064</v>
      </c>
      <c r="B676">
        <v>158</v>
      </c>
      <c r="C676">
        <v>40099</v>
      </c>
      <c r="D676" t="str">
        <f>VLOOKUP(B676,ZoneTable,2,FALSE)</f>
        <v>Manhattan</v>
      </c>
      <c r="E676" t="str">
        <f>VLOOKUP(B676,ZoneTable,3,FALSE)</f>
        <v>Meatpacking/West Village West</v>
      </c>
      <c r="F676" t="str">
        <f>IF(OR(B676=1,B676=132,B676=138),"Airports",D676)</f>
        <v>Manhattan</v>
      </c>
    </row>
    <row r="677" spans="1:6">
      <c r="A677" s="33">
        <v>42064</v>
      </c>
      <c r="B677">
        <v>159</v>
      </c>
      <c r="C677">
        <v>895</v>
      </c>
      <c r="D677" t="str">
        <f>VLOOKUP(B677,ZoneTable,2,FALSE)</f>
        <v>Bronx</v>
      </c>
      <c r="E677" t="str">
        <f>VLOOKUP(B677,ZoneTable,3,FALSE)</f>
        <v>Melrose South</v>
      </c>
      <c r="F677" t="str">
        <f>IF(OR(B677=1,B677=132,B677=138),"Airports",D677)</f>
        <v>Bronx</v>
      </c>
    </row>
    <row r="678" spans="1:6">
      <c r="A678" s="33">
        <v>42064</v>
      </c>
      <c r="B678">
        <v>160</v>
      </c>
      <c r="C678">
        <v>1867</v>
      </c>
      <c r="D678" t="str">
        <f>VLOOKUP(B678,ZoneTable,2,FALSE)</f>
        <v>Queens</v>
      </c>
      <c r="E678" t="str">
        <f>VLOOKUP(B678,ZoneTable,3,FALSE)</f>
        <v>Middle Village</v>
      </c>
      <c r="F678" t="str">
        <f>IF(OR(B678=1,B678=132,B678=138),"Airports",D678)</f>
        <v>Queens</v>
      </c>
    </row>
    <row r="679" spans="1:6">
      <c r="A679" s="33">
        <v>42064</v>
      </c>
      <c r="B679">
        <v>161</v>
      </c>
      <c r="C679">
        <v>79197</v>
      </c>
      <c r="D679" t="str">
        <f>VLOOKUP(B679,ZoneTable,2,FALSE)</f>
        <v>Manhattan</v>
      </c>
      <c r="E679" t="str">
        <f>VLOOKUP(B679,ZoneTable,3,FALSE)</f>
        <v>Midtown Center</v>
      </c>
      <c r="F679" t="str">
        <f>IF(OR(B679=1,B679=132,B679=138),"Airports",D679)</f>
        <v>Manhattan</v>
      </c>
    </row>
    <row r="680" spans="1:6">
      <c r="A680" s="33">
        <v>42064</v>
      </c>
      <c r="B680">
        <v>162</v>
      </c>
      <c r="C680">
        <v>48604</v>
      </c>
      <c r="D680" t="str">
        <f>VLOOKUP(B680,ZoneTable,2,FALSE)</f>
        <v>Manhattan</v>
      </c>
      <c r="E680" t="str">
        <f>VLOOKUP(B680,ZoneTable,3,FALSE)</f>
        <v>Midtown East</v>
      </c>
      <c r="F680" t="str">
        <f>IF(OR(B680=1,B680=132,B680=138),"Airports",D680)</f>
        <v>Manhattan</v>
      </c>
    </row>
    <row r="681" spans="1:6">
      <c r="A681" s="33">
        <v>42064</v>
      </c>
      <c r="B681">
        <v>163</v>
      </c>
      <c r="C681">
        <v>48149</v>
      </c>
      <c r="D681" t="str">
        <f>VLOOKUP(B681,ZoneTable,2,FALSE)</f>
        <v>Manhattan</v>
      </c>
      <c r="E681" t="str">
        <f>VLOOKUP(B681,ZoneTable,3,FALSE)</f>
        <v>Midtown North</v>
      </c>
      <c r="F681" t="str">
        <f>IF(OR(B681=1,B681=132,B681=138),"Airports",D681)</f>
        <v>Manhattan</v>
      </c>
    </row>
    <row r="682" spans="1:6">
      <c r="A682" s="33">
        <v>42064</v>
      </c>
      <c r="B682">
        <v>164</v>
      </c>
      <c r="C682">
        <v>43355</v>
      </c>
      <c r="D682" t="str">
        <f>VLOOKUP(B682,ZoneTable,2,FALSE)</f>
        <v>Manhattan</v>
      </c>
      <c r="E682" t="str">
        <f>VLOOKUP(B682,ZoneTable,3,FALSE)</f>
        <v>Midtown South</v>
      </c>
      <c r="F682" t="str">
        <f>IF(OR(B682=1,B682=132,B682=138),"Airports",D682)</f>
        <v>Manhattan</v>
      </c>
    </row>
    <row r="683" spans="1:6">
      <c r="A683" s="33">
        <v>42064</v>
      </c>
      <c r="B683">
        <v>165</v>
      </c>
      <c r="C683">
        <v>3393</v>
      </c>
      <c r="D683" t="str">
        <f>VLOOKUP(B683,ZoneTable,2,FALSE)</f>
        <v>Brooklyn</v>
      </c>
      <c r="E683" t="str">
        <f>VLOOKUP(B683,ZoneTable,3,FALSE)</f>
        <v>Midwood</v>
      </c>
      <c r="F683" t="str">
        <f>IF(OR(B683=1,B683=132,B683=138),"Airports",D683)</f>
        <v>Brooklyn</v>
      </c>
    </row>
    <row r="684" spans="1:6">
      <c r="A684" s="33">
        <v>42064</v>
      </c>
      <c r="B684">
        <v>166</v>
      </c>
      <c r="C684">
        <v>9093</v>
      </c>
      <c r="D684" t="str">
        <f>VLOOKUP(B684,ZoneTable,2,FALSE)</f>
        <v>Manhattan</v>
      </c>
      <c r="E684" t="str">
        <f>VLOOKUP(B684,ZoneTable,3,FALSE)</f>
        <v>Morningside Heights</v>
      </c>
      <c r="F684" t="str">
        <f>IF(OR(B684=1,B684=132,B684=138),"Airports",D684)</f>
        <v>Manhattan</v>
      </c>
    </row>
    <row r="685" spans="1:6">
      <c r="A685" s="33">
        <v>42064</v>
      </c>
      <c r="B685">
        <v>167</v>
      </c>
      <c r="C685">
        <v>819</v>
      </c>
      <c r="D685" t="str">
        <f>VLOOKUP(B685,ZoneTable,2,FALSE)</f>
        <v>Bronx</v>
      </c>
      <c r="E685" t="str">
        <f>VLOOKUP(B685,ZoneTable,3,FALSE)</f>
        <v>Morrisania/Melrose</v>
      </c>
      <c r="F685" t="str">
        <f>IF(OR(B685=1,B685=132,B685=138),"Airports",D685)</f>
        <v>Bronx</v>
      </c>
    </row>
    <row r="686" spans="1:6">
      <c r="A686" s="33">
        <v>42064</v>
      </c>
      <c r="B686">
        <v>168</v>
      </c>
      <c r="C686">
        <v>1747</v>
      </c>
      <c r="D686" t="str">
        <f>VLOOKUP(B686,ZoneTable,2,FALSE)</f>
        <v>Bronx</v>
      </c>
      <c r="E686" t="str">
        <f>VLOOKUP(B686,ZoneTable,3,FALSE)</f>
        <v>Mott Haven/Port Morris</v>
      </c>
      <c r="F686" t="str">
        <f>IF(OR(B686=1,B686=132,B686=138),"Airports",D686)</f>
        <v>Bronx</v>
      </c>
    </row>
    <row r="687" spans="1:6">
      <c r="A687" s="33">
        <v>42064</v>
      </c>
      <c r="B687">
        <v>169</v>
      </c>
      <c r="C687">
        <v>852</v>
      </c>
      <c r="D687" t="str">
        <f>VLOOKUP(B687,ZoneTable,2,FALSE)</f>
        <v>Bronx</v>
      </c>
      <c r="E687" t="str">
        <f>VLOOKUP(B687,ZoneTable,3,FALSE)</f>
        <v>Mount Hope</v>
      </c>
      <c r="F687" t="str">
        <f>IF(OR(B687=1,B687=132,B687=138),"Airports",D687)</f>
        <v>Bronx</v>
      </c>
    </row>
    <row r="688" spans="1:6">
      <c r="A688" s="33">
        <v>42064</v>
      </c>
      <c r="B688">
        <v>170</v>
      </c>
      <c r="C688">
        <v>47393</v>
      </c>
      <c r="D688" t="str">
        <f>VLOOKUP(B688,ZoneTable,2,FALSE)</f>
        <v>Manhattan</v>
      </c>
      <c r="E688" t="str">
        <f>VLOOKUP(B688,ZoneTable,3,FALSE)</f>
        <v>Murray Hill</v>
      </c>
      <c r="F688" t="str">
        <f>IF(OR(B688=1,B688=132,B688=138),"Airports",D688)</f>
        <v>Manhattan</v>
      </c>
    </row>
    <row r="689" spans="1:6">
      <c r="A689" s="33">
        <v>42064</v>
      </c>
      <c r="B689">
        <v>171</v>
      </c>
      <c r="C689">
        <v>972</v>
      </c>
      <c r="D689" t="str">
        <f>VLOOKUP(B689,ZoneTable,2,FALSE)</f>
        <v>Queens</v>
      </c>
      <c r="E689" t="str">
        <f>VLOOKUP(B689,ZoneTable,3,FALSE)</f>
        <v>Murray Hill-Queens</v>
      </c>
      <c r="F689" t="str">
        <f>IF(OR(B689=1,B689=132,B689=138),"Airports",D689)</f>
        <v>Queens</v>
      </c>
    </row>
    <row r="690" spans="1:6">
      <c r="A690" s="33">
        <v>42064</v>
      </c>
      <c r="B690">
        <v>172</v>
      </c>
      <c r="C690">
        <v>29</v>
      </c>
      <c r="D690" t="str">
        <f>VLOOKUP(B690,ZoneTable,2,FALSE)</f>
        <v>Staten Island</v>
      </c>
      <c r="E690" t="str">
        <f>VLOOKUP(B690,ZoneTable,3,FALSE)</f>
        <v>New Dorp/Midland Beach</v>
      </c>
      <c r="F690" t="str">
        <f>IF(OR(B690=1,B690=132,B690=138),"Airports",D690)</f>
        <v>Staten Island</v>
      </c>
    </row>
    <row r="691" spans="1:6">
      <c r="A691" s="33">
        <v>42064</v>
      </c>
      <c r="B691">
        <v>173</v>
      </c>
      <c r="C691">
        <v>626</v>
      </c>
      <c r="D691" t="str">
        <f>VLOOKUP(B691,ZoneTable,2,FALSE)</f>
        <v>Queens</v>
      </c>
      <c r="E691" t="str">
        <f>VLOOKUP(B691,ZoneTable,3,FALSE)</f>
        <v>North Corona</v>
      </c>
      <c r="F691" t="str">
        <f>IF(OR(B691=1,B691=132,B691=138),"Airports",D691)</f>
        <v>Queens</v>
      </c>
    </row>
    <row r="692" spans="1:6">
      <c r="A692" s="33">
        <v>42064</v>
      </c>
      <c r="B692">
        <v>174</v>
      </c>
      <c r="C692">
        <v>1014</v>
      </c>
      <c r="D692" t="str">
        <f>VLOOKUP(B692,ZoneTable,2,FALSE)</f>
        <v>Bronx</v>
      </c>
      <c r="E692" t="str">
        <f>VLOOKUP(B692,ZoneTable,3,FALSE)</f>
        <v>Norwood</v>
      </c>
      <c r="F692" t="str">
        <f>IF(OR(B692=1,B692=132,B692=138),"Airports",D692)</f>
        <v>Bronx</v>
      </c>
    </row>
    <row r="693" spans="1:6">
      <c r="A693" s="33">
        <v>42064</v>
      </c>
      <c r="B693">
        <v>175</v>
      </c>
      <c r="C693">
        <v>711</v>
      </c>
      <c r="D693" t="str">
        <f>VLOOKUP(B693,ZoneTable,2,FALSE)</f>
        <v>Queens</v>
      </c>
      <c r="E693" t="str">
        <f>VLOOKUP(B693,ZoneTable,3,FALSE)</f>
        <v>Oakland Gardens</v>
      </c>
      <c r="F693" t="str">
        <f>IF(OR(B693=1,B693=132,B693=138),"Airports",D693)</f>
        <v>Queens</v>
      </c>
    </row>
    <row r="694" spans="1:6">
      <c r="A694" s="33">
        <v>42064</v>
      </c>
      <c r="B694">
        <v>176</v>
      </c>
      <c r="C694">
        <v>23</v>
      </c>
      <c r="D694" t="str">
        <f>VLOOKUP(B694,ZoneTable,2,FALSE)</f>
        <v>Staten Island</v>
      </c>
      <c r="E694" t="str">
        <f>VLOOKUP(B694,ZoneTable,3,FALSE)</f>
        <v>Oakwood</v>
      </c>
      <c r="F694" t="str">
        <f>IF(OR(B694=1,B694=132,B694=138),"Airports",D694)</f>
        <v>Staten Island</v>
      </c>
    </row>
    <row r="695" spans="1:6">
      <c r="A695" s="33">
        <v>42064</v>
      </c>
      <c r="B695">
        <v>177</v>
      </c>
      <c r="C695">
        <v>2055</v>
      </c>
      <c r="D695" t="str">
        <f>VLOOKUP(B695,ZoneTable,2,FALSE)</f>
        <v>Brooklyn</v>
      </c>
      <c r="E695" t="str">
        <f>VLOOKUP(B695,ZoneTable,3,FALSE)</f>
        <v>Ocean Hill</v>
      </c>
      <c r="F695" t="str">
        <f>IF(OR(B695=1,B695=132,B695=138),"Airports",D695)</f>
        <v>Brooklyn</v>
      </c>
    </row>
    <row r="696" spans="1:6">
      <c r="A696" s="33">
        <v>42064</v>
      </c>
      <c r="B696">
        <v>178</v>
      </c>
      <c r="C696">
        <v>1400</v>
      </c>
      <c r="D696" t="str">
        <f>VLOOKUP(B696,ZoneTable,2,FALSE)</f>
        <v>Brooklyn</v>
      </c>
      <c r="E696" t="str">
        <f>VLOOKUP(B696,ZoneTable,3,FALSE)</f>
        <v>Ocean Parkway South</v>
      </c>
      <c r="F696" t="str">
        <f>IF(OR(B696=1,B696=132,B696=138),"Airports",D696)</f>
        <v>Brooklyn</v>
      </c>
    </row>
    <row r="697" spans="1:6">
      <c r="A697" s="33">
        <v>42064</v>
      </c>
      <c r="B697">
        <v>179</v>
      </c>
      <c r="C697">
        <v>4092</v>
      </c>
      <c r="D697" t="str">
        <f>VLOOKUP(B697,ZoneTable,2,FALSE)</f>
        <v>Queens</v>
      </c>
      <c r="E697" t="str">
        <f>VLOOKUP(B697,ZoneTable,3,FALSE)</f>
        <v>Old Astoria</v>
      </c>
      <c r="F697" t="str">
        <f>IF(OR(B697=1,B697=132,B697=138),"Airports",D697)</f>
        <v>Queens</v>
      </c>
    </row>
    <row r="698" spans="1:6">
      <c r="A698" s="33">
        <v>42064</v>
      </c>
      <c r="B698">
        <v>180</v>
      </c>
      <c r="C698">
        <v>823</v>
      </c>
      <c r="D698" t="str">
        <f>VLOOKUP(B698,ZoneTable,2,FALSE)</f>
        <v>Queens</v>
      </c>
      <c r="E698" t="str">
        <f>VLOOKUP(B698,ZoneTable,3,FALSE)</f>
        <v>Ozone Park</v>
      </c>
      <c r="F698" t="str">
        <f>IF(OR(B698=1,B698=132,B698=138),"Airports",D698)</f>
        <v>Queens</v>
      </c>
    </row>
    <row r="699" spans="1:6">
      <c r="A699" s="33">
        <v>42064</v>
      </c>
      <c r="B699">
        <v>181</v>
      </c>
      <c r="C699">
        <v>24758</v>
      </c>
      <c r="D699" t="str">
        <f>VLOOKUP(B699,ZoneTable,2,FALSE)</f>
        <v>Brooklyn</v>
      </c>
      <c r="E699" t="str">
        <f>VLOOKUP(B699,ZoneTable,3,FALSE)</f>
        <v>Park Slope</v>
      </c>
      <c r="F699" t="str">
        <f>IF(OR(B699=1,B699=132,B699=138),"Airports",D699)</f>
        <v>Brooklyn</v>
      </c>
    </row>
    <row r="700" spans="1:6">
      <c r="A700" s="33">
        <v>42064</v>
      </c>
      <c r="B700">
        <v>182</v>
      </c>
      <c r="C700">
        <v>649</v>
      </c>
      <c r="D700" t="str">
        <f>VLOOKUP(B700,ZoneTable,2,FALSE)</f>
        <v>Bronx</v>
      </c>
      <c r="E700" t="str">
        <f>VLOOKUP(B700,ZoneTable,3,FALSE)</f>
        <v>Parkchester</v>
      </c>
      <c r="F700" t="str">
        <f>IF(OR(B700=1,B700=132,B700=138),"Airports",D700)</f>
        <v>Bronx</v>
      </c>
    </row>
    <row r="701" spans="1:6">
      <c r="A701" s="33">
        <v>42064</v>
      </c>
      <c r="B701">
        <v>183</v>
      </c>
      <c r="C701">
        <v>355</v>
      </c>
      <c r="D701" t="str">
        <f>VLOOKUP(B701,ZoneTable,2,FALSE)</f>
        <v>Bronx</v>
      </c>
      <c r="E701" t="str">
        <f>VLOOKUP(B701,ZoneTable,3,FALSE)</f>
        <v>Pelham Bay</v>
      </c>
      <c r="F701" t="str">
        <f>IF(OR(B701=1,B701=132,B701=138),"Airports",D701)</f>
        <v>Bronx</v>
      </c>
    </row>
    <row r="702" spans="1:6">
      <c r="A702" s="33">
        <v>42064</v>
      </c>
      <c r="B702">
        <v>184</v>
      </c>
      <c r="C702">
        <v>21</v>
      </c>
      <c r="D702" t="str">
        <f>VLOOKUP(B702,ZoneTable,2,FALSE)</f>
        <v>Bronx</v>
      </c>
      <c r="E702" t="str">
        <f>VLOOKUP(B702,ZoneTable,3,FALSE)</f>
        <v>Pelham Bay Park</v>
      </c>
      <c r="F702" t="str">
        <f>IF(OR(B702=1,B702=132,B702=138),"Airports",D702)</f>
        <v>Bronx</v>
      </c>
    </row>
    <row r="703" spans="1:6">
      <c r="A703" s="33">
        <v>42064</v>
      </c>
      <c r="B703">
        <v>185</v>
      </c>
      <c r="C703">
        <v>1012</v>
      </c>
      <c r="D703" t="str">
        <f>VLOOKUP(B703,ZoneTable,2,FALSE)</f>
        <v>Bronx</v>
      </c>
      <c r="E703" t="str">
        <f>VLOOKUP(B703,ZoneTable,3,FALSE)</f>
        <v>Pelham Parkway</v>
      </c>
      <c r="F703" t="str">
        <f>IF(OR(B703=1,B703=132,B703=138),"Airports",D703)</f>
        <v>Bronx</v>
      </c>
    </row>
    <row r="704" spans="1:6">
      <c r="A704" s="33">
        <v>42064</v>
      </c>
      <c r="B704">
        <v>186</v>
      </c>
      <c r="C704">
        <v>31497</v>
      </c>
      <c r="D704" t="str">
        <f>VLOOKUP(B704,ZoneTable,2,FALSE)</f>
        <v>Manhattan</v>
      </c>
      <c r="E704" t="str">
        <f>VLOOKUP(B704,ZoneTable,3,FALSE)</f>
        <v>Penn Station/Madison Sq West</v>
      </c>
      <c r="F704" t="str">
        <f>IF(OR(B704=1,B704=132,B704=138),"Airports",D704)</f>
        <v>Manhattan</v>
      </c>
    </row>
    <row r="705" spans="1:6">
      <c r="A705" s="33">
        <v>42064</v>
      </c>
      <c r="B705">
        <v>187</v>
      </c>
      <c r="C705">
        <v>22</v>
      </c>
      <c r="D705" t="str">
        <f>VLOOKUP(B705,ZoneTable,2,FALSE)</f>
        <v>Staten Island</v>
      </c>
      <c r="E705" t="str">
        <f>VLOOKUP(B705,ZoneTable,3,FALSE)</f>
        <v>Port Richmond</v>
      </c>
      <c r="F705" t="str">
        <f>IF(OR(B705=1,B705=132,B705=138),"Airports",D705)</f>
        <v>Staten Island</v>
      </c>
    </row>
    <row r="706" spans="1:6">
      <c r="A706" s="33">
        <v>42064</v>
      </c>
      <c r="B706">
        <v>188</v>
      </c>
      <c r="C706">
        <v>6119</v>
      </c>
      <c r="D706" t="str">
        <f>VLOOKUP(B706,ZoneTable,2,FALSE)</f>
        <v>Brooklyn</v>
      </c>
      <c r="E706" t="str">
        <f>VLOOKUP(B706,ZoneTable,3,FALSE)</f>
        <v>Prospect-Lefferts Gardens</v>
      </c>
      <c r="F706" t="str">
        <f>IF(OR(B706=1,B706=132,B706=138),"Airports",D706)</f>
        <v>Brooklyn</v>
      </c>
    </row>
    <row r="707" spans="1:6">
      <c r="A707" s="33">
        <v>42064</v>
      </c>
      <c r="B707">
        <v>189</v>
      </c>
      <c r="C707">
        <v>8094</v>
      </c>
      <c r="D707" t="str">
        <f>VLOOKUP(B707,ZoneTable,2,FALSE)</f>
        <v>Brooklyn</v>
      </c>
      <c r="E707" t="str">
        <f>VLOOKUP(B707,ZoneTable,3,FALSE)</f>
        <v>Prospect Heights</v>
      </c>
      <c r="F707" t="str">
        <f>IF(OR(B707=1,B707=132,B707=138),"Airports",D707)</f>
        <v>Brooklyn</v>
      </c>
    </row>
    <row r="708" spans="1:6">
      <c r="A708" s="33">
        <v>42064</v>
      </c>
      <c r="B708">
        <v>190</v>
      </c>
      <c r="C708">
        <v>876</v>
      </c>
      <c r="D708" t="str">
        <f>VLOOKUP(B708,ZoneTable,2,FALSE)</f>
        <v>Brooklyn</v>
      </c>
      <c r="E708" t="str">
        <f>VLOOKUP(B708,ZoneTable,3,FALSE)</f>
        <v>Prospect Park</v>
      </c>
      <c r="F708" t="str">
        <f>IF(OR(B708=1,B708=132,B708=138),"Airports",D708)</f>
        <v>Brooklyn</v>
      </c>
    </row>
    <row r="709" spans="1:6">
      <c r="A709" s="33">
        <v>42064</v>
      </c>
      <c r="B709">
        <v>191</v>
      </c>
      <c r="C709">
        <v>905</v>
      </c>
      <c r="D709" t="str">
        <f>VLOOKUP(B709,ZoneTable,2,FALSE)</f>
        <v>Queens</v>
      </c>
      <c r="E709" t="str">
        <f>VLOOKUP(B709,ZoneTable,3,FALSE)</f>
        <v>Queens Village</v>
      </c>
      <c r="F709" t="str">
        <f>IF(OR(B709=1,B709=132,B709=138),"Airports",D709)</f>
        <v>Queens</v>
      </c>
    </row>
    <row r="710" spans="1:6">
      <c r="A710" s="33">
        <v>42064</v>
      </c>
      <c r="B710">
        <v>192</v>
      </c>
      <c r="C710">
        <v>782</v>
      </c>
      <c r="D710" t="str">
        <f>VLOOKUP(B710,ZoneTable,2,FALSE)</f>
        <v>Queens</v>
      </c>
      <c r="E710" t="str">
        <f>VLOOKUP(B710,ZoneTable,3,FALSE)</f>
        <v>Queensboro Hill</v>
      </c>
      <c r="F710" t="str">
        <f>IF(OR(B710=1,B710=132,B710=138),"Airports",D710)</f>
        <v>Queens</v>
      </c>
    </row>
    <row r="711" spans="1:6">
      <c r="A711" s="33">
        <v>42064</v>
      </c>
      <c r="B711">
        <v>193</v>
      </c>
      <c r="C711">
        <v>835</v>
      </c>
      <c r="D711" t="str">
        <f>VLOOKUP(B711,ZoneTable,2,FALSE)</f>
        <v>Queens</v>
      </c>
      <c r="E711" t="str">
        <f>VLOOKUP(B711,ZoneTable,3,FALSE)</f>
        <v>Queensbridge/Ravenswood</v>
      </c>
      <c r="F711" t="str">
        <f>IF(OR(B711=1,B711=132,B711=138),"Airports",D711)</f>
        <v>Queens</v>
      </c>
    </row>
    <row r="712" spans="1:6">
      <c r="A712" s="33">
        <v>42064</v>
      </c>
      <c r="B712">
        <v>194</v>
      </c>
      <c r="C712">
        <v>142</v>
      </c>
      <c r="D712" t="str">
        <f>VLOOKUP(B712,ZoneTable,2,FALSE)</f>
        <v>Manhattan</v>
      </c>
      <c r="E712" t="str">
        <f>VLOOKUP(B712,ZoneTable,3,FALSE)</f>
        <v>Randalls Island</v>
      </c>
      <c r="F712" t="str">
        <f>IF(OR(B712=1,B712=132,B712=138),"Airports",D712)</f>
        <v>Manhattan</v>
      </c>
    </row>
    <row r="713" spans="1:6">
      <c r="A713" s="33">
        <v>42064</v>
      </c>
      <c r="B713">
        <v>195</v>
      </c>
      <c r="C713">
        <v>3008</v>
      </c>
      <c r="D713" t="str">
        <f>VLOOKUP(B713,ZoneTable,2,FALSE)</f>
        <v>Brooklyn</v>
      </c>
      <c r="E713" t="str">
        <f>VLOOKUP(B713,ZoneTable,3,FALSE)</f>
        <v>Red Hook</v>
      </c>
      <c r="F713" t="str">
        <f>IF(OR(B713=1,B713=132,B713=138),"Airports",D713)</f>
        <v>Brooklyn</v>
      </c>
    </row>
    <row r="714" spans="1:6">
      <c r="A714" s="33">
        <v>42064</v>
      </c>
      <c r="B714">
        <v>196</v>
      </c>
      <c r="C714">
        <v>1876</v>
      </c>
      <c r="D714" t="str">
        <f>VLOOKUP(B714,ZoneTable,2,FALSE)</f>
        <v>Queens</v>
      </c>
      <c r="E714" t="str">
        <f>VLOOKUP(B714,ZoneTable,3,FALSE)</f>
        <v>Rego Park</v>
      </c>
      <c r="F714" t="str">
        <f>IF(OR(B714=1,B714=132,B714=138),"Airports",D714)</f>
        <v>Queens</v>
      </c>
    </row>
    <row r="715" spans="1:6">
      <c r="A715" s="33">
        <v>42064</v>
      </c>
      <c r="B715">
        <v>197</v>
      </c>
      <c r="C715">
        <v>1832</v>
      </c>
      <c r="D715" t="str">
        <f>VLOOKUP(B715,ZoneTable,2,FALSE)</f>
        <v>Queens</v>
      </c>
      <c r="E715" t="str">
        <f>VLOOKUP(B715,ZoneTable,3,FALSE)</f>
        <v>Richmond Hill</v>
      </c>
      <c r="F715" t="str">
        <f>IF(OR(B715=1,B715=132,B715=138),"Airports",D715)</f>
        <v>Queens</v>
      </c>
    </row>
    <row r="716" spans="1:6">
      <c r="A716" s="33">
        <v>42064</v>
      </c>
      <c r="B716">
        <v>198</v>
      </c>
      <c r="C716">
        <v>3749</v>
      </c>
      <c r="D716" t="str">
        <f>VLOOKUP(B716,ZoneTable,2,FALSE)</f>
        <v>Queens</v>
      </c>
      <c r="E716" t="str">
        <f>VLOOKUP(B716,ZoneTable,3,FALSE)</f>
        <v>Ridgewood</v>
      </c>
      <c r="F716" t="str">
        <f>IF(OR(B716=1,B716=132,B716=138),"Airports",D716)</f>
        <v>Queens</v>
      </c>
    </row>
    <row r="717" spans="1:6">
      <c r="A717" s="33">
        <v>42064</v>
      </c>
      <c r="B717">
        <v>200</v>
      </c>
      <c r="C717">
        <v>2040</v>
      </c>
      <c r="D717" t="str">
        <f>VLOOKUP(B717,ZoneTable,2,FALSE)</f>
        <v>Bronx</v>
      </c>
      <c r="E717" t="str">
        <f>VLOOKUP(B717,ZoneTable,3,FALSE)</f>
        <v>Riverdale/North Riverdale/Fieldston</v>
      </c>
      <c r="F717" t="str">
        <f>IF(OR(B717=1,B717=132,B717=138),"Airports",D717)</f>
        <v>Bronx</v>
      </c>
    </row>
    <row r="718" spans="1:6">
      <c r="A718" s="33">
        <v>42064</v>
      </c>
      <c r="B718">
        <v>201</v>
      </c>
      <c r="C718">
        <v>44</v>
      </c>
      <c r="D718" t="str">
        <f>VLOOKUP(B718,ZoneTable,2,FALSE)</f>
        <v>Queens</v>
      </c>
      <c r="E718" t="str">
        <f>VLOOKUP(B718,ZoneTable,3,FALSE)</f>
        <v>Rockaway Park</v>
      </c>
      <c r="F718" t="str">
        <f>IF(OR(B718=1,B718=132,B718=138),"Airports",D718)</f>
        <v>Queens</v>
      </c>
    </row>
    <row r="719" spans="1:6">
      <c r="A719" s="33">
        <v>42064</v>
      </c>
      <c r="B719">
        <v>202</v>
      </c>
      <c r="C719">
        <v>391</v>
      </c>
      <c r="D719" t="str">
        <f>VLOOKUP(B719,ZoneTable,2,FALSE)</f>
        <v>Manhattan</v>
      </c>
      <c r="E719" t="str">
        <f>VLOOKUP(B719,ZoneTable,3,FALSE)</f>
        <v>Roosevelt Island</v>
      </c>
      <c r="F719" t="str">
        <f>IF(OR(B719=1,B719=132,B719=138),"Airports",D719)</f>
        <v>Manhattan</v>
      </c>
    </row>
    <row r="720" spans="1:6">
      <c r="A720" s="33">
        <v>42064</v>
      </c>
      <c r="B720">
        <v>203</v>
      </c>
      <c r="C720">
        <v>426</v>
      </c>
      <c r="D720" t="str">
        <f>VLOOKUP(B720,ZoneTable,2,FALSE)</f>
        <v>Queens</v>
      </c>
      <c r="E720" t="str">
        <f>VLOOKUP(B720,ZoneTable,3,FALSE)</f>
        <v>Rosedale</v>
      </c>
      <c r="F720" t="str">
        <f>IF(OR(B720=1,B720=132,B720=138),"Airports",D720)</f>
        <v>Queens</v>
      </c>
    </row>
    <row r="721" spans="1:6">
      <c r="A721" s="33">
        <v>42064</v>
      </c>
      <c r="B721">
        <v>204</v>
      </c>
      <c r="C721">
        <v>5</v>
      </c>
      <c r="D721" t="str">
        <f>VLOOKUP(B721,ZoneTable,2,FALSE)</f>
        <v>Staten Island</v>
      </c>
      <c r="E721" t="str">
        <f>VLOOKUP(B721,ZoneTable,3,FALSE)</f>
        <v>Rossville/Woodrow</v>
      </c>
      <c r="F721" t="str">
        <f>IF(OR(B721=1,B721=132,B721=138),"Airports",D721)</f>
        <v>Staten Island</v>
      </c>
    </row>
    <row r="722" spans="1:6">
      <c r="A722" s="33">
        <v>42064</v>
      </c>
      <c r="B722">
        <v>205</v>
      </c>
      <c r="C722">
        <v>848</v>
      </c>
      <c r="D722" t="str">
        <f>VLOOKUP(B722,ZoneTable,2,FALSE)</f>
        <v>Queens</v>
      </c>
      <c r="E722" t="str">
        <f>VLOOKUP(B722,ZoneTable,3,FALSE)</f>
        <v>Saint Albans</v>
      </c>
      <c r="F722" t="str">
        <f>IF(OR(B722=1,B722=132,B722=138),"Airports",D722)</f>
        <v>Queens</v>
      </c>
    </row>
    <row r="723" spans="1:6">
      <c r="A723" s="33">
        <v>42064</v>
      </c>
      <c r="B723">
        <v>206</v>
      </c>
      <c r="C723">
        <v>48</v>
      </c>
      <c r="D723" t="str">
        <f>VLOOKUP(B723,ZoneTable,2,FALSE)</f>
        <v>Staten Island</v>
      </c>
      <c r="E723" t="str">
        <f>VLOOKUP(B723,ZoneTable,3,FALSE)</f>
        <v>Saint George/New Brighton</v>
      </c>
      <c r="F723" t="str">
        <f>IF(OR(B723=1,B723=132,B723=138),"Airports",D723)</f>
        <v>Staten Island</v>
      </c>
    </row>
    <row r="724" spans="1:6">
      <c r="A724" s="33">
        <v>42064</v>
      </c>
      <c r="B724">
        <v>207</v>
      </c>
      <c r="C724">
        <v>64</v>
      </c>
      <c r="D724" t="str">
        <f>VLOOKUP(B724,ZoneTable,2,FALSE)</f>
        <v>Queens</v>
      </c>
      <c r="E724" t="str">
        <f>VLOOKUP(B724,ZoneTable,3,FALSE)</f>
        <v>Saint Michaels Cemetery/Woodside</v>
      </c>
      <c r="F724" t="str">
        <f>IF(OR(B724=1,B724=132,B724=138),"Airports",D724)</f>
        <v>Queens</v>
      </c>
    </row>
    <row r="725" spans="1:6">
      <c r="A725" s="33">
        <v>42064</v>
      </c>
      <c r="B725">
        <v>208</v>
      </c>
      <c r="C725">
        <v>619</v>
      </c>
      <c r="D725" t="str">
        <f>VLOOKUP(B725,ZoneTable,2,FALSE)</f>
        <v>Bronx</v>
      </c>
      <c r="E725" t="str">
        <f>VLOOKUP(B725,ZoneTable,3,FALSE)</f>
        <v>Schuylerville/Edgewater Park</v>
      </c>
      <c r="F725" t="str">
        <f>IF(OR(B725=1,B725=132,B725=138),"Airports",D725)</f>
        <v>Bronx</v>
      </c>
    </row>
    <row r="726" spans="1:6">
      <c r="A726" s="33">
        <v>42064</v>
      </c>
      <c r="B726">
        <v>209</v>
      </c>
      <c r="C726">
        <v>8061</v>
      </c>
      <c r="D726" t="str">
        <f>VLOOKUP(B726,ZoneTable,2,FALSE)</f>
        <v>Manhattan</v>
      </c>
      <c r="E726" t="str">
        <f>VLOOKUP(B726,ZoneTable,3,FALSE)</f>
        <v>Seaport</v>
      </c>
      <c r="F726" t="str">
        <f>IF(OR(B726=1,B726=132,B726=138),"Airports",D726)</f>
        <v>Manhattan</v>
      </c>
    </row>
    <row r="727" spans="1:6">
      <c r="A727" s="33">
        <v>42064</v>
      </c>
      <c r="B727">
        <v>210</v>
      </c>
      <c r="C727">
        <v>1182</v>
      </c>
      <c r="D727" t="str">
        <f>VLOOKUP(B727,ZoneTable,2,FALSE)</f>
        <v>Brooklyn</v>
      </c>
      <c r="E727" t="str">
        <f>VLOOKUP(B727,ZoneTable,3,FALSE)</f>
        <v>Sheepshead Bay</v>
      </c>
      <c r="F727" t="str">
        <f>IF(OR(B727=1,B727=132,B727=138),"Airports",D727)</f>
        <v>Brooklyn</v>
      </c>
    </row>
    <row r="728" spans="1:6">
      <c r="A728" s="33">
        <v>42064</v>
      </c>
      <c r="B728">
        <v>211</v>
      </c>
      <c r="C728">
        <v>37256</v>
      </c>
      <c r="D728" t="str">
        <f>VLOOKUP(B728,ZoneTable,2,FALSE)</f>
        <v>Manhattan</v>
      </c>
      <c r="E728" t="str">
        <f>VLOOKUP(B728,ZoneTable,3,FALSE)</f>
        <v>SoHo</v>
      </c>
      <c r="F728" t="str">
        <f>IF(OR(B728=1,B728=132,B728=138),"Airports",D728)</f>
        <v>Manhattan</v>
      </c>
    </row>
    <row r="729" spans="1:6">
      <c r="A729" s="33">
        <v>42064</v>
      </c>
      <c r="B729">
        <v>212</v>
      </c>
      <c r="C729">
        <v>493</v>
      </c>
      <c r="D729" t="str">
        <f>VLOOKUP(B729,ZoneTable,2,FALSE)</f>
        <v>Bronx</v>
      </c>
      <c r="E729" t="str">
        <f>VLOOKUP(B729,ZoneTable,3,FALSE)</f>
        <v>Soundview/Bruckner</v>
      </c>
      <c r="F729" t="str">
        <f>IF(OR(B729=1,B729=132,B729=138),"Airports",D729)</f>
        <v>Bronx</v>
      </c>
    </row>
    <row r="730" spans="1:6">
      <c r="A730" s="33">
        <v>42064</v>
      </c>
      <c r="B730">
        <v>213</v>
      </c>
      <c r="C730">
        <v>834</v>
      </c>
      <c r="D730" t="str">
        <f>VLOOKUP(B730,ZoneTable,2,FALSE)</f>
        <v>Bronx</v>
      </c>
      <c r="E730" t="str">
        <f>VLOOKUP(B730,ZoneTable,3,FALSE)</f>
        <v>Soundview/Castle Hill</v>
      </c>
      <c r="F730" t="str">
        <f>IF(OR(B730=1,B730=132,B730=138),"Airports",D730)</f>
        <v>Bronx</v>
      </c>
    </row>
    <row r="731" spans="1:6">
      <c r="A731" s="33">
        <v>42064</v>
      </c>
      <c r="B731">
        <v>214</v>
      </c>
      <c r="C731">
        <v>106</v>
      </c>
      <c r="D731" t="str">
        <f>VLOOKUP(B731,ZoneTable,2,FALSE)</f>
        <v>Staten Island</v>
      </c>
      <c r="E731" t="str">
        <f>VLOOKUP(B731,ZoneTable,3,FALSE)</f>
        <v>South Beach/Dongan Hills</v>
      </c>
      <c r="F731" t="str">
        <f>IF(OR(B731=1,B731=132,B731=138),"Airports",D731)</f>
        <v>Staten Island</v>
      </c>
    </row>
    <row r="732" spans="1:6">
      <c r="A732" s="33">
        <v>42064</v>
      </c>
      <c r="B732">
        <v>215</v>
      </c>
      <c r="C732">
        <v>626</v>
      </c>
      <c r="D732" t="str">
        <f>VLOOKUP(B732,ZoneTable,2,FALSE)</f>
        <v>Queens</v>
      </c>
      <c r="E732" t="str">
        <f>VLOOKUP(B732,ZoneTable,3,FALSE)</f>
        <v>South Jamaica</v>
      </c>
      <c r="F732" t="str">
        <f>IF(OR(B732=1,B732=132,B732=138),"Airports",D732)</f>
        <v>Queens</v>
      </c>
    </row>
    <row r="733" spans="1:6">
      <c r="A733" s="33">
        <v>42064</v>
      </c>
      <c r="B733">
        <v>216</v>
      </c>
      <c r="C733">
        <v>1810</v>
      </c>
      <c r="D733" t="str">
        <f>VLOOKUP(B733,ZoneTable,2,FALSE)</f>
        <v>Queens</v>
      </c>
      <c r="E733" t="str">
        <f>VLOOKUP(B733,ZoneTable,3,FALSE)</f>
        <v>South Ozone Park</v>
      </c>
      <c r="F733" t="str">
        <f>IF(OR(B733=1,B733=132,B733=138),"Airports",D733)</f>
        <v>Queens</v>
      </c>
    </row>
    <row r="734" spans="1:6">
      <c r="A734" s="33">
        <v>42064</v>
      </c>
      <c r="B734">
        <v>217</v>
      </c>
      <c r="C734">
        <v>1241</v>
      </c>
      <c r="D734" t="str">
        <f>VLOOKUP(B734,ZoneTable,2,FALSE)</f>
        <v>Brooklyn</v>
      </c>
      <c r="E734" t="str">
        <f>VLOOKUP(B734,ZoneTable,3,FALSE)</f>
        <v>South Williamsburg</v>
      </c>
      <c r="F734" t="str">
        <f>IF(OR(B734=1,B734=132,B734=138),"Airports",D734)</f>
        <v>Brooklyn</v>
      </c>
    </row>
    <row r="735" spans="1:6">
      <c r="A735" s="33">
        <v>42064</v>
      </c>
      <c r="B735">
        <v>218</v>
      </c>
      <c r="C735">
        <v>542</v>
      </c>
      <c r="D735" t="str">
        <f>VLOOKUP(B735,ZoneTable,2,FALSE)</f>
        <v>Queens</v>
      </c>
      <c r="E735" t="str">
        <f>VLOOKUP(B735,ZoneTable,3,FALSE)</f>
        <v>Springfield Gardens North</v>
      </c>
      <c r="F735" t="str">
        <f>IF(OR(B735=1,B735=132,B735=138),"Airports",D735)</f>
        <v>Queens</v>
      </c>
    </row>
    <row r="736" spans="1:6">
      <c r="A736" s="33">
        <v>42064</v>
      </c>
      <c r="B736">
        <v>219</v>
      </c>
      <c r="C736">
        <v>638</v>
      </c>
      <c r="D736" t="str">
        <f>VLOOKUP(B736,ZoneTable,2,FALSE)</f>
        <v>Queens</v>
      </c>
      <c r="E736" t="str">
        <f>VLOOKUP(B736,ZoneTable,3,FALSE)</f>
        <v>Springfield Gardens South</v>
      </c>
      <c r="F736" t="str">
        <f>IF(OR(B736=1,B736=132,B736=138),"Airports",D736)</f>
        <v>Queens</v>
      </c>
    </row>
    <row r="737" spans="1:6">
      <c r="A737" s="33">
        <v>42064</v>
      </c>
      <c r="B737">
        <v>220</v>
      </c>
      <c r="C737">
        <v>2317</v>
      </c>
      <c r="D737" t="str">
        <f>VLOOKUP(B737,ZoneTable,2,FALSE)</f>
        <v>Bronx</v>
      </c>
      <c r="E737" t="str">
        <f>VLOOKUP(B737,ZoneTable,3,FALSE)</f>
        <v>Spuyten Duyvil/Kingsbridge</v>
      </c>
      <c r="F737" t="str">
        <f>IF(OR(B737=1,B737=132,B737=138),"Airports",D737)</f>
        <v>Bronx</v>
      </c>
    </row>
    <row r="738" spans="1:6">
      <c r="A738" s="33">
        <v>42064</v>
      </c>
      <c r="B738">
        <v>221</v>
      </c>
      <c r="C738">
        <v>82</v>
      </c>
      <c r="D738" t="str">
        <f>VLOOKUP(B738,ZoneTable,2,FALSE)</f>
        <v>Staten Island</v>
      </c>
      <c r="E738" t="str">
        <f>VLOOKUP(B738,ZoneTable,3,FALSE)</f>
        <v>Stapleton</v>
      </c>
      <c r="F738" t="str">
        <f>IF(OR(B738=1,B738=132,B738=138),"Airports",D738)</f>
        <v>Staten Island</v>
      </c>
    </row>
    <row r="739" spans="1:6">
      <c r="A739" s="33">
        <v>42064</v>
      </c>
      <c r="B739">
        <v>222</v>
      </c>
      <c r="C739">
        <v>395</v>
      </c>
      <c r="D739" t="str">
        <f>VLOOKUP(B739,ZoneTable,2,FALSE)</f>
        <v>Brooklyn</v>
      </c>
      <c r="E739" t="str">
        <f>VLOOKUP(B739,ZoneTable,3,FALSE)</f>
        <v>Starrett City</v>
      </c>
      <c r="F739" t="str">
        <f>IF(OR(B739=1,B739=132,B739=138),"Airports",D739)</f>
        <v>Brooklyn</v>
      </c>
    </row>
    <row r="740" spans="1:6">
      <c r="A740" s="33">
        <v>42064</v>
      </c>
      <c r="B740">
        <v>223</v>
      </c>
      <c r="C740">
        <v>7072</v>
      </c>
      <c r="D740" t="str">
        <f>VLOOKUP(B740,ZoneTable,2,FALSE)</f>
        <v>Queens</v>
      </c>
      <c r="E740" t="str">
        <f>VLOOKUP(B740,ZoneTable,3,FALSE)</f>
        <v>Steinway</v>
      </c>
      <c r="F740" t="str">
        <f>IF(OR(B740=1,B740=132,B740=138),"Airports",D740)</f>
        <v>Queens</v>
      </c>
    </row>
    <row r="741" spans="1:6">
      <c r="A741" s="33">
        <v>42064</v>
      </c>
      <c r="B741">
        <v>224</v>
      </c>
      <c r="C741">
        <v>11532</v>
      </c>
      <c r="D741" t="str">
        <f>VLOOKUP(B741,ZoneTable,2,FALSE)</f>
        <v>Manhattan</v>
      </c>
      <c r="E741" t="str">
        <f>VLOOKUP(B741,ZoneTable,3,FALSE)</f>
        <v>Stuy Town/Peter Cooper Village</v>
      </c>
      <c r="F741" t="str">
        <f>IF(OR(B741=1,B741=132,B741=138),"Airports",D741)</f>
        <v>Manhattan</v>
      </c>
    </row>
    <row r="742" spans="1:6">
      <c r="A742" s="33">
        <v>42064</v>
      </c>
      <c r="B742">
        <v>225</v>
      </c>
      <c r="C742">
        <v>8626</v>
      </c>
      <c r="D742" t="str">
        <f>VLOOKUP(B742,ZoneTable,2,FALSE)</f>
        <v>Brooklyn</v>
      </c>
      <c r="E742" t="str">
        <f>VLOOKUP(B742,ZoneTable,3,FALSE)</f>
        <v>Stuyvesant Heights</v>
      </c>
      <c r="F742" t="str">
        <f>IF(OR(B742=1,B742=132,B742=138),"Airports",D742)</f>
        <v>Brooklyn</v>
      </c>
    </row>
    <row r="743" spans="1:6">
      <c r="A743" s="33">
        <v>42064</v>
      </c>
      <c r="B743">
        <v>226</v>
      </c>
      <c r="C743">
        <v>8806</v>
      </c>
      <c r="D743" t="str">
        <f>VLOOKUP(B743,ZoneTable,2,FALSE)</f>
        <v>Queens</v>
      </c>
      <c r="E743" t="str">
        <f>VLOOKUP(B743,ZoneTable,3,FALSE)</f>
        <v>Sunnyside</v>
      </c>
      <c r="F743" t="str">
        <f>IF(OR(B743=1,B743=132,B743=138),"Airports",D743)</f>
        <v>Queens</v>
      </c>
    </row>
    <row r="744" spans="1:6">
      <c r="A744" s="33">
        <v>42064</v>
      </c>
      <c r="B744">
        <v>227</v>
      </c>
      <c r="C744">
        <v>1489</v>
      </c>
      <c r="D744" t="str">
        <f>VLOOKUP(B744,ZoneTable,2,FALSE)</f>
        <v>Brooklyn</v>
      </c>
      <c r="E744" t="str">
        <f>VLOOKUP(B744,ZoneTable,3,FALSE)</f>
        <v>Sunset Park East</v>
      </c>
      <c r="F744" t="str">
        <f>IF(OR(B744=1,B744=132,B744=138),"Airports",D744)</f>
        <v>Brooklyn</v>
      </c>
    </row>
    <row r="745" spans="1:6">
      <c r="A745" s="33">
        <v>42064</v>
      </c>
      <c r="B745">
        <v>228</v>
      </c>
      <c r="C745">
        <v>4773</v>
      </c>
      <c r="D745" t="str">
        <f>VLOOKUP(B745,ZoneTable,2,FALSE)</f>
        <v>Brooklyn</v>
      </c>
      <c r="E745" t="str">
        <f>VLOOKUP(B745,ZoneTable,3,FALSE)</f>
        <v>Sunset Park West</v>
      </c>
      <c r="F745" t="str">
        <f>IF(OR(B745=1,B745=132,B745=138),"Airports",D745)</f>
        <v>Brooklyn</v>
      </c>
    </row>
    <row r="746" spans="1:6">
      <c r="A746" s="33">
        <v>42064</v>
      </c>
      <c r="B746">
        <v>229</v>
      </c>
      <c r="C746">
        <v>27666</v>
      </c>
      <c r="D746" t="str">
        <f>VLOOKUP(B746,ZoneTable,2,FALSE)</f>
        <v>Manhattan</v>
      </c>
      <c r="E746" t="str">
        <f>VLOOKUP(B746,ZoneTable,3,FALSE)</f>
        <v>Sutton Place/Turtle Bay North</v>
      </c>
      <c r="F746" t="str">
        <f>IF(OR(B746=1,B746=132,B746=138),"Airports",D746)</f>
        <v>Manhattan</v>
      </c>
    </row>
    <row r="747" spans="1:6">
      <c r="A747" s="33">
        <v>42064</v>
      </c>
      <c r="B747">
        <v>230</v>
      </c>
      <c r="C747">
        <v>54456</v>
      </c>
      <c r="D747" t="str">
        <f>VLOOKUP(B747,ZoneTable,2,FALSE)</f>
        <v>Manhattan</v>
      </c>
      <c r="E747" t="str">
        <f>VLOOKUP(B747,ZoneTable,3,FALSE)</f>
        <v>Times Sq/Theatre District</v>
      </c>
      <c r="F747" t="str">
        <f>IF(OR(B747=1,B747=132,B747=138),"Airports",D747)</f>
        <v>Manhattan</v>
      </c>
    </row>
    <row r="748" spans="1:6">
      <c r="A748" s="33">
        <v>42064</v>
      </c>
      <c r="B748">
        <v>231</v>
      </c>
      <c r="C748">
        <v>67718</v>
      </c>
      <c r="D748" t="str">
        <f>VLOOKUP(B748,ZoneTable,2,FALSE)</f>
        <v>Manhattan</v>
      </c>
      <c r="E748" t="str">
        <f>VLOOKUP(B748,ZoneTable,3,FALSE)</f>
        <v>TriBeCa/Civic Center</v>
      </c>
      <c r="F748" t="str">
        <f>IF(OR(B748=1,B748=132,B748=138),"Airports",D748)</f>
        <v>Manhattan</v>
      </c>
    </row>
    <row r="749" spans="1:6">
      <c r="A749" s="33">
        <v>42064</v>
      </c>
      <c r="B749">
        <v>232</v>
      </c>
      <c r="C749">
        <v>11244</v>
      </c>
      <c r="D749" t="str">
        <f>VLOOKUP(B749,ZoneTable,2,FALSE)</f>
        <v>Manhattan</v>
      </c>
      <c r="E749" t="str">
        <f>VLOOKUP(B749,ZoneTable,3,FALSE)</f>
        <v>Two Bridges/Seward Park</v>
      </c>
      <c r="F749" t="str">
        <f>IF(OR(B749=1,B749=132,B749=138),"Airports",D749)</f>
        <v>Manhattan</v>
      </c>
    </row>
    <row r="750" spans="1:6">
      <c r="A750" s="33">
        <v>42064</v>
      </c>
      <c r="B750">
        <v>233</v>
      </c>
      <c r="C750">
        <v>23455</v>
      </c>
      <c r="D750" t="str">
        <f>VLOOKUP(B750,ZoneTable,2,FALSE)</f>
        <v>Manhattan</v>
      </c>
      <c r="E750" t="str">
        <f>VLOOKUP(B750,ZoneTable,3,FALSE)</f>
        <v>UN/Turtle Bay South</v>
      </c>
      <c r="F750" t="str">
        <f>IF(OR(B750=1,B750=132,B750=138),"Airports",D750)</f>
        <v>Manhattan</v>
      </c>
    </row>
    <row r="751" spans="1:6">
      <c r="A751" s="33">
        <v>42064</v>
      </c>
      <c r="B751">
        <v>234</v>
      </c>
      <c r="C751">
        <v>68911</v>
      </c>
      <c r="D751" t="str">
        <f>VLOOKUP(B751,ZoneTable,2,FALSE)</f>
        <v>Manhattan</v>
      </c>
      <c r="E751" t="str">
        <f>VLOOKUP(B751,ZoneTable,3,FALSE)</f>
        <v>Union Sq</v>
      </c>
      <c r="F751" t="str">
        <f>IF(OR(B751=1,B751=132,B751=138),"Airports",D751)</f>
        <v>Manhattan</v>
      </c>
    </row>
    <row r="752" spans="1:6">
      <c r="A752" s="33">
        <v>42064</v>
      </c>
      <c r="B752">
        <v>235</v>
      </c>
      <c r="C752">
        <v>983</v>
      </c>
      <c r="D752" t="str">
        <f>VLOOKUP(B752,ZoneTable,2,FALSE)</f>
        <v>Bronx</v>
      </c>
      <c r="E752" t="str">
        <f>VLOOKUP(B752,ZoneTable,3,FALSE)</f>
        <v>University Heights/Morris Heights</v>
      </c>
      <c r="F752" t="str">
        <f>IF(OR(B752=1,B752=132,B752=138),"Airports",D752)</f>
        <v>Bronx</v>
      </c>
    </row>
    <row r="753" spans="1:6">
      <c r="A753" s="33">
        <v>42064</v>
      </c>
      <c r="B753">
        <v>236</v>
      </c>
      <c r="C753">
        <v>34831</v>
      </c>
      <c r="D753" t="str">
        <f>VLOOKUP(B753,ZoneTable,2,FALSE)</f>
        <v>Manhattan</v>
      </c>
      <c r="E753" t="str">
        <f>VLOOKUP(B753,ZoneTable,3,FALSE)</f>
        <v>Upper East Side North</v>
      </c>
      <c r="F753" t="str">
        <f>IF(OR(B753=1,B753=132,B753=138),"Airports",D753)</f>
        <v>Manhattan</v>
      </c>
    </row>
    <row r="754" spans="1:6">
      <c r="A754" s="33">
        <v>42064</v>
      </c>
      <c r="B754">
        <v>237</v>
      </c>
      <c r="C754">
        <v>44948</v>
      </c>
      <c r="D754" t="str">
        <f>VLOOKUP(B754,ZoneTable,2,FALSE)</f>
        <v>Manhattan</v>
      </c>
      <c r="E754" t="str">
        <f>VLOOKUP(B754,ZoneTable,3,FALSE)</f>
        <v>Upper East Side South</v>
      </c>
      <c r="F754" t="str">
        <f>IF(OR(B754=1,B754=132,B754=138),"Airports",D754)</f>
        <v>Manhattan</v>
      </c>
    </row>
    <row r="755" spans="1:6">
      <c r="A755" s="33">
        <v>42064</v>
      </c>
      <c r="B755">
        <v>238</v>
      </c>
      <c r="C755">
        <v>20471</v>
      </c>
      <c r="D755" t="str">
        <f>VLOOKUP(B755,ZoneTable,2,FALSE)</f>
        <v>Manhattan</v>
      </c>
      <c r="E755" t="str">
        <f>VLOOKUP(B755,ZoneTable,3,FALSE)</f>
        <v>Upper West Side North</v>
      </c>
      <c r="F755" t="str">
        <f>IF(OR(B755=1,B755=132,B755=138),"Airports",D755)</f>
        <v>Manhattan</v>
      </c>
    </row>
    <row r="756" spans="1:6">
      <c r="A756" s="33">
        <v>42064</v>
      </c>
      <c r="B756">
        <v>239</v>
      </c>
      <c r="C756">
        <v>28400</v>
      </c>
      <c r="D756" t="str">
        <f>VLOOKUP(B756,ZoneTable,2,FALSE)</f>
        <v>Manhattan</v>
      </c>
      <c r="E756" t="str">
        <f>VLOOKUP(B756,ZoneTable,3,FALSE)</f>
        <v>Upper West Side South</v>
      </c>
      <c r="F756" t="str">
        <f>IF(OR(B756=1,B756=132,B756=138),"Airports",D756)</f>
        <v>Manhattan</v>
      </c>
    </row>
    <row r="757" spans="1:6">
      <c r="A757" s="33">
        <v>42064</v>
      </c>
      <c r="B757">
        <v>240</v>
      </c>
      <c r="C757">
        <v>135</v>
      </c>
      <c r="D757" t="str">
        <f>VLOOKUP(B757,ZoneTable,2,FALSE)</f>
        <v>Bronx</v>
      </c>
      <c r="E757" t="str">
        <f>VLOOKUP(B757,ZoneTable,3,FALSE)</f>
        <v>Van Cortlandt Park</v>
      </c>
      <c r="F757" t="str">
        <f>IF(OR(B757=1,B757=132,B757=138),"Airports",D757)</f>
        <v>Bronx</v>
      </c>
    </row>
    <row r="758" spans="1:6">
      <c r="A758" s="33">
        <v>42064</v>
      </c>
      <c r="B758">
        <v>241</v>
      </c>
      <c r="C758">
        <v>1371</v>
      </c>
      <c r="D758" t="str">
        <f>VLOOKUP(B758,ZoneTable,2,FALSE)</f>
        <v>Bronx</v>
      </c>
      <c r="E758" t="str">
        <f>VLOOKUP(B758,ZoneTable,3,FALSE)</f>
        <v>Van Cortlandt Village</v>
      </c>
      <c r="F758" t="str">
        <f>IF(OR(B758=1,B758=132,B758=138),"Airports",D758)</f>
        <v>Bronx</v>
      </c>
    </row>
    <row r="759" spans="1:6">
      <c r="A759" s="33">
        <v>42064</v>
      </c>
      <c r="B759">
        <v>242</v>
      </c>
      <c r="C759">
        <v>1066</v>
      </c>
      <c r="D759" t="str">
        <f>VLOOKUP(B759,ZoneTable,2,FALSE)</f>
        <v>Bronx</v>
      </c>
      <c r="E759" t="str">
        <f>VLOOKUP(B759,ZoneTable,3,FALSE)</f>
        <v>Van Nest/Morris Park</v>
      </c>
      <c r="F759" t="str">
        <f>IF(OR(B759=1,B759=132,B759=138),"Airports",D759)</f>
        <v>Bronx</v>
      </c>
    </row>
    <row r="760" spans="1:6">
      <c r="A760" s="33">
        <v>42064</v>
      </c>
      <c r="B760">
        <v>243</v>
      </c>
      <c r="C760">
        <v>5677</v>
      </c>
      <c r="D760" t="str">
        <f>VLOOKUP(B760,ZoneTable,2,FALSE)</f>
        <v>Manhattan</v>
      </c>
      <c r="E760" t="str">
        <f>VLOOKUP(B760,ZoneTable,3,FALSE)</f>
        <v>Washington Heights North</v>
      </c>
      <c r="F760" t="str">
        <f>IF(OR(B760=1,B760=132,B760=138),"Airports",D760)</f>
        <v>Manhattan</v>
      </c>
    </row>
    <row r="761" spans="1:6">
      <c r="A761" s="33">
        <v>42064</v>
      </c>
      <c r="B761">
        <v>244</v>
      </c>
      <c r="C761">
        <v>7714</v>
      </c>
      <c r="D761" t="str">
        <f>VLOOKUP(B761,ZoneTable,2,FALSE)</f>
        <v>Manhattan</v>
      </c>
      <c r="E761" t="str">
        <f>VLOOKUP(B761,ZoneTable,3,FALSE)</f>
        <v>Washington Heights South</v>
      </c>
      <c r="F761" t="str">
        <f>IF(OR(B761=1,B761=132,B761=138),"Airports",D761)</f>
        <v>Manhattan</v>
      </c>
    </row>
    <row r="762" spans="1:6">
      <c r="A762" s="33">
        <v>42064</v>
      </c>
      <c r="B762">
        <v>245</v>
      </c>
      <c r="C762">
        <v>64</v>
      </c>
      <c r="D762" t="str">
        <f>VLOOKUP(B762,ZoneTable,2,FALSE)</f>
        <v>Staten Island</v>
      </c>
      <c r="E762" t="str">
        <f>VLOOKUP(B762,ZoneTable,3,FALSE)</f>
        <v>West Brighton</v>
      </c>
      <c r="F762" t="str">
        <f>IF(OR(B762=1,B762=132,B762=138),"Airports",D762)</f>
        <v>Staten Island</v>
      </c>
    </row>
    <row r="763" spans="1:6">
      <c r="A763" s="33">
        <v>42064</v>
      </c>
      <c r="B763">
        <v>246</v>
      </c>
      <c r="C763">
        <v>41248</v>
      </c>
      <c r="D763" t="str">
        <f>VLOOKUP(B763,ZoneTable,2,FALSE)</f>
        <v>Manhattan</v>
      </c>
      <c r="E763" t="str">
        <f>VLOOKUP(B763,ZoneTable,3,FALSE)</f>
        <v>West Chelsea/Hudson Yards</v>
      </c>
      <c r="F763" t="str">
        <f>IF(OR(B763=1,B763=132,B763=138),"Airports",D763)</f>
        <v>Manhattan</v>
      </c>
    </row>
    <row r="764" spans="1:6">
      <c r="A764" s="33">
        <v>42064</v>
      </c>
      <c r="B764">
        <v>247</v>
      </c>
      <c r="C764">
        <v>1556</v>
      </c>
      <c r="D764" t="str">
        <f>VLOOKUP(B764,ZoneTable,2,FALSE)</f>
        <v>Bronx</v>
      </c>
      <c r="E764" t="str">
        <f>VLOOKUP(B764,ZoneTable,3,FALSE)</f>
        <v>West Concourse</v>
      </c>
      <c r="F764" t="str">
        <f>IF(OR(B764=1,B764=132,B764=138),"Airports",D764)</f>
        <v>Bronx</v>
      </c>
    </row>
    <row r="765" spans="1:6">
      <c r="A765" s="33">
        <v>42064</v>
      </c>
      <c r="B765">
        <v>248</v>
      </c>
      <c r="C765">
        <v>543</v>
      </c>
      <c r="D765" t="str">
        <f>VLOOKUP(B765,ZoneTable,2,FALSE)</f>
        <v>Bronx</v>
      </c>
      <c r="E765" t="str">
        <f>VLOOKUP(B765,ZoneTable,3,FALSE)</f>
        <v>West Farms/Bronx River</v>
      </c>
      <c r="F765" t="str">
        <f>IF(OR(B765=1,B765=132,B765=138),"Airports",D765)</f>
        <v>Bronx</v>
      </c>
    </row>
    <row r="766" spans="1:6">
      <c r="A766" s="33">
        <v>42064</v>
      </c>
      <c r="B766">
        <v>249</v>
      </c>
      <c r="C766">
        <v>51775</v>
      </c>
      <c r="D766" t="str">
        <f>VLOOKUP(B766,ZoneTable,2,FALSE)</f>
        <v>Manhattan</v>
      </c>
      <c r="E766" t="str">
        <f>VLOOKUP(B766,ZoneTable,3,FALSE)</f>
        <v>West Village</v>
      </c>
      <c r="F766" t="str">
        <f>IF(OR(B766=1,B766=132,B766=138),"Airports",D766)</f>
        <v>Manhattan</v>
      </c>
    </row>
    <row r="767" spans="1:6">
      <c r="A767" s="33">
        <v>42064</v>
      </c>
      <c r="B767">
        <v>250</v>
      </c>
      <c r="C767">
        <v>669</v>
      </c>
      <c r="D767" t="str">
        <f>VLOOKUP(B767,ZoneTable,2,FALSE)</f>
        <v>Bronx</v>
      </c>
      <c r="E767" t="str">
        <f>VLOOKUP(B767,ZoneTable,3,FALSE)</f>
        <v>Westchester Village/Unionport</v>
      </c>
      <c r="F767" t="str">
        <f>IF(OR(B767=1,B767=132,B767=138),"Airports",D767)</f>
        <v>Bronx</v>
      </c>
    </row>
    <row r="768" spans="1:6">
      <c r="A768" s="33">
        <v>42064</v>
      </c>
      <c r="B768">
        <v>251</v>
      </c>
      <c r="C768">
        <v>85</v>
      </c>
      <c r="D768" t="str">
        <f>VLOOKUP(B768,ZoneTable,2,FALSE)</f>
        <v>Staten Island</v>
      </c>
      <c r="E768" t="str">
        <f>VLOOKUP(B768,ZoneTable,3,FALSE)</f>
        <v>Westerleigh</v>
      </c>
      <c r="F768" t="str">
        <f>IF(OR(B768=1,B768=132,B768=138),"Airports",D768)</f>
        <v>Staten Island</v>
      </c>
    </row>
    <row r="769" spans="1:6">
      <c r="A769" s="33">
        <v>42064</v>
      </c>
      <c r="B769">
        <v>252</v>
      </c>
      <c r="C769">
        <v>825</v>
      </c>
      <c r="D769" t="str">
        <f>VLOOKUP(B769,ZoneTable,2,FALSE)</f>
        <v>Queens</v>
      </c>
      <c r="E769" t="str">
        <f>VLOOKUP(B769,ZoneTable,3,FALSE)</f>
        <v>Whitestone</v>
      </c>
      <c r="F769" t="str">
        <f>IF(OR(B769=1,B769=132,B769=138),"Airports",D769)</f>
        <v>Queens</v>
      </c>
    </row>
    <row r="770" spans="1:6">
      <c r="A770" s="33">
        <v>42064</v>
      </c>
      <c r="B770">
        <v>253</v>
      </c>
      <c r="C770">
        <v>21</v>
      </c>
      <c r="D770" t="str">
        <f>VLOOKUP(B770,ZoneTable,2,FALSE)</f>
        <v>Queens</v>
      </c>
      <c r="E770" t="str">
        <f>VLOOKUP(B770,ZoneTable,3,FALSE)</f>
        <v>Willets Point</v>
      </c>
      <c r="F770" t="str">
        <f>IF(OR(B770=1,B770=132,B770=138),"Airports",D770)</f>
        <v>Queens</v>
      </c>
    </row>
    <row r="771" spans="1:6">
      <c r="A771" s="33">
        <v>42064</v>
      </c>
      <c r="B771">
        <v>254</v>
      </c>
      <c r="C771">
        <v>747</v>
      </c>
      <c r="D771" t="str">
        <f>VLOOKUP(B771,ZoneTable,2,FALSE)</f>
        <v>Bronx</v>
      </c>
      <c r="E771" t="str">
        <f>VLOOKUP(B771,ZoneTable,3,FALSE)</f>
        <v>Williamsbridge/Olinville</v>
      </c>
      <c r="F771" t="str">
        <f>IF(OR(B771=1,B771=132,B771=138),"Airports",D771)</f>
        <v>Bronx</v>
      </c>
    </row>
    <row r="772" spans="1:6">
      <c r="A772" s="33">
        <v>42064</v>
      </c>
      <c r="B772">
        <v>255</v>
      </c>
      <c r="C772">
        <v>30231</v>
      </c>
      <c r="D772" t="str">
        <f>VLOOKUP(B772,ZoneTable,2,FALSE)</f>
        <v>Brooklyn</v>
      </c>
      <c r="E772" t="str">
        <f>VLOOKUP(B772,ZoneTable,3,FALSE)</f>
        <v>Williamsburg (North Side)</v>
      </c>
      <c r="F772" t="str">
        <f>IF(OR(B772=1,B772=132,B772=138),"Airports",D772)</f>
        <v>Brooklyn</v>
      </c>
    </row>
    <row r="773" spans="1:6">
      <c r="A773" s="33">
        <v>42064</v>
      </c>
      <c r="B773">
        <v>256</v>
      </c>
      <c r="C773">
        <v>20391</v>
      </c>
      <c r="D773" t="str">
        <f>VLOOKUP(B773,ZoneTable,2,FALSE)</f>
        <v>Brooklyn</v>
      </c>
      <c r="E773" t="str">
        <f>VLOOKUP(B773,ZoneTable,3,FALSE)</f>
        <v>Williamsburg (South Side)</v>
      </c>
      <c r="F773" t="str">
        <f>IF(OR(B773=1,B773=132,B773=138),"Airports",D773)</f>
        <v>Brooklyn</v>
      </c>
    </row>
    <row r="774" spans="1:6">
      <c r="A774" s="33">
        <v>42064</v>
      </c>
      <c r="B774">
        <v>257</v>
      </c>
      <c r="C774">
        <v>3189</v>
      </c>
      <c r="D774" t="str">
        <f>VLOOKUP(B774,ZoneTable,2,FALSE)</f>
        <v>Brooklyn</v>
      </c>
      <c r="E774" t="str">
        <f>VLOOKUP(B774,ZoneTable,3,FALSE)</f>
        <v>Windsor Terrace</v>
      </c>
      <c r="F774" t="str">
        <f>IF(OR(B774=1,B774=132,B774=138),"Airports",D774)</f>
        <v>Brooklyn</v>
      </c>
    </row>
    <row r="775" spans="1:6">
      <c r="A775" s="33">
        <v>42064</v>
      </c>
      <c r="B775">
        <v>258</v>
      </c>
      <c r="C775">
        <v>1781</v>
      </c>
      <c r="D775" t="str">
        <f>VLOOKUP(B775,ZoneTable,2,FALSE)</f>
        <v>Queens</v>
      </c>
      <c r="E775" t="str">
        <f>VLOOKUP(B775,ZoneTable,3,FALSE)</f>
        <v>Woodhaven</v>
      </c>
      <c r="F775" t="str">
        <f>IF(OR(B775=1,B775=132,B775=138),"Airports",D775)</f>
        <v>Queens</v>
      </c>
    </row>
    <row r="776" spans="1:6">
      <c r="A776" s="33">
        <v>42064</v>
      </c>
      <c r="B776">
        <v>259</v>
      </c>
      <c r="C776">
        <v>510</v>
      </c>
      <c r="D776" t="str">
        <f>VLOOKUP(B776,ZoneTable,2,FALSE)</f>
        <v>Bronx</v>
      </c>
      <c r="E776" t="str">
        <f>VLOOKUP(B776,ZoneTable,3,FALSE)</f>
        <v>Woodlawn/Wakefield</v>
      </c>
      <c r="F776" t="str">
        <f>IF(OR(B776=1,B776=132,B776=138),"Airports",D776)</f>
        <v>Bronx</v>
      </c>
    </row>
    <row r="777" spans="1:6">
      <c r="A777" s="33">
        <v>42064</v>
      </c>
      <c r="B777">
        <v>260</v>
      </c>
      <c r="C777">
        <v>3231</v>
      </c>
      <c r="D777" t="str">
        <f>VLOOKUP(B777,ZoneTable,2,FALSE)</f>
        <v>Queens</v>
      </c>
      <c r="E777" t="str">
        <f>VLOOKUP(B777,ZoneTable,3,FALSE)</f>
        <v>Woodside</v>
      </c>
      <c r="F777" t="str">
        <f>IF(OR(B777=1,B777=132,B777=138),"Airports",D777)</f>
        <v>Queens</v>
      </c>
    </row>
    <row r="778" spans="1:6">
      <c r="A778" s="33">
        <v>42064</v>
      </c>
      <c r="B778">
        <v>261</v>
      </c>
      <c r="C778">
        <v>10548</v>
      </c>
      <c r="D778" t="str">
        <f>VLOOKUP(B778,ZoneTable,2,FALSE)</f>
        <v>Manhattan</v>
      </c>
      <c r="E778" t="str">
        <f>VLOOKUP(B778,ZoneTable,3,FALSE)</f>
        <v>World Trade Center</v>
      </c>
      <c r="F778" t="str">
        <f>IF(OR(B778=1,B778=132,B778=138),"Airports",D778)</f>
        <v>Manhattan</v>
      </c>
    </row>
    <row r="779" spans="1:6">
      <c r="A779" s="33">
        <v>42064</v>
      </c>
      <c r="B779">
        <v>262</v>
      </c>
      <c r="C779">
        <v>16655</v>
      </c>
      <c r="D779" t="str">
        <f>VLOOKUP(B779,ZoneTable,2,FALSE)</f>
        <v>Manhattan</v>
      </c>
      <c r="E779" t="str">
        <f>VLOOKUP(B779,ZoneTable,3,FALSE)</f>
        <v>Yorkville East</v>
      </c>
      <c r="F779" t="str">
        <f>IF(OR(B779=1,B779=132,B779=138),"Airports",D779)</f>
        <v>Manhattan</v>
      </c>
    </row>
    <row r="780" spans="1:6">
      <c r="A780" s="33">
        <v>42064</v>
      </c>
      <c r="B780">
        <v>263</v>
      </c>
      <c r="C780">
        <v>20989</v>
      </c>
      <c r="D780" t="str">
        <f>VLOOKUP(B780,ZoneTable,2,FALSE)</f>
        <v>Manhattan</v>
      </c>
      <c r="E780" t="str">
        <f>VLOOKUP(B780,ZoneTable,3,FALSE)</f>
        <v>Yorkville West</v>
      </c>
      <c r="F780" t="str">
        <f>IF(OR(B780=1,B780=132,B780=138),"Airports",D780)</f>
        <v>Manhattan</v>
      </c>
    </row>
    <row r="781" spans="1:6">
      <c r="A781" s="33">
        <v>42064</v>
      </c>
      <c r="B781">
        <v>264</v>
      </c>
      <c r="C781">
        <v>1</v>
      </c>
      <c r="D781" t="str">
        <f>VLOOKUP(B781,ZoneTable,2,FALSE)</f>
        <v>Unknown</v>
      </c>
      <c r="E781" t="str">
        <f>VLOOKUP(B781,ZoneTable,3,FALSE)</f>
        <v>Unknown</v>
      </c>
      <c r="F781" t="str">
        <f>IF(OR(B781=1,B781=132,B781=138),"Airports",D781)</f>
        <v>Unknown</v>
      </c>
    </row>
    <row r="782" spans="1:6">
      <c r="A782" s="33">
        <v>42064</v>
      </c>
      <c r="B782">
        <v>265</v>
      </c>
      <c r="C782">
        <v>939</v>
      </c>
      <c r="D782" t="str">
        <f>VLOOKUP(B782,ZoneTable,2,FALSE)</f>
        <v>Unknown</v>
      </c>
      <c r="E782" t="str">
        <f>VLOOKUP(B782,ZoneTable,3,FALSE)</f>
        <v>Unknown</v>
      </c>
      <c r="F782" t="str">
        <f>IF(OR(B782=1,B782=132,B782=138),"Airports",D782)</f>
        <v>Unknown</v>
      </c>
    </row>
    <row r="783" spans="1:6">
      <c r="A783" s="33">
        <v>42095</v>
      </c>
      <c r="B783">
        <v>1</v>
      </c>
      <c r="C783">
        <v>10</v>
      </c>
      <c r="D783" t="str">
        <f>VLOOKUP(B783,ZoneTable,2,FALSE)</f>
        <v>EWR</v>
      </c>
      <c r="E783" t="str">
        <f>VLOOKUP(B783,ZoneTable,3,FALSE)</f>
        <v>Newark Airport</v>
      </c>
      <c r="F783" t="str">
        <f>IF(OR(B783=1,B783=132,B783=138),"Airports",D783)</f>
        <v>Airports</v>
      </c>
    </row>
    <row r="784" spans="1:6">
      <c r="A784" s="33">
        <v>42095</v>
      </c>
      <c r="B784">
        <v>2</v>
      </c>
      <c r="C784">
        <v>3</v>
      </c>
      <c r="D784" t="str">
        <f>VLOOKUP(B784,ZoneTable,2,FALSE)</f>
        <v>Queens</v>
      </c>
      <c r="E784" t="str">
        <f>VLOOKUP(B784,ZoneTable,3,FALSE)</f>
        <v>Jamaica Bay</v>
      </c>
      <c r="F784" t="str">
        <f>IF(OR(B784=1,B784=132,B784=138),"Airports",D784)</f>
        <v>Queens</v>
      </c>
    </row>
    <row r="785" spans="1:6">
      <c r="A785" s="33">
        <v>42095</v>
      </c>
      <c r="B785">
        <v>3</v>
      </c>
      <c r="C785">
        <v>544</v>
      </c>
      <c r="D785" t="str">
        <f>VLOOKUP(B785,ZoneTable,2,FALSE)</f>
        <v>Bronx</v>
      </c>
      <c r="E785" t="str">
        <f>VLOOKUP(B785,ZoneTable,3,FALSE)</f>
        <v>Allerton/Pelham Gardens</v>
      </c>
      <c r="F785" t="str">
        <f>IF(OR(B785=1,B785=132,B785=138),"Airports",D785)</f>
        <v>Bronx</v>
      </c>
    </row>
    <row r="786" spans="1:6">
      <c r="A786" s="33">
        <v>42095</v>
      </c>
      <c r="B786">
        <v>4</v>
      </c>
      <c r="C786">
        <v>14394</v>
      </c>
      <c r="D786" t="str">
        <f>VLOOKUP(B786,ZoneTable,2,FALSE)</f>
        <v>Manhattan</v>
      </c>
      <c r="E786" t="str">
        <f>VLOOKUP(B786,ZoneTable,3,FALSE)</f>
        <v>Alphabet City</v>
      </c>
      <c r="F786" t="str">
        <f>IF(OR(B786=1,B786=132,B786=138),"Airports",D786)</f>
        <v>Manhattan</v>
      </c>
    </row>
    <row r="787" spans="1:6">
      <c r="A787" s="33">
        <v>42095</v>
      </c>
      <c r="B787">
        <v>5</v>
      </c>
      <c r="C787">
        <v>5</v>
      </c>
      <c r="D787" t="str">
        <f>VLOOKUP(B787,ZoneTable,2,FALSE)</f>
        <v>Staten Island</v>
      </c>
      <c r="E787" t="str">
        <f>VLOOKUP(B787,ZoneTable,3,FALSE)</f>
        <v>Arden Heights</v>
      </c>
      <c r="F787" t="str">
        <f>IF(OR(B787=1,B787=132,B787=138),"Airports",D787)</f>
        <v>Staten Island</v>
      </c>
    </row>
    <row r="788" spans="1:6">
      <c r="A788" s="33">
        <v>42095</v>
      </c>
      <c r="B788">
        <v>6</v>
      </c>
      <c r="C788">
        <v>112</v>
      </c>
      <c r="D788" t="str">
        <f>VLOOKUP(B788,ZoneTable,2,FALSE)</f>
        <v>Staten Island</v>
      </c>
      <c r="E788" t="str">
        <f>VLOOKUP(B788,ZoneTable,3,FALSE)</f>
        <v>Arrochar/Fort Wadsworth</v>
      </c>
      <c r="F788" t="str">
        <f>IF(OR(B788=1,B788=132,B788=138),"Airports",D788)</f>
        <v>Staten Island</v>
      </c>
    </row>
    <row r="789" spans="1:6">
      <c r="A789" s="33">
        <v>42095</v>
      </c>
      <c r="B789">
        <v>7</v>
      </c>
      <c r="C789">
        <v>14355</v>
      </c>
      <c r="D789" t="str">
        <f>VLOOKUP(B789,ZoneTable,2,FALSE)</f>
        <v>Queens</v>
      </c>
      <c r="E789" t="str">
        <f>VLOOKUP(B789,ZoneTable,3,FALSE)</f>
        <v>Astoria</v>
      </c>
      <c r="F789" t="str">
        <f>IF(OR(B789=1,B789=132,B789=138),"Airports",D789)</f>
        <v>Queens</v>
      </c>
    </row>
    <row r="790" spans="1:6">
      <c r="A790" s="33">
        <v>42095</v>
      </c>
      <c r="B790">
        <v>8</v>
      </c>
      <c r="C790">
        <v>60</v>
      </c>
      <c r="D790" t="str">
        <f>VLOOKUP(B790,ZoneTable,2,FALSE)</f>
        <v>Queens</v>
      </c>
      <c r="E790" t="str">
        <f>VLOOKUP(B790,ZoneTable,3,FALSE)</f>
        <v>Astoria Park</v>
      </c>
      <c r="F790" t="str">
        <f>IF(OR(B790=1,B790=132,B790=138),"Airports",D790)</f>
        <v>Queens</v>
      </c>
    </row>
    <row r="791" spans="1:6">
      <c r="A791" s="33">
        <v>42095</v>
      </c>
      <c r="B791">
        <v>9</v>
      </c>
      <c r="C791">
        <v>497</v>
      </c>
      <c r="D791" t="str">
        <f>VLOOKUP(B791,ZoneTable,2,FALSE)</f>
        <v>Queens</v>
      </c>
      <c r="E791" t="str">
        <f>VLOOKUP(B791,ZoneTable,3,FALSE)</f>
        <v>Auburndale</v>
      </c>
      <c r="F791" t="str">
        <f>IF(OR(B791=1,B791=132,B791=138),"Airports",D791)</f>
        <v>Queens</v>
      </c>
    </row>
    <row r="792" spans="1:6">
      <c r="A792" s="33">
        <v>42095</v>
      </c>
      <c r="B792">
        <v>10</v>
      </c>
      <c r="C792">
        <v>1085</v>
      </c>
      <c r="D792" t="str">
        <f>VLOOKUP(B792,ZoneTable,2,FALSE)</f>
        <v>Queens</v>
      </c>
      <c r="E792" t="str">
        <f>VLOOKUP(B792,ZoneTable,3,FALSE)</f>
        <v>Baisley Park</v>
      </c>
      <c r="F792" t="str">
        <f>IF(OR(B792=1,B792=132,B792=138),"Airports",D792)</f>
        <v>Queens</v>
      </c>
    </row>
    <row r="793" spans="1:6">
      <c r="A793" s="33">
        <v>42095</v>
      </c>
      <c r="B793">
        <v>11</v>
      </c>
      <c r="C793">
        <v>619</v>
      </c>
      <c r="D793" t="str">
        <f>VLOOKUP(B793,ZoneTable,2,FALSE)</f>
        <v>Brooklyn</v>
      </c>
      <c r="E793" t="str">
        <f>VLOOKUP(B793,ZoneTable,3,FALSE)</f>
        <v>Bath Beach</v>
      </c>
      <c r="F793" t="str">
        <f>IF(OR(B793=1,B793=132,B793=138),"Airports",D793)</f>
        <v>Brooklyn</v>
      </c>
    </row>
    <row r="794" spans="1:6">
      <c r="A794" s="33">
        <v>42095</v>
      </c>
      <c r="B794">
        <v>12</v>
      </c>
      <c r="C794">
        <v>416</v>
      </c>
      <c r="D794" t="str">
        <f>VLOOKUP(B794,ZoneTable,2,FALSE)</f>
        <v>Manhattan</v>
      </c>
      <c r="E794" t="str">
        <f>VLOOKUP(B794,ZoneTable,3,FALSE)</f>
        <v>Battery Park</v>
      </c>
      <c r="F794" t="str">
        <f>IF(OR(B794=1,B794=132,B794=138),"Airports",D794)</f>
        <v>Manhattan</v>
      </c>
    </row>
    <row r="795" spans="1:6">
      <c r="A795" s="33">
        <v>42095</v>
      </c>
      <c r="B795">
        <v>13</v>
      </c>
      <c r="C795">
        <v>22775</v>
      </c>
      <c r="D795" t="str">
        <f>VLOOKUP(B795,ZoneTable,2,FALSE)</f>
        <v>Manhattan</v>
      </c>
      <c r="E795" t="str">
        <f>VLOOKUP(B795,ZoneTable,3,FALSE)</f>
        <v>Battery Park City</v>
      </c>
      <c r="F795" t="str">
        <f>IF(OR(B795=1,B795=132,B795=138),"Airports",D795)</f>
        <v>Manhattan</v>
      </c>
    </row>
    <row r="796" spans="1:6">
      <c r="A796" s="33">
        <v>42095</v>
      </c>
      <c r="B796">
        <v>14</v>
      </c>
      <c r="C796">
        <v>6066</v>
      </c>
      <c r="D796" t="str">
        <f>VLOOKUP(B796,ZoneTable,2,FALSE)</f>
        <v>Brooklyn</v>
      </c>
      <c r="E796" t="str">
        <f>VLOOKUP(B796,ZoneTable,3,FALSE)</f>
        <v>Bay Ridge</v>
      </c>
      <c r="F796" t="str">
        <f>IF(OR(B796=1,B796=132,B796=138),"Airports",D796)</f>
        <v>Brooklyn</v>
      </c>
    </row>
    <row r="797" spans="1:6">
      <c r="A797" s="33">
        <v>42095</v>
      </c>
      <c r="B797">
        <v>15</v>
      </c>
      <c r="C797">
        <v>503</v>
      </c>
      <c r="D797" t="str">
        <f>VLOOKUP(B797,ZoneTable,2,FALSE)</f>
        <v>Queens</v>
      </c>
      <c r="E797" t="str">
        <f>VLOOKUP(B797,ZoneTable,3,FALSE)</f>
        <v>Bay Terrace/Fort Totten</v>
      </c>
      <c r="F797" t="str">
        <f>IF(OR(B797=1,B797=132,B797=138),"Airports",D797)</f>
        <v>Queens</v>
      </c>
    </row>
    <row r="798" spans="1:6">
      <c r="A798" s="33">
        <v>42095</v>
      </c>
      <c r="B798">
        <v>16</v>
      </c>
      <c r="C798">
        <v>1439</v>
      </c>
      <c r="D798" t="str">
        <f>VLOOKUP(B798,ZoneTable,2,FALSE)</f>
        <v>Queens</v>
      </c>
      <c r="E798" t="str">
        <f>VLOOKUP(B798,ZoneTable,3,FALSE)</f>
        <v>Bayside</v>
      </c>
      <c r="F798" t="str">
        <f>IF(OR(B798=1,B798=132,B798=138),"Airports",D798)</f>
        <v>Queens</v>
      </c>
    </row>
    <row r="799" spans="1:6">
      <c r="A799" s="33">
        <v>42095</v>
      </c>
      <c r="B799">
        <v>17</v>
      </c>
      <c r="C799">
        <v>12564</v>
      </c>
      <c r="D799" t="str">
        <f>VLOOKUP(B799,ZoneTable,2,FALSE)</f>
        <v>Brooklyn</v>
      </c>
      <c r="E799" t="str">
        <f>VLOOKUP(B799,ZoneTable,3,FALSE)</f>
        <v>Bedford</v>
      </c>
      <c r="F799" t="str">
        <f>IF(OR(B799=1,B799=132,B799=138),"Airports",D799)</f>
        <v>Brooklyn</v>
      </c>
    </row>
    <row r="800" spans="1:6">
      <c r="A800" s="33">
        <v>42095</v>
      </c>
      <c r="B800">
        <v>18</v>
      </c>
      <c r="C800">
        <v>967</v>
      </c>
      <c r="D800" t="str">
        <f>VLOOKUP(B800,ZoneTable,2,FALSE)</f>
        <v>Bronx</v>
      </c>
      <c r="E800" t="str">
        <f>VLOOKUP(B800,ZoneTable,3,FALSE)</f>
        <v>Bedford Park</v>
      </c>
      <c r="F800" t="str">
        <f>IF(OR(B800=1,B800=132,B800=138),"Airports",D800)</f>
        <v>Bronx</v>
      </c>
    </row>
    <row r="801" spans="1:6">
      <c r="A801" s="33">
        <v>42095</v>
      </c>
      <c r="B801">
        <v>19</v>
      </c>
      <c r="C801">
        <v>489</v>
      </c>
      <c r="D801" t="str">
        <f>VLOOKUP(B801,ZoneTable,2,FALSE)</f>
        <v>Queens</v>
      </c>
      <c r="E801" t="str">
        <f>VLOOKUP(B801,ZoneTable,3,FALSE)</f>
        <v>Bellerose</v>
      </c>
      <c r="F801" t="str">
        <f>IF(OR(B801=1,B801=132,B801=138),"Airports",D801)</f>
        <v>Queens</v>
      </c>
    </row>
    <row r="802" spans="1:6">
      <c r="A802" s="33">
        <v>42095</v>
      </c>
      <c r="B802">
        <v>20</v>
      </c>
      <c r="C802">
        <v>1538</v>
      </c>
      <c r="D802" t="str">
        <f>VLOOKUP(B802,ZoneTable,2,FALSE)</f>
        <v>Bronx</v>
      </c>
      <c r="E802" t="str">
        <f>VLOOKUP(B802,ZoneTable,3,FALSE)</f>
        <v>Belmont</v>
      </c>
      <c r="F802" t="str">
        <f>IF(OR(B802=1,B802=132,B802=138),"Airports",D802)</f>
        <v>Bronx</v>
      </c>
    </row>
    <row r="803" spans="1:6">
      <c r="A803" s="33">
        <v>42095</v>
      </c>
      <c r="B803">
        <v>21</v>
      </c>
      <c r="C803">
        <v>1310</v>
      </c>
      <c r="D803" t="str">
        <f>VLOOKUP(B803,ZoneTable,2,FALSE)</f>
        <v>Brooklyn</v>
      </c>
      <c r="E803" t="str">
        <f>VLOOKUP(B803,ZoneTable,3,FALSE)</f>
        <v>Bensonhurst East</v>
      </c>
      <c r="F803" t="str">
        <f>IF(OR(B803=1,B803=132,B803=138),"Airports",D803)</f>
        <v>Brooklyn</v>
      </c>
    </row>
    <row r="804" spans="1:6">
      <c r="A804" s="33">
        <v>42095</v>
      </c>
      <c r="B804">
        <v>22</v>
      </c>
      <c r="C804">
        <v>1740</v>
      </c>
      <c r="D804" t="str">
        <f>VLOOKUP(B804,ZoneTable,2,FALSE)</f>
        <v>Brooklyn</v>
      </c>
      <c r="E804" t="str">
        <f>VLOOKUP(B804,ZoneTable,3,FALSE)</f>
        <v>Bensonhurst West</v>
      </c>
      <c r="F804" t="str">
        <f>IF(OR(B804=1,B804=132,B804=138),"Airports",D804)</f>
        <v>Brooklyn</v>
      </c>
    </row>
    <row r="805" spans="1:6">
      <c r="A805" s="33">
        <v>42095</v>
      </c>
      <c r="B805">
        <v>23</v>
      </c>
      <c r="C805">
        <v>174</v>
      </c>
      <c r="D805" t="str">
        <f>VLOOKUP(B805,ZoneTable,2,FALSE)</f>
        <v>Staten Island</v>
      </c>
      <c r="E805" t="str">
        <f>VLOOKUP(B805,ZoneTable,3,FALSE)</f>
        <v>Bloomfield/Emerson Hill</v>
      </c>
      <c r="F805" t="str">
        <f>IF(OR(B805=1,B805=132,B805=138),"Airports",D805)</f>
        <v>Staten Island</v>
      </c>
    </row>
    <row r="806" spans="1:6">
      <c r="A806" s="33">
        <v>42095</v>
      </c>
      <c r="B806">
        <v>24</v>
      </c>
      <c r="C806">
        <v>3899</v>
      </c>
      <c r="D806" t="str">
        <f>VLOOKUP(B806,ZoneTable,2,FALSE)</f>
        <v>Manhattan</v>
      </c>
      <c r="E806" t="str">
        <f>VLOOKUP(B806,ZoneTable,3,FALSE)</f>
        <v>Bloomingdale</v>
      </c>
      <c r="F806" t="str">
        <f>IF(OR(B806=1,B806=132,B806=138),"Airports",D806)</f>
        <v>Manhattan</v>
      </c>
    </row>
    <row r="807" spans="1:6">
      <c r="A807" s="33">
        <v>42095</v>
      </c>
      <c r="B807">
        <v>25</v>
      </c>
      <c r="C807">
        <v>11176</v>
      </c>
      <c r="D807" t="str">
        <f>VLOOKUP(B807,ZoneTable,2,FALSE)</f>
        <v>Brooklyn</v>
      </c>
      <c r="E807" t="str">
        <f>VLOOKUP(B807,ZoneTable,3,FALSE)</f>
        <v>Boerum Hill</v>
      </c>
      <c r="F807" t="str">
        <f>IF(OR(B807=1,B807=132,B807=138),"Airports",D807)</f>
        <v>Brooklyn</v>
      </c>
    </row>
    <row r="808" spans="1:6">
      <c r="A808" s="33">
        <v>42095</v>
      </c>
      <c r="B808">
        <v>26</v>
      </c>
      <c r="C808">
        <v>2383</v>
      </c>
      <c r="D808" t="str">
        <f>VLOOKUP(B808,ZoneTable,2,FALSE)</f>
        <v>Brooklyn</v>
      </c>
      <c r="E808" t="str">
        <f>VLOOKUP(B808,ZoneTable,3,FALSE)</f>
        <v>Borough Park</v>
      </c>
      <c r="F808" t="str">
        <f>IF(OR(B808=1,B808=132,B808=138),"Airports",D808)</f>
        <v>Brooklyn</v>
      </c>
    </row>
    <row r="809" spans="1:6">
      <c r="A809" s="33">
        <v>42095</v>
      </c>
      <c r="B809">
        <v>27</v>
      </c>
      <c r="C809">
        <v>9</v>
      </c>
      <c r="D809" t="str">
        <f>VLOOKUP(B809,ZoneTable,2,FALSE)</f>
        <v>Queens</v>
      </c>
      <c r="E809" t="str">
        <f>VLOOKUP(B809,ZoneTable,3,FALSE)</f>
        <v>Breezy Point/Fort Tilden/Riis Beach</v>
      </c>
      <c r="F809" t="str">
        <f>IF(OR(B809=1,B809=132,B809=138),"Airports",D809)</f>
        <v>Queens</v>
      </c>
    </row>
    <row r="810" spans="1:6">
      <c r="A810" s="33">
        <v>42095</v>
      </c>
      <c r="B810">
        <v>28</v>
      </c>
      <c r="C810">
        <v>2014</v>
      </c>
      <c r="D810" t="str">
        <f>VLOOKUP(B810,ZoneTable,2,FALSE)</f>
        <v>Queens</v>
      </c>
      <c r="E810" t="str">
        <f>VLOOKUP(B810,ZoneTable,3,FALSE)</f>
        <v>Briarwood/Jamaica Hills</v>
      </c>
      <c r="F810" t="str">
        <f>IF(OR(B810=1,B810=132,B810=138),"Airports",D810)</f>
        <v>Queens</v>
      </c>
    </row>
    <row r="811" spans="1:6">
      <c r="A811" s="33">
        <v>42095</v>
      </c>
      <c r="B811">
        <v>29</v>
      </c>
      <c r="C811">
        <v>673</v>
      </c>
      <c r="D811" t="str">
        <f>VLOOKUP(B811,ZoneTable,2,FALSE)</f>
        <v>Brooklyn</v>
      </c>
      <c r="E811" t="str">
        <f>VLOOKUP(B811,ZoneTable,3,FALSE)</f>
        <v>Brighton Beach</v>
      </c>
      <c r="F811" t="str">
        <f>IF(OR(B811=1,B811=132,B811=138),"Airports",D811)</f>
        <v>Brooklyn</v>
      </c>
    </row>
    <row r="812" spans="1:6">
      <c r="A812" s="33">
        <v>42095</v>
      </c>
      <c r="B812">
        <v>30</v>
      </c>
      <c r="C812">
        <v>7</v>
      </c>
      <c r="D812" t="str">
        <f>VLOOKUP(B812,ZoneTable,2,FALSE)</f>
        <v>Queens</v>
      </c>
      <c r="E812" t="str">
        <f>VLOOKUP(B812,ZoneTable,3,FALSE)</f>
        <v>Broad Channel</v>
      </c>
      <c r="F812" t="str">
        <f>IF(OR(B812=1,B812=132,B812=138),"Airports",D812)</f>
        <v>Queens</v>
      </c>
    </row>
    <row r="813" spans="1:6">
      <c r="A813" s="33">
        <v>42095</v>
      </c>
      <c r="B813">
        <v>31</v>
      </c>
      <c r="C813">
        <v>442</v>
      </c>
      <c r="D813" t="str">
        <f>VLOOKUP(B813,ZoneTable,2,FALSE)</f>
        <v>Bronx</v>
      </c>
      <c r="E813" t="str">
        <f>VLOOKUP(B813,ZoneTable,3,FALSE)</f>
        <v>Bronx Park</v>
      </c>
      <c r="F813" t="str">
        <f>IF(OR(B813=1,B813=132,B813=138),"Airports",D813)</f>
        <v>Bronx</v>
      </c>
    </row>
    <row r="814" spans="1:6">
      <c r="A814" s="33">
        <v>42095</v>
      </c>
      <c r="B814">
        <v>32</v>
      </c>
      <c r="C814">
        <v>635</v>
      </c>
      <c r="D814" t="str">
        <f>VLOOKUP(B814,ZoneTable,2,FALSE)</f>
        <v>Bronx</v>
      </c>
      <c r="E814" t="str">
        <f>VLOOKUP(B814,ZoneTable,3,FALSE)</f>
        <v>Bronxdale</v>
      </c>
      <c r="F814" t="str">
        <f>IF(OR(B814=1,B814=132,B814=138),"Airports",D814)</f>
        <v>Bronx</v>
      </c>
    </row>
    <row r="815" spans="1:6">
      <c r="A815" s="33">
        <v>42095</v>
      </c>
      <c r="B815">
        <v>33</v>
      </c>
      <c r="C815">
        <v>12675</v>
      </c>
      <c r="D815" t="str">
        <f>VLOOKUP(B815,ZoneTable,2,FALSE)</f>
        <v>Brooklyn</v>
      </c>
      <c r="E815" t="str">
        <f>VLOOKUP(B815,ZoneTable,3,FALSE)</f>
        <v>Brooklyn Heights</v>
      </c>
      <c r="F815" t="str">
        <f>IF(OR(B815=1,B815=132,B815=138),"Airports",D815)</f>
        <v>Brooklyn</v>
      </c>
    </row>
    <row r="816" spans="1:6">
      <c r="A816" s="33">
        <v>42095</v>
      </c>
      <c r="B816">
        <v>34</v>
      </c>
      <c r="C816">
        <v>1747</v>
      </c>
      <c r="D816" t="str">
        <f>VLOOKUP(B816,ZoneTable,2,FALSE)</f>
        <v>Brooklyn</v>
      </c>
      <c r="E816" t="str">
        <f>VLOOKUP(B816,ZoneTable,3,FALSE)</f>
        <v>Brooklyn Navy Yard</v>
      </c>
      <c r="F816" t="str">
        <f>IF(OR(B816=1,B816=132,B816=138),"Airports",D816)</f>
        <v>Brooklyn</v>
      </c>
    </row>
    <row r="817" spans="1:6">
      <c r="A817" s="33">
        <v>42095</v>
      </c>
      <c r="B817">
        <v>35</v>
      </c>
      <c r="C817">
        <v>1714</v>
      </c>
      <c r="D817" t="str">
        <f>VLOOKUP(B817,ZoneTable,2,FALSE)</f>
        <v>Brooklyn</v>
      </c>
      <c r="E817" t="str">
        <f>VLOOKUP(B817,ZoneTable,3,FALSE)</f>
        <v>Brownsville</v>
      </c>
      <c r="F817" t="str">
        <f>IF(OR(B817=1,B817=132,B817=138),"Airports",D817)</f>
        <v>Brooklyn</v>
      </c>
    </row>
    <row r="818" spans="1:6">
      <c r="A818" s="33">
        <v>42095</v>
      </c>
      <c r="B818">
        <v>36</v>
      </c>
      <c r="C818">
        <v>12587</v>
      </c>
      <c r="D818" t="str">
        <f>VLOOKUP(B818,ZoneTable,2,FALSE)</f>
        <v>Brooklyn</v>
      </c>
      <c r="E818" t="str">
        <f>VLOOKUP(B818,ZoneTable,3,FALSE)</f>
        <v>Bushwick North</v>
      </c>
      <c r="F818" t="str">
        <f>IF(OR(B818=1,B818=132,B818=138),"Airports",D818)</f>
        <v>Brooklyn</v>
      </c>
    </row>
    <row r="819" spans="1:6">
      <c r="A819" s="33">
        <v>42095</v>
      </c>
      <c r="B819">
        <v>37</v>
      </c>
      <c r="C819">
        <v>17057</v>
      </c>
      <c r="D819" t="str">
        <f>VLOOKUP(B819,ZoneTable,2,FALSE)</f>
        <v>Brooklyn</v>
      </c>
      <c r="E819" t="str">
        <f>VLOOKUP(B819,ZoneTable,3,FALSE)</f>
        <v>Bushwick South</v>
      </c>
      <c r="F819" t="str">
        <f>IF(OR(B819=1,B819=132,B819=138),"Airports",D819)</f>
        <v>Brooklyn</v>
      </c>
    </row>
    <row r="820" spans="1:6">
      <c r="A820" s="33">
        <v>42095</v>
      </c>
      <c r="B820">
        <v>38</v>
      </c>
      <c r="C820">
        <v>311</v>
      </c>
      <c r="D820" t="str">
        <f>VLOOKUP(B820,ZoneTable,2,FALSE)</f>
        <v>Queens</v>
      </c>
      <c r="E820" t="str">
        <f>VLOOKUP(B820,ZoneTable,3,FALSE)</f>
        <v>Cambria Heights</v>
      </c>
      <c r="F820" t="str">
        <f>IF(OR(B820=1,B820=132,B820=138),"Airports",D820)</f>
        <v>Queens</v>
      </c>
    </row>
    <row r="821" spans="1:6">
      <c r="A821" s="33">
        <v>42095</v>
      </c>
      <c r="B821">
        <v>39</v>
      </c>
      <c r="C821">
        <v>2525</v>
      </c>
      <c r="D821" t="str">
        <f>VLOOKUP(B821,ZoneTable,2,FALSE)</f>
        <v>Brooklyn</v>
      </c>
      <c r="E821" t="str">
        <f>VLOOKUP(B821,ZoneTable,3,FALSE)</f>
        <v>Canarsie</v>
      </c>
      <c r="F821" t="str">
        <f>IF(OR(B821=1,B821=132,B821=138),"Airports",D821)</f>
        <v>Brooklyn</v>
      </c>
    </row>
    <row r="822" spans="1:6">
      <c r="A822" s="33">
        <v>42095</v>
      </c>
      <c r="B822">
        <v>40</v>
      </c>
      <c r="C822">
        <v>6713</v>
      </c>
      <c r="D822" t="str">
        <f>VLOOKUP(B822,ZoneTable,2,FALSE)</f>
        <v>Brooklyn</v>
      </c>
      <c r="E822" t="str">
        <f>VLOOKUP(B822,ZoneTable,3,FALSE)</f>
        <v>Carroll Gardens</v>
      </c>
      <c r="F822" t="str">
        <f>IF(OR(B822=1,B822=132,B822=138),"Airports",D822)</f>
        <v>Brooklyn</v>
      </c>
    </row>
    <row r="823" spans="1:6">
      <c r="A823" s="33">
        <v>42095</v>
      </c>
      <c r="B823">
        <v>41</v>
      </c>
      <c r="C823">
        <v>10440</v>
      </c>
      <c r="D823" t="str">
        <f>VLOOKUP(B823,ZoneTable,2,FALSE)</f>
        <v>Manhattan</v>
      </c>
      <c r="E823" t="str">
        <f>VLOOKUP(B823,ZoneTable,3,FALSE)</f>
        <v>Central Harlem</v>
      </c>
      <c r="F823" t="str">
        <f>IF(OR(B823=1,B823=132,B823=138),"Airports",D823)</f>
        <v>Manhattan</v>
      </c>
    </row>
    <row r="824" spans="1:6">
      <c r="A824" s="33">
        <v>42095</v>
      </c>
      <c r="B824">
        <v>42</v>
      </c>
      <c r="C824">
        <v>9794</v>
      </c>
      <c r="D824" t="str">
        <f>VLOOKUP(B824,ZoneTable,2,FALSE)</f>
        <v>Manhattan</v>
      </c>
      <c r="E824" t="str">
        <f>VLOOKUP(B824,ZoneTable,3,FALSE)</f>
        <v>Central Harlem North</v>
      </c>
      <c r="F824" t="str">
        <f>IF(OR(B824=1,B824=132,B824=138),"Airports",D824)</f>
        <v>Manhattan</v>
      </c>
    </row>
    <row r="825" spans="1:6">
      <c r="A825" s="33">
        <v>42095</v>
      </c>
      <c r="B825">
        <v>43</v>
      </c>
      <c r="C825">
        <v>7644</v>
      </c>
      <c r="D825" t="str">
        <f>VLOOKUP(B825,ZoneTable,2,FALSE)</f>
        <v>Manhattan</v>
      </c>
      <c r="E825" t="str">
        <f>VLOOKUP(B825,ZoneTable,3,FALSE)</f>
        <v>Central Park</v>
      </c>
      <c r="F825" t="str">
        <f>IF(OR(B825=1,B825=132,B825=138),"Airports",D825)</f>
        <v>Manhattan</v>
      </c>
    </row>
    <row r="826" spans="1:6">
      <c r="A826" s="33">
        <v>42095</v>
      </c>
      <c r="B826">
        <v>44</v>
      </c>
      <c r="C826">
        <v>8</v>
      </c>
      <c r="D826" t="str">
        <f>VLOOKUP(B826,ZoneTable,2,FALSE)</f>
        <v>Staten Island</v>
      </c>
      <c r="E826" t="str">
        <f>VLOOKUP(B826,ZoneTable,3,FALSE)</f>
        <v>Charleston/Tottenville</v>
      </c>
      <c r="F826" t="str">
        <f>IF(OR(B826=1,B826=132,B826=138),"Airports",D826)</f>
        <v>Staten Island</v>
      </c>
    </row>
    <row r="827" spans="1:6">
      <c r="A827" s="33">
        <v>42095</v>
      </c>
      <c r="B827">
        <v>45</v>
      </c>
      <c r="C827">
        <v>6959</v>
      </c>
      <c r="D827" t="str">
        <f>VLOOKUP(B827,ZoneTable,2,FALSE)</f>
        <v>Manhattan</v>
      </c>
      <c r="E827" t="str">
        <f>VLOOKUP(B827,ZoneTable,3,FALSE)</f>
        <v>Chinatown</v>
      </c>
      <c r="F827" t="str">
        <f>IF(OR(B827=1,B827=132,B827=138),"Airports",D827)</f>
        <v>Manhattan</v>
      </c>
    </row>
    <row r="828" spans="1:6">
      <c r="A828" s="33">
        <v>42095</v>
      </c>
      <c r="B828">
        <v>46</v>
      </c>
      <c r="C828">
        <v>42</v>
      </c>
      <c r="D828" t="str">
        <f>VLOOKUP(B828,ZoneTable,2,FALSE)</f>
        <v>Bronx</v>
      </c>
      <c r="E828" t="str">
        <f>VLOOKUP(B828,ZoneTable,3,FALSE)</f>
        <v>City Island</v>
      </c>
      <c r="F828" t="str">
        <f>IF(OR(B828=1,B828=132,B828=138),"Airports",D828)</f>
        <v>Bronx</v>
      </c>
    </row>
    <row r="829" spans="1:6">
      <c r="A829" s="33">
        <v>42095</v>
      </c>
      <c r="B829">
        <v>47</v>
      </c>
      <c r="C829">
        <v>683</v>
      </c>
      <c r="D829" t="str">
        <f>VLOOKUP(B829,ZoneTable,2,FALSE)</f>
        <v>Bronx</v>
      </c>
      <c r="E829" t="str">
        <f>VLOOKUP(B829,ZoneTable,3,FALSE)</f>
        <v>Claremont/Bathgate</v>
      </c>
      <c r="F829" t="str">
        <f>IF(OR(B829=1,B829=132,B829=138),"Airports",D829)</f>
        <v>Bronx</v>
      </c>
    </row>
    <row r="830" spans="1:6">
      <c r="A830" s="33">
        <v>42095</v>
      </c>
      <c r="B830">
        <v>48</v>
      </c>
      <c r="C830">
        <v>40169</v>
      </c>
      <c r="D830" t="str">
        <f>VLOOKUP(B830,ZoneTable,2,FALSE)</f>
        <v>Manhattan</v>
      </c>
      <c r="E830" t="str">
        <f>VLOOKUP(B830,ZoneTable,3,FALSE)</f>
        <v>Clinton East</v>
      </c>
      <c r="F830" t="str">
        <f>IF(OR(B830=1,B830=132,B830=138),"Airports",D830)</f>
        <v>Manhattan</v>
      </c>
    </row>
    <row r="831" spans="1:6">
      <c r="A831" s="33">
        <v>42095</v>
      </c>
      <c r="B831">
        <v>49</v>
      </c>
      <c r="C831">
        <v>15089</v>
      </c>
      <c r="D831" t="str">
        <f>VLOOKUP(B831,ZoneTable,2,FALSE)</f>
        <v>Brooklyn</v>
      </c>
      <c r="E831" t="str">
        <f>VLOOKUP(B831,ZoneTable,3,FALSE)</f>
        <v>Clinton Hill</v>
      </c>
      <c r="F831" t="str">
        <f>IF(OR(B831=1,B831=132,B831=138),"Airports",D831)</f>
        <v>Brooklyn</v>
      </c>
    </row>
    <row r="832" spans="1:6">
      <c r="A832" s="33">
        <v>42095</v>
      </c>
      <c r="B832">
        <v>50</v>
      </c>
      <c r="C832">
        <v>23451</v>
      </c>
      <c r="D832" t="str">
        <f>VLOOKUP(B832,ZoneTable,2,FALSE)</f>
        <v>Manhattan</v>
      </c>
      <c r="E832" t="str">
        <f>VLOOKUP(B832,ZoneTable,3,FALSE)</f>
        <v>Clinton West</v>
      </c>
      <c r="F832" t="str">
        <f>IF(OR(B832=1,B832=132,B832=138),"Airports",D832)</f>
        <v>Manhattan</v>
      </c>
    </row>
    <row r="833" spans="1:6">
      <c r="A833" s="33">
        <v>42095</v>
      </c>
      <c r="B833">
        <v>51</v>
      </c>
      <c r="C833">
        <v>568</v>
      </c>
      <c r="D833" t="str">
        <f>VLOOKUP(B833,ZoneTable,2,FALSE)</f>
        <v>Bronx</v>
      </c>
      <c r="E833" t="str">
        <f>VLOOKUP(B833,ZoneTable,3,FALSE)</f>
        <v>Co-Op City</v>
      </c>
      <c r="F833" t="str">
        <f>IF(OR(B833=1,B833=132,B833=138),"Airports",D833)</f>
        <v>Bronx</v>
      </c>
    </row>
    <row r="834" spans="1:6">
      <c r="A834" s="33">
        <v>42095</v>
      </c>
      <c r="B834">
        <v>52</v>
      </c>
      <c r="C834">
        <v>4136</v>
      </c>
      <c r="D834" t="str">
        <f>VLOOKUP(B834,ZoneTable,2,FALSE)</f>
        <v>Brooklyn</v>
      </c>
      <c r="E834" t="str">
        <f>VLOOKUP(B834,ZoneTable,3,FALSE)</f>
        <v>Cobble Hill</v>
      </c>
      <c r="F834" t="str">
        <f>IF(OR(B834=1,B834=132,B834=138),"Airports",D834)</f>
        <v>Brooklyn</v>
      </c>
    </row>
    <row r="835" spans="1:6">
      <c r="A835" s="33">
        <v>42095</v>
      </c>
      <c r="B835">
        <v>53</v>
      </c>
      <c r="C835">
        <v>649</v>
      </c>
      <c r="D835" t="str">
        <f>VLOOKUP(B835,ZoneTable,2,FALSE)</f>
        <v>Queens</v>
      </c>
      <c r="E835" t="str">
        <f>VLOOKUP(B835,ZoneTable,3,FALSE)</f>
        <v>College Point</v>
      </c>
      <c r="F835" t="str">
        <f>IF(OR(B835=1,B835=132,B835=138),"Airports",D835)</f>
        <v>Queens</v>
      </c>
    </row>
    <row r="836" spans="1:6">
      <c r="A836" s="33">
        <v>42095</v>
      </c>
      <c r="B836">
        <v>54</v>
      </c>
      <c r="C836">
        <v>1947</v>
      </c>
      <c r="D836" t="str">
        <f>VLOOKUP(B836,ZoneTable,2,FALSE)</f>
        <v>Brooklyn</v>
      </c>
      <c r="E836" t="str">
        <f>VLOOKUP(B836,ZoneTable,3,FALSE)</f>
        <v>Columbia Street</v>
      </c>
      <c r="F836" t="str">
        <f>IF(OR(B836=1,B836=132,B836=138),"Airports",D836)</f>
        <v>Brooklyn</v>
      </c>
    </row>
    <row r="837" spans="1:6">
      <c r="A837" s="33">
        <v>42095</v>
      </c>
      <c r="B837">
        <v>55</v>
      </c>
      <c r="C837">
        <v>693</v>
      </c>
      <c r="D837" t="str">
        <f>VLOOKUP(B837,ZoneTable,2,FALSE)</f>
        <v>Brooklyn</v>
      </c>
      <c r="E837" t="str">
        <f>VLOOKUP(B837,ZoneTable,3,FALSE)</f>
        <v>Coney Island</v>
      </c>
      <c r="F837" t="str">
        <f>IF(OR(B837=1,B837=132,B837=138),"Airports",D837)</f>
        <v>Brooklyn</v>
      </c>
    </row>
    <row r="838" spans="1:6">
      <c r="A838" s="33">
        <v>42095</v>
      </c>
      <c r="B838">
        <v>56</v>
      </c>
      <c r="C838">
        <v>1406</v>
      </c>
      <c r="D838" t="str">
        <f>VLOOKUP(B838,ZoneTable,2,FALSE)</f>
        <v>Queens</v>
      </c>
      <c r="E838" t="str">
        <f>VLOOKUP(B838,ZoneTable,3,FALSE)</f>
        <v>Corona</v>
      </c>
      <c r="F838" t="str">
        <f>IF(OR(B838=1,B838=132,B838=138),"Airports",D838)</f>
        <v>Queens</v>
      </c>
    </row>
    <row r="839" spans="1:6">
      <c r="A839" s="33">
        <v>42095</v>
      </c>
      <c r="B839">
        <v>57</v>
      </c>
      <c r="C839">
        <v>117</v>
      </c>
      <c r="D839" t="str">
        <f>VLOOKUP(B839,ZoneTable,2,FALSE)</f>
        <v>Queens</v>
      </c>
      <c r="E839" t="str">
        <f>VLOOKUP(B839,ZoneTable,3,FALSE)</f>
        <v>Corona</v>
      </c>
      <c r="F839" t="str">
        <f>IF(OR(B839=1,B839=132,B839=138),"Airports",D839)</f>
        <v>Queens</v>
      </c>
    </row>
    <row r="840" spans="1:6">
      <c r="A840" s="33">
        <v>42095</v>
      </c>
      <c r="B840">
        <v>58</v>
      </c>
      <c r="C840">
        <v>125</v>
      </c>
      <c r="D840" t="str">
        <f>VLOOKUP(B840,ZoneTable,2,FALSE)</f>
        <v>Bronx</v>
      </c>
      <c r="E840" t="str">
        <f>VLOOKUP(B840,ZoneTable,3,FALSE)</f>
        <v>Country Club</v>
      </c>
      <c r="F840" t="str">
        <f>IF(OR(B840=1,B840=132,B840=138),"Airports",D840)</f>
        <v>Bronx</v>
      </c>
    </row>
    <row r="841" spans="1:6">
      <c r="A841" s="33">
        <v>42095</v>
      </c>
      <c r="B841">
        <v>59</v>
      </c>
      <c r="C841">
        <v>20</v>
      </c>
      <c r="D841" t="str">
        <f>VLOOKUP(B841,ZoneTable,2,FALSE)</f>
        <v>Bronx</v>
      </c>
      <c r="E841" t="str">
        <f>VLOOKUP(B841,ZoneTable,3,FALSE)</f>
        <v>Crotona Park</v>
      </c>
      <c r="F841" t="str">
        <f>IF(OR(B841=1,B841=132,B841=138),"Airports",D841)</f>
        <v>Bronx</v>
      </c>
    </row>
    <row r="842" spans="1:6">
      <c r="A842" s="33">
        <v>42095</v>
      </c>
      <c r="B842">
        <v>60</v>
      </c>
      <c r="C842">
        <v>421</v>
      </c>
      <c r="D842" t="str">
        <f>VLOOKUP(B842,ZoneTable,2,FALSE)</f>
        <v>Bronx</v>
      </c>
      <c r="E842" t="str">
        <f>VLOOKUP(B842,ZoneTable,3,FALSE)</f>
        <v>Crotona Park East</v>
      </c>
      <c r="F842" t="str">
        <f>IF(OR(B842=1,B842=132,B842=138),"Airports",D842)</f>
        <v>Bronx</v>
      </c>
    </row>
    <row r="843" spans="1:6">
      <c r="A843" s="33">
        <v>42095</v>
      </c>
      <c r="B843">
        <v>61</v>
      </c>
      <c r="C843">
        <v>16691</v>
      </c>
      <c r="D843" t="str">
        <f>VLOOKUP(B843,ZoneTable,2,FALSE)</f>
        <v>Brooklyn</v>
      </c>
      <c r="E843" t="str">
        <f>VLOOKUP(B843,ZoneTable,3,FALSE)</f>
        <v>Crown Heights North</v>
      </c>
      <c r="F843" t="str">
        <f>IF(OR(B843=1,B843=132,B843=138),"Airports",D843)</f>
        <v>Brooklyn</v>
      </c>
    </row>
    <row r="844" spans="1:6">
      <c r="A844" s="33">
        <v>42095</v>
      </c>
      <c r="B844">
        <v>62</v>
      </c>
      <c r="C844">
        <v>3933</v>
      </c>
      <c r="D844" t="str">
        <f>VLOOKUP(B844,ZoneTable,2,FALSE)</f>
        <v>Brooklyn</v>
      </c>
      <c r="E844" t="str">
        <f>VLOOKUP(B844,ZoneTable,3,FALSE)</f>
        <v>Crown Heights South</v>
      </c>
      <c r="F844" t="str">
        <f>IF(OR(B844=1,B844=132,B844=138),"Airports",D844)</f>
        <v>Brooklyn</v>
      </c>
    </row>
    <row r="845" spans="1:6">
      <c r="A845" s="33">
        <v>42095</v>
      </c>
      <c r="B845">
        <v>63</v>
      </c>
      <c r="C845">
        <v>904</v>
      </c>
      <c r="D845" t="str">
        <f>VLOOKUP(B845,ZoneTable,2,FALSE)</f>
        <v>Brooklyn</v>
      </c>
      <c r="E845" t="str">
        <f>VLOOKUP(B845,ZoneTable,3,FALSE)</f>
        <v>Cypress Hills</v>
      </c>
      <c r="F845" t="str">
        <f>IF(OR(B845=1,B845=132,B845=138),"Airports",D845)</f>
        <v>Brooklyn</v>
      </c>
    </row>
    <row r="846" spans="1:6">
      <c r="A846" s="33">
        <v>42095</v>
      </c>
      <c r="B846">
        <v>64</v>
      </c>
      <c r="C846">
        <v>456</v>
      </c>
      <c r="D846" t="str">
        <f>VLOOKUP(B846,ZoneTable,2,FALSE)</f>
        <v>Queens</v>
      </c>
      <c r="E846" t="str">
        <f>VLOOKUP(B846,ZoneTable,3,FALSE)</f>
        <v>Douglaston</v>
      </c>
      <c r="F846" t="str">
        <f>IF(OR(B846=1,B846=132,B846=138),"Airports",D846)</f>
        <v>Queens</v>
      </c>
    </row>
    <row r="847" spans="1:6">
      <c r="A847" s="33">
        <v>42095</v>
      </c>
      <c r="B847">
        <v>65</v>
      </c>
      <c r="C847">
        <v>9347</v>
      </c>
      <c r="D847" t="str">
        <f>VLOOKUP(B847,ZoneTable,2,FALSE)</f>
        <v>Brooklyn</v>
      </c>
      <c r="E847" t="str">
        <f>VLOOKUP(B847,ZoneTable,3,FALSE)</f>
        <v>Downtown Brooklyn/MetroTech</v>
      </c>
      <c r="F847" t="str">
        <f>IF(OR(B847=1,B847=132,B847=138),"Airports",D847)</f>
        <v>Brooklyn</v>
      </c>
    </row>
    <row r="848" spans="1:6">
      <c r="A848" s="33">
        <v>42095</v>
      </c>
      <c r="B848">
        <v>66</v>
      </c>
      <c r="C848">
        <v>8676</v>
      </c>
      <c r="D848" t="str">
        <f>VLOOKUP(B848,ZoneTable,2,FALSE)</f>
        <v>Brooklyn</v>
      </c>
      <c r="E848" t="str">
        <f>VLOOKUP(B848,ZoneTable,3,FALSE)</f>
        <v>DUMBO/Vinegar Hill</v>
      </c>
      <c r="F848" t="str">
        <f>IF(OR(B848=1,B848=132,B848=138),"Airports",D848)</f>
        <v>Brooklyn</v>
      </c>
    </row>
    <row r="849" spans="1:6">
      <c r="A849" s="33">
        <v>42095</v>
      </c>
      <c r="B849">
        <v>67</v>
      </c>
      <c r="C849">
        <v>1606</v>
      </c>
      <c r="D849" t="str">
        <f>VLOOKUP(B849,ZoneTable,2,FALSE)</f>
        <v>Brooklyn</v>
      </c>
      <c r="E849" t="str">
        <f>VLOOKUP(B849,ZoneTable,3,FALSE)</f>
        <v>Dyker Heights</v>
      </c>
      <c r="F849" t="str">
        <f>IF(OR(B849=1,B849=132,B849=138),"Airports",D849)</f>
        <v>Brooklyn</v>
      </c>
    </row>
    <row r="850" spans="1:6">
      <c r="A850" s="33">
        <v>42095</v>
      </c>
      <c r="B850">
        <v>68</v>
      </c>
      <c r="C850">
        <v>47576</v>
      </c>
      <c r="D850" t="str">
        <f>VLOOKUP(B850,ZoneTable,2,FALSE)</f>
        <v>Manhattan</v>
      </c>
      <c r="E850" t="str">
        <f>VLOOKUP(B850,ZoneTable,3,FALSE)</f>
        <v>East Chelsea</v>
      </c>
      <c r="F850" t="str">
        <f>IF(OR(B850=1,B850=132,B850=138),"Airports",D850)</f>
        <v>Manhattan</v>
      </c>
    </row>
    <row r="851" spans="1:6">
      <c r="A851" s="33">
        <v>42095</v>
      </c>
      <c r="B851">
        <v>69</v>
      </c>
      <c r="C851">
        <v>1209</v>
      </c>
      <c r="D851" t="str">
        <f>VLOOKUP(B851,ZoneTable,2,FALSE)</f>
        <v>Bronx</v>
      </c>
      <c r="E851" t="str">
        <f>VLOOKUP(B851,ZoneTable,3,FALSE)</f>
        <v>East Concourse/Concourse Village</v>
      </c>
      <c r="F851" t="str">
        <f>IF(OR(B851=1,B851=132,B851=138),"Airports",D851)</f>
        <v>Bronx</v>
      </c>
    </row>
    <row r="852" spans="1:6">
      <c r="A852" s="33">
        <v>42095</v>
      </c>
      <c r="B852">
        <v>70</v>
      </c>
      <c r="C852">
        <v>2043</v>
      </c>
      <c r="D852" t="str">
        <f>VLOOKUP(B852,ZoneTable,2,FALSE)</f>
        <v>Queens</v>
      </c>
      <c r="E852" t="str">
        <f>VLOOKUP(B852,ZoneTable,3,FALSE)</f>
        <v>East Elmhurst</v>
      </c>
      <c r="F852" t="str">
        <f>IF(OR(B852=1,B852=132,B852=138),"Airports",D852)</f>
        <v>Queens</v>
      </c>
    </row>
    <row r="853" spans="1:6">
      <c r="A853" s="33">
        <v>42095</v>
      </c>
      <c r="B853">
        <v>71</v>
      </c>
      <c r="C853">
        <v>1908</v>
      </c>
      <c r="D853" t="str">
        <f>VLOOKUP(B853,ZoneTable,2,FALSE)</f>
        <v>Brooklyn</v>
      </c>
      <c r="E853" t="str">
        <f>VLOOKUP(B853,ZoneTable,3,FALSE)</f>
        <v>East Flatbush/Farragut</v>
      </c>
      <c r="F853" t="str">
        <f>IF(OR(B853=1,B853=132,B853=138),"Airports",D853)</f>
        <v>Brooklyn</v>
      </c>
    </row>
    <row r="854" spans="1:6">
      <c r="A854" s="33">
        <v>42095</v>
      </c>
      <c r="B854">
        <v>72</v>
      </c>
      <c r="C854">
        <v>2382</v>
      </c>
      <c r="D854" t="str">
        <f>VLOOKUP(B854,ZoneTable,2,FALSE)</f>
        <v>Brooklyn</v>
      </c>
      <c r="E854" t="str">
        <f>VLOOKUP(B854,ZoneTable,3,FALSE)</f>
        <v>East Flatbush/Remsen Village</v>
      </c>
      <c r="F854" t="str">
        <f>IF(OR(B854=1,B854=132,B854=138),"Airports",D854)</f>
        <v>Brooklyn</v>
      </c>
    </row>
    <row r="855" spans="1:6">
      <c r="A855" s="33">
        <v>42095</v>
      </c>
      <c r="B855">
        <v>73</v>
      </c>
      <c r="C855">
        <v>532</v>
      </c>
      <c r="D855" t="str">
        <f>VLOOKUP(B855,ZoneTable,2,FALSE)</f>
        <v>Queens</v>
      </c>
      <c r="E855" t="str">
        <f>VLOOKUP(B855,ZoneTable,3,FALSE)</f>
        <v>East Flushing</v>
      </c>
      <c r="F855" t="str">
        <f>IF(OR(B855=1,B855=132,B855=138),"Airports",D855)</f>
        <v>Queens</v>
      </c>
    </row>
    <row r="856" spans="1:6">
      <c r="A856" s="33">
        <v>42095</v>
      </c>
      <c r="B856">
        <v>74</v>
      </c>
      <c r="C856">
        <v>7701</v>
      </c>
      <c r="D856" t="str">
        <f>VLOOKUP(B856,ZoneTable,2,FALSE)</f>
        <v>Manhattan</v>
      </c>
      <c r="E856" t="str">
        <f>VLOOKUP(B856,ZoneTable,3,FALSE)</f>
        <v>East Harlem North</v>
      </c>
      <c r="F856" t="str">
        <f>IF(OR(B856=1,B856=132,B856=138),"Airports",D856)</f>
        <v>Manhattan</v>
      </c>
    </row>
    <row r="857" spans="1:6">
      <c r="A857" s="33">
        <v>42095</v>
      </c>
      <c r="B857">
        <v>75</v>
      </c>
      <c r="C857">
        <v>8210</v>
      </c>
      <c r="D857" t="str">
        <f>VLOOKUP(B857,ZoneTable,2,FALSE)</f>
        <v>Manhattan</v>
      </c>
      <c r="E857" t="str">
        <f>VLOOKUP(B857,ZoneTable,3,FALSE)</f>
        <v>East Harlem South</v>
      </c>
      <c r="F857" t="str">
        <f>IF(OR(B857=1,B857=132,B857=138),"Airports",D857)</f>
        <v>Manhattan</v>
      </c>
    </row>
    <row r="858" spans="1:6">
      <c r="A858" s="33">
        <v>42095</v>
      </c>
      <c r="B858">
        <v>76</v>
      </c>
      <c r="C858">
        <v>2813</v>
      </c>
      <c r="D858" t="str">
        <f>VLOOKUP(B858,ZoneTable,2,FALSE)</f>
        <v>Brooklyn</v>
      </c>
      <c r="E858" t="str">
        <f>VLOOKUP(B858,ZoneTable,3,FALSE)</f>
        <v>East New York</v>
      </c>
      <c r="F858" t="str">
        <f>IF(OR(B858=1,B858=132,B858=138),"Airports",D858)</f>
        <v>Brooklyn</v>
      </c>
    </row>
    <row r="859" spans="1:6">
      <c r="A859" s="33">
        <v>42095</v>
      </c>
      <c r="B859">
        <v>77</v>
      </c>
      <c r="C859">
        <v>773</v>
      </c>
      <c r="D859" t="str">
        <f>VLOOKUP(B859,ZoneTable,2,FALSE)</f>
        <v>Brooklyn</v>
      </c>
      <c r="E859" t="str">
        <f>VLOOKUP(B859,ZoneTable,3,FALSE)</f>
        <v>East New York/Pennsylvania Avenue</v>
      </c>
      <c r="F859" t="str">
        <f>IF(OR(B859=1,B859=132,B859=138),"Airports",D859)</f>
        <v>Brooklyn</v>
      </c>
    </row>
    <row r="860" spans="1:6">
      <c r="A860" s="33">
        <v>42095</v>
      </c>
      <c r="B860">
        <v>78</v>
      </c>
      <c r="C860">
        <v>802</v>
      </c>
      <c r="D860" t="str">
        <f>VLOOKUP(B860,ZoneTable,2,FALSE)</f>
        <v>Bronx</v>
      </c>
      <c r="E860" t="str">
        <f>VLOOKUP(B860,ZoneTable,3,FALSE)</f>
        <v>East Tremont</v>
      </c>
      <c r="F860" t="str">
        <f>IF(OR(B860=1,B860=132,B860=138),"Airports",D860)</f>
        <v>Bronx</v>
      </c>
    </row>
    <row r="861" spans="1:6">
      <c r="A861" s="33">
        <v>42095</v>
      </c>
      <c r="B861">
        <v>79</v>
      </c>
      <c r="C861">
        <v>64781</v>
      </c>
      <c r="D861" t="str">
        <f>VLOOKUP(B861,ZoneTable,2,FALSE)</f>
        <v>Manhattan</v>
      </c>
      <c r="E861" t="str">
        <f>VLOOKUP(B861,ZoneTable,3,FALSE)</f>
        <v>East Village</v>
      </c>
      <c r="F861" t="str">
        <f>IF(OR(B861=1,B861=132,B861=138),"Airports",D861)</f>
        <v>Manhattan</v>
      </c>
    </row>
    <row r="862" spans="1:6">
      <c r="A862" s="33">
        <v>42095</v>
      </c>
      <c r="B862">
        <v>80</v>
      </c>
      <c r="C862">
        <v>20282</v>
      </c>
      <c r="D862" t="str">
        <f>VLOOKUP(B862,ZoneTable,2,FALSE)</f>
        <v>Brooklyn</v>
      </c>
      <c r="E862" t="str">
        <f>VLOOKUP(B862,ZoneTable,3,FALSE)</f>
        <v>East Williamsburg</v>
      </c>
      <c r="F862" t="str">
        <f>IF(OR(B862=1,B862=132,B862=138),"Airports",D862)</f>
        <v>Brooklyn</v>
      </c>
    </row>
    <row r="863" spans="1:6">
      <c r="A863" s="33">
        <v>42095</v>
      </c>
      <c r="B863">
        <v>81</v>
      </c>
      <c r="C863">
        <v>473</v>
      </c>
      <c r="D863" t="str">
        <f>VLOOKUP(B863,ZoneTable,2,FALSE)</f>
        <v>Bronx</v>
      </c>
      <c r="E863" t="str">
        <f>VLOOKUP(B863,ZoneTable,3,FALSE)</f>
        <v>Eastchester</v>
      </c>
      <c r="F863" t="str">
        <f>IF(OR(B863=1,B863=132,B863=138),"Airports",D863)</f>
        <v>Bronx</v>
      </c>
    </row>
    <row r="864" spans="1:6">
      <c r="A864" s="33">
        <v>42095</v>
      </c>
      <c r="B864">
        <v>82</v>
      </c>
      <c r="C864">
        <v>3520</v>
      </c>
      <c r="D864" t="str">
        <f>VLOOKUP(B864,ZoneTable,2,FALSE)</f>
        <v>Queens</v>
      </c>
      <c r="E864" t="str">
        <f>VLOOKUP(B864,ZoneTable,3,FALSE)</f>
        <v>Elmhurst</v>
      </c>
      <c r="F864" t="str">
        <f>IF(OR(B864=1,B864=132,B864=138),"Airports",D864)</f>
        <v>Queens</v>
      </c>
    </row>
    <row r="865" spans="1:6">
      <c r="A865" s="33">
        <v>42095</v>
      </c>
      <c r="B865">
        <v>83</v>
      </c>
      <c r="C865">
        <v>1443</v>
      </c>
      <c r="D865" t="str">
        <f>VLOOKUP(B865,ZoneTable,2,FALSE)</f>
        <v>Queens</v>
      </c>
      <c r="E865" t="str">
        <f>VLOOKUP(B865,ZoneTable,3,FALSE)</f>
        <v>Elmhurst/Maspeth</v>
      </c>
      <c r="F865" t="str">
        <f>IF(OR(B865=1,B865=132,B865=138),"Airports",D865)</f>
        <v>Queens</v>
      </c>
    </row>
    <row r="866" spans="1:6">
      <c r="A866" s="33">
        <v>42095</v>
      </c>
      <c r="B866">
        <v>84</v>
      </c>
      <c r="C866">
        <v>7</v>
      </c>
      <c r="D866" t="str">
        <f>VLOOKUP(B866,ZoneTable,2,FALSE)</f>
        <v>Staten Island</v>
      </c>
      <c r="E866" t="str">
        <f>VLOOKUP(B866,ZoneTable,3,FALSE)</f>
        <v>Eltingville/Annadale/Prince's Bay</v>
      </c>
      <c r="F866" t="str">
        <f>IF(OR(B866=1,B866=132,B866=138),"Airports",D866)</f>
        <v>Staten Island</v>
      </c>
    </row>
    <row r="867" spans="1:6">
      <c r="A867" s="33">
        <v>42095</v>
      </c>
      <c r="B867">
        <v>85</v>
      </c>
      <c r="C867">
        <v>1705</v>
      </c>
      <c r="D867" t="str">
        <f>VLOOKUP(B867,ZoneTable,2,FALSE)</f>
        <v>Brooklyn</v>
      </c>
      <c r="E867" t="str">
        <f>VLOOKUP(B867,ZoneTable,3,FALSE)</f>
        <v>Erasmus</v>
      </c>
      <c r="F867" t="str">
        <f>IF(OR(B867=1,B867=132,B867=138),"Airports",D867)</f>
        <v>Brooklyn</v>
      </c>
    </row>
    <row r="868" spans="1:6">
      <c r="A868" s="33">
        <v>42095</v>
      </c>
      <c r="B868">
        <v>86</v>
      </c>
      <c r="C868">
        <v>80</v>
      </c>
      <c r="D868" t="str">
        <f>VLOOKUP(B868,ZoneTable,2,FALSE)</f>
        <v>Queens</v>
      </c>
      <c r="E868" t="str">
        <f>VLOOKUP(B868,ZoneTable,3,FALSE)</f>
        <v>Far Rockaway</v>
      </c>
      <c r="F868" t="str">
        <f>IF(OR(B868=1,B868=132,B868=138),"Airports",D868)</f>
        <v>Queens</v>
      </c>
    </row>
    <row r="869" spans="1:6">
      <c r="A869" s="33">
        <v>42095</v>
      </c>
      <c r="B869">
        <v>87</v>
      </c>
      <c r="C869">
        <v>25503</v>
      </c>
      <c r="D869" t="str">
        <f>VLOOKUP(B869,ZoneTable,2,FALSE)</f>
        <v>Manhattan</v>
      </c>
      <c r="E869" t="str">
        <f>VLOOKUP(B869,ZoneTable,3,FALSE)</f>
        <v>Financial District North</v>
      </c>
      <c r="F869" t="str">
        <f>IF(OR(B869=1,B869=132,B869=138),"Airports",D869)</f>
        <v>Manhattan</v>
      </c>
    </row>
    <row r="870" spans="1:6">
      <c r="A870" s="33">
        <v>42095</v>
      </c>
      <c r="B870">
        <v>88</v>
      </c>
      <c r="C870">
        <v>9519</v>
      </c>
      <c r="D870" t="str">
        <f>VLOOKUP(B870,ZoneTable,2,FALSE)</f>
        <v>Manhattan</v>
      </c>
      <c r="E870" t="str">
        <f>VLOOKUP(B870,ZoneTable,3,FALSE)</f>
        <v>Financial District South</v>
      </c>
      <c r="F870" t="str">
        <f>IF(OR(B870=1,B870=132,B870=138),"Airports",D870)</f>
        <v>Manhattan</v>
      </c>
    </row>
    <row r="871" spans="1:6">
      <c r="A871" s="33">
        <v>42095</v>
      </c>
      <c r="B871">
        <v>89</v>
      </c>
      <c r="C871">
        <v>7535</v>
      </c>
      <c r="D871" t="str">
        <f>VLOOKUP(B871,ZoneTable,2,FALSE)</f>
        <v>Brooklyn</v>
      </c>
      <c r="E871" t="str">
        <f>VLOOKUP(B871,ZoneTable,3,FALSE)</f>
        <v>Flatbush/Ditmas Park</v>
      </c>
      <c r="F871" t="str">
        <f>IF(OR(B871=1,B871=132,B871=138),"Airports",D871)</f>
        <v>Brooklyn</v>
      </c>
    </row>
    <row r="872" spans="1:6">
      <c r="A872" s="33">
        <v>42095</v>
      </c>
      <c r="B872">
        <v>90</v>
      </c>
      <c r="C872">
        <v>35885</v>
      </c>
      <c r="D872" t="str">
        <f>VLOOKUP(B872,ZoneTable,2,FALSE)</f>
        <v>Manhattan</v>
      </c>
      <c r="E872" t="str">
        <f>VLOOKUP(B872,ZoneTable,3,FALSE)</f>
        <v>Flatiron</v>
      </c>
      <c r="F872" t="str">
        <f>IF(OR(B872=1,B872=132,B872=138),"Airports",D872)</f>
        <v>Manhattan</v>
      </c>
    </row>
    <row r="873" spans="1:6">
      <c r="A873" s="33">
        <v>42095</v>
      </c>
      <c r="B873">
        <v>91</v>
      </c>
      <c r="C873">
        <v>2508</v>
      </c>
      <c r="D873" t="str">
        <f>VLOOKUP(B873,ZoneTable,2,FALSE)</f>
        <v>Brooklyn</v>
      </c>
      <c r="E873" t="str">
        <f>VLOOKUP(B873,ZoneTable,3,FALSE)</f>
        <v>Flatlands</v>
      </c>
      <c r="F873" t="str">
        <f>IF(OR(B873=1,B873=132,B873=138),"Airports",D873)</f>
        <v>Brooklyn</v>
      </c>
    </row>
    <row r="874" spans="1:6">
      <c r="A874" s="33">
        <v>42095</v>
      </c>
      <c r="B874">
        <v>92</v>
      </c>
      <c r="C874">
        <v>2961</v>
      </c>
      <c r="D874" t="str">
        <f>VLOOKUP(B874,ZoneTable,2,FALSE)</f>
        <v>Queens</v>
      </c>
      <c r="E874" t="str">
        <f>VLOOKUP(B874,ZoneTable,3,FALSE)</f>
        <v>Flushing</v>
      </c>
      <c r="F874" t="str">
        <f>IF(OR(B874=1,B874=132,B874=138),"Airports",D874)</f>
        <v>Queens</v>
      </c>
    </row>
    <row r="875" spans="1:6">
      <c r="A875" s="33">
        <v>42095</v>
      </c>
      <c r="B875">
        <v>93</v>
      </c>
      <c r="C875">
        <v>1155</v>
      </c>
      <c r="D875" t="str">
        <f>VLOOKUP(B875,ZoneTable,2,FALSE)</f>
        <v>Queens</v>
      </c>
      <c r="E875" t="str">
        <f>VLOOKUP(B875,ZoneTable,3,FALSE)</f>
        <v>Flushing Meadows-Corona Park</v>
      </c>
      <c r="F875" t="str">
        <f>IF(OR(B875=1,B875=132,B875=138),"Airports",D875)</f>
        <v>Queens</v>
      </c>
    </row>
    <row r="876" spans="1:6">
      <c r="A876" s="33">
        <v>42095</v>
      </c>
      <c r="B876">
        <v>94</v>
      </c>
      <c r="C876">
        <v>340</v>
      </c>
      <c r="D876" t="str">
        <f>VLOOKUP(B876,ZoneTable,2,FALSE)</f>
        <v>Bronx</v>
      </c>
      <c r="E876" t="str">
        <f>VLOOKUP(B876,ZoneTable,3,FALSE)</f>
        <v>Fordham South</v>
      </c>
      <c r="F876" t="str">
        <f>IF(OR(B876=1,B876=132,B876=138),"Airports",D876)</f>
        <v>Bronx</v>
      </c>
    </row>
    <row r="877" spans="1:6">
      <c r="A877" s="33">
        <v>42095</v>
      </c>
      <c r="B877">
        <v>95</v>
      </c>
      <c r="C877">
        <v>6714</v>
      </c>
      <c r="D877" t="str">
        <f>VLOOKUP(B877,ZoneTable,2,FALSE)</f>
        <v>Queens</v>
      </c>
      <c r="E877" t="str">
        <f>VLOOKUP(B877,ZoneTable,3,FALSE)</f>
        <v>Forest Hills</v>
      </c>
      <c r="F877" t="str">
        <f>IF(OR(B877=1,B877=132,B877=138),"Airports",D877)</f>
        <v>Queens</v>
      </c>
    </row>
    <row r="878" spans="1:6">
      <c r="A878" s="33">
        <v>42095</v>
      </c>
      <c r="B878">
        <v>96</v>
      </c>
      <c r="C878">
        <v>101</v>
      </c>
      <c r="D878" t="str">
        <f>VLOOKUP(B878,ZoneTable,2,FALSE)</f>
        <v>Queens</v>
      </c>
      <c r="E878" t="str">
        <f>VLOOKUP(B878,ZoneTable,3,FALSE)</f>
        <v>Forest Park/Highland Park</v>
      </c>
      <c r="F878" t="str">
        <f>IF(OR(B878=1,B878=132,B878=138),"Airports",D878)</f>
        <v>Queens</v>
      </c>
    </row>
    <row r="879" spans="1:6">
      <c r="A879" s="33">
        <v>42095</v>
      </c>
      <c r="B879">
        <v>97</v>
      </c>
      <c r="C879">
        <v>11719</v>
      </c>
      <c r="D879" t="str">
        <f>VLOOKUP(B879,ZoneTable,2,FALSE)</f>
        <v>Brooklyn</v>
      </c>
      <c r="E879" t="str">
        <f>VLOOKUP(B879,ZoneTable,3,FALSE)</f>
        <v>Fort Greene</v>
      </c>
      <c r="F879" t="str">
        <f>IF(OR(B879=1,B879=132,B879=138),"Airports",D879)</f>
        <v>Brooklyn</v>
      </c>
    </row>
    <row r="880" spans="1:6">
      <c r="A880" s="33">
        <v>42095</v>
      </c>
      <c r="B880">
        <v>98</v>
      </c>
      <c r="C880">
        <v>639</v>
      </c>
      <c r="D880" t="str">
        <f>VLOOKUP(B880,ZoneTable,2,FALSE)</f>
        <v>Queens</v>
      </c>
      <c r="E880" t="str">
        <f>VLOOKUP(B880,ZoneTable,3,FALSE)</f>
        <v>Fresh Meadows</v>
      </c>
      <c r="F880" t="str">
        <f>IF(OR(B880=1,B880=132,B880=138),"Airports",D880)</f>
        <v>Queens</v>
      </c>
    </row>
    <row r="881" spans="1:6">
      <c r="A881" s="33">
        <v>42095</v>
      </c>
      <c r="B881">
        <v>99</v>
      </c>
      <c r="C881">
        <v>2</v>
      </c>
      <c r="D881" t="str">
        <f>VLOOKUP(B881,ZoneTable,2,FALSE)</f>
        <v>Staten Island</v>
      </c>
      <c r="E881" t="str">
        <f>VLOOKUP(B881,ZoneTable,3,FALSE)</f>
        <v>Freshkills Park</v>
      </c>
      <c r="F881" t="str">
        <f>IF(OR(B881=1,B881=132,B881=138),"Airports",D881)</f>
        <v>Staten Island</v>
      </c>
    </row>
    <row r="882" spans="1:6">
      <c r="A882" s="33">
        <v>42095</v>
      </c>
      <c r="B882">
        <v>100</v>
      </c>
      <c r="C882">
        <v>24948</v>
      </c>
      <c r="D882" t="str">
        <f>VLOOKUP(B882,ZoneTable,2,FALSE)</f>
        <v>Manhattan</v>
      </c>
      <c r="E882" t="str">
        <f>VLOOKUP(B882,ZoneTable,3,FALSE)</f>
        <v>Garment District</v>
      </c>
      <c r="F882" t="str">
        <f>IF(OR(B882=1,B882=132,B882=138),"Airports",D882)</f>
        <v>Manhattan</v>
      </c>
    </row>
    <row r="883" spans="1:6">
      <c r="A883" s="33">
        <v>42095</v>
      </c>
      <c r="B883">
        <v>101</v>
      </c>
      <c r="C883">
        <v>347</v>
      </c>
      <c r="D883" t="str">
        <f>VLOOKUP(B883,ZoneTable,2,FALSE)</f>
        <v>Queens</v>
      </c>
      <c r="E883" t="str">
        <f>VLOOKUP(B883,ZoneTable,3,FALSE)</f>
        <v>Glen Oaks</v>
      </c>
      <c r="F883" t="str">
        <f>IF(OR(B883=1,B883=132,B883=138),"Airports",D883)</f>
        <v>Queens</v>
      </c>
    </row>
    <row r="884" spans="1:6">
      <c r="A884" s="33">
        <v>42095</v>
      </c>
      <c r="B884">
        <v>102</v>
      </c>
      <c r="C884">
        <v>1503</v>
      </c>
      <c r="D884" t="str">
        <f>VLOOKUP(B884,ZoneTable,2,FALSE)</f>
        <v>Queens</v>
      </c>
      <c r="E884" t="str">
        <f>VLOOKUP(B884,ZoneTable,3,FALSE)</f>
        <v>Glendale</v>
      </c>
      <c r="F884" t="str">
        <f>IF(OR(B884=1,B884=132,B884=138),"Airports",D884)</f>
        <v>Queens</v>
      </c>
    </row>
    <row r="885" spans="1:6">
      <c r="A885" s="33">
        <v>42095</v>
      </c>
      <c r="B885">
        <v>106</v>
      </c>
      <c r="C885">
        <v>6034</v>
      </c>
      <c r="D885" t="str">
        <f>VLOOKUP(B885,ZoneTable,2,FALSE)</f>
        <v>Brooklyn</v>
      </c>
      <c r="E885" t="str">
        <f>VLOOKUP(B885,ZoneTable,3,FALSE)</f>
        <v>Gowanus</v>
      </c>
      <c r="F885" t="str">
        <f>IF(OR(B885=1,B885=132,B885=138),"Airports",D885)</f>
        <v>Brooklyn</v>
      </c>
    </row>
    <row r="886" spans="1:6">
      <c r="A886" s="33">
        <v>42095</v>
      </c>
      <c r="B886">
        <v>107</v>
      </c>
      <c r="C886">
        <v>40301</v>
      </c>
      <c r="D886" t="str">
        <f>VLOOKUP(B886,ZoneTable,2,FALSE)</f>
        <v>Manhattan</v>
      </c>
      <c r="E886" t="str">
        <f>VLOOKUP(B886,ZoneTable,3,FALSE)</f>
        <v>Gramercy</v>
      </c>
      <c r="F886" t="str">
        <f>IF(OR(B886=1,B886=132,B886=138),"Airports",D886)</f>
        <v>Manhattan</v>
      </c>
    </row>
    <row r="887" spans="1:6">
      <c r="A887" s="33">
        <v>42095</v>
      </c>
      <c r="B887">
        <v>108</v>
      </c>
      <c r="C887">
        <v>660</v>
      </c>
      <c r="D887" t="str">
        <f>VLOOKUP(B887,ZoneTable,2,FALSE)</f>
        <v>Brooklyn</v>
      </c>
      <c r="E887" t="str">
        <f>VLOOKUP(B887,ZoneTable,3,FALSE)</f>
        <v>Gravesend</v>
      </c>
      <c r="F887" t="str">
        <f>IF(OR(B887=1,B887=132,B887=138),"Airports",D887)</f>
        <v>Brooklyn</v>
      </c>
    </row>
    <row r="888" spans="1:6">
      <c r="A888" s="33">
        <v>42095</v>
      </c>
      <c r="B888">
        <v>109</v>
      </c>
      <c r="C888">
        <v>13</v>
      </c>
      <c r="D888" t="str">
        <f>VLOOKUP(B888,ZoneTable,2,FALSE)</f>
        <v>Staten Island</v>
      </c>
      <c r="E888" t="str">
        <f>VLOOKUP(B888,ZoneTable,3,FALSE)</f>
        <v>Great Kills</v>
      </c>
      <c r="F888" t="str">
        <f>IF(OR(B888=1,B888=132,B888=138),"Airports",D888)</f>
        <v>Staten Island</v>
      </c>
    </row>
    <row r="889" spans="1:6">
      <c r="A889" s="33">
        <v>42095</v>
      </c>
      <c r="B889">
        <v>110</v>
      </c>
      <c r="C889">
        <v>1</v>
      </c>
      <c r="D889" t="str">
        <f>VLOOKUP(B889,ZoneTable,2,FALSE)</f>
        <v>Staten Island</v>
      </c>
      <c r="E889" t="str">
        <f>VLOOKUP(B889,ZoneTable,3,FALSE)</f>
        <v>Great Kills Park</v>
      </c>
      <c r="F889" t="str">
        <f>IF(OR(B889=1,B889=132,B889=138),"Airports",D889)</f>
        <v>Staten Island</v>
      </c>
    </row>
    <row r="890" spans="1:6">
      <c r="A890" s="33">
        <v>42095</v>
      </c>
      <c r="B890">
        <v>111</v>
      </c>
      <c r="C890">
        <v>46</v>
      </c>
      <c r="D890" t="str">
        <f>VLOOKUP(B890,ZoneTable,2,FALSE)</f>
        <v>Brooklyn</v>
      </c>
      <c r="E890" t="str">
        <f>VLOOKUP(B890,ZoneTable,3,FALSE)</f>
        <v>Green-Wood Cemetery</v>
      </c>
      <c r="F890" t="str">
        <f>IF(OR(B890=1,B890=132,B890=138),"Airports",D890)</f>
        <v>Brooklyn</v>
      </c>
    </row>
    <row r="891" spans="1:6">
      <c r="A891" s="33">
        <v>42095</v>
      </c>
      <c r="B891">
        <v>112</v>
      </c>
      <c r="C891">
        <v>22783</v>
      </c>
      <c r="D891" t="str">
        <f>VLOOKUP(B891,ZoneTable,2,FALSE)</f>
        <v>Brooklyn</v>
      </c>
      <c r="E891" t="str">
        <f>VLOOKUP(B891,ZoneTable,3,FALSE)</f>
        <v>Greenpoint</v>
      </c>
      <c r="F891" t="str">
        <f>IF(OR(B891=1,B891=132,B891=138),"Airports",D891)</f>
        <v>Brooklyn</v>
      </c>
    </row>
    <row r="892" spans="1:6">
      <c r="A892" s="33">
        <v>42095</v>
      </c>
      <c r="B892">
        <v>113</v>
      </c>
      <c r="C892">
        <v>40344</v>
      </c>
      <c r="D892" t="str">
        <f>VLOOKUP(B892,ZoneTable,2,FALSE)</f>
        <v>Manhattan</v>
      </c>
      <c r="E892" t="str">
        <f>VLOOKUP(B892,ZoneTable,3,FALSE)</f>
        <v>Greenwich Village North</v>
      </c>
      <c r="F892" t="str">
        <f>IF(OR(B892=1,B892=132,B892=138),"Airports",D892)</f>
        <v>Manhattan</v>
      </c>
    </row>
    <row r="893" spans="1:6">
      <c r="A893" s="33">
        <v>42095</v>
      </c>
      <c r="B893">
        <v>114</v>
      </c>
      <c r="C893">
        <v>32939</v>
      </c>
      <c r="D893" t="str">
        <f>VLOOKUP(B893,ZoneTable,2,FALSE)</f>
        <v>Manhattan</v>
      </c>
      <c r="E893" t="str">
        <f>VLOOKUP(B893,ZoneTable,3,FALSE)</f>
        <v>Greenwich Village South</v>
      </c>
      <c r="F893" t="str">
        <f>IF(OR(B893=1,B893=132,B893=138),"Airports",D893)</f>
        <v>Manhattan</v>
      </c>
    </row>
    <row r="894" spans="1:6">
      <c r="A894" s="33">
        <v>42095</v>
      </c>
      <c r="B894">
        <v>115</v>
      </c>
      <c r="C894">
        <v>78</v>
      </c>
      <c r="D894" t="str">
        <f>VLOOKUP(B894,ZoneTable,2,FALSE)</f>
        <v>Staten Island</v>
      </c>
      <c r="E894" t="str">
        <f>VLOOKUP(B894,ZoneTable,3,FALSE)</f>
        <v>Grymes Hill/Clifton</v>
      </c>
      <c r="F894" t="str">
        <f>IF(OR(B894=1,B894=132,B894=138),"Airports",D894)</f>
        <v>Staten Island</v>
      </c>
    </row>
    <row r="895" spans="1:6">
      <c r="A895" s="33">
        <v>42095</v>
      </c>
      <c r="B895">
        <v>116</v>
      </c>
      <c r="C895">
        <v>5358</v>
      </c>
      <c r="D895" t="str">
        <f>VLOOKUP(B895,ZoneTable,2,FALSE)</f>
        <v>Manhattan</v>
      </c>
      <c r="E895" t="str">
        <f>VLOOKUP(B895,ZoneTable,3,FALSE)</f>
        <v>Hamilton Heights</v>
      </c>
      <c r="F895" t="str">
        <f>IF(OR(B895=1,B895=132,B895=138),"Airports",D895)</f>
        <v>Manhattan</v>
      </c>
    </row>
    <row r="896" spans="1:6">
      <c r="A896" s="33">
        <v>42095</v>
      </c>
      <c r="B896">
        <v>117</v>
      </c>
      <c r="C896">
        <v>99</v>
      </c>
      <c r="D896" t="str">
        <f>VLOOKUP(B896,ZoneTable,2,FALSE)</f>
        <v>Queens</v>
      </c>
      <c r="E896" t="str">
        <f>VLOOKUP(B896,ZoneTable,3,FALSE)</f>
        <v>Hammels/Arverne</v>
      </c>
      <c r="F896" t="str">
        <f>IF(OR(B896=1,B896=132,B896=138),"Airports",D896)</f>
        <v>Queens</v>
      </c>
    </row>
    <row r="897" spans="1:6">
      <c r="A897" s="33">
        <v>42095</v>
      </c>
      <c r="B897">
        <v>118</v>
      </c>
      <c r="C897">
        <v>131</v>
      </c>
      <c r="D897" t="str">
        <f>VLOOKUP(B897,ZoneTable,2,FALSE)</f>
        <v>Staten Island</v>
      </c>
      <c r="E897" t="str">
        <f>VLOOKUP(B897,ZoneTable,3,FALSE)</f>
        <v>Heartland Village/Todt Hill</v>
      </c>
      <c r="F897" t="str">
        <f>IF(OR(B897=1,B897=132,B897=138),"Airports",D897)</f>
        <v>Staten Island</v>
      </c>
    </row>
    <row r="898" spans="1:6">
      <c r="A898" s="33">
        <v>42095</v>
      </c>
      <c r="B898">
        <v>119</v>
      </c>
      <c r="C898">
        <v>1232</v>
      </c>
      <c r="D898" t="str">
        <f>VLOOKUP(B898,ZoneTable,2,FALSE)</f>
        <v>Bronx</v>
      </c>
      <c r="E898" t="str">
        <f>VLOOKUP(B898,ZoneTable,3,FALSE)</f>
        <v>Highbridge</v>
      </c>
      <c r="F898" t="str">
        <f>IF(OR(B898=1,B898=132,B898=138),"Airports",D898)</f>
        <v>Bronx</v>
      </c>
    </row>
    <row r="899" spans="1:6">
      <c r="A899" s="33">
        <v>42095</v>
      </c>
      <c r="B899">
        <v>120</v>
      </c>
      <c r="C899">
        <v>72</v>
      </c>
      <c r="D899" t="str">
        <f>VLOOKUP(B899,ZoneTable,2,FALSE)</f>
        <v>Manhattan</v>
      </c>
      <c r="E899" t="str">
        <f>VLOOKUP(B899,ZoneTable,3,FALSE)</f>
        <v>Highbridge Park</v>
      </c>
      <c r="F899" t="str">
        <f>IF(OR(B899=1,B899=132,B899=138),"Airports",D899)</f>
        <v>Manhattan</v>
      </c>
    </row>
    <row r="900" spans="1:6">
      <c r="A900" s="33">
        <v>42095</v>
      </c>
      <c r="B900">
        <v>121</v>
      </c>
      <c r="C900">
        <v>2543</v>
      </c>
      <c r="D900" t="str">
        <f>VLOOKUP(B900,ZoneTable,2,FALSE)</f>
        <v>Queens</v>
      </c>
      <c r="E900" t="str">
        <f>VLOOKUP(B900,ZoneTable,3,FALSE)</f>
        <v>Hillcrest/Pomonok</v>
      </c>
      <c r="F900" t="str">
        <f>IF(OR(B900=1,B900=132,B900=138),"Airports",D900)</f>
        <v>Queens</v>
      </c>
    </row>
    <row r="901" spans="1:6">
      <c r="A901" s="33">
        <v>42095</v>
      </c>
      <c r="B901">
        <v>122</v>
      </c>
      <c r="C901">
        <v>300</v>
      </c>
      <c r="D901" t="str">
        <f>VLOOKUP(B901,ZoneTable,2,FALSE)</f>
        <v>Queens</v>
      </c>
      <c r="E901" t="str">
        <f>VLOOKUP(B901,ZoneTable,3,FALSE)</f>
        <v>Hollis</v>
      </c>
      <c r="F901" t="str">
        <f>IF(OR(B901=1,B901=132,B901=138),"Airports",D901)</f>
        <v>Queens</v>
      </c>
    </row>
    <row r="902" spans="1:6">
      <c r="A902" s="33">
        <v>42095</v>
      </c>
      <c r="B902">
        <v>123</v>
      </c>
      <c r="C902">
        <v>2565</v>
      </c>
      <c r="D902" t="str">
        <f>VLOOKUP(B902,ZoneTable,2,FALSE)</f>
        <v>Brooklyn</v>
      </c>
      <c r="E902" t="str">
        <f>VLOOKUP(B902,ZoneTable,3,FALSE)</f>
        <v>Homecrest</v>
      </c>
      <c r="F902" t="str">
        <f>IF(OR(B902=1,B902=132,B902=138),"Airports",D902)</f>
        <v>Brooklyn</v>
      </c>
    </row>
    <row r="903" spans="1:6">
      <c r="A903" s="33">
        <v>42095</v>
      </c>
      <c r="B903">
        <v>124</v>
      </c>
      <c r="C903">
        <v>856</v>
      </c>
      <c r="D903" t="str">
        <f>VLOOKUP(B903,ZoneTable,2,FALSE)</f>
        <v>Queens</v>
      </c>
      <c r="E903" t="str">
        <f>VLOOKUP(B903,ZoneTable,3,FALSE)</f>
        <v>Howard Beach</v>
      </c>
      <c r="F903" t="str">
        <f>IF(OR(B903=1,B903=132,B903=138),"Airports",D903)</f>
        <v>Queens</v>
      </c>
    </row>
    <row r="904" spans="1:6">
      <c r="A904" s="33">
        <v>42095</v>
      </c>
      <c r="B904">
        <v>125</v>
      </c>
      <c r="C904">
        <v>20054</v>
      </c>
      <c r="D904" t="str">
        <f>VLOOKUP(B904,ZoneTable,2,FALSE)</f>
        <v>Manhattan</v>
      </c>
      <c r="E904" t="str">
        <f>VLOOKUP(B904,ZoneTable,3,FALSE)</f>
        <v>Hudson Sq</v>
      </c>
      <c r="F904" t="str">
        <f>IF(OR(B904=1,B904=132,B904=138),"Airports",D904)</f>
        <v>Manhattan</v>
      </c>
    </row>
    <row r="905" spans="1:6">
      <c r="A905" s="33">
        <v>42095</v>
      </c>
      <c r="B905">
        <v>126</v>
      </c>
      <c r="C905">
        <v>441</v>
      </c>
      <c r="D905" t="str">
        <f>VLOOKUP(B905,ZoneTable,2,FALSE)</f>
        <v>Bronx</v>
      </c>
      <c r="E905" t="str">
        <f>VLOOKUP(B905,ZoneTable,3,FALSE)</f>
        <v>Hunts Point</v>
      </c>
      <c r="F905" t="str">
        <f>IF(OR(B905=1,B905=132,B905=138),"Airports",D905)</f>
        <v>Bronx</v>
      </c>
    </row>
    <row r="906" spans="1:6">
      <c r="A906" s="33">
        <v>42095</v>
      </c>
      <c r="B906">
        <v>127</v>
      </c>
      <c r="C906">
        <v>2322</v>
      </c>
      <c r="D906" t="str">
        <f>VLOOKUP(B906,ZoneTable,2,FALSE)</f>
        <v>Manhattan</v>
      </c>
      <c r="E906" t="str">
        <f>VLOOKUP(B906,ZoneTable,3,FALSE)</f>
        <v>Inwood</v>
      </c>
      <c r="F906" t="str">
        <f>IF(OR(B906=1,B906=132,B906=138),"Airports",D906)</f>
        <v>Manhattan</v>
      </c>
    </row>
    <row r="907" spans="1:6">
      <c r="A907" s="33">
        <v>42095</v>
      </c>
      <c r="B907">
        <v>128</v>
      </c>
      <c r="C907">
        <v>230</v>
      </c>
      <c r="D907" t="str">
        <f>VLOOKUP(B907,ZoneTable,2,FALSE)</f>
        <v>Manhattan</v>
      </c>
      <c r="E907" t="str">
        <f>VLOOKUP(B907,ZoneTable,3,FALSE)</f>
        <v>Inwood Hill Park</v>
      </c>
      <c r="F907" t="str">
        <f>IF(OR(B907=1,B907=132,B907=138),"Airports",D907)</f>
        <v>Manhattan</v>
      </c>
    </row>
    <row r="908" spans="1:6">
      <c r="A908" s="33">
        <v>42095</v>
      </c>
      <c r="B908">
        <v>129</v>
      </c>
      <c r="C908">
        <v>5909</v>
      </c>
      <c r="D908" t="str">
        <f>VLOOKUP(B908,ZoneTable,2,FALSE)</f>
        <v>Queens</v>
      </c>
      <c r="E908" t="str">
        <f>VLOOKUP(B908,ZoneTable,3,FALSE)</f>
        <v>Jackson Heights</v>
      </c>
      <c r="F908" t="str">
        <f>IF(OR(B908=1,B908=132,B908=138),"Airports",D908)</f>
        <v>Queens</v>
      </c>
    </row>
    <row r="909" spans="1:6">
      <c r="A909" s="33">
        <v>42095</v>
      </c>
      <c r="B909">
        <v>130</v>
      </c>
      <c r="C909">
        <v>2520</v>
      </c>
      <c r="D909" t="str">
        <f>VLOOKUP(B909,ZoneTable,2,FALSE)</f>
        <v>Queens</v>
      </c>
      <c r="E909" t="str">
        <f>VLOOKUP(B909,ZoneTable,3,FALSE)</f>
        <v>Jamaica</v>
      </c>
      <c r="F909" t="str">
        <f>IF(OR(B909=1,B909=132,B909=138),"Airports",D909)</f>
        <v>Queens</v>
      </c>
    </row>
    <row r="910" spans="1:6">
      <c r="A910" s="33">
        <v>42095</v>
      </c>
      <c r="B910">
        <v>131</v>
      </c>
      <c r="C910">
        <v>1083</v>
      </c>
      <c r="D910" t="str">
        <f>VLOOKUP(B910,ZoneTable,2,FALSE)</f>
        <v>Queens</v>
      </c>
      <c r="E910" t="str">
        <f>VLOOKUP(B910,ZoneTable,3,FALSE)</f>
        <v>Jamaica Estates</v>
      </c>
      <c r="F910" t="str">
        <f>IF(OR(B910=1,B910=132,B910=138),"Airports",D910)</f>
        <v>Queens</v>
      </c>
    </row>
    <row r="911" spans="1:6">
      <c r="A911" s="33">
        <v>42095</v>
      </c>
      <c r="B911">
        <v>132</v>
      </c>
      <c r="C911">
        <v>46142</v>
      </c>
      <c r="D911" t="str">
        <f>VLOOKUP(B911,ZoneTable,2,FALSE)</f>
        <v>Queens</v>
      </c>
      <c r="E911" t="str">
        <f>VLOOKUP(B911,ZoneTable,3,FALSE)</f>
        <v>JFK Airport</v>
      </c>
      <c r="F911" t="str">
        <f>IF(OR(B911=1,B911=132,B911=138),"Airports",D911)</f>
        <v>Airports</v>
      </c>
    </row>
    <row r="912" spans="1:6">
      <c r="A912" s="33">
        <v>42095</v>
      </c>
      <c r="B912">
        <v>133</v>
      </c>
      <c r="C912">
        <v>1912</v>
      </c>
      <c r="D912" t="str">
        <f>VLOOKUP(B912,ZoneTable,2,FALSE)</f>
        <v>Brooklyn</v>
      </c>
      <c r="E912" t="str">
        <f>VLOOKUP(B912,ZoneTable,3,FALSE)</f>
        <v>Kensington</v>
      </c>
      <c r="F912" t="str">
        <f>IF(OR(B912=1,B912=132,B912=138),"Airports",D912)</f>
        <v>Brooklyn</v>
      </c>
    </row>
    <row r="913" spans="1:6">
      <c r="A913" s="33">
        <v>42095</v>
      </c>
      <c r="B913">
        <v>134</v>
      </c>
      <c r="C913">
        <v>1940</v>
      </c>
      <c r="D913" t="str">
        <f>VLOOKUP(B913,ZoneTable,2,FALSE)</f>
        <v>Queens</v>
      </c>
      <c r="E913" t="str">
        <f>VLOOKUP(B913,ZoneTable,3,FALSE)</f>
        <v>Kew Gardens</v>
      </c>
      <c r="F913" t="str">
        <f>IF(OR(B913=1,B913=132,B913=138),"Airports",D913)</f>
        <v>Queens</v>
      </c>
    </row>
    <row r="914" spans="1:6">
      <c r="A914" s="33">
        <v>42095</v>
      </c>
      <c r="B914">
        <v>135</v>
      </c>
      <c r="C914">
        <v>1869</v>
      </c>
      <c r="D914" t="str">
        <f>VLOOKUP(B914,ZoneTable,2,FALSE)</f>
        <v>Queens</v>
      </c>
      <c r="E914" t="str">
        <f>VLOOKUP(B914,ZoneTable,3,FALSE)</f>
        <v>Kew Gardens Hills</v>
      </c>
      <c r="F914" t="str">
        <f>IF(OR(B914=1,B914=132,B914=138),"Airports",D914)</f>
        <v>Queens</v>
      </c>
    </row>
    <row r="915" spans="1:6">
      <c r="A915" s="33">
        <v>42095</v>
      </c>
      <c r="B915">
        <v>136</v>
      </c>
      <c r="C915">
        <v>605</v>
      </c>
      <c r="D915" t="str">
        <f>VLOOKUP(B915,ZoneTable,2,FALSE)</f>
        <v>Bronx</v>
      </c>
      <c r="E915" t="str">
        <f>VLOOKUP(B915,ZoneTable,3,FALSE)</f>
        <v>Kingsbridge Heights</v>
      </c>
      <c r="F915" t="str">
        <f>IF(OR(B915=1,B915=132,B915=138),"Airports",D915)</f>
        <v>Bronx</v>
      </c>
    </row>
    <row r="916" spans="1:6">
      <c r="A916" s="33">
        <v>42095</v>
      </c>
      <c r="B916">
        <v>137</v>
      </c>
      <c r="C916">
        <v>18757</v>
      </c>
      <c r="D916" t="str">
        <f>VLOOKUP(B916,ZoneTable,2,FALSE)</f>
        <v>Manhattan</v>
      </c>
      <c r="E916" t="str">
        <f>VLOOKUP(B916,ZoneTable,3,FALSE)</f>
        <v>Kips Bay</v>
      </c>
      <c r="F916" t="str">
        <f>IF(OR(B916=1,B916=132,B916=138),"Airports",D916)</f>
        <v>Manhattan</v>
      </c>
    </row>
    <row r="917" spans="1:6">
      <c r="A917" s="33">
        <v>42095</v>
      </c>
      <c r="B917">
        <v>138</v>
      </c>
      <c r="C917">
        <v>43496</v>
      </c>
      <c r="D917" t="str">
        <f>VLOOKUP(B917,ZoneTable,2,FALSE)</f>
        <v>Queens</v>
      </c>
      <c r="E917" t="str">
        <f>VLOOKUP(B917,ZoneTable,3,FALSE)</f>
        <v>LaGuardia Airport</v>
      </c>
      <c r="F917" t="str">
        <f>IF(OR(B917=1,B917=132,B917=138),"Airports",D917)</f>
        <v>Airports</v>
      </c>
    </row>
    <row r="918" spans="1:6">
      <c r="A918" s="33">
        <v>42095</v>
      </c>
      <c r="B918">
        <v>139</v>
      </c>
      <c r="C918">
        <v>469</v>
      </c>
      <c r="D918" t="str">
        <f>VLOOKUP(B918,ZoneTable,2,FALSE)</f>
        <v>Queens</v>
      </c>
      <c r="E918" t="str">
        <f>VLOOKUP(B918,ZoneTable,3,FALSE)</f>
        <v>Laurelton</v>
      </c>
      <c r="F918" t="str">
        <f>IF(OR(B918=1,B918=132,B918=138),"Airports",D918)</f>
        <v>Queens</v>
      </c>
    </row>
    <row r="919" spans="1:6">
      <c r="A919" s="33">
        <v>42095</v>
      </c>
      <c r="B919">
        <v>140</v>
      </c>
      <c r="C919">
        <v>20133</v>
      </c>
      <c r="D919" t="str">
        <f>VLOOKUP(B919,ZoneTable,2,FALSE)</f>
        <v>Manhattan</v>
      </c>
      <c r="E919" t="str">
        <f>VLOOKUP(B919,ZoneTable,3,FALSE)</f>
        <v>Lenox Hill East</v>
      </c>
      <c r="F919" t="str">
        <f>IF(OR(B919=1,B919=132,B919=138),"Airports",D919)</f>
        <v>Manhattan</v>
      </c>
    </row>
    <row r="920" spans="1:6">
      <c r="A920" s="33">
        <v>42095</v>
      </c>
      <c r="B920">
        <v>141</v>
      </c>
      <c r="C920">
        <v>30695</v>
      </c>
      <c r="D920" t="str">
        <f>VLOOKUP(B920,ZoneTable,2,FALSE)</f>
        <v>Manhattan</v>
      </c>
      <c r="E920" t="str">
        <f>VLOOKUP(B920,ZoneTable,3,FALSE)</f>
        <v>Lenox Hill West</v>
      </c>
      <c r="F920" t="str">
        <f>IF(OR(B920=1,B920=132,B920=138),"Airports",D920)</f>
        <v>Manhattan</v>
      </c>
    </row>
    <row r="921" spans="1:6">
      <c r="A921" s="33">
        <v>42095</v>
      </c>
      <c r="B921">
        <v>142</v>
      </c>
      <c r="C921">
        <v>31251</v>
      </c>
      <c r="D921" t="str">
        <f>VLOOKUP(B921,ZoneTable,2,FALSE)</f>
        <v>Manhattan</v>
      </c>
      <c r="E921" t="str">
        <f>VLOOKUP(B921,ZoneTable,3,FALSE)</f>
        <v>Lincoln Square East</v>
      </c>
      <c r="F921" t="str">
        <f>IF(OR(B921=1,B921=132,B921=138),"Airports",D921)</f>
        <v>Manhattan</v>
      </c>
    </row>
    <row r="922" spans="1:6">
      <c r="A922" s="33">
        <v>42095</v>
      </c>
      <c r="B922">
        <v>143</v>
      </c>
      <c r="C922">
        <v>17852</v>
      </c>
      <c r="D922" t="str">
        <f>VLOOKUP(B922,ZoneTable,2,FALSE)</f>
        <v>Manhattan</v>
      </c>
      <c r="E922" t="str">
        <f>VLOOKUP(B922,ZoneTable,3,FALSE)</f>
        <v>Lincoln Square West</v>
      </c>
      <c r="F922" t="str">
        <f>IF(OR(B922=1,B922=132,B922=138),"Airports",D922)</f>
        <v>Manhattan</v>
      </c>
    </row>
    <row r="923" spans="1:6">
      <c r="A923" s="33">
        <v>42095</v>
      </c>
      <c r="B923">
        <v>144</v>
      </c>
      <c r="C923">
        <v>40351</v>
      </c>
      <c r="D923" t="str">
        <f>VLOOKUP(B923,ZoneTable,2,FALSE)</f>
        <v>Manhattan</v>
      </c>
      <c r="E923" t="str">
        <f>VLOOKUP(B923,ZoneTable,3,FALSE)</f>
        <v>Little Italy/NoLiTa</v>
      </c>
      <c r="F923" t="str">
        <f>IF(OR(B923=1,B923=132,B923=138),"Airports",D923)</f>
        <v>Manhattan</v>
      </c>
    </row>
    <row r="924" spans="1:6">
      <c r="A924" s="33">
        <v>42095</v>
      </c>
      <c r="B924">
        <v>145</v>
      </c>
      <c r="C924">
        <v>13005</v>
      </c>
      <c r="D924" t="str">
        <f>VLOOKUP(B924,ZoneTable,2,FALSE)</f>
        <v>Queens</v>
      </c>
      <c r="E924" t="str">
        <f>VLOOKUP(B924,ZoneTable,3,FALSE)</f>
        <v>Long Island City/Hunters Point</v>
      </c>
      <c r="F924" t="str">
        <f>IF(OR(B924=1,B924=132,B924=138),"Airports",D924)</f>
        <v>Queens</v>
      </c>
    </row>
    <row r="925" spans="1:6">
      <c r="A925" s="33">
        <v>42095</v>
      </c>
      <c r="B925">
        <v>146</v>
      </c>
      <c r="C925">
        <v>3112</v>
      </c>
      <c r="D925" t="str">
        <f>VLOOKUP(B925,ZoneTable,2,FALSE)</f>
        <v>Queens</v>
      </c>
      <c r="E925" t="str">
        <f>VLOOKUP(B925,ZoneTable,3,FALSE)</f>
        <v>Long Island City/Queens Plaza</v>
      </c>
      <c r="F925" t="str">
        <f>IF(OR(B925=1,B925=132,B925=138),"Airports",D925)</f>
        <v>Queens</v>
      </c>
    </row>
    <row r="926" spans="1:6">
      <c r="A926" s="33">
        <v>42095</v>
      </c>
      <c r="B926">
        <v>147</v>
      </c>
      <c r="C926">
        <v>408</v>
      </c>
      <c r="D926" t="str">
        <f>VLOOKUP(B926,ZoneTable,2,FALSE)</f>
        <v>Bronx</v>
      </c>
      <c r="E926" t="str">
        <f>VLOOKUP(B926,ZoneTable,3,FALSE)</f>
        <v>Longwood</v>
      </c>
      <c r="F926" t="str">
        <f>IF(OR(B926=1,B926=132,B926=138),"Airports",D926)</f>
        <v>Bronx</v>
      </c>
    </row>
    <row r="927" spans="1:6">
      <c r="A927" s="33">
        <v>42095</v>
      </c>
      <c r="B927">
        <v>148</v>
      </c>
      <c r="C927">
        <v>40220</v>
      </c>
      <c r="D927" t="str">
        <f>VLOOKUP(B927,ZoneTable,2,FALSE)</f>
        <v>Manhattan</v>
      </c>
      <c r="E927" t="str">
        <f>VLOOKUP(B927,ZoneTable,3,FALSE)</f>
        <v>Lower East Side</v>
      </c>
      <c r="F927" t="str">
        <f>IF(OR(B927=1,B927=132,B927=138),"Airports",D927)</f>
        <v>Manhattan</v>
      </c>
    </row>
    <row r="928" spans="1:6">
      <c r="A928" s="33">
        <v>42095</v>
      </c>
      <c r="B928">
        <v>149</v>
      </c>
      <c r="C928">
        <v>1272</v>
      </c>
      <c r="D928" t="str">
        <f>VLOOKUP(B928,ZoneTable,2,FALSE)</f>
        <v>Brooklyn</v>
      </c>
      <c r="E928" t="str">
        <f>VLOOKUP(B928,ZoneTable,3,FALSE)</f>
        <v>Madison</v>
      </c>
      <c r="F928" t="str">
        <f>IF(OR(B928=1,B928=132,B928=138),"Airports",D928)</f>
        <v>Brooklyn</v>
      </c>
    </row>
    <row r="929" spans="1:6">
      <c r="A929" s="33">
        <v>42095</v>
      </c>
      <c r="B929">
        <v>150</v>
      </c>
      <c r="C929">
        <v>665</v>
      </c>
      <c r="D929" t="str">
        <f>VLOOKUP(B929,ZoneTable,2,FALSE)</f>
        <v>Brooklyn</v>
      </c>
      <c r="E929" t="str">
        <f>VLOOKUP(B929,ZoneTable,3,FALSE)</f>
        <v>Manhattan Beach</v>
      </c>
      <c r="F929" t="str">
        <f>IF(OR(B929=1,B929=132,B929=138),"Airports",D929)</f>
        <v>Brooklyn</v>
      </c>
    </row>
    <row r="930" spans="1:6">
      <c r="A930" s="33">
        <v>42095</v>
      </c>
      <c r="B930">
        <v>151</v>
      </c>
      <c r="C930">
        <v>9377</v>
      </c>
      <c r="D930" t="str">
        <f>VLOOKUP(B930,ZoneTable,2,FALSE)</f>
        <v>Manhattan</v>
      </c>
      <c r="E930" t="str">
        <f>VLOOKUP(B930,ZoneTable,3,FALSE)</f>
        <v>Manhattan Valley</v>
      </c>
      <c r="F930" t="str">
        <f>IF(OR(B930=1,B930=132,B930=138),"Airports",D930)</f>
        <v>Manhattan</v>
      </c>
    </row>
    <row r="931" spans="1:6">
      <c r="A931" s="33">
        <v>42095</v>
      </c>
      <c r="B931">
        <v>152</v>
      </c>
      <c r="C931">
        <v>2824</v>
      </c>
      <c r="D931" t="str">
        <f>VLOOKUP(B931,ZoneTable,2,FALSE)</f>
        <v>Manhattan</v>
      </c>
      <c r="E931" t="str">
        <f>VLOOKUP(B931,ZoneTable,3,FALSE)</f>
        <v>Manhattanville</v>
      </c>
      <c r="F931" t="str">
        <f>IF(OR(B931=1,B931=132,B931=138),"Airports",D931)</f>
        <v>Manhattan</v>
      </c>
    </row>
    <row r="932" spans="1:6">
      <c r="A932" s="33">
        <v>42095</v>
      </c>
      <c r="B932">
        <v>153</v>
      </c>
      <c r="C932">
        <v>441</v>
      </c>
      <c r="D932" t="str">
        <f>VLOOKUP(B932,ZoneTable,2,FALSE)</f>
        <v>Manhattan</v>
      </c>
      <c r="E932" t="str">
        <f>VLOOKUP(B932,ZoneTable,3,FALSE)</f>
        <v>Marble Hill</v>
      </c>
      <c r="F932" t="str">
        <f>IF(OR(B932=1,B932=132,B932=138),"Airports",D932)</f>
        <v>Manhattan</v>
      </c>
    </row>
    <row r="933" spans="1:6">
      <c r="A933" s="33">
        <v>42095</v>
      </c>
      <c r="B933">
        <v>154</v>
      </c>
      <c r="C933">
        <v>122</v>
      </c>
      <c r="D933" t="str">
        <f>VLOOKUP(B933,ZoneTable,2,FALSE)</f>
        <v>Brooklyn</v>
      </c>
      <c r="E933" t="str">
        <f>VLOOKUP(B933,ZoneTable,3,FALSE)</f>
        <v>Marine Park/Floyd Bennett Field</v>
      </c>
      <c r="F933" t="str">
        <f>IF(OR(B933=1,B933=132,B933=138),"Airports",D933)</f>
        <v>Brooklyn</v>
      </c>
    </row>
    <row r="934" spans="1:6">
      <c r="A934" s="33">
        <v>42095</v>
      </c>
      <c r="B934">
        <v>155</v>
      </c>
      <c r="C934">
        <v>1480</v>
      </c>
      <c r="D934" t="str">
        <f>VLOOKUP(B934,ZoneTable,2,FALSE)</f>
        <v>Brooklyn</v>
      </c>
      <c r="E934" t="str">
        <f>VLOOKUP(B934,ZoneTable,3,FALSE)</f>
        <v>Marine Park/Mill Basin</v>
      </c>
      <c r="F934" t="str">
        <f>IF(OR(B934=1,B934=132,B934=138),"Airports",D934)</f>
        <v>Brooklyn</v>
      </c>
    </row>
    <row r="935" spans="1:6">
      <c r="A935" s="33">
        <v>42095</v>
      </c>
      <c r="B935">
        <v>156</v>
      </c>
      <c r="C935">
        <v>67</v>
      </c>
      <c r="D935" t="str">
        <f>VLOOKUP(B935,ZoneTable,2,FALSE)</f>
        <v>Staten Island</v>
      </c>
      <c r="E935" t="str">
        <f>VLOOKUP(B935,ZoneTable,3,FALSE)</f>
        <v>Mariners Harbor</v>
      </c>
      <c r="F935" t="str">
        <f>IF(OR(B935=1,B935=132,B935=138),"Airports",D935)</f>
        <v>Staten Island</v>
      </c>
    </row>
    <row r="936" spans="1:6">
      <c r="A936" s="33">
        <v>42095</v>
      </c>
      <c r="B936">
        <v>157</v>
      </c>
      <c r="C936">
        <v>2383</v>
      </c>
      <c r="D936" t="str">
        <f>VLOOKUP(B936,ZoneTable,2,FALSE)</f>
        <v>Queens</v>
      </c>
      <c r="E936" t="str">
        <f>VLOOKUP(B936,ZoneTable,3,FALSE)</f>
        <v>Maspeth</v>
      </c>
      <c r="F936" t="str">
        <f>IF(OR(B936=1,B936=132,B936=138),"Airports",D936)</f>
        <v>Queens</v>
      </c>
    </row>
    <row r="937" spans="1:6">
      <c r="A937" s="33">
        <v>42095</v>
      </c>
      <c r="B937">
        <v>158</v>
      </c>
      <c r="C937">
        <v>42628</v>
      </c>
      <c r="D937" t="str">
        <f>VLOOKUP(B937,ZoneTable,2,FALSE)</f>
        <v>Manhattan</v>
      </c>
      <c r="E937" t="str">
        <f>VLOOKUP(B937,ZoneTable,3,FALSE)</f>
        <v>Meatpacking/West Village West</v>
      </c>
      <c r="F937" t="str">
        <f>IF(OR(B937=1,B937=132,B937=138),"Airports",D937)</f>
        <v>Manhattan</v>
      </c>
    </row>
    <row r="938" spans="1:6">
      <c r="A938" s="33">
        <v>42095</v>
      </c>
      <c r="B938">
        <v>159</v>
      </c>
      <c r="C938">
        <v>857</v>
      </c>
      <c r="D938" t="str">
        <f>VLOOKUP(B938,ZoneTable,2,FALSE)</f>
        <v>Bronx</v>
      </c>
      <c r="E938" t="str">
        <f>VLOOKUP(B938,ZoneTable,3,FALSE)</f>
        <v>Melrose South</v>
      </c>
      <c r="F938" t="str">
        <f>IF(OR(B938=1,B938=132,B938=138),"Airports",D938)</f>
        <v>Bronx</v>
      </c>
    </row>
    <row r="939" spans="1:6">
      <c r="A939" s="33">
        <v>42095</v>
      </c>
      <c r="B939">
        <v>160</v>
      </c>
      <c r="C939">
        <v>1917</v>
      </c>
      <c r="D939" t="str">
        <f>VLOOKUP(B939,ZoneTable,2,FALSE)</f>
        <v>Queens</v>
      </c>
      <c r="E939" t="str">
        <f>VLOOKUP(B939,ZoneTable,3,FALSE)</f>
        <v>Middle Village</v>
      </c>
      <c r="F939" t="str">
        <f>IF(OR(B939=1,B939=132,B939=138),"Airports",D939)</f>
        <v>Queens</v>
      </c>
    </row>
    <row r="940" spans="1:6">
      <c r="A940" s="33">
        <v>42095</v>
      </c>
      <c r="B940">
        <v>161</v>
      </c>
      <c r="C940">
        <v>72710</v>
      </c>
      <c r="D940" t="str">
        <f>VLOOKUP(B940,ZoneTable,2,FALSE)</f>
        <v>Manhattan</v>
      </c>
      <c r="E940" t="str">
        <f>VLOOKUP(B940,ZoneTable,3,FALSE)</f>
        <v>Midtown Center</v>
      </c>
      <c r="F940" t="str">
        <f>IF(OR(B940=1,B940=132,B940=138),"Airports",D940)</f>
        <v>Manhattan</v>
      </c>
    </row>
    <row r="941" spans="1:6">
      <c r="A941" s="33">
        <v>42095</v>
      </c>
      <c r="B941">
        <v>162</v>
      </c>
      <c r="C941">
        <v>45725</v>
      </c>
      <c r="D941" t="str">
        <f>VLOOKUP(B941,ZoneTable,2,FALSE)</f>
        <v>Manhattan</v>
      </c>
      <c r="E941" t="str">
        <f>VLOOKUP(B941,ZoneTable,3,FALSE)</f>
        <v>Midtown East</v>
      </c>
      <c r="F941" t="str">
        <f>IF(OR(B941=1,B941=132,B941=138),"Airports",D941)</f>
        <v>Manhattan</v>
      </c>
    </row>
    <row r="942" spans="1:6">
      <c r="A942" s="33">
        <v>42095</v>
      </c>
      <c r="B942">
        <v>163</v>
      </c>
      <c r="C942">
        <v>47247</v>
      </c>
      <c r="D942" t="str">
        <f>VLOOKUP(B942,ZoneTable,2,FALSE)</f>
        <v>Manhattan</v>
      </c>
      <c r="E942" t="str">
        <f>VLOOKUP(B942,ZoneTable,3,FALSE)</f>
        <v>Midtown North</v>
      </c>
      <c r="F942" t="str">
        <f>IF(OR(B942=1,B942=132,B942=138),"Airports",D942)</f>
        <v>Manhattan</v>
      </c>
    </row>
    <row r="943" spans="1:6">
      <c r="A943" s="33">
        <v>42095</v>
      </c>
      <c r="B943">
        <v>164</v>
      </c>
      <c r="C943">
        <v>43200</v>
      </c>
      <c r="D943" t="str">
        <f>VLOOKUP(B943,ZoneTable,2,FALSE)</f>
        <v>Manhattan</v>
      </c>
      <c r="E943" t="str">
        <f>VLOOKUP(B943,ZoneTable,3,FALSE)</f>
        <v>Midtown South</v>
      </c>
      <c r="F943" t="str">
        <f>IF(OR(B943=1,B943=132,B943=138),"Airports",D943)</f>
        <v>Manhattan</v>
      </c>
    </row>
    <row r="944" spans="1:6">
      <c r="A944" s="33">
        <v>42095</v>
      </c>
      <c r="B944">
        <v>165</v>
      </c>
      <c r="C944">
        <v>2816</v>
      </c>
      <c r="D944" t="str">
        <f>VLOOKUP(B944,ZoneTable,2,FALSE)</f>
        <v>Brooklyn</v>
      </c>
      <c r="E944" t="str">
        <f>VLOOKUP(B944,ZoneTable,3,FALSE)</f>
        <v>Midwood</v>
      </c>
      <c r="F944" t="str">
        <f>IF(OR(B944=1,B944=132,B944=138),"Airports",D944)</f>
        <v>Brooklyn</v>
      </c>
    </row>
    <row r="945" spans="1:6">
      <c r="A945" s="33">
        <v>42095</v>
      </c>
      <c r="B945">
        <v>166</v>
      </c>
      <c r="C945">
        <v>10176</v>
      </c>
      <c r="D945" t="str">
        <f>VLOOKUP(B945,ZoneTable,2,FALSE)</f>
        <v>Manhattan</v>
      </c>
      <c r="E945" t="str">
        <f>VLOOKUP(B945,ZoneTable,3,FALSE)</f>
        <v>Morningside Heights</v>
      </c>
      <c r="F945" t="str">
        <f>IF(OR(B945=1,B945=132,B945=138),"Airports",D945)</f>
        <v>Manhattan</v>
      </c>
    </row>
    <row r="946" spans="1:6">
      <c r="A946" s="33">
        <v>42095</v>
      </c>
      <c r="B946">
        <v>167</v>
      </c>
      <c r="C946">
        <v>814</v>
      </c>
      <c r="D946" t="str">
        <f>VLOOKUP(B946,ZoneTable,2,FALSE)</f>
        <v>Bronx</v>
      </c>
      <c r="E946" t="str">
        <f>VLOOKUP(B946,ZoneTable,3,FALSE)</f>
        <v>Morrisania/Melrose</v>
      </c>
      <c r="F946" t="str">
        <f>IF(OR(B946=1,B946=132,B946=138),"Airports",D946)</f>
        <v>Bronx</v>
      </c>
    </row>
    <row r="947" spans="1:6">
      <c r="A947" s="33">
        <v>42095</v>
      </c>
      <c r="B947">
        <v>168</v>
      </c>
      <c r="C947">
        <v>1729</v>
      </c>
      <c r="D947" t="str">
        <f>VLOOKUP(B947,ZoneTable,2,FALSE)</f>
        <v>Bronx</v>
      </c>
      <c r="E947" t="str">
        <f>VLOOKUP(B947,ZoneTable,3,FALSE)</f>
        <v>Mott Haven/Port Morris</v>
      </c>
      <c r="F947" t="str">
        <f>IF(OR(B947=1,B947=132,B947=138),"Airports",D947)</f>
        <v>Bronx</v>
      </c>
    </row>
    <row r="948" spans="1:6">
      <c r="A948" s="33">
        <v>42095</v>
      </c>
      <c r="B948">
        <v>169</v>
      </c>
      <c r="C948">
        <v>855</v>
      </c>
      <c r="D948" t="str">
        <f>VLOOKUP(B948,ZoneTable,2,FALSE)</f>
        <v>Bronx</v>
      </c>
      <c r="E948" t="str">
        <f>VLOOKUP(B948,ZoneTable,3,FALSE)</f>
        <v>Mount Hope</v>
      </c>
      <c r="F948" t="str">
        <f>IF(OR(B948=1,B948=132,B948=138),"Airports",D948)</f>
        <v>Bronx</v>
      </c>
    </row>
    <row r="949" spans="1:6">
      <c r="A949" s="33">
        <v>42095</v>
      </c>
      <c r="B949">
        <v>170</v>
      </c>
      <c r="C949">
        <v>45406</v>
      </c>
      <c r="D949" t="str">
        <f>VLOOKUP(B949,ZoneTable,2,FALSE)</f>
        <v>Manhattan</v>
      </c>
      <c r="E949" t="str">
        <f>VLOOKUP(B949,ZoneTable,3,FALSE)</f>
        <v>Murray Hill</v>
      </c>
      <c r="F949" t="str">
        <f>IF(OR(B949=1,B949=132,B949=138),"Airports",D949)</f>
        <v>Manhattan</v>
      </c>
    </row>
    <row r="950" spans="1:6">
      <c r="A950" s="33">
        <v>42095</v>
      </c>
      <c r="B950">
        <v>171</v>
      </c>
      <c r="C950">
        <v>956</v>
      </c>
      <c r="D950" t="str">
        <f>VLOOKUP(B950,ZoneTable,2,FALSE)</f>
        <v>Queens</v>
      </c>
      <c r="E950" t="str">
        <f>VLOOKUP(B950,ZoneTable,3,FALSE)</f>
        <v>Murray Hill-Queens</v>
      </c>
      <c r="F950" t="str">
        <f>IF(OR(B950=1,B950=132,B950=138),"Airports",D950)</f>
        <v>Queens</v>
      </c>
    </row>
    <row r="951" spans="1:6">
      <c r="A951" s="33">
        <v>42095</v>
      </c>
      <c r="B951">
        <v>172</v>
      </c>
      <c r="C951">
        <v>25</v>
      </c>
      <c r="D951" t="str">
        <f>VLOOKUP(B951,ZoneTable,2,FALSE)</f>
        <v>Staten Island</v>
      </c>
      <c r="E951" t="str">
        <f>VLOOKUP(B951,ZoneTable,3,FALSE)</f>
        <v>New Dorp/Midland Beach</v>
      </c>
      <c r="F951" t="str">
        <f>IF(OR(B951=1,B951=132,B951=138),"Airports",D951)</f>
        <v>Staten Island</v>
      </c>
    </row>
    <row r="952" spans="1:6">
      <c r="A952" s="33">
        <v>42095</v>
      </c>
      <c r="B952">
        <v>173</v>
      </c>
      <c r="C952">
        <v>712</v>
      </c>
      <c r="D952" t="str">
        <f>VLOOKUP(B952,ZoneTable,2,FALSE)</f>
        <v>Queens</v>
      </c>
      <c r="E952" t="str">
        <f>VLOOKUP(B952,ZoneTable,3,FALSE)</f>
        <v>North Corona</v>
      </c>
      <c r="F952" t="str">
        <f>IF(OR(B952=1,B952=132,B952=138),"Airports",D952)</f>
        <v>Queens</v>
      </c>
    </row>
    <row r="953" spans="1:6">
      <c r="A953" s="33">
        <v>42095</v>
      </c>
      <c r="B953">
        <v>174</v>
      </c>
      <c r="C953">
        <v>1026</v>
      </c>
      <c r="D953" t="str">
        <f>VLOOKUP(B953,ZoneTable,2,FALSE)</f>
        <v>Bronx</v>
      </c>
      <c r="E953" t="str">
        <f>VLOOKUP(B953,ZoneTable,3,FALSE)</f>
        <v>Norwood</v>
      </c>
      <c r="F953" t="str">
        <f>IF(OR(B953=1,B953=132,B953=138),"Airports",D953)</f>
        <v>Bronx</v>
      </c>
    </row>
    <row r="954" spans="1:6">
      <c r="A954" s="33">
        <v>42095</v>
      </c>
      <c r="B954">
        <v>175</v>
      </c>
      <c r="C954">
        <v>566</v>
      </c>
      <c r="D954" t="str">
        <f>VLOOKUP(B954,ZoneTable,2,FALSE)</f>
        <v>Queens</v>
      </c>
      <c r="E954" t="str">
        <f>VLOOKUP(B954,ZoneTable,3,FALSE)</f>
        <v>Oakland Gardens</v>
      </c>
      <c r="F954" t="str">
        <f>IF(OR(B954=1,B954=132,B954=138),"Airports",D954)</f>
        <v>Queens</v>
      </c>
    </row>
    <row r="955" spans="1:6">
      <c r="A955" s="33">
        <v>42095</v>
      </c>
      <c r="B955">
        <v>176</v>
      </c>
      <c r="C955">
        <v>19</v>
      </c>
      <c r="D955" t="str">
        <f>VLOOKUP(B955,ZoneTable,2,FALSE)</f>
        <v>Staten Island</v>
      </c>
      <c r="E955" t="str">
        <f>VLOOKUP(B955,ZoneTable,3,FALSE)</f>
        <v>Oakwood</v>
      </c>
      <c r="F955" t="str">
        <f>IF(OR(B955=1,B955=132,B955=138),"Airports",D955)</f>
        <v>Staten Island</v>
      </c>
    </row>
    <row r="956" spans="1:6">
      <c r="A956" s="33">
        <v>42095</v>
      </c>
      <c r="B956">
        <v>177</v>
      </c>
      <c r="C956">
        <v>2218</v>
      </c>
      <c r="D956" t="str">
        <f>VLOOKUP(B956,ZoneTable,2,FALSE)</f>
        <v>Brooklyn</v>
      </c>
      <c r="E956" t="str">
        <f>VLOOKUP(B956,ZoneTable,3,FALSE)</f>
        <v>Ocean Hill</v>
      </c>
      <c r="F956" t="str">
        <f>IF(OR(B956=1,B956=132,B956=138),"Airports",D956)</f>
        <v>Brooklyn</v>
      </c>
    </row>
    <row r="957" spans="1:6">
      <c r="A957" s="33">
        <v>42095</v>
      </c>
      <c r="B957">
        <v>178</v>
      </c>
      <c r="C957">
        <v>1159</v>
      </c>
      <c r="D957" t="str">
        <f>VLOOKUP(B957,ZoneTable,2,FALSE)</f>
        <v>Brooklyn</v>
      </c>
      <c r="E957" t="str">
        <f>VLOOKUP(B957,ZoneTable,3,FALSE)</f>
        <v>Ocean Parkway South</v>
      </c>
      <c r="F957" t="str">
        <f>IF(OR(B957=1,B957=132,B957=138),"Airports",D957)</f>
        <v>Brooklyn</v>
      </c>
    </row>
    <row r="958" spans="1:6">
      <c r="A958" s="33">
        <v>42095</v>
      </c>
      <c r="B958">
        <v>179</v>
      </c>
      <c r="C958">
        <v>4196</v>
      </c>
      <c r="D958" t="str">
        <f>VLOOKUP(B958,ZoneTable,2,FALSE)</f>
        <v>Queens</v>
      </c>
      <c r="E958" t="str">
        <f>VLOOKUP(B958,ZoneTable,3,FALSE)</f>
        <v>Old Astoria</v>
      </c>
      <c r="F958" t="str">
        <f>IF(OR(B958=1,B958=132,B958=138),"Airports",D958)</f>
        <v>Queens</v>
      </c>
    </row>
    <row r="959" spans="1:6">
      <c r="A959" s="33">
        <v>42095</v>
      </c>
      <c r="B959">
        <v>180</v>
      </c>
      <c r="C959">
        <v>829</v>
      </c>
      <c r="D959" t="str">
        <f>VLOOKUP(B959,ZoneTable,2,FALSE)</f>
        <v>Queens</v>
      </c>
      <c r="E959" t="str">
        <f>VLOOKUP(B959,ZoneTable,3,FALSE)</f>
        <v>Ozone Park</v>
      </c>
      <c r="F959" t="str">
        <f>IF(OR(B959=1,B959=132,B959=138),"Airports",D959)</f>
        <v>Queens</v>
      </c>
    </row>
    <row r="960" spans="1:6">
      <c r="A960" s="33">
        <v>42095</v>
      </c>
      <c r="B960">
        <v>181</v>
      </c>
      <c r="C960">
        <v>25489</v>
      </c>
      <c r="D960" t="str">
        <f>VLOOKUP(B960,ZoneTable,2,FALSE)</f>
        <v>Brooklyn</v>
      </c>
      <c r="E960" t="str">
        <f>VLOOKUP(B960,ZoneTable,3,FALSE)</f>
        <v>Park Slope</v>
      </c>
      <c r="F960" t="str">
        <f>IF(OR(B960=1,B960=132,B960=138),"Airports",D960)</f>
        <v>Brooklyn</v>
      </c>
    </row>
    <row r="961" spans="1:6">
      <c r="A961" s="33">
        <v>42095</v>
      </c>
      <c r="B961">
        <v>182</v>
      </c>
      <c r="C961">
        <v>603</v>
      </c>
      <c r="D961" t="str">
        <f>VLOOKUP(B961,ZoneTable,2,FALSE)</f>
        <v>Bronx</v>
      </c>
      <c r="E961" t="str">
        <f>VLOOKUP(B961,ZoneTable,3,FALSE)</f>
        <v>Parkchester</v>
      </c>
      <c r="F961" t="str">
        <f>IF(OR(B961=1,B961=132,B961=138),"Airports",D961)</f>
        <v>Bronx</v>
      </c>
    </row>
    <row r="962" spans="1:6">
      <c r="A962" s="33">
        <v>42095</v>
      </c>
      <c r="B962">
        <v>183</v>
      </c>
      <c r="C962">
        <v>359</v>
      </c>
      <c r="D962" t="str">
        <f>VLOOKUP(B962,ZoneTable,2,FALSE)</f>
        <v>Bronx</v>
      </c>
      <c r="E962" t="str">
        <f>VLOOKUP(B962,ZoneTable,3,FALSE)</f>
        <v>Pelham Bay</v>
      </c>
      <c r="F962" t="str">
        <f>IF(OR(B962=1,B962=132,B962=138),"Airports",D962)</f>
        <v>Bronx</v>
      </c>
    </row>
    <row r="963" spans="1:6">
      <c r="A963" s="33">
        <v>42095</v>
      </c>
      <c r="B963">
        <v>184</v>
      </c>
      <c r="C963">
        <v>84</v>
      </c>
      <c r="D963" t="str">
        <f>VLOOKUP(B963,ZoneTable,2,FALSE)</f>
        <v>Bronx</v>
      </c>
      <c r="E963" t="str">
        <f>VLOOKUP(B963,ZoneTable,3,FALSE)</f>
        <v>Pelham Bay Park</v>
      </c>
      <c r="F963" t="str">
        <f>IF(OR(B963=1,B963=132,B963=138),"Airports",D963)</f>
        <v>Bronx</v>
      </c>
    </row>
    <row r="964" spans="1:6">
      <c r="A964" s="33">
        <v>42095</v>
      </c>
      <c r="B964">
        <v>185</v>
      </c>
      <c r="C964">
        <v>1151</v>
      </c>
      <c r="D964" t="str">
        <f>VLOOKUP(B964,ZoneTable,2,FALSE)</f>
        <v>Bronx</v>
      </c>
      <c r="E964" t="str">
        <f>VLOOKUP(B964,ZoneTable,3,FALSE)</f>
        <v>Pelham Parkway</v>
      </c>
      <c r="F964" t="str">
        <f>IF(OR(B964=1,B964=132,B964=138),"Airports",D964)</f>
        <v>Bronx</v>
      </c>
    </row>
    <row r="965" spans="1:6">
      <c r="A965" s="33">
        <v>42095</v>
      </c>
      <c r="B965">
        <v>186</v>
      </c>
      <c r="C965">
        <v>30989</v>
      </c>
      <c r="D965" t="str">
        <f>VLOOKUP(B965,ZoneTable,2,FALSE)</f>
        <v>Manhattan</v>
      </c>
      <c r="E965" t="str">
        <f>VLOOKUP(B965,ZoneTable,3,FALSE)</f>
        <v>Penn Station/Madison Sq West</v>
      </c>
      <c r="F965" t="str">
        <f>IF(OR(B965=1,B965=132,B965=138),"Airports",D965)</f>
        <v>Manhattan</v>
      </c>
    </row>
    <row r="966" spans="1:6">
      <c r="A966" s="33">
        <v>42095</v>
      </c>
      <c r="B966">
        <v>187</v>
      </c>
      <c r="C966">
        <v>24</v>
      </c>
      <c r="D966" t="str">
        <f>VLOOKUP(B966,ZoneTable,2,FALSE)</f>
        <v>Staten Island</v>
      </c>
      <c r="E966" t="str">
        <f>VLOOKUP(B966,ZoneTable,3,FALSE)</f>
        <v>Port Richmond</v>
      </c>
      <c r="F966" t="str">
        <f>IF(OR(B966=1,B966=132,B966=138),"Airports",D966)</f>
        <v>Staten Island</v>
      </c>
    </row>
    <row r="967" spans="1:6">
      <c r="A967" s="33">
        <v>42095</v>
      </c>
      <c r="B967">
        <v>188</v>
      </c>
      <c r="C967">
        <v>6104</v>
      </c>
      <c r="D967" t="str">
        <f>VLOOKUP(B967,ZoneTable,2,FALSE)</f>
        <v>Brooklyn</v>
      </c>
      <c r="E967" t="str">
        <f>VLOOKUP(B967,ZoneTable,3,FALSE)</f>
        <v>Prospect-Lefferts Gardens</v>
      </c>
      <c r="F967" t="str">
        <f>IF(OR(B967=1,B967=132,B967=138),"Airports",D967)</f>
        <v>Brooklyn</v>
      </c>
    </row>
    <row r="968" spans="1:6">
      <c r="A968" s="33">
        <v>42095</v>
      </c>
      <c r="B968">
        <v>189</v>
      </c>
      <c r="C968">
        <v>8713</v>
      </c>
      <c r="D968" t="str">
        <f>VLOOKUP(B968,ZoneTable,2,FALSE)</f>
        <v>Brooklyn</v>
      </c>
      <c r="E968" t="str">
        <f>VLOOKUP(B968,ZoneTable,3,FALSE)</f>
        <v>Prospect Heights</v>
      </c>
      <c r="F968" t="str">
        <f>IF(OR(B968=1,B968=132,B968=138),"Airports",D968)</f>
        <v>Brooklyn</v>
      </c>
    </row>
    <row r="969" spans="1:6">
      <c r="A969" s="33">
        <v>42095</v>
      </c>
      <c r="B969">
        <v>190</v>
      </c>
      <c r="C969">
        <v>1598</v>
      </c>
      <c r="D969" t="str">
        <f>VLOOKUP(B969,ZoneTable,2,FALSE)</f>
        <v>Brooklyn</v>
      </c>
      <c r="E969" t="str">
        <f>VLOOKUP(B969,ZoneTable,3,FALSE)</f>
        <v>Prospect Park</v>
      </c>
      <c r="F969" t="str">
        <f>IF(OR(B969=1,B969=132,B969=138),"Airports",D969)</f>
        <v>Brooklyn</v>
      </c>
    </row>
    <row r="970" spans="1:6">
      <c r="A970" s="33">
        <v>42095</v>
      </c>
      <c r="B970">
        <v>191</v>
      </c>
      <c r="C970">
        <v>904</v>
      </c>
      <c r="D970" t="str">
        <f>VLOOKUP(B970,ZoneTable,2,FALSE)</f>
        <v>Queens</v>
      </c>
      <c r="E970" t="str">
        <f>VLOOKUP(B970,ZoneTable,3,FALSE)</f>
        <v>Queens Village</v>
      </c>
      <c r="F970" t="str">
        <f>IF(OR(B970=1,B970=132,B970=138),"Airports",D970)</f>
        <v>Queens</v>
      </c>
    </row>
    <row r="971" spans="1:6">
      <c r="A971" s="33">
        <v>42095</v>
      </c>
      <c r="B971">
        <v>192</v>
      </c>
      <c r="C971">
        <v>873</v>
      </c>
      <c r="D971" t="str">
        <f>VLOOKUP(B971,ZoneTable,2,FALSE)</f>
        <v>Queens</v>
      </c>
      <c r="E971" t="str">
        <f>VLOOKUP(B971,ZoneTable,3,FALSE)</f>
        <v>Queensboro Hill</v>
      </c>
      <c r="F971" t="str">
        <f>IF(OR(B971=1,B971=132,B971=138),"Airports",D971)</f>
        <v>Queens</v>
      </c>
    </row>
    <row r="972" spans="1:6">
      <c r="A972" s="33">
        <v>42095</v>
      </c>
      <c r="B972">
        <v>193</v>
      </c>
      <c r="C972">
        <v>789</v>
      </c>
      <c r="D972" t="str">
        <f>VLOOKUP(B972,ZoneTable,2,FALSE)</f>
        <v>Queens</v>
      </c>
      <c r="E972" t="str">
        <f>VLOOKUP(B972,ZoneTable,3,FALSE)</f>
        <v>Queensbridge/Ravenswood</v>
      </c>
      <c r="F972" t="str">
        <f>IF(OR(B972=1,B972=132,B972=138),"Airports",D972)</f>
        <v>Queens</v>
      </c>
    </row>
    <row r="973" spans="1:6">
      <c r="A973" s="33">
        <v>42095</v>
      </c>
      <c r="B973">
        <v>194</v>
      </c>
      <c r="C973">
        <v>396</v>
      </c>
      <c r="D973" t="str">
        <f>VLOOKUP(B973,ZoneTable,2,FALSE)</f>
        <v>Manhattan</v>
      </c>
      <c r="E973" t="str">
        <f>VLOOKUP(B973,ZoneTable,3,FALSE)</f>
        <v>Randalls Island</v>
      </c>
      <c r="F973" t="str">
        <f>IF(OR(B973=1,B973=132,B973=138),"Airports",D973)</f>
        <v>Manhattan</v>
      </c>
    </row>
    <row r="974" spans="1:6">
      <c r="A974" s="33">
        <v>42095</v>
      </c>
      <c r="B974">
        <v>195</v>
      </c>
      <c r="C974">
        <v>3627</v>
      </c>
      <c r="D974" t="str">
        <f>VLOOKUP(B974,ZoneTable,2,FALSE)</f>
        <v>Brooklyn</v>
      </c>
      <c r="E974" t="str">
        <f>VLOOKUP(B974,ZoneTable,3,FALSE)</f>
        <v>Red Hook</v>
      </c>
      <c r="F974" t="str">
        <f>IF(OR(B974=1,B974=132,B974=138),"Airports",D974)</f>
        <v>Brooklyn</v>
      </c>
    </row>
    <row r="975" spans="1:6">
      <c r="A975" s="33">
        <v>42095</v>
      </c>
      <c r="B975">
        <v>196</v>
      </c>
      <c r="C975">
        <v>2005</v>
      </c>
      <c r="D975" t="str">
        <f>VLOOKUP(B975,ZoneTable,2,FALSE)</f>
        <v>Queens</v>
      </c>
      <c r="E975" t="str">
        <f>VLOOKUP(B975,ZoneTable,3,FALSE)</f>
        <v>Rego Park</v>
      </c>
      <c r="F975" t="str">
        <f>IF(OR(B975=1,B975=132,B975=138),"Airports",D975)</f>
        <v>Queens</v>
      </c>
    </row>
    <row r="976" spans="1:6">
      <c r="A976" s="33">
        <v>42095</v>
      </c>
      <c r="B976">
        <v>197</v>
      </c>
      <c r="C976">
        <v>1922</v>
      </c>
      <c r="D976" t="str">
        <f>VLOOKUP(B976,ZoneTable,2,FALSE)</f>
        <v>Queens</v>
      </c>
      <c r="E976" t="str">
        <f>VLOOKUP(B976,ZoneTable,3,FALSE)</f>
        <v>Richmond Hill</v>
      </c>
      <c r="F976" t="str">
        <f>IF(OR(B976=1,B976=132,B976=138),"Airports",D976)</f>
        <v>Queens</v>
      </c>
    </row>
    <row r="977" spans="1:6">
      <c r="A977" s="33">
        <v>42095</v>
      </c>
      <c r="B977">
        <v>198</v>
      </c>
      <c r="C977">
        <v>3967</v>
      </c>
      <c r="D977" t="str">
        <f>VLOOKUP(B977,ZoneTable,2,FALSE)</f>
        <v>Queens</v>
      </c>
      <c r="E977" t="str">
        <f>VLOOKUP(B977,ZoneTable,3,FALSE)</f>
        <v>Ridgewood</v>
      </c>
      <c r="F977" t="str">
        <f>IF(OR(B977=1,B977=132,B977=138),"Airports",D977)</f>
        <v>Queens</v>
      </c>
    </row>
    <row r="978" spans="1:6">
      <c r="A978" s="33">
        <v>42095</v>
      </c>
      <c r="B978">
        <v>200</v>
      </c>
      <c r="C978">
        <v>2855</v>
      </c>
      <c r="D978" t="str">
        <f>VLOOKUP(B978,ZoneTable,2,FALSE)</f>
        <v>Bronx</v>
      </c>
      <c r="E978" t="str">
        <f>VLOOKUP(B978,ZoneTable,3,FALSE)</f>
        <v>Riverdale/North Riverdale/Fieldston</v>
      </c>
      <c r="F978" t="str">
        <f>IF(OR(B978=1,B978=132,B978=138),"Airports",D978)</f>
        <v>Bronx</v>
      </c>
    </row>
    <row r="979" spans="1:6">
      <c r="A979" s="33">
        <v>42095</v>
      </c>
      <c r="B979">
        <v>201</v>
      </c>
      <c r="C979">
        <v>39</v>
      </c>
      <c r="D979" t="str">
        <f>VLOOKUP(B979,ZoneTable,2,FALSE)</f>
        <v>Queens</v>
      </c>
      <c r="E979" t="str">
        <f>VLOOKUP(B979,ZoneTable,3,FALSE)</f>
        <v>Rockaway Park</v>
      </c>
      <c r="F979" t="str">
        <f>IF(OR(B979=1,B979=132,B979=138),"Airports",D979)</f>
        <v>Queens</v>
      </c>
    </row>
    <row r="980" spans="1:6">
      <c r="A980" s="33">
        <v>42095</v>
      </c>
      <c r="B980">
        <v>202</v>
      </c>
      <c r="C980">
        <v>461</v>
      </c>
      <c r="D980" t="str">
        <f>VLOOKUP(B980,ZoneTable,2,FALSE)</f>
        <v>Manhattan</v>
      </c>
      <c r="E980" t="str">
        <f>VLOOKUP(B980,ZoneTable,3,FALSE)</f>
        <v>Roosevelt Island</v>
      </c>
      <c r="F980" t="str">
        <f>IF(OR(B980=1,B980=132,B980=138),"Airports",D980)</f>
        <v>Manhattan</v>
      </c>
    </row>
    <row r="981" spans="1:6">
      <c r="A981" s="33">
        <v>42095</v>
      </c>
      <c r="B981">
        <v>203</v>
      </c>
      <c r="C981">
        <v>568</v>
      </c>
      <c r="D981" t="str">
        <f>VLOOKUP(B981,ZoneTable,2,FALSE)</f>
        <v>Queens</v>
      </c>
      <c r="E981" t="str">
        <f>VLOOKUP(B981,ZoneTable,3,FALSE)</f>
        <v>Rosedale</v>
      </c>
      <c r="F981" t="str">
        <f>IF(OR(B981=1,B981=132,B981=138),"Airports",D981)</f>
        <v>Queens</v>
      </c>
    </row>
    <row r="982" spans="1:6">
      <c r="A982" s="33">
        <v>42095</v>
      </c>
      <c r="B982">
        <v>204</v>
      </c>
      <c r="C982">
        <v>2</v>
      </c>
      <c r="D982" t="str">
        <f>VLOOKUP(B982,ZoneTable,2,FALSE)</f>
        <v>Staten Island</v>
      </c>
      <c r="E982" t="str">
        <f>VLOOKUP(B982,ZoneTable,3,FALSE)</f>
        <v>Rossville/Woodrow</v>
      </c>
      <c r="F982" t="str">
        <f>IF(OR(B982=1,B982=132,B982=138),"Airports",D982)</f>
        <v>Staten Island</v>
      </c>
    </row>
    <row r="983" spans="1:6">
      <c r="A983" s="33">
        <v>42095</v>
      </c>
      <c r="B983">
        <v>205</v>
      </c>
      <c r="C983">
        <v>799</v>
      </c>
      <c r="D983" t="str">
        <f>VLOOKUP(B983,ZoneTable,2,FALSE)</f>
        <v>Queens</v>
      </c>
      <c r="E983" t="str">
        <f>VLOOKUP(B983,ZoneTable,3,FALSE)</f>
        <v>Saint Albans</v>
      </c>
      <c r="F983" t="str">
        <f>IF(OR(B983=1,B983=132,B983=138),"Airports",D983)</f>
        <v>Queens</v>
      </c>
    </row>
    <row r="984" spans="1:6">
      <c r="A984" s="33">
        <v>42095</v>
      </c>
      <c r="B984">
        <v>206</v>
      </c>
      <c r="C984">
        <v>45</v>
      </c>
      <c r="D984" t="str">
        <f>VLOOKUP(B984,ZoneTable,2,FALSE)</f>
        <v>Staten Island</v>
      </c>
      <c r="E984" t="str">
        <f>VLOOKUP(B984,ZoneTable,3,FALSE)</f>
        <v>Saint George/New Brighton</v>
      </c>
      <c r="F984" t="str">
        <f>IF(OR(B984=1,B984=132,B984=138),"Airports",D984)</f>
        <v>Staten Island</v>
      </c>
    </row>
    <row r="985" spans="1:6">
      <c r="A985" s="33">
        <v>42095</v>
      </c>
      <c r="B985">
        <v>207</v>
      </c>
      <c r="C985">
        <v>57</v>
      </c>
      <c r="D985" t="str">
        <f>VLOOKUP(B985,ZoneTable,2,FALSE)</f>
        <v>Queens</v>
      </c>
      <c r="E985" t="str">
        <f>VLOOKUP(B985,ZoneTable,3,FALSE)</f>
        <v>Saint Michaels Cemetery/Woodside</v>
      </c>
      <c r="F985" t="str">
        <f>IF(OR(B985=1,B985=132,B985=138),"Airports",D985)</f>
        <v>Queens</v>
      </c>
    </row>
    <row r="986" spans="1:6">
      <c r="A986" s="33">
        <v>42095</v>
      </c>
      <c r="B986">
        <v>208</v>
      </c>
      <c r="C986">
        <v>608</v>
      </c>
      <c r="D986" t="str">
        <f>VLOOKUP(B986,ZoneTable,2,FALSE)</f>
        <v>Bronx</v>
      </c>
      <c r="E986" t="str">
        <f>VLOOKUP(B986,ZoneTable,3,FALSE)</f>
        <v>Schuylerville/Edgewater Park</v>
      </c>
      <c r="F986" t="str">
        <f>IF(OR(B986=1,B986=132,B986=138),"Airports",D986)</f>
        <v>Bronx</v>
      </c>
    </row>
    <row r="987" spans="1:6">
      <c r="A987" s="33">
        <v>42095</v>
      </c>
      <c r="B987">
        <v>209</v>
      </c>
      <c r="C987">
        <v>7999</v>
      </c>
      <c r="D987" t="str">
        <f>VLOOKUP(B987,ZoneTable,2,FALSE)</f>
        <v>Manhattan</v>
      </c>
      <c r="E987" t="str">
        <f>VLOOKUP(B987,ZoneTable,3,FALSE)</f>
        <v>Seaport</v>
      </c>
      <c r="F987" t="str">
        <f>IF(OR(B987=1,B987=132,B987=138),"Airports",D987)</f>
        <v>Manhattan</v>
      </c>
    </row>
    <row r="988" spans="1:6">
      <c r="A988" s="33">
        <v>42095</v>
      </c>
      <c r="B988">
        <v>210</v>
      </c>
      <c r="C988">
        <v>1257</v>
      </c>
      <c r="D988" t="str">
        <f>VLOOKUP(B988,ZoneTable,2,FALSE)</f>
        <v>Brooklyn</v>
      </c>
      <c r="E988" t="str">
        <f>VLOOKUP(B988,ZoneTable,3,FALSE)</f>
        <v>Sheepshead Bay</v>
      </c>
      <c r="F988" t="str">
        <f>IF(OR(B988=1,B988=132,B988=138),"Airports",D988)</f>
        <v>Brooklyn</v>
      </c>
    </row>
    <row r="989" spans="1:6">
      <c r="A989" s="33">
        <v>42095</v>
      </c>
      <c r="B989">
        <v>211</v>
      </c>
      <c r="C989">
        <v>37279</v>
      </c>
      <c r="D989" t="str">
        <f>VLOOKUP(B989,ZoneTable,2,FALSE)</f>
        <v>Manhattan</v>
      </c>
      <c r="E989" t="str">
        <f>VLOOKUP(B989,ZoneTable,3,FALSE)</f>
        <v>SoHo</v>
      </c>
      <c r="F989" t="str">
        <f>IF(OR(B989=1,B989=132,B989=138),"Airports",D989)</f>
        <v>Manhattan</v>
      </c>
    </row>
    <row r="990" spans="1:6">
      <c r="A990" s="33">
        <v>42095</v>
      </c>
      <c r="B990">
        <v>212</v>
      </c>
      <c r="C990">
        <v>545</v>
      </c>
      <c r="D990" t="str">
        <f>VLOOKUP(B990,ZoneTable,2,FALSE)</f>
        <v>Bronx</v>
      </c>
      <c r="E990" t="str">
        <f>VLOOKUP(B990,ZoneTable,3,FALSE)</f>
        <v>Soundview/Bruckner</v>
      </c>
      <c r="F990" t="str">
        <f>IF(OR(B990=1,B990=132,B990=138),"Airports",D990)</f>
        <v>Bronx</v>
      </c>
    </row>
    <row r="991" spans="1:6">
      <c r="A991" s="33">
        <v>42095</v>
      </c>
      <c r="B991">
        <v>213</v>
      </c>
      <c r="C991">
        <v>786</v>
      </c>
      <c r="D991" t="str">
        <f>VLOOKUP(B991,ZoneTable,2,FALSE)</f>
        <v>Bronx</v>
      </c>
      <c r="E991" t="str">
        <f>VLOOKUP(B991,ZoneTable,3,FALSE)</f>
        <v>Soundview/Castle Hill</v>
      </c>
      <c r="F991" t="str">
        <f>IF(OR(B991=1,B991=132,B991=138),"Airports",D991)</f>
        <v>Bronx</v>
      </c>
    </row>
    <row r="992" spans="1:6">
      <c r="A992" s="33">
        <v>42095</v>
      </c>
      <c r="B992">
        <v>214</v>
      </c>
      <c r="C992">
        <v>106</v>
      </c>
      <c r="D992" t="str">
        <f>VLOOKUP(B992,ZoneTable,2,FALSE)</f>
        <v>Staten Island</v>
      </c>
      <c r="E992" t="str">
        <f>VLOOKUP(B992,ZoneTable,3,FALSE)</f>
        <v>South Beach/Dongan Hills</v>
      </c>
      <c r="F992" t="str">
        <f>IF(OR(B992=1,B992=132,B992=138),"Airports",D992)</f>
        <v>Staten Island</v>
      </c>
    </row>
    <row r="993" spans="1:6">
      <c r="A993" s="33">
        <v>42095</v>
      </c>
      <c r="B993">
        <v>215</v>
      </c>
      <c r="C993">
        <v>621</v>
      </c>
      <c r="D993" t="str">
        <f>VLOOKUP(B993,ZoneTable,2,FALSE)</f>
        <v>Queens</v>
      </c>
      <c r="E993" t="str">
        <f>VLOOKUP(B993,ZoneTable,3,FALSE)</f>
        <v>South Jamaica</v>
      </c>
      <c r="F993" t="str">
        <f>IF(OR(B993=1,B993=132,B993=138),"Airports",D993)</f>
        <v>Queens</v>
      </c>
    </row>
    <row r="994" spans="1:6">
      <c r="A994" s="33">
        <v>42095</v>
      </c>
      <c r="B994">
        <v>216</v>
      </c>
      <c r="C994">
        <v>1833</v>
      </c>
      <c r="D994" t="str">
        <f>VLOOKUP(B994,ZoneTable,2,FALSE)</f>
        <v>Queens</v>
      </c>
      <c r="E994" t="str">
        <f>VLOOKUP(B994,ZoneTable,3,FALSE)</f>
        <v>South Ozone Park</v>
      </c>
      <c r="F994" t="str">
        <f>IF(OR(B994=1,B994=132,B994=138),"Airports",D994)</f>
        <v>Queens</v>
      </c>
    </row>
    <row r="995" spans="1:6">
      <c r="A995" s="33">
        <v>42095</v>
      </c>
      <c r="B995">
        <v>217</v>
      </c>
      <c r="C995">
        <v>1285</v>
      </c>
      <c r="D995" t="str">
        <f>VLOOKUP(B995,ZoneTable,2,FALSE)</f>
        <v>Brooklyn</v>
      </c>
      <c r="E995" t="str">
        <f>VLOOKUP(B995,ZoneTable,3,FALSE)</f>
        <v>South Williamsburg</v>
      </c>
      <c r="F995" t="str">
        <f>IF(OR(B995=1,B995=132,B995=138),"Airports",D995)</f>
        <v>Brooklyn</v>
      </c>
    </row>
    <row r="996" spans="1:6">
      <c r="A996" s="33">
        <v>42095</v>
      </c>
      <c r="B996">
        <v>218</v>
      </c>
      <c r="C996">
        <v>502</v>
      </c>
      <c r="D996" t="str">
        <f>VLOOKUP(B996,ZoneTable,2,FALSE)</f>
        <v>Queens</v>
      </c>
      <c r="E996" t="str">
        <f>VLOOKUP(B996,ZoneTable,3,FALSE)</f>
        <v>Springfield Gardens North</v>
      </c>
      <c r="F996" t="str">
        <f>IF(OR(B996=1,B996=132,B996=138),"Airports",D996)</f>
        <v>Queens</v>
      </c>
    </row>
    <row r="997" spans="1:6">
      <c r="A997" s="33">
        <v>42095</v>
      </c>
      <c r="B997">
        <v>219</v>
      </c>
      <c r="C997">
        <v>612</v>
      </c>
      <c r="D997" t="str">
        <f>VLOOKUP(B997,ZoneTable,2,FALSE)</f>
        <v>Queens</v>
      </c>
      <c r="E997" t="str">
        <f>VLOOKUP(B997,ZoneTable,3,FALSE)</f>
        <v>Springfield Gardens South</v>
      </c>
      <c r="F997" t="str">
        <f>IF(OR(B997=1,B997=132,B997=138),"Airports",D997)</f>
        <v>Queens</v>
      </c>
    </row>
    <row r="998" spans="1:6">
      <c r="A998" s="33">
        <v>42095</v>
      </c>
      <c r="B998">
        <v>220</v>
      </c>
      <c r="C998">
        <v>2355</v>
      </c>
      <c r="D998" t="str">
        <f>VLOOKUP(B998,ZoneTable,2,FALSE)</f>
        <v>Bronx</v>
      </c>
      <c r="E998" t="str">
        <f>VLOOKUP(B998,ZoneTable,3,FALSE)</f>
        <v>Spuyten Duyvil/Kingsbridge</v>
      </c>
      <c r="F998" t="str">
        <f>IF(OR(B998=1,B998=132,B998=138),"Airports",D998)</f>
        <v>Bronx</v>
      </c>
    </row>
    <row r="999" spans="1:6">
      <c r="A999" s="33">
        <v>42095</v>
      </c>
      <c r="B999">
        <v>221</v>
      </c>
      <c r="C999">
        <v>93</v>
      </c>
      <c r="D999" t="str">
        <f>VLOOKUP(B999,ZoneTable,2,FALSE)</f>
        <v>Staten Island</v>
      </c>
      <c r="E999" t="str">
        <f>VLOOKUP(B999,ZoneTable,3,FALSE)</f>
        <v>Stapleton</v>
      </c>
      <c r="F999" t="str">
        <f>IF(OR(B999=1,B999=132,B999=138),"Airports",D999)</f>
        <v>Staten Island</v>
      </c>
    </row>
    <row r="1000" spans="1:6">
      <c r="A1000" s="33">
        <v>42095</v>
      </c>
      <c r="B1000">
        <v>222</v>
      </c>
      <c r="C1000">
        <v>384</v>
      </c>
      <c r="D1000" t="str">
        <f>VLOOKUP(B1000,ZoneTable,2,FALSE)</f>
        <v>Brooklyn</v>
      </c>
      <c r="E1000" t="str">
        <f>VLOOKUP(B1000,ZoneTable,3,FALSE)</f>
        <v>Starrett City</v>
      </c>
      <c r="F1000" t="str">
        <f>IF(OR(B1000=1,B1000=132,B1000=138),"Airports",D1000)</f>
        <v>Brooklyn</v>
      </c>
    </row>
    <row r="1001" spans="1:6">
      <c r="A1001" s="33">
        <v>42095</v>
      </c>
      <c r="B1001">
        <v>223</v>
      </c>
      <c r="C1001">
        <v>7140</v>
      </c>
      <c r="D1001" t="str">
        <f>VLOOKUP(B1001,ZoneTable,2,FALSE)</f>
        <v>Queens</v>
      </c>
      <c r="E1001" t="str">
        <f>VLOOKUP(B1001,ZoneTable,3,FALSE)</f>
        <v>Steinway</v>
      </c>
      <c r="F1001" t="str">
        <f>IF(OR(B1001=1,B1001=132,B1001=138),"Airports",D1001)</f>
        <v>Queens</v>
      </c>
    </row>
    <row r="1002" spans="1:6">
      <c r="A1002" s="33">
        <v>42095</v>
      </c>
      <c r="B1002">
        <v>224</v>
      </c>
      <c r="C1002">
        <v>11934</v>
      </c>
      <c r="D1002" t="str">
        <f>VLOOKUP(B1002,ZoneTable,2,FALSE)</f>
        <v>Manhattan</v>
      </c>
      <c r="E1002" t="str">
        <f>VLOOKUP(B1002,ZoneTable,3,FALSE)</f>
        <v>Stuy Town/Peter Cooper Village</v>
      </c>
      <c r="F1002" t="str">
        <f>IF(OR(B1002=1,B1002=132,B1002=138),"Airports",D1002)</f>
        <v>Manhattan</v>
      </c>
    </row>
    <row r="1003" spans="1:6">
      <c r="A1003" s="33">
        <v>42095</v>
      </c>
      <c r="B1003">
        <v>225</v>
      </c>
      <c r="C1003">
        <v>9430</v>
      </c>
      <c r="D1003" t="str">
        <f>VLOOKUP(B1003,ZoneTable,2,FALSE)</f>
        <v>Brooklyn</v>
      </c>
      <c r="E1003" t="str">
        <f>VLOOKUP(B1003,ZoneTable,3,FALSE)</f>
        <v>Stuyvesant Heights</v>
      </c>
      <c r="F1003" t="str">
        <f>IF(OR(B1003=1,B1003=132,B1003=138),"Airports",D1003)</f>
        <v>Brooklyn</v>
      </c>
    </row>
    <row r="1004" spans="1:6">
      <c r="A1004" s="33">
        <v>42095</v>
      </c>
      <c r="B1004">
        <v>226</v>
      </c>
      <c r="C1004">
        <v>8951</v>
      </c>
      <c r="D1004" t="str">
        <f>VLOOKUP(B1004,ZoneTable,2,FALSE)</f>
        <v>Queens</v>
      </c>
      <c r="E1004" t="str">
        <f>VLOOKUP(B1004,ZoneTable,3,FALSE)</f>
        <v>Sunnyside</v>
      </c>
      <c r="F1004" t="str">
        <f>IF(OR(B1004=1,B1004=132,B1004=138),"Airports",D1004)</f>
        <v>Queens</v>
      </c>
    </row>
    <row r="1005" spans="1:6">
      <c r="A1005" s="33">
        <v>42095</v>
      </c>
      <c r="B1005">
        <v>227</v>
      </c>
      <c r="C1005">
        <v>1544</v>
      </c>
      <c r="D1005" t="str">
        <f>VLOOKUP(B1005,ZoneTable,2,FALSE)</f>
        <v>Brooklyn</v>
      </c>
      <c r="E1005" t="str">
        <f>VLOOKUP(B1005,ZoneTable,3,FALSE)</f>
        <v>Sunset Park East</v>
      </c>
      <c r="F1005" t="str">
        <f>IF(OR(B1005=1,B1005=132,B1005=138),"Airports",D1005)</f>
        <v>Brooklyn</v>
      </c>
    </row>
    <row r="1006" spans="1:6">
      <c r="A1006" s="33">
        <v>42095</v>
      </c>
      <c r="B1006">
        <v>228</v>
      </c>
      <c r="C1006">
        <v>5217</v>
      </c>
      <c r="D1006" t="str">
        <f>VLOOKUP(B1006,ZoneTable,2,FALSE)</f>
        <v>Brooklyn</v>
      </c>
      <c r="E1006" t="str">
        <f>VLOOKUP(B1006,ZoneTable,3,FALSE)</f>
        <v>Sunset Park West</v>
      </c>
      <c r="F1006" t="str">
        <f>IF(OR(B1006=1,B1006=132,B1006=138),"Airports",D1006)</f>
        <v>Brooklyn</v>
      </c>
    </row>
    <row r="1007" spans="1:6">
      <c r="A1007" s="33">
        <v>42095</v>
      </c>
      <c r="B1007">
        <v>229</v>
      </c>
      <c r="C1007">
        <v>27164</v>
      </c>
      <c r="D1007" t="str">
        <f>VLOOKUP(B1007,ZoneTable,2,FALSE)</f>
        <v>Manhattan</v>
      </c>
      <c r="E1007" t="str">
        <f>VLOOKUP(B1007,ZoneTable,3,FALSE)</f>
        <v>Sutton Place/Turtle Bay North</v>
      </c>
      <c r="F1007" t="str">
        <f>IF(OR(B1007=1,B1007=132,B1007=138),"Airports",D1007)</f>
        <v>Manhattan</v>
      </c>
    </row>
    <row r="1008" spans="1:6">
      <c r="A1008" s="33">
        <v>42095</v>
      </c>
      <c r="B1008">
        <v>230</v>
      </c>
      <c r="C1008">
        <v>50012</v>
      </c>
      <c r="D1008" t="str">
        <f>VLOOKUP(B1008,ZoneTable,2,FALSE)</f>
        <v>Manhattan</v>
      </c>
      <c r="E1008" t="str">
        <f>VLOOKUP(B1008,ZoneTable,3,FALSE)</f>
        <v>Times Sq/Theatre District</v>
      </c>
      <c r="F1008" t="str">
        <f>IF(OR(B1008=1,B1008=132,B1008=138),"Airports",D1008)</f>
        <v>Manhattan</v>
      </c>
    </row>
    <row r="1009" spans="1:6">
      <c r="A1009" s="33">
        <v>42095</v>
      </c>
      <c r="B1009">
        <v>231</v>
      </c>
      <c r="C1009">
        <v>68048</v>
      </c>
      <c r="D1009" t="str">
        <f>VLOOKUP(B1009,ZoneTable,2,FALSE)</f>
        <v>Manhattan</v>
      </c>
      <c r="E1009" t="str">
        <f>VLOOKUP(B1009,ZoneTable,3,FALSE)</f>
        <v>TriBeCa/Civic Center</v>
      </c>
      <c r="F1009" t="str">
        <f>IF(OR(B1009=1,B1009=132,B1009=138),"Airports",D1009)</f>
        <v>Manhattan</v>
      </c>
    </row>
    <row r="1010" spans="1:6">
      <c r="A1010" s="33">
        <v>42095</v>
      </c>
      <c r="B1010">
        <v>232</v>
      </c>
      <c r="C1010">
        <v>11686</v>
      </c>
      <c r="D1010" t="str">
        <f>VLOOKUP(B1010,ZoneTable,2,FALSE)</f>
        <v>Manhattan</v>
      </c>
      <c r="E1010" t="str">
        <f>VLOOKUP(B1010,ZoneTable,3,FALSE)</f>
        <v>Two Bridges/Seward Park</v>
      </c>
      <c r="F1010" t="str">
        <f>IF(OR(B1010=1,B1010=132,B1010=138),"Airports",D1010)</f>
        <v>Manhattan</v>
      </c>
    </row>
    <row r="1011" spans="1:6">
      <c r="A1011" s="33">
        <v>42095</v>
      </c>
      <c r="B1011">
        <v>233</v>
      </c>
      <c r="C1011">
        <v>22246</v>
      </c>
      <c r="D1011" t="str">
        <f>VLOOKUP(B1011,ZoneTable,2,FALSE)</f>
        <v>Manhattan</v>
      </c>
      <c r="E1011" t="str">
        <f>VLOOKUP(B1011,ZoneTable,3,FALSE)</f>
        <v>UN/Turtle Bay South</v>
      </c>
      <c r="F1011" t="str">
        <f>IF(OR(B1011=1,B1011=132,B1011=138),"Airports",D1011)</f>
        <v>Manhattan</v>
      </c>
    </row>
    <row r="1012" spans="1:6">
      <c r="A1012" s="33">
        <v>42095</v>
      </c>
      <c r="B1012">
        <v>234</v>
      </c>
      <c r="C1012">
        <v>66412</v>
      </c>
      <c r="D1012" t="str">
        <f>VLOOKUP(B1012,ZoneTable,2,FALSE)</f>
        <v>Manhattan</v>
      </c>
      <c r="E1012" t="str">
        <f>VLOOKUP(B1012,ZoneTable,3,FALSE)</f>
        <v>Union Sq</v>
      </c>
      <c r="F1012" t="str">
        <f>IF(OR(B1012=1,B1012=132,B1012=138),"Airports",D1012)</f>
        <v>Manhattan</v>
      </c>
    </row>
    <row r="1013" spans="1:6">
      <c r="A1013" s="33">
        <v>42095</v>
      </c>
      <c r="B1013">
        <v>235</v>
      </c>
      <c r="C1013">
        <v>872</v>
      </c>
      <c r="D1013" t="str">
        <f>VLOOKUP(B1013,ZoneTable,2,FALSE)</f>
        <v>Bronx</v>
      </c>
      <c r="E1013" t="str">
        <f>VLOOKUP(B1013,ZoneTable,3,FALSE)</f>
        <v>University Heights/Morris Heights</v>
      </c>
      <c r="F1013" t="str">
        <f>IF(OR(B1013=1,B1013=132,B1013=138),"Airports",D1013)</f>
        <v>Bronx</v>
      </c>
    </row>
    <row r="1014" spans="1:6">
      <c r="A1014" s="33">
        <v>42095</v>
      </c>
      <c r="B1014">
        <v>236</v>
      </c>
      <c r="C1014">
        <v>36697</v>
      </c>
      <c r="D1014" t="str">
        <f>VLOOKUP(B1014,ZoneTable,2,FALSE)</f>
        <v>Manhattan</v>
      </c>
      <c r="E1014" t="str">
        <f>VLOOKUP(B1014,ZoneTable,3,FALSE)</f>
        <v>Upper East Side North</v>
      </c>
      <c r="F1014" t="str">
        <f>IF(OR(B1014=1,B1014=132,B1014=138),"Airports",D1014)</f>
        <v>Manhattan</v>
      </c>
    </row>
    <row r="1015" spans="1:6">
      <c r="A1015" s="33">
        <v>42095</v>
      </c>
      <c r="B1015">
        <v>237</v>
      </c>
      <c r="C1015">
        <v>45478</v>
      </c>
      <c r="D1015" t="str">
        <f>VLOOKUP(B1015,ZoneTable,2,FALSE)</f>
        <v>Manhattan</v>
      </c>
      <c r="E1015" t="str">
        <f>VLOOKUP(B1015,ZoneTable,3,FALSE)</f>
        <v>Upper East Side South</v>
      </c>
      <c r="F1015" t="str">
        <f>IF(OR(B1015=1,B1015=132,B1015=138),"Airports",D1015)</f>
        <v>Manhattan</v>
      </c>
    </row>
    <row r="1016" spans="1:6">
      <c r="A1016" s="33">
        <v>42095</v>
      </c>
      <c r="B1016">
        <v>238</v>
      </c>
      <c r="C1016">
        <v>20850</v>
      </c>
      <c r="D1016" t="str">
        <f>VLOOKUP(B1016,ZoneTable,2,FALSE)</f>
        <v>Manhattan</v>
      </c>
      <c r="E1016" t="str">
        <f>VLOOKUP(B1016,ZoneTable,3,FALSE)</f>
        <v>Upper West Side North</v>
      </c>
      <c r="F1016" t="str">
        <f>IF(OR(B1016=1,B1016=132,B1016=138),"Airports",D1016)</f>
        <v>Manhattan</v>
      </c>
    </row>
    <row r="1017" spans="1:6">
      <c r="A1017" s="33">
        <v>42095</v>
      </c>
      <c r="B1017">
        <v>239</v>
      </c>
      <c r="C1017">
        <v>29354</v>
      </c>
      <c r="D1017" t="str">
        <f>VLOOKUP(B1017,ZoneTable,2,FALSE)</f>
        <v>Manhattan</v>
      </c>
      <c r="E1017" t="str">
        <f>VLOOKUP(B1017,ZoneTable,3,FALSE)</f>
        <v>Upper West Side South</v>
      </c>
      <c r="F1017" t="str">
        <f>IF(OR(B1017=1,B1017=132,B1017=138),"Airports",D1017)</f>
        <v>Manhattan</v>
      </c>
    </row>
    <row r="1018" spans="1:6">
      <c r="A1018" s="33">
        <v>42095</v>
      </c>
      <c r="B1018">
        <v>240</v>
      </c>
      <c r="C1018">
        <v>254</v>
      </c>
      <c r="D1018" t="str">
        <f>VLOOKUP(B1018,ZoneTable,2,FALSE)</f>
        <v>Bronx</v>
      </c>
      <c r="E1018" t="str">
        <f>VLOOKUP(B1018,ZoneTable,3,FALSE)</f>
        <v>Van Cortlandt Park</v>
      </c>
      <c r="F1018" t="str">
        <f>IF(OR(B1018=1,B1018=132,B1018=138),"Airports",D1018)</f>
        <v>Bronx</v>
      </c>
    </row>
    <row r="1019" spans="1:6">
      <c r="A1019" s="33">
        <v>42095</v>
      </c>
      <c r="B1019">
        <v>241</v>
      </c>
      <c r="C1019">
        <v>1185</v>
      </c>
      <c r="D1019" t="str">
        <f>VLOOKUP(B1019,ZoneTable,2,FALSE)</f>
        <v>Bronx</v>
      </c>
      <c r="E1019" t="str">
        <f>VLOOKUP(B1019,ZoneTable,3,FALSE)</f>
        <v>Van Cortlandt Village</v>
      </c>
      <c r="F1019" t="str">
        <f>IF(OR(B1019=1,B1019=132,B1019=138),"Airports",D1019)</f>
        <v>Bronx</v>
      </c>
    </row>
    <row r="1020" spans="1:6">
      <c r="A1020" s="33">
        <v>42095</v>
      </c>
      <c r="B1020">
        <v>242</v>
      </c>
      <c r="C1020">
        <v>1120</v>
      </c>
      <c r="D1020" t="str">
        <f>VLOOKUP(B1020,ZoneTable,2,FALSE)</f>
        <v>Bronx</v>
      </c>
      <c r="E1020" t="str">
        <f>VLOOKUP(B1020,ZoneTable,3,FALSE)</f>
        <v>Van Nest/Morris Park</v>
      </c>
      <c r="F1020" t="str">
        <f>IF(OR(B1020=1,B1020=132,B1020=138),"Airports",D1020)</f>
        <v>Bronx</v>
      </c>
    </row>
    <row r="1021" spans="1:6">
      <c r="A1021" s="33">
        <v>42095</v>
      </c>
      <c r="B1021">
        <v>243</v>
      </c>
      <c r="C1021">
        <v>5423</v>
      </c>
      <c r="D1021" t="str">
        <f>VLOOKUP(B1021,ZoneTable,2,FALSE)</f>
        <v>Manhattan</v>
      </c>
      <c r="E1021" t="str">
        <f>VLOOKUP(B1021,ZoneTable,3,FALSE)</f>
        <v>Washington Heights North</v>
      </c>
      <c r="F1021" t="str">
        <f>IF(OR(B1021=1,B1021=132,B1021=138),"Airports",D1021)</f>
        <v>Manhattan</v>
      </c>
    </row>
    <row r="1022" spans="1:6">
      <c r="A1022" s="33">
        <v>42095</v>
      </c>
      <c r="B1022">
        <v>244</v>
      </c>
      <c r="C1022">
        <v>7727</v>
      </c>
      <c r="D1022" t="str">
        <f>VLOOKUP(B1022,ZoneTable,2,FALSE)</f>
        <v>Manhattan</v>
      </c>
      <c r="E1022" t="str">
        <f>VLOOKUP(B1022,ZoneTable,3,FALSE)</f>
        <v>Washington Heights South</v>
      </c>
      <c r="F1022" t="str">
        <f>IF(OR(B1022=1,B1022=132,B1022=138),"Airports",D1022)</f>
        <v>Manhattan</v>
      </c>
    </row>
    <row r="1023" spans="1:6">
      <c r="A1023" s="33">
        <v>42095</v>
      </c>
      <c r="B1023">
        <v>245</v>
      </c>
      <c r="C1023">
        <v>56</v>
      </c>
      <c r="D1023" t="str">
        <f>VLOOKUP(B1023,ZoneTable,2,FALSE)</f>
        <v>Staten Island</v>
      </c>
      <c r="E1023" t="str">
        <f>VLOOKUP(B1023,ZoneTable,3,FALSE)</f>
        <v>West Brighton</v>
      </c>
      <c r="F1023" t="str">
        <f>IF(OR(B1023=1,B1023=132,B1023=138),"Airports",D1023)</f>
        <v>Staten Island</v>
      </c>
    </row>
    <row r="1024" spans="1:6">
      <c r="A1024" s="33">
        <v>42095</v>
      </c>
      <c r="B1024">
        <v>246</v>
      </c>
      <c r="C1024">
        <v>42881</v>
      </c>
      <c r="D1024" t="str">
        <f>VLOOKUP(B1024,ZoneTable,2,FALSE)</f>
        <v>Manhattan</v>
      </c>
      <c r="E1024" t="str">
        <f>VLOOKUP(B1024,ZoneTable,3,FALSE)</f>
        <v>West Chelsea/Hudson Yards</v>
      </c>
      <c r="F1024" t="str">
        <f>IF(OR(B1024=1,B1024=132,B1024=138),"Airports",D1024)</f>
        <v>Manhattan</v>
      </c>
    </row>
    <row r="1025" spans="1:6">
      <c r="A1025" s="33">
        <v>42095</v>
      </c>
      <c r="B1025">
        <v>247</v>
      </c>
      <c r="C1025">
        <v>2544</v>
      </c>
      <c r="D1025" t="str">
        <f>VLOOKUP(B1025,ZoneTable,2,FALSE)</f>
        <v>Bronx</v>
      </c>
      <c r="E1025" t="str">
        <f>VLOOKUP(B1025,ZoneTable,3,FALSE)</f>
        <v>West Concourse</v>
      </c>
      <c r="F1025" t="str">
        <f>IF(OR(B1025=1,B1025=132,B1025=138),"Airports",D1025)</f>
        <v>Bronx</v>
      </c>
    </row>
    <row r="1026" spans="1:6">
      <c r="A1026" s="33">
        <v>42095</v>
      </c>
      <c r="B1026">
        <v>248</v>
      </c>
      <c r="C1026">
        <v>560</v>
      </c>
      <c r="D1026" t="str">
        <f>VLOOKUP(B1026,ZoneTable,2,FALSE)</f>
        <v>Bronx</v>
      </c>
      <c r="E1026" t="str">
        <f>VLOOKUP(B1026,ZoneTable,3,FALSE)</f>
        <v>West Farms/Bronx River</v>
      </c>
      <c r="F1026" t="str">
        <f>IF(OR(B1026=1,B1026=132,B1026=138),"Airports",D1026)</f>
        <v>Bronx</v>
      </c>
    </row>
    <row r="1027" spans="1:6">
      <c r="A1027" s="33">
        <v>42095</v>
      </c>
      <c r="B1027">
        <v>249</v>
      </c>
      <c r="C1027">
        <v>51878</v>
      </c>
      <c r="D1027" t="str">
        <f>VLOOKUP(B1027,ZoneTable,2,FALSE)</f>
        <v>Manhattan</v>
      </c>
      <c r="E1027" t="str">
        <f>VLOOKUP(B1027,ZoneTable,3,FALSE)</f>
        <v>West Village</v>
      </c>
      <c r="F1027" t="str">
        <f>IF(OR(B1027=1,B1027=132,B1027=138),"Airports",D1027)</f>
        <v>Manhattan</v>
      </c>
    </row>
    <row r="1028" spans="1:6">
      <c r="A1028" s="33">
        <v>42095</v>
      </c>
      <c r="B1028">
        <v>250</v>
      </c>
      <c r="C1028">
        <v>679</v>
      </c>
      <c r="D1028" t="str">
        <f>VLOOKUP(B1028,ZoneTable,2,FALSE)</f>
        <v>Bronx</v>
      </c>
      <c r="E1028" t="str">
        <f>VLOOKUP(B1028,ZoneTable,3,FALSE)</f>
        <v>Westchester Village/Unionport</v>
      </c>
      <c r="F1028" t="str">
        <f>IF(OR(B1028=1,B1028=132,B1028=138),"Airports",D1028)</f>
        <v>Bronx</v>
      </c>
    </row>
    <row r="1029" spans="1:6">
      <c r="A1029" s="33">
        <v>42095</v>
      </c>
      <c r="B1029">
        <v>251</v>
      </c>
      <c r="C1029">
        <v>102</v>
      </c>
      <c r="D1029" t="str">
        <f>VLOOKUP(B1029,ZoneTable,2,FALSE)</f>
        <v>Staten Island</v>
      </c>
      <c r="E1029" t="str">
        <f>VLOOKUP(B1029,ZoneTable,3,FALSE)</f>
        <v>Westerleigh</v>
      </c>
      <c r="F1029" t="str">
        <f>IF(OR(B1029=1,B1029=132,B1029=138),"Airports",D1029)</f>
        <v>Staten Island</v>
      </c>
    </row>
    <row r="1030" spans="1:6">
      <c r="A1030" s="33">
        <v>42095</v>
      </c>
      <c r="B1030">
        <v>252</v>
      </c>
      <c r="C1030">
        <v>871</v>
      </c>
      <c r="D1030" t="str">
        <f>VLOOKUP(B1030,ZoneTable,2,FALSE)</f>
        <v>Queens</v>
      </c>
      <c r="E1030" t="str">
        <f>VLOOKUP(B1030,ZoneTable,3,FALSE)</f>
        <v>Whitestone</v>
      </c>
      <c r="F1030" t="str">
        <f>IF(OR(B1030=1,B1030=132,B1030=138),"Airports",D1030)</f>
        <v>Queens</v>
      </c>
    </row>
    <row r="1031" spans="1:6">
      <c r="A1031" s="33">
        <v>42095</v>
      </c>
      <c r="B1031">
        <v>253</v>
      </c>
      <c r="C1031">
        <v>199</v>
      </c>
      <c r="D1031" t="str">
        <f>VLOOKUP(B1031,ZoneTable,2,FALSE)</f>
        <v>Queens</v>
      </c>
      <c r="E1031" t="str">
        <f>VLOOKUP(B1031,ZoneTable,3,FALSE)</f>
        <v>Willets Point</v>
      </c>
      <c r="F1031" t="str">
        <f>IF(OR(B1031=1,B1031=132,B1031=138),"Airports",D1031)</f>
        <v>Queens</v>
      </c>
    </row>
    <row r="1032" spans="1:6">
      <c r="A1032" s="33">
        <v>42095</v>
      </c>
      <c r="B1032">
        <v>254</v>
      </c>
      <c r="C1032">
        <v>703</v>
      </c>
      <c r="D1032" t="str">
        <f>VLOOKUP(B1032,ZoneTable,2,FALSE)</f>
        <v>Bronx</v>
      </c>
      <c r="E1032" t="str">
        <f>VLOOKUP(B1032,ZoneTable,3,FALSE)</f>
        <v>Williamsbridge/Olinville</v>
      </c>
      <c r="F1032" t="str">
        <f>IF(OR(B1032=1,B1032=132,B1032=138),"Airports",D1032)</f>
        <v>Bronx</v>
      </c>
    </row>
    <row r="1033" spans="1:6">
      <c r="A1033" s="33">
        <v>42095</v>
      </c>
      <c r="B1033">
        <v>255</v>
      </c>
      <c r="C1033">
        <v>37148</v>
      </c>
      <c r="D1033" t="str">
        <f>VLOOKUP(B1033,ZoneTable,2,FALSE)</f>
        <v>Brooklyn</v>
      </c>
      <c r="E1033" t="str">
        <f>VLOOKUP(B1033,ZoneTable,3,FALSE)</f>
        <v>Williamsburg (North Side)</v>
      </c>
      <c r="F1033" t="str">
        <f>IF(OR(B1033=1,B1033=132,B1033=138),"Airports",D1033)</f>
        <v>Brooklyn</v>
      </c>
    </row>
    <row r="1034" spans="1:6">
      <c r="A1034" s="33">
        <v>42095</v>
      </c>
      <c r="B1034">
        <v>256</v>
      </c>
      <c r="C1034">
        <v>22966</v>
      </c>
      <c r="D1034" t="str">
        <f>VLOOKUP(B1034,ZoneTable,2,FALSE)</f>
        <v>Brooklyn</v>
      </c>
      <c r="E1034" t="str">
        <f>VLOOKUP(B1034,ZoneTable,3,FALSE)</f>
        <v>Williamsburg (South Side)</v>
      </c>
      <c r="F1034" t="str">
        <f>IF(OR(B1034=1,B1034=132,B1034=138),"Airports",D1034)</f>
        <v>Brooklyn</v>
      </c>
    </row>
    <row r="1035" spans="1:6">
      <c r="A1035" s="33">
        <v>42095</v>
      </c>
      <c r="B1035">
        <v>257</v>
      </c>
      <c r="C1035">
        <v>3525</v>
      </c>
      <c r="D1035" t="str">
        <f>VLOOKUP(B1035,ZoneTable,2,FALSE)</f>
        <v>Brooklyn</v>
      </c>
      <c r="E1035" t="str">
        <f>VLOOKUP(B1035,ZoneTable,3,FALSE)</f>
        <v>Windsor Terrace</v>
      </c>
      <c r="F1035" t="str">
        <f>IF(OR(B1035=1,B1035=132,B1035=138),"Airports",D1035)</f>
        <v>Brooklyn</v>
      </c>
    </row>
    <row r="1036" spans="1:6">
      <c r="A1036" s="33">
        <v>42095</v>
      </c>
      <c r="B1036">
        <v>258</v>
      </c>
      <c r="C1036">
        <v>1611</v>
      </c>
      <c r="D1036" t="str">
        <f>VLOOKUP(B1036,ZoneTable,2,FALSE)</f>
        <v>Queens</v>
      </c>
      <c r="E1036" t="str">
        <f>VLOOKUP(B1036,ZoneTable,3,FALSE)</f>
        <v>Woodhaven</v>
      </c>
      <c r="F1036" t="str">
        <f>IF(OR(B1036=1,B1036=132,B1036=138),"Airports",D1036)</f>
        <v>Queens</v>
      </c>
    </row>
    <row r="1037" spans="1:6">
      <c r="A1037" s="33">
        <v>42095</v>
      </c>
      <c r="B1037">
        <v>259</v>
      </c>
      <c r="C1037">
        <v>575</v>
      </c>
      <c r="D1037" t="str">
        <f>VLOOKUP(B1037,ZoneTable,2,FALSE)</f>
        <v>Bronx</v>
      </c>
      <c r="E1037" t="str">
        <f>VLOOKUP(B1037,ZoneTable,3,FALSE)</f>
        <v>Woodlawn/Wakefield</v>
      </c>
      <c r="F1037" t="str">
        <f>IF(OR(B1037=1,B1037=132,B1037=138),"Airports",D1037)</f>
        <v>Bronx</v>
      </c>
    </row>
    <row r="1038" spans="1:6">
      <c r="A1038" s="33">
        <v>42095</v>
      </c>
      <c r="B1038">
        <v>260</v>
      </c>
      <c r="C1038">
        <v>3284</v>
      </c>
      <c r="D1038" t="str">
        <f>VLOOKUP(B1038,ZoneTable,2,FALSE)</f>
        <v>Queens</v>
      </c>
      <c r="E1038" t="str">
        <f>VLOOKUP(B1038,ZoneTable,3,FALSE)</f>
        <v>Woodside</v>
      </c>
      <c r="F1038" t="str">
        <f>IF(OR(B1038=1,B1038=132,B1038=138),"Airports",D1038)</f>
        <v>Queens</v>
      </c>
    </row>
    <row r="1039" spans="1:6">
      <c r="A1039" s="33">
        <v>42095</v>
      </c>
      <c r="B1039">
        <v>261</v>
      </c>
      <c r="C1039">
        <v>11451</v>
      </c>
      <c r="D1039" t="str">
        <f>VLOOKUP(B1039,ZoneTable,2,FALSE)</f>
        <v>Manhattan</v>
      </c>
      <c r="E1039" t="str">
        <f>VLOOKUP(B1039,ZoneTable,3,FALSE)</f>
        <v>World Trade Center</v>
      </c>
      <c r="F1039" t="str">
        <f>IF(OR(B1039=1,B1039=132,B1039=138),"Airports",D1039)</f>
        <v>Manhattan</v>
      </c>
    </row>
    <row r="1040" spans="1:6">
      <c r="A1040" s="33">
        <v>42095</v>
      </c>
      <c r="B1040">
        <v>262</v>
      </c>
      <c r="C1040">
        <v>17302</v>
      </c>
      <c r="D1040" t="str">
        <f>VLOOKUP(B1040,ZoneTable,2,FALSE)</f>
        <v>Manhattan</v>
      </c>
      <c r="E1040" t="str">
        <f>VLOOKUP(B1040,ZoneTable,3,FALSE)</f>
        <v>Yorkville East</v>
      </c>
      <c r="F1040" t="str">
        <f>IF(OR(B1040=1,B1040=132,B1040=138),"Airports",D1040)</f>
        <v>Manhattan</v>
      </c>
    </row>
    <row r="1041" spans="1:6">
      <c r="A1041" s="33">
        <v>42095</v>
      </c>
      <c r="B1041">
        <v>263</v>
      </c>
      <c r="C1041">
        <v>20780</v>
      </c>
      <c r="D1041" t="str">
        <f>VLOOKUP(B1041,ZoneTable,2,FALSE)</f>
        <v>Manhattan</v>
      </c>
      <c r="E1041" t="str">
        <f>VLOOKUP(B1041,ZoneTable,3,FALSE)</f>
        <v>Yorkville West</v>
      </c>
      <c r="F1041" t="str">
        <f>IF(OR(B1041=1,B1041=132,B1041=138),"Airports",D1041)</f>
        <v>Manhattan</v>
      </c>
    </row>
    <row r="1042" spans="1:6">
      <c r="A1042" s="33">
        <v>42095</v>
      </c>
      <c r="B1042">
        <v>264</v>
      </c>
      <c r="C1042">
        <v>1</v>
      </c>
      <c r="D1042" t="str">
        <f>VLOOKUP(B1042,ZoneTable,2,FALSE)</f>
        <v>Unknown</v>
      </c>
      <c r="E1042" t="str">
        <f>VLOOKUP(B1042,ZoneTable,3,FALSE)</f>
        <v>Unknown</v>
      </c>
      <c r="F1042" t="str">
        <f>IF(OR(B1042=1,B1042=132,B1042=138),"Airports",D1042)</f>
        <v>Unknown</v>
      </c>
    </row>
    <row r="1043" spans="1:6">
      <c r="A1043" s="33">
        <v>42095</v>
      </c>
      <c r="B1043">
        <v>265</v>
      </c>
      <c r="C1043">
        <v>916</v>
      </c>
      <c r="D1043" t="str">
        <f>VLOOKUP(B1043,ZoneTable,2,FALSE)</f>
        <v>Unknown</v>
      </c>
      <c r="E1043" t="str">
        <f>VLOOKUP(B1043,ZoneTable,3,FALSE)</f>
        <v>Unknown</v>
      </c>
      <c r="F1043" t="str">
        <f>IF(OR(B1043=1,B1043=132,B1043=138),"Airports",D1043)</f>
        <v>Unknown</v>
      </c>
    </row>
    <row r="1044" spans="1:6">
      <c r="A1044" s="33">
        <v>42125</v>
      </c>
      <c r="B1044">
        <v>1</v>
      </c>
      <c r="C1044">
        <v>27</v>
      </c>
      <c r="D1044" t="str">
        <f>VLOOKUP(B1044,ZoneTable,2,FALSE)</f>
        <v>EWR</v>
      </c>
      <c r="E1044" t="str">
        <f>VLOOKUP(B1044,ZoneTable,3,FALSE)</f>
        <v>Newark Airport</v>
      </c>
      <c r="F1044" t="str">
        <f>IF(OR(B1044=1,B1044=132,B1044=138),"Airports",D1044)</f>
        <v>Airports</v>
      </c>
    </row>
    <row r="1045" spans="1:6">
      <c r="A1045" s="33">
        <v>42125</v>
      </c>
      <c r="B1045">
        <v>2</v>
      </c>
      <c r="C1045">
        <v>2</v>
      </c>
      <c r="D1045" t="str">
        <f>VLOOKUP(B1045,ZoneTable,2,FALSE)</f>
        <v>Queens</v>
      </c>
      <c r="E1045" t="str">
        <f>VLOOKUP(B1045,ZoneTable,3,FALSE)</f>
        <v>Jamaica Bay</v>
      </c>
      <c r="F1045" t="str">
        <f>IF(OR(B1045=1,B1045=132,B1045=138),"Airports",D1045)</f>
        <v>Queens</v>
      </c>
    </row>
    <row r="1046" spans="1:6">
      <c r="A1046" s="33">
        <v>42125</v>
      </c>
      <c r="B1046">
        <v>3</v>
      </c>
      <c r="C1046">
        <v>864</v>
      </c>
      <c r="D1046" t="str">
        <f>VLOOKUP(B1046,ZoneTable,2,FALSE)</f>
        <v>Bronx</v>
      </c>
      <c r="E1046" t="str">
        <f>VLOOKUP(B1046,ZoneTable,3,FALSE)</f>
        <v>Allerton/Pelham Gardens</v>
      </c>
      <c r="F1046" t="str">
        <f>IF(OR(B1046=1,B1046=132,B1046=138),"Airports",D1046)</f>
        <v>Bronx</v>
      </c>
    </row>
    <row r="1047" spans="1:6">
      <c r="A1047" s="33">
        <v>42125</v>
      </c>
      <c r="B1047">
        <v>4</v>
      </c>
      <c r="C1047">
        <v>16821</v>
      </c>
      <c r="D1047" t="str">
        <f>VLOOKUP(B1047,ZoneTable,2,FALSE)</f>
        <v>Manhattan</v>
      </c>
      <c r="E1047" t="str">
        <f>VLOOKUP(B1047,ZoneTable,3,FALSE)</f>
        <v>Alphabet City</v>
      </c>
      <c r="F1047" t="str">
        <f>IF(OR(B1047=1,B1047=132,B1047=138),"Airports",D1047)</f>
        <v>Manhattan</v>
      </c>
    </row>
    <row r="1048" spans="1:6">
      <c r="A1048" s="33">
        <v>42125</v>
      </c>
      <c r="B1048">
        <v>5</v>
      </c>
      <c r="C1048">
        <v>6</v>
      </c>
      <c r="D1048" t="str">
        <f>VLOOKUP(B1048,ZoneTable,2,FALSE)</f>
        <v>Staten Island</v>
      </c>
      <c r="E1048" t="str">
        <f>VLOOKUP(B1048,ZoneTable,3,FALSE)</f>
        <v>Arden Heights</v>
      </c>
      <c r="F1048" t="str">
        <f>IF(OR(B1048=1,B1048=132,B1048=138),"Airports",D1048)</f>
        <v>Staten Island</v>
      </c>
    </row>
    <row r="1049" spans="1:6">
      <c r="A1049" s="33">
        <v>42125</v>
      </c>
      <c r="B1049">
        <v>6</v>
      </c>
      <c r="C1049">
        <v>130</v>
      </c>
      <c r="D1049" t="str">
        <f>VLOOKUP(B1049,ZoneTable,2,FALSE)</f>
        <v>Staten Island</v>
      </c>
      <c r="E1049" t="str">
        <f>VLOOKUP(B1049,ZoneTable,3,FALSE)</f>
        <v>Arrochar/Fort Wadsworth</v>
      </c>
      <c r="F1049" t="str">
        <f>IF(OR(B1049=1,B1049=132,B1049=138),"Airports",D1049)</f>
        <v>Staten Island</v>
      </c>
    </row>
    <row r="1050" spans="1:6">
      <c r="A1050" s="33">
        <v>42125</v>
      </c>
      <c r="B1050">
        <v>7</v>
      </c>
      <c r="C1050">
        <v>18141</v>
      </c>
      <c r="D1050" t="str">
        <f>VLOOKUP(B1050,ZoneTable,2,FALSE)</f>
        <v>Queens</v>
      </c>
      <c r="E1050" t="str">
        <f>VLOOKUP(B1050,ZoneTable,3,FALSE)</f>
        <v>Astoria</v>
      </c>
      <c r="F1050" t="str">
        <f>IF(OR(B1050=1,B1050=132,B1050=138),"Airports",D1050)</f>
        <v>Queens</v>
      </c>
    </row>
    <row r="1051" spans="1:6">
      <c r="A1051" s="33">
        <v>42125</v>
      </c>
      <c r="B1051">
        <v>8</v>
      </c>
      <c r="C1051">
        <v>102</v>
      </c>
      <c r="D1051" t="str">
        <f>VLOOKUP(B1051,ZoneTable,2,FALSE)</f>
        <v>Queens</v>
      </c>
      <c r="E1051" t="str">
        <f>VLOOKUP(B1051,ZoneTable,3,FALSE)</f>
        <v>Astoria Park</v>
      </c>
      <c r="F1051" t="str">
        <f>IF(OR(B1051=1,B1051=132,B1051=138),"Airports",D1051)</f>
        <v>Queens</v>
      </c>
    </row>
    <row r="1052" spans="1:6">
      <c r="A1052" s="33">
        <v>42125</v>
      </c>
      <c r="B1052">
        <v>9</v>
      </c>
      <c r="C1052">
        <v>634</v>
      </c>
      <c r="D1052" t="str">
        <f>VLOOKUP(B1052,ZoneTable,2,FALSE)</f>
        <v>Queens</v>
      </c>
      <c r="E1052" t="str">
        <f>VLOOKUP(B1052,ZoneTable,3,FALSE)</f>
        <v>Auburndale</v>
      </c>
      <c r="F1052" t="str">
        <f>IF(OR(B1052=1,B1052=132,B1052=138),"Airports",D1052)</f>
        <v>Queens</v>
      </c>
    </row>
    <row r="1053" spans="1:6">
      <c r="A1053" s="33">
        <v>42125</v>
      </c>
      <c r="B1053">
        <v>10</v>
      </c>
      <c r="C1053">
        <v>1682</v>
      </c>
      <c r="D1053" t="str">
        <f>VLOOKUP(B1053,ZoneTable,2,FALSE)</f>
        <v>Queens</v>
      </c>
      <c r="E1053" t="str">
        <f>VLOOKUP(B1053,ZoneTable,3,FALSE)</f>
        <v>Baisley Park</v>
      </c>
      <c r="F1053" t="str">
        <f>IF(OR(B1053=1,B1053=132,B1053=138),"Airports",D1053)</f>
        <v>Queens</v>
      </c>
    </row>
    <row r="1054" spans="1:6">
      <c r="A1054" s="33">
        <v>42125</v>
      </c>
      <c r="B1054">
        <v>11</v>
      </c>
      <c r="C1054">
        <v>692</v>
      </c>
      <c r="D1054" t="str">
        <f>VLOOKUP(B1054,ZoneTable,2,FALSE)</f>
        <v>Brooklyn</v>
      </c>
      <c r="E1054" t="str">
        <f>VLOOKUP(B1054,ZoneTable,3,FALSE)</f>
        <v>Bath Beach</v>
      </c>
      <c r="F1054" t="str">
        <f>IF(OR(B1054=1,B1054=132,B1054=138),"Airports",D1054)</f>
        <v>Brooklyn</v>
      </c>
    </row>
    <row r="1055" spans="1:6">
      <c r="A1055" s="33">
        <v>42125</v>
      </c>
      <c r="B1055">
        <v>12</v>
      </c>
      <c r="C1055">
        <v>585</v>
      </c>
      <c r="D1055" t="str">
        <f>VLOOKUP(B1055,ZoneTable,2,FALSE)</f>
        <v>Manhattan</v>
      </c>
      <c r="E1055" t="str">
        <f>VLOOKUP(B1055,ZoneTable,3,FALSE)</f>
        <v>Battery Park</v>
      </c>
      <c r="F1055" t="str">
        <f>IF(OR(B1055=1,B1055=132,B1055=138),"Airports",D1055)</f>
        <v>Manhattan</v>
      </c>
    </row>
    <row r="1056" spans="1:6">
      <c r="A1056" s="33">
        <v>42125</v>
      </c>
      <c r="B1056">
        <v>13</v>
      </c>
      <c r="C1056">
        <v>25082</v>
      </c>
      <c r="D1056" t="str">
        <f>VLOOKUP(B1056,ZoneTable,2,FALSE)</f>
        <v>Manhattan</v>
      </c>
      <c r="E1056" t="str">
        <f>VLOOKUP(B1056,ZoneTable,3,FALSE)</f>
        <v>Battery Park City</v>
      </c>
      <c r="F1056" t="str">
        <f>IF(OR(B1056=1,B1056=132,B1056=138),"Airports",D1056)</f>
        <v>Manhattan</v>
      </c>
    </row>
    <row r="1057" spans="1:6">
      <c r="A1057" s="33">
        <v>42125</v>
      </c>
      <c r="B1057">
        <v>14</v>
      </c>
      <c r="C1057">
        <v>7562</v>
      </c>
      <c r="D1057" t="str">
        <f>VLOOKUP(B1057,ZoneTable,2,FALSE)</f>
        <v>Brooklyn</v>
      </c>
      <c r="E1057" t="str">
        <f>VLOOKUP(B1057,ZoneTable,3,FALSE)</f>
        <v>Bay Ridge</v>
      </c>
      <c r="F1057" t="str">
        <f>IF(OR(B1057=1,B1057=132,B1057=138),"Airports",D1057)</f>
        <v>Brooklyn</v>
      </c>
    </row>
    <row r="1058" spans="1:6">
      <c r="A1058" s="33">
        <v>42125</v>
      </c>
      <c r="B1058">
        <v>15</v>
      </c>
      <c r="C1058">
        <v>714</v>
      </c>
      <c r="D1058" t="str">
        <f>VLOOKUP(B1058,ZoneTable,2,FALSE)</f>
        <v>Queens</v>
      </c>
      <c r="E1058" t="str">
        <f>VLOOKUP(B1058,ZoneTable,3,FALSE)</f>
        <v>Bay Terrace/Fort Totten</v>
      </c>
      <c r="F1058" t="str">
        <f>IF(OR(B1058=1,B1058=132,B1058=138),"Airports",D1058)</f>
        <v>Queens</v>
      </c>
    </row>
    <row r="1059" spans="1:6">
      <c r="A1059" s="33">
        <v>42125</v>
      </c>
      <c r="B1059">
        <v>16</v>
      </c>
      <c r="C1059">
        <v>2018</v>
      </c>
      <c r="D1059" t="str">
        <f>VLOOKUP(B1059,ZoneTable,2,FALSE)</f>
        <v>Queens</v>
      </c>
      <c r="E1059" t="str">
        <f>VLOOKUP(B1059,ZoneTable,3,FALSE)</f>
        <v>Bayside</v>
      </c>
      <c r="F1059" t="str">
        <f>IF(OR(B1059=1,B1059=132,B1059=138),"Airports",D1059)</f>
        <v>Queens</v>
      </c>
    </row>
    <row r="1060" spans="1:6">
      <c r="A1060" s="33">
        <v>42125</v>
      </c>
      <c r="B1060">
        <v>17</v>
      </c>
      <c r="C1060">
        <v>16375</v>
      </c>
      <c r="D1060" t="str">
        <f>VLOOKUP(B1060,ZoneTable,2,FALSE)</f>
        <v>Brooklyn</v>
      </c>
      <c r="E1060" t="str">
        <f>VLOOKUP(B1060,ZoneTable,3,FALSE)</f>
        <v>Bedford</v>
      </c>
      <c r="F1060" t="str">
        <f>IF(OR(B1060=1,B1060=132,B1060=138),"Airports",D1060)</f>
        <v>Brooklyn</v>
      </c>
    </row>
    <row r="1061" spans="1:6">
      <c r="A1061" s="33">
        <v>42125</v>
      </c>
      <c r="B1061">
        <v>18</v>
      </c>
      <c r="C1061">
        <v>1578</v>
      </c>
      <c r="D1061" t="str">
        <f>VLOOKUP(B1061,ZoneTable,2,FALSE)</f>
        <v>Bronx</v>
      </c>
      <c r="E1061" t="str">
        <f>VLOOKUP(B1061,ZoneTable,3,FALSE)</f>
        <v>Bedford Park</v>
      </c>
      <c r="F1061" t="str">
        <f>IF(OR(B1061=1,B1061=132,B1061=138),"Airports",D1061)</f>
        <v>Bronx</v>
      </c>
    </row>
    <row r="1062" spans="1:6">
      <c r="A1062" s="33">
        <v>42125</v>
      </c>
      <c r="B1062">
        <v>19</v>
      </c>
      <c r="C1062">
        <v>708</v>
      </c>
      <c r="D1062" t="str">
        <f>VLOOKUP(B1062,ZoneTable,2,FALSE)</f>
        <v>Queens</v>
      </c>
      <c r="E1062" t="str">
        <f>VLOOKUP(B1062,ZoneTable,3,FALSE)</f>
        <v>Bellerose</v>
      </c>
      <c r="F1062" t="str">
        <f>IF(OR(B1062=1,B1062=132,B1062=138),"Airports",D1062)</f>
        <v>Queens</v>
      </c>
    </row>
    <row r="1063" spans="1:6">
      <c r="A1063" s="33">
        <v>42125</v>
      </c>
      <c r="B1063">
        <v>20</v>
      </c>
      <c r="C1063">
        <v>2451</v>
      </c>
      <c r="D1063" t="str">
        <f>VLOOKUP(B1063,ZoneTable,2,FALSE)</f>
        <v>Bronx</v>
      </c>
      <c r="E1063" t="str">
        <f>VLOOKUP(B1063,ZoneTable,3,FALSE)</f>
        <v>Belmont</v>
      </c>
      <c r="F1063" t="str">
        <f>IF(OR(B1063=1,B1063=132,B1063=138),"Airports",D1063)</f>
        <v>Bronx</v>
      </c>
    </row>
    <row r="1064" spans="1:6">
      <c r="A1064" s="33">
        <v>42125</v>
      </c>
      <c r="B1064">
        <v>21</v>
      </c>
      <c r="C1064">
        <v>1650</v>
      </c>
      <c r="D1064" t="str">
        <f>VLOOKUP(B1064,ZoneTable,2,FALSE)</f>
        <v>Brooklyn</v>
      </c>
      <c r="E1064" t="str">
        <f>VLOOKUP(B1064,ZoneTable,3,FALSE)</f>
        <v>Bensonhurst East</v>
      </c>
      <c r="F1064" t="str">
        <f>IF(OR(B1064=1,B1064=132,B1064=138),"Airports",D1064)</f>
        <v>Brooklyn</v>
      </c>
    </row>
    <row r="1065" spans="1:6">
      <c r="A1065" s="33">
        <v>42125</v>
      </c>
      <c r="B1065">
        <v>22</v>
      </c>
      <c r="C1065">
        <v>2123</v>
      </c>
      <c r="D1065" t="str">
        <f>VLOOKUP(B1065,ZoneTable,2,FALSE)</f>
        <v>Brooklyn</v>
      </c>
      <c r="E1065" t="str">
        <f>VLOOKUP(B1065,ZoneTable,3,FALSE)</f>
        <v>Bensonhurst West</v>
      </c>
      <c r="F1065" t="str">
        <f>IF(OR(B1065=1,B1065=132,B1065=138),"Airports",D1065)</f>
        <v>Brooklyn</v>
      </c>
    </row>
    <row r="1066" spans="1:6">
      <c r="A1066" s="33">
        <v>42125</v>
      </c>
      <c r="B1066">
        <v>23</v>
      </c>
      <c r="C1066">
        <v>202</v>
      </c>
      <c r="D1066" t="str">
        <f>VLOOKUP(B1066,ZoneTable,2,FALSE)</f>
        <v>Staten Island</v>
      </c>
      <c r="E1066" t="str">
        <f>VLOOKUP(B1066,ZoneTable,3,FALSE)</f>
        <v>Bloomfield/Emerson Hill</v>
      </c>
      <c r="F1066" t="str">
        <f>IF(OR(B1066=1,B1066=132,B1066=138),"Airports",D1066)</f>
        <v>Staten Island</v>
      </c>
    </row>
    <row r="1067" spans="1:6">
      <c r="A1067" s="33">
        <v>42125</v>
      </c>
      <c r="B1067">
        <v>24</v>
      </c>
      <c r="C1067">
        <v>4953</v>
      </c>
      <c r="D1067" t="str">
        <f>VLOOKUP(B1067,ZoneTable,2,FALSE)</f>
        <v>Manhattan</v>
      </c>
      <c r="E1067" t="str">
        <f>VLOOKUP(B1067,ZoneTable,3,FALSE)</f>
        <v>Bloomingdale</v>
      </c>
      <c r="F1067" t="str">
        <f>IF(OR(B1067=1,B1067=132,B1067=138),"Airports",D1067)</f>
        <v>Manhattan</v>
      </c>
    </row>
    <row r="1068" spans="1:6">
      <c r="A1068" s="33">
        <v>42125</v>
      </c>
      <c r="B1068">
        <v>25</v>
      </c>
      <c r="C1068">
        <v>13645</v>
      </c>
      <c r="D1068" t="str">
        <f>VLOOKUP(B1068,ZoneTable,2,FALSE)</f>
        <v>Brooklyn</v>
      </c>
      <c r="E1068" t="str">
        <f>VLOOKUP(B1068,ZoneTable,3,FALSE)</f>
        <v>Boerum Hill</v>
      </c>
      <c r="F1068" t="str">
        <f>IF(OR(B1068=1,B1068=132,B1068=138),"Airports",D1068)</f>
        <v>Brooklyn</v>
      </c>
    </row>
    <row r="1069" spans="1:6">
      <c r="A1069" s="33">
        <v>42125</v>
      </c>
      <c r="B1069">
        <v>26</v>
      </c>
      <c r="C1069">
        <v>2873</v>
      </c>
      <c r="D1069" t="str">
        <f>VLOOKUP(B1069,ZoneTable,2,FALSE)</f>
        <v>Brooklyn</v>
      </c>
      <c r="E1069" t="str">
        <f>VLOOKUP(B1069,ZoneTable,3,FALSE)</f>
        <v>Borough Park</v>
      </c>
      <c r="F1069" t="str">
        <f>IF(OR(B1069=1,B1069=132,B1069=138),"Airports",D1069)</f>
        <v>Brooklyn</v>
      </c>
    </row>
    <row r="1070" spans="1:6">
      <c r="A1070" s="33">
        <v>42125</v>
      </c>
      <c r="B1070">
        <v>27</v>
      </c>
      <c r="C1070">
        <v>45</v>
      </c>
      <c r="D1070" t="str">
        <f>VLOOKUP(B1070,ZoneTable,2,FALSE)</f>
        <v>Queens</v>
      </c>
      <c r="E1070" t="str">
        <f>VLOOKUP(B1070,ZoneTable,3,FALSE)</f>
        <v>Breezy Point/Fort Tilden/Riis Beach</v>
      </c>
      <c r="F1070" t="str">
        <f>IF(OR(B1070=1,B1070=132,B1070=138),"Airports",D1070)</f>
        <v>Queens</v>
      </c>
    </row>
    <row r="1071" spans="1:6">
      <c r="A1071" s="33">
        <v>42125</v>
      </c>
      <c r="B1071">
        <v>28</v>
      </c>
      <c r="C1071">
        <v>2524</v>
      </c>
      <c r="D1071" t="str">
        <f>VLOOKUP(B1071,ZoneTable,2,FALSE)</f>
        <v>Queens</v>
      </c>
      <c r="E1071" t="str">
        <f>VLOOKUP(B1071,ZoneTable,3,FALSE)</f>
        <v>Briarwood/Jamaica Hills</v>
      </c>
      <c r="F1071" t="str">
        <f>IF(OR(B1071=1,B1071=132,B1071=138),"Airports",D1071)</f>
        <v>Queens</v>
      </c>
    </row>
    <row r="1072" spans="1:6">
      <c r="A1072" s="33">
        <v>42125</v>
      </c>
      <c r="B1072">
        <v>29</v>
      </c>
      <c r="C1072">
        <v>913</v>
      </c>
      <c r="D1072" t="str">
        <f>VLOOKUP(B1072,ZoneTable,2,FALSE)</f>
        <v>Brooklyn</v>
      </c>
      <c r="E1072" t="str">
        <f>VLOOKUP(B1072,ZoneTable,3,FALSE)</f>
        <v>Brighton Beach</v>
      </c>
      <c r="F1072" t="str">
        <f>IF(OR(B1072=1,B1072=132,B1072=138),"Airports",D1072)</f>
        <v>Brooklyn</v>
      </c>
    </row>
    <row r="1073" spans="1:6">
      <c r="A1073" s="33">
        <v>42125</v>
      </c>
      <c r="B1073">
        <v>30</v>
      </c>
      <c r="C1073">
        <v>19</v>
      </c>
      <c r="D1073" t="str">
        <f>VLOOKUP(B1073,ZoneTable,2,FALSE)</f>
        <v>Queens</v>
      </c>
      <c r="E1073" t="str">
        <f>VLOOKUP(B1073,ZoneTable,3,FALSE)</f>
        <v>Broad Channel</v>
      </c>
      <c r="F1073" t="str">
        <f>IF(OR(B1073=1,B1073=132,B1073=138),"Airports",D1073)</f>
        <v>Queens</v>
      </c>
    </row>
    <row r="1074" spans="1:6">
      <c r="A1074" s="33">
        <v>42125</v>
      </c>
      <c r="B1074">
        <v>31</v>
      </c>
      <c r="C1074">
        <v>687</v>
      </c>
      <c r="D1074" t="str">
        <f>VLOOKUP(B1074,ZoneTable,2,FALSE)</f>
        <v>Bronx</v>
      </c>
      <c r="E1074" t="str">
        <f>VLOOKUP(B1074,ZoneTable,3,FALSE)</f>
        <v>Bronx Park</v>
      </c>
      <c r="F1074" t="str">
        <f>IF(OR(B1074=1,B1074=132,B1074=138),"Airports",D1074)</f>
        <v>Bronx</v>
      </c>
    </row>
    <row r="1075" spans="1:6">
      <c r="A1075" s="33">
        <v>42125</v>
      </c>
      <c r="B1075">
        <v>32</v>
      </c>
      <c r="C1075">
        <v>1006</v>
      </c>
      <c r="D1075" t="str">
        <f>VLOOKUP(B1075,ZoneTable,2,FALSE)</f>
        <v>Bronx</v>
      </c>
      <c r="E1075" t="str">
        <f>VLOOKUP(B1075,ZoneTable,3,FALSE)</f>
        <v>Bronxdale</v>
      </c>
      <c r="F1075" t="str">
        <f>IF(OR(B1075=1,B1075=132,B1075=138),"Airports",D1075)</f>
        <v>Bronx</v>
      </c>
    </row>
    <row r="1076" spans="1:6">
      <c r="A1076" s="33">
        <v>42125</v>
      </c>
      <c r="B1076">
        <v>33</v>
      </c>
      <c r="C1076">
        <v>15651</v>
      </c>
      <c r="D1076" t="str">
        <f>VLOOKUP(B1076,ZoneTable,2,FALSE)</f>
        <v>Brooklyn</v>
      </c>
      <c r="E1076" t="str">
        <f>VLOOKUP(B1076,ZoneTable,3,FALSE)</f>
        <v>Brooklyn Heights</v>
      </c>
      <c r="F1076" t="str">
        <f>IF(OR(B1076=1,B1076=132,B1076=138),"Airports",D1076)</f>
        <v>Brooklyn</v>
      </c>
    </row>
    <row r="1077" spans="1:6">
      <c r="A1077" s="33">
        <v>42125</v>
      </c>
      <c r="B1077">
        <v>34</v>
      </c>
      <c r="C1077">
        <v>2082</v>
      </c>
      <c r="D1077" t="str">
        <f>VLOOKUP(B1077,ZoneTable,2,FALSE)</f>
        <v>Brooklyn</v>
      </c>
      <c r="E1077" t="str">
        <f>VLOOKUP(B1077,ZoneTable,3,FALSE)</f>
        <v>Brooklyn Navy Yard</v>
      </c>
      <c r="F1077" t="str">
        <f>IF(OR(B1077=1,B1077=132,B1077=138),"Airports",D1077)</f>
        <v>Brooklyn</v>
      </c>
    </row>
    <row r="1078" spans="1:6">
      <c r="A1078" s="33">
        <v>42125</v>
      </c>
      <c r="B1078">
        <v>35</v>
      </c>
      <c r="C1078">
        <v>1927</v>
      </c>
      <c r="D1078" t="str">
        <f>VLOOKUP(B1078,ZoneTable,2,FALSE)</f>
        <v>Brooklyn</v>
      </c>
      <c r="E1078" t="str">
        <f>VLOOKUP(B1078,ZoneTable,3,FALSE)</f>
        <v>Brownsville</v>
      </c>
      <c r="F1078" t="str">
        <f>IF(OR(B1078=1,B1078=132,B1078=138),"Airports",D1078)</f>
        <v>Brooklyn</v>
      </c>
    </row>
    <row r="1079" spans="1:6">
      <c r="A1079" s="33">
        <v>42125</v>
      </c>
      <c r="B1079">
        <v>36</v>
      </c>
      <c r="C1079">
        <v>16084</v>
      </c>
      <c r="D1079" t="str">
        <f>VLOOKUP(B1079,ZoneTable,2,FALSE)</f>
        <v>Brooklyn</v>
      </c>
      <c r="E1079" t="str">
        <f>VLOOKUP(B1079,ZoneTable,3,FALSE)</f>
        <v>Bushwick North</v>
      </c>
      <c r="F1079" t="str">
        <f>IF(OR(B1079=1,B1079=132,B1079=138),"Airports",D1079)</f>
        <v>Brooklyn</v>
      </c>
    </row>
    <row r="1080" spans="1:6">
      <c r="A1080" s="33">
        <v>42125</v>
      </c>
      <c r="B1080">
        <v>37</v>
      </c>
      <c r="C1080">
        <v>22665</v>
      </c>
      <c r="D1080" t="str">
        <f>VLOOKUP(B1080,ZoneTable,2,FALSE)</f>
        <v>Brooklyn</v>
      </c>
      <c r="E1080" t="str">
        <f>VLOOKUP(B1080,ZoneTable,3,FALSE)</f>
        <v>Bushwick South</v>
      </c>
      <c r="F1080" t="str">
        <f>IF(OR(B1080=1,B1080=132,B1080=138),"Airports",D1080)</f>
        <v>Brooklyn</v>
      </c>
    </row>
    <row r="1081" spans="1:6">
      <c r="A1081" s="33">
        <v>42125</v>
      </c>
      <c r="B1081">
        <v>38</v>
      </c>
      <c r="C1081">
        <v>448</v>
      </c>
      <c r="D1081" t="str">
        <f>VLOOKUP(B1081,ZoneTable,2,FALSE)</f>
        <v>Queens</v>
      </c>
      <c r="E1081" t="str">
        <f>VLOOKUP(B1081,ZoneTable,3,FALSE)</f>
        <v>Cambria Heights</v>
      </c>
      <c r="F1081" t="str">
        <f>IF(OR(B1081=1,B1081=132,B1081=138),"Airports",D1081)</f>
        <v>Queens</v>
      </c>
    </row>
    <row r="1082" spans="1:6">
      <c r="A1082" s="33">
        <v>42125</v>
      </c>
      <c r="B1082">
        <v>39</v>
      </c>
      <c r="C1082">
        <v>3301</v>
      </c>
      <c r="D1082" t="str">
        <f>VLOOKUP(B1082,ZoneTable,2,FALSE)</f>
        <v>Brooklyn</v>
      </c>
      <c r="E1082" t="str">
        <f>VLOOKUP(B1082,ZoneTable,3,FALSE)</f>
        <v>Canarsie</v>
      </c>
      <c r="F1082" t="str">
        <f>IF(OR(B1082=1,B1082=132,B1082=138),"Airports",D1082)</f>
        <v>Brooklyn</v>
      </c>
    </row>
    <row r="1083" spans="1:6">
      <c r="A1083" s="33">
        <v>42125</v>
      </c>
      <c r="B1083">
        <v>40</v>
      </c>
      <c r="C1083">
        <v>8249</v>
      </c>
      <c r="D1083" t="str">
        <f>VLOOKUP(B1083,ZoneTable,2,FALSE)</f>
        <v>Brooklyn</v>
      </c>
      <c r="E1083" t="str">
        <f>VLOOKUP(B1083,ZoneTable,3,FALSE)</f>
        <v>Carroll Gardens</v>
      </c>
      <c r="F1083" t="str">
        <f>IF(OR(B1083=1,B1083=132,B1083=138),"Airports",D1083)</f>
        <v>Brooklyn</v>
      </c>
    </row>
    <row r="1084" spans="1:6">
      <c r="A1084" s="33">
        <v>42125</v>
      </c>
      <c r="B1084">
        <v>41</v>
      </c>
      <c r="C1084">
        <v>13163</v>
      </c>
      <c r="D1084" t="str">
        <f>VLOOKUP(B1084,ZoneTable,2,FALSE)</f>
        <v>Manhattan</v>
      </c>
      <c r="E1084" t="str">
        <f>VLOOKUP(B1084,ZoneTable,3,FALSE)</f>
        <v>Central Harlem</v>
      </c>
      <c r="F1084" t="str">
        <f>IF(OR(B1084=1,B1084=132,B1084=138),"Airports",D1084)</f>
        <v>Manhattan</v>
      </c>
    </row>
    <row r="1085" spans="1:6">
      <c r="A1085" s="33">
        <v>42125</v>
      </c>
      <c r="B1085">
        <v>42</v>
      </c>
      <c r="C1085">
        <v>12720</v>
      </c>
      <c r="D1085" t="str">
        <f>VLOOKUP(B1085,ZoneTable,2,FALSE)</f>
        <v>Manhattan</v>
      </c>
      <c r="E1085" t="str">
        <f>VLOOKUP(B1085,ZoneTable,3,FALSE)</f>
        <v>Central Harlem North</v>
      </c>
      <c r="F1085" t="str">
        <f>IF(OR(B1085=1,B1085=132,B1085=138),"Airports",D1085)</f>
        <v>Manhattan</v>
      </c>
    </row>
    <row r="1086" spans="1:6">
      <c r="A1086" s="33">
        <v>42125</v>
      </c>
      <c r="B1086">
        <v>43</v>
      </c>
      <c r="C1086">
        <v>9599</v>
      </c>
      <c r="D1086" t="str">
        <f>VLOOKUP(B1086,ZoneTable,2,FALSE)</f>
        <v>Manhattan</v>
      </c>
      <c r="E1086" t="str">
        <f>VLOOKUP(B1086,ZoneTable,3,FALSE)</f>
        <v>Central Park</v>
      </c>
      <c r="F1086" t="str">
        <f>IF(OR(B1086=1,B1086=132,B1086=138),"Airports",D1086)</f>
        <v>Manhattan</v>
      </c>
    </row>
    <row r="1087" spans="1:6">
      <c r="A1087" s="33">
        <v>42125</v>
      </c>
      <c r="B1087">
        <v>44</v>
      </c>
      <c r="C1087">
        <v>6</v>
      </c>
      <c r="D1087" t="str">
        <f>VLOOKUP(B1087,ZoneTable,2,FALSE)</f>
        <v>Staten Island</v>
      </c>
      <c r="E1087" t="str">
        <f>VLOOKUP(B1087,ZoneTable,3,FALSE)</f>
        <v>Charleston/Tottenville</v>
      </c>
      <c r="F1087" t="str">
        <f>IF(OR(B1087=1,B1087=132,B1087=138),"Airports",D1087)</f>
        <v>Staten Island</v>
      </c>
    </row>
    <row r="1088" spans="1:6">
      <c r="A1088" s="33">
        <v>42125</v>
      </c>
      <c r="B1088">
        <v>45</v>
      </c>
      <c r="C1088">
        <v>8118</v>
      </c>
      <c r="D1088" t="str">
        <f>VLOOKUP(B1088,ZoneTable,2,FALSE)</f>
        <v>Manhattan</v>
      </c>
      <c r="E1088" t="str">
        <f>VLOOKUP(B1088,ZoneTable,3,FALSE)</f>
        <v>Chinatown</v>
      </c>
      <c r="F1088" t="str">
        <f>IF(OR(B1088=1,B1088=132,B1088=138),"Airports",D1088)</f>
        <v>Manhattan</v>
      </c>
    </row>
    <row r="1089" spans="1:6">
      <c r="A1089" s="33">
        <v>42125</v>
      </c>
      <c r="B1089">
        <v>46</v>
      </c>
      <c r="C1089">
        <v>103</v>
      </c>
      <c r="D1089" t="str">
        <f>VLOOKUP(B1089,ZoneTable,2,FALSE)</f>
        <v>Bronx</v>
      </c>
      <c r="E1089" t="str">
        <f>VLOOKUP(B1089,ZoneTable,3,FALSE)</f>
        <v>City Island</v>
      </c>
      <c r="F1089" t="str">
        <f>IF(OR(B1089=1,B1089=132,B1089=138),"Airports",D1089)</f>
        <v>Bronx</v>
      </c>
    </row>
    <row r="1090" spans="1:6">
      <c r="A1090" s="33">
        <v>42125</v>
      </c>
      <c r="B1090">
        <v>47</v>
      </c>
      <c r="C1090">
        <v>1048</v>
      </c>
      <c r="D1090" t="str">
        <f>VLOOKUP(B1090,ZoneTable,2,FALSE)</f>
        <v>Bronx</v>
      </c>
      <c r="E1090" t="str">
        <f>VLOOKUP(B1090,ZoneTable,3,FALSE)</f>
        <v>Claremont/Bathgate</v>
      </c>
      <c r="F1090" t="str">
        <f>IF(OR(B1090=1,B1090=132,B1090=138),"Airports",D1090)</f>
        <v>Bronx</v>
      </c>
    </row>
    <row r="1091" spans="1:6">
      <c r="A1091" s="33">
        <v>42125</v>
      </c>
      <c r="B1091">
        <v>48</v>
      </c>
      <c r="C1091">
        <v>47428</v>
      </c>
      <c r="D1091" t="str">
        <f>VLOOKUP(B1091,ZoneTable,2,FALSE)</f>
        <v>Manhattan</v>
      </c>
      <c r="E1091" t="str">
        <f>VLOOKUP(B1091,ZoneTable,3,FALSE)</f>
        <v>Clinton East</v>
      </c>
      <c r="F1091" t="str">
        <f>IF(OR(B1091=1,B1091=132,B1091=138),"Airports",D1091)</f>
        <v>Manhattan</v>
      </c>
    </row>
    <row r="1092" spans="1:6">
      <c r="A1092" s="33">
        <v>42125</v>
      </c>
      <c r="B1092">
        <v>49</v>
      </c>
      <c r="C1092">
        <v>17777</v>
      </c>
      <c r="D1092" t="str">
        <f>VLOOKUP(B1092,ZoneTable,2,FALSE)</f>
        <v>Brooklyn</v>
      </c>
      <c r="E1092" t="str">
        <f>VLOOKUP(B1092,ZoneTable,3,FALSE)</f>
        <v>Clinton Hill</v>
      </c>
      <c r="F1092" t="str">
        <f>IF(OR(B1092=1,B1092=132,B1092=138),"Airports",D1092)</f>
        <v>Brooklyn</v>
      </c>
    </row>
    <row r="1093" spans="1:6">
      <c r="A1093" s="33">
        <v>42125</v>
      </c>
      <c r="B1093">
        <v>50</v>
      </c>
      <c r="C1093">
        <v>26787</v>
      </c>
      <c r="D1093" t="str">
        <f>VLOOKUP(B1093,ZoneTable,2,FALSE)</f>
        <v>Manhattan</v>
      </c>
      <c r="E1093" t="str">
        <f>VLOOKUP(B1093,ZoneTable,3,FALSE)</f>
        <v>Clinton West</v>
      </c>
      <c r="F1093" t="str">
        <f>IF(OR(B1093=1,B1093=132,B1093=138),"Airports",D1093)</f>
        <v>Manhattan</v>
      </c>
    </row>
    <row r="1094" spans="1:6">
      <c r="A1094" s="33">
        <v>42125</v>
      </c>
      <c r="B1094">
        <v>51</v>
      </c>
      <c r="C1094">
        <v>959</v>
      </c>
      <c r="D1094" t="str">
        <f>VLOOKUP(B1094,ZoneTable,2,FALSE)</f>
        <v>Bronx</v>
      </c>
      <c r="E1094" t="str">
        <f>VLOOKUP(B1094,ZoneTable,3,FALSE)</f>
        <v>Co-Op City</v>
      </c>
      <c r="F1094" t="str">
        <f>IF(OR(B1094=1,B1094=132,B1094=138),"Airports",D1094)</f>
        <v>Bronx</v>
      </c>
    </row>
    <row r="1095" spans="1:6">
      <c r="A1095" s="33">
        <v>42125</v>
      </c>
      <c r="B1095">
        <v>52</v>
      </c>
      <c r="C1095">
        <v>4780</v>
      </c>
      <c r="D1095" t="str">
        <f>VLOOKUP(B1095,ZoneTable,2,FALSE)</f>
        <v>Brooklyn</v>
      </c>
      <c r="E1095" t="str">
        <f>VLOOKUP(B1095,ZoneTable,3,FALSE)</f>
        <v>Cobble Hill</v>
      </c>
      <c r="F1095" t="str">
        <f>IF(OR(B1095=1,B1095=132,B1095=138),"Airports",D1095)</f>
        <v>Brooklyn</v>
      </c>
    </row>
    <row r="1096" spans="1:6">
      <c r="A1096" s="33">
        <v>42125</v>
      </c>
      <c r="B1096">
        <v>53</v>
      </c>
      <c r="C1096">
        <v>736</v>
      </c>
      <c r="D1096" t="str">
        <f>VLOOKUP(B1096,ZoneTable,2,FALSE)</f>
        <v>Queens</v>
      </c>
      <c r="E1096" t="str">
        <f>VLOOKUP(B1096,ZoneTable,3,FALSE)</f>
        <v>College Point</v>
      </c>
      <c r="F1096" t="str">
        <f>IF(OR(B1096=1,B1096=132,B1096=138),"Airports",D1096)</f>
        <v>Queens</v>
      </c>
    </row>
    <row r="1097" spans="1:6">
      <c r="A1097" s="33">
        <v>42125</v>
      </c>
      <c r="B1097">
        <v>54</v>
      </c>
      <c r="C1097">
        <v>2401</v>
      </c>
      <c r="D1097" t="str">
        <f>VLOOKUP(B1097,ZoneTable,2,FALSE)</f>
        <v>Brooklyn</v>
      </c>
      <c r="E1097" t="str">
        <f>VLOOKUP(B1097,ZoneTable,3,FALSE)</f>
        <v>Columbia Street</v>
      </c>
      <c r="F1097" t="str">
        <f>IF(OR(B1097=1,B1097=132,B1097=138),"Airports",D1097)</f>
        <v>Brooklyn</v>
      </c>
    </row>
    <row r="1098" spans="1:6">
      <c r="A1098" s="33">
        <v>42125</v>
      </c>
      <c r="B1098">
        <v>55</v>
      </c>
      <c r="C1098">
        <v>1260</v>
      </c>
      <c r="D1098" t="str">
        <f>VLOOKUP(B1098,ZoneTable,2,FALSE)</f>
        <v>Brooklyn</v>
      </c>
      <c r="E1098" t="str">
        <f>VLOOKUP(B1098,ZoneTable,3,FALSE)</f>
        <v>Coney Island</v>
      </c>
      <c r="F1098" t="str">
        <f>IF(OR(B1098=1,B1098=132,B1098=138),"Airports",D1098)</f>
        <v>Brooklyn</v>
      </c>
    </row>
    <row r="1099" spans="1:6">
      <c r="A1099" s="33">
        <v>42125</v>
      </c>
      <c r="B1099">
        <v>56</v>
      </c>
      <c r="C1099">
        <v>1722</v>
      </c>
      <c r="D1099" t="str">
        <f>VLOOKUP(B1099,ZoneTable,2,FALSE)</f>
        <v>Queens</v>
      </c>
      <c r="E1099" t="str">
        <f>VLOOKUP(B1099,ZoneTable,3,FALSE)</f>
        <v>Corona</v>
      </c>
      <c r="F1099" t="str">
        <f>IF(OR(B1099=1,B1099=132,B1099=138),"Airports",D1099)</f>
        <v>Queens</v>
      </c>
    </row>
    <row r="1100" spans="1:6">
      <c r="A1100" s="33">
        <v>42125</v>
      </c>
      <c r="B1100">
        <v>57</v>
      </c>
      <c r="C1100">
        <v>138</v>
      </c>
      <c r="D1100" t="str">
        <f>VLOOKUP(B1100,ZoneTable,2,FALSE)</f>
        <v>Queens</v>
      </c>
      <c r="E1100" t="str">
        <f>VLOOKUP(B1100,ZoneTable,3,FALSE)</f>
        <v>Corona</v>
      </c>
      <c r="F1100" t="str">
        <f>IF(OR(B1100=1,B1100=132,B1100=138),"Airports",D1100)</f>
        <v>Queens</v>
      </c>
    </row>
    <row r="1101" spans="1:6">
      <c r="A1101" s="33">
        <v>42125</v>
      </c>
      <c r="B1101">
        <v>58</v>
      </c>
      <c r="C1101">
        <v>152</v>
      </c>
      <c r="D1101" t="str">
        <f>VLOOKUP(B1101,ZoneTable,2,FALSE)</f>
        <v>Bronx</v>
      </c>
      <c r="E1101" t="str">
        <f>VLOOKUP(B1101,ZoneTable,3,FALSE)</f>
        <v>Country Club</v>
      </c>
      <c r="F1101" t="str">
        <f>IF(OR(B1101=1,B1101=132,B1101=138),"Airports",D1101)</f>
        <v>Bronx</v>
      </c>
    </row>
    <row r="1102" spans="1:6">
      <c r="A1102" s="33">
        <v>42125</v>
      </c>
      <c r="B1102">
        <v>59</v>
      </c>
      <c r="C1102">
        <v>36</v>
      </c>
      <c r="D1102" t="str">
        <f>VLOOKUP(B1102,ZoneTable,2,FALSE)</f>
        <v>Bronx</v>
      </c>
      <c r="E1102" t="str">
        <f>VLOOKUP(B1102,ZoneTable,3,FALSE)</f>
        <v>Crotona Park</v>
      </c>
      <c r="F1102" t="str">
        <f>IF(OR(B1102=1,B1102=132,B1102=138),"Airports",D1102)</f>
        <v>Bronx</v>
      </c>
    </row>
    <row r="1103" spans="1:6">
      <c r="A1103" s="33">
        <v>42125</v>
      </c>
      <c r="B1103">
        <v>60</v>
      </c>
      <c r="C1103">
        <v>582</v>
      </c>
      <c r="D1103" t="str">
        <f>VLOOKUP(B1103,ZoneTable,2,FALSE)</f>
        <v>Bronx</v>
      </c>
      <c r="E1103" t="str">
        <f>VLOOKUP(B1103,ZoneTable,3,FALSE)</f>
        <v>Crotona Park East</v>
      </c>
      <c r="F1103" t="str">
        <f>IF(OR(B1103=1,B1103=132,B1103=138),"Airports",D1103)</f>
        <v>Bronx</v>
      </c>
    </row>
    <row r="1104" spans="1:6">
      <c r="A1104" s="33">
        <v>42125</v>
      </c>
      <c r="B1104">
        <v>61</v>
      </c>
      <c r="C1104">
        <v>20776</v>
      </c>
      <c r="D1104" t="str">
        <f>VLOOKUP(B1104,ZoneTable,2,FALSE)</f>
        <v>Brooklyn</v>
      </c>
      <c r="E1104" t="str">
        <f>VLOOKUP(B1104,ZoneTable,3,FALSE)</f>
        <v>Crown Heights North</v>
      </c>
      <c r="F1104" t="str">
        <f>IF(OR(B1104=1,B1104=132,B1104=138),"Airports",D1104)</f>
        <v>Brooklyn</v>
      </c>
    </row>
    <row r="1105" spans="1:6">
      <c r="A1105" s="33">
        <v>42125</v>
      </c>
      <c r="B1105">
        <v>62</v>
      </c>
      <c r="C1105">
        <v>5044</v>
      </c>
      <c r="D1105" t="str">
        <f>VLOOKUP(B1105,ZoneTable,2,FALSE)</f>
        <v>Brooklyn</v>
      </c>
      <c r="E1105" t="str">
        <f>VLOOKUP(B1105,ZoneTable,3,FALSE)</f>
        <v>Crown Heights South</v>
      </c>
      <c r="F1105" t="str">
        <f>IF(OR(B1105=1,B1105=132,B1105=138),"Airports",D1105)</f>
        <v>Brooklyn</v>
      </c>
    </row>
    <row r="1106" spans="1:6">
      <c r="A1106" s="33">
        <v>42125</v>
      </c>
      <c r="B1106">
        <v>63</v>
      </c>
      <c r="C1106">
        <v>1258</v>
      </c>
      <c r="D1106" t="str">
        <f>VLOOKUP(B1106,ZoneTable,2,FALSE)</f>
        <v>Brooklyn</v>
      </c>
      <c r="E1106" t="str">
        <f>VLOOKUP(B1106,ZoneTable,3,FALSE)</f>
        <v>Cypress Hills</v>
      </c>
      <c r="F1106" t="str">
        <f>IF(OR(B1106=1,B1106=132,B1106=138),"Airports",D1106)</f>
        <v>Brooklyn</v>
      </c>
    </row>
    <row r="1107" spans="1:6">
      <c r="A1107" s="33">
        <v>42125</v>
      </c>
      <c r="B1107">
        <v>64</v>
      </c>
      <c r="C1107">
        <v>654</v>
      </c>
      <c r="D1107" t="str">
        <f>VLOOKUP(B1107,ZoneTable,2,FALSE)</f>
        <v>Queens</v>
      </c>
      <c r="E1107" t="str">
        <f>VLOOKUP(B1107,ZoneTable,3,FALSE)</f>
        <v>Douglaston</v>
      </c>
      <c r="F1107" t="str">
        <f>IF(OR(B1107=1,B1107=132,B1107=138),"Airports",D1107)</f>
        <v>Queens</v>
      </c>
    </row>
    <row r="1108" spans="1:6">
      <c r="A1108" s="33">
        <v>42125</v>
      </c>
      <c r="B1108">
        <v>65</v>
      </c>
      <c r="C1108">
        <v>10861</v>
      </c>
      <c r="D1108" t="str">
        <f>VLOOKUP(B1108,ZoneTable,2,FALSE)</f>
        <v>Brooklyn</v>
      </c>
      <c r="E1108" t="str">
        <f>VLOOKUP(B1108,ZoneTable,3,FALSE)</f>
        <v>Downtown Brooklyn/MetroTech</v>
      </c>
      <c r="F1108" t="str">
        <f>IF(OR(B1108=1,B1108=132,B1108=138),"Airports",D1108)</f>
        <v>Brooklyn</v>
      </c>
    </row>
    <row r="1109" spans="1:6">
      <c r="A1109" s="33">
        <v>42125</v>
      </c>
      <c r="B1109">
        <v>66</v>
      </c>
      <c r="C1109">
        <v>10083</v>
      </c>
      <c r="D1109" t="str">
        <f>VLOOKUP(B1109,ZoneTable,2,FALSE)</f>
        <v>Brooklyn</v>
      </c>
      <c r="E1109" t="str">
        <f>VLOOKUP(B1109,ZoneTable,3,FALSE)</f>
        <v>DUMBO/Vinegar Hill</v>
      </c>
      <c r="F1109" t="str">
        <f>IF(OR(B1109=1,B1109=132,B1109=138),"Airports",D1109)</f>
        <v>Brooklyn</v>
      </c>
    </row>
    <row r="1110" spans="1:6">
      <c r="A1110" s="33">
        <v>42125</v>
      </c>
      <c r="B1110">
        <v>67</v>
      </c>
      <c r="C1110">
        <v>2086</v>
      </c>
      <c r="D1110" t="str">
        <f>VLOOKUP(B1110,ZoneTable,2,FALSE)</f>
        <v>Brooklyn</v>
      </c>
      <c r="E1110" t="str">
        <f>VLOOKUP(B1110,ZoneTable,3,FALSE)</f>
        <v>Dyker Heights</v>
      </c>
      <c r="F1110" t="str">
        <f>IF(OR(B1110=1,B1110=132,B1110=138),"Airports",D1110)</f>
        <v>Brooklyn</v>
      </c>
    </row>
    <row r="1111" spans="1:6">
      <c r="A1111" s="33">
        <v>42125</v>
      </c>
      <c r="B1111">
        <v>68</v>
      </c>
      <c r="C1111">
        <v>56464</v>
      </c>
      <c r="D1111" t="str">
        <f>VLOOKUP(B1111,ZoneTable,2,FALSE)</f>
        <v>Manhattan</v>
      </c>
      <c r="E1111" t="str">
        <f>VLOOKUP(B1111,ZoneTable,3,FALSE)</f>
        <v>East Chelsea</v>
      </c>
      <c r="F1111" t="str">
        <f>IF(OR(B1111=1,B1111=132,B1111=138),"Airports",D1111)</f>
        <v>Manhattan</v>
      </c>
    </row>
    <row r="1112" spans="1:6">
      <c r="A1112" s="33">
        <v>42125</v>
      </c>
      <c r="B1112">
        <v>69</v>
      </c>
      <c r="C1112">
        <v>2041</v>
      </c>
      <c r="D1112" t="str">
        <f>VLOOKUP(B1112,ZoneTable,2,FALSE)</f>
        <v>Bronx</v>
      </c>
      <c r="E1112" t="str">
        <f>VLOOKUP(B1112,ZoneTable,3,FALSE)</f>
        <v>East Concourse/Concourse Village</v>
      </c>
      <c r="F1112" t="str">
        <f>IF(OR(B1112=1,B1112=132,B1112=138),"Airports",D1112)</f>
        <v>Bronx</v>
      </c>
    </row>
    <row r="1113" spans="1:6">
      <c r="A1113" s="33">
        <v>42125</v>
      </c>
      <c r="B1113">
        <v>70</v>
      </c>
      <c r="C1113">
        <v>2868</v>
      </c>
      <c r="D1113" t="str">
        <f>VLOOKUP(B1113,ZoneTable,2,FALSE)</f>
        <v>Queens</v>
      </c>
      <c r="E1113" t="str">
        <f>VLOOKUP(B1113,ZoneTable,3,FALSE)</f>
        <v>East Elmhurst</v>
      </c>
      <c r="F1113" t="str">
        <f>IF(OR(B1113=1,B1113=132,B1113=138),"Airports",D1113)</f>
        <v>Queens</v>
      </c>
    </row>
    <row r="1114" spans="1:6">
      <c r="A1114" s="33">
        <v>42125</v>
      </c>
      <c r="B1114">
        <v>71</v>
      </c>
      <c r="C1114">
        <v>2747</v>
      </c>
      <c r="D1114" t="str">
        <f>VLOOKUP(B1114,ZoneTable,2,FALSE)</f>
        <v>Brooklyn</v>
      </c>
      <c r="E1114" t="str">
        <f>VLOOKUP(B1114,ZoneTable,3,FALSE)</f>
        <v>East Flatbush/Farragut</v>
      </c>
      <c r="F1114" t="str">
        <f>IF(OR(B1114=1,B1114=132,B1114=138),"Airports",D1114)</f>
        <v>Brooklyn</v>
      </c>
    </row>
    <row r="1115" spans="1:6">
      <c r="A1115" s="33">
        <v>42125</v>
      </c>
      <c r="B1115">
        <v>72</v>
      </c>
      <c r="C1115">
        <v>2957</v>
      </c>
      <c r="D1115" t="str">
        <f>VLOOKUP(B1115,ZoneTable,2,FALSE)</f>
        <v>Brooklyn</v>
      </c>
      <c r="E1115" t="str">
        <f>VLOOKUP(B1115,ZoneTable,3,FALSE)</f>
        <v>East Flatbush/Remsen Village</v>
      </c>
      <c r="F1115" t="str">
        <f>IF(OR(B1115=1,B1115=132,B1115=138),"Airports",D1115)</f>
        <v>Brooklyn</v>
      </c>
    </row>
    <row r="1116" spans="1:6">
      <c r="A1116" s="33">
        <v>42125</v>
      </c>
      <c r="B1116">
        <v>73</v>
      </c>
      <c r="C1116">
        <v>792</v>
      </c>
      <c r="D1116" t="str">
        <f>VLOOKUP(B1116,ZoneTable,2,FALSE)</f>
        <v>Queens</v>
      </c>
      <c r="E1116" t="str">
        <f>VLOOKUP(B1116,ZoneTable,3,FALSE)</f>
        <v>East Flushing</v>
      </c>
      <c r="F1116" t="str">
        <f>IF(OR(B1116=1,B1116=132,B1116=138),"Airports",D1116)</f>
        <v>Queens</v>
      </c>
    </row>
    <row r="1117" spans="1:6">
      <c r="A1117" s="33">
        <v>42125</v>
      </c>
      <c r="B1117">
        <v>74</v>
      </c>
      <c r="C1117">
        <v>9737</v>
      </c>
      <c r="D1117" t="str">
        <f>VLOOKUP(B1117,ZoneTable,2,FALSE)</f>
        <v>Manhattan</v>
      </c>
      <c r="E1117" t="str">
        <f>VLOOKUP(B1117,ZoneTable,3,FALSE)</f>
        <v>East Harlem North</v>
      </c>
      <c r="F1117" t="str">
        <f>IF(OR(B1117=1,B1117=132,B1117=138),"Airports",D1117)</f>
        <v>Manhattan</v>
      </c>
    </row>
    <row r="1118" spans="1:6">
      <c r="A1118" s="33">
        <v>42125</v>
      </c>
      <c r="B1118">
        <v>75</v>
      </c>
      <c r="C1118">
        <v>9974</v>
      </c>
      <c r="D1118" t="str">
        <f>VLOOKUP(B1118,ZoneTable,2,FALSE)</f>
        <v>Manhattan</v>
      </c>
      <c r="E1118" t="str">
        <f>VLOOKUP(B1118,ZoneTable,3,FALSE)</f>
        <v>East Harlem South</v>
      </c>
      <c r="F1118" t="str">
        <f>IF(OR(B1118=1,B1118=132,B1118=138),"Airports",D1118)</f>
        <v>Manhattan</v>
      </c>
    </row>
    <row r="1119" spans="1:6">
      <c r="A1119" s="33">
        <v>42125</v>
      </c>
      <c r="B1119">
        <v>76</v>
      </c>
      <c r="C1119">
        <v>3283</v>
      </c>
      <c r="D1119" t="str">
        <f>VLOOKUP(B1119,ZoneTable,2,FALSE)</f>
        <v>Brooklyn</v>
      </c>
      <c r="E1119" t="str">
        <f>VLOOKUP(B1119,ZoneTable,3,FALSE)</f>
        <v>East New York</v>
      </c>
      <c r="F1119" t="str">
        <f>IF(OR(B1119=1,B1119=132,B1119=138),"Airports",D1119)</f>
        <v>Brooklyn</v>
      </c>
    </row>
    <row r="1120" spans="1:6">
      <c r="A1120" s="33">
        <v>42125</v>
      </c>
      <c r="B1120">
        <v>77</v>
      </c>
      <c r="C1120">
        <v>1037</v>
      </c>
      <c r="D1120" t="str">
        <f>VLOOKUP(B1120,ZoneTable,2,FALSE)</f>
        <v>Brooklyn</v>
      </c>
      <c r="E1120" t="str">
        <f>VLOOKUP(B1120,ZoneTable,3,FALSE)</f>
        <v>East New York/Pennsylvania Avenue</v>
      </c>
      <c r="F1120" t="str">
        <f>IF(OR(B1120=1,B1120=132,B1120=138),"Airports",D1120)</f>
        <v>Brooklyn</v>
      </c>
    </row>
    <row r="1121" spans="1:6">
      <c r="A1121" s="33">
        <v>42125</v>
      </c>
      <c r="B1121">
        <v>78</v>
      </c>
      <c r="C1121">
        <v>1315</v>
      </c>
      <c r="D1121" t="str">
        <f>VLOOKUP(B1121,ZoneTable,2,FALSE)</f>
        <v>Bronx</v>
      </c>
      <c r="E1121" t="str">
        <f>VLOOKUP(B1121,ZoneTable,3,FALSE)</f>
        <v>East Tremont</v>
      </c>
      <c r="F1121" t="str">
        <f>IF(OR(B1121=1,B1121=132,B1121=138),"Airports",D1121)</f>
        <v>Bronx</v>
      </c>
    </row>
    <row r="1122" spans="1:6">
      <c r="A1122" s="33">
        <v>42125</v>
      </c>
      <c r="B1122">
        <v>79</v>
      </c>
      <c r="C1122">
        <v>78190</v>
      </c>
      <c r="D1122" t="str">
        <f>VLOOKUP(B1122,ZoneTable,2,FALSE)</f>
        <v>Manhattan</v>
      </c>
      <c r="E1122" t="str">
        <f>VLOOKUP(B1122,ZoneTable,3,FALSE)</f>
        <v>East Village</v>
      </c>
      <c r="F1122" t="str">
        <f>IF(OR(B1122=1,B1122=132,B1122=138),"Airports",D1122)</f>
        <v>Manhattan</v>
      </c>
    </row>
    <row r="1123" spans="1:6">
      <c r="A1123" s="33">
        <v>42125</v>
      </c>
      <c r="B1123">
        <v>80</v>
      </c>
      <c r="C1123">
        <v>26643</v>
      </c>
      <c r="D1123" t="str">
        <f>VLOOKUP(B1123,ZoneTable,2,FALSE)</f>
        <v>Brooklyn</v>
      </c>
      <c r="E1123" t="str">
        <f>VLOOKUP(B1123,ZoneTable,3,FALSE)</f>
        <v>East Williamsburg</v>
      </c>
      <c r="F1123" t="str">
        <f>IF(OR(B1123=1,B1123=132,B1123=138),"Airports",D1123)</f>
        <v>Brooklyn</v>
      </c>
    </row>
    <row r="1124" spans="1:6">
      <c r="A1124" s="33">
        <v>42125</v>
      </c>
      <c r="B1124">
        <v>81</v>
      </c>
      <c r="C1124">
        <v>662</v>
      </c>
      <c r="D1124" t="str">
        <f>VLOOKUP(B1124,ZoneTable,2,FALSE)</f>
        <v>Bronx</v>
      </c>
      <c r="E1124" t="str">
        <f>VLOOKUP(B1124,ZoneTable,3,FALSE)</f>
        <v>Eastchester</v>
      </c>
      <c r="F1124" t="str">
        <f>IF(OR(B1124=1,B1124=132,B1124=138),"Airports",D1124)</f>
        <v>Bronx</v>
      </c>
    </row>
    <row r="1125" spans="1:6">
      <c r="A1125" s="33">
        <v>42125</v>
      </c>
      <c r="B1125">
        <v>82</v>
      </c>
      <c r="C1125">
        <v>4657</v>
      </c>
      <c r="D1125" t="str">
        <f>VLOOKUP(B1125,ZoneTable,2,FALSE)</f>
        <v>Queens</v>
      </c>
      <c r="E1125" t="str">
        <f>VLOOKUP(B1125,ZoneTable,3,FALSE)</f>
        <v>Elmhurst</v>
      </c>
      <c r="F1125" t="str">
        <f>IF(OR(B1125=1,B1125=132,B1125=138),"Airports",D1125)</f>
        <v>Queens</v>
      </c>
    </row>
    <row r="1126" spans="1:6">
      <c r="A1126" s="33">
        <v>42125</v>
      </c>
      <c r="B1126">
        <v>83</v>
      </c>
      <c r="C1126">
        <v>1837</v>
      </c>
      <c r="D1126" t="str">
        <f>VLOOKUP(B1126,ZoneTable,2,FALSE)</f>
        <v>Queens</v>
      </c>
      <c r="E1126" t="str">
        <f>VLOOKUP(B1126,ZoneTable,3,FALSE)</f>
        <v>Elmhurst/Maspeth</v>
      </c>
      <c r="F1126" t="str">
        <f>IF(OR(B1126=1,B1126=132,B1126=138),"Airports",D1126)</f>
        <v>Queens</v>
      </c>
    </row>
    <row r="1127" spans="1:6">
      <c r="A1127" s="33">
        <v>42125</v>
      </c>
      <c r="B1127">
        <v>84</v>
      </c>
      <c r="C1127">
        <v>8</v>
      </c>
      <c r="D1127" t="str">
        <f>VLOOKUP(B1127,ZoneTable,2,FALSE)</f>
        <v>Staten Island</v>
      </c>
      <c r="E1127" t="str">
        <f>VLOOKUP(B1127,ZoneTable,3,FALSE)</f>
        <v>Eltingville/Annadale/Prince's Bay</v>
      </c>
      <c r="F1127" t="str">
        <f>IF(OR(B1127=1,B1127=132,B1127=138),"Airports",D1127)</f>
        <v>Staten Island</v>
      </c>
    </row>
    <row r="1128" spans="1:6">
      <c r="A1128" s="33">
        <v>42125</v>
      </c>
      <c r="B1128">
        <v>85</v>
      </c>
      <c r="C1128">
        <v>2308</v>
      </c>
      <c r="D1128" t="str">
        <f>VLOOKUP(B1128,ZoneTable,2,FALSE)</f>
        <v>Brooklyn</v>
      </c>
      <c r="E1128" t="str">
        <f>VLOOKUP(B1128,ZoneTable,3,FALSE)</f>
        <v>Erasmus</v>
      </c>
      <c r="F1128" t="str">
        <f>IF(OR(B1128=1,B1128=132,B1128=138),"Airports",D1128)</f>
        <v>Brooklyn</v>
      </c>
    </row>
    <row r="1129" spans="1:6">
      <c r="A1129" s="33">
        <v>42125</v>
      </c>
      <c r="B1129">
        <v>86</v>
      </c>
      <c r="C1129">
        <v>95</v>
      </c>
      <c r="D1129" t="str">
        <f>VLOOKUP(B1129,ZoneTable,2,FALSE)</f>
        <v>Queens</v>
      </c>
      <c r="E1129" t="str">
        <f>VLOOKUP(B1129,ZoneTable,3,FALSE)</f>
        <v>Far Rockaway</v>
      </c>
      <c r="F1129" t="str">
        <f>IF(OR(B1129=1,B1129=132,B1129=138),"Airports",D1129)</f>
        <v>Queens</v>
      </c>
    </row>
    <row r="1130" spans="1:6">
      <c r="A1130" s="33">
        <v>42125</v>
      </c>
      <c r="B1130">
        <v>87</v>
      </c>
      <c r="C1130">
        <v>28261</v>
      </c>
      <c r="D1130" t="str">
        <f>VLOOKUP(B1130,ZoneTable,2,FALSE)</f>
        <v>Manhattan</v>
      </c>
      <c r="E1130" t="str">
        <f>VLOOKUP(B1130,ZoneTable,3,FALSE)</f>
        <v>Financial District North</v>
      </c>
      <c r="F1130" t="str">
        <f>IF(OR(B1130=1,B1130=132,B1130=138),"Airports",D1130)</f>
        <v>Manhattan</v>
      </c>
    </row>
    <row r="1131" spans="1:6">
      <c r="A1131" s="33">
        <v>42125</v>
      </c>
      <c r="B1131">
        <v>88</v>
      </c>
      <c r="C1131">
        <v>10454</v>
      </c>
      <c r="D1131" t="str">
        <f>VLOOKUP(B1131,ZoneTable,2,FALSE)</f>
        <v>Manhattan</v>
      </c>
      <c r="E1131" t="str">
        <f>VLOOKUP(B1131,ZoneTable,3,FALSE)</f>
        <v>Financial District South</v>
      </c>
      <c r="F1131" t="str">
        <f>IF(OR(B1131=1,B1131=132,B1131=138),"Airports",D1131)</f>
        <v>Manhattan</v>
      </c>
    </row>
    <row r="1132" spans="1:6">
      <c r="A1132" s="33">
        <v>42125</v>
      </c>
      <c r="B1132">
        <v>89</v>
      </c>
      <c r="C1132">
        <v>9938</v>
      </c>
      <c r="D1132" t="str">
        <f>VLOOKUP(B1132,ZoneTable,2,FALSE)</f>
        <v>Brooklyn</v>
      </c>
      <c r="E1132" t="str">
        <f>VLOOKUP(B1132,ZoneTable,3,FALSE)</f>
        <v>Flatbush/Ditmas Park</v>
      </c>
      <c r="F1132" t="str">
        <f>IF(OR(B1132=1,B1132=132,B1132=138),"Airports",D1132)</f>
        <v>Brooklyn</v>
      </c>
    </row>
    <row r="1133" spans="1:6">
      <c r="A1133" s="33">
        <v>42125</v>
      </c>
      <c r="B1133">
        <v>90</v>
      </c>
      <c r="C1133">
        <v>41834</v>
      </c>
      <c r="D1133" t="str">
        <f>VLOOKUP(B1133,ZoneTable,2,FALSE)</f>
        <v>Manhattan</v>
      </c>
      <c r="E1133" t="str">
        <f>VLOOKUP(B1133,ZoneTable,3,FALSE)</f>
        <v>Flatiron</v>
      </c>
      <c r="F1133" t="str">
        <f>IF(OR(B1133=1,B1133=132,B1133=138),"Airports",D1133)</f>
        <v>Manhattan</v>
      </c>
    </row>
    <row r="1134" spans="1:6">
      <c r="A1134" s="33">
        <v>42125</v>
      </c>
      <c r="B1134">
        <v>91</v>
      </c>
      <c r="C1134">
        <v>3276</v>
      </c>
      <c r="D1134" t="str">
        <f>VLOOKUP(B1134,ZoneTable,2,FALSE)</f>
        <v>Brooklyn</v>
      </c>
      <c r="E1134" t="str">
        <f>VLOOKUP(B1134,ZoneTable,3,FALSE)</f>
        <v>Flatlands</v>
      </c>
      <c r="F1134" t="str">
        <f>IF(OR(B1134=1,B1134=132,B1134=138),"Airports",D1134)</f>
        <v>Brooklyn</v>
      </c>
    </row>
    <row r="1135" spans="1:6">
      <c r="A1135" s="33">
        <v>42125</v>
      </c>
      <c r="B1135">
        <v>92</v>
      </c>
      <c r="C1135">
        <v>4128</v>
      </c>
      <c r="D1135" t="str">
        <f>VLOOKUP(B1135,ZoneTable,2,FALSE)</f>
        <v>Queens</v>
      </c>
      <c r="E1135" t="str">
        <f>VLOOKUP(B1135,ZoneTable,3,FALSE)</f>
        <v>Flushing</v>
      </c>
      <c r="F1135" t="str">
        <f>IF(OR(B1135=1,B1135=132,B1135=138),"Airports",D1135)</f>
        <v>Queens</v>
      </c>
    </row>
    <row r="1136" spans="1:6">
      <c r="A1136" s="33">
        <v>42125</v>
      </c>
      <c r="B1136">
        <v>93</v>
      </c>
      <c r="C1136">
        <v>1529</v>
      </c>
      <c r="D1136" t="str">
        <f>VLOOKUP(B1136,ZoneTable,2,FALSE)</f>
        <v>Queens</v>
      </c>
      <c r="E1136" t="str">
        <f>VLOOKUP(B1136,ZoneTable,3,FALSE)</f>
        <v>Flushing Meadows-Corona Park</v>
      </c>
      <c r="F1136" t="str">
        <f>IF(OR(B1136=1,B1136=132,B1136=138),"Airports",D1136)</f>
        <v>Queens</v>
      </c>
    </row>
    <row r="1137" spans="1:6">
      <c r="A1137" s="33">
        <v>42125</v>
      </c>
      <c r="B1137">
        <v>94</v>
      </c>
      <c r="C1137">
        <v>604</v>
      </c>
      <c r="D1137" t="str">
        <f>VLOOKUP(B1137,ZoneTable,2,FALSE)</f>
        <v>Bronx</v>
      </c>
      <c r="E1137" t="str">
        <f>VLOOKUP(B1137,ZoneTable,3,FALSE)</f>
        <v>Fordham South</v>
      </c>
      <c r="F1137" t="str">
        <f>IF(OR(B1137=1,B1137=132,B1137=138),"Airports",D1137)</f>
        <v>Bronx</v>
      </c>
    </row>
    <row r="1138" spans="1:6">
      <c r="A1138" s="33">
        <v>42125</v>
      </c>
      <c r="B1138">
        <v>95</v>
      </c>
      <c r="C1138">
        <v>8704</v>
      </c>
      <c r="D1138" t="str">
        <f>VLOOKUP(B1138,ZoneTable,2,FALSE)</f>
        <v>Queens</v>
      </c>
      <c r="E1138" t="str">
        <f>VLOOKUP(B1138,ZoneTable,3,FALSE)</f>
        <v>Forest Hills</v>
      </c>
      <c r="F1138" t="str">
        <f>IF(OR(B1138=1,B1138=132,B1138=138),"Airports",D1138)</f>
        <v>Queens</v>
      </c>
    </row>
    <row r="1139" spans="1:6">
      <c r="A1139" s="33">
        <v>42125</v>
      </c>
      <c r="B1139">
        <v>96</v>
      </c>
      <c r="C1139">
        <v>157</v>
      </c>
      <c r="D1139" t="str">
        <f>VLOOKUP(B1139,ZoneTable,2,FALSE)</f>
        <v>Queens</v>
      </c>
      <c r="E1139" t="str">
        <f>VLOOKUP(B1139,ZoneTable,3,FALSE)</f>
        <v>Forest Park/Highland Park</v>
      </c>
      <c r="F1139" t="str">
        <f>IF(OR(B1139=1,B1139=132,B1139=138),"Airports",D1139)</f>
        <v>Queens</v>
      </c>
    </row>
    <row r="1140" spans="1:6">
      <c r="A1140" s="33">
        <v>42125</v>
      </c>
      <c r="B1140">
        <v>97</v>
      </c>
      <c r="C1140">
        <v>14755</v>
      </c>
      <c r="D1140" t="str">
        <f>VLOOKUP(B1140,ZoneTable,2,FALSE)</f>
        <v>Brooklyn</v>
      </c>
      <c r="E1140" t="str">
        <f>VLOOKUP(B1140,ZoneTable,3,FALSE)</f>
        <v>Fort Greene</v>
      </c>
      <c r="F1140" t="str">
        <f>IF(OR(B1140=1,B1140=132,B1140=138),"Airports",D1140)</f>
        <v>Brooklyn</v>
      </c>
    </row>
    <row r="1141" spans="1:6">
      <c r="A1141" s="33">
        <v>42125</v>
      </c>
      <c r="B1141">
        <v>98</v>
      </c>
      <c r="C1141">
        <v>873</v>
      </c>
      <c r="D1141" t="str">
        <f>VLOOKUP(B1141,ZoneTable,2,FALSE)</f>
        <v>Queens</v>
      </c>
      <c r="E1141" t="str">
        <f>VLOOKUP(B1141,ZoneTable,3,FALSE)</f>
        <v>Fresh Meadows</v>
      </c>
      <c r="F1141" t="str">
        <f>IF(OR(B1141=1,B1141=132,B1141=138),"Airports",D1141)</f>
        <v>Queens</v>
      </c>
    </row>
    <row r="1142" spans="1:6">
      <c r="A1142" s="33">
        <v>42125</v>
      </c>
      <c r="B1142">
        <v>99</v>
      </c>
      <c r="C1142">
        <v>2</v>
      </c>
      <c r="D1142" t="str">
        <f>VLOOKUP(B1142,ZoneTable,2,FALSE)</f>
        <v>Staten Island</v>
      </c>
      <c r="E1142" t="str">
        <f>VLOOKUP(B1142,ZoneTable,3,FALSE)</f>
        <v>Freshkills Park</v>
      </c>
      <c r="F1142" t="str">
        <f>IF(OR(B1142=1,B1142=132,B1142=138),"Airports",D1142)</f>
        <v>Staten Island</v>
      </c>
    </row>
    <row r="1143" spans="1:6">
      <c r="A1143" s="33">
        <v>42125</v>
      </c>
      <c r="B1143">
        <v>100</v>
      </c>
      <c r="C1143">
        <v>26076</v>
      </c>
      <c r="D1143" t="str">
        <f>VLOOKUP(B1143,ZoneTable,2,FALSE)</f>
        <v>Manhattan</v>
      </c>
      <c r="E1143" t="str">
        <f>VLOOKUP(B1143,ZoneTable,3,FALSE)</f>
        <v>Garment District</v>
      </c>
      <c r="F1143" t="str">
        <f>IF(OR(B1143=1,B1143=132,B1143=138),"Airports",D1143)</f>
        <v>Manhattan</v>
      </c>
    </row>
    <row r="1144" spans="1:6">
      <c r="A1144" s="33">
        <v>42125</v>
      </c>
      <c r="B1144">
        <v>101</v>
      </c>
      <c r="C1144">
        <v>458</v>
      </c>
      <c r="D1144" t="str">
        <f>VLOOKUP(B1144,ZoneTable,2,FALSE)</f>
        <v>Queens</v>
      </c>
      <c r="E1144" t="str">
        <f>VLOOKUP(B1144,ZoneTable,3,FALSE)</f>
        <v>Glen Oaks</v>
      </c>
      <c r="F1144" t="str">
        <f>IF(OR(B1144=1,B1144=132,B1144=138),"Airports",D1144)</f>
        <v>Queens</v>
      </c>
    </row>
    <row r="1145" spans="1:6">
      <c r="A1145" s="33">
        <v>42125</v>
      </c>
      <c r="B1145">
        <v>102</v>
      </c>
      <c r="C1145">
        <v>1809</v>
      </c>
      <c r="D1145" t="str">
        <f>VLOOKUP(B1145,ZoneTable,2,FALSE)</f>
        <v>Queens</v>
      </c>
      <c r="E1145" t="str">
        <f>VLOOKUP(B1145,ZoneTable,3,FALSE)</f>
        <v>Glendale</v>
      </c>
      <c r="F1145" t="str">
        <f>IF(OR(B1145=1,B1145=132,B1145=138),"Airports",D1145)</f>
        <v>Queens</v>
      </c>
    </row>
    <row r="1146" spans="1:6">
      <c r="A1146" s="33">
        <v>42125</v>
      </c>
      <c r="B1146">
        <v>105</v>
      </c>
      <c r="C1146">
        <v>3</v>
      </c>
      <c r="D1146" t="str">
        <f>VLOOKUP(B1146,ZoneTable,2,FALSE)</f>
        <v>Manhattan</v>
      </c>
      <c r="E1146" t="str">
        <f>VLOOKUP(B1146,ZoneTable,3,FALSE)</f>
        <v>Governor's Island/Ellis Island/Liberty Island</v>
      </c>
      <c r="F1146" t="str">
        <f>IF(OR(B1146=1,B1146=132,B1146=138),"Airports",D1146)</f>
        <v>Manhattan</v>
      </c>
    </row>
    <row r="1147" spans="1:6">
      <c r="A1147" s="33">
        <v>42125</v>
      </c>
      <c r="B1147">
        <v>106</v>
      </c>
      <c r="C1147">
        <v>7096</v>
      </c>
      <c r="D1147" t="str">
        <f>VLOOKUP(B1147,ZoneTable,2,FALSE)</f>
        <v>Brooklyn</v>
      </c>
      <c r="E1147" t="str">
        <f>VLOOKUP(B1147,ZoneTable,3,FALSE)</f>
        <v>Gowanus</v>
      </c>
      <c r="F1147" t="str">
        <f>IF(OR(B1147=1,B1147=132,B1147=138),"Airports",D1147)</f>
        <v>Brooklyn</v>
      </c>
    </row>
    <row r="1148" spans="1:6">
      <c r="A1148" s="33">
        <v>42125</v>
      </c>
      <c r="B1148">
        <v>107</v>
      </c>
      <c r="C1148">
        <v>46971</v>
      </c>
      <c r="D1148" t="str">
        <f>VLOOKUP(B1148,ZoneTable,2,FALSE)</f>
        <v>Manhattan</v>
      </c>
      <c r="E1148" t="str">
        <f>VLOOKUP(B1148,ZoneTable,3,FALSE)</f>
        <v>Gramercy</v>
      </c>
      <c r="F1148" t="str">
        <f>IF(OR(B1148=1,B1148=132,B1148=138),"Airports",D1148)</f>
        <v>Manhattan</v>
      </c>
    </row>
    <row r="1149" spans="1:6">
      <c r="A1149" s="33">
        <v>42125</v>
      </c>
      <c r="B1149">
        <v>108</v>
      </c>
      <c r="C1149">
        <v>850</v>
      </c>
      <c r="D1149" t="str">
        <f>VLOOKUP(B1149,ZoneTable,2,FALSE)</f>
        <v>Brooklyn</v>
      </c>
      <c r="E1149" t="str">
        <f>VLOOKUP(B1149,ZoneTable,3,FALSE)</f>
        <v>Gravesend</v>
      </c>
      <c r="F1149" t="str">
        <f>IF(OR(B1149=1,B1149=132,B1149=138),"Airports",D1149)</f>
        <v>Brooklyn</v>
      </c>
    </row>
    <row r="1150" spans="1:6">
      <c r="A1150" s="33">
        <v>42125</v>
      </c>
      <c r="B1150">
        <v>109</v>
      </c>
      <c r="C1150">
        <v>29</v>
      </c>
      <c r="D1150" t="str">
        <f>VLOOKUP(B1150,ZoneTable,2,FALSE)</f>
        <v>Staten Island</v>
      </c>
      <c r="E1150" t="str">
        <f>VLOOKUP(B1150,ZoneTable,3,FALSE)</f>
        <v>Great Kills</v>
      </c>
      <c r="F1150" t="str">
        <f>IF(OR(B1150=1,B1150=132,B1150=138),"Airports",D1150)</f>
        <v>Staten Island</v>
      </c>
    </row>
    <row r="1151" spans="1:6">
      <c r="A1151" s="33">
        <v>42125</v>
      </c>
      <c r="B1151">
        <v>111</v>
      </c>
      <c r="C1151">
        <v>78</v>
      </c>
      <c r="D1151" t="str">
        <f>VLOOKUP(B1151,ZoneTable,2,FALSE)</f>
        <v>Brooklyn</v>
      </c>
      <c r="E1151" t="str">
        <f>VLOOKUP(B1151,ZoneTable,3,FALSE)</f>
        <v>Green-Wood Cemetery</v>
      </c>
      <c r="F1151" t="str">
        <f>IF(OR(B1151=1,B1151=132,B1151=138),"Airports",D1151)</f>
        <v>Brooklyn</v>
      </c>
    </row>
    <row r="1152" spans="1:6">
      <c r="A1152" s="33">
        <v>42125</v>
      </c>
      <c r="B1152">
        <v>112</v>
      </c>
      <c r="C1152">
        <v>27394</v>
      </c>
      <c r="D1152" t="str">
        <f>VLOOKUP(B1152,ZoneTable,2,FALSE)</f>
        <v>Brooklyn</v>
      </c>
      <c r="E1152" t="str">
        <f>VLOOKUP(B1152,ZoneTable,3,FALSE)</f>
        <v>Greenpoint</v>
      </c>
      <c r="F1152" t="str">
        <f>IF(OR(B1152=1,B1152=132,B1152=138),"Airports",D1152)</f>
        <v>Brooklyn</v>
      </c>
    </row>
    <row r="1153" spans="1:6">
      <c r="A1153" s="33">
        <v>42125</v>
      </c>
      <c r="B1153">
        <v>113</v>
      </c>
      <c r="C1153">
        <v>45610</v>
      </c>
      <c r="D1153" t="str">
        <f>VLOOKUP(B1153,ZoneTable,2,FALSE)</f>
        <v>Manhattan</v>
      </c>
      <c r="E1153" t="str">
        <f>VLOOKUP(B1153,ZoneTable,3,FALSE)</f>
        <v>Greenwich Village North</v>
      </c>
      <c r="F1153" t="str">
        <f>IF(OR(B1153=1,B1153=132,B1153=138),"Airports",D1153)</f>
        <v>Manhattan</v>
      </c>
    </row>
    <row r="1154" spans="1:6">
      <c r="A1154" s="33">
        <v>42125</v>
      </c>
      <c r="B1154">
        <v>114</v>
      </c>
      <c r="C1154">
        <v>37503</v>
      </c>
      <c r="D1154" t="str">
        <f>VLOOKUP(B1154,ZoneTable,2,FALSE)</f>
        <v>Manhattan</v>
      </c>
      <c r="E1154" t="str">
        <f>VLOOKUP(B1154,ZoneTable,3,FALSE)</f>
        <v>Greenwich Village South</v>
      </c>
      <c r="F1154" t="str">
        <f>IF(OR(B1154=1,B1154=132,B1154=138),"Airports",D1154)</f>
        <v>Manhattan</v>
      </c>
    </row>
    <row r="1155" spans="1:6">
      <c r="A1155" s="33">
        <v>42125</v>
      </c>
      <c r="B1155">
        <v>115</v>
      </c>
      <c r="C1155">
        <v>101</v>
      </c>
      <c r="D1155" t="str">
        <f>VLOOKUP(B1155,ZoneTable,2,FALSE)</f>
        <v>Staten Island</v>
      </c>
      <c r="E1155" t="str">
        <f>VLOOKUP(B1155,ZoneTable,3,FALSE)</f>
        <v>Grymes Hill/Clifton</v>
      </c>
      <c r="F1155" t="str">
        <f>IF(OR(B1155=1,B1155=132,B1155=138),"Airports",D1155)</f>
        <v>Staten Island</v>
      </c>
    </row>
    <row r="1156" spans="1:6">
      <c r="A1156" s="33">
        <v>42125</v>
      </c>
      <c r="B1156">
        <v>116</v>
      </c>
      <c r="C1156">
        <v>7397</v>
      </c>
      <c r="D1156" t="str">
        <f>VLOOKUP(B1156,ZoneTable,2,FALSE)</f>
        <v>Manhattan</v>
      </c>
      <c r="E1156" t="str">
        <f>VLOOKUP(B1156,ZoneTable,3,FALSE)</f>
        <v>Hamilton Heights</v>
      </c>
      <c r="F1156" t="str">
        <f>IF(OR(B1156=1,B1156=132,B1156=138),"Airports",D1156)</f>
        <v>Manhattan</v>
      </c>
    </row>
    <row r="1157" spans="1:6">
      <c r="A1157" s="33">
        <v>42125</v>
      </c>
      <c r="B1157">
        <v>117</v>
      </c>
      <c r="C1157">
        <v>214</v>
      </c>
      <c r="D1157" t="str">
        <f>VLOOKUP(B1157,ZoneTable,2,FALSE)</f>
        <v>Queens</v>
      </c>
      <c r="E1157" t="str">
        <f>VLOOKUP(B1157,ZoneTable,3,FALSE)</f>
        <v>Hammels/Arverne</v>
      </c>
      <c r="F1157" t="str">
        <f>IF(OR(B1157=1,B1157=132,B1157=138),"Airports",D1157)</f>
        <v>Queens</v>
      </c>
    </row>
    <row r="1158" spans="1:6">
      <c r="A1158" s="33">
        <v>42125</v>
      </c>
      <c r="B1158">
        <v>118</v>
      </c>
      <c r="C1158">
        <v>190</v>
      </c>
      <c r="D1158" t="str">
        <f>VLOOKUP(B1158,ZoneTable,2,FALSE)</f>
        <v>Staten Island</v>
      </c>
      <c r="E1158" t="str">
        <f>VLOOKUP(B1158,ZoneTable,3,FALSE)</f>
        <v>Heartland Village/Todt Hill</v>
      </c>
      <c r="F1158" t="str">
        <f>IF(OR(B1158=1,B1158=132,B1158=138),"Airports",D1158)</f>
        <v>Staten Island</v>
      </c>
    </row>
    <row r="1159" spans="1:6">
      <c r="A1159" s="33">
        <v>42125</v>
      </c>
      <c r="B1159">
        <v>119</v>
      </c>
      <c r="C1159">
        <v>1470</v>
      </c>
      <c r="D1159" t="str">
        <f>VLOOKUP(B1159,ZoneTable,2,FALSE)</f>
        <v>Bronx</v>
      </c>
      <c r="E1159" t="str">
        <f>VLOOKUP(B1159,ZoneTable,3,FALSE)</f>
        <v>Highbridge</v>
      </c>
      <c r="F1159" t="str">
        <f>IF(OR(B1159=1,B1159=132,B1159=138),"Airports",D1159)</f>
        <v>Bronx</v>
      </c>
    </row>
    <row r="1160" spans="1:6">
      <c r="A1160" s="33">
        <v>42125</v>
      </c>
      <c r="B1160">
        <v>120</v>
      </c>
      <c r="C1160">
        <v>122</v>
      </c>
      <c r="D1160" t="str">
        <f>VLOOKUP(B1160,ZoneTable,2,FALSE)</f>
        <v>Manhattan</v>
      </c>
      <c r="E1160" t="str">
        <f>VLOOKUP(B1160,ZoneTable,3,FALSE)</f>
        <v>Highbridge Park</v>
      </c>
      <c r="F1160" t="str">
        <f>IF(OR(B1160=1,B1160=132,B1160=138),"Airports",D1160)</f>
        <v>Manhattan</v>
      </c>
    </row>
    <row r="1161" spans="1:6">
      <c r="A1161" s="33">
        <v>42125</v>
      </c>
      <c r="B1161">
        <v>121</v>
      </c>
      <c r="C1161">
        <v>2664</v>
      </c>
      <c r="D1161" t="str">
        <f>VLOOKUP(B1161,ZoneTable,2,FALSE)</f>
        <v>Queens</v>
      </c>
      <c r="E1161" t="str">
        <f>VLOOKUP(B1161,ZoneTable,3,FALSE)</f>
        <v>Hillcrest/Pomonok</v>
      </c>
      <c r="F1161" t="str">
        <f>IF(OR(B1161=1,B1161=132,B1161=138),"Airports",D1161)</f>
        <v>Queens</v>
      </c>
    </row>
    <row r="1162" spans="1:6">
      <c r="A1162" s="33">
        <v>42125</v>
      </c>
      <c r="B1162">
        <v>122</v>
      </c>
      <c r="C1162">
        <v>389</v>
      </c>
      <c r="D1162" t="str">
        <f>VLOOKUP(B1162,ZoneTable,2,FALSE)</f>
        <v>Queens</v>
      </c>
      <c r="E1162" t="str">
        <f>VLOOKUP(B1162,ZoneTable,3,FALSE)</f>
        <v>Hollis</v>
      </c>
      <c r="F1162" t="str">
        <f>IF(OR(B1162=1,B1162=132,B1162=138),"Airports",D1162)</f>
        <v>Queens</v>
      </c>
    </row>
    <row r="1163" spans="1:6">
      <c r="A1163" s="33">
        <v>42125</v>
      </c>
      <c r="B1163">
        <v>123</v>
      </c>
      <c r="C1163">
        <v>3302</v>
      </c>
      <c r="D1163" t="str">
        <f>VLOOKUP(B1163,ZoneTable,2,FALSE)</f>
        <v>Brooklyn</v>
      </c>
      <c r="E1163" t="str">
        <f>VLOOKUP(B1163,ZoneTable,3,FALSE)</f>
        <v>Homecrest</v>
      </c>
      <c r="F1163" t="str">
        <f>IF(OR(B1163=1,B1163=132,B1163=138),"Airports",D1163)</f>
        <v>Brooklyn</v>
      </c>
    </row>
    <row r="1164" spans="1:6">
      <c r="A1164" s="33">
        <v>42125</v>
      </c>
      <c r="B1164">
        <v>124</v>
      </c>
      <c r="C1164">
        <v>1055</v>
      </c>
      <c r="D1164" t="str">
        <f>VLOOKUP(B1164,ZoneTable,2,FALSE)</f>
        <v>Queens</v>
      </c>
      <c r="E1164" t="str">
        <f>VLOOKUP(B1164,ZoneTable,3,FALSE)</f>
        <v>Howard Beach</v>
      </c>
      <c r="F1164" t="str">
        <f>IF(OR(B1164=1,B1164=132,B1164=138),"Airports",D1164)</f>
        <v>Queens</v>
      </c>
    </row>
    <row r="1165" spans="1:6">
      <c r="A1165" s="33">
        <v>42125</v>
      </c>
      <c r="B1165">
        <v>125</v>
      </c>
      <c r="C1165">
        <v>20617</v>
      </c>
      <c r="D1165" t="str">
        <f>VLOOKUP(B1165,ZoneTable,2,FALSE)</f>
        <v>Manhattan</v>
      </c>
      <c r="E1165" t="str">
        <f>VLOOKUP(B1165,ZoneTable,3,FALSE)</f>
        <v>Hudson Sq</v>
      </c>
      <c r="F1165" t="str">
        <f>IF(OR(B1165=1,B1165=132,B1165=138),"Airports",D1165)</f>
        <v>Manhattan</v>
      </c>
    </row>
    <row r="1166" spans="1:6">
      <c r="A1166" s="33">
        <v>42125</v>
      </c>
      <c r="B1166">
        <v>126</v>
      </c>
      <c r="C1166">
        <v>669</v>
      </c>
      <c r="D1166" t="str">
        <f>VLOOKUP(B1166,ZoneTable,2,FALSE)</f>
        <v>Bronx</v>
      </c>
      <c r="E1166" t="str">
        <f>VLOOKUP(B1166,ZoneTable,3,FALSE)</f>
        <v>Hunts Point</v>
      </c>
      <c r="F1166" t="str">
        <f>IF(OR(B1166=1,B1166=132,B1166=138),"Airports",D1166)</f>
        <v>Bronx</v>
      </c>
    </row>
    <row r="1167" spans="1:6">
      <c r="A1167" s="33">
        <v>42125</v>
      </c>
      <c r="B1167">
        <v>127</v>
      </c>
      <c r="C1167">
        <v>3511</v>
      </c>
      <c r="D1167" t="str">
        <f>VLOOKUP(B1167,ZoneTable,2,FALSE)</f>
        <v>Manhattan</v>
      </c>
      <c r="E1167" t="str">
        <f>VLOOKUP(B1167,ZoneTable,3,FALSE)</f>
        <v>Inwood</v>
      </c>
      <c r="F1167" t="str">
        <f>IF(OR(B1167=1,B1167=132,B1167=138),"Airports",D1167)</f>
        <v>Manhattan</v>
      </c>
    </row>
    <row r="1168" spans="1:6">
      <c r="A1168" s="33">
        <v>42125</v>
      </c>
      <c r="B1168">
        <v>128</v>
      </c>
      <c r="C1168">
        <v>284</v>
      </c>
      <c r="D1168" t="str">
        <f>VLOOKUP(B1168,ZoneTable,2,FALSE)</f>
        <v>Manhattan</v>
      </c>
      <c r="E1168" t="str">
        <f>VLOOKUP(B1168,ZoneTable,3,FALSE)</f>
        <v>Inwood Hill Park</v>
      </c>
      <c r="F1168" t="str">
        <f>IF(OR(B1168=1,B1168=132,B1168=138),"Airports",D1168)</f>
        <v>Manhattan</v>
      </c>
    </row>
    <row r="1169" spans="1:6">
      <c r="A1169" s="33">
        <v>42125</v>
      </c>
      <c r="B1169">
        <v>129</v>
      </c>
      <c r="C1169">
        <v>7710</v>
      </c>
      <c r="D1169" t="str">
        <f>VLOOKUP(B1169,ZoneTable,2,FALSE)</f>
        <v>Queens</v>
      </c>
      <c r="E1169" t="str">
        <f>VLOOKUP(B1169,ZoneTable,3,FALSE)</f>
        <v>Jackson Heights</v>
      </c>
      <c r="F1169" t="str">
        <f>IF(OR(B1169=1,B1169=132,B1169=138),"Airports",D1169)</f>
        <v>Queens</v>
      </c>
    </row>
    <row r="1170" spans="1:6">
      <c r="A1170" s="33">
        <v>42125</v>
      </c>
      <c r="B1170">
        <v>130</v>
      </c>
      <c r="C1170">
        <v>3408</v>
      </c>
      <c r="D1170" t="str">
        <f>VLOOKUP(B1170,ZoneTable,2,FALSE)</f>
        <v>Queens</v>
      </c>
      <c r="E1170" t="str">
        <f>VLOOKUP(B1170,ZoneTable,3,FALSE)</f>
        <v>Jamaica</v>
      </c>
      <c r="F1170" t="str">
        <f>IF(OR(B1170=1,B1170=132,B1170=138),"Airports",D1170)</f>
        <v>Queens</v>
      </c>
    </row>
    <row r="1171" spans="1:6">
      <c r="A1171" s="33">
        <v>42125</v>
      </c>
      <c r="B1171">
        <v>131</v>
      </c>
      <c r="C1171">
        <v>1365</v>
      </c>
      <c r="D1171" t="str">
        <f>VLOOKUP(B1171,ZoneTable,2,FALSE)</f>
        <v>Queens</v>
      </c>
      <c r="E1171" t="str">
        <f>VLOOKUP(B1171,ZoneTable,3,FALSE)</f>
        <v>Jamaica Estates</v>
      </c>
      <c r="F1171" t="str">
        <f>IF(OR(B1171=1,B1171=132,B1171=138),"Airports",D1171)</f>
        <v>Queens</v>
      </c>
    </row>
    <row r="1172" spans="1:6">
      <c r="A1172" s="33">
        <v>42125</v>
      </c>
      <c r="B1172">
        <v>132</v>
      </c>
      <c r="C1172">
        <v>56569</v>
      </c>
      <c r="D1172" t="str">
        <f>VLOOKUP(B1172,ZoneTable,2,FALSE)</f>
        <v>Queens</v>
      </c>
      <c r="E1172" t="str">
        <f>VLOOKUP(B1172,ZoneTable,3,FALSE)</f>
        <v>JFK Airport</v>
      </c>
      <c r="F1172" t="str">
        <f>IF(OR(B1172=1,B1172=132,B1172=138),"Airports",D1172)</f>
        <v>Airports</v>
      </c>
    </row>
    <row r="1173" spans="1:6">
      <c r="A1173" s="33">
        <v>42125</v>
      </c>
      <c r="B1173">
        <v>133</v>
      </c>
      <c r="C1173">
        <v>2401</v>
      </c>
      <c r="D1173" t="str">
        <f>VLOOKUP(B1173,ZoneTable,2,FALSE)</f>
        <v>Brooklyn</v>
      </c>
      <c r="E1173" t="str">
        <f>VLOOKUP(B1173,ZoneTable,3,FALSE)</f>
        <v>Kensington</v>
      </c>
      <c r="F1173" t="str">
        <f>IF(OR(B1173=1,B1173=132,B1173=138),"Airports",D1173)</f>
        <v>Brooklyn</v>
      </c>
    </row>
    <row r="1174" spans="1:6">
      <c r="A1174" s="33">
        <v>42125</v>
      </c>
      <c r="B1174">
        <v>134</v>
      </c>
      <c r="C1174">
        <v>2381</v>
      </c>
      <c r="D1174" t="str">
        <f>VLOOKUP(B1174,ZoneTable,2,FALSE)</f>
        <v>Queens</v>
      </c>
      <c r="E1174" t="str">
        <f>VLOOKUP(B1174,ZoneTable,3,FALSE)</f>
        <v>Kew Gardens</v>
      </c>
      <c r="F1174" t="str">
        <f>IF(OR(B1174=1,B1174=132,B1174=138),"Airports",D1174)</f>
        <v>Queens</v>
      </c>
    </row>
    <row r="1175" spans="1:6">
      <c r="A1175" s="33">
        <v>42125</v>
      </c>
      <c r="B1175">
        <v>135</v>
      </c>
      <c r="C1175">
        <v>2268</v>
      </c>
      <c r="D1175" t="str">
        <f>VLOOKUP(B1175,ZoneTable,2,FALSE)</f>
        <v>Queens</v>
      </c>
      <c r="E1175" t="str">
        <f>VLOOKUP(B1175,ZoneTable,3,FALSE)</f>
        <v>Kew Gardens Hills</v>
      </c>
      <c r="F1175" t="str">
        <f>IF(OR(B1175=1,B1175=132,B1175=138),"Airports",D1175)</f>
        <v>Queens</v>
      </c>
    </row>
    <row r="1176" spans="1:6">
      <c r="A1176" s="33">
        <v>42125</v>
      </c>
      <c r="B1176">
        <v>136</v>
      </c>
      <c r="C1176">
        <v>950</v>
      </c>
      <c r="D1176" t="str">
        <f>VLOOKUP(B1176,ZoneTable,2,FALSE)</f>
        <v>Bronx</v>
      </c>
      <c r="E1176" t="str">
        <f>VLOOKUP(B1176,ZoneTable,3,FALSE)</f>
        <v>Kingsbridge Heights</v>
      </c>
      <c r="F1176" t="str">
        <f>IF(OR(B1176=1,B1176=132,B1176=138),"Airports",D1176)</f>
        <v>Bronx</v>
      </c>
    </row>
    <row r="1177" spans="1:6">
      <c r="A1177" s="33">
        <v>42125</v>
      </c>
      <c r="B1177">
        <v>137</v>
      </c>
      <c r="C1177">
        <v>23320</v>
      </c>
      <c r="D1177" t="str">
        <f>VLOOKUP(B1177,ZoneTable,2,FALSE)</f>
        <v>Manhattan</v>
      </c>
      <c r="E1177" t="str">
        <f>VLOOKUP(B1177,ZoneTable,3,FALSE)</f>
        <v>Kips Bay</v>
      </c>
      <c r="F1177" t="str">
        <f>IF(OR(B1177=1,B1177=132,B1177=138),"Airports",D1177)</f>
        <v>Manhattan</v>
      </c>
    </row>
    <row r="1178" spans="1:6">
      <c r="A1178" s="33">
        <v>42125</v>
      </c>
      <c r="B1178">
        <v>138</v>
      </c>
      <c r="C1178">
        <v>56379</v>
      </c>
      <c r="D1178" t="str">
        <f>VLOOKUP(B1178,ZoneTable,2,FALSE)</f>
        <v>Queens</v>
      </c>
      <c r="E1178" t="str">
        <f>VLOOKUP(B1178,ZoneTable,3,FALSE)</f>
        <v>LaGuardia Airport</v>
      </c>
      <c r="F1178" t="str">
        <f>IF(OR(B1178=1,B1178=132,B1178=138),"Airports",D1178)</f>
        <v>Airports</v>
      </c>
    </row>
    <row r="1179" spans="1:6">
      <c r="A1179" s="33">
        <v>42125</v>
      </c>
      <c r="B1179">
        <v>139</v>
      </c>
      <c r="C1179">
        <v>653</v>
      </c>
      <c r="D1179" t="str">
        <f>VLOOKUP(B1179,ZoneTable,2,FALSE)</f>
        <v>Queens</v>
      </c>
      <c r="E1179" t="str">
        <f>VLOOKUP(B1179,ZoneTable,3,FALSE)</f>
        <v>Laurelton</v>
      </c>
      <c r="F1179" t="str">
        <f>IF(OR(B1179=1,B1179=132,B1179=138),"Airports",D1179)</f>
        <v>Queens</v>
      </c>
    </row>
    <row r="1180" spans="1:6">
      <c r="A1180" s="33">
        <v>42125</v>
      </c>
      <c r="B1180">
        <v>140</v>
      </c>
      <c r="C1180">
        <v>22472</v>
      </c>
      <c r="D1180" t="str">
        <f>VLOOKUP(B1180,ZoneTable,2,FALSE)</f>
        <v>Manhattan</v>
      </c>
      <c r="E1180" t="str">
        <f>VLOOKUP(B1180,ZoneTable,3,FALSE)</f>
        <v>Lenox Hill East</v>
      </c>
      <c r="F1180" t="str">
        <f>IF(OR(B1180=1,B1180=132,B1180=138),"Airports",D1180)</f>
        <v>Manhattan</v>
      </c>
    </row>
    <row r="1181" spans="1:6">
      <c r="A1181" s="33">
        <v>42125</v>
      </c>
      <c r="B1181">
        <v>141</v>
      </c>
      <c r="C1181">
        <v>34602</v>
      </c>
      <c r="D1181" t="str">
        <f>VLOOKUP(B1181,ZoneTable,2,FALSE)</f>
        <v>Manhattan</v>
      </c>
      <c r="E1181" t="str">
        <f>VLOOKUP(B1181,ZoneTable,3,FALSE)</f>
        <v>Lenox Hill West</v>
      </c>
      <c r="F1181" t="str">
        <f>IF(OR(B1181=1,B1181=132,B1181=138),"Airports",D1181)</f>
        <v>Manhattan</v>
      </c>
    </row>
    <row r="1182" spans="1:6">
      <c r="A1182" s="33">
        <v>42125</v>
      </c>
      <c r="B1182">
        <v>142</v>
      </c>
      <c r="C1182">
        <v>36617</v>
      </c>
      <c r="D1182" t="str">
        <f>VLOOKUP(B1182,ZoneTable,2,FALSE)</f>
        <v>Manhattan</v>
      </c>
      <c r="E1182" t="str">
        <f>VLOOKUP(B1182,ZoneTable,3,FALSE)</f>
        <v>Lincoln Square East</v>
      </c>
      <c r="F1182" t="str">
        <f>IF(OR(B1182=1,B1182=132,B1182=138),"Airports",D1182)</f>
        <v>Manhattan</v>
      </c>
    </row>
    <row r="1183" spans="1:6">
      <c r="A1183" s="33">
        <v>42125</v>
      </c>
      <c r="B1183">
        <v>143</v>
      </c>
      <c r="C1183">
        <v>20450</v>
      </c>
      <c r="D1183" t="str">
        <f>VLOOKUP(B1183,ZoneTable,2,FALSE)</f>
        <v>Manhattan</v>
      </c>
      <c r="E1183" t="str">
        <f>VLOOKUP(B1183,ZoneTable,3,FALSE)</f>
        <v>Lincoln Square West</v>
      </c>
      <c r="F1183" t="str">
        <f>IF(OR(B1183=1,B1183=132,B1183=138),"Airports",D1183)</f>
        <v>Manhattan</v>
      </c>
    </row>
    <row r="1184" spans="1:6">
      <c r="A1184" s="33">
        <v>42125</v>
      </c>
      <c r="B1184">
        <v>144</v>
      </c>
      <c r="C1184">
        <v>45124</v>
      </c>
      <c r="D1184" t="str">
        <f>VLOOKUP(B1184,ZoneTable,2,FALSE)</f>
        <v>Manhattan</v>
      </c>
      <c r="E1184" t="str">
        <f>VLOOKUP(B1184,ZoneTable,3,FALSE)</f>
        <v>Little Italy/NoLiTa</v>
      </c>
      <c r="F1184" t="str">
        <f>IF(OR(B1184=1,B1184=132,B1184=138),"Airports",D1184)</f>
        <v>Manhattan</v>
      </c>
    </row>
    <row r="1185" spans="1:6">
      <c r="A1185" s="33">
        <v>42125</v>
      </c>
      <c r="B1185">
        <v>145</v>
      </c>
      <c r="C1185">
        <v>15668</v>
      </c>
      <c r="D1185" t="str">
        <f>VLOOKUP(B1185,ZoneTable,2,FALSE)</f>
        <v>Queens</v>
      </c>
      <c r="E1185" t="str">
        <f>VLOOKUP(B1185,ZoneTable,3,FALSE)</f>
        <v>Long Island City/Hunters Point</v>
      </c>
      <c r="F1185" t="str">
        <f>IF(OR(B1185=1,B1185=132,B1185=138),"Airports",D1185)</f>
        <v>Queens</v>
      </c>
    </row>
    <row r="1186" spans="1:6">
      <c r="A1186" s="33">
        <v>42125</v>
      </c>
      <c r="B1186">
        <v>146</v>
      </c>
      <c r="C1186">
        <v>4393</v>
      </c>
      <c r="D1186" t="str">
        <f>VLOOKUP(B1186,ZoneTable,2,FALSE)</f>
        <v>Queens</v>
      </c>
      <c r="E1186" t="str">
        <f>VLOOKUP(B1186,ZoneTable,3,FALSE)</f>
        <v>Long Island City/Queens Plaza</v>
      </c>
      <c r="F1186" t="str">
        <f>IF(OR(B1186=1,B1186=132,B1186=138),"Airports",D1186)</f>
        <v>Queens</v>
      </c>
    </row>
    <row r="1187" spans="1:6">
      <c r="A1187" s="33">
        <v>42125</v>
      </c>
      <c r="B1187">
        <v>147</v>
      </c>
      <c r="C1187">
        <v>714</v>
      </c>
      <c r="D1187" t="str">
        <f>VLOOKUP(B1187,ZoneTable,2,FALSE)</f>
        <v>Bronx</v>
      </c>
      <c r="E1187" t="str">
        <f>VLOOKUP(B1187,ZoneTable,3,FALSE)</f>
        <v>Longwood</v>
      </c>
      <c r="F1187" t="str">
        <f>IF(OR(B1187=1,B1187=132,B1187=138),"Airports",D1187)</f>
        <v>Bronx</v>
      </c>
    </row>
    <row r="1188" spans="1:6">
      <c r="A1188" s="33">
        <v>42125</v>
      </c>
      <c r="B1188">
        <v>148</v>
      </c>
      <c r="C1188">
        <v>47612</v>
      </c>
      <c r="D1188" t="str">
        <f>VLOOKUP(B1188,ZoneTable,2,FALSE)</f>
        <v>Manhattan</v>
      </c>
      <c r="E1188" t="str">
        <f>VLOOKUP(B1188,ZoneTable,3,FALSE)</f>
        <v>Lower East Side</v>
      </c>
      <c r="F1188" t="str">
        <f>IF(OR(B1188=1,B1188=132,B1188=138),"Airports",D1188)</f>
        <v>Manhattan</v>
      </c>
    </row>
    <row r="1189" spans="1:6">
      <c r="A1189" s="33">
        <v>42125</v>
      </c>
      <c r="B1189">
        <v>149</v>
      </c>
      <c r="C1189">
        <v>1599</v>
      </c>
      <c r="D1189" t="str">
        <f>VLOOKUP(B1189,ZoneTable,2,FALSE)</f>
        <v>Brooklyn</v>
      </c>
      <c r="E1189" t="str">
        <f>VLOOKUP(B1189,ZoneTable,3,FALSE)</f>
        <v>Madison</v>
      </c>
      <c r="F1189" t="str">
        <f>IF(OR(B1189=1,B1189=132,B1189=138),"Airports",D1189)</f>
        <v>Brooklyn</v>
      </c>
    </row>
    <row r="1190" spans="1:6">
      <c r="A1190" s="33">
        <v>42125</v>
      </c>
      <c r="B1190">
        <v>150</v>
      </c>
      <c r="C1190">
        <v>1022</v>
      </c>
      <c r="D1190" t="str">
        <f>VLOOKUP(B1190,ZoneTable,2,FALSE)</f>
        <v>Brooklyn</v>
      </c>
      <c r="E1190" t="str">
        <f>VLOOKUP(B1190,ZoneTable,3,FALSE)</f>
        <v>Manhattan Beach</v>
      </c>
      <c r="F1190" t="str">
        <f>IF(OR(B1190=1,B1190=132,B1190=138),"Airports",D1190)</f>
        <v>Brooklyn</v>
      </c>
    </row>
    <row r="1191" spans="1:6">
      <c r="A1191" s="33">
        <v>42125</v>
      </c>
      <c r="B1191">
        <v>151</v>
      </c>
      <c r="C1191">
        <v>11409</v>
      </c>
      <c r="D1191" t="str">
        <f>VLOOKUP(B1191,ZoneTable,2,FALSE)</f>
        <v>Manhattan</v>
      </c>
      <c r="E1191" t="str">
        <f>VLOOKUP(B1191,ZoneTable,3,FALSE)</f>
        <v>Manhattan Valley</v>
      </c>
      <c r="F1191" t="str">
        <f>IF(OR(B1191=1,B1191=132,B1191=138),"Airports",D1191)</f>
        <v>Manhattan</v>
      </c>
    </row>
    <row r="1192" spans="1:6">
      <c r="A1192" s="33">
        <v>42125</v>
      </c>
      <c r="B1192">
        <v>152</v>
      </c>
      <c r="C1192">
        <v>3686</v>
      </c>
      <c r="D1192" t="str">
        <f>VLOOKUP(B1192,ZoneTable,2,FALSE)</f>
        <v>Manhattan</v>
      </c>
      <c r="E1192" t="str">
        <f>VLOOKUP(B1192,ZoneTable,3,FALSE)</f>
        <v>Manhattanville</v>
      </c>
      <c r="F1192" t="str">
        <f>IF(OR(B1192=1,B1192=132,B1192=138),"Airports",D1192)</f>
        <v>Manhattan</v>
      </c>
    </row>
    <row r="1193" spans="1:6">
      <c r="A1193" s="33">
        <v>42125</v>
      </c>
      <c r="B1193">
        <v>153</v>
      </c>
      <c r="C1193">
        <v>677</v>
      </c>
      <c r="D1193" t="str">
        <f>VLOOKUP(B1193,ZoneTable,2,FALSE)</f>
        <v>Manhattan</v>
      </c>
      <c r="E1193" t="str">
        <f>VLOOKUP(B1193,ZoneTable,3,FALSE)</f>
        <v>Marble Hill</v>
      </c>
      <c r="F1193" t="str">
        <f>IF(OR(B1193=1,B1193=132,B1193=138),"Airports",D1193)</f>
        <v>Manhattan</v>
      </c>
    </row>
    <row r="1194" spans="1:6">
      <c r="A1194" s="33">
        <v>42125</v>
      </c>
      <c r="B1194">
        <v>154</v>
      </c>
      <c r="C1194">
        <v>252</v>
      </c>
      <c r="D1194" t="str">
        <f>VLOOKUP(B1194,ZoneTable,2,FALSE)</f>
        <v>Brooklyn</v>
      </c>
      <c r="E1194" t="str">
        <f>VLOOKUP(B1194,ZoneTable,3,FALSE)</f>
        <v>Marine Park/Floyd Bennett Field</v>
      </c>
      <c r="F1194" t="str">
        <f>IF(OR(B1194=1,B1194=132,B1194=138),"Airports",D1194)</f>
        <v>Brooklyn</v>
      </c>
    </row>
    <row r="1195" spans="1:6">
      <c r="A1195" s="33">
        <v>42125</v>
      </c>
      <c r="B1195">
        <v>155</v>
      </c>
      <c r="C1195">
        <v>1857</v>
      </c>
      <c r="D1195" t="str">
        <f>VLOOKUP(B1195,ZoneTable,2,FALSE)</f>
        <v>Brooklyn</v>
      </c>
      <c r="E1195" t="str">
        <f>VLOOKUP(B1195,ZoneTable,3,FALSE)</f>
        <v>Marine Park/Mill Basin</v>
      </c>
      <c r="F1195" t="str">
        <f>IF(OR(B1195=1,B1195=132,B1195=138),"Airports",D1195)</f>
        <v>Brooklyn</v>
      </c>
    </row>
    <row r="1196" spans="1:6">
      <c r="A1196" s="33">
        <v>42125</v>
      </c>
      <c r="B1196">
        <v>156</v>
      </c>
      <c r="C1196">
        <v>93</v>
      </c>
      <c r="D1196" t="str">
        <f>VLOOKUP(B1196,ZoneTable,2,FALSE)</f>
        <v>Staten Island</v>
      </c>
      <c r="E1196" t="str">
        <f>VLOOKUP(B1196,ZoneTable,3,FALSE)</f>
        <v>Mariners Harbor</v>
      </c>
      <c r="F1196" t="str">
        <f>IF(OR(B1196=1,B1196=132,B1196=138),"Airports",D1196)</f>
        <v>Staten Island</v>
      </c>
    </row>
    <row r="1197" spans="1:6">
      <c r="A1197" s="33">
        <v>42125</v>
      </c>
      <c r="B1197">
        <v>157</v>
      </c>
      <c r="C1197">
        <v>2895</v>
      </c>
      <c r="D1197" t="str">
        <f>VLOOKUP(B1197,ZoneTable,2,FALSE)</f>
        <v>Queens</v>
      </c>
      <c r="E1197" t="str">
        <f>VLOOKUP(B1197,ZoneTable,3,FALSE)</f>
        <v>Maspeth</v>
      </c>
      <c r="F1197" t="str">
        <f>IF(OR(B1197=1,B1197=132,B1197=138),"Airports",D1197)</f>
        <v>Queens</v>
      </c>
    </row>
    <row r="1198" spans="1:6">
      <c r="A1198" s="33">
        <v>42125</v>
      </c>
      <c r="B1198">
        <v>158</v>
      </c>
      <c r="C1198">
        <v>50650</v>
      </c>
      <c r="D1198" t="str">
        <f>VLOOKUP(B1198,ZoneTable,2,FALSE)</f>
        <v>Manhattan</v>
      </c>
      <c r="E1198" t="str">
        <f>VLOOKUP(B1198,ZoneTable,3,FALSE)</f>
        <v>Meatpacking/West Village West</v>
      </c>
      <c r="F1198" t="str">
        <f>IF(OR(B1198=1,B1198=132,B1198=138),"Airports",D1198)</f>
        <v>Manhattan</v>
      </c>
    </row>
    <row r="1199" spans="1:6">
      <c r="A1199" s="33">
        <v>42125</v>
      </c>
      <c r="B1199">
        <v>159</v>
      </c>
      <c r="C1199">
        <v>1402</v>
      </c>
      <c r="D1199" t="str">
        <f>VLOOKUP(B1199,ZoneTable,2,FALSE)</f>
        <v>Bronx</v>
      </c>
      <c r="E1199" t="str">
        <f>VLOOKUP(B1199,ZoneTable,3,FALSE)</f>
        <v>Melrose South</v>
      </c>
      <c r="F1199" t="str">
        <f>IF(OR(B1199=1,B1199=132,B1199=138),"Airports",D1199)</f>
        <v>Bronx</v>
      </c>
    </row>
    <row r="1200" spans="1:6">
      <c r="A1200" s="33">
        <v>42125</v>
      </c>
      <c r="B1200">
        <v>160</v>
      </c>
      <c r="C1200">
        <v>2256</v>
      </c>
      <c r="D1200" t="str">
        <f>VLOOKUP(B1200,ZoneTable,2,FALSE)</f>
        <v>Queens</v>
      </c>
      <c r="E1200" t="str">
        <f>VLOOKUP(B1200,ZoneTable,3,FALSE)</f>
        <v>Middle Village</v>
      </c>
      <c r="F1200" t="str">
        <f>IF(OR(B1200=1,B1200=132,B1200=138),"Airports",D1200)</f>
        <v>Queens</v>
      </c>
    </row>
    <row r="1201" spans="1:6">
      <c r="A1201" s="33">
        <v>42125</v>
      </c>
      <c r="B1201">
        <v>161</v>
      </c>
      <c r="C1201">
        <v>76583</v>
      </c>
      <c r="D1201" t="str">
        <f>VLOOKUP(B1201,ZoneTable,2,FALSE)</f>
        <v>Manhattan</v>
      </c>
      <c r="E1201" t="str">
        <f>VLOOKUP(B1201,ZoneTable,3,FALSE)</f>
        <v>Midtown Center</v>
      </c>
      <c r="F1201" t="str">
        <f>IF(OR(B1201=1,B1201=132,B1201=138),"Airports",D1201)</f>
        <v>Manhattan</v>
      </c>
    </row>
    <row r="1202" spans="1:6">
      <c r="A1202" s="33">
        <v>42125</v>
      </c>
      <c r="B1202">
        <v>162</v>
      </c>
      <c r="C1202">
        <v>49076</v>
      </c>
      <c r="D1202" t="str">
        <f>VLOOKUP(B1202,ZoneTable,2,FALSE)</f>
        <v>Manhattan</v>
      </c>
      <c r="E1202" t="str">
        <f>VLOOKUP(B1202,ZoneTable,3,FALSE)</f>
        <v>Midtown East</v>
      </c>
      <c r="F1202" t="str">
        <f>IF(OR(B1202=1,B1202=132,B1202=138),"Airports",D1202)</f>
        <v>Manhattan</v>
      </c>
    </row>
    <row r="1203" spans="1:6">
      <c r="A1203" s="33">
        <v>42125</v>
      </c>
      <c r="B1203">
        <v>163</v>
      </c>
      <c r="C1203">
        <v>52679</v>
      </c>
      <c r="D1203" t="str">
        <f>VLOOKUP(B1203,ZoneTable,2,FALSE)</f>
        <v>Manhattan</v>
      </c>
      <c r="E1203" t="str">
        <f>VLOOKUP(B1203,ZoneTable,3,FALSE)</f>
        <v>Midtown North</v>
      </c>
      <c r="F1203" t="str">
        <f>IF(OR(B1203=1,B1203=132,B1203=138),"Airports",D1203)</f>
        <v>Manhattan</v>
      </c>
    </row>
    <row r="1204" spans="1:6">
      <c r="A1204" s="33">
        <v>42125</v>
      </c>
      <c r="B1204">
        <v>164</v>
      </c>
      <c r="C1204">
        <v>48565</v>
      </c>
      <c r="D1204" t="str">
        <f>VLOOKUP(B1204,ZoneTable,2,FALSE)</f>
        <v>Manhattan</v>
      </c>
      <c r="E1204" t="str">
        <f>VLOOKUP(B1204,ZoneTable,3,FALSE)</f>
        <v>Midtown South</v>
      </c>
      <c r="F1204" t="str">
        <f>IF(OR(B1204=1,B1204=132,B1204=138),"Airports",D1204)</f>
        <v>Manhattan</v>
      </c>
    </row>
    <row r="1205" spans="1:6">
      <c r="A1205" s="33">
        <v>42125</v>
      </c>
      <c r="B1205">
        <v>165</v>
      </c>
      <c r="C1205">
        <v>3430</v>
      </c>
      <c r="D1205" t="str">
        <f>VLOOKUP(B1205,ZoneTable,2,FALSE)</f>
        <v>Brooklyn</v>
      </c>
      <c r="E1205" t="str">
        <f>VLOOKUP(B1205,ZoneTable,3,FALSE)</f>
        <v>Midwood</v>
      </c>
      <c r="F1205" t="str">
        <f>IF(OR(B1205=1,B1205=132,B1205=138),"Airports",D1205)</f>
        <v>Brooklyn</v>
      </c>
    </row>
    <row r="1206" spans="1:6">
      <c r="A1206" s="33">
        <v>42125</v>
      </c>
      <c r="B1206">
        <v>166</v>
      </c>
      <c r="C1206">
        <v>12943</v>
      </c>
      <c r="D1206" t="str">
        <f>VLOOKUP(B1206,ZoneTable,2,FALSE)</f>
        <v>Manhattan</v>
      </c>
      <c r="E1206" t="str">
        <f>VLOOKUP(B1206,ZoneTable,3,FALSE)</f>
        <v>Morningside Heights</v>
      </c>
      <c r="F1206" t="str">
        <f>IF(OR(B1206=1,B1206=132,B1206=138),"Airports",D1206)</f>
        <v>Manhattan</v>
      </c>
    </row>
    <row r="1207" spans="1:6">
      <c r="A1207" s="33">
        <v>42125</v>
      </c>
      <c r="B1207">
        <v>167</v>
      </c>
      <c r="C1207">
        <v>1324</v>
      </c>
      <c r="D1207" t="str">
        <f>VLOOKUP(B1207,ZoneTable,2,FALSE)</f>
        <v>Bronx</v>
      </c>
      <c r="E1207" t="str">
        <f>VLOOKUP(B1207,ZoneTable,3,FALSE)</f>
        <v>Morrisania/Melrose</v>
      </c>
      <c r="F1207" t="str">
        <f>IF(OR(B1207=1,B1207=132,B1207=138),"Airports",D1207)</f>
        <v>Bronx</v>
      </c>
    </row>
    <row r="1208" spans="1:6">
      <c r="A1208" s="33">
        <v>42125</v>
      </c>
      <c r="B1208">
        <v>168</v>
      </c>
      <c r="C1208">
        <v>2718</v>
      </c>
      <c r="D1208" t="str">
        <f>VLOOKUP(B1208,ZoneTable,2,FALSE)</f>
        <v>Bronx</v>
      </c>
      <c r="E1208" t="str">
        <f>VLOOKUP(B1208,ZoneTable,3,FALSE)</f>
        <v>Mott Haven/Port Morris</v>
      </c>
      <c r="F1208" t="str">
        <f>IF(OR(B1208=1,B1208=132,B1208=138),"Airports",D1208)</f>
        <v>Bronx</v>
      </c>
    </row>
    <row r="1209" spans="1:6">
      <c r="A1209" s="33">
        <v>42125</v>
      </c>
      <c r="B1209">
        <v>169</v>
      </c>
      <c r="C1209">
        <v>1426</v>
      </c>
      <c r="D1209" t="str">
        <f>VLOOKUP(B1209,ZoneTable,2,FALSE)</f>
        <v>Bronx</v>
      </c>
      <c r="E1209" t="str">
        <f>VLOOKUP(B1209,ZoneTable,3,FALSE)</f>
        <v>Mount Hope</v>
      </c>
      <c r="F1209" t="str">
        <f>IF(OR(B1209=1,B1209=132,B1209=138),"Airports",D1209)</f>
        <v>Bronx</v>
      </c>
    </row>
    <row r="1210" spans="1:6">
      <c r="A1210" s="33">
        <v>42125</v>
      </c>
      <c r="B1210">
        <v>170</v>
      </c>
      <c r="C1210">
        <v>51410</v>
      </c>
      <c r="D1210" t="str">
        <f>VLOOKUP(B1210,ZoneTable,2,FALSE)</f>
        <v>Manhattan</v>
      </c>
      <c r="E1210" t="str">
        <f>VLOOKUP(B1210,ZoneTable,3,FALSE)</f>
        <v>Murray Hill</v>
      </c>
      <c r="F1210" t="str">
        <f>IF(OR(B1210=1,B1210=132,B1210=138),"Airports",D1210)</f>
        <v>Manhattan</v>
      </c>
    </row>
    <row r="1211" spans="1:6">
      <c r="A1211" s="33">
        <v>42125</v>
      </c>
      <c r="B1211">
        <v>171</v>
      </c>
      <c r="C1211">
        <v>1290</v>
      </c>
      <c r="D1211" t="str">
        <f>VLOOKUP(B1211,ZoneTable,2,FALSE)</f>
        <v>Queens</v>
      </c>
      <c r="E1211" t="str">
        <f>VLOOKUP(B1211,ZoneTable,3,FALSE)</f>
        <v>Murray Hill-Queens</v>
      </c>
      <c r="F1211" t="str">
        <f>IF(OR(B1211=1,B1211=132,B1211=138),"Airports",D1211)</f>
        <v>Queens</v>
      </c>
    </row>
    <row r="1212" spans="1:6">
      <c r="A1212" s="33">
        <v>42125</v>
      </c>
      <c r="B1212">
        <v>172</v>
      </c>
      <c r="C1212">
        <v>50</v>
      </c>
      <c r="D1212" t="str">
        <f>VLOOKUP(B1212,ZoneTable,2,FALSE)</f>
        <v>Staten Island</v>
      </c>
      <c r="E1212" t="str">
        <f>VLOOKUP(B1212,ZoneTable,3,FALSE)</f>
        <v>New Dorp/Midland Beach</v>
      </c>
      <c r="F1212" t="str">
        <f>IF(OR(B1212=1,B1212=132,B1212=138),"Airports",D1212)</f>
        <v>Staten Island</v>
      </c>
    </row>
    <row r="1213" spans="1:6">
      <c r="A1213" s="33">
        <v>42125</v>
      </c>
      <c r="B1213">
        <v>173</v>
      </c>
      <c r="C1213">
        <v>890</v>
      </c>
      <c r="D1213" t="str">
        <f>VLOOKUP(B1213,ZoneTable,2,FALSE)</f>
        <v>Queens</v>
      </c>
      <c r="E1213" t="str">
        <f>VLOOKUP(B1213,ZoneTable,3,FALSE)</f>
        <v>North Corona</v>
      </c>
      <c r="F1213" t="str">
        <f>IF(OR(B1213=1,B1213=132,B1213=138),"Airports",D1213)</f>
        <v>Queens</v>
      </c>
    </row>
    <row r="1214" spans="1:6">
      <c r="A1214" s="33">
        <v>42125</v>
      </c>
      <c r="B1214">
        <v>174</v>
      </c>
      <c r="C1214">
        <v>1563</v>
      </c>
      <c r="D1214" t="str">
        <f>VLOOKUP(B1214,ZoneTable,2,FALSE)</f>
        <v>Bronx</v>
      </c>
      <c r="E1214" t="str">
        <f>VLOOKUP(B1214,ZoneTable,3,FALSE)</f>
        <v>Norwood</v>
      </c>
      <c r="F1214" t="str">
        <f>IF(OR(B1214=1,B1214=132,B1214=138),"Airports",D1214)</f>
        <v>Bronx</v>
      </c>
    </row>
    <row r="1215" spans="1:6">
      <c r="A1215" s="33">
        <v>42125</v>
      </c>
      <c r="B1215">
        <v>175</v>
      </c>
      <c r="C1215">
        <v>743</v>
      </c>
      <c r="D1215" t="str">
        <f>VLOOKUP(B1215,ZoneTable,2,FALSE)</f>
        <v>Queens</v>
      </c>
      <c r="E1215" t="str">
        <f>VLOOKUP(B1215,ZoneTable,3,FALSE)</f>
        <v>Oakland Gardens</v>
      </c>
      <c r="F1215" t="str">
        <f>IF(OR(B1215=1,B1215=132,B1215=138),"Airports",D1215)</f>
        <v>Queens</v>
      </c>
    </row>
    <row r="1216" spans="1:6">
      <c r="A1216" s="33">
        <v>42125</v>
      </c>
      <c r="B1216">
        <v>176</v>
      </c>
      <c r="C1216">
        <v>36</v>
      </c>
      <c r="D1216" t="str">
        <f>VLOOKUP(B1216,ZoneTable,2,FALSE)</f>
        <v>Staten Island</v>
      </c>
      <c r="E1216" t="str">
        <f>VLOOKUP(B1216,ZoneTable,3,FALSE)</f>
        <v>Oakwood</v>
      </c>
      <c r="F1216" t="str">
        <f>IF(OR(B1216=1,B1216=132,B1216=138),"Airports",D1216)</f>
        <v>Staten Island</v>
      </c>
    </row>
    <row r="1217" spans="1:6">
      <c r="A1217" s="33">
        <v>42125</v>
      </c>
      <c r="B1217">
        <v>177</v>
      </c>
      <c r="C1217">
        <v>2697</v>
      </c>
      <c r="D1217" t="str">
        <f>VLOOKUP(B1217,ZoneTable,2,FALSE)</f>
        <v>Brooklyn</v>
      </c>
      <c r="E1217" t="str">
        <f>VLOOKUP(B1217,ZoneTable,3,FALSE)</f>
        <v>Ocean Hill</v>
      </c>
      <c r="F1217" t="str">
        <f>IF(OR(B1217=1,B1217=132,B1217=138),"Airports",D1217)</f>
        <v>Brooklyn</v>
      </c>
    </row>
    <row r="1218" spans="1:6">
      <c r="A1218" s="33">
        <v>42125</v>
      </c>
      <c r="B1218">
        <v>178</v>
      </c>
      <c r="C1218">
        <v>1476</v>
      </c>
      <c r="D1218" t="str">
        <f>VLOOKUP(B1218,ZoneTable,2,FALSE)</f>
        <v>Brooklyn</v>
      </c>
      <c r="E1218" t="str">
        <f>VLOOKUP(B1218,ZoneTable,3,FALSE)</f>
        <v>Ocean Parkway South</v>
      </c>
      <c r="F1218" t="str">
        <f>IF(OR(B1218=1,B1218=132,B1218=138),"Airports",D1218)</f>
        <v>Brooklyn</v>
      </c>
    </row>
    <row r="1219" spans="1:6">
      <c r="A1219" s="33">
        <v>42125</v>
      </c>
      <c r="B1219">
        <v>179</v>
      </c>
      <c r="C1219">
        <v>5463</v>
      </c>
      <c r="D1219" t="str">
        <f>VLOOKUP(B1219,ZoneTable,2,FALSE)</f>
        <v>Queens</v>
      </c>
      <c r="E1219" t="str">
        <f>VLOOKUP(B1219,ZoneTable,3,FALSE)</f>
        <v>Old Astoria</v>
      </c>
      <c r="F1219" t="str">
        <f>IF(OR(B1219=1,B1219=132,B1219=138),"Airports",D1219)</f>
        <v>Queens</v>
      </c>
    </row>
    <row r="1220" spans="1:6">
      <c r="A1220" s="33">
        <v>42125</v>
      </c>
      <c r="B1220">
        <v>180</v>
      </c>
      <c r="C1220">
        <v>1172</v>
      </c>
      <c r="D1220" t="str">
        <f>VLOOKUP(B1220,ZoneTable,2,FALSE)</f>
        <v>Queens</v>
      </c>
      <c r="E1220" t="str">
        <f>VLOOKUP(B1220,ZoneTable,3,FALSE)</f>
        <v>Ozone Park</v>
      </c>
      <c r="F1220" t="str">
        <f>IF(OR(B1220=1,B1220=132,B1220=138),"Airports",D1220)</f>
        <v>Queens</v>
      </c>
    </row>
    <row r="1221" spans="1:6">
      <c r="A1221" s="33">
        <v>42125</v>
      </c>
      <c r="B1221">
        <v>181</v>
      </c>
      <c r="C1221">
        <v>30615</v>
      </c>
      <c r="D1221" t="str">
        <f>VLOOKUP(B1221,ZoneTable,2,FALSE)</f>
        <v>Brooklyn</v>
      </c>
      <c r="E1221" t="str">
        <f>VLOOKUP(B1221,ZoneTable,3,FALSE)</f>
        <v>Park Slope</v>
      </c>
      <c r="F1221" t="str">
        <f>IF(OR(B1221=1,B1221=132,B1221=138),"Airports",D1221)</f>
        <v>Brooklyn</v>
      </c>
    </row>
    <row r="1222" spans="1:6">
      <c r="A1222" s="33">
        <v>42125</v>
      </c>
      <c r="B1222">
        <v>182</v>
      </c>
      <c r="C1222">
        <v>970</v>
      </c>
      <c r="D1222" t="str">
        <f>VLOOKUP(B1222,ZoneTable,2,FALSE)</f>
        <v>Bronx</v>
      </c>
      <c r="E1222" t="str">
        <f>VLOOKUP(B1222,ZoneTable,3,FALSE)</f>
        <v>Parkchester</v>
      </c>
      <c r="F1222" t="str">
        <f>IF(OR(B1222=1,B1222=132,B1222=138),"Airports",D1222)</f>
        <v>Bronx</v>
      </c>
    </row>
    <row r="1223" spans="1:6">
      <c r="A1223" s="33">
        <v>42125</v>
      </c>
      <c r="B1223">
        <v>183</v>
      </c>
      <c r="C1223">
        <v>541</v>
      </c>
      <c r="D1223" t="str">
        <f>VLOOKUP(B1223,ZoneTable,2,FALSE)</f>
        <v>Bronx</v>
      </c>
      <c r="E1223" t="str">
        <f>VLOOKUP(B1223,ZoneTable,3,FALSE)</f>
        <v>Pelham Bay</v>
      </c>
      <c r="F1223" t="str">
        <f>IF(OR(B1223=1,B1223=132,B1223=138),"Airports",D1223)</f>
        <v>Bronx</v>
      </c>
    </row>
    <row r="1224" spans="1:6">
      <c r="A1224" s="33">
        <v>42125</v>
      </c>
      <c r="B1224">
        <v>184</v>
      </c>
      <c r="C1224">
        <v>174</v>
      </c>
      <c r="D1224" t="str">
        <f>VLOOKUP(B1224,ZoneTable,2,FALSE)</f>
        <v>Bronx</v>
      </c>
      <c r="E1224" t="str">
        <f>VLOOKUP(B1224,ZoneTable,3,FALSE)</f>
        <v>Pelham Bay Park</v>
      </c>
      <c r="F1224" t="str">
        <f>IF(OR(B1224=1,B1224=132,B1224=138),"Airports",D1224)</f>
        <v>Bronx</v>
      </c>
    </row>
    <row r="1225" spans="1:6">
      <c r="A1225" s="33">
        <v>42125</v>
      </c>
      <c r="B1225">
        <v>185</v>
      </c>
      <c r="C1225">
        <v>1683</v>
      </c>
      <c r="D1225" t="str">
        <f>VLOOKUP(B1225,ZoneTable,2,FALSE)</f>
        <v>Bronx</v>
      </c>
      <c r="E1225" t="str">
        <f>VLOOKUP(B1225,ZoneTable,3,FALSE)</f>
        <v>Pelham Parkway</v>
      </c>
      <c r="F1225" t="str">
        <f>IF(OR(B1225=1,B1225=132,B1225=138),"Airports",D1225)</f>
        <v>Bronx</v>
      </c>
    </row>
    <row r="1226" spans="1:6">
      <c r="A1226" s="33">
        <v>42125</v>
      </c>
      <c r="B1226">
        <v>186</v>
      </c>
      <c r="C1226">
        <v>35297</v>
      </c>
      <c r="D1226" t="str">
        <f>VLOOKUP(B1226,ZoneTable,2,FALSE)</f>
        <v>Manhattan</v>
      </c>
      <c r="E1226" t="str">
        <f>VLOOKUP(B1226,ZoneTable,3,FALSE)</f>
        <v>Penn Station/Madison Sq West</v>
      </c>
      <c r="F1226" t="str">
        <f>IF(OR(B1226=1,B1226=132,B1226=138),"Airports",D1226)</f>
        <v>Manhattan</v>
      </c>
    </row>
    <row r="1227" spans="1:6">
      <c r="A1227" s="33">
        <v>42125</v>
      </c>
      <c r="B1227">
        <v>187</v>
      </c>
      <c r="C1227">
        <v>41</v>
      </c>
      <c r="D1227" t="str">
        <f>VLOOKUP(B1227,ZoneTable,2,FALSE)</f>
        <v>Staten Island</v>
      </c>
      <c r="E1227" t="str">
        <f>VLOOKUP(B1227,ZoneTable,3,FALSE)</f>
        <v>Port Richmond</v>
      </c>
      <c r="F1227" t="str">
        <f>IF(OR(B1227=1,B1227=132,B1227=138),"Airports",D1227)</f>
        <v>Staten Island</v>
      </c>
    </row>
    <row r="1228" spans="1:6">
      <c r="A1228" s="33">
        <v>42125</v>
      </c>
      <c r="B1228">
        <v>188</v>
      </c>
      <c r="C1228">
        <v>8125</v>
      </c>
      <c r="D1228" t="str">
        <f>VLOOKUP(B1228,ZoneTable,2,FALSE)</f>
        <v>Brooklyn</v>
      </c>
      <c r="E1228" t="str">
        <f>VLOOKUP(B1228,ZoneTable,3,FALSE)</f>
        <v>Prospect-Lefferts Gardens</v>
      </c>
      <c r="F1228" t="str">
        <f>IF(OR(B1228=1,B1228=132,B1228=138),"Airports",D1228)</f>
        <v>Brooklyn</v>
      </c>
    </row>
    <row r="1229" spans="1:6">
      <c r="A1229" s="33">
        <v>42125</v>
      </c>
      <c r="B1229">
        <v>189</v>
      </c>
      <c r="C1229">
        <v>10807</v>
      </c>
      <c r="D1229" t="str">
        <f>VLOOKUP(B1229,ZoneTable,2,FALSE)</f>
        <v>Brooklyn</v>
      </c>
      <c r="E1229" t="str">
        <f>VLOOKUP(B1229,ZoneTable,3,FALSE)</f>
        <v>Prospect Heights</v>
      </c>
      <c r="F1229" t="str">
        <f>IF(OR(B1229=1,B1229=132,B1229=138),"Airports",D1229)</f>
        <v>Brooklyn</v>
      </c>
    </row>
    <row r="1230" spans="1:6">
      <c r="A1230" s="33">
        <v>42125</v>
      </c>
      <c r="B1230">
        <v>190</v>
      </c>
      <c r="C1230">
        <v>1971</v>
      </c>
      <c r="D1230" t="str">
        <f>VLOOKUP(B1230,ZoneTable,2,FALSE)</f>
        <v>Brooklyn</v>
      </c>
      <c r="E1230" t="str">
        <f>VLOOKUP(B1230,ZoneTable,3,FALSE)</f>
        <v>Prospect Park</v>
      </c>
      <c r="F1230" t="str">
        <f>IF(OR(B1230=1,B1230=132,B1230=138),"Airports",D1230)</f>
        <v>Brooklyn</v>
      </c>
    </row>
    <row r="1231" spans="1:6">
      <c r="A1231" s="33">
        <v>42125</v>
      </c>
      <c r="B1231">
        <v>191</v>
      </c>
      <c r="C1231">
        <v>1167</v>
      </c>
      <c r="D1231" t="str">
        <f>VLOOKUP(B1231,ZoneTable,2,FALSE)</f>
        <v>Queens</v>
      </c>
      <c r="E1231" t="str">
        <f>VLOOKUP(B1231,ZoneTable,3,FALSE)</f>
        <v>Queens Village</v>
      </c>
      <c r="F1231" t="str">
        <f>IF(OR(B1231=1,B1231=132,B1231=138),"Airports",D1231)</f>
        <v>Queens</v>
      </c>
    </row>
    <row r="1232" spans="1:6">
      <c r="A1232" s="33">
        <v>42125</v>
      </c>
      <c r="B1232">
        <v>192</v>
      </c>
      <c r="C1232">
        <v>1189</v>
      </c>
      <c r="D1232" t="str">
        <f>VLOOKUP(B1232,ZoneTable,2,FALSE)</f>
        <v>Queens</v>
      </c>
      <c r="E1232" t="str">
        <f>VLOOKUP(B1232,ZoneTable,3,FALSE)</f>
        <v>Queensboro Hill</v>
      </c>
      <c r="F1232" t="str">
        <f>IF(OR(B1232=1,B1232=132,B1232=138),"Airports",D1232)</f>
        <v>Queens</v>
      </c>
    </row>
    <row r="1233" spans="1:6">
      <c r="A1233" s="33">
        <v>42125</v>
      </c>
      <c r="B1233">
        <v>193</v>
      </c>
      <c r="C1233">
        <v>1042</v>
      </c>
      <c r="D1233" t="str">
        <f>VLOOKUP(B1233,ZoneTable,2,FALSE)</f>
        <v>Queens</v>
      </c>
      <c r="E1233" t="str">
        <f>VLOOKUP(B1233,ZoneTable,3,FALSE)</f>
        <v>Queensbridge/Ravenswood</v>
      </c>
      <c r="F1233" t="str">
        <f>IF(OR(B1233=1,B1233=132,B1233=138),"Airports",D1233)</f>
        <v>Queens</v>
      </c>
    </row>
    <row r="1234" spans="1:6">
      <c r="A1234" s="33">
        <v>42125</v>
      </c>
      <c r="B1234">
        <v>194</v>
      </c>
      <c r="C1234">
        <v>616</v>
      </c>
      <c r="D1234" t="str">
        <f>VLOOKUP(B1234,ZoneTable,2,FALSE)</f>
        <v>Manhattan</v>
      </c>
      <c r="E1234" t="str">
        <f>VLOOKUP(B1234,ZoneTable,3,FALSE)</f>
        <v>Randalls Island</v>
      </c>
      <c r="F1234" t="str">
        <f>IF(OR(B1234=1,B1234=132,B1234=138),"Airports",D1234)</f>
        <v>Manhattan</v>
      </c>
    </row>
    <row r="1235" spans="1:6">
      <c r="A1235" s="33">
        <v>42125</v>
      </c>
      <c r="B1235">
        <v>195</v>
      </c>
      <c r="C1235">
        <v>5205</v>
      </c>
      <c r="D1235" t="str">
        <f>VLOOKUP(B1235,ZoneTable,2,FALSE)</f>
        <v>Brooklyn</v>
      </c>
      <c r="E1235" t="str">
        <f>VLOOKUP(B1235,ZoneTable,3,FALSE)</f>
        <v>Red Hook</v>
      </c>
      <c r="F1235" t="str">
        <f>IF(OR(B1235=1,B1235=132,B1235=138),"Airports",D1235)</f>
        <v>Brooklyn</v>
      </c>
    </row>
    <row r="1236" spans="1:6">
      <c r="A1236" s="33">
        <v>42125</v>
      </c>
      <c r="B1236">
        <v>196</v>
      </c>
      <c r="C1236">
        <v>2483</v>
      </c>
      <c r="D1236" t="str">
        <f>VLOOKUP(B1236,ZoneTable,2,FALSE)</f>
        <v>Queens</v>
      </c>
      <c r="E1236" t="str">
        <f>VLOOKUP(B1236,ZoneTable,3,FALSE)</f>
        <v>Rego Park</v>
      </c>
      <c r="F1236" t="str">
        <f>IF(OR(B1236=1,B1236=132,B1236=138),"Airports",D1236)</f>
        <v>Queens</v>
      </c>
    </row>
    <row r="1237" spans="1:6">
      <c r="A1237" s="33">
        <v>42125</v>
      </c>
      <c r="B1237">
        <v>197</v>
      </c>
      <c r="C1237">
        <v>2429</v>
      </c>
      <c r="D1237" t="str">
        <f>VLOOKUP(B1237,ZoneTable,2,FALSE)</f>
        <v>Queens</v>
      </c>
      <c r="E1237" t="str">
        <f>VLOOKUP(B1237,ZoneTable,3,FALSE)</f>
        <v>Richmond Hill</v>
      </c>
      <c r="F1237" t="str">
        <f>IF(OR(B1237=1,B1237=132,B1237=138),"Airports",D1237)</f>
        <v>Queens</v>
      </c>
    </row>
    <row r="1238" spans="1:6">
      <c r="A1238" s="33">
        <v>42125</v>
      </c>
      <c r="B1238">
        <v>198</v>
      </c>
      <c r="C1238">
        <v>5221</v>
      </c>
      <c r="D1238" t="str">
        <f>VLOOKUP(B1238,ZoneTable,2,FALSE)</f>
        <v>Queens</v>
      </c>
      <c r="E1238" t="str">
        <f>VLOOKUP(B1238,ZoneTable,3,FALSE)</f>
        <v>Ridgewood</v>
      </c>
      <c r="F1238" t="str">
        <f>IF(OR(B1238=1,B1238=132,B1238=138),"Airports",D1238)</f>
        <v>Queens</v>
      </c>
    </row>
    <row r="1239" spans="1:6">
      <c r="A1239" s="33">
        <v>42125</v>
      </c>
      <c r="B1239">
        <v>200</v>
      </c>
      <c r="C1239">
        <v>3626</v>
      </c>
      <c r="D1239" t="str">
        <f>VLOOKUP(B1239,ZoneTable,2,FALSE)</f>
        <v>Bronx</v>
      </c>
      <c r="E1239" t="str">
        <f>VLOOKUP(B1239,ZoneTable,3,FALSE)</f>
        <v>Riverdale/North Riverdale/Fieldston</v>
      </c>
      <c r="F1239" t="str">
        <f>IF(OR(B1239=1,B1239=132,B1239=138),"Airports",D1239)</f>
        <v>Bronx</v>
      </c>
    </row>
    <row r="1240" spans="1:6">
      <c r="A1240" s="33">
        <v>42125</v>
      </c>
      <c r="B1240">
        <v>201</v>
      </c>
      <c r="C1240">
        <v>133</v>
      </c>
      <c r="D1240" t="str">
        <f>VLOOKUP(B1240,ZoneTable,2,FALSE)</f>
        <v>Queens</v>
      </c>
      <c r="E1240" t="str">
        <f>VLOOKUP(B1240,ZoneTable,3,FALSE)</f>
        <v>Rockaway Park</v>
      </c>
      <c r="F1240" t="str">
        <f>IF(OR(B1240=1,B1240=132,B1240=138),"Airports",D1240)</f>
        <v>Queens</v>
      </c>
    </row>
    <row r="1241" spans="1:6">
      <c r="A1241" s="33">
        <v>42125</v>
      </c>
      <c r="B1241">
        <v>202</v>
      </c>
      <c r="C1241">
        <v>673</v>
      </c>
      <c r="D1241" t="str">
        <f>VLOOKUP(B1241,ZoneTable,2,FALSE)</f>
        <v>Manhattan</v>
      </c>
      <c r="E1241" t="str">
        <f>VLOOKUP(B1241,ZoneTable,3,FALSE)</f>
        <v>Roosevelt Island</v>
      </c>
      <c r="F1241" t="str">
        <f>IF(OR(B1241=1,B1241=132,B1241=138),"Airports",D1241)</f>
        <v>Manhattan</v>
      </c>
    </row>
    <row r="1242" spans="1:6">
      <c r="A1242" s="33">
        <v>42125</v>
      </c>
      <c r="B1242">
        <v>203</v>
      </c>
      <c r="C1242">
        <v>723</v>
      </c>
      <c r="D1242" t="str">
        <f>VLOOKUP(B1242,ZoneTable,2,FALSE)</f>
        <v>Queens</v>
      </c>
      <c r="E1242" t="str">
        <f>VLOOKUP(B1242,ZoneTable,3,FALSE)</f>
        <v>Rosedale</v>
      </c>
      <c r="F1242" t="str">
        <f>IF(OR(B1242=1,B1242=132,B1242=138),"Airports",D1242)</f>
        <v>Queens</v>
      </c>
    </row>
    <row r="1243" spans="1:6">
      <c r="A1243" s="33">
        <v>42125</v>
      </c>
      <c r="B1243">
        <v>204</v>
      </c>
      <c r="C1243">
        <v>9</v>
      </c>
      <c r="D1243" t="str">
        <f>VLOOKUP(B1243,ZoneTable,2,FALSE)</f>
        <v>Staten Island</v>
      </c>
      <c r="E1243" t="str">
        <f>VLOOKUP(B1243,ZoneTable,3,FALSE)</f>
        <v>Rossville/Woodrow</v>
      </c>
      <c r="F1243" t="str">
        <f>IF(OR(B1243=1,B1243=132,B1243=138),"Airports",D1243)</f>
        <v>Staten Island</v>
      </c>
    </row>
    <row r="1244" spans="1:6">
      <c r="A1244" s="33">
        <v>42125</v>
      </c>
      <c r="B1244">
        <v>205</v>
      </c>
      <c r="C1244">
        <v>1231</v>
      </c>
      <c r="D1244" t="str">
        <f>VLOOKUP(B1244,ZoneTable,2,FALSE)</f>
        <v>Queens</v>
      </c>
      <c r="E1244" t="str">
        <f>VLOOKUP(B1244,ZoneTable,3,FALSE)</f>
        <v>Saint Albans</v>
      </c>
      <c r="F1244" t="str">
        <f>IF(OR(B1244=1,B1244=132,B1244=138),"Airports",D1244)</f>
        <v>Queens</v>
      </c>
    </row>
    <row r="1245" spans="1:6">
      <c r="A1245" s="33">
        <v>42125</v>
      </c>
      <c r="B1245">
        <v>206</v>
      </c>
      <c r="C1245">
        <v>87</v>
      </c>
      <c r="D1245" t="str">
        <f>VLOOKUP(B1245,ZoneTable,2,FALSE)</f>
        <v>Staten Island</v>
      </c>
      <c r="E1245" t="str">
        <f>VLOOKUP(B1245,ZoneTable,3,FALSE)</f>
        <v>Saint George/New Brighton</v>
      </c>
      <c r="F1245" t="str">
        <f>IF(OR(B1245=1,B1245=132,B1245=138),"Airports",D1245)</f>
        <v>Staten Island</v>
      </c>
    </row>
    <row r="1246" spans="1:6">
      <c r="A1246" s="33">
        <v>42125</v>
      </c>
      <c r="B1246">
        <v>207</v>
      </c>
      <c r="C1246">
        <v>79</v>
      </c>
      <c r="D1246" t="str">
        <f>VLOOKUP(B1246,ZoneTable,2,FALSE)</f>
        <v>Queens</v>
      </c>
      <c r="E1246" t="str">
        <f>VLOOKUP(B1246,ZoneTable,3,FALSE)</f>
        <v>Saint Michaels Cemetery/Woodside</v>
      </c>
      <c r="F1246" t="str">
        <f>IF(OR(B1246=1,B1246=132,B1246=138),"Airports",D1246)</f>
        <v>Queens</v>
      </c>
    </row>
    <row r="1247" spans="1:6">
      <c r="A1247" s="33">
        <v>42125</v>
      </c>
      <c r="B1247">
        <v>208</v>
      </c>
      <c r="C1247">
        <v>1100</v>
      </c>
      <c r="D1247" t="str">
        <f>VLOOKUP(B1247,ZoneTable,2,FALSE)</f>
        <v>Bronx</v>
      </c>
      <c r="E1247" t="str">
        <f>VLOOKUP(B1247,ZoneTable,3,FALSE)</f>
        <v>Schuylerville/Edgewater Park</v>
      </c>
      <c r="F1247" t="str">
        <f>IF(OR(B1247=1,B1247=132,B1247=138),"Airports",D1247)</f>
        <v>Bronx</v>
      </c>
    </row>
    <row r="1248" spans="1:6">
      <c r="A1248" s="33">
        <v>42125</v>
      </c>
      <c r="B1248">
        <v>209</v>
      </c>
      <c r="C1248">
        <v>9336</v>
      </c>
      <c r="D1248" t="str">
        <f>VLOOKUP(B1248,ZoneTable,2,FALSE)</f>
        <v>Manhattan</v>
      </c>
      <c r="E1248" t="str">
        <f>VLOOKUP(B1248,ZoneTable,3,FALSE)</f>
        <v>Seaport</v>
      </c>
      <c r="F1248" t="str">
        <f>IF(OR(B1248=1,B1248=132,B1248=138),"Airports",D1248)</f>
        <v>Manhattan</v>
      </c>
    </row>
    <row r="1249" spans="1:6">
      <c r="A1249" s="33">
        <v>42125</v>
      </c>
      <c r="B1249">
        <v>210</v>
      </c>
      <c r="C1249">
        <v>1461</v>
      </c>
      <c r="D1249" t="str">
        <f>VLOOKUP(B1249,ZoneTable,2,FALSE)</f>
        <v>Brooklyn</v>
      </c>
      <c r="E1249" t="str">
        <f>VLOOKUP(B1249,ZoneTable,3,FALSE)</f>
        <v>Sheepshead Bay</v>
      </c>
      <c r="F1249" t="str">
        <f>IF(OR(B1249=1,B1249=132,B1249=138),"Airports",D1249)</f>
        <v>Brooklyn</v>
      </c>
    </row>
    <row r="1250" spans="1:6">
      <c r="A1250" s="33">
        <v>42125</v>
      </c>
      <c r="B1250">
        <v>211</v>
      </c>
      <c r="C1250">
        <v>41919</v>
      </c>
      <c r="D1250" t="str">
        <f>VLOOKUP(B1250,ZoneTable,2,FALSE)</f>
        <v>Manhattan</v>
      </c>
      <c r="E1250" t="str">
        <f>VLOOKUP(B1250,ZoneTable,3,FALSE)</f>
        <v>SoHo</v>
      </c>
      <c r="F1250" t="str">
        <f>IF(OR(B1250=1,B1250=132,B1250=138),"Airports",D1250)</f>
        <v>Manhattan</v>
      </c>
    </row>
    <row r="1251" spans="1:6">
      <c r="A1251" s="33">
        <v>42125</v>
      </c>
      <c r="B1251">
        <v>212</v>
      </c>
      <c r="C1251">
        <v>880</v>
      </c>
      <c r="D1251" t="str">
        <f>VLOOKUP(B1251,ZoneTable,2,FALSE)</f>
        <v>Bronx</v>
      </c>
      <c r="E1251" t="str">
        <f>VLOOKUP(B1251,ZoneTable,3,FALSE)</f>
        <v>Soundview/Bruckner</v>
      </c>
      <c r="F1251" t="str">
        <f>IF(OR(B1251=1,B1251=132,B1251=138),"Airports",D1251)</f>
        <v>Bronx</v>
      </c>
    </row>
    <row r="1252" spans="1:6">
      <c r="A1252" s="33">
        <v>42125</v>
      </c>
      <c r="B1252">
        <v>213</v>
      </c>
      <c r="C1252">
        <v>1192</v>
      </c>
      <c r="D1252" t="str">
        <f>VLOOKUP(B1252,ZoneTable,2,FALSE)</f>
        <v>Bronx</v>
      </c>
      <c r="E1252" t="str">
        <f>VLOOKUP(B1252,ZoneTable,3,FALSE)</f>
        <v>Soundview/Castle Hill</v>
      </c>
      <c r="F1252" t="str">
        <f>IF(OR(B1252=1,B1252=132,B1252=138),"Airports",D1252)</f>
        <v>Bronx</v>
      </c>
    </row>
    <row r="1253" spans="1:6">
      <c r="A1253" s="33">
        <v>42125</v>
      </c>
      <c r="B1253">
        <v>214</v>
      </c>
      <c r="C1253">
        <v>140</v>
      </c>
      <c r="D1253" t="str">
        <f>VLOOKUP(B1253,ZoneTable,2,FALSE)</f>
        <v>Staten Island</v>
      </c>
      <c r="E1253" t="str">
        <f>VLOOKUP(B1253,ZoneTable,3,FALSE)</f>
        <v>South Beach/Dongan Hills</v>
      </c>
      <c r="F1253" t="str">
        <f>IF(OR(B1253=1,B1253=132,B1253=138),"Airports",D1253)</f>
        <v>Staten Island</v>
      </c>
    </row>
    <row r="1254" spans="1:6">
      <c r="A1254" s="33">
        <v>42125</v>
      </c>
      <c r="B1254">
        <v>215</v>
      </c>
      <c r="C1254">
        <v>948</v>
      </c>
      <c r="D1254" t="str">
        <f>VLOOKUP(B1254,ZoneTable,2,FALSE)</f>
        <v>Queens</v>
      </c>
      <c r="E1254" t="str">
        <f>VLOOKUP(B1254,ZoneTable,3,FALSE)</f>
        <v>South Jamaica</v>
      </c>
      <c r="F1254" t="str">
        <f>IF(OR(B1254=1,B1254=132,B1254=138),"Airports",D1254)</f>
        <v>Queens</v>
      </c>
    </row>
    <row r="1255" spans="1:6">
      <c r="A1255" s="33">
        <v>42125</v>
      </c>
      <c r="B1255">
        <v>216</v>
      </c>
      <c r="C1255">
        <v>2494</v>
      </c>
      <c r="D1255" t="str">
        <f>VLOOKUP(B1255,ZoneTable,2,FALSE)</f>
        <v>Queens</v>
      </c>
      <c r="E1255" t="str">
        <f>VLOOKUP(B1255,ZoneTable,3,FALSE)</f>
        <v>South Ozone Park</v>
      </c>
      <c r="F1255" t="str">
        <f>IF(OR(B1255=1,B1255=132,B1255=138),"Airports",D1255)</f>
        <v>Queens</v>
      </c>
    </row>
    <row r="1256" spans="1:6">
      <c r="A1256" s="33">
        <v>42125</v>
      </c>
      <c r="B1256">
        <v>217</v>
      </c>
      <c r="C1256">
        <v>1601</v>
      </c>
      <c r="D1256" t="str">
        <f>VLOOKUP(B1256,ZoneTable,2,FALSE)</f>
        <v>Brooklyn</v>
      </c>
      <c r="E1256" t="str">
        <f>VLOOKUP(B1256,ZoneTable,3,FALSE)</f>
        <v>South Williamsburg</v>
      </c>
      <c r="F1256" t="str">
        <f>IF(OR(B1256=1,B1256=132,B1256=138),"Airports",D1256)</f>
        <v>Brooklyn</v>
      </c>
    </row>
    <row r="1257" spans="1:6">
      <c r="A1257" s="33">
        <v>42125</v>
      </c>
      <c r="B1257">
        <v>218</v>
      </c>
      <c r="C1257">
        <v>754</v>
      </c>
      <c r="D1257" t="str">
        <f>VLOOKUP(B1257,ZoneTable,2,FALSE)</f>
        <v>Queens</v>
      </c>
      <c r="E1257" t="str">
        <f>VLOOKUP(B1257,ZoneTable,3,FALSE)</f>
        <v>Springfield Gardens North</v>
      </c>
      <c r="F1257" t="str">
        <f>IF(OR(B1257=1,B1257=132,B1257=138),"Airports",D1257)</f>
        <v>Queens</v>
      </c>
    </row>
    <row r="1258" spans="1:6">
      <c r="A1258" s="33">
        <v>42125</v>
      </c>
      <c r="B1258">
        <v>219</v>
      </c>
      <c r="C1258">
        <v>854</v>
      </c>
      <c r="D1258" t="str">
        <f>VLOOKUP(B1258,ZoneTable,2,FALSE)</f>
        <v>Queens</v>
      </c>
      <c r="E1258" t="str">
        <f>VLOOKUP(B1258,ZoneTable,3,FALSE)</f>
        <v>Springfield Gardens South</v>
      </c>
      <c r="F1258" t="str">
        <f>IF(OR(B1258=1,B1258=132,B1258=138),"Airports",D1258)</f>
        <v>Queens</v>
      </c>
    </row>
    <row r="1259" spans="1:6">
      <c r="A1259" s="33">
        <v>42125</v>
      </c>
      <c r="B1259">
        <v>220</v>
      </c>
      <c r="C1259">
        <v>3440</v>
      </c>
      <c r="D1259" t="str">
        <f>VLOOKUP(B1259,ZoneTable,2,FALSE)</f>
        <v>Bronx</v>
      </c>
      <c r="E1259" t="str">
        <f>VLOOKUP(B1259,ZoneTable,3,FALSE)</f>
        <v>Spuyten Duyvil/Kingsbridge</v>
      </c>
      <c r="F1259" t="str">
        <f>IF(OR(B1259=1,B1259=132,B1259=138),"Airports",D1259)</f>
        <v>Bronx</v>
      </c>
    </row>
    <row r="1260" spans="1:6">
      <c r="A1260" s="33">
        <v>42125</v>
      </c>
      <c r="B1260">
        <v>221</v>
      </c>
      <c r="C1260">
        <v>131</v>
      </c>
      <c r="D1260" t="str">
        <f>VLOOKUP(B1260,ZoneTable,2,FALSE)</f>
        <v>Staten Island</v>
      </c>
      <c r="E1260" t="str">
        <f>VLOOKUP(B1260,ZoneTable,3,FALSE)</f>
        <v>Stapleton</v>
      </c>
      <c r="F1260" t="str">
        <f>IF(OR(B1260=1,B1260=132,B1260=138),"Airports",D1260)</f>
        <v>Staten Island</v>
      </c>
    </row>
    <row r="1261" spans="1:6">
      <c r="A1261" s="33">
        <v>42125</v>
      </c>
      <c r="B1261">
        <v>222</v>
      </c>
      <c r="C1261">
        <v>434</v>
      </c>
      <c r="D1261" t="str">
        <f>VLOOKUP(B1261,ZoneTable,2,FALSE)</f>
        <v>Brooklyn</v>
      </c>
      <c r="E1261" t="str">
        <f>VLOOKUP(B1261,ZoneTable,3,FALSE)</f>
        <v>Starrett City</v>
      </c>
      <c r="F1261" t="str">
        <f>IF(OR(B1261=1,B1261=132,B1261=138),"Airports",D1261)</f>
        <v>Brooklyn</v>
      </c>
    </row>
    <row r="1262" spans="1:6">
      <c r="A1262" s="33">
        <v>42125</v>
      </c>
      <c r="B1262">
        <v>223</v>
      </c>
      <c r="C1262">
        <v>9378</v>
      </c>
      <c r="D1262" t="str">
        <f>VLOOKUP(B1262,ZoneTable,2,FALSE)</f>
        <v>Queens</v>
      </c>
      <c r="E1262" t="str">
        <f>VLOOKUP(B1262,ZoneTable,3,FALSE)</f>
        <v>Steinway</v>
      </c>
      <c r="F1262" t="str">
        <f>IF(OR(B1262=1,B1262=132,B1262=138),"Airports",D1262)</f>
        <v>Queens</v>
      </c>
    </row>
    <row r="1263" spans="1:6">
      <c r="A1263" s="33">
        <v>42125</v>
      </c>
      <c r="B1263">
        <v>224</v>
      </c>
      <c r="C1263">
        <v>13639</v>
      </c>
      <c r="D1263" t="str">
        <f>VLOOKUP(B1263,ZoneTable,2,FALSE)</f>
        <v>Manhattan</v>
      </c>
      <c r="E1263" t="str">
        <f>VLOOKUP(B1263,ZoneTable,3,FALSE)</f>
        <v>Stuy Town/Peter Cooper Village</v>
      </c>
      <c r="F1263" t="str">
        <f>IF(OR(B1263=1,B1263=132,B1263=138),"Airports",D1263)</f>
        <v>Manhattan</v>
      </c>
    </row>
    <row r="1264" spans="1:6">
      <c r="A1264" s="33">
        <v>42125</v>
      </c>
      <c r="B1264">
        <v>225</v>
      </c>
      <c r="C1264">
        <v>11769</v>
      </c>
      <c r="D1264" t="str">
        <f>VLOOKUP(B1264,ZoneTable,2,FALSE)</f>
        <v>Brooklyn</v>
      </c>
      <c r="E1264" t="str">
        <f>VLOOKUP(B1264,ZoneTable,3,FALSE)</f>
        <v>Stuyvesant Heights</v>
      </c>
      <c r="F1264" t="str">
        <f>IF(OR(B1264=1,B1264=132,B1264=138),"Airports",D1264)</f>
        <v>Brooklyn</v>
      </c>
    </row>
    <row r="1265" spans="1:6">
      <c r="A1265" s="33">
        <v>42125</v>
      </c>
      <c r="B1265">
        <v>226</v>
      </c>
      <c r="C1265">
        <v>10384</v>
      </c>
      <c r="D1265" t="str">
        <f>VLOOKUP(B1265,ZoneTable,2,FALSE)</f>
        <v>Queens</v>
      </c>
      <c r="E1265" t="str">
        <f>VLOOKUP(B1265,ZoneTable,3,FALSE)</f>
        <v>Sunnyside</v>
      </c>
      <c r="F1265" t="str">
        <f>IF(OR(B1265=1,B1265=132,B1265=138),"Airports",D1265)</f>
        <v>Queens</v>
      </c>
    </row>
    <row r="1266" spans="1:6">
      <c r="A1266" s="33">
        <v>42125</v>
      </c>
      <c r="B1266">
        <v>227</v>
      </c>
      <c r="C1266">
        <v>1960</v>
      </c>
      <c r="D1266" t="str">
        <f>VLOOKUP(B1266,ZoneTable,2,FALSE)</f>
        <v>Brooklyn</v>
      </c>
      <c r="E1266" t="str">
        <f>VLOOKUP(B1266,ZoneTable,3,FALSE)</f>
        <v>Sunset Park East</v>
      </c>
      <c r="F1266" t="str">
        <f>IF(OR(B1266=1,B1266=132,B1266=138),"Airports",D1266)</f>
        <v>Brooklyn</v>
      </c>
    </row>
    <row r="1267" spans="1:6">
      <c r="A1267" s="33">
        <v>42125</v>
      </c>
      <c r="B1267">
        <v>228</v>
      </c>
      <c r="C1267">
        <v>7427</v>
      </c>
      <c r="D1267" t="str">
        <f>VLOOKUP(B1267,ZoneTable,2,FALSE)</f>
        <v>Brooklyn</v>
      </c>
      <c r="E1267" t="str">
        <f>VLOOKUP(B1267,ZoneTable,3,FALSE)</f>
        <v>Sunset Park West</v>
      </c>
      <c r="F1267" t="str">
        <f>IF(OR(B1267=1,B1267=132,B1267=138),"Airports",D1267)</f>
        <v>Brooklyn</v>
      </c>
    </row>
    <row r="1268" spans="1:6">
      <c r="A1268" s="33">
        <v>42125</v>
      </c>
      <c r="B1268">
        <v>229</v>
      </c>
      <c r="C1268">
        <v>30841</v>
      </c>
      <c r="D1268" t="str">
        <f>VLOOKUP(B1268,ZoneTable,2,FALSE)</f>
        <v>Manhattan</v>
      </c>
      <c r="E1268" t="str">
        <f>VLOOKUP(B1268,ZoneTable,3,FALSE)</f>
        <v>Sutton Place/Turtle Bay North</v>
      </c>
      <c r="F1268" t="str">
        <f>IF(OR(B1268=1,B1268=132,B1268=138),"Airports",D1268)</f>
        <v>Manhattan</v>
      </c>
    </row>
    <row r="1269" spans="1:6">
      <c r="A1269" s="33">
        <v>42125</v>
      </c>
      <c r="B1269">
        <v>230</v>
      </c>
      <c r="C1269">
        <v>53597</v>
      </c>
      <c r="D1269" t="str">
        <f>VLOOKUP(B1269,ZoneTable,2,FALSE)</f>
        <v>Manhattan</v>
      </c>
      <c r="E1269" t="str">
        <f>VLOOKUP(B1269,ZoneTable,3,FALSE)</f>
        <v>Times Sq/Theatre District</v>
      </c>
      <c r="F1269" t="str">
        <f>IF(OR(B1269=1,B1269=132,B1269=138),"Airports",D1269)</f>
        <v>Manhattan</v>
      </c>
    </row>
    <row r="1270" spans="1:6">
      <c r="A1270" s="33">
        <v>42125</v>
      </c>
      <c r="B1270">
        <v>231</v>
      </c>
      <c r="C1270">
        <v>72084</v>
      </c>
      <c r="D1270" t="str">
        <f>VLOOKUP(B1270,ZoneTable,2,FALSE)</f>
        <v>Manhattan</v>
      </c>
      <c r="E1270" t="str">
        <f>VLOOKUP(B1270,ZoneTable,3,FALSE)</f>
        <v>TriBeCa/Civic Center</v>
      </c>
      <c r="F1270" t="str">
        <f>IF(OR(B1270=1,B1270=132,B1270=138),"Airports",D1270)</f>
        <v>Manhattan</v>
      </c>
    </row>
    <row r="1271" spans="1:6">
      <c r="A1271" s="33">
        <v>42125</v>
      </c>
      <c r="B1271">
        <v>232</v>
      </c>
      <c r="C1271">
        <v>14543</v>
      </c>
      <c r="D1271" t="str">
        <f>VLOOKUP(B1271,ZoneTable,2,FALSE)</f>
        <v>Manhattan</v>
      </c>
      <c r="E1271" t="str">
        <f>VLOOKUP(B1271,ZoneTable,3,FALSE)</f>
        <v>Two Bridges/Seward Park</v>
      </c>
      <c r="F1271" t="str">
        <f>IF(OR(B1271=1,B1271=132,B1271=138),"Airports",D1271)</f>
        <v>Manhattan</v>
      </c>
    </row>
    <row r="1272" spans="1:6">
      <c r="A1272" s="33">
        <v>42125</v>
      </c>
      <c r="B1272">
        <v>233</v>
      </c>
      <c r="C1272">
        <v>25341</v>
      </c>
      <c r="D1272" t="str">
        <f>VLOOKUP(B1272,ZoneTable,2,FALSE)</f>
        <v>Manhattan</v>
      </c>
      <c r="E1272" t="str">
        <f>VLOOKUP(B1272,ZoneTable,3,FALSE)</f>
        <v>UN/Turtle Bay South</v>
      </c>
      <c r="F1272" t="str">
        <f>IF(OR(B1272=1,B1272=132,B1272=138),"Airports",D1272)</f>
        <v>Manhattan</v>
      </c>
    </row>
    <row r="1273" spans="1:6">
      <c r="A1273" s="33">
        <v>42125</v>
      </c>
      <c r="B1273">
        <v>234</v>
      </c>
      <c r="C1273">
        <v>75340</v>
      </c>
      <c r="D1273" t="str">
        <f>VLOOKUP(B1273,ZoneTable,2,FALSE)</f>
        <v>Manhattan</v>
      </c>
      <c r="E1273" t="str">
        <f>VLOOKUP(B1273,ZoneTable,3,FALSE)</f>
        <v>Union Sq</v>
      </c>
      <c r="F1273" t="str">
        <f>IF(OR(B1273=1,B1273=132,B1273=138),"Airports",D1273)</f>
        <v>Manhattan</v>
      </c>
    </row>
    <row r="1274" spans="1:6">
      <c r="A1274" s="33">
        <v>42125</v>
      </c>
      <c r="B1274">
        <v>235</v>
      </c>
      <c r="C1274">
        <v>1507</v>
      </c>
      <c r="D1274" t="str">
        <f>VLOOKUP(B1274,ZoneTable,2,FALSE)</f>
        <v>Bronx</v>
      </c>
      <c r="E1274" t="str">
        <f>VLOOKUP(B1274,ZoneTable,3,FALSE)</f>
        <v>University Heights/Morris Heights</v>
      </c>
      <c r="F1274" t="str">
        <f>IF(OR(B1274=1,B1274=132,B1274=138),"Airports",D1274)</f>
        <v>Bronx</v>
      </c>
    </row>
    <row r="1275" spans="1:6">
      <c r="A1275" s="33">
        <v>42125</v>
      </c>
      <c r="B1275">
        <v>236</v>
      </c>
      <c r="C1275">
        <v>41172</v>
      </c>
      <c r="D1275" t="str">
        <f>VLOOKUP(B1275,ZoneTable,2,FALSE)</f>
        <v>Manhattan</v>
      </c>
      <c r="E1275" t="str">
        <f>VLOOKUP(B1275,ZoneTable,3,FALSE)</f>
        <v>Upper East Side North</v>
      </c>
      <c r="F1275" t="str">
        <f>IF(OR(B1275=1,B1275=132,B1275=138),"Airports",D1275)</f>
        <v>Manhattan</v>
      </c>
    </row>
    <row r="1276" spans="1:6">
      <c r="A1276" s="33">
        <v>42125</v>
      </c>
      <c r="B1276">
        <v>237</v>
      </c>
      <c r="C1276">
        <v>52027</v>
      </c>
      <c r="D1276" t="str">
        <f>VLOOKUP(B1276,ZoneTable,2,FALSE)</f>
        <v>Manhattan</v>
      </c>
      <c r="E1276" t="str">
        <f>VLOOKUP(B1276,ZoneTable,3,FALSE)</f>
        <v>Upper East Side South</v>
      </c>
      <c r="F1276" t="str">
        <f>IF(OR(B1276=1,B1276=132,B1276=138),"Airports",D1276)</f>
        <v>Manhattan</v>
      </c>
    </row>
    <row r="1277" spans="1:6">
      <c r="A1277" s="33">
        <v>42125</v>
      </c>
      <c r="B1277">
        <v>238</v>
      </c>
      <c r="C1277">
        <v>24290</v>
      </c>
      <c r="D1277" t="str">
        <f>VLOOKUP(B1277,ZoneTable,2,FALSE)</f>
        <v>Manhattan</v>
      </c>
      <c r="E1277" t="str">
        <f>VLOOKUP(B1277,ZoneTable,3,FALSE)</f>
        <v>Upper West Side North</v>
      </c>
      <c r="F1277" t="str">
        <f>IF(OR(B1277=1,B1277=132,B1277=138),"Airports",D1277)</f>
        <v>Manhattan</v>
      </c>
    </row>
    <row r="1278" spans="1:6">
      <c r="A1278" s="33">
        <v>42125</v>
      </c>
      <c r="B1278">
        <v>239</v>
      </c>
      <c r="C1278">
        <v>34252</v>
      </c>
      <c r="D1278" t="str">
        <f>VLOOKUP(B1278,ZoneTable,2,FALSE)</f>
        <v>Manhattan</v>
      </c>
      <c r="E1278" t="str">
        <f>VLOOKUP(B1278,ZoneTable,3,FALSE)</f>
        <v>Upper West Side South</v>
      </c>
      <c r="F1278" t="str">
        <f>IF(OR(B1278=1,B1278=132,B1278=138),"Airports",D1278)</f>
        <v>Manhattan</v>
      </c>
    </row>
    <row r="1279" spans="1:6">
      <c r="A1279" s="33">
        <v>42125</v>
      </c>
      <c r="B1279">
        <v>240</v>
      </c>
      <c r="C1279">
        <v>405</v>
      </c>
      <c r="D1279" t="str">
        <f>VLOOKUP(B1279,ZoneTable,2,FALSE)</f>
        <v>Bronx</v>
      </c>
      <c r="E1279" t="str">
        <f>VLOOKUP(B1279,ZoneTable,3,FALSE)</f>
        <v>Van Cortlandt Park</v>
      </c>
      <c r="F1279" t="str">
        <f>IF(OR(B1279=1,B1279=132,B1279=138),"Airports",D1279)</f>
        <v>Bronx</v>
      </c>
    </row>
    <row r="1280" spans="1:6">
      <c r="A1280" s="33">
        <v>42125</v>
      </c>
      <c r="B1280">
        <v>241</v>
      </c>
      <c r="C1280">
        <v>2023</v>
      </c>
      <c r="D1280" t="str">
        <f>VLOOKUP(B1280,ZoneTable,2,FALSE)</f>
        <v>Bronx</v>
      </c>
      <c r="E1280" t="str">
        <f>VLOOKUP(B1280,ZoneTable,3,FALSE)</f>
        <v>Van Cortlandt Village</v>
      </c>
      <c r="F1280" t="str">
        <f>IF(OR(B1280=1,B1280=132,B1280=138),"Airports",D1280)</f>
        <v>Bronx</v>
      </c>
    </row>
    <row r="1281" spans="1:6">
      <c r="A1281" s="33">
        <v>42125</v>
      </c>
      <c r="B1281">
        <v>242</v>
      </c>
      <c r="C1281">
        <v>1698</v>
      </c>
      <c r="D1281" t="str">
        <f>VLOOKUP(B1281,ZoneTable,2,FALSE)</f>
        <v>Bronx</v>
      </c>
      <c r="E1281" t="str">
        <f>VLOOKUP(B1281,ZoneTable,3,FALSE)</f>
        <v>Van Nest/Morris Park</v>
      </c>
      <c r="F1281" t="str">
        <f>IF(OR(B1281=1,B1281=132,B1281=138),"Airports",D1281)</f>
        <v>Bronx</v>
      </c>
    </row>
    <row r="1282" spans="1:6">
      <c r="A1282" s="33">
        <v>42125</v>
      </c>
      <c r="B1282">
        <v>243</v>
      </c>
      <c r="C1282">
        <v>8036</v>
      </c>
      <c r="D1282" t="str">
        <f>VLOOKUP(B1282,ZoneTable,2,FALSE)</f>
        <v>Manhattan</v>
      </c>
      <c r="E1282" t="str">
        <f>VLOOKUP(B1282,ZoneTable,3,FALSE)</f>
        <v>Washington Heights North</v>
      </c>
      <c r="F1282" t="str">
        <f>IF(OR(B1282=1,B1282=132,B1282=138),"Airports",D1282)</f>
        <v>Manhattan</v>
      </c>
    </row>
    <row r="1283" spans="1:6">
      <c r="A1283" s="33">
        <v>42125</v>
      </c>
      <c r="B1283">
        <v>244</v>
      </c>
      <c r="C1283">
        <v>10306</v>
      </c>
      <c r="D1283" t="str">
        <f>VLOOKUP(B1283,ZoneTable,2,FALSE)</f>
        <v>Manhattan</v>
      </c>
      <c r="E1283" t="str">
        <f>VLOOKUP(B1283,ZoneTable,3,FALSE)</f>
        <v>Washington Heights South</v>
      </c>
      <c r="F1283" t="str">
        <f>IF(OR(B1283=1,B1283=132,B1283=138),"Airports",D1283)</f>
        <v>Manhattan</v>
      </c>
    </row>
    <row r="1284" spans="1:6">
      <c r="A1284" s="33">
        <v>42125</v>
      </c>
      <c r="B1284">
        <v>245</v>
      </c>
      <c r="C1284">
        <v>111</v>
      </c>
      <c r="D1284" t="str">
        <f>VLOOKUP(B1284,ZoneTable,2,FALSE)</f>
        <v>Staten Island</v>
      </c>
      <c r="E1284" t="str">
        <f>VLOOKUP(B1284,ZoneTable,3,FALSE)</f>
        <v>West Brighton</v>
      </c>
      <c r="F1284" t="str">
        <f>IF(OR(B1284=1,B1284=132,B1284=138),"Airports",D1284)</f>
        <v>Staten Island</v>
      </c>
    </row>
    <row r="1285" spans="1:6">
      <c r="A1285" s="33">
        <v>42125</v>
      </c>
      <c r="B1285">
        <v>246</v>
      </c>
      <c r="C1285">
        <v>51963</v>
      </c>
      <c r="D1285" t="str">
        <f>VLOOKUP(B1285,ZoneTable,2,FALSE)</f>
        <v>Manhattan</v>
      </c>
      <c r="E1285" t="str">
        <f>VLOOKUP(B1285,ZoneTable,3,FALSE)</f>
        <v>West Chelsea/Hudson Yards</v>
      </c>
      <c r="F1285" t="str">
        <f>IF(OR(B1285=1,B1285=132,B1285=138),"Airports",D1285)</f>
        <v>Manhattan</v>
      </c>
    </row>
    <row r="1286" spans="1:6">
      <c r="A1286" s="33">
        <v>42125</v>
      </c>
      <c r="B1286">
        <v>247</v>
      </c>
      <c r="C1286">
        <v>3576</v>
      </c>
      <c r="D1286" t="str">
        <f>VLOOKUP(B1286,ZoneTable,2,FALSE)</f>
        <v>Bronx</v>
      </c>
      <c r="E1286" t="str">
        <f>VLOOKUP(B1286,ZoneTable,3,FALSE)</f>
        <v>West Concourse</v>
      </c>
      <c r="F1286" t="str">
        <f>IF(OR(B1286=1,B1286=132,B1286=138),"Airports",D1286)</f>
        <v>Bronx</v>
      </c>
    </row>
    <row r="1287" spans="1:6">
      <c r="A1287" s="33">
        <v>42125</v>
      </c>
      <c r="B1287">
        <v>248</v>
      </c>
      <c r="C1287">
        <v>892</v>
      </c>
      <c r="D1287" t="str">
        <f>VLOOKUP(B1287,ZoneTable,2,FALSE)</f>
        <v>Bronx</v>
      </c>
      <c r="E1287" t="str">
        <f>VLOOKUP(B1287,ZoneTable,3,FALSE)</f>
        <v>West Farms/Bronx River</v>
      </c>
      <c r="F1287" t="str">
        <f>IF(OR(B1287=1,B1287=132,B1287=138),"Airports",D1287)</f>
        <v>Bronx</v>
      </c>
    </row>
    <row r="1288" spans="1:6">
      <c r="A1288" s="33">
        <v>42125</v>
      </c>
      <c r="B1288">
        <v>249</v>
      </c>
      <c r="C1288">
        <v>59919</v>
      </c>
      <c r="D1288" t="str">
        <f>VLOOKUP(B1288,ZoneTable,2,FALSE)</f>
        <v>Manhattan</v>
      </c>
      <c r="E1288" t="str">
        <f>VLOOKUP(B1288,ZoneTable,3,FALSE)</f>
        <v>West Village</v>
      </c>
      <c r="F1288" t="str">
        <f>IF(OR(B1288=1,B1288=132,B1288=138),"Airports",D1288)</f>
        <v>Manhattan</v>
      </c>
    </row>
    <row r="1289" spans="1:6">
      <c r="A1289" s="33">
        <v>42125</v>
      </c>
      <c r="B1289">
        <v>250</v>
      </c>
      <c r="C1289">
        <v>986</v>
      </c>
      <c r="D1289" t="str">
        <f>VLOOKUP(B1289,ZoneTable,2,FALSE)</f>
        <v>Bronx</v>
      </c>
      <c r="E1289" t="str">
        <f>VLOOKUP(B1289,ZoneTable,3,FALSE)</f>
        <v>Westchester Village/Unionport</v>
      </c>
      <c r="F1289" t="str">
        <f>IF(OR(B1289=1,B1289=132,B1289=138),"Airports",D1289)</f>
        <v>Bronx</v>
      </c>
    </row>
    <row r="1290" spans="1:6">
      <c r="A1290" s="33">
        <v>42125</v>
      </c>
      <c r="B1290">
        <v>251</v>
      </c>
      <c r="C1290">
        <v>143</v>
      </c>
      <c r="D1290" t="str">
        <f>VLOOKUP(B1290,ZoneTable,2,FALSE)</f>
        <v>Staten Island</v>
      </c>
      <c r="E1290" t="str">
        <f>VLOOKUP(B1290,ZoneTable,3,FALSE)</f>
        <v>Westerleigh</v>
      </c>
      <c r="F1290" t="str">
        <f>IF(OR(B1290=1,B1290=132,B1290=138),"Airports",D1290)</f>
        <v>Staten Island</v>
      </c>
    </row>
    <row r="1291" spans="1:6">
      <c r="A1291" s="33">
        <v>42125</v>
      </c>
      <c r="B1291">
        <v>252</v>
      </c>
      <c r="C1291">
        <v>1109</v>
      </c>
      <c r="D1291" t="str">
        <f>VLOOKUP(B1291,ZoneTable,2,FALSE)</f>
        <v>Queens</v>
      </c>
      <c r="E1291" t="str">
        <f>VLOOKUP(B1291,ZoneTable,3,FALSE)</f>
        <v>Whitestone</v>
      </c>
      <c r="F1291" t="str">
        <f>IF(OR(B1291=1,B1291=132,B1291=138),"Airports",D1291)</f>
        <v>Queens</v>
      </c>
    </row>
    <row r="1292" spans="1:6">
      <c r="A1292" s="33">
        <v>42125</v>
      </c>
      <c r="B1292">
        <v>253</v>
      </c>
      <c r="C1292">
        <v>276</v>
      </c>
      <c r="D1292" t="str">
        <f>VLOOKUP(B1292,ZoneTable,2,FALSE)</f>
        <v>Queens</v>
      </c>
      <c r="E1292" t="str">
        <f>VLOOKUP(B1292,ZoneTable,3,FALSE)</f>
        <v>Willets Point</v>
      </c>
      <c r="F1292" t="str">
        <f>IF(OR(B1292=1,B1292=132,B1292=138),"Airports",D1292)</f>
        <v>Queens</v>
      </c>
    </row>
    <row r="1293" spans="1:6">
      <c r="A1293" s="33">
        <v>42125</v>
      </c>
      <c r="B1293">
        <v>254</v>
      </c>
      <c r="C1293">
        <v>1243</v>
      </c>
      <c r="D1293" t="str">
        <f>VLOOKUP(B1293,ZoneTable,2,FALSE)</f>
        <v>Bronx</v>
      </c>
      <c r="E1293" t="str">
        <f>VLOOKUP(B1293,ZoneTable,3,FALSE)</f>
        <v>Williamsbridge/Olinville</v>
      </c>
      <c r="F1293" t="str">
        <f>IF(OR(B1293=1,B1293=132,B1293=138),"Airports",D1293)</f>
        <v>Bronx</v>
      </c>
    </row>
    <row r="1294" spans="1:6">
      <c r="A1294" s="33">
        <v>42125</v>
      </c>
      <c r="B1294">
        <v>255</v>
      </c>
      <c r="C1294">
        <v>48230</v>
      </c>
      <c r="D1294" t="str">
        <f>VLOOKUP(B1294,ZoneTable,2,FALSE)</f>
        <v>Brooklyn</v>
      </c>
      <c r="E1294" t="str">
        <f>VLOOKUP(B1294,ZoneTable,3,FALSE)</f>
        <v>Williamsburg (North Side)</v>
      </c>
      <c r="F1294" t="str">
        <f>IF(OR(B1294=1,B1294=132,B1294=138),"Airports",D1294)</f>
        <v>Brooklyn</v>
      </c>
    </row>
    <row r="1295" spans="1:6">
      <c r="A1295" s="33">
        <v>42125</v>
      </c>
      <c r="B1295">
        <v>256</v>
      </c>
      <c r="C1295">
        <v>29521</v>
      </c>
      <c r="D1295" t="str">
        <f>VLOOKUP(B1295,ZoneTable,2,FALSE)</f>
        <v>Brooklyn</v>
      </c>
      <c r="E1295" t="str">
        <f>VLOOKUP(B1295,ZoneTable,3,FALSE)</f>
        <v>Williamsburg (South Side)</v>
      </c>
      <c r="F1295" t="str">
        <f>IF(OR(B1295=1,B1295=132,B1295=138),"Airports",D1295)</f>
        <v>Brooklyn</v>
      </c>
    </row>
    <row r="1296" spans="1:6">
      <c r="A1296" s="33">
        <v>42125</v>
      </c>
      <c r="B1296">
        <v>257</v>
      </c>
      <c r="C1296">
        <v>4365</v>
      </c>
      <c r="D1296" t="str">
        <f>VLOOKUP(B1296,ZoneTable,2,FALSE)</f>
        <v>Brooklyn</v>
      </c>
      <c r="E1296" t="str">
        <f>VLOOKUP(B1296,ZoneTable,3,FALSE)</f>
        <v>Windsor Terrace</v>
      </c>
      <c r="F1296" t="str">
        <f>IF(OR(B1296=1,B1296=132,B1296=138),"Airports",D1296)</f>
        <v>Brooklyn</v>
      </c>
    </row>
    <row r="1297" spans="1:6">
      <c r="A1297" s="33">
        <v>42125</v>
      </c>
      <c r="B1297">
        <v>258</v>
      </c>
      <c r="C1297">
        <v>2009</v>
      </c>
      <c r="D1297" t="str">
        <f>VLOOKUP(B1297,ZoneTable,2,FALSE)</f>
        <v>Queens</v>
      </c>
      <c r="E1297" t="str">
        <f>VLOOKUP(B1297,ZoneTable,3,FALSE)</f>
        <v>Woodhaven</v>
      </c>
      <c r="F1297" t="str">
        <f>IF(OR(B1297=1,B1297=132,B1297=138),"Airports",D1297)</f>
        <v>Queens</v>
      </c>
    </row>
    <row r="1298" spans="1:6">
      <c r="A1298" s="33">
        <v>42125</v>
      </c>
      <c r="B1298">
        <v>259</v>
      </c>
      <c r="C1298">
        <v>793</v>
      </c>
      <c r="D1298" t="str">
        <f>VLOOKUP(B1298,ZoneTable,2,FALSE)</f>
        <v>Bronx</v>
      </c>
      <c r="E1298" t="str">
        <f>VLOOKUP(B1298,ZoneTable,3,FALSE)</f>
        <v>Woodlawn/Wakefield</v>
      </c>
      <c r="F1298" t="str">
        <f>IF(OR(B1298=1,B1298=132,B1298=138),"Airports",D1298)</f>
        <v>Bronx</v>
      </c>
    </row>
    <row r="1299" spans="1:6">
      <c r="A1299" s="33">
        <v>42125</v>
      </c>
      <c r="B1299">
        <v>260</v>
      </c>
      <c r="C1299">
        <v>4104</v>
      </c>
      <c r="D1299" t="str">
        <f>VLOOKUP(B1299,ZoneTable,2,FALSE)</f>
        <v>Queens</v>
      </c>
      <c r="E1299" t="str">
        <f>VLOOKUP(B1299,ZoneTable,3,FALSE)</f>
        <v>Woodside</v>
      </c>
      <c r="F1299" t="str">
        <f>IF(OR(B1299=1,B1299=132,B1299=138),"Airports",D1299)</f>
        <v>Queens</v>
      </c>
    </row>
    <row r="1300" spans="1:6">
      <c r="A1300" s="33">
        <v>42125</v>
      </c>
      <c r="B1300">
        <v>261</v>
      </c>
      <c r="C1300">
        <v>12637</v>
      </c>
      <c r="D1300" t="str">
        <f>VLOOKUP(B1300,ZoneTable,2,FALSE)</f>
        <v>Manhattan</v>
      </c>
      <c r="E1300" t="str">
        <f>VLOOKUP(B1300,ZoneTable,3,FALSE)</f>
        <v>World Trade Center</v>
      </c>
      <c r="F1300" t="str">
        <f>IF(OR(B1300=1,B1300=132,B1300=138),"Airports",D1300)</f>
        <v>Manhattan</v>
      </c>
    </row>
    <row r="1301" spans="1:6">
      <c r="A1301" s="33">
        <v>42125</v>
      </c>
      <c r="B1301">
        <v>262</v>
      </c>
      <c r="C1301">
        <v>19660</v>
      </c>
      <c r="D1301" t="str">
        <f>VLOOKUP(B1301,ZoneTable,2,FALSE)</f>
        <v>Manhattan</v>
      </c>
      <c r="E1301" t="str">
        <f>VLOOKUP(B1301,ZoneTable,3,FALSE)</f>
        <v>Yorkville East</v>
      </c>
      <c r="F1301" t="str">
        <f>IF(OR(B1301=1,B1301=132,B1301=138),"Airports",D1301)</f>
        <v>Manhattan</v>
      </c>
    </row>
    <row r="1302" spans="1:6">
      <c r="A1302" s="33">
        <v>42125</v>
      </c>
      <c r="B1302">
        <v>263</v>
      </c>
      <c r="C1302">
        <v>24020</v>
      </c>
      <c r="D1302" t="str">
        <f>VLOOKUP(B1302,ZoneTable,2,FALSE)</f>
        <v>Manhattan</v>
      </c>
      <c r="E1302" t="str">
        <f>VLOOKUP(B1302,ZoneTable,3,FALSE)</f>
        <v>Yorkville West</v>
      </c>
      <c r="F1302" t="str">
        <f>IF(OR(B1302=1,B1302=132,B1302=138),"Airports",D1302)</f>
        <v>Manhattan</v>
      </c>
    </row>
    <row r="1303" spans="1:6">
      <c r="A1303" s="33">
        <v>42125</v>
      </c>
      <c r="B1303">
        <v>264</v>
      </c>
      <c r="C1303">
        <v>1</v>
      </c>
      <c r="D1303" t="str">
        <f>VLOOKUP(B1303,ZoneTable,2,FALSE)</f>
        <v>Unknown</v>
      </c>
      <c r="E1303" t="str">
        <f>VLOOKUP(B1303,ZoneTable,3,FALSE)</f>
        <v>Unknown</v>
      </c>
      <c r="F1303" t="str">
        <f>IF(OR(B1303=1,B1303=132,B1303=138),"Airports",D1303)</f>
        <v>Unknown</v>
      </c>
    </row>
    <row r="1304" spans="1:6">
      <c r="A1304" s="33">
        <v>42125</v>
      </c>
      <c r="B1304">
        <v>265</v>
      </c>
      <c r="C1304">
        <v>1277</v>
      </c>
      <c r="D1304" t="str">
        <f>VLOOKUP(B1304,ZoneTable,2,FALSE)</f>
        <v>Unknown</v>
      </c>
      <c r="E1304" t="str">
        <f>VLOOKUP(B1304,ZoneTable,3,FALSE)</f>
        <v>Unknown</v>
      </c>
      <c r="F1304" t="str">
        <f>IF(OR(B1304=1,B1304=132,B1304=138),"Airports",D1304)</f>
        <v>Unknown</v>
      </c>
    </row>
    <row r="1305" spans="1:6">
      <c r="A1305" s="33">
        <v>42156</v>
      </c>
      <c r="B1305">
        <v>1</v>
      </c>
      <c r="C1305">
        <v>29</v>
      </c>
      <c r="D1305" t="str">
        <f>VLOOKUP(B1305,ZoneTable,2,FALSE)</f>
        <v>EWR</v>
      </c>
      <c r="E1305" t="str">
        <f>VLOOKUP(B1305,ZoneTable,3,FALSE)</f>
        <v>Newark Airport</v>
      </c>
      <c r="F1305" t="str">
        <f>IF(OR(B1305=1,B1305=132,B1305=138),"Airports",D1305)</f>
        <v>Airports</v>
      </c>
    </row>
    <row r="1306" spans="1:6">
      <c r="A1306" s="33">
        <v>42156</v>
      </c>
      <c r="B1306">
        <v>2</v>
      </c>
      <c r="C1306">
        <v>1</v>
      </c>
      <c r="D1306" t="str">
        <f>VLOOKUP(B1306,ZoneTable,2,FALSE)</f>
        <v>Queens</v>
      </c>
      <c r="E1306" t="str">
        <f>VLOOKUP(B1306,ZoneTable,3,FALSE)</f>
        <v>Jamaica Bay</v>
      </c>
      <c r="F1306" t="str">
        <f>IF(OR(B1306=1,B1306=132,B1306=138),"Airports",D1306)</f>
        <v>Queens</v>
      </c>
    </row>
    <row r="1307" spans="1:6">
      <c r="A1307" s="33">
        <v>42156</v>
      </c>
      <c r="B1307">
        <v>3</v>
      </c>
      <c r="C1307">
        <v>860</v>
      </c>
      <c r="D1307" t="str">
        <f>VLOOKUP(B1307,ZoneTable,2,FALSE)</f>
        <v>Bronx</v>
      </c>
      <c r="E1307" t="str">
        <f>VLOOKUP(B1307,ZoneTable,3,FALSE)</f>
        <v>Allerton/Pelham Gardens</v>
      </c>
      <c r="F1307" t="str">
        <f>IF(OR(B1307=1,B1307=132,B1307=138),"Airports",D1307)</f>
        <v>Bronx</v>
      </c>
    </row>
    <row r="1308" spans="1:6">
      <c r="A1308" s="33">
        <v>42156</v>
      </c>
      <c r="B1308">
        <v>4</v>
      </c>
      <c r="C1308">
        <v>17608</v>
      </c>
      <c r="D1308" t="str">
        <f>VLOOKUP(B1308,ZoneTable,2,FALSE)</f>
        <v>Manhattan</v>
      </c>
      <c r="E1308" t="str">
        <f>VLOOKUP(B1308,ZoneTable,3,FALSE)</f>
        <v>Alphabet City</v>
      </c>
      <c r="F1308" t="str">
        <f>IF(OR(B1308=1,B1308=132,B1308=138),"Airports",D1308)</f>
        <v>Manhattan</v>
      </c>
    </row>
    <row r="1309" spans="1:6">
      <c r="A1309" s="33">
        <v>42156</v>
      </c>
      <c r="B1309">
        <v>5</v>
      </c>
      <c r="C1309">
        <v>10</v>
      </c>
      <c r="D1309" t="str">
        <f>VLOOKUP(B1309,ZoneTable,2,FALSE)</f>
        <v>Staten Island</v>
      </c>
      <c r="E1309" t="str">
        <f>VLOOKUP(B1309,ZoneTable,3,FALSE)</f>
        <v>Arden Heights</v>
      </c>
      <c r="F1309" t="str">
        <f>IF(OR(B1309=1,B1309=132,B1309=138),"Airports",D1309)</f>
        <v>Staten Island</v>
      </c>
    </row>
    <row r="1310" spans="1:6">
      <c r="A1310" s="33">
        <v>42156</v>
      </c>
      <c r="B1310">
        <v>6</v>
      </c>
      <c r="C1310">
        <v>145</v>
      </c>
      <c r="D1310" t="str">
        <f>VLOOKUP(B1310,ZoneTable,2,FALSE)</f>
        <v>Staten Island</v>
      </c>
      <c r="E1310" t="str">
        <f>VLOOKUP(B1310,ZoneTable,3,FALSE)</f>
        <v>Arrochar/Fort Wadsworth</v>
      </c>
      <c r="F1310" t="str">
        <f>IF(OR(B1310=1,B1310=132,B1310=138),"Airports",D1310)</f>
        <v>Staten Island</v>
      </c>
    </row>
    <row r="1311" spans="1:6">
      <c r="A1311" s="33">
        <v>42156</v>
      </c>
      <c r="B1311">
        <v>7</v>
      </c>
      <c r="C1311">
        <v>18384</v>
      </c>
      <c r="D1311" t="str">
        <f>VLOOKUP(B1311,ZoneTable,2,FALSE)</f>
        <v>Queens</v>
      </c>
      <c r="E1311" t="str">
        <f>VLOOKUP(B1311,ZoneTable,3,FALSE)</f>
        <v>Astoria</v>
      </c>
      <c r="F1311" t="str">
        <f>IF(OR(B1311=1,B1311=132,B1311=138),"Airports",D1311)</f>
        <v>Queens</v>
      </c>
    </row>
    <row r="1312" spans="1:6">
      <c r="A1312" s="33">
        <v>42156</v>
      </c>
      <c r="B1312">
        <v>8</v>
      </c>
      <c r="C1312">
        <v>97</v>
      </c>
      <c r="D1312" t="str">
        <f>VLOOKUP(B1312,ZoneTable,2,FALSE)</f>
        <v>Queens</v>
      </c>
      <c r="E1312" t="str">
        <f>VLOOKUP(B1312,ZoneTable,3,FALSE)</f>
        <v>Astoria Park</v>
      </c>
      <c r="F1312" t="str">
        <f>IF(OR(B1312=1,B1312=132,B1312=138),"Airports",D1312)</f>
        <v>Queens</v>
      </c>
    </row>
    <row r="1313" spans="1:6">
      <c r="A1313" s="33">
        <v>42156</v>
      </c>
      <c r="B1313">
        <v>9</v>
      </c>
      <c r="C1313">
        <v>647</v>
      </c>
      <c r="D1313" t="str">
        <f>VLOOKUP(B1313,ZoneTable,2,FALSE)</f>
        <v>Queens</v>
      </c>
      <c r="E1313" t="str">
        <f>VLOOKUP(B1313,ZoneTable,3,FALSE)</f>
        <v>Auburndale</v>
      </c>
      <c r="F1313" t="str">
        <f>IF(OR(B1313=1,B1313=132,B1313=138),"Airports",D1313)</f>
        <v>Queens</v>
      </c>
    </row>
    <row r="1314" spans="1:6">
      <c r="A1314" s="33">
        <v>42156</v>
      </c>
      <c r="B1314">
        <v>10</v>
      </c>
      <c r="C1314">
        <v>1697</v>
      </c>
      <c r="D1314" t="str">
        <f>VLOOKUP(B1314,ZoneTable,2,FALSE)</f>
        <v>Queens</v>
      </c>
      <c r="E1314" t="str">
        <f>VLOOKUP(B1314,ZoneTable,3,FALSE)</f>
        <v>Baisley Park</v>
      </c>
      <c r="F1314" t="str">
        <f>IF(OR(B1314=1,B1314=132,B1314=138),"Airports",D1314)</f>
        <v>Queens</v>
      </c>
    </row>
    <row r="1315" spans="1:6">
      <c r="A1315" s="33">
        <v>42156</v>
      </c>
      <c r="B1315">
        <v>11</v>
      </c>
      <c r="C1315">
        <v>709</v>
      </c>
      <c r="D1315" t="str">
        <f>VLOOKUP(B1315,ZoneTable,2,FALSE)</f>
        <v>Brooklyn</v>
      </c>
      <c r="E1315" t="str">
        <f>VLOOKUP(B1315,ZoneTable,3,FALSE)</f>
        <v>Bath Beach</v>
      </c>
      <c r="F1315" t="str">
        <f>IF(OR(B1315=1,B1315=132,B1315=138),"Airports",D1315)</f>
        <v>Brooklyn</v>
      </c>
    </row>
    <row r="1316" spans="1:6">
      <c r="A1316" s="33">
        <v>42156</v>
      </c>
      <c r="B1316">
        <v>12</v>
      </c>
      <c r="C1316">
        <v>710</v>
      </c>
      <c r="D1316" t="str">
        <f>VLOOKUP(B1316,ZoneTable,2,FALSE)</f>
        <v>Manhattan</v>
      </c>
      <c r="E1316" t="str">
        <f>VLOOKUP(B1316,ZoneTable,3,FALSE)</f>
        <v>Battery Park</v>
      </c>
      <c r="F1316" t="str">
        <f>IF(OR(B1316=1,B1316=132,B1316=138),"Airports",D1316)</f>
        <v>Manhattan</v>
      </c>
    </row>
    <row r="1317" spans="1:6">
      <c r="A1317" s="33">
        <v>42156</v>
      </c>
      <c r="B1317">
        <v>13</v>
      </c>
      <c r="C1317">
        <v>29335</v>
      </c>
      <c r="D1317" t="str">
        <f>VLOOKUP(B1317,ZoneTable,2,FALSE)</f>
        <v>Manhattan</v>
      </c>
      <c r="E1317" t="str">
        <f>VLOOKUP(B1317,ZoneTable,3,FALSE)</f>
        <v>Battery Park City</v>
      </c>
      <c r="F1317" t="str">
        <f>IF(OR(B1317=1,B1317=132,B1317=138),"Airports",D1317)</f>
        <v>Manhattan</v>
      </c>
    </row>
    <row r="1318" spans="1:6">
      <c r="A1318" s="33">
        <v>42156</v>
      </c>
      <c r="B1318">
        <v>14</v>
      </c>
      <c r="C1318">
        <v>7586</v>
      </c>
      <c r="D1318" t="str">
        <f>VLOOKUP(B1318,ZoneTable,2,FALSE)</f>
        <v>Brooklyn</v>
      </c>
      <c r="E1318" t="str">
        <f>VLOOKUP(B1318,ZoneTable,3,FALSE)</f>
        <v>Bay Ridge</v>
      </c>
      <c r="F1318" t="str">
        <f>IF(OR(B1318=1,B1318=132,B1318=138),"Airports",D1318)</f>
        <v>Brooklyn</v>
      </c>
    </row>
    <row r="1319" spans="1:6">
      <c r="A1319" s="33">
        <v>42156</v>
      </c>
      <c r="B1319">
        <v>15</v>
      </c>
      <c r="C1319">
        <v>685</v>
      </c>
      <c r="D1319" t="str">
        <f>VLOOKUP(B1319,ZoneTable,2,FALSE)</f>
        <v>Queens</v>
      </c>
      <c r="E1319" t="str">
        <f>VLOOKUP(B1319,ZoneTable,3,FALSE)</f>
        <v>Bay Terrace/Fort Totten</v>
      </c>
      <c r="F1319" t="str">
        <f>IF(OR(B1319=1,B1319=132,B1319=138),"Airports",D1319)</f>
        <v>Queens</v>
      </c>
    </row>
    <row r="1320" spans="1:6">
      <c r="A1320" s="33">
        <v>42156</v>
      </c>
      <c r="B1320">
        <v>16</v>
      </c>
      <c r="C1320">
        <v>1964</v>
      </c>
      <c r="D1320" t="str">
        <f>VLOOKUP(B1320,ZoneTable,2,FALSE)</f>
        <v>Queens</v>
      </c>
      <c r="E1320" t="str">
        <f>VLOOKUP(B1320,ZoneTable,3,FALSE)</f>
        <v>Bayside</v>
      </c>
      <c r="F1320" t="str">
        <f>IF(OR(B1320=1,B1320=132,B1320=138),"Airports",D1320)</f>
        <v>Queens</v>
      </c>
    </row>
    <row r="1321" spans="1:6">
      <c r="A1321" s="33">
        <v>42156</v>
      </c>
      <c r="B1321">
        <v>17</v>
      </c>
      <c r="C1321">
        <v>17455</v>
      </c>
      <c r="D1321" t="str">
        <f>VLOOKUP(B1321,ZoneTable,2,FALSE)</f>
        <v>Brooklyn</v>
      </c>
      <c r="E1321" t="str">
        <f>VLOOKUP(B1321,ZoneTable,3,FALSE)</f>
        <v>Bedford</v>
      </c>
      <c r="F1321" t="str">
        <f>IF(OR(B1321=1,B1321=132,B1321=138),"Airports",D1321)</f>
        <v>Brooklyn</v>
      </c>
    </row>
    <row r="1322" spans="1:6">
      <c r="A1322" s="33">
        <v>42156</v>
      </c>
      <c r="B1322">
        <v>18</v>
      </c>
      <c r="C1322">
        <v>1449</v>
      </c>
      <c r="D1322" t="str">
        <f>VLOOKUP(B1322,ZoneTable,2,FALSE)</f>
        <v>Bronx</v>
      </c>
      <c r="E1322" t="str">
        <f>VLOOKUP(B1322,ZoneTable,3,FALSE)</f>
        <v>Bedford Park</v>
      </c>
      <c r="F1322" t="str">
        <f>IF(OR(B1322=1,B1322=132,B1322=138),"Airports",D1322)</f>
        <v>Bronx</v>
      </c>
    </row>
    <row r="1323" spans="1:6">
      <c r="A1323" s="33">
        <v>42156</v>
      </c>
      <c r="B1323">
        <v>19</v>
      </c>
      <c r="C1323">
        <v>713</v>
      </c>
      <c r="D1323" t="str">
        <f>VLOOKUP(B1323,ZoneTable,2,FALSE)</f>
        <v>Queens</v>
      </c>
      <c r="E1323" t="str">
        <f>VLOOKUP(B1323,ZoneTable,3,FALSE)</f>
        <v>Bellerose</v>
      </c>
      <c r="F1323" t="str">
        <f>IF(OR(B1323=1,B1323=132,B1323=138),"Airports",D1323)</f>
        <v>Queens</v>
      </c>
    </row>
    <row r="1324" spans="1:6">
      <c r="A1324" s="33">
        <v>42156</v>
      </c>
      <c r="B1324">
        <v>20</v>
      </c>
      <c r="C1324">
        <v>1692</v>
      </c>
      <c r="D1324" t="str">
        <f>VLOOKUP(B1324,ZoneTable,2,FALSE)</f>
        <v>Bronx</v>
      </c>
      <c r="E1324" t="str">
        <f>VLOOKUP(B1324,ZoneTable,3,FALSE)</f>
        <v>Belmont</v>
      </c>
      <c r="F1324" t="str">
        <f>IF(OR(B1324=1,B1324=132,B1324=138),"Airports",D1324)</f>
        <v>Bronx</v>
      </c>
    </row>
    <row r="1325" spans="1:6">
      <c r="A1325" s="33">
        <v>42156</v>
      </c>
      <c r="B1325">
        <v>21</v>
      </c>
      <c r="C1325">
        <v>1870</v>
      </c>
      <c r="D1325" t="str">
        <f>VLOOKUP(B1325,ZoneTable,2,FALSE)</f>
        <v>Brooklyn</v>
      </c>
      <c r="E1325" t="str">
        <f>VLOOKUP(B1325,ZoneTable,3,FALSE)</f>
        <v>Bensonhurst East</v>
      </c>
      <c r="F1325" t="str">
        <f>IF(OR(B1325=1,B1325=132,B1325=138),"Airports",D1325)</f>
        <v>Brooklyn</v>
      </c>
    </row>
    <row r="1326" spans="1:6">
      <c r="A1326" s="33">
        <v>42156</v>
      </c>
      <c r="B1326">
        <v>22</v>
      </c>
      <c r="C1326">
        <v>2245</v>
      </c>
      <c r="D1326" t="str">
        <f>VLOOKUP(B1326,ZoneTable,2,FALSE)</f>
        <v>Brooklyn</v>
      </c>
      <c r="E1326" t="str">
        <f>VLOOKUP(B1326,ZoneTable,3,FALSE)</f>
        <v>Bensonhurst West</v>
      </c>
      <c r="F1326" t="str">
        <f>IF(OR(B1326=1,B1326=132,B1326=138),"Airports",D1326)</f>
        <v>Brooklyn</v>
      </c>
    </row>
    <row r="1327" spans="1:6">
      <c r="A1327" s="33">
        <v>42156</v>
      </c>
      <c r="B1327">
        <v>23</v>
      </c>
      <c r="C1327">
        <v>195</v>
      </c>
      <c r="D1327" t="str">
        <f>VLOOKUP(B1327,ZoneTable,2,FALSE)</f>
        <v>Staten Island</v>
      </c>
      <c r="E1327" t="str">
        <f>VLOOKUP(B1327,ZoneTable,3,FALSE)</f>
        <v>Bloomfield/Emerson Hill</v>
      </c>
      <c r="F1327" t="str">
        <f>IF(OR(B1327=1,B1327=132,B1327=138),"Airports",D1327)</f>
        <v>Staten Island</v>
      </c>
    </row>
    <row r="1328" spans="1:6">
      <c r="A1328" s="33">
        <v>42156</v>
      </c>
      <c r="B1328">
        <v>24</v>
      </c>
      <c r="C1328">
        <v>4585</v>
      </c>
      <c r="D1328" t="str">
        <f>VLOOKUP(B1328,ZoneTable,2,FALSE)</f>
        <v>Manhattan</v>
      </c>
      <c r="E1328" t="str">
        <f>VLOOKUP(B1328,ZoneTable,3,FALSE)</f>
        <v>Bloomingdale</v>
      </c>
      <c r="F1328" t="str">
        <f>IF(OR(B1328=1,B1328=132,B1328=138),"Airports",D1328)</f>
        <v>Manhattan</v>
      </c>
    </row>
    <row r="1329" spans="1:6">
      <c r="A1329" s="33">
        <v>42156</v>
      </c>
      <c r="B1329">
        <v>25</v>
      </c>
      <c r="C1329">
        <v>13985</v>
      </c>
      <c r="D1329" t="str">
        <f>VLOOKUP(B1329,ZoneTable,2,FALSE)</f>
        <v>Brooklyn</v>
      </c>
      <c r="E1329" t="str">
        <f>VLOOKUP(B1329,ZoneTable,3,FALSE)</f>
        <v>Boerum Hill</v>
      </c>
      <c r="F1329" t="str">
        <f>IF(OR(B1329=1,B1329=132,B1329=138),"Airports",D1329)</f>
        <v>Brooklyn</v>
      </c>
    </row>
    <row r="1330" spans="1:6">
      <c r="A1330" s="33">
        <v>42156</v>
      </c>
      <c r="B1330">
        <v>26</v>
      </c>
      <c r="C1330">
        <v>3653</v>
      </c>
      <c r="D1330" t="str">
        <f>VLOOKUP(B1330,ZoneTable,2,FALSE)</f>
        <v>Brooklyn</v>
      </c>
      <c r="E1330" t="str">
        <f>VLOOKUP(B1330,ZoneTable,3,FALSE)</f>
        <v>Borough Park</v>
      </c>
      <c r="F1330" t="str">
        <f>IF(OR(B1330=1,B1330=132,B1330=138),"Airports",D1330)</f>
        <v>Brooklyn</v>
      </c>
    </row>
    <row r="1331" spans="1:6">
      <c r="A1331" s="33">
        <v>42156</v>
      </c>
      <c r="B1331">
        <v>27</v>
      </c>
      <c r="C1331">
        <v>42</v>
      </c>
      <c r="D1331" t="str">
        <f>VLOOKUP(B1331,ZoneTable,2,FALSE)</f>
        <v>Queens</v>
      </c>
      <c r="E1331" t="str">
        <f>VLOOKUP(B1331,ZoneTable,3,FALSE)</f>
        <v>Breezy Point/Fort Tilden/Riis Beach</v>
      </c>
      <c r="F1331" t="str">
        <f>IF(OR(B1331=1,B1331=132,B1331=138),"Airports",D1331)</f>
        <v>Queens</v>
      </c>
    </row>
    <row r="1332" spans="1:6">
      <c r="A1332" s="33">
        <v>42156</v>
      </c>
      <c r="B1332">
        <v>28</v>
      </c>
      <c r="C1332">
        <v>2339</v>
      </c>
      <c r="D1332" t="str">
        <f>VLOOKUP(B1332,ZoneTable,2,FALSE)</f>
        <v>Queens</v>
      </c>
      <c r="E1332" t="str">
        <f>VLOOKUP(B1332,ZoneTable,3,FALSE)</f>
        <v>Briarwood/Jamaica Hills</v>
      </c>
      <c r="F1332" t="str">
        <f>IF(OR(B1332=1,B1332=132,B1332=138),"Airports",D1332)</f>
        <v>Queens</v>
      </c>
    </row>
    <row r="1333" spans="1:6">
      <c r="A1333" s="33">
        <v>42156</v>
      </c>
      <c r="B1333">
        <v>29</v>
      </c>
      <c r="C1333">
        <v>1000</v>
      </c>
      <c r="D1333" t="str">
        <f>VLOOKUP(B1333,ZoneTable,2,FALSE)</f>
        <v>Brooklyn</v>
      </c>
      <c r="E1333" t="str">
        <f>VLOOKUP(B1333,ZoneTable,3,FALSE)</f>
        <v>Brighton Beach</v>
      </c>
      <c r="F1333" t="str">
        <f>IF(OR(B1333=1,B1333=132,B1333=138),"Airports",D1333)</f>
        <v>Brooklyn</v>
      </c>
    </row>
    <row r="1334" spans="1:6">
      <c r="A1334" s="33">
        <v>42156</v>
      </c>
      <c r="B1334">
        <v>30</v>
      </c>
      <c r="C1334">
        <v>13</v>
      </c>
      <c r="D1334" t="str">
        <f>VLOOKUP(B1334,ZoneTable,2,FALSE)</f>
        <v>Queens</v>
      </c>
      <c r="E1334" t="str">
        <f>VLOOKUP(B1334,ZoneTable,3,FALSE)</f>
        <v>Broad Channel</v>
      </c>
      <c r="F1334" t="str">
        <f>IF(OR(B1334=1,B1334=132,B1334=138),"Airports",D1334)</f>
        <v>Queens</v>
      </c>
    </row>
    <row r="1335" spans="1:6">
      <c r="A1335" s="33">
        <v>42156</v>
      </c>
      <c r="B1335">
        <v>31</v>
      </c>
      <c r="C1335">
        <v>676</v>
      </c>
      <c r="D1335" t="str">
        <f>VLOOKUP(B1335,ZoneTable,2,FALSE)</f>
        <v>Bronx</v>
      </c>
      <c r="E1335" t="str">
        <f>VLOOKUP(B1335,ZoneTable,3,FALSE)</f>
        <v>Bronx Park</v>
      </c>
      <c r="F1335" t="str">
        <f>IF(OR(B1335=1,B1335=132,B1335=138),"Airports",D1335)</f>
        <v>Bronx</v>
      </c>
    </row>
    <row r="1336" spans="1:6">
      <c r="A1336" s="33">
        <v>42156</v>
      </c>
      <c r="B1336">
        <v>32</v>
      </c>
      <c r="C1336">
        <v>920</v>
      </c>
      <c r="D1336" t="str">
        <f>VLOOKUP(B1336,ZoneTable,2,FALSE)</f>
        <v>Bronx</v>
      </c>
      <c r="E1336" t="str">
        <f>VLOOKUP(B1336,ZoneTable,3,FALSE)</f>
        <v>Bronxdale</v>
      </c>
      <c r="F1336" t="str">
        <f>IF(OR(B1336=1,B1336=132,B1336=138),"Airports",D1336)</f>
        <v>Bronx</v>
      </c>
    </row>
    <row r="1337" spans="1:6">
      <c r="A1337" s="33">
        <v>42156</v>
      </c>
      <c r="B1337">
        <v>33</v>
      </c>
      <c r="C1337">
        <v>15627</v>
      </c>
      <c r="D1337" t="str">
        <f>VLOOKUP(B1337,ZoneTable,2,FALSE)</f>
        <v>Brooklyn</v>
      </c>
      <c r="E1337" t="str">
        <f>VLOOKUP(B1337,ZoneTable,3,FALSE)</f>
        <v>Brooklyn Heights</v>
      </c>
      <c r="F1337" t="str">
        <f>IF(OR(B1337=1,B1337=132,B1337=138),"Airports",D1337)</f>
        <v>Brooklyn</v>
      </c>
    </row>
    <row r="1338" spans="1:6">
      <c r="A1338" s="33">
        <v>42156</v>
      </c>
      <c r="B1338">
        <v>34</v>
      </c>
      <c r="C1338">
        <v>2054</v>
      </c>
      <c r="D1338" t="str">
        <f>VLOOKUP(B1338,ZoneTable,2,FALSE)</f>
        <v>Brooklyn</v>
      </c>
      <c r="E1338" t="str">
        <f>VLOOKUP(B1338,ZoneTable,3,FALSE)</f>
        <v>Brooklyn Navy Yard</v>
      </c>
      <c r="F1338" t="str">
        <f>IF(OR(B1338=1,B1338=132,B1338=138),"Airports",D1338)</f>
        <v>Brooklyn</v>
      </c>
    </row>
    <row r="1339" spans="1:6">
      <c r="A1339" s="33">
        <v>42156</v>
      </c>
      <c r="B1339">
        <v>35</v>
      </c>
      <c r="C1339">
        <v>2230</v>
      </c>
      <c r="D1339" t="str">
        <f>VLOOKUP(B1339,ZoneTable,2,FALSE)</f>
        <v>Brooklyn</v>
      </c>
      <c r="E1339" t="str">
        <f>VLOOKUP(B1339,ZoneTable,3,FALSE)</f>
        <v>Brownsville</v>
      </c>
      <c r="F1339" t="str">
        <f>IF(OR(B1339=1,B1339=132,B1339=138),"Airports",D1339)</f>
        <v>Brooklyn</v>
      </c>
    </row>
    <row r="1340" spans="1:6">
      <c r="A1340" s="33">
        <v>42156</v>
      </c>
      <c r="B1340">
        <v>36</v>
      </c>
      <c r="C1340">
        <v>16938</v>
      </c>
      <c r="D1340" t="str">
        <f>VLOOKUP(B1340,ZoneTable,2,FALSE)</f>
        <v>Brooklyn</v>
      </c>
      <c r="E1340" t="str">
        <f>VLOOKUP(B1340,ZoneTable,3,FALSE)</f>
        <v>Bushwick North</v>
      </c>
      <c r="F1340" t="str">
        <f>IF(OR(B1340=1,B1340=132,B1340=138),"Airports",D1340)</f>
        <v>Brooklyn</v>
      </c>
    </row>
    <row r="1341" spans="1:6">
      <c r="A1341" s="33">
        <v>42156</v>
      </c>
      <c r="B1341">
        <v>37</v>
      </c>
      <c r="C1341">
        <v>22380</v>
      </c>
      <c r="D1341" t="str">
        <f>VLOOKUP(B1341,ZoneTable,2,FALSE)</f>
        <v>Brooklyn</v>
      </c>
      <c r="E1341" t="str">
        <f>VLOOKUP(B1341,ZoneTable,3,FALSE)</f>
        <v>Bushwick South</v>
      </c>
      <c r="F1341" t="str">
        <f>IF(OR(B1341=1,B1341=132,B1341=138),"Airports",D1341)</f>
        <v>Brooklyn</v>
      </c>
    </row>
    <row r="1342" spans="1:6">
      <c r="A1342" s="33">
        <v>42156</v>
      </c>
      <c r="B1342">
        <v>38</v>
      </c>
      <c r="C1342">
        <v>516</v>
      </c>
      <c r="D1342" t="str">
        <f>VLOOKUP(B1342,ZoneTable,2,FALSE)</f>
        <v>Queens</v>
      </c>
      <c r="E1342" t="str">
        <f>VLOOKUP(B1342,ZoneTable,3,FALSE)</f>
        <v>Cambria Heights</v>
      </c>
      <c r="F1342" t="str">
        <f>IF(OR(B1342=1,B1342=132,B1342=138),"Airports",D1342)</f>
        <v>Queens</v>
      </c>
    </row>
    <row r="1343" spans="1:6">
      <c r="A1343" s="33">
        <v>42156</v>
      </c>
      <c r="B1343">
        <v>39</v>
      </c>
      <c r="C1343">
        <v>3680</v>
      </c>
      <c r="D1343" t="str">
        <f>VLOOKUP(B1343,ZoneTable,2,FALSE)</f>
        <v>Brooklyn</v>
      </c>
      <c r="E1343" t="str">
        <f>VLOOKUP(B1343,ZoneTable,3,FALSE)</f>
        <v>Canarsie</v>
      </c>
      <c r="F1343" t="str">
        <f>IF(OR(B1343=1,B1343=132,B1343=138),"Airports",D1343)</f>
        <v>Brooklyn</v>
      </c>
    </row>
    <row r="1344" spans="1:6">
      <c r="A1344" s="33">
        <v>42156</v>
      </c>
      <c r="B1344">
        <v>40</v>
      </c>
      <c r="C1344">
        <v>8554</v>
      </c>
      <c r="D1344" t="str">
        <f>VLOOKUP(B1344,ZoneTable,2,FALSE)</f>
        <v>Brooklyn</v>
      </c>
      <c r="E1344" t="str">
        <f>VLOOKUP(B1344,ZoneTable,3,FALSE)</f>
        <v>Carroll Gardens</v>
      </c>
      <c r="F1344" t="str">
        <f>IF(OR(B1344=1,B1344=132,B1344=138),"Airports",D1344)</f>
        <v>Brooklyn</v>
      </c>
    </row>
    <row r="1345" spans="1:6">
      <c r="A1345" s="33">
        <v>42156</v>
      </c>
      <c r="B1345">
        <v>41</v>
      </c>
      <c r="C1345">
        <v>13366</v>
      </c>
      <c r="D1345" t="str">
        <f>VLOOKUP(B1345,ZoneTable,2,FALSE)</f>
        <v>Manhattan</v>
      </c>
      <c r="E1345" t="str">
        <f>VLOOKUP(B1345,ZoneTable,3,FALSE)</f>
        <v>Central Harlem</v>
      </c>
      <c r="F1345" t="str">
        <f>IF(OR(B1345=1,B1345=132,B1345=138),"Airports",D1345)</f>
        <v>Manhattan</v>
      </c>
    </row>
    <row r="1346" spans="1:6">
      <c r="A1346" s="33">
        <v>42156</v>
      </c>
      <c r="B1346">
        <v>42</v>
      </c>
      <c r="C1346">
        <v>12730</v>
      </c>
      <c r="D1346" t="str">
        <f>VLOOKUP(B1346,ZoneTable,2,FALSE)</f>
        <v>Manhattan</v>
      </c>
      <c r="E1346" t="str">
        <f>VLOOKUP(B1346,ZoneTable,3,FALSE)</f>
        <v>Central Harlem North</v>
      </c>
      <c r="F1346" t="str">
        <f>IF(OR(B1346=1,B1346=132,B1346=138),"Airports",D1346)</f>
        <v>Manhattan</v>
      </c>
    </row>
    <row r="1347" spans="1:6">
      <c r="A1347" s="33">
        <v>42156</v>
      </c>
      <c r="B1347">
        <v>43</v>
      </c>
      <c r="C1347">
        <v>9695</v>
      </c>
      <c r="D1347" t="str">
        <f>VLOOKUP(B1347,ZoneTable,2,FALSE)</f>
        <v>Manhattan</v>
      </c>
      <c r="E1347" t="str">
        <f>VLOOKUP(B1347,ZoneTable,3,FALSE)</f>
        <v>Central Park</v>
      </c>
      <c r="F1347" t="str">
        <f>IF(OR(B1347=1,B1347=132,B1347=138),"Airports",D1347)</f>
        <v>Manhattan</v>
      </c>
    </row>
    <row r="1348" spans="1:6">
      <c r="A1348" s="33">
        <v>42156</v>
      </c>
      <c r="B1348">
        <v>44</v>
      </c>
      <c r="C1348">
        <v>8</v>
      </c>
      <c r="D1348" t="str">
        <f>VLOOKUP(B1348,ZoneTable,2,FALSE)</f>
        <v>Staten Island</v>
      </c>
      <c r="E1348" t="str">
        <f>VLOOKUP(B1348,ZoneTable,3,FALSE)</f>
        <v>Charleston/Tottenville</v>
      </c>
      <c r="F1348" t="str">
        <f>IF(OR(B1348=1,B1348=132,B1348=138),"Airports",D1348)</f>
        <v>Staten Island</v>
      </c>
    </row>
    <row r="1349" spans="1:6">
      <c r="A1349" s="33">
        <v>42156</v>
      </c>
      <c r="B1349">
        <v>45</v>
      </c>
      <c r="C1349">
        <v>8706</v>
      </c>
      <c r="D1349" t="str">
        <f>VLOOKUP(B1349,ZoneTable,2,FALSE)</f>
        <v>Manhattan</v>
      </c>
      <c r="E1349" t="str">
        <f>VLOOKUP(B1349,ZoneTable,3,FALSE)</f>
        <v>Chinatown</v>
      </c>
      <c r="F1349" t="str">
        <f>IF(OR(B1349=1,B1349=132,B1349=138),"Airports",D1349)</f>
        <v>Manhattan</v>
      </c>
    </row>
    <row r="1350" spans="1:6">
      <c r="A1350" s="33">
        <v>42156</v>
      </c>
      <c r="B1350">
        <v>46</v>
      </c>
      <c r="C1350">
        <v>85</v>
      </c>
      <c r="D1350" t="str">
        <f>VLOOKUP(B1350,ZoneTable,2,FALSE)</f>
        <v>Bronx</v>
      </c>
      <c r="E1350" t="str">
        <f>VLOOKUP(B1350,ZoneTable,3,FALSE)</f>
        <v>City Island</v>
      </c>
      <c r="F1350" t="str">
        <f>IF(OR(B1350=1,B1350=132,B1350=138),"Airports",D1350)</f>
        <v>Bronx</v>
      </c>
    </row>
    <row r="1351" spans="1:6">
      <c r="A1351" s="33">
        <v>42156</v>
      </c>
      <c r="B1351">
        <v>47</v>
      </c>
      <c r="C1351">
        <v>920</v>
      </c>
      <c r="D1351" t="str">
        <f>VLOOKUP(B1351,ZoneTable,2,FALSE)</f>
        <v>Bronx</v>
      </c>
      <c r="E1351" t="str">
        <f>VLOOKUP(B1351,ZoneTable,3,FALSE)</f>
        <v>Claremont/Bathgate</v>
      </c>
      <c r="F1351" t="str">
        <f>IF(OR(B1351=1,B1351=132,B1351=138),"Airports",D1351)</f>
        <v>Bronx</v>
      </c>
    </row>
    <row r="1352" spans="1:6">
      <c r="A1352" s="33">
        <v>42156</v>
      </c>
      <c r="B1352">
        <v>48</v>
      </c>
      <c r="C1352">
        <v>52539</v>
      </c>
      <c r="D1352" t="str">
        <f>VLOOKUP(B1352,ZoneTable,2,FALSE)</f>
        <v>Manhattan</v>
      </c>
      <c r="E1352" t="str">
        <f>VLOOKUP(B1352,ZoneTable,3,FALSE)</f>
        <v>Clinton East</v>
      </c>
      <c r="F1352" t="str">
        <f>IF(OR(B1352=1,B1352=132,B1352=138),"Airports",D1352)</f>
        <v>Manhattan</v>
      </c>
    </row>
    <row r="1353" spans="1:6">
      <c r="A1353" s="33">
        <v>42156</v>
      </c>
      <c r="B1353">
        <v>49</v>
      </c>
      <c r="C1353">
        <v>17756</v>
      </c>
      <c r="D1353" t="str">
        <f>VLOOKUP(B1353,ZoneTable,2,FALSE)</f>
        <v>Brooklyn</v>
      </c>
      <c r="E1353" t="str">
        <f>VLOOKUP(B1353,ZoneTable,3,FALSE)</f>
        <v>Clinton Hill</v>
      </c>
      <c r="F1353" t="str">
        <f>IF(OR(B1353=1,B1353=132,B1353=138),"Airports",D1353)</f>
        <v>Brooklyn</v>
      </c>
    </row>
    <row r="1354" spans="1:6">
      <c r="A1354" s="33">
        <v>42156</v>
      </c>
      <c r="B1354">
        <v>50</v>
      </c>
      <c r="C1354">
        <v>31129</v>
      </c>
      <c r="D1354" t="str">
        <f>VLOOKUP(B1354,ZoneTable,2,FALSE)</f>
        <v>Manhattan</v>
      </c>
      <c r="E1354" t="str">
        <f>VLOOKUP(B1354,ZoneTable,3,FALSE)</f>
        <v>Clinton West</v>
      </c>
      <c r="F1354" t="str">
        <f>IF(OR(B1354=1,B1354=132,B1354=138),"Airports",D1354)</f>
        <v>Manhattan</v>
      </c>
    </row>
    <row r="1355" spans="1:6">
      <c r="A1355" s="33">
        <v>42156</v>
      </c>
      <c r="B1355">
        <v>51</v>
      </c>
      <c r="C1355">
        <v>930</v>
      </c>
      <c r="D1355" t="str">
        <f>VLOOKUP(B1355,ZoneTable,2,FALSE)</f>
        <v>Bronx</v>
      </c>
      <c r="E1355" t="str">
        <f>VLOOKUP(B1355,ZoneTable,3,FALSE)</f>
        <v>Co-Op City</v>
      </c>
      <c r="F1355" t="str">
        <f>IF(OR(B1355=1,B1355=132,B1355=138),"Airports",D1355)</f>
        <v>Bronx</v>
      </c>
    </row>
    <row r="1356" spans="1:6">
      <c r="A1356" s="33">
        <v>42156</v>
      </c>
      <c r="B1356">
        <v>52</v>
      </c>
      <c r="C1356">
        <v>4989</v>
      </c>
      <c r="D1356" t="str">
        <f>VLOOKUP(B1356,ZoneTable,2,FALSE)</f>
        <v>Brooklyn</v>
      </c>
      <c r="E1356" t="str">
        <f>VLOOKUP(B1356,ZoneTable,3,FALSE)</f>
        <v>Cobble Hill</v>
      </c>
      <c r="F1356" t="str">
        <f>IF(OR(B1356=1,B1356=132,B1356=138),"Airports",D1356)</f>
        <v>Brooklyn</v>
      </c>
    </row>
    <row r="1357" spans="1:6">
      <c r="A1357" s="33">
        <v>42156</v>
      </c>
      <c r="B1357">
        <v>53</v>
      </c>
      <c r="C1357">
        <v>799</v>
      </c>
      <c r="D1357" t="str">
        <f>VLOOKUP(B1357,ZoneTable,2,FALSE)</f>
        <v>Queens</v>
      </c>
      <c r="E1357" t="str">
        <f>VLOOKUP(B1357,ZoneTable,3,FALSE)</f>
        <v>College Point</v>
      </c>
      <c r="F1357" t="str">
        <f>IF(OR(B1357=1,B1357=132,B1357=138),"Airports",D1357)</f>
        <v>Queens</v>
      </c>
    </row>
    <row r="1358" spans="1:6">
      <c r="A1358" s="33">
        <v>42156</v>
      </c>
      <c r="B1358">
        <v>54</v>
      </c>
      <c r="C1358">
        <v>2463</v>
      </c>
      <c r="D1358" t="str">
        <f>VLOOKUP(B1358,ZoneTable,2,FALSE)</f>
        <v>Brooklyn</v>
      </c>
      <c r="E1358" t="str">
        <f>VLOOKUP(B1358,ZoneTable,3,FALSE)</f>
        <v>Columbia Street</v>
      </c>
      <c r="F1358" t="str">
        <f>IF(OR(B1358=1,B1358=132,B1358=138),"Airports",D1358)</f>
        <v>Brooklyn</v>
      </c>
    </row>
    <row r="1359" spans="1:6">
      <c r="A1359" s="33">
        <v>42156</v>
      </c>
      <c r="B1359">
        <v>55</v>
      </c>
      <c r="C1359">
        <v>1659</v>
      </c>
      <c r="D1359" t="str">
        <f>VLOOKUP(B1359,ZoneTable,2,FALSE)</f>
        <v>Brooklyn</v>
      </c>
      <c r="E1359" t="str">
        <f>VLOOKUP(B1359,ZoneTable,3,FALSE)</f>
        <v>Coney Island</v>
      </c>
      <c r="F1359" t="str">
        <f>IF(OR(B1359=1,B1359=132,B1359=138),"Airports",D1359)</f>
        <v>Brooklyn</v>
      </c>
    </row>
    <row r="1360" spans="1:6">
      <c r="A1360" s="33">
        <v>42156</v>
      </c>
      <c r="B1360">
        <v>56</v>
      </c>
      <c r="C1360">
        <v>1918</v>
      </c>
      <c r="D1360" t="str">
        <f>VLOOKUP(B1360,ZoneTable,2,FALSE)</f>
        <v>Queens</v>
      </c>
      <c r="E1360" t="str">
        <f>VLOOKUP(B1360,ZoneTable,3,FALSE)</f>
        <v>Corona</v>
      </c>
      <c r="F1360" t="str">
        <f>IF(OR(B1360=1,B1360=132,B1360=138),"Airports",D1360)</f>
        <v>Queens</v>
      </c>
    </row>
    <row r="1361" spans="1:6">
      <c r="A1361" s="33">
        <v>42156</v>
      </c>
      <c r="B1361">
        <v>57</v>
      </c>
      <c r="C1361">
        <v>180</v>
      </c>
      <c r="D1361" t="str">
        <f>VLOOKUP(B1361,ZoneTable,2,FALSE)</f>
        <v>Queens</v>
      </c>
      <c r="E1361" t="str">
        <f>VLOOKUP(B1361,ZoneTable,3,FALSE)</f>
        <v>Corona</v>
      </c>
      <c r="F1361" t="str">
        <f>IF(OR(B1361=1,B1361=132,B1361=138),"Airports",D1361)</f>
        <v>Queens</v>
      </c>
    </row>
    <row r="1362" spans="1:6">
      <c r="A1362" s="33">
        <v>42156</v>
      </c>
      <c r="B1362">
        <v>58</v>
      </c>
      <c r="C1362">
        <v>119</v>
      </c>
      <c r="D1362" t="str">
        <f>VLOOKUP(B1362,ZoneTable,2,FALSE)</f>
        <v>Bronx</v>
      </c>
      <c r="E1362" t="str">
        <f>VLOOKUP(B1362,ZoneTable,3,FALSE)</f>
        <v>Country Club</v>
      </c>
      <c r="F1362" t="str">
        <f>IF(OR(B1362=1,B1362=132,B1362=138),"Airports",D1362)</f>
        <v>Bronx</v>
      </c>
    </row>
    <row r="1363" spans="1:6">
      <c r="A1363" s="33">
        <v>42156</v>
      </c>
      <c r="B1363">
        <v>59</v>
      </c>
      <c r="C1363">
        <v>50</v>
      </c>
      <c r="D1363" t="str">
        <f>VLOOKUP(B1363,ZoneTable,2,FALSE)</f>
        <v>Bronx</v>
      </c>
      <c r="E1363" t="str">
        <f>VLOOKUP(B1363,ZoneTable,3,FALSE)</f>
        <v>Crotona Park</v>
      </c>
      <c r="F1363" t="str">
        <f>IF(OR(B1363=1,B1363=132,B1363=138),"Airports",D1363)</f>
        <v>Bronx</v>
      </c>
    </row>
    <row r="1364" spans="1:6">
      <c r="A1364" s="33">
        <v>42156</v>
      </c>
      <c r="B1364">
        <v>60</v>
      </c>
      <c r="C1364">
        <v>549</v>
      </c>
      <c r="D1364" t="str">
        <f>VLOOKUP(B1364,ZoneTable,2,FALSE)</f>
        <v>Bronx</v>
      </c>
      <c r="E1364" t="str">
        <f>VLOOKUP(B1364,ZoneTable,3,FALSE)</f>
        <v>Crotona Park East</v>
      </c>
      <c r="F1364" t="str">
        <f>IF(OR(B1364=1,B1364=132,B1364=138),"Airports",D1364)</f>
        <v>Bronx</v>
      </c>
    </row>
    <row r="1365" spans="1:6">
      <c r="A1365" s="33">
        <v>42156</v>
      </c>
      <c r="B1365">
        <v>61</v>
      </c>
      <c r="C1365">
        <v>23194</v>
      </c>
      <c r="D1365" t="str">
        <f>VLOOKUP(B1365,ZoneTable,2,FALSE)</f>
        <v>Brooklyn</v>
      </c>
      <c r="E1365" t="str">
        <f>VLOOKUP(B1365,ZoneTable,3,FALSE)</f>
        <v>Crown Heights North</v>
      </c>
      <c r="F1365" t="str">
        <f>IF(OR(B1365=1,B1365=132,B1365=138),"Airports",D1365)</f>
        <v>Brooklyn</v>
      </c>
    </row>
    <row r="1366" spans="1:6">
      <c r="A1366" s="33">
        <v>42156</v>
      </c>
      <c r="B1366">
        <v>62</v>
      </c>
      <c r="C1366">
        <v>5472</v>
      </c>
      <c r="D1366" t="str">
        <f>VLOOKUP(B1366,ZoneTable,2,FALSE)</f>
        <v>Brooklyn</v>
      </c>
      <c r="E1366" t="str">
        <f>VLOOKUP(B1366,ZoneTable,3,FALSE)</f>
        <v>Crown Heights South</v>
      </c>
      <c r="F1366" t="str">
        <f>IF(OR(B1366=1,B1366=132,B1366=138),"Airports",D1366)</f>
        <v>Brooklyn</v>
      </c>
    </row>
    <row r="1367" spans="1:6">
      <c r="A1367" s="33">
        <v>42156</v>
      </c>
      <c r="B1367">
        <v>63</v>
      </c>
      <c r="C1367">
        <v>1373</v>
      </c>
      <c r="D1367" t="str">
        <f>VLOOKUP(B1367,ZoneTable,2,FALSE)</f>
        <v>Brooklyn</v>
      </c>
      <c r="E1367" t="str">
        <f>VLOOKUP(B1367,ZoneTable,3,FALSE)</f>
        <v>Cypress Hills</v>
      </c>
      <c r="F1367" t="str">
        <f>IF(OR(B1367=1,B1367=132,B1367=138),"Airports",D1367)</f>
        <v>Brooklyn</v>
      </c>
    </row>
    <row r="1368" spans="1:6">
      <c r="A1368" s="33">
        <v>42156</v>
      </c>
      <c r="B1368">
        <v>64</v>
      </c>
      <c r="C1368">
        <v>645</v>
      </c>
      <c r="D1368" t="str">
        <f>VLOOKUP(B1368,ZoneTable,2,FALSE)</f>
        <v>Queens</v>
      </c>
      <c r="E1368" t="str">
        <f>VLOOKUP(B1368,ZoneTable,3,FALSE)</f>
        <v>Douglaston</v>
      </c>
      <c r="F1368" t="str">
        <f>IF(OR(B1368=1,B1368=132,B1368=138),"Airports",D1368)</f>
        <v>Queens</v>
      </c>
    </row>
    <row r="1369" spans="1:6">
      <c r="A1369" s="33">
        <v>42156</v>
      </c>
      <c r="B1369">
        <v>65</v>
      </c>
      <c r="C1369">
        <v>11381</v>
      </c>
      <c r="D1369" t="str">
        <f>VLOOKUP(B1369,ZoneTable,2,FALSE)</f>
        <v>Brooklyn</v>
      </c>
      <c r="E1369" t="str">
        <f>VLOOKUP(B1369,ZoneTable,3,FALSE)</f>
        <v>Downtown Brooklyn/MetroTech</v>
      </c>
      <c r="F1369" t="str">
        <f>IF(OR(B1369=1,B1369=132,B1369=138),"Airports",D1369)</f>
        <v>Brooklyn</v>
      </c>
    </row>
    <row r="1370" spans="1:6">
      <c r="A1370" s="33">
        <v>42156</v>
      </c>
      <c r="B1370">
        <v>66</v>
      </c>
      <c r="C1370">
        <v>10350</v>
      </c>
      <c r="D1370" t="str">
        <f>VLOOKUP(B1370,ZoneTable,2,FALSE)</f>
        <v>Brooklyn</v>
      </c>
      <c r="E1370" t="str">
        <f>VLOOKUP(B1370,ZoneTable,3,FALSE)</f>
        <v>DUMBO/Vinegar Hill</v>
      </c>
      <c r="F1370" t="str">
        <f>IF(OR(B1370=1,B1370=132,B1370=138),"Airports",D1370)</f>
        <v>Brooklyn</v>
      </c>
    </row>
    <row r="1371" spans="1:6">
      <c r="A1371" s="33">
        <v>42156</v>
      </c>
      <c r="B1371">
        <v>67</v>
      </c>
      <c r="C1371">
        <v>2060</v>
      </c>
      <c r="D1371" t="str">
        <f>VLOOKUP(B1371,ZoneTable,2,FALSE)</f>
        <v>Brooklyn</v>
      </c>
      <c r="E1371" t="str">
        <f>VLOOKUP(B1371,ZoneTable,3,FALSE)</f>
        <v>Dyker Heights</v>
      </c>
      <c r="F1371" t="str">
        <f>IF(OR(B1371=1,B1371=132,B1371=138),"Airports",D1371)</f>
        <v>Brooklyn</v>
      </c>
    </row>
    <row r="1372" spans="1:6">
      <c r="A1372" s="33">
        <v>42156</v>
      </c>
      <c r="B1372">
        <v>68</v>
      </c>
      <c r="C1372">
        <v>59454</v>
      </c>
      <c r="D1372" t="str">
        <f>VLOOKUP(B1372,ZoneTable,2,FALSE)</f>
        <v>Manhattan</v>
      </c>
      <c r="E1372" t="str">
        <f>VLOOKUP(B1372,ZoneTable,3,FALSE)</f>
        <v>East Chelsea</v>
      </c>
      <c r="F1372" t="str">
        <f>IF(OR(B1372=1,B1372=132,B1372=138),"Airports",D1372)</f>
        <v>Manhattan</v>
      </c>
    </row>
    <row r="1373" spans="1:6">
      <c r="A1373" s="33">
        <v>42156</v>
      </c>
      <c r="B1373">
        <v>69</v>
      </c>
      <c r="C1373">
        <v>1864</v>
      </c>
      <c r="D1373" t="str">
        <f>VLOOKUP(B1373,ZoneTable,2,FALSE)</f>
        <v>Bronx</v>
      </c>
      <c r="E1373" t="str">
        <f>VLOOKUP(B1373,ZoneTable,3,FALSE)</f>
        <v>East Concourse/Concourse Village</v>
      </c>
      <c r="F1373" t="str">
        <f>IF(OR(B1373=1,B1373=132,B1373=138),"Airports",D1373)</f>
        <v>Bronx</v>
      </c>
    </row>
    <row r="1374" spans="1:6">
      <c r="A1374" s="33">
        <v>42156</v>
      </c>
      <c r="B1374">
        <v>70</v>
      </c>
      <c r="C1374">
        <v>2942</v>
      </c>
      <c r="D1374" t="str">
        <f>VLOOKUP(B1374,ZoneTable,2,FALSE)</f>
        <v>Queens</v>
      </c>
      <c r="E1374" t="str">
        <f>VLOOKUP(B1374,ZoneTable,3,FALSE)</f>
        <v>East Elmhurst</v>
      </c>
      <c r="F1374" t="str">
        <f>IF(OR(B1374=1,B1374=132,B1374=138),"Airports",D1374)</f>
        <v>Queens</v>
      </c>
    </row>
    <row r="1375" spans="1:6">
      <c r="A1375" s="33">
        <v>42156</v>
      </c>
      <c r="B1375">
        <v>71</v>
      </c>
      <c r="C1375">
        <v>2711</v>
      </c>
      <c r="D1375" t="str">
        <f>VLOOKUP(B1375,ZoneTable,2,FALSE)</f>
        <v>Brooklyn</v>
      </c>
      <c r="E1375" t="str">
        <f>VLOOKUP(B1375,ZoneTable,3,FALSE)</f>
        <v>East Flatbush/Farragut</v>
      </c>
      <c r="F1375" t="str">
        <f>IF(OR(B1375=1,B1375=132,B1375=138),"Airports",D1375)</f>
        <v>Brooklyn</v>
      </c>
    </row>
    <row r="1376" spans="1:6">
      <c r="A1376" s="33">
        <v>42156</v>
      </c>
      <c r="B1376">
        <v>72</v>
      </c>
      <c r="C1376">
        <v>3105</v>
      </c>
      <c r="D1376" t="str">
        <f>VLOOKUP(B1376,ZoneTable,2,FALSE)</f>
        <v>Brooklyn</v>
      </c>
      <c r="E1376" t="str">
        <f>VLOOKUP(B1376,ZoneTable,3,FALSE)</f>
        <v>East Flatbush/Remsen Village</v>
      </c>
      <c r="F1376" t="str">
        <f>IF(OR(B1376=1,B1376=132,B1376=138),"Airports",D1376)</f>
        <v>Brooklyn</v>
      </c>
    </row>
    <row r="1377" spans="1:6">
      <c r="A1377" s="33">
        <v>42156</v>
      </c>
      <c r="B1377">
        <v>73</v>
      </c>
      <c r="C1377">
        <v>847</v>
      </c>
      <c r="D1377" t="str">
        <f>VLOOKUP(B1377,ZoneTable,2,FALSE)</f>
        <v>Queens</v>
      </c>
      <c r="E1377" t="str">
        <f>VLOOKUP(B1377,ZoneTable,3,FALSE)</f>
        <v>East Flushing</v>
      </c>
      <c r="F1377" t="str">
        <f>IF(OR(B1377=1,B1377=132,B1377=138),"Airports",D1377)</f>
        <v>Queens</v>
      </c>
    </row>
    <row r="1378" spans="1:6">
      <c r="A1378" s="33">
        <v>42156</v>
      </c>
      <c r="B1378">
        <v>74</v>
      </c>
      <c r="C1378">
        <v>12173</v>
      </c>
      <c r="D1378" t="str">
        <f>VLOOKUP(B1378,ZoneTable,2,FALSE)</f>
        <v>Manhattan</v>
      </c>
      <c r="E1378" t="str">
        <f>VLOOKUP(B1378,ZoneTable,3,FALSE)</f>
        <v>East Harlem North</v>
      </c>
      <c r="F1378" t="str">
        <f>IF(OR(B1378=1,B1378=132,B1378=138),"Airports",D1378)</f>
        <v>Manhattan</v>
      </c>
    </row>
    <row r="1379" spans="1:6">
      <c r="A1379" s="33">
        <v>42156</v>
      </c>
      <c r="B1379">
        <v>75</v>
      </c>
      <c r="C1379">
        <v>10551</v>
      </c>
      <c r="D1379" t="str">
        <f>VLOOKUP(B1379,ZoneTable,2,FALSE)</f>
        <v>Manhattan</v>
      </c>
      <c r="E1379" t="str">
        <f>VLOOKUP(B1379,ZoneTable,3,FALSE)</f>
        <v>East Harlem South</v>
      </c>
      <c r="F1379" t="str">
        <f>IF(OR(B1379=1,B1379=132,B1379=138),"Airports",D1379)</f>
        <v>Manhattan</v>
      </c>
    </row>
    <row r="1380" spans="1:6">
      <c r="A1380" s="33">
        <v>42156</v>
      </c>
      <c r="B1380">
        <v>76</v>
      </c>
      <c r="C1380">
        <v>3391</v>
      </c>
      <c r="D1380" t="str">
        <f>VLOOKUP(B1380,ZoneTable,2,FALSE)</f>
        <v>Brooklyn</v>
      </c>
      <c r="E1380" t="str">
        <f>VLOOKUP(B1380,ZoneTable,3,FALSE)</f>
        <v>East New York</v>
      </c>
      <c r="F1380" t="str">
        <f>IF(OR(B1380=1,B1380=132,B1380=138),"Airports",D1380)</f>
        <v>Brooklyn</v>
      </c>
    </row>
    <row r="1381" spans="1:6">
      <c r="A1381" s="33">
        <v>42156</v>
      </c>
      <c r="B1381">
        <v>77</v>
      </c>
      <c r="C1381">
        <v>1114</v>
      </c>
      <c r="D1381" t="str">
        <f>VLOOKUP(B1381,ZoneTable,2,FALSE)</f>
        <v>Brooklyn</v>
      </c>
      <c r="E1381" t="str">
        <f>VLOOKUP(B1381,ZoneTable,3,FALSE)</f>
        <v>East New York/Pennsylvania Avenue</v>
      </c>
      <c r="F1381" t="str">
        <f>IF(OR(B1381=1,B1381=132,B1381=138),"Airports",D1381)</f>
        <v>Brooklyn</v>
      </c>
    </row>
    <row r="1382" spans="1:6">
      <c r="A1382" s="33">
        <v>42156</v>
      </c>
      <c r="B1382">
        <v>78</v>
      </c>
      <c r="C1382">
        <v>1155</v>
      </c>
      <c r="D1382" t="str">
        <f>VLOOKUP(B1382,ZoneTable,2,FALSE)</f>
        <v>Bronx</v>
      </c>
      <c r="E1382" t="str">
        <f>VLOOKUP(B1382,ZoneTable,3,FALSE)</f>
        <v>East Tremont</v>
      </c>
      <c r="F1382" t="str">
        <f>IF(OR(B1382=1,B1382=132,B1382=138),"Airports",D1382)</f>
        <v>Bronx</v>
      </c>
    </row>
    <row r="1383" spans="1:6">
      <c r="A1383" s="33">
        <v>42156</v>
      </c>
      <c r="B1383">
        <v>79</v>
      </c>
      <c r="C1383">
        <v>75598</v>
      </c>
      <c r="D1383" t="str">
        <f>VLOOKUP(B1383,ZoneTable,2,FALSE)</f>
        <v>Manhattan</v>
      </c>
      <c r="E1383" t="str">
        <f>VLOOKUP(B1383,ZoneTable,3,FALSE)</f>
        <v>East Village</v>
      </c>
      <c r="F1383" t="str">
        <f>IF(OR(B1383=1,B1383=132,B1383=138),"Airports",D1383)</f>
        <v>Manhattan</v>
      </c>
    </row>
    <row r="1384" spans="1:6">
      <c r="A1384" s="33">
        <v>42156</v>
      </c>
      <c r="B1384">
        <v>80</v>
      </c>
      <c r="C1384">
        <v>23267</v>
      </c>
      <c r="D1384" t="str">
        <f>VLOOKUP(B1384,ZoneTable,2,FALSE)</f>
        <v>Brooklyn</v>
      </c>
      <c r="E1384" t="str">
        <f>VLOOKUP(B1384,ZoneTable,3,FALSE)</f>
        <v>East Williamsburg</v>
      </c>
      <c r="F1384" t="str">
        <f>IF(OR(B1384=1,B1384=132,B1384=138),"Airports",D1384)</f>
        <v>Brooklyn</v>
      </c>
    </row>
    <row r="1385" spans="1:6">
      <c r="A1385" s="33">
        <v>42156</v>
      </c>
      <c r="B1385">
        <v>81</v>
      </c>
      <c r="C1385">
        <v>677</v>
      </c>
      <c r="D1385" t="str">
        <f>VLOOKUP(B1385,ZoneTable,2,FALSE)</f>
        <v>Bronx</v>
      </c>
      <c r="E1385" t="str">
        <f>VLOOKUP(B1385,ZoneTable,3,FALSE)</f>
        <v>Eastchester</v>
      </c>
      <c r="F1385" t="str">
        <f>IF(OR(B1385=1,B1385=132,B1385=138),"Airports",D1385)</f>
        <v>Bronx</v>
      </c>
    </row>
    <row r="1386" spans="1:6">
      <c r="A1386" s="33">
        <v>42156</v>
      </c>
      <c r="B1386">
        <v>82</v>
      </c>
      <c r="C1386">
        <v>5051</v>
      </c>
      <c r="D1386" t="str">
        <f>VLOOKUP(B1386,ZoneTable,2,FALSE)</f>
        <v>Queens</v>
      </c>
      <c r="E1386" t="str">
        <f>VLOOKUP(B1386,ZoneTable,3,FALSE)</f>
        <v>Elmhurst</v>
      </c>
      <c r="F1386" t="str">
        <f>IF(OR(B1386=1,B1386=132,B1386=138),"Airports",D1386)</f>
        <v>Queens</v>
      </c>
    </row>
    <row r="1387" spans="1:6">
      <c r="A1387" s="33">
        <v>42156</v>
      </c>
      <c r="B1387">
        <v>83</v>
      </c>
      <c r="C1387">
        <v>1985</v>
      </c>
      <c r="D1387" t="str">
        <f>VLOOKUP(B1387,ZoneTable,2,FALSE)</f>
        <v>Queens</v>
      </c>
      <c r="E1387" t="str">
        <f>VLOOKUP(B1387,ZoneTable,3,FALSE)</f>
        <v>Elmhurst/Maspeth</v>
      </c>
      <c r="F1387" t="str">
        <f>IF(OR(B1387=1,B1387=132,B1387=138),"Airports",D1387)</f>
        <v>Queens</v>
      </c>
    </row>
    <row r="1388" spans="1:6">
      <c r="A1388" s="33">
        <v>42156</v>
      </c>
      <c r="B1388">
        <v>84</v>
      </c>
      <c r="C1388">
        <v>11</v>
      </c>
      <c r="D1388" t="str">
        <f>VLOOKUP(B1388,ZoneTable,2,FALSE)</f>
        <v>Staten Island</v>
      </c>
      <c r="E1388" t="str">
        <f>VLOOKUP(B1388,ZoneTable,3,FALSE)</f>
        <v>Eltingville/Annadale/Prince's Bay</v>
      </c>
      <c r="F1388" t="str">
        <f>IF(OR(B1388=1,B1388=132,B1388=138),"Airports",D1388)</f>
        <v>Staten Island</v>
      </c>
    </row>
    <row r="1389" spans="1:6">
      <c r="A1389" s="33">
        <v>42156</v>
      </c>
      <c r="B1389">
        <v>85</v>
      </c>
      <c r="C1389">
        <v>2253</v>
      </c>
      <c r="D1389" t="str">
        <f>VLOOKUP(B1389,ZoneTable,2,FALSE)</f>
        <v>Brooklyn</v>
      </c>
      <c r="E1389" t="str">
        <f>VLOOKUP(B1389,ZoneTable,3,FALSE)</f>
        <v>Erasmus</v>
      </c>
      <c r="F1389" t="str">
        <f>IF(OR(B1389=1,B1389=132,B1389=138),"Airports",D1389)</f>
        <v>Brooklyn</v>
      </c>
    </row>
    <row r="1390" spans="1:6">
      <c r="A1390" s="33">
        <v>42156</v>
      </c>
      <c r="B1390">
        <v>86</v>
      </c>
      <c r="C1390">
        <v>130</v>
      </c>
      <c r="D1390" t="str">
        <f>VLOOKUP(B1390,ZoneTable,2,FALSE)</f>
        <v>Queens</v>
      </c>
      <c r="E1390" t="str">
        <f>VLOOKUP(B1390,ZoneTable,3,FALSE)</f>
        <v>Far Rockaway</v>
      </c>
      <c r="F1390" t="str">
        <f>IF(OR(B1390=1,B1390=132,B1390=138),"Airports",D1390)</f>
        <v>Queens</v>
      </c>
    </row>
    <row r="1391" spans="1:6">
      <c r="A1391" s="33">
        <v>42156</v>
      </c>
      <c r="B1391">
        <v>87</v>
      </c>
      <c r="C1391">
        <v>30662</v>
      </c>
      <c r="D1391" t="str">
        <f>VLOOKUP(B1391,ZoneTable,2,FALSE)</f>
        <v>Manhattan</v>
      </c>
      <c r="E1391" t="str">
        <f>VLOOKUP(B1391,ZoneTable,3,FALSE)</f>
        <v>Financial District North</v>
      </c>
      <c r="F1391" t="str">
        <f>IF(OR(B1391=1,B1391=132,B1391=138),"Airports",D1391)</f>
        <v>Manhattan</v>
      </c>
    </row>
    <row r="1392" spans="1:6">
      <c r="A1392" s="33">
        <v>42156</v>
      </c>
      <c r="B1392">
        <v>88</v>
      </c>
      <c r="C1392">
        <v>11518</v>
      </c>
      <c r="D1392" t="str">
        <f>VLOOKUP(B1392,ZoneTable,2,FALSE)</f>
        <v>Manhattan</v>
      </c>
      <c r="E1392" t="str">
        <f>VLOOKUP(B1392,ZoneTable,3,FALSE)</f>
        <v>Financial District South</v>
      </c>
      <c r="F1392" t="str">
        <f>IF(OR(B1392=1,B1392=132,B1392=138),"Airports",D1392)</f>
        <v>Manhattan</v>
      </c>
    </row>
    <row r="1393" spans="1:6">
      <c r="A1393" s="33">
        <v>42156</v>
      </c>
      <c r="B1393">
        <v>89</v>
      </c>
      <c r="C1393">
        <v>9858</v>
      </c>
      <c r="D1393" t="str">
        <f>VLOOKUP(B1393,ZoneTable,2,FALSE)</f>
        <v>Brooklyn</v>
      </c>
      <c r="E1393" t="str">
        <f>VLOOKUP(B1393,ZoneTable,3,FALSE)</f>
        <v>Flatbush/Ditmas Park</v>
      </c>
      <c r="F1393" t="str">
        <f>IF(OR(B1393=1,B1393=132,B1393=138),"Airports",D1393)</f>
        <v>Brooklyn</v>
      </c>
    </row>
    <row r="1394" spans="1:6">
      <c r="A1394" s="33">
        <v>42156</v>
      </c>
      <c r="B1394">
        <v>90</v>
      </c>
      <c r="C1394">
        <v>42133</v>
      </c>
      <c r="D1394" t="str">
        <f>VLOOKUP(B1394,ZoneTable,2,FALSE)</f>
        <v>Manhattan</v>
      </c>
      <c r="E1394" t="str">
        <f>VLOOKUP(B1394,ZoneTable,3,FALSE)</f>
        <v>Flatiron</v>
      </c>
      <c r="F1394" t="str">
        <f>IF(OR(B1394=1,B1394=132,B1394=138),"Airports",D1394)</f>
        <v>Manhattan</v>
      </c>
    </row>
    <row r="1395" spans="1:6">
      <c r="A1395" s="33">
        <v>42156</v>
      </c>
      <c r="B1395">
        <v>91</v>
      </c>
      <c r="C1395">
        <v>3567</v>
      </c>
      <c r="D1395" t="str">
        <f>VLOOKUP(B1395,ZoneTable,2,FALSE)</f>
        <v>Brooklyn</v>
      </c>
      <c r="E1395" t="str">
        <f>VLOOKUP(B1395,ZoneTable,3,FALSE)</f>
        <v>Flatlands</v>
      </c>
      <c r="F1395" t="str">
        <f>IF(OR(B1395=1,B1395=132,B1395=138),"Airports",D1395)</f>
        <v>Brooklyn</v>
      </c>
    </row>
    <row r="1396" spans="1:6">
      <c r="A1396" s="33">
        <v>42156</v>
      </c>
      <c r="B1396">
        <v>92</v>
      </c>
      <c r="C1396">
        <v>4225</v>
      </c>
      <c r="D1396" t="str">
        <f>VLOOKUP(B1396,ZoneTable,2,FALSE)</f>
        <v>Queens</v>
      </c>
      <c r="E1396" t="str">
        <f>VLOOKUP(B1396,ZoneTable,3,FALSE)</f>
        <v>Flushing</v>
      </c>
      <c r="F1396" t="str">
        <f>IF(OR(B1396=1,B1396=132,B1396=138),"Airports",D1396)</f>
        <v>Queens</v>
      </c>
    </row>
    <row r="1397" spans="1:6">
      <c r="A1397" s="33">
        <v>42156</v>
      </c>
      <c r="B1397">
        <v>93</v>
      </c>
      <c r="C1397">
        <v>1823</v>
      </c>
      <c r="D1397" t="str">
        <f>VLOOKUP(B1397,ZoneTable,2,FALSE)</f>
        <v>Queens</v>
      </c>
      <c r="E1397" t="str">
        <f>VLOOKUP(B1397,ZoneTable,3,FALSE)</f>
        <v>Flushing Meadows-Corona Park</v>
      </c>
      <c r="F1397" t="str">
        <f>IF(OR(B1397=1,B1397=132,B1397=138),"Airports",D1397)</f>
        <v>Queens</v>
      </c>
    </row>
    <row r="1398" spans="1:6">
      <c r="A1398" s="33">
        <v>42156</v>
      </c>
      <c r="B1398">
        <v>94</v>
      </c>
      <c r="C1398">
        <v>625</v>
      </c>
      <c r="D1398" t="str">
        <f>VLOOKUP(B1398,ZoneTable,2,FALSE)</f>
        <v>Bronx</v>
      </c>
      <c r="E1398" t="str">
        <f>VLOOKUP(B1398,ZoneTable,3,FALSE)</f>
        <v>Fordham South</v>
      </c>
      <c r="F1398" t="str">
        <f>IF(OR(B1398=1,B1398=132,B1398=138),"Airports",D1398)</f>
        <v>Bronx</v>
      </c>
    </row>
    <row r="1399" spans="1:6">
      <c r="A1399" s="33">
        <v>42156</v>
      </c>
      <c r="B1399">
        <v>95</v>
      </c>
      <c r="C1399">
        <v>8968</v>
      </c>
      <c r="D1399" t="str">
        <f>VLOOKUP(B1399,ZoneTable,2,FALSE)</f>
        <v>Queens</v>
      </c>
      <c r="E1399" t="str">
        <f>VLOOKUP(B1399,ZoneTable,3,FALSE)</f>
        <v>Forest Hills</v>
      </c>
      <c r="F1399" t="str">
        <f>IF(OR(B1399=1,B1399=132,B1399=138),"Airports",D1399)</f>
        <v>Queens</v>
      </c>
    </row>
    <row r="1400" spans="1:6">
      <c r="A1400" s="33">
        <v>42156</v>
      </c>
      <c r="B1400">
        <v>96</v>
      </c>
      <c r="C1400">
        <v>153</v>
      </c>
      <c r="D1400" t="str">
        <f>VLOOKUP(B1400,ZoneTable,2,FALSE)</f>
        <v>Queens</v>
      </c>
      <c r="E1400" t="str">
        <f>VLOOKUP(B1400,ZoneTable,3,FALSE)</f>
        <v>Forest Park/Highland Park</v>
      </c>
      <c r="F1400" t="str">
        <f>IF(OR(B1400=1,B1400=132,B1400=138),"Airports",D1400)</f>
        <v>Queens</v>
      </c>
    </row>
    <row r="1401" spans="1:6">
      <c r="A1401" s="33">
        <v>42156</v>
      </c>
      <c r="B1401">
        <v>97</v>
      </c>
      <c r="C1401">
        <v>15427</v>
      </c>
      <c r="D1401" t="str">
        <f>VLOOKUP(B1401,ZoneTable,2,FALSE)</f>
        <v>Brooklyn</v>
      </c>
      <c r="E1401" t="str">
        <f>VLOOKUP(B1401,ZoneTable,3,FALSE)</f>
        <v>Fort Greene</v>
      </c>
      <c r="F1401" t="str">
        <f>IF(OR(B1401=1,B1401=132,B1401=138),"Airports",D1401)</f>
        <v>Brooklyn</v>
      </c>
    </row>
    <row r="1402" spans="1:6">
      <c r="A1402" s="33">
        <v>42156</v>
      </c>
      <c r="B1402">
        <v>98</v>
      </c>
      <c r="C1402">
        <v>916</v>
      </c>
      <c r="D1402" t="str">
        <f>VLOOKUP(B1402,ZoneTable,2,FALSE)</f>
        <v>Queens</v>
      </c>
      <c r="E1402" t="str">
        <f>VLOOKUP(B1402,ZoneTable,3,FALSE)</f>
        <v>Fresh Meadows</v>
      </c>
      <c r="F1402" t="str">
        <f>IF(OR(B1402=1,B1402=132,B1402=138),"Airports",D1402)</f>
        <v>Queens</v>
      </c>
    </row>
    <row r="1403" spans="1:6">
      <c r="A1403" s="33">
        <v>42156</v>
      </c>
      <c r="B1403">
        <v>100</v>
      </c>
      <c r="C1403">
        <v>30669</v>
      </c>
      <c r="D1403" t="str">
        <f>VLOOKUP(B1403,ZoneTable,2,FALSE)</f>
        <v>Manhattan</v>
      </c>
      <c r="E1403" t="str">
        <f>VLOOKUP(B1403,ZoneTable,3,FALSE)</f>
        <v>Garment District</v>
      </c>
      <c r="F1403" t="str">
        <f>IF(OR(B1403=1,B1403=132,B1403=138),"Airports",D1403)</f>
        <v>Manhattan</v>
      </c>
    </row>
    <row r="1404" spans="1:6">
      <c r="A1404" s="33">
        <v>42156</v>
      </c>
      <c r="B1404">
        <v>101</v>
      </c>
      <c r="C1404">
        <v>426</v>
      </c>
      <c r="D1404" t="str">
        <f>VLOOKUP(B1404,ZoneTable,2,FALSE)</f>
        <v>Queens</v>
      </c>
      <c r="E1404" t="str">
        <f>VLOOKUP(B1404,ZoneTable,3,FALSE)</f>
        <v>Glen Oaks</v>
      </c>
      <c r="F1404" t="str">
        <f>IF(OR(B1404=1,B1404=132,B1404=138),"Airports",D1404)</f>
        <v>Queens</v>
      </c>
    </row>
    <row r="1405" spans="1:6">
      <c r="A1405" s="33">
        <v>42156</v>
      </c>
      <c r="B1405">
        <v>102</v>
      </c>
      <c r="C1405">
        <v>1982</v>
      </c>
      <c r="D1405" t="str">
        <f>VLOOKUP(B1405,ZoneTable,2,FALSE)</f>
        <v>Queens</v>
      </c>
      <c r="E1405" t="str">
        <f>VLOOKUP(B1405,ZoneTable,3,FALSE)</f>
        <v>Glendale</v>
      </c>
      <c r="F1405" t="str">
        <f>IF(OR(B1405=1,B1405=132,B1405=138),"Airports",D1405)</f>
        <v>Queens</v>
      </c>
    </row>
    <row r="1406" spans="1:6">
      <c r="A1406" s="33">
        <v>42156</v>
      </c>
      <c r="B1406">
        <v>105</v>
      </c>
      <c r="C1406">
        <v>1</v>
      </c>
      <c r="D1406" t="str">
        <f>VLOOKUP(B1406,ZoneTable,2,FALSE)</f>
        <v>Manhattan</v>
      </c>
      <c r="E1406" t="str">
        <f>VLOOKUP(B1406,ZoneTable,3,FALSE)</f>
        <v>Governor's Island/Ellis Island/Liberty Island</v>
      </c>
      <c r="F1406" t="str">
        <f>IF(OR(B1406=1,B1406=132,B1406=138),"Airports",D1406)</f>
        <v>Manhattan</v>
      </c>
    </row>
    <row r="1407" spans="1:6">
      <c r="A1407" s="33">
        <v>42156</v>
      </c>
      <c r="B1407">
        <v>106</v>
      </c>
      <c r="C1407">
        <v>7860</v>
      </c>
      <c r="D1407" t="str">
        <f>VLOOKUP(B1407,ZoneTable,2,FALSE)</f>
        <v>Brooklyn</v>
      </c>
      <c r="E1407" t="str">
        <f>VLOOKUP(B1407,ZoneTable,3,FALSE)</f>
        <v>Gowanus</v>
      </c>
      <c r="F1407" t="str">
        <f>IF(OR(B1407=1,B1407=132,B1407=138),"Airports",D1407)</f>
        <v>Brooklyn</v>
      </c>
    </row>
    <row r="1408" spans="1:6">
      <c r="A1408" s="33">
        <v>42156</v>
      </c>
      <c r="B1408">
        <v>107</v>
      </c>
      <c r="C1408">
        <v>47060</v>
      </c>
      <c r="D1408" t="str">
        <f>VLOOKUP(B1408,ZoneTable,2,FALSE)</f>
        <v>Manhattan</v>
      </c>
      <c r="E1408" t="str">
        <f>VLOOKUP(B1408,ZoneTable,3,FALSE)</f>
        <v>Gramercy</v>
      </c>
      <c r="F1408" t="str">
        <f>IF(OR(B1408=1,B1408=132,B1408=138),"Airports",D1408)</f>
        <v>Manhattan</v>
      </c>
    </row>
    <row r="1409" spans="1:6">
      <c r="A1409" s="33">
        <v>42156</v>
      </c>
      <c r="B1409">
        <v>108</v>
      </c>
      <c r="C1409">
        <v>883</v>
      </c>
      <c r="D1409" t="str">
        <f>VLOOKUP(B1409,ZoneTable,2,FALSE)</f>
        <v>Brooklyn</v>
      </c>
      <c r="E1409" t="str">
        <f>VLOOKUP(B1409,ZoneTable,3,FALSE)</f>
        <v>Gravesend</v>
      </c>
      <c r="F1409" t="str">
        <f>IF(OR(B1409=1,B1409=132,B1409=138),"Airports",D1409)</f>
        <v>Brooklyn</v>
      </c>
    </row>
    <row r="1410" spans="1:6">
      <c r="A1410" s="33">
        <v>42156</v>
      </c>
      <c r="B1410">
        <v>109</v>
      </c>
      <c r="C1410">
        <v>26</v>
      </c>
      <c r="D1410" t="str">
        <f>VLOOKUP(B1410,ZoneTable,2,FALSE)</f>
        <v>Staten Island</v>
      </c>
      <c r="E1410" t="str">
        <f>VLOOKUP(B1410,ZoneTable,3,FALSE)</f>
        <v>Great Kills</v>
      </c>
      <c r="F1410" t="str">
        <f>IF(OR(B1410=1,B1410=132,B1410=138),"Airports",D1410)</f>
        <v>Staten Island</v>
      </c>
    </row>
    <row r="1411" spans="1:6">
      <c r="A1411" s="33">
        <v>42156</v>
      </c>
      <c r="B1411">
        <v>111</v>
      </c>
      <c r="C1411">
        <v>86</v>
      </c>
      <c r="D1411" t="str">
        <f>VLOOKUP(B1411,ZoneTable,2,FALSE)</f>
        <v>Brooklyn</v>
      </c>
      <c r="E1411" t="str">
        <f>VLOOKUP(B1411,ZoneTable,3,FALSE)</f>
        <v>Green-Wood Cemetery</v>
      </c>
      <c r="F1411" t="str">
        <f>IF(OR(B1411=1,B1411=132,B1411=138),"Airports",D1411)</f>
        <v>Brooklyn</v>
      </c>
    </row>
    <row r="1412" spans="1:6">
      <c r="A1412" s="33">
        <v>42156</v>
      </c>
      <c r="B1412">
        <v>112</v>
      </c>
      <c r="C1412">
        <v>27573</v>
      </c>
      <c r="D1412" t="str">
        <f>VLOOKUP(B1412,ZoneTable,2,FALSE)</f>
        <v>Brooklyn</v>
      </c>
      <c r="E1412" t="str">
        <f>VLOOKUP(B1412,ZoneTable,3,FALSE)</f>
        <v>Greenpoint</v>
      </c>
      <c r="F1412" t="str">
        <f>IF(OR(B1412=1,B1412=132,B1412=138),"Airports",D1412)</f>
        <v>Brooklyn</v>
      </c>
    </row>
    <row r="1413" spans="1:6">
      <c r="A1413" s="33">
        <v>42156</v>
      </c>
      <c r="B1413">
        <v>113</v>
      </c>
      <c r="C1413">
        <v>42293</v>
      </c>
      <c r="D1413" t="str">
        <f>VLOOKUP(B1413,ZoneTable,2,FALSE)</f>
        <v>Manhattan</v>
      </c>
      <c r="E1413" t="str">
        <f>VLOOKUP(B1413,ZoneTable,3,FALSE)</f>
        <v>Greenwich Village North</v>
      </c>
      <c r="F1413" t="str">
        <f>IF(OR(B1413=1,B1413=132,B1413=138),"Airports",D1413)</f>
        <v>Manhattan</v>
      </c>
    </row>
    <row r="1414" spans="1:6">
      <c r="A1414" s="33">
        <v>42156</v>
      </c>
      <c r="B1414">
        <v>114</v>
      </c>
      <c r="C1414">
        <v>36518</v>
      </c>
      <c r="D1414" t="str">
        <f>VLOOKUP(B1414,ZoneTable,2,FALSE)</f>
        <v>Manhattan</v>
      </c>
      <c r="E1414" t="str">
        <f>VLOOKUP(B1414,ZoneTable,3,FALSE)</f>
        <v>Greenwich Village South</v>
      </c>
      <c r="F1414" t="str">
        <f>IF(OR(B1414=1,B1414=132,B1414=138),"Airports",D1414)</f>
        <v>Manhattan</v>
      </c>
    </row>
    <row r="1415" spans="1:6">
      <c r="A1415" s="33">
        <v>42156</v>
      </c>
      <c r="B1415">
        <v>115</v>
      </c>
      <c r="C1415">
        <v>113</v>
      </c>
      <c r="D1415" t="str">
        <f>VLOOKUP(B1415,ZoneTable,2,FALSE)</f>
        <v>Staten Island</v>
      </c>
      <c r="E1415" t="str">
        <f>VLOOKUP(B1415,ZoneTable,3,FALSE)</f>
        <v>Grymes Hill/Clifton</v>
      </c>
      <c r="F1415" t="str">
        <f>IF(OR(B1415=1,B1415=132,B1415=138),"Airports",D1415)</f>
        <v>Staten Island</v>
      </c>
    </row>
    <row r="1416" spans="1:6">
      <c r="A1416" s="33">
        <v>42156</v>
      </c>
      <c r="B1416">
        <v>116</v>
      </c>
      <c r="C1416">
        <v>7165</v>
      </c>
      <c r="D1416" t="str">
        <f>VLOOKUP(B1416,ZoneTable,2,FALSE)</f>
        <v>Manhattan</v>
      </c>
      <c r="E1416" t="str">
        <f>VLOOKUP(B1416,ZoneTable,3,FALSE)</f>
        <v>Hamilton Heights</v>
      </c>
      <c r="F1416" t="str">
        <f>IF(OR(B1416=1,B1416=132,B1416=138),"Airports",D1416)</f>
        <v>Manhattan</v>
      </c>
    </row>
    <row r="1417" spans="1:6">
      <c r="A1417" s="33">
        <v>42156</v>
      </c>
      <c r="B1417">
        <v>117</v>
      </c>
      <c r="C1417">
        <v>241</v>
      </c>
      <c r="D1417" t="str">
        <f>VLOOKUP(B1417,ZoneTable,2,FALSE)</f>
        <v>Queens</v>
      </c>
      <c r="E1417" t="str">
        <f>VLOOKUP(B1417,ZoneTable,3,FALSE)</f>
        <v>Hammels/Arverne</v>
      </c>
      <c r="F1417" t="str">
        <f>IF(OR(B1417=1,B1417=132,B1417=138),"Airports",D1417)</f>
        <v>Queens</v>
      </c>
    </row>
    <row r="1418" spans="1:6">
      <c r="A1418" s="33">
        <v>42156</v>
      </c>
      <c r="B1418">
        <v>118</v>
      </c>
      <c r="C1418">
        <v>189</v>
      </c>
      <c r="D1418" t="str">
        <f>VLOOKUP(B1418,ZoneTable,2,FALSE)</f>
        <v>Staten Island</v>
      </c>
      <c r="E1418" t="str">
        <f>VLOOKUP(B1418,ZoneTable,3,FALSE)</f>
        <v>Heartland Village/Todt Hill</v>
      </c>
      <c r="F1418" t="str">
        <f>IF(OR(B1418=1,B1418=132,B1418=138),"Airports",D1418)</f>
        <v>Staten Island</v>
      </c>
    </row>
    <row r="1419" spans="1:6">
      <c r="A1419" s="33">
        <v>42156</v>
      </c>
      <c r="B1419">
        <v>119</v>
      </c>
      <c r="C1419">
        <v>1505</v>
      </c>
      <c r="D1419" t="str">
        <f>VLOOKUP(B1419,ZoneTable,2,FALSE)</f>
        <v>Bronx</v>
      </c>
      <c r="E1419" t="str">
        <f>VLOOKUP(B1419,ZoneTable,3,FALSE)</f>
        <v>Highbridge</v>
      </c>
      <c r="F1419" t="str">
        <f>IF(OR(B1419=1,B1419=132,B1419=138),"Airports",D1419)</f>
        <v>Bronx</v>
      </c>
    </row>
    <row r="1420" spans="1:6">
      <c r="A1420" s="33">
        <v>42156</v>
      </c>
      <c r="B1420">
        <v>120</v>
      </c>
      <c r="C1420">
        <v>86</v>
      </c>
      <c r="D1420" t="str">
        <f>VLOOKUP(B1420,ZoneTable,2,FALSE)</f>
        <v>Manhattan</v>
      </c>
      <c r="E1420" t="str">
        <f>VLOOKUP(B1420,ZoneTable,3,FALSE)</f>
        <v>Highbridge Park</v>
      </c>
      <c r="F1420" t="str">
        <f>IF(OR(B1420=1,B1420=132,B1420=138),"Airports",D1420)</f>
        <v>Manhattan</v>
      </c>
    </row>
    <row r="1421" spans="1:6">
      <c r="A1421" s="33">
        <v>42156</v>
      </c>
      <c r="B1421">
        <v>121</v>
      </c>
      <c r="C1421">
        <v>1976</v>
      </c>
      <c r="D1421" t="str">
        <f>VLOOKUP(B1421,ZoneTable,2,FALSE)</f>
        <v>Queens</v>
      </c>
      <c r="E1421" t="str">
        <f>VLOOKUP(B1421,ZoneTable,3,FALSE)</f>
        <v>Hillcrest/Pomonok</v>
      </c>
      <c r="F1421" t="str">
        <f>IF(OR(B1421=1,B1421=132,B1421=138),"Airports",D1421)</f>
        <v>Queens</v>
      </c>
    </row>
    <row r="1422" spans="1:6">
      <c r="A1422" s="33">
        <v>42156</v>
      </c>
      <c r="B1422">
        <v>122</v>
      </c>
      <c r="C1422">
        <v>398</v>
      </c>
      <c r="D1422" t="str">
        <f>VLOOKUP(B1422,ZoneTable,2,FALSE)</f>
        <v>Queens</v>
      </c>
      <c r="E1422" t="str">
        <f>VLOOKUP(B1422,ZoneTable,3,FALSE)</f>
        <v>Hollis</v>
      </c>
      <c r="F1422" t="str">
        <f>IF(OR(B1422=1,B1422=132,B1422=138),"Airports",D1422)</f>
        <v>Queens</v>
      </c>
    </row>
    <row r="1423" spans="1:6">
      <c r="A1423" s="33">
        <v>42156</v>
      </c>
      <c r="B1423">
        <v>123</v>
      </c>
      <c r="C1423">
        <v>3413</v>
      </c>
      <c r="D1423" t="str">
        <f>VLOOKUP(B1423,ZoneTable,2,FALSE)</f>
        <v>Brooklyn</v>
      </c>
      <c r="E1423" t="str">
        <f>VLOOKUP(B1423,ZoneTable,3,FALSE)</f>
        <v>Homecrest</v>
      </c>
      <c r="F1423" t="str">
        <f>IF(OR(B1423=1,B1423=132,B1423=138),"Airports",D1423)</f>
        <v>Brooklyn</v>
      </c>
    </row>
    <row r="1424" spans="1:6">
      <c r="A1424" s="33">
        <v>42156</v>
      </c>
      <c r="B1424">
        <v>124</v>
      </c>
      <c r="C1424">
        <v>1226</v>
      </c>
      <c r="D1424" t="str">
        <f>VLOOKUP(B1424,ZoneTable,2,FALSE)</f>
        <v>Queens</v>
      </c>
      <c r="E1424" t="str">
        <f>VLOOKUP(B1424,ZoneTable,3,FALSE)</f>
        <v>Howard Beach</v>
      </c>
      <c r="F1424" t="str">
        <f>IF(OR(B1424=1,B1424=132,B1424=138),"Airports",D1424)</f>
        <v>Queens</v>
      </c>
    </row>
    <row r="1425" spans="1:6">
      <c r="A1425" s="33">
        <v>42156</v>
      </c>
      <c r="B1425">
        <v>125</v>
      </c>
      <c r="C1425">
        <v>22891</v>
      </c>
      <c r="D1425" t="str">
        <f>VLOOKUP(B1425,ZoneTable,2,FALSE)</f>
        <v>Manhattan</v>
      </c>
      <c r="E1425" t="str">
        <f>VLOOKUP(B1425,ZoneTable,3,FALSE)</f>
        <v>Hudson Sq</v>
      </c>
      <c r="F1425" t="str">
        <f>IF(OR(B1425=1,B1425=132,B1425=138),"Airports",D1425)</f>
        <v>Manhattan</v>
      </c>
    </row>
    <row r="1426" spans="1:6">
      <c r="A1426" s="33">
        <v>42156</v>
      </c>
      <c r="B1426">
        <v>126</v>
      </c>
      <c r="C1426">
        <v>710</v>
      </c>
      <c r="D1426" t="str">
        <f>VLOOKUP(B1426,ZoneTable,2,FALSE)</f>
        <v>Bronx</v>
      </c>
      <c r="E1426" t="str">
        <f>VLOOKUP(B1426,ZoneTable,3,FALSE)</f>
        <v>Hunts Point</v>
      </c>
      <c r="F1426" t="str">
        <f>IF(OR(B1426=1,B1426=132,B1426=138),"Airports",D1426)</f>
        <v>Bronx</v>
      </c>
    </row>
    <row r="1427" spans="1:6">
      <c r="A1427" s="33">
        <v>42156</v>
      </c>
      <c r="B1427">
        <v>127</v>
      </c>
      <c r="C1427">
        <v>3418</v>
      </c>
      <c r="D1427" t="str">
        <f>VLOOKUP(B1427,ZoneTable,2,FALSE)</f>
        <v>Manhattan</v>
      </c>
      <c r="E1427" t="str">
        <f>VLOOKUP(B1427,ZoneTable,3,FALSE)</f>
        <v>Inwood</v>
      </c>
      <c r="F1427" t="str">
        <f>IF(OR(B1427=1,B1427=132,B1427=138),"Airports",D1427)</f>
        <v>Manhattan</v>
      </c>
    </row>
    <row r="1428" spans="1:6">
      <c r="A1428" s="33">
        <v>42156</v>
      </c>
      <c r="B1428">
        <v>128</v>
      </c>
      <c r="C1428">
        <v>274</v>
      </c>
      <c r="D1428" t="str">
        <f>VLOOKUP(B1428,ZoneTable,2,FALSE)</f>
        <v>Manhattan</v>
      </c>
      <c r="E1428" t="str">
        <f>VLOOKUP(B1428,ZoneTable,3,FALSE)</f>
        <v>Inwood Hill Park</v>
      </c>
      <c r="F1428" t="str">
        <f>IF(OR(B1428=1,B1428=132,B1428=138),"Airports",D1428)</f>
        <v>Manhattan</v>
      </c>
    </row>
    <row r="1429" spans="1:6">
      <c r="A1429" s="33">
        <v>42156</v>
      </c>
      <c r="B1429">
        <v>129</v>
      </c>
      <c r="C1429">
        <v>8235</v>
      </c>
      <c r="D1429" t="str">
        <f>VLOOKUP(B1429,ZoneTable,2,FALSE)</f>
        <v>Queens</v>
      </c>
      <c r="E1429" t="str">
        <f>VLOOKUP(B1429,ZoneTable,3,FALSE)</f>
        <v>Jackson Heights</v>
      </c>
      <c r="F1429" t="str">
        <f>IF(OR(B1429=1,B1429=132,B1429=138),"Airports",D1429)</f>
        <v>Queens</v>
      </c>
    </row>
    <row r="1430" spans="1:6">
      <c r="A1430" s="33">
        <v>42156</v>
      </c>
      <c r="B1430">
        <v>130</v>
      </c>
      <c r="C1430">
        <v>3624</v>
      </c>
      <c r="D1430" t="str">
        <f>VLOOKUP(B1430,ZoneTable,2,FALSE)</f>
        <v>Queens</v>
      </c>
      <c r="E1430" t="str">
        <f>VLOOKUP(B1430,ZoneTable,3,FALSE)</f>
        <v>Jamaica</v>
      </c>
      <c r="F1430" t="str">
        <f>IF(OR(B1430=1,B1430=132,B1430=138),"Airports",D1430)</f>
        <v>Queens</v>
      </c>
    </row>
    <row r="1431" spans="1:6">
      <c r="A1431" s="33">
        <v>42156</v>
      </c>
      <c r="B1431">
        <v>131</v>
      </c>
      <c r="C1431">
        <v>1284</v>
      </c>
      <c r="D1431" t="str">
        <f>VLOOKUP(B1431,ZoneTable,2,FALSE)</f>
        <v>Queens</v>
      </c>
      <c r="E1431" t="str">
        <f>VLOOKUP(B1431,ZoneTable,3,FALSE)</f>
        <v>Jamaica Estates</v>
      </c>
      <c r="F1431" t="str">
        <f>IF(OR(B1431=1,B1431=132,B1431=138),"Airports",D1431)</f>
        <v>Queens</v>
      </c>
    </row>
    <row r="1432" spans="1:6">
      <c r="A1432" s="33">
        <v>42156</v>
      </c>
      <c r="B1432">
        <v>132</v>
      </c>
      <c r="C1432">
        <v>56765</v>
      </c>
      <c r="D1432" t="str">
        <f>VLOOKUP(B1432,ZoneTable,2,FALSE)</f>
        <v>Queens</v>
      </c>
      <c r="E1432" t="str">
        <f>VLOOKUP(B1432,ZoneTable,3,FALSE)</f>
        <v>JFK Airport</v>
      </c>
      <c r="F1432" t="str">
        <f>IF(OR(B1432=1,B1432=132,B1432=138),"Airports",D1432)</f>
        <v>Airports</v>
      </c>
    </row>
    <row r="1433" spans="1:6">
      <c r="A1433" s="33">
        <v>42156</v>
      </c>
      <c r="B1433">
        <v>133</v>
      </c>
      <c r="C1433">
        <v>2635</v>
      </c>
      <c r="D1433" t="str">
        <f>VLOOKUP(B1433,ZoneTable,2,FALSE)</f>
        <v>Brooklyn</v>
      </c>
      <c r="E1433" t="str">
        <f>VLOOKUP(B1433,ZoneTable,3,FALSE)</f>
        <v>Kensington</v>
      </c>
      <c r="F1433" t="str">
        <f>IF(OR(B1433=1,B1433=132,B1433=138),"Airports",D1433)</f>
        <v>Brooklyn</v>
      </c>
    </row>
    <row r="1434" spans="1:6">
      <c r="A1434" s="33">
        <v>42156</v>
      </c>
      <c r="B1434">
        <v>134</v>
      </c>
      <c r="C1434">
        <v>2700</v>
      </c>
      <c r="D1434" t="str">
        <f>VLOOKUP(B1434,ZoneTable,2,FALSE)</f>
        <v>Queens</v>
      </c>
      <c r="E1434" t="str">
        <f>VLOOKUP(B1434,ZoneTable,3,FALSE)</f>
        <v>Kew Gardens</v>
      </c>
      <c r="F1434" t="str">
        <f>IF(OR(B1434=1,B1434=132,B1434=138),"Airports",D1434)</f>
        <v>Queens</v>
      </c>
    </row>
    <row r="1435" spans="1:6">
      <c r="A1435" s="33">
        <v>42156</v>
      </c>
      <c r="B1435">
        <v>135</v>
      </c>
      <c r="C1435">
        <v>2053</v>
      </c>
      <c r="D1435" t="str">
        <f>VLOOKUP(B1435,ZoneTable,2,FALSE)</f>
        <v>Queens</v>
      </c>
      <c r="E1435" t="str">
        <f>VLOOKUP(B1435,ZoneTable,3,FALSE)</f>
        <v>Kew Gardens Hills</v>
      </c>
      <c r="F1435" t="str">
        <f>IF(OR(B1435=1,B1435=132,B1435=138),"Airports",D1435)</f>
        <v>Queens</v>
      </c>
    </row>
    <row r="1436" spans="1:6">
      <c r="A1436" s="33">
        <v>42156</v>
      </c>
      <c r="B1436">
        <v>136</v>
      </c>
      <c r="C1436">
        <v>869</v>
      </c>
      <c r="D1436" t="str">
        <f>VLOOKUP(B1436,ZoneTable,2,FALSE)</f>
        <v>Bronx</v>
      </c>
      <c r="E1436" t="str">
        <f>VLOOKUP(B1436,ZoneTable,3,FALSE)</f>
        <v>Kingsbridge Heights</v>
      </c>
      <c r="F1436" t="str">
        <f>IF(OR(B1436=1,B1436=132,B1436=138),"Airports",D1436)</f>
        <v>Bronx</v>
      </c>
    </row>
    <row r="1437" spans="1:6">
      <c r="A1437" s="33">
        <v>42156</v>
      </c>
      <c r="B1437">
        <v>137</v>
      </c>
      <c r="C1437">
        <v>25057</v>
      </c>
      <c r="D1437" t="str">
        <f>VLOOKUP(B1437,ZoneTable,2,FALSE)</f>
        <v>Manhattan</v>
      </c>
      <c r="E1437" t="str">
        <f>VLOOKUP(B1437,ZoneTable,3,FALSE)</f>
        <v>Kips Bay</v>
      </c>
      <c r="F1437" t="str">
        <f>IF(OR(B1437=1,B1437=132,B1437=138),"Airports",D1437)</f>
        <v>Manhattan</v>
      </c>
    </row>
    <row r="1438" spans="1:6">
      <c r="A1438" s="33">
        <v>42156</v>
      </c>
      <c r="B1438">
        <v>138</v>
      </c>
      <c r="C1438">
        <v>58522</v>
      </c>
      <c r="D1438" t="str">
        <f>VLOOKUP(B1438,ZoneTable,2,FALSE)</f>
        <v>Queens</v>
      </c>
      <c r="E1438" t="str">
        <f>VLOOKUP(B1438,ZoneTable,3,FALSE)</f>
        <v>LaGuardia Airport</v>
      </c>
      <c r="F1438" t="str">
        <f>IF(OR(B1438=1,B1438=132,B1438=138),"Airports",D1438)</f>
        <v>Airports</v>
      </c>
    </row>
    <row r="1439" spans="1:6">
      <c r="A1439" s="33">
        <v>42156</v>
      </c>
      <c r="B1439">
        <v>139</v>
      </c>
      <c r="C1439">
        <v>657</v>
      </c>
      <c r="D1439" t="str">
        <f>VLOOKUP(B1439,ZoneTable,2,FALSE)</f>
        <v>Queens</v>
      </c>
      <c r="E1439" t="str">
        <f>VLOOKUP(B1439,ZoneTable,3,FALSE)</f>
        <v>Laurelton</v>
      </c>
      <c r="F1439" t="str">
        <f>IF(OR(B1439=1,B1439=132,B1439=138),"Airports",D1439)</f>
        <v>Queens</v>
      </c>
    </row>
    <row r="1440" spans="1:6">
      <c r="A1440" s="33">
        <v>42156</v>
      </c>
      <c r="B1440">
        <v>140</v>
      </c>
      <c r="C1440">
        <v>24740</v>
      </c>
      <c r="D1440" t="str">
        <f>VLOOKUP(B1440,ZoneTable,2,FALSE)</f>
        <v>Manhattan</v>
      </c>
      <c r="E1440" t="str">
        <f>VLOOKUP(B1440,ZoneTable,3,FALSE)</f>
        <v>Lenox Hill East</v>
      </c>
      <c r="F1440" t="str">
        <f>IF(OR(B1440=1,B1440=132,B1440=138),"Airports",D1440)</f>
        <v>Manhattan</v>
      </c>
    </row>
    <row r="1441" spans="1:6">
      <c r="A1441" s="33">
        <v>42156</v>
      </c>
      <c r="B1441">
        <v>141</v>
      </c>
      <c r="C1441">
        <v>37241</v>
      </c>
      <c r="D1441" t="str">
        <f>VLOOKUP(B1441,ZoneTable,2,FALSE)</f>
        <v>Manhattan</v>
      </c>
      <c r="E1441" t="str">
        <f>VLOOKUP(B1441,ZoneTable,3,FALSE)</f>
        <v>Lenox Hill West</v>
      </c>
      <c r="F1441" t="str">
        <f>IF(OR(B1441=1,B1441=132,B1441=138),"Airports",D1441)</f>
        <v>Manhattan</v>
      </c>
    </row>
    <row r="1442" spans="1:6">
      <c r="A1442" s="33">
        <v>42156</v>
      </c>
      <c r="B1442">
        <v>142</v>
      </c>
      <c r="C1442">
        <v>38822</v>
      </c>
      <c r="D1442" t="str">
        <f>VLOOKUP(B1442,ZoneTable,2,FALSE)</f>
        <v>Manhattan</v>
      </c>
      <c r="E1442" t="str">
        <f>VLOOKUP(B1442,ZoneTable,3,FALSE)</f>
        <v>Lincoln Square East</v>
      </c>
      <c r="F1442" t="str">
        <f>IF(OR(B1442=1,B1442=132,B1442=138),"Airports",D1442)</f>
        <v>Manhattan</v>
      </c>
    </row>
    <row r="1443" spans="1:6">
      <c r="A1443" s="33">
        <v>42156</v>
      </c>
      <c r="B1443">
        <v>143</v>
      </c>
      <c r="C1443">
        <v>21675</v>
      </c>
      <c r="D1443" t="str">
        <f>VLOOKUP(B1443,ZoneTable,2,FALSE)</f>
        <v>Manhattan</v>
      </c>
      <c r="E1443" t="str">
        <f>VLOOKUP(B1443,ZoneTable,3,FALSE)</f>
        <v>Lincoln Square West</v>
      </c>
      <c r="F1443" t="str">
        <f>IF(OR(B1443=1,B1443=132,B1443=138),"Airports",D1443)</f>
        <v>Manhattan</v>
      </c>
    </row>
    <row r="1444" spans="1:6">
      <c r="A1444" s="33">
        <v>42156</v>
      </c>
      <c r="B1444">
        <v>144</v>
      </c>
      <c r="C1444">
        <v>47186</v>
      </c>
      <c r="D1444" t="str">
        <f>VLOOKUP(B1444,ZoneTable,2,FALSE)</f>
        <v>Manhattan</v>
      </c>
      <c r="E1444" t="str">
        <f>VLOOKUP(B1444,ZoneTable,3,FALSE)</f>
        <v>Little Italy/NoLiTa</v>
      </c>
      <c r="F1444" t="str">
        <f>IF(OR(B1444=1,B1444=132,B1444=138),"Airports",D1444)</f>
        <v>Manhattan</v>
      </c>
    </row>
    <row r="1445" spans="1:6">
      <c r="A1445" s="33">
        <v>42156</v>
      </c>
      <c r="B1445">
        <v>145</v>
      </c>
      <c r="C1445">
        <v>16384</v>
      </c>
      <c r="D1445" t="str">
        <f>VLOOKUP(B1445,ZoneTable,2,FALSE)</f>
        <v>Queens</v>
      </c>
      <c r="E1445" t="str">
        <f>VLOOKUP(B1445,ZoneTable,3,FALSE)</f>
        <v>Long Island City/Hunters Point</v>
      </c>
      <c r="F1445" t="str">
        <f>IF(OR(B1445=1,B1445=132,B1445=138),"Airports",D1445)</f>
        <v>Queens</v>
      </c>
    </row>
    <row r="1446" spans="1:6">
      <c r="A1446" s="33">
        <v>42156</v>
      </c>
      <c r="B1446">
        <v>146</v>
      </c>
      <c r="C1446">
        <v>4862</v>
      </c>
      <c r="D1446" t="str">
        <f>VLOOKUP(B1446,ZoneTable,2,FALSE)</f>
        <v>Queens</v>
      </c>
      <c r="E1446" t="str">
        <f>VLOOKUP(B1446,ZoneTable,3,FALSE)</f>
        <v>Long Island City/Queens Plaza</v>
      </c>
      <c r="F1446" t="str">
        <f>IF(OR(B1446=1,B1446=132,B1446=138),"Airports",D1446)</f>
        <v>Queens</v>
      </c>
    </row>
    <row r="1447" spans="1:6">
      <c r="A1447" s="33">
        <v>42156</v>
      </c>
      <c r="B1447">
        <v>147</v>
      </c>
      <c r="C1447">
        <v>623</v>
      </c>
      <c r="D1447" t="str">
        <f>VLOOKUP(B1447,ZoneTable,2,FALSE)</f>
        <v>Bronx</v>
      </c>
      <c r="E1447" t="str">
        <f>VLOOKUP(B1447,ZoneTable,3,FALSE)</f>
        <v>Longwood</v>
      </c>
      <c r="F1447" t="str">
        <f>IF(OR(B1447=1,B1447=132,B1447=138),"Airports",D1447)</f>
        <v>Bronx</v>
      </c>
    </row>
    <row r="1448" spans="1:6">
      <c r="A1448" s="33">
        <v>42156</v>
      </c>
      <c r="B1448">
        <v>148</v>
      </c>
      <c r="C1448">
        <v>47749</v>
      </c>
      <c r="D1448" t="str">
        <f>VLOOKUP(B1448,ZoneTable,2,FALSE)</f>
        <v>Manhattan</v>
      </c>
      <c r="E1448" t="str">
        <f>VLOOKUP(B1448,ZoneTable,3,FALSE)</f>
        <v>Lower East Side</v>
      </c>
      <c r="F1448" t="str">
        <f>IF(OR(B1448=1,B1448=132,B1448=138),"Airports",D1448)</f>
        <v>Manhattan</v>
      </c>
    </row>
    <row r="1449" spans="1:6">
      <c r="A1449" s="33">
        <v>42156</v>
      </c>
      <c r="B1449">
        <v>149</v>
      </c>
      <c r="C1449">
        <v>1824</v>
      </c>
      <c r="D1449" t="str">
        <f>VLOOKUP(B1449,ZoneTable,2,FALSE)</f>
        <v>Brooklyn</v>
      </c>
      <c r="E1449" t="str">
        <f>VLOOKUP(B1449,ZoneTable,3,FALSE)</f>
        <v>Madison</v>
      </c>
      <c r="F1449" t="str">
        <f>IF(OR(B1449=1,B1449=132,B1449=138),"Airports",D1449)</f>
        <v>Brooklyn</v>
      </c>
    </row>
    <row r="1450" spans="1:6">
      <c r="A1450" s="33">
        <v>42156</v>
      </c>
      <c r="B1450">
        <v>150</v>
      </c>
      <c r="C1450">
        <v>1128</v>
      </c>
      <c r="D1450" t="str">
        <f>VLOOKUP(B1450,ZoneTable,2,FALSE)</f>
        <v>Brooklyn</v>
      </c>
      <c r="E1450" t="str">
        <f>VLOOKUP(B1450,ZoneTable,3,FALSE)</f>
        <v>Manhattan Beach</v>
      </c>
      <c r="F1450" t="str">
        <f>IF(OR(B1450=1,B1450=132,B1450=138),"Airports",D1450)</f>
        <v>Brooklyn</v>
      </c>
    </row>
    <row r="1451" spans="1:6">
      <c r="A1451" s="33">
        <v>42156</v>
      </c>
      <c r="B1451">
        <v>151</v>
      </c>
      <c r="C1451">
        <v>11637</v>
      </c>
      <c r="D1451" t="str">
        <f>VLOOKUP(B1451,ZoneTable,2,FALSE)</f>
        <v>Manhattan</v>
      </c>
      <c r="E1451" t="str">
        <f>VLOOKUP(B1451,ZoneTable,3,FALSE)</f>
        <v>Manhattan Valley</v>
      </c>
      <c r="F1451" t="str">
        <f>IF(OR(B1451=1,B1451=132,B1451=138),"Airports",D1451)</f>
        <v>Manhattan</v>
      </c>
    </row>
    <row r="1452" spans="1:6">
      <c r="A1452" s="33">
        <v>42156</v>
      </c>
      <c r="B1452">
        <v>152</v>
      </c>
      <c r="C1452">
        <v>3545</v>
      </c>
      <c r="D1452" t="str">
        <f>VLOOKUP(B1452,ZoneTable,2,FALSE)</f>
        <v>Manhattan</v>
      </c>
      <c r="E1452" t="str">
        <f>VLOOKUP(B1452,ZoneTable,3,FALSE)</f>
        <v>Manhattanville</v>
      </c>
      <c r="F1452" t="str">
        <f>IF(OR(B1452=1,B1452=132,B1452=138),"Airports",D1452)</f>
        <v>Manhattan</v>
      </c>
    </row>
    <row r="1453" spans="1:6">
      <c r="A1453" s="33">
        <v>42156</v>
      </c>
      <c r="B1453">
        <v>153</v>
      </c>
      <c r="C1453">
        <v>603</v>
      </c>
      <c r="D1453" t="str">
        <f>VLOOKUP(B1453,ZoneTable,2,FALSE)</f>
        <v>Manhattan</v>
      </c>
      <c r="E1453" t="str">
        <f>VLOOKUP(B1453,ZoneTable,3,FALSE)</f>
        <v>Marble Hill</v>
      </c>
      <c r="F1453" t="str">
        <f>IF(OR(B1453=1,B1453=132,B1453=138),"Airports",D1453)</f>
        <v>Manhattan</v>
      </c>
    </row>
    <row r="1454" spans="1:6">
      <c r="A1454" s="33">
        <v>42156</v>
      </c>
      <c r="B1454">
        <v>154</v>
      </c>
      <c r="C1454">
        <v>185</v>
      </c>
      <c r="D1454" t="str">
        <f>VLOOKUP(B1454,ZoneTable,2,FALSE)</f>
        <v>Brooklyn</v>
      </c>
      <c r="E1454" t="str">
        <f>VLOOKUP(B1454,ZoneTable,3,FALSE)</f>
        <v>Marine Park/Floyd Bennett Field</v>
      </c>
      <c r="F1454" t="str">
        <f>IF(OR(B1454=1,B1454=132,B1454=138),"Airports",D1454)</f>
        <v>Brooklyn</v>
      </c>
    </row>
    <row r="1455" spans="1:6">
      <c r="A1455" s="33">
        <v>42156</v>
      </c>
      <c r="B1455">
        <v>155</v>
      </c>
      <c r="C1455">
        <v>2141</v>
      </c>
      <c r="D1455" t="str">
        <f>VLOOKUP(B1455,ZoneTable,2,FALSE)</f>
        <v>Brooklyn</v>
      </c>
      <c r="E1455" t="str">
        <f>VLOOKUP(B1455,ZoneTable,3,FALSE)</f>
        <v>Marine Park/Mill Basin</v>
      </c>
      <c r="F1455" t="str">
        <f>IF(OR(B1455=1,B1455=132,B1455=138),"Airports",D1455)</f>
        <v>Brooklyn</v>
      </c>
    </row>
    <row r="1456" spans="1:6">
      <c r="A1456" s="33">
        <v>42156</v>
      </c>
      <c r="B1456">
        <v>156</v>
      </c>
      <c r="C1456">
        <v>89</v>
      </c>
      <c r="D1456" t="str">
        <f>VLOOKUP(B1456,ZoneTable,2,FALSE)</f>
        <v>Staten Island</v>
      </c>
      <c r="E1456" t="str">
        <f>VLOOKUP(B1456,ZoneTable,3,FALSE)</f>
        <v>Mariners Harbor</v>
      </c>
      <c r="F1456" t="str">
        <f>IF(OR(B1456=1,B1456=132,B1456=138),"Airports",D1456)</f>
        <v>Staten Island</v>
      </c>
    </row>
    <row r="1457" spans="1:6">
      <c r="A1457" s="33">
        <v>42156</v>
      </c>
      <c r="B1457">
        <v>157</v>
      </c>
      <c r="C1457">
        <v>3113</v>
      </c>
      <c r="D1457" t="str">
        <f>VLOOKUP(B1457,ZoneTable,2,FALSE)</f>
        <v>Queens</v>
      </c>
      <c r="E1457" t="str">
        <f>VLOOKUP(B1457,ZoneTable,3,FALSE)</f>
        <v>Maspeth</v>
      </c>
      <c r="F1457" t="str">
        <f>IF(OR(B1457=1,B1457=132,B1457=138),"Airports",D1457)</f>
        <v>Queens</v>
      </c>
    </row>
    <row r="1458" spans="1:6">
      <c r="A1458" s="33">
        <v>42156</v>
      </c>
      <c r="B1458">
        <v>158</v>
      </c>
      <c r="C1458">
        <v>53985</v>
      </c>
      <c r="D1458" t="str">
        <f>VLOOKUP(B1458,ZoneTable,2,FALSE)</f>
        <v>Manhattan</v>
      </c>
      <c r="E1458" t="str">
        <f>VLOOKUP(B1458,ZoneTable,3,FALSE)</f>
        <v>Meatpacking/West Village West</v>
      </c>
      <c r="F1458" t="str">
        <f>IF(OR(B1458=1,B1458=132,B1458=138),"Airports",D1458)</f>
        <v>Manhattan</v>
      </c>
    </row>
    <row r="1459" spans="1:6">
      <c r="A1459" s="33">
        <v>42156</v>
      </c>
      <c r="B1459">
        <v>159</v>
      </c>
      <c r="C1459">
        <v>1394</v>
      </c>
      <c r="D1459" t="str">
        <f>VLOOKUP(B1459,ZoneTable,2,FALSE)</f>
        <v>Bronx</v>
      </c>
      <c r="E1459" t="str">
        <f>VLOOKUP(B1459,ZoneTable,3,FALSE)</f>
        <v>Melrose South</v>
      </c>
      <c r="F1459" t="str">
        <f>IF(OR(B1459=1,B1459=132,B1459=138),"Airports",D1459)</f>
        <v>Bronx</v>
      </c>
    </row>
    <row r="1460" spans="1:6">
      <c r="A1460" s="33">
        <v>42156</v>
      </c>
      <c r="B1460">
        <v>160</v>
      </c>
      <c r="C1460">
        <v>2372</v>
      </c>
      <c r="D1460" t="str">
        <f>VLOOKUP(B1460,ZoneTable,2,FALSE)</f>
        <v>Queens</v>
      </c>
      <c r="E1460" t="str">
        <f>VLOOKUP(B1460,ZoneTable,3,FALSE)</f>
        <v>Middle Village</v>
      </c>
      <c r="F1460" t="str">
        <f>IF(OR(B1460=1,B1460=132,B1460=138),"Airports",D1460)</f>
        <v>Queens</v>
      </c>
    </row>
    <row r="1461" spans="1:6">
      <c r="A1461" s="33">
        <v>42156</v>
      </c>
      <c r="B1461">
        <v>161</v>
      </c>
      <c r="C1461">
        <v>87995</v>
      </c>
      <c r="D1461" t="str">
        <f>VLOOKUP(B1461,ZoneTable,2,FALSE)</f>
        <v>Manhattan</v>
      </c>
      <c r="E1461" t="str">
        <f>VLOOKUP(B1461,ZoneTable,3,FALSE)</f>
        <v>Midtown Center</v>
      </c>
      <c r="F1461" t="str">
        <f>IF(OR(B1461=1,B1461=132,B1461=138),"Airports",D1461)</f>
        <v>Manhattan</v>
      </c>
    </row>
    <row r="1462" spans="1:6">
      <c r="A1462" s="33">
        <v>42156</v>
      </c>
      <c r="B1462">
        <v>162</v>
      </c>
      <c r="C1462">
        <v>55372</v>
      </c>
      <c r="D1462" t="str">
        <f>VLOOKUP(B1462,ZoneTable,2,FALSE)</f>
        <v>Manhattan</v>
      </c>
      <c r="E1462" t="str">
        <f>VLOOKUP(B1462,ZoneTable,3,FALSE)</f>
        <v>Midtown East</v>
      </c>
      <c r="F1462" t="str">
        <f>IF(OR(B1462=1,B1462=132,B1462=138),"Airports",D1462)</f>
        <v>Manhattan</v>
      </c>
    </row>
    <row r="1463" spans="1:6">
      <c r="A1463" s="33">
        <v>42156</v>
      </c>
      <c r="B1463">
        <v>163</v>
      </c>
      <c r="C1463">
        <v>58465</v>
      </c>
      <c r="D1463" t="str">
        <f>VLOOKUP(B1463,ZoneTable,2,FALSE)</f>
        <v>Manhattan</v>
      </c>
      <c r="E1463" t="str">
        <f>VLOOKUP(B1463,ZoneTable,3,FALSE)</f>
        <v>Midtown North</v>
      </c>
      <c r="F1463" t="str">
        <f>IF(OR(B1463=1,B1463=132,B1463=138),"Airports",D1463)</f>
        <v>Manhattan</v>
      </c>
    </row>
    <row r="1464" spans="1:6">
      <c r="A1464" s="33">
        <v>42156</v>
      </c>
      <c r="B1464">
        <v>164</v>
      </c>
      <c r="C1464">
        <v>51954</v>
      </c>
      <c r="D1464" t="str">
        <f>VLOOKUP(B1464,ZoneTable,2,FALSE)</f>
        <v>Manhattan</v>
      </c>
      <c r="E1464" t="str">
        <f>VLOOKUP(B1464,ZoneTable,3,FALSE)</f>
        <v>Midtown South</v>
      </c>
      <c r="F1464" t="str">
        <f>IF(OR(B1464=1,B1464=132,B1464=138),"Airports",D1464)</f>
        <v>Manhattan</v>
      </c>
    </row>
    <row r="1465" spans="1:6">
      <c r="A1465" s="33">
        <v>42156</v>
      </c>
      <c r="B1465">
        <v>165</v>
      </c>
      <c r="C1465">
        <v>3700</v>
      </c>
      <c r="D1465" t="str">
        <f>VLOOKUP(B1465,ZoneTable,2,FALSE)</f>
        <v>Brooklyn</v>
      </c>
      <c r="E1465" t="str">
        <f>VLOOKUP(B1465,ZoneTable,3,FALSE)</f>
        <v>Midwood</v>
      </c>
      <c r="F1465" t="str">
        <f>IF(OR(B1465=1,B1465=132,B1465=138),"Airports",D1465)</f>
        <v>Brooklyn</v>
      </c>
    </row>
    <row r="1466" spans="1:6">
      <c r="A1466" s="33">
        <v>42156</v>
      </c>
      <c r="B1466">
        <v>166</v>
      </c>
      <c r="C1466">
        <v>9425</v>
      </c>
      <c r="D1466" t="str">
        <f>VLOOKUP(B1466,ZoneTable,2,FALSE)</f>
        <v>Manhattan</v>
      </c>
      <c r="E1466" t="str">
        <f>VLOOKUP(B1466,ZoneTable,3,FALSE)</f>
        <v>Morningside Heights</v>
      </c>
      <c r="F1466" t="str">
        <f>IF(OR(B1466=1,B1466=132,B1466=138),"Airports",D1466)</f>
        <v>Manhattan</v>
      </c>
    </row>
    <row r="1467" spans="1:6">
      <c r="A1467" s="33">
        <v>42156</v>
      </c>
      <c r="B1467">
        <v>167</v>
      </c>
      <c r="C1467">
        <v>1269</v>
      </c>
      <c r="D1467" t="str">
        <f>VLOOKUP(B1467,ZoneTable,2,FALSE)</f>
        <v>Bronx</v>
      </c>
      <c r="E1467" t="str">
        <f>VLOOKUP(B1467,ZoneTable,3,FALSE)</f>
        <v>Morrisania/Melrose</v>
      </c>
      <c r="F1467" t="str">
        <f>IF(OR(B1467=1,B1467=132,B1467=138),"Airports",D1467)</f>
        <v>Bronx</v>
      </c>
    </row>
    <row r="1468" spans="1:6">
      <c r="A1468" s="33">
        <v>42156</v>
      </c>
      <c r="B1468">
        <v>168</v>
      </c>
      <c r="C1468">
        <v>2567</v>
      </c>
      <c r="D1468" t="str">
        <f>VLOOKUP(B1468,ZoneTable,2,FALSE)</f>
        <v>Bronx</v>
      </c>
      <c r="E1468" t="str">
        <f>VLOOKUP(B1468,ZoneTable,3,FALSE)</f>
        <v>Mott Haven/Port Morris</v>
      </c>
      <c r="F1468" t="str">
        <f>IF(OR(B1468=1,B1468=132,B1468=138),"Airports",D1468)</f>
        <v>Bronx</v>
      </c>
    </row>
    <row r="1469" spans="1:6">
      <c r="A1469" s="33">
        <v>42156</v>
      </c>
      <c r="B1469">
        <v>169</v>
      </c>
      <c r="C1469">
        <v>1300</v>
      </c>
      <c r="D1469" t="str">
        <f>VLOOKUP(B1469,ZoneTable,2,FALSE)</f>
        <v>Bronx</v>
      </c>
      <c r="E1469" t="str">
        <f>VLOOKUP(B1469,ZoneTable,3,FALSE)</f>
        <v>Mount Hope</v>
      </c>
      <c r="F1469" t="str">
        <f>IF(OR(B1469=1,B1469=132,B1469=138),"Airports",D1469)</f>
        <v>Bronx</v>
      </c>
    </row>
    <row r="1470" spans="1:6">
      <c r="A1470" s="33">
        <v>42156</v>
      </c>
      <c r="B1470">
        <v>170</v>
      </c>
      <c r="C1470">
        <v>57652</v>
      </c>
      <c r="D1470" t="str">
        <f>VLOOKUP(B1470,ZoneTable,2,FALSE)</f>
        <v>Manhattan</v>
      </c>
      <c r="E1470" t="str">
        <f>VLOOKUP(B1470,ZoneTable,3,FALSE)</f>
        <v>Murray Hill</v>
      </c>
      <c r="F1470" t="str">
        <f>IF(OR(B1470=1,B1470=132,B1470=138),"Airports",D1470)</f>
        <v>Manhattan</v>
      </c>
    </row>
    <row r="1471" spans="1:6">
      <c r="A1471" s="33">
        <v>42156</v>
      </c>
      <c r="B1471">
        <v>171</v>
      </c>
      <c r="C1471">
        <v>1355</v>
      </c>
      <c r="D1471" t="str">
        <f>VLOOKUP(B1471,ZoneTable,2,FALSE)</f>
        <v>Queens</v>
      </c>
      <c r="E1471" t="str">
        <f>VLOOKUP(B1471,ZoneTable,3,FALSE)</f>
        <v>Murray Hill-Queens</v>
      </c>
      <c r="F1471" t="str">
        <f>IF(OR(B1471=1,B1471=132,B1471=138),"Airports",D1471)</f>
        <v>Queens</v>
      </c>
    </row>
    <row r="1472" spans="1:6">
      <c r="A1472" s="33">
        <v>42156</v>
      </c>
      <c r="B1472">
        <v>172</v>
      </c>
      <c r="C1472">
        <v>61</v>
      </c>
      <c r="D1472" t="str">
        <f>VLOOKUP(B1472,ZoneTable,2,FALSE)</f>
        <v>Staten Island</v>
      </c>
      <c r="E1472" t="str">
        <f>VLOOKUP(B1472,ZoneTable,3,FALSE)</f>
        <v>New Dorp/Midland Beach</v>
      </c>
      <c r="F1472" t="str">
        <f>IF(OR(B1472=1,B1472=132,B1472=138),"Airports",D1472)</f>
        <v>Staten Island</v>
      </c>
    </row>
    <row r="1473" spans="1:6">
      <c r="A1473" s="33">
        <v>42156</v>
      </c>
      <c r="B1473">
        <v>173</v>
      </c>
      <c r="C1473">
        <v>958</v>
      </c>
      <c r="D1473" t="str">
        <f>VLOOKUP(B1473,ZoneTable,2,FALSE)</f>
        <v>Queens</v>
      </c>
      <c r="E1473" t="str">
        <f>VLOOKUP(B1473,ZoneTable,3,FALSE)</f>
        <v>North Corona</v>
      </c>
      <c r="F1473" t="str">
        <f>IF(OR(B1473=1,B1473=132,B1473=138),"Airports",D1473)</f>
        <v>Queens</v>
      </c>
    </row>
    <row r="1474" spans="1:6">
      <c r="A1474" s="33">
        <v>42156</v>
      </c>
      <c r="B1474">
        <v>174</v>
      </c>
      <c r="C1474">
        <v>1561</v>
      </c>
      <c r="D1474" t="str">
        <f>VLOOKUP(B1474,ZoneTable,2,FALSE)</f>
        <v>Bronx</v>
      </c>
      <c r="E1474" t="str">
        <f>VLOOKUP(B1474,ZoneTable,3,FALSE)</f>
        <v>Norwood</v>
      </c>
      <c r="F1474" t="str">
        <f>IF(OR(B1474=1,B1474=132,B1474=138),"Airports",D1474)</f>
        <v>Bronx</v>
      </c>
    </row>
    <row r="1475" spans="1:6">
      <c r="A1475" s="33">
        <v>42156</v>
      </c>
      <c r="B1475">
        <v>175</v>
      </c>
      <c r="C1475">
        <v>783</v>
      </c>
      <c r="D1475" t="str">
        <f>VLOOKUP(B1475,ZoneTable,2,FALSE)</f>
        <v>Queens</v>
      </c>
      <c r="E1475" t="str">
        <f>VLOOKUP(B1475,ZoneTable,3,FALSE)</f>
        <v>Oakland Gardens</v>
      </c>
      <c r="F1475" t="str">
        <f>IF(OR(B1475=1,B1475=132,B1475=138),"Airports",D1475)</f>
        <v>Queens</v>
      </c>
    </row>
    <row r="1476" spans="1:6">
      <c r="A1476" s="33">
        <v>42156</v>
      </c>
      <c r="B1476">
        <v>176</v>
      </c>
      <c r="C1476">
        <v>45</v>
      </c>
      <c r="D1476" t="str">
        <f>VLOOKUP(B1476,ZoneTable,2,FALSE)</f>
        <v>Staten Island</v>
      </c>
      <c r="E1476" t="str">
        <f>VLOOKUP(B1476,ZoneTable,3,FALSE)</f>
        <v>Oakwood</v>
      </c>
      <c r="F1476" t="str">
        <f>IF(OR(B1476=1,B1476=132,B1476=138),"Airports",D1476)</f>
        <v>Staten Island</v>
      </c>
    </row>
    <row r="1477" spans="1:6">
      <c r="A1477" s="33">
        <v>42156</v>
      </c>
      <c r="B1477">
        <v>177</v>
      </c>
      <c r="C1477">
        <v>2904</v>
      </c>
      <c r="D1477" t="str">
        <f>VLOOKUP(B1477,ZoneTable,2,FALSE)</f>
        <v>Brooklyn</v>
      </c>
      <c r="E1477" t="str">
        <f>VLOOKUP(B1477,ZoneTable,3,FALSE)</f>
        <v>Ocean Hill</v>
      </c>
      <c r="F1477" t="str">
        <f>IF(OR(B1477=1,B1477=132,B1477=138),"Airports",D1477)</f>
        <v>Brooklyn</v>
      </c>
    </row>
    <row r="1478" spans="1:6">
      <c r="A1478" s="33">
        <v>42156</v>
      </c>
      <c r="B1478">
        <v>178</v>
      </c>
      <c r="C1478">
        <v>1464</v>
      </c>
      <c r="D1478" t="str">
        <f>VLOOKUP(B1478,ZoneTable,2,FALSE)</f>
        <v>Brooklyn</v>
      </c>
      <c r="E1478" t="str">
        <f>VLOOKUP(B1478,ZoneTable,3,FALSE)</f>
        <v>Ocean Parkway South</v>
      </c>
      <c r="F1478" t="str">
        <f>IF(OR(B1478=1,B1478=132,B1478=138),"Airports",D1478)</f>
        <v>Brooklyn</v>
      </c>
    </row>
    <row r="1479" spans="1:6">
      <c r="A1479" s="33">
        <v>42156</v>
      </c>
      <c r="B1479">
        <v>179</v>
      </c>
      <c r="C1479">
        <v>5693</v>
      </c>
      <c r="D1479" t="str">
        <f>VLOOKUP(B1479,ZoneTable,2,FALSE)</f>
        <v>Queens</v>
      </c>
      <c r="E1479" t="str">
        <f>VLOOKUP(B1479,ZoneTable,3,FALSE)</f>
        <v>Old Astoria</v>
      </c>
      <c r="F1479" t="str">
        <f>IF(OR(B1479=1,B1479=132,B1479=138),"Airports",D1479)</f>
        <v>Queens</v>
      </c>
    </row>
    <row r="1480" spans="1:6">
      <c r="A1480" s="33">
        <v>42156</v>
      </c>
      <c r="B1480">
        <v>180</v>
      </c>
      <c r="C1480">
        <v>1216</v>
      </c>
      <c r="D1480" t="str">
        <f>VLOOKUP(B1480,ZoneTable,2,FALSE)</f>
        <v>Queens</v>
      </c>
      <c r="E1480" t="str">
        <f>VLOOKUP(B1480,ZoneTable,3,FALSE)</f>
        <v>Ozone Park</v>
      </c>
      <c r="F1480" t="str">
        <f>IF(OR(B1480=1,B1480=132,B1480=138),"Airports",D1480)</f>
        <v>Queens</v>
      </c>
    </row>
    <row r="1481" spans="1:6">
      <c r="A1481" s="33">
        <v>42156</v>
      </c>
      <c r="B1481">
        <v>181</v>
      </c>
      <c r="C1481">
        <v>32463</v>
      </c>
      <c r="D1481" t="str">
        <f>VLOOKUP(B1481,ZoneTable,2,FALSE)</f>
        <v>Brooklyn</v>
      </c>
      <c r="E1481" t="str">
        <f>VLOOKUP(B1481,ZoneTable,3,FALSE)</f>
        <v>Park Slope</v>
      </c>
      <c r="F1481" t="str">
        <f>IF(OR(B1481=1,B1481=132,B1481=138),"Airports",D1481)</f>
        <v>Brooklyn</v>
      </c>
    </row>
    <row r="1482" spans="1:6">
      <c r="A1482" s="33">
        <v>42156</v>
      </c>
      <c r="B1482">
        <v>182</v>
      </c>
      <c r="C1482">
        <v>889</v>
      </c>
      <c r="D1482" t="str">
        <f>VLOOKUP(B1482,ZoneTable,2,FALSE)</f>
        <v>Bronx</v>
      </c>
      <c r="E1482" t="str">
        <f>VLOOKUP(B1482,ZoneTable,3,FALSE)</f>
        <v>Parkchester</v>
      </c>
      <c r="F1482" t="str">
        <f>IF(OR(B1482=1,B1482=132,B1482=138),"Airports",D1482)</f>
        <v>Bronx</v>
      </c>
    </row>
    <row r="1483" spans="1:6">
      <c r="A1483" s="33">
        <v>42156</v>
      </c>
      <c r="B1483">
        <v>183</v>
      </c>
      <c r="C1483">
        <v>535</v>
      </c>
      <c r="D1483" t="str">
        <f>VLOOKUP(B1483,ZoneTable,2,FALSE)</f>
        <v>Bronx</v>
      </c>
      <c r="E1483" t="str">
        <f>VLOOKUP(B1483,ZoneTable,3,FALSE)</f>
        <v>Pelham Bay</v>
      </c>
      <c r="F1483" t="str">
        <f>IF(OR(B1483=1,B1483=132,B1483=138),"Airports",D1483)</f>
        <v>Bronx</v>
      </c>
    </row>
    <row r="1484" spans="1:6">
      <c r="A1484" s="33">
        <v>42156</v>
      </c>
      <c r="B1484">
        <v>184</v>
      </c>
      <c r="C1484">
        <v>162</v>
      </c>
      <c r="D1484" t="str">
        <f>VLOOKUP(B1484,ZoneTable,2,FALSE)</f>
        <v>Bronx</v>
      </c>
      <c r="E1484" t="str">
        <f>VLOOKUP(B1484,ZoneTable,3,FALSE)</f>
        <v>Pelham Bay Park</v>
      </c>
      <c r="F1484" t="str">
        <f>IF(OR(B1484=1,B1484=132,B1484=138),"Airports",D1484)</f>
        <v>Bronx</v>
      </c>
    </row>
    <row r="1485" spans="1:6">
      <c r="A1485" s="33">
        <v>42156</v>
      </c>
      <c r="B1485">
        <v>185</v>
      </c>
      <c r="C1485">
        <v>1616</v>
      </c>
      <c r="D1485" t="str">
        <f>VLOOKUP(B1485,ZoneTable,2,FALSE)</f>
        <v>Bronx</v>
      </c>
      <c r="E1485" t="str">
        <f>VLOOKUP(B1485,ZoneTable,3,FALSE)</f>
        <v>Pelham Parkway</v>
      </c>
      <c r="F1485" t="str">
        <f>IF(OR(B1485=1,B1485=132,B1485=138),"Airports",D1485)</f>
        <v>Bronx</v>
      </c>
    </row>
    <row r="1486" spans="1:6">
      <c r="A1486" s="33">
        <v>42156</v>
      </c>
      <c r="B1486">
        <v>186</v>
      </c>
      <c r="C1486">
        <v>39773</v>
      </c>
      <c r="D1486" t="str">
        <f>VLOOKUP(B1486,ZoneTable,2,FALSE)</f>
        <v>Manhattan</v>
      </c>
      <c r="E1486" t="str">
        <f>VLOOKUP(B1486,ZoneTable,3,FALSE)</f>
        <v>Penn Station/Madison Sq West</v>
      </c>
      <c r="F1486" t="str">
        <f>IF(OR(B1486=1,B1486=132,B1486=138),"Airports",D1486)</f>
        <v>Manhattan</v>
      </c>
    </row>
    <row r="1487" spans="1:6">
      <c r="A1487" s="33">
        <v>42156</v>
      </c>
      <c r="B1487">
        <v>187</v>
      </c>
      <c r="C1487">
        <v>58</v>
      </c>
      <c r="D1487" t="str">
        <f>VLOOKUP(B1487,ZoneTable,2,FALSE)</f>
        <v>Staten Island</v>
      </c>
      <c r="E1487" t="str">
        <f>VLOOKUP(B1487,ZoneTable,3,FALSE)</f>
        <v>Port Richmond</v>
      </c>
      <c r="F1487" t="str">
        <f>IF(OR(B1487=1,B1487=132,B1487=138),"Airports",D1487)</f>
        <v>Staten Island</v>
      </c>
    </row>
    <row r="1488" spans="1:6">
      <c r="A1488" s="33">
        <v>42156</v>
      </c>
      <c r="B1488">
        <v>188</v>
      </c>
      <c r="C1488">
        <v>8848</v>
      </c>
      <c r="D1488" t="str">
        <f>VLOOKUP(B1488,ZoneTable,2,FALSE)</f>
        <v>Brooklyn</v>
      </c>
      <c r="E1488" t="str">
        <f>VLOOKUP(B1488,ZoneTable,3,FALSE)</f>
        <v>Prospect-Lefferts Gardens</v>
      </c>
      <c r="F1488" t="str">
        <f>IF(OR(B1488=1,B1488=132,B1488=138),"Airports",D1488)</f>
        <v>Brooklyn</v>
      </c>
    </row>
    <row r="1489" spans="1:6">
      <c r="A1489" s="33">
        <v>42156</v>
      </c>
      <c r="B1489">
        <v>189</v>
      </c>
      <c r="C1489">
        <v>11125</v>
      </c>
      <c r="D1489" t="str">
        <f>VLOOKUP(B1489,ZoneTable,2,FALSE)</f>
        <v>Brooklyn</v>
      </c>
      <c r="E1489" t="str">
        <f>VLOOKUP(B1489,ZoneTable,3,FALSE)</f>
        <v>Prospect Heights</v>
      </c>
      <c r="F1489" t="str">
        <f>IF(OR(B1489=1,B1489=132,B1489=138),"Airports",D1489)</f>
        <v>Brooklyn</v>
      </c>
    </row>
    <row r="1490" spans="1:6">
      <c r="A1490" s="33">
        <v>42156</v>
      </c>
      <c r="B1490">
        <v>190</v>
      </c>
      <c r="C1490">
        <v>1786</v>
      </c>
      <c r="D1490" t="str">
        <f>VLOOKUP(B1490,ZoneTable,2,FALSE)</f>
        <v>Brooklyn</v>
      </c>
      <c r="E1490" t="str">
        <f>VLOOKUP(B1490,ZoneTable,3,FALSE)</f>
        <v>Prospect Park</v>
      </c>
      <c r="F1490" t="str">
        <f>IF(OR(B1490=1,B1490=132,B1490=138),"Airports",D1490)</f>
        <v>Brooklyn</v>
      </c>
    </row>
    <row r="1491" spans="1:6">
      <c r="A1491" s="33">
        <v>42156</v>
      </c>
      <c r="B1491">
        <v>191</v>
      </c>
      <c r="C1491">
        <v>1275</v>
      </c>
      <c r="D1491" t="str">
        <f>VLOOKUP(B1491,ZoneTable,2,FALSE)</f>
        <v>Queens</v>
      </c>
      <c r="E1491" t="str">
        <f>VLOOKUP(B1491,ZoneTable,3,FALSE)</f>
        <v>Queens Village</v>
      </c>
      <c r="F1491" t="str">
        <f>IF(OR(B1491=1,B1491=132,B1491=138),"Airports",D1491)</f>
        <v>Queens</v>
      </c>
    </row>
    <row r="1492" spans="1:6">
      <c r="A1492" s="33">
        <v>42156</v>
      </c>
      <c r="B1492">
        <v>192</v>
      </c>
      <c r="C1492">
        <v>1378</v>
      </c>
      <c r="D1492" t="str">
        <f>VLOOKUP(B1492,ZoneTable,2,FALSE)</f>
        <v>Queens</v>
      </c>
      <c r="E1492" t="str">
        <f>VLOOKUP(B1492,ZoneTable,3,FALSE)</f>
        <v>Queensboro Hill</v>
      </c>
      <c r="F1492" t="str">
        <f>IF(OR(B1492=1,B1492=132,B1492=138),"Airports",D1492)</f>
        <v>Queens</v>
      </c>
    </row>
    <row r="1493" spans="1:6">
      <c r="A1493" s="33">
        <v>42156</v>
      </c>
      <c r="B1493">
        <v>193</v>
      </c>
      <c r="C1493">
        <v>1188</v>
      </c>
      <c r="D1493" t="str">
        <f>VLOOKUP(B1493,ZoneTable,2,FALSE)</f>
        <v>Queens</v>
      </c>
      <c r="E1493" t="str">
        <f>VLOOKUP(B1493,ZoneTable,3,FALSE)</f>
        <v>Queensbridge/Ravenswood</v>
      </c>
      <c r="F1493" t="str">
        <f>IF(OR(B1493=1,B1493=132,B1493=138),"Airports",D1493)</f>
        <v>Queens</v>
      </c>
    </row>
    <row r="1494" spans="1:6">
      <c r="A1494" s="33">
        <v>42156</v>
      </c>
      <c r="B1494">
        <v>194</v>
      </c>
      <c r="C1494">
        <v>888</v>
      </c>
      <c r="D1494" t="str">
        <f>VLOOKUP(B1494,ZoneTable,2,FALSE)</f>
        <v>Manhattan</v>
      </c>
      <c r="E1494" t="str">
        <f>VLOOKUP(B1494,ZoneTable,3,FALSE)</f>
        <v>Randalls Island</v>
      </c>
      <c r="F1494" t="str">
        <f>IF(OR(B1494=1,B1494=132,B1494=138),"Airports",D1494)</f>
        <v>Manhattan</v>
      </c>
    </row>
    <row r="1495" spans="1:6">
      <c r="A1495" s="33">
        <v>42156</v>
      </c>
      <c r="B1495">
        <v>195</v>
      </c>
      <c r="C1495">
        <v>5127</v>
      </c>
      <c r="D1495" t="str">
        <f>VLOOKUP(B1495,ZoneTable,2,FALSE)</f>
        <v>Brooklyn</v>
      </c>
      <c r="E1495" t="str">
        <f>VLOOKUP(B1495,ZoneTable,3,FALSE)</f>
        <v>Red Hook</v>
      </c>
      <c r="F1495" t="str">
        <f>IF(OR(B1495=1,B1495=132,B1495=138),"Airports",D1495)</f>
        <v>Brooklyn</v>
      </c>
    </row>
    <row r="1496" spans="1:6">
      <c r="A1496" s="33">
        <v>42156</v>
      </c>
      <c r="B1496">
        <v>196</v>
      </c>
      <c r="C1496">
        <v>2670</v>
      </c>
      <c r="D1496" t="str">
        <f>VLOOKUP(B1496,ZoneTable,2,FALSE)</f>
        <v>Queens</v>
      </c>
      <c r="E1496" t="str">
        <f>VLOOKUP(B1496,ZoneTable,3,FALSE)</f>
        <v>Rego Park</v>
      </c>
      <c r="F1496" t="str">
        <f>IF(OR(B1496=1,B1496=132,B1496=138),"Airports",D1496)</f>
        <v>Queens</v>
      </c>
    </row>
    <row r="1497" spans="1:6">
      <c r="A1497" s="33">
        <v>42156</v>
      </c>
      <c r="B1497">
        <v>197</v>
      </c>
      <c r="C1497">
        <v>2601</v>
      </c>
      <c r="D1497" t="str">
        <f>VLOOKUP(B1497,ZoneTable,2,FALSE)</f>
        <v>Queens</v>
      </c>
      <c r="E1497" t="str">
        <f>VLOOKUP(B1497,ZoneTable,3,FALSE)</f>
        <v>Richmond Hill</v>
      </c>
      <c r="F1497" t="str">
        <f>IF(OR(B1497=1,B1497=132,B1497=138),"Airports",D1497)</f>
        <v>Queens</v>
      </c>
    </row>
    <row r="1498" spans="1:6">
      <c r="A1498" s="33">
        <v>42156</v>
      </c>
      <c r="B1498">
        <v>198</v>
      </c>
      <c r="C1498">
        <v>5827</v>
      </c>
      <c r="D1498" t="str">
        <f>VLOOKUP(B1498,ZoneTable,2,FALSE)</f>
        <v>Queens</v>
      </c>
      <c r="E1498" t="str">
        <f>VLOOKUP(B1498,ZoneTable,3,FALSE)</f>
        <v>Ridgewood</v>
      </c>
      <c r="F1498" t="str">
        <f>IF(OR(B1498=1,B1498=132,B1498=138),"Airports",D1498)</f>
        <v>Queens</v>
      </c>
    </row>
    <row r="1499" spans="1:6">
      <c r="A1499" s="33">
        <v>42156</v>
      </c>
      <c r="B1499">
        <v>200</v>
      </c>
      <c r="C1499">
        <v>3070</v>
      </c>
      <c r="D1499" t="str">
        <f>VLOOKUP(B1499,ZoneTable,2,FALSE)</f>
        <v>Bronx</v>
      </c>
      <c r="E1499" t="str">
        <f>VLOOKUP(B1499,ZoneTable,3,FALSE)</f>
        <v>Riverdale/North Riverdale/Fieldston</v>
      </c>
      <c r="F1499" t="str">
        <f>IF(OR(B1499=1,B1499=132,B1499=138),"Airports",D1499)</f>
        <v>Bronx</v>
      </c>
    </row>
    <row r="1500" spans="1:6">
      <c r="A1500" s="33">
        <v>42156</v>
      </c>
      <c r="B1500">
        <v>201</v>
      </c>
      <c r="C1500">
        <v>156</v>
      </c>
      <c r="D1500" t="str">
        <f>VLOOKUP(B1500,ZoneTable,2,FALSE)</f>
        <v>Queens</v>
      </c>
      <c r="E1500" t="str">
        <f>VLOOKUP(B1500,ZoneTable,3,FALSE)</f>
        <v>Rockaway Park</v>
      </c>
      <c r="F1500" t="str">
        <f>IF(OR(B1500=1,B1500=132,B1500=138),"Airports",D1500)</f>
        <v>Queens</v>
      </c>
    </row>
    <row r="1501" spans="1:6">
      <c r="A1501" s="33">
        <v>42156</v>
      </c>
      <c r="B1501">
        <v>202</v>
      </c>
      <c r="C1501">
        <v>638</v>
      </c>
      <c r="D1501" t="str">
        <f>VLOOKUP(B1501,ZoneTable,2,FALSE)</f>
        <v>Manhattan</v>
      </c>
      <c r="E1501" t="str">
        <f>VLOOKUP(B1501,ZoneTable,3,FALSE)</f>
        <v>Roosevelt Island</v>
      </c>
      <c r="F1501" t="str">
        <f>IF(OR(B1501=1,B1501=132,B1501=138),"Airports",D1501)</f>
        <v>Manhattan</v>
      </c>
    </row>
    <row r="1502" spans="1:6">
      <c r="A1502" s="33">
        <v>42156</v>
      </c>
      <c r="B1502">
        <v>203</v>
      </c>
      <c r="C1502">
        <v>822</v>
      </c>
      <c r="D1502" t="str">
        <f>VLOOKUP(B1502,ZoneTable,2,FALSE)</f>
        <v>Queens</v>
      </c>
      <c r="E1502" t="str">
        <f>VLOOKUP(B1502,ZoneTable,3,FALSE)</f>
        <v>Rosedale</v>
      </c>
      <c r="F1502" t="str">
        <f>IF(OR(B1502=1,B1502=132,B1502=138),"Airports",D1502)</f>
        <v>Queens</v>
      </c>
    </row>
    <row r="1503" spans="1:6">
      <c r="A1503" s="33">
        <v>42156</v>
      </c>
      <c r="B1503">
        <v>204</v>
      </c>
      <c r="C1503">
        <v>5</v>
      </c>
      <c r="D1503" t="str">
        <f>VLOOKUP(B1503,ZoneTable,2,FALSE)</f>
        <v>Staten Island</v>
      </c>
      <c r="E1503" t="str">
        <f>VLOOKUP(B1503,ZoneTable,3,FALSE)</f>
        <v>Rossville/Woodrow</v>
      </c>
      <c r="F1503" t="str">
        <f>IF(OR(B1503=1,B1503=132,B1503=138),"Airports",D1503)</f>
        <v>Staten Island</v>
      </c>
    </row>
    <row r="1504" spans="1:6">
      <c r="A1504" s="33">
        <v>42156</v>
      </c>
      <c r="B1504">
        <v>205</v>
      </c>
      <c r="C1504">
        <v>1187</v>
      </c>
      <c r="D1504" t="str">
        <f>VLOOKUP(B1504,ZoneTable,2,FALSE)</f>
        <v>Queens</v>
      </c>
      <c r="E1504" t="str">
        <f>VLOOKUP(B1504,ZoneTable,3,FALSE)</f>
        <v>Saint Albans</v>
      </c>
      <c r="F1504" t="str">
        <f>IF(OR(B1504=1,B1504=132,B1504=138),"Airports",D1504)</f>
        <v>Queens</v>
      </c>
    </row>
    <row r="1505" spans="1:6">
      <c r="A1505" s="33">
        <v>42156</v>
      </c>
      <c r="B1505">
        <v>206</v>
      </c>
      <c r="C1505">
        <v>142</v>
      </c>
      <c r="D1505" t="str">
        <f>VLOOKUP(B1505,ZoneTable,2,FALSE)</f>
        <v>Staten Island</v>
      </c>
      <c r="E1505" t="str">
        <f>VLOOKUP(B1505,ZoneTable,3,FALSE)</f>
        <v>Saint George/New Brighton</v>
      </c>
      <c r="F1505" t="str">
        <f>IF(OR(B1505=1,B1505=132,B1505=138),"Airports",D1505)</f>
        <v>Staten Island</v>
      </c>
    </row>
    <row r="1506" spans="1:6">
      <c r="A1506" s="33">
        <v>42156</v>
      </c>
      <c r="B1506">
        <v>207</v>
      </c>
      <c r="C1506">
        <v>86</v>
      </c>
      <c r="D1506" t="str">
        <f>VLOOKUP(B1506,ZoneTable,2,FALSE)</f>
        <v>Queens</v>
      </c>
      <c r="E1506" t="str">
        <f>VLOOKUP(B1506,ZoneTable,3,FALSE)</f>
        <v>Saint Michaels Cemetery/Woodside</v>
      </c>
      <c r="F1506" t="str">
        <f>IF(OR(B1506=1,B1506=132,B1506=138),"Airports",D1506)</f>
        <v>Queens</v>
      </c>
    </row>
    <row r="1507" spans="1:6">
      <c r="A1507" s="33">
        <v>42156</v>
      </c>
      <c r="B1507">
        <v>208</v>
      </c>
      <c r="C1507">
        <v>1020</v>
      </c>
      <c r="D1507" t="str">
        <f>VLOOKUP(B1507,ZoneTable,2,FALSE)</f>
        <v>Bronx</v>
      </c>
      <c r="E1507" t="str">
        <f>VLOOKUP(B1507,ZoneTable,3,FALSE)</f>
        <v>Schuylerville/Edgewater Park</v>
      </c>
      <c r="F1507" t="str">
        <f>IF(OR(B1507=1,B1507=132,B1507=138),"Airports",D1507)</f>
        <v>Bronx</v>
      </c>
    </row>
    <row r="1508" spans="1:6">
      <c r="A1508" s="33">
        <v>42156</v>
      </c>
      <c r="B1508">
        <v>209</v>
      </c>
      <c r="C1508">
        <v>9244</v>
      </c>
      <c r="D1508" t="str">
        <f>VLOOKUP(B1508,ZoneTable,2,FALSE)</f>
        <v>Manhattan</v>
      </c>
      <c r="E1508" t="str">
        <f>VLOOKUP(B1508,ZoneTable,3,FALSE)</f>
        <v>Seaport</v>
      </c>
      <c r="F1508" t="str">
        <f>IF(OR(B1508=1,B1508=132,B1508=138),"Airports",D1508)</f>
        <v>Manhattan</v>
      </c>
    </row>
    <row r="1509" spans="1:6">
      <c r="A1509" s="33">
        <v>42156</v>
      </c>
      <c r="B1509">
        <v>210</v>
      </c>
      <c r="C1509">
        <v>1614</v>
      </c>
      <c r="D1509" t="str">
        <f>VLOOKUP(B1509,ZoneTable,2,FALSE)</f>
        <v>Brooklyn</v>
      </c>
      <c r="E1509" t="str">
        <f>VLOOKUP(B1509,ZoneTable,3,FALSE)</f>
        <v>Sheepshead Bay</v>
      </c>
      <c r="F1509" t="str">
        <f>IF(OR(B1509=1,B1509=132,B1509=138),"Airports",D1509)</f>
        <v>Brooklyn</v>
      </c>
    </row>
    <row r="1510" spans="1:6">
      <c r="A1510" s="33">
        <v>42156</v>
      </c>
      <c r="B1510">
        <v>211</v>
      </c>
      <c r="C1510">
        <v>41476</v>
      </c>
      <c r="D1510" t="str">
        <f>VLOOKUP(B1510,ZoneTable,2,FALSE)</f>
        <v>Manhattan</v>
      </c>
      <c r="E1510" t="str">
        <f>VLOOKUP(B1510,ZoneTable,3,FALSE)</f>
        <v>SoHo</v>
      </c>
      <c r="F1510" t="str">
        <f>IF(OR(B1510=1,B1510=132,B1510=138),"Airports",D1510)</f>
        <v>Manhattan</v>
      </c>
    </row>
    <row r="1511" spans="1:6">
      <c r="A1511" s="33">
        <v>42156</v>
      </c>
      <c r="B1511">
        <v>212</v>
      </c>
      <c r="C1511">
        <v>694</v>
      </c>
      <c r="D1511" t="str">
        <f>VLOOKUP(B1511,ZoneTable,2,FALSE)</f>
        <v>Bronx</v>
      </c>
      <c r="E1511" t="str">
        <f>VLOOKUP(B1511,ZoneTable,3,FALSE)</f>
        <v>Soundview/Bruckner</v>
      </c>
      <c r="F1511" t="str">
        <f>IF(OR(B1511=1,B1511=132,B1511=138),"Airports",D1511)</f>
        <v>Bronx</v>
      </c>
    </row>
    <row r="1512" spans="1:6">
      <c r="A1512" s="33">
        <v>42156</v>
      </c>
      <c r="B1512">
        <v>213</v>
      </c>
      <c r="C1512">
        <v>1045</v>
      </c>
      <c r="D1512" t="str">
        <f>VLOOKUP(B1512,ZoneTable,2,FALSE)</f>
        <v>Bronx</v>
      </c>
      <c r="E1512" t="str">
        <f>VLOOKUP(B1512,ZoneTable,3,FALSE)</f>
        <v>Soundview/Castle Hill</v>
      </c>
      <c r="F1512" t="str">
        <f>IF(OR(B1512=1,B1512=132,B1512=138),"Airports",D1512)</f>
        <v>Bronx</v>
      </c>
    </row>
    <row r="1513" spans="1:6">
      <c r="A1513" s="33">
        <v>42156</v>
      </c>
      <c r="B1513">
        <v>214</v>
      </c>
      <c r="C1513">
        <v>157</v>
      </c>
      <c r="D1513" t="str">
        <f>VLOOKUP(B1513,ZoneTable,2,FALSE)</f>
        <v>Staten Island</v>
      </c>
      <c r="E1513" t="str">
        <f>VLOOKUP(B1513,ZoneTable,3,FALSE)</f>
        <v>South Beach/Dongan Hills</v>
      </c>
      <c r="F1513" t="str">
        <f>IF(OR(B1513=1,B1513=132,B1513=138),"Airports",D1513)</f>
        <v>Staten Island</v>
      </c>
    </row>
    <row r="1514" spans="1:6">
      <c r="A1514" s="33">
        <v>42156</v>
      </c>
      <c r="B1514">
        <v>215</v>
      </c>
      <c r="C1514">
        <v>917</v>
      </c>
      <c r="D1514" t="str">
        <f>VLOOKUP(B1514,ZoneTable,2,FALSE)</f>
        <v>Queens</v>
      </c>
      <c r="E1514" t="str">
        <f>VLOOKUP(B1514,ZoneTable,3,FALSE)</f>
        <v>South Jamaica</v>
      </c>
      <c r="F1514" t="str">
        <f>IF(OR(B1514=1,B1514=132,B1514=138),"Airports",D1514)</f>
        <v>Queens</v>
      </c>
    </row>
    <row r="1515" spans="1:6">
      <c r="A1515" s="33">
        <v>42156</v>
      </c>
      <c r="B1515">
        <v>216</v>
      </c>
      <c r="C1515">
        <v>2622</v>
      </c>
      <c r="D1515" t="str">
        <f>VLOOKUP(B1515,ZoneTable,2,FALSE)</f>
        <v>Queens</v>
      </c>
      <c r="E1515" t="str">
        <f>VLOOKUP(B1515,ZoneTable,3,FALSE)</f>
        <v>South Ozone Park</v>
      </c>
      <c r="F1515" t="str">
        <f>IF(OR(B1515=1,B1515=132,B1515=138),"Airports",D1515)</f>
        <v>Queens</v>
      </c>
    </row>
    <row r="1516" spans="1:6">
      <c r="A1516" s="33">
        <v>42156</v>
      </c>
      <c r="B1516">
        <v>217</v>
      </c>
      <c r="C1516">
        <v>1998</v>
      </c>
      <c r="D1516" t="str">
        <f>VLOOKUP(B1516,ZoneTable,2,FALSE)</f>
        <v>Brooklyn</v>
      </c>
      <c r="E1516" t="str">
        <f>VLOOKUP(B1516,ZoneTable,3,FALSE)</f>
        <v>South Williamsburg</v>
      </c>
      <c r="F1516" t="str">
        <f>IF(OR(B1516=1,B1516=132,B1516=138),"Airports",D1516)</f>
        <v>Brooklyn</v>
      </c>
    </row>
    <row r="1517" spans="1:6">
      <c r="A1517" s="33">
        <v>42156</v>
      </c>
      <c r="B1517">
        <v>218</v>
      </c>
      <c r="C1517">
        <v>744</v>
      </c>
      <c r="D1517" t="str">
        <f>VLOOKUP(B1517,ZoneTable,2,FALSE)</f>
        <v>Queens</v>
      </c>
      <c r="E1517" t="str">
        <f>VLOOKUP(B1517,ZoneTable,3,FALSE)</f>
        <v>Springfield Gardens North</v>
      </c>
      <c r="F1517" t="str">
        <f>IF(OR(B1517=1,B1517=132,B1517=138),"Airports",D1517)</f>
        <v>Queens</v>
      </c>
    </row>
    <row r="1518" spans="1:6">
      <c r="A1518" s="33">
        <v>42156</v>
      </c>
      <c r="B1518">
        <v>219</v>
      </c>
      <c r="C1518">
        <v>1000</v>
      </c>
      <c r="D1518" t="str">
        <f>VLOOKUP(B1518,ZoneTable,2,FALSE)</f>
        <v>Queens</v>
      </c>
      <c r="E1518" t="str">
        <f>VLOOKUP(B1518,ZoneTable,3,FALSE)</f>
        <v>Springfield Gardens South</v>
      </c>
      <c r="F1518" t="str">
        <f>IF(OR(B1518=1,B1518=132,B1518=138),"Airports",D1518)</f>
        <v>Queens</v>
      </c>
    </row>
    <row r="1519" spans="1:6">
      <c r="A1519" s="33">
        <v>42156</v>
      </c>
      <c r="B1519">
        <v>220</v>
      </c>
      <c r="C1519">
        <v>3379</v>
      </c>
      <c r="D1519" t="str">
        <f>VLOOKUP(B1519,ZoneTable,2,FALSE)</f>
        <v>Bronx</v>
      </c>
      <c r="E1519" t="str">
        <f>VLOOKUP(B1519,ZoneTable,3,FALSE)</f>
        <v>Spuyten Duyvil/Kingsbridge</v>
      </c>
      <c r="F1519" t="str">
        <f>IF(OR(B1519=1,B1519=132,B1519=138),"Airports",D1519)</f>
        <v>Bronx</v>
      </c>
    </row>
    <row r="1520" spans="1:6">
      <c r="A1520" s="33">
        <v>42156</v>
      </c>
      <c r="B1520">
        <v>221</v>
      </c>
      <c r="C1520">
        <v>157</v>
      </c>
      <c r="D1520" t="str">
        <f>VLOOKUP(B1520,ZoneTable,2,FALSE)</f>
        <v>Staten Island</v>
      </c>
      <c r="E1520" t="str">
        <f>VLOOKUP(B1520,ZoneTable,3,FALSE)</f>
        <v>Stapleton</v>
      </c>
      <c r="F1520" t="str">
        <f>IF(OR(B1520=1,B1520=132,B1520=138),"Airports",D1520)</f>
        <v>Staten Island</v>
      </c>
    </row>
    <row r="1521" spans="1:6">
      <c r="A1521" s="33">
        <v>42156</v>
      </c>
      <c r="B1521">
        <v>222</v>
      </c>
      <c r="C1521">
        <v>559</v>
      </c>
      <c r="D1521" t="str">
        <f>VLOOKUP(B1521,ZoneTable,2,FALSE)</f>
        <v>Brooklyn</v>
      </c>
      <c r="E1521" t="str">
        <f>VLOOKUP(B1521,ZoneTable,3,FALSE)</f>
        <v>Starrett City</v>
      </c>
      <c r="F1521" t="str">
        <f>IF(OR(B1521=1,B1521=132,B1521=138),"Airports",D1521)</f>
        <v>Brooklyn</v>
      </c>
    </row>
    <row r="1522" spans="1:6">
      <c r="A1522" s="33">
        <v>42156</v>
      </c>
      <c r="B1522">
        <v>223</v>
      </c>
      <c r="C1522">
        <v>9831</v>
      </c>
      <c r="D1522" t="str">
        <f>VLOOKUP(B1522,ZoneTable,2,FALSE)</f>
        <v>Queens</v>
      </c>
      <c r="E1522" t="str">
        <f>VLOOKUP(B1522,ZoneTable,3,FALSE)</f>
        <v>Steinway</v>
      </c>
      <c r="F1522" t="str">
        <f>IF(OR(B1522=1,B1522=132,B1522=138),"Airports",D1522)</f>
        <v>Queens</v>
      </c>
    </row>
    <row r="1523" spans="1:6">
      <c r="A1523" s="33">
        <v>42156</v>
      </c>
      <c r="B1523">
        <v>224</v>
      </c>
      <c r="C1523">
        <v>13949</v>
      </c>
      <c r="D1523" t="str">
        <f>VLOOKUP(B1523,ZoneTable,2,FALSE)</f>
        <v>Manhattan</v>
      </c>
      <c r="E1523" t="str">
        <f>VLOOKUP(B1523,ZoneTable,3,FALSE)</f>
        <v>Stuy Town/Peter Cooper Village</v>
      </c>
      <c r="F1523" t="str">
        <f>IF(OR(B1523=1,B1523=132,B1523=138),"Airports",D1523)</f>
        <v>Manhattan</v>
      </c>
    </row>
    <row r="1524" spans="1:6">
      <c r="A1524" s="33">
        <v>42156</v>
      </c>
      <c r="B1524">
        <v>225</v>
      </c>
      <c r="C1524">
        <v>13007</v>
      </c>
      <c r="D1524" t="str">
        <f>VLOOKUP(B1524,ZoneTable,2,FALSE)</f>
        <v>Brooklyn</v>
      </c>
      <c r="E1524" t="str">
        <f>VLOOKUP(B1524,ZoneTable,3,FALSE)</f>
        <v>Stuyvesant Heights</v>
      </c>
      <c r="F1524" t="str">
        <f>IF(OR(B1524=1,B1524=132,B1524=138),"Airports",D1524)</f>
        <v>Brooklyn</v>
      </c>
    </row>
    <row r="1525" spans="1:6">
      <c r="A1525" s="33">
        <v>42156</v>
      </c>
      <c r="B1525">
        <v>226</v>
      </c>
      <c r="C1525">
        <v>11522</v>
      </c>
      <c r="D1525" t="str">
        <f>VLOOKUP(B1525,ZoneTable,2,FALSE)</f>
        <v>Queens</v>
      </c>
      <c r="E1525" t="str">
        <f>VLOOKUP(B1525,ZoneTable,3,FALSE)</f>
        <v>Sunnyside</v>
      </c>
      <c r="F1525" t="str">
        <f>IF(OR(B1525=1,B1525=132,B1525=138),"Airports",D1525)</f>
        <v>Queens</v>
      </c>
    </row>
    <row r="1526" spans="1:6">
      <c r="A1526" s="33">
        <v>42156</v>
      </c>
      <c r="B1526">
        <v>227</v>
      </c>
      <c r="C1526">
        <v>2056</v>
      </c>
      <c r="D1526" t="str">
        <f>VLOOKUP(B1526,ZoneTable,2,FALSE)</f>
        <v>Brooklyn</v>
      </c>
      <c r="E1526" t="str">
        <f>VLOOKUP(B1526,ZoneTable,3,FALSE)</f>
        <v>Sunset Park East</v>
      </c>
      <c r="F1526" t="str">
        <f>IF(OR(B1526=1,B1526=132,B1526=138),"Airports",D1526)</f>
        <v>Brooklyn</v>
      </c>
    </row>
    <row r="1527" spans="1:6">
      <c r="A1527" s="33">
        <v>42156</v>
      </c>
      <c r="B1527">
        <v>228</v>
      </c>
      <c r="C1527">
        <v>7383</v>
      </c>
      <c r="D1527" t="str">
        <f>VLOOKUP(B1527,ZoneTable,2,FALSE)</f>
        <v>Brooklyn</v>
      </c>
      <c r="E1527" t="str">
        <f>VLOOKUP(B1527,ZoneTable,3,FALSE)</f>
        <v>Sunset Park West</v>
      </c>
      <c r="F1527" t="str">
        <f>IF(OR(B1527=1,B1527=132,B1527=138),"Airports",D1527)</f>
        <v>Brooklyn</v>
      </c>
    </row>
    <row r="1528" spans="1:6">
      <c r="A1528" s="33">
        <v>42156</v>
      </c>
      <c r="B1528">
        <v>229</v>
      </c>
      <c r="C1528">
        <v>33381</v>
      </c>
      <c r="D1528" t="str">
        <f>VLOOKUP(B1528,ZoneTable,2,FALSE)</f>
        <v>Manhattan</v>
      </c>
      <c r="E1528" t="str">
        <f>VLOOKUP(B1528,ZoneTable,3,FALSE)</f>
        <v>Sutton Place/Turtle Bay North</v>
      </c>
      <c r="F1528" t="str">
        <f>IF(OR(B1528=1,B1528=132,B1528=138),"Airports",D1528)</f>
        <v>Manhattan</v>
      </c>
    </row>
    <row r="1529" spans="1:6">
      <c r="A1529" s="33">
        <v>42156</v>
      </c>
      <c r="B1529">
        <v>230</v>
      </c>
      <c r="C1529">
        <v>62414</v>
      </c>
      <c r="D1529" t="str">
        <f>VLOOKUP(B1529,ZoneTable,2,FALSE)</f>
        <v>Manhattan</v>
      </c>
      <c r="E1529" t="str">
        <f>VLOOKUP(B1529,ZoneTable,3,FALSE)</f>
        <v>Times Sq/Theatre District</v>
      </c>
      <c r="F1529" t="str">
        <f>IF(OR(B1529=1,B1529=132,B1529=138),"Airports",D1529)</f>
        <v>Manhattan</v>
      </c>
    </row>
    <row r="1530" spans="1:6">
      <c r="A1530" s="33">
        <v>42156</v>
      </c>
      <c r="B1530">
        <v>231</v>
      </c>
      <c r="C1530">
        <v>77462</v>
      </c>
      <c r="D1530" t="str">
        <f>VLOOKUP(B1530,ZoneTable,2,FALSE)</f>
        <v>Manhattan</v>
      </c>
      <c r="E1530" t="str">
        <f>VLOOKUP(B1530,ZoneTable,3,FALSE)</f>
        <v>TriBeCa/Civic Center</v>
      </c>
      <c r="F1530" t="str">
        <f>IF(OR(B1530=1,B1530=132,B1530=138),"Airports",D1530)</f>
        <v>Manhattan</v>
      </c>
    </row>
    <row r="1531" spans="1:6">
      <c r="A1531" s="33">
        <v>42156</v>
      </c>
      <c r="B1531">
        <v>232</v>
      </c>
      <c r="C1531">
        <v>15044</v>
      </c>
      <c r="D1531" t="str">
        <f>VLOOKUP(B1531,ZoneTable,2,FALSE)</f>
        <v>Manhattan</v>
      </c>
      <c r="E1531" t="str">
        <f>VLOOKUP(B1531,ZoneTable,3,FALSE)</f>
        <v>Two Bridges/Seward Park</v>
      </c>
      <c r="F1531" t="str">
        <f>IF(OR(B1531=1,B1531=132,B1531=138),"Airports",D1531)</f>
        <v>Manhattan</v>
      </c>
    </row>
    <row r="1532" spans="1:6">
      <c r="A1532" s="33">
        <v>42156</v>
      </c>
      <c r="B1532">
        <v>233</v>
      </c>
      <c r="C1532">
        <v>29658</v>
      </c>
      <c r="D1532" t="str">
        <f>VLOOKUP(B1532,ZoneTable,2,FALSE)</f>
        <v>Manhattan</v>
      </c>
      <c r="E1532" t="str">
        <f>VLOOKUP(B1532,ZoneTable,3,FALSE)</f>
        <v>UN/Turtle Bay South</v>
      </c>
      <c r="F1532" t="str">
        <f>IF(OR(B1532=1,B1532=132,B1532=138),"Airports",D1532)</f>
        <v>Manhattan</v>
      </c>
    </row>
    <row r="1533" spans="1:6">
      <c r="A1533" s="33">
        <v>42156</v>
      </c>
      <c r="B1533">
        <v>234</v>
      </c>
      <c r="C1533">
        <v>76718</v>
      </c>
      <c r="D1533" t="str">
        <f>VLOOKUP(B1533,ZoneTable,2,FALSE)</f>
        <v>Manhattan</v>
      </c>
      <c r="E1533" t="str">
        <f>VLOOKUP(B1533,ZoneTable,3,FALSE)</f>
        <v>Union Sq</v>
      </c>
      <c r="F1533" t="str">
        <f>IF(OR(B1533=1,B1533=132,B1533=138),"Airports",D1533)</f>
        <v>Manhattan</v>
      </c>
    </row>
    <row r="1534" spans="1:6">
      <c r="A1534" s="33">
        <v>42156</v>
      </c>
      <c r="B1534">
        <v>235</v>
      </c>
      <c r="C1534">
        <v>1300</v>
      </c>
      <c r="D1534" t="str">
        <f>VLOOKUP(B1534,ZoneTable,2,FALSE)</f>
        <v>Bronx</v>
      </c>
      <c r="E1534" t="str">
        <f>VLOOKUP(B1534,ZoneTable,3,FALSE)</f>
        <v>University Heights/Morris Heights</v>
      </c>
      <c r="F1534" t="str">
        <f>IF(OR(B1534=1,B1534=132,B1534=138),"Airports",D1534)</f>
        <v>Bronx</v>
      </c>
    </row>
    <row r="1535" spans="1:6">
      <c r="A1535" s="33">
        <v>42156</v>
      </c>
      <c r="B1535">
        <v>236</v>
      </c>
      <c r="C1535">
        <v>41709</v>
      </c>
      <c r="D1535" t="str">
        <f>VLOOKUP(B1535,ZoneTable,2,FALSE)</f>
        <v>Manhattan</v>
      </c>
      <c r="E1535" t="str">
        <f>VLOOKUP(B1535,ZoneTable,3,FALSE)</f>
        <v>Upper East Side North</v>
      </c>
      <c r="F1535" t="str">
        <f>IF(OR(B1535=1,B1535=132,B1535=138),"Airports",D1535)</f>
        <v>Manhattan</v>
      </c>
    </row>
    <row r="1536" spans="1:6">
      <c r="A1536" s="33">
        <v>42156</v>
      </c>
      <c r="B1536">
        <v>237</v>
      </c>
      <c r="C1536">
        <v>52535</v>
      </c>
      <c r="D1536" t="str">
        <f>VLOOKUP(B1536,ZoneTable,2,FALSE)</f>
        <v>Manhattan</v>
      </c>
      <c r="E1536" t="str">
        <f>VLOOKUP(B1536,ZoneTable,3,FALSE)</f>
        <v>Upper East Side South</v>
      </c>
      <c r="F1536" t="str">
        <f>IF(OR(B1536=1,B1536=132,B1536=138),"Airports",D1536)</f>
        <v>Manhattan</v>
      </c>
    </row>
    <row r="1537" spans="1:6">
      <c r="A1537" s="33">
        <v>42156</v>
      </c>
      <c r="B1537">
        <v>238</v>
      </c>
      <c r="C1537">
        <v>26108</v>
      </c>
      <c r="D1537" t="str">
        <f>VLOOKUP(B1537,ZoneTable,2,FALSE)</f>
        <v>Manhattan</v>
      </c>
      <c r="E1537" t="str">
        <f>VLOOKUP(B1537,ZoneTable,3,FALSE)</f>
        <v>Upper West Side North</v>
      </c>
      <c r="F1537" t="str">
        <f>IF(OR(B1537=1,B1537=132,B1537=138),"Airports",D1537)</f>
        <v>Manhattan</v>
      </c>
    </row>
    <row r="1538" spans="1:6">
      <c r="A1538" s="33">
        <v>42156</v>
      </c>
      <c r="B1538">
        <v>239</v>
      </c>
      <c r="C1538">
        <v>36075</v>
      </c>
      <c r="D1538" t="str">
        <f>VLOOKUP(B1538,ZoneTable,2,FALSE)</f>
        <v>Manhattan</v>
      </c>
      <c r="E1538" t="str">
        <f>VLOOKUP(B1538,ZoneTable,3,FALSE)</f>
        <v>Upper West Side South</v>
      </c>
      <c r="F1538" t="str">
        <f>IF(OR(B1538=1,B1538=132,B1538=138),"Airports",D1538)</f>
        <v>Manhattan</v>
      </c>
    </row>
    <row r="1539" spans="1:6">
      <c r="A1539" s="33">
        <v>42156</v>
      </c>
      <c r="B1539">
        <v>240</v>
      </c>
      <c r="C1539">
        <v>380</v>
      </c>
      <c r="D1539" t="str">
        <f>VLOOKUP(B1539,ZoneTable,2,FALSE)</f>
        <v>Bronx</v>
      </c>
      <c r="E1539" t="str">
        <f>VLOOKUP(B1539,ZoneTable,3,FALSE)</f>
        <v>Van Cortlandt Park</v>
      </c>
      <c r="F1539" t="str">
        <f>IF(OR(B1539=1,B1539=132,B1539=138),"Airports",D1539)</f>
        <v>Bronx</v>
      </c>
    </row>
    <row r="1540" spans="1:6">
      <c r="A1540" s="33">
        <v>42156</v>
      </c>
      <c r="B1540">
        <v>241</v>
      </c>
      <c r="C1540">
        <v>1664</v>
      </c>
      <c r="D1540" t="str">
        <f>VLOOKUP(B1540,ZoneTable,2,FALSE)</f>
        <v>Bronx</v>
      </c>
      <c r="E1540" t="str">
        <f>VLOOKUP(B1540,ZoneTable,3,FALSE)</f>
        <v>Van Cortlandt Village</v>
      </c>
      <c r="F1540" t="str">
        <f>IF(OR(B1540=1,B1540=132,B1540=138),"Airports",D1540)</f>
        <v>Bronx</v>
      </c>
    </row>
    <row r="1541" spans="1:6">
      <c r="A1541" s="33">
        <v>42156</v>
      </c>
      <c r="B1541">
        <v>242</v>
      </c>
      <c r="C1541">
        <v>1636</v>
      </c>
      <c r="D1541" t="str">
        <f>VLOOKUP(B1541,ZoneTable,2,FALSE)</f>
        <v>Bronx</v>
      </c>
      <c r="E1541" t="str">
        <f>VLOOKUP(B1541,ZoneTable,3,FALSE)</f>
        <v>Van Nest/Morris Park</v>
      </c>
      <c r="F1541" t="str">
        <f>IF(OR(B1541=1,B1541=132,B1541=138),"Airports",D1541)</f>
        <v>Bronx</v>
      </c>
    </row>
    <row r="1542" spans="1:6">
      <c r="A1542" s="33">
        <v>42156</v>
      </c>
      <c r="B1542">
        <v>243</v>
      </c>
      <c r="C1542">
        <v>7847</v>
      </c>
      <c r="D1542" t="str">
        <f>VLOOKUP(B1542,ZoneTable,2,FALSE)</f>
        <v>Manhattan</v>
      </c>
      <c r="E1542" t="str">
        <f>VLOOKUP(B1542,ZoneTable,3,FALSE)</f>
        <v>Washington Heights North</v>
      </c>
      <c r="F1542" t="str">
        <f>IF(OR(B1542=1,B1542=132,B1542=138),"Airports",D1542)</f>
        <v>Manhattan</v>
      </c>
    </row>
    <row r="1543" spans="1:6">
      <c r="A1543" s="33">
        <v>42156</v>
      </c>
      <c r="B1543">
        <v>244</v>
      </c>
      <c r="C1543">
        <v>10527</v>
      </c>
      <c r="D1543" t="str">
        <f>VLOOKUP(B1543,ZoneTable,2,FALSE)</f>
        <v>Manhattan</v>
      </c>
      <c r="E1543" t="str">
        <f>VLOOKUP(B1543,ZoneTable,3,FALSE)</f>
        <v>Washington Heights South</v>
      </c>
      <c r="F1543" t="str">
        <f>IF(OR(B1543=1,B1543=132,B1543=138),"Airports",D1543)</f>
        <v>Manhattan</v>
      </c>
    </row>
    <row r="1544" spans="1:6">
      <c r="A1544" s="33">
        <v>42156</v>
      </c>
      <c r="B1544">
        <v>245</v>
      </c>
      <c r="C1544">
        <v>106</v>
      </c>
      <c r="D1544" t="str">
        <f>VLOOKUP(B1544,ZoneTable,2,FALSE)</f>
        <v>Staten Island</v>
      </c>
      <c r="E1544" t="str">
        <f>VLOOKUP(B1544,ZoneTable,3,FALSE)</f>
        <v>West Brighton</v>
      </c>
      <c r="F1544" t="str">
        <f>IF(OR(B1544=1,B1544=132,B1544=138),"Airports",D1544)</f>
        <v>Staten Island</v>
      </c>
    </row>
    <row r="1545" spans="1:6">
      <c r="A1545" s="33">
        <v>42156</v>
      </c>
      <c r="B1545">
        <v>246</v>
      </c>
      <c r="C1545">
        <v>55473</v>
      </c>
      <c r="D1545" t="str">
        <f>VLOOKUP(B1545,ZoneTable,2,FALSE)</f>
        <v>Manhattan</v>
      </c>
      <c r="E1545" t="str">
        <f>VLOOKUP(B1545,ZoneTable,3,FALSE)</f>
        <v>West Chelsea/Hudson Yards</v>
      </c>
      <c r="F1545" t="str">
        <f>IF(OR(B1545=1,B1545=132,B1545=138),"Airports",D1545)</f>
        <v>Manhattan</v>
      </c>
    </row>
    <row r="1546" spans="1:6">
      <c r="A1546" s="33">
        <v>42156</v>
      </c>
      <c r="B1546">
        <v>247</v>
      </c>
      <c r="C1546">
        <v>3537</v>
      </c>
      <c r="D1546" t="str">
        <f>VLOOKUP(B1546,ZoneTable,2,FALSE)</f>
        <v>Bronx</v>
      </c>
      <c r="E1546" t="str">
        <f>VLOOKUP(B1546,ZoneTable,3,FALSE)</f>
        <v>West Concourse</v>
      </c>
      <c r="F1546" t="str">
        <f>IF(OR(B1546=1,B1546=132,B1546=138),"Airports",D1546)</f>
        <v>Bronx</v>
      </c>
    </row>
    <row r="1547" spans="1:6">
      <c r="A1547" s="33">
        <v>42156</v>
      </c>
      <c r="B1547">
        <v>248</v>
      </c>
      <c r="C1547">
        <v>789</v>
      </c>
      <c r="D1547" t="str">
        <f>VLOOKUP(B1547,ZoneTable,2,FALSE)</f>
        <v>Bronx</v>
      </c>
      <c r="E1547" t="str">
        <f>VLOOKUP(B1547,ZoneTable,3,FALSE)</f>
        <v>West Farms/Bronx River</v>
      </c>
      <c r="F1547" t="str">
        <f>IF(OR(B1547=1,B1547=132,B1547=138),"Airports",D1547)</f>
        <v>Bronx</v>
      </c>
    </row>
    <row r="1548" spans="1:6">
      <c r="A1548" s="33">
        <v>42156</v>
      </c>
      <c r="B1548">
        <v>249</v>
      </c>
      <c r="C1548">
        <v>57991</v>
      </c>
      <c r="D1548" t="str">
        <f>VLOOKUP(B1548,ZoneTable,2,FALSE)</f>
        <v>Manhattan</v>
      </c>
      <c r="E1548" t="str">
        <f>VLOOKUP(B1548,ZoneTable,3,FALSE)</f>
        <v>West Village</v>
      </c>
      <c r="F1548" t="str">
        <f>IF(OR(B1548=1,B1548=132,B1548=138),"Airports",D1548)</f>
        <v>Manhattan</v>
      </c>
    </row>
    <row r="1549" spans="1:6">
      <c r="A1549" s="33">
        <v>42156</v>
      </c>
      <c r="B1549">
        <v>250</v>
      </c>
      <c r="C1549">
        <v>968</v>
      </c>
      <c r="D1549" t="str">
        <f>VLOOKUP(B1549,ZoneTable,2,FALSE)</f>
        <v>Bronx</v>
      </c>
      <c r="E1549" t="str">
        <f>VLOOKUP(B1549,ZoneTable,3,FALSE)</f>
        <v>Westchester Village/Unionport</v>
      </c>
      <c r="F1549" t="str">
        <f>IF(OR(B1549=1,B1549=132,B1549=138),"Airports",D1549)</f>
        <v>Bronx</v>
      </c>
    </row>
    <row r="1550" spans="1:6">
      <c r="A1550" s="33">
        <v>42156</v>
      </c>
      <c r="B1550">
        <v>251</v>
      </c>
      <c r="C1550">
        <v>157</v>
      </c>
      <c r="D1550" t="str">
        <f>VLOOKUP(B1550,ZoneTable,2,FALSE)</f>
        <v>Staten Island</v>
      </c>
      <c r="E1550" t="str">
        <f>VLOOKUP(B1550,ZoneTable,3,FALSE)</f>
        <v>Westerleigh</v>
      </c>
      <c r="F1550" t="str">
        <f>IF(OR(B1550=1,B1550=132,B1550=138),"Airports",D1550)</f>
        <v>Staten Island</v>
      </c>
    </row>
    <row r="1551" spans="1:6">
      <c r="A1551" s="33">
        <v>42156</v>
      </c>
      <c r="B1551">
        <v>252</v>
      </c>
      <c r="C1551">
        <v>1084</v>
      </c>
      <c r="D1551" t="str">
        <f>VLOOKUP(B1551,ZoneTable,2,FALSE)</f>
        <v>Queens</v>
      </c>
      <c r="E1551" t="str">
        <f>VLOOKUP(B1551,ZoneTable,3,FALSE)</f>
        <v>Whitestone</v>
      </c>
      <c r="F1551" t="str">
        <f>IF(OR(B1551=1,B1551=132,B1551=138),"Airports",D1551)</f>
        <v>Queens</v>
      </c>
    </row>
    <row r="1552" spans="1:6">
      <c r="A1552" s="33">
        <v>42156</v>
      </c>
      <c r="B1552">
        <v>253</v>
      </c>
      <c r="C1552">
        <v>284</v>
      </c>
      <c r="D1552" t="str">
        <f>VLOOKUP(B1552,ZoneTable,2,FALSE)</f>
        <v>Queens</v>
      </c>
      <c r="E1552" t="str">
        <f>VLOOKUP(B1552,ZoneTable,3,FALSE)</f>
        <v>Willets Point</v>
      </c>
      <c r="F1552" t="str">
        <f>IF(OR(B1552=1,B1552=132,B1552=138),"Airports",D1552)</f>
        <v>Queens</v>
      </c>
    </row>
    <row r="1553" spans="1:6">
      <c r="A1553" s="33">
        <v>42156</v>
      </c>
      <c r="B1553">
        <v>254</v>
      </c>
      <c r="C1553">
        <v>1140</v>
      </c>
      <c r="D1553" t="str">
        <f>VLOOKUP(B1553,ZoneTable,2,FALSE)</f>
        <v>Bronx</v>
      </c>
      <c r="E1553" t="str">
        <f>VLOOKUP(B1553,ZoneTable,3,FALSE)</f>
        <v>Williamsbridge/Olinville</v>
      </c>
      <c r="F1553" t="str">
        <f>IF(OR(B1553=1,B1553=132,B1553=138),"Airports",D1553)</f>
        <v>Bronx</v>
      </c>
    </row>
    <row r="1554" spans="1:6">
      <c r="A1554" s="33">
        <v>42156</v>
      </c>
      <c r="B1554">
        <v>255</v>
      </c>
      <c r="C1554">
        <v>42274</v>
      </c>
      <c r="D1554" t="str">
        <f>VLOOKUP(B1554,ZoneTable,2,FALSE)</f>
        <v>Brooklyn</v>
      </c>
      <c r="E1554" t="str">
        <f>VLOOKUP(B1554,ZoneTable,3,FALSE)</f>
        <v>Williamsburg (North Side)</v>
      </c>
      <c r="F1554" t="str">
        <f>IF(OR(B1554=1,B1554=132,B1554=138),"Airports",D1554)</f>
        <v>Brooklyn</v>
      </c>
    </row>
    <row r="1555" spans="1:6">
      <c r="A1555" s="33">
        <v>42156</v>
      </c>
      <c r="B1555">
        <v>256</v>
      </c>
      <c r="C1555">
        <v>28412</v>
      </c>
      <c r="D1555" t="str">
        <f>VLOOKUP(B1555,ZoneTable,2,FALSE)</f>
        <v>Brooklyn</v>
      </c>
      <c r="E1555" t="str">
        <f>VLOOKUP(B1555,ZoneTable,3,FALSE)</f>
        <v>Williamsburg (South Side)</v>
      </c>
      <c r="F1555" t="str">
        <f>IF(OR(B1555=1,B1555=132,B1555=138),"Airports",D1555)</f>
        <v>Brooklyn</v>
      </c>
    </row>
    <row r="1556" spans="1:6">
      <c r="A1556" s="33">
        <v>42156</v>
      </c>
      <c r="B1556">
        <v>257</v>
      </c>
      <c r="C1556">
        <v>4733</v>
      </c>
      <c r="D1556" t="str">
        <f>VLOOKUP(B1556,ZoneTable,2,FALSE)</f>
        <v>Brooklyn</v>
      </c>
      <c r="E1556" t="str">
        <f>VLOOKUP(B1556,ZoneTable,3,FALSE)</f>
        <v>Windsor Terrace</v>
      </c>
      <c r="F1556" t="str">
        <f>IF(OR(B1556=1,B1556=132,B1556=138),"Airports",D1556)</f>
        <v>Brooklyn</v>
      </c>
    </row>
    <row r="1557" spans="1:6">
      <c r="A1557" s="33">
        <v>42156</v>
      </c>
      <c r="B1557">
        <v>258</v>
      </c>
      <c r="C1557">
        <v>2058</v>
      </c>
      <c r="D1557" t="str">
        <f>VLOOKUP(B1557,ZoneTable,2,FALSE)</f>
        <v>Queens</v>
      </c>
      <c r="E1557" t="str">
        <f>VLOOKUP(B1557,ZoneTable,3,FALSE)</f>
        <v>Woodhaven</v>
      </c>
      <c r="F1557" t="str">
        <f>IF(OR(B1557=1,B1557=132,B1557=138),"Airports",D1557)</f>
        <v>Queens</v>
      </c>
    </row>
    <row r="1558" spans="1:6">
      <c r="A1558" s="33">
        <v>42156</v>
      </c>
      <c r="B1558">
        <v>259</v>
      </c>
      <c r="C1558">
        <v>810</v>
      </c>
      <c r="D1558" t="str">
        <f>VLOOKUP(B1558,ZoneTable,2,FALSE)</f>
        <v>Bronx</v>
      </c>
      <c r="E1558" t="str">
        <f>VLOOKUP(B1558,ZoneTable,3,FALSE)</f>
        <v>Woodlawn/Wakefield</v>
      </c>
      <c r="F1558" t="str">
        <f>IF(OR(B1558=1,B1558=132,B1558=138),"Airports",D1558)</f>
        <v>Bronx</v>
      </c>
    </row>
    <row r="1559" spans="1:6">
      <c r="A1559" s="33">
        <v>42156</v>
      </c>
      <c r="B1559">
        <v>260</v>
      </c>
      <c r="C1559">
        <v>4481</v>
      </c>
      <c r="D1559" t="str">
        <f>VLOOKUP(B1559,ZoneTable,2,FALSE)</f>
        <v>Queens</v>
      </c>
      <c r="E1559" t="str">
        <f>VLOOKUP(B1559,ZoneTable,3,FALSE)</f>
        <v>Woodside</v>
      </c>
      <c r="F1559" t="str">
        <f>IF(OR(B1559=1,B1559=132,B1559=138),"Airports",D1559)</f>
        <v>Queens</v>
      </c>
    </row>
    <row r="1560" spans="1:6">
      <c r="A1560" s="33">
        <v>42156</v>
      </c>
      <c r="B1560">
        <v>261</v>
      </c>
      <c r="C1560">
        <v>14239</v>
      </c>
      <c r="D1560" t="str">
        <f>VLOOKUP(B1560,ZoneTable,2,FALSE)</f>
        <v>Manhattan</v>
      </c>
      <c r="E1560" t="str">
        <f>VLOOKUP(B1560,ZoneTable,3,FALSE)</f>
        <v>World Trade Center</v>
      </c>
      <c r="F1560" t="str">
        <f>IF(OR(B1560=1,B1560=132,B1560=138),"Airports",D1560)</f>
        <v>Manhattan</v>
      </c>
    </row>
    <row r="1561" spans="1:6">
      <c r="A1561" s="33">
        <v>42156</v>
      </c>
      <c r="B1561">
        <v>262</v>
      </c>
      <c r="C1561">
        <v>20909</v>
      </c>
      <c r="D1561" t="str">
        <f>VLOOKUP(B1561,ZoneTable,2,FALSE)</f>
        <v>Manhattan</v>
      </c>
      <c r="E1561" t="str">
        <f>VLOOKUP(B1561,ZoneTable,3,FALSE)</f>
        <v>Yorkville East</v>
      </c>
      <c r="F1561" t="str">
        <f>IF(OR(B1561=1,B1561=132,B1561=138),"Airports",D1561)</f>
        <v>Manhattan</v>
      </c>
    </row>
    <row r="1562" spans="1:6">
      <c r="A1562" s="33">
        <v>42156</v>
      </c>
      <c r="B1562">
        <v>263</v>
      </c>
      <c r="C1562">
        <v>25910</v>
      </c>
      <c r="D1562" t="str">
        <f>VLOOKUP(B1562,ZoneTable,2,FALSE)</f>
        <v>Manhattan</v>
      </c>
      <c r="E1562" t="str">
        <f>VLOOKUP(B1562,ZoneTable,3,FALSE)</f>
        <v>Yorkville West</v>
      </c>
      <c r="F1562" t="str">
        <f>IF(OR(B1562=1,B1562=132,B1562=138),"Airports",D1562)</f>
        <v>Manhattan</v>
      </c>
    </row>
    <row r="1563" spans="1:6">
      <c r="A1563" s="33">
        <v>42156</v>
      </c>
      <c r="B1563">
        <v>265</v>
      </c>
      <c r="C1563">
        <v>1476</v>
      </c>
      <c r="D1563" t="str">
        <f>VLOOKUP(B1563,ZoneTable,2,FALSE)</f>
        <v>Unknown</v>
      </c>
      <c r="E1563" t="str">
        <f>VLOOKUP(B1563,ZoneTable,3,FALSE)</f>
        <v>Unknown</v>
      </c>
      <c r="F1563" t="str">
        <f>IF(OR(B1563=1,B1563=132,B1563=138),"Airports",D1563)</f>
        <v>Unknown</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dimension ref="A1:E169"/>
  <sheetViews>
    <sheetView showGridLines="0" zoomScale="90" zoomScaleNormal="90" workbookViewId="0"/>
  </sheetViews>
  <sheetFormatPr defaultRowHeight="15"/>
  <cols>
    <col min="1" max="1" width="7.7109375" customWidth="1"/>
    <col min="2" max="2" width="14.7109375" customWidth="1"/>
    <col min="3" max="3" width="10.7109375" customWidth="1"/>
  </cols>
  <sheetData>
    <row r="1" spans="1:5">
      <c r="A1" t="s">
        <v>306</v>
      </c>
      <c r="B1" t="s">
        <v>318</v>
      </c>
      <c r="C1" t="s">
        <v>307</v>
      </c>
      <c r="E1" s="20" t="s">
        <v>320</v>
      </c>
    </row>
    <row r="2" spans="1:5">
      <c r="A2">
        <v>0</v>
      </c>
      <c r="B2" t="s">
        <v>319</v>
      </c>
      <c r="C2">
        <v>28738</v>
      </c>
    </row>
    <row r="3" spans="1:5">
      <c r="A3">
        <v>0</v>
      </c>
      <c r="B3" t="s">
        <v>25</v>
      </c>
      <c r="C3">
        <v>8923</v>
      </c>
    </row>
    <row r="4" spans="1:5">
      <c r="A4">
        <v>0</v>
      </c>
      <c r="B4" t="s">
        <v>36</v>
      </c>
      <c r="C4">
        <v>118731</v>
      </c>
    </row>
    <row r="5" spans="1:5">
      <c r="A5">
        <v>0</v>
      </c>
      <c r="B5" t="s">
        <v>27</v>
      </c>
      <c r="C5">
        <v>414082</v>
      </c>
    </row>
    <row r="6" spans="1:5">
      <c r="A6">
        <v>0</v>
      </c>
      <c r="B6" t="s">
        <v>23</v>
      </c>
      <c r="C6">
        <v>31265</v>
      </c>
    </row>
    <row r="7" spans="1:5">
      <c r="A7">
        <v>0</v>
      </c>
      <c r="B7" t="s">
        <v>29</v>
      </c>
      <c r="C7">
        <v>185</v>
      </c>
    </row>
    <row r="8" spans="1:5">
      <c r="A8">
        <v>0</v>
      </c>
      <c r="B8" t="s">
        <v>287</v>
      </c>
      <c r="C8">
        <v>254</v>
      </c>
    </row>
    <row r="9" spans="1:5">
      <c r="A9">
        <v>1</v>
      </c>
      <c r="B9" t="s">
        <v>319</v>
      </c>
      <c r="C9">
        <v>11390</v>
      </c>
    </row>
    <row r="10" spans="1:5">
      <c r="A10">
        <v>1</v>
      </c>
      <c r="B10" t="s">
        <v>25</v>
      </c>
      <c r="C10">
        <v>6446</v>
      </c>
    </row>
    <row r="11" spans="1:5">
      <c r="A11">
        <v>1</v>
      </c>
      <c r="B11" t="s">
        <v>36</v>
      </c>
      <c r="C11">
        <v>85445</v>
      </c>
    </row>
    <row r="12" spans="1:5">
      <c r="A12">
        <v>1</v>
      </c>
      <c r="B12" t="s">
        <v>27</v>
      </c>
      <c r="C12">
        <v>267228</v>
      </c>
    </row>
    <row r="13" spans="1:5">
      <c r="A13">
        <v>1</v>
      </c>
      <c r="B13" t="s">
        <v>23</v>
      </c>
      <c r="C13">
        <v>23644</v>
      </c>
    </row>
    <row r="14" spans="1:5">
      <c r="A14">
        <v>1</v>
      </c>
      <c r="B14" t="s">
        <v>29</v>
      </c>
      <c r="C14">
        <v>178</v>
      </c>
    </row>
    <row r="15" spans="1:5">
      <c r="A15">
        <v>1</v>
      </c>
      <c r="B15" t="s">
        <v>287</v>
      </c>
      <c r="C15">
        <v>179</v>
      </c>
    </row>
    <row r="16" spans="1:5">
      <c r="A16">
        <v>2</v>
      </c>
      <c r="B16" t="s">
        <v>319</v>
      </c>
      <c r="C16">
        <v>3048</v>
      </c>
    </row>
    <row r="17" spans="1:3">
      <c r="A17">
        <v>2</v>
      </c>
      <c r="B17" t="s">
        <v>25</v>
      </c>
      <c r="C17">
        <v>4811</v>
      </c>
    </row>
    <row r="18" spans="1:3">
      <c r="A18">
        <v>2</v>
      </c>
      <c r="B18" t="s">
        <v>36</v>
      </c>
      <c r="C18">
        <v>58106</v>
      </c>
    </row>
    <row r="19" spans="1:3">
      <c r="A19">
        <v>2</v>
      </c>
      <c r="B19" t="s">
        <v>27</v>
      </c>
      <c r="C19">
        <v>177401</v>
      </c>
    </row>
    <row r="20" spans="1:3">
      <c r="A20">
        <v>2</v>
      </c>
      <c r="B20" t="s">
        <v>23</v>
      </c>
      <c r="C20">
        <v>16994</v>
      </c>
    </row>
    <row r="21" spans="1:3">
      <c r="A21">
        <v>2</v>
      </c>
      <c r="B21" t="s">
        <v>29</v>
      </c>
      <c r="C21">
        <v>124</v>
      </c>
    </row>
    <row r="22" spans="1:3">
      <c r="A22">
        <v>2</v>
      </c>
      <c r="B22" t="s">
        <v>287</v>
      </c>
      <c r="C22">
        <v>119</v>
      </c>
    </row>
    <row r="23" spans="1:3">
      <c r="A23">
        <v>3</v>
      </c>
      <c r="B23" t="s">
        <v>319</v>
      </c>
      <c r="C23">
        <v>1018</v>
      </c>
    </row>
    <row r="24" spans="1:3">
      <c r="A24">
        <v>3</v>
      </c>
      <c r="B24" t="s">
        <v>25</v>
      </c>
      <c r="C24">
        <v>3969</v>
      </c>
    </row>
    <row r="25" spans="1:3">
      <c r="A25">
        <v>3</v>
      </c>
      <c r="B25" t="s">
        <v>36</v>
      </c>
      <c r="C25">
        <v>41605</v>
      </c>
    </row>
    <row r="26" spans="1:3">
      <c r="A26">
        <v>3</v>
      </c>
      <c r="B26" t="s">
        <v>27</v>
      </c>
      <c r="C26">
        <v>122806</v>
      </c>
    </row>
    <row r="27" spans="1:3">
      <c r="A27">
        <v>3</v>
      </c>
      <c r="B27" t="s">
        <v>23</v>
      </c>
      <c r="C27">
        <v>14047</v>
      </c>
    </row>
    <row r="28" spans="1:3">
      <c r="A28">
        <v>3</v>
      </c>
      <c r="B28" t="s">
        <v>29</v>
      </c>
      <c r="C28">
        <v>100</v>
      </c>
    </row>
    <row r="29" spans="1:3">
      <c r="A29">
        <v>3</v>
      </c>
      <c r="B29" t="s">
        <v>287</v>
      </c>
      <c r="C29">
        <v>110</v>
      </c>
    </row>
    <row r="30" spans="1:3">
      <c r="A30">
        <v>4</v>
      </c>
      <c r="B30" t="s">
        <v>319</v>
      </c>
      <c r="C30">
        <v>889</v>
      </c>
    </row>
    <row r="31" spans="1:3">
      <c r="A31">
        <v>4</v>
      </c>
      <c r="B31" t="s">
        <v>25</v>
      </c>
      <c r="C31">
        <v>3731</v>
      </c>
    </row>
    <row r="32" spans="1:3">
      <c r="A32">
        <v>4</v>
      </c>
      <c r="B32" t="s">
        <v>36</v>
      </c>
      <c r="C32">
        <v>38346</v>
      </c>
    </row>
    <row r="33" spans="1:3">
      <c r="A33">
        <v>4</v>
      </c>
      <c r="B33" t="s">
        <v>27</v>
      </c>
      <c r="C33">
        <v>113806</v>
      </c>
    </row>
    <row r="34" spans="1:3">
      <c r="A34">
        <v>4</v>
      </c>
      <c r="B34" t="s">
        <v>23</v>
      </c>
      <c r="C34">
        <v>16016</v>
      </c>
    </row>
    <row r="35" spans="1:3">
      <c r="A35">
        <v>4</v>
      </c>
      <c r="B35" t="s">
        <v>29</v>
      </c>
      <c r="C35">
        <v>125</v>
      </c>
    </row>
    <row r="36" spans="1:3">
      <c r="A36">
        <v>4</v>
      </c>
      <c r="B36" t="s">
        <v>287</v>
      </c>
      <c r="C36">
        <v>125</v>
      </c>
    </row>
    <row r="37" spans="1:3">
      <c r="A37">
        <v>5</v>
      </c>
      <c r="B37" t="s">
        <v>319</v>
      </c>
      <c r="C37">
        <v>8000</v>
      </c>
    </row>
    <row r="38" spans="1:3">
      <c r="A38">
        <v>5</v>
      </c>
      <c r="B38" t="s">
        <v>25</v>
      </c>
      <c r="C38">
        <v>3928</v>
      </c>
    </row>
    <row r="39" spans="1:3">
      <c r="A39">
        <v>5</v>
      </c>
      <c r="B39" t="s">
        <v>36</v>
      </c>
      <c r="C39">
        <v>43720</v>
      </c>
    </row>
    <row r="40" spans="1:3">
      <c r="A40">
        <v>5</v>
      </c>
      <c r="B40" t="s">
        <v>27</v>
      </c>
      <c r="C40">
        <v>119231</v>
      </c>
    </row>
    <row r="41" spans="1:3">
      <c r="A41">
        <v>5</v>
      </c>
      <c r="B41" t="s">
        <v>23</v>
      </c>
      <c r="C41">
        <v>18325</v>
      </c>
    </row>
    <row r="42" spans="1:3">
      <c r="A42">
        <v>5</v>
      </c>
      <c r="B42" t="s">
        <v>29</v>
      </c>
      <c r="C42">
        <v>132</v>
      </c>
    </row>
    <row r="43" spans="1:3">
      <c r="A43">
        <v>5</v>
      </c>
      <c r="B43" t="s">
        <v>287</v>
      </c>
      <c r="C43">
        <v>187</v>
      </c>
    </row>
    <row r="44" spans="1:3">
      <c r="A44">
        <v>6</v>
      </c>
      <c r="B44" t="s">
        <v>319</v>
      </c>
      <c r="C44">
        <v>14055</v>
      </c>
    </row>
    <row r="45" spans="1:3">
      <c r="A45">
        <v>6</v>
      </c>
      <c r="B45" t="s">
        <v>25</v>
      </c>
      <c r="C45">
        <v>5981</v>
      </c>
    </row>
    <row r="46" spans="1:3">
      <c r="A46">
        <v>6</v>
      </c>
      <c r="B46" t="s">
        <v>36</v>
      </c>
      <c r="C46">
        <v>62607</v>
      </c>
    </row>
    <row r="47" spans="1:3">
      <c r="A47">
        <v>6</v>
      </c>
      <c r="B47" t="s">
        <v>27</v>
      </c>
      <c r="C47">
        <v>180286</v>
      </c>
    </row>
    <row r="48" spans="1:3">
      <c r="A48">
        <v>6</v>
      </c>
      <c r="B48" t="s">
        <v>23</v>
      </c>
      <c r="C48">
        <v>25201</v>
      </c>
    </row>
    <row r="49" spans="1:3">
      <c r="A49">
        <v>6</v>
      </c>
      <c r="B49" t="s">
        <v>29</v>
      </c>
      <c r="C49">
        <v>210</v>
      </c>
    </row>
    <row r="50" spans="1:3">
      <c r="A50">
        <v>6</v>
      </c>
      <c r="B50" t="s">
        <v>287</v>
      </c>
      <c r="C50">
        <v>193</v>
      </c>
    </row>
    <row r="51" spans="1:3">
      <c r="A51">
        <v>7</v>
      </c>
      <c r="B51" t="s">
        <v>319</v>
      </c>
      <c r="C51">
        <v>14534</v>
      </c>
    </row>
    <row r="52" spans="1:3">
      <c r="A52">
        <v>7</v>
      </c>
      <c r="B52" t="s">
        <v>25</v>
      </c>
      <c r="C52">
        <v>9781</v>
      </c>
    </row>
    <row r="53" spans="1:3">
      <c r="A53">
        <v>7</v>
      </c>
      <c r="B53" t="s">
        <v>36</v>
      </c>
      <c r="C53">
        <v>81112</v>
      </c>
    </row>
    <row r="54" spans="1:3">
      <c r="A54">
        <v>7</v>
      </c>
      <c r="B54" t="s">
        <v>27</v>
      </c>
      <c r="C54">
        <v>302397</v>
      </c>
    </row>
    <row r="55" spans="1:3">
      <c r="A55">
        <v>7</v>
      </c>
      <c r="B55" t="s">
        <v>23</v>
      </c>
      <c r="C55">
        <v>35001</v>
      </c>
    </row>
    <row r="56" spans="1:3">
      <c r="A56">
        <v>7</v>
      </c>
      <c r="B56" t="s">
        <v>29</v>
      </c>
      <c r="C56">
        <v>273</v>
      </c>
    </row>
    <row r="57" spans="1:3">
      <c r="A57">
        <v>7</v>
      </c>
      <c r="B57" t="s">
        <v>287</v>
      </c>
      <c r="C57">
        <v>445</v>
      </c>
    </row>
    <row r="58" spans="1:3">
      <c r="A58">
        <v>8</v>
      </c>
      <c r="B58" t="s">
        <v>319</v>
      </c>
      <c r="C58">
        <v>15344</v>
      </c>
    </row>
    <row r="59" spans="1:3">
      <c r="A59">
        <v>8</v>
      </c>
      <c r="B59" t="s">
        <v>25</v>
      </c>
      <c r="C59">
        <v>11214</v>
      </c>
    </row>
    <row r="60" spans="1:3">
      <c r="A60">
        <v>8</v>
      </c>
      <c r="B60" t="s">
        <v>36</v>
      </c>
      <c r="C60">
        <v>98101</v>
      </c>
    </row>
    <row r="61" spans="1:3">
      <c r="A61">
        <v>8</v>
      </c>
      <c r="B61" t="s">
        <v>27</v>
      </c>
      <c r="C61">
        <v>416278</v>
      </c>
    </row>
    <row r="62" spans="1:3">
      <c r="A62">
        <v>8</v>
      </c>
      <c r="B62" t="s">
        <v>23</v>
      </c>
      <c r="C62">
        <v>41726</v>
      </c>
    </row>
    <row r="63" spans="1:3">
      <c r="A63">
        <v>8</v>
      </c>
      <c r="B63" t="s">
        <v>29</v>
      </c>
      <c r="C63">
        <v>335</v>
      </c>
    </row>
    <row r="64" spans="1:3">
      <c r="A64">
        <v>8</v>
      </c>
      <c r="B64" t="s">
        <v>287</v>
      </c>
      <c r="C64">
        <v>350</v>
      </c>
    </row>
    <row r="65" spans="1:3">
      <c r="A65">
        <v>9</v>
      </c>
      <c r="B65" t="s">
        <v>319</v>
      </c>
      <c r="C65">
        <v>15982</v>
      </c>
    </row>
    <row r="66" spans="1:3">
      <c r="A66">
        <v>9</v>
      </c>
      <c r="B66" t="s">
        <v>25</v>
      </c>
      <c r="C66">
        <v>9280</v>
      </c>
    </row>
    <row r="67" spans="1:3">
      <c r="A67">
        <v>9</v>
      </c>
      <c r="B67" t="s">
        <v>36</v>
      </c>
      <c r="C67">
        <v>100468</v>
      </c>
    </row>
    <row r="68" spans="1:3">
      <c r="A68">
        <v>9</v>
      </c>
      <c r="B68" t="s">
        <v>27</v>
      </c>
      <c r="C68">
        <v>429681</v>
      </c>
    </row>
    <row r="69" spans="1:3">
      <c r="A69">
        <v>9</v>
      </c>
      <c r="B69" t="s">
        <v>23</v>
      </c>
      <c r="C69">
        <v>37461</v>
      </c>
    </row>
    <row r="70" spans="1:3">
      <c r="A70">
        <v>9</v>
      </c>
      <c r="B70" t="s">
        <v>29</v>
      </c>
      <c r="C70">
        <v>301</v>
      </c>
    </row>
    <row r="71" spans="1:3">
      <c r="A71">
        <v>9</v>
      </c>
      <c r="B71" t="s">
        <v>287</v>
      </c>
      <c r="C71">
        <v>264</v>
      </c>
    </row>
    <row r="72" spans="1:3">
      <c r="A72">
        <v>10</v>
      </c>
      <c r="B72" t="s">
        <v>319</v>
      </c>
      <c r="C72">
        <v>19132</v>
      </c>
    </row>
    <row r="73" spans="1:3">
      <c r="A73">
        <v>10</v>
      </c>
      <c r="B73" t="s">
        <v>25</v>
      </c>
      <c r="C73">
        <v>8145</v>
      </c>
    </row>
    <row r="74" spans="1:3">
      <c r="A74">
        <v>10</v>
      </c>
      <c r="B74" t="s">
        <v>36</v>
      </c>
      <c r="C74">
        <v>92721</v>
      </c>
    </row>
    <row r="75" spans="1:3">
      <c r="A75">
        <v>10</v>
      </c>
      <c r="B75" t="s">
        <v>27</v>
      </c>
      <c r="C75">
        <v>365991</v>
      </c>
    </row>
    <row r="76" spans="1:3">
      <c r="A76">
        <v>10</v>
      </c>
      <c r="B76" t="s">
        <v>23</v>
      </c>
      <c r="C76">
        <v>33543</v>
      </c>
    </row>
    <row r="77" spans="1:3">
      <c r="A77">
        <v>10</v>
      </c>
      <c r="B77" t="s">
        <v>29</v>
      </c>
      <c r="C77">
        <v>303</v>
      </c>
    </row>
    <row r="78" spans="1:3">
      <c r="A78">
        <v>10</v>
      </c>
      <c r="B78" t="s">
        <v>287</v>
      </c>
      <c r="C78">
        <v>257</v>
      </c>
    </row>
    <row r="79" spans="1:3">
      <c r="A79">
        <v>11</v>
      </c>
      <c r="B79" t="s">
        <v>319</v>
      </c>
      <c r="C79">
        <v>17721</v>
      </c>
    </row>
    <row r="80" spans="1:3">
      <c r="A80">
        <v>11</v>
      </c>
      <c r="B80" t="s">
        <v>25</v>
      </c>
      <c r="C80">
        <v>8207</v>
      </c>
    </row>
    <row r="81" spans="1:3">
      <c r="A81">
        <v>11</v>
      </c>
      <c r="B81" t="s">
        <v>36</v>
      </c>
      <c r="C81">
        <v>88911</v>
      </c>
    </row>
    <row r="82" spans="1:3">
      <c r="A82">
        <v>11</v>
      </c>
      <c r="B82" t="s">
        <v>27</v>
      </c>
      <c r="C82">
        <v>368082</v>
      </c>
    </row>
    <row r="83" spans="1:3">
      <c r="A83">
        <v>11</v>
      </c>
      <c r="B83" t="s">
        <v>23</v>
      </c>
      <c r="C83">
        <v>33288</v>
      </c>
    </row>
    <row r="84" spans="1:3">
      <c r="A84">
        <v>11</v>
      </c>
      <c r="B84" t="s">
        <v>29</v>
      </c>
      <c r="C84">
        <v>281</v>
      </c>
    </row>
    <row r="85" spans="1:3">
      <c r="A85">
        <v>11</v>
      </c>
      <c r="B85" t="s">
        <v>287</v>
      </c>
      <c r="C85">
        <v>226</v>
      </c>
    </row>
    <row r="86" spans="1:3">
      <c r="A86">
        <v>12</v>
      </c>
      <c r="B86" t="s">
        <v>319</v>
      </c>
      <c r="C86">
        <v>17634</v>
      </c>
    </row>
    <row r="87" spans="1:3">
      <c r="A87">
        <v>12</v>
      </c>
      <c r="B87" t="s">
        <v>25</v>
      </c>
      <c r="C87">
        <v>8741</v>
      </c>
    </row>
    <row r="88" spans="1:3">
      <c r="A88">
        <v>12</v>
      </c>
      <c r="B88" t="s">
        <v>36</v>
      </c>
      <c r="C88">
        <v>86394</v>
      </c>
    </row>
    <row r="89" spans="1:3">
      <c r="A89">
        <v>12</v>
      </c>
      <c r="B89" t="s">
        <v>27</v>
      </c>
      <c r="C89">
        <v>386595</v>
      </c>
    </row>
    <row r="90" spans="1:3">
      <c r="A90">
        <v>12</v>
      </c>
      <c r="B90" t="s">
        <v>23</v>
      </c>
      <c r="C90">
        <v>33065</v>
      </c>
    </row>
    <row r="91" spans="1:3">
      <c r="A91">
        <v>12</v>
      </c>
      <c r="B91" t="s">
        <v>29</v>
      </c>
      <c r="C91">
        <v>321</v>
      </c>
    </row>
    <row r="92" spans="1:3">
      <c r="A92">
        <v>12</v>
      </c>
      <c r="B92" t="s">
        <v>287</v>
      </c>
      <c r="C92">
        <v>271</v>
      </c>
    </row>
    <row r="93" spans="1:3">
      <c r="A93">
        <v>13</v>
      </c>
      <c r="B93" t="s">
        <v>319</v>
      </c>
      <c r="C93">
        <v>19551</v>
      </c>
    </row>
    <row r="94" spans="1:3">
      <c r="A94">
        <v>13</v>
      </c>
      <c r="B94" t="s">
        <v>25</v>
      </c>
      <c r="C94">
        <v>9163</v>
      </c>
    </row>
    <row r="95" spans="1:3">
      <c r="A95">
        <v>13</v>
      </c>
      <c r="B95" t="s">
        <v>36</v>
      </c>
      <c r="C95">
        <v>85743</v>
      </c>
    </row>
    <row r="96" spans="1:3">
      <c r="A96">
        <v>13</v>
      </c>
      <c r="B96" t="s">
        <v>27</v>
      </c>
      <c r="C96">
        <v>390118</v>
      </c>
    </row>
    <row r="97" spans="1:3">
      <c r="A97">
        <v>13</v>
      </c>
      <c r="B97" t="s">
        <v>23</v>
      </c>
      <c r="C97">
        <v>32774</v>
      </c>
    </row>
    <row r="98" spans="1:3">
      <c r="A98">
        <v>13</v>
      </c>
      <c r="B98" t="s">
        <v>29</v>
      </c>
      <c r="C98">
        <v>329</v>
      </c>
    </row>
    <row r="99" spans="1:3">
      <c r="A99">
        <v>13</v>
      </c>
      <c r="B99" t="s">
        <v>287</v>
      </c>
      <c r="C99">
        <v>231</v>
      </c>
    </row>
    <row r="100" spans="1:3">
      <c r="A100">
        <v>14</v>
      </c>
      <c r="B100" t="s">
        <v>319</v>
      </c>
      <c r="C100">
        <v>25812</v>
      </c>
    </row>
    <row r="101" spans="1:3">
      <c r="A101">
        <v>14</v>
      </c>
      <c r="B101" t="s">
        <v>25</v>
      </c>
      <c r="C101">
        <v>10243</v>
      </c>
    </row>
    <row r="102" spans="1:3">
      <c r="A102">
        <v>14</v>
      </c>
      <c r="B102" t="s">
        <v>36</v>
      </c>
      <c r="C102">
        <v>90313</v>
      </c>
    </row>
    <row r="103" spans="1:3">
      <c r="A103">
        <v>14</v>
      </c>
      <c r="B103" t="s">
        <v>27</v>
      </c>
      <c r="C103">
        <v>423027</v>
      </c>
    </row>
    <row r="104" spans="1:3">
      <c r="A104">
        <v>14</v>
      </c>
      <c r="B104" t="s">
        <v>23</v>
      </c>
      <c r="C104">
        <v>34431</v>
      </c>
    </row>
    <row r="105" spans="1:3">
      <c r="A105">
        <v>14</v>
      </c>
      <c r="B105" t="s">
        <v>29</v>
      </c>
      <c r="C105">
        <v>375</v>
      </c>
    </row>
    <row r="106" spans="1:3">
      <c r="A106">
        <v>14</v>
      </c>
      <c r="B106" t="s">
        <v>287</v>
      </c>
      <c r="C106">
        <v>262</v>
      </c>
    </row>
    <row r="107" spans="1:3">
      <c r="A107">
        <v>15</v>
      </c>
      <c r="B107" t="s">
        <v>319</v>
      </c>
      <c r="C107">
        <v>36878</v>
      </c>
    </row>
    <row r="108" spans="1:3">
      <c r="A108">
        <v>15</v>
      </c>
      <c r="B108" t="s">
        <v>25</v>
      </c>
      <c r="C108">
        <v>11128</v>
      </c>
    </row>
    <row r="109" spans="1:3">
      <c r="A109">
        <v>15</v>
      </c>
      <c r="B109" t="s">
        <v>36</v>
      </c>
      <c r="C109">
        <v>92580</v>
      </c>
    </row>
    <row r="110" spans="1:3">
      <c r="A110">
        <v>15</v>
      </c>
      <c r="B110" t="s">
        <v>27</v>
      </c>
      <c r="C110">
        <v>472714</v>
      </c>
    </row>
    <row r="111" spans="1:3">
      <c r="A111">
        <v>15</v>
      </c>
      <c r="B111" t="s">
        <v>23</v>
      </c>
      <c r="C111">
        <v>35415</v>
      </c>
    </row>
    <row r="112" spans="1:3">
      <c r="A112">
        <v>15</v>
      </c>
      <c r="B112" t="s">
        <v>29</v>
      </c>
      <c r="C112">
        <v>450</v>
      </c>
    </row>
    <row r="113" spans="1:3">
      <c r="A113">
        <v>15</v>
      </c>
      <c r="B113" t="s">
        <v>287</v>
      </c>
      <c r="C113">
        <v>249</v>
      </c>
    </row>
    <row r="114" spans="1:3">
      <c r="A114">
        <v>16</v>
      </c>
      <c r="B114" t="s">
        <v>319</v>
      </c>
      <c r="C114">
        <v>34130</v>
      </c>
    </row>
    <row r="115" spans="1:3">
      <c r="A115">
        <v>16</v>
      </c>
      <c r="B115" t="s">
        <v>25</v>
      </c>
      <c r="C115">
        <v>11730</v>
      </c>
    </row>
    <row r="116" spans="1:3">
      <c r="A116">
        <v>16</v>
      </c>
      <c r="B116" t="s">
        <v>36</v>
      </c>
      <c r="C116">
        <v>97116</v>
      </c>
    </row>
    <row r="117" spans="1:3">
      <c r="A117">
        <v>16</v>
      </c>
      <c r="B117" t="s">
        <v>27</v>
      </c>
      <c r="C117">
        <v>557806</v>
      </c>
    </row>
    <row r="118" spans="1:3">
      <c r="A118">
        <v>16</v>
      </c>
      <c r="B118" t="s">
        <v>23</v>
      </c>
      <c r="C118">
        <v>35666</v>
      </c>
    </row>
    <row r="119" spans="1:3">
      <c r="A119">
        <v>16</v>
      </c>
      <c r="B119" t="s">
        <v>29</v>
      </c>
      <c r="C119">
        <v>424</v>
      </c>
    </row>
    <row r="120" spans="1:3">
      <c r="A120">
        <v>16</v>
      </c>
      <c r="B120" t="s">
        <v>287</v>
      </c>
      <c r="C120">
        <v>298</v>
      </c>
    </row>
    <row r="121" spans="1:3">
      <c r="A121">
        <v>17</v>
      </c>
      <c r="B121" t="s">
        <v>319</v>
      </c>
      <c r="C121">
        <v>34740</v>
      </c>
    </row>
    <row r="122" spans="1:3">
      <c r="A122">
        <v>17</v>
      </c>
      <c r="B122" t="s">
        <v>25</v>
      </c>
      <c r="C122">
        <v>12455</v>
      </c>
    </row>
    <row r="123" spans="1:3">
      <c r="A123">
        <v>17</v>
      </c>
      <c r="B123" t="s">
        <v>36</v>
      </c>
      <c r="C123">
        <v>110385</v>
      </c>
    </row>
    <row r="124" spans="1:3">
      <c r="A124">
        <v>17</v>
      </c>
      <c r="B124" t="s">
        <v>27</v>
      </c>
      <c r="C124">
        <v>666693</v>
      </c>
    </row>
    <row r="125" spans="1:3">
      <c r="A125">
        <v>17</v>
      </c>
      <c r="B125" t="s">
        <v>23</v>
      </c>
      <c r="C125">
        <v>38992</v>
      </c>
    </row>
    <row r="126" spans="1:3">
      <c r="A126">
        <v>17</v>
      </c>
      <c r="B126" t="s">
        <v>29</v>
      </c>
      <c r="C126">
        <v>420</v>
      </c>
    </row>
    <row r="127" spans="1:3">
      <c r="A127">
        <v>17</v>
      </c>
      <c r="B127" t="s">
        <v>287</v>
      </c>
      <c r="C127">
        <v>305</v>
      </c>
    </row>
    <row r="128" spans="1:3">
      <c r="A128">
        <v>18</v>
      </c>
      <c r="B128" t="s">
        <v>319</v>
      </c>
      <c r="C128">
        <v>34229</v>
      </c>
    </row>
    <row r="129" spans="1:3">
      <c r="A129">
        <v>18</v>
      </c>
      <c r="B129" t="s">
        <v>25</v>
      </c>
      <c r="C129">
        <v>12441</v>
      </c>
    </row>
    <row r="130" spans="1:3">
      <c r="A130">
        <v>18</v>
      </c>
      <c r="B130" t="s">
        <v>36</v>
      </c>
      <c r="C130">
        <v>129535</v>
      </c>
    </row>
    <row r="131" spans="1:3">
      <c r="A131">
        <v>18</v>
      </c>
      <c r="B131" t="s">
        <v>27</v>
      </c>
      <c r="C131">
        <v>767937</v>
      </c>
    </row>
    <row r="132" spans="1:3">
      <c r="A132">
        <v>18</v>
      </c>
      <c r="B132" t="s">
        <v>23</v>
      </c>
      <c r="C132">
        <v>42200</v>
      </c>
    </row>
    <row r="133" spans="1:3">
      <c r="A133">
        <v>18</v>
      </c>
      <c r="B133" t="s">
        <v>29</v>
      </c>
      <c r="C133">
        <v>439</v>
      </c>
    </row>
    <row r="134" spans="1:3">
      <c r="A134">
        <v>18</v>
      </c>
      <c r="B134" t="s">
        <v>287</v>
      </c>
      <c r="C134">
        <v>312</v>
      </c>
    </row>
    <row r="135" spans="1:3">
      <c r="A135">
        <v>19</v>
      </c>
      <c r="B135" t="s">
        <v>319</v>
      </c>
      <c r="C135">
        <v>37670</v>
      </c>
    </row>
    <row r="136" spans="1:3">
      <c r="A136">
        <v>19</v>
      </c>
      <c r="B136" t="s">
        <v>25</v>
      </c>
      <c r="C136">
        <v>11769</v>
      </c>
    </row>
    <row r="137" spans="1:3">
      <c r="A137">
        <v>19</v>
      </c>
      <c r="B137" t="s">
        <v>36</v>
      </c>
      <c r="C137">
        <v>140440</v>
      </c>
    </row>
    <row r="138" spans="1:3">
      <c r="A138">
        <v>19</v>
      </c>
      <c r="B138" t="s">
        <v>27</v>
      </c>
      <c r="C138">
        <v>773737</v>
      </c>
    </row>
    <row r="139" spans="1:3">
      <c r="A139">
        <v>19</v>
      </c>
      <c r="B139" t="s">
        <v>23</v>
      </c>
      <c r="C139">
        <v>43138</v>
      </c>
    </row>
    <row r="140" spans="1:3">
      <c r="A140">
        <v>19</v>
      </c>
      <c r="B140" t="s">
        <v>29</v>
      </c>
      <c r="C140">
        <v>407</v>
      </c>
    </row>
    <row r="141" spans="1:3">
      <c r="A141">
        <v>19</v>
      </c>
      <c r="B141" t="s">
        <v>287</v>
      </c>
      <c r="C141">
        <v>303</v>
      </c>
    </row>
    <row r="142" spans="1:3">
      <c r="A142">
        <v>20</v>
      </c>
      <c r="B142" t="s">
        <v>319</v>
      </c>
      <c r="C142">
        <v>39188</v>
      </c>
    </row>
    <row r="143" spans="1:3">
      <c r="A143">
        <v>20</v>
      </c>
      <c r="B143" t="s">
        <v>25</v>
      </c>
      <c r="C143">
        <v>11602</v>
      </c>
    </row>
    <row r="144" spans="1:3">
      <c r="A144">
        <v>20</v>
      </c>
      <c r="B144" t="s">
        <v>36</v>
      </c>
      <c r="C144">
        <v>140064</v>
      </c>
    </row>
    <row r="145" spans="1:3">
      <c r="A145">
        <v>20</v>
      </c>
      <c r="B145" t="s">
        <v>27</v>
      </c>
      <c r="C145">
        <v>715481</v>
      </c>
    </row>
    <row r="146" spans="1:3">
      <c r="A146">
        <v>20</v>
      </c>
      <c r="B146" t="s">
        <v>23</v>
      </c>
      <c r="C146">
        <v>41556</v>
      </c>
    </row>
    <row r="147" spans="1:3">
      <c r="A147">
        <v>20</v>
      </c>
      <c r="B147" t="s">
        <v>29</v>
      </c>
      <c r="C147">
        <v>351</v>
      </c>
    </row>
    <row r="148" spans="1:3">
      <c r="A148">
        <v>20</v>
      </c>
      <c r="B148" t="s">
        <v>287</v>
      </c>
      <c r="C148">
        <v>332</v>
      </c>
    </row>
    <row r="149" spans="1:3">
      <c r="A149">
        <v>21</v>
      </c>
      <c r="B149" t="s">
        <v>319</v>
      </c>
      <c r="C149">
        <v>42192</v>
      </c>
    </row>
    <row r="150" spans="1:3">
      <c r="A150">
        <v>21</v>
      </c>
      <c r="B150" t="s">
        <v>25</v>
      </c>
      <c r="C150">
        <v>12747</v>
      </c>
    </row>
    <row r="151" spans="1:3">
      <c r="A151">
        <v>21</v>
      </c>
      <c r="B151" t="s">
        <v>36</v>
      </c>
      <c r="C151">
        <v>143277</v>
      </c>
    </row>
    <row r="152" spans="1:3">
      <c r="A152">
        <v>21</v>
      </c>
      <c r="B152" t="s">
        <v>27</v>
      </c>
      <c r="C152">
        <v>689334</v>
      </c>
    </row>
    <row r="153" spans="1:3">
      <c r="A153">
        <v>21</v>
      </c>
      <c r="B153" t="s">
        <v>23</v>
      </c>
      <c r="C153">
        <v>42214</v>
      </c>
    </row>
    <row r="154" spans="1:3">
      <c r="A154">
        <v>21</v>
      </c>
      <c r="B154" t="s">
        <v>29</v>
      </c>
      <c r="C154">
        <v>349</v>
      </c>
    </row>
    <row r="155" spans="1:3">
      <c r="A155">
        <v>21</v>
      </c>
      <c r="B155" t="s">
        <v>287</v>
      </c>
      <c r="C155">
        <v>349</v>
      </c>
    </row>
    <row r="156" spans="1:3">
      <c r="A156">
        <v>22</v>
      </c>
      <c r="B156" t="s">
        <v>319</v>
      </c>
      <c r="C156">
        <v>43087</v>
      </c>
    </row>
    <row r="157" spans="1:3">
      <c r="A157">
        <v>22</v>
      </c>
      <c r="B157" t="s">
        <v>25</v>
      </c>
      <c r="C157">
        <v>12568</v>
      </c>
    </row>
    <row r="158" spans="1:3">
      <c r="A158">
        <v>22</v>
      </c>
      <c r="B158" t="s">
        <v>36</v>
      </c>
      <c r="C158">
        <v>151049</v>
      </c>
    </row>
    <row r="159" spans="1:3">
      <c r="A159">
        <v>22</v>
      </c>
      <c r="B159" t="s">
        <v>27</v>
      </c>
      <c r="C159">
        <v>671919</v>
      </c>
    </row>
    <row r="160" spans="1:3">
      <c r="A160">
        <v>22</v>
      </c>
      <c r="B160" t="s">
        <v>23</v>
      </c>
      <c r="C160">
        <v>43715</v>
      </c>
    </row>
    <row r="161" spans="1:3">
      <c r="A161">
        <v>22</v>
      </c>
      <c r="B161" t="s">
        <v>29</v>
      </c>
      <c r="C161">
        <v>289</v>
      </c>
    </row>
    <row r="162" spans="1:3">
      <c r="A162">
        <v>22</v>
      </c>
      <c r="B162" t="s">
        <v>287</v>
      </c>
      <c r="C162">
        <v>327</v>
      </c>
    </row>
    <row r="163" spans="1:3">
      <c r="A163">
        <v>23</v>
      </c>
      <c r="B163" t="s">
        <v>319</v>
      </c>
      <c r="C163">
        <v>40431</v>
      </c>
    </row>
    <row r="164" spans="1:3">
      <c r="A164">
        <v>23</v>
      </c>
      <c r="B164" t="s">
        <v>25</v>
      </c>
      <c r="C164">
        <v>11143</v>
      </c>
    </row>
    <row r="165" spans="1:3">
      <c r="A165">
        <v>23</v>
      </c>
      <c r="B165" t="s">
        <v>36</v>
      </c>
      <c r="C165">
        <v>145231</v>
      </c>
    </row>
    <row r="166" spans="1:3">
      <c r="A166">
        <v>23</v>
      </c>
      <c r="B166" t="s">
        <v>27</v>
      </c>
      <c r="C166">
        <v>578430</v>
      </c>
    </row>
    <row r="167" spans="1:3">
      <c r="A167">
        <v>23</v>
      </c>
      <c r="B167" t="s">
        <v>23</v>
      </c>
      <c r="C167">
        <v>38980</v>
      </c>
    </row>
    <row r="168" spans="1:3">
      <c r="A168">
        <v>23</v>
      </c>
      <c r="B168" t="s">
        <v>29</v>
      </c>
      <c r="C168">
        <v>258</v>
      </c>
    </row>
    <row r="169" spans="1:3">
      <c r="A169">
        <v>23</v>
      </c>
      <c r="B169" t="s">
        <v>287</v>
      </c>
      <c r="C169">
        <v>316</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dimension ref="A1:I355"/>
  <sheetViews>
    <sheetView showGridLines="0" zoomScale="90" zoomScaleNormal="90" workbookViewId="0">
      <pane ySplit="1" topLeftCell="A2" activePane="bottomLeft" state="frozen"/>
      <selection pane="bottomLeft"/>
    </sheetView>
  </sheetViews>
  <sheetFormatPr defaultRowHeight="15"/>
  <cols>
    <col min="1" max="1" width="11.7109375" customWidth="1"/>
    <col min="2" max="2" width="10.7109375" customWidth="1"/>
    <col min="3" max="3" width="13.7109375" customWidth="1"/>
    <col min="4" max="4" width="8.7109375" customWidth="1"/>
    <col min="5" max="5" width="12.7109375" customWidth="1"/>
    <col min="6" max="6" width="14.7109375" customWidth="1"/>
    <col min="7" max="7" width="10.7109375" customWidth="1"/>
    <col min="8" max="8" width="11.7109375" customWidth="1"/>
    <col min="9" max="9" width="9.7109375" customWidth="1"/>
  </cols>
  <sheetData>
    <row r="1" spans="1:9">
      <c r="A1" t="s">
        <v>305</v>
      </c>
      <c r="B1" t="s">
        <v>16</v>
      </c>
      <c r="C1" t="s">
        <v>321</v>
      </c>
      <c r="D1" t="s">
        <v>307</v>
      </c>
      <c r="E1" t="s">
        <v>17</v>
      </c>
      <c r="F1" t="s">
        <v>322</v>
      </c>
      <c r="G1" t="s">
        <v>312</v>
      </c>
      <c r="H1" t="s">
        <v>323</v>
      </c>
      <c r="I1" t="s">
        <v>311</v>
      </c>
    </row>
    <row r="2" spans="1:9">
      <c r="A2" s="32">
        <v>42005</v>
      </c>
      <c r="B2" t="s">
        <v>0</v>
      </c>
      <c r="C2">
        <v>190</v>
      </c>
      <c r="D2">
        <v>1132</v>
      </c>
      <c r="E2" t="str">
        <f>VLOOKUP(B2,BaseTable,2,FALSE)</f>
        <v>Unter</v>
      </c>
      <c r="F2" s="35">
        <f>D2/C2</f>
        <v>5.957894736842105</v>
      </c>
      <c r="G2" t="str">
        <f>IF(WEEKDAY(A2,2)&gt;5,"Weekend","Weekday")</f>
        <v>Weekday</v>
      </c>
      <c r="H2" s="32">
        <f>A2-WEEKDAY(A2,2)+1</f>
        <v>42002.0</v>
      </c>
      <c r="I2" t="str">
        <f>CHOOSE(WEEKDAY(A2,2),"Mon","Tue","Wed","Thu","Fri","Sat","Sun")</f>
        <v>Thu</v>
      </c>
    </row>
    <row r="3" spans="1:9">
      <c r="A3" s="32">
        <v>42005</v>
      </c>
      <c r="B3" t="s">
        <v>1</v>
      </c>
      <c r="C3">
        <v>870</v>
      </c>
      <c r="D3">
        <v>6903</v>
      </c>
      <c r="E3" t="str">
        <f>VLOOKUP(B3,BaseTable,2,FALSE)</f>
        <v>Hinter</v>
      </c>
      <c r="F3" s="35">
        <f>D3/C3</f>
        <v>7.93448275862069</v>
      </c>
      <c r="G3" t="str">
        <f>IF(WEEKDAY(A3,2)&gt;5,"Weekend","Weekday")</f>
        <v>Weekday</v>
      </c>
      <c r="H3" s="32">
        <f>A3-WEEKDAY(A3,2)+1</f>
        <v>42002.0</v>
      </c>
      <c r="I3" t="str">
        <f>CHOOSE(WEEKDAY(A3,2),"Mon","Tue","Wed","Thu","Fri","Sat","Sun")</f>
        <v>Thu</v>
      </c>
    </row>
    <row r="4" spans="1:9">
      <c r="A4" s="32">
        <v>42005</v>
      </c>
      <c r="B4" t="s">
        <v>2</v>
      </c>
      <c r="C4">
        <v>1228</v>
      </c>
      <c r="D4">
        <v>9537</v>
      </c>
      <c r="E4" t="str">
        <f>VLOOKUP(B4,BaseTable,2,FALSE)</f>
        <v>Weiter</v>
      </c>
      <c r="F4" s="35">
        <f>D4/C4</f>
        <v>7.76628664495114</v>
      </c>
      <c r="G4" t="str">
        <f>IF(WEEKDAY(A4,2)&gt;5,"Weekend","Weekday")</f>
        <v>Weekday</v>
      </c>
      <c r="H4" s="32">
        <f>A4-WEEKDAY(A4,2)+1</f>
        <v>42002.0</v>
      </c>
      <c r="I4" t="str">
        <f>CHOOSE(WEEKDAY(A4,2),"Mon","Tue","Wed","Thu","Fri","Sat","Sun")</f>
        <v>Thu</v>
      </c>
    </row>
    <row r="5" spans="1:9">
      <c r="A5" s="32">
        <v>42005</v>
      </c>
      <c r="B5" t="s">
        <v>3</v>
      </c>
      <c r="C5">
        <v>945</v>
      </c>
      <c r="D5">
        <v>7679</v>
      </c>
      <c r="E5" t="str">
        <f>VLOOKUP(B5,BaseTable,2,FALSE)</f>
        <v>Schmecken</v>
      </c>
      <c r="F5" s="35">
        <f>D5/C5</f>
        <v>8.125925925925927</v>
      </c>
      <c r="G5" t="str">
        <f>IF(WEEKDAY(A5,2)&gt;5,"Weekend","Weekday")</f>
        <v>Weekday</v>
      </c>
      <c r="H5" s="32">
        <f>A5-WEEKDAY(A5,2)+1</f>
        <v>42002.0</v>
      </c>
      <c r="I5" t="str">
        <f>CHOOSE(WEEKDAY(A5,2),"Mon","Tue","Wed","Thu","Fri","Sat","Sun")</f>
        <v>Thu</v>
      </c>
    </row>
    <row r="6" spans="1:9">
      <c r="A6" s="32">
        <v>42005</v>
      </c>
      <c r="B6" t="s">
        <v>4</v>
      </c>
      <c r="C6">
        <v>3427</v>
      </c>
      <c r="D6">
        <v>29421</v>
      </c>
      <c r="E6" t="str">
        <f>VLOOKUP(B6,BaseTable,2,FALSE)</f>
        <v>Danach-NY</v>
      </c>
      <c r="F6" s="35">
        <f>D6/C6</f>
        <v>8.585059819083746</v>
      </c>
      <c r="G6" t="str">
        <f>IF(WEEKDAY(A6,2)&gt;5,"Weekend","Weekday")</f>
        <v>Weekday</v>
      </c>
      <c r="H6" s="32">
        <f>A6-WEEKDAY(A6,2)+1</f>
        <v>42002.0</v>
      </c>
      <c r="I6" t="str">
        <f>CHOOSE(WEEKDAY(A6,2),"Mon","Tue","Wed","Thu","Fri","Sat","Sun")</f>
        <v>Thu</v>
      </c>
    </row>
    <row r="7" spans="1:9">
      <c r="A7" s="32">
        <v>42005</v>
      </c>
      <c r="B7" t="s">
        <v>5</v>
      </c>
      <c r="C7">
        <v>225</v>
      </c>
      <c r="D7">
        <v>1765</v>
      </c>
      <c r="E7" t="str">
        <f>VLOOKUP(B7,BaseTable,2,FALSE)</f>
        <v>Grun</v>
      </c>
      <c r="F7" s="35">
        <f>D7/C7</f>
        <v>7.844444444444444</v>
      </c>
      <c r="G7" t="str">
        <f>IF(WEEKDAY(A7,2)&gt;5,"Weekend","Weekday")</f>
        <v>Weekday</v>
      </c>
      <c r="H7" s="32">
        <f>A7-WEEKDAY(A7,2)+1</f>
        <v>42002.0</v>
      </c>
      <c r="I7" t="str">
        <f>CHOOSE(WEEKDAY(A7,2),"Mon","Tue","Wed","Thu","Fri","Sat","Sun")</f>
        <v>Thu</v>
      </c>
    </row>
    <row r="8" spans="1:9">
      <c r="A8" s="32">
        <v>42006</v>
      </c>
      <c r="B8" t="s">
        <v>0</v>
      </c>
      <c r="C8">
        <v>175</v>
      </c>
      <c r="D8">
        <v>875</v>
      </c>
      <c r="E8" t="str">
        <f>VLOOKUP(B8,BaseTable,2,FALSE)</f>
        <v>Unter</v>
      </c>
      <c r="F8" s="35">
        <f>D8/C8</f>
        <v>5.0</v>
      </c>
      <c r="G8" t="str">
        <f>IF(WEEKDAY(A8,2)&gt;5,"Weekend","Weekday")</f>
        <v>Weekday</v>
      </c>
      <c r="H8" s="32">
        <f>A8-WEEKDAY(A8,2)+1</f>
        <v>42002.0</v>
      </c>
      <c r="I8" t="str">
        <f>CHOOSE(WEEKDAY(A8,2),"Mon","Tue","Wed","Thu","Fri","Sat","Sun")</f>
        <v>Fri</v>
      </c>
    </row>
    <row r="9" spans="1:9">
      <c r="A9" s="32">
        <v>42006</v>
      </c>
      <c r="B9" t="s">
        <v>1</v>
      </c>
      <c r="C9">
        <v>785</v>
      </c>
      <c r="D9">
        <v>4768</v>
      </c>
      <c r="E9" t="str">
        <f>VLOOKUP(B9,BaseTable,2,FALSE)</f>
        <v>Hinter</v>
      </c>
      <c r="F9" s="35">
        <f>D9/C9</f>
        <v>6.073885350318472</v>
      </c>
      <c r="G9" t="str">
        <f>IF(WEEKDAY(A9,2)&gt;5,"Weekend","Weekday")</f>
        <v>Weekday</v>
      </c>
      <c r="H9" s="32">
        <f>A9-WEEKDAY(A9,2)+1</f>
        <v>42002.0</v>
      </c>
      <c r="I9" t="str">
        <f>CHOOSE(WEEKDAY(A9,2),"Mon","Tue","Wed","Thu","Fri","Sat","Sun")</f>
        <v>Fri</v>
      </c>
    </row>
    <row r="10" spans="1:9">
      <c r="A10" s="32">
        <v>42006</v>
      </c>
      <c r="B10" t="s">
        <v>2</v>
      </c>
      <c r="C10">
        <v>1137</v>
      </c>
      <c r="D10">
        <v>7065</v>
      </c>
      <c r="E10" t="str">
        <f>VLOOKUP(B10,BaseTable,2,FALSE)</f>
        <v>Weiter</v>
      </c>
      <c r="F10" s="35">
        <f>D10/C10</f>
        <v>6.213720316622691</v>
      </c>
      <c r="G10" t="str">
        <f>IF(WEEKDAY(A10,2)&gt;5,"Weekend","Weekday")</f>
        <v>Weekday</v>
      </c>
      <c r="H10" s="32">
        <f>A10-WEEKDAY(A10,2)+1</f>
        <v>42002.0</v>
      </c>
      <c r="I10" t="str">
        <f>CHOOSE(WEEKDAY(A10,2),"Mon","Tue","Wed","Thu","Fri","Sat","Sun")</f>
        <v>Fri</v>
      </c>
    </row>
    <row r="11" spans="1:9">
      <c r="A11" s="32">
        <v>42006</v>
      </c>
      <c r="B11" t="s">
        <v>3</v>
      </c>
      <c r="C11">
        <v>890</v>
      </c>
      <c r="D11">
        <v>5506</v>
      </c>
      <c r="E11" t="str">
        <f>VLOOKUP(B11,BaseTable,2,FALSE)</f>
        <v>Schmecken</v>
      </c>
      <c r="F11" s="35">
        <f>D11/C11</f>
        <v>6.186516853932584</v>
      </c>
      <c r="G11" t="str">
        <f>IF(WEEKDAY(A11,2)&gt;5,"Weekend","Weekday")</f>
        <v>Weekday</v>
      </c>
      <c r="H11" s="32">
        <f>A11-WEEKDAY(A11,2)+1</f>
        <v>42002.0</v>
      </c>
      <c r="I11" t="str">
        <f>CHOOSE(WEEKDAY(A11,2),"Mon","Tue","Wed","Thu","Fri","Sat","Sun")</f>
        <v>Fri</v>
      </c>
    </row>
    <row r="12" spans="1:9">
      <c r="A12" s="32">
        <v>42006</v>
      </c>
      <c r="B12" t="s">
        <v>4</v>
      </c>
      <c r="C12">
        <v>3147</v>
      </c>
      <c r="D12">
        <v>19974</v>
      </c>
      <c r="E12" t="str">
        <f>VLOOKUP(B12,BaseTable,2,FALSE)</f>
        <v>Danach-NY</v>
      </c>
      <c r="F12" s="35">
        <f>D12/C12</f>
        <v>6.34699714013346</v>
      </c>
      <c r="G12" t="str">
        <f>IF(WEEKDAY(A12,2)&gt;5,"Weekend","Weekday")</f>
        <v>Weekday</v>
      </c>
      <c r="H12" s="32">
        <f>A12-WEEKDAY(A12,2)+1</f>
        <v>42002.0</v>
      </c>
      <c r="I12" t="str">
        <f>CHOOSE(WEEKDAY(A12,2),"Mon","Tue","Wed","Thu","Fri","Sat","Sun")</f>
        <v>Fri</v>
      </c>
    </row>
    <row r="13" spans="1:9">
      <c r="A13" s="32">
        <v>42006</v>
      </c>
      <c r="B13" t="s">
        <v>5</v>
      </c>
      <c r="C13">
        <v>196</v>
      </c>
      <c r="D13">
        <v>1001</v>
      </c>
      <c r="E13" t="str">
        <f>VLOOKUP(B13,BaseTable,2,FALSE)</f>
        <v>Grun</v>
      </c>
      <c r="F13" s="35">
        <f>D13/C13</f>
        <v>5.107142857142857</v>
      </c>
      <c r="G13" t="str">
        <f>IF(WEEKDAY(A13,2)&gt;5,"Weekend","Weekday")</f>
        <v>Weekday</v>
      </c>
      <c r="H13" s="32">
        <f>A13-WEEKDAY(A13,2)+1</f>
        <v>42002.0</v>
      </c>
      <c r="I13" t="str">
        <f>CHOOSE(WEEKDAY(A13,2),"Mon","Tue","Wed","Thu","Fri","Sat","Sun")</f>
        <v>Fri</v>
      </c>
    </row>
    <row r="14" spans="1:9">
      <c r="A14" s="32">
        <v>42007</v>
      </c>
      <c r="B14" t="s">
        <v>0</v>
      </c>
      <c r="C14">
        <v>173</v>
      </c>
      <c r="D14">
        <v>1088</v>
      </c>
      <c r="E14" t="str">
        <f>VLOOKUP(B14,BaseTable,2,FALSE)</f>
        <v>Unter</v>
      </c>
      <c r="F14" s="35">
        <f>D14/C14</f>
        <v>6.289017341040463</v>
      </c>
      <c r="G14" t="str">
        <f>IF(WEEKDAY(A14,2)&gt;5,"Weekend","Weekday")</f>
        <v>Weekend</v>
      </c>
      <c r="H14" s="32">
        <f>A14-WEEKDAY(A14,2)+1</f>
        <v>42002.0</v>
      </c>
      <c r="I14" t="str">
        <f>CHOOSE(WEEKDAY(A14,2),"Mon","Tue","Wed","Thu","Fri","Sat","Sun")</f>
        <v>Sat</v>
      </c>
    </row>
    <row r="15" spans="1:9">
      <c r="A15" s="32">
        <v>42007</v>
      </c>
      <c r="B15" t="s">
        <v>1</v>
      </c>
      <c r="C15">
        <v>818</v>
      </c>
      <c r="D15">
        <v>7432</v>
      </c>
      <c r="E15" t="str">
        <f>VLOOKUP(B15,BaseTable,2,FALSE)</f>
        <v>Hinter</v>
      </c>
      <c r="F15" s="35">
        <f>D15/C15</f>
        <v>9.08557457212714</v>
      </c>
      <c r="G15" t="str">
        <f>IF(WEEKDAY(A15,2)&gt;5,"Weekend","Weekday")</f>
        <v>Weekend</v>
      </c>
      <c r="H15" s="32">
        <f>A15-WEEKDAY(A15,2)+1</f>
        <v>42002.0</v>
      </c>
      <c r="I15" t="str">
        <f>CHOOSE(WEEKDAY(A15,2),"Mon","Tue","Wed","Thu","Fri","Sat","Sun")</f>
        <v>Sat</v>
      </c>
    </row>
    <row r="16" spans="1:9">
      <c r="A16" s="32">
        <v>42007</v>
      </c>
      <c r="B16" t="s">
        <v>2</v>
      </c>
      <c r="C16">
        <v>1188</v>
      </c>
      <c r="D16">
        <v>10664</v>
      </c>
      <c r="E16" t="str">
        <f>VLOOKUP(B16,BaseTable,2,FALSE)</f>
        <v>Weiter</v>
      </c>
      <c r="F16" s="35">
        <f>D16/C16</f>
        <v>8.976430976430976</v>
      </c>
      <c r="G16" t="str">
        <f>IF(WEEKDAY(A16,2)&gt;5,"Weekend","Weekday")</f>
        <v>Weekend</v>
      </c>
      <c r="H16" s="32">
        <f>A16-WEEKDAY(A16,2)+1</f>
        <v>42002.0</v>
      </c>
      <c r="I16" t="str">
        <f>CHOOSE(WEEKDAY(A16,2),"Mon","Tue","Wed","Thu","Fri","Sat","Sun")</f>
        <v>Sat</v>
      </c>
    </row>
    <row r="17" spans="1:9">
      <c r="A17" s="32">
        <v>42007</v>
      </c>
      <c r="B17" t="s">
        <v>3</v>
      </c>
      <c r="C17">
        <v>915</v>
      </c>
      <c r="D17">
        <v>8010</v>
      </c>
      <c r="E17" t="str">
        <f>VLOOKUP(B17,BaseTable,2,FALSE)</f>
        <v>Schmecken</v>
      </c>
      <c r="F17" s="35">
        <f>D17/C17</f>
        <v>8.754098360655737</v>
      </c>
      <c r="G17" t="str">
        <f>IF(WEEKDAY(A17,2)&gt;5,"Weekend","Weekday")</f>
        <v>Weekend</v>
      </c>
      <c r="H17" s="32">
        <f>A17-WEEKDAY(A17,2)+1</f>
        <v>42002.0</v>
      </c>
      <c r="I17" t="str">
        <f>CHOOSE(WEEKDAY(A17,2),"Mon","Tue","Wed","Thu","Fri","Sat","Sun")</f>
        <v>Sat</v>
      </c>
    </row>
    <row r="18" spans="1:9">
      <c r="A18" s="32">
        <v>42007</v>
      </c>
      <c r="B18" t="s">
        <v>4</v>
      </c>
      <c r="C18">
        <v>3215</v>
      </c>
      <c r="D18">
        <v>29729</v>
      </c>
      <c r="E18" t="str">
        <f>VLOOKUP(B18,BaseTable,2,FALSE)</f>
        <v>Danach-NY</v>
      </c>
      <c r="F18" s="35">
        <f>D18/C18</f>
        <v>9.24696734059098</v>
      </c>
      <c r="G18" t="str">
        <f>IF(WEEKDAY(A18,2)&gt;5,"Weekend","Weekday")</f>
        <v>Weekend</v>
      </c>
      <c r="H18" s="32">
        <f>A18-WEEKDAY(A18,2)+1</f>
        <v>42002.0</v>
      </c>
      <c r="I18" t="str">
        <f>CHOOSE(WEEKDAY(A18,2),"Mon","Tue","Wed","Thu","Fri","Sat","Sun")</f>
        <v>Sat</v>
      </c>
    </row>
    <row r="19" spans="1:9">
      <c r="A19" s="32">
        <v>42007</v>
      </c>
      <c r="B19" t="s">
        <v>5</v>
      </c>
      <c r="C19">
        <v>201</v>
      </c>
      <c r="D19">
        <v>1526</v>
      </c>
      <c r="E19" t="str">
        <f>VLOOKUP(B19,BaseTable,2,FALSE)</f>
        <v>Grun</v>
      </c>
      <c r="F19" s="35">
        <f>D19/C19</f>
        <v>7.592039800995025</v>
      </c>
      <c r="G19" t="str">
        <f>IF(WEEKDAY(A19,2)&gt;5,"Weekend","Weekday")</f>
        <v>Weekend</v>
      </c>
      <c r="H19" s="32">
        <f>A19-WEEKDAY(A19,2)+1</f>
        <v>42002.0</v>
      </c>
      <c r="I19" t="str">
        <f>CHOOSE(WEEKDAY(A19,2),"Mon","Tue","Wed","Thu","Fri","Sat","Sun")</f>
        <v>Sat</v>
      </c>
    </row>
    <row r="20" spans="1:9">
      <c r="A20" s="32">
        <v>42008</v>
      </c>
      <c r="B20" t="s">
        <v>0</v>
      </c>
      <c r="C20">
        <v>147</v>
      </c>
      <c r="D20">
        <v>791</v>
      </c>
      <c r="E20" t="str">
        <f>VLOOKUP(B20,BaseTable,2,FALSE)</f>
        <v>Unter</v>
      </c>
      <c r="F20" s="35">
        <f>D20/C20</f>
        <v>5.380952380952381</v>
      </c>
      <c r="G20" t="str">
        <f>IF(WEEKDAY(A20,2)&gt;5,"Weekend","Weekday")</f>
        <v>Weekend</v>
      </c>
      <c r="H20" s="32">
        <f>A20-WEEKDAY(A20,2)+1</f>
        <v>42002.0</v>
      </c>
      <c r="I20" t="str">
        <f>CHOOSE(WEEKDAY(A20,2),"Mon","Tue","Wed","Thu","Fri","Sat","Sun")</f>
        <v>Sun</v>
      </c>
    </row>
    <row r="21" spans="1:9">
      <c r="A21" s="32">
        <v>42008</v>
      </c>
      <c r="B21" t="s">
        <v>1</v>
      </c>
      <c r="C21">
        <v>746</v>
      </c>
      <c r="D21">
        <v>5223</v>
      </c>
      <c r="E21" t="str">
        <f>VLOOKUP(B21,BaseTable,2,FALSE)</f>
        <v>Hinter</v>
      </c>
      <c r="F21" s="35">
        <f>D21/C21</f>
        <v>7.001340482573727</v>
      </c>
      <c r="G21" t="str">
        <f>IF(WEEKDAY(A21,2)&gt;5,"Weekend","Weekday")</f>
        <v>Weekend</v>
      </c>
      <c r="H21" s="32">
        <f>A21-WEEKDAY(A21,2)+1</f>
        <v>42002.0</v>
      </c>
      <c r="I21" t="str">
        <f>CHOOSE(WEEKDAY(A21,2),"Mon","Tue","Wed","Thu","Fri","Sat","Sun")</f>
        <v>Sun</v>
      </c>
    </row>
    <row r="22" spans="1:9">
      <c r="A22" s="32">
        <v>42008</v>
      </c>
      <c r="B22" t="s">
        <v>2</v>
      </c>
      <c r="C22">
        <v>1088</v>
      </c>
      <c r="D22">
        <v>7729</v>
      </c>
      <c r="E22" t="str">
        <f>VLOOKUP(B22,BaseTable,2,FALSE)</f>
        <v>Weiter</v>
      </c>
      <c r="F22" s="35">
        <f>D22/C22</f>
        <v>7.103860294117647</v>
      </c>
      <c r="G22" t="str">
        <f>IF(WEEKDAY(A22,2)&gt;5,"Weekend","Weekday")</f>
        <v>Weekend</v>
      </c>
      <c r="H22" s="32">
        <f>A22-WEEKDAY(A22,2)+1</f>
        <v>42002.0</v>
      </c>
      <c r="I22" t="str">
        <f>CHOOSE(WEEKDAY(A22,2),"Mon","Tue","Wed","Thu","Fri","Sat","Sun")</f>
        <v>Sun</v>
      </c>
    </row>
    <row r="23" spans="1:9">
      <c r="A23" s="32">
        <v>42008</v>
      </c>
      <c r="B23" t="s">
        <v>3</v>
      </c>
      <c r="C23">
        <v>812</v>
      </c>
      <c r="D23">
        <v>5621</v>
      </c>
      <c r="E23" t="str">
        <f>VLOOKUP(B23,BaseTable,2,FALSE)</f>
        <v>Schmecken</v>
      </c>
      <c r="F23" s="35">
        <f>D23/C23</f>
        <v>6.922413793103448</v>
      </c>
      <c r="G23" t="str">
        <f>IF(WEEKDAY(A23,2)&gt;5,"Weekend","Weekday")</f>
        <v>Weekend</v>
      </c>
      <c r="H23" s="32">
        <f>A23-WEEKDAY(A23,2)+1</f>
        <v>42002.0</v>
      </c>
      <c r="I23" t="str">
        <f>CHOOSE(WEEKDAY(A23,2),"Mon","Tue","Wed","Thu","Fri","Sat","Sun")</f>
        <v>Sun</v>
      </c>
    </row>
    <row r="24" spans="1:9">
      <c r="A24" s="32">
        <v>42008</v>
      </c>
      <c r="B24" t="s">
        <v>4</v>
      </c>
      <c r="C24">
        <v>2862</v>
      </c>
      <c r="D24">
        <v>20441</v>
      </c>
      <c r="E24" t="str">
        <f>VLOOKUP(B24,BaseTable,2,FALSE)</f>
        <v>Danach-NY</v>
      </c>
      <c r="F24" s="35">
        <f>D24/C24</f>
        <v>7.142208245981831</v>
      </c>
      <c r="G24" t="str">
        <f>IF(WEEKDAY(A24,2)&gt;5,"Weekend","Weekday")</f>
        <v>Weekend</v>
      </c>
      <c r="H24" s="32">
        <f>A24-WEEKDAY(A24,2)+1</f>
        <v>42002.0</v>
      </c>
      <c r="I24" t="str">
        <f>CHOOSE(WEEKDAY(A24,2),"Mon","Tue","Wed","Thu","Fri","Sat","Sun")</f>
        <v>Sun</v>
      </c>
    </row>
    <row r="25" spans="1:9">
      <c r="A25" s="32">
        <v>42008</v>
      </c>
      <c r="B25" t="s">
        <v>5</v>
      </c>
      <c r="C25">
        <v>183</v>
      </c>
      <c r="D25">
        <v>993</v>
      </c>
      <c r="E25" t="str">
        <f>VLOOKUP(B25,BaseTable,2,FALSE)</f>
        <v>Grun</v>
      </c>
      <c r="F25" s="35">
        <f>D25/C25</f>
        <v>5.426229508196721</v>
      </c>
      <c r="G25" t="str">
        <f>IF(WEEKDAY(A25,2)&gt;5,"Weekend","Weekday")</f>
        <v>Weekend</v>
      </c>
      <c r="H25" s="32">
        <f>A25-WEEKDAY(A25,2)+1</f>
        <v>42002.0</v>
      </c>
      <c r="I25" t="str">
        <f>CHOOSE(WEEKDAY(A25,2),"Mon","Tue","Wed","Thu","Fri","Sat","Sun")</f>
        <v>Sun</v>
      </c>
    </row>
    <row r="26" spans="1:9">
      <c r="A26" s="32">
        <v>42009</v>
      </c>
      <c r="B26" t="s">
        <v>0</v>
      </c>
      <c r="C26">
        <v>194</v>
      </c>
      <c r="D26">
        <v>984</v>
      </c>
      <c r="E26" t="str">
        <f>VLOOKUP(B26,BaseTable,2,FALSE)</f>
        <v>Unter</v>
      </c>
      <c r="F26" s="35">
        <f>D26/C26</f>
        <v>5.072164948453608</v>
      </c>
      <c r="G26" t="str">
        <f>IF(WEEKDAY(A26,2)&gt;5,"Weekend","Weekday")</f>
        <v>Weekday</v>
      </c>
      <c r="H26" s="32">
        <f>A26-WEEKDAY(A26,2)+1</f>
        <v>42009.0</v>
      </c>
      <c r="I26" t="str">
        <f>CHOOSE(WEEKDAY(A26,2),"Mon","Tue","Wed","Thu","Fri","Sat","Sun")</f>
        <v>Mon</v>
      </c>
    </row>
    <row r="27" spans="1:9">
      <c r="A27" s="32">
        <v>42009</v>
      </c>
      <c r="B27" t="s">
        <v>1</v>
      </c>
      <c r="C27">
        <v>907</v>
      </c>
      <c r="D27">
        <v>5798</v>
      </c>
      <c r="E27" t="str">
        <f>VLOOKUP(B27,BaseTable,2,FALSE)</f>
        <v>Hinter</v>
      </c>
      <c r="F27" s="35">
        <f>D27/C27</f>
        <v>6.392502756339581</v>
      </c>
      <c r="G27" t="str">
        <f>IF(WEEKDAY(A27,2)&gt;5,"Weekend","Weekday")</f>
        <v>Weekday</v>
      </c>
      <c r="H27" s="32">
        <f>A27-WEEKDAY(A27,2)+1</f>
        <v>42009.0</v>
      </c>
      <c r="I27" t="str">
        <f>CHOOSE(WEEKDAY(A27,2),"Mon","Tue","Wed","Thu","Fri","Sat","Sun")</f>
        <v>Mon</v>
      </c>
    </row>
    <row r="28" spans="1:9">
      <c r="A28" s="32">
        <v>42009</v>
      </c>
      <c r="B28" t="s">
        <v>2</v>
      </c>
      <c r="C28">
        <v>1218</v>
      </c>
      <c r="D28">
        <v>7899</v>
      </c>
      <c r="E28" t="str">
        <f>VLOOKUP(B28,BaseTable,2,FALSE)</f>
        <v>Weiter</v>
      </c>
      <c r="F28" s="35">
        <f>D28/C28</f>
        <v>6.485221674876847</v>
      </c>
      <c r="G28" t="str">
        <f>IF(WEEKDAY(A28,2)&gt;5,"Weekend","Weekday")</f>
        <v>Weekday</v>
      </c>
      <c r="H28" s="32">
        <f>A28-WEEKDAY(A28,2)+1</f>
        <v>42009.0</v>
      </c>
      <c r="I28" t="str">
        <f>CHOOSE(WEEKDAY(A28,2),"Mon","Tue","Wed","Thu","Fri","Sat","Sun")</f>
        <v>Mon</v>
      </c>
    </row>
    <row r="29" spans="1:9">
      <c r="A29" s="32">
        <v>42009</v>
      </c>
      <c r="B29" t="s">
        <v>3</v>
      </c>
      <c r="C29">
        <v>951</v>
      </c>
      <c r="D29">
        <v>6012</v>
      </c>
      <c r="E29" t="str">
        <f>VLOOKUP(B29,BaseTable,2,FALSE)</f>
        <v>Schmecken</v>
      </c>
      <c r="F29" s="35">
        <f>D29/C29</f>
        <v>6.321766561514195</v>
      </c>
      <c r="G29" t="str">
        <f>IF(WEEKDAY(A29,2)&gt;5,"Weekend","Weekday")</f>
        <v>Weekday</v>
      </c>
      <c r="H29" s="32">
        <f>A29-WEEKDAY(A29,2)+1</f>
        <v>42009.0</v>
      </c>
      <c r="I29" t="str">
        <f>CHOOSE(WEEKDAY(A29,2),"Mon","Tue","Wed","Thu","Fri","Sat","Sun")</f>
        <v>Mon</v>
      </c>
    </row>
    <row r="30" spans="1:9">
      <c r="A30" s="32">
        <v>42009</v>
      </c>
      <c r="B30" t="s">
        <v>4</v>
      </c>
      <c r="C30">
        <v>3387</v>
      </c>
      <c r="D30">
        <v>20926</v>
      </c>
      <c r="E30" t="str">
        <f>VLOOKUP(B30,BaseTable,2,FALSE)</f>
        <v>Danach-NY</v>
      </c>
      <c r="F30" s="35">
        <f>D30/C30</f>
        <v>6.178328904635371</v>
      </c>
      <c r="G30" t="str">
        <f>IF(WEEKDAY(A30,2)&gt;5,"Weekend","Weekday")</f>
        <v>Weekday</v>
      </c>
      <c r="H30" s="32">
        <f>A30-WEEKDAY(A30,2)+1</f>
        <v>42009.0</v>
      </c>
      <c r="I30" t="str">
        <f>CHOOSE(WEEKDAY(A30,2),"Mon","Tue","Wed","Thu","Fri","Sat","Sun")</f>
        <v>Mon</v>
      </c>
    </row>
    <row r="31" spans="1:9">
      <c r="A31" s="32">
        <v>42009</v>
      </c>
      <c r="B31" t="s">
        <v>5</v>
      </c>
      <c r="C31">
        <v>227</v>
      </c>
      <c r="D31">
        <v>1133</v>
      </c>
      <c r="E31" t="str">
        <f>VLOOKUP(B31,BaseTable,2,FALSE)</f>
        <v>Grun</v>
      </c>
      <c r="F31" s="35">
        <f>D31/C31</f>
        <v>4.991189427312776</v>
      </c>
      <c r="G31" t="str">
        <f>IF(WEEKDAY(A31,2)&gt;5,"Weekend","Weekday")</f>
        <v>Weekday</v>
      </c>
      <c r="H31" s="32">
        <f>A31-WEEKDAY(A31,2)+1</f>
        <v>42009.0</v>
      </c>
      <c r="I31" t="str">
        <f>CHOOSE(WEEKDAY(A31,2),"Mon","Tue","Wed","Thu","Fri","Sat","Sun")</f>
        <v>Mon</v>
      </c>
    </row>
    <row r="32" spans="1:9">
      <c r="A32" s="32">
        <v>42010</v>
      </c>
      <c r="B32" t="s">
        <v>0</v>
      </c>
      <c r="C32">
        <v>218</v>
      </c>
      <c r="D32">
        <v>1314</v>
      </c>
      <c r="E32" t="str">
        <f>VLOOKUP(B32,BaseTable,2,FALSE)</f>
        <v>Unter</v>
      </c>
      <c r="F32" s="35">
        <f>D32/C32</f>
        <v>6.027522935779817</v>
      </c>
      <c r="G32" t="str">
        <f>IF(WEEKDAY(A32,2)&gt;5,"Weekend","Weekday")</f>
        <v>Weekday</v>
      </c>
      <c r="H32" s="32">
        <f>A32-WEEKDAY(A32,2)+1</f>
        <v>42009.0</v>
      </c>
      <c r="I32" t="str">
        <f>CHOOSE(WEEKDAY(A32,2),"Mon","Tue","Wed","Thu","Fri","Sat","Sun")</f>
        <v>Tue</v>
      </c>
    </row>
    <row r="33" spans="1:9">
      <c r="A33" s="32">
        <v>42010</v>
      </c>
      <c r="B33" t="s">
        <v>1</v>
      </c>
      <c r="C33">
        <v>933</v>
      </c>
      <c r="D33">
        <v>6816</v>
      </c>
      <c r="E33" t="str">
        <f>VLOOKUP(B33,BaseTable,2,FALSE)</f>
        <v>Hinter</v>
      </c>
      <c r="F33" s="35">
        <f>D33/C33</f>
        <v>7.305466237942122</v>
      </c>
      <c r="G33" t="str">
        <f>IF(WEEKDAY(A33,2)&gt;5,"Weekend","Weekday")</f>
        <v>Weekday</v>
      </c>
      <c r="H33" s="32">
        <f>A33-WEEKDAY(A33,2)+1</f>
        <v>42009.0</v>
      </c>
      <c r="I33" t="str">
        <f>CHOOSE(WEEKDAY(A33,2),"Mon","Tue","Wed","Thu","Fri","Sat","Sun")</f>
        <v>Tue</v>
      </c>
    </row>
    <row r="34" spans="1:9">
      <c r="A34" s="32">
        <v>42010</v>
      </c>
      <c r="B34" t="s">
        <v>2</v>
      </c>
      <c r="C34">
        <v>1336</v>
      </c>
      <c r="D34">
        <v>10128</v>
      </c>
      <c r="E34" t="str">
        <f>VLOOKUP(B34,BaseTable,2,FALSE)</f>
        <v>Weiter</v>
      </c>
      <c r="F34" s="35">
        <f>D34/C34</f>
        <v>7.580838323353293</v>
      </c>
      <c r="G34" t="str">
        <f>IF(WEEKDAY(A34,2)&gt;5,"Weekend","Weekday")</f>
        <v>Weekday</v>
      </c>
      <c r="H34" s="32">
        <f>A34-WEEKDAY(A34,2)+1</f>
        <v>42009.0</v>
      </c>
      <c r="I34" t="str">
        <f>CHOOSE(WEEKDAY(A34,2),"Mon","Tue","Wed","Thu","Fri","Sat","Sun")</f>
        <v>Tue</v>
      </c>
    </row>
    <row r="35" spans="1:9">
      <c r="A35" s="32">
        <v>42010</v>
      </c>
      <c r="B35" t="s">
        <v>3</v>
      </c>
      <c r="C35">
        <v>1022</v>
      </c>
      <c r="D35">
        <v>7491</v>
      </c>
      <c r="E35" t="str">
        <f>VLOOKUP(B35,BaseTable,2,FALSE)</f>
        <v>Schmecken</v>
      </c>
      <c r="F35" s="35">
        <f>D35/C35</f>
        <v>7.329745596868885</v>
      </c>
      <c r="G35" t="str">
        <f>IF(WEEKDAY(A35,2)&gt;5,"Weekend","Weekday")</f>
        <v>Weekday</v>
      </c>
      <c r="H35" s="32">
        <f>A35-WEEKDAY(A35,2)+1</f>
        <v>42009.0</v>
      </c>
      <c r="I35" t="str">
        <f>CHOOSE(WEEKDAY(A35,2),"Mon","Tue","Wed","Thu","Fri","Sat","Sun")</f>
        <v>Tue</v>
      </c>
    </row>
    <row r="36" spans="1:9">
      <c r="A36" s="32">
        <v>42010</v>
      </c>
      <c r="B36" t="s">
        <v>4</v>
      </c>
      <c r="C36">
        <v>3473</v>
      </c>
      <c r="D36">
        <v>25301</v>
      </c>
      <c r="E36" t="str">
        <f>VLOOKUP(B36,BaseTable,2,FALSE)</f>
        <v>Danach-NY</v>
      </c>
      <c r="F36" s="35">
        <f>D36/C36</f>
        <v>7.285056147422977</v>
      </c>
      <c r="G36" t="str">
        <f>IF(WEEKDAY(A36,2)&gt;5,"Weekend","Weekday")</f>
        <v>Weekday</v>
      </c>
      <c r="H36" s="32">
        <f>A36-WEEKDAY(A36,2)+1</f>
        <v>42009.0</v>
      </c>
      <c r="I36" t="str">
        <f>CHOOSE(WEEKDAY(A36,2),"Mon","Tue","Wed","Thu","Fri","Sat","Sun")</f>
        <v>Tue</v>
      </c>
    </row>
    <row r="37" spans="1:9">
      <c r="A37" s="32">
        <v>42010</v>
      </c>
      <c r="B37" t="s">
        <v>5</v>
      </c>
      <c r="C37">
        <v>234</v>
      </c>
      <c r="D37">
        <v>1376</v>
      </c>
      <c r="E37" t="str">
        <f>VLOOKUP(B37,BaseTable,2,FALSE)</f>
        <v>Grun</v>
      </c>
      <c r="F37" s="35">
        <f>D37/C37</f>
        <v>5.880341880341881</v>
      </c>
      <c r="G37" t="str">
        <f>IF(WEEKDAY(A37,2)&gt;5,"Weekend","Weekday")</f>
        <v>Weekday</v>
      </c>
      <c r="H37" s="32">
        <f>A37-WEEKDAY(A37,2)+1</f>
        <v>42009.0</v>
      </c>
      <c r="I37" t="str">
        <f>CHOOSE(WEEKDAY(A37,2),"Mon","Tue","Wed","Thu","Fri","Sat","Sun")</f>
        <v>Tue</v>
      </c>
    </row>
    <row r="38" spans="1:9">
      <c r="A38" s="32">
        <v>42011</v>
      </c>
      <c r="B38" t="s">
        <v>0</v>
      </c>
      <c r="C38">
        <v>217</v>
      </c>
      <c r="D38">
        <v>1446</v>
      </c>
      <c r="E38" t="str">
        <f>VLOOKUP(B38,BaseTable,2,FALSE)</f>
        <v>Unter</v>
      </c>
      <c r="F38" s="35">
        <f>D38/C38</f>
        <v>6.663594470046083</v>
      </c>
      <c r="G38" t="str">
        <f>IF(WEEKDAY(A38,2)&gt;5,"Weekend","Weekday")</f>
        <v>Weekday</v>
      </c>
      <c r="H38" s="32">
        <f>A38-WEEKDAY(A38,2)+1</f>
        <v>42009.0</v>
      </c>
      <c r="I38" t="str">
        <f>CHOOSE(WEEKDAY(A38,2),"Mon","Tue","Wed","Thu","Fri","Sat","Sun")</f>
        <v>Wed</v>
      </c>
    </row>
    <row r="39" spans="1:9">
      <c r="A39" s="32">
        <v>42011</v>
      </c>
      <c r="B39" t="s">
        <v>1</v>
      </c>
      <c r="C39">
        <v>974</v>
      </c>
      <c r="D39">
        <v>8397</v>
      </c>
      <c r="E39" t="str">
        <f>VLOOKUP(B39,BaseTable,2,FALSE)</f>
        <v>Hinter</v>
      </c>
      <c r="F39" s="35">
        <f>D39/C39</f>
        <v>8.621149897330595</v>
      </c>
      <c r="G39" t="str">
        <f>IF(WEEKDAY(A39,2)&gt;5,"Weekend","Weekday")</f>
        <v>Weekday</v>
      </c>
      <c r="H39" s="32">
        <f>A39-WEEKDAY(A39,2)+1</f>
        <v>42009.0</v>
      </c>
      <c r="I39" t="str">
        <f>CHOOSE(WEEKDAY(A39,2),"Mon","Tue","Wed","Thu","Fri","Sat","Sun")</f>
        <v>Wed</v>
      </c>
    </row>
    <row r="40" spans="1:9">
      <c r="A40" s="32">
        <v>42011</v>
      </c>
      <c r="B40" t="s">
        <v>2</v>
      </c>
      <c r="C40">
        <v>1363</v>
      </c>
      <c r="D40">
        <v>11528</v>
      </c>
      <c r="E40" t="str">
        <f>VLOOKUP(B40,BaseTable,2,FALSE)</f>
        <v>Weiter</v>
      </c>
      <c r="F40" s="35">
        <f>D40/C40</f>
        <v>8.457813646368304</v>
      </c>
      <c r="G40" t="str">
        <f>IF(WEEKDAY(A40,2)&gt;5,"Weekend","Weekday")</f>
        <v>Weekday</v>
      </c>
      <c r="H40" s="32">
        <f>A40-WEEKDAY(A40,2)+1</f>
        <v>42009.0</v>
      </c>
      <c r="I40" t="str">
        <f>CHOOSE(WEEKDAY(A40,2),"Mon","Tue","Wed","Thu","Fri","Sat","Sun")</f>
        <v>Wed</v>
      </c>
    </row>
    <row r="41" spans="1:9">
      <c r="A41" s="32">
        <v>42011</v>
      </c>
      <c r="B41" t="s">
        <v>3</v>
      </c>
      <c r="C41">
        <v>1039</v>
      </c>
      <c r="D41">
        <v>9078</v>
      </c>
      <c r="E41" t="str">
        <f>VLOOKUP(B41,BaseTable,2,FALSE)</f>
        <v>Schmecken</v>
      </c>
      <c r="F41" s="35">
        <f>D41/C41</f>
        <v>8.737247353224253</v>
      </c>
      <c r="G41" t="str">
        <f>IF(WEEKDAY(A41,2)&gt;5,"Weekend","Weekday")</f>
        <v>Weekday</v>
      </c>
      <c r="H41" s="32">
        <f>A41-WEEKDAY(A41,2)+1</f>
        <v>42009.0</v>
      </c>
      <c r="I41" t="str">
        <f>CHOOSE(WEEKDAY(A41,2),"Mon","Tue","Wed","Thu","Fri","Sat","Sun")</f>
        <v>Wed</v>
      </c>
    </row>
    <row r="42" spans="1:9">
      <c r="A42" s="32">
        <v>42011</v>
      </c>
      <c r="B42" t="s">
        <v>4</v>
      </c>
      <c r="C42">
        <v>3603</v>
      </c>
      <c r="D42">
        <v>29949</v>
      </c>
      <c r="E42" t="str">
        <f>VLOOKUP(B42,BaseTable,2,FALSE)</f>
        <v>Danach-NY</v>
      </c>
      <c r="F42" s="35">
        <f>D42/C42</f>
        <v>8.312239800166529</v>
      </c>
      <c r="G42" t="str">
        <f>IF(WEEKDAY(A42,2)&gt;5,"Weekend","Weekday")</f>
        <v>Weekday</v>
      </c>
      <c r="H42" s="32">
        <f>A42-WEEKDAY(A42,2)+1</f>
        <v>42009.0</v>
      </c>
      <c r="I42" t="str">
        <f>CHOOSE(WEEKDAY(A42,2),"Mon","Tue","Wed","Thu","Fri","Sat","Sun")</f>
        <v>Wed</v>
      </c>
    </row>
    <row r="43" spans="1:9">
      <c r="A43" s="32">
        <v>42011</v>
      </c>
      <c r="B43" t="s">
        <v>5</v>
      </c>
      <c r="C43">
        <v>248</v>
      </c>
      <c r="D43">
        <v>1704</v>
      </c>
      <c r="E43" t="str">
        <f>VLOOKUP(B43,BaseTable,2,FALSE)</f>
        <v>Grun</v>
      </c>
      <c r="F43" s="35">
        <f>D43/C43</f>
        <v>6.870967741935484</v>
      </c>
      <c r="G43" t="str">
        <f>IF(WEEKDAY(A43,2)&gt;5,"Weekend","Weekday")</f>
        <v>Weekday</v>
      </c>
      <c r="H43" s="32">
        <f>A43-WEEKDAY(A43,2)+1</f>
        <v>42009.0</v>
      </c>
      <c r="I43" t="str">
        <f>CHOOSE(WEEKDAY(A43,2),"Mon","Tue","Wed","Thu","Fri","Sat","Sun")</f>
        <v>Wed</v>
      </c>
    </row>
    <row r="44" spans="1:9">
      <c r="A44" s="32">
        <v>42012</v>
      </c>
      <c r="B44" t="s">
        <v>0</v>
      </c>
      <c r="C44">
        <v>238</v>
      </c>
      <c r="D44">
        <v>1772</v>
      </c>
      <c r="E44" t="str">
        <f>VLOOKUP(B44,BaseTable,2,FALSE)</f>
        <v>Unter</v>
      </c>
      <c r="F44" s="35">
        <f>D44/C44</f>
        <v>7.445378151260504</v>
      </c>
      <c r="G44" t="str">
        <f>IF(WEEKDAY(A44,2)&gt;5,"Weekend","Weekday")</f>
        <v>Weekday</v>
      </c>
      <c r="H44" s="32">
        <f>A44-WEEKDAY(A44,2)+1</f>
        <v>42009.0</v>
      </c>
      <c r="I44" t="str">
        <f>CHOOSE(WEEKDAY(A44,2),"Mon","Tue","Wed","Thu","Fri","Sat","Sun")</f>
        <v>Thu</v>
      </c>
    </row>
    <row r="45" spans="1:9">
      <c r="A45" s="32">
        <v>42012</v>
      </c>
      <c r="B45" t="s">
        <v>1</v>
      </c>
      <c r="C45">
        <v>1070</v>
      </c>
      <c r="D45">
        <v>10050</v>
      </c>
      <c r="E45" t="str">
        <f>VLOOKUP(B45,BaseTable,2,FALSE)</f>
        <v>Hinter</v>
      </c>
      <c r="F45" s="35">
        <f>D45/C45</f>
        <v>9.392523364485982</v>
      </c>
      <c r="G45" t="str">
        <f>IF(WEEKDAY(A45,2)&gt;5,"Weekend","Weekday")</f>
        <v>Weekday</v>
      </c>
      <c r="H45" s="32">
        <f>A45-WEEKDAY(A45,2)+1</f>
        <v>42009.0</v>
      </c>
      <c r="I45" t="str">
        <f>CHOOSE(WEEKDAY(A45,2),"Mon","Tue","Wed","Thu","Fri","Sat","Sun")</f>
        <v>Thu</v>
      </c>
    </row>
    <row r="46" spans="1:9">
      <c r="A46" s="32">
        <v>42012</v>
      </c>
      <c r="B46" t="s">
        <v>2</v>
      </c>
      <c r="C46">
        <v>1463</v>
      </c>
      <c r="D46">
        <v>13462</v>
      </c>
      <c r="E46" t="str">
        <f>VLOOKUP(B46,BaseTable,2,FALSE)</f>
        <v>Weiter</v>
      </c>
      <c r="F46" s="35">
        <f>D46/C46</f>
        <v>9.20164046479836</v>
      </c>
      <c r="G46" t="str">
        <f>IF(WEEKDAY(A46,2)&gt;5,"Weekend","Weekday")</f>
        <v>Weekday</v>
      </c>
      <c r="H46" s="32">
        <f>A46-WEEKDAY(A46,2)+1</f>
        <v>42009.0</v>
      </c>
      <c r="I46" t="str">
        <f>CHOOSE(WEEKDAY(A46,2),"Mon","Tue","Wed","Thu","Fri","Sat","Sun")</f>
        <v>Thu</v>
      </c>
    </row>
    <row r="47" spans="1:9">
      <c r="A47" s="32">
        <v>42012</v>
      </c>
      <c r="B47" t="s">
        <v>3</v>
      </c>
      <c r="C47">
        <v>1135</v>
      </c>
      <c r="D47">
        <v>10416</v>
      </c>
      <c r="E47" t="str">
        <f>VLOOKUP(B47,BaseTable,2,FALSE)</f>
        <v>Schmecken</v>
      </c>
      <c r="F47" s="35">
        <f>D47/C47</f>
        <v>9.177092511013216</v>
      </c>
      <c r="G47" t="str">
        <f>IF(WEEKDAY(A47,2)&gt;5,"Weekend","Weekday")</f>
        <v>Weekday</v>
      </c>
      <c r="H47" s="32">
        <f>A47-WEEKDAY(A47,2)+1</f>
        <v>42009.0</v>
      </c>
      <c r="I47" t="str">
        <f>CHOOSE(WEEKDAY(A47,2),"Mon","Tue","Wed","Thu","Fri","Sat","Sun")</f>
        <v>Thu</v>
      </c>
    </row>
    <row r="48" spans="1:9">
      <c r="A48" s="32">
        <v>42012</v>
      </c>
      <c r="B48" t="s">
        <v>4</v>
      </c>
      <c r="C48">
        <v>3831</v>
      </c>
      <c r="D48">
        <v>33802</v>
      </c>
      <c r="E48" t="str">
        <f>VLOOKUP(B48,BaseTable,2,FALSE)</f>
        <v>Danach-NY</v>
      </c>
      <c r="F48" s="35">
        <f>D48/C48</f>
        <v>8.823283737927435</v>
      </c>
      <c r="G48" t="str">
        <f>IF(WEEKDAY(A48,2)&gt;5,"Weekend","Weekday")</f>
        <v>Weekday</v>
      </c>
      <c r="H48" s="32">
        <f>A48-WEEKDAY(A48,2)+1</f>
        <v>42009.0</v>
      </c>
      <c r="I48" t="str">
        <f>CHOOSE(WEEKDAY(A48,2),"Mon","Tue","Wed","Thu","Fri","Sat","Sun")</f>
        <v>Thu</v>
      </c>
    </row>
    <row r="49" spans="1:9">
      <c r="A49" s="32">
        <v>42012</v>
      </c>
      <c r="B49" t="s">
        <v>5</v>
      </c>
      <c r="C49">
        <v>262</v>
      </c>
      <c r="D49">
        <v>1911</v>
      </c>
      <c r="E49" t="str">
        <f>VLOOKUP(B49,BaseTable,2,FALSE)</f>
        <v>Grun</v>
      </c>
      <c r="F49" s="35">
        <f>D49/C49</f>
        <v>7.293893129770993</v>
      </c>
      <c r="G49" t="str">
        <f>IF(WEEKDAY(A49,2)&gt;5,"Weekend","Weekday")</f>
        <v>Weekday</v>
      </c>
      <c r="H49" s="32">
        <f>A49-WEEKDAY(A49,2)+1</f>
        <v>42009.0</v>
      </c>
      <c r="I49" t="str">
        <f>CHOOSE(WEEKDAY(A49,2),"Mon","Tue","Wed","Thu","Fri","Sat","Sun")</f>
        <v>Thu</v>
      </c>
    </row>
    <row r="50" spans="1:9">
      <c r="A50" s="32">
        <v>42013</v>
      </c>
      <c r="B50" t="s">
        <v>0</v>
      </c>
      <c r="C50">
        <v>224</v>
      </c>
      <c r="D50">
        <v>1560</v>
      </c>
      <c r="E50" t="str">
        <f>VLOOKUP(B50,BaseTable,2,FALSE)</f>
        <v>Unter</v>
      </c>
      <c r="F50" s="35">
        <f>D50/C50</f>
        <v>6.964285714285714</v>
      </c>
      <c r="G50" t="str">
        <f>IF(WEEKDAY(A50,2)&gt;5,"Weekend","Weekday")</f>
        <v>Weekday</v>
      </c>
      <c r="H50" s="32">
        <f>A50-WEEKDAY(A50,2)+1</f>
        <v>42009.0</v>
      </c>
      <c r="I50" t="str">
        <f>CHOOSE(WEEKDAY(A50,2),"Mon","Tue","Wed","Thu","Fri","Sat","Sun")</f>
        <v>Fri</v>
      </c>
    </row>
    <row r="51" spans="1:9">
      <c r="A51" s="32">
        <v>42013</v>
      </c>
      <c r="B51" t="s">
        <v>1</v>
      </c>
      <c r="C51">
        <v>1070</v>
      </c>
      <c r="D51">
        <v>9538</v>
      </c>
      <c r="E51" t="str">
        <f>VLOOKUP(B51,BaseTable,2,FALSE)</f>
        <v>Hinter</v>
      </c>
      <c r="F51" s="35">
        <f>D51/C51</f>
        <v>8.914018691588785</v>
      </c>
      <c r="G51" t="str">
        <f>IF(WEEKDAY(A51,2)&gt;5,"Weekend","Weekday")</f>
        <v>Weekday</v>
      </c>
      <c r="H51" s="32">
        <f>A51-WEEKDAY(A51,2)+1</f>
        <v>42009.0</v>
      </c>
      <c r="I51" t="str">
        <f>CHOOSE(WEEKDAY(A51,2),"Mon","Tue","Wed","Thu","Fri","Sat","Sun")</f>
        <v>Fri</v>
      </c>
    </row>
    <row r="52" spans="1:9">
      <c r="A52" s="32">
        <v>42013</v>
      </c>
      <c r="B52" t="s">
        <v>2</v>
      </c>
      <c r="C52">
        <v>1455</v>
      </c>
      <c r="D52">
        <v>13165</v>
      </c>
      <c r="E52" t="str">
        <f>VLOOKUP(B52,BaseTable,2,FALSE)</f>
        <v>Weiter</v>
      </c>
      <c r="F52" s="35">
        <f>D52/C52</f>
        <v>9.048109965635739</v>
      </c>
      <c r="G52" t="str">
        <f>IF(WEEKDAY(A52,2)&gt;5,"Weekend","Weekday")</f>
        <v>Weekday</v>
      </c>
      <c r="H52" s="32">
        <f>A52-WEEKDAY(A52,2)+1</f>
        <v>42009.0</v>
      </c>
      <c r="I52" t="str">
        <f>CHOOSE(WEEKDAY(A52,2),"Mon","Tue","Wed","Thu","Fri","Sat","Sun")</f>
        <v>Fri</v>
      </c>
    </row>
    <row r="53" spans="1:9">
      <c r="A53" s="32">
        <v>42013</v>
      </c>
      <c r="B53" t="s">
        <v>3</v>
      </c>
      <c r="C53">
        <v>1140</v>
      </c>
      <c r="D53">
        <v>10477</v>
      </c>
      <c r="E53" t="str">
        <f>VLOOKUP(B53,BaseTable,2,FALSE)</f>
        <v>Schmecken</v>
      </c>
      <c r="F53" s="35">
        <f>D53/C53</f>
        <v>9.190350877192982</v>
      </c>
      <c r="G53" t="str">
        <f>IF(WEEKDAY(A53,2)&gt;5,"Weekend","Weekday")</f>
        <v>Weekday</v>
      </c>
      <c r="H53" s="32">
        <f>A53-WEEKDAY(A53,2)+1</f>
        <v>42009.0</v>
      </c>
      <c r="I53" t="str">
        <f>CHOOSE(WEEKDAY(A53,2),"Mon","Tue","Wed","Thu","Fri","Sat","Sun")</f>
        <v>Fri</v>
      </c>
    </row>
    <row r="54" spans="1:9">
      <c r="A54" s="32">
        <v>42013</v>
      </c>
      <c r="B54" t="s">
        <v>4</v>
      </c>
      <c r="C54">
        <v>3820</v>
      </c>
      <c r="D54">
        <v>33517</v>
      </c>
      <c r="E54" t="str">
        <f>VLOOKUP(B54,BaseTable,2,FALSE)</f>
        <v>Danach-NY</v>
      </c>
      <c r="F54" s="35">
        <f>D54/C54</f>
        <v>8.774083769633508</v>
      </c>
      <c r="G54" t="str">
        <f>IF(WEEKDAY(A54,2)&gt;5,"Weekend","Weekday")</f>
        <v>Weekday</v>
      </c>
      <c r="H54" s="32">
        <f>A54-WEEKDAY(A54,2)+1</f>
        <v>42009.0</v>
      </c>
      <c r="I54" t="str">
        <f>CHOOSE(WEEKDAY(A54,2),"Mon","Tue","Wed","Thu","Fri","Sat","Sun")</f>
        <v>Fri</v>
      </c>
    </row>
    <row r="55" spans="1:9">
      <c r="A55" s="32">
        <v>42013</v>
      </c>
      <c r="B55" t="s">
        <v>5</v>
      </c>
      <c r="C55">
        <v>280</v>
      </c>
      <c r="D55">
        <v>2039</v>
      </c>
      <c r="E55" t="str">
        <f>VLOOKUP(B55,BaseTable,2,FALSE)</f>
        <v>Grun</v>
      </c>
      <c r="F55" s="35">
        <f>D55/C55</f>
        <v>7.2821428571428575</v>
      </c>
      <c r="G55" t="str">
        <f>IF(WEEKDAY(A55,2)&gt;5,"Weekend","Weekday")</f>
        <v>Weekday</v>
      </c>
      <c r="H55" s="32">
        <f>A55-WEEKDAY(A55,2)+1</f>
        <v>42009.0</v>
      </c>
      <c r="I55" t="str">
        <f>CHOOSE(WEEKDAY(A55,2),"Mon","Tue","Wed","Thu","Fri","Sat","Sun")</f>
        <v>Fri</v>
      </c>
    </row>
    <row r="56" spans="1:9">
      <c r="A56" s="32">
        <v>42014</v>
      </c>
      <c r="B56" t="s">
        <v>0</v>
      </c>
      <c r="C56">
        <v>206</v>
      </c>
      <c r="D56">
        <v>1646</v>
      </c>
      <c r="E56" t="str">
        <f>VLOOKUP(B56,BaseTable,2,FALSE)</f>
        <v>Unter</v>
      </c>
      <c r="F56" s="35">
        <f>D56/C56</f>
        <v>7.990291262135922</v>
      </c>
      <c r="G56" t="str">
        <f>IF(WEEKDAY(A56,2)&gt;5,"Weekend","Weekday")</f>
        <v>Weekend</v>
      </c>
      <c r="H56" s="32">
        <f>A56-WEEKDAY(A56,2)+1</f>
        <v>42009.0</v>
      </c>
      <c r="I56" t="str">
        <f>CHOOSE(WEEKDAY(A56,2),"Mon","Tue","Wed","Thu","Fri","Sat","Sun")</f>
        <v>Sat</v>
      </c>
    </row>
    <row r="57" spans="1:9">
      <c r="A57" s="32">
        <v>42014</v>
      </c>
      <c r="B57" t="s">
        <v>1</v>
      </c>
      <c r="C57">
        <v>949</v>
      </c>
      <c r="D57">
        <v>10287</v>
      </c>
      <c r="E57" t="str">
        <f>VLOOKUP(B57,BaseTable,2,FALSE)</f>
        <v>Hinter</v>
      </c>
      <c r="F57" s="35">
        <f>D57/C57</f>
        <v>10.839831401475237</v>
      </c>
      <c r="G57" t="str">
        <f>IF(WEEKDAY(A57,2)&gt;5,"Weekend","Weekday")</f>
        <v>Weekend</v>
      </c>
      <c r="H57" s="32">
        <f>A57-WEEKDAY(A57,2)+1</f>
        <v>42009.0</v>
      </c>
      <c r="I57" t="str">
        <f>CHOOSE(WEEKDAY(A57,2),"Mon","Tue","Wed","Thu","Fri","Sat","Sun")</f>
        <v>Sat</v>
      </c>
    </row>
    <row r="58" spans="1:9">
      <c r="A58" s="32">
        <v>42014</v>
      </c>
      <c r="B58" t="s">
        <v>2</v>
      </c>
      <c r="C58">
        <v>1331</v>
      </c>
      <c r="D58">
        <v>13856</v>
      </c>
      <c r="E58" t="str">
        <f>VLOOKUP(B58,BaseTable,2,FALSE)</f>
        <v>Weiter</v>
      </c>
      <c r="F58" s="35">
        <f>D58/C58</f>
        <v>10.410217881292262</v>
      </c>
      <c r="G58" t="str">
        <f>IF(WEEKDAY(A58,2)&gt;5,"Weekend","Weekday")</f>
        <v>Weekend</v>
      </c>
      <c r="H58" s="32">
        <f>A58-WEEKDAY(A58,2)+1</f>
        <v>42009.0</v>
      </c>
      <c r="I58" t="str">
        <f>CHOOSE(WEEKDAY(A58,2),"Mon","Tue","Wed","Thu","Fri","Sat","Sun")</f>
        <v>Sat</v>
      </c>
    </row>
    <row r="59" spans="1:9">
      <c r="A59" s="32">
        <v>42014</v>
      </c>
      <c r="B59" t="s">
        <v>3</v>
      </c>
      <c r="C59">
        <v>1057</v>
      </c>
      <c r="D59">
        <v>11629</v>
      </c>
      <c r="E59" t="str">
        <f>VLOOKUP(B59,BaseTable,2,FALSE)</f>
        <v>Schmecken</v>
      </c>
      <c r="F59" s="35">
        <f>D59/C59</f>
        <v>11.001892147587512</v>
      </c>
      <c r="G59" t="str">
        <f>IF(WEEKDAY(A59,2)&gt;5,"Weekend","Weekday")</f>
        <v>Weekend</v>
      </c>
      <c r="H59" s="32">
        <f>A59-WEEKDAY(A59,2)+1</f>
        <v>42009.0</v>
      </c>
      <c r="I59" t="str">
        <f>CHOOSE(WEEKDAY(A59,2),"Mon","Tue","Wed","Thu","Fri","Sat","Sun")</f>
        <v>Sat</v>
      </c>
    </row>
    <row r="60" spans="1:9">
      <c r="A60" s="32">
        <v>42014</v>
      </c>
      <c r="B60" t="s">
        <v>4</v>
      </c>
      <c r="C60">
        <v>3558</v>
      </c>
      <c r="D60">
        <v>38864</v>
      </c>
      <c r="E60" t="str">
        <f>VLOOKUP(B60,BaseTable,2,FALSE)</f>
        <v>Danach-NY</v>
      </c>
      <c r="F60" s="35">
        <f>D60/C60</f>
        <v>10.922990444069702</v>
      </c>
      <c r="G60" t="str">
        <f>IF(WEEKDAY(A60,2)&gt;5,"Weekend","Weekday")</f>
        <v>Weekend</v>
      </c>
      <c r="H60" s="32">
        <f>A60-WEEKDAY(A60,2)+1</f>
        <v>42009.0</v>
      </c>
      <c r="I60" t="str">
        <f>CHOOSE(WEEKDAY(A60,2),"Mon","Tue","Wed","Thu","Fri","Sat","Sun")</f>
        <v>Sat</v>
      </c>
    </row>
    <row r="61" spans="1:9">
      <c r="A61" s="32">
        <v>42014</v>
      </c>
      <c r="B61" t="s">
        <v>5</v>
      </c>
      <c r="C61">
        <v>245</v>
      </c>
      <c r="D61">
        <v>2202</v>
      </c>
      <c r="E61" t="str">
        <f>VLOOKUP(B61,BaseTable,2,FALSE)</f>
        <v>Grun</v>
      </c>
      <c r="F61" s="35">
        <f>D61/C61</f>
        <v>8.987755102040817</v>
      </c>
      <c r="G61" t="str">
        <f>IF(WEEKDAY(A61,2)&gt;5,"Weekend","Weekday")</f>
        <v>Weekend</v>
      </c>
      <c r="H61" s="32">
        <f>A61-WEEKDAY(A61,2)+1</f>
        <v>42009.0</v>
      </c>
      <c r="I61" t="str">
        <f>CHOOSE(WEEKDAY(A61,2),"Mon","Tue","Wed","Thu","Fri","Sat","Sun")</f>
        <v>Sat</v>
      </c>
    </row>
    <row r="62" spans="1:9">
      <c r="A62" s="32">
        <v>42015</v>
      </c>
      <c r="B62" t="s">
        <v>0</v>
      </c>
      <c r="C62">
        <v>162</v>
      </c>
      <c r="D62">
        <v>1104</v>
      </c>
      <c r="E62" t="str">
        <f>VLOOKUP(B62,BaseTable,2,FALSE)</f>
        <v>Unter</v>
      </c>
      <c r="F62" s="35">
        <f>D62/C62</f>
        <v>6.814814814814815</v>
      </c>
      <c r="G62" t="str">
        <f>IF(WEEKDAY(A62,2)&gt;5,"Weekend","Weekday")</f>
        <v>Weekend</v>
      </c>
      <c r="H62" s="32">
        <f>A62-WEEKDAY(A62,2)+1</f>
        <v>42009.0</v>
      </c>
      <c r="I62" t="str">
        <f>CHOOSE(WEEKDAY(A62,2),"Mon","Tue","Wed","Thu","Fri","Sat","Sun")</f>
        <v>Sun</v>
      </c>
    </row>
    <row r="63" spans="1:9">
      <c r="A63" s="32">
        <v>42015</v>
      </c>
      <c r="B63" t="s">
        <v>1</v>
      </c>
      <c r="C63">
        <v>832</v>
      </c>
      <c r="D63">
        <v>7176</v>
      </c>
      <c r="E63" t="str">
        <f>VLOOKUP(B63,BaseTable,2,FALSE)</f>
        <v>Hinter</v>
      </c>
      <c r="F63" s="35">
        <f>D63/C63</f>
        <v>8.625</v>
      </c>
      <c r="G63" t="str">
        <f>IF(WEEKDAY(A63,2)&gt;5,"Weekend","Weekday")</f>
        <v>Weekend</v>
      </c>
      <c r="H63" s="32">
        <f>A63-WEEKDAY(A63,2)+1</f>
        <v>42009.0</v>
      </c>
      <c r="I63" t="str">
        <f>CHOOSE(WEEKDAY(A63,2),"Mon","Tue","Wed","Thu","Fri","Sat","Sun")</f>
        <v>Sun</v>
      </c>
    </row>
    <row r="64" spans="1:9">
      <c r="A64" s="32">
        <v>42015</v>
      </c>
      <c r="B64" t="s">
        <v>2</v>
      </c>
      <c r="C64">
        <v>1228</v>
      </c>
      <c r="D64">
        <v>10932</v>
      </c>
      <c r="E64" t="str">
        <f>VLOOKUP(B64,BaseTable,2,FALSE)</f>
        <v>Weiter</v>
      </c>
      <c r="F64" s="35">
        <f>D64/C64</f>
        <v>8.90228013029316</v>
      </c>
      <c r="G64" t="str">
        <f>IF(WEEKDAY(A64,2)&gt;5,"Weekend","Weekday")</f>
        <v>Weekend</v>
      </c>
      <c r="H64" s="32">
        <f>A64-WEEKDAY(A64,2)+1</f>
        <v>42009.0</v>
      </c>
      <c r="I64" t="str">
        <f>CHOOSE(WEEKDAY(A64,2),"Mon","Tue","Wed","Thu","Fri","Sat","Sun")</f>
        <v>Sun</v>
      </c>
    </row>
    <row r="65" spans="1:9">
      <c r="A65" s="32">
        <v>42015</v>
      </c>
      <c r="B65" t="s">
        <v>3</v>
      </c>
      <c r="C65">
        <v>943</v>
      </c>
      <c r="D65">
        <v>8461</v>
      </c>
      <c r="E65" t="str">
        <f>VLOOKUP(B65,BaseTable,2,FALSE)</f>
        <v>Schmecken</v>
      </c>
      <c r="F65" s="35">
        <f>D65/C65</f>
        <v>8.972428419936373</v>
      </c>
      <c r="G65" t="str">
        <f>IF(WEEKDAY(A65,2)&gt;5,"Weekend","Weekday")</f>
        <v>Weekend</v>
      </c>
      <c r="H65" s="32">
        <f>A65-WEEKDAY(A65,2)+1</f>
        <v>42009.0</v>
      </c>
      <c r="I65" t="str">
        <f>CHOOSE(WEEKDAY(A65,2),"Mon","Tue","Wed","Thu","Fri","Sat","Sun")</f>
        <v>Sun</v>
      </c>
    </row>
    <row r="66" spans="1:9">
      <c r="A66" s="32">
        <v>42015</v>
      </c>
      <c r="B66" t="s">
        <v>4</v>
      </c>
      <c r="C66">
        <v>3186</v>
      </c>
      <c r="D66">
        <v>27681</v>
      </c>
      <c r="E66" t="str">
        <f>VLOOKUP(B66,BaseTable,2,FALSE)</f>
        <v>Danach-NY</v>
      </c>
      <c r="F66" s="35">
        <f>D66/C66</f>
        <v>8.688323917137476</v>
      </c>
      <c r="G66" t="str">
        <f>IF(WEEKDAY(A66,2)&gt;5,"Weekend","Weekday")</f>
        <v>Weekend</v>
      </c>
      <c r="H66" s="32">
        <f>A66-WEEKDAY(A66,2)+1</f>
        <v>42009.0</v>
      </c>
      <c r="I66" t="str">
        <f>CHOOSE(WEEKDAY(A66,2),"Mon","Tue","Wed","Thu","Fri","Sat","Sun")</f>
        <v>Sun</v>
      </c>
    </row>
    <row r="67" spans="1:9">
      <c r="A67" s="32">
        <v>42015</v>
      </c>
      <c r="B67" t="s">
        <v>5</v>
      </c>
      <c r="C67">
        <v>220</v>
      </c>
      <c r="D67">
        <v>1672</v>
      </c>
      <c r="E67" t="str">
        <f>VLOOKUP(B67,BaseTable,2,FALSE)</f>
        <v>Grun</v>
      </c>
      <c r="F67" s="35">
        <f>D67/C67</f>
        <v>7.6</v>
      </c>
      <c r="G67" t="str">
        <f>IF(WEEKDAY(A67,2)&gt;5,"Weekend","Weekday")</f>
        <v>Weekend</v>
      </c>
      <c r="H67" s="32">
        <f>A67-WEEKDAY(A67,2)+1</f>
        <v>42009.0</v>
      </c>
      <c r="I67" t="str">
        <f>CHOOSE(WEEKDAY(A67,2),"Mon","Tue","Wed","Thu","Fri","Sat","Sun")</f>
        <v>Sun</v>
      </c>
    </row>
    <row r="68" spans="1:9">
      <c r="A68" s="32">
        <v>42016</v>
      </c>
      <c r="B68" t="s">
        <v>0</v>
      </c>
      <c r="C68">
        <v>217</v>
      </c>
      <c r="D68">
        <v>1399</v>
      </c>
      <c r="E68" t="str">
        <f>VLOOKUP(B68,BaseTable,2,FALSE)</f>
        <v>Unter</v>
      </c>
      <c r="F68" s="35">
        <f>D68/C68</f>
        <v>6.447004608294931</v>
      </c>
      <c r="G68" t="str">
        <f>IF(WEEKDAY(A68,2)&gt;5,"Weekend","Weekday")</f>
        <v>Weekday</v>
      </c>
      <c r="H68" s="32">
        <f>A68-WEEKDAY(A68,2)+1</f>
        <v>42016.0</v>
      </c>
      <c r="I68" t="str">
        <f>CHOOSE(WEEKDAY(A68,2),"Mon","Tue","Wed","Thu","Fri","Sat","Sun")</f>
        <v>Mon</v>
      </c>
    </row>
    <row r="69" spans="1:9">
      <c r="A69" s="32">
        <v>42016</v>
      </c>
      <c r="B69" t="s">
        <v>1</v>
      </c>
      <c r="C69">
        <v>964</v>
      </c>
      <c r="D69">
        <v>7915</v>
      </c>
      <c r="E69" t="str">
        <f>VLOOKUP(B69,BaseTable,2,FALSE)</f>
        <v>Hinter</v>
      </c>
      <c r="F69" s="35">
        <f>D69/C69</f>
        <v>8.21058091286307</v>
      </c>
      <c r="G69" t="str">
        <f>IF(WEEKDAY(A69,2)&gt;5,"Weekend","Weekday")</f>
        <v>Weekday</v>
      </c>
      <c r="H69" s="32">
        <f>A69-WEEKDAY(A69,2)+1</f>
        <v>42016.0</v>
      </c>
      <c r="I69" t="str">
        <f>CHOOSE(WEEKDAY(A69,2),"Mon","Tue","Wed","Thu","Fri","Sat","Sun")</f>
        <v>Mon</v>
      </c>
    </row>
    <row r="70" spans="1:9">
      <c r="A70" s="32">
        <v>42016</v>
      </c>
      <c r="B70" t="s">
        <v>2</v>
      </c>
      <c r="C70">
        <v>1323</v>
      </c>
      <c r="D70">
        <v>10662</v>
      </c>
      <c r="E70" t="str">
        <f>VLOOKUP(B70,BaseTable,2,FALSE)</f>
        <v>Weiter</v>
      </c>
      <c r="F70" s="35">
        <f>D70/C70</f>
        <v>8.058956916099774</v>
      </c>
      <c r="G70" t="str">
        <f>IF(WEEKDAY(A70,2)&gt;5,"Weekend","Weekday")</f>
        <v>Weekday</v>
      </c>
      <c r="H70" s="32">
        <f>A70-WEEKDAY(A70,2)+1</f>
        <v>42016.0</v>
      </c>
      <c r="I70" t="str">
        <f>CHOOSE(WEEKDAY(A70,2),"Mon","Tue","Wed","Thu","Fri","Sat","Sun")</f>
        <v>Mon</v>
      </c>
    </row>
    <row r="71" spans="1:9">
      <c r="A71" s="32">
        <v>42016</v>
      </c>
      <c r="B71" t="s">
        <v>3</v>
      </c>
      <c r="C71">
        <v>1082</v>
      </c>
      <c r="D71">
        <v>9107</v>
      </c>
      <c r="E71" t="str">
        <f>VLOOKUP(B71,BaseTable,2,FALSE)</f>
        <v>Schmecken</v>
      </c>
      <c r="F71" s="35">
        <f>D71/C71</f>
        <v>8.416820702402957</v>
      </c>
      <c r="G71" t="str">
        <f>IF(WEEKDAY(A71,2)&gt;5,"Weekend","Weekday")</f>
        <v>Weekday</v>
      </c>
      <c r="H71" s="32">
        <f>A71-WEEKDAY(A71,2)+1</f>
        <v>42016.0</v>
      </c>
      <c r="I71" t="str">
        <f>CHOOSE(WEEKDAY(A71,2),"Mon","Tue","Wed","Thu","Fri","Sat","Sun")</f>
        <v>Mon</v>
      </c>
    </row>
    <row r="72" spans="1:9">
      <c r="A72" s="32">
        <v>42016</v>
      </c>
      <c r="B72" t="s">
        <v>4</v>
      </c>
      <c r="C72">
        <v>3499</v>
      </c>
      <c r="D72">
        <v>26852</v>
      </c>
      <c r="E72" t="str">
        <f>VLOOKUP(B72,BaseTable,2,FALSE)</f>
        <v>Danach-NY</v>
      </c>
      <c r="F72" s="35">
        <f>D72/C72</f>
        <v>7.674192626464704</v>
      </c>
      <c r="G72" t="str">
        <f>IF(WEEKDAY(A72,2)&gt;5,"Weekend","Weekday")</f>
        <v>Weekday</v>
      </c>
      <c r="H72" s="32">
        <f>A72-WEEKDAY(A72,2)+1</f>
        <v>42016.0</v>
      </c>
      <c r="I72" t="str">
        <f>CHOOSE(WEEKDAY(A72,2),"Mon","Tue","Wed","Thu","Fri","Sat","Sun")</f>
        <v>Mon</v>
      </c>
    </row>
    <row r="73" spans="1:9">
      <c r="A73" s="32">
        <v>42016</v>
      </c>
      <c r="B73" t="s">
        <v>5</v>
      </c>
      <c r="C73">
        <v>279</v>
      </c>
      <c r="D73">
        <v>1711</v>
      </c>
      <c r="E73" t="str">
        <f>VLOOKUP(B73,BaseTable,2,FALSE)</f>
        <v>Grun</v>
      </c>
      <c r="F73" s="35">
        <f>D73/C73</f>
        <v>6.132616487455197</v>
      </c>
      <c r="G73" t="str">
        <f>IF(WEEKDAY(A73,2)&gt;5,"Weekend","Weekday")</f>
        <v>Weekday</v>
      </c>
      <c r="H73" s="32">
        <f>A73-WEEKDAY(A73,2)+1</f>
        <v>42016.0</v>
      </c>
      <c r="I73" t="str">
        <f>CHOOSE(WEEKDAY(A73,2),"Mon","Tue","Wed","Thu","Fri","Sat","Sun")</f>
        <v>Mon</v>
      </c>
    </row>
    <row r="74" spans="1:9">
      <c r="A74" s="32">
        <v>42017</v>
      </c>
      <c r="B74" t="s">
        <v>0</v>
      </c>
      <c r="C74">
        <v>234</v>
      </c>
      <c r="D74">
        <v>1652</v>
      </c>
      <c r="E74" t="str">
        <f>VLOOKUP(B74,BaseTable,2,FALSE)</f>
        <v>Unter</v>
      </c>
      <c r="F74" s="35">
        <f>D74/C74</f>
        <v>7.05982905982906</v>
      </c>
      <c r="G74" t="str">
        <f>IF(WEEKDAY(A74,2)&gt;5,"Weekend","Weekday")</f>
        <v>Weekday</v>
      </c>
      <c r="H74" s="32">
        <f>A74-WEEKDAY(A74,2)+1</f>
        <v>42016.0</v>
      </c>
      <c r="I74" t="str">
        <f>CHOOSE(WEEKDAY(A74,2),"Mon","Tue","Wed","Thu","Fri","Sat","Sun")</f>
        <v>Tue</v>
      </c>
    </row>
    <row r="75" spans="1:9">
      <c r="A75" s="32">
        <v>42017</v>
      </c>
      <c r="B75" t="s">
        <v>1</v>
      </c>
      <c r="C75">
        <v>975</v>
      </c>
      <c r="D75">
        <v>8713</v>
      </c>
      <c r="E75" t="str">
        <f>VLOOKUP(B75,BaseTable,2,FALSE)</f>
        <v>Hinter</v>
      </c>
      <c r="F75" s="35">
        <f>D75/C75</f>
        <v>8.936410256410257</v>
      </c>
      <c r="G75" t="str">
        <f>IF(WEEKDAY(A75,2)&gt;5,"Weekend","Weekday")</f>
        <v>Weekday</v>
      </c>
      <c r="H75" s="32">
        <f>A75-WEEKDAY(A75,2)+1</f>
        <v>42016.0</v>
      </c>
      <c r="I75" t="str">
        <f>CHOOSE(WEEKDAY(A75,2),"Mon","Tue","Wed","Thu","Fri","Sat","Sun")</f>
        <v>Tue</v>
      </c>
    </row>
    <row r="76" spans="1:9">
      <c r="A76" s="32">
        <v>42017</v>
      </c>
      <c r="B76" t="s">
        <v>2</v>
      </c>
      <c r="C76">
        <v>1342</v>
      </c>
      <c r="D76">
        <v>11825</v>
      </c>
      <c r="E76" t="str">
        <f>VLOOKUP(B76,BaseTable,2,FALSE)</f>
        <v>Weiter</v>
      </c>
      <c r="F76" s="35">
        <f>D76/C76</f>
        <v>8.811475409836065</v>
      </c>
      <c r="G76" t="str">
        <f>IF(WEEKDAY(A76,2)&gt;5,"Weekend","Weekday")</f>
        <v>Weekday</v>
      </c>
      <c r="H76" s="32">
        <f>A76-WEEKDAY(A76,2)+1</f>
        <v>42016.0</v>
      </c>
      <c r="I76" t="str">
        <f>CHOOSE(WEEKDAY(A76,2),"Mon","Tue","Wed","Thu","Fri","Sat","Sun")</f>
        <v>Tue</v>
      </c>
    </row>
    <row r="77" spans="1:9">
      <c r="A77" s="32">
        <v>42017</v>
      </c>
      <c r="B77" t="s">
        <v>3</v>
      </c>
      <c r="C77">
        <v>1092</v>
      </c>
      <c r="D77">
        <v>9629</v>
      </c>
      <c r="E77" t="str">
        <f>VLOOKUP(B77,BaseTable,2,FALSE)</f>
        <v>Schmecken</v>
      </c>
      <c r="F77" s="35">
        <f>D77/C77</f>
        <v>8.817765567765568</v>
      </c>
      <c r="G77" t="str">
        <f>IF(WEEKDAY(A77,2)&gt;5,"Weekend","Weekday")</f>
        <v>Weekday</v>
      </c>
      <c r="H77" s="32">
        <f>A77-WEEKDAY(A77,2)+1</f>
        <v>42016.0</v>
      </c>
      <c r="I77" t="str">
        <f>CHOOSE(WEEKDAY(A77,2),"Mon","Tue","Wed","Thu","Fri","Sat","Sun")</f>
        <v>Tue</v>
      </c>
    </row>
    <row r="78" spans="1:9">
      <c r="A78" s="32">
        <v>42017</v>
      </c>
      <c r="B78" t="s">
        <v>4</v>
      </c>
      <c r="C78">
        <v>3658</v>
      </c>
      <c r="D78">
        <v>29983</v>
      </c>
      <c r="E78" t="str">
        <f>VLOOKUP(B78,BaseTable,2,FALSE)</f>
        <v>Danach-NY</v>
      </c>
      <c r="F78" s="35">
        <f>D78/C78</f>
        <v>8.196555494805905</v>
      </c>
      <c r="G78" t="str">
        <f>IF(WEEKDAY(A78,2)&gt;5,"Weekend","Weekday")</f>
        <v>Weekday</v>
      </c>
      <c r="H78" s="32">
        <f>A78-WEEKDAY(A78,2)+1</f>
        <v>42016.0</v>
      </c>
      <c r="I78" t="str">
        <f>CHOOSE(WEEKDAY(A78,2),"Mon","Tue","Wed","Thu","Fri","Sat","Sun")</f>
        <v>Tue</v>
      </c>
    </row>
    <row r="79" spans="1:9">
      <c r="A79" s="32">
        <v>42017</v>
      </c>
      <c r="B79" t="s">
        <v>5</v>
      </c>
      <c r="C79">
        <v>258</v>
      </c>
      <c r="D79">
        <v>1697</v>
      </c>
      <c r="E79" t="str">
        <f>VLOOKUP(B79,BaseTable,2,FALSE)</f>
        <v>Grun</v>
      </c>
      <c r="F79" s="35">
        <f>D79/C79</f>
        <v>6.577519379844961</v>
      </c>
      <c r="G79" t="str">
        <f>IF(WEEKDAY(A79,2)&gt;5,"Weekend","Weekday")</f>
        <v>Weekday</v>
      </c>
      <c r="H79" s="32">
        <f>A79-WEEKDAY(A79,2)+1</f>
        <v>42016.0</v>
      </c>
      <c r="I79" t="str">
        <f>CHOOSE(WEEKDAY(A79,2),"Mon","Tue","Wed","Thu","Fri","Sat","Sun")</f>
        <v>Tue</v>
      </c>
    </row>
    <row r="80" spans="1:9">
      <c r="A80" s="32">
        <v>42018</v>
      </c>
      <c r="B80" t="s">
        <v>0</v>
      </c>
      <c r="C80">
        <v>233</v>
      </c>
      <c r="D80">
        <v>1582</v>
      </c>
      <c r="E80" t="str">
        <f>VLOOKUP(B80,BaseTable,2,FALSE)</f>
        <v>Unter</v>
      </c>
      <c r="F80" s="35">
        <f>D80/C80</f>
        <v>6.789699570815451</v>
      </c>
      <c r="G80" t="str">
        <f>IF(WEEKDAY(A80,2)&gt;5,"Weekend","Weekday")</f>
        <v>Weekday</v>
      </c>
      <c r="H80" s="32">
        <f>A80-WEEKDAY(A80,2)+1</f>
        <v>42016.0</v>
      </c>
      <c r="I80" t="str">
        <f>CHOOSE(WEEKDAY(A80,2),"Mon","Tue","Wed","Thu","Fri","Sat","Sun")</f>
        <v>Wed</v>
      </c>
    </row>
    <row r="81" spans="1:9">
      <c r="A81" s="32">
        <v>42018</v>
      </c>
      <c r="B81" t="s">
        <v>1</v>
      </c>
      <c r="C81">
        <v>1030</v>
      </c>
      <c r="D81">
        <v>8870</v>
      </c>
      <c r="E81" t="str">
        <f>VLOOKUP(B81,BaseTable,2,FALSE)</f>
        <v>Hinter</v>
      </c>
      <c r="F81" s="35">
        <f>D81/C81</f>
        <v>8.611650485436893</v>
      </c>
      <c r="G81" t="str">
        <f>IF(WEEKDAY(A81,2)&gt;5,"Weekend","Weekday")</f>
        <v>Weekday</v>
      </c>
      <c r="H81" s="32">
        <f>A81-WEEKDAY(A81,2)+1</f>
        <v>42016.0</v>
      </c>
      <c r="I81" t="str">
        <f>CHOOSE(WEEKDAY(A81,2),"Mon","Tue","Wed","Thu","Fri","Sat","Sun")</f>
        <v>Wed</v>
      </c>
    </row>
    <row r="82" spans="1:9">
      <c r="A82" s="32">
        <v>42018</v>
      </c>
      <c r="B82" t="s">
        <v>2</v>
      </c>
      <c r="C82">
        <v>1405</v>
      </c>
      <c r="D82">
        <v>11965</v>
      </c>
      <c r="E82" t="str">
        <f>VLOOKUP(B82,BaseTable,2,FALSE)</f>
        <v>Weiter</v>
      </c>
      <c r="F82" s="35">
        <f>D82/C82</f>
        <v>8.516014234875446</v>
      </c>
      <c r="G82" t="str">
        <f>IF(WEEKDAY(A82,2)&gt;5,"Weekend","Weekday")</f>
        <v>Weekday</v>
      </c>
      <c r="H82" s="32">
        <f>A82-WEEKDAY(A82,2)+1</f>
        <v>42016.0</v>
      </c>
      <c r="I82" t="str">
        <f>CHOOSE(WEEKDAY(A82,2),"Mon","Tue","Wed","Thu","Fri","Sat","Sun")</f>
        <v>Wed</v>
      </c>
    </row>
    <row r="83" spans="1:9">
      <c r="A83" s="32">
        <v>42018</v>
      </c>
      <c r="B83" t="s">
        <v>3</v>
      </c>
      <c r="C83">
        <v>1174</v>
      </c>
      <c r="D83">
        <v>9762</v>
      </c>
      <c r="E83" t="str">
        <f>VLOOKUP(B83,BaseTable,2,FALSE)</f>
        <v>Schmecken</v>
      </c>
      <c r="F83" s="35">
        <f>D83/C83</f>
        <v>8.315161839863714</v>
      </c>
      <c r="G83" t="str">
        <f>IF(WEEKDAY(A83,2)&gt;5,"Weekend","Weekday")</f>
        <v>Weekday</v>
      </c>
      <c r="H83" s="32">
        <f>A83-WEEKDAY(A83,2)+1</f>
        <v>42016.0</v>
      </c>
      <c r="I83" t="str">
        <f>CHOOSE(WEEKDAY(A83,2),"Mon","Tue","Wed","Thu","Fri","Sat","Sun")</f>
        <v>Wed</v>
      </c>
    </row>
    <row r="84" spans="1:9">
      <c r="A84" s="32">
        <v>42018</v>
      </c>
      <c r="B84" t="s">
        <v>4</v>
      </c>
      <c r="C84">
        <v>3736</v>
      </c>
      <c r="D84">
        <v>29550</v>
      </c>
      <c r="E84" t="str">
        <f>VLOOKUP(B84,BaseTable,2,FALSE)</f>
        <v>Danach-NY</v>
      </c>
      <c r="F84" s="35">
        <f>D84/C84</f>
        <v>7.909528907922912</v>
      </c>
      <c r="G84" t="str">
        <f>IF(WEEKDAY(A84,2)&gt;5,"Weekend","Weekday")</f>
        <v>Weekday</v>
      </c>
      <c r="H84" s="32">
        <f>A84-WEEKDAY(A84,2)+1</f>
        <v>42016.0</v>
      </c>
      <c r="I84" t="str">
        <f>CHOOSE(WEEKDAY(A84,2),"Mon","Tue","Wed","Thu","Fri","Sat","Sun")</f>
        <v>Wed</v>
      </c>
    </row>
    <row r="85" spans="1:9">
      <c r="A85" s="32">
        <v>42018</v>
      </c>
      <c r="B85" t="s">
        <v>5</v>
      </c>
      <c r="C85">
        <v>271</v>
      </c>
      <c r="D85">
        <v>1600</v>
      </c>
      <c r="E85" t="str">
        <f>VLOOKUP(B85,BaseTable,2,FALSE)</f>
        <v>Grun</v>
      </c>
      <c r="F85" s="35">
        <f>D85/C85</f>
        <v>5.904059040590406</v>
      </c>
      <c r="G85" t="str">
        <f>IF(WEEKDAY(A85,2)&gt;5,"Weekend","Weekday")</f>
        <v>Weekday</v>
      </c>
      <c r="H85" s="32">
        <f>A85-WEEKDAY(A85,2)+1</f>
        <v>42016.0</v>
      </c>
      <c r="I85" t="str">
        <f>CHOOSE(WEEKDAY(A85,2),"Mon","Tue","Wed","Thu","Fri","Sat","Sun")</f>
        <v>Wed</v>
      </c>
    </row>
    <row r="86" spans="1:9">
      <c r="A86" s="32">
        <v>42019</v>
      </c>
      <c r="B86" t="s">
        <v>0</v>
      </c>
      <c r="C86">
        <v>237</v>
      </c>
      <c r="D86">
        <v>1636</v>
      </c>
      <c r="E86" t="str">
        <f>VLOOKUP(B86,BaseTable,2,FALSE)</f>
        <v>Unter</v>
      </c>
      <c r="F86" s="35">
        <f>D86/C86</f>
        <v>6.90295358649789</v>
      </c>
      <c r="G86" t="str">
        <f>IF(WEEKDAY(A86,2)&gt;5,"Weekend","Weekday")</f>
        <v>Weekday</v>
      </c>
      <c r="H86" s="32">
        <f>A86-WEEKDAY(A86,2)+1</f>
        <v>42016.0</v>
      </c>
      <c r="I86" t="str">
        <f>CHOOSE(WEEKDAY(A86,2),"Mon","Tue","Wed","Thu","Fri","Sat","Sun")</f>
        <v>Thu</v>
      </c>
    </row>
    <row r="87" spans="1:9">
      <c r="A87" s="32">
        <v>42019</v>
      </c>
      <c r="B87" t="s">
        <v>1</v>
      </c>
      <c r="C87">
        <v>1068</v>
      </c>
      <c r="D87">
        <v>9152</v>
      </c>
      <c r="E87" t="str">
        <f>VLOOKUP(B87,BaseTable,2,FALSE)</f>
        <v>Hinter</v>
      </c>
      <c r="F87" s="35">
        <f>D87/C87</f>
        <v>8.569288389513108</v>
      </c>
      <c r="G87" t="str">
        <f>IF(WEEKDAY(A87,2)&gt;5,"Weekend","Weekday")</f>
        <v>Weekday</v>
      </c>
      <c r="H87" s="32">
        <f>A87-WEEKDAY(A87,2)+1</f>
        <v>42016.0</v>
      </c>
      <c r="I87" t="str">
        <f>CHOOSE(WEEKDAY(A87,2),"Mon","Tue","Wed","Thu","Fri","Sat","Sun")</f>
        <v>Thu</v>
      </c>
    </row>
    <row r="88" spans="1:9">
      <c r="A88" s="32">
        <v>42019</v>
      </c>
      <c r="B88" t="s">
        <v>2</v>
      </c>
      <c r="C88">
        <v>1457</v>
      </c>
      <c r="D88">
        <v>12539</v>
      </c>
      <c r="E88" t="str">
        <f>VLOOKUP(B88,BaseTable,2,FALSE)</f>
        <v>Weiter</v>
      </c>
      <c r="F88" s="35">
        <f>D88/C88</f>
        <v>8.606039807824297</v>
      </c>
      <c r="G88" t="str">
        <f>IF(WEEKDAY(A88,2)&gt;5,"Weekend","Weekday")</f>
        <v>Weekday</v>
      </c>
      <c r="H88" s="32">
        <f>A88-WEEKDAY(A88,2)+1</f>
        <v>42016.0</v>
      </c>
      <c r="I88" t="str">
        <f>CHOOSE(WEEKDAY(A88,2),"Mon","Tue","Wed","Thu","Fri","Sat","Sun")</f>
        <v>Thu</v>
      </c>
    </row>
    <row r="89" spans="1:9">
      <c r="A89" s="32">
        <v>42019</v>
      </c>
      <c r="B89" t="s">
        <v>3</v>
      </c>
      <c r="C89">
        <v>1208</v>
      </c>
      <c r="D89">
        <v>10391</v>
      </c>
      <c r="E89" t="str">
        <f>VLOOKUP(B89,BaseTable,2,FALSE)</f>
        <v>Schmecken</v>
      </c>
      <c r="F89" s="35">
        <f>D89/C89</f>
        <v>8.60182119205298</v>
      </c>
      <c r="G89" t="str">
        <f>IF(WEEKDAY(A89,2)&gt;5,"Weekend","Weekday")</f>
        <v>Weekday</v>
      </c>
      <c r="H89" s="32">
        <f>A89-WEEKDAY(A89,2)+1</f>
        <v>42016.0</v>
      </c>
      <c r="I89" t="str">
        <f>CHOOSE(WEEKDAY(A89,2),"Mon","Tue","Wed","Thu","Fri","Sat","Sun")</f>
        <v>Thu</v>
      </c>
    </row>
    <row r="90" spans="1:9">
      <c r="A90" s="32">
        <v>42019</v>
      </c>
      <c r="B90" t="s">
        <v>4</v>
      </c>
      <c r="C90">
        <v>3840</v>
      </c>
      <c r="D90">
        <v>31214</v>
      </c>
      <c r="E90" t="str">
        <f>VLOOKUP(B90,BaseTable,2,FALSE)</f>
        <v>Danach-NY</v>
      </c>
      <c r="F90" s="35">
        <f>D90/C90</f>
        <v>8.128645833333334</v>
      </c>
      <c r="G90" t="str">
        <f>IF(WEEKDAY(A90,2)&gt;5,"Weekend","Weekday")</f>
        <v>Weekday</v>
      </c>
      <c r="H90" s="32">
        <f>A90-WEEKDAY(A90,2)+1</f>
        <v>42016.0</v>
      </c>
      <c r="I90" t="str">
        <f>CHOOSE(WEEKDAY(A90,2),"Mon","Tue","Wed","Thu","Fri","Sat","Sun")</f>
        <v>Thu</v>
      </c>
    </row>
    <row r="91" spans="1:9">
      <c r="A91" s="32">
        <v>42019</v>
      </c>
      <c r="B91" t="s">
        <v>5</v>
      </c>
      <c r="C91">
        <v>270</v>
      </c>
      <c r="D91">
        <v>1797</v>
      </c>
      <c r="E91" t="str">
        <f>VLOOKUP(B91,BaseTable,2,FALSE)</f>
        <v>Grun</v>
      </c>
      <c r="F91" s="35">
        <f>D91/C91</f>
        <v>6.655555555555556</v>
      </c>
      <c r="G91" t="str">
        <f>IF(WEEKDAY(A91,2)&gt;5,"Weekend","Weekday")</f>
        <v>Weekday</v>
      </c>
      <c r="H91" s="32">
        <f>A91-WEEKDAY(A91,2)+1</f>
        <v>42016.0</v>
      </c>
      <c r="I91" t="str">
        <f>CHOOSE(WEEKDAY(A91,2),"Mon","Tue","Wed","Thu","Fri","Sat","Sun")</f>
        <v>Thu</v>
      </c>
    </row>
    <row r="92" spans="1:9">
      <c r="A92" s="32">
        <v>42020</v>
      </c>
      <c r="B92" t="s">
        <v>0</v>
      </c>
      <c r="C92">
        <v>234</v>
      </c>
      <c r="D92">
        <v>1481</v>
      </c>
      <c r="E92" t="str">
        <f>VLOOKUP(B92,BaseTable,2,FALSE)</f>
        <v>Unter</v>
      </c>
      <c r="F92" s="35">
        <f>D92/C92</f>
        <v>6.329059829059829</v>
      </c>
      <c r="G92" t="str">
        <f>IF(WEEKDAY(A92,2)&gt;5,"Weekend","Weekday")</f>
        <v>Weekday</v>
      </c>
      <c r="H92" s="32">
        <f>A92-WEEKDAY(A92,2)+1</f>
        <v>42016.0</v>
      </c>
      <c r="I92" t="str">
        <f>CHOOSE(WEEKDAY(A92,2),"Mon","Tue","Wed","Thu","Fri","Sat","Sun")</f>
        <v>Fri</v>
      </c>
    </row>
    <row r="93" spans="1:9">
      <c r="A93" s="32">
        <v>42020</v>
      </c>
      <c r="B93" t="s">
        <v>1</v>
      </c>
      <c r="C93">
        <v>1079</v>
      </c>
      <c r="D93">
        <v>9838</v>
      </c>
      <c r="E93" t="str">
        <f>VLOOKUP(B93,BaseTable,2,FALSE)</f>
        <v>Hinter</v>
      </c>
      <c r="F93" s="35">
        <f>D93/C93</f>
        <v>9.117701575532902</v>
      </c>
      <c r="G93" t="str">
        <f>IF(WEEKDAY(A93,2)&gt;5,"Weekend","Weekday")</f>
        <v>Weekday</v>
      </c>
      <c r="H93" s="32">
        <f>A93-WEEKDAY(A93,2)+1</f>
        <v>42016.0</v>
      </c>
      <c r="I93" t="str">
        <f>CHOOSE(WEEKDAY(A93,2),"Mon","Tue","Wed","Thu","Fri","Sat","Sun")</f>
        <v>Fri</v>
      </c>
    </row>
    <row r="94" spans="1:9">
      <c r="A94" s="32">
        <v>42020</v>
      </c>
      <c r="B94" t="s">
        <v>2</v>
      </c>
      <c r="C94">
        <v>1445</v>
      </c>
      <c r="D94">
        <v>12977</v>
      </c>
      <c r="E94" t="str">
        <f>VLOOKUP(B94,BaseTable,2,FALSE)</f>
        <v>Weiter</v>
      </c>
      <c r="F94" s="35">
        <f>D94/C94</f>
        <v>8.980622837370243</v>
      </c>
      <c r="G94" t="str">
        <f>IF(WEEKDAY(A94,2)&gt;5,"Weekend","Weekday")</f>
        <v>Weekday</v>
      </c>
      <c r="H94" s="32">
        <f>A94-WEEKDAY(A94,2)+1</f>
        <v>42016.0</v>
      </c>
      <c r="I94" t="str">
        <f>CHOOSE(WEEKDAY(A94,2),"Mon","Tue","Wed","Thu","Fri","Sat","Sun")</f>
        <v>Fri</v>
      </c>
    </row>
    <row r="95" spans="1:9">
      <c r="A95" s="32">
        <v>42020</v>
      </c>
      <c r="B95" t="s">
        <v>3</v>
      </c>
      <c r="C95">
        <v>1250</v>
      </c>
      <c r="D95">
        <v>11280</v>
      </c>
      <c r="E95" t="str">
        <f>VLOOKUP(B95,BaseTable,2,FALSE)</f>
        <v>Schmecken</v>
      </c>
      <c r="F95" s="35">
        <f>D95/C95</f>
        <v>9.024</v>
      </c>
      <c r="G95" t="str">
        <f>IF(WEEKDAY(A95,2)&gt;5,"Weekend","Weekday")</f>
        <v>Weekday</v>
      </c>
      <c r="H95" s="32">
        <f>A95-WEEKDAY(A95,2)+1</f>
        <v>42016.0</v>
      </c>
      <c r="I95" t="str">
        <f>CHOOSE(WEEKDAY(A95,2),"Mon","Tue","Wed","Thu","Fri","Sat","Sun")</f>
        <v>Fri</v>
      </c>
    </row>
    <row r="96" spans="1:9">
      <c r="A96" s="32">
        <v>42020</v>
      </c>
      <c r="B96" t="s">
        <v>4</v>
      </c>
      <c r="C96">
        <v>3975</v>
      </c>
      <c r="D96">
        <v>34822</v>
      </c>
      <c r="E96" t="str">
        <f>VLOOKUP(B96,BaseTable,2,FALSE)</f>
        <v>Danach-NY</v>
      </c>
      <c r="F96" s="35">
        <f>D96/C96</f>
        <v>8.760251572327045</v>
      </c>
      <c r="G96" t="str">
        <f>IF(WEEKDAY(A96,2)&gt;5,"Weekend","Weekday")</f>
        <v>Weekday</v>
      </c>
      <c r="H96" s="32">
        <f>A96-WEEKDAY(A96,2)+1</f>
        <v>42016.0</v>
      </c>
      <c r="I96" t="str">
        <f>CHOOSE(WEEKDAY(A96,2),"Mon","Tue","Wed","Thu","Fri","Sat","Sun")</f>
        <v>Fri</v>
      </c>
    </row>
    <row r="97" spans="1:9">
      <c r="A97" s="32">
        <v>42020</v>
      </c>
      <c r="B97" t="s">
        <v>5</v>
      </c>
      <c r="C97">
        <v>290</v>
      </c>
      <c r="D97">
        <v>2082</v>
      </c>
      <c r="E97" t="str">
        <f>VLOOKUP(B97,BaseTable,2,FALSE)</f>
        <v>Grun</v>
      </c>
      <c r="F97" s="35">
        <f>D97/C97</f>
        <v>7.179310344827586</v>
      </c>
      <c r="G97" t="str">
        <f>IF(WEEKDAY(A97,2)&gt;5,"Weekend","Weekday")</f>
        <v>Weekday</v>
      </c>
      <c r="H97" s="32">
        <f>A97-WEEKDAY(A97,2)+1</f>
        <v>42016.0</v>
      </c>
      <c r="I97" t="str">
        <f>CHOOSE(WEEKDAY(A97,2),"Mon","Tue","Wed","Thu","Fri","Sat","Sun")</f>
        <v>Fri</v>
      </c>
    </row>
    <row r="98" spans="1:9">
      <c r="A98" s="32">
        <v>42021</v>
      </c>
      <c r="B98" t="s">
        <v>0</v>
      </c>
      <c r="C98">
        <v>201</v>
      </c>
      <c r="D98">
        <v>1281</v>
      </c>
      <c r="E98" t="str">
        <f>VLOOKUP(B98,BaseTable,2,FALSE)</f>
        <v>Unter</v>
      </c>
      <c r="F98" s="35">
        <f>D98/C98</f>
        <v>6.373134328358209</v>
      </c>
      <c r="G98" t="str">
        <f>IF(WEEKDAY(A98,2)&gt;5,"Weekend","Weekday")</f>
        <v>Weekend</v>
      </c>
      <c r="H98" s="32">
        <f>A98-WEEKDAY(A98,2)+1</f>
        <v>42016.0</v>
      </c>
      <c r="I98" t="str">
        <f>CHOOSE(WEEKDAY(A98,2),"Mon","Tue","Wed","Thu","Fri","Sat","Sun")</f>
        <v>Sat</v>
      </c>
    </row>
    <row r="99" spans="1:9">
      <c r="A99" s="32">
        <v>42021</v>
      </c>
      <c r="B99" t="s">
        <v>1</v>
      </c>
      <c r="C99">
        <v>974</v>
      </c>
      <c r="D99">
        <v>9546</v>
      </c>
      <c r="E99" t="str">
        <f>VLOOKUP(B99,BaseTable,2,FALSE)</f>
        <v>Hinter</v>
      </c>
      <c r="F99" s="35">
        <f>D99/C99</f>
        <v>9.80082135523614</v>
      </c>
      <c r="G99" t="str">
        <f>IF(WEEKDAY(A99,2)&gt;5,"Weekend","Weekday")</f>
        <v>Weekend</v>
      </c>
      <c r="H99" s="32">
        <f>A99-WEEKDAY(A99,2)+1</f>
        <v>42016.0</v>
      </c>
      <c r="I99" t="str">
        <f>CHOOSE(WEEKDAY(A99,2),"Mon","Tue","Wed","Thu","Fri","Sat","Sun")</f>
        <v>Sat</v>
      </c>
    </row>
    <row r="100" spans="1:9">
      <c r="A100" s="32">
        <v>42021</v>
      </c>
      <c r="B100" t="s">
        <v>2</v>
      </c>
      <c r="C100">
        <v>1306</v>
      </c>
      <c r="D100">
        <v>12676</v>
      </c>
      <c r="E100" t="str">
        <f>VLOOKUP(B100,BaseTable,2,FALSE)</f>
        <v>Weiter</v>
      </c>
      <c r="F100" s="35">
        <f>D100/C100</f>
        <v>9.705972434915774</v>
      </c>
      <c r="G100" t="str">
        <f>IF(WEEKDAY(A100,2)&gt;5,"Weekend","Weekday")</f>
        <v>Weekend</v>
      </c>
      <c r="H100" s="32">
        <f>A100-WEEKDAY(A100,2)+1</f>
        <v>42016.0</v>
      </c>
      <c r="I100" t="str">
        <f>CHOOSE(WEEKDAY(A100,2),"Mon","Tue","Wed","Thu","Fri","Sat","Sun")</f>
        <v>Sat</v>
      </c>
    </row>
    <row r="101" spans="1:9">
      <c r="A101" s="32">
        <v>42021</v>
      </c>
      <c r="B101" t="s">
        <v>3</v>
      </c>
      <c r="C101">
        <v>1137</v>
      </c>
      <c r="D101">
        <v>11382</v>
      </c>
      <c r="E101" t="str">
        <f>VLOOKUP(B101,BaseTable,2,FALSE)</f>
        <v>Schmecken</v>
      </c>
      <c r="F101" s="35">
        <f>D101/C101</f>
        <v>10.010554089709762</v>
      </c>
      <c r="G101" t="str">
        <f>IF(WEEKDAY(A101,2)&gt;5,"Weekend","Weekday")</f>
        <v>Weekend</v>
      </c>
      <c r="H101" s="32">
        <f>A101-WEEKDAY(A101,2)+1</f>
        <v>42016.0</v>
      </c>
      <c r="I101" t="str">
        <f>CHOOSE(WEEKDAY(A101,2),"Mon","Tue","Wed","Thu","Fri","Sat","Sun")</f>
        <v>Sat</v>
      </c>
    </row>
    <row r="102" spans="1:9">
      <c r="A102" s="32">
        <v>42021</v>
      </c>
      <c r="B102" t="s">
        <v>4</v>
      </c>
      <c r="C102">
        <v>3657</v>
      </c>
      <c r="D102">
        <v>36318</v>
      </c>
      <c r="E102" t="str">
        <f>VLOOKUP(B102,BaseTable,2,FALSE)</f>
        <v>Danach-NY</v>
      </c>
      <c r="F102" s="35">
        <f>D102/C102</f>
        <v>9.931091058244462</v>
      </c>
      <c r="G102" t="str">
        <f>IF(WEEKDAY(A102,2)&gt;5,"Weekend","Weekday")</f>
        <v>Weekend</v>
      </c>
      <c r="H102" s="32">
        <f>A102-WEEKDAY(A102,2)+1</f>
        <v>42016.0</v>
      </c>
      <c r="I102" t="str">
        <f>CHOOSE(WEEKDAY(A102,2),"Mon","Tue","Wed","Thu","Fri","Sat","Sun")</f>
        <v>Sat</v>
      </c>
    </row>
    <row r="103" spans="1:9">
      <c r="A103" s="32">
        <v>42021</v>
      </c>
      <c r="B103" t="s">
        <v>5</v>
      </c>
      <c r="C103">
        <v>252</v>
      </c>
      <c r="D103">
        <v>2160</v>
      </c>
      <c r="E103" t="str">
        <f>VLOOKUP(B103,BaseTable,2,FALSE)</f>
        <v>Grun</v>
      </c>
      <c r="F103" s="35">
        <f>D103/C103</f>
        <v>8.571428571428571</v>
      </c>
      <c r="G103" t="str">
        <f>IF(WEEKDAY(A103,2)&gt;5,"Weekend","Weekday")</f>
        <v>Weekend</v>
      </c>
      <c r="H103" s="32">
        <f>A103-WEEKDAY(A103,2)+1</f>
        <v>42016.0</v>
      </c>
      <c r="I103" t="str">
        <f>CHOOSE(WEEKDAY(A103,2),"Mon","Tue","Wed","Thu","Fri","Sat","Sun")</f>
        <v>Sat</v>
      </c>
    </row>
    <row r="104" spans="1:9">
      <c r="A104" s="32">
        <v>42022</v>
      </c>
      <c r="B104" t="s">
        <v>0</v>
      </c>
      <c r="C104">
        <v>177</v>
      </c>
      <c r="D104">
        <v>1521</v>
      </c>
      <c r="E104" t="str">
        <f>VLOOKUP(B104,BaseTable,2,FALSE)</f>
        <v>Unter</v>
      </c>
      <c r="F104" s="35">
        <f>D104/C104</f>
        <v>8.59322033898305</v>
      </c>
      <c r="G104" t="str">
        <f>IF(WEEKDAY(A104,2)&gt;5,"Weekend","Weekday")</f>
        <v>Weekend</v>
      </c>
      <c r="H104" s="32">
        <f>A104-WEEKDAY(A104,2)+1</f>
        <v>42016.0</v>
      </c>
      <c r="I104" t="str">
        <f>CHOOSE(WEEKDAY(A104,2),"Mon","Tue","Wed","Thu","Fri","Sat","Sun")</f>
        <v>Sun</v>
      </c>
    </row>
    <row r="105" spans="1:9">
      <c r="A105" s="32">
        <v>42022</v>
      </c>
      <c r="B105" t="s">
        <v>1</v>
      </c>
      <c r="C105">
        <v>869</v>
      </c>
      <c r="D105">
        <v>9443</v>
      </c>
      <c r="E105" t="str">
        <f>VLOOKUP(B105,BaseTable,2,FALSE)</f>
        <v>Hinter</v>
      </c>
      <c r="F105" s="35">
        <f>D105/C105</f>
        <v>10.866513233601841</v>
      </c>
      <c r="G105" t="str">
        <f>IF(WEEKDAY(A105,2)&gt;5,"Weekend","Weekday")</f>
        <v>Weekend</v>
      </c>
      <c r="H105" s="32">
        <f>A105-WEEKDAY(A105,2)+1</f>
        <v>42016.0</v>
      </c>
      <c r="I105" t="str">
        <f>CHOOSE(WEEKDAY(A105,2),"Mon","Tue","Wed","Thu","Fri","Sat","Sun")</f>
        <v>Sun</v>
      </c>
    </row>
    <row r="106" spans="1:9">
      <c r="A106" s="32">
        <v>42022</v>
      </c>
      <c r="B106" t="s">
        <v>2</v>
      </c>
      <c r="C106">
        <v>1223</v>
      </c>
      <c r="D106">
        <v>12879</v>
      </c>
      <c r="E106" t="str">
        <f>VLOOKUP(B106,BaseTable,2,FALSE)</f>
        <v>Weiter</v>
      </c>
      <c r="F106" s="35">
        <f>D106/C106</f>
        <v>10.530662305805397</v>
      </c>
      <c r="G106" t="str">
        <f>IF(WEEKDAY(A106,2)&gt;5,"Weekend","Weekday")</f>
        <v>Weekend</v>
      </c>
      <c r="H106" s="32">
        <f>A106-WEEKDAY(A106,2)+1</f>
        <v>42016.0</v>
      </c>
      <c r="I106" t="str">
        <f>CHOOSE(WEEKDAY(A106,2),"Mon","Tue","Wed","Thu","Fri","Sat","Sun")</f>
        <v>Sun</v>
      </c>
    </row>
    <row r="107" spans="1:9">
      <c r="A107" s="32">
        <v>42022</v>
      </c>
      <c r="B107" t="s">
        <v>3</v>
      </c>
      <c r="C107">
        <v>1056</v>
      </c>
      <c r="D107">
        <v>11161</v>
      </c>
      <c r="E107" t="str">
        <f>VLOOKUP(B107,BaseTable,2,FALSE)</f>
        <v>Schmecken</v>
      </c>
      <c r="F107" s="35">
        <f>D107/C107</f>
        <v>10.569128787878787</v>
      </c>
      <c r="G107" t="str">
        <f>IF(WEEKDAY(A107,2)&gt;5,"Weekend","Weekday")</f>
        <v>Weekend</v>
      </c>
      <c r="H107" s="32">
        <f>A107-WEEKDAY(A107,2)+1</f>
        <v>42016.0</v>
      </c>
      <c r="I107" t="str">
        <f>CHOOSE(WEEKDAY(A107,2),"Mon","Tue","Wed","Thu","Fri","Sat","Sun")</f>
        <v>Sun</v>
      </c>
    </row>
    <row r="108" spans="1:9">
      <c r="A108" s="32">
        <v>42022</v>
      </c>
      <c r="B108" t="s">
        <v>4</v>
      </c>
      <c r="C108">
        <v>3290</v>
      </c>
      <c r="D108">
        <v>35182</v>
      </c>
      <c r="E108" t="str">
        <f>VLOOKUP(B108,BaseTable,2,FALSE)</f>
        <v>Danach-NY</v>
      </c>
      <c r="F108" s="35">
        <f>D108/C108</f>
        <v>10.693617021276596</v>
      </c>
      <c r="G108" t="str">
        <f>IF(WEEKDAY(A108,2)&gt;5,"Weekend","Weekday")</f>
        <v>Weekend</v>
      </c>
      <c r="H108" s="32">
        <f>A108-WEEKDAY(A108,2)+1</f>
        <v>42016.0</v>
      </c>
      <c r="I108" t="str">
        <f>CHOOSE(WEEKDAY(A108,2),"Mon","Tue","Wed","Thu","Fri","Sat","Sun")</f>
        <v>Sun</v>
      </c>
    </row>
    <row r="109" spans="1:9">
      <c r="A109" s="32">
        <v>42022</v>
      </c>
      <c r="B109" t="s">
        <v>5</v>
      </c>
      <c r="C109">
        <v>248</v>
      </c>
      <c r="D109">
        <v>2287</v>
      </c>
      <c r="E109" t="str">
        <f>VLOOKUP(B109,BaseTable,2,FALSE)</f>
        <v>Grun</v>
      </c>
      <c r="F109" s="35">
        <f>D109/C109</f>
        <v>9.221774193548388</v>
      </c>
      <c r="G109" t="str">
        <f>IF(WEEKDAY(A109,2)&gt;5,"Weekend","Weekday")</f>
        <v>Weekend</v>
      </c>
      <c r="H109" s="32">
        <f>A109-WEEKDAY(A109,2)+1</f>
        <v>42016.0</v>
      </c>
      <c r="I109" t="str">
        <f>CHOOSE(WEEKDAY(A109,2),"Mon","Tue","Wed","Thu","Fri","Sat","Sun")</f>
        <v>Sun</v>
      </c>
    </row>
    <row r="110" spans="1:9">
      <c r="A110" s="32">
        <v>42023</v>
      </c>
      <c r="B110" t="s">
        <v>0</v>
      </c>
      <c r="C110">
        <v>168</v>
      </c>
      <c r="D110">
        <v>1025</v>
      </c>
      <c r="E110" t="str">
        <f>VLOOKUP(B110,BaseTable,2,FALSE)</f>
        <v>Unter</v>
      </c>
      <c r="F110" s="35">
        <f>D110/C110</f>
        <v>6.101190476190476</v>
      </c>
      <c r="G110" t="str">
        <f>IF(WEEKDAY(A110,2)&gt;5,"Weekend","Weekday")</f>
        <v>Weekday</v>
      </c>
      <c r="H110" s="32">
        <f>A110-WEEKDAY(A110,2)+1</f>
        <v>42023.0</v>
      </c>
      <c r="I110" t="str">
        <f>CHOOSE(WEEKDAY(A110,2),"Mon","Tue","Wed","Thu","Fri","Sat","Sun")</f>
        <v>Mon</v>
      </c>
    </row>
    <row r="111" spans="1:9">
      <c r="A111" s="32">
        <v>42023</v>
      </c>
      <c r="B111" t="s">
        <v>1</v>
      </c>
      <c r="C111">
        <v>706</v>
      </c>
      <c r="D111">
        <v>5609</v>
      </c>
      <c r="E111" t="str">
        <f>VLOOKUP(B111,BaseTable,2,FALSE)</f>
        <v>Hinter</v>
      </c>
      <c r="F111" s="35">
        <f>D111/C111</f>
        <v>7.944759206798867</v>
      </c>
      <c r="G111" t="str">
        <f>IF(WEEKDAY(A111,2)&gt;5,"Weekend","Weekday")</f>
        <v>Weekday</v>
      </c>
      <c r="H111" s="32">
        <f>A111-WEEKDAY(A111,2)+1</f>
        <v>42023.0</v>
      </c>
      <c r="I111" t="str">
        <f>CHOOSE(WEEKDAY(A111,2),"Mon","Tue","Wed","Thu","Fri","Sat","Sun")</f>
        <v>Mon</v>
      </c>
    </row>
    <row r="112" spans="1:9">
      <c r="A112" s="32">
        <v>42023</v>
      </c>
      <c r="B112" t="s">
        <v>2</v>
      </c>
      <c r="C112">
        <v>992</v>
      </c>
      <c r="D112">
        <v>7775</v>
      </c>
      <c r="E112" t="str">
        <f>VLOOKUP(B112,BaseTable,2,FALSE)</f>
        <v>Weiter</v>
      </c>
      <c r="F112" s="35">
        <f>D112/C112</f>
        <v>7.837701612903226</v>
      </c>
      <c r="G112" t="str">
        <f>IF(WEEKDAY(A112,2)&gt;5,"Weekend","Weekday")</f>
        <v>Weekday</v>
      </c>
      <c r="H112" s="32">
        <f>A112-WEEKDAY(A112,2)+1</f>
        <v>42023.0</v>
      </c>
      <c r="I112" t="str">
        <f>CHOOSE(WEEKDAY(A112,2),"Mon","Tue","Wed","Thu","Fri","Sat","Sun")</f>
        <v>Mon</v>
      </c>
    </row>
    <row r="113" spans="1:9">
      <c r="A113" s="32">
        <v>42023</v>
      </c>
      <c r="B113" t="s">
        <v>3</v>
      </c>
      <c r="C113">
        <v>883</v>
      </c>
      <c r="D113">
        <v>7028</v>
      </c>
      <c r="E113" t="str">
        <f>VLOOKUP(B113,BaseTable,2,FALSE)</f>
        <v>Schmecken</v>
      </c>
      <c r="F113" s="35">
        <f>D113/C113</f>
        <v>7.959229898074745</v>
      </c>
      <c r="G113" t="str">
        <f>IF(WEEKDAY(A113,2)&gt;5,"Weekend","Weekday")</f>
        <v>Weekday</v>
      </c>
      <c r="H113" s="32">
        <f>A113-WEEKDAY(A113,2)+1</f>
        <v>42023.0</v>
      </c>
      <c r="I113" t="str">
        <f>CHOOSE(WEEKDAY(A113,2),"Mon","Tue","Wed","Thu","Fri","Sat","Sun")</f>
        <v>Mon</v>
      </c>
    </row>
    <row r="114" spans="1:9">
      <c r="A114" s="32">
        <v>42023</v>
      </c>
      <c r="B114" t="s">
        <v>4</v>
      </c>
      <c r="C114">
        <v>2958</v>
      </c>
      <c r="D114">
        <v>22750</v>
      </c>
      <c r="E114" t="str">
        <f>VLOOKUP(B114,BaseTable,2,FALSE)</f>
        <v>Danach-NY</v>
      </c>
      <c r="F114" s="35">
        <f>D114/C114</f>
        <v>7.691007437457742</v>
      </c>
      <c r="G114" t="str">
        <f>IF(WEEKDAY(A114,2)&gt;5,"Weekend","Weekday")</f>
        <v>Weekday</v>
      </c>
      <c r="H114" s="32">
        <f>A114-WEEKDAY(A114,2)+1</f>
        <v>42023.0</v>
      </c>
      <c r="I114" t="str">
        <f>CHOOSE(WEEKDAY(A114,2),"Mon","Tue","Wed","Thu","Fri","Sat","Sun")</f>
        <v>Mon</v>
      </c>
    </row>
    <row r="115" spans="1:9">
      <c r="A115" s="32">
        <v>42023</v>
      </c>
      <c r="B115" t="s">
        <v>5</v>
      </c>
      <c r="C115">
        <v>238</v>
      </c>
      <c r="D115">
        <v>1568</v>
      </c>
      <c r="E115" t="str">
        <f>VLOOKUP(B115,BaseTable,2,FALSE)</f>
        <v>Grun</v>
      </c>
      <c r="F115" s="35">
        <f>D115/C115</f>
        <v>6.588235294117647</v>
      </c>
      <c r="G115" t="str">
        <f>IF(WEEKDAY(A115,2)&gt;5,"Weekend","Weekday")</f>
        <v>Weekday</v>
      </c>
      <c r="H115" s="32">
        <f>A115-WEEKDAY(A115,2)+1</f>
        <v>42023.0</v>
      </c>
      <c r="I115" t="str">
        <f>CHOOSE(WEEKDAY(A115,2),"Mon","Tue","Wed","Thu","Fri","Sat","Sun")</f>
        <v>Mon</v>
      </c>
    </row>
    <row r="116" spans="1:9">
      <c r="A116" s="32">
        <v>42024</v>
      </c>
      <c r="B116" t="s">
        <v>0</v>
      </c>
      <c r="C116">
        <v>221</v>
      </c>
      <c r="D116">
        <v>1310</v>
      </c>
      <c r="E116" t="str">
        <f>VLOOKUP(B116,BaseTable,2,FALSE)</f>
        <v>Unter</v>
      </c>
      <c r="F116" s="35">
        <f>D116/C116</f>
        <v>5.927601809954751</v>
      </c>
      <c r="G116" t="str">
        <f>IF(WEEKDAY(A116,2)&gt;5,"Weekend","Weekday")</f>
        <v>Weekday</v>
      </c>
      <c r="H116" s="32">
        <f>A116-WEEKDAY(A116,2)+1</f>
        <v>42023.0</v>
      </c>
      <c r="I116" t="str">
        <f>CHOOSE(WEEKDAY(A116,2),"Mon","Tue","Wed","Thu","Fri","Sat","Sun")</f>
        <v>Tue</v>
      </c>
    </row>
    <row r="117" spans="1:9">
      <c r="A117" s="32">
        <v>42024</v>
      </c>
      <c r="B117" t="s">
        <v>1</v>
      </c>
      <c r="C117">
        <v>944</v>
      </c>
      <c r="D117">
        <v>7206</v>
      </c>
      <c r="E117" t="str">
        <f>VLOOKUP(B117,BaseTable,2,FALSE)</f>
        <v>Hinter</v>
      </c>
      <c r="F117" s="35">
        <f>D117/C117</f>
        <v>7.633474576271187</v>
      </c>
      <c r="G117" t="str">
        <f>IF(WEEKDAY(A117,2)&gt;5,"Weekend","Weekday")</f>
        <v>Weekday</v>
      </c>
      <c r="H117" s="32">
        <f>A117-WEEKDAY(A117,2)+1</f>
        <v>42023.0</v>
      </c>
      <c r="I117" t="str">
        <f>CHOOSE(WEEKDAY(A117,2),"Mon","Tue","Wed","Thu","Fri","Sat","Sun")</f>
        <v>Tue</v>
      </c>
    </row>
    <row r="118" spans="1:9">
      <c r="A118" s="32">
        <v>42024</v>
      </c>
      <c r="B118" t="s">
        <v>2</v>
      </c>
      <c r="C118">
        <v>1350</v>
      </c>
      <c r="D118">
        <v>10015</v>
      </c>
      <c r="E118" t="str">
        <f>VLOOKUP(B118,BaseTable,2,FALSE)</f>
        <v>Weiter</v>
      </c>
      <c r="F118" s="35">
        <f>D118/C118</f>
        <v>7.4185185185185185</v>
      </c>
      <c r="G118" t="str">
        <f>IF(WEEKDAY(A118,2)&gt;5,"Weekend","Weekday")</f>
        <v>Weekday</v>
      </c>
      <c r="H118" s="32">
        <f>A118-WEEKDAY(A118,2)+1</f>
        <v>42023.0</v>
      </c>
      <c r="I118" t="str">
        <f>CHOOSE(WEEKDAY(A118,2),"Mon","Tue","Wed","Thu","Fri","Sat","Sun")</f>
        <v>Tue</v>
      </c>
    </row>
    <row r="119" spans="1:9">
      <c r="A119" s="32">
        <v>42024</v>
      </c>
      <c r="B119" t="s">
        <v>3</v>
      </c>
      <c r="C119">
        <v>1151</v>
      </c>
      <c r="D119">
        <v>8496</v>
      </c>
      <c r="E119" t="str">
        <f>VLOOKUP(B119,BaseTable,2,FALSE)</f>
        <v>Schmecken</v>
      </c>
      <c r="F119" s="35">
        <f>D119/C119</f>
        <v>7.3814074717636835</v>
      </c>
      <c r="G119" t="str">
        <f>IF(WEEKDAY(A119,2)&gt;5,"Weekend","Weekday")</f>
        <v>Weekday</v>
      </c>
      <c r="H119" s="32">
        <f>A119-WEEKDAY(A119,2)+1</f>
        <v>42023.0</v>
      </c>
      <c r="I119" t="str">
        <f>CHOOSE(WEEKDAY(A119,2),"Mon","Tue","Wed","Thu","Fri","Sat","Sun")</f>
        <v>Tue</v>
      </c>
    </row>
    <row r="120" spans="1:9">
      <c r="A120" s="32">
        <v>42024</v>
      </c>
      <c r="B120" t="s">
        <v>4</v>
      </c>
      <c r="C120">
        <v>3654</v>
      </c>
      <c r="D120">
        <v>26137</v>
      </c>
      <c r="E120" t="str">
        <f>VLOOKUP(B120,BaseTable,2,FALSE)</f>
        <v>Danach-NY</v>
      </c>
      <c r="F120" s="35">
        <f>D120/C120</f>
        <v>7.152983032293377</v>
      </c>
      <c r="G120" t="str">
        <f>IF(WEEKDAY(A120,2)&gt;5,"Weekend","Weekday")</f>
        <v>Weekday</v>
      </c>
      <c r="H120" s="32">
        <f>A120-WEEKDAY(A120,2)+1</f>
        <v>42023.0</v>
      </c>
      <c r="I120" t="str">
        <f>CHOOSE(WEEKDAY(A120,2),"Mon","Tue","Wed","Thu","Fri","Sat","Sun")</f>
        <v>Tue</v>
      </c>
    </row>
    <row r="121" spans="1:9">
      <c r="A121" s="32">
        <v>42024</v>
      </c>
      <c r="B121" t="s">
        <v>5</v>
      </c>
      <c r="C121">
        <v>272</v>
      </c>
      <c r="D121">
        <v>1608</v>
      </c>
      <c r="E121" t="str">
        <f>VLOOKUP(B121,BaseTable,2,FALSE)</f>
        <v>Grun</v>
      </c>
      <c r="F121" s="35">
        <f>D121/C121</f>
        <v>5.911764705882353</v>
      </c>
      <c r="G121" t="str">
        <f>IF(WEEKDAY(A121,2)&gt;5,"Weekend","Weekday")</f>
        <v>Weekday</v>
      </c>
      <c r="H121" s="32">
        <f>A121-WEEKDAY(A121,2)+1</f>
        <v>42023.0</v>
      </c>
      <c r="I121" t="str">
        <f>CHOOSE(WEEKDAY(A121,2),"Mon","Tue","Wed","Thu","Fri","Sat","Sun")</f>
        <v>Tue</v>
      </c>
    </row>
    <row r="122" spans="1:9">
      <c r="A122" s="32">
        <v>42025</v>
      </c>
      <c r="B122" t="s">
        <v>0</v>
      </c>
      <c r="C122">
        <v>242</v>
      </c>
      <c r="D122">
        <v>1519</v>
      </c>
      <c r="E122" t="str">
        <f>VLOOKUP(B122,BaseTable,2,FALSE)</f>
        <v>Unter</v>
      </c>
      <c r="F122" s="35">
        <f>D122/C122</f>
        <v>6.276859504132231</v>
      </c>
      <c r="G122" t="str">
        <f>IF(WEEKDAY(A122,2)&gt;5,"Weekend","Weekday")</f>
        <v>Weekday</v>
      </c>
      <c r="H122" s="32">
        <f>A122-WEEKDAY(A122,2)+1</f>
        <v>42023.0</v>
      </c>
      <c r="I122" t="str">
        <f>CHOOSE(WEEKDAY(A122,2),"Mon","Tue","Wed","Thu","Fri","Sat","Sun")</f>
        <v>Wed</v>
      </c>
    </row>
    <row r="123" spans="1:9">
      <c r="A123" s="32">
        <v>42025</v>
      </c>
      <c r="B123" t="s">
        <v>1</v>
      </c>
      <c r="C123">
        <v>1035</v>
      </c>
      <c r="D123">
        <v>8041</v>
      </c>
      <c r="E123" t="str">
        <f>VLOOKUP(B123,BaseTable,2,FALSE)</f>
        <v>Hinter</v>
      </c>
      <c r="F123" s="35">
        <f>D123/C123</f>
        <v>7.769082125603865</v>
      </c>
      <c r="G123" t="str">
        <f>IF(WEEKDAY(A123,2)&gt;5,"Weekend","Weekday")</f>
        <v>Weekday</v>
      </c>
      <c r="H123" s="32">
        <f>A123-WEEKDAY(A123,2)+1</f>
        <v>42023.0</v>
      </c>
      <c r="I123" t="str">
        <f>CHOOSE(WEEKDAY(A123,2),"Mon","Tue","Wed","Thu","Fri","Sat","Sun")</f>
        <v>Wed</v>
      </c>
    </row>
    <row r="124" spans="1:9">
      <c r="A124" s="32">
        <v>42025</v>
      </c>
      <c r="B124" t="s">
        <v>2</v>
      </c>
      <c r="C124">
        <v>1429</v>
      </c>
      <c r="D124">
        <v>10997</v>
      </c>
      <c r="E124" t="str">
        <f>VLOOKUP(B124,BaseTable,2,FALSE)</f>
        <v>Weiter</v>
      </c>
      <c r="F124" s="35">
        <f>D124/C124</f>
        <v>7.695591322603219</v>
      </c>
      <c r="G124" t="str">
        <f>IF(WEEKDAY(A124,2)&gt;5,"Weekend","Weekday")</f>
        <v>Weekday</v>
      </c>
      <c r="H124" s="32">
        <f>A124-WEEKDAY(A124,2)+1</f>
        <v>42023.0</v>
      </c>
      <c r="I124" t="str">
        <f>CHOOSE(WEEKDAY(A124,2),"Mon","Tue","Wed","Thu","Fri","Sat","Sun")</f>
        <v>Wed</v>
      </c>
    </row>
    <row r="125" spans="1:9">
      <c r="A125" s="32">
        <v>42025</v>
      </c>
      <c r="B125" t="s">
        <v>3</v>
      </c>
      <c r="C125">
        <v>1228</v>
      </c>
      <c r="D125">
        <v>9472</v>
      </c>
      <c r="E125" t="str">
        <f>VLOOKUP(B125,BaseTable,2,FALSE)</f>
        <v>Schmecken</v>
      </c>
      <c r="F125" s="35">
        <f>D125/C125</f>
        <v>7.713355048859935</v>
      </c>
      <c r="G125" t="str">
        <f>IF(WEEKDAY(A125,2)&gt;5,"Weekend","Weekday")</f>
        <v>Weekday</v>
      </c>
      <c r="H125" s="32">
        <f>A125-WEEKDAY(A125,2)+1</f>
        <v>42023.0</v>
      </c>
      <c r="I125" t="str">
        <f>CHOOSE(WEEKDAY(A125,2),"Mon","Tue","Wed","Thu","Fri","Sat","Sun")</f>
        <v>Wed</v>
      </c>
    </row>
    <row r="126" spans="1:9">
      <c r="A126" s="32">
        <v>42025</v>
      </c>
      <c r="B126" t="s">
        <v>4</v>
      </c>
      <c r="C126">
        <v>3718</v>
      </c>
      <c r="D126">
        <v>27344</v>
      </c>
      <c r="E126" t="str">
        <f>VLOOKUP(B126,BaseTable,2,FALSE)</f>
        <v>Danach-NY</v>
      </c>
      <c r="F126" s="35">
        <f>D126/C126</f>
        <v>7.35449166218397</v>
      </c>
      <c r="G126" t="str">
        <f>IF(WEEKDAY(A126,2)&gt;5,"Weekend","Weekday")</f>
        <v>Weekday</v>
      </c>
      <c r="H126" s="32">
        <f>A126-WEEKDAY(A126,2)+1</f>
        <v>42023.0</v>
      </c>
      <c r="I126" t="str">
        <f>CHOOSE(WEEKDAY(A126,2),"Mon","Tue","Wed","Thu","Fri","Sat","Sun")</f>
        <v>Wed</v>
      </c>
    </row>
    <row r="127" spans="1:9">
      <c r="A127" s="32">
        <v>42025</v>
      </c>
      <c r="B127" t="s">
        <v>5</v>
      </c>
      <c r="C127">
        <v>296</v>
      </c>
      <c r="D127">
        <v>1774</v>
      </c>
      <c r="E127" t="str">
        <f>VLOOKUP(B127,BaseTable,2,FALSE)</f>
        <v>Grun</v>
      </c>
      <c r="F127" s="35">
        <f>D127/C127</f>
        <v>5.993243243243243</v>
      </c>
      <c r="G127" t="str">
        <f>IF(WEEKDAY(A127,2)&gt;5,"Weekend","Weekday")</f>
        <v>Weekday</v>
      </c>
      <c r="H127" s="32">
        <f>A127-WEEKDAY(A127,2)+1</f>
        <v>42023.0</v>
      </c>
      <c r="I127" t="str">
        <f>CHOOSE(WEEKDAY(A127,2),"Mon","Tue","Wed","Thu","Fri","Sat","Sun")</f>
        <v>Wed</v>
      </c>
    </row>
    <row r="128" spans="1:9">
      <c r="A128" s="32">
        <v>42026</v>
      </c>
      <c r="B128" t="s">
        <v>0</v>
      </c>
      <c r="C128">
        <v>246</v>
      </c>
      <c r="D128">
        <v>1551</v>
      </c>
      <c r="E128" t="str">
        <f>VLOOKUP(B128,BaseTable,2,FALSE)</f>
        <v>Unter</v>
      </c>
      <c r="F128" s="35">
        <f>D128/C128</f>
        <v>6.304878048780488</v>
      </c>
      <c r="G128" t="str">
        <f>IF(WEEKDAY(A128,2)&gt;5,"Weekend","Weekday")</f>
        <v>Weekday</v>
      </c>
      <c r="H128" s="32">
        <f>A128-WEEKDAY(A128,2)+1</f>
        <v>42023.0</v>
      </c>
      <c r="I128" t="str">
        <f>CHOOSE(WEEKDAY(A128,2),"Mon","Tue","Wed","Thu","Fri","Sat","Sun")</f>
        <v>Thu</v>
      </c>
    </row>
    <row r="129" spans="1:9">
      <c r="A129" s="32">
        <v>42026</v>
      </c>
      <c r="B129" t="s">
        <v>1</v>
      </c>
      <c r="C129">
        <v>1071</v>
      </c>
      <c r="D129">
        <v>9080</v>
      </c>
      <c r="E129" t="str">
        <f>VLOOKUP(B129,BaseTable,2,FALSE)</f>
        <v>Hinter</v>
      </c>
      <c r="F129" s="35">
        <f>D129/C129</f>
        <v>8.478057889822596</v>
      </c>
      <c r="G129" t="str">
        <f>IF(WEEKDAY(A129,2)&gt;5,"Weekend","Weekday")</f>
        <v>Weekday</v>
      </c>
      <c r="H129" s="32">
        <f>A129-WEEKDAY(A129,2)+1</f>
        <v>42023.0</v>
      </c>
      <c r="I129" t="str">
        <f>CHOOSE(WEEKDAY(A129,2),"Mon","Tue","Wed","Thu","Fri","Sat","Sun")</f>
        <v>Thu</v>
      </c>
    </row>
    <row r="130" spans="1:9">
      <c r="A130" s="32">
        <v>42026</v>
      </c>
      <c r="B130" t="s">
        <v>2</v>
      </c>
      <c r="C130">
        <v>1471</v>
      </c>
      <c r="D130">
        <v>12143</v>
      </c>
      <c r="E130" t="str">
        <f>VLOOKUP(B130,BaseTable,2,FALSE)</f>
        <v>Weiter</v>
      </c>
      <c r="F130" s="35">
        <f>D130/C130</f>
        <v>8.254928619986403</v>
      </c>
      <c r="G130" t="str">
        <f>IF(WEEKDAY(A130,2)&gt;5,"Weekend","Weekday")</f>
        <v>Weekday</v>
      </c>
      <c r="H130" s="32">
        <f>A130-WEEKDAY(A130,2)+1</f>
        <v>42023.0</v>
      </c>
      <c r="I130" t="str">
        <f>CHOOSE(WEEKDAY(A130,2),"Mon","Tue","Wed","Thu","Fri","Sat","Sun")</f>
        <v>Thu</v>
      </c>
    </row>
    <row r="131" spans="1:9">
      <c r="A131" s="32">
        <v>42026</v>
      </c>
      <c r="B131" t="s">
        <v>3</v>
      </c>
      <c r="C131">
        <v>1295</v>
      </c>
      <c r="D131">
        <v>10699</v>
      </c>
      <c r="E131" t="str">
        <f>VLOOKUP(B131,BaseTable,2,FALSE)</f>
        <v>Schmecken</v>
      </c>
      <c r="F131" s="35">
        <f>D131/C131</f>
        <v>8.261776061776061</v>
      </c>
      <c r="G131" t="str">
        <f>IF(WEEKDAY(A131,2)&gt;5,"Weekend","Weekday")</f>
        <v>Weekday</v>
      </c>
      <c r="H131" s="32">
        <f>A131-WEEKDAY(A131,2)+1</f>
        <v>42023.0</v>
      </c>
      <c r="I131" t="str">
        <f>CHOOSE(WEEKDAY(A131,2),"Mon","Tue","Wed","Thu","Fri","Sat","Sun")</f>
        <v>Thu</v>
      </c>
    </row>
    <row r="132" spans="1:9">
      <c r="A132" s="32">
        <v>42026</v>
      </c>
      <c r="B132" t="s">
        <v>4</v>
      </c>
      <c r="C132">
        <v>3889</v>
      </c>
      <c r="D132">
        <v>30091</v>
      </c>
      <c r="E132" t="str">
        <f>VLOOKUP(B132,BaseTable,2,FALSE)</f>
        <v>Danach-NY</v>
      </c>
      <c r="F132" s="35">
        <f>D132/C132</f>
        <v>7.737464643867318</v>
      </c>
      <c r="G132" t="str">
        <f>IF(WEEKDAY(A132,2)&gt;5,"Weekend","Weekday")</f>
        <v>Weekday</v>
      </c>
      <c r="H132" s="32">
        <f>A132-WEEKDAY(A132,2)+1</f>
        <v>42023.0</v>
      </c>
      <c r="I132" t="str">
        <f>CHOOSE(WEEKDAY(A132,2),"Mon","Tue","Wed","Thu","Fri","Sat","Sun")</f>
        <v>Thu</v>
      </c>
    </row>
    <row r="133" spans="1:9">
      <c r="A133" s="32">
        <v>42026</v>
      </c>
      <c r="B133" t="s">
        <v>5</v>
      </c>
      <c r="C133">
        <v>295</v>
      </c>
      <c r="D133">
        <v>2038</v>
      </c>
      <c r="E133" t="str">
        <f>VLOOKUP(B133,BaseTable,2,FALSE)</f>
        <v>Grun</v>
      </c>
      <c r="F133" s="35">
        <f>D133/C133</f>
        <v>6.908474576271186</v>
      </c>
      <c r="G133" t="str">
        <f>IF(WEEKDAY(A133,2)&gt;5,"Weekend","Weekday")</f>
        <v>Weekday</v>
      </c>
      <c r="H133" s="32">
        <f>A133-WEEKDAY(A133,2)+1</f>
        <v>42023.0</v>
      </c>
      <c r="I133" t="str">
        <f>CHOOSE(WEEKDAY(A133,2),"Mon","Tue","Wed","Thu","Fri","Sat","Sun")</f>
        <v>Thu</v>
      </c>
    </row>
    <row r="134" spans="1:9">
      <c r="A134" s="32">
        <v>42027</v>
      </c>
      <c r="B134" t="s">
        <v>0</v>
      </c>
      <c r="C134">
        <v>246</v>
      </c>
      <c r="D134">
        <v>1670</v>
      </c>
      <c r="E134" t="str">
        <f>VLOOKUP(B134,BaseTable,2,FALSE)</f>
        <v>Unter</v>
      </c>
      <c r="F134" s="35">
        <f>D134/C134</f>
        <v>6.788617886178862</v>
      </c>
      <c r="G134" t="str">
        <f>IF(WEEKDAY(A134,2)&gt;5,"Weekend","Weekday")</f>
        <v>Weekday</v>
      </c>
      <c r="H134" s="32">
        <f>A134-WEEKDAY(A134,2)+1</f>
        <v>42023.0</v>
      </c>
      <c r="I134" t="str">
        <f>CHOOSE(WEEKDAY(A134,2),"Mon","Tue","Wed","Thu","Fri","Sat","Sun")</f>
        <v>Fri</v>
      </c>
    </row>
    <row r="135" spans="1:9">
      <c r="A135" s="32">
        <v>42027</v>
      </c>
      <c r="B135" t="s">
        <v>1</v>
      </c>
      <c r="C135">
        <v>1093</v>
      </c>
      <c r="D135">
        <v>9343</v>
      </c>
      <c r="E135" t="str">
        <f>VLOOKUP(B135,BaseTable,2,FALSE)</f>
        <v>Hinter</v>
      </c>
      <c r="F135" s="35">
        <f>D135/C135</f>
        <v>8.548032936870998</v>
      </c>
      <c r="G135" t="str">
        <f>IF(WEEKDAY(A135,2)&gt;5,"Weekend","Weekday")</f>
        <v>Weekday</v>
      </c>
      <c r="H135" s="32">
        <f>A135-WEEKDAY(A135,2)+1</f>
        <v>42023.0</v>
      </c>
      <c r="I135" t="str">
        <f>CHOOSE(WEEKDAY(A135,2),"Mon","Tue","Wed","Thu","Fri","Sat","Sun")</f>
        <v>Fri</v>
      </c>
    </row>
    <row r="136" spans="1:9">
      <c r="A136" s="32">
        <v>42027</v>
      </c>
      <c r="B136" t="s">
        <v>2</v>
      </c>
      <c r="C136">
        <v>1482</v>
      </c>
      <c r="D136">
        <v>13121</v>
      </c>
      <c r="E136" t="str">
        <f>VLOOKUP(B136,BaseTable,2,FALSE)</f>
        <v>Weiter</v>
      </c>
      <c r="F136" s="35">
        <f>D136/C136</f>
        <v>8.85357624831309</v>
      </c>
      <c r="G136" t="str">
        <f>IF(WEEKDAY(A136,2)&gt;5,"Weekend","Weekday")</f>
        <v>Weekday</v>
      </c>
      <c r="H136" s="32">
        <f>A136-WEEKDAY(A136,2)+1</f>
        <v>42023.0</v>
      </c>
      <c r="I136" t="str">
        <f>CHOOSE(WEEKDAY(A136,2),"Mon","Tue","Wed","Thu","Fri","Sat","Sun")</f>
        <v>Fri</v>
      </c>
    </row>
    <row r="137" spans="1:9">
      <c r="A137" s="32">
        <v>42027</v>
      </c>
      <c r="B137" t="s">
        <v>3</v>
      </c>
      <c r="C137">
        <v>1330</v>
      </c>
      <c r="D137">
        <v>11767</v>
      </c>
      <c r="E137" t="str">
        <f>VLOOKUP(B137,BaseTable,2,FALSE)</f>
        <v>Schmecken</v>
      </c>
      <c r="F137" s="35">
        <f>D137/C137</f>
        <v>8.847368421052632</v>
      </c>
      <c r="G137" t="str">
        <f>IF(WEEKDAY(A137,2)&gt;5,"Weekend","Weekday")</f>
        <v>Weekday</v>
      </c>
      <c r="H137" s="32">
        <f>A137-WEEKDAY(A137,2)+1</f>
        <v>42023.0</v>
      </c>
      <c r="I137" t="str">
        <f>CHOOSE(WEEKDAY(A137,2),"Mon","Tue","Wed","Thu","Fri","Sat","Sun")</f>
        <v>Fri</v>
      </c>
    </row>
    <row r="138" spans="1:9">
      <c r="A138" s="32">
        <v>42027</v>
      </c>
      <c r="B138" t="s">
        <v>4</v>
      </c>
      <c r="C138">
        <v>4040</v>
      </c>
      <c r="D138">
        <v>33756</v>
      </c>
      <c r="E138" t="str">
        <f>VLOOKUP(B138,BaseTable,2,FALSE)</f>
        <v>Danach-NY</v>
      </c>
      <c r="F138" s="35">
        <f>D138/C138</f>
        <v>8.355445544554456</v>
      </c>
      <c r="G138" t="str">
        <f>IF(WEEKDAY(A138,2)&gt;5,"Weekend","Weekday")</f>
        <v>Weekday</v>
      </c>
      <c r="H138" s="32">
        <f>A138-WEEKDAY(A138,2)+1</f>
        <v>42023.0</v>
      </c>
      <c r="I138" t="str">
        <f>CHOOSE(WEEKDAY(A138,2),"Mon","Tue","Wed","Thu","Fri","Sat","Sun")</f>
        <v>Fri</v>
      </c>
    </row>
    <row r="139" spans="1:9">
      <c r="A139" s="32">
        <v>42027</v>
      </c>
      <c r="B139" t="s">
        <v>5</v>
      </c>
      <c r="C139">
        <v>299</v>
      </c>
      <c r="D139">
        <v>2162</v>
      </c>
      <c r="E139" t="str">
        <f>VLOOKUP(B139,BaseTable,2,FALSE)</f>
        <v>Grun</v>
      </c>
      <c r="F139" s="35">
        <f>D139/C139</f>
        <v>7.230769230769231</v>
      </c>
      <c r="G139" t="str">
        <f>IF(WEEKDAY(A139,2)&gt;5,"Weekend","Weekday")</f>
        <v>Weekday</v>
      </c>
      <c r="H139" s="32">
        <f>A139-WEEKDAY(A139,2)+1</f>
        <v>42023.0</v>
      </c>
      <c r="I139" t="str">
        <f>CHOOSE(WEEKDAY(A139,2),"Mon","Tue","Wed","Thu","Fri","Sat","Sun")</f>
        <v>Fri</v>
      </c>
    </row>
    <row r="140" spans="1:9">
      <c r="A140" s="32">
        <v>42028</v>
      </c>
      <c r="B140" t="s">
        <v>0</v>
      </c>
      <c r="C140">
        <v>211</v>
      </c>
      <c r="D140">
        <v>1608</v>
      </c>
      <c r="E140" t="str">
        <f>VLOOKUP(B140,BaseTable,2,FALSE)</f>
        <v>Unter</v>
      </c>
      <c r="F140" s="35">
        <f>D140/C140</f>
        <v>7.62085308056872</v>
      </c>
      <c r="G140" t="str">
        <f>IF(WEEKDAY(A140,2)&gt;5,"Weekend","Weekday")</f>
        <v>Weekend</v>
      </c>
      <c r="H140" s="32">
        <f>A140-WEEKDAY(A140,2)+1</f>
        <v>42023.0</v>
      </c>
      <c r="I140" t="str">
        <f>CHOOSE(WEEKDAY(A140,2),"Mon","Tue","Wed","Thu","Fri","Sat","Sun")</f>
        <v>Sat</v>
      </c>
    </row>
    <row r="141" spans="1:9">
      <c r="A141" s="32">
        <v>42028</v>
      </c>
      <c r="B141" t="s">
        <v>1</v>
      </c>
      <c r="C141">
        <v>945</v>
      </c>
      <c r="D141">
        <v>10040</v>
      </c>
      <c r="E141" t="str">
        <f>VLOOKUP(B141,BaseTable,2,FALSE)</f>
        <v>Hinter</v>
      </c>
      <c r="F141" s="35">
        <f>D141/C141</f>
        <v>10.624338624338625</v>
      </c>
      <c r="G141" t="str">
        <f>IF(WEEKDAY(A141,2)&gt;5,"Weekend","Weekday")</f>
        <v>Weekend</v>
      </c>
      <c r="H141" s="32">
        <f>A141-WEEKDAY(A141,2)+1</f>
        <v>42023.0</v>
      </c>
      <c r="I141" t="str">
        <f>CHOOSE(WEEKDAY(A141,2),"Mon","Tue","Wed","Thu","Fri","Sat","Sun")</f>
        <v>Sat</v>
      </c>
    </row>
    <row r="142" spans="1:9">
      <c r="A142" s="32">
        <v>42028</v>
      </c>
      <c r="B142" t="s">
        <v>2</v>
      </c>
      <c r="C142">
        <v>1367</v>
      </c>
      <c r="D142">
        <v>14143</v>
      </c>
      <c r="E142" t="str">
        <f>VLOOKUP(B142,BaseTable,2,FALSE)</f>
        <v>Weiter</v>
      </c>
      <c r="F142" s="35">
        <f>D142/C142</f>
        <v>10.346013167520118</v>
      </c>
      <c r="G142" t="str">
        <f>IF(WEEKDAY(A142,2)&gt;5,"Weekend","Weekday")</f>
        <v>Weekend</v>
      </c>
      <c r="H142" s="32">
        <f>A142-WEEKDAY(A142,2)+1</f>
        <v>42023.0</v>
      </c>
      <c r="I142" t="str">
        <f>CHOOSE(WEEKDAY(A142,2),"Mon","Tue","Wed","Thu","Fri","Sat","Sun")</f>
        <v>Sat</v>
      </c>
    </row>
    <row r="143" spans="1:9">
      <c r="A143" s="32">
        <v>42028</v>
      </c>
      <c r="B143" t="s">
        <v>3</v>
      </c>
      <c r="C143">
        <v>1223</v>
      </c>
      <c r="D143">
        <v>13355</v>
      </c>
      <c r="E143" t="str">
        <f>VLOOKUP(B143,BaseTable,2,FALSE)</f>
        <v>Schmecken</v>
      </c>
      <c r="F143" s="35">
        <f>D143/C143</f>
        <v>10.919869174161898</v>
      </c>
      <c r="G143" t="str">
        <f>IF(WEEKDAY(A143,2)&gt;5,"Weekend","Weekday")</f>
        <v>Weekend</v>
      </c>
      <c r="H143" s="32">
        <f>A143-WEEKDAY(A143,2)+1</f>
        <v>42023.0</v>
      </c>
      <c r="I143" t="str">
        <f>CHOOSE(WEEKDAY(A143,2),"Mon","Tue","Wed","Thu","Fri","Sat","Sun")</f>
        <v>Sat</v>
      </c>
    </row>
    <row r="144" spans="1:9">
      <c r="A144" s="32">
        <v>42028</v>
      </c>
      <c r="B144" t="s">
        <v>4</v>
      </c>
      <c r="C144">
        <v>3652</v>
      </c>
      <c r="D144">
        <v>39187</v>
      </c>
      <c r="E144" t="str">
        <f>VLOOKUP(B144,BaseTable,2,FALSE)</f>
        <v>Danach-NY</v>
      </c>
      <c r="F144" s="35">
        <f>D144/C144</f>
        <v>10.730284775465499</v>
      </c>
      <c r="G144" t="str">
        <f>IF(WEEKDAY(A144,2)&gt;5,"Weekend","Weekday")</f>
        <v>Weekend</v>
      </c>
      <c r="H144" s="32">
        <f>A144-WEEKDAY(A144,2)+1</f>
        <v>42023.0</v>
      </c>
      <c r="I144" t="str">
        <f>CHOOSE(WEEKDAY(A144,2),"Mon","Tue","Wed","Thu","Fri","Sat","Sun")</f>
        <v>Sat</v>
      </c>
    </row>
    <row r="145" spans="1:9">
      <c r="A145" s="32">
        <v>42028</v>
      </c>
      <c r="B145" t="s">
        <v>5</v>
      </c>
      <c r="C145">
        <v>245</v>
      </c>
      <c r="D145">
        <v>2376</v>
      </c>
      <c r="E145" t="str">
        <f>VLOOKUP(B145,BaseTable,2,FALSE)</f>
        <v>Grun</v>
      </c>
      <c r="F145" s="35">
        <f>D145/C145</f>
        <v>9.69795918367347</v>
      </c>
      <c r="G145" t="str">
        <f>IF(WEEKDAY(A145,2)&gt;5,"Weekend","Weekday")</f>
        <v>Weekend</v>
      </c>
      <c r="H145" s="32">
        <f>A145-WEEKDAY(A145,2)+1</f>
        <v>42023.0</v>
      </c>
      <c r="I145" t="str">
        <f>CHOOSE(WEEKDAY(A145,2),"Mon","Tue","Wed","Thu","Fri","Sat","Sun")</f>
        <v>Sat</v>
      </c>
    </row>
    <row r="146" spans="1:9">
      <c r="A146" s="32">
        <v>42029</v>
      </c>
      <c r="B146" t="s">
        <v>0</v>
      </c>
      <c r="C146">
        <v>183</v>
      </c>
      <c r="D146">
        <v>1190</v>
      </c>
      <c r="E146" t="str">
        <f>VLOOKUP(B146,BaseTable,2,FALSE)</f>
        <v>Unter</v>
      </c>
      <c r="F146" s="35">
        <f>D146/C146</f>
        <v>6.502732240437158</v>
      </c>
      <c r="G146" t="str">
        <f>IF(WEEKDAY(A146,2)&gt;5,"Weekend","Weekday")</f>
        <v>Weekend</v>
      </c>
      <c r="H146" s="32">
        <f>A146-WEEKDAY(A146,2)+1</f>
        <v>42023.0</v>
      </c>
      <c r="I146" t="str">
        <f>CHOOSE(WEEKDAY(A146,2),"Mon","Tue","Wed","Thu","Fri","Sat","Sun")</f>
        <v>Sun</v>
      </c>
    </row>
    <row r="147" spans="1:9">
      <c r="A147" s="32">
        <v>42029</v>
      </c>
      <c r="B147" t="s">
        <v>1</v>
      </c>
      <c r="C147">
        <v>829</v>
      </c>
      <c r="D147">
        <v>7219</v>
      </c>
      <c r="E147" t="str">
        <f>VLOOKUP(B147,BaseTable,2,FALSE)</f>
        <v>Hinter</v>
      </c>
      <c r="F147" s="35">
        <f>D147/C147</f>
        <v>8.708082026537998</v>
      </c>
      <c r="G147" t="str">
        <f>IF(WEEKDAY(A147,2)&gt;5,"Weekend","Weekday")</f>
        <v>Weekend</v>
      </c>
      <c r="H147" s="32">
        <f>A147-WEEKDAY(A147,2)+1</f>
        <v>42023.0</v>
      </c>
      <c r="I147" t="str">
        <f>CHOOSE(WEEKDAY(A147,2),"Mon","Tue","Wed","Thu","Fri","Sat","Sun")</f>
        <v>Sun</v>
      </c>
    </row>
    <row r="148" spans="1:9">
      <c r="A148" s="32">
        <v>42029</v>
      </c>
      <c r="B148" t="s">
        <v>2</v>
      </c>
      <c r="C148">
        <v>1203</v>
      </c>
      <c r="D148">
        <v>10362</v>
      </c>
      <c r="E148" t="str">
        <f>VLOOKUP(B148,BaseTable,2,FALSE)</f>
        <v>Weiter</v>
      </c>
      <c r="F148" s="35">
        <f>D148/C148</f>
        <v>8.613466334164588</v>
      </c>
      <c r="G148" t="str">
        <f>IF(WEEKDAY(A148,2)&gt;5,"Weekend","Weekday")</f>
        <v>Weekend</v>
      </c>
      <c r="H148" s="32">
        <f>A148-WEEKDAY(A148,2)+1</f>
        <v>42023.0</v>
      </c>
      <c r="I148" t="str">
        <f>CHOOSE(WEEKDAY(A148,2),"Mon","Tue","Wed","Thu","Fri","Sat","Sun")</f>
        <v>Sun</v>
      </c>
    </row>
    <row r="149" spans="1:9">
      <c r="A149" s="32">
        <v>42029</v>
      </c>
      <c r="B149" t="s">
        <v>3</v>
      </c>
      <c r="C149">
        <v>1046</v>
      </c>
      <c r="D149">
        <v>9303</v>
      </c>
      <c r="E149" t="str">
        <f>VLOOKUP(B149,BaseTable,2,FALSE)</f>
        <v>Schmecken</v>
      </c>
      <c r="F149" s="35">
        <f>D149/C149</f>
        <v>8.893881453154876</v>
      </c>
      <c r="G149" t="str">
        <f>IF(WEEKDAY(A149,2)&gt;5,"Weekend","Weekday")</f>
        <v>Weekend</v>
      </c>
      <c r="H149" s="32">
        <f>A149-WEEKDAY(A149,2)+1</f>
        <v>42023.0</v>
      </c>
      <c r="I149" t="str">
        <f>CHOOSE(WEEKDAY(A149,2),"Mon","Tue","Wed","Thu","Fri","Sat","Sun")</f>
        <v>Sun</v>
      </c>
    </row>
    <row r="150" spans="1:9">
      <c r="A150" s="32">
        <v>42029</v>
      </c>
      <c r="B150" t="s">
        <v>4</v>
      </c>
      <c r="C150">
        <v>3300</v>
      </c>
      <c r="D150">
        <v>28066</v>
      </c>
      <c r="E150" t="str">
        <f>VLOOKUP(B150,BaseTable,2,FALSE)</f>
        <v>Danach-NY</v>
      </c>
      <c r="F150" s="35">
        <f>D150/C150</f>
        <v>8.504848484848484</v>
      </c>
      <c r="G150" t="str">
        <f>IF(WEEKDAY(A150,2)&gt;5,"Weekend","Weekday")</f>
        <v>Weekend</v>
      </c>
      <c r="H150" s="32">
        <f>A150-WEEKDAY(A150,2)+1</f>
        <v>42023.0</v>
      </c>
      <c r="I150" t="str">
        <f>CHOOSE(WEEKDAY(A150,2),"Mon","Tue","Wed","Thu","Fri","Sat","Sun")</f>
        <v>Sun</v>
      </c>
    </row>
    <row r="151" spans="1:9">
      <c r="A151" s="32">
        <v>42029</v>
      </c>
      <c r="B151" t="s">
        <v>5</v>
      </c>
      <c r="C151">
        <v>226</v>
      </c>
      <c r="D151">
        <v>1755</v>
      </c>
      <c r="E151" t="str">
        <f>VLOOKUP(B151,BaseTable,2,FALSE)</f>
        <v>Grun</v>
      </c>
      <c r="F151" s="35">
        <f>D151/C151</f>
        <v>7.765486725663717</v>
      </c>
      <c r="G151" t="str">
        <f>IF(WEEKDAY(A151,2)&gt;5,"Weekend","Weekday")</f>
        <v>Weekend</v>
      </c>
      <c r="H151" s="32">
        <f>A151-WEEKDAY(A151,2)+1</f>
        <v>42023.0</v>
      </c>
      <c r="I151" t="str">
        <f>CHOOSE(WEEKDAY(A151,2),"Mon","Tue","Wed","Thu","Fri","Sat","Sun")</f>
        <v>Sun</v>
      </c>
    </row>
    <row r="152" spans="1:9">
      <c r="A152" s="32">
        <v>42030</v>
      </c>
      <c r="B152" t="s">
        <v>0</v>
      </c>
      <c r="C152">
        <v>197</v>
      </c>
      <c r="D152">
        <v>1000</v>
      </c>
      <c r="E152" t="str">
        <f>VLOOKUP(B152,BaseTable,2,FALSE)</f>
        <v>Unter</v>
      </c>
      <c r="F152" s="35">
        <f>D152/C152</f>
        <v>5.0761421319796955</v>
      </c>
      <c r="G152" t="str">
        <f>IF(WEEKDAY(A152,2)&gt;5,"Weekend","Weekday")</f>
        <v>Weekday</v>
      </c>
      <c r="H152" s="32">
        <f>A152-WEEKDAY(A152,2)+1</f>
        <v>42030.0</v>
      </c>
      <c r="I152" t="str">
        <f>CHOOSE(WEEKDAY(A152,2),"Mon","Tue","Wed","Thu","Fri","Sat","Sun")</f>
        <v>Mon</v>
      </c>
    </row>
    <row r="153" spans="1:9">
      <c r="A153" s="32">
        <v>42030</v>
      </c>
      <c r="B153" t="s">
        <v>1</v>
      </c>
      <c r="C153">
        <v>860</v>
      </c>
      <c r="D153">
        <v>5919</v>
      </c>
      <c r="E153" t="str">
        <f>VLOOKUP(B153,BaseTable,2,FALSE)</f>
        <v>Hinter</v>
      </c>
      <c r="F153" s="35">
        <f>D153/C153</f>
        <v>6.882558139534884</v>
      </c>
      <c r="G153" t="str">
        <f>IF(WEEKDAY(A153,2)&gt;5,"Weekend","Weekday")</f>
        <v>Weekday</v>
      </c>
      <c r="H153" s="32">
        <f>A153-WEEKDAY(A153,2)+1</f>
        <v>42030.0</v>
      </c>
      <c r="I153" t="str">
        <f>CHOOSE(WEEKDAY(A153,2),"Mon","Tue","Wed","Thu","Fri","Sat","Sun")</f>
        <v>Mon</v>
      </c>
    </row>
    <row r="154" spans="1:9">
      <c r="A154" s="32">
        <v>42030</v>
      </c>
      <c r="B154" t="s">
        <v>2</v>
      </c>
      <c r="C154">
        <v>1150</v>
      </c>
      <c r="D154">
        <v>7608</v>
      </c>
      <c r="E154" t="str">
        <f>VLOOKUP(B154,BaseTable,2,FALSE)</f>
        <v>Weiter</v>
      </c>
      <c r="F154" s="35">
        <f>D154/C154</f>
        <v>6.615652173913044</v>
      </c>
      <c r="G154" t="str">
        <f>IF(WEEKDAY(A154,2)&gt;5,"Weekend","Weekday")</f>
        <v>Weekday</v>
      </c>
      <c r="H154" s="32">
        <f>A154-WEEKDAY(A154,2)+1</f>
        <v>42030.0</v>
      </c>
      <c r="I154" t="str">
        <f>CHOOSE(WEEKDAY(A154,2),"Mon","Tue","Wed","Thu","Fri","Sat","Sun")</f>
        <v>Mon</v>
      </c>
    </row>
    <row r="155" spans="1:9">
      <c r="A155" s="32">
        <v>42030</v>
      </c>
      <c r="B155" t="s">
        <v>3</v>
      </c>
      <c r="C155">
        <v>1084</v>
      </c>
      <c r="D155">
        <v>7565</v>
      </c>
      <c r="E155" t="str">
        <f>VLOOKUP(B155,BaseTable,2,FALSE)</f>
        <v>Schmecken</v>
      </c>
      <c r="F155" s="35">
        <f>D155/C155</f>
        <v>6.978782287822878</v>
      </c>
      <c r="G155" t="str">
        <f>IF(WEEKDAY(A155,2)&gt;5,"Weekend","Weekday")</f>
        <v>Weekday</v>
      </c>
      <c r="H155" s="32">
        <f>A155-WEEKDAY(A155,2)+1</f>
        <v>42030.0</v>
      </c>
      <c r="I155" t="str">
        <f>CHOOSE(WEEKDAY(A155,2),"Mon","Tue","Wed","Thu","Fri","Sat","Sun")</f>
        <v>Mon</v>
      </c>
    </row>
    <row r="156" spans="1:9">
      <c r="A156" s="32">
        <v>42030</v>
      </c>
      <c r="B156" t="s">
        <v>4</v>
      </c>
      <c r="C156">
        <v>3012</v>
      </c>
      <c r="D156">
        <v>19940</v>
      </c>
      <c r="E156" t="str">
        <f>VLOOKUP(B156,BaseTable,2,FALSE)</f>
        <v>Danach-NY</v>
      </c>
      <c r="F156" s="35">
        <f>D156/C156</f>
        <v>6.620185922974768</v>
      </c>
      <c r="G156" t="str">
        <f>IF(WEEKDAY(A156,2)&gt;5,"Weekend","Weekday")</f>
        <v>Weekday</v>
      </c>
      <c r="H156" s="32">
        <f>A156-WEEKDAY(A156,2)+1</f>
        <v>42030.0</v>
      </c>
      <c r="I156" t="str">
        <f>CHOOSE(WEEKDAY(A156,2),"Mon","Tue","Wed","Thu","Fri","Sat","Sun")</f>
        <v>Mon</v>
      </c>
    </row>
    <row r="157" spans="1:9">
      <c r="A157" s="32">
        <v>42030</v>
      </c>
      <c r="B157" t="s">
        <v>5</v>
      </c>
      <c r="C157">
        <v>230</v>
      </c>
      <c r="D157">
        <v>1363</v>
      </c>
      <c r="E157" t="str">
        <f>VLOOKUP(B157,BaseTable,2,FALSE)</f>
        <v>Grun</v>
      </c>
      <c r="F157" s="35">
        <f>D157/C157</f>
        <v>5.926086956521739</v>
      </c>
      <c r="G157" t="str">
        <f>IF(WEEKDAY(A157,2)&gt;5,"Weekend","Weekday")</f>
        <v>Weekday</v>
      </c>
      <c r="H157" s="32">
        <f>A157-WEEKDAY(A157,2)+1</f>
        <v>42030.0</v>
      </c>
      <c r="I157" t="str">
        <f>CHOOSE(WEEKDAY(A157,2),"Mon","Tue","Wed","Thu","Fri","Sat","Sun")</f>
        <v>Mon</v>
      </c>
    </row>
    <row r="158" spans="1:9">
      <c r="A158" s="32">
        <v>42031</v>
      </c>
      <c r="B158" t="s">
        <v>0</v>
      </c>
      <c r="C158">
        <v>112</v>
      </c>
      <c r="D158">
        <v>629</v>
      </c>
      <c r="E158" t="str">
        <f>VLOOKUP(B158,BaseTable,2,FALSE)</f>
        <v>Unter</v>
      </c>
      <c r="F158" s="35">
        <f>D158/C158</f>
        <v>5.616071428571429</v>
      </c>
      <c r="G158" t="str">
        <f>IF(WEEKDAY(A158,2)&gt;5,"Weekend","Weekday")</f>
        <v>Weekday</v>
      </c>
      <c r="H158" s="32">
        <f>A158-WEEKDAY(A158,2)+1</f>
        <v>42030.0</v>
      </c>
      <c r="I158" t="str">
        <f>CHOOSE(WEEKDAY(A158,2),"Mon","Tue","Wed","Thu","Fri","Sat","Sun")</f>
        <v>Tue</v>
      </c>
    </row>
    <row r="159" spans="1:9">
      <c r="A159" s="32">
        <v>42031</v>
      </c>
      <c r="B159" t="s">
        <v>1</v>
      </c>
      <c r="C159">
        <v>434</v>
      </c>
      <c r="D159">
        <v>2957</v>
      </c>
      <c r="E159" t="str">
        <f>VLOOKUP(B159,BaseTable,2,FALSE)</f>
        <v>Hinter</v>
      </c>
      <c r="F159" s="35">
        <f>D159/C159</f>
        <v>6.813364055299539</v>
      </c>
      <c r="G159" t="str">
        <f>IF(WEEKDAY(A159,2)&gt;5,"Weekend","Weekday")</f>
        <v>Weekday</v>
      </c>
      <c r="H159" s="32">
        <f>A159-WEEKDAY(A159,2)+1</f>
        <v>42030.0</v>
      </c>
      <c r="I159" t="str">
        <f>CHOOSE(WEEKDAY(A159,2),"Mon","Tue","Wed","Thu","Fri","Sat","Sun")</f>
        <v>Tue</v>
      </c>
    </row>
    <row r="160" spans="1:9">
      <c r="A160" s="32">
        <v>42031</v>
      </c>
      <c r="B160" t="s">
        <v>2</v>
      </c>
      <c r="C160">
        <v>596</v>
      </c>
      <c r="D160">
        <v>4325</v>
      </c>
      <c r="E160" t="str">
        <f>VLOOKUP(B160,BaseTable,2,FALSE)</f>
        <v>Weiter</v>
      </c>
      <c r="F160" s="35">
        <f>D160/C160</f>
        <v>7.256711409395973</v>
      </c>
      <c r="G160" t="str">
        <f>IF(WEEKDAY(A160,2)&gt;5,"Weekend","Weekday")</f>
        <v>Weekday</v>
      </c>
      <c r="H160" s="32">
        <f>A160-WEEKDAY(A160,2)+1</f>
        <v>42030.0</v>
      </c>
      <c r="I160" t="str">
        <f>CHOOSE(WEEKDAY(A160,2),"Mon","Tue","Wed","Thu","Fri","Sat","Sun")</f>
        <v>Tue</v>
      </c>
    </row>
    <row r="161" spans="1:9">
      <c r="A161" s="32">
        <v>42031</v>
      </c>
      <c r="B161" t="s">
        <v>3</v>
      </c>
      <c r="C161">
        <v>600</v>
      </c>
      <c r="D161">
        <v>4414</v>
      </c>
      <c r="E161" t="str">
        <f>VLOOKUP(B161,BaseTable,2,FALSE)</f>
        <v>Schmecken</v>
      </c>
      <c r="F161" s="35">
        <f>D161/C161</f>
        <v>7.3566666666666665</v>
      </c>
      <c r="G161" t="str">
        <f>IF(WEEKDAY(A161,2)&gt;5,"Weekend","Weekday")</f>
        <v>Weekday</v>
      </c>
      <c r="H161" s="32">
        <f>A161-WEEKDAY(A161,2)+1</f>
        <v>42030.0</v>
      </c>
      <c r="I161" t="str">
        <f>CHOOSE(WEEKDAY(A161,2),"Mon","Tue","Wed","Thu","Fri","Sat","Sun")</f>
        <v>Tue</v>
      </c>
    </row>
    <row r="162" spans="1:9">
      <c r="A162" s="32">
        <v>42031</v>
      </c>
      <c r="B162" t="s">
        <v>4</v>
      </c>
      <c r="C162">
        <v>1619</v>
      </c>
      <c r="D162">
        <v>11998</v>
      </c>
      <c r="E162" t="str">
        <f>VLOOKUP(B162,BaseTable,2,FALSE)</f>
        <v>Danach-NY</v>
      </c>
      <c r="F162" s="35">
        <f>D162/C162</f>
        <v>7.410747374922792</v>
      </c>
      <c r="G162" t="str">
        <f>IF(WEEKDAY(A162,2)&gt;5,"Weekend","Weekday")</f>
        <v>Weekday</v>
      </c>
      <c r="H162" s="32">
        <f>A162-WEEKDAY(A162,2)+1</f>
        <v>42030.0</v>
      </c>
      <c r="I162" t="str">
        <f>CHOOSE(WEEKDAY(A162,2),"Mon","Tue","Wed","Thu","Fri","Sat","Sun")</f>
        <v>Tue</v>
      </c>
    </row>
    <row r="163" spans="1:9">
      <c r="A163" s="32">
        <v>42031</v>
      </c>
      <c r="B163" t="s">
        <v>5</v>
      </c>
      <c r="C163">
        <v>135</v>
      </c>
      <c r="D163">
        <v>921</v>
      </c>
      <c r="E163" t="str">
        <f>VLOOKUP(B163,BaseTable,2,FALSE)</f>
        <v>Grun</v>
      </c>
      <c r="F163" s="35">
        <f>D163/C163</f>
        <v>6.822222222222222</v>
      </c>
      <c r="G163" t="str">
        <f>IF(WEEKDAY(A163,2)&gt;5,"Weekend","Weekday")</f>
        <v>Weekday</v>
      </c>
      <c r="H163" s="32">
        <f>A163-WEEKDAY(A163,2)+1</f>
        <v>42030.0</v>
      </c>
      <c r="I163" t="str">
        <f>CHOOSE(WEEKDAY(A163,2),"Mon","Tue","Wed","Thu","Fri","Sat","Sun")</f>
        <v>Tue</v>
      </c>
    </row>
    <row r="164" spans="1:9">
      <c r="A164" s="32">
        <v>42032</v>
      </c>
      <c r="B164" t="s">
        <v>0</v>
      </c>
      <c r="C164">
        <v>235</v>
      </c>
      <c r="D164">
        <v>1438</v>
      </c>
      <c r="E164" t="str">
        <f>VLOOKUP(B164,BaseTable,2,FALSE)</f>
        <v>Unter</v>
      </c>
      <c r="F164" s="35">
        <f>D164/C164</f>
        <v>6.1191489361702125</v>
      </c>
      <c r="G164" t="str">
        <f>IF(WEEKDAY(A164,2)&gt;5,"Weekend","Weekday")</f>
        <v>Weekday</v>
      </c>
      <c r="H164" s="32">
        <f>A164-WEEKDAY(A164,2)+1</f>
        <v>42030.0</v>
      </c>
      <c r="I164" t="str">
        <f>CHOOSE(WEEKDAY(A164,2),"Mon","Tue","Wed","Thu","Fri","Sat","Sun")</f>
        <v>Wed</v>
      </c>
    </row>
    <row r="165" spans="1:9">
      <c r="A165" s="32">
        <v>42032</v>
      </c>
      <c r="B165" t="s">
        <v>1</v>
      </c>
      <c r="C165">
        <v>1011</v>
      </c>
      <c r="D165">
        <v>8071</v>
      </c>
      <c r="E165" t="str">
        <f>VLOOKUP(B165,BaseTable,2,FALSE)</f>
        <v>Hinter</v>
      </c>
      <c r="F165" s="35">
        <f>D165/C165</f>
        <v>7.983184965380811</v>
      </c>
      <c r="G165" t="str">
        <f>IF(WEEKDAY(A165,2)&gt;5,"Weekend","Weekday")</f>
        <v>Weekday</v>
      </c>
      <c r="H165" s="32">
        <f>A165-WEEKDAY(A165,2)+1</f>
        <v>42030.0</v>
      </c>
      <c r="I165" t="str">
        <f>CHOOSE(WEEKDAY(A165,2),"Mon","Tue","Wed","Thu","Fri","Sat","Sun")</f>
        <v>Wed</v>
      </c>
    </row>
    <row r="166" spans="1:9">
      <c r="A166" s="32">
        <v>42032</v>
      </c>
      <c r="B166" t="s">
        <v>2</v>
      </c>
      <c r="C166">
        <v>1356</v>
      </c>
      <c r="D166">
        <v>10862</v>
      </c>
      <c r="E166" t="str">
        <f>VLOOKUP(B166,BaseTable,2,FALSE)</f>
        <v>Weiter</v>
      </c>
      <c r="F166" s="35">
        <f>D166/C166</f>
        <v>8.010324483775811</v>
      </c>
      <c r="G166" t="str">
        <f>IF(WEEKDAY(A166,2)&gt;5,"Weekend","Weekday")</f>
        <v>Weekday</v>
      </c>
      <c r="H166" s="32">
        <f>A166-WEEKDAY(A166,2)+1</f>
        <v>42030.0</v>
      </c>
      <c r="I166" t="str">
        <f>CHOOSE(WEEKDAY(A166,2),"Mon","Tue","Wed","Thu","Fri","Sat","Sun")</f>
        <v>Wed</v>
      </c>
    </row>
    <row r="167" spans="1:9">
      <c r="A167" s="32">
        <v>42032</v>
      </c>
      <c r="B167" t="s">
        <v>3</v>
      </c>
      <c r="C167">
        <v>1235</v>
      </c>
      <c r="D167">
        <v>10025</v>
      </c>
      <c r="E167" t="str">
        <f>VLOOKUP(B167,BaseTable,2,FALSE)</f>
        <v>Schmecken</v>
      </c>
      <c r="F167" s="35">
        <f>D167/C167</f>
        <v>8.117408906882591</v>
      </c>
      <c r="G167" t="str">
        <f>IF(WEEKDAY(A167,2)&gt;5,"Weekend","Weekday")</f>
        <v>Weekday</v>
      </c>
      <c r="H167" s="32">
        <f>A167-WEEKDAY(A167,2)+1</f>
        <v>42030.0</v>
      </c>
      <c r="I167" t="str">
        <f>CHOOSE(WEEKDAY(A167,2),"Mon","Tue","Wed","Thu","Fri","Sat","Sun")</f>
        <v>Wed</v>
      </c>
    </row>
    <row r="168" spans="1:9">
      <c r="A168" s="32">
        <v>42032</v>
      </c>
      <c r="B168" t="s">
        <v>4</v>
      </c>
      <c r="C168">
        <v>3692</v>
      </c>
      <c r="D168">
        <v>28137</v>
      </c>
      <c r="E168" t="str">
        <f>VLOOKUP(B168,BaseTable,2,FALSE)</f>
        <v>Danach-NY</v>
      </c>
      <c r="F168" s="35">
        <f>D168/C168</f>
        <v>7.6210725893824485</v>
      </c>
      <c r="G168" t="str">
        <f>IF(WEEKDAY(A168,2)&gt;5,"Weekend","Weekday")</f>
        <v>Weekday</v>
      </c>
      <c r="H168" s="32">
        <f>A168-WEEKDAY(A168,2)+1</f>
        <v>42030.0</v>
      </c>
      <c r="I168" t="str">
        <f>CHOOSE(WEEKDAY(A168,2),"Mon","Tue","Wed","Thu","Fri","Sat","Sun")</f>
        <v>Wed</v>
      </c>
    </row>
    <row r="169" spans="1:9">
      <c r="A169" s="32">
        <v>42032</v>
      </c>
      <c r="B169" t="s">
        <v>5</v>
      </c>
      <c r="C169">
        <v>286</v>
      </c>
      <c r="D169">
        <v>1913</v>
      </c>
      <c r="E169" t="str">
        <f>VLOOKUP(B169,BaseTable,2,FALSE)</f>
        <v>Grun</v>
      </c>
      <c r="F169" s="35">
        <f>D169/C169</f>
        <v>6.688811188811189</v>
      </c>
      <c r="G169" t="str">
        <f>IF(WEEKDAY(A169,2)&gt;5,"Weekend","Weekday")</f>
        <v>Weekday</v>
      </c>
      <c r="H169" s="32">
        <f>A169-WEEKDAY(A169,2)+1</f>
        <v>42030.0</v>
      </c>
      <c r="I169" t="str">
        <f>CHOOSE(WEEKDAY(A169,2),"Mon","Tue","Wed","Thu","Fri","Sat","Sun")</f>
        <v>Wed</v>
      </c>
    </row>
    <row r="170" spans="1:9">
      <c r="A170" s="32">
        <v>42033</v>
      </c>
      <c r="B170" t="s">
        <v>0</v>
      </c>
      <c r="C170">
        <v>250</v>
      </c>
      <c r="D170">
        <v>1687</v>
      </c>
      <c r="E170" t="str">
        <f>VLOOKUP(B170,BaseTable,2,FALSE)</f>
        <v>Unter</v>
      </c>
      <c r="F170" s="35">
        <f>D170/C170</f>
        <v>6.748</v>
      </c>
      <c r="G170" t="str">
        <f>IF(WEEKDAY(A170,2)&gt;5,"Weekend","Weekday")</f>
        <v>Weekday</v>
      </c>
      <c r="H170" s="32">
        <f>A170-WEEKDAY(A170,2)+1</f>
        <v>42030.0</v>
      </c>
      <c r="I170" t="str">
        <f>CHOOSE(WEEKDAY(A170,2),"Mon","Tue","Wed","Thu","Fri","Sat","Sun")</f>
        <v>Thu</v>
      </c>
    </row>
    <row r="171" spans="1:9">
      <c r="A171" s="32">
        <v>42033</v>
      </c>
      <c r="B171" t="s">
        <v>1</v>
      </c>
      <c r="C171">
        <v>1082</v>
      </c>
      <c r="D171">
        <v>9499</v>
      </c>
      <c r="E171" t="str">
        <f>VLOOKUP(B171,BaseTable,2,FALSE)</f>
        <v>Hinter</v>
      </c>
      <c r="F171" s="35">
        <f>D171/C171</f>
        <v>8.779112754158964</v>
      </c>
      <c r="G171" t="str">
        <f>IF(WEEKDAY(A171,2)&gt;5,"Weekend","Weekday")</f>
        <v>Weekday</v>
      </c>
      <c r="H171" s="32">
        <f>A171-WEEKDAY(A171,2)+1</f>
        <v>42030.0</v>
      </c>
      <c r="I171" t="str">
        <f>CHOOSE(WEEKDAY(A171,2),"Mon","Tue","Wed","Thu","Fri","Sat","Sun")</f>
        <v>Thu</v>
      </c>
    </row>
    <row r="172" spans="1:9">
      <c r="A172" s="32">
        <v>42033</v>
      </c>
      <c r="B172" t="s">
        <v>2</v>
      </c>
      <c r="C172">
        <v>1474</v>
      </c>
      <c r="D172">
        <v>12600</v>
      </c>
      <c r="E172" t="str">
        <f>VLOOKUP(B172,BaseTable,2,FALSE)</f>
        <v>Weiter</v>
      </c>
      <c r="F172" s="35">
        <f>D172/C172</f>
        <v>8.548168249660787</v>
      </c>
      <c r="G172" t="str">
        <f>IF(WEEKDAY(A172,2)&gt;5,"Weekend","Weekday")</f>
        <v>Weekday</v>
      </c>
      <c r="H172" s="32">
        <f>A172-WEEKDAY(A172,2)+1</f>
        <v>42030.0</v>
      </c>
      <c r="I172" t="str">
        <f>CHOOSE(WEEKDAY(A172,2),"Mon","Tue","Wed","Thu","Fri","Sat","Sun")</f>
        <v>Thu</v>
      </c>
    </row>
    <row r="173" spans="1:9">
      <c r="A173" s="32">
        <v>42033</v>
      </c>
      <c r="B173" t="s">
        <v>3</v>
      </c>
      <c r="C173">
        <v>1316</v>
      </c>
      <c r="D173">
        <v>11485</v>
      </c>
      <c r="E173" t="str">
        <f>VLOOKUP(B173,BaseTable,2,FALSE)</f>
        <v>Schmecken</v>
      </c>
      <c r="F173" s="35">
        <f>D173/C173</f>
        <v>8.727203647416413</v>
      </c>
      <c r="G173" t="str">
        <f>IF(WEEKDAY(A173,2)&gt;5,"Weekend","Weekday")</f>
        <v>Weekday</v>
      </c>
      <c r="H173" s="32">
        <f>A173-WEEKDAY(A173,2)+1</f>
        <v>42030.0</v>
      </c>
      <c r="I173" t="str">
        <f>CHOOSE(WEEKDAY(A173,2),"Mon","Tue","Wed","Thu","Fri","Sat","Sun")</f>
        <v>Thu</v>
      </c>
    </row>
    <row r="174" spans="1:9">
      <c r="A174" s="32">
        <v>42033</v>
      </c>
      <c r="B174" t="s">
        <v>4</v>
      </c>
      <c r="C174">
        <v>3959</v>
      </c>
      <c r="D174">
        <v>31637</v>
      </c>
      <c r="E174" t="str">
        <f>VLOOKUP(B174,BaseTable,2,FALSE)</f>
        <v>Danach-NY</v>
      </c>
      <c r="F174" s="35">
        <f>D174/C174</f>
        <v>7.991159383682748</v>
      </c>
      <c r="G174" t="str">
        <f>IF(WEEKDAY(A174,2)&gt;5,"Weekend","Weekday")</f>
        <v>Weekday</v>
      </c>
      <c r="H174" s="32">
        <f>A174-WEEKDAY(A174,2)+1</f>
        <v>42030.0</v>
      </c>
      <c r="I174" t="str">
        <f>CHOOSE(WEEKDAY(A174,2),"Mon","Tue","Wed","Thu","Fri","Sat","Sun")</f>
        <v>Thu</v>
      </c>
    </row>
    <row r="175" spans="1:9">
      <c r="A175" s="32">
        <v>42033</v>
      </c>
      <c r="B175" t="s">
        <v>5</v>
      </c>
      <c r="C175">
        <v>295</v>
      </c>
      <c r="D175">
        <v>2086</v>
      </c>
      <c r="E175" t="str">
        <f>VLOOKUP(B175,BaseTable,2,FALSE)</f>
        <v>Grun</v>
      </c>
      <c r="F175" s="35">
        <f>D175/C175</f>
        <v>7.071186440677966</v>
      </c>
      <c r="G175" t="str">
        <f>IF(WEEKDAY(A175,2)&gt;5,"Weekend","Weekday")</f>
        <v>Weekday</v>
      </c>
      <c r="H175" s="32">
        <f>A175-WEEKDAY(A175,2)+1</f>
        <v>42030.0</v>
      </c>
      <c r="I175" t="str">
        <f>CHOOSE(WEEKDAY(A175,2),"Mon","Tue","Wed","Thu","Fri","Sat","Sun")</f>
        <v>Thu</v>
      </c>
    </row>
    <row r="176" spans="1:9">
      <c r="A176" s="32">
        <v>42034</v>
      </c>
      <c r="B176" t="s">
        <v>0</v>
      </c>
      <c r="C176">
        <v>256</v>
      </c>
      <c r="D176">
        <v>2016</v>
      </c>
      <c r="E176" t="str">
        <f>VLOOKUP(B176,BaseTable,2,FALSE)</f>
        <v>Unter</v>
      </c>
      <c r="F176" s="35">
        <f>D176/C176</f>
        <v>7.875</v>
      </c>
      <c r="G176" t="str">
        <f>IF(WEEKDAY(A176,2)&gt;5,"Weekend","Weekday")</f>
        <v>Weekday</v>
      </c>
      <c r="H176" s="32">
        <f>A176-WEEKDAY(A176,2)+1</f>
        <v>42030.0</v>
      </c>
      <c r="I176" t="str">
        <f>CHOOSE(WEEKDAY(A176,2),"Mon","Tue","Wed","Thu","Fri","Sat","Sun")</f>
        <v>Fri</v>
      </c>
    </row>
    <row r="177" spans="1:9">
      <c r="A177" s="32">
        <v>42034</v>
      </c>
      <c r="B177" t="s">
        <v>1</v>
      </c>
      <c r="C177">
        <v>1106</v>
      </c>
      <c r="D177">
        <v>11167</v>
      </c>
      <c r="E177" t="str">
        <f>VLOOKUP(B177,BaseTable,2,FALSE)</f>
        <v>Hinter</v>
      </c>
      <c r="F177" s="35">
        <f>D177/C177</f>
        <v>10.096745027124774</v>
      </c>
      <c r="G177" t="str">
        <f>IF(WEEKDAY(A177,2)&gt;5,"Weekend","Weekday")</f>
        <v>Weekday</v>
      </c>
      <c r="H177" s="32">
        <f>A177-WEEKDAY(A177,2)+1</f>
        <v>42030.0</v>
      </c>
      <c r="I177" t="str">
        <f>CHOOSE(WEEKDAY(A177,2),"Mon","Tue","Wed","Thu","Fri","Sat","Sun")</f>
        <v>Fri</v>
      </c>
    </row>
    <row r="178" spans="1:9">
      <c r="A178" s="32">
        <v>42034</v>
      </c>
      <c r="B178" t="s">
        <v>2</v>
      </c>
      <c r="C178">
        <v>1501</v>
      </c>
      <c r="D178">
        <v>14793</v>
      </c>
      <c r="E178" t="str">
        <f>VLOOKUP(B178,BaseTable,2,FALSE)</f>
        <v>Weiter</v>
      </c>
      <c r="F178" s="35">
        <f>D178/C178</f>
        <v>9.855429713524318</v>
      </c>
      <c r="G178" t="str">
        <f>IF(WEEKDAY(A178,2)&gt;5,"Weekend","Weekday")</f>
        <v>Weekday</v>
      </c>
      <c r="H178" s="32">
        <f>A178-WEEKDAY(A178,2)+1</f>
        <v>42030.0</v>
      </c>
      <c r="I178" t="str">
        <f>CHOOSE(WEEKDAY(A178,2),"Mon","Tue","Wed","Thu","Fri","Sat","Sun")</f>
        <v>Fri</v>
      </c>
    </row>
    <row r="179" spans="1:9">
      <c r="A179" s="32">
        <v>42034</v>
      </c>
      <c r="B179" t="s">
        <v>3</v>
      </c>
      <c r="C179">
        <v>1384</v>
      </c>
      <c r="D179">
        <v>13852</v>
      </c>
      <c r="E179" t="str">
        <f>VLOOKUP(B179,BaseTable,2,FALSE)</f>
        <v>Schmecken</v>
      </c>
      <c r="F179" s="35">
        <f>D179/C179</f>
        <v>10.008670520231213</v>
      </c>
      <c r="G179" t="str">
        <f>IF(WEEKDAY(A179,2)&gt;5,"Weekend","Weekday")</f>
        <v>Weekday</v>
      </c>
      <c r="H179" s="32">
        <f>A179-WEEKDAY(A179,2)+1</f>
        <v>42030.0</v>
      </c>
      <c r="I179" t="str">
        <f>CHOOSE(WEEKDAY(A179,2),"Mon","Tue","Wed","Thu","Fri","Sat","Sun")</f>
        <v>Fri</v>
      </c>
    </row>
    <row r="180" spans="1:9">
      <c r="A180" s="32">
        <v>42034</v>
      </c>
      <c r="B180" t="s">
        <v>4</v>
      </c>
      <c r="C180">
        <v>4124</v>
      </c>
      <c r="D180">
        <v>39110</v>
      </c>
      <c r="E180" t="str">
        <f>VLOOKUP(B180,BaseTable,2,FALSE)</f>
        <v>Danach-NY</v>
      </c>
      <c r="F180" s="35">
        <f>D180/C180</f>
        <v>9.483511154219205</v>
      </c>
      <c r="G180" t="str">
        <f>IF(WEEKDAY(A180,2)&gt;5,"Weekend","Weekday")</f>
        <v>Weekday</v>
      </c>
      <c r="H180" s="32">
        <f>A180-WEEKDAY(A180,2)+1</f>
        <v>42030.0</v>
      </c>
      <c r="I180" t="str">
        <f>CHOOSE(WEEKDAY(A180,2),"Mon","Tue","Wed","Thu","Fri","Sat","Sun")</f>
        <v>Fri</v>
      </c>
    </row>
    <row r="181" spans="1:9">
      <c r="A181" s="32">
        <v>42034</v>
      </c>
      <c r="B181" t="s">
        <v>5</v>
      </c>
      <c r="C181">
        <v>322</v>
      </c>
      <c r="D181">
        <v>2785</v>
      </c>
      <c r="E181" t="str">
        <f>VLOOKUP(B181,BaseTable,2,FALSE)</f>
        <v>Grun</v>
      </c>
      <c r="F181" s="35">
        <f>D181/C181</f>
        <v>8.649068322981366</v>
      </c>
      <c r="G181" t="str">
        <f>IF(WEEKDAY(A181,2)&gt;5,"Weekend","Weekday")</f>
        <v>Weekday</v>
      </c>
      <c r="H181" s="32">
        <f>A181-WEEKDAY(A181,2)+1</f>
        <v>42030.0</v>
      </c>
      <c r="I181" t="str">
        <f>CHOOSE(WEEKDAY(A181,2),"Mon","Tue","Wed","Thu","Fri","Sat","Sun")</f>
        <v>Fri</v>
      </c>
    </row>
    <row r="182" spans="1:9">
      <c r="A182" s="32">
        <v>42035</v>
      </c>
      <c r="B182" t="s">
        <v>0</v>
      </c>
      <c r="C182">
        <v>225</v>
      </c>
      <c r="D182">
        <v>1892</v>
      </c>
      <c r="E182" t="str">
        <f>VLOOKUP(B182,BaseTable,2,FALSE)</f>
        <v>Unter</v>
      </c>
      <c r="F182" s="35">
        <f>D182/C182</f>
        <v>8.408888888888889</v>
      </c>
      <c r="G182" t="str">
        <f>IF(WEEKDAY(A182,2)&gt;5,"Weekend","Weekday")</f>
        <v>Weekend</v>
      </c>
      <c r="H182" s="32">
        <f>A182-WEEKDAY(A182,2)+1</f>
        <v>42030.0</v>
      </c>
      <c r="I182" t="str">
        <f>CHOOSE(WEEKDAY(A182,2),"Mon","Tue","Wed","Thu","Fri","Sat","Sun")</f>
        <v>Sat</v>
      </c>
    </row>
    <row r="183" spans="1:9">
      <c r="A183" s="32">
        <v>42035</v>
      </c>
      <c r="B183" t="s">
        <v>1</v>
      </c>
      <c r="C183">
        <v>1027</v>
      </c>
      <c r="D183">
        <v>11642</v>
      </c>
      <c r="E183" t="str">
        <f>VLOOKUP(B183,BaseTable,2,FALSE)</f>
        <v>Hinter</v>
      </c>
      <c r="F183" s="35">
        <f>D183/C183</f>
        <v>11.335929892891919</v>
      </c>
      <c r="G183" t="str">
        <f>IF(WEEKDAY(A183,2)&gt;5,"Weekend","Weekday")</f>
        <v>Weekend</v>
      </c>
      <c r="H183" s="32">
        <f>A183-WEEKDAY(A183,2)+1</f>
        <v>42030.0</v>
      </c>
      <c r="I183" t="str">
        <f>CHOOSE(WEEKDAY(A183,2),"Mon","Tue","Wed","Thu","Fri","Sat","Sun")</f>
        <v>Sat</v>
      </c>
    </row>
    <row r="184" spans="1:9">
      <c r="A184" s="32">
        <v>42035</v>
      </c>
      <c r="B184" t="s">
        <v>2</v>
      </c>
      <c r="C184">
        <v>1394</v>
      </c>
      <c r="D184">
        <v>15756</v>
      </c>
      <c r="E184" t="str">
        <f>VLOOKUP(B184,BaseTable,2,FALSE)</f>
        <v>Weiter</v>
      </c>
      <c r="F184" s="35">
        <f>D184/C184</f>
        <v>11.302725968436155</v>
      </c>
      <c r="G184" t="str">
        <f>IF(WEEKDAY(A184,2)&gt;5,"Weekend","Weekday")</f>
        <v>Weekend</v>
      </c>
      <c r="H184" s="32">
        <f>A184-WEEKDAY(A184,2)+1</f>
        <v>42030.0</v>
      </c>
      <c r="I184" t="str">
        <f>CHOOSE(WEEKDAY(A184,2),"Mon","Tue","Wed","Thu","Fri","Sat","Sun")</f>
        <v>Sat</v>
      </c>
    </row>
    <row r="185" spans="1:9">
      <c r="A185" s="32">
        <v>42035</v>
      </c>
      <c r="B185" t="s">
        <v>3</v>
      </c>
      <c r="C185">
        <v>1321</v>
      </c>
      <c r="D185">
        <v>15388</v>
      </c>
      <c r="E185" t="str">
        <f>VLOOKUP(B185,BaseTable,2,FALSE)</f>
        <v>Schmecken</v>
      </c>
      <c r="F185" s="35">
        <f>D185/C185</f>
        <v>11.64875094625284</v>
      </c>
      <c r="G185" t="str">
        <f>IF(WEEKDAY(A185,2)&gt;5,"Weekend","Weekday")</f>
        <v>Weekend</v>
      </c>
      <c r="H185" s="32">
        <f>A185-WEEKDAY(A185,2)+1</f>
        <v>42030.0</v>
      </c>
      <c r="I185" t="str">
        <f>CHOOSE(WEEKDAY(A185,2),"Mon","Tue","Wed","Thu","Fri","Sat","Sun")</f>
        <v>Sat</v>
      </c>
    </row>
    <row r="186" spans="1:9">
      <c r="A186" s="32">
        <v>42035</v>
      </c>
      <c r="B186" t="s">
        <v>4</v>
      </c>
      <c r="C186">
        <v>3947</v>
      </c>
      <c r="D186">
        <v>44297</v>
      </c>
      <c r="E186" t="str">
        <f>VLOOKUP(B186,BaseTable,2,FALSE)</f>
        <v>Danach-NY</v>
      </c>
      <c r="F186" s="35">
        <f>D186/C186</f>
        <v>11.222954142386623</v>
      </c>
      <c r="G186" t="str">
        <f>IF(WEEKDAY(A186,2)&gt;5,"Weekend","Weekday")</f>
        <v>Weekend</v>
      </c>
      <c r="H186" s="32">
        <f>A186-WEEKDAY(A186,2)+1</f>
        <v>42030.0</v>
      </c>
      <c r="I186" t="str">
        <f>CHOOSE(WEEKDAY(A186,2),"Mon","Tue","Wed","Thu","Fri","Sat","Sun")</f>
        <v>Sat</v>
      </c>
    </row>
    <row r="187" spans="1:9">
      <c r="A187" s="32">
        <v>42035</v>
      </c>
      <c r="B187" t="s">
        <v>5</v>
      </c>
      <c r="C187">
        <v>309</v>
      </c>
      <c r="D187">
        <v>3282</v>
      </c>
      <c r="E187" t="str">
        <f>VLOOKUP(B187,BaseTable,2,FALSE)</f>
        <v>Grun</v>
      </c>
      <c r="F187" s="35">
        <f>D187/C187</f>
        <v>10.62135922330097</v>
      </c>
      <c r="G187" t="str">
        <f>IF(WEEKDAY(A187,2)&gt;5,"Weekend","Weekday")</f>
        <v>Weekend</v>
      </c>
      <c r="H187" s="32">
        <f>A187-WEEKDAY(A187,2)+1</f>
        <v>42030.0</v>
      </c>
      <c r="I187" t="str">
        <f>CHOOSE(WEEKDAY(A187,2),"Mon","Tue","Wed","Thu","Fri","Sat","Sun")</f>
        <v>Sat</v>
      </c>
    </row>
    <row r="188" spans="1:9">
      <c r="A188" s="32">
        <v>42036</v>
      </c>
      <c r="B188" t="s">
        <v>0</v>
      </c>
      <c r="C188">
        <v>193</v>
      </c>
      <c r="D188">
        <v>1377</v>
      </c>
      <c r="E188" t="str">
        <f>VLOOKUP(B188,BaseTable,2,FALSE)</f>
        <v>Unter</v>
      </c>
      <c r="F188" s="35">
        <f>D188/C188</f>
        <v>7.134715025906735</v>
      </c>
      <c r="G188" t="str">
        <f>IF(WEEKDAY(A188,2)&gt;5,"Weekend","Weekday")</f>
        <v>Weekend</v>
      </c>
      <c r="H188" s="32">
        <f>A188-WEEKDAY(A188,2)+1</f>
        <v>42030.0</v>
      </c>
      <c r="I188" t="str">
        <f>CHOOSE(WEEKDAY(A188,2),"Mon","Tue","Wed","Thu","Fri","Sat","Sun")</f>
        <v>Sun</v>
      </c>
    </row>
    <row r="189" spans="1:9">
      <c r="A189" s="32">
        <v>42036</v>
      </c>
      <c r="B189" t="s">
        <v>1</v>
      </c>
      <c r="C189">
        <v>961</v>
      </c>
      <c r="D189">
        <v>9499</v>
      </c>
      <c r="E189" t="str">
        <f>VLOOKUP(B189,BaseTable,2,FALSE)</f>
        <v>Hinter</v>
      </c>
      <c r="F189" s="35">
        <f>D189/C189</f>
        <v>9.884495317377732</v>
      </c>
      <c r="G189" t="str">
        <f>IF(WEEKDAY(A189,2)&gt;5,"Weekend","Weekday")</f>
        <v>Weekend</v>
      </c>
      <c r="H189" s="32">
        <f>A189-WEEKDAY(A189,2)+1</f>
        <v>42030.0</v>
      </c>
      <c r="I189" t="str">
        <f>CHOOSE(WEEKDAY(A189,2),"Mon","Tue","Wed","Thu","Fri","Sat","Sun")</f>
        <v>Sun</v>
      </c>
    </row>
    <row r="190" spans="1:9">
      <c r="A190" s="32">
        <v>42036</v>
      </c>
      <c r="B190" t="s">
        <v>2</v>
      </c>
      <c r="C190">
        <v>1355</v>
      </c>
      <c r="D190">
        <v>13458</v>
      </c>
      <c r="E190" t="str">
        <f>VLOOKUP(B190,BaseTable,2,FALSE)</f>
        <v>Weiter</v>
      </c>
      <c r="F190" s="35">
        <f>D190/C190</f>
        <v>9.93210332103321</v>
      </c>
      <c r="G190" t="str">
        <f>IF(WEEKDAY(A190,2)&gt;5,"Weekend","Weekday")</f>
        <v>Weekend</v>
      </c>
      <c r="H190" s="32">
        <f>A190-WEEKDAY(A190,2)+1</f>
        <v>42030.0</v>
      </c>
      <c r="I190" t="str">
        <f>CHOOSE(WEEKDAY(A190,2),"Mon","Tue","Wed","Thu","Fri","Sat","Sun")</f>
        <v>Sun</v>
      </c>
    </row>
    <row r="191" spans="1:9">
      <c r="A191" s="32">
        <v>42036</v>
      </c>
      <c r="B191" t="s">
        <v>3</v>
      </c>
      <c r="C191">
        <v>1214</v>
      </c>
      <c r="D191">
        <v>12436</v>
      </c>
      <c r="E191" t="str">
        <f>VLOOKUP(B191,BaseTable,2,FALSE)</f>
        <v>Schmecken</v>
      </c>
      <c r="F191" s="35">
        <f>D191/C191</f>
        <v>10.243822075782537</v>
      </c>
      <c r="G191" t="str">
        <f>IF(WEEKDAY(A191,2)&gt;5,"Weekend","Weekday")</f>
        <v>Weekend</v>
      </c>
      <c r="H191" s="32">
        <f>A191-WEEKDAY(A191,2)+1</f>
        <v>42030.0</v>
      </c>
      <c r="I191" t="str">
        <f>CHOOSE(WEEKDAY(A191,2),"Mon","Tue","Wed","Thu","Fri","Sat","Sun")</f>
        <v>Sun</v>
      </c>
    </row>
    <row r="192" spans="1:9">
      <c r="A192" s="32">
        <v>42036</v>
      </c>
      <c r="B192" t="s">
        <v>4</v>
      </c>
      <c r="C192">
        <v>3740</v>
      </c>
      <c r="D192">
        <v>37468</v>
      </c>
      <c r="E192" t="str">
        <f>VLOOKUP(B192,BaseTable,2,FALSE)</f>
        <v>Danach-NY</v>
      </c>
      <c r="F192" s="35">
        <f>D192/C192</f>
        <v>10.018181818181818</v>
      </c>
      <c r="G192" t="str">
        <f>IF(WEEKDAY(A192,2)&gt;5,"Weekend","Weekday")</f>
        <v>Weekend</v>
      </c>
      <c r="H192" s="32">
        <f>A192-WEEKDAY(A192,2)+1</f>
        <v>42030.0</v>
      </c>
      <c r="I192" t="str">
        <f>CHOOSE(WEEKDAY(A192,2),"Mon","Tue","Wed","Thu","Fri","Sat","Sun")</f>
        <v>Sun</v>
      </c>
    </row>
    <row r="193" spans="1:9">
      <c r="A193" s="32">
        <v>42036</v>
      </c>
      <c r="B193" t="s">
        <v>5</v>
      </c>
      <c r="C193">
        <v>289</v>
      </c>
      <c r="D193">
        <v>2672</v>
      </c>
      <c r="E193" t="str">
        <f>VLOOKUP(B193,BaseTable,2,FALSE)</f>
        <v>Grun</v>
      </c>
      <c r="F193" s="35">
        <f>D193/C193</f>
        <v>9.245674740484429</v>
      </c>
      <c r="G193" t="str">
        <f>IF(WEEKDAY(A193,2)&gt;5,"Weekend","Weekday")</f>
        <v>Weekend</v>
      </c>
      <c r="H193" s="32">
        <f>A193-WEEKDAY(A193,2)+1</f>
        <v>42030.0</v>
      </c>
      <c r="I193" t="str">
        <f>CHOOSE(WEEKDAY(A193,2),"Mon","Tue","Wed","Thu","Fri","Sat","Sun")</f>
        <v>Sun</v>
      </c>
    </row>
    <row r="194" spans="1:9">
      <c r="A194" s="32">
        <v>42037</v>
      </c>
      <c r="B194" t="s">
        <v>0</v>
      </c>
      <c r="C194">
        <v>227</v>
      </c>
      <c r="D194">
        <v>1904</v>
      </c>
      <c r="E194" t="str">
        <f>VLOOKUP(B194,BaseTable,2,FALSE)</f>
        <v>Unter</v>
      </c>
      <c r="F194" s="35">
        <f>D194/C194</f>
        <v>8.387665198237885</v>
      </c>
      <c r="G194" t="str">
        <f>IF(WEEKDAY(A194,2)&gt;5,"Weekend","Weekday")</f>
        <v>Weekday</v>
      </c>
      <c r="H194" s="32">
        <f>A194-WEEKDAY(A194,2)+1</f>
        <v>42037.0</v>
      </c>
      <c r="I194" t="str">
        <f>CHOOSE(WEEKDAY(A194,2),"Mon","Tue","Wed","Thu","Fri","Sat","Sun")</f>
        <v>Mon</v>
      </c>
    </row>
    <row r="195" spans="1:9">
      <c r="A195" s="32">
        <v>42037</v>
      </c>
      <c r="B195" t="s">
        <v>1</v>
      </c>
      <c r="C195">
        <v>939</v>
      </c>
      <c r="D195">
        <v>9511</v>
      </c>
      <c r="E195" t="str">
        <f>VLOOKUP(B195,BaseTable,2,FALSE)</f>
        <v>Hinter</v>
      </c>
      <c r="F195" s="35">
        <f>D195/C195</f>
        <v>10.128860489882854</v>
      </c>
      <c r="G195" t="str">
        <f>IF(WEEKDAY(A195,2)&gt;5,"Weekend","Weekday")</f>
        <v>Weekday</v>
      </c>
      <c r="H195" s="32">
        <f>A195-WEEKDAY(A195,2)+1</f>
        <v>42037.0</v>
      </c>
      <c r="I195" t="str">
        <f>CHOOSE(WEEKDAY(A195,2),"Mon","Tue","Wed","Thu","Fri","Sat","Sun")</f>
        <v>Mon</v>
      </c>
    </row>
    <row r="196" spans="1:9">
      <c r="A196" s="32">
        <v>42037</v>
      </c>
      <c r="B196" t="s">
        <v>2</v>
      </c>
      <c r="C196">
        <v>1217</v>
      </c>
      <c r="D196">
        <v>12216</v>
      </c>
      <c r="E196" t="str">
        <f>VLOOKUP(B196,BaseTable,2,FALSE)</f>
        <v>Weiter</v>
      </c>
      <c r="F196" s="35">
        <f>D196/C196</f>
        <v>10.037797863599014</v>
      </c>
      <c r="G196" t="str">
        <f>IF(WEEKDAY(A196,2)&gt;5,"Weekend","Weekday")</f>
        <v>Weekday</v>
      </c>
      <c r="H196" s="32">
        <f>A196-WEEKDAY(A196,2)+1</f>
        <v>42037.0</v>
      </c>
      <c r="I196" t="str">
        <f>CHOOSE(WEEKDAY(A196,2),"Mon","Tue","Wed","Thu","Fri","Sat","Sun")</f>
        <v>Mon</v>
      </c>
    </row>
    <row r="197" spans="1:9">
      <c r="A197" s="32">
        <v>42037</v>
      </c>
      <c r="B197" t="s">
        <v>3</v>
      </c>
      <c r="C197">
        <v>1152</v>
      </c>
      <c r="D197">
        <v>11981</v>
      </c>
      <c r="E197" t="str">
        <f>VLOOKUP(B197,BaseTable,2,FALSE)</f>
        <v>Schmecken</v>
      </c>
      <c r="F197" s="35">
        <f>D197/C197</f>
        <v>10.40017361111111</v>
      </c>
      <c r="G197" t="str">
        <f>IF(WEEKDAY(A197,2)&gt;5,"Weekend","Weekday")</f>
        <v>Weekday</v>
      </c>
      <c r="H197" s="32">
        <f>A197-WEEKDAY(A197,2)+1</f>
        <v>42037.0</v>
      </c>
      <c r="I197" t="str">
        <f>CHOOSE(WEEKDAY(A197,2),"Mon","Tue","Wed","Thu","Fri","Sat","Sun")</f>
        <v>Mon</v>
      </c>
    </row>
    <row r="198" spans="1:9">
      <c r="A198" s="32">
        <v>42037</v>
      </c>
      <c r="B198" t="s">
        <v>4</v>
      </c>
      <c r="C198">
        <v>3270</v>
      </c>
      <c r="D198">
        <v>30761</v>
      </c>
      <c r="E198" t="str">
        <f>VLOOKUP(B198,BaseTable,2,FALSE)</f>
        <v>Danach-NY</v>
      </c>
      <c r="F198" s="35">
        <f>D198/C198</f>
        <v>9.40703363914373</v>
      </c>
      <c r="G198" t="str">
        <f>IF(WEEKDAY(A198,2)&gt;5,"Weekend","Weekday")</f>
        <v>Weekday</v>
      </c>
      <c r="H198" s="32">
        <f>A198-WEEKDAY(A198,2)+1</f>
        <v>42037.0</v>
      </c>
      <c r="I198" t="str">
        <f>CHOOSE(WEEKDAY(A198,2),"Mon","Tue","Wed","Thu","Fri","Sat","Sun")</f>
        <v>Mon</v>
      </c>
    </row>
    <row r="199" spans="1:9">
      <c r="A199" s="32">
        <v>42037</v>
      </c>
      <c r="B199" t="s">
        <v>5</v>
      </c>
      <c r="C199">
        <v>275</v>
      </c>
      <c r="D199">
        <v>2607</v>
      </c>
      <c r="E199" t="str">
        <f>VLOOKUP(B199,BaseTable,2,FALSE)</f>
        <v>Grun</v>
      </c>
      <c r="F199" s="35">
        <f>D199/C199</f>
        <v>9.48</v>
      </c>
      <c r="G199" t="str">
        <f>IF(WEEKDAY(A199,2)&gt;5,"Weekend","Weekday")</f>
        <v>Weekday</v>
      </c>
      <c r="H199" s="32">
        <f>A199-WEEKDAY(A199,2)+1</f>
        <v>42037.0</v>
      </c>
      <c r="I199" t="str">
        <f>CHOOSE(WEEKDAY(A199,2),"Mon","Tue","Wed","Thu","Fri","Sat","Sun")</f>
        <v>Mon</v>
      </c>
    </row>
    <row r="200" spans="1:9">
      <c r="A200" s="32">
        <v>42038</v>
      </c>
      <c r="B200" t="s">
        <v>0</v>
      </c>
      <c r="C200">
        <v>257</v>
      </c>
      <c r="D200">
        <v>1915</v>
      </c>
      <c r="E200" t="str">
        <f>VLOOKUP(B200,BaseTable,2,FALSE)</f>
        <v>Unter</v>
      </c>
      <c r="F200" s="35">
        <f>D200/C200</f>
        <v>7.45136186770428</v>
      </c>
      <c r="G200" t="str">
        <f>IF(WEEKDAY(A200,2)&gt;5,"Weekend","Weekday")</f>
        <v>Weekday</v>
      </c>
      <c r="H200" s="32">
        <f>A200-WEEKDAY(A200,2)+1</f>
        <v>42037.0</v>
      </c>
      <c r="I200" t="str">
        <f>CHOOSE(WEEKDAY(A200,2),"Mon","Tue","Wed","Thu","Fri","Sat","Sun")</f>
        <v>Tue</v>
      </c>
    </row>
    <row r="201" spans="1:9">
      <c r="A201" s="32">
        <v>42038</v>
      </c>
      <c r="B201" t="s">
        <v>1</v>
      </c>
      <c r="C201">
        <v>991</v>
      </c>
      <c r="D201">
        <v>9602</v>
      </c>
      <c r="E201" t="str">
        <f>VLOOKUP(B201,BaseTable,2,FALSE)</f>
        <v>Hinter</v>
      </c>
      <c r="F201" s="35">
        <f>D201/C201</f>
        <v>9.68920282542886</v>
      </c>
      <c r="G201" t="str">
        <f>IF(WEEKDAY(A201,2)&gt;5,"Weekend","Weekday")</f>
        <v>Weekday</v>
      </c>
      <c r="H201" s="32">
        <f>A201-WEEKDAY(A201,2)+1</f>
        <v>42037.0</v>
      </c>
      <c r="I201" t="str">
        <f>CHOOSE(WEEKDAY(A201,2),"Mon","Tue","Wed","Thu","Fri","Sat","Sun")</f>
        <v>Tue</v>
      </c>
    </row>
    <row r="202" spans="1:9">
      <c r="A202" s="32">
        <v>42038</v>
      </c>
      <c r="B202" t="s">
        <v>2</v>
      </c>
      <c r="C202">
        <v>1350</v>
      </c>
      <c r="D202">
        <v>12665</v>
      </c>
      <c r="E202" t="str">
        <f>VLOOKUP(B202,BaseTable,2,FALSE)</f>
        <v>Weiter</v>
      </c>
      <c r="F202" s="35">
        <f>D202/C202</f>
        <v>9.381481481481481</v>
      </c>
      <c r="G202" t="str">
        <f>IF(WEEKDAY(A202,2)&gt;5,"Weekend","Weekday")</f>
        <v>Weekday</v>
      </c>
      <c r="H202" s="32">
        <f>A202-WEEKDAY(A202,2)+1</f>
        <v>42037.0</v>
      </c>
      <c r="I202" t="str">
        <f>CHOOSE(WEEKDAY(A202,2),"Mon","Tue","Wed","Thu","Fri","Sat","Sun")</f>
        <v>Tue</v>
      </c>
    </row>
    <row r="203" spans="1:9">
      <c r="A203" s="32">
        <v>42038</v>
      </c>
      <c r="B203" t="s">
        <v>3</v>
      </c>
      <c r="C203">
        <v>1269</v>
      </c>
      <c r="D203">
        <v>11955</v>
      </c>
      <c r="E203" t="str">
        <f>VLOOKUP(B203,BaseTable,2,FALSE)</f>
        <v>Schmecken</v>
      </c>
      <c r="F203" s="35">
        <f>D203/C203</f>
        <v>9.42080378250591</v>
      </c>
      <c r="G203" t="str">
        <f>IF(WEEKDAY(A203,2)&gt;5,"Weekend","Weekday")</f>
        <v>Weekday</v>
      </c>
      <c r="H203" s="32">
        <f>A203-WEEKDAY(A203,2)+1</f>
        <v>42037.0</v>
      </c>
      <c r="I203" t="str">
        <f>CHOOSE(WEEKDAY(A203,2),"Mon","Tue","Wed","Thu","Fri","Sat","Sun")</f>
        <v>Tue</v>
      </c>
    </row>
    <row r="204" spans="1:9">
      <c r="A204" s="32">
        <v>42038</v>
      </c>
      <c r="B204" t="s">
        <v>4</v>
      </c>
      <c r="C204">
        <v>3674</v>
      </c>
      <c r="D204">
        <v>31641</v>
      </c>
      <c r="E204" t="str">
        <f>VLOOKUP(B204,BaseTable,2,FALSE)</f>
        <v>Danach-NY</v>
      </c>
      <c r="F204" s="35">
        <f>D204/C204</f>
        <v>8.61213935764834</v>
      </c>
      <c r="G204" t="str">
        <f>IF(WEEKDAY(A204,2)&gt;5,"Weekend","Weekday")</f>
        <v>Weekday</v>
      </c>
      <c r="H204" s="32">
        <f>A204-WEEKDAY(A204,2)+1</f>
        <v>42037.0</v>
      </c>
      <c r="I204" t="str">
        <f>CHOOSE(WEEKDAY(A204,2),"Mon","Tue","Wed","Thu","Fri","Sat","Sun")</f>
        <v>Tue</v>
      </c>
    </row>
    <row r="205" spans="1:9">
      <c r="A205" s="32">
        <v>42038</v>
      </c>
      <c r="B205" t="s">
        <v>5</v>
      </c>
      <c r="C205">
        <v>299</v>
      </c>
      <c r="D205">
        <v>2410</v>
      </c>
      <c r="E205" t="str">
        <f>VLOOKUP(B205,BaseTable,2,FALSE)</f>
        <v>Grun</v>
      </c>
      <c r="F205" s="35">
        <f>D205/C205</f>
        <v>8.060200668896321</v>
      </c>
      <c r="G205" t="str">
        <f>IF(WEEKDAY(A205,2)&gt;5,"Weekend","Weekday")</f>
        <v>Weekday</v>
      </c>
      <c r="H205" s="32">
        <f>A205-WEEKDAY(A205,2)+1</f>
        <v>42037.0</v>
      </c>
      <c r="I205" t="str">
        <f>CHOOSE(WEEKDAY(A205,2),"Mon","Tue","Wed","Thu","Fri","Sat","Sun")</f>
        <v>Tue</v>
      </c>
    </row>
    <row r="206" spans="1:9">
      <c r="A206" s="32">
        <v>42039</v>
      </c>
      <c r="B206" t="s">
        <v>0</v>
      </c>
      <c r="C206">
        <v>244</v>
      </c>
      <c r="D206">
        <v>1639</v>
      </c>
      <c r="E206" t="str">
        <f>VLOOKUP(B206,BaseTable,2,FALSE)</f>
        <v>Unter</v>
      </c>
      <c r="F206" s="35">
        <f>D206/C206</f>
        <v>6.717213114754099</v>
      </c>
      <c r="G206" t="str">
        <f>IF(WEEKDAY(A206,2)&gt;5,"Weekend","Weekday")</f>
        <v>Weekday</v>
      </c>
      <c r="H206" s="32">
        <f>A206-WEEKDAY(A206,2)+1</f>
        <v>42037.0</v>
      </c>
      <c r="I206" t="str">
        <f>CHOOSE(WEEKDAY(A206,2),"Mon","Tue","Wed","Thu","Fri","Sat","Sun")</f>
        <v>Wed</v>
      </c>
    </row>
    <row r="207" spans="1:9">
      <c r="A207" s="32">
        <v>42039</v>
      </c>
      <c r="B207" t="s">
        <v>1</v>
      </c>
      <c r="C207">
        <v>1072</v>
      </c>
      <c r="D207">
        <v>9600</v>
      </c>
      <c r="E207" t="str">
        <f>VLOOKUP(B207,BaseTable,2,FALSE)</f>
        <v>Hinter</v>
      </c>
      <c r="F207" s="35">
        <f>D207/C207</f>
        <v>8.955223880597014</v>
      </c>
      <c r="G207" t="str">
        <f>IF(WEEKDAY(A207,2)&gt;5,"Weekend","Weekday")</f>
        <v>Weekday</v>
      </c>
      <c r="H207" s="32">
        <f>A207-WEEKDAY(A207,2)+1</f>
        <v>42037.0</v>
      </c>
      <c r="I207" t="str">
        <f>CHOOSE(WEEKDAY(A207,2),"Mon","Tue","Wed","Thu","Fri","Sat","Sun")</f>
        <v>Wed</v>
      </c>
    </row>
    <row r="208" spans="1:9">
      <c r="A208" s="32">
        <v>42039</v>
      </c>
      <c r="B208" t="s">
        <v>2</v>
      </c>
      <c r="C208">
        <v>1393</v>
      </c>
      <c r="D208">
        <v>11959</v>
      </c>
      <c r="E208" t="str">
        <f>VLOOKUP(B208,BaseTable,2,FALSE)</f>
        <v>Weiter</v>
      </c>
      <c r="F208" s="35">
        <f>D208/C208</f>
        <v>8.585068198133525</v>
      </c>
      <c r="G208" t="str">
        <f>IF(WEEKDAY(A208,2)&gt;5,"Weekend","Weekday")</f>
        <v>Weekday</v>
      </c>
      <c r="H208" s="32">
        <f>A208-WEEKDAY(A208,2)+1</f>
        <v>42037.0</v>
      </c>
      <c r="I208" t="str">
        <f>CHOOSE(WEEKDAY(A208,2),"Mon","Tue","Wed","Thu","Fri","Sat","Sun")</f>
        <v>Wed</v>
      </c>
    </row>
    <row r="209" spans="1:9">
      <c r="A209" s="32">
        <v>42039</v>
      </c>
      <c r="B209" t="s">
        <v>3</v>
      </c>
      <c r="C209">
        <v>1311</v>
      </c>
      <c r="D209">
        <v>11309</v>
      </c>
      <c r="E209" t="str">
        <f>VLOOKUP(B209,BaseTable,2,FALSE)</f>
        <v>Schmecken</v>
      </c>
      <c r="F209" s="35">
        <f>D209/C209</f>
        <v>8.626239511823035</v>
      </c>
      <c r="G209" t="str">
        <f>IF(WEEKDAY(A209,2)&gt;5,"Weekend","Weekday")</f>
        <v>Weekday</v>
      </c>
      <c r="H209" s="32">
        <f>A209-WEEKDAY(A209,2)+1</f>
        <v>42037.0</v>
      </c>
      <c r="I209" t="str">
        <f>CHOOSE(WEEKDAY(A209,2),"Mon","Tue","Wed","Thu","Fri","Sat","Sun")</f>
        <v>Wed</v>
      </c>
    </row>
    <row r="210" spans="1:9">
      <c r="A210" s="32">
        <v>42039</v>
      </c>
      <c r="B210" t="s">
        <v>4</v>
      </c>
      <c r="C210">
        <v>3856</v>
      </c>
      <c r="D210">
        <v>29994</v>
      </c>
      <c r="E210" t="str">
        <f>VLOOKUP(B210,BaseTable,2,FALSE)</f>
        <v>Danach-NY</v>
      </c>
      <c r="F210" s="35">
        <f>D210/C210</f>
        <v>7.778526970954357</v>
      </c>
      <c r="G210" t="str">
        <f>IF(WEEKDAY(A210,2)&gt;5,"Weekend","Weekday")</f>
        <v>Weekday</v>
      </c>
      <c r="H210" s="32">
        <f>A210-WEEKDAY(A210,2)+1</f>
        <v>42037.0</v>
      </c>
      <c r="I210" t="str">
        <f>CHOOSE(WEEKDAY(A210,2),"Mon","Tue","Wed","Thu","Fri","Sat","Sun")</f>
        <v>Wed</v>
      </c>
    </row>
    <row r="211" spans="1:9">
      <c r="A211" s="32">
        <v>42039</v>
      </c>
      <c r="B211" t="s">
        <v>5</v>
      </c>
      <c r="C211">
        <v>309</v>
      </c>
      <c r="D211">
        <v>2334</v>
      </c>
      <c r="E211" t="str">
        <f>VLOOKUP(B211,BaseTable,2,FALSE)</f>
        <v>Grun</v>
      </c>
      <c r="F211" s="35">
        <f>D211/C211</f>
        <v>7.553398058252427</v>
      </c>
      <c r="G211" t="str">
        <f>IF(WEEKDAY(A211,2)&gt;5,"Weekend","Weekday")</f>
        <v>Weekday</v>
      </c>
      <c r="H211" s="32">
        <f>A211-WEEKDAY(A211,2)+1</f>
        <v>42037.0</v>
      </c>
      <c r="I211" t="str">
        <f>CHOOSE(WEEKDAY(A211,2),"Mon","Tue","Wed","Thu","Fri","Sat","Sun")</f>
        <v>Wed</v>
      </c>
    </row>
    <row r="212" spans="1:9">
      <c r="A212" s="32">
        <v>42040</v>
      </c>
      <c r="B212" t="s">
        <v>0</v>
      </c>
      <c r="C212">
        <v>264</v>
      </c>
      <c r="D212">
        <v>2022</v>
      </c>
      <c r="E212" t="str">
        <f>VLOOKUP(B212,BaseTable,2,FALSE)</f>
        <v>Unter</v>
      </c>
      <c r="F212" s="35">
        <f>D212/C212</f>
        <v>7.659090909090909</v>
      </c>
      <c r="G212" t="str">
        <f>IF(WEEKDAY(A212,2)&gt;5,"Weekend","Weekday")</f>
        <v>Weekday</v>
      </c>
      <c r="H212" s="32">
        <f>A212-WEEKDAY(A212,2)+1</f>
        <v>42037.0</v>
      </c>
      <c r="I212" t="str">
        <f>CHOOSE(WEEKDAY(A212,2),"Mon","Tue","Wed","Thu","Fri","Sat","Sun")</f>
        <v>Thu</v>
      </c>
    </row>
    <row r="213" spans="1:9">
      <c r="A213" s="32">
        <v>42040</v>
      </c>
      <c r="B213" t="s">
        <v>1</v>
      </c>
      <c r="C213">
        <v>1179</v>
      </c>
      <c r="D213">
        <v>11609</v>
      </c>
      <c r="E213" t="str">
        <f>VLOOKUP(B213,BaseTable,2,FALSE)</f>
        <v>Hinter</v>
      </c>
      <c r="F213" s="35">
        <f>D213/C213</f>
        <v>9.846480067854113</v>
      </c>
      <c r="G213" t="str">
        <f>IF(WEEKDAY(A213,2)&gt;5,"Weekend","Weekday")</f>
        <v>Weekday</v>
      </c>
      <c r="H213" s="32">
        <f>A213-WEEKDAY(A213,2)+1</f>
        <v>42037.0</v>
      </c>
      <c r="I213" t="str">
        <f>CHOOSE(WEEKDAY(A213,2),"Mon","Tue","Wed","Thu","Fri","Sat","Sun")</f>
        <v>Thu</v>
      </c>
    </row>
    <row r="214" spans="1:9">
      <c r="A214" s="32">
        <v>42040</v>
      </c>
      <c r="B214" t="s">
        <v>2</v>
      </c>
      <c r="C214">
        <v>1524</v>
      </c>
      <c r="D214">
        <v>14499</v>
      </c>
      <c r="E214" t="str">
        <f>VLOOKUP(B214,BaseTable,2,FALSE)</f>
        <v>Weiter</v>
      </c>
      <c r="F214" s="35">
        <f>D214/C214</f>
        <v>9.513779527559056</v>
      </c>
      <c r="G214" t="str">
        <f>IF(WEEKDAY(A214,2)&gt;5,"Weekend","Weekday")</f>
        <v>Weekday</v>
      </c>
      <c r="H214" s="32">
        <f>A214-WEEKDAY(A214,2)+1</f>
        <v>42037.0</v>
      </c>
      <c r="I214" t="str">
        <f>CHOOSE(WEEKDAY(A214,2),"Mon","Tue","Wed","Thu","Fri","Sat","Sun")</f>
        <v>Thu</v>
      </c>
    </row>
    <row r="215" spans="1:9">
      <c r="A215" s="32">
        <v>42040</v>
      </c>
      <c r="B215" t="s">
        <v>3</v>
      </c>
      <c r="C215">
        <v>1418</v>
      </c>
      <c r="D215">
        <v>13782</v>
      </c>
      <c r="E215" t="str">
        <f>VLOOKUP(B215,BaseTable,2,FALSE)</f>
        <v>Schmecken</v>
      </c>
      <c r="F215" s="35">
        <f>D215/C215</f>
        <v>9.719322990126939</v>
      </c>
      <c r="G215" t="str">
        <f>IF(WEEKDAY(A215,2)&gt;5,"Weekend","Weekday")</f>
        <v>Weekday</v>
      </c>
      <c r="H215" s="32">
        <f>A215-WEEKDAY(A215,2)+1</f>
        <v>42037.0</v>
      </c>
      <c r="I215" t="str">
        <f>CHOOSE(WEEKDAY(A215,2),"Mon","Tue","Wed","Thu","Fri","Sat","Sun")</f>
        <v>Thu</v>
      </c>
    </row>
    <row r="216" spans="1:9">
      <c r="A216" s="32">
        <v>42040</v>
      </c>
      <c r="B216" t="s">
        <v>4</v>
      </c>
      <c r="C216">
        <v>4093</v>
      </c>
      <c r="D216">
        <v>35990</v>
      </c>
      <c r="E216" t="str">
        <f>VLOOKUP(B216,BaseTable,2,FALSE)</f>
        <v>Danach-NY</v>
      </c>
      <c r="F216" s="35">
        <f>D216/C216</f>
        <v>8.793061324212069</v>
      </c>
      <c r="G216" t="str">
        <f>IF(WEEKDAY(A216,2)&gt;5,"Weekend","Weekday")</f>
        <v>Weekday</v>
      </c>
      <c r="H216" s="32">
        <f>A216-WEEKDAY(A216,2)+1</f>
        <v>42037.0</v>
      </c>
      <c r="I216" t="str">
        <f>CHOOSE(WEEKDAY(A216,2),"Mon","Tue","Wed","Thu","Fri","Sat","Sun")</f>
        <v>Thu</v>
      </c>
    </row>
    <row r="217" spans="1:9">
      <c r="A217" s="32">
        <v>42040</v>
      </c>
      <c r="B217" t="s">
        <v>5</v>
      </c>
      <c r="C217">
        <v>355</v>
      </c>
      <c r="D217">
        <v>3011</v>
      </c>
      <c r="E217" t="str">
        <f>VLOOKUP(B217,BaseTable,2,FALSE)</f>
        <v>Grun</v>
      </c>
      <c r="F217" s="35">
        <f>D217/C217</f>
        <v>8.481690140845071</v>
      </c>
      <c r="G217" t="str">
        <f>IF(WEEKDAY(A217,2)&gt;5,"Weekend","Weekday")</f>
        <v>Weekday</v>
      </c>
      <c r="H217" s="32">
        <f>A217-WEEKDAY(A217,2)+1</f>
        <v>42037.0</v>
      </c>
      <c r="I217" t="str">
        <f>CHOOSE(WEEKDAY(A217,2),"Mon","Tue","Wed","Thu","Fri","Sat","Sun")</f>
        <v>Thu</v>
      </c>
    </row>
    <row r="218" spans="1:9">
      <c r="A218" s="32">
        <v>42041</v>
      </c>
      <c r="B218" t="s">
        <v>0</v>
      </c>
      <c r="C218">
        <v>261</v>
      </c>
      <c r="D218">
        <v>1989</v>
      </c>
      <c r="E218" t="str">
        <f>VLOOKUP(B218,BaseTable,2,FALSE)</f>
        <v>Unter</v>
      </c>
      <c r="F218" s="35">
        <f>D218/C218</f>
        <v>7.620689655172414</v>
      </c>
      <c r="G218" t="str">
        <f>IF(WEEKDAY(A218,2)&gt;5,"Weekend","Weekday")</f>
        <v>Weekday</v>
      </c>
      <c r="H218" s="32">
        <f>A218-WEEKDAY(A218,2)+1</f>
        <v>42037.0</v>
      </c>
      <c r="I218" t="str">
        <f>CHOOSE(WEEKDAY(A218,2),"Mon","Tue","Wed","Thu","Fri","Sat","Sun")</f>
        <v>Fri</v>
      </c>
    </row>
    <row r="219" spans="1:9">
      <c r="A219" s="32">
        <v>42041</v>
      </c>
      <c r="B219" t="s">
        <v>1</v>
      </c>
      <c r="C219">
        <v>1181</v>
      </c>
      <c r="D219">
        <v>11897</v>
      </c>
      <c r="E219" t="str">
        <f>VLOOKUP(B219,BaseTable,2,FALSE)</f>
        <v>Hinter</v>
      </c>
      <c r="F219" s="35">
        <f>D219/C219</f>
        <v>10.073666384419983</v>
      </c>
      <c r="G219" t="str">
        <f>IF(WEEKDAY(A219,2)&gt;5,"Weekend","Weekday")</f>
        <v>Weekday</v>
      </c>
      <c r="H219" s="32">
        <f>A219-WEEKDAY(A219,2)+1</f>
        <v>42037.0</v>
      </c>
      <c r="I219" t="str">
        <f>CHOOSE(WEEKDAY(A219,2),"Mon","Tue","Wed","Thu","Fri","Sat","Sun")</f>
        <v>Fri</v>
      </c>
    </row>
    <row r="220" spans="1:9">
      <c r="A220" s="32">
        <v>42041</v>
      </c>
      <c r="B220" t="s">
        <v>2</v>
      </c>
      <c r="C220">
        <v>1526</v>
      </c>
      <c r="D220">
        <v>15417</v>
      </c>
      <c r="E220" t="str">
        <f>VLOOKUP(B220,BaseTable,2,FALSE)</f>
        <v>Weiter</v>
      </c>
      <c r="F220" s="35">
        <f>D220/C220</f>
        <v>10.102883355176933</v>
      </c>
      <c r="G220" t="str">
        <f>IF(WEEKDAY(A220,2)&gt;5,"Weekend","Weekday")</f>
        <v>Weekday</v>
      </c>
      <c r="H220" s="32">
        <f>A220-WEEKDAY(A220,2)+1</f>
        <v>42037.0</v>
      </c>
      <c r="I220" t="str">
        <f>CHOOSE(WEEKDAY(A220,2),"Mon","Tue","Wed","Thu","Fri","Sat","Sun")</f>
        <v>Fri</v>
      </c>
    </row>
    <row r="221" spans="1:9">
      <c r="A221" s="32">
        <v>42041</v>
      </c>
      <c r="B221" t="s">
        <v>3</v>
      </c>
      <c r="C221">
        <v>1414</v>
      </c>
      <c r="D221">
        <v>14375</v>
      </c>
      <c r="E221" t="str">
        <f>VLOOKUP(B221,BaseTable,2,FALSE)</f>
        <v>Schmecken</v>
      </c>
      <c r="F221" s="35">
        <f>D221/C221</f>
        <v>10.166195190947667</v>
      </c>
      <c r="G221" t="str">
        <f>IF(WEEKDAY(A221,2)&gt;5,"Weekend","Weekday")</f>
        <v>Weekday</v>
      </c>
      <c r="H221" s="32">
        <f>A221-WEEKDAY(A221,2)+1</f>
        <v>42037.0</v>
      </c>
      <c r="I221" t="str">
        <f>CHOOSE(WEEKDAY(A221,2),"Mon","Tue","Wed","Thu","Fri","Sat","Sun")</f>
        <v>Fri</v>
      </c>
    </row>
    <row r="222" spans="1:9">
      <c r="A222" s="32">
        <v>42041</v>
      </c>
      <c r="B222" t="s">
        <v>4</v>
      </c>
      <c r="C222">
        <v>4170</v>
      </c>
      <c r="D222">
        <v>38693</v>
      </c>
      <c r="E222" t="str">
        <f>VLOOKUP(B222,BaseTable,2,FALSE)</f>
        <v>Danach-NY</v>
      </c>
      <c r="F222" s="35">
        <f>D222/C222</f>
        <v>9.278896882494005</v>
      </c>
      <c r="G222" t="str">
        <f>IF(WEEKDAY(A222,2)&gt;5,"Weekend","Weekday")</f>
        <v>Weekday</v>
      </c>
      <c r="H222" s="32">
        <f>A222-WEEKDAY(A222,2)+1</f>
        <v>42037.0</v>
      </c>
      <c r="I222" t="str">
        <f>CHOOSE(WEEKDAY(A222,2),"Mon","Tue","Wed","Thu","Fri","Sat","Sun")</f>
        <v>Fri</v>
      </c>
    </row>
    <row r="223" spans="1:9">
      <c r="A223" s="32">
        <v>42041</v>
      </c>
      <c r="B223" t="s">
        <v>5</v>
      </c>
      <c r="C223">
        <v>385</v>
      </c>
      <c r="D223">
        <v>3569</v>
      </c>
      <c r="E223" t="str">
        <f>VLOOKUP(B223,BaseTable,2,FALSE)</f>
        <v>Grun</v>
      </c>
      <c r="F223" s="35">
        <f>D223/C223</f>
        <v>9.27012987012987</v>
      </c>
      <c r="G223" t="str">
        <f>IF(WEEKDAY(A223,2)&gt;5,"Weekend","Weekday")</f>
        <v>Weekday</v>
      </c>
      <c r="H223" s="32">
        <f>A223-WEEKDAY(A223,2)+1</f>
        <v>42037.0</v>
      </c>
      <c r="I223" t="str">
        <f>CHOOSE(WEEKDAY(A223,2),"Mon","Tue","Wed","Thu","Fri","Sat","Sun")</f>
        <v>Fri</v>
      </c>
    </row>
    <row r="224" spans="1:9">
      <c r="A224" s="32">
        <v>42042</v>
      </c>
      <c r="B224" t="s">
        <v>0</v>
      </c>
      <c r="C224">
        <v>211</v>
      </c>
      <c r="D224">
        <v>1504</v>
      </c>
      <c r="E224" t="str">
        <f>VLOOKUP(B224,BaseTable,2,FALSE)</f>
        <v>Unter</v>
      </c>
      <c r="F224" s="35">
        <f>D224/C224</f>
        <v>7.127962085308057</v>
      </c>
      <c r="G224" t="str">
        <f>IF(WEEKDAY(A224,2)&gt;5,"Weekend","Weekday")</f>
        <v>Weekend</v>
      </c>
      <c r="H224" s="32">
        <f>A224-WEEKDAY(A224,2)+1</f>
        <v>42037.0</v>
      </c>
      <c r="I224" t="str">
        <f>CHOOSE(WEEKDAY(A224,2),"Mon","Tue","Wed","Thu","Fri","Sat","Sun")</f>
        <v>Sat</v>
      </c>
    </row>
    <row r="225" spans="1:9">
      <c r="A225" s="32">
        <v>42042</v>
      </c>
      <c r="B225" t="s">
        <v>1</v>
      </c>
      <c r="C225">
        <v>1031</v>
      </c>
      <c r="D225">
        <v>10512</v>
      </c>
      <c r="E225" t="str">
        <f>VLOOKUP(B225,BaseTable,2,FALSE)</f>
        <v>Hinter</v>
      </c>
      <c r="F225" s="35">
        <f>D225/C225</f>
        <v>10.19592628516004</v>
      </c>
      <c r="G225" t="str">
        <f>IF(WEEKDAY(A225,2)&gt;5,"Weekend","Weekday")</f>
        <v>Weekend</v>
      </c>
      <c r="H225" s="32">
        <f>A225-WEEKDAY(A225,2)+1</f>
        <v>42037.0</v>
      </c>
      <c r="I225" t="str">
        <f>CHOOSE(WEEKDAY(A225,2),"Mon","Tue","Wed","Thu","Fri","Sat","Sun")</f>
        <v>Sat</v>
      </c>
    </row>
    <row r="226" spans="1:9">
      <c r="A226" s="32">
        <v>42042</v>
      </c>
      <c r="B226" t="s">
        <v>2</v>
      </c>
      <c r="C226">
        <v>1383</v>
      </c>
      <c r="D226">
        <v>13688</v>
      </c>
      <c r="E226" t="str">
        <f>VLOOKUP(B226,BaseTable,2,FALSE)</f>
        <v>Weiter</v>
      </c>
      <c r="F226" s="35">
        <f>D226/C226</f>
        <v>9.897324656543745</v>
      </c>
      <c r="G226" t="str">
        <f>IF(WEEKDAY(A226,2)&gt;5,"Weekend","Weekday")</f>
        <v>Weekend</v>
      </c>
      <c r="H226" s="32">
        <f>A226-WEEKDAY(A226,2)+1</f>
        <v>42037.0</v>
      </c>
      <c r="I226" t="str">
        <f>CHOOSE(WEEKDAY(A226,2),"Mon","Tue","Wed","Thu","Fri","Sat","Sun")</f>
        <v>Sat</v>
      </c>
    </row>
    <row r="227" spans="1:9">
      <c r="A227" s="32">
        <v>42042</v>
      </c>
      <c r="B227" t="s">
        <v>3</v>
      </c>
      <c r="C227">
        <v>1300</v>
      </c>
      <c r="D227">
        <v>13450</v>
      </c>
      <c r="E227" t="str">
        <f>VLOOKUP(B227,BaseTable,2,FALSE)</f>
        <v>Schmecken</v>
      </c>
      <c r="F227" s="35">
        <f>D227/C227</f>
        <v>10.346153846153847</v>
      </c>
      <c r="G227" t="str">
        <f>IF(WEEKDAY(A227,2)&gt;5,"Weekend","Weekday")</f>
        <v>Weekend</v>
      </c>
      <c r="H227" s="32">
        <f>A227-WEEKDAY(A227,2)+1</f>
        <v>42037.0</v>
      </c>
      <c r="I227" t="str">
        <f>CHOOSE(WEEKDAY(A227,2),"Mon","Tue","Wed","Thu","Fri","Sat","Sun")</f>
        <v>Sat</v>
      </c>
    </row>
    <row r="228" spans="1:9">
      <c r="A228" s="32">
        <v>42042</v>
      </c>
      <c r="B228" t="s">
        <v>4</v>
      </c>
      <c r="C228">
        <v>3849</v>
      </c>
      <c r="D228">
        <v>38530</v>
      </c>
      <c r="E228" t="str">
        <f>VLOOKUP(B228,BaseTable,2,FALSE)</f>
        <v>Danach-NY</v>
      </c>
      <c r="F228" s="35">
        <f>D228/C228</f>
        <v>10.010392309690829</v>
      </c>
      <c r="G228" t="str">
        <f>IF(WEEKDAY(A228,2)&gt;5,"Weekend","Weekday")</f>
        <v>Weekend</v>
      </c>
      <c r="H228" s="32">
        <f>A228-WEEKDAY(A228,2)+1</f>
        <v>42037.0</v>
      </c>
      <c r="I228" t="str">
        <f>CHOOSE(WEEKDAY(A228,2),"Mon","Tue","Wed","Thu","Fri","Sat","Sun")</f>
        <v>Sat</v>
      </c>
    </row>
    <row r="229" spans="1:9">
      <c r="A229" s="32">
        <v>42042</v>
      </c>
      <c r="B229" t="s">
        <v>5</v>
      </c>
      <c r="C229">
        <v>345</v>
      </c>
      <c r="D229">
        <v>3473</v>
      </c>
      <c r="E229" t="str">
        <f>VLOOKUP(B229,BaseTable,2,FALSE)</f>
        <v>Grun</v>
      </c>
      <c r="F229" s="35">
        <f>D229/C229</f>
        <v>10.066666666666666</v>
      </c>
      <c r="G229" t="str">
        <f>IF(WEEKDAY(A229,2)&gt;5,"Weekend","Weekday")</f>
        <v>Weekend</v>
      </c>
      <c r="H229" s="32">
        <f>A229-WEEKDAY(A229,2)+1</f>
        <v>42037.0</v>
      </c>
      <c r="I229" t="str">
        <f>CHOOSE(WEEKDAY(A229,2),"Mon","Tue","Wed","Thu","Fri","Sat","Sun")</f>
        <v>Sat</v>
      </c>
    </row>
    <row r="230" spans="1:9">
      <c r="A230" s="32">
        <v>42043</v>
      </c>
      <c r="B230" t="s">
        <v>0</v>
      </c>
      <c r="C230">
        <v>176</v>
      </c>
      <c r="D230">
        <v>1196</v>
      </c>
      <c r="E230" t="str">
        <f>VLOOKUP(B230,BaseTable,2,FALSE)</f>
        <v>Unter</v>
      </c>
      <c r="F230" s="35">
        <f>D230/C230</f>
        <v>6.795454545454546</v>
      </c>
      <c r="G230" t="str">
        <f>IF(WEEKDAY(A230,2)&gt;5,"Weekend","Weekday")</f>
        <v>Weekend</v>
      </c>
      <c r="H230" s="32">
        <f>A230-WEEKDAY(A230,2)+1</f>
        <v>42037.0</v>
      </c>
      <c r="I230" t="str">
        <f>CHOOSE(WEEKDAY(A230,2),"Mon","Tue","Wed","Thu","Fri","Sat","Sun")</f>
        <v>Sun</v>
      </c>
    </row>
    <row r="231" spans="1:9">
      <c r="A231" s="32">
        <v>42043</v>
      </c>
      <c r="B231" t="s">
        <v>1</v>
      </c>
      <c r="C231">
        <v>923</v>
      </c>
      <c r="D231">
        <v>8129</v>
      </c>
      <c r="E231" t="str">
        <f>VLOOKUP(B231,BaseTable,2,FALSE)</f>
        <v>Hinter</v>
      </c>
      <c r="F231" s="35">
        <f>D231/C231</f>
        <v>8.807150595882991</v>
      </c>
      <c r="G231" t="str">
        <f>IF(WEEKDAY(A231,2)&gt;5,"Weekend","Weekday")</f>
        <v>Weekend</v>
      </c>
      <c r="H231" s="32">
        <f>A231-WEEKDAY(A231,2)+1</f>
        <v>42037.0</v>
      </c>
      <c r="I231" t="str">
        <f>CHOOSE(WEEKDAY(A231,2),"Mon","Tue","Wed","Thu","Fri","Sat","Sun")</f>
        <v>Sun</v>
      </c>
    </row>
    <row r="232" spans="1:9">
      <c r="A232" s="32">
        <v>42043</v>
      </c>
      <c r="B232" t="s">
        <v>2</v>
      </c>
      <c r="C232">
        <v>1256</v>
      </c>
      <c r="D232">
        <v>11004</v>
      </c>
      <c r="E232" t="str">
        <f>VLOOKUP(B232,BaseTable,2,FALSE)</f>
        <v>Weiter</v>
      </c>
      <c r="F232" s="35">
        <f>D232/C232</f>
        <v>8.761146496815286</v>
      </c>
      <c r="G232" t="str">
        <f>IF(WEEKDAY(A232,2)&gt;5,"Weekend","Weekday")</f>
        <v>Weekend</v>
      </c>
      <c r="H232" s="32">
        <f>A232-WEEKDAY(A232,2)+1</f>
        <v>42037.0</v>
      </c>
      <c r="I232" t="str">
        <f>CHOOSE(WEEKDAY(A232,2),"Mon","Tue","Wed","Thu","Fri","Sat","Sun")</f>
        <v>Sun</v>
      </c>
    </row>
    <row r="233" spans="1:9">
      <c r="A233" s="32">
        <v>42043</v>
      </c>
      <c r="B233" t="s">
        <v>3</v>
      </c>
      <c r="C233">
        <v>1136</v>
      </c>
      <c r="D233">
        <v>10356</v>
      </c>
      <c r="E233" t="str">
        <f>VLOOKUP(B233,BaseTable,2,FALSE)</f>
        <v>Schmecken</v>
      </c>
      <c r="F233" s="35">
        <f>D233/C233</f>
        <v>9.116197183098592</v>
      </c>
      <c r="G233" t="str">
        <f>IF(WEEKDAY(A233,2)&gt;5,"Weekend","Weekday")</f>
        <v>Weekend</v>
      </c>
      <c r="H233" s="32">
        <f>A233-WEEKDAY(A233,2)+1</f>
        <v>42037.0</v>
      </c>
      <c r="I233" t="str">
        <f>CHOOSE(WEEKDAY(A233,2),"Mon","Tue","Wed","Thu","Fri","Sat","Sun")</f>
        <v>Sun</v>
      </c>
    </row>
    <row r="234" spans="1:9">
      <c r="A234" s="32">
        <v>42043</v>
      </c>
      <c r="B234" t="s">
        <v>4</v>
      </c>
      <c r="C234">
        <v>3422</v>
      </c>
      <c r="D234">
        <v>29692</v>
      </c>
      <c r="E234" t="str">
        <f>VLOOKUP(B234,BaseTable,2,FALSE)</f>
        <v>Danach-NY</v>
      </c>
      <c r="F234" s="35">
        <f>D234/C234</f>
        <v>8.676797194623028</v>
      </c>
      <c r="G234" t="str">
        <f>IF(WEEKDAY(A234,2)&gt;5,"Weekend","Weekday")</f>
        <v>Weekend</v>
      </c>
      <c r="H234" s="32">
        <f>A234-WEEKDAY(A234,2)+1</f>
        <v>42037.0</v>
      </c>
      <c r="I234" t="str">
        <f>CHOOSE(WEEKDAY(A234,2),"Mon","Tue","Wed","Thu","Fri","Sat","Sun")</f>
        <v>Sun</v>
      </c>
    </row>
    <row r="235" spans="1:9">
      <c r="A235" s="32">
        <v>42043</v>
      </c>
      <c r="B235" t="s">
        <v>5</v>
      </c>
      <c r="C235">
        <v>313</v>
      </c>
      <c r="D235">
        <v>2623</v>
      </c>
      <c r="E235" t="str">
        <f>VLOOKUP(B235,BaseTable,2,FALSE)</f>
        <v>Grun</v>
      </c>
      <c r="F235" s="35">
        <f>D235/C235</f>
        <v>8.380191693290735</v>
      </c>
      <c r="G235" t="str">
        <f>IF(WEEKDAY(A235,2)&gt;5,"Weekend","Weekday")</f>
        <v>Weekend</v>
      </c>
      <c r="H235" s="32">
        <f>A235-WEEKDAY(A235,2)+1</f>
        <v>42037.0</v>
      </c>
      <c r="I235" t="str">
        <f>CHOOSE(WEEKDAY(A235,2),"Mon","Tue","Wed","Thu","Fri","Sat","Sun")</f>
        <v>Sun</v>
      </c>
    </row>
    <row r="236" spans="1:9">
      <c r="A236" s="32">
        <v>42044</v>
      </c>
      <c r="B236" t="s">
        <v>0</v>
      </c>
      <c r="C236">
        <v>228</v>
      </c>
      <c r="D236">
        <v>1565</v>
      </c>
      <c r="E236" t="str">
        <f>VLOOKUP(B236,BaseTable,2,FALSE)</f>
        <v>Unter</v>
      </c>
      <c r="F236" s="35">
        <f>D236/C236</f>
        <v>6.864035087719298</v>
      </c>
      <c r="G236" t="str">
        <f>IF(WEEKDAY(A236,2)&gt;5,"Weekend","Weekday")</f>
        <v>Weekday</v>
      </c>
      <c r="H236" s="32">
        <f>A236-WEEKDAY(A236,2)+1</f>
        <v>42044.0</v>
      </c>
      <c r="I236" t="str">
        <f>CHOOSE(WEEKDAY(A236,2),"Mon","Tue","Wed","Thu","Fri","Sat","Sun")</f>
        <v>Mon</v>
      </c>
    </row>
    <row r="237" spans="1:9">
      <c r="A237" s="32">
        <v>42044</v>
      </c>
      <c r="B237" t="s">
        <v>1</v>
      </c>
      <c r="C237">
        <v>976</v>
      </c>
      <c r="D237">
        <v>8135</v>
      </c>
      <c r="E237" t="str">
        <f>VLOOKUP(B237,BaseTable,2,FALSE)</f>
        <v>Hinter</v>
      </c>
      <c r="F237" s="35">
        <f>D237/C237</f>
        <v>8.335040983606557</v>
      </c>
      <c r="G237" t="str">
        <f>IF(WEEKDAY(A237,2)&gt;5,"Weekend","Weekday")</f>
        <v>Weekday</v>
      </c>
      <c r="H237" s="32">
        <f>A237-WEEKDAY(A237,2)+1</f>
        <v>42044.0</v>
      </c>
      <c r="I237" t="str">
        <f>CHOOSE(WEEKDAY(A237,2),"Mon","Tue","Wed","Thu","Fri","Sat","Sun")</f>
        <v>Mon</v>
      </c>
    </row>
    <row r="238" spans="1:9">
      <c r="A238" s="32">
        <v>42044</v>
      </c>
      <c r="B238" t="s">
        <v>2</v>
      </c>
      <c r="C238">
        <v>1312</v>
      </c>
      <c r="D238">
        <v>10887</v>
      </c>
      <c r="E238" t="str">
        <f>VLOOKUP(B238,BaseTable,2,FALSE)</f>
        <v>Weiter</v>
      </c>
      <c r="F238" s="35">
        <f>D238/C238</f>
        <v>8.298018292682928</v>
      </c>
      <c r="G238" t="str">
        <f>IF(WEEKDAY(A238,2)&gt;5,"Weekend","Weekday")</f>
        <v>Weekday</v>
      </c>
      <c r="H238" s="32">
        <f>A238-WEEKDAY(A238,2)+1</f>
        <v>42044.0</v>
      </c>
      <c r="I238" t="str">
        <f>CHOOSE(WEEKDAY(A238,2),"Mon","Tue","Wed","Thu","Fri","Sat","Sun")</f>
        <v>Mon</v>
      </c>
    </row>
    <row r="239" spans="1:9">
      <c r="A239" s="32">
        <v>42044</v>
      </c>
      <c r="B239" t="s">
        <v>3</v>
      </c>
      <c r="C239">
        <v>1241</v>
      </c>
      <c r="D239">
        <v>10209</v>
      </c>
      <c r="E239" t="str">
        <f>VLOOKUP(B239,BaseTable,2,FALSE)</f>
        <v>Schmecken</v>
      </c>
      <c r="F239" s="35">
        <f>D239/C239</f>
        <v>8.226430298146656</v>
      </c>
      <c r="G239" t="str">
        <f>IF(WEEKDAY(A239,2)&gt;5,"Weekend","Weekday")</f>
        <v>Weekday</v>
      </c>
      <c r="H239" s="32">
        <f>A239-WEEKDAY(A239,2)+1</f>
        <v>42044.0</v>
      </c>
      <c r="I239" t="str">
        <f>CHOOSE(WEEKDAY(A239,2),"Mon","Tue","Wed","Thu","Fri","Sat","Sun")</f>
        <v>Mon</v>
      </c>
    </row>
    <row r="240" spans="1:9">
      <c r="A240" s="32">
        <v>42044</v>
      </c>
      <c r="B240" t="s">
        <v>4</v>
      </c>
      <c r="C240">
        <v>3543</v>
      </c>
      <c r="D240">
        <v>28266</v>
      </c>
      <c r="E240" t="str">
        <f>VLOOKUP(B240,BaseTable,2,FALSE)</f>
        <v>Danach-NY</v>
      </c>
      <c r="F240" s="35">
        <f>D240/C240</f>
        <v>7.977984758679086</v>
      </c>
      <c r="G240" t="str">
        <f>IF(WEEKDAY(A240,2)&gt;5,"Weekend","Weekday")</f>
        <v>Weekday</v>
      </c>
      <c r="H240" s="32">
        <f>A240-WEEKDAY(A240,2)+1</f>
        <v>42044.0</v>
      </c>
      <c r="I240" t="str">
        <f>CHOOSE(WEEKDAY(A240,2),"Mon","Tue","Wed","Thu","Fri","Sat","Sun")</f>
        <v>Mon</v>
      </c>
    </row>
    <row r="241" spans="1:9">
      <c r="A241" s="32">
        <v>42044</v>
      </c>
      <c r="B241" t="s">
        <v>5</v>
      </c>
      <c r="C241">
        <v>388</v>
      </c>
      <c r="D241">
        <v>2894</v>
      </c>
      <c r="E241" t="str">
        <f>VLOOKUP(B241,BaseTable,2,FALSE)</f>
        <v>Grun</v>
      </c>
      <c r="F241" s="35">
        <f>D241/C241</f>
        <v>7.458762886597938</v>
      </c>
      <c r="G241" t="str">
        <f>IF(WEEKDAY(A241,2)&gt;5,"Weekend","Weekday")</f>
        <v>Weekday</v>
      </c>
      <c r="H241" s="32">
        <f>A241-WEEKDAY(A241,2)+1</f>
        <v>42044.0</v>
      </c>
      <c r="I241" t="str">
        <f>CHOOSE(WEEKDAY(A241,2),"Mon","Tue","Wed","Thu","Fri","Sat","Sun")</f>
        <v>Mon</v>
      </c>
    </row>
    <row r="242" spans="1:9">
      <c r="A242" s="32">
        <v>42045</v>
      </c>
      <c r="B242" t="s">
        <v>0</v>
      </c>
      <c r="C242">
        <v>233</v>
      </c>
      <c r="D242">
        <v>1555</v>
      </c>
      <c r="E242" t="str">
        <f>VLOOKUP(B242,BaseTable,2,FALSE)</f>
        <v>Unter</v>
      </c>
      <c r="F242" s="35">
        <f>D242/C242</f>
        <v>6.67381974248927</v>
      </c>
      <c r="G242" t="str">
        <f>IF(WEEKDAY(A242,2)&gt;5,"Weekend","Weekday")</f>
        <v>Weekday</v>
      </c>
      <c r="H242" s="32">
        <f>A242-WEEKDAY(A242,2)+1</f>
        <v>42044.0</v>
      </c>
      <c r="I242" t="str">
        <f>CHOOSE(WEEKDAY(A242,2),"Mon","Tue","Wed","Thu","Fri","Sat","Sun")</f>
        <v>Tue</v>
      </c>
    </row>
    <row r="243" spans="1:9">
      <c r="A243" s="32">
        <v>42045</v>
      </c>
      <c r="B243" t="s">
        <v>1</v>
      </c>
      <c r="C243">
        <v>1029</v>
      </c>
      <c r="D243">
        <v>8718</v>
      </c>
      <c r="E243" t="str">
        <f>VLOOKUP(B243,BaseTable,2,FALSE)</f>
        <v>Hinter</v>
      </c>
      <c r="F243" s="35">
        <f>D243/C243</f>
        <v>8.472303206997085</v>
      </c>
      <c r="G243" t="str">
        <f>IF(WEEKDAY(A243,2)&gt;5,"Weekend","Weekday")</f>
        <v>Weekday</v>
      </c>
      <c r="H243" s="32">
        <f>A243-WEEKDAY(A243,2)+1</f>
        <v>42044.0</v>
      </c>
      <c r="I243" t="str">
        <f>CHOOSE(WEEKDAY(A243,2),"Mon","Tue","Wed","Thu","Fri","Sat","Sun")</f>
        <v>Tue</v>
      </c>
    </row>
    <row r="244" spans="1:9">
      <c r="A244" s="32">
        <v>42045</v>
      </c>
      <c r="B244" t="s">
        <v>2</v>
      </c>
      <c r="C244">
        <v>1364</v>
      </c>
      <c r="D244">
        <v>11401</v>
      </c>
      <c r="E244" t="str">
        <f>VLOOKUP(B244,BaseTable,2,FALSE)</f>
        <v>Weiter</v>
      </c>
      <c r="F244" s="35">
        <f>D244/C244</f>
        <v>8.35850439882698</v>
      </c>
      <c r="G244" t="str">
        <f>IF(WEEKDAY(A244,2)&gt;5,"Weekend","Weekday")</f>
        <v>Weekday</v>
      </c>
      <c r="H244" s="32">
        <f>A244-WEEKDAY(A244,2)+1</f>
        <v>42044.0</v>
      </c>
      <c r="I244" t="str">
        <f>CHOOSE(WEEKDAY(A244,2),"Mon","Tue","Wed","Thu","Fri","Sat","Sun")</f>
        <v>Tue</v>
      </c>
    </row>
    <row r="245" spans="1:9">
      <c r="A245" s="32">
        <v>42045</v>
      </c>
      <c r="B245" t="s">
        <v>3</v>
      </c>
      <c r="C245">
        <v>1281</v>
      </c>
      <c r="D245">
        <v>10536</v>
      </c>
      <c r="E245" t="str">
        <f>VLOOKUP(B245,BaseTable,2,FALSE)</f>
        <v>Schmecken</v>
      </c>
      <c r="F245" s="35">
        <f>D245/C245</f>
        <v>8.224824355971897</v>
      </c>
      <c r="G245" t="str">
        <f>IF(WEEKDAY(A245,2)&gt;5,"Weekend","Weekday")</f>
        <v>Weekday</v>
      </c>
      <c r="H245" s="32">
        <f>A245-WEEKDAY(A245,2)+1</f>
        <v>42044.0</v>
      </c>
      <c r="I245" t="str">
        <f>CHOOSE(WEEKDAY(A245,2),"Mon","Tue","Wed","Thu","Fri","Sat","Sun")</f>
        <v>Tue</v>
      </c>
    </row>
    <row r="246" spans="1:9">
      <c r="A246" s="32">
        <v>42045</v>
      </c>
      <c r="B246" t="s">
        <v>4</v>
      </c>
      <c r="C246">
        <v>3700</v>
      </c>
      <c r="D246">
        <v>29124</v>
      </c>
      <c r="E246" t="str">
        <f>VLOOKUP(B246,BaseTable,2,FALSE)</f>
        <v>Danach-NY</v>
      </c>
      <c r="F246" s="35">
        <f>D246/C246</f>
        <v>7.871351351351351</v>
      </c>
      <c r="G246" t="str">
        <f>IF(WEEKDAY(A246,2)&gt;5,"Weekend","Weekday")</f>
        <v>Weekday</v>
      </c>
      <c r="H246" s="32">
        <f>A246-WEEKDAY(A246,2)+1</f>
        <v>42044.0</v>
      </c>
      <c r="I246" t="str">
        <f>CHOOSE(WEEKDAY(A246,2),"Mon","Tue","Wed","Thu","Fri","Sat","Sun")</f>
        <v>Tue</v>
      </c>
    </row>
    <row r="247" spans="1:9">
      <c r="A247" s="32">
        <v>42045</v>
      </c>
      <c r="B247" t="s">
        <v>5</v>
      </c>
      <c r="C247">
        <v>422</v>
      </c>
      <c r="D247">
        <v>3432</v>
      </c>
      <c r="E247" t="str">
        <f>VLOOKUP(B247,BaseTable,2,FALSE)</f>
        <v>Grun</v>
      </c>
      <c r="F247" s="35">
        <f>D247/C247</f>
        <v>8.132701421800947</v>
      </c>
      <c r="G247" t="str">
        <f>IF(WEEKDAY(A247,2)&gt;5,"Weekend","Weekday")</f>
        <v>Weekday</v>
      </c>
      <c r="H247" s="32">
        <f>A247-WEEKDAY(A247,2)+1</f>
        <v>42044.0</v>
      </c>
      <c r="I247" t="str">
        <f>CHOOSE(WEEKDAY(A247,2),"Mon","Tue","Wed","Thu","Fri","Sat","Sun")</f>
        <v>Tue</v>
      </c>
    </row>
    <row r="248" spans="1:9">
      <c r="A248" s="32">
        <v>42046</v>
      </c>
      <c r="B248" t="s">
        <v>0</v>
      </c>
      <c r="C248">
        <v>255</v>
      </c>
      <c r="D248">
        <v>1831</v>
      </c>
      <c r="E248" t="str">
        <f>VLOOKUP(B248,BaseTable,2,FALSE)</f>
        <v>Unter</v>
      </c>
      <c r="F248" s="35">
        <f>D248/C248</f>
        <v>7.180392156862745</v>
      </c>
      <c r="G248" t="str">
        <f>IF(WEEKDAY(A248,2)&gt;5,"Weekend","Weekday")</f>
        <v>Weekday</v>
      </c>
      <c r="H248" s="32">
        <f>A248-WEEKDAY(A248,2)+1</f>
        <v>42044.0</v>
      </c>
      <c r="I248" t="str">
        <f>CHOOSE(WEEKDAY(A248,2),"Mon","Tue","Wed","Thu","Fri","Sat","Sun")</f>
        <v>Wed</v>
      </c>
    </row>
    <row r="249" spans="1:9">
      <c r="A249" s="32">
        <v>42046</v>
      </c>
      <c r="B249" t="s">
        <v>1</v>
      </c>
      <c r="C249">
        <v>1115</v>
      </c>
      <c r="D249">
        <v>10034</v>
      </c>
      <c r="E249" t="str">
        <f>VLOOKUP(B249,BaseTable,2,FALSE)</f>
        <v>Hinter</v>
      </c>
      <c r="F249" s="35">
        <f>D249/C249</f>
        <v>8.999103139013453</v>
      </c>
      <c r="G249" t="str">
        <f>IF(WEEKDAY(A249,2)&gt;5,"Weekend","Weekday")</f>
        <v>Weekday</v>
      </c>
      <c r="H249" s="32">
        <f>A249-WEEKDAY(A249,2)+1</f>
        <v>42044.0</v>
      </c>
      <c r="I249" t="str">
        <f>CHOOSE(WEEKDAY(A249,2),"Mon","Tue","Wed","Thu","Fri","Sat","Sun")</f>
        <v>Wed</v>
      </c>
    </row>
    <row r="250" spans="1:9">
      <c r="A250" s="32">
        <v>42046</v>
      </c>
      <c r="B250" t="s">
        <v>2</v>
      </c>
      <c r="C250">
        <v>1450</v>
      </c>
      <c r="D250">
        <v>12749</v>
      </c>
      <c r="E250" t="str">
        <f>VLOOKUP(B250,BaseTable,2,FALSE)</f>
        <v>Weiter</v>
      </c>
      <c r="F250" s="35">
        <f>D250/C250</f>
        <v>8.792413793103448</v>
      </c>
      <c r="G250" t="str">
        <f>IF(WEEKDAY(A250,2)&gt;5,"Weekend","Weekday")</f>
        <v>Weekday</v>
      </c>
      <c r="H250" s="32">
        <f>A250-WEEKDAY(A250,2)+1</f>
        <v>42044.0</v>
      </c>
      <c r="I250" t="str">
        <f>CHOOSE(WEEKDAY(A250,2),"Mon","Tue","Wed","Thu","Fri","Sat","Sun")</f>
        <v>Wed</v>
      </c>
    </row>
    <row r="251" spans="1:9">
      <c r="A251" s="32">
        <v>42046</v>
      </c>
      <c r="B251" t="s">
        <v>3</v>
      </c>
      <c r="C251">
        <v>1396</v>
      </c>
      <c r="D251">
        <v>12189</v>
      </c>
      <c r="E251" t="str">
        <f>VLOOKUP(B251,BaseTable,2,FALSE)</f>
        <v>Schmecken</v>
      </c>
      <c r="F251" s="35">
        <f>D251/C251</f>
        <v>8.73137535816619</v>
      </c>
      <c r="G251" t="str">
        <f>IF(WEEKDAY(A251,2)&gt;5,"Weekend","Weekday")</f>
        <v>Weekday</v>
      </c>
      <c r="H251" s="32">
        <f>A251-WEEKDAY(A251,2)+1</f>
        <v>42044.0</v>
      </c>
      <c r="I251" t="str">
        <f>CHOOSE(WEEKDAY(A251,2),"Mon","Tue","Wed","Thu","Fri","Sat","Sun")</f>
        <v>Wed</v>
      </c>
    </row>
    <row r="252" spans="1:9">
      <c r="A252" s="32">
        <v>42046</v>
      </c>
      <c r="B252" t="s">
        <v>4</v>
      </c>
      <c r="C252">
        <v>3849</v>
      </c>
      <c r="D252">
        <v>31889</v>
      </c>
      <c r="E252" t="str">
        <f>VLOOKUP(B252,BaseTable,2,FALSE)</f>
        <v>Danach-NY</v>
      </c>
      <c r="F252" s="35">
        <f>D252/C252</f>
        <v>8.285009093270979</v>
      </c>
      <c r="G252" t="str">
        <f>IF(WEEKDAY(A252,2)&gt;5,"Weekend","Weekday")</f>
        <v>Weekday</v>
      </c>
      <c r="H252" s="32">
        <f>A252-WEEKDAY(A252,2)+1</f>
        <v>42044.0</v>
      </c>
      <c r="I252" t="str">
        <f>CHOOSE(WEEKDAY(A252,2),"Mon","Tue","Wed","Thu","Fri","Sat","Sun")</f>
        <v>Wed</v>
      </c>
    </row>
    <row r="253" spans="1:9">
      <c r="A253" s="32">
        <v>42046</v>
      </c>
      <c r="B253" t="s">
        <v>5</v>
      </c>
      <c r="C253">
        <v>450</v>
      </c>
      <c r="D253">
        <v>3778</v>
      </c>
      <c r="E253" t="str">
        <f>VLOOKUP(B253,BaseTable,2,FALSE)</f>
        <v>Grun</v>
      </c>
      <c r="F253" s="35">
        <f>D253/C253</f>
        <v>8.395555555555555</v>
      </c>
      <c r="G253" t="str">
        <f>IF(WEEKDAY(A253,2)&gt;5,"Weekend","Weekday")</f>
        <v>Weekday</v>
      </c>
      <c r="H253" s="32">
        <f>A253-WEEKDAY(A253,2)+1</f>
        <v>42044.0</v>
      </c>
      <c r="I253" t="str">
        <f>CHOOSE(WEEKDAY(A253,2),"Mon","Tue","Wed","Thu","Fri","Sat","Sun")</f>
        <v>Wed</v>
      </c>
    </row>
    <row r="254" spans="1:9">
      <c r="A254" s="32">
        <v>42047</v>
      </c>
      <c r="B254" t="s">
        <v>0</v>
      </c>
      <c r="C254">
        <v>269</v>
      </c>
      <c r="D254">
        <v>2092</v>
      </c>
      <c r="E254" t="str">
        <f>VLOOKUP(B254,BaseTable,2,FALSE)</f>
        <v>Unter</v>
      </c>
      <c r="F254" s="35">
        <f>D254/C254</f>
        <v>7.776951672862453</v>
      </c>
      <c r="G254" t="str">
        <f>IF(WEEKDAY(A254,2)&gt;5,"Weekend","Weekday")</f>
        <v>Weekday</v>
      </c>
      <c r="H254" s="32">
        <f>A254-WEEKDAY(A254,2)+1</f>
        <v>42044.0</v>
      </c>
      <c r="I254" t="str">
        <f>CHOOSE(WEEKDAY(A254,2),"Mon","Tue","Wed","Thu","Fri","Sat","Sun")</f>
        <v>Thu</v>
      </c>
    </row>
    <row r="255" spans="1:9">
      <c r="A255" s="32">
        <v>42047</v>
      </c>
      <c r="B255" t="s">
        <v>1</v>
      </c>
      <c r="C255">
        <v>1181</v>
      </c>
      <c r="D255">
        <v>11640</v>
      </c>
      <c r="E255" t="str">
        <f>VLOOKUP(B255,BaseTable,2,FALSE)</f>
        <v>Hinter</v>
      </c>
      <c r="F255" s="35">
        <f>D255/C255</f>
        <v>9.856054191363251</v>
      </c>
      <c r="G255" t="str">
        <f>IF(WEEKDAY(A255,2)&gt;5,"Weekend","Weekday")</f>
        <v>Weekday</v>
      </c>
      <c r="H255" s="32">
        <f>A255-WEEKDAY(A255,2)+1</f>
        <v>42044.0</v>
      </c>
      <c r="I255" t="str">
        <f>CHOOSE(WEEKDAY(A255,2),"Mon","Tue","Wed","Thu","Fri","Sat","Sun")</f>
        <v>Thu</v>
      </c>
    </row>
    <row r="256" spans="1:9">
      <c r="A256" s="32">
        <v>42047</v>
      </c>
      <c r="B256" t="s">
        <v>2</v>
      </c>
      <c r="C256">
        <v>1532</v>
      </c>
      <c r="D256">
        <v>14263</v>
      </c>
      <c r="E256" t="str">
        <f>VLOOKUP(B256,BaseTable,2,FALSE)</f>
        <v>Weiter</v>
      </c>
      <c r="F256" s="35">
        <f>D256/C256</f>
        <v>9.310052219321149</v>
      </c>
      <c r="G256" t="str">
        <f>IF(WEEKDAY(A256,2)&gt;5,"Weekend","Weekday")</f>
        <v>Weekday</v>
      </c>
      <c r="H256" s="32">
        <f>A256-WEEKDAY(A256,2)+1</f>
        <v>42044.0</v>
      </c>
      <c r="I256" t="str">
        <f>CHOOSE(WEEKDAY(A256,2),"Mon","Tue","Wed","Thu","Fri","Sat","Sun")</f>
        <v>Thu</v>
      </c>
    </row>
    <row r="257" spans="1:9">
      <c r="A257" s="32">
        <v>42047</v>
      </c>
      <c r="B257" t="s">
        <v>3</v>
      </c>
      <c r="C257">
        <v>1468</v>
      </c>
      <c r="D257">
        <v>13786</v>
      </c>
      <c r="E257" t="str">
        <f>VLOOKUP(B257,BaseTable,2,FALSE)</f>
        <v>Schmecken</v>
      </c>
      <c r="F257" s="35">
        <f>D257/C257</f>
        <v>9.39100817438692</v>
      </c>
      <c r="G257" t="str">
        <f>IF(WEEKDAY(A257,2)&gt;5,"Weekend","Weekday")</f>
        <v>Weekday</v>
      </c>
      <c r="H257" s="32">
        <f>A257-WEEKDAY(A257,2)+1</f>
        <v>42044.0</v>
      </c>
      <c r="I257" t="str">
        <f>CHOOSE(WEEKDAY(A257,2),"Mon","Tue","Wed","Thu","Fri","Sat","Sun")</f>
        <v>Thu</v>
      </c>
    </row>
    <row r="258" spans="1:9">
      <c r="A258" s="32">
        <v>42047</v>
      </c>
      <c r="B258" t="s">
        <v>4</v>
      </c>
      <c r="C258">
        <v>4137</v>
      </c>
      <c r="D258">
        <v>36844</v>
      </c>
      <c r="E258" t="str">
        <f>VLOOKUP(B258,BaseTable,2,FALSE)</f>
        <v>Danach-NY</v>
      </c>
      <c r="F258" s="35">
        <f>D258/C258</f>
        <v>8.905970510031423</v>
      </c>
      <c r="G258" t="str">
        <f>IF(WEEKDAY(A258,2)&gt;5,"Weekend","Weekday")</f>
        <v>Weekday</v>
      </c>
      <c r="H258" s="32">
        <f>A258-WEEKDAY(A258,2)+1</f>
        <v>42044.0</v>
      </c>
      <c r="I258" t="str">
        <f>CHOOSE(WEEKDAY(A258,2),"Mon","Tue","Wed","Thu","Fri","Sat","Sun")</f>
        <v>Thu</v>
      </c>
    </row>
    <row r="259" spans="1:9">
      <c r="A259" s="32">
        <v>42047</v>
      </c>
      <c r="B259" t="s">
        <v>5</v>
      </c>
      <c r="C259">
        <v>536</v>
      </c>
      <c r="D259">
        <v>4609</v>
      </c>
      <c r="E259" t="str">
        <f>VLOOKUP(B259,BaseTable,2,FALSE)</f>
        <v>Grun</v>
      </c>
      <c r="F259" s="35">
        <f>D259/C259</f>
        <v>8.598880597014926</v>
      </c>
      <c r="G259" t="str">
        <f>IF(WEEKDAY(A259,2)&gt;5,"Weekend","Weekday")</f>
        <v>Weekday</v>
      </c>
      <c r="H259" s="32">
        <f>A259-WEEKDAY(A259,2)+1</f>
        <v>42044.0</v>
      </c>
      <c r="I259" t="str">
        <f>CHOOSE(WEEKDAY(A259,2),"Mon","Tue","Wed","Thu","Fri","Sat","Sun")</f>
        <v>Thu</v>
      </c>
    </row>
    <row r="260" spans="1:9">
      <c r="A260" s="32">
        <v>42048</v>
      </c>
      <c r="B260" t="s">
        <v>0</v>
      </c>
      <c r="C260">
        <v>281</v>
      </c>
      <c r="D260">
        <v>2408</v>
      </c>
      <c r="E260" t="str">
        <f>VLOOKUP(B260,BaseTable,2,FALSE)</f>
        <v>Unter</v>
      </c>
      <c r="F260" s="35">
        <f>D260/C260</f>
        <v>8.569395017793594</v>
      </c>
      <c r="G260" t="str">
        <f>IF(WEEKDAY(A260,2)&gt;5,"Weekend","Weekday")</f>
        <v>Weekday</v>
      </c>
      <c r="H260" s="32">
        <f>A260-WEEKDAY(A260,2)+1</f>
        <v>42044.0</v>
      </c>
      <c r="I260" t="str">
        <f>CHOOSE(WEEKDAY(A260,2),"Mon","Tue","Wed","Thu","Fri","Sat","Sun")</f>
        <v>Fri</v>
      </c>
    </row>
    <row r="261" spans="1:9">
      <c r="A261" s="32">
        <v>42048</v>
      </c>
      <c r="B261" t="s">
        <v>1</v>
      </c>
      <c r="C261">
        <v>1216</v>
      </c>
      <c r="D261">
        <v>13062</v>
      </c>
      <c r="E261" t="str">
        <f>VLOOKUP(B261,BaseTable,2,FALSE)</f>
        <v>Hinter</v>
      </c>
      <c r="F261" s="35">
        <f>D261/C261</f>
        <v>10.741776315789474</v>
      </c>
      <c r="G261" t="str">
        <f>IF(WEEKDAY(A261,2)&gt;5,"Weekend","Weekday")</f>
        <v>Weekday</v>
      </c>
      <c r="H261" s="32">
        <f>A261-WEEKDAY(A261,2)+1</f>
        <v>42044.0</v>
      </c>
      <c r="I261" t="str">
        <f>CHOOSE(WEEKDAY(A261,2),"Mon","Tue","Wed","Thu","Fri","Sat","Sun")</f>
        <v>Fri</v>
      </c>
    </row>
    <row r="262" spans="1:9">
      <c r="A262" s="32">
        <v>42048</v>
      </c>
      <c r="B262" t="s">
        <v>2</v>
      </c>
      <c r="C262">
        <v>1590</v>
      </c>
      <c r="D262">
        <v>16996</v>
      </c>
      <c r="E262" t="str">
        <f>VLOOKUP(B262,BaseTable,2,FALSE)</f>
        <v>Weiter</v>
      </c>
      <c r="F262" s="35">
        <f>D262/C262</f>
        <v>10.68930817610063</v>
      </c>
      <c r="G262" t="str">
        <f>IF(WEEKDAY(A262,2)&gt;5,"Weekend","Weekday")</f>
        <v>Weekday</v>
      </c>
      <c r="H262" s="32">
        <f>A262-WEEKDAY(A262,2)+1</f>
        <v>42044.0</v>
      </c>
      <c r="I262" t="str">
        <f>CHOOSE(WEEKDAY(A262,2),"Mon","Tue","Wed","Thu","Fri","Sat","Sun")</f>
        <v>Fri</v>
      </c>
    </row>
    <row r="263" spans="1:9">
      <c r="A263" s="32">
        <v>42048</v>
      </c>
      <c r="B263" t="s">
        <v>3</v>
      </c>
      <c r="C263">
        <v>1523</v>
      </c>
      <c r="D263">
        <v>16088</v>
      </c>
      <c r="E263" t="str">
        <f>VLOOKUP(B263,BaseTable,2,FALSE)</f>
        <v>Schmecken</v>
      </c>
      <c r="F263" s="35">
        <f>D263/C263</f>
        <v>10.563361785948786</v>
      </c>
      <c r="G263" t="str">
        <f>IF(WEEKDAY(A263,2)&gt;5,"Weekend","Weekday")</f>
        <v>Weekday</v>
      </c>
      <c r="H263" s="32">
        <f>A263-WEEKDAY(A263,2)+1</f>
        <v>42044.0</v>
      </c>
      <c r="I263" t="str">
        <f>CHOOSE(WEEKDAY(A263,2),"Mon","Tue","Wed","Thu","Fri","Sat","Sun")</f>
        <v>Fri</v>
      </c>
    </row>
    <row r="264" spans="1:9">
      <c r="A264" s="32">
        <v>42048</v>
      </c>
      <c r="B264" t="s">
        <v>4</v>
      </c>
      <c r="C264">
        <v>4395</v>
      </c>
      <c r="D264">
        <v>43561</v>
      </c>
      <c r="E264" t="str">
        <f>VLOOKUP(B264,BaseTable,2,FALSE)</f>
        <v>Danach-NY</v>
      </c>
      <c r="F264" s="35">
        <f>D264/C264</f>
        <v>9.911490329920364</v>
      </c>
      <c r="G264" t="str">
        <f>IF(WEEKDAY(A264,2)&gt;5,"Weekend","Weekday")</f>
        <v>Weekday</v>
      </c>
      <c r="H264" s="32">
        <f>A264-WEEKDAY(A264,2)+1</f>
        <v>42044.0</v>
      </c>
      <c r="I264" t="str">
        <f>CHOOSE(WEEKDAY(A264,2),"Mon","Tue","Wed","Thu","Fri","Sat","Sun")</f>
        <v>Fri</v>
      </c>
    </row>
    <row r="265" spans="1:9">
      <c r="A265" s="32">
        <v>42048</v>
      </c>
      <c r="B265" t="s">
        <v>5</v>
      </c>
      <c r="C265">
        <v>599</v>
      </c>
      <c r="D265">
        <v>5909</v>
      </c>
      <c r="E265" t="str">
        <f>VLOOKUP(B265,BaseTable,2,FALSE)</f>
        <v>Grun</v>
      </c>
      <c r="F265" s="35">
        <f>D265/C265</f>
        <v>9.864774624373956</v>
      </c>
      <c r="G265" t="str">
        <f>IF(WEEKDAY(A265,2)&gt;5,"Weekend","Weekday")</f>
        <v>Weekday</v>
      </c>
      <c r="H265" s="32">
        <f>A265-WEEKDAY(A265,2)+1</f>
        <v>42044.0</v>
      </c>
      <c r="I265" t="str">
        <f>CHOOSE(WEEKDAY(A265,2),"Mon","Tue","Wed","Thu","Fri","Sat","Sun")</f>
        <v>Fri</v>
      </c>
    </row>
    <row r="266" spans="1:9">
      <c r="A266" s="32">
        <v>42049</v>
      </c>
      <c r="B266" t="s">
        <v>0</v>
      </c>
      <c r="C266">
        <v>236</v>
      </c>
      <c r="D266">
        <v>2055</v>
      </c>
      <c r="E266" t="str">
        <f>VLOOKUP(B266,BaseTable,2,FALSE)</f>
        <v>Unter</v>
      </c>
      <c r="F266" s="35">
        <f>D266/C266</f>
        <v>8.707627118644067</v>
      </c>
      <c r="G266" t="str">
        <f>IF(WEEKDAY(A266,2)&gt;5,"Weekend","Weekday")</f>
        <v>Weekend</v>
      </c>
      <c r="H266" s="32">
        <f>A266-WEEKDAY(A266,2)+1</f>
        <v>42044.0</v>
      </c>
      <c r="I266" t="str">
        <f>CHOOSE(WEEKDAY(A266,2),"Mon","Tue","Wed","Thu","Fri","Sat","Sun")</f>
        <v>Sat</v>
      </c>
    </row>
    <row r="267" spans="1:9">
      <c r="A267" s="32">
        <v>42049</v>
      </c>
      <c r="B267" t="s">
        <v>1</v>
      </c>
      <c r="C267">
        <v>1111</v>
      </c>
      <c r="D267">
        <v>12678</v>
      </c>
      <c r="E267" t="str">
        <f>VLOOKUP(B267,BaseTable,2,FALSE)</f>
        <v>Hinter</v>
      </c>
      <c r="F267" s="35">
        <f>D267/C267</f>
        <v>11.411341134113412</v>
      </c>
      <c r="G267" t="str">
        <f>IF(WEEKDAY(A267,2)&gt;5,"Weekend","Weekday")</f>
        <v>Weekend</v>
      </c>
      <c r="H267" s="32">
        <f>A267-WEEKDAY(A267,2)+1</f>
        <v>42044.0</v>
      </c>
      <c r="I267" t="str">
        <f>CHOOSE(WEEKDAY(A267,2),"Mon","Tue","Wed","Thu","Fri","Sat","Sun")</f>
        <v>Sat</v>
      </c>
    </row>
    <row r="268" spans="1:9">
      <c r="A268" s="32">
        <v>42049</v>
      </c>
      <c r="B268" t="s">
        <v>2</v>
      </c>
      <c r="C268">
        <v>1486</v>
      </c>
      <c r="D268">
        <v>16999</v>
      </c>
      <c r="E268" t="str">
        <f>VLOOKUP(B268,BaseTable,2,FALSE)</f>
        <v>Weiter</v>
      </c>
      <c r="F268" s="35">
        <f>D268/C268</f>
        <v>11.439434724091521</v>
      </c>
      <c r="G268" t="str">
        <f>IF(WEEKDAY(A268,2)&gt;5,"Weekend","Weekday")</f>
        <v>Weekend</v>
      </c>
      <c r="H268" s="32">
        <f>A268-WEEKDAY(A268,2)+1</f>
        <v>42044.0</v>
      </c>
      <c r="I268" t="str">
        <f>CHOOSE(WEEKDAY(A268,2),"Mon","Tue","Wed","Thu","Fri","Sat","Sun")</f>
        <v>Sat</v>
      </c>
    </row>
    <row r="269" spans="1:9">
      <c r="A269" s="32">
        <v>42049</v>
      </c>
      <c r="B269" t="s">
        <v>3</v>
      </c>
      <c r="C269">
        <v>1428</v>
      </c>
      <c r="D269">
        <v>16448</v>
      </c>
      <c r="E269" t="str">
        <f>VLOOKUP(B269,BaseTable,2,FALSE)</f>
        <v>Schmecken</v>
      </c>
      <c r="F269" s="35">
        <f>D269/C269</f>
        <v>11.518207282913165</v>
      </c>
      <c r="G269" t="str">
        <f>IF(WEEKDAY(A269,2)&gt;5,"Weekend","Weekday")</f>
        <v>Weekend</v>
      </c>
      <c r="H269" s="32">
        <f>A269-WEEKDAY(A269,2)+1</f>
        <v>42044.0</v>
      </c>
      <c r="I269" t="str">
        <f>CHOOSE(WEEKDAY(A269,2),"Mon","Tue","Wed","Thu","Fri","Sat","Sun")</f>
        <v>Sat</v>
      </c>
    </row>
    <row r="270" spans="1:9">
      <c r="A270" s="32">
        <v>42049</v>
      </c>
      <c r="B270" t="s">
        <v>4</v>
      </c>
      <c r="C270">
        <v>4129</v>
      </c>
      <c r="D270">
        <v>45858</v>
      </c>
      <c r="E270" t="str">
        <f>VLOOKUP(B270,BaseTable,2,FALSE)</f>
        <v>Danach-NY</v>
      </c>
      <c r="F270" s="35">
        <f>D270/C270</f>
        <v>11.10632114313393</v>
      </c>
      <c r="G270" t="str">
        <f>IF(WEEKDAY(A270,2)&gt;5,"Weekend","Weekday")</f>
        <v>Weekend</v>
      </c>
      <c r="H270" s="32">
        <f>A270-WEEKDAY(A270,2)+1</f>
        <v>42044.0</v>
      </c>
      <c r="I270" t="str">
        <f>CHOOSE(WEEKDAY(A270,2),"Mon","Tue","Wed","Thu","Fri","Sat","Sun")</f>
        <v>Sat</v>
      </c>
    </row>
    <row r="271" spans="1:9">
      <c r="A271" s="32">
        <v>42049</v>
      </c>
      <c r="B271" t="s">
        <v>5</v>
      </c>
      <c r="C271">
        <v>583</v>
      </c>
      <c r="D271">
        <v>6307</v>
      </c>
      <c r="E271" t="str">
        <f>VLOOKUP(B271,BaseTable,2,FALSE)</f>
        <v>Grun</v>
      </c>
      <c r="F271" s="35">
        <f>D271/C271</f>
        <v>10.818181818181818</v>
      </c>
      <c r="G271" t="str">
        <f>IF(WEEKDAY(A271,2)&gt;5,"Weekend","Weekday")</f>
        <v>Weekend</v>
      </c>
      <c r="H271" s="32">
        <f>A271-WEEKDAY(A271,2)+1</f>
        <v>42044.0</v>
      </c>
      <c r="I271" t="str">
        <f>CHOOSE(WEEKDAY(A271,2),"Mon","Tue","Wed","Thu","Fri","Sat","Sun")</f>
        <v>Sat</v>
      </c>
    </row>
    <row r="272" spans="1:9">
      <c r="A272" s="32">
        <v>42050</v>
      </c>
      <c r="B272" t="s">
        <v>0</v>
      </c>
      <c r="C272">
        <v>210</v>
      </c>
      <c r="D272">
        <v>1996</v>
      </c>
      <c r="E272" t="str">
        <f>VLOOKUP(B272,BaseTable,2,FALSE)</f>
        <v>Unter</v>
      </c>
      <c r="F272" s="35">
        <f>D272/C272</f>
        <v>9.504761904761905</v>
      </c>
      <c r="G272" t="str">
        <f>IF(WEEKDAY(A272,2)&gt;5,"Weekend","Weekday")</f>
        <v>Weekend</v>
      </c>
      <c r="H272" s="32">
        <f>A272-WEEKDAY(A272,2)+1</f>
        <v>42044.0</v>
      </c>
      <c r="I272" t="str">
        <f>CHOOSE(WEEKDAY(A272,2),"Mon","Tue","Wed","Thu","Fri","Sat","Sun")</f>
        <v>Sun</v>
      </c>
    </row>
    <row r="273" spans="1:9">
      <c r="A273" s="32">
        <v>42050</v>
      </c>
      <c r="B273" t="s">
        <v>1</v>
      </c>
      <c r="C273">
        <v>1003</v>
      </c>
      <c r="D273">
        <v>11517</v>
      </c>
      <c r="E273" t="str">
        <f>VLOOKUP(B273,BaseTable,2,FALSE)</f>
        <v>Hinter</v>
      </c>
      <c r="F273" s="35">
        <f>D273/C273</f>
        <v>11.482552342971086</v>
      </c>
      <c r="G273" t="str">
        <f>IF(WEEKDAY(A273,2)&gt;5,"Weekend","Weekday")</f>
        <v>Weekend</v>
      </c>
      <c r="H273" s="32">
        <f>A273-WEEKDAY(A273,2)+1</f>
        <v>42044.0</v>
      </c>
      <c r="I273" t="str">
        <f>CHOOSE(WEEKDAY(A273,2),"Mon","Tue","Wed","Thu","Fri","Sat","Sun")</f>
        <v>Sun</v>
      </c>
    </row>
    <row r="274" spans="1:9">
      <c r="A274" s="32">
        <v>42050</v>
      </c>
      <c r="B274" t="s">
        <v>2</v>
      </c>
      <c r="C274">
        <v>1293</v>
      </c>
      <c r="D274">
        <v>14662</v>
      </c>
      <c r="E274" t="str">
        <f>VLOOKUP(B274,BaseTable,2,FALSE)</f>
        <v>Weiter</v>
      </c>
      <c r="F274" s="35">
        <f>D274/C274</f>
        <v>11.33952049497293</v>
      </c>
      <c r="G274" t="str">
        <f>IF(WEEKDAY(A274,2)&gt;5,"Weekend","Weekday")</f>
        <v>Weekend</v>
      </c>
      <c r="H274" s="32">
        <f>A274-WEEKDAY(A274,2)+1</f>
        <v>42044.0</v>
      </c>
      <c r="I274" t="str">
        <f>CHOOSE(WEEKDAY(A274,2),"Mon","Tue","Wed","Thu","Fri","Sat","Sun")</f>
        <v>Sun</v>
      </c>
    </row>
    <row r="275" spans="1:9">
      <c r="A275" s="32">
        <v>42050</v>
      </c>
      <c r="B275" t="s">
        <v>3</v>
      </c>
      <c r="C275">
        <v>1261</v>
      </c>
      <c r="D275">
        <v>14517</v>
      </c>
      <c r="E275" t="str">
        <f>VLOOKUP(B275,BaseTable,2,FALSE)</f>
        <v>Schmecken</v>
      </c>
      <c r="F275" s="35">
        <f>D275/C275</f>
        <v>11.51229183187946</v>
      </c>
      <c r="G275" t="str">
        <f>IF(WEEKDAY(A275,2)&gt;5,"Weekend","Weekday")</f>
        <v>Weekend</v>
      </c>
      <c r="H275" s="32">
        <f>A275-WEEKDAY(A275,2)+1</f>
        <v>42044.0</v>
      </c>
      <c r="I275" t="str">
        <f>CHOOSE(WEEKDAY(A275,2),"Mon","Tue","Wed","Thu","Fri","Sat","Sun")</f>
        <v>Sun</v>
      </c>
    </row>
    <row r="276" spans="1:9">
      <c r="A276" s="32">
        <v>42050</v>
      </c>
      <c r="B276" t="s">
        <v>4</v>
      </c>
      <c r="C276">
        <v>3651</v>
      </c>
      <c r="D276">
        <v>41209</v>
      </c>
      <c r="E276" t="str">
        <f>VLOOKUP(B276,BaseTable,2,FALSE)</f>
        <v>Danach-NY</v>
      </c>
      <c r="F276" s="35">
        <f>D276/C276</f>
        <v>11.287044645302657</v>
      </c>
      <c r="G276" t="str">
        <f>IF(WEEKDAY(A276,2)&gt;5,"Weekend","Weekday")</f>
        <v>Weekend</v>
      </c>
      <c r="H276" s="32">
        <f>A276-WEEKDAY(A276,2)+1</f>
        <v>42044.0</v>
      </c>
      <c r="I276" t="str">
        <f>CHOOSE(WEEKDAY(A276,2),"Mon","Tue","Wed","Thu","Fri","Sat","Sun")</f>
        <v>Sun</v>
      </c>
    </row>
    <row r="277" spans="1:9">
      <c r="A277" s="32">
        <v>42050</v>
      </c>
      <c r="B277" t="s">
        <v>5</v>
      </c>
      <c r="C277">
        <v>521</v>
      </c>
      <c r="D277">
        <v>5500</v>
      </c>
      <c r="E277" t="str">
        <f>VLOOKUP(B277,BaseTable,2,FALSE)</f>
        <v>Grun</v>
      </c>
      <c r="F277" s="35">
        <f>D277/C277</f>
        <v>10.556621880998081</v>
      </c>
      <c r="G277" t="str">
        <f>IF(WEEKDAY(A277,2)&gt;5,"Weekend","Weekday")</f>
        <v>Weekend</v>
      </c>
      <c r="H277" s="32">
        <f>A277-WEEKDAY(A277,2)+1</f>
        <v>42044.0</v>
      </c>
      <c r="I277" t="str">
        <f>CHOOSE(WEEKDAY(A277,2),"Mon","Tue","Wed","Thu","Fri","Sat","Sun")</f>
        <v>Sun</v>
      </c>
    </row>
    <row r="278" spans="1:9">
      <c r="A278" s="32">
        <v>42051</v>
      </c>
      <c r="B278" t="s">
        <v>0</v>
      </c>
      <c r="C278">
        <v>207</v>
      </c>
      <c r="D278">
        <v>1576</v>
      </c>
      <c r="E278" t="str">
        <f>VLOOKUP(B278,BaseTable,2,FALSE)</f>
        <v>Unter</v>
      </c>
      <c r="F278" s="35">
        <f>D278/C278</f>
        <v>7.613526570048309</v>
      </c>
      <c r="G278" t="str">
        <f>IF(WEEKDAY(A278,2)&gt;5,"Weekend","Weekday")</f>
        <v>Weekday</v>
      </c>
      <c r="H278" s="32">
        <f>A278-WEEKDAY(A278,2)+1</f>
        <v>42051.0</v>
      </c>
      <c r="I278" t="str">
        <f>CHOOSE(WEEKDAY(A278,2),"Mon","Tue","Wed","Thu","Fri","Sat","Sun")</f>
        <v>Mon</v>
      </c>
    </row>
    <row r="279" spans="1:9">
      <c r="A279" s="32">
        <v>42051</v>
      </c>
      <c r="B279" t="s">
        <v>1</v>
      </c>
      <c r="C279">
        <v>934</v>
      </c>
      <c r="D279">
        <v>9052</v>
      </c>
      <c r="E279" t="str">
        <f>VLOOKUP(B279,BaseTable,2,FALSE)</f>
        <v>Hinter</v>
      </c>
      <c r="F279" s="35">
        <f>D279/C279</f>
        <v>9.691648822269807</v>
      </c>
      <c r="G279" t="str">
        <f>IF(WEEKDAY(A279,2)&gt;5,"Weekend","Weekday")</f>
        <v>Weekday</v>
      </c>
      <c r="H279" s="32">
        <f>A279-WEEKDAY(A279,2)+1</f>
        <v>42051.0</v>
      </c>
      <c r="I279" t="str">
        <f>CHOOSE(WEEKDAY(A279,2),"Mon","Tue","Wed","Thu","Fri","Sat","Sun")</f>
        <v>Mon</v>
      </c>
    </row>
    <row r="280" spans="1:9">
      <c r="A280" s="32">
        <v>42051</v>
      </c>
      <c r="B280" t="s">
        <v>2</v>
      </c>
      <c r="C280">
        <v>1214</v>
      </c>
      <c r="D280">
        <v>11824</v>
      </c>
      <c r="E280" t="str">
        <f>VLOOKUP(B280,BaseTable,2,FALSE)</f>
        <v>Weiter</v>
      </c>
      <c r="F280" s="35">
        <f>D280/C280</f>
        <v>9.739703459637562</v>
      </c>
      <c r="G280" t="str">
        <f>IF(WEEKDAY(A280,2)&gt;5,"Weekend","Weekday")</f>
        <v>Weekday</v>
      </c>
      <c r="H280" s="32">
        <f>A280-WEEKDAY(A280,2)+1</f>
        <v>42051.0</v>
      </c>
      <c r="I280" t="str">
        <f>CHOOSE(WEEKDAY(A280,2),"Mon","Tue","Wed","Thu","Fri","Sat","Sun")</f>
        <v>Mon</v>
      </c>
    </row>
    <row r="281" spans="1:9">
      <c r="A281" s="32">
        <v>42051</v>
      </c>
      <c r="B281" t="s">
        <v>3</v>
      </c>
      <c r="C281">
        <v>1164</v>
      </c>
      <c r="D281">
        <v>11323</v>
      </c>
      <c r="E281" t="str">
        <f>VLOOKUP(B281,BaseTable,2,FALSE)</f>
        <v>Schmecken</v>
      </c>
      <c r="F281" s="35">
        <f>D281/C281</f>
        <v>9.72766323024055</v>
      </c>
      <c r="G281" t="str">
        <f>IF(WEEKDAY(A281,2)&gt;5,"Weekend","Weekday")</f>
        <v>Weekday</v>
      </c>
      <c r="H281" s="32">
        <f>A281-WEEKDAY(A281,2)+1</f>
        <v>42051.0</v>
      </c>
      <c r="I281" t="str">
        <f>CHOOSE(WEEKDAY(A281,2),"Mon","Tue","Wed","Thu","Fri","Sat","Sun")</f>
        <v>Mon</v>
      </c>
    </row>
    <row r="282" spans="1:9">
      <c r="A282" s="32">
        <v>42051</v>
      </c>
      <c r="B282" t="s">
        <v>4</v>
      </c>
      <c r="C282">
        <v>3524</v>
      </c>
      <c r="D282">
        <v>33448</v>
      </c>
      <c r="E282" t="str">
        <f>VLOOKUP(B282,BaseTable,2,FALSE)</f>
        <v>Danach-NY</v>
      </c>
      <c r="F282" s="35">
        <f>D282/C282</f>
        <v>9.491486946651532</v>
      </c>
      <c r="G282" t="str">
        <f>IF(WEEKDAY(A282,2)&gt;5,"Weekend","Weekday")</f>
        <v>Weekday</v>
      </c>
      <c r="H282" s="32">
        <f>A282-WEEKDAY(A282,2)+1</f>
        <v>42051.0</v>
      </c>
      <c r="I282" t="str">
        <f>CHOOSE(WEEKDAY(A282,2),"Mon","Tue","Wed","Thu","Fri","Sat","Sun")</f>
        <v>Mon</v>
      </c>
    </row>
    <row r="283" spans="1:9">
      <c r="A283" s="32">
        <v>42051</v>
      </c>
      <c r="B283" t="s">
        <v>5</v>
      </c>
      <c r="C283">
        <v>508</v>
      </c>
      <c r="D283">
        <v>4875</v>
      </c>
      <c r="E283" t="str">
        <f>VLOOKUP(B283,BaseTable,2,FALSE)</f>
        <v>Grun</v>
      </c>
      <c r="F283" s="35">
        <f>D283/C283</f>
        <v>9.596456692913385</v>
      </c>
      <c r="G283" t="str">
        <f>IF(WEEKDAY(A283,2)&gt;5,"Weekend","Weekday")</f>
        <v>Weekday</v>
      </c>
      <c r="H283" s="32">
        <f>A283-WEEKDAY(A283,2)+1</f>
        <v>42051.0</v>
      </c>
      <c r="I283" t="str">
        <f>CHOOSE(WEEKDAY(A283,2),"Mon","Tue","Wed","Thu","Fri","Sat","Sun")</f>
        <v>Mon</v>
      </c>
    </row>
    <row r="284" spans="1:9">
      <c r="A284" s="32">
        <v>42052</v>
      </c>
      <c r="B284" t="s">
        <v>0</v>
      </c>
      <c r="C284">
        <v>241</v>
      </c>
      <c r="D284">
        <v>1797</v>
      </c>
      <c r="E284" t="str">
        <f>VLOOKUP(B284,BaseTable,2,FALSE)</f>
        <v>Unter</v>
      </c>
      <c r="F284" s="35">
        <f>D284/C284</f>
        <v>7.45643153526971</v>
      </c>
      <c r="G284" t="str">
        <f>IF(WEEKDAY(A284,2)&gt;5,"Weekend","Weekday")</f>
        <v>Weekday</v>
      </c>
      <c r="H284" s="32">
        <f>A284-WEEKDAY(A284,2)+1</f>
        <v>42051.0</v>
      </c>
      <c r="I284" t="str">
        <f>CHOOSE(WEEKDAY(A284,2),"Mon","Tue","Wed","Thu","Fri","Sat","Sun")</f>
        <v>Tue</v>
      </c>
    </row>
    <row r="285" spans="1:9">
      <c r="A285" s="32">
        <v>42052</v>
      </c>
      <c r="B285" t="s">
        <v>1</v>
      </c>
      <c r="C285">
        <v>1066</v>
      </c>
      <c r="D285">
        <v>9463</v>
      </c>
      <c r="E285" t="str">
        <f>VLOOKUP(B285,BaseTable,2,FALSE)</f>
        <v>Hinter</v>
      </c>
      <c r="F285" s="35">
        <f>D285/C285</f>
        <v>8.877110694183864</v>
      </c>
      <c r="G285" t="str">
        <f>IF(WEEKDAY(A285,2)&gt;5,"Weekend","Weekday")</f>
        <v>Weekday</v>
      </c>
      <c r="H285" s="32">
        <f>A285-WEEKDAY(A285,2)+1</f>
        <v>42051.0</v>
      </c>
      <c r="I285" t="str">
        <f>CHOOSE(WEEKDAY(A285,2),"Mon","Tue","Wed","Thu","Fri","Sat","Sun")</f>
        <v>Tue</v>
      </c>
    </row>
    <row r="286" spans="1:9">
      <c r="A286" s="32">
        <v>42052</v>
      </c>
      <c r="B286" t="s">
        <v>2</v>
      </c>
      <c r="C286">
        <v>1378</v>
      </c>
      <c r="D286">
        <v>12524</v>
      </c>
      <c r="E286" t="str">
        <f>VLOOKUP(B286,BaseTable,2,FALSE)</f>
        <v>Weiter</v>
      </c>
      <c r="F286" s="35">
        <f>D286/C286</f>
        <v>9.088534107402031</v>
      </c>
      <c r="G286" t="str">
        <f>IF(WEEKDAY(A286,2)&gt;5,"Weekend","Weekday")</f>
        <v>Weekday</v>
      </c>
      <c r="H286" s="32">
        <f>A286-WEEKDAY(A286,2)+1</f>
        <v>42051.0</v>
      </c>
      <c r="I286" t="str">
        <f>CHOOSE(WEEKDAY(A286,2),"Mon","Tue","Wed","Thu","Fri","Sat","Sun")</f>
        <v>Tue</v>
      </c>
    </row>
    <row r="287" spans="1:9">
      <c r="A287" s="32">
        <v>42052</v>
      </c>
      <c r="B287" t="s">
        <v>3</v>
      </c>
      <c r="C287">
        <v>1314</v>
      </c>
      <c r="D287">
        <v>11887</v>
      </c>
      <c r="E287" t="str">
        <f>VLOOKUP(B287,BaseTable,2,FALSE)</f>
        <v>Schmecken</v>
      </c>
      <c r="F287" s="35">
        <f>D287/C287</f>
        <v>9.04642313546423</v>
      </c>
      <c r="G287" t="str">
        <f>IF(WEEKDAY(A287,2)&gt;5,"Weekend","Weekday")</f>
        <v>Weekday</v>
      </c>
      <c r="H287" s="32">
        <f>A287-WEEKDAY(A287,2)+1</f>
        <v>42051.0</v>
      </c>
      <c r="I287" t="str">
        <f>CHOOSE(WEEKDAY(A287,2),"Mon","Tue","Wed","Thu","Fri","Sat","Sun")</f>
        <v>Tue</v>
      </c>
    </row>
    <row r="288" spans="1:9">
      <c r="A288" s="32">
        <v>42052</v>
      </c>
      <c r="B288" t="s">
        <v>4</v>
      </c>
      <c r="C288">
        <v>3826</v>
      </c>
      <c r="D288">
        <v>32473</v>
      </c>
      <c r="E288" t="str">
        <f>VLOOKUP(B288,BaseTable,2,FALSE)</f>
        <v>Danach-NY</v>
      </c>
      <c r="F288" s="35">
        <f>D288/C288</f>
        <v>8.487454260324098</v>
      </c>
      <c r="G288" t="str">
        <f>IF(WEEKDAY(A288,2)&gt;5,"Weekend","Weekday")</f>
        <v>Weekday</v>
      </c>
      <c r="H288" s="32">
        <f>A288-WEEKDAY(A288,2)+1</f>
        <v>42051.0</v>
      </c>
      <c r="I288" t="str">
        <f>CHOOSE(WEEKDAY(A288,2),"Mon","Tue","Wed","Thu","Fri","Sat","Sun")</f>
        <v>Tue</v>
      </c>
    </row>
    <row r="289" spans="1:9">
      <c r="A289" s="32">
        <v>42052</v>
      </c>
      <c r="B289" t="s">
        <v>5</v>
      </c>
      <c r="C289">
        <v>578</v>
      </c>
      <c r="D289">
        <v>4907</v>
      </c>
      <c r="E289" t="str">
        <f>VLOOKUP(B289,BaseTable,2,FALSE)</f>
        <v>Grun</v>
      </c>
      <c r="F289" s="35">
        <f>D289/C289</f>
        <v>8.48961937716263</v>
      </c>
      <c r="G289" t="str">
        <f>IF(WEEKDAY(A289,2)&gt;5,"Weekend","Weekday")</f>
        <v>Weekday</v>
      </c>
      <c r="H289" s="32">
        <f>A289-WEEKDAY(A289,2)+1</f>
        <v>42051.0</v>
      </c>
      <c r="I289" t="str">
        <f>CHOOSE(WEEKDAY(A289,2),"Mon","Tue","Wed","Thu","Fri","Sat","Sun")</f>
        <v>Tue</v>
      </c>
    </row>
    <row r="290" spans="1:9">
      <c r="A290" s="32">
        <v>42053</v>
      </c>
      <c r="B290" t="s">
        <v>0</v>
      </c>
      <c r="C290">
        <v>228</v>
      </c>
      <c r="D290">
        <v>1589</v>
      </c>
      <c r="E290" t="str">
        <f>VLOOKUP(B290,BaseTable,2,FALSE)</f>
        <v>Unter</v>
      </c>
      <c r="F290" s="35">
        <f>D290/C290</f>
        <v>6.969298245614035</v>
      </c>
      <c r="G290" t="str">
        <f>IF(WEEKDAY(A290,2)&gt;5,"Weekend","Weekday")</f>
        <v>Weekday</v>
      </c>
      <c r="H290" s="32">
        <f>A290-WEEKDAY(A290,2)+1</f>
        <v>42051.0</v>
      </c>
      <c r="I290" t="str">
        <f>CHOOSE(WEEKDAY(A290,2),"Mon","Tue","Wed","Thu","Fri","Sat","Sun")</f>
        <v>Wed</v>
      </c>
    </row>
    <row r="291" spans="1:9">
      <c r="A291" s="32">
        <v>42053</v>
      </c>
      <c r="B291" t="s">
        <v>1</v>
      </c>
      <c r="C291">
        <v>1078</v>
      </c>
      <c r="D291">
        <v>9538</v>
      </c>
      <c r="E291" t="str">
        <f>VLOOKUP(B291,BaseTable,2,FALSE)</f>
        <v>Hinter</v>
      </c>
      <c r="F291" s="35">
        <f>D291/C291</f>
        <v>8.847866419294991</v>
      </c>
      <c r="G291" t="str">
        <f>IF(WEEKDAY(A291,2)&gt;5,"Weekend","Weekday")</f>
        <v>Weekday</v>
      </c>
      <c r="H291" s="32">
        <f>A291-WEEKDAY(A291,2)+1</f>
        <v>42051.0</v>
      </c>
      <c r="I291" t="str">
        <f>CHOOSE(WEEKDAY(A291,2),"Mon","Tue","Wed","Thu","Fri","Sat","Sun")</f>
        <v>Wed</v>
      </c>
    </row>
    <row r="292" spans="1:9">
      <c r="A292" s="32">
        <v>42053</v>
      </c>
      <c r="B292" t="s">
        <v>2</v>
      </c>
      <c r="C292">
        <v>1394</v>
      </c>
      <c r="D292">
        <v>12016</v>
      </c>
      <c r="E292" t="str">
        <f>VLOOKUP(B292,BaseTable,2,FALSE)</f>
        <v>Weiter</v>
      </c>
      <c r="F292" s="35">
        <f>D292/C292</f>
        <v>8.619799139167862</v>
      </c>
      <c r="G292" t="str">
        <f>IF(WEEKDAY(A292,2)&gt;5,"Weekend","Weekday")</f>
        <v>Weekday</v>
      </c>
      <c r="H292" s="32">
        <f>A292-WEEKDAY(A292,2)+1</f>
        <v>42051.0</v>
      </c>
      <c r="I292" t="str">
        <f>CHOOSE(WEEKDAY(A292,2),"Mon","Tue","Wed","Thu","Fri","Sat","Sun")</f>
        <v>Wed</v>
      </c>
    </row>
    <row r="293" spans="1:9">
      <c r="A293" s="32">
        <v>42053</v>
      </c>
      <c r="B293" t="s">
        <v>3</v>
      </c>
      <c r="C293">
        <v>1314</v>
      </c>
      <c r="D293">
        <v>11724</v>
      </c>
      <c r="E293" t="str">
        <f>VLOOKUP(B293,BaseTable,2,FALSE)</f>
        <v>Schmecken</v>
      </c>
      <c r="F293" s="35">
        <f>D293/C293</f>
        <v>8.922374429223744</v>
      </c>
      <c r="G293" t="str">
        <f>IF(WEEKDAY(A293,2)&gt;5,"Weekend","Weekday")</f>
        <v>Weekday</v>
      </c>
      <c r="H293" s="32">
        <f>A293-WEEKDAY(A293,2)+1</f>
        <v>42051.0</v>
      </c>
      <c r="I293" t="str">
        <f>CHOOSE(WEEKDAY(A293,2),"Mon","Tue","Wed","Thu","Fri","Sat","Sun")</f>
        <v>Wed</v>
      </c>
    </row>
    <row r="294" spans="1:9">
      <c r="A294" s="32">
        <v>42053</v>
      </c>
      <c r="B294" t="s">
        <v>4</v>
      </c>
      <c r="C294">
        <v>3842</v>
      </c>
      <c r="D294">
        <v>32317</v>
      </c>
      <c r="E294" t="str">
        <f>VLOOKUP(B294,BaseTable,2,FALSE)</f>
        <v>Danach-NY</v>
      </c>
      <c r="F294" s="35">
        <f>D294/C294</f>
        <v>8.41150442477876</v>
      </c>
      <c r="G294" t="str">
        <f>IF(WEEKDAY(A294,2)&gt;5,"Weekend","Weekday")</f>
        <v>Weekday</v>
      </c>
      <c r="H294" s="32">
        <f>A294-WEEKDAY(A294,2)+1</f>
        <v>42051.0</v>
      </c>
      <c r="I294" t="str">
        <f>CHOOSE(WEEKDAY(A294,2),"Mon","Tue","Wed","Thu","Fri","Sat","Sun")</f>
        <v>Wed</v>
      </c>
    </row>
    <row r="295" spans="1:9">
      <c r="A295" s="32">
        <v>42053</v>
      </c>
      <c r="B295" t="s">
        <v>5</v>
      </c>
      <c r="C295">
        <v>586</v>
      </c>
      <c r="D295">
        <v>5059</v>
      </c>
      <c r="E295" t="str">
        <f>VLOOKUP(B295,BaseTable,2,FALSE)</f>
        <v>Grun</v>
      </c>
      <c r="F295" s="35">
        <f>D295/C295</f>
        <v>8.633105802047782</v>
      </c>
      <c r="G295" t="str">
        <f>IF(WEEKDAY(A295,2)&gt;5,"Weekend","Weekday")</f>
        <v>Weekday</v>
      </c>
      <c r="H295" s="32">
        <f>A295-WEEKDAY(A295,2)+1</f>
        <v>42051.0</v>
      </c>
      <c r="I295" t="str">
        <f>CHOOSE(WEEKDAY(A295,2),"Mon","Tue","Wed","Thu","Fri","Sat","Sun")</f>
        <v>Wed</v>
      </c>
    </row>
    <row r="296" spans="1:9">
      <c r="A296" s="32">
        <v>42054</v>
      </c>
      <c r="B296" t="s">
        <v>0</v>
      </c>
      <c r="C296">
        <v>250</v>
      </c>
      <c r="D296">
        <v>2120</v>
      </c>
      <c r="E296" t="str">
        <f>VLOOKUP(B296,BaseTable,2,FALSE)</f>
        <v>Unter</v>
      </c>
      <c r="F296" s="35">
        <f>D296/C296</f>
        <v>8.48</v>
      </c>
      <c r="G296" t="str">
        <f>IF(WEEKDAY(A296,2)&gt;5,"Weekend","Weekday")</f>
        <v>Weekday</v>
      </c>
      <c r="H296" s="32">
        <f>A296-WEEKDAY(A296,2)+1</f>
        <v>42051.0</v>
      </c>
      <c r="I296" t="str">
        <f>CHOOSE(WEEKDAY(A296,2),"Mon","Tue","Wed","Thu","Fri","Sat","Sun")</f>
        <v>Thu</v>
      </c>
    </row>
    <row r="297" spans="1:9">
      <c r="A297" s="32">
        <v>42054</v>
      </c>
      <c r="B297" t="s">
        <v>1</v>
      </c>
      <c r="C297">
        <v>1127</v>
      </c>
      <c r="D297">
        <v>11739</v>
      </c>
      <c r="E297" t="str">
        <f>VLOOKUP(B297,BaseTable,2,FALSE)</f>
        <v>Hinter</v>
      </c>
      <c r="F297" s="35">
        <f>D297/C297</f>
        <v>10.416149068322982</v>
      </c>
      <c r="G297" t="str">
        <f>IF(WEEKDAY(A297,2)&gt;5,"Weekend","Weekday")</f>
        <v>Weekday</v>
      </c>
      <c r="H297" s="32">
        <f>A297-WEEKDAY(A297,2)+1</f>
        <v>42051.0</v>
      </c>
      <c r="I297" t="str">
        <f>CHOOSE(WEEKDAY(A297,2),"Mon","Tue","Wed","Thu","Fri","Sat","Sun")</f>
        <v>Thu</v>
      </c>
    </row>
    <row r="298" spans="1:9">
      <c r="A298" s="32">
        <v>42054</v>
      </c>
      <c r="B298" t="s">
        <v>2</v>
      </c>
      <c r="C298">
        <v>1452</v>
      </c>
      <c r="D298">
        <v>14750</v>
      </c>
      <c r="E298" t="str">
        <f>VLOOKUP(B298,BaseTable,2,FALSE)</f>
        <v>Weiter</v>
      </c>
      <c r="F298" s="35">
        <f>D298/C298</f>
        <v>10.158402203856749</v>
      </c>
      <c r="G298" t="str">
        <f>IF(WEEKDAY(A298,2)&gt;5,"Weekend","Weekday")</f>
        <v>Weekday</v>
      </c>
      <c r="H298" s="32">
        <f>A298-WEEKDAY(A298,2)+1</f>
        <v>42051.0</v>
      </c>
      <c r="I298" t="str">
        <f>CHOOSE(WEEKDAY(A298,2),"Mon","Tue","Wed","Thu","Fri","Sat","Sun")</f>
        <v>Thu</v>
      </c>
    </row>
    <row r="299" spans="1:9">
      <c r="A299" s="32">
        <v>42054</v>
      </c>
      <c r="B299" t="s">
        <v>3</v>
      </c>
      <c r="C299">
        <v>1428</v>
      </c>
      <c r="D299">
        <v>14591</v>
      </c>
      <c r="E299" t="str">
        <f>VLOOKUP(B299,BaseTable,2,FALSE)</f>
        <v>Schmecken</v>
      </c>
      <c r="F299" s="35">
        <f>D299/C299</f>
        <v>10.217787114845938</v>
      </c>
      <c r="G299" t="str">
        <f>IF(WEEKDAY(A299,2)&gt;5,"Weekend","Weekday")</f>
        <v>Weekday</v>
      </c>
      <c r="H299" s="32">
        <f>A299-WEEKDAY(A299,2)+1</f>
        <v>42051.0</v>
      </c>
      <c r="I299" t="str">
        <f>CHOOSE(WEEKDAY(A299,2),"Mon","Tue","Wed","Thu","Fri","Sat","Sun")</f>
        <v>Thu</v>
      </c>
    </row>
    <row r="300" spans="1:9">
      <c r="A300" s="32">
        <v>42054</v>
      </c>
      <c r="B300" t="s">
        <v>4</v>
      </c>
      <c r="C300">
        <v>4110</v>
      </c>
      <c r="D300">
        <v>39110</v>
      </c>
      <c r="E300" t="str">
        <f>VLOOKUP(B300,BaseTable,2,FALSE)</f>
        <v>Danach-NY</v>
      </c>
      <c r="F300" s="35">
        <f>D300/C300</f>
        <v>9.51581508515815</v>
      </c>
      <c r="G300" t="str">
        <f>IF(WEEKDAY(A300,2)&gt;5,"Weekend","Weekday")</f>
        <v>Weekday</v>
      </c>
      <c r="H300" s="32">
        <f>A300-WEEKDAY(A300,2)+1</f>
        <v>42051.0</v>
      </c>
      <c r="I300" t="str">
        <f>CHOOSE(WEEKDAY(A300,2),"Mon","Tue","Wed","Thu","Fri","Sat","Sun")</f>
        <v>Thu</v>
      </c>
    </row>
    <row r="301" spans="1:9">
      <c r="A301" s="32">
        <v>42054</v>
      </c>
      <c r="B301" t="s">
        <v>5</v>
      </c>
      <c r="C301">
        <v>663</v>
      </c>
      <c r="D301">
        <v>6447</v>
      </c>
      <c r="E301" t="str">
        <f>VLOOKUP(B301,BaseTable,2,FALSE)</f>
        <v>Grun</v>
      </c>
      <c r="F301" s="35">
        <f>D301/C301</f>
        <v>9.723981900452488</v>
      </c>
      <c r="G301" t="str">
        <f>IF(WEEKDAY(A301,2)&gt;5,"Weekend","Weekday")</f>
        <v>Weekday</v>
      </c>
      <c r="H301" s="32">
        <f>A301-WEEKDAY(A301,2)+1</f>
        <v>42051.0</v>
      </c>
      <c r="I301" t="str">
        <f>CHOOSE(WEEKDAY(A301,2),"Mon","Tue","Wed","Thu","Fri","Sat","Sun")</f>
        <v>Thu</v>
      </c>
    </row>
    <row r="302" spans="1:9">
      <c r="A302" s="32">
        <v>42055</v>
      </c>
      <c r="B302" t="s">
        <v>0</v>
      </c>
      <c r="C302">
        <v>272</v>
      </c>
      <c r="D302">
        <v>2380</v>
      </c>
      <c r="E302" t="str">
        <f>VLOOKUP(B302,BaseTable,2,FALSE)</f>
        <v>Unter</v>
      </c>
      <c r="F302" s="35">
        <f>D302/C302</f>
        <v>8.75</v>
      </c>
      <c r="G302" t="str">
        <f>IF(WEEKDAY(A302,2)&gt;5,"Weekend","Weekday")</f>
        <v>Weekday</v>
      </c>
      <c r="H302" s="32">
        <f>A302-WEEKDAY(A302,2)+1</f>
        <v>42051.0</v>
      </c>
      <c r="I302" t="str">
        <f>CHOOSE(WEEKDAY(A302,2),"Mon","Tue","Wed","Thu","Fri","Sat","Sun")</f>
        <v>Fri</v>
      </c>
    </row>
    <row r="303" spans="1:9">
      <c r="A303" s="32">
        <v>42055</v>
      </c>
      <c r="B303" t="s">
        <v>1</v>
      </c>
      <c r="C303">
        <v>1186</v>
      </c>
      <c r="D303">
        <v>12758</v>
      </c>
      <c r="E303" t="str">
        <f>VLOOKUP(B303,BaseTable,2,FALSE)</f>
        <v>Hinter</v>
      </c>
      <c r="F303" s="35">
        <f>D303/C303</f>
        <v>10.75716694772344</v>
      </c>
      <c r="G303" t="str">
        <f>IF(WEEKDAY(A303,2)&gt;5,"Weekend","Weekday")</f>
        <v>Weekday</v>
      </c>
      <c r="H303" s="32">
        <f>A303-WEEKDAY(A303,2)+1</f>
        <v>42051.0</v>
      </c>
      <c r="I303" t="str">
        <f>CHOOSE(WEEKDAY(A303,2),"Mon","Tue","Wed","Thu","Fri","Sat","Sun")</f>
        <v>Fri</v>
      </c>
    </row>
    <row r="304" spans="1:9">
      <c r="A304" s="32">
        <v>42055</v>
      </c>
      <c r="B304" t="s">
        <v>2</v>
      </c>
      <c r="C304">
        <v>1574</v>
      </c>
      <c r="D304">
        <v>16856</v>
      </c>
      <c r="E304" t="str">
        <f>VLOOKUP(B304,BaseTable,2,FALSE)</f>
        <v>Weiter</v>
      </c>
      <c r="F304" s="35">
        <f>D304/C304</f>
        <v>10.709021601016518</v>
      </c>
      <c r="G304" t="str">
        <f>IF(WEEKDAY(A304,2)&gt;5,"Weekend","Weekday")</f>
        <v>Weekday</v>
      </c>
      <c r="H304" s="32">
        <f>A304-WEEKDAY(A304,2)+1</f>
        <v>42051.0</v>
      </c>
      <c r="I304" t="str">
        <f>CHOOSE(WEEKDAY(A304,2),"Mon","Tue","Wed","Thu","Fri","Sat","Sun")</f>
        <v>Fri</v>
      </c>
    </row>
    <row r="305" spans="1:9">
      <c r="A305" s="32">
        <v>42055</v>
      </c>
      <c r="B305" t="s">
        <v>3</v>
      </c>
      <c r="C305">
        <v>1497</v>
      </c>
      <c r="D305">
        <v>16342</v>
      </c>
      <c r="E305" t="str">
        <f>VLOOKUP(B305,BaseTable,2,FALSE)</f>
        <v>Schmecken</v>
      </c>
      <c r="F305" s="35">
        <f>D305/C305</f>
        <v>10.916499665998664</v>
      </c>
      <c r="G305" t="str">
        <f>IF(WEEKDAY(A305,2)&gt;5,"Weekend","Weekday")</f>
        <v>Weekday</v>
      </c>
      <c r="H305" s="32">
        <f>A305-WEEKDAY(A305,2)+1</f>
        <v>42051.0</v>
      </c>
      <c r="I305" t="str">
        <f>CHOOSE(WEEKDAY(A305,2),"Mon","Tue","Wed","Thu","Fri","Sat","Sun")</f>
        <v>Fri</v>
      </c>
    </row>
    <row r="306" spans="1:9">
      <c r="A306" s="32">
        <v>42055</v>
      </c>
      <c r="B306" t="s">
        <v>4</v>
      </c>
      <c r="C306">
        <v>4384</v>
      </c>
      <c r="D306">
        <v>44755</v>
      </c>
      <c r="E306" t="str">
        <f>VLOOKUP(B306,BaseTable,2,FALSE)</f>
        <v>Danach-NY</v>
      </c>
      <c r="F306" s="35">
        <f>D306/C306</f>
        <v>10.208713503649635</v>
      </c>
      <c r="G306" t="str">
        <f>IF(WEEKDAY(A306,2)&gt;5,"Weekend","Weekday")</f>
        <v>Weekday</v>
      </c>
      <c r="H306" s="32">
        <f>A306-WEEKDAY(A306,2)+1</f>
        <v>42051.0</v>
      </c>
      <c r="I306" t="str">
        <f>CHOOSE(WEEKDAY(A306,2),"Mon","Tue","Wed","Thu","Fri","Sat","Sun")</f>
        <v>Fri</v>
      </c>
    </row>
    <row r="307" spans="1:9">
      <c r="A307" s="32">
        <v>42055</v>
      </c>
      <c r="B307" t="s">
        <v>5</v>
      </c>
      <c r="C307">
        <v>736</v>
      </c>
      <c r="D307">
        <v>7824</v>
      </c>
      <c r="E307" t="str">
        <f>VLOOKUP(B307,BaseTable,2,FALSE)</f>
        <v>Grun</v>
      </c>
      <c r="F307" s="35">
        <f>D307/C307</f>
        <v>10.630434782608695</v>
      </c>
      <c r="G307" t="str">
        <f>IF(WEEKDAY(A307,2)&gt;5,"Weekend","Weekday")</f>
        <v>Weekday</v>
      </c>
      <c r="H307" s="32">
        <f>A307-WEEKDAY(A307,2)+1</f>
        <v>42051.0</v>
      </c>
      <c r="I307" t="str">
        <f>CHOOSE(WEEKDAY(A307,2),"Mon","Tue","Wed","Thu","Fri","Sat","Sun")</f>
        <v>Fri</v>
      </c>
    </row>
    <row r="308" spans="1:9">
      <c r="A308" s="32">
        <v>42056</v>
      </c>
      <c r="B308" t="s">
        <v>0</v>
      </c>
      <c r="C308">
        <v>238</v>
      </c>
      <c r="D308">
        <v>2149</v>
      </c>
      <c r="E308" t="str">
        <f>VLOOKUP(B308,BaseTable,2,FALSE)</f>
        <v>Unter</v>
      </c>
      <c r="F308" s="35">
        <f>D308/C308</f>
        <v>9.029411764705882</v>
      </c>
      <c r="G308" t="str">
        <f>IF(WEEKDAY(A308,2)&gt;5,"Weekend","Weekday")</f>
        <v>Weekend</v>
      </c>
      <c r="H308" s="32">
        <f>A308-WEEKDAY(A308,2)+1</f>
        <v>42051.0</v>
      </c>
      <c r="I308" t="str">
        <f>CHOOSE(WEEKDAY(A308,2),"Mon","Tue","Wed","Thu","Fri","Sat","Sun")</f>
        <v>Sat</v>
      </c>
    </row>
    <row r="309" spans="1:9">
      <c r="A309" s="32">
        <v>42056</v>
      </c>
      <c r="B309" t="s">
        <v>1</v>
      </c>
      <c r="C309">
        <v>1044</v>
      </c>
      <c r="D309">
        <v>12132</v>
      </c>
      <c r="E309" t="str">
        <f>VLOOKUP(B309,BaseTable,2,FALSE)</f>
        <v>Hinter</v>
      </c>
      <c r="F309" s="35">
        <f>D309/C309</f>
        <v>11.620689655172415</v>
      </c>
      <c r="G309" t="str">
        <f>IF(WEEKDAY(A309,2)&gt;5,"Weekend","Weekday")</f>
        <v>Weekend</v>
      </c>
      <c r="H309" s="32">
        <f>A309-WEEKDAY(A309,2)+1</f>
        <v>42051.0</v>
      </c>
      <c r="I309" t="str">
        <f>CHOOSE(WEEKDAY(A309,2),"Mon","Tue","Wed","Thu","Fri","Sat","Sun")</f>
        <v>Sat</v>
      </c>
    </row>
    <row r="310" spans="1:9">
      <c r="A310" s="32">
        <v>42056</v>
      </c>
      <c r="B310" t="s">
        <v>2</v>
      </c>
      <c r="C310">
        <v>1443</v>
      </c>
      <c r="D310">
        <v>16098</v>
      </c>
      <c r="E310" t="str">
        <f>VLOOKUP(B310,BaseTable,2,FALSE)</f>
        <v>Weiter</v>
      </c>
      <c r="F310" s="35">
        <f>D310/C310</f>
        <v>11.155925155925155</v>
      </c>
      <c r="G310" t="str">
        <f>IF(WEEKDAY(A310,2)&gt;5,"Weekend","Weekday")</f>
        <v>Weekend</v>
      </c>
      <c r="H310" s="32">
        <f>A310-WEEKDAY(A310,2)+1</f>
        <v>42051.0</v>
      </c>
      <c r="I310" t="str">
        <f>CHOOSE(WEEKDAY(A310,2),"Mon","Tue","Wed","Thu","Fri","Sat","Sun")</f>
        <v>Sat</v>
      </c>
    </row>
    <row r="311" spans="1:9">
      <c r="A311" s="32">
        <v>42056</v>
      </c>
      <c r="B311" t="s">
        <v>3</v>
      </c>
      <c r="C311">
        <v>1374</v>
      </c>
      <c r="D311">
        <v>16149</v>
      </c>
      <c r="E311" t="str">
        <f>VLOOKUP(B311,BaseTable,2,FALSE)</f>
        <v>Schmecken</v>
      </c>
      <c r="F311" s="35">
        <f>D311/C311</f>
        <v>11.753275109170305</v>
      </c>
      <c r="G311" t="str">
        <f>IF(WEEKDAY(A311,2)&gt;5,"Weekend","Weekday")</f>
        <v>Weekend</v>
      </c>
      <c r="H311" s="32">
        <f>A311-WEEKDAY(A311,2)+1</f>
        <v>42051.0</v>
      </c>
      <c r="I311" t="str">
        <f>CHOOSE(WEEKDAY(A311,2),"Mon","Tue","Wed","Thu","Fri","Sat","Sun")</f>
        <v>Sat</v>
      </c>
    </row>
    <row r="312" spans="1:9">
      <c r="A312" s="32">
        <v>42056</v>
      </c>
      <c r="B312" t="s">
        <v>4</v>
      </c>
      <c r="C312">
        <v>3981</v>
      </c>
      <c r="D312">
        <v>44194</v>
      </c>
      <c r="E312" t="str">
        <f>VLOOKUP(B312,BaseTable,2,FALSE)</f>
        <v>Danach-NY</v>
      </c>
      <c r="F312" s="35">
        <f>D312/C312</f>
        <v>11.101230846520975</v>
      </c>
      <c r="G312" t="str">
        <f>IF(WEEKDAY(A312,2)&gt;5,"Weekend","Weekday")</f>
        <v>Weekend</v>
      </c>
      <c r="H312" s="32">
        <f>A312-WEEKDAY(A312,2)+1</f>
        <v>42051.0</v>
      </c>
      <c r="I312" t="str">
        <f>CHOOSE(WEEKDAY(A312,2),"Mon","Tue","Wed","Thu","Fri","Sat","Sun")</f>
        <v>Sat</v>
      </c>
    </row>
    <row r="313" spans="1:9">
      <c r="A313" s="32">
        <v>42056</v>
      </c>
      <c r="B313" t="s">
        <v>5</v>
      </c>
      <c r="C313">
        <v>685</v>
      </c>
      <c r="D313">
        <v>7658</v>
      </c>
      <c r="E313" t="str">
        <f>VLOOKUP(B313,BaseTable,2,FALSE)</f>
        <v>Grun</v>
      </c>
      <c r="F313" s="35">
        <f>D313/C313</f>
        <v>11.17956204379562</v>
      </c>
      <c r="G313" t="str">
        <f>IF(WEEKDAY(A313,2)&gt;5,"Weekend","Weekday")</f>
        <v>Weekend</v>
      </c>
      <c r="H313" s="32">
        <f>A313-WEEKDAY(A313,2)+1</f>
        <v>42051.0</v>
      </c>
      <c r="I313" t="str">
        <f>CHOOSE(WEEKDAY(A313,2),"Mon","Tue","Wed","Thu","Fri","Sat","Sun")</f>
        <v>Sat</v>
      </c>
    </row>
    <row r="314" spans="1:9">
      <c r="A314" s="32">
        <v>42057</v>
      </c>
      <c r="B314" t="s">
        <v>0</v>
      </c>
      <c r="C314">
        <v>199</v>
      </c>
      <c r="D314">
        <v>1312</v>
      </c>
      <c r="E314" t="str">
        <f>VLOOKUP(B314,BaseTable,2,FALSE)</f>
        <v>Unter</v>
      </c>
      <c r="F314" s="35">
        <f>D314/C314</f>
        <v>6.592964824120603</v>
      </c>
      <c r="G314" t="str">
        <f>IF(WEEKDAY(A314,2)&gt;5,"Weekend","Weekday")</f>
        <v>Weekend</v>
      </c>
      <c r="H314" s="32">
        <f>A314-WEEKDAY(A314,2)+1</f>
        <v>42051.0</v>
      </c>
      <c r="I314" t="str">
        <f>CHOOSE(WEEKDAY(A314,2),"Mon","Tue","Wed","Thu","Fri","Sat","Sun")</f>
        <v>Sun</v>
      </c>
    </row>
    <row r="315" spans="1:9">
      <c r="A315" s="32">
        <v>42057</v>
      </c>
      <c r="B315" t="s">
        <v>1</v>
      </c>
      <c r="C315">
        <v>909</v>
      </c>
      <c r="D315">
        <v>8271</v>
      </c>
      <c r="E315" t="str">
        <f>VLOOKUP(B315,BaseTable,2,FALSE)</f>
        <v>Hinter</v>
      </c>
      <c r="F315" s="35">
        <f>D315/C315</f>
        <v>9.099009900990099</v>
      </c>
      <c r="G315" t="str">
        <f>IF(WEEKDAY(A315,2)&gt;5,"Weekend","Weekday")</f>
        <v>Weekend</v>
      </c>
      <c r="H315" s="32">
        <f>A315-WEEKDAY(A315,2)+1</f>
        <v>42051.0</v>
      </c>
      <c r="I315" t="str">
        <f>CHOOSE(WEEKDAY(A315,2),"Mon","Tue","Wed","Thu","Fri","Sat","Sun")</f>
        <v>Sun</v>
      </c>
    </row>
    <row r="316" spans="1:9">
      <c r="A316" s="32">
        <v>42057</v>
      </c>
      <c r="B316" t="s">
        <v>2</v>
      </c>
      <c r="C316">
        <v>1248</v>
      </c>
      <c r="D316">
        <v>10696</v>
      </c>
      <c r="E316" t="str">
        <f>VLOOKUP(B316,BaseTable,2,FALSE)</f>
        <v>Weiter</v>
      </c>
      <c r="F316" s="35">
        <f>D316/C316</f>
        <v>8.570512820512821</v>
      </c>
      <c r="G316" t="str">
        <f>IF(WEEKDAY(A316,2)&gt;5,"Weekend","Weekday")</f>
        <v>Weekend</v>
      </c>
      <c r="H316" s="32">
        <f>A316-WEEKDAY(A316,2)+1</f>
        <v>42051.0</v>
      </c>
      <c r="I316" t="str">
        <f>CHOOSE(WEEKDAY(A316,2),"Mon","Tue","Wed","Thu","Fri","Sat","Sun")</f>
        <v>Sun</v>
      </c>
    </row>
    <row r="317" spans="1:9">
      <c r="A317" s="32">
        <v>42057</v>
      </c>
      <c r="B317" t="s">
        <v>3</v>
      </c>
      <c r="C317">
        <v>1220</v>
      </c>
      <c r="D317">
        <v>10970</v>
      </c>
      <c r="E317" t="str">
        <f>VLOOKUP(B317,BaseTable,2,FALSE)</f>
        <v>Schmecken</v>
      </c>
      <c r="F317" s="35">
        <f>D317/C317</f>
        <v>8.991803278688524</v>
      </c>
      <c r="G317" t="str">
        <f>IF(WEEKDAY(A317,2)&gt;5,"Weekend","Weekday")</f>
        <v>Weekend</v>
      </c>
      <c r="H317" s="32">
        <f>A317-WEEKDAY(A317,2)+1</f>
        <v>42051.0</v>
      </c>
      <c r="I317" t="str">
        <f>CHOOSE(WEEKDAY(A317,2),"Mon","Tue","Wed","Thu","Fri","Sat","Sun")</f>
        <v>Sun</v>
      </c>
    </row>
    <row r="318" spans="1:9">
      <c r="A318" s="32">
        <v>42057</v>
      </c>
      <c r="B318" t="s">
        <v>4</v>
      </c>
      <c r="C318">
        <v>3478</v>
      </c>
      <c r="D318">
        <v>30157</v>
      </c>
      <c r="E318" t="str">
        <f>VLOOKUP(B318,BaseTable,2,FALSE)</f>
        <v>Danach-NY</v>
      </c>
      <c r="F318" s="35">
        <f>D318/C318</f>
        <v>8.670787809085681</v>
      </c>
      <c r="G318" t="str">
        <f>IF(WEEKDAY(A318,2)&gt;5,"Weekend","Weekday")</f>
        <v>Weekend</v>
      </c>
      <c r="H318" s="32">
        <f>A318-WEEKDAY(A318,2)+1</f>
        <v>42051.0</v>
      </c>
      <c r="I318" t="str">
        <f>CHOOSE(WEEKDAY(A318,2),"Mon","Tue","Wed","Thu","Fri","Sat","Sun")</f>
        <v>Sun</v>
      </c>
    </row>
    <row r="319" spans="1:9">
      <c r="A319" s="32">
        <v>42057</v>
      </c>
      <c r="B319" t="s">
        <v>5</v>
      </c>
      <c r="C319">
        <v>566</v>
      </c>
      <c r="D319">
        <v>5034</v>
      </c>
      <c r="E319" t="str">
        <f>VLOOKUP(B319,BaseTable,2,FALSE)</f>
        <v>Grun</v>
      </c>
      <c r="F319" s="35">
        <f>D319/C319</f>
        <v>8.89399293286219</v>
      </c>
      <c r="G319" t="str">
        <f>IF(WEEKDAY(A319,2)&gt;5,"Weekend","Weekday")</f>
        <v>Weekend</v>
      </c>
      <c r="H319" s="32">
        <f>A319-WEEKDAY(A319,2)+1</f>
        <v>42051.0</v>
      </c>
      <c r="I319" t="str">
        <f>CHOOSE(WEEKDAY(A319,2),"Mon","Tue","Wed","Thu","Fri","Sat","Sun")</f>
        <v>Sun</v>
      </c>
    </row>
    <row r="320" spans="1:9">
      <c r="A320" s="32">
        <v>42058</v>
      </c>
      <c r="B320" t="s">
        <v>0</v>
      </c>
      <c r="C320">
        <v>238</v>
      </c>
      <c r="D320">
        <v>1844</v>
      </c>
      <c r="E320" t="str">
        <f>VLOOKUP(B320,BaseTable,2,FALSE)</f>
        <v>Unter</v>
      </c>
      <c r="F320" s="35">
        <f>D320/C320</f>
        <v>7.7478991596638656</v>
      </c>
      <c r="G320" t="str">
        <f>IF(WEEKDAY(A320,2)&gt;5,"Weekend","Weekday")</f>
        <v>Weekday</v>
      </c>
      <c r="H320" s="32">
        <f>A320-WEEKDAY(A320,2)+1</f>
        <v>42058.0</v>
      </c>
      <c r="I320" t="str">
        <f>CHOOSE(WEEKDAY(A320,2),"Mon","Tue","Wed","Thu","Fri","Sat","Sun")</f>
        <v>Mon</v>
      </c>
    </row>
    <row r="321" spans="1:9">
      <c r="A321" s="32">
        <v>42058</v>
      </c>
      <c r="B321" t="s">
        <v>1</v>
      </c>
      <c r="C321">
        <v>966</v>
      </c>
      <c r="D321">
        <v>8943</v>
      </c>
      <c r="E321" t="str">
        <f>VLOOKUP(B321,BaseTable,2,FALSE)</f>
        <v>Hinter</v>
      </c>
      <c r="F321" s="35">
        <f>D321/C321</f>
        <v>9.25776397515528</v>
      </c>
      <c r="G321" t="str">
        <f>IF(WEEKDAY(A321,2)&gt;5,"Weekend","Weekday")</f>
        <v>Weekday</v>
      </c>
      <c r="H321" s="32">
        <f>A321-WEEKDAY(A321,2)+1</f>
        <v>42058.0</v>
      </c>
      <c r="I321" t="str">
        <f>CHOOSE(WEEKDAY(A321,2),"Mon","Tue","Wed","Thu","Fri","Sat","Sun")</f>
        <v>Mon</v>
      </c>
    </row>
    <row r="322" spans="1:9">
      <c r="A322" s="32">
        <v>42058</v>
      </c>
      <c r="B322" t="s">
        <v>2</v>
      </c>
      <c r="C322">
        <v>1332</v>
      </c>
      <c r="D322">
        <v>11720</v>
      </c>
      <c r="E322" t="str">
        <f>VLOOKUP(B322,BaseTable,2,FALSE)</f>
        <v>Weiter</v>
      </c>
      <c r="F322" s="35">
        <f>D322/C322</f>
        <v>8.7987987987988</v>
      </c>
      <c r="G322" t="str">
        <f>IF(WEEKDAY(A322,2)&gt;5,"Weekend","Weekday")</f>
        <v>Weekday</v>
      </c>
      <c r="H322" s="32">
        <f>A322-WEEKDAY(A322,2)+1</f>
        <v>42058.0</v>
      </c>
      <c r="I322" t="str">
        <f>CHOOSE(WEEKDAY(A322,2),"Mon","Tue","Wed","Thu","Fri","Sat","Sun")</f>
        <v>Mon</v>
      </c>
    </row>
    <row r="323" spans="1:9">
      <c r="A323" s="32">
        <v>42058</v>
      </c>
      <c r="B323" t="s">
        <v>3</v>
      </c>
      <c r="C323">
        <v>1262</v>
      </c>
      <c r="D323">
        <v>11714</v>
      </c>
      <c r="E323" t="str">
        <f>VLOOKUP(B323,BaseTable,2,FALSE)</f>
        <v>Schmecken</v>
      </c>
      <c r="F323" s="35">
        <f>D323/C323</f>
        <v>9.282091917591126</v>
      </c>
      <c r="G323" t="str">
        <f>IF(WEEKDAY(A323,2)&gt;5,"Weekend","Weekday")</f>
        <v>Weekday</v>
      </c>
      <c r="H323" s="32">
        <f>A323-WEEKDAY(A323,2)+1</f>
        <v>42058.0</v>
      </c>
      <c r="I323" t="str">
        <f>CHOOSE(WEEKDAY(A323,2),"Mon","Tue","Wed","Thu","Fri","Sat","Sun")</f>
        <v>Mon</v>
      </c>
    </row>
    <row r="324" spans="1:9">
      <c r="A324" s="32">
        <v>42058</v>
      </c>
      <c r="B324" t="s">
        <v>4</v>
      </c>
      <c r="C324">
        <v>3734</v>
      </c>
      <c r="D324">
        <v>31173</v>
      </c>
      <c r="E324" t="str">
        <f>VLOOKUP(B324,BaseTable,2,FALSE)</f>
        <v>Danach-NY</v>
      </c>
      <c r="F324" s="35">
        <f>D324/C324</f>
        <v>8.34841992501339</v>
      </c>
      <c r="G324" t="str">
        <f>IF(WEEKDAY(A324,2)&gt;5,"Weekend","Weekday")</f>
        <v>Weekday</v>
      </c>
      <c r="H324" s="32">
        <f>A324-WEEKDAY(A324,2)+1</f>
        <v>42058.0</v>
      </c>
      <c r="I324" t="str">
        <f>CHOOSE(WEEKDAY(A324,2),"Mon","Tue","Wed","Thu","Fri","Sat","Sun")</f>
        <v>Mon</v>
      </c>
    </row>
    <row r="325" spans="1:9">
      <c r="A325" s="32">
        <v>42058</v>
      </c>
      <c r="B325" t="s">
        <v>5</v>
      </c>
      <c r="C325">
        <v>665</v>
      </c>
      <c r="D325">
        <v>5823</v>
      </c>
      <c r="E325" t="str">
        <f>VLOOKUP(B325,BaseTable,2,FALSE)</f>
        <v>Grun</v>
      </c>
      <c r="F325" s="35">
        <f>D325/C325</f>
        <v>8.756390977443608</v>
      </c>
      <c r="G325" t="str">
        <f>IF(WEEKDAY(A325,2)&gt;5,"Weekend","Weekday")</f>
        <v>Weekday</v>
      </c>
      <c r="H325" s="32">
        <f>A325-WEEKDAY(A325,2)+1</f>
        <v>42058.0</v>
      </c>
      <c r="I325" t="str">
        <f>CHOOSE(WEEKDAY(A325,2),"Mon","Tue","Wed","Thu","Fri","Sat","Sun")</f>
        <v>Mon</v>
      </c>
    </row>
    <row r="326" spans="1:9">
      <c r="A326" s="32">
        <v>42059</v>
      </c>
      <c r="B326" t="s">
        <v>0</v>
      </c>
      <c r="C326">
        <v>247</v>
      </c>
      <c r="D326">
        <v>1869</v>
      </c>
      <c r="E326" t="str">
        <f>VLOOKUP(B326,BaseTable,2,FALSE)</f>
        <v>Unter</v>
      </c>
      <c r="F326" s="35">
        <f>D326/C326</f>
        <v>7.566801619433198</v>
      </c>
      <c r="G326" t="str">
        <f>IF(WEEKDAY(A326,2)&gt;5,"Weekend","Weekday")</f>
        <v>Weekday</v>
      </c>
      <c r="H326" s="32">
        <f>A326-WEEKDAY(A326,2)+1</f>
        <v>42058.0</v>
      </c>
      <c r="I326" t="str">
        <f>CHOOSE(WEEKDAY(A326,2),"Mon","Tue","Wed","Thu","Fri","Sat","Sun")</f>
        <v>Tue</v>
      </c>
    </row>
    <row r="327" spans="1:9">
      <c r="A327" s="32">
        <v>42059</v>
      </c>
      <c r="B327" t="s">
        <v>1</v>
      </c>
      <c r="C327">
        <v>1061</v>
      </c>
      <c r="D327">
        <v>9954</v>
      </c>
      <c r="E327" t="str">
        <f>VLOOKUP(B327,BaseTable,2,FALSE)</f>
        <v>Hinter</v>
      </c>
      <c r="F327" s="35">
        <f>D327/C327</f>
        <v>9.381715362865222</v>
      </c>
      <c r="G327" t="str">
        <f>IF(WEEKDAY(A327,2)&gt;5,"Weekend","Weekday")</f>
        <v>Weekday</v>
      </c>
      <c r="H327" s="32">
        <f>A327-WEEKDAY(A327,2)+1</f>
        <v>42058.0</v>
      </c>
      <c r="I327" t="str">
        <f>CHOOSE(WEEKDAY(A327,2),"Mon","Tue","Wed","Thu","Fri","Sat","Sun")</f>
        <v>Tue</v>
      </c>
    </row>
    <row r="328" spans="1:9">
      <c r="A328" s="32">
        <v>42059</v>
      </c>
      <c r="B328" t="s">
        <v>2</v>
      </c>
      <c r="C328">
        <v>1456</v>
      </c>
      <c r="D328">
        <v>13719</v>
      </c>
      <c r="E328" t="str">
        <f>VLOOKUP(B328,BaseTable,2,FALSE)</f>
        <v>Weiter</v>
      </c>
      <c r="F328" s="35">
        <f>D328/C328</f>
        <v>9.42239010989011</v>
      </c>
      <c r="G328" t="str">
        <f>IF(WEEKDAY(A328,2)&gt;5,"Weekend","Weekday")</f>
        <v>Weekday</v>
      </c>
      <c r="H328" s="32">
        <f>A328-WEEKDAY(A328,2)+1</f>
        <v>42058.0</v>
      </c>
      <c r="I328" t="str">
        <f>CHOOSE(WEEKDAY(A328,2),"Mon","Tue","Wed","Thu","Fri","Sat","Sun")</f>
        <v>Tue</v>
      </c>
    </row>
    <row r="329" spans="1:9">
      <c r="A329" s="32">
        <v>42059</v>
      </c>
      <c r="B329" t="s">
        <v>3</v>
      </c>
      <c r="C329">
        <v>1346</v>
      </c>
      <c r="D329">
        <v>12497</v>
      </c>
      <c r="E329" t="str">
        <f>VLOOKUP(B329,BaseTable,2,FALSE)</f>
        <v>Schmecken</v>
      </c>
      <c r="F329" s="35">
        <f>D329/C329</f>
        <v>9.284546805349184</v>
      </c>
      <c r="G329" t="str">
        <f>IF(WEEKDAY(A329,2)&gt;5,"Weekend","Weekday")</f>
        <v>Weekday</v>
      </c>
      <c r="H329" s="32">
        <f>A329-WEEKDAY(A329,2)+1</f>
        <v>42058.0</v>
      </c>
      <c r="I329" t="str">
        <f>CHOOSE(WEEKDAY(A329,2),"Mon","Tue","Wed","Thu","Fri","Sat","Sun")</f>
        <v>Tue</v>
      </c>
    </row>
    <row r="330" spans="1:9">
      <c r="A330" s="32">
        <v>42059</v>
      </c>
      <c r="B330" t="s">
        <v>4</v>
      </c>
      <c r="C330">
        <v>3965</v>
      </c>
      <c r="D330">
        <v>34686</v>
      </c>
      <c r="E330" t="str">
        <f>VLOOKUP(B330,BaseTable,2,FALSE)</f>
        <v>Danach-NY</v>
      </c>
      <c r="F330" s="35">
        <f>D330/C330</f>
        <v>8.748045397225725</v>
      </c>
      <c r="G330" t="str">
        <f>IF(WEEKDAY(A330,2)&gt;5,"Weekend","Weekday")</f>
        <v>Weekday</v>
      </c>
      <c r="H330" s="32">
        <f>A330-WEEKDAY(A330,2)+1</f>
        <v>42058.0</v>
      </c>
      <c r="I330" t="str">
        <f>CHOOSE(WEEKDAY(A330,2),"Mon","Tue","Wed","Thu","Fri","Sat","Sun")</f>
        <v>Tue</v>
      </c>
    </row>
    <row r="331" spans="1:9">
      <c r="A331" s="32">
        <v>42059</v>
      </c>
      <c r="B331" t="s">
        <v>5</v>
      </c>
      <c r="C331">
        <v>698</v>
      </c>
      <c r="D331">
        <v>6390</v>
      </c>
      <c r="E331" t="str">
        <f>VLOOKUP(B331,BaseTable,2,FALSE)</f>
        <v>Grun</v>
      </c>
      <c r="F331" s="35">
        <f>D331/C331</f>
        <v>9.154727793696274</v>
      </c>
      <c r="G331" t="str">
        <f>IF(WEEKDAY(A331,2)&gt;5,"Weekend","Weekday")</f>
        <v>Weekday</v>
      </c>
      <c r="H331" s="32">
        <f>A331-WEEKDAY(A331,2)+1</f>
        <v>42058.0</v>
      </c>
      <c r="I331" t="str">
        <f>CHOOSE(WEEKDAY(A331,2),"Mon","Tue","Wed","Thu","Fri","Sat","Sun")</f>
        <v>Tue</v>
      </c>
    </row>
    <row r="332" spans="1:9">
      <c r="A332" s="32">
        <v>42060</v>
      </c>
      <c r="B332" t="s">
        <v>0</v>
      </c>
      <c r="C332">
        <v>246</v>
      </c>
      <c r="D332">
        <v>1647</v>
      </c>
      <c r="E332" t="str">
        <f>VLOOKUP(B332,BaseTable,2,FALSE)</f>
        <v>Unter</v>
      </c>
      <c r="F332" s="35">
        <f>D332/C332</f>
        <v>6.695121951219512</v>
      </c>
      <c r="G332" t="str">
        <f>IF(WEEKDAY(A332,2)&gt;5,"Weekend","Weekday")</f>
        <v>Weekday</v>
      </c>
      <c r="H332" s="32">
        <f>A332-WEEKDAY(A332,2)+1</f>
        <v>42058.0</v>
      </c>
      <c r="I332" t="str">
        <f>CHOOSE(WEEKDAY(A332,2),"Mon","Tue","Wed","Thu","Fri","Sat","Sun")</f>
        <v>Wed</v>
      </c>
    </row>
    <row r="333" spans="1:9">
      <c r="A333" s="32">
        <v>42060</v>
      </c>
      <c r="B333" t="s">
        <v>1</v>
      </c>
      <c r="C333">
        <v>1076</v>
      </c>
      <c r="D333">
        <v>9405</v>
      </c>
      <c r="E333" t="str">
        <f>VLOOKUP(B333,BaseTable,2,FALSE)</f>
        <v>Hinter</v>
      </c>
      <c r="F333" s="35">
        <f>D333/C333</f>
        <v>8.740706319702602</v>
      </c>
      <c r="G333" t="str">
        <f>IF(WEEKDAY(A333,2)&gt;5,"Weekend","Weekday")</f>
        <v>Weekday</v>
      </c>
      <c r="H333" s="32">
        <f>A333-WEEKDAY(A333,2)+1</f>
        <v>42058.0</v>
      </c>
      <c r="I333" t="str">
        <f>CHOOSE(WEEKDAY(A333,2),"Mon","Tue","Wed","Thu","Fri","Sat","Sun")</f>
        <v>Wed</v>
      </c>
    </row>
    <row r="334" spans="1:9">
      <c r="A334" s="32">
        <v>42060</v>
      </c>
      <c r="B334" t="s">
        <v>2</v>
      </c>
      <c r="C334">
        <v>1473</v>
      </c>
      <c r="D334">
        <v>12811</v>
      </c>
      <c r="E334" t="str">
        <f>VLOOKUP(B334,BaseTable,2,FALSE)</f>
        <v>Weiter</v>
      </c>
      <c r="F334" s="35">
        <f>D334/C334</f>
        <v>8.697216564833672</v>
      </c>
      <c r="G334" t="str">
        <f>IF(WEEKDAY(A334,2)&gt;5,"Weekend","Weekday")</f>
        <v>Weekday</v>
      </c>
      <c r="H334" s="32">
        <f>A334-WEEKDAY(A334,2)+1</f>
        <v>42058.0</v>
      </c>
      <c r="I334" t="str">
        <f>CHOOSE(WEEKDAY(A334,2),"Mon","Tue","Wed","Thu","Fri","Sat","Sun")</f>
        <v>Wed</v>
      </c>
    </row>
    <row r="335" spans="1:9">
      <c r="A335" s="32">
        <v>42060</v>
      </c>
      <c r="B335" t="s">
        <v>3</v>
      </c>
      <c r="C335">
        <v>1395</v>
      </c>
      <c r="D335">
        <v>12693</v>
      </c>
      <c r="E335" t="str">
        <f>VLOOKUP(B335,BaseTable,2,FALSE)</f>
        <v>Schmecken</v>
      </c>
      <c r="F335" s="35">
        <f>D335/C335</f>
        <v>9.098924731182796</v>
      </c>
      <c r="G335" t="str">
        <f>IF(WEEKDAY(A335,2)&gt;5,"Weekend","Weekday")</f>
        <v>Weekday</v>
      </c>
      <c r="H335" s="32">
        <f>A335-WEEKDAY(A335,2)+1</f>
        <v>42058.0</v>
      </c>
      <c r="I335" t="str">
        <f>CHOOSE(WEEKDAY(A335,2),"Mon","Tue","Wed","Thu","Fri","Sat","Sun")</f>
        <v>Wed</v>
      </c>
    </row>
    <row r="336" spans="1:9">
      <c r="A336" s="32">
        <v>42060</v>
      </c>
      <c r="B336" t="s">
        <v>4</v>
      </c>
      <c r="C336">
        <v>3934</v>
      </c>
      <c r="D336">
        <v>31957</v>
      </c>
      <c r="E336" t="str">
        <f>VLOOKUP(B336,BaseTable,2,FALSE)</f>
        <v>Danach-NY</v>
      </c>
      <c r="F336" s="35">
        <f>D336/C336</f>
        <v>8.123284189120488</v>
      </c>
      <c r="G336" t="str">
        <f>IF(WEEKDAY(A336,2)&gt;5,"Weekend","Weekday")</f>
        <v>Weekday</v>
      </c>
      <c r="H336" s="32">
        <f>A336-WEEKDAY(A336,2)+1</f>
        <v>42058.0</v>
      </c>
      <c r="I336" t="str">
        <f>CHOOSE(WEEKDAY(A336,2),"Mon","Tue","Wed","Thu","Fri","Sat","Sun")</f>
        <v>Wed</v>
      </c>
    </row>
    <row r="337" spans="1:9">
      <c r="A337" s="32">
        <v>42060</v>
      </c>
      <c r="B337" t="s">
        <v>5</v>
      </c>
      <c r="C337">
        <v>706</v>
      </c>
      <c r="D337">
        <v>6178</v>
      </c>
      <c r="E337" t="str">
        <f>VLOOKUP(B337,BaseTable,2,FALSE)</f>
        <v>Grun</v>
      </c>
      <c r="F337" s="35">
        <f>D337/C337</f>
        <v>8.75070821529745</v>
      </c>
      <c r="G337" t="str">
        <f>IF(WEEKDAY(A337,2)&gt;5,"Weekend","Weekday")</f>
        <v>Weekday</v>
      </c>
      <c r="H337" s="32">
        <f>A337-WEEKDAY(A337,2)+1</f>
        <v>42058.0</v>
      </c>
      <c r="I337" t="str">
        <f>CHOOSE(WEEKDAY(A337,2),"Mon","Tue","Wed","Thu","Fri","Sat","Sun")</f>
        <v>Wed</v>
      </c>
    </row>
    <row r="338" spans="1:9">
      <c r="A338" s="32">
        <v>42061</v>
      </c>
      <c r="B338" t="s">
        <v>0</v>
      </c>
      <c r="C338">
        <v>243</v>
      </c>
      <c r="D338">
        <v>1797</v>
      </c>
      <c r="E338" t="str">
        <f>VLOOKUP(B338,BaseTable,2,FALSE)</f>
        <v>Unter</v>
      </c>
      <c r="F338" s="35">
        <f>D338/C338</f>
        <v>7.395061728395062</v>
      </c>
      <c r="G338" t="str">
        <f>IF(WEEKDAY(A338,2)&gt;5,"Weekend","Weekday")</f>
        <v>Weekday</v>
      </c>
      <c r="H338" s="32">
        <f>A338-WEEKDAY(A338,2)+1</f>
        <v>42058.0</v>
      </c>
      <c r="I338" t="str">
        <f>CHOOSE(WEEKDAY(A338,2),"Mon","Tue","Wed","Thu","Fri","Sat","Sun")</f>
        <v>Thu</v>
      </c>
    </row>
    <row r="339" spans="1:9">
      <c r="A339" s="32">
        <v>42061</v>
      </c>
      <c r="B339" t="s">
        <v>1</v>
      </c>
      <c r="C339">
        <v>1134</v>
      </c>
      <c r="D339">
        <v>10661</v>
      </c>
      <c r="E339" t="str">
        <f>VLOOKUP(B339,BaseTable,2,FALSE)</f>
        <v>Hinter</v>
      </c>
      <c r="F339" s="35">
        <f>D339/C339</f>
        <v>9.401234567901234</v>
      </c>
      <c r="G339" t="str">
        <f>IF(WEEKDAY(A339,2)&gt;5,"Weekend","Weekday")</f>
        <v>Weekday</v>
      </c>
      <c r="H339" s="32">
        <f>A339-WEEKDAY(A339,2)+1</f>
        <v>42058.0</v>
      </c>
      <c r="I339" t="str">
        <f>CHOOSE(WEEKDAY(A339,2),"Mon","Tue","Wed","Thu","Fri","Sat","Sun")</f>
        <v>Thu</v>
      </c>
    </row>
    <row r="340" spans="1:9">
      <c r="A340" s="32">
        <v>42061</v>
      </c>
      <c r="B340" t="s">
        <v>2</v>
      </c>
      <c r="C340">
        <v>1539</v>
      </c>
      <c r="D340">
        <v>14461</v>
      </c>
      <c r="E340" t="str">
        <f>VLOOKUP(B340,BaseTable,2,FALSE)</f>
        <v>Weiter</v>
      </c>
      <c r="F340" s="35">
        <f>D340/C340</f>
        <v>9.396361273554255</v>
      </c>
      <c r="G340" t="str">
        <f>IF(WEEKDAY(A340,2)&gt;5,"Weekend","Weekday")</f>
        <v>Weekday</v>
      </c>
      <c r="H340" s="32">
        <f>A340-WEEKDAY(A340,2)+1</f>
        <v>42058.0</v>
      </c>
      <c r="I340" t="str">
        <f>CHOOSE(WEEKDAY(A340,2),"Mon","Tue","Wed","Thu","Fri","Sat","Sun")</f>
        <v>Thu</v>
      </c>
    </row>
    <row r="341" spans="1:9">
      <c r="A341" s="32">
        <v>42061</v>
      </c>
      <c r="B341" t="s">
        <v>3</v>
      </c>
      <c r="C341">
        <v>1465</v>
      </c>
      <c r="D341">
        <v>13814</v>
      </c>
      <c r="E341" t="str">
        <f>VLOOKUP(B341,BaseTable,2,FALSE)</f>
        <v>Schmecken</v>
      </c>
      <c r="F341" s="35">
        <f>D341/C341</f>
        <v>9.429351535836178</v>
      </c>
      <c r="G341" t="str">
        <f>IF(WEEKDAY(A341,2)&gt;5,"Weekend","Weekday")</f>
        <v>Weekday</v>
      </c>
      <c r="H341" s="32">
        <f>A341-WEEKDAY(A341,2)+1</f>
        <v>42058.0</v>
      </c>
      <c r="I341" t="str">
        <f>CHOOSE(WEEKDAY(A341,2),"Mon","Tue","Wed","Thu","Fri","Sat","Sun")</f>
        <v>Thu</v>
      </c>
    </row>
    <row r="342" spans="1:9">
      <c r="A342" s="32">
        <v>42061</v>
      </c>
      <c r="B342" t="s">
        <v>4</v>
      </c>
      <c r="C342">
        <v>4101</v>
      </c>
      <c r="D342">
        <v>36091</v>
      </c>
      <c r="E342" t="str">
        <f>VLOOKUP(B342,BaseTable,2,FALSE)</f>
        <v>Danach-NY</v>
      </c>
      <c r="F342" s="35">
        <f>D342/C342</f>
        <v>8.800536454523288</v>
      </c>
      <c r="G342" t="str">
        <f>IF(WEEKDAY(A342,2)&gt;5,"Weekend","Weekday")</f>
        <v>Weekday</v>
      </c>
      <c r="H342" s="32">
        <f>A342-WEEKDAY(A342,2)+1</f>
        <v>42058.0</v>
      </c>
      <c r="I342" t="str">
        <f>CHOOSE(WEEKDAY(A342,2),"Mon","Tue","Wed","Thu","Fri","Sat","Sun")</f>
        <v>Thu</v>
      </c>
    </row>
    <row r="343" spans="1:9">
      <c r="A343" s="32">
        <v>42061</v>
      </c>
      <c r="B343" t="s">
        <v>5</v>
      </c>
      <c r="C343">
        <v>745</v>
      </c>
      <c r="D343">
        <v>6744</v>
      </c>
      <c r="E343" t="str">
        <f>VLOOKUP(B343,BaseTable,2,FALSE)</f>
        <v>Grun</v>
      </c>
      <c r="F343" s="35">
        <f>D343/C343</f>
        <v>9.052348993288591</v>
      </c>
      <c r="G343" t="str">
        <f>IF(WEEKDAY(A343,2)&gt;5,"Weekend","Weekday")</f>
        <v>Weekday</v>
      </c>
      <c r="H343" s="32">
        <f>A343-WEEKDAY(A343,2)+1</f>
        <v>42058.0</v>
      </c>
      <c r="I343" t="str">
        <f>CHOOSE(WEEKDAY(A343,2),"Mon","Tue","Wed","Thu","Fri","Sat","Sun")</f>
        <v>Thu</v>
      </c>
    </row>
    <row r="344" spans="1:9">
      <c r="A344" s="32">
        <v>42062</v>
      </c>
      <c r="B344" t="s">
        <v>0</v>
      </c>
      <c r="C344">
        <v>272</v>
      </c>
      <c r="D344">
        <v>2056</v>
      </c>
      <c r="E344" t="str">
        <f>VLOOKUP(B344,BaseTable,2,FALSE)</f>
        <v>Unter</v>
      </c>
      <c r="F344" s="35">
        <f>D344/C344</f>
        <v>7.5588235294117645</v>
      </c>
      <c r="G344" t="str">
        <f>IF(WEEKDAY(A344,2)&gt;5,"Weekend","Weekday")</f>
        <v>Weekday</v>
      </c>
      <c r="H344" s="32">
        <f>A344-WEEKDAY(A344,2)+1</f>
        <v>42058.0</v>
      </c>
      <c r="I344" t="str">
        <f>CHOOSE(WEEKDAY(A344,2),"Mon","Tue","Wed","Thu","Fri","Sat","Sun")</f>
        <v>Fri</v>
      </c>
    </row>
    <row r="345" spans="1:9">
      <c r="A345" s="32">
        <v>42062</v>
      </c>
      <c r="B345" t="s">
        <v>1</v>
      </c>
      <c r="C345">
        <v>1114</v>
      </c>
      <c r="D345">
        <v>10755</v>
      </c>
      <c r="E345" t="str">
        <f>VLOOKUP(B345,BaseTable,2,FALSE)</f>
        <v>Hinter</v>
      </c>
      <c r="F345" s="35">
        <f>D345/C345</f>
        <v>9.654398563734292</v>
      </c>
      <c r="G345" t="str">
        <f>IF(WEEKDAY(A345,2)&gt;5,"Weekend","Weekday")</f>
        <v>Weekday</v>
      </c>
      <c r="H345" s="32">
        <f>A345-WEEKDAY(A345,2)+1</f>
        <v>42058.0</v>
      </c>
      <c r="I345" t="str">
        <f>CHOOSE(WEEKDAY(A345,2),"Mon","Tue","Wed","Thu","Fri","Sat","Sun")</f>
        <v>Fri</v>
      </c>
    </row>
    <row r="346" spans="1:9">
      <c r="A346" s="32">
        <v>42062</v>
      </c>
      <c r="B346" t="s">
        <v>2</v>
      </c>
      <c r="C346">
        <v>1551</v>
      </c>
      <c r="D346">
        <v>14677</v>
      </c>
      <c r="E346" t="str">
        <f>VLOOKUP(B346,BaseTable,2,FALSE)</f>
        <v>Weiter</v>
      </c>
      <c r="F346" s="35">
        <f>D346/C346</f>
        <v>9.462927143778208</v>
      </c>
      <c r="G346" t="str">
        <f>IF(WEEKDAY(A346,2)&gt;5,"Weekend","Weekday")</f>
        <v>Weekday</v>
      </c>
      <c r="H346" s="32">
        <f>A346-WEEKDAY(A346,2)+1</f>
        <v>42058.0</v>
      </c>
      <c r="I346" t="str">
        <f>CHOOSE(WEEKDAY(A346,2),"Mon","Tue","Wed","Thu","Fri","Sat","Sun")</f>
        <v>Fri</v>
      </c>
    </row>
    <row r="347" spans="1:9">
      <c r="A347" s="32">
        <v>42062</v>
      </c>
      <c r="B347" t="s">
        <v>3</v>
      </c>
      <c r="C347">
        <v>1510</v>
      </c>
      <c r="D347">
        <v>14975</v>
      </c>
      <c r="E347" t="str">
        <f>VLOOKUP(B347,BaseTable,2,FALSE)</f>
        <v>Schmecken</v>
      </c>
      <c r="F347" s="35">
        <f>D347/C347</f>
        <v>9.917218543046358</v>
      </c>
      <c r="G347" t="str">
        <f>IF(WEEKDAY(A347,2)&gt;5,"Weekend","Weekday")</f>
        <v>Weekday</v>
      </c>
      <c r="H347" s="32">
        <f>A347-WEEKDAY(A347,2)+1</f>
        <v>42058.0</v>
      </c>
      <c r="I347" t="str">
        <f>CHOOSE(WEEKDAY(A347,2),"Mon","Tue","Wed","Thu","Fri","Sat","Sun")</f>
        <v>Fri</v>
      </c>
    </row>
    <row r="348" spans="1:9">
      <c r="A348" s="32">
        <v>42062</v>
      </c>
      <c r="B348" t="s">
        <v>4</v>
      </c>
      <c r="C348">
        <v>4253</v>
      </c>
      <c r="D348">
        <v>38780</v>
      </c>
      <c r="E348" t="str">
        <f>VLOOKUP(B348,BaseTable,2,FALSE)</f>
        <v>Danach-NY</v>
      </c>
      <c r="F348" s="35">
        <f>D348/C348</f>
        <v>9.118269456853985</v>
      </c>
      <c r="G348" t="str">
        <f>IF(WEEKDAY(A348,2)&gt;5,"Weekend","Weekday")</f>
        <v>Weekday</v>
      </c>
      <c r="H348" s="32">
        <f>A348-WEEKDAY(A348,2)+1</f>
        <v>42058.0</v>
      </c>
      <c r="I348" t="str">
        <f>CHOOSE(WEEKDAY(A348,2),"Mon","Tue","Wed","Thu","Fri","Sat","Sun")</f>
        <v>Fri</v>
      </c>
    </row>
    <row r="349" spans="1:9">
      <c r="A349" s="32">
        <v>42062</v>
      </c>
      <c r="B349" t="s">
        <v>5</v>
      </c>
      <c r="C349">
        <v>786</v>
      </c>
      <c r="D349">
        <v>7563</v>
      </c>
      <c r="E349" t="str">
        <f>VLOOKUP(B349,BaseTable,2,FALSE)</f>
        <v>Grun</v>
      </c>
      <c r="F349" s="35">
        <f>D349/C349</f>
        <v>9.622137404580153</v>
      </c>
      <c r="G349" t="str">
        <f>IF(WEEKDAY(A349,2)&gt;5,"Weekend","Weekday")</f>
        <v>Weekday</v>
      </c>
      <c r="H349" s="32">
        <f>A349-WEEKDAY(A349,2)+1</f>
        <v>42058.0</v>
      </c>
      <c r="I349" t="str">
        <f>CHOOSE(WEEKDAY(A349,2),"Mon","Tue","Wed","Thu","Fri","Sat","Sun")</f>
        <v>Fri</v>
      </c>
    </row>
    <row r="350" spans="1:9">
      <c r="A350" s="32">
        <v>42063</v>
      </c>
      <c r="B350" t="s">
        <v>0</v>
      </c>
      <c r="C350">
        <v>230</v>
      </c>
      <c r="D350">
        <v>1803</v>
      </c>
      <c r="E350" t="str">
        <f>VLOOKUP(B350,BaseTable,2,FALSE)</f>
        <v>Unter</v>
      </c>
      <c r="F350" s="35">
        <f>D350/C350</f>
        <v>7.839130434782609</v>
      </c>
      <c r="G350" t="str">
        <f>IF(WEEKDAY(A350,2)&gt;5,"Weekend","Weekday")</f>
        <v>Weekend</v>
      </c>
      <c r="H350" s="32">
        <f>A350-WEEKDAY(A350,2)+1</f>
        <v>42058.0</v>
      </c>
      <c r="I350" t="str">
        <f>CHOOSE(WEEKDAY(A350,2),"Mon","Tue","Wed","Thu","Fri","Sat","Sun")</f>
        <v>Sat</v>
      </c>
    </row>
    <row r="351" spans="1:9">
      <c r="A351" s="32">
        <v>42063</v>
      </c>
      <c r="B351" t="s">
        <v>1</v>
      </c>
      <c r="C351">
        <v>994</v>
      </c>
      <c r="D351">
        <v>10319</v>
      </c>
      <c r="E351" t="str">
        <f>VLOOKUP(B351,BaseTable,2,FALSE)</f>
        <v>Hinter</v>
      </c>
      <c r="F351" s="35">
        <f>D351/C351</f>
        <v>10.38128772635815</v>
      </c>
      <c r="G351" t="str">
        <f>IF(WEEKDAY(A351,2)&gt;5,"Weekend","Weekday")</f>
        <v>Weekend</v>
      </c>
      <c r="H351" s="32">
        <f>A351-WEEKDAY(A351,2)+1</f>
        <v>42058.0</v>
      </c>
      <c r="I351" t="str">
        <f>CHOOSE(WEEKDAY(A351,2),"Mon","Tue","Wed","Thu","Fri","Sat","Sun")</f>
        <v>Sat</v>
      </c>
    </row>
    <row r="352" spans="1:9">
      <c r="A352" s="32">
        <v>42063</v>
      </c>
      <c r="B352" t="s">
        <v>2</v>
      </c>
      <c r="C352">
        <v>1372</v>
      </c>
      <c r="D352">
        <v>14022</v>
      </c>
      <c r="E352" t="str">
        <f>VLOOKUP(B352,BaseTable,2,FALSE)</f>
        <v>Weiter</v>
      </c>
      <c r="F352" s="35">
        <f>D352/C352</f>
        <v>10.220116618075801</v>
      </c>
      <c r="G352" t="str">
        <f>IF(WEEKDAY(A352,2)&gt;5,"Weekend","Weekday")</f>
        <v>Weekend</v>
      </c>
      <c r="H352" s="32">
        <f>A352-WEEKDAY(A352,2)+1</f>
        <v>42058.0</v>
      </c>
      <c r="I352" t="str">
        <f>CHOOSE(WEEKDAY(A352,2),"Mon","Tue","Wed","Thu","Fri","Sat","Sun")</f>
        <v>Sat</v>
      </c>
    </row>
    <row r="353" spans="1:9">
      <c r="A353" s="32">
        <v>42063</v>
      </c>
      <c r="B353" t="s">
        <v>3</v>
      </c>
      <c r="C353">
        <v>1386</v>
      </c>
      <c r="D353">
        <v>14472</v>
      </c>
      <c r="E353" t="str">
        <f>VLOOKUP(B353,BaseTable,2,FALSE)</f>
        <v>Schmecken</v>
      </c>
      <c r="F353" s="35">
        <f>D353/C353</f>
        <v>10.441558441558442</v>
      </c>
      <c r="G353" t="str">
        <f>IF(WEEKDAY(A353,2)&gt;5,"Weekend","Weekday")</f>
        <v>Weekend</v>
      </c>
      <c r="H353" s="32">
        <f>A353-WEEKDAY(A353,2)+1</f>
        <v>42058.0</v>
      </c>
      <c r="I353" t="str">
        <f>CHOOSE(WEEKDAY(A353,2),"Mon","Tue","Wed","Thu","Fri","Sat","Sun")</f>
        <v>Sat</v>
      </c>
    </row>
    <row r="354" spans="1:9">
      <c r="A354" s="32">
        <v>42063</v>
      </c>
      <c r="B354" t="s">
        <v>4</v>
      </c>
      <c r="C354">
        <v>3952</v>
      </c>
      <c r="D354">
        <v>39812</v>
      </c>
      <c r="E354" t="str">
        <f>VLOOKUP(B354,BaseTable,2,FALSE)</f>
        <v>Danach-NY</v>
      </c>
      <c r="F354" s="35">
        <f>D354/C354</f>
        <v>10.073886639676113</v>
      </c>
      <c r="G354" t="str">
        <f>IF(WEEKDAY(A354,2)&gt;5,"Weekend","Weekday")</f>
        <v>Weekend</v>
      </c>
      <c r="H354" s="32">
        <f>A354-WEEKDAY(A354,2)+1</f>
        <v>42058.0</v>
      </c>
      <c r="I354" t="str">
        <f>CHOOSE(WEEKDAY(A354,2),"Mon","Tue","Wed","Thu","Fri","Sat","Sun")</f>
        <v>Sat</v>
      </c>
    </row>
    <row r="355" spans="1:9">
      <c r="A355" s="32">
        <v>42063</v>
      </c>
      <c r="B355" t="s">
        <v>5</v>
      </c>
      <c r="C355">
        <v>747</v>
      </c>
      <c r="D355">
        <v>7753</v>
      </c>
      <c r="E355" t="str">
        <f>VLOOKUP(B355,BaseTable,2,FALSE)</f>
        <v>Grun</v>
      </c>
      <c r="F355" s="35">
        <f>D355/C355</f>
        <v>10.378848728246318</v>
      </c>
      <c r="G355" t="str">
        <f>IF(WEEKDAY(A355,2)&gt;5,"Weekend","Weekday")</f>
        <v>Weekend</v>
      </c>
      <c r="H355" s="32">
        <f>A355-WEEKDAY(A355,2)+1</f>
        <v>42058.0</v>
      </c>
      <c r="I355" t="str">
        <f>CHOOSE(WEEKDAY(A355,2),"Mon","Tue","Wed","Thu","Fri","Sat","Sun")</f>
        <v>Sat</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dimension ref="A1:O93"/>
  <sheetViews>
    <sheetView showGridLines="0" zoomScale="90" zoomScaleNormal="90" workbookViewId="0">
      <pane ySplit="1" topLeftCell="A2" activePane="bottomLeft" state="frozen"/>
      <selection pane="bottomLeft"/>
    </sheetView>
  </sheetViews>
  <sheetFormatPr defaultRowHeight="15"/>
  <cols>
    <col min="1" max="16" width="11.7109375" customWidth="1"/>
  </cols>
  <sheetData>
    <row r="1" spans="1:15">
      <c r="A1" t="s">
        <v>305</v>
      </c>
      <c r="B1" t="s">
        <v>324</v>
      </c>
      <c r="C1" t="s">
        <v>325</v>
      </c>
      <c r="D1" t="s">
        <v>326</v>
      </c>
      <c r="E1" t="s">
        <v>327</v>
      </c>
      <c r="F1" t="s">
        <v>328</v>
      </c>
      <c r="G1" t="s">
        <v>329</v>
      </c>
      <c r="H1" t="s">
        <v>330</v>
      </c>
      <c r="I1" t="s">
        <v>331</v>
      </c>
      <c r="J1" t="s">
        <v>332</v>
      </c>
      <c r="K1" t="s">
        <v>333</v>
      </c>
      <c r="L1" t="s">
        <v>334</v>
      </c>
      <c r="M1" t="s">
        <v>335</v>
      </c>
      <c r="N1" t="s">
        <v>310</v>
      </c>
      <c r="O1" t="s">
        <v>336</v>
      </c>
    </row>
    <row r="2" spans="1:15">
      <c r="A2" s="32">
        <v>41821</v>
      </c>
      <c r="B2">
        <v>921</v>
      </c>
      <c r="C2">
        <v>2871</v>
      </c>
      <c r="D2">
        <v>2233</v>
      </c>
      <c r="E2">
        <v>1046</v>
      </c>
      <c r="F2">
        <v>1744</v>
      </c>
      <c r="G2">
        <v>38167</v>
      </c>
      <c r="H2">
        <v>1368</v>
      </c>
      <c r="I2">
        <v>0</v>
      </c>
      <c r="J2">
        <v>3345</v>
      </c>
      <c r="K2">
        <v>1668</v>
      </c>
      <c r="L2">
        <v>21228</v>
      </c>
      <c r="M2">
        <v>440655</v>
      </c>
      <c r="N2" s="33">
        <f>DATE(YEAR(A2),MONTH(A2),1)</f>
        <v>41821.0</v>
      </c>
      <c r="O2" s="36">
        <f>L2/M2</f>
        <v>0.048173741362290225</v>
      </c>
    </row>
    <row r="3" spans="1:15">
      <c r="A3" s="32">
        <v>41822</v>
      </c>
      <c r="B3">
        <v>1028</v>
      </c>
      <c r="C3">
        <v>2965</v>
      </c>
      <c r="D3">
        <v>2409</v>
      </c>
      <c r="E3">
        <v>1275</v>
      </c>
      <c r="F3">
        <v>2228</v>
      </c>
      <c r="G3">
        <v>42472</v>
      </c>
      <c r="H3">
        <v>1661</v>
      </c>
      <c r="I3">
        <v>0</v>
      </c>
      <c r="J3">
        <v>3533</v>
      </c>
      <c r="K3">
        <v>1691</v>
      </c>
      <c r="L3">
        <v>26480</v>
      </c>
      <c r="M3">
        <v>434416</v>
      </c>
      <c r="N3" s="33">
        <f>DATE(YEAR(A3),MONTH(A3),1)</f>
        <v>41821.0</v>
      </c>
      <c r="O3" s="36">
        <f>L3/M3</f>
        <v>0.06095539759124894</v>
      </c>
    </row>
    <row r="4" spans="1:15">
      <c r="A4" s="32">
        <v>41823</v>
      </c>
      <c r="B4">
        <v>1068</v>
      </c>
      <c r="C4">
        <v>3361</v>
      </c>
      <c r="D4">
        <v>2520</v>
      </c>
      <c r="E4">
        <v>1200</v>
      </c>
      <c r="F4">
        <v>2121</v>
      </c>
      <c r="G4">
        <v>46046</v>
      </c>
      <c r="H4">
        <v>1599</v>
      </c>
      <c r="I4">
        <v>0</v>
      </c>
      <c r="J4">
        <v>3649</v>
      </c>
      <c r="K4">
        <v>1157</v>
      </c>
      <c r="L4">
        <v>21597</v>
      </c>
      <c r="M4">
        <v>412980</v>
      </c>
      <c r="N4" s="33">
        <f>DATE(YEAR(A4),MONTH(A4),1)</f>
        <v>41821.0</v>
      </c>
      <c r="O4" s="36">
        <f>L4/M4</f>
        <v>0.05229551067848322</v>
      </c>
    </row>
    <row r="5" spans="1:15">
      <c r="A5" s="32">
        <v>41824</v>
      </c>
      <c r="B5">
        <v>1008</v>
      </c>
      <c r="C5">
        <v>2174</v>
      </c>
      <c r="D5">
        <v>1955</v>
      </c>
      <c r="E5">
        <v>1171</v>
      </c>
      <c r="F5">
        <v>1459</v>
      </c>
      <c r="G5">
        <v>41535</v>
      </c>
      <c r="H5">
        <v>1622</v>
      </c>
      <c r="I5">
        <v>0</v>
      </c>
      <c r="J5">
        <v>3401</v>
      </c>
      <c r="K5">
        <v>337</v>
      </c>
      <c r="L5">
        <v>14148</v>
      </c>
      <c r="M5">
        <v>306773</v>
      </c>
      <c r="N5" s="33">
        <f>DATE(YEAR(A5),MONTH(A5),1)</f>
        <v>41821.0</v>
      </c>
      <c r="O5" s="36">
        <f>L5/M5</f>
        <v>0.046118791419062305</v>
      </c>
    </row>
    <row r="6" spans="1:15">
      <c r="A6" s="32">
        <v>41825</v>
      </c>
      <c r="B6">
        <v>1214</v>
      </c>
      <c r="C6">
        <v>1846</v>
      </c>
      <c r="D6">
        <v>1371</v>
      </c>
      <c r="E6">
        <v>1371</v>
      </c>
      <c r="F6">
        <v>1703</v>
      </c>
      <c r="G6">
        <v>46873</v>
      </c>
      <c r="H6">
        <v>1898</v>
      </c>
      <c r="I6">
        <v>0</v>
      </c>
      <c r="J6">
        <v>4081</v>
      </c>
      <c r="K6">
        <v>276</v>
      </c>
      <c r="L6">
        <v>10890</v>
      </c>
      <c r="M6">
        <v>305653</v>
      </c>
      <c r="N6" s="33">
        <f>DATE(YEAR(A6),MONTH(A6),1)</f>
        <v>41821.0</v>
      </c>
      <c r="O6" s="36">
        <f>L6/M6</f>
        <v>0.035628637703539634</v>
      </c>
    </row>
    <row r="7" spans="1:15">
      <c r="A7" s="32">
        <v>41826</v>
      </c>
      <c r="B7">
        <v>1048</v>
      </c>
      <c r="C7">
        <v>2480</v>
      </c>
      <c r="D7">
        <v>1872</v>
      </c>
      <c r="E7">
        <v>1251</v>
      </c>
      <c r="F7">
        <v>1501</v>
      </c>
      <c r="G7">
        <v>40354</v>
      </c>
      <c r="H7">
        <v>1738</v>
      </c>
      <c r="I7">
        <v>0</v>
      </c>
      <c r="J7">
        <v>3545</v>
      </c>
      <c r="K7">
        <v>401</v>
      </c>
      <c r="L7">
        <v>11443</v>
      </c>
      <c r="M7">
        <v>310376</v>
      </c>
      <c r="N7" s="33">
        <f>DATE(YEAR(A7),MONTH(A7),1)</f>
        <v>41821.0</v>
      </c>
      <c r="O7" s="36">
        <f>L7/M7</f>
        <v>0.03686818568446014</v>
      </c>
    </row>
    <row r="8" spans="1:15">
      <c r="A8" s="32">
        <v>41827</v>
      </c>
      <c r="B8">
        <v>893</v>
      </c>
      <c r="C8">
        <v>3028</v>
      </c>
      <c r="D8">
        <v>2213</v>
      </c>
      <c r="E8">
        <v>1009</v>
      </c>
      <c r="F8">
        <v>1768</v>
      </c>
      <c r="G8">
        <v>34130</v>
      </c>
      <c r="H8">
        <v>1457</v>
      </c>
      <c r="I8">
        <v>0</v>
      </c>
      <c r="J8">
        <v>3284</v>
      </c>
      <c r="K8">
        <v>1330</v>
      </c>
      <c r="L8">
        <v>18280</v>
      </c>
      <c r="M8">
        <v>374578</v>
      </c>
      <c r="N8" s="33">
        <f>DATE(YEAR(A8),MONTH(A8),1)</f>
        <v>41821.0</v>
      </c>
      <c r="O8" s="36">
        <f>L8/M8</f>
        <v>0.048801584716667824</v>
      </c>
    </row>
    <row r="9" spans="1:15">
      <c r="A9" s="32">
        <v>41828</v>
      </c>
      <c r="B9">
        <v>916</v>
      </c>
      <c r="C9">
        <v>2706</v>
      </c>
      <c r="D9">
        <v>2073</v>
      </c>
      <c r="E9">
        <v>1065</v>
      </c>
      <c r="F9">
        <v>1815</v>
      </c>
      <c r="G9">
        <v>35756</v>
      </c>
      <c r="H9">
        <v>1387</v>
      </c>
      <c r="I9">
        <v>0</v>
      </c>
      <c r="J9">
        <v>3171</v>
      </c>
      <c r="K9">
        <v>1634</v>
      </c>
      <c r="L9">
        <v>25763</v>
      </c>
      <c r="M9">
        <v>430482</v>
      </c>
      <c r="N9" s="33">
        <f>DATE(YEAR(A9),MONTH(A9),1)</f>
        <v>41821.0</v>
      </c>
      <c r="O9" s="36">
        <f>L9/M9</f>
        <v>0.059846869323223736</v>
      </c>
    </row>
    <row r="10" spans="1:15">
      <c r="A10" s="32">
        <v>41829</v>
      </c>
      <c r="B10">
        <v>841</v>
      </c>
      <c r="C10">
        <v>2883</v>
      </c>
      <c r="D10">
        <v>2209</v>
      </c>
      <c r="E10">
        <v>987</v>
      </c>
      <c r="F10">
        <v>1827</v>
      </c>
      <c r="G10">
        <v>36503</v>
      </c>
      <c r="H10">
        <v>1342</v>
      </c>
      <c r="I10">
        <v>0</v>
      </c>
      <c r="J10">
        <v>3176</v>
      </c>
      <c r="K10">
        <v>1897</v>
      </c>
      <c r="L10">
        <v>27817</v>
      </c>
      <c r="M10">
        <v>443822</v>
      </c>
      <c r="N10" s="33">
        <f>DATE(YEAR(A10),MONTH(A10),1)</f>
        <v>41821.0</v>
      </c>
      <c r="O10" s="36">
        <f>L10/M10</f>
        <v>0.06267602777690155</v>
      </c>
    </row>
    <row r="11" spans="1:15">
      <c r="A11" s="32">
        <v>41830</v>
      </c>
      <c r="B11">
        <v>823</v>
      </c>
      <c r="C11">
        <v>3222</v>
      </c>
      <c r="D11">
        <v>2425</v>
      </c>
      <c r="E11">
        <v>904</v>
      </c>
      <c r="F11">
        <v>1746</v>
      </c>
      <c r="G11">
        <v>39051</v>
      </c>
      <c r="H11">
        <v>1367</v>
      </c>
      <c r="I11">
        <v>0</v>
      </c>
      <c r="J11">
        <v>3081</v>
      </c>
      <c r="K11">
        <v>2047</v>
      </c>
      <c r="L11">
        <v>30541</v>
      </c>
      <c r="M11">
        <v>451208</v>
      </c>
      <c r="N11" s="33">
        <f>DATE(YEAR(A11),MONTH(A11),1)</f>
        <v>41821.0</v>
      </c>
      <c r="O11" s="36">
        <f>L11/M11</f>
        <v>0.0676871863974043</v>
      </c>
    </row>
    <row r="12" spans="1:15">
      <c r="A12" s="32">
        <v>41831</v>
      </c>
      <c r="B12">
        <v>1067</v>
      </c>
      <c r="C12">
        <v>2906</v>
      </c>
      <c r="D12">
        <v>2282</v>
      </c>
      <c r="E12">
        <v>1128</v>
      </c>
      <c r="F12">
        <v>2085</v>
      </c>
      <c r="G12">
        <v>45383</v>
      </c>
      <c r="H12">
        <v>1672</v>
      </c>
      <c r="I12">
        <v>0</v>
      </c>
      <c r="J12">
        <v>3758</v>
      </c>
      <c r="K12">
        <v>1440</v>
      </c>
      <c r="L12">
        <v>28752</v>
      </c>
      <c r="M12">
        <v>453967</v>
      </c>
      <c r="N12" s="33">
        <f>DATE(YEAR(A12),MONTH(A12),1)</f>
        <v>41821.0</v>
      </c>
      <c r="O12" s="36">
        <f>L12/M12</f>
        <v>0.06333500012115419</v>
      </c>
    </row>
    <row r="13" spans="1:15">
      <c r="A13" s="32">
        <v>41832</v>
      </c>
      <c r="B13">
        <v>1284</v>
      </c>
      <c r="C13">
        <v>2182</v>
      </c>
      <c r="D13">
        <v>1621</v>
      </c>
      <c r="E13">
        <v>1395</v>
      </c>
      <c r="F13">
        <v>1972</v>
      </c>
      <c r="G13">
        <v>54366</v>
      </c>
      <c r="H13">
        <v>1968</v>
      </c>
      <c r="I13">
        <v>0</v>
      </c>
      <c r="J13">
        <v>4128</v>
      </c>
      <c r="K13">
        <v>511</v>
      </c>
      <c r="L13">
        <v>25936</v>
      </c>
      <c r="M13">
        <v>442979</v>
      </c>
      <c r="N13" s="33">
        <f>DATE(YEAR(A13),MONTH(A13),1)</f>
        <v>41821.0</v>
      </c>
      <c r="O13" s="36">
        <f>L13/M13</f>
        <v>0.05854905085794135</v>
      </c>
    </row>
    <row r="14" spans="1:15">
      <c r="A14" s="32">
        <v>41833</v>
      </c>
      <c r="B14">
        <v>1060</v>
      </c>
      <c r="C14">
        <v>2412</v>
      </c>
      <c r="D14">
        <v>1884</v>
      </c>
      <c r="E14">
        <v>1249</v>
      </c>
      <c r="F14">
        <v>1655</v>
      </c>
      <c r="G14">
        <v>46076</v>
      </c>
      <c r="H14">
        <v>1750</v>
      </c>
      <c r="I14">
        <v>0</v>
      </c>
      <c r="J14">
        <v>3902</v>
      </c>
      <c r="K14">
        <v>493</v>
      </c>
      <c r="L14">
        <v>21082</v>
      </c>
      <c r="M14">
        <v>406279</v>
      </c>
      <c r="N14" s="33">
        <f>DATE(YEAR(A14),MONTH(A14),1)</f>
        <v>41821.0</v>
      </c>
      <c r="O14" s="36">
        <f>L14/M14</f>
        <v>0.051890449666362276</v>
      </c>
    </row>
    <row r="15" spans="1:15">
      <c r="A15" s="32">
        <v>41834</v>
      </c>
      <c r="B15">
        <v>900</v>
      </c>
      <c r="C15">
        <v>3117</v>
      </c>
      <c r="D15">
        <v>2294</v>
      </c>
      <c r="E15">
        <v>1080</v>
      </c>
      <c r="F15">
        <v>1911</v>
      </c>
      <c r="G15">
        <v>37143</v>
      </c>
      <c r="H15">
        <v>1636</v>
      </c>
      <c r="I15">
        <v>0</v>
      </c>
      <c r="J15">
        <v>3495</v>
      </c>
      <c r="K15">
        <v>1734</v>
      </c>
      <c r="L15">
        <v>27350</v>
      </c>
      <c r="M15">
        <v>412054</v>
      </c>
      <c r="N15" s="33">
        <f>DATE(YEAR(A15),MONTH(A15),1)</f>
        <v>41821.0</v>
      </c>
      <c r="O15" s="36">
        <f>L15/M15</f>
        <v>0.06637479553650735</v>
      </c>
    </row>
    <row r="16" spans="1:15">
      <c r="A16" s="32">
        <v>41835</v>
      </c>
      <c r="B16">
        <v>959</v>
      </c>
      <c r="C16">
        <v>2991</v>
      </c>
      <c r="D16">
        <v>2327</v>
      </c>
      <c r="E16">
        <v>1079</v>
      </c>
      <c r="F16">
        <v>1903</v>
      </c>
      <c r="G16">
        <v>38249</v>
      </c>
      <c r="H16">
        <v>1473</v>
      </c>
      <c r="I16">
        <v>0</v>
      </c>
      <c r="J16">
        <v>3355</v>
      </c>
      <c r="K16">
        <v>2012</v>
      </c>
      <c r="L16">
        <v>33845</v>
      </c>
      <c r="M16">
        <v>432325</v>
      </c>
      <c r="N16" s="33">
        <f>DATE(YEAR(A16),MONTH(A16),1)</f>
        <v>41821.0</v>
      </c>
      <c r="O16" s="36">
        <f>L16/M16</f>
        <v>0.078286011681027</v>
      </c>
    </row>
    <row r="17" spans="1:15">
      <c r="A17" s="32">
        <v>41836</v>
      </c>
      <c r="B17">
        <v>907</v>
      </c>
      <c r="C17">
        <v>3111</v>
      </c>
      <c r="D17">
        <v>2467</v>
      </c>
      <c r="E17">
        <v>961</v>
      </c>
      <c r="F17">
        <v>1800</v>
      </c>
      <c r="G17">
        <v>36451</v>
      </c>
      <c r="H17">
        <v>1386</v>
      </c>
      <c r="I17">
        <v>0</v>
      </c>
      <c r="J17">
        <v>3059</v>
      </c>
      <c r="K17">
        <v>2109</v>
      </c>
      <c r="L17">
        <v>28607</v>
      </c>
      <c r="M17">
        <v>444308</v>
      </c>
      <c r="N17" s="33">
        <f>DATE(YEAR(A17),MONTH(A17),1)</f>
        <v>41821.0</v>
      </c>
      <c r="O17" s="36">
        <f>L17/M17</f>
        <v>0.06438551635352054</v>
      </c>
    </row>
    <row r="18" spans="1:15">
      <c r="A18" s="32">
        <v>41837</v>
      </c>
      <c r="B18">
        <v>944</v>
      </c>
      <c r="C18">
        <v>3317</v>
      </c>
      <c r="D18">
        <v>2628</v>
      </c>
      <c r="E18">
        <v>887</v>
      </c>
      <c r="F18">
        <v>1811</v>
      </c>
      <c r="G18">
        <v>39713</v>
      </c>
      <c r="H18">
        <v>1325</v>
      </c>
      <c r="I18">
        <v>0</v>
      </c>
      <c r="J18">
        <v>3206</v>
      </c>
      <c r="K18">
        <v>1987</v>
      </c>
      <c r="L18">
        <v>30710</v>
      </c>
      <c r="M18">
        <v>451940</v>
      </c>
      <c r="N18" s="33">
        <f>DATE(YEAR(A18),MONTH(A18),1)</f>
        <v>41821.0</v>
      </c>
      <c r="O18" s="36">
        <f>L18/M18</f>
        <v>0.06795149798645837</v>
      </c>
    </row>
    <row r="19" spans="1:15">
      <c r="A19" s="32">
        <v>41838</v>
      </c>
      <c r="B19">
        <v>1077</v>
      </c>
      <c r="C19">
        <v>2960</v>
      </c>
      <c r="D19">
        <v>2418</v>
      </c>
      <c r="E19">
        <v>1162</v>
      </c>
      <c r="F19">
        <v>1916</v>
      </c>
      <c r="G19">
        <v>46130</v>
      </c>
      <c r="H19">
        <v>1594</v>
      </c>
      <c r="I19">
        <v>0</v>
      </c>
      <c r="J19">
        <v>3639</v>
      </c>
      <c r="K19">
        <v>1355</v>
      </c>
      <c r="L19">
        <v>29860</v>
      </c>
      <c r="M19">
        <v>455255</v>
      </c>
      <c r="N19" s="33">
        <f>DATE(YEAR(A19),MONTH(A19),1)</f>
        <v>41821.0</v>
      </c>
      <c r="O19" s="36">
        <f>L19/M19</f>
        <v>0.06558961461159131</v>
      </c>
    </row>
    <row r="20" spans="1:15">
      <c r="A20" s="32">
        <v>41839</v>
      </c>
      <c r="B20">
        <v>1246</v>
      </c>
      <c r="C20">
        <v>2138</v>
      </c>
      <c r="D20">
        <v>1606</v>
      </c>
      <c r="E20">
        <v>1273</v>
      </c>
      <c r="F20">
        <v>1866</v>
      </c>
      <c r="G20">
        <v>52666</v>
      </c>
      <c r="H20">
        <v>1786</v>
      </c>
      <c r="I20">
        <v>0</v>
      </c>
      <c r="J20">
        <v>3959</v>
      </c>
      <c r="K20">
        <v>475</v>
      </c>
      <c r="L20">
        <v>25726</v>
      </c>
      <c r="M20">
        <v>441026</v>
      </c>
      <c r="N20" s="33">
        <f>DATE(YEAR(A20),MONTH(A20),1)</f>
        <v>41821.0</v>
      </c>
      <c r="O20" s="36">
        <f>L20/M20</f>
        <v>0.05833216182265898</v>
      </c>
    </row>
    <row r="21" spans="1:15">
      <c r="A21" s="32">
        <v>41840</v>
      </c>
      <c r="B21">
        <v>1122</v>
      </c>
      <c r="C21">
        <v>2360</v>
      </c>
      <c r="D21">
        <v>1917</v>
      </c>
      <c r="E21">
        <v>1225</v>
      </c>
      <c r="F21">
        <v>1712</v>
      </c>
      <c r="G21">
        <v>45355</v>
      </c>
      <c r="H21">
        <v>1797</v>
      </c>
      <c r="I21">
        <v>0</v>
      </c>
      <c r="J21">
        <v>3760</v>
      </c>
      <c r="K21">
        <v>482</v>
      </c>
      <c r="L21">
        <v>21212</v>
      </c>
      <c r="M21">
        <v>394270</v>
      </c>
      <c r="N21" s="33">
        <f>DATE(YEAR(A21),MONTH(A21),1)</f>
        <v>41821.0</v>
      </c>
      <c r="O21" s="36">
        <f>L21/M21</f>
        <v>0.05380069495523372</v>
      </c>
    </row>
    <row r="22" spans="1:15">
      <c r="A22" s="32">
        <v>41841</v>
      </c>
      <c r="B22">
        <v>839</v>
      </c>
      <c r="C22">
        <v>3077</v>
      </c>
      <c r="D22">
        <v>2254</v>
      </c>
      <c r="E22">
        <v>937</v>
      </c>
      <c r="F22">
        <v>1781</v>
      </c>
      <c r="G22">
        <v>33042</v>
      </c>
      <c r="H22">
        <v>1391</v>
      </c>
      <c r="I22">
        <v>0</v>
      </c>
      <c r="J22">
        <v>3020</v>
      </c>
      <c r="K22">
        <v>1591</v>
      </c>
      <c r="L22">
        <v>23578</v>
      </c>
      <c r="M22">
        <v>394920</v>
      </c>
      <c r="N22" s="33">
        <f>DATE(YEAR(A22),MONTH(A22),1)</f>
        <v>41821.0</v>
      </c>
      <c r="O22" s="36">
        <f>L22/M22</f>
        <v>0.0597032310341335</v>
      </c>
    </row>
    <row r="23" spans="1:15">
      <c r="A23" s="32">
        <v>41842</v>
      </c>
      <c r="B23">
        <v>778</v>
      </c>
      <c r="C23">
        <v>2882</v>
      </c>
      <c r="D23">
        <v>2088</v>
      </c>
      <c r="E23">
        <v>932</v>
      </c>
      <c r="F23">
        <v>1873</v>
      </c>
      <c r="G23">
        <v>35203</v>
      </c>
      <c r="H23">
        <v>1377</v>
      </c>
      <c r="I23">
        <v>0</v>
      </c>
      <c r="J23">
        <v>2892</v>
      </c>
      <c r="K23">
        <v>1798</v>
      </c>
      <c r="L23">
        <v>29029</v>
      </c>
      <c r="M23">
        <v>442945</v>
      </c>
      <c r="N23" s="33">
        <f>DATE(YEAR(A23),MONTH(A23),1)</f>
        <v>41821.0</v>
      </c>
      <c r="O23" s="36">
        <f>L23/M23</f>
        <v>0.06553635327185091</v>
      </c>
    </row>
    <row r="24" spans="1:15">
      <c r="A24" s="32">
        <v>41843</v>
      </c>
      <c r="B24">
        <v>893</v>
      </c>
      <c r="C24">
        <v>3097</v>
      </c>
      <c r="D24">
        <v>2458</v>
      </c>
      <c r="E24">
        <v>929</v>
      </c>
      <c r="F24">
        <v>1926</v>
      </c>
      <c r="G24">
        <v>38839</v>
      </c>
      <c r="H24">
        <v>1379</v>
      </c>
      <c r="I24">
        <v>0</v>
      </c>
      <c r="J24">
        <v>3041</v>
      </c>
      <c r="K24">
        <v>2083</v>
      </c>
      <c r="L24">
        <v>34073</v>
      </c>
      <c r="M24">
        <v>461755</v>
      </c>
      <c r="N24" s="33">
        <f>DATE(YEAR(A24),MONTH(A24),1)</f>
        <v>41821.0</v>
      </c>
      <c r="O24" s="36">
        <f>L24/M24</f>
        <v>0.07379021342486816</v>
      </c>
    </row>
    <row r="25" spans="1:15">
      <c r="A25" s="32">
        <v>41844</v>
      </c>
      <c r="B25">
        <v>850</v>
      </c>
      <c r="C25">
        <v>3345</v>
      </c>
      <c r="D25">
        <v>2616</v>
      </c>
      <c r="E25">
        <v>913</v>
      </c>
      <c r="F25">
        <v>1740</v>
      </c>
      <c r="G25">
        <v>38704</v>
      </c>
      <c r="H25">
        <v>1315</v>
      </c>
      <c r="I25">
        <v>0</v>
      </c>
      <c r="J25">
        <v>2892</v>
      </c>
      <c r="K25">
        <v>1987</v>
      </c>
      <c r="L25">
        <v>32050</v>
      </c>
      <c r="M25">
        <v>456722</v>
      </c>
      <c r="N25" s="33">
        <f>DATE(YEAR(A25),MONTH(A25),1)</f>
        <v>41821.0</v>
      </c>
      <c r="O25" s="36">
        <f>L25/M25</f>
        <v>0.07017397891934261</v>
      </c>
    </row>
    <row r="26" spans="1:15">
      <c r="A26" s="32">
        <v>41845</v>
      </c>
      <c r="B26">
        <v>1084</v>
      </c>
      <c r="C26">
        <v>3112</v>
      </c>
      <c r="D26">
        <v>2397</v>
      </c>
      <c r="E26">
        <v>1115</v>
      </c>
      <c r="F26">
        <v>2035</v>
      </c>
      <c r="G26">
        <v>44431</v>
      </c>
      <c r="H26">
        <v>1646</v>
      </c>
      <c r="I26">
        <v>40</v>
      </c>
      <c r="J26">
        <v>3562</v>
      </c>
      <c r="K26">
        <v>1449</v>
      </c>
      <c r="L26">
        <v>29975</v>
      </c>
      <c r="M26">
        <v>456674</v>
      </c>
      <c r="N26" s="33">
        <f>DATE(YEAR(A26),MONTH(A26),1)</f>
        <v>41821.0</v>
      </c>
      <c r="O26" s="36">
        <f>L26/M26</f>
        <v>0.06563763209641889</v>
      </c>
    </row>
    <row r="27" spans="1:15">
      <c r="A27" s="32">
        <v>41846</v>
      </c>
      <c r="B27">
        <v>1188</v>
      </c>
      <c r="C27">
        <v>2208</v>
      </c>
      <c r="D27">
        <v>1731</v>
      </c>
      <c r="E27">
        <v>1324</v>
      </c>
      <c r="F27">
        <v>1846</v>
      </c>
      <c r="G27">
        <v>53004</v>
      </c>
      <c r="H27">
        <v>1785</v>
      </c>
      <c r="I27">
        <v>468</v>
      </c>
      <c r="J27">
        <v>3902</v>
      </c>
      <c r="K27">
        <v>463</v>
      </c>
      <c r="L27">
        <v>27708</v>
      </c>
      <c r="M27">
        <v>444333</v>
      </c>
      <c r="N27" s="33">
        <f>DATE(YEAR(A27),MONTH(A27),1)</f>
        <v>41821.0</v>
      </c>
      <c r="O27" s="36">
        <f>L27/M27</f>
        <v>0.06235863642808434</v>
      </c>
    </row>
    <row r="28" spans="1:15">
      <c r="A28" s="32">
        <v>41847</v>
      </c>
      <c r="B28">
        <v>1082</v>
      </c>
      <c r="C28">
        <v>2320</v>
      </c>
      <c r="D28">
        <v>1780</v>
      </c>
      <c r="E28">
        <v>1269</v>
      </c>
      <c r="F28">
        <v>1675</v>
      </c>
      <c r="G28">
        <v>46195</v>
      </c>
      <c r="H28">
        <v>1738</v>
      </c>
      <c r="I28">
        <v>623</v>
      </c>
      <c r="J28">
        <v>3882</v>
      </c>
      <c r="K28">
        <v>525</v>
      </c>
      <c r="L28">
        <v>22590</v>
      </c>
      <c r="M28">
        <v>399454</v>
      </c>
      <c r="N28" s="33">
        <f>DATE(YEAR(A28),MONTH(A28),1)</f>
        <v>41821.0</v>
      </c>
      <c r="O28" s="36">
        <f>L28/M28</f>
        <v>0.05655219374446119</v>
      </c>
    </row>
    <row r="29" spans="1:15">
      <c r="A29" s="32">
        <v>41848</v>
      </c>
      <c r="B29">
        <v>828</v>
      </c>
      <c r="C29">
        <v>3056</v>
      </c>
      <c r="D29">
        <v>2201</v>
      </c>
      <c r="E29">
        <v>961</v>
      </c>
      <c r="F29">
        <v>1860</v>
      </c>
      <c r="G29">
        <v>29186</v>
      </c>
      <c r="H29">
        <v>1457</v>
      </c>
      <c r="I29">
        <v>418</v>
      </c>
      <c r="J29">
        <v>3119</v>
      </c>
      <c r="K29">
        <v>1651</v>
      </c>
      <c r="L29">
        <v>23981</v>
      </c>
      <c r="M29">
        <v>364335</v>
      </c>
      <c r="N29" s="33">
        <f>DATE(YEAR(A29),MONTH(A29),1)</f>
        <v>41821.0</v>
      </c>
      <c r="O29" s="36">
        <f>L29/M29</f>
        <v>0.06582129084496412</v>
      </c>
    </row>
    <row r="30" spans="1:15">
      <c r="A30" s="32">
        <v>41849</v>
      </c>
      <c r="B30">
        <v>782</v>
      </c>
      <c r="C30">
        <v>2835</v>
      </c>
      <c r="D30">
        <v>2142</v>
      </c>
      <c r="E30">
        <v>872</v>
      </c>
      <c r="F30">
        <v>1699</v>
      </c>
      <c r="G30">
        <v>32944</v>
      </c>
      <c r="H30">
        <v>1400</v>
      </c>
      <c r="I30">
        <v>671</v>
      </c>
      <c r="J30">
        <v>2962</v>
      </c>
      <c r="K30">
        <v>1837</v>
      </c>
      <c r="L30">
        <v>27589</v>
      </c>
      <c r="M30">
        <v>418579</v>
      </c>
      <c r="N30" s="33">
        <f>DATE(YEAR(A30),MONTH(A30),1)</f>
        <v>41821.0</v>
      </c>
      <c r="O30" s="36">
        <f>L30/M30</f>
        <v>0.0659110944409538</v>
      </c>
    </row>
    <row r="31" spans="1:15">
      <c r="A31" s="32">
        <v>41850</v>
      </c>
      <c r="B31">
        <v>825</v>
      </c>
      <c r="C31">
        <v>2853</v>
      </c>
      <c r="D31">
        <v>2230</v>
      </c>
      <c r="E31">
        <v>910</v>
      </c>
      <c r="F31">
        <v>1744</v>
      </c>
      <c r="G31">
        <v>36869</v>
      </c>
      <c r="H31">
        <v>1358</v>
      </c>
      <c r="I31">
        <v>884</v>
      </c>
      <c r="J31">
        <v>2923</v>
      </c>
      <c r="K31">
        <v>1896</v>
      </c>
      <c r="L31">
        <v>30740</v>
      </c>
      <c r="M31">
        <v>437032</v>
      </c>
      <c r="N31" s="33">
        <f>DATE(YEAR(A31),MONTH(A31),1)</f>
        <v>41821.0</v>
      </c>
      <c r="O31" s="36">
        <f>L31/M31</f>
        <v>0.07033809881198631</v>
      </c>
    </row>
    <row r="32" spans="1:15">
      <c r="A32" s="32">
        <v>41851</v>
      </c>
      <c r="B32">
        <v>873</v>
      </c>
      <c r="C32">
        <v>3287</v>
      </c>
      <c r="D32">
        <v>2455</v>
      </c>
      <c r="E32">
        <v>929</v>
      </c>
      <c r="F32">
        <v>1871</v>
      </c>
      <c r="G32">
        <v>41471</v>
      </c>
      <c r="H32">
        <v>1457</v>
      </c>
      <c r="I32">
        <v>1150</v>
      </c>
      <c r="J32">
        <v>3094</v>
      </c>
      <c r="K32">
        <v>1961</v>
      </c>
      <c r="L32">
        <v>33541</v>
      </c>
      <c r="M32">
        <v>447939</v>
      </c>
      <c r="N32" s="33">
        <f>DATE(YEAR(A32),MONTH(A32),1)</f>
        <v>41821.0</v>
      </c>
      <c r="O32" s="36">
        <f>L32/M32</f>
        <v>0.07487849908134812</v>
      </c>
    </row>
    <row r="33" spans="1:15">
      <c r="A33" s="32">
        <v>41852</v>
      </c>
      <c r="B33">
        <v>1213</v>
      </c>
      <c r="C33">
        <v>2947</v>
      </c>
      <c r="D33">
        <v>2383</v>
      </c>
      <c r="E33">
        <v>1218</v>
      </c>
      <c r="F33">
        <v>2046</v>
      </c>
      <c r="G33">
        <v>49955</v>
      </c>
      <c r="H33">
        <v>1937</v>
      </c>
      <c r="I33">
        <v>1506</v>
      </c>
      <c r="J33">
        <v>3801</v>
      </c>
      <c r="K33">
        <v>1359</v>
      </c>
      <c r="L33">
        <v>32353</v>
      </c>
      <c r="M33">
        <v>448577</v>
      </c>
      <c r="N33" s="33">
        <f>DATE(YEAR(A33),MONTH(A33),1)</f>
        <v>41852.0</v>
      </c>
      <c r="O33" s="36">
        <f>L33/M33</f>
        <v>0.07212362648998946</v>
      </c>
    </row>
    <row r="34" spans="1:15">
      <c r="A34" s="32">
        <v>41853</v>
      </c>
      <c r="B34">
        <v>1328</v>
      </c>
      <c r="C34">
        <v>2257</v>
      </c>
      <c r="D34">
        <v>1653</v>
      </c>
      <c r="E34">
        <v>1343</v>
      </c>
      <c r="F34">
        <v>1919</v>
      </c>
      <c r="G34">
        <v>56609</v>
      </c>
      <c r="H34">
        <v>2005</v>
      </c>
      <c r="I34">
        <v>2111</v>
      </c>
      <c r="J34">
        <v>4297</v>
      </c>
      <c r="K34">
        <v>489</v>
      </c>
      <c r="L34">
        <v>28678</v>
      </c>
      <c r="M34">
        <v>436246</v>
      </c>
      <c r="N34" s="33">
        <f>DATE(YEAR(A34),MONTH(A34),1)</f>
        <v>41852.0</v>
      </c>
      <c r="O34" s="36">
        <f>L34/M34</f>
        <v>0.06573813857319036</v>
      </c>
    </row>
    <row r="35" spans="1:15">
      <c r="A35" s="32">
        <v>41854</v>
      </c>
      <c r="B35">
        <v>1128</v>
      </c>
      <c r="C35">
        <v>2401</v>
      </c>
      <c r="D35">
        <v>1894</v>
      </c>
      <c r="E35">
        <v>1313</v>
      </c>
      <c r="F35">
        <v>1666</v>
      </c>
      <c r="G35">
        <v>47424</v>
      </c>
      <c r="H35">
        <v>1977</v>
      </c>
      <c r="I35">
        <v>2023</v>
      </c>
      <c r="J35">
        <v>3896</v>
      </c>
      <c r="K35">
        <v>481</v>
      </c>
      <c r="L35">
        <v>23146</v>
      </c>
      <c r="M35">
        <v>394086</v>
      </c>
      <c r="N35" s="33">
        <f>DATE(YEAR(A35),MONTH(A35),1)</f>
        <v>41852.0</v>
      </c>
      <c r="O35" s="36">
        <f>L35/M35</f>
        <v>0.05873337291860152</v>
      </c>
    </row>
    <row r="36" spans="1:15">
      <c r="A36" s="32">
        <v>41855</v>
      </c>
      <c r="B36">
        <v>884</v>
      </c>
      <c r="C36">
        <v>3088</v>
      </c>
      <c r="D36">
        <v>2283</v>
      </c>
      <c r="E36">
        <v>989</v>
      </c>
      <c r="F36">
        <v>1807</v>
      </c>
      <c r="G36">
        <v>34820</v>
      </c>
      <c r="H36">
        <v>1581</v>
      </c>
      <c r="I36">
        <v>1787</v>
      </c>
      <c r="J36">
        <v>3300</v>
      </c>
      <c r="K36">
        <v>1683</v>
      </c>
      <c r="L36">
        <v>24952</v>
      </c>
      <c r="M36">
        <v>388544</v>
      </c>
      <c r="N36" s="33">
        <f>DATE(YEAR(A36),MONTH(A36),1)</f>
        <v>41852.0</v>
      </c>
      <c r="O36" s="36">
        <f>L36/M36</f>
        <v>0.06421923900510625</v>
      </c>
    </row>
    <row r="37" spans="1:15">
      <c r="A37" s="32">
        <v>41856</v>
      </c>
      <c r="B37">
        <v>895</v>
      </c>
      <c r="C37">
        <v>2759</v>
      </c>
      <c r="D37">
        <v>1408</v>
      </c>
      <c r="E37">
        <v>944</v>
      </c>
      <c r="F37">
        <v>1721</v>
      </c>
      <c r="G37">
        <v>35995</v>
      </c>
      <c r="H37">
        <v>1420</v>
      </c>
      <c r="I37">
        <v>2276</v>
      </c>
      <c r="J37">
        <v>3204</v>
      </c>
      <c r="K37">
        <v>1781</v>
      </c>
      <c r="L37">
        <v>28094</v>
      </c>
      <c r="M37">
        <v>417838</v>
      </c>
      <c r="N37" s="33">
        <f>DATE(YEAR(A37),MONTH(A37),1)</f>
        <v>41852.0</v>
      </c>
      <c r="O37" s="36">
        <f>L37/M37</f>
        <v>0.06723658451361532</v>
      </c>
    </row>
    <row r="38" spans="1:15">
      <c r="A38" s="32">
        <v>41857</v>
      </c>
      <c r="B38">
        <v>871</v>
      </c>
      <c r="C38">
        <v>2884</v>
      </c>
      <c r="D38">
        <v>2134</v>
      </c>
      <c r="E38">
        <v>870</v>
      </c>
      <c r="F38">
        <v>1794</v>
      </c>
      <c r="G38">
        <v>38132</v>
      </c>
      <c r="H38">
        <v>1443</v>
      </c>
      <c r="I38">
        <v>2363</v>
      </c>
      <c r="J38">
        <v>3038</v>
      </c>
      <c r="K38">
        <v>1976</v>
      </c>
      <c r="L38">
        <v>30495</v>
      </c>
      <c r="M38">
        <v>434864</v>
      </c>
      <c r="N38" s="33">
        <f>DATE(YEAR(A38),MONTH(A38),1)</f>
        <v>41852.0</v>
      </c>
      <c r="O38" s="36">
        <f>L38/M38</f>
        <v>0.07012537253026234</v>
      </c>
    </row>
    <row r="39" spans="1:15">
      <c r="A39" s="32">
        <v>41858</v>
      </c>
      <c r="B39">
        <v>911</v>
      </c>
      <c r="C39">
        <v>3126</v>
      </c>
      <c r="D39">
        <v>2544</v>
      </c>
      <c r="E39">
        <v>973</v>
      </c>
      <c r="F39">
        <v>1787</v>
      </c>
      <c r="G39">
        <v>41111</v>
      </c>
      <c r="H39">
        <v>1511</v>
      </c>
      <c r="I39">
        <v>4331</v>
      </c>
      <c r="J39">
        <v>3234</v>
      </c>
      <c r="K39">
        <v>1990</v>
      </c>
      <c r="L39">
        <v>32759</v>
      </c>
      <c r="M39">
        <v>441609</v>
      </c>
      <c r="N39" s="33">
        <f>DATE(YEAR(A39),MONTH(A39),1)</f>
        <v>41852.0</v>
      </c>
      <c r="O39" s="36">
        <f>L39/M39</f>
        <v>0.07418100627478154</v>
      </c>
    </row>
    <row r="40" spans="1:15">
      <c r="A40" s="32">
        <v>41859</v>
      </c>
      <c r="B40">
        <v>1106</v>
      </c>
      <c r="C40">
        <v>3040</v>
      </c>
      <c r="D40">
        <v>2348</v>
      </c>
      <c r="E40">
        <v>1050</v>
      </c>
      <c r="F40">
        <v>2046</v>
      </c>
      <c r="G40">
        <v>46974</v>
      </c>
      <c r="H40">
        <v>1722</v>
      </c>
      <c r="I40">
        <v>6190</v>
      </c>
      <c r="J40">
        <v>3771</v>
      </c>
      <c r="K40">
        <v>1497</v>
      </c>
      <c r="L40">
        <v>30411</v>
      </c>
      <c r="M40">
        <v>440982</v>
      </c>
      <c r="N40" s="33">
        <f>DATE(YEAR(A40),MONTH(A40),1)</f>
        <v>41852.0</v>
      </c>
      <c r="O40" s="36">
        <f>L40/M40</f>
        <v>0.06896199844891628</v>
      </c>
    </row>
    <row r="41" spans="1:15">
      <c r="A41" s="32">
        <v>41860</v>
      </c>
      <c r="B41">
        <v>1296</v>
      </c>
      <c r="C41">
        <v>2249</v>
      </c>
      <c r="D41">
        <v>1673</v>
      </c>
      <c r="E41">
        <v>1343</v>
      </c>
      <c r="F41">
        <v>1808</v>
      </c>
      <c r="G41">
        <v>55931</v>
      </c>
      <c r="H41">
        <v>1983</v>
      </c>
      <c r="I41">
        <v>7740</v>
      </c>
      <c r="J41">
        <v>4162</v>
      </c>
      <c r="K41">
        <v>441</v>
      </c>
      <c r="L41">
        <v>26286</v>
      </c>
      <c r="M41">
        <v>416312</v>
      </c>
      <c r="N41" s="33">
        <f>DATE(YEAR(A41),MONTH(A41),1)</f>
        <v>41852.0</v>
      </c>
      <c r="O41" s="36">
        <f>L41/M41</f>
        <v>0.0631401448913315</v>
      </c>
    </row>
    <row r="42" spans="1:15">
      <c r="A42" s="32">
        <v>41861</v>
      </c>
      <c r="B42">
        <v>1155</v>
      </c>
      <c r="C42">
        <v>2399</v>
      </c>
      <c r="D42">
        <v>1833</v>
      </c>
      <c r="E42">
        <v>1233</v>
      </c>
      <c r="F42">
        <v>1771</v>
      </c>
      <c r="G42">
        <v>46745</v>
      </c>
      <c r="H42">
        <v>1897</v>
      </c>
      <c r="I42">
        <v>7330</v>
      </c>
      <c r="J42">
        <v>3961</v>
      </c>
      <c r="K42">
        <v>492</v>
      </c>
      <c r="L42">
        <v>20584</v>
      </c>
      <c r="M42">
        <v>368032</v>
      </c>
      <c r="N42" s="33">
        <f>DATE(YEAR(A42),MONTH(A42),1)</f>
        <v>41852.0</v>
      </c>
      <c r="O42" s="36">
        <f>L42/M42</f>
        <v>0.05592991913746631</v>
      </c>
    </row>
    <row r="43" spans="1:15">
      <c r="A43" s="32">
        <v>41862</v>
      </c>
      <c r="B43">
        <v>877</v>
      </c>
      <c r="C43">
        <v>2924</v>
      </c>
      <c r="D43">
        <v>2181</v>
      </c>
      <c r="E43">
        <v>964</v>
      </c>
      <c r="F43">
        <v>1756</v>
      </c>
      <c r="G43">
        <v>33791</v>
      </c>
      <c r="H43">
        <v>1486</v>
      </c>
      <c r="I43">
        <v>4679</v>
      </c>
      <c r="J43">
        <v>3167</v>
      </c>
      <c r="K43">
        <v>1597</v>
      </c>
      <c r="L43">
        <v>22632</v>
      </c>
      <c r="M43">
        <v>373646</v>
      </c>
      <c r="N43" s="33">
        <f>DATE(YEAR(A43),MONTH(A43),1)</f>
        <v>41852.0</v>
      </c>
      <c r="O43" s="36">
        <f>L43/M43</f>
        <v>0.060570700609667974</v>
      </c>
    </row>
    <row r="44" spans="1:15">
      <c r="A44" s="32">
        <v>41863</v>
      </c>
      <c r="B44">
        <v>840</v>
      </c>
      <c r="C44">
        <v>2677</v>
      </c>
      <c r="D44">
        <v>2143</v>
      </c>
      <c r="E44">
        <v>905</v>
      </c>
      <c r="F44">
        <v>1703</v>
      </c>
      <c r="G44">
        <v>36164</v>
      </c>
      <c r="H44">
        <v>1455</v>
      </c>
      <c r="I44">
        <v>5202</v>
      </c>
      <c r="J44">
        <v>3112</v>
      </c>
      <c r="K44">
        <v>1900</v>
      </c>
      <c r="L44">
        <v>29646</v>
      </c>
      <c r="M44">
        <v>409433</v>
      </c>
      <c r="N44" s="33">
        <f>DATE(YEAR(A44),MONTH(A44),1)</f>
        <v>41852.0</v>
      </c>
      <c r="O44" s="36">
        <f>L44/M44</f>
        <v>0.07240745128018504</v>
      </c>
    </row>
    <row r="45" spans="1:15">
      <c r="A45" s="32">
        <v>41864</v>
      </c>
      <c r="B45">
        <v>900</v>
      </c>
      <c r="C45">
        <v>2927</v>
      </c>
      <c r="D45">
        <v>2247</v>
      </c>
      <c r="E45">
        <v>1035</v>
      </c>
      <c r="F45">
        <v>1908</v>
      </c>
      <c r="G45">
        <v>38111</v>
      </c>
      <c r="H45">
        <v>1604</v>
      </c>
      <c r="I45">
        <v>5786</v>
      </c>
      <c r="J45">
        <v>3463</v>
      </c>
      <c r="K45">
        <v>1862</v>
      </c>
      <c r="L45">
        <v>29788</v>
      </c>
      <c r="M45">
        <v>430021</v>
      </c>
      <c r="N45" s="33">
        <f>DATE(YEAR(A45),MONTH(A45),1)</f>
        <v>41852.0</v>
      </c>
      <c r="O45" s="36">
        <f>L45/M45</f>
        <v>0.06927103560058695</v>
      </c>
    </row>
    <row r="46" spans="1:15">
      <c r="A46" s="32">
        <v>41865</v>
      </c>
      <c r="B46">
        <v>886</v>
      </c>
      <c r="C46">
        <v>3160</v>
      </c>
      <c r="D46">
        <v>2424</v>
      </c>
      <c r="E46">
        <v>906</v>
      </c>
      <c r="F46">
        <v>1801</v>
      </c>
      <c r="G46">
        <v>39827</v>
      </c>
      <c r="H46">
        <v>1459</v>
      </c>
      <c r="I46">
        <v>5770</v>
      </c>
      <c r="J46">
        <v>3153</v>
      </c>
      <c r="K46">
        <v>1787</v>
      </c>
      <c r="L46">
        <v>30457</v>
      </c>
      <c r="M46">
        <v>434254</v>
      </c>
      <c r="N46" s="33">
        <f>DATE(YEAR(A46),MONTH(A46),1)</f>
        <v>41852.0</v>
      </c>
      <c r="O46" s="36">
        <f>L46/M46</f>
        <v>0.07013637180083546</v>
      </c>
    </row>
    <row r="47" spans="1:15">
      <c r="A47" s="32">
        <v>41866</v>
      </c>
      <c r="B47">
        <v>1125</v>
      </c>
      <c r="C47">
        <v>3028</v>
      </c>
      <c r="D47">
        <v>2391</v>
      </c>
      <c r="E47">
        <v>1041</v>
      </c>
      <c r="F47">
        <v>2006</v>
      </c>
      <c r="G47">
        <v>47624</v>
      </c>
      <c r="H47">
        <v>1631</v>
      </c>
      <c r="I47">
        <v>5888</v>
      </c>
      <c r="J47">
        <v>3627</v>
      </c>
      <c r="K47">
        <v>1372</v>
      </c>
      <c r="L47">
        <v>28974</v>
      </c>
      <c r="M47">
        <v>439286</v>
      </c>
      <c r="N47" s="33">
        <f>DATE(YEAR(A47),MONTH(A47),1)</f>
        <v>41852.0</v>
      </c>
      <c r="O47" s="36">
        <f>L47/M47</f>
        <v>0.06595703027185024</v>
      </c>
    </row>
    <row r="48" spans="1:15">
      <c r="A48" s="32">
        <v>41867</v>
      </c>
      <c r="B48">
        <v>1293</v>
      </c>
      <c r="C48">
        <v>2213</v>
      </c>
      <c r="D48">
        <v>1761</v>
      </c>
      <c r="E48">
        <v>1323</v>
      </c>
      <c r="F48">
        <v>2031</v>
      </c>
      <c r="G48">
        <v>56626</v>
      </c>
      <c r="H48">
        <v>1821</v>
      </c>
      <c r="I48">
        <v>6171</v>
      </c>
      <c r="J48">
        <v>4332</v>
      </c>
      <c r="K48">
        <v>356</v>
      </c>
      <c r="L48">
        <v>26234</v>
      </c>
      <c r="M48">
        <v>415156</v>
      </c>
      <c r="N48" s="33">
        <f>DATE(YEAR(A48),MONTH(A48),1)</f>
        <v>41852.0</v>
      </c>
      <c r="O48" s="36">
        <f>L48/M48</f>
        <v>0.06319070421720992</v>
      </c>
    </row>
    <row r="49" spans="1:15">
      <c r="A49" s="32">
        <v>41868</v>
      </c>
      <c r="B49">
        <v>1112</v>
      </c>
      <c r="C49">
        <v>2514</v>
      </c>
      <c r="D49">
        <v>2007</v>
      </c>
      <c r="E49">
        <v>1248</v>
      </c>
      <c r="F49">
        <v>1762</v>
      </c>
      <c r="G49">
        <v>47183</v>
      </c>
      <c r="H49">
        <v>1857</v>
      </c>
      <c r="I49">
        <v>5820</v>
      </c>
      <c r="J49">
        <v>3913</v>
      </c>
      <c r="K49">
        <v>531</v>
      </c>
      <c r="L49">
        <v>21209</v>
      </c>
      <c r="M49">
        <v>375842</v>
      </c>
      <c r="N49" s="33">
        <f>DATE(YEAR(A49),MONTH(A49),1)</f>
        <v>41852.0</v>
      </c>
      <c r="O49" s="36">
        <f>L49/M49</f>
        <v>0.05643062776379436</v>
      </c>
    </row>
    <row r="50" spans="1:15">
      <c r="A50" s="32">
        <v>41869</v>
      </c>
      <c r="B50">
        <v>884</v>
      </c>
      <c r="C50">
        <v>2878</v>
      </c>
      <c r="D50">
        <v>2241</v>
      </c>
      <c r="E50">
        <v>1000</v>
      </c>
      <c r="F50">
        <v>1742</v>
      </c>
      <c r="G50">
        <v>34276</v>
      </c>
      <c r="H50">
        <v>1382</v>
      </c>
      <c r="I50">
        <v>4464</v>
      </c>
      <c r="J50">
        <v>3106</v>
      </c>
      <c r="K50">
        <v>1453</v>
      </c>
      <c r="L50">
        <v>21956</v>
      </c>
      <c r="M50">
        <v>372652</v>
      </c>
      <c r="N50" s="33">
        <f>DATE(YEAR(A50),MONTH(A50),1)</f>
        <v>41852.0</v>
      </c>
      <c r="O50" s="36">
        <f>L50/M50</f>
        <v>0.05891824007384906</v>
      </c>
    </row>
    <row r="51" spans="1:15">
      <c r="A51" s="32">
        <v>41870</v>
      </c>
      <c r="B51">
        <v>831</v>
      </c>
      <c r="C51">
        <v>2567</v>
      </c>
      <c r="D51">
        <v>1955</v>
      </c>
      <c r="E51">
        <v>824</v>
      </c>
      <c r="F51">
        <v>1750</v>
      </c>
      <c r="G51">
        <v>33716</v>
      </c>
      <c r="H51">
        <v>1360</v>
      </c>
      <c r="I51">
        <v>5156</v>
      </c>
      <c r="J51">
        <v>2929</v>
      </c>
      <c r="K51">
        <v>1628</v>
      </c>
      <c r="L51">
        <v>24834</v>
      </c>
      <c r="M51">
        <v>402119</v>
      </c>
      <c r="N51" s="33">
        <f>DATE(YEAR(A51),MONTH(A51),1)</f>
        <v>41852.0</v>
      </c>
      <c r="O51" s="36">
        <f>L51/M51</f>
        <v>0.0617578378539686</v>
      </c>
    </row>
    <row r="52" spans="1:15">
      <c r="A52" s="32">
        <v>41871</v>
      </c>
      <c r="B52">
        <v>837</v>
      </c>
      <c r="C52">
        <v>2882</v>
      </c>
      <c r="D52">
        <v>2207</v>
      </c>
      <c r="E52">
        <v>847</v>
      </c>
      <c r="F52">
        <v>1680</v>
      </c>
      <c r="G52">
        <v>36729</v>
      </c>
      <c r="H52">
        <v>1363</v>
      </c>
      <c r="I52">
        <v>5502</v>
      </c>
      <c r="J52">
        <v>3160</v>
      </c>
      <c r="K52">
        <v>1867</v>
      </c>
      <c r="L52">
        <v>27955</v>
      </c>
      <c r="M52">
        <v>417817</v>
      </c>
      <c r="N52" s="33">
        <f>DATE(YEAR(A52),MONTH(A52),1)</f>
        <v>41852.0</v>
      </c>
      <c r="O52" s="36">
        <f>L52/M52</f>
        <v>0.0669072823748196</v>
      </c>
    </row>
    <row r="53" spans="1:15">
      <c r="A53" s="32">
        <v>41872</v>
      </c>
      <c r="B53">
        <v>874</v>
      </c>
      <c r="C53">
        <v>3119</v>
      </c>
      <c r="D53">
        <v>2377</v>
      </c>
      <c r="E53">
        <v>939</v>
      </c>
      <c r="F53">
        <v>1803</v>
      </c>
      <c r="G53">
        <v>41126</v>
      </c>
      <c r="H53">
        <v>1465</v>
      </c>
      <c r="I53">
        <v>5579</v>
      </c>
      <c r="J53">
        <v>3211</v>
      </c>
      <c r="K53">
        <v>1846</v>
      </c>
      <c r="L53">
        <v>32304</v>
      </c>
      <c r="M53">
        <v>436384</v>
      </c>
      <c r="N53" s="33">
        <f>DATE(YEAR(A53),MONTH(A53),1)</f>
        <v>41852.0</v>
      </c>
      <c r="O53" s="36">
        <f>L53/M53</f>
        <v>0.07402654542788004</v>
      </c>
    </row>
    <row r="54" spans="1:15">
      <c r="A54" s="32">
        <v>41873</v>
      </c>
      <c r="B54">
        <v>1083</v>
      </c>
      <c r="C54">
        <v>2973</v>
      </c>
      <c r="D54">
        <v>2288</v>
      </c>
      <c r="E54">
        <v>1093</v>
      </c>
      <c r="F54">
        <v>1952</v>
      </c>
      <c r="G54">
        <v>47136</v>
      </c>
      <c r="H54">
        <v>1601</v>
      </c>
      <c r="I54">
        <v>6051</v>
      </c>
      <c r="J54">
        <v>3749</v>
      </c>
      <c r="K54">
        <v>1332</v>
      </c>
      <c r="L54">
        <v>29512</v>
      </c>
      <c r="M54">
        <v>415567</v>
      </c>
      <c r="N54" s="33">
        <f>DATE(YEAR(A54),MONTH(A54),1)</f>
        <v>41852.0</v>
      </c>
      <c r="O54" s="36">
        <f>L54/M54</f>
        <v>0.0710162260237218</v>
      </c>
    </row>
    <row r="55" spans="1:15">
      <c r="A55" s="32">
        <v>41874</v>
      </c>
      <c r="B55">
        <v>1184</v>
      </c>
      <c r="C55">
        <v>2143</v>
      </c>
      <c r="D55">
        <v>1686</v>
      </c>
      <c r="E55">
        <v>1291</v>
      </c>
      <c r="F55">
        <v>1760</v>
      </c>
      <c r="G55">
        <v>53606</v>
      </c>
      <c r="H55">
        <v>1844</v>
      </c>
      <c r="I55">
        <v>5502</v>
      </c>
      <c r="J55">
        <v>3963</v>
      </c>
      <c r="K55">
        <v>506</v>
      </c>
      <c r="L55">
        <v>27097</v>
      </c>
      <c r="M55">
        <v>398910</v>
      </c>
      <c r="N55" s="33">
        <f>DATE(YEAR(A55),MONTH(A55),1)</f>
        <v>41852.0</v>
      </c>
      <c r="O55" s="36">
        <f>L55/M55</f>
        <v>0.06792760271740493</v>
      </c>
    </row>
    <row r="56" spans="1:15">
      <c r="A56" s="32">
        <v>41875</v>
      </c>
      <c r="B56">
        <v>1039</v>
      </c>
      <c r="C56">
        <v>2315</v>
      </c>
      <c r="D56">
        <v>1839</v>
      </c>
      <c r="E56">
        <v>1150</v>
      </c>
      <c r="F56">
        <v>1495</v>
      </c>
      <c r="G56">
        <v>46004</v>
      </c>
      <c r="H56">
        <v>1815</v>
      </c>
      <c r="I56">
        <v>4531</v>
      </c>
      <c r="J56">
        <v>3851</v>
      </c>
      <c r="K56">
        <v>473</v>
      </c>
      <c r="L56">
        <v>22036</v>
      </c>
      <c r="M56">
        <v>360342</v>
      </c>
      <c r="N56" s="33">
        <f>DATE(YEAR(A56),MONTH(A56),1)</f>
        <v>41852.0</v>
      </c>
      <c r="O56" s="36">
        <f>L56/M56</f>
        <v>0.06115301574615226</v>
      </c>
    </row>
    <row r="57" spans="1:15">
      <c r="A57" s="32">
        <v>41876</v>
      </c>
      <c r="B57">
        <v>795</v>
      </c>
      <c r="C57">
        <v>2745</v>
      </c>
      <c r="D57">
        <v>2031</v>
      </c>
      <c r="E57">
        <v>891</v>
      </c>
      <c r="F57">
        <v>1762</v>
      </c>
      <c r="G57">
        <v>34097</v>
      </c>
      <c r="H57">
        <v>1642</v>
      </c>
      <c r="I57">
        <v>2553</v>
      </c>
      <c r="J57">
        <v>3096</v>
      </c>
      <c r="K57">
        <v>1341</v>
      </c>
      <c r="L57">
        <v>22093</v>
      </c>
      <c r="M57">
        <v>354456</v>
      </c>
      <c r="N57" s="33">
        <f>DATE(YEAR(A57),MONTH(A57),1)</f>
        <v>41852.0</v>
      </c>
      <c r="O57" s="36">
        <f>L57/M57</f>
        <v>0.06232931590944998</v>
      </c>
    </row>
    <row r="58" spans="1:15">
      <c r="A58" s="32">
        <v>41877</v>
      </c>
      <c r="B58">
        <v>785</v>
      </c>
      <c r="C58">
        <v>2487</v>
      </c>
      <c r="D58">
        <v>1898</v>
      </c>
      <c r="E58">
        <v>845</v>
      </c>
      <c r="F58">
        <v>1603</v>
      </c>
      <c r="G58">
        <v>34199</v>
      </c>
      <c r="H58">
        <v>1330</v>
      </c>
      <c r="I58">
        <v>2472</v>
      </c>
      <c r="J58">
        <v>2781</v>
      </c>
      <c r="K58">
        <v>1534</v>
      </c>
      <c r="L58">
        <v>24550</v>
      </c>
      <c r="M58">
        <v>385522</v>
      </c>
      <c r="N58" s="33">
        <f>DATE(YEAR(A58),MONTH(A58),1)</f>
        <v>41852.0</v>
      </c>
      <c r="O58" s="36">
        <f>L58/M58</f>
        <v>0.06367989375444202</v>
      </c>
    </row>
    <row r="59" spans="1:15">
      <c r="A59" s="32">
        <v>41878</v>
      </c>
      <c r="B59">
        <v>823</v>
      </c>
      <c r="C59">
        <v>2789</v>
      </c>
      <c r="D59">
        <v>2066</v>
      </c>
      <c r="E59">
        <v>860</v>
      </c>
      <c r="F59">
        <v>1720</v>
      </c>
      <c r="G59">
        <v>37884</v>
      </c>
      <c r="H59">
        <v>1459</v>
      </c>
      <c r="I59">
        <v>2726</v>
      </c>
      <c r="J59">
        <v>2988</v>
      </c>
      <c r="K59">
        <v>1748</v>
      </c>
      <c r="L59">
        <v>27018</v>
      </c>
      <c r="M59">
        <v>411357</v>
      </c>
      <c r="N59" s="33">
        <f>DATE(YEAR(A59),MONTH(A59),1)</f>
        <v>41852.0</v>
      </c>
      <c r="O59" s="36">
        <f>L59/M59</f>
        <v>0.06568017561388283</v>
      </c>
    </row>
    <row r="60" spans="1:15">
      <c r="A60" s="32">
        <v>41879</v>
      </c>
      <c r="B60">
        <v>895</v>
      </c>
      <c r="C60">
        <v>3105</v>
      </c>
      <c r="D60">
        <v>2336</v>
      </c>
      <c r="E60">
        <v>963</v>
      </c>
      <c r="F60">
        <v>1732</v>
      </c>
      <c r="G60">
        <v>40579</v>
      </c>
      <c r="H60">
        <v>1450</v>
      </c>
      <c r="I60">
        <v>4664</v>
      </c>
      <c r="J60">
        <v>3056</v>
      </c>
      <c r="K60">
        <v>1698</v>
      </c>
      <c r="L60">
        <v>28597</v>
      </c>
      <c r="M60">
        <v>410299</v>
      </c>
      <c r="N60" s="33">
        <f>DATE(YEAR(A60),MONTH(A60),1)</f>
        <v>41852.0</v>
      </c>
      <c r="O60" s="36">
        <f>L60/M60</f>
        <v>0.06969795198135993</v>
      </c>
    </row>
    <row r="61" spans="1:15">
      <c r="A61" s="32">
        <v>41880</v>
      </c>
      <c r="B61">
        <v>1176</v>
      </c>
      <c r="C61">
        <v>3001</v>
      </c>
      <c r="D61">
        <v>2387</v>
      </c>
      <c r="E61">
        <v>1157</v>
      </c>
      <c r="F61">
        <v>1900</v>
      </c>
      <c r="G61">
        <v>48602</v>
      </c>
      <c r="H61">
        <v>1785</v>
      </c>
      <c r="I61">
        <v>6779</v>
      </c>
      <c r="J61">
        <v>3765</v>
      </c>
      <c r="K61">
        <v>1203</v>
      </c>
      <c r="L61">
        <v>27424</v>
      </c>
      <c r="M61">
        <v>406737</v>
      </c>
      <c r="N61" s="33">
        <f>DATE(YEAR(A61),MONTH(A61),1)</f>
        <v>41852.0</v>
      </c>
      <c r="O61" s="36">
        <f>L61/M61</f>
        <v>0.06742440446775189</v>
      </c>
    </row>
    <row r="62" spans="1:15">
      <c r="A62" s="32">
        <v>41881</v>
      </c>
      <c r="B62">
        <v>1265</v>
      </c>
      <c r="C62">
        <v>2081</v>
      </c>
      <c r="D62">
        <v>1481</v>
      </c>
      <c r="E62">
        <v>1282</v>
      </c>
      <c r="F62">
        <v>1686</v>
      </c>
      <c r="G62">
        <v>53824</v>
      </c>
      <c r="H62">
        <v>2034</v>
      </c>
      <c r="I62">
        <v>7683</v>
      </c>
      <c r="J62">
        <v>4308</v>
      </c>
      <c r="K62">
        <v>420</v>
      </c>
      <c r="L62">
        <v>23930</v>
      </c>
      <c r="M62">
        <v>373161</v>
      </c>
      <c r="N62" s="33">
        <f>DATE(YEAR(A62),MONTH(A62),1)</f>
        <v>41852.0</v>
      </c>
      <c r="O62" s="36">
        <f>L62/M62</f>
        <v>0.06412781614370205</v>
      </c>
    </row>
    <row r="63" spans="1:15">
      <c r="A63" s="32">
        <v>41882</v>
      </c>
      <c r="B63">
        <v>1192</v>
      </c>
      <c r="C63">
        <v>1944</v>
      </c>
      <c r="D63">
        <v>1511</v>
      </c>
      <c r="E63">
        <v>1314</v>
      </c>
      <c r="F63">
        <v>1716</v>
      </c>
      <c r="G63">
        <v>48338</v>
      </c>
      <c r="H63">
        <v>2065</v>
      </c>
      <c r="I63">
        <v>6813</v>
      </c>
      <c r="J63">
        <v>4140</v>
      </c>
      <c r="K63">
        <v>437</v>
      </c>
      <c r="L63">
        <v>23271</v>
      </c>
      <c r="M63">
        <v>349421</v>
      </c>
      <c r="N63" s="33">
        <f>DATE(YEAR(A63),MONTH(A63),1)</f>
        <v>41852.0</v>
      </c>
      <c r="O63" s="36">
        <f>L63/M63</f>
        <v>0.06659874478065142</v>
      </c>
    </row>
    <row r="64" spans="1:15">
      <c r="A64" s="32">
        <v>41883</v>
      </c>
      <c r="B64">
        <v>830</v>
      </c>
      <c r="C64">
        <v>2387</v>
      </c>
      <c r="D64">
        <v>2000</v>
      </c>
      <c r="E64">
        <v>848</v>
      </c>
      <c r="F64">
        <v>1211</v>
      </c>
      <c r="G64">
        <v>35898</v>
      </c>
      <c r="H64">
        <v>1520</v>
      </c>
      <c r="I64">
        <v>5491</v>
      </c>
      <c r="J64">
        <v>3033</v>
      </c>
      <c r="K64">
        <v>1846</v>
      </c>
      <c r="L64">
        <v>19961</v>
      </c>
      <c r="M64">
        <v>316080</v>
      </c>
      <c r="N64" s="33">
        <f>DATE(YEAR(A64),MONTH(A64),1)</f>
        <v>41883.0</v>
      </c>
      <c r="O64" s="36">
        <f>L64/M64</f>
        <v>0.06315173373829411</v>
      </c>
    </row>
    <row r="65" spans="1:15">
      <c r="A65" s="32">
        <v>41884</v>
      </c>
      <c r="B65">
        <v>955</v>
      </c>
      <c r="C65">
        <v>2967</v>
      </c>
      <c r="D65">
        <v>2146</v>
      </c>
      <c r="E65">
        <v>991</v>
      </c>
      <c r="F65">
        <v>1703</v>
      </c>
      <c r="G65">
        <v>36957</v>
      </c>
      <c r="H65">
        <v>1565</v>
      </c>
      <c r="I65">
        <v>4467</v>
      </c>
      <c r="J65">
        <v>3387</v>
      </c>
      <c r="K65">
        <v>2063</v>
      </c>
      <c r="L65">
        <v>28831</v>
      </c>
      <c r="M65">
        <v>405137</v>
      </c>
      <c r="N65" s="33">
        <f>DATE(YEAR(A65),MONTH(A65),1)</f>
        <v>41883.0</v>
      </c>
      <c r="O65" s="36">
        <f>L65/M65</f>
        <v>0.07116358170199216</v>
      </c>
    </row>
    <row r="66" spans="1:15">
      <c r="A66" s="32">
        <v>41885</v>
      </c>
      <c r="B66">
        <v>944</v>
      </c>
      <c r="C66">
        <v>2794</v>
      </c>
      <c r="D66">
        <v>2031</v>
      </c>
      <c r="E66">
        <v>1006</v>
      </c>
      <c r="F66">
        <v>1852</v>
      </c>
      <c r="G66">
        <v>39453</v>
      </c>
      <c r="H66">
        <v>1513</v>
      </c>
      <c r="I66">
        <v>4670</v>
      </c>
      <c r="J66">
        <v>3269</v>
      </c>
      <c r="K66">
        <v>437</v>
      </c>
      <c r="L66">
        <v>32631</v>
      </c>
      <c r="M66">
        <v>436909</v>
      </c>
      <c r="N66" s="33">
        <f>DATE(YEAR(A66),MONTH(A66),1)</f>
        <v>41883.0</v>
      </c>
      <c r="O66" s="36">
        <f>L66/M66</f>
        <v>0.07468603301831732</v>
      </c>
    </row>
    <row r="67" spans="1:15">
      <c r="A67" s="32">
        <v>41886</v>
      </c>
      <c r="B67">
        <v>970</v>
      </c>
      <c r="C67">
        <v>2914</v>
      </c>
      <c r="D67">
        <v>2205</v>
      </c>
      <c r="E67">
        <v>912</v>
      </c>
      <c r="F67">
        <v>1846</v>
      </c>
      <c r="G67">
        <v>43364</v>
      </c>
      <c r="H67">
        <v>1652</v>
      </c>
      <c r="I67">
        <v>4890</v>
      </c>
      <c r="J67">
        <v>3303</v>
      </c>
      <c r="K67">
        <v>1746</v>
      </c>
      <c r="L67">
        <v>38360</v>
      </c>
      <c r="M67">
        <v>464560</v>
      </c>
      <c r="N67" s="33">
        <f>DATE(YEAR(A67),MONTH(A67),1)</f>
        <v>41883.0</v>
      </c>
      <c r="O67" s="36">
        <f>L67/M67</f>
        <v>0.0825727570173928</v>
      </c>
    </row>
    <row r="68" spans="1:15">
      <c r="A68" s="32">
        <v>41887</v>
      </c>
      <c r="B68">
        <v>1104</v>
      </c>
      <c r="C68">
        <v>2871</v>
      </c>
      <c r="D68">
        <v>2145</v>
      </c>
      <c r="E68">
        <v>1194</v>
      </c>
      <c r="F68">
        <v>1914</v>
      </c>
      <c r="G68">
        <v>50243</v>
      </c>
      <c r="H68">
        <v>1872</v>
      </c>
      <c r="I68">
        <v>5748</v>
      </c>
      <c r="J68">
        <v>3874</v>
      </c>
      <c r="K68">
        <v>1978</v>
      </c>
      <c r="L68">
        <v>42319</v>
      </c>
      <c r="M68">
        <v>491597</v>
      </c>
      <c r="N68" s="33">
        <f>DATE(YEAR(A68),MONTH(A68),1)</f>
        <v>41883.0</v>
      </c>
      <c r="O68" s="36">
        <f>L68/M68</f>
        <v>0.08608474014284058</v>
      </c>
    </row>
    <row r="69" spans="1:15">
      <c r="A69" s="32">
        <v>41888</v>
      </c>
      <c r="B69">
        <v>1317</v>
      </c>
      <c r="C69">
        <v>2152</v>
      </c>
      <c r="D69">
        <v>1617</v>
      </c>
      <c r="E69">
        <v>1249</v>
      </c>
      <c r="F69">
        <v>1798</v>
      </c>
      <c r="G69">
        <v>59470</v>
      </c>
      <c r="H69">
        <v>2176</v>
      </c>
      <c r="I69">
        <v>7722</v>
      </c>
      <c r="J69">
        <v>4192</v>
      </c>
      <c r="K69">
        <v>2121</v>
      </c>
      <c r="L69">
        <v>40520</v>
      </c>
      <c r="M69">
        <v>498687</v>
      </c>
      <c r="N69" s="33">
        <f>DATE(YEAR(A69),MONTH(A69),1)</f>
        <v>41883.0</v>
      </c>
      <c r="O69" s="36">
        <f>L69/M69</f>
        <v>0.08125337135317344</v>
      </c>
    </row>
    <row r="70" spans="1:15">
      <c r="A70" s="32">
        <v>41889</v>
      </c>
      <c r="B70">
        <v>1107</v>
      </c>
      <c r="C70">
        <v>2426</v>
      </c>
      <c r="D70">
        <v>1878</v>
      </c>
      <c r="E70">
        <v>1122</v>
      </c>
      <c r="F70">
        <v>1645</v>
      </c>
      <c r="G70">
        <v>48610</v>
      </c>
      <c r="H70">
        <v>2014</v>
      </c>
      <c r="I70">
        <v>6797</v>
      </c>
      <c r="J70">
        <v>3705</v>
      </c>
      <c r="K70">
        <v>1680</v>
      </c>
      <c r="L70">
        <v>30134</v>
      </c>
      <c r="M70">
        <v>441151</v>
      </c>
      <c r="N70" s="33">
        <f>DATE(YEAR(A70),MONTH(A70),1)</f>
        <v>41883.0</v>
      </c>
      <c r="O70" s="36">
        <f>L70/M70</f>
        <v>0.06830767696321667</v>
      </c>
    </row>
    <row r="71" spans="1:15">
      <c r="A71" s="32">
        <v>41890</v>
      </c>
      <c r="B71">
        <v>883</v>
      </c>
      <c r="C71">
        <v>3050</v>
      </c>
      <c r="D71">
        <v>2215</v>
      </c>
      <c r="E71">
        <v>934</v>
      </c>
      <c r="F71">
        <v>1826</v>
      </c>
      <c r="G71">
        <v>37010</v>
      </c>
      <c r="H71">
        <v>1569</v>
      </c>
      <c r="I71">
        <v>3849</v>
      </c>
      <c r="J71">
        <v>3157</v>
      </c>
      <c r="K71">
        <v>585</v>
      </c>
      <c r="L71">
        <v>30360</v>
      </c>
      <c r="M71">
        <v>426013</v>
      </c>
      <c r="N71" s="33">
        <f>DATE(YEAR(A71),MONTH(A71),1)</f>
        <v>41883.0</v>
      </c>
      <c r="O71" s="36">
        <f>L71/M71</f>
        <v>0.07126543086713316</v>
      </c>
    </row>
    <row r="72" spans="1:15">
      <c r="A72" s="32">
        <v>41891</v>
      </c>
      <c r="B72">
        <v>860</v>
      </c>
      <c r="C72">
        <v>2780</v>
      </c>
      <c r="D72">
        <v>2112</v>
      </c>
      <c r="E72">
        <v>810</v>
      </c>
      <c r="F72">
        <v>1750</v>
      </c>
      <c r="G72">
        <v>37694</v>
      </c>
      <c r="H72">
        <v>1472</v>
      </c>
      <c r="I72">
        <v>3895</v>
      </c>
      <c r="J72">
        <v>3086</v>
      </c>
      <c r="K72">
        <v>680</v>
      </c>
      <c r="L72">
        <v>34560</v>
      </c>
      <c r="M72">
        <v>445940</v>
      </c>
      <c r="N72" s="33">
        <f>DATE(YEAR(A72),MONTH(A72),1)</f>
        <v>41883.0</v>
      </c>
      <c r="O72" s="36">
        <f>L72/M72</f>
        <v>0.07749921514105036</v>
      </c>
    </row>
    <row r="73" spans="1:15">
      <c r="A73" s="32">
        <v>41892</v>
      </c>
      <c r="B73">
        <v>878</v>
      </c>
      <c r="C73">
        <v>3006</v>
      </c>
      <c r="D73">
        <v>2348</v>
      </c>
      <c r="E73">
        <v>865</v>
      </c>
      <c r="F73">
        <v>1797</v>
      </c>
      <c r="G73">
        <v>39746</v>
      </c>
      <c r="H73">
        <v>1413</v>
      </c>
      <c r="I73">
        <v>4262</v>
      </c>
      <c r="J73">
        <v>2993</v>
      </c>
      <c r="K73">
        <v>1961</v>
      </c>
      <c r="L73">
        <v>35910</v>
      </c>
      <c r="M73">
        <v>461689</v>
      </c>
      <c r="N73" s="33">
        <f>DATE(YEAR(A73),MONTH(A73),1)</f>
        <v>41883.0</v>
      </c>
      <c r="O73" s="36">
        <f>L73/M73</f>
        <v>0.07777963087706226</v>
      </c>
    </row>
    <row r="74" spans="1:15">
      <c r="A74" s="32">
        <v>41893</v>
      </c>
      <c r="B74">
        <v>860</v>
      </c>
      <c r="C74">
        <v>3237</v>
      </c>
      <c r="D74">
        <v>2316</v>
      </c>
      <c r="E74">
        <v>939</v>
      </c>
      <c r="F74">
        <v>1908</v>
      </c>
      <c r="G74">
        <v>42838</v>
      </c>
      <c r="H74">
        <v>1465</v>
      </c>
      <c r="I74">
        <v>4872</v>
      </c>
      <c r="J74">
        <v>3210</v>
      </c>
      <c r="K74">
        <v>2106</v>
      </c>
      <c r="L74">
        <v>36439</v>
      </c>
      <c r="M74">
        <v>473585</v>
      </c>
      <c r="N74" s="33">
        <f>DATE(YEAR(A74),MONTH(A74),1)</f>
        <v>41883.0</v>
      </c>
      <c r="O74" s="36">
        <f>L74/M74</f>
        <v>0.07694289303926434</v>
      </c>
    </row>
    <row r="75" spans="1:15">
      <c r="A75" s="32">
        <v>41894</v>
      </c>
      <c r="B75">
        <v>1096</v>
      </c>
      <c r="C75">
        <v>3183</v>
      </c>
      <c r="D75">
        <v>2406</v>
      </c>
      <c r="E75">
        <v>1113</v>
      </c>
      <c r="F75">
        <v>2016</v>
      </c>
      <c r="G75">
        <v>51430</v>
      </c>
      <c r="H75">
        <v>1883</v>
      </c>
      <c r="I75">
        <v>4712</v>
      </c>
      <c r="J75">
        <v>3877</v>
      </c>
      <c r="K75">
        <v>2219</v>
      </c>
      <c r="L75">
        <v>39540</v>
      </c>
      <c r="M75">
        <v>481786</v>
      </c>
      <c r="N75" s="33">
        <f>DATE(YEAR(A75),MONTH(A75),1)</f>
        <v>41883.0</v>
      </c>
      <c r="O75" s="36">
        <f>L75/M75</f>
        <v>0.08206963257545881</v>
      </c>
    </row>
    <row r="76" spans="1:15">
      <c r="A76" s="32">
        <v>41895</v>
      </c>
      <c r="B76">
        <v>1440</v>
      </c>
      <c r="C76">
        <v>2315</v>
      </c>
      <c r="D76">
        <v>1771</v>
      </c>
      <c r="E76">
        <v>1440</v>
      </c>
      <c r="F76">
        <v>2085</v>
      </c>
      <c r="G76">
        <v>64184</v>
      </c>
      <c r="H76">
        <v>2375</v>
      </c>
      <c r="I76">
        <v>5226</v>
      </c>
      <c r="J76">
        <v>4470</v>
      </c>
      <c r="K76">
        <v>2128</v>
      </c>
      <c r="L76">
        <v>43205</v>
      </c>
      <c r="M76">
        <v>509480</v>
      </c>
      <c r="N76" s="33">
        <f>DATE(YEAR(A76),MONTH(A76),1)</f>
        <v>41883.0</v>
      </c>
      <c r="O76" s="36">
        <f>L76/M76</f>
        <v>0.0848021512130015</v>
      </c>
    </row>
    <row r="77" spans="1:15">
      <c r="A77" s="32">
        <v>41896</v>
      </c>
      <c r="B77">
        <v>1256</v>
      </c>
      <c r="C77">
        <v>2600</v>
      </c>
      <c r="D77">
        <v>2039</v>
      </c>
      <c r="E77">
        <v>1261</v>
      </c>
      <c r="F77">
        <v>1815</v>
      </c>
      <c r="G77">
        <v>51675</v>
      </c>
      <c r="H77">
        <v>2163</v>
      </c>
      <c r="I77">
        <v>4116</v>
      </c>
      <c r="J77">
        <v>4211</v>
      </c>
      <c r="K77">
        <v>1731</v>
      </c>
      <c r="L77">
        <v>28122</v>
      </c>
      <c r="M77">
        <v>446339</v>
      </c>
      <c r="N77" s="33">
        <f>DATE(YEAR(A77),MONTH(A77),1)</f>
        <v>41883.0</v>
      </c>
      <c r="O77" s="36">
        <f>L77/M77</f>
        <v>0.06300592150809138</v>
      </c>
    </row>
    <row r="78" spans="1:15">
      <c r="A78" s="32">
        <v>41897</v>
      </c>
      <c r="B78">
        <v>858</v>
      </c>
      <c r="C78">
        <v>3294</v>
      </c>
      <c r="D78">
        <v>2363</v>
      </c>
      <c r="E78">
        <v>953</v>
      </c>
      <c r="F78">
        <v>1851</v>
      </c>
      <c r="G78">
        <v>37400</v>
      </c>
      <c r="H78">
        <v>1613</v>
      </c>
      <c r="I78">
        <v>2187</v>
      </c>
      <c r="J78">
        <v>3214</v>
      </c>
      <c r="K78">
        <v>747</v>
      </c>
      <c r="L78">
        <v>29454</v>
      </c>
      <c r="M78">
        <v>417686</v>
      </c>
      <c r="N78" s="33">
        <f>DATE(YEAR(A78),MONTH(A78),1)</f>
        <v>41883.0</v>
      </c>
      <c r="O78" s="36">
        <f>L78/M78</f>
        <v>0.0705170869983672</v>
      </c>
    </row>
    <row r="79" spans="1:15">
      <c r="A79" s="32">
        <v>41898</v>
      </c>
      <c r="B79">
        <v>873</v>
      </c>
      <c r="C79">
        <v>3074</v>
      </c>
      <c r="D79">
        <v>2185</v>
      </c>
      <c r="E79">
        <v>1025</v>
      </c>
      <c r="F79">
        <v>1894</v>
      </c>
      <c r="G79">
        <v>39642</v>
      </c>
      <c r="H79">
        <v>1676</v>
      </c>
      <c r="I79">
        <v>2028</v>
      </c>
      <c r="J79">
        <v>3205</v>
      </c>
      <c r="K79">
        <v>754</v>
      </c>
      <c r="L79">
        <v>36092</v>
      </c>
      <c r="M79">
        <v>443230</v>
      </c>
      <c r="N79" s="33">
        <f>DATE(YEAR(A79),MONTH(A79),1)</f>
        <v>41883.0</v>
      </c>
      <c r="O79" s="36">
        <f>L79/M79</f>
        <v>0.0814295061254879</v>
      </c>
    </row>
    <row r="80" spans="1:15">
      <c r="A80" s="32">
        <v>41899</v>
      </c>
      <c r="B80">
        <v>785</v>
      </c>
      <c r="C80">
        <v>3137</v>
      </c>
      <c r="D80">
        <v>2342</v>
      </c>
      <c r="E80">
        <v>935</v>
      </c>
      <c r="F80">
        <v>1742</v>
      </c>
      <c r="G80">
        <v>39566</v>
      </c>
      <c r="H80">
        <v>1532</v>
      </c>
      <c r="I80">
        <v>2149</v>
      </c>
      <c r="J80">
        <v>3013</v>
      </c>
      <c r="K80">
        <v>1988</v>
      </c>
      <c r="L80">
        <v>35531</v>
      </c>
      <c r="M80">
        <v>446201</v>
      </c>
      <c r="N80" s="33">
        <f>DATE(YEAR(A80),MONTH(A80),1)</f>
        <v>41883.0</v>
      </c>
      <c r="O80" s="36">
        <f>L80/M80</f>
        <v>0.07963003220521693</v>
      </c>
    </row>
    <row r="81" spans="1:15">
      <c r="A81" s="32">
        <v>41900</v>
      </c>
      <c r="B81">
        <v>943</v>
      </c>
      <c r="C81">
        <v>3507</v>
      </c>
      <c r="D81">
        <v>2795</v>
      </c>
      <c r="E81">
        <v>983</v>
      </c>
      <c r="F81">
        <v>1818</v>
      </c>
      <c r="G81">
        <v>43899</v>
      </c>
      <c r="H81">
        <v>1616</v>
      </c>
      <c r="I81">
        <v>2364</v>
      </c>
      <c r="J81">
        <v>3213</v>
      </c>
      <c r="K81">
        <v>2230</v>
      </c>
      <c r="L81">
        <v>40274</v>
      </c>
      <c r="M81">
        <v>459159</v>
      </c>
      <c r="N81" s="33">
        <f>DATE(YEAR(A81),MONTH(A81),1)</f>
        <v>41883.0</v>
      </c>
      <c r="O81" s="36">
        <f>L81/M81</f>
        <v>0.0877125353091195</v>
      </c>
    </row>
    <row r="82" spans="1:15">
      <c r="A82" s="32">
        <v>41901</v>
      </c>
      <c r="B82">
        <v>1126</v>
      </c>
      <c r="C82">
        <v>3256</v>
      </c>
      <c r="D82">
        <v>2405</v>
      </c>
      <c r="E82">
        <v>1145</v>
      </c>
      <c r="F82">
        <v>2072</v>
      </c>
      <c r="G82">
        <v>52115</v>
      </c>
      <c r="H82">
        <v>1974</v>
      </c>
      <c r="I82">
        <v>2844</v>
      </c>
      <c r="J82">
        <v>3895</v>
      </c>
      <c r="K82">
        <v>2181</v>
      </c>
      <c r="L82">
        <v>41017</v>
      </c>
      <c r="M82">
        <v>483660</v>
      </c>
      <c r="N82" s="33">
        <f>DATE(YEAR(A82),MONTH(A82),1)</f>
        <v>41883.0</v>
      </c>
      <c r="O82" s="36">
        <f>L82/M82</f>
        <v>0.0848054418393086</v>
      </c>
    </row>
    <row r="83" spans="1:15">
      <c r="A83" s="32">
        <v>41902</v>
      </c>
      <c r="B83">
        <v>1206</v>
      </c>
      <c r="C83">
        <v>2297</v>
      </c>
      <c r="D83">
        <v>1689</v>
      </c>
      <c r="E83">
        <v>1192</v>
      </c>
      <c r="F83">
        <v>1836</v>
      </c>
      <c r="G83">
        <v>60211</v>
      </c>
      <c r="H83">
        <v>2150</v>
      </c>
      <c r="I83">
        <v>4026</v>
      </c>
      <c r="J83">
        <v>4198</v>
      </c>
      <c r="K83">
        <v>2204</v>
      </c>
      <c r="L83">
        <v>38864</v>
      </c>
      <c r="M83">
        <v>488090</v>
      </c>
      <c r="N83" s="33">
        <f>DATE(YEAR(A83),MONTH(A83),1)</f>
        <v>41883.0</v>
      </c>
      <c r="O83" s="36">
        <f>L83/M83</f>
        <v>0.07962465938658854</v>
      </c>
    </row>
    <row r="84" spans="1:15">
      <c r="A84" s="32">
        <v>41903</v>
      </c>
      <c r="B84">
        <v>1130</v>
      </c>
      <c r="C84">
        <v>2462</v>
      </c>
      <c r="D84">
        <v>1966</v>
      </c>
      <c r="E84">
        <v>1273</v>
      </c>
      <c r="F84">
        <v>1723</v>
      </c>
      <c r="G84">
        <v>50535</v>
      </c>
      <c r="H84">
        <v>2118</v>
      </c>
      <c r="I84">
        <v>3481</v>
      </c>
      <c r="J84">
        <v>3909</v>
      </c>
      <c r="K84">
        <v>1635</v>
      </c>
      <c r="L84">
        <v>28620</v>
      </c>
      <c r="M84">
        <v>397763</v>
      </c>
      <c r="N84" s="33">
        <f>DATE(YEAR(A84),MONTH(A84),1)</f>
        <v>41883.0</v>
      </c>
      <c r="O84" s="36">
        <f>L84/M84</f>
        <v>0.07195239376211462</v>
      </c>
    </row>
    <row r="85" spans="1:15">
      <c r="A85" s="32">
        <v>41904</v>
      </c>
      <c r="B85">
        <v>812</v>
      </c>
      <c r="C85">
        <v>3270</v>
      </c>
      <c r="D85">
        <v>2352</v>
      </c>
      <c r="E85">
        <v>969</v>
      </c>
      <c r="F85">
        <v>1817</v>
      </c>
      <c r="G85">
        <v>37103</v>
      </c>
      <c r="H85">
        <v>1638</v>
      </c>
      <c r="I85">
        <v>1886</v>
      </c>
      <c r="J85">
        <v>3110</v>
      </c>
      <c r="K85">
        <v>574</v>
      </c>
      <c r="L85">
        <v>28312</v>
      </c>
      <c r="M85">
        <v>389058</v>
      </c>
      <c r="N85" s="33">
        <f>DATE(YEAR(A85),MONTH(A85),1)</f>
        <v>41883.0</v>
      </c>
      <c r="O85" s="36">
        <f>L85/M85</f>
        <v>0.07277064088130819</v>
      </c>
    </row>
    <row r="86" spans="1:15">
      <c r="A86" s="32">
        <v>41905</v>
      </c>
      <c r="B86">
        <v>768</v>
      </c>
      <c r="C86">
        <v>2927</v>
      </c>
      <c r="D86">
        <v>2222</v>
      </c>
      <c r="E86">
        <v>871</v>
      </c>
      <c r="F86">
        <v>1771</v>
      </c>
      <c r="G86">
        <v>38492</v>
      </c>
      <c r="H86">
        <v>1451</v>
      </c>
      <c r="I86">
        <v>2028</v>
      </c>
      <c r="J86">
        <v>3025</v>
      </c>
      <c r="K86">
        <v>651</v>
      </c>
      <c r="L86">
        <v>30316</v>
      </c>
      <c r="M86">
        <v>396844</v>
      </c>
      <c r="N86" s="33">
        <f>DATE(YEAR(A86),MONTH(A86),1)</f>
        <v>41883.0</v>
      </c>
      <c r="O86" s="36">
        <f>L86/M86</f>
        <v>0.07639273870840935</v>
      </c>
    </row>
    <row r="87" spans="1:15">
      <c r="A87" s="32">
        <v>41906</v>
      </c>
      <c r="B87">
        <v>841</v>
      </c>
      <c r="C87">
        <v>3066</v>
      </c>
      <c r="D87">
        <v>2328</v>
      </c>
      <c r="E87">
        <v>968</v>
      </c>
      <c r="F87">
        <v>1764</v>
      </c>
      <c r="G87">
        <v>40373</v>
      </c>
      <c r="H87">
        <v>1437</v>
      </c>
      <c r="I87">
        <v>2243</v>
      </c>
      <c r="J87">
        <v>3077</v>
      </c>
      <c r="K87">
        <v>1784</v>
      </c>
      <c r="L87">
        <v>31301</v>
      </c>
      <c r="M87">
        <v>412595</v>
      </c>
      <c r="N87" s="33">
        <f>DATE(YEAR(A87),MONTH(A87),1)</f>
        <v>41883.0</v>
      </c>
      <c r="O87" s="36">
        <f>L87/M87</f>
        <v>0.07586374047189132</v>
      </c>
    </row>
    <row r="88" spans="1:15">
      <c r="A88" s="32">
        <v>41907</v>
      </c>
      <c r="B88">
        <v>947</v>
      </c>
      <c r="C88">
        <v>3159</v>
      </c>
      <c r="D88">
        <v>2377</v>
      </c>
      <c r="E88">
        <v>984</v>
      </c>
      <c r="F88">
        <v>1750</v>
      </c>
      <c r="G88">
        <v>43249</v>
      </c>
      <c r="H88">
        <v>1565</v>
      </c>
      <c r="I88">
        <v>2891</v>
      </c>
      <c r="J88">
        <v>3433</v>
      </c>
      <c r="K88">
        <v>1987</v>
      </c>
      <c r="L88">
        <v>38203</v>
      </c>
      <c r="M88">
        <v>422624</v>
      </c>
      <c r="N88" s="33">
        <f>DATE(YEAR(A88),MONTH(A88),1)</f>
        <v>41883.0</v>
      </c>
      <c r="O88" s="36">
        <f>L88/M88</f>
        <v>0.09039477171197093</v>
      </c>
    </row>
    <row r="89" spans="1:15">
      <c r="A89" s="32">
        <v>41908</v>
      </c>
      <c r="B89">
        <v>1101</v>
      </c>
      <c r="C89">
        <v>2816</v>
      </c>
      <c r="D89">
        <v>2064</v>
      </c>
      <c r="E89">
        <v>1055</v>
      </c>
      <c r="F89">
        <v>1934</v>
      </c>
      <c r="G89">
        <v>49660</v>
      </c>
      <c r="H89">
        <v>1801</v>
      </c>
      <c r="I89">
        <v>3089</v>
      </c>
      <c r="J89">
        <v>3598</v>
      </c>
      <c r="K89">
        <v>1927</v>
      </c>
      <c r="L89">
        <v>37504</v>
      </c>
      <c r="M89">
        <v>444105</v>
      </c>
      <c r="N89" s="33">
        <f>DATE(YEAR(A89),MONTH(A89),1)</f>
        <v>41883.0</v>
      </c>
      <c r="O89" s="36">
        <f>L89/M89</f>
        <v>0.08444849753999617</v>
      </c>
    </row>
    <row r="90" spans="1:15">
      <c r="A90" s="32">
        <v>41909</v>
      </c>
      <c r="B90">
        <v>1291</v>
      </c>
      <c r="C90">
        <v>2240</v>
      </c>
      <c r="D90">
        <v>1687</v>
      </c>
      <c r="E90">
        <v>1301</v>
      </c>
      <c r="F90">
        <v>1917</v>
      </c>
      <c r="G90">
        <v>61248</v>
      </c>
      <c r="H90">
        <v>2072</v>
      </c>
      <c r="I90">
        <v>4555</v>
      </c>
      <c r="J90">
        <v>4297</v>
      </c>
      <c r="K90">
        <v>1725</v>
      </c>
      <c r="L90">
        <v>39468</v>
      </c>
      <c r="M90">
        <v>482615</v>
      </c>
      <c r="N90" s="33">
        <f>DATE(YEAR(A90),MONTH(A90),1)</f>
        <v>41883.0</v>
      </c>
      <c r="O90" s="36">
        <f>L90/M90</f>
        <v>0.08177947225013728</v>
      </c>
    </row>
    <row r="91" spans="1:15">
      <c r="A91" s="32">
        <v>41910</v>
      </c>
      <c r="B91">
        <v>1080</v>
      </c>
      <c r="C91">
        <v>2559</v>
      </c>
      <c r="D91">
        <v>1949</v>
      </c>
      <c r="E91">
        <v>1260</v>
      </c>
      <c r="F91">
        <v>1831</v>
      </c>
      <c r="G91">
        <v>51832</v>
      </c>
      <c r="H91">
        <v>2032</v>
      </c>
      <c r="I91">
        <v>4509</v>
      </c>
      <c r="J91">
        <v>3985</v>
      </c>
      <c r="K91">
        <v>1477</v>
      </c>
      <c r="L91">
        <v>29656</v>
      </c>
      <c r="M91">
        <v>429068</v>
      </c>
      <c r="N91" s="33">
        <f>DATE(YEAR(A91),MONTH(A91),1)</f>
        <v>41883.0</v>
      </c>
      <c r="O91" s="36">
        <f>L91/M91</f>
        <v>0.06911724948026886</v>
      </c>
    </row>
    <row r="92" spans="1:15">
      <c r="A92" s="32">
        <v>41911</v>
      </c>
      <c r="B92">
        <v>772</v>
      </c>
      <c r="C92">
        <v>3225</v>
      </c>
      <c r="D92">
        <v>2349</v>
      </c>
      <c r="E92">
        <v>972</v>
      </c>
      <c r="F92">
        <v>1868</v>
      </c>
      <c r="G92">
        <v>37657</v>
      </c>
      <c r="H92">
        <v>1558</v>
      </c>
      <c r="I92">
        <v>2631</v>
      </c>
      <c r="J92">
        <v>3215</v>
      </c>
      <c r="K92">
        <v>561</v>
      </c>
      <c r="L92">
        <v>29201</v>
      </c>
      <c r="M92">
        <v>396191</v>
      </c>
      <c r="N92" s="33">
        <f>DATE(YEAR(A92),MONTH(A92),1)</f>
        <v>41883.0</v>
      </c>
      <c r="O92" s="36">
        <f>L92/M92</f>
        <v>0.07370434966973001</v>
      </c>
    </row>
    <row r="93" spans="1:15">
      <c r="A93" s="32">
        <v>41912</v>
      </c>
      <c r="B93">
        <v>848</v>
      </c>
      <c r="C93">
        <v>2824</v>
      </c>
      <c r="D93">
        <v>2004</v>
      </c>
      <c r="E93">
        <v>1017</v>
      </c>
      <c r="F93">
        <v>1789</v>
      </c>
      <c r="G93">
        <v>38665</v>
      </c>
      <c r="H93">
        <v>1527</v>
      </c>
      <c r="I93">
        <v>2371</v>
      </c>
      <c r="J93">
        <v>3137</v>
      </c>
      <c r="K93">
        <v>633</v>
      </c>
      <c r="L93">
        <v>33431</v>
      </c>
      <c r="M93">
        <v>431354</v>
      </c>
      <c r="N93" s="33">
        <f>DATE(YEAR(A93),MONTH(A93),1)</f>
        <v>41883.0</v>
      </c>
      <c r="O93" s="36">
        <f>L93/M93</f>
        <v>0.07750246896980206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dimension ref="A1:K266"/>
  <sheetViews>
    <sheetView showGridLines="0" zoomScale="90" zoomScaleNormal="90" workbookViewId="0"/>
  </sheetViews>
  <sheetFormatPr defaultRowHeight="15"/>
  <cols>
    <col min="1" max="1" width="11.7109375" customWidth="1"/>
    <col min="2" max="2" width="12.7109375" customWidth="1"/>
    <col min="3" max="3" width="3.7109375" customWidth="1"/>
    <col min="4" max="4" width="11.7109375" customWidth="1"/>
    <col min="5" max="5" width="14.7109375" customWidth="1"/>
    <col min="6" max="6" width="40.7109375" customWidth="1"/>
    <col min="7" max="7" width="3.7109375" customWidth="1"/>
    <col min="8" max="8" width="12.7109375" customWidth="1"/>
    <col min="9" max="9" width="48.7109375" customWidth="1"/>
    <col min="10" max="10" width="3.7109375" customWidth="1"/>
    <col min="11" max="11" width="60.7109375" customWidth="1"/>
  </cols>
  <sheetData>
    <row r="1" spans="1:11">
      <c r="A1" t="s">
        <v>16</v>
      </c>
      <c r="B1" t="s">
        <v>17</v>
      </c>
      <c r="D1" s="5" t="s">
        <v>18</v>
      </c>
      <c r="E1" s="5" t="s">
        <v>19</v>
      </c>
      <c r="F1" s="5" t="s">
        <v>20</v>
      </c>
      <c r="H1" s="5" t="s">
        <v>288</v>
      </c>
      <c r="I1" s="5" t="s">
        <v>289</v>
      </c>
      <c r="K1" s="5" t="s">
        <v>298</v>
      </c>
    </row>
    <row r="2" spans="1:11">
      <c r="A2" t="s">
        <v>0</v>
      </c>
      <c r="B2" t="s">
        <v>8</v>
      </c>
      <c r="D2" s="14">
        <v>1</v>
      </c>
      <c r="E2" s="14" t="s">
        <v>21</v>
      </c>
      <c r="F2" s="14" t="s">
        <v>22</v>
      </c>
      <c r="H2" s="31">
        <v>41785</v>
      </c>
      <c r="I2" s="14" t="s">
        <v>290</v>
      </c>
      <c r="K2" s="20" t="s">
        <v>299</v>
      </c>
    </row>
    <row r="3" spans="1:11">
      <c r="A3" t="s">
        <v>1</v>
      </c>
      <c r="B3" t="s">
        <v>9</v>
      </c>
      <c r="D3" s="14">
        <v>2</v>
      </c>
      <c r="E3" s="14" t="s">
        <v>23</v>
      </c>
      <c r="F3" s="14" t="s">
        <v>24</v>
      </c>
      <c r="H3" s="31">
        <v>41824</v>
      </c>
      <c r="I3" s="14" t="s">
        <v>291</v>
      </c>
      <c r="K3" s="20" t="s">
        <v>300</v>
      </c>
    </row>
    <row r="4" spans="1:11">
      <c r="A4" t="s">
        <v>2</v>
      </c>
      <c r="B4" t="s">
        <v>10</v>
      </c>
      <c r="D4" s="14">
        <v>3</v>
      </c>
      <c r="E4" s="14" t="s">
        <v>25</v>
      </c>
      <c r="F4" s="14" t="s">
        <v>26</v>
      </c>
      <c r="H4" s="31">
        <v>41883</v>
      </c>
      <c r="I4" s="14" t="s">
        <v>292</v>
      </c>
      <c r="K4" s="20" t="s">
        <v>301</v>
      </c>
    </row>
    <row r="5" spans="1:11">
      <c r="A5" t="s">
        <v>3</v>
      </c>
      <c r="B5" t="s">
        <v>11</v>
      </c>
      <c r="D5" s="14">
        <v>4</v>
      </c>
      <c r="E5" s="14" t="s">
        <v>27</v>
      </c>
      <c r="F5" s="14" t="s">
        <v>28</v>
      </c>
      <c r="H5" s="31">
        <v>42005</v>
      </c>
      <c r="I5" s="14" t="s">
        <v>293</v>
      </c>
      <c r="K5" s="20" t="s">
        <v>302</v>
      </c>
    </row>
    <row r="6" spans="1:11">
      <c r="A6" t="s">
        <v>4</v>
      </c>
      <c r="B6" t="s">
        <v>12</v>
      </c>
      <c r="D6" s="14">
        <v>5</v>
      </c>
      <c r="E6" s="14" t="s">
        <v>29</v>
      </c>
      <c r="F6" s="14" t="s">
        <v>30</v>
      </c>
      <c r="H6" s="31">
        <v>42023</v>
      </c>
      <c r="I6" s="14" t="s">
        <v>294</v>
      </c>
    </row>
    <row r="7" spans="1:11">
      <c r="A7" t="s">
        <v>5</v>
      </c>
      <c r="B7" t="s">
        <v>13</v>
      </c>
      <c r="D7" s="14">
        <v>6</v>
      </c>
      <c r="E7" s="14" t="s">
        <v>29</v>
      </c>
      <c r="F7" s="14" t="s">
        <v>31</v>
      </c>
      <c r="H7" s="31">
        <v>42051</v>
      </c>
      <c r="I7" s="14" t="s">
        <v>295</v>
      </c>
    </row>
    <row r="8" spans="1:11">
      <c r="A8" t="s">
        <v>6</v>
      </c>
      <c r="B8" t="s">
        <v>14</v>
      </c>
      <c r="D8" s="14">
        <v>7</v>
      </c>
      <c r="E8" s="14" t="s">
        <v>23</v>
      </c>
      <c r="F8" s="14" t="s">
        <v>32</v>
      </c>
      <c r="H8" s="31">
        <v>42149</v>
      </c>
      <c r="I8" s="14" t="s">
        <v>290</v>
      </c>
    </row>
    <row r="9" spans="1:11">
      <c r="A9" t="s">
        <v>7</v>
      </c>
      <c r="B9" t="s">
        <v>15</v>
      </c>
      <c r="D9" s="14">
        <v>8</v>
      </c>
      <c r="E9" s="14" t="s">
        <v>23</v>
      </c>
      <c r="F9" s="14" t="s">
        <v>33</v>
      </c>
      <c r="H9" s="31">
        <v>42030</v>
      </c>
      <c r="I9" s="14" t="s">
        <v>296</v>
      </c>
    </row>
    <row r="10" spans="1:11">
      <c r="D10" s="14">
        <v>9</v>
      </c>
      <c r="E10" s="14" t="s">
        <v>23</v>
      </c>
      <c r="F10" s="14" t="s">
        <v>34</v>
      </c>
      <c r="H10" s="31">
        <v>42031</v>
      </c>
      <c r="I10" s="14" t="s">
        <v>297</v>
      </c>
    </row>
    <row r="11" spans="1:11">
      <c r="D11" s="14">
        <v>10</v>
      </c>
      <c r="E11" s="14" t="s">
        <v>23</v>
      </c>
      <c r="F11" s="14" t="s">
        <v>35</v>
      </c>
    </row>
    <row r="12" spans="1:11">
      <c r="D12" s="14">
        <v>11</v>
      </c>
      <c r="E12" s="14" t="s">
        <v>36</v>
      </c>
      <c r="F12" s="14" t="s">
        <v>37</v>
      </c>
    </row>
    <row r="13" spans="1:11">
      <c r="D13" s="14">
        <v>12</v>
      </c>
      <c r="E13" s="14" t="s">
        <v>27</v>
      </c>
      <c r="F13" s="14" t="s">
        <v>38</v>
      </c>
    </row>
    <row r="14" spans="1:11">
      <c r="D14" s="14">
        <v>13</v>
      </c>
      <c r="E14" s="14" t="s">
        <v>27</v>
      </c>
      <c r="F14" s="14" t="s">
        <v>39</v>
      </c>
    </row>
    <row r="15" spans="1:11">
      <c r="D15" s="14">
        <v>14</v>
      </c>
      <c r="E15" s="14" t="s">
        <v>36</v>
      </c>
      <c r="F15" s="14" t="s">
        <v>40</v>
      </c>
    </row>
    <row r="16" spans="1:11">
      <c r="D16" s="14">
        <v>15</v>
      </c>
      <c r="E16" s="14" t="s">
        <v>23</v>
      </c>
      <c r="F16" s="14" t="s">
        <v>41</v>
      </c>
    </row>
    <row r="17" spans="4:6">
      <c r="D17" s="14">
        <v>16</v>
      </c>
      <c r="E17" s="14" t="s">
        <v>23</v>
      </c>
      <c r="F17" s="14" t="s">
        <v>42</v>
      </c>
    </row>
    <row r="18" spans="4:6">
      <c r="D18" s="14">
        <v>17</v>
      </c>
      <c r="E18" s="14" t="s">
        <v>36</v>
      </c>
      <c r="F18" s="14" t="s">
        <v>43</v>
      </c>
    </row>
    <row r="19" spans="4:6">
      <c r="D19" s="14">
        <v>18</v>
      </c>
      <c r="E19" s="14" t="s">
        <v>25</v>
      </c>
      <c r="F19" s="14" t="s">
        <v>44</v>
      </c>
    </row>
    <row r="20" spans="4:6">
      <c r="D20" s="14">
        <v>19</v>
      </c>
      <c r="E20" s="14" t="s">
        <v>23</v>
      </c>
      <c r="F20" s="14" t="s">
        <v>45</v>
      </c>
    </row>
    <row r="21" spans="4:6">
      <c r="D21" s="14">
        <v>20</v>
      </c>
      <c r="E21" s="14" t="s">
        <v>25</v>
      </c>
      <c r="F21" s="14" t="s">
        <v>46</v>
      </c>
    </row>
    <row r="22" spans="4:6">
      <c r="D22" s="14">
        <v>21</v>
      </c>
      <c r="E22" s="14" t="s">
        <v>36</v>
      </c>
      <c r="F22" s="14" t="s">
        <v>47</v>
      </c>
    </row>
    <row r="23" spans="4:6">
      <c r="D23" s="14">
        <v>22</v>
      </c>
      <c r="E23" s="14" t="s">
        <v>36</v>
      </c>
      <c r="F23" s="14" t="s">
        <v>48</v>
      </c>
    </row>
    <row r="24" spans="4:6">
      <c r="D24" s="14">
        <v>23</v>
      </c>
      <c r="E24" s="14" t="s">
        <v>29</v>
      </c>
      <c r="F24" s="14" t="s">
        <v>49</v>
      </c>
    </row>
    <row r="25" spans="4:6">
      <c r="D25" s="14">
        <v>24</v>
      </c>
      <c r="E25" s="14" t="s">
        <v>27</v>
      </c>
      <c r="F25" s="14" t="s">
        <v>50</v>
      </c>
    </row>
    <row r="26" spans="4:6">
      <c r="D26" s="14">
        <v>25</v>
      </c>
      <c r="E26" s="14" t="s">
        <v>36</v>
      </c>
      <c r="F26" s="14" t="s">
        <v>51</v>
      </c>
    </row>
    <row r="27" spans="4:6">
      <c r="D27" s="14">
        <v>26</v>
      </c>
      <c r="E27" s="14" t="s">
        <v>36</v>
      </c>
      <c r="F27" s="14" t="s">
        <v>52</v>
      </c>
    </row>
    <row r="28" spans="4:6">
      <c r="D28" s="14">
        <v>27</v>
      </c>
      <c r="E28" s="14" t="s">
        <v>23</v>
      </c>
      <c r="F28" s="14" t="s">
        <v>53</v>
      </c>
    </row>
    <row r="29" spans="4:6">
      <c r="D29" s="14">
        <v>28</v>
      </c>
      <c r="E29" s="14" t="s">
        <v>23</v>
      </c>
      <c r="F29" s="14" t="s">
        <v>54</v>
      </c>
    </row>
    <row r="30" spans="4:6">
      <c r="D30" s="14">
        <v>29</v>
      </c>
      <c r="E30" s="14" t="s">
        <v>36</v>
      </c>
      <c r="F30" s="14" t="s">
        <v>55</v>
      </c>
    </row>
    <row r="31" spans="4:6">
      <c r="D31" s="14">
        <v>30</v>
      </c>
      <c r="E31" s="14" t="s">
        <v>23</v>
      </c>
      <c r="F31" s="14" t="s">
        <v>56</v>
      </c>
    </row>
    <row r="32" spans="4:6">
      <c r="D32" s="14">
        <v>31</v>
      </c>
      <c r="E32" s="14" t="s">
        <v>25</v>
      </c>
      <c r="F32" s="14" t="s">
        <v>57</v>
      </c>
    </row>
    <row r="33" spans="4:6">
      <c r="D33" s="14">
        <v>32</v>
      </c>
      <c r="E33" s="14" t="s">
        <v>25</v>
      </c>
      <c r="F33" s="14" t="s">
        <v>58</v>
      </c>
    </row>
    <row r="34" spans="4:6">
      <c r="D34" s="14">
        <v>33</v>
      </c>
      <c r="E34" s="14" t="s">
        <v>36</v>
      </c>
      <c r="F34" s="14" t="s">
        <v>59</v>
      </c>
    </row>
    <row r="35" spans="4:6">
      <c r="D35" s="14">
        <v>34</v>
      </c>
      <c r="E35" s="14" t="s">
        <v>36</v>
      </c>
      <c r="F35" s="14" t="s">
        <v>60</v>
      </c>
    </row>
    <row r="36" spans="4:6">
      <c r="D36" s="14">
        <v>35</v>
      </c>
      <c r="E36" s="14" t="s">
        <v>36</v>
      </c>
      <c r="F36" s="14" t="s">
        <v>61</v>
      </c>
    </row>
    <row r="37" spans="4:6">
      <c r="D37" s="14">
        <v>36</v>
      </c>
      <c r="E37" s="14" t="s">
        <v>36</v>
      </c>
      <c r="F37" s="14" t="s">
        <v>62</v>
      </c>
    </row>
    <row r="38" spans="4:6">
      <c r="D38" s="14">
        <v>37</v>
      </c>
      <c r="E38" s="14" t="s">
        <v>36</v>
      </c>
      <c r="F38" s="14" t="s">
        <v>63</v>
      </c>
    </row>
    <row r="39" spans="4:6">
      <c r="D39" s="14">
        <v>38</v>
      </c>
      <c r="E39" s="14" t="s">
        <v>23</v>
      </c>
      <c r="F39" s="14" t="s">
        <v>64</v>
      </c>
    </row>
    <row r="40" spans="4:6">
      <c r="D40" s="14">
        <v>39</v>
      </c>
      <c r="E40" s="14" t="s">
        <v>36</v>
      </c>
      <c r="F40" s="14" t="s">
        <v>65</v>
      </c>
    </row>
    <row r="41" spans="4:6">
      <c r="D41" s="14">
        <v>40</v>
      </c>
      <c r="E41" s="14" t="s">
        <v>36</v>
      </c>
      <c r="F41" s="14" t="s">
        <v>66</v>
      </c>
    </row>
    <row r="42" spans="4:6">
      <c r="D42" s="14">
        <v>41</v>
      </c>
      <c r="E42" s="14" t="s">
        <v>27</v>
      </c>
      <c r="F42" s="14" t="s">
        <v>67</v>
      </c>
    </row>
    <row r="43" spans="4:6">
      <c r="D43" s="14">
        <v>42</v>
      </c>
      <c r="E43" s="14" t="s">
        <v>27</v>
      </c>
      <c r="F43" s="14" t="s">
        <v>68</v>
      </c>
    </row>
    <row r="44" spans="4:6">
      <c r="D44" s="14">
        <v>43</v>
      </c>
      <c r="E44" s="14" t="s">
        <v>27</v>
      </c>
      <c r="F44" s="14" t="s">
        <v>69</v>
      </c>
    </row>
    <row r="45" spans="4:6">
      <c r="D45" s="14">
        <v>44</v>
      </c>
      <c r="E45" s="14" t="s">
        <v>29</v>
      </c>
      <c r="F45" s="14" t="s">
        <v>70</v>
      </c>
    </row>
    <row r="46" spans="4:6">
      <c r="D46" s="14">
        <v>45</v>
      </c>
      <c r="E46" s="14" t="s">
        <v>27</v>
      </c>
      <c r="F46" s="14" t="s">
        <v>71</v>
      </c>
    </row>
    <row r="47" spans="4:6">
      <c r="D47" s="14">
        <v>46</v>
      </c>
      <c r="E47" s="14" t="s">
        <v>25</v>
      </c>
      <c r="F47" s="14" t="s">
        <v>72</v>
      </c>
    </row>
    <row r="48" spans="4:6">
      <c r="D48" s="14">
        <v>47</v>
      </c>
      <c r="E48" s="14" t="s">
        <v>25</v>
      </c>
      <c r="F48" s="14" t="s">
        <v>73</v>
      </c>
    </row>
    <row r="49" spans="4:6">
      <c r="D49" s="14">
        <v>48</v>
      </c>
      <c r="E49" s="14" t="s">
        <v>27</v>
      </c>
      <c r="F49" s="14" t="s">
        <v>74</v>
      </c>
    </row>
    <row r="50" spans="4:6">
      <c r="D50" s="14">
        <v>49</v>
      </c>
      <c r="E50" s="14" t="s">
        <v>36</v>
      </c>
      <c r="F50" s="14" t="s">
        <v>75</v>
      </c>
    </row>
    <row r="51" spans="4:6">
      <c r="D51" s="14">
        <v>50</v>
      </c>
      <c r="E51" s="14" t="s">
        <v>27</v>
      </c>
      <c r="F51" s="14" t="s">
        <v>76</v>
      </c>
    </row>
    <row r="52" spans="4:6">
      <c r="D52" s="14">
        <v>51</v>
      </c>
      <c r="E52" s="14" t="s">
        <v>25</v>
      </c>
      <c r="F52" s="14" t="s">
        <v>77</v>
      </c>
    </row>
    <row r="53" spans="4:6">
      <c r="D53" s="14">
        <v>52</v>
      </c>
      <c r="E53" s="14" t="s">
        <v>36</v>
      </c>
      <c r="F53" s="14" t="s">
        <v>78</v>
      </c>
    </row>
    <row r="54" spans="4:6">
      <c r="D54" s="14">
        <v>53</v>
      </c>
      <c r="E54" s="14" t="s">
        <v>23</v>
      </c>
      <c r="F54" s="14" t="s">
        <v>79</v>
      </c>
    </row>
    <row r="55" spans="4:6">
      <c r="D55" s="14">
        <v>54</v>
      </c>
      <c r="E55" s="14" t="s">
        <v>36</v>
      </c>
      <c r="F55" s="14" t="s">
        <v>80</v>
      </c>
    </row>
    <row r="56" spans="4:6">
      <c r="D56" s="14">
        <v>55</v>
      </c>
      <c r="E56" s="14" t="s">
        <v>36</v>
      </c>
      <c r="F56" s="14" t="s">
        <v>81</v>
      </c>
    </row>
    <row r="57" spans="4:6">
      <c r="D57" s="14">
        <v>56</v>
      </c>
      <c r="E57" s="14" t="s">
        <v>23</v>
      </c>
      <c r="F57" s="14" t="s">
        <v>82</v>
      </c>
    </row>
    <row r="58" spans="4:6">
      <c r="D58" s="14">
        <v>57</v>
      </c>
      <c r="E58" s="14" t="s">
        <v>23</v>
      </c>
      <c r="F58" s="14" t="s">
        <v>82</v>
      </c>
    </row>
    <row r="59" spans="4:6">
      <c r="D59" s="14">
        <v>58</v>
      </c>
      <c r="E59" s="14" t="s">
        <v>25</v>
      </c>
      <c r="F59" s="14" t="s">
        <v>83</v>
      </c>
    </row>
    <row r="60" spans="4:6">
      <c r="D60" s="14">
        <v>59</v>
      </c>
      <c r="E60" s="14" t="s">
        <v>25</v>
      </c>
      <c r="F60" s="14" t="s">
        <v>84</v>
      </c>
    </row>
    <row r="61" spans="4:6">
      <c r="D61" s="14">
        <v>60</v>
      </c>
      <c r="E61" s="14" t="s">
        <v>25</v>
      </c>
      <c r="F61" s="14" t="s">
        <v>85</v>
      </c>
    </row>
    <row r="62" spans="4:6">
      <c r="D62" s="14">
        <v>61</v>
      </c>
      <c r="E62" s="14" t="s">
        <v>36</v>
      </c>
      <c r="F62" s="14" t="s">
        <v>86</v>
      </c>
    </row>
    <row r="63" spans="4:6">
      <c r="D63" s="14">
        <v>62</v>
      </c>
      <c r="E63" s="14" t="s">
        <v>36</v>
      </c>
      <c r="F63" s="14" t="s">
        <v>87</v>
      </c>
    </row>
    <row r="64" spans="4:6">
      <c r="D64" s="14">
        <v>63</v>
      </c>
      <c r="E64" s="14" t="s">
        <v>36</v>
      </c>
      <c r="F64" s="14" t="s">
        <v>88</v>
      </c>
    </row>
    <row r="65" spans="4:6">
      <c r="D65" s="14">
        <v>64</v>
      </c>
      <c r="E65" s="14" t="s">
        <v>23</v>
      </c>
      <c r="F65" s="14" t="s">
        <v>89</v>
      </c>
    </row>
    <row r="66" spans="4:6">
      <c r="D66" s="14">
        <v>65</v>
      </c>
      <c r="E66" s="14" t="s">
        <v>36</v>
      </c>
      <c r="F66" s="14" t="s">
        <v>90</v>
      </c>
    </row>
    <row r="67" spans="4:6">
      <c r="D67" s="14">
        <v>66</v>
      </c>
      <c r="E67" s="14" t="s">
        <v>36</v>
      </c>
      <c r="F67" s="14" t="s">
        <v>91</v>
      </c>
    </row>
    <row r="68" spans="4:6">
      <c r="D68" s="14">
        <v>67</v>
      </c>
      <c r="E68" s="14" t="s">
        <v>36</v>
      </c>
      <c r="F68" s="14" t="s">
        <v>92</v>
      </c>
    </row>
    <row r="69" spans="4:6">
      <c r="D69" s="14">
        <v>68</v>
      </c>
      <c r="E69" s="14" t="s">
        <v>27</v>
      </c>
      <c r="F69" s="14" t="s">
        <v>93</v>
      </c>
    </row>
    <row r="70" spans="4:6">
      <c r="D70" s="14">
        <v>69</v>
      </c>
      <c r="E70" s="14" t="s">
        <v>25</v>
      </c>
      <c r="F70" s="14" t="s">
        <v>94</v>
      </c>
    </row>
    <row r="71" spans="4:6">
      <c r="D71" s="14">
        <v>70</v>
      </c>
      <c r="E71" s="14" t="s">
        <v>23</v>
      </c>
      <c r="F71" s="14" t="s">
        <v>95</v>
      </c>
    </row>
    <row r="72" spans="4:6">
      <c r="D72" s="14">
        <v>71</v>
      </c>
      <c r="E72" s="14" t="s">
        <v>36</v>
      </c>
      <c r="F72" s="14" t="s">
        <v>96</v>
      </c>
    </row>
    <row r="73" spans="4:6">
      <c r="D73" s="14">
        <v>72</v>
      </c>
      <c r="E73" s="14" t="s">
        <v>36</v>
      </c>
      <c r="F73" s="14" t="s">
        <v>97</v>
      </c>
    </row>
    <row r="74" spans="4:6">
      <c r="D74" s="14">
        <v>73</v>
      </c>
      <c r="E74" s="14" t="s">
        <v>23</v>
      </c>
      <c r="F74" s="14" t="s">
        <v>98</v>
      </c>
    </row>
    <row r="75" spans="4:6">
      <c r="D75" s="14">
        <v>74</v>
      </c>
      <c r="E75" s="14" t="s">
        <v>27</v>
      </c>
      <c r="F75" s="14" t="s">
        <v>99</v>
      </c>
    </row>
    <row r="76" spans="4:6">
      <c r="D76" s="14">
        <v>75</v>
      </c>
      <c r="E76" s="14" t="s">
        <v>27</v>
      </c>
      <c r="F76" s="14" t="s">
        <v>100</v>
      </c>
    </row>
    <row r="77" spans="4:6">
      <c r="D77" s="14">
        <v>76</v>
      </c>
      <c r="E77" s="14" t="s">
        <v>36</v>
      </c>
      <c r="F77" s="14" t="s">
        <v>101</v>
      </c>
    </row>
    <row r="78" spans="4:6">
      <c r="D78" s="14">
        <v>77</v>
      </c>
      <c r="E78" s="14" t="s">
        <v>36</v>
      </c>
      <c r="F78" s="14" t="s">
        <v>102</v>
      </c>
    </row>
    <row r="79" spans="4:6">
      <c r="D79" s="14">
        <v>78</v>
      </c>
      <c r="E79" s="14" t="s">
        <v>25</v>
      </c>
      <c r="F79" s="14" t="s">
        <v>103</v>
      </c>
    </row>
    <row r="80" spans="4:6">
      <c r="D80" s="14">
        <v>79</v>
      </c>
      <c r="E80" s="14" t="s">
        <v>27</v>
      </c>
      <c r="F80" s="14" t="s">
        <v>104</v>
      </c>
    </row>
    <row r="81" spans="4:6">
      <c r="D81" s="14">
        <v>80</v>
      </c>
      <c r="E81" s="14" t="s">
        <v>36</v>
      </c>
      <c r="F81" s="14" t="s">
        <v>105</v>
      </c>
    </row>
    <row r="82" spans="4:6">
      <c r="D82" s="14">
        <v>81</v>
      </c>
      <c r="E82" s="14" t="s">
        <v>25</v>
      </c>
      <c r="F82" s="14" t="s">
        <v>106</v>
      </c>
    </row>
    <row r="83" spans="4:6">
      <c r="D83" s="14">
        <v>82</v>
      </c>
      <c r="E83" s="14" t="s">
        <v>23</v>
      </c>
      <c r="F83" s="14" t="s">
        <v>107</v>
      </c>
    </row>
    <row r="84" spans="4:6">
      <c r="D84" s="14">
        <v>83</v>
      </c>
      <c r="E84" s="14" t="s">
        <v>23</v>
      </c>
      <c r="F84" s="14" t="s">
        <v>108</v>
      </c>
    </row>
    <row r="85" spans="4:6">
      <c r="D85" s="14">
        <v>84</v>
      </c>
      <c r="E85" s="14" t="s">
        <v>29</v>
      </c>
      <c r="F85" s="14" t="s">
        <v>109</v>
      </c>
    </row>
    <row r="86" spans="4:6">
      <c r="D86" s="14">
        <v>85</v>
      </c>
      <c r="E86" s="14" t="s">
        <v>36</v>
      </c>
      <c r="F86" s="14" t="s">
        <v>110</v>
      </c>
    </row>
    <row r="87" spans="4:6">
      <c r="D87" s="14">
        <v>86</v>
      </c>
      <c r="E87" s="14" t="s">
        <v>23</v>
      </c>
      <c r="F87" s="14" t="s">
        <v>111</v>
      </c>
    </row>
    <row r="88" spans="4:6">
      <c r="D88" s="14">
        <v>87</v>
      </c>
      <c r="E88" s="14" t="s">
        <v>27</v>
      </c>
      <c r="F88" s="14" t="s">
        <v>112</v>
      </c>
    </row>
    <row r="89" spans="4:6">
      <c r="D89" s="14">
        <v>88</v>
      </c>
      <c r="E89" s="14" t="s">
        <v>27</v>
      </c>
      <c r="F89" s="14" t="s">
        <v>113</v>
      </c>
    </row>
    <row r="90" spans="4:6">
      <c r="D90" s="14">
        <v>89</v>
      </c>
      <c r="E90" s="14" t="s">
        <v>36</v>
      </c>
      <c r="F90" s="14" t="s">
        <v>114</v>
      </c>
    </row>
    <row r="91" spans="4:6">
      <c r="D91" s="14">
        <v>90</v>
      </c>
      <c r="E91" s="14" t="s">
        <v>27</v>
      </c>
      <c r="F91" s="14" t="s">
        <v>115</v>
      </c>
    </row>
    <row r="92" spans="4:6">
      <c r="D92" s="14">
        <v>91</v>
      </c>
      <c r="E92" s="14" t="s">
        <v>36</v>
      </c>
      <c r="F92" s="14" t="s">
        <v>116</v>
      </c>
    </row>
    <row r="93" spans="4:6">
      <c r="D93" s="14">
        <v>92</v>
      </c>
      <c r="E93" s="14" t="s">
        <v>23</v>
      </c>
      <c r="F93" s="14" t="s">
        <v>117</v>
      </c>
    </row>
    <row r="94" spans="4:6">
      <c r="D94" s="14">
        <v>93</v>
      </c>
      <c r="E94" s="14" t="s">
        <v>23</v>
      </c>
      <c r="F94" s="14" t="s">
        <v>118</v>
      </c>
    </row>
    <row r="95" spans="4:6">
      <c r="D95" s="14">
        <v>94</v>
      </c>
      <c r="E95" s="14" t="s">
        <v>25</v>
      </c>
      <c r="F95" s="14" t="s">
        <v>119</v>
      </c>
    </row>
    <row r="96" spans="4:6">
      <c r="D96" s="14">
        <v>95</v>
      </c>
      <c r="E96" s="14" t="s">
        <v>23</v>
      </c>
      <c r="F96" s="14" t="s">
        <v>120</v>
      </c>
    </row>
    <row r="97" spans="4:6">
      <c r="D97" s="14">
        <v>96</v>
      </c>
      <c r="E97" s="14" t="s">
        <v>23</v>
      </c>
      <c r="F97" s="14" t="s">
        <v>121</v>
      </c>
    </row>
    <row r="98" spans="4:6">
      <c r="D98" s="14">
        <v>97</v>
      </c>
      <c r="E98" s="14" t="s">
        <v>36</v>
      </c>
      <c r="F98" s="14" t="s">
        <v>122</v>
      </c>
    </row>
    <row r="99" spans="4:6">
      <c r="D99" s="14">
        <v>98</v>
      </c>
      <c r="E99" s="14" t="s">
        <v>23</v>
      </c>
      <c r="F99" s="14" t="s">
        <v>123</v>
      </c>
    </row>
    <row r="100" spans="4:6">
      <c r="D100" s="14">
        <v>99</v>
      </c>
      <c r="E100" s="14" t="s">
        <v>29</v>
      </c>
      <c r="F100" s="14" t="s">
        <v>124</v>
      </c>
    </row>
    <row r="101" spans="4:6">
      <c r="D101" s="14">
        <v>100</v>
      </c>
      <c r="E101" s="14" t="s">
        <v>27</v>
      </c>
      <c r="F101" s="14" t="s">
        <v>125</v>
      </c>
    </row>
    <row r="102" spans="4:6">
      <c r="D102" s="14">
        <v>101</v>
      </c>
      <c r="E102" s="14" t="s">
        <v>23</v>
      </c>
      <c r="F102" s="14" t="s">
        <v>126</v>
      </c>
    </row>
    <row r="103" spans="4:6">
      <c r="D103" s="14">
        <v>102</v>
      </c>
      <c r="E103" s="14" t="s">
        <v>23</v>
      </c>
      <c r="F103" s="14" t="s">
        <v>127</v>
      </c>
    </row>
    <row r="104" spans="4:6">
      <c r="D104" s="14">
        <v>103</v>
      </c>
      <c r="E104" s="14" t="s">
        <v>27</v>
      </c>
      <c r="F104" s="14" t="s">
        <v>128</v>
      </c>
    </row>
    <row r="105" spans="4:6">
      <c r="D105" s="14">
        <v>104</v>
      </c>
      <c r="E105" s="14" t="s">
        <v>27</v>
      </c>
      <c r="F105" s="14" t="s">
        <v>128</v>
      </c>
    </row>
    <row r="106" spans="4:6">
      <c r="D106" s="14">
        <v>105</v>
      </c>
      <c r="E106" s="14" t="s">
        <v>27</v>
      </c>
      <c r="F106" s="14" t="s">
        <v>128</v>
      </c>
    </row>
    <row r="107" spans="4:6">
      <c r="D107" s="14">
        <v>106</v>
      </c>
      <c r="E107" s="14" t="s">
        <v>36</v>
      </c>
      <c r="F107" s="14" t="s">
        <v>129</v>
      </c>
    </row>
    <row r="108" spans="4:6">
      <c r="D108" s="14">
        <v>107</v>
      </c>
      <c r="E108" s="14" t="s">
        <v>27</v>
      </c>
      <c r="F108" s="14" t="s">
        <v>130</v>
      </c>
    </row>
    <row r="109" spans="4:6">
      <c r="D109" s="14">
        <v>108</v>
      </c>
      <c r="E109" s="14" t="s">
        <v>36</v>
      </c>
      <c r="F109" s="14" t="s">
        <v>131</v>
      </c>
    </row>
    <row r="110" spans="4:6">
      <c r="D110" s="14">
        <v>109</v>
      </c>
      <c r="E110" s="14" t="s">
        <v>29</v>
      </c>
      <c r="F110" s="14" t="s">
        <v>132</v>
      </c>
    </row>
    <row r="111" spans="4:6">
      <c r="D111" s="14">
        <v>110</v>
      </c>
      <c r="E111" s="14" t="s">
        <v>29</v>
      </c>
      <c r="F111" s="14" t="s">
        <v>133</v>
      </c>
    </row>
    <row r="112" spans="4:6">
      <c r="D112" s="14">
        <v>111</v>
      </c>
      <c r="E112" s="14" t="s">
        <v>36</v>
      </c>
      <c r="F112" s="14" t="s">
        <v>134</v>
      </c>
    </row>
    <row r="113" spans="4:6">
      <c r="D113" s="14">
        <v>112</v>
      </c>
      <c r="E113" s="14" t="s">
        <v>36</v>
      </c>
      <c r="F113" s="14" t="s">
        <v>135</v>
      </c>
    </row>
    <row r="114" spans="4:6">
      <c r="D114" s="14">
        <v>113</v>
      </c>
      <c r="E114" s="14" t="s">
        <v>27</v>
      </c>
      <c r="F114" s="14" t="s">
        <v>136</v>
      </c>
    </row>
    <row r="115" spans="4:6">
      <c r="D115" s="14">
        <v>114</v>
      </c>
      <c r="E115" s="14" t="s">
        <v>27</v>
      </c>
      <c r="F115" s="14" t="s">
        <v>137</v>
      </c>
    </row>
    <row r="116" spans="4:6">
      <c r="D116" s="14">
        <v>115</v>
      </c>
      <c r="E116" s="14" t="s">
        <v>29</v>
      </c>
      <c r="F116" s="14" t="s">
        <v>138</v>
      </c>
    </row>
    <row r="117" spans="4:6">
      <c r="D117" s="14">
        <v>116</v>
      </c>
      <c r="E117" s="14" t="s">
        <v>27</v>
      </c>
      <c r="F117" s="14" t="s">
        <v>139</v>
      </c>
    </row>
    <row r="118" spans="4:6">
      <c r="D118" s="14">
        <v>117</v>
      </c>
      <c r="E118" s="14" t="s">
        <v>23</v>
      </c>
      <c r="F118" s="14" t="s">
        <v>140</v>
      </c>
    </row>
    <row r="119" spans="4:6">
      <c r="D119" s="14">
        <v>118</v>
      </c>
      <c r="E119" s="14" t="s">
        <v>29</v>
      </c>
      <c r="F119" s="14" t="s">
        <v>141</v>
      </c>
    </row>
    <row r="120" spans="4:6">
      <c r="D120" s="14">
        <v>119</v>
      </c>
      <c r="E120" s="14" t="s">
        <v>25</v>
      </c>
      <c r="F120" s="14" t="s">
        <v>142</v>
      </c>
    </row>
    <row r="121" spans="4:6">
      <c r="D121" s="14">
        <v>120</v>
      </c>
      <c r="E121" s="14" t="s">
        <v>27</v>
      </c>
      <c r="F121" s="14" t="s">
        <v>143</v>
      </c>
    </row>
    <row r="122" spans="4:6">
      <c r="D122" s="14">
        <v>121</v>
      </c>
      <c r="E122" s="14" t="s">
        <v>23</v>
      </c>
      <c r="F122" s="14" t="s">
        <v>144</v>
      </c>
    </row>
    <row r="123" spans="4:6">
      <c r="D123" s="14">
        <v>122</v>
      </c>
      <c r="E123" s="14" t="s">
        <v>23</v>
      </c>
      <c r="F123" s="14" t="s">
        <v>145</v>
      </c>
    </row>
    <row r="124" spans="4:6">
      <c r="D124" s="14">
        <v>123</v>
      </c>
      <c r="E124" s="14" t="s">
        <v>36</v>
      </c>
      <c r="F124" s="14" t="s">
        <v>146</v>
      </c>
    </row>
    <row r="125" spans="4:6">
      <c r="D125" s="14">
        <v>124</v>
      </c>
      <c r="E125" s="14" t="s">
        <v>23</v>
      </c>
      <c r="F125" s="14" t="s">
        <v>147</v>
      </c>
    </row>
    <row r="126" spans="4:6">
      <c r="D126" s="14">
        <v>125</v>
      </c>
      <c r="E126" s="14" t="s">
        <v>27</v>
      </c>
      <c r="F126" s="14" t="s">
        <v>148</v>
      </c>
    </row>
    <row r="127" spans="4:6">
      <c r="D127" s="14">
        <v>126</v>
      </c>
      <c r="E127" s="14" t="s">
        <v>25</v>
      </c>
      <c r="F127" s="14" t="s">
        <v>149</v>
      </c>
    </row>
    <row r="128" spans="4:6">
      <c r="D128" s="14">
        <v>127</v>
      </c>
      <c r="E128" s="14" t="s">
        <v>27</v>
      </c>
      <c r="F128" s="14" t="s">
        <v>150</v>
      </c>
    </row>
    <row r="129" spans="4:6">
      <c r="D129" s="14">
        <v>128</v>
      </c>
      <c r="E129" s="14" t="s">
        <v>27</v>
      </c>
      <c r="F129" s="14" t="s">
        <v>151</v>
      </c>
    </row>
    <row r="130" spans="4:6">
      <c r="D130" s="14">
        <v>129</v>
      </c>
      <c r="E130" s="14" t="s">
        <v>23</v>
      </c>
      <c r="F130" s="14" t="s">
        <v>152</v>
      </c>
    </row>
    <row r="131" spans="4:6">
      <c r="D131" s="14">
        <v>130</v>
      </c>
      <c r="E131" s="14" t="s">
        <v>23</v>
      </c>
      <c r="F131" s="14" t="s">
        <v>153</v>
      </c>
    </row>
    <row r="132" spans="4:6">
      <c r="D132" s="14">
        <v>131</v>
      </c>
      <c r="E132" s="14" t="s">
        <v>23</v>
      </c>
      <c r="F132" s="14" t="s">
        <v>154</v>
      </c>
    </row>
    <row r="133" spans="4:6">
      <c r="D133" s="14">
        <v>132</v>
      </c>
      <c r="E133" s="14" t="s">
        <v>23</v>
      </c>
      <c r="F133" s="14" t="s">
        <v>155</v>
      </c>
    </row>
    <row r="134" spans="4:6">
      <c r="D134" s="14">
        <v>133</v>
      </c>
      <c r="E134" s="14" t="s">
        <v>36</v>
      </c>
      <c r="F134" s="14" t="s">
        <v>156</v>
      </c>
    </row>
    <row r="135" spans="4:6">
      <c r="D135" s="14">
        <v>134</v>
      </c>
      <c r="E135" s="14" t="s">
        <v>23</v>
      </c>
      <c r="F135" s="14" t="s">
        <v>157</v>
      </c>
    </row>
    <row r="136" spans="4:6">
      <c r="D136" s="14">
        <v>135</v>
      </c>
      <c r="E136" s="14" t="s">
        <v>23</v>
      </c>
      <c r="F136" s="14" t="s">
        <v>158</v>
      </c>
    </row>
    <row r="137" spans="4:6">
      <c r="D137" s="14">
        <v>136</v>
      </c>
      <c r="E137" s="14" t="s">
        <v>25</v>
      </c>
      <c r="F137" s="14" t="s">
        <v>159</v>
      </c>
    </row>
    <row r="138" spans="4:6">
      <c r="D138" s="14">
        <v>137</v>
      </c>
      <c r="E138" s="14" t="s">
        <v>27</v>
      </c>
      <c r="F138" s="14" t="s">
        <v>160</v>
      </c>
    </row>
    <row r="139" spans="4:6">
      <c r="D139" s="14">
        <v>138</v>
      </c>
      <c r="E139" s="14" t="s">
        <v>23</v>
      </c>
      <c r="F139" s="14" t="s">
        <v>161</v>
      </c>
    </row>
    <row r="140" spans="4:6">
      <c r="D140" s="14">
        <v>139</v>
      </c>
      <c r="E140" s="14" t="s">
        <v>23</v>
      </c>
      <c r="F140" s="14" t="s">
        <v>162</v>
      </c>
    </row>
    <row r="141" spans="4:6">
      <c r="D141" s="14">
        <v>140</v>
      </c>
      <c r="E141" s="14" t="s">
        <v>27</v>
      </c>
      <c r="F141" s="14" t="s">
        <v>163</v>
      </c>
    </row>
    <row r="142" spans="4:6">
      <c r="D142" s="14">
        <v>141</v>
      </c>
      <c r="E142" s="14" t="s">
        <v>27</v>
      </c>
      <c r="F142" s="14" t="s">
        <v>164</v>
      </c>
    </row>
    <row r="143" spans="4:6">
      <c r="D143" s="14">
        <v>142</v>
      </c>
      <c r="E143" s="14" t="s">
        <v>27</v>
      </c>
      <c r="F143" s="14" t="s">
        <v>165</v>
      </c>
    </row>
    <row r="144" spans="4:6">
      <c r="D144" s="14">
        <v>143</v>
      </c>
      <c r="E144" s="14" t="s">
        <v>27</v>
      </c>
      <c r="F144" s="14" t="s">
        <v>166</v>
      </c>
    </row>
    <row r="145" spans="4:6">
      <c r="D145" s="14">
        <v>144</v>
      </c>
      <c r="E145" s="14" t="s">
        <v>27</v>
      </c>
      <c r="F145" s="14" t="s">
        <v>167</v>
      </c>
    </row>
    <row r="146" spans="4:6">
      <c r="D146" s="14">
        <v>145</v>
      </c>
      <c r="E146" s="14" t="s">
        <v>23</v>
      </c>
      <c r="F146" s="14" t="s">
        <v>168</v>
      </c>
    </row>
    <row r="147" spans="4:6">
      <c r="D147" s="14">
        <v>146</v>
      </c>
      <c r="E147" s="14" t="s">
        <v>23</v>
      </c>
      <c r="F147" s="14" t="s">
        <v>169</v>
      </c>
    </row>
    <row r="148" spans="4:6">
      <c r="D148" s="14">
        <v>147</v>
      </c>
      <c r="E148" s="14" t="s">
        <v>25</v>
      </c>
      <c r="F148" s="14" t="s">
        <v>170</v>
      </c>
    </row>
    <row r="149" spans="4:6">
      <c r="D149" s="14">
        <v>148</v>
      </c>
      <c r="E149" s="14" t="s">
        <v>27</v>
      </c>
      <c r="F149" s="14" t="s">
        <v>171</v>
      </c>
    </row>
    <row r="150" spans="4:6">
      <c r="D150" s="14">
        <v>149</v>
      </c>
      <c r="E150" s="14" t="s">
        <v>36</v>
      </c>
      <c r="F150" s="14" t="s">
        <v>172</v>
      </c>
    </row>
    <row r="151" spans="4:6">
      <c r="D151" s="14">
        <v>150</v>
      </c>
      <c r="E151" s="14" t="s">
        <v>36</v>
      </c>
      <c r="F151" s="14" t="s">
        <v>173</v>
      </c>
    </row>
    <row r="152" spans="4:6">
      <c r="D152" s="14">
        <v>151</v>
      </c>
      <c r="E152" s="14" t="s">
        <v>27</v>
      </c>
      <c r="F152" s="14" t="s">
        <v>174</v>
      </c>
    </row>
    <row r="153" spans="4:6">
      <c r="D153" s="14">
        <v>152</v>
      </c>
      <c r="E153" s="14" t="s">
        <v>27</v>
      </c>
      <c r="F153" s="14" t="s">
        <v>175</v>
      </c>
    </row>
    <row r="154" spans="4:6">
      <c r="D154" s="14">
        <v>153</v>
      </c>
      <c r="E154" s="14" t="s">
        <v>27</v>
      </c>
      <c r="F154" s="14" t="s">
        <v>176</v>
      </c>
    </row>
    <row r="155" spans="4:6">
      <c r="D155" s="14">
        <v>154</v>
      </c>
      <c r="E155" s="14" t="s">
        <v>36</v>
      </c>
      <c r="F155" s="14" t="s">
        <v>177</v>
      </c>
    </row>
    <row r="156" spans="4:6">
      <c r="D156" s="14">
        <v>155</v>
      </c>
      <c r="E156" s="14" t="s">
        <v>36</v>
      </c>
      <c r="F156" s="14" t="s">
        <v>178</v>
      </c>
    </row>
    <row r="157" spans="4:6">
      <c r="D157" s="14">
        <v>156</v>
      </c>
      <c r="E157" s="14" t="s">
        <v>29</v>
      </c>
      <c r="F157" s="14" t="s">
        <v>179</v>
      </c>
    </row>
    <row r="158" spans="4:6">
      <c r="D158" s="14">
        <v>157</v>
      </c>
      <c r="E158" s="14" t="s">
        <v>23</v>
      </c>
      <c r="F158" s="14" t="s">
        <v>180</v>
      </c>
    </row>
    <row r="159" spans="4:6">
      <c r="D159" s="14">
        <v>158</v>
      </c>
      <c r="E159" s="14" t="s">
        <v>27</v>
      </c>
      <c r="F159" s="14" t="s">
        <v>181</v>
      </c>
    </row>
    <row r="160" spans="4:6">
      <c r="D160" s="14">
        <v>159</v>
      </c>
      <c r="E160" s="14" t="s">
        <v>25</v>
      </c>
      <c r="F160" s="14" t="s">
        <v>182</v>
      </c>
    </row>
    <row r="161" spans="4:6">
      <c r="D161" s="14">
        <v>160</v>
      </c>
      <c r="E161" s="14" t="s">
        <v>23</v>
      </c>
      <c r="F161" s="14" t="s">
        <v>183</v>
      </c>
    </row>
    <row r="162" spans="4:6">
      <c r="D162" s="14">
        <v>161</v>
      </c>
      <c r="E162" s="14" t="s">
        <v>27</v>
      </c>
      <c r="F162" s="14" t="s">
        <v>184</v>
      </c>
    </row>
    <row r="163" spans="4:6">
      <c r="D163" s="14">
        <v>162</v>
      </c>
      <c r="E163" s="14" t="s">
        <v>27</v>
      </c>
      <c r="F163" s="14" t="s">
        <v>185</v>
      </c>
    </row>
    <row r="164" spans="4:6">
      <c r="D164" s="14">
        <v>163</v>
      </c>
      <c r="E164" s="14" t="s">
        <v>27</v>
      </c>
      <c r="F164" s="14" t="s">
        <v>186</v>
      </c>
    </row>
    <row r="165" spans="4:6">
      <c r="D165" s="14">
        <v>164</v>
      </c>
      <c r="E165" s="14" t="s">
        <v>27</v>
      </c>
      <c r="F165" s="14" t="s">
        <v>187</v>
      </c>
    </row>
    <row r="166" spans="4:6">
      <c r="D166" s="14">
        <v>165</v>
      </c>
      <c r="E166" s="14" t="s">
        <v>36</v>
      </c>
      <c r="F166" s="14" t="s">
        <v>188</v>
      </c>
    </row>
    <row r="167" spans="4:6">
      <c r="D167" s="14">
        <v>166</v>
      </c>
      <c r="E167" s="14" t="s">
        <v>27</v>
      </c>
      <c r="F167" s="14" t="s">
        <v>189</v>
      </c>
    </row>
    <row r="168" spans="4:6">
      <c r="D168" s="14">
        <v>167</v>
      </c>
      <c r="E168" s="14" t="s">
        <v>25</v>
      </c>
      <c r="F168" s="14" t="s">
        <v>190</v>
      </c>
    </row>
    <row r="169" spans="4:6">
      <c r="D169" s="14">
        <v>168</v>
      </c>
      <c r="E169" s="14" t="s">
        <v>25</v>
      </c>
      <c r="F169" s="14" t="s">
        <v>191</v>
      </c>
    </row>
    <row r="170" spans="4:6">
      <c r="D170" s="14">
        <v>169</v>
      </c>
      <c r="E170" s="14" t="s">
        <v>25</v>
      </c>
      <c r="F170" s="14" t="s">
        <v>192</v>
      </c>
    </row>
    <row r="171" spans="4:6">
      <c r="D171" s="14">
        <v>170</v>
      </c>
      <c r="E171" s="14" t="s">
        <v>27</v>
      </c>
      <c r="F171" s="14" t="s">
        <v>193</v>
      </c>
    </row>
    <row r="172" spans="4:6">
      <c r="D172" s="14">
        <v>171</v>
      </c>
      <c r="E172" s="14" t="s">
        <v>23</v>
      </c>
      <c r="F172" s="14" t="s">
        <v>194</v>
      </c>
    </row>
    <row r="173" spans="4:6">
      <c r="D173" s="14">
        <v>172</v>
      </c>
      <c r="E173" s="14" t="s">
        <v>29</v>
      </c>
      <c r="F173" s="14" t="s">
        <v>195</v>
      </c>
    </row>
    <row r="174" spans="4:6">
      <c r="D174" s="14">
        <v>173</v>
      </c>
      <c r="E174" s="14" t="s">
        <v>23</v>
      </c>
      <c r="F174" s="14" t="s">
        <v>196</v>
      </c>
    </row>
    <row r="175" spans="4:6">
      <c r="D175" s="14">
        <v>174</v>
      </c>
      <c r="E175" s="14" t="s">
        <v>25</v>
      </c>
      <c r="F175" s="14" t="s">
        <v>197</v>
      </c>
    </row>
    <row r="176" spans="4:6">
      <c r="D176" s="14">
        <v>175</v>
      </c>
      <c r="E176" s="14" t="s">
        <v>23</v>
      </c>
      <c r="F176" s="14" t="s">
        <v>198</v>
      </c>
    </row>
    <row r="177" spans="4:6">
      <c r="D177" s="14">
        <v>176</v>
      </c>
      <c r="E177" s="14" t="s">
        <v>29</v>
      </c>
      <c r="F177" s="14" t="s">
        <v>199</v>
      </c>
    </row>
    <row r="178" spans="4:6">
      <c r="D178" s="14">
        <v>177</v>
      </c>
      <c r="E178" s="14" t="s">
        <v>36</v>
      </c>
      <c r="F178" s="14" t="s">
        <v>200</v>
      </c>
    </row>
    <row r="179" spans="4:6">
      <c r="D179" s="14">
        <v>178</v>
      </c>
      <c r="E179" s="14" t="s">
        <v>36</v>
      </c>
      <c r="F179" s="14" t="s">
        <v>201</v>
      </c>
    </row>
    <row r="180" spans="4:6">
      <c r="D180" s="14">
        <v>179</v>
      </c>
      <c r="E180" s="14" t="s">
        <v>23</v>
      </c>
      <c r="F180" s="14" t="s">
        <v>202</v>
      </c>
    </row>
    <row r="181" spans="4:6">
      <c r="D181" s="14">
        <v>180</v>
      </c>
      <c r="E181" s="14" t="s">
        <v>23</v>
      </c>
      <c r="F181" s="14" t="s">
        <v>203</v>
      </c>
    </row>
    <row r="182" spans="4:6">
      <c r="D182" s="14">
        <v>181</v>
      </c>
      <c r="E182" s="14" t="s">
        <v>36</v>
      </c>
      <c r="F182" s="14" t="s">
        <v>204</v>
      </c>
    </row>
    <row r="183" spans="4:6">
      <c r="D183" s="14">
        <v>182</v>
      </c>
      <c r="E183" s="14" t="s">
        <v>25</v>
      </c>
      <c r="F183" s="14" t="s">
        <v>205</v>
      </c>
    </row>
    <row r="184" spans="4:6">
      <c r="D184" s="14">
        <v>183</v>
      </c>
      <c r="E184" s="14" t="s">
        <v>25</v>
      </c>
      <c r="F184" s="14" t="s">
        <v>206</v>
      </c>
    </row>
    <row r="185" spans="4:6">
      <c r="D185" s="14">
        <v>184</v>
      </c>
      <c r="E185" s="14" t="s">
        <v>25</v>
      </c>
      <c r="F185" s="14" t="s">
        <v>207</v>
      </c>
    </row>
    <row r="186" spans="4:6">
      <c r="D186" s="14">
        <v>185</v>
      </c>
      <c r="E186" s="14" t="s">
        <v>25</v>
      </c>
      <c r="F186" s="14" t="s">
        <v>208</v>
      </c>
    </row>
    <row r="187" spans="4:6">
      <c r="D187" s="14">
        <v>186</v>
      </c>
      <c r="E187" s="14" t="s">
        <v>27</v>
      </c>
      <c r="F187" s="14" t="s">
        <v>209</v>
      </c>
    </row>
    <row r="188" spans="4:6">
      <c r="D188" s="14">
        <v>187</v>
      </c>
      <c r="E188" s="14" t="s">
        <v>29</v>
      </c>
      <c r="F188" s="14" t="s">
        <v>210</v>
      </c>
    </row>
    <row r="189" spans="4:6">
      <c r="D189" s="14">
        <v>188</v>
      </c>
      <c r="E189" s="14" t="s">
        <v>36</v>
      </c>
      <c r="F189" s="14" t="s">
        <v>211</v>
      </c>
    </row>
    <row r="190" spans="4:6">
      <c r="D190" s="14">
        <v>189</v>
      </c>
      <c r="E190" s="14" t="s">
        <v>36</v>
      </c>
      <c r="F190" s="14" t="s">
        <v>212</v>
      </c>
    </row>
    <row r="191" spans="4:6">
      <c r="D191" s="14">
        <v>190</v>
      </c>
      <c r="E191" s="14" t="s">
        <v>36</v>
      </c>
      <c r="F191" s="14" t="s">
        <v>213</v>
      </c>
    </row>
    <row r="192" spans="4:6">
      <c r="D192" s="14">
        <v>191</v>
      </c>
      <c r="E192" s="14" t="s">
        <v>23</v>
      </c>
      <c r="F192" s="14" t="s">
        <v>214</v>
      </c>
    </row>
    <row r="193" spans="4:6">
      <c r="D193" s="14">
        <v>192</v>
      </c>
      <c r="E193" s="14" t="s">
        <v>23</v>
      </c>
      <c r="F193" s="14" t="s">
        <v>215</v>
      </c>
    </row>
    <row r="194" spans="4:6">
      <c r="D194" s="14">
        <v>193</v>
      </c>
      <c r="E194" s="14" t="s">
        <v>23</v>
      </c>
      <c r="F194" s="14" t="s">
        <v>216</v>
      </c>
    </row>
    <row r="195" spans="4:6">
      <c r="D195" s="14">
        <v>194</v>
      </c>
      <c r="E195" s="14" t="s">
        <v>27</v>
      </c>
      <c r="F195" s="14" t="s">
        <v>217</v>
      </c>
    </row>
    <row r="196" spans="4:6">
      <c r="D196" s="14">
        <v>195</v>
      </c>
      <c r="E196" s="14" t="s">
        <v>36</v>
      </c>
      <c r="F196" s="14" t="s">
        <v>218</v>
      </c>
    </row>
    <row r="197" spans="4:6">
      <c r="D197" s="14">
        <v>196</v>
      </c>
      <c r="E197" s="14" t="s">
        <v>23</v>
      </c>
      <c r="F197" s="14" t="s">
        <v>219</v>
      </c>
    </row>
    <row r="198" spans="4:6">
      <c r="D198" s="14">
        <v>197</v>
      </c>
      <c r="E198" s="14" t="s">
        <v>23</v>
      </c>
      <c r="F198" s="14" t="s">
        <v>220</v>
      </c>
    </row>
    <row r="199" spans="4:6">
      <c r="D199" s="14">
        <v>198</v>
      </c>
      <c r="E199" s="14" t="s">
        <v>23</v>
      </c>
      <c r="F199" s="14" t="s">
        <v>221</v>
      </c>
    </row>
    <row r="200" spans="4:6">
      <c r="D200" s="14">
        <v>199</v>
      </c>
      <c r="E200" s="14" t="s">
        <v>25</v>
      </c>
      <c r="F200" s="14" t="s">
        <v>222</v>
      </c>
    </row>
    <row r="201" spans="4:6">
      <c r="D201" s="14">
        <v>200</v>
      </c>
      <c r="E201" s="14" t="s">
        <v>25</v>
      </c>
      <c r="F201" s="14" t="s">
        <v>223</v>
      </c>
    </row>
    <row r="202" spans="4:6">
      <c r="D202" s="14">
        <v>201</v>
      </c>
      <c r="E202" s="14" t="s">
        <v>23</v>
      </c>
      <c r="F202" s="14" t="s">
        <v>224</v>
      </c>
    </row>
    <row r="203" spans="4:6">
      <c r="D203" s="14">
        <v>202</v>
      </c>
      <c r="E203" s="14" t="s">
        <v>27</v>
      </c>
      <c r="F203" s="14" t="s">
        <v>225</v>
      </c>
    </row>
    <row r="204" spans="4:6">
      <c r="D204" s="14">
        <v>203</v>
      </c>
      <c r="E204" s="14" t="s">
        <v>23</v>
      </c>
      <c r="F204" s="14" t="s">
        <v>226</v>
      </c>
    </row>
    <row r="205" spans="4:6">
      <c r="D205" s="14">
        <v>204</v>
      </c>
      <c r="E205" s="14" t="s">
        <v>29</v>
      </c>
      <c r="F205" s="14" t="s">
        <v>227</v>
      </c>
    </row>
    <row r="206" spans="4:6">
      <c r="D206" s="14">
        <v>205</v>
      </c>
      <c r="E206" s="14" t="s">
        <v>23</v>
      </c>
      <c r="F206" s="14" t="s">
        <v>228</v>
      </c>
    </row>
    <row r="207" spans="4:6">
      <c r="D207" s="14">
        <v>206</v>
      </c>
      <c r="E207" s="14" t="s">
        <v>29</v>
      </c>
      <c r="F207" s="14" t="s">
        <v>229</v>
      </c>
    </row>
    <row r="208" spans="4:6">
      <c r="D208" s="14">
        <v>207</v>
      </c>
      <c r="E208" s="14" t="s">
        <v>23</v>
      </c>
      <c r="F208" s="14" t="s">
        <v>230</v>
      </c>
    </row>
    <row r="209" spans="4:6">
      <c r="D209" s="14">
        <v>208</v>
      </c>
      <c r="E209" s="14" t="s">
        <v>25</v>
      </c>
      <c r="F209" s="14" t="s">
        <v>231</v>
      </c>
    </row>
    <row r="210" spans="4:6">
      <c r="D210" s="14">
        <v>209</v>
      </c>
      <c r="E210" s="14" t="s">
        <v>27</v>
      </c>
      <c r="F210" s="14" t="s">
        <v>232</v>
      </c>
    </row>
    <row r="211" spans="4:6">
      <c r="D211" s="14">
        <v>210</v>
      </c>
      <c r="E211" s="14" t="s">
        <v>36</v>
      </c>
      <c r="F211" s="14" t="s">
        <v>233</v>
      </c>
    </row>
    <row r="212" spans="4:6">
      <c r="D212" s="14">
        <v>211</v>
      </c>
      <c r="E212" s="14" t="s">
        <v>27</v>
      </c>
      <c r="F212" s="14" t="s">
        <v>234</v>
      </c>
    </row>
    <row r="213" spans="4:6">
      <c r="D213" s="14">
        <v>212</v>
      </c>
      <c r="E213" s="14" t="s">
        <v>25</v>
      </c>
      <c r="F213" s="14" t="s">
        <v>235</v>
      </c>
    </row>
    <row r="214" spans="4:6">
      <c r="D214" s="14">
        <v>213</v>
      </c>
      <c r="E214" s="14" t="s">
        <v>25</v>
      </c>
      <c r="F214" s="14" t="s">
        <v>236</v>
      </c>
    </row>
    <row r="215" spans="4:6">
      <c r="D215" s="14">
        <v>214</v>
      </c>
      <c r="E215" s="14" t="s">
        <v>29</v>
      </c>
      <c r="F215" s="14" t="s">
        <v>237</v>
      </c>
    </row>
    <row r="216" spans="4:6">
      <c r="D216" s="14">
        <v>215</v>
      </c>
      <c r="E216" s="14" t="s">
        <v>23</v>
      </c>
      <c r="F216" s="14" t="s">
        <v>238</v>
      </c>
    </row>
    <row r="217" spans="4:6">
      <c r="D217" s="14">
        <v>216</v>
      </c>
      <c r="E217" s="14" t="s">
        <v>23</v>
      </c>
      <c r="F217" s="14" t="s">
        <v>239</v>
      </c>
    </row>
    <row r="218" spans="4:6">
      <c r="D218" s="14">
        <v>217</v>
      </c>
      <c r="E218" s="14" t="s">
        <v>36</v>
      </c>
      <c r="F218" s="14" t="s">
        <v>240</v>
      </c>
    </row>
    <row r="219" spans="4:6">
      <c r="D219" s="14">
        <v>218</v>
      </c>
      <c r="E219" s="14" t="s">
        <v>23</v>
      </c>
      <c r="F219" s="14" t="s">
        <v>241</v>
      </c>
    </row>
    <row r="220" spans="4:6">
      <c r="D220" s="14">
        <v>219</v>
      </c>
      <c r="E220" s="14" t="s">
        <v>23</v>
      </c>
      <c r="F220" s="14" t="s">
        <v>242</v>
      </c>
    </row>
    <row r="221" spans="4:6">
      <c r="D221" s="14">
        <v>220</v>
      </c>
      <c r="E221" s="14" t="s">
        <v>25</v>
      </c>
      <c r="F221" s="14" t="s">
        <v>243</v>
      </c>
    </row>
    <row r="222" spans="4:6">
      <c r="D222" s="14">
        <v>221</v>
      </c>
      <c r="E222" s="14" t="s">
        <v>29</v>
      </c>
      <c r="F222" s="14" t="s">
        <v>244</v>
      </c>
    </row>
    <row r="223" spans="4:6">
      <c r="D223" s="14">
        <v>222</v>
      </c>
      <c r="E223" s="14" t="s">
        <v>36</v>
      </c>
      <c r="F223" s="14" t="s">
        <v>245</v>
      </c>
    </row>
    <row r="224" spans="4:6">
      <c r="D224" s="14">
        <v>223</v>
      </c>
      <c r="E224" s="14" t="s">
        <v>23</v>
      </c>
      <c r="F224" s="14" t="s">
        <v>246</v>
      </c>
    </row>
    <row r="225" spans="4:6">
      <c r="D225" s="14">
        <v>224</v>
      </c>
      <c r="E225" s="14" t="s">
        <v>27</v>
      </c>
      <c r="F225" s="14" t="s">
        <v>247</v>
      </c>
    </row>
    <row r="226" spans="4:6">
      <c r="D226" s="14">
        <v>225</v>
      </c>
      <c r="E226" s="14" t="s">
        <v>36</v>
      </c>
      <c r="F226" s="14" t="s">
        <v>248</v>
      </c>
    </row>
    <row r="227" spans="4:6">
      <c r="D227" s="14">
        <v>226</v>
      </c>
      <c r="E227" s="14" t="s">
        <v>23</v>
      </c>
      <c r="F227" s="14" t="s">
        <v>249</v>
      </c>
    </row>
    <row r="228" spans="4:6">
      <c r="D228" s="14">
        <v>227</v>
      </c>
      <c r="E228" s="14" t="s">
        <v>36</v>
      </c>
      <c r="F228" s="14" t="s">
        <v>250</v>
      </c>
    </row>
    <row r="229" spans="4:6">
      <c r="D229" s="14">
        <v>228</v>
      </c>
      <c r="E229" s="14" t="s">
        <v>36</v>
      </c>
      <c r="F229" s="14" t="s">
        <v>251</v>
      </c>
    </row>
    <row r="230" spans="4:6">
      <c r="D230" s="14">
        <v>229</v>
      </c>
      <c r="E230" s="14" t="s">
        <v>27</v>
      </c>
      <c r="F230" s="14" t="s">
        <v>252</v>
      </c>
    </row>
    <row r="231" spans="4:6">
      <c r="D231" s="14">
        <v>230</v>
      </c>
      <c r="E231" s="14" t="s">
        <v>27</v>
      </c>
      <c r="F231" s="14" t="s">
        <v>253</v>
      </c>
    </row>
    <row r="232" spans="4:6">
      <c r="D232" s="14">
        <v>231</v>
      </c>
      <c r="E232" s="14" t="s">
        <v>27</v>
      </c>
      <c r="F232" s="14" t="s">
        <v>254</v>
      </c>
    </row>
    <row r="233" spans="4:6">
      <c r="D233" s="14">
        <v>232</v>
      </c>
      <c r="E233" s="14" t="s">
        <v>27</v>
      </c>
      <c r="F233" s="14" t="s">
        <v>255</v>
      </c>
    </row>
    <row r="234" spans="4:6">
      <c r="D234" s="14">
        <v>233</v>
      </c>
      <c r="E234" s="14" t="s">
        <v>27</v>
      </c>
      <c r="F234" s="14" t="s">
        <v>256</v>
      </c>
    </row>
    <row r="235" spans="4:6">
      <c r="D235" s="14">
        <v>234</v>
      </c>
      <c r="E235" s="14" t="s">
        <v>27</v>
      </c>
      <c r="F235" s="14" t="s">
        <v>257</v>
      </c>
    </row>
    <row r="236" spans="4:6">
      <c r="D236" s="14">
        <v>235</v>
      </c>
      <c r="E236" s="14" t="s">
        <v>25</v>
      </c>
      <c r="F236" s="14" t="s">
        <v>258</v>
      </c>
    </row>
    <row r="237" spans="4:6">
      <c r="D237" s="14">
        <v>236</v>
      </c>
      <c r="E237" s="14" t="s">
        <v>27</v>
      </c>
      <c r="F237" s="14" t="s">
        <v>259</v>
      </c>
    </row>
    <row r="238" spans="4:6">
      <c r="D238" s="14">
        <v>237</v>
      </c>
      <c r="E238" s="14" t="s">
        <v>27</v>
      </c>
      <c r="F238" s="14" t="s">
        <v>260</v>
      </c>
    </row>
    <row r="239" spans="4:6">
      <c r="D239" s="14">
        <v>238</v>
      </c>
      <c r="E239" s="14" t="s">
        <v>27</v>
      </c>
      <c r="F239" s="14" t="s">
        <v>261</v>
      </c>
    </row>
    <row r="240" spans="4:6">
      <c r="D240" s="14">
        <v>239</v>
      </c>
      <c r="E240" s="14" t="s">
        <v>27</v>
      </c>
      <c r="F240" s="14" t="s">
        <v>262</v>
      </c>
    </row>
    <row r="241" spans="4:6">
      <c r="D241" s="14">
        <v>240</v>
      </c>
      <c r="E241" s="14" t="s">
        <v>25</v>
      </c>
      <c r="F241" s="14" t="s">
        <v>263</v>
      </c>
    </row>
    <row r="242" spans="4:6">
      <c r="D242" s="14">
        <v>241</v>
      </c>
      <c r="E242" s="14" t="s">
        <v>25</v>
      </c>
      <c r="F242" s="14" t="s">
        <v>264</v>
      </c>
    </row>
    <row r="243" spans="4:6">
      <c r="D243" s="14">
        <v>242</v>
      </c>
      <c r="E243" s="14" t="s">
        <v>25</v>
      </c>
      <c r="F243" s="14" t="s">
        <v>265</v>
      </c>
    </row>
    <row r="244" spans="4:6">
      <c r="D244" s="14">
        <v>243</v>
      </c>
      <c r="E244" s="14" t="s">
        <v>27</v>
      </c>
      <c r="F244" s="14" t="s">
        <v>266</v>
      </c>
    </row>
    <row r="245" spans="4:6">
      <c r="D245" s="14">
        <v>244</v>
      </c>
      <c r="E245" s="14" t="s">
        <v>27</v>
      </c>
      <c r="F245" s="14" t="s">
        <v>267</v>
      </c>
    </row>
    <row r="246" spans="4:6">
      <c r="D246" s="14">
        <v>245</v>
      </c>
      <c r="E246" s="14" t="s">
        <v>29</v>
      </c>
      <c r="F246" s="14" t="s">
        <v>268</v>
      </c>
    </row>
    <row r="247" spans="4:6">
      <c r="D247" s="14">
        <v>246</v>
      </c>
      <c r="E247" s="14" t="s">
        <v>27</v>
      </c>
      <c r="F247" s="14" t="s">
        <v>269</v>
      </c>
    </row>
    <row r="248" spans="4:6">
      <c r="D248" s="14">
        <v>247</v>
      </c>
      <c r="E248" s="14" t="s">
        <v>25</v>
      </c>
      <c r="F248" s="14" t="s">
        <v>270</v>
      </c>
    </row>
    <row r="249" spans="4:6">
      <c r="D249" s="14">
        <v>248</v>
      </c>
      <c r="E249" s="14" t="s">
        <v>25</v>
      </c>
      <c r="F249" s="14" t="s">
        <v>271</v>
      </c>
    </row>
    <row r="250" spans="4:6">
      <c r="D250" s="14">
        <v>249</v>
      </c>
      <c r="E250" s="14" t="s">
        <v>27</v>
      </c>
      <c r="F250" s="14" t="s">
        <v>272</v>
      </c>
    </row>
    <row r="251" spans="4:6">
      <c r="D251" s="14">
        <v>250</v>
      </c>
      <c r="E251" s="14" t="s">
        <v>25</v>
      </c>
      <c r="F251" s="14" t="s">
        <v>273</v>
      </c>
    </row>
    <row r="252" spans="4:6">
      <c r="D252" s="14">
        <v>251</v>
      </c>
      <c r="E252" s="14" t="s">
        <v>29</v>
      </c>
      <c r="F252" s="14" t="s">
        <v>274</v>
      </c>
    </row>
    <row r="253" spans="4:6">
      <c r="D253" s="14">
        <v>252</v>
      </c>
      <c r="E253" s="14" t="s">
        <v>23</v>
      </c>
      <c r="F253" s="14" t="s">
        <v>275</v>
      </c>
    </row>
    <row r="254" spans="4:6">
      <c r="D254" s="14">
        <v>253</v>
      </c>
      <c r="E254" s="14" t="s">
        <v>23</v>
      </c>
      <c r="F254" s="14" t="s">
        <v>276</v>
      </c>
    </row>
    <row r="255" spans="4:6">
      <c r="D255" s="14">
        <v>254</v>
      </c>
      <c r="E255" s="14" t="s">
        <v>25</v>
      </c>
      <c r="F255" s="14" t="s">
        <v>277</v>
      </c>
    </row>
    <row r="256" spans="4:6">
      <c r="D256" s="14">
        <v>255</v>
      </c>
      <c r="E256" s="14" t="s">
        <v>36</v>
      </c>
      <c r="F256" s="14" t="s">
        <v>278</v>
      </c>
    </row>
    <row r="257" spans="4:6">
      <c r="D257" s="14">
        <v>256</v>
      </c>
      <c r="E257" s="14" t="s">
        <v>36</v>
      </c>
      <c r="F257" s="14" t="s">
        <v>279</v>
      </c>
    </row>
    <row r="258" spans="4:6">
      <c r="D258" s="14">
        <v>257</v>
      </c>
      <c r="E258" s="14" t="s">
        <v>36</v>
      </c>
      <c r="F258" s="14" t="s">
        <v>280</v>
      </c>
    </row>
    <row r="259" spans="4:6">
      <c r="D259" s="14">
        <v>258</v>
      </c>
      <c r="E259" s="14" t="s">
        <v>23</v>
      </c>
      <c r="F259" s="14" t="s">
        <v>281</v>
      </c>
    </row>
    <row r="260" spans="4:6">
      <c r="D260" s="14">
        <v>259</v>
      </c>
      <c r="E260" s="14" t="s">
        <v>25</v>
      </c>
      <c r="F260" s="14" t="s">
        <v>282</v>
      </c>
    </row>
    <row r="261" spans="4:6">
      <c r="D261" s="14">
        <v>260</v>
      </c>
      <c r="E261" s="14" t="s">
        <v>23</v>
      </c>
      <c r="F261" s="14" t="s">
        <v>283</v>
      </c>
    </row>
    <row r="262" spans="4:6">
      <c r="D262" s="14">
        <v>261</v>
      </c>
      <c r="E262" s="14" t="s">
        <v>27</v>
      </c>
      <c r="F262" s="14" t="s">
        <v>284</v>
      </c>
    </row>
    <row r="263" spans="4:6">
      <c r="D263" s="14">
        <v>262</v>
      </c>
      <c r="E263" s="14" t="s">
        <v>27</v>
      </c>
      <c r="F263" s="14" t="s">
        <v>285</v>
      </c>
    </row>
    <row r="264" spans="4:6">
      <c r="D264" s="14">
        <v>263</v>
      </c>
      <c r="E264" s="14" t="s">
        <v>27</v>
      </c>
      <c r="F264" s="14" t="s">
        <v>286</v>
      </c>
    </row>
    <row r="265" spans="4:6">
      <c r="D265" s="14">
        <v>264</v>
      </c>
      <c r="E265" s="14" t="s">
        <v>287</v>
      </c>
      <c r="F265" s="14" t="s">
        <v>287</v>
      </c>
    </row>
    <row r="266" spans="4:6">
      <c r="D266" s="14">
        <v>265</v>
      </c>
      <c r="E266" s="14" t="s">
        <v>287</v>
      </c>
      <c r="F266" s="14" t="s">
        <v>287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dimension ref="A1:J302"/>
  <sheetViews>
    <sheetView showGridLines="0" zoomScale="90" zoomScaleNormal="90" workbookViewId="0"/>
  </sheetViews>
  <sheetFormatPr defaultRowHeight="15"/>
  <cols>
    <col min="1" max="1" width="18.7109375" customWidth="1"/>
    <col min="2" max="4" width="9.7109375" customWidth="1"/>
    <col min="5" max="6" width="3.7109375" customWidth="1"/>
    <col min="7" max="9" width="20.7109375" customWidth="1"/>
    <col min="10" max="10" width="11.7109375" customWidth="1"/>
  </cols>
  <sheetData>
    <row r="1" spans="1:10">
      <c r="A1" s="20" t="s">
        <v>337</v>
      </c>
    </row>
    <row r="2" spans="1:10">
      <c r="A2" t="s">
        <v>1046</v>
      </c>
      <c r="B2" t="s">
        <v>1047</v>
      </c>
      <c r="C2" t="s">
        <v>1048</v>
      </c>
      <c r="D2" t="s">
        <v>1049</v>
      </c>
      <c r="G2" s="5" t="s">
        <v>1050</v>
      </c>
      <c r="H2" s="5" t="s">
        <v>1051</v>
      </c>
      <c r="I2" s="5" t="s">
        <v>1100</v>
      </c>
      <c r="J2" s="5" t="s">
        <v>1108</v>
      </c>
    </row>
    <row r="3" spans="1:10">
      <c r="A3" t="s">
        <v>338</v>
      </c>
      <c r="B3" t="s">
        <v>551</v>
      </c>
      <c r="C3" t="s">
        <v>799</v>
      </c>
      <c r="D3" t="s">
        <v>0</v>
      </c>
      <c r="G3" s="14" t="s">
        <v>2</v>
      </c>
      <c r="H3" s="14" t="s">
        <v>1052</v>
      </c>
      <c r="I3" s="14" t="s">
        <v>2</v>
      </c>
      <c r="J3" s="14" t="s">
        <v>1109</v>
      </c>
    </row>
    <row r="4" spans="1:10">
      <c r="A4" t="s">
        <v>339</v>
      </c>
      <c r="B4" t="s">
        <v>552</v>
      </c>
      <c r="C4" t="s">
        <v>800</v>
      </c>
      <c r="D4" t="s">
        <v>0</v>
      </c>
      <c r="G4" s="14" t="s">
        <v>2</v>
      </c>
      <c r="H4" s="14" t="s">
        <v>1052</v>
      </c>
      <c r="I4" s="14" t="s">
        <v>2</v>
      </c>
      <c r="J4" s="14" t="s">
        <v>1110</v>
      </c>
    </row>
    <row r="5" spans="1:10">
      <c r="A5" t="s">
        <v>340</v>
      </c>
      <c r="B5" t="s">
        <v>553</v>
      </c>
      <c r="C5" t="s">
        <v>801</v>
      </c>
      <c r="D5" t="s">
        <v>0</v>
      </c>
      <c r="G5" s="14" t="s">
        <v>2</v>
      </c>
      <c r="H5" s="14" t="s">
        <v>1052</v>
      </c>
      <c r="I5" s="14" t="s">
        <v>2</v>
      </c>
      <c r="J5" s="14" t="s">
        <v>1111</v>
      </c>
    </row>
    <row r="6" spans="1:10">
      <c r="A6" t="s">
        <v>341</v>
      </c>
      <c r="B6" t="s">
        <v>554</v>
      </c>
      <c r="C6" t="s">
        <v>802</v>
      </c>
      <c r="D6" t="s">
        <v>0</v>
      </c>
      <c r="G6" s="14" t="s">
        <v>2</v>
      </c>
      <c r="H6" s="14" t="s">
        <v>1052</v>
      </c>
      <c r="I6" s="14" t="s">
        <v>1101</v>
      </c>
      <c r="J6" s="14" t="s">
        <v>1112</v>
      </c>
    </row>
    <row r="7" spans="1:10">
      <c r="A7" t="s">
        <v>342</v>
      </c>
      <c r="B7" t="s">
        <v>555</v>
      </c>
      <c r="C7" t="s">
        <v>803</v>
      </c>
      <c r="D7" t="s">
        <v>0</v>
      </c>
      <c r="G7" s="14" t="s">
        <v>2</v>
      </c>
      <c r="H7" s="14" t="s">
        <v>1052</v>
      </c>
      <c r="I7" s="14" t="s">
        <v>2</v>
      </c>
      <c r="J7" s="14" t="s">
        <v>1113</v>
      </c>
    </row>
    <row r="8" spans="1:10">
      <c r="A8" t="s">
        <v>342</v>
      </c>
      <c r="B8" t="s">
        <v>556</v>
      </c>
      <c r="C8" t="s">
        <v>804</v>
      </c>
      <c r="D8" t="s">
        <v>0</v>
      </c>
      <c r="G8" s="14" t="s">
        <v>2</v>
      </c>
      <c r="H8" s="14" t="s">
        <v>1052</v>
      </c>
      <c r="I8" s="14" t="s">
        <v>2</v>
      </c>
      <c r="J8" s="14" t="s">
        <v>1114</v>
      </c>
    </row>
    <row r="9" spans="1:10">
      <c r="A9" t="s">
        <v>343</v>
      </c>
      <c r="B9" t="s">
        <v>557</v>
      </c>
      <c r="C9" t="s">
        <v>805</v>
      </c>
      <c r="D9" t="s">
        <v>0</v>
      </c>
      <c r="G9" s="14" t="s">
        <v>2</v>
      </c>
      <c r="H9" s="14" t="s">
        <v>1052</v>
      </c>
      <c r="I9" s="14" t="s">
        <v>2</v>
      </c>
      <c r="J9" s="14" t="s">
        <v>1115</v>
      </c>
    </row>
    <row r="10" spans="1:10">
      <c r="A10" t="s">
        <v>344</v>
      </c>
      <c r="B10" t="s">
        <v>558</v>
      </c>
      <c r="C10" t="s">
        <v>806</v>
      </c>
      <c r="D10" t="s">
        <v>0</v>
      </c>
      <c r="G10" s="14" t="s">
        <v>2</v>
      </c>
      <c r="H10" s="14" t="s">
        <v>1052</v>
      </c>
      <c r="I10" s="14" t="s">
        <v>4</v>
      </c>
      <c r="J10" s="14" t="s">
        <v>1116</v>
      </c>
    </row>
    <row r="11" spans="1:10">
      <c r="A11" t="s">
        <v>345</v>
      </c>
      <c r="B11" t="s">
        <v>559</v>
      </c>
      <c r="C11" t="s">
        <v>807</v>
      </c>
      <c r="D11" t="s">
        <v>0</v>
      </c>
      <c r="G11" s="14" t="s">
        <v>2</v>
      </c>
      <c r="H11" s="14" t="s">
        <v>1052</v>
      </c>
      <c r="I11" s="14" t="s">
        <v>2</v>
      </c>
      <c r="J11" s="14" t="s">
        <v>1117</v>
      </c>
    </row>
    <row r="12" spans="1:10">
      <c r="A12" t="s">
        <v>346</v>
      </c>
      <c r="B12" t="s">
        <v>560</v>
      </c>
      <c r="C12" t="s">
        <v>808</v>
      </c>
      <c r="D12" t="s">
        <v>0</v>
      </c>
      <c r="G12" s="14" t="s">
        <v>2</v>
      </c>
      <c r="H12" s="14" t="s">
        <v>1052</v>
      </c>
      <c r="I12" s="14" t="s">
        <v>4</v>
      </c>
      <c r="J12" s="14" t="s">
        <v>1118</v>
      </c>
    </row>
    <row r="13" spans="1:10">
      <c r="A13" t="s">
        <v>347</v>
      </c>
      <c r="B13" t="s">
        <v>561</v>
      </c>
      <c r="C13" t="s">
        <v>809</v>
      </c>
      <c r="D13" t="s">
        <v>0</v>
      </c>
      <c r="G13" s="14" t="s">
        <v>2</v>
      </c>
      <c r="H13" s="14" t="s">
        <v>1053</v>
      </c>
      <c r="I13" s="14" t="s">
        <v>2</v>
      </c>
      <c r="J13" s="14" t="s">
        <v>1119</v>
      </c>
    </row>
    <row r="14" spans="1:10">
      <c r="A14" t="s">
        <v>348</v>
      </c>
      <c r="B14" t="s">
        <v>562</v>
      </c>
      <c r="C14" t="s">
        <v>810</v>
      </c>
      <c r="D14" t="s">
        <v>0</v>
      </c>
      <c r="G14" s="14" t="s">
        <v>2</v>
      </c>
      <c r="H14" s="14" t="s">
        <v>1053</v>
      </c>
      <c r="I14" s="14" t="s">
        <v>2</v>
      </c>
      <c r="J14" s="14" t="s">
        <v>1120</v>
      </c>
    </row>
    <row r="15" spans="1:10">
      <c r="A15" t="s">
        <v>349</v>
      </c>
      <c r="B15" t="s">
        <v>563</v>
      </c>
      <c r="C15" t="s">
        <v>811</v>
      </c>
      <c r="D15" t="s">
        <v>0</v>
      </c>
      <c r="G15" s="14" t="s">
        <v>2</v>
      </c>
      <c r="H15" s="14" t="s">
        <v>1054</v>
      </c>
      <c r="I15" s="14" t="s">
        <v>2</v>
      </c>
      <c r="J15" s="14" t="s">
        <v>1121</v>
      </c>
    </row>
    <row r="16" spans="1:10">
      <c r="A16" t="s">
        <v>350</v>
      </c>
      <c r="B16" t="s">
        <v>564</v>
      </c>
      <c r="C16" t="s">
        <v>812</v>
      </c>
      <c r="D16" t="s">
        <v>0</v>
      </c>
      <c r="G16" s="14" t="s">
        <v>2</v>
      </c>
      <c r="H16" s="14" t="s">
        <v>1054</v>
      </c>
      <c r="I16" s="14" t="s">
        <v>2</v>
      </c>
      <c r="J16" s="14" t="s">
        <v>1122</v>
      </c>
    </row>
    <row r="17" spans="1:10">
      <c r="A17" t="s">
        <v>351</v>
      </c>
      <c r="B17" t="s">
        <v>565</v>
      </c>
      <c r="C17" t="s">
        <v>813</v>
      </c>
      <c r="D17" t="s">
        <v>0</v>
      </c>
      <c r="G17" s="14" t="s">
        <v>2</v>
      </c>
      <c r="H17" s="14" t="s">
        <v>1054</v>
      </c>
      <c r="I17" s="14" t="s">
        <v>2</v>
      </c>
      <c r="J17" s="14" t="s">
        <v>1123</v>
      </c>
    </row>
    <row r="18" spans="1:10">
      <c r="A18" t="s">
        <v>352</v>
      </c>
      <c r="B18" t="s">
        <v>566</v>
      </c>
      <c r="C18" t="s">
        <v>814</v>
      </c>
      <c r="D18" t="s">
        <v>0</v>
      </c>
      <c r="G18" s="14" t="s">
        <v>2</v>
      </c>
      <c r="H18" s="14" t="s">
        <v>1054</v>
      </c>
      <c r="I18" s="14" t="s">
        <v>2</v>
      </c>
      <c r="J18" s="14" t="s">
        <v>1124</v>
      </c>
    </row>
    <row r="19" spans="1:10">
      <c r="A19" t="s">
        <v>353</v>
      </c>
      <c r="B19" t="s">
        <v>567</v>
      </c>
      <c r="C19" t="s">
        <v>815</v>
      </c>
      <c r="D19" t="s">
        <v>0</v>
      </c>
      <c r="G19" s="14" t="s">
        <v>2</v>
      </c>
      <c r="H19" s="14" t="s">
        <v>1054</v>
      </c>
      <c r="I19" s="14" t="s">
        <v>2</v>
      </c>
      <c r="J19" s="14" t="s">
        <v>1125</v>
      </c>
    </row>
    <row r="20" spans="1:10">
      <c r="A20" t="s">
        <v>354</v>
      </c>
      <c r="B20" t="s">
        <v>568</v>
      </c>
      <c r="C20" t="s">
        <v>816</v>
      </c>
      <c r="D20" t="s">
        <v>0</v>
      </c>
      <c r="G20" s="14" t="s">
        <v>2</v>
      </c>
      <c r="H20" s="14" t="s">
        <v>1054</v>
      </c>
      <c r="I20" s="14" t="s">
        <v>2</v>
      </c>
      <c r="J20" s="14" t="s">
        <v>1123</v>
      </c>
    </row>
    <row r="21" spans="1:10">
      <c r="A21" t="s">
        <v>355</v>
      </c>
      <c r="B21" t="s">
        <v>569</v>
      </c>
      <c r="C21" t="s">
        <v>817</v>
      </c>
      <c r="D21" t="s">
        <v>0</v>
      </c>
      <c r="G21" s="14" t="s">
        <v>2</v>
      </c>
      <c r="H21" s="14" t="s">
        <v>1054</v>
      </c>
      <c r="I21" s="14" t="s">
        <v>2</v>
      </c>
      <c r="J21" s="14" t="s">
        <v>1126</v>
      </c>
    </row>
    <row r="22" spans="1:10">
      <c r="A22" t="s">
        <v>355</v>
      </c>
      <c r="B22" t="s">
        <v>570</v>
      </c>
      <c r="C22" t="s">
        <v>818</v>
      </c>
      <c r="D22" t="s">
        <v>0</v>
      </c>
      <c r="G22" s="14" t="s">
        <v>2</v>
      </c>
      <c r="H22" s="14" t="s">
        <v>1054</v>
      </c>
      <c r="I22" s="14" t="s">
        <v>2</v>
      </c>
      <c r="J22" s="14" t="s">
        <v>1127</v>
      </c>
    </row>
    <row r="23" spans="1:10">
      <c r="A23" t="s">
        <v>356</v>
      </c>
      <c r="B23" t="s">
        <v>571</v>
      </c>
      <c r="C23" t="s">
        <v>819</v>
      </c>
      <c r="D23" t="s">
        <v>0</v>
      </c>
      <c r="G23" s="14" t="s">
        <v>2</v>
      </c>
      <c r="H23" s="14" t="s">
        <v>1054</v>
      </c>
      <c r="I23" s="14" t="s">
        <v>3</v>
      </c>
      <c r="J23" s="14" t="s">
        <v>1128</v>
      </c>
    </row>
    <row r="24" spans="1:10">
      <c r="A24" t="s">
        <v>357</v>
      </c>
      <c r="B24" t="s">
        <v>572</v>
      </c>
      <c r="C24" t="s">
        <v>820</v>
      </c>
      <c r="D24" t="s">
        <v>0</v>
      </c>
      <c r="G24" s="14" t="s">
        <v>2</v>
      </c>
      <c r="H24" s="14" t="s">
        <v>1055</v>
      </c>
      <c r="I24" s="14" t="s">
        <v>2</v>
      </c>
      <c r="J24" s="14" t="s">
        <v>1129</v>
      </c>
    </row>
    <row r="25" spans="1:10">
      <c r="A25" t="s">
        <v>358</v>
      </c>
      <c r="B25" t="s">
        <v>573</v>
      </c>
      <c r="C25" t="s">
        <v>814</v>
      </c>
      <c r="D25" t="s">
        <v>0</v>
      </c>
      <c r="G25" s="14" t="s">
        <v>2</v>
      </c>
      <c r="H25" s="14" t="s">
        <v>1055</v>
      </c>
      <c r="I25" s="14" t="s">
        <v>2</v>
      </c>
      <c r="J25" s="14" t="s">
        <v>1109</v>
      </c>
    </row>
    <row r="26" spans="1:10">
      <c r="A26" t="s">
        <v>359</v>
      </c>
      <c r="B26" t="s">
        <v>574</v>
      </c>
      <c r="C26" t="s">
        <v>821</v>
      </c>
      <c r="D26" t="s">
        <v>0</v>
      </c>
      <c r="G26" s="14" t="s">
        <v>2</v>
      </c>
      <c r="H26" s="14" t="s">
        <v>1055</v>
      </c>
      <c r="I26" s="14" t="s">
        <v>2</v>
      </c>
      <c r="J26" s="14" t="s">
        <v>1130</v>
      </c>
    </row>
    <row r="27" spans="1:10">
      <c r="A27" t="s">
        <v>360</v>
      </c>
      <c r="B27" t="s">
        <v>575</v>
      </c>
      <c r="C27" t="s">
        <v>822</v>
      </c>
      <c r="D27" t="s">
        <v>0</v>
      </c>
      <c r="G27" s="14" t="s">
        <v>2</v>
      </c>
      <c r="H27" s="14" t="s">
        <v>1055</v>
      </c>
      <c r="I27" s="14" t="s">
        <v>2</v>
      </c>
      <c r="J27" s="14" t="s">
        <v>1131</v>
      </c>
    </row>
    <row r="28" spans="1:10">
      <c r="A28" t="s">
        <v>361</v>
      </c>
      <c r="B28" t="s">
        <v>576</v>
      </c>
      <c r="C28" t="s">
        <v>823</v>
      </c>
      <c r="D28" t="s">
        <v>0</v>
      </c>
      <c r="G28" s="14" t="s">
        <v>2</v>
      </c>
      <c r="H28" s="14" t="s">
        <v>1055</v>
      </c>
      <c r="I28" s="14" t="s">
        <v>2</v>
      </c>
      <c r="J28" s="14" t="s">
        <v>1132</v>
      </c>
    </row>
    <row r="29" spans="1:10">
      <c r="A29" t="s">
        <v>362</v>
      </c>
      <c r="B29" t="s">
        <v>577</v>
      </c>
      <c r="C29" t="s">
        <v>824</v>
      </c>
      <c r="D29" t="s">
        <v>0</v>
      </c>
      <c r="G29" s="14" t="s">
        <v>2</v>
      </c>
      <c r="H29" s="14" t="s">
        <v>1055</v>
      </c>
      <c r="I29" s="14" t="s">
        <v>2</v>
      </c>
      <c r="J29" s="14" t="s">
        <v>1133</v>
      </c>
    </row>
    <row r="30" spans="1:10">
      <c r="A30" t="s">
        <v>363</v>
      </c>
      <c r="B30" t="s">
        <v>578</v>
      </c>
      <c r="C30" t="s">
        <v>825</v>
      </c>
      <c r="D30" t="s">
        <v>0</v>
      </c>
      <c r="G30" s="14" t="s">
        <v>2</v>
      </c>
      <c r="H30" s="14" t="s">
        <v>1055</v>
      </c>
      <c r="I30" s="14" t="s">
        <v>4</v>
      </c>
      <c r="J30" s="14" t="s">
        <v>1134</v>
      </c>
    </row>
    <row r="31" spans="1:10">
      <c r="A31" t="s">
        <v>364</v>
      </c>
      <c r="B31" t="s">
        <v>579</v>
      </c>
      <c r="C31" t="s">
        <v>826</v>
      </c>
      <c r="D31" t="s">
        <v>0</v>
      </c>
      <c r="G31" s="14" t="s">
        <v>2</v>
      </c>
      <c r="H31" s="14" t="s">
        <v>1055</v>
      </c>
      <c r="I31" s="14" t="s">
        <v>2</v>
      </c>
      <c r="J31" s="14" t="s">
        <v>1135</v>
      </c>
    </row>
    <row r="32" spans="1:10">
      <c r="A32" t="s">
        <v>365</v>
      </c>
      <c r="B32" t="s">
        <v>580</v>
      </c>
      <c r="C32" t="s">
        <v>827</v>
      </c>
      <c r="D32" t="s">
        <v>0</v>
      </c>
      <c r="G32" s="14" t="s">
        <v>2</v>
      </c>
      <c r="H32" s="14" t="s">
        <v>1056</v>
      </c>
      <c r="I32" s="14" t="s">
        <v>2</v>
      </c>
      <c r="J32" s="14" t="s">
        <v>1136</v>
      </c>
    </row>
    <row r="33" spans="1:10">
      <c r="A33" t="s">
        <v>366</v>
      </c>
      <c r="B33" t="s">
        <v>581</v>
      </c>
      <c r="C33" t="s">
        <v>828</v>
      </c>
      <c r="D33" t="s">
        <v>0</v>
      </c>
      <c r="G33" s="14" t="s">
        <v>2</v>
      </c>
      <c r="H33" s="14" t="s">
        <v>1056</v>
      </c>
      <c r="I33" s="14" t="s">
        <v>2</v>
      </c>
      <c r="J33" s="14" t="s">
        <v>1137</v>
      </c>
    </row>
    <row r="34" spans="1:10">
      <c r="A34" t="s">
        <v>367</v>
      </c>
      <c r="B34" t="s">
        <v>582</v>
      </c>
      <c r="C34" t="s">
        <v>829</v>
      </c>
      <c r="D34" t="s">
        <v>0</v>
      </c>
      <c r="G34" s="14" t="s">
        <v>2</v>
      </c>
      <c r="H34" s="14" t="s">
        <v>1056</v>
      </c>
      <c r="I34" s="14" t="s">
        <v>2</v>
      </c>
      <c r="J34" s="14" t="s">
        <v>1110</v>
      </c>
    </row>
    <row r="35" spans="1:10">
      <c r="A35" t="s">
        <v>368</v>
      </c>
      <c r="B35" t="s">
        <v>583</v>
      </c>
      <c r="C35" t="s">
        <v>830</v>
      </c>
      <c r="D35" t="s">
        <v>0</v>
      </c>
      <c r="G35" s="14" t="s">
        <v>2</v>
      </c>
      <c r="H35" s="14" t="s">
        <v>1056</v>
      </c>
      <c r="I35" s="14" t="s">
        <v>4</v>
      </c>
      <c r="J35" s="14" t="s">
        <v>1117</v>
      </c>
    </row>
    <row r="36" spans="1:10">
      <c r="A36" t="s">
        <v>369</v>
      </c>
      <c r="B36" t="s">
        <v>584</v>
      </c>
      <c r="C36" t="s">
        <v>831</v>
      </c>
      <c r="D36" t="s">
        <v>0</v>
      </c>
      <c r="G36" s="14" t="s">
        <v>2</v>
      </c>
      <c r="H36" s="14" t="s">
        <v>1057</v>
      </c>
      <c r="I36" s="14" t="s">
        <v>2</v>
      </c>
      <c r="J36" s="14" t="s">
        <v>1138</v>
      </c>
    </row>
    <row r="37" spans="1:10">
      <c r="A37" t="s">
        <v>370</v>
      </c>
      <c r="B37" t="s">
        <v>585</v>
      </c>
      <c r="C37" t="s">
        <v>832</v>
      </c>
      <c r="D37" t="s">
        <v>0</v>
      </c>
      <c r="G37" s="14" t="s">
        <v>2</v>
      </c>
      <c r="H37" s="14" t="s">
        <v>1057</v>
      </c>
      <c r="I37" s="14" t="s">
        <v>2</v>
      </c>
      <c r="J37" s="14" t="s">
        <v>1139</v>
      </c>
    </row>
    <row r="38" spans="1:10">
      <c r="A38" t="s">
        <v>371</v>
      </c>
      <c r="B38" t="s">
        <v>586</v>
      </c>
      <c r="C38" t="s">
        <v>826</v>
      </c>
      <c r="D38" t="s">
        <v>0</v>
      </c>
      <c r="G38" s="14" t="s">
        <v>2</v>
      </c>
      <c r="H38" s="14" t="s">
        <v>1057</v>
      </c>
      <c r="I38" s="14" t="s">
        <v>4</v>
      </c>
      <c r="J38" s="14" t="s">
        <v>1140</v>
      </c>
    </row>
    <row r="39" spans="1:10">
      <c r="A39" t="s">
        <v>371</v>
      </c>
      <c r="B39" t="s">
        <v>587</v>
      </c>
      <c r="C39" t="s">
        <v>833</v>
      </c>
      <c r="D39" t="s">
        <v>0</v>
      </c>
      <c r="G39" s="14" t="s">
        <v>2</v>
      </c>
      <c r="H39" s="14" t="s">
        <v>1057</v>
      </c>
      <c r="I39" s="14" t="s">
        <v>2</v>
      </c>
      <c r="J39" s="14" t="s">
        <v>1141</v>
      </c>
    </row>
    <row r="40" spans="1:10">
      <c r="A40" t="s">
        <v>372</v>
      </c>
      <c r="B40" t="s">
        <v>588</v>
      </c>
      <c r="C40" t="s">
        <v>834</v>
      </c>
      <c r="D40" t="s">
        <v>0</v>
      </c>
      <c r="G40" s="14" t="s">
        <v>2</v>
      </c>
      <c r="H40" s="14" t="s">
        <v>1057</v>
      </c>
      <c r="I40" s="14" t="s">
        <v>2</v>
      </c>
      <c r="J40" s="14" t="s">
        <v>1142</v>
      </c>
    </row>
    <row r="41" spans="1:10">
      <c r="A41" t="s">
        <v>373</v>
      </c>
      <c r="B41" t="s">
        <v>589</v>
      </c>
      <c r="C41" t="s">
        <v>835</v>
      </c>
      <c r="D41" t="s">
        <v>0</v>
      </c>
      <c r="G41" s="14" t="s">
        <v>2</v>
      </c>
      <c r="H41" s="14" t="s">
        <v>1058</v>
      </c>
      <c r="I41" s="14" t="s">
        <v>2</v>
      </c>
      <c r="J41" s="14" t="s">
        <v>1143</v>
      </c>
    </row>
    <row r="42" spans="1:10">
      <c r="A42" t="s">
        <v>374</v>
      </c>
      <c r="B42" t="s">
        <v>590</v>
      </c>
      <c r="C42" t="s">
        <v>836</v>
      </c>
      <c r="D42" t="s">
        <v>0</v>
      </c>
      <c r="G42" s="14" t="s">
        <v>2</v>
      </c>
      <c r="H42" s="14" t="s">
        <v>1058</v>
      </c>
      <c r="I42" s="14" t="s">
        <v>2</v>
      </c>
      <c r="J42" s="14" t="s">
        <v>1109</v>
      </c>
    </row>
    <row r="43" spans="1:10">
      <c r="A43" t="s">
        <v>374</v>
      </c>
      <c r="B43" t="s">
        <v>591</v>
      </c>
      <c r="C43" t="s">
        <v>837</v>
      </c>
      <c r="D43" t="s">
        <v>0</v>
      </c>
      <c r="G43" s="14" t="s">
        <v>2</v>
      </c>
      <c r="H43" s="14" t="s">
        <v>1058</v>
      </c>
      <c r="I43" s="14" t="s">
        <v>2</v>
      </c>
      <c r="J43" s="14" t="s">
        <v>1144</v>
      </c>
    </row>
    <row r="44" spans="1:10">
      <c r="A44" t="s">
        <v>375</v>
      </c>
      <c r="B44" t="s">
        <v>592</v>
      </c>
      <c r="C44" t="s">
        <v>838</v>
      </c>
      <c r="D44" t="s">
        <v>0</v>
      </c>
      <c r="G44" s="14" t="s">
        <v>2</v>
      </c>
      <c r="H44" s="14" t="s">
        <v>1058</v>
      </c>
      <c r="I44" s="14" t="s">
        <v>2</v>
      </c>
      <c r="J44" s="14" t="s">
        <v>1145</v>
      </c>
    </row>
    <row r="45" spans="1:10">
      <c r="A45" t="s">
        <v>376</v>
      </c>
      <c r="B45" t="s">
        <v>593</v>
      </c>
      <c r="C45" t="s">
        <v>839</v>
      </c>
      <c r="D45" t="s">
        <v>0</v>
      </c>
      <c r="G45" s="14" t="s">
        <v>2</v>
      </c>
      <c r="H45" s="14" t="s">
        <v>1058</v>
      </c>
      <c r="I45" s="14" t="s">
        <v>2</v>
      </c>
      <c r="J45" s="14" t="s">
        <v>1146</v>
      </c>
    </row>
    <row r="46" spans="1:10">
      <c r="A46" t="s">
        <v>377</v>
      </c>
      <c r="B46" t="s">
        <v>594</v>
      </c>
      <c r="C46" t="s">
        <v>840</v>
      </c>
      <c r="D46" t="s">
        <v>0</v>
      </c>
      <c r="G46" s="14" t="s">
        <v>2</v>
      </c>
      <c r="H46" s="14" t="s">
        <v>1059</v>
      </c>
      <c r="I46" s="14" t="s">
        <v>2</v>
      </c>
      <c r="J46" s="14" t="s">
        <v>1147</v>
      </c>
    </row>
    <row r="47" spans="1:10">
      <c r="A47" t="s">
        <v>377</v>
      </c>
      <c r="B47" t="s">
        <v>594</v>
      </c>
      <c r="C47" t="s">
        <v>840</v>
      </c>
      <c r="D47" t="s">
        <v>0</v>
      </c>
      <c r="G47" s="14" t="s">
        <v>2</v>
      </c>
      <c r="H47" s="14" t="s">
        <v>1059</v>
      </c>
      <c r="I47" s="14" t="s">
        <v>2</v>
      </c>
      <c r="J47" s="14" t="s">
        <v>1124</v>
      </c>
    </row>
    <row r="48" spans="1:10">
      <c r="A48" t="s">
        <v>378</v>
      </c>
      <c r="B48" t="s">
        <v>595</v>
      </c>
      <c r="C48" t="s">
        <v>841</v>
      </c>
      <c r="D48" t="s">
        <v>0</v>
      </c>
      <c r="G48" s="14" t="s">
        <v>2</v>
      </c>
      <c r="H48" s="14" t="s">
        <v>1059</v>
      </c>
      <c r="I48" s="14" t="s">
        <v>2</v>
      </c>
      <c r="J48" s="14" t="s">
        <v>1143</v>
      </c>
    </row>
    <row r="49" spans="1:10">
      <c r="A49" t="s">
        <v>378</v>
      </c>
      <c r="B49" t="s">
        <v>596</v>
      </c>
      <c r="C49" t="s">
        <v>842</v>
      </c>
      <c r="D49" t="s">
        <v>0</v>
      </c>
      <c r="G49" s="14" t="s">
        <v>2</v>
      </c>
      <c r="H49" s="14" t="s">
        <v>1059</v>
      </c>
      <c r="I49" s="14" t="s">
        <v>3</v>
      </c>
      <c r="J49" s="14" t="s">
        <v>1130</v>
      </c>
    </row>
    <row r="50" spans="1:10">
      <c r="A50" t="s">
        <v>379</v>
      </c>
      <c r="B50" t="s">
        <v>597</v>
      </c>
      <c r="C50" t="s">
        <v>843</v>
      </c>
      <c r="D50" t="s">
        <v>0</v>
      </c>
      <c r="G50" s="14" t="s">
        <v>2</v>
      </c>
      <c r="H50" s="14" t="s">
        <v>1059</v>
      </c>
      <c r="I50" s="14" t="s">
        <v>2</v>
      </c>
      <c r="J50" s="14" t="s">
        <v>1134</v>
      </c>
    </row>
    <row r="51" spans="1:10">
      <c r="A51" t="s">
        <v>379</v>
      </c>
      <c r="B51" t="s">
        <v>598</v>
      </c>
      <c r="C51" t="s">
        <v>844</v>
      </c>
      <c r="D51" t="s">
        <v>0</v>
      </c>
      <c r="G51" s="14" t="s">
        <v>2</v>
      </c>
      <c r="H51" s="14" t="s">
        <v>1059</v>
      </c>
      <c r="I51" s="14" t="s">
        <v>2</v>
      </c>
      <c r="J51" s="14" t="s">
        <v>1130</v>
      </c>
    </row>
    <row r="52" spans="1:10">
      <c r="A52" t="s">
        <v>380</v>
      </c>
      <c r="B52" t="s">
        <v>599</v>
      </c>
      <c r="C52" t="s">
        <v>845</v>
      </c>
      <c r="D52" t="s">
        <v>0</v>
      </c>
      <c r="G52" s="14" t="s">
        <v>2</v>
      </c>
      <c r="H52" s="14" t="s">
        <v>1059</v>
      </c>
      <c r="I52" s="14" t="s">
        <v>2</v>
      </c>
      <c r="J52" s="14" t="s">
        <v>1148</v>
      </c>
    </row>
    <row r="53" spans="1:10">
      <c r="A53" t="s">
        <v>381</v>
      </c>
      <c r="B53" t="s">
        <v>600</v>
      </c>
      <c r="C53" t="s">
        <v>846</v>
      </c>
      <c r="D53" t="s">
        <v>0</v>
      </c>
      <c r="G53" s="14" t="s">
        <v>2</v>
      </c>
      <c r="H53" s="14" t="s">
        <v>1060</v>
      </c>
      <c r="I53" s="14" t="s">
        <v>2</v>
      </c>
      <c r="J53" s="14" t="s">
        <v>1117</v>
      </c>
    </row>
    <row r="54" spans="1:10">
      <c r="A54" t="s">
        <v>382</v>
      </c>
      <c r="B54" t="s">
        <v>601</v>
      </c>
      <c r="C54" t="s">
        <v>847</v>
      </c>
      <c r="D54" t="s">
        <v>0</v>
      </c>
      <c r="G54" s="14" t="s">
        <v>2</v>
      </c>
      <c r="H54" s="14" t="s">
        <v>1060</v>
      </c>
      <c r="I54" s="14" t="s">
        <v>2</v>
      </c>
      <c r="J54" s="14" t="s">
        <v>1121</v>
      </c>
    </row>
    <row r="55" spans="1:10">
      <c r="A55" t="s">
        <v>382</v>
      </c>
      <c r="B55" t="s">
        <v>602</v>
      </c>
      <c r="C55" t="s">
        <v>848</v>
      </c>
      <c r="D55" t="s">
        <v>0</v>
      </c>
      <c r="G55" s="14" t="s">
        <v>2</v>
      </c>
      <c r="H55" s="14" t="s">
        <v>1060</v>
      </c>
      <c r="I55" s="14" t="s">
        <v>2</v>
      </c>
      <c r="J55" s="14" t="s">
        <v>1149</v>
      </c>
    </row>
    <row r="56" spans="1:10">
      <c r="A56" t="s">
        <v>383</v>
      </c>
      <c r="B56" t="s">
        <v>603</v>
      </c>
      <c r="C56" t="s">
        <v>849</v>
      </c>
      <c r="D56" t="s">
        <v>0</v>
      </c>
      <c r="G56" s="14" t="s">
        <v>2</v>
      </c>
      <c r="H56" s="14" t="s">
        <v>1060</v>
      </c>
      <c r="I56" s="14" t="s">
        <v>3</v>
      </c>
      <c r="J56" s="14" t="s">
        <v>1150</v>
      </c>
    </row>
    <row r="57" spans="1:10">
      <c r="A57" t="s">
        <v>384</v>
      </c>
      <c r="B57" t="s">
        <v>604</v>
      </c>
      <c r="C57" t="s">
        <v>850</v>
      </c>
      <c r="D57" t="s">
        <v>0</v>
      </c>
      <c r="G57" s="14" t="s">
        <v>2</v>
      </c>
      <c r="H57" s="14" t="s">
        <v>1060</v>
      </c>
      <c r="I57" s="14" t="s">
        <v>2</v>
      </c>
      <c r="J57" s="14" t="s">
        <v>1143</v>
      </c>
    </row>
    <row r="58" spans="1:10">
      <c r="A58" t="s">
        <v>385</v>
      </c>
      <c r="B58" t="s">
        <v>605</v>
      </c>
      <c r="C58" t="s">
        <v>851</v>
      </c>
      <c r="D58" t="s">
        <v>0</v>
      </c>
      <c r="G58" s="14" t="s">
        <v>2</v>
      </c>
      <c r="H58" s="14" t="s">
        <v>1061</v>
      </c>
      <c r="I58" s="14" t="s">
        <v>2</v>
      </c>
      <c r="J58" s="14" t="s">
        <v>1151</v>
      </c>
    </row>
    <row r="59" spans="1:10">
      <c r="A59" t="s">
        <v>386</v>
      </c>
      <c r="B59" t="s">
        <v>596</v>
      </c>
      <c r="C59" t="s">
        <v>852</v>
      </c>
      <c r="D59" t="s">
        <v>0</v>
      </c>
      <c r="G59" s="14" t="s">
        <v>2</v>
      </c>
      <c r="H59" s="14" t="s">
        <v>1061</v>
      </c>
      <c r="I59" s="14" t="s">
        <v>4</v>
      </c>
      <c r="J59" s="14" t="s">
        <v>1150</v>
      </c>
    </row>
    <row r="60" spans="1:10">
      <c r="A60" t="s">
        <v>387</v>
      </c>
      <c r="B60" t="s">
        <v>606</v>
      </c>
      <c r="C60" t="s">
        <v>853</v>
      </c>
      <c r="D60" t="s">
        <v>0</v>
      </c>
      <c r="G60" s="14" t="s">
        <v>2</v>
      </c>
      <c r="H60" s="14" t="s">
        <v>1061</v>
      </c>
      <c r="I60" s="14" t="s">
        <v>2</v>
      </c>
      <c r="J60" s="14" t="s">
        <v>1122</v>
      </c>
    </row>
    <row r="61" spans="1:10">
      <c r="A61" t="s">
        <v>388</v>
      </c>
      <c r="B61" t="s">
        <v>607</v>
      </c>
      <c r="C61" t="s">
        <v>854</v>
      </c>
      <c r="D61" t="s">
        <v>0</v>
      </c>
      <c r="G61" s="14" t="s">
        <v>2</v>
      </c>
      <c r="H61" s="14" t="s">
        <v>1061</v>
      </c>
      <c r="I61" s="14" t="s">
        <v>2</v>
      </c>
      <c r="J61" s="14" t="s">
        <v>1152</v>
      </c>
    </row>
    <row r="62" spans="1:10">
      <c r="A62" t="s">
        <v>389</v>
      </c>
      <c r="B62" t="s">
        <v>608</v>
      </c>
      <c r="C62" t="s">
        <v>855</v>
      </c>
      <c r="D62" t="s">
        <v>0</v>
      </c>
      <c r="G62" s="14" t="s">
        <v>2</v>
      </c>
      <c r="H62" s="14" t="s">
        <v>1061</v>
      </c>
      <c r="I62" s="14" t="s">
        <v>2</v>
      </c>
      <c r="J62" s="14" t="s">
        <v>1153</v>
      </c>
    </row>
    <row r="63" spans="1:10">
      <c r="A63" t="s">
        <v>389</v>
      </c>
      <c r="B63" t="s">
        <v>609</v>
      </c>
      <c r="C63" t="s">
        <v>856</v>
      </c>
      <c r="D63" t="s">
        <v>0</v>
      </c>
      <c r="G63" s="14" t="s">
        <v>2</v>
      </c>
      <c r="H63" s="14" t="s">
        <v>1061</v>
      </c>
      <c r="I63" s="14" t="s">
        <v>2</v>
      </c>
      <c r="J63" s="14" t="s">
        <v>1119</v>
      </c>
    </row>
    <row r="64" spans="1:10">
      <c r="A64" t="s">
        <v>390</v>
      </c>
      <c r="B64" t="s">
        <v>610</v>
      </c>
      <c r="C64" t="s">
        <v>857</v>
      </c>
      <c r="D64" t="s">
        <v>0</v>
      </c>
      <c r="G64" s="14" t="s">
        <v>2</v>
      </c>
      <c r="H64" s="14" t="s">
        <v>1062</v>
      </c>
      <c r="I64" s="14" t="s">
        <v>2</v>
      </c>
      <c r="J64" s="14" t="s">
        <v>1154</v>
      </c>
    </row>
    <row r="65" spans="1:10">
      <c r="A65" t="s">
        <v>390</v>
      </c>
      <c r="B65" t="s">
        <v>611</v>
      </c>
      <c r="C65" t="s">
        <v>858</v>
      </c>
      <c r="D65" t="s">
        <v>0</v>
      </c>
      <c r="G65" s="14" t="s">
        <v>2</v>
      </c>
      <c r="H65" s="14" t="s">
        <v>1062</v>
      </c>
      <c r="I65" s="14" t="s">
        <v>2</v>
      </c>
      <c r="J65" s="14" t="s">
        <v>1155</v>
      </c>
    </row>
    <row r="66" spans="1:10">
      <c r="A66" t="s">
        <v>391</v>
      </c>
      <c r="B66" t="s">
        <v>612</v>
      </c>
      <c r="C66" t="s">
        <v>839</v>
      </c>
      <c r="D66" t="s">
        <v>0</v>
      </c>
      <c r="G66" s="14" t="s">
        <v>2</v>
      </c>
      <c r="H66" s="14" t="s">
        <v>1062</v>
      </c>
      <c r="I66" s="14" t="s">
        <v>2</v>
      </c>
      <c r="J66" s="14" t="s">
        <v>1130</v>
      </c>
    </row>
    <row r="67" spans="1:10">
      <c r="A67" t="s">
        <v>391</v>
      </c>
      <c r="B67" t="s">
        <v>613</v>
      </c>
      <c r="C67" t="s">
        <v>859</v>
      </c>
      <c r="D67" t="s">
        <v>0</v>
      </c>
      <c r="G67" s="14" t="s">
        <v>2</v>
      </c>
      <c r="H67" s="14" t="s">
        <v>1062</v>
      </c>
      <c r="I67" s="14" t="s">
        <v>2</v>
      </c>
      <c r="J67" s="14" t="s">
        <v>1156</v>
      </c>
    </row>
    <row r="68" spans="1:10">
      <c r="A68" t="s">
        <v>392</v>
      </c>
      <c r="B68" t="s">
        <v>614</v>
      </c>
      <c r="C68" t="s">
        <v>860</v>
      </c>
      <c r="D68" t="s">
        <v>0</v>
      </c>
      <c r="G68" s="14" t="s">
        <v>2</v>
      </c>
      <c r="H68" s="14" t="s">
        <v>1063</v>
      </c>
      <c r="I68" s="14" t="s">
        <v>3</v>
      </c>
      <c r="J68" s="14" t="s">
        <v>1157</v>
      </c>
    </row>
    <row r="69" spans="1:10">
      <c r="A69" t="s">
        <v>393</v>
      </c>
      <c r="B69" t="s">
        <v>591</v>
      </c>
      <c r="C69" t="s">
        <v>861</v>
      </c>
      <c r="D69" t="s">
        <v>0</v>
      </c>
      <c r="G69" s="14" t="s">
        <v>2</v>
      </c>
      <c r="H69" s="14" t="s">
        <v>1063</v>
      </c>
      <c r="I69" s="14" t="s">
        <v>2</v>
      </c>
      <c r="J69" s="14" t="s">
        <v>1158</v>
      </c>
    </row>
    <row r="70" spans="1:10">
      <c r="A70" t="s">
        <v>393</v>
      </c>
      <c r="B70" t="s">
        <v>615</v>
      </c>
      <c r="C70" t="s">
        <v>862</v>
      </c>
      <c r="D70" t="s">
        <v>0</v>
      </c>
      <c r="G70" s="14" t="s">
        <v>2</v>
      </c>
      <c r="H70" s="14" t="s">
        <v>1064</v>
      </c>
      <c r="I70" s="14" t="s">
        <v>2</v>
      </c>
      <c r="J70" s="14" t="s">
        <v>1139</v>
      </c>
    </row>
    <row r="71" spans="1:10">
      <c r="A71" t="s">
        <v>394</v>
      </c>
      <c r="B71" t="s">
        <v>616</v>
      </c>
      <c r="C71" t="s">
        <v>863</v>
      </c>
      <c r="D71" t="s">
        <v>0</v>
      </c>
      <c r="G71" s="14" t="s">
        <v>2</v>
      </c>
      <c r="H71" s="14" t="s">
        <v>1064</v>
      </c>
      <c r="I71" s="14" t="s">
        <v>2</v>
      </c>
      <c r="J71" s="14" t="s">
        <v>1147</v>
      </c>
    </row>
    <row r="72" spans="1:10">
      <c r="A72" t="s">
        <v>395</v>
      </c>
      <c r="B72" t="s">
        <v>617</v>
      </c>
      <c r="C72" t="s">
        <v>864</v>
      </c>
      <c r="D72" t="s">
        <v>0</v>
      </c>
      <c r="G72" s="14" t="s">
        <v>2</v>
      </c>
      <c r="H72" s="14" t="s">
        <v>1064</v>
      </c>
      <c r="I72" s="14" t="s">
        <v>2</v>
      </c>
      <c r="J72" s="14" t="s">
        <v>1159</v>
      </c>
    </row>
    <row r="73" spans="1:10">
      <c r="A73" t="s">
        <v>396</v>
      </c>
      <c r="B73" t="s">
        <v>569</v>
      </c>
      <c r="C73" t="s">
        <v>817</v>
      </c>
      <c r="D73" t="s">
        <v>0</v>
      </c>
      <c r="G73" s="14" t="s">
        <v>2</v>
      </c>
      <c r="H73" s="14" t="s">
        <v>1064</v>
      </c>
      <c r="I73" s="14" t="s">
        <v>2</v>
      </c>
      <c r="J73" s="14" t="s">
        <v>1139</v>
      </c>
    </row>
    <row r="74" spans="1:10">
      <c r="A74" t="s">
        <v>397</v>
      </c>
      <c r="B74" t="s">
        <v>618</v>
      </c>
      <c r="C74" t="s">
        <v>865</v>
      </c>
      <c r="D74" t="s">
        <v>0</v>
      </c>
      <c r="G74" s="14" t="s">
        <v>2</v>
      </c>
      <c r="H74" s="14" t="s">
        <v>1064</v>
      </c>
      <c r="I74" s="14" t="s">
        <v>2</v>
      </c>
      <c r="J74" s="14" t="s">
        <v>1160</v>
      </c>
    </row>
    <row r="75" spans="1:10">
      <c r="A75" t="s">
        <v>398</v>
      </c>
      <c r="B75" t="s">
        <v>619</v>
      </c>
      <c r="C75" t="s">
        <v>866</v>
      </c>
      <c r="D75" t="s">
        <v>0</v>
      </c>
      <c r="G75" s="14" t="s">
        <v>2</v>
      </c>
      <c r="H75" s="14" t="s">
        <v>1064</v>
      </c>
      <c r="I75" s="14" t="s">
        <v>2</v>
      </c>
      <c r="J75" s="14" t="s">
        <v>1155</v>
      </c>
    </row>
    <row r="76" spans="1:10">
      <c r="A76" t="s">
        <v>399</v>
      </c>
      <c r="B76" t="s">
        <v>620</v>
      </c>
      <c r="C76" t="s">
        <v>867</v>
      </c>
      <c r="D76" t="s">
        <v>0</v>
      </c>
      <c r="G76" s="14" t="s">
        <v>2</v>
      </c>
      <c r="H76" s="14" t="s">
        <v>1065</v>
      </c>
      <c r="I76" s="14" t="s">
        <v>2</v>
      </c>
      <c r="J76" s="14" t="s">
        <v>1121</v>
      </c>
    </row>
    <row r="77" spans="1:10">
      <c r="A77" t="s">
        <v>399</v>
      </c>
      <c r="B77" t="s">
        <v>621</v>
      </c>
      <c r="C77" t="s">
        <v>868</v>
      </c>
      <c r="D77" t="s">
        <v>0</v>
      </c>
      <c r="G77" s="14" t="s">
        <v>2</v>
      </c>
      <c r="H77" s="14" t="s">
        <v>1065</v>
      </c>
      <c r="I77" s="14" t="s">
        <v>2</v>
      </c>
      <c r="J77" s="14" t="s">
        <v>1109</v>
      </c>
    </row>
    <row r="78" spans="1:10">
      <c r="A78" t="s">
        <v>400</v>
      </c>
      <c r="B78" t="s">
        <v>622</v>
      </c>
      <c r="C78" t="s">
        <v>869</v>
      </c>
      <c r="D78" t="s">
        <v>0</v>
      </c>
      <c r="G78" s="14" t="s">
        <v>2</v>
      </c>
      <c r="H78" s="14" t="s">
        <v>1065</v>
      </c>
      <c r="I78" s="14" t="s">
        <v>5</v>
      </c>
      <c r="J78" s="14" t="s">
        <v>1143</v>
      </c>
    </row>
    <row r="79" spans="1:10">
      <c r="A79" t="s">
        <v>401</v>
      </c>
      <c r="B79" t="s">
        <v>623</v>
      </c>
      <c r="C79" t="s">
        <v>870</v>
      </c>
      <c r="D79" t="s">
        <v>0</v>
      </c>
      <c r="G79" s="14" t="s">
        <v>2</v>
      </c>
      <c r="H79" s="14" t="s">
        <v>1065</v>
      </c>
      <c r="I79" s="14" t="s">
        <v>1101</v>
      </c>
      <c r="J79" s="14" t="s">
        <v>1155</v>
      </c>
    </row>
    <row r="80" spans="1:10">
      <c r="A80" t="s">
        <v>402</v>
      </c>
      <c r="B80" t="s">
        <v>624</v>
      </c>
      <c r="C80" t="s">
        <v>871</v>
      </c>
      <c r="D80" t="s">
        <v>0</v>
      </c>
      <c r="G80" s="14" t="s">
        <v>2</v>
      </c>
      <c r="H80" s="14" t="s">
        <v>1065</v>
      </c>
      <c r="I80" s="14" t="s">
        <v>2</v>
      </c>
      <c r="J80" s="14" t="s">
        <v>1109</v>
      </c>
    </row>
    <row r="81" spans="1:10">
      <c r="A81" t="s">
        <v>403</v>
      </c>
      <c r="B81" t="s">
        <v>554</v>
      </c>
      <c r="C81" t="s">
        <v>872</v>
      </c>
      <c r="D81" t="s">
        <v>0</v>
      </c>
      <c r="G81" s="14" t="s">
        <v>2</v>
      </c>
      <c r="H81" s="14" t="s">
        <v>1066</v>
      </c>
      <c r="I81" s="14" t="s">
        <v>2</v>
      </c>
      <c r="J81" s="14" t="s">
        <v>1159</v>
      </c>
    </row>
    <row r="82" spans="1:10">
      <c r="A82" t="s">
        <v>404</v>
      </c>
      <c r="B82" t="s">
        <v>625</v>
      </c>
      <c r="C82" t="s">
        <v>873</v>
      </c>
      <c r="D82" t="s">
        <v>0</v>
      </c>
      <c r="G82" s="14" t="s">
        <v>2</v>
      </c>
      <c r="H82" s="14" t="s">
        <v>1066</v>
      </c>
      <c r="I82" s="14" t="s">
        <v>2</v>
      </c>
      <c r="J82" s="14" t="s">
        <v>1161</v>
      </c>
    </row>
    <row r="83" spans="1:10">
      <c r="A83" t="s">
        <v>405</v>
      </c>
      <c r="B83" t="s">
        <v>626</v>
      </c>
      <c r="C83" t="s">
        <v>874</v>
      </c>
      <c r="D83" t="s">
        <v>0</v>
      </c>
      <c r="G83" s="14" t="s">
        <v>2</v>
      </c>
      <c r="H83" s="14" t="s">
        <v>1066</v>
      </c>
      <c r="I83" s="14" t="s">
        <v>2</v>
      </c>
      <c r="J83" s="14" t="s">
        <v>1127</v>
      </c>
    </row>
    <row r="84" spans="1:10">
      <c r="A84" t="s">
        <v>406</v>
      </c>
      <c r="B84" t="s">
        <v>627</v>
      </c>
      <c r="C84" t="s">
        <v>875</v>
      </c>
      <c r="D84" t="s">
        <v>0</v>
      </c>
      <c r="G84" s="14" t="s">
        <v>2</v>
      </c>
      <c r="H84" s="14" t="s">
        <v>1066</v>
      </c>
      <c r="I84" s="14" t="s">
        <v>4</v>
      </c>
      <c r="J84" s="14" t="s">
        <v>1162</v>
      </c>
    </row>
    <row r="85" spans="1:10">
      <c r="A85" t="s">
        <v>407</v>
      </c>
      <c r="B85" t="s">
        <v>628</v>
      </c>
      <c r="C85" t="s">
        <v>876</v>
      </c>
      <c r="D85" t="s">
        <v>0</v>
      </c>
      <c r="G85" s="14" t="s">
        <v>2</v>
      </c>
      <c r="H85" s="14" t="s">
        <v>1067</v>
      </c>
      <c r="I85" s="14" t="s">
        <v>2</v>
      </c>
      <c r="J85" s="14" t="s">
        <v>1123</v>
      </c>
    </row>
    <row r="86" spans="1:10">
      <c r="A86" t="s">
        <v>408</v>
      </c>
      <c r="B86" t="s">
        <v>629</v>
      </c>
      <c r="C86" t="s">
        <v>877</v>
      </c>
      <c r="D86" t="s">
        <v>0</v>
      </c>
      <c r="G86" s="14" t="s">
        <v>2</v>
      </c>
      <c r="H86" s="14" t="s">
        <v>1067</v>
      </c>
      <c r="I86" s="14" t="s">
        <v>2</v>
      </c>
      <c r="J86" s="14" t="s">
        <v>1159</v>
      </c>
    </row>
    <row r="87" spans="1:10">
      <c r="A87" t="s">
        <v>408</v>
      </c>
      <c r="B87" t="s">
        <v>630</v>
      </c>
      <c r="C87" t="s">
        <v>878</v>
      </c>
      <c r="D87" t="s">
        <v>0</v>
      </c>
      <c r="G87" s="14" t="s">
        <v>2</v>
      </c>
      <c r="H87" s="14" t="s">
        <v>1067</v>
      </c>
      <c r="I87" s="14" t="s">
        <v>2</v>
      </c>
      <c r="J87" s="14" t="s">
        <v>1163</v>
      </c>
    </row>
    <row r="88" spans="1:10">
      <c r="A88" t="s">
        <v>409</v>
      </c>
      <c r="B88" t="s">
        <v>623</v>
      </c>
      <c r="C88" t="s">
        <v>879</v>
      </c>
      <c r="D88" t="s">
        <v>0</v>
      </c>
      <c r="G88" s="14" t="s">
        <v>2</v>
      </c>
      <c r="H88" s="14" t="s">
        <v>1067</v>
      </c>
      <c r="I88" s="14" t="s">
        <v>2</v>
      </c>
      <c r="J88" s="14" t="s">
        <v>1123</v>
      </c>
    </row>
    <row r="89" spans="1:10">
      <c r="A89" t="s">
        <v>409</v>
      </c>
      <c r="B89" t="s">
        <v>631</v>
      </c>
      <c r="C89" t="s">
        <v>880</v>
      </c>
      <c r="D89" t="s">
        <v>0</v>
      </c>
      <c r="G89" s="14" t="s">
        <v>2</v>
      </c>
      <c r="H89" s="14" t="s">
        <v>1067</v>
      </c>
      <c r="I89" s="14" t="s">
        <v>2</v>
      </c>
      <c r="J89" s="14" t="s">
        <v>1164</v>
      </c>
    </row>
    <row r="90" spans="1:10">
      <c r="A90" t="s">
        <v>410</v>
      </c>
      <c r="B90" t="s">
        <v>632</v>
      </c>
      <c r="C90" t="s">
        <v>881</v>
      </c>
      <c r="D90" t="s">
        <v>0</v>
      </c>
      <c r="G90" s="14" t="s">
        <v>2</v>
      </c>
      <c r="H90" s="14" t="s">
        <v>1067</v>
      </c>
      <c r="I90" s="14" t="s">
        <v>2</v>
      </c>
      <c r="J90" s="14" t="s">
        <v>1152</v>
      </c>
    </row>
    <row r="91" spans="1:10">
      <c r="A91" t="s">
        <v>411</v>
      </c>
      <c r="B91" t="s">
        <v>633</v>
      </c>
      <c r="C91" t="s">
        <v>882</v>
      </c>
      <c r="D91" t="s">
        <v>0</v>
      </c>
      <c r="G91" s="14" t="s">
        <v>2</v>
      </c>
      <c r="H91" s="14" t="s">
        <v>1068</v>
      </c>
      <c r="I91" s="14" t="s">
        <v>4</v>
      </c>
      <c r="J91" s="14" t="s">
        <v>1141</v>
      </c>
    </row>
    <row r="92" spans="1:10">
      <c r="A92" t="s">
        <v>412</v>
      </c>
      <c r="B92" t="s">
        <v>634</v>
      </c>
      <c r="C92" t="s">
        <v>859</v>
      </c>
      <c r="D92" t="s">
        <v>0</v>
      </c>
      <c r="G92" s="14" t="s">
        <v>2</v>
      </c>
      <c r="H92" s="14" t="s">
        <v>1068</v>
      </c>
      <c r="I92" s="14" t="s">
        <v>2</v>
      </c>
      <c r="J92" s="14" t="s">
        <v>1114</v>
      </c>
    </row>
    <row r="93" spans="1:10">
      <c r="A93" t="s">
        <v>413</v>
      </c>
      <c r="B93" t="s">
        <v>584</v>
      </c>
      <c r="C93" t="s">
        <v>883</v>
      </c>
      <c r="D93" t="s">
        <v>0</v>
      </c>
      <c r="G93" s="14" t="s">
        <v>2</v>
      </c>
      <c r="H93" s="14" t="s">
        <v>1068</v>
      </c>
      <c r="I93" s="14" t="s">
        <v>3</v>
      </c>
      <c r="J93" s="14" t="s">
        <v>1155</v>
      </c>
    </row>
    <row r="94" spans="1:10">
      <c r="A94" t="s">
        <v>413</v>
      </c>
      <c r="B94" t="s">
        <v>635</v>
      </c>
      <c r="C94" t="s">
        <v>884</v>
      </c>
      <c r="D94" t="s">
        <v>0</v>
      </c>
      <c r="G94" s="14" t="s">
        <v>2</v>
      </c>
      <c r="H94" s="14" t="s">
        <v>1068</v>
      </c>
      <c r="I94" s="14" t="s">
        <v>4</v>
      </c>
      <c r="J94" s="14" t="s">
        <v>1149</v>
      </c>
    </row>
    <row r="95" spans="1:10">
      <c r="A95" t="s">
        <v>414</v>
      </c>
      <c r="B95" t="s">
        <v>563</v>
      </c>
      <c r="C95" t="s">
        <v>885</v>
      </c>
      <c r="D95" t="s">
        <v>0</v>
      </c>
      <c r="G95" s="14" t="s">
        <v>2</v>
      </c>
      <c r="H95" s="14" t="s">
        <v>1068</v>
      </c>
      <c r="I95" s="14" t="s">
        <v>1102</v>
      </c>
      <c r="J95" s="14" t="s">
        <v>1109</v>
      </c>
    </row>
    <row r="96" spans="1:10">
      <c r="A96" t="s">
        <v>415</v>
      </c>
      <c r="B96" t="s">
        <v>636</v>
      </c>
      <c r="C96" t="s">
        <v>886</v>
      </c>
      <c r="D96" t="s">
        <v>0</v>
      </c>
      <c r="G96" s="14" t="s">
        <v>2</v>
      </c>
      <c r="H96" s="14" t="s">
        <v>1068</v>
      </c>
      <c r="I96" s="14" t="s">
        <v>2</v>
      </c>
      <c r="J96" s="14" t="s">
        <v>1165</v>
      </c>
    </row>
    <row r="97" spans="1:10">
      <c r="A97" t="s">
        <v>415</v>
      </c>
      <c r="B97" t="s">
        <v>637</v>
      </c>
      <c r="C97" t="s">
        <v>887</v>
      </c>
      <c r="D97" t="s">
        <v>0</v>
      </c>
      <c r="G97" s="14" t="s">
        <v>2</v>
      </c>
      <c r="H97" s="14" t="s">
        <v>1068</v>
      </c>
      <c r="I97" s="14" t="s">
        <v>2</v>
      </c>
      <c r="J97" s="14" t="s">
        <v>1151</v>
      </c>
    </row>
    <row r="98" spans="1:10">
      <c r="A98" t="s">
        <v>416</v>
      </c>
      <c r="B98" t="s">
        <v>638</v>
      </c>
      <c r="C98" t="s">
        <v>888</v>
      </c>
      <c r="D98" t="s">
        <v>0</v>
      </c>
      <c r="G98" s="14" t="s">
        <v>2</v>
      </c>
      <c r="H98" s="14" t="s">
        <v>1069</v>
      </c>
      <c r="I98" s="14" t="s">
        <v>2</v>
      </c>
      <c r="J98" s="14" t="s">
        <v>1120</v>
      </c>
    </row>
    <row r="99" spans="1:10">
      <c r="A99" t="s">
        <v>417</v>
      </c>
      <c r="B99" t="s">
        <v>639</v>
      </c>
      <c r="C99" t="s">
        <v>889</v>
      </c>
      <c r="D99" t="s">
        <v>0</v>
      </c>
      <c r="G99" s="14" t="s">
        <v>2</v>
      </c>
      <c r="H99" s="14" t="s">
        <v>1069</v>
      </c>
      <c r="I99" s="14" t="s">
        <v>2</v>
      </c>
      <c r="J99" s="14" t="s">
        <v>1144</v>
      </c>
    </row>
    <row r="100" spans="1:10">
      <c r="A100" t="s">
        <v>418</v>
      </c>
      <c r="B100" t="s">
        <v>640</v>
      </c>
      <c r="C100" t="s">
        <v>890</v>
      </c>
      <c r="D100" t="s">
        <v>0</v>
      </c>
      <c r="G100" s="14" t="s">
        <v>2</v>
      </c>
      <c r="H100" s="14" t="s">
        <v>1069</v>
      </c>
      <c r="I100" s="14" t="s">
        <v>2</v>
      </c>
      <c r="J100" s="14" t="s">
        <v>1151</v>
      </c>
    </row>
    <row r="101" spans="1:10">
      <c r="A101" t="s">
        <v>419</v>
      </c>
      <c r="B101" t="s">
        <v>641</v>
      </c>
      <c r="C101" t="s">
        <v>891</v>
      </c>
      <c r="D101" t="s">
        <v>0</v>
      </c>
      <c r="G101" s="14" t="s">
        <v>2</v>
      </c>
      <c r="H101" s="14" t="s">
        <v>1069</v>
      </c>
      <c r="I101" s="14" t="s">
        <v>2</v>
      </c>
      <c r="J101" s="14" t="s">
        <v>1109</v>
      </c>
    </row>
    <row r="102" spans="1:10">
      <c r="A102" t="s">
        <v>420</v>
      </c>
      <c r="B102" t="s">
        <v>642</v>
      </c>
      <c r="C102" t="s">
        <v>850</v>
      </c>
      <c r="D102" t="s">
        <v>0</v>
      </c>
      <c r="G102" s="14" t="s">
        <v>2</v>
      </c>
      <c r="H102" s="14" t="s">
        <v>1069</v>
      </c>
      <c r="I102" s="14" t="s">
        <v>2</v>
      </c>
      <c r="J102" s="14" t="s">
        <v>1134</v>
      </c>
    </row>
    <row r="103" spans="1:10">
      <c r="A103" t="s">
        <v>420</v>
      </c>
      <c r="B103" t="s">
        <v>596</v>
      </c>
      <c r="C103" t="s">
        <v>892</v>
      </c>
      <c r="D103" t="s">
        <v>0</v>
      </c>
      <c r="G103" s="14" t="s">
        <v>2</v>
      </c>
      <c r="H103" s="14" t="s">
        <v>1069</v>
      </c>
      <c r="I103" s="14" t="s">
        <v>2</v>
      </c>
      <c r="J103" s="14" t="s">
        <v>1166</v>
      </c>
    </row>
    <row r="104" spans="1:10">
      <c r="A104" t="s">
        <v>420</v>
      </c>
      <c r="B104" t="s">
        <v>643</v>
      </c>
      <c r="C104" t="s">
        <v>893</v>
      </c>
      <c r="D104" t="s">
        <v>0</v>
      </c>
      <c r="G104" s="14" t="s">
        <v>2</v>
      </c>
      <c r="H104" s="14" t="s">
        <v>1070</v>
      </c>
      <c r="I104" s="14" t="s">
        <v>2</v>
      </c>
      <c r="J104" s="14" t="s">
        <v>1151</v>
      </c>
    </row>
    <row r="105" spans="1:10">
      <c r="A105" t="s">
        <v>420</v>
      </c>
      <c r="B105" t="s">
        <v>644</v>
      </c>
      <c r="C105" t="s">
        <v>894</v>
      </c>
      <c r="D105" t="s">
        <v>0</v>
      </c>
      <c r="G105" s="14" t="s">
        <v>2</v>
      </c>
      <c r="H105" s="14" t="s">
        <v>1070</v>
      </c>
      <c r="I105" s="14" t="s">
        <v>2</v>
      </c>
      <c r="J105" s="14" t="s">
        <v>1153</v>
      </c>
    </row>
    <row r="106" spans="1:10">
      <c r="A106" t="s">
        <v>421</v>
      </c>
      <c r="B106" t="s">
        <v>645</v>
      </c>
      <c r="C106" t="s">
        <v>895</v>
      </c>
      <c r="D106" t="s">
        <v>0</v>
      </c>
      <c r="G106" s="14" t="s">
        <v>2</v>
      </c>
      <c r="H106" s="14" t="s">
        <v>1070</v>
      </c>
      <c r="I106" s="14" t="s">
        <v>2</v>
      </c>
      <c r="J106" s="14" t="s">
        <v>1162</v>
      </c>
    </row>
    <row r="107" spans="1:10">
      <c r="A107" t="s">
        <v>422</v>
      </c>
      <c r="B107" t="s">
        <v>625</v>
      </c>
      <c r="C107" t="s">
        <v>896</v>
      </c>
      <c r="D107" t="s">
        <v>0</v>
      </c>
      <c r="G107" s="14" t="s">
        <v>2</v>
      </c>
      <c r="H107" s="14" t="s">
        <v>1070</v>
      </c>
      <c r="I107" s="14" t="s">
        <v>2</v>
      </c>
      <c r="J107" s="14" t="s">
        <v>1167</v>
      </c>
    </row>
    <row r="108" spans="1:10">
      <c r="A108" t="s">
        <v>422</v>
      </c>
      <c r="B108" t="s">
        <v>646</v>
      </c>
      <c r="C108" t="s">
        <v>897</v>
      </c>
      <c r="D108" t="s">
        <v>0</v>
      </c>
      <c r="G108" s="14" t="s">
        <v>2</v>
      </c>
      <c r="H108" s="14" t="s">
        <v>1070</v>
      </c>
      <c r="I108" s="14" t="s">
        <v>2</v>
      </c>
      <c r="J108" s="14" t="s">
        <v>1151</v>
      </c>
    </row>
    <row r="109" spans="1:10">
      <c r="A109" t="s">
        <v>423</v>
      </c>
      <c r="B109" t="s">
        <v>647</v>
      </c>
      <c r="C109" t="s">
        <v>898</v>
      </c>
      <c r="D109" t="s">
        <v>0</v>
      </c>
      <c r="G109" s="14" t="s">
        <v>2</v>
      </c>
      <c r="H109" s="14" t="s">
        <v>1070</v>
      </c>
      <c r="I109" s="14" t="s">
        <v>2</v>
      </c>
      <c r="J109" s="14" t="s">
        <v>1131</v>
      </c>
    </row>
    <row r="110" spans="1:10">
      <c r="A110" t="s">
        <v>424</v>
      </c>
      <c r="B110" t="s">
        <v>648</v>
      </c>
      <c r="C110" t="s">
        <v>899</v>
      </c>
      <c r="D110" t="s">
        <v>0</v>
      </c>
      <c r="G110" s="14" t="s">
        <v>2</v>
      </c>
      <c r="H110" s="14" t="s">
        <v>1071</v>
      </c>
      <c r="I110" s="14" t="s">
        <v>2</v>
      </c>
      <c r="J110" s="14" t="s">
        <v>1135</v>
      </c>
    </row>
    <row r="111" spans="1:10">
      <c r="A111" t="s">
        <v>425</v>
      </c>
      <c r="B111" t="s">
        <v>649</v>
      </c>
      <c r="C111" t="s">
        <v>845</v>
      </c>
      <c r="D111" t="s">
        <v>0</v>
      </c>
      <c r="G111" s="14" t="s">
        <v>2</v>
      </c>
      <c r="H111" s="14" t="s">
        <v>1071</v>
      </c>
      <c r="I111" s="14" t="s">
        <v>2</v>
      </c>
      <c r="J111" s="14" t="s">
        <v>1130</v>
      </c>
    </row>
    <row r="112" spans="1:10">
      <c r="A112" t="s">
        <v>426</v>
      </c>
      <c r="B112" t="s">
        <v>650</v>
      </c>
      <c r="C112" t="s">
        <v>900</v>
      </c>
      <c r="D112" t="s">
        <v>0</v>
      </c>
      <c r="G112" s="14" t="s">
        <v>2</v>
      </c>
      <c r="H112" s="14" t="s">
        <v>1071</v>
      </c>
      <c r="I112" s="14" t="s">
        <v>2</v>
      </c>
      <c r="J112" s="14" t="s">
        <v>1168</v>
      </c>
    </row>
    <row r="113" spans="1:10">
      <c r="A113" t="s">
        <v>426</v>
      </c>
      <c r="B113" t="s">
        <v>651</v>
      </c>
      <c r="C113" t="s">
        <v>901</v>
      </c>
      <c r="D113" t="s">
        <v>0</v>
      </c>
      <c r="G113" s="14" t="s">
        <v>2</v>
      </c>
      <c r="H113" s="14" t="s">
        <v>1071</v>
      </c>
      <c r="I113" s="14" t="s">
        <v>2</v>
      </c>
      <c r="J113" s="14" t="s">
        <v>1162</v>
      </c>
    </row>
    <row r="114" spans="1:10">
      <c r="A114" t="s">
        <v>427</v>
      </c>
      <c r="B114" t="s">
        <v>652</v>
      </c>
      <c r="C114" t="s">
        <v>902</v>
      </c>
      <c r="D114" t="s">
        <v>0</v>
      </c>
      <c r="G114" s="14" t="s">
        <v>2</v>
      </c>
      <c r="H114" s="14" t="s">
        <v>1071</v>
      </c>
      <c r="I114" s="14" t="s">
        <v>2</v>
      </c>
      <c r="J114" s="14" t="s">
        <v>1165</v>
      </c>
    </row>
    <row r="115" spans="1:10">
      <c r="A115" t="s">
        <v>427</v>
      </c>
      <c r="B115" t="s">
        <v>653</v>
      </c>
      <c r="C115" t="s">
        <v>903</v>
      </c>
      <c r="D115" t="s">
        <v>0</v>
      </c>
      <c r="G115" s="14" t="s">
        <v>2</v>
      </c>
      <c r="H115" s="14" t="s">
        <v>1071</v>
      </c>
      <c r="I115" s="14" t="s">
        <v>2</v>
      </c>
      <c r="J115" s="14" t="s">
        <v>1144</v>
      </c>
    </row>
    <row r="116" spans="1:10">
      <c r="A116" t="s">
        <v>427</v>
      </c>
      <c r="B116" t="s">
        <v>654</v>
      </c>
      <c r="C116" t="s">
        <v>904</v>
      </c>
      <c r="D116" t="s">
        <v>0</v>
      </c>
      <c r="G116" s="14" t="s">
        <v>2</v>
      </c>
      <c r="H116" s="14" t="s">
        <v>1071</v>
      </c>
      <c r="I116" s="14" t="s">
        <v>5</v>
      </c>
      <c r="J116" s="14" t="s">
        <v>1169</v>
      </c>
    </row>
    <row r="117" spans="1:10">
      <c r="A117" t="s">
        <v>428</v>
      </c>
      <c r="B117" t="s">
        <v>636</v>
      </c>
      <c r="C117" t="s">
        <v>905</v>
      </c>
      <c r="D117" t="s">
        <v>0</v>
      </c>
      <c r="G117" s="14" t="s">
        <v>2</v>
      </c>
      <c r="H117" s="14" t="s">
        <v>1071</v>
      </c>
      <c r="I117" s="14" t="s">
        <v>4</v>
      </c>
      <c r="J117" s="14" t="s">
        <v>1170</v>
      </c>
    </row>
    <row r="118" spans="1:10">
      <c r="A118" t="s">
        <v>429</v>
      </c>
      <c r="B118" t="s">
        <v>655</v>
      </c>
      <c r="C118" t="s">
        <v>906</v>
      </c>
      <c r="D118" t="s">
        <v>0</v>
      </c>
      <c r="G118" s="14" t="s">
        <v>2</v>
      </c>
      <c r="H118" s="14" t="s">
        <v>1071</v>
      </c>
      <c r="I118" s="14" t="s">
        <v>2</v>
      </c>
      <c r="J118" s="14" t="s">
        <v>1171</v>
      </c>
    </row>
    <row r="119" spans="1:10">
      <c r="A119" t="s">
        <v>430</v>
      </c>
      <c r="B119" t="s">
        <v>656</v>
      </c>
      <c r="C119" t="s">
        <v>907</v>
      </c>
      <c r="D119" t="s">
        <v>0</v>
      </c>
      <c r="G119" s="14" t="s">
        <v>2</v>
      </c>
      <c r="H119" s="14" t="s">
        <v>1071</v>
      </c>
      <c r="I119" s="14" t="s">
        <v>2</v>
      </c>
      <c r="J119" s="14" t="s">
        <v>1151</v>
      </c>
    </row>
    <row r="120" spans="1:10">
      <c r="A120" t="s">
        <v>431</v>
      </c>
      <c r="B120" t="s">
        <v>657</v>
      </c>
      <c r="C120" t="s">
        <v>908</v>
      </c>
      <c r="D120" t="s">
        <v>0</v>
      </c>
      <c r="G120" s="14" t="s">
        <v>2</v>
      </c>
      <c r="H120" s="14" t="s">
        <v>1071</v>
      </c>
      <c r="I120" s="14" t="s">
        <v>3</v>
      </c>
      <c r="J120" s="14" t="s">
        <v>1149</v>
      </c>
    </row>
    <row r="121" spans="1:10">
      <c r="A121" t="s">
        <v>431</v>
      </c>
      <c r="B121" t="s">
        <v>658</v>
      </c>
      <c r="C121" t="s">
        <v>909</v>
      </c>
      <c r="D121" t="s">
        <v>0</v>
      </c>
      <c r="G121" s="14" t="s">
        <v>2</v>
      </c>
      <c r="H121" s="14" t="s">
        <v>1072</v>
      </c>
      <c r="I121" s="14" t="s">
        <v>2</v>
      </c>
      <c r="J121" s="14" t="s">
        <v>1120</v>
      </c>
    </row>
    <row r="122" spans="1:10">
      <c r="A122" t="s">
        <v>432</v>
      </c>
      <c r="B122" t="s">
        <v>659</v>
      </c>
      <c r="C122" t="s">
        <v>833</v>
      </c>
      <c r="D122" t="s">
        <v>0</v>
      </c>
      <c r="G122" s="14" t="s">
        <v>2</v>
      </c>
      <c r="H122" s="14" t="s">
        <v>1072</v>
      </c>
      <c r="I122" s="14" t="s">
        <v>2</v>
      </c>
      <c r="J122" s="14" t="s">
        <v>1172</v>
      </c>
    </row>
    <row r="123" spans="1:10">
      <c r="A123" t="s">
        <v>432</v>
      </c>
      <c r="B123" t="s">
        <v>660</v>
      </c>
      <c r="C123" t="s">
        <v>910</v>
      </c>
      <c r="D123" t="s">
        <v>0</v>
      </c>
      <c r="G123" s="14" t="s">
        <v>2</v>
      </c>
      <c r="H123" s="14" t="s">
        <v>1072</v>
      </c>
      <c r="I123" s="14" t="s">
        <v>2</v>
      </c>
      <c r="J123" s="14" t="s">
        <v>1173</v>
      </c>
    </row>
    <row r="124" spans="1:10">
      <c r="A124" t="s">
        <v>433</v>
      </c>
      <c r="B124" t="s">
        <v>661</v>
      </c>
      <c r="C124" t="s">
        <v>911</v>
      </c>
      <c r="D124" t="s">
        <v>0</v>
      </c>
      <c r="G124" s="14" t="s">
        <v>2</v>
      </c>
      <c r="H124" s="14" t="s">
        <v>1072</v>
      </c>
      <c r="I124" s="14" t="s">
        <v>2</v>
      </c>
      <c r="J124" s="14" t="s">
        <v>1152</v>
      </c>
    </row>
    <row r="125" spans="1:10">
      <c r="A125" t="s">
        <v>434</v>
      </c>
      <c r="B125" t="s">
        <v>662</v>
      </c>
      <c r="C125" t="s">
        <v>912</v>
      </c>
      <c r="D125" t="s">
        <v>0</v>
      </c>
      <c r="G125" s="14" t="s">
        <v>2</v>
      </c>
      <c r="H125" s="14" t="s">
        <v>1072</v>
      </c>
      <c r="I125" s="14" t="s">
        <v>2</v>
      </c>
      <c r="J125" s="14" t="s">
        <v>1165</v>
      </c>
    </row>
    <row r="126" spans="1:10">
      <c r="A126" t="s">
        <v>435</v>
      </c>
      <c r="B126" t="s">
        <v>663</v>
      </c>
      <c r="C126" t="s">
        <v>913</v>
      </c>
      <c r="D126" t="s">
        <v>0</v>
      </c>
      <c r="G126" s="14" t="s">
        <v>2</v>
      </c>
      <c r="H126" s="14" t="s">
        <v>1072</v>
      </c>
      <c r="I126" s="14" t="s">
        <v>2</v>
      </c>
      <c r="J126" s="14" t="s">
        <v>1130</v>
      </c>
    </row>
    <row r="127" spans="1:10">
      <c r="A127" t="s">
        <v>435</v>
      </c>
      <c r="B127" t="s">
        <v>664</v>
      </c>
      <c r="C127" t="s">
        <v>914</v>
      </c>
      <c r="D127" t="s">
        <v>0</v>
      </c>
      <c r="G127" s="14" t="s">
        <v>2</v>
      </c>
      <c r="H127" s="14" t="s">
        <v>1073</v>
      </c>
      <c r="I127" s="14" t="s">
        <v>4</v>
      </c>
      <c r="J127" s="14" t="s">
        <v>1174</v>
      </c>
    </row>
    <row r="128" spans="1:10">
      <c r="A128" t="s">
        <v>436</v>
      </c>
      <c r="B128" t="s">
        <v>665</v>
      </c>
      <c r="C128" t="s">
        <v>915</v>
      </c>
      <c r="D128" t="s">
        <v>0</v>
      </c>
      <c r="G128" s="14" t="s">
        <v>2</v>
      </c>
      <c r="H128" s="14" t="s">
        <v>1073</v>
      </c>
      <c r="I128" s="14" t="s">
        <v>2</v>
      </c>
      <c r="J128" s="14" t="s">
        <v>1158</v>
      </c>
    </row>
    <row r="129" spans="1:10">
      <c r="A129" t="s">
        <v>437</v>
      </c>
      <c r="B129" t="s">
        <v>666</v>
      </c>
      <c r="C129" t="s">
        <v>830</v>
      </c>
      <c r="D129" t="s">
        <v>0</v>
      </c>
      <c r="G129" s="14" t="s">
        <v>2</v>
      </c>
      <c r="H129" s="14" t="s">
        <v>1073</v>
      </c>
      <c r="I129" s="14" t="s">
        <v>2</v>
      </c>
      <c r="J129" s="14" t="s">
        <v>1146</v>
      </c>
    </row>
    <row r="130" spans="1:10">
      <c r="A130" t="s">
        <v>438</v>
      </c>
      <c r="B130" t="s">
        <v>667</v>
      </c>
      <c r="C130" t="s">
        <v>916</v>
      </c>
      <c r="D130" t="s">
        <v>0</v>
      </c>
      <c r="G130" s="14" t="s">
        <v>2</v>
      </c>
      <c r="H130" s="14" t="s">
        <v>1073</v>
      </c>
      <c r="I130" s="14" t="s">
        <v>2</v>
      </c>
      <c r="J130" s="14" t="s">
        <v>1135</v>
      </c>
    </row>
    <row r="131" spans="1:10">
      <c r="A131" t="s">
        <v>438</v>
      </c>
      <c r="B131" t="s">
        <v>667</v>
      </c>
      <c r="C131" t="s">
        <v>916</v>
      </c>
      <c r="D131" t="s">
        <v>0</v>
      </c>
      <c r="G131" s="14" t="s">
        <v>2</v>
      </c>
      <c r="H131" s="14" t="s">
        <v>1073</v>
      </c>
      <c r="I131" s="14" t="s">
        <v>2</v>
      </c>
      <c r="J131" s="14" t="s">
        <v>1175</v>
      </c>
    </row>
    <row r="132" spans="1:10">
      <c r="A132" t="s">
        <v>439</v>
      </c>
      <c r="B132" t="s">
        <v>668</v>
      </c>
      <c r="C132" t="s">
        <v>917</v>
      </c>
      <c r="D132" t="s">
        <v>0</v>
      </c>
      <c r="G132" s="14" t="s">
        <v>2</v>
      </c>
      <c r="H132" s="14" t="s">
        <v>1073</v>
      </c>
      <c r="I132" s="14" t="s">
        <v>2</v>
      </c>
      <c r="J132" s="14" t="s">
        <v>1176</v>
      </c>
    </row>
    <row r="133" spans="1:10">
      <c r="A133" t="s">
        <v>439</v>
      </c>
      <c r="B133" t="s">
        <v>669</v>
      </c>
      <c r="C133" t="s">
        <v>918</v>
      </c>
      <c r="D133" t="s">
        <v>0</v>
      </c>
      <c r="G133" s="14" t="s">
        <v>2</v>
      </c>
      <c r="H133" s="14" t="s">
        <v>1073</v>
      </c>
      <c r="I133" s="14" t="s">
        <v>2</v>
      </c>
      <c r="J133" s="14" t="s">
        <v>1177</v>
      </c>
    </row>
    <row r="134" spans="1:10">
      <c r="A134" t="s">
        <v>440</v>
      </c>
      <c r="B134" t="s">
        <v>670</v>
      </c>
      <c r="C134" t="s">
        <v>919</v>
      </c>
      <c r="D134" t="s">
        <v>0</v>
      </c>
      <c r="G134" s="14" t="s">
        <v>2</v>
      </c>
      <c r="H134" s="14" t="s">
        <v>1073</v>
      </c>
      <c r="I134" s="14" t="s">
        <v>2</v>
      </c>
      <c r="J134" s="14" t="s">
        <v>1178</v>
      </c>
    </row>
    <row r="135" spans="1:10">
      <c r="A135" t="s">
        <v>441</v>
      </c>
      <c r="B135" t="s">
        <v>671</v>
      </c>
      <c r="C135" t="s">
        <v>920</v>
      </c>
      <c r="D135" t="s">
        <v>0</v>
      </c>
      <c r="G135" s="14" t="s">
        <v>2</v>
      </c>
      <c r="H135" s="14" t="s">
        <v>1074</v>
      </c>
      <c r="I135" s="14" t="s">
        <v>2</v>
      </c>
      <c r="J135" s="14" t="s">
        <v>1174</v>
      </c>
    </row>
    <row r="136" spans="1:10">
      <c r="A136" t="s">
        <v>442</v>
      </c>
      <c r="B136" t="s">
        <v>672</v>
      </c>
      <c r="C136" t="s">
        <v>921</v>
      </c>
      <c r="D136" t="s">
        <v>0</v>
      </c>
      <c r="G136" s="14" t="s">
        <v>2</v>
      </c>
      <c r="H136" s="14" t="s">
        <v>1074</v>
      </c>
      <c r="I136" s="14" t="s">
        <v>2</v>
      </c>
      <c r="J136" s="14" t="s">
        <v>1112</v>
      </c>
    </row>
    <row r="137" spans="1:10">
      <c r="A137" t="s">
        <v>442</v>
      </c>
      <c r="B137" t="s">
        <v>673</v>
      </c>
      <c r="C137" t="s">
        <v>922</v>
      </c>
      <c r="D137" t="s">
        <v>0</v>
      </c>
      <c r="G137" s="14" t="s">
        <v>2</v>
      </c>
      <c r="H137" s="14" t="s">
        <v>1074</v>
      </c>
      <c r="I137" s="14" t="s">
        <v>3</v>
      </c>
      <c r="J137" s="14" t="s">
        <v>1179</v>
      </c>
    </row>
    <row r="138" spans="1:10">
      <c r="A138" t="s">
        <v>442</v>
      </c>
      <c r="B138" t="s">
        <v>674</v>
      </c>
      <c r="C138" t="s">
        <v>923</v>
      </c>
      <c r="D138" t="s">
        <v>0</v>
      </c>
      <c r="G138" s="14" t="s">
        <v>2</v>
      </c>
      <c r="H138" s="14" t="s">
        <v>1075</v>
      </c>
      <c r="I138" s="14" t="s">
        <v>2</v>
      </c>
      <c r="J138" s="14" t="s">
        <v>1174</v>
      </c>
    </row>
    <row r="139" spans="1:10">
      <c r="A139" t="s">
        <v>443</v>
      </c>
      <c r="B139" t="s">
        <v>675</v>
      </c>
      <c r="C139" t="s">
        <v>924</v>
      </c>
      <c r="D139" t="s">
        <v>0</v>
      </c>
      <c r="G139" s="14" t="s">
        <v>2</v>
      </c>
      <c r="H139" s="14" t="s">
        <v>1075</v>
      </c>
      <c r="I139" s="14" t="s">
        <v>2</v>
      </c>
      <c r="J139" s="14" t="s">
        <v>1109</v>
      </c>
    </row>
    <row r="140" spans="1:10">
      <c r="A140" t="s">
        <v>444</v>
      </c>
      <c r="B140" t="s">
        <v>676</v>
      </c>
      <c r="C140" t="s">
        <v>925</v>
      </c>
      <c r="D140" t="s">
        <v>0</v>
      </c>
      <c r="G140" s="14" t="s">
        <v>2</v>
      </c>
      <c r="H140" s="14" t="s">
        <v>1075</v>
      </c>
      <c r="I140" s="14" t="s">
        <v>2</v>
      </c>
      <c r="J140" s="14" t="s">
        <v>1136</v>
      </c>
    </row>
    <row r="141" spans="1:10">
      <c r="A141" t="s">
        <v>444</v>
      </c>
      <c r="B141" t="s">
        <v>677</v>
      </c>
      <c r="C141" t="s">
        <v>926</v>
      </c>
      <c r="D141" t="s">
        <v>0</v>
      </c>
      <c r="G141" s="14" t="s">
        <v>2</v>
      </c>
      <c r="H141" s="14" t="s">
        <v>1075</v>
      </c>
      <c r="I141" s="14" t="s">
        <v>2</v>
      </c>
      <c r="J141" s="14" t="s">
        <v>1110</v>
      </c>
    </row>
    <row r="142" spans="1:10">
      <c r="A142" t="s">
        <v>445</v>
      </c>
      <c r="B142" t="s">
        <v>678</v>
      </c>
      <c r="C142" t="s">
        <v>927</v>
      </c>
      <c r="D142" t="s">
        <v>0</v>
      </c>
      <c r="G142" s="14" t="s">
        <v>2</v>
      </c>
      <c r="H142" s="14" t="s">
        <v>1075</v>
      </c>
      <c r="I142" s="14" t="s">
        <v>2</v>
      </c>
      <c r="J142" s="14" t="s">
        <v>1164</v>
      </c>
    </row>
    <row r="143" spans="1:10">
      <c r="A143" t="s">
        <v>445</v>
      </c>
      <c r="B143" t="s">
        <v>679</v>
      </c>
      <c r="C143" t="s">
        <v>928</v>
      </c>
      <c r="D143" t="s">
        <v>0</v>
      </c>
      <c r="G143" s="14" t="s">
        <v>2</v>
      </c>
      <c r="H143" s="14" t="s">
        <v>1075</v>
      </c>
      <c r="I143" s="14" t="s">
        <v>4</v>
      </c>
      <c r="J143" s="14" t="s">
        <v>1139</v>
      </c>
    </row>
    <row r="144" spans="1:10">
      <c r="A144" t="s">
        <v>445</v>
      </c>
      <c r="B144" t="s">
        <v>680</v>
      </c>
      <c r="C144" t="s">
        <v>929</v>
      </c>
      <c r="D144" t="s">
        <v>0</v>
      </c>
      <c r="G144" s="14" t="s">
        <v>2</v>
      </c>
      <c r="H144" s="14" t="s">
        <v>1075</v>
      </c>
      <c r="I144" s="14" t="s">
        <v>2</v>
      </c>
      <c r="J144" s="14" t="s">
        <v>1123</v>
      </c>
    </row>
    <row r="145" spans="1:10">
      <c r="A145" t="s">
        <v>446</v>
      </c>
      <c r="B145" t="s">
        <v>681</v>
      </c>
      <c r="C145" t="s">
        <v>919</v>
      </c>
      <c r="D145" t="s">
        <v>0</v>
      </c>
      <c r="G145" s="14" t="s">
        <v>2</v>
      </c>
      <c r="H145" s="14" t="s">
        <v>1076</v>
      </c>
      <c r="I145" s="14" t="s">
        <v>2</v>
      </c>
      <c r="J145" s="14" t="s">
        <v>1180</v>
      </c>
    </row>
    <row r="146" spans="1:10">
      <c r="A146" t="s">
        <v>447</v>
      </c>
      <c r="B146" t="s">
        <v>652</v>
      </c>
      <c r="C146" t="s">
        <v>930</v>
      </c>
      <c r="D146" t="s">
        <v>0</v>
      </c>
      <c r="G146" s="14" t="s">
        <v>2</v>
      </c>
      <c r="H146" s="14" t="s">
        <v>1076</v>
      </c>
      <c r="I146" s="14" t="s">
        <v>2</v>
      </c>
      <c r="J146" s="14" t="s">
        <v>1181</v>
      </c>
    </row>
    <row r="147" spans="1:10">
      <c r="A147" t="s">
        <v>447</v>
      </c>
      <c r="B147" t="s">
        <v>651</v>
      </c>
      <c r="C147" t="s">
        <v>879</v>
      </c>
      <c r="D147" t="s">
        <v>0</v>
      </c>
      <c r="G147" s="14" t="s">
        <v>2</v>
      </c>
      <c r="H147" s="14" t="s">
        <v>1076</v>
      </c>
      <c r="I147" s="14" t="s">
        <v>2</v>
      </c>
      <c r="J147" s="14" t="s">
        <v>1127</v>
      </c>
    </row>
    <row r="148" spans="1:10">
      <c r="A148" t="s">
        <v>447</v>
      </c>
      <c r="B148" t="s">
        <v>682</v>
      </c>
      <c r="C148" t="s">
        <v>931</v>
      </c>
      <c r="D148" t="s">
        <v>0</v>
      </c>
      <c r="G148" s="14" t="s">
        <v>2</v>
      </c>
      <c r="H148" s="14" t="s">
        <v>1076</v>
      </c>
      <c r="I148" s="14" t="s">
        <v>4</v>
      </c>
      <c r="J148" s="14" t="s">
        <v>1150</v>
      </c>
    </row>
    <row r="149" spans="1:10">
      <c r="A149" t="s">
        <v>448</v>
      </c>
      <c r="B149" t="s">
        <v>683</v>
      </c>
      <c r="C149" t="s">
        <v>932</v>
      </c>
      <c r="D149" t="s">
        <v>0</v>
      </c>
      <c r="G149" s="14" t="s">
        <v>2</v>
      </c>
      <c r="H149" s="14" t="s">
        <v>1076</v>
      </c>
      <c r="I149" s="14" t="s">
        <v>4</v>
      </c>
      <c r="J149" s="14" t="s">
        <v>1139</v>
      </c>
    </row>
    <row r="150" spans="1:10">
      <c r="A150" t="s">
        <v>449</v>
      </c>
      <c r="B150" t="s">
        <v>684</v>
      </c>
      <c r="C150" t="s">
        <v>933</v>
      </c>
      <c r="D150" t="s">
        <v>0</v>
      </c>
      <c r="G150" s="14" t="s">
        <v>2</v>
      </c>
      <c r="H150" s="14" t="s">
        <v>1076</v>
      </c>
      <c r="I150" s="14" t="s">
        <v>2</v>
      </c>
      <c r="J150" s="14" t="s">
        <v>1137</v>
      </c>
    </row>
    <row r="151" spans="1:10">
      <c r="A151" t="s">
        <v>450</v>
      </c>
      <c r="B151" t="s">
        <v>583</v>
      </c>
      <c r="C151" t="s">
        <v>934</v>
      </c>
      <c r="D151" t="s">
        <v>0</v>
      </c>
      <c r="G151" s="14" t="s">
        <v>2</v>
      </c>
      <c r="H151" s="14" t="s">
        <v>1076</v>
      </c>
      <c r="I151" s="14" t="s">
        <v>2</v>
      </c>
      <c r="J151" s="14" t="s">
        <v>1180</v>
      </c>
    </row>
    <row r="152" spans="1:10">
      <c r="A152" t="s">
        <v>450</v>
      </c>
      <c r="B152" t="s">
        <v>685</v>
      </c>
      <c r="C152" t="s">
        <v>924</v>
      </c>
      <c r="D152" t="s">
        <v>0</v>
      </c>
      <c r="G152" s="14" t="s">
        <v>2</v>
      </c>
      <c r="H152" s="14" t="s">
        <v>1076</v>
      </c>
      <c r="I152" s="14" t="s">
        <v>2</v>
      </c>
      <c r="J152" s="14" t="s">
        <v>1182</v>
      </c>
    </row>
    <row r="153" spans="1:10">
      <c r="A153" t="s">
        <v>451</v>
      </c>
      <c r="B153" t="s">
        <v>686</v>
      </c>
      <c r="C153" t="s">
        <v>935</v>
      </c>
      <c r="D153" t="s">
        <v>0</v>
      </c>
      <c r="G153" s="14" t="s">
        <v>2</v>
      </c>
      <c r="H153" s="14" t="s">
        <v>1076</v>
      </c>
      <c r="I153" s="14" t="s">
        <v>2</v>
      </c>
      <c r="J153" s="14" t="s">
        <v>1132</v>
      </c>
    </row>
    <row r="154" spans="1:10">
      <c r="A154" t="s">
        <v>451</v>
      </c>
      <c r="B154" t="s">
        <v>574</v>
      </c>
      <c r="C154" t="s">
        <v>936</v>
      </c>
      <c r="D154" t="s">
        <v>0</v>
      </c>
      <c r="G154" s="14" t="s">
        <v>2</v>
      </c>
      <c r="H154" s="14" t="s">
        <v>1076</v>
      </c>
      <c r="I154" s="14" t="s">
        <v>2</v>
      </c>
      <c r="J154" s="14" t="s">
        <v>1183</v>
      </c>
    </row>
    <row r="155" spans="1:10">
      <c r="A155" t="s">
        <v>452</v>
      </c>
      <c r="B155" t="s">
        <v>575</v>
      </c>
      <c r="C155" t="s">
        <v>937</v>
      </c>
      <c r="D155" t="s">
        <v>0</v>
      </c>
      <c r="G155" s="14" t="s">
        <v>2</v>
      </c>
      <c r="H155" s="14" t="s">
        <v>1076</v>
      </c>
      <c r="I155" s="14" t="s">
        <v>2</v>
      </c>
      <c r="J155" s="14" t="s">
        <v>1158</v>
      </c>
    </row>
    <row r="156" spans="1:10">
      <c r="A156" t="s">
        <v>453</v>
      </c>
      <c r="B156" t="s">
        <v>687</v>
      </c>
      <c r="C156" t="s">
        <v>926</v>
      </c>
      <c r="D156" t="s">
        <v>0</v>
      </c>
      <c r="G156" s="14" t="s">
        <v>2</v>
      </c>
      <c r="H156" s="14" t="s">
        <v>1076</v>
      </c>
      <c r="I156" s="14" t="s">
        <v>2</v>
      </c>
      <c r="J156" s="14" t="s">
        <v>1150</v>
      </c>
    </row>
    <row r="157" spans="1:10">
      <c r="A157" t="s">
        <v>453</v>
      </c>
      <c r="B157" t="s">
        <v>688</v>
      </c>
      <c r="C157" t="s">
        <v>847</v>
      </c>
      <c r="D157" t="s">
        <v>0</v>
      </c>
      <c r="G157" s="14" t="s">
        <v>2</v>
      </c>
      <c r="H157" s="14" t="s">
        <v>1076</v>
      </c>
      <c r="I157" s="14" t="s">
        <v>1103</v>
      </c>
      <c r="J157" s="14" t="s">
        <v>1184</v>
      </c>
    </row>
    <row r="158" spans="1:10">
      <c r="A158" t="s">
        <v>454</v>
      </c>
      <c r="B158" t="s">
        <v>689</v>
      </c>
      <c r="C158" t="s">
        <v>938</v>
      </c>
      <c r="D158" t="s">
        <v>0</v>
      </c>
      <c r="G158" s="14" t="s">
        <v>2</v>
      </c>
      <c r="H158" s="14" t="s">
        <v>1077</v>
      </c>
      <c r="I158" s="14" t="s">
        <v>2</v>
      </c>
      <c r="J158" s="14" t="s">
        <v>1150</v>
      </c>
    </row>
    <row r="159" spans="1:10">
      <c r="A159" t="s">
        <v>455</v>
      </c>
      <c r="B159" t="s">
        <v>690</v>
      </c>
      <c r="C159" t="s">
        <v>939</v>
      </c>
      <c r="D159" t="s">
        <v>0</v>
      </c>
      <c r="G159" s="14" t="s">
        <v>2</v>
      </c>
      <c r="H159" s="14" t="s">
        <v>1077</v>
      </c>
      <c r="I159" s="14" t="s">
        <v>2</v>
      </c>
      <c r="J159" s="14" t="s">
        <v>1185</v>
      </c>
    </row>
    <row r="160" spans="1:10">
      <c r="A160" t="s">
        <v>456</v>
      </c>
      <c r="B160" t="s">
        <v>691</v>
      </c>
      <c r="C160" t="s">
        <v>940</v>
      </c>
      <c r="D160" t="s">
        <v>0</v>
      </c>
      <c r="G160" s="14" t="s">
        <v>2</v>
      </c>
      <c r="H160" s="14" t="s">
        <v>1077</v>
      </c>
      <c r="I160" s="14" t="s">
        <v>2</v>
      </c>
      <c r="J160" s="14" t="s">
        <v>1132</v>
      </c>
    </row>
    <row r="161" spans="1:10">
      <c r="A161" t="s">
        <v>457</v>
      </c>
      <c r="B161" t="s">
        <v>692</v>
      </c>
      <c r="C161" t="s">
        <v>941</v>
      </c>
      <c r="D161" t="s">
        <v>0</v>
      </c>
      <c r="G161" s="14" t="s">
        <v>2</v>
      </c>
      <c r="H161" s="14" t="s">
        <v>1077</v>
      </c>
      <c r="I161" s="14" t="s">
        <v>1104</v>
      </c>
      <c r="J161" s="14" t="s">
        <v>1123</v>
      </c>
    </row>
    <row r="162" spans="1:10">
      <c r="A162" t="s">
        <v>457</v>
      </c>
      <c r="B162" t="s">
        <v>693</v>
      </c>
      <c r="C162" t="s">
        <v>942</v>
      </c>
      <c r="D162" t="s">
        <v>0</v>
      </c>
      <c r="G162" s="14" t="s">
        <v>2</v>
      </c>
      <c r="H162" s="14" t="s">
        <v>1077</v>
      </c>
      <c r="I162" s="14" t="s">
        <v>2</v>
      </c>
      <c r="J162" s="14" t="s">
        <v>1165</v>
      </c>
    </row>
    <row r="163" spans="1:10">
      <c r="A163" t="s">
        <v>458</v>
      </c>
      <c r="B163" t="s">
        <v>694</v>
      </c>
      <c r="C163" t="s">
        <v>943</v>
      </c>
      <c r="D163" t="s">
        <v>0</v>
      </c>
      <c r="G163" s="14" t="s">
        <v>2</v>
      </c>
      <c r="H163" s="14" t="s">
        <v>1077</v>
      </c>
      <c r="I163" s="14" t="s">
        <v>2</v>
      </c>
      <c r="J163" s="14" t="s">
        <v>1143</v>
      </c>
    </row>
    <row r="164" spans="1:10">
      <c r="A164" t="s">
        <v>459</v>
      </c>
      <c r="B164" t="s">
        <v>695</v>
      </c>
      <c r="C164" t="s">
        <v>944</v>
      </c>
      <c r="D164" t="s">
        <v>0</v>
      </c>
      <c r="G164" s="14" t="s">
        <v>2</v>
      </c>
      <c r="H164" s="14" t="s">
        <v>1077</v>
      </c>
      <c r="I164" s="14" t="s">
        <v>2</v>
      </c>
      <c r="J164" s="14" t="s">
        <v>1151</v>
      </c>
    </row>
    <row r="165" spans="1:10">
      <c r="A165" t="s">
        <v>460</v>
      </c>
      <c r="B165" t="s">
        <v>696</v>
      </c>
      <c r="C165" t="s">
        <v>918</v>
      </c>
      <c r="D165" t="s">
        <v>0</v>
      </c>
      <c r="G165" s="14" t="s">
        <v>2</v>
      </c>
      <c r="H165" s="14" t="s">
        <v>1077</v>
      </c>
      <c r="I165" s="14" t="s">
        <v>4</v>
      </c>
      <c r="J165" s="14" t="s">
        <v>1186</v>
      </c>
    </row>
    <row r="166" spans="1:10">
      <c r="A166" t="s">
        <v>461</v>
      </c>
      <c r="B166" t="s">
        <v>697</v>
      </c>
      <c r="C166" t="s">
        <v>945</v>
      </c>
      <c r="D166" t="s">
        <v>0</v>
      </c>
      <c r="G166" s="14" t="s">
        <v>2</v>
      </c>
      <c r="H166" s="14" t="s">
        <v>1077</v>
      </c>
      <c r="I166" s="14" t="s">
        <v>2</v>
      </c>
      <c r="J166" s="14" t="s">
        <v>1187</v>
      </c>
    </row>
    <row r="167" spans="1:10">
      <c r="A167" t="s">
        <v>462</v>
      </c>
      <c r="B167" t="s">
        <v>698</v>
      </c>
      <c r="C167" t="s">
        <v>828</v>
      </c>
      <c r="D167" t="s">
        <v>0</v>
      </c>
      <c r="G167" s="14" t="s">
        <v>2</v>
      </c>
      <c r="H167" s="14" t="s">
        <v>1077</v>
      </c>
      <c r="I167" s="14" t="s">
        <v>2</v>
      </c>
      <c r="J167" s="14" t="s">
        <v>1145</v>
      </c>
    </row>
    <row r="168" spans="1:10">
      <c r="A168" t="s">
        <v>462</v>
      </c>
      <c r="B168" t="s">
        <v>699</v>
      </c>
      <c r="C168" t="s">
        <v>946</v>
      </c>
      <c r="D168" t="s">
        <v>0</v>
      </c>
      <c r="G168" s="14" t="s">
        <v>2</v>
      </c>
      <c r="H168" s="14" t="s">
        <v>1078</v>
      </c>
      <c r="I168" s="14" t="s">
        <v>2</v>
      </c>
      <c r="J168" s="14" t="s">
        <v>1158</v>
      </c>
    </row>
    <row r="169" spans="1:10">
      <c r="A169" t="s">
        <v>463</v>
      </c>
      <c r="B169" t="s">
        <v>700</v>
      </c>
      <c r="C169" t="s">
        <v>947</v>
      </c>
      <c r="D169" t="s">
        <v>0</v>
      </c>
      <c r="G169" s="14" t="s">
        <v>2</v>
      </c>
      <c r="H169" s="14" t="s">
        <v>1078</v>
      </c>
      <c r="I169" s="14" t="s">
        <v>2</v>
      </c>
      <c r="J169" s="14" t="s">
        <v>1188</v>
      </c>
    </row>
    <row r="170" spans="1:10">
      <c r="A170" t="s">
        <v>464</v>
      </c>
      <c r="B170" t="s">
        <v>567</v>
      </c>
      <c r="C170" t="s">
        <v>948</v>
      </c>
      <c r="D170" t="s">
        <v>0</v>
      </c>
      <c r="G170" s="14" t="s">
        <v>2</v>
      </c>
      <c r="H170" s="14" t="s">
        <v>1078</v>
      </c>
      <c r="I170" s="14" t="s">
        <v>5</v>
      </c>
      <c r="J170" s="14" t="s">
        <v>1151</v>
      </c>
    </row>
    <row r="171" spans="1:10">
      <c r="A171" t="s">
        <v>464</v>
      </c>
      <c r="B171" t="s">
        <v>701</v>
      </c>
      <c r="C171" t="s">
        <v>949</v>
      </c>
      <c r="D171" t="s">
        <v>0</v>
      </c>
      <c r="G171" s="14" t="s">
        <v>2</v>
      </c>
      <c r="H171" s="14" t="s">
        <v>1078</v>
      </c>
      <c r="I171" s="14" t="s">
        <v>2</v>
      </c>
      <c r="J171" s="14" t="s">
        <v>1112</v>
      </c>
    </row>
    <row r="172" spans="1:10">
      <c r="A172" t="s">
        <v>464</v>
      </c>
      <c r="B172" t="s">
        <v>702</v>
      </c>
      <c r="C172" t="s">
        <v>898</v>
      </c>
      <c r="D172" t="s">
        <v>0</v>
      </c>
      <c r="G172" s="14" t="s">
        <v>2</v>
      </c>
      <c r="H172" s="14" t="s">
        <v>1078</v>
      </c>
      <c r="I172" s="14" t="s">
        <v>4</v>
      </c>
      <c r="J172" s="14" t="s">
        <v>1129</v>
      </c>
    </row>
    <row r="173" spans="1:10">
      <c r="A173" t="s">
        <v>464</v>
      </c>
      <c r="B173" t="s">
        <v>703</v>
      </c>
      <c r="C173" t="s">
        <v>950</v>
      </c>
      <c r="D173" t="s">
        <v>0</v>
      </c>
      <c r="G173" s="14" t="s">
        <v>2</v>
      </c>
      <c r="H173" s="14" t="s">
        <v>1078</v>
      </c>
      <c r="I173" s="14" t="s">
        <v>2</v>
      </c>
      <c r="J173" s="14" t="s">
        <v>1139</v>
      </c>
    </row>
    <row r="174" spans="1:10">
      <c r="A174" t="s">
        <v>464</v>
      </c>
      <c r="B174" t="s">
        <v>704</v>
      </c>
      <c r="C174" t="s">
        <v>951</v>
      </c>
      <c r="D174" t="s">
        <v>0</v>
      </c>
      <c r="G174" s="14" t="s">
        <v>2</v>
      </c>
      <c r="H174" s="14" t="s">
        <v>1078</v>
      </c>
      <c r="I174" s="14" t="s">
        <v>2</v>
      </c>
      <c r="J174" s="14" t="s">
        <v>1121</v>
      </c>
    </row>
    <row r="175" spans="1:10">
      <c r="A175" t="s">
        <v>465</v>
      </c>
      <c r="B175" t="s">
        <v>705</v>
      </c>
      <c r="C175" t="s">
        <v>952</v>
      </c>
      <c r="D175" t="s">
        <v>0</v>
      </c>
      <c r="G175" s="14" t="s">
        <v>2</v>
      </c>
      <c r="H175" s="14" t="s">
        <v>1079</v>
      </c>
      <c r="I175" s="14" t="s">
        <v>3</v>
      </c>
      <c r="J175" s="14" t="s">
        <v>1139</v>
      </c>
    </row>
    <row r="176" spans="1:10">
      <c r="A176" t="s">
        <v>466</v>
      </c>
      <c r="B176" t="s">
        <v>706</v>
      </c>
      <c r="C176" t="s">
        <v>953</v>
      </c>
      <c r="D176" t="s">
        <v>0</v>
      </c>
      <c r="G176" s="14" t="s">
        <v>2</v>
      </c>
      <c r="H176" s="14" t="s">
        <v>1079</v>
      </c>
      <c r="I176" s="14" t="s">
        <v>2</v>
      </c>
      <c r="J176" s="14" t="s">
        <v>1134</v>
      </c>
    </row>
    <row r="177" spans="1:10">
      <c r="A177" t="s">
        <v>467</v>
      </c>
      <c r="B177" t="s">
        <v>635</v>
      </c>
      <c r="C177" t="s">
        <v>954</v>
      </c>
      <c r="D177" t="s">
        <v>0</v>
      </c>
      <c r="G177" s="14" t="s">
        <v>2</v>
      </c>
      <c r="H177" s="14" t="s">
        <v>1079</v>
      </c>
      <c r="I177" s="14" t="s">
        <v>2</v>
      </c>
      <c r="J177" s="14" t="s">
        <v>1135</v>
      </c>
    </row>
    <row r="178" spans="1:10">
      <c r="A178" t="s">
        <v>468</v>
      </c>
      <c r="B178" t="s">
        <v>707</v>
      </c>
      <c r="C178" t="s">
        <v>955</v>
      </c>
      <c r="D178" t="s">
        <v>0</v>
      </c>
      <c r="G178" s="14" t="s">
        <v>2</v>
      </c>
      <c r="H178" s="14" t="s">
        <v>1079</v>
      </c>
      <c r="I178" s="14" t="s">
        <v>2</v>
      </c>
      <c r="J178" s="14" t="s">
        <v>1149</v>
      </c>
    </row>
    <row r="179" spans="1:10">
      <c r="A179" t="s">
        <v>469</v>
      </c>
      <c r="B179" t="s">
        <v>708</v>
      </c>
      <c r="C179" t="s">
        <v>956</v>
      </c>
      <c r="D179" t="s">
        <v>0</v>
      </c>
      <c r="G179" s="14" t="s">
        <v>2</v>
      </c>
      <c r="H179" s="14" t="s">
        <v>1080</v>
      </c>
      <c r="I179" s="14" t="s">
        <v>2</v>
      </c>
      <c r="J179" s="14" t="s">
        <v>1159</v>
      </c>
    </row>
    <row r="180" spans="1:10">
      <c r="A180" t="s">
        <v>469</v>
      </c>
      <c r="B180" t="s">
        <v>709</v>
      </c>
      <c r="C180" t="s">
        <v>913</v>
      </c>
      <c r="D180" t="s">
        <v>0</v>
      </c>
      <c r="G180" s="14" t="s">
        <v>2</v>
      </c>
      <c r="H180" s="14" t="s">
        <v>1080</v>
      </c>
      <c r="I180" s="14" t="s">
        <v>2</v>
      </c>
      <c r="J180" s="14" t="s">
        <v>1123</v>
      </c>
    </row>
    <row r="181" spans="1:10">
      <c r="A181" t="s">
        <v>470</v>
      </c>
      <c r="B181" t="s">
        <v>710</v>
      </c>
      <c r="C181" t="s">
        <v>957</v>
      </c>
      <c r="D181" t="s">
        <v>0</v>
      </c>
      <c r="G181" s="14" t="s">
        <v>2</v>
      </c>
      <c r="H181" s="14" t="s">
        <v>1080</v>
      </c>
      <c r="I181" s="14" t="s">
        <v>4</v>
      </c>
      <c r="J181" s="14" t="s">
        <v>1151</v>
      </c>
    </row>
    <row r="182" spans="1:10">
      <c r="A182" t="s">
        <v>471</v>
      </c>
      <c r="B182" t="s">
        <v>711</v>
      </c>
      <c r="C182" t="s">
        <v>958</v>
      </c>
      <c r="D182" t="s">
        <v>0</v>
      </c>
      <c r="G182" s="14" t="s">
        <v>2</v>
      </c>
      <c r="H182" s="14" t="s">
        <v>1080</v>
      </c>
      <c r="I182" s="14" t="s">
        <v>3</v>
      </c>
      <c r="J182" s="14" t="s">
        <v>1157</v>
      </c>
    </row>
    <row r="183" spans="1:10">
      <c r="A183" t="s">
        <v>471</v>
      </c>
      <c r="B183" t="s">
        <v>712</v>
      </c>
      <c r="C183" t="s">
        <v>959</v>
      </c>
      <c r="D183" t="s">
        <v>0</v>
      </c>
      <c r="G183" s="14" t="s">
        <v>2</v>
      </c>
      <c r="H183" s="14" t="s">
        <v>1080</v>
      </c>
      <c r="I183" s="14" t="s">
        <v>2</v>
      </c>
      <c r="J183" s="14" t="s">
        <v>1180</v>
      </c>
    </row>
    <row r="184" spans="1:10">
      <c r="A184" t="s">
        <v>472</v>
      </c>
      <c r="B184" t="s">
        <v>713</v>
      </c>
      <c r="C184" t="s">
        <v>807</v>
      </c>
      <c r="D184" t="s">
        <v>0</v>
      </c>
      <c r="G184" s="14" t="s">
        <v>2</v>
      </c>
      <c r="H184" s="14" t="s">
        <v>1080</v>
      </c>
      <c r="I184" s="14" t="s">
        <v>3</v>
      </c>
      <c r="J184" s="14" t="s">
        <v>1130</v>
      </c>
    </row>
    <row r="185" spans="1:10">
      <c r="A185" t="s">
        <v>473</v>
      </c>
      <c r="B185" t="s">
        <v>583</v>
      </c>
      <c r="C185" t="s">
        <v>960</v>
      </c>
      <c r="D185" t="s">
        <v>0</v>
      </c>
      <c r="G185" s="14" t="s">
        <v>2</v>
      </c>
      <c r="H185" s="14" t="s">
        <v>1081</v>
      </c>
      <c r="I185" s="14" t="s">
        <v>2</v>
      </c>
      <c r="J185" s="14" t="s">
        <v>1162</v>
      </c>
    </row>
    <row r="186" spans="1:10">
      <c r="A186" t="s">
        <v>473</v>
      </c>
      <c r="B186" t="s">
        <v>714</v>
      </c>
      <c r="C186" t="s">
        <v>961</v>
      </c>
      <c r="D186" t="s">
        <v>0</v>
      </c>
      <c r="G186" s="14" t="s">
        <v>2</v>
      </c>
      <c r="H186" s="14" t="s">
        <v>1081</v>
      </c>
      <c r="I186" s="14" t="s">
        <v>2</v>
      </c>
      <c r="J186" s="14" t="s">
        <v>1189</v>
      </c>
    </row>
    <row r="187" spans="1:10">
      <c r="A187" t="s">
        <v>474</v>
      </c>
      <c r="B187" t="s">
        <v>558</v>
      </c>
      <c r="C187" t="s">
        <v>962</v>
      </c>
      <c r="D187" t="s">
        <v>0</v>
      </c>
      <c r="G187" s="14" t="s">
        <v>2</v>
      </c>
      <c r="H187" s="14" t="s">
        <v>1081</v>
      </c>
      <c r="I187" s="14" t="s">
        <v>2</v>
      </c>
      <c r="J187" s="14" t="s">
        <v>1130</v>
      </c>
    </row>
    <row r="188" spans="1:10">
      <c r="A188" t="s">
        <v>474</v>
      </c>
      <c r="B188" t="s">
        <v>558</v>
      </c>
      <c r="C188" t="s">
        <v>962</v>
      </c>
      <c r="D188" t="s">
        <v>0</v>
      </c>
      <c r="G188" s="14" t="s">
        <v>2</v>
      </c>
      <c r="H188" s="14" t="s">
        <v>1081</v>
      </c>
      <c r="I188" s="14" t="s">
        <v>2</v>
      </c>
      <c r="J188" s="14" t="s">
        <v>1190</v>
      </c>
    </row>
    <row r="189" spans="1:10">
      <c r="A189" t="s">
        <v>475</v>
      </c>
      <c r="B189" t="s">
        <v>715</v>
      </c>
      <c r="C189" t="s">
        <v>963</v>
      </c>
      <c r="D189" t="s">
        <v>0</v>
      </c>
      <c r="G189" s="14" t="s">
        <v>2</v>
      </c>
      <c r="H189" s="14" t="s">
        <v>1082</v>
      </c>
      <c r="I189" s="14" t="s">
        <v>2</v>
      </c>
      <c r="J189" s="14" t="s">
        <v>1156</v>
      </c>
    </row>
    <row r="190" spans="1:10">
      <c r="A190" t="s">
        <v>476</v>
      </c>
      <c r="B190" t="s">
        <v>609</v>
      </c>
      <c r="C190" t="s">
        <v>964</v>
      </c>
      <c r="D190" t="s">
        <v>0</v>
      </c>
      <c r="G190" s="14" t="s">
        <v>2</v>
      </c>
      <c r="H190" s="14" t="s">
        <v>1082</v>
      </c>
      <c r="I190" s="14" t="s">
        <v>2</v>
      </c>
      <c r="J190" s="14" t="s">
        <v>1133</v>
      </c>
    </row>
    <row r="191" spans="1:10">
      <c r="A191" t="s">
        <v>476</v>
      </c>
      <c r="B191" t="s">
        <v>716</v>
      </c>
      <c r="C191" t="s">
        <v>848</v>
      </c>
      <c r="D191" t="s">
        <v>0</v>
      </c>
      <c r="G191" s="14" t="s">
        <v>2</v>
      </c>
      <c r="H191" s="14" t="s">
        <v>1082</v>
      </c>
      <c r="I191" s="14" t="s">
        <v>2</v>
      </c>
      <c r="J191" s="14" t="s">
        <v>1109</v>
      </c>
    </row>
    <row r="192" spans="1:10">
      <c r="A192" t="s">
        <v>477</v>
      </c>
      <c r="B192" t="s">
        <v>717</v>
      </c>
      <c r="C192" t="s">
        <v>965</v>
      </c>
      <c r="D192" t="s">
        <v>0</v>
      </c>
      <c r="G192" s="14" t="s">
        <v>2</v>
      </c>
      <c r="H192" s="14" t="s">
        <v>1082</v>
      </c>
      <c r="I192" s="14" t="s">
        <v>2</v>
      </c>
      <c r="J192" s="14" t="s">
        <v>1165</v>
      </c>
    </row>
    <row r="193" spans="1:10">
      <c r="A193" t="s">
        <v>477</v>
      </c>
      <c r="B193" t="s">
        <v>717</v>
      </c>
      <c r="C193" t="s">
        <v>965</v>
      </c>
      <c r="D193" t="s">
        <v>0</v>
      </c>
      <c r="G193" s="14" t="s">
        <v>2</v>
      </c>
      <c r="H193" s="14" t="s">
        <v>1083</v>
      </c>
      <c r="I193" s="14" t="s">
        <v>2</v>
      </c>
      <c r="J193" s="14" t="s">
        <v>1191</v>
      </c>
    </row>
    <row r="194" spans="1:10">
      <c r="A194" t="s">
        <v>478</v>
      </c>
      <c r="B194" t="s">
        <v>718</v>
      </c>
      <c r="C194" t="s">
        <v>966</v>
      </c>
      <c r="D194" t="s">
        <v>0</v>
      </c>
      <c r="G194" s="14" t="s">
        <v>2</v>
      </c>
      <c r="H194" s="14" t="s">
        <v>1083</v>
      </c>
      <c r="I194" s="14" t="s">
        <v>2</v>
      </c>
      <c r="J194" s="14" t="s">
        <v>1121</v>
      </c>
    </row>
    <row r="195" spans="1:10">
      <c r="A195" t="s">
        <v>479</v>
      </c>
      <c r="B195" t="s">
        <v>719</v>
      </c>
      <c r="C195" t="s">
        <v>967</v>
      </c>
      <c r="D195" t="s">
        <v>0</v>
      </c>
      <c r="G195" s="14" t="s">
        <v>2</v>
      </c>
      <c r="H195" s="14" t="s">
        <v>1083</v>
      </c>
      <c r="I195" s="14" t="s">
        <v>2</v>
      </c>
      <c r="J195" s="14" t="s">
        <v>1158</v>
      </c>
    </row>
    <row r="196" spans="1:10">
      <c r="A196" t="s">
        <v>479</v>
      </c>
      <c r="B196" t="s">
        <v>720</v>
      </c>
      <c r="C196" t="s">
        <v>968</v>
      </c>
      <c r="D196" t="s">
        <v>0</v>
      </c>
      <c r="G196" s="14" t="s">
        <v>2</v>
      </c>
      <c r="H196" s="14" t="s">
        <v>1083</v>
      </c>
      <c r="I196" s="14" t="s">
        <v>2</v>
      </c>
      <c r="J196" s="14" t="s">
        <v>1113</v>
      </c>
    </row>
    <row r="197" spans="1:10">
      <c r="A197" t="s">
        <v>480</v>
      </c>
      <c r="B197" t="s">
        <v>667</v>
      </c>
      <c r="C197" t="s">
        <v>969</v>
      </c>
      <c r="D197" t="s">
        <v>0</v>
      </c>
      <c r="G197" s="14" t="s">
        <v>2</v>
      </c>
      <c r="H197" s="14" t="s">
        <v>1083</v>
      </c>
      <c r="I197" s="14" t="s">
        <v>2</v>
      </c>
      <c r="J197" s="14" t="s">
        <v>1192</v>
      </c>
    </row>
    <row r="198" spans="1:10">
      <c r="A198" t="s">
        <v>481</v>
      </c>
      <c r="B198" t="s">
        <v>721</v>
      </c>
      <c r="C198" t="s">
        <v>970</v>
      </c>
      <c r="D198" t="s">
        <v>0</v>
      </c>
      <c r="G198" s="14" t="s">
        <v>2</v>
      </c>
      <c r="H198" s="14" t="s">
        <v>1084</v>
      </c>
      <c r="I198" s="14" t="s">
        <v>2</v>
      </c>
      <c r="J198" s="14" t="s">
        <v>1193</v>
      </c>
    </row>
    <row r="199" spans="1:10">
      <c r="A199" t="s">
        <v>482</v>
      </c>
      <c r="B199" t="s">
        <v>722</v>
      </c>
      <c r="C199" t="s">
        <v>917</v>
      </c>
      <c r="D199" t="s">
        <v>0</v>
      </c>
      <c r="G199" s="14" t="s">
        <v>2</v>
      </c>
      <c r="H199" s="14" t="s">
        <v>1084</v>
      </c>
      <c r="I199" s="14" t="s">
        <v>2</v>
      </c>
      <c r="J199" s="14" t="s">
        <v>1158</v>
      </c>
    </row>
    <row r="200" spans="1:10">
      <c r="A200" t="s">
        <v>483</v>
      </c>
      <c r="B200" t="s">
        <v>591</v>
      </c>
      <c r="C200" t="s">
        <v>925</v>
      </c>
      <c r="D200" t="s">
        <v>0</v>
      </c>
      <c r="G200" s="14" t="s">
        <v>2</v>
      </c>
      <c r="H200" s="14" t="s">
        <v>1084</v>
      </c>
      <c r="I200" s="14" t="s">
        <v>4</v>
      </c>
      <c r="J200" s="14" t="s">
        <v>1174</v>
      </c>
    </row>
    <row r="201" spans="1:10">
      <c r="A201" t="s">
        <v>483</v>
      </c>
      <c r="B201" t="s">
        <v>723</v>
      </c>
      <c r="C201" t="s">
        <v>971</v>
      </c>
      <c r="D201" t="s">
        <v>0</v>
      </c>
      <c r="G201" s="14" t="s">
        <v>2</v>
      </c>
      <c r="H201" s="14" t="s">
        <v>1084</v>
      </c>
      <c r="I201" s="14" t="s">
        <v>2</v>
      </c>
      <c r="J201" s="14" t="s">
        <v>1158</v>
      </c>
    </row>
    <row r="202" spans="1:10">
      <c r="A202" t="s">
        <v>484</v>
      </c>
      <c r="B202" t="s">
        <v>724</v>
      </c>
      <c r="C202" t="s">
        <v>972</v>
      </c>
      <c r="D202" t="s">
        <v>0</v>
      </c>
      <c r="G202" s="14" t="s">
        <v>2</v>
      </c>
      <c r="H202" s="14" t="s">
        <v>1084</v>
      </c>
      <c r="I202" s="14" t="s">
        <v>2</v>
      </c>
      <c r="J202" s="14" t="s">
        <v>1194</v>
      </c>
    </row>
    <row r="203" spans="1:10">
      <c r="A203" t="s">
        <v>484</v>
      </c>
      <c r="B203" t="s">
        <v>725</v>
      </c>
      <c r="C203" t="s">
        <v>973</v>
      </c>
      <c r="D203" t="s">
        <v>0</v>
      </c>
      <c r="G203" s="14" t="s">
        <v>2</v>
      </c>
      <c r="H203" s="14" t="s">
        <v>1084</v>
      </c>
      <c r="I203" s="14" t="s">
        <v>2</v>
      </c>
      <c r="J203" s="14" t="s">
        <v>1148</v>
      </c>
    </row>
    <row r="204" spans="1:10">
      <c r="A204" t="s">
        <v>485</v>
      </c>
      <c r="B204" t="s">
        <v>726</v>
      </c>
      <c r="C204" t="s">
        <v>974</v>
      </c>
      <c r="D204" t="s">
        <v>0</v>
      </c>
      <c r="G204" s="14" t="s">
        <v>2</v>
      </c>
      <c r="H204" s="14" t="s">
        <v>1084</v>
      </c>
      <c r="I204" s="14" t="s">
        <v>2</v>
      </c>
      <c r="J204" s="14" t="s">
        <v>1112</v>
      </c>
    </row>
    <row r="205" spans="1:10">
      <c r="A205" t="s">
        <v>486</v>
      </c>
      <c r="B205" t="s">
        <v>585</v>
      </c>
      <c r="C205" t="s">
        <v>975</v>
      </c>
      <c r="D205" t="s">
        <v>0</v>
      </c>
      <c r="G205" s="14" t="s">
        <v>2</v>
      </c>
      <c r="H205" s="14" t="s">
        <v>1084</v>
      </c>
      <c r="I205" s="14" t="s">
        <v>2</v>
      </c>
      <c r="J205" s="14" t="s">
        <v>1119</v>
      </c>
    </row>
    <row r="206" spans="1:10">
      <c r="A206" t="s">
        <v>487</v>
      </c>
      <c r="B206" t="s">
        <v>727</v>
      </c>
      <c r="C206" t="s">
        <v>976</v>
      </c>
      <c r="D206" t="s">
        <v>0</v>
      </c>
      <c r="G206" s="14" t="s">
        <v>2</v>
      </c>
      <c r="H206" s="14" t="s">
        <v>1084</v>
      </c>
      <c r="I206" s="14" t="s">
        <v>2</v>
      </c>
      <c r="J206" s="14" t="s">
        <v>1143</v>
      </c>
    </row>
    <row r="207" spans="1:10">
      <c r="A207" t="s">
        <v>487</v>
      </c>
      <c r="B207" t="s">
        <v>657</v>
      </c>
      <c r="C207" t="s">
        <v>977</v>
      </c>
      <c r="D207" t="s">
        <v>0</v>
      </c>
      <c r="G207" s="14" t="s">
        <v>2</v>
      </c>
      <c r="H207" s="14" t="s">
        <v>1084</v>
      </c>
      <c r="I207" s="14" t="s">
        <v>4</v>
      </c>
      <c r="J207" s="14" t="s">
        <v>1195</v>
      </c>
    </row>
    <row r="208" spans="1:10">
      <c r="A208" t="s">
        <v>488</v>
      </c>
      <c r="B208" t="s">
        <v>728</v>
      </c>
      <c r="C208" t="s">
        <v>978</v>
      </c>
      <c r="D208" t="s">
        <v>0</v>
      </c>
      <c r="G208" s="14" t="s">
        <v>2</v>
      </c>
      <c r="H208" s="14" t="s">
        <v>1085</v>
      </c>
      <c r="I208" s="14" t="s">
        <v>2</v>
      </c>
      <c r="J208" s="14" t="s">
        <v>1164</v>
      </c>
    </row>
    <row r="209" spans="1:10">
      <c r="A209" t="s">
        <v>489</v>
      </c>
      <c r="B209" t="s">
        <v>729</v>
      </c>
      <c r="C209" t="s">
        <v>979</v>
      </c>
      <c r="D209" t="s">
        <v>0</v>
      </c>
      <c r="G209" s="14" t="s">
        <v>2</v>
      </c>
      <c r="H209" s="14" t="s">
        <v>1085</v>
      </c>
      <c r="I209" s="14" t="s">
        <v>2</v>
      </c>
      <c r="J209" s="14" t="s">
        <v>1148</v>
      </c>
    </row>
    <row r="210" spans="1:10">
      <c r="A210" t="s">
        <v>490</v>
      </c>
      <c r="B210" t="s">
        <v>730</v>
      </c>
      <c r="C210" t="s">
        <v>980</v>
      </c>
      <c r="D210" t="s">
        <v>0</v>
      </c>
      <c r="G210" s="14" t="s">
        <v>2</v>
      </c>
      <c r="H210" s="14" t="s">
        <v>1085</v>
      </c>
      <c r="I210" s="14" t="s">
        <v>3</v>
      </c>
      <c r="J210" s="14" t="s">
        <v>1184</v>
      </c>
    </row>
    <row r="211" spans="1:10">
      <c r="A211" t="s">
        <v>491</v>
      </c>
      <c r="B211" t="s">
        <v>625</v>
      </c>
      <c r="C211" t="s">
        <v>935</v>
      </c>
      <c r="D211" t="s">
        <v>0</v>
      </c>
      <c r="G211" s="14" t="s">
        <v>2</v>
      </c>
      <c r="H211" s="14" t="s">
        <v>1085</v>
      </c>
      <c r="I211" s="14" t="s">
        <v>2</v>
      </c>
      <c r="J211" s="14" t="s">
        <v>1158</v>
      </c>
    </row>
    <row r="212" spans="1:10">
      <c r="A212" t="s">
        <v>492</v>
      </c>
      <c r="B212" t="s">
        <v>731</v>
      </c>
      <c r="C212" t="s">
        <v>981</v>
      </c>
      <c r="D212" t="s">
        <v>0</v>
      </c>
      <c r="G212" s="14" t="s">
        <v>2</v>
      </c>
      <c r="H212" s="14" t="s">
        <v>1085</v>
      </c>
      <c r="I212" s="14" t="s">
        <v>2</v>
      </c>
      <c r="J212" s="14" t="s">
        <v>1121</v>
      </c>
    </row>
    <row r="213" spans="1:10">
      <c r="A213" t="s">
        <v>492</v>
      </c>
      <c r="B213" t="s">
        <v>732</v>
      </c>
      <c r="C213" t="s">
        <v>982</v>
      </c>
      <c r="D213" t="s">
        <v>0</v>
      </c>
      <c r="G213" s="14" t="s">
        <v>2</v>
      </c>
      <c r="H213" s="14" t="s">
        <v>1085</v>
      </c>
      <c r="I213" s="14" t="s">
        <v>3</v>
      </c>
      <c r="J213" s="14" t="s">
        <v>1157</v>
      </c>
    </row>
    <row r="214" spans="1:10">
      <c r="A214" t="s">
        <v>492</v>
      </c>
      <c r="B214" t="s">
        <v>733</v>
      </c>
      <c r="C214" t="s">
        <v>983</v>
      </c>
      <c r="D214" t="s">
        <v>0</v>
      </c>
      <c r="G214" s="14" t="s">
        <v>2</v>
      </c>
      <c r="H214" s="14" t="s">
        <v>1085</v>
      </c>
      <c r="I214" s="14" t="s">
        <v>1102</v>
      </c>
      <c r="J214" s="14" t="s">
        <v>1124</v>
      </c>
    </row>
    <row r="215" spans="1:10">
      <c r="A215" t="s">
        <v>493</v>
      </c>
      <c r="B215" t="s">
        <v>734</v>
      </c>
      <c r="C215" t="s">
        <v>970</v>
      </c>
      <c r="D215" t="s">
        <v>0</v>
      </c>
      <c r="G215" s="14" t="s">
        <v>2</v>
      </c>
      <c r="H215" s="14" t="s">
        <v>1086</v>
      </c>
      <c r="I215" s="14" t="s">
        <v>2</v>
      </c>
      <c r="J215" s="14" t="s">
        <v>1196</v>
      </c>
    </row>
    <row r="216" spans="1:10">
      <c r="A216" t="s">
        <v>494</v>
      </c>
      <c r="B216" t="s">
        <v>735</v>
      </c>
      <c r="C216" t="s">
        <v>984</v>
      </c>
      <c r="D216" t="s">
        <v>0</v>
      </c>
      <c r="G216" s="14" t="s">
        <v>2</v>
      </c>
      <c r="H216" s="14" t="s">
        <v>1086</v>
      </c>
      <c r="I216" s="14" t="s">
        <v>2</v>
      </c>
      <c r="J216" s="14" t="s">
        <v>1115</v>
      </c>
    </row>
    <row r="217" spans="1:10">
      <c r="A217" t="s">
        <v>495</v>
      </c>
      <c r="B217" t="s">
        <v>646</v>
      </c>
      <c r="C217" t="s">
        <v>985</v>
      </c>
      <c r="D217" t="s">
        <v>0</v>
      </c>
      <c r="G217" s="14" t="s">
        <v>2</v>
      </c>
      <c r="H217" s="14" t="s">
        <v>1086</v>
      </c>
      <c r="I217" s="14" t="s">
        <v>2</v>
      </c>
      <c r="J217" s="14" t="s">
        <v>1139</v>
      </c>
    </row>
    <row r="218" spans="1:10">
      <c r="A218" t="s">
        <v>496</v>
      </c>
      <c r="B218" t="s">
        <v>736</v>
      </c>
      <c r="C218" t="s">
        <v>986</v>
      </c>
      <c r="D218" t="s">
        <v>0</v>
      </c>
      <c r="G218" s="14" t="s">
        <v>2</v>
      </c>
      <c r="H218" s="14" t="s">
        <v>1086</v>
      </c>
      <c r="I218" s="14" t="s">
        <v>2</v>
      </c>
      <c r="J218" s="14" t="s">
        <v>1120</v>
      </c>
    </row>
    <row r="219" spans="1:10">
      <c r="A219" t="s">
        <v>497</v>
      </c>
      <c r="B219" t="s">
        <v>737</v>
      </c>
      <c r="C219" t="s">
        <v>987</v>
      </c>
      <c r="D219" t="s">
        <v>0</v>
      </c>
      <c r="G219" s="14" t="s">
        <v>2</v>
      </c>
      <c r="H219" s="14" t="s">
        <v>1086</v>
      </c>
      <c r="I219" s="14" t="s">
        <v>2</v>
      </c>
      <c r="J219" s="14" t="s">
        <v>1163</v>
      </c>
    </row>
    <row r="220" spans="1:10">
      <c r="A220" t="s">
        <v>498</v>
      </c>
      <c r="B220" t="s">
        <v>566</v>
      </c>
      <c r="C220" t="s">
        <v>988</v>
      </c>
      <c r="D220" t="s">
        <v>0</v>
      </c>
      <c r="G220" s="14" t="s">
        <v>2</v>
      </c>
      <c r="H220" s="14" t="s">
        <v>1086</v>
      </c>
      <c r="I220" s="14" t="s">
        <v>2</v>
      </c>
      <c r="J220" s="14" t="s">
        <v>1156</v>
      </c>
    </row>
    <row r="221" spans="1:10">
      <c r="A221" t="s">
        <v>499</v>
      </c>
      <c r="B221" t="s">
        <v>738</v>
      </c>
      <c r="C221" t="s">
        <v>989</v>
      </c>
      <c r="D221" t="s">
        <v>0</v>
      </c>
      <c r="G221" s="14" t="s">
        <v>2</v>
      </c>
      <c r="H221" s="14" t="s">
        <v>1086</v>
      </c>
      <c r="I221" s="14" t="s">
        <v>2</v>
      </c>
      <c r="J221" s="14" t="s">
        <v>1197</v>
      </c>
    </row>
    <row r="222" spans="1:10">
      <c r="A222" t="s">
        <v>500</v>
      </c>
      <c r="B222" t="s">
        <v>739</v>
      </c>
      <c r="C222" t="s">
        <v>990</v>
      </c>
      <c r="D222" t="s">
        <v>0</v>
      </c>
      <c r="G222" s="14" t="s">
        <v>2</v>
      </c>
      <c r="H222" s="14" t="s">
        <v>1086</v>
      </c>
      <c r="I222" s="14" t="s">
        <v>1101</v>
      </c>
      <c r="J222" s="14" t="s">
        <v>1158</v>
      </c>
    </row>
    <row r="223" spans="1:10">
      <c r="A223" t="s">
        <v>501</v>
      </c>
      <c r="B223" t="s">
        <v>740</v>
      </c>
      <c r="C223" t="s">
        <v>991</v>
      </c>
      <c r="D223" t="s">
        <v>0</v>
      </c>
      <c r="G223" s="14" t="s">
        <v>2</v>
      </c>
      <c r="H223" s="14" t="s">
        <v>1086</v>
      </c>
      <c r="I223" s="14" t="s">
        <v>2</v>
      </c>
      <c r="J223" s="14" t="s">
        <v>1198</v>
      </c>
    </row>
    <row r="224" spans="1:10">
      <c r="A224" t="s">
        <v>502</v>
      </c>
      <c r="B224" t="s">
        <v>741</v>
      </c>
      <c r="C224" t="s">
        <v>976</v>
      </c>
      <c r="D224" t="s">
        <v>0</v>
      </c>
      <c r="G224" s="14" t="s">
        <v>2</v>
      </c>
      <c r="H224" s="14" t="s">
        <v>1086</v>
      </c>
      <c r="I224" s="14" t="s">
        <v>2</v>
      </c>
      <c r="J224" s="14" t="s">
        <v>1196</v>
      </c>
    </row>
    <row r="225" spans="1:10">
      <c r="A225" t="s">
        <v>502</v>
      </c>
      <c r="B225" t="s">
        <v>652</v>
      </c>
      <c r="C225" t="s">
        <v>992</v>
      </c>
      <c r="D225" t="s">
        <v>0</v>
      </c>
      <c r="G225" s="14" t="s">
        <v>2</v>
      </c>
      <c r="H225" s="14" t="s">
        <v>1086</v>
      </c>
      <c r="I225" s="14" t="s">
        <v>3</v>
      </c>
      <c r="J225" s="14" t="s">
        <v>1116</v>
      </c>
    </row>
    <row r="226" spans="1:10">
      <c r="A226" t="s">
        <v>503</v>
      </c>
      <c r="B226" t="s">
        <v>742</v>
      </c>
      <c r="C226" t="s">
        <v>923</v>
      </c>
      <c r="D226" t="s">
        <v>0</v>
      </c>
      <c r="G226" s="14" t="s">
        <v>2</v>
      </c>
      <c r="H226" s="14" t="s">
        <v>1087</v>
      </c>
      <c r="I226" s="14" t="s">
        <v>2</v>
      </c>
      <c r="J226" s="14" t="s">
        <v>1147</v>
      </c>
    </row>
    <row r="227" spans="1:10">
      <c r="A227" t="s">
        <v>504</v>
      </c>
      <c r="B227" t="s">
        <v>743</v>
      </c>
      <c r="C227" t="s">
        <v>993</v>
      </c>
      <c r="D227" t="s">
        <v>0</v>
      </c>
      <c r="G227" s="14" t="s">
        <v>2</v>
      </c>
      <c r="H227" s="14" t="s">
        <v>1087</v>
      </c>
      <c r="I227" s="14" t="s">
        <v>2</v>
      </c>
      <c r="J227" s="14" t="s">
        <v>1173</v>
      </c>
    </row>
    <row r="228" spans="1:10">
      <c r="A228" t="s">
        <v>504</v>
      </c>
      <c r="B228" t="s">
        <v>744</v>
      </c>
      <c r="C228" t="s">
        <v>988</v>
      </c>
      <c r="D228" t="s">
        <v>0</v>
      </c>
      <c r="G228" s="14" t="s">
        <v>2</v>
      </c>
      <c r="H228" s="14" t="s">
        <v>1087</v>
      </c>
      <c r="I228" s="14" t="s">
        <v>2</v>
      </c>
      <c r="J228" s="14" t="s">
        <v>1199</v>
      </c>
    </row>
    <row r="229" spans="1:10">
      <c r="A229" t="s">
        <v>505</v>
      </c>
      <c r="B229" t="s">
        <v>742</v>
      </c>
      <c r="C229" t="s">
        <v>994</v>
      </c>
      <c r="D229" t="s">
        <v>0</v>
      </c>
      <c r="G229" s="14" t="s">
        <v>2</v>
      </c>
      <c r="H229" s="14" t="s">
        <v>1088</v>
      </c>
      <c r="I229" s="14" t="s">
        <v>2</v>
      </c>
      <c r="J229" s="14" t="s">
        <v>1109</v>
      </c>
    </row>
    <row r="230" spans="1:10">
      <c r="A230" t="s">
        <v>505</v>
      </c>
      <c r="B230" t="s">
        <v>745</v>
      </c>
      <c r="C230" t="s">
        <v>995</v>
      </c>
      <c r="D230" t="s">
        <v>0</v>
      </c>
      <c r="G230" s="14" t="s">
        <v>2</v>
      </c>
      <c r="H230" s="14" t="s">
        <v>1088</v>
      </c>
      <c r="I230" s="14" t="s">
        <v>2</v>
      </c>
      <c r="J230" s="14" t="s">
        <v>1188</v>
      </c>
    </row>
    <row r="231" spans="1:10">
      <c r="A231" t="s">
        <v>506</v>
      </c>
      <c r="B231" t="s">
        <v>628</v>
      </c>
      <c r="C231" t="s">
        <v>996</v>
      </c>
      <c r="D231" t="s">
        <v>0</v>
      </c>
      <c r="G231" s="14" t="s">
        <v>2</v>
      </c>
      <c r="H231" s="14" t="s">
        <v>1088</v>
      </c>
      <c r="I231" s="14" t="s">
        <v>2</v>
      </c>
      <c r="J231" s="14" t="s">
        <v>1200</v>
      </c>
    </row>
    <row r="232" spans="1:10">
      <c r="A232" t="s">
        <v>507</v>
      </c>
      <c r="B232" t="s">
        <v>746</v>
      </c>
      <c r="C232" t="s">
        <v>997</v>
      </c>
      <c r="D232" t="s">
        <v>0</v>
      </c>
      <c r="G232" s="14" t="s">
        <v>2</v>
      </c>
      <c r="H232" s="14" t="s">
        <v>1088</v>
      </c>
      <c r="I232" s="14" t="s">
        <v>4</v>
      </c>
      <c r="J232" s="14" t="s">
        <v>1158</v>
      </c>
    </row>
    <row r="233" spans="1:10">
      <c r="A233" t="s">
        <v>508</v>
      </c>
      <c r="B233" t="s">
        <v>747</v>
      </c>
      <c r="C233" t="s">
        <v>998</v>
      </c>
      <c r="D233" t="s">
        <v>0</v>
      </c>
      <c r="G233" s="14" t="s">
        <v>2</v>
      </c>
      <c r="H233" s="14" t="s">
        <v>1088</v>
      </c>
      <c r="I233" s="14" t="s">
        <v>4</v>
      </c>
      <c r="J233" s="14" t="s">
        <v>1141</v>
      </c>
    </row>
    <row r="234" spans="1:10">
      <c r="A234" t="s">
        <v>509</v>
      </c>
      <c r="B234" t="s">
        <v>748</v>
      </c>
      <c r="C234" t="s">
        <v>999</v>
      </c>
      <c r="D234" t="s">
        <v>0</v>
      </c>
      <c r="G234" s="14" t="s">
        <v>2</v>
      </c>
      <c r="H234" s="14" t="s">
        <v>1088</v>
      </c>
      <c r="I234" s="14" t="s">
        <v>2</v>
      </c>
      <c r="J234" s="14" t="s">
        <v>1130</v>
      </c>
    </row>
    <row r="235" spans="1:10">
      <c r="A235" t="s">
        <v>510</v>
      </c>
      <c r="B235" t="s">
        <v>749</v>
      </c>
      <c r="C235" t="s">
        <v>1000</v>
      </c>
      <c r="D235" t="s">
        <v>0</v>
      </c>
      <c r="G235" s="14" t="s">
        <v>2</v>
      </c>
      <c r="H235" s="14" t="s">
        <v>1088</v>
      </c>
      <c r="I235" s="14" t="s">
        <v>2</v>
      </c>
      <c r="J235" s="14" t="s">
        <v>1158</v>
      </c>
    </row>
    <row r="236" spans="1:10">
      <c r="A236" t="s">
        <v>511</v>
      </c>
      <c r="B236" t="s">
        <v>750</v>
      </c>
      <c r="C236" t="s">
        <v>1001</v>
      </c>
      <c r="D236" t="s">
        <v>0</v>
      </c>
      <c r="G236" s="14" t="s">
        <v>2</v>
      </c>
      <c r="H236" s="14" t="s">
        <v>1088</v>
      </c>
      <c r="I236" s="14" t="s">
        <v>2</v>
      </c>
      <c r="J236" s="14" t="s">
        <v>1162</v>
      </c>
    </row>
    <row r="237" spans="1:10">
      <c r="A237" t="s">
        <v>512</v>
      </c>
      <c r="B237" t="s">
        <v>751</v>
      </c>
      <c r="C237" t="s">
        <v>1002</v>
      </c>
      <c r="D237" t="s">
        <v>0</v>
      </c>
      <c r="G237" s="14" t="s">
        <v>2</v>
      </c>
      <c r="H237" s="14" t="s">
        <v>1089</v>
      </c>
      <c r="I237" s="14" t="s">
        <v>2</v>
      </c>
      <c r="J237" s="14" t="s">
        <v>1123</v>
      </c>
    </row>
    <row r="238" spans="1:10">
      <c r="A238" t="s">
        <v>512</v>
      </c>
      <c r="B238" t="s">
        <v>652</v>
      </c>
      <c r="C238" t="s">
        <v>1003</v>
      </c>
      <c r="D238" t="s">
        <v>0</v>
      </c>
      <c r="G238" s="14" t="s">
        <v>2</v>
      </c>
      <c r="H238" s="14" t="s">
        <v>1089</v>
      </c>
      <c r="I238" s="14" t="s">
        <v>2</v>
      </c>
      <c r="J238" s="14" t="s">
        <v>1160</v>
      </c>
    </row>
    <row r="239" spans="1:10">
      <c r="A239" t="s">
        <v>513</v>
      </c>
      <c r="B239" t="s">
        <v>752</v>
      </c>
      <c r="C239" t="s">
        <v>1004</v>
      </c>
      <c r="D239" t="s">
        <v>0</v>
      </c>
      <c r="G239" s="14" t="s">
        <v>2</v>
      </c>
      <c r="H239" s="14" t="s">
        <v>1089</v>
      </c>
      <c r="I239" s="14" t="s">
        <v>1105</v>
      </c>
      <c r="J239" s="14" t="s">
        <v>1189</v>
      </c>
    </row>
    <row r="240" spans="1:10">
      <c r="A240" t="s">
        <v>514</v>
      </c>
      <c r="B240" t="s">
        <v>753</v>
      </c>
      <c r="C240" t="s">
        <v>1005</v>
      </c>
      <c r="D240" t="s">
        <v>0</v>
      </c>
      <c r="G240" s="14" t="s">
        <v>2</v>
      </c>
      <c r="H240" s="14" t="s">
        <v>1089</v>
      </c>
      <c r="I240" s="14" t="s">
        <v>2</v>
      </c>
      <c r="J240" s="14" t="s">
        <v>1147</v>
      </c>
    </row>
    <row r="241" spans="1:10">
      <c r="A241" t="s">
        <v>514</v>
      </c>
      <c r="B241" t="s">
        <v>753</v>
      </c>
      <c r="C241" t="s">
        <v>1005</v>
      </c>
      <c r="D241" t="s">
        <v>0</v>
      </c>
      <c r="G241" s="14" t="s">
        <v>2</v>
      </c>
      <c r="H241" s="14" t="s">
        <v>1090</v>
      </c>
      <c r="I241" s="14" t="s">
        <v>2</v>
      </c>
      <c r="J241" s="14" t="s">
        <v>1115</v>
      </c>
    </row>
    <row r="242" spans="1:10">
      <c r="A242" t="s">
        <v>515</v>
      </c>
      <c r="B242" t="s">
        <v>583</v>
      </c>
      <c r="C242" t="s">
        <v>1006</v>
      </c>
      <c r="D242" t="s">
        <v>0</v>
      </c>
      <c r="G242" s="14" t="s">
        <v>2</v>
      </c>
      <c r="H242" s="14" t="s">
        <v>1090</v>
      </c>
      <c r="I242" s="14" t="s">
        <v>2</v>
      </c>
      <c r="J242" s="14" t="s">
        <v>1201</v>
      </c>
    </row>
    <row r="243" spans="1:10">
      <c r="A243" t="s">
        <v>515</v>
      </c>
      <c r="B243" t="s">
        <v>754</v>
      </c>
      <c r="C243" t="s">
        <v>1007</v>
      </c>
      <c r="D243" t="s">
        <v>0</v>
      </c>
      <c r="G243" s="14" t="s">
        <v>2</v>
      </c>
      <c r="H243" s="14" t="s">
        <v>1090</v>
      </c>
      <c r="I243" s="14" t="s">
        <v>2</v>
      </c>
      <c r="J243" s="14" t="s">
        <v>1127</v>
      </c>
    </row>
    <row r="244" spans="1:10">
      <c r="A244" t="s">
        <v>516</v>
      </c>
      <c r="B244" t="s">
        <v>755</v>
      </c>
      <c r="C244" t="s">
        <v>1008</v>
      </c>
      <c r="D244" t="s">
        <v>0</v>
      </c>
      <c r="G244" s="14" t="s">
        <v>2</v>
      </c>
      <c r="H244" s="14" t="s">
        <v>1090</v>
      </c>
      <c r="I244" s="14" t="s">
        <v>2</v>
      </c>
      <c r="J244" s="14" t="s">
        <v>1112</v>
      </c>
    </row>
    <row r="245" spans="1:10">
      <c r="A245" t="s">
        <v>516</v>
      </c>
      <c r="B245" t="s">
        <v>580</v>
      </c>
      <c r="C245" t="s">
        <v>1009</v>
      </c>
      <c r="D245" t="s">
        <v>0</v>
      </c>
      <c r="G245" s="14" t="s">
        <v>2</v>
      </c>
      <c r="H245" s="14" t="s">
        <v>1090</v>
      </c>
      <c r="I245" s="14" t="s">
        <v>2</v>
      </c>
      <c r="J245" s="14" t="s">
        <v>1202</v>
      </c>
    </row>
    <row r="246" spans="1:10">
      <c r="A246" t="s">
        <v>517</v>
      </c>
      <c r="B246" t="s">
        <v>756</v>
      </c>
      <c r="C246" t="s">
        <v>1010</v>
      </c>
      <c r="D246" t="s">
        <v>0</v>
      </c>
      <c r="G246" s="14" t="s">
        <v>2</v>
      </c>
      <c r="H246" s="14" t="s">
        <v>1090</v>
      </c>
      <c r="I246" s="14" t="s">
        <v>2</v>
      </c>
      <c r="J246" s="14" t="s">
        <v>1151</v>
      </c>
    </row>
    <row r="247" spans="1:10">
      <c r="A247" t="s">
        <v>518</v>
      </c>
      <c r="B247" t="s">
        <v>757</v>
      </c>
      <c r="C247" t="s">
        <v>1011</v>
      </c>
      <c r="D247" t="s">
        <v>0</v>
      </c>
      <c r="G247" s="14" t="s">
        <v>2</v>
      </c>
      <c r="H247" s="14" t="s">
        <v>1091</v>
      </c>
      <c r="I247" s="14" t="s">
        <v>2</v>
      </c>
      <c r="J247" s="14" t="s">
        <v>1203</v>
      </c>
    </row>
    <row r="248" spans="1:10">
      <c r="A248" t="s">
        <v>518</v>
      </c>
      <c r="B248" t="s">
        <v>740</v>
      </c>
      <c r="C248" t="s">
        <v>1012</v>
      </c>
      <c r="D248" t="s">
        <v>0</v>
      </c>
      <c r="G248" s="14" t="s">
        <v>2</v>
      </c>
      <c r="H248" s="14" t="s">
        <v>1091</v>
      </c>
      <c r="I248" s="14" t="s">
        <v>2</v>
      </c>
      <c r="J248" s="14" t="s">
        <v>1155</v>
      </c>
    </row>
    <row r="249" spans="1:10">
      <c r="A249" t="s">
        <v>518</v>
      </c>
      <c r="B249" t="s">
        <v>758</v>
      </c>
      <c r="C249" t="s">
        <v>986</v>
      </c>
      <c r="D249" t="s">
        <v>0</v>
      </c>
      <c r="G249" s="14" t="s">
        <v>2</v>
      </c>
      <c r="H249" s="14" t="s">
        <v>1091</v>
      </c>
      <c r="I249" s="14" t="s">
        <v>3</v>
      </c>
      <c r="J249" s="14" t="s">
        <v>1158</v>
      </c>
    </row>
    <row r="250" spans="1:10">
      <c r="A250" t="s">
        <v>519</v>
      </c>
      <c r="B250" t="s">
        <v>759</v>
      </c>
      <c r="C250" t="s">
        <v>1013</v>
      </c>
      <c r="D250" t="s">
        <v>0</v>
      </c>
      <c r="G250" s="14" t="s">
        <v>2</v>
      </c>
      <c r="H250" s="14" t="s">
        <v>1091</v>
      </c>
      <c r="I250" s="14" t="s">
        <v>3</v>
      </c>
      <c r="J250" s="14" t="s">
        <v>1130</v>
      </c>
    </row>
    <row r="251" spans="1:10">
      <c r="A251" t="s">
        <v>519</v>
      </c>
      <c r="B251" t="s">
        <v>555</v>
      </c>
      <c r="C251" t="s">
        <v>870</v>
      </c>
      <c r="D251" t="s">
        <v>0</v>
      </c>
      <c r="G251" s="14" t="s">
        <v>2</v>
      </c>
      <c r="H251" s="14" t="s">
        <v>1091</v>
      </c>
      <c r="I251" s="14" t="s">
        <v>2</v>
      </c>
      <c r="J251" s="14" t="s">
        <v>1196</v>
      </c>
    </row>
    <row r="252" spans="1:10">
      <c r="A252" t="s">
        <v>520</v>
      </c>
      <c r="B252" t="s">
        <v>616</v>
      </c>
      <c r="C252" t="s">
        <v>1014</v>
      </c>
      <c r="D252" t="s">
        <v>0</v>
      </c>
      <c r="G252" s="14" t="s">
        <v>2</v>
      </c>
      <c r="H252" s="14" t="s">
        <v>1092</v>
      </c>
      <c r="I252" s="14" t="s">
        <v>2</v>
      </c>
      <c r="J252" s="14" t="s">
        <v>1204</v>
      </c>
    </row>
    <row r="253" spans="1:10">
      <c r="A253" t="s">
        <v>521</v>
      </c>
      <c r="B253" t="s">
        <v>760</v>
      </c>
      <c r="C253" t="s">
        <v>1015</v>
      </c>
      <c r="D253" t="s">
        <v>0</v>
      </c>
      <c r="G253" s="14" t="s">
        <v>2</v>
      </c>
      <c r="H253" s="14" t="s">
        <v>1092</v>
      </c>
      <c r="I253" s="14" t="s">
        <v>2</v>
      </c>
      <c r="J253" s="14" t="s">
        <v>1151</v>
      </c>
    </row>
    <row r="254" spans="1:10">
      <c r="A254" t="s">
        <v>522</v>
      </c>
      <c r="B254" t="s">
        <v>682</v>
      </c>
      <c r="C254" t="s">
        <v>1016</v>
      </c>
      <c r="D254" t="s">
        <v>0</v>
      </c>
      <c r="G254" s="14" t="s">
        <v>2</v>
      </c>
      <c r="H254" s="14" t="s">
        <v>1093</v>
      </c>
      <c r="I254" s="14" t="s">
        <v>3</v>
      </c>
      <c r="J254" s="14" t="s">
        <v>1144</v>
      </c>
    </row>
    <row r="255" spans="1:10">
      <c r="A255" t="s">
        <v>523</v>
      </c>
      <c r="B255" t="s">
        <v>761</v>
      </c>
      <c r="C255" t="s">
        <v>1017</v>
      </c>
      <c r="D255" t="s">
        <v>0</v>
      </c>
      <c r="G255" s="14" t="s">
        <v>2</v>
      </c>
      <c r="H255" s="14" t="s">
        <v>1093</v>
      </c>
      <c r="I255" s="14" t="s">
        <v>3</v>
      </c>
      <c r="J255" s="14" t="s">
        <v>1148</v>
      </c>
    </row>
    <row r="256" spans="1:10">
      <c r="A256" t="s">
        <v>524</v>
      </c>
      <c r="B256" t="s">
        <v>762</v>
      </c>
      <c r="C256" t="s">
        <v>1018</v>
      </c>
      <c r="D256" t="s">
        <v>0</v>
      </c>
      <c r="G256" s="14" t="s">
        <v>2</v>
      </c>
      <c r="H256" s="14" t="s">
        <v>1093</v>
      </c>
      <c r="I256" s="14" t="s">
        <v>2</v>
      </c>
      <c r="J256" s="14" t="s">
        <v>1133</v>
      </c>
    </row>
    <row r="257" spans="1:10">
      <c r="A257" t="s">
        <v>524</v>
      </c>
      <c r="B257" t="s">
        <v>763</v>
      </c>
      <c r="C257" t="s">
        <v>866</v>
      </c>
      <c r="D257" t="s">
        <v>0</v>
      </c>
      <c r="G257" s="14" t="s">
        <v>2</v>
      </c>
      <c r="H257" s="14" t="s">
        <v>1093</v>
      </c>
      <c r="I257" s="14" t="s">
        <v>0</v>
      </c>
      <c r="J257" s="14" t="s">
        <v>1173</v>
      </c>
    </row>
    <row r="258" spans="1:10">
      <c r="A258" t="s">
        <v>524</v>
      </c>
      <c r="B258" t="s">
        <v>764</v>
      </c>
      <c r="C258" t="s">
        <v>1000</v>
      </c>
      <c r="D258" t="s">
        <v>0</v>
      </c>
      <c r="G258" s="14" t="s">
        <v>2</v>
      </c>
      <c r="H258" s="14" t="s">
        <v>1094</v>
      </c>
      <c r="I258" s="14" t="s">
        <v>2</v>
      </c>
      <c r="J258" s="14" t="s">
        <v>1205</v>
      </c>
    </row>
    <row r="259" spans="1:10">
      <c r="A259" t="s">
        <v>525</v>
      </c>
      <c r="B259" t="s">
        <v>674</v>
      </c>
      <c r="C259" t="s">
        <v>1019</v>
      </c>
      <c r="D259" t="s">
        <v>0</v>
      </c>
      <c r="G259" s="14" t="s">
        <v>2</v>
      </c>
      <c r="H259" s="14" t="s">
        <v>1094</v>
      </c>
      <c r="I259" s="14" t="s">
        <v>2</v>
      </c>
      <c r="J259" s="14" t="s">
        <v>1155</v>
      </c>
    </row>
    <row r="260" spans="1:10">
      <c r="A260" t="s">
        <v>525</v>
      </c>
      <c r="B260" t="s">
        <v>765</v>
      </c>
      <c r="C260" t="s">
        <v>1017</v>
      </c>
      <c r="D260" t="s">
        <v>0</v>
      </c>
      <c r="G260" s="14" t="s">
        <v>2</v>
      </c>
      <c r="H260" s="14" t="s">
        <v>1094</v>
      </c>
      <c r="I260" s="14" t="s">
        <v>1106</v>
      </c>
      <c r="J260" s="14" t="s">
        <v>1117</v>
      </c>
    </row>
    <row r="261" spans="1:10">
      <c r="A261" t="s">
        <v>526</v>
      </c>
      <c r="B261" t="s">
        <v>766</v>
      </c>
      <c r="C261" t="s">
        <v>1020</v>
      </c>
      <c r="D261" t="s">
        <v>0</v>
      </c>
      <c r="G261" s="14" t="s">
        <v>2</v>
      </c>
      <c r="H261" s="14" t="s">
        <v>1094</v>
      </c>
      <c r="I261" s="14" t="s">
        <v>2</v>
      </c>
      <c r="J261" s="14" t="s">
        <v>1158</v>
      </c>
    </row>
    <row r="262" spans="1:10">
      <c r="A262" t="s">
        <v>526</v>
      </c>
      <c r="B262" t="s">
        <v>767</v>
      </c>
      <c r="C262" t="s">
        <v>1021</v>
      </c>
      <c r="D262" t="s">
        <v>0</v>
      </c>
      <c r="G262" s="14" t="s">
        <v>2</v>
      </c>
      <c r="H262" s="14" t="s">
        <v>1094</v>
      </c>
      <c r="I262" s="14" t="s">
        <v>2</v>
      </c>
      <c r="J262" s="14" t="s">
        <v>1192</v>
      </c>
    </row>
    <row r="263" spans="1:10">
      <c r="A263" t="s">
        <v>527</v>
      </c>
      <c r="B263" t="s">
        <v>768</v>
      </c>
      <c r="C263" t="s">
        <v>1022</v>
      </c>
      <c r="D263" t="s">
        <v>0</v>
      </c>
      <c r="G263" s="14" t="s">
        <v>2</v>
      </c>
      <c r="H263" s="14" t="s">
        <v>1095</v>
      </c>
      <c r="I263" s="14" t="s">
        <v>2</v>
      </c>
      <c r="J263" s="14" t="s">
        <v>1196</v>
      </c>
    </row>
    <row r="264" spans="1:10">
      <c r="A264" t="s">
        <v>528</v>
      </c>
      <c r="B264" t="s">
        <v>593</v>
      </c>
      <c r="C264" t="s">
        <v>911</v>
      </c>
      <c r="D264" t="s">
        <v>0</v>
      </c>
      <c r="G264" s="14" t="s">
        <v>2</v>
      </c>
      <c r="H264" s="14" t="s">
        <v>1095</v>
      </c>
      <c r="I264" s="14" t="s">
        <v>2</v>
      </c>
      <c r="J264" s="14" t="s">
        <v>1206</v>
      </c>
    </row>
    <row r="265" spans="1:10">
      <c r="A265" t="s">
        <v>528</v>
      </c>
      <c r="B265" t="s">
        <v>769</v>
      </c>
      <c r="C265" t="s">
        <v>1023</v>
      </c>
      <c r="D265" t="s">
        <v>0</v>
      </c>
      <c r="G265" s="14" t="s">
        <v>2</v>
      </c>
      <c r="H265" s="14" t="s">
        <v>1095</v>
      </c>
      <c r="I265" s="14" t="s">
        <v>2</v>
      </c>
      <c r="J265" s="14" t="s">
        <v>1116</v>
      </c>
    </row>
    <row r="266" spans="1:10">
      <c r="A266" t="s">
        <v>529</v>
      </c>
      <c r="B266" t="s">
        <v>770</v>
      </c>
      <c r="C266" t="s">
        <v>1024</v>
      </c>
      <c r="D266" t="s">
        <v>0</v>
      </c>
      <c r="G266" s="14" t="s">
        <v>2</v>
      </c>
      <c r="H266" s="14" t="s">
        <v>1095</v>
      </c>
      <c r="I266" s="14" t="s">
        <v>2</v>
      </c>
      <c r="J266" s="14" t="s">
        <v>1167</v>
      </c>
    </row>
    <row r="267" spans="1:10">
      <c r="A267" t="s">
        <v>530</v>
      </c>
      <c r="B267" t="s">
        <v>771</v>
      </c>
      <c r="C267" t="s">
        <v>1025</v>
      </c>
      <c r="D267" t="s">
        <v>0</v>
      </c>
      <c r="G267" s="14" t="s">
        <v>2</v>
      </c>
      <c r="H267" s="14" t="s">
        <v>1095</v>
      </c>
      <c r="I267" s="14" t="s">
        <v>2</v>
      </c>
      <c r="J267" s="14" t="s">
        <v>1153</v>
      </c>
    </row>
    <row r="268" spans="1:10">
      <c r="A268" t="s">
        <v>530</v>
      </c>
      <c r="B268" t="s">
        <v>771</v>
      </c>
      <c r="C268" t="s">
        <v>1025</v>
      </c>
      <c r="D268" t="s">
        <v>0</v>
      </c>
      <c r="G268" s="14" t="s">
        <v>2</v>
      </c>
      <c r="H268" s="14" t="s">
        <v>1096</v>
      </c>
      <c r="I268" s="14" t="s">
        <v>2</v>
      </c>
      <c r="J268" s="14" t="s">
        <v>1201</v>
      </c>
    </row>
    <row r="269" spans="1:10">
      <c r="A269" t="s">
        <v>530</v>
      </c>
      <c r="B269" t="s">
        <v>772</v>
      </c>
      <c r="C269" t="s">
        <v>1026</v>
      </c>
      <c r="D269" t="s">
        <v>0</v>
      </c>
      <c r="G269" s="14" t="s">
        <v>2</v>
      </c>
      <c r="H269" s="14" t="s">
        <v>1096</v>
      </c>
      <c r="I269" s="14" t="s">
        <v>2</v>
      </c>
      <c r="J269" s="14" t="s">
        <v>1139</v>
      </c>
    </row>
    <row r="270" spans="1:10">
      <c r="A270" t="s">
        <v>531</v>
      </c>
      <c r="B270" t="s">
        <v>773</v>
      </c>
      <c r="C270" t="s">
        <v>1027</v>
      </c>
      <c r="D270" t="s">
        <v>0</v>
      </c>
      <c r="G270" s="14" t="s">
        <v>2</v>
      </c>
      <c r="H270" s="14" t="s">
        <v>1096</v>
      </c>
      <c r="I270" s="14" t="s">
        <v>2</v>
      </c>
      <c r="J270" s="14" t="s">
        <v>1175</v>
      </c>
    </row>
    <row r="271" spans="1:10">
      <c r="A271" t="s">
        <v>531</v>
      </c>
      <c r="B271" t="s">
        <v>774</v>
      </c>
      <c r="C271" t="s">
        <v>998</v>
      </c>
      <c r="D271" t="s">
        <v>0</v>
      </c>
      <c r="G271" s="14" t="s">
        <v>2</v>
      </c>
      <c r="H271" s="14" t="s">
        <v>1096</v>
      </c>
      <c r="I271" s="14" t="s">
        <v>5</v>
      </c>
      <c r="J271" s="14" t="s">
        <v>1112</v>
      </c>
    </row>
    <row r="272" spans="1:10">
      <c r="A272" t="s">
        <v>532</v>
      </c>
      <c r="B272" t="s">
        <v>775</v>
      </c>
      <c r="C272" t="s">
        <v>959</v>
      </c>
      <c r="D272" t="s">
        <v>0</v>
      </c>
      <c r="G272" s="14" t="s">
        <v>2</v>
      </c>
      <c r="H272" s="14" t="s">
        <v>1096</v>
      </c>
      <c r="I272" s="14" t="s">
        <v>2</v>
      </c>
      <c r="J272" s="14" t="s">
        <v>1207</v>
      </c>
    </row>
    <row r="273" spans="1:10">
      <c r="A273" t="s">
        <v>532</v>
      </c>
      <c r="B273" t="s">
        <v>776</v>
      </c>
      <c r="C273" t="s">
        <v>1028</v>
      </c>
      <c r="D273" t="s">
        <v>0</v>
      </c>
      <c r="G273" s="14" t="s">
        <v>2</v>
      </c>
      <c r="H273" s="14" t="s">
        <v>1096</v>
      </c>
      <c r="I273" s="14" t="s">
        <v>2</v>
      </c>
      <c r="J273" s="14" t="s">
        <v>1117</v>
      </c>
    </row>
    <row r="274" spans="1:10">
      <c r="A274" t="s">
        <v>532</v>
      </c>
      <c r="B274" t="s">
        <v>777</v>
      </c>
      <c r="C274" t="s">
        <v>1029</v>
      </c>
      <c r="D274" t="s">
        <v>0</v>
      </c>
      <c r="G274" s="14" t="s">
        <v>2</v>
      </c>
      <c r="H274" s="14" t="s">
        <v>1096</v>
      </c>
      <c r="I274" s="14" t="s">
        <v>4</v>
      </c>
      <c r="J274" s="14" t="s">
        <v>1197</v>
      </c>
    </row>
    <row r="275" spans="1:10">
      <c r="A275" t="s">
        <v>532</v>
      </c>
      <c r="B275" t="s">
        <v>778</v>
      </c>
      <c r="C275" t="s">
        <v>830</v>
      </c>
      <c r="D275" t="s">
        <v>0</v>
      </c>
      <c r="G275" s="14" t="s">
        <v>2</v>
      </c>
      <c r="H275" s="14" t="s">
        <v>1096</v>
      </c>
      <c r="I275" s="14" t="s">
        <v>2</v>
      </c>
      <c r="J275" s="14" t="s">
        <v>1158</v>
      </c>
    </row>
    <row r="276" spans="1:10">
      <c r="A276" t="s">
        <v>533</v>
      </c>
      <c r="B276" t="s">
        <v>736</v>
      </c>
      <c r="C276" t="s">
        <v>860</v>
      </c>
      <c r="D276" t="s">
        <v>0</v>
      </c>
      <c r="G276" s="14" t="s">
        <v>2</v>
      </c>
      <c r="H276" s="14" t="s">
        <v>1096</v>
      </c>
      <c r="I276" s="14" t="s">
        <v>2</v>
      </c>
      <c r="J276" s="14" t="s">
        <v>1203</v>
      </c>
    </row>
    <row r="277" spans="1:10">
      <c r="A277" t="s">
        <v>534</v>
      </c>
      <c r="B277" t="s">
        <v>779</v>
      </c>
      <c r="C277" t="s">
        <v>1003</v>
      </c>
      <c r="D277" t="s">
        <v>0</v>
      </c>
      <c r="G277" s="14" t="s">
        <v>2</v>
      </c>
      <c r="H277" s="14" t="s">
        <v>1096</v>
      </c>
      <c r="I277" s="14" t="s">
        <v>2</v>
      </c>
      <c r="J277" s="14" t="s">
        <v>1123</v>
      </c>
    </row>
    <row r="278" spans="1:10">
      <c r="A278" t="s">
        <v>534</v>
      </c>
      <c r="B278" t="s">
        <v>780</v>
      </c>
      <c r="C278" t="s">
        <v>1016</v>
      </c>
      <c r="D278" t="s">
        <v>0</v>
      </c>
      <c r="G278" s="14" t="s">
        <v>2</v>
      </c>
      <c r="H278" s="14" t="s">
        <v>1096</v>
      </c>
      <c r="I278" s="14" t="s">
        <v>2</v>
      </c>
      <c r="J278" s="14" t="s">
        <v>1116</v>
      </c>
    </row>
    <row r="279" spans="1:10">
      <c r="A279" t="s">
        <v>535</v>
      </c>
      <c r="B279" t="s">
        <v>781</v>
      </c>
      <c r="C279" t="s">
        <v>1030</v>
      </c>
      <c r="D279" t="s">
        <v>0</v>
      </c>
      <c r="G279" s="14" t="s">
        <v>2</v>
      </c>
      <c r="H279" s="14" t="s">
        <v>1096</v>
      </c>
      <c r="I279" s="14" t="s">
        <v>2</v>
      </c>
      <c r="J279" s="14" t="s">
        <v>1203</v>
      </c>
    </row>
    <row r="280" spans="1:10">
      <c r="A280" t="s">
        <v>536</v>
      </c>
      <c r="B280" t="s">
        <v>782</v>
      </c>
      <c r="C280" t="s">
        <v>1004</v>
      </c>
      <c r="D280" t="s">
        <v>0</v>
      </c>
      <c r="G280" s="14" t="s">
        <v>2</v>
      </c>
      <c r="H280" s="14" t="s">
        <v>1096</v>
      </c>
      <c r="I280" s="14" t="s">
        <v>2</v>
      </c>
      <c r="J280" s="14" t="s">
        <v>1196</v>
      </c>
    </row>
    <row r="281" spans="1:10">
      <c r="A281" t="s">
        <v>537</v>
      </c>
      <c r="B281" t="s">
        <v>783</v>
      </c>
      <c r="C281" t="s">
        <v>958</v>
      </c>
      <c r="D281" t="s">
        <v>0</v>
      </c>
      <c r="G281" s="14" t="s">
        <v>2</v>
      </c>
      <c r="H281" s="14" t="s">
        <v>1096</v>
      </c>
      <c r="I281" s="14" t="s">
        <v>2</v>
      </c>
      <c r="J281" s="14" t="s">
        <v>1156</v>
      </c>
    </row>
    <row r="282" spans="1:10">
      <c r="A282" t="s">
        <v>537</v>
      </c>
      <c r="B282" t="s">
        <v>784</v>
      </c>
      <c r="C282" t="s">
        <v>860</v>
      </c>
      <c r="D282" t="s">
        <v>0</v>
      </c>
      <c r="G282" s="14" t="s">
        <v>2</v>
      </c>
      <c r="H282" s="14" t="s">
        <v>1096</v>
      </c>
      <c r="I282" s="14" t="s">
        <v>1107</v>
      </c>
      <c r="J282" s="14" t="s">
        <v>1122</v>
      </c>
    </row>
    <row r="283" spans="1:10">
      <c r="A283" t="s">
        <v>538</v>
      </c>
      <c r="B283" t="s">
        <v>785</v>
      </c>
      <c r="C283" t="s">
        <v>1031</v>
      </c>
      <c r="D283" t="s">
        <v>0</v>
      </c>
      <c r="G283" s="14" t="s">
        <v>2</v>
      </c>
      <c r="H283" s="14" t="s">
        <v>1096</v>
      </c>
      <c r="I283" s="14" t="s">
        <v>2</v>
      </c>
      <c r="J283" s="14" t="s">
        <v>1111</v>
      </c>
    </row>
    <row r="284" spans="1:10">
      <c r="A284" t="s">
        <v>538</v>
      </c>
      <c r="B284" t="s">
        <v>786</v>
      </c>
      <c r="C284" t="s">
        <v>1032</v>
      </c>
      <c r="D284" t="s">
        <v>0</v>
      </c>
      <c r="G284" s="14" t="s">
        <v>2</v>
      </c>
      <c r="H284" s="14" t="s">
        <v>1096</v>
      </c>
      <c r="I284" s="14" t="s">
        <v>2</v>
      </c>
      <c r="J284" s="14" t="s">
        <v>1151</v>
      </c>
    </row>
    <row r="285" spans="1:10">
      <c r="A285" t="s">
        <v>539</v>
      </c>
      <c r="B285" t="s">
        <v>787</v>
      </c>
      <c r="C285" t="s">
        <v>875</v>
      </c>
      <c r="D285" t="s">
        <v>0</v>
      </c>
      <c r="G285" s="14" t="s">
        <v>2</v>
      </c>
      <c r="H285" s="14" t="s">
        <v>1097</v>
      </c>
      <c r="I285" s="14" t="s">
        <v>2</v>
      </c>
      <c r="J285" s="14" t="s">
        <v>1112</v>
      </c>
    </row>
    <row r="286" spans="1:10">
      <c r="A286" t="s">
        <v>540</v>
      </c>
      <c r="B286" t="s">
        <v>788</v>
      </c>
      <c r="C286" t="s">
        <v>1033</v>
      </c>
      <c r="D286" t="s">
        <v>0</v>
      </c>
      <c r="G286" s="14" t="s">
        <v>2</v>
      </c>
      <c r="H286" s="14" t="s">
        <v>1097</v>
      </c>
      <c r="I286" s="14" t="s">
        <v>2</v>
      </c>
      <c r="J286" s="14" t="s">
        <v>1130</v>
      </c>
    </row>
    <row r="287" spans="1:10">
      <c r="A287" t="s">
        <v>541</v>
      </c>
      <c r="B287" t="s">
        <v>789</v>
      </c>
      <c r="C287" t="s">
        <v>1034</v>
      </c>
      <c r="D287" t="s">
        <v>0</v>
      </c>
      <c r="G287" s="14" t="s">
        <v>2</v>
      </c>
      <c r="H287" s="14" t="s">
        <v>1097</v>
      </c>
      <c r="I287" s="14" t="s">
        <v>2</v>
      </c>
      <c r="J287" s="14" t="s">
        <v>1141</v>
      </c>
    </row>
    <row r="288" spans="1:10">
      <c r="A288" t="s">
        <v>542</v>
      </c>
      <c r="B288" t="s">
        <v>790</v>
      </c>
      <c r="C288" t="s">
        <v>1035</v>
      </c>
      <c r="D288" t="s">
        <v>0</v>
      </c>
      <c r="G288" s="14" t="s">
        <v>2</v>
      </c>
      <c r="H288" s="14" t="s">
        <v>1097</v>
      </c>
      <c r="I288" s="14" t="s">
        <v>2</v>
      </c>
      <c r="J288" s="14" t="s">
        <v>1132</v>
      </c>
    </row>
    <row r="289" spans="1:10">
      <c r="A289" t="s">
        <v>543</v>
      </c>
      <c r="B289" t="s">
        <v>616</v>
      </c>
      <c r="C289" t="s">
        <v>1036</v>
      </c>
      <c r="D289" t="s">
        <v>0</v>
      </c>
      <c r="G289" s="14" t="s">
        <v>2</v>
      </c>
      <c r="H289" s="14" t="s">
        <v>1097</v>
      </c>
      <c r="I289" s="14" t="s">
        <v>2</v>
      </c>
      <c r="J289" s="14" t="s">
        <v>1117</v>
      </c>
    </row>
    <row r="290" spans="1:10">
      <c r="A290" t="s">
        <v>544</v>
      </c>
      <c r="B290" t="s">
        <v>563</v>
      </c>
      <c r="C290" t="s">
        <v>1037</v>
      </c>
      <c r="D290" t="s">
        <v>0</v>
      </c>
      <c r="G290" s="14" t="s">
        <v>2</v>
      </c>
      <c r="H290" s="14" t="s">
        <v>1097</v>
      </c>
      <c r="I290" s="14" t="s">
        <v>2</v>
      </c>
      <c r="J290" s="14" t="s">
        <v>1152</v>
      </c>
    </row>
    <row r="291" spans="1:10">
      <c r="A291" t="s">
        <v>544</v>
      </c>
      <c r="B291" t="s">
        <v>791</v>
      </c>
      <c r="C291" t="s">
        <v>1038</v>
      </c>
      <c r="D291" t="s">
        <v>0</v>
      </c>
      <c r="G291" s="14" t="s">
        <v>2</v>
      </c>
      <c r="H291" s="14" t="s">
        <v>1097</v>
      </c>
      <c r="I291" s="14" t="s">
        <v>2</v>
      </c>
      <c r="J291" s="14" t="s">
        <v>1157</v>
      </c>
    </row>
    <row r="292" spans="1:10">
      <c r="A292" t="s">
        <v>545</v>
      </c>
      <c r="B292" t="s">
        <v>747</v>
      </c>
      <c r="C292" t="s">
        <v>1039</v>
      </c>
      <c r="D292" t="s">
        <v>0</v>
      </c>
      <c r="G292" s="14" t="s">
        <v>2</v>
      </c>
      <c r="H292" s="14" t="s">
        <v>1097</v>
      </c>
      <c r="I292" s="14" t="s">
        <v>2</v>
      </c>
      <c r="J292" s="14" t="s">
        <v>1152</v>
      </c>
    </row>
    <row r="293" spans="1:10">
      <c r="A293" t="s">
        <v>545</v>
      </c>
      <c r="B293" t="s">
        <v>792</v>
      </c>
      <c r="C293" t="s">
        <v>1040</v>
      </c>
      <c r="D293" t="s">
        <v>0</v>
      </c>
      <c r="G293" s="14" t="s">
        <v>2</v>
      </c>
      <c r="H293" s="14" t="s">
        <v>1098</v>
      </c>
      <c r="I293" s="14" t="s">
        <v>2</v>
      </c>
      <c r="J293" s="14" t="s">
        <v>1112</v>
      </c>
    </row>
    <row r="294" spans="1:10">
      <c r="A294" t="s">
        <v>545</v>
      </c>
      <c r="B294" t="s">
        <v>792</v>
      </c>
      <c r="C294" t="s">
        <v>1040</v>
      </c>
      <c r="D294" t="s">
        <v>0</v>
      </c>
      <c r="G294" s="14" t="s">
        <v>2</v>
      </c>
      <c r="H294" s="14" t="s">
        <v>1098</v>
      </c>
      <c r="I294" s="14" t="s">
        <v>2</v>
      </c>
      <c r="J294" s="14" t="s">
        <v>1158</v>
      </c>
    </row>
    <row r="295" spans="1:10">
      <c r="A295" t="s">
        <v>546</v>
      </c>
      <c r="B295" t="s">
        <v>793</v>
      </c>
      <c r="C295" t="s">
        <v>1041</v>
      </c>
      <c r="D295" t="s">
        <v>0</v>
      </c>
      <c r="G295" s="14" t="s">
        <v>2</v>
      </c>
      <c r="H295" s="14" t="s">
        <v>1098</v>
      </c>
      <c r="I295" s="14" t="s">
        <v>2</v>
      </c>
      <c r="J295" s="14" t="s">
        <v>1162</v>
      </c>
    </row>
    <row r="296" spans="1:10">
      <c r="A296" t="s">
        <v>546</v>
      </c>
      <c r="B296" t="s">
        <v>720</v>
      </c>
      <c r="C296" t="s">
        <v>1042</v>
      </c>
      <c r="D296" t="s">
        <v>0</v>
      </c>
      <c r="G296" s="14" t="s">
        <v>2</v>
      </c>
      <c r="H296" s="14" t="s">
        <v>1098</v>
      </c>
      <c r="I296" s="14" t="s">
        <v>2</v>
      </c>
      <c r="J296" s="14" t="s">
        <v>1165</v>
      </c>
    </row>
    <row r="297" spans="1:10">
      <c r="A297" t="s">
        <v>546</v>
      </c>
      <c r="B297" t="s">
        <v>794</v>
      </c>
      <c r="C297" t="s">
        <v>1043</v>
      </c>
      <c r="D297" t="s">
        <v>0</v>
      </c>
      <c r="G297" s="14" t="s">
        <v>2</v>
      </c>
      <c r="H297" s="14" t="s">
        <v>1098</v>
      </c>
      <c r="I297" s="14" t="s">
        <v>2</v>
      </c>
      <c r="J297" s="14" t="s">
        <v>1204</v>
      </c>
    </row>
    <row r="298" spans="1:10">
      <c r="A298" t="s">
        <v>547</v>
      </c>
      <c r="B298" t="s">
        <v>795</v>
      </c>
      <c r="C298" t="s">
        <v>1044</v>
      </c>
      <c r="D298" t="s">
        <v>0</v>
      </c>
      <c r="G298" s="14" t="s">
        <v>2</v>
      </c>
      <c r="H298" s="14" t="s">
        <v>1098</v>
      </c>
      <c r="I298" s="14" t="s">
        <v>2</v>
      </c>
      <c r="J298" s="14" t="s">
        <v>1121</v>
      </c>
    </row>
    <row r="299" spans="1:10">
      <c r="A299" t="s">
        <v>548</v>
      </c>
      <c r="B299" t="s">
        <v>796</v>
      </c>
      <c r="C299" t="s">
        <v>1041</v>
      </c>
      <c r="D299" t="s">
        <v>0</v>
      </c>
      <c r="G299" s="14" t="s">
        <v>2</v>
      </c>
      <c r="H299" s="14" t="s">
        <v>1098</v>
      </c>
      <c r="I299" s="14" t="s">
        <v>4</v>
      </c>
      <c r="J299" s="14" t="s">
        <v>1109</v>
      </c>
    </row>
    <row r="300" spans="1:10">
      <c r="A300" t="s">
        <v>549</v>
      </c>
      <c r="B300" t="s">
        <v>797</v>
      </c>
      <c r="C300" t="s">
        <v>960</v>
      </c>
      <c r="D300" t="s">
        <v>0</v>
      </c>
      <c r="G300" s="14" t="s">
        <v>2</v>
      </c>
      <c r="H300" s="14" t="s">
        <v>1099</v>
      </c>
      <c r="I300" s="14" t="s">
        <v>2</v>
      </c>
      <c r="J300" s="14" t="s">
        <v>1208</v>
      </c>
    </row>
    <row r="301" spans="1:10">
      <c r="A301" t="s">
        <v>550</v>
      </c>
      <c r="B301" t="s">
        <v>798</v>
      </c>
      <c r="C301" t="s">
        <v>1045</v>
      </c>
      <c r="D301" t="s">
        <v>0</v>
      </c>
      <c r="G301" s="14" t="s">
        <v>2</v>
      </c>
      <c r="H301" s="14" t="s">
        <v>1099</v>
      </c>
      <c r="I301" s="14" t="s">
        <v>2</v>
      </c>
      <c r="J301" s="14" t="s">
        <v>1132</v>
      </c>
    </row>
    <row r="302" spans="1:10">
      <c r="A302" t="s">
        <v>550</v>
      </c>
      <c r="B302" t="s">
        <v>798</v>
      </c>
      <c r="C302" t="s">
        <v>1045</v>
      </c>
      <c r="D302" t="s">
        <v>0</v>
      </c>
      <c r="G302" s="14" t="s">
        <v>2</v>
      </c>
      <c r="H302" s="14" t="s">
        <v>1099</v>
      </c>
      <c r="I302" s="14" t="s">
        <v>2</v>
      </c>
      <c r="J302" s="14" t="s">
        <v>1198</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dimension ref="A1:C20"/>
  <sheetViews>
    <sheetView showGridLines="0" zoomScale="90" zoomScaleNormal="90" workbookViewId="0"/>
  </sheetViews>
  <sheetFormatPr defaultRowHeight="15"/>
  <cols>
    <col min="1" max="1" width="14.7109375" customWidth="1"/>
    <col min="2" max="2" width="20.7109375" customWidth="1"/>
    <col min="3" max="3" width="100.7109375" customWidth="1"/>
  </cols>
  <sheetData>
    <row r="1" spans="1:3" ht="27" customHeight="1">
      <c r="A1" s="1" t="s">
        <v>1398</v>
      </c>
    </row>
    <row r="3" spans="1:3">
      <c r="A3" s="5" t="s">
        <v>1399</v>
      </c>
      <c r="B3" s="5" t="s">
        <v>1400</v>
      </c>
      <c r="C3" s="5" t="s">
        <v>1401</v>
      </c>
    </row>
    <row r="4" spans="1:3">
      <c r="A4" s="14" t="s">
        <v>1402</v>
      </c>
      <c r="B4" s="14" t="s">
        <v>1403</v>
      </c>
      <c r="C4" s="14" t="s">
        <v>1404</v>
      </c>
    </row>
    <row r="5" spans="1:3">
      <c r="A5" s="14" t="s">
        <v>1402</v>
      </c>
      <c r="B5" s="14" t="s">
        <v>308</v>
      </c>
      <c r="C5" s="14" t="s">
        <v>1405</v>
      </c>
    </row>
    <row r="6" spans="1:3">
      <c r="A6" s="14" t="s">
        <v>1402</v>
      </c>
      <c r="B6" s="14" t="s">
        <v>1406</v>
      </c>
      <c r="C6" s="14" t="s">
        <v>1407</v>
      </c>
    </row>
    <row r="7" spans="1:3">
      <c r="A7" s="14" t="s">
        <v>1402</v>
      </c>
      <c r="B7" s="14" t="s">
        <v>311</v>
      </c>
      <c r="C7" s="14" t="s">
        <v>1408</v>
      </c>
    </row>
    <row r="8" spans="1:3">
      <c r="A8" s="14" t="s">
        <v>1402</v>
      </c>
      <c r="B8" s="14" t="s">
        <v>312</v>
      </c>
      <c r="C8" s="14" t="s">
        <v>1409</v>
      </c>
    </row>
    <row r="9" spans="1:3">
      <c r="A9" s="14" t="s">
        <v>1402</v>
      </c>
      <c r="B9" s="14" t="s">
        <v>313</v>
      </c>
      <c r="C9" s="14" t="s">
        <v>1410</v>
      </c>
    </row>
    <row r="10" spans="1:3">
      <c r="A10" s="14" t="s">
        <v>1411</v>
      </c>
      <c r="B10" s="14" t="s">
        <v>307</v>
      </c>
      <c r="C10" s="14" t="s">
        <v>1412</v>
      </c>
    </row>
    <row r="11" spans="1:3">
      <c r="A11" s="14" t="s">
        <v>1411</v>
      </c>
      <c r="B11" s="14" t="s">
        <v>1413</v>
      </c>
      <c r="C11" s="14" t="s">
        <v>1414</v>
      </c>
    </row>
    <row r="12" spans="1:3">
      <c r="A12" s="14" t="s">
        <v>1411</v>
      </c>
      <c r="B12" s="14" t="s">
        <v>316</v>
      </c>
      <c r="C12" s="14" t="s">
        <v>1415</v>
      </c>
    </row>
    <row r="13" spans="1:3">
      <c r="A13" s="14" t="s">
        <v>1411</v>
      </c>
      <c r="B13" s="14" t="s">
        <v>317</v>
      </c>
      <c r="C13" s="14" t="s">
        <v>1416</v>
      </c>
    </row>
    <row r="14" spans="1:3">
      <c r="A14" s="14" t="s">
        <v>1417</v>
      </c>
      <c r="B14" s="14" t="s">
        <v>1418</v>
      </c>
      <c r="C14" s="14" t="s">
        <v>1419</v>
      </c>
    </row>
    <row r="15" spans="1:3">
      <c r="A15" s="14" t="s">
        <v>1420</v>
      </c>
      <c r="B15" s="14" t="s">
        <v>1421</v>
      </c>
      <c r="C15" s="14" t="s">
        <v>1422</v>
      </c>
    </row>
    <row r="16" spans="1:3">
      <c r="A16" s="14" t="s">
        <v>1423</v>
      </c>
      <c r="B16" s="14" t="s">
        <v>1424</v>
      </c>
      <c r="C16" s="14" t="s">
        <v>1425</v>
      </c>
    </row>
    <row r="17" spans="1:3">
      <c r="A17" s="14" t="s">
        <v>1426</v>
      </c>
      <c r="B17" s="14" t="s">
        <v>1427</v>
      </c>
      <c r="C17" s="14" t="s">
        <v>1428</v>
      </c>
    </row>
    <row r="18" spans="1:3">
      <c r="A18" s="14" t="s">
        <v>1426</v>
      </c>
      <c r="B18" s="14" t="s">
        <v>322</v>
      </c>
      <c r="C18" s="14" t="s">
        <v>1429</v>
      </c>
    </row>
    <row r="19" spans="1:3">
      <c r="A19" s="14" t="s">
        <v>1430</v>
      </c>
      <c r="B19" s="14" t="s">
        <v>1431</v>
      </c>
      <c r="C19" s="14" t="s">
        <v>1432</v>
      </c>
    </row>
    <row r="20" spans="1:3">
      <c r="A20" s="14" t="s">
        <v>1430</v>
      </c>
      <c r="B20" s="14" t="s">
        <v>336</v>
      </c>
      <c r="C20" s="14" t="s">
        <v>1433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vt:i4>
      </vt:variant>
    </vt:vector>
  </HeadingPairs>
  <TitlesOfParts>
    <vt:vector size="24" baseType="lpstr">
      <vt:lpstr>README</vt:lpstr>
      <vt:lpstr>Summary</vt:lpstr>
      <vt:lpstr>Monthly_Trend</vt:lpstr>
      <vt:lpstr>Time_Patterns</vt:lpstr>
      <vt:lpstr>Daily_Calendar</vt:lpstr>
      <vt:lpstr>Geography</vt:lpstr>
      <vt:lpstr>Bases</vt:lpstr>
      <vt:lpstr>Supply</vt:lpstr>
      <vt:lpstr>Market</vt:lpstr>
      <vt:lpstr>Pivot_Tables</vt:lpstr>
      <vt:lpstr>Hourly</vt:lpstr>
      <vt:lpstr>Daily</vt:lpstr>
      <vt:lpstr>BaseDaily</vt:lpstr>
      <vt:lpstr>ZoneMonthly</vt:lpstr>
      <vt:lpstr>AreaHour</vt:lpstr>
      <vt:lpstr>FOIL</vt:lpstr>
      <vt:lpstr>Market2014</vt:lpstr>
      <vt:lpstr>Lookups</vt:lpstr>
      <vt:lpstr>Raw_Sample</vt:lpstr>
      <vt:lpstr>Data_Dictionary</vt:lpstr>
      <vt:lpstr>BaseTable</vt:lpstr>
      <vt:lpstr>HolidayDates</vt:lpstr>
      <vt:lpstr>SpecialDates</vt:lpstr>
      <vt:lpstr>ZoneTable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Uber / Ride-Sharing Operations Analytics (NYC 2014-2015)</dc:title>
  <dc:creator>Jatin Gohel</dc:creator>
  <dc:description>Source: NYC TLC FOIL response published by FiveThirtyEight</dc:description>
  <cp:lastModifiedBy>Jatin Gohel</cp:lastModifiedBy>
  <dcterms:created xsi:type="dcterms:W3CDTF">2026-10-22T07:24:03Z</dcterms:created>
  <dcterms:modified xsi:type="dcterms:W3CDTF">2026-10-22T07:24:03Z</dcterms:modified>
</cp:coreProperties>
</file>